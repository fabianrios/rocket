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120" yWindow="615" windowWidth="15195" windowHeight="7230" firstSheet="13" activeTab="19"/>
  </bookViews>
  <sheets>
    <sheet name="0.Consolidado general" sheetId="27" r:id="rId1"/>
    <sheet name="0.User" sheetId="28" r:id="rId2"/>
    <sheet name="0.Productos" sheetId="29" r:id="rId3"/>
    <sheet name="0.FILTRO" sheetId="30" r:id="rId4"/>
    <sheet name="1.PUNTOS" sheetId="22" r:id="rId5"/>
    <sheet name="1.DATOS-PROD" sheetId="23" r:id="rId6"/>
    <sheet name="1.PUNTOS-PROD" sheetId="24" r:id="rId7"/>
    <sheet name="1.PUNTOS-FIN" sheetId="25" r:id="rId8"/>
    <sheet name="1.CALIF" sheetId="26" r:id="rId9"/>
    <sheet name="2.USUARIO" sheetId="11" r:id="rId10"/>
    <sheet name="2.Vivienda" sheetId="9" r:id="rId11"/>
    <sheet name="2.Consumo" sheetId="17" r:id="rId12"/>
    <sheet name="2.PRODUCTOS VIVIENDA" sheetId="12" r:id="rId13"/>
    <sheet name="2.PRODUCTOS OTROS" sheetId="15" r:id="rId14"/>
    <sheet name="2.TABLA" sheetId="8" r:id="rId15"/>
    <sheet name="2.RESULTADOS" sheetId="14" r:id="rId16"/>
    <sheet name="3.gral" sheetId="20" r:id="rId17"/>
    <sheet name="3.CANALES" sheetId="21" r:id="rId18"/>
    <sheet name="4.Todo" sheetId="19" r:id="rId19"/>
    <sheet name="5.AT" sheetId="18" r:id="rId20"/>
  </sheets>
  <functionGroups builtInGroupCount="17"/>
  <externalReferences>
    <externalReference r:id="rId21"/>
    <externalReference r:id="rId22"/>
    <externalReference r:id="rId23"/>
    <externalReference r:id="rId24"/>
    <externalReference r:id="rId25"/>
  </externalReferences>
  <definedNames>
    <definedName name="_xlnm._FilterDatabase" localSheetId="3" hidden="1">'0.FILTRO'!$A$3:$T$102</definedName>
    <definedName name="CANALES">'2.TABLA'!$I$1:$I$23</definedName>
    <definedName name="CANALOTROS">'2.PRODUCTOS OTROS'!$A$3:$AG$3</definedName>
    <definedName name="CANALVIVIENDA">'2.PRODUCTOS VIVIENDA'!$A$3:$AG$3</definedName>
    <definedName name="PRODUCTOOTROS">'2.PRODUCTOS OTROS'!$A$3:$AG$23</definedName>
    <definedName name="productootrs">'2.Consumo'!$F$18</definedName>
    <definedName name="PRODUCTOVIVIENDA">'2.PRODUCTOS VIVIENDA'!$A$3:$AG$116</definedName>
    <definedName name="sexo">[1]Tablas!$C$7:$C$9</definedName>
    <definedName name="SINO">'2.TABLA'!$A$1:$A$2</definedName>
    <definedName name="situalab">[1]Tablas!$D$7:$D$11</definedName>
    <definedName name="TAMORT">'2.TABLA'!$D$1:$D$14</definedName>
    <definedName name="TAMORT2">'2.TABLA'!$D$1:$E$14</definedName>
    <definedName name="TCREDITO">'2.TABLA'!$K$1:$K$4</definedName>
  </definedNames>
  <calcPr calcId="145621"/>
</workbook>
</file>

<file path=xl/calcChain.xml><?xml version="1.0" encoding="utf-8"?>
<calcChain xmlns="http://schemas.openxmlformats.org/spreadsheetml/2006/main">
  <c r="O4" i="18" l="1"/>
  <c r="P4" i="18"/>
  <c r="Q4" i="18"/>
  <c r="R4" i="18"/>
  <c r="S4" i="18"/>
  <c r="T4" i="18"/>
  <c r="U4" i="18"/>
  <c r="O5" i="18"/>
  <c r="P5" i="18"/>
  <c r="Q5" i="18"/>
  <c r="R5" i="18"/>
  <c r="S5" i="18"/>
  <c r="T5" i="18"/>
  <c r="U5" i="18"/>
  <c r="O6" i="18"/>
  <c r="P6" i="18"/>
  <c r="Q6" i="18"/>
  <c r="R6" i="18"/>
  <c r="S6" i="18"/>
  <c r="T6" i="18"/>
  <c r="U6" i="18"/>
  <c r="O7" i="18"/>
  <c r="P7" i="18"/>
  <c r="Q7" i="18"/>
  <c r="R7" i="18"/>
  <c r="S7" i="18"/>
  <c r="T7" i="18"/>
  <c r="U7" i="18"/>
  <c r="O8" i="18"/>
  <c r="P8" i="18"/>
  <c r="Q8" i="18"/>
  <c r="R8" i="18"/>
  <c r="S8" i="18"/>
  <c r="T8" i="18"/>
  <c r="U8" i="18"/>
  <c r="O9" i="18"/>
  <c r="P9" i="18"/>
  <c r="Q9" i="18"/>
  <c r="R9" i="18"/>
  <c r="S9" i="18"/>
  <c r="T9" i="18"/>
  <c r="U9" i="18"/>
  <c r="O10" i="18"/>
  <c r="P10" i="18"/>
  <c r="Q10" i="18"/>
  <c r="R10" i="18"/>
  <c r="S10" i="18"/>
  <c r="T10" i="18"/>
  <c r="U10" i="18"/>
  <c r="O11" i="18"/>
  <c r="P11" i="18"/>
  <c r="Q11" i="18"/>
  <c r="R11" i="18"/>
  <c r="S11" i="18"/>
  <c r="T11" i="18"/>
  <c r="U11" i="18"/>
  <c r="O12" i="18"/>
  <c r="P12" i="18"/>
  <c r="Q12" i="18"/>
  <c r="R12" i="18"/>
  <c r="S12" i="18"/>
  <c r="T12" i="18"/>
  <c r="U12" i="18"/>
  <c r="O13" i="18"/>
  <c r="P13" i="18"/>
  <c r="Q13" i="18"/>
  <c r="R13" i="18"/>
  <c r="S13" i="18"/>
  <c r="T13" i="18"/>
  <c r="U13" i="18"/>
  <c r="O14" i="18"/>
  <c r="P14" i="18"/>
  <c r="Q14" i="18"/>
  <c r="R14" i="18"/>
  <c r="S14" i="18"/>
  <c r="T14" i="18"/>
  <c r="U14" i="18"/>
  <c r="O15" i="18"/>
  <c r="P15" i="18"/>
  <c r="Q15" i="18"/>
  <c r="R15" i="18"/>
  <c r="S15" i="18"/>
  <c r="T15" i="18"/>
  <c r="U15" i="18"/>
  <c r="O16" i="18"/>
  <c r="P16" i="18"/>
  <c r="Q16" i="18"/>
  <c r="R16" i="18"/>
  <c r="S16" i="18"/>
  <c r="T16" i="18"/>
  <c r="U16" i="18"/>
  <c r="O17" i="18"/>
  <c r="P17" i="18"/>
  <c r="Q17" i="18"/>
  <c r="R17" i="18"/>
  <c r="S17" i="18"/>
  <c r="T17" i="18"/>
  <c r="U17" i="18"/>
  <c r="O18" i="18"/>
  <c r="P18" i="18"/>
  <c r="Q18" i="18"/>
  <c r="R18" i="18"/>
  <c r="S18" i="18"/>
  <c r="T18" i="18"/>
  <c r="U18" i="18"/>
  <c r="O19" i="18"/>
  <c r="P19" i="18"/>
  <c r="Q19" i="18"/>
  <c r="R19" i="18"/>
  <c r="S19" i="18"/>
  <c r="T19" i="18"/>
  <c r="U19" i="18"/>
  <c r="O20" i="18"/>
  <c r="P20" i="18"/>
  <c r="Q20" i="18"/>
  <c r="R20" i="18"/>
  <c r="S20" i="18"/>
  <c r="T20" i="18"/>
  <c r="U20" i="18"/>
  <c r="O21" i="18"/>
  <c r="P21" i="18"/>
  <c r="Q21" i="18"/>
  <c r="R21" i="18"/>
  <c r="S21" i="18"/>
  <c r="T21" i="18"/>
  <c r="U21" i="18"/>
  <c r="O22" i="18"/>
  <c r="P22" i="18"/>
  <c r="Q22" i="18"/>
  <c r="R22" i="18"/>
  <c r="S22" i="18"/>
  <c r="T22" i="18"/>
  <c r="U22" i="18"/>
  <c r="O23" i="18"/>
  <c r="P23" i="18"/>
  <c r="Q23" i="18"/>
  <c r="R23" i="18"/>
  <c r="S23" i="18"/>
  <c r="T23" i="18"/>
  <c r="U23" i="18"/>
  <c r="O24" i="18"/>
  <c r="P24" i="18"/>
  <c r="Q24" i="18"/>
  <c r="R24" i="18"/>
  <c r="S24" i="18"/>
  <c r="T24" i="18"/>
  <c r="U24" i="18"/>
  <c r="O25" i="18"/>
  <c r="P25" i="18"/>
  <c r="Q25" i="18"/>
  <c r="R25" i="18"/>
  <c r="S25" i="18"/>
  <c r="T25" i="18"/>
  <c r="U25" i="18"/>
  <c r="O26" i="18"/>
  <c r="P26" i="18"/>
  <c r="Q26" i="18"/>
  <c r="R26" i="18"/>
  <c r="S26" i="18"/>
  <c r="T26" i="18"/>
  <c r="U26" i="18"/>
  <c r="O27" i="18"/>
  <c r="P27" i="18"/>
  <c r="Q27" i="18"/>
  <c r="R27" i="18"/>
  <c r="S27" i="18"/>
  <c r="T27" i="18"/>
  <c r="U27" i="18"/>
  <c r="O28" i="18"/>
  <c r="P28" i="18"/>
  <c r="Q28" i="18"/>
  <c r="R28" i="18"/>
  <c r="S28" i="18"/>
  <c r="T28" i="18"/>
  <c r="U28" i="18"/>
  <c r="O29" i="18"/>
  <c r="P29" i="18"/>
  <c r="Q29" i="18"/>
  <c r="R29" i="18"/>
  <c r="S29" i="18"/>
  <c r="T29" i="18"/>
  <c r="U29" i="18"/>
  <c r="O30" i="18"/>
  <c r="P30" i="18"/>
  <c r="Q30" i="18"/>
  <c r="R30" i="18"/>
  <c r="S30" i="18"/>
  <c r="T30" i="18"/>
  <c r="U30" i="18"/>
  <c r="O31" i="18"/>
  <c r="P31" i="18"/>
  <c r="Q31" i="18"/>
  <c r="R31" i="18"/>
  <c r="S31" i="18"/>
  <c r="T31" i="18"/>
  <c r="U31" i="18"/>
  <c r="O32" i="18"/>
  <c r="P32" i="18"/>
  <c r="Q32" i="18"/>
  <c r="R32" i="18"/>
  <c r="S32" i="18"/>
  <c r="T32" i="18"/>
  <c r="U32" i="18"/>
  <c r="O33" i="18"/>
  <c r="P33" i="18"/>
  <c r="Q33" i="18"/>
  <c r="R33" i="18"/>
  <c r="S33" i="18"/>
  <c r="T33" i="18"/>
  <c r="U33" i="18"/>
  <c r="O34" i="18"/>
  <c r="P34" i="18"/>
  <c r="Q34" i="18"/>
  <c r="R34" i="18"/>
  <c r="S34" i="18"/>
  <c r="T34" i="18"/>
  <c r="U34" i="18"/>
  <c r="O35" i="18"/>
  <c r="P35" i="18"/>
  <c r="Q35" i="18"/>
  <c r="R35" i="18"/>
  <c r="S35" i="18"/>
  <c r="T35" i="18"/>
  <c r="U35" i="18"/>
  <c r="O36" i="18"/>
  <c r="P36" i="18"/>
  <c r="Q36" i="18"/>
  <c r="R36" i="18"/>
  <c r="S36" i="18"/>
  <c r="T36" i="18"/>
  <c r="U36" i="18"/>
  <c r="O37" i="18"/>
  <c r="P37" i="18"/>
  <c r="Q37" i="18"/>
  <c r="R37" i="18"/>
  <c r="S37" i="18"/>
  <c r="T37" i="18"/>
  <c r="U37" i="18"/>
  <c r="O38" i="18"/>
  <c r="P38" i="18"/>
  <c r="Q38" i="18"/>
  <c r="R38" i="18"/>
  <c r="S38" i="18"/>
  <c r="T38" i="18"/>
  <c r="U38" i="18"/>
  <c r="O39" i="18"/>
  <c r="P39" i="18"/>
  <c r="Q39" i="18"/>
  <c r="R39" i="18"/>
  <c r="S39" i="18"/>
  <c r="T39" i="18"/>
  <c r="U39" i="18"/>
  <c r="O40" i="18"/>
  <c r="P40" i="18"/>
  <c r="Q40" i="18"/>
  <c r="R40" i="18"/>
  <c r="S40" i="18"/>
  <c r="T40" i="18"/>
  <c r="U40" i="18"/>
  <c r="O41" i="18"/>
  <c r="P41" i="18"/>
  <c r="Q41" i="18"/>
  <c r="R41" i="18"/>
  <c r="S41" i="18"/>
  <c r="T41" i="18"/>
  <c r="U41" i="18"/>
  <c r="O42" i="18"/>
  <c r="P42" i="18"/>
  <c r="Q42" i="18"/>
  <c r="R42" i="18"/>
  <c r="S42" i="18"/>
  <c r="T42" i="18"/>
  <c r="U42" i="18"/>
  <c r="P3" i="18"/>
  <c r="Q3" i="18"/>
  <c r="R3" i="18"/>
  <c r="S3" i="18"/>
  <c r="T3" i="18"/>
  <c r="U3" i="18"/>
  <c r="O3" i="18"/>
  <c r="L4" i="18"/>
  <c r="L5" i="18"/>
  <c r="L6" i="18"/>
  <c r="L7" i="18"/>
  <c r="L8" i="18"/>
  <c r="L9" i="18"/>
  <c r="L10" i="18"/>
  <c r="L11" i="18"/>
  <c r="L12" i="18"/>
  <c r="L13" i="18"/>
  <c r="L14" i="18"/>
  <c r="L15" i="18"/>
  <c r="L16" i="18"/>
  <c r="L17" i="18"/>
  <c r="L18" i="18"/>
  <c r="L19" i="18"/>
  <c r="L20" i="18"/>
  <c r="L21" i="18"/>
  <c r="L22" i="18"/>
  <c r="L23" i="18"/>
  <c r="L24" i="18"/>
  <c r="L25" i="18"/>
  <c r="L26" i="18"/>
  <c r="L27" i="18"/>
  <c r="L28" i="18"/>
  <c r="L29" i="18"/>
  <c r="L30" i="18"/>
  <c r="L31" i="18"/>
  <c r="L32" i="18"/>
  <c r="L33" i="18"/>
  <c r="L34" i="18"/>
  <c r="L35" i="18"/>
  <c r="L36" i="18"/>
  <c r="L37" i="18"/>
  <c r="L38" i="18"/>
  <c r="L39" i="18"/>
  <c r="L40" i="18"/>
  <c r="L41" i="18"/>
  <c r="L42" i="18"/>
  <c r="L3" i="18"/>
  <c r="F4" i="18"/>
  <c r="F5" i="18"/>
  <c r="F6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28" i="18"/>
  <c r="F29" i="18"/>
  <c r="F30" i="18"/>
  <c r="F31" i="18"/>
  <c r="F32" i="18"/>
  <c r="F33" i="18"/>
  <c r="F34" i="18"/>
  <c r="F35" i="18"/>
  <c r="F36" i="18"/>
  <c r="F37" i="18"/>
  <c r="F38" i="18"/>
  <c r="F39" i="18"/>
  <c r="F40" i="18"/>
  <c r="F41" i="18"/>
  <c r="F42" i="18"/>
  <c r="F3" i="18"/>
  <c r="B4" i="18"/>
  <c r="B5" i="18"/>
  <c r="B6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B28" i="18"/>
  <c r="B29" i="18"/>
  <c r="B30" i="18"/>
  <c r="B31" i="18"/>
  <c r="B32" i="18"/>
  <c r="B33" i="18"/>
  <c r="B34" i="18"/>
  <c r="B35" i="18"/>
  <c r="B36" i="18"/>
  <c r="B37" i="18"/>
  <c r="B38" i="18"/>
  <c r="B39" i="18"/>
  <c r="B40" i="18"/>
  <c r="B41" i="18"/>
  <c r="B42" i="18"/>
  <c r="B3" i="18"/>
  <c r="A4" i="18"/>
  <c r="A5" i="18"/>
  <c r="A6" i="18"/>
  <c r="A7" i="18"/>
  <c r="A8" i="18"/>
  <c r="A9" i="18"/>
  <c r="A10" i="18"/>
  <c r="A11" i="18"/>
  <c r="A12" i="18"/>
  <c r="A13" i="18"/>
  <c r="A14" i="18"/>
  <c r="A15" i="18"/>
  <c r="A16" i="18"/>
  <c r="A17" i="18"/>
  <c r="A18" i="18"/>
  <c r="A19" i="18"/>
  <c r="A20" i="18"/>
  <c r="A21" i="18"/>
  <c r="A22" i="18"/>
  <c r="A23" i="18"/>
  <c r="A24" i="18"/>
  <c r="A25" i="18"/>
  <c r="A26" i="18"/>
  <c r="A27" i="18"/>
  <c r="A28" i="18"/>
  <c r="A29" i="18"/>
  <c r="A30" i="18"/>
  <c r="A31" i="18"/>
  <c r="A32" i="18"/>
  <c r="A33" i="18"/>
  <c r="A34" i="18"/>
  <c r="A35" i="18"/>
  <c r="A36" i="18"/>
  <c r="A37" i="18"/>
  <c r="A38" i="18"/>
  <c r="A39" i="18"/>
  <c r="A40" i="18"/>
  <c r="A41" i="18"/>
  <c r="A42" i="18"/>
  <c r="A3" i="18"/>
  <c r="BC12" i="21"/>
  <c r="BD12" i="21"/>
  <c r="BE12" i="21"/>
  <c r="BC13" i="21"/>
  <c r="BD13" i="21"/>
  <c r="BE13" i="21"/>
  <c r="BC14" i="21"/>
  <c r="BD14" i="21"/>
  <c r="BE14" i="21"/>
  <c r="BC15" i="21"/>
  <c r="BD15" i="21"/>
  <c r="BE15" i="21"/>
  <c r="BC16" i="21"/>
  <c r="BD16" i="21"/>
  <c r="BE16" i="21"/>
  <c r="BC17" i="21"/>
  <c r="BD17" i="21"/>
  <c r="BE17" i="21"/>
  <c r="BC18" i="21"/>
  <c r="BD18" i="21"/>
  <c r="BE18" i="21"/>
  <c r="BC19" i="21"/>
  <c r="BD19" i="21"/>
  <c r="BE19" i="21"/>
  <c r="BC20" i="21"/>
  <c r="BD20" i="21"/>
  <c r="BE20" i="21"/>
  <c r="BC21" i="21"/>
  <c r="BD21" i="21"/>
  <c r="BE21" i="21"/>
  <c r="BC22" i="21"/>
  <c r="BD22" i="21"/>
  <c r="BE22" i="21"/>
  <c r="BC23" i="21"/>
  <c r="BD23" i="21"/>
  <c r="BE23" i="21"/>
  <c r="BC24" i="21"/>
  <c r="BD24" i="21"/>
  <c r="BE24" i="21"/>
  <c r="BC25" i="21"/>
  <c r="BD25" i="21"/>
  <c r="BE25" i="21"/>
  <c r="BC26" i="21"/>
  <c r="BD26" i="21"/>
  <c r="BE26" i="21"/>
  <c r="BC27" i="21"/>
  <c r="BD27" i="21"/>
  <c r="BE27" i="21"/>
  <c r="BC28" i="21"/>
  <c r="BD28" i="21"/>
  <c r="BE28" i="21"/>
  <c r="BC29" i="21"/>
  <c r="BD29" i="21"/>
  <c r="BE29" i="21"/>
  <c r="BC30" i="21"/>
  <c r="BD30" i="21"/>
  <c r="BE30" i="21"/>
  <c r="BC31" i="21"/>
  <c r="BD31" i="21"/>
  <c r="BE31" i="21"/>
  <c r="BC32" i="21"/>
  <c r="BD32" i="21"/>
  <c r="BE32" i="21"/>
  <c r="BC33" i="21"/>
  <c r="BD33" i="21"/>
  <c r="BE33" i="21"/>
  <c r="BC34" i="21"/>
  <c r="BD34" i="21"/>
  <c r="BE34" i="21"/>
  <c r="BC35" i="21"/>
  <c r="BD35" i="21"/>
  <c r="BE35" i="21"/>
  <c r="BC36" i="21"/>
  <c r="BD36" i="21"/>
  <c r="BE36" i="21"/>
  <c r="BC37" i="21"/>
  <c r="BD37" i="21"/>
  <c r="BE37" i="21"/>
  <c r="BC38" i="21"/>
  <c r="BD38" i="21"/>
  <c r="BE38" i="21"/>
  <c r="BC39" i="21"/>
  <c r="BD39" i="21"/>
  <c r="BE39" i="21"/>
  <c r="BC40" i="21"/>
  <c r="BD40" i="21"/>
  <c r="BE40" i="21"/>
  <c r="BC41" i="21"/>
  <c r="BD41" i="21"/>
  <c r="BE41" i="21"/>
  <c r="BC42" i="21"/>
  <c r="BD42" i="21"/>
  <c r="BE42" i="21"/>
  <c r="BC43" i="21"/>
  <c r="BD43" i="21"/>
  <c r="BE43" i="21"/>
  <c r="BC44" i="21"/>
  <c r="BD44" i="21"/>
  <c r="BE44" i="21"/>
  <c r="BC45" i="21"/>
  <c r="BD45" i="21"/>
  <c r="BE45" i="21"/>
  <c r="BC46" i="21"/>
  <c r="BD46" i="21"/>
  <c r="BE46" i="21"/>
  <c r="BC47" i="21"/>
  <c r="BD47" i="21"/>
  <c r="BE47" i="21"/>
  <c r="BC48" i="21"/>
  <c r="BD48" i="21"/>
  <c r="BE48" i="21"/>
  <c r="BC49" i="21"/>
  <c r="BD49" i="21"/>
  <c r="BE49" i="21"/>
  <c r="BC50" i="21"/>
  <c r="BD50" i="21"/>
  <c r="BE50" i="21"/>
  <c r="BC11" i="21"/>
  <c r="BD11" i="21"/>
  <c r="BE11" i="21"/>
  <c r="AI12" i="21"/>
  <c r="AJ12" i="21"/>
  <c r="AI13" i="21"/>
  <c r="AJ13" i="21"/>
  <c r="AI14" i="21"/>
  <c r="AJ14" i="21"/>
  <c r="AI15" i="21"/>
  <c r="AJ15" i="21"/>
  <c r="AI16" i="21"/>
  <c r="AJ16" i="21"/>
  <c r="AI17" i="21"/>
  <c r="AJ17" i="21"/>
  <c r="AI18" i="21"/>
  <c r="AJ18" i="21"/>
  <c r="AI19" i="21"/>
  <c r="AJ19" i="21"/>
  <c r="AI20" i="21"/>
  <c r="AJ20" i="21"/>
  <c r="AI21" i="21"/>
  <c r="AJ21" i="21"/>
  <c r="AI22" i="21"/>
  <c r="AJ22" i="21"/>
  <c r="AI23" i="21"/>
  <c r="AJ23" i="21"/>
  <c r="AI24" i="21"/>
  <c r="AJ24" i="21"/>
  <c r="AI25" i="21"/>
  <c r="AJ25" i="21"/>
  <c r="AI26" i="21"/>
  <c r="AJ26" i="21"/>
  <c r="AI27" i="21"/>
  <c r="AJ27" i="21"/>
  <c r="AI28" i="21"/>
  <c r="AJ28" i="21"/>
  <c r="AI29" i="21"/>
  <c r="AJ29" i="21"/>
  <c r="AI30" i="21"/>
  <c r="AJ30" i="21"/>
  <c r="AI31" i="21"/>
  <c r="AJ31" i="21"/>
  <c r="AI32" i="21"/>
  <c r="AJ32" i="21"/>
  <c r="AI33" i="21"/>
  <c r="AJ33" i="21"/>
  <c r="AI34" i="21"/>
  <c r="AJ34" i="21"/>
  <c r="AI35" i="21"/>
  <c r="AJ35" i="21"/>
  <c r="AI36" i="21"/>
  <c r="AJ36" i="21"/>
  <c r="AI37" i="21"/>
  <c r="AJ37" i="21"/>
  <c r="AI38" i="21"/>
  <c r="AJ38" i="21"/>
  <c r="AI39" i="21"/>
  <c r="AJ39" i="21"/>
  <c r="AI40" i="21"/>
  <c r="AJ40" i="21"/>
  <c r="AI41" i="21"/>
  <c r="AJ41" i="21"/>
  <c r="AI42" i="21"/>
  <c r="AJ42" i="21"/>
  <c r="AI43" i="21"/>
  <c r="AJ43" i="21"/>
  <c r="AI44" i="21"/>
  <c r="AJ44" i="21"/>
  <c r="AI45" i="21"/>
  <c r="AJ45" i="21"/>
  <c r="AI46" i="21"/>
  <c r="AJ46" i="21"/>
  <c r="AI47" i="21"/>
  <c r="AJ47" i="21"/>
  <c r="AI48" i="21"/>
  <c r="AJ48" i="21"/>
  <c r="AI49" i="21"/>
  <c r="AJ49" i="21"/>
  <c r="AI50" i="21"/>
  <c r="AJ50" i="21"/>
  <c r="AJ11" i="21"/>
  <c r="AI11" i="21"/>
  <c r="AI8" i="21"/>
  <c r="Z7" i="21"/>
  <c r="Z8" i="21"/>
  <c r="AA8" i="21"/>
  <c r="AB8" i="21"/>
  <c r="AC8" i="21"/>
  <c r="AD8" i="21"/>
  <c r="U8" i="21"/>
  <c r="V8" i="21"/>
  <c r="W8" i="21"/>
  <c r="X8" i="21"/>
  <c r="Y8" i="21"/>
  <c r="T8" i="21"/>
  <c r="B12" i="21"/>
  <c r="C12" i="21"/>
  <c r="D12" i="21"/>
  <c r="E12" i="21"/>
  <c r="F12" i="21"/>
  <c r="G12" i="21"/>
  <c r="H12" i="21"/>
  <c r="I12" i="21"/>
  <c r="J12" i="21"/>
  <c r="K12" i="21"/>
  <c r="L12" i="21"/>
  <c r="M12" i="21"/>
  <c r="N12" i="21"/>
  <c r="O12" i="21"/>
  <c r="P12" i="21"/>
  <c r="B13" i="21"/>
  <c r="C13" i="21"/>
  <c r="D13" i="21"/>
  <c r="E13" i="21"/>
  <c r="F13" i="21"/>
  <c r="G13" i="21"/>
  <c r="H13" i="21"/>
  <c r="I13" i="21"/>
  <c r="J13" i="21"/>
  <c r="K13" i="21"/>
  <c r="L13" i="21"/>
  <c r="M13" i="21"/>
  <c r="N13" i="21"/>
  <c r="O13" i="21"/>
  <c r="P13" i="21"/>
  <c r="B14" i="21"/>
  <c r="C14" i="21"/>
  <c r="D14" i="21"/>
  <c r="E14" i="21"/>
  <c r="F14" i="21"/>
  <c r="G14" i="21"/>
  <c r="H14" i="21"/>
  <c r="I14" i="21"/>
  <c r="J14" i="21"/>
  <c r="K14" i="21"/>
  <c r="L14" i="21"/>
  <c r="M14" i="21"/>
  <c r="N14" i="21"/>
  <c r="O14" i="21"/>
  <c r="P14" i="21"/>
  <c r="B15" i="21"/>
  <c r="C15" i="21"/>
  <c r="D15" i="21"/>
  <c r="E15" i="21"/>
  <c r="F15" i="21"/>
  <c r="G15" i="21"/>
  <c r="H15" i="21"/>
  <c r="I15" i="21"/>
  <c r="J15" i="21"/>
  <c r="K15" i="21"/>
  <c r="L15" i="21"/>
  <c r="M15" i="21"/>
  <c r="N15" i="21"/>
  <c r="O15" i="21"/>
  <c r="P15" i="21"/>
  <c r="B16" i="21"/>
  <c r="C16" i="21"/>
  <c r="D16" i="21"/>
  <c r="E16" i="21"/>
  <c r="F16" i="21"/>
  <c r="G16" i="21"/>
  <c r="H16" i="21"/>
  <c r="I16" i="21"/>
  <c r="J16" i="21"/>
  <c r="K16" i="21"/>
  <c r="L16" i="21"/>
  <c r="M16" i="21"/>
  <c r="N16" i="21"/>
  <c r="O16" i="21"/>
  <c r="P16" i="21"/>
  <c r="B17" i="21"/>
  <c r="C17" i="21"/>
  <c r="D17" i="21"/>
  <c r="E17" i="21"/>
  <c r="F17" i="21"/>
  <c r="G17" i="21"/>
  <c r="H17" i="21"/>
  <c r="I17" i="21"/>
  <c r="J17" i="21"/>
  <c r="K17" i="21"/>
  <c r="L17" i="21"/>
  <c r="M17" i="21"/>
  <c r="N17" i="21"/>
  <c r="O17" i="21"/>
  <c r="P17" i="21"/>
  <c r="B18" i="21"/>
  <c r="C18" i="21"/>
  <c r="D18" i="21"/>
  <c r="E18" i="21"/>
  <c r="F18" i="21"/>
  <c r="G18" i="21"/>
  <c r="H18" i="21"/>
  <c r="I18" i="21"/>
  <c r="J18" i="21"/>
  <c r="K18" i="21"/>
  <c r="L18" i="21"/>
  <c r="M18" i="21"/>
  <c r="N18" i="21"/>
  <c r="O18" i="21"/>
  <c r="P18" i="21"/>
  <c r="B19" i="21"/>
  <c r="C19" i="21"/>
  <c r="D19" i="21"/>
  <c r="E19" i="21"/>
  <c r="F19" i="21"/>
  <c r="G19" i="21"/>
  <c r="H19" i="21"/>
  <c r="I19" i="21"/>
  <c r="J19" i="21"/>
  <c r="K19" i="21"/>
  <c r="L19" i="21"/>
  <c r="M19" i="21"/>
  <c r="N19" i="21"/>
  <c r="O19" i="21"/>
  <c r="P19" i="21"/>
  <c r="B20" i="21"/>
  <c r="C20" i="21"/>
  <c r="D20" i="21"/>
  <c r="E20" i="21"/>
  <c r="F20" i="21"/>
  <c r="G20" i="21"/>
  <c r="H20" i="21"/>
  <c r="I20" i="21"/>
  <c r="J20" i="21"/>
  <c r="K20" i="21"/>
  <c r="L20" i="21"/>
  <c r="M20" i="21"/>
  <c r="N20" i="21"/>
  <c r="O20" i="21"/>
  <c r="P20" i="21"/>
  <c r="B21" i="21"/>
  <c r="C21" i="21"/>
  <c r="D21" i="21"/>
  <c r="E21" i="21"/>
  <c r="F21" i="21"/>
  <c r="G21" i="21"/>
  <c r="H21" i="21"/>
  <c r="I21" i="21"/>
  <c r="J21" i="21"/>
  <c r="K21" i="21"/>
  <c r="L21" i="21"/>
  <c r="M21" i="21"/>
  <c r="N21" i="21"/>
  <c r="O21" i="21"/>
  <c r="P21" i="21"/>
  <c r="B22" i="21"/>
  <c r="C22" i="21"/>
  <c r="D22" i="21"/>
  <c r="E22" i="21"/>
  <c r="F22" i="21"/>
  <c r="G22" i="21"/>
  <c r="H22" i="21"/>
  <c r="I22" i="21"/>
  <c r="J22" i="21"/>
  <c r="K22" i="21"/>
  <c r="L22" i="21"/>
  <c r="M22" i="21"/>
  <c r="N22" i="21"/>
  <c r="O22" i="21"/>
  <c r="P22" i="21"/>
  <c r="B23" i="21"/>
  <c r="C23" i="21"/>
  <c r="D23" i="21"/>
  <c r="E23" i="21"/>
  <c r="F23" i="21"/>
  <c r="G23" i="21"/>
  <c r="H23" i="21"/>
  <c r="I23" i="21"/>
  <c r="J23" i="21"/>
  <c r="K23" i="21"/>
  <c r="L23" i="21"/>
  <c r="M23" i="21"/>
  <c r="N23" i="21"/>
  <c r="O23" i="21"/>
  <c r="P23" i="21"/>
  <c r="B24" i="21"/>
  <c r="C24" i="21"/>
  <c r="D24" i="21"/>
  <c r="E24" i="21"/>
  <c r="F24" i="21"/>
  <c r="G24" i="21"/>
  <c r="H24" i="21"/>
  <c r="I24" i="21"/>
  <c r="J24" i="21"/>
  <c r="K24" i="21"/>
  <c r="L24" i="21"/>
  <c r="M24" i="21"/>
  <c r="N24" i="21"/>
  <c r="O24" i="21"/>
  <c r="P24" i="21"/>
  <c r="B25" i="21"/>
  <c r="C25" i="21"/>
  <c r="D25" i="21"/>
  <c r="E25" i="21"/>
  <c r="F25" i="21"/>
  <c r="G25" i="21"/>
  <c r="H25" i="21"/>
  <c r="I25" i="21"/>
  <c r="J25" i="21"/>
  <c r="K25" i="21"/>
  <c r="L25" i="21"/>
  <c r="M25" i="21"/>
  <c r="N25" i="21"/>
  <c r="O25" i="21"/>
  <c r="P25" i="21"/>
  <c r="B26" i="21"/>
  <c r="C26" i="21"/>
  <c r="D26" i="21"/>
  <c r="E26" i="21"/>
  <c r="F26" i="21"/>
  <c r="G26" i="21"/>
  <c r="H26" i="21"/>
  <c r="I26" i="21"/>
  <c r="J26" i="21"/>
  <c r="K26" i="21"/>
  <c r="L26" i="21"/>
  <c r="M26" i="21"/>
  <c r="N26" i="21"/>
  <c r="O26" i="21"/>
  <c r="P26" i="21"/>
  <c r="B27" i="21"/>
  <c r="C27" i="21"/>
  <c r="D27" i="21"/>
  <c r="E27" i="21"/>
  <c r="F27" i="21"/>
  <c r="G27" i="21"/>
  <c r="H27" i="21"/>
  <c r="I27" i="21"/>
  <c r="J27" i="21"/>
  <c r="K27" i="21"/>
  <c r="L27" i="21"/>
  <c r="M27" i="21"/>
  <c r="N27" i="21"/>
  <c r="O27" i="21"/>
  <c r="P27" i="21"/>
  <c r="B28" i="21"/>
  <c r="C28" i="21"/>
  <c r="D28" i="21"/>
  <c r="E28" i="21"/>
  <c r="F28" i="21"/>
  <c r="G28" i="21"/>
  <c r="H28" i="21"/>
  <c r="I28" i="21"/>
  <c r="J28" i="21"/>
  <c r="K28" i="21"/>
  <c r="L28" i="21"/>
  <c r="M28" i="21"/>
  <c r="N28" i="21"/>
  <c r="O28" i="21"/>
  <c r="P28" i="21"/>
  <c r="B29" i="21"/>
  <c r="C29" i="21"/>
  <c r="D29" i="21"/>
  <c r="E29" i="21"/>
  <c r="F29" i="21"/>
  <c r="G29" i="21"/>
  <c r="H29" i="21"/>
  <c r="I29" i="21"/>
  <c r="J29" i="21"/>
  <c r="K29" i="21"/>
  <c r="L29" i="21"/>
  <c r="M29" i="21"/>
  <c r="N29" i="21"/>
  <c r="O29" i="21"/>
  <c r="P29" i="21"/>
  <c r="B30" i="21"/>
  <c r="C30" i="21"/>
  <c r="D30" i="21"/>
  <c r="E30" i="21"/>
  <c r="F30" i="21"/>
  <c r="G30" i="21"/>
  <c r="H30" i="21"/>
  <c r="I30" i="21"/>
  <c r="J30" i="21"/>
  <c r="K30" i="21"/>
  <c r="L30" i="21"/>
  <c r="M30" i="21"/>
  <c r="N30" i="21"/>
  <c r="O30" i="21"/>
  <c r="P30" i="21"/>
  <c r="B31" i="21"/>
  <c r="C31" i="21"/>
  <c r="D31" i="21"/>
  <c r="E31" i="21"/>
  <c r="F31" i="21"/>
  <c r="G31" i="21"/>
  <c r="H31" i="21"/>
  <c r="I31" i="21"/>
  <c r="J31" i="21"/>
  <c r="K31" i="21"/>
  <c r="L31" i="21"/>
  <c r="M31" i="21"/>
  <c r="N31" i="21"/>
  <c r="O31" i="21"/>
  <c r="P31" i="21"/>
  <c r="B32" i="21"/>
  <c r="C32" i="21"/>
  <c r="D32" i="21"/>
  <c r="E32" i="21"/>
  <c r="F32" i="21"/>
  <c r="G32" i="21"/>
  <c r="H32" i="21"/>
  <c r="I32" i="21"/>
  <c r="J32" i="21"/>
  <c r="K32" i="21"/>
  <c r="L32" i="21"/>
  <c r="M32" i="21"/>
  <c r="N32" i="21"/>
  <c r="O32" i="21"/>
  <c r="P32" i="21"/>
  <c r="B33" i="21"/>
  <c r="C33" i="21"/>
  <c r="D33" i="21"/>
  <c r="E33" i="21"/>
  <c r="F33" i="21"/>
  <c r="G33" i="21"/>
  <c r="H33" i="21"/>
  <c r="I33" i="21"/>
  <c r="J33" i="21"/>
  <c r="K33" i="21"/>
  <c r="L33" i="21"/>
  <c r="M33" i="21"/>
  <c r="N33" i="21"/>
  <c r="O33" i="21"/>
  <c r="P33" i="21"/>
  <c r="B34" i="21"/>
  <c r="C34" i="21"/>
  <c r="D34" i="21"/>
  <c r="E34" i="21"/>
  <c r="F34" i="21"/>
  <c r="G34" i="21"/>
  <c r="H34" i="21"/>
  <c r="I34" i="21"/>
  <c r="J34" i="21"/>
  <c r="K34" i="21"/>
  <c r="L34" i="21"/>
  <c r="M34" i="21"/>
  <c r="N34" i="21"/>
  <c r="O34" i="21"/>
  <c r="P34" i="21"/>
  <c r="B35" i="21"/>
  <c r="C35" i="21"/>
  <c r="D35" i="21"/>
  <c r="E35" i="21"/>
  <c r="F35" i="21"/>
  <c r="G35" i="21"/>
  <c r="H35" i="21"/>
  <c r="I35" i="21"/>
  <c r="J35" i="21"/>
  <c r="K35" i="21"/>
  <c r="L35" i="21"/>
  <c r="M35" i="21"/>
  <c r="N35" i="21"/>
  <c r="O35" i="21"/>
  <c r="P35" i="21"/>
  <c r="B36" i="21"/>
  <c r="C36" i="21"/>
  <c r="D36" i="21"/>
  <c r="E36" i="21"/>
  <c r="F36" i="21"/>
  <c r="G36" i="21"/>
  <c r="H36" i="21"/>
  <c r="I36" i="21"/>
  <c r="J36" i="21"/>
  <c r="K36" i="21"/>
  <c r="L36" i="21"/>
  <c r="M36" i="21"/>
  <c r="N36" i="21"/>
  <c r="O36" i="21"/>
  <c r="P36" i="21"/>
  <c r="B37" i="21"/>
  <c r="C37" i="21"/>
  <c r="D37" i="21"/>
  <c r="E37" i="21"/>
  <c r="F37" i="21"/>
  <c r="G37" i="21"/>
  <c r="H37" i="21"/>
  <c r="I37" i="21"/>
  <c r="J37" i="21"/>
  <c r="K37" i="21"/>
  <c r="L37" i="21"/>
  <c r="M37" i="21"/>
  <c r="N37" i="21"/>
  <c r="O37" i="21"/>
  <c r="P37" i="21"/>
  <c r="B38" i="21"/>
  <c r="C38" i="21"/>
  <c r="D38" i="21"/>
  <c r="E38" i="21"/>
  <c r="F38" i="21"/>
  <c r="G38" i="21"/>
  <c r="H38" i="21"/>
  <c r="I38" i="21"/>
  <c r="J38" i="21"/>
  <c r="K38" i="21"/>
  <c r="L38" i="21"/>
  <c r="M38" i="21"/>
  <c r="N38" i="21"/>
  <c r="O38" i="21"/>
  <c r="P38" i="21"/>
  <c r="B39" i="21"/>
  <c r="C39" i="21"/>
  <c r="D39" i="21"/>
  <c r="E39" i="21"/>
  <c r="F39" i="21"/>
  <c r="G39" i="21"/>
  <c r="H39" i="21"/>
  <c r="I39" i="21"/>
  <c r="J39" i="21"/>
  <c r="K39" i="21"/>
  <c r="L39" i="21"/>
  <c r="M39" i="21"/>
  <c r="N39" i="21"/>
  <c r="O39" i="21"/>
  <c r="P39" i="21"/>
  <c r="B40" i="21"/>
  <c r="C40" i="21"/>
  <c r="D40" i="21"/>
  <c r="E40" i="21"/>
  <c r="F40" i="21"/>
  <c r="G40" i="21"/>
  <c r="H40" i="21"/>
  <c r="I40" i="21"/>
  <c r="J40" i="21"/>
  <c r="K40" i="21"/>
  <c r="L40" i="21"/>
  <c r="M40" i="21"/>
  <c r="N40" i="21"/>
  <c r="O40" i="21"/>
  <c r="P40" i="21"/>
  <c r="B41" i="21"/>
  <c r="C41" i="21"/>
  <c r="D41" i="21"/>
  <c r="E41" i="21"/>
  <c r="F41" i="21"/>
  <c r="G41" i="21"/>
  <c r="H41" i="21"/>
  <c r="I41" i="21"/>
  <c r="J41" i="21"/>
  <c r="K41" i="21"/>
  <c r="L41" i="21"/>
  <c r="M41" i="21"/>
  <c r="N41" i="21"/>
  <c r="O41" i="21"/>
  <c r="P41" i="21"/>
  <c r="B42" i="21"/>
  <c r="C42" i="21"/>
  <c r="D42" i="21"/>
  <c r="E42" i="21"/>
  <c r="F42" i="21"/>
  <c r="G42" i="21"/>
  <c r="H42" i="21"/>
  <c r="I42" i="21"/>
  <c r="J42" i="21"/>
  <c r="K42" i="21"/>
  <c r="L42" i="21"/>
  <c r="M42" i="21"/>
  <c r="N42" i="21"/>
  <c r="O42" i="21"/>
  <c r="P42" i="21"/>
  <c r="B43" i="21"/>
  <c r="C43" i="21"/>
  <c r="D43" i="21"/>
  <c r="E43" i="21"/>
  <c r="F43" i="21"/>
  <c r="G43" i="21"/>
  <c r="H43" i="21"/>
  <c r="I43" i="21"/>
  <c r="J43" i="21"/>
  <c r="K43" i="21"/>
  <c r="L43" i="21"/>
  <c r="M43" i="21"/>
  <c r="N43" i="21"/>
  <c r="O43" i="21"/>
  <c r="P43" i="21"/>
  <c r="B44" i="21"/>
  <c r="C44" i="21"/>
  <c r="D44" i="21"/>
  <c r="E44" i="21"/>
  <c r="F44" i="21"/>
  <c r="G44" i="21"/>
  <c r="H44" i="21"/>
  <c r="I44" i="21"/>
  <c r="J44" i="21"/>
  <c r="K44" i="21"/>
  <c r="L44" i="21"/>
  <c r="M44" i="21"/>
  <c r="N44" i="21"/>
  <c r="O44" i="21"/>
  <c r="P44" i="21"/>
  <c r="B45" i="21"/>
  <c r="C45" i="21"/>
  <c r="D45" i="21"/>
  <c r="E45" i="21"/>
  <c r="F45" i="21"/>
  <c r="G45" i="21"/>
  <c r="H45" i="21"/>
  <c r="I45" i="21"/>
  <c r="J45" i="21"/>
  <c r="K45" i="21"/>
  <c r="L45" i="21"/>
  <c r="M45" i="21"/>
  <c r="N45" i="21"/>
  <c r="O45" i="21"/>
  <c r="P45" i="21"/>
  <c r="B46" i="21"/>
  <c r="C46" i="21"/>
  <c r="D46" i="21"/>
  <c r="E46" i="21"/>
  <c r="F46" i="21"/>
  <c r="G46" i="21"/>
  <c r="H46" i="21"/>
  <c r="I46" i="21"/>
  <c r="J46" i="21"/>
  <c r="K46" i="21"/>
  <c r="L46" i="21"/>
  <c r="M46" i="21"/>
  <c r="N46" i="21"/>
  <c r="O46" i="21"/>
  <c r="P46" i="21"/>
  <c r="B47" i="21"/>
  <c r="C47" i="21"/>
  <c r="D47" i="21"/>
  <c r="E47" i="21"/>
  <c r="F47" i="21"/>
  <c r="G47" i="21"/>
  <c r="H47" i="21"/>
  <c r="I47" i="21"/>
  <c r="J47" i="21"/>
  <c r="K47" i="21"/>
  <c r="L47" i="21"/>
  <c r="M47" i="21"/>
  <c r="N47" i="21"/>
  <c r="O47" i="21"/>
  <c r="P47" i="21"/>
  <c r="B48" i="21"/>
  <c r="C48" i="21"/>
  <c r="D48" i="21"/>
  <c r="E48" i="21"/>
  <c r="F48" i="21"/>
  <c r="G48" i="21"/>
  <c r="H48" i="21"/>
  <c r="I48" i="21"/>
  <c r="J48" i="21"/>
  <c r="K48" i="21"/>
  <c r="L48" i="21"/>
  <c r="M48" i="21"/>
  <c r="N48" i="21"/>
  <c r="O48" i="21"/>
  <c r="P48" i="21"/>
  <c r="B49" i="21"/>
  <c r="C49" i="21"/>
  <c r="D49" i="21"/>
  <c r="E49" i="21"/>
  <c r="F49" i="21"/>
  <c r="G49" i="21"/>
  <c r="H49" i="21"/>
  <c r="I49" i="21"/>
  <c r="J49" i="21"/>
  <c r="K49" i="21"/>
  <c r="L49" i="21"/>
  <c r="M49" i="21"/>
  <c r="N49" i="21"/>
  <c r="O49" i="21"/>
  <c r="P49" i="21"/>
  <c r="B50" i="21"/>
  <c r="C50" i="21"/>
  <c r="D50" i="21"/>
  <c r="E50" i="21"/>
  <c r="F50" i="21"/>
  <c r="G50" i="21"/>
  <c r="H50" i="21"/>
  <c r="I50" i="21"/>
  <c r="J50" i="21"/>
  <c r="K50" i="21"/>
  <c r="L50" i="21"/>
  <c r="M50" i="21"/>
  <c r="N50" i="21"/>
  <c r="O50" i="21"/>
  <c r="P50" i="21"/>
  <c r="C11" i="21"/>
  <c r="D11" i="21"/>
  <c r="E11" i="21"/>
  <c r="F11" i="21"/>
  <c r="G11" i="21"/>
  <c r="H11" i="21"/>
  <c r="I11" i="21"/>
  <c r="J11" i="21"/>
  <c r="K11" i="21"/>
  <c r="L11" i="21"/>
  <c r="M11" i="21"/>
  <c r="N11" i="21"/>
  <c r="O11" i="21"/>
  <c r="P11" i="21"/>
  <c r="B11" i="21"/>
  <c r="A12" i="21"/>
  <c r="A13" i="21"/>
  <c r="A14" i="21"/>
  <c r="A15" i="21"/>
  <c r="A16" i="21"/>
  <c r="A17" i="21"/>
  <c r="A18" i="21"/>
  <c r="A19" i="21"/>
  <c r="A20" i="21"/>
  <c r="A21" i="21"/>
  <c r="A22" i="21"/>
  <c r="A23" i="21"/>
  <c r="A24" i="21"/>
  <c r="A25" i="21"/>
  <c r="A26" i="21"/>
  <c r="A27" i="21"/>
  <c r="A28" i="21"/>
  <c r="A29" i="21"/>
  <c r="A30" i="21"/>
  <c r="A31" i="21"/>
  <c r="A32" i="21"/>
  <c r="A33" i="21"/>
  <c r="A34" i="21"/>
  <c r="A35" i="21"/>
  <c r="A36" i="21"/>
  <c r="A37" i="21"/>
  <c r="A38" i="21"/>
  <c r="A39" i="21"/>
  <c r="A40" i="21"/>
  <c r="A41" i="21"/>
  <c r="A42" i="21"/>
  <c r="A43" i="21"/>
  <c r="A44" i="21"/>
  <c r="A45" i="21"/>
  <c r="A46" i="21"/>
  <c r="A47" i="21"/>
  <c r="A48" i="21"/>
  <c r="A49" i="21"/>
  <c r="A50" i="21"/>
  <c r="A11" i="21"/>
  <c r="L7" i="20"/>
  <c r="M7" i="20"/>
  <c r="N7" i="20"/>
  <c r="O7" i="20"/>
  <c r="P7" i="20"/>
  <c r="Q7" i="20"/>
  <c r="R7" i="20"/>
  <c r="S7" i="20"/>
  <c r="L8" i="20"/>
  <c r="M8" i="20"/>
  <c r="N8" i="20"/>
  <c r="O8" i="20"/>
  <c r="P8" i="20"/>
  <c r="Q8" i="20"/>
  <c r="R8" i="20"/>
  <c r="S8" i="20"/>
  <c r="L9" i="20"/>
  <c r="M9" i="20"/>
  <c r="N9" i="20"/>
  <c r="O9" i="20"/>
  <c r="P9" i="20"/>
  <c r="Q9" i="20"/>
  <c r="R9" i="20"/>
  <c r="S9" i="20"/>
  <c r="L10" i="20"/>
  <c r="M10" i="20"/>
  <c r="N10" i="20"/>
  <c r="O10" i="20"/>
  <c r="P10" i="20"/>
  <c r="Q10" i="20"/>
  <c r="R10" i="20"/>
  <c r="S10" i="20"/>
  <c r="L11" i="20"/>
  <c r="M11" i="20"/>
  <c r="N11" i="20"/>
  <c r="O11" i="20"/>
  <c r="P11" i="20"/>
  <c r="Q11" i="20"/>
  <c r="R11" i="20"/>
  <c r="S11" i="20"/>
  <c r="L12" i="20"/>
  <c r="M12" i="20"/>
  <c r="N12" i="20"/>
  <c r="O12" i="20"/>
  <c r="P12" i="20"/>
  <c r="Q12" i="20"/>
  <c r="R12" i="20"/>
  <c r="S12" i="20"/>
  <c r="L13" i="20"/>
  <c r="M13" i="20"/>
  <c r="N13" i="20"/>
  <c r="O13" i="20"/>
  <c r="P13" i="20"/>
  <c r="Q13" i="20"/>
  <c r="R13" i="20"/>
  <c r="S13" i="20"/>
  <c r="L14" i="20"/>
  <c r="M14" i="20"/>
  <c r="N14" i="20"/>
  <c r="O14" i="20"/>
  <c r="P14" i="20"/>
  <c r="Q14" i="20"/>
  <c r="R14" i="20"/>
  <c r="S14" i="20"/>
  <c r="L15" i="20"/>
  <c r="M15" i="20"/>
  <c r="N15" i="20"/>
  <c r="O15" i="20"/>
  <c r="P15" i="20"/>
  <c r="Q15" i="20"/>
  <c r="R15" i="20"/>
  <c r="S15" i="20"/>
  <c r="L16" i="20"/>
  <c r="M16" i="20"/>
  <c r="N16" i="20"/>
  <c r="O16" i="20"/>
  <c r="P16" i="20"/>
  <c r="Q16" i="20"/>
  <c r="R16" i="20"/>
  <c r="S16" i="20"/>
  <c r="L17" i="20"/>
  <c r="M17" i="20"/>
  <c r="N17" i="20"/>
  <c r="O17" i="20"/>
  <c r="P17" i="20"/>
  <c r="Q17" i="20"/>
  <c r="R17" i="20"/>
  <c r="S17" i="20"/>
  <c r="L18" i="20"/>
  <c r="M18" i="20"/>
  <c r="N18" i="20"/>
  <c r="O18" i="20"/>
  <c r="P18" i="20"/>
  <c r="Q18" i="20"/>
  <c r="R18" i="20"/>
  <c r="S18" i="20"/>
  <c r="L19" i="20"/>
  <c r="M19" i="20"/>
  <c r="N19" i="20"/>
  <c r="O19" i="20"/>
  <c r="P19" i="20"/>
  <c r="Q19" i="20"/>
  <c r="R19" i="20"/>
  <c r="S19" i="20"/>
  <c r="L20" i="20"/>
  <c r="M20" i="20"/>
  <c r="N20" i="20"/>
  <c r="O20" i="20"/>
  <c r="P20" i="20"/>
  <c r="Q20" i="20"/>
  <c r="R20" i="20"/>
  <c r="S20" i="20"/>
  <c r="L21" i="20"/>
  <c r="M21" i="20"/>
  <c r="N21" i="20"/>
  <c r="O21" i="20"/>
  <c r="P21" i="20"/>
  <c r="Q21" i="20"/>
  <c r="R21" i="20"/>
  <c r="S21" i="20"/>
  <c r="L22" i="20"/>
  <c r="M22" i="20"/>
  <c r="N22" i="20"/>
  <c r="O22" i="20"/>
  <c r="P22" i="20"/>
  <c r="Q22" i="20"/>
  <c r="R22" i="20"/>
  <c r="S22" i="20"/>
  <c r="L23" i="20"/>
  <c r="M23" i="20"/>
  <c r="N23" i="20"/>
  <c r="O23" i="20"/>
  <c r="P23" i="20"/>
  <c r="Q23" i="20"/>
  <c r="R23" i="20"/>
  <c r="S23" i="20"/>
  <c r="L24" i="20"/>
  <c r="M24" i="20"/>
  <c r="N24" i="20"/>
  <c r="O24" i="20"/>
  <c r="P24" i="20"/>
  <c r="Q24" i="20"/>
  <c r="R24" i="20"/>
  <c r="S24" i="20"/>
  <c r="L25" i="20"/>
  <c r="M25" i="20"/>
  <c r="N25" i="20"/>
  <c r="O25" i="20"/>
  <c r="P25" i="20"/>
  <c r="Q25" i="20"/>
  <c r="R25" i="20"/>
  <c r="S25" i="20"/>
  <c r="L26" i="20"/>
  <c r="M26" i="20"/>
  <c r="N26" i="20"/>
  <c r="O26" i="20"/>
  <c r="P26" i="20"/>
  <c r="Q26" i="20"/>
  <c r="R26" i="20"/>
  <c r="S26" i="20"/>
  <c r="L27" i="20"/>
  <c r="M27" i="20"/>
  <c r="N27" i="20"/>
  <c r="O27" i="20"/>
  <c r="P27" i="20"/>
  <c r="Q27" i="20"/>
  <c r="R27" i="20"/>
  <c r="S27" i="20"/>
  <c r="L28" i="20"/>
  <c r="M28" i="20"/>
  <c r="N28" i="20"/>
  <c r="O28" i="20"/>
  <c r="P28" i="20"/>
  <c r="Q28" i="20"/>
  <c r="R28" i="20"/>
  <c r="S28" i="20"/>
  <c r="L29" i="20"/>
  <c r="M29" i="20"/>
  <c r="N29" i="20"/>
  <c r="O29" i="20"/>
  <c r="P29" i="20"/>
  <c r="Q29" i="20"/>
  <c r="R29" i="20"/>
  <c r="S29" i="20"/>
  <c r="L30" i="20"/>
  <c r="M30" i="20"/>
  <c r="N30" i="20"/>
  <c r="O30" i="20"/>
  <c r="P30" i="20"/>
  <c r="Q30" i="20"/>
  <c r="R30" i="20"/>
  <c r="S30" i="20"/>
  <c r="L31" i="20"/>
  <c r="M31" i="20"/>
  <c r="N31" i="20"/>
  <c r="O31" i="20"/>
  <c r="P31" i="20"/>
  <c r="Q31" i="20"/>
  <c r="R31" i="20"/>
  <c r="S31" i="20"/>
  <c r="L32" i="20"/>
  <c r="M32" i="20"/>
  <c r="N32" i="20"/>
  <c r="O32" i="20"/>
  <c r="P32" i="20"/>
  <c r="Q32" i="20"/>
  <c r="R32" i="20"/>
  <c r="S32" i="20"/>
  <c r="L33" i="20"/>
  <c r="M33" i="20"/>
  <c r="N33" i="20"/>
  <c r="O33" i="20"/>
  <c r="P33" i="20"/>
  <c r="Q33" i="20"/>
  <c r="R33" i="20"/>
  <c r="S33" i="20"/>
  <c r="L34" i="20"/>
  <c r="M34" i="20"/>
  <c r="N34" i="20"/>
  <c r="O34" i="20"/>
  <c r="P34" i="20"/>
  <c r="Q34" i="20"/>
  <c r="R34" i="20"/>
  <c r="S34" i="20"/>
  <c r="L35" i="20"/>
  <c r="M35" i="20"/>
  <c r="N35" i="20"/>
  <c r="O35" i="20"/>
  <c r="P35" i="20"/>
  <c r="Q35" i="20"/>
  <c r="R35" i="20"/>
  <c r="S35" i="20"/>
  <c r="L36" i="20"/>
  <c r="M36" i="20"/>
  <c r="N36" i="20"/>
  <c r="O36" i="20"/>
  <c r="P36" i="20"/>
  <c r="Q36" i="20"/>
  <c r="R36" i="20"/>
  <c r="S36" i="20"/>
  <c r="L37" i="20"/>
  <c r="M37" i="20"/>
  <c r="N37" i="20"/>
  <c r="O37" i="20"/>
  <c r="P37" i="20"/>
  <c r="Q37" i="20"/>
  <c r="R37" i="20"/>
  <c r="S37" i="20"/>
  <c r="L38" i="20"/>
  <c r="M38" i="20"/>
  <c r="N38" i="20"/>
  <c r="O38" i="20"/>
  <c r="P38" i="20"/>
  <c r="Q38" i="20"/>
  <c r="R38" i="20"/>
  <c r="S38" i="20"/>
  <c r="L39" i="20"/>
  <c r="M39" i="20"/>
  <c r="N39" i="20"/>
  <c r="O39" i="20"/>
  <c r="P39" i="20"/>
  <c r="Q39" i="20"/>
  <c r="R39" i="20"/>
  <c r="S39" i="20"/>
  <c r="L40" i="20"/>
  <c r="M40" i="20"/>
  <c r="N40" i="20"/>
  <c r="O40" i="20"/>
  <c r="P40" i="20"/>
  <c r="Q40" i="20"/>
  <c r="R40" i="20"/>
  <c r="S40" i="20"/>
  <c r="L41" i="20"/>
  <c r="M41" i="20"/>
  <c r="N41" i="20"/>
  <c r="O41" i="20"/>
  <c r="P41" i="20"/>
  <c r="Q41" i="20"/>
  <c r="R41" i="20"/>
  <c r="S41" i="20"/>
  <c r="L42" i="20"/>
  <c r="M42" i="20"/>
  <c r="N42" i="20"/>
  <c r="O42" i="20"/>
  <c r="P42" i="20"/>
  <c r="Q42" i="20"/>
  <c r="R42" i="20"/>
  <c r="S42" i="20"/>
  <c r="L43" i="20"/>
  <c r="M43" i="20"/>
  <c r="N43" i="20"/>
  <c r="O43" i="20"/>
  <c r="P43" i="20"/>
  <c r="Q43" i="20"/>
  <c r="R43" i="20"/>
  <c r="S43" i="20"/>
  <c r="L44" i="20"/>
  <c r="M44" i="20"/>
  <c r="N44" i="20"/>
  <c r="O44" i="20"/>
  <c r="P44" i="20"/>
  <c r="Q44" i="20"/>
  <c r="R44" i="20"/>
  <c r="S44" i="20"/>
  <c r="L45" i="20"/>
  <c r="M45" i="20"/>
  <c r="N45" i="20"/>
  <c r="O45" i="20"/>
  <c r="P45" i="20"/>
  <c r="Q45" i="20"/>
  <c r="R45" i="20"/>
  <c r="S45" i="20"/>
  <c r="M6" i="20"/>
  <c r="N6" i="20"/>
  <c r="O6" i="20"/>
  <c r="P6" i="20"/>
  <c r="Q6" i="20"/>
  <c r="R6" i="20"/>
  <c r="S6" i="20"/>
  <c r="L6" i="20"/>
  <c r="E7" i="20"/>
  <c r="E8" i="20"/>
  <c r="E9" i="20"/>
  <c r="E10" i="20"/>
  <c r="E11" i="20"/>
  <c r="E12" i="20"/>
  <c r="E13" i="20"/>
  <c r="E14" i="20"/>
  <c r="E15" i="20"/>
  <c r="E16" i="20"/>
  <c r="E17" i="20"/>
  <c r="E18" i="20"/>
  <c r="E19" i="20"/>
  <c r="E20" i="20"/>
  <c r="E21" i="20"/>
  <c r="E22" i="20"/>
  <c r="E23" i="20"/>
  <c r="E24" i="20"/>
  <c r="E25" i="20"/>
  <c r="E26" i="20"/>
  <c r="E27" i="20"/>
  <c r="E28" i="20"/>
  <c r="E29" i="20"/>
  <c r="E30" i="20"/>
  <c r="E31" i="20"/>
  <c r="E32" i="20"/>
  <c r="E33" i="20"/>
  <c r="E34" i="20"/>
  <c r="E35" i="20"/>
  <c r="E36" i="20"/>
  <c r="E37" i="20"/>
  <c r="E38" i="20"/>
  <c r="E39" i="20"/>
  <c r="E40" i="20"/>
  <c r="E41" i="20"/>
  <c r="E42" i="20"/>
  <c r="E43" i="20"/>
  <c r="E44" i="20"/>
  <c r="E45" i="20"/>
  <c r="E6" i="20"/>
  <c r="B7" i="20"/>
  <c r="B8" i="20"/>
  <c r="B9" i="20"/>
  <c r="B10" i="20"/>
  <c r="B11" i="20"/>
  <c r="B12" i="20"/>
  <c r="B13" i="20"/>
  <c r="B14" i="20"/>
  <c r="B15" i="20"/>
  <c r="B16" i="20"/>
  <c r="B17" i="20"/>
  <c r="B18" i="20"/>
  <c r="B19" i="20"/>
  <c r="B20" i="20"/>
  <c r="B21" i="20"/>
  <c r="B22" i="20"/>
  <c r="B23" i="20"/>
  <c r="B24" i="20"/>
  <c r="B25" i="20"/>
  <c r="B26" i="20"/>
  <c r="B27" i="20"/>
  <c r="B28" i="20"/>
  <c r="B29" i="20"/>
  <c r="B30" i="20"/>
  <c r="B31" i="20"/>
  <c r="B32" i="20"/>
  <c r="B33" i="20"/>
  <c r="B34" i="20"/>
  <c r="B35" i="20"/>
  <c r="B36" i="20"/>
  <c r="B37" i="20"/>
  <c r="B38" i="20"/>
  <c r="B39" i="20"/>
  <c r="B40" i="20"/>
  <c r="B41" i="20"/>
  <c r="B42" i="20"/>
  <c r="B43" i="20"/>
  <c r="B44" i="20"/>
  <c r="B45" i="20"/>
  <c r="B6" i="20"/>
  <c r="A9" i="20"/>
  <c r="A7" i="20"/>
  <c r="A8" i="20"/>
  <c r="A10" i="20"/>
  <c r="A11" i="20"/>
  <c r="A12" i="20"/>
  <c r="A13" i="20"/>
  <c r="A14" i="20"/>
  <c r="A15" i="20"/>
  <c r="A16" i="20"/>
  <c r="A17" i="20"/>
  <c r="A18" i="20"/>
  <c r="A19" i="20"/>
  <c r="A20" i="20"/>
  <c r="A21" i="20"/>
  <c r="A22" i="20"/>
  <c r="A23" i="20"/>
  <c r="A24" i="20"/>
  <c r="A25" i="20"/>
  <c r="A26" i="20"/>
  <c r="A27" i="20"/>
  <c r="A28" i="20"/>
  <c r="A29" i="20"/>
  <c r="A30" i="20"/>
  <c r="A31" i="20"/>
  <c r="A32" i="20"/>
  <c r="A33" i="20"/>
  <c r="A34" i="20"/>
  <c r="A35" i="20"/>
  <c r="A36" i="20"/>
  <c r="A37" i="20"/>
  <c r="A38" i="20"/>
  <c r="A39" i="20"/>
  <c r="A40" i="20"/>
  <c r="A41" i="20"/>
  <c r="A42" i="20"/>
  <c r="A43" i="20"/>
  <c r="A44" i="20"/>
  <c r="A45" i="20"/>
  <c r="A6" i="20"/>
  <c r="C21" i="17"/>
  <c r="B23" i="17"/>
  <c r="C21" i="9"/>
  <c r="B23" i="9"/>
  <c r="B10" i="11"/>
  <c r="B9" i="11"/>
  <c r="B8" i="11"/>
  <c r="B7" i="11"/>
  <c r="B5" i="11"/>
  <c r="B4" i="11"/>
  <c r="B3" i="11"/>
  <c r="B2" i="11"/>
  <c r="A9" i="26"/>
  <c r="A10" i="26"/>
  <c r="A11" i="26"/>
  <c r="A12" i="26"/>
  <c r="A13" i="26"/>
  <c r="A14" i="26"/>
  <c r="A15" i="26"/>
  <c r="A16" i="26"/>
  <c r="A17" i="26"/>
  <c r="A18" i="26"/>
  <c r="A19" i="26"/>
  <c r="A20" i="26"/>
  <c r="A21" i="26"/>
  <c r="A22" i="26"/>
  <c r="A23" i="26"/>
  <c r="A24" i="26"/>
  <c r="A25" i="26"/>
  <c r="A26" i="26"/>
  <c r="A27" i="26"/>
  <c r="A28" i="26"/>
  <c r="A29" i="26"/>
  <c r="A30" i="26"/>
  <c r="A31" i="26"/>
  <c r="A32" i="26"/>
  <c r="A33" i="26"/>
  <c r="A34" i="26"/>
  <c r="A35" i="26"/>
  <c r="A36" i="26"/>
  <c r="A37" i="26"/>
  <c r="A38" i="26"/>
  <c r="A39" i="26"/>
  <c r="A40" i="26"/>
  <c r="A41" i="26"/>
  <c r="A42" i="26"/>
  <c r="A43" i="26"/>
  <c r="A44" i="26"/>
  <c r="A45" i="26"/>
  <c r="A46" i="26"/>
  <c r="A47" i="26"/>
  <c r="A48" i="26"/>
  <c r="A49" i="26"/>
  <c r="A50" i="26"/>
  <c r="A51" i="26"/>
  <c r="A52" i="26"/>
  <c r="A53" i="26"/>
  <c r="A54" i="26"/>
  <c r="A55" i="26"/>
  <c r="A56" i="26"/>
  <c r="A57" i="26"/>
  <c r="A58" i="26"/>
  <c r="A59" i="26"/>
  <c r="A60" i="26"/>
  <c r="A61" i="26"/>
  <c r="A62" i="26"/>
  <c r="A63" i="26"/>
  <c r="A64" i="26"/>
  <c r="A65" i="26"/>
  <c r="A66" i="26"/>
  <c r="A67" i="26"/>
  <c r="A68" i="26"/>
  <c r="A69" i="26"/>
  <c r="A70" i="26"/>
  <c r="A71" i="26"/>
  <c r="A72" i="26"/>
  <c r="A73" i="26"/>
  <c r="A74" i="26"/>
  <c r="A75" i="26"/>
  <c r="A76" i="26"/>
  <c r="A77" i="26"/>
  <c r="A78" i="26"/>
  <c r="A79" i="26"/>
  <c r="A80" i="26"/>
  <c r="A81" i="26"/>
  <c r="A82" i="26"/>
  <c r="A83" i="26"/>
  <c r="A84" i="26"/>
  <c r="A85" i="26"/>
  <c r="A86" i="26"/>
  <c r="A87" i="26"/>
  <c r="A88" i="26"/>
  <c r="A89" i="26"/>
  <c r="A90" i="26"/>
  <c r="A91" i="26"/>
  <c r="A92" i="26"/>
  <c r="A93" i="26"/>
  <c r="A94" i="26"/>
  <c r="A95" i="26"/>
  <c r="A96" i="26"/>
  <c r="A97" i="26"/>
  <c r="A98" i="26"/>
  <c r="A99" i="26"/>
  <c r="A100" i="26"/>
  <c r="A101" i="26"/>
  <c r="A102" i="26"/>
  <c r="A103" i="26"/>
  <c r="A104" i="26"/>
  <c r="A105" i="26"/>
  <c r="A106" i="26"/>
  <c r="A107" i="26"/>
  <c r="A108" i="26"/>
  <c r="A109" i="26"/>
  <c r="A110" i="26"/>
  <c r="A111" i="26"/>
  <c r="A112" i="26"/>
  <c r="A113" i="26"/>
  <c r="A114" i="26"/>
  <c r="A115" i="26"/>
  <c r="A116" i="26"/>
  <c r="A117" i="26"/>
  <c r="A118" i="26"/>
  <c r="A119" i="26"/>
  <c r="A120" i="26"/>
  <c r="A121" i="26"/>
  <c r="A122" i="26"/>
  <c r="A123" i="26"/>
  <c r="A124" i="26"/>
  <c r="A125" i="26"/>
  <c r="A126" i="26"/>
  <c r="A127" i="26"/>
  <c r="A128" i="26"/>
  <c r="A129" i="26"/>
  <c r="A130" i="26"/>
  <c r="A131" i="26"/>
  <c r="A132" i="26"/>
  <c r="A133" i="26"/>
  <c r="A134" i="26"/>
  <c r="A135" i="26"/>
  <c r="A136" i="26"/>
  <c r="A137" i="26"/>
  <c r="A138" i="26"/>
  <c r="A139" i="26"/>
  <c r="A140" i="26"/>
  <c r="A141" i="26"/>
  <c r="A142" i="26"/>
  <c r="A143" i="26"/>
  <c r="A144" i="26"/>
  <c r="A145" i="26"/>
  <c r="A146" i="26"/>
  <c r="A147" i="26"/>
  <c r="A148" i="26"/>
  <c r="A149" i="26"/>
  <c r="A150" i="26"/>
  <c r="A151" i="26"/>
  <c r="A152" i="26"/>
  <c r="A153" i="26"/>
  <c r="A154" i="26"/>
  <c r="A155" i="26"/>
  <c r="A156" i="26"/>
  <c r="A157" i="26"/>
  <c r="A158" i="26"/>
  <c r="A159" i="26"/>
  <c r="A160" i="26"/>
  <c r="A161" i="26"/>
  <c r="A162" i="26"/>
  <c r="A163" i="26"/>
  <c r="A164" i="26"/>
  <c r="A165" i="26"/>
  <c r="A166" i="26"/>
  <c r="A167" i="26"/>
  <c r="A168" i="26"/>
  <c r="A169" i="26"/>
  <c r="A170" i="26"/>
  <c r="A171" i="26"/>
  <c r="A172" i="26"/>
  <c r="A173" i="26"/>
  <c r="A174" i="26"/>
  <c r="A175" i="26"/>
  <c r="A176" i="26"/>
  <c r="A177" i="26"/>
  <c r="A178" i="26"/>
  <c r="A179" i="26"/>
  <c r="A180" i="26"/>
  <c r="A181" i="26"/>
  <c r="A182" i="26"/>
  <c r="A183" i="26"/>
  <c r="A184" i="26"/>
  <c r="A185" i="26"/>
  <c r="A186" i="26"/>
  <c r="A187" i="26"/>
  <c r="A188" i="26"/>
  <c r="A189" i="26"/>
  <c r="A190" i="26"/>
  <c r="A191" i="26"/>
  <c r="A192" i="26"/>
  <c r="A193" i="26"/>
  <c r="A194" i="26"/>
  <c r="A195" i="26"/>
  <c r="A196" i="26"/>
  <c r="A197" i="26"/>
  <c r="A198" i="26"/>
  <c r="A199" i="26"/>
  <c r="A200" i="26"/>
  <c r="A201" i="26"/>
  <c r="A202" i="26"/>
  <c r="A203" i="26"/>
  <c r="A204" i="26"/>
  <c r="A205" i="26"/>
  <c r="A206" i="26"/>
  <c r="A207" i="26"/>
  <c r="A208" i="26"/>
  <c r="A209" i="26"/>
  <c r="A210" i="26"/>
  <c r="A211" i="26"/>
  <c r="A212" i="26"/>
  <c r="A213" i="26"/>
  <c r="A214" i="26"/>
  <c r="A215" i="26"/>
  <c r="A216" i="26"/>
  <c r="A217" i="26"/>
  <c r="A218" i="26"/>
  <c r="A219" i="26"/>
  <c r="A220" i="26"/>
  <c r="A221" i="26"/>
  <c r="A222" i="26"/>
  <c r="A223" i="26"/>
  <c r="A224" i="26"/>
  <c r="A225" i="26"/>
  <c r="A226" i="26"/>
  <c r="A227" i="26"/>
  <c r="A228" i="26"/>
  <c r="A229" i="26"/>
  <c r="A230" i="26"/>
  <c r="A231" i="26"/>
  <c r="A232" i="26"/>
  <c r="A233" i="26"/>
  <c r="A234" i="26"/>
  <c r="A235" i="26"/>
  <c r="A236" i="26"/>
  <c r="A237" i="26"/>
  <c r="A238" i="26"/>
  <c r="A239" i="26"/>
  <c r="A240" i="26"/>
  <c r="A241" i="26"/>
  <c r="A242" i="26"/>
  <c r="A243" i="26"/>
  <c r="A244" i="26"/>
  <c r="A245" i="26"/>
  <c r="A246" i="26"/>
  <c r="A247" i="26"/>
  <c r="A248" i="26"/>
  <c r="A249" i="26"/>
  <c r="A250" i="26"/>
  <c r="A251" i="26"/>
  <c r="A252" i="26"/>
  <c r="A253" i="26"/>
  <c r="A254" i="26"/>
  <c r="A255" i="26"/>
  <c r="A256" i="26"/>
  <c r="A257" i="26"/>
  <c r="A258" i="26"/>
  <c r="A259" i="26"/>
  <c r="A260" i="26"/>
  <c r="A261" i="26"/>
  <c r="A262" i="26"/>
  <c r="A263" i="26"/>
  <c r="A264" i="26"/>
  <c r="A265" i="26"/>
  <c r="A266" i="26"/>
  <c r="A267" i="26"/>
  <c r="A268" i="26"/>
  <c r="A269" i="26"/>
  <c r="A270" i="26"/>
  <c r="A271" i="26"/>
  <c r="A272" i="26"/>
  <c r="A273" i="26"/>
  <c r="A274" i="26"/>
  <c r="A275" i="26"/>
  <c r="A276" i="26"/>
  <c r="A277" i="26"/>
  <c r="A278" i="26"/>
  <c r="A279" i="26"/>
  <c r="A280" i="26"/>
  <c r="A281" i="26"/>
  <c r="A282" i="26"/>
  <c r="A283" i="26"/>
  <c r="A284" i="26"/>
  <c r="A285" i="26"/>
  <c r="A286" i="26"/>
  <c r="A287" i="26"/>
  <c r="A288" i="26"/>
  <c r="A289" i="26"/>
  <c r="A290" i="26"/>
  <c r="A291" i="26"/>
  <c r="A292" i="26"/>
  <c r="A293" i="26"/>
  <c r="A294" i="26"/>
  <c r="A295" i="26"/>
  <c r="A296" i="26"/>
  <c r="A297" i="26"/>
  <c r="A298" i="26"/>
  <c r="A299" i="26"/>
  <c r="A300" i="26"/>
  <c r="A301" i="26"/>
  <c r="A302" i="26"/>
  <c r="A303" i="26"/>
  <c r="A304" i="26"/>
  <c r="A305" i="26"/>
  <c r="A306" i="26"/>
  <c r="A307" i="26"/>
  <c r="A308" i="26"/>
  <c r="A309" i="26"/>
  <c r="A310" i="26"/>
  <c r="A311" i="26"/>
  <c r="A312" i="26"/>
  <c r="A313" i="26"/>
  <c r="A314" i="26"/>
  <c r="A315" i="26"/>
  <c r="A316" i="26"/>
  <c r="A317" i="26"/>
  <c r="A318" i="26"/>
  <c r="A319" i="26"/>
  <c r="A320" i="26"/>
  <c r="A321" i="26"/>
  <c r="A322" i="26"/>
  <c r="A323" i="26"/>
  <c r="A324" i="26"/>
  <c r="A325" i="26"/>
  <c r="A326" i="26"/>
  <c r="A327" i="26"/>
  <c r="A328" i="26"/>
  <c r="A329" i="26"/>
  <c r="A330" i="26"/>
  <c r="A331" i="26"/>
  <c r="A332" i="26"/>
  <c r="A333" i="26"/>
  <c r="A334" i="26"/>
  <c r="A335" i="26"/>
  <c r="A336" i="26"/>
  <c r="A337" i="26"/>
  <c r="A338" i="26"/>
  <c r="A339" i="26"/>
  <c r="A340" i="26"/>
  <c r="A341" i="26"/>
  <c r="A342" i="26"/>
  <c r="A343" i="26"/>
  <c r="A344" i="26"/>
  <c r="A345" i="26"/>
  <c r="A346" i="26"/>
  <c r="A347" i="26"/>
  <c r="A348" i="26"/>
  <c r="A349" i="26"/>
  <c r="A350" i="26"/>
  <c r="A351" i="26"/>
  <c r="A352" i="26"/>
  <c r="A353" i="26"/>
  <c r="A354" i="26"/>
  <c r="A355" i="26"/>
  <c r="A356" i="26"/>
  <c r="A357" i="26"/>
  <c r="A358" i="26"/>
  <c r="A359" i="26"/>
  <c r="A360" i="26"/>
  <c r="A361" i="26"/>
  <c r="A362" i="26"/>
  <c r="A363" i="26"/>
  <c r="A364" i="26"/>
  <c r="A365" i="26"/>
  <c r="A366" i="26"/>
  <c r="A367" i="26"/>
  <c r="A368" i="26"/>
  <c r="A369" i="26"/>
  <c r="A370" i="26"/>
  <c r="A371" i="26"/>
  <c r="A372" i="26"/>
  <c r="A373" i="26"/>
  <c r="A374" i="26"/>
  <c r="A375" i="26"/>
  <c r="A376" i="26"/>
  <c r="A377" i="26"/>
  <c r="A378" i="26"/>
  <c r="A379" i="26"/>
  <c r="A380" i="26"/>
  <c r="A381" i="26"/>
  <c r="A382" i="26"/>
  <c r="A383" i="26"/>
  <c r="A384" i="26"/>
  <c r="A385" i="26"/>
  <c r="A386" i="26"/>
  <c r="A387" i="26"/>
  <c r="A388" i="26"/>
  <c r="A389" i="26"/>
  <c r="A390" i="26"/>
  <c r="A391" i="26"/>
  <c r="A392" i="26"/>
  <c r="A393" i="26"/>
  <c r="A394" i="26"/>
  <c r="A395" i="26"/>
  <c r="A396" i="26"/>
  <c r="A397" i="26"/>
  <c r="A398" i="26"/>
  <c r="A399" i="26"/>
  <c r="A400" i="26"/>
  <c r="A401" i="26"/>
  <c r="A402" i="26"/>
  <c r="A403" i="26"/>
  <c r="A404" i="26"/>
  <c r="A405" i="26"/>
  <c r="A406" i="26"/>
  <c r="A407" i="26"/>
  <c r="A408" i="26"/>
  <c r="A409" i="26"/>
  <c r="A410" i="26"/>
  <c r="A411" i="26"/>
  <c r="A412" i="26"/>
  <c r="A413" i="26"/>
  <c r="A414" i="26"/>
  <c r="A415" i="26"/>
  <c r="A416" i="26"/>
  <c r="A417" i="26"/>
  <c r="A418" i="26"/>
  <c r="A419" i="26"/>
  <c r="A420" i="26"/>
  <c r="A421" i="26"/>
  <c r="A422" i="26"/>
  <c r="A423" i="26"/>
  <c r="A424" i="26"/>
  <c r="A425" i="26"/>
  <c r="A426" i="26"/>
  <c r="A427" i="26"/>
  <c r="A428" i="26"/>
  <c r="A429" i="26"/>
  <c r="A430" i="26"/>
  <c r="A431" i="26"/>
  <c r="A432" i="26"/>
  <c r="A433" i="26"/>
  <c r="A434" i="26"/>
  <c r="A435" i="26"/>
  <c r="A436" i="26"/>
  <c r="A437" i="26"/>
  <c r="A438" i="26"/>
  <c r="A439" i="26"/>
  <c r="A440" i="26"/>
  <c r="A441" i="26"/>
  <c r="A442" i="26"/>
  <c r="A443" i="26"/>
  <c r="A444" i="26"/>
  <c r="A445" i="26"/>
  <c r="A446" i="26"/>
  <c r="A447" i="26"/>
  <c r="A448" i="26"/>
  <c r="A449" i="26"/>
  <c r="A450" i="26"/>
  <c r="A451" i="26"/>
  <c r="A452" i="26"/>
  <c r="A453" i="26"/>
  <c r="A454" i="26"/>
  <c r="A455" i="26"/>
  <c r="A456" i="26"/>
  <c r="A457" i="26"/>
  <c r="A458" i="26"/>
  <c r="A459" i="26"/>
  <c r="A460" i="26"/>
  <c r="A461" i="26"/>
  <c r="A462" i="26"/>
  <c r="A463" i="26"/>
  <c r="A464" i="26"/>
  <c r="A465" i="26"/>
  <c r="A466" i="26"/>
  <c r="A467" i="26"/>
  <c r="A468" i="26"/>
  <c r="A469" i="26"/>
  <c r="A470" i="26"/>
  <c r="A471" i="26"/>
  <c r="A472" i="26"/>
  <c r="A473" i="26"/>
  <c r="A474" i="26"/>
  <c r="A475" i="26"/>
  <c r="A476" i="26"/>
  <c r="A477" i="26"/>
  <c r="A478" i="26"/>
  <c r="A479" i="26"/>
  <c r="A480" i="26"/>
  <c r="A481" i="26"/>
  <c r="A482" i="26"/>
  <c r="A483" i="26"/>
  <c r="A484" i="26"/>
  <c r="A485" i="26"/>
  <c r="A486" i="26"/>
  <c r="A487" i="26"/>
  <c r="A488" i="26"/>
  <c r="A489" i="26"/>
  <c r="A490" i="26"/>
  <c r="A491" i="26"/>
  <c r="A492" i="26"/>
  <c r="A493" i="26"/>
  <c r="A494" i="26"/>
  <c r="A495" i="26"/>
  <c r="A496" i="26"/>
  <c r="A8" i="26"/>
  <c r="A3" i="25"/>
  <c r="A4" i="25"/>
  <c r="A5" i="25"/>
  <c r="A6" i="25"/>
  <c r="A7" i="25"/>
  <c r="A8" i="25"/>
  <c r="A9" i="25"/>
  <c r="A10" i="25"/>
  <c r="A11" i="25"/>
  <c r="A12" i="25"/>
  <c r="A13" i="25"/>
  <c r="A14" i="25"/>
  <c r="A15" i="25"/>
  <c r="A16" i="25"/>
  <c r="A17" i="25"/>
  <c r="A18" i="25"/>
  <c r="A19" i="25"/>
  <c r="A20" i="25"/>
  <c r="A21" i="25"/>
  <c r="A22" i="25"/>
  <c r="A23" i="25"/>
  <c r="A24" i="25"/>
  <c r="A25" i="25"/>
  <c r="A26" i="25"/>
  <c r="A27" i="25"/>
  <c r="A28" i="25"/>
  <c r="A29" i="25"/>
  <c r="A30" i="25"/>
  <c r="A31" i="25"/>
  <c r="A32" i="25"/>
  <c r="A33" i="25"/>
  <c r="A34" i="25"/>
  <c r="A35" i="25"/>
  <c r="A36" i="25"/>
  <c r="A37" i="25"/>
  <c r="A38" i="25"/>
  <c r="A39" i="25"/>
  <c r="A40" i="25"/>
  <c r="A41" i="25"/>
  <c r="A42" i="25"/>
  <c r="A43" i="25"/>
  <c r="A44" i="25"/>
  <c r="A45" i="25"/>
  <c r="A46" i="25"/>
  <c r="A47" i="25"/>
  <c r="A48" i="25"/>
  <c r="A49" i="25"/>
  <c r="A50" i="25"/>
  <c r="A51" i="25"/>
  <c r="A52" i="25"/>
  <c r="A53" i="25"/>
  <c r="A54" i="25"/>
  <c r="A55" i="25"/>
  <c r="A56" i="25"/>
  <c r="A57" i="25"/>
  <c r="A58" i="25"/>
  <c r="A59" i="25"/>
  <c r="A60" i="25"/>
  <c r="A61" i="25"/>
  <c r="A62" i="25"/>
  <c r="A63" i="25"/>
  <c r="A64" i="25"/>
  <c r="A65" i="25"/>
  <c r="A66" i="25"/>
  <c r="A67" i="25"/>
  <c r="A68" i="25"/>
  <c r="A69" i="25"/>
  <c r="A70" i="25"/>
  <c r="A71" i="25"/>
  <c r="A72" i="25"/>
  <c r="A73" i="25"/>
  <c r="A74" i="25"/>
  <c r="A75" i="25"/>
  <c r="A76" i="25"/>
  <c r="A77" i="25"/>
  <c r="A78" i="25"/>
  <c r="A79" i="25"/>
  <c r="A80" i="25"/>
  <c r="A81" i="25"/>
  <c r="A82" i="25"/>
  <c r="A83" i="25"/>
  <c r="A84" i="25"/>
  <c r="A85" i="25"/>
  <c r="A86" i="25"/>
  <c r="A87" i="25"/>
  <c r="A88" i="25"/>
  <c r="A89" i="25"/>
  <c r="A90" i="25"/>
  <c r="A91" i="25"/>
  <c r="A92" i="25"/>
  <c r="A93" i="25"/>
  <c r="A94" i="25"/>
  <c r="A95" i="25"/>
  <c r="A96" i="25"/>
  <c r="A97" i="25"/>
  <c r="A98" i="25"/>
  <c r="A99" i="25"/>
  <c r="A100" i="25"/>
  <c r="A101" i="25"/>
  <c r="A102" i="25"/>
  <c r="A103" i="25"/>
  <c r="A104" i="25"/>
  <c r="A105" i="25"/>
  <c r="A106" i="25"/>
  <c r="A107" i="25"/>
  <c r="A108" i="25"/>
  <c r="A109" i="25"/>
  <c r="A110" i="25"/>
  <c r="A111" i="25"/>
  <c r="A112" i="25"/>
  <c r="A113" i="25"/>
  <c r="A114" i="25"/>
  <c r="A115" i="25"/>
  <c r="A116" i="25"/>
  <c r="A117" i="25"/>
  <c r="A118" i="25"/>
  <c r="A119" i="25"/>
  <c r="A120" i="25"/>
  <c r="A121" i="25"/>
  <c r="A122" i="25"/>
  <c r="A123" i="25"/>
  <c r="A124" i="25"/>
  <c r="A125" i="25"/>
  <c r="A126" i="25"/>
  <c r="A127" i="25"/>
  <c r="A128" i="25"/>
  <c r="A129" i="25"/>
  <c r="A130" i="25"/>
  <c r="A131" i="25"/>
  <c r="A132" i="25"/>
  <c r="A133" i="25"/>
  <c r="A134" i="25"/>
  <c r="A135" i="25"/>
  <c r="A136" i="25"/>
  <c r="A137" i="25"/>
  <c r="A138" i="25"/>
  <c r="A139" i="25"/>
  <c r="A140" i="25"/>
  <c r="A141" i="25"/>
  <c r="A142" i="25"/>
  <c r="A143" i="25"/>
  <c r="A144" i="25"/>
  <c r="A145" i="25"/>
  <c r="A146" i="25"/>
  <c r="A147" i="25"/>
  <c r="A148" i="25"/>
  <c r="A149" i="25"/>
  <c r="A150" i="25"/>
  <c r="A151" i="25"/>
  <c r="A152" i="25"/>
  <c r="A153" i="25"/>
  <c r="A154" i="25"/>
  <c r="A155" i="25"/>
  <c r="A156" i="25"/>
  <c r="A157" i="25"/>
  <c r="A158" i="25"/>
  <c r="A159" i="25"/>
  <c r="A160" i="25"/>
  <c r="A161" i="25"/>
  <c r="A162" i="25"/>
  <c r="A163" i="25"/>
  <c r="A164" i="25"/>
  <c r="A165" i="25"/>
  <c r="A166" i="25"/>
  <c r="A167" i="25"/>
  <c r="A168" i="25"/>
  <c r="A169" i="25"/>
  <c r="A170" i="25"/>
  <c r="A171" i="25"/>
  <c r="A172" i="25"/>
  <c r="A173" i="25"/>
  <c r="A174" i="25"/>
  <c r="A175" i="25"/>
  <c r="A176" i="25"/>
  <c r="A177" i="25"/>
  <c r="A178" i="25"/>
  <c r="A179" i="25"/>
  <c r="A180" i="25"/>
  <c r="A181" i="25"/>
  <c r="A182" i="25"/>
  <c r="A183" i="25"/>
  <c r="A184" i="25"/>
  <c r="A185" i="25"/>
  <c r="A186" i="25"/>
  <c r="A187" i="25"/>
  <c r="A188" i="25"/>
  <c r="A189" i="25"/>
  <c r="A190" i="25"/>
  <c r="A191" i="25"/>
  <c r="A192" i="25"/>
  <c r="A193" i="25"/>
  <c r="A194" i="25"/>
  <c r="A195" i="25"/>
  <c r="A196" i="25"/>
  <c r="A197" i="25"/>
  <c r="A198" i="25"/>
  <c r="A199" i="25"/>
  <c r="A200" i="25"/>
  <c r="A201" i="25"/>
  <c r="A202" i="25"/>
  <c r="A203" i="25"/>
  <c r="A204" i="25"/>
  <c r="A205" i="25"/>
  <c r="A206" i="25"/>
  <c r="A207" i="25"/>
  <c r="A208" i="25"/>
  <c r="A209" i="25"/>
  <c r="A210" i="25"/>
  <c r="A211" i="25"/>
  <c r="A212" i="25"/>
  <c r="A213" i="25"/>
  <c r="A214" i="25"/>
  <c r="A215" i="25"/>
  <c r="A216" i="25"/>
  <c r="A217" i="25"/>
  <c r="A218" i="25"/>
  <c r="A219" i="25"/>
  <c r="A220" i="25"/>
  <c r="A221" i="25"/>
  <c r="A222" i="25"/>
  <c r="A223" i="25"/>
  <c r="A224" i="25"/>
  <c r="A225" i="25"/>
  <c r="A226" i="25"/>
  <c r="A227" i="25"/>
  <c r="A228" i="25"/>
  <c r="A229" i="25"/>
  <c r="A230" i="25"/>
  <c r="A231" i="25"/>
  <c r="A232" i="25"/>
  <c r="A233" i="25"/>
  <c r="A234" i="25"/>
  <c r="A235" i="25"/>
  <c r="A236" i="25"/>
  <c r="A237" i="25"/>
  <c r="A238" i="25"/>
  <c r="A239" i="25"/>
  <c r="A240" i="25"/>
  <c r="A241" i="25"/>
  <c r="A242" i="25"/>
  <c r="A243" i="25"/>
  <c r="A244" i="25"/>
  <c r="A245" i="25"/>
  <c r="A246" i="25"/>
  <c r="A247" i="25"/>
  <c r="A248" i="25"/>
  <c r="A249" i="25"/>
  <c r="A250" i="25"/>
  <c r="A251" i="25"/>
  <c r="A252" i="25"/>
  <c r="A253" i="25"/>
  <c r="A254" i="25"/>
  <c r="A255" i="25"/>
  <c r="A256" i="25"/>
  <c r="A257" i="25"/>
  <c r="A258" i="25"/>
  <c r="A259" i="25"/>
  <c r="A260" i="25"/>
  <c r="A261" i="25"/>
  <c r="A262" i="25"/>
  <c r="A263" i="25"/>
  <c r="A264" i="25"/>
  <c r="A265" i="25"/>
  <c r="A266" i="25"/>
  <c r="A267" i="25"/>
  <c r="A268" i="25"/>
  <c r="A269" i="25"/>
  <c r="A270" i="25"/>
  <c r="A271" i="25"/>
  <c r="A272" i="25"/>
  <c r="A273" i="25"/>
  <c r="A274" i="25"/>
  <c r="A275" i="25"/>
  <c r="A276" i="25"/>
  <c r="A277" i="25"/>
  <c r="A278" i="25"/>
  <c r="A279" i="25"/>
  <c r="A280" i="25"/>
  <c r="A281" i="25"/>
  <c r="A282" i="25"/>
  <c r="A283" i="25"/>
  <c r="A284" i="25"/>
  <c r="A285" i="25"/>
  <c r="A286" i="25"/>
  <c r="A287" i="25"/>
  <c r="A288" i="25"/>
  <c r="A289" i="25"/>
  <c r="A290" i="25"/>
  <c r="A291" i="25"/>
  <c r="A292" i="25"/>
  <c r="A293" i="25"/>
  <c r="A294" i="25"/>
  <c r="A295" i="25"/>
  <c r="A296" i="25"/>
  <c r="A297" i="25"/>
  <c r="A298" i="25"/>
  <c r="A299" i="25"/>
  <c r="A300" i="25"/>
  <c r="A301" i="25"/>
  <c r="A302" i="25"/>
  <c r="A303" i="25"/>
  <c r="A304" i="25"/>
  <c r="A305" i="25"/>
  <c r="A306" i="25"/>
  <c r="A307" i="25"/>
  <c r="A308" i="25"/>
  <c r="A309" i="25"/>
  <c r="A310" i="25"/>
  <c r="A311" i="25"/>
  <c r="A312" i="25"/>
  <c r="A313" i="25"/>
  <c r="A314" i="25"/>
  <c r="A315" i="25"/>
  <c r="A316" i="25"/>
  <c r="A317" i="25"/>
  <c r="A318" i="25"/>
  <c r="A319" i="25"/>
  <c r="A320" i="25"/>
  <c r="A321" i="25"/>
  <c r="A322" i="25"/>
  <c r="A323" i="25"/>
  <c r="A324" i="25"/>
  <c r="A325" i="25"/>
  <c r="A326" i="25"/>
  <c r="A327" i="25"/>
  <c r="A328" i="25"/>
  <c r="A329" i="25"/>
  <c r="A330" i="25"/>
  <c r="A331" i="25"/>
  <c r="A332" i="25"/>
  <c r="A333" i="25"/>
  <c r="A334" i="25"/>
  <c r="A335" i="25"/>
  <c r="A336" i="25"/>
  <c r="A337" i="25"/>
  <c r="A338" i="25"/>
  <c r="A339" i="25"/>
  <c r="A340" i="25"/>
  <c r="A341" i="25"/>
  <c r="A342" i="25"/>
  <c r="A343" i="25"/>
  <c r="A344" i="25"/>
  <c r="A345" i="25"/>
  <c r="A346" i="25"/>
  <c r="A347" i="25"/>
  <c r="A348" i="25"/>
  <c r="A349" i="25"/>
  <c r="A350" i="25"/>
  <c r="A351" i="25"/>
  <c r="A352" i="25"/>
  <c r="A353" i="25"/>
  <c r="A354" i="25"/>
  <c r="A355" i="25"/>
  <c r="A356" i="25"/>
  <c r="A357" i="25"/>
  <c r="A358" i="25"/>
  <c r="A359" i="25"/>
  <c r="A360" i="25"/>
  <c r="A361" i="25"/>
  <c r="A362" i="25"/>
  <c r="A363" i="25"/>
  <c r="A364" i="25"/>
  <c r="A365" i="25"/>
  <c r="A366" i="25"/>
  <c r="A367" i="25"/>
  <c r="A368" i="25"/>
  <c r="A369" i="25"/>
  <c r="A370" i="25"/>
  <c r="A371" i="25"/>
  <c r="A372" i="25"/>
  <c r="A373" i="25"/>
  <c r="A374" i="25"/>
  <c r="A375" i="25"/>
  <c r="A376" i="25"/>
  <c r="A377" i="25"/>
  <c r="A378" i="25"/>
  <c r="A379" i="25"/>
  <c r="A380" i="25"/>
  <c r="A381" i="25"/>
  <c r="A382" i="25"/>
  <c r="A383" i="25"/>
  <c r="A384" i="25"/>
  <c r="A385" i="25"/>
  <c r="A386" i="25"/>
  <c r="A387" i="25"/>
  <c r="A388" i="25"/>
  <c r="A389" i="25"/>
  <c r="A390" i="25"/>
  <c r="A391" i="25"/>
  <c r="A392" i="25"/>
  <c r="A393" i="25"/>
  <c r="A394" i="25"/>
  <c r="A395" i="25"/>
  <c r="A396" i="25"/>
  <c r="A397" i="25"/>
  <c r="A398" i="25"/>
  <c r="A399" i="25"/>
  <c r="A400" i="25"/>
  <c r="A401" i="25"/>
  <c r="A402" i="25"/>
  <c r="A403" i="25"/>
  <c r="A404" i="25"/>
  <c r="A405" i="25"/>
  <c r="A406" i="25"/>
  <c r="A407" i="25"/>
  <c r="A408" i="25"/>
  <c r="A409" i="25"/>
  <c r="A410" i="25"/>
  <c r="A411" i="25"/>
  <c r="A412" i="25"/>
  <c r="A413" i="25"/>
  <c r="A414" i="25"/>
  <c r="A415" i="25"/>
  <c r="A416" i="25"/>
  <c r="A417" i="25"/>
  <c r="A418" i="25"/>
  <c r="A419" i="25"/>
  <c r="A420" i="25"/>
  <c r="A421" i="25"/>
  <c r="A422" i="25"/>
  <c r="A423" i="25"/>
  <c r="A424" i="25"/>
  <c r="A425" i="25"/>
  <c r="A426" i="25"/>
  <c r="A427" i="25"/>
  <c r="A428" i="25"/>
  <c r="A429" i="25"/>
  <c r="A430" i="25"/>
  <c r="A431" i="25"/>
  <c r="A432" i="25"/>
  <c r="A433" i="25"/>
  <c r="A434" i="25"/>
  <c r="A435" i="25"/>
  <c r="A436" i="25"/>
  <c r="A437" i="25"/>
  <c r="A438" i="25"/>
  <c r="A439" i="25"/>
  <c r="A440" i="25"/>
  <c r="A441" i="25"/>
  <c r="A442" i="25"/>
  <c r="A443" i="25"/>
  <c r="A444" i="25"/>
  <c r="A445" i="25"/>
  <c r="A446" i="25"/>
  <c r="A447" i="25"/>
  <c r="A448" i="25"/>
  <c r="A449" i="25"/>
  <c r="A450" i="25"/>
  <c r="A451" i="25"/>
  <c r="A452" i="25"/>
  <c r="A2" i="25"/>
  <c r="A3" i="24"/>
  <c r="A4" i="24"/>
  <c r="A5" i="24"/>
  <c r="A6" i="24"/>
  <c r="A7" i="24"/>
  <c r="A8" i="24"/>
  <c r="A9" i="24"/>
  <c r="A10" i="24"/>
  <c r="A11" i="24"/>
  <c r="A12" i="24"/>
  <c r="A13" i="24"/>
  <c r="A14" i="24"/>
  <c r="A15" i="24"/>
  <c r="A16" i="24"/>
  <c r="A17" i="24"/>
  <c r="A18" i="24"/>
  <c r="A19" i="24"/>
  <c r="A20" i="24"/>
  <c r="A21" i="24"/>
  <c r="A22" i="24"/>
  <c r="A23" i="24"/>
  <c r="A24" i="24"/>
  <c r="A25" i="24"/>
  <c r="A26" i="24"/>
  <c r="A27" i="24"/>
  <c r="A28" i="24"/>
  <c r="A29" i="24"/>
  <c r="A30" i="24"/>
  <c r="A31" i="24"/>
  <c r="A32" i="24"/>
  <c r="A33" i="24"/>
  <c r="A34" i="24"/>
  <c r="A35" i="24"/>
  <c r="A36" i="24"/>
  <c r="A37" i="24"/>
  <c r="A38" i="24"/>
  <c r="A39" i="24"/>
  <c r="A40" i="24"/>
  <c r="A41" i="24"/>
  <c r="A42" i="24"/>
  <c r="A43" i="24"/>
  <c r="A44" i="24"/>
  <c r="A45" i="24"/>
  <c r="A46" i="24"/>
  <c r="A47" i="24"/>
  <c r="A48" i="24"/>
  <c r="A49" i="24"/>
  <c r="A50" i="24"/>
  <c r="A51" i="24"/>
  <c r="A52" i="24"/>
  <c r="A53" i="24"/>
  <c r="A54" i="24"/>
  <c r="A55" i="24"/>
  <c r="A56" i="24"/>
  <c r="A57" i="24"/>
  <c r="A58" i="24"/>
  <c r="A59" i="24"/>
  <c r="A60" i="24"/>
  <c r="A61" i="24"/>
  <c r="A62" i="24"/>
  <c r="A63" i="24"/>
  <c r="A64" i="24"/>
  <c r="A65" i="24"/>
  <c r="A66" i="24"/>
  <c r="A67" i="24"/>
  <c r="A68" i="24"/>
  <c r="A69" i="24"/>
  <c r="A70" i="24"/>
  <c r="A71" i="24"/>
  <c r="A72" i="24"/>
  <c r="A73" i="24"/>
  <c r="A74" i="24"/>
  <c r="A75" i="24"/>
  <c r="A76" i="24"/>
  <c r="A77" i="24"/>
  <c r="A78" i="24"/>
  <c r="A79" i="24"/>
  <c r="A80" i="24"/>
  <c r="A81" i="24"/>
  <c r="A82" i="24"/>
  <c r="A83" i="24"/>
  <c r="A84" i="24"/>
  <c r="A85" i="24"/>
  <c r="A86" i="24"/>
  <c r="A87" i="24"/>
  <c r="A88" i="24"/>
  <c r="A89" i="24"/>
  <c r="A90" i="24"/>
  <c r="A91" i="24"/>
  <c r="A92" i="24"/>
  <c r="A93" i="24"/>
  <c r="A94" i="24"/>
  <c r="A95" i="24"/>
  <c r="A96" i="24"/>
  <c r="A97" i="24"/>
  <c r="A98" i="24"/>
  <c r="A99" i="24"/>
  <c r="A100" i="24"/>
  <c r="A101" i="24"/>
  <c r="A102" i="24"/>
  <c r="A103" i="24"/>
  <c r="A104" i="24"/>
  <c r="A105" i="24"/>
  <c r="A106" i="24"/>
  <c r="A107" i="24"/>
  <c r="A108" i="24"/>
  <c r="A109" i="24"/>
  <c r="A110" i="24"/>
  <c r="A111" i="24"/>
  <c r="A112" i="24"/>
  <c r="A113" i="24"/>
  <c r="A114" i="24"/>
  <c r="A115" i="24"/>
  <c r="A116" i="24"/>
  <c r="A117" i="24"/>
  <c r="A118" i="24"/>
  <c r="A119" i="24"/>
  <c r="A120" i="24"/>
  <c r="A121" i="24"/>
  <c r="A122" i="24"/>
  <c r="A123" i="24"/>
  <c r="A124" i="24"/>
  <c r="A125" i="24"/>
  <c r="A126" i="24"/>
  <c r="A127" i="24"/>
  <c r="A128" i="24"/>
  <c r="A129" i="24"/>
  <c r="A130" i="24"/>
  <c r="A131" i="24"/>
  <c r="A132" i="24"/>
  <c r="A133" i="24"/>
  <c r="A134" i="24"/>
  <c r="A135" i="24"/>
  <c r="A136" i="24"/>
  <c r="A137" i="24"/>
  <c r="A138" i="24"/>
  <c r="A139" i="24"/>
  <c r="A140" i="24"/>
  <c r="A141" i="24"/>
  <c r="A142" i="24"/>
  <c r="A143" i="24"/>
  <c r="A144" i="24"/>
  <c r="A145" i="24"/>
  <c r="A146" i="24"/>
  <c r="A147" i="24"/>
  <c r="A148" i="24"/>
  <c r="A149" i="24"/>
  <c r="A150" i="24"/>
  <c r="A151" i="24"/>
  <c r="A152" i="24"/>
  <c r="A153" i="24"/>
  <c r="A154" i="24"/>
  <c r="A155" i="24"/>
  <c r="A156" i="24"/>
  <c r="A157" i="24"/>
  <c r="A158" i="24"/>
  <c r="A159" i="24"/>
  <c r="A160" i="24"/>
  <c r="A161" i="24"/>
  <c r="A162" i="24"/>
  <c r="A163" i="24"/>
  <c r="A164" i="24"/>
  <c r="A165" i="24"/>
  <c r="A166" i="24"/>
  <c r="A167" i="24"/>
  <c r="A168" i="24"/>
  <c r="A169" i="24"/>
  <c r="A170" i="24"/>
  <c r="A171" i="24"/>
  <c r="A172" i="24"/>
  <c r="A173" i="24"/>
  <c r="A174" i="24"/>
  <c r="A175" i="24"/>
  <c r="A176" i="24"/>
  <c r="A177" i="24"/>
  <c r="A178" i="24"/>
  <c r="A179" i="24"/>
  <c r="A180" i="24"/>
  <c r="A181" i="24"/>
  <c r="A182" i="24"/>
  <c r="A183" i="24"/>
  <c r="A184" i="24"/>
  <c r="A185" i="24"/>
  <c r="A186" i="24"/>
  <c r="A187" i="24"/>
  <c r="A188" i="24"/>
  <c r="A189" i="24"/>
  <c r="A190" i="24"/>
  <c r="A191" i="24"/>
  <c r="A192" i="24"/>
  <c r="A193" i="24"/>
  <c r="A194" i="24"/>
  <c r="A195" i="24"/>
  <c r="A196" i="24"/>
  <c r="A197" i="24"/>
  <c r="A198" i="24"/>
  <c r="A199" i="24"/>
  <c r="A200" i="24"/>
  <c r="A201" i="24"/>
  <c r="A202" i="24"/>
  <c r="A203" i="24"/>
  <c r="A204" i="24"/>
  <c r="A205" i="24"/>
  <c r="A206" i="24"/>
  <c r="A207" i="24"/>
  <c r="A208" i="24"/>
  <c r="A209" i="24"/>
  <c r="A210" i="24"/>
  <c r="A211" i="24"/>
  <c r="A212" i="24"/>
  <c r="A213" i="24"/>
  <c r="A214" i="24"/>
  <c r="A215" i="24"/>
  <c r="A216" i="24"/>
  <c r="A217" i="24"/>
  <c r="A218" i="24"/>
  <c r="A219" i="24"/>
  <c r="A220" i="24"/>
  <c r="A221" i="24"/>
  <c r="A222" i="24"/>
  <c r="A223" i="24"/>
  <c r="A224" i="24"/>
  <c r="A225" i="24"/>
  <c r="A226" i="24"/>
  <c r="A227" i="24"/>
  <c r="A228" i="24"/>
  <c r="A229" i="24"/>
  <c r="A230" i="24"/>
  <c r="A231" i="24"/>
  <c r="A232" i="24"/>
  <c r="A233" i="24"/>
  <c r="A234" i="24"/>
  <c r="A235" i="24"/>
  <c r="A236" i="24"/>
  <c r="A237" i="24"/>
  <c r="A238" i="24"/>
  <c r="A239" i="24"/>
  <c r="A240" i="24"/>
  <c r="A241" i="24"/>
  <c r="A242" i="24"/>
  <c r="A243" i="24"/>
  <c r="A244" i="24"/>
  <c r="A245" i="24"/>
  <c r="A246" i="24"/>
  <c r="A247" i="24"/>
  <c r="A248" i="24"/>
  <c r="A249" i="24"/>
  <c r="A250" i="24"/>
  <c r="A251" i="24"/>
  <c r="A252" i="24"/>
  <c r="A253" i="24"/>
  <c r="A254" i="24"/>
  <c r="A255" i="24"/>
  <c r="A256" i="24"/>
  <c r="A257" i="24"/>
  <c r="A258" i="24"/>
  <c r="A259" i="24"/>
  <c r="A260" i="24"/>
  <c r="A261" i="24"/>
  <c r="A262" i="24"/>
  <c r="A263" i="24"/>
  <c r="A264" i="24"/>
  <c r="A265" i="24"/>
  <c r="A266" i="24"/>
  <c r="A267" i="24"/>
  <c r="A268" i="24"/>
  <c r="A269" i="24"/>
  <c r="A270" i="24"/>
  <c r="A271" i="24"/>
  <c r="A272" i="24"/>
  <c r="A273" i="24"/>
  <c r="A274" i="24"/>
  <c r="A275" i="24"/>
  <c r="A276" i="24"/>
  <c r="A277" i="24"/>
  <c r="A278" i="24"/>
  <c r="A279" i="24"/>
  <c r="A280" i="24"/>
  <c r="A281" i="24"/>
  <c r="A282" i="24"/>
  <c r="A283" i="24"/>
  <c r="A284" i="24"/>
  <c r="A285" i="24"/>
  <c r="A286" i="24"/>
  <c r="A287" i="24"/>
  <c r="A288" i="24"/>
  <c r="A289" i="24"/>
  <c r="A290" i="24"/>
  <c r="A291" i="24"/>
  <c r="A292" i="24"/>
  <c r="A293" i="24"/>
  <c r="A294" i="24"/>
  <c r="A295" i="24"/>
  <c r="A296" i="24"/>
  <c r="A297" i="24"/>
  <c r="A298" i="24"/>
  <c r="A299" i="24"/>
  <c r="A300" i="24"/>
  <c r="A301" i="24"/>
  <c r="A302" i="24"/>
  <c r="A303" i="24"/>
  <c r="A304" i="24"/>
  <c r="A305" i="24"/>
  <c r="A306" i="24"/>
  <c r="A307" i="24"/>
  <c r="A308" i="24"/>
  <c r="A309" i="24"/>
  <c r="A310" i="24"/>
  <c r="A311" i="24"/>
  <c r="A312" i="24"/>
  <c r="A313" i="24"/>
  <c r="A314" i="24"/>
  <c r="A315" i="24"/>
  <c r="A316" i="24"/>
  <c r="A317" i="24"/>
  <c r="A318" i="24"/>
  <c r="A319" i="24"/>
  <c r="A320" i="24"/>
  <c r="A321" i="24"/>
  <c r="A322" i="24"/>
  <c r="A323" i="24"/>
  <c r="A324" i="24"/>
  <c r="A325" i="24"/>
  <c r="A326" i="24"/>
  <c r="A327" i="24"/>
  <c r="A328" i="24"/>
  <c r="A329" i="24"/>
  <c r="A330" i="24"/>
  <c r="A331" i="24"/>
  <c r="A332" i="24"/>
  <c r="A333" i="24"/>
  <c r="A334" i="24"/>
  <c r="A335" i="24"/>
  <c r="A336" i="24"/>
  <c r="A337" i="24"/>
  <c r="A338" i="24"/>
  <c r="A339" i="24"/>
  <c r="A340" i="24"/>
  <c r="A341" i="24"/>
  <c r="A342" i="24"/>
  <c r="A343" i="24"/>
  <c r="A344" i="24"/>
  <c r="A345" i="24"/>
  <c r="A346" i="24"/>
  <c r="A347" i="24"/>
  <c r="A348" i="24"/>
  <c r="A349" i="24"/>
  <c r="A350" i="24"/>
  <c r="A351" i="24"/>
  <c r="A352" i="24"/>
  <c r="A353" i="24"/>
  <c r="A354" i="24"/>
  <c r="A355" i="24"/>
  <c r="A356" i="24"/>
  <c r="A357" i="24"/>
  <c r="A358" i="24"/>
  <c r="A359" i="24"/>
  <c r="A360" i="24"/>
  <c r="A361" i="24"/>
  <c r="A362" i="24"/>
  <c r="A363" i="24"/>
  <c r="A364" i="24"/>
  <c r="A365" i="24"/>
  <c r="A366" i="24"/>
  <c r="A367" i="24"/>
  <c r="A368" i="24"/>
  <c r="A369" i="24"/>
  <c r="A370" i="24"/>
  <c r="A371" i="24"/>
  <c r="A372" i="24"/>
  <c r="A373" i="24"/>
  <c r="A374" i="24"/>
  <c r="A375" i="24"/>
  <c r="A376" i="24"/>
  <c r="A377" i="24"/>
  <c r="A378" i="24"/>
  <c r="A379" i="24"/>
  <c r="A380" i="24"/>
  <c r="A381" i="24"/>
  <c r="A382" i="24"/>
  <c r="A383" i="24"/>
  <c r="A384" i="24"/>
  <c r="A385" i="24"/>
  <c r="A386" i="24"/>
  <c r="A387" i="24"/>
  <c r="A388" i="24"/>
  <c r="A389" i="24"/>
  <c r="A390" i="24"/>
  <c r="A391" i="24"/>
  <c r="A392" i="24"/>
  <c r="A393" i="24"/>
  <c r="A394" i="24"/>
  <c r="A395" i="24"/>
  <c r="A396" i="24"/>
  <c r="A397" i="24"/>
  <c r="A398" i="24"/>
  <c r="A399" i="24"/>
  <c r="A400" i="24"/>
  <c r="A401" i="24"/>
  <c r="A402" i="24"/>
  <c r="A403" i="24"/>
  <c r="A404" i="24"/>
  <c r="A405" i="24"/>
  <c r="A406" i="24"/>
  <c r="A407" i="24"/>
  <c r="A408" i="24"/>
  <c r="A409" i="24"/>
  <c r="A410" i="24"/>
  <c r="A411" i="24"/>
  <c r="A412" i="24"/>
  <c r="A413" i="24"/>
  <c r="A414" i="24"/>
  <c r="A415" i="24"/>
  <c r="A416" i="24"/>
  <c r="A417" i="24"/>
  <c r="A418" i="24"/>
  <c r="A419" i="24"/>
  <c r="A420" i="24"/>
  <c r="A421" i="24"/>
  <c r="A422" i="24"/>
  <c r="A423" i="24"/>
  <c r="A424" i="24"/>
  <c r="A425" i="24"/>
  <c r="A426" i="24"/>
  <c r="A427" i="24"/>
  <c r="A428" i="24"/>
  <c r="A429" i="24"/>
  <c r="A430" i="24"/>
  <c r="A431" i="24"/>
  <c r="A432" i="24"/>
  <c r="A433" i="24"/>
  <c r="A434" i="24"/>
  <c r="A2" i="24"/>
  <c r="B4" i="23"/>
  <c r="C4" i="23"/>
  <c r="D4" i="23"/>
  <c r="E4" i="23"/>
  <c r="F4" i="23"/>
  <c r="G4" i="23"/>
  <c r="H4" i="23"/>
  <c r="I4" i="23"/>
  <c r="J4" i="23"/>
  <c r="K4" i="23"/>
  <c r="L4" i="23"/>
  <c r="M4" i="23"/>
  <c r="N4" i="23"/>
  <c r="O4" i="23"/>
  <c r="P4" i="23"/>
  <c r="Q4" i="23"/>
  <c r="R4" i="23"/>
  <c r="S4" i="23"/>
  <c r="T4" i="23"/>
  <c r="U4" i="23"/>
  <c r="V4" i="23"/>
  <c r="W4" i="23"/>
  <c r="X4" i="23"/>
  <c r="Y4" i="23"/>
  <c r="Z4" i="23"/>
  <c r="AA4" i="23"/>
  <c r="AB4" i="23"/>
  <c r="AC4" i="23"/>
  <c r="AD4" i="23"/>
  <c r="AE4" i="23"/>
  <c r="AF4" i="23"/>
  <c r="AG4" i="23"/>
  <c r="AH4" i="23"/>
  <c r="AI4" i="23"/>
  <c r="AJ4" i="23"/>
  <c r="AK4" i="23"/>
  <c r="AL4" i="23"/>
  <c r="AM4" i="23"/>
  <c r="AN4" i="23"/>
  <c r="AO4" i="23"/>
  <c r="AP4" i="23"/>
  <c r="AQ4" i="23"/>
  <c r="AR4" i="23"/>
  <c r="AS4" i="23"/>
  <c r="AT4" i="23"/>
  <c r="AU4" i="23"/>
  <c r="AV4" i="23"/>
  <c r="AW4" i="23"/>
  <c r="AX4" i="23"/>
  <c r="AY4" i="23"/>
  <c r="AZ4" i="23"/>
  <c r="BA4" i="23"/>
  <c r="BB4" i="23"/>
  <c r="BC4" i="23"/>
  <c r="BD4" i="23"/>
  <c r="BE4" i="23"/>
  <c r="BF4" i="23"/>
  <c r="BG4" i="23"/>
  <c r="BH4" i="23"/>
  <c r="BI4" i="23"/>
  <c r="BJ4" i="23"/>
  <c r="BK4" i="23"/>
  <c r="BL4" i="23"/>
  <c r="BM4" i="23"/>
  <c r="BN4" i="23"/>
  <c r="BO4" i="23"/>
  <c r="BP4" i="23"/>
  <c r="BQ4" i="23"/>
  <c r="BR4" i="23"/>
  <c r="BS4" i="23"/>
  <c r="BT4" i="23"/>
  <c r="B5" i="23"/>
  <c r="C5" i="23"/>
  <c r="D5" i="23"/>
  <c r="E5" i="23"/>
  <c r="F5" i="23"/>
  <c r="G5" i="23"/>
  <c r="H5" i="23"/>
  <c r="I5" i="23"/>
  <c r="J5" i="23"/>
  <c r="K5" i="23"/>
  <c r="L5" i="23"/>
  <c r="M5" i="23"/>
  <c r="N5" i="23"/>
  <c r="O5" i="23"/>
  <c r="P5" i="23"/>
  <c r="Q5" i="23"/>
  <c r="R5" i="23"/>
  <c r="S5" i="23"/>
  <c r="T5" i="23"/>
  <c r="U5" i="23"/>
  <c r="V5" i="23"/>
  <c r="W5" i="23"/>
  <c r="X5" i="23"/>
  <c r="Y5" i="23"/>
  <c r="Z5" i="23"/>
  <c r="AA5" i="23"/>
  <c r="AB5" i="23"/>
  <c r="AC5" i="23"/>
  <c r="AD5" i="23"/>
  <c r="AE5" i="23"/>
  <c r="AF5" i="23"/>
  <c r="AG5" i="23"/>
  <c r="AH5" i="23"/>
  <c r="AI5" i="23"/>
  <c r="AJ5" i="23"/>
  <c r="AK5" i="23"/>
  <c r="AL5" i="23"/>
  <c r="AM5" i="23"/>
  <c r="AN5" i="23"/>
  <c r="AO5" i="23"/>
  <c r="AP5" i="23"/>
  <c r="AQ5" i="23"/>
  <c r="AR5" i="23"/>
  <c r="AS5" i="23"/>
  <c r="AT5" i="23"/>
  <c r="AU5" i="23"/>
  <c r="AV5" i="23"/>
  <c r="AW5" i="23"/>
  <c r="AX5" i="23"/>
  <c r="AY5" i="23"/>
  <c r="AZ5" i="23"/>
  <c r="BA5" i="23"/>
  <c r="BB5" i="23"/>
  <c r="BC5" i="23"/>
  <c r="BD5" i="23"/>
  <c r="BE5" i="23"/>
  <c r="BF5" i="23"/>
  <c r="BG5" i="23"/>
  <c r="BH5" i="23"/>
  <c r="BI5" i="23"/>
  <c r="BJ5" i="23"/>
  <c r="BK5" i="23"/>
  <c r="BL5" i="23"/>
  <c r="BM5" i="23"/>
  <c r="BN5" i="23"/>
  <c r="BO5" i="23"/>
  <c r="BP5" i="23"/>
  <c r="BQ5" i="23"/>
  <c r="BR5" i="23"/>
  <c r="BS5" i="23"/>
  <c r="BT5" i="23"/>
  <c r="B6" i="23"/>
  <c r="C6" i="23"/>
  <c r="D6" i="23"/>
  <c r="E6" i="23"/>
  <c r="F6" i="23"/>
  <c r="G6" i="23"/>
  <c r="H6" i="23"/>
  <c r="I6" i="23"/>
  <c r="J6" i="23"/>
  <c r="K6" i="23"/>
  <c r="L6" i="23"/>
  <c r="M6" i="23"/>
  <c r="N6" i="23"/>
  <c r="O6" i="23"/>
  <c r="P6" i="23"/>
  <c r="Q6" i="23"/>
  <c r="R6" i="23"/>
  <c r="S6" i="23"/>
  <c r="T6" i="23"/>
  <c r="U6" i="23"/>
  <c r="V6" i="23"/>
  <c r="W6" i="23"/>
  <c r="X6" i="23"/>
  <c r="Y6" i="23"/>
  <c r="Z6" i="23"/>
  <c r="AA6" i="23"/>
  <c r="AB6" i="23"/>
  <c r="AC6" i="23"/>
  <c r="AD6" i="23"/>
  <c r="AE6" i="23"/>
  <c r="AF6" i="23"/>
  <c r="AG6" i="23"/>
  <c r="AH6" i="23"/>
  <c r="AI6" i="23"/>
  <c r="AJ6" i="23"/>
  <c r="AK6" i="23"/>
  <c r="AL6" i="23"/>
  <c r="AM6" i="23"/>
  <c r="AN6" i="23"/>
  <c r="AO6" i="23"/>
  <c r="AP6" i="23"/>
  <c r="AQ6" i="23"/>
  <c r="AR6" i="23"/>
  <c r="AS6" i="23"/>
  <c r="AT6" i="23"/>
  <c r="AU6" i="23"/>
  <c r="AV6" i="23"/>
  <c r="AW6" i="23"/>
  <c r="AX6" i="23"/>
  <c r="AY6" i="23"/>
  <c r="AZ6" i="23"/>
  <c r="BA6" i="23"/>
  <c r="BB6" i="23"/>
  <c r="BC6" i="23"/>
  <c r="BD6" i="23"/>
  <c r="BE6" i="23"/>
  <c r="BF6" i="23"/>
  <c r="BG6" i="23"/>
  <c r="BH6" i="23"/>
  <c r="BI6" i="23"/>
  <c r="BJ6" i="23"/>
  <c r="BK6" i="23"/>
  <c r="BL6" i="23"/>
  <c r="BM6" i="23"/>
  <c r="BN6" i="23"/>
  <c r="BO6" i="23"/>
  <c r="BP6" i="23"/>
  <c r="BQ6" i="23"/>
  <c r="BR6" i="23"/>
  <c r="BS6" i="23"/>
  <c r="BT6" i="23"/>
  <c r="B7" i="23"/>
  <c r="C7" i="23"/>
  <c r="D7" i="23"/>
  <c r="E7" i="23"/>
  <c r="F7" i="23"/>
  <c r="G7" i="23"/>
  <c r="H7" i="23"/>
  <c r="I7" i="23"/>
  <c r="J7" i="23"/>
  <c r="K7" i="23"/>
  <c r="L7" i="23"/>
  <c r="M7" i="23"/>
  <c r="N7" i="23"/>
  <c r="O7" i="23"/>
  <c r="P7" i="23"/>
  <c r="Q7" i="23"/>
  <c r="R7" i="23"/>
  <c r="S7" i="23"/>
  <c r="T7" i="23"/>
  <c r="U7" i="23"/>
  <c r="V7" i="23"/>
  <c r="W7" i="23"/>
  <c r="X7" i="23"/>
  <c r="Y7" i="23"/>
  <c r="Z7" i="23"/>
  <c r="AA7" i="23"/>
  <c r="AB7" i="23"/>
  <c r="AC7" i="23"/>
  <c r="AD7" i="23"/>
  <c r="AE7" i="23"/>
  <c r="AF7" i="23"/>
  <c r="AG7" i="23"/>
  <c r="AH7" i="23"/>
  <c r="AI7" i="23"/>
  <c r="AJ7" i="23"/>
  <c r="AK7" i="23"/>
  <c r="AL7" i="23"/>
  <c r="AM7" i="23"/>
  <c r="AN7" i="23"/>
  <c r="AO7" i="23"/>
  <c r="AP7" i="23"/>
  <c r="AQ7" i="23"/>
  <c r="AR7" i="23"/>
  <c r="AS7" i="23"/>
  <c r="AT7" i="23"/>
  <c r="AU7" i="23"/>
  <c r="AV7" i="23"/>
  <c r="AW7" i="23"/>
  <c r="AX7" i="23"/>
  <c r="AY7" i="23"/>
  <c r="AZ7" i="23"/>
  <c r="BA7" i="23"/>
  <c r="BB7" i="23"/>
  <c r="BC7" i="23"/>
  <c r="BD7" i="23"/>
  <c r="BE7" i="23"/>
  <c r="BF7" i="23"/>
  <c r="BG7" i="23"/>
  <c r="BH7" i="23"/>
  <c r="BI7" i="23"/>
  <c r="BJ7" i="23"/>
  <c r="BK7" i="23"/>
  <c r="BL7" i="23"/>
  <c r="BM7" i="23"/>
  <c r="BN7" i="23"/>
  <c r="BO7" i="23"/>
  <c r="BP7" i="23"/>
  <c r="BQ7" i="23"/>
  <c r="BR7" i="23"/>
  <c r="BS7" i="23"/>
  <c r="BT7" i="23"/>
  <c r="B8" i="23"/>
  <c r="C8" i="23"/>
  <c r="D8" i="23"/>
  <c r="E8" i="23"/>
  <c r="F8" i="23"/>
  <c r="G8" i="23"/>
  <c r="H8" i="23"/>
  <c r="I8" i="23"/>
  <c r="J8" i="23"/>
  <c r="K8" i="23"/>
  <c r="L8" i="23"/>
  <c r="M8" i="23"/>
  <c r="N8" i="23"/>
  <c r="O8" i="23"/>
  <c r="P8" i="23"/>
  <c r="Q8" i="23"/>
  <c r="R8" i="23"/>
  <c r="S8" i="23"/>
  <c r="T8" i="23"/>
  <c r="U8" i="23"/>
  <c r="V8" i="23"/>
  <c r="W8" i="23"/>
  <c r="X8" i="23"/>
  <c r="Y8" i="23"/>
  <c r="Z8" i="23"/>
  <c r="AA8" i="23"/>
  <c r="AB8" i="23"/>
  <c r="AC8" i="23"/>
  <c r="AD8" i="23"/>
  <c r="AE8" i="23"/>
  <c r="AF8" i="23"/>
  <c r="AG8" i="23"/>
  <c r="AH8" i="23"/>
  <c r="AI8" i="23"/>
  <c r="AJ8" i="23"/>
  <c r="AK8" i="23"/>
  <c r="AL8" i="23"/>
  <c r="AM8" i="23"/>
  <c r="AN8" i="23"/>
  <c r="AO8" i="23"/>
  <c r="AP8" i="23"/>
  <c r="AQ8" i="23"/>
  <c r="AR8" i="23"/>
  <c r="AS8" i="23"/>
  <c r="AT8" i="23"/>
  <c r="AU8" i="23"/>
  <c r="AV8" i="23"/>
  <c r="AW8" i="23"/>
  <c r="AX8" i="23"/>
  <c r="AY8" i="23"/>
  <c r="AZ8" i="23"/>
  <c r="BA8" i="23"/>
  <c r="BB8" i="23"/>
  <c r="BC8" i="23"/>
  <c r="BD8" i="23"/>
  <c r="BE8" i="23"/>
  <c r="BF8" i="23"/>
  <c r="BG8" i="23"/>
  <c r="BH8" i="23"/>
  <c r="BI8" i="23"/>
  <c r="BJ8" i="23"/>
  <c r="BK8" i="23"/>
  <c r="BL8" i="23"/>
  <c r="BM8" i="23"/>
  <c r="BN8" i="23"/>
  <c r="BO8" i="23"/>
  <c r="BP8" i="23"/>
  <c r="BQ8" i="23"/>
  <c r="BR8" i="23"/>
  <c r="BS8" i="23"/>
  <c r="BT8" i="23"/>
  <c r="B9" i="23"/>
  <c r="C9" i="23"/>
  <c r="D9" i="23"/>
  <c r="E9" i="23"/>
  <c r="F9" i="23"/>
  <c r="G9" i="23"/>
  <c r="H9" i="23"/>
  <c r="I9" i="23"/>
  <c r="J9" i="23"/>
  <c r="K9" i="23"/>
  <c r="L9" i="23"/>
  <c r="M9" i="23"/>
  <c r="N9" i="23"/>
  <c r="O9" i="23"/>
  <c r="P9" i="23"/>
  <c r="Q9" i="23"/>
  <c r="R9" i="23"/>
  <c r="S9" i="23"/>
  <c r="T9" i="23"/>
  <c r="U9" i="23"/>
  <c r="V9" i="23"/>
  <c r="W9" i="23"/>
  <c r="X9" i="23"/>
  <c r="Y9" i="23"/>
  <c r="Z9" i="23"/>
  <c r="AA9" i="23"/>
  <c r="AB9" i="23"/>
  <c r="AC9" i="23"/>
  <c r="AD9" i="23"/>
  <c r="AE9" i="23"/>
  <c r="AF9" i="23"/>
  <c r="AG9" i="23"/>
  <c r="AH9" i="23"/>
  <c r="AI9" i="23"/>
  <c r="AJ9" i="23"/>
  <c r="AK9" i="23"/>
  <c r="AL9" i="23"/>
  <c r="AM9" i="23"/>
  <c r="AN9" i="23"/>
  <c r="AO9" i="23"/>
  <c r="AP9" i="23"/>
  <c r="AQ9" i="23"/>
  <c r="AR9" i="23"/>
  <c r="AS9" i="23"/>
  <c r="AT9" i="23"/>
  <c r="AU9" i="23"/>
  <c r="AV9" i="23"/>
  <c r="AW9" i="23"/>
  <c r="AX9" i="23"/>
  <c r="AY9" i="23"/>
  <c r="AZ9" i="23"/>
  <c r="BA9" i="23"/>
  <c r="BB9" i="23"/>
  <c r="BC9" i="23"/>
  <c r="BD9" i="23"/>
  <c r="BE9" i="23"/>
  <c r="BF9" i="23"/>
  <c r="BG9" i="23"/>
  <c r="BH9" i="23"/>
  <c r="BI9" i="23"/>
  <c r="BJ9" i="23"/>
  <c r="BK9" i="23"/>
  <c r="BL9" i="23"/>
  <c r="BM9" i="23"/>
  <c r="BN9" i="23"/>
  <c r="BO9" i="23"/>
  <c r="BP9" i="23"/>
  <c r="BQ9" i="23"/>
  <c r="BR9" i="23"/>
  <c r="BS9" i="23"/>
  <c r="BT9" i="23"/>
  <c r="B10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O10" i="23"/>
  <c r="P10" i="23"/>
  <c r="Q10" i="23"/>
  <c r="R10" i="23"/>
  <c r="S10" i="23"/>
  <c r="T10" i="23"/>
  <c r="U10" i="23"/>
  <c r="V10" i="23"/>
  <c r="W10" i="23"/>
  <c r="X10" i="23"/>
  <c r="Y10" i="23"/>
  <c r="Z10" i="23"/>
  <c r="AA10" i="23"/>
  <c r="AB10" i="23"/>
  <c r="AC10" i="23"/>
  <c r="AD10" i="23"/>
  <c r="AE10" i="23"/>
  <c r="AF10" i="23"/>
  <c r="AG10" i="23"/>
  <c r="AH10" i="23"/>
  <c r="AI10" i="23"/>
  <c r="AJ10" i="23"/>
  <c r="AK10" i="23"/>
  <c r="AL10" i="23"/>
  <c r="AM10" i="23"/>
  <c r="AN10" i="23"/>
  <c r="AO10" i="23"/>
  <c r="AP10" i="23"/>
  <c r="AQ10" i="23"/>
  <c r="AR10" i="23"/>
  <c r="AS10" i="23"/>
  <c r="AT10" i="23"/>
  <c r="AU10" i="23"/>
  <c r="AV10" i="23"/>
  <c r="AW10" i="23"/>
  <c r="AX10" i="23"/>
  <c r="AY10" i="23"/>
  <c r="AZ10" i="23"/>
  <c r="BA10" i="23"/>
  <c r="BB10" i="23"/>
  <c r="BC10" i="23"/>
  <c r="BD10" i="23"/>
  <c r="BE10" i="23"/>
  <c r="BF10" i="23"/>
  <c r="BG10" i="23"/>
  <c r="BH10" i="23"/>
  <c r="BI10" i="23"/>
  <c r="BJ10" i="23"/>
  <c r="BK10" i="23"/>
  <c r="BL10" i="23"/>
  <c r="BM10" i="23"/>
  <c r="BN10" i="23"/>
  <c r="BO10" i="23"/>
  <c r="BP10" i="23"/>
  <c r="BQ10" i="23"/>
  <c r="BR10" i="23"/>
  <c r="BS10" i="23"/>
  <c r="BT10" i="23"/>
  <c r="B11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O11" i="23"/>
  <c r="P11" i="23"/>
  <c r="Q11" i="23"/>
  <c r="R11" i="23"/>
  <c r="S11" i="23"/>
  <c r="T11" i="23"/>
  <c r="U11" i="23"/>
  <c r="V11" i="23"/>
  <c r="W11" i="23"/>
  <c r="X11" i="23"/>
  <c r="Y11" i="23"/>
  <c r="Z11" i="23"/>
  <c r="AA11" i="23"/>
  <c r="AB11" i="23"/>
  <c r="AC11" i="23"/>
  <c r="AD11" i="23"/>
  <c r="AE11" i="23"/>
  <c r="AF11" i="23"/>
  <c r="AG11" i="23"/>
  <c r="AH11" i="23"/>
  <c r="AI11" i="23"/>
  <c r="AJ11" i="23"/>
  <c r="AK11" i="23"/>
  <c r="AL11" i="23"/>
  <c r="AM11" i="23"/>
  <c r="AN11" i="23"/>
  <c r="AO11" i="23"/>
  <c r="AP11" i="23"/>
  <c r="AQ11" i="23"/>
  <c r="AR11" i="23"/>
  <c r="AS11" i="23"/>
  <c r="AT11" i="23"/>
  <c r="AU11" i="23"/>
  <c r="AV11" i="23"/>
  <c r="AW11" i="23"/>
  <c r="AX11" i="23"/>
  <c r="AY11" i="23"/>
  <c r="AZ11" i="23"/>
  <c r="BA11" i="23"/>
  <c r="BB11" i="23"/>
  <c r="BC11" i="23"/>
  <c r="BD11" i="23"/>
  <c r="BE11" i="23"/>
  <c r="BF11" i="23"/>
  <c r="BG11" i="23"/>
  <c r="BH11" i="23"/>
  <c r="BI11" i="23"/>
  <c r="BJ11" i="23"/>
  <c r="BK11" i="23"/>
  <c r="BL11" i="23"/>
  <c r="BM11" i="23"/>
  <c r="BN11" i="23"/>
  <c r="BO11" i="23"/>
  <c r="BP11" i="23"/>
  <c r="BQ11" i="23"/>
  <c r="BR11" i="23"/>
  <c r="BS11" i="23"/>
  <c r="BT11" i="23"/>
  <c r="B12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O12" i="23"/>
  <c r="P12" i="23"/>
  <c r="Q12" i="23"/>
  <c r="R12" i="23"/>
  <c r="S12" i="23"/>
  <c r="T12" i="23"/>
  <c r="U12" i="23"/>
  <c r="V12" i="23"/>
  <c r="W12" i="23"/>
  <c r="X12" i="23"/>
  <c r="Y12" i="23"/>
  <c r="Z12" i="23"/>
  <c r="AA12" i="23"/>
  <c r="AB12" i="23"/>
  <c r="AC12" i="23"/>
  <c r="AD12" i="23"/>
  <c r="AE12" i="23"/>
  <c r="AF12" i="23"/>
  <c r="AG12" i="23"/>
  <c r="AH12" i="23"/>
  <c r="AI12" i="23"/>
  <c r="AJ12" i="23"/>
  <c r="AK12" i="23"/>
  <c r="AL12" i="23"/>
  <c r="AM12" i="23"/>
  <c r="AN12" i="23"/>
  <c r="AO12" i="23"/>
  <c r="AP12" i="23"/>
  <c r="AQ12" i="23"/>
  <c r="AR12" i="23"/>
  <c r="AS12" i="23"/>
  <c r="AT12" i="23"/>
  <c r="AU12" i="23"/>
  <c r="AV12" i="23"/>
  <c r="AW12" i="23"/>
  <c r="AX12" i="23"/>
  <c r="AY12" i="23"/>
  <c r="AZ12" i="23"/>
  <c r="BA12" i="23"/>
  <c r="BB12" i="23"/>
  <c r="BC12" i="23"/>
  <c r="BD12" i="23"/>
  <c r="BE12" i="23"/>
  <c r="BF12" i="23"/>
  <c r="BG12" i="23"/>
  <c r="BH12" i="23"/>
  <c r="BI12" i="23"/>
  <c r="BJ12" i="23"/>
  <c r="BK12" i="23"/>
  <c r="BL12" i="23"/>
  <c r="BM12" i="23"/>
  <c r="BN12" i="23"/>
  <c r="BO12" i="23"/>
  <c r="BP12" i="23"/>
  <c r="BQ12" i="23"/>
  <c r="BR12" i="23"/>
  <c r="BS12" i="23"/>
  <c r="BT12" i="23"/>
  <c r="B13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O13" i="23"/>
  <c r="P13" i="23"/>
  <c r="Q13" i="23"/>
  <c r="R13" i="23"/>
  <c r="S13" i="23"/>
  <c r="T13" i="23"/>
  <c r="U13" i="23"/>
  <c r="V13" i="23"/>
  <c r="W13" i="23"/>
  <c r="X13" i="23"/>
  <c r="Y13" i="23"/>
  <c r="Z13" i="23"/>
  <c r="AA13" i="23"/>
  <c r="AB13" i="23"/>
  <c r="AC13" i="23"/>
  <c r="AD13" i="23"/>
  <c r="AE13" i="23"/>
  <c r="AF13" i="23"/>
  <c r="AG13" i="23"/>
  <c r="AH13" i="23"/>
  <c r="AI13" i="23"/>
  <c r="AJ13" i="23"/>
  <c r="AK13" i="23"/>
  <c r="AL13" i="23"/>
  <c r="AM13" i="23"/>
  <c r="AN13" i="23"/>
  <c r="AO13" i="23"/>
  <c r="AP13" i="23"/>
  <c r="AQ13" i="23"/>
  <c r="AR13" i="23"/>
  <c r="AS13" i="23"/>
  <c r="AT13" i="23"/>
  <c r="AU13" i="23"/>
  <c r="AV13" i="23"/>
  <c r="AW13" i="23"/>
  <c r="AX13" i="23"/>
  <c r="AY13" i="23"/>
  <c r="AZ13" i="23"/>
  <c r="BA13" i="23"/>
  <c r="BB13" i="23"/>
  <c r="BC13" i="23"/>
  <c r="BD13" i="23"/>
  <c r="BE13" i="23"/>
  <c r="BF13" i="23"/>
  <c r="BG13" i="23"/>
  <c r="BH13" i="23"/>
  <c r="BI13" i="23"/>
  <c r="BJ13" i="23"/>
  <c r="BK13" i="23"/>
  <c r="BL13" i="23"/>
  <c r="BM13" i="23"/>
  <c r="BN13" i="23"/>
  <c r="BO13" i="23"/>
  <c r="BP13" i="23"/>
  <c r="BQ13" i="23"/>
  <c r="BR13" i="23"/>
  <c r="BS13" i="23"/>
  <c r="BT13" i="23"/>
  <c r="B14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O14" i="23"/>
  <c r="P14" i="23"/>
  <c r="Q14" i="23"/>
  <c r="R14" i="23"/>
  <c r="S14" i="23"/>
  <c r="T14" i="23"/>
  <c r="U14" i="23"/>
  <c r="V14" i="23"/>
  <c r="W14" i="23"/>
  <c r="X14" i="23"/>
  <c r="Y14" i="23"/>
  <c r="Z14" i="23"/>
  <c r="AA14" i="23"/>
  <c r="AB14" i="23"/>
  <c r="AC14" i="23"/>
  <c r="AD14" i="23"/>
  <c r="AE14" i="23"/>
  <c r="AF14" i="23"/>
  <c r="AG14" i="23"/>
  <c r="AH14" i="23"/>
  <c r="AI14" i="23"/>
  <c r="AJ14" i="23"/>
  <c r="AK14" i="23"/>
  <c r="AL14" i="23"/>
  <c r="AM14" i="23"/>
  <c r="AN14" i="23"/>
  <c r="AO14" i="23"/>
  <c r="AP14" i="23"/>
  <c r="AQ14" i="23"/>
  <c r="AR14" i="23"/>
  <c r="AS14" i="23"/>
  <c r="AT14" i="23"/>
  <c r="AU14" i="23"/>
  <c r="AV14" i="23"/>
  <c r="AW14" i="23"/>
  <c r="AX14" i="23"/>
  <c r="AY14" i="23"/>
  <c r="AZ14" i="23"/>
  <c r="BA14" i="23"/>
  <c r="BB14" i="23"/>
  <c r="BC14" i="23"/>
  <c r="BD14" i="23"/>
  <c r="BE14" i="23"/>
  <c r="BF14" i="23"/>
  <c r="BG14" i="23"/>
  <c r="BH14" i="23"/>
  <c r="BI14" i="23"/>
  <c r="BJ14" i="23"/>
  <c r="BK14" i="23"/>
  <c r="BL14" i="23"/>
  <c r="BM14" i="23"/>
  <c r="BN14" i="23"/>
  <c r="BO14" i="23"/>
  <c r="BP14" i="23"/>
  <c r="BQ14" i="23"/>
  <c r="BR14" i="23"/>
  <c r="BS14" i="23"/>
  <c r="BT14" i="23"/>
  <c r="B15" i="23"/>
  <c r="C15" i="23"/>
  <c r="D15" i="23"/>
  <c r="E15" i="23"/>
  <c r="F15" i="23"/>
  <c r="G15" i="23"/>
  <c r="H15" i="23"/>
  <c r="I15" i="23"/>
  <c r="J15" i="23"/>
  <c r="K15" i="23"/>
  <c r="L15" i="23"/>
  <c r="M15" i="23"/>
  <c r="N15" i="23"/>
  <c r="O15" i="23"/>
  <c r="P15" i="23"/>
  <c r="Q15" i="23"/>
  <c r="R15" i="23"/>
  <c r="S15" i="23"/>
  <c r="T15" i="23"/>
  <c r="U15" i="23"/>
  <c r="V15" i="23"/>
  <c r="W15" i="23"/>
  <c r="X15" i="23"/>
  <c r="Y15" i="23"/>
  <c r="Z15" i="23"/>
  <c r="AA15" i="23"/>
  <c r="AB15" i="23"/>
  <c r="AC15" i="23"/>
  <c r="AD15" i="23"/>
  <c r="AE15" i="23"/>
  <c r="AF15" i="23"/>
  <c r="AG15" i="23"/>
  <c r="AH15" i="23"/>
  <c r="AI15" i="23"/>
  <c r="AJ15" i="23"/>
  <c r="AK15" i="23"/>
  <c r="AL15" i="23"/>
  <c r="AM15" i="23"/>
  <c r="AN15" i="23"/>
  <c r="AO15" i="23"/>
  <c r="AP15" i="23"/>
  <c r="AQ15" i="23"/>
  <c r="AR15" i="23"/>
  <c r="AS15" i="23"/>
  <c r="AT15" i="23"/>
  <c r="AU15" i="23"/>
  <c r="AV15" i="23"/>
  <c r="AW15" i="23"/>
  <c r="AX15" i="23"/>
  <c r="AY15" i="23"/>
  <c r="AZ15" i="23"/>
  <c r="BA15" i="23"/>
  <c r="BB15" i="23"/>
  <c r="BC15" i="23"/>
  <c r="BD15" i="23"/>
  <c r="BE15" i="23"/>
  <c r="BF15" i="23"/>
  <c r="BG15" i="23"/>
  <c r="BH15" i="23"/>
  <c r="BI15" i="23"/>
  <c r="BJ15" i="23"/>
  <c r="BK15" i="23"/>
  <c r="BL15" i="23"/>
  <c r="BM15" i="23"/>
  <c r="BN15" i="23"/>
  <c r="BO15" i="23"/>
  <c r="BP15" i="23"/>
  <c r="BQ15" i="23"/>
  <c r="BR15" i="23"/>
  <c r="BS15" i="23"/>
  <c r="BT15" i="23"/>
  <c r="B16" i="23"/>
  <c r="C16" i="23"/>
  <c r="D16" i="23"/>
  <c r="E16" i="23"/>
  <c r="F16" i="23"/>
  <c r="G16" i="23"/>
  <c r="H16" i="23"/>
  <c r="I16" i="23"/>
  <c r="J16" i="23"/>
  <c r="K16" i="23"/>
  <c r="L16" i="23"/>
  <c r="M16" i="23"/>
  <c r="N16" i="23"/>
  <c r="O16" i="23"/>
  <c r="P16" i="23"/>
  <c r="Q16" i="23"/>
  <c r="R16" i="23"/>
  <c r="S16" i="23"/>
  <c r="T16" i="23"/>
  <c r="U16" i="23"/>
  <c r="V16" i="23"/>
  <c r="W16" i="23"/>
  <c r="X16" i="23"/>
  <c r="Y16" i="23"/>
  <c r="Z16" i="23"/>
  <c r="AA16" i="23"/>
  <c r="AB16" i="23"/>
  <c r="AC16" i="23"/>
  <c r="AD16" i="23"/>
  <c r="AE16" i="23"/>
  <c r="AF16" i="23"/>
  <c r="AG16" i="23"/>
  <c r="AH16" i="23"/>
  <c r="AI16" i="23"/>
  <c r="AJ16" i="23"/>
  <c r="AK16" i="23"/>
  <c r="AL16" i="23"/>
  <c r="AM16" i="23"/>
  <c r="AN16" i="23"/>
  <c r="AO16" i="23"/>
  <c r="AP16" i="23"/>
  <c r="AQ16" i="23"/>
  <c r="AR16" i="23"/>
  <c r="AS16" i="23"/>
  <c r="AT16" i="23"/>
  <c r="AU16" i="23"/>
  <c r="AV16" i="23"/>
  <c r="AW16" i="23"/>
  <c r="AX16" i="23"/>
  <c r="AY16" i="23"/>
  <c r="AZ16" i="23"/>
  <c r="BA16" i="23"/>
  <c r="BB16" i="23"/>
  <c r="BC16" i="23"/>
  <c r="BD16" i="23"/>
  <c r="BE16" i="23"/>
  <c r="BF16" i="23"/>
  <c r="BG16" i="23"/>
  <c r="BH16" i="23"/>
  <c r="BI16" i="23"/>
  <c r="BJ16" i="23"/>
  <c r="BK16" i="23"/>
  <c r="BL16" i="23"/>
  <c r="BM16" i="23"/>
  <c r="BN16" i="23"/>
  <c r="BO16" i="23"/>
  <c r="BP16" i="23"/>
  <c r="BQ16" i="23"/>
  <c r="BR16" i="23"/>
  <c r="BS16" i="23"/>
  <c r="BT16" i="23"/>
  <c r="B17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O17" i="23"/>
  <c r="P17" i="23"/>
  <c r="Q17" i="23"/>
  <c r="R17" i="23"/>
  <c r="S17" i="23"/>
  <c r="T17" i="23"/>
  <c r="U17" i="23"/>
  <c r="V17" i="23"/>
  <c r="W17" i="23"/>
  <c r="X17" i="23"/>
  <c r="Y17" i="23"/>
  <c r="Z17" i="23"/>
  <c r="AA17" i="23"/>
  <c r="AB17" i="23"/>
  <c r="AC17" i="23"/>
  <c r="AD17" i="23"/>
  <c r="AE17" i="23"/>
  <c r="AF17" i="23"/>
  <c r="AG17" i="23"/>
  <c r="AH17" i="23"/>
  <c r="AI17" i="23"/>
  <c r="AJ17" i="23"/>
  <c r="AK17" i="23"/>
  <c r="AL17" i="23"/>
  <c r="AM17" i="23"/>
  <c r="AN17" i="23"/>
  <c r="AO17" i="23"/>
  <c r="AP17" i="23"/>
  <c r="AQ17" i="23"/>
  <c r="AR17" i="23"/>
  <c r="AS17" i="23"/>
  <c r="AT17" i="23"/>
  <c r="AU17" i="23"/>
  <c r="AV17" i="23"/>
  <c r="AW17" i="23"/>
  <c r="AX17" i="23"/>
  <c r="AY17" i="23"/>
  <c r="AZ17" i="23"/>
  <c r="BA17" i="23"/>
  <c r="BB17" i="23"/>
  <c r="BC17" i="23"/>
  <c r="BD17" i="23"/>
  <c r="BE17" i="23"/>
  <c r="BF17" i="23"/>
  <c r="BG17" i="23"/>
  <c r="BH17" i="23"/>
  <c r="BI17" i="23"/>
  <c r="BJ17" i="23"/>
  <c r="BK17" i="23"/>
  <c r="BL17" i="23"/>
  <c r="BM17" i="23"/>
  <c r="BN17" i="23"/>
  <c r="BO17" i="23"/>
  <c r="BP17" i="23"/>
  <c r="BQ17" i="23"/>
  <c r="BR17" i="23"/>
  <c r="BS17" i="23"/>
  <c r="BT17" i="23"/>
  <c r="B18" i="23"/>
  <c r="C18" i="23"/>
  <c r="D18" i="23"/>
  <c r="E18" i="23"/>
  <c r="F18" i="23"/>
  <c r="G18" i="23"/>
  <c r="H18" i="23"/>
  <c r="I18" i="23"/>
  <c r="J18" i="23"/>
  <c r="K18" i="23"/>
  <c r="L18" i="23"/>
  <c r="M18" i="23"/>
  <c r="N18" i="23"/>
  <c r="O18" i="23"/>
  <c r="P18" i="23"/>
  <c r="Q18" i="23"/>
  <c r="R18" i="23"/>
  <c r="S18" i="23"/>
  <c r="T18" i="23"/>
  <c r="U18" i="23"/>
  <c r="V18" i="23"/>
  <c r="W18" i="23"/>
  <c r="X18" i="23"/>
  <c r="Y18" i="23"/>
  <c r="Z18" i="23"/>
  <c r="AA18" i="23"/>
  <c r="AB18" i="23"/>
  <c r="AC18" i="23"/>
  <c r="AD18" i="23"/>
  <c r="AE18" i="23"/>
  <c r="AF18" i="23"/>
  <c r="AG18" i="23"/>
  <c r="AH18" i="23"/>
  <c r="AI18" i="23"/>
  <c r="AJ18" i="23"/>
  <c r="AK18" i="23"/>
  <c r="AL18" i="23"/>
  <c r="AM18" i="23"/>
  <c r="AN18" i="23"/>
  <c r="AO18" i="23"/>
  <c r="AP18" i="23"/>
  <c r="AQ18" i="23"/>
  <c r="AR18" i="23"/>
  <c r="AS18" i="23"/>
  <c r="AT18" i="23"/>
  <c r="AU18" i="23"/>
  <c r="AV18" i="23"/>
  <c r="AW18" i="23"/>
  <c r="AX18" i="23"/>
  <c r="AY18" i="23"/>
  <c r="AZ18" i="23"/>
  <c r="BA18" i="23"/>
  <c r="BB18" i="23"/>
  <c r="BC18" i="23"/>
  <c r="BD18" i="23"/>
  <c r="BE18" i="23"/>
  <c r="BF18" i="23"/>
  <c r="BG18" i="23"/>
  <c r="BH18" i="23"/>
  <c r="BI18" i="23"/>
  <c r="BJ18" i="23"/>
  <c r="BK18" i="23"/>
  <c r="BL18" i="23"/>
  <c r="BM18" i="23"/>
  <c r="BN18" i="23"/>
  <c r="BO18" i="23"/>
  <c r="BP18" i="23"/>
  <c r="BQ18" i="23"/>
  <c r="BR18" i="23"/>
  <c r="BS18" i="23"/>
  <c r="BT18" i="23"/>
  <c r="B19" i="23"/>
  <c r="C19" i="23"/>
  <c r="D19" i="23"/>
  <c r="E19" i="23"/>
  <c r="F19" i="23"/>
  <c r="G19" i="23"/>
  <c r="H19" i="23"/>
  <c r="I19" i="23"/>
  <c r="J19" i="23"/>
  <c r="K19" i="23"/>
  <c r="L19" i="23"/>
  <c r="M19" i="23"/>
  <c r="N19" i="23"/>
  <c r="O19" i="23"/>
  <c r="P19" i="23"/>
  <c r="Q19" i="23"/>
  <c r="R19" i="23"/>
  <c r="S19" i="23"/>
  <c r="T19" i="23"/>
  <c r="U19" i="23"/>
  <c r="V19" i="23"/>
  <c r="W19" i="23"/>
  <c r="X19" i="23"/>
  <c r="Y19" i="23"/>
  <c r="Z19" i="23"/>
  <c r="AA19" i="23"/>
  <c r="AB19" i="23"/>
  <c r="AC19" i="23"/>
  <c r="AD19" i="23"/>
  <c r="AE19" i="23"/>
  <c r="AF19" i="23"/>
  <c r="AG19" i="23"/>
  <c r="AH19" i="23"/>
  <c r="AI19" i="23"/>
  <c r="AJ19" i="23"/>
  <c r="AK19" i="23"/>
  <c r="AL19" i="23"/>
  <c r="AM19" i="23"/>
  <c r="AN19" i="23"/>
  <c r="AO19" i="23"/>
  <c r="AP19" i="23"/>
  <c r="AQ19" i="23"/>
  <c r="AR19" i="23"/>
  <c r="AS19" i="23"/>
  <c r="AT19" i="23"/>
  <c r="AU19" i="23"/>
  <c r="AV19" i="23"/>
  <c r="AW19" i="23"/>
  <c r="AX19" i="23"/>
  <c r="AY19" i="23"/>
  <c r="AZ19" i="23"/>
  <c r="BA19" i="23"/>
  <c r="BB19" i="23"/>
  <c r="BC19" i="23"/>
  <c r="BD19" i="23"/>
  <c r="BE19" i="23"/>
  <c r="BF19" i="23"/>
  <c r="BG19" i="23"/>
  <c r="BH19" i="23"/>
  <c r="BI19" i="23"/>
  <c r="BJ19" i="23"/>
  <c r="BK19" i="23"/>
  <c r="BL19" i="23"/>
  <c r="BM19" i="23"/>
  <c r="BN19" i="23"/>
  <c r="BO19" i="23"/>
  <c r="BP19" i="23"/>
  <c r="BQ19" i="23"/>
  <c r="BR19" i="23"/>
  <c r="BS19" i="23"/>
  <c r="BT19" i="23"/>
  <c r="B20" i="23"/>
  <c r="C20" i="23"/>
  <c r="D20" i="23"/>
  <c r="E20" i="23"/>
  <c r="F20" i="23"/>
  <c r="G20" i="23"/>
  <c r="H20" i="23"/>
  <c r="I20" i="23"/>
  <c r="J20" i="23"/>
  <c r="K20" i="23"/>
  <c r="L20" i="23"/>
  <c r="M20" i="23"/>
  <c r="N20" i="23"/>
  <c r="O20" i="23"/>
  <c r="P20" i="23"/>
  <c r="Q20" i="23"/>
  <c r="R20" i="23"/>
  <c r="S20" i="23"/>
  <c r="T20" i="23"/>
  <c r="U20" i="23"/>
  <c r="V20" i="23"/>
  <c r="W20" i="23"/>
  <c r="X20" i="23"/>
  <c r="Y20" i="23"/>
  <c r="Z20" i="23"/>
  <c r="AA20" i="23"/>
  <c r="AB20" i="23"/>
  <c r="AC20" i="23"/>
  <c r="AD20" i="23"/>
  <c r="AE20" i="23"/>
  <c r="AF20" i="23"/>
  <c r="AG20" i="23"/>
  <c r="AH20" i="23"/>
  <c r="AI20" i="23"/>
  <c r="AJ20" i="23"/>
  <c r="AK20" i="23"/>
  <c r="AL20" i="23"/>
  <c r="AM20" i="23"/>
  <c r="AN20" i="23"/>
  <c r="AO20" i="23"/>
  <c r="AP20" i="23"/>
  <c r="AQ20" i="23"/>
  <c r="AR20" i="23"/>
  <c r="AS20" i="23"/>
  <c r="AT20" i="23"/>
  <c r="AU20" i="23"/>
  <c r="AV20" i="23"/>
  <c r="AW20" i="23"/>
  <c r="AX20" i="23"/>
  <c r="AY20" i="23"/>
  <c r="AZ20" i="23"/>
  <c r="BA20" i="23"/>
  <c r="BB20" i="23"/>
  <c r="BC20" i="23"/>
  <c r="BD20" i="23"/>
  <c r="BE20" i="23"/>
  <c r="BF20" i="23"/>
  <c r="BG20" i="23"/>
  <c r="BH20" i="23"/>
  <c r="BI20" i="23"/>
  <c r="BJ20" i="23"/>
  <c r="BK20" i="23"/>
  <c r="BL20" i="23"/>
  <c r="BM20" i="23"/>
  <c r="BN20" i="23"/>
  <c r="BO20" i="23"/>
  <c r="BP20" i="23"/>
  <c r="BQ20" i="23"/>
  <c r="BR20" i="23"/>
  <c r="BS20" i="23"/>
  <c r="BT20" i="23"/>
  <c r="B21" i="23"/>
  <c r="C21" i="23"/>
  <c r="D21" i="23"/>
  <c r="E21" i="23"/>
  <c r="F21" i="23"/>
  <c r="G21" i="23"/>
  <c r="H21" i="23"/>
  <c r="I21" i="23"/>
  <c r="J21" i="23"/>
  <c r="K21" i="23"/>
  <c r="L21" i="23"/>
  <c r="M21" i="23"/>
  <c r="N21" i="23"/>
  <c r="O21" i="23"/>
  <c r="P21" i="23"/>
  <c r="Q21" i="23"/>
  <c r="R21" i="23"/>
  <c r="S21" i="23"/>
  <c r="T21" i="23"/>
  <c r="U21" i="23"/>
  <c r="V21" i="23"/>
  <c r="W21" i="23"/>
  <c r="X21" i="23"/>
  <c r="Y21" i="23"/>
  <c r="Z21" i="23"/>
  <c r="AA21" i="23"/>
  <c r="AB21" i="23"/>
  <c r="AC21" i="23"/>
  <c r="AD21" i="23"/>
  <c r="AE21" i="23"/>
  <c r="AF21" i="23"/>
  <c r="AG21" i="23"/>
  <c r="AH21" i="23"/>
  <c r="AI21" i="23"/>
  <c r="AJ21" i="23"/>
  <c r="AK21" i="23"/>
  <c r="AL21" i="23"/>
  <c r="AM21" i="23"/>
  <c r="AN21" i="23"/>
  <c r="AO21" i="23"/>
  <c r="AP21" i="23"/>
  <c r="AQ21" i="23"/>
  <c r="AR21" i="23"/>
  <c r="AS21" i="23"/>
  <c r="AT21" i="23"/>
  <c r="AU21" i="23"/>
  <c r="AV21" i="23"/>
  <c r="AW21" i="23"/>
  <c r="AX21" i="23"/>
  <c r="AY21" i="23"/>
  <c r="AZ21" i="23"/>
  <c r="BA21" i="23"/>
  <c r="BB21" i="23"/>
  <c r="BC21" i="23"/>
  <c r="BD21" i="23"/>
  <c r="BE21" i="23"/>
  <c r="BF21" i="23"/>
  <c r="BG21" i="23"/>
  <c r="BH21" i="23"/>
  <c r="BI21" i="23"/>
  <c r="BJ21" i="23"/>
  <c r="BK21" i="23"/>
  <c r="BL21" i="23"/>
  <c r="BM21" i="23"/>
  <c r="BN21" i="23"/>
  <c r="BO21" i="23"/>
  <c r="BP21" i="23"/>
  <c r="BQ21" i="23"/>
  <c r="BR21" i="23"/>
  <c r="BS21" i="23"/>
  <c r="BT21" i="23"/>
  <c r="B22" i="23"/>
  <c r="C22" i="23"/>
  <c r="D22" i="23"/>
  <c r="E22" i="23"/>
  <c r="F22" i="23"/>
  <c r="G22" i="23"/>
  <c r="H22" i="23"/>
  <c r="I22" i="23"/>
  <c r="J22" i="23"/>
  <c r="K22" i="23"/>
  <c r="L22" i="23"/>
  <c r="M22" i="23"/>
  <c r="N22" i="23"/>
  <c r="O22" i="23"/>
  <c r="P22" i="23"/>
  <c r="Q22" i="23"/>
  <c r="R22" i="23"/>
  <c r="S22" i="23"/>
  <c r="T22" i="23"/>
  <c r="U22" i="23"/>
  <c r="V22" i="23"/>
  <c r="W22" i="23"/>
  <c r="X22" i="23"/>
  <c r="Y22" i="23"/>
  <c r="Z22" i="23"/>
  <c r="AA22" i="23"/>
  <c r="AB22" i="23"/>
  <c r="AC22" i="23"/>
  <c r="AD22" i="23"/>
  <c r="AE22" i="23"/>
  <c r="AF22" i="23"/>
  <c r="AG22" i="23"/>
  <c r="AH22" i="23"/>
  <c r="AI22" i="23"/>
  <c r="AJ22" i="23"/>
  <c r="AK22" i="23"/>
  <c r="AL22" i="23"/>
  <c r="AM22" i="23"/>
  <c r="AN22" i="23"/>
  <c r="AO22" i="23"/>
  <c r="AP22" i="23"/>
  <c r="AQ22" i="23"/>
  <c r="AR22" i="23"/>
  <c r="AS22" i="23"/>
  <c r="AT22" i="23"/>
  <c r="AU22" i="23"/>
  <c r="AV22" i="23"/>
  <c r="AW22" i="23"/>
  <c r="AX22" i="23"/>
  <c r="AY22" i="23"/>
  <c r="AZ22" i="23"/>
  <c r="BA22" i="23"/>
  <c r="BB22" i="23"/>
  <c r="BC22" i="23"/>
  <c r="BD22" i="23"/>
  <c r="BE22" i="23"/>
  <c r="BF22" i="23"/>
  <c r="BG22" i="23"/>
  <c r="BH22" i="23"/>
  <c r="BI22" i="23"/>
  <c r="BJ22" i="23"/>
  <c r="BK22" i="23"/>
  <c r="BL22" i="23"/>
  <c r="BM22" i="23"/>
  <c r="BN22" i="23"/>
  <c r="BO22" i="23"/>
  <c r="BP22" i="23"/>
  <c r="BQ22" i="23"/>
  <c r="BR22" i="23"/>
  <c r="BS22" i="23"/>
  <c r="BT22" i="23"/>
  <c r="B23" i="23"/>
  <c r="C23" i="23"/>
  <c r="D23" i="23"/>
  <c r="E23" i="23"/>
  <c r="F23" i="23"/>
  <c r="G23" i="23"/>
  <c r="H23" i="23"/>
  <c r="I23" i="23"/>
  <c r="J23" i="23"/>
  <c r="K23" i="23"/>
  <c r="L23" i="23"/>
  <c r="M23" i="23"/>
  <c r="N23" i="23"/>
  <c r="O23" i="23"/>
  <c r="P23" i="23"/>
  <c r="Q23" i="23"/>
  <c r="R23" i="23"/>
  <c r="S23" i="23"/>
  <c r="T23" i="23"/>
  <c r="U23" i="23"/>
  <c r="V23" i="23"/>
  <c r="W23" i="23"/>
  <c r="X23" i="23"/>
  <c r="Y23" i="23"/>
  <c r="Z23" i="23"/>
  <c r="AA23" i="23"/>
  <c r="AB23" i="23"/>
  <c r="AC23" i="23"/>
  <c r="AD23" i="23"/>
  <c r="AE23" i="23"/>
  <c r="AF23" i="23"/>
  <c r="AG23" i="23"/>
  <c r="AH23" i="23"/>
  <c r="AI23" i="23"/>
  <c r="AJ23" i="23"/>
  <c r="AK23" i="23"/>
  <c r="AL23" i="23"/>
  <c r="AM23" i="23"/>
  <c r="AN23" i="23"/>
  <c r="AO23" i="23"/>
  <c r="AP23" i="23"/>
  <c r="AQ23" i="23"/>
  <c r="AR23" i="23"/>
  <c r="AS23" i="23"/>
  <c r="AT23" i="23"/>
  <c r="AU23" i="23"/>
  <c r="AV23" i="23"/>
  <c r="AW23" i="23"/>
  <c r="AX23" i="23"/>
  <c r="AY23" i="23"/>
  <c r="AZ23" i="23"/>
  <c r="BA23" i="23"/>
  <c r="BB23" i="23"/>
  <c r="BC23" i="23"/>
  <c r="BD23" i="23"/>
  <c r="BE23" i="23"/>
  <c r="BF23" i="23"/>
  <c r="BG23" i="23"/>
  <c r="BH23" i="23"/>
  <c r="BI23" i="23"/>
  <c r="BJ23" i="23"/>
  <c r="BK23" i="23"/>
  <c r="BL23" i="23"/>
  <c r="BM23" i="23"/>
  <c r="BN23" i="23"/>
  <c r="BO23" i="23"/>
  <c r="BP23" i="23"/>
  <c r="BQ23" i="23"/>
  <c r="BR23" i="23"/>
  <c r="BS23" i="23"/>
  <c r="BT23" i="23"/>
  <c r="B24" i="23"/>
  <c r="C24" i="23"/>
  <c r="D24" i="23"/>
  <c r="E24" i="23"/>
  <c r="F24" i="23"/>
  <c r="G24" i="23"/>
  <c r="H24" i="23"/>
  <c r="I24" i="23"/>
  <c r="J24" i="23"/>
  <c r="K24" i="23"/>
  <c r="L24" i="23"/>
  <c r="M24" i="23"/>
  <c r="N24" i="23"/>
  <c r="O24" i="23"/>
  <c r="P24" i="23"/>
  <c r="Q24" i="23"/>
  <c r="R24" i="23"/>
  <c r="S24" i="23"/>
  <c r="T24" i="23"/>
  <c r="U24" i="23"/>
  <c r="V24" i="23"/>
  <c r="W24" i="23"/>
  <c r="X24" i="23"/>
  <c r="Y24" i="23"/>
  <c r="Z24" i="23"/>
  <c r="AA24" i="23"/>
  <c r="AB24" i="23"/>
  <c r="AC24" i="23"/>
  <c r="AD24" i="23"/>
  <c r="AE24" i="23"/>
  <c r="AF24" i="23"/>
  <c r="AG24" i="23"/>
  <c r="AH24" i="23"/>
  <c r="AI24" i="23"/>
  <c r="AJ24" i="23"/>
  <c r="AK24" i="23"/>
  <c r="AL24" i="23"/>
  <c r="AM24" i="23"/>
  <c r="AN24" i="23"/>
  <c r="AO24" i="23"/>
  <c r="AP24" i="23"/>
  <c r="AQ24" i="23"/>
  <c r="AR24" i="23"/>
  <c r="AS24" i="23"/>
  <c r="AT24" i="23"/>
  <c r="AU24" i="23"/>
  <c r="AV24" i="23"/>
  <c r="AW24" i="23"/>
  <c r="AX24" i="23"/>
  <c r="AY24" i="23"/>
  <c r="AZ24" i="23"/>
  <c r="BA24" i="23"/>
  <c r="BB24" i="23"/>
  <c r="BC24" i="23"/>
  <c r="BD24" i="23"/>
  <c r="BE24" i="23"/>
  <c r="BF24" i="23"/>
  <c r="BG24" i="23"/>
  <c r="BH24" i="23"/>
  <c r="BI24" i="23"/>
  <c r="BJ24" i="23"/>
  <c r="BK24" i="23"/>
  <c r="BL24" i="23"/>
  <c r="BM24" i="23"/>
  <c r="BN24" i="23"/>
  <c r="BO24" i="23"/>
  <c r="BP24" i="23"/>
  <c r="BQ24" i="23"/>
  <c r="BR24" i="23"/>
  <c r="BS24" i="23"/>
  <c r="BT24" i="23"/>
  <c r="B25" i="23"/>
  <c r="C25" i="23"/>
  <c r="D25" i="23"/>
  <c r="E25" i="23"/>
  <c r="F25" i="23"/>
  <c r="G25" i="23"/>
  <c r="H25" i="23"/>
  <c r="I25" i="23"/>
  <c r="J25" i="23"/>
  <c r="K25" i="23"/>
  <c r="L25" i="23"/>
  <c r="M25" i="23"/>
  <c r="N25" i="23"/>
  <c r="O25" i="23"/>
  <c r="P25" i="23"/>
  <c r="Q25" i="23"/>
  <c r="R25" i="23"/>
  <c r="S25" i="23"/>
  <c r="T25" i="23"/>
  <c r="U25" i="23"/>
  <c r="V25" i="23"/>
  <c r="W25" i="23"/>
  <c r="X25" i="23"/>
  <c r="Y25" i="23"/>
  <c r="Z25" i="23"/>
  <c r="AA25" i="23"/>
  <c r="AB25" i="23"/>
  <c r="AC25" i="23"/>
  <c r="AD25" i="23"/>
  <c r="AE25" i="23"/>
  <c r="AF25" i="23"/>
  <c r="AG25" i="23"/>
  <c r="AH25" i="23"/>
  <c r="AI25" i="23"/>
  <c r="AJ25" i="23"/>
  <c r="AK25" i="23"/>
  <c r="AL25" i="23"/>
  <c r="AM25" i="23"/>
  <c r="AN25" i="23"/>
  <c r="AO25" i="23"/>
  <c r="AP25" i="23"/>
  <c r="AQ25" i="23"/>
  <c r="AR25" i="23"/>
  <c r="AS25" i="23"/>
  <c r="AT25" i="23"/>
  <c r="AU25" i="23"/>
  <c r="AV25" i="23"/>
  <c r="AW25" i="23"/>
  <c r="AX25" i="23"/>
  <c r="AY25" i="23"/>
  <c r="AZ25" i="23"/>
  <c r="BA25" i="23"/>
  <c r="BB25" i="23"/>
  <c r="BC25" i="23"/>
  <c r="BD25" i="23"/>
  <c r="BE25" i="23"/>
  <c r="BF25" i="23"/>
  <c r="BG25" i="23"/>
  <c r="BH25" i="23"/>
  <c r="BI25" i="23"/>
  <c r="BJ25" i="23"/>
  <c r="BK25" i="23"/>
  <c r="BL25" i="23"/>
  <c r="BM25" i="23"/>
  <c r="BN25" i="23"/>
  <c r="BO25" i="23"/>
  <c r="BP25" i="23"/>
  <c r="BQ25" i="23"/>
  <c r="BR25" i="23"/>
  <c r="BS25" i="23"/>
  <c r="BT25" i="23"/>
  <c r="B26" i="23"/>
  <c r="C26" i="23"/>
  <c r="D26" i="23"/>
  <c r="E26" i="23"/>
  <c r="F26" i="23"/>
  <c r="G26" i="23"/>
  <c r="H26" i="23"/>
  <c r="I26" i="23"/>
  <c r="J26" i="23"/>
  <c r="K26" i="23"/>
  <c r="L26" i="23"/>
  <c r="M26" i="23"/>
  <c r="N26" i="23"/>
  <c r="O26" i="23"/>
  <c r="P26" i="23"/>
  <c r="Q26" i="23"/>
  <c r="R26" i="23"/>
  <c r="S26" i="23"/>
  <c r="T26" i="23"/>
  <c r="U26" i="23"/>
  <c r="V26" i="23"/>
  <c r="W26" i="23"/>
  <c r="X26" i="23"/>
  <c r="Y26" i="23"/>
  <c r="Z26" i="23"/>
  <c r="AA26" i="23"/>
  <c r="AB26" i="23"/>
  <c r="AC26" i="23"/>
  <c r="AD26" i="23"/>
  <c r="AE26" i="23"/>
  <c r="AF26" i="23"/>
  <c r="AG26" i="23"/>
  <c r="AH26" i="23"/>
  <c r="AI26" i="23"/>
  <c r="AJ26" i="23"/>
  <c r="AK26" i="23"/>
  <c r="AL26" i="23"/>
  <c r="AM26" i="23"/>
  <c r="AN26" i="23"/>
  <c r="AO26" i="23"/>
  <c r="AP26" i="23"/>
  <c r="AQ26" i="23"/>
  <c r="AR26" i="23"/>
  <c r="AS26" i="23"/>
  <c r="AT26" i="23"/>
  <c r="AU26" i="23"/>
  <c r="AV26" i="23"/>
  <c r="AW26" i="23"/>
  <c r="AX26" i="23"/>
  <c r="AY26" i="23"/>
  <c r="AZ26" i="23"/>
  <c r="BA26" i="23"/>
  <c r="BB26" i="23"/>
  <c r="BC26" i="23"/>
  <c r="BD26" i="23"/>
  <c r="BE26" i="23"/>
  <c r="BF26" i="23"/>
  <c r="BG26" i="23"/>
  <c r="BH26" i="23"/>
  <c r="BI26" i="23"/>
  <c r="BJ26" i="23"/>
  <c r="BK26" i="23"/>
  <c r="BL26" i="23"/>
  <c r="BM26" i="23"/>
  <c r="BN26" i="23"/>
  <c r="BO26" i="23"/>
  <c r="BP26" i="23"/>
  <c r="BQ26" i="23"/>
  <c r="BR26" i="23"/>
  <c r="BS26" i="23"/>
  <c r="BT26" i="23"/>
  <c r="B27" i="23"/>
  <c r="C27" i="23"/>
  <c r="D27" i="23"/>
  <c r="E27" i="23"/>
  <c r="F27" i="23"/>
  <c r="G27" i="23"/>
  <c r="H27" i="23"/>
  <c r="I27" i="23"/>
  <c r="J27" i="23"/>
  <c r="K27" i="23"/>
  <c r="L27" i="23"/>
  <c r="M27" i="23"/>
  <c r="N27" i="23"/>
  <c r="O27" i="23"/>
  <c r="P27" i="23"/>
  <c r="Q27" i="23"/>
  <c r="R27" i="23"/>
  <c r="S27" i="23"/>
  <c r="T27" i="23"/>
  <c r="U27" i="23"/>
  <c r="V27" i="23"/>
  <c r="W27" i="23"/>
  <c r="X27" i="23"/>
  <c r="Y27" i="23"/>
  <c r="Z27" i="23"/>
  <c r="AA27" i="23"/>
  <c r="AB27" i="23"/>
  <c r="AC27" i="23"/>
  <c r="AD27" i="23"/>
  <c r="AE27" i="23"/>
  <c r="AF27" i="23"/>
  <c r="AG27" i="23"/>
  <c r="AH27" i="23"/>
  <c r="AI27" i="23"/>
  <c r="AJ27" i="23"/>
  <c r="AK27" i="23"/>
  <c r="AL27" i="23"/>
  <c r="AM27" i="23"/>
  <c r="AN27" i="23"/>
  <c r="AO27" i="23"/>
  <c r="AP27" i="23"/>
  <c r="AQ27" i="23"/>
  <c r="AR27" i="23"/>
  <c r="AS27" i="23"/>
  <c r="AT27" i="23"/>
  <c r="AU27" i="23"/>
  <c r="AV27" i="23"/>
  <c r="AW27" i="23"/>
  <c r="AX27" i="23"/>
  <c r="AY27" i="23"/>
  <c r="AZ27" i="23"/>
  <c r="BA27" i="23"/>
  <c r="BB27" i="23"/>
  <c r="BC27" i="23"/>
  <c r="BD27" i="23"/>
  <c r="BE27" i="23"/>
  <c r="BF27" i="23"/>
  <c r="BG27" i="23"/>
  <c r="BH27" i="23"/>
  <c r="BI27" i="23"/>
  <c r="BJ27" i="23"/>
  <c r="BK27" i="23"/>
  <c r="BL27" i="23"/>
  <c r="BM27" i="23"/>
  <c r="BN27" i="23"/>
  <c r="BO27" i="23"/>
  <c r="BP27" i="23"/>
  <c r="BQ27" i="23"/>
  <c r="BR27" i="23"/>
  <c r="BS27" i="23"/>
  <c r="BT27" i="23"/>
  <c r="B28" i="23"/>
  <c r="C28" i="23"/>
  <c r="D28" i="23"/>
  <c r="E28" i="23"/>
  <c r="F28" i="23"/>
  <c r="G28" i="23"/>
  <c r="H28" i="23"/>
  <c r="I28" i="23"/>
  <c r="J28" i="23"/>
  <c r="K28" i="23"/>
  <c r="L28" i="23"/>
  <c r="M28" i="23"/>
  <c r="N28" i="23"/>
  <c r="O28" i="23"/>
  <c r="P28" i="23"/>
  <c r="Q28" i="23"/>
  <c r="R28" i="23"/>
  <c r="S28" i="23"/>
  <c r="T28" i="23"/>
  <c r="U28" i="23"/>
  <c r="V28" i="23"/>
  <c r="W28" i="23"/>
  <c r="X28" i="23"/>
  <c r="Y28" i="23"/>
  <c r="Z28" i="23"/>
  <c r="AA28" i="23"/>
  <c r="AB28" i="23"/>
  <c r="AC28" i="23"/>
  <c r="AD28" i="23"/>
  <c r="AE28" i="23"/>
  <c r="AF28" i="23"/>
  <c r="AG28" i="23"/>
  <c r="AH28" i="23"/>
  <c r="AI28" i="23"/>
  <c r="AJ28" i="23"/>
  <c r="AK28" i="23"/>
  <c r="AL28" i="23"/>
  <c r="AM28" i="23"/>
  <c r="AN28" i="23"/>
  <c r="AO28" i="23"/>
  <c r="AP28" i="23"/>
  <c r="AQ28" i="23"/>
  <c r="AR28" i="23"/>
  <c r="AS28" i="23"/>
  <c r="AT28" i="23"/>
  <c r="AU28" i="23"/>
  <c r="AV28" i="23"/>
  <c r="AW28" i="23"/>
  <c r="AX28" i="23"/>
  <c r="AY28" i="23"/>
  <c r="AZ28" i="23"/>
  <c r="BA28" i="23"/>
  <c r="BB28" i="23"/>
  <c r="BC28" i="23"/>
  <c r="BD28" i="23"/>
  <c r="BE28" i="23"/>
  <c r="BF28" i="23"/>
  <c r="BG28" i="23"/>
  <c r="BH28" i="23"/>
  <c r="BI28" i="23"/>
  <c r="BJ28" i="23"/>
  <c r="BK28" i="23"/>
  <c r="BL28" i="23"/>
  <c r="BM28" i="23"/>
  <c r="BN28" i="23"/>
  <c r="BO28" i="23"/>
  <c r="BP28" i="23"/>
  <c r="BQ28" i="23"/>
  <c r="BR28" i="23"/>
  <c r="BS28" i="23"/>
  <c r="BT28" i="23"/>
  <c r="B29" i="23"/>
  <c r="C29" i="23"/>
  <c r="D29" i="23"/>
  <c r="E29" i="23"/>
  <c r="F29" i="23"/>
  <c r="G29" i="23"/>
  <c r="H29" i="23"/>
  <c r="I29" i="23"/>
  <c r="J29" i="23"/>
  <c r="K29" i="23"/>
  <c r="L29" i="23"/>
  <c r="M29" i="23"/>
  <c r="N29" i="23"/>
  <c r="O29" i="23"/>
  <c r="P29" i="23"/>
  <c r="Q29" i="23"/>
  <c r="R29" i="23"/>
  <c r="S29" i="23"/>
  <c r="T29" i="23"/>
  <c r="U29" i="23"/>
  <c r="V29" i="23"/>
  <c r="W29" i="23"/>
  <c r="X29" i="23"/>
  <c r="Y29" i="23"/>
  <c r="Z29" i="23"/>
  <c r="AA29" i="23"/>
  <c r="AB29" i="23"/>
  <c r="AC29" i="23"/>
  <c r="AD29" i="23"/>
  <c r="AE29" i="23"/>
  <c r="AF29" i="23"/>
  <c r="AG29" i="23"/>
  <c r="AH29" i="23"/>
  <c r="AI29" i="23"/>
  <c r="AJ29" i="23"/>
  <c r="AK29" i="23"/>
  <c r="AL29" i="23"/>
  <c r="AM29" i="23"/>
  <c r="AN29" i="23"/>
  <c r="AO29" i="23"/>
  <c r="AP29" i="23"/>
  <c r="AQ29" i="23"/>
  <c r="AR29" i="23"/>
  <c r="AS29" i="23"/>
  <c r="AT29" i="23"/>
  <c r="AU29" i="23"/>
  <c r="AV29" i="23"/>
  <c r="AW29" i="23"/>
  <c r="AX29" i="23"/>
  <c r="AY29" i="23"/>
  <c r="AZ29" i="23"/>
  <c r="BA29" i="23"/>
  <c r="BB29" i="23"/>
  <c r="BC29" i="23"/>
  <c r="BD29" i="23"/>
  <c r="BE29" i="23"/>
  <c r="BF29" i="23"/>
  <c r="BG29" i="23"/>
  <c r="BH29" i="23"/>
  <c r="BI29" i="23"/>
  <c r="BJ29" i="23"/>
  <c r="BK29" i="23"/>
  <c r="BL29" i="23"/>
  <c r="BM29" i="23"/>
  <c r="BN29" i="23"/>
  <c r="BO29" i="23"/>
  <c r="BP29" i="23"/>
  <c r="BQ29" i="23"/>
  <c r="BR29" i="23"/>
  <c r="BS29" i="23"/>
  <c r="BT29" i="23"/>
  <c r="B30" i="23"/>
  <c r="C30" i="23"/>
  <c r="D30" i="23"/>
  <c r="E30" i="23"/>
  <c r="F30" i="23"/>
  <c r="G30" i="23"/>
  <c r="H30" i="23"/>
  <c r="I30" i="23"/>
  <c r="J30" i="23"/>
  <c r="K30" i="23"/>
  <c r="L30" i="23"/>
  <c r="M30" i="23"/>
  <c r="N30" i="23"/>
  <c r="O30" i="23"/>
  <c r="P30" i="23"/>
  <c r="Q30" i="23"/>
  <c r="R30" i="23"/>
  <c r="S30" i="23"/>
  <c r="T30" i="23"/>
  <c r="U30" i="23"/>
  <c r="V30" i="23"/>
  <c r="W30" i="23"/>
  <c r="X30" i="23"/>
  <c r="Y30" i="23"/>
  <c r="Z30" i="23"/>
  <c r="AA30" i="23"/>
  <c r="AB30" i="23"/>
  <c r="AC30" i="23"/>
  <c r="AD30" i="23"/>
  <c r="AE30" i="23"/>
  <c r="AF30" i="23"/>
  <c r="AG30" i="23"/>
  <c r="AH30" i="23"/>
  <c r="AI30" i="23"/>
  <c r="AJ30" i="23"/>
  <c r="AK30" i="23"/>
  <c r="AL30" i="23"/>
  <c r="AM30" i="23"/>
  <c r="AN30" i="23"/>
  <c r="AO30" i="23"/>
  <c r="AP30" i="23"/>
  <c r="AQ30" i="23"/>
  <c r="AR30" i="23"/>
  <c r="AS30" i="23"/>
  <c r="AT30" i="23"/>
  <c r="AU30" i="23"/>
  <c r="AV30" i="23"/>
  <c r="AW30" i="23"/>
  <c r="AX30" i="23"/>
  <c r="AY30" i="23"/>
  <c r="AZ30" i="23"/>
  <c r="BA30" i="23"/>
  <c r="BB30" i="23"/>
  <c r="BC30" i="23"/>
  <c r="BD30" i="23"/>
  <c r="BE30" i="23"/>
  <c r="BF30" i="23"/>
  <c r="BG30" i="23"/>
  <c r="BH30" i="23"/>
  <c r="BI30" i="23"/>
  <c r="BJ30" i="23"/>
  <c r="BK30" i="23"/>
  <c r="BL30" i="23"/>
  <c r="BM30" i="23"/>
  <c r="BN30" i="23"/>
  <c r="BO30" i="23"/>
  <c r="BP30" i="23"/>
  <c r="BQ30" i="23"/>
  <c r="BR30" i="23"/>
  <c r="BS30" i="23"/>
  <c r="BT30" i="23"/>
  <c r="B31" i="23"/>
  <c r="C31" i="23"/>
  <c r="D31" i="23"/>
  <c r="E31" i="23"/>
  <c r="F31" i="23"/>
  <c r="G31" i="23"/>
  <c r="H31" i="23"/>
  <c r="I31" i="23"/>
  <c r="J31" i="23"/>
  <c r="K31" i="23"/>
  <c r="L31" i="23"/>
  <c r="M31" i="23"/>
  <c r="N31" i="23"/>
  <c r="O31" i="23"/>
  <c r="P31" i="23"/>
  <c r="Q31" i="23"/>
  <c r="R31" i="23"/>
  <c r="S31" i="23"/>
  <c r="T31" i="23"/>
  <c r="U31" i="23"/>
  <c r="V31" i="23"/>
  <c r="W31" i="23"/>
  <c r="X31" i="23"/>
  <c r="Y31" i="23"/>
  <c r="Z31" i="23"/>
  <c r="AA31" i="23"/>
  <c r="AB31" i="23"/>
  <c r="AC31" i="23"/>
  <c r="AD31" i="23"/>
  <c r="AE31" i="23"/>
  <c r="AF31" i="23"/>
  <c r="AG31" i="23"/>
  <c r="AH31" i="23"/>
  <c r="AI31" i="23"/>
  <c r="AJ31" i="23"/>
  <c r="AK31" i="23"/>
  <c r="AL31" i="23"/>
  <c r="AM31" i="23"/>
  <c r="AN31" i="23"/>
  <c r="AO31" i="23"/>
  <c r="AP31" i="23"/>
  <c r="AQ31" i="23"/>
  <c r="AR31" i="23"/>
  <c r="AS31" i="23"/>
  <c r="AT31" i="23"/>
  <c r="AU31" i="23"/>
  <c r="AV31" i="23"/>
  <c r="AW31" i="23"/>
  <c r="AX31" i="23"/>
  <c r="AY31" i="23"/>
  <c r="AZ31" i="23"/>
  <c r="BA31" i="23"/>
  <c r="BB31" i="23"/>
  <c r="BC31" i="23"/>
  <c r="BD31" i="23"/>
  <c r="BE31" i="23"/>
  <c r="BF31" i="23"/>
  <c r="BG31" i="23"/>
  <c r="BH31" i="23"/>
  <c r="BI31" i="23"/>
  <c r="BJ31" i="23"/>
  <c r="BK31" i="23"/>
  <c r="BL31" i="23"/>
  <c r="BM31" i="23"/>
  <c r="BN31" i="23"/>
  <c r="BO31" i="23"/>
  <c r="BP31" i="23"/>
  <c r="BQ31" i="23"/>
  <c r="BR31" i="23"/>
  <c r="BS31" i="23"/>
  <c r="BT31" i="23"/>
  <c r="B32" i="23"/>
  <c r="C32" i="23"/>
  <c r="D32" i="23"/>
  <c r="E32" i="23"/>
  <c r="F32" i="23"/>
  <c r="G32" i="23"/>
  <c r="H32" i="23"/>
  <c r="I32" i="23"/>
  <c r="J32" i="23"/>
  <c r="K32" i="23"/>
  <c r="L32" i="23"/>
  <c r="M32" i="23"/>
  <c r="N32" i="23"/>
  <c r="O32" i="23"/>
  <c r="P32" i="23"/>
  <c r="Q32" i="23"/>
  <c r="R32" i="23"/>
  <c r="S32" i="23"/>
  <c r="T32" i="23"/>
  <c r="U32" i="23"/>
  <c r="V32" i="23"/>
  <c r="W32" i="23"/>
  <c r="X32" i="23"/>
  <c r="Y32" i="23"/>
  <c r="Z32" i="23"/>
  <c r="AA32" i="23"/>
  <c r="AB32" i="23"/>
  <c r="AC32" i="23"/>
  <c r="AD32" i="23"/>
  <c r="AE32" i="23"/>
  <c r="AF32" i="23"/>
  <c r="AG32" i="23"/>
  <c r="AH32" i="23"/>
  <c r="AI32" i="23"/>
  <c r="AJ32" i="23"/>
  <c r="AK32" i="23"/>
  <c r="AL32" i="23"/>
  <c r="AM32" i="23"/>
  <c r="AN32" i="23"/>
  <c r="AO32" i="23"/>
  <c r="AP32" i="23"/>
  <c r="AQ32" i="23"/>
  <c r="AR32" i="23"/>
  <c r="AS32" i="23"/>
  <c r="AT32" i="23"/>
  <c r="AU32" i="23"/>
  <c r="AV32" i="23"/>
  <c r="AW32" i="23"/>
  <c r="AX32" i="23"/>
  <c r="AY32" i="23"/>
  <c r="AZ32" i="23"/>
  <c r="BA32" i="23"/>
  <c r="BB32" i="23"/>
  <c r="BC32" i="23"/>
  <c r="BD32" i="23"/>
  <c r="BE32" i="23"/>
  <c r="BF32" i="23"/>
  <c r="BG32" i="23"/>
  <c r="BH32" i="23"/>
  <c r="BI32" i="23"/>
  <c r="BJ32" i="23"/>
  <c r="BK32" i="23"/>
  <c r="BL32" i="23"/>
  <c r="BM32" i="23"/>
  <c r="BN32" i="23"/>
  <c r="BO32" i="23"/>
  <c r="BP32" i="23"/>
  <c r="BQ32" i="23"/>
  <c r="BR32" i="23"/>
  <c r="BS32" i="23"/>
  <c r="BT32" i="23"/>
  <c r="B33" i="23"/>
  <c r="C33" i="23"/>
  <c r="D33" i="23"/>
  <c r="E33" i="23"/>
  <c r="F33" i="23"/>
  <c r="G33" i="23"/>
  <c r="H33" i="23"/>
  <c r="I33" i="23"/>
  <c r="J33" i="23"/>
  <c r="K33" i="23"/>
  <c r="L33" i="23"/>
  <c r="M33" i="23"/>
  <c r="N33" i="23"/>
  <c r="O33" i="23"/>
  <c r="P33" i="23"/>
  <c r="Q33" i="23"/>
  <c r="R33" i="23"/>
  <c r="S33" i="23"/>
  <c r="T33" i="23"/>
  <c r="U33" i="23"/>
  <c r="V33" i="23"/>
  <c r="W33" i="23"/>
  <c r="X33" i="23"/>
  <c r="Y33" i="23"/>
  <c r="Z33" i="23"/>
  <c r="AA33" i="23"/>
  <c r="AB33" i="23"/>
  <c r="AC33" i="23"/>
  <c r="AD33" i="23"/>
  <c r="AE33" i="23"/>
  <c r="AF33" i="23"/>
  <c r="AG33" i="23"/>
  <c r="AH33" i="23"/>
  <c r="AI33" i="23"/>
  <c r="AJ33" i="23"/>
  <c r="AK33" i="23"/>
  <c r="AL33" i="23"/>
  <c r="AM33" i="23"/>
  <c r="AN33" i="23"/>
  <c r="AO33" i="23"/>
  <c r="AP33" i="23"/>
  <c r="AQ33" i="23"/>
  <c r="AR33" i="23"/>
  <c r="AS33" i="23"/>
  <c r="AT33" i="23"/>
  <c r="AU33" i="23"/>
  <c r="AV33" i="23"/>
  <c r="AW33" i="23"/>
  <c r="AX33" i="23"/>
  <c r="AY33" i="23"/>
  <c r="AZ33" i="23"/>
  <c r="BA33" i="23"/>
  <c r="BB33" i="23"/>
  <c r="BC33" i="23"/>
  <c r="BD33" i="23"/>
  <c r="BE33" i="23"/>
  <c r="BF33" i="23"/>
  <c r="BG33" i="23"/>
  <c r="BH33" i="23"/>
  <c r="BI33" i="23"/>
  <c r="BJ33" i="23"/>
  <c r="BK33" i="23"/>
  <c r="BL33" i="23"/>
  <c r="BM33" i="23"/>
  <c r="BN33" i="23"/>
  <c r="BO33" i="23"/>
  <c r="BP33" i="23"/>
  <c r="BQ33" i="23"/>
  <c r="BR33" i="23"/>
  <c r="BS33" i="23"/>
  <c r="BT33" i="23"/>
  <c r="B34" i="23"/>
  <c r="C34" i="23"/>
  <c r="D34" i="23"/>
  <c r="E34" i="23"/>
  <c r="F34" i="23"/>
  <c r="G34" i="23"/>
  <c r="H34" i="23"/>
  <c r="I34" i="23"/>
  <c r="J34" i="23"/>
  <c r="K34" i="23"/>
  <c r="L34" i="23"/>
  <c r="M34" i="23"/>
  <c r="N34" i="23"/>
  <c r="O34" i="23"/>
  <c r="P34" i="23"/>
  <c r="Q34" i="23"/>
  <c r="R34" i="23"/>
  <c r="S34" i="23"/>
  <c r="T34" i="23"/>
  <c r="U34" i="23"/>
  <c r="V34" i="23"/>
  <c r="W34" i="23"/>
  <c r="X34" i="23"/>
  <c r="Y34" i="23"/>
  <c r="Z34" i="23"/>
  <c r="AA34" i="23"/>
  <c r="AB34" i="23"/>
  <c r="AC34" i="23"/>
  <c r="AD34" i="23"/>
  <c r="AE34" i="23"/>
  <c r="AF34" i="23"/>
  <c r="AG34" i="23"/>
  <c r="AH34" i="23"/>
  <c r="AI34" i="23"/>
  <c r="AJ34" i="23"/>
  <c r="AK34" i="23"/>
  <c r="AL34" i="23"/>
  <c r="AM34" i="23"/>
  <c r="AN34" i="23"/>
  <c r="AO34" i="23"/>
  <c r="AP34" i="23"/>
  <c r="AQ34" i="23"/>
  <c r="AR34" i="23"/>
  <c r="AS34" i="23"/>
  <c r="AT34" i="23"/>
  <c r="AU34" i="23"/>
  <c r="AV34" i="23"/>
  <c r="AW34" i="23"/>
  <c r="AX34" i="23"/>
  <c r="AY34" i="23"/>
  <c r="AZ34" i="23"/>
  <c r="BA34" i="23"/>
  <c r="BB34" i="23"/>
  <c r="BC34" i="23"/>
  <c r="BD34" i="23"/>
  <c r="BE34" i="23"/>
  <c r="BF34" i="23"/>
  <c r="BG34" i="23"/>
  <c r="BH34" i="23"/>
  <c r="BI34" i="23"/>
  <c r="BJ34" i="23"/>
  <c r="BK34" i="23"/>
  <c r="BL34" i="23"/>
  <c r="BM34" i="23"/>
  <c r="BN34" i="23"/>
  <c r="BO34" i="23"/>
  <c r="BP34" i="23"/>
  <c r="BQ34" i="23"/>
  <c r="BR34" i="23"/>
  <c r="BS34" i="23"/>
  <c r="BT34" i="23"/>
  <c r="B35" i="23"/>
  <c r="C35" i="23"/>
  <c r="D35" i="23"/>
  <c r="E35" i="23"/>
  <c r="F35" i="23"/>
  <c r="G35" i="23"/>
  <c r="H35" i="23"/>
  <c r="I35" i="23"/>
  <c r="J35" i="23"/>
  <c r="K35" i="23"/>
  <c r="L35" i="23"/>
  <c r="M35" i="23"/>
  <c r="N35" i="23"/>
  <c r="O35" i="23"/>
  <c r="P35" i="23"/>
  <c r="Q35" i="23"/>
  <c r="R35" i="23"/>
  <c r="S35" i="23"/>
  <c r="T35" i="23"/>
  <c r="U35" i="23"/>
  <c r="V35" i="23"/>
  <c r="W35" i="23"/>
  <c r="X35" i="23"/>
  <c r="Y35" i="23"/>
  <c r="Z35" i="23"/>
  <c r="AA35" i="23"/>
  <c r="AB35" i="23"/>
  <c r="AC35" i="23"/>
  <c r="AD35" i="23"/>
  <c r="AE35" i="23"/>
  <c r="AF35" i="23"/>
  <c r="AG35" i="23"/>
  <c r="AH35" i="23"/>
  <c r="AI35" i="23"/>
  <c r="AJ35" i="23"/>
  <c r="AK35" i="23"/>
  <c r="AL35" i="23"/>
  <c r="AM35" i="23"/>
  <c r="AN35" i="23"/>
  <c r="AO35" i="23"/>
  <c r="AP35" i="23"/>
  <c r="AQ35" i="23"/>
  <c r="AR35" i="23"/>
  <c r="AS35" i="23"/>
  <c r="AT35" i="23"/>
  <c r="AU35" i="23"/>
  <c r="AV35" i="23"/>
  <c r="AW35" i="23"/>
  <c r="AX35" i="23"/>
  <c r="AY35" i="23"/>
  <c r="AZ35" i="23"/>
  <c r="BA35" i="23"/>
  <c r="BB35" i="23"/>
  <c r="BC35" i="23"/>
  <c r="BD35" i="23"/>
  <c r="BE35" i="23"/>
  <c r="BF35" i="23"/>
  <c r="BG35" i="23"/>
  <c r="BH35" i="23"/>
  <c r="BI35" i="23"/>
  <c r="BJ35" i="23"/>
  <c r="BK35" i="23"/>
  <c r="BL35" i="23"/>
  <c r="BM35" i="23"/>
  <c r="BN35" i="23"/>
  <c r="BO35" i="23"/>
  <c r="BP35" i="23"/>
  <c r="BQ35" i="23"/>
  <c r="BR35" i="23"/>
  <c r="BS35" i="23"/>
  <c r="BT35" i="23"/>
  <c r="B36" i="23"/>
  <c r="C36" i="23"/>
  <c r="D36" i="23"/>
  <c r="E36" i="23"/>
  <c r="F36" i="23"/>
  <c r="G36" i="23"/>
  <c r="H36" i="23"/>
  <c r="I36" i="23"/>
  <c r="J36" i="23"/>
  <c r="K36" i="23"/>
  <c r="L36" i="23"/>
  <c r="M36" i="23"/>
  <c r="N36" i="23"/>
  <c r="O36" i="23"/>
  <c r="P36" i="23"/>
  <c r="Q36" i="23"/>
  <c r="R36" i="23"/>
  <c r="S36" i="23"/>
  <c r="T36" i="23"/>
  <c r="U36" i="23"/>
  <c r="V36" i="23"/>
  <c r="W36" i="23"/>
  <c r="X36" i="23"/>
  <c r="Y36" i="23"/>
  <c r="Z36" i="23"/>
  <c r="AA36" i="23"/>
  <c r="AB36" i="23"/>
  <c r="AC36" i="23"/>
  <c r="AD36" i="23"/>
  <c r="AE36" i="23"/>
  <c r="AF36" i="23"/>
  <c r="AG36" i="23"/>
  <c r="AH36" i="23"/>
  <c r="AI36" i="23"/>
  <c r="AJ36" i="23"/>
  <c r="AK36" i="23"/>
  <c r="AL36" i="23"/>
  <c r="AM36" i="23"/>
  <c r="AN36" i="23"/>
  <c r="AO36" i="23"/>
  <c r="AP36" i="23"/>
  <c r="AQ36" i="23"/>
  <c r="AR36" i="23"/>
  <c r="AS36" i="23"/>
  <c r="AT36" i="23"/>
  <c r="AU36" i="23"/>
  <c r="AV36" i="23"/>
  <c r="AW36" i="23"/>
  <c r="AX36" i="23"/>
  <c r="AY36" i="23"/>
  <c r="AZ36" i="23"/>
  <c r="BA36" i="23"/>
  <c r="BB36" i="23"/>
  <c r="BC36" i="23"/>
  <c r="BD36" i="23"/>
  <c r="BE36" i="23"/>
  <c r="BF36" i="23"/>
  <c r="BG36" i="23"/>
  <c r="BH36" i="23"/>
  <c r="BI36" i="23"/>
  <c r="BJ36" i="23"/>
  <c r="BK36" i="23"/>
  <c r="BL36" i="23"/>
  <c r="BM36" i="23"/>
  <c r="BN36" i="23"/>
  <c r="BO36" i="23"/>
  <c r="BP36" i="23"/>
  <c r="BQ36" i="23"/>
  <c r="BR36" i="23"/>
  <c r="BS36" i="23"/>
  <c r="BT36" i="23"/>
  <c r="B37" i="23"/>
  <c r="C37" i="23"/>
  <c r="D37" i="23"/>
  <c r="E37" i="23"/>
  <c r="F37" i="23"/>
  <c r="G37" i="23"/>
  <c r="H37" i="23"/>
  <c r="I37" i="23"/>
  <c r="J37" i="23"/>
  <c r="K37" i="23"/>
  <c r="L37" i="23"/>
  <c r="M37" i="23"/>
  <c r="N37" i="23"/>
  <c r="O37" i="23"/>
  <c r="P37" i="23"/>
  <c r="Q37" i="23"/>
  <c r="R37" i="23"/>
  <c r="S37" i="23"/>
  <c r="T37" i="23"/>
  <c r="U37" i="23"/>
  <c r="V37" i="23"/>
  <c r="W37" i="23"/>
  <c r="X37" i="23"/>
  <c r="Y37" i="23"/>
  <c r="Z37" i="23"/>
  <c r="AA37" i="23"/>
  <c r="AB37" i="23"/>
  <c r="AC37" i="23"/>
  <c r="AD37" i="23"/>
  <c r="AE37" i="23"/>
  <c r="AF37" i="23"/>
  <c r="AG37" i="23"/>
  <c r="AH37" i="23"/>
  <c r="AI37" i="23"/>
  <c r="AJ37" i="23"/>
  <c r="AK37" i="23"/>
  <c r="AL37" i="23"/>
  <c r="AM37" i="23"/>
  <c r="AN37" i="23"/>
  <c r="AO37" i="23"/>
  <c r="AP37" i="23"/>
  <c r="AQ37" i="23"/>
  <c r="AR37" i="23"/>
  <c r="AS37" i="23"/>
  <c r="AT37" i="23"/>
  <c r="AU37" i="23"/>
  <c r="AV37" i="23"/>
  <c r="AW37" i="23"/>
  <c r="AX37" i="23"/>
  <c r="AY37" i="23"/>
  <c r="AZ37" i="23"/>
  <c r="BA37" i="23"/>
  <c r="BB37" i="23"/>
  <c r="BC37" i="23"/>
  <c r="BD37" i="23"/>
  <c r="BE37" i="23"/>
  <c r="BF37" i="23"/>
  <c r="BG37" i="23"/>
  <c r="BH37" i="23"/>
  <c r="BI37" i="23"/>
  <c r="BJ37" i="23"/>
  <c r="BK37" i="23"/>
  <c r="BL37" i="23"/>
  <c r="BM37" i="23"/>
  <c r="BN37" i="23"/>
  <c r="BO37" i="23"/>
  <c r="BP37" i="23"/>
  <c r="BQ37" i="23"/>
  <c r="BR37" i="23"/>
  <c r="BS37" i="23"/>
  <c r="BT37" i="23"/>
  <c r="B38" i="23"/>
  <c r="C38" i="23"/>
  <c r="D38" i="23"/>
  <c r="E38" i="23"/>
  <c r="F38" i="23"/>
  <c r="G38" i="23"/>
  <c r="H38" i="23"/>
  <c r="I38" i="23"/>
  <c r="J38" i="23"/>
  <c r="K38" i="23"/>
  <c r="L38" i="23"/>
  <c r="M38" i="23"/>
  <c r="N38" i="23"/>
  <c r="O38" i="23"/>
  <c r="P38" i="23"/>
  <c r="Q38" i="23"/>
  <c r="R38" i="23"/>
  <c r="S38" i="23"/>
  <c r="T38" i="23"/>
  <c r="U38" i="23"/>
  <c r="V38" i="23"/>
  <c r="W38" i="23"/>
  <c r="X38" i="23"/>
  <c r="Y38" i="23"/>
  <c r="Z38" i="23"/>
  <c r="AA38" i="23"/>
  <c r="AB38" i="23"/>
  <c r="AC38" i="23"/>
  <c r="AD38" i="23"/>
  <c r="AE38" i="23"/>
  <c r="AF38" i="23"/>
  <c r="AG38" i="23"/>
  <c r="AH38" i="23"/>
  <c r="AI38" i="23"/>
  <c r="AJ38" i="23"/>
  <c r="AK38" i="23"/>
  <c r="AL38" i="23"/>
  <c r="AM38" i="23"/>
  <c r="AN38" i="23"/>
  <c r="AO38" i="23"/>
  <c r="AP38" i="23"/>
  <c r="AQ38" i="23"/>
  <c r="AR38" i="23"/>
  <c r="AS38" i="23"/>
  <c r="AT38" i="23"/>
  <c r="AU38" i="23"/>
  <c r="AV38" i="23"/>
  <c r="AW38" i="23"/>
  <c r="AX38" i="23"/>
  <c r="AY38" i="23"/>
  <c r="AZ38" i="23"/>
  <c r="BA38" i="23"/>
  <c r="BB38" i="23"/>
  <c r="BC38" i="23"/>
  <c r="BD38" i="23"/>
  <c r="BE38" i="23"/>
  <c r="BF38" i="23"/>
  <c r="BG38" i="23"/>
  <c r="BH38" i="23"/>
  <c r="BI38" i="23"/>
  <c r="BJ38" i="23"/>
  <c r="BK38" i="23"/>
  <c r="BL38" i="23"/>
  <c r="BM38" i="23"/>
  <c r="BN38" i="23"/>
  <c r="BO38" i="23"/>
  <c r="BP38" i="23"/>
  <c r="BQ38" i="23"/>
  <c r="BR38" i="23"/>
  <c r="BS38" i="23"/>
  <c r="BT38" i="23"/>
  <c r="B39" i="23"/>
  <c r="C39" i="23"/>
  <c r="D39" i="23"/>
  <c r="E39" i="23"/>
  <c r="F39" i="23"/>
  <c r="G39" i="23"/>
  <c r="H39" i="23"/>
  <c r="I39" i="23"/>
  <c r="J39" i="23"/>
  <c r="K39" i="23"/>
  <c r="L39" i="23"/>
  <c r="M39" i="23"/>
  <c r="N39" i="23"/>
  <c r="O39" i="23"/>
  <c r="P39" i="23"/>
  <c r="Q39" i="23"/>
  <c r="R39" i="23"/>
  <c r="S39" i="23"/>
  <c r="T39" i="23"/>
  <c r="U39" i="23"/>
  <c r="V39" i="23"/>
  <c r="W39" i="23"/>
  <c r="X39" i="23"/>
  <c r="Y39" i="23"/>
  <c r="Z39" i="23"/>
  <c r="AA39" i="23"/>
  <c r="AB39" i="23"/>
  <c r="AC39" i="23"/>
  <c r="AD39" i="23"/>
  <c r="AE39" i="23"/>
  <c r="AF39" i="23"/>
  <c r="AG39" i="23"/>
  <c r="AH39" i="23"/>
  <c r="AI39" i="23"/>
  <c r="AJ39" i="23"/>
  <c r="AK39" i="23"/>
  <c r="AL39" i="23"/>
  <c r="AM39" i="23"/>
  <c r="AN39" i="23"/>
  <c r="AO39" i="23"/>
  <c r="AP39" i="23"/>
  <c r="AQ39" i="23"/>
  <c r="AR39" i="23"/>
  <c r="AS39" i="23"/>
  <c r="AT39" i="23"/>
  <c r="AU39" i="23"/>
  <c r="AV39" i="23"/>
  <c r="AW39" i="23"/>
  <c r="AX39" i="23"/>
  <c r="AY39" i="23"/>
  <c r="AZ39" i="23"/>
  <c r="BA39" i="23"/>
  <c r="BB39" i="23"/>
  <c r="BC39" i="23"/>
  <c r="BD39" i="23"/>
  <c r="BE39" i="23"/>
  <c r="BF39" i="23"/>
  <c r="BG39" i="23"/>
  <c r="BH39" i="23"/>
  <c r="BI39" i="23"/>
  <c r="BJ39" i="23"/>
  <c r="BK39" i="23"/>
  <c r="BL39" i="23"/>
  <c r="BM39" i="23"/>
  <c r="BN39" i="23"/>
  <c r="BO39" i="23"/>
  <c r="BP39" i="23"/>
  <c r="BQ39" i="23"/>
  <c r="BR39" i="23"/>
  <c r="BS39" i="23"/>
  <c r="BT39" i="23"/>
  <c r="B40" i="23"/>
  <c r="C40" i="23"/>
  <c r="D40" i="23"/>
  <c r="E40" i="23"/>
  <c r="F40" i="23"/>
  <c r="G40" i="23"/>
  <c r="H40" i="23"/>
  <c r="I40" i="23"/>
  <c r="J40" i="23"/>
  <c r="K40" i="23"/>
  <c r="L40" i="23"/>
  <c r="M40" i="23"/>
  <c r="N40" i="23"/>
  <c r="O40" i="23"/>
  <c r="P40" i="23"/>
  <c r="Q40" i="23"/>
  <c r="R40" i="23"/>
  <c r="S40" i="23"/>
  <c r="T40" i="23"/>
  <c r="U40" i="23"/>
  <c r="V40" i="23"/>
  <c r="W40" i="23"/>
  <c r="X40" i="23"/>
  <c r="Y40" i="23"/>
  <c r="Z40" i="23"/>
  <c r="AA40" i="23"/>
  <c r="AB40" i="23"/>
  <c r="AC40" i="23"/>
  <c r="AD40" i="23"/>
  <c r="AE40" i="23"/>
  <c r="AF40" i="23"/>
  <c r="AG40" i="23"/>
  <c r="AH40" i="23"/>
  <c r="AI40" i="23"/>
  <c r="AJ40" i="23"/>
  <c r="AK40" i="23"/>
  <c r="AL40" i="23"/>
  <c r="AM40" i="23"/>
  <c r="AN40" i="23"/>
  <c r="AO40" i="23"/>
  <c r="AP40" i="23"/>
  <c r="AQ40" i="23"/>
  <c r="AR40" i="23"/>
  <c r="AS40" i="23"/>
  <c r="AT40" i="23"/>
  <c r="AU40" i="23"/>
  <c r="AV40" i="23"/>
  <c r="AW40" i="23"/>
  <c r="AX40" i="23"/>
  <c r="AY40" i="23"/>
  <c r="AZ40" i="23"/>
  <c r="BA40" i="23"/>
  <c r="BB40" i="23"/>
  <c r="BC40" i="23"/>
  <c r="BD40" i="23"/>
  <c r="BE40" i="23"/>
  <c r="BF40" i="23"/>
  <c r="BG40" i="23"/>
  <c r="BH40" i="23"/>
  <c r="BI40" i="23"/>
  <c r="BJ40" i="23"/>
  <c r="BK40" i="23"/>
  <c r="BL40" i="23"/>
  <c r="BM40" i="23"/>
  <c r="BN40" i="23"/>
  <c r="BO40" i="23"/>
  <c r="BP40" i="23"/>
  <c r="BQ40" i="23"/>
  <c r="BR40" i="23"/>
  <c r="BS40" i="23"/>
  <c r="BT40" i="23"/>
  <c r="B41" i="23"/>
  <c r="C41" i="23"/>
  <c r="D41" i="23"/>
  <c r="E41" i="23"/>
  <c r="F41" i="23"/>
  <c r="G41" i="23"/>
  <c r="H41" i="23"/>
  <c r="I41" i="23"/>
  <c r="J41" i="23"/>
  <c r="K41" i="23"/>
  <c r="L41" i="23"/>
  <c r="M41" i="23"/>
  <c r="N41" i="23"/>
  <c r="O41" i="23"/>
  <c r="P41" i="23"/>
  <c r="Q41" i="23"/>
  <c r="R41" i="23"/>
  <c r="S41" i="23"/>
  <c r="T41" i="23"/>
  <c r="U41" i="23"/>
  <c r="V41" i="23"/>
  <c r="W41" i="23"/>
  <c r="X41" i="23"/>
  <c r="Y41" i="23"/>
  <c r="Z41" i="23"/>
  <c r="AA41" i="23"/>
  <c r="AB41" i="23"/>
  <c r="AC41" i="23"/>
  <c r="AD41" i="23"/>
  <c r="AE41" i="23"/>
  <c r="AF41" i="23"/>
  <c r="AG41" i="23"/>
  <c r="AH41" i="23"/>
  <c r="AI41" i="23"/>
  <c r="AJ41" i="23"/>
  <c r="AK41" i="23"/>
  <c r="AL41" i="23"/>
  <c r="AM41" i="23"/>
  <c r="AN41" i="23"/>
  <c r="AO41" i="23"/>
  <c r="AP41" i="23"/>
  <c r="AQ41" i="23"/>
  <c r="AR41" i="23"/>
  <c r="AS41" i="23"/>
  <c r="AT41" i="23"/>
  <c r="AU41" i="23"/>
  <c r="AV41" i="23"/>
  <c r="AW41" i="23"/>
  <c r="AX41" i="23"/>
  <c r="AY41" i="23"/>
  <c r="AZ41" i="23"/>
  <c r="BA41" i="23"/>
  <c r="BB41" i="23"/>
  <c r="BC41" i="23"/>
  <c r="BD41" i="23"/>
  <c r="BE41" i="23"/>
  <c r="BF41" i="23"/>
  <c r="BG41" i="23"/>
  <c r="BH41" i="23"/>
  <c r="BI41" i="23"/>
  <c r="BJ41" i="23"/>
  <c r="BK41" i="23"/>
  <c r="BL41" i="23"/>
  <c r="BM41" i="23"/>
  <c r="BN41" i="23"/>
  <c r="BO41" i="23"/>
  <c r="BP41" i="23"/>
  <c r="BQ41" i="23"/>
  <c r="BR41" i="23"/>
  <c r="BS41" i="23"/>
  <c r="BT41" i="23"/>
  <c r="B42" i="23"/>
  <c r="C42" i="23"/>
  <c r="D42" i="23"/>
  <c r="E42" i="23"/>
  <c r="F42" i="23"/>
  <c r="G42" i="23"/>
  <c r="H42" i="23"/>
  <c r="I42" i="23"/>
  <c r="J42" i="23"/>
  <c r="K42" i="23"/>
  <c r="L42" i="23"/>
  <c r="M42" i="23"/>
  <c r="N42" i="23"/>
  <c r="O42" i="23"/>
  <c r="P42" i="23"/>
  <c r="Q42" i="23"/>
  <c r="R42" i="23"/>
  <c r="S42" i="23"/>
  <c r="T42" i="23"/>
  <c r="U42" i="23"/>
  <c r="V42" i="23"/>
  <c r="W42" i="23"/>
  <c r="X42" i="23"/>
  <c r="Y42" i="23"/>
  <c r="Z42" i="23"/>
  <c r="AA42" i="23"/>
  <c r="AB42" i="23"/>
  <c r="AC42" i="23"/>
  <c r="AD42" i="23"/>
  <c r="AE42" i="23"/>
  <c r="AF42" i="23"/>
  <c r="AG42" i="23"/>
  <c r="AH42" i="23"/>
  <c r="AI42" i="23"/>
  <c r="AJ42" i="23"/>
  <c r="AK42" i="23"/>
  <c r="AL42" i="23"/>
  <c r="AM42" i="23"/>
  <c r="AN42" i="23"/>
  <c r="AO42" i="23"/>
  <c r="AP42" i="23"/>
  <c r="AQ42" i="23"/>
  <c r="AR42" i="23"/>
  <c r="AS42" i="23"/>
  <c r="AT42" i="23"/>
  <c r="AU42" i="23"/>
  <c r="AV42" i="23"/>
  <c r="AW42" i="23"/>
  <c r="AX42" i="23"/>
  <c r="AY42" i="23"/>
  <c r="AZ42" i="23"/>
  <c r="BA42" i="23"/>
  <c r="BB42" i="23"/>
  <c r="BC42" i="23"/>
  <c r="BD42" i="23"/>
  <c r="BE42" i="23"/>
  <c r="BF42" i="23"/>
  <c r="BG42" i="23"/>
  <c r="BH42" i="23"/>
  <c r="BI42" i="23"/>
  <c r="BJ42" i="23"/>
  <c r="BK42" i="23"/>
  <c r="BL42" i="23"/>
  <c r="BM42" i="23"/>
  <c r="BN42" i="23"/>
  <c r="BO42" i="23"/>
  <c r="BP42" i="23"/>
  <c r="BQ42" i="23"/>
  <c r="BR42" i="23"/>
  <c r="BS42" i="23"/>
  <c r="BT42" i="23"/>
  <c r="B43" i="23"/>
  <c r="C43" i="23"/>
  <c r="D43" i="23"/>
  <c r="E43" i="23"/>
  <c r="F43" i="23"/>
  <c r="G43" i="23"/>
  <c r="H43" i="23"/>
  <c r="I43" i="23"/>
  <c r="J43" i="23"/>
  <c r="K43" i="23"/>
  <c r="L43" i="23"/>
  <c r="M43" i="23"/>
  <c r="N43" i="23"/>
  <c r="O43" i="23"/>
  <c r="P43" i="23"/>
  <c r="Q43" i="23"/>
  <c r="R43" i="23"/>
  <c r="S43" i="23"/>
  <c r="T43" i="23"/>
  <c r="U43" i="23"/>
  <c r="V43" i="23"/>
  <c r="W43" i="23"/>
  <c r="X43" i="23"/>
  <c r="Y43" i="23"/>
  <c r="Z43" i="23"/>
  <c r="AA43" i="23"/>
  <c r="AB43" i="23"/>
  <c r="AC43" i="23"/>
  <c r="AD43" i="23"/>
  <c r="AE43" i="23"/>
  <c r="AF43" i="23"/>
  <c r="AG43" i="23"/>
  <c r="AH43" i="23"/>
  <c r="AI43" i="23"/>
  <c r="AJ43" i="23"/>
  <c r="AK43" i="23"/>
  <c r="AL43" i="23"/>
  <c r="AM43" i="23"/>
  <c r="AN43" i="23"/>
  <c r="AO43" i="23"/>
  <c r="AP43" i="23"/>
  <c r="AQ43" i="23"/>
  <c r="AR43" i="23"/>
  <c r="AS43" i="23"/>
  <c r="AT43" i="23"/>
  <c r="AU43" i="23"/>
  <c r="AV43" i="23"/>
  <c r="AW43" i="23"/>
  <c r="AX43" i="23"/>
  <c r="AY43" i="23"/>
  <c r="AZ43" i="23"/>
  <c r="BA43" i="23"/>
  <c r="BB43" i="23"/>
  <c r="BC43" i="23"/>
  <c r="BD43" i="23"/>
  <c r="BE43" i="23"/>
  <c r="BF43" i="23"/>
  <c r="BG43" i="23"/>
  <c r="BH43" i="23"/>
  <c r="BI43" i="23"/>
  <c r="BJ43" i="23"/>
  <c r="BK43" i="23"/>
  <c r="BL43" i="23"/>
  <c r="BM43" i="23"/>
  <c r="BN43" i="23"/>
  <c r="BO43" i="23"/>
  <c r="BP43" i="23"/>
  <c r="BQ43" i="23"/>
  <c r="BR43" i="23"/>
  <c r="BS43" i="23"/>
  <c r="BT43" i="23"/>
  <c r="B44" i="23"/>
  <c r="C44" i="23"/>
  <c r="D44" i="23"/>
  <c r="E44" i="23"/>
  <c r="F44" i="23"/>
  <c r="G44" i="23"/>
  <c r="H44" i="23"/>
  <c r="I44" i="23"/>
  <c r="J44" i="23"/>
  <c r="K44" i="23"/>
  <c r="L44" i="23"/>
  <c r="M44" i="23"/>
  <c r="N44" i="23"/>
  <c r="O44" i="23"/>
  <c r="P44" i="23"/>
  <c r="Q44" i="23"/>
  <c r="R44" i="23"/>
  <c r="S44" i="23"/>
  <c r="T44" i="23"/>
  <c r="U44" i="23"/>
  <c r="V44" i="23"/>
  <c r="W44" i="23"/>
  <c r="X44" i="23"/>
  <c r="Y44" i="23"/>
  <c r="Z44" i="23"/>
  <c r="AA44" i="23"/>
  <c r="AB44" i="23"/>
  <c r="AC44" i="23"/>
  <c r="AD44" i="23"/>
  <c r="AE44" i="23"/>
  <c r="AF44" i="23"/>
  <c r="AG44" i="23"/>
  <c r="AH44" i="23"/>
  <c r="AI44" i="23"/>
  <c r="AJ44" i="23"/>
  <c r="AK44" i="23"/>
  <c r="AL44" i="23"/>
  <c r="AM44" i="23"/>
  <c r="AN44" i="23"/>
  <c r="AO44" i="23"/>
  <c r="AP44" i="23"/>
  <c r="AQ44" i="23"/>
  <c r="AR44" i="23"/>
  <c r="AS44" i="23"/>
  <c r="AT44" i="23"/>
  <c r="AU44" i="23"/>
  <c r="AV44" i="23"/>
  <c r="AW44" i="23"/>
  <c r="AX44" i="23"/>
  <c r="AY44" i="23"/>
  <c r="AZ44" i="23"/>
  <c r="BA44" i="23"/>
  <c r="BB44" i="23"/>
  <c r="BC44" i="23"/>
  <c r="BD44" i="23"/>
  <c r="BE44" i="23"/>
  <c r="BF44" i="23"/>
  <c r="BG44" i="23"/>
  <c r="BH44" i="23"/>
  <c r="BI44" i="23"/>
  <c r="BJ44" i="23"/>
  <c r="BK44" i="23"/>
  <c r="BL44" i="23"/>
  <c r="BM44" i="23"/>
  <c r="BN44" i="23"/>
  <c r="BO44" i="23"/>
  <c r="BP44" i="23"/>
  <c r="BQ44" i="23"/>
  <c r="BR44" i="23"/>
  <c r="BS44" i="23"/>
  <c r="BT44" i="23"/>
  <c r="B45" i="23"/>
  <c r="C45" i="23"/>
  <c r="D45" i="23"/>
  <c r="E45" i="23"/>
  <c r="F45" i="23"/>
  <c r="G45" i="23"/>
  <c r="H45" i="23"/>
  <c r="I45" i="23"/>
  <c r="J45" i="23"/>
  <c r="K45" i="23"/>
  <c r="L45" i="23"/>
  <c r="M45" i="23"/>
  <c r="N45" i="23"/>
  <c r="O45" i="23"/>
  <c r="P45" i="23"/>
  <c r="Q45" i="23"/>
  <c r="R45" i="23"/>
  <c r="S45" i="23"/>
  <c r="T45" i="23"/>
  <c r="U45" i="23"/>
  <c r="V45" i="23"/>
  <c r="W45" i="23"/>
  <c r="X45" i="23"/>
  <c r="Y45" i="23"/>
  <c r="Z45" i="23"/>
  <c r="AA45" i="23"/>
  <c r="AB45" i="23"/>
  <c r="AC45" i="23"/>
  <c r="AD45" i="23"/>
  <c r="AE45" i="23"/>
  <c r="AF45" i="23"/>
  <c r="AG45" i="23"/>
  <c r="AH45" i="23"/>
  <c r="AI45" i="23"/>
  <c r="AJ45" i="23"/>
  <c r="AK45" i="23"/>
  <c r="AL45" i="23"/>
  <c r="AM45" i="23"/>
  <c r="AN45" i="23"/>
  <c r="AO45" i="23"/>
  <c r="AP45" i="23"/>
  <c r="AQ45" i="23"/>
  <c r="AR45" i="23"/>
  <c r="AS45" i="23"/>
  <c r="AT45" i="23"/>
  <c r="AU45" i="23"/>
  <c r="AV45" i="23"/>
  <c r="AW45" i="23"/>
  <c r="AX45" i="23"/>
  <c r="AY45" i="23"/>
  <c r="AZ45" i="23"/>
  <c r="BA45" i="23"/>
  <c r="BB45" i="23"/>
  <c r="BC45" i="23"/>
  <c r="BD45" i="23"/>
  <c r="BE45" i="23"/>
  <c r="BF45" i="23"/>
  <c r="BG45" i="23"/>
  <c r="BH45" i="23"/>
  <c r="BI45" i="23"/>
  <c r="BJ45" i="23"/>
  <c r="BK45" i="23"/>
  <c r="BL45" i="23"/>
  <c r="BM45" i="23"/>
  <c r="BN45" i="23"/>
  <c r="BO45" i="23"/>
  <c r="BP45" i="23"/>
  <c r="BQ45" i="23"/>
  <c r="BR45" i="23"/>
  <c r="BS45" i="23"/>
  <c r="BT45" i="23"/>
  <c r="B46" i="23"/>
  <c r="C46" i="23"/>
  <c r="D46" i="23"/>
  <c r="E46" i="23"/>
  <c r="F46" i="23"/>
  <c r="G46" i="23"/>
  <c r="H46" i="23"/>
  <c r="I46" i="23"/>
  <c r="J46" i="23"/>
  <c r="K46" i="23"/>
  <c r="L46" i="23"/>
  <c r="M46" i="23"/>
  <c r="N46" i="23"/>
  <c r="O46" i="23"/>
  <c r="P46" i="23"/>
  <c r="Q46" i="23"/>
  <c r="R46" i="23"/>
  <c r="S46" i="23"/>
  <c r="T46" i="23"/>
  <c r="U46" i="23"/>
  <c r="V46" i="23"/>
  <c r="W46" i="23"/>
  <c r="X46" i="23"/>
  <c r="Y46" i="23"/>
  <c r="Z46" i="23"/>
  <c r="AA46" i="23"/>
  <c r="AB46" i="23"/>
  <c r="AC46" i="23"/>
  <c r="AD46" i="23"/>
  <c r="AE46" i="23"/>
  <c r="AF46" i="23"/>
  <c r="AG46" i="23"/>
  <c r="AH46" i="23"/>
  <c r="AI46" i="23"/>
  <c r="AJ46" i="23"/>
  <c r="AK46" i="23"/>
  <c r="AL46" i="23"/>
  <c r="AM46" i="23"/>
  <c r="AN46" i="23"/>
  <c r="AO46" i="23"/>
  <c r="AP46" i="23"/>
  <c r="AQ46" i="23"/>
  <c r="AR46" i="23"/>
  <c r="AS46" i="23"/>
  <c r="AT46" i="23"/>
  <c r="AU46" i="23"/>
  <c r="AV46" i="23"/>
  <c r="AW46" i="23"/>
  <c r="AX46" i="23"/>
  <c r="AY46" i="23"/>
  <c r="AZ46" i="23"/>
  <c r="BA46" i="23"/>
  <c r="BB46" i="23"/>
  <c r="BC46" i="23"/>
  <c r="BD46" i="23"/>
  <c r="BE46" i="23"/>
  <c r="BF46" i="23"/>
  <c r="BG46" i="23"/>
  <c r="BH46" i="23"/>
  <c r="BI46" i="23"/>
  <c r="BJ46" i="23"/>
  <c r="BK46" i="23"/>
  <c r="BL46" i="23"/>
  <c r="BM46" i="23"/>
  <c r="BN46" i="23"/>
  <c r="BO46" i="23"/>
  <c r="BP46" i="23"/>
  <c r="BQ46" i="23"/>
  <c r="BR46" i="23"/>
  <c r="BS46" i="23"/>
  <c r="BT46" i="23"/>
  <c r="B47" i="23"/>
  <c r="C47" i="23"/>
  <c r="D47" i="23"/>
  <c r="E47" i="23"/>
  <c r="F47" i="23"/>
  <c r="G47" i="23"/>
  <c r="H47" i="23"/>
  <c r="I47" i="23"/>
  <c r="J47" i="23"/>
  <c r="K47" i="23"/>
  <c r="L47" i="23"/>
  <c r="M47" i="23"/>
  <c r="N47" i="23"/>
  <c r="O47" i="23"/>
  <c r="P47" i="23"/>
  <c r="Q47" i="23"/>
  <c r="R47" i="23"/>
  <c r="S47" i="23"/>
  <c r="T47" i="23"/>
  <c r="U47" i="23"/>
  <c r="V47" i="23"/>
  <c r="W47" i="23"/>
  <c r="X47" i="23"/>
  <c r="Y47" i="23"/>
  <c r="Z47" i="23"/>
  <c r="AA47" i="23"/>
  <c r="AB47" i="23"/>
  <c r="AC47" i="23"/>
  <c r="AD47" i="23"/>
  <c r="AE47" i="23"/>
  <c r="AF47" i="23"/>
  <c r="AG47" i="23"/>
  <c r="AH47" i="23"/>
  <c r="AI47" i="23"/>
  <c r="AJ47" i="23"/>
  <c r="AK47" i="23"/>
  <c r="AL47" i="23"/>
  <c r="AM47" i="23"/>
  <c r="AN47" i="23"/>
  <c r="AO47" i="23"/>
  <c r="AP47" i="23"/>
  <c r="AQ47" i="23"/>
  <c r="AR47" i="23"/>
  <c r="AS47" i="23"/>
  <c r="AT47" i="23"/>
  <c r="AU47" i="23"/>
  <c r="AV47" i="23"/>
  <c r="AW47" i="23"/>
  <c r="AX47" i="23"/>
  <c r="AY47" i="23"/>
  <c r="AZ47" i="23"/>
  <c r="BA47" i="23"/>
  <c r="BB47" i="23"/>
  <c r="BC47" i="23"/>
  <c r="BD47" i="23"/>
  <c r="BE47" i="23"/>
  <c r="BF47" i="23"/>
  <c r="BG47" i="23"/>
  <c r="BH47" i="23"/>
  <c r="BI47" i="23"/>
  <c r="BJ47" i="23"/>
  <c r="BK47" i="23"/>
  <c r="BL47" i="23"/>
  <c r="BM47" i="23"/>
  <c r="BN47" i="23"/>
  <c r="BO47" i="23"/>
  <c r="BP47" i="23"/>
  <c r="BQ47" i="23"/>
  <c r="BR47" i="23"/>
  <c r="BS47" i="23"/>
  <c r="BT47" i="23"/>
  <c r="B48" i="23"/>
  <c r="C48" i="23"/>
  <c r="D48" i="23"/>
  <c r="E48" i="23"/>
  <c r="F48" i="23"/>
  <c r="G48" i="23"/>
  <c r="H48" i="23"/>
  <c r="I48" i="23"/>
  <c r="J48" i="23"/>
  <c r="K48" i="23"/>
  <c r="L48" i="23"/>
  <c r="M48" i="23"/>
  <c r="N48" i="23"/>
  <c r="O48" i="23"/>
  <c r="P48" i="23"/>
  <c r="Q48" i="23"/>
  <c r="R48" i="23"/>
  <c r="S48" i="23"/>
  <c r="T48" i="23"/>
  <c r="U48" i="23"/>
  <c r="V48" i="23"/>
  <c r="W48" i="23"/>
  <c r="X48" i="23"/>
  <c r="Y48" i="23"/>
  <c r="Z48" i="23"/>
  <c r="AA48" i="23"/>
  <c r="AB48" i="23"/>
  <c r="AC48" i="23"/>
  <c r="AD48" i="23"/>
  <c r="AE48" i="23"/>
  <c r="AF48" i="23"/>
  <c r="AG48" i="23"/>
  <c r="AH48" i="23"/>
  <c r="AI48" i="23"/>
  <c r="AJ48" i="23"/>
  <c r="AK48" i="23"/>
  <c r="AL48" i="23"/>
  <c r="AM48" i="23"/>
  <c r="AN48" i="23"/>
  <c r="AO48" i="23"/>
  <c r="AP48" i="23"/>
  <c r="AQ48" i="23"/>
  <c r="AR48" i="23"/>
  <c r="AS48" i="23"/>
  <c r="AT48" i="23"/>
  <c r="AU48" i="23"/>
  <c r="AV48" i="23"/>
  <c r="AW48" i="23"/>
  <c r="AX48" i="23"/>
  <c r="AY48" i="23"/>
  <c r="AZ48" i="23"/>
  <c r="BA48" i="23"/>
  <c r="BB48" i="23"/>
  <c r="BC48" i="23"/>
  <c r="BD48" i="23"/>
  <c r="BE48" i="23"/>
  <c r="BF48" i="23"/>
  <c r="BG48" i="23"/>
  <c r="BH48" i="23"/>
  <c r="BI48" i="23"/>
  <c r="BJ48" i="23"/>
  <c r="BK48" i="23"/>
  <c r="BL48" i="23"/>
  <c r="BM48" i="23"/>
  <c r="BN48" i="23"/>
  <c r="BO48" i="23"/>
  <c r="BP48" i="23"/>
  <c r="BQ48" i="23"/>
  <c r="BR48" i="23"/>
  <c r="BS48" i="23"/>
  <c r="BT48" i="23"/>
  <c r="B49" i="23"/>
  <c r="C49" i="23"/>
  <c r="D49" i="23"/>
  <c r="E49" i="23"/>
  <c r="F49" i="23"/>
  <c r="G49" i="23"/>
  <c r="H49" i="23"/>
  <c r="I49" i="23"/>
  <c r="J49" i="23"/>
  <c r="K49" i="23"/>
  <c r="L49" i="23"/>
  <c r="M49" i="23"/>
  <c r="N49" i="23"/>
  <c r="O49" i="23"/>
  <c r="P49" i="23"/>
  <c r="Q49" i="23"/>
  <c r="R49" i="23"/>
  <c r="S49" i="23"/>
  <c r="T49" i="23"/>
  <c r="U49" i="23"/>
  <c r="V49" i="23"/>
  <c r="W49" i="23"/>
  <c r="X49" i="23"/>
  <c r="Y49" i="23"/>
  <c r="Z49" i="23"/>
  <c r="AA49" i="23"/>
  <c r="AB49" i="23"/>
  <c r="AC49" i="23"/>
  <c r="AD49" i="23"/>
  <c r="AE49" i="23"/>
  <c r="AF49" i="23"/>
  <c r="AG49" i="23"/>
  <c r="AH49" i="23"/>
  <c r="AI49" i="23"/>
  <c r="AJ49" i="23"/>
  <c r="AK49" i="23"/>
  <c r="AL49" i="23"/>
  <c r="AM49" i="23"/>
  <c r="AN49" i="23"/>
  <c r="AO49" i="23"/>
  <c r="AP49" i="23"/>
  <c r="AQ49" i="23"/>
  <c r="AR49" i="23"/>
  <c r="AS49" i="23"/>
  <c r="AT49" i="23"/>
  <c r="AU49" i="23"/>
  <c r="AV49" i="23"/>
  <c r="AW49" i="23"/>
  <c r="AX49" i="23"/>
  <c r="AY49" i="23"/>
  <c r="AZ49" i="23"/>
  <c r="BA49" i="23"/>
  <c r="BB49" i="23"/>
  <c r="BC49" i="23"/>
  <c r="BD49" i="23"/>
  <c r="BE49" i="23"/>
  <c r="BF49" i="23"/>
  <c r="BG49" i="23"/>
  <c r="BH49" i="23"/>
  <c r="BI49" i="23"/>
  <c r="BJ49" i="23"/>
  <c r="BK49" i="23"/>
  <c r="BL49" i="23"/>
  <c r="BM49" i="23"/>
  <c r="BN49" i="23"/>
  <c r="BO49" i="23"/>
  <c r="BP49" i="23"/>
  <c r="BQ49" i="23"/>
  <c r="BR49" i="23"/>
  <c r="BS49" i="23"/>
  <c r="BT49" i="23"/>
  <c r="B50" i="23"/>
  <c r="C50" i="23"/>
  <c r="D50" i="23"/>
  <c r="E50" i="23"/>
  <c r="F50" i="23"/>
  <c r="G50" i="23"/>
  <c r="H50" i="23"/>
  <c r="I50" i="23"/>
  <c r="J50" i="23"/>
  <c r="K50" i="23"/>
  <c r="L50" i="23"/>
  <c r="M50" i="23"/>
  <c r="N50" i="23"/>
  <c r="O50" i="23"/>
  <c r="P50" i="23"/>
  <c r="Q50" i="23"/>
  <c r="R50" i="23"/>
  <c r="S50" i="23"/>
  <c r="T50" i="23"/>
  <c r="U50" i="23"/>
  <c r="V50" i="23"/>
  <c r="W50" i="23"/>
  <c r="X50" i="23"/>
  <c r="Y50" i="23"/>
  <c r="Z50" i="23"/>
  <c r="AA50" i="23"/>
  <c r="AB50" i="23"/>
  <c r="AC50" i="23"/>
  <c r="AD50" i="23"/>
  <c r="AE50" i="23"/>
  <c r="AF50" i="23"/>
  <c r="AG50" i="23"/>
  <c r="AH50" i="23"/>
  <c r="AI50" i="23"/>
  <c r="AJ50" i="23"/>
  <c r="AK50" i="23"/>
  <c r="AL50" i="23"/>
  <c r="AM50" i="23"/>
  <c r="AN50" i="23"/>
  <c r="AO50" i="23"/>
  <c r="AP50" i="23"/>
  <c r="AQ50" i="23"/>
  <c r="AR50" i="23"/>
  <c r="AS50" i="23"/>
  <c r="AT50" i="23"/>
  <c r="AU50" i="23"/>
  <c r="AV50" i="23"/>
  <c r="AW50" i="23"/>
  <c r="AX50" i="23"/>
  <c r="AY50" i="23"/>
  <c r="AZ50" i="23"/>
  <c r="BA50" i="23"/>
  <c r="BB50" i="23"/>
  <c r="BC50" i="23"/>
  <c r="BD50" i="23"/>
  <c r="BE50" i="23"/>
  <c r="BF50" i="23"/>
  <c r="BG50" i="23"/>
  <c r="BH50" i="23"/>
  <c r="BI50" i="23"/>
  <c r="BJ50" i="23"/>
  <c r="BK50" i="23"/>
  <c r="BL50" i="23"/>
  <c r="BM50" i="23"/>
  <c r="BN50" i="23"/>
  <c r="BO50" i="23"/>
  <c r="BP50" i="23"/>
  <c r="BQ50" i="23"/>
  <c r="BR50" i="23"/>
  <c r="BS50" i="23"/>
  <c r="BT50" i="23"/>
  <c r="B51" i="23"/>
  <c r="C51" i="23"/>
  <c r="D51" i="23"/>
  <c r="E51" i="23"/>
  <c r="F51" i="23"/>
  <c r="G51" i="23"/>
  <c r="H51" i="23"/>
  <c r="I51" i="23"/>
  <c r="J51" i="23"/>
  <c r="K51" i="23"/>
  <c r="L51" i="23"/>
  <c r="M51" i="23"/>
  <c r="N51" i="23"/>
  <c r="O51" i="23"/>
  <c r="P51" i="23"/>
  <c r="Q51" i="23"/>
  <c r="R51" i="23"/>
  <c r="S51" i="23"/>
  <c r="T51" i="23"/>
  <c r="U51" i="23"/>
  <c r="V51" i="23"/>
  <c r="W51" i="23"/>
  <c r="X51" i="23"/>
  <c r="Y51" i="23"/>
  <c r="Z51" i="23"/>
  <c r="AA51" i="23"/>
  <c r="AB51" i="23"/>
  <c r="AC51" i="23"/>
  <c r="AD51" i="23"/>
  <c r="AE51" i="23"/>
  <c r="AF51" i="23"/>
  <c r="AG51" i="23"/>
  <c r="AH51" i="23"/>
  <c r="AI51" i="23"/>
  <c r="AJ51" i="23"/>
  <c r="AK51" i="23"/>
  <c r="AL51" i="23"/>
  <c r="AM51" i="23"/>
  <c r="AN51" i="23"/>
  <c r="AO51" i="23"/>
  <c r="AP51" i="23"/>
  <c r="AQ51" i="23"/>
  <c r="AR51" i="23"/>
  <c r="AS51" i="23"/>
  <c r="AT51" i="23"/>
  <c r="AU51" i="23"/>
  <c r="AV51" i="23"/>
  <c r="AW51" i="23"/>
  <c r="AX51" i="23"/>
  <c r="AY51" i="23"/>
  <c r="AZ51" i="23"/>
  <c r="BA51" i="23"/>
  <c r="BB51" i="23"/>
  <c r="BC51" i="23"/>
  <c r="BD51" i="23"/>
  <c r="BE51" i="23"/>
  <c r="BF51" i="23"/>
  <c r="BG51" i="23"/>
  <c r="BH51" i="23"/>
  <c r="BI51" i="23"/>
  <c r="BJ51" i="23"/>
  <c r="BK51" i="23"/>
  <c r="BL51" i="23"/>
  <c r="BM51" i="23"/>
  <c r="BN51" i="23"/>
  <c r="BO51" i="23"/>
  <c r="BP51" i="23"/>
  <c r="BQ51" i="23"/>
  <c r="BR51" i="23"/>
  <c r="BS51" i="23"/>
  <c r="BT51" i="23"/>
  <c r="B52" i="23"/>
  <c r="C52" i="23"/>
  <c r="D52" i="23"/>
  <c r="E52" i="23"/>
  <c r="F52" i="23"/>
  <c r="G52" i="23"/>
  <c r="H52" i="23"/>
  <c r="I52" i="23"/>
  <c r="J52" i="23"/>
  <c r="K52" i="23"/>
  <c r="L52" i="23"/>
  <c r="M52" i="23"/>
  <c r="N52" i="23"/>
  <c r="O52" i="23"/>
  <c r="P52" i="23"/>
  <c r="Q52" i="23"/>
  <c r="R52" i="23"/>
  <c r="S52" i="23"/>
  <c r="T52" i="23"/>
  <c r="U52" i="23"/>
  <c r="V52" i="23"/>
  <c r="W52" i="23"/>
  <c r="X52" i="23"/>
  <c r="Y52" i="23"/>
  <c r="Z52" i="23"/>
  <c r="AA52" i="23"/>
  <c r="AB52" i="23"/>
  <c r="AC52" i="23"/>
  <c r="AD52" i="23"/>
  <c r="AE52" i="23"/>
  <c r="AF52" i="23"/>
  <c r="AG52" i="23"/>
  <c r="AH52" i="23"/>
  <c r="AI52" i="23"/>
  <c r="AJ52" i="23"/>
  <c r="AK52" i="23"/>
  <c r="AL52" i="23"/>
  <c r="AM52" i="23"/>
  <c r="AN52" i="23"/>
  <c r="AO52" i="23"/>
  <c r="AP52" i="23"/>
  <c r="AQ52" i="23"/>
  <c r="AR52" i="23"/>
  <c r="AS52" i="23"/>
  <c r="AT52" i="23"/>
  <c r="AU52" i="23"/>
  <c r="AV52" i="23"/>
  <c r="AW52" i="23"/>
  <c r="AX52" i="23"/>
  <c r="AY52" i="23"/>
  <c r="AZ52" i="23"/>
  <c r="BA52" i="23"/>
  <c r="BB52" i="23"/>
  <c r="BC52" i="23"/>
  <c r="BD52" i="23"/>
  <c r="BE52" i="23"/>
  <c r="BF52" i="23"/>
  <c r="BG52" i="23"/>
  <c r="BH52" i="23"/>
  <c r="BI52" i="23"/>
  <c r="BJ52" i="23"/>
  <c r="BK52" i="23"/>
  <c r="BL52" i="23"/>
  <c r="BM52" i="23"/>
  <c r="BN52" i="23"/>
  <c r="BO52" i="23"/>
  <c r="BP52" i="23"/>
  <c r="BQ52" i="23"/>
  <c r="BR52" i="23"/>
  <c r="BS52" i="23"/>
  <c r="BT52" i="23"/>
  <c r="B53" i="23"/>
  <c r="C53" i="23"/>
  <c r="D53" i="23"/>
  <c r="E53" i="23"/>
  <c r="F53" i="23"/>
  <c r="G53" i="23"/>
  <c r="H53" i="23"/>
  <c r="I53" i="23"/>
  <c r="J53" i="23"/>
  <c r="K53" i="23"/>
  <c r="L53" i="23"/>
  <c r="M53" i="23"/>
  <c r="N53" i="23"/>
  <c r="O53" i="23"/>
  <c r="P53" i="23"/>
  <c r="Q53" i="23"/>
  <c r="R53" i="23"/>
  <c r="S53" i="23"/>
  <c r="T53" i="23"/>
  <c r="U53" i="23"/>
  <c r="V53" i="23"/>
  <c r="W53" i="23"/>
  <c r="X53" i="23"/>
  <c r="Y53" i="23"/>
  <c r="Z53" i="23"/>
  <c r="AA53" i="23"/>
  <c r="AB53" i="23"/>
  <c r="AC53" i="23"/>
  <c r="AD53" i="23"/>
  <c r="AE53" i="23"/>
  <c r="AF53" i="23"/>
  <c r="AG53" i="23"/>
  <c r="AH53" i="23"/>
  <c r="AI53" i="23"/>
  <c r="AJ53" i="23"/>
  <c r="AK53" i="23"/>
  <c r="AL53" i="23"/>
  <c r="AM53" i="23"/>
  <c r="AN53" i="23"/>
  <c r="AO53" i="23"/>
  <c r="AP53" i="23"/>
  <c r="AQ53" i="23"/>
  <c r="AR53" i="23"/>
  <c r="AS53" i="23"/>
  <c r="AT53" i="23"/>
  <c r="AU53" i="23"/>
  <c r="AV53" i="23"/>
  <c r="AW53" i="23"/>
  <c r="AX53" i="23"/>
  <c r="AY53" i="23"/>
  <c r="AZ53" i="23"/>
  <c r="BA53" i="23"/>
  <c r="BB53" i="23"/>
  <c r="BC53" i="23"/>
  <c r="BD53" i="23"/>
  <c r="BE53" i="23"/>
  <c r="BF53" i="23"/>
  <c r="BG53" i="23"/>
  <c r="BH53" i="23"/>
  <c r="BI53" i="23"/>
  <c r="BJ53" i="23"/>
  <c r="BK53" i="23"/>
  <c r="BL53" i="23"/>
  <c r="BM53" i="23"/>
  <c r="BN53" i="23"/>
  <c r="BO53" i="23"/>
  <c r="BP53" i="23"/>
  <c r="BQ53" i="23"/>
  <c r="BR53" i="23"/>
  <c r="BS53" i="23"/>
  <c r="BT53" i="23"/>
  <c r="B54" i="23"/>
  <c r="C54" i="23"/>
  <c r="D54" i="23"/>
  <c r="E54" i="23"/>
  <c r="F54" i="23"/>
  <c r="G54" i="23"/>
  <c r="H54" i="23"/>
  <c r="I54" i="23"/>
  <c r="J54" i="23"/>
  <c r="K54" i="23"/>
  <c r="L54" i="23"/>
  <c r="M54" i="23"/>
  <c r="N54" i="23"/>
  <c r="O54" i="23"/>
  <c r="P54" i="23"/>
  <c r="Q54" i="23"/>
  <c r="R54" i="23"/>
  <c r="S54" i="23"/>
  <c r="T54" i="23"/>
  <c r="U54" i="23"/>
  <c r="V54" i="23"/>
  <c r="W54" i="23"/>
  <c r="X54" i="23"/>
  <c r="Y54" i="23"/>
  <c r="Z54" i="23"/>
  <c r="AA54" i="23"/>
  <c r="AB54" i="23"/>
  <c r="AC54" i="23"/>
  <c r="AD54" i="23"/>
  <c r="AE54" i="23"/>
  <c r="AF54" i="23"/>
  <c r="AG54" i="23"/>
  <c r="AH54" i="23"/>
  <c r="AI54" i="23"/>
  <c r="AJ54" i="23"/>
  <c r="AK54" i="23"/>
  <c r="AL54" i="23"/>
  <c r="AM54" i="23"/>
  <c r="AN54" i="23"/>
  <c r="AO54" i="23"/>
  <c r="AP54" i="23"/>
  <c r="AQ54" i="23"/>
  <c r="AR54" i="23"/>
  <c r="AS54" i="23"/>
  <c r="AT54" i="23"/>
  <c r="AU54" i="23"/>
  <c r="AV54" i="23"/>
  <c r="AW54" i="23"/>
  <c r="AX54" i="23"/>
  <c r="AY54" i="23"/>
  <c r="AZ54" i="23"/>
  <c r="BA54" i="23"/>
  <c r="BB54" i="23"/>
  <c r="BC54" i="23"/>
  <c r="BD54" i="23"/>
  <c r="BE54" i="23"/>
  <c r="BF54" i="23"/>
  <c r="BG54" i="23"/>
  <c r="BH54" i="23"/>
  <c r="BI54" i="23"/>
  <c r="BJ54" i="23"/>
  <c r="BK54" i="23"/>
  <c r="BL54" i="23"/>
  <c r="BM54" i="23"/>
  <c r="BN54" i="23"/>
  <c r="BO54" i="23"/>
  <c r="BP54" i="23"/>
  <c r="BQ54" i="23"/>
  <c r="BR54" i="23"/>
  <c r="BS54" i="23"/>
  <c r="BT54" i="23"/>
  <c r="B55" i="23"/>
  <c r="C55" i="23"/>
  <c r="D55" i="23"/>
  <c r="E55" i="23"/>
  <c r="F55" i="23"/>
  <c r="G55" i="23"/>
  <c r="H55" i="23"/>
  <c r="I55" i="23"/>
  <c r="J55" i="23"/>
  <c r="K55" i="23"/>
  <c r="L55" i="23"/>
  <c r="M55" i="23"/>
  <c r="N55" i="23"/>
  <c r="O55" i="23"/>
  <c r="P55" i="23"/>
  <c r="Q55" i="23"/>
  <c r="R55" i="23"/>
  <c r="S55" i="23"/>
  <c r="T55" i="23"/>
  <c r="U55" i="23"/>
  <c r="V55" i="23"/>
  <c r="W55" i="23"/>
  <c r="X55" i="23"/>
  <c r="Y55" i="23"/>
  <c r="Z55" i="23"/>
  <c r="AA55" i="23"/>
  <c r="AB55" i="23"/>
  <c r="AC55" i="23"/>
  <c r="AD55" i="23"/>
  <c r="AE55" i="23"/>
  <c r="AF55" i="23"/>
  <c r="AG55" i="23"/>
  <c r="AH55" i="23"/>
  <c r="AI55" i="23"/>
  <c r="AJ55" i="23"/>
  <c r="AK55" i="23"/>
  <c r="AL55" i="23"/>
  <c r="AM55" i="23"/>
  <c r="AN55" i="23"/>
  <c r="AO55" i="23"/>
  <c r="AP55" i="23"/>
  <c r="AQ55" i="23"/>
  <c r="AR55" i="23"/>
  <c r="AS55" i="23"/>
  <c r="AT55" i="23"/>
  <c r="AU55" i="23"/>
  <c r="AV55" i="23"/>
  <c r="AW55" i="23"/>
  <c r="AX55" i="23"/>
  <c r="AY55" i="23"/>
  <c r="AZ55" i="23"/>
  <c r="BA55" i="23"/>
  <c r="BB55" i="23"/>
  <c r="BC55" i="23"/>
  <c r="BD55" i="23"/>
  <c r="BE55" i="23"/>
  <c r="BF55" i="23"/>
  <c r="BG55" i="23"/>
  <c r="BH55" i="23"/>
  <c r="BI55" i="23"/>
  <c r="BJ55" i="23"/>
  <c r="BK55" i="23"/>
  <c r="BL55" i="23"/>
  <c r="BM55" i="23"/>
  <c r="BN55" i="23"/>
  <c r="BO55" i="23"/>
  <c r="BP55" i="23"/>
  <c r="BQ55" i="23"/>
  <c r="BR55" i="23"/>
  <c r="BS55" i="23"/>
  <c r="BT55" i="23"/>
  <c r="B56" i="23"/>
  <c r="C56" i="23"/>
  <c r="D56" i="23"/>
  <c r="E56" i="23"/>
  <c r="F56" i="23"/>
  <c r="G56" i="23"/>
  <c r="H56" i="23"/>
  <c r="I56" i="23"/>
  <c r="J56" i="23"/>
  <c r="K56" i="23"/>
  <c r="L56" i="23"/>
  <c r="M56" i="23"/>
  <c r="N56" i="23"/>
  <c r="O56" i="23"/>
  <c r="P56" i="23"/>
  <c r="Q56" i="23"/>
  <c r="R56" i="23"/>
  <c r="S56" i="23"/>
  <c r="T56" i="23"/>
  <c r="U56" i="23"/>
  <c r="V56" i="23"/>
  <c r="W56" i="23"/>
  <c r="X56" i="23"/>
  <c r="Y56" i="23"/>
  <c r="Z56" i="23"/>
  <c r="AA56" i="23"/>
  <c r="AB56" i="23"/>
  <c r="AC56" i="23"/>
  <c r="AD56" i="23"/>
  <c r="AE56" i="23"/>
  <c r="AF56" i="23"/>
  <c r="AG56" i="23"/>
  <c r="AH56" i="23"/>
  <c r="AI56" i="23"/>
  <c r="AJ56" i="23"/>
  <c r="AK56" i="23"/>
  <c r="AL56" i="23"/>
  <c r="AM56" i="23"/>
  <c r="AN56" i="23"/>
  <c r="AO56" i="23"/>
  <c r="AP56" i="23"/>
  <c r="AQ56" i="23"/>
  <c r="AR56" i="23"/>
  <c r="AS56" i="23"/>
  <c r="AT56" i="23"/>
  <c r="AU56" i="23"/>
  <c r="AV56" i="23"/>
  <c r="AW56" i="23"/>
  <c r="AX56" i="23"/>
  <c r="AY56" i="23"/>
  <c r="AZ56" i="23"/>
  <c r="BA56" i="23"/>
  <c r="BB56" i="23"/>
  <c r="BC56" i="23"/>
  <c r="BD56" i="23"/>
  <c r="BE56" i="23"/>
  <c r="BF56" i="23"/>
  <c r="BG56" i="23"/>
  <c r="BH56" i="23"/>
  <c r="BI56" i="23"/>
  <c r="BJ56" i="23"/>
  <c r="BK56" i="23"/>
  <c r="BL56" i="23"/>
  <c r="BM56" i="23"/>
  <c r="BN56" i="23"/>
  <c r="BO56" i="23"/>
  <c r="BP56" i="23"/>
  <c r="BQ56" i="23"/>
  <c r="BR56" i="23"/>
  <c r="BS56" i="23"/>
  <c r="BT56" i="23"/>
  <c r="B57" i="23"/>
  <c r="C57" i="23"/>
  <c r="D57" i="23"/>
  <c r="E57" i="23"/>
  <c r="F57" i="23"/>
  <c r="G57" i="23"/>
  <c r="H57" i="23"/>
  <c r="I57" i="23"/>
  <c r="J57" i="23"/>
  <c r="K57" i="23"/>
  <c r="L57" i="23"/>
  <c r="M57" i="23"/>
  <c r="N57" i="23"/>
  <c r="O57" i="23"/>
  <c r="P57" i="23"/>
  <c r="Q57" i="23"/>
  <c r="R57" i="23"/>
  <c r="S57" i="23"/>
  <c r="T57" i="23"/>
  <c r="U57" i="23"/>
  <c r="V57" i="23"/>
  <c r="W57" i="23"/>
  <c r="X57" i="23"/>
  <c r="Y57" i="23"/>
  <c r="Z57" i="23"/>
  <c r="AA57" i="23"/>
  <c r="AB57" i="23"/>
  <c r="AC57" i="23"/>
  <c r="AD57" i="23"/>
  <c r="AE57" i="23"/>
  <c r="AF57" i="23"/>
  <c r="AG57" i="23"/>
  <c r="AH57" i="23"/>
  <c r="AI57" i="23"/>
  <c r="AJ57" i="23"/>
  <c r="AK57" i="23"/>
  <c r="AL57" i="23"/>
  <c r="AM57" i="23"/>
  <c r="AN57" i="23"/>
  <c r="AO57" i="23"/>
  <c r="AP57" i="23"/>
  <c r="AQ57" i="23"/>
  <c r="AR57" i="23"/>
  <c r="AS57" i="23"/>
  <c r="AT57" i="23"/>
  <c r="AU57" i="23"/>
  <c r="AV57" i="23"/>
  <c r="AW57" i="23"/>
  <c r="AX57" i="23"/>
  <c r="AY57" i="23"/>
  <c r="AZ57" i="23"/>
  <c r="BA57" i="23"/>
  <c r="BB57" i="23"/>
  <c r="BC57" i="23"/>
  <c r="BD57" i="23"/>
  <c r="BE57" i="23"/>
  <c r="BF57" i="23"/>
  <c r="BG57" i="23"/>
  <c r="BH57" i="23"/>
  <c r="BI57" i="23"/>
  <c r="BJ57" i="23"/>
  <c r="BK57" i="23"/>
  <c r="BL57" i="23"/>
  <c r="BM57" i="23"/>
  <c r="BN57" i="23"/>
  <c r="BO57" i="23"/>
  <c r="BP57" i="23"/>
  <c r="BQ57" i="23"/>
  <c r="BR57" i="23"/>
  <c r="BS57" i="23"/>
  <c r="BT57" i="23"/>
  <c r="B58" i="23"/>
  <c r="C58" i="23"/>
  <c r="D58" i="23"/>
  <c r="E58" i="23"/>
  <c r="F58" i="23"/>
  <c r="G58" i="23"/>
  <c r="H58" i="23"/>
  <c r="I58" i="23"/>
  <c r="J58" i="23"/>
  <c r="K58" i="23"/>
  <c r="L58" i="23"/>
  <c r="M58" i="23"/>
  <c r="N58" i="23"/>
  <c r="O58" i="23"/>
  <c r="P58" i="23"/>
  <c r="Q58" i="23"/>
  <c r="R58" i="23"/>
  <c r="S58" i="23"/>
  <c r="T58" i="23"/>
  <c r="U58" i="23"/>
  <c r="V58" i="23"/>
  <c r="W58" i="23"/>
  <c r="X58" i="23"/>
  <c r="Y58" i="23"/>
  <c r="Z58" i="23"/>
  <c r="AA58" i="23"/>
  <c r="AB58" i="23"/>
  <c r="AC58" i="23"/>
  <c r="AD58" i="23"/>
  <c r="AE58" i="23"/>
  <c r="AF58" i="23"/>
  <c r="AG58" i="23"/>
  <c r="AH58" i="23"/>
  <c r="AI58" i="23"/>
  <c r="AJ58" i="23"/>
  <c r="AK58" i="23"/>
  <c r="AL58" i="23"/>
  <c r="AM58" i="23"/>
  <c r="AN58" i="23"/>
  <c r="AO58" i="23"/>
  <c r="AP58" i="23"/>
  <c r="AQ58" i="23"/>
  <c r="AR58" i="23"/>
  <c r="AS58" i="23"/>
  <c r="AT58" i="23"/>
  <c r="AU58" i="23"/>
  <c r="AV58" i="23"/>
  <c r="AW58" i="23"/>
  <c r="AX58" i="23"/>
  <c r="AY58" i="23"/>
  <c r="AZ58" i="23"/>
  <c r="BA58" i="23"/>
  <c r="BB58" i="23"/>
  <c r="BC58" i="23"/>
  <c r="BD58" i="23"/>
  <c r="BE58" i="23"/>
  <c r="BF58" i="23"/>
  <c r="BG58" i="23"/>
  <c r="BH58" i="23"/>
  <c r="BI58" i="23"/>
  <c r="BJ58" i="23"/>
  <c r="BK58" i="23"/>
  <c r="BL58" i="23"/>
  <c r="BM58" i="23"/>
  <c r="BN58" i="23"/>
  <c r="BO58" i="23"/>
  <c r="BP58" i="23"/>
  <c r="BQ58" i="23"/>
  <c r="BR58" i="23"/>
  <c r="BS58" i="23"/>
  <c r="BT58" i="23"/>
  <c r="B59" i="23"/>
  <c r="C59" i="23"/>
  <c r="D59" i="23"/>
  <c r="E59" i="23"/>
  <c r="F59" i="23"/>
  <c r="G59" i="23"/>
  <c r="H59" i="23"/>
  <c r="I59" i="23"/>
  <c r="J59" i="23"/>
  <c r="K59" i="23"/>
  <c r="L59" i="23"/>
  <c r="M59" i="23"/>
  <c r="N59" i="23"/>
  <c r="O59" i="23"/>
  <c r="P59" i="23"/>
  <c r="Q59" i="23"/>
  <c r="R59" i="23"/>
  <c r="S59" i="23"/>
  <c r="T59" i="23"/>
  <c r="U59" i="23"/>
  <c r="V59" i="23"/>
  <c r="W59" i="23"/>
  <c r="X59" i="23"/>
  <c r="Y59" i="23"/>
  <c r="Z59" i="23"/>
  <c r="AA59" i="23"/>
  <c r="AB59" i="23"/>
  <c r="AC59" i="23"/>
  <c r="AD59" i="23"/>
  <c r="AE59" i="23"/>
  <c r="AF59" i="23"/>
  <c r="AG59" i="23"/>
  <c r="AH59" i="23"/>
  <c r="AI59" i="23"/>
  <c r="AJ59" i="23"/>
  <c r="AK59" i="23"/>
  <c r="AL59" i="23"/>
  <c r="AM59" i="23"/>
  <c r="AN59" i="23"/>
  <c r="AO59" i="23"/>
  <c r="AP59" i="23"/>
  <c r="AQ59" i="23"/>
  <c r="AR59" i="23"/>
  <c r="AS59" i="23"/>
  <c r="AT59" i="23"/>
  <c r="AU59" i="23"/>
  <c r="AV59" i="23"/>
  <c r="AW59" i="23"/>
  <c r="AX59" i="23"/>
  <c r="AY59" i="23"/>
  <c r="AZ59" i="23"/>
  <c r="BA59" i="23"/>
  <c r="BB59" i="23"/>
  <c r="BC59" i="23"/>
  <c r="BD59" i="23"/>
  <c r="BE59" i="23"/>
  <c r="BF59" i="23"/>
  <c r="BG59" i="23"/>
  <c r="BH59" i="23"/>
  <c r="BI59" i="23"/>
  <c r="BJ59" i="23"/>
  <c r="BK59" i="23"/>
  <c r="BL59" i="23"/>
  <c r="BM59" i="23"/>
  <c r="BN59" i="23"/>
  <c r="BO59" i="23"/>
  <c r="BP59" i="23"/>
  <c r="BQ59" i="23"/>
  <c r="BR59" i="23"/>
  <c r="BS59" i="23"/>
  <c r="BT59" i="23"/>
  <c r="B60" i="23"/>
  <c r="C60" i="23"/>
  <c r="D60" i="23"/>
  <c r="E60" i="23"/>
  <c r="F60" i="23"/>
  <c r="G60" i="23"/>
  <c r="H60" i="23"/>
  <c r="I60" i="23"/>
  <c r="J60" i="23"/>
  <c r="K60" i="23"/>
  <c r="L60" i="23"/>
  <c r="M60" i="23"/>
  <c r="N60" i="23"/>
  <c r="O60" i="23"/>
  <c r="P60" i="23"/>
  <c r="Q60" i="23"/>
  <c r="R60" i="23"/>
  <c r="S60" i="23"/>
  <c r="T60" i="23"/>
  <c r="U60" i="23"/>
  <c r="V60" i="23"/>
  <c r="W60" i="23"/>
  <c r="X60" i="23"/>
  <c r="Y60" i="23"/>
  <c r="Z60" i="23"/>
  <c r="AA60" i="23"/>
  <c r="AB60" i="23"/>
  <c r="AC60" i="23"/>
  <c r="AD60" i="23"/>
  <c r="AE60" i="23"/>
  <c r="AF60" i="23"/>
  <c r="AG60" i="23"/>
  <c r="AH60" i="23"/>
  <c r="AI60" i="23"/>
  <c r="AJ60" i="23"/>
  <c r="AK60" i="23"/>
  <c r="AL60" i="23"/>
  <c r="AM60" i="23"/>
  <c r="AN60" i="23"/>
  <c r="AO60" i="23"/>
  <c r="AP60" i="23"/>
  <c r="AQ60" i="23"/>
  <c r="AR60" i="23"/>
  <c r="AS60" i="23"/>
  <c r="AT60" i="23"/>
  <c r="AU60" i="23"/>
  <c r="AV60" i="23"/>
  <c r="AW60" i="23"/>
  <c r="AX60" i="23"/>
  <c r="AY60" i="23"/>
  <c r="AZ60" i="23"/>
  <c r="BA60" i="23"/>
  <c r="BB60" i="23"/>
  <c r="BC60" i="23"/>
  <c r="BD60" i="23"/>
  <c r="BE60" i="23"/>
  <c r="BF60" i="23"/>
  <c r="BG60" i="23"/>
  <c r="BH60" i="23"/>
  <c r="BI60" i="23"/>
  <c r="BJ60" i="23"/>
  <c r="BK60" i="23"/>
  <c r="BL60" i="23"/>
  <c r="BM60" i="23"/>
  <c r="BN60" i="23"/>
  <c r="BO60" i="23"/>
  <c r="BP60" i="23"/>
  <c r="BQ60" i="23"/>
  <c r="BR60" i="23"/>
  <c r="BS60" i="23"/>
  <c r="BT60" i="23"/>
  <c r="B61" i="23"/>
  <c r="C61" i="23"/>
  <c r="D61" i="23"/>
  <c r="E61" i="23"/>
  <c r="F61" i="23"/>
  <c r="G61" i="23"/>
  <c r="H61" i="23"/>
  <c r="I61" i="23"/>
  <c r="J61" i="23"/>
  <c r="K61" i="23"/>
  <c r="L61" i="23"/>
  <c r="M61" i="23"/>
  <c r="N61" i="23"/>
  <c r="O61" i="23"/>
  <c r="P61" i="23"/>
  <c r="Q61" i="23"/>
  <c r="R61" i="23"/>
  <c r="S61" i="23"/>
  <c r="T61" i="23"/>
  <c r="U61" i="23"/>
  <c r="V61" i="23"/>
  <c r="W61" i="23"/>
  <c r="X61" i="23"/>
  <c r="Y61" i="23"/>
  <c r="Z61" i="23"/>
  <c r="AA61" i="23"/>
  <c r="AB61" i="23"/>
  <c r="AC61" i="23"/>
  <c r="AD61" i="23"/>
  <c r="AE61" i="23"/>
  <c r="AF61" i="23"/>
  <c r="AG61" i="23"/>
  <c r="AH61" i="23"/>
  <c r="AI61" i="23"/>
  <c r="AJ61" i="23"/>
  <c r="AK61" i="23"/>
  <c r="AL61" i="23"/>
  <c r="AM61" i="23"/>
  <c r="AN61" i="23"/>
  <c r="AO61" i="23"/>
  <c r="AP61" i="23"/>
  <c r="AQ61" i="23"/>
  <c r="AR61" i="23"/>
  <c r="AS61" i="23"/>
  <c r="AT61" i="23"/>
  <c r="AU61" i="23"/>
  <c r="AV61" i="23"/>
  <c r="AW61" i="23"/>
  <c r="AX61" i="23"/>
  <c r="AY61" i="23"/>
  <c r="AZ61" i="23"/>
  <c r="BA61" i="23"/>
  <c r="BB61" i="23"/>
  <c r="BC61" i="23"/>
  <c r="BD61" i="23"/>
  <c r="BE61" i="23"/>
  <c r="BF61" i="23"/>
  <c r="BG61" i="23"/>
  <c r="BH61" i="23"/>
  <c r="BI61" i="23"/>
  <c r="BJ61" i="23"/>
  <c r="BK61" i="23"/>
  <c r="BL61" i="23"/>
  <c r="BM61" i="23"/>
  <c r="BN61" i="23"/>
  <c r="BO61" i="23"/>
  <c r="BP61" i="23"/>
  <c r="BQ61" i="23"/>
  <c r="BR61" i="23"/>
  <c r="BS61" i="23"/>
  <c r="BT61" i="23"/>
  <c r="B62" i="23"/>
  <c r="C62" i="23"/>
  <c r="D62" i="23"/>
  <c r="E62" i="23"/>
  <c r="F62" i="23"/>
  <c r="G62" i="23"/>
  <c r="H62" i="23"/>
  <c r="I62" i="23"/>
  <c r="J62" i="23"/>
  <c r="K62" i="23"/>
  <c r="L62" i="23"/>
  <c r="M62" i="23"/>
  <c r="N62" i="23"/>
  <c r="O62" i="23"/>
  <c r="P62" i="23"/>
  <c r="Q62" i="23"/>
  <c r="R62" i="23"/>
  <c r="S62" i="23"/>
  <c r="T62" i="23"/>
  <c r="U62" i="23"/>
  <c r="V62" i="23"/>
  <c r="W62" i="23"/>
  <c r="X62" i="23"/>
  <c r="Y62" i="23"/>
  <c r="Z62" i="23"/>
  <c r="AA62" i="23"/>
  <c r="AB62" i="23"/>
  <c r="AC62" i="23"/>
  <c r="AD62" i="23"/>
  <c r="AE62" i="23"/>
  <c r="AF62" i="23"/>
  <c r="AG62" i="23"/>
  <c r="AH62" i="23"/>
  <c r="AI62" i="23"/>
  <c r="AJ62" i="23"/>
  <c r="AK62" i="23"/>
  <c r="AL62" i="23"/>
  <c r="AM62" i="23"/>
  <c r="AN62" i="23"/>
  <c r="AO62" i="23"/>
  <c r="AP62" i="23"/>
  <c r="AQ62" i="23"/>
  <c r="AR62" i="23"/>
  <c r="AS62" i="23"/>
  <c r="AT62" i="23"/>
  <c r="AU62" i="23"/>
  <c r="AV62" i="23"/>
  <c r="AW62" i="23"/>
  <c r="AX62" i="23"/>
  <c r="AY62" i="23"/>
  <c r="AZ62" i="23"/>
  <c r="BA62" i="23"/>
  <c r="BB62" i="23"/>
  <c r="BC62" i="23"/>
  <c r="BD62" i="23"/>
  <c r="BE62" i="23"/>
  <c r="BF62" i="23"/>
  <c r="BG62" i="23"/>
  <c r="BH62" i="23"/>
  <c r="BI62" i="23"/>
  <c r="BJ62" i="23"/>
  <c r="BK62" i="23"/>
  <c r="BL62" i="23"/>
  <c r="BM62" i="23"/>
  <c r="BN62" i="23"/>
  <c r="BO62" i="23"/>
  <c r="BP62" i="23"/>
  <c r="BQ62" i="23"/>
  <c r="BR62" i="23"/>
  <c r="BS62" i="23"/>
  <c r="BT62" i="23"/>
  <c r="B63" i="23"/>
  <c r="C63" i="23"/>
  <c r="D63" i="23"/>
  <c r="E63" i="23"/>
  <c r="F63" i="23"/>
  <c r="G63" i="23"/>
  <c r="H63" i="23"/>
  <c r="I63" i="23"/>
  <c r="J63" i="23"/>
  <c r="K63" i="23"/>
  <c r="L63" i="23"/>
  <c r="M63" i="23"/>
  <c r="N63" i="23"/>
  <c r="O63" i="23"/>
  <c r="P63" i="23"/>
  <c r="Q63" i="23"/>
  <c r="R63" i="23"/>
  <c r="S63" i="23"/>
  <c r="T63" i="23"/>
  <c r="U63" i="23"/>
  <c r="V63" i="23"/>
  <c r="W63" i="23"/>
  <c r="X63" i="23"/>
  <c r="Y63" i="23"/>
  <c r="Z63" i="23"/>
  <c r="AA63" i="23"/>
  <c r="AB63" i="23"/>
  <c r="AC63" i="23"/>
  <c r="AD63" i="23"/>
  <c r="AE63" i="23"/>
  <c r="AF63" i="23"/>
  <c r="AG63" i="23"/>
  <c r="AH63" i="23"/>
  <c r="AI63" i="23"/>
  <c r="AJ63" i="23"/>
  <c r="AK63" i="23"/>
  <c r="AL63" i="23"/>
  <c r="AM63" i="23"/>
  <c r="AN63" i="23"/>
  <c r="AO63" i="23"/>
  <c r="AP63" i="23"/>
  <c r="AQ63" i="23"/>
  <c r="AR63" i="23"/>
  <c r="AS63" i="23"/>
  <c r="AT63" i="23"/>
  <c r="AU63" i="23"/>
  <c r="AV63" i="23"/>
  <c r="AW63" i="23"/>
  <c r="AX63" i="23"/>
  <c r="AY63" i="23"/>
  <c r="AZ63" i="23"/>
  <c r="BA63" i="23"/>
  <c r="BB63" i="23"/>
  <c r="BC63" i="23"/>
  <c r="BD63" i="23"/>
  <c r="BE63" i="23"/>
  <c r="BF63" i="23"/>
  <c r="BG63" i="23"/>
  <c r="BH63" i="23"/>
  <c r="BI63" i="23"/>
  <c r="BJ63" i="23"/>
  <c r="BK63" i="23"/>
  <c r="BL63" i="23"/>
  <c r="BM63" i="23"/>
  <c r="BN63" i="23"/>
  <c r="BO63" i="23"/>
  <c r="BP63" i="23"/>
  <c r="BQ63" i="23"/>
  <c r="BR63" i="23"/>
  <c r="BS63" i="23"/>
  <c r="BT63" i="23"/>
  <c r="B64" i="23"/>
  <c r="C64" i="23"/>
  <c r="D64" i="23"/>
  <c r="E64" i="23"/>
  <c r="F64" i="23"/>
  <c r="G64" i="23"/>
  <c r="H64" i="23"/>
  <c r="I64" i="23"/>
  <c r="J64" i="23"/>
  <c r="K64" i="23"/>
  <c r="L64" i="23"/>
  <c r="M64" i="23"/>
  <c r="N64" i="23"/>
  <c r="O64" i="23"/>
  <c r="P64" i="23"/>
  <c r="Q64" i="23"/>
  <c r="R64" i="23"/>
  <c r="S64" i="23"/>
  <c r="T64" i="23"/>
  <c r="U64" i="23"/>
  <c r="V64" i="23"/>
  <c r="W64" i="23"/>
  <c r="X64" i="23"/>
  <c r="Y64" i="23"/>
  <c r="Z64" i="23"/>
  <c r="AA64" i="23"/>
  <c r="AB64" i="23"/>
  <c r="AC64" i="23"/>
  <c r="AD64" i="23"/>
  <c r="AE64" i="23"/>
  <c r="AF64" i="23"/>
  <c r="AG64" i="23"/>
  <c r="AH64" i="23"/>
  <c r="AI64" i="23"/>
  <c r="AJ64" i="23"/>
  <c r="AK64" i="23"/>
  <c r="AL64" i="23"/>
  <c r="AM64" i="23"/>
  <c r="AN64" i="23"/>
  <c r="AO64" i="23"/>
  <c r="AP64" i="23"/>
  <c r="AQ64" i="23"/>
  <c r="AR64" i="23"/>
  <c r="AS64" i="23"/>
  <c r="AT64" i="23"/>
  <c r="AU64" i="23"/>
  <c r="AV64" i="23"/>
  <c r="AW64" i="23"/>
  <c r="AX64" i="23"/>
  <c r="AY64" i="23"/>
  <c r="AZ64" i="23"/>
  <c r="BA64" i="23"/>
  <c r="BB64" i="23"/>
  <c r="BC64" i="23"/>
  <c r="BD64" i="23"/>
  <c r="BE64" i="23"/>
  <c r="BF64" i="23"/>
  <c r="BG64" i="23"/>
  <c r="BH64" i="23"/>
  <c r="BI64" i="23"/>
  <c r="BJ64" i="23"/>
  <c r="BK64" i="23"/>
  <c r="BL64" i="23"/>
  <c r="BM64" i="23"/>
  <c r="BN64" i="23"/>
  <c r="BO64" i="23"/>
  <c r="BP64" i="23"/>
  <c r="BQ64" i="23"/>
  <c r="BR64" i="23"/>
  <c r="BS64" i="23"/>
  <c r="BT64" i="23"/>
  <c r="B65" i="23"/>
  <c r="C65" i="23"/>
  <c r="D65" i="23"/>
  <c r="E65" i="23"/>
  <c r="F65" i="23"/>
  <c r="G65" i="23"/>
  <c r="H65" i="23"/>
  <c r="I65" i="23"/>
  <c r="J65" i="23"/>
  <c r="K65" i="23"/>
  <c r="L65" i="23"/>
  <c r="M65" i="23"/>
  <c r="N65" i="23"/>
  <c r="O65" i="23"/>
  <c r="P65" i="23"/>
  <c r="Q65" i="23"/>
  <c r="R65" i="23"/>
  <c r="S65" i="23"/>
  <c r="T65" i="23"/>
  <c r="U65" i="23"/>
  <c r="V65" i="23"/>
  <c r="W65" i="23"/>
  <c r="X65" i="23"/>
  <c r="Y65" i="23"/>
  <c r="Z65" i="23"/>
  <c r="AA65" i="23"/>
  <c r="AB65" i="23"/>
  <c r="AC65" i="23"/>
  <c r="AD65" i="23"/>
  <c r="AE65" i="23"/>
  <c r="AF65" i="23"/>
  <c r="AG65" i="23"/>
  <c r="AH65" i="23"/>
  <c r="AI65" i="23"/>
  <c r="AJ65" i="23"/>
  <c r="AK65" i="23"/>
  <c r="AL65" i="23"/>
  <c r="AM65" i="23"/>
  <c r="AN65" i="23"/>
  <c r="AO65" i="23"/>
  <c r="AP65" i="23"/>
  <c r="AQ65" i="23"/>
  <c r="AR65" i="23"/>
  <c r="AS65" i="23"/>
  <c r="AT65" i="23"/>
  <c r="AU65" i="23"/>
  <c r="AV65" i="23"/>
  <c r="AW65" i="23"/>
  <c r="AX65" i="23"/>
  <c r="AY65" i="23"/>
  <c r="AZ65" i="23"/>
  <c r="BA65" i="23"/>
  <c r="BB65" i="23"/>
  <c r="BC65" i="23"/>
  <c r="BD65" i="23"/>
  <c r="BE65" i="23"/>
  <c r="BF65" i="23"/>
  <c r="BG65" i="23"/>
  <c r="BH65" i="23"/>
  <c r="BI65" i="23"/>
  <c r="BJ65" i="23"/>
  <c r="BK65" i="23"/>
  <c r="BL65" i="23"/>
  <c r="BM65" i="23"/>
  <c r="BN65" i="23"/>
  <c r="BO65" i="23"/>
  <c r="BP65" i="23"/>
  <c r="BQ65" i="23"/>
  <c r="BR65" i="23"/>
  <c r="BS65" i="23"/>
  <c r="BT65" i="23"/>
  <c r="B66" i="23"/>
  <c r="C66" i="23"/>
  <c r="D66" i="23"/>
  <c r="E66" i="23"/>
  <c r="F66" i="23"/>
  <c r="G66" i="23"/>
  <c r="H66" i="23"/>
  <c r="I66" i="23"/>
  <c r="J66" i="23"/>
  <c r="K66" i="23"/>
  <c r="L66" i="23"/>
  <c r="M66" i="23"/>
  <c r="N66" i="23"/>
  <c r="O66" i="23"/>
  <c r="P66" i="23"/>
  <c r="Q66" i="23"/>
  <c r="R66" i="23"/>
  <c r="S66" i="23"/>
  <c r="T66" i="23"/>
  <c r="U66" i="23"/>
  <c r="V66" i="23"/>
  <c r="W66" i="23"/>
  <c r="X66" i="23"/>
  <c r="Y66" i="23"/>
  <c r="Z66" i="23"/>
  <c r="AA66" i="23"/>
  <c r="AB66" i="23"/>
  <c r="AC66" i="23"/>
  <c r="AD66" i="23"/>
  <c r="AE66" i="23"/>
  <c r="AF66" i="23"/>
  <c r="AG66" i="23"/>
  <c r="AH66" i="23"/>
  <c r="AI66" i="23"/>
  <c r="AJ66" i="23"/>
  <c r="AK66" i="23"/>
  <c r="AL66" i="23"/>
  <c r="AM66" i="23"/>
  <c r="AN66" i="23"/>
  <c r="AO66" i="23"/>
  <c r="AP66" i="23"/>
  <c r="AQ66" i="23"/>
  <c r="AR66" i="23"/>
  <c r="AS66" i="23"/>
  <c r="AT66" i="23"/>
  <c r="AU66" i="23"/>
  <c r="AV66" i="23"/>
  <c r="AW66" i="23"/>
  <c r="AX66" i="23"/>
  <c r="AY66" i="23"/>
  <c r="AZ66" i="23"/>
  <c r="BA66" i="23"/>
  <c r="BB66" i="23"/>
  <c r="BC66" i="23"/>
  <c r="BD66" i="23"/>
  <c r="BE66" i="23"/>
  <c r="BF66" i="23"/>
  <c r="BG66" i="23"/>
  <c r="BH66" i="23"/>
  <c r="BI66" i="23"/>
  <c r="BJ66" i="23"/>
  <c r="BK66" i="23"/>
  <c r="BL66" i="23"/>
  <c r="BM66" i="23"/>
  <c r="BN66" i="23"/>
  <c r="BO66" i="23"/>
  <c r="BP66" i="23"/>
  <c r="BQ66" i="23"/>
  <c r="BR66" i="23"/>
  <c r="BS66" i="23"/>
  <c r="BT66" i="23"/>
  <c r="B67" i="23"/>
  <c r="C67" i="23"/>
  <c r="D67" i="23"/>
  <c r="E67" i="23"/>
  <c r="F67" i="23"/>
  <c r="G67" i="23"/>
  <c r="H67" i="23"/>
  <c r="I67" i="23"/>
  <c r="J67" i="23"/>
  <c r="K67" i="23"/>
  <c r="L67" i="23"/>
  <c r="M67" i="23"/>
  <c r="N67" i="23"/>
  <c r="O67" i="23"/>
  <c r="P67" i="23"/>
  <c r="Q67" i="23"/>
  <c r="R67" i="23"/>
  <c r="S67" i="23"/>
  <c r="T67" i="23"/>
  <c r="U67" i="23"/>
  <c r="V67" i="23"/>
  <c r="W67" i="23"/>
  <c r="X67" i="23"/>
  <c r="Y67" i="23"/>
  <c r="Z67" i="23"/>
  <c r="AA67" i="23"/>
  <c r="AB67" i="23"/>
  <c r="AC67" i="23"/>
  <c r="AD67" i="23"/>
  <c r="AE67" i="23"/>
  <c r="AF67" i="23"/>
  <c r="AG67" i="23"/>
  <c r="AH67" i="23"/>
  <c r="AI67" i="23"/>
  <c r="AJ67" i="23"/>
  <c r="AK67" i="23"/>
  <c r="AL67" i="23"/>
  <c r="AM67" i="23"/>
  <c r="AN67" i="23"/>
  <c r="AO67" i="23"/>
  <c r="AP67" i="23"/>
  <c r="AQ67" i="23"/>
  <c r="AR67" i="23"/>
  <c r="AS67" i="23"/>
  <c r="AT67" i="23"/>
  <c r="AU67" i="23"/>
  <c r="AV67" i="23"/>
  <c r="AW67" i="23"/>
  <c r="AX67" i="23"/>
  <c r="AY67" i="23"/>
  <c r="AZ67" i="23"/>
  <c r="BA67" i="23"/>
  <c r="BB67" i="23"/>
  <c r="BC67" i="23"/>
  <c r="BD67" i="23"/>
  <c r="BE67" i="23"/>
  <c r="BF67" i="23"/>
  <c r="BG67" i="23"/>
  <c r="BH67" i="23"/>
  <c r="BI67" i="23"/>
  <c r="BJ67" i="23"/>
  <c r="BK67" i="23"/>
  <c r="BL67" i="23"/>
  <c r="BM67" i="23"/>
  <c r="BN67" i="23"/>
  <c r="BO67" i="23"/>
  <c r="BP67" i="23"/>
  <c r="BQ67" i="23"/>
  <c r="BR67" i="23"/>
  <c r="BS67" i="23"/>
  <c r="BT67" i="23"/>
  <c r="B68" i="23"/>
  <c r="C68" i="23"/>
  <c r="D68" i="23"/>
  <c r="E68" i="23"/>
  <c r="F68" i="23"/>
  <c r="G68" i="23"/>
  <c r="H68" i="23"/>
  <c r="I68" i="23"/>
  <c r="J68" i="23"/>
  <c r="K68" i="23"/>
  <c r="L68" i="23"/>
  <c r="M68" i="23"/>
  <c r="N68" i="23"/>
  <c r="O68" i="23"/>
  <c r="P68" i="23"/>
  <c r="Q68" i="23"/>
  <c r="R68" i="23"/>
  <c r="S68" i="23"/>
  <c r="T68" i="23"/>
  <c r="U68" i="23"/>
  <c r="V68" i="23"/>
  <c r="W68" i="23"/>
  <c r="X68" i="23"/>
  <c r="Y68" i="23"/>
  <c r="Z68" i="23"/>
  <c r="AA68" i="23"/>
  <c r="AB68" i="23"/>
  <c r="AC68" i="23"/>
  <c r="AD68" i="23"/>
  <c r="AE68" i="23"/>
  <c r="AF68" i="23"/>
  <c r="AG68" i="23"/>
  <c r="AH68" i="23"/>
  <c r="AI68" i="23"/>
  <c r="AJ68" i="23"/>
  <c r="AK68" i="23"/>
  <c r="AL68" i="23"/>
  <c r="AM68" i="23"/>
  <c r="AN68" i="23"/>
  <c r="AO68" i="23"/>
  <c r="AP68" i="23"/>
  <c r="AQ68" i="23"/>
  <c r="AR68" i="23"/>
  <c r="AS68" i="23"/>
  <c r="AT68" i="23"/>
  <c r="AU68" i="23"/>
  <c r="AV68" i="23"/>
  <c r="AW68" i="23"/>
  <c r="AX68" i="23"/>
  <c r="AY68" i="23"/>
  <c r="AZ68" i="23"/>
  <c r="BA68" i="23"/>
  <c r="BB68" i="23"/>
  <c r="BC68" i="23"/>
  <c r="BD68" i="23"/>
  <c r="BE68" i="23"/>
  <c r="BF68" i="23"/>
  <c r="BG68" i="23"/>
  <c r="BH68" i="23"/>
  <c r="BI68" i="23"/>
  <c r="BJ68" i="23"/>
  <c r="BK68" i="23"/>
  <c r="BL68" i="23"/>
  <c r="BM68" i="23"/>
  <c r="BN68" i="23"/>
  <c r="BO68" i="23"/>
  <c r="BP68" i="23"/>
  <c r="BQ68" i="23"/>
  <c r="BR68" i="23"/>
  <c r="BS68" i="23"/>
  <c r="BT68" i="23"/>
  <c r="B69" i="23"/>
  <c r="C69" i="23"/>
  <c r="D69" i="23"/>
  <c r="E69" i="23"/>
  <c r="F69" i="23"/>
  <c r="G69" i="23"/>
  <c r="H69" i="23"/>
  <c r="I69" i="23"/>
  <c r="J69" i="23"/>
  <c r="K69" i="23"/>
  <c r="L69" i="23"/>
  <c r="M69" i="23"/>
  <c r="N69" i="23"/>
  <c r="O69" i="23"/>
  <c r="P69" i="23"/>
  <c r="Q69" i="23"/>
  <c r="R69" i="23"/>
  <c r="S69" i="23"/>
  <c r="T69" i="23"/>
  <c r="U69" i="23"/>
  <c r="V69" i="23"/>
  <c r="W69" i="23"/>
  <c r="X69" i="23"/>
  <c r="Y69" i="23"/>
  <c r="Z69" i="23"/>
  <c r="AA69" i="23"/>
  <c r="AB69" i="23"/>
  <c r="AC69" i="23"/>
  <c r="AD69" i="23"/>
  <c r="AE69" i="23"/>
  <c r="AF69" i="23"/>
  <c r="AG69" i="23"/>
  <c r="AH69" i="23"/>
  <c r="AI69" i="23"/>
  <c r="AJ69" i="23"/>
  <c r="AK69" i="23"/>
  <c r="AL69" i="23"/>
  <c r="AM69" i="23"/>
  <c r="AN69" i="23"/>
  <c r="AO69" i="23"/>
  <c r="AP69" i="23"/>
  <c r="AQ69" i="23"/>
  <c r="AR69" i="23"/>
  <c r="AS69" i="23"/>
  <c r="AT69" i="23"/>
  <c r="AU69" i="23"/>
  <c r="AV69" i="23"/>
  <c r="AW69" i="23"/>
  <c r="AX69" i="23"/>
  <c r="AY69" i="23"/>
  <c r="AZ69" i="23"/>
  <c r="BA69" i="23"/>
  <c r="BB69" i="23"/>
  <c r="BC69" i="23"/>
  <c r="BD69" i="23"/>
  <c r="BE69" i="23"/>
  <c r="BF69" i="23"/>
  <c r="BG69" i="23"/>
  <c r="BH69" i="23"/>
  <c r="BI69" i="23"/>
  <c r="BJ69" i="23"/>
  <c r="BK69" i="23"/>
  <c r="BL69" i="23"/>
  <c r="BM69" i="23"/>
  <c r="BN69" i="23"/>
  <c r="BO69" i="23"/>
  <c r="BP69" i="23"/>
  <c r="BQ69" i="23"/>
  <c r="BR69" i="23"/>
  <c r="BS69" i="23"/>
  <c r="BT69" i="23"/>
  <c r="B70" i="23"/>
  <c r="C70" i="23"/>
  <c r="D70" i="23"/>
  <c r="E70" i="23"/>
  <c r="F70" i="23"/>
  <c r="G70" i="23"/>
  <c r="H70" i="23"/>
  <c r="I70" i="23"/>
  <c r="J70" i="23"/>
  <c r="K70" i="23"/>
  <c r="L70" i="23"/>
  <c r="M70" i="23"/>
  <c r="N70" i="23"/>
  <c r="O70" i="23"/>
  <c r="P70" i="23"/>
  <c r="Q70" i="23"/>
  <c r="R70" i="23"/>
  <c r="S70" i="23"/>
  <c r="T70" i="23"/>
  <c r="U70" i="23"/>
  <c r="V70" i="23"/>
  <c r="W70" i="23"/>
  <c r="X70" i="23"/>
  <c r="Y70" i="23"/>
  <c r="Z70" i="23"/>
  <c r="AA70" i="23"/>
  <c r="AB70" i="23"/>
  <c r="AC70" i="23"/>
  <c r="AD70" i="23"/>
  <c r="AE70" i="23"/>
  <c r="AF70" i="23"/>
  <c r="AG70" i="23"/>
  <c r="AH70" i="23"/>
  <c r="AI70" i="23"/>
  <c r="AJ70" i="23"/>
  <c r="AK70" i="23"/>
  <c r="AL70" i="23"/>
  <c r="AM70" i="23"/>
  <c r="AN70" i="23"/>
  <c r="AO70" i="23"/>
  <c r="AP70" i="23"/>
  <c r="AQ70" i="23"/>
  <c r="AR70" i="23"/>
  <c r="AS70" i="23"/>
  <c r="AT70" i="23"/>
  <c r="AU70" i="23"/>
  <c r="AV70" i="23"/>
  <c r="AW70" i="23"/>
  <c r="AX70" i="23"/>
  <c r="AY70" i="23"/>
  <c r="AZ70" i="23"/>
  <c r="BA70" i="23"/>
  <c r="BB70" i="23"/>
  <c r="BC70" i="23"/>
  <c r="BD70" i="23"/>
  <c r="BE70" i="23"/>
  <c r="BF70" i="23"/>
  <c r="BG70" i="23"/>
  <c r="BH70" i="23"/>
  <c r="BI70" i="23"/>
  <c r="BJ70" i="23"/>
  <c r="BK70" i="23"/>
  <c r="BL70" i="23"/>
  <c r="BM70" i="23"/>
  <c r="BN70" i="23"/>
  <c r="BO70" i="23"/>
  <c r="BP70" i="23"/>
  <c r="BQ70" i="23"/>
  <c r="BR70" i="23"/>
  <c r="BS70" i="23"/>
  <c r="BT70" i="23"/>
  <c r="B71" i="23"/>
  <c r="C71" i="23"/>
  <c r="D71" i="23"/>
  <c r="E71" i="23"/>
  <c r="F71" i="23"/>
  <c r="G71" i="23"/>
  <c r="H71" i="23"/>
  <c r="I71" i="23"/>
  <c r="J71" i="23"/>
  <c r="K71" i="23"/>
  <c r="L71" i="23"/>
  <c r="M71" i="23"/>
  <c r="N71" i="23"/>
  <c r="O71" i="23"/>
  <c r="P71" i="23"/>
  <c r="Q71" i="23"/>
  <c r="R71" i="23"/>
  <c r="S71" i="23"/>
  <c r="T71" i="23"/>
  <c r="U71" i="23"/>
  <c r="V71" i="23"/>
  <c r="W71" i="23"/>
  <c r="X71" i="23"/>
  <c r="Y71" i="23"/>
  <c r="Z71" i="23"/>
  <c r="AA71" i="23"/>
  <c r="AB71" i="23"/>
  <c r="AC71" i="23"/>
  <c r="AD71" i="23"/>
  <c r="AE71" i="23"/>
  <c r="AF71" i="23"/>
  <c r="AG71" i="23"/>
  <c r="AH71" i="23"/>
  <c r="AI71" i="23"/>
  <c r="AJ71" i="23"/>
  <c r="AK71" i="23"/>
  <c r="AL71" i="23"/>
  <c r="AM71" i="23"/>
  <c r="AN71" i="23"/>
  <c r="AO71" i="23"/>
  <c r="AP71" i="23"/>
  <c r="AQ71" i="23"/>
  <c r="AR71" i="23"/>
  <c r="AS71" i="23"/>
  <c r="AT71" i="23"/>
  <c r="AU71" i="23"/>
  <c r="AV71" i="23"/>
  <c r="AW71" i="23"/>
  <c r="AX71" i="23"/>
  <c r="AY71" i="23"/>
  <c r="AZ71" i="23"/>
  <c r="BA71" i="23"/>
  <c r="BB71" i="23"/>
  <c r="BC71" i="23"/>
  <c r="BD71" i="23"/>
  <c r="BE71" i="23"/>
  <c r="BF71" i="23"/>
  <c r="BG71" i="23"/>
  <c r="BH71" i="23"/>
  <c r="BI71" i="23"/>
  <c r="BJ71" i="23"/>
  <c r="BK71" i="23"/>
  <c r="BL71" i="23"/>
  <c r="BM71" i="23"/>
  <c r="BN71" i="23"/>
  <c r="BO71" i="23"/>
  <c r="BP71" i="23"/>
  <c r="BQ71" i="23"/>
  <c r="BR71" i="23"/>
  <c r="BS71" i="23"/>
  <c r="BT71" i="23"/>
  <c r="B72" i="23"/>
  <c r="C72" i="23"/>
  <c r="D72" i="23"/>
  <c r="E72" i="23"/>
  <c r="F72" i="23"/>
  <c r="G72" i="23"/>
  <c r="H72" i="23"/>
  <c r="I72" i="23"/>
  <c r="J72" i="23"/>
  <c r="K72" i="23"/>
  <c r="L72" i="23"/>
  <c r="M72" i="23"/>
  <c r="N72" i="23"/>
  <c r="O72" i="23"/>
  <c r="P72" i="23"/>
  <c r="Q72" i="23"/>
  <c r="R72" i="23"/>
  <c r="S72" i="23"/>
  <c r="T72" i="23"/>
  <c r="U72" i="23"/>
  <c r="V72" i="23"/>
  <c r="W72" i="23"/>
  <c r="X72" i="23"/>
  <c r="Y72" i="23"/>
  <c r="Z72" i="23"/>
  <c r="AA72" i="23"/>
  <c r="AB72" i="23"/>
  <c r="AC72" i="23"/>
  <c r="AD72" i="23"/>
  <c r="AE72" i="23"/>
  <c r="AF72" i="23"/>
  <c r="AG72" i="23"/>
  <c r="AH72" i="23"/>
  <c r="AI72" i="23"/>
  <c r="AJ72" i="23"/>
  <c r="AK72" i="23"/>
  <c r="AL72" i="23"/>
  <c r="AM72" i="23"/>
  <c r="AN72" i="23"/>
  <c r="AO72" i="23"/>
  <c r="AP72" i="23"/>
  <c r="AQ72" i="23"/>
  <c r="AR72" i="23"/>
  <c r="AS72" i="23"/>
  <c r="AT72" i="23"/>
  <c r="AU72" i="23"/>
  <c r="AV72" i="23"/>
  <c r="AW72" i="23"/>
  <c r="AX72" i="23"/>
  <c r="AY72" i="23"/>
  <c r="AZ72" i="23"/>
  <c r="BA72" i="23"/>
  <c r="BB72" i="23"/>
  <c r="BC72" i="23"/>
  <c r="BD72" i="23"/>
  <c r="BE72" i="23"/>
  <c r="BF72" i="23"/>
  <c r="BG72" i="23"/>
  <c r="BH72" i="23"/>
  <c r="BI72" i="23"/>
  <c r="BJ72" i="23"/>
  <c r="BK72" i="23"/>
  <c r="BL72" i="23"/>
  <c r="BM72" i="23"/>
  <c r="BN72" i="23"/>
  <c r="BO72" i="23"/>
  <c r="BP72" i="23"/>
  <c r="BQ72" i="23"/>
  <c r="BR72" i="23"/>
  <c r="BS72" i="23"/>
  <c r="BT72" i="23"/>
  <c r="B73" i="23"/>
  <c r="C73" i="23"/>
  <c r="D73" i="23"/>
  <c r="E73" i="23"/>
  <c r="F73" i="23"/>
  <c r="G73" i="23"/>
  <c r="H73" i="23"/>
  <c r="I73" i="23"/>
  <c r="J73" i="23"/>
  <c r="K73" i="23"/>
  <c r="L73" i="23"/>
  <c r="M73" i="23"/>
  <c r="N73" i="23"/>
  <c r="O73" i="23"/>
  <c r="P73" i="23"/>
  <c r="Q73" i="23"/>
  <c r="R73" i="23"/>
  <c r="S73" i="23"/>
  <c r="T73" i="23"/>
  <c r="U73" i="23"/>
  <c r="V73" i="23"/>
  <c r="W73" i="23"/>
  <c r="X73" i="23"/>
  <c r="Y73" i="23"/>
  <c r="Z73" i="23"/>
  <c r="AA73" i="23"/>
  <c r="AB73" i="23"/>
  <c r="AC73" i="23"/>
  <c r="AD73" i="23"/>
  <c r="AE73" i="23"/>
  <c r="AF73" i="23"/>
  <c r="AG73" i="23"/>
  <c r="AH73" i="23"/>
  <c r="AI73" i="23"/>
  <c r="AJ73" i="23"/>
  <c r="AK73" i="23"/>
  <c r="AL73" i="23"/>
  <c r="AM73" i="23"/>
  <c r="AN73" i="23"/>
  <c r="AO73" i="23"/>
  <c r="AP73" i="23"/>
  <c r="AQ73" i="23"/>
  <c r="AR73" i="23"/>
  <c r="AS73" i="23"/>
  <c r="AT73" i="23"/>
  <c r="AU73" i="23"/>
  <c r="AV73" i="23"/>
  <c r="AW73" i="23"/>
  <c r="AX73" i="23"/>
  <c r="AY73" i="23"/>
  <c r="AZ73" i="23"/>
  <c r="BA73" i="23"/>
  <c r="BB73" i="23"/>
  <c r="BC73" i="23"/>
  <c r="BD73" i="23"/>
  <c r="BE73" i="23"/>
  <c r="BF73" i="23"/>
  <c r="BG73" i="23"/>
  <c r="BH73" i="23"/>
  <c r="BI73" i="23"/>
  <c r="BJ73" i="23"/>
  <c r="BK73" i="23"/>
  <c r="BL73" i="23"/>
  <c r="BM73" i="23"/>
  <c r="BN73" i="23"/>
  <c r="BO73" i="23"/>
  <c r="BP73" i="23"/>
  <c r="BQ73" i="23"/>
  <c r="BR73" i="23"/>
  <c r="BS73" i="23"/>
  <c r="BT73" i="23"/>
  <c r="B74" i="23"/>
  <c r="C74" i="23"/>
  <c r="D74" i="23"/>
  <c r="E74" i="23"/>
  <c r="F74" i="23"/>
  <c r="G74" i="23"/>
  <c r="H74" i="23"/>
  <c r="I74" i="23"/>
  <c r="J74" i="23"/>
  <c r="K74" i="23"/>
  <c r="L74" i="23"/>
  <c r="M74" i="23"/>
  <c r="N74" i="23"/>
  <c r="O74" i="23"/>
  <c r="P74" i="23"/>
  <c r="Q74" i="23"/>
  <c r="R74" i="23"/>
  <c r="S74" i="23"/>
  <c r="T74" i="23"/>
  <c r="U74" i="23"/>
  <c r="V74" i="23"/>
  <c r="W74" i="23"/>
  <c r="X74" i="23"/>
  <c r="Y74" i="23"/>
  <c r="Z74" i="23"/>
  <c r="AA74" i="23"/>
  <c r="AB74" i="23"/>
  <c r="AC74" i="23"/>
  <c r="AD74" i="23"/>
  <c r="AE74" i="23"/>
  <c r="AF74" i="23"/>
  <c r="AG74" i="23"/>
  <c r="AH74" i="23"/>
  <c r="AI74" i="23"/>
  <c r="AJ74" i="23"/>
  <c r="AK74" i="23"/>
  <c r="AL74" i="23"/>
  <c r="AM74" i="23"/>
  <c r="AN74" i="23"/>
  <c r="AO74" i="23"/>
  <c r="AP74" i="23"/>
  <c r="AQ74" i="23"/>
  <c r="AR74" i="23"/>
  <c r="AS74" i="23"/>
  <c r="AT74" i="23"/>
  <c r="AU74" i="23"/>
  <c r="AV74" i="23"/>
  <c r="AW74" i="23"/>
  <c r="AX74" i="23"/>
  <c r="AY74" i="23"/>
  <c r="AZ74" i="23"/>
  <c r="BA74" i="23"/>
  <c r="BB74" i="23"/>
  <c r="BC74" i="23"/>
  <c r="BD74" i="23"/>
  <c r="BE74" i="23"/>
  <c r="BF74" i="23"/>
  <c r="BG74" i="23"/>
  <c r="BH74" i="23"/>
  <c r="BI74" i="23"/>
  <c r="BJ74" i="23"/>
  <c r="BK74" i="23"/>
  <c r="BL74" i="23"/>
  <c r="BM74" i="23"/>
  <c r="BN74" i="23"/>
  <c r="BO74" i="23"/>
  <c r="BP74" i="23"/>
  <c r="BQ74" i="23"/>
  <c r="BR74" i="23"/>
  <c r="BS74" i="23"/>
  <c r="BT74" i="23"/>
  <c r="B75" i="23"/>
  <c r="C75" i="23"/>
  <c r="D75" i="23"/>
  <c r="E75" i="23"/>
  <c r="F75" i="23"/>
  <c r="G75" i="23"/>
  <c r="H75" i="23"/>
  <c r="I75" i="23"/>
  <c r="J75" i="23"/>
  <c r="K75" i="23"/>
  <c r="L75" i="23"/>
  <c r="M75" i="23"/>
  <c r="N75" i="23"/>
  <c r="O75" i="23"/>
  <c r="P75" i="23"/>
  <c r="Q75" i="23"/>
  <c r="R75" i="23"/>
  <c r="S75" i="23"/>
  <c r="T75" i="23"/>
  <c r="U75" i="23"/>
  <c r="V75" i="23"/>
  <c r="W75" i="23"/>
  <c r="X75" i="23"/>
  <c r="Y75" i="23"/>
  <c r="Z75" i="23"/>
  <c r="AA75" i="23"/>
  <c r="AB75" i="23"/>
  <c r="AC75" i="23"/>
  <c r="AD75" i="23"/>
  <c r="AE75" i="23"/>
  <c r="AF75" i="23"/>
  <c r="AG75" i="23"/>
  <c r="AH75" i="23"/>
  <c r="AI75" i="23"/>
  <c r="AJ75" i="23"/>
  <c r="AK75" i="23"/>
  <c r="AL75" i="23"/>
  <c r="AM75" i="23"/>
  <c r="AN75" i="23"/>
  <c r="AO75" i="23"/>
  <c r="AP75" i="23"/>
  <c r="AQ75" i="23"/>
  <c r="AR75" i="23"/>
  <c r="AS75" i="23"/>
  <c r="AT75" i="23"/>
  <c r="AU75" i="23"/>
  <c r="AV75" i="23"/>
  <c r="AW75" i="23"/>
  <c r="AX75" i="23"/>
  <c r="AY75" i="23"/>
  <c r="AZ75" i="23"/>
  <c r="BA75" i="23"/>
  <c r="BB75" i="23"/>
  <c r="BC75" i="23"/>
  <c r="BD75" i="23"/>
  <c r="BE75" i="23"/>
  <c r="BF75" i="23"/>
  <c r="BG75" i="23"/>
  <c r="BH75" i="23"/>
  <c r="BI75" i="23"/>
  <c r="BJ75" i="23"/>
  <c r="BK75" i="23"/>
  <c r="BL75" i="23"/>
  <c r="BM75" i="23"/>
  <c r="BN75" i="23"/>
  <c r="BO75" i="23"/>
  <c r="BP75" i="23"/>
  <c r="BQ75" i="23"/>
  <c r="BR75" i="23"/>
  <c r="BS75" i="23"/>
  <c r="BT75" i="23"/>
  <c r="B76" i="23"/>
  <c r="C76" i="23"/>
  <c r="D76" i="23"/>
  <c r="E76" i="23"/>
  <c r="F76" i="23"/>
  <c r="G76" i="23"/>
  <c r="H76" i="23"/>
  <c r="I76" i="23"/>
  <c r="J76" i="23"/>
  <c r="K76" i="23"/>
  <c r="L76" i="23"/>
  <c r="M76" i="23"/>
  <c r="N76" i="23"/>
  <c r="O76" i="23"/>
  <c r="P76" i="23"/>
  <c r="Q76" i="23"/>
  <c r="R76" i="23"/>
  <c r="S76" i="23"/>
  <c r="T76" i="23"/>
  <c r="U76" i="23"/>
  <c r="V76" i="23"/>
  <c r="W76" i="23"/>
  <c r="X76" i="23"/>
  <c r="Y76" i="23"/>
  <c r="Z76" i="23"/>
  <c r="AA76" i="23"/>
  <c r="AB76" i="23"/>
  <c r="AC76" i="23"/>
  <c r="AD76" i="23"/>
  <c r="AE76" i="23"/>
  <c r="AF76" i="23"/>
  <c r="AG76" i="23"/>
  <c r="AH76" i="23"/>
  <c r="AI76" i="23"/>
  <c r="AJ76" i="23"/>
  <c r="AK76" i="23"/>
  <c r="AL76" i="23"/>
  <c r="AM76" i="23"/>
  <c r="AN76" i="23"/>
  <c r="AO76" i="23"/>
  <c r="AP76" i="23"/>
  <c r="AQ76" i="23"/>
  <c r="AR76" i="23"/>
  <c r="AS76" i="23"/>
  <c r="AT76" i="23"/>
  <c r="AU76" i="23"/>
  <c r="AV76" i="23"/>
  <c r="AW76" i="23"/>
  <c r="AX76" i="23"/>
  <c r="AY76" i="23"/>
  <c r="AZ76" i="23"/>
  <c r="BA76" i="23"/>
  <c r="BB76" i="23"/>
  <c r="BC76" i="23"/>
  <c r="BD76" i="23"/>
  <c r="BE76" i="23"/>
  <c r="BF76" i="23"/>
  <c r="BG76" i="23"/>
  <c r="BH76" i="23"/>
  <c r="BI76" i="23"/>
  <c r="BJ76" i="23"/>
  <c r="BK76" i="23"/>
  <c r="BL76" i="23"/>
  <c r="BM76" i="23"/>
  <c r="BN76" i="23"/>
  <c r="BO76" i="23"/>
  <c r="BP76" i="23"/>
  <c r="BQ76" i="23"/>
  <c r="BR76" i="23"/>
  <c r="BS76" i="23"/>
  <c r="BT76" i="23"/>
  <c r="B77" i="23"/>
  <c r="C77" i="23"/>
  <c r="D77" i="23"/>
  <c r="E77" i="23"/>
  <c r="F77" i="23"/>
  <c r="G77" i="23"/>
  <c r="H77" i="23"/>
  <c r="I77" i="23"/>
  <c r="J77" i="23"/>
  <c r="K77" i="23"/>
  <c r="L77" i="23"/>
  <c r="M77" i="23"/>
  <c r="N77" i="23"/>
  <c r="O77" i="23"/>
  <c r="P77" i="23"/>
  <c r="Q77" i="23"/>
  <c r="R77" i="23"/>
  <c r="S77" i="23"/>
  <c r="T77" i="23"/>
  <c r="U77" i="23"/>
  <c r="V77" i="23"/>
  <c r="W77" i="23"/>
  <c r="X77" i="23"/>
  <c r="Y77" i="23"/>
  <c r="Z77" i="23"/>
  <c r="AA77" i="23"/>
  <c r="AB77" i="23"/>
  <c r="AC77" i="23"/>
  <c r="AD77" i="23"/>
  <c r="AE77" i="23"/>
  <c r="AF77" i="23"/>
  <c r="AG77" i="23"/>
  <c r="AH77" i="23"/>
  <c r="AI77" i="23"/>
  <c r="AJ77" i="23"/>
  <c r="AK77" i="23"/>
  <c r="AL77" i="23"/>
  <c r="AM77" i="23"/>
  <c r="AN77" i="23"/>
  <c r="AO77" i="23"/>
  <c r="AP77" i="23"/>
  <c r="AQ77" i="23"/>
  <c r="AR77" i="23"/>
  <c r="AS77" i="23"/>
  <c r="AT77" i="23"/>
  <c r="AU77" i="23"/>
  <c r="AV77" i="23"/>
  <c r="AW77" i="23"/>
  <c r="AX77" i="23"/>
  <c r="AY77" i="23"/>
  <c r="AZ77" i="23"/>
  <c r="BA77" i="23"/>
  <c r="BB77" i="23"/>
  <c r="BC77" i="23"/>
  <c r="BD77" i="23"/>
  <c r="BE77" i="23"/>
  <c r="BF77" i="23"/>
  <c r="BG77" i="23"/>
  <c r="BH77" i="23"/>
  <c r="BI77" i="23"/>
  <c r="BJ77" i="23"/>
  <c r="BK77" i="23"/>
  <c r="BL77" i="23"/>
  <c r="BM77" i="23"/>
  <c r="BN77" i="23"/>
  <c r="BO77" i="23"/>
  <c r="BP77" i="23"/>
  <c r="BQ77" i="23"/>
  <c r="BR77" i="23"/>
  <c r="BS77" i="23"/>
  <c r="BT77" i="23"/>
  <c r="B78" i="23"/>
  <c r="C78" i="23"/>
  <c r="D78" i="23"/>
  <c r="E78" i="23"/>
  <c r="F78" i="23"/>
  <c r="G78" i="23"/>
  <c r="H78" i="23"/>
  <c r="I78" i="23"/>
  <c r="J78" i="23"/>
  <c r="K78" i="23"/>
  <c r="L78" i="23"/>
  <c r="M78" i="23"/>
  <c r="N78" i="23"/>
  <c r="O78" i="23"/>
  <c r="P78" i="23"/>
  <c r="Q78" i="23"/>
  <c r="R78" i="23"/>
  <c r="S78" i="23"/>
  <c r="T78" i="23"/>
  <c r="U78" i="23"/>
  <c r="V78" i="23"/>
  <c r="W78" i="23"/>
  <c r="X78" i="23"/>
  <c r="Y78" i="23"/>
  <c r="Z78" i="23"/>
  <c r="AA78" i="23"/>
  <c r="AB78" i="23"/>
  <c r="AC78" i="23"/>
  <c r="AD78" i="23"/>
  <c r="AE78" i="23"/>
  <c r="AF78" i="23"/>
  <c r="AG78" i="23"/>
  <c r="AH78" i="23"/>
  <c r="AI78" i="23"/>
  <c r="AJ78" i="23"/>
  <c r="AK78" i="23"/>
  <c r="AL78" i="23"/>
  <c r="AM78" i="23"/>
  <c r="AN78" i="23"/>
  <c r="AO78" i="23"/>
  <c r="AP78" i="23"/>
  <c r="AQ78" i="23"/>
  <c r="AR78" i="23"/>
  <c r="AS78" i="23"/>
  <c r="AT78" i="23"/>
  <c r="AU78" i="23"/>
  <c r="AV78" i="23"/>
  <c r="AW78" i="23"/>
  <c r="AX78" i="23"/>
  <c r="AY78" i="23"/>
  <c r="AZ78" i="23"/>
  <c r="BA78" i="23"/>
  <c r="BB78" i="23"/>
  <c r="BC78" i="23"/>
  <c r="BD78" i="23"/>
  <c r="BE78" i="23"/>
  <c r="BF78" i="23"/>
  <c r="BG78" i="23"/>
  <c r="BH78" i="23"/>
  <c r="BI78" i="23"/>
  <c r="BJ78" i="23"/>
  <c r="BK78" i="23"/>
  <c r="BL78" i="23"/>
  <c r="BM78" i="23"/>
  <c r="BN78" i="23"/>
  <c r="BO78" i="23"/>
  <c r="BP78" i="23"/>
  <c r="BQ78" i="23"/>
  <c r="BR78" i="23"/>
  <c r="BS78" i="23"/>
  <c r="BT78" i="23"/>
  <c r="B79" i="23"/>
  <c r="C79" i="23"/>
  <c r="D79" i="23"/>
  <c r="E79" i="23"/>
  <c r="F79" i="23"/>
  <c r="G79" i="23"/>
  <c r="H79" i="23"/>
  <c r="I79" i="23"/>
  <c r="J79" i="23"/>
  <c r="K79" i="23"/>
  <c r="L79" i="23"/>
  <c r="M79" i="23"/>
  <c r="N79" i="23"/>
  <c r="O79" i="23"/>
  <c r="P79" i="23"/>
  <c r="Q79" i="23"/>
  <c r="R79" i="23"/>
  <c r="S79" i="23"/>
  <c r="T79" i="23"/>
  <c r="U79" i="23"/>
  <c r="V79" i="23"/>
  <c r="W79" i="23"/>
  <c r="X79" i="23"/>
  <c r="Y79" i="23"/>
  <c r="Z79" i="23"/>
  <c r="AA79" i="23"/>
  <c r="AB79" i="23"/>
  <c r="AC79" i="23"/>
  <c r="AD79" i="23"/>
  <c r="AE79" i="23"/>
  <c r="AF79" i="23"/>
  <c r="AG79" i="23"/>
  <c r="AH79" i="23"/>
  <c r="AI79" i="23"/>
  <c r="AJ79" i="23"/>
  <c r="AK79" i="23"/>
  <c r="AL79" i="23"/>
  <c r="AM79" i="23"/>
  <c r="AN79" i="23"/>
  <c r="AO79" i="23"/>
  <c r="AP79" i="23"/>
  <c r="AQ79" i="23"/>
  <c r="AR79" i="23"/>
  <c r="AS79" i="23"/>
  <c r="AT79" i="23"/>
  <c r="AU79" i="23"/>
  <c r="AV79" i="23"/>
  <c r="AW79" i="23"/>
  <c r="AX79" i="23"/>
  <c r="AY79" i="23"/>
  <c r="AZ79" i="23"/>
  <c r="BA79" i="23"/>
  <c r="BB79" i="23"/>
  <c r="BC79" i="23"/>
  <c r="BD79" i="23"/>
  <c r="BE79" i="23"/>
  <c r="BF79" i="23"/>
  <c r="BG79" i="23"/>
  <c r="BH79" i="23"/>
  <c r="BI79" i="23"/>
  <c r="BJ79" i="23"/>
  <c r="BK79" i="23"/>
  <c r="BL79" i="23"/>
  <c r="BM79" i="23"/>
  <c r="BN79" i="23"/>
  <c r="BO79" i="23"/>
  <c r="BP79" i="23"/>
  <c r="BQ79" i="23"/>
  <c r="BR79" i="23"/>
  <c r="BS79" i="23"/>
  <c r="BT79" i="23"/>
  <c r="B80" i="23"/>
  <c r="C80" i="23"/>
  <c r="D80" i="23"/>
  <c r="E80" i="23"/>
  <c r="F80" i="23"/>
  <c r="G80" i="23"/>
  <c r="H80" i="23"/>
  <c r="I80" i="23"/>
  <c r="J80" i="23"/>
  <c r="K80" i="23"/>
  <c r="L80" i="23"/>
  <c r="M80" i="23"/>
  <c r="N80" i="23"/>
  <c r="O80" i="23"/>
  <c r="P80" i="23"/>
  <c r="Q80" i="23"/>
  <c r="R80" i="23"/>
  <c r="S80" i="23"/>
  <c r="T80" i="23"/>
  <c r="U80" i="23"/>
  <c r="V80" i="23"/>
  <c r="W80" i="23"/>
  <c r="X80" i="23"/>
  <c r="Y80" i="23"/>
  <c r="Z80" i="23"/>
  <c r="AA80" i="23"/>
  <c r="AB80" i="23"/>
  <c r="AC80" i="23"/>
  <c r="AD80" i="23"/>
  <c r="AE80" i="23"/>
  <c r="AF80" i="23"/>
  <c r="AG80" i="23"/>
  <c r="AH80" i="23"/>
  <c r="AI80" i="23"/>
  <c r="AJ80" i="23"/>
  <c r="AK80" i="23"/>
  <c r="AL80" i="23"/>
  <c r="AM80" i="23"/>
  <c r="AN80" i="23"/>
  <c r="AO80" i="23"/>
  <c r="AP80" i="23"/>
  <c r="AQ80" i="23"/>
  <c r="AR80" i="23"/>
  <c r="AS80" i="23"/>
  <c r="AT80" i="23"/>
  <c r="AU80" i="23"/>
  <c r="AV80" i="23"/>
  <c r="AW80" i="23"/>
  <c r="AX80" i="23"/>
  <c r="AY80" i="23"/>
  <c r="AZ80" i="23"/>
  <c r="BA80" i="23"/>
  <c r="BB80" i="23"/>
  <c r="BC80" i="23"/>
  <c r="BD80" i="23"/>
  <c r="BE80" i="23"/>
  <c r="BF80" i="23"/>
  <c r="BG80" i="23"/>
  <c r="BH80" i="23"/>
  <c r="BI80" i="23"/>
  <c r="BJ80" i="23"/>
  <c r="BK80" i="23"/>
  <c r="BL80" i="23"/>
  <c r="BM80" i="23"/>
  <c r="BN80" i="23"/>
  <c r="BO80" i="23"/>
  <c r="BP80" i="23"/>
  <c r="BQ80" i="23"/>
  <c r="BR80" i="23"/>
  <c r="BS80" i="23"/>
  <c r="BT80" i="23"/>
  <c r="B81" i="23"/>
  <c r="C81" i="23"/>
  <c r="D81" i="23"/>
  <c r="E81" i="23"/>
  <c r="F81" i="23"/>
  <c r="G81" i="23"/>
  <c r="H81" i="23"/>
  <c r="I81" i="23"/>
  <c r="J81" i="23"/>
  <c r="K81" i="23"/>
  <c r="L81" i="23"/>
  <c r="M81" i="23"/>
  <c r="N81" i="23"/>
  <c r="O81" i="23"/>
  <c r="P81" i="23"/>
  <c r="Q81" i="23"/>
  <c r="R81" i="23"/>
  <c r="S81" i="23"/>
  <c r="T81" i="23"/>
  <c r="U81" i="23"/>
  <c r="V81" i="23"/>
  <c r="W81" i="23"/>
  <c r="X81" i="23"/>
  <c r="Y81" i="23"/>
  <c r="Z81" i="23"/>
  <c r="AA81" i="23"/>
  <c r="AB81" i="23"/>
  <c r="AC81" i="23"/>
  <c r="AD81" i="23"/>
  <c r="AE81" i="23"/>
  <c r="AF81" i="23"/>
  <c r="AG81" i="23"/>
  <c r="AH81" i="23"/>
  <c r="AI81" i="23"/>
  <c r="AJ81" i="23"/>
  <c r="AK81" i="23"/>
  <c r="AL81" i="23"/>
  <c r="AM81" i="23"/>
  <c r="AN81" i="23"/>
  <c r="AO81" i="23"/>
  <c r="AP81" i="23"/>
  <c r="AQ81" i="23"/>
  <c r="AR81" i="23"/>
  <c r="AS81" i="23"/>
  <c r="AT81" i="23"/>
  <c r="AU81" i="23"/>
  <c r="AV81" i="23"/>
  <c r="AW81" i="23"/>
  <c r="AX81" i="23"/>
  <c r="AY81" i="23"/>
  <c r="AZ81" i="23"/>
  <c r="BA81" i="23"/>
  <c r="BB81" i="23"/>
  <c r="BC81" i="23"/>
  <c r="BD81" i="23"/>
  <c r="BE81" i="23"/>
  <c r="BF81" i="23"/>
  <c r="BG81" i="23"/>
  <c r="BH81" i="23"/>
  <c r="BI81" i="23"/>
  <c r="BJ81" i="23"/>
  <c r="BK81" i="23"/>
  <c r="BL81" i="23"/>
  <c r="BM81" i="23"/>
  <c r="BN81" i="23"/>
  <c r="BO81" i="23"/>
  <c r="BP81" i="23"/>
  <c r="BQ81" i="23"/>
  <c r="BR81" i="23"/>
  <c r="BS81" i="23"/>
  <c r="BT81" i="23"/>
  <c r="B82" i="23"/>
  <c r="C82" i="23"/>
  <c r="D82" i="23"/>
  <c r="E82" i="23"/>
  <c r="F82" i="23"/>
  <c r="G82" i="23"/>
  <c r="H82" i="23"/>
  <c r="I82" i="23"/>
  <c r="J82" i="23"/>
  <c r="K82" i="23"/>
  <c r="L82" i="23"/>
  <c r="M82" i="23"/>
  <c r="N82" i="23"/>
  <c r="O82" i="23"/>
  <c r="P82" i="23"/>
  <c r="Q82" i="23"/>
  <c r="R82" i="23"/>
  <c r="S82" i="23"/>
  <c r="T82" i="23"/>
  <c r="U82" i="23"/>
  <c r="V82" i="23"/>
  <c r="W82" i="23"/>
  <c r="X82" i="23"/>
  <c r="Y82" i="23"/>
  <c r="Z82" i="23"/>
  <c r="AA82" i="23"/>
  <c r="AB82" i="23"/>
  <c r="AC82" i="23"/>
  <c r="AD82" i="23"/>
  <c r="AE82" i="23"/>
  <c r="AF82" i="23"/>
  <c r="AG82" i="23"/>
  <c r="AH82" i="23"/>
  <c r="AI82" i="23"/>
  <c r="AJ82" i="23"/>
  <c r="AK82" i="23"/>
  <c r="AL82" i="23"/>
  <c r="AM82" i="23"/>
  <c r="AN82" i="23"/>
  <c r="AO82" i="23"/>
  <c r="AP82" i="23"/>
  <c r="AQ82" i="23"/>
  <c r="AR82" i="23"/>
  <c r="AS82" i="23"/>
  <c r="AT82" i="23"/>
  <c r="AU82" i="23"/>
  <c r="AV82" i="23"/>
  <c r="AW82" i="23"/>
  <c r="AX82" i="23"/>
  <c r="AY82" i="23"/>
  <c r="AZ82" i="23"/>
  <c r="BA82" i="23"/>
  <c r="BB82" i="23"/>
  <c r="BC82" i="23"/>
  <c r="BD82" i="23"/>
  <c r="BE82" i="23"/>
  <c r="BF82" i="23"/>
  <c r="BG82" i="23"/>
  <c r="BH82" i="23"/>
  <c r="BI82" i="23"/>
  <c r="BJ82" i="23"/>
  <c r="BK82" i="23"/>
  <c r="BL82" i="23"/>
  <c r="BM82" i="23"/>
  <c r="BN82" i="23"/>
  <c r="BO82" i="23"/>
  <c r="BP82" i="23"/>
  <c r="BQ82" i="23"/>
  <c r="BR82" i="23"/>
  <c r="BS82" i="23"/>
  <c r="BT82" i="23"/>
  <c r="B83" i="23"/>
  <c r="C83" i="23"/>
  <c r="D83" i="23"/>
  <c r="E83" i="23"/>
  <c r="F83" i="23"/>
  <c r="G83" i="23"/>
  <c r="H83" i="23"/>
  <c r="I83" i="23"/>
  <c r="J83" i="23"/>
  <c r="K83" i="23"/>
  <c r="L83" i="23"/>
  <c r="M83" i="23"/>
  <c r="N83" i="23"/>
  <c r="O83" i="23"/>
  <c r="P83" i="23"/>
  <c r="Q83" i="23"/>
  <c r="R83" i="23"/>
  <c r="S83" i="23"/>
  <c r="T83" i="23"/>
  <c r="U83" i="23"/>
  <c r="V83" i="23"/>
  <c r="W83" i="23"/>
  <c r="X83" i="23"/>
  <c r="Y83" i="23"/>
  <c r="Z83" i="23"/>
  <c r="AA83" i="23"/>
  <c r="AB83" i="23"/>
  <c r="AC83" i="23"/>
  <c r="AD83" i="23"/>
  <c r="AE83" i="23"/>
  <c r="AF83" i="23"/>
  <c r="AG83" i="23"/>
  <c r="AH83" i="23"/>
  <c r="AI83" i="23"/>
  <c r="AJ83" i="23"/>
  <c r="AK83" i="23"/>
  <c r="AL83" i="23"/>
  <c r="AM83" i="23"/>
  <c r="AN83" i="23"/>
  <c r="AO83" i="23"/>
  <c r="AP83" i="23"/>
  <c r="AQ83" i="23"/>
  <c r="AR83" i="23"/>
  <c r="AS83" i="23"/>
  <c r="AT83" i="23"/>
  <c r="AU83" i="23"/>
  <c r="AV83" i="23"/>
  <c r="AW83" i="23"/>
  <c r="AX83" i="23"/>
  <c r="AY83" i="23"/>
  <c r="AZ83" i="23"/>
  <c r="BA83" i="23"/>
  <c r="BB83" i="23"/>
  <c r="BC83" i="23"/>
  <c r="BD83" i="23"/>
  <c r="BE83" i="23"/>
  <c r="BF83" i="23"/>
  <c r="BG83" i="23"/>
  <c r="BH83" i="23"/>
  <c r="BI83" i="23"/>
  <c r="BJ83" i="23"/>
  <c r="BK83" i="23"/>
  <c r="BL83" i="23"/>
  <c r="BM83" i="23"/>
  <c r="BN83" i="23"/>
  <c r="BO83" i="23"/>
  <c r="BP83" i="23"/>
  <c r="BQ83" i="23"/>
  <c r="BR83" i="23"/>
  <c r="BS83" i="23"/>
  <c r="BT83" i="23"/>
  <c r="B84" i="23"/>
  <c r="C84" i="23"/>
  <c r="D84" i="23"/>
  <c r="E84" i="23"/>
  <c r="F84" i="23"/>
  <c r="G84" i="23"/>
  <c r="H84" i="23"/>
  <c r="I84" i="23"/>
  <c r="J84" i="23"/>
  <c r="K84" i="23"/>
  <c r="L84" i="23"/>
  <c r="M84" i="23"/>
  <c r="N84" i="23"/>
  <c r="O84" i="23"/>
  <c r="P84" i="23"/>
  <c r="Q84" i="23"/>
  <c r="R84" i="23"/>
  <c r="S84" i="23"/>
  <c r="T84" i="23"/>
  <c r="U84" i="23"/>
  <c r="V84" i="23"/>
  <c r="W84" i="23"/>
  <c r="X84" i="23"/>
  <c r="Y84" i="23"/>
  <c r="Z84" i="23"/>
  <c r="AA84" i="23"/>
  <c r="AB84" i="23"/>
  <c r="AC84" i="23"/>
  <c r="AD84" i="23"/>
  <c r="AE84" i="23"/>
  <c r="AF84" i="23"/>
  <c r="AG84" i="23"/>
  <c r="AH84" i="23"/>
  <c r="AI84" i="23"/>
  <c r="AJ84" i="23"/>
  <c r="AK84" i="23"/>
  <c r="AL84" i="23"/>
  <c r="AM84" i="23"/>
  <c r="AN84" i="23"/>
  <c r="AO84" i="23"/>
  <c r="AP84" i="23"/>
  <c r="AQ84" i="23"/>
  <c r="AR84" i="23"/>
  <c r="AS84" i="23"/>
  <c r="AT84" i="23"/>
  <c r="AU84" i="23"/>
  <c r="AV84" i="23"/>
  <c r="AW84" i="23"/>
  <c r="AX84" i="23"/>
  <c r="AY84" i="23"/>
  <c r="AZ84" i="23"/>
  <c r="BA84" i="23"/>
  <c r="BB84" i="23"/>
  <c r="BC84" i="23"/>
  <c r="BD84" i="23"/>
  <c r="BE84" i="23"/>
  <c r="BF84" i="23"/>
  <c r="BG84" i="23"/>
  <c r="BH84" i="23"/>
  <c r="BI84" i="23"/>
  <c r="BJ84" i="23"/>
  <c r="BK84" i="23"/>
  <c r="BL84" i="23"/>
  <c r="BM84" i="23"/>
  <c r="BN84" i="23"/>
  <c r="BO84" i="23"/>
  <c r="BP84" i="23"/>
  <c r="BQ84" i="23"/>
  <c r="BR84" i="23"/>
  <c r="BS84" i="23"/>
  <c r="BT84" i="23"/>
  <c r="B85" i="23"/>
  <c r="C85" i="23"/>
  <c r="D85" i="23"/>
  <c r="E85" i="23"/>
  <c r="F85" i="23"/>
  <c r="G85" i="23"/>
  <c r="H85" i="23"/>
  <c r="I85" i="23"/>
  <c r="J85" i="23"/>
  <c r="K85" i="23"/>
  <c r="L85" i="23"/>
  <c r="M85" i="23"/>
  <c r="N85" i="23"/>
  <c r="O85" i="23"/>
  <c r="P85" i="23"/>
  <c r="Q85" i="23"/>
  <c r="R85" i="23"/>
  <c r="S85" i="23"/>
  <c r="T85" i="23"/>
  <c r="U85" i="23"/>
  <c r="V85" i="23"/>
  <c r="W85" i="23"/>
  <c r="X85" i="23"/>
  <c r="Y85" i="23"/>
  <c r="Z85" i="23"/>
  <c r="AA85" i="23"/>
  <c r="AB85" i="23"/>
  <c r="AC85" i="23"/>
  <c r="AD85" i="23"/>
  <c r="AE85" i="23"/>
  <c r="AF85" i="23"/>
  <c r="AG85" i="23"/>
  <c r="AH85" i="23"/>
  <c r="AI85" i="23"/>
  <c r="AJ85" i="23"/>
  <c r="AK85" i="23"/>
  <c r="AL85" i="23"/>
  <c r="AM85" i="23"/>
  <c r="AN85" i="23"/>
  <c r="AO85" i="23"/>
  <c r="AP85" i="23"/>
  <c r="AQ85" i="23"/>
  <c r="AR85" i="23"/>
  <c r="AS85" i="23"/>
  <c r="AT85" i="23"/>
  <c r="AU85" i="23"/>
  <c r="AV85" i="23"/>
  <c r="AW85" i="23"/>
  <c r="AX85" i="23"/>
  <c r="AY85" i="23"/>
  <c r="AZ85" i="23"/>
  <c r="BA85" i="23"/>
  <c r="BB85" i="23"/>
  <c r="BC85" i="23"/>
  <c r="BD85" i="23"/>
  <c r="BE85" i="23"/>
  <c r="BF85" i="23"/>
  <c r="BG85" i="23"/>
  <c r="BH85" i="23"/>
  <c r="BI85" i="23"/>
  <c r="BJ85" i="23"/>
  <c r="BK85" i="23"/>
  <c r="BL85" i="23"/>
  <c r="BM85" i="23"/>
  <c r="BN85" i="23"/>
  <c r="BO85" i="23"/>
  <c r="BP85" i="23"/>
  <c r="BQ85" i="23"/>
  <c r="BR85" i="23"/>
  <c r="BS85" i="23"/>
  <c r="BT85" i="23"/>
  <c r="B86" i="23"/>
  <c r="C86" i="23"/>
  <c r="D86" i="23"/>
  <c r="E86" i="23"/>
  <c r="F86" i="23"/>
  <c r="G86" i="23"/>
  <c r="H86" i="23"/>
  <c r="I86" i="23"/>
  <c r="J86" i="23"/>
  <c r="K86" i="23"/>
  <c r="L86" i="23"/>
  <c r="M86" i="23"/>
  <c r="N86" i="23"/>
  <c r="O86" i="23"/>
  <c r="P86" i="23"/>
  <c r="Q86" i="23"/>
  <c r="R86" i="23"/>
  <c r="S86" i="23"/>
  <c r="T86" i="23"/>
  <c r="U86" i="23"/>
  <c r="V86" i="23"/>
  <c r="W86" i="23"/>
  <c r="X86" i="23"/>
  <c r="Y86" i="23"/>
  <c r="Z86" i="23"/>
  <c r="AA86" i="23"/>
  <c r="AB86" i="23"/>
  <c r="AC86" i="23"/>
  <c r="AD86" i="23"/>
  <c r="AE86" i="23"/>
  <c r="AF86" i="23"/>
  <c r="AG86" i="23"/>
  <c r="AH86" i="23"/>
  <c r="AI86" i="23"/>
  <c r="AJ86" i="23"/>
  <c r="AK86" i="23"/>
  <c r="AL86" i="23"/>
  <c r="AM86" i="23"/>
  <c r="AN86" i="23"/>
  <c r="AO86" i="23"/>
  <c r="AP86" i="23"/>
  <c r="AQ86" i="23"/>
  <c r="AR86" i="23"/>
  <c r="AS86" i="23"/>
  <c r="AT86" i="23"/>
  <c r="AU86" i="23"/>
  <c r="AV86" i="23"/>
  <c r="AW86" i="23"/>
  <c r="AX86" i="23"/>
  <c r="AY86" i="23"/>
  <c r="AZ86" i="23"/>
  <c r="BA86" i="23"/>
  <c r="BB86" i="23"/>
  <c r="BC86" i="23"/>
  <c r="BD86" i="23"/>
  <c r="BE86" i="23"/>
  <c r="BF86" i="23"/>
  <c r="BG86" i="23"/>
  <c r="BH86" i="23"/>
  <c r="BI86" i="23"/>
  <c r="BJ86" i="23"/>
  <c r="BK86" i="23"/>
  <c r="BL86" i="23"/>
  <c r="BM86" i="23"/>
  <c r="BN86" i="23"/>
  <c r="BO86" i="23"/>
  <c r="BP86" i="23"/>
  <c r="BQ86" i="23"/>
  <c r="BR86" i="23"/>
  <c r="BS86" i="23"/>
  <c r="BT86" i="23"/>
  <c r="B87" i="23"/>
  <c r="C87" i="23"/>
  <c r="D87" i="23"/>
  <c r="E87" i="23"/>
  <c r="F87" i="23"/>
  <c r="G87" i="23"/>
  <c r="H87" i="23"/>
  <c r="I87" i="23"/>
  <c r="J87" i="23"/>
  <c r="K87" i="23"/>
  <c r="L87" i="23"/>
  <c r="M87" i="23"/>
  <c r="N87" i="23"/>
  <c r="O87" i="23"/>
  <c r="P87" i="23"/>
  <c r="Q87" i="23"/>
  <c r="R87" i="23"/>
  <c r="S87" i="23"/>
  <c r="T87" i="23"/>
  <c r="U87" i="23"/>
  <c r="V87" i="23"/>
  <c r="W87" i="23"/>
  <c r="X87" i="23"/>
  <c r="Y87" i="23"/>
  <c r="Z87" i="23"/>
  <c r="AA87" i="23"/>
  <c r="AB87" i="23"/>
  <c r="AC87" i="23"/>
  <c r="AD87" i="23"/>
  <c r="AE87" i="23"/>
  <c r="AF87" i="23"/>
  <c r="AG87" i="23"/>
  <c r="AH87" i="23"/>
  <c r="AI87" i="23"/>
  <c r="AJ87" i="23"/>
  <c r="AK87" i="23"/>
  <c r="AL87" i="23"/>
  <c r="AM87" i="23"/>
  <c r="AN87" i="23"/>
  <c r="AO87" i="23"/>
  <c r="AP87" i="23"/>
  <c r="AQ87" i="23"/>
  <c r="AR87" i="23"/>
  <c r="AS87" i="23"/>
  <c r="AT87" i="23"/>
  <c r="AU87" i="23"/>
  <c r="AV87" i="23"/>
  <c r="AW87" i="23"/>
  <c r="AX87" i="23"/>
  <c r="AY87" i="23"/>
  <c r="AZ87" i="23"/>
  <c r="BA87" i="23"/>
  <c r="BB87" i="23"/>
  <c r="BC87" i="23"/>
  <c r="BD87" i="23"/>
  <c r="BE87" i="23"/>
  <c r="BF87" i="23"/>
  <c r="BG87" i="23"/>
  <c r="BH87" i="23"/>
  <c r="BI87" i="23"/>
  <c r="BJ87" i="23"/>
  <c r="BK87" i="23"/>
  <c r="BL87" i="23"/>
  <c r="BM87" i="23"/>
  <c r="BN87" i="23"/>
  <c r="BO87" i="23"/>
  <c r="BP87" i="23"/>
  <c r="BQ87" i="23"/>
  <c r="BR87" i="23"/>
  <c r="BS87" i="23"/>
  <c r="BT87" i="23"/>
  <c r="B88" i="23"/>
  <c r="C88" i="23"/>
  <c r="D88" i="23"/>
  <c r="E88" i="23"/>
  <c r="F88" i="23"/>
  <c r="G88" i="23"/>
  <c r="H88" i="23"/>
  <c r="I88" i="23"/>
  <c r="J88" i="23"/>
  <c r="K88" i="23"/>
  <c r="L88" i="23"/>
  <c r="M88" i="23"/>
  <c r="N88" i="23"/>
  <c r="O88" i="23"/>
  <c r="P88" i="23"/>
  <c r="Q88" i="23"/>
  <c r="R88" i="23"/>
  <c r="S88" i="23"/>
  <c r="T88" i="23"/>
  <c r="U88" i="23"/>
  <c r="V88" i="23"/>
  <c r="W88" i="23"/>
  <c r="X88" i="23"/>
  <c r="Y88" i="23"/>
  <c r="Z88" i="23"/>
  <c r="AA88" i="23"/>
  <c r="AB88" i="23"/>
  <c r="AC88" i="23"/>
  <c r="AD88" i="23"/>
  <c r="AE88" i="23"/>
  <c r="AF88" i="23"/>
  <c r="AG88" i="23"/>
  <c r="AH88" i="23"/>
  <c r="AI88" i="23"/>
  <c r="AJ88" i="23"/>
  <c r="AK88" i="23"/>
  <c r="AL88" i="23"/>
  <c r="AM88" i="23"/>
  <c r="AN88" i="23"/>
  <c r="AO88" i="23"/>
  <c r="AP88" i="23"/>
  <c r="AQ88" i="23"/>
  <c r="AR88" i="23"/>
  <c r="AS88" i="23"/>
  <c r="AT88" i="23"/>
  <c r="AU88" i="23"/>
  <c r="AV88" i="23"/>
  <c r="AW88" i="23"/>
  <c r="AX88" i="23"/>
  <c r="AY88" i="23"/>
  <c r="AZ88" i="23"/>
  <c r="BA88" i="23"/>
  <c r="BB88" i="23"/>
  <c r="BC88" i="23"/>
  <c r="BD88" i="23"/>
  <c r="BE88" i="23"/>
  <c r="BF88" i="23"/>
  <c r="BG88" i="23"/>
  <c r="BH88" i="23"/>
  <c r="BI88" i="23"/>
  <c r="BJ88" i="23"/>
  <c r="BK88" i="23"/>
  <c r="BL88" i="23"/>
  <c r="BM88" i="23"/>
  <c r="BN88" i="23"/>
  <c r="BO88" i="23"/>
  <c r="BP88" i="23"/>
  <c r="BQ88" i="23"/>
  <c r="BR88" i="23"/>
  <c r="BS88" i="23"/>
  <c r="BT88" i="23"/>
  <c r="B89" i="23"/>
  <c r="C89" i="23"/>
  <c r="D89" i="23"/>
  <c r="E89" i="23"/>
  <c r="F89" i="23"/>
  <c r="G89" i="23"/>
  <c r="H89" i="23"/>
  <c r="I89" i="23"/>
  <c r="J89" i="23"/>
  <c r="K89" i="23"/>
  <c r="L89" i="23"/>
  <c r="M89" i="23"/>
  <c r="N89" i="23"/>
  <c r="O89" i="23"/>
  <c r="P89" i="23"/>
  <c r="Q89" i="23"/>
  <c r="R89" i="23"/>
  <c r="S89" i="23"/>
  <c r="T89" i="23"/>
  <c r="U89" i="23"/>
  <c r="V89" i="23"/>
  <c r="W89" i="23"/>
  <c r="X89" i="23"/>
  <c r="Y89" i="23"/>
  <c r="Z89" i="23"/>
  <c r="AA89" i="23"/>
  <c r="AB89" i="23"/>
  <c r="AC89" i="23"/>
  <c r="AD89" i="23"/>
  <c r="AE89" i="23"/>
  <c r="AF89" i="23"/>
  <c r="AG89" i="23"/>
  <c r="AH89" i="23"/>
  <c r="AI89" i="23"/>
  <c r="AJ89" i="23"/>
  <c r="AK89" i="23"/>
  <c r="AL89" i="23"/>
  <c r="AM89" i="23"/>
  <c r="AN89" i="23"/>
  <c r="AO89" i="23"/>
  <c r="AP89" i="23"/>
  <c r="AQ89" i="23"/>
  <c r="AR89" i="23"/>
  <c r="AS89" i="23"/>
  <c r="AT89" i="23"/>
  <c r="AU89" i="23"/>
  <c r="AV89" i="23"/>
  <c r="AW89" i="23"/>
  <c r="AX89" i="23"/>
  <c r="AY89" i="23"/>
  <c r="AZ89" i="23"/>
  <c r="BA89" i="23"/>
  <c r="BB89" i="23"/>
  <c r="BC89" i="23"/>
  <c r="BD89" i="23"/>
  <c r="BE89" i="23"/>
  <c r="BF89" i="23"/>
  <c r="BG89" i="23"/>
  <c r="BH89" i="23"/>
  <c r="BI89" i="23"/>
  <c r="BJ89" i="23"/>
  <c r="BK89" i="23"/>
  <c r="BL89" i="23"/>
  <c r="BM89" i="23"/>
  <c r="BN89" i="23"/>
  <c r="BO89" i="23"/>
  <c r="BP89" i="23"/>
  <c r="BQ89" i="23"/>
  <c r="BR89" i="23"/>
  <c r="BS89" i="23"/>
  <c r="BT89" i="23"/>
  <c r="B90" i="23"/>
  <c r="C90" i="23"/>
  <c r="D90" i="23"/>
  <c r="E90" i="23"/>
  <c r="F90" i="23"/>
  <c r="G90" i="23"/>
  <c r="H90" i="23"/>
  <c r="I90" i="23"/>
  <c r="J90" i="23"/>
  <c r="K90" i="23"/>
  <c r="L90" i="23"/>
  <c r="M90" i="23"/>
  <c r="N90" i="23"/>
  <c r="O90" i="23"/>
  <c r="P90" i="23"/>
  <c r="Q90" i="23"/>
  <c r="R90" i="23"/>
  <c r="S90" i="23"/>
  <c r="T90" i="23"/>
  <c r="U90" i="23"/>
  <c r="V90" i="23"/>
  <c r="W90" i="23"/>
  <c r="X90" i="23"/>
  <c r="Y90" i="23"/>
  <c r="Z90" i="23"/>
  <c r="AA90" i="23"/>
  <c r="AB90" i="23"/>
  <c r="AC90" i="23"/>
  <c r="AD90" i="23"/>
  <c r="AE90" i="23"/>
  <c r="AF90" i="23"/>
  <c r="AG90" i="23"/>
  <c r="AH90" i="23"/>
  <c r="AI90" i="23"/>
  <c r="AJ90" i="23"/>
  <c r="AK90" i="23"/>
  <c r="AL90" i="23"/>
  <c r="AM90" i="23"/>
  <c r="AN90" i="23"/>
  <c r="AO90" i="23"/>
  <c r="AP90" i="23"/>
  <c r="AQ90" i="23"/>
  <c r="AR90" i="23"/>
  <c r="AS90" i="23"/>
  <c r="AT90" i="23"/>
  <c r="AU90" i="23"/>
  <c r="AV90" i="23"/>
  <c r="AW90" i="23"/>
  <c r="AX90" i="23"/>
  <c r="AY90" i="23"/>
  <c r="AZ90" i="23"/>
  <c r="BA90" i="23"/>
  <c r="BB90" i="23"/>
  <c r="BC90" i="23"/>
  <c r="BD90" i="23"/>
  <c r="BE90" i="23"/>
  <c r="BF90" i="23"/>
  <c r="BG90" i="23"/>
  <c r="BH90" i="23"/>
  <c r="BI90" i="23"/>
  <c r="BJ90" i="23"/>
  <c r="BK90" i="23"/>
  <c r="BL90" i="23"/>
  <c r="BM90" i="23"/>
  <c r="BN90" i="23"/>
  <c r="BO90" i="23"/>
  <c r="BP90" i="23"/>
  <c r="BQ90" i="23"/>
  <c r="BR90" i="23"/>
  <c r="BS90" i="23"/>
  <c r="BT90" i="23"/>
  <c r="B91" i="23"/>
  <c r="C91" i="23"/>
  <c r="D91" i="23"/>
  <c r="E91" i="23"/>
  <c r="F91" i="23"/>
  <c r="G91" i="23"/>
  <c r="H91" i="23"/>
  <c r="I91" i="23"/>
  <c r="J91" i="23"/>
  <c r="K91" i="23"/>
  <c r="L91" i="23"/>
  <c r="M91" i="23"/>
  <c r="N91" i="23"/>
  <c r="O91" i="23"/>
  <c r="P91" i="23"/>
  <c r="Q91" i="23"/>
  <c r="R91" i="23"/>
  <c r="S91" i="23"/>
  <c r="T91" i="23"/>
  <c r="U91" i="23"/>
  <c r="V91" i="23"/>
  <c r="W91" i="23"/>
  <c r="X91" i="23"/>
  <c r="Y91" i="23"/>
  <c r="Z91" i="23"/>
  <c r="AA91" i="23"/>
  <c r="AB91" i="23"/>
  <c r="AC91" i="23"/>
  <c r="AD91" i="23"/>
  <c r="AE91" i="23"/>
  <c r="AF91" i="23"/>
  <c r="AG91" i="23"/>
  <c r="AH91" i="23"/>
  <c r="AI91" i="23"/>
  <c r="AJ91" i="23"/>
  <c r="AK91" i="23"/>
  <c r="AL91" i="23"/>
  <c r="AM91" i="23"/>
  <c r="AN91" i="23"/>
  <c r="AO91" i="23"/>
  <c r="AP91" i="23"/>
  <c r="AQ91" i="23"/>
  <c r="AR91" i="23"/>
  <c r="AS91" i="23"/>
  <c r="AT91" i="23"/>
  <c r="AU91" i="23"/>
  <c r="AV91" i="23"/>
  <c r="AW91" i="23"/>
  <c r="AX91" i="23"/>
  <c r="AY91" i="23"/>
  <c r="AZ91" i="23"/>
  <c r="BA91" i="23"/>
  <c r="BB91" i="23"/>
  <c r="BC91" i="23"/>
  <c r="BD91" i="23"/>
  <c r="BE91" i="23"/>
  <c r="BF91" i="23"/>
  <c r="BG91" i="23"/>
  <c r="BH91" i="23"/>
  <c r="BI91" i="23"/>
  <c r="BJ91" i="23"/>
  <c r="BK91" i="23"/>
  <c r="BL91" i="23"/>
  <c r="BM91" i="23"/>
  <c r="BN91" i="23"/>
  <c r="BO91" i="23"/>
  <c r="BP91" i="23"/>
  <c r="BQ91" i="23"/>
  <c r="BR91" i="23"/>
  <c r="BS91" i="23"/>
  <c r="BT91" i="23"/>
  <c r="B92" i="23"/>
  <c r="C92" i="23"/>
  <c r="D92" i="23"/>
  <c r="E92" i="23"/>
  <c r="F92" i="23"/>
  <c r="G92" i="23"/>
  <c r="H92" i="23"/>
  <c r="I92" i="23"/>
  <c r="J92" i="23"/>
  <c r="K92" i="23"/>
  <c r="L92" i="23"/>
  <c r="M92" i="23"/>
  <c r="N92" i="23"/>
  <c r="O92" i="23"/>
  <c r="P92" i="23"/>
  <c r="Q92" i="23"/>
  <c r="R92" i="23"/>
  <c r="S92" i="23"/>
  <c r="T92" i="23"/>
  <c r="U92" i="23"/>
  <c r="V92" i="23"/>
  <c r="W92" i="23"/>
  <c r="X92" i="23"/>
  <c r="Y92" i="23"/>
  <c r="Z92" i="23"/>
  <c r="AA92" i="23"/>
  <c r="AB92" i="23"/>
  <c r="AC92" i="23"/>
  <c r="AD92" i="23"/>
  <c r="AE92" i="23"/>
  <c r="AF92" i="23"/>
  <c r="AG92" i="23"/>
  <c r="AH92" i="23"/>
  <c r="AI92" i="23"/>
  <c r="AJ92" i="23"/>
  <c r="AK92" i="23"/>
  <c r="AL92" i="23"/>
  <c r="AM92" i="23"/>
  <c r="AN92" i="23"/>
  <c r="AO92" i="23"/>
  <c r="AP92" i="23"/>
  <c r="AQ92" i="23"/>
  <c r="AR92" i="23"/>
  <c r="AS92" i="23"/>
  <c r="AT92" i="23"/>
  <c r="AU92" i="23"/>
  <c r="AV92" i="23"/>
  <c r="AW92" i="23"/>
  <c r="AX92" i="23"/>
  <c r="AY92" i="23"/>
  <c r="AZ92" i="23"/>
  <c r="BA92" i="23"/>
  <c r="BB92" i="23"/>
  <c r="BC92" i="23"/>
  <c r="BD92" i="23"/>
  <c r="BE92" i="23"/>
  <c r="BF92" i="23"/>
  <c r="BG92" i="23"/>
  <c r="BH92" i="23"/>
  <c r="BI92" i="23"/>
  <c r="BJ92" i="23"/>
  <c r="BK92" i="23"/>
  <c r="BL92" i="23"/>
  <c r="BM92" i="23"/>
  <c r="BN92" i="23"/>
  <c r="BO92" i="23"/>
  <c r="BP92" i="23"/>
  <c r="BQ92" i="23"/>
  <c r="BR92" i="23"/>
  <c r="BS92" i="23"/>
  <c r="BT92" i="23"/>
  <c r="B93" i="23"/>
  <c r="C93" i="23"/>
  <c r="D93" i="23"/>
  <c r="E93" i="23"/>
  <c r="F93" i="23"/>
  <c r="G93" i="23"/>
  <c r="H93" i="23"/>
  <c r="I93" i="23"/>
  <c r="J93" i="23"/>
  <c r="K93" i="23"/>
  <c r="L93" i="23"/>
  <c r="M93" i="23"/>
  <c r="N93" i="23"/>
  <c r="O93" i="23"/>
  <c r="P93" i="23"/>
  <c r="Q93" i="23"/>
  <c r="R93" i="23"/>
  <c r="S93" i="23"/>
  <c r="T93" i="23"/>
  <c r="U93" i="23"/>
  <c r="V93" i="23"/>
  <c r="W93" i="23"/>
  <c r="X93" i="23"/>
  <c r="Y93" i="23"/>
  <c r="Z93" i="23"/>
  <c r="AA93" i="23"/>
  <c r="AB93" i="23"/>
  <c r="AC93" i="23"/>
  <c r="AD93" i="23"/>
  <c r="AE93" i="23"/>
  <c r="AF93" i="23"/>
  <c r="AG93" i="23"/>
  <c r="AH93" i="23"/>
  <c r="AI93" i="23"/>
  <c r="AJ93" i="23"/>
  <c r="AK93" i="23"/>
  <c r="AL93" i="23"/>
  <c r="AM93" i="23"/>
  <c r="AN93" i="23"/>
  <c r="AO93" i="23"/>
  <c r="AP93" i="23"/>
  <c r="AQ93" i="23"/>
  <c r="AR93" i="23"/>
  <c r="AS93" i="23"/>
  <c r="AT93" i="23"/>
  <c r="AU93" i="23"/>
  <c r="AV93" i="23"/>
  <c r="AW93" i="23"/>
  <c r="AX93" i="23"/>
  <c r="AY93" i="23"/>
  <c r="AZ93" i="23"/>
  <c r="BA93" i="23"/>
  <c r="BB93" i="23"/>
  <c r="BC93" i="23"/>
  <c r="BD93" i="23"/>
  <c r="BE93" i="23"/>
  <c r="BF93" i="23"/>
  <c r="BG93" i="23"/>
  <c r="BH93" i="23"/>
  <c r="BI93" i="23"/>
  <c r="BJ93" i="23"/>
  <c r="BK93" i="23"/>
  <c r="BL93" i="23"/>
  <c r="BM93" i="23"/>
  <c r="BN93" i="23"/>
  <c r="BO93" i="23"/>
  <c r="BP93" i="23"/>
  <c r="BQ93" i="23"/>
  <c r="BR93" i="23"/>
  <c r="BS93" i="23"/>
  <c r="BT93" i="23"/>
  <c r="B94" i="23"/>
  <c r="C94" i="23"/>
  <c r="D94" i="23"/>
  <c r="E94" i="23"/>
  <c r="F94" i="23"/>
  <c r="G94" i="23"/>
  <c r="H94" i="23"/>
  <c r="I94" i="23"/>
  <c r="J94" i="23"/>
  <c r="K94" i="23"/>
  <c r="L94" i="23"/>
  <c r="M94" i="23"/>
  <c r="N94" i="23"/>
  <c r="O94" i="23"/>
  <c r="P94" i="23"/>
  <c r="Q94" i="23"/>
  <c r="R94" i="23"/>
  <c r="S94" i="23"/>
  <c r="T94" i="23"/>
  <c r="U94" i="23"/>
  <c r="V94" i="23"/>
  <c r="W94" i="23"/>
  <c r="X94" i="23"/>
  <c r="Y94" i="23"/>
  <c r="Z94" i="23"/>
  <c r="AA94" i="23"/>
  <c r="AB94" i="23"/>
  <c r="AC94" i="23"/>
  <c r="AD94" i="23"/>
  <c r="AE94" i="23"/>
  <c r="AF94" i="23"/>
  <c r="AG94" i="23"/>
  <c r="AH94" i="23"/>
  <c r="AI94" i="23"/>
  <c r="AJ94" i="23"/>
  <c r="AK94" i="23"/>
  <c r="AL94" i="23"/>
  <c r="AM94" i="23"/>
  <c r="AN94" i="23"/>
  <c r="AO94" i="23"/>
  <c r="AP94" i="23"/>
  <c r="AQ94" i="23"/>
  <c r="AR94" i="23"/>
  <c r="AS94" i="23"/>
  <c r="AT94" i="23"/>
  <c r="AU94" i="23"/>
  <c r="AV94" i="23"/>
  <c r="AW94" i="23"/>
  <c r="AX94" i="23"/>
  <c r="AY94" i="23"/>
  <c r="AZ94" i="23"/>
  <c r="BA94" i="23"/>
  <c r="BB94" i="23"/>
  <c r="BC94" i="23"/>
  <c r="BD94" i="23"/>
  <c r="BE94" i="23"/>
  <c r="BF94" i="23"/>
  <c r="BG94" i="23"/>
  <c r="BH94" i="23"/>
  <c r="BI94" i="23"/>
  <c r="BJ94" i="23"/>
  <c r="BK94" i="23"/>
  <c r="BL94" i="23"/>
  <c r="BM94" i="23"/>
  <c r="BN94" i="23"/>
  <c r="BO94" i="23"/>
  <c r="BP94" i="23"/>
  <c r="BQ94" i="23"/>
  <c r="BR94" i="23"/>
  <c r="BS94" i="23"/>
  <c r="BT94" i="23"/>
  <c r="B95" i="23"/>
  <c r="C95" i="23"/>
  <c r="D95" i="23"/>
  <c r="E95" i="23"/>
  <c r="F95" i="23"/>
  <c r="G95" i="23"/>
  <c r="H95" i="23"/>
  <c r="I95" i="23"/>
  <c r="J95" i="23"/>
  <c r="K95" i="23"/>
  <c r="L95" i="23"/>
  <c r="M95" i="23"/>
  <c r="N95" i="23"/>
  <c r="O95" i="23"/>
  <c r="P95" i="23"/>
  <c r="Q95" i="23"/>
  <c r="R95" i="23"/>
  <c r="S95" i="23"/>
  <c r="T95" i="23"/>
  <c r="U95" i="23"/>
  <c r="V95" i="23"/>
  <c r="W95" i="23"/>
  <c r="X95" i="23"/>
  <c r="Y95" i="23"/>
  <c r="Z95" i="23"/>
  <c r="AA95" i="23"/>
  <c r="AB95" i="23"/>
  <c r="AC95" i="23"/>
  <c r="AD95" i="23"/>
  <c r="AE95" i="23"/>
  <c r="AF95" i="23"/>
  <c r="AG95" i="23"/>
  <c r="AH95" i="23"/>
  <c r="AI95" i="23"/>
  <c r="AJ95" i="23"/>
  <c r="AK95" i="23"/>
  <c r="AL95" i="23"/>
  <c r="AM95" i="23"/>
  <c r="AN95" i="23"/>
  <c r="AO95" i="23"/>
  <c r="AP95" i="23"/>
  <c r="AQ95" i="23"/>
  <c r="AR95" i="23"/>
  <c r="AS95" i="23"/>
  <c r="AT95" i="23"/>
  <c r="AU95" i="23"/>
  <c r="AV95" i="23"/>
  <c r="AW95" i="23"/>
  <c r="AX95" i="23"/>
  <c r="AY95" i="23"/>
  <c r="AZ95" i="23"/>
  <c r="BA95" i="23"/>
  <c r="BB95" i="23"/>
  <c r="BC95" i="23"/>
  <c r="BD95" i="23"/>
  <c r="BE95" i="23"/>
  <c r="BF95" i="23"/>
  <c r="BG95" i="23"/>
  <c r="BH95" i="23"/>
  <c r="BI95" i="23"/>
  <c r="BJ95" i="23"/>
  <c r="BK95" i="23"/>
  <c r="BL95" i="23"/>
  <c r="BM95" i="23"/>
  <c r="BN95" i="23"/>
  <c r="BO95" i="23"/>
  <c r="BP95" i="23"/>
  <c r="BQ95" i="23"/>
  <c r="BR95" i="23"/>
  <c r="BS95" i="23"/>
  <c r="BT95" i="23"/>
  <c r="B96" i="23"/>
  <c r="C96" i="23"/>
  <c r="D96" i="23"/>
  <c r="E96" i="23"/>
  <c r="F96" i="23"/>
  <c r="G96" i="23"/>
  <c r="H96" i="23"/>
  <c r="I96" i="23"/>
  <c r="J96" i="23"/>
  <c r="K96" i="23"/>
  <c r="L96" i="23"/>
  <c r="M96" i="23"/>
  <c r="N96" i="23"/>
  <c r="O96" i="23"/>
  <c r="P96" i="23"/>
  <c r="Q96" i="23"/>
  <c r="R96" i="23"/>
  <c r="S96" i="23"/>
  <c r="T96" i="23"/>
  <c r="U96" i="23"/>
  <c r="V96" i="23"/>
  <c r="W96" i="23"/>
  <c r="X96" i="23"/>
  <c r="Y96" i="23"/>
  <c r="Z96" i="23"/>
  <c r="AA96" i="23"/>
  <c r="AB96" i="23"/>
  <c r="AC96" i="23"/>
  <c r="AD96" i="23"/>
  <c r="AE96" i="23"/>
  <c r="AF96" i="23"/>
  <c r="AG96" i="23"/>
  <c r="AH96" i="23"/>
  <c r="AI96" i="23"/>
  <c r="AJ96" i="23"/>
  <c r="AK96" i="23"/>
  <c r="AL96" i="23"/>
  <c r="AM96" i="23"/>
  <c r="AN96" i="23"/>
  <c r="AO96" i="23"/>
  <c r="AP96" i="23"/>
  <c r="AQ96" i="23"/>
  <c r="AR96" i="23"/>
  <c r="AS96" i="23"/>
  <c r="AT96" i="23"/>
  <c r="AU96" i="23"/>
  <c r="AV96" i="23"/>
  <c r="AW96" i="23"/>
  <c r="AX96" i="23"/>
  <c r="AY96" i="23"/>
  <c r="AZ96" i="23"/>
  <c r="BA96" i="23"/>
  <c r="BB96" i="23"/>
  <c r="BC96" i="23"/>
  <c r="BD96" i="23"/>
  <c r="BE96" i="23"/>
  <c r="BF96" i="23"/>
  <c r="BG96" i="23"/>
  <c r="BH96" i="23"/>
  <c r="BI96" i="23"/>
  <c r="BJ96" i="23"/>
  <c r="BK96" i="23"/>
  <c r="BL96" i="23"/>
  <c r="BM96" i="23"/>
  <c r="BN96" i="23"/>
  <c r="BO96" i="23"/>
  <c r="BP96" i="23"/>
  <c r="BQ96" i="23"/>
  <c r="BR96" i="23"/>
  <c r="BS96" i="23"/>
  <c r="BT96" i="23"/>
  <c r="B97" i="23"/>
  <c r="C97" i="23"/>
  <c r="D97" i="23"/>
  <c r="E97" i="23"/>
  <c r="F97" i="23"/>
  <c r="G97" i="23"/>
  <c r="H97" i="23"/>
  <c r="I97" i="23"/>
  <c r="J97" i="23"/>
  <c r="K97" i="23"/>
  <c r="L97" i="23"/>
  <c r="M97" i="23"/>
  <c r="N97" i="23"/>
  <c r="O97" i="23"/>
  <c r="P97" i="23"/>
  <c r="Q97" i="23"/>
  <c r="R97" i="23"/>
  <c r="S97" i="23"/>
  <c r="T97" i="23"/>
  <c r="U97" i="23"/>
  <c r="V97" i="23"/>
  <c r="W97" i="23"/>
  <c r="X97" i="23"/>
  <c r="Y97" i="23"/>
  <c r="Z97" i="23"/>
  <c r="AA97" i="23"/>
  <c r="AB97" i="23"/>
  <c r="AC97" i="23"/>
  <c r="AD97" i="23"/>
  <c r="AE97" i="23"/>
  <c r="AF97" i="23"/>
  <c r="AG97" i="23"/>
  <c r="AH97" i="23"/>
  <c r="AI97" i="23"/>
  <c r="AJ97" i="23"/>
  <c r="AK97" i="23"/>
  <c r="AL97" i="23"/>
  <c r="AM97" i="23"/>
  <c r="AN97" i="23"/>
  <c r="AO97" i="23"/>
  <c r="AP97" i="23"/>
  <c r="AQ97" i="23"/>
  <c r="AR97" i="23"/>
  <c r="AS97" i="23"/>
  <c r="AT97" i="23"/>
  <c r="AU97" i="23"/>
  <c r="AV97" i="23"/>
  <c r="AW97" i="23"/>
  <c r="AX97" i="23"/>
  <c r="AY97" i="23"/>
  <c r="AZ97" i="23"/>
  <c r="BA97" i="23"/>
  <c r="BB97" i="23"/>
  <c r="BC97" i="23"/>
  <c r="BD97" i="23"/>
  <c r="BE97" i="23"/>
  <c r="BF97" i="23"/>
  <c r="BG97" i="23"/>
  <c r="BH97" i="23"/>
  <c r="BI97" i="23"/>
  <c r="BJ97" i="23"/>
  <c r="BK97" i="23"/>
  <c r="BL97" i="23"/>
  <c r="BM97" i="23"/>
  <c r="BN97" i="23"/>
  <c r="BO97" i="23"/>
  <c r="BP97" i="23"/>
  <c r="BQ97" i="23"/>
  <c r="BR97" i="23"/>
  <c r="BS97" i="23"/>
  <c r="BT97" i="23"/>
  <c r="B98" i="23"/>
  <c r="C98" i="23"/>
  <c r="D98" i="23"/>
  <c r="E98" i="23"/>
  <c r="F98" i="23"/>
  <c r="G98" i="23"/>
  <c r="H98" i="23"/>
  <c r="I98" i="23"/>
  <c r="J98" i="23"/>
  <c r="K98" i="23"/>
  <c r="L98" i="23"/>
  <c r="M98" i="23"/>
  <c r="N98" i="23"/>
  <c r="O98" i="23"/>
  <c r="P98" i="23"/>
  <c r="Q98" i="23"/>
  <c r="R98" i="23"/>
  <c r="S98" i="23"/>
  <c r="T98" i="23"/>
  <c r="U98" i="23"/>
  <c r="V98" i="23"/>
  <c r="W98" i="23"/>
  <c r="X98" i="23"/>
  <c r="Y98" i="23"/>
  <c r="Z98" i="23"/>
  <c r="AA98" i="23"/>
  <c r="AB98" i="23"/>
  <c r="AC98" i="23"/>
  <c r="AD98" i="23"/>
  <c r="AE98" i="23"/>
  <c r="AF98" i="23"/>
  <c r="AG98" i="23"/>
  <c r="AH98" i="23"/>
  <c r="AI98" i="23"/>
  <c r="AJ98" i="23"/>
  <c r="AK98" i="23"/>
  <c r="AL98" i="23"/>
  <c r="AM98" i="23"/>
  <c r="AN98" i="23"/>
  <c r="AO98" i="23"/>
  <c r="AP98" i="23"/>
  <c r="AQ98" i="23"/>
  <c r="AR98" i="23"/>
  <c r="AS98" i="23"/>
  <c r="AT98" i="23"/>
  <c r="AU98" i="23"/>
  <c r="AV98" i="23"/>
  <c r="AW98" i="23"/>
  <c r="AX98" i="23"/>
  <c r="AY98" i="23"/>
  <c r="AZ98" i="23"/>
  <c r="BA98" i="23"/>
  <c r="BB98" i="23"/>
  <c r="BC98" i="23"/>
  <c r="BD98" i="23"/>
  <c r="BE98" i="23"/>
  <c r="BF98" i="23"/>
  <c r="BG98" i="23"/>
  <c r="BH98" i="23"/>
  <c r="BI98" i="23"/>
  <c r="BJ98" i="23"/>
  <c r="BK98" i="23"/>
  <c r="BL98" i="23"/>
  <c r="BM98" i="23"/>
  <c r="BN98" i="23"/>
  <c r="BO98" i="23"/>
  <c r="BP98" i="23"/>
  <c r="BQ98" i="23"/>
  <c r="BR98" i="23"/>
  <c r="BS98" i="23"/>
  <c r="BT98" i="23"/>
  <c r="B99" i="23"/>
  <c r="C99" i="23"/>
  <c r="D99" i="23"/>
  <c r="E99" i="23"/>
  <c r="F99" i="23"/>
  <c r="G99" i="23"/>
  <c r="H99" i="23"/>
  <c r="I99" i="23"/>
  <c r="J99" i="23"/>
  <c r="K99" i="23"/>
  <c r="L99" i="23"/>
  <c r="M99" i="23"/>
  <c r="N99" i="23"/>
  <c r="O99" i="23"/>
  <c r="P99" i="23"/>
  <c r="Q99" i="23"/>
  <c r="R99" i="23"/>
  <c r="S99" i="23"/>
  <c r="T99" i="23"/>
  <c r="U99" i="23"/>
  <c r="V99" i="23"/>
  <c r="W99" i="23"/>
  <c r="X99" i="23"/>
  <c r="Y99" i="23"/>
  <c r="Z99" i="23"/>
  <c r="AA99" i="23"/>
  <c r="AB99" i="23"/>
  <c r="AC99" i="23"/>
  <c r="AD99" i="23"/>
  <c r="AE99" i="23"/>
  <c r="AF99" i="23"/>
  <c r="AG99" i="23"/>
  <c r="AH99" i="23"/>
  <c r="AI99" i="23"/>
  <c r="AJ99" i="23"/>
  <c r="AK99" i="23"/>
  <c r="AL99" i="23"/>
  <c r="AM99" i="23"/>
  <c r="AN99" i="23"/>
  <c r="AO99" i="23"/>
  <c r="AP99" i="23"/>
  <c r="AQ99" i="23"/>
  <c r="AR99" i="23"/>
  <c r="AS99" i="23"/>
  <c r="AT99" i="23"/>
  <c r="AU99" i="23"/>
  <c r="AV99" i="23"/>
  <c r="AW99" i="23"/>
  <c r="AX99" i="23"/>
  <c r="AY99" i="23"/>
  <c r="AZ99" i="23"/>
  <c r="BA99" i="23"/>
  <c r="BB99" i="23"/>
  <c r="BC99" i="23"/>
  <c r="BD99" i="23"/>
  <c r="BE99" i="23"/>
  <c r="BF99" i="23"/>
  <c r="BG99" i="23"/>
  <c r="BH99" i="23"/>
  <c r="BI99" i="23"/>
  <c r="BJ99" i="23"/>
  <c r="BK99" i="23"/>
  <c r="BL99" i="23"/>
  <c r="BM99" i="23"/>
  <c r="BN99" i="23"/>
  <c r="BO99" i="23"/>
  <c r="BP99" i="23"/>
  <c r="BQ99" i="23"/>
  <c r="BR99" i="23"/>
  <c r="BS99" i="23"/>
  <c r="BT99" i="23"/>
  <c r="B100" i="23"/>
  <c r="C100" i="23"/>
  <c r="D100" i="23"/>
  <c r="E100" i="23"/>
  <c r="F100" i="23"/>
  <c r="G100" i="23"/>
  <c r="H100" i="23"/>
  <c r="I100" i="23"/>
  <c r="J100" i="23"/>
  <c r="K100" i="23"/>
  <c r="L100" i="23"/>
  <c r="M100" i="23"/>
  <c r="N100" i="23"/>
  <c r="O100" i="23"/>
  <c r="P100" i="23"/>
  <c r="Q100" i="23"/>
  <c r="R100" i="23"/>
  <c r="S100" i="23"/>
  <c r="T100" i="23"/>
  <c r="U100" i="23"/>
  <c r="V100" i="23"/>
  <c r="W100" i="23"/>
  <c r="X100" i="23"/>
  <c r="Y100" i="23"/>
  <c r="Z100" i="23"/>
  <c r="AA100" i="23"/>
  <c r="AB100" i="23"/>
  <c r="AC100" i="23"/>
  <c r="AD100" i="23"/>
  <c r="AE100" i="23"/>
  <c r="AF100" i="23"/>
  <c r="AG100" i="23"/>
  <c r="AH100" i="23"/>
  <c r="AI100" i="23"/>
  <c r="AJ100" i="23"/>
  <c r="AK100" i="23"/>
  <c r="AL100" i="23"/>
  <c r="AM100" i="23"/>
  <c r="AN100" i="23"/>
  <c r="AO100" i="23"/>
  <c r="AP100" i="23"/>
  <c r="AQ100" i="23"/>
  <c r="AR100" i="23"/>
  <c r="AS100" i="23"/>
  <c r="AT100" i="23"/>
  <c r="AU100" i="23"/>
  <c r="AV100" i="23"/>
  <c r="AW100" i="23"/>
  <c r="AX100" i="23"/>
  <c r="AY100" i="23"/>
  <c r="AZ100" i="23"/>
  <c r="BA100" i="23"/>
  <c r="BB100" i="23"/>
  <c r="BC100" i="23"/>
  <c r="BD100" i="23"/>
  <c r="BE100" i="23"/>
  <c r="BF100" i="23"/>
  <c r="BG100" i="23"/>
  <c r="BH100" i="23"/>
  <c r="BI100" i="23"/>
  <c r="BJ100" i="23"/>
  <c r="BK100" i="23"/>
  <c r="BL100" i="23"/>
  <c r="BM100" i="23"/>
  <c r="BN100" i="23"/>
  <c r="BO100" i="23"/>
  <c r="BP100" i="23"/>
  <c r="BQ100" i="23"/>
  <c r="BR100" i="23"/>
  <c r="BS100" i="23"/>
  <c r="BT100" i="23"/>
  <c r="B101" i="23"/>
  <c r="C101" i="23"/>
  <c r="D101" i="23"/>
  <c r="E101" i="23"/>
  <c r="F101" i="23"/>
  <c r="G101" i="23"/>
  <c r="H101" i="23"/>
  <c r="I101" i="23"/>
  <c r="J101" i="23"/>
  <c r="K101" i="23"/>
  <c r="L101" i="23"/>
  <c r="M101" i="23"/>
  <c r="N101" i="23"/>
  <c r="O101" i="23"/>
  <c r="P101" i="23"/>
  <c r="Q101" i="23"/>
  <c r="R101" i="23"/>
  <c r="S101" i="23"/>
  <c r="T101" i="23"/>
  <c r="U101" i="23"/>
  <c r="V101" i="23"/>
  <c r="W101" i="23"/>
  <c r="X101" i="23"/>
  <c r="Y101" i="23"/>
  <c r="Z101" i="23"/>
  <c r="AA101" i="23"/>
  <c r="AB101" i="23"/>
  <c r="AC101" i="23"/>
  <c r="AD101" i="23"/>
  <c r="AE101" i="23"/>
  <c r="AF101" i="23"/>
  <c r="AG101" i="23"/>
  <c r="AH101" i="23"/>
  <c r="AI101" i="23"/>
  <c r="AJ101" i="23"/>
  <c r="AK101" i="23"/>
  <c r="AL101" i="23"/>
  <c r="AM101" i="23"/>
  <c r="AN101" i="23"/>
  <c r="AO101" i="23"/>
  <c r="AP101" i="23"/>
  <c r="AQ101" i="23"/>
  <c r="AR101" i="23"/>
  <c r="AS101" i="23"/>
  <c r="AT101" i="23"/>
  <c r="AU101" i="23"/>
  <c r="AV101" i="23"/>
  <c r="AW101" i="23"/>
  <c r="AX101" i="23"/>
  <c r="AY101" i="23"/>
  <c r="AZ101" i="23"/>
  <c r="BA101" i="23"/>
  <c r="BB101" i="23"/>
  <c r="BC101" i="23"/>
  <c r="BD101" i="23"/>
  <c r="BE101" i="23"/>
  <c r="BF101" i="23"/>
  <c r="BG101" i="23"/>
  <c r="BH101" i="23"/>
  <c r="BI101" i="23"/>
  <c r="BJ101" i="23"/>
  <c r="BK101" i="23"/>
  <c r="BL101" i="23"/>
  <c r="BM101" i="23"/>
  <c r="BN101" i="23"/>
  <c r="BO101" i="23"/>
  <c r="BP101" i="23"/>
  <c r="BQ101" i="23"/>
  <c r="BR101" i="23"/>
  <c r="BS101" i="23"/>
  <c r="BT101" i="23"/>
  <c r="B102" i="23"/>
  <c r="C102" i="23"/>
  <c r="D102" i="23"/>
  <c r="E102" i="23"/>
  <c r="F102" i="23"/>
  <c r="G102" i="23"/>
  <c r="H102" i="23"/>
  <c r="I102" i="23"/>
  <c r="J102" i="23"/>
  <c r="K102" i="23"/>
  <c r="L102" i="23"/>
  <c r="M102" i="23"/>
  <c r="N102" i="23"/>
  <c r="O102" i="23"/>
  <c r="P102" i="23"/>
  <c r="Q102" i="23"/>
  <c r="R102" i="23"/>
  <c r="S102" i="23"/>
  <c r="T102" i="23"/>
  <c r="U102" i="23"/>
  <c r="V102" i="23"/>
  <c r="W102" i="23"/>
  <c r="X102" i="23"/>
  <c r="Y102" i="23"/>
  <c r="Z102" i="23"/>
  <c r="AA102" i="23"/>
  <c r="AB102" i="23"/>
  <c r="AC102" i="23"/>
  <c r="AD102" i="23"/>
  <c r="AE102" i="23"/>
  <c r="AF102" i="23"/>
  <c r="AG102" i="23"/>
  <c r="AH102" i="23"/>
  <c r="AI102" i="23"/>
  <c r="AJ102" i="23"/>
  <c r="AK102" i="23"/>
  <c r="AL102" i="23"/>
  <c r="AM102" i="23"/>
  <c r="AN102" i="23"/>
  <c r="AO102" i="23"/>
  <c r="AP102" i="23"/>
  <c r="AQ102" i="23"/>
  <c r="AR102" i="23"/>
  <c r="AS102" i="23"/>
  <c r="AT102" i="23"/>
  <c r="AU102" i="23"/>
  <c r="AV102" i="23"/>
  <c r="AW102" i="23"/>
  <c r="AX102" i="23"/>
  <c r="AY102" i="23"/>
  <c r="AZ102" i="23"/>
  <c r="BA102" i="23"/>
  <c r="BB102" i="23"/>
  <c r="BC102" i="23"/>
  <c r="BD102" i="23"/>
  <c r="BE102" i="23"/>
  <c r="BF102" i="23"/>
  <c r="BG102" i="23"/>
  <c r="BH102" i="23"/>
  <c r="BI102" i="23"/>
  <c r="BJ102" i="23"/>
  <c r="BK102" i="23"/>
  <c r="BL102" i="23"/>
  <c r="BM102" i="23"/>
  <c r="BN102" i="23"/>
  <c r="BO102" i="23"/>
  <c r="BP102" i="23"/>
  <c r="BQ102" i="23"/>
  <c r="BR102" i="23"/>
  <c r="BS102" i="23"/>
  <c r="BT102" i="23"/>
  <c r="B103" i="23"/>
  <c r="C103" i="23"/>
  <c r="D103" i="23"/>
  <c r="E103" i="23"/>
  <c r="F103" i="23"/>
  <c r="G103" i="23"/>
  <c r="H103" i="23"/>
  <c r="I103" i="23"/>
  <c r="J103" i="23"/>
  <c r="K103" i="23"/>
  <c r="L103" i="23"/>
  <c r="M103" i="23"/>
  <c r="N103" i="23"/>
  <c r="O103" i="23"/>
  <c r="P103" i="23"/>
  <c r="Q103" i="23"/>
  <c r="R103" i="23"/>
  <c r="S103" i="23"/>
  <c r="T103" i="23"/>
  <c r="U103" i="23"/>
  <c r="V103" i="23"/>
  <c r="W103" i="23"/>
  <c r="X103" i="23"/>
  <c r="Y103" i="23"/>
  <c r="Z103" i="23"/>
  <c r="AA103" i="23"/>
  <c r="AB103" i="23"/>
  <c r="AC103" i="23"/>
  <c r="AD103" i="23"/>
  <c r="AE103" i="23"/>
  <c r="AF103" i="23"/>
  <c r="AG103" i="23"/>
  <c r="AH103" i="23"/>
  <c r="AI103" i="23"/>
  <c r="AJ103" i="23"/>
  <c r="AK103" i="23"/>
  <c r="AL103" i="23"/>
  <c r="AM103" i="23"/>
  <c r="AN103" i="23"/>
  <c r="AO103" i="23"/>
  <c r="AP103" i="23"/>
  <c r="AQ103" i="23"/>
  <c r="AR103" i="23"/>
  <c r="AS103" i="23"/>
  <c r="AT103" i="23"/>
  <c r="AU103" i="23"/>
  <c r="AV103" i="23"/>
  <c r="AW103" i="23"/>
  <c r="AX103" i="23"/>
  <c r="AY103" i="23"/>
  <c r="AZ103" i="23"/>
  <c r="BA103" i="23"/>
  <c r="BB103" i="23"/>
  <c r="BC103" i="23"/>
  <c r="BD103" i="23"/>
  <c r="BE103" i="23"/>
  <c r="BF103" i="23"/>
  <c r="BG103" i="23"/>
  <c r="BH103" i="23"/>
  <c r="BI103" i="23"/>
  <c r="BJ103" i="23"/>
  <c r="BK103" i="23"/>
  <c r="BL103" i="23"/>
  <c r="BM103" i="23"/>
  <c r="BN103" i="23"/>
  <c r="BO103" i="23"/>
  <c r="BP103" i="23"/>
  <c r="BQ103" i="23"/>
  <c r="BR103" i="23"/>
  <c r="BS103" i="23"/>
  <c r="BT103" i="23"/>
  <c r="B104" i="23"/>
  <c r="C104" i="23"/>
  <c r="D104" i="23"/>
  <c r="E104" i="23"/>
  <c r="F104" i="23"/>
  <c r="G104" i="23"/>
  <c r="H104" i="23"/>
  <c r="I104" i="23"/>
  <c r="J104" i="23"/>
  <c r="K104" i="23"/>
  <c r="L104" i="23"/>
  <c r="M104" i="23"/>
  <c r="N104" i="23"/>
  <c r="O104" i="23"/>
  <c r="P104" i="23"/>
  <c r="Q104" i="23"/>
  <c r="R104" i="23"/>
  <c r="S104" i="23"/>
  <c r="T104" i="23"/>
  <c r="U104" i="23"/>
  <c r="V104" i="23"/>
  <c r="W104" i="23"/>
  <c r="X104" i="23"/>
  <c r="Y104" i="23"/>
  <c r="Z104" i="23"/>
  <c r="AA104" i="23"/>
  <c r="AB104" i="23"/>
  <c r="AC104" i="23"/>
  <c r="AD104" i="23"/>
  <c r="AE104" i="23"/>
  <c r="AF104" i="23"/>
  <c r="AG104" i="23"/>
  <c r="AH104" i="23"/>
  <c r="AI104" i="23"/>
  <c r="AJ104" i="23"/>
  <c r="AK104" i="23"/>
  <c r="AL104" i="23"/>
  <c r="AM104" i="23"/>
  <c r="AN104" i="23"/>
  <c r="AO104" i="23"/>
  <c r="AP104" i="23"/>
  <c r="AQ104" i="23"/>
  <c r="AR104" i="23"/>
  <c r="AS104" i="23"/>
  <c r="AT104" i="23"/>
  <c r="AU104" i="23"/>
  <c r="AV104" i="23"/>
  <c r="AW104" i="23"/>
  <c r="AX104" i="23"/>
  <c r="AY104" i="23"/>
  <c r="AZ104" i="23"/>
  <c r="BA104" i="23"/>
  <c r="BB104" i="23"/>
  <c r="BC104" i="23"/>
  <c r="BD104" i="23"/>
  <c r="BE104" i="23"/>
  <c r="BF104" i="23"/>
  <c r="BG104" i="23"/>
  <c r="BH104" i="23"/>
  <c r="BI104" i="23"/>
  <c r="BJ104" i="23"/>
  <c r="BK104" i="23"/>
  <c r="BL104" i="23"/>
  <c r="BM104" i="23"/>
  <c r="BN104" i="23"/>
  <c r="BO104" i="23"/>
  <c r="BP104" i="23"/>
  <c r="BQ104" i="23"/>
  <c r="BR104" i="23"/>
  <c r="BS104" i="23"/>
  <c r="BT104" i="23"/>
  <c r="B105" i="23"/>
  <c r="C105" i="23"/>
  <c r="D105" i="23"/>
  <c r="E105" i="23"/>
  <c r="F105" i="23"/>
  <c r="G105" i="23"/>
  <c r="H105" i="23"/>
  <c r="I105" i="23"/>
  <c r="J105" i="23"/>
  <c r="K105" i="23"/>
  <c r="L105" i="23"/>
  <c r="M105" i="23"/>
  <c r="N105" i="23"/>
  <c r="O105" i="23"/>
  <c r="P105" i="23"/>
  <c r="Q105" i="23"/>
  <c r="R105" i="23"/>
  <c r="S105" i="23"/>
  <c r="T105" i="23"/>
  <c r="U105" i="23"/>
  <c r="V105" i="23"/>
  <c r="W105" i="23"/>
  <c r="X105" i="23"/>
  <c r="Y105" i="23"/>
  <c r="Z105" i="23"/>
  <c r="AA105" i="23"/>
  <c r="AB105" i="23"/>
  <c r="AC105" i="23"/>
  <c r="AD105" i="23"/>
  <c r="AE105" i="23"/>
  <c r="AF105" i="23"/>
  <c r="AG105" i="23"/>
  <c r="AH105" i="23"/>
  <c r="AI105" i="23"/>
  <c r="AJ105" i="23"/>
  <c r="AK105" i="23"/>
  <c r="AL105" i="23"/>
  <c r="AM105" i="23"/>
  <c r="AN105" i="23"/>
  <c r="AO105" i="23"/>
  <c r="AP105" i="23"/>
  <c r="AQ105" i="23"/>
  <c r="AR105" i="23"/>
  <c r="AS105" i="23"/>
  <c r="AT105" i="23"/>
  <c r="AU105" i="23"/>
  <c r="AV105" i="23"/>
  <c r="AW105" i="23"/>
  <c r="AX105" i="23"/>
  <c r="AY105" i="23"/>
  <c r="AZ105" i="23"/>
  <c r="BA105" i="23"/>
  <c r="BB105" i="23"/>
  <c r="BC105" i="23"/>
  <c r="BD105" i="23"/>
  <c r="BE105" i="23"/>
  <c r="BF105" i="23"/>
  <c r="BG105" i="23"/>
  <c r="BH105" i="23"/>
  <c r="BI105" i="23"/>
  <c r="BJ105" i="23"/>
  <c r="BK105" i="23"/>
  <c r="BL105" i="23"/>
  <c r="BM105" i="23"/>
  <c r="BN105" i="23"/>
  <c r="BO105" i="23"/>
  <c r="BP105" i="23"/>
  <c r="BQ105" i="23"/>
  <c r="BR105" i="23"/>
  <c r="BS105" i="23"/>
  <c r="BT105" i="23"/>
  <c r="B106" i="23"/>
  <c r="C106" i="23"/>
  <c r="D106" i="23"/>
  <c r="E106" i="23"/>
  <c r="F106" i="23"/>
  <c r="G106" i="23"/>
  <c r="H106" i="23"/>
  <c r="I106" i="23"/>
  <c r="J106" i="23"/>
  <c r="K106" i="23"/>
  <c r="L106" i="23"/>
  <c r="M106" i="23"/>
  <c r="N106" i="23"/>
  <c r="O106" i="23"/>
  <c r="P106" i="23"/>
  <c r="Q106" i="23"/>
  <c r="R106" i="23"/>
  <c r="S106" i="23"/>
  <c r="T106" i="23"/>
  <c r="U106" i="23"/>
  <c r="V106" i="23"/>
  <c r="W106" i="23"/>
  <c r="X106" i="23"/>
  <c r="Y106" i="23"/>
  <c r="Z106" i="23"/>
  <c r="AA106" i="23"/>
  <c r="AB106" i="23"/>
  <c r="AC106" i="23"/>
  <c r="AD106" i="23"/>
  <c r="AE106" i="23"/>
  <c r="AF106" i="23"/>
  <c r="AG106" i="23"/>
  <c r="AH106" i="23"/>
  <c r="AI106" i="23"/>
  <c r="AJ106" i="23"/>
  <c r="AK106" i="23"/>
  <c r="AL106" i="23"/>
  <c r="AM106" i="23"/>
  <c r="AN106" i="23"/>
  <c r="AO106" i="23"/>
  <c r="AP106" i="23"/>
  <c r="AQ106" i="23"/>
  <c r="AR106" i="23"/>
  <c r="AS106" i="23"/>
  <c r="AT106" i="23"/>
  <c r="AU106" i="23"/>
  <c r="AV106" i="23"/>
  <c r="AW106" i="23"/>
  <c r="AX106" i="23"/>
  <c r="AY106" i="23"/>
  <c r="AZ106" i="23"/>
  <c r="BA106" i="23"/>
  <c r="BB106" i="23"/>
  <c r="BC106" i="23"/>
  <c r="BD106" i="23"/>
  <c r="BE106" i="23"/>
  <c r="BF106" i="23"/>
  <c r="BG106" i="23"/>
  <c r="BH106" i="23"/>
  <c r="BI106" i="23"/>
  <c r="BJ106" i="23"/>
  <c r="BK106" i="23"/>
  <c r="BL106" i="23"/>
  <c r="BM106" i="23"/>
  <c r="BN106" i="23"/>
  <c r="BO106" i="23"/>
  <c r="BP106" i="23"/>
  <c r="BQ106" i="23"/>
  <c r="BR106" i="23"/>
  <c r="BS106" i="23"/>
  <c r="BT106" i="23"/>
  <c r="B107" i="23"/>
  <c r="C107" i="23"/>
  <c r="D107" i="23"/>
  <c r="E107" i="23"/>
  <c r="F107" i="23"/>
  <c r="G107" i="23"/>
  <c r="H107" i="23"/>
  <c r="I107" i="23"/>
  <c r="J107" i="23"/>
  <c r="K107" i="23"/>
  <c r="L107" i="23"/>
  <c r="M107" i="23"/>
  <c r="N107" i="23"/>
  <c r="O107" i="23"/>
  <c r="P107" i="23"/>
  <c r="Q107" i="23"/>
  <c r="R107" i="23"/>
  <c r="S107" i="23"/>
  <c r="T107" i="23"/>
  <c r="U107" i="23"/>
  <c r="V107" i="23"/>
  <c r="W107" i="23"/>
  <c r="X107" i="23"/>
  <c r="Y107" i="23"/>
  <c r="Z107" i="23"/>
  <c r="AA107" i="23"/>
  <c r="AB107" i="23"/>
  <c r="AC107" i="23"/>
  <c r="AD107" i="23"/>
  <c r="AE107" i="23"/>
  <c r="AF107" i="23"/>
  <c r="AG107" i="23"/>
  <c r="AH107" i="23"/>
  <c r="AI107" i="23"/>
  <c r="AJ107" i="23"/>
  <c r="AK107" i="23"/>
  <c r="AL107" i="23"/>
  <c r="AM107" i="23"/>
  <c r="AN107" i="23"/>
  <c r="AO107" i="23"/>
  <c r="AP107" i="23"/>
  <c r="AQ107" i="23"/>
  <c r="AR107" i="23"/>
  <c r="AS107" i="23"/>
  <c r="AT107" i="23"/>
  <c r="AU107" i="23"/>
  <c r="AV107" i="23"/>
  <c r="AW107" i="23"/>
  <c r="AX107" i="23"/>
  <c r="AY107" i="23"/>
  <c r="AZ107" i="23"/>
  <c r="BA107" i="23"/>
  <c r="BB107" i="23"/>
  <c r="BC107" i="23"/>
  <c r="BD107" i="23"/>
  <c r="BE107" i="23"/>
  <c r="BF107" i="23"/>
  <c r="BG107" i="23"/>
  <c r="BH107" i="23"/>
  <c r="BI107" i="23"/>
  <c r="BJ107" i="23"/>
  <c r="BK107" i="23"/>
  <c r="BL107" i="23"/>
  <c r="BM107" i="23"/>
  <c r="BN107" i="23"/>
  <c r="BO107" i="23"/>
  <c r="BP107" i="23"/>
  <c r="BQ107" i="23"/>
  <c r="BR107" i="23"/>
  <c r="BS107" i="23"/>
  <c r="BT107" i="23"/>
  <c r="B108" i="23"/>
  <c r="C108" i="23"/>
  <c r="D108" i="23"/>
  <c r="E108" i="23"/>
  <c r="F108" i="23"/>
  <c r="G108" i="23"/>
  <c r="H108" i="23"/>
  <c r="I108" i="23"/>
  <c r="J108" i="23"/>
  <c r="K108" i="23"/>
  <c r="L108" i="23"/>
  <c r="M108" i="23"/>
  <c r="N108" i="23"/>
  <c r="O108" i="23"/>
  <c r="P108" i="23"/>
  <c r="Q108" i="23"/>
  <c r="R108" i="23"/>
  <c r="S108" i="23"/>
  <c r="T108" i="23"/>
  <c r="U108" i="23"/>
  <c r="V108" i="23"/>
  <c r="W108" i="23"/>
  <c r="X108" i="23"/>
  <c r="Y108" i="23"/>
  <c r="Z108" i="23"/>
  <c r="AA108" i="23"/>
  <c r="AB108" i="23"/>
  <c r="AC108" i="23"/>
  <c r="AD108" i="23"/>
  <c r="AE108" i="23"/>
  <c r="AF108" i="23"/>
  <c r="AG108" i="23"/>
  <c r="AH108" i="23"/>
  <c r="AI108" i="23"/>
  <c r="AJ108" i="23"/>
  <c r="AK108" i="23"/>
  <c r="AL108" i="23"/>
  <c r="AM108" i="23"/>
  <c r="AN108" i="23"/>
  <c r="AO108" i="23"/>
  <c r="AP108" i="23"/>
  <c r="AQ108" i="23"/>
  <c r="AR108" i="23"/>
  <c r="AS108" i="23"/>
  <c r="AT108" i="23"/>
  <c r="AU108" i="23"/>
  <c r="AV108" i="23"/>
  <c r="AW108" i="23"/>
  <c r="AX108" i="23"/>
  <c r="AY108" i="23"/>
  <c r="AZ108" i="23"/>
  <c r="BA108" i="23"/>
  <c r="BB108" i="23"/>
  <c r="BC108" i="23"/>
  <c r="BD108" i="23"/>
  <c r="BE108" i="23"/>
  <c r="BF108" i="23"/>
  <c r="BG108" i="23"/>
  <c r="BH108" i="23"/>
  <c r="BI108" i="23"/>
  <c r="BJ108" i="23"/>
  <c r="BK108" i="23"/>
  <c r="BL108" i="23"/>
  <c r="BM108" i="23"/>
  <c r="BN108" i="23"/>
  <c r="BO108" i="23"/>
  <c r="BP108" i="23"/>
  <c r="BQ108" i="23"/>
  <c r="BR108" i="23"/>
  <c r="BS108" i="23"/>
  <c r="BT108" i="23"/>
  <c r="B109" i="23"/>
  <c r="C109" i="23"/>
  <c r="D109" i="23"/>
  <c r="E109" i="23"/>
  <c r="F109" i="23"/>
  <c r="G109" i="23"/>
  <c r="H109" i="23"/>
  <c r="I109" i="23"/>
  <c r="J109" i="23"/>
  <c r="K109" i="23"/>
  <c r="L109" i="23"/>
  <c r="M109" i="23"/>
  <c r="N109" i="23"/>
  <c r="O109" i="23"/>
  <c r="P109" i="23"/>
  <c r="Q109" i="23"/>
  <c r="R109" i="23"/>
  <c r="S109" i="23"/>
  <c r="T109" i="23"/>
  <c r="U109" i="23"/>
  <c r="V109" i="23"/>
  <c r="W109" i="23"/>
  <c r="X109" i="23"/>
  <c r="Y109" i="23"/>
  <c r="Z109" i="23"/>
  <c r="AA109" i="23"/>
  <c r="AB109" i="23"/>
  <c r="AC109" i="23"/>
  <c r="AD109" i="23"/>
  <c r="AE109" i="23"/>
  <c r="AF109" i="23"/>
  <c r="AG109" i="23"/>
  <c r="AH109" i="23"/>
  <c r="AI109" i="23"/>
  <c r="AJ109" i="23"/>
  <c r="AK109" i="23"/>
  <c r="AL109" i="23"/>
  <c r="AM109" i="23"/>
  <c r="AN109" i="23"/>
  <c r="AO109" i="23"/>
  <c r="AP109" i="23"/>
  <c r="AQ109" i="23"/>
  <c r="AR109" i="23"/>
  <c r="AS109" i="23"/>
  <c r="AT109" i="23"/>
  <c r="AU109" i="23"/>
  <c r="AV109" i="23"/>
  <c r="AW109" i="23"/>
  <c r="AX109" i="23"/>
  <c r="AY109" i="23"/>
  <c r="AZ109" i="23"/>
  <c r="BA109" i="23"/>
  <c r="BB109" i="23"/>
  <c r="BC109" i="23"/>
  <c r="BD109" i="23"/>
  <c r="BE109" i="23"/>
  <c r="BF109" i="23"/>
  <c r="BG109" i="23"/>
  <c r="BH109" i="23"/>
  <c r="BI109" i="23"/>
  <c r="BJ109" i="23"/>
  <c r="BK109" i="23"/>
  <c r="BL109" i="23"/>
  <c r="BM109" i="23"/>
  <c r="BN109" i="23"/>
  <c r="BO109" i="23"/>
  <c r="BP109" i="23"/>
  <c r="BQ109" i="23"/>
  <c r="BR109" i="23"/>
  <c r="BS109" i="23"/>
  <c r="BT109" i="23"/>
  <c r="B110" i="23"/>
  <c r="C110" i="23"/>
  <c r="D110" i="23"/>
  <c r="E110" i="23"/>
  <c r="F110" i="23"/>
  <c r="G110" i="23"/>
  <c r="H110" i="23"/>
  <c r="I110" i="23"/>
  <c r="J110" i="23"/>
  <c r="K110" i="23"/>
  <c r="L110" i="23"/>
  <c r="M110" i="23"/>
  <c r="N110" i="23"/>
  <c r="O110" i="23"/>
  <c r="P110" i="23"/>
  <c r="Q110" i="23"/>
  <c r="R110" i="23"/>
  <c r="S110" i="23"/>
  <c r="T110" i="23"/>
  <c r="U110" i="23"/>
  <c r="V110" i="23"/>
  <c r="W110" i="23"/>
  <c r="X110" i="23"/>
  <c r="Y110" i="23"/>
  <c r="Z110" i="23"/>
  <c r="AA110" i="23"/>
  <c r="AB110" i="23"/>
  <c r="AC110" i="23"/>
  <c r="AD110" i="23"/>
  <c r="AE110" i="23"/>
  <c r="AF110" i="23"/>
  <c r="AG110" i="23"/>
  <c r="AH110" i="23"/>
  <c r="AI110" i="23"/>
  <c r="AJ110" i="23"/>
  <c r="AK110" i="23"/>
  <c r="AL110" i="23"/>
  <c r="AM110" i="23"/>
  <c r="AN110" i="23"/>
  <c r="AO110" i="23"/>
  <c r="AP110" i="23"/>
  <c r="AQ110" i="23"/>
  <c r="AR110" i="23"/>
  <c r="AS110" i="23"/>
  <c r="AT110" i="23"/>
  <c r="AU110" i="23"/>
  <c r="AV110" i="23"/>
  <c r="AW110" i="23"/>
  <c r="AX110" i="23"/>
  <c r="AY110" i="23"/>
  <c r="AZ110" i="23"/>
  <c r="BA110" i="23"/>
  <c r="BB110" i="23"/>
  <c r="BC110" i="23"/>
  <c r="BD110" i="23"/>
  <c r="BE110" i="23"/>
  <c r="BF110" i="23"/>
  <c r="BG110" i="23"/>
  <c r="BH110" i="23"/>
  <c r="BI110" i="23"/>
  <c r="BJ110" i="23"/>
  <c r="BK110" i="23"/>
  <c r="BL110" i="23"/>
  <c r="BM110" i="23"/>
  <c r="BN110" i="23"/>
  <c r="BO110" i="23"/>
  <c r="BP110" i="23"/>
  <c r="BQ110" i="23"/>
  <c r="BR110" i="23"/>
  <c r="BS110" i="23"/>
  <c r="BT110" i="23"/>
  <c r="B111" i="23"/>
  <c r="C111" i="23"/>
  <c r="D111" i="23"/>
  <c r="E111" i="23"/>
  <c r="F111" i="23"/>
  <c r="G111" i="23"/>
  <c r="H111" i="23"/>
  <c r="I111" i="23"/>
  <c r="J111" i="23"/>
  <c r="K111" i="23"/>
  <c r="L111" i="23"/>
  <c r="M111" i="23"/>
  <c r="N111" i="23"/>
  <c r="O111" i="23"/>
  <c r="P111" i="23"/>
  <c r="Q111" i="23"/>
  <c r="R111" i="23"/>
  <c r="S111" i="23"/>
  <c r="T111" i="23"/>
  <c r="U111" i="23"/>
  <c r="V111" i="23"/>
  <c r="W111" i="23"/>
  <c r="X111" i="23"/>
  <c r="Y111" i="23"/>
  <c r="Z111" i="23"/>
  <c r="AA111" i="23"/>
  <c r="AB111" i="23"/>
  <c r="AC111" i="23"/>
  <c r="AD111" i="23"/>
  <c r="AE111" i="23"/>
  <c r="AF111" i="23"/>
  <c r="AG111" i="23"/>
  <c r="AH111" i="23"/>
  <c r="AI111" i="23"/>
  <c r="AJ111" i="23"/>
  <c r="AK111" i="23"/>
  <c r="AL111" i="23"/>
  <c r="AM111" i="23"/>
  <c r="AN111" i="23"/>
  <c r="AO111" i="23"/>
  <c r="AP111" i="23"/>
  <c r="AQ111" i="23"/>
  <c r="AR111" i="23"/>
  <c r="AS111" i="23"/>
  <c r="AT111" i="23"/>
  <c r="AU111" i="23"/>
  <c r="AV111" i="23"/>
  <c r="AW111" i="23"/>
  <c r="AX111" i="23"/>
  <c r="AY111" i="23"/>
  <c r="AZ111" i="23"/>
  <c r="BA111" i="23"/>
  <c r="BB111" i="23"/>
  <c r="BC111" i="23"/>
  <c r="BD111" i="23"/>
  <c r="BE111" i="23"/>
  <c r="BF111" i="23"/>
  <c r="BG111" i="23"/>
  <c r="BH111" i="23"/>
  <c r="BI111" i="23"/>
  <c r="BJ111" i="23"/>
  <c r="BK111" i="23"/>
  <c r="BL111" i="23"/>
  <c r="BM111" i="23"/>
  <c r="BN111" i="23"/>
  <c r="BO111" i="23"/>
  <c r="BP111" i="23"/>
  <c r="BQ111" i="23"/>
  <c r="BR111" i="23"/>
  <c r="BS111" i="23"/>
  <c r="BT111" i="23"/>
  <c r="B112" i="23"/>
  <c r="C112" i="23"/>
  <c r="D112" i="23"/>
  <c r="E112" i="23"/>
  <c r="F112" i="23"/>
  <c r="G112" i="23"/>
  <c r="H112" i="23"/>
  <c r="I112" i="23"/>
  <c r="J112" i="23"/>
  <c r="K112" i="23"/>
  <c r="L112" i="23"/>
  <c r="M112" i="23"/>
  <c r="N112" i="23"/>
  <c r="O112" i="23"/>
  <c r="P112" i="23"/>
  <c r="Q112" i="23"/>
  <c r="R112" i="23"/>
  <c r="S112" i="23"/>
  <c r="T112" i="23"/>
  <c r="U112" i="23"/>
  <c r="V112" i="23"/>
  <c r="W112" i="23"/>
  <c r="X112" i="23"/>
  <c r="Y112" i="23"/>
  <c r="Z112" i="23"/>
  <c r="AA112" i="23"/>
  <c r="AB112" i="23"/>
  <c r="AC112" i="23"/>
  <c r="AD112" i="23"/>
  <c r="AE112" i="23"/>
  <c r="AF112" i="23"/>
  <c r="AG112" i="23"/>
  <c r="AH112" i="23"/>
  <c r="AI112" i="23"/>
  <c r="AJ112" i="23"/>
  <c r="AK112" i="23"/>
  <c r="AL112" i="23"/>
  <c r="AM112" i="23"/>
  <c r="AN112" i="23"/>
  <c r="AO112" i="23"/>
  <c r="AP112" i="23"/>
  <c r="AQ112" i="23"/>
  <c r="AR112" i="23"/>
  <c r="AS112" i="23"/>
  <c r="AT112" i="23"/>
  <c r="AU112" i="23"/>
  <c r="AV112" i="23"/>
  <c r="AW112" i="23"/>
  <c r="AX112" i="23"/>
  <c r="AY112" i="23"/>
  <c r="AZ112" i="23"/>
  <c r="BA112" i="23"/>
  <c r="BB112" i="23"/>
  <c r="BC112" i="23"/>
  <c r="BD112" i="23"/>
  <c r="BE112" i="23"/>
  <c r="BF112" i="23"/>
  <c r="BG112" i="23"/>
  <c r="BH112" i="23"/>
  <c r="BI112" i="23"/>
  <c r="BJ112" i="23"/>
  <c r="BK112" i="23"/>
  <c r="BL112" i="23"/>
  <c r="BM112" i="23"/>
  <c r="BN112" i="23"/>
  <c r="BO112" i="23"/>
  <c r="BP112" i="23"/>
  <c r="BQ112" i="23"/>
  <c r="BR112" i="23"/>
  <c r="BS112" i="23"/>
  <c r="BT112" i="23"/>
  <c r="B113" i="23"/>
  <c r="C113" i="23"/>
  <c r="D113" i="23"/>
  <c r="E113" i="23"/>
  <c r="F113" i="23"/>
  <c r="G113" i="23"/>
  <c r="H113" i="23"/>
  <c r="I113" i="23"/>
  <c r="J113" i="23"/>
  <c r="K113" i="23"/>
  <c r="L113" i="23"/>
  <c r="M113" i="23"/>
  <c r="N113" i="23"/>
  <c r="O113" i="23"/>
  <c r="P113" i="23"/>
  <c r="Q113" i="23"/>
  <c r="R113" i="23"/>
  <c r="S113" i="23"/>
  <c r="T113" i="23"/>
  <c r="U113" i="23"/>
  <c r="V113" i="23"/>
  <c r="W113" i="23"/>
  <c r="X113" i="23"/>
  <c r="Y113" i="23"/>
  <c r="Z113" i="23"/>
  <c r="AA113" i="23"/>
  <c r="AB113" i="23"/>
  <c r="AC113" i="23"/>
  <c r="AD113" i="23"/>
  <c r="AE113" i="23"/>
  <c r="AF113" i="23"/>
  <c r="AG113" i="23"/>
  <c r="AH113" i="23"/>
  <c r="AI113" i="23"/>
  <c r="AJ113" i="23"/>
  <c r="AK113" i="23"/>
  <c r="AL113" i="23"/>
  <c r="AM113" i="23"/>
  <c r="AN113" i="23"/>
  <c r="AO113" i="23"/>
  <c r="AP113" i="23"/>
  <c r="AQ113" i="23"/>
  <c r="AR113" i="23"/>
  <c r="AS113" i="23"/>
  <c r="AT113" i="23"/>
  <c r="AU113" i="23"/>
  <c r="AV113" i="23"/>
  <c r="AW113" i="23"/>
  <c r="AX113" i="23"/>
  <c r="AY113" i="23"/>
  <c r="AZ113" i="23"/>
  <c r="BA113" i="23"/>
  <c r="BB113" i="23"/>
  <c r="BC113" i="23"/>
  <c r="BD113" i="23"/>
  <c r="BE113" i="23"/>
  <c r="BF113" i="23"/>
  <c r="BG113" i="23"/>
  <c r="BH113" i="23"/>
  <c r="BI113" i="23"/>
  <c r="BJ113" i="23"/>
  <c r="BK113" i="23"/>
  <c r="BL113" i="23"/>
  <c r="BM113" i="23"/>
  <c r="BN113" i="23"/>
  <c r="BO113" i="23"/>
  <c r="BP113" i="23"/>
  <c r="BQ113" i="23"/>
  <c r="BR113" i="23"/>
  <c r="BS113" i="23"/>
  <c r="BT113" i="23"/>
  <c r="B114" i="23"/>
  <c r="C114" i="23"/>
  <c r="D114" i="23"/>
  <c r="E114" i="23"/>
  <c r="F114" i="23"/>
  <c r="G114" i="23"/>
  <c r="H114" i="23"/>
  <c r="I114" i="23"/>
  <c r="J114" i="23"/>
  <c r="K114" i="23"/>
  <c r="L114" i="23"/>
  <c r="M114" i="23"/>
  <c r="N114" i="23"/>
  <c r="O114" i="23"/>
  <c r="P114" i="23"/>
  <c r="Q114" i="23"/>
  <c r="R114" i="23"/>
  <c r="S114" i="23"/>
  <c r="T114" i="23"/>
  <c r="U114" i="23"/>
  <c r="V114" i="23"/>
  <c r="W114" i="23"/>
  <c r="X114" i="23"/>
  <c r="Y114" i="23"/>
  <c r="Z114" i="23"/>
  <c r="AA114" i="23"/>
  <c r="AB114" i="23"/>
  <c r="AC114" i="23"/>
  <c r="AD114" i="23"/>
  <c r="AE114" i="23"/>
  <c r="AF114" i="23"/>
  <c r="AG114" i="23"/>
  <c r="AH114" i="23"/>
  <c r="AI114" i="23"/>
  <c r="AJ114" i="23"/>
  <c r="AK114" i="23"/>
  <c r="AL114" i="23"/>
  <c r="AM114" i="23"/>
  <c r="AN114" i="23"/>
  <c r="AO114" i="23"/>
  <c r="AP114" i="23"/>
  <c r="AQ114" i="23"/>
  <c r="AR114" i="23"/>
  <c r="AS114" i="23"/>
  <c r="AT114" i="23"/>
  <c r="AU114" i="23"/>
  <c r="AV114" i="23"/>
  <c r="AW114" i="23"/>
  <c r="AX114" i="23"/>
  <c r="AY114" i="23"/>
  <c r="AZ114" i="23"/>
  <c r="BA114" i="23"/>
  <c r="BB114" i="23"/>
  <c r="BC114" i="23"/>
  <c r="BD114" i="23"/>
  <c r="BE114" i="23"/>
  <c r="BF114" i="23"/>
  <c r="BG114" i="23"/>
  <c r="BH114" i="23"/>
  <c r="BI114" i="23"/>
  <c r="BJ114" i="23"/>
  <c r="BK114" i="23"/>
  <c r="BL114" i="23"/>
  <c r="BM114" i="23"/>
  <c r="BN114" i="23"/>
  <c r="BO114" i="23"/>
  <c r="BP114" i="23"/>
  <c r="BQ114" i="23"/>
  <c r="BR114" i="23"/>
  <c r="BS114" i="23"/>
  <c r="BT114" i="23"/>
  <c r="B115" i="23"/>
  <c r="C115" i="23"/>
  <c r="D115" i="23"/>
  <c r="E115" i="23"/>
  <c r="F115" i="23"/>
  <c r="G115" i="23"/>
  <c r="H115" i="23"/>
  <c r="I115" i="23"/>
  <c r="J115" i="23"/>
  <c r="K115" i="23"/>
  <c r="L115" i="23"/>
  <c r="M115" i="23"/>
  <c r="N115" i="23"/>
  <c r="O115" i="23"/>
  <c r="P115" i="23"/>
  <c r="Q115" i="23"/>
  <c r="R115" i="23"/>
  <c r="S115" i="23"/>
  <c r="T115" i="23"/>
  <c r="U115" i="23"/>
  <c r="V115" i="23"/>
  <c r="W115" i="23"/>
  <c r="X115" i="23"/>
  <c r="Y115" i="23"/>
  <c r="Z115" i="23"/>
  <c r="AA115" i="23"/>
  <c r="AB115" i="23"/>
  <c r="AC115" i="23"/>
  <c r="AD115" i="23"/>
  <c r="AE115" i="23"/>
  <c r="AF115" i="23"/>
  <c r="AG115" i="23"/>
  <c r="AH115" i="23"/>
  <c r="AI115" i="23"/>
  <c r="AJ115" i="23"/>
  <c r="AK115" i="23"/>
  <c r="AL115" i="23"/>
  <c r="AM115" i="23"/>
  <c r="AN115" i="23"/>
  <c r="AO115" i="23"/>
  <c r="AP115" i="23"/>
  <c r="AQ115" i="23"/>
  <c r="AR115" i="23"/>
  <c r="AS115" i="23"/>
  <c r="AT115" i="23"/>
  <c r="AU115" i="23"/>
  <c r="AV115" i="23"/>
  <c r="AW115" i="23"/>
  <c r="AX115" i="23"/>
  <c r="AY115" i="23"/>
  <c r="AZ115" i="23"/>
  <c r="BA115" i="23"/>
  <c r="BB115" i="23"/>
  <c r="BC115" i="23"/>
  <c r="BD115" i="23"/>
  <c r="BE115" i="23"/>
  <c r="BF115" i="23"/>
  <c r="BG115" i="23"/>
  <c r="BH115" i="23"/>
  <c r="BI115" i="23"/>
  <c r="BJ115" i="23"/>
  <c r="BK115" i="23"/>
  <c r="BL115" i="23"/>
  <c r="BM115" i="23"/>
  <c r="BN115" i="23"/>
  <c r="BO115" i="23"/>
  <c r="BP115" i="23"/>
  <c r="BQ115" i="23"/>
  <c r="BR115" i="23"/>
  <c r="BS115" i="23"/>
  <c r="BT115" i="23"/>
  <c r="B116" i="23"/>
  <c r="C116" i="23"/>
  <c r="D116" i="23"/>
  <c r="E116" i="23"/>
  <c r="F116" i="23"/>
  <c r="G116" i="23"/>
  <c r="H116" i="23"/>
  <c r="I116" i="23"/>
  <c r="J116" i="23"/>
  <c r="K116" i="23"/>
  <c r="L116" i="23"/>
  <c r="M116" i="23"/>
  <c r="N116" i="23"/>
  <c r="O116" i="23"/>
  <c r="P116" i="23"/>
  <c r="Q116" i="23"/>
  <c r="R116" i="23"/>
  <c r="S116" i="23"/>
  <c r="T116" i="23"/>
  <c r="U116" i="23"/>
  <c r="V116" i="23"/>
  <c r="W116" i="23"/>
  <c r="X116" i="23"/>
  <c r="Y116" i="23"/>
  <c r="Z116" i="23"/>
  <c r="AA116" i="23"/>
  <c r="AB116" i="23"/>
  <c r="AC116" i="23"/>
  <c r="AD116" i="23"/>
  <c r="AE116" i="23"/>
  <c r="AF116" i="23"/>
  <c r="AG116" i="23"/>
  <c r="AH116" i="23"/>
  <c r="AI116" i="23"/>
  <c r="AJ116" i="23"/>
  <c r="AK116" i="23"/>
  <c r="AL116" i="23"/>
  <c r="AM116" i="23"/>
  <c r="AN116" i="23"/>
  <c r="AO116" i="23"/>
  <c r="AP116" i="23"/>
  <c r="AQ116" i="23"/>
  <c r="AR116" i="23"/>
  <c r="AS116" i="23"/>
  <c r="AT116" i="23"/>
  <c r="AU116" i="23"/>
  <c r="AV116" i="23"/>
  <c r="AW116" i="23"/>
  <c r="AX116" i="23"/>
  <c r="AY116" i="23"/>
  <c r="AZ116" i="23"/>
  <c r="BA116" i="23"/>
  <c r="BB116" i="23"/>
  <c r="BC116" i="23"/>
  <c r="BD116" i="23"/>
  <c r="BE116" i="23"/>
  <c r="BF116" i="23"/>
  <c r="BG116" i="23"/>
  <c r="BH116" i="23"/>
  <c r="BI116" i="23"/>
  <c r="BJ116" i="23"/>
  <c r="BK116" i="23"/>
  <c r="BL116" i="23"/>
  <c r="BM116" i="23"/>
  <c r="BN116" i="23"/>
  <c r="BO116" i="23"/>
  <c r="BP116" i="23"/>
  <c r="BQ116" i="23"/>
  <c r="BR116" i="23"/>
  <c r="BS116" i="23"/>
  <c r="BT116" i="23"/>
  <c r="B117" i="23"/>
  <c r="C117" i="23"/>
  <c r="D117" i="23"/>
  <c r="E117" i="23"/>
  <c r="F117" i="23"/>
  <c r="G117" i="23"/>
  <c r="H117" i="23"/>
  <c r="I117" i="23"/>
  <c r="J117" i="23"/>
  <c r="K117" i="23"/>
  <c r="L117" i="23"/>
  <c r="M117" i="23"/>
  <c r="N117" i="23"/>
  <c r="O117" i="23"/>
  <c r="P117" i="23"/>
  <c r="Q117" i="23"/>
  <c r="R117" i="23"/>
  <c r="S117" i="23"/>
  <c r="T117" i="23"/>
  <c r="U117" i="23"/>
  <c r="V117" i="23"/>
  <c r="W117" i="23"/>
  <c r="X117" i="23"/>
  <c r="Y117" i="23"/>
  <c r="Z117" i="23"/>
  <c r="AA117" i="23"/>
  <c r="AB117" i="23"/>
  <c r="AC117" i="23"/>
  <c r="AD117" i="23"/>
  <c r="AE117" i="23"/>
  <c r="AF117" i="23"/>
  <c r="AG117" i="23"/>
  <c r="AH117" i="23"/>
  <c r="AI117" i="23"/>
  <c r="AJ117" i="23"/>
  <c r="AK117" i="23"/>
  <c r="AL117" i="23"/>
  <c r="AM117" i="23"/>
  <c r="AN117" i="23"/>
  <c r="AO117" i="23"/>
  <c r="AP117" i="23"/>
  <c r="AQ117" i="23"/>
  <c r="AR117" i="23"/>
  <c r="AS117" i="23"/>
  <c r="AT117" i="23"/>
  <c r="AU117" i="23"/>
  <c r="AV117" i="23"/>
  <c r="AW117" i="23"/>
  <c r="AX117" i="23"/>
  <c r="AY117" i="23"/>
  <c r="AZ117" i="23"/>
  <c r="BA117" i="23"/>
  <c r="BB117" i="23"/>
  <c r="BC117" i="23"/>
  <c r="BD117" i="23"/>
  <c r="BE117" i="23"/>
  <c r="BF117" i="23"/>
  <c r="BG117" i="23"/>
  <c r="BH117" i="23"/>
  <c r="BI117" i="23"/>
  <c r="BJ117" i="23"/>
  <c r="BK117" i="23"/>
  <c r="BL117" i="23"/>
  <c r="BM117" i="23"/>
  <c r="BN117" i="23"/>
  <c r="BO117" i="23"/>
  <c r="BP117" i="23"/>
  <c r="BQ117" i="23"/>
  <c r="BR117" i="23"/>
  <c r="BS117" i="23"/>
  <c r="BT117" i="23"/>
  <c r="B118" i="23"/>
  <c r="C118" i="23"/>
  <c r="D118" i="23"/>
  <c r="E118" i="23"/>
  <c r="F118" i="23"/>
  <c r="G118" i="23"/>
  <c r="H118" i="23"/>
  <c r="I118" i="23"/>
  <c r="J118" i="23"/>
  <c r="K118" i="23"/>
  <c r="L118" i="23"/>
  <c r="M118" i="23"/>
  <c r="N118" i="23"/>
  <c r="O118" i="23"/>
  <c r="P118" i="23"/>
  <c r="Q118" i="23"/>
  <c r="R118" i="23"/>
  <c r="S118" i="23"/>
  <c r="T118" i="23"/>
  <c r="U118" i="23"/>
  <c r="V118" i="23"/>
  <c r="W118" i="23"/>
  <c r="X118" i="23"/>
  <c r="Y118" i="23"/>
  <c r="Z118" i="23"/>
  <c r="AA118" i="23"/>
  <c r="AB118" i="23"/>
  <c r="AC118" i="23"/>
  <c r="AD118" i="23"/>
  <c r="AE118" i="23"/>
  <c r="AF118" i="23"/>
  <c r="AG118" i="23"/>
  <c r="AH118" i="23"/>
  <c r="AI118" i="23"/>
  <c r="AJ118" i="23"/>
  <c r="AK118" i="23"/>
  <c r="AL118" i="23"/>
  <c r="AM118" i="23"/>
  <c r="AN118" i="23"/>
  <c r="AO118" i="23"/>
  <c r="AP118" i="23"/>
  <c r="AQ118" i="23"/>
  <c r="AR118" i="23"/>
  <c r="AS118" i="23"/>
  <c r="AT118" i="23"/>
  <c r="AU118" i="23"/>
  <c r="AV118" i="23"/>
  <c r="AW118" i="23"/>
  <c r="AX118" i="23"/>
  <c r="AY118" i="23"/>
  <c r="AZ118" i="23"/>
  <c r="BA118" i="23"/>
  <c r="BB118" i="23"/>
  <c r="BC118" i="23"/>
  <c r="BD118" i="23"/>
  <c r="BE118" i="23"/>
  <c r="BF118" i="23"/>
  <c r="BG118" i="23"/>
  <c r="BH118" i="23"/>
  <c r="BI118" i="23"/>
  <c r="BJ118" i="23"/>
  <c r="BK118" i="23"/>
  <c r="BL118" i="23"/>
  <c r="BM118" i="23"/>
  <c r="BN118" i="23"/>
  <c r="BO118" i="23"/>
  <c r="BP118" i="23"/>
  <c r="BQ118" i="23"/>
  <c r="BR118" i="23"/>
  <c r="BS118" i="23"/>
  <c r="BT118" i="23"/>
  <c r="B119" i="23"/>
  <c r="C119" i="23"/>
  <c r="D119" i="23"/>
  <c r="E119" i="23"/>
  <c r="F119" i="23"/>
  <c r="G119" i="23"/>
  <c r="H119" i="23"/>
  <c r="I119" i="23"/>
  <c r="J119" i="23"/>
  <c r="K119" i="23"/>
  <c r="L119" i="23"/>
  <c r="M119" i="23"/>
  <c r="N119" i="23"/>
  <c r="O119" i="23"/>
  <c r="P119" i="23"/>
  <c r="Q119" i="23"/>
  <c r="R119" i="23"/>
  <c r="S119" i="23"/>
  <c r="T119" i="23"/>
  <c r="U119" i="23"/>
  <c r="V119" i="23"/>
  <c r="W119" i="23"/>
  <c r="X119" i="23"/>
  <c r="Y119" i="23"/>
  <c r="Z119" i="23"/>
  <c r="AA119" i="23"/>
  <c r="AB119" i="23"/>
  <c r="AC119" i="23"/>
  <c r="AD119" i="23"/>
  <c r="AE119" i="23"/>
  <c r="AF119" i="23"/>
  <c r="AG119" i="23"/>
  <c r="AH119" i="23"/>
  <c r="AI119" i="23"/>
  <c r="AJ119" i="23"/>
  <c r="AK119" i="23"/>
  <c r="AL119" i="23"/>
  <c r="AM119" i="23"/>
  <c r="AN119" i="23"/>
  <c r="AO119" i="23"/>
  <c r="AP119" i="23"/>
  <c r="AQ119" i="23"/>
  <c r="AR119" i="23"/>
  <c r="AS119" i="23"/>
  <c r="AT119" i="23"/>
  <c r="AU119" i="23"/>
  <c r="AV119" i="23"/>
  <c r="AW119" i="23"/>
  <c r="AX119" i="23"/>
  <c r="AY119" i="23"/>
  <c r="AZ119" i="23"/>
  <c r="BA119" i="23"/>
  <c r="BB119" i="23"/>
  <c r="BC119" i="23"/>
  <c r="BD119" i="23"/>
  <c r="BE119" i="23"/>
  <c r="BF119" i="23"/>
  <c r="BG119" i="23"/>
  <c r="BH119" i="23"/>
  <c r="BI119" i="23"/>
  <c r="BJ119" i="23"/>
  <c r="BK119" i="23"/>
  <c r="BL119" i="23"/>
  <c r="BM119" i="23"/>
  <c r="BN119" i="23"/>
  <c r="BO119" i="23"/>
  <c r="BP119" i="23"/>
  <c r="BQ119" i="23"/>
  <c r="BR119" i="23"/>
  <c r="BS119" i="23"/>
  <c r="BT119" i="23"/>
  <c r="B120" i="23"/>
  <c r="C120" i="23"/>
  <c r="D120" i="23"/>
  <c r="E120" i="23"/>
  <c r="F120" i="23"/>
  <c r="G120" i="23"/>
  <c r="H120" i="23"/>
  <c r="I120" i="23"/>
  <c r="J120" i="23"/>
  <c r="K120" i="23"/>
  <c r="L120" i="23"/>
  <c r="M120" i="23"/>
  <c r="N120" i="23"/>
  <c r="O120" i="23"/>
  <c r="P120" i="23"/>
  <c r="Q120" i="23"/>
  <c r="R120" i="23"/>
  <c r="S120" i="23"/>
  <c r="T120" i="23"/>
  <c r="U120" i="23"/>
  <c r="V120" i="23"/>
  <c r="W120" i="23"/>
  <c r="X120" i="23"/>
  <c r="Y120" i="23"/>
  <c r="Z120" i="23"/>
  <c r="AA120" i="23"/>
  <c r="AB120" i="23"/>
  <c r="AC120" i="23"/>
  <c r="AD120" i="23"/>
  <c r="AE120" i="23"/>
  <c r="AF120" i="23"/>
  <c r="AG120" i="23"/>
  <c r="AH120" i="23"/>
  <c r="AI120" i="23"/>
  <c r="AJ120" i="23"/>
  <c r="AK120" i="23"/>
  <c r="AL120" i="23"/>
  <c r="AM120" i="23"/>
  <c r="AN120" i="23"/>
  <c r="AO120" i="23"/>
  <c r="AP120" i="23"/>
  <c r="AQ120" i="23"/>
  <c r="AR120" i="23"/>
  <c r="AS120" i="23"/>
  <c r="AT120" i="23"/>
  <c r="AU120" i="23"/>
  <c r="AV120" i="23"/>
  <c r="AW120" i="23"/>
  <c r="AX120" i="23"/>
  <c r="AY120" i="23"/>
  <c r="AZ120" i="23"/>
  <c r="BA120" i="23"/>
  <c r="BB120" i="23"/>
  <c r="BC120" i="23"/>
  <c r="BD120" i="23"/>
  <c r="BE120" i="23"/>
  <c r="BF120" i="23"/>
  <c r="BG120" i="23"/>
  <c r="BH120" i="23"/>
  <c r="BI120" i="23"/>
  <c r="BJ120" i="23"/>
  <c r="BK120" i="23"/>
  <c r="BL120" i="23"/>
  <c r="BM120" i="23"/>
  <c r="BN120" i="23"/>
  <c r="BO120" i="23"/>
  <c r="BP120" i="23"/>
  <c r="BQ120" i="23"/>
  <c r="BR120" i="23"/>
  <c r="BS120" i="23"/>
  <c r="BT120" i="23"/>
  <c r="B121" i="23"/>
  <c r="C121" i="23"/>
  <c r="D121" i="23"/>
  <c r="E121" i="23"/>
  <c r="F121" i="23"/>
  <c r="G121" i="23"/>
  <c r="H121" i="23"/>
  <c r="I121" i="23"/>
  <c r="J121" i="23"/>
  <c r="K121" i="23"/>
  <c r="L121" i="23"/>
  <c r="M121" i="23"/>
  <c r="N121" i="23"/>
  <c r="O121" i="23"/>
  <c r="P121" i="23"/>
  <c r="Q121" i="23"/>
  <c r="R121" i="23"/>
  <c r="S121" i="23"/>
  <c r="T121" i="23"/>
  <c r="U121" i="23"/>
  <c r="V121" i="23"/>
  <c r="W121" i="23"/>
  <c r="X121" i="23"/>
  <c r="Y121" i="23"/>
  <c r="Z121" i="23"/>
  <c r="AA121" i="23"/>
  <c r="AB121" i="23"/>
  <c r="AC121" i="23"/>
  <c r="AD121" i="23"/>
  <c r="AE121" i="23"/>
  <c r="AF121" i="23"/>
  <c r="AG121" i="23"/>
  <c r="AH121" i="23"/>
  <c r="AI121" i="23"/>
  <c r="AJ121" i="23"/>
  <c r="AK121" i="23"/>
  <c r="AL121" i="23"/>
  <c r="AM121" i="23"/>
  <c r="AN121" i="23"/>
  <c r="AO121" i="23"/>
  <c r="AP121" i="23"/>
  <c r="AQ121" i="23"/>
  <c r="AR121" i="23"/>
  <c r="AS121" i="23"/>
  <c r="AT121" i="23"/>
  <c r="AU121" i="23"/>
  <c r="AV121" i="23"/>
  <c r="AW121" i="23"/>
  <c r="AX121" i="23"/>
  <c r="AY121" i="23"/>
  <c r="AZ121" i="23"/>
  <c r="BA121" i="23"/>
  <c r="BB121" i="23"/>
  <c r="BC121" i="23"/>
  <c r="BD121" i="23"/>
  <c r="BE121" i="23"/>
  <c r="BF121" i="23"/>
  <c r="BG121" i="23"/>
  <c r="BH121" i="23"/>
  <c r="BI121" i="23"/>
  <c r="BJ121" i="23"/>
  <c r="BK121" i="23"/>
  <c r="BL121" i="23"/>
  <c r="BM121" i="23"/>
  <c r="BN121" i="23"/>
  <c r="BO121" i="23"/>
  <c r="BP121" i="23"/>
  <c r="BQ121" i="23"/>
  <c r="BR121" i="23"/>
  <c r="BS121" i="23"/>
  <c r="BT121" i="23"/>
  <c r="B122" i="23"/>
  <c r="C122" i="23"/>
  <c r="D122" i="23"/>
  <c r="E122" i="23"/>
  <c r="F122" i="23"/>
  <c r="G122" i="23"/>
  <c r="H122" i="23"/>
  <c r="I122" i="23"/>
  <c r="J122" i="23"/>
  <c r="K122" i="23"/>
  <c r="L122" i="23"/>
  <c r="M122" i="23"/>
  <c r="N122" i="23"/>
  <c r="O122" i="23"/>
  <c r="P122" i="23"/>
  <c r="Q122" i="23"/>
  <c r="R122" i="23"/>
  <c r="S122" i="23"/>
  <c r="T122" i="23"/>
  <c r="U122" i="23"/>
  <c r="V122" i="23"/>
  <c r="W122" i="23"/>
  <c r="X122" i="23"/>
  <c r="Y122" i="23"/>
  <c r="Z122" i="23"/>
  <c r="AA122" i="23"/>
  <c r="AB122" i="23"/>
  <c r="AC122" i="23"/>
  <c r="AD122" i="23"/>
  <c r="AE122" i="23"/>
  <c r="AF122" i="23"/>
  <c r="AG122" i="23"/>
  <c r="AH122" i="23"/>
  <c r="AI122" i="23"/>
  <c r="AJ122" i="23"/>
  <c r="AK122" i="23"/>
  <c r="AL122" i="23"/>
  <c r="AM122" i="23"/>
  <c r="AN122" i="23"/>
  <c r="AO122" i="23"/>
  <c r="AP122" i="23"/>
  <c r="AQ122" i="23"/>
  <c r="AR122" i="23"/>
  <c r="AS122" i="23"/>
  <c r="AT122" i="23"/>
  <c r="AU122" i="23"/>
  <c r="AV122" i="23"/>
  <c r="AW122" i="23"/>
  <c r="AX122" i="23"/>
  <c r="AY122" i="23"/>
  <c r="AZ122" i="23"/>
  <c r="BA122" i="23"/>
  <c r="BB122" i="23"/>
  <c r="BC122" i="23"/>
  <c r="BD122" i="23"/>
  <c r="BE122" i="23"/>
  <c r="BF122" i="23"/>
  <c r="BG122" i="23"/>
  <c r="BH122" i="23"/>
  <c r="BI122" i="23"/>
  <c r="BJ122" i="23"/>
  <c r="BK122" i="23"/>
  <c r="BL122" i="23"/>
  <c r="BM122" i="23"/>
  <c r="BN122" i="23"/>
  <c r="BO122" i="23"/>
  <c r="BP122" i="23"/>
  <c r="BQ122" i="23"/>
  <c r="BR122" i="23"/>
  <c r="BS122" i="23"/>
  <c r="BT122" i="23"/>
  <c r="B123" i="23"/>
  <c r="C123" i="23"/>
  <c r="D123" i="23"/>
  <c r="E123" i="23"/>
  <c r="F123" i="23"/>
  <c r="G123" i="23"/>
  <c r="H123" i="23"/>
  <c r="I123" i="23"/>
  <c r="J123" i="23"/>
  <c r="K123" i="23"/>
  <c r="L123" i="23"/>
  <c r="M123" i="23"/>
  <c r="N123" i="23"/>
  <c r="O123" i="23"/>
  <c r="P123" i="23"/>
  <c r="Q123" i="23"/>
  <c r="R123" i="23"/>
  <c r="S123" i="23"/>
  <c r="T123" i="23"/>
  <c r="U123" i="23"/>
  <c r="V123" i="23"/>
  <c r="W123" i="23"/>
  <c r="X123" i="23"/>
  <c r="Y123" i="23"/>
  <c r="Z123" i="23"/>
  <c r="AA123" i="23"/>
  <c r="AB123" i="23"/>
  <c r="AC123" i="23"/>
  <c r="AD123" i="23"/>
  <c r="AE123" i="23"/>
  <c r="AF123" i="23"/>
  <c r="AG123" i="23"/>
  <c r="AH123" i="23"/>
  <c r="AI123" i="23"/>
  <c r="AJ123" i="23"/>
  <c r="AK123" i="23"/>
  <c r="AL123" i="23"/>
  <c r="AM123" i="23"/>
  <c r="AN123" i="23"/>
  <c r="AO123" i="23"/>
  <c r="AP123" i="23"/>
  <c r="AQ123" i="23"/>
  <c r="AR123" i="23"/>
  <c r="AS123" i="23"/>
  <c r="AT123" i="23"/>
  <c r="AU123" i="23"/>
  <c r="AV123" i="23"/>
  <c r="AW123" i="23"/>
  <c r="AX123" i="23"/>
  <c r="AY123" i="23"/>
  <c r="AZ123" i="23"/>
  <c r="BA123" i="23"/>
  <c r="BB123" i="23"/>
  <c r="BC123" i="23"/>
  <c r="BD123" i="23"/>
  <c r="BE123" i="23"/>
  <c r="BF123" i="23"/>
  <c r="BG123" i="23"/>
  <c r="BH123" i="23"/>
  <c r="BI123" i="23"/>
  <c r="BJ123" i="23"/>
  <c r="BK123" i="23"/>
  <c r="BL123" i="23"/>
  <c r="BM123" i="23"/>
  <c r="BN123" i="23"/>
  <c r="BO123" i="23"/>
  <c r="BP123" i="23"/>
  <c r="BQ123" i="23"/>
  <c r="BR123" i="23"/>
  <c r="BS123" i="23"/>
  <c r="BT123" i="23"/>
  <c r="B124" i="23"/>
  <c r="C124" i="23"/>
  <c r="D124" i="23"/>
  <c r="E124" i="23"/>
  <c r="F124" i="23"/>
  <c r="G124" i="23"/>
  <c r="H124" i="23"/>
  <c r="I124" i="23"/>
  <c r="J124" i="23"/>
  <c r="K124" i="23"/>
  <c r="L124" i="23"/>
  <c r="M124" i="23"/>
  <c r="N124" i="23"/>
  <c r="O124" i="23"/>
  <c r="P124" i="23"/>
  <c r="Q124" i="23"/>
  <c r="R124" i="23"/>
  <c r="S124" i="23"/>
  <c r="T124" i="23"/>
  <c r="U124" i="23"/>
  <c r="V124" i="23"/>
  <c r="W124" i="23"/>
  <c r="X124" i="23"/>
  <c r="Y124" i="23"/>
  <c r="Z124" i="23"/>
  <c r="AA124" i="23"/>
  <c r="AB124" i="23"/>
  <c r="AC124" i="23"/>
  <c r="AD124" i="23"/>
  <c r="AE124" i="23"/>
  <c r="AF124" i="23"/>
  <c r="AG124" i="23"/>
  <c r="AH124" i="23"/>
  <c r="AI124" i="23"/>
  <c r="AJ124" i="23"/>
  <c r="AK124" i="23"/>
  <c r="AL124" i="23"/>
  <c r="AM124" i="23"/>
  <c r="AN124" i="23"/>
  <c r="AO124" i="23"/>
  <c r="AP124" i="23"/>
  <c r="AQ124" i="23"/>
  <c r="AR124" i="23"/>
  <c r="AS124" i="23"/>
  <c r="AT124" i="23"/>
  <c r="AU124" i="23"/>
  <c r="AV124" i="23"/>
  <c r="AW124" i="23"/>
  <c r="AX124" i="23"/>
  <c r="AY124" i="23"/>
  <c r="AZ124" i="23"/>
  <c r="BA124" i="23"/>
  <c r="BB124" i="23"/>
  <c r="BC124" i="23"/>
  <c r="BD124" i="23"/>
  <c r="BE124" i="23"/>
  <c r="BF124" i="23"/>
  <c r="BG124" i="23"/>
  <c r="BH124" i="23"/>
  <c r="BI124" i="23"/>
  <c r="BJ124" i="23"/>
  <c r="BK124" i="23"/>
  <c r="BL124" i="23"/>
  <c r="BM124" i="23"/>
  <c r="BN124" i="23"/>
  <c r="BO124" i="23"/>
  <c r="BP124" i="23"/>
  <c r="BQ124" i="23"/>
  <c r="BR124" i="23"/>
  <c r="BS124" i="23"/>
  <c r="BT124" i="23"/>
  <c r="B125" i="23"/>
  <c r="C125" i="23"/>
  <c r="D125" i="23"/>
  <c r="E125" i="23"/>
  <c r="F125" i="23"/>
  <c r="G125" i="23"/>
  <c r="H125" i="23"/>
  <c r="I125" i="23"/>
  <c r="J125" i="23"/>
  <c r="K125" i="23"/>
  <c r="L125" i="23"/>
  <c r="M125" i="23"/>
  <c r="N125" i="23"/>
  <c r="O125" i="23"/>
  <c r="P125" i="23"/>
  <c r="Q125" i="23"/>
  <c r="R125" i="23"/>
  <c r="S125" i="23"/>
  <c r="T125" i="23"/>
  <c r="U125" i="23"/>
  <c r="V125" i="23"/>
  <c r="W125" i="23"/>
  <c r="X125" i="23"/>
  <c r="Y125" i="23"/>
  <c r="Z125" i="23"/>
  <c r="AA125" i="23"/>
  <c r="AB125" i="23"/>
  <c r="AC125" i="23"/>
  <c r="AD125" i="23"/>
  <c r="AE125" i="23"/>
  <c r="AF125" i="23"/>
  <c r="AG125" i="23"/>
  <c r="AH125" i="23"/>
  <c r="AI125" i="23"/>
  <c r="AJ125" i="23"/>
  <c r="AK125" i="23"/>
  <c r="AL125" i="23"/>
  <c r="AM125" i="23"/>
  <c r="AN125" i="23"/>
  <c r="AO125" i="23"/>
  <c r="AP125" i="23"/>
  <c r="AQ125" i="23"/>
  <c r="AR125" i="23"/>
  <c r="AS125" i="23"/>
  <c r="AT125" i="23"/>
  <c r="AU125" i="23"/>
  <c r="AV125" i="23"/>
  <c r="AW125" i="23"/>
  <c r="AX125" i="23"/>
  <c r="AY125" i="23"/>
  <c r="AZ125" i="23"/>
  <c r="BA125" i="23"/>
  <c r="BB125" i="23"/>
  <c r="BC125" i="23"/>
  <c r="BD125" i="23"/>
  <c r="BE125" i="23"/>
  <c r="BF125" i="23"/>
  <c r="BG125" i="23"/>
  <c r="BH125" i="23"/>
  <c r="BI125" i="23"/>
  <c r="BJ125" i="23"/>
  <c r="BK125" i="23"/>
  <c r="BL125" i="23"/>
  <c r="BM125" i="23"/>
  <c r="BN125" i="23"/>
  <c r="BO125" i="23"/>
  <c r="BP125" i="23"/>
  <c r="BQ125" i="23"/>
  <c r="BR125" i="23"/>
  <c r="BS125" i="23"/>
  <c r="BT125" i="23"/>
  <c r="B126" i="23"/>
  <c r="C126" i="23"/>
  <c r="D126" i="23"/>
  <c r="E126" i="23"/>
  <c r="F126" i="23"/>
  <c r="G126" i="23"/>
  <c r="H126" i="23"/>
  <c r="I126" i="23"/>
  <c r="J126" i="23"/>
  <c r="K126" i="23"/>
  <c r="L126" i="23"/>
  <c r="M126" i="23"/>
  <c r="N126" i="23"/>
  <c r="O126" i="23"/>
  <c r="P126" i="23"/>
  <c r="Q126" i="23"/>
  <c r="R126" i="23"/>
  <c r="S126" i="23"/>
  <c r="T126" i="23"/>
  <c r="U126" i="23"/>
  <c r="V126" i="23"/>
  <c r="W126" i="23"/>
  <c r="X126" i="23"/>
  <c r="Y126" i="23"/>
  <c r="Z126" i="23"/>
  <c r="AA126" i="23"/>
  <c r="AB126" i="23"/>
  <c r="AC126" i="23"/>
  <c r="AD126" i="23"/>
  <c r="AE126" i="23"/>
  <c r="AF126" i="23"/>
  <c r="AG126" i="23"/>
  <c r="AH126" i="23"/>
  <c r="AI126" i="23"/>
  <c r="AJ126" i="23"/>
  <c r="AK126" i="23"/>
  <c r="AL126" i="23"/>
  <c r="AM126" i="23"/>
  <c r="AN126" i="23"/>
  <c r="AO126" i="23"/>
  <c r="AP126" i="23"/>
  <c r="AQ126" i="23"/>
  <c r="AR126" i="23"/>
  <c r="AS126" i="23"/>
  <c r="AT126" i="23"/>
  <c r="AU126" i="23"/>
  <c r="AV126" i="23"/>
  <c r="AW126" i="23"/>
  <c r="AX126" i="23"/>
  <c r="AY126" i="23"/>
  <c r="AZ126" i="23"/>
  <c r="BA126" i="23"/>
  <c r="BB126" i="23"/>
  <c r="BC126" i="23"/>
  <c r="BD126" i="23"/>
  <c r="BE126" i="23"/>
  <c r="BF126" i="23"/>
  <c r="BG126" i="23"/>
  <c r="BH126" i="23"/>
  <c r="BI126" i="23"/>
  <c r="BJ126" i="23"/>
  <c r="BK126" i="23"/>
  <c r="BL126" i="23"/>
  <c r="BM126" i="23"/>
  <c r="BN126" i="23"/>
  <c r="BO126" i="23"/>
  <c r="BP126" i="23"/>
  <c r="BQ126" i="23"/>
  <c r="BR126" i="23"/>
  <c r="BS126" i="23"/>
  <c r="BT126" i="23"/>
  <c r="B127" i="23"/>
  <c r="C127" i="23"/>
  <c r="D127" i="23"/>
  <c r="E127" i="23"/>
  <c r="F127" i="23"/>
  <c r="G127" i="23"/>
  <c r="H127" i="23"/>
  <c r="I127" i="23"/>
  <c r="J127" i="23"/>
  <c r="K127" i="23"/>
  <c r="L127" i="23"/>
  <c r="M127" i="23"/>
  <c r="N127" i="23"/>
  <c r="O127" i="23"/>
  <c r="P127" i="23"/>
  <c r="Q127" i="23"/>
  <c r="R127" i="23"/>
  <c r="S127" i="23"/>
  <c r="T127" i="23"/>
  <c r="U127" i="23"/>
  <c r="V127" i="23"/>
  <c r="W127" i="23"/>
  <c r="X127" i="23"/>
  <c r="Y127" i="23"/>
  <c r="Z127" i="23"/>
  <c r="AA127" i="23"/>
  <c r="AB127" i="23"/>
  <c r="AC127" i="23"/>
  <c r="AD127" i="23"/>
  <c r="AE127" i="23"/>
  <c r="AF127" i="23"/>
  <c r="AG127" i="23"/>
  <c r="AH127" i="23"/>
  <c r="AI127" i="23"/>
  <c r="AJ127" i="23"/>
  <c r="AK127" i="23"/>
  <c r="AL127" i="23"/>
  <c r="AM127" i="23"/>
  <c r="AN127" i="23"/>
  <c r="AO127" i="23"/>
  <c r="AP127" i="23"/>
  <c r="AQ127" i="23"/>
  <c r="AR127" i="23"/>
  <c r="AS127" i="23"/>
  <c r="AT127" i="23"/>
  <c r="AU127" i="23"/>
  <c r="AV127" i="23"/>
  <c r="AW127" i="23"/>
  <c r="AX127" i="23"/>
  <c r="AY127" i="23"/>
  <c r="AZ127" i="23"/>
  <c r="BA127" i="23"/>
  <c r="BB127" i="23"/>
  <c r="BC127" i="23"/>
  <c r="BD127" i="23"/>
  <c r="BE127" i="23"/>
  <c r="BF127" i="23"/>
  <c r="BG127" i="23"/>
  <c r="BH127" i="23"/>
  <c r="BI127" i="23"/>
  <c r="BJ127" i="23"/>
  <c r="BK127" i="23"/>
  <c r="BL127" i="23"/>
  <c r="BM127" i="23"/>
  <c r="BN127" i="23"/>
  <c r="BO127" i="23"/>
  <c r="BP127" i="23"/>
  <c r="BQ127" i="23"/>
  <c r="BR127" i="23"/>
  <c r="BS127" i="23"/>
  <c r="BT127" i="23"/>
  <c r="B128" i="23"/>
  <c r="C128" i="23"/>
  <c r="D128" i="23"/>
  <c r="E128" i="23"/>
  <c r="F128" i="23"/>
  <c r="G128" i="23"/>
  <c r="H128" i="23"/>
  <c r="I128" i="23"/>
  <c r="J128" i="23"/>
  <c r="K128" i="23"/>
  <c r="L128" i="23"/>
  <c r="M128" i="23"/>
  <c r="N128" i="23"/>
  <c r="O128" i="23"/>
  <c r="P128" i="23"/>
  <c r="Q128" i="23"/>
  <c r="R128" i="23"/>
  <c r="S128" i="23"/>
  <c r="T128" i="23"/>
  <c r="U128" i="23"/>
  <c r="V128" i="23"/>
  <c r="W128" i="23"/>
  <c r="X128" i="23"/>
  <c r="Y128" i="23"/>
  <c r="Z128" i="23"/>
  <c r="AA128" i="23"/>
  <c r="AB128" i="23"/>
  <c r="AC128" i="23"/>
  <c r="AD128" i="23"/>
  <c r="AE128" i="23"/>
  <c r="AF128" i="23"/>
  <c r="AG128" i="23"/>
  <c r="AH128" i="23"/>
  <c r="AI128" i="23"/>
  <c r="AJ128" i="23"/>
  <c r="AK128" i="23"/>
  <c r="AL128" i="23"/>
  <c r="AM128" i="23"/>
  <c r="AN128" i="23"/>
  <c r="AO128" i="23"/>
  <c r="AP128" i="23"/>
  <c r="AQ128" i="23"/>
  <c r="AR128" i="23"/>
  <c r="AS128" i="23"/>
  <c r="AT128" i="23"/>
  <c r="AU128" i="23"/>
  <c r="AV128" i="23"/>
  <c r="AW128" i="23"/>
  <c r="AX128" i="23"/>
  <c r="AY128" i="23"/>
  <c r="AZ128" i="23"/>
  <c r="BA128" i="23"/>
  <c r="BB128" i="23"/>
  <c r="BC128" i="23"/>
  <c r="BD128" i="23"/>
  <c r="BE128" i="23"/>
  <c r="BF128" i="23"/>
  <c r="BG128" i="23"/>
  <c r="BH128" i="23"/>
  <c r="BI128" i="23"/>
  <c r="BJ128" i="23"/>
  <c r="BK128" i="23"/>
  <c r="BL128" i="23"/>
  <c r="BM128" i="23"/>
  <c r="BN128" i="23"/>
  <c r="BO128" i="23"/>
  <c r="BP128" i="23"/>
  <c r="BQ128" i="23"/>
  <c r="BR128" i="23"/>
  <c r="BS128" i="23"/>
  <c r="BT128" i="23"/>
  <c r="B129" i="23"/>
  <c r="C129" i="23"/>
  <c r="D129" i="23"/>
  <c r="E129" i="23"/>
  <c r="F129" i="23"/>
  <c r="G129" i="23"/>
  <c r="H129" i="23"/>
  <c r="I129" i="23"/>
  <c r="J129" i="23"/>
  <c r="K129" i="23"/>
  <c r="L129" i="23"/>
  <c r="M129" i="23"/>
  <c r="N129" i="23"/>
  <c r="O129" i="23"/>
  <c r="P129" i="23"/>
  <c r="Q129" i="23"/>
  <c r="R129" i="23"/>
  <c r="S129" i="23"/>
  <c r="T129" i="23"/>
  <c r="U129" i="23"/>
  <c r="V129" i="23"/>
  <c r="W129" i="23"/>
  <c r="X129" i="23"/>
  <c r="Y129" i="23"/>
  <c r="Z129" i="23"/>
  <c r="AA129" i="23"/>
  <c r="AB129" i="23"/>
  <c r="AC129" i="23"/>
  <c r="AD129" i="23"/>
  <c r="AE129" i="23"/>
  <c r="AF129" i="23"/>
  <c r="AG129" i="23"/>
  <c r="AH129" i="23"/>
  <c r="AI129" i="23"/>
  <c r="AJ129" i="23"/>
  <c r="AK129" i="23"/>
  <c r="AL129" i="23"/>
  <c r="AM129" i="23"/>
  <c r="AN129" i="23"/>
  <c r="AO129" i="23"/>
  <c r="AP129" i="23"/>
  <c r="AQ129" i="23"/>
  <c r="AR129" i="23"/>
  <c r="AS129" i="23"/>
  <c r="AT129" i="23"/>
  <c r="AU129" i="23"/>
  <c r="AV129" i="23"/>
  <c r="AW129" i="23"/>
  <c r="AX129" i="23"/>
  <c r="AY129" i="23"/>
  <c r="AZ129" i="23"/>
  <c r="BA129" i="23"/>
  <c r="BB129" i="23"/>
  <c r="BC129" i="23"/>
  <c r="BD129" i="23"/>
  <c r="BE129" i="23"/>
  <c r="BF129" i="23"/>
  <c r="BG129" i="23"/>
  <c r="BH129" i="23"/>
  <c r="BI129" i="23"/>
  <c r="BJ129" i="23"/>
  <c r="BK129" i="23"/>
  <c r="BL129" i="23"/>
  <c r="BM129" i="23"/>
  <c r="BN129" i="23"/>
  <c r="BO129" i="23"/>
  <c r="BP129" i="23"/>
  <c r="BQ129" i="23"/>
  <c r="BR129" i="23"/>
  <c r="BS129" i="23"/>
  <c r="BT129" i="23"/>
  <c r="B130" i="23"/>
  <c r="C130" i="23"/>
  <c r="D130" i="23"/>
  <c r="E130" i="23"/>
  <c r="F130" i="23"/>
  <c r="G130" i="23"/>
  <c r="H130" i="23"/>
  <c r="I130" i="23"/>
  <c r="J130" i="23"/>
  <c r="K130" i="23"/>
  <c r="L130" i="23"/>
  <c r="M130" i="23"/>
  <c r="N130" i="23"/>
  <c r="O130" i="23"/>
  <c r="P130" i="23"/>
  <c r="Q130" i="23"/>
  <c r="R130" i="23"/>
  <c r="S130" i="23"/>
  <c r="T130" i="23"/>
  <c r="U130" i="23"/>
  <c r="V130" i="23"/>
  <c r="W130" i="23"/>
  <c r="X130" i="23"/>
  <c r="Y130" i="23"/>
  <c r="Z130" i="23"/>
  <c r="AA130" i="23"/>
  <c r="AB130" i="23"/>
  <c r="AC130" i="23"/>
  <c r="AD130" i="23"/>
  <c r="AE130" i="23"/>
  <c r="AF130" i="23"/>
  <c r="AG130" i="23"/>
  <c r="AH130" i="23"/>
  <c r="AI130" i="23"/>
  <c r="AJ130" i="23"/>
  <c r="AK130" i="23"/>
  <c r="AL130" i="23"/>
  <c r="AM130" i="23"/>
  <c r="AN130" i="23"/>
  <c r="AO130" i="23"/>
  <c r="AP130" i="23"/>
  <c r="AQ130" i="23"/>
  <c r="AR130" i="23"/>
  <c r="AS130" i="23"/>
  <c r="AT130" i="23"/>
  <c r="AU130" i="23"/>
  <c r="AV130" i="23"/>
  <c r="AW130" i="23"/>
  <c r="AX130" i="23"/>
  <c r="AY130" i="23"/>
  <c r="AZ130" i="23"/>
  <c r="BA130" i="23"/>
  <c r="BB130" i="23"/>
  <c r="BC130" i="23"/>
  <c r="BD130" i="23"/>
  <c r="BE130" i="23"/>
  <c r="BF130" i="23"/>
  <c r="BG130" i="23"/>
  <c r="BH130" i="23"/>
  <c r="BI130" i="23"/>
  <c r="BJ130" i="23"/>
  <c r="BK130" i="23"/>
  <c r="BL130" i="23"/>
  <c r="BM130" i="23"/>
  <c r="BN130" i="23"/>
  <c r="BO130" i="23"/>
  <c r="BP130" i="23"/>
  <c r="BQ130" i="23"/>
  <c r="BR130" i="23"/>
  <c r="BS130" i="23"/>
  <c r="BT130" i="23"/>
  <c r="B131" i="23"/>
  <c r="C131" i="23"/>
  <c r="D131" i="23"/>
  <c r="E131" i="23"/>
  <c r="F131" i="23"/>
  <c r="G131" i="23"/>
  <c r="H131" i="23"/>
  <c r="I131" i="23"/>
  <c r="J131" i="23"/>
  <c r="K131" i="23"/>
  <c r="L131" i="23"/>
  <c r="M131" i="23"/>
  <c r="N131" i="23"/>
  <c r="O131" i="23"/>
  <c r="P131" i="23"/>
  <c r="Q131" i="23"/>
  <c r="R131" i="23"/>
  <c r="S131" i="23"/>
  <c r="T131" i="23"/>
  <c r="U131" i="23"/>
  <c r="V131" i="23"/>
  <c r="W131" i="23"/>
  <c r="X131" i="23"/>
  <c r="Y131" i="23"/>
  <c r="Z131" i="23"/>
  <c r="AA131" i="23"/>
  <c r="AB131" i="23"/>
  <c r="AC131" i="23"/>
  <c r="AD131" i="23"/>
  <c r="AE131" i="23"/>
  <c r="AF131" i="23"/>
  <c r="AG131" i="23"/>
  <c r="AH131" i="23"/>
  <c r="AI131" i="23"/>
  <c r="AJ131" i="23"/>
  <c r="AK131" i="23"/>
  <c r="AL131" i="23"/>
  <c r="AM131" i="23"/>
  <c r="AN131" i="23"/>
  <c r="AO131" i="23"/>
  <c r="AP131" i="23"/>
  <c r="AQ131" i="23"/>
  <c r="AR131" i="23"/>
  <c r="AS131" i="23"/>
  <c r="AT131" i="23"/>
  <c r="AU131" i="23"/>
  <c r="AV131" i="23"/>
  <c r="AW131" i="23"/>
  <c r="AX131" i="23"/>
  <c r="AY131" i="23"/>
  <c r="AZ131" i="23"/>
  <c r="BA131" i="23"/>
  <c r="BB131" i="23"/>
  <c r="BC131" i="23"/>
  <c r="BD131" i="23"/>
  <c r="BE131" i="23"/>
  <c r="BF131" i="23"/>
  <c r="BG131" i="23"/>
  <c r="BH131" i="23"/>
  <c r="BI131" i="23"/>
  <c r="BJ131" i="23"/>
  <c r="BK131" i="23"/>
  <c r="BL131" i="23"/>
  <c r="BM131" i="23"/>
  <c r="BN131" i="23"/>
  <c r="BO131" i="23"/>
  <c r="BP131" i="23"/>
  <c r="BQ131" i="23"/>
  <c r="BR131" i="23"/>
  <c r="BS131" i="23"/>
  <c r="BT131" i="23"/>
  <c r="B132" i="23"/>
  <c r="C132" i="23"/>
  <c r="D132" i="23"/>
  <c r="E132" i="23"/>
  <c r="F132" i="23"/>
  <c r="G132" i="23"/>
  <c r="H132" i="23"/>
  <c r="I132" i="23"/>
  <c r="J132" i="23"/>
  <c r="K132" i="23"/>
  <c r="L132" i="23"/>
  <c r="M132" i="23"/>
  <c r="N132" i="23"/>
  <c r="O132" i="23"/>
  <c r="P132" i="23"/>
  <c r="Q132" i="23"/>
  <c r="R132" i="23"/>
  <c r="S132" i="23"/>
  <c r="T132" i="23"/>
  <c r="U132" i="23"/>
  <c r="V132" i="23"/>
  <c r="W132" i="23"/>
  <c r="X132" i="23"/>
  <c r="Y132" i="23"/>
  <c r="Z132" i="23"/>
  <c r="AA132" i="23"/>
  <c r="AB132" i="23"/>
  <c r="AC132" i="23"/>
  <c r="AD132" i="23"/>
  <c r="AE132" i="23"/>
  <c r="AF132" i="23"/>
  <c r="AG132" i="23"/>
  <c r="AH132" i="23"/>
  <c r="AI132" i="23"/>
  <c r="AJ132" i="23"/>
  <c r="AK132" i="23"/>
  <c r="AL132" i="23"/>
  <c r="AM132" i="23"/>
  <c r="AN132" i="23"/>
  <c r="AO132" i="23"/>
  <c r="AP132" i="23"/>
  <c r="AQ132" i="23"/>
  <c r="AR132" i="23"/>
  <c r="AS132" i="23"/>
  <c r="AT132" i="23"/>
  <c r="AU132" i="23"/>
  <c r="AV132" i="23"/>
  <c r="AW132" i="23"/>
  <c r="AX132" i="23"/>
  <c r="AY132" i="23"/>
  <c r="AZ132" i="23"/>
  <c r="BA132" i="23"/>
  <c r="BB132" i="23"/>
  <c r="BC132" i="23"/>
  <c r="BD132" i="23"/>
  <c r="BE132" i="23"/>
  <c r="BF132" i="23"/>
  <c r="BG132" i="23"/>
  <c r="BH132" i="23"/>
  <c r="BI132" i="23"/>
  <c r="BJ132" i="23"/>
  <c r="BK132" i="23"/>
  <c r="BL132" i="23"/>
  <c r="BM132" i="23"/>
  <c r="BN132" i="23"/>
  <c r="BO132" i="23"/>
  <c r="BP132" i="23"/>
  <c r="BQ132" i="23"/>
  <c r="BR132" i="23"/>
  <c r="BS132" i="23"/>
  <c r="BT132" i="23"/>
  <c r="B133" i="23"/>
  <c r="C133" i="23"/>
  <c r="D133" i="23"/>
  <c r="E133" i="23"/>
  <c r="F133" i="23"/>
  <c r="G133" i="23"/>
  <c r="H133" i="23"/>
  <c r="I133" i="23"/>
  <c r="J133" i="23"/>
  <c r="K133" i="23"/>
  <c r="L133" i="23"/>
  <c r="M133" i="23"/>
  <c r="N133" i="23"/>
  <c r="O133" i="23"/>
  <c r="P133" i="23"/>
  <c r="Q133" i="23"/>
  <c r="R133" i="23"/>
  <c r="S133" i="23"/>
  <c r="T133" i="23"/>
  <c r="U133" i="23"/>
  <c r="V133" i="23"/>
  <c r="W133" i="23"/>
  <c r="X133" i="23"/>
  <c r="Y133" i="23"/>
  <c r="Z133" i="23"/>
  <c r="AA133" i="23"/>
  <c r="AB133" i="23"/>
  <c r="AC133" i="23"/>
  <c r="AD133" i="23"/>
  <c r="AE133" i="23"/>
  <c r="AF133" i="23"/>
  <c r="AG133" i="23"/>
  <c r="AH133" i="23"/>
  <c r="AI133" i="23"/>
  <c r="AJ133" i="23"/>
  <c r="AK133" i="23"/>
  <c r="AL133" i="23"/>
  <c r="AM133" i="23"/>
  <c r="AN133" i="23"/>
  <c r="AO133" i="23"/>
  <c r="AP133" i="23"/>
  <c r="AQ133" i="23"/>
  <c r="AR133" i="23"/>
  <c r="AS133" i="23"/>
  <c r="AT133" i="23"/>
  <c r="AU133" i="23"/>
  <c r="AV133" i="23"/>
  <c r="AW133" i="23"/>
  <c r="AX133" i="23"/>
  <c r="AY133" i="23"/>
  <c r="AZ133" i="23"/>
  <c r="BA133" i="23"/>
  <c r="BB133" i="23"/>
  <c r="BC133" i="23"/>
  <c r="BD133" i="23"/>
  <c r="BE133" i="23"/>
  <c r="BF133" i="23"/>
  <c r="BG133" i="23"/>
  <c r="BH133" i="23"/>
  <c r="BI133" i="23"/>
  <c r="BJ133" i="23"/>
  <c r="BK133" i="23"/>
  <c r="BL133" i="23"/>
  <c r="BM133" i="23"/>
  <c r="BN133" i="23"/>
  <c r="BO133" i="23"/>
  <c r="BP133" i="23"/>
  <c r="BQ133" i="23"/>
  <c r="BR133" i="23"/>
  <c r="BS133" i="23"/>
  <c r="BT133" i="23"/>
  <c r="B134" i="23"/>
  <c r="C134" i="23"/>
  <c r="D134" i="23"/>
  <c r="E134" i="23"/>
  <c r="F134" i="23"/>
  <c r="G134" i="23"/>
  <c r="H134" i="23"/>
  <c r="I134" i="23"/>
  <c r="J134" i="23"/>
  <c r="K134" i="23"/>
  <c r="L134" i="23"/>
  <c r="M134" i="23"/>
  <c r="N134" i="23"/>
  <c r="O134" i="23"/>
  <c r="P134" i="23"/>
  <c r="Q134" i="23"/>
  <c r="R134" i="23"/>
  <c r="S134" i="23"/>
  <c r="T134" i="23"/>
  <c r="U134" i="23"/>
  <c r="V134" i="23"/>
  <c r="W134" i="23"/>
  <c r="X134" i="23"/>
  <c r="Y134" i="23"/>
  <c r="Z134" i="23"/>
  <c r="AA134" i="23"/>
  <c r="AB134" i="23"/>
  <c r="AC134" i="23"/>
  <c r="AD134" i="23"/>
  <c r="AE134" i="23"/>
  <c r="AF134" i="23"/>
  <c r="AG134" i="23"/>
  <c r="AH134" i="23"/>
  <c r="AI134" i="23"/>
  <c r="AJ134" i="23"/>
  <c r="AK134" i="23"/>
  <c r="AL134" i="23"/>
  <c r="AM134" i="23"/>
  <c r="AN134" i="23"/>
  <c r="AO134" i="23"/>
  <c r="AP134" i="23"/>
  <c r="AQ134" i="23"/>
  <c r="AR134" i="23"/>
  <c r="AS134" i="23"/>
  <c r="AT134" i="23"/>
  <c r="AU134" i="23"/>
  <c r="AV134" i="23"/>
  <c r="AW134" i="23"/>
  <c r="AX134" i="23"/>
  <c r="AY134" i="23"/>
  <c r="AZ134" i="23"/>
  <c r="BA134" i="23"/>
  <c r="BB134" i="23"/>
  <c r="BC134" i="23"/>
  <c r="BD134" i="23"/>
  <c r="BE134" i="23"/>
  <c r="BF134" i="23"/>
  <c r="BG134" i="23"/>
  <c r="BH134" i="23"/>
  <c r="BI134" i="23"/>
  <c r="BJ134" i="23"/>
  <c r="BK134" i="23"/>
  <c r="BL134" i="23"/>
  <c r="BM134" i="23"/>
  <c r="BN134" i="23"/>
  <c r="BO134" i="23"/>
  <c r="BP134" i="23"/>
  <c r="BQ134" i="23"/>
  <c r="BR134" i="23"/>
  <c r="BS134" i="23"/>
  <c r="BT134" i="23"/>
  <c r="B135" i="23"/>
  <c r="C135" i="23"/>
  <c r="D135" i="23"/>
  <c r="E135" i="23"/>
  <c r="F135" i="23"/>
  <c r="G135" i="23"/>
  <c r="H135" i="23"/>
  <c r="I135" i="23"/>
  <c r="J135" i="23"/>
  <c r="K135" i="23"/>
  <c r="L135" i="23"/>
  <c r="M135" i="23"/>
  <c r="N135" i="23"/>
  <c r="O135" i="23"/>
  <c r="P135" i="23"/>
  <c r="Q135" i="23"/>
  <c r="R135" i="23"/>
  <c r="S135" i="23"/>
  <c r="T135" i="23"/>
  <c r="U135" i="23"/>
  <c r="V135" i="23"/>
  <c r="W135" i="23"/>
  <c r="X135" i="23"/>
  <c r="Y135" i="23"/>
  <c r="Z135" i="23"/>
  <c r="AA135" i="23"/>
  <c r="AB135" i="23"/>
  <c r="AC135" i="23"/>
  <c r="AD135" i="23"/>
  <c r="AE135" i="23"/>
  <c r="AF135" i="23"/>
  <c r="AG135" i="23"/>
  <c r="AH135" i="23"/>
  <c r="AI135" i="23"/>
  <c r="AJ135" i="23"/>
  <c r="AK135" i="23"/>
  <c r="AL135" i="23"/>
  <c r="AM135" i="23"/>
  <c r="AN135" i="23"/>
  <c r="AO135" i="23"/>
  <c r="AP135" i="23"/>
  <c r="AQ135" i="23"/>
  <c r="AR135" i="23"/>
  <c r="AS135" i="23"/>
  <c r="AT135" i="23"/>
  <c r="AU135" i="23"/>
  <c r="AV135" i="23"/>
  <c r="AW135" i="23"/>
  <c r="AX135" i="23"/>
  <c r="AY135" i="23"/>
  <c r="AZ135" i="23"/>
  <c r="BA135" i="23"/>
  <c r="BB135" i="23"/>
  <c r="BC135" i="23"/>
  <c r="BD135" i="23"/>
  <c r="BE135" i="23"/>
  <c r="BF135" i="23"/>
  <c r="BG135" i="23"/>
  <c r="BH135" i="23"/>
  <c r="BI135" i="23"/>
  <c r="BJ135" i="23"/>
  <c r="BK135" i="23"/>
  <c r="BL135" i="23"/>
  <c r="BM135" i="23"/>
  <c r="BN135" i="23"/>
  <c r="BO135" i="23"/>
  <c r="BP135" i="23"/>
  <c r="BQ135" i="23"/>
  <c r="BR135" i="23"/>
  <c r="BS135" i="23"/>
  <c r="BT135" i="23"/>
  <c r="B136" i="23"/>
  <c r="C136" i="23"/>
  <c r="D136" i="23"/>
  <c r="E136" i="23"/>
  <c r="F136" i="23"/>
  <c r="G136" i="23"/>
  <c r="H136" i="23"/>
  <c r="I136" i="23"/>
  <c r="J136" i="23"/>
  <c r="K136" i="23"/>
  <c r="L136" i="23"/>
  <c r="M136" i="23"/>
  <c r="N136" i="23"/>
  <c r="O136" i="23"/>
  <c r="P136" i="23"/>
  <c r="Q136" i="23"/>
  <c r="R136" i="23"/>
  <c r="S136" i="23"/>
  <c r="T136" i="23"/>
  <c r="U136" i="23"/>
  <c r="V136" i="23"/>
  <c r="W136" i="23"/>
  <c r="X136" i="23"/>
  <c r="Y136" i="23"/>
  <c r="Z136" i="23"/>
  <c r="AA136" i="23"/>
  <c r="AB136" i="23"/>
  <c r="AC136" i="23"/>
  <c r="AD136" i="23"/>
  <c r="AE136" i="23"/>
  <c r="AF136" i="23"/>
  <c r="AG136" i="23"/>
  <c r="AH136" i="23"/>
  <c r="AI136" i="23"/>
  <c r="AJ136" i="23"/>
  <c r="AK136" i="23"/>
  <c r="AL136" i="23"/>
  <c r="AM136" i="23"/>
  <c r="AN136" i="23"/>
  <c r="AO136" i="23"/>
  <c r="AP136" i="23"/>
  <c r="AQ136" i="23"/>
  <c r="AR136" i="23"/>
  <c r="AS136" i="23"/>
  <c r="AT136" i="23"/>
  <c r="AU136" i="23"/>
  <c r="AV136" i="23"/>
  <c r="AW136" i="23"/>
  <c r="AX136" i="23"/>
  <c r="AY136" i="23"/>
  <c r="AZ136" i="23"/>
  <c r="BA136" i="23"/>
  <c r="BB136" i="23"/>
  <c r="BC136" i="23"/>
  <c r="BD136" i="23"/>
  <c r="BE136" i="23"/>
  <c r="BF136" i="23"/>
  <c r="BG136" i="23"/>
  <c r="BH136" i="23"/>
  <c r="BI136" i="23"/>
  <c r="BJ136" i="23"/>
  <c r="BK136" i="23"/>
  <c r="BL136" i="23"/>
  <c r="BM136" i="23"/>
  <c r="BN136" i="23"/>
  <c r="BO136" i="23"/>
  <c r="BP136" i="23"/>
  <c r="BQ136" i="23"/>
  <c r="BR136" i="23"/>
  <c r="BS136" i="23"/>
  <c r="BT136" i="23"/>
  <c r="B137" i="23"/>
  <c r="C137" i="23"/>
  <c r="D137" i="23"/>
  <c r="E137" i="23"/>
  <c r="F137" i="23"/>
  <c r="G137" i="23"/>
  <c r="H137" i="23"/>
  <c r="I137" i="23"/>
  <c r="J137" i="23"/>
  <c r="K137" i="23"/>
  <c r="L137" i="23"/>
  <c r="M137" i="23"/>
  <c r="N137" i="23"/>
  <c r="O137" i="23"/>
  <c r="P137" i="23"/>
  <c r="Q137" i="23"/>
  <c r="R137" i="23"/>
  <c r="S137" i="23"/>
  <c r="T137" i="23"/>
  <c r="U137" i="23"/>
  <c r="V137" i="23"/>
  <c r="W137" i="23"/>
  <c r="X137" i="23"/>
  <c r="Y137" i="23"/>
  <c r="Z137" i="23"/>
  <c r="AA137" i="23"/>
  <c r="AB137" i="23"/>
  <c r="AC137" i="23"/>
  <c r="AD137" i="23"/>
  <c r="AE137" i="23"/>
  <c r="AF137" i="23"/>
  <c r="AG137" i="23"/>
  <c r="AH137" i="23"/>
  <c r="AI137" i="23"/>
  <c r="AJ137" i="23"/>
  <c r="AK137" i="23"/>
  <c r="AL137" i="23"/>
  <c r="AM137" i="23"/>
  <c r="AN137" i="23"/>
  <c r="AO137" i="23"/>
  <c r="AP137" i="23"/>
  <c r="AQ137" i="23"/>
  <c r="AR137" i="23"/>
  <c r="AS137" i="23"/>
  <c r="AT137" i="23"/>
  <c r="AU137" i="23"/>
  <c r="AV137" i="23"/>
  <c r="AW137" i="23"/>
  <c r="AX137" i="23"/>
  <c r="AY137" i="23"/>
  <c r="AZ137" i="23"/>
  <c r="BA137" i="23"/>
  <c r="BB137" i="23"/>
  <c r="BC137" i="23"/>
  <c r="BD137" i="23"/>
  <c r="BE137" i="23"/>
  <c r="BF137" i="23"/>
  <c r="BG137" i="23"/>
  <c r="BH137" i="23"/>
  <c r="BI137" i="23"/>
  <c r="BJ137" i="23"/>
  <c r="BK137" i="23"/>
  <c r="BL137" i="23"/>
  <c r="BM137" i="23"/>
  <c r="BN137" i="23"/>
  <c r="BO137" i="23"/>
  <c r="BP137" i="23"/>
  <c r="BQ137" i="23"/>
  <c r="BR137" i="23"/>
  <c r="BS137" i="23"/>
  <c r="BT137" i="23"/>
  <c r="B138" i="23"/>
  <c r="C138" i="23"/>
  <c r="D138" i="23"/>
  <c r="E138" i="23"/>
  <c r="F138" i="23"/>
  <c r="G138" i="23"/>
  <c r="H138" i="23"/>
  <c r="I138" i="23"/>
  <c r="J138" i="23"/>
  <c r="K138" i="23"/>
  <c r="L138" i="23"/>
  <c r="M138" i="23"/>
  <c r="N138" i="23"/>
  <c r="O138" i="23"/>
  <c r="P138" i="23"/>
  <c r="Q138" i="23"/>
  <c r="R138" i="23"/>
  <c r="S138" i="23"/>
  <c r="T138" i="23"/>
  <c r="U138" i="23"/>
  <c r="V138" i="23"/>
  <c r="W138" i="23"/>
  <c r="X138" i="23"/>
  <c r="Y138" i="23"/>
  <c r="Z138" i="23"/>
  <c r="AA138" i="23"/>
  <c r="AB138" i="23"/>
  <c r="AC138" i="23"/>
  <c r="AD138" i="23"/>
  <c r="AE138" i="23"/>
  <c r="AF138" i="23"/>
  <c r="AG138" i="23"/>
  <c r="AH138" i="23"/>
  <c r="AI138" i="23"/>
  <c r="AJ138" i="23"/>
  <c r="AK138" i="23"/>
  <c r="AL138" i="23"/>
  <c r="AM138" i="23"/>
  <c r="AN138" i="23"/>
  <c r="AO138" i="23"/>
  <c r="AP138" i="23"/>
  <c r="AQ138" i="23"/>
  <c r="AR138" i="23"/>
  <c r="AS138" i="23"/>
  <c r="AT138" i="23"/>
  <c r="AU138" i="23"/>
  <c r="AV138" i="23"/>
  <c r="AW138" i="23"/>
  <c r="AX138" i="23"/>
  <c r="AY138" i="23"/>
  <c r="AZ138" i="23"/>
  <c r="BA138" i="23"/>
  <c r="BB138" i="23"/>
  <c r="BC138" i="23"/>
  <c r="BD138" i="23"/>
  <c r="BE138" i="23"/>
  <c r="BF138" i="23"/>
  <c r="BG138" i="23"/>
  <c r="BH138" i="23"/>
  <c r="BI138" i="23"/>
  <c r="BJ138" i="23"/>
  <c r="BK138" i="23"/>
  <c r="BL138" i="23"/>
  <c r="BM138" i="23"/>
  <c r="BN138" i="23"/>
  <c r="BO138" i="23"/>
  <c r="BP138" i="23"/>
  <c r="BQ138" i="23"/>
  <c r="BR138" i="23"/>
  <c r="BS138" i="23"/>
  <c r="BT138" i="23"/>
  <c r="B139" i="23"/>
  <c r="C139" i="23"/>
  <c r="D139" i="23"/>
  <c r="E139" i="23"/>
  <c r="F139" i="23"/>
  <c r="G139" i="23"/>
  <c r="H139" i="23"/>
  <c r="I139" i="23"/>
  <c r="J139" i="23"/>
  <c r="K139" i="23"/>
  <c r="L139" i="23"/>
  <c r="M139" i="23"/>
  <c r="N139" i="23"/>
  <c r="O139" i="23"/>
  <c r="P139" i="23"/>
  <c r="Q139" i="23"/>
  <c r="R139" i="23"/>
  <c r="S139" i="23"/>
  <c r="T139" i="23"/>
  <c r="U139" i="23"/>
  <c r="V139" i="23"/>
  <c r="W139" i="23"/>
  <c r="X139" i="23"/>
  <c r="Y139" i="23"/>
  <c r="Z139" i="23"/>
  <c r="AA139" i="23"/>
  <c r="AB139" i="23"/>
  <c r="AC139" i="23"/>
  <c r="AD139" i="23"/>
  <c r="AE139" i="23"/>
  <c r="AF139" i="23"/>
  <c r="AG139" i="23"/>
  <c r="AH139" i="23"/>
  <c r="AI139" i="23"/>
  <c r="AJ139" i="23"/>
  <c r="AK139" i="23"/>
  <c r="AL139" i="23"/>
  <c r="AM139" i="23"/>
  <c r="AN139" i="23"/>
  <c r="AO139" i="23"/>
  <c r="AP139" i="23"/>
  <c r="AQ139" i="23"/>
  <c r="AR139" i="23"/>
  <c r="AS139" i="23"/>
  <c r="AT139" i="23"/>
  <c r="AU139" i="23"/>
  <c r="AV139" i="23"/>
  <c r="AW139" i="23"/>
  <c r="AX139" i="23"/>
  <c r="AY139" i="23"/>
  <c r="AZ139" i="23"/>
  <c r="BA139" i="23"/>
  <c r="BB139" i="23"/>
  <c r="BC139" i="23"/>
  <c r="BD139" i="23"/>
  <c r="BE139" i="23"/>
  <c r="BF139" i="23"/>
  <c r="BG139" i="23"/>
  <c r="BH139" i="23"/>
  <c r="BI139" i="23"/>
  <c r="BJ139" i="23"/>
  <c r="BK139" i="23"/>
  <c r="BL139" i="23"/>
  <c r="BM139" i="23"/>
  <c r="BN139" i="23"/>
  <c r="BO139" i="23"/>
  <c r="BP139" i="23"/>
  <c r="BQ139" i="23"/>
  <c r="BR139" i="23"/>
  <c r="BS139" i="23"/>
  <c r="BT139" i="23"/>
  <c r="B140" i="23"/>
  <c r="C140" i="23"/>
  <c r="D140" i="23"/>
  <c r="E140" i="23"/>
  <c r="F140" i="23"/>
  <c r="G140" i="23"/>
  <c r="H140" i="23"/>
  <c r="I140" i="23"/>
  <c r="J140" i="23"/>
  <c r="K140" i="23"/>
  <c r="L140" i="23"/>
  <c r="M140" i="23"/>
  <c r="N140" i="23"/>
  <c r="O140" i="23"/>
  <c r="P140" i="23"/>
  <c r="Q140" i="23"/>
  <c r="R140" i="23"/>
  <c r="S140" i="23"/>
  <c r="T140" i="23"/>
  <c r="U140" i="23"/>
  <c r="V140" i="23"/>
  <c r="W140" i="23"/>
  <c r="X140" i="23"/>
  <c r="Y140" i="23"/>
  <c r="Z140" i="23"/>
  <c r="AA140" i="23"/>
  <c r="AB140" i="23"/>
  <c r="AC140" i="23"/>
  <c r="AD140" i="23"/>
  <c r="AE140" i="23"/>
  <c r="AF140" i="23"/>
  <c r="AG140" i="23"/>
  <c r="AH140" i="23"/>
  <c r="AI140" i="23"/>
  <c r="AJ140" i="23"/>
  <c r="AK140" i="23"/>
  <c r="AL140" i="23"/>
  <c r="AM140" i="23"/>
  <c r="AN140" i="23"/>
  <c r="AO140" i="23"/>
  <c r="AP140" i="23"/>
  <c r="AQ140" i="23"/>
  <c r="AR140" i="23"/>
  <c r="AS140" i="23"/>
  <c r="AT140" i="23"/>
  <c r="AU140" i="23"/>
  <c r="AV140" i="23"/>
  <c r="AW140" i="23"/>
  <c r="AX140" i="23"/>
  <c r="AY140" i="23"/>
  <c r="AZ140" i="23"/>
  <c r="BA140" i="23"/>
  <c r="BB140" i="23"/>
  <c r="BC140" i="23"/>
  <c r="BD140" i="23"/>
  <c r="BE140" i="23"/>
  <c r="BF140" i="23"/>
  <c r="BG140" i="23"/>
  <c r="BH140" i="23"/>
  <c r="BI140" i="23"/>
  <c r="BJ140" i="23"/>
  <c r="BK140" i="23"/>
  <c r="BL140" i="23"/>
  <c r="BM140" i="23"/>
  <c r="BN140" i="23"/>
  <c r="BO140" i="23"/>
  <c r="BP140" i="23"/>
  <c r="BQ140" i="23"/>
  <c r="BR140" i="23"/>
  <c r="BS140" i="23"/>
  <c r="BT140" i="23"/>
  <c r="B141" i="23"/>
  <c r="C141" i="23"/>
  <c r="D141" i="23"/>
  <c r="E141" i="23"/>
  <c r="F141" i="23"/>
  <c r="G141" i="23"/>
  <c r="H141" i="23"/>
  <c r="I141" i="23"/>
  <c r="J141" i="23"/>
  <c r="K141" i="23"/>
  <c r="L141" i="23"/>
  <c r="M141" i="23"/>
  <c r="N141" i="23"/>
  <c r="O141" i="23"/>
  <c r="P141" i="23"/>
  <c r="Q141" i="23"/>
  <c r="R141" i="23"/>
  <c r="S141" i="23"/>
  <c r="T141" i="23"/>
  <c r="U141" i="23"/>
  <c r="V141" i="23"/>
  <c r="W141" i="23"/>
  <c r="X141" i="23"/>
  <c r="Y141" i="23"/>
  <c r="Z141" i="23"/>
  <c r="AA141" i="23"/>
  <c r="AB141" i="23"/>
  <c r="AC141" i="23"/>
  <c r="AD141" i="23"/>
  <c r="AE141" i="23"/>
  <c r="AF141" i="23"/>
  <c r="AG141" i="23"/>
  <c r="AH141" i="23"/>
  <c r="AI141" i="23"/>
  <c r="AJ141" i="23"/>
  <c r="AK141" i="23"/>
  <c r="AL141" i="23"/>
  <c r="AM141" i="23"/>
  <c r="AN141" i="23"/>
  <c r="AO141" i="23"/>
  <c r="AP141" i="23"/>
  <c r="AQ141" i="23"/>
  <c r="AR141" i="23"/>
  <c r="AS141" i="23"/>
  <c r="AT141" i="23"/>
  <c r="AU141" i="23"/>
  <c r="AV141" i="23"/>
  <c r="AW141" i="23"/>
  <c r="AX141" i="23"/>
  <c r="AY141" i="23"/>
  <c r="AZ141" i="23"/>
  <c r="BA141" i="23"/>
  <c r="BB141" i="23"/>
  <c r="BC141" i="23"/>
  <c r="BD141" i="23"/>
  <c r="BE141" i="23"/>
  <c r="BF141" i="23"/>
  <c r="BG141" i="23"/>
  <c r="BH141" i="23"/>
  <c r="BI141" i="23"/>
  <c r="BJ141" i="23"/>
  <c r="BK141" i="23"/>
  <c r="BL141" i="23"/>
  <c r="BM141" i="23"/>
  <c r="BN141" i="23"/>
  <c r="BO141" i="23"/>
  <c r="BP141" i="23"/>
  <c r="BQ141" i="23"/>
  <c r="BR141" i="23"/>
  <c r="BS141" i="23"/>
  <c r="BT141" i="23"/>
  <c r="B142" i="23"/>
  <c r="C142" i="23"/>
  <c r="D142" i="23"/>
  <c r="E142" i="23"/>
  <c r="F142" i="23"/>
  <c r="G142" i="23"/>
  <c r="H142" i="23"/>
  <c r="I142" i="23"/>
  <c r="J142" i="23"/>
  <c r="K142" i="23"/>
  <c r="L142" i="23"/>
  <c r="M142" i="23"/>
  <c r="N142" i="23"/>
  <c r="O142" i="23"/>
  <c r="P142" i="23"/>
  <c r="Q142" i="23"/>
  <c r="R142" i="23"/>
  <c r="S142" i="23"/>
  <c r="T142" i="23"/>
  <c r="U142" i="23"/>
  <c r="V142" i="23"/>
  <c r="W142" i="23"/>
  <c r="X142" i="23"/>
  <c r="Y142" i="23"/>
  <c r="Z142" i="23"/>
  <c r="AA142" i="23"/>
  <c r="AB142" i="23"/>
  <c r="AC142" i="23"/>
  <c r="AD142" i="23"/>
  <c r="AE142" i="23"/>
  <c r="AF142" i="23"/>
  <c r="AG142" i="23"/>
  <c r="AH142" i="23"/>
  <c r="AI142" i="23"/>
  <c r="AJ142" i="23"/>
  <c r="AK142" i="23"/>
  <c r="AL142" i="23"/>
  <c r="AM142" i="23"/>
  <c r="AN142" i="23"/>
  <c r="AO142" i="23"/>
  <c r="AP142" i="23"/>
  <c r="AQ142" i="23"/>
  <c r="AR142" i="23"/>
  <c r="AS142" i="23"/>
  <c r="AT142" i="23"/>
  <c r="AU142" i="23"/>
  <c r="AV142" i="23"/>
  <c r="AW142" i="23"/>
  <c r="AX142" i="23"/>
  <c r="AY142" i="23"/>
  <c r="AZ142" i="23"/>
  <c r="BA142" i="23"/>
  <c r="BB142" i="23"/>
  <c r="BC142" i="23"/>
  <c r="BD142" i="23"/>
  <c r="BE142" i="23"/>
  <c r="BF142" i="23"/>
  <c r="BG142" i="23"/>
  <c r="BH142" i="23"/>
  <c r="BI142" i="23"/>
  <c r="BJ142" i="23"/>
  <c r="BK142" i="23"/>
  <c r="BL142" i="23"/>
  <c r="BM142" i="23"/>
  <c r="BN142" i="23"/>
  <c r="BO142" i="23"/>
  <c r="BP142" i="23"/>
  <c r="BQ142" i="23"/>
  <c r="BR142" i="23"/>
  <c r="BS142" i="23"/>
  <c r="BT142" i="23"/>
  <c r="B143" i="23"/>
  <c r="C143" i="23"/>
  <c r="D143" i="23"/>
  <c r="E143" i="23"/>
  <c r="F143" i="23"/>
  <c r="G143" i="23"/>
  <c r="H143" i="23"/>
  <c r="I143" i="23"/>
  <c r="J143" i="23"/>
  <c r="K143" i="23"/>
  <c r="L143" i="23"/>
  <c r="M143" i="23"/>
  <c r="N143" i="23"/>
  <c r="O143" i="23"/>
  <c r="P143" i="23"/>
  <c r="Q143" i="23"/>
  <c r="R143" i="23"/>
  <c r="S143" i="23"/>
  <c r="T143" i="23"/>
  <c r="U143" i="23"/>
  <c r="V143" i="23"/>
  <c r="W143" i="23"/>
  <c r="X143" i="23"/>
  <c r="Y143" i="23"/>
  <c r="Z143" i="23"/>
  <c r="AA143" i="23"/>
  <c r="AB143" i="23"/>
  <c r="AC143" i="23"/>
  <c r="AD143" i="23"/>
  <c r="AE143" i="23"/>
  <c r="AF143" i="23"/>
  <c r="AG143" i="23"/>
  <c r="AH143" i="23"/>
  <c r="AI143" i="23"/>
  <c r="AJ143" i="23"/>
  <c r="AK143" i="23"/>
  <c r="AL143" i="23"/>
  <c r="AM143" i="23"/>
  <c r="AN143" i="23"/>
  <c r="AO143" i="23"/>
  <c r="AP143" i="23"/>
  <c r="AQ143" i="23"/>
  <c r="AR143" i="23"/>
  <c r="AS143" i="23"/>
  <c r="AT143" i="23"/>
  <c r="AU143" i="23"/>
  <c r="AV143" i="23"/>
  <c r="AW143" i="23"/>
  <c r="AX143" i="23"/>
  <c r="AY143" i="23"/>
  <c r="AZ143" i="23"/>
  <c r="BA143" i="23"/>
  <c r="BB143" i="23"/>
  <c r="BC143" i="23"/>
  <c r="BD143" i="23"/>
  <c r="BE143" i="23"/>
  <c r="BF143" i="23"/>
  <c r="BG143" i="23"/>
  <c r="BH143" i="23"/>
  <c r="BI143" i="23"/>
  <c r="BJ143" i="23"/>
  <c r="BK143" i="23"/>
  <c r="BL143" i="23"/>
  <c r="BM143" i="23"/>
  <c r="BN143" i="23"/>
  <c r="BO143" i="23"/>
  <c r="BP143" i="23"/>
  <c r="BQ143" i="23"/>
  <c r="BR143" i="23"/>
  <c r="BS143" i="23"/>
  <c r="BT143" i="23"/>
  <c r="B144" i="23"/>
  <c r="C144" i="23"/>
  <c r="D144" i="23"/>
  <c r="E144" i="23"/>
  <c r="F144" i="23"/>
  <c r="G144" i="23"/>
  <c r="H144" i="23"/>
  <c r="I144" i="23"/>
  <c r="J144" i="23"/>
  <c r="K144" i="23"/>
  <c r="L144" i="23"/>
  <c r="M144" i="23"/>
  <c r="N144" i="23"/>
  <c r="O144" i="23"/>
  <c r="P144" i="23"/>
  <c r="Q144" i="23"/>
  <c r="R144" i="23"/>
  <c r="S144" i="23"/>
  <c r="T144" i="23"/>
  <c r="U144" i="23"/>
  <c r="V144" i="23"/>
  <c r="W144" i="23"/>
  <c r="X144" i="23"/>
  <c r="Y144" i="23"/>
  <c r="Z144" i="23"/>
  <c r="AA144" i="23"/>
  <c r="AB144" i="23"/>
  <c r="AC144" i="23"/>
  <c r="AD144" i="23"/>
  <c r="AE144" i="23"/>
  <c r="AF144" i="23"/>
  <c r="AG144" i="23"/>
  <c r="AH144" i="23"/>
  <c r="AI144" i="23"/>
  <c r="AJ144" i="23"/>
  <c r="AK144" i="23"/>
  <c r="AL144" i="23"/>
  <c r="AM144" i="23"/>
  <c r="AN144" i="23"/>
  <c r="AO144" i="23"/>
  <c r="AP144" i="23"/>
  <c r="AQ144" i="23"/>
  <c r="AR144" i="23"/>
  <c r="AS144" i="23"/>
  <c r="AT144" i="23"/>
  <c r="AU144" i="23"/>
  <c r="AV144" i="23"/>
  <c r="AW144" i="23"/>
  <c r="AX144" i="23"/>
  <c r="AY144" i="23"/>
  <c r="AZ144" i="23"/>
  <c r="BA144" i="23"/>
  <c r="BB144" i="23"/>
  <c r="BC144" i="23"/>
  <c r="BD144" i="23"/>
  <c r="BE144" i="23"/>
  <c r="BF144" i="23"/>
  <c r="BG144" i="23"/>
  <c r="BH144" i="23"/>
  <c r="BI144" i="23"/>
  <c r="BJ144" i="23"/>
  <c r="BK144" i="23"/>
  <c r="BL144" i="23"/>
  <c r="BM144" i="23"/>
  <c r="BN144" i="23"/>
  <c r="BO144" i="23"/>
  <c r="BP144" i="23"/>
  <c r="BQ144" i="23"/>
  <c r="BR144" i="23"/>
  <c r="BS144" i="23"/>
  <c r="BT144" i="23"/>
  <c r="B145" i="23"/>
  <c r="C145" i="23"/>
  <c r="D145" i="23"/>
  <c r="E145" i="23"/>
  <c r="F145" i="23"/>
  <c r="G145" i="23"/>
  <c r="H145" i="23"/>
  <c r="I145" i="23"/>
  <c r="J145" i="23"/>
  <c r="K145" i="23"/>
  <c r="L145" i="23"/>
  <c r="M145" i="23"/>
  <c r="N145" i="23"/>
  <c r="O145" i="23"/>
  <c r="P145" i="23"/>
  <c r="Q145" i="23"/>
  <c r="R145" i="23"/>
  <c r="S145" i="23"/>
  <c r="T145" i="23"/>
  <c r="U145" i="23"/>
  <c r="V145" i="23"/>
  <c r="W145" i="23"/>
  <c r="X145" i="23"/>
  <c r="Y145" i="23"/>
  <c r="Z145" i="23"/>
  <c r="AA145" i="23"/>
  <c r="AB145" i="23"/>
  <c r="AC145" i="23"/>
  <c r="AD145" i="23"/>
  <c r="AE145" i="23"/>
  <c r="AF145" i="23"/>
  <c r="AG145" i="23"/>
  <c r="AH145" i="23"/>
  <c r="AI145" i="23"/>
  <c r="AJ145" i="23"/>
  <c r="AK145" i="23"/>
  <c r="AL145" i="23"/>
  <c r="AM145" i="23"/>
  <c r="AN145" i="23"/>
  <c r="AO145" i="23"/>
  <c r="AP145" i="23"/>
  <c r="AQ145" i="23"/>
  <c r="AR145" i="23"/>
  <c r="AS145" i="23"/>
  <c r="AT145" i="23"/>
  <c r="AU145" i="23"/>
  <c r="AV145" i="23"/>
  <c r="AW145" i="23"/>
  <c r="AX145" i="23"/>
  <c r="AY145" i="23"/>
  <c r="AZ145" i="23"/>
  <c r="BA145" i="23"/>
  <c r="BB145" i="23"/>
  <c r="BC145" i="23"/>
  <c r="BD145" i="23"/>
  <c r="BE145" i="23"/>
  <c r="BF145" i="23"/>
  <c r="BG145" i="23"/>
  <c r="BH145" i="23"/>
  <c r="BI145" i="23"/>
  <c r="BJ145" i="23"/>
  <c r="BK145" i="23"/>
  <c r="BL145" i="23"/>
  <c r="BM145" i="23"/>
  <c r="BN145" i="23"/>
  <c r="BO145" i="23"/>
  <c r="BP145" i="23"/>
  <c r="BQ145" i="23"/>
  <c r="BR145" i="23"/>
  <c r="BS145" i="23"/>
  <c r="BT145" i="23"/>
  <c r="B146" i="23"/>
  <c r="C146" i="23"/>
  <c r="D146" i="23"/>
  <c r="E146" i="23"/>
  <c r="F146" i="23"/>
  <c r="G146" i="23"/>
  <c r="H146" i="23"/>
  <c r="I146" i="23"/>
  <c r="J146" i="23"/>
  <c r="K146" i="23"/>
  <c r="L146" i="23"/>
  <c r="M146" i="23"/>
  <c r="N146" i="23"/>
  <c r="O146" i="23"/>
  <c r="P146" i="23"/>
  <c r="Q146" i="23"/>
  <c r="R146" i="23"/>
  <c r="S146" i="23"/>
  <c r="T146" i="23"/>
  <c r="U146" i="23"/>
  <c r="V146" i="23"/>
  <c r="W146" i="23"/>
  <c r="X146" i="23"/>
  <c r="Y146" i="23"/>
  <c r="Z146" i="23"/>
  <c r="AA146" i="23"/>
  <c r="AB146" i="23"/>
  <c r="AC146" i="23"/>
  <c r="AD146" i="23"/>
  <c r="AE146" i="23"/>
  <c r="AF146" i="23"/>
  <c r="AG146" i="23"/>
  <c r="AH146" i="23"/>
  <c r="AI146" i="23"/>
  <c r="AJ146" i="23"/>
  <c r="AK146" i="23"/>
  <c r="AL146" i="23"/>
  <c r="AM146" i="23"/>
  <c r="AN146" i="23"/>
  <c r="AO146" i="23"/>
  <c r="AP146" i="23"/>
  <c r="AQ146" i="23"/>
  <c r="AR146" i="23"/>
  <c r="AS146" i="23"/>
  <c r="AT146" i="23"/>
  <c r="AU146" i="23"/>
  <c r="AV146" i="23"/>
  <c r="AW146" i="23"/>
  <c r="AX146" i="23"/>
  <c r="AY146" i="23"/>
  <c r="AZ146" i="23"/>
  <c r="BA146" i="23"/>
  <c r="BB146" i="23"/>
  <c r="BC146" i="23"/>
  <c r="BD146" i="23"/>
  <c r="BE146" i="23"/>
  <c r="BF146" i="23"/>
  <c r="BG146" i="23"/>
  <c r="BH146" i="23"/>
  <c r="BI146" i="23"/>
  <c r="BJ146" i="23"/>
  <c r="BK146" i="23"/>
  <c r="BL146" i="23"/>
  <c r="BM146" i="23"/>
  <c r="BN146" i="23"/>
  <c r="BO146" i="23"/>
  <c r="BP146" i="23"/>
  <c r="BQ146" i="23"/>
  <c r="BR146" i="23"/>
  <c r="BS146" i="23"/>
  <c r="BT146" i="23"/>
  <c r="B147" i="23"/>
  <c r="C147" i="23"/>
  <c r="D147" i="23"/>
  <c r="E147" i="23"/>
  <c r="F147" i="23"/>
  <c r="G147" i="23"/>
  <c r="H147" i="23"/>
  <c r="I147" i="23"/>
  <c r="J147" i="23"/>
  <c r="K147" i="23"/>
  <c r="L147" i="23"/>
  <c r="M147" i="23"/>
  <c r="N147" i="23"/>
  <c r="O147" i="23"/>
  <c r="P147" i="23"/>
  <c r="Q147" i="23"/>
  <c r="R147" i="23"/>
  <c r="S147" i="23"/>
  <c r="T147" i="23"/>
  <c r="U147" i="23"/>
  <c r="V147" i="23"/>
  <c r="W147" i="23"/>
  <c r="X147" i="23"/>
  <c r="Y147" i="23"/>
  <c r="Z147" i="23"/>
  <c r="AA147" i="23"/>
  <c r="AB147" i="23"/>
  <c r="AC147" i="23"/>
  <c r="AD147" i="23"/>
  <c r="AE147" i="23"/>
  <c r="AF147" i="23"/>
  <c r="AG147" i="23"/>
  <c r="AH147" i="23"/>
  <c r="AI147" i="23"/>
  <c r="AJ147" i="23"/>
  <c r="AK147" i="23"/>
  <c r="AL147" i="23"/>
  <c r="AM147" i="23"/>
  <c r="AN147" i="23"/>
  <c r="AO147" i="23"/>
  <c r="AP147" i="23"/>
  <c r="AQ147" i="23"/>
  <c r="AR147" i="23"/>
  <c r="AS147" i="23"/>
  <c r="AT147" i="23"/>
  <c r="AU147" i="23"/>
  <c r="AV147" i="23"/>
  <c r="AW147" i="23"/>
  <c r="AX147" i="23"/>
  <c r="AY147" i="23"/>
  <c r="AZ147" i="23"/>
  <c r="BA147" i="23"/>
  <c r="BB147" i="23"/>
  <c r="BC147" i="23"/>
  <c r="BD147" i="23"/>
  <c r="BE147" i="23"/>
  <c r="BF147" i="23"/>
  <c r="BG147" i="23"/>
  <c r="BH147" i="23"/>
  <c r="BI147" i="23"/>
  <c r="BJ147" i="23"/>
  <c r="BK147" i="23"/>
  <c r="BL147" i="23"/>
  <c r="BM147" i="23"/>
  <c r="BN147" i="23"/>
  <c r="BO147" i="23"/>
  <c r="BP147" i="23"/>
  <c r="BQ147" i="23"/>
  <c r="BR147" i="23"/>
  <c r="BS147" i="23"/>
  <c r="BT147" i="23"/>
  <c r="B148" i="23"/>
  <c r="C148" i="23"/>
  <c r="D148" i="23"/>
  <c r="E148" i="23"/>
  <c r="F148" i="23"/>
  <c r="G148" i="23"/>
  <c r="H148" i="23"/>
  <c r="I148" i="23"/>
  <c r="J148" i="23"/>
  <c r="K148" i="23"/>
  <c r="L148" i="23"/>
  <c r="M148" i="23"/>
  <c r="N148" i="23"/>
  <c r="O148" i="23"/>
  <c r="P148" i="23"/>
  <c r="Q148" i="23"/>
  <c r="R148" i="23"/>
  <c r="S148" i="23"/>
  <c r="T148" i="23"/>
  <c r="U148" i="23"/>
  <c r="V148" i="23"/>
  <c r="W148" i="23"/>
  <c r="X148" i="23"/>
  <c r="Y148" i="23"/>
  <c r="Z148" i="23"/>
  <c r="AA148" i="23"/>
  <c r="AB148" i="23"/>
  <c r="AC148" i="23"/>
  <c r="AD148" i="23"/>
  <c r="AE148" i="23"/>
  <c r="AF148" i="23"/>
  <c r="AG148" i="23"/>
  <c r="AH148" i="23"/>
  <c r="AI148" i="23"/>
  <c r="AJ148" i="23"/>
  <c r="AK148" i="23"/>
  <c r="AL148" i="23"/>
  <c r="AM148" i="23"/>
  <c r="AN148" i="23"/>
  <c r="AO148" i="23"/>
  <c r="AP148" i="23"/>
  <c r="AQ148" i="23"/>
  <c r="AR148" i="23"/>
  <c r="AS148" i="23"/>
  <c r="AT148" i="23"/>
  <c r="AU148" i="23"/>
  <c r="AV148" i="23"/>
  <c r="AW148" i="23"/>
  <c r="AX148" i="23"/>
  <c r="AY148" i="23"/>
  <c r="AZ148" i="23"/>
  <c r="BA148" i="23"/>
  <c r="BB148" i="23"/>
  <c r="BC148" i="23"/>
  <c r="BD148" i="23"/>
  <c r="BE148" i="23"/>
  <c r="BF148" i="23"/>
  <c r="BG148" i="23"/>
  <c r="BH148" i="23"/>
  <c r="BI148" i="23"/>
  <c r="BJ148" i="23"/>
  <c r="BK148" i="23"/>
  <c r="BL148" i="23"/>
  <c r="BM148" i="23"/>
  <c r="BN148" i="23"/>
  <c r="BO148" i="23"/>
  <c r="BP148" i="23"/>
  <c r="BQ148" i="23"/>
  <c r="BR148" i="23"/>
  <c r="BS148" i="23"/>
  <c r="BT148" i="23"/>
  <c r="B149" i="23"/>
  <c r="C149" i="23"/>
  <c r="D149" i="23"/>
  <c r="E149" i="23"/>
  <c r="F149" i="23"/>
  <c r="G149" i="23"/>
  <c r="H149" i="23"/>
  <c r="I149" i="23"/>
  <c r="J149" i="23"/>
  <c r="K149" i="23"/>
  <c r="L149" i="23"/>
  <c r="M149" i="23"/>
  <c r="N149" i="23"/>
  <c r="O149" i="23"/>
  <c r="P149" i="23"/>
  <c r="Q149" i="23"/>
  <c r="R149" i="23"/>
  <c r="S149" i="23"/>
  <c r="T149" i="23"/>
  <c r="U149" i="23"/>
  <c r="V149" i="23"/>
  <c r="W149" i="23"/>
  <c r="X149" i="23"/>
  <c r="Y149" i="23"/>
  <c r="Z149" i="23"/>
  <c r="AA149" i="23"/>
  <c r="AB149" i="23"/>
  <c r="AC149" i="23"/>
  <c r="AD149" i="23"/>
  <c r="AE149" i="23"/>
  <c r="AF149" i="23"/>
  <c r="AG149" i="23"/>
  <c r="AH149" i="23"/>
  <c r="AI149" i="23"/>
  <c r="AJ149" i="23"/>
  <c r="AK149" i="23"/>
  <c r="AL149" i="23"/>
  <c r="AM149" i="23"/>
  <c r="AN149" i="23"/>
  <c r="AO149" i="23"/>
  <c r="AP149" i="23"/>
  <c r="AQ149" i="23"/>
  <c r="AR149" i="23"/>
  <c r="AS149" i="23"/>
  <c r="AT149" i="23"/>
  <c r="AU149" i="23"/>
  <c r="AV149" i="23"/>
  <c r="AW149" i="23"/>
  <c r="AX149" i="23"/>
  <c r="AY149" i="23"/>
  <c r="AZ149" i="23"/>
  <c r="BA149" i="23"/>
  <c r="BB149" i="23"/>
  <c r="BC149" i="23"/>
  <c r="BD149" i="23"/>
  <c r="BE149" i="23"/>
  <c r="BF149" i="23"/>
  <c r="BG149" i="23"/>
  <c r="BH149" i="23"/>
  <c r="BI149" i="23"/>
  <c r="BJ149" i="23"/>
  <c r="BK149" i="23"/>
  <c r="BL149" i="23"/>
  <c r="BM149" i="23"/>
  <c r="BN149" i="23"/>
  <c r="BO149" i="23"/>
  <c r="BP149" i="23"/>
  <c r="BQ149" i="23"/>
  <c r="BR149" i="23"/>
  <c r="BS149" i="23"/>
  <c r="BT149" i="23"/>
  <c r="B150" i="23"/>
  <c r="C150" i="23"/>
  <c r="D150" i="23"/>
  <c r="E150" i="23"/>
  <c r="F150" i="23"/>
  <c r="G150" i="23"/>
  <c r="H150" i="23"/>
  <c r="I150" i="23"/>
  <c r="J150" i="23"/>
  <c r="K150" i="23"/>
  <c r="L150" i="23"/>
  <c r="M150" i="23"/>
  <c r="N150" i="23"/>
  <c r="O150" i="23"/>
  <c r="P150" i="23"/>
  <c r="Q150" i="23"/>
  <c r="R150" i="23"/>
  <c r="S150" i="23"/>
  <c r="T150" i="23"/>
  <c r="U150" i="23"/>
  <c r="V150" i="23"/>
  <c r="W150" i="23"/>
  <c r="X150" i="23"/>
  <c r="Y150" i="23"/>
  <c r="Z150" i="23"/>
  <c r="AA150" i="23"/>
  <c r="AB150" i="23"/>
  <c r="AC150" i="23"/>
  <c r="AD150" i="23"/>
  <c r="AE150" i="23"/>
  <c r="AF150" i="23"/>
  <c r="AG150" i="23"/>
  <c r="AH150" i="23"/>
  <c r="AI150" i="23"/>
  <c r="AJ150" i="23"/>
  <c r="AK150" i="23"/>
  <c r="AL150" i="23"/>
  <c r="AM150" i="23"/>
  <c r="AN150" i="23"/>
  <c r="AO150" i="23"/>
  <c r="AP150" i="23"/>
  <c r="AQ150" i="23"/>
  <c r="AR150" i="23"/>
  <c r="AS150" i="23"/>
  <c r="AT150" i="23"/>
  <c r="AU150" i="23"/>
  <c r="AV150" i="23"/>
  <c r="AW150" i="23"/>
  <c r="AX150" i="23"/>
  <c r="AY150" i="23"/>
  <c r="AZ150" i="23"/>
  <c r="BA150" i="23"/>
  <c r="BB150" i="23"/>
  <c r="BC150" i="23"/>
  <c r="BD150" i="23"/>
  <c r="BE150" i="23"/>
  <c r="BF150" i="23"/>
  <c r="BG150" i="23"/>
  <c r="BH150" i="23"/>
  <c r="BI150" i="23"/>
  <c r="BJ150" i="23"/>
  <c r="BK150" i="23"/>
  <c r="BL150" i="23"/>
  <c r="BM150" i="23"/>
  <c r="BN150" i="23"/>
  <c r="BO150" i="23"/>
  <c r="BP150" i="23"/>
  <c r="BQ150" i="23"/>
  <c r="BR150" i="23"/>
  <c r="BS150" i="23"/>
  <c r="BT150" i="23"/>
  <c r="B151" i="23"/>
  <c r="C151" i="23"/>
  <c r="D151" i="23"/>
  <c r="E151" i="23"/>
  <c r="F151" i="23"/>
  <c r="G151" i="23"/>
  <c r="H151" i="23"/>
  <c r="I151" i="23"/>
  <c r="J151" i="23"/>
  <c r="K151" i="23"/>
  <c r="L151" i="23"/>
  <c r="M151" i="23"/>
  <c r="N151" i="23"/>
  <c r="O151" i="23"/>
  <c r="P151" i="23"/>
  <c r="Q151" i="23"/>
  <c r="R151" i="23"/>
  <c r="S151" i="23"/>
  <c r="T151" i="23"/>
  <c r="U151" i="23"/>
  <c r="V151" i="23"/>
  <c r="W151" i="23"/>
  <c r="X151" i="23"/>
  <c r="Y151" i="23"/>
  <c r="Z151" i="23"/>
  <c r="AA151" i="23"/>
  <c r="AB151" i="23"/>
  <c r="AC151" i="23"/>
  <c r="AD151" i="23"/>
  <c r="AE151" i="23"/>
  <c r="AF151" i="23"/>
  <c r="AG151" i="23"/>
  <c r="AH151" i="23"/>
  <c r="AI151" i="23"/>
  <c r="AJ151" i="23"/>
  <c r="AK151" i="23"/>
  <c r="AL151" i="23"/>
  <c r="AM151" i="23"/>
  <c r="AN151" i="23"/>
  <c r="AO151" i="23"/>
  <c r="AP151" i="23"/>
  <c r="AQ151" i="23"/>
  <c r="AR151" i="23"/>
  <c r="AS151" i="23"/>
  <c r="AT151" i="23"/>
  <c r="AU151" i="23"/>
  <c r="AV151" i="23"/>
  <c r="AW151" i="23"/>
  <c r="AX151" i="23"/>
  <c r="AY151" i="23"/>
  <c r="AZ151" i="23"/>
  <c r="BA151" i="23"/>
  <c r="BB151" i="23"/>
  <c r="BC151" i="23"/>
  <c r="BD151" i="23"/>
  <c r="BE151" i="23"/>
  <c r="BF151" i="23"/>
  <c r="BG151" i="23"/>
  <c r="BH151" i="23"/>
  <c r="BI151" i="23"/>
  <c r="BJ151" i="23"/>
  <c r="BK151" i="23"/>
  <c r="BL151" i="23"/>
  <c r="BM151" i="23"/>
  <c r="BN151" i="23"/>
  <c r="BO151" i="23"/>
  <c r="BP151" i="23"/>
  <c r="BQ151" i="23"/>
  <c r="BR151" i="23"/>
  <c r="BS151" i="23"/>
  <c r="BT151" i="23"/>
  <c r="B152" i="23"/>
  <c r="C152" i="23"/>
  <c r="D152" i="23"/>
  <c r="E152" i="23"/>
  <c r="F152" i="23"/>
  <c r="G152" i="23"/>
  <c r="H152" i="23"/>
  <c r="I152" i="23"/>
  <c r="J152" i="23"/>
  <c r="K152" i="23"/>
  <c r="L152" i="23"/>
  <c r="M152" i="23"/>
  <c r="N152" i="23"/>
  <c r="O152" i="23"/>
  <c r="P152" i="23"/>
  <c r="Q152" i="23"/>
  <c r="R152" i="23"/>
  <c r="S152" i="23"/>
  <c r="T152" i="23"/>
  <c r="U152" i="23"/>
  <c r="V152" i="23"/>
  <c r="W152" i="23"/>
  <c r="X152" i="23"/>
  <c r="Y152" i="23"/>
  <c r="Z152" i="23"/>
  <c r="AA152" i="23"/>
  <c r="AB152" i="23"/>
  <c r="AC152" i="23"/>
  <c r="AD152" i="23"/>
  <c r="AE152" i="23"/>
  <c r="AF152" i="23"/>
  <c r="AG152" i="23"/>
  <c r="AH152" i="23"/>
  <c r="AI152" i="23"/>
  <c r="AJ152" i="23"/>
  <c r="AK152" i="23"/>
  <c r="AL152" i="23"/>
  <c r="AM152" i="23"/>
  <c r="AN152" i="23"/>
  <c r="AO152" i="23"/>
  <c r="AP152" i="23"/>
  <c r="AQ152" i="23"/>
  <c r="AR152" i="23"/>
  <c r="AS152" i="23"/>
  <c r="AT152" i="23"/>
  <c r="AU152" i="23"/>
  <c r="AV152" i="23"/>
  <c r="AW152" i="23"/>
  <c r="AX152" i="23"/>
  <c r="AY152" i="23"/>
  <c r="AZ152" i="23"/>
  <c r="BA152" i="23"/>
  <c r="BB152" i="23"/>
  <c r="BC152" i="23"/>
  <c r="BD152" i="23"/>
  <c r="BE152" i="23"/>
  <c r="BF152" i="23"/>
  <c r="BG152" i="23"/>
  <c r="BH152" i="23"/>
  <c r="BI152" i="23"/>
  <c r="BJ152" i="23"/>
  <c r="BK152" i="23"/>
  <c r="BL152" i="23"/>
  <c r="BM152" i="23"/>
  <c r="BN152" i="23"/>
  <c r="BO152" i="23"/>
  <c r="BP152" i="23"/>
  <c r="BQ152" i="23"/>
  <c r="BR152" i="23"/>
  <c r="BS152" i="23"/>
  <c r="BT152" i="23"/>
  <c r="B153" i="23"/>
  <c r="C153" i="23"/>
  <c r="D153" i="23"/>
  <c r="E153" i="23"/>
  <c r="F153" i="23"/>
  <c r="G153" i="23"/>
  <c r="H153" i="23"/>
  <c r="I153" i="23"/>
  <c r="J153" i="23"/>
  <c r="K153" i="23"/>
  <c r="L153" i="23"/>
  <c r="M153" i="23"/>
  <c r="N153" i="23"/>
  <c r="O153" i="23"/>
  <c r="P153" i="23"/>
  <c r="Q153" i="23"/>
  <c r="R153" i="23"/>
  <c r="S153" i="23"/>
  <c r="T153" i="23"/>
  <c r="U153" i="23"/>
  <c r="V153" i="23"/>
  <c r="W153" i="23"/>
  <c r="X153" i="23"/>
  <c r="Y153" i="23"/>
  <c r="Z153" i="23"/>
  <c r="AA153" i="23"/>
  <c r="AB153" i="23"/>
  <c r="AC153" i="23"/>
  <c r="AD153" i="23"/>
  <c r="AE153" i="23"/>
  <c r="AF153" i="23"/>
  <c r="AG153" i="23"/>
  <c r="AH153" i="23"/>
  <c r="AI153" i="23"/>
  <c r="AJ153" i="23"/>
  <c r="AK153" i="23"/>
  <c r="AL153" i="23"/>
  <c r="AM153" i="23"/>
  <c r="AN153" i="23"/>
  <c r="AO153" i="23"/>
  <c r="AP153" i="23"/>
  <c r="AQ153" i="23"/>
  <c r="AR153" i="23"/>
  <c r="AS153" i="23"/>
  <c r="AT153" i="23"/>
  <c r="AU153" i="23"/>
  <c r="AV153" i="23"/>
  <c r="AW153" i="23"/>
  <c r="AX153" i="23"/>
  <c r="AY153" i="23"/>
  <c r="AZ153" i="23"/>
  <c r="BA153" i="23"/>
  <c r="BB153" i="23"/>
  <c r="BC153" i="23"/>
  <c r="BD153" i="23"/>
  <c r="BE153" i="23"/>
  <c r="BF153" i="23"/>
  <c r="BG153" i="23"/>
  <c r="BH153" i="23"/>
  <c r="BI153" i="23"/>
  <c r="BJ153" i="23"/>
  <c r="BK153" i="23"/>
  <c r="BL153" i="23"/>
  <c r="BM153" i="23"/>
  <c r="BN153" i="23"/>
  <c r="BO153" i="23"/>
  <c r="BP153" i="23"/>
  <c r="BQ153" i="23"/>
  <c r="BR153" i="23"/>
  <c r="BS153" i="23"/>
  <c r="BT153" i="23"/>
  <c r="B154" i="23"/>
  <c r="C154" i="23"/>
  <c r="D154" i="23"/>
  <c r="E154" i="23"/>
  <c r="F154" i="23"/>
  <c r="G154" i="23"/>
  <c r="H154" i="23"/>
  <c r="I154" i="23"/>
  <c r="J154" i="23"/>
  <c r="K154" i="23"/>
  <c r="L154" i="23"/>
  <c r="M154" i="23"/>
  <c r="N154" i="23"/>
  <c r="O154" i="23"/>
  <c r="P154" i="23"/>
  <c r="Q154" i="23"/>
  <c r="R154" i="23"/>
  <c r="S154" i="23"/>
  <c r="T154" i="23"/>
  <c r="U154" i="23"/>
  <c r="V154" i="23"/>
  <c r="W154" i="23"/>
  <c r="X154" i="23"/>
  <c r="Y154" i="23"/>
  <c r="Z154" i="23"/>
  <c r="AA154" i="23"/>
  <c r="AB154" i="23"/>
  <c r="AC154" i="23"/>
  <c r="AD154" i="23"/>
  <c r="AE154" i="23"/>
  <c r="AF154" i="23"/>
  <c r="AG154" i="23"/>
  <c r="AH154" i="23"/>
  <c r="AI154" i="23"/>
  <c r="AJ154" i="23"/>
  <c r="AK154" i="23"/>
  <c r="AL154" i="23"/>
  <c r="AM154" i="23"/>
  <c r="AN154" i="23"/>
  <c r="AO154" i="23"/>
  <c r="AP154" i="23"/>
  <c r="AQ154" i="23"/>
  <c r="AR154" i="23"/>
  <c r="AS154" i="23"/>
  <c r="AT154" i="23"/>
  <c r="AU154" i="23"/>
  <c r="AV154" i="23"/>
  <c r="AW154" i="23"/>
  <c r="AX154" i="23"/>
  <c r="AY154" i="23"/>
  <c r="AZ154" i="23"/>
  <c r="BA154" i="23"/>
  <c r="BB154" i="23"/>
  <c r="BC154" i="23"/>
  <c r="BD154" i="23"/>
  <c r="BE154" i="23"/>
  <c r="BF154" i="23"/>
  <c r="BG154" i="23"/>
  <c r="BH154" i="23"/>
  <c r="BI154" i="23"/>
  <c r="BJ154" i="23"/>
  <c r="BK154" i="23"/>
  <c r="BL154" i="23"/>
  <c r="BM154" i="23"/>
  <c r="BN154" i="23"/>
  <c r="BO154" i="23"/>
  <c r="BP154" i="23"/>
  <c r="BQ154" i="23"/>
  <c r="BR154" i="23"/>
  <c r="BS154" i="23"/>
  <c r="BT154" i="23"/>
  <c r="B155" i="23"/>
  <c r="C155" i="23"/>
  <c r="D155" i="23"/>
  <c r="E155" i="23"/>
  <c r="F155" i="23"/>
  <c r="G155" i="23"/>
  <c r="H155" i="23"/>
  <c r="I155" i="23"/>
  <c r="J155" i="23"/>
  <c r="K155" i="23"/>
  <c r="L155" i="23"/>
  <c r="M155" i="23"/>
  <c r="N155" i="23"/>
  <c r="O155" i="23"/>
  <c r="P155" i="23"/>
  <c r="Q155" i="23"/>
  <c r="R155" i="23"/>
  <c r="S155" i="23"/>
  <c r="T155" i="23"/>
  <c r="U155" i="23"/>
  <c r="V155" i="23"/>
  <c r="W155" i="23"/>
  <c r="X155" i="23"/>
  <c r="Y155" i="23"/>
  <c r="Z155" i="23"/>
  <c r="AA155" i="23"/>
  <c r="AB155" i="23"/>
  <c r="AC155" i="23"/>
  <c r="AD155" i="23"/>
  <c r="AE155" i="23"/>
  <c r="AF155" i="23"/>
  <c r="AG155" i="23"/>
  <c r="AH155" i="23"/>
  <c r="AI155" i="23"/>
  <c r="AJ155" i="23"/>
  <c r="AK155" i="23"/>
  <c r="AL155" i="23"/>
  <c r="AM155" i="23"/>
  <c r="AN155" i="23"/>
  <c r="AO155" i="23"/>
  <c r="AP155" i="23"/>
  <c r="AQ155" i="23"/>
  <c r="AR155" i="23"/>
  <c r="AS155" i="23"/>
  <c r="AT155" i="23"/>
  <c r="AU155" i="23"/>
  <c r="AV155" i="23"/>
  <c r="AW155" i="23"/>
  <c r="AX155" i="23"/>
  <c r="AY155" i="23"/>
  <c r="AZ155" i="23"/>
  <c r="BA155" i="23"/>
  <c r="BB155" i="23"/>
  <c r="BC155" i="23"/>
  <c r="BD155" i="23"/>
  <c r="BE155" i="23"/>
  <c r="BF155" i="23"/>
  <c r="BG155" i="23"/>
  <c r="BH155" i="23"/>
  <c r="BI155" i="23"/>
  <c r="BJ155" i="23"/>
  <c r="BK155" i="23"/>
  <c r="BL155" i="23"/>
  <c r="BM155" i="23"/>
  <c r="BN155" i="23"/>
  <c r="BO155" i="23"/>
  <c r="BP155" i="23"/>
  <c r="BQ155" i="23"/>
  <c r="BR155" i="23"/>
  <c r="BS155" i="23"/>
  <c r="BT155" i="23"/>
  <c r="B156" i="23"/>
  <c r="C156" i="23"/>
  <c r="D156" i="23"/>
  <c r="E156" i="23"/>
  <c r="F156" i="23"/>
  <c r="G156" i="23"/>
  <c r="H156" i="23"/>
  <c r="I156" i="23"/>
  <c r="J156" i="23"/>
  <c r="K156" i="23"/>
  <c r="L156" i="23"/>
  <c r="M156" i="23"/>
  <c r="N156" i="23"/>
  <c r="O156" i="23"/>
  <c r="P156" i="23"/>
  <c r="Q156" i="23"/>
  <c r="R156" i="23"/>
  <c r="S156" i="23"/>
  <c r="T156" i="23"/>
  <c r="U156" i="23"/>
  <c r="V156" i="23"/>
  <c r="W156" i="23"/>
  <c r="X156" i="23"/>
  <c r="Y156" i="23"/>
  <c r="Z156" i="23"/>
  <c r="AA156" i="23"/>
  <c r="AB156" i="23"/>
  <c r="AC156" i="23"/>
  <c r="AD156" i="23"/>
  <c r="AE156" i="23"/>
  <c r="AF156" i="23"/>
  <c r="AG156" i="23"/>
  <c r="AH156" i="23"/>
  <c r="AI156" i="23"/>
  <c r="AJ156" i="23"/>
  <c r="AK156" i="23"/>
  <c r="AL156" i="23"/>
  <c r="AM156" i="23"/>
  <c r="AN156" i="23"/>
  <c r="AO156" i="23"/>
  <c r="AP156" i="23"/>
  <c r="AQ156" i="23"/>
  <c r="AR156" i="23"/>
  <c r="AS156" i="23"/>
  <c r="AT156" i="23"/>
  <c r="AU156" i="23"/>
  <c r="AV156" i="23"/>
  <c r="AW156" i="23"/>
  <c r="AX156" i="23"/>
  <c r="AY156" i="23"/>
  <c r="AZ156" i="23"/>
  <c r="BA156" i="23"/>
  <c r="BB156" i="23"/>
  <c r="BC156" i="23"/>
  <c r="BD156" i="23"/>
  <c r="BE156" i="23"/>
  <c r="BF156" i="23"/>
  <c r="BG156" i="23"/>
  <c r="BH156" i="23"/>
  <c r="BI156" i="23"/>
  <c r="BJ156" i="23"/>
  <c r="BK156" i="23"/>
  <c r="BL156" i="23"/>
  <c r="BM156" i="23"/>
  <c r="BN156" i="23"/>
  <c r="BO156" i="23"/>
  <c r="BP156" i="23"/>
  <c r="BQ156" i="23"/>
  <c r="BR156" i="23"/>
  <c r="BS156" i="23"/>
  <c r="BT156" i="23"/>
  <c r="B157" i="23"/>
  <c r="C157" i="23"/>
  <c r="D157" i="23"/>
  <c r="E157" i="23"/>
  <c r="F157" i="23"/>
  <c r="G157" i="23"/>
  <c r="H157" i="23"/>
  <c r="I157" i="23"/>
  <c r="J157" i="23"/>
  <c r="K157" i="23"/>
  <c r="L157" i="23"/>
  <c r="M157" i="23"/>
  <c r="N157" i="23"/>
  <c r="O157" i="23"/>
  <c r="P157" i="23"/>
  <c r="Q157" i="23"/>
  <c r="R157" i="23"/>
  <c r="S157" i="23"/>
  <c r="T157" i="23"/>
  <c r="U157" i="23"/>
  <c r="V157" i="23"/>
  <c r="W157" i="23"/>
  <c r="X157" i="23"/>
  <c r="Y157" i="23"/>
  <c r="Z157" i="23"/>
  <c r="AA157" i="23"/>
  <c r="AB157" i="23"/>
  <c r="AC157" i="23"/>
  <c r="AD157" i="23"/>
  <c r="AE157" i="23"/>
  <c r="AF157" i="23"/>
  <c r="AG157" i="23"/>
  <c r="AH157" i="23"/>
  <c r="AI157" i="23"/>
  <c r="AJ157" i="23"/>
  <c r="AK157" i="23"/>
  <c r="AL157" i="23"/>
  <c r="AM157" i="23"/>
  <c r="AN157" i="23"/>
  <c r="AO157" i="23"/>
  <c r="AP157" i="23"/>
  <c r="AQ157" i="23"/>
  <c r="AR157" i="23"/>
  <c r="AS157" i="23"/>
  <c r="AT157" i="23"/>
  <c r="AU157" i="23"/>
  <c r="AV157" i="23"/>
  <c r="AW157" i="23"/>
  <c r="AX157" i="23"/>
  <c r="AY157" i="23"/>
  <c r="AZ157" i="23"/>
  <c r="BA157" i="23"/>
  <c r="BB157" i="23"/>
  <c r="BC157" i="23"/>
  <c r="BD157" i="23"/>
  <c r="BE157" i="23"/>
  <c r="BF157" i="23"/>
  <c r="BG157" i="23"/>
  <c r="BH157" i="23"/>
  <c r="BI157" i="23"/>
  <c r="BJ157" i="23"/>
  <c r="BK157" i="23"/>
  <c r="BL157" i="23"/>
  <c r="BM157" i="23"/>
  <c r="BN157" i="23"/>
  <c r="BO157" i="23"/>
  <c r="BP157" i="23"/>
  <c r="BQ157" i="23"/>
  <c r="BR157" i="23"/>
  <c r="BS157" i="23"/>
  <c r="BT157" i="23"/>
  <c r="B158" i="23"/>
  <c r="C158" i="23"/>
  <c r="D158" i="23"/>
  <c r="E158" i="23"/>
  <c r="F158" i="23"/>
  <c r="G158" i="23"/>
  <c r="H158" i="23"/>
  <c r="I158" i="23"/>
  <c r="J158" i="23"/>
  <c r="K158" i="23"/>
  <c r="L158" i="23"/>
  <c r="M158" i="23"/>
  <c r="N158" i="23"/>
  <c r="O158" i="23"/>
  <c r="P158" i="23"/>
  <c r="Q158" i="23"/>
  <c r="R158" i="23"/>
  <c r="S158" i="23"/>
  <c r="T158" i="23"/>
  <c r="U158" i="23"/>
  <c r="V158" i="23"/>
  <c r="W158" i="23"/>
  <c r="X158" i="23"/>
  <c r="Y158" i="23"/>
  <c r="Z158" i="23"/>
  <c r="AA158" i="23"/>
  <c r="AB158" i="23"/>
  <c r="AC158" i="23"/>
  <c r="AD158" i="23"/>
  <c r="AE158" i="23"/>
  <c r="AF158" i="23"/>
  <c r="AG158" i="23"/>
  <c r="AH158" i="23"/>
  <c r="AI158" i="23"/>
  <c r="AJ158" i="23"/>
  <c r="AK158" i="23"/>
  <c r="AL158" i="23"/>
  <c r="AM158" i="23"/>
  <c r="AN158" i="23"/>
  <c r="AO158" i="23"/>
  <c r="AP158" i="23"/>
  <c r="AQ158" i="23"/>
  <c r="AR158" i="23"/>
  <c r="AS158" i="23"/>
  <c r="AT158" i="23"/>
  <c r="AU158" i="23"/>
  <c r="AV158" i="23"/>
  <c r="AW158" i="23"/>
  <c r="AX158" i="23"/>
  <c r="AY158" i="23"/>
  <c r="AZ158" i="23"/>
  <c r="BA158" i="23"/>
  <c r="BB158" i="23"/>
  <c r="BC158" i="23"/>
  <c r="BD158" i="23"/>
  <c r="BE158" i="23"/>
  <c r="BF158" i="23"/>
  <c r="BG158" i="23"/>
  <c r="BH158" i="23"/>
  <c r="BI158" i="23"/>
  <c r="BJ158" i="23"/>
  <c r="BK158" i="23"/>
  <c r="BL158" i="23"/>
  <c r="BM158" i="23"/>
  <c r="BN158" i="23"/>
  <c r="BO158" i="23"/>
  <c r="BP158" i="23"/>
  <c r="BQ158" i="23"/>
  <c r="BR158" i="23"/>
  <c r="BS158" i="23"/>
  <c r="BT158" i="23"/>
  <c r="B159" i="23"/>
  <c r="C159" i="23"/>
  <c r="D159" i="23"/>
  <c r="E159" i="23"/>
  <c r="F159" i="23"/>
  <c r="G159" i="23"/>
  <c r="H159" i="23"/>
  <c r="I159" i="23"/>
  <c r="J159" i="23"/>
  <c r="K159" i="23"/>
  <c r="L159" i="23"/>
  <c r="M159" i="23"/>
  <c r="N159" i="23"/>
  <c r="O159" i="23"/>
  <c r="P159" i="23"/>
  <c r="Q159" i="23"/>
  <c r="R159" i="23"/>
  <c r="S159" i="23"/>
  <c r="T159" i="23"/>
  <c r="U159" i="23"/>
  <c r="V159" i="23"/>
  <c r="W159" i="23"/>
  <c r="X159" i="23"/>
  <c r="Y159" i="23"/>
  <c r="Z159" i="23"/>
  <c r="AA159" i="23"/>
  <c r="AB159" i="23"/>
  <c r="AC159" i="23"/>
  <c r="AD159" i="23"/>
  <c r="AE159" i="23"/>
  <c r="AF159" i="23"/>
  <c r="AG159" i="23"/>
  <c r="AH159" i="23"/>
  <c r="AI159" i="23"/>
  <c r="AJ159" i="23"/>
  <c r="AK159" i="23"/>
  <c r="AL159" i="23"/>
  <c r="AM159" i="23"/>
  <c r="AN159" i="23"/>
  <c r="AO159" i="23"/>
  <c r="AP159" i="23"/>
  <c r="AQ159" i="23"/>
  <c r="AR159" i="23"/>
  <c r="AS159" i="23"/>
  <c r="AT159" i="23"/>
  <c r="AU159" i="23"/>
  <c r="AV159" i="23"/>
  <c r="AW159" i="23"/>
  <c r="AX159" i="23"/>
  <c r="AY159" i="23"/>
  <c r="AZ159" i="23"/>
  <c r="BA159" i="23"/>
  <c r="BB159" i="23"/>
  <c r="BC159" i="23"/>
  <c r="BD159" i="23"/>
  <c r="BE159" i="23"/>
  <c r="BF159" i="23"/>
  <c r="BG159" i="23"/>
  <c r="BH159" i="23"/>
  <c r="BI159" i="23"/>
  <c r="BJ159" i="23"/>
  <c r="BK159" i="23"/>
  <c r="BL159" i="23"/>
  <c r="BM159" i="23"/>
  <c r="BN159" i="23"/>
  <c r="BO159" i="23"/>
  <c r="BP159" i="23"/>
  <c r="BQ159" i="23"/>
  <c r="BR159" i="23"/>
  <c r="BS159" i="23"/>
  <c r="BT159" i="23"/>
  <c r="B160" i="23"/>
  <c r="C160" i="23"/>
  <c r="D160" i="23"/>
  <c r="E160" i="23"/>
  <c r="F160" i="23"/>
  <c r="G160" i="23"/>
  <c r="H160" i="23"/>
  <c r="I160" i="23"/>
  <c r="J160" i="23"/>
  <c r="K160" i="23"/>
  <c r="L160" i="23"/>
  <c r="M160" i="23"/>
  <c r="N160" i="23"/>
  <c r="O160" i="23"/>
  <c r="P160" i="23"/>
  <c r="Q160" i="23"/>
  <c r="R160" i="23"/>
  <c r="S160" i="23"/>
  <c r="T160" i="23"/>
  <c r="U160" i="23"/>
  <c r="V160" i="23"/>
  <c r="W160" i="23"/>
  <c r="X160" i="23"/>
  <c r="Y160" i="23"/>
  <c r="Z160" i="23"/>
  <c r="AA160" i="23"/>
  <c r="AB160" i="23"/>
  <c r="AC160" i="23"/>
  <c r="AD160" i="23"/>
  <c r="AE160" i="23"/>
  <c r="AF160" i="23"/>
  <c r="AG160" i="23"/>
  <c r="AH160" i="23"/>
  <c r="AI160" i="23"/>
  <c r="AJ160" i="23"/>
  <c r="AK160" i="23"/>
  <c r="AL160" i="23"/>
  <c r="AM160" i="23"/>
  <c r="AN160" i="23"/>
  <c r="AO160" i="23"/>
  <c r="AP160" i="23"/>
  <c r="AQ160" i="23"/>
  <c r="AR160" i="23"/>
  <c r="AS160" i="23"/>
  <c r="AT160" i="23"/>
  <c r="AU160" i="23"/>
  <c r="AV160" i="23"/>
  <c r="AW160" i="23"/>
  <c r="AX160" i="23"/>
  <c r="AY160" i="23"/>
  <c r="AZ160" i="23"/>
  <c r="BA160" i="23"/>
  <c r="BB160" i="23"/>
  <c r="BC160" i="23"/>
  <c r="BD160" i="23"/>
  <c r="BE160" i="23"/>
  <c r="BF160" i="23"/>
  <c r="BG160" i="23"/>
  <c r="BH160" i="23"/>
  <c r="BI160" i="23"/>
  <c r="BJ160" i="23"/>
  <c r="BK160" i="23"/>
  <c r="BL160" i="23"/>
  <c r="BM160" i="23"/>
  <c r="BN160" i="23"/>
  <c r="BO160" i="23"/>
  <c r="BP160" i="23"/>
  <c r="BQ160" i="23"/>
  <c r="BR160" i="23"/>
  <c r="BS160" i="23"/>
  <c r="BT160" i="23"/>
  <c r="B161" i="23"/>
  <c r="C161" i="23"/>
  <c r="D161" i="23"/>
  <c r="E161" i="23"/>
  <c r="F161" i="23"/>
  <c r="G161" i="23"/>
  <c r="H161" i="23"/>
  <c r="I161" i="23"/>
  <c r="J161" i="23"/>
  <c r="K161" i="23"/>
  <c r="L161" i="23"/>
  <c r="M161" i="23"/>
  <c r="N161" i="23"/>
  <c r="O161" i="23"/>
  <c r="P161" i="23"/>
  <c r="Q161" i="23"/>
  <c r="R161" i="23"/>
  <c r="S161" i="23"/>
  <c r="T161" i="23"/>
  <c r="U161" i="23"/>
  <c r="V161" i="23"/>
  <c r="W161" i="23"/>
  <c r="X161" i="23"/>
  <c r="Y161" i="23"/>
  <c r="Z161" i="23"/>
  <c r="AA161" i="23"/>
  <c r="AB161" i="23"/>
  <c r="AC161" i="23"/>
  <c r="AD161" i="23"/>
  <c r="AE161" i="23"/>
  <c r="AF161" i="23"/>
  <c r="AG161" i="23"/>
  <c r="AH161" i="23"/>
  <c r="AI161" i="23"/>
  <c r="AJ161" i="23"/>
  <c r="AK161" i="23"/>
  <c r="AL161" i="23"/>
  <c r="AM161" i="23"/>
  <c r="AN161" i="23"/>
  <c r="AO161" i="23"/>
  <c r="AP161" i="23"/>
  <c r="AQ161" i="23"/>
  <c r="AR161" i="23"/>
  <c r="AS161" i="23"/>
  <c r="AT161" i="23"/>
  <c r="AU161" i="23"/>
  <c r="AV161" i="23"/>
  <c r="AW161" i="23"/>
  <c r="AX161" i="23"/>
  <c r="AY161" i="23"/>
  <c r="AZ161" i="23"/>
  <c r="BA161" i="23"/>
  <c r="BB161" i="23"/>
  <c r="BC161" i="23"/>
  <c r="BD161" i="23"/>
  <c r="BE161" i="23"/>
  <c r="BF161" i="23"/>
  <c r="BG161" i="23"/>
  <c r="BH161" i="23"/>
  <c r="BI161" i="23"/>
  <c r="BJ161" i="23"/>
  <c r="BK161" i="23"/>
  <c r="BL161" i="23"/>
  <c r="BM161" i="23"/>
  <c r="BN161" i="23"/>
  <c r="BO161" i="23"/>
  <c r="BP161" i="23"/>
  <c r="BQ161" i="23"/>
  <c r="BR161" i="23"/>
  <c r="BS161" i="23"/>
  <c r="BT161" i="23"/>
  <c r="B162" i="23"/>
  <c r="C162" i="23"/>
  <c r="D162" i="23"/>
  <c r="E162" i="23"/>
  <c r="F162" i="23"/>
  <c r="G162" i="23"/>
  <c r="H162" i="23"/>
  <c r="I162" i="23"/>
  <c r="J162" i="23"/>
  <c r="K162" i="23"/>
  <c r="L162" i="23"/>
  <c r="M162" i="23"/>
  <c r="N162" i="23"/>
  <c r="O162" i="23"/>
  <c r="P162" i="23"/>
  <c r="Q162" i="23"/>
  <c r="R162" i="23"/>
  <c r="S162" i="23"/>
  <c r="T162" i="23"/>
  <c r="U162" i="23"/>
  <c r="V162" i="23"/>
  <c r="W162" i="23"/>
  <c r="X162" i="23"/>
  <c r="Y162" i="23"/>
  <c r="Z162" i="23"/>
  <c r="AA162" i="23"/>
  <c r="AB162" i="23"/>
  <c r="AC162" i="23"/>
  <c r="AD162" i="23"/>
  <c r="AE162" i="23"/>
  <c r="AF162" i="23"/>
  <c r="AG162" i="23"/>
  <c r="AH162" i="23"/>
  <c r="AI162" i="23"/>
  <c r="AJ162" i="23"/>
  <c r="AK162" i="23"/>
  <c r="AL162" i="23"/>
  <c r="AM162" i="23"/>
  <c r="AN162" i="23"/>
  <c r="AO162" i="23"/>
  <c r="AP162" i="23"/>
  <c r="AQ162" i="23"/>
  <c r="AR162" i="23"/>
  <c r="AS162" i="23"/>
  <c r="AT162" i="23"/>
  <c r="AU162" i="23"/>
  <c r="AV162" i="23"/>
  <c r="AW162" i="23"/>
  <c r="AX162" i="23"/>
  <c r="AY162" i="23"/>
  <c r="AZ162" i="23"/>
  <c r="BA162" i="23"/>
  <c r="BB162" i="23"/>
  <c r="BC162" i="23"/>
  <c r="BD162" i="23"/>
  <c r="BE162" i="23"/>
  <c r="BF162" i="23"/>
  <c r="BG162" i="23"/>
  <c r="BH162" i="23"/>
  <c r="BI162" i="23"/>
  <c r="BJ162" i="23"/>
  <c r="BK162" i="23"/>
  <c r="BL162" i="23"/>
  <c r="BM162" i="23"/>
  <c r="BN162" i="23"/>
  <c r="BO162" i="23"/>
  <c r="BP162" i="23"/>
  <c r="BQ162" i="23"/>
  <c r="BR162" i="23"/>
  <c r="BS162" i="23"/>
  <c r="BT162" i="23"/>
  <c r="B163" i="23"/>
  <c r="C163" i="23"/>
  <c r="D163" i="23"/>
  <c r="E163" i="23"/>
  <c r="F163" i="23"/>
  <c r="G163" i="23"/>
  <c r="H163" i="23"/>
  <c r="I163" i="23"/>
  <c r="J163" i="23"/>
  <c r="K163" i="23"/>
  <c r="L163" i="23"/>
  <c r="M163" i="23"/>
  <c r="N163" i="23"/>
  <c r="O163" i="23"/>
  <c r="P163" i="23"/>
  <c r="Q163" i="23"/>
  <c r="R163" i="23"/>
  <c r="S163" i="23"/>
  <c r="T163" i="23"/>
  <c r="U163" i="23"/>
  <c r="V163" i="23"/>
  <c r="W163" i="23"/>
  <c r="X163" i="23"/>
  <c r="Y163" i="23"/>
  <c r="Z163" i="23"/>
  <c r="AA163" i="23"/>
  <c r="AB163" i="23"/>
  <c r="AC163" i="23"/>
  <c r="AD163" i="23"/>
  <c r="AE163" i="23"/>
  <c r="AF163" i="23"/>
  <c r="AG163" i="23"/>
  <c r="AH163" i="23"/>
  <c r="AI163" i="23"/>
  <c r="AJ163" i="23"/>
  <c r="AK163" i="23"/>
  <c r="AL163" i="23"/>
  <c r="AM163" i="23"/>
  <c r="AN163" i="23"/>
  <c r="AO163" i="23"/>
  <c r="AP163" i="23"/>
  <c r="AQ163" i="23"/>
  <c r="AR163" i="23"/>
  <c r="AS163" i="23"/>
  <c r="AT163" i="23"/>
  <c r="AU163" i="23"/>
  <c r="AV163" i="23"/>
  <c r="AW163" i="23"/>
  <c r="AX163" i="23"/>
  <c r="AY163" i="23"/>
  <c r="AZ163" i="23"/>
  <c r="BA163" i="23"/>
  <c r="BB163" i="23"/>
  <c r="BC163" i="23"/>
  <c r="BD163" i="23"/>
  <c r="BE163" i="23"/>
  <c r="BF163" i="23"/>
  <c r="BG163" i="23"/>
  <c r="BH163" i="23"/>
  <c r="BI163" i="23"/>
  <c r="BJ163" i="23"/>
  <c r="BK163" i="23"/>
  <c r="BL163" i="23"/>
  <c r="BM163" i="23"/>
  <c r="BN163" i="23"/>
  <c r="BO163" i="23"/>
  <c r="BP163" i="23"/>
  <c r="BQ163" i="23"/>
  <c r="BR163" i="23"/>
  <c r="BS163" i="23"/>
  <c r="BT163" i="23"/>
  <c r="B164" i="23"/>
  <c r="C164" i="23"/>
  <c r="D164" i="23"/>
  <c r="E164" i="23"/>
  <c r="F164" i="23"/>
  <c r="G164" i="23"/>
  <c r="H164" i="23"/>
  <c r="I164" i="23"/>
  <c r="J164" i="23"/>
  <c r="K164" i="23"/>
  <c r="L164" i="23"/>
  <c r="M164" i="23"/>
  <c r="N164" i="23"/>
  <c r="O164" i="23"/>
  <c r="P164" i="23"/>
  <c r="Q164" i="23"/>
  <c r="R164" i="23"/>
  <c r="S164" i="23"/>
  <c r="T164" i="23"/>
  <c r="U164" i="23"/>
  <c r="V164" i="23"/>
  <c r="W164" i="23"/>
  <c r="X164" i="23"/>
  <c r="Y164" i="23"/>
  <c r="Z164" i="23"/>
  <c r="AA164" i="23"/>
  <c r="AB164" i="23"/>
  <c r="AC164" i="23"/>
  <c r="AD164" i="23"/>
  <c r="AE164" i="23"/>
  <c r="AF164" i="23"/>
  <c r="AG164" i="23"/>
  <c r="AH164" i="23"/>
  <c r="AI164" i="23"/>
  <c r="AJ164" i="23"/>
  <c r="AK164" i="23"/>
  <c r="AL164" i="23"/>
  <c r="AM164" i="23"/>
  <c r="AN164" i="23"/>
  <c r="AO164" i="23"/>
  <c r="AP164" i="23"/>
  <c r="AQ164" i="23"/>
  <c r="AR164" i="23"/>
  <c r="AS164" i="23"/>
  <c r="AT164" i="23"/>
  <c r="AU164" i="23"/>
  <c r="AV164" i="23"/>
  <c r="AW164" i="23"/>
  <c r="AX164" i="23"/>
  <c r="AY164" i="23"/>
  <c r="AZ164" i="23"/>
  <c r="BA164" i="23"/>
  <c r="BB164" i="23"/>
  <c r="BC164" i="23"/>
  <c r="BD164" i="23"/>
  <c r="BE164" i="23"/>
  <c r="BF164" i="23"/>
  <c r="BG164" i="23"/>
  <c r="BH164" i="23"/>
  <c r="BI164" i="23"/>
  <c r="BJ164" i="23"/>
  <c r="BK164" i="23"/>
  <c r="BL164" i="23"/>
  <c r="BM164" i="23"/>
  <c r="BN164" i="23"/>
  <c r="BO164" i="23"/>
  <c r="BP164" i="23"/>
  <c r="BQ164" i="23"/>
  <c r="BR164" i="23"/>
  <c r="BS164" i="23"/>
  <c r="BT164" i="23"/>
  <c r="B165" i="23"/>
  <c r="C165" i="23"/>
  <c r="D165" i="23"/>
  <c r="E165" i="23"/>
  <c r="F165" i="23"/>
  <c r="G165" i="23"/>
  <c r="H165" i="23"/>
  <c r="I165" i="23"/>
  <c r="J165" i="23"/>
  <c r="K165" i="23"/>
  <c r="L165" i="23"/>
  <c r="M165" i="23"/>
  <c r="N165" i="23"/>
  <c r="O165" i="23"/>
  <c r="P165" i="23"/>
  <c r="Q165" i="23"/>
  <c r="R165" i="23"/>
  <c r="S165" i="23"/>
  <c r="T165" i="23"/>
  <c r="U165" i="23"/>
  <c r="V165" i="23"/>
  <c r="W165" i="23"/>
  <c r="X165" i="23"/>
  <c r="Y165" i="23"/>
  <c r="Z165" i="23"/>
  <c r="AA165" i="23"/>
  <c r="AB165" i="23"/>
  <c r="AC165" i="23"/>
  <c r="AD165" i="23"/>
  <c r="AE165" i="23"/>
  <c r="AF165" i="23"/>
  <c r="AG165" i="23"/>
  <c r="AH165" i="23"/>
  <c r="AI165" i="23"/>
  <c r="AJ165" i="23"/>
  <c r="AK165" i="23"/>
  <c r="AL165" i="23"/>
  <c r="AM165" i="23"/>
  <c r="AN165" i="23"/>
  <c r="AO165" i="23"/>
  <c r="AP165" i="23"/>
  <c r="AQ165" i="23"/>
  <c r="AR165" i="23"/>
  <c r="AS165" i="23"/>
  <c r="AT165" i="23"/>
  <c r="AU165" i="23"/>
  <c r="AV165" i="23"/>
  <c r="AW165" i="23"/>
  <c r="AX165" i="23"/>
  <c r="AY165" i="23"/>
  <c r="AZ165" i="23"/>
  <c r="BA165" i="23"/>
  <c r="BB165" i="23"/>
  <c r="BC165" i="23"/>
  <c r="BD165" i="23"/>
  <c r="BE165" i="23"/>
  <c r="BF165" i="23"/>
  <c r="BG165" i="23"/>
  <c r="BH165" i="23"/>
  <c r="BI165" i="23"/>
  <c r="BJ165" i="23"/>
  <c r="BK165" i="23"/>
  <c r="BL165" i="23"/>
  <c r="BM165" i="23"/>
  <c r="BN165" i="23"/>
  <c r="BO165" i="23"/>
  <c r="BP165" i="23"/>
  <c r="BQ165" i="23"/>
  <c r="BR165" i="23"/>
  <c r="BS165" i="23"/>
  <c r="BT165" i="23"/>
  <c r="B166" i="23"/>
  <c r="C166" i="23"/>
  <c r="D166" i="23"/>
  <c r="E166" i="23"/>
  <c r="F166" i="23"/>
  <c r="G166" i="23"/>
  <c r="H166" i="23"/>
  <c r="I166" i="23"/>
  <c r="J166" i="23"/>
  <c r="K166" i="23"/>
  <c r="L166" i="23"/>
  <c r="M166" i="23"/>
  <c r="N166" i="23"/>
  <c r="O166" i="23"/>
  <c r="P166" i="23"/>
  <c r="Q166" i="23"/>
  <c r="R166" i="23"/>
  <c r="S166" i="23"/>
  <c r="T166" i="23"/>
  <c r="U166" i="23"/>
  <c r="V166" i="23"/>
  <c r="W166" i="23"/>
  <c r="X166" i="23"/>
  <c r="Y166" i="23"/>
  <c r="Z166" i="23"/>
  <c r="AA166" i="23"/>
  <c r="AB166" i="23"/>
  <c r="AC166" i="23"/>
  <c r="AD166" i="23"/>
  <c r="AE166" i="23"/>
  <c r="AF166" i="23"/>
  <c r="AG166" i="23"/>
  <c r="AH166" i="23"/>
  <c r="AI166" i="23"/>
  <c r="AJ166" i="23"/>
  <c r="AK166" i="23"/>
  <c r="AL166" i="23"/>
  <c r="AM166" i="23"/>
  <c r="AN166" i="23"/>
  <c r="AO166" i="23"/>
  <c r="AP166" i="23"/>
  <c r="AQ166" i="23"/>
  <c r="AR166" i="23"/>
  <c r="AS166" i="23"/>
  <c r="AT166" i="23"/>
  <c r="AU166" i="23"/>
  <c r="AV166" i="23"/>
  <c r="AW166" i="23"/>
  <c r="AX166" i="23"/>
  <c r="AY166" i="23"/>
  <c r="AZ166" i="23"/>
  <c r="BA166" i="23"/>
  <c r="BB166" i="23"/>
  <c r="BC166" i="23"/>
  <c r="BD166" i="23"/>
  <c r="BE166" i="23"/>
  <c r="BF166" i="23"/>
  <c r="BG166" i="23"/>
  <c r="BH166" i="23"/>
  <c r="BI166" i="23"/>
  <c r="BJ166" i="23"/>
  <c r="BK166" i="23"/>
  <c r="BL166" i="23"/>
  <c r="BM166" i="23"/>
  <c r="BN166" i="23"/>
  <c r="BO166" i="23"/>
  <c r="BP166" i="23"/>
  <c r="BQ166" i="23"/>
  <c r="BR166" i="23"/>
  <c r="BS166" i="23"/>
  <c r="BT166" i="23"/>
  <c r="B167" i="23"/>
  <c r="C167" i="23"/>
  <c r="D167" i="23"/>
  <c r="E167" i="23"/>
  <c r="F167" i="23"/>
  <c r="G167" i="23"/>
  <c r="H167" i="23"/>
  <c r="I167" i="23"/>
  <c r="J167" i="23"/>
  <c r="K167" i="23"/>
  <c r="L167" i="23"/>
  <c r="M167" i="23"/>
  <c r="N167" i="23"/>
  <c r="O167" i="23"/>
  <c r="P167" i="23"/>
  <c r="Q167" i="23"/>
  <c r="R167" i="23"/>
  <c r="S167" i="23"/>
  <c r="T167" i="23"/>
  <c r="U167" i="23"/>
  <c r="V167" i="23"/>
  <c r="W167" i="23"/>
  <c r="X167" i="23"/>
  <c r="Y167" i="23"/>
  <c r="Z167" i="23"/>
  <c r="AA167" i="23"/>
  <c r="AB167" i="23"/>
  <c r="AC167" i="23"/>
  <c r="AD167" i="23"/>
  <c r="AE167" i="23"/>
  <c r="AF167" i="23"/>
  <c r="AG167" i="23"/>
  <c r="AH167" i="23"/>
  <c r="AI167" i="23"/>
  <c r="AJ167" i="23"/>
  <c r="AK167" i="23"/>
  <c r="AL167" i="23"/>
  <c r="AM167" i="23"/>
  <c r="AN167" i="23"/>
  <c r="AO167" i="23"/>
  <c r="AP167" i="23"/>
  <c r="AQ167" i="23"/>
  <c r="AR167" i="23"/>
  <c r="AS167" i="23"/>
  <c r="AT167" i="23"/>
  <c r="AU167" i="23"/>
  <c r="AV167" i="23"/>
  <c r="AW167" i="23"/>
  <c r="AX167" i="23"/>
  <c r="AY167" i="23"/>
  <c r="AZ167" i="23"/>
  <c r="BA167" i="23"/>
  <c r="BB167" i="23"/>
  <c r="BC167" i="23"/>
  <c r="BD167" i="23"/>
  <c r="BE167" i="23"/>
  <c r="BF167" i="23"/>
  <c r="BG167" i="23"/>
  <c r="BH167" i="23"/>
  <c r="BI167" i="23"/>
  <c r="BJ167" i="23"/>
  <c r="BK167" i="23"/>
  <c r="BL167" i="23"/>
  <c r="BM167" i="23"/>
  <c r="BN167" i="23"/>
  <c r="BO167" i="23"/>
  <c r="BP167" i="23"/>
  <c r="BQ167" i="23"/>
  <c r="BR167" i="23"/>
  <c r="BS167" i="23"/>
  <c r="BT167" i="23"/>
  <c r="B168" i="23"/>
  <c r="C168" i="23"/>
  <c r="D168" i="23"/>
  <c r="E168" i="23"/>
  <c r="F168" i="23"/>
  <c r="G168" i="23"/>
  <c r="H168" i="23"/>
  <c r="I168" i="23"/>
  <c r="J168" i="23"/>
  <c r="K168" i="23"/>
  <c r="L168" i="23"/>
  <c r="M168" i="23"/>
  <c r="N168" i="23"/>
  <c r="O168" i="23"/>
  <c r="P168" i="23"/>
  <c r="Q168" i="23"/>
  <c r="R168" i="23"/>
  <c r="S168" i="23"/>
  <c r="T168" i="23"/>
  <c r="U168" i="23"/>
  <c r="V168" i="23"/>
  <c r="W168" i="23"/>
  <c r="X168" i="23"/>
  <c r="Y168" i="23"/>
  <c r="Z168" i="23"/>
  <c r="AA168" i="23"/>
  <c r="AB168" i="23"/>
  <c r="AC168" i="23"/>
  <c r="AD168" i="23"/>
  <c r="AE168" i="23"/>
  <c r="AF168" i="23"/>
  <c r="AG168" i="23"/>
  <c r="AH168" i="23"/>
  <c r="AI168" i="23"/>
  <c r="AJ168" i="23"/>
  <c r="AK168" i="23"/>
  <c r="AL168" i="23"/>
  <c r="AM168" i="23"/>
  <c r="AN168" i="23"/>
  <c r="AO168" i="23"/>
  <c r="AP168" i="23"/>
  <c r="AQ168" i="23"/>
  <c r="AR168" i="23"/>
  <c r="AS168" i="23"/>
  <c r="AT168" i="23"/>
  <c r="AU168" i="23"/>
  <c r="AV168" i="23"/>
  <c r="AW168" i="23"/>
  <c r="AX168" i="23"/>
  <c r="AY168" i="23"/>
  <c r="AZ168" i="23"/>
  <c r="BA168" i="23"/>
  <c r="BB168" i="23"/>
  <c r="BC168" i="23"/>
  <c r="BD168" i="23"/>
  <c r="BE168" i="23"/>
  <c r="BF168" i="23"/>
  <c r="BG168" i="23"/>
  <c r="BH168" i="23"/>
  <c r="BI168" i="23"/>
  <c r="BJ168" i="23"/>
  <c r="BK168" i="23"/>
  <c r="BL168" i="23"/>
  <c r="BM168" i="23"/>
  <c r="BN168" i="23"/>
  <c r="BO168" i="23"/>
  <c r="BP168" i="23"/>
  <c r="BQ168" i="23"/>
  <c r="BR168" i="23"/>
  <c r="BS168" i="23"/>
  <c r="BT168" i="23"/>
  <c r="B169" i="23"/>
  <c r="C169" i="23"/>
  <c r="D169" i="23"/>
  <c r="E169" i="23"/>
  <c r="F169" i="23"/>
  <c r="G169" i="23"/>
  <c r="H169" i="23"/>
  <c r="I169" i="23"/>
  <c r="J169" i="23"/>
  <c r="K169" i="23"/>
  <c r="L169" i="23"/>
  <c r="M169" i="23"/>
  <c r="N169" i="23"/>
  <c r="O169" i="23"/>
  <c r="P169" i="23"/>
  <c r="Q169" i="23"/>
  <c r="R169" i="23"/>
  <c r="S169" i="23"/>
  <c r="T169" i="23"/>
  <c r="U169" i="23"/>
  <c r="V169" i="23"/>
  <c r="W169" i="23"/>
  <c r="X169" i="23"/>
  <c r="Y169" i="23"/>
  <c r="Z169" i="23"/>
  <c r="AA169" i="23"/>
  <c r="AB169" i="23"/>
  <c r="AC169" i="23"/>
  <c r="AD169" i="23"/>
  <c r="AE169" i="23"/>
  <c r="AF169" i="23"/>
  <c r="AG169" i="23"/>
  <c r="AH169" i="23"/>
  <c r="AI169" i="23"/>
  <c r="AJ169" i="23"/>
  <c r="AK169" i="23"/>
  <c r="AL169" i="23"/>
  <c r="AM169" i="23"/>
  <c r="AN169" i="23"/>
  <c r="AO169" i="23"/>
  <c r="AP169" i="23"/>
  <c r="AQ169" i="23"/>
  <c r="AR169" i="23"/>
  <c r="AS169" i="23"/>
  <c r="AT169" i="23"/>
  <c r="AU169" i="23"/>
  <c r="AV169" i="23"/>
  <c r="AW169" i="23"/>
  <c r="AX169" i="23"/>
  <c r="AY169" i="23"/>
  <c r="AZ169" i="23"/>
  <c r="BA169" i="23"/>
  <c r="BB169" i="23"/>
  <c r="BC169" i="23"/>
  <c r="BD169" i="23"/>
  <c r="BE169" i="23"/>
  <c r="BF169" i="23"/>
  <c r="BG169" i="23"/>
  <c r="BH169" i="23"/>
  <c r="BI169" i="23"/>
  <c r="BJ169" i="23"/>
  <c r="BK169" i="23"/>
  <c r="BL169" i="23"/>
  <c r="BM169" i="23"/>
  <c r="BN169" i="23"/>
  <c r="BO169" i="23"/>
  <c r="BP169" i="23"/>
  <c r="BQ169" i="23"/>
  <c r="BR169" i="23"/>
  <c r="BS169" i="23"/>
  <c r="BT169" i="23"/>
  <c r="B170" i="23"/>
  <c r="C170" i="23"/>
  <c r="D170" i="23"/>
  <c r="E170" i="23"/>
  <c r="F170" i="23"/>
  <c r="G170" i="23"/>
  <c r="H170" i="23"/>
  <c r="I170" i="23"/>
  <c r="J170" i="23"/>
  <c r="K170" i="23"/>
  <c r="L170" i="23"/>
  <c r="M170" i="23"/>
  <c r="N170" i="23"/>
  <c r="O170" i="23"/>
  <c r="P170" i="23"/>
  <c r="Q170" i="23"/>
  <c r="R170" i="23"/>
  <c r="S170" i="23"/>
  <c r="T170" i="23"/>
  <c r="U170" i="23"/>
  <c r="V170" i="23"/>
  <c r="W170" i="23"/>
  <c r="X170" i="23"/>
  <c r="Y170" i="23"/>
  <c r="Z170" i="23"/>
  <c r="AA170" i="23"/>
  <c r="AB170" i="23"/>
  <c r="AC170" i="23"/>
  <c r="AD170" i="23"/>
  <c r="AE170" i="23"/>
  <c r="AF170" i="23"/>
  <c r="AG170" i="23"/>
  <c r="AH170" i="23"/>
  <c r="AI170" i="23"/>
  <c r="AJ170" i="23"/>
  <c r="AK170" i="23"/>
  <c r="AL170" i="23"/>
  <c r="AM170" i="23"/>
  <c r="AN170" i="23"/>
  <c r="AO170" i="23"/>
  <c r="AP170" i="23"/>
  <c r="AQ170" i="23"/>
  <c r="AR170" i="23"/>
  <c r="AS170" i="23"/>
  <c r="AT170" i="23"/>
  <c r="AU170" i="23"/>
  <c r="AV170" i="23"/>
  <c r="AW170" i="23"/>
  <c r="AX170" i="23"/>
  <c r="AY170" i="23"/>
  <c r="AZ170" i="23"/>
  <c r="BA170" i="23"/>
  <c r="BB170" i="23"/>
  <c r="BC170" i="23"/>
  <c r="BD170" i="23"/>
  <c r="BE170" i="23"/>
  <c r="BF170" i="23"/>
  <c r="BG170" i="23"/>
  <c r="BH170" i="23"/>
  <c r="BI170" i="23"/>
  <c r="BJ170" i="23"/>
  <c r="BK170" i="23"/>
  <c r="BL170" i="23"/>
  <c r="BM170" i="23"/>
  <c r="BN170" i="23"/>
  <c r="BO170" i="23"/>
  <c r="BP170" i="23"/>
  <c r="BQ170" i="23"/>
  <c r="BR170" i="23"/>
  <c r="BS170" i="23"/>
  <c r="BT170" i="23"/>
  <c r="B171" i="23"/>
  <c r="C171" i="23"/>
  <c r="D171" i="23"/>
  <c r="E171" i="23"/>
  <c r="F171" i="23"/>
  <c r="G171" i="23"/>
  <c r="H171" i="23"/>
  <c r="I171" i="23"/>
  <c r="J171" i="23"/>
  <c r="K171" i="23"/>
  <c r="L171" i="23"/>
  <c r="M171" i="23"/>
  <c r="N171" i="23"/>
  <c r="O171" i="23"/>
  <c r="P171" i="23"/>
  <c r="Q171" i="23"/>
  <c r="R171" i="23"/>
  <c r="S171" i="23"/>
  <c r="T171" i="23"/>
  <c r="U171" i="23"/>
  <c r="V171" i="23"/>
  <c r="W171" i="23"/>
  <c r="X171" i="23"/>
  <c r="Y171" i="23"/>
  <c r="Z171" i="23"/>
  <c r="AA171" i="23"/>
  <c r="AB171" i="23"/>
  <c r="AC171" i="23"/>
  <c r="AD171" i="23"/>
  <c r="AE171" i="23"/>
  <c r="AF171" i="23"/>
  <c r="AG171" i="23"/>
  <c r="AH171" i="23"/>
  <c r="AI171" i="23"/>
  <c r="AJ171" i="23"/>
  <c r="AK171" i="23"/>
  <c r="AL171" i="23"/>
  <c r="AM171" i="23"/>
  <c r="AN171" i="23"/>
  <c r="AO171" i="23"/>
  <c r="AP171" i="23"/>
  <c r="AQ171" i="23"/>
  <c r="AR171" i="23"/>
  <c r="AS171" i="23"/>
  <c r="AT171" i="23"/>
  <c r="AU171" i="23"/>
  <c r="AV171" i="23"/>
  <c r="AW171" i="23"/>
  <c r="AX171" i="23"/>
  <c r="AY171" i="23"/>
  <c r="AZ171" i="23"/>
  <c r="BA171" i="23"/>
  <c r="BB171" i="23"/>
  <c r="BC171" i="23"/>
  <c r="BD171" i="23"/>
  <c r="BE171" i="23"/>
  <c r="BF171" i="23"/>
  <c r="BG171" i="23"/>
  <c r="BH171" i="23"/>
  <c r="BI171" i="23"/>
  <c r="BJ171" i="23"/>
  <c r="BK171" i="23"/>
  <c r="BL171" i="23"/>
  <c r="BM171" i="23"/>
  <c r="BN171" i="23"/>
  <c r="BO171" i="23"/>
  <c r="BP171" i="23"/>
  <c r="BQ171" i="23"/>
  <c r="BR171" i="23"/>
  <c r="BS171" i="23"/>
  <c r="BT171" i="23"/>
  <c r="B172" i="23"/>
  <c r="C172" i="23"/>
  <c r="D172" i="23"/>
  <c r="E172" i="23"/>
  <c r="F172" i="23"/>
  <c r="G172" i="23"/>
  <c r="H172" i="23"/>
  <c r="I172" i="23"/>
  <c r="J172" i="23"/>
  <c r="K172" i="23"/>
  <c r="L172" i="23"/>
  <c r="M172" i="23"/>
  <c r="N172" i="23"/>
  <c r="O172" i="23"/>
  <c r="P172" i="23"/>
  <c r="Q172" i="23"/>
  <c r="R172" i="23"/>
  <c r="S172" i="23"/>
  <c r="T172" i="23"/>
  <c r="U172" i="23"/>
  <c r="V172" i="23"/>
  <c r="W172" i="23"/>
  <c r="X172" i="23"/>
  <c r="Y172" i="23"/>
  <c r="Z172" i="23"/>
  <c r="AA172" i="23"/>
  <c r="AB172" i="23"/>
  <c r="AC172" i="23"/>
  <c r="AD172" i="23"/>
  <c r="AE172" i="23"/>
  <c r="AF172" i="23"/>
  <c r="AG172" i="23"/>
  <c r="AH172" i="23"/>
  <c r="AI172" i="23"/>
  <c r="AJ172" i="23"/>
  <c r="AK172" i="23"/>
  <c r="AL172" i="23"/>
  <c r="AM172" i="23"/>
  <c r="AN172" i="23"/>
  <c r="AO172" i="23"/>
  <c r="AP172" i="23"/>
  <c r="AQ172" i="23"/>
  <c r="AR172" i="23"/>
  <c r="AS172" i="23"/>
  <c r="AT172" i="23"/>
  <c r="AU172" i="23"/>
  <c r="AV172" i="23"/>
  <c r="AW172" i="23"/>
  <c r="AX172" i="23"/>
  <c r="AY172" i="23"/>
  <c r="AZ172" i="23"/>
  <c r="BA172" i="23"/>
  <c r="BB172" i="23"/>
  <c r="BC172" i="23"/>
  <c r="BD172" i="23"/>
  <c r="BE172" i="23"/>
  <c r="BF172" i="23"/>
  <c r="BG172" i="23"/>
  <c r="BH172" i="23"/>
  <c r="BI172" i="23"/>
  <c r="BJ172" i="23"/>
  <c r="BK172" i="23"/>
  <c r="BL172" i="23"/>
  <c r="BM172" i="23"/>
  <c r="BN172" i="23"/>
  <c r="BO172" i="23"/>
  <c r="BP172" i="23"/>
  <c r="BQ172" i="23"/>
  <c r="BR172" i="23"/>
  <c r="BS172" i="23"/>
  <c r="BT172" i="23"/>
  <c r="B173" i="23"/>
  <c r="C173" i="23"/>
  <c r="D173" i="23"/>
  <c r="E173" i="23"/>
  <c r="F173" i="23"/>
  <c r="G173" i="23"/>
  <c r="H173" i="23"/>
  <c r="I173" i="23"/>
  <c r="J173" i="23"/>
  <c r="K173" i="23"/>
  <c r="L173" i="23"/>
  <c r="M173" i="23"/>
  <c r="N173" i="23"/>
  <c r="O173" i="23"/>
  <c r="P173" i="23"/>
  <c r="Q173" i="23"/>
  <c r="R173" i="23"/>
  <c r="S173" i="23"/>
  <c r="T173" i="23"/>
  <c r="U173" i="23"/>
  <c r="V173" i="23"/>
  <c r="W173" i="23"/>
  <c r="X173" i="23"/>
  <c r="Y173" i="23"/>
  <c r="Z173" i="23"/>
  <c r="AA173" i="23"/>
  <c r="AB173" i="23"/>
  <c r="AC173" i="23"/>
  <c r="AD173" i="23"/>
  <c r="AE173" i="23"/>
  <c r="AF173" i="23"/>
  <c r="AG173" i="23"/>
  <c r="AH173" i="23"/>
  <c r="AI173" i="23"/>
  <c r="AJ173" i="23"/>
  <c r="AK173" i="23"/>
  <c r="AL173" i="23"/>
  <c r="AM173" i="23"/>
  <c r="AN173" i="23"/>
  <c r="AO173" i="23"/>
  <c r="AP173" i="23"/>
  <c r="AQ173" i="23"/>
  <c r="AR173" i="23"/>
  <c r="AS173" i="23"/>
  <c r="AT173" i="23"/>
  <c r="AU173" i="23"/>
  <c r="AV173" i="23"/>
  <c r="AW173" i="23"/>
  <c r="AX173" i="23"/>
  <c r="AY173" i="23"/>
  <c r="AZ173" i="23"/>
  <c r="BA173" i="23"/>
  <c r="BB173" i="23"/>
  <c r="BC173" i="23"/>
  <c r="BD173" i="23"/>
  <c r="BE173" i="23"/>
  <c r="BF173" i="23"/>
  <c r="BG173" i="23"/>
  <c r="BH173" i="23"/>
  <c r="BI173" i="23"/>
  <c r="BJ173" i="23"/>
  <c r="BK173" i="23"/>
  <c r="BL173" i="23"/>
  <c r="BM173" i="23"/>
  <c r="BN173" i="23"/>
  <c r="BO173" i="23"/>
  <c r="BP173" i="23"/>
  <c r="BQ173" i="23"/>
  <c r="BR173" i="23"/>
  <c r="BS173" i="23"/>
  <c r="BT173" i="23"/>
  <c r="B174" i="23"/>
  <c r="C174" i="23"/>
  <c r="D174" i="23"/>
  <c r="E174" i="23"/>
  <c r="F174" i="23"/>
  <c r="G174" i="23"/>
  <c r="H174" i="23"/>
  <c r="I174" i="23"/>
  <c r="J174" i="23"/>
  <c r="K174" i="23"/>
  <c r="L174" i="23"/>
  <c r="M174" i="23"/>
  <c r="N174" i="23"/>
  <c r="O174" i="23"/>
  <c r="P174" i="23"/>
  <c r="Q174" i="23"/>
  <c r="R174" i="23"/>
  <c r="S174" i="23"/>
  <c r="T174" i="23"/>
  <c r="U174" i="23"/>
  <c r="V174" i="23"/>
  <c r="W174" i="23"/>
  <c r="X174" i="23"/>
  <c r="Y174" i="23"/>
  <c r="Z174" i="23"/>
  <c r="AA174" i="23"/>
  <c r="AB174" i="23"/>
  <c r="AC174" i="23"/>
  <c r="AD174" i="23"/>
  <c r="AE174" i="23"/>
  <c r="AF174" i="23"/>
  <c r="AG174" i="23"/>
  <c r="AH174" i="23"/>
  <c r="AI174" i="23"/>
  <c r="AJ174" i="23"/>
  <c r="AK174" i="23"/>
  <c r="AL174" i="23"/>
  <c r="AM174" i="23"/>
  <c r="AN174" i="23"/>
  <c r="AO174" i="23"/>
  <c r="AP174" i="23"/>
  <c r="AQ174" i="23"/>
  <c r="AR174" i="23"/>
  <c r="AS174" i="23"/>
  <c r="AT174" i="23"/>
  <c r="AU174" i="23"/>
  <c r="AV174" i="23"/>
  <c r="AW174" i="23"/>
  <c r="AX174" i="23"/>
  <c r="AY174" i="23"/>
  <c r="AZ174" i="23"/>
  <c r="BA174" i="23"/>
  <c r="BB174" i="23"/>
  <c r="BC174" i="23"/>
  <c r="BD174" i="23"/>
  <c r="BE174" i="23"/>
  <c r="BF174" i="23"/>
  <c r="BG174" i="23"/>
  <c r="BH174" i="23"/>
  <c r="BI174" i="23"/>
  <c r="BJ174" i="23"/>
  <c r="BK174" i="23"/>
  <c r="BL174" i="23"/>
  <c r="BM174" i="23"/>
  <c r="BN174" i="23"/>
  <c r="BO174" i="23"/>
  <c r="BP174" i="23"/>
  <c r="BQ174" i="23"/>
  <c r="BR174" i="23"/>
  <c r="BS174" i="23"/>
  <c r="BT174" i="23"/>
  <c r="B175" i="23"/>
  <c r="C175" i="23"/>
  <c r="D175" i="23"/>
  <c r="E175" i="23"/>
  <c r="F175" i="23"/>
  <c r="G175" i="23"/>
  <c r="H175" i="23"/>
  <c r="I175" i="23"/>
  <c r="J175" i="23"/>
  <c r="K175" i="23"/>
  <c r="L175" i="23"/>
  <c r="M175" i="23"/>
  <c r="N175" i="23"/>
  <c r="O175" i="23"/>
  <c r="P175" i="23"/>
  <c r="Q175" i="23"/>
  <c r="R175" i="23"/>
  <c r="S175" i="23"/>
  <c r="T175" i="23"/>
  <c r="U175" i="23"/>
  <c r="V175" i="23"/>
  <c r="W175" i="23"/>
  <c r="X175" i="23"/>
  <c r="Y175" i="23"/>
  <c r="Z175" i="23"/>
  <c r="AA175" i="23"/>
  <c r="AB175" i="23"/>
  <c r="AC175" i="23"/>
  <c r="AD175" i="23"/>
  <c r="AE175" i="23"/>
  <c r="AF175" i="23"/>
  <c r="AG175" i="23"/>
  <c r="AH175" i="23"/>
  <c r="AI175" i="23"/>
  <c r="AJ175" i="23"/>
  <c r="AK175" i="23"/>
  <c r="AL175" i="23"/>
  <c r="AM175" i="23"/>
  <c r="AN175" i="23"/>
  <c r="AO175" i="23"/>
  <c r="AP175" i="23"/>
  <c r="AQ175" i="23"/>
  <c r="AR175" i="23"/>
  <c r="AS175" i="23"/>
  <c r="AT175" i="23"/>
  <c r="AU175" i="23"/>
  <c r="AV175" i="23"/>
  <c r="AW175" i="23"/>
  <c r="AX175" i="23"/>
  <c r="AY175" i="23"/>
  <c r="AZ175" i="23"/>
  <c r="BA175" i="23"/>
  <c r="BB175" i="23"/>
  <c r="BC175" i="23"/>
  <c r="BD175" i="23"/>
  <c r="BE175" i="23"/>
  <c r="BF175" i="23"/>
  <c r="BG175" i="23"/>
  <c r="BH175" i="23"/>
  <c r="BI175" i="23"/>
  <c r="BJ175" i="23"/>
  <c r="BK175" i="23"/>
  <c r="BL175" i="23"/>
  <c r="BM175" i="23"/>
  <c r="BN175" i="23"/>
  <c r="BO175" i="23"/>
  <c r="BP175" i="23"/>
  <c r="BQ175" i="23"/>
  <c r="BR175" i="23"/>
  <c r="BS175" i="23"/>
  <c r="BT175" i="23"/>
  <c r="B176" i="23"/>
  <c r="C176" i="23"/>
  <c r="D176" i="23"/>
  <c r="E176" i="23"/>
  <c r="F176" i="23"/>
  <c r="G176" i="23"/>
  <c r="H176" i="23"/>
  <c r="I176" i="23"/>
  <c r="J176" i="23"/>
  <c r="K176" i="23"/>
  <c r="L176" i="23"/>
  <c r="M176" i="23"/>
  <c r="N176" i="23"/>
  <c r="O176" i="23"/>
  <c r="P176" i="23"/>
  <c r="Q176" i="23"/>
  <c r="R176" i="23"/>
  <c r="S176" i="23"/>
  <c r="T176" i="23"/>
  <c r="U176" i="23"/>
  <c r="V176" i="23"/>
  <c r="W176" i="23"/>
  <c r="X176" i="23"/>
  <c r="Y176" i="23"/>
  <c r="Z176" i="23"/>
  <c r="AA176" i="23"/>
  <c r="AB176" i="23"/>
  <c r="AC176" i="23"/>
  <c r="AD176" i="23"/>
  <c r="AE176" i="23"/>
  <c r="AF176" i="23"/>
  <c r="AG176" i="23"/>
  <c r="AH176" i="23"/>
  <c r="AI176" i="23"/>
  <c r="AJ176" i="23"/>
  <c r="AK176" i="23"/>
  <c r="AL176" i="23"/>
  <c r="AM176" i="23"/>
  <c r="AN176" i="23"/>
  <c r="AO176" i="23"/>
  <c r="AP176" i="23"/>
  <c r="AQ176" i="23"/>
  <c r="AR176" i="23"/>
  <c r="AS176" i="23"/>
  <c r="AT176" i="23"/>
  <c r="AU176" i="23"/>
  <c r="AV176" i="23"/>
  <c r="AW176" i="23"/>
  <c r="AX176" i="23"/>
  <c r="AY176" i="23"/>
  <c r="AZ176" i="23"/>
  <c r="BA176" i="23"/>
  <c r="BB176" i="23"/>
  <c r="BC176" i="23"/>
  <c r="BD176" i="23"/>
  <c r="BE176" i="23"/>
  <c r="BF176" i="23"/>
  <c r="BG176" i="23"/>
  <c r="BH176" i="23"/>
  <c r="BI176" i="23"/>
  <c r="BJ176" i="23"/>
  <c r="BK176" i="23"/>
  <c r="BL176" i="23"/>
  <c r="BM176" i="23"/>
  <c r="BN176" i="23"/>
  <c r="BO176" i="23"/>
  <c r="BP176" i="23"/>
  <c r="BQ176" i="23"/>
  <c r="BR176" i="23"/>
  <c r="BS176" i="23"/>
  <c r="BT176" i="23"/>
  <c r="B177" i="23"/>
  <c r="C177" i="23"/>
  <c r="D177" i="23"/>
  <c r="E177" i="23"/>
  <c r="F177" i="23"/>
  <c r="G177" i="23"/>
  <c r="H177" i="23"/>
  <c r="I177" i="23"/>
  <c r="J177" i="23"/>
  <c r="K177" i="23"/>
  <c r="L177" i="23"/>
  <c r="M177" i="23"/>
  <c r="N177" i="23"/>
  <c r="O177" i="23"/>
  <c r="P177" i="23"/>
  <c r="Q177" i="23"/>
  <c r="R177" i="23"/>
  <c r="S177" i="23"/>
  <c r="T177" i="23"/>
  <c r="U177" i="23"/>
  <c r="V177" i="23"/>
  <c r="W177" i="23"/>
  <c r="X177" i="23"/>
  <c r="Y177" i="23"/>
  <c r="Z177" i="23"/>
  <c r="AA177" i="23"/>
  <c r="AB177" i="23"/>
  <c r="AC177" i="23"/>
  <c r="AD177" i="23"/>
  <c r="AE177" i="23"/>
  <c r="AF177" i="23"/>
  <c r="AG177" i="23"/>
  <c r="AH177" i="23"/>
  <c r="AI177" i="23"/>
  <c r="AJ177" i="23"/>
  <c r="AK177" i="23"/>
  <c r="AL177" i="23"/>
  <c r="AM177" i="23"/>
  <c r="AN177" i="23"/>
  <c r="AO177" i="23"/>
  <c r="AP177" i="23"/>
  <c r="AQ177" i="23"/>
  <c r="AR177" i="23"/>
  <c r="AS177" i="23"/>
  <c r="AT177" i="23"/>
  <c r="AU177" i="23"/>
  <c r="AV177" i="23"/>
  <c r="AW177" i="23"/>
  <c r="AX177" i="23"/>
  <c r="AY177" i="23"/>
  <c r="AZ177" i="23"/>
  <c r="BA177" i="23"/>
  <c r="BB177" i="23"/>
  <c r="BC177" i="23"/>
  <c r="BD177" i="23"/>
  <c r="BE177" i="23"/>
  <c r="BF177" i="23"/>
  <c r="BG177" i="23"/>
  <c r="BH177" i="23"/>
  <c r="BI177" i="23"/>
  <c r="BJ177" i="23"/>
  <c r="BK177" i="23"/>
  <c r="BL177" i="23"/>
  <c r="BM177" i="23"/>
  <c r="BN177" i="23"/>
  <c r="BO177" i="23"/>
  <c r="BP177" i="23"/>
  <c r="BQ177" i="23"/>
  <c r="BR177" i="23"/>
  <c r="BS177" i="23"/>
  <c r="BT177" i="23"/>
  <c r="B178" i="23"/>
  <c r="C178" i="23"/>
  <c r="D178" i="23"/>
  <c r="E178" i="23"/>
  <c r="F178" i="23"/>
  <c r="G178" i="23"/>
  <c r="H178" i="23"/>
  <c r="I178" i="23"/>
  <c r="J178" i="23"/>
  <c r="K178" i="23"/>
  <c r="L178" i="23"/>
  <c r="M178" i="23"/>
  <c r="N178" i="23"/>
  <c r="O178" i="23"/>
  <c r="P178" i="23"/>
  <c r="Q178" i="23"/>
  <c r="R178" i="23"/>
  <c r="S178" i="23"/>
  <c r="T178" i="23"/>
  <c r="U178" i="23"/>
  <c r="V178" i="23"/>
  <c r="W178" i="23"/>
  <c r="X178" i="23"/>
  <c r="Y178" i="23"/>
  <c r="Z178" i="23"/>
  <c r="AA178" i="23"/>
  <c r="AB178" i="23"/>
  <c r="AC178" i="23"/>
  <c r="AD178" i="23"/>
  <c r="AE178" i="23"/>
  <c r="AF178" i="23"/>
  <c r="AG178" i="23"/>
  <c r="AH178" i="23"/>
  <c r="AI178" i="23"/>
  <c r="AJ178" i="23"/>
  <c r="AK178" i="23"/>
  <c r="AL178" i="23"/>
  <c r="AM178" i="23"/>
  <c r="AN178" i="23"/>
  <c r="AO178" i="23"/>
  <c r="AP178" i="23"/>
  <c r="AQ178" i="23"/>
  <c r="AR178" i="23"/>
  <c r="AS178" i="23"/>
  <c r="AT178" i="23"/>
  <c r="AU178" i="23"/>
  <c r="AV178" i="23"/>
  <c r="AW178" i="23"/>
  <c r="AX178" i="23"/>
  <c r="AY178" i="23"/>
  <c r="AZ178" i="23"/>
  <c r="BA178" i="23"/>
  <c r="BB178" i="23"/>
  <c r="BC178" i="23"/>
  <c r="BD178" i="23"/>
  <c r="BE178" i="23"/>
  <c r="BF178" i="23"/>
  <c r="BG178" i="23"/>
  <c r="BH178" i="23"/>
  <c r="BI178" i="23"/>
  <c r="BJ178" i="23"/>
  <c r="BK178" i="23"/>
  <c r="BL178" i="23"/>
  <c r="BM178" i="23"/>
  <c r="BN178" i="23"/>
  <c r="BO178" i="23"/>
  <c r="BP178" i="23"/>
  <c r="BQ178" i="23"/>
  <c r="BR178" i="23"/>
  <c r="BS178" i="23"/>
  <c r="BT178" i="23"/>
  <c r="B179" i="23"/>
  <c r="C179" i="23"/>
  <c r="D179" i="23"/>
  <c r="E179" i="23"/>
  <c r="F179" i="23"/>
  <c r="G179" i="23"/>
  <c r="H179" i="23"/>
  <c r="I179" i="23"/>
  <c r="J179" i="23"/>
  <c r="K179" i="23"/>
  <c r="L179" i="23"/>
  <c r="M179" i="23"/>
  <c r="N179" i="23"/>
  <c r="O179" i="23"/>
  <c r="P179" i="23"/>
  <c r="Q179" i="23"/>
  <c r="R179" i="23"/>
  <c r="S179" i="23"/>
  <c r="T179" i="23"/>
  <c r="U179" i="23"/>
  <c r="V179" i="23"/>
  <c r="W179" i="23"/>
  <c r="X179" i="23"/>
  <c r="Y179" i="23"/>
  <c r="Z179" i="23"/>
  <c r="AA179" i="23"/>
  <c r="AB179" i="23"/>
  <c r="AC179" i="23"/>
  <c r="AD179" i="23"/>
  <c r="AE179" i="23"/>
  <c r="AF179" i="23"/>
  <c r="AG179" i="23"/>
  <c r="AH179" i="23"/>
  <c r="AI179" i="23"/>
  <c r="AJ179" i="23"/>
  <c r="AK179" i="23"/>
  <c r="AL179" i="23"/>
  <c r="AM179" i="23"/>
  <c r="AN179" i="23"/>
  <c r="AO179" i="23"/>
  <c r="AP179" i="23"/>
  <c r="AQ179" i="23"/>
  <c r="AR179" i="23"/>
  <c r="AS179" i="23"/>
  <c r="AT179" i="23"/>
  <c r="AU179" i="23"/>
  <c r="AV179" i="23"/>
  <c r="AW179" i="23"/>
  <c r="AX179" i="23"/>
  <c r="AY179" i="23"/>
  <c r="AZ179" i="23"/>
  <c r="BA179" i="23"/>
  <c r="BB179" i="23"/>
  <c r="BC179" i="23"/>
  <c r="BD179" i="23"/>
  <c r="BE179" i="23"/>
  <c r="BF179" i="23"/>
  <c r="BG179" i="23"/>
  <c r="BH179" i="23"/>
  <c r="BI179" i="23"/>
  <c r="BJ179" i="23"/>
  <c r="BK179" i="23"/>
  <c r="BL179" i="23"/>
  <c r="BM179" i="23"/>
  <c r="BN179" i="23"/>
  <c r="BO179" i="23"/>
  <c r="BP179" i="23"/>
  <c r="BQ179" i="23"/>
  <c r="BR179" i="23"/>
  <c r="BS179" i="23"/>
  <c r="BT179" i="23"/>
  <c r="B180" i="23"/>
  <c r="C180" i="23"/>
  <c r="D180" i="23"/>
  <c r="E180" i="23"/>
  <c r="F180" i="23"/>
  <c r="G180" i="23"/>
  <c r="H180" i="23"/>
  <c r="I180" i="23"/>
  <c r="J180" i="23"/>
  <c r="K180" i="23"/>
  <c r="L180" i="23"/>
  <c r="M180" i="23"/>
  <c r="N180" i="23"/>
  <c r="O180" i="23"/>
  <c r="P180" i="23"/>
  <c r="Q180" i="23"/>
  <c r="R180" i="23"/>
  <c r="S180" i="23"/>
  <c r="T180" i="23"/>
  <c r="U180" i="23"/>
  <c r="V180" i="23"/>
  <c r="W180" i="23"/>
  <c r="X180" i="23"/>
  <c r="Y180" i="23"/>
  <c r="Z180" i="23"/>
  <c r="AA180" i="23"/>
  <c r="AB180" i="23"/>
  <c r="AC180" i="23"/>
  <c r="AD180" i="23"/>
  <c r="AE180" i="23"/>
  <c r="AF180" i="23"/>
  <c r="AG180" i="23"/>
  <c r="AH180" i="23"/>
  <c r="AI180" i="23"/>
  <c r="AJ180" i="23"/>
  <c r="AK180" i="23"/>
  <c r="AL180" i="23"/>
  <c r="AM180" i="23"/>
  <c r="AN180" i="23"/>
  <c r="AO180" i="23"/>
  <c r="AP180" i="23"/>
  <c r="AQ180" i="23"/>
  <c r="AR180" i="23"/>
  <c r="AS180" i="23"/>
  <c r="AT180" i="23"/>
  <c r="AU180" i="23"/>
  <c r="AV180" i="23"/>
  <c r="AW180" i="23"/>
  <c r="AX180" i="23"/>
  <c r="AY180" i="23"/>
  <c r="AZ180" i="23"/>
  <c r="BA180" i="23"/>
  <c r="BB180" i="23"/>
  <c r="BC180" i="23"/>
  <c r="BD180" i="23"/>
  <c r="BE180" i="23"/>
  <c r="BF180" i="23"/>
  <c r="BG180" i="23"/>
  <c r="BH180" i="23"/>
  <c r="BI180" i="23"/>
  <c r="BJ180" i="23"/>
  <c r="BK180" i="23"/>
  <c r="BL180" i="23"/>
  <c r="BM180" i="23"/>
  <c r="BN180" i="23"/>
  <c r="BO180" i="23"/>
  <c r="BP180" i="23"/>
  <c r="BQ180" i="23"/>
  <c r="BR180" i="23"/>
  <c r="BS180" i="23"/>
  <c r="BT180" i="23"/>
  <c r="B181" i="23"/>
  <c r="C181" i="23"/>
  <c r="D181" i="23"/>
  <c r="E181" i="23"/>
  <c r="F181" i="23"/>
  <c r="G181" i="23"/>
  <c r="H181" i="23"/>
  <c r="I181" i="23"/>
  <c r="J181" i="23"/>
  <c r="K181" i="23"/>
  <c r="L181" i="23"/>
  <c r="M181" i="23"/>
  <c r="N181" i="23"/>
  <c r="O181" i="23"/>
  <c r="P181" i="23"/>
  <c r="Q181" i="23"/>
  <c r="R181" i="23"/>
  <c r="S181" i="23"/>
  <c r="T181" i="23"/>
  <c r="U181" i="23"/>
  <c r="V181" i="23"/>
  <c r="W181" i="23"/>
  <c r="X181" i="23"/>
  <c r="Y181" i="23"/>
  <c r="Z181" i="23"/>
  <c r="AA181" i="23"/>
  <c r="AB181" i="23"/>
  <c r="AC181" i="23"/>
  <c r="AD181" i="23"/>
  <c r="AE181" i="23"/>
  <c r="AF181" i="23"/>
  <c r="AG181" i="23"/>
  <c r="AH181" i="23"/>
  <c r="AI181" i="23"/>
  <c r="AJ181" i="23"/>
  <c r="AK181" i="23"/>
  <c r="AL181" i="23"/>
  <c r="AM181" i="23"/>
  <c r="AN181" i="23"/>
  <c r="AO181" i="23"/>
  <c r="AP181" i="23"/>
  <c r="AQ181" i="23"/>
  <c r="AR181" i="23"/>
  <c r="AS181" i="23"/>
  <c r="AT181" i="23"/>
  <c r="AU181" i="23"/>
  <c r="AV181" i="23"/>
  <c r="AW181" i="23"/>
  <c r="AX181" i="23"/>
  <c r="AY181" i="23"/>
  <c r="AZ181" i="23"/>
  <c r="BA181" i="23"/>
  <c r="BB181" i="23"/>
  <c r="BC181" i="23"/>
  <c r="BD181" i="23"/>
  <c r="BE181" i="23"/>
  <c r="BF181" i="23"/>
  <c r="BG181" i="23"/>
  <c r="BH181" i="23"/>
  <c r="BI181" i="23"/>
  <c r="BJ181" i="23"/>
  <c r="BK181" i="23"/>
  <c r="BL181" i="23"/>
  <c r="BM181" i="23"/>
  <c r="BN181" i="23"/>
  <c r="BO181" i="23"/>
  <c r="BP181" i="23"/>
  <c r="BQ181" i="23"/>
  <c r="BR181" i="23"/>
  <c r="BS181" i="23"/>
  <c r="BT181" i="23"/>
  <c r="B182" i="23"/>
  <c r="C182" i="23"/>
  <c r="D182" i="23"/>
  <c r="E182" i="23"/>
  <c r="F182" i="23"/>
  <c r="G182" i="23"/>
  <c r="H182" i="23"/>
  <c r="I182" i="23"/>
  <c r="J182" i="23"/>
  <c r="K182" i="23"/>
  <c r="L182" i="23"/>
  <c r="M182" i="23"/>
  <c r="N182" i="23"/>
  <c r="O182" i="23"/>
  <c r="P182" i="23"/>
  <c r="Q182" i="23"/>
  <c r="R182" i="23"/>
  <c r="S182" i="23"/>
  <c r="T182" i="23"/>
  <c r="U182" i="23"/>
  <c r="V182" i="23"/>
  <c r="W182" i="23"/>
  <c r="X182" i="23"/>
  <c r="Y182" i="23"/>
  <c r="Z182" i="23"/>
  <c r="AA182" i="23"/>
  <c r="AB182" i="23"/>
  <c r="AC182" i="23"/>
  <c r="AD182" i="23"/>
  <c r="AE182" i="23"/>
  <c r="AF182" i="23"/>
  <c r="AG182" i="23"/>
  <c r="AH182" i="23"/>
  <c r="AI182" i="23"/>
  <c r="AJ182" i="23"/>
  <c r="AK182" i="23"/>
  <c r="AL182" i="23"/>
  <c r="AM182" i="23"/>
  <c r="AN182" i="23"/>
  <c r="AO182" i="23"/>
  <c r="AP182" i="23"/>
  <c r="AQ182" i="23"/>
  <c r="AR182" i="23"/>
  <c r="AS182" i="23"/>
  <c r="AT182" i="23"/>
  <c r="AU182" i="23"/>
  <c r="AV182" i="23"/>
  <c r="AW182" i="23"/>
  <c r="AX182" i="23"/>
  <c r="AY182" i="23"/>
  <c r="AZ182" i="23"/>
  <c r="BA182" i="23"/>
  <c r="BB182" i="23"/>
  <c r="BC182" i="23"/>
  <c r="BD182" i="23"/>
  <c r="BE182" i="23"/>
  <c r="BF182" i="23"/>
  <c r="BG182" i="23"/>
  <c r="BH182" i="23"/>
  <c r="BI182" i="23"/>
  <c r="BJ182" i="23"/>
  <c r="BK182" i="23"/>
  <c r="BL182" i="23"/>
  <c r="BM182" i="23"/>
  <c r="BN182" i="23"/>
  <c r="BO182" i="23"/>
  <c r="BP182" i="23"/>
  <c r="BQ182" i="23"/>
  <c r="BR182" i="23"/>
  <c r="BS182" i="23"/>
  <c r="BT182" i="23"/>
  <c r="B183" i="23"/>
  <c r="C183" i="23"/>
  <c r="D183" i="23"/>
  <c r="E183" i="23"/>
  <c r="F183" i="23"/>
  <c r="G183" i="23"/>
  <c r="H183" i="23"/>
  <c r="I183" i="23"/>
  <c r="J183" i="23"/>
  <c r="K183" i="23"/>
  <c r="L183" i="23"/>
  <c r="M183" i="23"/>
  <c r="N183" i="23"/>
  <c r="O183" i="23"/>
  <c r="P183" i="23"/>
  <c r="Q183" i="23"/>
  <c r="R183" i="23"/>
  <c r="S183" i="23"/>
  <c r="T183" i="23"/>
  <c r="U183" i="23"/>
  <c r="V183" i="23"/>
  <c r="W183" i="23"/>
  <c r="X183" i="23"/>
  <c r="Y183" i="23"/>
  <c r="Z183" i="23"/>
  <c r="AA183" i="23"/>
  <c r="AB183" i="23"/>
  <c r="AC183" i="23"/>
  <c r="AD183" i="23"/>
  <c r="AE183" i="23"/>
  <c r="AF183" i="23"/>
  <c r="AG183" i="23"/>
  <c r="AH183" i="23"/>
  <c r="AI183" i="23"/>
  <c r="AJ183" i="23"/>
  <c r="AK183" i="23"/>
  <c r="AL183" i="23"/>
  <c r="AM183" i="23"/>
  <c r="AN183" i="23"/>
  <c r="AO183" i="23"/>
  <c r="AP183" i="23"/>
  <c r="AQ183" i="23"/>
  <c r="AR183" i="23"/>
  <c r="AS183" i="23"/>
  <c r="AT183" i="23"/>
  <c r="AU183" i="23"/>
  <c r="AV183" i="23"/>
  <c r="AW183" i="23"/>
  <c r="AX183" i="23"/>
  <c r="AY183" i="23"/>
  <c r="AZ183" i="23"/>
  <c r="BA183" i="23"/>
  <c r="BB183" i="23"/>
  <c r="BC183" i="23"/>
  <c r="BD183" i="23"/>
  <c r="BE183" i="23"/>
  <c r="BF183" i="23"/>
  <c r="BG183" i="23"/>
  <c r="BH183" i="23"/>
  <c r="BI183" i="23"/>
  <c r="BJ183" i="23"/>
  <c r="BK183" i="23"/>
  <c r="BL183" i="23"/>
  <c r="BM183" i="23"/>
  <c r="BN183" i="23"/>
  <c r="BO183" i="23"/>
  <c r="BP183" i="23"/>
  <c r="BQ183" i="23"/>
  <c r="BR183" i="23"/>
  <c r="BS183" i="23"/>
  <c r="BT183" i="23"/>
  <c r="B184" i="23"/>
  <c r="C184" i="23"/>
  <c r="D184" i="23"/>
  <c r="E184" i="23"/>
  <c r="F184" i="23"/>
  <c r="G184" i="23"/>
  <c r="H184" i="23"/>
  <c r="I184" i="23"/>
  <c r="J184" i="23"/>
  <c r="K184" i="23"/>
  <c r="L184" i="23"/>
  <c r="M184" i="23"/>
  <c r="N184" i="23"/>
  <c r="O184" i="23"/>
  <c r="P184" i="23"/>
  <c r="Q184" i="23"/>
  <c r="R184" i="23"/>
  <c r="S184" i="23"/>
  <c r="T184" i="23"/>
  <c r="U184" i="23"/>
  <c r="V184" i="23"/>
  <c r="W184" i="23"/>
  <c r="X184" i="23"/>
  <c r="Y184" i="23"/>
  <c r="Z184" i="23"/>
  <c r="AA184" i="23"/>
  <c r="AB184" i="23"/>
  <c r="AC184" i="23"/>
  <c r="AD184" i="23"/>
  <c r="AE184" i="23"/>
  <c r="AF184" i="23"/>
  <c r="AG184" i="23"/>
  <c r="AH184" i="23"/>
  <c r="AI184" i="23"/>
  <c r="AJ184" i="23"/>
  <c r="AK184" i="23"/>
  <c r="AL184" i="23"/>
  <c r="AM184" i="23"/>
  <c r="AN184" i="23"/>
  <c r="AO184" i="23"/>
  <c r="AP184" i="23"/>
  <c r="AQ184" i="23"/>
  <c r="AR184" i="23"/>
  <c r="AS184" i="23"/>
  <c r="AT184" i="23"/>
  <c r="AU184" i="23"/>
  <c r="AV184" i="23"/>
  <c r="AW184" i="23"/>
  <c r="AX184" i="23"/>
  <c r="AY184" i="23"/>
  <c r="AZ184" i="23"/>
  <c r="BA184" i="23"/>
  <c r="BB184" i="23"/>
  <c r="BC184" i="23"/>
  <c r="BD184" i="23"/>
  <c r="BE184" i="23"/>
  <c r="BF184" i="23"/>
  <c r="BG184" i="23"/>
  <c r="BH184" i="23"/>
  <c r="BI184" i="23"/>
  <c r="BJ184" i="23"/>
  <c r="BK184" i="23"/>
  <c r="BL184" i="23"/>
  <c r="BM184" i="23"/>
  <c r="BN184" i="23"/>
  <c r="BO184" i="23"/>
  <c r="BP184" i="23"/>
  <c r="BQ184" i="23"/>
  <c r="BR184" i="23"/>
  <c r="BS184" i="23"/>
  <c r="BT184" i="23"/>
  <c r="B185" i="23"/>
  <c r="C185" i="23"/>
  <c r="D185" i="23"/>
  <c r="E185" i="23"/>
  <c r="F185" i="23"/>
  <c r="G185" i="23"/>
  <c r="H185" i="23"/>
  <c r="I185" i="23"/>
  <c r="J185" i="23"/>
  <c r="K185" i="23"/>
  <c r="L185" i="23"/>
  <c r="M185" i="23"/>
  <c r="N185" i="23"/>
  <c r="O185" i="23"/>
  <c r="P185" i="23"/>
  <c r="Q185" i="23"/>
  <c r="R185" i="23"/>
  <c r="S185" i="23"/>
  <c r="T185" i="23"/>
  <c r="U185" i="23"/>
  <c r="V185" i="23"/>
  <c r="W185" i="23"/>
  <c r="X185" i="23"/>
  <c r="Y185" i="23"/>
  <c r="Z185" i="23"/>
  <c r="AA185" i="23"/>
  <c r="AB185" i="23"/>
  <c r="AC185" i="23"/>
  <c r="AD185" i="23"/>
  <c r="AE185" i="23"/>
  <c r="AF185" i="23"/>
  <c r="AG185" i="23"/>
  <c r="AH185" i="23"/>
  <c r="AI185" i="23"/>
  <c r="AJ185" i="23"/>
  <c r="AK185" i="23"/>
  <c r="AL185" i="23"/>
  <c r="AM185" i="23"/>
  <c r="AN185" i="23"/>
  <c r="AO185" i="23"/>
  <c r="AP185" i="23"/>
  <c r="AQ185" i="23"/>
  <c r="AR185" i="23"/>
  <c r="AS185" i="23"/>
  <c r="AT185" i="23"/>
  <c r="AU185" i="23"/>
  <c r="AV185" i="23"/>
  <c r="AW185" i="23"/>
  <c r="AX185" i="23"/>
  <c r="AY185" i="23"/>
  <c r="AZ185" i="23"/>
  <c r="BA185" i="23"/>
  <c r="BB185" i="23"/>
  <c r="BC185" i="23"/>
  <c r="BD185" i="23"/>
  <c r="BE185" i="23"/>
  <c r="BF185" i="23"/>
  <c r="BG185" i="23"/>
  <c r="BH185" i="23"/>
  <c r="BI185" i="23"/>
  <c r="BJ185" i="23"/>
  <c r="BK185" i="23"/>
  <c r="BL185" i="23"/>
  <c r="BM185" i="23"/>
  <c r="BN185" i="23"/>
  <c r="BO185" i="23"/>
  <c r="BP185" i="23"/>
  <c r="BQ185" i="23"/>
  <c r="BR185" i="23"/>
  <c r="BS185" i="23"/>
  <c r="BT185" i="23"/>
  <c r="B186" i="23"/>
  <c r="C186" i="23"/>
  <c r="D186" i="23"/>
  <c r="E186" i="23"/>
  <c r="F186" i="23"/>
  <c r="G186" i="23"/>
  <c r="H186" i="23"/>
  <c r="I186" i="23"/>
  <c r="J186" i="23"/>
  <c r="K186" i="23"/>
  <c r="L186" i="23"/>
  <c r="M186" i="23"/>
  <c r="N186" i="23"/>
  <c r="O186" i="23"/>
  <c r="P186" i="23"/>
  <c r="Q186" i="23"/>
  <c r="R186" i="23"/>
  <c r="S186" i="23"/>
  <c r="T186" i="23"/>
  <c r="U186" i="23"/>
  <c r="V186" i="23"/>
  <c r="W186" i="23"/>
  <c r="X186" i="23"/>
  <c r="Y186" i="23"/>
  <c r="Z186" i="23"/>
  <c r="AA186" i="23"/>
  <c r="AB186" i="23"/>
  <c r="AC186" i="23"/>
  <c r="AD186" i="23"/>
  <c r="AE186" i="23"/>
  <c r="AF186" i="23"/>
  <c r="AG186" i="23"/>
  <c r="AH186" i="23"/>
  <c r="AI186" i="23"/>
  <c r="AJ186" i="23"/>
  <c r="AK186" i="23"/>
  <c r="AL186" i="23"/>
  <c r="AM186" i="23"/>
  <c r="AN186" i="23"/>
  <c r="AO186" i="23"/>
  <c r="AP186" i="23"/>
  <c r="AQ186" i="23"/>
  <c r="AR186" i="23"/>
  <c r="AS186" i="23"/>
  <c r="AT186" i="23"/>
  <c r="AU186" i="23"/>
  <c r="AV186" i="23"/>
  <c r="AW186" i="23"/>
  <c r="AX186" i="23"/>
  <c r="AY186" i="23"/>
  <c r="AZ186" i="23"/>
  <c r="BA186" i="23"/>
  <c r="BB186" i="23"/>
  <c r="BC186" i="23"/>
  <c r="BD186" i="23"/>
  <c r="BE186" i="23"/>
  <c r="BF186" i="23"/>
  <c r="BG186" i="23"/>
  <c r="BH186" i="23"/>
  <c r="BI186" i="23"/>
  <c r="BJ186" i="23"/>
  <c r="BK186" i="23"/>
  <c r="BL186" i="23"/>
  <c r="BM186" i="23"/>
  <c r="BN186" i="23"/>
  <c r="BO186" i="23"/>
  <c r="BP186" i="23"/>
  <c r="BQ186" i="23"/>
  <c r="BR186" i="23"/>
  <c r="BS186" i="23"/>
  <c r="BT186" i="23"/>
  <c r="B187" i="23"/>
  <c r="C187" i="23"/>
  <c r="D187" i="23"/>
  <c r="E187" i="23"/>
  <c r="F187" i="23"/>
  <c r="G187" i="23"/>
  <c r="H187" i="23"/>
  <c r="I187" i="23"/>
  <c r="J187" i="23"/>
  <c r="K187" i="23"/>
  <c r="L187" i="23"/>
  <c r="M187" i="23"/>
  <c r="N187" i="23"/>
  <c r="O187" i="23"/>
  <c r="P187" i="23"/>
  <c r="Q187" i="23"/>
  <c r="R187" i="23"/>
  <c r="S187" i="23"/>
  <c r="T187" i="23"/>
  <c r="U187" i="23"/>
  <c r="V187" i="23"/>
  <c r="W187" i="23"/>
  <c r="X187" i="23"/>
  <c r="Y187" i="23"/>
  <c r="Z187" i="23"/>
  <c r="AA187" i="23"/>
  <c r="AB187" i="23"/>
  <c r="AC187" i="23"/>
  <c r="AD187" i="23"/>
  <c r="AE187" i="23"/>
  <c r="AF187" i="23"/>
  <c r="AG187" i="23"/>
  <c r="AH187" i="23"/>
  <c r="AI187" i="23"/>
  <c r="AJ187" i="23"/>
  <c r="AK187" i="23"/>
  <c r="AL187" i="23"/>
  <c r="AM187" i="23"/>
  <c r="AN187" i="23"/>
  <c r="AO187" i="23"/>
  <c r="AP187" i="23"/>
  <c r="AQ187" i="23"/>
  <c r="AR187" i="23"/>
  <c r="AS187" i="23"/>
  <c r="AT187" i="23"/>
  <c r="AU187" i="23"/>
  <c r="AV187" i="23"/>
  <c r="AW187" i="23"/>
  <c r="AX187" i="23"/>
  <c r="AY187" i="23"/>
  <c r="AZ187" i="23"/>
  <c r="BA187" i="23"/>
  <c r="BB187" i="23"/>
  <c r="BC187" i="23"/>
  <c r="BD187" i="23"/>
  <c r="BE187" i="23"/>
  <c r="BF187" i="23"/>
  <c r="BG187" i="23"/>
  <c r="BH187" i="23"/>
  <c r="BI187" i="23"/>
  <c r="BJ187" i="23"/>
  <c r="BK187" i="23"/>
  <c r="BL187" i="23"/>
  <c r="BM187" i="23"/>
  <c r="BN187" i="23"/>
  <c r="BO187" i="23"/>
  <c r="BP187" i="23"/>
  <c r="BQ187" i="23"/>
  <c r="BR187" i="23"/>
  <c r="BS187" i="23"/>
  <c r="BT187" i="23"/>
  <c r="B188" i="23"/>
  <c r="C188" i="23"/>
  <c r="D188" i="23"/>
  <c r="E188" i="23"/>
  <c r="F188" i="23"/>
  <c r="G188" i="23"/>
  <c r="H188" i="23"/>
  <c r="I188" i="23"/>
  <c r="J188" i="23"/>
  <c r="K188" i="23"/>
  <c r="L188" i="23"/>
  <c r="M188" i="23"/>
  <c r="N188" i="23"/>
  <c r="O188" i="23"/>
  <c r="P188" i="23"/>
  <c r="Q188" i="23"/>
  <c r="R188" i="23"/>
  <c r="S188" i="23"/>
  <c r="T188" i="23"/>
  <c r="U188" i="23"/>
  <c r="V188" i="23"/>
  <c r="W188" i="23"/>
  <c r="X188" i="23"/>
  <c r="Y188" i="23"/>
  <c r="Z188" i="23"/>
  <c r="AA188" i="23"/>
  <c r="AB188" i="23"/>
  <c r="AC188" i="23"/>
  <c r="AD188" i="23"/>
  <c r="AE188" i="23"/>
  <c r="AF188" i="23"/>
  <c r="AG188" i="23"/>
  <c r="AH188" i="23"/>
  <c r="AI188" i="23"/>
  <c r="AJ188" i="23"/>
  <c r="AK188" i="23"/>
  <c r="AL188" i="23"/>
  <c r="AM188" i="23"/>
  <c r="AN188" i="23"/>
  <c r="AO188" i="23"/>
  <c r="AP188" i="23"/>
  <c r="AQ188" i="23"/>
  <c r="AR188" i="23"/>
  <c r="AS188" i="23"/>
  <c r="AT188" i="23"/>
  <c r="AU188" i="23"/>
  <c r="AV188" i="23"/>
  <c r="AW188" i="23"/>
  <c r="AX188" i="23"/>
  <c r="AY188" i="23"/>
  <c r="AZ188" i="23"/>
  <c r="BA188" i="23"/>
  <c r="BB188" i="23"/>
  <c r="BC188" i="23"/>
  <c r="BD188" i="23"/>
  <c r="BE188" i="23"/>
  <c r="BF188" i="23"/>
  <c r="BG188" i="23"/>
  <c r="BH188" i="23"/>
  <c r="BI188" i="23"/>
  <c r="BJ188" i="23"/>
  <c r="BK188" i="23"/>
  <c r="BL188" i="23"/>
  <c r="BM188" i="23"/>
  <c r="BN188" i="23"/>
  <c r="BO188" i="23"/>
  <c r="BP188" i="23"/>
  <c r="BQ188" i="23"/>
  <c r="BR188" i="23"/>
  <c r="BS188" i="23"/>
  <c r="BT188" i="23"/>
  <c r="B189" i="23"/>
  <c r="C189" i="23"/>
  <c r="D189" i="23"/>
  <c r="E189" i="23"/>
  <c r="F189" i="23"/>
  <c r="G189" i="23"/>
  <c r="H189" i="23"/>
  <c r="I189" i="23"/>
  <c r="J189" i="23"/>
  <c r="K189" i="23"/>
  <c r="L189" i="23"/>
  <c r="M189" i="23"/>
  <c r="N189" i="23"/>
  <c r="O189" i="23"/>
  <c r="P189" i="23"/>
  <c r="Q189" i="23"/>
  <c r="R189" i="23"/>
  <c r="S189" i="23"/>
  <c r="T189" i="23"/>
  <c r="U189" i="23"/>
  <c r="V189" i="23"/>
  <c r="W189" i="23"/>
  <c r="X189" i="23"/>
  <c r="Y189" i="23"/>
  <c r="Z189" i="23"/>
  <c r="AA189" i="23"/>
  <c r="AB189" i="23"/>
  <c r="AC189" i="23"/>
  <c r="AD189" i="23"/>
  <c r="AE189" i="23"/>
  <c r="AF189" i="23"/>
  <c r="AG189" i="23"/>
  <c r="AH189" i="23"/>
  <c r="AI189" i="23"/>
  <c r="AJ189" i="23"/>
  <c r="AK189" i="23"/>
  <c r="AL189" i="23"/>
  <c r="AM189" i="23"/>
  <c r="AN189" i="23"/>
  <c r="AO189" i="23"/>
  <c r="AP189" i="23"/>
  <c r="AQ189" i="23"/>
  <c r="AR189" i="23"/>
  <c r="AS189" i="23"/>
  <c r="AT189" i="23"/>
  <c r="AU189" i="23"/>
  <c r="AV189" i="23"/>
  <c r="AW189" i="23"/>
  <c r="AX189" i="23"/>
  <c r="AY189" i="23"/>
  <c r="AZ189" i="23"/>
  <c r="BA189" i="23"/>
  <c r="BB189" i="23"/>
  <c r="BC189" i="23"/>
  <c r="BD189" i="23"/>
  <c r="BE189" i="23"/>
  <c r="BF189" i="23"/>
  <c r="BG189" i="23"/>
  <c r="BH189" i="23"/>
  <c r="BI189" i="23"/>
  <c r="BJ189" i="23"/>
  <c r="BK189" i="23"/>
  <c r="BL189" i="23"/>
  <c r="BM189" i="23"/>
  <c r="BN189" i="23"/>
  <c r="BO189" i="23"/>
  <c r="BP189" i="23"/>
  <c r="BQ189" i="23"/>
  <c r="BR189" i="23"/>
  <c r="BS189" i="23"/>
  <c r="BT189" i="23"/>
  <c r="B190" i="23"/>
  <c r="C190" i="23"/>
  <c r="D190" i="23"/>
  <c r="E190" i="23"/>
  <c r="F190" i="23"/>
  <c r="G190" i="23"/>
  <c r="H190" i="23"/>
  <c r="I190" i="23"/>
  <c r="J190" i="23"/>
  <c r="K190" i="23"/>
  <c r="L190" i="23"/>
  <c r="M190" i="23"/>
  <c r="N190" i="23"/>
  <c r="O190" i="23"/>
  <c r="P190" i="23"/>
  <c r="Q190" i="23"/>
  <c r="R190" i="23"/>
  <c r="S190" i="23"/>
  <c r="T190" i="23"/>
  <c r="U190" i="23"/>
  <c r="V190" i="23"/>
  <c r="W190" i="23"/>
  <c r="X190" i="23"/>
  <c r="Y190" i="23"/>
  <c r="Z190" i="23"/>
  <c r="AA190" i="23"/>
  <c r="AB190" i="23"/>
  <c r="AC190" i="23"/>
  <c r="AD190" i="23"/>
  <c r="AE190" i="23"/>
  <c r="AF190" i="23"/>
  <c r="AG190" i="23"/>
  <c r="AH190" i="23"/>
  <c r="AI190" i="23"/>
  <c r="AJ190" i="23"/>
  <c r="AK190" i="23"/>
  <c r="AL190" i="23"/>
  <c r="AM190" i="23"/>
  <c r="AN190" i="23"/>
  <c r="AO190" i="23"/>
  <c r="AP190" i="23"/>
  <c r="AQ190" i="23"/>
  <c r="AR190" i="23"/>
  <c r="AS190" i="23"/>
  <c r="AT190" i="23"/>
  <c r="AU190" i="23"/>
  <c r="AV190" i="23"/>
  <c r="AW190" i="23"/>
  <c r="AX190" i="23"/>
  <c r="AY190" i="23"/>
  <c r="AZ190" i="23"/>
  <c r="BA190" i="23"/>
  <c r="BB190" i="23"/>
  <c r="BC190" i="23"/>
  <c r="BD190" i="23"/>
  <c r="BE190" i="23"/>
  <c r="BF190" i="23"/>
  <c r="BG190" i="23"/>
  <c r="BH190" i="23"/>
  <c r="BI190" i="23"/>
  <c r="BJ190" i="23"/>
  <c r="BK190" i="23"/>
  <c r="BL190" i="23"/>
  <c r="BM190" i="23"/>
  <c r="BN190" i="23"/>
  <c r="BO190" i="23"/>
  <c r="BP190" i="23"/>
  <c r="BQ190" i="23"/>
  <c r="BR190" i="23"/>
  <c r="BS190" i="23"/>
  <c r="BT190" i="23"/>
  <c r="B191" i="23"/>
  <c r="C191" i="23"/>
  <c r="D191" i="23"/>
  <c r="E191" i="23"/>
  <c r="F191" i="23"/>
  <c r="G191" i="23"/>
  <c r="H191" i="23"/>
  <c r="I191" i="23"/>
  <c r="J191" i="23"/>
  <c r="K191" i="23"/>
  <c r="L191" i="23"/>
  <c r="M191" i="23"/>
  <c r="N191" i="23"/>
  <c r="O191" i="23"/>
  <c r="P191" i="23"/>
  <c r="Q191" i="23"/>
  <c r="R191" i="23"/>
  <c r="S191" i="23"/>
  <c r="T191" i="23"/>
  <c r="U191" i="23"/>
  <c r="V191" i="23"/>
  <c r="W191" i="23"/>
  <c r="X191" i="23"/>
  <c r="Y191" i="23"/>
  <c r="Z191" i="23"/>
  <c r="AA191" i="23"/>
  <c r="AB191" i="23"/>
  <c r="AC191" i="23"/>
  <c r="AD191" i="23"/>
  <c r="AE191" i="23"/>
  <c r="AF191" i="23"/>
  <c r="AG191" i="23"/>
  <c r="AH191" i="23"/>
  <c r="AI191" i="23"/>
  <c r="AJ191" i="23"/>
  <c r="AK191" i="23"/>
  <c r="AL191" i="23"/>
  <c r="AM191" i="23"/>
  <c r="AN191" i="23"/>
  <c r="AO191" i="23"/>
  <c r="AP191" i="23"/>
  <c r="AQ191" i="23"/>
  <c r="AR191" i="23"/>
  <c r="AS191" i="23"/>
  <c r="AT191" i="23"/>
  <c r="AU191" i="23"/>
  <c r="AV191" i="23"/>
  <c r="AW191" i="23"/>
  <c r="AX191" i="23"/>
  <c r="AY191" i="23"/>
  <c r="AZ191" i="23"/>
  <c r="BA191" i="23"/>
  <c r="BB191" i="23"/>
  <c r="BC191" i="23"/>
  <c r="BD191" i="23"/>
  <c r="BE191" i="23"/>
  <c r="BF191" i="23"/>
  <c r="BG191" i="23"/>
  <c r="BH191" i="23"/>
  <c r="BI191" i="23"/>
  <c r="BJ191" i="23"/>
  <c r="BK191" i="23"/>
  <c r="BL191" i="23"/>
  <c r="BM191" i="23"/>
  <c r="BN191" i="23"/>
  <c r="BO191" i="23"/>
  <c r="BP191" i="23"/>
  <c r="BQ191" i="23"/>
  <c r="BR191" i="23"/>
  <c r="BS191" i="23"/>
  <c r="BT191" i="23"/>
  <c r="B192" i="23"/>
  <c r="C192" i="23"/>
  <c r="D192" i="23"/>
  <c r="E192" i="23"/>
  <c r="F192" i="23"/>
  <c r="G192" i="23"/>
  <c r="H192" i="23"/>
  <c r="I192" i="23"/>
  <c r="J192" i="23"/>
  <c r="K192" i="23"/>
  <c r="L192" i="23"/>
  <c r="M192" i="23"/>
  <c r="N192" i="23"/>
  <c r="O192" i="23"/>
  <c r="P192" i="23"/>
  <c r="Q192" i="23"/>
  <c r="R192" i="23"/>
  <c r="S192" i="23"/>
  <c r="T192" i="23"/>
  <c r="U192" i="23"/>
  <c r="V192" i="23"/>
  <c r="W192" i="23"/>
  <c r="X192" i="23"/>
  <c r="Y192" i="23"/>
  <c r="Z192" i="23"/>
  <c r="AA192" i="23"/>
  <c r="AB192" i="23"/>
  <c r="AC192" i="23"/>
  <c r="AD192" i="23"/>
  <c r="AE192" i="23"/>
  <c r="AF192" i="23"/>
  <c r="AG192" i="23"/>
  <c r="AH192" i="23"/>
  <c r="AI192" i="23"/>
  <c r="AJ192" i="23"/>
  <c r="AK192" i="23"/>
  <c r="AL192" i="23"/>
  <c r="AM192" i="23"/>
  <c r="AN192" i="23"/>
  <c r="AO192" i="23"/>
  <c r="AP192" i="23"/>
  <c r="AQ192" i="23"/>
  <c r="AR192" i="23"/>
  <c r="AS192" i="23"/>
  <c r="AT192" i="23"/>
  <c r="AU192" i="23"/>
  <c r="AV192" i="23"/>
  <c r="AW192" i="23"/>
  <c r="AX192" i="23"/>
  <c r="AY192" i="23"/>
  <c r="AZ192" i="23"/>
  <c r="BA192" i="23"/>
  <c r="BB192" i="23"/>
  <c r="BC192" i="23"/>
  <c r="BD192" i="23"/>
  <c r="BE192" i="23"/>
  <c r="BF192" i="23"/>
  <c r="BG192" i="23"/>
  <c r="BH192" i="23"/>
  <c r="BI192" i="23"/>
  <c r="BJ192" i="23"/>
  <c r="BK192" i="23"/>
  <c r="BL192" i="23"/>
  <c r="BM192" i="23"/>
  <c r="BN192" i="23"/>
  <c r="BO192" i="23"/>
  <c r="BP192" i="23"/>
  <c r="BQ192" i="23"/>
  <c r="BR192" i="23"/>
  <c r="BS192" i="23"/>
  <c r="BT192" i="23"/>
  <c r="B193" i="23"/>
  <c r="C193" i="23"/>
  <c r="D193" i="23"/>
  <c r="E193" i="23"/>
  <c r="F193" i="23"/>
  <c r="G193" i="23"/>
  <c r="H193" i="23"/>
  <c r="I193" i="23"/>
  <c r="J193" i="23"/>
  <c r="K193" i="23"/>
  <c r="L193" i="23"/>
  <c r="M193" i="23"/>
  <c r="N193" i="23"/>
  <c r="O193" i="23"/>
  <c r="P193" i="23"/>
  <c r="Q193" i="23"/>
  <c r="R193" i="23"/>
  <c r="S193" i="23"/>
  <c r="T193" i="23"/>
  <c r="U193" i="23"/>
  <c r="V193" i="23"/>
  <c r="W193" i="23"/>
  <c r="X193" i="23"/>
  <c r="Y193" i="23"/>
  <c r="Z193" i="23"/>
  <c r="AA193" i="23"/>
  <c r="AB193" i="23"/>
  <c r="AC193" i="23"/>
  <c r="AD193" i="23"/>
  <c r="AE193" i="23"/>
  <c r="AF193" i="23"/>
  <c r="AG193" i="23"/>
  <c r="AH193" i="23"/>
  <c r="AI193" i="23"/>
  <c r="AJ193" i="23"/>
  <c r="AK193" i="23"/>
  <c r="AL193" i="23"/>
  <c r="AM193" i="23"/>
  <c r="AN193" i="23"/>
  <c r="AO193" i="23"/>
  <c r="AP193" i="23"/>
  <c r="AQ193" i="23"/>
  <c r="AR193" i="23"/>
  <c r="AS193" i="23"/>
  <c r="AT193" i="23"/>
  <c r="AU193" i="23"/>
  <c r="AV193" i="23"/>
  <c r="AW193" i="23"/>
  <c r="AX193" i="23"/>
  <c r="AY193" i="23"/>
  <c r="AZ193" i="23"/>
  <c r="BA193" i="23"/>
  <c r="BB193" i="23"/>
  <c r="BC193" i="23"/>
  <c r="BD193" i="23"/>
  <c r="BE193" i="23"/>
  <c r="BF193" i="23"/>
  <c r="BG193" i="23"/>
  <c r="BH193" i="23"/>
  <c r="BI193" i="23"/>
  <c r="BJ193" i="23"/>
  <c r="BK193" i="23"/>
  <c r="BL193" i="23"/>
  <c r="BM193" i="23"/>
  <c r="BN193" i="23"/>
  <c r="BO193" i="23"/>
  <c r="BP193" i="23"/>
  <c r="BQ193" i="23"/>
  <c r="BR193" i="23"/>
  <c r="BS193" i="23"/>
  <c r="BT193" i="23"/>
  <c r="B194" i="23"/>
  <c r="C194" i="23"/>
  <c r="D194" i="23"/>
  <c r="E194" i="23"/>
  <c r="F194" i="23"/>
  <c r="G194" i="23"/>
  <c r="H194" i="23"/>
  <c r="I194" i="23"/>
  <c r="J194" i="23"/>
  <c r="K194" i="23"/>
  <c r="L194" i="23"/>
  <c r="M194" i="23"/>
  <c r="N194" i="23"/>
  <c r="O194" i="23"/>
  <c r="P194" i="23"/>
  <c r="Q194" i="23"/>
  <c r="R194" i="23"/>
  <c r="S194" i="23"/>
  <c r="T194" i="23"/>
  <c r="U194" i="23"/>
  <c r="V194" i="23"/>
  <c r="W194" i="23"/>
  <c r="X194" i="23"/>
  <c r="Y194" i="23"/>
  <c r="Z194" i="23"/>
  <c r="AA194" i="23"/>
  <c r="AB194" i="23"/>
  <c r="AC194" i="23"/>
  <c r="AD194" i="23"/>
  <c r="AE194" i="23"/>
  <c r="AF194" i="23"/>
  <c r="AG194" i="23"/>
  <c r="AH194" i="23"/>
  <c r="AI194" i="23"/>
  <c r="AJ194" i="23"/>
  <c r="AK194" i="23"/>
  <c r="AL194" i="23"/>
  <c r="AM194" i="23"/>
  <c r="AN194" i="23"/>
  <c r="AO194" i="23"/>
  <c r="AP194" i="23"/>
  <c r="AQ194" i="23"/>
  <c r="AR194" i="23"/>
  <c r="AS194" i="23"/>
  <c r="AT194" i="23"/>
  <c r="AU194" i="23"/>
  <c r="AV194" i="23"/>
  <c r="AW194" i="23"/>
  <c r="AX194" i="23"/>
  <c r="AY194" i="23"/>
  <c r="AZ194" i="23"/>
  <c r="BA194" i="23"/>
  <c r="BB194" i="23"/>
  <c r="BC194" i="23"/>
  <c r="BD194" i="23"/>
  <c r="BE194" i="23"/>
  <c r="BF194" i="23"/>
  <c r="BG194" i="23"/>
  <c r="BH194" i="23"/>
  <c r="BI194" i="23"/>
  <c r="BJ194" i="23"/>
  <c r="BK194" i="23"/>
  <c r="BL194" i="23"/>
  <c r="BM194" i="23"/>
  <c r="BN194" i="23"/>
  <c r="BO194" i="23"/>
  <c r="BP194" i="23"/>
  <c r="BQ194" i="23"/>
  <c r="BR194" i="23"/>
  <c r="BS194" i="23"/>
  <c r="BT194" i="23"/>
  <c r="B195" i="23"/>
  <c r="C195" i="23"/>
  <c r="D195" i="23"/>
  <c r="E195" i="23"/>
  <c r="F195" i="23"/>
  <c r="G195" i="23"/>
  <c r="H195" i="23"/>
  <c r="I195" i="23"/>
  <c r="J195" i="23"/>
  <c r="K195" i="23"/>
  <c r="L195" i="23"/>
  <c r="M195" i="23"/>
  <c r="N195" i="23"/>
  <c r="O195" i="23"/>
  <c r="P195" i="23"/>
  <c r="Q195" i="23"/>
  <c r="R195" i="23"/>
  <c r="S195" i="23"/>
  <c r="T195" i="23"/>
  <c r="U195" i="23"/>
  <c r="V195" i="23"/>
  <c r="W195" i="23"/>
  <c r="X195" i="23"/>
  <c r="Y195" i="23"/>
  <c r="Z195" i="23"/>
  <c r="AA195" i="23"/>
  <c r="AB195" i="23"/>
  <c r="AC195" i="23"/>
  <c r="AD195" i="23"/>
  <c r="AE195" i="23"/>
  <c r="AF195" i="23"/>
  <c r="AG195" i="23"/>
  <c r="AH195" i="23"/>
  <c r="AI195" i="23"/>
  <c r="AJ195" i="23"/>
  <c r="AK195" i="23"/>
  <c r="AL195" i="23"/>
  <c r="AM195" i="23"/>
  <c r="AN195" i="23"/>
  <c r="AO195" i="23"/>
  <c r="AP195" i="23"/>
  <c r="AQ195" i="23"/>
  <c r="AR195" i="23"/>
  <c r="AS195" i="23"/>
  <c r="AT195" i="23"/>
  <c r="AU195" i="23"/>
  <c r="AV195" i="23"/>
  <c r="AW195" i="23"/>
  <c r="AX195" i="23"/>
  <c r="AY195" i="23"/>
  <c r="AZ195" i="23"/>
  <c r="BA195" i="23"/>
  <c r="BB195" i="23"/>
  <c r="BC195" i="23"/>
  <c r="BD195" i="23"/>
  <c r="BE195" i="23"/>
  <c r="BF195" i="23"/>
  <c r="BG195" i="23"/>
  <c r="BH195" i="23"/>
  <c r="BI195" i="23"/>
  <c r="BJ195" i="23"/>
  <c r="BK195" i="23"/>
  <c r="BL195" i="23"/>
  <c r="BM195" i="23"/>
  <c r="BN195" i="23"/>
  <c r="BO195" i="23"/>
  <c r="BP195" i="23"/>
  <c r="BQ195" i="23"/>
  <c r="BR195" i="23"/>
  <c r="BS195" i="23"/>
  <c r="BT195" i="23"/>
  <c r="B196" i="23"/>
  <c r="C196" i="23"/>
  <c r="D196" i="23"/>
  <c r="E196" i="23"/>
  <c r="F196" i="23"/>
  <c r="G196" i="23"/>
  <c r="H196" i="23"/>
  <c r="I196" i="23"/>
  <c r="J196" i="23"/>
  <c r="K196" i="23"/>
  <c r="L196" i="23"/>
  <c r="M196" i="23"/>
  <c r="N196" i="23"/>
  <c r="O196" i="23"/>
  <c r="P196" i="23"/>
  <c r="Q196" i="23"/>
  <c r="R196" i="23"/>
  <c r="S196" i="23"/>
  <c r="T196" i="23"/>
  <c r="U196" i="23"/>
  <c r="V196" i="23"/>
  <c r="W196" i="23"/>
  <c r="X196" i="23"/>
  <c r="Y196" i="23"/>
  <c r="Z196" i="23"/>
  <c r="AA196" i="23"/>
  <c r="AB196" i="23"/>
  <c r="AC196" i="23"/>
  <c r="AD196" i="23"/>
  <c r="AE196" i="23"/>
  <c r="AF196" i="23"/>
  <c r="AG196" i="23"/>
  <c r="AH196" i="23"/>
  <c r="AI196" i="23"/>
  <c r="AJ196" i="23"/>
  <c r="AK196" i="23"/>
  <c r="AL196" i="23"/>
  <c r="AM196" i="23"/>
  <c r="AN196" i="23"/>
  <c r="AO196" i="23"/>
  <c r="AP196" i="23"/>
  <c r="AQ196" i="23"/>
  <c r="AR196" i="23"/>
  <c r="AS196" i="23"/>
  <c r="AT196" i="23"/>
  <c r="AU196" i="23"/>
  <c r="AV196" i="23"/>
  <c r="AW196" i="23"/>
  <c r="AX196" i="23"/>
  <c r="AY196" i="23"/>
  <c r="AZ196" i="23"/>
  <c r="BA196" i="23"/>
  <c r="BB196" i="23"/>
  <c r="BC196" i="23"/>
  <c r="BD196" i="23"/>
  <c r="BE196" i="23"/>
  <c r="BF196" i="23"/>
  <c r="BG196" i="23"/>
  <c r="BH196" i="23"/>
  <c r="BI196" i="23"/>
  <c r="BJ196" i="23"/>
  <c r="BK196" i="23"/>
  <c r="BL196" i="23"/>
  <c r="BM196" i="23"/>
  <c r="BN196" i="23"/>
  <c r="BO196" i="23"/>
  <c r="BP196" i="23"/>
  <c r="BQ196" i="23"/>
  <c r="BR196" i="23"/>
  <c r="BS196" i="23"/>
  <c r="BT196" i="23"/>
  <c r="B197" i="23"/>
  <c r="C197" i="23"/>
  <c r="D197" i="23"/>
  <c r="E197" i="23"/>
  <c r="F197" i="23"/>
  <c r="G197" i="23"/>
  <c r="H197" i="23"/>
  <c r="I197" i="23"/>
  <c r="J197" i="23"/>
  <c r="K197" i="23"/>
  <c r="L197" i="23"/>
  <c r="M197" i="23"/>
  <c r="N197" i="23"/>
  <c r="O197" i="23"/>
  <c r="P197" i="23"/>
  <c r="Q197" i="23"/>
  <c r="R197" i="23"/>
  <c r="S197" i="23"/>
  <c r="T197" i="23"/>
  <c r="U197" i="23"/>
  <c r="V197" i="23"/>
  <c r="W197" i="23"/>
  <c r="X197" i="23"/>
  <c r="Y197" i="23"/>
  <c r="Z197" i="23"/>
  <c r="AA197" i="23"/>
  <c r="AB197" i="23"/>
  <c r="AC197" i="23"/>
  <c r="AD197" i="23"/>
  <c r="AE197" i="23"/>
  <c r="AF197" i="23"/>
  <c r="AG197" i="23"/>
  <c r="AH197" i="23"/>
  <c r="AI197" i="23"/>
  <c r="AJ197" i="23"/>
  <c r="AK197" i="23"/>
  <c r="AL197" i="23"/>
  <c r="AM197" i="23"/>
  <c r="AN197" i="23"/>
  <c r="AO197" i="23"/>
  <c r="AP197" i="23"/>
  <c r="AQ197" i="23"/>
  <c r="AR197" i="23"/>
  <c r="AS197" i="23"/>
  <c r="AT197" i="23"/>
  <c r="AU197" i="23"/>
  <c r="AV197" i="23"/>
  <c r="AW197" i="23"/>
  <c r="AX197" i="23"/>
  <c r="AY197" i="23"/>
  <c r="AZ197" i="23"/>
  <c r="BA197" i="23"/>
  <c r="BB197" i="23"/>
  <c r="BC197" i="23"/>
  <c r="BD197" i="23"/>
  <c r="BE197" i="23"/>
  <c r="BF197" i="23"/>
  <c r="BG197" i="23"/>
  <c r="BH197" i="23"/>
  <c r="BI197" i="23"/>
  <c r="BJ197" i="23"/>
  <c r="BK197" i="23"/>
  <c r="BL197" i="23"/>
  <c r="BM197" i="23"/>
  <c r="BN197" i="23"/>
  <c r="BO197" i="23"/>
  <c r="BP197" i="23"/>
  <c r="BQ197" i="23"/>
  <c r="BR197" i="23"/>
  <c r="BS197" i="23"/>
  <c r="BT197" i="23"/>
  <c r="B198" i="23"/>
  <c r="C198" i="23"/>
  <c r="D198" i="23"/>
  <c r="E198" i="23"/>
  <c r="F198" i="23"/>
  <c r="G198" i="23"/>
  <c r="H198" i="23"/>
  <c r="I198" i="23"/>
  <c r="J198" i="23"/>
  <c r="K198" i="23"/>
  <c r="L198" i="23"/>
  <c r="M198" i="23"/>
  <c r="N198" i="23"/>
  <c r="O198" i="23"/>
  <c r="P198" i="23"/>
  <c r="Q198" i="23"/>
  <c r="R198" i="23"/>
  <c r="S198" i="23"/>
  <c r="T198" i="23"/>
  <c r="U198" i="23"/>
  <c r="V198" i="23"/>
  <c r="W198" i="23"/>
  <c r="X198" i="23"/>
  <c r="Y198" i="23"/>
  <c r="Z198" i="23"/>
  <c r="AA198" i="23"/>
  <c r="AB198" i="23"/>
  <c r="AC198" i="23"/>
  <c r="AD198" i="23"/>
  <c r="AE198" i="23"/>
  <c r="AF198" i="23"/>
  <c r="AG198" i="23"/>
  <c r="AH198" i="23"/>
  <c r="AI198" i="23"/>
  <c r="AJ198" i="23"/>
  <c r="AK198" i="23"/>
  <c r="AL198" i="23"/>
  <c r="AM198" i="23"/>
  <c r="AN198" i="23"/>
  <c r="AO198" i="23"/>
  <c r="AP198" i="23"/>
  <c r="AQ198" i="23"/>
  <c r="AR198" i="23"/>
  <c r="AS198" i="23"/>
  <c r="AT198" i="23"/>
  <c r="AU198" i="23"/>
  <c r="AV198" i="23"/>
  <c r="AW198" i="23"/>
  <c r="AX198" i="23"/>
  <c r="AY198" i="23"/>
  <c r="AZ198" i="23"/>
  <c r="BA198" i="23"/>
  <c r="BB198" i="23"/>
  <c r="BC198" i="23"/>
  <c r="BD198" i="23"/>
  <c r="BE198" i="23"/>
  <c r="BF198" i="23"/>
  <c r="BG198" i="23"/>
  <c r="BH198" i="23"/>
  <c r="BI198" i="23"/>
  <c r="BJ198" i="23"/>
  <c r="BK198" i="23"/>
  <c r="BL198" i="23"/>
  <c r="BM198" i="23"/>
  <c r="BN198" i="23"/>
  <c r="BO198" i="23"/>
  <c r="BP198" i="23"/>
  <c r="BQ198" i="23"/>
  <c r="BR198" i="23"/>
  <c r="BS198" i="23"/>
  <c r="BT198" i="23"/>
  <c r="B199" i="23"/>
  <c r="C199" i="23"/>
  <c r="D199" i="23"/>
  <c r="E199" i="23"/>
  <c r="F199" i="23"/>
  <c r="G199" i="23"/>
  <c r="H199" i="23"/>
  <c r="I199" i="23"/>
  <c r="J199" i="23"/>
  <c r="K199" i="23"/>
  <c r="L199" i="23"/>
  <c r="M199" i="23"/>
  <c r="N199" i="23"/>
  <c r="O199" i="23"/>
  <c r="P199" i="23"/>
  <c r="Q199" i="23"/>
  <c r="R199" i="23"/>
  <c r="S199" i="23"/>
  <c r="T199" i="23"/>
  <c r="U199" i="23"/>
  <c r="V199" i="23"/>
  <c r="W199" i="23"/>
  <c r="X199" i="23"/>
  <c r="Y199" i="23"/>
  <c r="Z199" i="23"/>
  <c r="AA199" i="23"/>
  <c r="AB199" i="23"/>
  <c r="AC199" i="23"/>
  <c r="AD199" i="23"/>
  <c r="AE199" i="23"/>
  <c r="AF199" i="23"/>
  <c r="AG199" i="23"/>
  <c r="AH199" i="23"/>
  <c r="AI199" i="23"/>
  <c r="AJ199" i="23"/>
  <c r="AK199" i="23"/>
  <c r="AL199" i="23"/>
  <c r="AM199" i="23"/>
  <c r="AN199" i="23"/>
  <c r="AO199" i="23"/>
  <c r="AP199" i="23"/>
  <c r="AQ199" i="23"/>
  <c r="AR199" i="23"/>
  <c r="AS199" i="23"/>
  <c r="AT199" i="23"/>
  <c r="AU199" i="23"/>
  <c r="AV199" i="23"/>
  <c r="AW199" i="23"/>
  <c r="AX199" i="23"/>
  <c r="AY199" i="23"/>
  <c r="AZ199" i="23"/>
  <c r="BA199" i="23"/>
  <c r="BB199" i="23"/>
  <c r="BC199" i="23"/>
  <c r="BD199" i="23"/>
  <c r="BE199" i="23"/>
  <c r="BF199" i="23"/>
  <c r="BG199" i="23"/>
  <c r="BH199" i="23"/>
  <c r="BI199" i="23"/>
  <c r="BJ199" i="23"/>
  <c r="BK199" i="23"/>
  <c r="BL199" i="23"/>
  <c r="BM199" i="23"/>
  <c r="BN199" i="23"/>
  <c r="BO199" i="23"/>
  <c r="BP199" i="23"/>
  <c r="BQ199" i="23"/>
  <c r="BR199" i="23"/>
  <c r="BS199" i="23"/>
  <c r="BT199" i="23"/>
  <c r="B200" i="23"/>
  <c r="C200" i="23"/>
  <c r="D200" i="23"/>
  <c r="E200" i="23"/>
  <c r="F200" i="23"/>
  <c r="G200" i="23"/>
  <c r="H200" i="23"/>
  <c r="I200" i="23"/>
  <c r="J200" i="23"/>
  <c r="K200" i="23"/>
  <c r="L200" i="23"/>
  <c r="M200" i="23"/>
  <c r="N200" i="23"/>
  <c r="O200" i="23"/>
  <c r="P200" i="23"/>
  <c r="Q200" i="23"/>
  <c r="R200" i="23"/>
  <c r="S200" i="23"/>
  <c r="T200" i="23"/>
  <c r="U200" i="23"/>
  <c r="V200" i="23"/>
  <c r="W200" i="23"/>
  <c r="X200" i="23"/>
  <c r="Y200" i="23"/>
  <c r="Z200" i="23"/>
  <c r="AA200" i="23"/>
  <c r="AB200" i="23"/>
  <c r="AC200" i="23"/>
  <c r="AD200" i="23"/>
  <c r="AE200" i="23"/>
  <c r="AF200" i="23"/>
  <c r="AG200" i="23"/>
  <c r="AH200" i="23"/>
  <c r="AI200" i="23"/>
  <c r="AJ200" i="23"/>
  <c r="AK200" i="23"/>
  <c r="AL200" i="23"/>
  <c r="AM200" i="23"/>
  <c r="AN200" i="23"/>
  <c r="AO200" i="23"/>
  <c r="AP200" i="23"/>
  <c r="AQ200" i="23"/>
  <c r="AR200" i="23"/>
  <c r="AS200" i="23"/>
  <c r="AT200" i="23"/>
  <c r="AU200" i="23"/>
  <c r="AV200" i="23"/>
  <c r="AW200" i="23"/>
  <c r="AX200" i="23"/>
  <c r="AY200" i="23"/>
  <c r="AZ200" i="23"/>
  <c r="BA200" i="23"/>
  <c r="BB200" i="23"/>
  <c r="BC200" i="23"/>
  <c r="BD200" i="23"/>
  <c r="BE200" i="23"/>
  <c r="BF200" i="23"/>
  <c r="BG200" i="23"/>
  <c r="BH200" i="23"/>
  <c r="BI200" i="23"/>
  <c r="BJ200" i="23"/>
  <c r="BK200" i="23"/>
  <c r="BL200" i="23"/>
  <c r="BM200" i="23"/>
  <c r="BN200" i="23"/>
  <c r="BO200" i="23"/>
  <c r="BP200" i="23"/>
  <c r="BQ200" i="23"/>
  <c r="BR200" i="23"/>
  <c r="BS200" i="23"/>
  <c r="BT200" i="23"/>
  <c r="B201" i="23"/>
  <c r="C201" i="23"/>
  <c r="D201" i="23"/>
  <c r="E201" i="23"/>
  <c r="F201" i="23"/>
  <c r="G201" i="23"/>
  <c r="H201" i="23"/>
  <c r="I201" i="23"/>
  <c r="J201" i="23"/>
  <c r="K201" i="23"/>
  <c r="L201" i="23"/>
  <c r="M201" i="23"/>
  <c r="N201" i="23"/>
  <c r="O201" i="23"/>
  <c r="P201" i="23"/>
  <c r="Q201" i="23"/>
  <c r="R201" i="23"/>
  <c r="S201" i="23"/>
  <c r="T201" i="23"/>
  <c r="U201" i="23"/>
  <c r="V201" i="23"/>
  <c r="W201" i="23"/>
  <c r="X201" i="23"/>
  <c r="Y201" i="23"/>
  <c r="Z201" i="23"/>
  <c r="AA201" i="23"/>
  <c r="AB201" i="23"/>
  <c r="AC201" i="23"/>
  <c r="AD201" i="23"/>
  <c r="AE201" i="23"/>
  <c r="AF201" i="23"/>
  <c r="AG201" i="23"/>
  <c r="AH201" i="23"/>
  <c r="AI201" i="23"/>
  <c r="AJ201" i="23"/>
  <c r="AK201" i="23"/>
  <c r="AL201" i="23"/>
  <c r="AM201" i="23"/>
  <c r="AN201" i="23"/>
  <c r="AO201" i="23"/>
  <c r="AP201" i="23"/>
  <c r="AQ201" i="23"/>
  <c r="AR201" i="23"/>
  <c r="AS201" i="23"/>
  <c r="AT201" i="23"/>
  <c r="AU201" i="23"/>
  <c r="AV201" i="23"/>
  <c r="AW201" i="23"/>
  <c r="AX201" i="23"/>
  <c r="AY201" i="23"/>
  <c r="AZ201" i="23"/>
  <c r="BA201" i="23"/>
  <c r="BB201" i="23"/>
  <c r="BC201" i="23"/>
  <c r="BD201" i="23"/>
  <c r="BE201" i="23"/>
  <c r="BF201" i="23"/>
  <c r="BG201" i="23"/>
  <c r="BH201" i="23"/>
  <c r="BI201" i="23"/>
  <c r="BJ201" i="23"/>
  <c r="BK201" i="23"/>
  <c r="BL201" i="23"/>
  <c r="BM201" i="23"/>
  <c r="BN201" i="23"/>
  <c r="BO201" i="23"/>
  <c r="BP201" i="23"/>
  <c r="BQ201" i="23"/>
  <c r="BR201" i="23"/>
  <c r="BS201" i="23"/>
  <c r="BT201" i="23"/>
  <c r="B202" i="23"/>
  <c r="C202" i="23"/>
  <c r="D202" i="23"/>
  <c r="E202" i="23"/>
  <c r="F202" i="23"/>
  <c r="G202" i="23"/>
  <c r="H202" i="23"/>
  <c r="I202" i="23"/>
  <c r="J202" i="23"/>
  <c r="K202" i="23"/>
  <c r="L202" i="23"/>
  <c r="M202" i="23"/>
  <c r="N202" i="23"/>
  <c r="O202" i="23"/>
  <c r="P202" i="23"/>
  <c r="Q202" i="23"/>
  <c r="R202" i="23"/>
  <c r="S202" i="23"/>
  <c r="T202" i="23"/>
  <c r="U202" i="23"/>
  <c r="V202" i="23"/>
  <c r="W202" i="23"/>
  <c r="X202" i="23"/>
  <c r="Y202" i="23"/>
  <c r="Z202" i="23"/>
  <c r="AA202" i="23"/>
  <c r="AB202" i="23"/>
  <c r="AC202" i="23"/>
  <c r="AD202" i="23"/>
  <c r="AE202" i="23"/>
  <c r="AF202" i="23"/>
  <c r="AG202" i="23"/>
  <c r="AH202" i="23"/>
  <c r="AI202" i="23"/>
  <c r="AJ202" i="23"/>
  <c r="AK202" i="23"/>
  <c r="AL202" i="23"/>
  <c r="AM202" i="23"/>
  <c r="AN202" i="23"/>
  <c r="AO202" i="23"/>
  <c r="AP202" i="23"/>
  <c r="AQ202" i="23"/>
  <c r="AR202" i="23"/>
  <c r="AS202" i="23"/>
  <c r="AT202" i="23"/>
  <c r="AU202" i="23"/>
  <c r="AV202" i="23"/>
  <c r="AW202" i="23"/>
  <c r="AX202" i="23"/>
  <c r="AY202" i="23"/>
  <c r="AZ202" i="23"/>
  <c r="BA202" i="23"/>
  <c r="BB202" i="23"/>
  <c r="BC202" i="23"/>
  <c r="BD202" i="23"/>
  <c r="BE202" i="23"/>
  <c r="BF202" i="23"/>
  <c r="BG202" i="23"/>
  <c r="BH202" i="23"/>
  <c r="BI202" i="23"/>
  <c r="BJ202" i="23"/>
  <c r="BK202" i="23"/>
  <c r="BL202" i="23"/>
  <c r="BM202" i="23"/>
  <c r="BN202" i="23"/>
  <c r="BO202" i="23"/>
  <c r="BP202" i="23"/>
  <c r="BQ202" i="23"/>
  <c r="BR202" i="23"/>
  <c r="BS202" i="23"/>
  <c r="BT202" i="23"/>
  <c r="B203" i="23"/>
  <c r="C203" i="23"/>
  <c r="D203" i="23"/>
  <c r="E203" i="23"/>
  <c r="F203" i="23"/>
  <c r="G203" i="23"/>
  <c r="H203" i="23"/>
  <c r="I203" i="23"/>
  <c r="J203" i="23"/>
  <c r="K203" i="23"/>
  <c r="L203" i="23"/>
  <c r="M203" i="23"/>
  <c r="N203" i="23"/>
  <c r="O203" i="23"/>
  <c r="P203" i="23"/>
  <c r="Q203" i="23"/>
  <c r="R203" i="23"/>
  <c r="S203" i="23"/>
  <c r="T203" i="23"/>
  <c r="U203" i="23"/>
  <c r="V203" i="23"/>
  <c r="W203" i="23"/>
  <c r="X203" i="23"/>
  <c r="Y203" i="23"/>
  <c r="Z203" i="23"/>
  <c r="AA203" i="23"/>
  <c r="AB203" i="23"/>
  <c r="AC203" i="23"/>
  <c r="AD203" i="23"/>
  <c r="AE203" i="23"/>
  <c r="AF203" i="23"/>
  <c r="AG203" i="23"/>
  <c r="AH203" i="23"/>
  <c r="AI203" i="23"/>
  <c r="AJ203" i="23"/>
  <c r="AK203" i="23"/>
  <c r="AL203" i="23"/>
  <c r="AM203" i="23"/>
  <c r="AN203" i="23"/>
  <c r="AO203" i="23"/>
  <c r="AP203" i="23"/>
  <c r="AQ203" i="23"/>
  <c r="AR203" i="23"/>
  <c r="AS203" i="23"/>
  <c r="AT203" i="23"/>
  <c r="AU203" i="23"/>
  <c r="AV203" i="23"/>
  <c r="AW203" i="23"/>
  <c r="AX203" i="23"/>
  <c r="AY203" i="23"/>
  <c r="AZ203" i="23"/>
  <c r="BA203" i="23"/>
  <c r="BB203" i="23"/>
  <c r="BC203" i="23"/>
  <c r="BD203" i="23"/>
  <c r="BE203" i="23"/>
  <c r="BF203" i="23"/>
  <c r="BG203" i="23"/>
  <c r="BH203" i="23"/>
  <c r="BI203" i="23"/>
  <c r="BJ203" i="23"/>
  <c r="BK203" i="23"/>
  <c r="BL203" i="23"/>
  <c r="BM203" i="23"/>
  <c r="BN203" i="23"/>
  <c r="BO203" i="23"/>
  <c r="BP203" i="23"/>
  <c r="BQ203" i="23"/>
  <c r="BR203" i="23"/>
  <c r="BS203" i="23"/>
  <c r="BT203" i="23"/>
  <c r="B204" i="23"/>
  <c r="C204" i="23"/>
  <c r="D204" i="23"/>
  <c r="E204" i="23"/>
  <c r="F204" i="23"/>
  <c r="G204" i="23"/>
  <c r="H204" i="23"/>
  <c r="I204" i="23"/>
  <c r="J204" i="23"/>
  <c r="K204" i="23"/>
  <c r="L204" i="23"/>
  <c r="M204" i="23"/>
  <c r="N204" i="23"/>
  <c r="O204" i="23"/>
  <c r="P204" i="23"/>
  <c r="Q204" i="23"/>
  <c r="R204" i="23"/>
  <c r="S204" i="23"/>
  <c r="T204" i="23"/>
  <c r="U204" i="23"/>
  <c r="V204" i="23"/>
  <c r="W204" i="23"/>
  <c r="X204" i="23"/>
  <c r="Y204" i="23"/>
  <c r="Z204" i="23"/>
  <c r="AA204" i="23"/>
  <c r="AB204" i="23"/>
  <c r="AC204" i="23"/>
  <c r="AD204" i="23"/>
  <c r="AE204" i="23"/>
  <c r="AF204" i="23"/>
  <c r="AG204" i="23"/>
  <c r="AH204" i="23"/>
  <c r="AI204" i="23"/>
  <c r="AJ204" i="23"/>
  <c r="AK204" i="23"/>
  <c r="AL204" i="23"/>
  <c r="AM204" i="23"/>
  <c r="AN204" i="23"/>
  <c r="AO204" i="23"/>
  <c r="AP204" i="23"/>
  <c r="AQ204" i="23"/>
  <c r="AR204" i="23"/>
  <c r="AS204" i="23"/>
  <c r="AT204" i="23"/>
  <c r="AU204" i="23"/>
  <c r="AV204" i="23"/>
  <c r="AW204" i="23"/>
  <c r="AX204" i="23"/>
  <c r="AY204" i="23"/>
  <c r="AZ204" i="23"/>
  <c r="BA204" i="23"/>
  <c r="BB204" i="23"/>
  <c r="BC204" i="23"/>
  <c r="BD204" i="23"/>
  <c r="BE204" i="23"/>
  <c r="BF204" i="23"/>
  <c r="BG204" i="23"/>
  <c r="BH204" i="23"/>
  <c r="BI204" i="23"/>
  <c r="BJ204" i="23"/>
  <c r="BK204" i="23"/>
  <c r="BL204" i="23"/>
  <c r="BM204" i="23"/>
  <c r="BN204" i="23"/>
  <c r="BO204" i="23"/>
  <c r="BP204" i="23"/>
  <c r="BQ204" i="23"/>
  <c r="BR204" i="23"/>
  <c r="BS204" i="23"/>
  <c r="BT204" i="23"/>
  <c r="B205" i="23"/>
  <c r="C205" i="23"/>
  <c r="D205" i="23"/>
  <c r="E205" i="23"/>
  <c r="F205" i="23"/>
  <c r="G205" i="23"/>
  <c r="H205" i="23"/>
  <c r="I205" i="23"/>
  <c r="J205" i="23"/>
  <c r="K205" i="23"/>
  <c r="L205" i="23"/>
  <c r="M205" i="23"/>
  <c r="N205" i="23"/>
  <c r="O205" i="23"/>
  <c r="P205" i="23"/>
  <c r="Q205" i="23"/>
  <c r="R205" i="23"/>
  <c r="S205" i="23"/>
  <c r="T205" i="23"/>
  <c r="U205" i="23"/>
  <c r="V205" i="23"/>
  <c r="W205" i="23"/>
  <c r="X205" i="23"/>
  <c r="Y205" i="23"/>
  <c r="Z205" i="23"/>
  <c r="AA205" i="23"/>
  <c r="AB205" i="23"/>
  <c r="AC205" i="23"/>
  <c r="AD205" i="23"/>
  <c r="AE205" i="23"/>
  <c r="AF205" i="23"/>
  <c r="AG205" i="23"/>
  <c r="AH205" i="23"/>
  <c r="AI205" i="23"/>
  <c r="AJ205" i="23"/>
  <c r="AK205" i="23"/>
  <c r="AL205" i="23"/>
  <c r="AM205" i="23"/>
  <c r="AN205" i="23"/>
  <c r="AO205" i="23"/>
  <c r="AP205" i="23"/>
  <c r="AQ205" i="23"/>
  <c r="AR205" i="23"/>
  <c r="AS205" i="23"/>
  <c r="AT205" i="23"/>
  <c r="AU205" i="23"/>
  <c r="AV205" i="23"/>
  <c r="AW205" i="23"/>
  <c r="AX205" i="23"/>
  <c r="AY205" i="23"/>
  <c r="AZ205" i="23"/>
  <c r="BA205" i="23"/>
  <c r="BB205" i="23"/>
  <c r="BC205" i="23"/>
  <c r="BD205" i="23"/>
  <c r="BE205" i="23"/>
  <c r="BF205" i="23"/>
  <c r="BG205" i="23"/>
  <c r="BH205" i="23"/>
  <c r="BI205" i="23"/>
  <c r="BJ205" i="23"/>
  <c r="BK205" i="23"/>
  <c r="BL205" i="23"/>
  <c r="BM205" i="23"/>
  <c r="BN205" i="23"/>
  <c r="BO205" i="23"/>
  <c r="BP205" i="23"/>
  <c r="BQ205" i="23"/>
  <c r="BR205" i="23"/>
  <c r="BS205" i="23"/>
  <c r="BT205" i="23"/>
  <c r="B206" i="23"/>
  <c r="C206" i="23"/>
  <c r="D206" i="23"/>
  <c r="E206" i="23"/>
  <c r="F206" i="23"/>
  <c r="G206" i="23"/>
  <c r="H206" i="23"/>
  <c r="I206" i="23"/>
  <c r="J206" i="23"/>
  <c r="K206" i="23"/>
  <c r="L206" i="23"/>
  <c r="M206" i="23"/>
  <c r="N206" i="23"/>
  <c r="O206" i="23"/>
  <c r="P206" i="23"/>
  <c r="Q206" i="23"/>
  <c r="R206" i="23"/>
  <c r="S206" i="23"/>
  <c r="T206" i="23"/>
  <c r="U206" i="23"/>
  <c r="V206" i="23"/>
  <c r="W206" i="23"/>
  <c r="X206" i="23"/>
  <c r="Y206" i="23"/>
  <c r="Z206" i="23"/>
  <c r="AA206" i="23"/>
  <c r="AB206" i="23"/>
  <c r="AC206" i="23"/>
  <c r="AD206" i="23"/>
  <c r="AE206" i="23"/>
  <c r="AF206" i="23"/>
  <c r="AG206" i="23"/>
  <c r="AH206" i="23"/>
  <c r="AI206" i="23"/>
  <c r="AJ206" i="23"/>
  <c r="AK206" i="23"/>
  <c r="AL206" i="23"/>
  <c r="AM206" i="23"/>
  <c r="AN206" i="23"/>
  <c r="AO206" i="23"/>
  <c r="AP206" i="23"/>
  <c r="AQ206" i="23"/>
  <c r="AR206" i="23"/>
  <c r="AS206" i="23"/>
  <c r="AT206" i="23"/>
  <c r="AU206" i="23"/>
  <c r="AV206" i="23"/>
  <c r="AW206" i="23"/>
  <c r="AX206" i="23"/>
  <c r="AY206" i="23"/>
  <c r="AZ206" i="23"/>
  <c r="BA206" i="23"/>
  <c r="BB206" i="23"/>
  <c r="BC206" i="23"/>
  <c r="BD206" i="23"/>
  <c r="BE206" i="23"/>
  <c r="BF206" i="23"/>
  <c r="BG206" i="23"/>
  <c r="BH206" i="23"/>
  <c r="BI206" i="23"/>
  <c r="BJ206" i="23"/>
  <c r="BK206" i="23"/>
  <c r="BL206" i="23"/>
  <c r="BM206" i="23"/>
  <c r="BN206" i="23"/>
  <c r="BO206" i="23"/>
  <c r="BP206" i="23"/>
  <c r="BQ206" i="23"/>
  <c r="BR206" i="23"/>
  <c r="BS206" i="23"/>
  <c r="BT206" i="23"/>
  <c r="B207" i="23"/>
  <c r="C207" i="23"/>
  <c r="D207" i="23"/>
  <c r="E207" i="23"/>
  <c r="F207" i="23"/>
  <c r="G207" i="23"/>
  <c r="H207" i="23"/>
  <c r="I207" i="23"/>
  <c r="J207" i="23"/>
  <c r="K207" i="23"/>
  <c r="L207" i="23"/>
  <c r="M207" i="23"/>
  <c r="N207" i="23"/>
  <c r="O207" i="23"/>
  <c r="P207" i="23"/>
  <c r="Q207" i="23"/>
  <c r="R207" i="23"/>
  <c r="S207" i="23"/>
  <c r="T207" i="23"/>
  <c r="U207" i="23"/>
  <c r="V207" i="23"/>
  <c r="W207" i="23"/>
  <c r="X207" i="23"/>
  <c r="Y207" i="23"/>
  <c r="Z207" i="23"/>
  <c r="AA207" i="23"/>
  <c r="AB207" i="23"/>
  <c r="AC207" i="23"/>
  <c r="AD207" i="23"/>
  <c r="AE207" i="23"/>
  <c r="AF207" i="23"/>
  <c r="AG207" i="23"/>
  <c r="AH207" i="23"/>
  <c r="AI207" i="23"/>
  <c r="AJ207" i="23"/>
  <c r="AK207" i="23"/>
  <c r="AL207" i="23"/>
  <c r="AM207" i="23"/>
  <c r="AN207" i="23"/>
  <c r="AO207" i="23"/>
  <c r="AP207" i="23"/>
  <c r="AQ207" i="23"/>
  <c r="AR207" i="23"/>
  <c r="AS207" i="23"/>
  <c r="AT207" i="23"/>
  <c r="AU207" i="23"/>
  <c r="AV207" i="23"/>
  <c r="AW207" i="23"/>
  <c r="AX207" i="23"/>
  <c r="AY207" i="23"/>
  <c r="AZ207" i="23"/>
  <c r="BA207" i="23"/>
  <c r="BB207" i="23"/>
  <c r="BC207" i="23"/>
  <c r="BD207" i="23"/>
  <c r="BE207" i="23"/>
  <c r="BF207" i="23"/>
  <c r="BG207" i="23"/>
  <c r="BH207" i="23"/>
  <c r="BI207" i="23"/>
  <c r="BJ207" i="23"/>
  <c r="BK207" i="23"/>
  <c r="BL207" i="23"/>
  <c r="BM207" i="23"/>
  <c r="BN207" i="23"/>
  <c r="BO207" i="23"/>
  <c r="BP207" i="23"/>
  <c r="BQ207" i="23"/>
  <c r="BR207" i="23"/>
  <c r="BS207" i="23"/>
  <c r="BT207" i="23"/>
  <c r="B208" i="23"/>
  <c r="C208" i="23"/>
  <c r="D208" i="23"/>
  <c r="E208" i="23"/>
  <c r="F208" i="23"/>
  <c r="G208" i="23"/>
  <c r="H208" i="23"/>
  <c r="I208" i="23"/>
  <c r="J208" i="23"/>
  <c r="K208" i="23"/>
  <c r="L208" i="23"/>
  <c r="M208" i="23"/>
  <c r="N208" i="23"/>
  <c r="O208" i="23"/>
  <c r="P208" i="23"/>
  <c r="Q208" i="23"/>
  <c r="R208" i="23"/>
  <c r="S208" i="23"/>
  <c r="T208" i="23"/>
  <c r="U208" i="23"/>
  <c r="V208" i="23"/>
  <c r="W208" i="23"/>
  <c r="X208" i="23"/>
  <c r="Y208" i="23"/>
  <c r="Z208" i="23"/>
  <c r="AA208" i="23"/>
  <c r="AB208" i="23"/>
  <c r="AC208" i="23"/>
  <c r="AD208" i="23"/>
  <c r="AE208" i="23"/>
  <c r="AF208" i="23"/>
  <c r="AG208" i="23"/>
  <c r="AH208" i="23"/>
  <c r="AI208" i="23"/>
  <c r="AJ208" i="23"/>
  <c r="AK208" i="23"/>
  <c r="AL208" i="23"/>
  <c r="AM208" i="23"/>
  <c r="AN208" i="23"/>
  <c r="AO208" i="23"/>
  <c r="AP208" i="23"/>
  <c r="AQ208" i="23"/>
  <c r="AR208" i="23"/>
  <c r="AS208" i="23"/>
  <c r="AT208" i="23"/>
  <c r="AU208" i="23"/>
  <c r="AV208" i="23"/>
  <c r="AW208" i="23"/>
  <c r="AX208" i="23"/>
  <c r="AY208" i="23"/>
  <c r="AZ208" i="23"/>
  <c r="BA208" i="23"/>
  <c r="BB208" i="23"/>
  <c r="BC208" i="23"/>
  <c r="BD208" i="23"/>
  <c r="BE208" i="23"/>
  <c r="BF208" i="23"/>
  <c r="BG208" i="23"/>
  <c r="BH208" i="23"/>
  <c r="BI208" i="23"/>
  <c r="BJ208" i="23"/>
  <c r="BK208" i="23"/>
  <c r="BL208" i="23"/>
  <c r="BM208" i="23"/>
  <c r="BN208" i="23"/>
  <c r="BO208" i="23"/>
  <c r="BP208" i="23"/>
  <c r="BQ208" i="23"/>
  <c r="BR208" i="23"/>
  <c r="BS208" i="23"/>
  <c r="BT208" i="23"/>
  <c r="B209" i="23"/>
  <c r="C209" i="23"/>
  <c r="D209" i="23"/>
  <c r="E209" i="23"/>
  <c r="F209" i="23"/>
  <c r="G209" i="23"/>
  <c r="H209" i="23"/>
  <c r="I209" i="23"/>
  <c r="J209" i="23"/>
  <c r="K209" i="23"/>
  <c r="L209" i="23"/>
  <c r="M209" i="23"/>
  <c r="N209" i="23"/>
  <c r="O209" i="23"/>
  <c r="P209" i="23"/>
  <c r="Q209" i="23"/>
  <c r="R209" i="23"/>
  <c r="S209" i="23"/>
  <c r="T209" i="23"/>
  <c r="U209" i="23"/>
  <c r="V209" i="23"/>
  <c r="W209" i="23"/>
  <c r="X209" i="23"/>
  <c r="Y209" i="23"/>
  <c r="Z209" i="23"/>
  <c r="AA209" i="23"/>
  <c r="AB209" i="23"/>
  <c r="AC209" i="23"/>
  <c r="AD209" i="23"/>
  <c r="AE209" i="23"/>
  <c r="AF209" i="23"/>
  <c r="AG209" i="23"/>
  <c r="AH209" i="23"/>
  <c r="AI209" i="23"/>
  <c r="AJ209" i="23"/>
  <c r="AK209" i="23"/>
  <c r="AL209" i="23"/>
  <c r="AM209" i="23"/>
  <c r="AN209" i="23"/>
  <c r="AO209" i="23"/>
  <c r="AP209" i="23"/>
  <c r="AQ209" i="23"/>
  <c r="AR209" i="23"/>
  <c r="AS209" i="23"/>
  <c r="AT209" i="23"/>
  <c r="AU209" i="23"/>
  <c r="AV209" i="23"/>
  <c r="AW209" i="23"/>
  <c r="AX209" i="23"/>
  <c r="AY209" i="23"/>
  <c r="AZ209" i="23"/>
  <c r="BA209" i="23"/>
  <c r="BB209" i="23"/>
  <c r="BC209" i="23"/>
  <c r="BD209" i="23"/>
  <c r="BE209" i="23"/>
  <c r="BF209" i="23"/>
  <c r="BG209" i="23"/>
  <c r="BH209" i="23"/>
  <c r="BI209" i="23"/>
  <c r="BJ209" i="23"/>
  <c r="BK209" i="23"/>
  <c r="BL209" i="23"/>
  <c r="BM209" i="23"/>
  <c r="BN209" i="23"/>
  <c r="BO209" i="23"/>
  <c r="BP209" i="23"/>
  <c r="BQ209" i="23"/>
  <c r="BR209" i="23"/>
  <c r="BS209" i="23"/>
  <c r="BT209" i="23"/>
  <c r="B210" i="23"/>
  <c r="C210" i="23"/>
  <c r="D210" i="23"/>
  <c r="E210" i="23"/>
  <c r="F210" i="23"/>
  <c r="G210" i="23"/>
  <c r="H210" i="23"/>
  <c r="I210" i="23"/>
  <c r="J210" i="23"/>
  <c r="K210" i="23"/>
  <c r="L210" i="23"/>
  <c r="M210" i="23"/>
  <c r="N210" i="23"/>
  <c r="O210" i="23"/>
  <c r="P210" i="23"/>
  <c r="Q210" i="23"/>
  <c r="R210" i="23"/>
  <c r="S210" i="23"/>
  <c r="T210" i="23"/>
  <c r="U210" i="23"/>
  <c r="V210" i="23"/>
  <c r="W210" i="23"/>
  <c r="X210" i="23"/>
  <c r="Y210" i="23"/>
  <c r="Z210" i="23"/>
  <c r="AA210" i="23"/>
  <c r="AB210" i="23"/>
  <c r="AC210" i="23"/>
  <c r="AD210" i="23"/>
  <c r="AE210" i="23"/>
  <c r="AF210" i="23"/>
  <c r="AG210" i="23"/>
  <c r="AH210" i="23"/>
  <c r="AI210" i="23"/>
  <c r="AJ210" i="23"/>
  <c r="AK210" i="23"/>
  <c r="AL210" i="23"/>
  <c r="AM210" i="23"/>
  <c r="AN210" i="23"/>
  <c r="AO210" i="23"/>
  <c r="AP210" i="23"/>
  <c r="AQ210" i="23"/>
  <c r="AR210" i="23"/>
  <c r="AS210" i="23"/>
  <c r="AT210" i="23"/>
  <c r="AU210" i="23"/>
  <c r="AV210" i="23"/>
  <c r="AW210" i="23"/>
  <c r="AX210" i="23"/>
  <c r="AY210" i="23"/>
  <c r="AZ210" i="23"/>
  <c r="BA210" i="23"/>
  <c r="BB210" i="23"/>
  <c r="BC210" i="23"/>
  <c r="BD210" i="23"/>
  <c r="BE210" i="23"/>
  <c r="BF210" i="23"/>
  <c r="BG210" i="23"/>
  <c r="BH210" i="23"/>
  <c r="BI210" i="23"/>
  <c r="BJ210" i="23"/>
  <c r="BK210" i="23"/>
  <c r="BL210" i="23"/>
  <c r="BM210" i="23"/>
  <c r="BN210" i="23"/>
  <c r="BO210" i="23"/>
  <c r="BP210" i="23"/>
  <c r="BQ210" i="23"/>
  <c r="BR210" i="23"/>
  <c r="BS210" i="23"/>
  <c r="BT210" i="23"/>
  <c r="B211" i="23"/>
  <c r="C211" i="23"/>
  <c r="D211" i="23"/>
  <c r="E211" i="23"/>
  <c r="F211" i="23"/>
  <c r="G211" i="23"/>
  <c r="H211" i="23"/>
  <c r="I211" i="23"/>
  <c r="J211" i="23"/>
  <c r="K211" i="23"/>
  <c r="L211" i="23"/>
  <c r="M211" i="23"/>
  <c r="N211" i="23"/>
  <c r="O211" i="23"/>
  <c r="P211" i="23"/>
  <c r="Q211" i="23"/>
  <c r="R211" i="23"/>
  <c r="S211" i="23"/>
  <c r="T211" i="23"/>
  <c r="U211" i="23"/>
  <c r="V211" i="23"/>
  <c r="W211" i="23"/>
  <c r="X211" i="23"/>
  <c r="Y211" i="23"/>
  <c r="Z211" i="23"/>
  <c r="AA211" i="23"/>
  <c r="AB211" i="23"/>
  <c r="AC211" i="23"/>
  <c r="AD211" i="23"/>
  <c r="AE211" i="23"/>
  <c r="AF211" i="23"/>
  <c r="AG211" i="23"/>
  <c r="AH211" i="23"/>
  <c r="AI211" i="23"/>
  <c r="AJ211" i="23"/>
  <c r="AK211" i="23"/>
  <c r="AL211" i="23"/>
  <c r="AM211" i="23"/>
  <c r="AN211" i="23"/>
  <c r="AO211" i="23"/>
  <c r="AP211" i="23"/>
  <c r="AQ211" i="23"/>
  <c r="AR211" i="23"/>
  <c r="AS211" i="23"/>
  <c r="AT211" i="23"/>
  <c r="AU211" i="23"/>
  <c r="AV211" i="23"/>
  <c r="AW211" i="23"/>
  <c r="AX211" i="23"/>
  <c r="AY211" i="23"/>
  <c r="AZ211" i="23"/>
  <c r="BA211" i="23"/>
  <c r="BB211" i="23"/>
  <c r="BC211" i="23"/>
  <c r="BD211" i="23"/>
  <c r="BE211" i="23"/>
  <c r="BF211" i="23"/>
  <c r="BG211" i="23"/>
  <c r="BH211" i="23"/>
  <c r="BI211" i="23"/>
  <c r="BJ211" i="23"/>
  <c r="BK211" i="23"/>
  <c r="BL211" i="23"/>
  <c r="BM211" i="23"/>
  <c r="BN211" i="23"/>
  <c r="BO211" i="23"/>
  <c r="BP211" i="23"/>
  <c r="BQ211" i="23"/>
  <c r="BR211" i="23"/>
  <c r="BS211" i="23"/>
  <c r="BT211" i="23"/>
  <c r="B212" i="23"/>
  <c r="C212" i="23"/>
  <c r="D212" i="23"/>
  <c r="E212" i="23"/>
  <c r="F212" i="23"/>
  <c r="G212" i="23"/>
  <c r="H212" i="23"/>
  <c r="I212" i="23"/>
  <c r="J212" i="23"/>
  <c r="K212" i="23"/>
  <c r="L212" i="23"/>
  <c r="M212" i="23"/>
  <c r="N212" i="23"/>
  <c r="O212" i="23"/>
  <c r="P212" i="23"/>
  <c r="Q212" i="23"/>
  <c r="R212" i="23"/>
  <c r="S212" i="23"/>
  <c r="T212" i="23"/>
  <c r="U212" i="23"/>
  <c r="V212" i="23"/>
  <c r="W212" i="23"/>
  <c r="X212" i="23"/>
  <c r="Y212" i="23"/>
  <c r="Z212" i="23"/>
  <c r="AA212" i="23"/>
  <c r="AB212" i="23"/>
  <c r="AC212" i="23"/>
  <c r="AD212" i="23"/>
  <c r="AE212" i="23"/>
  <c r="AF212" i="23"/>
  <c r="AG212" i="23"/>
  <c r="AH212" i="23"/>
  <c r="AI212" i="23"/>
  <c r="AJ212" i="23"/>
  <c r="AK212" i="23"/>
  <c r="AL212" i="23"/>
  <c r="AM212" i="23"/>
  <c r="AN212" i="23"/>
  <c r="AO212" i="23"/>
  <c r="AP212" i="23"/>
  <c r="AQ212" i="23"/>
  <c r="AR212" i="23"/>
  <c r="AS212" i="23"/>
  <c r="AT212" i="23"/>
  <c r="AU212" i="23"/>
  <c r="AV212" i="23"/>
  <c r="AW212" i="23"/>
  <c r="AX212" i="23"/>
  <c r="AY212" i="23"/>
  <c r="AZ212" i="23"/>
  <c r="BA212" i="23"/>
  <c r="BB212" i="23"/>
  <c r="BC212" i="23"/>
  <c r="BD212" i="23"/>
  <c r="BE212" i="23"/>
  <c r="BF212" i="23"/>
  <c r="BG212" i="23"/>
  <c r="BH212" i="23"/>
  <c r="BI212" i="23"/>
  <c r="BJ212" i="23"/>
  <c r="BK212" i="23"/>
  <c r="BL212" i="23"/>
  <c r="BM212" i="23"/>
  <c r="BN212" i="23"/>
  <c r="BO212" i="23"/>
  <c r="BP212" i="23"/>
  <c r="BQ212" i="23"/>
  <c r="BR212" i="23"/>
  <c r="BS212" i="23"/>
  <c r="BT212" i="23"/>
  <c r="B213" i="23"/>
  <c r="C213" i="23"/>
  <c r="D213" i="23"/>
  <c r="E213" i="23"/>
  <c r="F213" i="23"/>
  <c r="G213" i="23"/>
  <c r="H213" i="23"/>
  <c r="I213" i="23"/>
  <c r="J213" i="23"/>
  <c r="K213" i="23"/>
  <c r="L213" i="23"/>
  <c r="M213" i="23"/>
  <c r="N213" i="23"/>
  <c r="O213" i="23"/>
  <c r="P213" i="23"/>
  <c r="Q213" i="23"/>
  <c r="R213" i="23"/>
  <c r="S213" i="23"/>
  <c r="T213" i="23"/>
  <c r="U213" i="23"/>
  <c r="V213" i="23"/>
  <c r="W213" i="23"/>
  <c r="X213" i="23"/>
  <c r="Y213" i="23"/>
  <c r="Z213" i="23"/>
  <c r="AA213" i="23"/>
  <c r="AB213" i="23"/>
  <c r="AC213" i="23"/>
  <c r="AD213" i="23"/>
  <c r="AE213" i="23"/>
  <c r="AF213" i="23"/>
  <c r="AG213" i="23"/>
  <c r="AH213" i="23"/>
  <c r="AI213" i="23"/>
  <c r="AJ213" i="23"/>
  <c r="AK213" i="23"/>
  <c r="AL213" i="23"/>
  <c r="AM213" i="23"/>
  <c r="AN213" i="23"/>
  <c r="AO213" i="23"/>
  <c r="AP213" i="23"/>
  <c r="AQ213" i="23"/>
  <c r="AR213" i="23"/>
  <c r="AS213" i="23"/>
  <c r="AT213" i="23"/>
  <c r="AU213" i="23"/>
  <c r="AV213" i="23"/>
  <c r="AW213" i="23"/>
  <c r="AX213" i="23"/>
  <c r="AY213" i="23"/>
  <c r="AZ213" i="23"/>
  <c r="BA213" i="23"/>
  <c r="BB213" i="23"/>
  <c r="BC213" i="23"/>
  <c r="BD213" i="23"/>
  <c r="BE213" i="23"/>
  <c r="BF213" i="23"/>
  <c r="BG213" i="23"/>
  <c r="BH213" i="23"/>
  <c r="BI213" i="23"/>
  <c r="BJ213" i="23"/>
  <c r="BK213" i="23"/>
  <c r="BL213" i="23"/>
  <c r="BM213" i="23"/>
  <c r="BN213" i="23"/>
  <c r="BO213" i="23"/>
  <c r="BP213" i="23"/>
  <c r="BQ213" i="23"/>
  <c r="BR213" i="23"/>
  <c r="BS213" i="23"/>
  <c r="BT213" i="23"/>
  <c r="B214" i="23"/>
  <c r="C214" i="23"/>
  <c r="D214" i="23"/>
  <c r="E214" i="23"/>
  <c r="F214" i="23"/>
  <c r="G214" i="23"/>
  <c r="H214" i="23"/>
  <c r="I214" i="23"/>
  <c r="J214" i="23"/>
  <c r="K214" i="23"/>
  <c r="L214" i="23"/>
  <c r="M214" i="23"/>
  <c r="N214" i="23"/>
  <c r="O214" i="23"/>
  <c r="P214" i="23"/>
  <c r="Q214" i="23"/>
  <c r="R214" i="23"/>
  <c r="S214" i="23"/>
  <c r="T214" i="23"/>
  <c r="U214" i="23"/>
  <c r="V214" i="23"/>
  <c r="W214" i="23"/>
  <c r="X214" i="23"/>
  <c r="Y214" i="23"/>
  <c r="Z214" i="23"/>
  <c r="AA214" i="23"/>
  <c r="AB214" i="23"/>
  <c r="AC214" i="23"/>
  <c r="AD214" i="23"/>
  <c r="AE214" i="23"/>
  <c r="AF214" i="23"/>
  <c r="AG214" i="23"/>
  <c r="AH214" i="23"/>
  <c r="AI214" i="23"/>
  <c r="AJ214" i="23"/>
  <c r="AK214" i="23"/>
  <c r="AL214" i="23"/>
  <c r="AM214" i="23"/>
  <c r="AN214" i="23"/>
  <c r="AO214" i="23"/>
  <c r="AP214" i="23"/>
  <c r="AQ214" i="23"/>
  <c r="AR214" i="23"/>
  <c r="AS214" i="23"/>
  <c r="AT214" i="23"/>
  <c r="AU214" i="23"/>
  <c r="AV214" i="23"/>
  <c r="AW214" i="23"/>
  <c r="AX214" i="23"/>
  <c r="AY214" i="23"/>
  <c r="AZ214" i="23"/>
  <c r="BA214" i="23"/>
  <c r="BB214" i="23"/>
  <c r="BC214" i="23"/>
  <c r="BD214" i="23"/>
  <c r="BE214" i="23"/>
  <c r="BF214" i="23"/>
  <c r="BG214" i="23"/>
  <c r="BH214" i="23"/>
  <c r="BI214" i="23"/>
  <c r="BJ214" i="23"/>
  <c r="BK214" i="23"/>
  <c r="BL214" i="23"/>
  <c r="BM214" i="23"/>
  <c r="BN214" i="23"/>
  <c r="BO214" i="23"/>
  <c r="BP214" i="23"/>
  <c r="BQ214" i="23"/>
  <c r="BR214" i="23"/>
  <c r="BS214" i="23"/>
  <c r="BT214" i="23"/>
  <c r="B215" i="23"/>
  <c r="C215" i="23"/>
  <c r="D215" i="23"/>
  <c r="E215" i="23"/>
  <c r="F215" i="23"/>
  <c r="G215" i="23"/>
  <c r="H215" i="23"/>
  <c r="I215" i="23"/>
  <c r="J215" i="23"/>
  <c r="K215" i="23"/>
  <c r="L215" i="23"/>
  <c r="M215" i="23"/>
  <c r="N215" i="23"/>
  <c r="O215" i="23"/>
  <c r="P215" i="23"/>
  <c r="Q215" i="23"/>
  <c r="R215" i="23"/>
  <c r="S215" i="23"/>
  <c r="T215" i="23"/>
  <c r="U215" i="23"/>
  <c r="V215" i="23"/>
  <c r="W215" i="23"/>
  <c r="X215" i="23"/>
  <c r="Y215" i="23"/>
  <c r="Z215" i="23"/>
  <c r="AA215" i="23"/>
  <c r="AB215" i="23"/>
  <c r="AC215" i="23"/>
  <c r="AD215" i="23"/>
  <c r="AE215" i="23"/>
  <c r="AF215" i="23"/>
  <c r="AG215" i="23"/>
  <c r="AH215" i="23"/>
  <c r="AI215" i="23"/>
  <c r="AJ215" i="23"/>
  <c r="AK215" i="23"/>
  <c r="AL215" i="23"/>
  <c r="AM215" i="23"/>
  <c r="AN215" i="23"/>
  <c r="AO215" i="23"/>
  <c r="AP215" i="23"/>
  <c r="AQ215" i="23"/>
  <c r="AR215" i="23"/>
  <c r="AS215" i="23"/>
  <c r="AT215" i="23"/>
  <c r="AU215" i="23"/>
  <c r="AV215" i="23"/>
  <c r="AW215" i="23"/>
  <c r="AX215" i="23"/>
  <c r="AY215" i="23"/>
  <c r="AZ215" i="23"/>
  <c r="BA215" i="23"/>
  <c r="BB215" i="23"/>
  <c r="BC215" i="23"/>
  <c r="BD215" i="23"/>
  <c r="BE215" i="23"/>
  <c r="BF215" i="23"/>
  <c r="BG215" i="23"/>
  <c r="BH215" i="23"/>
  <c r="BI215" i="23"/>
  <c r="BJ215" i="23"/>
  <c r="BK215" i="23"/>
  <c r="BL215" i="23"/>
  <c r="BM215" i="23"/>
  <c r="BN215" i="23"/>
  <c r="BO215" i="23"/>
  <c r="BP215" i="23"/>
  <c r="BQ215" i="23"/>
  <c r="BR215" i="23"/>
  <c r="BS215" i="23"/>
  <c r="BT215" i="23"/>
  <c r="B216" i="23"/>
  <c r="C216" i="23"/>
  <c r="D216" i="23"/>
  <c r="E216" i="23"/>
  <c r="F216" i="23"/>
  <c r="G216" i="23"/>
  <c r="H216" i="23"/>
  <c r="I216" i="23"/>
  <c r="J216" i="23"/>
  <c r="K216" i="23"/>
  <c r="L216" i="23"/>
  <c r="M216" i="23"/>
  <c r="N216" i="23"/>
  <c r="O216" i="23"/>
  <c r="P216" i="23"/>
  <c r="Q216" i="23"/>
  <c r="R216" i="23"/>
  <c r="S216" i="23"/>
  <c r="T216" i="23"/>
  <c r="U216" i="23"/>
  <c r="V216" i="23"/>
  <c r="W216" i="23"/>
  <c r="X216" i="23"/>
  <c r="Y216" i="23"/>
  <c r="Z216" i="23"/>
  <c r="AA216" i="23"/>
  <c r="AB216" i="23"/>
  <c r="AC216" i="23"/>
  <c r="AD216" i="23"/>
  <c r="AE216" i="23"/>
  <c r="AF216" i="23"/>
  <c r="AG216" i="23"/>
  <c r="AH216" i="23"/>
  <c r="AI216" i="23"/>
  <c r="AJ216" i="23"/>
  <c r="AK216" i="23"/>
  <c r="AL216" i="23"/>
  <c r="AM216" i="23"/>
  <c r="AN216" i="23"/>
  <c r="AO216" i="23"/>
  <c r="AP216" i="23"/>
  <c r="AQ216" i="23"/>
  <c r="AR216" i="23"/>
  <c r="AS216" i="23"/>
  <c r="AT216" i="23"/>
  <c r="AU216" i="23"/>
  <c r="AV216" i="23"/>
  <c r="AW216" i="23"/>
  <c r="AX216" i="23"/>
  <c r="AY216" i="23"/>
  <c r="AZ216" i="23"/>
  <c r="BA216" i="23"/>
  <c r="BB216" i="23"/>
  <c r="BC216" i="23"/>
  <c r="BD216" i="23"/>
  <c r="BE216" i="23"/>
  <c r="BF216" i="23"/>
  <c r="BG216" i="23"/>
  <c r="BH216" i="23"/>
  <c r="BI216" i="23"/>
  <c r="BJ216" i="23"/>
  <c r="BK216" i="23"/>
  <c r="BL216" i="23"/>
  <c r="BM216" i="23"/>
  <c r="BN216" i="23"/>
  <c r="BO216" i="23"/>
  <c r="BP216" i="23"/>
  <c r="BQ216" i="23"/>
  <c r="BR216" i="23"/>
  <c r="BS216" i="23"/>
  <c r="BT216" i="23"/>
  <c r="B217" i="23"/>
  <c r="C217" i="23"/>
  <c r="D217" i="23"/>
  <c r="E217" i="23"/>
  <c r="F217" i="23"/>
  <c r="G217" i="23"/>
  <c r="H217" i="23"/>
  <c r="I217" i="23"/>
  <c r="J217" i="23"/>
  <c r="K217" i="23"/>
  <c r="L217" i="23"/>
  <c r="M217" i="23"/>
  <c r="N217" i="23"/>
  <c r="O217" i="23"/>
  <c r="P217" i="23"/>
  <c r="Q217" i="23"/>
  <c r="R217" i="23"/>
  <c r="S217" i="23"/>
  <c r="T217" i="23"/>
  <c r="U217" i="23"/>
  <c r="V217" i="23"/>
  <c r="W217" i="23"/>
  <c r="X217" i="23"/>
  <c r="Y217" i="23"/>
  <c r="Z217" i="23"/>
  <c r="AA217" i="23"/>
  <c r="AB217" i="23"/>
  <c r="AC217" i="23"/>
  <c r="AD217" i="23"/>
  <c r="AE217" i="23"/>
  <c r="AF217" i="23"/>
  <c r="AG217" i="23"/>
  <c r="AH217" i="23"/>
  <c r="AI217" i="23"/>
  <c r="AJ217" i="23"/>
  <c r="AK217" i="23"/>
  <c r="AL217" i="23"/>
  <c r="AM217" i="23"/>
  <c r="AN217" i="23"/>
  <c r="AO217" i="23"/>
  <c r="AP217" i="23"/>
  <c r="AQ217" i="23"/>
  <c r="AR217" i="23"/>
  <c r="AS217" i="23"/>
  <c r="AT217" i="23"/>
  <c r="AU217" i="23"/>
  <c r="AV217" i="23"/>
  <c r="AW217" i="23"/>
  <c r="AX217" i="23"/>
  <c r="AY217" i="23"/>
  <c r="AZ217" i="23"/>
  <c r="BA217" i="23"/>
  <c r="BB217" i="23"/>
  <c r="BC217" i="23"/>
  <c r="BD217" i="23"/>
  <c r="BE217" i="23"/>
  <c r="BF217" i="23"/>
  <c r="BG217" i="23"/>
  <c r="BH217" i="23"/>
  <c r="BI217" i="23"/>
  <c r="BJ217" i="23"/>
  <c r="BK217" i="23"/>
  <c r="BL217" i="23"/>
  <c r="BM217" i="23"/>
  <c r="BN217" i="23"/>
  <c r="BO217" i="23"/>
  <c r="BP217" i="23"/>
  <c r="BQ217" i="23"/>
  <c r="BR217" i="23"/>
  <c r="BS217" i="23"/>
  <c r="BT217" i="23"/>
  <c r="B218" i="23"/>
  <c r="C218" i="23"/>
  <c r="D218" i="23"/>
  <c r="E218" i="23"/>
  <c r="F218" i="23"/>
  <c r="G218" i="23"/>
  <c r="H218" i="23"/>
  <c r="I218" i="23"/>
  <c r="J218" i="23"/>
  <c r="K218" i="23"/>
  <c r="L218" i="23"/>
  <c r="M218" i="23"/>
  <c r="N218" i="23"/>
  <c r="O218" i="23"/>
  <c r="P218" i="23"/>
  <c r="Q218" i="23"/>
  <c r="R218" i="23"/>
  <c r="S218" i="23"/>
  <c r="T218" i="23"/>
  <c r="U218" i="23"/>
  <c r="V218" i="23"/>
  <c r="W218" i="23"/>
  <c r="X218" i="23"/>
  <c r="Y218" i="23"/>
  <c r="Z218" i="23"/>
  <c r="AA218" i="23"/>
  <c r="AB218" i="23"/>
  <c r="AC218" i="23"/>
  <c r="AD218" i="23"/>
  <c r="AE218" i="23"/>
  <c r="AF218" i="23"/>
  <c r="AG218" i="23"/>
  <c r="AH218" i="23"/>
  <c r="AI218" i="23"/>
  <c r="AJ218" i="23"/>
  <c r="AK218" i="23"/>
  <c r="AL218" i="23"/>
  <c r="AM218" i="23"/>
  <c r="AN218" i="23"/>
  <c r="AO218" i="23"/>
  <c r="AP218" i="23"/>
  <c r="AQ218" i="23"/>
  <c r="AR218" i="23"/>
  <c r="AS218" i="23"/>
  <c r="AT218" i="23"/>
  <c r="AU218" i="23"/>
  <c r="AV218" i="23"/>
  <c r="AW218" i="23"/>
  <c r="AX218" i="23"/>
  <c r="AY218" i="23"/>
  <c r="AZ218" i="23"/>
  <c r="BA218" i="23"/>
  <c r="BB218" i="23"/>
  <c r="BC218" i="23"/>
  <c r="BD218" i="23"/>
  <c r="BE218" i="23"/>
  <c r="BF218" i="23"/>
  <c r="BG218" i="23"/>
  <c r="BH218" i="23"/>
  <c r="BI218" i="23"/>
  <c r="BJ218" i="23"/>
  <c r="BK218" i="23"/>
  <c r="BL218" i="23"/>
  <c r="BM218" i="23"/>
  <c r="BN218" i="23"/>
  <c r="BO218" i="23"/>
  <c r="BP218" i="23"/>
  <c r="BQ218" i="23"/>
  <c r="BR218" i="23"/>
  <c r="BS218" i="23"/>
  <c r="BT218" i="23"/>
  <c r="B219" i="23"/>
  <c r="C219" i="23"/>
  <c r="D219" i="23"/>
  <c r="E219" i="23"/>
  <c r="F219" i="23"/>
  <c r="G219" i="23"/>
  <c r="H219" i="23"/>
  <c r="I219" i="23"/>
  <c r="J219" i="23"/>
  <c r="K219" i="23"/>
  <c r="L219" i="23"/>
  <c r="M219" i="23"/>
  <c r="N219" i="23"/>
  <c r="O219" i="23"/>
  <c r="P219" i="23"/>
  <c r="Q219" i="23"/>
  <c r="R219" i="23"/>
  <c r="S219" i="23"/>
  <c r="T219" i="23"/>
  <c r="U219" i="23"/>
  <c r="V219" i="23"/>
  <c r="W219" i="23"/>
  <c r="X219" i="23"/>
  <c r="Y219" i="23"/>
  <c r="Z219" i="23"/>
  <c r="AA219" i="23"/>
  <c r="AB219" i="23"/>
  <c r="AC219" i="23"/>
  <c r="AD219" i="23"/>
  <c r="AE219" i="23"/>
  <c r="AF219" i="23"/>
  <c r="AG219" i="23"/>
  <c r="AH219" i="23"/>
  <c r="AI219" i="23"/>
  <c r="AJ219" i="23"/>
  <c r="AK219" i="23"/>
  <c r="AL219" i="23"/>
  <c r="AM219" i="23"/>
  <c r="AN219" i="23"/>
  <c r="AO219" i="23"/>
  <c r="AP219" i="23"/>
  <c r="AQ219" i="23"/>
  <c r="AR219" i="23"/>
  <c r="AS219" i="23"/>
  <c r="AT219" i="23"/>
  <c r="AU219" i="23"/>
  <c r="AV219" i="23"/>
  <c r="AW219" i="23"/>
  <c r="AX219" i="23"/>
  <c r="AY219" i="23"/>
  <c r="AZ219" i="23"/>
  <c r="BA219" i="23"/>
  <c r="BB219" i="23"/>
  <c r="BC219" i="23"/>
  <c r="BD219" i="23"/>
  <c r="BE219" i="23"/>
  <c r="BF219" i="23"/>
  <c r="BG219" i="23"/>
  <c r="BH219" i="23"/>
  <c r="BI219" i="23"/>
  <c r="BJ219" i="23"/>
  <c r="BK219" i="23"/>
  <c r="BL219" i="23"/>
  <c r="BM219" i="23"/>
  <c r="BN219" i="23"/>
  <c r="BO219" i="23"/>
  <c r="BP219" i="23"/>
  <c r="BQ219" i="23"/>
  <c r="BR219" i="23"/>
  <c r="BS219" i="23"/>
  <c r="BT219" i="23"/>
  <c r="B220" i="23"/>
  <c r="C220" i="23"/>
  <c r="D220" i="23"/>
  <c r="E220" i="23"/>
  <c r="F220" i="23"/>
  <c r="G220" i="23"/>
  <c r="H220" i="23"/>
  <c r="I220" i="23"/>
  <c r="J220" i="23"/>
  <c r="K220" i="23"/>
  <c r="L220" i="23"/>
  <c r="M220" i="23"/>
  <c r="N220" i="23"/>
  <c r="O220" i="23"/>
  <c r="P220" i="23"/>
  <c r="Q220" i="23"/>
  <c r="R220" i="23"/>
  <c r="S220" i="23"/>
  <c r="T220" i="23"/>
  <c r="U220" i="23"/>
  <c r="V220" i="23"/>
  <c r="W220" i="23"/>
  <c r="X220" i="23"/>
  <c r="Y220" i="23"/>
  <c r="Z220" i="23"/>
  <c r="AA220" i="23"/>
  <c r="AB220" i="23"/>
  <c r="AC220" i="23"/>
  <c r="AD220" i="23"/>
  <c r="AE220" i="23"/>
  <c r="AF220" i="23"/>
  <c r="AG220" i="23"/>
  <c r="AH220" i="23"/>
  <c r="AI220" i="23"/>
  <c r="AJ220" i="23"/>
  <c r="AK220" i="23"/>
  <c r="AL220" i="23"/>
  <c r="AM220" i="23"/>
  <c r="AN220" i="23"/>
  <c r="AO220" i="23"/>
  <c r="AP220" i="23"/>
  <c r="AQ220" i="23"/>
  <c r="AR220" i="23"/>
  <c r="AS220" i="23"/>
  <c r="AT220" i="23"/>
  <c r="AU220" i="23"/>
  <c r="AV220" i="23"/>
  <c r="AW220" i="23"/>
  <c r="AX220" i="23"/>
  <c r="AY220" i="23"/>
  <c r="AZ220" i="23"/>
  <c r="BA220" i="23"/>
  <c r="BB220" i="23"/>
  <c r="BC220" i="23"/>
  <c r="BD220" i="23"/>
  <c r="BE220" i="23"/>
  <c r="BF220" i="23"/>
  <c r="BG220" i="23"/>
  <c r="BH220" i="23"/>
  <c r="BI220" i="23"/>
  <c r="BJ220" i="23"/>
  <c r="BK220" i="23"/>
  <c r="BL220" i="23"/>
  <c r="BM220" i="23"/>
  <c r="BN220" i="23"/>
  <c r="BO220" i="23"/>
  <c r="BP220" i="23"/>
  <c r="BQ220" i="23"/>
  <c r="BR220" i="23"/>
  <c r="BS220" i="23"/>
  <c r="BT220" i="23"/>
  <c r="B221" i="23"/>
  <c r="C221" i="23"/>
  <c r="D221" i="23"/>
  <c r="E221" i="23"/>
  <c r="F221" i="23"/>
  <c r="G221" i="23"/>
  <c r="H221" i="23"/>
  <c r="I221" i="23"/>
  <c r="J221" i="23"/>
  <c r="K221" i="23"/>
  <c r="L221" i="23"/>
  <c r="M221" i="23"/>
  <c r="N221" i="23"/>
  <c r="O221" i="23"/>
  <c r="P221" i="23"/>
  <c r="Q221" i="23"/>
  <c r="R221" i="23"/>
  <c r="S221" i="23"/>
  <c r="T221" i="23"/>
  <c r="U221" i="23"/>
  <c r="V221" i="23"/>
  <c r="W221" i="23"/>
  <c r="X221" i="23"/>
  <c r="Y221" i="23"/>
  <c r="Z221" i="23"/>
  <c r="AA221" i="23"/>
  <c r="AB221" i="23"/>
  <c r="AC221" i="23"/>
  <c r="AD221" i="23"/>
  <c r="AE221" i="23"/>
  <c r="AF221" i="23"/>
  <c r="AG221" i="23"/>
  <c r="AH221" i="23"/>
  <c r="AI221" i="23"/>
  <c r="AJ221" i="23"/>
  <c r="AK221" i="23"/>
  <c r="AL221" i="23"/>
  <c r="AM221" i="23"/>
  <c r="AN221" i="23"/>
  <c r="AO221" i="23"/>
  <c r="AP221" i="23"/>
  <c r="AQ221" i="23"/>
  <c r="AR221" i="23"/>
  <c r="AS221" i="23"/>
  <c r="AT221" i="23"/>
  <c r="AU221" i="23"/>
  <c r="AV221" i="23"/>
  <c r="AW221" i="23"/>
  <c r="AX221" i="23"/>
  <c r="AY221" i="23"/>
  <c r="AZ221" i="23"/>
  <c r="BA221" i="23"/>
  <c r="BB221" i="23"/>
  <c r="BC221" i="23"/>
  <c r="BD221" i="23"/>
  <c r="BE221" i="23"/>
  <c r="BF221" i="23"/>
  <c r="BG221" i="23"/>
  <c r="BH221" i="23"/>
  <c r="BI221" i="23"/>
  <c r="BJ221" i="23"/>
  <c r="BK221" i="23"/>
  <c r="BL221" i="23"/>
  <c r="BM221" i="23"/>
  <c r="BN221" i="23"/>
  <c r="BO221" i="23"/>
  <c r="BP221" i="23"/>
  <c r="BQ221" i="23"/>
  <c r="BR221" i="23"/>
  <c r="BS221" i="23"/>
  <c r="BT221" i="23"/>
  <c r="B222" i="23"/>
  <c r="C222" i="23"/>
  <c r="D222" i="23"/>
  <c r="E222" i="23"/>
  <c r="F222" i="23"/>
  <c r="G222" i="23"/>
  <c r="H222" i="23"/>
  <c r="I222" i="23"/>
  <c r="J222" i="23"/>
  <c r="K222" i="23"/>
  <c r="L222" i="23"/>
  <c r="M222" i="23"/>
  <c r="N222" i="23"/>
  <c r="O222" i="23"/>
  <c r="P222" i="23"/>
  <c r="Q222" i="23"/>
  <c r="R222" i="23"/>
  <c r="S222" i="23"/>
  <c r="T222" i="23"/>
  <c r="U222" i="23"/>
  <c r="V222" i="23"/>
  <c r="W222" i="23"/>
  <c r="X222" i="23"/>
  <c r="Y222" i="23"/>
  <c r="Z222" i="23"/>
  <c r="AA222" i="23"/>
  <c r="AB222" i="23"/>
  <c r="AC222" i="23"/>
  <c r="AD222" i="23"/>
  <c r="AE222" i="23"/>
  <c r="AF222" i="23"/>
  <c r="AG222" i="23"/>
  <c r="AH222" i="23"/>
  <c r="AI222" i="23"/>
  <c r="AJ222" i="23"/>
  <c r="AK222" i="23"/>
  <c r="AL222" i="23"/>
  <c r="AM222" i="23"/>
  <c r="AN222" i="23"/>
  <c r="AO222" i="23"/>
  <c r="AP222" i="23"/>
  <c r="AQ222" i="23"/>
  <c r="AR222" i="23"/>
  <c r="AS222" i="23"/>
  <c r="AT222" i="23"/>
  <c r="AU222" i="23"/>
  <c r="AV222" i="23"/>
  <c r="AW222" i="23"/>
  <c r="AX222" i="23"/>
  <c r="AY222" i="23"/>
  <c r="AZ222" i="23"/>
  <c r="BA222" i="23"/>
  <c r="BB222" i="23"/>
  <c r="BC222" i="23"/>
  <c r="BD222" i="23"/>
  <c r="BE222" i="23"/>
  <c r="BF222" i="23"/>
  <c r="BG222" i="23"/>
  <c r="BH222" i="23"/>
  <c r="BI222" i="23"/>
  <c r="BJ222" i="23"/>
  <c r="BK222" i="23"/>
  <c r="BL222" i="23"/>
  <c r="BM222" i="23"/>
  <c r="BN222" i="23"/>
  <c r="BO222" i="23"/>
  <c r="BP222" i="23"/>
  <c r="BQ222" i="23"/>
  <c r="BR222" i="23"/>
  <c r="BS222" i="23"/>
  <c r="BT222" i="23"/>
  <c r="B223" i="23"/>
  <c r="C223" i="23"/>
  <c r="D223" i="23"/>
  <c r="E223" i="23"/>
  <c r="F223" i="23"/>
  <c r="G223" i="23"/>
  <c r="H223" i="23"/>
  <c r="I223" i="23"/>
  <c r="J223" i="23"/>
  <c r="K223" i="23"/>
  <c r="L223" i="23"/>
  <c r="M223" i="23"/>
  <c r="N223" i="23"/>
  <c r="O223" i="23"/>
  <c r="P223" i="23"/>
  <c r="Q223" i="23"/>
  <c r="R223" i="23"/>
  <c r="S223" i="23"/>
  <c r="T223" i="23"/>
  <c r="U223" i="23"/>
  <c r="V223" i="23"/>
  <c r="W223" i="23"/>
  <c r="X223" i="23"/>
  <c r="Y223" i="23"/>
  <c r="Z223" i="23"/>
  <c r="AA223" i="23"/>
  <c r="AB223" i="23"/>
  <c r="AC223" i="23"/>
  <c r="AD223" i="23"/>
  <c r="AE223" i="23"/>
  <c r="AF223" i="23"/>
  <c r="AG223" i="23"/>
  <c r="AH223" i="23"/>
  <c r="AI223" i="23"/>
  <c r="AJ223" i="23"/>
  <c r="AK223" i="23"/>
  <c r="AL223" i="23"/>
  <c r="AM223" i="23"/>
  <c r="AN223" i="23"/>
  <c r="AO223" i="23"/>
  <c r="AP223" i="23"/>
  <c r="AQ223" i="23"/>
  <c r="AR223" i="23"/>
  <c r="AS223" i="23"/>
  <c r="AT223" i="23"/>
  <c r="AU223" i="23"/>
  <c r="AV223" i="23"/>
  <c r="AW223" i="23"/>
  <c r="AX223" i="23"/>
  <c r="AY223" i="23"/>
  <c r="AZ223" i="23"/>
  <c r="BA223" i="23"/>
  <c r="BB223" i="23"/>
  <c r="BC223" i="23"/>
  <c r="BD223" i="23"/>
  <c r="BE223" i="23"/>
  <c r="BF223" i="23"/>
  <c r="BG223" i="23"/>
  <c r="BH223" i="23"/>
  <c r="BI223" i="23"/>
  <c r="BJ223" i="23"/>
  <c r="BK223" i="23"/>
  <c r="BL223" i="23"/>
  <c r="BM223" i="23"/>
  <c r="BN223" i="23"/>
  <c r="BO223" i="23"/>
  <c r="BP223" i="23"/>
  <c r="BQ223" i="23"/>
  <c r="BR223" i="23"/>
  <c r="BS223" i="23"/>
  <c r="BT223" i="23"/>
  <c r="B224" i="23"/>
  <c r="C224" i="23"/>
  <c r="D224" i="23"/>
  <c r="E224" i="23"/>
  <c r="F224" i="23"/>
  <c r="G224" i="23"/>
  <c r="H224" i="23"/>
  <c r="I224" i="23"/>
  <c r="J224" i="23"/>
  <c r="K224" i="23"/>
  <c r="L224" i="23"/>
  <c r="M224" i="23"/>
  <c r="N224" i="23"/>
  <c r="O224" i="23"/>
  <c r="P224" i="23"/>
  <c r="Q224" i="23"/>
  <c r="R224" i="23"/>
  <c r="S224" i="23"/>
  <c r="T224" i="23"/>
  <c r="U224" i="23"/>
  <c r="V224" i="23"/>
  <c r="W224" i="23"/>
  <c r="X224" i="23"/>
  <c r="Y224" i="23"/>
  <c r="Z224" i="23"/>
  <c r="AA224" i="23"/>
  <c r="AB224" i="23"/>
  <c r="AC224" i="23"/>
  <c r="AD224" i="23"/>
  <c r="AE224" i="23"/>
  <c r="AF224" i="23"/>
  <c r="AG224" i="23"/>
  <c r="AH224" i="23"/>
  <c r="AI224" i="23"/>
  <c r="AJ224" i="23"/>
  <c r="AK224" i="23"/>
  <c r="AL224" i="23"/>
  <c r="AM224" i="23"/>
  <c r="AN224" i="23"/>
  <c r="AO224" i="23"/>
  <c r="AP224" i="23"/>
  <c r="AQ224" i="23"/>
  <c r="AR224" i="23"/>
  <c r="AS224" i="23"/>
  <c r="AT224" i="23"/>
  <c r="AU224" i="23"/>
  <c r="AV224" i="23"/>
  <c r="AW224" i="23"/>
  <c r="AX224" i="23"/>
  <c r="AY224" i="23"/>
  <c r="AZ224" i="23"/>
  <c r="BA224" i="23"/>
  <c r="BB224" i="23"/>
  <c r="BC224" i="23"/>
  <c r="BD224" i="23"/>
  <c r="BE224" i="23"/>
  <c r="BF224" i="23"/>
  <c r="BG224" i="23"/>
  <c r="BH224" i="23"/>
  <c r="BI224" i="23"/>
  <c r="BJ224" i="23"/>
  <c r="BK224" i="23"/>
  <c r="BL224" i="23"/>
  <c r="BM224" i="23"/>
  <c r="BN224" i="23"/>
  <c r="BO224" i="23"/>
  <c r="BP224" i="23"/>
  <c r="BQ224" i="23"/>
  <c r="BR224" i="23"/>
  <c r="BS224" i="23"/>
  <c r="BT224" i="23"/>
  <c r="B225" i="23"/>
  <c r="C225" i="23"/>
  <c r="D225" i="23"/>
  <c r="E225" i="23"/>
  <c r="F225" i="23"/>
  <c r="G225" i="23"/>
  <c r="H225" i="23"/>
  <c r="I225" i="23"/>
  <c r="J225" i="23"/>
  <c r="K225" i="23"/>
  <c r="L225" i="23"/>
  <c r="M225" i="23"/>
  <c r="N225" i="23"/>
  <c r="O225" i="23"/>
  <c r="P225" i="23"/>
  <c r="Q225" i="23"/>
  <c r="R225" i="23"/>
  <c r="S225" i="23"/>
  <c r="T225" i="23"/>
  <c r="U225" i="23"/>
  <c r="V225" i="23"/>
  <c r="W225" i="23"/>
  <c r="X225" i="23"/>
  <c r="Y225" i="23"/>
  <c r="Z225" i="23"/>
  <c r="AA225" i="23"/>
  <c r="AB225" i="23"/>
  <c r="AC225" i="23"/>
  <c r="AD225" i="23"/>
  <c r="AE225" i="23"/>
  <c r="AF225" i="23"/>
  <c r="AG225" i="23"/>
  <c r="AH225" i="23"/>
  <c r="AI225" i="23"/>
  <c r="AJ225" i="23"/>
  <c r="AK225" i="23"/>
  <c r="AL225" i="23"/>
  <c r="AM225" i="23"/>
  <c r="AN225" i="23"/>
  <c r="AO225" i="23"/>
  <c r="AP225" i="23"/>
  <c r="AQ225" i="23"/>
  <c r="AR225" i="23"/>
  <c r="AS225" i="23"/>
  <c r="AT225" i="23"/>
  <c r="AU225" i="23"/>
  <c r="AV225" i="23"/>
  <c r="AW225" i="23"/>
  <c r="AX225" i="23"/>
  <c r="AY225" i="23"/>
  <c r="AZ225" i="23"/>
  <c r="BA225" i="23"/>
  <c r="BB225" i="23"/>
  <c r="BC225" i="23"/>
  <c r="BD225" i="23"/>
  <c r="BE225" i="23"/>
  <c r="BF225" i="23"/>
  <c r="BG225" i="23"/>
  <c r="BH225" i="23"/>
  <c r="BI225" i="23"/>
  <c r="BJ225" i="23"/>
  <c r="BK225" i="23"/>
  <c r="BL225" i="23"/>
  <c r="BM225" i="23"/>
  <c r="BN225" i="23"/>
  <c r="BO225" i="23"/>
  <c r="BP225" i="23"/>
  <c r="BQ225" i="23"/>
  <c r="BR225" i="23"/>
  <c r="BS225" i="23"/>
  <c r="BT225" i="23"/>
  <c r="B226" i="23"/>
  <c r="C226" i="23"/>
  <c r="D226" i="23"/>
  <c r="E226" i="23"/>
  <c r="F226" i="23"/>
  <c r="G226" i="23"/>
  <c r="H226" i="23"/>
  <c r="I226" i="23"/>
  <c r="J226" i="23"/>
  <c r="K226" i="23"/>
  <c r="L226" i="23"/>
  <c r="M226" i="23"/>
  <c r="N226" i="23"/>
  <c r="O226" i="23"/>
  <c r="P226" i="23"/>
  <c r="Q226" i="23"/>
  <c r="R226" i="23"/>
  <c r="S226" i="23"/>
  <c r="T226" i="23"/>
  <c r="U226" i="23"/>
  <c r="V226" i="23"/>
  <c r="W226" i="23"/>
  <c r="X226" i="23"/>
  <c r="Y226" i="23"/>
  <c r="Z226" i="23"/>
  <c r="AA226" i="23"/>
  <c r="AB226" i="23"/>
  <c r="AC226" i="23"/>
  <c r="AD226" i="23"/>
  <c r="AE226" i="23"/>
  <c r="AF226" i="23"/>
  <c r="AG226" i="23"/>
  <c r="AH226" i="23"/>
  <c r="AI226" i="23"/>
  <c r="AJ226" i="23"/>
  <c r="AK226" i="23"/>
  <c r="AL226" i="23"/>
  <c r="AM226" i="23"/>
  <c r="AN226" i="23"/>
  <c r="AO226" i="23"/>
  <c r="AP226" i="23"/>
  <c r="AQ226" i="23"/>
  <c r="AR226" i="23"/>
  <c r="AS226" i="23"/>
  <c r="AT226" i="23"/>
  <c r="AU226" i="23"/>
  <c r="AV226" i="23"/>
  <c r="AW226" i="23"/>
  <c r="AX226" i="23"/>
  <c r="AY226" i="23"/>
  <c r="AZ226" i="23"/>
  <c r="BA226" i="23"/>
  <c r="BB226" i="23"/>
  <c r="BC226" i="23"/>
  <c r="BD226" i="23"/>
  <c r="BE226" i="23"/>
  <c r="BF226" i="23"/>
  <c r="BG226" i="23"/>
  <c r="BH226" i="23"/>
  <c r="BI226" i="23"/>
  <c r="BJ226" i="23"/>
  <c r="BK226" i="23"/>
  <c r="BL226" i="23"/>
  <c r="BM226" i="23"/>
  <c r="BN226" i="23"/>
  <c r="BO226" i="23"/>
  <c r="BP226" i="23"/>
  <c r="BQ226" i="23"/>
  <c r="BR226" i="23"/>
  <c r="BS226" i="23"/>
  <c r="BT226" i="23"/>
  <c r="B227" i="23"/>
  <c r="C227" i="23"/>
  <c r="D227" i="23"/>
  <c r="E227" i="23"/>
  <c r="F227" i="23"/>
  <c r="G227" i="23"/>
  <c r="H227" i="23"/>
  <c r="I227" i="23"/>
  <c r="J227" i="23"/>
  <c r="K227" i="23"/>
  <c r="L227" i="23"/>
  <c r="M227" i="23"/>
  <c r="N227" i="23"/>
  <c r="O227" i="23"/>
  <c r="P227" i="23"/>
  <c r="Q227" i="23"/>
  <c r="R227" i="23"/>
  <c r="S227" i="23"/>
  <c r="T227" i="23"/>
  <c r="U227" i="23"/>
  <c r="V227" i="23"/>
  <c r="W227" i="23"/>
  <c r="X227" i="23"/>
  <c r="Y227" i="23"/>
  <c r="Z227" i="23"/>
  <c r="AA227" i="23"/>
  <c r="AB227" i="23"/>
  <c r="AC227" i="23"/>
  <c r="AD227" i="23"/>
  <c r="AE227" i="23"/>
  <c r="AF227" i="23"/>
  <c r="AG227" i="23"/>
  <c r="AH227" i="23"/>
  <c r="AI227" i="23"/>
  <c r="AJ227" i="23"/>
  <c r="AK227" i="23"/>
  <c r="AL227" i="23"/>
  <c r="AM227" i="23"/>
  <c r="AN227" i="23"/>
  <c r="AO227" i="23"/>
  <c r="AP227" i="23"/>
  <c r="AQ227" i="23"/>
  <c r="AR227" i="23"/>
  <c r="AS227" i="23"/>
  <c r="AT227" i="23"/>
  <c r="AU227" i="23"/>
  <c r="AV227" i="23"/>
  <c r="AW227" i="23"/>
  <c r="AX227" i="23"/>
  <c r="AY227" i="23"/>
  <c r="AZ227" i="23"/>
  <c r="BA227" i="23"/>
  <c r="BB227" i="23"/>
  <c r="BC227" i="23"/>
  <c r="BD227" i="23"/>
  <c r="BE227" i="23"/>
  <c r="BF227" i="23"/>
  <c r="BG227" i="23"/>
  <c r="BH227" i="23"/>
  <c r="BI227" i="23"/>
  <c r="BJ227" i="23"/>
  <c r="BK227" i="23"/>
  <c r="BL227" i="23"/>
  <c r="BM227" i="23"/>
  <c r="BN227" i="23"/>
  <c r="BO227" i="23"/>
  <c r="BP227" i="23"/>
  <c r="BQ227" i="23"/>
  <c r="BR227" i="23"/>
  <c r="BS227" i="23"/>
  <c r="BT227" i="23"/>
  <c r="B228" i="23"/>
  <c r="C228" i="23"/>
  <c r="D228" i="23"/>
  <c r="E228" i="23"/>
  <c r="F228" i="23"/>
  <c r="G228" i="23"/>
  <c r="H228" i="23"/>
  <c r="I228" i="23"/>
  <c r="J228" i="23"/>
  <c r="K228" i="23"/>
  <c r="L228" i="23"/>
  <c r="M228" i="23"/>
  <c r="N228" i="23"/>
  <c r="O228" i="23"/>
  <c r="P228" i="23"/>
  <c r="Q228" i="23"/>
  <c r="R228" i="23"/>
  <c r="S228" i="23"/>
  <c r="T228" i="23"/>
  <c r="U228" i="23"/>
  <c r="V228" i="23"/>
  <c r="W228" i="23"/>
  <c r="X228" i="23"/>
  <c r="Y228" i="23"/>
  <c r="Z228" i="23"/>
  <c r="AA228" i="23"/>
  <c r="AB228" i="23"/>
  <c r="AC228" i="23"/>
  <c r="AD228" i="23"/>
  <c r="AE228" i="23"/>
  <c r="AF228" i="23"/>
  <c r="AG228" i="23"/>
  <c r="AH228" i="23"/>
  <c r="AI228" i="23"/>
  <c r="AJ228" i="23"/>
  <c r="AK228" i="23"/>
  <c r="AL228" i="23"/>
  <c r="AM228" i="23"/>
  <c r="AN228" i="23"/>
  <c r="AO228" i="23"/>
  <c r="AP228" i="23"/>
  <c r="AQ228" i="23"/>
  <c r="AR228" i="23"/>
  <c r="AS228" i="23"/>
  <c r="AT228" i="23"/>
  <c r="AU228" i="23"/>
  <c r="AV228" i="23"/>
  <c r="AW228" i="23"/>
  <c r="AX228" i="23"/>
  <c r="AY228" i="23"/>
  <c r="AZ228" i="23"/>
  <c r="BA228" i="23"/>
  <c r="BB228" i="23"/>
  <c r="BC228" i="23"/>
  <c r="BD228" i="23"/>
  <c r="BE228" i="23"/>
  <c r="BF228" i="23"/>
  <c r="BG228" i="23"/>
  <c r="BH228" i="23"/>
  <c r="BI228" i="23"/>
  <c r="BJ228" i="23"/>
  <c r="BK228" i="23"/>
  <c r="BL228" i="23"/>
  <c r="BM228" i="23"/>
  <c r="BN228" i="23"/>
  <c r="BO228" i="23"/>
  <c r="BP228" i="23"/>
  <c r="BQ228" i="23"/>
  <c r="BR228" i="23"/>
  <c r="BS228" i="23"/>
  <c r="BT228" i="23"/>
  <c r="B229" i="23"/>
  <c r="C229" i="23"/>
  <c r="D229" i="23"/>
  <c r="E229" i="23"/>
  <c r="F229" i="23"/>
  <c r="G229" i="23"/>
  <c r="H229" i="23"/>
  <c r="I229" i="23"/>
  <c r="J229" i="23"/>
  <c r="K229" i="23"/>
  <c r="L229" i="23"/>
  <c r="M229" i="23"/>
  <c r="N229" i="23"/>
  <c r="O229" i="23"/>
  <c r="P229" i="23"/>
  <c r="Q229" i="23"/>
  <c r="R229" i="23"/>
  <c r="S229" i="23"/>
  <c r="T229" i="23"/>
  <c r="U229" i="23"/>
  <c r="V229" i="23"/>
  <c r="W229" i="23"/>
  <c r="X229" i="23"/>
  <c r="Y229" i="23"/>
  <c r="Z229" i="23"/>
  <c r="AA229" i="23"/>
  <c r="AB229" i="23"/>
  <c r="AC229" i="23"/>
  <c r="AD229" i="23"/>
  <c r="AE229" i="23"/>
  <c r="AF229" i="23"/>
  <c r="AG229" i="23"/>
  <c r="AH229" i="23"/>
  <c r="AI229" i="23"/>
  <c r="AJ229" i="23"/>
  <c r="AK229" i="23"/>
  <c r="AL229" i="23"/>
  <c r="AM229" i="23"/>
  <c r="AN229" i="23"/>
  <c r="AO229" i="23"/>
  <c r="AP229" i="23"/>
  <c r="AQ229" i="23"/>
  <c r="AR229" i="23"/>
  <c r="AS229" i="23"/>
  <c r="AT229" i="23"/>
  <c r="AU229" i="23"/>
  <c r="AV229" i="23"/>
  <c r="AW229" i="23"/>
  <c r="AX229" i="23"/>
  <c r="AY229" i="23"/>
  <c r="AZ229" i="23"/>
  <c r="BA229" i="23"/>
  <c r="BB229" i="23"/>
  <c r="BC229" i="23"/>
  <c r="BD229" i="23"/>
  <c r="BE229" i="23"/>
  <c r="BF229" i="23"/>
  <c r="BG229" i="23"/>
  <c r="BH229" i="23"/>
  <c r="BI229" i="23"/>
  <c r="BJ229" i="23"/>
  <c r="BK229" i="23"/>
  <c r="BL229" i="23"/>
  <c r="BM229" i="23"/>
  <c r="BN229" i="23"/>
  <c r="BO229" i="23"/>
  <c r="BP229" i="23"/>
  <c r="BQ229" i="23"/>
  <c r="BR229" i="23"/>
  <c r="BS229" i="23"/>
  <c r="BT229" i="23"/>
  <c r="B230" i="23"/>
  <c r="C230" i="23"/>
  <c r="D230" i="23"/>
  <c r="E230" i="23"/>
  <c r="F230" i="23"/>
  <c r="G230" i="23"/>
  <c r="H230" i="23"/>
  <c r="I230" i="23"/>
  <c r="J230" i="23"/>
  <c r="K230" i="23"/>
  <c r="L230" i="23"/>
  <c r="M230" i="23"/>
  <c r="N230" i="23"/>
  <c r="O230" i="23"/>
  <c r="P230" i="23"/>
  <c r="Q230" i="23"/>
  <c r="R230" i="23"/>
  <c r="S230" i="23"/>
  <c r="T230" i="23"/>
  <c r="U230" i="23"/>
  <c r="V230" i="23"/>
  <c r="W230" i="23"/>
  <c r="X230" i="23"/>
  <c r="Y230" i="23"/>
  <c r="Z230" i="23"/>
  <c r="AA230" i="23"/>
  <c r="AB230" i="23"/>
  <c r="AC230" i="23"/>
  <c r="AD230" i="23"/>
  <c r="AE230" i="23"/>
  <c r="AF230" i="23"/>
  <c r="AG230" i="23"/>
  <c r="AH230" i="23"/>
  <c r="AI230" i="23"/>
  <c r="AJ230" i="23"/>
  <c r="AK230" i="23"/>
  <c r="AL230" i="23"/>
  <c r="AM230" i="23"/>
  <c r="AN230" i="23"/>
  <c r="AO230" i="23"/>
  <c r="AP230" i="23"/>
  <c r="AQ230" i="23"/>
  <c r="AR230" i="23"/>
  <c r="AS230" i="23"/>
  <c r="AT230" i="23"/>
  <c r="AU230" i="23"/>
  <c r="AV230" i="23"/>
  <c r="AW230" i="23"/>
  <c r="AX230" i="23"/>
  <c r="AY230" i="23"/>
  <c r="AZ230" i="23"/>
  <c r="BA230" i="23"/>
  <c r="BB230" i="23"/>
  <c r="BC230" i="23"/>
  <c r="BD230" i="23"/>
  <c r="BE230" i="23"/>
  <c r="BF230" i="23"/>
  <c r="BG230" i="23"/>
  <c r="BH230" i="23"/>
  <c r="BI230" i="23"/>
  <c r="BJ230" i="23"/>
  <c r="BK230" i="23"/>
  <c r="BL230" i="23"/>
  <c r="BM230" i="23"/>
  <c r="BN230" i="23"/>
  <c r="BO230" i="23"/>
  <c r="BP230" i="23"/>
  <c r="BQ230" i="23"/>
  <c r="BR230" i="23"/>
  <c r="BS230" i="23"/>
  <c r="BT230" i="23"/>
  <c r="B231" i="23"/>
  <c r="C231" i="23"/>
  <c r="D231" i="23"/>
  <c r="E231" i="23"/>
  <c r="F231" i="23"/>
  <c r="G231" i="23"/>
  <c r="H231" i="23"/>
  <c r="I231" i="23"/>
  <c r="J231" i="23"/>
  <c r="K231" i="23"/>
  <c r="L231" i="23"/>
  <c r="M231" i="23"/>
  <c r="N231" i="23"/>
  <c r="O231" i="23"/>
  <c r="P231" i="23"/>
  <c r="Q231" i="23"/>
  <c r="R231" i="23"/>
  <c r="S231" i="23"/>
  <c r="T231" i="23"/>
  <c r="U231" i="23"/>
  <c r="V231" i="23"/>
  <c r="W231" i="23"/>
  <c r="X231" i="23"/>
  <c r="Y231" i="23"/>
  <c r="Z231" i="23"/>
  <c r="AA231" i="23"/>
  <c r="AB231" i="23"/>
  <c r="AC231" i="23"/>
  <c r="AD231" i="23"/>
  <c r="AE231" i="23"/>
  <c r="AF231" i="23"/>
  <c r="AG231" i="23"/>
  <c r="AH231" i="23"/>
  <c r="AI231" i="23"/>
  <c r="AJ231" i="23"/>
  <c r="AK231" i="23"/>
  <c r="AL231" i="23"/>
  <c r="AM231" i="23"/>
  <c r="AN231" i="23"/>
  <c r="AO231" i="23"/>
  <c r="AP231" i="23"/>
  <c r="AQ231" i="23"/>
  <c r="AR231" i="23"/>
  <c r="AS231" i="23"/>
  <c r="AT231" i="23"/>
  <c r="AU231" i="23"/>
  <c r="AV231" i="23"/>
  <c r="AW231" i="23"/>
  <c r="AX231" i="23"/>
  <c r="AY231" i="23"/>
  <c r="AZ231" i="23"/>
  <c r="BA231" i="23"/>
  <c r="BB231" i="23"/>
  <c r="BC231" i="23"/>
  <c r="BD231" i="23"/>
  <c r="BE231" i="23"/>
  <c r="BF231" i="23"/>
  <c r="BG231" i="23"/>
  <c r="BH231" i="23"/>
  <c r="BI231" i="23"/>
  <c r="BJ231" i="23"/>
  <c r="BK231" i="23"/>
  <c r="BL231" i="23"/>
  <c r="BM231" i="23"/>
  <c r="BN231" i="23"/>
  <c r="BO231" i="23"/>
  <c r="BP231" i="23"/>
  <c r="BQ231" i="23"/>
  <c r="BR231" i="23"/>
  <c r="BS231" i="23"/>
  <c r="BT231" i="23"/>
  <c r="B232" i="23"/>
  <c r="C232" i="23"/>
  <c r="D232" i="23"/>
  <c r="E232" i="23"/>
  <c r="F232" i="23"/>
  <c r="G232" i="23"/>
  <c r="H232" i="23"/>
  <c r="I232" i="23"/>
  <c r="J232" i="23"/>
  <c r="K232" i="23"/>
  <c r="L232" i="23"/>
  <c r="M232" i="23"/>
  <c r="N232" i="23"/>
  <c r="O232" i="23"/>
  <c r="P232" i="23"/>
  <c r="Q232" i="23"/>
  <c r="R232" i="23"/>
  <c r="S232" i="23"/>
  <c r="T232" i="23"/>
  <c r="U232" i="23"/>
  <c r="V232" i="23"/>
  <c r="W232" i="23"/>
  <c r="X232" i="23"/>
  <c r="Y232" i="23"/>
  <c r="Z232" i="23"/>
  <c r="AA232" i="23"/>
  <c r="AB232" i="23"/>
  <c r="AC232" i="23"/>
  <c r="AD232" i="23"/>
  <c r="AE232" i="23"/>
  <c r="AF232" i="23"/>
  <c r="AG232" i="23"/>
  <c r="AH232" i="23"/>
  <c r="AI232" i="23"/>
  <c r="AJ232" i="23"/>
  <c r="AK232" i="23"/>
  <c r="AL232" i="23"/>
  <c r="AM232" i="23"/>
  <c r="AN232" i="23"/>
  <c r="AO232" i="23"/>
  <c r="AP232" i="23"/>
  <c r="AQ232" i="23"/>
  <c r="AR232" i="23"/>
  <c r="AS232" i="23"/>
  <c r="AT232" i="23"/>
  <c r="AU232" i="23"/>
  <c r="AV232" i="23"/>
  <c r="AW232" i="23"/>
  <c r="AX232" i="23"/>
  <c r="AY232" i="23"/>
  <c r="AZ232" i="23"/>
  <c r="BA232" i="23"/>
  <c r="BB232" i="23"/>
  <c r="BC232" i="23"/>
  <c r="BD232" i="23"/>
  <c r="BE232" i="23"/>
  <c r="BF232" i="23"/>
  <c r="BG232" i="23"/>
  <c r="BH232" i="23"/>
  <c r="BI232" i="23"/>
  <c r="BJ232" i="23"/>
  <c r="BK232" i="23"/>
  <c r="BL232" i="23"/>
  <c r="BM232" i="23"/>
  <c r="BN232" i="23"/>
  <c r="BO232" i="23"/>
  <c r="BP232" i="23"/>
  <c r="BQ232" i="23"/>
  <c r="BR232" i="23"/>
  <c r="BS232" i="23"/>
  <c r="BT232" i="23"/>
  <c r="B233" i="23"/>
  <c r="C233" i="23"/>
  <c r="D233" i="23"/>
  <c r="E233" i="23"/>
  <c r="F233" i="23"/>
  <c r="G233" i="23"/>
  <c r="H233" i="23"/>
  <c r="I233" i="23"/>
  <c r="J233" i="23"/>
  <c r="K233" i="23"/>
  <c r="L233" i="23"/>
  <c r="M233" i="23"/>
  <c r="N233" i="23"/>
  <c r="O233" i="23"/>
  <c r="P233" i="23"/>
  <c r="Q233" i="23"/>
  <c r="R233" i="23"/>
  <c r="S233" i="23"/>
  <c r="T233" i="23"/>
  <c r="U233" i="23"/>
  <c r="V233" i="23"/>
  <c r="W233" i="23"/>
  <c r="X233" i="23"/>
  <c r="Y233" i="23"/>
  <c r="Z233" i="23"/>
  <c r="AA233" i="23"/>
  <c r="AB233" i="23"/>
  <c r="AC233" i="23"/>
  <c r="AD233" i="23"/>
  <c r="AE233" i="23"/>
  <c r="AF233" i="23"/>
  <c r="AG233" i="23"/>
  <c r="AH233" i="23"/>
  <c r="AI233" i="23"/>
  <c r="AJ233" i="23"/>
  <c r="AK233" i="23"/>
  <c r="AL233" i="23"/>
  <c r="AM233" i="23"/>
  <c r="AN233" i="23"/>
  <c r="AO233" i="23"/>
  <c r="AP233" i="23"/>
  <c r="AQ233" i="23"/>
  <c r="AR233" i="23"/>
  <c r="AS233" i="23"/>
  <c r="AT233" i="23"/>
  <c r="AU233" i="23"/>
  <c r="AV233" i="23"/>
  <c r="AW233" i="23"/>
  <c r="AX233" i="23"/>
  <c r="AY233" i="23"/>
  <c r="AZ233" i="23"/>
  <c r="BA233" i="23"/>
  <c r="BB233" i="23"/>
  <c r="BC233" i="23"/>
  <c r="BD233" i="23"/>
  <c r="BE233" i="23"/>
  <c r="BF233" i="23"/>
  <c r="BG233" i="23"/>
  <c r="BH233" i="23"/>
  <c r="BI233" i="23"/>
  <c r="BJ233" i="23"/>
  <c r="BK233" i="23"/>
  <c r="BL233" i="23"/>
  <c r="BM233" i="23"/>
  <c r="BN233" i="23"/>
  <c r="BO233" i="23"/>
  <c r="BP233" i="23"/>
  <c r="BQ233" i="23"/>
  <c r="BR233" i="23"/>
  <c r="BS233" i="23"/>
  <c r="BT233" i="23"/>
  <c r="B234" i="23"/>
  <c r="C234" i="23"/>
  <c r="D234" i="23"/>
  <c r="E234" i="23"/>
  <c r="F234" i="23"/>
  <c r="G234" i="23"/>
  <c r="H234" i="23"/>
  <c r="I234" i="23"/>
  <c r="J234" i="23"/>
  <c r="K234" i="23"/>
  <c r="L234" i="23"/>
  <c r="M234" i="23"/>
  <c r="N234" i="23"/>
  <c r="O234" i="23"/>
  <c r="P234" i="23"/>
  <c r="Q234" i="23"/>
  <c r="R234" i="23"/>
  <c r="S234" i="23"/>
  <c r="T234" i="23"/>
  <c r="U234" i="23"/>
  <c r="V234" i="23"/>
  <c r="W234" i="23"/>
  <c r="X234" i="23"/>
  <c r="Y234" i="23"/>
  <c r="Z234" i="23"/>
  <c r="AA234" i="23"/>
  <c r="AB234" i="23"/>
  <c r="AC234" i="23"/>
  <c r="AD234" i="23"/>
  <c r="AE234" i="23"/>
  <c r="AF234" i="23"/>
  <c r="AG234" i="23"/>
  <c r="AH234" i="23"/>
  <c r="AI234" i="23"/>
  <c r="AJ234" i="23"/>
  <c r="AK234" i="23"/>
  <c r="AL234" i="23"/>
  <c r="AM234" i="23"/>
  <c r="AN234" i="23"/>
  <c r="AO234" i="23"/>
  <c r="AP234" i="23"/>
  <c r="AQ234" i="23"/>
  <c r="AR234" i="23"/>
  <c r="AS234" i="23"/>
  <c r="AT234" i="23"/>
  <c r="AU234" i="23"/>
  <c r="AV234" i="23"/>
  <c r="AW234" i="23"/>
  <c r="AX234" i="23"/>
  <c r="AY234" i="23"/>
  <c r="AZ234" i="23"/>
  <c r="BA234" i="23"/>
  <c r="BB234" i="23"/>
  <c r="BC234" i="23"/>
  <c r="BD234" i="23"/>
  <c r="BE234" i="23"/>
  <c r="BF234" i="23"/>
  <c r="BG234" i="23"/>
  <c r="BH234" i="23"/>
  <c r="BI234" i="23"/>
  <c r="BJ234" i="23"/>
  <c r="BK234" i="23"/>
  <c r="BL234" i="23"/>
  <c r="BM234" i="23"/>
  <c r="BN234" i="23"/>
  <c r="BO234" i="23"/>
  <c r="BP234" i="23"/>
  <c r="BQ234" i="23"/>
  <c r="BR234" i="23"/>
  <c r="BS234" i="23"/>
  <c r="BT234" i="23"/>
  <c r="B235" i="23"/>
  <c r="C235" i="23"/>
  <c r="D235" i="23"/>
  <c r="E235" i="23"/>
  <c r="F235" i="23"/>
  <c r="G235" i="23"/>
  <c r="H235" i="23"/>
  <c r="I235" i="23"/>
  <c r="J235" i="23"/>
  <c r="K235" i="23"/>
  <c r="L235" i="23"/>
  <c r="M235" i="23"/>
  <c r="N235" i="23"/>
  <c r="O235" i="23"/>
  <c r="P235" i="23"/>
  <c r="Q235" i="23"/>
  <c r="R235" i="23"/>
  <c r="S235" i="23"/>
  <c r="T235" i="23"/>
  <c r="U235" i="23"/>
  <c r="V235" i="23"/>
  <c r="W235" i="23"/>
  <c r="X235" i="23"/>
  <c r="Y235" i="23"/>
  <c r="Z235" i="23"/>
  <c r="AA235" i="23"/>
  <c r="AB235" i="23"/>
  <c r="AC235" i="23"/>
  <c r="AD235" i="23"/>
  <c r="AE235" i="23"/>
  <c r="AF235" i="23"/>
  <c r="AG235" i="23"/>
  <c r="AH235" i="23"/>
  <c r="AI235" i="23"/>
  <c r="AJ235" i="23"/>
  <c r="AK235" i="23"/>
  <c r="AL235" i="23"/>
  <c r="AM235" i="23"/>
  <c r="AN235" i="23"/>
  <c r="AO235" i="23"/>
  <c r="AP235" i="23"/>
  <c r="AQ235" i="23"/>
  <c r="AR235" i="23"/>
  <c r="AS235" i="23"/>
  <c r="AT235" i="23"/>
  <c r="AU235" i="23"/>
  <c r="AV235" i="23"/>
  <c r="AW235" i="23"/>
  <c r="AX235" i="23"/>
  <c r="AY235" i="23"/>
  <c r="AZ235" i="23"/>
  <c r="BA235" i="23"/>
  <c r="BB235" i="23"/>
  <c r="BC235" i="23"/>
  <c r="BD235" i="23"/>
  <c r="BE235" i="23"/>
  <c r="BF235" i="23"/>
  <c r="BG235" i="23"/>
  <c r="BH235" i="23"/>
  <c r="BI235" i="23"/>
  <c r="BJ235" i="23"/>
  <c r="BK235" i="23"/>
  <c r="BL235" i="23"/>
  <c r="BM235" i="23"/>
  <c r="BN235" i="23"/>
  <c r="BO235" i="23"/>
  <c r="BP235" i="23"/>
  <c r="BQ235" i="23"/>
  <c r="BR235" i="23"/>
  <c r="BS235" i="23"/>
  <c r="BT235" i="23"/>
  <c r="B236" i="23"/>
  <c r="C236" i="23"/>
  <c r="D236" i="23"/>
  <c r="E236" i="23"/>
  <c r="F236" i="23"/>
  <c r="G236" i="23"/>
  <c r="H236" i="23"/>
  <c r="I236" i="23"/>
  <c r="J236" i="23"/>
  <c r="K236" i="23"/>
  <c r="L236" i="23"/>
  <c r="M236" i="23"/>
  <c r="N236" i="23"/>
  <c r="O236" i="23"/>
  <c r="P236" i="23"/>
  <c r="Q236" i="23"/>
  <c r="R236" i="23"/>
  <c r="S236" i="23"/>
  <c r="T236" i="23"/>
  <c r="U236" i="23"/>
  <c r="V236" i="23"/>
  <c r="W236" i="23"/>
  <c r="X236" i="23"/>
  <c r="Y236" i="23"/>
  <c r="Z236" i="23"/>
  <c r="AA236" i="23"/>
  <c r="AB236" i="23"/>
  <c r="AC236" i="23"/>
  <c r="AD236" i="23"/>
  <c r="AE236" i="23"/>
  <c r="AF236" i="23"/>
  <c r="AG236" i="23"/>
  <c r="AH236" i="23"/>
  <c r="AI236" i="23"/>
  <c r="AJ236" i="23"/>
  <c r="AK236" i="23"/>
  <c r="AL236" i="23"/>
  <c r="AM236" i="23"/>
  <c r="AN236" i="23"/>
  <c r="AO236" i="23"/>
  <c r="AP236" i="23"/>
  <c r="AQ236" i="23"/>
  <c r="AR236" i="23"/>
  <c r="AS236" i="23"/>
  <c r="AT236" i="23"/>
  <c r="AU236" i="23"/>
  <c r="AV236" i="23"/>
  <c r="AW236" i="23"/>
  <c r="AX236" i="23"/>
  <c r="AY236" i="23"/>
  <c r="AZ236" i="23"/>
  <c r="BA236" i="23"/>
  <c r="BB236" i="23"/>
  <c r="BC236" i="23"/>
  <c r="BD236" i="23"/>
  <c r="BE236" i="23"/>
  <c r="BF236" i="23"/>
  <c r="BG236" i="23"/>
  <c r="BH236" i="23"/>
  <c r="BI236" i="23"/>
  <c r="BJ236" i="23"/>
  <c r="BK236" i="23"/>
  <c r="BL236" i="23"/>
  <c r="BM236" i="23"/>
  <c r="BN236" i="23"/>
  <c r="BO236" i="23"/>
  <c r="BP236" i="23"/>
  <c r="BQ236" i="23"/>
  <c r="BR236" i="23"/>
  <c r="BS236" i="23"/>
  <c r="BT236" i="23"/>
  <c r="B237" i="23"/>
  <c r="C237" i="23"/>
  <c r="D237" i="23"/>
  <c r="E237" i="23"/>
  <c r="F237" i="23"/>
  <c r="G237" i="23"/>
  <c r="H237" i="23"/>
  <c r="I237" i="23"/>
  <c r="J237" i="23"/>
  <c r="K237" i="23"/>
  <c r="L237" i="23"/>
  <c r="M237" i="23"/>
  <c r="N237" i="23"/>
  <c r="O237" i="23"/>
  <c r="P237" i="23"/>
  <c r="Q237" i="23"/>
  <c r="R237" i="23"/>
  <c r="S237" i="23"/>
  <c r="T237" i="23"/>
  <c r="U237" i="23"/>
  <c r="V237" i="23"/>
  <c r="W237" i="23"/>
  <c r="X237" i="23"/>
  <c r="Y237" i="23"/>
  <c r="Z237" i="23"/>
  <c r="AA237" i="23"/>
  <c r="AB237" i="23"/>
  <c r="AC237" i="23"/>
  <c r="AD237" i="23"/>
  <c r="AE237" i="23"/>
  <c r="AF237" i="23"/>
  <c r="AG237" i="23"/>
  <c r="AH237" i="23"/>
  <c r="AI237" i="23"/>
  <c r="AJ237" i="23"/>
  <c r="AK237" i="23"/>
  <c r="AL237" i="23"/>
  <c r="AM237" i="23"/>
  <c r="AN237" i="23"/>
  <c r="AO237" i="23"/>
  <c r="AP237" i="23"/>
  <c r="AQ237" i="23"/>
  <c r="AR237" i="23"/>
  <c r="AS237" i="23"/>
  <c r="AT237" i="23"/>
  <c r="AU237" i="23"/>
  <c r="AV237" i="23"/>
  <c r="AW237" i="23"/>
  <c r="AX237" i="23"/>
  <c r="AY237" i="23"/>
  <c r="AZ237" i="23"/>
  <c r="BA237" i="23"/>
  <c r="BB237" i="23"/>
  <c r="BC237" i="23"/>
  <c r="BD237" i="23"/>
  <c r="BE237" i="23"/>
  <c r="BF237" i="23"/>
  <c r="BG237" i="23"/>
  <c r="BH237" i="23"/>
  <c r="BI237" i="23"/>
  <c r="BJ237" i="23"/>
  <c r="BK237" i="23"/>
  <c r="BL237" i="23"/>
  <c r="BM237" i="23"/>
  <c r="BN237" i="23"/>
  <c r="BO237" i="23"/>
  <c r="BP237" i="23"/>
  <c r="BQ237" i="23"/>
  <c r="BR237" i="23"/>
  <c r="BS237" i="23"/>
  <c r="BT237" i="23"/>
  <c r="B238" i="23"/>
  <c r="C238" i="23"/>
  <c r="D238" i="23"/>
  <c r="E238" i="23"/>
  <c r="F238" i="23"/>
  <c r="G238" i="23"/>
  <c r="H238" i="23"/>
  <c r="I238" i="23"/>
  <c r="J238" i="23"/>
  <c r="K238" i="23"/>
  <c r="L238" i="23"/>
  <c r="M238" i="23"/>
  <c r="N238" i="23"/>
  <c r="O238" i="23"/>
  <c r="P238" i="23"/>
  <c r="Q238" i="23"/>
  <c r="R238" i="23"/>
  <c r="S238" i="23"/>
  <c r="T238" i="23"/>
  <c r="U238" i="23"/>
  <c r="V238" i="23"/>
  <c r="W238" i="23"/>
  <c r="X238" i="23"/>
  <c r="Y238" i="23"/>
  <c r="Z238" i="23"/>
  <c r="AA238" i="23"/>
  <c r="AB238" i="23"/>
  <c r="AC238" i="23"/>
  <c r="AD238" i="23"/>
  <c r="AE238" i="23"/>
  <c r="AF238" i="23"/>
  <c r="AG238" i="23"/>
  <c r="AH238" i="23"/>
  <c r="AI238" i="23"/>
  <c r="AJ238" i="23"/>
  <c r="AK238" i="23"/>
  <c r="AL238" i="23"/>
  <c r="AM238" i="23"/>
  <c r="AN238" i="23"/>
  <c r="AO238" i="23"/>
  <c r="AP238" i="23"/>
  <c r="AQ238" i="23"/>
  <c r="AR238" i="23"/>
  <c r="AS238" i="23"/>
  <c r="AT238" i="23"/>
  <c r="AU238" i="23"/>
  <c r="AV238" i="23"/>
  <c r="AW238" i="23"/>
  <c r="AX238" i="23"/>
  <c r="AY238" i="23"/>
  <c r="AZ238" i="23"/>
  <c r="BA238" i="23"/>
  <c r="BB238" i="23"/>
  <c r="BC238" i="23"/>
  <c r="BD238" i="23"/>
  <c r="BE238" i="23"/>
  <c r="BF238" i="23"/>
  <c r="BG238" i="23"/>
  <c r="BH238" i="23"/>
  <c r="BI238" i="23"/>
  <c r="BJ238" i="23"/>
  <c r="BK238" i="23"/>
  <c r="BL238" i="23"/>
  <c r="BM238" i="23"/>
  <c r="BN238" i="23"/>
  <c r="BO238" i="23"/>
  <c r="BP238" i="23"/>
  <c r="BQ238" i="23"/>
  <c r="BR238" i="23"/>
  <c r="BS238" i="23"/>
  <c r="BT238" i="23"/>
  <c r="B239" i="23"/>
  <c r="C239" i="23"/>
  <c r="D239" i="23"/>
  <c r="E239" i="23"/>
  <c r="F239" i="23"/>
  <c r="G239" i="23"/>
  <c r="H239" i="23"/>
  <c r="I239" i="23"/>
  <c r="J239" i="23"/>
  <c r="K239" i="23"/>
  <c r="L239" i="23"/>
  <c r="M239" i="23"/>
  <c r="N239" i="23"/>
  <c r="O239" i="23"/>
  <c r="P239" i="23"/>
  <c r="Q239" i="23"/>
  <c r="R239" i="23"/>
  <c r="S239" i="23"/>
  <c r="T239" i="23"/>
  <c r="U239" i="23"/>
  <c r="V239" i="23"/>
  <c r="W239" i="23"/>
  <c r="X239" i="23"/>
  <c r="Y239" i="23"/>
  <c r="Z239" i="23"/>
  <c r="AA239" i="23"/>
  <c r="AB239" i="23"/>
  <c r="AC239" i="23"/>
  <c r="AD239" i="23"/>
  <c r="AE239" i="23"/>
  <c r="AF239" i="23"/>
  <c r="AG239" i="23"/>
  <c r="AH239" i="23"/>
  <c r="AI239" i="23"/>
  <c r="AJ239" i="23"/>
  <c r="AK239" i="23"/>
  <c r="AL239" i="23"/>
  <c r="AM239" i="23"/>
  <c r="AN239" i="23"/>
  <c r="AO239" i="23"/>
  <c r="AP239" i="23"/>
  <c r="AQ239" i="23"/>
  <c r="AR239" i="23"/>
  <c r="AS239" i="23"/>
  <c r="AT239" i="23"/>
  <c r="AU239" i="23"/>
  <c r="AV239" i="23"/>
  <c r="AW239" i="23"/>
  <c r="AX239" i="23"/>
  <c r="AY239" i="23"/>
  <c r="AZ239" i="23"/>
  <c r="BA239" i="23"/>
  <c r="BB239" i="23"/>
  <c r="BC239" i="23"/>
  <c r="BD239" i="23"/>
  <c r="BE239" i="23"/>
  <c r="BF239" i="23"/>
  <c r="BG239" i="23"/>
  <c r="BH239" i="23"/>
  <c r="BI239" i="23"/>
  <c r="BJ239" i="23"/>
  <c r="BK239" i="23"/>
  <c r="BL239" i="23"/>
  <c r="BM239" i="23"/>
  <c r="BN239" i="23"/>
  <c r="BO239" i="23"/>
  <c r="BP239" i="23"/>
  <c r="BQ239" i="23"/>
  <c r="BR239" i="23"/>
  <c r="BS239" i="23"/>
  <c r="BT239" i="23"/>
  <c r="B240" i="23"/>
  <c r="C240" i="23"/>
  <c r="D240" i="23"/>
  <c r="E240" i="23"/>
  <c r="F240" i="23"/>
  <c r="G240" i="23"/>
  <c r="H240" i="23"/>
  <c r="I240" i="23"/>
  <c r="J240" i="23"/>
  <c r="K240" i="23"/>
  <c r="L240" i="23"/>
  <c r="M240" i="23"/>
  <c r="N240" i="23"/>
  <c r="O240" i="23"/>
  <c r="P240" i="23"/>
  <c r="Q240" i="23"/>
  <c r="R240" i="23"/>
  <c r="S240" i="23"/>
  <c r="T240" i="23"/>
  <c r="U240" i="23"/>
  <c r="V240" i="23"/>
  <c r="W240" i="23"/>
  <c r="X240" i="23"/>
  <c r="Y240" i="23"/>
  <c r="Z240" i="23"/>
  <c r="AA240" i="23"/>
  <c r="AB240" i="23"/>
  <c r="AC240" i="23"/>
  <c r="AD240" i="23"/>
  <c r="AE240" i="23"/>
  <c r="AF240" i="23"/>
  <c r="AG240" i="23"/>
  <c r="AH240" i="23"/>
  <c r="AI240" i="23"/>
  <c r="AJ240" i="23"/>
  <c r="AK240" i="23"/>
  <c r="AL240" i="23"/>
  <c r="AM240" i="23"/>
  <c r="AN240" i="23"/>
  <c r="AO240" i="23"/>
  <c r="AP240" i="23"/>
  <c r="AQ240" i="23"/>
  <c r="AR240" i="23"/>
  <c r="AS240" i="23"/>
  <c r="AT240" i="23"/>
  <c r="AU240" i="23"/>
  <c r="AV240" i="23"/>
  <c r="AW240" i="23"/>
  <c r="AX240" i="23"/>
  <c r="AY240" i="23"/>
  <c r="AZ240" i="23"/>
  <c r="BA240" i="23"/>
  <c r="BB240" i="23"/>
  <c r="BC240" i="23"/>
  <c r="BD240" i="23"/>
  <c r="BE240" i="23"/>
  <c r="BF240" i="23"/>
  <c r="BG240" i="23"/>
  <c r="BH240" i="23"/>
  <c r="BI240" i="23"/>
  <c r="BJ240" i="23"/>
  <c r="BK240" i="23"/>
  <c r="BL240" i="23"/>
  <c r="BM240" i="23"/>
  <c r="BN240" i="23"/>
  <c r="BO240" i="23"/>
  <c r="BP240" i="23"/>
  <c r="BQ240" i="23"/>
  <c r="BR240" i="23"/>
  <c r="BS240" i="23"/>
  <c r="BT240" i="23"/>
  <c r="B241" i="23"/>
  <c r="C241" i="23"/>
  <c r="D241" i="23"/>
  <c r="E241" i="23"/>
  <c r="F241" i="23"/>
  <c r="G241" i="23"/>
  <c r="H241" i="23"/>
  <c r="I241" i="23"/>
  <c r="J241" i="23"/>
  <c r="K241" i="23"/>
  <c r="L241" i="23"/>
  <c r="M241" i="23"/>
  <c r="N241" i="23"/>
  <c r="O241" i="23"/>
  <c r="P241" i="23"/>
  <c r="Q241" i="23"/>
  <c r="R241" i="23"/>
  <c r="S241" i="23"/>
  <c r="T241" i="23"/>
  <c r="U241" i="23"/>
  <c r="V241" i="23"/>
  <c r="W241" i="23"/>
  <c r="X241" i="23"/>
  <c r="Y241" i="23"/>
  <c r="Z241" i="23"/>
  <c r="AA241" i="23"/>
  <c r="AB241" i="23"/>
  <c r="AC241" i="23"/>
  <c r="AD241" i="23"/>
  <c r="AE241" i="23"/>
  <c r="AF241" i="23"/>
  <c r="AG241" i="23"/>
  <c r="AH241" i="23"/>
  <c r="AI241" i="23"/>
  <c r="AJ241" i="23"/>
  <c r="AK241" i="23"/>
  <c r="AL241" i="23"/>
  <c r="AM241" i="23"/>
  <c r="AN241" i="23"/>
  <c r="AO241" i="23"/>
  <c r="AP241" i="23"/>
  <c r="AQ241" i="23"/>
  <c r="AR241" i="23"/>
  <c r="AS241" i="23"/>
  <c r="AT241" i="23"/>
  <c r="AU241" i="23"/>
  <c r="AV241" i="23"/>
  <c r="AW241" i="23"/>
  <c r="AX241" i="23"/>
  <c r="AY241" i="23"/>
  <c r="AZ241" i="23"/>
  <c r="BA241" i="23"/>
  <c r="BB241" i="23"/>
  <c r="BC241" i="23"/>
  <c r="BD241" i="23"/>
  <c r="BE241" i="23"/>
  <c r="BF241" i="23"/>
  <c r="BG241" i="23"/>
  <c r="BH241" i="23"/>
  <c r="BI241" i="23"/>
  <c r="BJ241" i="23"/>
  <c r="BK241" i="23"/>
  <c r="BL241" i="23"/>
  <c r="BM241" i="23"/>
  <c r="BN241" i="23"/>
  <c r="BO241" i="23"/>
  <c r="BP241" i="23"/>
  <c r="BQ241" i="23"/>
  <c r="BR241" i="23"/>
  <c r="BS241" i="23"/>
  <c r="BT241" i="23"/>
  <c r="B242" i="23"/>
  <c r="C242" i="23"/>
  <c r="D242" i="23"/>
  <c r="E242" i="23"/>
  <c r="F242" i="23"/>
  <c r="G242" i="23"/>
  <c r="H242" i="23"/>
  <c r="I242" i="23"/>
  <c r="J242" i="23"/>
  <c r="K242" i="23"/>
  <c r="L242" i="23"/>
  <c r="M242" i="23"/>
  <c r="N242" i="23"/>
  <c r="O242" i="23"/>
  <c r="P242" i="23"/>
  <c r="Q242" i="23"/>
  <c r="R242" i="23"/>
  <c r="S242" i="23"/>
  <c r="T242" i="23"/>
  <c r="U242" i="23"/>
  <c r="V242" i="23"/>
  <c r="W242" i="23"/>
  <c r="X242" i="23"/>
  <c r="Y242" i="23"/>
  <c r="Z242" i="23"/>
  <c r="AA242" i="23"/>
  <c r="AB242" i="23"/>
  <c r="AC242" i="23"/>
  <c r="AD242" i="23"/>
  <c r="AE242" i="23"/>
  <c r="AF242" i="23"/>
  <c r="AG242" i="23"/>
  <c r="AH242" i="23"/>
  <c r="AI242" i="23"/>
  <c r="AJ242" i="23"/>
  <c r="AK242" i="23"/>
  <c r="AL242" i="23"/>
  <c r="AM242" i="23"/>
  <c r="AN242" i="23"/>
  <c r="AO242" i="23"/>
  <c r="AP242" i="23"/>
  <c r="AQ242" i="23"/>
  <c r="AR242" i="23"/>
  <c r="AS242" i="23"/>
  <c r="AT242" i="23"/>
  <c r="AU242" i="23"/>
  <c r="AV242" i="23"/>
  <c r="AW242" i="23"/>
  <c r="AX242" i="23"/>
  <c r="AY242" i="23"/>
  <c r="AZ242" i="23"/>
  <c r="BA242" i="23"/>
  <c r="BB242" i="23"/>
  <c r="BC242" i="23"/>
  <c r="BD242" i="23"/>
  <c r="BE242" i="23"/>
  <c r="BF242" i="23"/>
  <c r="BG242" i="23"/>
  <c r="BH242" i="23"/>
  <c r="BI242" i="23"/>
  <c r="BJ242" i="23"/>
  <c r="BK242" i="23"/>
  <c r="BL242" i="23"/>
  <c r="BM242" i="23"/>
  <c r="BN242" i="23"/>
  <c r="BO242" i="23"/>
  <c r="BP242" i="23"/>
  <c r="BQ242" i="23"/>
  <c r="BR242" i="23"/>
  <c r="BS242" i="23"/>
  <c r="BT242" i="23"/>
  <c r="B243" i="23"/>
  <c r="C243" i="23"/>
  <c r="D243" i="23"/>
  <c r="E243" i="23"/>
  <c r="F243" i="23"/>
  <c r="G243" i="23"/>
  <c r="H243" i="23"/>
  <c r="I243" i="23"/>
  <c r="J243" i="23"/>
  <c r="K243" i="23"/>
  <c r="L243" i="23"/>
  <c r="M243" i="23"/>
  <c r="N243" i="23"/>
  <c r="O243" i="23"/>
  <c r="P243" i="23"/>
  <c r="Q243" i="23"/>
  <c r="R243" i="23"/>
  <c r="S243" i="23"/>
  <c r="T243" i="23"/>
  <c r="U243" i="23"/>
  <c r="V243" i="23"/>
  <c r="W243" i="23"/>
  <c r="X243" i="23"/>
  <c r="Y243" i="23"/>
  <c r="Z243" i="23"/>
  <c r="AA243" i="23"/>
  <c r="AB243" i="23"/>
  <c r="AC243" i="23"/>
  <c r="AD243" i="23"/>
  <c r="AE243" i="23"/>
  <c r="AF243" i="23"/>
  <c r="AG243" i="23"/>
  <c r="AH243" i="23"/>
  <c r="AI243" i="23"/>
  <c r="AJ243" i="23"/>
  <c r="AK243" i="23"/>
  <c r="AL243" i="23"/>
  <c r="AM243" i="23"/>
  <c r="AN243" i="23"/>
  <c r="AO243" i="23"/>
  <c r="AP243" i="23"/>
  <c r="AQ243" i="23"/>
  <c r="AR243" i="23"/>
  <c r="AS243" i="23"/>
  <c r="AT243" i="23"/>
  <c r="AU243" i="23"/>
  <c r="AV243" i="23"/>
  <c r="AW243" i="23"/>
  <c r="AX243" i="23"/>
  <c r="AY243" i="23"/>
  <c r="AZ243" i="23"/>
  <c r="BA243" i="23"/>
  <c r="BB243" i="23"/>
  <c r="BC243" i="23"/>
  <c r="BD243" i="23"/>
  <c r="BE243" i="23"/>
  <c r="BF243" i="23"/>
  <c r="BG243" i="23"/>
  <c r="BH243" i="23"/>
  <c r="BI243" i="23"/>
  <c r="BJ243" i="23"/>
  <c r="BK243" i="23"/>
  <c r="BL243" i="23"/>
  <c r="BM243" i="23"/>
  <c r="BN243" i="23"/>
  <c r="BO243" i="23"/>
  <c r="BP243" i="23"/>
  <c r="BQ243" i="23"/>
  <c r="BR243" i="23"/>
  <c r="BS243" i="23"/>
  <c r="BT243" i="23"/>
  <c r="B244" i="23"/>
  <c r="C244" i="23"/>
  <c r="D244" i="23"/>
  <c r="E244" i="23"/>
  <c r="F244" i="23"/>
  <c r="G244" i="23"/>
  <c r="H244" i="23"/>
  <c r="I244" i="23"/>
  <c r="J244" i="23"/>
  <c r="K244" i="23"/>
  <c r="L244" i="23"/>
  <c r="M244" i="23"/>
  <c r="N244" i="23"/>
  <c r="O244" i="23"/>
  <c r="P244" i="23"/>
  <c r="Q244" i="23"/>
  <c r="R244" i="23"/>
  <c r="S244" i="23"/>
  <c r="T244" i="23"/>
  <c r="U244" i="23"/>
  <c r="V244" i="23"/>
  <c r="W244" i="23"/>
  <c r="X244" i="23"/>
  <c r="Y244" i="23"/>
  <c r="Z244" i="23"/>
  <c r="AA244" i="23"/>
  <c r="AB244" i="23"/>
  <c r="AC244" i="23"/>
  <c r="AD244" i="23"/>
  <c r="AE244" i="23"/>
  <c r="AF244" i="23"/>
  <c r="AG244" i="23"/>
  <c r="AH244" i="23"/>
  <c r="AI244" i="23"/>
  <c r="AJ244" i="23"/>
  <c r="AK244" i="23"/>
  <c r="AL244" i="23"/>
  <c r="AM244" i="23"/>
  <c r="AN244" i="23"/>
  <c r="AO244" i="23"/>
  <c r="AP244" i="23"/>
  <c r="AQ244" i="23"/>
  <c r="AR244" i="23"/>
  <c r="AS244" i="23"/>
  <c r="AT244" i="23"/>
  <c r="AU244" i="23"/>
  <c r="AV244" i="23"/>
  <c r="AW244" i="23"/>
  <c r="AX244" i="23"/>
  <c r="AY244" i="23"/>
  <c r="AZ244" i="23"/>
  <c r="BA244" i="23"/>
  <c r="BB244" i="23"/>
  <c r="BC244" i="23"/>
  <c r="BD244" i="23"/>
  <c r="BE244" i="23"/>
  <c r="BF244" i="23"/>
  <c r="BG244" i="23"/>
  <c r="BH244" i="23"/>
  <c r="BI244" i="23"/>
  <c r="BJ244" i="23"/>
  <c r="BK244" i="23"/>
  <c r="BL244" i="23"/>
  <c r="BM244" i="23"/>
  <c r="BN244" i="23"/>
  <c r="BO244" i="23"/>
  <c r="BP244" i="23"/>
  <c r="BQ244" i="23"/>
  <c r="BR244" i="23"/>
  <c r="BS244" i="23"/>
  <c r="BT244" i="23"/>
  <c r="B245" i="23"/>
  <c r="C245" i="23"/>
  <c r="D245" i="23"/>
  <c r="E245" i="23"/>
  <c r="F245" i="23"/>
  <c r="G245" i="23"/>
  <c r="H245" i="23"/>
  <c r="I245" i="23"/>
  <c r="J245" i="23"/>
  <c r="K245" i="23"/>
  <c r="L245" i="23"/>
  <c r="M245" i="23"/>
  <c r="N245" i="23"/>
  <c r="O245" i="23"/>
  <c r="P245" i="23"/>
  <c r="Q245" i="23"/>
  <c r="R245" i="23"/>
  <c r="S245" i="23"/>
  <c r="T245" i="23"/>
  <c r="U245" i="23"/>
  <c r="V245" i="23"/>
  <c r="W245" i="23"/>
  <c r="X245" i="23"/>
  <c r="Y245" i="23"/>
  <c r="Z245" i="23"/>
  <c r="AA245" i="23"/>
  <c r="AB245" i="23"/>
  <c r="AC245" i="23"/>
  <c r="AD245" i="23"/>
  <c r="AE245" i="23"/>
  <c r="AF245" i="23"/>
  <c r="AG245" i="23"/>
  <c r="AH245" i="23"/>
  <c r="AI245" i="23"/>
  <c r="AJ245" i="23"/>
  <c r="AK245" i="23"/>
  <c r="AL245" i="23"/>
  <c r="AM245" i="23"/>
  <c r="AN245" i="23"/>
  <c r="AO245" i="23"/>
  <c r="AP245" i="23"/>
  <c r="AQ245" i="23"/>
  <c r="AR245" i="23"/>
  <c r="AS245" i="23"/>
  <c r="AT245" i="23"/>
  <c r="AU245" i="23"/>
  <c r="AV245" i="23"/>
  <c r="AW245" i="23"/>
  <c r="AX245" i="23"/>
  <c r="AY245" i="23"/>
  <c r="AZ245" i="23"/>
  <c r="BA245" i="23"/>
  <c r="BB245" i="23"/>
  <c r="BC245" i="23"/>
  <c r="BD245" i="23"/>
  <c r="BE245" i="23"/>
  <c r="BF245" i="23"/>
  <c r="BG245" i="23"/>
  <c r="BH245" i="23"/>
  <c r="BI245" i="23"/>
  <c r="BJ245" i="23"/>
  <c r="BK245" i="23"/>
  <c r="BL245" i="23"/>
  <c r="BM245" i="23"/>
  <c r="BN245" i="23"/>
  <c r="BO245" i="23"/>
  <c r="BP245" i="23"/>
  <c r="BQ245" i="23"/>
  <c r="BR245" i="23"/>
  <c r="BS245" i="23"/>
  <c r="BT245" i="23"/>
  <c r="B246" i="23"/>
  <c r="C246" i="23"/>
  <c r="D246" i="23"/>
  <c r="E246" i="23"/>
  <c r="F246" i="23"/>
  <c r="G246" i="23"/>
  <c r="H246" i="23"/>
  <c r="I246" i="23"/>
  <c r="J246" i="23"/>
  <c r="K246" i="23"/>
  <c r="L246" i="23"/>
  <c r="M246" i="23"/>
  <c r="N246" i="23"/>
  <c r="O246" i="23"/>
  <c r="P246" i="23"/>
  <c r="Q246" i="23"/>
  <c r="R246" i="23"/>
  <c r="S246" i="23"/>
  <c r="T246" i="23"/>
  <c r="U246" i="23"/>
  <c r="V246" i="23"/>
  <c r="W246" i="23"/>
  <c r="X246" i="23"/>
  <c r="Y246" i="23"/>
  <c r="Z246" i="23"/>
  <c r="AA246" i="23"/>
  <c r="AB246" i="23"/>
  <c r="AC246" i="23"/>
  <c r="AD246" i="23"/>
  <c r="AE246" i="23"/>
  <c r="AF246" i="23"/>
  <c r="AG246" i="23"/>
  <c r="AH246" i="23"/>
  <c r="AI246" i="23"/>
  <c r="AJ246" i="23"/>
  <c r="AK246" i="23"/>
  <c r="AL246" i="23"/>
  <c r="AM246" i="23"/>
  <c r="AN246" i="23"/>
  <c r="AO246" i="23"/>
  <c r="AP246" i="23"/>
  <c r="AQ246" i="23"/>
  <c r="AR246" i="23"/>
  <c r="AS246" i="23"/>
  <c r="AT246" i="23"/>
  <c r="AU246" i="23"/>
  <c r="AV246" i="23"/>
  <c r="AW246" i="23"/>
  <c r="AX246" i="23"/>
  <c r="AY246" i="23"/>
  <c r="AZ246" i="23"/>
  <c r="BA246" i="23"/>
  <c r="BB246" i="23"/>
  <c r="BC246" i="23"/>
  <c r="BD246" i="23"/>
  <c r="BE246" i="23"/>
  <c r="BF246" i="23"/>
  <c r="BG246" i="23"/>
  <c r="BH246" i="23"/>
  <c r="BI246" i="23"/>
  <c r="BJ246" i="23"/>
  <c r="BK246" i="23"/>
  <c r="BL246" i="23"/>
  <c r="BM246" i="23"/>
  <c r="BN246" i="23"/>
  <c r="BO246" i="23"/>
  <c r="BP246" i="23"/>
  <c r="BQ246" i="23"/>
  <c r="BR246" i="23"/>
  <c r="BS246" i="23"/>
  <c r="BT246" i="23"/>
  <c r="B247" i="23"/>
  <c r="C247" i="23"/>
  <c r="D247" i="23"/>
  <c r="E247" i="23"/>
  <c r="F247" i="23"/>
  <c r="G247" i="23"/>
  <c r="H247" i="23"/>
  <c r="I247" i="23"/>
  <c r="J247" i="23"/>
  <c r="K247" i="23"/>
  <c r="L247" i="23"/>
  <c r="M247" i="23"/>
  <c r="N247" i="23"/>
  <c r="O247" i="23"/>
  <c r="P247" i="23"/>
  <c r="Q247" i="23"/>
  <c r="R247" i="23"/>
  <c r="S247" i="23"/>
  <c r="T247" i="23"/>
  <c r="U247" i="23"/>
  <c r="V247" i="23"/>
  <c r="W247" i="23"/>
  <c r="X247" i="23"/>
  <c r="Y247" i="23"/>
  <c r="Z247" i="23"/>
  <c r="AA247" i="23"/>
  <c r="AB247" i="23"/>
  <c r="AC247" i="23"/>
  <c r="AD247" i="23"/>
  <c r="AE247" i="23"/>
  <c r="AF247" i="23"/>
  <c r="AG247" i="23"/>
  <c r="AH247" i="23"/>
  <c r="AI247" i="23"/>
  <c r="AJ247" i="23"/>
  <c r="AK247" i="23"/>
  <c r="AL247" i="23"/>
  <c r="AM247" i="23"/>
  <c r="AN247" i="23"/>
  <c r="AO247" i="23"/>
  <c r="AP247" i="23"/>
  <c r="AQ247" i="23"/>
  <c r="AR247" i="23"/>
  <c r="AS247" i="23"/>
  <c r="AT247" i="23"/>
  <c r="AU247" i="23"/>
  <c r="AV247" i="23"/>
  <c r="AW247" i="23"/>
  <c r="AX247" i="23"/>
  <c r="AY247" i="23"/>
  <c r="AZ247" i="23"/>
  <c r="BA247" i="23"/>
  <c r="BB247" i="23"/>
  <c r="BC247" i="23"/>
  <c r="BD247" i="23"/>
  <c r="BE247" i="23"/>
  <c r="BF247" i="23"/>
  <c r="BG247" i="23"/>
  <c r="BH247" i="23"/>
  <c r="BI247" i="23"/>
  <c r="BJ247" i="23"/>
  <c r="BK247" i="23"/>
  <c r="BL247" i="23"/>
  <c r="BM247" i="23"/>
  <c r="BN247" i="23"/>
  <c r="BO247" i="23"/>
  <c r="BP247" i="23"/>
  <c r="BQ247" i="23"/>
  <c r="BR247" i="23"/>
  <c r="BS247" i="23"/>
  <c r="BT247" i="23"/>
  <c r="B248" i="23"/>
  <c r="C248" i="23"/>
  <c r="D248" i="23"/>
  <c r="E248" i="23"/>
  <c r="F248" i="23"/>
  <c r="G248" i="23"/>
  <c r="H248" i="23"/>
  <c r="I248" i="23"/>
  <c r="J248" i="23"/>
  <c r="K248" i="23"/>
  <c r="L248" i="23"/>
  <c r="M248" i="23"/>
  <c r="N248" i="23"/>
  <c r="O248" i="23"/>
  <c r="P248" i="23"/>
  <c r="Q248" i="23"/>
  <c r="R248" i="23"/>
  <c r="S248" i="23"/>
  <c r="T248" i="23"/>
  <c r="U248" i="23"/>
  <c r="V248" i="23"/>
  <c r="W248" i="23"/>
  <c r="X248" i="23"/>
  <c r="Y248" i="23"/>
  <c r="Z248" i="23"/>
  <c r="AA248" i="23"/>
  <c r="AB248" i="23"/>
  <c r="AC248" i="23"/>
  <c r="AD248" i="23"/>
  <c r="AE248" i="23"/>
  <c r="AF248" i="23"/>
  <c r="AG248" i="23"/>
  <c r="AH248" i="23"/>
  <c r="AI248" i="23"/>
  <c r="AJ248" i="23"/>
  <c r="AK248" i="23"/>
  <c r="AL248" i="23"/>
  <c r="AM248" i="23"/>
  <c r="AN248" i="23"/>
  <c r="AO248" i="23"/>
  <c r="AP248" i="23"/>
  <c r="AQ248" i="23"/>
  <c r="AR248" i="23"/>
  <c r="AS248" i="23"/>
  <c r="AT248" i="23"/>
  <c r="AU248" i="23"/>
  <c r="AV248" i="23"/>
  <c r="AW248" i="23"/>
  <c r="AX248" i="23"/>
  <c r="AY248" i="23"/>
  <c r="AZ248" i="23"/>
  <c r="BA248" i="23"/>
  <c r="BB248" i="23"/>
  <c r="BC248" i="23"/>
  <c r="BD248" i="23"/>
  <c r="BE248" i="23"/>
  <c r="BF248" i="23"/>
  <c r="BG248" i="23"/>
  <c r="BH248" i="23"/>
  <c r="BI248" i="23"/>
  <c r="BJ248" i="23"/>
  <c r="BK248" i="23"/>
  <c r="BL248" i="23"/>
  <c r="BM248" i="23"/>
  <c r="BN248" i="23"/>
  <c r="BO248" i="23"/>
  <c r="BP248" i="23"/>
  <c r="BQ248" i="23"/>
  <c r="BR248" i="23"/>
  <c r="BS248" i="23"/>
  <c r="BT248" i="23"/>
  <c r="B249" i="23"/>
  <c r="C249" i="23"/>
  <c r="D249" i="23"/>
  <c r="E249" i="23"/>
  <c r="F249" i="23"/>
  <c r="G249" i="23"/>
  <c r="H249" i="23"/>
  <c r="I249" i="23"/>
  <c r="J249" i="23"/>
  <c r="K249" i="23"/>
  <c r="L249" i="23"/>
  <c r="M249" i="23"/>
  <c r="N249" i="23"/>
  <c r="O249" i="23"/>
  <c r="P249" i="23"/>
  <c r="Q249" i="23"/>
  <c r="R249" i="23"/>
  <c r="S249" i="23"/>
  <c r="T249" i="23"/>
  <c r="U249" i="23"/>
  <c r="V249" i="23"/>
  <c r="W249" i="23"/>
  <c r="X249" i="23"/>
  <c r="Y249" i="23"/>
  <c r="Z249" i="23"/>
  <c r="AA249" i="23"/>
  <c r="AB249" i="23"/>
  <c r="AC249" i="23"/>
  <c r="AD249" i="23"/>
  <c r="AE249" i="23"/>
  <c r="AF249" i="23"/>
  <c r="AG249" i="23"/>
  <c r="AH249" i="23"/>
  <c r="AI249" i="23"/>
  <c r="AJ249" i="23"/>
  <c r="AK249" i="23"/>
  <c r="AL249" i="23"/>
  <c r="AM249" i="23"/>
  <c r="AN249" i="23"/>
  <c r="AO249" i="23"/>
  <c r="AP249" i="23"/>
  <c r="AQ249" i="23"/>
  <c r="AR249" i="23"/>
  <c r="AS249" i="23"/>
  <c r="AT249" i="23"/>
  <c r="AU249" i="23"/>
  <c r="AV249" i="23"/>
  <c r="AW249" i="23"/>
  <c r="AX249" i="23"/>
  <c r="AY249" i="23"/>
  <c r="AZ249" i="23"/>
  <c r="BA249" i="23"/>
  <c r="BB249" i="23"/>
  <c r="BC249" i="23"/>
  <c r="BD249" i="23"/>
  <c r="BE249" i="23"/>
  <c r="BF249" i="23"/>
  <c r="BG249" i="23"/>
  <c r="BH249" i="23"/>
  <c r="BI249" i="23"/>
  <c r="BJ249" i="23"/>
  <c r="BK249" i="23"/>
  <c r="BL249" i="23"/>
  <c r="BM249" i="23"/>
  <c r="BN249" i="23"/>
  <c r="BO249" i="23"/>
  <c r="BP249" i="23"/>
  <c r="BQ249" i="23"/>
  <c r="BR249" i="23"/>
  <c r="BS249" i="23"/>
  <c r="BT249" i="23"/>
  <c r="B250" i="23"/>
  <c r="C250" i="23"/>
  <c r="D250" i="23"/>
  <c r="E250" i="23"/>
  <c r="F250" i="23"/>
  <c r="G250" i="23"/>
  <c r="H250" i="23"/>
  <c r="I250" i="23"/>
  <c r="J250" i="23"/>
  <c r="K250" i="23"/>
  <c r="L250" i="23"/>
  <c r="M250" i="23"/>
  <c r="N250" i="23"/>
  <c r="O250" i="23"/>
  <c r="P250" i="23"/>
  <c r="Q250" i="23"/>
  <c r="R250" i="23"/>
  <c r="S250" i="23"/>
  <c r="T250" i="23"/>
  <c r="U250" i="23"/>
  <c r="V250" i="23"/>
  <c r="W250" i="23"/>
  <c r="X250" i="23"/>
  <c r="Y250" i="23"/>
  <c r="Z250" i="23"/>
  <c r="AA250" i="23"/>
  <c r="AB250" i="23"/>
  <c r="AC250" i="23"/>
  <c r="AD250" i="23"/>
  <c r="AE250" i="23"/>
  <c r="AF250" i="23"/>
  <c r="AG250" i="23"/>
  <c r="AH250" i="23"/>
  <c r="AI250" i="23"/>
  <c r="AJ250" i="23"/>
  <c r="AK250" i="23"/>
  <c r="AL250" i="23"/>
  <c r="AM250" i="23"/>
  <c r="AN250" i="23"/>
  <c r="AO250" i="23"/>
  <c r="AP250" i="23"/>
  <c r="AQ250" i="23"/>
  <c r="AR250" i="23"/>
  <c r="AS250" i="23"/>
  <c r="AT250" i="23"/>
  <c r="AU250" i="23"/>
  <c r="AV250" i="23"/>
  <c r="AW250" i="23"/>
  <c r="AX250" i="23"/>
  <c r="AY250" i="23"/>
  <c r="AZ250" i="23"/>
  <c r="BA250" i="23"/>
  <c r="BB250" i="23"/>
  <c r="BC250" i="23"/>
  <c r="BD250" i="23"/>
  <c r="BE250" i="23"/>
  <c r="BF250" i="23"/>
  <c r="BG250" i="23"/>
  <c r="BH250" i="23"/>
  <c r="BI250" i="23"/>
  <c r="BJ250" i="23"/>
  <c r="BK250" i="23"/>
  <c r="BL250" i="23"/>
  <c r="BM250" i="23"/>
  <c r="BN250" i="23"/>
  <c r="BO250" i="23"/>
  <c r="BP250" i="23"/>
  <c r="BQ250" i="23"/>
  <c r="BR250" i="23"/>
  <c r="BS250" i="23"/>
  <c r="BT250" i="23"/>
  <c r="B251" i="23"/>
  <c r="C251" i="23"/>
  <c r="D251" i="23"/>
  <c r="E251" i="23"/>
  <c r="F251" i="23"/>
  <c r="G251" i="23"/>
  <c r="H251" i="23"/>
  <c r="I251" i="23"/>
  <c r="J251" i="23"/>
  <c r="K251" i="23"/>
  <c r="L251" i="23"/>
  <c r="M251" i="23"/>
  <c r="N251" i="23"/>
  <c r="O251" i="23"/>
  <c r="P251" i="23"/>
  <c r="Q251" i="23"/>
  <c r="R251" i="23"/>
  <c r="S251" i="23"/>
  <c r="T251" i="23"/>
  <c r="U251" i="23"/>
  <c r="V251" i="23"/>
  <c r="W251" i="23"/>
  <c r="X251" i="23"/>
  <c r="Y251" i="23"/>
  <c r="Z251" i="23"/>
  <c r="AA251" i="23"/>
  <c r="AB251" i="23"/>
  <c r="AC251" i="23"/>
  <c r="AD251" i="23"/>
  <c r="AE251" i="23"/>
  <c r="AF251" i="23"/>
  <c r="AG251" i="23"/>
  <c r="AH251" i="23"/>
  <c r="AI251" i="23"/>
  <c r="AJ251" i="23"/>
  <c r="AK251" i="23"/>
  <c r="AL251" i="23"/>
  <c r="AM251" i="23"/>
  <c r="AN251" i="23"/>
  <c r="AO251" i="23"/>
  <c r="AP251" i="23"/>
  <c r="AQ251" i="23"/>
  <c r="AR251" i="23"/>
  <c r="AS251" i="23"/>
  <c r="AT251" i="23"/>
  <c r="AU251" i="23"/>
  <c r="AV251" i="23"/>
  <c r="AW251" i="23"/>
  <c r="AX251" i="23"/>
  <c r="AY251" i="23"/>
  <c r="AZ251" i="23"/>
  <c r="BA251" i="23"/>
  <c r="BB251" i="23"/>
  <c r="BC251" i="23"/>
  <c r="BD251" i="23"/>
  <c r="BE251" i="23"/>
  <c r="BF251" i="23"/>
  <c r="BG251" i="23"/>
  <c r="BH251" i="23"/>
  <c r="BI251" i="23"/>
  <c r="BJ251" i="23"/>
  <c r="BK251" i="23"/>
  <c r="BL251" i="23"/>
  <c r="BM251" i="23"/>
  <c r="BN251" i="23"/>
  <c r="BO251" i="23"/>
  <c r="BP251" i="23"/>
  <c r="BQ251" i="23"/>
  <c r="BR251" i="23"/>
  <c r="BS251" i="23"/>
  <c r="BT251" i="23"/>
  <c r="B252" i="23"/>
  <c r="C252" i="23"/>
  <c r="D252" i="23"/>
  <c r="E252" i="23"/>
  <c r="F252" i="23"/>
  <c r="G252" i="23"/>
  <c r="H252" i="23"/>
  <c r="I252" i="23"/>
  <c r="J252" i="23"/>
  <c r="K252" i="23"/>
  <c r="L252" i="23"/>
  <c r="M252" i="23"/>
  <c r="N252" i="23"/>
  <c r="O252" i="23"/>
  <c r="P252" i="23"/>
  <c r="Q252" i="23"/>
  <c r="R252" i="23"/>
  <c r="S252" i="23"/>
  <c r="T252" i="23"/>
  <c r="U252" i="23"/>
  <c r="V252" i="23"/>
  <c r="W252" i="23"/>
  <c r="X252" i="23"/>
  <c r="Y252" i="23"/>
  <c r="Z252" i="23"/>
  <c r="AA252" i="23"/>
  <c r="AB252" i="23"/>
  <c r="AC252" i="23"/>
  <c r="AD252" i="23"/>
  <c r="AE252" i="23"/>
  <c r="AF252" i="23"/>
  <c r="AG252" i="23"/>
  <c r="AH252" i="23"/>
  <c r="AI252" i="23"/>
  <c r="AJ252" i="23"/>
  <c r="AK252" i="23"/>
  <c r="AL252" i="23"/>
  <c r="AM252" i="23"/>
  <c r="AN252" i="23"/>
  <c r="AO252" i="23"/>
  <c r="AP252" i="23"/>
  <c r="AQ252" i="23"/>
  <c r="AR252" i="23"/>
  <c r="AS252" i="23"/>
  <c r="AT252" i="23"/>
  <c r="AU252" i="23"/>
  <c r="AV252" i="23"/>
  <c r="AW252" i="23"/>
  <c r="AX252" i="23"/>
  <c r="AY252" i="23"/>
  <c r="AZ252" i="23"/>
  <c r="BA252" i="23"/>
  <c r="BB252" i="23"/>
  <c r="BC252" i="23"/>
  <c r="BD252" i="23"/>
  <c r="BE252" i="23"/>
  <c r="BF252" i="23"/>
  <c r="BG252" i="23"/>
  <c r="BH252" i="23"/>
  <c r="BI252" i="23"/>
  <c r="BJ252" i="23"/>
  <c r="BK252" i="23"/>
  <c r="BL252" i="23"/>
  <c r="BM252" i="23"/>
  <c r="BN252" i="23"/>
  <c r="BO252" i="23"/>
  <c r="BP252" i="23"/>
  <c r="BQ252" i="23"/>
  <c r="BR252" i="23"/>
  <c r="BS252" i="23"/>
  <c r="BT252" i="23"/>
  <c r="B253" i="23"/>
  <c r="C253" i="23"/>
  <c r="D253" i="23"/>
  <c r="E253" i="23"/>
  <c r="F253" i="23"/>
  <c r="G253" i="23"/>
  <c r="H253" i="23"/>
  <c r="I253" i="23"/>
  <c r="J253" i="23"/>
  <c r="K253" i="23"/>
  <c r="L253" i="23"/>
  <c r="M253" i="23"/>
  <c r="N253" i="23"/>
  <c r="O253" i="23"/>
  <c r="P253" i="23"/>
  <c r="Q253" i="23"/>
  <c r="R253" i="23"/>
  <c r="S253" i="23"/>
  <c r="T253" i="23"/>
  <c r="U253" i="23"/>
  <c r="V253" i="23"/>
  <c r="W253" i="23"/>
  <c r="X253" i="23"/>
  <c r="Y253" i="23"/>
  <c r="Z253" i="23"/>
  <c r="AA253" i="23"/>
  <c r="AB253" i="23"/>
  <c r="AC253" i="23"/>
  <c r="AD253" i="23"/>
  <c r="AE253" i="23"/>
  <c r="AF253" i="23"/>
  <c r="AG253" i="23"/>
  <c r="AH253" i="23"/>
  <c r="AI253" i="23"/>
  <c r="AJ253" i="23"/>
  <c r="AK253" i="23"/>
  <c r="AL253" i="23"/>
  <c r="AM253" i="23"/>
  <c r="AN253" i="23"/>
  <c r="AO253" i="23"/>
  <c r="AP253" i="23"/>
  <c r="AQ253" i="23"/>
  <c r="AR253" i="23"/>
  <c r="AS253" i="23"/>
  <c r="AT253" i="23"/>
  <c r="AU253" i="23"/>
  <c r="AV253" i="23"/>
  <c r="AW253" i="23"/>
  <c r="AX253" i="23"/>
  <c r="AY253" i="23"/>
  <c r="AZ253" i="23"/>
  <c r="BA253" i="23"/>
  <c r="BB253" i="23"/>
  <c r="BC253" i="23"/>
  <c r="BD253" i="23"/>
  <c r="BE253" i="23"/>
  <c r="BF253" i="23"/>
  <c r="BG253" i="23"/>
  <c r="BH253" i="23"/>
  <c r="BI253" i="23"/>
  <c r="BJ253" i="23"/>
  <c r="BK253" i="23"/>
  <c r="BL253" i="23"/>
  <c r="BM253" i="23"/>
  <c r="BN253" i="23"/>
  <c r="BO253" i="23"/>
  <c r="BP253" i="23"/>
  <c r="BQ253" i="23"/>
  <c r="BR253" i="23"/>
  <c r="BS253" i="23"/>
  <c r="BT253" i="23"/>
  <c r="B254" i="23"/>
  <c r="C254" i="23"/>
  <c r="D254" i="23"/>
  <c r="E254" i="23"/>
  <c r="F254" i="23"/>
  <c r="G254" i="23"/>
  <c r="H254" i="23"/>
  <c r="I254" i="23"/>
  <c r="J254" i="23"/>
  <c r="K254" i="23"/>
  <c r="L254" i="23"/>
  <c r="M254" i="23"/>
  <c r="N254" i="23"/>
  <c r="O254" i="23"/>
  <c r="P254" i="23"/>
  <c r="Q254" i="23"/>
  <c r="R254" i="23"/>
  <c r="S254" i="23"/>
  <c r="T254" i="23"/>
  <c r="U254" i="23"/>
  <c r="V254" i="23"/>
  <c r="W254" i="23"/>
  <c r="X254" i="23"/>
  <c r="Y254" i="23"/>
  <c r="Z254" i="23"/>
  <c r="AA254" i="23"/>
  <c r="AB254" i="23"/>
  <c r="AC254" i="23"/>
  <c r="AD254" i="23"/>
  <c r="AE254" i="23"/>
  <c r="AF254" i="23"/>
  <c r="AG254" i="23"/>
  <c r="AH254" i="23"/>
  <c r="AI254" i="23"/>
  <c r="AJ254" i="23"/>
  <c r="AK254" i="23"/>
  <c r="AL254" i="23"/>
  <c r="AM254" i="23"/>
  <c r="AN254" i="23"/>
  <c r="AO254" i="23"/>
  <c r="AP254" i="23"/>
  <c r="AQ254" i="23"/>
  <c r="AR254" i="23"/>
  <c r="AS254" i="23"/>
  <c r="AT254" i="23"/>
  <c r="AU254" i="23"/>
  <c r="AV254" i="23"/>
  <c r="AW254" i="23"/>
  <c r="AX254" i="23"/>
  <c r="AY254" i="23"/>
  <c r="AZ254" i="23"/>
  <c r="BA254" i="23"/>
  <c r="BB254" i="23"/>
  <c r="BC254" i="23"/>
  <c r="BD254" i="23"/>
  <c r="BE254" i="23"/>
  <c r="BF254" i="23"/>
  <c r="BG254" i="23"/>
  <c r="BH254" i="23"/>
  <c r="BI254" i="23"/>
  <c r="BJ254" i="23"/>
  <c r="BK254" i="23"/>
  <c r="BL254" i="23"/>
  <c r="BM254" i="23"/>
  <c r="BN254" i="23"/>
  <c r="BO254" i="23"/>
  <c r="BP254" i="23"/>
  <c r="BQ254" i="23"/>
  <c r="BR254" i="23"/>
  <c r="BS254" i="23"/>
  <c r="BT254" i="23"/>
  <c r="B255" i="23"/>
  <c r="C255" i="23"/>
  <c r="D255" i="23"/>
  <c r="E255" i="23"/>
  <c r="F255" i="23"/>
  <c r="G255" i="23"/>
  <c r="H255" i="23"/>
  <c r="I255" i="23"/>
  <c r="J255" i="23"/>
  <c r="K255" i="23"/>
  <c r="L255" i="23"/>
  <c r="M255" i="23"/>
  <c r="N255" i="23"/>
  <c r="O255" i="23"/>
  <c r="P255" i="23"/>
  <c r="Q255" i="23"/>
  <c r="R255" i="23"/>
  <c r="S255" i="23"/>
  <c r="T255" i="23"/>
  <c r="U255" i="23"/>
  <c r="V255" i="23"/>
  <c r="W255" i="23"/>
  <c r="X255" i="23"/>
  <c r="Y255" i="23"/>
  <c r="Z255" i="23"/>
  <c r="AA255" i="23"/>
  <c r="AB255" i="23"/>
  <c r="AC255" i="23"/>
  <c r="AD255" i="23"/>
  <c r="AE255" i="23"/>
  <c r="AF255" i="23"/>
  <c r="AG255" i="23"/>
  <c r="AH255" i="23"/>
  <c r="AI255" i="23"/>
  <c r="AJ255" i="23"/>
  <c r="AK255" i="23"/>
  <c r="AL255" i="23"/>
  <c r="AM255" i="23"/>
  <c r="AN255" i="23"/>
  <c r="AO255" i="23"/>
  <c r="AP255" i="23"/>
  <c r="AQ255" i="23"/>
  <c r="AR255" i="23"/>
  <c r="AS255" i="23"/>
  <c r="AT255" i="23"/>
  <c r="AU255" i="23"/>
  <c r="AV255" i="23"/>
  <c r="AW255" i="23"/>
  <c r="AX255" i="23"/>
  <c r="AY255" i="23"/>
  <c r="AZ255" i="23"/>
  <c r="BA255" i="23"/>
  <c r="BB255" i="23"/>
  <c r="BC255" i="23"/>
  <c r="BD255" i="23"/>
  <c r="BE255" i="23"/>
  <c r="BF255" i="23"/>
  <c r="BG255" i="23"/>
  <c r="BH255" i="23"/>
  <c r="BI255" i="23"/>
  <c r="BJ255" i="23"/>
  <c r="BK255" i="23"/>
  <c r="BL255" i="23"/>
  <c r="BM255" i="23"/>
  <c r="BN255" i="23"/>
  <c r="BO255" i="23"/>
  <c r="BP255" i="23"/>
  <c r="BQ255" i="23"/>
  <c r="BR255" i="23"/>
  <c r="BS255" i="23"/>
  <c r="BT255" i="23"/>
  <c r="B256" i="23"/>
  <c r="C256" i="23"/>
  <c r="D256" i="23"/>
  <c r="E256" i="23"/>
  <c r="F256" i="23"/>
  <c r="G256" i="23"/>
  <c r="H256" i="23"/>
  <c r="I256" i="23"/>
  <c r="J256" i="23"/>
  <c r="K256" i="23"/>
  <c r="L256" i="23"/>
  <c r="M256" i="23"/>
  <c r="N256" i="23"/>
  <c r="O256" i="23"/>
  <c r="P256" i="23"/>
  <c r="Q256" i="23"/>
  <c r="R256" i="23"/>
  <c r="S256" i="23"/>
  <c r="T256" i="23"/>
  <c r="U256" i="23"/>
  <c r="V256" i="23"/>
  <c r="W256" i="23"/>
  <c r="X256" i="23"/>
  <c r="Y256" i="23"/>
  <c r="Z256" i="23"/>
  <c r="AA256" i="23"/>
  <c r="AB256" i="23"/>
  <c r="AC256" i="23"/>
  <c r="AD256" i="23"/>
  <c r="AE256" i="23"/>
  <c r="AF256" i="23"/>
  <c r="AG256" i="23"/>
  <c r="AH256" i="23"/>
  <c r="AI256" i="23"/>
  <c r="AJ256" i="23"/>
  <c r="AK256" i="23"/>
  <c r="AL256" i="23"/>
  <c r="AM256" i="23"/>
  <c r="AN256" i="23"/>
  <c r="AO256" i="23"/>
  <c r="AP256" i="23"/>
  <c r="AQ256" i="23"/>
  <c r="AR256" i="23"/>
  <c r="AS256" i="23"/>
  <c r="AT256" i="23"/>
  <c r="AU256" i="23"/>
  <c r="AV256" i="23"/>
  <c r="AW256" i="23"/>
  <c r="AX256" i="23"/>
  <c r="AY256" i="23"/>
  <c r="AZ256" i="23"/>
  <c r="BA256" i="23"/>
  <c r="BB256" i="23"/>
  <c r="BC256" i="23"/>
  <c r="BD256" i="23"/>
  <c r="BE256" i="23"/>
  <c r="BF256" i="23"/>
  <c r="BG256" i="23"/>
  <c r="BH256" i="23"/>
  <c r="BI256" i="23"/>
  <c r="BJ256" i="23"/>
  <c r="BK256" i="23"/>
  <c r="BL256" i="23"/>
  <c r="BM256" i="23"/>
  <c r="BN256" i="23"/>
  <c r="BO256" i="23"/>
  <c r="BP256" i="23"/>
  <c r="BQ256" i="23"/>
  <c r="BR256" i="23"/>
  <c r="BS256" i="23"/>
  <c r="BT256" i="23"/>
  <c r="B257" i="23"/>
  <c r="C257" i="23"/>
  <c r="D257" i="23"/>
  <c r="E257" i="23"/>
  <c r="F257" i="23"/>
  <c r="G257" i="23"/>
  <c r="H257" i="23"/>
  <c r="I257" i="23"/>
  <c r="J257" i="23"/>
  <c r="K257" i="23"/>
  <c r="L257" i="23"/>
  <c r="M257" i="23"/>
  <c r="N257" i="23"/>
  <c r="O257" i="23"/>
  <c r="P257" i="23"/>
  <c r="Q257" i="23"/>
  <c r="R257" i="23"/>
  <c r="S257" i="23"/>
  <c r="T257" i="23"/>
  <c r="U257" i="23"/>
  <c r="V257" i="23"/>
  <c r="W257" i="23"/>
  <c r="X257" i="23"/>
  <c r="Y257" i="23"/>
  <c r="Z257" i="23"/>
  <c r="AA257" i="23"/>
  <c r="AB257" i="23"/>
  <c r="AC257" i="23"/>
  <c r="AD257" i="23"/>
  <c r="AE257" i="23"/>
  <c r="AF257" i="23"/>
  <c r="AG257" i="23"/>
  <c r="AH257" i="23"/>
  <c r="AI257" i="23"/>
  <c r="AJ257" i="23"/>
  <c r="AK257" i="23"/>
  <c r="AL257" i="23"/>
  <c r="AM257" i="23"/>
  <c r="AN257" i="23"/>
  <c r="AO257" i="23"/>
  <c r="AP257" i="23"/>
  <c r="AQ257" i="23"/>
  <c r="AR257" i="23"/>
  <c r="AS257" i="23"/>
  <c r="AT257" i="23"/>
  <c r="AU257" i="23"/>
  <c r="AV257" i="23"/>
  <c r="AW257" i="23"/>
  <c r="AX257" i="23"/>
  <c r="AY257" i="23"/>
  <c r="AZ257" i="23"/>
  <c r="BA257" i="23"/>
  <c r="BB257" i="23"/>
  <c r="BC257" i="23"/>
  <c r="BD257" i="23"/>
  <c r="BE257" i="23"/>
  <c r="BF257" i="23"/>
  <c r="BG257" i="23"/>
  <c r="BH257" i="23"/>
  <c r="BI257" i="23"/>
  <c r="BJ257" i="23"/>
  <c r="BK257" i="23"/>
  <c r="BL257" i="23"/>
  <c r="BM257" i="23"/>
  <c r="BN257" i="23"/>
  <c r="BO257" i="23"/>
  <c r="BP257" i="23"/>
  <c r="BQ257" i="23"/>
  <c r="BR257" i="23"/>
  <c r="BS257" i="23"/>
  <c r="BT257" i="23"/>
  <c r="B258" i="23"/>
  <c r="C258" i="23"/>
  <c r="D258" i="23"/>
  <c r="E258" i="23"/>
  <c r="F258" i="23"/>
  <c r="G258" i="23"/>
  <c r="H258" i="23"/>
  <c r="I258" i="23"/>
  <c r="J258" i="23"/>
  <c r="K258" i="23"/>
  <c r="L258" i="23"/>
  <c r="M258" i="23"/>
  <c r="N258" i="23"/>
  <c r="O258" i="23"/>
  <c r="P258" i="23"/>
  <c r="Q258" i="23"/>
  <c r="R258" i="23"/>
  <c r="S258" i="23"/>
  <c r="T258" i="23"/>
  <c r="U258" i="23"/>
  <c r="V258" i="23"/>
  <c r="W258" i="23"/>
  <c r="X258" i="23"/>
  <c r="Y258" i="23"/>
  <c r="Z258" i="23"/>
  <c r="AA258" i="23"/>
  <c r="AB258" i="23"/>
  <c r="AC258" i="23"/>
  <c r="AD258" i="23"/>
  <c r="AE258" i="23"/>
  <c r="AF258" i="23"/>
  <c r="AG258" i="23"/>
  <c r="AH258" i="23"/>
  <c r="AI258" i="23"/>
  <c r="AJ258" i="23"/>
  <c r="AK258" i="23"/>
  <c r="AL258" i="23"/>
  <c r="AM258" i="23"/>
  <c r="AN258" i="23"/>
  <c r="AO258" i="23"/>
  <c r="AP258" i="23"/>
  <c r="AQ258" i="23"/>
  <c r="AR258" i="23"/>
  <c r="AS258" i="23"/>
  <c r="AT258" i="23"/>
  <c r="AU258" i="23"/>
  <c r="AV258" i="23"/>
  <c r="AW258" i="23"/>
  <c r="AX258" i="23"/>
  <c r="AY258" i="23"/>
  <c r="AZ258" i="23"/>
  <c r="BA258" i="23"/>
  <c r="BB258" i="23"/>
  <c r="BC258" i="23"/>
  <c r="BD258" i="23"/>
  <c r="BE258" i="23"/>
  <c r="BF258" i="23"/>
  <c r="BG258" i="23"/>
  <c r="BH258" i="23"/>
  <c r="BI258" i="23"/>
  <c r="BJ258" i="23"/>
  <c r="BK258" i="23"/>
  <c r="BL258" i="23"/>
  <c r="BM258" i="23"/>
  <c r="BN258" i="23"/>
  <c r="BO258" i="23"/>
  <c r="BP258" i="23"/>
  <c r="BQ258" i="23"/>
  <c r="BR258" i="23"/>
  <c r="BS258" i="23"/>
  <c r="BT258" i="23"/>
  <c r="B259" i="23"/>
  <c r="C259" i="23"/>
  <c r="D259" i="23"/>
  <c r="E259" i="23"/>
  <c r="F259" i="23"/>
  <c r="G259" i="23"/>
  <c r="H259" i="23"/>
  <c r="I259" i="23"/>
  <c r="J259" i="23"/>
  <c r="K259" i="23"/>
  <c r="L259" i="23"/>
  <c r="M259" i="23"/>
  <c r="N259" i="23"/>
  <c r="O259" i="23"/>
  <c r="P259" i="23"/>
  <c r="Q259" i="23"/>
  <c r="R259" i="23"/>
  <c r="S259" i="23"/>
  <c r="T259" i="23"/>
  <c r="U259" i="23"/>
  <c r="V259" i="23"/>
  <c r="W259" i="23"/>
  <c r="X259" i="23"/>
  <c r="Y259" i="23"/>
  <c r="Z259" i="23"/>
  <c r="AA259" i="23"/>
  <c r="AB259" i="23"/>
  <c r="AC259" i="23"/>
  <c r="AD259" i="23"/>
  <c r="AE259" i="23"/>
  <c r="AF259" i="23"/>
  <c r="AG259" i="23"/>
  <c r="AH259" i="23"/>
  <c r="AI259" i="23"/>
  <c r="AJ259" i="23"/>
  <c r="AK259" i="23"/>
  <c r="AL259" i="23"/>
  <c r="AM259" i="23"/>
  <c r="AN259" i="23"/>
  <c r="AO259" i="23"/>
  <c r="AP259" i="23"/>
  <c r="AQ259" i="23"/>
  <c r="AR259" i="23"/>
  <c r="AS259" i="23"/>
  <c r="AT259" i="23"/>
  <c r="AU259" i="23"/>
  <c r="AV259" i="23"/>
  <c r="AW259" i="23"/>
  <c r="AX259" i="23"/>
  <c r="AY259" i="23"/>
  <c r="AZ259" i="23"/>
  <c r="BA259" i="23"/>
  <c r="BB259" i="23"/>
  <c r="BC259" i="23"/>
  <c r="BD259" i="23"/>
  <c r="BE259" i="23"/>
  <c r="BF259" i="23"/>
  <c r="BG259" i="23"/>
  <c r="BH259" i="23"/>
  <c r="BI259" i="23"/>
  <c r="BJ259" i="23"/>
  <c r="BK259" i="23"/>
  <c r="BL259" i="23"/>
  <c r="BM259" i="23"/>
  <c r="BN259" i="23"/>
  <c r="BO259" i="23"/>
  <c r="BP259" i="23"/>
  <c r="BQ259" i="23"/>
  <c r="BR259" i="23"/>
  <c r="BS259" i="23"/>
  <c r="BT259" i="23"/>
  <c r="B260" i="23"/>
  <c r="C260" i="23"/>
  <c r="D260" i="23"/>
  <c r="E260" i="23"/>
  <c r="F260" i="23"/>
  <c r="G260" i="23"/>
  <c r="H260" i="23"/>
  <c r="I260" i="23"/>
  <c r="J260" i="23"/>
  <c r="K260" i="23"/>
  <c r="L260" i="23"/>
  <c r="M260" i="23"/>
  <c r="N260" i="23"/>
  <c r="O260" i="23"/>
  <c r="P260" i="23"/>
  <c r="Q260" i="23"/>
  <c r="R260" i="23"/>
  <c r="S260" i="23"/>
  <c r="T260" i="23"/>
  <c r="U260" i="23"/>
  <c r="V260" i="23"/>
  <c r="W260" i="23"/>
  <c r="X260" i="23"/>
  <c r="Y260" i="23"/>
  <c r="Z260" i="23"/>
  <c r="AA260" i="23"/>
  <c r="AB260" i="23"/>
  <c r="AC260" i="23"/>
  <c r="AD260" i="23"/>
  <c r="AE260" i="23"/>
  <c r="AF260" i="23"/>
  <c r="AG260" i="23"/>
  <c r="AH260" i="23"/>
  <c r="AI260" i="23"/>
  <c r="AJ260" i="23"/>
  <c r="AK260" i="23"/>
  <c r="AL260" i="23"/>
  <c r="AM260" i="23"/>
  <c r="AN260" i="23"/>
  <c r="AO260" i="23"/>
  <c r="AP260" i="23"/>
  <c r="AQ260" i="23"/>
  <c r="AR260" i="23"/>
  <c r="AS260" i="23"/>
  <c r="AT260" i="23"/>
  <c r="AU260" i="23"/>
  <c r="AV260" i="23"/>
  <c r="AW260" i="23"/>
  <c r="AX260" i="23"/>
  <c r="AY260" i="23"/>
  <c r="AZ260" i="23"/>
  <c r="BA260" i="23"/>
  <c r="BB260" i="23"/>
  <c r="BC260" i="23"/>
  <c r="BD260" i="23"/>
  <c r="BE260" i="23"/>
  <c r="BF260" i="23"/>
  <c r="BG260" i="23"/>
  <c r="BH260" i="23"/>
  <c r="BI260" i="23"/>
  <c r="BJ260" i="23"/>
  <c r="BK260" i="23"/>
  <c r="BL260" i="23"/>
  <c r="BM260" i="23"/>
  <c r="BN260" i="23"/>
  <c r="BO260" i="23"/>
  <c r="BP260" i="23"/>
  <c r="BQ260" i="23"/>
  <c r="BR260" i="23"/>
  <c r="BS260" i="23"/>
  <c r="BT260" i="23"/>
  <c r="B261" i="23"/>
  <c r="C261" i="23"/>
  <c r="D261" i="23"/>
  <c r="E261" i="23"/>
  <c r="F261" i="23"/>
  <c r="G261" i="23"/>
  <c r="H261" i="23"/>
  <c r="I261" i="23"/>
  <c r="J261" i="23"/>
  <c r="K261" i="23"/>
  <c r="L261" i="23"/>
  <c r="M261" i="23"/>
  <c r="N261" i="23"/>
  <c r="O261" i="23"/>
  <c r="P261" i="23"/>
  <c r="Q261" i="23"/>
  <c r="R261" i="23"/>
  <c r="S261" i="23"/>
  <c r="T261" i="23"/>
  <c r="U261" i="23"/>
  <c r="V261" i="23"/>
  <c r="W261" i="23"/>
  <c r="X261" i="23"/>
  <c r="Y261" i="23"/>
  <c r="Z261" i="23"/>
  <c r="AA261" i="23"/>
  <c r="AB261" i="23"/>
  <c r="AC261" i="23"/>
  <c r="AD261" i="23"/>
  <c r="AE261" i="23"/>
  <c r="AF261" i="23"/>
  <c r="AG261" i="23"/>
  <c r="AH261" i="23"/>
  <c r="AI261" i="23"/>
  <c r="AJ261" i="23"/>
  <c r="AK261" i="23"/>
  <c r="AL261" i="23"/>
  <c r="AM261" i="23"/>
  <c r="AN261" i="23"/>
  <c r="AO261" i="23"/>
  <c r="AP261" i="23"/>
  <c r="AQ261" i="23"/>
  <c r="AR261" i="23"/>
  <c r="AS261" i="23"/>
  <c r="AT261" i="23"/>
  <c r="AU261" i="23"/>
  <c r="AV261" i="23"/>
  <c r="AW261" i="23"/>
  <c r="AX261" i="23"/>
  <c r="AY261" i="23"/>
  <c r="AZ261" i="23"/>
  <c r="BA261" i="23"/>
  <c r="BB261" i="23"/>
  <c r="BC261" i="23"/>
  <c r="BD261" i="23"/>
  <c r="BE261" i="23"/>
  <c r="BF261" i="23"/>
  <c r="BG261" i="23"/>
  <c r="BH261" i="23"/>
  <c r="BI261" i="23"/>
  <c r="BJ261" i="23"/>
  <c r="BK261" i="23"/>
  <c r="BL261" i="23"/>
  <c r="BM261" i="23"/>
  <c r="BN261" i="23"/>
  <c r="BO261" i="23"/>
  <c r="BP261" i="23"/>
  <c r="BQ261" i="23"/>
  <c r="BR261" i="23"/>
  <c r="BS261" i="23"/>
  <c r="BT261" i="23"/>
  <c r="B262" i="23"/>
  <c r="C262" i="23"/>
  <c r="D262" i="23"/>
  <c r="E262" i="23"/>
  <c r="F262" i="23"/>
  <c r="G262" i="23"/>
  <c r="H262" i="23"/>
  <c r="I262" i="23"/>
  <c r="J262" i="23"/>
  <c r="K262" i="23"/>
  <c r="L262" i="23"/>
  <c r="M262" i="23"/>
  <c r="N262" i="23"/>
  <c r="O262" i="23"/>
  <c r="P262" i="23"/>
  <c r="Q262" i="23"/>
  <c r="R262" i="23"/>
  <c r="S262" i="23"/>
  <c r="T262" i="23"/>
  <c r="U262" i="23"/>
  <c r="V262" i="23"/>
  <c r="W262" i="23"/>
  <c r="X262" i="23"/>
  <c r="Y262" i="23"/>
  <c r="Z262" i="23"/>
  <c r="AA262" i="23"/>
  <c r="AB262" i="23"/>
  <c r="AC262" i="23"/>
  <c r="AD262" i="23"/>
  <c r="AE262" i="23"/>
  <c r="AF262" i="23"/>
  <c r="AG262" i="23"/>
  <c r="AH262" i="23"/>
  <c r="AI262" i="23"/>
  <c r="AJ262" i="23"/>
  <c r="AK262" i="23"/>
  <c r="AL262" i="23"/>
  <c r="AM262" i="23"/>
  <c r="AN262" i="23"/>
  <c r="AO262" i="23"/>
  <c r="AP262" i="23"/>
  <c r="AQ262" i="23"/>
  <c r="AR262" i="23"/>
  <c r="AS262" i="23"/>
  <c r="AT262" i="23"/>
  <c r="AU262" i="23"/>
  <c r="AV262" i="23"/>
  <c r="AW262" i="23"/>
  <c r="AX262" i="23"/>
  <c r="AY262" i="23"/>
  <c r="AZ262" i="23"/>
  <c r="BA262" i="23"/>
  <c r="BB262" i="23"/>
  <c r="BC262" i="23"/>
  <c r="BD262" i="23"/>
  <c r="BE262" i="23"/>
  <c r="BF262" i="23"/>
  <c r="BG262" i="23"/>
  <c r="BH262" i="23"/>
  <c r="BI262" i="23"/>
  <c r="BJ262" i="23"/>
  <c r="BK262" i="23"/>
  <c r="BL262" i="23"/>
  <c r="BM262" i="23"/>
  <c r="BN262" i="23"/>
  <c r="BO262" i="23"/>
  <c r="BP262" i="23"/>
  <c r="BQ262" i="23"/>
  <c r="BR262" i="23"/>
  <c r="BS262" i="23"/>
  <c r="BT262" i="23"/>
  <c r="B263" i="23"/>
  <c r="C263" i="23"/>
  <c r="D263" i="23"/>
  <c r="E263" i="23"/>
  <c r="F263" i="23"/>
  <c r="G263" i="23"/>
  <c r="H263" i="23"/>
  <c r="I263" i="23"/>
  <c r="J263" i="23"/>
  <c r="K263" i="23"/>
  <c r="L263" i="23"/>
  <c r="M263" i="23"/>
  <c r="N263" i="23"/>
  <c r="O263" i="23"/>
  <c r="P263" i="23"/>
  <c r="Q263" i="23"/>
  <c r="R263" i="23"/>
  <c r="S263" i="23"/>
  <c r="T263" i="23"/>
  <c r="U263" i="23"/>
  <c r="V263" i="23"/>
  <c r="W263" i="23"/>
  <c r="X263" i="23"/>
  <c r="Y263" i="23"/>
  <c r="Z263" i="23"/>
  <c r="AA263" i="23"/>
  <c r="AB263" i="23"/>
  <c r="AC263" i="23"/>
  <c r="AD263" i="23"/>
  <c r="AE263" i="23"/>
  <c r="AF263" i="23"/>
  <c r="AG263" i="23"/>
  <c r="AH263" i="23"/>
  <c r="AI263" i="23"/>
  <c r="AJ263" i="23"/>
  <c r="AK263" i="23"/>
  <c r="AL263" i="23"/>
  <c r="AM263" i="23"/>
  <c r="AN263" i="23"/>
  <c r="AO263" i="23"/>
  <c r="AP263" i="23"/>
  <c r="AQ263" i="23"/>
  <c r="AR263" i="23"/>
  <c r="AS263" i="23"/>
  <c r="AT263" i="23"/>
  <c r="AU263" i="23"/>
  <c r="AV263" i="23"/>
  <c r="AW263" i="23"/>
  <c r="AX263" i="23"/>
  <c r="AY263" i="23"/>
  <c r="AZ263" i="23"/>
  <c r="BA263" i="23"/>
  <c r="BB263" i="23"/>
  <c r="BC263" i="23"/>
  <c r="BD263" i="23"/>
  <c r="BE263" i="23"/>
  <c r="BF263" i="23"/>
  <c r="BG263" i="23"/>
  <c r="BH263" i="23"/>
  <c r="BI263" i="23"/>
  <c r="BJ263" i="23"/>
  <c r="BK263" i="23"/>
  <c r="BL263" i="23"/>
  <c r="BM263" i="23"/>
  <c r="BN263" i="23"/>
  <c r="BO263" i="23"/>
  <c r="BP263" i="23"/>
  <c r="BQ263" i="23"/>
  <c r="BR263" i="23"/>
  <c r="BS263" i="23"/>
  <c r="BT263" i="23"/>
  <c r="B264" i="23"/>
  <c r="C264" i="23"/>
  <c r="D264" i="23"/>
  <c r="E264" i="23"/>
  <c r="F264" i="23"/>
  <c r="G264" i="23"/>
  <c r="H264" i="23"/>
  <c r="I264" i="23"/>
  <c r="J264" i="23"/>
  <c r="K264" i="23"/>
  <c r="L264" i="23"/>
  <c r="M264" i="23"/>
  <c r="N264" i="23"/>
  <c r="O264" i="23"/>
  <c r="P264" i="23"/>
  <c r="Q264" i="23"/>
  <c r="R264" i="23"/>
  <c r="S264" i="23"/>
  <c r="T264" i="23"/>
  <c r="U264" i="23"/>
  <c r="V264" i="23"/>
  <c r="W264" i="23"/>
  <c r="X264" i="23"/>
  <c r="Y264" i="23"/>
  <c r="Z264" i="23"/>
  <c r="AA264" i="23"/>
  <c r="AB264" i="23"/>
  <c r="AC264" i="23"/>
  <c r="AD264" i="23"/>
  <c r="AE264" i="23"/>
  <c r="AF264" i="23"/>
  <c r="AG264" i="23"/>
  <c r="AH264" i="23"/>
  <c r="AI264" i="23"/>
  <c r="AJ264" i="23"/>
  <c r="AK264" i="23"/>
  <c r="AL264" i="23"/>
  <c r="AM264" i="23"/>
  <c r="AN264" i="23"/>
  <c r="AO264" i="23"/>
  <c r="AP264" i="23"/>
  <c r="AQ264" i="23"/>
  <c r="AR264" i="23"/>
  <c r="AS264" i="23"/>
  <c r="AT264" i="23"/>
  <c r="AU264" i="23"/>
  <c r="AV264" i="23"/>
  <c r="AW264" i="23"/>
  <c r="AX264" i="23"/>
  <c r="AY264" i="23"/>
  <c r="AZ264" i="23"/>
  <c r="BA264" i="23"/>
  <c r="BB264" i="23"/>
  <c r="BC264" i="23"/>
  <c r="BD264" i="23"/>
  <c r="BE264" i="23"/>
  <c r="BF264" i="23"/>
  <c r="BG264" i="23"/>
  <c r="BH264" i="23"/>
  <c r="BI264" i="23"/>
  <c r="BJ264" i="23"/>
  <c r="BK264" i="23"/>
  <c r="BL264" i="23"/>
  <c r="BM264" i="23"/>
  <c r="BN264" i="23"/>
  <c r="BO264" i="23"/>
  <c r="BP264" i="23"/>
  <c r="BQ264" i="23"/>
  <c r="BR264" i="23"/>
  <c r="BS264" i="23"/>
  <c r="BT264" i="23"/>
  <c r="B265" i="23"/>
  <c r="C265" i="23"/>
  <c r="D265" i="23"/>
  <c r="E265" i="23"/>
  <c r="F265" i="23"/>
  <c r="G265" i="23"/>
  <c r="H265" i="23"/>
  <c r="I265" i="23"/>
  <c r="J265" i="23"/>
  <c r="K265" i="23"/>
  <c r="L265" i="23"/>
  <c r="M265" i="23"/>
  <c r="N265" i="23"/>
  <c r="O265" i="23"/>
  <c r="P265" i="23"/>
  <c r="Q265" i="23"/>
  <c r="R265" i="23"/>
  <c r="S265" i="23"/>
  <c r="T265" i="23"/>
  <c r="U265" i="23"/>
  <c r="V265" i="23"/>
  <c r="W265" i="23"/>
  <c r="X265" i="23"/>
  <c r="Y265" i="23"/>
  <c r="Z265" i="23"/>
  <c r="AA265" i="23"/>
  <c r="AB265" i="23"/>
  <c r="AC265" i="23"/>
  <c r="AD265" i="23"/>
  <c r="AE265" i="23"/>
  <c r="AF265" i="23"/>
  <c r="AG265" i="23"/>
  <c r="AH265" i="23"/>
  <c r="AI265" i="23"/>
  <c r="AJ265" i="23"/>
  <c r="AK265" i="23"/>
  <c r="AL265" i="23"/>
  <c r="AM265" i="23"/>
  <c r="AN265" i="23"/>
  <c r="AO265" i="23"/>
  <c r="AP265" i="23"/>
  <c r="AQ265" i="23"/>
  <c r="AR265" i="23"/>
  <c r="AS265" i="23"/>
  <c r="AT265" i="23"/>
  <c r="AU265" i="23"/>
  <c r="AV265" i="23"/>
  <c r="AW265" i="23"/>
  <c r="AX265" i="23"/>
  <c r="AY265" i="23"/>
  <c r="AZ265" i="23"/>
  <c r="BA265" i="23"/>
  <c r="BB265" i="23"/>
  <c r="BC265" i="23"/>
  <c r="BD265" i="23"/>
  <c r="BE265" i="23"/>
  <c r="BF265" i="23"/>
  <c r="BG265" i="23"/>
  <c r="BH265" i="23"/>
  <c r="BI265" i="23"/>
  <c r="BJ265" i="23"/>
  <c r="BK265" i="23"/>
  <c r="BL265" i="23"/>
  <c r="BM265" i="23"/>
  <c r="BN265" i="23"/>
  <c r="BO265" i="23"/>
  <c r="BP265" i="23"/>
  <c r="BQ265" i="23"/>
  <c r="BR265" i="23"/>
  <c r="BS265" i="23"/>
  <c r="BT265" i="23"/>
  <c r="B266" i="23"/>
  <c r="C266" i="23"/>
  <c r="D266" i="23"/>
  <c r="E266" i="23"/>
  <c r="F266" i="23"/>
  <c r="G266" i="23"/>
  <c r="H266" i="23"/>
  <c r="I266" i="23"/>
  <c r="J266" i="23"/>
  <c r="K266" i="23"/>
  <c r="L266" i="23"/>
  <c r="M266" i="23"/>
  <c r="N266" i="23"/>
  <c r="O266" i="23"/>
  <c r="P266" i="23"/>
  <c r="Q266" i="23"/>
  <c r="R266" i="23"/>
  <c r="S266" i="23"/>
  <c r="T266" i="23"/>
  <c r="U266" i="23"/>
  <c r="V266" i="23"/>
  <c r="W266" i="23"/>
  <c r="X266" i="23"/>
  <c r="Y266" i="23"/>
  <c r="Z266" i="23"/>
  <c r="AA266" i="23"/>
  <c r="AB266" i="23"/>
  <c r="AC266" i="23"/>
  <c r="AD266" i="23"/>
  <c r="AE266" i="23"/>
  <c r="AF266" i="23"/>
  <c r="AG266" i="23"/>
  <c r="AH266" i="23"/>
  <c r="AI266" i="23"/>
  <c r="AJ266" i="23"/>
  <c r="AK266" i="23"/>
  <c r="AL266" i="23"/>
  <c r="AM266" i="23"/>
  <c r="AN266" i="23"/>
  <c r="AO266" i="23"/>
  <c r="AP266" i="23"/>
  <c r="AQ266" i="23"/>
  <c r="AR266" i="23"/>
  <c r="AS266" i="23"/>
  <c r="AT266" i="23"/>
  <c r="AU266" i="23"/>
  <c r="AV266" i="23"/>
  <c r="AW266" i="23"/>
  <c r="AX266" i="23"/>
  <c r="AY266" i="23"/>
  <c r="AZ266" i="23"/>
  <c r="BA266" i="23"/>
  <c r="BB266" i="23"/>
  <c r="BC266" i="23"/>
  <c r="BD266" i="23"/>
  <c r="BE266" i="23"/>
  <c r="BF266" i="23"/>
  <c r="BG266" i="23"/>
  <c r="BH266" i="23"/>
  <c r="BI266" i="23"/>
  <c r="BJ266" i="23"/>
  <c r="BK266" i="23"/>
  <c r="BL266" i="23"/>
  <c r="BM266" i="23"/>
  <c r="BN266" i="23"/>
  <c r="BO266" i="23"/>
  <c r="BP266" i="23"/>
  <c r="BQ266" i="23"/>
  <c r="BR266" i="23"/>
  <c r="BS266" i="23"/>
  <c r="BT266" i="23"/>
  <c r="B267" i="23"/>
  <c r="C267" i="23"/>
  <c r="D267" i="23"/>
  <c r="E267" i="23"/>
  <c r="F267" i="23"/>
  <c r="G267" i="23"/>
  <c r="H267" i="23"/>
  <c r="I267" i="23"/>
  <c r="J267" i="23"/>
  <c r="K267" i="23"/>
  <c r="L267" i="23"/>
  <c r="M267" i="23"/>
  <c r="N267" i="23"/>
  <c r="O267" i="23"/>
  <c r="P267" i="23"/>
  <c r="Q267" i="23"/>
  <c r="R267" i="23"/>
  <c r="S267" i="23"/>
  <c r="T267" i="23"/>
  <c r="U267" i="23"/>
  <c r="V267" i="23"/>
  <c r="W267" i="23"/>
  <c r="X267" i="23"/>
  <c r="Y267" i="23"/>
  <c r="Z267" i="23"/>
  <c r="AA267" i="23"/>
  <c r="AB267" i="23"/>
  <c r="AC267" i="23"/>
  <c r="AD267" i="23"/>
  <c r="AE267" i="23"/>
  <c r="AF267" i="23"/>
  <c r="AG267" i="23"/>
  <c r="AH267" i="23"/>
  <c r="AI267" i="23"/>
  <c r="AJ267" i="23"/>
  <c r="AK267" i="23"/>
  <c r="AL267" i="23"/>
  <c r="AM267" i="23"/>
  <c r="AN267" i="23"/>
  <c r="AO267" i="23"/>
  <c r="AP267" i="23"/>
  <c r="AQ267" i="23"/>
  <c r="AR267" i="23"/>
  <c r="AS267" i="23"/>
  <c r="AT267" i="23"/>
  <c r="AU267" i="23"/>
  <c r="AV267" i="23"/>
  <c r="AW267" i="23"/>
  <c r="AX267" i="23"/>
  <c r="AY267" i="23"/>
  <c r="AZ267" i="23"/>
  <c r="BA267" i="23"/>
  <c r="BB267" i="23"/>
  <c r="BC267" i="23"/>
  <c r="BD267" i="23"/>
  <c r="BE267" i="23"/>
  <c r="BF267" i="23"/>
  <c r="BG267" i="23"/>
  <c r="BH267" i="23"/>
  <c r="BI267" i="23"/>
  <c r="BJ267" i="23"/>
  <c r="BK267" i="23"/>
  <c r="BL267" i="23"/>
  <c r="BM267" i="23"/>
  <c r="BN267" i="23"/>
  <c r="BO267" i="23"/>
  <c r="BP267" i="23"/>
  <c r="BQ267" i="23"/>
  <c r="BR267" i="23"/>
  <c r="BS267" i="23"/>
  <c r="BT267" i="23"/>
  <c r="B268" i="23"/>
  <c r="C268" i="23"/>
  <c r="D268" i="23"/>
  <c r="E268" i="23"/>
  <c r="F268" i="23"/>
  <c r="G268" i="23"/>
  <c r="H268" i="23"/>
  <c r="I268" i="23"/>
  <c r="J268" i="23"/>
  <c r="K268" i="23"/>
  <c r="L268" i="23"/>
  <c r="M268" i="23"/>
  <c r="N268" i="23"/>
  <c r="O268" i="23"/>
  <c r="P268" i="23"/>
  <c r="Q268" i="23"/>
  <c r="R268" i="23"/>
  <c r="S268" i="23"/>
  <c r="T268" i="23"/>
  <c r="U268" i="23"/>
  <c r="V268" i="23"/>
  <c r="W268" i="23"/>
  <c r="X268" i="23"/>
  <c r="Y268" i="23"/>
  <c r="Z268" i="23"/>
  <c r="AA268" i="23"/>
  <c r="AB268" i="23"/>
  <c r="AC268" i="23"/>
  <c r="AD268" i="23"/>
  <c r="AE268" i="23"/>
  <c r="AF268" i="23"/>
  <c r="AG268" i="23"/>
  <c r="AH268" i="23"/>
  <c r="AI268" i="23"/>
  <c r="AJ268" i="23"/>
  <c r="AK268" i="23"/>
  <c r="AL268" i="23"/>
  <c r="AM268" i="23"/>
  <c r="AN268" i="23"/>
  <c r="AO268" i="23"/>
  <c r="AP268" i="23"/>
  <c r="AQ268" i="23"/>
  <c r="AR268" i="23"/>
  <c r="AS268" i="23"/>
  <c r="AT268" i="23"/>
  <c r="AU268" i="23"/>
  <c r="AV268" i="23"/>
  <c r="AW268" i="23"/>
  <c r="AX268" i="23"/>
  <c r="AY268" i="23"/>
  <c r="AZ268" i="23"/>
  <c r="BA268" i="23"/>
  <c r="BB268" i="23"/>
  <c r="BC268" i="23"/>
  <c r="BD268" i="23"/>
  <c r="BE268" i="23"/>
  <c r="BF268" i="23"/>
  <c r="BG268" i="23"/>
  <c r="BH268" i="23"/>
  <c r="BI268" i="23"/>
  <c r="BJ268" i="23"/>
  <c r="BK268" i="23"/>
  <c r="BL268" i="23"/>
  <c r="BM268" i="23"/>
  <c r="BN268" i="23"/>
  <c r="BO268" i="23"/>
  <c r="BP268" i="23"/>
  <c r="BQ268" i="23"/>
  <c r="BR268" i="23"/>
  <c r="BS268" i="23"/>
  <c r="BT268" i="23"/>
  <c r="B269" i="23"/>
  <c r="C269" i="23"/>
  <c r="D269" i="23"/>
  <c r="E269" i="23"/>
  <c r="F269" i="23"/>
  <c r="G269" i="23"/>
  <c r="H269" i="23"/>
  <c r="I269" i="23"/>
  <c r="J269" i="23"/>
  <c r="K269" i="23"/>
  <c r="L269" i="23"/>
  <c r="M269" i="23"/>
  <c r="N269" i="23"/>
  <c r="O269" i="23"/>
  <c r="P269" i="23"/>
  <c r="Q269" i="23"/>
  <c r="R269" i="23"/>
  <c r="S269" i="23"/>
  <c r="T269" i="23"/>
  <c r="U269" i="23"/>
  <c r="V269" i="23"/>
  <c r="W269" i="23"/>
  <c r="X269" i="23"/>
  <c r="Y269" i="23"/>
  <c r="Z269" i="23"/>
  <c r="AA269" i="23"/>
  <c r="AB269" i="23"/>
  <c r="AC269" i="23"/>
  <c r="AD269" i="23"/>
  <c r="AE269" i="23"/>
  <c r="AF269" i="23"/>
  <c r="AG269" i="23"/>
  <c r="AH269" i="23"/>
  <c r="AI269" i="23"/>
  <c r="AJ269" i="23"/>
  <c r="AK269" i="23"/>
  <c r="AL269" i="23"/>
  <c r="AM269" i="23"/>
  <c r="AN269" i="23"/>
  <c r="AO269" i="23"/>
  <c r="AP269" i="23"/>
  <c r="AQ269" i="23"/>
  <c r="AR269" i="23"/>
  <c r="AS269" i="23"/>
  <c r="AT269" i="23"/>
  <c r="AU269" i="23"/>
  <c r="AV269" i="23"/>
  <c r="AW269" i="23"/>
  <c r="AX269" i="23"/>
  <c r="AY269" i="23"/>
  <c r="AZ269" i="23"/>
  <c r="BA269" i="23"/>
  <c r="BB269" i="23"/>
  <c r="BC269" i="23"/>
  <c r="BD269" i="23"/>
  <c r="BE269" i="23"/>
  <c r="BF269" i="23"/>
  <c r="BG269" i="23"/>
  <c r="BH269" i="23"/>
  <c r="BI269" i="23"/>
  <c r="BJ269" i="23"/>
  <c r="BK269" i="23"/>
  <c r="BL269" i="23"/>
  <c r="BM269" i="23"/>
  <c r="BN269" i="23"/>
  <c r="BO269" i="23"/>
  <c r="BP269" i="23"/>
  <c r="BQ269" i="23"/>
  <c r="BR269" i="23"/>
  <c r="BS269" i="23"/>
  <c r="BT269" i="23"/>
  <c r="B270" i="23"/>
  <c r="C270" i="23"/>
  <c r="D270" i="23"/>
  <c r="E270" i="23"/>
  <c r="F270" i="23"/>
  <c r="G270" i="23"/>
  <c r="H270" i="23"/>
  <c r="I270" i="23"/>
  <c r="J270" i="23"/>
  <c r="K270" i="23"/>
  <c r="L270" i="23"/>
  <c r="M270" i="23"/>
  <c r="N270" i="23"/>
  <c r="O270" i="23"/>
  <c r="P270" i="23"/>
  <c r="Q270" i="23"/>
  <c r="R270" i="23"/>
  <c r="S270" i="23"/>
  <c r="T270" i="23"/>
  <c r="U270" i="23"/>
  <c r="V270" i="23"/>
  <c r="W270" i="23"/>
  <c r="X270" i="23"/>
  <c r="Y270" i="23"/>
  <c r="Z270" i="23"/>
  <c r="AA270" i="23"/>
  <c r="AB270" i="23"/>
  <c r="AC270" i="23"/>
  <c r="AD270" i="23"/>
  <c r="AE270" i="23"/>
  <c r="AF270" i="23"/>
  <c r="AG270" i="23"/>
  <c r="AH270" i="23"/>
  <c r="AI270" i="23"/>
  <c r="AJ270" i="23"/>
  <c r="AK270" i="23"/>
  <c r="AL270" i="23"/>
  <c r="AM270" i="23"/>
  <c r="AN270" i="23"/>
  <c r="AO270" i="23"/>
  <c r="AP270" i="23"/>
  <c r="AQ270" i="23"/>
  <c r="AR270" i="23"/>
  <c r="AS270" i="23"/>
  <c r="AT270" i="23"/>
  <c r="AU270" i="23"/>
  <c r="AV270" i="23"/>
  <c r="AW270" i="23"/>
  <c r="AX270" i="23"/>
  <c r="AY270" i="23"/>
  <c r="AZ270" i="23"/>
  <c r="BA270" i="23"/>
  <c r="BB270" i="23"/>
  <c r="BC270" i="23"/>
  <c r="BD270" i="23"/>
  <c r="BE270" i="23"/>
  <c r="BF270" i="23"/>
  <c r="BG270" i="23"/>
  <c r="BH270" i="23"/>
  <c r="BI270" i="23"/>
  <c r="BJ270" i="23"/>
  <c r="BK270" i="23"/>
  <c r="BL270" i="23"/>
  <c r="BM270" i="23"/>
  <c r="BN270" i="23"/>
  <c r="BO270" i="23"/>
  <c r="BP270" i="23"/>
  <c r="BQ270" i="23"/>
  <c r="BR270" i="23"/>
  <c r="BS270" i="23"/>
  <c r="BT270" i="23"/>
  <c r="B271" i="23"/>
  <c r="C271" i="23"/>
  <c r="D271" i="23"/>
  <c r="E271" i="23"/>
  <c r="F271" i="23"/>
  <c r="G271" i="23"/>
  <c r="H271" i="23"/>
  <c r="I271" i="23"/>
  <c r="J271" i="23"/>
  <c r="K271" i="23"/>
  <c r="L271" i="23"/>
  <c r="M271" i="23"/>
  <c r="N271" i="23"/>
  <c r="O271" i="23"/>
  <c r="P271" i="23"/>
  <c r="Q271" i="23"/>
  <c r="R271" i="23"/>
  <c r="S271" i="23"/>
  <c r="T271" i="23"/>
  <c r="U271" i="23"/>
  <c r="V271" i="23"/>
  <c r="W271" i="23"/>
  <c r="X271" i="23"/>
  <c r="Y271" i="23"/>
  <c r="Z271" i="23"/>
  <c r="AA271" i="23"/>
  <c r="AB271" i="23"/>
  <c r="AC271" i="23"/>
  <c r="AD271" i="23"/>
  <c r="AE271" i="23"/>
  <c r="AF271" i="23"/>
  <c r="AG271" i="23"/>
  <c r="AH271" i="23"/>
  <c r="AI271" i="23"/>
  <c r="AJ271" i="23"/>
  <c r="AK271" i="23"/>
  <c r="AL271" i="23"/>
  <c r="AM271" i="23"/>
  <c r="AN271" i="23"/>
  <c r="AO271" i="23"/>
  <c r="AP271" i="23"/>
  <c r="AQ271" i="23"/>
  <c r="AR271" i="23"/>
  <c r="AS271" i="23"/>
  <c r="AT271" i="23"/>
  <c r="AU271" i="23"/>
  <c r="AV271" i="23"/>
  <c r="AW271" i="23"/>
  <c r="AX271" i="23"/>
  <c r="AY271" i="23"/>
  <c r="AZ271" i="23"/>
  <c r="BA271" i="23"/>
  <c r="BB271" i="23"/>
  <c r="BC271" i="23"/>
  <c r="BD271" i="23"/>
  <c r="BE271" i="23"/>
  <c r="BF271" i="23"/>
  <c r="BG271" i="23"/>
  <c r="BH271" i="23"/>
  <c r="BI271" i="23"/>
  <c r="BJ271" i="23"/>
  <c r="BK271" i="23"/>
  <c r="BL271" i="23"/>
  <c r="BM271" i="23"/>
  <c r="BN271" i="23"/>
  <c r="BO271" i="23"/>
  <c r="BP271" i="23"/>
  <c r="BQ271" i="23"/>
  <c r="BR271" i="23"/>
  <c r="BS271" i="23"/>
  <c r="BT271" i="23"/>
  <c r="B272" i="23"/>
  <c r="C272" i="23"/>
  <c r="D272" i="23"/>
  <c r="E272" i="23"/>
  <c r="F272" i="23"/>
  <c r="G272" i="23"/>
  <c r="H272" i="23"/>
  <c r="I272" i="23"/>
  <c r="J272" i="23"/>
  <c r="K272" i="23"/>
  <c r="L272" i="23"/>
  <c r="M272" i="23"/>
  <c r="N272" i="23"/>
  <c r="O272" i="23"/>
  <c r="P272" i="23"/>
  <c r="Q272" i="23"/>
  <c r="R272" i="23"/>
  <c r="S272" i="23"/>
  <c r="T272" i="23"/>
  <c r="U272" i="23"/>
  <c r="V272" i="23"/>
  <c r="W272" i="23"/>
  <c r="X272" i="23"/>
  <c r="Y272" i="23"/>
  <c r="Z272" i="23"/>
  <c r="AA272" i="23"/>
  <c r="AB272" i="23"/>
  <c r="AC272" i="23"/>
  <c r="AD272" i="23"/>
  <c r="AE272" i="23"/>
  <c r="AF272" i="23"/>
  <c r="AG272" i="23"/>
  <c r="AH272" i="23"/>
  <c r="AI272" i="23"/>
  <c r="AJ272" i="23"/>
  <c r="AK272" i="23"/>
  <c r="AL272" i="23"/>
  <c r="AM272" i="23"/>
  <c r="AN272" i="23"/>
  <c r="AO272" i="23"/>
  <c r="AP272" i="23"/>
  <c r="AQ272" i="23"/>
  <c r="AR272" i="23"/>
  <c r="AS272" i="23"/>
  <c r="AT272" i="23"/>
  <c r="AU272" i="23"/>
  <c r="AV272" i="23"/>
  <c r="AW272" i="23"/>
  <c r="AX272" i="23"/>
  <c r="AY272" i="23"/>
  <c r="AZ272" i="23"/>
  <c r="BA272" i="23"/>
  <c r="BB272" i="23"/>
  <c r="BC272" i="23"/>
  <c r="BD272" i="23"/>
  <c r="BE272" i="23"/>
  <c r="BF272" i="23"/>
  <c r="BG272" i="23"/>
  <c r="BH272" i="23"/>
  <c r="BI272" i="23"/>
  <c r="BJ272" i="23"/>
  <c r="BK272" i="23"/>
  <c r="BL272" i="23"/>
  <c r="BM272" i="23"/>
  <c r="BN272" i="23"/>
  <c r="BO272" i="23"/>
  <c r="BP272" i="23"/>
  <c r="BQ272" i="23"/>
  <c r="BR272" i="23"/>
  <c r="BS272" i="23"/>
  <c r="BT272" i="23"/>
  <c r="B273" i="23"/>
  <c r="C273" i="23"/>
  <c r="D273" i="23"/>
  <c r="E273" i="23"/>
  <c r="F273" i="23"/>
  <c r="G273" i="23"/>
  <c r="H273" i="23"/>
  <c r="I273" i="23"/>
  <c r="J273" i="23"/>
  <c r="K273" i="23"/>
  <c r="L273" i="23"/>
  <c r="M273" i="23"/>
  <c r="N273" i="23"/>
  <c r="O273" i="23"/>
  <c r="P273" i="23"/>
  <c r="Q273" i="23"/>
  <c r="R273" i="23"/>
  <c r="S273" i="23"/>
  <c r="T273" i="23"/>
  <c r="U273" i="23"/>
  <c r="V273" i="23"/>
  <c r="W273" i="23"/>
  <c r="X273" i="23"/>
  <c r="Y273" i="23"/>
  <c r="Z273" i="23"/>
  <c r="AA273" i="23"/>
  <c r="AB273" i="23"/>
  <c r="AC273" i="23"/>
  <c r="AD273" i="23"/>
  <c r="AE273" i="23"/>
  <c r="AF273" i="23"/>
  <c r="AG273" i="23"/>
  <c r="AH273" i="23"/>
  <c r="AI273" i="23"/>
  <c r="AJ273" i="23"/>
  <c r="AK273" i="23"/>
  <c r="AL273" i="23"/>
  <c r="AM273" i="23"/>
  <c r="AN273" i="23"/>
  <c r="AO273" i="23"/>
  <c r="AP273" i="23"/>
  <c r="AQ273" i="23"/>
  <c r="AR273" i="23"/>
  <c r="AS273" i="23"/>
  <c r="AT273" i="23"/>
  <c r="AU273" i="23"/>
  <c r="AV273" i="23"/>
  <c r="AW273" i="23"/>
  <c r="AX273" i="23"/>
  <c r="AY273" i="23"/>
  <c r="AZ273" i="23"/>
  <c r="BA273" i="23"/>
  <c r="BB273" i="23"/>
  <c r="BC273" i="23"/>
  <c r="BD273" i="23"/>
  <c r="BE273" i="23"/>
  <c r="BF273" i="23"/>
  <c r="BG273" i="23"/>
  <c r="BH273" i="23"/>
  <c r="BI273" i="23"/>
  <c r="BJ273" i="23"/>
  <c r="BK273" i="23"/>
  <c r="BL273" i="23"/>
  <c r="BM273" i="23"/>
  <c r="BN273" i="23"/>
  <c r="BO273" i="23"/>
  <c r="BP273" i="23"/>
  <c r="BQ273" i="23"/>
  <c r="BR273" i="23"/>
  <c r="BS273" i="23"/>
  <c r="BT273" i="23"/>
  <c r="B274" i="23"/>
  <c r="C274" i="23"/>
  <c r="D274" i="23"/>
  <c r="E274" i="23"/>
  <c r="F274" i="23"/>
  <c r="G274" i="23"/>
  <c r="H274" i="23"/>
  <c r="I274" i="23"/>
  <c r="J274" i="23"/>
  <c r="K274" i="23"/>
  <c r="L274" i="23"/>
  <c r="M274" i="23"/>
  <c r="N274" i="23"/>
  <c r="O274" i="23"/>
  <c r="P274" i="23"/>
  <c r="Q274" i="23"/>
  <c r="R274" i="23"/>
  <c r="S274" i="23"/>
  <c r="T274" i="23"/>
  <c r="U274" i="23"/>
  <c r="V274" i="23"/>
  <c r="W274" i="23"/>
  <c r="X274" i="23"/>
  <c r="Y274" i="23"/>
  <c r="Z274" i="23"/>
  <c r="AA274" i="23"/>
  <c r="AB274" i="23"/>
  <c r="AC274" i="23"/>
  <c r="AD274" i="23"/>
  <c r="AE274" i="23"/>
  <c r="AF274" i="23"/>
  <c r="AG274" i="23"/>
  <c r="AH274" i="23"/>
  <c r="AI274" i="23"/>
  <c r="AJ274" i="23"/>
  <c r="AK274" i="23"/>
  <c r="AL274" i="23"/>
  <c r="AM274" i="23"/>
  <c r="AN274" i="23"/>
  <c r="AO274" i="23"/>
  <c r="AP274" i="23"/>
  <c r="AQ274" i="23"/>
  <c r="AR274" i="23"/>
  <c r="AS274" i="23"/>
  <c r="AT274" i="23"/>
  <c r="AU274" i="23"/>
  <c r="AV274" i="23"/>
  <c r="AW274" i="23"/>
  <c r="AX274" i="23"/>
  <c r="AY274" i="23"/>
  <c r="AZ274" i="23"/>
  <c r="BA274" i="23"/>
  <c r="BB274" i="23"/>
  <c r="BC274" i="23"/>
  <c r="BD274" i="23"/>
  <c r="BE274" i="23"/>
  <c r="BF274" i="23"/>
  <c r="BG274" i="23"/>
  <c r="BH274" i="23"/>
  <c r="BI274" i="23"/>
  <c r="BJ274" i="23"/>
  <c r="BK274" i="23"/>
  <c r="BL274" i="23"/>
  <c r="BM274" i="23"/>
  <c r="BN274" i="23"/>
  <c r="BO274" i="23"/>
  <c r="BP274" i="23"/>
  <c r="BQ274" i="23"/>
  <c r="BR274" i="23"/>
  <c r="BS274" i="23"/>
  <c r="BT274" i="23"/>
  <c r="B275" i="23"/>
  <c r="C275" i="23"/>
  <c r="D275" i="23"/>
  <c r="E275" i="23"/>
  <c r="F275" i="23"/>
  <c r="G275" i="23"/>
  <c r="H275" i="23"/>
  <c r="I275" i="23"/>
  <c r="J275" i="23"/>
  <c r="K275" i="23"/>
  <c r="L275" i="23"/>
  <c r="M275" i="23"/>
  <c r="N275" i="23"/>
  <c r="O275" i="23"/>
  <c r="P275" i="23"/>
  <c r="Q275" i="23"/>
  <c r="R275" i="23"/>
  <c r="S275" i="23"/>
  <c r="T275" i="23"/>
  <c r="U275" i="23"/>
  <c r="V275" i="23"/>
  <c r="W275" i="23"/>
  <c r="X275" i="23"/>
  <c r="Y275" i="23"/>
  <c r="Z275" i="23"/>
  <c r="AA275" i="23"/>
  <c r="AB275" i="23"/>
  <c r="AC275" i="23"/>
  <c r="AD275" i="23"/>
  <c r="AE275" i="23"/>
  <c r="AF275" i="23"/>
  <c r="AG275" i="23"/>
  <c r="AH275" i="23"/>
  <c r="AI275" i="23"/>
  <c r="AJ275" i="23"/>
  <c r="AK275" i="23"/>
  <c r="AL275" i="23"/>
  <c r="AM275" i="23"/>
  <c r="AN275" i="23"/>
  <c r="AO275" i="23"/>
  <c r="AP275" i="23"/>
  <c r="AQ275" i="23"/>
  <c r="AR275" i="23"/>
  <c r="AS275" i="23"/>
  <c r="AT275" i="23"/>
  <c r="AU275" i="23"/>
  <c r="AV275" i="23"/>
  <c r="AW275" i="23"/>
  <c r="AX275" i="23"/>
  <c r="AY275" i="23"/>
  <c r="AZ275" i="23"/>
  <c r="BA275" i="23"/>
  <c r="BB275" i="23"/>
  <c r="BC275" i="23"/>
  <c r="BD275" i="23"/>
  <c r="BE275" i="23"/>
  <c r="BF275" i="23"/>
  <c r="BG275" i="23"/>
  <c r="BH275" i="23"/>
  <c r="BI275" i="23"/>
  <c r="BJ275" i="23"/>
  <c r="BK275" i="23"/>
  <c r="BL275" i="23"/>
  <c r="BM275" i="23"/>
  <c r="BN275" i="23"/>
  <c r="BO275" i="23"/>
  <c r="BP275" i="23"/>
  <c r="BQ275" i="23"/>
  <c r="BR275" i="23"/>
  <c r="BS275" i="23"/>
  <c r="BT275" i="23"/>
  <c r="B276" i="23"/>
  <c r="C276" i="23"/>
  <c r="D276" i="23"/>
  <c r="E276" i="23"/>
  <c r="F276" i="23"/>
  <c r="G276" i="23"/>
  <c r="H276" i="23"/>
  <c r="I276" i="23"/>
  <c r="J276" i="23"/>
  <c r="K276" i="23"/>
  <c r="L276" i="23"/>
  <c r="M276" i="23"/>
  <c r="N276" i="23"/>
  <c r="O276" i="23"/>
  <c r="P276" i="23"/>
  <c r="Q276" i="23"/>
  <c r="R276" i="23"/>
  <c r="S276" i="23"/>
  <c r="T276" i="23"/>
  <c r="U276" i="23"/>
  <c r="V276" i="23"/>
  <c r="W276" i="23"/>
  <c r="X276" i="23"/>
  <c r="Y276" i="23"/>
  <c r="Z276" i="23"/>
  <c r="AA276" i="23"/>
  <c r="AB276" i="23"/>
  <c r="AC276" i="23"/>
  <c r="AD276" i="23"/>
  <c r="AE276" i="23"/>
  <c r="AF276" i="23"/>
  <c r="AG276" i="23"/>
  <c r="AH276" i="23"/>
  <c r="AI276" i="23"/>
  <c r="AJ276" i="23"/>
  <c r="AK276" i="23"/>
  <c r="AL276" i="23"/>
  <c r="AM276" i="23"/>
  <c r="AN276" i="23"/>
  <c r="AO276" i="23"/>
  <c r="AP276" i="23"/>
  <c r="AQ276" i="23"/>
  <c r="AR276" i="23"/>
  <c r="AS276" i="23"/>
  <c r="AT276" i="23"/>
  <c r="AU276" i="23"/>
  <c r="AV276" i="23"/>
  <c r="AW276" i="23"/>
  <c r="AX276" i="23"/>
  <c r="AY276" i="23"/>
  <c r="AZ276" i="23"/>
  <c r="BA276" i="23"/>
  <c r="BB276" i="23"/>
  <c r="BC276" i="23"/>
  <c r="BD276" i="23"/>
  <c r="BE276" i="23"/>
  <c r="BF276" i="23"/>
  <c r="BG276" i="23"/>
  <c r="BH276" i="23"/>
  <c r="BI276" i="23"/>
  <c r="BJ276" i="23"/>
  <c r="BK276" i="23"/>
  <c r="BL276" i="23"/>
  <c r="BM276" i="23"/>
  <c r="BN276" i="23"/>
  <c r="BO276" i="23"/>
  <c r="BP276" i="23"/>
  <c r="BQ276" i="23"/>
  <c r="BR276" i="23"/>
  <c r="BS276" i="23"/>
  <c r="BT276" i="23"/>
  <c r="B277" i="23"/>
  <c r="C277" i="23"/>
  <c r="D277" i="23"/>
  <c r="E277" i="23"/>
  <c r="F277" i="23"/>
  <c r="G277" i="23"/>
  <c r="H277" i="23"/>
  <c r="I277" i="23"/>
  <c r="J277" i="23"/>
  <c r="K277" i="23"/>
  <c r="L277" i="23"/>
  <c r="M277" i="23"/>
  <c r="N277" i="23"/>
  <c r="O277" i="23"/>
  <c r="P277" i="23"/>
  <c r="Q277" i="23"/>
  <c r="R277" i="23"/>
  <c r="S277" i="23"/>
  <c r="T277" i="23"/>
  <c r="U277" i="23"/>
  <c r="V277" i="23"/>
  <c r="W277" i="23"/>
  <c r="X277" i="23"/>
  <c r="Y277" i="23"/>
  <c r="Z277" i="23"/>
  <c r="AA277" i="23"/>
  <c r="AB277" i="23"/>
  <c r="AC277" i="23"/>
  <c r="AD277" i="23"/>
  <c r="AE277" i="23"/>
  <c r="AF277" i="23"/>
  <c r="AG277" i="23"/>
  <c r="AH277" i="23"/>
  <c r="AI277" i="23"/>
  <c r="AJ277" i="23"/>
  <c r="AK277" i="23"/>
  <c r="AL277" i="23"/>
  <c r="AM277" i="23"/>
  <c r="AN277" i="23"/>
  <c r="AO277" i="23"/>
  <c r="AP277" i="23"/>
  <c r="AQ277" i="23"/>
  <c r="AR277" i="23"/>
  <c r="AS277" i="23"/>
  <c r="AT277" i="23"/>
  <c r="AU277" i="23"/>
  <c r="AV277" i="23"/>
  <c r="AW277" i="23"/>
  <c r="AX277" i="23"/>
  <c r="AY277" i="23"/>
  <c r="AZ277" i="23"/>
  <c r="BA277" i="23"/>
  <c r="BB277" i="23"/>
  <c r="BC277" i="23"/>
  <c r="BD277" i="23"/>
  <c r="BE277" i="23"/>
  <c r="BF277" i="23"/>
  <c r="BG277" i="23"/>
  <c r="BH277" i="23"/>
  <c r="BI277" i="23"/>
  <c r="BJ277" i="23"/>
  <c r="BK277" i="23"/>
  <c r="BL277" i="23"/>
  <c r="BM277" i="23"/>
  <c r="BN277" i="23"/>
  <c r="BO277" i="23"/>
  <c r="BP277" i="23"/>
  <c r="BQ277" i="23"/>
  <c r="BR277" i="23"/>
  <c r="BS277" i="23"/>
  <c r="BT277" i="23"/>
  <c r="B278" i="23"/>
  <c r="C278" i="23"/>
  <c r="D278" i="23"/>
  <c r="E278" i="23"/>
  <c r="F278" i="23"/>
  <c r="G278" i="23"/>
  <c r="H278" i="23"/>
  <c r="I278" i="23"/>
  <c r="J278" i="23"/>
  <c r="K278" i="23"/>
  <c r="L278" i="23"/>
  <c r="M278" i="23"/>
  <c r="N278" i="23"/>
  <c r="O278" i="23"/>
  <c r="P278" i="23"/>
  <c r="Q278" i="23"/>
  <c r="R278" i="23"/>
  <c r="S278" i="23"/>
  <c r="T278" i="23"/>
  <c r="U278" i="23"/>
  <c r="V278" i="23"/>
  <c r="W278" i="23"/>
  <c r="X278" i="23"/>
  <c r="Y278" i="23"/>
  <c r="Z278" i="23"/>
  <c r="AA278" i="23"/>
  <c r="AB278" i="23"/>
  <c r="AC278" i="23"/>
  <c r="AD278" i="23"/>
  <c r="AE278" i="23"/>
  <c r="AF278" i="23"/>
  <c r="AG278" i="23"/>
  <c r="AH278" i="23"/>
  <c r="AI278" i="23"/>
  <c r="AJ278" i="23"/>
  <c r="AK278" i="23"/>
  <c r="AL278" i="23"/>
  <c r="AM278" i="23"/>
  <c r="AN278" i="23"/>
  <c r="AO278" i="23"/>
  <c r="AP278" i="23"/>
  <c r="AQ278" i="23"/>
  <c r="AR278" i="23"/>
  <c r="AS278" i="23"/>
  <c r="AT278" i="23"/>
  <c r="AU278" i="23"/>
  <c r="AV278" i="23"/>
  <c r="AW278" i="23"/>
  <c r="AX278" i="23"/>
  <c r="AY278" i="23"/>
  <c r="AZ278" i="23"/>
  <c r="BA278" i="23"/>
  <c r="BB278" i="23"/>
  <c r="BC278" i="23"/>
  <c r="BD278" i="23"/>
  <c r="BE278" i="23"/>
  <c r="BF278" i="23"/>
  <c r="BG278" i="23"/>
  <c r="BH278" i="23"/>
  <c r="BI278" i="23"/>
  <c r="BJ278" i="23"/>
  <c r="BK278" i="23"/>
  <c r="BL278" i="23"/>
  <c r="BM278" i="23"/>
  <c r="BN278" i="23"/>
  <c r="BO278" i="23"/>
  <c r="BP278" i="23"/>
  <c r="BQ278" i="23"/>
  <c r="BR278" i="23"/>
  <c r="BS278" i="23"/>
  <c r="BT278" i="23"/>
  <c r="B279" i="23"/>
  <c r="C279" i="23"/>
  <c r="D279" i="23"/>
  <c r="E279" i="23"/>
  <c r="F279" i="23"/>
  <c r="G279" i="23"/>
  <c r="H279" i="23"/>
  <c r="I279" i="23"/>
  <c r="J279" i="23"/>
  <c r="K279" i="23"/>
  <c r="L279" i="23"/>
  <c r="M279" i="23"/>
  <c r="N279" i="23"/>
  <c r="O279" i="23"/>
  <c r="P279" i="23"/>
  <c r="Q279" i="23"/>
  <c r="R279" i="23"/>
  <c r="S279" i="23"/>
  <c r="T279" i="23"/>
  <c r="U279" i="23"/>
  <c r="V279" i="23"/>
  <c r="W279" i="23"/>
  <c r="X279" i="23"/>
  <c r="Y279" i="23"/>
  <c r="Z279" i="23"/>
  <c r="AA279" i="23"/>
  <c r="AB279" i="23"/>
  <c r="AC279" i="23"/>
  <c r="AD279" i="23"/>
  <c r="AE279" i="23"/>
  <c r="AF279" i="23"/>
  <c r="AG279" i="23"/>
  <c r="AH279" i="23"/>
  <c r="AI279" i="23"/>
  <c r="AJ279" i="23"/>
  <c r="AK279" i="23"/>
  <c r="AL279" i="23"/>
  <c r="AM279" i="23"/>
  <c r="AN279" i="23"/>
  <c r="AO279" i="23"/>
  <c r="AP279" i="23"/>
  <c r="AQ279" i="23"/>
  <c r="AR279" i="23"/>
  <c r="AS279" i="23"/>
  <c r="AT279" i="23"/>
  <c r="AU279" i="23"/>
  <c r="AV279" i="23"/>
  <c r="AW279" i="23"/>
  <c r="AX279" i="23"/>
  <c r="AY279" i="23"/>
  <c r="AZ279" i="23"/>
  <c r="BA279" i="23"/>
  <c r="BB279" i="23"/>
  <c r="BC279" i="23"/>
  <c r="BD279" i="23"/>
  <c r="BE279" i="23"/>
  <c r="BF279" i="23"/>
  <c r="BG279" i="23"/>
  <c r="BH279" i="23"/>
  <c r="BI279" i="23"/>
  <c r="BJ279" i="23"/>
  <c r="BK279" i="23"/>
  <c r="BL279" i="23"/>
  <c r="BM279" i="23"/>
  <c r="BN279" i="23"/>
  <c r="BO279" i="23"/>
  <c r="BP279" i="23"/>
  <c r="BQ279" i="23"/>
  <c r="BR279" i="23"/>
  <c r="BS279" i="23"/>
  <c r="BT279" i="23"/>
  <c r="B280" i="23"/>
  <c r="C280" i="23"/>
  <c r="D280" i="23"/>
  <c r="E280" i="23"/>
  <c r="F280" i="23"/>
  <c r="G280" i="23"/>
  <c r="H280" i="23"/>
  <c r="I280" i="23"/>
  <c r="J280" i="23"/>
  <c r="K280" i="23"/>
  <c r="L280" i="23"/>
  <c r="M280" i="23"/>
  <c r="N280" i="23"/>
  <c r="O280" i="23"/>
  <c r="P280" i="23"/>
  <c r="Q280" i="23"/>
  <c r="R280" i="23"/>
  <c r="S280" i="23"/>
  <c r="T280" i="23"/>
  <c r="U280" i="23"/>
  <c r="V280" i="23"/>
  <c r="W280" i="23"/>
  <c r="X280" i="23"/>
  <c r="Y280" i="23"/>
  <c r="Z280" i="23"/>
  <c r="AA280" i="23"/>
  <c r="AB280" i="23"/>
  <c r="AC280" i="23"/>
  <c r="AD280" i="23"/>
  <c r="AE280" i="23"/>
  <c r="AF280" i="23"/>
  <c r="AG280" i="23"/>
  <c r="AH280" i="23"/>
  <c r="AI280" i="23"/>
  <c r="AJ280" i="23"/>
  <c r="AK280" i="23"/>
  <c r="AL280" i="23"/>
  <c r="AM280" i="23"/>
  <c r="AN280" i="23"/>
  <c r="AO280" i="23"/>
  <c r="AP280" i="23"/>
  <c r="AQ280" i="23"/>
  <c r="AR280" i="23"/>
  <c r="AS280" i="23"/>
  <c r="AT280" i="23"/>
  <c r="AU280" i="23"/>
  <c r="AV280" i="23"/>
  <c r="AW280" i="23"/>
  <c r="AX280" i="23"/>
  <c r="AY280" i="23"/>
  <c r="AZ280" i="23"/>
  <c r="BA280" i="23"/>
  <c r="BB280" i="23"/>
  <c r="BC280" i="23"/>
  <c r="BD280" i="23"/>
  <c r="BE280" i="23"/>
  <c r="BF280" i="23"/>
  <c r="BG280" i="23"/>
  <c r="BH280" i="23"/>
  <c r="BI280" i="23"/>
  <c r="BJ280" i="23"/>
  <c r="BK280" i="23"/>
  <c r="BL280" i="23"/>
  <c r="BM280" i="23"/>
  <c r="BN280" i="23"/>
  <c r="BO280" i="23"/>
  <c r="BP280" i="23"/>
  <c r="BQ280" i="23"/>
  <c r="BR280" i="23"/>
  <c r="BS280" i="23"/>
  <c r="BT280" i="23"/>
  <c r="B281" i="23"/>
  <c r="C281" i="23"/>
  <c r="D281" i="23"/>
  <c r="E281" i="23"/>
  <c r="F281" i="23"/>
  <c r="G281" i="23"/>
  <c r="H281" i="23"/>
  <c r="I281" i="23"/>
  <c r="J281" i="23"/>
  <c r="K281" i="23"/>
  <c r="L281" i="23"/>
  <c r="M281" i="23"/>
  <c r="N281" i="23"/>
  <c r="O281" i="23"/>
  <c r="P281" i="23"/>
  <c r="Q281" i="23"/>
  <c r="R281" i="23"/>
  <c r="S281" i="23"/>
  <c r="T281" i="23"/>
  <c r="U281" i="23"/>
  <c r="V281" i="23"/>
  <c r="W281" i="23"/>
  <c r="X281" i="23"/>
  <c r="Y281" i="23"/>
  <c r="Z281" i="23"/>
  <c r="AA281" i="23"/>
  <c r="AB281" i="23"/>
  <c r="AC281" i="23"/>
  <c r="AD281" i="23"/>
  <c r="AE281" i="23"/>
  <c r="AF281" i="23"/>
  <c r="AG281" i="23"/>
  <c r="AH281" i="23"/>
  <c r="AI281" i="23"/>
  <c r="AJ281" i="23"/>
  <c r="AK281" i="23"/>
  <c r="AL281" i="23"/>
  <c r="AM281" i="23"/>
  <c r="AN281" i="23"/>
  <c r="AO281" i="23"/>
  <c r="AP281" i="23"/>
  <c r="AQ281" i="23"/>
  <c r="AR281" i="23"/>
  <c r="AS281" i="23"/>
  <c r="AT281" i="23"/>
  <c r="AU281" i="23"/>
  <c r="AV281" i="23"/>
  <c r="AW281" i="23"/>
  <c r="AX281" i="23"/>
  <c r="AY281" i="23"/>
  <c r="AZ281" i="23"/>
  <c r="BA281" i="23"/>
  <c r="BB281" i="23"/>
  <c r="BC281" i="23"/>
  <c r="BD281" i="23"/>
  <c r="BE281" i="23"/>
  <c r="BF281" i="23"/>
  <c r="BG281" i="23"/>
  <c r="BH281" i="23"/>
  <c r="BI281" i="23"/>
  <c r="BJ281" i="23"/>
  <c r="BK281" i="23"/>
  <c r="BL281" i="23"/>
  <c r="BM281" i="23"/>
  <c r="BN281" i="23"/>
  <c r="BO281" i="23"/>
  <c r="BP281" i="23"/>
  <c r="BQ281" i="23"/>
  <c r="BR281" i="23"/>
  <c r="BS281" i="23"/>
  <c r="BT281" i="23"/>
  <c r="B282" i="23"/>
  <c r="C282" i="23"/>
  <c r="D282" i="23"/>
  <c r="E282" i="23"/>
  <c r="F282" i="23"/>
  <c r="G282" i="23"/>
  <c r="H282" i="23"/>
  <c r="I282" i="23"/>
  <c r="J282" i="23"/>
  <c r="K282" i="23"/>
  <c r="L282" i="23"/>
  <c r="M282" i="23"/>
  <c r="N282" i="23"/>
  <c r="O282" i="23"/>
  <c r="P282" i="23"/>
  <c r="Q282" i="23"/>
  <c r="R282" i="23"/>
  <c r="S282" i="23"/>
  <c r="T282" i="23"/>
  <c r="U282" i="23"/>
  <c r="V282" i="23"/>
  <c r="W282" i="23"/>
  <c r="X282" i="23"/>
  <c r="Y282" i="23"/>
  <c r="Z282" i="23"/>
  <c r="AA282" i="23"/>
  <c r="AB282" i="23"/>
  <c r="AC282" i="23"/>
  <c r="AD282" i="23"/>
  <c r="AE282" i="23"/>
  <c r="AF282" i="23"/>
  <c r="AG282" i="23"/>
  <c r="AH282" i="23"/>
  <c r="AI282" i="23"/>
  <c r="AJ282" i="23"/>
  <c r="AK282" i="23"/>
  <c r="AL282" i="23"/>
  <c r="AM282" i="23"/>
  <c r="AN282" i="23"/>
  <c r="AO282" i="23"/>
  <c r="AP282" i="23"/>
  <c r="AQ282" i="23"/>
  <c r="AR282" i="23"/>
  <c r="AS282" i="23"/>
  <c r="AT282" i="23"/>
  <c r="AU282" i="23"/>
  <c r="AV282" i="23"/>
  <c r="AW282" i="23"/>
  <c r="AX282" i="23"/>
  <c r="AY282" i="23"/>
  <c r="AZ282" i="23"/>
  <c r="BA282" i="23"/>
  <c r="BB282" i="23"/>
  <c r="BC282" i="23"/>
  <c r="BD282" i="23"/>
  <c r="BE282" i="23"/>
  <c r="BF282" i="23"/>
  <c r="BG282" i="23"/>
  <c r="BH282" i="23"/>
  <c r="BI282" i="23"/>
  <c r="BJ282" i="23"/>
  <c r="BK282" i="23"/>
  <c r="BL282" i="23"/>
  <c r="BM282" i="23"/>
  <c r="BN282" i="23"/>
  <c r="BO282" i="23"/>
  <c r="BP282" i="23"/>
  <c r="BQ282" i="23"/>
  <c r="BR282" i="23"/>
  <c r="BS282" i="23"/>
  <c r="BT282" i="23"/>
  <c r="B283" i="23"/>
  <c r="C283" i="23"/>
  <c r="D283" i="23"/>
  <c r="E283" i="23"/>
  <c r="F283" i="23"/>
  <c r="G283" i="23"/>
  <c r="H283" i="23"/>
  <c r="I283" i="23"/>
  <c r="J283" i="23"/>
  <c r="K283" i="23"/>
  <c r="L283" i="23"/>
  <c r="M283" i="23"/>
  <c r="N283" i="23"/>
  <c r="O283" i="23"/>
  <c r="P283" i="23"/>
  <c r="Q283" i="23"/>
  <c r="R283" i="23"/>
  <c r="S283" i="23"/>
  <c r="T283" i="23"/>
  <c r="U283" i="23"/>
  <c r="V283" i="23"/>
  <c r="W283" i="23"/>
  <c r="X283" i="23"/>
  <c r="Y283" i="23"/>
  <c r="Z283" i="23"/>
  <c r="AA283" i="23"/>
  <c r="AB283" i="23"/>
  <c r="AC283" i="23"/>
  <c r="AD283" i="23"/>
  <c r="AE283" i="23"/>
  <c r="AF283" i="23"/>
  <c r="AG283" i="23"/>
  <c r="AH283" i="23"/>
  <c r="AI283" i="23"/>
  <c r="AJ283" i="23"/>
  <c r="AK283" i="23"/>
  <c r="AL283" i="23"/>
  <c r="AM283" i="23"/>
  <c r="AN283" i="23"/>
  <c r="AO283" i="23"/>
  <c r="AP283" i="23"/>
  <c r="AQ283" i="23"/>
  <c r="AR283" i="23"/>
  <c r="AS283" i="23"/>
  <c r="AT283" i="23"/>
  <c r="AU283" i="23"/>
  <c r="AV283" i="23"/>
  <c r="AW283" i="23"/>
  <c r="AX283" i="23"/>
  <c r="AY283" i="23"/>
  <c r="AZ283" i="23"/>
  <c r="BA283" i="23"/>
  <c r="BB283" i="23"/>
  <c r="BC283" i="23"/>
  <c r="BD283" i="23"/>
  <c r="BE283" i="23"/>
  <c r="BF283" i="23"/>
  <c r="BG283" i="23"/>
  <c r="BH283" i="23"/>
  <c r="BI283" i="23"/>
  <c r="BJ283" i="23"/>
  <c r="BK283" i="23"/>
  <c r="BL283" i="23"/>
  <c r="BM283" i="23"/>
  <c r="BN283" i="23"/>
  <c r="BO283" i="23"/>
  <c r="BP283" i="23"/>
  <c r="BQ283" i="23"/>
  <c r="BR283" i="23"/>
  <c r="BS283" i="23"/>
  <c r="BT283" i="23"/>
  <c r="B284" i="23"/>
  <c r="C284" i="23"/>
  <c r="D284" i="23"/>
  <c r="E284" i="23"/>
  <c r="F284" i="23"/>
  <c r="G284" i="23"/>
  <c r="H284" i="23"/>
  <c r="I284" i="23"/>
  <c r="J284" i="23"/>
  <c r="K284" i="23"/>
  <c r="L284" i="23"/>
  <c r="M284" i="23"/>
  <c r="N284" i="23"/>
  <c r="O284" i="23"/>
  <c r="P284" i="23"/>
  <c r="Q284" i="23"/>
  <c r="R284" i="23"/>
  <c r="S284" i="23"/>
  <c r="T284" i="23"/>
  <c r="U284" i="23"/>
  <c r="V284" i="23"/>
  <c r="W284" i="23"/>
  <c r="X284" i="23"/>
  <c r="Y284" i="23"/>
  <c r="Z284" i="23"/>
  <c r="AA284" i="23"/>
  <c r="AB284" i="23"/>
  <c r="AC284" i="23"/>
  <c r="AD284" i="23"/>
  <c r="AE284" i="23"/>
  <c r="AF284" i="23"/>
  <c r="AG284" i="23"/>
  <c r="AH284" i="23"/>
  <c r="AI284" i="23"/>
  <c r="AJ284" i="23"/>
  <c r="AK284" i="23"/>
  <c r="AL284" i="23"/>
  <c r="AM284" i="23"/>
  <c r="AN284" i="23"/>
  <c r="AO284" i="23"/>
  <c r="AP284" i="23"/>
  <c r="AQ284" i="23"/>
  <c r="AR284" i="23"/>
  <c r="AS284" i="23"/>
  <c r="AT284" i="23"/>
  <c r="AU284" i="23"/>
  <c r="AV284" i="23"/>
  <c r="AW284" i="23"/>
  <c r="AX284" i="23"/>
  <c r="AY284" i="23"/>
  <c r="AZ284" i="23"/>
  <c r="BA284" i="23"/>
  <c r="BB284" i="23"/>
  <c r="BC284" i="23"/>
  <c r="BD284" i="23"/>
  <c r="BE284" i="23"/>
  <c r="BF284" i="23"/>
  <c r="BG284" i="23"/>
  <c r="BH284" i="23"/>
  <c r="BI284" i="23"/>
  <c r="BJ284" i="23"/>
  <c r="BK284" i="23"/>
  <c r="BL284" i="23"/>
  <c r="BM284" i="23"/>
  <c r="BN284" i="23"/>
  <c r="BO284" i="23"/>
  <c r="BP284" i="23"/>
  <c r="BQ284" i="23"/>
  <c r="BR284" i="23"/>
  <c r="BS284" i="23"/>
  <c r="BT284" i="23"/>
  <c r="B285" i="23"/>
  <c r="C285" i="23"/>
  <c r="D285" i="23"/>
  <c r="E285" i="23"/>
  <c r="F285" i="23"/>
  <c r="G285" i="23"/>
  <c r="H285" i="23"/>
  <c r="I285" i="23"/>
  <c r="J285" i="23"/>
  <c r="K285" i="23"/>
  <c r="L285" i="23"/>
  <c r="M285" i="23"/>
  <c r="N285" i="23"/>
  <c r="O285" i="23"/>
  <c r="P285" i="23"/>
  <c r="Q285" i="23"/>
  <c r="R285" i="23"/>
  <c r="S285" i="23"/>
  <c r="T285" i="23"/>
  <c r="U285" i="23"/>
  <c r="V285" i="23"/>
  <c r="W285" i="23"/>
  <c r="X285" i="23"/>
  <c r="Y285" i="23"/>
  <c r="Z285" i="23"/>
  <c r="AA285" i="23"/>
  <c r="AB285" i="23"/>
  <c r="AC285" i="23"/>
  <c r="AD285" i="23"/>
  <c r="AE285" i="23"/>
  <c r="AF285" i="23"/>
  <c r="AG285" i="23"/>
  <c r="AH285" i="23"/>
  <c r="AI285" i="23"/>
  <c r="AJ285" i="23"/>
  <c r="AK285" i="23"/>
  <c r="AL285" i="23"/>
  <c r="AM285" i="23"/>
  <c r="AN285" i="23"/>
  <c r="AO285" i="23"/>
  <c r="AP285" i="23"/>
  <c r="AQ285" i="23"/>
  <c r="AR285" i="23"/>
  <c r="AS285" i="23"/>
  <c r="AT285" i="23"/>
  <c r="AU285" i="23"/>
  <c r="AV285" i="23"/>
  <c r="AW285" i="23"/>
  <c r="AX285" i="23"/>
  <c r="AY285" i="23"/>
  <c r="AZ285" i="23"/>
  <c r="BA285" i="23"/>
  <c r="BB285" i="23"/>
  <c r="BC285" i="23"/>
  <c r="BD285" i="23"/>
  <c r="BE285" i="23"/>
  <c r="BF285" i="23"/>
  <c r="BG285" i="23"/>
  <c r="BH285" i="23"/>
  <c r="BI285" i="23"/>
  <c r="BJ285" i="23"/>
  <c r="BK285" i="23"/>
  <c r="BL285" i="23"/>
  <c r="BM285" i="23"/>
  <c r="BN285" i="23"/>
  <c r="BO285" i="23"/>
  <c r="BP285" i="23"/>
  <c r="BQ285" i="23"/>
  <c r="BR285" i="23"/>
  <c r="BS285" i="23"/>
  <c r="BT285" i="23"/>
  <c r="B286" i="23"/>
  <c r="C286" i="23"/>
  <c r="D286" i="23"/>
  <c r="E286" i="23"/>
  <c r="F286" i="23"/>
  <c r="G286" i="23"/>
  <c r="H286" i="23"/>
  <c r="I286" i="23"/>
  <c r="J286" i="23"/>
  <c r="K286" i="23"/>
  <c r="L286" i="23"/>
  <c r="M286" i="23"/>
  <c r="N286" i="23"/>
  <c r="O286" i="23"/>
  <c r="P286" i="23"/>
  <c r="Q286" i="23"/>
  <c r="R286" i="23"/>
  <c r="S286" i="23"/>
  <c r="T286" i="23"/>
  <c r="U286" i="23"/>
  <c r="V286" i="23"/>
  <c r="W286" i="23"/>
  <c r="X286" i="23"/>
  <c r="Y286" i="23"/>
  <c r="Z286" i="23"/>
  <c r="AA286" i="23"/>
  <c r="AB286" i="23"/>
  <c r="AC286" i="23"/>
  <c r="AD286" i="23"/>
  <c r="AE286" i="23"/>
  <c r="AF286" i="23"/>
  <c r="AG286" i="23"/>
  <c r="AH286" i="23"/>
  <c r="AI286" i="23"/>
  <c r="AJ286" i="23"/>
  <c r="AK286" i="23"/>
  <c r="AL286" i="23"/>
  <c r="AM286" i="23"/>
  <c r="AN286" i="23"/>
  <c r="AO286" i="23"/>
  <c r="AP286" i="23"/>
  <c r="AQ286" i="23"/>
  <c r="AR286" i="23"/>
  <c r="AS286" i="23"/>
  <c r="AT286" i="23"/>
  <c r="AU286" i="23"/>
  <c r="AV286" i="23"/>
  <c r="AW286" i="23"/>
  <c r="AX286" i="23"/>
  <c r="AY286" i="23"/>
  <c r="AZ286" i="23"/>
  <c r="BA286" i="23"/>
  <c r="BB286" i="23"/>
  <c r="BC286" i="23"/>
  <c r="BD286" i="23"/>
  <c r="BE286" i="23"/>
  <c r="BF286" i="23"/>
  <c r="BG286" i="23"/>
  <c r="BH286" i="23"/>
  <c r="BI286" i="23"/>
  <c r="BJ286" i="23"/>
  <c r="BK286" i="23"/>
  <c r="BL286" i="23"/>
  <c r="BM286" i="23"/>
  <c r="BN286" i="23"/>
  <c r="BO286" i="23"/>
  <c r="BP286" i="23"/>
  <c r="BQ286" i="23"/>
  <c r="BR286" i="23"/>
  <c r="BS286" i="23"/>
  <c r="BT286" i="23"/>
  <c r="B287" i="23"/>
  <c r="C287" i="23"/>
  <c r="D287" i="23"/>
  <c r="E287" i="23"/>
  <c r="F287" i="23"/>
  <c r="G287" i="23"/>
  <c r="H287" i="23"/>
  <c r="I287" i="23"/>
  <c r="J287" i="23"/>
  <c r="K287" i="23"/>
  <c r="L287" i="23"/>
  <c r="M287" i="23"/>
  <c r="N287" i="23"/>
  <c r="O287" i="23"/>
  <c r="P287" i="23"/>
  <c r="Q287" i="23"/>
  <c r="R287" i="23"/>
  <c r="S287" i="23"/>
  <c r="T287" i="23"/>
  <c r="U287" i="23"/>
  <c r="V287" i="23"/>
  <c r="W287" i="23"/>
  <c r="X287" i="23"/>
  <c r="Y287" i="23"/>
  <c r="Z287" i="23"/>
  <c r="AA287" i="23"/>
  <c r="AB287" i="23"/>
  <c r="AC287" i="23"/>
  <c r="AD287" i="23"/>
  <c r="AE287" i="23"/>
  <c r="AF287" i="23"/>
  <c r="AG287" i="23"/>
  <c r="AH287" i="23"/>
  <c r="AI287" i="23"/>
  <c r="AJ287" i="23"/>
  <c r="AK287" i="23"/>
  <c r="AL287" i="23"/>
  <c r="AM287" i="23"/>
  <c r="AN287" i="23"/>
  <c r="AO287" i="23"/>
  <c r="AP287" i="23"/>
  <c r="AQ287" i="23"/>
  <c r="AR287" i="23"/>
  <c r="AS287" i="23"/>
  <c r="AT287" i="23"/>
  <c r="AU287" i="23"/>
  <c r="AV287" i="23"/>
  <c r="AW287" i="23"/>
  <c r="AX287" i="23"/>
  <c r="AY287" i="23"/>
  <c r="AZ287" i="23"/>
  <c r="BA287" i="23"/>
  <c r="BB287" i="23"/>
  <c r="BC287" i="23"/>
  <c r="BD287" i="23"/>
  <c r="BE287" i="23"/>
  <c r="BF287" i="23"/>
  <c r="BG287" i="23"/>
  <c r="BH287" i="23"/>
  <c r="BI287" i="23"/>
  <c r="BJ287" i="23"/>
  <c r="BK287" i="23"/>
  <c r="BL287" i="23"/>
  <c r="BM287" i="23"/>
  <c r="BN287" i="23"/>
  <c r="BO287" i="23"/>
  <c r="BP287" i="23"/>
  <c r="BQ287" i="23"/>
  <c r="BR287" i="23"/>
  <c r="BS287" i="23"/>
  <c r="BT287" i="23"/>
  <c r="B288" i="23"/>
  <c r="C288" i="23"/>
  <c r="D288" i="23"/>
  <c r="E288" i="23"/>
  <c r="F288" i="23"/>
  <c r="G288" i="23"/>
  <c r="H288" i="23"/>
  <c r="I288" i="23"/>
  <c r="J288" i="23"/>
  <c r="K288" i="23"/>
  <c r="L288" i="23"/>
  <c r="M288" i="23"/>
  <c r="N288" i="23"/>
  <c r="O288" i="23"/>
  <c r="P288" i="23"/>
  <c r="Q288" i="23"/>
  <c r="R288" i="23"/>
  <c r="S288" i="23"/>
  <c r="T288" i="23"/>
  <c r="U288" i="23"/>
  <c r="V288" i="23"/>
  <c r="W288" i="23"/>
  <c r="X288" i="23"/>
  <c r="Y288" i="23"/>
  <c r="Z288" i="23"/>
  <c r="AA288" i="23"/>
  <c r="AB288" i="23"/>
  <c r="AC288" i="23"/>
  <c r="AD288" i="23"/>
  <c r="AE288" i="23"/>
  <c r="AF288" i="23"/>
  <c r="AG288" i="23"/>
  <c r="AH288" i="23"/>
  <c r="AI288" i="23"/>
  <c r="AJ288" i="23"/>
  <c r="AK288" i="23"/>
  <c r="AL288" i="23"/>
  <c r="AM288" i="23"/>
  <c r="AN288" i="23"/>
  <c r="AO288" i="23"/>
  <c r="AP288" i="23"/>
  <c r="AQ288" i="23"/>
  <c r="AR288" i="23"/>
  <c r="AS288" i="23"/>
  <c r="AT288" i="23"/>
  <c r="AU288" i="23"/>
  <c r="AV288" i="23"/>
  <c r="AW288" i="23"/>
  <c r="AX288" i="23"/>
  <c r="AY288" i="23"/>
  <c r="AZ288" i="23"/>
  <c r="BA288" i="23"/>
  <c r="BB288" i="23"/>
  <c r="BC288" i="23"/>
  <c r="BD288" i="23"/>
  <c r="BE288" i="23"/>
  <c r="BF288" i="23"/>
  <c r="BG288" i="23"/>
  <c r="BH288" i="23"/>
  <c r="BI288" i="23"/>
  <c r="BJ288" i="23"/>
  <c r="BK288" i="23"/>
  <c r="BL288" i="23"/>
  <c r="BM288" i="23"/>
  <c r="BN288" i="23"/>
  <c r="BO288" i="23"/>
  <c r="BP288" i="23"/>
  <c r="BQ288" i="23"/>
  <c r="BR288" i="23"/>
  <c r="BS288" i="23"/>
  <c r="BT288" i="23"/>
  <c r="B289" i="23"/>
  <c r="C289" i="23"/>
  <c r="D289" i="23"/>
  <c r="E289" i="23"/>
  <c r="F289" i="23"/>
  <c r="G289" i="23"/>
  <c r="H289" i="23"/>
  <c r="I289" i="23"/>
  <c r="J289" i="23"/>
  <c r="K289" i="23"/>
  <c r="L289" i="23"/>
  <c r="M289" i="23"/>
  <c r="N289" i="23"/>
  <c r="O289" i="23"/>
  <c r="P289" i="23"/>
  <c r="Q289" i="23"/>
  <c r="R289" i="23"/>
  <c r="S289" i="23"/>
  <c r="T289" i="23"/>
  <c r="U289" i="23"/>
  <c r="V289" i="23"/>
  <c r="W289" i="23"/>
  <c r="X289" i="23"/>
  <c r="Y289" i="23"/>
  <c r="Z289" i="23"/>
  <c r="AA289" i="23"/>
  <c r="AB289" i="23"/>
  <c r="AC289" i="23"/>
  <c r="AD289" i="23"/>
  <c r="AE289" i="23"/>
  <c r="AF289" i="23"/>
  <c r="AG289" i="23"/>
  <c r="AH289" i="23"/>
  <c r="AI289" i="23"/>
  <c r="AJ289" i="23"/>
  <c r="AK289" i="23"/>
  <c r="AL289" i="23"/>
  <c r="AM289" i="23"/>
  <c r="AN289" i="23"/>
  <c r="AO289" i="23"/>
  <c r="AP289" i="23"/>
  <c r="AQ289" i="23"/>
  <c r="AR289" i="23"/>
  <c r="AS289" i="23"/>
  <c r="AT289" i="23"/>
  <c r="AU289" i="23"/>
  <c r="AV289" i="23"/>
  <c r="AW289" i="23"/>
  <c r="AX289" i="23"/>
  <c r="AY289" i="23"/>
  <c r="AZ289" i="23"/>
  <c r="BA289" i="23"/>
  <c r="BB289" i="23"/>
  <c r="BC289" i="23"/>
  <c r="BD289" i="23"/>
  <c r="BE289" i="23"/>
  <c r="BF289" i="23"/>
  <c r="BG289" i="23"/>
  <c r="BH289" i="23"/>
  <c r="BI289" i="23"/>
  <c r="BJ289" i="23"/>
  <c r="BK289" i="23"/>
  <c r="BL289" i="23"/>
  <c r="BM289" i="23"/>
  <c r="BN289" i="23"/>
  <c r="BO289" i="23"/>
  <c r="BP289" i="23"/>
  <c r="BQ289" i="23"/>
  <c r="BR289" i="23"/>
  <c r="BS289" i="23"/>
  <c r="BT289" i="23"/>
  <c r="B290" i="23"/>
  <c r="C290" i="23"/>
  <c r="D290" i="23"/>
  <c r="E290" i="23"/>
  <c r="F290" i="23"/>
  <c r="G290" i="23"/>
  <c r="H290" i="23"/>
  <c r="I290" i="23"/>
  <c r="J290" i="23"/>
  <c r="K290" i="23"/>
  <c r="L290" i="23"/>
  <c r="M290" i="23"/>
  <c r="N290" i="23"/>
  <c r="O290" i="23"/>
  <c r="P290" i="23"/>
  <c r="Q290" i="23"/>
  <c r="R290" i="23"/>
  <c r="S290" i="23"/>
  <c r="T290" i="23"/>
  <c r="U290" i="23"/>
  <c r="V290" i="23"/>
  <c r="W290" i="23"/>
  <c r="X290" i="23"/>
  <c r="Y290" i="23"/>
  <c r="Z290" i="23"/>
  <c r="AA290" i="23"/>
  <c r="AB290" i="23"/>
  <c r="AC290" i="23"/>
  <c r="AD290" i="23"/>
  <c r="AE290" i="23"/>
  <c r="AF290" i="23"/>
  <c r="AG290" i="23"/>
  <c r="AH290" i="23"/>
  <c r="AI290" i="23"/>
  <c r="AJ290" i="23"/>
  <c r="AK290" i="23"/>
  <c r="AL290" i="23"/>
  <c r="AM290" i="23"/>
  <c r="AN290" i="23"/>
  <c r="AO290" i="23"/>
  <c r="AP290" i="23"/>
  <c r="AQ290" i="23"/>
  <c r="AR290" i="23"/>
  <c r="AS290" i="23"/>
  <c r="AT290" i="23"/>
  <c r="AU290" i="23"/>
  <c r="AV290" i="23"/>
  <c r="AW290" i="23"/>
  <c r="AX290" i="23"/>
  <c r="AY290" i="23"/>
  <c r="AZ290" i="23"/>
  <c r="BA290" i="23"/>
  <c r="BB290" i="23"/>
  <c r="BC290" i="23"/>
  <c r="BD290" i="23"/>
  <c r="BE290" i="23"/>
  <c r="BF290" i="23"/>
  <c r="BG290" i="23"/>
  <c r="BH290" i="23"/>
  <c r="BI290" i="23"/>
  <c r="BJ290" i="23"/>
  <c r="BK290" i="23"/>
  <c r="BL290" i="23"/>
  <c r="BM290" i="23"/>
  <c r="BN290" i="23"/>
  <c r="BO290" i="23"/>
  <c r="BP290" i="23"/>
  <c r="BQ290" i="23"/>
  <c r="BR290" i="23"/>
  <c r="BS290" i="23"/>
  <c r="BT290" i="23"/>
  <c r="B291" i="23"/>
  <c r="C291" i="23"/>
  <c r="D291" i="23"/>
  <c r="E291" i="23"/>
  <c r="F291" i="23"/>
  <c r="G291" i="23"/>
  <c r="H291" i="23"/>
  <c r="I291" i="23"/>
  <c r="J291" i="23"/>
  <c r="K291" i="23"/>
  <c r="L291" i="23"/>
  <c r="M291" i="23"/>
  <c r="N291" i="23"/>
  <c r="O291" i="23"/>
  <c r="P291" i="23"/>
  <c r="Q291" i="23"/>
  <c r="R291" i="23"/>
  <c r="S291" i="23"/>
  <c r="T291" i="23"/>
  <c r="U291" i="23"/>
  <c r="V291" i="23"/>
  <c r="W291" i="23"/>
  <c r="X291" i="23"/>
  <c r="Y291" i="23"/>
  <c r="Z291" i="23"/>
  <c r="AA291" i="23"/>
  <c r="AB291" i="23"/>
  <c r="AC291" i="23"/>
  <c r="AD291" i="23"/>
  <c r="AE291" i="23"/>
  <c r="AF291" i="23"/>
  <c r="AG291" i="23"/>
  <c r="AH291" i="23"/>
  <c r="AI291" i="23"/>
  <c r="AJ291" i="23"/>
  <c r="AK291" i="23"/>
  <c r="AL291" i="23"/>
  <c r="AM291" i="23"/>
  <c r="AN291" i="23"/>
  <c r="AO291" i="23"/>
  <c r="AP291" i="23"/>
  <c r="AQ291" i="23"/>
  <c r="AR291" i="23"/>
  <c r="AS291" i="23"/>
  <c r="AT291" i="23"/>
  <c r="AU291" i="23"/>
  <c r="AV291" i="23"/>
  <c r="AW291" i="23"/>
  <c r="AX291" i="23"/>
  <c r="AY291" i="23"/>
  <c r="AZ291" i="23"/>
  <c r="BA291" i="23"/>
  <c r="BB291" i="23"/>
  <c r="BC291" i="23"/>
  <c r="BD291" i="23"/>
  <c r="BE291" i="23"/>
  <c r="BF291" i="23"/>
  <c r="BG291" i="23"/>
  <c r="BH291" i="23"/>
  <c r="BI291" i="23"/>
  <c r="BJ291" i="23"/>
  <c r="BK291" i="23"/>
  <c r="BL291" i="23"/>
  <c r="BM291" i="23"/>
  <c r="BN291" i="23"/>
  <c r="BO291" i="23"/>
  <c r="BP291" i="23"/>
  <c r="BQ291" i="23"/>
  <c r="BR291" i="23"/>
  <c r="BS291" i="23"/>
  <c r="BT291" i="23"/>
  <c r="B292" i="23"/>
  <c r="C292" i="23"/>
  <c r="D292" i="23"/>
  <c r="E292" i="23"/>
  <c r="F292" i="23"/>
  <c r="G292" i="23"/>
  <c r="H292" i="23"/>
  <c r="I292" i="23"/>
  <c r="J292" i="23"/>
  <c r="K292" i="23"/>
  <c r="L292" i="23"/>
  <c r="M292" i="23"/>
  <c r="N292" i="23"/>
  <c r="O292" i="23"/>
  <c r="P292" i="23"/>
  <c r="Q292" i="23"/>
  <c r="R292" i="23"/>
  <c r="S292" i="23"/>
  <c r="T292" i="23"/>
  <c r="U292" i="23"/>
  <c r="V292" i="23"/>
  <c r="W292" i="23"/>
  <c r="X292" i="23"/>
  <c r="Y292" i="23"/>
  <c r="Z292" i="23"/>
  <c r="AA292" i="23"/>
  <c r="AB292" i="23"/>
  <c r="AC292" i="23"/>
  <c r="AD292" i="23"/>
  <c r="AE292" i="23"/>
  <c r="AF292" i="23"/>
  <c r="AG292" i="23"/>
  <c r="AH292" i="23"/>
  <c r="AI292" i="23"/>
  <c r="AJ292" i="23"/>
  <c r="AK292" i="23"/>
  <c r="AL292" i="23"/>
  <c r="AM292" i="23"/>
  <c r="AN292" i="23"/>
  <c r="AO292" i="23"/>
  <c r="AP292" i="23"/>
  <c r="AQ292" i="23"/>
  <c r="AR292" i="23"/>
  <c r="AS292" i="23"/>
  <c r="AT292" i="23"/>
  <c r="AU292" i="23"/>
  <c r="AV292" i="23"/>
  <c r="AW292" i="23"/>
  <c r="AX292" i="23"/>
  <c r="AY292" i="23"/>
  <c r="AZ292" i="23"/>
  <c r="BA292" i="23"/>
  <c r="BB292" i="23"/>
  <c r="BC292" i="23"/>
  <c r="BD292" i="23"/>
  <c r="BE292" i="23"/>
  <c r="BF292" i="23"/>
  <c r="BG292" i="23"/>
  <c r="BH292" i="23"/>
  <c r="BI292" i="23"/>
  <c r="BJ292" i="23"/>
  <c r="BK292" i="23"/>
  <c r="BL292" i="23"/>
  <c r="BM292" i="23"/>
  <c r="BN292" i="23"/>
  <c r="BO292" i="23"/>
  <c r="BP292" i="23"/>
  <c r="BQ292" i="23"/>
  <c r="BR292" i="23"/>
  <c r="BS292" i="23"/>
  <c r="BT292" i="23"/>
  <c r="B293" i="23"/>
  <c r="C293" i="23"/>
  <c r="D293" i="23"/>
  <c r="E293" i="23"/>
  <c r="F293" i="23"/>
  <c r="G293" i="23"/>
  <c r="H293" i="23"/>
  <c r="I293" i="23"/>
  <c r="J293" i="23"/>
  <c r="K293" i="23"/>
  <c r="L293" i="23"/>
  <c r="M293" i="23"/>
  <c r="N293" i="23"/>
  <c r="O293" i="23"/>
  <c r="P293" i="23"/>
  <c r="Q293" i="23"/>
  <c r="R293" i="23"/>
  <c r="S293" i="23"/>
  <c r="T293" i="23"/>
  <c r="U293" i="23"/>
  <c r="V293" i="23"/>
  <c r="W293" i="23"/>
  <c r="X293" i="23"/>
  <c r="Y293" i="23"/>
  <c r="Z293" i="23"/>
  <c r="AA293" i="23"/>
  <c r="AB293" i="23"/>
  <c r="AC293" i="23"/>
  <c r="AD293" i="23"/>
  <c r="AE293" i="23"/>
  <c r="AF293" i="23"/>
  <c r="AG293" i="23"/>
  <c r="AH293" i="23"/>
  <c r="AI293" i="23"/>
  <c r="AJ293" i="23"/>
  <c r="AK293" i="23"/>
  <c r="AL293" i="23"/>
  <c r="AM293" i="23"/>
  <c r="AN293" i="23"/>
  <c r="AO293" i="23"/>
  <c r="AP293" i="23"/>
  <c r="AQ293" i="23"/>
  <c r="AR293" i="23"/>
  <c r="AS293" i="23"/>
  <c r="AT293" i="23"/>
  <c r="AU293" i="23"/>
  <c r="AV293" i="23"/>
  <c r="AW293" i="23"/>
  <c r="AX293" i="23"/>
  <c r="AY293" i="23"/>
  <c r="AZ293" i="23"/>
  <c r="BA293" i="23"/>
  <c r="BB293" i="23"/>
  <c r="BC293" i="23"/>
  <c r="BD293" i="23"/>
  <c r="BE293" i="23"/>
  <c r="BF293" i="23"/>
  <c r="BG293" i="23"/>
  <c r="BH293" i="23"/>
  <c r="BI293" i="23"/>
  <c r="BJ293" i="23"/>
  <c r="BK293" i="23"/>
  <c r="BL293" i="23"/>
  <c r="BM293" i="23"/>
  <c r="BN293" i="23"/>
  <c r="BO293" i="23"/>
  <c r="BP293" i="23"/>
  <c r="BQ293" i="23"/>
  <c r="BR293" i="23"/>
  <c r="BS293" i="23"/>
  <c r="BT293" i="23"/>
  <c r="B294" i="23"/>
  <c r="C294" i="23"/>
  <c r="D294" i="23"/>
  <c r="E294" i="23"/>
  <c r="F294" i="23"/>
  <c r="G294" i="23"/>
  <c r="H294" i="23"/>
  <c r="I294" i="23"/>
  <c r="J294" i="23"/>
  <c r="K294" i="23"/>
  <c r="L294" i="23"/>
  <c r="M294" i="23"/>
  <c r="N294" i="23"/>
  <c r="O294" i="23"/>
  <c r="P294" i="23"/>
  <c r="Q294" i="23"/>
  <c r="R294" i="23"/>
  <c r="S294" i="23"/>
  <c r="T294" i="23"/>
  <c r="U294" i="23"/>
  <c r="V294" i="23"/>
  <c r="W294" i="23"/>
  <c r="X294" i="23"/>
  <c r="Y294" i="23"/>
  <c r="Z294" i="23"/>
  <c r="AA294" i="23"/>
  <c r="AB294" i="23"/>
  <c r="AC294" i="23"/>
  <c r="AD294" i="23"/>
  <c r="AE294" i="23"/>
  <c r="AF294" i="23"/>
  <c r="AG294" i="23"/>
  <c r="AH294" i="23"/>
  <c r="AI294" i="23"/>
  <c r="AJ294" i="23"/>
  <c r="AK294" i="23"/>
  <c r="AL294" i="23"/>
  <c r="AM294" i="23"/>
  <c r="AN294" i="23"/>
  <c r="AO294" i="23"/>
  <c r="AP294" i="23"/>
  <c r="AQ294" i="23"/>
  <c r="AR294" i="23"/>
  <c r="AS294" i="23"/>
  <c r="AT294" i="23"/>
  <c r="AU294" i="23"/>
  <c r="AV294" i="23"/>
  <c r="AW294" i="23"/>
  <c r="AX294" i="23"/>
  <c r="AY294" i="23"/>
  <c r="AZ294" i="23"/>
  <c r="BA294" i="23"/>
  <c r="BB294" i="23"/>
  <c r="BC294" i="23"/>
  <c r="BD294" i="23"/>
  <c r="BE294" i="23"/>
  <c r="BF294" i="23"/>
  <c r="BG294" i="23"/>
  <c r="BH294" i="23"/>
  <c r="BI294" i="23"/>
  <c r="BJ294" i="23"/>
  <c r="BK294" i="23"/>
  <c r="BL294" i="23"/>
  <c r="BM294" i="23"/>
  <c r="BN294" i="23"/>
  <c r="BO294" i="23"/>
  <c r="BP294" i="23"/>
  <c r="BQ294" i="23"/>
  <c r="BR294" i="23"/>
  <c r="BS294" i="23"/>
  <c r="BT294" i="23"/>
  <c r="B295" i="23"/>
  <c r="C295" i="23"/>
  <c r="D295" i="23"/>
  <c r="E295" i="23"/>
  <c r="F295" i="23"/>
  <c r="G295" i="23"/>
  <c r="H295" i="23"/>
  <c r="I295" i="23"/>
  <c r="J295" i="23"/>
  <c r="K295" i="23"/>
  <c r="L295" i="23"/>
  <c r="M295" i="23"/>
  <c r="N295" i="23"/>
  <c r="O295" i="23"/>
  <c r="P295" i="23"/>
  <c r="Q295" i="23"/>
  <c r="R295" i="23"/>
  <c r="S295" i="23"/>
  <c r="T295" i="23"/>
  <c r="U295" i="23"/>
  <c r="V295" i="23"/>
  <c r="W295" i="23"/>
  <c r="X295" i="23"/>
  <c r="Y295" i="23"/>
  <c r="Z295" i="23"/>
  <c r="AA295" i="23"/>
  <c r="AB295" i="23"/>
  <c r="AC295" i="23"/>
  <c r="AD295" i="23"/>
  <c r="AE295" i="23"/>
  <c r="AF295" i="23"/>
  <c r="AG295" i="23"/>
  <c r="AH295" i="23"/>
  <c r="AI295" i="23"/>
  <c r="AJ295" i="23"/>
  <c r="AK295" i="23"/>
  <c r="AL295" i="23"/>
  <c r="AM295" i="23"/>
  <c r="AN295" i="23"/>
  <c r="AO295" i="23"/>
  <c r="AP295" i="23"/>
  <c r="AQ295" i="23"/>
  <c r="AR295" i="23"/>
  <c r="AS295" i="23"/>
  <c r="AT295" i="23"/>
  <c r="AU295" i="23"/>
  <c r="AV295" i="23"/>
  <c r="AW295" i="23"/>
  <c r="AX295" i="23"/>
  <c r="AY295" i="23"/>
  <c r="AZ295" i="23"/>
  <c r="BA295" i="23"/>
  <c r="BB295" i="23"/>
  <c r="BC295" i="23"/>
  <c r="BD295" i="23"/>
  <c r="BE295" i="23"/>
  <c r="BF295" i="23"/>
  <c r="BG295" i="23"/>
  <c r="BH295" i="23"/>
  <c r="BI295" i="23"/>
  <c r="BJ295" i="23"/>
  <c r="BK295" i="23"/>
  <c r="BL295" i="23"/>
  <c r="BM295" i="23"/>
  <c r="BN295" i="23"/>
  <c r="BO295" i="23"/>
  <c r="BP295" i="23"/>
  <c r="BQ295" i="23"/>
  <c r="BR295" i="23"/>
  <c r="BS295" i="23"/>
  <c r="BT295" i="23"/>
  <c r="B296" i="23"/>
  <c r="C296" i="23"/>
  <c r="D296" i="23"/>
  <c r="E296" i="23"/>
  <c r="F296" i="23"/>
  <c r="G296" i="23"/>
  <c r="H296" i="23"/>
  <c r="I296" i="23"/>
  <c r="J296" i="23"/>
  <c r="K296" i="23"/>
  <c r="L296" i="23"/>
  <c r="M296" i="23"/>
  <c r="N296" i="23"/>
  <c r="O296" i="23"/>
  <c r="P296" i="23"/>
  <c r="Q296" i="23"/>
  <c r="R296" i="23"/>
  <c r="S296" i="23"/>
  <c r="T296" i="23"/>
  <c r="U296" i="23"/>
  <c r="V296" i="23"/>
  <c r="W296" i="23"/>
  <c r="X296" i="23"/>
  <c r="Y296" i="23"/>
  <c r="Z296" i="23"/>
  <c r="AA296" i="23"/>
  <c r="AB296" i="23"/>
  <c r="AC296" i="23"/>
  <c r="AD296" i="23"/>
  <c r="AE296" i="23"/>
  <c r="AF296" i="23"/>
  <c r="AG296" i="23"/>
  <c r="AH296" i="23"/>
  <c r="AI296" i="23"/>
  <c r="AJ296" i="23"/>
  <c r="AK296" i="23"/>
  <c r="AL296" i="23"/>
  <c r="AM296" i="23"/>
  <c r="AN296" i="23"/>
  <c r="AO296" i="23"/>
  <c r="AP296" i="23"/>
  <c r="AQ296" i="23"/>
  <c r="AR296" i="23"/>
  <c r="AS296" i="23"/>
  <c r="AT296" i="23"/>
  <c r="AU296" i="23"/>
  <c r="AV296" i="23"/>
  <c r="AW296" i="23"/>
  <c r="AX296" i="23"/>
  <c r="AY296" i="23"/>
  <c r="AZ296" i="23"/>
  <c r="BA296" i="23"/>
  <c r="BB296" i="23"/>
  <c r="BC296" i="23"/>
  <c r="BD296" i="23"/>
  <c r="BE296" i="23"/>
  <c r="BF296" i="23"/>
  <c r="BG296" i="23"/>
  <c r="BH296" i="23"/>
  <c r="BI296" i="23"/>
  <c r="BJ296" i="23"/>
  <c r="BK296" i="23"/>
  <c r="BL296" i="23"/>
  <c r="BM296" i="23"/>
  <c r="BN296" i="23"/>
  <c r="BO296" i="23"/>
  <c r="BP296" i="23"/>
  <c r="BQ296" i="23"/>
  <c r="BR296" i="23"/>
  <c r="BS296" i="23"/>
  <c r="BT296" i="23"/>
  <c r="B297" i="23"/>
  <c r="C297" i="23"/>
  <c r="D297" i="23"/>
  <c r="E297" i="23"/>
  <c r="F297" i="23"/>
  <c r="G297" i="23"/>
  <c r="H297" i="23"/>
  <c r="I297" i="23"/>
  <c r="J297" i="23"/>
  <c r="K297" i="23"/>
  <c r="L297" i="23"/>
  <c r="M297" i="23"/>
  <c r="N297" i="23"/>
  <c r="O297" i="23"/>
  <c r="P297" i="23"/>
  <c r="Q297" i="23"/>
  <c r="R297" i="23"/>
  <c r="S297" i="23"/>
  <c r="T297" i="23"/>
  <c r="U297" i="23"/>
  <c r="V297" i="23"/>
  <c r="W297" i="23"/>
  <c r="X297" i="23"/>
  <c r="Y297" i="23"/>
  <c r="Z297" i="23"/>
  <c r="AA297" i="23"/>
  <c r="AB297" i="23"/>
  <c r="AC297" i="23"/>
  <c r="AD297" i="23"/>
  <c r="AE297" i="23"/>
  <c r="AF297" i="23"/>
  <c r="AG297" i="23"/>
  <c r="AH297" i="23"/>
  <c r="AI297" i="23"/>
  <c r="AJ297" i="23"/>
  <c r="AK297" i="23"/>
  <c r="AL297" i="23"/>
  <c r="AM297" i="23"/>
  <c r="AN297" i="23"/>
  <c r="AO297" i="23"/>
  <c r="AP297" i="23"/>
  <c r="AQ297" i="23"/>
  <c r="AR297" i="23"/>
  <c r="AS297" i="23"/>
  <c r="AT297" i="23"/>
  <c r="AU297" i="23"/>
  <c r="AV297" i="23"/>
  <c r="AW297" i="23"/>
  <c r="AX297" i="23"/>
  <c r="AY297" i="23"/>
  <c r="AZ297" i="23"/>
  <c r="BA297" i="23"/>
  <c r="BB297" i="23"/>
  <c r="BC297" i="23"/>
  <c r="BD297" i="23"/>
  <c r="BE297" i="23"/>
  <c r="BF297" i="23"/>
  <c r="BG297" i="23"/>
  <c r="BH297" i="23"/>
  <c r="BI297" i="23"/>
  <c r="BJ297" i="23"/>
  <c r="BK297" i="23"/>
  <c r="BL297" i="23"/>
  <c r="BM297" i="23"/>
  <c r="BN297" i="23"/>
  <c r="BO297" i="23"/>
  <c r="BP297" i="23"/>
  <c r="BQ297" i="23"/>
  <c r="BR297" i="23"/>
  <c r="BS297" i="23"/>
  <c r="BT297" i="23"/>
  <c r="B298" i="23"/>
  <c r="C298" i="23"/>
  <c r="D298" i="23"/>
  <c r="E298" i="23"/>
  <c r="F298" i="23"/>
  <c r="G298" i="23"/>
  <c r="H298" i="23"/>
  <c r="I298" i="23"/>
  <c r="J298" i="23"/>
  <c r="K298" i="23"/>
  <c r="L298" i="23"/>
  <c r="M298" i="23"/>
  <c r="N298" i="23"/>
  <c r="O298" i="23"/>
  <c r="P298" i="23"/>
  <c r="Q298" i="23"/>
  <c r="R298" i="23"/>
  <c r="S298" i="23"/>
  <c r="T298" i="23"/>
  <c r="U298" i="23"/>
  <c r="V298" i="23"/>
  <c r="W298" i="23"/>
  <c r="X298" i="23"/>
  <c r="Y298" i="23"/>
  <c r="Z298" i="23"/>
  <c r="AA298" i="23"/>
  <c r="AB298" i="23"/>
  <c r="AC298" i="23"/>
  <c r="AD298" i="23"/>
  <c r="AE298" i="23"/>
  <c r="AF298" i="23"/>
  <c r="AG298" i="23"/>
  <c r="AH298" i="23"/>
  <c r="AI298" i="23"/>
  <c r="AJ298" i="23"/>
  <c r="AK298" i="23"/>
  <c r="AL298" i="23"/>
  <c r="AM298" i="23"/>
  <c r="AN298" i="23"/>
  <c r="AO298" i="23"/>
  <c r="AP298" i="23"/>
  <c r="AQ298" i="23"/>
  <c r="AR298" i="23"/>
  <c r="AS298" i="23"/>
  <c r="AT298" i="23"/>
  <c r="AU298" i="23"/>
  <c r="AV298" i="23"/>
  <c r="AW298" i="23"/>
  <c r="AX298" i="23"/>
  <c r="AY298" i="23"/>
  <c r="AZ298" i="23"/>
  <c r="BA298" i="23"/>
  <c r="BB298" i="23"/>
  <c r="BC298" i="23"/>
  <c r="BD298" i="23"/>
  <c r="BE298" i="23"/>
  <c r="BF298" i="23"/>
  <c r="BG298" i="23"/>
  <c r="BH298" i="23"/>
  <c r="BI298" i="23"/>
  <c r="BJ298" i="23"/>
  <c r="BK298" i="23"/>
  <c r="BL298" i="23"/>
  <c r="BM298" i="23"/>
  <c r="BN298" i="23"/>
  <c r="BO298" i="23"/>
  <c r="BP298" i="23"/>
  <c r="BQ298" i="23"/>
  <c r="BR298" i="23"/>
  <c r="BS298" i="23"/>
  <c r="BT298" i="23"/>
  <c r="B299" i="23"/>
  <c r="C299" i="23"/>
  <c r="D299" i="23"/>
  <c r="E299" i="23"/>
  <c r="F299" i="23"/>
  <c r="G299" i="23"/>
  <c r="H299" i="23"/>
  <c r="I299" i="23"/>
  <c r="J299" i="23"/>
  <c r="K299" i="23"/>
  <c r="L299" i="23"/>
  <c r="M299" i="23"/>
  <c r="N299" i="23"/>
  <c r="O299" i="23"/>
  <c r="P299" i="23"/>
  <c r="Q299" i="23"/>
  <c r="R299" i="23"/>
  <c r="S299" i="23"/>
  <c r="T299" i="23"/>
  <c r="U299" i="23"/>
  <c r="V299" i="23"/>
  <c r="W299" i="23"/>
  <c r="X299" i="23"/>
  <c r="Y299" i="23"/>
  <c r="Z299" i="23"/>
  <c r="AA299" i="23"/>
  <c r="AB299" i="23"/>
  <c r="AC299" i="23"/>
  <c r="AD299" i="23"/>
  <c r="AE299" i="23"/>
  <c r="AF299" i="23"/>
  <c r="AG299" i="23"/>
  <c r="AH299" i="23"/>
  <c r="AI299" i="23"/>
  <c r="AJ299" i="23"/>
  <c r="AK299" i="23"/>
  <c r="AL299" i="23"/>
  <c r="AM299" i="23"/>
  <c r="AN299" i="23"/>
  <c r="AO299" i="23"/>
  <c r="AP299" i="23"/>
  <c r="AQ299" i="23"/>
  <c r="AR299" i="23"/>
  <c r="AS299" i="23"/>
  <c r="AT299" i="23"/>
  <c r="AU299" i="23"/>
  <c r="AV299" i="23"/>
  <c r="AW299" i="23"/>
  <c r="AX299" i="23"/>
  <c r="AY299" i="23"/>
  <c r="AZ299" i="23"/>
  <c r="BA299" i="23"/>
  <c r="BB299" i="23"/>
  <c r="BC299" i="23"/>
  <c r="BD299" i="23"/>
  <c r="BE299" i="23"/>
  <c r="BF299" i="23"/>
  <c r="BG299" i="23"/>
  <c r="BH299" i="23"/>
  <c r="BI299" i="23"/>
  <c r="BJ299" i="23"/>
  <c r="BK299" i="23"/>
  <c r="BL299" i="23"/>
  <c r="BM299" i="23"/>
  <c r="BN299" i="23"/>
  <c r="BO299" i="23"/>
  <c r="BP299" i="23"/>
  <c r="BQ299" i="23"/>
  <c r="BR299" i="23"/>
  <c r="BS299" i="23"/>
  <c r="BT299" i="23"/>
  <c r="B300" i="23"/>
  <c r="C300" i="23"/>
  <c r="D300" i="23"/>
  <c r="E300" i="23"/>
  <c r="F300" i="23"/>
  <c r="G300" i="23"/>
  <c r="H300" i="23"/>
  <c r="I300" i="23"/>
  <c r="J300" i="23"/>
  <c r="K300" i="23"/>
  <c r="L300" i="23"/>
  <c r="M300" i="23"/>
  <c r="N300" i="23"/>
  <c r="O300" i="23"/>
  <c r="P300" i="23"/>
  <c r="Q300" i="23"/>
  <c r="R300" i="23"/>
  <c r="S300" i="23"/>
  <c r="T300" i="23"/>
  <c r="U300" i="23"/>
  <c r="V300" i="23"/>
  <c r="W300" i="23"/>
  <c r="X300" i="23"/>
  <c r="Y300" i="23"/>
  <c r="Z300" i="23"/>
  <c r="AA300" i="23"/>
  <c r="AB300" i="23"/>
  <c r="AC300" i="23"/>
  <c r="AD300" i="23"/>
  <c r="AE300" i="23"/>
  <c r="AF300" i="23"/>
  <c r="AG300" i="23"/>
  <c r="AH300" i="23"/>
  <c r="AI300" i="23"/>
  <c r="AJ300" i="23"/>
  <c r="AK300" i="23"/>
  <c r="AL300" i="23"/>
  <c r="AM300" i="23"/>
  <c r="AN300" i="23"/>
  <c r="AO300" i="23"/>
  <c r="AP300" i="23"/>
  <c r="AQ300" i="23"/>
  <c r="AR300" i="23"/>
  <c r="AS300" i="23"/>
  <c r="AT300" i="23"/>
  <c r="AU300" i="23"/>
  <c r="AV300" i="23"/>
  <c r="AW300" i="23"/>
  <c r="AX300" i="23"/>
  <c r="AY300" i="23"/>
  <c r="AZ300" i="23"/>
  <c r="BA300" i="23"/>
  <c r="BB300" i="23"/>
  <c r="BC300" i="23"/>
  <c r="BD300" i="23"/>
  <c r="BE300" i="23"/>
  <c r="BF300" i="23"/>
  <c r="BG300" i="23"/>
  <c r="BH300" i="23"/>
  <c r="BI300" i="23"/>
  <c r="BJ300" i="23"/>
  <c r="BK300" i="23"/>
  <c r="BL300" i="23"/>
  <c r="BM300" i="23"/>
  <c r="BN300" i="23"/>
  <c r="BO300" i="23"/>
  <c r="BP300" i="23"/>
  <c r="BQ300" i="23"/>
  <c r="BR300" i="23"/>
  <c r="BS300" i="23"/>
  <c r="BT300" i="23"/>
  <c r="B301" i="23"/>
  <c r="C301" i="23"/>
  <c r="D301" i="23"/>
  <c r="E301" i="23"/>
  <c r="F301" i="23"/>
  <c r="G301" i="23"/>
  <c r="H301" i="23"/>
  <c r="I301" i="23"/>
  <c r="J301" i="23"/>
  <c r="K301" i="23"/>
  <c r="L301" i="23"/>
  <c r="M301" i="23"/>
  <c r="N301" i="23"/>
  <c r="O301" i="23"/>
  <c r="P301" i="23"/>
  <c r="Q301" i="23"/>
  <c r="R301" i="23"/>
  <c r="S301" i="23"/>
  <c r="T301" i="23"/>
  <c r="U301" i="23"/>
  <c r="V301" i="23"/>
  <c r="W301" i="23"/>
  <c r="X301" i="23"/>
  <c r="Y301" i="23"/>
  <c r="Z301" i="23"/>
  <c r="AA301" i="23"/>
  <c r="AB301" i="23"/>
  <c r="AC301" i="23"/>
  <c r="AD301" i="23"/>
  <c r="AE301" i="23"/>
  <c r="AF301" i="23"/>
  <c r="AG301" i="23"/>
  <c r="AH301" i="23"/>
  <c r="AI301" i="23"/>
  <c r="AJ301" i="23"/>
  <c r="AK301" i="23"/>
  <c r="AL301" i="23"/>
  <c r="AM301" i="23"/>
  <c r="AN301" i="23"/>
  <c r="AO301" i="23"/>
  <c r="AP301" i="23"/>
  <c r="AQ301" i="23"/>
  <c r="AR301" i="23"/>
  <c r="AS301" i="23"/>
  <c r="AT301" i="23"/>
  <c r="AU301" i="23"/>
  <c r="AV301" i="23"/>
  <c r="AW301" i="23"/>
  <c r="AX301" i="23"/>
  <c r="AY301" i="23"/>
  <c r="AZ301" i="23"/>
  <c r="BA301" i="23"/>
  <c r="BB301" i="23"/>
  <c r="BC301" i="23"/>
  <c r="BD301" i="23"/>
  <c r="BE301" i="23"/>
  <c r="BF301" i="23"/>
  <c r="BG301" i="23"/>
  <c r="BH301" i="23"/>
  <c r="BI301" i="23"/>
  <c r="BJ301" i="23"/>
  <c r="BK301" i="23"/>
  <c r="BL301" i="23"/>
  <c r="BM301" i="23"/>
  <c r="BN301" i="23"/>
  <c r="BO301" i="23"/>
  <c r="BP301" i="23"/>
  <c r="BQ301" i="23"/>
  <c r="BR301" i="23"/>
  <c r="BS301" i="23"/>
  <c r="BT301" i="23"/>
  <c r="B302" i="23"/>
  <c r="C302" i="23"/>
  <c r="D302" i="23"/>
  <c r="E302" i="23"/>
  <c r="F302" i="23"/>
  <c r="G302" i="23"/>
  <c r="H302" i="23"/>
  <c r="I302" i="23"/>
  <c r="J302" i="23"/>
  <c r="K302" i="23"/>
  <c r="L302" i="23"/>
  <c r="M302" i="23"/>
  <c r="N302" i="23"/>
  <c r="O302" i="23"/>
  <c r="P302" i="23"/>
  <c r="Q302" i="23"/>
  <c r="R302" i="23"/>
  <c r="S302" i="23"/>
  <c r="T302" i="23"/>
  <c r="U302" i="23"/>
  <c r="V302" i="23"/>
  <c r="W302" i="23"/>
  <c r="X302" i="23"/>
  <c r="Y302" i="23"/>
  <c r="Z302" i="23"/>
  <c r="AA302" i="23"/>
  <c r="AB302" i="23"/>
  <c r="AC302" i="23"/>
  <c r="AD302" i="23"/>
  <c r="AE302" i="23"/>
  <c r="AF302" i="23"/>
  <c r="AG302" i="23"/>
  <c r="AH302" i="23"/>
  <c r="AI302" i="23"/>
  <c r="AJ302" i="23"/>
  <c r="AK302" i="23"/>
  <c r="AL302" i="23"/>
  <c r="AM302" i="23"/>
  <c r="AN302" i="23"/>
  <c r="AO302" i="23"/>
  <c r="AP302" i="23"/>
  <c r="AQ302" i="23"/>
  <c r="AR302" i="23"/>
  <c r="AS302" i="23"/>
  <c r="AT302" i="23"/>
  <c r="AU302" i="23"/>
  <c r="AV302" i="23"/>
  <c r="AW302" i="23"/>
  <c r="AX302" i="23"/>
  <c r="AY302" i="23"/>
  <c r="AZ302" i="23"/>
  <c r="BA302" i="23"/>
  <c r="BB302" i="23"/>
  <c r="BC302" i="23"/>
  <c r="BD302" i="23"/>
  <c r="BE302" i="23"/>
  <c r="BF302" i="23"/>
  <c r="BG302" i="23"/>
  <c r="BH302" i="23"/>
  <c r="BI302" i="23"/>
  <c r="BJ302" i="23"/>
  <c r="BK302" i="23"/>
  <c r="BL302" i="23"/>
  <c r="BM302" i="23"/>
  <c r="BN302" i="23"/>
  <c r="BO302" i="23"/>
  <c r="BP302" i="23"/>
  <c r="BQ302" i="23"/>
  <c r="BR302" i="23"/>
  <c r="BS302" i="23"/>
  <c r="BT302" i="23"/>
  <c r="B303" i="23"/>
  <c r="C303" i="23"/>
  <c r="D303" i="23"/>
  <c r="E303" i="23"/>
  <c r="F303" i="23"/>
  <c r="G303" i="23"/>
  <c r="H303" i="23"/>
  <c r="I303" i="23"/>
  <c r="J303" i="23"/>
  <c r="K303" i="23"/>
  <c r="L303" i="23"/>
  <c r="M303" i="23"/>
  <c r="N303" i="23"/>
  <c r="O303" i="23"/>
  <c r="P303" i="23"/>
  <c r="Q303" i="23"/>
  <c r="R303" i="23"/>
  <c r="S303" i="23"/>
  <c r="T303" i="23"/>
  <c r="U303" i="23"/>
  <c r="V303" i="23"/>
  <c r="W303" i="23"/>
  <c r="X303" i="23"/>
  <c r="Y303" i="23"/>
  <c r="Z303" i="23"/>
  <c r="AA303" i="23"/>
  <c r="AB303" i="23"/>
  <c r="AC303" i="23"/>
  <c r="AD303" i="23"/>
  <c r="AE303" i="23"/>
  <c r="AF303" i="23"/>
  <c r="AG303" i="23"/>
  <c r="AH303" i="23"/>
  <c r="AI303" i="23"/>
  <c r="AJ303" i="23"/>
  <c r="AK303" i="23"/>
  <c r="AL303" i="23"/>
  <c r="AM303" i="23"/>
  <c r="AN303" i="23"/>
  <c r="AO303" i="23"/>
  <c r="AP303" i="23"/>
  <c r="AQ303" i="23"/>
  <c r="AR303" i="23"/>
  <c r="AS303" i="23"/>
  <c r="AT303" i="23"/>
  <c r="AU303" i="23"/>
  <c r="AV303" i="23"/>
  <c r="AW303" i="23"/>
  <c r="AX303" i="23"/>
  <c r="AY303" i="23"/>
  <c r="AZ303" i="23"/>
  <c r="BA303" i="23"/>
  <c r="BB303" i="23"/>
  <c r="BC303" i="23"/>
  <c r="BD303" i="23"/>
  <c r="BE303" i="23"/>
  <c r="BF303" i="23"/>
  <c r="BG303" i="23"/>
  <c r="BH303" i="23"/>
  <c r="BI303" i="23"/>
  <c r="BJ303" i="23"/>
  <c r="BK303" i="23"/>
  <c r="BL303" i="23"/>
  <c r="BM303" i="23"/>
  <c r="BN303" i="23"/>
  <c r="BO303" i="23"/>
  <c r="BP303" i="23"/>
  <c r="BQ303" i="23"/>
  <c r="BR303" i="23"/>
  <c r="BS303" i="23"/>
  <c r="BT303" i="23"/>
  <c r="B304" i="23"/>
  <c r="C304" i="23"/>
  <c r="D304" i="23"/>
  <c r="E304" i="23"/>
  <c r="F304" i="23"/>
  <c r="G304" i="23"/>
  <c r="H304" i="23"/>
  <c r="I304" i="23"/>
  <c r="J304" i="23"/>
  <c r="K304" i="23"/>
  <c r="L304" i="23"/>
  <c r="M304" i="23"/>
  <c r="N304" i="23"/>
  <c r="O304" i="23"/>
  <c r="P304" i="23"/>
  <c r="Q304" i="23"/>
  <c r="R304" i="23"/>
  <c r="S304" i="23"/>
  <c r="T304" i="23"/>
  <c r="U304" i="23"/>
  <c r="V304" i="23"/>
  <c r="W304" i="23"/>
  <c r="X304" i="23"/>
  <c r="Y304" i="23"/>
  <c r="Z304" i="23"/>
  <c r="AA304" i="23"/>
  <c r="AB304" i="23"/>
  <c r="AC304" i="23"/>
  <c r="AD304" i="23"/>
  <c r="AE304" i="23"/>
  <c r="AF304" i="23"/>
  <c r="AG304" i="23"/>
  <c r="AH304" i="23"/>
  <c r="AI304" i="23"/>
  <c r="AJ304" i="23"/>
  <c r="AK304" i="23"/>
  <c r="AL304" i="23"/>
  <c r="AM304" i="23"/>
  <c r="AN304" i="23"/>
  <c r="AO304" i="23"/>
  <c r="AP304" i="23"/>
  <c r="AQ304" i="23"/>
  <c r="AR304" i="23"/>
  <c r="AS304" i="23"/>
  <c r="AT304" i="23"/>
  <c r="AU304" i="23"/>
  <c r="AV304" i="23"/>
  <c r="AW304" i="23"/>
  <c r="AX304" i="23"/>
  <c r="AY304" i="23"/>
  <c r="AZ304" i="23"/>
  <c r="BA304" i="23"/>
  <c r="BB304" i="23"/>
  <c r="BC304" i="23"/>
  <c r="BD304" i="23"/>
  <c r="BE304" i="23"/>
  <c r="BF304" i="23"/>
  <c r="BG304" i="23"/>
  <c r="BH304" i="23"/>
  <c r="BI304" i="23"/>
  <c r="BJ304" i="23"/>
  <c r="BK304" i="23"/>
  <c r="BL304" i="23"/>
  <c r="BM304" i="23"/>
  <c r="BN304" i="23"/>
  <c r="BO304" i="23"/>
  <c r="BP304" i="23"/>
  <c r="BQ304" i="23"/>
  <c r="BR304" i="23"/>
  <c r="BS304" i="23"/>
  <c r="BT304" i="23"/>
  <c r="B305" i="23"/>
  <c r="C305" i="23"/>
  <c r="D305" i="23"/>
  <c r="E305" i="23"/>
  <c r="F305" i="23"/>
  <c r="G305" i="23"/>
  <c r="H305" i="23"/>
  <c r="I305" i="23"/>
  <c r="J305" i="23"/>
  <c r="K305" i="23"/>
  <c r="L305" i="23"/>
  <c r="M305" i="23"/>
  <c r="N305" i="23"/>
  <c r="O305" i="23"/>
  <c r="P305" i="23"/>
  <c r="Q305" i="23"/>
  <c r="R305" i="23"/>
  <c r="S305" i="23"/>
  <c r="T305" i="23"/>
  <c r="U305" i="23"/>
  <c r="V305" i="23"/>
  <c r="W305" i="23"/>
  <c r="X305" i="23"/>
  <c r="Y305" i="23"/>
  <c r="Z305" i="23"/>
  <c r="AA305" i="23"/>
  <c r="AB305" i="23"/>
  <c r="AC305" i="23"/>
  <c r="AD305" i="23"/>
  <c r="AE305" i="23"/>
  <c r="AF305" i="23"/>
  <c r="AG305" i="23"/>
  <c r="AH305" i="23"/>
  <c r="AI305" i="23"/>
  <c r="AJ305" i="23"/>
  <c r="AK305" i="23"/>
  <c r="AL305" i="23"/>
  <c r="AM305" i="23"/>
  <c r="AN305" i="23"/>
  <c r="AO305" i="23"/>
  <c r="AP305" i="23"/>
  <c r="AQ305" i="23"/>
  <c r="AR305" i="23"/>
  <c r="AS305" i="23"/>
  <c r="AT305" i="23"/>
  <c r="AU305" i="23"/>
  <c r="AV305" i="23"/>
  <c r="AW305" i="23"/>
  <c r="AX305" i="23"/>
  <c r="AY305" i="23"/>
  <c r="AZ305" i="23"/>
  <c r="BA305" i="23"/>
  <c r="BB305" i="23"/>
  <c r="BC305" i="23"/>
  <c r="BD305" i="23"/>
  <c r="BE305" i="23"/>
  <c r="BF305" i="23"/>
  <c r="BG305" i="23"/>
  <c r="BH305" i="23"/>
  <c r="BI305" i="23"/>
  <c r="BJ305" i="23"/>
  <c r="BK305" i="23"/>
  <c r="BL305" i="23"/>
  <c r="BM305" i="23"/>
  <c r="BN305" i="23"/>
  <c r="BO305" i="23"/>
  <c r="BP305" i="23"/>
  <c r="BQ305" i="23"/>
  <c r="BR305" i="23"/>
  <c r="BS305" i="23"/>
  <c r="BT305" i="23"/>
  <c r="B306" i="23"/>
  <c r="C306" i="23"/>
  <c r="D306" i="23"/>
  <c r="E306" i="23"/>
  <c r="F306" i="23"/>
  <c r="G306" i="23"/>
  <c r="H306" i="23"/>
  <c r="I306" i="23"/>
  <c r="J306" i="23"/>
  <c r="K306" i="23"/>
  <c r="L306" i="23"/>
  <c r="M306" i="23"/>
  <c r="N306" i="23"/>
  <c r="O306" i="23"/>
  <c r="P306" i="23"/>
  <c r="Q306" i="23"/>
  <c r="R306" i="23"/>
  <c r="S306" i="23"/>
  <c r="T306" i="23"/>
  <c r="U306" i="23"/>
  <c r="V306" i="23"/>
  <c r="W306" i="23"/>
  <c r="X306" i="23"/>
  <c r="Y306" i="23"/>
  <c r="Z306" i="23"/>
  <c r="AA306" i="23"/>
  <c r="AB306" i="23"/>
  <c r="AC306" i="23"/>
  <c r="AD306" i="23"/>
  <c r="AE306" i="23"/>
  <c r="AF306" i="23"/>
  <c r="AG306" i="23"/>
  <c r="AH306" i="23"/>
  <c r="AI306" i="23"/>
  <c r="AJ306" i="23"/>
  <c r="AK306" i="23"/>
  <c r="AL306" i="23"/>
  <c r="AM306" i="23"/>
  <c r="AN306" i="23"/>
  <c r="AO306" i="23"/>
  <c r="AP306" i="23"/>
  <c r="AQ306" i="23"/>
  <c r="AR306" i="23"/>
  <c r="AS306" i="23"/>
  <c r="AT306" i="23"/>
  <c r="AU306" i="23"/>
  <c r="AV306" i="23"/>
  <c r="AW306" i="23"/>
  <c r="AX306" i="23"/>
  <c r="AY306" i="23"/>
  <c r="AZ306" i="23"/>
  <c r="BA306" i="23"/>
  <c r="BB306" i="23"/>
  <c r="BC306" i="23"/>
  <c r="BD306" i="23"/>
  <c r="BE306" i="23"/>
  <c r="BF306" i="23"/>
  <c r="BG306" i="23"/>
  <c r="BH306" i="23"/>
  <c r="BI306" i="23"/>
  <c r="BJ306" i="23"/>
  <c r="BK306" i="23"/>
  <c r="BL306" i="23"/>
  <c r="BM306" i="23"/>
  <c r="BN306" i="23"/>
  <c r="BO306" i="23"/>
  <c r="BP306" i="23"/>
  <c r="BQ306" i="23"/>
  <c r="BR306" i="23"/>
  <c r="BS306" i="23"/>
  <c r="BT306" i="23"/>
  <c r="B307" i="23"/>
  <c r="C307" i="23"/>
  <c r="D307" i="23"/>
  <c r="E307" i="23"/>
  <c r="F307" i="23"/>
  <c r="G307" i="23"/>
  <c r="H307" i="23"/>
  <c r="I307" i="23"/>
  <c r="J307" i="23"/>
  <c r="K307" i="23"/>
  <c r="L307" i="23"/>
  <c r="M307" i="23"/>
  <c r="N307" i="23"/>
  <c r="O307" i="23"/>
  <c r="P307" i="23"/>
  <c r="Q307" i="23"/>
  <c r="R307" i="23"/>
  <c r="S307" i="23"/>
  <c r="T307" i="23"/>
  <c r="U307" i="23"/>
  <c r="V307" i="23"/>
  <c r="W307" i="23"/>
  <c r="X307" i="23"/>
  <c r="Y307" i="23"/>
  <c r="Z307" i="23"/>
  <c r="AA307" i="23"/>
  <c r="AB307" i="23"/>
  <c r="AC307" i="23"/>
  <c r="AD307" i="23"/>
  <c r="AE307" i="23"/>
  <c r="AF307" i="23"/>
  <c r="AG307" i="23"/>
  <c r="AH307" i="23"/>
  <c r="AI307" i="23"/>
  <c r="AJ307" i="23"/>
  <c r="AK307" i="23"/>
  <c r="AL307" i="23"/>
  <c r="AM307" i="23"/>
  <c r="AN307" i="23"/>
  <c r="AO307" i="23"/>
  <c r="AP307" i="23"/>
  <c r="AQ307" i="23"/>
  <c r="AR307" i="23"/>
  <c r="AS307" i="23"/>
  <c r="AT307" i="23"/>
  <c r="AU307" i="23"/>
  <c r="AV307" i="23"/>
  <c r="AW307" i="23"/>
  <c r="AX307" i="23"/>
  <c r="AY307" i="23"/>
  <c r="AZ307" i="23"/>
  <c r="BA307" i="23"/>
  <c r="BB307" i="23"/>
  <c r="BC307" i="23"/>
  <c r="BD307" i="23"/>
  <c r="BE307" i="23"/>
  <c r="BF307" i="23"/>
  <c r="BG307" i="23"/>
  <c r="BH307" i="23"/>
  <c r="BI307" i="23"/>
  <c r="BJ307" i="23"/>
  <c r="BK307" i="23"/>
  <c r="BL307" i="23"/>
  <c r="BM307" i="23"/>
  <c r="BN307" i="23"/>
  <c r="BO307" i="23"/>
  <c r="BP307" i="23"/>
  <c r="BQ307" i="23"/>
  <c r="BR307" i="23"/>
  <c r="BS307" i="23"/>
  <c r="BT307" i="23"/>
  <c r="B308" i="23"/>
  <c r="C308" i="23"/>
  <c r="D308" i="23"/>
  <c r="E308" i="23"/>
  <c r="F308" i="23"/>
  <c r="G308" i="23"/>
  <c r="H308" i="23"/>
  <c r="I308" i="23"/>
  <c r="J308" i="23"/>
  <c r="K308" i="23"/>
  <c r="L308" i="23"/>
  <c r="M308" i="23"/>
  <c r="N308" i="23"/>
  <c r="O308" i="23"/>
  <c r="P308" i="23"/>
  <c r="Q308" i="23"/>
  <c r="R308" i="23"/>
  <c r="S308" i="23"/>
  <c r="T308" i="23"/>
  <c r="U308" i="23"/>
  <c r="V308" i="23"/>
  <c r="W308" i="23"/>
  <c r="X308" i="23"/>
  <c r="Y308" i="23"/>
  <c r="Z308" i="23"/>
  <c r="AA308" i="23"/>
  <c r="AB308" i="23"/>
  <c r="AC308" i="23"/>
  <c r="AD308" i="23"/>
  <c r="AE308" i="23"/>
  <c r="AF308" i="23"/>
  <c r="AG308" i="23"/>
  <c r="AH308" i="23"/>
  <c r="AI308" i="23"/>
  <c r="AJ308" i="23"/>
  <c r="AK308" i="23"/>
  <c r="AL308" i="23"/>
  <c r="AM308" i="23"/>
  <c r="AN308" i="23"/>
  <c r="AO308" i="23"/>
  <c r="AP308" i="23"/>
  <c r="AQ308" i="23"/>
  <c r="AR308" i="23"/>
  <c r="AS308" i="23"/>
  <c r="AT308" i="23"/>
  <c r="AU308" i="23"/>
  <c r="AV308" i="23"/>
  <c r="AW308" i="23"/>
  <c r="AX308" i="23"/>
  <c r="AY308" i="23"/>
  <c r="AZ308" i="23"/>
  <c r="BA308" i="23"/>
  <c r="BB308" i="23"/>
  <c r="BC308" i="23"/>
  <c r="BD308" i="23"/>
  <c r="BE308" i="23"/>
  <c r="BF308" i="23"/>
  <c r="BG308" i="23"/>
  <c r="BH308" i="23"/>
  <c r="BI308" i="23"/>
  <c r="BJ308" i="23"/>
  <c r="BK308" i="23"/>
  <c r="BL308" i="23"/>
  <c r="BM308" i="23"/>
  <c r="BN308" i="23"/>
  <c r="BO308" i="23"/>
  <c r="BP308" i="23"/>
  <c r="BQ308" i="23"/>
  <c r="BR308" i="23"/>
  <c r="BS308" i="23"/>
  <c r="BT308" i="23"/>
  <c r="B309" i="23"/>
  <c r="C309" i="23"/>
  <c r="D309" i="23"/>
  <c r="E309" i="23"/>
  <c r="F309" i="23"/>
  <c r="G309" i="23"/>
  <c r="H309" i="23"/>
  <c r="I309" i="23"/>
  <c r="J309" i="23"/>
  <c r="K309" i="23"/>
  <c r="L309" i="23"/>
  <c r="M309" i="23"/>
  <c r="N309" i="23"/>
  <c r="O309" i="23"/>
  <c r="P309" i="23"/>
  <c r="Q309" i="23"/>
  <c r="R309" i="23"/>
  <c r="S309" i="23"/>
  <c r="T309" i="23"/>
  <c r="U309" i="23"/>
  <c r="V309" i="23"/>
  <c r="W309" i="23"/>
  <c r="X309" i="23"/>
  <c r="Y309" i="23"/>
  <c r="Z309" i="23"/>
  <c r="AA309" i="23"/>
  <c r="AB309" i="23"/>
  <c r="AC309" i="23"/>
  <c r="AD309" i="23"/>
  <c r="AE309" i="23"/>
  <c r="AF309" i="23"/>
  <c r="AG309" i="23"/>
  <c r="AH309" i="23"/>
  <c r="AI309" i="23"/>
  <c r="AJ309" i="23"/>
  <c r="AK309" i="23"/>
  <c r="AL309" i="23"/>
  <c r="AM309" i="23"/>
  <c r="AN309" i="23"/>
  <c r="AO309" i="23"/>
  <c r="AP309" i="23"/>
  <c r="AQ309" i="23"/>
  <c r="AR309" i="23"/>
  <c r="AS309" i="23"/>
  <c r="AT309" i="23"/>
  <c r="AU309" i="23"/>
  <c r="AV309" i="23"/>
  <c r="AW309" i="23"/>
  <c r="AX309" i="23"/>
  <c r="AY309" i="23"/>
  <c r="AZ309" i="23"/>
  <c r="BA309" i="23"/>
  <c r="BB309" i="23"/>
  <c r="BC309" i="23"/>
  <c r="BD309" i="23"/>
  <c r="BE309" i="23"/>
  <c r="BF309" i="23"/>
  <c r="BG309" i="23"/>
  <c r="BH309" i="23"/>
  <c r="BI309" i="23"/>
  <c r="BJ309" i="23"/>
  <c r="BK309" i="23"/>
  <c r="BL309" i="23"/>
  <c r="BM309" i="23"/>
  <c r="BN309" i="23"/>
  <c r="BO309" i="23"/>
  <c r="BP309" i="23"/>
  <c r="BQ309" i="23"/>
  <c r="BR309" i="23"/>
  <c r="BS309" i="23"/>
  <c r="BT309" i="23"/>
  <c r="B310" i="23"/>
  <c r="C310" i="23"/>
  <c r="D310" i="23"/>
  <c r="E310" i="23"/>
  <c r="F310" i="23"/>
  <c r="G310" i="23"/>
  <c r="H310" i="23"/>
  <c r="I310" i="23"/>
  <c r="J310" i="23"/>
  <c r="K310" i="23"/>
  <c r="L310" i="23"/>
  <c r="M310" i="23"/>
  <c r="N310" i="23"/>
  <c r="O310" i="23"/>
  <c r="P310" i="23"/>
  <c r="Q310" i="23"/>
  <c r="R310" i="23"/>
  <c r="S310" i="23"/>
  <c r="T310" i="23"/>
  <c r="U310" i="23"/>
  <c r="V310" i="23"/>
  <c r="W310" i="23"/>
  <c r="X310" i="23"/>
  <c r="Y310" i="23"/>
  <c r="Z310" i="23"/>
  <c r="AA310" i="23"/>
  <c r="AB310" i="23"/>
  <c r="AC310" i="23"/>
  <c r="AD310" i="23"/>
  <c r="AE310" i="23"/>
  <c r="AF310" i="23"/>
  <c r="AG310" i="23"/>
  <c r="AH310" i="23"/>
  <c r="AI310" i="23"/>
  <c r="AJ310" i="23"/>
  <c r="AK310" i="23"/>
  <c r="AL310" i="23"/>
  <c r="AM310" i="23"/>
  <c r="AN310" i="23"/>
  <c r="AO310" i="23"/>
  <c r="AP310" i="23"/>
  <c r="AQ310" i="23"/>
  <c r="AR310" i="23"/>
  <c r="AS310" i="23"/>
  <c r="AT310" i="23"/>
  <c r="AU310" i="23"/>
  <c r="AV310" i="23"/>
  <c r="AW310" i="23"/>
  <c r="AX310" i="23"/>
  <c r="AY310" i="23"/>
  <c r="AZ310" i="23"/>
  <c r="BA310" i="23"/>
  <c r="BB310" i="23"/>
  <c r="BC310" i="23"/>
  <c r="BD310" i="23"/>
  <c r="BE310" i="23"/>
  <c r="BF310" i="23"/>
  <c r="BG310" i="23"/>
  <c r="BH310" i="23"/>
  <c r="BI310" i="23"/>
  <c r="BJ310" i="23"/>
  <c r="BK310" i="23"/>
  <c r="BL310" i="23"/>
  <c r="BM310" i="23"/>
  <c r="BN310" i="23"/>
  <c r="BO310" i="23"/>
  <c r="BP310" i="23"/>
  <c r="BQ310" i="23"/>
  <c r="BR310" i="23"/>
  <c r="BS310" i="23"/>
  <c r="BT310" i="23"/>
  <c r="B311" i="23"/>
  <c r="C311" i="23"/>
  <c r="D311" i="23"/>
  <c r="E311" i="23"/>
  <c r="F311" i="23"/>
  <c r="G311" i="23"/>
  <c r="H311" i="23"/>
  <c r="I311" i="23"/>
  <c r="J311" i="23"/>
  <c r="K311" i="23"/>
  <c r="L311" i="23"/>
  <c r="M311" i="23"/>
  <c r="N311" i="23"/>
  <c r="O311" i="23"/>
  <c r="P311" i="23"/>
  <c r="Q311" i="23"/>
  <c r="R311" i="23"/>
  <c r="S311" i="23"/>
  <c r="T311" i="23"/>
  <c r="U311" i="23"/>
  <c r="V311" i="23"/>
  <c r="W311" i="23"/>
  <c r="X311" i="23"/>
  <c r="Y311" i="23"/>
  <c r="Z311" i="23"/>
  <c r="AA311" i="23"/>
  <c r="AB311" i="23"/>
  <c r="AC311" i="23"/>
  <c r="AD311" i="23"/>
  <c r="AE311" i="23"/>
  <c r="AF311" i="23"/>
  <c r="AG311" i="23"/>
  <c r="AH311" i="23"/>
  <c r="AI311" i="23"/>
  <c r="AJ311" i="23"/>
  <c r="AK311" i="23"/>
  <c r="AL311" i="23"/>
  <c r="AM311" i="23"/>
  <c r="AN311" i="23"/>
  <c r="AO311" i="23"/>
  <c r="AP311" i="23"/>
  <c r="AQ311" i="23"/>
  <c r="AR311" i="23"/>
  <c r="AS311" i="23"/>
  <c r="AT311" i="23"/>
  <c r="AU311" i="23"/>
  <c r="AV311" i="23"/>
  <c r="AW311" i="23"/>
  <c r="AX311" i="23"/>
  <c r="AY311" i="23"/>
  <c r="AZ311" i="23"/>
  <c r="BA311" i="23"/>
  <c r="BB311" i="23"/>
  <c r="BC311" i="23"/>
  <c r="BD311" i="23"/>
  <c r="BE311" i="23"/>
  <c r="BF311" i="23"/>
  <c r="BG311" i="23"/>
  <c r="BH311" i="23"/>
  <c r="BI311" i="23"/>
  <c r="BJ311" i="23"/>
  <c r="BK311" i="23"/>
  <c r="BL311" i="23"/>
  <c r="BM311" i="23"/>
  <c r="BN311" i="23"/>
  <c r="BO311" i="23"/>
  <c r="BP311" i="23"/>
  <c r="BQ311" i="23"/>
  <c r="BR311" i="23"/>
  <c r="BS311" i="23"/>
  <c r="BT311" i="23"/>
  <c r="B312" i="23"/>
  <c r="C312" i="23"/>
  <c r="D312" i="23"/>
  <c r="E312" i="23"/>
  <c r="F312" i="23"/>
  <c r="G312" i="23"/>
  <c r="H312" i="23"/>
  <c r="I312" i="23"/>
  <c r="J312" i="23"/>
  <c r="K312" i="23"/>
  <c r="L312" i="23"/>
  <c r="M312" i="23"/>
  <c r="N312" i="23"/>
  <c r="O312" i="23"/>
  <c r="P312" i="23"/>
  <c r="Q312" i="23"/>
  <c r="R312" i="23"/>
  <c r="S312" i="23"/>
  <c r="T312" i="23"/>
  <c r="U312" i="23"/>
  <c r="V312" i="23"/>
  <c r="W312" i="23"/>
  <c r="X312" i="23"/>
  <c r="Y312" i="23"/>
  <c r="Z312" i="23"/>
  <c r="AA312" i="23"/>
  <c r="AB312" i="23"/>
  <c r="AC312" i="23"/>
  <c r="AD312" i="23"/>
  <c r="AE312" i="23"/>
  <c r="AF312" i="23"/>
  <c r="AG312" i="23"/>
  <c r="AH312" i="23"/>
  <c r="AI312" i="23"/>
  <c r="AJ312" i="23"/>
  <c r="AK312" i="23"/>
  <c r="AL312" i="23"/>
  <c r="AM312" i="23"/>
  <c r="AN312" i="23"/>
  <c r="AO312" i="23"/>
  <c r="AP312" i="23"/>
  <c r="AQ312" i="23"/>
  <c r="AR312" i="23"/>
  <c r="AS312" i="23"/>
  <c r="AT312" i="23"/>
  <c r="AU312" i="23"/>
  <c r="AV312" i="23"/>
  <c r="AW312" i="23"/>
  <c r="AX312" i="23"/>
  <c r="AY312" i="23"/>
  <c r="AZ312" i="23"/>
  <c r="BA312" i="23"/>
  <c r="BB312" i="23"/>
  <c r="BC312" i="23"/>
  <c r="BD312" i="23"/>
  <c r="BE312" i="23"/>
  <c r="BF312" i="23"/>
  <c r="BG312" i="23"/>
  <c r="BH312" i="23"/>
  <c r="BI312" i="23"/>
  <c r="BJ312" i="23"/>
  <c r="BK312" i="23"/>
  <c r="BL312" i="23"/>
  <c r="BM312" i="23"/>
  <c r="BN312" i="23"/>
  <c r="BO312" i="23"/>
  <c r="BP312" i="23"/>
  <c r="BQ312" i="23"/>
  <c r="BR312" i="23"/>
  <c r="BS312" i="23"/>
  <c r="BT312" i="23"/>
  <c r="B313" i="23"/>
  <c r="C313" i="23"/>
  <c r="D313" i="23"/>
  <c r="E313" i="23"/>
  <c r="F313" i="23"/>
  <c r="G313" i="23"/>
  <c r="H313" i="23"/>
  <c r="I313" i="23"/>
  <c r="J313" i="23"/>
  <c r="K313" i="23"/>
  <c r="L313" i="23"/>
  <c r="M313" i="23"/>
  <c r="N313" i="23"/>
  <c r="O313" i="23"/>
  <c r="P313" i="23"/>
  <c r="Q313" i="23"/>
  <c r="R313" i="23"/>
  <c r="S313" i="23"/>
  <c r="T313" i="23"/>
  <c r="U313" i="23"/>
  <c r="V313" i="23"/>
  <c r="W313" i="23"/>
  <c r="X313" i="23"/>
  <c r="Y313" i="23"/>
  <c r="Z313" i="23"/>
  <c r="AA313" i="23"/>
  <c r="AB313" i="23"/>
  <c r="AC313" i="23"/>
  <c r="AD313" i="23"/>
  <c r="AE313" i="23"/>
  <c r="AF313" i="23"/>
  <c r="AG313" i="23"/>
  <c r="AH313" i="23"/>
  <c r="AI313" i="23"/>
  <c r="AJ313" i="23"/>
  <c r="AK313" i="23"/>
  <c r="AL313" i="23"/>
  <c r="AM313" i="23"/>
  <c r="AN313" i="23"/>
  <c r="AO313" i="23"/>
  <c r="AP313" i="23"/>
  <c r="AQ313" i="23"/>
  <c r="AR313" i="23"/>
  <c r="AS313" i="23"/>
  <c r="AT313" i="23"/>
  <c r="AU313" i="23"/>
  <c r="AV313" i="23"/>
  <c r="AW313" i="23"/>
  <c r="AX313" i="23"/>
  <c r="AY313" i="23"/>
  <c r="AZ313" i="23"/>
  <c r="BA313" i="23"/>
  <c r="BB313" i="23"/>
  <c r="BC313" i="23"/>
  <c r="BD313" i="23"/>
  <c r="BE313" i="23"/>
  <c r="BF313" i="23"/>
  <c r="BG313" i="23"/>
  <c r="BH313" i="23"/>
  <c r="BI313" i="23"/>
  <c r="BJ313" i="23"/>
  <c r="BK313" i="23"/>
  <c r="BL313" i="23"/>
  <c r="BM313" i="23"/>
  <c r="BN313" i="23"/>
  <c r="BO313" i="23"/>
  <c r="BP313" i="23"/>
  <c r="BQ313" i="23"/>
  <c r="BR313" i="23"/>
  <c r="BS313" i="23"/>
  <c r="BT313" i="23"/>
  <c r="B314" i="23"/>
  <c r="C314" i="23"/>
  <c r="D314" i="23"/>
  <c r="E314" i="23"/>
  <c r="F314" i="23"/>
  <c r="G314" i="23"/>
  <c r="H314" i="23"/>
  <c r="I314" i="23"/>
  <c r="J314" i="23"/>
  <c r="K314" i="23"/>
  <c r="L314" i="23"/>
  <c r="M314" i="23"/>
  <c r="N314" i="23"/>
  <c r="O314" i="23"/>
  <c r="P314" i="23"/>
  <c r="Q314" i="23"/>
  <c r="R314" i="23"/>
  <c r="S314" i="23"/>
  <c r="T314" i="23"/>
  <c r="U314" i="23"/>
  <c r="V314" i="23"/>
  <c r="W314" i="23"/>
  <c r="X314" i="23"/>
  <c r="Y314" i="23"/>
  <c r="Z314" i="23"/>
  <c r="AA314" i="23"/>
  <c r="AB314" i="23"/>
  <c r="AC314" i="23"/>
  <c r="AD314" i="23"/>
  <c r="AE314" i="23"/>
  <c r="AF314" i="23"/>
  <c r="AG314" i="23"/>
  <c r="AH314" i="23"/>
  <c r="AI314" i="23"/>
  <c r="AJ314" i="23"/>
  <c r="AK314" i="23"/>
  <c r="AL314" i="23"/>
  <c r="AM314" i="23"/>
  <c r="AN314" i="23"/>
  <c r="AO314" i="23"/>
  <c r="AP314" i="23"/>
  <c r="AQ314" i="23"/>
  <c r="AR314" i="23"/>
  <c r="AS314" i="23"/>
  <c r="AT314" i="23"/>
  <c r="AU314" i="23"/>
  <c r="AV314" i="23"/>
  <c r="AW314" i="23"/>
  <c r="AX314" i="23"/>
  <c r="AY314" i="23"/>
  <c r="AZ314" i="23"/>
  <c r="BA314" i="23"/>
  <c r="BB314" i="23"/>
  <c r="BC314" i="23"/>
  <c r="BD314" i="23"/>
  <c r="BE314" i="23"/>
  <c r="BF314" i="23"/>
  <c r="BG314" i="23"/>
  <c r="BH314" i="23"/>
  <c r="BI314" i="23"/>
  <c r="BJ314" i="23"/>
  <c r="BK314" i="23"/>
  <c r="BL314" i="23"/>
  <c r="BM314" i="23"/>
  <c r="BN314" i="23"/>
  <c r="BO314" i="23"/>
  <c r="BP314" i="23"/>
  <c r="BQ314" i="23"/>
  <c r="BR314" i="23"/>
  <c r="BS314" i="23"/>
  <c r="BT314" i="23"/>
  <c r="B315" i="23"/>
  <c r="C315" i="23"/>
  <c r="D315" i="23"/>
  <c r="E315" i="23"/>
  <c r="F315" i="23"/>
  <c r="G315" i="23"/>
  <c r="H315" i="23"/>
  <c r="I315" i="23"/>
  <c r="J315" i="23"/>
  <c r="K315" i="23"/>
  <c r="L315" i="23"/>
  <c r="M315" i="23"/>
  <c r="N315" i="23"/>
  <c r="O315" i="23"/>
  <c r="P315" i="23"/>
  <c r="Q315" i="23"/>
  <c r="R315" i="23"/>
  <c r="S315" i="23"/>
  <c r="T315" i="23"/>
  <c r="U315" i="23"/>
  <c r="V315" i="23"/>
  <c r="W315" i="23"/>
  <c r="X315" i="23"/>
  <c r="Y315" i="23"/>
  <c r="Z315" i="23"/>
  <c r="AA315" i="23"/>
  <c r="AB315" i="23"/>
  <c r="AC315" i="23"/>
  <c r="AD315" i="23"/>
  <c r="AE315" i="23"/>
  <c r="AF315" i="23"/>
  <c r="AG315" i="23"/>
  <c r="AH315" i="23"/>
  <c r="AI315" i="23"/>
  <c r="AJ315" i="23"/>
  <c r="AK315" i="23"/>
  <c r="AL315" i="23"/>
  <c r="AM315" i="23"/>
  <c r="AN315" i="23"/>
  <c r="AO315" i="23"/>
  <c r="AP315" i="23"/>
  <c r="AQ315" i="23"/>
  <c r="AR315" i="23"/>
  <c r="AS315" i="23"/>
  <c r="AT315" i="23"/>
  <c r="AU315" i="23"/>
  <c r="AV315" i="23"/>
  <c r="AW315" i="23"/>
  <c r="AX315" i="23"/>
  <c r="AY315" i="23"/>
  <c r="AZ315" i="23"/>
  <c r="BA315" i="23"/>
  <c r="BB315" i="23"/>
  <c r="BC315" i="23"/>
  <c r="BD315" i="23"/>
  <c r="BE315" i="23"/>
  <c r="BF315" i="23"/>
  <c r="BG315" i="23"/>
  <c r="BH315" i="23"/>
  <c r="BI315" i="23"/>
  <c r="BJ315" i="23"/>
  <c r="BK315" i="23"/>
  <c r="BL315" i="23"/>
  <c r="BM315" i="23"/>
  <c r="BN315" i="23"/>
  <c r="BO315" i="23"/>
  <c r="BP315" i="23"/>
  <c r="BQ315" i="23"/>
  <c r="BR315" i="23"/>
  <c r="BS315" i="23"/>
  <c r="BT315" i="23"/>
  <c r="B316" i="23"/>
  <c r="C316" i="23"/>
  <c r="D316" i="23"/>
  <c r="E316" i="23"/>
  <c r="F316" i="23"/>
  <c r="G316" i="23"/>
  <c r="H316" i="23"/>
  <c r="I316" i="23"/>
  <c r="J316" i="23"/>
  <c r="K316" i="23"/>
  <c r="L316" i="23"/>
  <c r="M316" i="23"/>
  <c r="N316" i="23"/>
  <c r="O316" i="23"/>
  <c r="P316" i="23"/>
  <c r="Q316" i="23"/>
  <c r="R316" i="23"/>
  <c r="S316" i="23"/>
  <c r="T316" i="23"/>
  <c r="U316" i="23"/>
  <c r="V316" i="23"/>
  <c r="W316" i="23"/>
  <c r="X316" i="23"/>
  <c r="Y316" i="23"/>
  <c r="Z316" i="23"/>
  <c r="AA316" i="23"/>
  <c r="AB316" i="23"/>
  <c r="AC316" i="23"/>
  <c r="AD316" i="23"/>
  <c r="AE316" i="23"/>
  <c r="AF316" i="23"/>
  <c r="AG316" i="23"/>
  <c r="AH316" i="23"/>
  <c r="AI316" i="23"/>
  <c r="AJ316" i="23"/>
  <c r="AK316" i="23"/>
  <c r="AL316" i="23"/>
  <c r="AM316" i="23"/>
  <c r="AN316" i="23"/>
  <c r="AO316" i="23"/>
  <c r="AP316" i="23"/>
  <c r="AQ316" i="23"/>
  <c r="AR316" i="23"/>
  <c r="AS316" i="23"/>
  <c r="AT316" i="23"/>
  <c r="AU316" i="23"/>
  <c r="AV316" i="23"/>
  <c r="AW316" i="23"/>
  <c r="AX316" i="23"/>
  <c r="AY316" i="23"/>
  <c r="AZ316" i="23"/>
  <c r="BA316" i="23"/>
  <c r="BB316" i="23"/>
  <c r="BC316" i="23"/>
  <c r="BD316" i="23"/>
  <c r="BE316" i="23"/>
  <c r="BF316" i="23"/>
  <c r="BG316" i="23"/>
  <c r="BH316" i="23"/>
  <c r="BI316" i="23"/>
  <c r="BJ316" i="23"/>
  <c r="BK316" i="23"/>
  <c r="BL316" i="23"/>
  <c r="BM316" i="23"/>
  <c r="BN316" i="23"/>
  <c r="BO316" i="23"/>
  <c r="BP316" i="23"/>
  <c r="BQ316" i="23"/>
  <c r="BR316" i="23"/>
  <c r="BS316" i="23"/>
  <c r="BT316" i="23"/>
  <c r="B317" i="23"/>
  <c r="C317" i="23"/>
  <c r="D317" i="23"/>
  <c r="E317" i="23"/>
  <c r="F317" i="23"/>
  <c r="G317" i="23"/>
  <c r="H317" i="23"/>
  <c r="I317" i="23"/>
  <c r="J317" i="23"/>
  <c r="K317" i="23"/>
  <c r="L317" i="23"/>
  <c r="M317" i="23"/>
  <c r="N317" i="23"/>
  <c r="O317" i="23"/>
  <c r="P317" i="23"/>
  <c r="Q317" i="23"/>
  <c r="R317" i="23"/>
  <c r="S317" i="23"/>
  <c r="T317" i="23"/>
  <c r="U317" i="23"/>
  <c r="V317" i="23"/>
  <c r="W317" i="23"/>
  <c r="X317" i="23"/>
  <c r="Y317" i="23"/>
  <c r="Z317" i="23"/>
  <c r="AA317" i="23"/>
  <c r="AB317" i="23"/>
  <c r="AC317" i="23"/>
  <c r="AD317" i="23"/>
  <c r="AE317" i="23"/>
  <c r="AF317" i="23"/>
  <c r="AG317" i="23"/>
  <c r="AH317" i="23"/>
  <c r="AI317" i="23"/>
  <c r="AJ317" i="23"/>
  <c r="AK317" i="23"/>
  <c r="AL317" i="23"/>
  <c r="AM317" i="23"/>
  <c r="AN317" i="23"/>
  <c r="AO317" i="23"/>
  <c r="AP317" i="23"/>
  <c r="AQ317" i="23"/>
  <c r="AR317" i="23"/>
  <c r="AS317" i="23"/>
  <c r="AT317" i="23"/>
  <c r="AU317" i="23"/>
  <c r="AV317" i="23"/>
  <c r="AW317" i="23"/>
  <c r="AX317" i="23"/>
  <c r="AY317" i="23"/>
  <c r="AZ317" i="23"/>
  <c r="BA317" i="23"/>
  <c r="BB317" i="23"/>
  <c r="BC317" i="23"/>
  <c r="BD317" i="23"/>
  <c r="BE317" i="23"/>
  <c r="BF317" i="23"/>
  <c r="BG317" i="23"/>
  <c r="BH317" i="23"/>
  <c r="BI317" i="23"/>
  <c r="BJ317" i="23"/>
  <c r="BK317" i="23"/>
  <c r="BL317" i="23"/>
  <c r="BM317" i="23"/>
  <c r="BN317" i="23"/>
  <c r="BO317" i="23"/>
  <c r="BP317" i="23"/>
  <c r="BQ317" i="23"/>
  <c r="BR317" i="23"/>
  <c r="BS317" i="23"/>
  <c r="BT317" i="23"/>
  <c r="B318" i="23"/>
  <c r="C318" i="23"/>
  <c r="D318" i="23"/>
  <c r="E318" i="23"/>
  <c r="F318" i="23"/>
  <c r="G318" i="23"/>
  <c r="H318" i="23"/>
  <c r="I318" i="23"/>
  <c r="J318" i="23"/>
  <c r="K318" i="23"/>
  <c r="L318" i="23"/>
  <c r="M318" i="23"/>
  <c r="N318" i="23"/>
  <c r="O318" i="23"/>
  <c r="P318" i="23"/>
  <c r="Q318" i="23"/>
  <c r="R318" i="23"/>
  <c r="S318" i="23"/>
  <c r="T318" i="23"/>
  <c r="U318" i="23"/>
  <c r="V318" i="23"/>
  <c r="W318" i="23"/>
  <c r="X318" i="23"/>
  <c r="Y318" i="23"/>
  <c r="Z318" i="23"/>
  <c r="AA318" i="23"/>
  <c r="AB318" i="23"/>
  <c r="AC318" i="23"/>
  <c r="AD318" i="23"/>
  <c r="AE318" i="23"/>
  <c r="AF318" i="23"/>
  <c r="AG318" i="23"/>
  <c r="AH318" i="23"/>
  <c r="AI318" i="23"/>
  <c r="AJ318" i="23"/>
  <c r="AK318" i="23"/>
  <c r="AL318" i="23"/>
  <c r="AM318" i="23"/>
  <c r="AN318" i="23"/>
  <c r="AO318" i="23"/>
  <c r="AP318" i="23"/>
  <c r="AQ318" i="23"/>
  <c r="AR318" i="23"/>
  <c r="AS318" i="23"/>
  <c r="AT318" i="23"/>
  <c r="AU318" i="23"/>
  <c r="AV318" i="23"/>
  <c r="AW318" i="23"/>
  <c r="AX318" i="23"/>
  <c r="AY318" i="23"/>
  <c r="AZ318" i="23"/>
  <c r="BA318" i="23"/>
  <c r="BB318" i="23"/>
  <c r="BC318" i="23"/>
  <c r="BD318" i="23"/>
  <c r="BE318" i="23"/>
  <c r="BF318" i="23"/>
  <c r="BG318" i="23"/>
  <c r="BH318" i="23"/>
  <c r="BI318" i="23"/>
  <c r="BJ318" i="23"/>
  <c r="BK318" i="23"/>
  <c r="BL318" i="23"/>
  <c r="BM318" i="23"/>
  <c r="BN318" i="23"/>
  <c r="BO318" i="23"/>
  <c r="BP318" i="23"/>
  <c r="BQ318" i="23"/>
  <c r="BR318" i="23"/>
  <c r="BS318" i="23"/>
  <c r="BT318" i="23"/>
  <c r="B319" i="23"/>
  <c r="C319" i="23"/>
  <c r="D319" i="23"/>
  <c r="E319" i="23"/>
  <c r="F319" i="23"/>
  <c r="G319" i="23"/>
  <c r="H319" i="23"/>
  <c r="I319" i="23"/>
  <c r="J319" i="23"/>
  <c r="K319" i="23"/>
  <c r="L319" i="23"/>
  <c r="M319" i="23"/>
  <c r="N319" i="23"/>
  <c r="O319" i="23"/>
  <c r="P319" i="23"/>
  <c r="Q319" i="23"/>
  <c r="R319" i="23"/>
  <c r="S319" i="23"/>
  <c r="T319" i="23"/>
  <c r="U319" i="23"/>
  <c r="V319" i="23"/>
  <c r="W319" i="23"/>
  <c r="X319" i="23"/>
  <c r="Y319" i="23"/>
  <c r="Z319" i="23"/>
  <c r="AA319" i="23"/>
  <c r="AB319" i="23"/>
  <c r="AC319" i="23"/>
  <c r="AD319" i="23"/>
  <c r="AE319" i="23"/>
  <c r="AF319" i="23"/>
  <c r="AG319" i="23"/>
  <c r="AH319" i="23"/>
  <c r="AI319" i="23"/>
  <c r="AJ319" i="23"/>
  <c r="AK319" i="23"/>
  <c r="AL319" i="23"/>
  <c r="AM319" i="23"/>
  <c r="AN319" i="23"/>
  <c r="AO319" i="23"/>
  <c r="AP319" i="23"/>
  <c r="AQ319" i="23"/>
  <c r="AR319" i="23"/>
  <c r="AS319" i="23"/>
  <c r="AT319" i="23"/>
  <c r="AU319" i="23"/>
  <c r="AV319" i="23"/>
  <c r="AW319" i="23"/>
  <c r="AX319" i="23"/>
  <c r="AY319" i="23"/>
  <c r="AZ319" i="23"/>
  <c r="BA319" i="23"/>
  <c r="BB319" i="23"/>
  <c r="BC319" i="23"/>
  <c r="BD319" i="23"/>
  <c r="BE319" i="23"/>
  <c r="BF319" i="23"/>
  <c r="BG319" i="23"/>
  <c r="BH319" i="23"/>
  <c r="BI319" i="23"/>
  <c r="BJ319" i="23"/>
  <c r="BK319" i="23"/>
  <c r="BL319" i="23"/>
  <c r="BM319" i="23"/>
  <c r="BN319" i="23"/>
  <c r="BO319" i="23"/>
  <c r="BP319" i="23"/>
  <c r="BQ319" i="23"/>
  <c r="BR319" i="23"/>
  <c r="BS319" i="23"/>
  <c r="BT319" i="23"/>
  <c r="B320" i="23"/>
  <c r="C320" i="23"/>
  <c r="D320" i="23"/>
  <c r="E320" i="23"/>
  <c r="F320" i="23"/>
  <c r="G320" i="23"/>
  <c r="H320" i="23"/>
  <c r="I320" i="23"/>
  <c r="J320" i="23"/>
  <c r="K320" i="23"/>
  <c r="L320" i="23"/>
  <c r="M320" i="23"/>
  <c r="N320" i="23"/>
  <c r="O320" i="23"/>
  <c r="P320" i="23"/>
  <c r="Q320" i="23"/>
  <c r="R320" i="23"/>
  <c r="S320" i="23"/>
  <c r="T320" i="23"/>
  <c r="U320" i="23"/>
  <c r="V320" i="23"/>
  <c r="W320" i="23"/>
  <c r="X320" i="23"/>
  <c r="Y320" i="23"/>
  <c r="Z320" i="23"/>
  <c r="AA320" i="23"/>
  <c r="AB320" i="23"/>
  <c r="AC320" i="23"/>
  <c r="AD320" i="23"/>
  <c r="AE320" i="23"/>
  <c r="AF320" i="23"/>
  <c r="AG320" i="23"/>
  <c r="AH320" i="23"/>
  <c r="AI320" i="23"/>
  <c r="AJ320" i="23"/>
  <c r="AK320" i="23"/>
  <c r="AL320" i="23"/>
  <c r="AM320" i="23"/>
  <c r="AN320" i="23"/>
  <c r="AO320" i="23"/>
  <c r="AP320" i="23"/>
  <c r="AQ320" i="23"/>
  <c r="AR320" i="23"/>
  <c r="AS320" i="23"/>
  <c r="AT320" i="23"/>
  <c r="AU320" i="23"/>
  <c r="AV320" i="23"/>
  <c r="AW320" i="23"/>
  <c r="AX320" i="23"/>
  <c r="AY320" i="23"/>
  <c r="AZ320" i="23"/>
  <c r="BA320" i="23"/>
  <c r="BB320" i="23"/>
  <c r="BC320" i="23"/>
  <c r="BD320" i="23"/>
  <c r="BE320" i="23"/>
  <c r="BF320" i="23"/>
  <c r="BG320" i="23"/>
  <c r="BH320" i="23"/>
  <c r="BI320" i="23"/>
  <c r="BJ320" i="23"/>
  <c r="BK320" i="23"/>
  <c r="BL320" i="23"/>
  <c r="BM320" i="23"/>
  <c r="BN320" i="23"/>
  <c r="BO320" i="23"/>
  <c r="BP320" i="23"/>
  <c r="BQ320" i="23"/>
  <c r="BR320" i="23"/>
  <c r="BS320" i="23"/>
  <c r="BT320" i="23"/>
  <c r="B321" i="23"/>
  <c r="C321" i="23"/>
  <c r="D321" i="23"/>
  <c r="E321" i="23"/>
  <c r="F321" i="23"/>
  <c r="G321" i="23"/>
  <c r="H321" i="23"/>
  <c r="I321" i="23"/>
  <c r="J321" i="23"/>
  <c r="K321" i="23"/>
  <c r="L321" i="23"/>
  <c r="M321" i="23"/>
  <c r="N321" i="23"/>
  <c r="O321" i="23"/>
  <c r="P321" i="23"/>
  <c r="Q321" i="23"/>
  <c r="R321" i="23"/>
  <c r="S321" i="23"/>
  <c r="T321" i="23"/>
  <c r="U321" i="23"/>
  <c r="V321" i="23"/>
  <c r="W321" i="23"/>
  <c r="X321" i="23"/>
  <c r="Y321" i="23"/>
  <c r="Z321" i="23"/>
  <c r="AA321" i="23"/>
  <c r="AB321" i="23"/>
  <c r="AC321" i="23"/>
  <c r="AD321" i="23"/>
  <c r="AE321" i="23"/>
  <c r="AF321" i="23"/>
  <c r="AG321" i="23"/>
  <c r="AH321" i="23"/>
  <c r="AI321" i="23"/>
  <c r="AJ321" i="23"/>
  <c r="AK321" i="23"/>
  <c r="AL321" i="23"/>
  <c r="AM321" i="23"/>
  <c r="AN321" i="23"/>
  <c r="AO321" i="23"/>
  <c r="AP321" i="23"/>
  <c r="AQ321" i="23"/>
  <c r="AR321" i="23"/>
  <c r="AS321" i="23"/>
  <c r="AT321" i="23"/>
  <c r="AU321" i="23"/>
  <c r="AV321" i="23"/>
  <c r="AW321" i="23"/>
  <c r="AX321" i="23"/>
  <c r="AY321" i="23"/>
  <c r="AZ321" i="23"/>
  <c r="BA321" i="23"/>
  <c r="BB321" i="23"/>
  <c r="BC321" i="23"/>
  <c r="BD321" i="23"/>
  <c r="BE321" i="23"/>
  <c r="BF321" i="23"/>
  <c r="BG321" i="23"/>
  <c r="BH321" i="23"/>
  <c r="BI321" i="23"/>
  <c r="BJ321" i="23"/>
  <c r="BK321" i="23"/>
  <c r="BL321" i="23"/>
  <c r="BM321" i="23"/>
  <c r="BN321" i="23"/>
  <c r="BO321" i="23"/>
  <c r="BP321" i="23"/>
  <c r="BQ321" i="23"/>
  <c r="BR321" i="23"/>
  <c r="BS321" i="23"/>
  <c r="BT321" i="23"/>
  <c r="B322" i="23"/>
  <c r="C322" i="23"/>
  <c r="D322" i="23"/>
  <c r="E322" i="23"/>
  <c r="F322" i="23"/>
  <c r="G322" i="23"/>
  <c r="H322" i="23"/>
  <c r="I322" i="23"/>
  <c r="J322" i="23"/>
  <c r="K322" i="23"/>
  <c r="L322" i="23"/>
  <c r="M322" i="23"/>
  <c r="N322" i="23"/>
  <c r="O322" i="23"/>
  <c r="P322" i="23"/>
  <c r="Q322" i="23"/>
  <c r="R322" i="23"/>
  <c r="S322" i="23"/>
  <c r="T322" i="23"/>
  <c r="U322" i="23"/>
  <c r="V322" i="23"/>
  <c r="W322" i="23"/>
  <c r="X322" i="23"/>
  <c r="Y322" i="23"/>
  <c r="Z322" i="23"/>
  <c r="AA322" i="23"/>
  <c r="AB322" i="23"/>
  <c r="AC322" i="23"/>
  <c r="AD322" i="23"/>
  <c r="AE322" i="23"/>
  <c r="AF322" i="23"/>
  <c r="AG322" i="23"/>
  <c r="AH322" i="23"/>
  <c r="AI322" i="23"/>
  <c r="AJ322" i="23"/>
  <c r="AK322" i="23"/>
  <c r="AL322" i="23"/>
  <c r="AM322" i="23"/>
  <c r="AN322" i="23"/>
  <c r="AO322" i="23"/>
  <c r="AP322" i="23"/>
  <c r="AQ322" i="23"/>
  <c r="AR322" i="23"/>
  <c r="AS322" i="23"/>
  <c r="AT322" i="23"/>
  <c r="AU322" i="23"/>
  <c r="AV322" i="23"/>
  <c r="AW322" i="23"/>
  <c r="AX322" i="23"/>
  <c r="AY322" i="23"/>
  <c r="AZ322" i="23"/>
  <c r="BA322" i="23"/>
  <c r="BB322" i="23"/>
  <c r="BC322" i="23"/>
  <c r="BD322" i="23"/>
  <c r="BE322" i="23"/>
  <c r="BF322" i="23"/>
  <c r="BG322" i="23"/>
  <c r="BH322" i="23"/>
  <c r="BI322" i="23"/>
  <c r="BJ322" i="23"/>
  <c r="BK322" i="23"/>
  <c r="BL322" i="23"/>
  <c r="BM322" i="23"/>
  <c r="BN322" i="23"/>
  <c r="BO322" i="23"/>
  <c r="BP322" i="23"/>
  <c r="BQ322" i="23"/>
  <c r="BR322" i="23"/>
  <c r="BS322" i="23"/>
  <c r="BT322" i="23"/>
  <c r="B323" i="23"/>
  <c r="C323" i="23"/>
  <c r="D323" i="23"/>
  <c r="E323" i="23"/>
  <c r="F323" i="23"/>
  <c r="G323" i="23"/>
  <c r="H323" i="23"/>
  <c r="I323" i="23"/>
  <c r="J323" i="23"/>
  <c r="K323" i="23"/>
  <c r="L323" i="23"/>
  <c r="M323" i="23"/>
  <c r="N323" i="23"/>
  <c r="O323" i="23"/>
  <c r="P323" i="23"/>
  <c r="Q323" i="23"/>
  <c r="R323" i="23"/>
  <c r="S323" i="23"/>
  <c r="T323" i="23"/>
  <c r="U323" i="23"/>
  <c r="V323" i="23"/>
  <c r="W323" i="23"/>
  <c r="X323" i="23"/>
  <c r="Y323" i="23"/>
  <c r="Z323" i="23"/>
  <c r="AA323" i="23"/>
  <c r="AB323" i="23"/>
  <c r="AC323" i="23"/>
  <c r="AD323" i="23"/>
  <c r="AE323" i="23"/>
  <c r="AF323" i="23"/>
  <c r="AG323" i="23"/>
  <c r="AH323" i="23"/>
  <c r="AI323" i="23"/>
  <c r="AJ323" i="23"/>
  <c r="AK323" i="23"/>
  <c r="AL323" i="23"/>
  <c r="AM323" i="23"/>
  <c r="AN323" i="23"/>
  <c r="AO323" i="23"/>
  <c r="AP323" i="23"/>
  <c r="AQ323" i="23"/>
  <c r="AR323" i="23"/>
  <c r="AS323" i="23"/>
  <c r="AT323" i="23"/>
  <c r="AU323" i="23"/>
  <c r="AV323" i="23"/>
  <c r="AW323" i="23"/>
  <c r="AX323" i="23"/>
  <c r="AY323" i="23"/>
  <c r="AZ323" i="23"/>
  <c r="BA323" i="23"/>
  <c r="BB323" i="23"/>
  <c r="BC323" i="23"/>
  <c r="BD323" i="23"/>
  <c r="BE323" i="23"/>
  <c r="BF323" i="23"/>
  <c r="BG323" i="23"/>
  <c r="BH323" i="23"/>
  <c r="BI323" i="23"/>
  <c r="BJ323" i="23"/>
  <c r="BK323" i="23"/>
  <c r="BL323" i="23"/>
  <c r="BM323" i="23"/>
  <c r="BN323" i="23"/>
  <c r="BO323" i="23"/>
  <c r="BP323" i="23"/>
  <c r="BQ323" i="23"/>
  <c r="BR323" i="23"/>
  <c r="BS323" i="23"/>
  <c r="BT323" i="23"/>
  <c r="B324" i="23"/>
  <c r="C324" i="23"/>
  <c r="D324" i="23"/>
  <c r="E324" i="23"/>
  <c r="F324" i="23"/>
  <c r="G324" i="23"/>
  <c r="H324" i="23"/>
  <c r="I324" i="23"/>
  <c r="J324" i="23"/>
  <c r="K324" i="23"/>
  <c r="L324" i="23"/>
  <c r="M324" i="23"/>
  <c r="N324" i="23"/>
  <c r="O324" i="23"/>
  <c r="P324" i="23"/>
  <c r="Q324" i="23"/>
  <c r="R324" i="23"/>
  <c r="S324" i="23"/>
  <c r="T324" i="23"/>
  <c r="U324" i="23"/>
  <c r="V324" i="23"/>
  <c r="W324" i="23"/>
  <c r="X324" i="23"/>
  <c r="Y324" i="23"/>
  <c r="Z324" i="23"/>
  <c r="AA324" i="23"/>
  <c r="AB324" i="23"/>
  <c r="AC324" i="23"/>
  <c r="AD324" i="23"/>
  <c r="AE324" i="23"/>
  <c r="AF324" i="23"/>
  <c r="AG324" i="23"/>
  <c r="AH324" i="23"/>
  <c r="AI324" i="23"/>
  <c r="AJ324" i="23"/>
  <c r="AK324" i="23"/>
  <c r="AL324" i="23"/>
  <c r="AM324" i="23"/>
  <c r="AN324" i="23"/>
  <c r="AO324" i="23"/>
  <c r="AP324" i="23"/>
  <c r="AQ324" i="23"/>
  <c r="AR324" i="23"/>
  <c r="AS324" i="23"/>
  <c r="AT324" i="23"/>
  <c r="AU324" i="23"/>
  <c r="AV324" i="23"/>
  <c r="AW324" i="23"/>
  <c r="AX324" i="23"/>
  <c r="AY324" i="23"/>
  <c r="AZ324" i="23"/>
  <c r="BA324" i="23"/>
  <c r="BB324" i="23"/>
  <c r="BC324" i="23"/>
  <c r="BD324" i="23"/>
  <c r="BE324" i="23"/>
  <c r="BF324" i="23"/>
  <c r="BG324" i="23"/>
  <c r="BH324" i="23"/>
  <c r="BI324" i="23"/>
  <c r="BJ324" i="23"/>
  <c r="BK324" i="23"/>
  <c r="BL324" i="23"/>
  <c r="BM324" i="23"/>
  <c r="BN324" i="23"/>
  <c r="BO324" i="23"/>
  <c r="BP324" i="23"/>
  <c r="BQ324" i="23"/>
  <c r="BR324" i="23"/>
  <c r="BS324" i="23"/>
  <c r="BT324" i="23"/>
  <c r="B325" i="23"/>
  <c r="C325" i="23"/>
  <c r="D325" i="23"/>
  <c r="E325" i="23"/>
  <c r="F325" i="23"/>
  <c r="G325" i="23"/>
  <c r="H325" i="23"/>
  <c r="I325" i="23"/>
  <c r="J325" i="23"/>
  <c r="K325" i="23"/>
  <c r="L325" i="23"/>
  <c r="M325" i="23"/>
  <c r="N325" i="23"/>
  <c r="O325" i="23"/>
  <c r="P325" i="23"/>
  <c r="Q325" i="23"/>
  <c r="R325" i="23"/>
  <c r="S325" i="23"/>
  <c r="T325" i="23"/>
  <c r="U325" i="23"/>
  <c r="V325" i="23"/>
  <c r="W325" i="23"/>
  <c r="X325" i="23"/>
  <c r="Y325" i="23"/>
  <c r="Z325" i="23"/>
  <c r="AA325" i="23"/>
  <c r="AB325" i="23"/>
  <c r="AC325" i="23"/>
  <c r="AD325" i="23"/>
  <c r="AE325" i="23"/>
  <c r="AF325" i="23"/>
  <c r="AG325" i="23"/>
  <c r="AH325" i="23"/>
  <c r="AI325" i="23"/>
  <c r="AJ325" i="23"/>
  <c r="AK325" i="23"/>
  <c r="AL325" i="23"/>
  <c r="AM325" i="23"/>
  <c r="AN325" i="23"/>
  <c r="AO325" i="23"/>
  <c r="AP325" i="23"/>
  <c r="AQ325" i="23"/>
  <c r="AR325" i="23"/>
  <c r="AS325" i="23"/>
  <c r="AT325" i="23"/>
  <c r="AU325" i="23"/>
  <c r="AV325" i="23"/>
  <c r="AW325" i="23"/>
  <c r="AX325" i="23"/>
  <c r="AY325" i="23"/>
  <c r="AZ325" i="23"/>
  <c r="BA325" i="23"/>
  <c r="BB325" i="23"/>
  <c r="BC325" i="23"/>
  <c r="BD325" i="23"/>
  <c r="BE325" i="23"/>
  <c r="BF325" i="23"/>
  <c r="BG325" i="23"/>
  <c r="BH325" i="23"/>
  <c r="BI325" i="23"/>
  <c r="BJ325" i="23"/>
  <c r="BK325" i="23"/>
  <c r="BL325" i="23"/>
  <c r="BM325" i="23"/>
  <c r="BN325" i="23"/>
  <c r="BO325" i="23"/>
  <c r="BP325" i="23"/>
  <c r="BQ325" i="23"/>
  <c r="BR325" i="23"/>
  <c r="BS325" i="23"/>
  <c r="BT325" i="23"/>
  <c r="B326" i="23"/>
  <c r="C326" i="23"/>
  <c r="D326" i="23"/>
  <c r="E326" i="23"/>
  <c r="F326" i="23"/>
  <c r="G326" i="23"/>
  <c r="H326" i="23"/>
  <c r="I326" i="23"/>
  <c r="J326" i="23"/>
  <c r="K326" i="23"/>
  <c r="L326" i="23"/>
  <c r="M326" i="23"/>
  <c r="N326" i="23"/>
  <c r="O326" i="23"/>
  <c r="P326" i="23"/>
  <c r="Q326" i="23"/>
  <c r="R326" i="23"/>
  <c r="S326" i="23"/>
  <c r="T326" i="23"/>
  <c r="U326" i="23"/>
  <c r="V326" i="23"/>
  <c r="W326" i="23"/>
  <c r="X326" i="23"/>
  <c r="Y326" i="23"/>
  <c r="Z326" i="23"/>
  <c r="AA326" i="23"/>
  <c r="AB326" i="23"/>
  <c r="AC326" i="23"/>
  <c r="AD326" i="23"/>
  <c r="AE326" i="23"/>
  <c r="AF326" i="23"/>
  <c r="AG326" i="23"/>
  <c r="AH326" i="23"/>
  <c r="AI326" i="23"/>
  <c r="AJ326" i="23"/>
  <c r="AK326" i="23"/>
  <c r="AL326" i="23"/>
  <c r="AM326" i="23"/>
  <c r="AN326" i="23"/>
  <c r="AO326" i="23"/>
  <c r="AP326" i="23"/>
  <c r="AQ326" i="23"/>
  <c r="AR326" i="23"/>
  <c r="AS326" i="23"/>
  <c r="AT326" i="23"/>
  <c r="AU326" i="23"/>
  <c r="AV326" i="23"/>
  <c r="AW326" i="23"/>
  <c r="AX326" i="23"/>
  <c r="AY326" i="23"/>
  <c r="AZ326" i="23"/>
  <c r="BA326" i="23"/>
  <c r="BB326" i="23"/>
  <c r="BC326" i="23"/>
  <c r="BD326" i="23"/>
  <c r="BE326" i="23"/>
  <c r="BF326" i="23"/>
  <c r="BG326" i="23"/>
  <c r="BH326" i="23"/>
  <c r="BI326" i="23"/>
  <c r="BJ326" i="23"/>
  <c r="BK326" i="23"/>
  <c r="BL326" i="23"/>
  <c r="BM326" i="23"/>
  <c r="BN326" i="23"/>
  <c r="BO326" i="23"/>
  <c r="BP326" i="23"/>
  <c r="BQ326" i="23"/>
  <c r="BR326" i="23"/>
  <c r="BS326" i="23"/>
  <c r="BT326" i="23"/>
  <c r="B327" i="23"/>
  <c r="C327" i="23"/>
  <c r="D327" i="23"/>
  <c r="E327" i="23"/>
  <c r="F327" i="23"/>
  <c r="G327" i="23"/>
  <c r="H327" i="23"/>
  <c r="I327" i="23"/>
  <c r="J327" i="23"/>
  <c r="K327" i="23"/>
  <c r="L327" i="23"/>
  <c r="M327" i="23"/>
  <c r="N327" i="23"/>
  <c r="O327" i="23"/>
  <c r="P327" i="23"/>
  <c r="Q327" i="23"/>
  <c r="R327" i="23"/>
  <c r="S327" i="23"/>
  <c r="T327" i="23"/>
  <c r="U327" i="23"/>
  <c r="V327" i="23"/>
  <c r="W327" i="23"/>
  <c r="X327" i="23"/>
  <c r="Y327" i="23"/>
  <c r="Z327" i="23"/>
  <c r="AA327" i="23"/>
  <c r="AB327" i="23"/>
  <c r="AC327" i="23"/>
  <c r="AD327" i="23"/>
  <c r="AE327" i="23"/>
  <c r="AF327" i="23"/>
  <c r="AG327" i="23"/>
  <c r="AH327" i="23"/>
  <c r="AI327" i="23"/>
  <c r="AJ327" i="23"/>
  <c r="AK327" i="23"/>
  <c r="AL327" i="23"/>
  <c r="AM327" i="23"/>
  <c r="AN327" i="23"/>
  <c r="AO327" i="23"/>
  <c r="AP327" i="23"/>
  <c r="AQ327" i="23"/>
  <c r="AR327" i="23"/>
  <c r="AS327" i="23"/>
  <c r="AT327" i="23"/>
  <c r="AU327" i="23"/>
  <c r="AV327" i="23"/>
  <c r="AW327" i="23"/>
  <c r="AX327" i="23"/>
  <c r="AY327" i="23"/>
  <c r="AZ327" i="23"/>
  <c r="BA327" i="23"/>
  <c r="BB327" i="23"/>
  <c r="BC327" i="23"/>
  <c r="BD327" i="23"/>
  <c r="BE327" i="23"/>
  <c r="BF327" i="23"/>
  <c r="BG327" i="23"/>
  <c r="BH327" i="23"/>
  <c r="BI327" i="23"/>
  <c r="BJ327" i="23"/>
  <c r="BK327" i="23"/>
  <c r="BL327" i="23"/>
  <c r="BM327" i="23"/>
  <c r="BN327" i="23"/>
  <c r="BO327" i="23"/>
  <c r="BP327" i="23"/>
  <c r="BQ327" i="23"/>
  <c r="BR327" i="23"/>
  <c r="BS327" i="23"/>
  <c r="BT327" i="23"/>
  <c r="B328" i="23"/>
  <c r="C328" i="23"/>
  <c r="D328" i="23"/>
  <c r="E328" i="23"/>
  <c r="F328" i="23"/>
  <c r="G328" i="23"/>
  <c r="H328" i="23"/>
  <c r="I328" i="23"/>
  <c r="J328" i="23"/>
  <c r="K328" i="23"/>
  <c r="L328" i="23"/>
  <c r="M328" i="23"/>
  <c r="N328" i="23"/>
  <c r="O328" i="23"/>
  <c r="P328" i="23"/>
  <c r="Q328" i="23"/>
  <c r="R328" i="23"/>
  <c r="S328" i="23"/>
  <c r="T328" i="23"/>
  <c r="U328" i="23"/>
  <c r="V328" i="23"/>
  <c r="W328" i="23"/>
  <c r="X328" i="23"/>
  <c r="Y328" i="23"/>
  <c r="Z328" i="23"/>
  <c r="AA328" i="23"/>
  <c r="AB328" i="23"/>
  <c r="AC328" i="23"/>
  <c r="AD328" i="23"/>
  <c r="AE328" i="23"/>
  <c r="AF328" i="23"/>
  <c r="AG328" i="23"/>
  <c r="AH328" i="23"/>
  <c r="AI328" i="23"/>
  <c r="AJ328" i="23"/>
  <c r="AK328" i="23"/>
  <c r="AL328" i="23"/>
  <c r="AM328" i="23"/>
  <c r="AN328" i="23"/>
  <c r="AO328" i="23"/>
  <c r="AP328" i="23"/>
  <c r="AQ328" i="23"/>
  <c r="AR328" i="23"/>
  <c r="AS328" i="23"/>
  <c r="AT328" i="23"/>
  <c r="AU328" i="23"/>
  <c r="AV328" i="23"/>
  <c r="AW328" i="23"/>
  <c r="AX328" i="23"/>
  <c r="AY328" i="23"/>
  <c r="AZ328" i="23"/>
  <c r="BA328" i="23"/>
  <c r="BB328" i="23"/>
  <c r="BC328" i="23"/>
  <c r="BD328" i="23"/>
  <c r="BE328" i="23"/>
  <c r="BF328" i="23"/>
  <c r="BG328" i="23"/>
  <c r="BH328" i="23"/>
  <c r="BI328" i="23"/>
  <c r="BJ328" i="23"/>
  <c r="BK328" i="23"/>
  <c r="BL328" i="23"/>
  <c r="BM328" i="23"/>
  <c r="BN328" i="23"/>
  <c r="BO328" i="23"/>
  <c r="BP328" i="23"/>
  <c r="BQ328" i="23"/>
  <c r="BR328" i="23"/>
  <c r="BS328" i="23"/>
  <c r="BT328" i="23"/>
  <c r="B329" i="23"/>
  <c r="C329" i="23"/>
  <c r="D329" i="23"/>
  <c r="E329" i="23"/>
  <c r="F329" i="23"/>
  <c r="G329" i="23"/>
  <c r="H329" i="23"/>
  <c r="I329" i="23"/>
  <c r="J329" i="23"/>
  <c r="K329" i="23"/>
  <c r="L329" i="23"/>
  <c r="M329" i="23"/>
  <c r="N329" i="23"/>
  <c r="O329" i="23"/>
  <c r="P329" i="23"/>
  <c r="Q329" i="23"/>
  <c r="R329" i="23"/>
  <c r="S329" i="23"/>
  <c r="T329" i="23"/>
  <c r="U329" i="23"/>
  <c r="V329" i="23"/>
  <c r="W329" i="23"/>
  <c r="X329" i="23"/>
  <c r="Y329" i="23"/>
  <c r="Z329" i="23"/>
  <c r="AA329" i="23"/>
  <c r="AB329" i="23"/>
  <c r="AC329" i="23"/>
  <c r="AD329" i="23"/>
  <c r="AE329" i="23"/>
  <c r="AF329" i="23"/>
  <c r="AG329" i="23"/>
  <c r="AH329" i="23"/>
  <c r="AI329" i="23"/>
  <c r="AJ329" i="23"/>
  <c r="AK329" i="23"/>
  <c r="AL329" i="23"/>
  <c r="AM329" i="23"/>
  <c r="AN329" i="23"/>
  <c r="AO329" i="23"/>
  <c r="AP329" i="23"/>
  <c r="AQ329" i="23"/>
  <c r="AR329" i="23"/>
  <c r="AS329" i="23"/>
  <c r="AT329" i="23"/>
  <c r="AU329" i="23"/>
  <c r="AV329" i="23"/>
  <c r="AW329" i="23"/>
  <c r="AX329" i="23"/>
  <c r="AY329" i="23"/>
  <c r="AZ329" i="23"/>
  <c r="BA329" i="23"/>
  <c r="BB329" i="23"/>
  <c r="BC329" i="23"/>
  <c r="BD329" i="23"/>
  <c r="BE329" i="23"/>
  <c r="BF329" i="23"/>
  <c r="BG329" i="23"/>
  <c r="BH329" i="23"/>
  <c r="BI329" i="23"/>
  <c r="BJ329" i="23"/>
  <c r="BK329" i="23"/>
  <c r="BL329" i="23"/>
  <c r="BM329" i="23"/>
  <c r="BN329" i="23"/>
  <c r="BO329" i="23"/>
  <c r="BP329" i="23"/>
  <c r="BQ329" i="23"/>
  <c r="BR329" i="23"/>
  <c r="BS329" i="23"/>
  <c r="BT329" i="23"/>
  <c r="B330" i="23"/>
  <c r="C330" i="23"/>
  <c r="D330" i="23"/>
  <c r="E330" i="23"/>
  <c r="F330" i="23"/>
  <c r="G330" i="23"/>
  <c r="H330" i="23"/>
  <c r="I330" i="23"/>
  <c r="J330" i="23"/>
  <c r="K330" i="23"/>
  <c r="L330" i="23"/>
  <c r="M330" i="23"/>
  <c r="N330" i="23"/>
  <c r="O330" i="23"/>
  <c r="P330" i="23"/>
  <c r="Q330" i="23"/>
  <c r="R330" i="23"/>
  <c r="S330" i="23"/>
  <c r="T330" i="23"/>
  <c r="U330" i="23"/>
  <c r="V330" i="23"/>
  <c r="W330" i="23"/>
  <c r="X330" i="23"/>
  <c r="Y330" i="23"/>
  <c r="Z330" i="23"/>
  <c r="AA330" i="23"/>
  <c r="AB330" i="23"/>
  <c r="AC330" i="23"/>
  <c r="AD330" i="23"/>
  <c r="AE330" i="23"/>
  <c r="AF330" i="23"/>
  <c r="AG330" i="23"/>
  <c r="AH330" i="23"/>
  <c r="AI330" i="23"/>
  <c r="AJ330" i="23"/>
  <c r="AK330" i="23"/>
  <c r="AL330" i="23"/>
  <c r="AM330" i="23"/>
  <c r="AN330" i="23"/>
  <c r="AO330" i="23"/>
  <c r="AP330" i="23"/>
  <c r="AQ330" i="23"/>
  <c r="AR330" i="23"/>
  <c r="AS330" i="23"/>
  <c r="AT330" i="23"/>
  <c r="AU330" i="23"/>
  <c r="AV330" i="23"/>
  <c r="AW330" i="23"/>
  <c r="AX330" i="23"/>
  <c r="AY330" i="23"/>
  <c r="AZ330" i="23"/>
  <c r="BA330" i="23"/>
  <c r="BB330" i="23"/>
  <c r="BC330" i="23"/>
  <c r="BD330" i="23"/>
  <c r="BE330" i="23"/>
  <c r="BF330" i="23"/>
  <c r="BG330" i="23"/>
  <c r="BH330" i="23"/>
  <c r="BI330" i="23"/>
  <c r="BJ330" i="23"/>
  <c r="BK330" i="23"/>
  <c r="BL330" i="23"/>
  <c r="BM330" i="23"/>
  <c r="BN330" i="23"/>
  <c r="BO330" i="23"/>
  <c r="BP330" i="23"/>
  <c r="BQ330" i="23"/>
  <c r="BR330" i="23"/>
  <c r="BS330" i="23"/>
  <c r="BT330" i="23"/>
  <c r="B331" i="23"/>
  <c r="C331" i="23"/>
  <c r="D331" i="23"/>
  <c r="E331" i="23"/>
  <c r="F331" i="23"/>
  <c r="G331" i="23"/>
  <c r="H331" i="23"/>
  <c r="I331" i="23"/>
  <c r="J331" i="23"/>
  <c r="K331" i="23"/>
  <c r="L331" i="23"/>
  <c r="M331" i="23"/>
  <c r="N331" i="23"/>
  <c r="O331" i="23"/>
  <c r="P331" i="23"/>
  <c r="Q331" i="23"/>
  <c r="R331" i="23"/>
  <c r="S331" i="23"/>
  <c r="T331" i="23"/>
  <c r="U331" i="23"/>
  <c r="V331" i="23"/>
  <c r="W331" i="23"/>
  <c r="X331" i="23"/>
  <c r="Y331" i="23"/>
  <c r="Z331" i="23"/>
  <c r="AA331" i="23"/>
  <c r="AB331" i="23"/>
  <c r="AC331" i="23"/>
  <c r="AD331" i="23"/>
  <c r="AE331" i="23"/>
  <c r="AF331" i="23"/>
  <c r="AG331" i="23"/>
  <c r="AH331" i="23"/>
  <c r="AI331" i="23"/>
  <c r="AJ331" i="23"/>
  <c r="AK331" i="23"/>
  <c r="AL331" i="23"/>
  <c r="AM331" i="23"/>
  <c r="AN331" i="23"/>
  <c r="AO331" i="23"/>
  <c r="AP331" i="23"/>
  <c r="AQ331" i="23"/>
  <c r="AR331" i="23"/>
  <c r="AS331" i="23"/>
  <c r="AT331" i="23"/>
  <c r="AU331" i="23"/>
  <c r="AV331" i="23"/>
  <c r="AW331" i="23"/>
  <c r="AX331" i="23"/>
  <c r="AY331" i="23"/>
  <c r="AZ331" i="23"/>
  <c r="BA331" i="23"/>
  <c r="BB331" i="23"/>
  <c r="BC331" i="23"/>
  <c r="BD331" i="23"/>
  <c r="BE331" i="23"/>
  <c r="BF331" i="23"/>
  <c r="BG331" i="23"/>
  <c r="BH331" i="23"/>
  <c r="BI331" i="23"/>
  <c r="BJ331" i="23"/>
  <c r="BK331" i="23"/>
  <c r="BL331" i="23"/>
  <c r="BM331" i="23"/>
  <c r="BN331" i="23"/>
  <c r="BO331" i="23"/>
  <c r="BP331" i="23"/>
  <c r="BQ331" i="23"/>
  <c r="BR331" i="23"/>
  <c r="BS331" i="23"/>
  <c r="BT331" i="23"/>
  <c r="B332" i="23"/>
  <c r="C332" i="23"/>
  <c r="D332" i="23"/>
  <c r="E332" i="23"/>
  <c r="F332" i="23"/>
  <c r="G332" i="23"/>
  <c r="H332" i="23"/>
  <c r="I332" i="23"/>
  <c r="J332" i="23"/>
  <c r="K332" i="23"/>
  <c r="L332" i="23"/>
  <c r="M332" i="23"/>
  <c r="N332" i="23"/>
  <c r="O332" i="23"/>
  <c r="P332" i="23"/>
  <c r="Q332" i="23"/>
  <c r="R332" i="23"/>
  <c r="S332" i="23"/>
  <c r="T332" i="23"/>
  <c r="U332" i="23"/>
  <c r="V332" i="23"/>
  <c r="W332" i="23"/>
  <c r="X332" i="23"/>
  <c r="Y332" i="23"/>
  <c r="Z332" i="23"/>
  <c r="AA332" i="23"/>
  <c r="AB332" i="23"/>
  <c r="AC332" i="23"/>
  <c r="AD332" i="23"/>
  <c r="AE332" i="23"/>
  <c r="AF332" i="23"/>
  <c r="AG332" i="23"/>
  <c r="AH332" i="23"/>
  <c r="AI332" i="23"/>
  <c r="AJ332" i="23"/>
  <c r="AK332" i="23"/>
  <c r="AL332" i="23"/>
  <c r="AM332" i="23"/>
  <c r="AN332" i="23"/>
  <c r="AO332" i="23"/>
  <c r="AP332" i="23"/>
  <c r="AQ332" i="23"/>
  <c r="AR332" i="23"/>
  <c r="AS332" i="23"/>
  <c r="AT332" i="23"/>
  <c r="AU332" i="23"/>
  <c r="AV332" i="23"/>
  <c r="AW332" i="23"/>
  <c r="AX332" i="23"/>
  <c r="AY332" i="23"/>
  <c r="AZ332" i="23"/>
  <c r="BA332" i="23"/>
  <c r="BB332" i="23"/>
  <c r="BC332" i="23"/>
  <c r="BD332" i="23"/>
  <c r="BE332" i="23"/>
  <c r="BF332" i="23"/>
  <c r="BG332" i="23"/>
  <c r="BH332" i="23"/>
  <c r="BI332" i="23"/>
  <c r="BJ332" i="23"/>
  <c r="BK332" i="23"/>
  <c r="BL332" i="23"/>
  <c r="BM332" i="23"/>
  <c r="BN332" i="23"/>
  <c r="BO332" i="23"/>
  <c r="BP332" i="23"/>
  <c r="BQ332" i="23"/>
  <c r="BR332" i="23"/>
  <c r="BS332" i="23"/>
  <c r="BT332" i="23"/>
  <c r="B333" i="23"/>
  <c r="C333" i="23"/>
  <c r="D333" i="23"/>
  <c r="E333" i="23"/>
  <c r="F333" i="23"/>
  <c r="G333" i="23"/>
  <c r="H333" i="23"/>
  <c r="I333" i="23"/>
  <c r="J333" i="23"/>
  <c r="K333" i="23"/>
  <c r="L333" i="23"/>
  <c r="M333" i="23"/>
  <c r="N333" i="23"/>
  <c r="O333" i="23"/>
  <c r="P333" i="23"/>
  <c r="Q333" i="23"/>
  <c r="R333" i="23"/>
  <c r="S333" i="23"/>
  <c r="T333" i="23"/>
  <c r="U333" i="23"/>
  <c r="V333" i="23"/>
  <c r="W333" i="23"/>
  <c r="X333" i="23"/>
  <c r="Y333" i="23"/>
  <c r="Z333" i="23"/>
  <c r="AA333" i="23"/>
  <c r="AB333" i="23"/>
  <c r="AC333" i="23"/>
  <c r="AD333" i="23"/>
  <c r="AE333" i="23"/>
  <c r="AF333" i="23"/>
  <c r="AG333" i="23"/>
  <c r="AH333" i="23"/>
  <c r="AI333" i="23"/>
  <c r="AJ333" i="23"/>
  <c r="AK333" i="23"/>
  <c r="AL333" i="23"/>
  <c r="AM333" i="23"/>
  <c r="AN333" i="23"/>
  <c r="AO333" i="23"/>
  <c r="AP333" i="23"/>
  <c r="AQ333" i="23"/>
  <c r="AR333" i="23"/>
  <c r="AS333" i="23"/>
  <c r="AT333" i="23"/>
  <c r="AU333" i="23"/>
  <c r="AV333" i="23"/>
  <c r="AW333" i="23"/>
  <c r="AX333" i="23"/>
  <c r="AY333" i="23"/>
  <c r="AZ333" i="23"/>
  <c r="BA333" i="23"/>
  <c r="BB333" i="23"/>
  <c r="BC333" i="23"/>
  <c r="BD333" i="23"/>
  <c r="BE333" i="23"/>
  <c r="BF333" i="23"/>
  <c r="BG333" i="23"/>
  <c r="BH333" i="23"/>
  <c r="BI333" i="23"/>
  <c r="BJ333" i="23"/>
  <c r="BK333" i="23"/>
  <c r="BL333" i="23"/>
  <c r="BM333" i="23"/>
  <c r="BN333" i="23"/>
  <c r="BO333" i="23"/>
  <c r="BP333" i="23"/>
  <c r="BQ333" i="23"/>
  <c r="BR333" i="23"/>
  <c r="BS333" i="23"/>
  <c r="BT333" i="23"/>
  <c r="B334" i="23"/>
  <c r="C334" i="23"/>
  <c r="D334" i="23"/>
  <c r="E334" i="23"/>
  <c r="F334" i="23"/>
  <c r="G334" i="23"/>
  <c r="H334" i="23"/>
  <c r="I334" i="23"/>
  <c r="J334" i="23"/>
  <c r="K334" i="23"/>
  <c r="L334" i="23"/>
  <c r="M334" i="23"/>
  <c r="N334" i="23"/>
  <c r="O334" i="23"/>
  <c r="P334" i="23"/>
  <c r="Q334" i="23"/>
  <c r="R334" i="23"/>
  <c r="S334" i="23"/>
  <c r="T334" i="23"/>
  <c r="U334" i="23"/>
  <c r="V334" i="23"/>
  <c r="W334" i="23"/>
  <c r="X334" i="23"/>
  <c r="Y334" i="23"/>
  <c r="Z334" i="23"/>
  <c r="AA334" i="23"/>
  <c r="AB334" i="23"/>
  <c r="AC334" i="23"/>
  <c r="AD334" i="23"/>
  <c r="AE334" i="23"/>
  <c r="AF334" i="23"/>
  <c r="AG334" i="23"/>
  <c r="AH334" i="23"/>
  <c r="AI334" i="23"/>
  <c r="AJ334" i="23"/>
  <c r="AK334" i="23"/>
  <c r="AL334" i="23"/>
  <c r="AM334" i="23"/>
  <c r="AN334" i="23"/>
  <c r="AO334" i="23"/>
  <c r="AP334" i="23"/>
  <c r="AQ334" i="23"/>
  <c r="AR334" i="23"/>
  <c r="AS334" i="23"/>
  <c r="AT334" i="23"/>
  <c r="AU334" i="23"/>
  <c r="AV334" i="23"/>
  <c r="AW334" i="23"/>
  <c r="AX334" i="23"/>
  <c r="AY334" i="23"/>
  <c r="AZ334" i="23"/>
  <c r="BA334" i="23"/>
  <c r="BB334" i="23"/>
  <c r="BC334" i="23"/>
  <c r="BD334" i="23"/>
  <c r="BE334" i="23"/>
  <c r="BF334" i="23"/>
  <c r="BG334" i="23"/>
  <c r="BH334" i="23"/>
  <c r="BI334" i="23"/>
  <c r="BJ334" i="23"/>
  <c r="BK334" i="23"/>
  <c r="BL334" i="23"/>
  <c r="BM334" i="23"/>
  <c r="BN334" i="23"/>
  <c r="BO334" i="23"/>
  <c r="BP334" i="23"/>
  <c r="BQ334" i="23"/>
  <c r="BR334" i="23"/>
  <c r="BS334" i="23"/>
  <c r="BT334" i="23"/>
  <c r="B335" i="23"/>
  <c r="C335" i="23"/>
  <c r="D335" i="23"/>
  <c r="E335" i="23"/>
  <c r="F335" i="23"/>
  <c r="G335" i="23"/>
  <c r="H335" i="23"/>
  <c r="I335" i="23"/>
  <c r="J335" i="23"/>
  <c r="K335" i="23"/>
  <c r="L335" i="23"/>
  <c r="M335" i="23"/>
  <c r="N335" i="23"/>
  <c r="O335" i="23"/>
  <c r="P335" i="23"/>
  <c r="Q335" i="23"/>
  <c r="R335" i="23"/>
  <c r="S335" i="23"/>
  <c r="T335" i="23"/>
  <c r="U335" i="23"/>
  <c r="V335" i="23"/>
  <c r="W335" i="23"/>
  <c r="X335" i="23"/>
  <c r="Y335" i="23"/>
  <c r="Z335" i="23"/>
  <c r="AA335" i="23"/>
  <c r="AB335" i="23"/>
  <c r="AC335" i="23"/>
  <c r="AD335" i="23"/>
  <c r="AE335" i="23"/>
  <c r="AF335" i="23"/>
  <c r="AG335" i="23"/>
  <c r="AH335" i="23"/>
  <c r="AI335" i="23"/>
  <c r="AJ335" i="23"/>
  <c r="AK335" i="23"/>
  <c r="AL335" i="23"/>
  <c r="AM335" i="23"/>
  <c r="AN335" i="23"/>
  <c r="AO335" i="23"/>
  <c r="AP335" i="23"/>
  <c r="AQ335" i="23"/>
  <c r="AR335" i="23"/>
  <c r="AS335" i="23"/>
  <c r="AT335" i="23"/>
  <c r="AU335" i="23"/>
  <c r="AV335" i="23"/>
  <c r="AW335" i="23"/>
  <c r="AX335" i="23"/>
  <c r="AY335" i="23"/>
  <c r="AZ335" i="23"/>
  <c r="BA335" i="23"/>
  <c r="BB335" i="23"/>
  <c r="BC335" i="23"/>
  <c r="BD335" i="23"/>
  <c r="BE335" i="23"/>
  <c r="BF335" i="23"/>
  <c r="BG335" i="23"/>
  <c r="BH335" i="23"/>
  <c r="BI335" i="23"/>
  <c r="BJ335" i="23"/>
  <c r="BK335" i="23"/>
  <c r="BL335" i="23"/>
  <c r="BM335" i="23"/>
  <c r="BN335" i="23"/>
  <c r="BO335" i="23"/>
  <c r="BP335" i="23"/>
  <c r="BQ335" i="23"/>
  <c r="BR335" i="23"/>
  <c r="BS335" i="23"/>
  <c r="BT335" i="23"/>
  <c r="B336" i="23"/>
  <c r="C336" i="23"/>
  <c r="D336" i="23"/>
  <c r="E336" i="23"/>
  <c r="F336" i="23"/>
  <c r="G336" i="23"/>
  <c r="H336" i="23"/>
  <c r="I336" i="23"/>
  <c r="J336" i="23"/>
  <c r="K336" i="23"/>
  <c r="L336" i="23"/>
  <c r="M336" i="23"/>
  <c r="N336" i="23"/>
  <c r="O336" i="23"/>
  <c r="P336" i="23"/>
  <c r="Q336" i="23"/>
  <c r="R336" i="23"/>
  <c r="S336" i="23"/>
  <c r="T336" i="23"/>
  <c r="U336" i="23"/>
  <c r="V336" i="23"/>
  <c r="W336" i="23"/>
  <c r="X336" i="23"/>
  <c r="Y336" i="23"/>
  <c r="Z336" i="23"/>
  <c r="AA336" i="23"/>
  <c r="AB336" i="23"/>
  <c r="AC336" i="23"/>
  <c r="AD336" i="23"/>
  <c r="AE336" i="23"/>
  <c r="AF336" i="23"/>
  <c r="AG336" i="23"/>
  <c r="AH336" i="23"/>
  <c r="AI336" i="23"/>
  <c r="AJ336" i="23"/>
  <c r="AK336" i="23"/>
  <c r="AL336" i="23"/>
  <c r="AM336" i="23"/>
  <c r="AN336" i="23"/>
  <c r="AO336" i="23"/>
  <c r="AP336" i="23"/>
  <c r="AQ336" i="23"/>
  <c r="AR336" i="23"/>
  <c r="AS336" i="23"/>
  <c r="AT336" i="23"/>
  <c r="AU336" i="23"/>
  <c r="AV336" i="23"/>
  <c r="AW336" i="23"/>
  <c r="AX336" i="23"/>
  <c r="AY336" i="23"/>
  <c r="AZ336" i="23"/>
  <c r="BA336" i="23"/>
  <c r="BB336" i="23"/>
  <c r="BC336" i="23"/>
  <c r="BD336" i="23"/>
  <c r="BE336" i="23"/>
  <c r="BF336" i="23"/>
  <c r="BG336" i="23"/>
  <c r="BH336" i="23"/>
  <c r="BI336" i="23"/>
  <c r="BJ336" i="23"/>
  <c r="BK336" i="23"/>
  <c r="BL336" i="23"/>
  <c r="BM336" i="23"/>
  <c r="BN336" i="23"/>
  <c r="BO336" i="23"/>
  <c r="BP336" i="23"/>
  <c r="BQ336" i="23"/>
  <c r="BR336" i="23"/>
  <c r="BS336" i="23"/>
  <c r="BT336" i="23"/>
  <c r="B337" i="23"/>
  <c r="C337" i="23"/>
  <c r="D337" i="23"/>
  <c r="E337" i="23"/>
  <c r="F337" i="23"/>
  <c r="G337" i="23"/>
  <c r="H337" i="23"/>
  <c r="I337" i="23"/>
  <c r="J337" i="23"/>
  <c r="K337" i="23"/>
  <c r="L337" i="23"/>
  <c r="M337" i="23"/>
  <c r="N337" i="23"/>
  <c r="O337" i="23"/>
  <c r="P337" i="23"/>
  <c r="Q337" i="23"/>
  <c r="R337" i="23"/>
  <c r="S337" i="23"/>
  <c r="T337" i="23"/>
  <c r="U337" i="23"/>
  <c r="V337" i="23"/>
  <c r="W337" i="23"/>
  <c r="X337" i="23"/>
  <c r="Y337" i="23"/>
  <c r="Z337" i="23"/>
  <c r="AA337" i="23"/>
  <c r="AB337" i="23"/>
  <c r="AC337" i="23"/>
  <c r="AD337" i="23"/>
  <c r="AE337" i="23"/>
  <c r="AF337" i="23"/>
  <c r="AG337" i="23"/>
  <c r="AH337" i="23"/>
  <c r="AI337" i="23"/>
  <c r="AJ337" i="23"/>
  <c r="AK337" i="23"/>
  <c r="AL337" i="23"/>
  <c r="AM337" i="23"/>
  <c r="AN337" i="23"/>
  <c r="AO337" i="23"/>
  <c r="AP337" i="23"/>
  <c r="AQ337" i="23"/>
  <c r="AR337" i="23"/>
  <c r="AS337" i="23"/>
  <c r="AT337" i="23"/>
  <c r="AU337" i="23"/>
  <c r="AV337" i="23"/>
  <c r="AW337" i="23"/>
  <c r="AX337" i="23"/>
  <c r="AY337" i="23"/>
  <c r="AZ337" i="23"/>
  <c r="BA337" i="23"/>
  <c r="BB337" i="23"/>
  <c r="BC337" i="23"/>
  <c r="BD337" i="23"/>
  <c r="BE337" i="23"/>
  <c r="BF337" i="23"/>
  <c r="BG337" i="23"/>
  <c r="BH337" i="23"/>
  <c r="BI337" i="23"/>
  <c r="BJ337" i="23"/>
  <c r="BK337" i="23"/>
  <c r="BL337" i="23"/>
  <c r="BM337" i="23"/>
  <c r="BN337" i="23"/>
  <c r="BO337" i="23"/>
  <c r="BP337" i="23"/>
  <c r="BQ337" i="23"/>
  <c r="BR337" i="23"/>
  <c r="BS337" i="23"/>
  <c r="BT337" i="23"/>
  <c r="B338" i="23"/>
  <c r="C338" i="23"/>
  <c r="D338" i="23"/>
  <c r="E338" i="23"/>
  <c r="F338" i="23"/>
  <c r="G338" i="23"/>
  <c r="H338" i="23"/>
  <c r="I338" i="23"/>
  <c r="J338" i="23"/>
  <c r="K338" i="23"/>
  <c r="L338" i="23"/>
  <c r="M338" i="23"/>
  <c r="N338" i="23"/>
  <c r="O338" i="23"/>
  <c r="P338" i="23"/>
  <c r="Q338" i="23"/>
  <c r="R338" i="23"/>
  <c r="S338" i="23"/>
  <c r="T338" i="23"/>
  <c r="U338" i="23"/>
  <c r="V338" i="23"/>
  <c r="W338" i="23"/>
  <c r="X338" i="23"/>
  <c r="Y338" i="23"/>
  <c r="Z338" i="23"/>
  <c r="AA338" i="23"/>
  <c r="AB338" i="23"/>
  <c r="AC338" i="23"/>
  <c r="AD338" i="23"/>
  <c r="AE338" i="23"/>
  <c r="AF338" i="23"/>
  <c r="AG338" i="23"/>
  <c r="AH338" i="23"/>
  <c r="AI338" i="23"/>
  <c r="AJ338" i="23"/>
  <c r="AK338" i="23"/>
  <c r="AL338" i="23"/>
  <c r="AM338" i="23"/>
  <c r="AN338" i="23"/>
  <c r="AO338" i="23"/>
  <c r="AP338" i="23"/>
  <c r="AQ338" i="23"/>
  <c r="AR338" i="23"/>
  <c r="AS338" i="23"/>
  <c r="AT338" i="23"/>
  <c r="AU338" i="23"/>
  <c r="AV338" i="23"/>
  <c r="AW338" i="23"/>
  <c r="AX338" i="23"/>
  <c r="AY338" i="23"/>
  <c r="AZ338" i="23"/>
  <c r="BA338" i="23"/>
  <c r="BB338" i="23"/>
  <c r="BC338" i="23"/>
  <c r="BD338" i="23"/>
  <c r="BE338" i="23"/>
  <c r="BF338" i="23"/>
  <c r="BG338" i="23"/>
  <c r="BH338" i="23"/>
  <c r="BI338" i="23"/>
  <c r="BJ338" i="23"/>
  <c r="BK338" i="23"/>
  <c r="BL338" i="23"/>
  <c r="BM338" i="23"/>
  <c r="BN338" i="23"/>
  <c r="BO338" i="23"/>
  <c r="BP338" i="23"/>
  <c r="BQ338" i="23"/>
  <c r="BR338" i="23"/>
  <c r="BS338" i="23"/>
  <c r="BT338" i="23"/>
  <c r="B339" i="23"/>
  <c r="C339" i="23"/>
  <c r="D339" i="23"/>
  <c r="E339" i="23"/>
  <c r="F339" i="23"/>
  <c r="G339" i="23"/>
  <c r="H339" i="23"/>
  <c r="I339" i="23"/>
  <c r="J339" i="23"/>
  <c r="K339" i="23"/>
  <c r="L339" i="23"/>
  <c r="M339" i="23"/>
  <c r="N339" i="23"/>
  <c r="O339" i="23"/>
  <c r="P339" i="23"/>
  <c r="Q339" i="23"/>
  <c r="R339" i="23"/>
  <c r="S339" i="23"/>
  <c r="T339" i="23"/>
  <c r="U339" i="23"/>
  <c r="V339" i="23"/>
  <c r="W339" i="23"/>
  <c r="X339" i="23"/>
  <c r="Y339" i="23"/>
  <c r="Z339" i="23"/>
  <c r="AA339" i="23"/>
  <c r="AB339" i="23"/>
  <c r="AC339" i="23"/>
  <c r="AD339" i="23"/>
  <c r="AE339" i="23"/>
  <c r="AF339" i="23"/>
  <c r="AG339" i="23"/>
  <c r="AH339" i="23"/>
  <c r="AI339" i="23"/>
  <c r="AJ339" i="23"/>
  <c r="AK339" i="23"/>
  <c r="AL339" i="23"/>
  <c r="AM339" i="23"/>
  <c r="AN339" i="23"/>
  <c r="AO339" i="23"/>
  <c r="AP339" i="23"/>
  <c r="AQ339" i="23"/>
  <c r="AR339" i="23"/>
  <c r="AS339" i="23"/>
  <c r="AT339" i="23"/>
  <c r="AU339" i="23"/>
  <c r="AV339" i="23"/>
  <c r="AW339" i="23"/>
  <c r="AX339" i="23"/>
  <c r="AY339" i="23"/>
  <c r="AZ339" i="23"/>
  <c r="BA339" i="23"/>
  <c r="BB339" i="23"/>
  <c r="BC339" i="23"/>
  <c r="BD339" i="23"/>
  <c r="BE339" i="23"/>
  <c r="BF339" i="23"/>
  <c r="BG339" i="23"/>
  <c r="BH339" i="23"/>
  <c r="BI339" i="23"/>
  <c r="BJ339" i="23"/>
  <c r="BK339" i="23"/>
  <c r="BL339" i="23"/>
  <c r="BM339" i="23"/>
  <c r="BN339" i="23"/>
  <c r="BO339" i="23"/>
  <c r="BP339" i="23"/>
  <c r="BQ339" i="23"/>
  <c r="BR339" i="23"/>
  <c r="BS339" i="23"/>
  <c r="BT339" i="23"/>
  <c r="B340" i="23"/>
  <c r="C340" i="23"/>
  <c r="D340" i="23"/>
  <c r="E340" i="23"/>
  <c r="F340" i="23"/>
  <c r="G340" i="23"/>
  <c r="H340" i="23"/>
  <c r="I340" i="23"/>
  <c r="J340" i="23"/>
  <c r="K340" i="23"/>
  <c r="L340" i="23"/>
  <c r="M340" i="23"/>
  <c r="N340" i="23"/>
  <c r="O340" i="23"/>
  <c r="P340" i="23"/>
  <c r="Q340" i="23"/>
  <c r="R340" i="23"/>
  <c r="S340" i="23"/>
  <c r="T340" i="23"/>
  <c r="U340" i="23"/>
  <c r="V340" i="23"/>
  <c r="W340" i="23"/>
  <c r="X340" i="23"/>
  <c r="Y340" i="23"/>
  <c r="Z340" i="23"/>
  <c r="AA340" i="23"/>
  <c r="AB340" i="23"/>
  <c r="AC340" i="23"/>
  <c r="AD340" i="23"/>
  <c r="AE340" i="23"/>
  <c r="AF340" i="23"/>
  <c r="AG340" i="23"/>
  <c r="AH340" i="23"/>
  <c r="AI340" i="23"/>
  <c r="AJ340" i="23"/>
  <c r="AK340" i="23"/>
  <c r="AL340" i="23"/>
  <c r="AM340" i="23"/>
  <c r="AN340" i="23"/>
  <c r="AO340" i="23"/>
  <c r="AP340" i="23"/>
  <c r="AQ340" i="23"/>
  <c r="AR340" i="23"/>
  <c r="AS340" i="23"/>
  <c r="AT340" i="23"/>
  <c r="AU340" i="23"/>
  <c r="AV340" i="23"/>
  <c r="AW340" i="23"/>
  <c r="AX340" i="23"/>
  <c r="AY340" i="23"/>
  <c r="AZ340" i="23"/>
  <c r="BA340" i="23"/>
  <c r="BB340" i="23"/>
  <c r="BC340" i="23"/>
  <c r="BD340" i="23"/>
  <c r="BE340" i="23"/>
  <c r="BF340" i="23"/>
  <c r="BG340" i="23"/>
  <c r="BH340" i="23"/>
  <c r="BI340" i="23"/>
  <c r="BJ340" i="23"/>
  <c r="BK340" i="23"/>
  <c r="BL340" i="23"/>
  <c r="BM340" i="23"/>
  <c r="BN340" i="23"/>
  <c r="BO340" i="23"/>
  <c r="BP340" i="23"/>
  <c r="BQ340" i="23"/>
  <c r="BR340" i="23"/>
  <c r="BS340" i="23"/>
  <c r="BT340" i="23"/>
  <c r="B341" i="23"/>
  <c r="C341" i="23"/>
  <c r="D341" i="23"/>
  <c r="E341" i="23"/>
  <c r="F341" i="23"/>
  <c r="G341" i="23"/>
  <c r="H341" i="23"/>
  <c r="I341" i="23"/>
  <c r="J341" i="23"/>
  <c r="K341" i="23"/>
  <c r="L341" i="23"/>
  <c r="M341" i="23"/>
  <c r="N341" i="23"/>
  <c r="O341" i="23"/>
  <c r="P341" i="23"/>
  <c r="Q341" i="23"/>
  <c r="R341" i="23"/>
  <c r="S341" i="23"/>
  <c r="T341" i="23"/>
  <c r="U341" i="23"/>
  <c r="V341" i="23"/>
  <c r="W341" i="23"/>
  <c r="X341" i="23"/>
  <c r="Y341" i="23"/>
  <c r="Z341" i="23"/>
  <c r="AA341" i="23"/>
  <c r="AB341" i="23"/>
  <c r="AC341" i="23"/>
  <c r="AD341" i="23"/>
  <c r="AE341" i="23"/>
  <c r="AF341" i="23"/>
  <c r="AG341" i="23"/>
  <c r="AH341" i="23"/>
  <c r="AI341" i="23"/>
  <c r="AJ341" i="23"/>
  <c r="AK341" i="23"/>
  <c r="AL341" i="23"/>
  <c r="AM341" i="23"/>
  <c r="AN341" i="23"/>
  <c r="AO341" i="23"/>
  <c r="AP341" i="23"/>
  <c r="AQ341" i="23"/>
  <c r="AR341" i="23"/>
  <c r="AS341" i="23"/>
  <c r="AT341" i="23"/>
  <c r="AU341" i="23"/>
  <c r="AV341" i="23"/>
  <c r="AW341" i="23"/>
  <c r="AX341" i="23"/>
  <c r="AY341" i="23"/>
  <c r="AZ341" i="23"/>
  <c r="BA341" i="23"/>
  <c r="BB341" i="23"/>
  <c r="BC341" i="23"/>
  <c r="BD341" i="23"/>
  <c r="BE341" i="23"/>
  <c r="BF341" i="23"/>
  <c r="BG341" i="23"/>
  <c r="BH341" i="23"/>
  <c r="BI341" i="23"/>
  <c r="BJ341" i="23"/>
  <c r="BK341" i="23"/>
  <c r="BL341" i="23"/>
  <c r="BM341" i="23"/>
  <c r="BN341" i="23"/>
  <c r="BO341" i="23"/>
  <c r="BP341" i="23"/>
  <c r="BQ341" i="23"/>
  <c r="BR341" i="23"/>
  <c r="BS341" i="23"/>
  <c r="BT341" i="23"/>
  <c r="B342" i="23"/>
  <c r="C342" i="23"/>
  <c r="D342" i="23"/>
  <c r="E342" i="23"/>
  <c r="F342" i="23"/>
  <c r="G342" i="23"/>
  <c r="H342" i="23"/>
  <c r="I342" i="23"/>
  <c r="J342" i="23"/>
  <c r="K342" i="23"/>
  <c r="L342" i="23"/>
  <c r="M342" i="23"/>
  <c r="N342" i="23"/>
  <c r="O342" i="23"/>
  <c r="P342" i="23"/>
  <c r="Q342" i="23"/>
  <c r="R342" i="23"/>
  <c r="S342" i="23"/>
  <c r="T342" i="23"/>
  <c r="U342" i="23"/>
  <c r="V342" i="23"/>
  <c r="W342" i="23"/>
  <c r="X342" i="23"/>
  <c r="Y342" i="23"/>
  <c r="Z342" i="23"/>
  <c r="AA342" i="23"/>
  <c r="AB342" i="23"/>
  <c r="AC342" i="23"/>
  <c r="AD342" i="23"/>
  <c r="AE342" i="23"/>
  <c r="AF342" i="23"/>
  <c r="AG342" i="23"/>
  <c r="AH342" i="23"/>
  <c r="AI342" i="23"/>
  <c r="AJ342" i="23"/>
  <c r="AK342" i="23"/>
  <c r="AL342" i="23"/>
  <c r="AM342" i="23"/>
  <c r="AN342" i="23"/>
  <c r="AO342" i="23"/>
  <c r="AP342" i="23"/>
  <c r="AQ342" i="23"/>
  <c r="AR342" i="23"/>
  <c r="AS342" i="23"/>
  <c r="AT342" i="23"/>
  <c r="AU342" i="23"/>
  <c r="AV342" i="23"/>
  <c r="AW342" i="23"/>
  <c r="AX342" i="23"/>
  <c r="AY342" i="23"/>
  <c r="AZ342" i="23"/>
  <c r="BA342" i="23"/>
  <c r="BB342" i="23"/>
  <c r="BC342" i="23"/>
  <c r="BD342" i="23"/>
  <c r="BE342" i="23"/>
  <c r="BF342" i="23"/>
  <c r="BG342" i="23"/>
  <c r="BH342" i="23"/>
  <c r="BI342" i="23"/>
  <c r="BJ342" i="23"/>
  <c r="BK342" i="23"/>
  <c r="BL342" i="23"/>
  <c r="BM342" i="23"/>
  <c r="BN342" i="23"/>
  <c r="BO342" i="23"/>
  <c r="BP342" i="23"/>
  <c r="BQ342" i="23"/>
  <c r="BR342" i="23"/>
  <c r="BS342" i="23"/>
  <c r="BT342" i="23"/>
  <c r="B343" i="23"/>
  <c r="C343" i="23"/>
  <c r="D343" i="23"/>
  <c r="E343" i="23"/>
  <c r="F343" i="23"/>
  <c r="G343" i="23"/>
  <c r="H343" i="23"/>
  <c r="I343" i="23"/>
  <c r="J343" i="23"/>
  <c r="K343" i="23"/>
  <c r="L343" i="23"/>
  <c r="M343" i="23"/>
  <c r="N343" i="23"/>
  <c r="O343" i="23"/>
  <c r="P343" i="23"/>
  <c r="Q343" i="23"/>
  <c r="R343" i="23"/>
  <c r="S343" i="23"/>
  <c r="T343" i="23"/>
  <c r="U343" i="23"/>
  <c r="V343" i="23"/>
  <c r="W343" i="23"/>
  <c r="X343" i="23"/>
  <c r="Y343" i="23"/>
  <c r="Z343" i="23"/>
  <c r="AA343" i="23"/>
  <c r="AB343" i="23"/>
  <c r="AC343" i="23"/>
  <c r="AD343" i="23"/>
  <c r="AE343" i="23"/>
  <c r="AF343" i="23"/>
  <c r="AG343" i="23"/>
  <c r="AH343" i="23"/>
  <c r="AI343" i="23"/>
  <c r="AJ343" i="23"/>
  <c r="AK343" i="23"/>
  <c r="AL343" i="23"/>
  <c r="AM343" i="23"/>
  <c r="AN343" i="23"/>
  <c r="AO343" i="23"/>
  <c r="AP343" i="23"/>
  <c r="AQ343" i="23"/>
  <c r="AR343" i="23"/>
  <c r="AS343" i="23"/>
  <c r="AT343" i="23"/>
  <c r="AU343" i="23"/>
  <c r="AV343" i="23"/>
  <c r="AW343" i="23"/>
  <c r="AX343" i="23"/>
  <c r="AY343" i="23"/>
  <c r="AZ343" i="23"/>
  <c r="BA343" i="23"/>
  <c r="BB343" i="23"/>
  <c r="BC343" i="23"/>
  <c r="BD343" i="23"/>
  <c r="BE343" i="23"/>
  <c r="BF343" i="23"/>
  <c r="BG343" i="23"/>
  <c r="BH343" i="23"/>
  <c r="BI343" i="23"/>
  <c r="BJ343" i="23"/>
  <c r="BK343" i="23"/>
  <c r="BL343" i="23"/>
  <c r="BM343" i="23"/>
  <c r="BN343" i="23"/>
  <c r="BO343" i="23"/>
  <c r="BP343" i="23"/>
  <c r="BQ343" i="23"/>
  <c r="BR343" i="23"/>
  <c r="BS343" i="23"/>
  <c r="BT343" i="23"/>
  <c r="B344" i="23"/>
  <c r="C344" i="23"/>
  <c r="D344" i="23"/>
  <c r="E344" i="23"/>
  <c r="F344" i="23"/>
  <c r="G344" i="23"/>
  <c r="H344" i="23"/>
  <c r="I344" i="23"/>
  <c r="J344" i="23"/>
  <c r="K344" i="23"/>
  <c r="L344" i="23"/>
  <c r="M344" i="23"/>
  <c r="N344" i="23"/>
  <c r="O344" i="23"/>
  <c r="P344" i="23"/>
  <c r="Q344" i="23"/>
  <c r="R344" i="23"/>
  <c r="S344" i="23"/>
  <c r="T344" i="23"/>
  <c r="U344" i="23"/>
  <c r="V344" i="23"/>
  <c r="W344" i="23"/>
  <c r="X344" i="23"/>
  <c r="Y344" i="23"/>
  <c r="Z344" i="23"/>
  <c r="AA344" i="23"/>
  <c r="AB344" i="23"/>
  <c r="AC344" i="23"/>
  <c r="AD344" i="23"/>
  <c r="AE344" i="23"/>
  <c r="AF344" i="23"/>
  <c r="AG344" i="23"/>
  <c r="AH344" i="23"/>
  <c r="AI344" i="23"/>
  <c r="AJ344" i="23"/>
  <c r="AK344" i="23"/>
  <c r="AL344" i="23"/>
  <c r="AM344" i="23"/>
  <c r="AN344" i="23"/>
  <c r="AO344" i="23"/>
  <c r="AP344" i="23"/>
  <c r="AQ344" i="23"/>
  <c r="AR344" i="23"/>
  <c r="AS344" i="23"/>
  <c r="AT344" i="23"/>
  <c r="AU344" i="23"/>
  <c r="AV344" i="23"/>
  <c r="AW344" i="23"/>
  <c r="AX344" i="23"/>
  <c r="AY344" i="23"/>
  <c r="AZ344" i="23"/>
  <c r="BA344" i="23"/>
  <c r="BB344" i="23"/>
  <c r="BC344" i="23"/>
  <c r="BD344" i="23"/>
  <c r="BE344" i="23"/>
  <c r="BF344" i="23"/>
  <c r="BG344" i="23"/>
  <c r="BH344" i="23"/>
  <c r="BI344" i="23"/>
  <c r="BJ344" i="23"/>
  <c r="BK344" i="23"/>
  <c r="BL344" i="23"/>
  <c r="BM344" i="23"/>
  <c r="BN344" i="23"/>
  <c r="BO344" i="23"/>
  <c r="BP344" i="23"/>
  <c r="BQ344" i="23"/>
  <c r="BR344" i="23"/>
  <c r="BS344" i="23"/>
  <c r="BT344" i="23"/>
  <c r="B345" i="23"/>
  <c r="C345" i="23"/>
  <c r="D345" i="23"/>
  <c r="E345" i="23"/>
  <c r="F345" i="23"/>
  <c r="G345" i="23"/>
  <c r="H345" i="23"/>
  <c r="I345" i="23"/>
  <c r="J345" i="23"/>
  <c r="K345" i="23"/>
  <c r="L345" i="23"/>
  <c r="M345" i="23"/>
  <c r="N345" i="23"/>
  <c r="O345" i="23"/>
  <c r="P345" i="23"/>
  <c r="Q345" i="23"/>
  <c r="R345" i="23"/>
  <c r="S345" i="23"/>
  <c r="T345" i="23"/>
  <c r="U345" i="23"/>
  <c r="V345" i="23"/>
  <c r="W345" i="23"/>
  <c r="X345" i="23"/>
  <c r="Y345" i="23"/>
  <c r="Z345" i="23"/>
  <c r="AA345" i="23"/>
  <c r="AB345" i="23"/>
  <c r="AC345" i="23"/>
  <c r="AD345" i="23"/>
  <c r="AE345" i="23"/>
  <c r="AF345" i="23"/>
  <c r="AG345" i="23"/>
  <c r="AH345" i="23"/>
  <c r="AI345" i="23"/>
  <c r="AJ345" i="23"/>
  <c r="AK345" i="23"/>
  <c r="AL345" i="23"/>
  <c r="AM345" i="23"/>
  <c r="AN345" i="23"/>
  <c r="AO345" i="23"/>
  <c r="AP345" i="23"/>
  <c r="AQ345" i="23"/>
  <c r="AR345" i="23"/>
  <c r="AS345" i="23"/>
  <c r="AT345" i="23"/>
  <c r="AU345" i="23"/>
  <c r="AV345" i="23"/>
  <c r="AW345" i="23"/>
  <c r="AX345" i="23"/>
  <c r="AY345" i="23"/>
  <c r="AZ345" i="23"/>
  <c r="BA345" i="23"/>
  <c r="BB345" i="23"/>
  <c r="BC345" i="23"/>
  <c r="BD345" i="23"/>
  <c r="BE345" i="23"/>
  <c r="BF345" i="23"/>
  <c r="BG345" i="23"/>
  <c r="BH345" i="23"/>
  <c r="BI345" i="23"/>
  <c r="BJ345" i="23"/>
  <c r="BK345" i="23"/>
  <c r="BL345" i="23"/>
  <c r="BM345" i="23"/>
  <c r="BN345" i="23"/>
  <c r="BO345" i="23"/>
  <c r="BP345" i="23"/>
  <c r="BQ345" i="23"/>
  <c r="BR345" i="23"/>
  <c r="BS345" i="23"/>
  <c r="BT345" i="23"/>
  <c r="B346" i="23"/>
  <c r="C346" i="23"/>
  <c r="D346" i="23"/>
  <c r="E346" i="23"/>
  <c r="F346" i="23"/>
  <c r="G346" i="23"/>
  <c r="H346" i="23"/>
  <c r="I346" i="23"/>
  <c r="J346" i="23"/>
  <c r="K346" i="23"/>
  <c r="L346" i="23"/>
  <c r="M346" i="23"/>
  <c r="N346" i="23"/>
  <c r="O346" i="23"/>
  <c r="P346" i="23"/>
  <c r="Q346" i="23"/>
  <c r="R346" i="23"/>
  <c r="S346" i="23"/>
  <c r="T346" i="23"/>
  <c r="U346" i="23"/>
  <c r="V346" i="23"/>
  <c r="W346" i="23"/>
  <c r="X346" i="23"/>
  <c r="Y346" i="23"/>
  <c r="Z346" i="23"/>
  <c r="AA346" i="23"/>
  <c r="AB346" i="23"/>
  <c r="AC346" i="23"/>
  <c r="AD346" i="23"/>
  <c r="AE346" i="23"/>
  <c r="AF346" i="23"/>
  <c r="AG346" i="23"/>
  <c r="AH346" i="23"/>
  <c r="AI346" i="23"/>
  <c r="AJ346" i="23"/>
  <c r="AK346" i="23"/>
  <c r="AL346" i="23"/>
  <c r="AM346" i="23"/>
  <c r="AN346" i="23"/>
  <c r="AO346" i="23"/>
  <c r="AP346" i="23"/>
  <c r="AQ346" i="23"/>
  <c r="AR346" i="23"/>
  <c r="AS346" i="23"/>
  <c r="AT346" i="23"/>
  <c r="AU346" i="23"/>
  <c r="AV346" i="23"/>
  <c r="AW346" i="23"/>
  <c r="AX346" i="23"/>
  <c r="AY346" i="23"/>
  <c r="AZ346" i="23"/>
  <c r="BA346" i="23"/>
  <c r="BB346" i="23"/>
  <c r="BC346" i="23"/>
  <c r="BD346" i="23"/>
  <c r="BE346" i="23"/>
  <c r="BF346" i="23"/>
  <c r="BG346" i="23"/>
  <c r="BH346" i="23"/>
  <c r="BI346" i="23"/>
  <c r="BJ346" i="23"/>
  <c r="BK346" i="23"/>
  <c r="BL346" i="23"/>
  <c r="BM346" i="23"/>
  <c r="BN346" i="23"/>
  <c r="BO346" i="23"/>
  <c r="BP346" i="23"/>
  <c r="BQ346" i="23"/>
  <c r="BR346" i="23"/>
  <c r="BS346" i="23"/>
  <c r="BT346" i="23"/>
  <c r="B347" i="23"/>
  <c r="C347" i="23"/>
  <c r="D347" i="23"/>
  <c r="E347" i="23"/>
  <c r="F347" i="23"/>
  <c r="G347" i="23"/>
  <c r="H347" i="23"/>
  <c r="I347" i="23"/>
  <c r="J347" i="23"/>
  <c r="K347" i="23"/>
  <c r="L347" i="23"/>
  <c r="M347" i="23"/>
  <c r="N347" i="23"/>
  <c r="O347" i="23"/>
  <c r="P347" i="23"/>
  <c r="Q347" i="23"/>
  <c r="R347" i="23"/>
  <c r="S347" i="23"/>
  <c r="T347" i="23"/>
  <c r="U347" i="23"/>
  <c r="V347" i="23"/>
  <c r="W347" i="23"/>
  <c r="X347" i="23"/>
  <c r="Y347" i="23"/>
  <c r="Z347" i="23"/>
  <c r="AA347" i="23"/>
  <c r="AB347" i="23"/>
  <c r="AC347" i="23"/>
  <c r="AD347" i="23"/>
  <c r="AE347" i="23"/>
  <c r="AF347" i="23"/>
  <c r="AG347" i="23"/>
  <c r="AH347" i="23"/>
  <c r="AI347" i="23"/>
  <c r="AJ347" i="23"/>
  <c r="AK347" i="23"/>
  <c r="AL347" i="23"/>
  <c r="AM347" i="23"/>
  <c r="AN347" i="23"/>
  <c r="AO347" i="23"/>
  <c r="AP347" i="23"/>
  <c r="AQ347" i="23"/>
  <c r="AR347" i="23"/>
  <c r="AS347" i="23"/>
  <c r="AT347" i="23"/>
  <c r="AU347" i="23"/>
  <c r="AV347" i="23"/>
  <c r="AW347" i="23"/>
  <c r="AX347" i="23"/>
  <c r="AY347" i="23"/>
  <c r="AZ347" i="23"/>
  <c r="BA347" i="23"/>
  <c r="BB347" i="23"/>
  <c r="BC347" i="23"/>
  <c r="BD347" i="23"/>
  <c r="BE347" i="23"/>
  <c r="BF347" i="23"/>
  <c r="BG347" i="23"/>
  <c r="BH347" i="23"/>
  <c r="BI347" i="23"/>
  <c r="BJ347" i="23"/>
  <c r="BK347" i="23"/>
  <c r="BL347" i="23"/>
  <c r="BM347" i="23"/>
  <c r="BN347" i="23"/>
  <c r="BO347" i="23"/>
  <c r="BP347" i="23"/>
  <c r="BQ347" i="23"/>
  <c r="BR347" i="23"/>
  <c r="BS347" i="23"/>
  <c r="BT347" i="23"/>
  <c r="B348" i="23"/>
  <c r="C348" i="23"/>
  <c r="D348" i="23"/>
  <c r="E348" i="23"/>
  <c r="F348" i="23"/>
  <c r="G348" i="23"/>
  <c r="H348" i="23"/>
  <c r="I348" i="23"/>
  <c r="J348" i="23"/>
  <c r="K348" i="23"/>
  <c r="L348" i="23"/>
  <c r="M348" i="23"/>
  <c r="N348" i="23"/>
  <c r="O348" i="23"/>
  <c r="P348" i="23"/>
  <c r="Q348" i="23"/>
  <c r="R348" i="23"/>
  <c r="S348" i="23"/>
  <c r="T348" i="23"/>
  <c r="U348" i="23"/>
  <c r="V348" i="23"/>
  <c r="W348" i="23"/>
  <c r="X348" i="23"/>
  <c r="Y348" i="23"/>
  <c r="Z348" i="23"/>
  <c r="AA348" i="23"/>
  <c r="AB348" i="23"/>
  <c r="AC348" i="23"/>
  <c r="AD348" i="23"/>
  <c r="AE348" i="23"/>
  <c r="AF348" i="23"/>
  <c r="AG348" i="23"/>
  <c r="AH348" i="23"/>
  <c r="AI348" i="23"/>
  <c r="AJ348" i="23"/>
  <c r="AK348" i="23"/>
  <c r="AL348" i="23"/>
  <c r="AM348" i="23"/>
  <c r="AN348" i="23"/>
  <c r="AO348" i="23"/>
  <c r="AP348" i="23"/>
  <c r="AQ348" i="23"/>
  <c r="AR348" i="23"/>
  <c r="AS348" i="23"/>
  <c r="AT348" i="23"/>
  <c r="AU348" i="23"/>
  <c r="AV348" i="23"/>
  <c r="AW348" i="23"/>
  <c r="AX348" i="23"/>
  <c r="AY348" i="23"/>
  <c r="AZ348" i="23"/>
  <c r="BA348" i="23"/>
  <c r="BB348" i="23"/>
  <c r="BC348" i="23"/>
  <c r="BD348" i="23"/>
  <c r="BE348" i="23"/>
  <c r="BF348" i="23"/>
  <c r="BG348" i="23"/>
  <c r="BH348" i="23"/>
  <c r="BI348" i="23"/>
  <c r="BJ348" i="23"/>
  <c r="BK348" i="23"/>
  <c r="BL348" i="23"/>
  <c r="BM348" i="23"/>
  <c r="BN348" i="23"/>
  <c r="BO348" i="23"/>
  <c r="BP348" i="23"/>
  <c r="BQ348" i="23"/>
  <c r="BR348" i="23"/>
  <c r="BS348" i="23"/>
  <c r="BT348" i="23"/>
  <c r="B349" i="23"/>
  <c r="C349" i="23"/>
  <c r="D349" i="23"/>
  <c r="E349" i="23"/>
  <c r="F349" i="23"/>
  <c r="G349" i="23"/>
  <c r="H349" i="23"/>
  <c r="I349" i="23"/>
  <c r="J349" i="23"/>
  <c r="K349" i="23"/>
  <c r="L349" i="23"/>
  <c r="M349" i="23"/>
  <c r="N349" i="23"/>
  <c r="O349" i="23"/>
  <c r="P349" i="23"/>
  <c r="Q349" i="23"/>
  <c r="R349" i="23"/>
  <c r="S349" i="23"/>
  <c r="T349" i="23"/>
  <c r="U349" i="23"/>
  <c r="V349" i="23"/>
  <c r="W349" i="23"/>
  <c r="X349" i="23"/>
  <c r="Y349" i="23"/>
  <c r="Z349" i="23"/>
  <c r="AA349" i="23"/>
  <c r="AB349" i="23"/>
  <c r="AC349" i="23"/>
  <c r="AD349" i="23"/>
  <c r="AE349" i="23"/>
  <c r="AF349" i="23"/>
  <c r="AG349" i="23"/>
  <c r="AH349" i="23"/>
  <c r="AI349" i="23"/>
  <c r="AJ349" i="23"/>
  <c r="AK349" i="23"/>
  <c r="AL349" i="23"/>
  <c r="AM349" i="23"/>
  <c r="AN349" i="23"/>
  <c r="AO349" i="23"/>
  <c r="AP349" i="23"/>
  <c r="AQ349" i="23"/>
  <c r="AR349" i="23"/>
  <c r="AS349" i="23"/>
  <c r="AT349" i="23"/>
  <c r="AU349" i="23"/>
  <c r="AV349" i="23"/>
  <c r="AW349" i="23"/>
  <c r="AX349" i="23"/>
  <c r="AY349" i="23"/>
  <c r="AZ349" i="23"/>
  <c r="BA349" i="23"/>
  <c r="BB349" i="23"/>
  <c r="BC349" i="23"/>
  <c r="BD349" i="23"/>
  <c r="BE349" i="23"/>
  <c r="BF349" i="23"/>
  <c r="BG349" i="23"/>
  <c r="BH349" i="23"/>
  <c r="BI349" i="23"/>
  <c r="BJ349" i="23"/>
  <c r="BK349" i="23"/>
  <c r="BL349" i="23"/>
  <c r="BM349" i="23"/>
  <c r="BN349" i="23"/>
  <c r="BO349" i="23"/>
  <c r="BP349" i="23"/>
  <c r="BQ349" i="23"/>
  <c r="BR349" i="23"/>
  <c r="BS349" i="23"/>
  <c r="BT349" i="23"/>
  <c r="B350" i="23"/>
  <c r="C350" i="23"/>
  <c r="D350" i="23"/>
  <c r="E350" i="23"/>
  <c r="F350" i="23"/>
  <c r="G350" i="23"/>
  <c r="H350" i="23"/>
  <c r="I350" i="23"/>
  <c r="J350" i="23"/>
  <c r="K350" i="23"/>
  <c r="L350" i="23"/>
  <c r="M350" i="23"/>
  <c r="N350" i="23"/>
  <c r="O350" i="23"/>
  <c r="P350" i="23"/>
  <c r="Q350" i="23"/>
  <c r="R350" i="23"/>
  <c r="S350" i="23"/>
  <c r="T350" i="23"/>
  <c r="U350" i="23"/>
  <c r="V350" i="23"/>
  <c r="W350" i="23"/>
  <c r="X350" i="23"/>
  <c r="Y350" i="23"/>
  <c r="Z350" i="23"/>
  <c r="AA350" i="23"/>
  <c r="AB350" i="23"/>
  <c r="AC350" i="23"/>
  <c r="AD350" i="23"/>
  <c r="AE350" i="23"/>
  <c r="AF350" i="23"/>
  <c r="AG350" i="23"/>
  <c r="AH350" i="23"/>
  <c r="AI350" i="23"/>
  <c r="AJ350" i="23"/>
  <c r="AK350" i="23"/>
  <c r="AL350" i="23"/>
  <c r="AM350" i="23"/>
  <c r="AN350" i="23"/>
  <c r="AO350" i="23"/>
  <c r="AP350" i="23"/>
  <c r="AQ350" i="23"/>
  <c r="AR350" i="23"/>
  <c r="AS350" i="23"/>
  <c r="AT350" i="23"/>
  <c r="AU350" i="23"/>
  <c r="AV350" i="23"/>
  <c r="AW350" i="23"/>
  <c r="AX350" i="23"/>
  <c r="AY350" i="23"/>
  <c r="AZ350" i="23"/>
  <c r="BA350" i="23"/>
  <c r="BB350" i="23"/>
  <c r="BC350" i="23"/>
  <c r="BD350" i="23"/>
  <c r="BE350" i="23"/>
  <c r="BF350" i="23"/>
  <c r="BG350" i="23"/>
  <c r="BH350" i="23"/>
  <c r="BI350" i="23"/>
  <c r="BJ350" i="23"/>
  <c r="BK350" i="23"/>
  <c r="BL350" i="23"/>
  <c r="BM350" i="23"/>
  <c r="BN350" i="23"/>
  <c r="BO350" i="23"/>
  <c r="BP350" i="23"/>
  <c r="BQ350" i="23"/>
  <c r="BR350" i="23"/>
  <c r="BS350" i="23"/>
  <c r="BT350" i="23"/>
  <c r="B351" i="23"/>
  <c r="C351" i="23"/>
  <c r="D351" i="23"/>
  <c r="E351" i="23"/>
  <c r="F351" i="23"/>
  <c r="G351" i="23"/>
  <c r="H351" i="23"/>
  <c r="I351" i="23"/>
  <c r="J351" i="23"/>
  <c r="K351" i="23"/>
  <c r="L351" i="23"/>
  <c r="M351" i="23"/>
  <c r="N351" i="23"/>
  <c r="O351" i="23"/>
  <c r="P351" i="23"/>
  <c r="Q351" i="23"/>
  <c r="R351" i="23"/>
  <c r="S351" i="23"/>
  <c r="T351" i="23"/>
  <c r="U351" i="23"/>
  <c r="V351" i="23"/>
  <c r="W351" i="23"/>
  <c r="X351" i="23"/>
  <c r="Y351" i="23"/>
  <c r="Z351" i="23"/>
  <c r="AA351" i="23"/>
  <c r="AB351" i="23"/>
  <c r="AC351" i="23"/>
  <c r="AD351" i="23"/>
  <c r="AE351" i="23"/>
  <c r="AF351" i="23"/>
  <c r="AG351" i="23"/>
  <c r="AH351" i="23"/>
  <c r="AI351" i="23"/>
  <c r="AJ351" i="23"/>
  <c r="AK351" i="23"/>
  <c r="AL351" i="23"/>
  <c r="AM351" i="23"/>
  <c r="AN351" i="23"/>
  <c r="AO351" i="23"/>
  <c r="AP351" i="23"/>
  <c r="AQ351" i="23"/>
  <c r="AR351" i="23"/>
  <c r="AS351" i="23"/>
  <c r="AT351" i="23"/>
  <c r="AU351" i="23"/>
  <c r="AV351" i="23"/>
  <c r="AW351" i="23"/>
  <c r="AX351" i="23"/>
  <c r="AY351" i="23"/>
  <c r="AZ351" i="23"/>
  <c r="BA351" i="23"/>
  <c r="BB351" i="23"/>
  <c r="BC351" i="23"/>
  <c r="BD351" i="23"/>
  <c r="BE351" i="23"/>
  <c r="BF351" i="23"/>
  <c r="BG351" i="23"/>
  <c r="BH351" i="23"/>
  <c r="BI351" i="23"/>
  <c r="BJ351" i="23"/>
  <c r="BK351" i="23"/>
  <c r="BL351" i="23"/>
  <c r="BM351" i="23"/>
  <c r="BN351" i="23"/>
  <c r="BO351" i="23"/>
  <c r="BP351" i="23"/>
  <c r="BQ351" i="23"/>
  <c r="BR351" i="23"/>
  <c r="BS351" i="23"/>
  <c r="BT351" i="23"/>
  <c r="B352" i="23"/>
  <c r="C352" i="23"/>
  <c r="D352" i="23"/>
  <c r="E352" i="23"/>
  <c r="F352" i="23"/>
  <c r="G352" i="23"/>
  <c r="H352" i="23"/>
  <c r="I352" i="23"/>
  <c r="J352" i="23"/>
  <c r="K352" i="23"/>
  <c r="L352" i="23"/>
  <c r="M352" i="23"/>
  <c r="N352" i="23"/>
  <c r="O352" i="23"/>
  <c r="P352" i="23"/>
  <c r="Q352" i="23"/>
  <c r="R352" i="23"/>
  <c r="S352" i="23"/>
  <c r="T352" i="23"/>
  <c r="U352" i="23"/>
  <c r="V352" i="23"/>
  <c r="W352" i="23"/>
  <c r="X352" i="23"/>
  <c r="Y352" i="23"/>
  <c r="Z352" i="23"/>
  <c r="AA352" i="23"/>
  <c r="AB352" i="23"/>
  <c r="AC352" i="23"/>
  <c r="AD352" i="23"/>
  <c r="AE352" i="23"/>
  <c r="AF352" i="23"/>
  <c r="AG352" i="23"/>
  <c r="AH352" i="23"/>
  <c r="AI352" i="23"/>
  <c r="AJ352" i="23"/>
  <c r="AK352" i="23"/>
  <c r="AL352" i="23"/>
  <c r="AM352" i="23"/>
  <c r="AN352" i="23"/>
  <c r="AO352" i="23"/>
  <c r="AP352" i="23"/>
  <c r="AQ352" i="23"/>
  <c r="AR352" i="23"/>
  <c r="AS352" i="23"/>
  <c r="AT352" i="23"/>
  <c r="AU352" i="23"/>
  <c r="AV352" i="23"/>
  <c r="AW352" i="23"/>
  <c r="AX352" i="23"/>
  <c r="AY352" i="23"/>
  <c r="AZ352" i="23"/>
  <c r="BA352" i="23"/>
  <c r="BB352" i="23"/>
  <c r="BC352" i="23"/>
  <c r="BD352" i="23"/>
  <c r="BE352" i="23"/>
  <c r="BF352" i="23"/>
  <c r="BG352" i="23"/>
  <c r="BH352" i="23"/>
  <c r="BI352" i="23"/>
  <c r="BJ352" i="23"/>
  <c r="BK352" i="23"/>
  <c r="BL352" i="23"/>
  <c r="BM352" i="23"/>
  <c r="BN352" i="23"/>
  <c r="BO352" i="23"/>
  <c r="BP352" i="23"/>
  <c r="BQ352" i="23"/>
  <c r="BR352" i="23"/>
  <c r="BS352" i="23"/>
  <c r="BT352" i="23"/>
  <c r="B353" i="23"/>
  <c r="C353" i="23"/>
  <c r="D353" i="23"/>
  <c r="E353" i="23"/>
  <c r="F353" i="23"/>
  <c r="G353" i="23"/>
  <c r="H353" i="23"/>
  <c r="I353" i="23"/>
  <c r="J353" i="23"/>
  <c r="K353" i="23"/>
  <c r="L353" i="23"/>
  <c r="M353" i="23"/>
  <c r="N353" i="23"/>
  <c r="O353" i="23"/>
  <c r="P353" i="23"/>
  <c r="Q353" i="23"/>
  <c r="R353" i="23"/>
  <c r="S353" i="23"/>
  <c r="T353" i="23"/>
  <c r="U353" i="23"/>
  <c r="V353" i="23"/>
  <c r="W353" i="23"/>
  <c r="X353" i="23"/>
  <c r="Y353" i="23"/>
  <c r="Z353" i="23"/>
  <c r="AA353" i="23"/>
  <c r="AB353" i="23"/>
  <c r="AC353" i="23"/>
  <c r="AD353" i="23"/>
  <c r="AE353" i="23"/>
  <c r="AF353" i="23"/>
  <c r="AG353" i="23"/>
  <c r="AH353" i="23"/>
  <c r="AI353" i="23"/>
  <c r="AJ353" i="23"/>
  <c r="AK353" i="23"/>
  <c r="AL353" i="23"/>
  <c r="AM353" i="23"/>
  <c r="AN353" i="23"/>
  <c r="AO353" i="23"/>
  <c r="AP353" i="23"/>
  <c r="AQ353" i="23"/>
  <c r="AR353" i="23"/>
  <c r="AS353" i="23"/>
  <c r="AT353" i="23"/>
  <c r="AU353" i="23"/>
  <c r="AV353" i="23"/>
  <c r="AW353" i="23"/>
  <c r="AX353" i="23"/>
  <c r="AY353" i="23"/>
  <c r="AZ353" i="23"/>
  <c r="BA353" i="23"/>
  <c r="BB353" i="23"/>
  <c r="BC353" i="23"/>
  <c r="BD353" i="23"/>
  <c r="BE353" i="23"/>
  <c r="BF353" i="23"/>
  <c r="BG353" i="23"/>
  <c r="BH353" i="23"/>
  <c r="BI353" i="23"/>
  <c r="BJ353" i="23"/>
  <c r="BK353" i="23"/>
  <c r="BL353" i="23"/>
  <c r="BM353" i="23"/>
  <c r="BN353" i="23"/>
  <c r="BO353" i="23"/>
  <c r="BP353" i="23"/>
  <c r="BQ353" i="23"/>
  <c r="BR353" i="23"/>
  <c r="BS353" i="23"/>
  <c r="BT353" i="23"/>
  <c r="B354" i="23"/>
  <c r="C354" i="23"/>
  <c r="D354" i="23"/>
  <c r="E354" i="23"/>
  <c r="F354" i="23"/>
  <c r="G354" i="23"/>
  <c r="H354" i="23"/>
  <c r="I354" i="23"/>
  <c r="J354" i="23"/>
  <c r="K354" i="23"/>
  <c r="L354" i="23"/>
  <c r="M354" i="23"/>
  <c r="N354" i="23"/>
  <c r="O354" i="23"/>
  <c r="P354" i="23"/>
  <c r="Q354" i="23"/>
  <c r="R354" i="23"/>
  <c r="S354" i="23"/>
  <c r="T354" i="23"/>
  <c r="U354" i="23"/>
  <c r="V354" i="23"/>
  <c r="W354" i="23"/>
  <c r="X354" i="23"/>
  <c r="Y354" i="23"/>
  <c r="Z354" i="23"/>
  <c r="AA354" i="23"/>
  <c r="AB354" i="23"/>
  <c r="AC354" i="23"/>
  <c r="AD354" i="23"/>
  <c r="AE354" i="23"/>
  <c r="AF354" i="23"/>
  <c r="AG354" i="23"/>
  <c r="AH354" i="23"/>
  <c r="AI354" i="23"/>
  <c r="AJ354" i="23"/>
  <c r="AK354" i="23"/>
  <c r="AL354" i="23"/>
  <c r="AM354" i="23"/>
  <c r="AN354" i="23"/>
  <c r="AO354" i="23"/>
  <c r="AP354" i="23"/>
  <c r="AQ354" i="23"/>
  <c r="AR354" i="23"/>
  <c r="AS354" i="23"/>
  <c r="AT354" i="23"/>
  <c r="AU354" i="23"/>
  <c r="AV354" i="23"/>
  <c r="AW354" i="23"/>
  <c r="AX354" i="23"/>
  <c r="AY354" i="23"/>
  <c r="AZ354" i="23"/>
  <c r="BA354" i="23"/>
  <c r="BB354" i="23"/>
  <c r="BC354" i="23"/>
  <c r="BD354" i="23"/>
  <c r="BE354" i="23"/>
  <c r="BF354" i="23"/>
  <c r="BG354" i="23"/>
  <c r="BH354" i="23"/>
  <c r="BI354" i="23"/>
  <c r="BJ354" i="23"/>
  <c r="BK354" i="23"/>
  <c r="BL354" i="23"/>
  <c r="BM354" i="23"/>
  <c r="BN354" i="23"/>
  <c r="BO354" i="23"/>
  <c r="BP354" i="23"/>
  <c r="BQ354" i="23"/>
  <c r="BR354" i="23"/>
  <c r="BS354" i="23"/>
  <c r="BT354" i="23"/>
  <c r="B355" i="23"/>
  <c r="C355" i="23"/>
  <c r="D355" i="23"/>
  <c r="E355" i="23"/>
  <c r="F355" i="23"/>
  <c r="G355" i="23"/>
  <c r="H355" i="23"/>
  <c r="I355" i="23"/>
  <c r="J355" i="23"/>
  <c r="K355" i="23"/>
  <c r="L355" i="23"/>
  <c r="M355" i="23"/>
  <c r="N355" i="23"/>
  <c r="O355" i="23"/>
  <c r="P355" i="23"/>
  <c r="Q355" i="23"/>
  <c r="R355" i="23"/>
  <c r="S355" i="23"/>
  <c r="T355" i="23"/>
  <c r="U355" i="23"/>
  <c r="V355" i="23"/>
  <c r="W355" i="23"/>
  <c r="X355" i="23"/>
  <c r="Y355" i="23"/>
  <c r="Z355" i="23"/>
  <c r="AA355" i="23"/>
  <c r="AB355" i="23"/>
  <c r="AC355" i="23"/>
  <c r="AD355" i="23"/>
  <c r="AE355" i="23"/>
  <c r="AF355" i="23"/>
  <c r="AG355" i="23"/>
  <c r="AH355" i="23"/>
  <c r="AI355" i="23"/>
  <c r="AJ355" i="23"/>
  <c r="AK355" i="23"/>
  <c r="AL355" i="23"/>
  <c r="AM355" i="23"/>
  <c r="AN355" i="23"/>
  <c r="AO355" i="23"/>
  <c r="AP355" i="23"/>
  <c r="AQ355" i="23"/>
  <c r="AR355" i="23"/>
  <c r="AS355" i="23"/>
  <c r="AT355" i="23"/>
  <c r="AU355" i="23"/>
  <c r="AV355" i="23"/>
  <c r="AW355" i="23"/>
  <c r="AX355" i="23"/>
  <c r="AY355" i="23"/>
  <c r="AZ355" i="23"/>
  <c r="BA355" i="23"/>
  <c r="BB355" i="23"/>
  <c r="BC355" i="23"/>
  <c r="BD355" i="23"/>
  <c r="BE355" i="23"/>
  <c r="BF355" i="23"/>
  <c r="BG355" i="23"/>
  <c r="BH355" i="23"/>
  <c r="BI355" i="23"/>
  <c r="BJ355" i="23"/>
  <c r="BK355" i="23"/>
  <c r="BL355" i="23"/>
  <c r="BM355" i="23"/>
  <c r="BN355" i="23"/>
  <c r="BO355" i="23"/>
  <c r="BP355" i="23"/>
  <c r="BQ355" i="23"/>
  <c r="BR355" i="23"/>
  <c r="BS355" i="23"/>
  <c r="BT355" i="23"/>
  <c r="B356" i="23"/>
  <c r="C356" i="23"/>
  <c r="D356" i="23"/>
  <c r="E356" i="23"/>
  <c r="F356" i="23"/>
  <c r="G356" i="23"/>
  <c r="H356" i="23"/>
  <c r="I356" i="23"/>
  <c r="J356" i="23"/>
  <c r="K356" i="23"/>
  <c r="L356" i="23"/>
  <c r="M356" i="23"/>
  <c r="N356" i="23"/>
  <c r="O356" i="23"/>
  <c r="P356" i="23"/>
  <c r="Q356" i="23"/>
  <c r="R356" i="23"/>
  <c r="S356" i="23"/>
  <c r="T356" i="23"/>
  <c r="U356" i="23"/>
  <c r="V356" i="23"/>
  <c r="W356" i="23"/>
  <c r="X356" i="23"/>
  <c r="Y356" i="23"/>
  <c r="Z356" i="23"/>
  <c r="AA356" i="23"/>
  <c r="AB356" i="23"/>
  <c r="AC356" i="23"/>
  <c r="AD356" i="23"/>
  <c r="AE356" i="23"/>
  <c r="AF356" i="23"/>
  <c r="AG356" i="23"/>
  <c r="AH356" i="23"/>
  <c r="AI356" i="23"/>
  <c r="AJ356" i="23"/>
  <c r="AK356" i="23"/>
  <c r="AL356" i="23"/>
  <c r="AM356" i="23"/>
  <c r="AN356" i="23"/>
  <c r="AO356" i="23"/>
  <c r="AP356" i="23"/>
  <c r="AQ356" i="23"/>
  <c r="AR356" i="23"/>
  <c r="AS356" i="23"/>
  <c r="AT356" i="23"/>
  <c r="AU356" i="23"/>
  <c r="AV356" i="23"/>
  <c r="AW356" i="23"/>
  <c r="AX356" i="23"/>
  <c r="AY356" i="23"/>
  <c r="AZ356" i="23"/>
  <c r="BA356" i="23"/>
  <c r="BB356" i="23"/>
  <c r="BC356" i="23"/>
  <c r="BD356" i="23"/>
  <c r="BE356" i="23"/>
  <c r="BF356" i="23"/>
  <c r="BG356" i="23"/>
  <c r="BH356" i="23"/>
  <c r="BI356" i="23"/>
  <c r="BJ356" i="23"/>
  <c r="BK356" i="23"/>
  <c r="BL356" i="23"/>
  <c r="BM356" i="23"/>
  <c r="BN356" i="23"/>
  <c r="BO356" i="23"/>
  <c r="BP356" i="23"/>
  <c r="BQ356" i="23"/>
  <c r="BR356" i="23"/>
  <c r="BS356" i="23"/>
  <c r="BT356" i="23"/>
  <c r="B357" i="23"/>
  <c r="C357" i="23"/>
  <c r="D357" i="23"/>
  <c r="E357" i="23"/>
  <c r="F357" i="23"/>
  <c r="G357" i="23"/>
  <c r="H357" i="23"/>
  <c r="I357" i="23"/>
  <c r="J357" i="23"/>
  <c r="K357" i="23"/>
  <c r="L357" i="23"/>
  <c r="M357" i="23"/>
  <c r="N357" i="23"/>
  <c r="O357" i="23"/>
  <c r="P357" i="23"/>
  <c r="Q357" i="23"/>
  <c r="R357" i="23"/>
  <c r="S357" i="23"/>
  <c r="T357" i="23"/>
  <c r="U357" i="23"/>
  <c r="V357" i="23"/>
  <c r="W357" i="23"/>
  <c r="X357" i="23"/>
  <c r="Y357" i="23"/>
  <c r="Z357" i="23"/>
  <c r="AA357" i="23"/>
  <c r="AB357" i="23"/>
  <c r="AC357" i="23"/>
  <c r="AD357" i="23"/>
  <c r="AE357" i="23"/>
  <c r="AF357" i="23"/>
  <c r="AG357" i="23"/>
  <c r="AH357" i="23"/>
  <c r="AI357" i="23"/>
  <c r="AJ357" i="23"/>
  <c r="AK357" i="23"/>
  <c r="AL357" i="23"/>
  <c r="AM357" i="23"/>
  <c r="AN357" i="23"/>
  <c r="AO357" i="23"/>
  <c r="AP357" i="23"/>
  <c r="AQ357" i="23"/>
  <c r="AR357" i="23"/>
  <c r="AS357" i="23"/>
  <c r="AT357" i="23"/>
  <c r="AU357" i="23"/>
  <c r="AV357" i="23"/>
  <c r="AW357" i="23"/>
  <c r="AX357" i="23"/>
  <c r="AY357" i="23"/>
  <c r="AZ357" i="23"/>
  <c r="BA357" i="23"/>
  <c r="BB357" i="23"/>
  <c r="BC357" i="23"/>
  <c r="BD357" i="23"/>
  <c r="BE357" i="23"/>
  <c r="BF357" i="23"/>
  <c r="BG357" i="23"/>
  <c r="BH357" i="23"/>
  <c r="BI357" i="23"/>
  <c r="BJ357" i="23"/>
  <c r="BK357" i="23"/>
  <c r="BL357" i="23"/>
  <c r="BM357" i="23"/>
  <c r="BN357" i="23"/>
  <c r="BO357" i="23"/>
  <c r="BP357" i="23"/>
  <c r="BQ357" i="23"/>
  <c r="BR357" i="23"/>
  <c r="BS357" i="23"/>
  <c r="BT357" i="23"/>
  <c r="B358" i="23"/>
  <c r="C358" i="23"/>
  <c r="D358" i="23"/>
  <c r="E358" i="23"/>
  <c r="F358" i="23"/>
  <c r="G358" i="23"/>
  <c r="H358" i="23"/>
  <c r="I358" i="23"/>
  <c r="J358" i="23"/>
  <c r="K358" i="23"/>
  <c r="L358" i="23"/>
  <c r="M358" i="23"/>
  <c r="N358" i="23"/>
  <c r="O358" i="23"/>
  <c r="P358" i="23"/>
  <c r="Q358" i="23"/>
  <c r="R358" i="23"/>
  <c r="S358" i="23"/>
  <c r="T358" i="23"/>
  <c r="U358" i="23"/>
  <c r="V358" i="23"/>
  <c r="W358" i="23"/>
  <c r="X358" i="23"/>
  <c r="Y358" i="23"/>
  <c r="Z358" i="23"/>
  <c r="AA358" i="23"/>
  <c r="AB358" i="23"/>
  <c r="AC358" i="23"/>
  <c r="AD358" i="23"/>
  <c r="AE358" i="23"/>
  <c r="AF358" i="23"/>
  <c r="AG358" i="23"/>
  <c r="AH358" i="23"/>
  <c r="AI358" i="23"/>
  <c r="AJ358" i="23"/>
  <c r="AK358" i="23"/>
  <c r="AL358" i="23"/>
  <c r="AM358" i="23"/>
  <c r="AN358" i="23"/>
  <c r="AO358" i="23"/>
  <c r="AP358" i="23"/>
  <c r="AQ358" i="23"/>
  <c r="AR358" i="23"/>
  <c r="AS358" i="23"/>
  <c r="AT358" i="23"/>
  <c r="AU358" i="23"/>
  <c r="AV358" i="23"/>
  <c r="AW358" i="23"/>
  <c r="AX358" i="23"/>
  <c r="AY358" i="23"/>
  <c r="AZ358" i="23"/>
  <c r="BA358" i="23"/>
  <c r="BB358" i="23"/>
  <c r="BC358" i="23"/>
  <c r="BD358" i="23"/>
  <c r="BE358" i="23"/>
  <c r="BF358" i="23"/>
  <c r="BG358" i="23"/>
  <c r="BH358" i="23"/>
  <c r="BI358" i="23"/>
  <c r="BJ358" i="23"/>
  <c r="BK358" i="23"/>
  <c r="BL358" i="23"/>
  <c r="BM358" i="23"/>
  <c r="BN358" i="23"/>
  <c r="BO358" i="23"/>
  <c r="BP358" i="23"/>
  <c r="BQ358" i="23"/>
  <c r="BR358" i="23"/>
  <c r="BS358" i="23"/>
  <c r="BT358" i="23"/>
  <c r="B359" i="23"/>
  <c r="C359" i="23"/>
  <c r="D359" i="23"/>
  <c r="E359" i="23"/>
  <c r="F359" i="23"/>
  <c r="G359" i="23"/>
  <c r="H359" i="23"/>
  <c r="I359" i="23"/>
  <c r="J359" i="23"/>
  <c r="K359" i="23"/>
  <c r="L359" i="23"/>
  <c r="M359" i="23"/>
  <c r="N359" i="23"/>
  <c r="O359" i="23"/>
  <c r="P359" i="23"/>
  <c r="Q359" i="23"/>
  <c r="R359" i="23"/>
  <c r="S359" i="23"/>
  <c r="T359" i="23"/>
  <c r="U359" i="23"/>
  <c r="V359" i="23"/>
  <c r="W359" i="23"/>
  <c r="X359" i="23"/>
  <c r="Y359" i="23"/>
  <c r="Z359" i="23"/>
  <c r="AA359" i="23"/>
  <c r="AB359" i="23"/>
  <c r="AC359" i="23"/>
  <c r="AD359" i="23"/>
  <c r="AE359" i="23"/>
  <c r="AF359" i="23"/>
  <c r="AG359" i="23"/>
  <c r="AH359" i="23"/>
  <c r="AI359" i="23"/>
  <c r="AJ359" i="23"/>
  <c r="AK359" i="23"/>
  <c r="AL359" i="23"/>
  <c r="AM359" i="23"/>
  <c r="AN359" i="23"/>
  <c r="AO359" i="23"/>
  <c r="AP359" i="23"/>
  <c r="AQ359" i="23"/>
  <c r="AR359" i="23"/>
  <c r="AS359" i="23"/>
  <c r="AT359" i="23"/>
  <c r="AU359" i="23"/>
  <c r="AV359" i="23"/>
  <c r="AW359" i="23"/>
  <c r="AX359" i="23"/>
  <c r="AY359" i="23"/>
  <c r="AZ359" i="23"/>
  <c r="BA359" i="23"/>
  <c r="BB359" i="23"/>
  <c r="BC359" i="23"/>
  <c r="BD359" i="23"/>
  <c r="BE359" i="23"/>
  <c r="BF359" i="23"/>
  <c r="BG359" i="23"/>
  <c r="BH359" i="23"/>
  <c r="BI359" i="23"/>
  <c r="BJ359" i="23"/>
  <c r="BK359" i="23"/>
  <c r="BL359" i="23"/>
  <c r="BM359" i="23"/>
  <c r="BN359" i="23"/>
  <c r="BO359" i="23"/>
  <c r="BP359" i="23"/>
  <c r="BQ359" i="23"/>
  <c r="BR359" i="23"/>
  <c r="BS359" i="23"/>
  <c r="BT359" i="23"/>
  <c r="B360" i="23"/>
  <c r="C360" i="23"/>
  <c r="D360" i="23"/>
  <c r="E360" i="23"/>
  <c r="F360" i="23"/>
  <c r="G360" i="23"/>
  <c r="H360" i="23"/>
  <c r="I360" i="23"/>
  <c r="J360" i="23"/>
  <c r="K360" i="23"/>
  <c r="L360" i="23"/>
  <c r="M360" i="23"/>
  <c r="N360" i="23"/>
  <c r="O360" i="23"/>
  <c r="P360" i="23"/>
  <c r="Q360" i="23"/>
  <c r="R360" i="23"/>
  <c r="S360" i="23"/>
  <c r="T360" i="23"/>
  <c r="U360" i="23"/>
  <c r="V360" i="23"/>
  <c r="W360" i="23"/>
  <c r="X360" i="23"/>
  <c r="Y360" i="23"/>
  <c r="Z360" i="23"/>
  <c r="AA360" i="23"/>
  <c r="AB360" i="23"/>
  <c r="AC360" i="23"/>
  <c r="AD360" i="23"/>
  <c r="AE360" i="23"/>
  <c r="AF360" i="23"/>
  <c r="AG360" i="23"/>
  <c r="AH360" i="23"/>
  <c r="AI360" i="23"/>
  <c r="AJ360" i="23"/>
  <c r="AK360" i="23"/>
  <c r="AL360" i="23"/>
  <c r="AM360" i="23"/>
  <c r="AN360" i="23"/>
  <c r="AO360" i="23"/>
  <c r="AP360" i="23"/>
  <c r="AQ360" i="23"/>
  <c r="AR360" i="23"/>
  <c r="AS360" i="23"/>
  <c r="AT360" i="23"/>
  <c r="AU360" i="23"/>
  <c r="AV360" i="23"/>
  <c r="AW360" i="23"/>
  <c r="AX360" i="23"/>
  <c r="AY360" i="23"/>
  <c r="AZ360" i="23"/>
  <c r="BA360" i="23"/>
  <c r="BB360" i="23"/>
  <c r="BC360" i="23"/>
  <c r="BD360" i="23"/>
  <c r="BE360" i="23"/>
  <c r="BF360" i="23"/>
  <c r="BG360" i="23"/>
  <c r="BH360" i="23"/>
  <c r="BI360" i="23"/>
  <c r="BJ360" i="23"/>
  <c r="BK360" i="23"/>
  <c r="BL360" i="23"/>
  <c r="BM360" i="23"/>
  <c r="BN360" i="23"/>
  <c r="BO360" i="23"/>
  <c r="BP360" i="23"/>
  <c r="BQ360" i="23"/>
  <c r="BR360" i="23"/>
  <c r="BS360" i="23"/>
  <c r="BT360" i="23"/>
  <c r="B361" i="23"/>
  <c r="C361" i="23"/>
  <c r="D361" i="23"/>
  <c r="E361" i="23"/>
  <c r="F361" i="23"/>
  <c r="G361" i="23"/>
  <c r="H361" i="23"/>
  <c r="I361" i="23"/>
  <c r="J361" i="23"/>
  <c r="K361" i="23"/>
  <c r="L361" i="23"/>
  <c r="M361" i="23"/>
  <c r="N361" i="23"/>
  <c r="O361" i="23"/>
  <c r="P361" i="23"/>
  <c r="Q361" i="23"/>
  <c r="R361" i="23"/>
  <c r="S361" i="23"/>
  <c r="T361" i="23"/>
  <c r="U361" i="23"/>
  <c r="V361" i="23"/>
  <c r="W361" i="23"/>
  <c r="X361" i="23"/>
  <c r="Y361" i="23"/>
  <c r="Z361" i="23"/>
  <c r="AA361" i="23"/>
  <c r="AB361" i="23"/>
  <c r="AC361" i="23"/>
  <c r="AD361" i="23"/>
  <c r="AE361" i="23"/>
  <c r="AF361" i="23"/>
  <c r="AG361" i="23"/>
  <c r="AH361" i="23"/>
  <c r="AI361" i="23"/>
  <c r="AJ361" i="23"/>
  <c r="AK361" i="23"/>
  <c r="AL361" i="23"/>
  <c r="AM361" i="23"/>
  <c r="AN361" i="23"/>
  <c r="AO361" i="23"/>
  <c r="AP361" i="23"/>
  <c r="AQ361" i="23"/>
  <c r="AR361" i="23"/>
  <c r="AS361" i="23"/>
  <c r="AT361" i="23"/>
  <c r="AU361" i="23"/>
  <c r="AV361" i="23"/>
  <c r="AW361" i="23"/>
  <c r="AX361" i="23"/>
  <c r="AY361" i="23"/>
  <c r="AZ361" i="23"/>
  <c r="BA361" i="23"/>
  <c r="BB361" i="23"/>
  <c r="BC361" i="23"/>
  <c r="BD361" i="23"/>
  <c r="BE361" i="23"/>
  <c r="BF361" i="23"/>
  <c r="BG361" i="23"/>
  <c r="BH361" i="23"/>
  <c r="BI361" i="23"/>
  <c r="BJ361" i="23"/>
  <c r="BK361" i="23"/>
  <c r="BL361" i="23"/>
  <c r="BM361" i="23"/>
  <c r="BN361" i="23"/>
  <c r="BO361" i="23"/>
  <c r="BP361" i="23"/>
  <c r="BQ361" i="23"/>
  <c r="BR361" i="23"/>
  <c r="BS361" i="23"/>
  <c r="BT361" i="23"/>
  <c r="B362" i="23"/>
  <c r="C362" i="23"/>
  <c r="D362" i="23"/>
  <c r="E362" i="23"/>
  <c r="F362" i="23"/>
  <c r="G362" i="23"/>
  <c r="H362" i="23"/>
  <c r="I362" i="23"/>
  <c r="J362" i="23"/>
  <c r="K362" i="23"/>
  <c r="L362" i="23"/>
  <c r="M362" i="23"/>
  <c r="N362" i="23"/>
  <c r="O362" i="23"/>
  <c r="P362" i="23"/>
  <c r="Q362" i="23"/>
  <c r="R362" i="23"/>
  <c r="S362" i="23"/>
  <c r="T362" i="23"/>
  <c r="U362" i="23"/>
  <c r="V362" i="23"/>
  <c r="W362" i="23"/>
  <c r="X362" i="23"/>
  <c r="Y362" i="23"/>
  <c r="Z362" i="23"/>
  <c r="AA362" i="23"/>
  <c r="AB362" i="23"/>
  <c r="AC362" i="23"/>
  <c r="AD362" i="23"/>
  <c r="AE362" i="23"/>
  <c r="AF362" i="23"/>
  <c r="AG362" i="23"/>
  <c r="AH362" i="23"/>
  <c r="AI362" i="23"/>
  <c r="AJ362" i="23"/>
  <c r="AK362" i="23"/>
  <c r="AL362" i="23"/>
  <c r="AM362" i="23"/>
  <c r="AN362" i="23"/>
  <c r="AO362" i="23"/>
  <c r="AP362" i="23"/>
  <c r="AQ362" i="23"/>
  <c r="AR362" i="23"/>
  <c r="AS362" i="23"/>
  <c r="AT362" i="23"/>
  <c r="AU362" i="23"/>
  <c r="AV362" i="23"/>
  <c r="AW362" i="23"/>
  <c r="AX362" i="23"/>
  <c r="AY362" i="23"/>
  <c r="AZ362" i="23"/>
  <c r="BA362" i="23"/>
  <c r="BB362" i="23"/>
  <c r="BC362" i="23"/>
  <c r="BD362" i="23"/>
  <c r="BE362" i="23"/>
  <c r="BF362" i="23"/>
  <c r="BG362" i="23"/>
  <c r="BH362" i="23"/>
  <c r="BI362" i="23"/>
  <c r="BJ362" i="23"/>
  <c r="BK362" i="23"/>
  <c r="BL362" i="23"/>
  <c r="BM362" i="23"/>
  <c r="BN362" i="23"/>
  <c r="BO362" i="23"/>
  <c r="BP362" i="23"/>
  <c r="BQ362" i="23"/>
  <c r="BR362" i="23"/>
  <c r="BS362" i="23"/>
  <c r="BT362" i="23"/>
  <c r="B363" i="23"/>
  <c r="C363" i="23"/>
  <c r="D363" i="23"/>
  <c r="E363" i="23"/>
  <c r="F363" i="23"/>
  <c r="G363" i="23"/>
  <c r="H363" i="23"/>
  <c r="I363" i="23"/>
  <c r="J363" i="23"/>
  <c r="K363" i="23"/>
  <c r="L363" i="23"/>
  <c r="M363" i="23"/>
  <c r="N363" i="23"/>
  <c r="O363" i="23"/>
  <c r="P363" i="23"/>
  <c r="Q363" i="23"/>
  <c r="R363" i="23"/>
  <c r="S363" i="23"/>
  <c r="T363" i="23"/>
  <c r="U363" i="23"/>
  <c r="V363" i="23"/>
  <c r="W363" i="23"/>
  <c r="X363" i="23"/>
  <c r="Y363" i="23"/>
  <c r="Z363" i="23"/>
  <c r="AA363" i="23"/>
  <c r="AB363" i="23"/>
  <c r="AC363" i="23"/>
  <c r="AD363" i="23"/>
  <c r="AE363" i="23"/>
  <c r="AF363" i="23"/>
  <c r="AG363" i="23"/>
  <c r="AH363" i="23"/>
  <c r="AI363" i="23"/>
  <c r="AJ363" i="23"/>
  <c r="AK363" i="23"/>
  <c r="AL363" i="23"/>
  <c r="AM363" i="23"/>
  <c r="AN363" i="23"/>
  <c r="AO363" i="23"/>
  <c r="AP363" i="23"/>
  <c r="AQ363" i="23"/>
  <c r="AR363" i="23"/>
  <c r="AS363" i="23"/>
  <c r="AT363" i="23"/>
  <c r="AU363" i="23"/>
  <c r="AV363" i="23"/>
  <c r="AW363" i="23"/>
  <c r="AX363" i="23"/>
  <c r="AY363" i="23"/>
  <c r="AZ363" i="23"/>
  <c r="BA363" i="23"/>
  <c r="BB363" i="23"/>
  <c r="BC363" i="23"/>
  <c r="BD363" i="23"/>
  <c r="BE363" i="23"/>
  <c r="BF363" i="23"/>
  <c r="BG363" i="23"/>
  <c r="BH363" i="23"/>
  <c r="BI363" i="23"/>
  <c r="BJ363" i="23"/>
  <c r="BK363" i="23"/>
  <c r="BL363" i="23"/>
  <c r="BM363" i="23"/>
  <c r="BN363" i="23"/>
  <c r="BO363" i="23"/>
  <c r="BP363" i="23"/>
  <c r="BQ363" i="23"/>
  <c r="BR363" i="23"/>
  <c r="BS363" i="23"/>
  <c r="BT363" i="23"/>
  <c r="B364" i="23"/>
  <c r="C364" i="23"/>
  <c r="D364" i="23"/>
  <c r="E364" i="23"/>
  <c r="F364" i="23"/>
  <c r="G364" i="23"/>
  <c r="H364" i="23"/>
  <c r="I364" i="23"/>
  <c r="J364" i="23"/>
  <c r="K364" i="23"/>
  <c r="L364" i="23"/>
  <c r="M364" i="23"/>
  <c r="N364" i="23"/>
  <c r="O364" i="23"/>
  <c r="P364" i="23"/>
  <c r="Q364" i="23"/>
  <c r="R364" i="23"/>
  <c r="S364" i="23"/>
  <c r="T364" i="23"/>
  <c r="U364" i="23"/>
  <c r="V364" i="23"/>
  <c r="W364" i="23"/>
  <c r="X364" i="23"/>
  <c r="Y364" i="23"/>
  <c r="Z364" i="23"/>
  <c r="AA364" i="23"/>
  <c r="AB364" i="23"/>
  <c r="AC364" i="23"/>
  <c r="AD364" i="23"/>
  <c r="AE364" i="23"/>
  <c r="AF364" i="23"/>
  <c r="AG364" i="23"/>
  <c r="AH364" i="23"/>
  <c r="AI364" i="23"/>
  <c r="AJ364" i="23"/>
  <c r="AK364" i="23"/>
  <c r="AL364" i="23"/>
  <c r="AM364" i="23"/>
  <c r="AN364" i="23"/>
  <c r="AO364" i="23"/>
  <c r="AP364" i="23"/>
  <c r="AQ364" i="23"/>
  <c r="AR364" i="23"/>
  <c r="AS364" i="23"/>
  <c r="AT364" i="23"/>
  <c r="AU364" i="23"/>
  <c r="AV364" i="23"/>
  <c r="AW364" i="23"/>
  <c r="AX364" i="23"/>
  <c r="AY364" i="23"/>
  <c r="AZ364" i="23"/>
  <c r="BA364" i="23"/>
  <c r="BB364" i="23"/>
  <c r="BC364" i="23"/>
  <c r="BD364" i="23"/>
  <c r="BE364" i="23"/>
  <c r="BF364" i="23"/>
  <c r="BG364" i="23"/>
  <c r="BH364" i="23"/>
  <c r="BI364" i="23"/>
  <c r="BJ364" i="23"/>
  <c r="BK364" i="23"/>
  <c r="BL364" i="23"/>
  <c r="BM364" i="23"/>
  <c r="BN364" i="23"/>
  <c r="BO364" i="23"/>
  <c r="BP364" i="23"/>
  <c r="BQ364" i="23"/>
  <c r="BR364" i="23"/>
  <c r="BS364" i="23"/>
  <c r="BT364" i="23"/>
  <c r="B365" i="23"/>
  <c r="C365" i="23"/>
  <c r="D365" i="23"/>
  <c r="E365" i="23"/>
  <c r="F365" i="23"/>
  <c r="G365" i="23"/>
  <c r="H365" i="23"/>
  <c r="I365" i="23"/>
  <c r="J365" i="23"/>
  <c r="K365" i="23"/>
  <c r="L365" i="23"/>
  <c r="M365" i="23"/>
  <c r="N365" i="23"/>
  <c r="O365" i="23"/>
  <c r="P365" i="23"/>
  <c r="Q365" i="23"/>
  <c r="R365" i="23"/>
  <c r="S365" i="23"/>
  <c r="T365" i="23"/>
  <c r="U365" i="23"/>
  <c r="V365" i="23"/>
  <c r="W365" i="23"/>
  <c r="X365" i="23"/>
  <c r="Y365" i="23"/>
  <c r="Z365" i="23"/>
  <c r="AA365" i="23"/>
  <c r="AB365" i="23"/>
  <c r="AC365" i="23"/>
  <c r="AD365" i="23"/>
  <c r="AE365" i="23"/>
  <c r="AF365" i="23"/>
  <c r="AG365" i="23"/>
  <c r="AH365" i="23"/>
  <c r="AI365" i="23"/>
  <c r="AJ365" i="23"/>
  <c r="AK365" i="23"/>
  <c r="AL365" i="23"/>
  <c r="AM365" i="23"/>
  <c r="AN365" i="23"/>
  <c r="AO365" i="23"/>
  <c r="AP365" i="23"/>
  <c r="AQ365" i="23"/>
  <c r="AR365" i="23"/>
  <c r="AS365" i="23"/>
  <c r="AT365" i="23"/>
  <c r="AU365" i="23"/>
  <c r="AV365" i="23"/>
  <c r="AW365" i="23"/>
  <c r="AX365" i="23"/>
  <c r="AY365" i="23"/>
  <c r="AZ365" i="23"/>
  <c r="BA365" i="23"/>
  <c r="BB365" i="23"/>
  <c r="BC365" i="23"/>
  <c r="BD365" i="23"/>
  <c r="BE365" i="23"/>
  <c r="BF365" i="23"/>
  <c r="BG365" i="23"/>
  <c r="BH365" i="23"/>
  <c r="BI365" i="23"/>
  <c r="BJ365" i="23"/>
  <c r="BK365" i="23"/>
  <c r="BL365" i="23"/>
  <c r="BM365" i="23"/>
  <c r="BN365" i="23"/>
  <c r="BO365" i="23"/>
  <c r="BP365" i="23"/>
  <c r="BQ365" i="23"/>
  <c r="BR365" i="23"/>
  <c r="BS365" i="23"/>
  <c r="BT365" i="23"/>
  <c r="B366" i="23"/>
  <c r="C366" i="23"/>
  <c r="D366" i="23"/>
  <c r="E366" i="23"/>
  <c r="F366" i="23"/>
  <c r="G366" i="23"/>
  <c r="H366" i="23"/>
  <c r="I366" i="23"/>
  <c r="J366" i="23"/>
  <c r="K366" i="23"/>
  <c r="L366" i="23"/>
  <c r="M366" i="23"/>
  <c r="N366" i="23"/>
  <c r="O366" i="23"/>
  <c r="P366" i="23"/>
  <c r="Q366" i="23"/>
  <c r="R366" i="23"/>
  <c r="S366" i="23"/>
  <c r="T366" i="23"/>
  <c r="U366" i="23"/>
  <c r="V366" i="23"/>
  <c r="W366" i="23"/>
  <c r="X366" i="23"/>
  <c r="Y366" i="23"/>
  <c r="Z366" i="23"/>
  <c r="AA366" i="23"/>
  <c r="AB366" i="23"/>
  <c r="AC366" i="23"/>
  <c r="AD366" i="23"/>
  <c r="AE366" i="23"/>
  <c r="AF366" i="23"/>
  <c r="AG366" i="23"/>
  <c r="AH366" i="23"/>
  <c r="AI366" i="23"/>
  <c r="AJ366" i="23"/>
  <c r="AK366" i="23"/>
  <c r="AL366" i="23"/>
  <c r="AM366" i="23"/>
  <c r="AN366" i="23"/>
  <c r="AO366" i="23"/>
  <c r="AP366" i="23"/>
  <c r="AQ366" i="23"/>
  <c r="AR366" i="23"/>
  <c r="AS366" i="23"/>
  <c r="AT366" i="23"/>
  <c r="AU366" i="23"/>
  <c r="AV366" i="23"/>
  <c r="AW366" i="23"/>
  <c r="AX366" i="23"/>
  <c r="AY366" i="23"/>
  <c r="AZ366" i="23"/>
  <c r="BA366" i="23"/>
  <c r="BB366" i="23"/>
  <c r="BC366" i="23"/>
  <c r="BD366" i="23"/>
  <c r="BE366" i="23"/>
  <c r="BF366" i="23"/>
  <c r="BG366" i="23"/>
  <c r="BH366" i="23"/>
  <c r="BI366" i="23"/>
  <c r="BJ366" i="23"/>
  <c r="BK366" i="23"/>
  <c r="BL366" i="23"/>
  <c r="BM366" i="23"/>
  <c r="BN366" i="23"/>
  <c r="BO366" i="23"/>
  <c r="BP366" i="23"/>
  <c r="BQ366" i="23"/>
  <c r="BR366" i="23"/>
  <c r="BS366" i="23"/>
  <c r="BT366" i="23"/>
  <c r="B367" i="23"/>
  <c r="C367" i="23"/>
  <c r="D367" i="23"/>
  <c r="E367" i="23"/>
  <c r="F367" i="23"/>
  <c r="G367" i="23"/>
  <c r="H367" i="23"/>
  <c r="I367" i="23"/>
  <c r="J367" i="23"/>
  <c r="K367" i="23"/>
  <c r="L367" i="23"/>
  <c r="M367" i="23"/>
  <c r="N367" i="23"/>
  <c r="O367" i="23"/>
  <c r="P367" i="23"/>
  <c r="Q367" i="23"/>
  <c r="R367" i="23"/>
  <c r="S367" i="23"/>
  <c r="T367" i="23"/>
  <c r="U367" i="23"/>
  <c r="V367" i="23"/>
  <c r="W367" i="23"/>
  <c r="X367" i="23"/>
  <c r="Y367" i="23"/>
  <c r="Z367" i="23"/>
  <c r="AA367" i="23"/>
  <c r="AB367" i="23"/>
  <c r="AC367" i="23"/>
  <c r="AD367" i="23"/>
  <c r="AE367" i="23"/>
  <c r="AF367" i="23"/>
  <c r="AG367" i="23"/>
  <c r="AH367" i="23"/>
  <c r="AI367" i="23"/>
  <c r="AJ367" i="23"/>
  <c r="AK367" i="23"/>
  <c r="AL367" i="23"/>
  <c r="AM367" i="23"/>
  <c r="AN367" i="23"/>
  <c r="AO367" i="23"/>
  <c r="AP367" i="23"/>
  <c r="AQ367" i="23"/>
  <c r="AR367" i="23"/>
  <c r="AS367" i="23"/>
  <c r="AT367" i="23"/>
  <c r="AU367" i="23"/>
  <c r="AV367" i="23"/>
  <c r="AW367" i="23"/>
  <c r="AX367" i="23"/>
  <c r="AY367" i="23"/>
  <c r="AZ367" i="23"/>
  <c r="BA367" i="23"/>
  <c r="BB367" i="23"/>
  <c r="BC367" i="23"/>
  <c r="BD367" i="23"/>
  <c r="BE367" i="23"/>
  <c r="BF367" i="23"/>
  <c r="BG367" i="23"/>
  <c r="BH367" i="23"/>
  <c r="BI367" i="23"/>
  <c r="BJ367" i="23"/>
  <c r="BK367" i="23"/>
  <c r="BL367" i="23"/>
  <c r="BM367" i="23"/>
  <c r="BN367" i="23"/>
  <c r="BO367" i="23"/>
  <c r="BP367" i="23"/>
  <c r="BQ367" i="23"/>
  <c r="BR367" i="23"/>
  <c r="BS367" i="23"/>
  <c r="BT367" i="23"/>
  <c r="B368" i="23"/>
  <c r="C368" i="23"/>
  <c r="D368" i="23"/>
  <c r="E368" i="23"/>
  <c r="F368" i="23"/>
  <c r="G368" i="23"/>
  <c r="H368" i="23"/>
  <c r="I368" i="23"/>
  <c r="J368" i="23"/>
  <c r="K368" i="23"/>
  <c r="L368" i="23"/>
  <c r="M368" i="23"/>
  <c r="N368" i="23"/>
  <c r="O368" i="23"/>
  <c r="P368" i="23"/>
  <c r="Q368" i="23"/>
  <c r="R368" i="23"/>
  <c r="S368" i="23"/>
  <c r="T368" i="23"/>
  <c r="U368" i="23"/>
  <c r="V368" i="23"/>
  <c r="W368" i="23"/>
  <c r="X368" i="23"/>
  <c r="Y368" i="23"/>
  <c r="Z368" i="23"/>
  <c r="AA368" i="23"/>
  <c r="AB368" i="23"/>
  <c r="AC368" i="23"/>
  <c r="AD368" i="23"/>
  <c r="AE368" i="23"/>
  <c r="AF368" i="23"/>
  <c r="AG368" i="23"/>
  <c r="AH368" i="23"/>
  <c r="AI368" i="23"/>
  <c r="AJ368" i="23"/>
  <c r="AK368" i="23"/>
  <c r="AL368" i="23"/>
  <c r="AM368" i="23"/>
  <c r="AN368" i="23"/>
  <c r="AO368" i="23"/>
  <c r="AP368" i="23"/>
  <c r="AQ368" i="23"/>
  <c r="AR368" i="23"/>
  <c r="AS368" i="23"/>
  <c r="AT368" i="23"/>
  <c r="AU368" i="23"/>
  <c r="AV368" i="23"/>
  <c r="AW368" i="23"/>
  <c r="AX368" i="23"/>
  <c r="AY368" i="23"/>
  <c r="AZ368" i="23"/>
  <c r="BA368" i="23"/>
  <c r="BB368" i="23"/>
  <c r="BC368" i="23"/>
  <c r="BD368" i="23"/>
  <c r="BE368" i="23"/>
  <c r="BF368" i="23"/>
  <c r="BG368" i="23"/>
  <c r="BH368" i="23"/>
  <c r="BI368" i="23"/>
  <c r="BJ368" i="23"/>
  <c r="BK368" i="23"/>
  <c r="BL368" i="23"/>
  <c r="BM368" i="23"/>
  <c r="BN368" i="23"/>
  <c r="BO368" i="23"/>
  <c r="BP368" i="23"/>
  <c r="BQ368" i="23"/>
  <c r="BR368" i="23"/>
  <c r="BS368" i="23"/>
  <c r="BT368" i="23"/>
  <c r="B369" i="23"/>
  <c r="C369" i="23"/>
  <c r="D369" i="23"/>
  <c r="E369" i="23"/>
  <c r="F369" i="23"/>
  <c r="G369" i="23"/>
  <c r="H369" i="23"/>
  <c r="I369" i="23"/>
  <c r="J369" i="23"/>
  <c r="K369" i="23"/>
  <c r="L369" i="23"/>
  <c r="M369" i="23"/>
  <c r="N369" i="23"/>
  <c r="O369" i="23"/>
  <c r="P369" i="23"/>
  <c r="Q369" i="23"/>
  <c r="R369" i="23"/>
  <c r="S369" i="23"/>
  <c r="T369" i="23"/>
  <c r="U369" i="23"/>
  <c r="V369" i="23"/>
  <c r="W369" i="23"/>
  <c r="X369" i="23"/>
  <c r="Y369" i="23"/>
  <c r="Z369" i="23"/>
  <c r="AA369" i="23"/>
  <c r="AB369" i="23"/>
  <c r="AC369" i="23"/>
  <c r="AD369" i="23"/>
  <c r="AE369" i="23"/>
  <c r="AF369" i="23"/>
  <c r="AG369" i="23"/>
  <c r="AH369" i="23"/>
  <c r="AI369" i="23"/>
  <c r="AJ369" i="23"/>
  <c r="AK369" i="23"/>
  <c r="AL369" i="23"/>
  <c r="AM369" i="23"/>
  <c r="AN369" i="23"/>
  <c r="AO369" i="23"/>
  <c r="AP369" i="23"/>
  <c r="AQ369" i="23"/>
  <c r="AR369" i="23"/>
  <c r="AS369" i="23"/>
  <c r="AT369" i="23"/>
  <c r="AU369" i="23"/>
  <c r="AV369" i="23"/>
  <c r="AW369" i="23"/>
  <c r="AX369" i="23"/>
  <c r="AY369" i="23"/>
  <c r="AZ369" i="23"/>
  <c r="BA369" i="23"/>
  <c r="BB369" i="23"/>
  <c r="BC369" i="23"/>
  <c r="BD369" i="23"/>
  <c r="BE369" i="23"/>
  <c r="BF369" i="23"/>
  <c r="BG369" i="23"/>
  <c r="BH369" i="23"/>
  <c r="BI369" i="23"/>
  <c r="BJ369" i="23"/>
  <c r="BK369" i="23"/>
  <c r="BL369" i="23"/>
  <c r="BM369" i="23"/>
  <c r="BN369" i="23"/>
  <c r="BO369" i="23"/>
  <c r="BP369" i="23"/>
  <c r="BQ369" i="23"/>
  <c r="BR369" i="23"/>
  <c r="BS369" i="23"/>
  <c r="BT369" i="23"/>
  <c r="B370" i="23"/>
  <c r="C370" i="23"/>
  <c r="D370" i="23"/>
  <c r="E370" i="23"/>
  <c r="F370" i="23"/>
  <c r="G370" i="23"/>
  <c r="H370" i="23"/>
  <c r="I370" i="23"/>
  <c r="J370" i="23"/>
  <c r="K370" i="23"/>
  <c r="L370" i="23"/>
  <c r="M370" i="23"/>
  <c r="N370" i="23"/>
  <c r="O370" i="23"/>
  <c r="P370" i="23"/>
  <c r="Q370" i="23"/>
  <c r="R370" i="23"/>
  <c r="S370" i="23"/>
  <c r="T370" i="23"/>
  <c r="U370" i="23"/>
  <c r="V370" i="23"/>
  <c r="W370" i="23"/>
  <c r="X370" i="23"/>
  <c r="Y370" i="23"/>
  <c r="Z370" i="23"/>
  <c r="AA370" i="23"/>
  <c r="AB370" i="23"/>
  <c r="AC370" i="23"/>
  <c r="AD370" i="23"/>
  <c r="AE370" i="23"/>
  <c r="AF370" i="23"/>
  <c r="AG370" i="23"/>
  <c r="AH370" i="23"/>
  <c r="AI370" i="23"/>
  <c r="AJ370" i="23"/>
  <c r="AK370" i="23"/>
  <c r="AL370" i="23"/>
  <c r="AM370" i="23"/>
  <c r="AN370" i="23"/>
  <c r="AO370" i="23"/>
  <c r="AP370" i="23"/>
  <c r="AQ370" i="23"/>
  <c r="AR370" i="23"/>
  <c r="AS370" i="23"/>
  <c r="AT370" i="23"/>
  <c r="AU370" i="23"/>
  <c r="AV370" i="23"/>
  <c r="AW370" i="23"/>
  <c r="AX370" i="23"/>
  <c r="AY370" i="23"/>
  <c r="AZ370" i="23"/>
  <c r="BA370" i="23"/>
  <c r="BB370" i="23"/>
  <c r="BC370" i="23"/>
  <c r="BD370" i="23"/>
  <c r="BE370" i="23"/>
  <c r="BF370" i="23"/>
  <c r="BG370" i="23"/>
  <c r="BH370" i="23"/>
  <c r="BI370" i="23"/>
  <c r="BJ370" i="23"/>
  <c r="BK370" i="23"/>
  <c r="BL370" i="23"/>
  <c r="BM370" i="23"/>
  <c r="BN370" i="23"/>
  <c r="BO370" i="23"/>
  <c r="BP370" i="23"/>
  <c r="BQ370" i="23"/>
  <c r="BR370" i="23"/>
  <c r="BS370" i="23"/>
  <c r="BT370" i="23"/>
  <c r="B371" i="23"/>
  <c r="C371" i="23"/>
  <c r="D371" i="23"/>
  <c r="E371" i="23"/>
  <c r="F371" i="23"/>
  <c r="G371" i="23"/>
  <c r="H371" i="23"/>
  <c r="I371" i="23"/>
  <c r="J371" i="23"/>
  <c r="K371" i="23"/>
  <c r="L371" i="23"/>
  <c r="M371" i="23"/>
  <c r="N371" i="23"/>
  <c r="O371" i="23"/>
  <c r="P371" i="23"/>
  <c r="Q371" i="23"/>
  <c r="R371" i="23"/>
  <c r="S371" i="23"/>
  <c r="T371" i="23"/>
  <c r="U371" i="23"/>
  <c r="V371" i="23"/>
  <c r="W371" i="23"/>
  <c r="X371" i="23"/>
  <c r="Y371" i="23"/>
  <c r="Z371" i="23"/>
  <c r="AA371" i="23"/>
  <c r="AB371" i="23"/>
  <c r="AC371" i="23"/>
  <c r="AD371" i="23"/>
  <c r="AE371" i="23"/>
  <c r="AF371" i="23"/>
  <c r="AG371" i="23"/>
  <c r="AH371" i="23"/>
  <c r="AI371" i="23"/>
  <c r="AJ371" i="23"/>
  <c r="AK371" i="23"/>
  <c r="AL371" i="23"/>
  <c r="AM371" i="23"/>
  <c r="AN371" i="23"/>
  <c r="AO371" i="23"/>
  <c r="AP371" i="23"/>
  <c r="AQ371" i="23"/>
  <c r="AR371" i="23"/>
  <c r="AS371" i="23"/>
  <c r="AT371" i="23"/>
  <c r="AU371" i="23"/>
  <c r="AV371" i="23"/>
  <c r="AW371" i="23"/>
  <c r="AX371" i="23"/>
  <c r="AY371" i="23"/>
  <c r="AZ371" i="23"/>
  <c r="BA371" i="23"/>
  <c r="BB371" i="23"/>
  <c r="BC371" i="23"/>
  <c r="BD371" i="23"/>
  <c r="BE371" i="23"/>
  <c r="BF371" i="23"/>
  <c r="BG371" i="23"/>
  <c r="BH371" i="23"/>
  <c r="BI371" i="23"/>
  <c r="BJ371" i="23"/>
  <c r="BK371" i="23"/>
  <c r="BL371" i="23"/>
  <c r="BM371" i="23"/>
  <c r="BN371" i="23"/>
  <c r="BO371" i="23"/>
  <c r="BP371" i="23"/>
  <c r="BQ371" i="23"/>
  <c r="BR371" i="23"/>
  <c r="BS371" i="23"/>
  <c r="BT371" i="23"/>
  <c r="B372" i="23"/>
  <c r="C372" i="23"/>
  <c r="D372" i="23"/>
  <c r="E372" i="23"/>
  <c r="F372" i="23"/>
  <c r="G372" i="23"/>
  <c r="H372" i="23"/>
  <c r="I372" i="23"/>
  <c r="J372" i="23"/>
  <c r="K372" i="23"/>
  <c r="L372" i="23"/>
  <c r="M372" i="23"/>
  <c r="N372" i="23"/>
  <c r="O372" i="23"/>
  <c r="P372" i="23"/>
  <c r="Q372" i="23"/>
  <c r="R372" i="23"/>
  <c r="S372" i="23"/>
  <c r="T372" i="23"/>
  <c r="U372" i="23"/>
  <c r="V372" i="23"/>
  <c r="W372" i="23"/>
  <c r="X372" i="23"/>
  <c r="Y372" i="23"/>
  <c r="Z372" i="23"/>
  <c r="AA372" i="23"/>
  <c r="AB372" i="23"/>
  <c r="AC372" i="23"/>
  <c r="AD372" i="23"/>
  <c r="AE372" i="23"/>
  <c r="AF372" i="23"/>
  <c r="AG372" i="23"/>
  <c r="AH372" i="23"/>
  <c r="AI372" i="23"/>
  <c r="AJ372" i="23"/>
  <c r="AK372" i="23"/>
  <c r="AL372" i="23"/>
  <c r="AM372" i="23"/>
  <c r="AN372" i="23"/>
  <c r="AO372" i="23"/>
  <c r="AP372" i="23"/>
  <c r="AQ372" i="23"/>
  <c r="AR372" i="23"/>
  <c r="AS372" i="23"/>
  <c r="AT372" i="23"/>
  <c r="AU372" i="23"/>
  <c r="AV372" i="23"/>
  <c r="AW372" i="23"/>
  <c r="AX372" i="23"/>
  <c r="AY372" i="23"/>
  <c r="AZ372" i="23"/>
  <c r="BA372" i="23"/>
  <c r="BB372" i="23"/>
  <c r="BC372" i="23"/>
  <c r="BD372" i="23"/>
  <c r="BE372" i="23"/>
  <c r="BF372" i="23"/>
  <c r="BG372" i="23"/>
  <c r="BH372" i="23"/>
  <c r="BI372" i="23"/>
  <c r="BJ372" i="23"/>
  <c r="BK372" i="23"/>
  <c r="BL372" i="23"/>
  <c r="BM372" i="23"/>
  <c r="BN372" i="23"/>
  <c r="BO372" i="23"/>
  <c r="BP372" i="23"/>
  <c r="BQ372" i="23"/>
  <c r="BR372" i="23"/>
  <c r="BS372" i="23"/>
  <c r="BT372" i="23"/>
  <c r="B373" i="23"/>
  <c r="C373" i="23"/>
  <c r="D373" i="23"/>
  <c r="E373" i="23"/>
  <c r="F373" i="23"/>
  <c r="G373" i="23"/>
  <c r="H373" i="23"/>
  <c r="I373" i="23"/>
  <c r="J373" i="23"/>
  <c r="K373" i="23"/>
  <c r="L373" i="23"/>
  <c r="M373" i="23"/>
  <c r="N373" i="23"/>
  <c r="O373" i="23"/>
  <c r="P373" i="23"/>
  <c r="Q373" i="23"/>
  <c r="R373" i="23"/>
  <c r="S373" i="23"/>
  <c r="T373" i="23"/>
  <c r="U373" i="23"/>
  <c r="V373" i="23"/>
  <c r="W373" i="23"/>
  <c r="X373" i="23"/>
  <c r="Y373" i="23"/>
  <c r="Z373" i="23"/>
  <c r="AA373" i="23"/>
  <c r="AB373" i="23"/>
  <c r="AC373" i="23"/>
  <c r="AD373" i="23"/>
  <c r="AE373" i="23"/>
  <c r="AF373" i="23"/>
  <c r="AG373" i="23"/>
  <c r="AH373" i="23"/>
  <c r="AI373" i="23"/>
  <c r="AJ373" i="23"/>
  <c r="AK373" i="23"/>
  <c r="AL373" i="23"/>
  <c r="AM373" i="23"/>
  <c r="AN373" i="23"/>
  <c r="AO373" i="23"/>
  <c r="AP373" i="23"/>
  <c r="AQ373" i="23"/>
  <c r="AR373" i="23"/>
  <c r="AS373" i="23"/>
  <c r="AT373" i="23"/>
  <c r="AU373" i="23"/>
  <c r="AV373" i="23"/>
  <c r="AW373" i="23"/>
  <c r="AX373" i="23"/>
  <c r="AY373" i="23"/>
  <c r="AZ373" i="23"/>
  <c r="BA373" i="23"/>
  <c r="BB373" i="23"/>
  <c r="BC373" i="23"/>
  <c r="BD373" i="23"/>
  <c r="BE373" i="23"/>
  <c r="BF373" i="23"/>
  <c r="BG373" i="23"/>
  <c r="BH373" i="23"/>
  <c r="BI373" i="23"/>
  <c r="BJ373" i="23"/>
  <c r="BK373" i="23"/>
  <c r="BL373" i="23"/>
  <c r="BM373" i="23"/>
  <c r="BN373" i="23"/>
  <c r="BO373" i="23"/>
  <c r="BP373" i="23"/>
  <c r="BQ373" i="23"/>
  <c r="BR373" i="23"/>
  <c r="BS373" i="23"/>
  <c r="BT373" i="23"/>
  <c r="B374" i="23"/>
  <c r="C374" i="23"/>
  <c r="D374" i="23"/>
  <c r="E374" i="23"/>
  <c r="F374" i="23"/>
  <c r="G374" i="23"/>
  <c r="H374" i="23"/>
  <c r="I374" i="23"/>
  <c r="J374" i="23"/>
  <c r="K374" i="23"/>
  <c r="L374" i="23"/>
  <c r="M374" i="23"/>
  <c r="N374" i="23"/>
  <c r="O374" i="23"/>
  <c r="P374" i="23"/>
  <c r="Q374" i="23"/>
  <c r="R374" i="23"/>
  <c r="S374" i="23"/>
  <c r="T374" i="23"/>
  <c r="U374" i="23"/>
  <c r="V374" i="23"/>
  <c r="W374" i="23"/>
  <c r="X374" i="23"/>
  <c r="Y374" i="23"/>
  <c r="Z374" i="23"/>
  <c r="AA374" i="23"/>
  <c r="AB374" i="23"/>
  <c r="AC374" i="23"/>
  <c r="AD374" i="23"/>
  <c r="AE374" i="23"/>
  <c r="AF374" i="23"/>
  <c r="AG374" i="23"/>
  <c r="AH374" i="23"/>
  <c r="AI374" i="23"/>
  <c r="AJ374" i="23"/>
  <c r="AK374" i="23"/>
  <c r="AL374" i="23"/>
  <c r="AM374" i="23"/>
  <c r="AN374" i="23"/>
  <c r="AO374" i="23"/>
  <c r="AP374" i="23"/>
  <c r="AQ374" i="23"/>
  <c r="AR374" i="23"/>
  <c r="AS374" i="23"/>
  <c r="AT374" i="23"/>
  <c r="AU374" i="23"/>
  <c r="AV374" i="23"/>
  <c r="AW374" i="23"/>
  <c r="AX374" i="23"/>
  <c r="AY374" i="23"/>
  <c r="AZ374" i="23"/>
  <c r="BA374" i="23"/>
  <c r="BB374" i="23"/>
  <c r="BC374" i="23"/>
  <c r="BD374" i="23"/>
  <c r="BE374" i="23"/>
  <c r="BF374" i="23"/>
  <c r="BG374" i="23"/>
  <c r="BH374" i="23"/>
  <c r="BI374" i="23"/>
  <c r="BJ374" i="23"/>
  <c r="BK374" i="23"/>
  <c r="BL374" i="23"/>
  <c r="BM374" i="23"/>
  <c r="BN374" i="23"/>
  <c r="BO374" i="23"/>
  <c r="BP374" i="23"/>
  <c r="BQ374" i="23"/>
  <c r="BR374" i="23"/>
  <c r="BS374" i="23"/>
  <c r="BT374" i="23"/>
  <c r="B375" i="23"/>
  <c r="C375" i="23"/>
  <c r="D375" i="23"/>
  <c r="E375" i="23"/>
  <c r="F375" i="23"/>
  <c r="G375" i="23"/>
  <c r="H375" i="23"/>
  <c r="I375" i="23"/>
  <c r="J375" i="23"/>
  <c r="K375" i="23"/>
  <c r="L375" i="23"/>
  <c r="M375" i="23"/>
  <c r="N375" i="23"/>
  <c r="O375" i="23"/>
  <c r="P375" i="23"/>
  <c r="Q375" i="23"/>
  <c r="R375" i="23"/>
  <c r="S375" i="23"/>
  <c r="T375" i="23"/>
  <c r="U375" i="23"/>
  <c r="V375" i="23"/>
  <c r="W375" i="23"/>
  <c r="X375" i="23"/>
  <c r="Y375" i="23"/>
  <c r="Z375" i="23"/>
  <c r="AA375" i="23"/>
  <c r="AB375" i="23"/>
  <c r="AC375" i="23"/>
  <c r="AD375" i="23"/>
  <c r="AE375" i="23"/>
  <c r="AF375" i="23"/>
  <c r="AG375" i="23"/>
  <c r="AH375" i="23"/>
  <c r="AI375" i="23"/>
  <c r="AJ375" i="23"/>
  <c r="AK375" i="23"/>
  <c r="AL375" i="23"/>
  <c r="AM375" i="23"/>
  <c r="AN375" i="23"/>
  <c r="AO375" i="23"/>
  <c r="AP375" i="23"/>
  <c r="AQ375" i="23"/>
  <c r="AR375" i="23"/>
  <c r="AS375" i="23"/>
  <c r="AT375" i="23"/>
  <c r="AU375" i="23"/>
  <c r="AV375" i="23"/>
  <c r="AW375" i="23"/>
  <c r="AX375" i="23"/>
  <c r="AY375" i="23"/>
  <c r="AZ375" i="23"/>
  <c r="BA375" i="23"/>
  <c r="BB375" i="23"/>
  <c r="BC375" i="23"/>
  <c r="BD375" i="23"/>
  <c r="BE375" i="23"/>
  <c r="BF375" i="23"/>
  <c r="BG375" i="23"/>
  <c r="BH375" i="23"/>
  <c r="BI375" i="23"/>
  <c r="BJ375" i="23"/>
  <c r="BK375" i="23"/>
  <c r="BL375" i="23"/>
  <c r="BM375" i="23"/>
  <c r="BN375" i="23"/>
  <c r="BO375" i="23"/>
  <c r="BP375" i="23"/>
  <c r="BQ375" i="23"/>
  <c r="BR375" i="23"/>
  <c r="BS375" i="23"/>
  <c r="BT375" i="23"/>
  <c r="B376" i="23"/>
  <c r="C376" i="23"/>
  <c r="D376" i="23"/>
  <c r="E376" i="23"/>
  <c r="F376" i="23"/>
  <c r="G376" i="23"/>
  <c r="H376" i="23"/>
  <c r="I376" i="23"/>
  <c r="J376" i="23"/>
  <c r="K376" i="23"/>
  <c r="L376" i="23"/>
  <c r="M376" i="23"/>
  <c r="N376" i="23"/>
  <c r="O376" i="23"/>
  <c r="P376" i="23"/>
  <c r="Q376" i="23"/>
  <c r="R376" i="23"/>
  <c r="S376" i="23"/>
  <c r="T376" i="23"/>
  <c r="U376" i="23"/>
  <c r="V376" i="23"/>
  <c r="W376" i="23"/>
  <c r="X376" i="23"/>
  <c r="Y376" i="23"/>
  <c r="Z376" i="23"/>
  <c r="AA376" i="23"/>
  <c r="AB376" i="23"/>
  <c r="AC376" i="23"/>
  <c r="AD376" i="23"/>
  <c r="AE376" i="23"/>
  <c r="AF376" i="23"/>
  <c r="AG376" i="23"/>
  <c r="AH376" i="23"/>
  <c r="AI376" i="23"/>
  <c r="AJ376" i="23"/>
  <c r="AK376" i="23"/>
  <c r="AL376" i="23"/>
  <c r="AM376" i="23"/>
  <c r="AN376" i="23"/>
  <c r="AO376" i="23"/>
  <c r="AP376" i="23"/>
  <c r="AQ376" i="23"/>
  <c r="AR376" i="23"/>
  <c r="AS376" i="23"/>
  <c r="AT376" i="23"/>
  <c r="AU376" i="23"/>
  <c r="AV376" i="23"/>
  <c r="AW376" i="23"/>
  <c r="AX376" i="23"/>
  <c r="AY376" i="23"/>
  <c r="AZ376" i="23"/>
  <c r="BA376" i="23"/>
  <c r="BB376" i="23"/>
  <c r="BC376" i="23"/>
  <c r="BD376" i="23"/>
  <c r="BE376" i="23"/>
  <c r="BF376" i="23"/>
  <c r="BG376" i="23"/>
  <c r="BH376" i="23"/>
  <c r="BI376" i="23"/>
  <c r="BJ376" i="23"/>
  <c r="BK376" i="23"/>
  <c r="BL376" i="23"/>
  <c r="BM376" i="23"/>
  <c r="BN376" i="23"/>
  <c r="BO376" i="23"/>
  <c r="BP376" i="23"/>
  <c r="BQ376" i="23"/>
  <c r="BR376" i="23"/>
  <c r="BS376" i="23"/>
  <c r="BT376" i="23"/>
  <c r="B377" i="23"/>
  <c r="C377" i="23"/>
  <c r="D377" i="23"/>
  <c r="E377" i="23"/>
  <c r="F377" i="23"/>
  <c r="G377" i="23"/>
  <c r="H377" i="23"/>
  <c r="I377" i="23"/>
  <c r="J377" i="23"/>
  <c r="K377" i="23"/>
  <c r="L377" i="23"/>
  <c r="M377" i="23"/>
  <c r="N377" i="23"/>
  <c r="O377" i="23"/>
  <c r="P377" i="23"/>
  <c r="Q377" i="23"/>
  <c r="R377" i="23"/>
  <c r="S377" i="23"/>
  <c r="T377" i="23"/>
  <c r="U377" i="23"/>
  <c r="V377" i="23"/>
  <c r="W377" i="23"/>
  <c r="X377" i="23"/>
  <c r="Y377" i="23"/>
  <c r="Z377" i="23"/>
  <c r="AA377" i="23"/>
  <c r="AB377" i="23"/>
  <c r="AC377" i="23"/>
  <c r="AD377" i="23"/>
  <c r="AE377" i="23"/>
  <c r="AF377" i="23"/>
  <c r="AG377" i="23"/>
  <c r="AH377" i="23"/>
  <c r="AI377" i="23"/>
  <c r="AJ377" i="23"/>
  <c r="AK377" i="23"/>
  <c r="AL377" i="23"/>
  <c r="AM377" i="23"/>
  <c r="AN377" i="23"/>
  <c r="AO377" i="23"/>
  <c r="AP377" i="23"/>
  <c r="AQ377" i="23"/>
  <c r="AR377" i="23"/>
  <c r="AS377" i="23"/>
  <c r="AT377" i="23"/>
  <c r="AU377" i="23"/>
  <c r="AV377" i="23"/>
  <c r="AW377" i="23"/>
  <c r="AX377" i="23"/>
  <c r="AY377" i="23"/>
  <c r="AZ377" i="23"/>
  <c r="BA377" i="23"/>
  <c r="BB377" i="23"/>
  <c r="BC377" i="23"/>
  <c r="BD377" i="23"/>
  <c r="BE377" i="23"/>
  <c r="BF377" i="23"/>
  <c r="BG377" i="23"/>
  <c r="BH377" i="23"/>
  <c r="BI377" i="23"/>
  <c r="BJ377" i="23"/>
  <c r="BK377" i="23"/>
  <c r="BL377" i="23"/>
  <c r="BM377" i="23"/>
  <c r="BN377" i="23"/>
  <c r="BO377" i="23"/>
  <c r="BP377" i="23"/>
  <c r="BQ377" i="23"/>
  <c r="BR377" i="23"/>
  <c r="BS377" i="23"/>
  <c r="BT377" i="23"/>
  <c r="B378" i="23"/>
  <c r="C378" i="23"/>
  <c r="D378" i="23"/>
  <c r="E378" i="23"/>
  <c r="F378" i="23"/>
  <c r="G378" i="23"/>
  <c r="H378" i="23"/>
  <c r="I378" i="23"/>
  <c r="J378" i="23"/>
  <c r="K378" i="23"/>
  <c r="L378" i="23"/>
  <c r="M378" i="23"/>
  <c r="N378" i="23"/>
  <c r="O378" i="23"/>
  <c r="P378" i="23"/>
  <c r="Q378" i="23"/>
  <c r="R378" i="23"/>
  <c r="S378" i="23"/>
  <c r="T378" i="23"/>
  <c r="U378" i="23"/>
  <c r="V378" i="23"/>
  <c r="W378" i="23"/>
  <c r="X378" i="23"/>
  <c r="Y378" i="23"/>
  <c r="Z378" i="23"/>
  <c r="AA378" i="23"/>
  <c r="AB378" i="23"/>
  <c r="AC378" i="23"/>
  <c r="AD378" i="23"/>
  <c r="AE378" i="23"/>
  <c r="AF378" i="23"/>
  <c r="AG378" i="23"/>
  <c r="AH378" i="23"/>
  <c r="AI378" i="23"/>
  <c r="AJ378" i="23"/>
  <c r="AK378" i="23"/>
  <c r="AL378" i="23"/>
  <c r="AM378" i="23"/>
  <c r="AN378" i="23"/>
  <c r="AO378" i="23"/>
  <c r="AP378" i="23"/>
  <c r="AQ378" i="23"/>
  <c r="AR378" i="23"/>
  <c r="AS378" i="23"/>
  <c r="AT378" i="23"/>
  <c r="AU378" i="23"/>
  <c r="AV378" i="23"/>
  <c r="AW378" i="23"/>
  <c r="AX378" i="23"/>
  <c r="AY378" i="23"/>
  <c r="AZ378" i="23"/>
  <c r="BA378" i="23"/>
  <c r="BB378" i="23"/>
  <c r="BC378" i="23"/>
  <c r="BD378" i="23"/>
  <c r="BE378" i="23"/>
  <c r="BF378" i="23"/>
  <c r="BG378" i="23"/>
  <c r="BH378" i="23"/>
  <c r="BI378" i="23"/>
  <c r="BJ378" i="23"/>
  <c r="BK378" i="23"/>
  <c r="BL378" i="23"/>
  <c r="BM378" i="23"/>
  <c r="BN378" i="23"/>
  <c r="BO378" i="23"/>
  <c r="BP378" i="23"/>
  <c r="BQ378" i="23"/>
  <c r="BR378" i="23"/>
  <c r="BS378" i="23"/>
  <c r="BT378" i="23"/>
  <c r="B379" i="23"/>
  <c r="C379" i="23"/>
  <c r="D379" i="23"/>
  <c r="E379" i="23"/>
  <c r="F379" i="23"/>
  <c r="G379" i="23"/>
  <c r="H379" i="23"/>
  <c r="I379" i="23"/>
  <c r="J379" i="23"/>
  <c r="K379" i="23"/>
  <c r="L379" i="23"/>
  <c r="M379" i="23"/>
  <c r="N379" i="23"/>
  <c r="O379" i="23"/>
  <c r="P379" i="23"/>
  <c r="Q379" i="23"/>
  <c r="R379" i="23"/>
  <c r="S379" i="23"/>
  <c r="T379" i="23"/>
  <c r="U379" i="23"/>
  <c r="V379" i="23"/>
  <c r="W379" i="23"/>
  <c r="X379" i="23"/>
  <c r="Y379" i="23"/>
  <c r="Z379" i="23"/>
  <c r="AA379" i="23"/>
  <c r="AB379" i="23"/>
  <c r="AC379" i="23"/>
  <c r="AD379" i="23"/>
  <c r="AE379" i="23"/>
  <c r="AF379" i="23"/>
  <c r="AG379" i="23"/>
  <c r="AH379" i="23"/>
  <c r="AI379" i="23"/>
  <c r="AJ379" i="23"/>
  <c r="AK379" i="23"/>
  <c r="AL379" i="23"/>
  <c r="AM379" i="23"/>
  <c r="AN379" i="23"/>
  <c r="AO379" i="23"/>
  <c r="AP379" i="23"/>
  <c r="AQ379" i="23"/>
  <c r="AR379" i="23"/>
  <c r="AS379" i="23"/>
  <c r="AT379" i="23"/>
  <c r="AU379" i="23"/>
  <c r="AV379" i="23"/>
  <c r="AW379" i="23"/>
  <c r="AX379" i="23"/>
  <c r="AY379" i="23"/>
  <c r="AZ379" i="23"/>
  <c r="BA379" i="23"/>
  <c r="BB379" i="23"/>
  <c r="BC379" i="23"/>
  <c r="BD379" i="23"/>
  <c r="BE379" i="23"/>
  <c r="BF379" i="23"/>
  <c r="BG379" i="23"/>
  <c r="BH379" i="23"/>
  <c r="BI379" i="23"/>
  <c r="BJ379" i="23"/>
  <c r="BK379" i="23"/>
  <c r="BL379" i="23"/>
  <c r="BM379" i="23"/>
  <c r="BN379" i="23"/>
  <c r="BO379" i="23"/>
  <c r="BP379" i="23"/>
  <c r="BQ379" i="23"/>
  <c r="BR379" i="23"/>
  <c r="BS379" i="23"/>
  <c r="BT379" i="23"/>
  <c r="B380" i="23"/>
  <c r="C380" i="23"/>
  <c r="D380" i="23"/>
  <c r="E380" i="23"/>
  <c r="F380" i="23"/>
  <c r="G380" i="23"/>
  <c r="H380" i="23"/>
  <c r="I380" i="23"/>
  <c r="J380" i="23"/>
  <c r="K380" i="23"/>
  <c r="L380" i="23"/>
  <c r="M380" i="23"/>
  <c r="N380" i="23"/>
  <c r="O380" i="23"/>
  <c r="P380" i="23"/>
  <c r="Q380" i="23"/>
  <c r="R380" i="23"/>
  <c r="S380" i="23"/>
  <c r="T380" i="23"/>
  <c r="U380" i="23"/>
  <c r="V380" i="23"/>
  <c r="W380" i="23"/>
  <c r="X380" i="23"/>
  <c r="Y380" i="23"/>
  <c r="Z380" i="23"/>
  <c r="AA380" i="23"/>
  <c r="AB380" i="23"/>
  <c r="AC380" i="23"/>
  <c r="AD380" i="23"/>
  <c r="AE380" i="23"/>
  <c r="AF380" i="23"/>
  <c r="AG380" i="23"/>
  <c r="AH380" i="23"/>
  <c r="AI380" i="23"/>
  <c r="AJ380" i="23"/>
  <c r="AK380" i="23"/>
  <c r="AL380" i="23"/>
  <c r="AM380" i="23"/>
  <c r="AN380" i="23"/>
  <c r="AO380" i="23"/>
  <c r="AP380" i="23"/>
  <c r="AQ380" i="23"/>
  <c r="AR380" i="23"/>
  <c r="AS380" i="23"/>
  <c r="AT380" i="23"/>
  <c r="AU380" i="23"/>
  <c r="AV380" i="23"/>
  <c r="AW380" i="23"/>
  <c r="AX380" i="23"/>
  <c r="AY380" i="23"/>
  <c r="AZ380" i="23"/>
  <c r="BA380" i="23"/>
  <c r="BB380" i="23"/>
  <c r="BC380" i="23"/>
  <c r="BD380" i="23"/>
  <c r="BE380" i="23"/>
  <c r="BF380" i="23"/>
  <c r="BG380" i="23"/>
  <c r="BH380" i="23"/>
  <c r="BI380" i="23"/>
  <c r="BJ380" i="23"/>
  <c r="BK380" i="23"/>
  <c r="BL380" i="23"/>
  <c r="BM380" i="23"/>
  <c r="BN380" i="23"/>
  <c r="BO380" i="23"/>
  <c r="BP380" i="23"/>
  <c r="BQ380" i="23"/>
  <c r="BR380" i="23"/>
  <c r="BS380" i="23"/>
  <c r="BT380" i="23"/>
  <c r="B381" i="23"/>
  <c r="C381" i="23"/>
  <c r="D381" i="23"/>
  <c r="E381" i="23"/>
  <c r="F381" i="23"/>
  <c r="G381" i="23"/>
  <c r="H381" i="23"/>
  <c r="I381" i="23"/>
  <c r="J381" i="23"/>
  <c r="K381" i="23"/>
  <c r="L381" i="23"/>
  <c r="M381" i="23"/>
  <c r="N381" i="23"/>
  <c r="O381" i="23"/>
  <c r="P381" i="23"/>
  <c r="Q381" i="23"/>
  <c r="R381" i="23"/>
  <c r="S381" i="23"/>
  <c r="T381" i="23"/>
  <c r="U381" i="23"/>
  <c r="V381" i="23"/>
  <c r="W381" i="23"/>
  <c r="X381" i="23"/>
  <c r="Y381" i="23"/>
  <c r="Z381" i="23"/>
  <c r="AA381" i="23"/>
  <c r="AB381" i="23"/>
  <c r="AC381" i="23"/>
  <c r="AD381" i="23"/>
  <c r="AE381" i="23"/>
  <c r="AF381" i="23"/>
  <c r="AG381" i="23"/>
  <c r="AH381" i="23"/>
  <c r="AI381" i="23"/>
  <c r="AJ381" i="23"/>
  <c r="AK381" i="23"/>
  <c r="AL381" i="23"/>
  <c r="AM381" i="23"/>
  <c r="AN381" i="23"/>
  <c r="AO381" i="23"/>
  <c r="AP381" i="23"/>
  <c r="AQ381" i="23"/>
  <c r="AR381" i="23"/>
  <c r="AS381" i="23"/>
  <c r="AT381" i="23"/>
  <c r="AU381" i="23"/>
  <c r="AV381" i="23"/>
  <c r="AW381" i="23"/>
  <c r="AX381" i="23"/>
  <c r="AY381" i="23"/>
  <c r="AZ381" i="23"/>
  <c r="BA381" i="23"/>
  <c r="BB381" i="23"/>
  <c r="BC381" i="23"/>
  <c r="BD381" i="23"/>
  <c r="BE381" i="23"/>
  <c r="BF381" i="23"/>
  <c r="BG381" i="23"/>
  <c r="BH381" i="23"/>
  <c r="BI381" i="23"/>
  <c r="BJ381" i="23"/>
  <c r="BK381" i="23"/>
  <c r="BL381" i="23"/>
  <c r="BM381" i="23"/>
  <c r="BN381" i="23"/>
  <c r="BO381" i="23"/>
  <c r="BP381" i="23"/>
  <c r="BQ381" i="23"/>
  <c r="BR381" i="23"/>
  <c r="BS381" i="23"/>
  <c r="BT381" i="23"/>
  <c r="B382" i="23"/>
  <c r="C382" i="23"/>
  <c r="D382" i="23"/>
  <c r="E382" i="23"/>
  <c r="F382" i="23"/>
  <c r="G382" i="23"/>
  <c r="H382" i="23"/>
  <c r="I382" i="23"/>
  <c r="J382" i="23"/>
  <c r="K382" i="23"/>
  <c r="L382" i="23"/>
  <c r="M382" i="23"/>
  <c r="N382" i="23"/>
  <c r="O382" i="23"/>
  <c r="P382" i="23"/>
  <c r="Q382" i="23"/>
  <c r="R382" i="23"/>
  <c r="S382" i="23"/>
  <c r="T382" i="23"/>
  <c r="U382" i="23"/>
  <c r="V382" i="23"/>
  <c r="W382" i="23"/>
  <c r="X382" i="23"/>
  <c r="Y382" i="23"/>
  <c r="Z382" i="23"/>
  <c r="AA382" i="23"/>
  <c r="AB382" i="23"/>
  <c r="AC382" i="23"/>
  <c r="AD382" i="23"/>
  <c r="AE382" i="23"/>
  <c r="AF382" i="23"/>
  <c r="AG382" i="23"/>
  <c r="AH382" i="23"/>
  <c r="AI382" i="23"/>
  <c r="AJ382" i="23"/>
  <c r="AK382" i="23"/>
  <c r="AL382" i="23"/>
  <c r="AM382" i="23"/>
  <c r="AN382" i="23"/>
  <c r="AO382" i="23"/>
  <c r="AP382" i="23"/>
  <c r="AQ382" i="23"/>
  <c r="AR382" i="23"/>
  <c r="AS382" i="23"/>
  <c r="AT382" i="23"/>
  <c r="AU382" i="23"/>
  <c r="AV382" i="23"/>
  <c r="AW382" i="23"/>
  <c r="AX382" i="23"/>
  <c r="AY382" i="23"/>
  <c r="AZ382" i="23"/>
  <c r="BA382" i="23"/>
  <c r="BB382" i="23"/>
  <c r="BC382" i="23"/>
  <c r="BD382" i="23"/>
  <c r="BE382" i="23"/>
  <c r="BF382" i="23"/>
  <c r="BG382" i="23"/>
  <c r="BH382" i="23"/>
  <c r="BI382" i="23"/>
  <c r="BJ382" i="23"/>
  <c r="BK382" i="23"/>
  <c r="BL382" i="23"/>
  <c r="BM382" i="23"/>
  <c r="BN382" i="23"/>
  <c r="BO382" i="23"/>
  <c r="BP382" i="23"/>
  <c r="BQ382" i="23"/>
  <c r="BR382" i="23"/>
  <c r="BS382" i="23"/>
  <c r="BT382" i="23"/>
  <c r="B383" i="23"/>
  <c r="C383" i="23"/>
  <c r="D383" i="23"/>
  <c r="E383" i="23"/>
  <c r="F383" i="23"/>
  <c r="G383" i="23"/>
  <c r="H383" i="23"/>
  <c r="I383" i="23"/>
  <c r="J383" i="23"/>
  <c r="K383" i="23"/>
  <c r="L383" i="23"/>
  <c r="M383" i="23"/>
  <c r="N383" i="23"/>
  <c r="O383" i="23"/>
  <c r="P383" i="23"/>
  <c r="Q383" i="23"/>
  <c r="R383" i="23"/>
  <c r="S383" i="23"/>
  <c r="T383" i="23"/>
  <c r="U383" i="23"/>
  <c r="V383" i="23"/>
  <c r="W383" i="23"/>
  <c r="X383" i="23"/>
  <c r="Y383" i="23"/>
  <c r="Z383" i="23"/>
  <c r="AA383" i="23"/>
  <c r="AB383" i="23"/>
  <c r="AC383" i="23"/>
  <c r="AD383" i="23"/>
  <c r="AE383" i="23"/>
  <c r="AF383" i="23"/>
  <c r="AG383" i="23"/>
  <c r="AH383" i="23"/>
  <c r="AI383" i="23"/>
  <c r="AJ383" i="23"/>
  <c r="AK383" i="23"/>
  <c r="AL383" i="23"/>
  <c r="AM383" i="23"/>
  <c r="AN383" i="23"/>
  <c r="AO383" i="23"/>
  <c r="AP383" i="23"/>
  <c r="AQ383" i="23"/>
  <c r="AR383" i="23"/>
  <c r="AS383" i="23"/>
  <c r="AT383" i="23"/>
  <c r="AU383" i="23"/>
  <c r="AV383" i="23"/>
  <c r="AW383" i="23"/>
  <c r="AX383" i="23"/>
  <c r="AY383" i="23"/>
  <c r="AZ383" i="23"/>
  <c r="BA383" i="23"/>
  <c r="BB383" i="23"/>
  <c r="BC383" i="23"/>
  <c r="BD383" i="23"/>
  <c r="BE383" i="23"/>
  <c r="BF383" i="23"/>
  <c r="BG383" i="23"/>
  <c r="BH383" i="23"/>
  <c r="BI383" i="23"/>
  <c r="BJ383" i="23"/>
  <c r="BK383" i="23"/>
  <c r="BL383" i="23"/>
  <c r="BM383" i="23"/>
  <c r="BN383" i="23"/>
  <c r="BO383" i="23"/>
  <c r="BP383" i="23"/>
  <c r="BQ383" i="23"/>
  <c r="BR383" i="23"/>
  <c r="BS383" i="23"/>
  <c r="BT383" i="23"/>
  <c r="B384" i="23"/>
  <c r="C384" i="23"/>
  <c r="D384" i="23"/>
  <c r="E384" i="23"/>
  <c r="F384" i="23"/>
  <c r="G384" i="23"/>
  <c r="H384" i="23"/>
  <c r="I384" i="23"/>
  <c r="J384" i="23"/>
  <c r="K384" i="23"/>
  <c r="L384" i="23"/>
  <c r="M384" i="23"/>
  <c r="N384" i="23"/>
  <c r="O384" i="23"/>
  <c r="P384" i="23"/>
  <c r="Q384" i="23"/>
  <c r="R384" i="23"/>
  <c r="S384" i="23"/>
  <c r="T384" i="23"/>
  <c r="U384" i="23"/>
  <c r="V384" i="23"/>
  <c r="W384" i="23"/>
  <c r="X384" i="23"/>
  <c r="Y384" i="23"/>
  <c r="Z384" i="23"/>
  <c r="AA384" i="23"/>
  <c r="AB384" i="23"/>
  <c r="AC384" i="23"/>
  <c r="AD384" i="23"/>
  <c r="AE384" i="23"/>
  <c r="AF384" i="23"/>
  <c r="AG384" i="23"/>
  <c r="AH384" i="23"/>
  <c r="AI384" i="23"/>
  <c r="AJ384" i="23"/>
  <c r="AK384" i="23"/>
  <c r="AL384" i="23"/>
  <c r="AM384" i="23"/>
  <c r="AN384" i="23"/>
  <c r="AO384" i="23"/>
  <c r="AP384" i="23"/>
  <c r="AQ384" i="23"/>
  <c r="AR384" i="23"/>
  <c r="AS384" i="23"/>
  <c r="AT384" i="23"/>
  <c r="AU384" i="23"/>
  <c r="AV384" i="23"/>
  <c r="AW384" i="23"/>
  <c r="AX384" i="23"/>
  <c r="AY384" i="23"/>
  <c r="AZ384" i="23"/>
  <c r="BA384" i="23"/>
  <c r="BB384" i="23"/>
  <c r="BC384" i="23"/>
  <c r="BD384" i="23"/>
  <c r="BE384" i="23"/>
  <c r="BF384" i="23"/>
  <c r="BG384" i="23"/>
  <c r="BH384" i="23"/>
  <c r="BI384" i="23"/>
  <c r="BJ384" i="23"/>
  <c r="BK384" i="23"/>
  <c r="BL384" i="23"/>
  <c r="BM384" i="23"/>
  <c r="BN384" i="23"/>
  <c r="BO384" i="23"/>
  <c r="BP384" i="23"/>
  <c r="BQ384" i="23"/>
  <c r="BR384" i="23"/>
  <c r="BS384" i="23"/>
  <c r="BT384" i="23"/>
  <c r="B385" i="23"/>
  <c r="C385" i="23"/>
  <c r="D385" i="23"/>
  <c r="E385" i="23"/>
  <c r="F385" i="23"/>
  <c r="G385" i="23"/>
  <c r="H385" i="23"/>
  <c r="I385" i="23"/>
  <c r="J385" i="23"/>
  <c r="K385" i="23"/>
  <c r="L385" i="23"/>
  <c r="M385" i="23"/>
  <c r="N385" i="23"/>
  <c r="O385" i="23"/>
  <c r="P385" i="23"/>
  <c r="Q385" i="23"/>
  <c r="R385" i="23"/>
  <c r="S385" i="23"/>
  <c r="T385" i="23"/>
  <c r="U385" i="23"/>
  <c r="V385" i="23"/>
  <c r="W385" i="23"/>
  <c r="X385" i="23"/>
  <c r="Y385" i="23"/>
  <c r="Z385" i="23"/>
  <c r="AA385" i="23"/>
  <c r="AB385" i="23"/>
  <c r="AC385" i="23"/>
  <c r="AD385" i="23"/>
  <c r="AE385" i="23"/>
  <c r="AF385" i="23"/>
  <c r="AG385" i="23"/>
  <c r="AH385" i="23"/>
  <c r="AI385" i="23"/>
  <c r="AJ385" i="23"/>
  <c r="AK385" i="23"/>
  <c r="AL385" i="23"/>
  <c r="AM385" i="23"/>
  <c r="AN385" i="23"/>
  <c r="AO385" i="23"/>
  <c r="AP385" i="23"/>
  <c r="AQ385" i="23"/>
  <c r="AR385" i="23"/>
  <c r="AS385" i="23"/>
  <c r="AT385" i="23"/>
  <c r="AU385" i="23"/>
  <c r="AV385" i="23"/>
  <c r="AW385" i="23"/>
  <c r="AX385" i="23"/>
  <c r="AY385" i="23"/>
  <c r="AZ385" i="23"/>
  <c r="BA385" i="23"/>
  <c r="BB385" i="23"/>
  <c r="BC385" i="23"/>
  <c r="BD385" i="23"/>
  <c r="BE385" i="23"/>
  <c r="BF385" i="23"/>
  <c r="BG385" i="23"/>
  <c r="BH385" i="23"/>
  <c r="BI385" i="23"/>
  <c r="BJ385" i="23"/>
  <c r="BK385" i="23"/>
  <c r="BL385" i="23"/>
  <c r="BM385" i="23"/>
  <c r="BN385" i="23"/>
  <c r="BO385" i="23"/>
  <c r="BP385" i="23"/>
  <c r="BQ385" i="23"/>
  <c r="BR385" i="23"/>
  <c r="BS385" i="23"/>
  <c r="BT385" i="23"/>
  <c r="B386" i="23"/>
  <c r="C386" i="23"/>
  <c r="D386" i="23"/>
  <c r="E386" i="23"/>
  <c r="F386" i="23"/>
  <c r="G386" i="23"/>
  <c r="H386" i="23"/>
  <c r="I386" i="23"/>
  <c r="J386" i="23"/>
  <c r="K386" i="23"/>
  <c r="L386" i="23"/>
  <c r="M386" i="23"/>
  <c r="N386" i="23"/>
  <c r="O386" i="23"/>
  <c r="P386" i="23"/>
  <c r="Q386" i="23"/>
  <c r="R386" i="23"/>
  <c r="S386" i="23"/>
  <c r="T386" i="23"/>
  <c r="U386" i="23"/>
  <c r="V386" i="23"/>
  <c r="W386" i="23"/>
  <c r="X386" i="23"/>
  <c r="Y386" i="23"/>
  <c r="Z386" i="23"/>
  <c r="AA386" i="23"/>
  <c r="AB386" i="23"/>
  <c r="AC386" i="23"/>
  <c r="AD386" i="23"/>
  <c r="AE386" i="23"/>
  <c r="AF386" i="23"/>
  <c r="AG386" i="23"/>
  <c r="AH386" i="23"/>
  <c r="AI386" i="23"/>
  <c r="AJ386" i="23"/>
  <c r="AK386" i="23"/>
  <c r="AL386" i="23"/>
  <c r="AM386" i="23"/>
  <c r="AN386" i="23"/>
  <c r="AO386" i="23"/>
  <c r="AP386" i="23"/>
  <c r="AQ386" i="23"/>
  <c r="AR386" i="23"/>
  <c r="AS386" i="23"/>
  <c r="AT386" i="23"/>
  <c r="AU386" i="23"/>
  <c r="AV386" i="23"/>
  <c r="AW386" i="23"/>
  <c r="AX386" i="23"/>
  <c r="AY386" i="23"/>
  <c r="AZ386" i="23"/>
  <c r="BA386" i="23"/>
  <c r="BB386" i="23"/>
  <c r="BC386" i="23"/>
  <c r="BD386" i="23"/>
  <c r="BE386" i="23"/>
  <c r="BF386" i="23"/>
  <c r="BG386" i="23"/>
  <c r="BH386" i="23"/>
  <c r="BI386" i="23"/>
  <c r="BJ386" i="23"/>
  <c r="BK386" i="23"/>
  <c r="BL386" i="23"/>
  <c r="BM386" i="23"/>
  <c r="BN386" i="23"/>
  <c r="BO386" i="23"/>
  <c r="BP386" i="23"/>
  <c r="BQ386" i="23"/>
  <c r="BR386" i="23"/>
  <c r="BS386" i="23"/>
  <c r="BT386" i="23"/>
  <c r="B387" i="23"/>
  <c r="C387" i="23"/>
  <c r="D387" i="23"/>
  <c r="E387" i="23"/>
  <c r="F387" i="23"/>
  <c r="G387" i="23"/>
  <c r="H387" i="23"/>
  <c r="I387" i="23"/>
  <c r="J387" i="23"/>
  <c r="K387" i="23"/>
  <c r="L387" i="23"/>
  <c r="M387" i="23"/>
  <c r="N387" i="23"/>
  <c r="O387" i="23"/>
  <c r="P387" i="23"/>
  <c r="Q387" i="23"/>
  <c r="R387" i="23"/>
  <c r="S387" i="23"/>
  <c r="T387" i="23"/>
  <c r="U387" i="23"/>
  <c r="V387" i="23"/>
  <c r="W387" i="23"/>
  <c r="X387" i="23"/>
  <c r="Y387" i="23"/>
  <c r="Z387" i="23"/>
  <c r="AA387" i="23"/>
  <c r="AB387" i="23"/>
  <c r="AC387" i="23"/>
  <c r="AD387" i="23"/>
  <c r="AE387" i="23"/>
  <c r="AF387" i="23"/>
  <c r="AG387" i="23"/>
  <c r="AH387" i="23"/>
  <c r="AI387" i="23"/>
  <c r="AJ387" i="23"/>
  <c r="AK387" i="23"/>
  <c r="AL387" i="23"/>
  <c r="AM387" i="23"/>
  <c r="AN387" i="23"/>
  <c r="AO387" i="23"/>
  <c r="AP387" i="23"/>
  <c r="AQ387" i="23"/>
  <c r="AR387" i="23"/>
  <c r="AS387" i="23"/>
  <c r="AT387" i="23"/>
  <c r="AU387" i="23"/>
  <c r="AV387" i="23"/>
  <c r="AW387" i="23"/>
  <c r="AX387" i="23"/>
  <c r="AY387" i="23"/>
  <c r="AZ387" i="23"/>
  <c r="BA387" i="23"/>
  <c r="BB387" i="23"/>
  <c r="BC387" i="23"/>
  <c r="BD387" i="23"/>
  <c r="BE387" i="23"/>
  <c r="BF387" i="23"/>
  <c r="BG387" i="23"/>
  <c r="BH387" i="23"/>
  <c r="BI387" i="23"/>
  <c r="BJ387" i="23"/>
  <c r="BK387" i="23"/>
  <c r="BL387" i="23"/>
  <c r="BM387" i="23"/>
  <c r="BN387" i="23"/>
  <c r="BO387" i="23"/>
  <c r="BP387" i="23"/>
  <c r="BQ387" i="23"/>
  <c r="BR387" i="23"/>
  <c r="BS387" i="23"/>
  <c r="BT387" i="23"/>
  <c r="B388" i="23"/>
  <c r="C388" i="23"/>
  <c r="D388" i="23"/>
  <c r="E388" i="23"/>
  <c r="F388" i="23"/>
  <c r="G388" i="23"/>
  <c r="H388" i="23"/>
  <c r="I388" i="23"/>
  <c r="J388" i="23"/>
  <c r="K388" i="23"/>
  <c r="L388" i="23"/>
  <c r="M388" i="23"/>
  <c r="N388" i="23"/>
  <c r="O388" i="23"/>
  <c r="P388" i="23"/>
  <c r="Q388" i="23"/>
  <c r="R388" i="23"/>
  <c r="S388" i="23"/>
  <c r="T388" i="23"/>
  <c r="U388" i="23"/>
  <c r="V388" i="23"/>
  <c r="W388" i="23"/>
  <c r="X388" i="23"/>
  <c r="Y388" i="23"/>
  <c r="Z388" i="23"/>
  <c r="AA388" i="23"/>
  <c r="AB388" i="23"/>
  <c r="AC388" i="23"/>
  <c r="AD388" i="23"/>
  <c r="AE388" i="23"/>
  <c r="AF388" i="23"/>
  <c r="AG388" i="23"/>
  <c r="AH388" i="23"/>
  <c r="AI388" i="23"/>
  <c r="AJ388" i="23"/>
  <c r="AK388" i="23"/>
  <c r="AL388" i="23"/>
  <c r="AM388" i="23"/>
  <c r="AN388" i="23"/>
  <c r="AO388" i="23"/>
  <c r="AP388" i="23"/>
  <c r="AQ388" i="23"/>
  <c r="AR388" i="23"/>
  <c r="AS388" i="23"/>
  <c r="AT388" i="23"/>
  <c r="AU388" i="23"/>
  <c r="AV388" i="23"/>
  <c r="AW388" i="23"/>
  <c r="AX388" i="23"/>
  <c r="AY388" i="23"/>
  <c r="AZ388" i="23"/>
  <c r="BA388" i="23"/>
  <c r="BB388" i="23"/>
  <c r="BC388" i="23"/>
  <c r="BD388" i="23"/>
  <c r="BE388" i="23"/>
  <c r="BF388" i="23"/>
  <c r="BG388" i="23"/>
  <c r="BH388" i="23"/>
  <c r="BI388" i="23"/>
  <c r="BJ388" i="23"/>
  <c r="BK388" i="23"/>
  <c r="BL388" i="23"/>
  <c r="BM388" i="23"/>
  <c r="BN388" i="23"/>
  <c r="BO388" i="23"/>
  <c r="BP388" i="23"/>
  <c r="BQ388" i="23"/>
  <c r="BR388" i="23"/>
  <c r="BS388" i="23"/>
  <c r="BT388" i="23"/>
  <c r="B389" i="23"/>
  <c r="C389" i="23"/>
  <c r="D389" i="23"/>
  <c r="E389" i="23"/>
  <c r="F389" i="23"/>
  <c r="G389" i="23"/>
  <c r="H389" i="23"/>
  <c r="I389" i="23"/>
  <c r="J389" i="23"/>
  <c r="K389" i="23"/>
  <c r="L389" i="23"/>
  <c r="M389" i="23"/>
  <c r="N389" i="23"/>
  <c r="O389" i="23"/>
  <c r="P389" i="23"/>
  <c r="Q389" i="23"/>
  <c r="R389" i="23"/>
  <c r="S389" i="23"/>
  <c r="T389" i="23"/>
  <c r="U389" i="23"/>
  <c r="V389" i="23"/>
  <c r="W389" i="23"/>
  <c r="X389" i="23"/>
  <c r="Y389" i="23"/>
  <c r="Z389" i="23"/>
  <c r="AA389" i="23"/>
  <c r="AB389" i="23"/>
  <c r="AC389" i="23"/>
  <c r="AD389" i="23"/>
  <c r="AE389" i="23"/>
  <c r="AF389" i="23"/>
  <c r="AG389" i="23"/>
  <c r="AH389" i="23"/>
  <c r="AI389" i="23"/>
  <c r="AJ389" i="23"/>
  <c r="AK389" i="23"/>
  <c r="AL389" i="23"/>
  <c r="AM389" i="23"/>
  <c r="AN389" i="23"/>
  <c r="AO389" i="23"/>
  <c r="AP389" i="23"/>
  <c r="AQ389" i="23"/>
  <c r="AR389" i="23"/>
  <c r="AS389" i="23"/>
  <c r="AT389" i="23"/>
  <c r="AU389" i="23"/>
  <c r="AV389" i="23"/>
  <c r="AW389" i="23"/>
  <c r="AX389" i="23"/>
  <c r="AY389" i="23"/>
  <c r="AZ389" i="23"/>
  <c r="BA389" i="23"/>
  <c r="BB389" i="23"/>
  <c r="BC389" i="23"/>
  <c r="BD389" i="23"/>
  <c r="BE389" i="23"/>
  <c r="BF389" i="23"/>
  <c r="BG389" i="23"/>
  <c r="BH389" i="23"/>
  <c r="BI389" i="23"/>
  <c r="BJ389" i="23"/>
  <c r="BK389" i="23"/>
  <c r="BL389" i="23"/>
  <c r="BM389" i="23"/>
  <c r="BN389" i="23"/>
  <c r="BO389" i="23"/>
  <c r="BP389" i="23"/>
  <c r="BQ389" i="23"/>
  <c r="BR389" i="23"/>
  <c r="BS389" i="23"/>
  <c r="BT389" i="23"/>
  <c r="B390" i="23"/>
  <c r="C390" i="23"/>
  <c r="D390" i="23"/>
  <c r="E390" i="23"/>
  <c r="F390" i="23"/>
  <c r="G390" i="23"/>
  <c r="H390" i="23"/>
  <c r="I390" i="23"/>
  <c r="J390" i="23"/>
  <c r="K390" i="23"/>
  <c r="L390" i="23"/>
  <c r="M390" i="23"/>
  <c r="N390" i="23"/>
  <c r="O390" i="23"/>
  <c r="P390" i="23"/>
  <c r="Q390" i="23"/>
  <c r="R390" i="23"/>
  <c r="S390" i="23"/>
  <c r="T390" i="23"/>
  <c r="U390" i="23"/>
  <c r="V390" i="23"/>
  <c r="W390" i="23"/>
  <c r="X390" i="23"/>
  <c r="Y390" i="23"/>
  <c r="Z390" i="23"/>
  <c r="AA390" i="23"/>
  <c r="AB390" i="23"/>
  <c r="AC390" i="23"/>
  <c r="AD390" i="23"/>
  <c r="AE390" i="23"/>
  <c r="AF390" i="23"/>
  <c r="AG390" i="23"/>
  <c r="AH390" i="23"/>
  <c r="AI390" i="23"/>
  <c r="AJ390" i="23"/>
  <c r="AK390" i="23"/>
  <c r="AL390" i="23"/>
  <c r="AM390" i="23"/>
  <c r="AN390" i="23"/>
  <c r="AO390" i="23"/>
  <c r="AP390" i="23"/>
  <c r="AQ390" i="23"/>
  <c r="AR390" i="23"/>
  <c r="AS390" i="23"/>
  <c r="AT390" i="23"/>
  <c r="AU390" i="23"/>
  <c r="AV390" i="23"/>
  <c r="AW390" i="23"/>
  <c r="AX390" i="23"/>
  <c r="AY390" i="23"/>
  <c r="AZ390" i="23"/>
  <c r="BA390" i="23"/>
  <c r="BB390" i="23"/>
  <c r="BC390" i="23"/>
  <c r="BD390" i="23"/>
  <c r="BE390" i="23"/>
  <c r="BF390" i="23"/>
  <c r="BG390" i="23"/>
  <c r="BH390" i="23"/>
  <c r="BI390" i="23"/>
  <c r="BJ390" i="23"/>
  <c r="BK390" i="23"/>
  <c r="BL390" i="23"/>
  <c r="BM390" i="23"/>
  <c r="BN390" i="23"/>
  <c r="BO390" i="23"/>
  <c r="BP390" i="23"/>
  <c r="BQ390" i="23"/>
  <c r="BR390" i="23"/>
  <c r="BS390" i="23"/>
  <c r="BT390" i="23"/>
  <c r="B391" i="23"/>
  <c r="C391" i="23"/>
  <c r="D391" i="23"/>
  <c r="E391" i="23"/>
  <c r="F391" i="23"/>
  <c r="G391" i="23"/>
  <c r="H391" i="23"/>
  <c r="I391" i="23"/>
  <c r="J391" i="23"/>
  <c r="K391" i="23"/>
  <c r="L391" i="23"/>
  <c r="M391" i="23"/>
  <c r="N391" i="23"/>
  <c r="O391" i="23"/>
  <c r="P391" i="23"/>
  <c r="Q391" i="23"/>
  <c r="R391" i="23"/>
  <c r="S391" i="23"/>
  <c r="T391" i="23"/>
  <c r="U391" i="23"/>
  <c r="V391" i="23"/>
  <c r="W391" i="23"/>
  <c r="X391" i="23"/>
  <c r="Y391" i="23"/>
  <c r="Z391" i="23"/>
  <c r="AA391" i="23"/>
  <c r="AB391" i="23"/>
  <c r="AC391" i="23"/>
  <c r="AD391" i="23"/>
  <c r="AE391" i="23"/>
  <c r="AF391" i="23"/>
  <c r="AG391" i="23"/>
  <c r="AH391" i="23"/>
  <c r="AI391" i="23"/>
  <c r="AJ391" i="23"/>
  <c r="AK391" i="23"/>
  <c r="AL391" i="23"/>
  <c r="AM391" i="23"/>
  <c r="AN391" i="23"/>
  <c r="AO391" i="23"/>
  <c r="AP391" i="23"/>
  <c r="AQ391" i="23"/>
  <c r="AR391" i="23"/>
  <c r="AS391" i="23"/>
  <c r="AT391" i="23"/>
  <c r="AU391" i="23"/>
  <c r="AV391" i="23"/>
  <c r="AW391" i="23"/>
  <c r="AX391" i="23"/>
  <c r="AY391" i="23"/>
  <c r="AZ391" i="23"/>
  <c r="BA391" i="23"/>
  <c r="BB391" i="23"/>
  <c r="BC391" i="23"/>
  <c r="BD391" i="23"/>
  <c r="BE391" i="23"/>
  <c r="BF391" i="23"/>
  <c r="BG391" i="23"/>
  <c r="BH391" i="23"/>
  <c r="BI391" i="23"/>
  <c r="BJ391" i="23"/>
  <c r="BK391" i="23"/>
  <c r="BL391" i="23"/>
  <c r="BM391" i="23"/>
  <c r="BN391" i="23"/>
  <c r="BO391" i="23"/>
  <c r="BP391" i="23"/>
  <c r="BQ391" i="23"/>
  <c r="BR391" i="23"/>
  <c r="BS391" i="23"/>
  <c r="BT391" i="23"/>
  <c r="B392" i="23"/>
  <c r="C392" i="23"/>
  <c r="D392" i="23"/>
  <c r="E392" i="23"/>
  <c r="F392" i="23"/>
  <c r="G392" i="23"/>
  <c r="H392" i="23"/>
  <c r="I392" i="23"/>
  <c r="J392" i="23"/>
  <c r="K392" i="23"/>
  <c r="L392" i="23"/>
  <c r="M392" i="23"/>
  <c r="N392" i="23"/>
  <c r="O392" i="23"/>
  <c r="P392" i="23"/>
  <c r="Q392" i="23"/>
  <c r="R392" i="23"/>
  <c r="S392" i="23"/>
  <c r="T392" i="23"/>
  <c r="U392" i="23"/>
  <c r="V392" i="23"/>
  <c r="W392" i="23"/>
  <c r="X392" i="23"/>
  <c r="Y392" i="23"/>
  <c r="Z392" i="23"/>
  <c r="AA392" i="23"/>
  <c r="AB392" i="23"/>
  <c r="AC392" i="23"/>
  <c r="AD392" i="23"/>
  <c r="AE392" i="23"/>
  <c r="AF392" i="23"/>
  <c r="AG392" i="23"/>
  <c r="AH392" i="23"/>
  <c r="AI392" i="23"/>
  <c r="AJ392" i="23"/>
  <c r="AK392" i="23"/>
  <c r="AL392" i="23"/>
  <c r="AM392" i="23"/>
  <c r="AN392" i="23"/>
  <c r="AO392" i="23"/>
  <c r="AP392" i="23"/>
  <c r="AQ392" i="23"/>
  <c r="AR392" i="23"/>
  <c r="AS392" i="23"/>
  <c r="AT392" i="23"/>
  <c r="AU392" i="23"/>
  <c r="AV392" i="23"/>
  <c r="AW392" i="23"/>
  <c r="AX392" i="23"/>
  <c r="AY392" i="23"/>
  <c r="AZ392" i="23"/>
  <c r="BA392" i="23"/>
  <c r="BB392" i="23"/>
  <c r="BC392" i="23"/>
  <c r="BD392" i="23"/>
  <c r="BE392" i="23"/>
  <c r="BF392" i="23"/>
  <c r="BG392" i="23"/>
  <c r="BH392" i="23"/>
  <c r="BI392" i="23"/>
  <c r="BJ392" i="23"/>
  <c r="BK392" i="23"/>
  <c r="BL392" i="23"/>
  <c r="BM392" i="23"/>
  <c r="BN392" i="23"/>
  <c r="BO392" i="23"/>
  <c r="BP392" i="23"/>
  <c r="BQ392" i="23"/>
  <c r="BR392" i="23"/>
  <c r="BS392" i="23"/>
  <c r="BT392" i="23"/>
  <c r="B393" i="23"/>
  <c r="C393" i="23"/>
  <c r="D393" i="23"/>
  <c r="E393" i="23"/>
  <c r="F393" i="23"/>
  <c r="G393" i="23"/>
  <c r="H393" i="23"/>
  <c r="I393" i="23"/>
  <c r="J393" i="23"/>
  <c r="K393" i="23"/>
  <c r="L393" i="23"/>
  <c r="M393" i="23"/>
  <c r="N393" i="23"/>
  <c r="O393" i="23"/>
  <c r="P393" i="23"/>
  <c r="Q393" i="23"/>
  <c r="R393" i="23"/>
  <c r="S393" i="23"/>
  <c r="T393" i="23"/>
  <c r="U393" i="23"/>
  <c r="V393" i="23"/>
  <c r="W393" i="23"/>
  <c r="X393" i="23"/>
  <c r="Y393" i="23"/>
  <c r="Z393" i="23"/>
  <c r="AA393" i="23"/>
  <c r="AB393" i="23"/>
  <c r="AC393" i="23"/>
  <c r="AD393" i="23"/>
  <c r="AE393" i="23"/>
  <c r="AF393" i="23"/>
  <c r="AG393" i="23"/>
  <c r="AH393" i="23"/>
  <c r="AI393" i="23"/>
  <c r="AJ393" i="23"/>
  <c r="AK393" i="23"/>
  <c r="AL393" i="23"/>
  <c r="AM393" i="23"/>
  <c r="AN393" i="23"/>
  <c r="AO393" i="23"/>
  <c r="AP393" i="23"/>
  <c r="AQ393" i="23"/>
  <c r="AR393" i="23"/>
  <c r="AS393" i="23"/>
  <c r="AT393" i="23"/>
  <c r="AU393" i="23"/>
  <c r="AV393" i="23"/>
  <c r="AW393" i="23"/>
  <c r="AX393" i="23"/>
  <c r="AY393" i="23"/>
  <c r="AZ393" i="23"/>
  <c r="BA393" i="23"/>
  <c r="BB393" i="23"/>
  <c r="BC393" i="23"/>
  <c r="BD393" i="23"/>
  <c r="BE393" i="23"/>
  <c r="BF393" i="23"/>
  <c r="BG393" i="23"/>
  <c r="BH393" i="23"/>
  <c r="BI393" i="23"/>
  <c r="BJ393" i="23"/>
  <c r="BK393" i="23"/>
  <c r="BL393" i="23"/>
  <c r="BM393" i="23"/>
  <c r="BN393" i="23"/>
  <c r="BO393" i="23"/>
  <c r="BP393" i="23"/>
  <c r="BQ393" i="23"/>
  <c r="BR393" i="23"/>
  <c r="BS393" i="23"/>
  <c r="BT393" i="23"/>
  <c r="B394" i="23"/>
  <c r="C394" i="23"/>
  <c r="D394" i="23"/>
  <c r="E394" i="23"/>
  <c r="F394" i="23"/>
  <c r="G394" i="23"/>
  <c r="H394" i="23"/>
  <c r="I394" i="23"/>
  <c r="J394" i="23"/>
  <c r="K394" i="23"/>
  <c r="L394" i="23"/>
  <c r="M394" i="23"/>
  <c r="N394" i="23"/>
  <c r="O394" i="23"/>
  <c r="P394" i="23"/>
  <c r="Q394" i="23"/>
  <c r="R394" i="23"/>
  <c r="S394" i="23"/>
  <c r="T394" i="23"/>
  <c r="U394" i="23"/>
  <c r="V394" i="23"/>
  <c r="W394" i="23"/>
  <c r="X394" i="23"/>
  <c r="Y394" i="23"/>
  <c r="Z394" i="23"/>
  <c r="AA394" i="23"/>
  <c r="AB394" i="23"/>
  <c r="AC394" i="23"/>
  <c r="AD394" i="23"/>
  <c r="AE394" i="23"/>
  <c r="AF394" i="23"/>
  <c r="AG394" i="23"/>
  <c r="AH394" i="23"/>
  <c r="AI394" i="23"/>
  <c r="AJ394" i="23"/>
  <c r="AK394" i="23"/>
  <c r="AL394" i="23"/>
  <c r="AM394" i="23"/>
  <c r="AN394" i="23"/>
  <c r="AO394" i="23"/>
  <c r="AP394" i="23"/>
  <c r="AQ394" i="23"/>
  <c r="AR394" i="23"/>
  <c r="AS394" i="23"/>
  <c r="AT394" i="23"/>
  <c r="AU394" i="23"/>
  <c r="AV394" i="23"/>
  <c r="AW394" i="23"/>
  <c r="AX394" i="23"/>
  <c r="AY394" i="23"/>
  <c r="AZ394" i="23"/>
  <c r="BA394" i="23"/>
  <c r="BB394" i="23"/>
  <c r="BC394" i="23"/>
  <c r="BD394" i="23"/>
  <c r="BE394" i="23"/>
  <c r="BF394" i="23"/>
  <c r="BG394" i="23"/>
  <c r="BH394" i="23"/>
  <c r="BI394" i="23"/>
  <c r="BJ394" i="23"/>
  <c r="BK394" i="23"/>
  <c r="BL394" i="23"/>
  <c r="BM394" i="23"/>
  <c r="BN394" i="23"/>
  <c r="BO394" i="23"/>
  <c r="BP394" i="23"/>
  <c r="BQ394" i="23"/>
  <c r="BR394" i="23"/>
  <c r="BS394" i="23"/>
  <c r="BT394" i="23"/>
  <c r="B395" i="23"/>
  <c r="C395" i="23"/>
  <c r="D395" i="23"/>
  <c r="E395" i="23"/>
  <c r="F395" i="23"/>
  <c r="G395" i="23"/>
  <c r="H395" i="23"/>
  <c r="I395" i="23"/>
  <c r="J395" i="23"/>
  <c r="K395" i="23"/>
  <c r="L395" i="23"/>
  <c r="M395" i="23"/>
  <c r="N395" i="23"/>
  <c r="O395" i="23"/>
  <c r="P395" i="23"/>
  <c r="Q395" i="23"/>
  <c r="R395" i="23"/>
  <c r="S395" i="23"/>
  <c r="T395" i="23"/>
  <c r="U395" i="23"/>
  <c r="V395" i="23"/>
  <c r="W395" i="23"/>
  <c r="X395" i="23"/>
  <c r="Y395" i="23"/>
  <c r="Z395" i="23"/>
  <c r="AA395" i="23"/>
  <c r="AB395" i="23"/>
  <c r="AC395" i="23"/>
  <c r="AD395" i="23"/>
  <c r="AE395" i="23"/>
  <c r="AF395" i="23"/>
  <c r="AG395" i="23"/>
  <c r="AH395" i="23"/>
  <c r="AI395" i="23"/>
  <c r="AJ395" i="23"/>
  <c r="AK395" i="23"/>
  <c r="AL395" i="23"/>
  <c r="AM395" i="23"/>
  <c r="AN395" i="23"/>
  <c r="AO395" i="23"/>
  <c r="AP395" i="23"/>
  <c r="AQ395" i="23"/>
  <c r="AR395" i="23"/>
  <c r="AS395" i="23"/>
  <c r="AT395" i="23"/>
  <c r="AU395" i="23"/>
  <c r="AV395" i="23"/>
  <c r="AW395" i="23"/>
  <c r="AX395" i="23"/>
  <c r="AY395" i="23"/>
  <c r="AZ395" i="23"/>
  <c r="BA395" i="23"/>
  <c r="BB395" i="23"/>
  <c r="BC395" i="23"/>
  <c r="BD395" i="23"/>
  <c r="BE395" i="23"/>
  <c r="BF395" i="23"/>
  <c r="BG395" i="23"/>
  <c r="BH395" i="23"/>
  <c r="BI395" i="23"/>
  <c r="BJ395" i="23"/>
  <c r="BK395" i="23"/>
  <c r="BL395" i="23"/>
  <c r="BM395" i="23"/>
  <c r="BN395" i="23"/>
  <c r="BO395" i="23"/>
  <c r="BP395" i="23"/>
  <c r="BQ395" i="23"/>
  <c r="BR395" i="23"/>
  <c r="BS395" i="23"/>
  <c r="BT395" i="23"/>
  <c r="B396" i="23"/>
  <c r="C396" i="23"/>
  <c r="D396" i="23"/>
  <c r="E396" i="23"/>
  <c r="F396" i="23"/>
  <c r="G396" i="23"/>
  <c r="H396" i="23"/>
  <c r="I396" i="23"/>
  <c r="J396" i="23"/>
  <c r="K396" i="23"/>
  <c r="L396" i="23"/>
  <c r="M396" i="23"/>
  <c r="N396" i="23"/>
  <c r="O396" i="23"/>
  <c r="P396" i="23"/>
  <c r="Q396" i="23"/>
  <c r="R396" i="23"/>
  <c r="S396" i="23"/>
  <c r="T396" i="23"/>
  <c r="U396" i="23"/>
  <c r="V396" i="23"/>
  <c r="W396" i="23"/>
  <c r="X396" i="23"/>
  <c r="Y396" i="23"/>
  <c r="Z396" i="23"/>
  <c r="AA396" i="23"/>
  <c r="AB396" i="23"/>
  <c r="AC396" i="23"/>
  <c r="AD396" i="23"/>
  <c r="AE396" i="23"/>
  <c r="AF396" i="23"/>
  <c r="AG396" i="23"/>
  <c r="AH396" i="23"/>
  <c r="AI396" i="23"/>
  <c r="AJ396" i="23"/>
  <c r="AK396" i="23"/>
  <c r="AL396" i="23"/>
  <c r="AM396" i="23"/>
  <c r="AN396" i="23"/>
  <c r="AO396" i="23"/>
  <c r="AP396" i="23"/>
  <c r="AQ396" i="23"/>
  <c r="AR396" i="23"/>
  <c r="AS396" i="23"/>
  <c r="AT396" i="23"/>
  <c r="AU396" i="23"/>
  <c r="AV396" i="23"/>
  <c r="AW396" i="23"/>
  <c r="AX396" i="23"/>
  <c r="AY396" i="23"/>
  <c r="AZ396" i="23"/>
  <c r="BA396" i="23"/>
  <c r="BB396" i="23"/>
  <c r="BC396" i="23"/>
  <c r="BD396" i="23"/>
  <c r="BE396" i="23"/>
  <c r="BF396" i="23"/>
  <c r="BG396" i="23"/>
  <c r="BH396" i="23"/>
  <c r="BI396" i="23"/>
  <c r="BJ396" i="23"/>
  <c r="BK396" i="23"/>
  <c r="BL396" i="23"/>
  <c r="BM396" i="23"/>
  <c r="BN396" i="23"/>
  <c r="BO396" i="23"/>
  <c r="BP396" i="23"/>
  <c r="BQ396" i="23"/>
  <c r="BR396" i="23"/>
  <c r="BS396" i="23"/>
  <c r="BT396" i="23"/>
  <c r="B397" i="23"/>
  <c r="C397" i="23"/>
  <c r="D397" i="23"/>
  <c r="E397" i="23"/>
  <c r="F397" i="23"/>
  <c r="G397" i="23"/>
  <c r="H397" i="23"/>
  <c r="I397" i="23"/>
  <c r="J397" i="23"/>
  <c r="K397" i="23"/>
  <c r="L397" i="23"/>
  <c r="M397" i="23"/>
  <c r="N397" i="23"/>
  <c r="O397" i="23"/>
  <c r="P397" i="23"/>
  <c r="Q397" i="23"/>
  <c r="R397" i="23"/>
  <c r="S397" i="23"/>
  <c r="T397" i="23"/>
  <c r="U397" i="23"/>
  <c r="V397" i="23"/>
  <c r="W397" i="23"/>
  <c r="X397" i="23"/>
  <c r="Y397" i="23"/>
  <c r="Z397" i="23"/>
  <c r="AA397" i="23"/>
  <c r="AB397" i="23"/>
  <c r="AC397" i="23"/>
  <c r="AD397" i="23"/>
  <c r="AE397" i="23"/>
  <c r="AF397" i="23"/>
  <c r="AG397" i="23"/>
  <c r="AH397" i="23"/>
  <c r="AI397" i="23"/>
  <c r="AJ397" i="23"/>
  <c r="AK397" i="23"/>
  <c r="AL397" i="23"/>
  <c r="AM397" i="23"/>
  <c r="AN397" i="23"/>
  <c r="AO397" i="23"/>
  <c r="AP397" i="23"/>
  <c r="AQ397" i="23"/>
  <c r="AR397" i="23"/>
  <c r="AS397" i="23"/>
  <c r="AT397" i="23"/>
  <c r="AU397" i="23"/>
  <c r="AV397" i="23"/>
  <c r="AW397" i="23"/>
  <c r="AX397" i="23"/>
  <c r="AY397" i="23"/>
  <c r="AZ397" i="23"/>
  <c r="BA397" i="23"/>
  <c r="BB397" i="23"/>
  <c r="BC397" i="23"/>
  <c r="BD397" i="23"/>
  <c r="BE397" i="23"/>
  <c r="BF397" i="23"/>
  <c r="BG397" i="23"/>
  <c r="BH397" i="23"/>
  <c r="BI397" i="23"/>
  <c r="BJ397" i="23"/>
  <c r="BK397" i="23"/>
  <c r="BL397" i="23"/>
  <c r="BM397" i="23"/>
  <c r="BN397" i="23"/>
  <c r="BO397" i="23"/>
  <c r="BP397" i="23"/>
  <c r="BQ397" i="23"/>
  <c r="BR397" i="23"/>
  <c r="BS397" i="23"/>
  <c r="BT397" i="23"/>
  <c r="B398" i="23"/>
  <c r="C398" i="23"/>
  <c r="D398" i="23"/>
  <c r="E398" i="23"/>
  <c r="F398" i="23"/>
  <c r="G398" i="23"/>
  <c r="H398" i="23"/>
  <c r="I398" i="23"/>
  <c r="J398" i="23"/>
  <c r="K398" i="23"/>
  <c r="L398" i="23"/>
  <c r="M398" i="23"/>
  <c r="N398" i="23"/>
  <c r="O398" i="23"/>
  <c r="P398" i="23"/>
  <c r="Q398" i="23"/>
  <c r="R398" i="23"/>
  <c r="S398" i="23"/>
  <c r="T398" i="23"/>
  <c r="U398" i="23"/>
  <c r="V398" i="23"/>
  <c r="W398" i="23"/>
  <c r="X398" i="23"/>
  <c r="Y398" i="23"/>
  <c r="Z398" i="23"/>
  <c r="AA398" i="23"/>
  <c r="AB398" i="23"/>
  <c r="AC398" i="23"/>
  <c r="AD398" i="23"/>
  <c r="AE398" i="23"/>
  <c r="AF398" i="23"/>
  <c r="AG398" i="23"/>
  <c r="AH398" i="23"/>
  <c r="AI398" i="23"/>
  <c r="AJ398" i="23"/>
  <c r="AK398" i="23"/>
  <c r="AL398" i="23"/>
  <c r="AM398" i="23"/>
  <c r="AN398" i="23"/>
  <c r="AO398" i="23"/>
  <c r="AP398" i="23"/>
  <c r="AQ398" i="23"/>
  <c r="AR398" i="23"/>
  <c r="AS398" i="23"/>
  <c r="AT398" i="23"/>
  <c r="AU398" i="23"/>
  <c r="AV398" i="23"/>
  <c r="AW398" i="23"/>
  <c r="AX398" i="23"/>
  <c r="AY398" i="23"/>
  <c r="AZ398" i="23"/>
  <c r="BA398" i="23"/>
  <c r="BB398" i="23"/>
  <c r="BC398" i="23"/>
  <c r="BD398" i="23"/>
  <c r="BE398" i="23"/>
  <c r="BF398" i="23"/>
  <c r="BG398" i="23"/>
  <c r="BH398" i="23"/>
  <c r="BI398" i="23"/>
  <c r="BJ398" i="23"/>
  <c r="BK398" i="23"/>
  <c r="BL398" i="23"/>
  <c r="BM398" i="23"/>
  <c r="BN398" i="23"/>
  <c r="BO398" i="23"/>
  <c r="BP398" i="23"/>
  <c r="BQ398" i="23"/>
  <c r="BR398" i="23"/>
  <c r="BS398" i="23"/>
  <c r="BT398" i="23"/>
  <c r="B399" i="23"/>
  <c r="C399" i="23"/>
  <c r="D399" i="23"/>
  <c r="E399" i="23"/>
  <c r="F399" i="23"/>
  <c r="G399" i="23"/>
  <c r="H399" i="23"/>
  <c r="I399" i="23"/>
  <c r="J399" i="23"/>
  <c r="K399" i="23"/>
  <c r="L399" i="23"/>
  <c r="M399" i="23"/>
  <c r="N399" i="23"/>
  <c r="O399" i="23"/>
  <c r="P399" i="23"/>
  <c r="Q399" i="23"/>
  <c r="R399" i="23"/>
  <c r="S399" i="23"/>
  <c r="T399" i="23"/>
  <c r="U399" i="23"/>
  <c r="V399" i="23"/>
  <c r="W399" i="23"/>
  <c r="X399" i="23"/>
  <c r="Y399" i="23"/>
  <c r="Z399" i="23"/>
  <c r="AA399" i="23"/>
  <c r="AB399" i="23"/>
  <c r="AC399" i="23"/>
  <c r="AD399" i="23"/>
  <c r="AE399" i="23"/>
  <c r="AF399" i="23"/>
  <c r="AG399" i="23"/>
  <c r="AH399" i="23"/>
  <c r="AI399" i="23"/>
  <c r="AJ399" i="23"/>
  <c r="AK399" i="23"/>
  <c r="AL399" i="23"/>
  <c r="AM399" i="23"/>
  <c r="AN399" i="23"/>
  <c r="AO399" i="23"/>
  <c r="AP399" i="23"/>
  <c r="AQ399" i="23"/>
  <c r="AR399" i="23"/>
  <c r="AS399" i="23"/>
  <c r="AT399" i="23"/>
  <c r="AU399" i="23"/>
  <c r="AV399" i="23"/>
  <c r="AW399" i="23"/>
  <c r="AX399" i="23"/>
  <c r="AY399" i="23"/>
  <c r="AZ399" i="23"/>
  <c r="BA399" i="23"/>
  <c r="BB399" i="23"/>
  <c r="BC399" i="23"/>
  <c r="BD399" i="23"/>
  <c r="BE399" i="23"/>
  <c r="BF399" i="23"/>
  <c r="BG399" i="23"/>
  <c r="BH399" i="23"/>
  <c r="BI399" i="23"/>
  <c r="BJ399" i="23"/>
  <c r="BK399" i="23"/>
  <c r="BL399" i="23"/>
  <c r="BM399" i="23"/>
  <c r="BN399" i="23"/>
  <c r="BO399" i="23"/>
  <c r="BP399" i="23"/>
  <c r="BQ399" i="23"/>
  <c r="BR399" i="23"/>
  <c r="BS399" i="23"/>
  <c r="BT399" i="23"/>
  <c r="B400" i="23"/>
  <c r="C400" i="23"/>
  <c r="D400" i="23"/>
  <c r="E400" i="23"/>
  <c r="F400" i="23"/>
  <c r="G400" i="23"/>
  <c r="H400" i="23"/>
  <c r="I400" i="23"/>
  <c r="J400" i="23"/>
  <c r="K400" i="23"/>
  <c r="L400" i="23"/>
  <c r="M400" i="23"/>
  <c r="N400" i="23"/>
  <c r="O400" i="23"/>
  <c r="P400" i="23"/>
  <c r="Q400" i="23"/>
  <c r="R400" i="23"/>
  <c r="S400" i="23"/>
  <c r="T400" i="23"/>
  <c r="U400" i="23"/>
  <c r="V400" i="23"/>
  <c r="W400" i="23"/>
  <c r="X400" i="23"/>
  <c r="Y400" i="23"/>
  <c r="Z400" i="23"/>
  <c r="AA400" i="23"/>
  <c r="AB400" i="23"/>
  <c r="AC400" i="23"/>
  <c r="AD400" i="23"/>
  <c r="AE400" i="23"/>
  <c r="AF400" i="23"/>
  <c r="AG400" i="23"/>
  <c r="AH400" i="23"/>
  <c r="AI400" i="23"/>
  <c r="AJ400" i="23"/>
  <c r="AK400" i="23"/>
  <c r="AL400" i="23"/>
  <c r="AM400" i="23"/>
  <c r="AN400" i="23"/>
  <c r="AO400" i="23"/>
  <c r="AP400" i="23"/>
  <c r="AQ400" i="23"/>
  <c r="AR400" i="23"/>
  <c r="AS400" i="23"/>
  <c r="AT400" i="23"/>
  <c r="AU400" i="23"/>
  <c r="AV400" i="23"/>
  <c r="AW400" i="23"/>
  <c r="AX400" i="23"/>
  <c r="AY400" i="23"/>
  <c r="AZ400" i="23"/>
  <c r="BA400" i="23"/>
  <c r="BB400" i="23"/>
  <c r="BC400" i="23"/>
  <c r="BD400" i="23"/>
  <c r="BE400" i="23"/>
  <c r="BF400" i="23"/>
  <c r="BG400" i="23"/>
  <c r="BH400" i="23"/>
  <c r="BI400" i="23"/>
  <c r="BJ400" i="23"/>
  <c r="BK400" i="23"/>
  <c r="BL400" i="23"/>
  <c r="BM400" i="23"/>
  <c r="BN400" i="23"/>
  <c r="BO400" i="23"/>
  <c r="BP400" i="23"/>
  <c r="BQ400" i="23"/>
  <c r="BR400" i="23"/>
  <c r="BS400" i="23"/>
  <c r="BT400" i="23"/>
  <c r="B401" i="23"/>
  <c r="C401" i="23"/>
  <c r="D401" i="23"/>
  <c r="E401" i="23"/>
  <c r="F401" i="23"/>
  <c r="G401" i="23"/>
  <c r="H401" i="23"/>
  <c r="I401" i="23"/>
  <c r="J401" i="23"/>
  <c r="K401" i="23"/>
  <c r="L401" i="23"/>
  <c r="M401" i="23"/>
  <c r="N401" i="23"/>
  <c r="O401" i="23"/>
  <c r="P401" i="23"/>
  <c r="Q401" i="23"/>
  <c r="R401" i="23"/>
  <c r="S401" i="23"/>
  <c r="T401" i="23"/>
  <c r="U401" i="23"/>
  <c r="V401" i="23"/>
  <c r="W401" i="23"/>
  <c r="X401" i="23"/>
  <c r="Y401" i="23"/>
  <c r="Z401" i="23"/>
  <c r="AA401" i="23"/>
  <c r="AB401" i="23"/>
  <c r="AC401" i="23"/>
  <c r="AD401" i="23"/>
  <c r="AE401" i="23"/>
  <c r="AF401" i="23"/>
  <c r="AG401" i="23"/>
  <c r="AH401" i="23"/>
  <c r="AI401" i="23"/>
  <c r="AJ401" i="23"/>
  <c r="AK401" i="23"/>
  <c r="AL401" i="23"/>
  <c r="AM401" i="23"/>
  <c r="AN401" i="23"/>
  <c r="AO401" i="23"/>
  <c r="AP401" i="23"/>
  <c r="AQ401" i="23"/>
  <c r="AR401" i="23"/>
  <c r="AS401" i="23"/>
  <c r="AT401" i="23"/>
  <c r="AU401" i="23"/>
  <c r="AV401" i="23"/>
  <c r="AW401" i="23"/>
  <c r="AX401" i="23"/>
  <c r="AY401" i="23"/>
  <c r="AZ401" i="23"/>
  <c r="BA401" i="23"/>
  <c r="BB401" i="23"/>
  <c r="BC401" i="23"/>
  <c r="BD401" i="23"/>
  <c r="BE401" i="23"/>
  <c r="BF401" i="23"/>
  <c r="BG401" i="23"/>
  <c r="BH401" i="23"/>
  <c r="BI401" i="23"/>
  <c r="BJ401" i="23"/>
  <c r="BK401" i="23"/>
  <c r="BL401" i="23"/>
  <c r="BM401" i="23"/>
  <c r="BN401" i="23"/>
  <c r="BO401" i="23"/>
  <c r="BP401" i="23"/>
  <c r="BQ401" i="23"/>
  <c r="BR401" i="23"/>
  <c r="BS401" i="23"/>
  <c r="BT401" i="23"/>
  <c r="B402" i="23"/>
  <c r="C402" i="23"/>
  <c r="D402" i="23"/>
  <c r="E402" i="23"/>
  <c r="F402" i="23"/>
  <c r="G402" i="23"/>
  <c r="H402" i="23"/>
  <c r="I402" i="23"/>
  <c r="J402" i="23"/>
  <c r="K402" i="23"/>
  <c r="L402" i="23"/>
  <c r="M402" i="23"/>
  <c r="N402" i="23"/>
  <c r="O402" i="23"/>
  <c r="P402" i="23"/>
  <c r="Q402" i="23"/>
  <c r="R402" i="23"/>
  <c r="S402" i="23"/>
  <c r="T402" i="23"/>
  <c r="U402" i="23"/>
  <c r="V402" i="23"/>
  <c r="W402" i="23"/>
  <c r="X402" i="23"/>
  <c r="Y402" i="23"/>
  <c r="Z402" i="23"/>
  <c r="AA402" i="23"/>
  <c r="AB402" i="23"/>
  <c r="AC402" i="23"/>
  <c r="AD402" i="23"/>
  <c r="AE402" i="23"/>
  <c r="AF402" i="23"/>
  <c r="AG402" i="23"/>
  <c r="AH402" i="23"/>
  <c r="AI402" i="23"/>
  <c r="AJ402" i="23"/>
  <c r="AK402" i="23"/>
  <c r="AL402" i="23"/>
  <c r="AM402" i="23"/>
  <c r="AN402" i="23"/>
  <c r="AO402" i="23"/>
  <c r="AP402" i="23"/>
  <c r="AQ402" i="23"/>
  <c r="AR402" i="23"/>
  <c r="AS402" i="23"/>
  <c r="AT402" i="23"/>
  <c r="AU402" i="23"/>
  <c r="AV402" i="23"/>
  <c r="AW402" i="23"/>
  <c r="AX402" i="23"/>
  <c r="AY402" i="23"/>
  <c r="AZ402" i="23"/>
  <c r="BA402" i="23"/>
  <c r="BB402" i="23"/>
  <c r="BC402" i="23"/>
  <c r="BD402" i="23"/>
  <c r="BE402" i="23"/>
  <c r="BF402" i="23"/>
  <c r="BG402" i="23"/>
  <c r="BH402" i="23"/>
  <c r="BI402" i="23"/>
  <c r="BJ402" i="23"/>
  <c r="BK402" i="23"/>
  <c r="BL402" i="23"/>
  <c r="BM402" i="23"/>
  <c r="BN402" i="23"/>
  <c r="BO402" i="23"/>
  <c r="BP402" i="23"/>
  <c r="BQ402" i="23"/>
  <c r="BR402" i="23"/>
  <c r="BS402" i="23"/>
  <c r="BT402" i="23"/>
  <c r="B403" i="23"/>
  <c r="C403" i="23"/>
  <c r="D403" i="23"/>
  <c r="E403" i="23"/>
  <c r="F403" i="23"/>
  <c r="G403" i="23"/>
  <c r="H403" i="23"/>
  <c r="I403" i="23"/>
  <c r="J403" i="23"/>
  <c r="K403" i="23"/>
  <c r="L403" i="23"/>
  <c r="M403" i="23"/>
  <c r="N403" i="23"/>
  <c r="O403" i="23"/>
  <c r="P403" i="23"/>
  <c r="Q403" i="23"/>
  <c r="R403" i="23"/>
  <c r="S403" i="23"/>
  <c r="T403" i="23"/>
  <c r="U403" i="23"/>
  <c r="V403" i="23"/>
  <c r="W403" i="23"/>
  <c r="X403" i="23"/>
  <c r="Y403" i="23"/>
  <c r="Z403" i="23"/>
  <c r="AA403" i="23"/>
  <c r="AB403" i="23"/>
  <c r="AC403" i="23"/>
  <c r="AD403" i="23"/>
  <c r="AE403" i="23"/>
  <c r="AF403" i="23"/>
  <c r="AG403" i="23"/>
  <c r="AH403" i="23"/>
  <c r="AI403" i="23"/>
  <c r="AJ403" i="23"/>
  <c r="AK403" i="23"/>
  <c r="AL403" i="23"/>
  <c r="AM403" i="23"/>
  <c r="AN403" i="23"/>
  <c r="AO403" i="23"/>
  <c r="AP403" i="23"/>
  <c r="AQ403" i="23"/>
  <c r="AR403" i="23"/>
  <c r="AS403" i="23"/>
  <c r="AT403" i="23"/>
  <c r="AU403" i="23"/>
  <c r="AV403" i="23"/>
  <c r="AW403" i="23"/>
  <c r="AX403" i="23"/>
  <c r="AY403" i="23"/>
  <c r="AZ403" i="23"/>
  <c r="BA403" i="23"/>
  <c r="BB403" i="23"/>
  <c r="BC403" i="23"/>
  <c r="BD403" i="23"/>
  <c r="BE403" i="23"/>
  <c r="BF403" i="23"/>
  <c r="BG403" i="23"/>
  <c r="BH403" i="23"/>
  <c r="BI403" i="23"/>
  <c r="BJ403" i="23"/>
  <c r="BK403" i="23"/>
  <c r="BL403" i="23"/>
  <c r="BM403" i="23"/>
  <c r="BN403" i="23"/>
  <c r="BO403" i="23"/>
  <c r="BP403" i="23"/>
  <c r="BQ403" i="23"/>
  <c r="BR403" i="23"/>
  <c r="BS403" i="23"/>
  <c r="BT403" i="23"/>
  <c r="B404" i="23"/>
  <c r="C404" i="23"/>
  <c r="D404" i="23"/>
  <c r="E404" i="23"/>
  <c r="F404" i="23"/>
  <c r="G404" i="23"/>
  <c r="H404" i="23"/>
  <c r="I404" i="23"/>
  <c r="J404" i="23"/>
  <c r="K404" i="23"/>
  <c r="L404" i="23"/>
  <c r="M404" i="23"/>
  <c r="N404" i="23"/>
  <c r="O404" i="23"/>
  <c r="P404" i="23"/>
  <c r="Q404" i="23"/>
  <c r="R404" i="23"/>
  <c r="S404" i="23"/>
  <c r="T404" i="23"/>
  <c r="U404" i="23"/>
  <c r="V404" i="23"/>
  <c r="W404" i="23"/>
  <c r="X404" i="23"/>
  <c r="Y404" i="23"/>
  <c r="Z404" i="23"/>
  <c r="AA404" i="23"/>
  <c r="AB404" i="23"/>
  <c r="AC404" i="23"/>
  <c r="AD404" i="23"/>
  <c r="AE404" i="23"/>
  <c r="AF404" i="23"/>
  <c r="AG404" i="23"/>
  <c r="AH404" i="23"/>
  <c r="AI404" i="23"/>
  <c r="AJ404" i="23"/>
  <c r="AK404" i="23"/>
  <c r="AL404" i="23"/>
  <c r="AM404" i="23"/>
  <c r="AN404" i="23"/>
  <c r="AO404" i="23"/>
  <c r="AP404" i="23"/>
  <c r="AQ404" i="23"/>
  <c r="AR404" i="23"/>
  <c r="AS404" i="23"/>
  <c r="AT404" i="23"/>
  <c r="AU404" i="23"/>
  <c r="AV404" i="23"/>
  <c r="AW404" i="23"/>
  <c r="AX404" i="23"/>
  <c r="AY404" i="23"/>
  <c r="AZ404" i="23"/>
  <c r="BA404" i="23"/>
  <c r="BB404" i="23"/>
  <c r="BC404" i="23"/>
  <c r="BD404" i="23"/>
  <c r="BE404" i="23"/>
  <c r="BF404" i="23"/>
  <c r="BG404" i="23"/>
  <c r="BH404" i="23"/>
  <c r="BI404" i="23"/>
  <c r="BJ404" i="23"/>
  <c r="BK404" i="23"/>
  <c r="BL404" i="23"/>
  <c r="BM404" i="23"/>
  <c r="BN404" i="23"/>
  <c r="BO404" i="23"/>
  <c r="BP404" i="23"/>
  <c r="BQ404" i="23"/>
  <c r="BR404" i="23"/>
  <c r="BS404" i="23"/>
  <c r="BT404" i="23"/>
  <c r="B405" i="23"/>
  <c r="C405" i="23"/>
  <c r="D405" i="23"/>
  <c r="E405" i="23"/>
  <c r="F405" i="23"/>
  <c r="G405" i="23"/>
  <c r="H405" i="23"/>
  <c r="I405" i="23"/>
  <c r="J405" i="23"/>
  <c r="K405" i="23"/>
  <c r="L405" i="23"/>
  <c r="M405" i="23"/>
  <c r="N405" i="23"/>
  <c r="O405" i="23"/>
  <c r="P405" i="23"/>
  <c r="Q405" i="23"/>
  <c r="R405" i="23"/>
  <c r="S405" i="23"/>
  <c r="T405" i="23"/>
  <c r="U405" i="23"/>
  <c r="V405" i="23"/>
  <c r="W405" i="23"/>
  <c r="X405" i="23"/>
  <c r="Y405" i="23"/>
  <c r="Z405" i="23"/>
  <c r="AA405" i="23"/>
  <c r="AB405" i="23"/>
  <c r="AC405" i="23"/>
  <c r="AD405" i="23"/>
  <c r="AE405" i="23"/>
  <c r="AF405" i="23"/>
  <c r="AG405" i="23"/>
  <c r="AH405" i="23"/>
  <c r="AI405" i="23"/>
  <c r="AJ405" i="23"/>
  <c r="AK405" i="23"/>
  <c r="AL405" i="23"/>
  <c r="AM405" i="23"/>
  <c r="AN405" i="23"/>
  <c r="AO405" i="23"/>
  <c r="AP405" i="23"/>
  <c r="AQ405" i="23"/>
  <c r="AR405" i="23"/>
  <c r="AS405" i="23"/>
  <c r="AT405" i="23"/>
  <c r="AU405" i="23"/>
  <c r="AV405" i="23"/>
  <c r="AW405" i="23"/>
  <c r="AX405" i="23"/>
  <c r="AY405" i="23"/>
  <c r="AZ405" i="23"/>
  <c r="BA405" i="23"/>
  <c r="BB405" i="23"/>
  <c r="BC405" i="23"/>
  <c r="BD405" i="23"/>
  <c r="BE405" i="23"/>
  <c r="BF405" i="23"/>
  <c r="BG405" i="23"/>
  <c r="BH405" i="23"/>
  <c r="BI405" i="23"/>
  <c r="BJ405" i="23"/>
  <c r="BK405" i="23"/>
  <c r="BL405" i="23"/>
  <c r="BM405" i="23"/>
  <c r="BN405" i="23"/>
  <c r="BO405" i="23"/>
  <c r="BP405" i="23"/>
  <c r="BQ405" i="23"/>
  <c r="BR405" i="23"/>
  <c r="BS405" i="23"/>
  <c r="BT405" i="23"/>
  <c r="B406" i="23"/>
  <c r="C406" i="23"/>
  <c r="D406" i="23"/>
  <c r="E406" i="23"/>
  <c r="F406" i="23"/>
  <c r="G406" i="23"/>
  <c r="H406" i="23"/>
  <c r="I406" i="23"/>
  <c r="J406" i="23"/>
  <c r="K406" i="23"/>
  <c r="L406" i="23"/>
  <c r="M406" i="23"/>
  <c r="N406" i="23"/>
  <c r="O406" i="23"/>
  <c r="P406" i="23"/>
  <c r="Q406" i="23"/>
  <c r="R406" i="23"/>
  <c r="S406" i="23"/>
  <c r="T406" i="23"/>
  <c r="U406" i="23"/>
  <c r="V406" i="23"/>
  <c r="W406" i="23"/>
  <c r="X406" i="23"/>
  <c r="Y406" i="23"/>
  <c r="Z406" i="23"/>
  <c r="AA406" i="23"/>
  <c r="AB406" i="23"/>
  <c r="AC406" i="23"/>
  <c r="AD406" i="23"/>
  <c r="AE406" i="23"/>
  <c r="AF406" i="23"/>
  <c r="AG406" i="23"/>
  <c r="AH406" i="23"/>
  <c r="AI406" i="23"/>
  <c r="AJ406" i="23"/>
  <c r="AK406" i="23"/>
  <c r="AL406" i="23"/>
  <c r="AM406" i="23"/>
  <c r="AN406" i="23"/>
  <c r="AO406" i="23"/>
  <c r="AP406" i="23"/>
  <c r="AQ406" i="23"/>
  <c r="AR406" i="23"/>
  <c r="AS406" i="23"/>
  <c r="AT406" i="23"/>
  <c r="AU406" i="23"/>
  <c r="AV406" i="23"/>
  <c r="AW406" i="23"/>
  <c r="AX406" i="23"/>
  <c r="AY406" i="23"/>
  <c r="AZ406" i="23"/>
  <c r="BA406" i="23"/>
  <c r="BB406" i="23"/>
  <c r="BC406" i="23"/>
  <c r="BD406" i="23"/>
  <c r="BE406" i="23"/>
  <c r="BF406" i="23"/>
  <c r="BG406" i="23"/>
  <c r="BH406" i="23"/>
  <c r="BI406" i="23"/>
  <c r="BJ406" i="23"/>
  <c r="BK406" i="23"/>
  <c r="BL406" i="23"/>
  <c r="BM406" i="23"/>
  <c r="BN406" i="23"/>
  <c r="BO406" i="23"/>
  <c r="BP406" i="23"/>
  <c r="BQ406" i="23"/>
  <c r="BR406" i="23"/>
  <c r="BS406" i="23"/>
  <c r="BT406" i="23"/>
  <c r="B407" i="23"/>
  <c r="C407" i="23"/>
  <c r="D407" i="23"/>
  <c r="E407" i="23"/>
  <c r="F407" i="23"/>
  <c r="G407" i="23"/>
  <c r="H407" i="23"/>
  <c r="I407" i="23"/>
  <c r="J407" i="23"/>
  <c r="K407" i="23"/>
  <c r="L407" i="23"/>
  <c r="M407" i="23"/>
  <c r="N407" i="23"/>
  <c r="O407" i="23"/>
  <c r="P407" i="23"/>
  <c r="Q407" i="23"/>
  <c r="R407" i="23"/>
  <c r="S407" i="23"/>
  <c r="T407" i="23"/>
  <c r="U407" i="23"/>
  <c r="V407" i="23"/>
  <c r="W407" i="23"/>
  <c r="X407" i="23"/>
  <c r="Y407" i="23"/>
  <c r="Z407" i="23"/>
  <c r="AA407" i="23"/>
  <c r="AB407" i="23"/>
  <c r="AC407" i="23"/>
  <c r="AD407" i="23"/>
  <c r="AE407" i="23"/>
  <c r="AF407" i="23"/>
  <c r="AG407" i="23"/>
  <c r="AH407" i="23"/>
  <c r="AI407" i="23"/>
  <c r="AJ407" i="23"/>
  <c r="AK407" i="23"/>
  <c r="AL407" i="23"/>
  <c r="AM407" i="23"/>
  <c r="AN407" i="23"/>
  <c r="AO407" i="23"/>
  <c r="AP407" i="23"/>
  <c r="AQ407" i="23"/>
  <c r="AR407" i="23"/>
  <c r="AS407" i="23"/>
  <c r="AT407" i="23"/>
  <c r="AU407" i="23"/>
  <c r="AV407" i="23"/>
  <c r="AW407" i="23"/>
  <c r="AX407" i="23"/>
  <c r="AY407" i="23"/>
  <c r="AZ407" i="23"/>
  <c r="BA407" i="23"/>
  <c r="BB407" i="23"/>
  <c r="BC407" i="23"/>
  <c r="BD407" i="23"/>
  <c r="BE407" i="23"/>
  <c r="BF407" i="23"/>
  <c r="BG407" i="23"/>
  <c r="BH407" i="23"/>
  <c r="BI407" i="23"/>
  <c r="BJ407" i="23"/>
  <c r="BK407" i="23"/>
  <c r="BL407" i="23"/>
  <c r="BM407" i="23"/>
  <c r="BN407" i="23"/>
  <c r="BO407" i="23"/>
  <c r="BP407" i="23"/>
  <c r="BQ407" i="23"/>
  <c r="BR407" i="23"/>
  <c r="BS407" i="23"/>
  <c r="BT407" i="23"/>
  <c r="B408" i="23"/>
  <c r="C408" i="23"/>
  <c r="D408" i="23"/>
  <c r="E408" i="23"/>
  <c r="F408" i="23"/>
  <c r="G408" i="23"/>
  <c r="H408" i="23"/>
  <c r="I408" i="23"/>
  <c r="J408" i="23"/>
  <c r="K408" i="23"/>
  <c r="L408" i="23"/>
  <c r="M408" i="23"/>
  <c r="N408" i="23"/>
  <c r="O408" i="23"/>
  <c r="P408" i="23"/>
  <c r="Q408" i="23"/>
  <c r="R408" i="23"/>
  <c r="S408" i="23"/>
  <c r="T408" i="23"/>
  <c r="U408" i="23"/>
  <c r="V408" i="23"/>
  <c r="W408" i="23"/>
  <c r="X408" i="23"/>
  <c r="Y408" i="23"/>
  <c r="Z408" i="23"/>
  <c r="AA408" i="23"/>
  <c r="AB408" i="23"/>
  <c r="AC408" i="23"/>
  <c r="AD408" i="23"/>
  <c r="AE408" i="23"/>
  <c r="AF408" i="23"/>
  <c r="AG408" i="23"/>
  <c r="AH408" i="23"/>
  <c r="AI408" i="23"/>
  <c r="AJ408" i="23"/>
  <c r="AK408" i="23"/>
  <c r="AL408" i="23"/>
  <c r="AM408" i="23"/>
  <c r="AN408" i="23"/>
  <c r="AO408" i="23"/>
  <c r="AP408" i="23"/>
  <c r="AQ408" i="23"/>
  <c r="AR408" i="23"/>
  <c r="AS408" i="23"/>
  <c r="AT408" i="23"/>
  <c r="AU408" i="23"/>
  <c r="AV408" i="23"/>
  <c r="AW408" i="23"/>
  <c r="AX408" i="23"/>
  <c r="AY408" i="23"/>
  <c r="AZ408" i="23"/>
  <c r="BA408" i="23"/>
  <c r="BB408" i="23"/>
  <c r="BC408" i="23"/>
  <c r="BD408" i="23"/>
  <c r="BE408" i="23"/>
  <c r="BF408" i="23"/>
  <c r="BG408" i="23"/>
  <c r="BH408" i="23"/>
  <c r="BI408" i="23"/>
  <c r="BJ408" i="23"/>
  <c r="BK408" i="23"/>
  <c r="BL408" i="23"/>
  <c r="BM408" i="23"/>
  <c r="BN408" i="23"/>
  <c r="BO408" i="23"/>
  <c r="BP408" i="23"/>
  <c r="BQ408" i="23"/>
  <c r="BR408" i="23"/>
  <c r="BS408" i="23"/>
  <c r="BT408" i="23"/>
  <c r="B409" i="23"/>
  <c r="C409" i="23"/>
  <c r="D409" i="23"/>
  <c r="E409" i="23"/>
  <c r="F409" i="23"/>
  <c r="G409" i="23"/>
  <c r="H409" i="23"/>
  <c r="I409" i="23"/>
  <c r="J409" i="23"/>
  <c r="K409" i="23"/>
  <c r="L409" i="23"/>
  <c r="M409" i="23"/>
  <c r="N409" i="23"/>
  <c r="O409" i="23"/>
  <c r="P409" i="23"/>
  <c r="Q409" i="23"/>
  <c r="R409" i="23"/>
  <c r="S409" i="23"/>
  <c r="T409" i="23"/>
  <c r="U409" i="23"/>
  <c r="V409" i="23"/>
  <c r="W409" i="23"/>
  <c r="X409" i="23"/>
  <c r="Y409" i="23"/>
  <c r="Z409" i="23"/>
  <c r="AA409" i="23"/>
  <c r="AB409" i="23"/>
  <c r="AC409" i="23"/>
  <c r="AD409" i="23"/>
  <c r="AE409" i="23"/>
  <c r="AF409" i="23"/>
  <c r="AG409" i="23"/>
  <c r="AH409" i="23"/>
  <c r="AI409" i="23"/>
  <c r="AJ409" i="23"/>
  <c r="AK409" i="23"/>
  <c r="AL409" i="23"/>
  <c r="AM409" i="23"/>
  <c r="AN409" i="23"/>
  <c r="AO409" i="23"/>
  <c r="AP409" i="23"/>
  <c r="AQ409" i="23"/>
  <c r="AR409" i="23"/>
  <c r="AS409" i="23"/>
  <c r="AT409" i="23"/>
  <c r="AU409" i="23"/>
  <c r="AV409" i="23"/>
  <c r="AW409" i="23"/>
  <c r="AX409" i="23"/>
  <c r="AY409" i="23"/>
  <c r="AZ409" i="23"/>
  <c r="BA409" i="23"/>
  <c r="BB409" i="23"/>
  <c r="BC409" i="23"/>
  <c r="BD409" i="23"/>
  <c r="BE409" i="23"/>
  <c r="BF409" i="23"/>
  <c r="BG409" i="23"/>
  <c r="BH409" i="23"/>
  <c r="BI409" i="23"/>
  <c r="BJ409" i="23"/>
  <c r="BK409" i="23"/>
  <c r="BL409" i="23"/>
  <c r="BM409" i="23"/>
  <c r="BN409" i="23"/>
  <c r="BO409" i="23"/>
  <c r="BP409" i="23"/>
  <c r="BQ409" i="23"/>
  <c r="BR409" i="23"/>
  <c r="BS409" i="23"/>
  <c r="BT409" i="23"/>
  <c r="B410" i="23"/>
  <c r="C410" i="23"/>
  <c r="D410" i="23"/>
  <c r="E410" i="23"/>
  <c r="F410" i="23"/>
  <c r="G410" i="23"/>
  <c r="H410" i="23"/>
  <c r="I410" i="23"/>
  <c r="J410" i="23"/>
  <c r="K410" i="23"/>
  <c r="L410" i="23"/>
  <c r="M410" i="23"/>
  <c r="N410" i="23"/>
  <c r="O410" i="23"/>
  <c r="P410" i="23"/>
  <c r="Q410" i="23"/>
  <c r="R410" i="23"/>
  <c r="S410" i="23"/>
  <c r="T410" i="23"/>
  <c r="U410" i="23"/>
  <c r="V410" i="23"/>
  <c r="W410" i="23"/>
  <c r="X410" i="23"/>
  <c r="Y410" i="23"/>
  <c r="Z410" i="23"/>
  <c r="AA410" i="23"/>
  <c r="AB410" i="23"/>
  <c r="AC410" i="23"/>
  <c r="AD410" i="23"/>
  <c r="AE410" i="23"/>
  <c r="AF410" i="23"/>
  <c r="AG410" i="23"/>
  <c r="AH410" i="23"/>
  <c r="AI410" i="23"/>
  <c r="AJ410" i="23"/>
  <c r="AK410" i="23"/>
  <c r="AL410" i="23"/>
  <c r="AM410" i="23"/>
  <c r="AN410" i="23"/>
  <c r="AO410" i="23"/>
  <c r="AP410" i="23"/>
  <c r="AQ410" i="23"/>
  <c r="AR410" i="23"/>
  <c r="AS410" i="23"/>
  <c r="AT410" i="23"/>
  <c r="AU410" i="23"/>
  <c r="AV410" i="23"/>
  <c r="AW410" i="23"/>
  <c r="AX410" i="23"/>
  <c r="AY410" i="23"/>
  <c r="AZ410" i="23"/>
  <c r="BA410" i="23"/>
  <c r="BB410" i="23"/>
  <c r="BC410" i="23"/>
  <c r="BD410" i="23"/>
  <c r="BE410" i="23"/>
  <c r="BF410" i="23"/>
  <c r="BG410" i="23"/>
  <c r="BH410" i="23"/>
  <c r="BI410" i="23"/>
  <c r="BJ410" i="23"/>
  <c r="BK410" i="23"/>
  <c r="BL410" i="23"/>
  <c r="BM410" i="23"/>
  <c r="BN410" i="23"/>
  <c r="BO410" i="23"/>
  <c r="BP410" i="23"/>
  <c r="BQ410" i="23"/>
  <c r="BR410" i="23"/>
  <c r="BS410" i="23"/>
  <c r="BT410" i="23"/>
  <c r="B411" i="23"/>
  <c r="C411" i="23"/>
  <c r="D411" i="23"/>
  <c r="E411" i="23"/>
  <c r="F411" i="23"/>
  <c r="G411" i="23"/>
  <c r="H411" i="23"/>
  <c r="I411" i="23"/>
  <c r="J411" i="23"/>
  <c r="K411" i="23"/>
  <c r="L411" i="23"/>
  <c r="M411" i="23"/>
  <c r="N411" i="23"/>
  <c r="O411" i="23"/>
  <c r="P411" i="23"/>
  <c r="Q411" i="23"/>
  <c r="R411" i="23"/>
  <c r="S411" i="23"/>
  <c r="T411" i="23"/>
  <c r="U411" i="23"/>
  <c r="V411" i="23"/>
  <c r="W411" i="23"/>
  <c r="X411" i="23"/>
  <c r="Y411" i="23"/>
  <c r="Z411" i="23"/>
  <c r="AA411" i="23"/>
  <c r="AB411" i="23"/>
  <c r="AC411" i="23"/>
  <c r="AD411" i="23"/>
  <c r="AE411" i="23"/>
  <c r="AF411" i="23"/>
  <c r="AG411" i="23"/>
  <c r="AH411" i="23"/>
  <c r="AI411" i="23"/>
  <c r="AJ411" i="23"/>
  <c r="AK411" i="23"/>
  <c r="AL411" i="23"/>
  <c r="AM411" i="23"/>
  <c r="AN411" i="23"/>
  <c r="AO411" i="23"/>
  <c r="AP411" i="23"/>
  <c r="AQ411" i="23"/>
  <c r="AR411" i="23"/>
  <c r="AS411" i="23"/>
  <c r="AT411" i="23"/>
  <c r="AU411" i="23"/>
  <c r="AV411" i="23"/>
  <c r="AW411" i="23"/>
  <c r="AX411" i="23"/>
  <c r="AY411" i="23"/>
  <c r="AZ411" i="23"/>
  <c r="BA411" i="23"/>
  <c r="BB411" i="23"/>
  <c r="BC411" i="23"/>
  <c r="BD411" i="23"/>
  <c r="BE411" i="23"/>
  <c r="BF411" i="23"/>
  <c r="BG411" i="23"/>
  <c r="BH411" i="23"/>
  <c r="BI411" i="23"/>
  <c r="BJ411" i="23"/>
  <c r="BK411" i="23"/>
  <c r="BL411" i="23"/>
  <c r="BM411" i="23"/>
  <c r="BN411" i="23"/>
  <c r="BO411" i="23"/>
  <c r="BP411" i="23"/>
  <c r="BQ411" i="23"/>
  <c r="BR411" i="23"/>
  <c r="BS411" i="23"/>
  <c r="BT411" i="23"/>
  <c r="B412" i="23"/>
  <c r="C412" i="23"/>
  <c r="D412" i="23"/>
  <c r="E412" i="23"/>
  <c r="F412" i="23"/>
  <c r="G412" i="23"/>
  <c r="H412" i="23"/>
  <c r="I412" i="23"/>
  <c r="J412" i="23"/>
  <c r="K412" i="23"/>
  <c r="L412" i="23"/>
  <c r="M412" i="23"/>
  <c r="N412" i="23"/>
  <c r="O412" i="23"/>
  <c r="P412" i="23"/>
  <c r="Q412" i="23"/>
  <c r="R412" i="23"/>
  <c r="S412" i="23"/>
  <c r="T412" i="23"/>
  <c r="U412" i="23"/>
  <c r="V412" i="23"/>
  <c r="W412" i="23"/>
  <c r="X412" i="23"/>
  <c r="Y412" i="23"/>
  <c r="Z412" i="23"/>
  <c r="AA412" i="23"/>
  <c r="AB412" i="23"/>
  <c r="AC412" i="23"/>
  <c r="AD412" i="23"/>
  <c r="AE412" i="23"/>
  <c r="AF412" i="23"/>
  <c r="AG412" i="23"/>
  <c r="AH412" i="23"/>
  <c r="AI412" i="23"/>
  <c r="AJ412" i="23"/>
  <c r="AK412" i="23"/>
  <c r="AL412" i="23"/>
  <c r="AM412" i="23"/>
  <c r="AN412" i="23"/>
  <c r="AO412" i="23"/>
  <c r="AP412" i="23"/>
  <c r="AQ412" i="23"/>
  <c r="AR412" i="23"/>
  <c r="AS412" i="23"/>
  <c r="AT412" i="23"/>
  <c r="AU412" i="23"/>
  <c r="AV412" i="23"/>
  <c r="AW412" i="23"/>
  <c r="AX412" i="23"/>
  <c r="AY412" i="23"/>
  <c r="AZ412" i="23"/>
  <c r="BA412" i="23"/>
  <c r="BB412" i="23"/>
  <c r="BC412" i="23"/>
  <c r="BD412" i="23"/>
  <c r="BE412" i="23"/>
  <c r="BF412" i="23"/>
  <c r="BG412" i="23"/>
  <c r="BH412" i="23"/>
  <c r="BI412" i="23"/>
  <c r="BJ412" i="23"/>
  <c r="BK412" i="23"/>
  <c r="BL412" i="23"/>
  <c r="BM412" i="23"/>
  <c r="BN412" i="23"/>
  <c r="BO412" i="23"/>
  <c r="BP412" i="23"/>
  <c r="BQ412" i="23"/>
  <c r="BR412" i="23"/>
  <c r="BS412" i="23"/>
  <c r="BT412" i="23"/>
  <c r="B413" i="23"/>
  <c r="C413" i="23"/>
  <c r="D413" i="23"/>
  <c r="E413" i="23"/>
  <c r="F413" i="23"/>
  <c r="G413" i="23"/>
  <c r="H413" i="23"/>
  <c r="I413" i="23"/>
  <c r="J413" i="23"/>
  <c r="K413" i="23"/>
  <c r="L413" i="23"/>
  <c r="M413" i="23"/>
  <c r="N413" i="23"/>
  <c r="O413" i="23"/>
  <c r="P413" i="23"/>
  <c r="Q413" i="23"/>
  <c r="R413" i="23"/>
  <c r="S413" i="23"/>
  <c r="T413" i="23"/>
  <c r="U413" i="23"/>
  <c r="V413" i="23"/>
  <c r="W413" i="23"/>
  <c r="X413" i="23"/>
  <c r="Y413" i="23"/>
  <c r="Z413" i="23"/>
  <c r="AA413" i="23"/>
  <c r="AB413" i="23"/>
  <c r="AC413" i="23"/>
  <c r="AD413" i="23"/>
  <c r="AE413" i="23"/>
  <c r="AF413" i="23"/>
  <c r="AG413" i="23"/>
  <c r="AH413" i="23"/>
  <c r="AI413" i="23"/>
  <c r="AJ413" i="23"/>
  <c r="AK413" i="23"/>
  <c r="AL413" i="23"/>
  <c r="AM413" i="23"/>
  <c r="AN413" i="23"/>
  <c r="AO413" i="23"/>
  <c r="AP413" i="23"/>
  <c r="AQ413" i="23"/>
  <c r="AR413" i="23"/>
  <c r="AS413" i="23"/>
  <c r="AT413" i="23"/>
  <c r="AU413" i="23"/>
  <c r="AV413" i="23"/>
  <c r="AW413" i="23"/>
  <c r="AX413" i="23"/>
  <c r="AY413" i="23"/>
  <c r="AZ413" i="23"/>
  <c r="BA413" i="23"/>
  <c r="BB413" i="23"/>
  <c r="BC413" i="23"/>
  <c r="BD413" i="23"/>
  <c r="BE413" i="23"/>
  <c r="BF413" i="23"/>
  <c r="BG413" i="23"/>
  <c r="BH413" i="23"/>
  <c r="BI413" i="23"/>
  <c r="BJ413" i="23"/>
  <c r="BK413" i="23"/>
  <c r="BL413" i="23"/>
  <c r="BM413" i="23"/>
  <c r="BN413" i="23"/>
  <c r="BO413" i="23"/>
  <c r="BP413" i="23"/>
  <c r="BQ413" i="23"/>
  <c r="BR413" i="23"/>
  <c r="BS413" i="23"/>
  <c r="BT413" i="23"/>
  <c r="B414" i="23"/>
  <c r="C414" i="23"/>
  <c r="D414" i="23"/>
  <c r="E414" i="23"/>
  <c r="F414" i="23"/>
  <c r="G414" i="23"/>
  <c r="H414" i="23"/>
  <c r="I414" i="23"/>
  <c r="J414" i="23"/>
  <c r="K414" i="23"/>
  <c r="L414" i="23"/>
  <c r="M414" i="23"/>
  <c r="N414" i="23"/>
  <c r="O414" i="23"/>
  <c r="P414" i="23"/>
  <c r="Q414" i="23"/>
  <c r="R414" i="23"/>
  <c r="S414" i="23"/>
  <c r="T414" i="23"/>
  <c r="U414" i="23"/>
  <c r="V414" i="23"/>
  <c r="W414" i="23"/>
  <c r="X414" i="23"/>
  <c r="Y414" i="23"/>
  <c r="Z414" i="23"/>
  <c r="AA414" i="23"/>
  <c r="AB414" i="23"/>
  <c r="AC414" i="23"/>
  <c r="AD414" i="23"/>
  <c r="AE414" i="23"/>
  <c r="AF414" i="23"/>
  <c r="AG414" i="23"/>
  <c r="AH414" i="23"/>
  <c r="AI414" i="23"/>
  <c r="AJ414" i="23"/>
  <c r="AK414" i="23"/>
  <c r="AL414" i="23"/>
  <c r="AM414" i="23"/>
  <c r="AN414" i="23"/>
  <c r="AO414" i="23"/>
  <c r="AP414" i="23"/>
  <c r="AQ414" i="23"/>
  <c r="AR414" i="23"/>
  <c r="AS414" i="23"/>
  <c r="AT414" i="23"/>
  <c r="AU414" i="23"/>
  <c r="AV414" i="23"/>
  <c r="AW414" i="23"/>
  <c r="AX414" i="23"/>
  <c r="AY414" i="23"/>
  <c r="AZ414" i="23"/>
  <c r="BA414" i="23"/>
  <c r="BB414" i="23"/>
  <c r="BC414" i="23"/>
  <c r="BD414" i="23"/>
  <c r="BE414" i="23"/>
  <c r="BF414" i="23"/>
  <c r="BG414" i="23"/>
  <c r="BH414" i="23"/>
  <c r="BI414" i="23"/>
  <c r="BJ414" i="23"/>
  <c r="BK414" i="23"/>
  <c r="BL414" i="23"/>
  <c r="BM414" i="23"/>
  <c r="BN414" i="23"/>
  <c r="BO414" i="23"/>
  <c r="BP414" i="23"/>
  <c r="BQ414" i="23"/>
  <c r="BR414" i="23"/>
  <c r="BS414" i="23"/>
  <c r="BT414" i="23"/>
  <c r="B415" i="23"/>
  <c r="C415" i="23"/>
  <c r="D415" i="23"/>
  <c r="E415" i="23"/>
  <c r="F415" i="23"/>
  <c r="G415" i="23"/>
  <c r="H415" i="23"/>
  <c r="I415" i="23"/>
  <c r="J415" i="23"/>
  <c r="K415" i="23"/>
  <c r="L415" i="23"/>
  <c r="M415" i="23"/>
  <c r="N415" i="23"/>
  <c r="O415" i="23"/>
  <c r="P415" i="23"/>
  <c r="Q415" i="23"/>
  <c r="R415" i="23"/>
  <c r="S415" i="23"/>
  <c r="T415" i="23"/>
  <c r="U415" i="23"/>
  <c r="V415" i="23"/>
  <c r="W415" i="23"/>
  <c r="X415" i="23"/>
  <c r="Y415" i="23"/>
  <c r="Z415" i="23"/>
  <c r="AA415" i="23"/>
  <c r="AB415" i="23"/>
  <c r="AC415" i="23"/>
  <c r="AD415" i="23"/>
  <c r="AE415" i="23"/>
  <c r="AF415" i="23"/>
  <c r="AG415" i="23"/>
  <c r="AH415" i="23"/>
  <c r="AI415" i="23"/>
  <c r="AJ415" i="23"/>
  <c r="AK415" i="23"/>
  <c r="AL415" i="23"/>
  <c r="AM415" i="23"/>
  <c r="AN415" i="23"/>
  <c r="AO415" i="23"/>
  <c r="AP415" i="23"/>
  <c r="AQ415" i="23"/>
  <c r="AR415" i="23"/>
  <c r="AS415" i="23"/>
  <c r="AT415" i="23"/>
  <c r="AU415" i="23"/>
  <c r="AV415" i="23"/>
  <c r="AW415" i="23"/>
  <c r="AX415" i="23"/>
  <c r="AY415" i="23"/>
  <c r="AZ415" i="23"/>
  <c r="BA415" i="23"/>
  <c r="BB415" i="23"/>
  <c r="BC415" i="23"/>
  <c r="BD415" i="23"/>
  <c r="BE415" i="23"/>
  <c r="BF415" i="23"/>
  <c r="BG415" i="23"/>
  <c r="BH415" i="23"/>
  <c r="BI415" i="23"/>
  <c r="BJ415" i="23"/>
  <c r="BK415" i="23"/>
  <c r="BL415" i="23"/>
  <c r="BM415" i="23"/>
  <c r="BN415" i="23"/>
  <c r="BO415" i="23"/>
  <c r="BP415" i="23"/>
  <c r="BQ415" i="23"/>
  <c r="BR415" i="23"/>
  <c r="BS415" i="23"/>
  <c r="BT415" i="23"/>
  <c r="B416" i="23"/>
  <c r="C416" i="23"/>
  <c r="D416" i="23"/>
  <c r="E416" i="23"/>
  <c r="F416" i="23"/>
  <c r="G416" i="23"/>
  <c r="H416" i="23"/>
  <c r="I416" i="23"/>
  <c r="J416" i="23"/>
  <c r="K416" i="23"/>
  <c r="L416" i="23"/>
  <c r="M416" i="23"/>
  <c r="N416" i="23"/>
  <c r="O416" i="23"/>
  <c r="P416" i="23"/>
  <c r="Q416" i="23"/>
  <c r="R416" i="23"/>
  <c r="S416" i="23"/>
  <c r="T416" i="23"/>
  <c r="U416" i="23"/>
  <c r="V416" i="23"/>
  <c r="W416" i="23"/>
  <c r="X416" i="23"/>
  <c r="Y416" i="23"/>
  <c r="Z416" i="23"/>
  <c r="AA416" i="23"/>
  <c r="AB416" i="23"/>
  <c r="AC416" i="23"/>
  <c r="AD416" i="23"/>
  <c r="AE416" i="23"/>
  <c r="AF416" i="23"/>
  <c r="AG416" i="23"/>
  <c r="AH416" i="23"/>
  <c r="AI416" i="23"/>
  <c r="AJ416" i="23"/>
  <c r="AK416" i="23"/>
  <c r="AL416" i="23"/>
  <c r="AM416" i="23"/>
  <c r="AN416" i="23"/>
  <c r="AO416" i="23"/>
  <c r="AP416" i="23"/>
  <c r="AQ416" i="23"/>
  <c r="AR416" i="23"/>
  <c r="AS416" i="23"/>
  <c r="AT416" i="23"/>
  <c r="AU416" i="23"/>
  <c r="AV416" i="23"/>
  <c r="AW416" i="23"/>
  <c r="AX416" i="23"/>
  <c r="AY416" i="23"/>
  <c r="AZ416" i="23"/>
  <c r="BA416" i="23"/>
  <c r="BB416" i="23"/>
  <c r="BC416" i="23"/>
  <c r="BD416" i="23"/>
  <c r="BE416" i="23"/>
  <c r="BF416" i="23"/>
  <c r="BG416" i="23"/>
  <c r="BH416" i="23"/>
  <c r="BI416" i="23"/>
  <c r="BJ416" i="23"/>
  <c r="BK416" i="23"/>
  <c r="BL416" i="23"/>
  <c r="BM416" i="23"/>
  <c r="BN416" i="23"/>
  <c r="BO416" i="23"/>
  <c r="BP416" i="23"/>
  <c r="BQ416" i="23"/>
  <c r="BR416" i="23"/>
  <c r="BS416" i="23"/>
  <c r="BT416" i="23"/>
  <c r="B417" i="23"/>
  <c r="C417" i="23"/>
  <c r="D417" i="23"/>
  <c r="E417" i="23"/>
  <c r="F417" i="23"/>
  <c r="G417" i="23"/>
  <c r="H417" i="23"/>
  <c r="I417" i="23"/>
  <c r="J417" i="23"/>
  <c r="K417" i="23"/>
  <c r="L417" i="23"/>
  <c r="M417" i="23"/>
  <c r="N417" i="23"/>
  <c r="O417" i="23"/>
  <c r="P417" i="23"/>
  <c r="Q417" i="23"/>
  <c r="R417" i="23"/>
  <c r="S417" i="23"/>
  <c r="T417" i="23"/>
  <c r="U417" i="23"/>
  <c r="V417" i="23"/>
  <c r="W417" i="23"/>
  <c r="X417" i="23"/>
  <c r="Y417" i="23"/>
  <c r="Z417" i="23"/>
  <c r="AA417" i="23"/>
  <c r="AB417" i="23"/>
  <c r="AC417" i="23"/>
  <c r="AD417" i="23"/>
  <c r="AE417" i="23"/>
  <c r="AF417" i="23"/>
  <c r="AG417" i="23"/>
  <c r="AH417" i="23"/>
  <c r="AI417" i="23"/>
  <c r="AJ417" i="23"/>
  <c r="AK417" i="23"/>
  <c r="AL417" i="23"/>
  <c r="AM417" i="23"/>
  <c r="AN417" i="23"/>
  <c r="AO417" i="23"/>
  <c r="AP417" i="23"/>
  <c r="AQ417" i="23"/>
  <c r="AR417" i="23"/>
  <c r="AS417" i="23"/>
  <c r="AT417" i="23"/>
  <c r="AU417" i="23"/>
  <c r="AV417" i="23"/>
  <c r="AW417" i="23"/>
  <c r="AX417" i="23"/>
  <c r="AY417" i="23"/>
  <c r="AZ417" i="23"/>
  <c r="BA417" i="23"/>
  <c r="BB417" i="23"/>
  <c r="BC417" i="23"/>
  <c r="BD417" i="23"/>
  <c r="BE417" i="23"/>
  <c r="BF417" i="23"/>
  <c r="BG417" i="23"/>
  <c r="BH417" i="23"/>
  <c r="BI417" i="23"/>
  <c r="BJ417" i="23"/>
  <c r="BK417" i="23"/>
  <c r="BL417" i="23"/>
  <c r="BM417" i="23"/>
  <c r="BN417" i="23"/>
  <c r="BO417" i="23"/>
  <c r="BP417" i="23"/>
  <c r="BQ417" i="23"/>
  <c r="BR417" i="23"/>
  <c r="BS417" i="23"/>
  <c r="BT417" i="23"/>
  <c r="B418" i="23"/>
  <c r="C418" i="23"/>
  <c r="D418" i="23"/>
  <c r="E418" i="23"/>
  <c r="F418" i="23"/>
  <c r="G418" i="23"/>
  <c r="H418" i="23"/>
  <c r="I418" i="23"/>
  <c r="J418" i="23"/>
  <c r="K418" i="23"/>
  <c r="L418" i="23"/>
  <c r="M418" i="23"/>
  <c r="N418" i="23"/>
  <c r="O418" i="23"/>
  <c r="P418" i="23"/>
  <c r="Q418" i="23"/>
  <c r="R418" i="23"/>
  <c r="S418" i="23"/>
  <c r="T418" i="23"/>
  <c r="U418" i="23"/>
  <c r="V418" i="23"/>
  <c r="W418" i="23"/>
  <c r="X418" i="23"/>
  <c r="Y418" i="23"/>
  <c r="Z418" i="23"/>
  <c r="AA418" i="23"/>
  <c r="AB418" i="23"/>
  <c r="AC418" i="23"/>
  <c r="AD418" i="23"/>
  <c r="AE418" i="23"/>
  <c r="AF418" i="23"/>
  <c r="AG418" i="23"/>
  <c r="AH418" i="23"/>
  <c r="AI418" i="23"/>
  <c r="AJ418" i="23"/>
  <c r="AK418" i="23"/>
  <c r="AL418" i="23"/>
  <c r="AM418" i="23"/>
  <c r="AN418" i="23"/>
  <c r="AO418" i="23"/>
  <c r="AP418" i="23"/>
  <c r="AQ418" i="23"/>
  <c r="AR418" i="23"/>
  <c r="AS418" i="23"/>
  <c r="AT418" i="23"/>
  <c r="AU418" i="23"/>
  <c r="AV418" i="23"/>
  <c r="AW418" i="23"/>
  <c r="AX418" i="23"/>
  <c r="AY418" i="23"/>
  <c r="AZ418" i="23"/>
  <c r="BA418" i="23"/>
  <c r="BB418" i="23"/>
  <c r="BC418" i="23"/>
  <c r="BD418" i="23"/>
  <c r="BE418" i="23"/>
  <c r="BF418" i="23"/>
  <c r="BG418" i="23"/>
  <c r="BH418" i="23"/>
  <c r="BI418" i="23"/>
  <c r="BJ418" i="23"/>
  <c r="BK418" i="23"/>
  <c r="BL418" i="23"/>
  <c r="BM418" i="23"/>
  <c r="BN418" i="23"/>
  <c r="BO418" i="23"/>
  <c r="BP418" i="23"/>
  <c r="BQ418" i="23"/>
  <c r="BR418" i="23"/>
  <c r="BS418" i="23"/>
  <c r="BT418" i="23"/>
  <c r="B419" i="23"/>
  <c r="C419" i="23"/>
  <c r="D419" i="23"/>
  <c r="E419" i="23"/>
  <c r="F419" i="23"/>
  <c r="G419" i="23"/>
  <c r="H419" i="23"/>
  <c r="I419" i="23"/>
  <c r="J419" i="23"/>
  <c r="K419" i="23"/>
  <c r="L419" i="23"/>
  <c r="M419" i="23"/>
  <c r="N419" i="23"/>
  <c r="O419" i="23"/>
  <c r="P419" i="23"/>
  <c r="Q419" i="23"/>
  <c r="R419" i="23"/>
  <c r="S419" i="23"/>
  <c r="T419" i="23"/>
  <c r="U419" i="23"/>
  <c r="V419" i="23"/>
  <c r="W419" i="23"/>
  <c r="X419" i="23"/>
  <c r="Y419" i="23"/>
  <c r="Z419" i="23"/>
  <c r="AA419" i="23"/>
  <c r="AB419" i="23"/>
  <c r="AC419" i="23"/>
  <c r="AD419" i="23"/>
  <c r="AE419" i="23"/>
  <c r="AF419" i="23"/>
  <c r="AG419" i="23"/>
  <c r="AH419" i="23"/>
  <c r="AI419" i="23"/>
  <c r="AJ419" i="23"/>
  <c r="AK419" i="23"/>
  <c r="AL419" i="23"/>
  <c r="AM419" i="23"/>
  <c r="AN419" i="23"/>
  <c r="AO419" i="23"/>
  <c r="AP419" i="23"/>
  <c r="AQ419" i="23"/>
  <c r="AR419" i="23"/>
  <c r="AS419" i="23"/>
  <c r="AT419" i="23"/>
  <c r="AU419" i="23"/>
  <c r="AV419" i="23"/>
  <c r="AW419" i="23"/>
  <c r="AX419" i="23"/>
  <c r="AY419" i="23"/>
  <c r="AZ419" i="23"/>
  <c r="BA419" i="23"/>
  <c r="BB419" i="23"/>
  <c r="BC419" i="23"/>
  <c r="BD419" i="23"/>
  <c r="BE419" i="23"/>
  <c r="BF419" i="23"/>
  <c r="BG419" i="23"/>
  <c r="BH419" i="23"/>
  <c r="BI419" i="23"/>
  <c r="BJ419" i="23"/>
  <c r="BK419" i="23"/>
  <c r="BL419" i="23"/>
  <c r="BM419" i="23"/>
  <c r="BN419" i="23"/>
  <c r="BO419" i="23"/>
  <c r="BP419" i="23"/>
  <c r="BQ419" i="23"/>
  <c r="BR419" i="23"/>
  <c r="BS419" i="23"/>
  <c r="BT419" i="23"/>
  <c r="B420" i="23"/>
  <c r="C420" i="23"/>
  <c r="D420" i="23"/>
  <c r="E420" i="23"/>
  <c r="F420" i="23"/>
  <c r="G420" i="23"/>
  <c r="H420" i="23"/>
  <c r="I420" i="23"/>
  <c r="J420" i="23"/>
  <c r="K420" i="23"/>
  <c r="L420" i="23"/>
  <c r="M420" i="23"/>
  <c r="N420" i="23"/>
  <c r="O420" i="23"/>
  <c r="P420" i="23"/>
  <c r="Q420" i="23"/>
  <c r="R420" i="23"/>
  <c r="S420" i="23"/>
  <c r="T420" i="23"/>
  <c r="U420" i="23"/>
  <c r="V420" i="23"/>
  <c r="W420" i="23"/>
  <c r="X420" i="23"/>
  <c r="Y420" i="23"/>
  <c r="Z420" i="23"/>
  <c r="AA420" i="23"/>
  <c r="AB420" i="23"/>
  <c r="AC420" i="23"/>
  <c r="AD420" i="23"/>
  <c r="AE420" i="23"/>
  <c r="AF420" i="23"/>
  <c r="AG420" i="23"/>
  <c r="AH420" i="23"/>
  <c r="AI420" i="23"/>
  <c r="AJ420" i="23"/>
  <c r="AK420" i="23"/>
  <c r="AL420" i="23"/>
  <c r="AM420" i="23"/>
  <c r="AN420" i="23"/>
  <c r="AO420" i="23"/>
  <c r="AP420" i="23"/>
  <c r="AQ420" i="23"/>
  <c r="AR420" i="23"/>
  <c r="AS420" i="23"/>
  <c r="AT420" i="23"/>
  <c r="AU420" i="23"/>
  <c r="AV420" i="23"/>
  <c r="AW420" i="23"/>
  <c r="AX420" i="23"/>
  <c r="AY420" i="23"/>
  <c r="AZ420" i="23"/>
  <c r="BA420" i="23"/>
  <c r="BB420" i="23"/>
  <c r="BC420" i="23"/>
  <c r="BD420" i="23"/>
  <c r="BE420" i="23"/>
  <c r="BF420" i="23"/>
  <c r="BG420" i="23"/>
  <c r="BH420" i="23"/>
  <c r="BI420" i="23"/>
  <c r="BJ420" i="23"/>
  <c r="BK420" i="23"/>
  <c r="BL420" i="23"/>
  <c r="BM420" i="23"/>
  <c r="BN420" i="23"/>
  <c r="BO420" i="23"/>
  <c r="BP420" i="23"/>
  <c r="BQ420" i="23"/>
  <c r="BR420" i="23"/>
  <c r="BS420" i="23"/>
  <c r="BT420" i="23"/>
  <c r="B421" i="23"/>
  <c r="C421" i="23"/>
  <c r="D421" i="23"/>
  <c r="E421" i="23"/>
  <c r="F421" i="23"/>
  <c r="G421" i="23"/>
  <c r="H421" i="23"/>
  <c r="I421" i="23"/>
  <c r="J421" i="23"/>
  <c r="K421" i="23"/>
  <c r="L421" i="23"/>
  <c r="M421" i="23"/>
  <c r="N421" i="23"/>
  <c r="O421" i="23"/>
  <c r="P421" i="23"/>
  <c r="Q421" i="23"/>
  <c r="R421" i="23"/>
  <c r="S421" i="23"/>
  <c r="T421" i="23"/>
  <c r="U421" i="23"/>
  <c r="V421" i="23"/>
  <c r="W421" i="23"/>
  <c r="X421" i="23"/>
  <c r="Y421" i="23"/>
  <c r="Z421" i="23"/>
  <c r="AA421" i="23"/>
  <c r="AB421" i="23"/>
  <c r="AC421" i="23"/>
  <c r="AD421" i="23"/>
  <c r="AE421" i="23"/>
  <c r="AF421" i="23"/>
  <c r="AG421" i="23"/>
  <c r="AH421" i="23"/>
  <c r="AI421" i="23"/>
  <c r="AJ421" i="23"/>
  <c r="AK421" i="23"/>
  <c r="AL421" i="23"/>
  <c r="AM421" i="23"/>
  <c r="AN421" i="23"/>
  <c r="AO421" i="23"/>
  <c r="AP421" i="23"/>
  <c r="AQ421" i="23"/>
  <c r="AR421" i="23"/>
  <c r="AS421" i="23"/>
  <c r="AT421" i="23"/>
  <c r="AU421" i="23"/>
  <c r="AV421" i="23"/>
  <c r="AW421" i="23"/>
  <c r="AX421" i="23"/>
  <c r="AY421" i="23"/>
  <c r="AZ421" i="23"/>
  <c r="BA421" i="23"/>
  <c r="BB421" i="23"/>
  <c r="BC421" i="23"/>
  <c r="BD421" i="23"/>
  <c r="BE421" i="23"/>
  <c r="BF421" i="23"/>
  <c r="BG421" i="23"/>
  <c r="BH421" i="23"/>
  <c r="BI421" i="23"/>
  <c r="BJ421" i="23"/>
  <c r="BK421" i="23"/>
  <c r="BL421" i="23"/>
  <c r="BM421" i="23"/>
  <c r="BN421" i="23"/>
  <c r="BO421" i="23"/>
  <c r="BP421" i="23"/>
  <c r="BQ421" i="23"/>
  <c r="BR421" i="23"/>
  <c r="BS421" i="23"/>
  <c r="BT421" i="23"/>
  <c r="B422" i="23"/>
  <c r="C422" i="23"/>
  <c r="D422" i="23"/>
  <c r="E422" i="23"/>
  <c r="F422" i="23"/>
  <c r="G422" i="23"/>
  <c r="H422" i="23"/>
  <c r="I422" i="23"/>
  <c r="J422" i="23"/>
  <c r="K422" i="23"/>
  <c r="L422" i="23"/>
  <c r="M422" i="23"/>
  <c r="N422" i="23"/>
  <c r="O422" i="23"/>
  <c r="P422" i="23"/>
  <c r="Q422" i="23"/>
  <c r="R422" i="23"/>
  <c r="S422" i="23"/>
  <c r="T422" i="23"/>
  <c r="U422" i="23"/>
  <c r="V422" i="23"/>
  <c r="W422" i="23"/>
  <c r="X422" i="23"/>
  <c r="Y422" i="23"/>
  <c r="Z422" i="23"/>
  <c r="AA422" i="23"/>
  <c r="AB422" i="23"/>
  <c r="AC422" i="23"/>
  <c r="AD422" i="23"/>
  <c r="AE422" i="23"/>
  <c r="AF422" i="23"/>
  <c r="AG422" i="23"/>
  <c r="AH422" i="23"/>
  <c r="AI422" i="23"/>
  <c r="AJ422" i="23"/>
  <c r="AK422" i="23"/>
  <c r="AL422" i="23"/>
  <c r="AM422" i="23"/>
  <c r="AN422" i="23"/>
  <c r="AO422" i="23"/>
  <c r="AP422" i="23"/>
  <c r="AQ422" i="23"/>
  <c r="AR422" i="23"/>
  <c r="AS422" i="23"/>
  <c r="AT422" i="23"/>
  <c r="AU422" i="23"/>
  <c r="AV422" i="23"/>
  <c r="AW422" i="23"/>
  <c r="AX422" i="23"/>
  <c r="AY422" i="23"/>
  <c r="AZ422" i="23"/>
  <c r="BA422" i="23"/>
  <c r="BB422" i="23"/>
  <c r="BC422" i="23"/>
  <c r="BD422" i="23"/>
  <c r="BE422" i="23"/>
  <c r="BF422" i="23"/>
  <c r="BG422" i="23"/>
  <c r="BH422" i="23"/>
  <c r="BI422" i="23"/>
  <c r="BJ422" i="23"/>
  <c r="BK422" i="23"/>
  <c r="BL422" i="23"/>
  <c r="BM422" i="23"/>
  <c r="BN422" i="23"/>
  <c r="BO422" i="23"/>
  <c r="BP422" i="23"/>
  <c r="BQ422" i="23"/>
  <c r="BR422" i="23"/>
  <c r="BS422" i="23"/>
  <c r="BT422" i="23"/>
  <c r="B423" i="23"/>
  <c r="C423" i="23"/>
  <c r="D423" i="23"/>
  <c r="E423" i="23"/>
  <c r="F423" i="23"/>
  <c r="G423" i="23"/>
  <c r="H423" i="23"/>
  <c r="I423" i="23"/>
  <c r="J423" i="23"/>
  <c r="K423" i="23"/>
  <c r="L423" i="23"/>
  <c r="M423" i="23"/>
  <c r="N423" i="23"/>
  <c r="O423" i="23"/>
  <c r="P423" i="23"/>
  <c r="Q423" i="23"/>
  <c r="R423" i="23"/>
  <c r="S423" i="23"/>
  <c r="T423" i="23"/>
  <c r="U423" i="23"/>
  <c r="V423" i="23"/>
  <c r="W423" i="23"/>
  <c r="X423" i="23"/>
  <c r="Y423" i="23"/>
  <c r="Z423" i="23"/>
  <c r="AA423" i="23"/>
  <c r="AB423" i="23"/>
  <c r="AC423" i="23"/>
  <c r="AD423" i="23"/>
  <c r="AE423" i="23"/>
  <c r="AF423" i="23"/>
  <c r="AG423" i="23"/>
  <c r="AH423" i="23"/>
  <c r="AI423" i="23"/>
  <c r="AJ423" i="23"/>
  <c r="AK423" i="23"/>
  <c r="AL423" i="23"/>
  <c r="AM423" i="23"/>
  <c r="AN423" i="23"/>
  <c r="AO423" i="23"/>
  <c r="AP423" i="23"/>
  <c r="AQ423" i="23"/>
  <c r="AR423" i="23"/>
  <c r="AS423" i="23"/>
  <c r="AT423" i="23"/>
  <c r="AU423" i="23"/>
  <c r="AV423" i="23"/>
  <c r="AW423" i="23"/>
  <c r="AX423" i="23"/>
  <c r="AY423" i="23"/>
  <c r="AZ423" i="23"/>
  <c r="BA423" i="23"/>
  <c r="BB423" i="23"/>
  <c r="BC423" i="23"/>
  <c r="BD423" i="23"/>
  <c r="BE423" i="23"/>
  <c r="BF423" i="23"/>
  <c r="BG423" i="23"/>
  <c r="BH423" i="23"/>
  <c r="BI423" i="23"/>
  <c r="BJ423" i="23"/>
  <c r="BK423" i="23"/>
  <c r="BL423" i="23"/>
  <c r="BM423" i="23"/>
  <c r="BN423" i="23"/>
  <c r="BO423" i="23"/>
  <c r="BP423" i="23"/>
  <c r="BQ423" i="23"/>
  <c r="BR423" i="23"/>
  <c r="BS423" i="23"/>
  <c r="BT423" i="23"/>
  <c r="B424" i="23"/>
  <c r="C424" i="23"/>
  <c r="D424" i="23"/>
  <c r="E424" i="23"/>
  <c r="F424" i="23"/>
  <c r="G424" i="23"/>
  <c r="H424" i="23"/>
  <c r="I424" i="23"/>
  <c r="J424" i="23"/>
  <c r="K424" i="23"/>
  <c r="L424" i="23"/>
  <c r="M424" i="23"/>
  <c r="N424" i="23"/>
  <c r="O424" i="23"/>
  <c r="P424" i="23"/>
  <c r="Q424" i="23"/>
  <c r="R424" i="23"/>
  <c r="S424" i="23"/>
  <c r="T424" i="23"/>
  <c r="U424" i="23"/>
  <c r="V424" i="23"/>
  <c r="W424" i="23"/>
  <c r="X424" i="23"/>
  <c r="Y424" i="23"/>
  <c r="Z424" i="23"/>
  <c r="AA424" i="23"/>
  <c r="AB424" i="23"/>
  <c r="AC424" i="23"/>
  <c r="AD424" i="23"/>
  <c r="AE424" i="23"/>
  <c r="AF424" i="23"/>
  <c r="AG424" i="23"/>
  <c r="AH424" i="23"/>
  <c r="AI424" i="23"/>
  <c r="AJ424" i="23"/>
  <c r="AK424" i="23"/>
  <c r="AL424" i="23"/>
  <c r="AM424" i="23"/>
  <c r="AN424" i="23"/>
  <c r="AO424" i="23"/>
  <c r="AP424" i="23"/>
  <c r="AQ424" i="23"/>
  <c r="AR424" i="23"/>
  <c r="AS424" i="23"/>
  <c r="AT424" i="23"/>
  <c r="AU424" i="23"/>
  <c r="AV424" i="23"/>
  <c r="AW424" i="23"/>
  <c r="AX424" i="23"/>
  <c r="AY424" i="23"/>
  <c r="AZ424" i="23"/>
  <c r="BA424" i="23"/>
  <c r="BB424" i="23"/>
  <c r="BC424" i="23"/>
  <c r="BD424" i="23"/>
  <c r="BE424" i="23"/>
  <c r="BF424" i="23"/>
  <c r="BG424" i="23"/>
  <c r="BH424" i="23"/>
  <c r="BI424" i="23"/>
  <c r="BJ424" i="23"/>
  <c r="BK424" i="23"/>
  <c r="BL424" i="23"/>
  <c r="BM424" i="23"/>
  <c r="BN424" i="23"/>
  <c r="BO424" i="23"/>
  <c r="BP424" i="23"/>
  <c r="BQ424" i="23"/>
  <c r="BR424" i="23"/>
  <c r="BS424" i="23"/>
  <c r="BT424" i="23"/>
  <c r="B425" i="23"/>
  <c r="C425" i="23"/>
  <c r="D425" i="23"/>
  <c r="E425" i="23"/>
  <c r="F425" i="23"/>
  <c r="G425" i="23"/>
  <c r="H425" i="23"/>
  <c r="I425" i="23"/>
  <c r="J425" i="23"/>
  <c r="K425" i="23"/>
  <c r="L425" i="23"/>
  <c r="M425" i="23"/>
  <c r="N425" i="23"/>
  <c r="O425" i="23"/>
  <c r="P425" i="23"/>
  <c r="Q425" i="23"/>
  <c r="R425" i="23"/>
  <c r="S425" i="23"/>
  <c r="T425" i="23"/>
  <c r="U425" i="23"/>
  <c r="V425" i="23"/>
  <c r="W425" i="23"/>
  <c r="X425" i="23"/>
  <c r="Y425" i="23"/>
  <c r="Z425" i="23"/>
  <c r="AA425" i="23"/>
  <c r="AB425" i="23"/>
  <c r="AC425" i="23"/>
  <c r="AD425" i="23"/>
  <c r="AE425" i="23"/>
  <c r="AF425" i="23"/>
  <c r="AG425" i="23"/>
  <c r="AH425" i="23"/>
  <c r="AI425" i="23"/>
  <c r="AJ425" i="23"/>
  <c r="AK425" i="23"/>
  <c r="AL425" i="23"/>
  <c r="AM425" i="23"/>
  <c r="AN425" i="23"/>
  <c r="AO425" i="23"/>
  <c r="AP425" i="23"/>
  <c r="AQ425" i="23"/>
  <c r="AR425" i="23"/>
  <c r="AS425" i="23"/>
  <c r="AT425" i="23"/>
  <c r="AU425" i="23"/>
  <c r="AV425" i="23"/>
  <c r="AW425" i="23"/>
  <c r="AX425" i="23"/>
  <c r="AY425" i="23"/>
  <c r="AZ425" i="23"/>
  <c r="BA425" i="23"/>
  <c r="BB425" i="23"/>
  <c r="BC425" i="23"/>
  <c r="BD425" i="23"/>
  <c r="BE425" i="23"/>
  <c r="BF425" i="23"/>
  <c r="BG425" i="23"/>
  <c r="BH425" i="23"/>
  <c r="BI425" i="23"/>
  <c r="BJ425" i="23"/>
  <c r="BK425" i="23"/>
  <c r="BL425" i="23"/>
  <c r="BM425" i="23"/>
  <c r="BN425" i="23"/>
  <c r="BO425" i="23"/>
  <c r="BP425" i="23"/>
  <c r="BQ425" i="23"/>
  <c r="BR425" i="23"/>
  <c r="BS425" i="23"/>
  <c r="BT425" i="23"/>
  <c r="B426" i="23"/>
  <c r="C426" i="23"/>
  <c r="D426" i="23"/>
  <c r="E426" i="23"/>
  <c r="F426" i="23"/>
  <c r="G426" i="23"/>
  <c r="H426" i="23"/>
  <c r="I426" i="23"/>
  <c r="J426" i="23"/>
  <c r="K426" i="23"/>
  <c r="L426" i="23"/>
  <c r="M426" i="23"/>
  <c r="N426" i="23"/>
  <c r="O426" i="23"/>
  <c r="P426" i="23"/>
  <c r="Q426" i="23"/>
  <c r="R426" i="23"/>
  <c r="S426" i="23"/>
  <c r="T426" i="23"/>
  <c r="U426" i="23"/>
  <c r="V426" i="23"/>
  <c r="W426" i="23"/>
  <c r="X426" i="23"/>
  <c r="Y426" i="23"/>
  <c r="Z426" i="23"/>
  <c r="AA426" i="23"/>
  <c r="AB426" i="23"/>
  <c r="AC426" i="23"/>
  <c r="AD426" i="23"/>
  <c r="AE426" i="23"/>
  <c r="AF426" i="23"/>
  <c r="AG426" i="23"/>
  <c r="AH426" i="23"/>
  <c r="AI426" i="23"/>
  <c r="AJ426" i="23"/>
  <c r="AK426" i="23"/>
  <c r="AL426" i="23"/>
  <c r="AM426" i="23"/>
  <c r="AN426" i="23"/>
  <c r="AO426" i="23"/>
  <c r="AP426" i="23"/>
  <c r="AQ426" i="23"/>
  <c r="AR426" i="23"/>
  <c r="AS426" i="23"/>
  <c r="AT426" i="23"/>
  <c r="AU426" i="23"/>
  <c r="AV426" i="23"/>
  <c r="AW426" i="23"/>
  <c r="AX426" i="23"/>
  <c r="AY426" i="23"/>
  <c r="AZ426" i="23"/>
  <c r="BA426" i="23"/>
  <c r="BB426" i="23"/>
  <c r="BC426" i="23"/>
  <c r="BD426" i="23"/>
  <c r="BE426" i="23"/>
  <c r="BF426" i="23"/>
  <c r="BG426" i="23"/>
  <c r="BH426" i="23"/>
  <c r="BI426" i="23"/>
  <c r="BJ426" i="23"/>
  <c r="BK426" i="23"/>
  <c r="BL426" i="23"/>
  <c r="BM426" i="23"/>
  <c r="BN426" i="23"/>
  <c r="BO426" i="23"/>
  <c r="BP426" i="23"/>
  <c r="BQ426" i="23"/>
  <c r="BR426" i="23"/>
  <c r="BS426" i="23"/>
  <c r="BT426" i="23"/>
  <c r="B427" i="23"/>
  <c r="C427" i="23"/>
  <c r="D427" i="23"/>
  <c r="E427" i="23"/>
  <c r="F427" i="23"/>
  <c r="G427" i="23"/>
  <c r="H427" i="23"/>
  <c r="I427" i="23"/>
  <c r="J427" i="23"/>
  <c r="K427" i="23"/>
  <c r="L427" i="23"/>
  <c r="M427" i="23"/>
  <c r="N427" i="23"/>
  <c r="O427" i="23"/>
  <c r="P427" i="23"/>
  <c r="Q427" i="23"/>
  <c r="R427" i="23"/>
  <c r="S427" i="23"/>
  <c r="T427" i="23"/>
  <c r="U427" i="23"/>
  <c r="V427" i="23"/>
  <c r="W427" i="23"/>
  <c r="X427" i="23"/>
  <c r="Y427" i="23"/>
  <c r="Z427" i="23"/>
  <c r="AA427" i="23"/>
  <c r="AB427" i="23"/>
  <c r="AC427" i="23"/>
  <c r="AD427" i="23"/>
  <c r="AE427" i="23"/>
  <c r="AF427" i="23"/>
  <c r="AG427" i="23"/>
  <c r="AH427" i="23"/>
  <c r="AI427" i="23"/>
  <c r="AJ427" i="23"/>
  <c r="AK427" i="23"/>
  <c r="AL427" i="23"/>
  <c r="AM427" i="23"/>
  <c r="AN427" i="23"/>
  <c r="AO427" i="23"/>
  <c r="AP427" i="23"/>
  <c r="AQ427" i="23"/>
  <c r="AR427" i="23"/>
  <c r="AS427" i="23"/>
  <c r="AT427" i="23"/>
  <c r="AU427" i="23"/>
  <c r="AV427" i="23"/>
  <c r="AW427" i="23"/>
  <c r="AX427" i="23"/>
  <c r="AY427" i="23"/>
  <c r="AZ427" i="23"/>
  <c r="BA427" i="23"/>
  <c r="BB427" i="23"/>
  <c r="BC427" i="23"/>
  <c r="BD427" i="23"/>
  <c r="BE427" i="23"/>
  <c r="BF427" i="23"/>
  <c r="BG427" i="23"/>
  <c r="BH427" i="23"/>
  <c r="BI427" i="23"/>
  <c r="BJ427" i="23"/>
  <c r="BK427" i="23"/>
  <c r="BL427" i="23"/>
  <c r="BM427" i="23"/>
  <c r="BN427" i="23"/>
  <c r="BO427" i="23"/>
  <c r="BP427" i="23"/>
  <c r="BQ427" i="23"/>
  <c r="BR427" i="23"/>
  <c r="BS427" i="23"/>
  <c r="BT427" i="23"/>
  <c r="B428" i="23"/>
  <c r="C428" i="23"/>
  <c r="D428" i="23"/>
  <c r="E428" i="23"/>
  <c r="F428" i="23"/>
  <c r="G428" i="23"/>
  <c r="H428" i="23"/>
  <c r="I428" i="23"/>
  <c r="J428" i="23"/>
  <c r="K428" i="23"/>
  <c r="L428" i="23"/>
  <c r="M428" i="23"/>
  <c r="N428" i="23"/>
  <c r="O428" i="23"/>
  <c r="P428" i="23"/>
  <c r="Q428" i="23"/>
  <c r="R428" i="23"/>
  <c r="S428" i="23"/>
  <c r="T428" i="23"/>
  <c r="U428" i="23"/>
  <c r="V428" i="23"/>
  <c r="W428" i="23"/>
  <c r="X428" i="23"/>
  <c r="Y428" i="23"/>
  <c r="Z428" i="23"/>
  <c r="AA428" i="23"/>
  <c r="AB428" i="23"/>
  <c r="AC428" i="23"/>
  <c r="AD428" i="23"/>
  <c r="AE428" i="23"/>
  <c r="AF428" i="23"/>
  <c r="AG428" i="23"/>
  <c r="AH428" i="23"/>
  <c r="AI428" i="23"/>
  <c r="AJ428" i="23"/>
  <c r="AK428" i="23"/>
  <c r="AL428" i="23"/>
  <c r="AM428" i="23"/>
  <c r="AN428" i="23"/>
  <c r="AO428" i="23"/>
  <c r="AP428" i="23"/>
  <c r="AQ428" i="23"/>
  <c r="AR428" i="23"/>
  <c r="AS428" i="23"/>
  <c r="AT428" i="23"/>
  <c r="AU428" i="23"/>
  <c r="AV428" i="23"/>
  <c r="AW428" i="23"/>
  <c r="AX428" i="23"/>
  <c r="AY428" i="23"/>
  <c r="AZ428" i="23"/>
  <c r="BA428" i="23"/>
  <c r="BB428" i="23"/>
  <c r="BC428" i="23"/>
  <c r="BD428" i="23"/>
  <c r="BE428" i="23"/>
  <c r="BF428" i="23"/>
  <c r="BG428" i="23"/>
  <c r="BH428" i="23"/>
  <c r="BI428" i="23"/>
  <c r="BJ428" i="23"/>
  <c r="BK428" i="23"/>
  <c r="BL428" i="23"/>
  <c r="BM428" i="23"/>
  <c r="BN428" i="23"/>
  <c r="BO428" i="23"/>
  <c r="BP428" i="23"/>
  <c r="BQ428" i="23"/>
  <c r="BR428" i="23"/>
  <c r="BS428" i="23"/>
  <c r="BT428" i="23"/>
  <c r="B429" i="23"/>
  <c r="C429" i="23"/>
  <c r="D429" i="23"/>
  <c r="E429" i="23"/>
  <c r="F429" i="23"/>
  <c r="G429" i="23"/>
  <c r="H429" i="23"/>
  <c r="I429" i="23"/>
  <c r="J429" i="23"/>
  <c r="K429" i="23"/>
  <c r="L429" i="23"/>
  <c r="M429" i="23"/>
  <c r="N429" i="23"/>
  <c r="O429" i="23"/>
  <c r="P429" i="23"/>
  <c r="Q429" i="23"/>
  <c r="R429" i="23"/>
  <c r="S429" i="23"/>
  <c r="T429" i="23"/>
  <c r="U429" i="23"/>
  <c r="V429" i="23"/>
  <c r="W429" i="23"/>
  <c r="X429" i="23"/>
  <c r="Y429" i="23"/>
  <c r="Z429" i="23"/>
  <c r="AA429" i="23"/>
  <c r="AB429" i="23"/>
  <c r="AC429" i="23"/>
  <c r="AD429" i="23"/>
  <c r="AE429" i="23"/>
  <c r="AF429" i="23"/>
  <c r="AG429" i="23"/>
  <c r="AH429" i="23"/>
  <c r="AI429" i="23"/>
  <c r="AJ429" i="23"/>
  <c r="AK429" i="23"/>
  <c r="AL429" i="23"/>
  <c r="AM429" i="23"/>
  <c r="AN429" i="23"/>
  <c r="AO429" i="23"/>
  <c r="AP429" i="23"/>
  <c r="AQ429" i="23"/>
  <c r="AR429" i="23"/>
  <c r="AS429" i="23"/>
  <c r="AT429" i="23"/>
  <c r="AU429" i="23"/>
  <c r="AV429" i="23"/>
  <c r="AW429" i="23"/>
  <c r="AX429" i="23"/>
  <c r="AY429" i="23"/>
  <c r="AZ429" i="23"/>
  <c r="BA429" i="23"/>
  <c r="BB429" i="23"/>
  <c r="BC429" i="23"/>
  <c r="BD429" i="23"/>
  <c r="BE429" i="23"/>
  <c r="BF429" i="23"/>
  <c r="BG429" i="23"/>
  <c r="BH429" i="23"/>
  <c r="BI429" i="23"/>
  <c r="BJ429" i="23"/>
  <c r="BK429" i="23"/>
  <c r="BL429" i="23"/>
  <c r="BM429" i="23"/>
  <c r="BN429" i="23"/>
  <c r="BO429" i="23"/>
  <c r="BP429" i="23"/>
  <c r="BQ429" i="23"/>
  <c r="BR429" i="23"/>
  <c r="BS429" i="23"/>
  <c r="BT429" i="23"/>
  <c r="B430" i="23"/>
  <c r="C430" i="23"/>
  <c r="D430" i="23"/>
  <c r="E430" i="23"/>
  <c r="F430" i="23"/>
  <c r="G430" i="23"/>
  <c r="H430" i="23"/>
  <c r="I430" i="23"/>
  <c r="J430" i="23"/>
  <c r="K430" i="23"/>
  <c r="L430" i="23"/>
  <c r="M430" i="23"/>
  <c r="N430" i="23"/>
  <c r="O430" i="23"/>
  <c r="P430" i="23"/>
  <c r="Q430" i="23"/>
  <c r="R430" i="23"/>
  <c r="S430" i="23"/>
  <c r="T430" i="23"/>
  <c r="U430" i="23"/>
  <c r="V430" i="23"/>
  <c r="W430" i="23"/>
  <c r="X430" i="23"/>
  <c r="Y430" i="23"/>
  <c r="Z430" i="23"/>
  <c r="AA430" i="23"/>
  <c r="AB430" i="23"/>
  <c r="AC430" i="23"/>
  <c r="AD430" i="23"/>
  <c r="AE430" i="23"/>
  <c r="AF430" i="23"/>
  <c r="AG430" i="23"/>
  <c r="AH430" i="23"/>
  <c r="AI430" i="23"/>
  <c r="AJ430" i="23"/>
  <c r="AK430" i="23"/>
  <c r="AL430" i="23"/>
  <c r="AM430" i="23"/>
  <c r="AN430" i="23"/>
  <c r="AO430" i="23"/>
  <c r="AP430" i="23"/>
  <c r="AQ430" i="23"/>
  <c r="AR430" i="23"/>
  <c r="AS430" i="23"/>
  <c r="AT430" i="23"/>
  <c r="AU430" i="23"/>
  <c r="AV430" i="23"/>
  <c r="AW430" i="23"/>
  <c r="AX430" i="23"/>
  <c r="AY430" i="23"/>
  <c r="AZ430" i="23"/>
  <c r="BA430" i="23"/>
  <c r="BB430" i="23"/>
  <c r="BC430" i="23"/>
  <c r="BD430" i="23"/>
  <c r="BE430" i="23"/>
  <c r="BF430" i="23"/>
  <c r="BG430" i="23"/>
  <c r="BH430" i="23"/>
  <c r="BI430" i="23"/>
  <c r="BJ430" i="23"/>
  <c r="BK430" i="23"/>
  <c r="BL430" i="23"/>
  <c r="BM430" i="23"/>
  <c r="BN430" i="23"/>
  <c r="BO430" i="23"/>
  <c r="BP430" i="23"/>
  <c r="BQ430" i="23"/>
  <c r="BR430" i="23"/>
  <c r="BS430" i="23"/>
  <c r="BT430" i="23"/>
  <c r="B431" i="23"/>
  <c r="C431" i="23"/>
  <c r="D431" i="23"/>
  <c r="E431" i="23"/>
  <c r="F431" i="23"/>
  <c r="G431" i="23"/>
  <c r="H431" i="23"/>
  <c r="I431" i="23"/>
  <c r="J431" i="23"/>
  <c r="K431" i="23"/>
  <c r="L431" i="23"/>
  <c r="M431" i="23"/>
  <c r="N431" i="23"/>
  <c r="O431" i="23"/>
  <c r="P431" i="23"/>
  <c r="Q431" i="23"/>
  <c r="R431" i="23"/>
  <c r="S431" i="23"/>
  <c r="T431" i="23"/>
  <c r="U431" i="23"/>
  <c r="V431" i="23"/>
  <c r="W431" i="23"/>
  <c r="X431" i="23"/>
  <c r="Y431" i="23"/>
  <c r="Z431" i="23"/>
  <c r="AA431" i="23"/>
  <c r="AB431" i="23"/>
  <c r="AC431" i="23"/>
  <c r="AD431" i="23"/>
  <c r="AE431" i="23"/>
  <c r="AF431" i="23"/>
  <c r="AG431" i="23"/>
  <c r="AH431" i="23"/>
  <c r="AI431" i="23"/>
  <c r="AJ431" i="23"/>
  <c r="AK431" i="23"/>
  <c r="AL431" i="23"/>
  <c r="AM431" i="23"/>
  <c r="AN431" i="23"/>
  <c r="AO431" i="23"/>
  <c r="AP431" i="23"/>
  <c r="AQ431" i="23"/>
  <c r="AR431" i="23"/>
  <c r="AS431" i="23"/>
  <c r="AT431" i="23"/>
  <c r="AU431" i="23"/>
  <c r="AV431" i="23"/>
  <c r="AW431" i="23"/>
  <c r="AX431" i="23"/>
  <c r="AY431" i="23"/>
  <c r="AZ431" i="23"/>
  <c r="BA431" i="23"/>
  <c r="BB431" i="23"/>
  <c r="BC431" i="23"/>
  <c r="BD431" i="23"/>
  <c r="BE431" i="23"/>
  <c r="BF431" i="23"/>
  <c r="BG431" i="23"/>
  <c r="BH431" i="23"/>
  <c r="BI431" i="23"/>
  <c r="BJ431" i="23"/>
  <c r="BK431" i="23"/>
  <c r="BL431" i="23"/>
  <c r="BM431" i="23"/>
  <c r="BN431" i="23"/>
  <c r="BO431" i="23"/>
  <c r="BP431" i="23"/>
  <c r="BQ431" i="23"/>
  <c r="BR431" i="23"/>
  <c r="BS431" i="23"/>
  <c r="BT431" i="23"/>
  <c r="B432" i="23"/>
  <c r="C432" i="23"/>
  <c r="D432" i="23"/>
  <c r="E432" i="23"/>
  <c r="F432" i="23"/>
  <c r="G432" i="23"/>
  <c r="H432" i="23"/>
  <c r="I432" i="23"/>
  <c r="J432" i="23"/>
  <c r="K432" i="23"/>
  <c r="L432" i="23"/>
  <c r="M432" i="23"/>
  <c r="N432" i="23"/>
  <c r="O432" i="23"/>
  <c r="P432" i="23"/>
  <c r="Q432" i="23"/>
  <c r="R432" i="23"/>
  <c r="S432" i="23"/>
  <c r="T432" i="23"/>
  <c r="U432" i="23"/>
  <c r="V432" i="23"/>
  <c r="W432" i="23"/>
  <c r="X432" i="23"/>
  <c r="Y432" i="23"/>
  <c r="Z432" i="23"/>
  <c r="AA432" i="23"/>
  <c r="AB432" i="23"/>
  <c r="AC432" i="23"/>
  <c r="AD432" i="23"/>
  <c r="AE432" i="23"/>
  <c r="AF432" i="23"/>
  <c r="AG432" i="23"/>
  <c r="AH432" i="23"/>
  <c r="AI432" i="23"/>
  <c r="AJ432" i="23"/>
  <c r="AK432" i="23"/>
  <c r="AL432" i="23"/>
  <c r="AM432" i="23"/>
  <c r="AN432" i="23"/>
  <c r="AO432" i="23"/>
  <c r="AP432" i="23"/>
  <c r="AQ432" i="23"/>
  <c r="AR432" i="23"/>
  <c r="AS432" i="23"/>
  <c r="AT432" i="23"/>
  <c r="AU432" i="23"/>
  <c r="AV432" i="23"/>
  <c r="AW432" i="23"/>
  <c r="AX432" i="23"/>
  <c r="AY432" i="23"/>
  <c r="AZ432" i="23"/>
  <c r="BA432" i="23"/>
  <c r="BB432" i="23"/>
  <c r="BC432" i="23"/>
  <c r="BD432" i="23"/>
  <c r="BE432" i="23"/>
  <c r="BF432" i="23"/>
  <c r="BG432" i="23"/>
  <c r="BH432" i="23"/>
  <c r="BI432" i="23"/>
  <c r="BJ432" i="23"/>
  <c r="BK432" i="23"/>
  <c r="BL432" i="23"/>
  <c r="BM432" i="23"/>
  <c r="BN432" i="23"/>
  <c r="BO432" i="23"/>
  <c r="BP432" i="23"/>
  <c r="BQ432" i="23"/>
  <c r="BR432" i="23"/>
  <c r="BS432" i="23"/>
  <c r="BT432" i="23"/>
  <c r="B433" i="23"/>
  <c r="C433" i="23"/>
  <c r="D433" i="23"/>
  <c r="E433" i="23"/>
  <c r="F433" i="23"/>
  <c r="G433" i="23"/>
  <c r="H433" i="23"/>
  <c r="I433" i="23"/>
  <c r="J433" i="23"/>
  <c r="K433" i="23"/>
  <c r="L433" i="23"/>
  <c r="M433" i="23"/>
  <c r="N433" i="23"/>
  <c r="O433" i="23"/>
  <c r="P433" i="23"/>
  <c r="Q433" i="23"/>
  <c r="R433" i="23"/>
  <c r="S433" i="23"/>
  <c r="T433" i="23"/>
  <c r="U433" i="23"/>
  <c r="V433" i="23"/>
  <c r="W433" i="23"/>
  <c r="X433" i="23"/>
  <c r="Y433" i="23"/>
  <c r="Z433" i="23"/>
  <c r="AA433" i="23"/>
  <c r="AB433" i="23"/>
  <c r="AC433" i="23"/>
  <c r="AD433" i="23"/>
  <c r="AE433" i="23"/>
  <c r="AF433" i="23"/>
  <c r="AG433" i="23"/>
  <c r="AH433" i="23"/>
  <c r="AI433" i="23"/>
  <c r="AJ433" i="23"/>
  <c r="AK433" i="23"/>
  <c r="AL433" i="23"/>
  <c r="AM433" i="23"/>
  <c r="AN433" i="23"/>
  <c r="AO433" i="23"/>
  <c r="AP433" i="23"/>
  <c r="AQ433" i="23"/>
  <c r="AR433" i="23"/>
  <c r="AS433" i="23"/>
  <c r="AT433" i="23"/>
  <c r="AU433" i="23"/>
  <c r="AV433" i="23"/>
  <c r="AW433" i="23"/>
  <c r="AX433" i="23"/>
  <c r="AY433" i="23"/>
  <c r="AZ433" i="23"/>
  <c r="BA433" i="23"/>
  <c r="BB433" i="23"/>
  <c r="BC433" i="23"/>
  <c r="BD433" i="23"/>
  <c r="BE433" i="23"/>
  <c r="BF433" i="23"/>
  <c r="BG433" i="23"/>
  <c r="BH433" i="23"/>
  <c r="BI433" i="23"/>
  <c r="BJ433" i="23"/>
  <c r="BK433" i="23"/>
  <c r="BL433" i="23"/>
  <c r="BM433" i="23"/>
  <c r="BN433" i="23"/>
  <c r="BO433" i="23"/>
  <c r="BP433" i="23"/>
  <c r="BQ433" i="23"/>
  <c r="BR433" i="23"/>
  <c r="BS433" i="23"/>
  <c r="BT433" i="23"/>
  <c r="B434" i="23"/>
  <c r="C434" i="23"/>
  <c r="D434" i="23"/>
  <c r="E434" i="23"/>
  <c r="F434" i="23"/>
  <c r="G434" i="23"/>
  <c r="H434" i="23"/>
  <c r="I434" i="23"/>
  <c r="J434" i="23"/>
  <c r="K434" i="23"/>
  <c r="L434" i="23"/>
  <c r="M434" i="23"/>
  <c r="N434" i="23"/>
  <c r="O434" i="23"/>
  <c r="P434" i="23"/>
  <c r="Q434" i="23"/>
  <c r="R434" i="23"/>
  <c r="S434" i="23"/>
  <c r="T434" i="23"/>
  <c r="U434" i="23"/>
  <c r="V434" i="23"/>
  <c r="W434" i="23"/>
  <c r="X434" i="23"/>
  <c r="Y434" i="23"/>
  <c r="Z434" i="23"/>
  <c r="AA434" i="23"/>
  <c r="AB434" i="23"/>
  <c r="AC434" i="23"/>
  <c r="AD434" i="23"/>
  <c r="AE434" i="23"/>
  <c r="AF434" i="23"/>
  <c r="AG434" i="23"/>
  <c r="AH434" i="23"/>
  <c r="AI434" i="23"/>
  <c r="AJ434" i="23"/>
  <c r="AK434" i="23"/>
  <c r="AL434" i="23"/>
  <c r="AM434" i="23"/>
  <c r="AN434" i="23"/>
  <c r="AO434" i="23"/>
  <c r="AP434" i="23"/>
  <c r="AQ434" i="23"/>
  <c r="AR434" i="23"/>
  <c r="AS434" i="23"/>
  <c r="AT434" i="23"/>
  <c r="AU434" i="23"/>
  <c r="AV434" i="23"/>
  <c r="AW434" i="23"/>
  <c r="AX434" i="23"/>
  <c r="AY434" i="23"/>
  <c r="AZ434" i="23"/>
  <c r="BA434" i="23"/>
  <c r="BB434" i="23"/>
  <c r="BC434" i="23"/>
  <c r="BD434" i="23"/>
  <c r="BE434" i="23"/>
  <c r="BF434" i="23"/>
  <c r="BG434" i="23"/>
  <c r="BH434" i="23"/>
  <c r="BI434" i="23"/>
  <c r="BJ434" i="23"/>
  <c r="BK434" i="23"/>
  <c r="BL434" i="23"/>
  <c r="BM434" i="23"/>
  <c r="BN434" i="23"/>
  <c r="BO434" i="23"/>
  <c r="BP434" i="23"/>
  <c r="BQ434" i="23"/>
  <c r="BR434" i="23"/>
  <c r="BS434" i="23"/>
  <c r="BT434" i="23"/>
  <c r="B435" i="23"/>
  <c r="C435" i="23"/>
  <c r="D435" i="23"/>
  <c r="E435" i="23"/>
  <c r="F435" i="23"/>
  <c r="G435" i="23"/>
  <c r="H435" i="23"/>
  <c r="I435" i="23"/>
  <c r="J435" i="23"/>
  <c r="K435" i="23"/>
  <c r="L435" i="23"/>
  <c r="M435" i="23"/>
  <c r="N435" i="23"/>
  <c r="O435" i="23"/>
  <c r="P435" i="23"/>
  <c r="Q435" i="23"/>
  <c r="R435" i="23"/>
  <c r="S435" i="23"/>
  <c r="T435" i="23"/>
  <c r="U435" i="23"/>
  <c r="V435" i="23"/>
  <c r="W435" i="23"/>
  <c r="X435" i="23"/>
  <c r="Y435" i="23"/>
  <c r="Z435" i="23"/>
  <c r="AA435" i="23"/>
  <c r="AB435" i="23"/>
  <c r="AC435" i="23"/>
  <c r="AD435" i="23"/>
  <c r="AE435" i="23"/>
  <c r="AF435" i="23"/>
  <c r="AG435" i="23"/>
  <c r="AH435" i="23"/>
  <c r="AI435" i="23"/>
  <c r="AJ435" i="23"/>
  <c r="AK435" i="23"/>
  <c r="AL435" i="23"/>
  <c r="AM435" i="23"/>
  <c r="AN435" i="23"/>
  <c r="AO435" i="23"/>
  <c r="AP435" i="23"/>
  <c r="AQ435" i="23"/>
  <c r="AR435" i="23"/>
  <c r="AS435" i="23"/>
  <c r="AT435" i="23"/>
  <c r="AU435" i="23"/>
  <c r="AV435" i="23"/>
  <c r="AW435" i="23"/>
  <c r="AX435" i="23"/>
  <c r="AY435" i="23"/>
  <c r="AZ435" i="23"/>
  <c r="BA435" i="23"/>
  <c r="BB435" i="23"/>
  <c r="BC435" i="23"/>
  <c r="BD435" i="23"/>
  <c r="BE435" i="23"/>
  <c r="BF435" i="23"/>
  <c r="BG435" i="23"/>
  <c r="BH435" i="23"/>
  <c r="BI435" i="23"/>
  <c r="BJ435" i="23"/>
  <c r="BK435" i="23"/>
  <c r="BL435" i="23"/>
  <c r="BM435" i="23"/>
  <c r="BN435" i="23"/>
  <c r="BO435" i="23"/>
  <c r="BP435" i="23"/>
  <c r="BQ435" i="23"/>
  <c r="BR435" i="23"/>
  <c r="BS435" i="23"/>
  <c r="BT435" i="23"/>
  <c r="B436" i="23"/>
  <c r="C436" i="23"/>
  <c r="D436" i="23"/>
  <c r="E436" i="23"/>
  <c r="F436" i="23"/>
  <c r="G436" i="23"/>
  <c r="H436" i="23"/>
  <c r="I436" i="23"/>
  <c r="J436" i="23"/>
  <c r="K436" i="23"/>
  <c r="L436" i="23"/>
  <c r="M436" i="23"/>
  <c r="N436" i="23"/>
  <c r="O436" i="23"/>
  <c r="P436" i="23"/>
  <c r="Q436" i="23"/>
  <c r="R436" i="23"/>
  <c r="S436" i="23"/>
  <c r="T436" i="23"/>
  <c r="U436" i="23"/>
  <c r="V436" i="23"/>
  <c r="W436" i="23"/>
  <c r="X436" i="23"/>
  <c r="Y436" i="23"/>
  <c r="Z436" i="23"/>
  <c r="AA436" i="23"/>
  <c r="AB436" i="23"/>
  <c r="AC436" i="23"/>
  <c r="AD436" i="23"/>
  <c r="AE436" i="23"/>
  <c r="AF436" i="23"/>
  <c r="AG436" i="23"/>
  <c r="AH436" i="23"/>
  <c r="AI436" i="23"/>
  <c r="AJ436" i="23"/>
  <c r="AK436" i="23"/>
  <c r="AL436" i="23"/>
  <c r="AM436" i="23"/>
  <c r="AN436" i="23"/>
  <c r="AO436" i="23"/>
  <c r="AP436" i="23"/>
  <c r="AQ436" i="23"/>
  <c r="AR436" i="23"/>
  <c r="AS436" i="23"/>
  <c r="AT436" i="23"/>
  <c r="AU436" i="23"/>
  <c r="AV436" i="23"/>
  <c r="AW436" i="23"/>
  <c r="AX436" i="23"/>
  <c r="AY436" i="23"/>
  <c r="AZ436" i="23"/>
  <c r="BA436" i="23"/>
  <c r="BB436" i="23"/>
  <c r="BC436" i="23"/>
  <c r="BD436" i="23"/>
  <c r="BE436" i="23"/>
  <c r="BF436" i="23"/>
  <c r="BG436" i="23"/>
  <c r="BH436" i="23"/>
  <c r="BI436" i="23"/>
  <c r="BJ436" i="23"/>
  <c r="BK436" i="23"/>
  <c r="BL436" i="23"/>
  <c r="BM436" i="23"/>
  <c r="BN436" i="23"/>
  <c r="BO436" i="23"/>
  <c r="BP436" i="23"/>
  <c r="BQ436" i="23"/>
  <c r="BR436" i="23"/>
  <c r="BS436" i="23"/>
  <c r="BT436" i="23"/>
  <c r="B437" i="23"/>
  <c r="C437" i="23"/>
  <c r="D437" i="23"/>
  <c r="E437" i="23"/>
  <c r="F437" i="23"/>
  <c r="G437" i="23"/>
  <c r="H437" i="23"/>
  <c r="I437" i="23"/>
  <c r="J437" i="23"/>
  <c r="K437" i="23"/>
  <c r="L437" i="23"/>
  <c r="M437" i="23"/>
  <c r="N437" i="23"/>
  <c r="O437" i="23"/>
  <c r="P437" i="23"/>
  <c r="Q437" i="23"/>
  <c r="R437" i="23"/>
  <c r="S437" i="23"/>
  <c r="T437" i="23"/>
  <c r="U437" i="23"/>
  <c r="V437" i="23"/>
  <c r="W437" i="23"/>
  <c r="X437" i="23"/>
  <c r="Y437" i="23"/>
  <c r="Z437" i="23"/>
  <c r="AA437" i="23"/>
  <c r="AB437" i="23"/>
  <c r="AC437" i="23"/>
  <c r="AD437" i="23"/>
  <c r="AE437" i="23"/>
  <c r="AF437" i="23"/>
  <c r="AG437" i="23"/>
  <c r="AH437" i="23"/>
  <c r="AI437" i="23"/>
  <c r="AJ437" i="23"/>
  <c r="AK437" i="23"/>
  <c r="AL437" i="23"/>
  <c r="AM437" i="23"/>
  <c r="AN437" i="23"/>
  <c r="AO437" i="23"/>
  <c r="AP437" i="23"/>
  <c r="AQ437" i="23"/>
  <c r="AR437" i="23"/>
  <c r="AS437" i="23"/>
  <c r="AT437" i="23"/>
  <c r="AU437" i="23"/>
  <c r="AV437" i="23"/>
  <c r="AW437" i="23"/>
  <c r="AX437" i="23"/>
  <c r="AY437" i="23"/>
  <c r="AZ437" i="23"/>
  <c r="BA437" i="23"/>
  <c r="BB437" i="23"/>
  <c r="BC437" i="23"/>
  <c r="BD437" i="23"/>
  <c r="BE437" i="23"/>
  <c r="BF437" i="23"/>
  <c r="BG437" i="23"/>
  <c r="BH437" i="23"/>
  <c r="BI437" i="23"/>
  <c r="BJ437" i="23"/>
  <c r="BK437" i="23"/>
  <c r="BL437" i="23"/>
  <c r="BM437" i="23"/>
  <c r="BN437" i="23"/>
  <c r="BO437" i="23"/>
  <c r="BP437" i="23"/>
  <c r="BQ437" i="23"/>
  <c r="BR437" i="23"/>
  <c r="BS437" i="23"/>
  <c r="BT437" i="23"/>
  <c r="B438" i="23"/>
  <c r="C438" i="23"/>
  <c r="D438" i="23"/>
  <c r="E438" i="23"/>
  <c r="F438" i="23"/>
  <c r="G438" i="23"/>
  <c r="H438" i="23"/>
  <c r="I438" i="23"/>
  <c r="J438" i="23"/>
  <c r="K438" i="23"/>
  <c r="L438" i="23"/>
  <c r="M438" i="23"/>
  <c r="N438" i="23"/>
  <c r="O438" i="23"/>
  <c r="P438" i="23"/>
  <c r="Q438" i="23"/>
  <c r="R438" i="23"/>
  <c r="S438" i="23"/>
  <c r="T438" i="23"/>
  <c r="U438" i="23"/>
  <c r="V438" i="23"/>
  <c r="W438" i="23"/>
  <c r="X438" i="23"/>
  <c r="Y438" i="23"/>
  <c r="Z438" i="23"/>
  <c r="AA438" i="23"/>
  <c r="AB438" i="23"/>
  <c r="AC438" i="23"/>
  <c r="AD438" i="23"/>
  <c r="AE438" i="23"/>
  <c r="AF438" i="23"/>
  <c r="AG438" i="23"/>
  <c r="AH438" i="23"/>
  <c r="AI438" i="23"/>
  <c r="AJ438" i="23"/>
  <c r="AK438" i="23"/>
  <c r="AL438" i="23"/>
  <c r="AM438" i="23"/>
  <c r="AN438" i="23"/>
  <c r="AO438" i="23"/>
  <c r="AP438" i="23"/>
  <c r="AQ438" i="23"/>
  <c r="AR438" i="23"/>
  <c r="AS438" i="23"/>
  <c r="AT438" i="23"/>
  <c r="AU438" i="23"/>
  <c r="AV438" i="23"/>
  <c r="AW438" i="23"/>
  <c r="AX438" i="23"/>
  <c r="AY438" i="23"/>
  <c r="AZ438" i="23"/>
  <c r="BA438" i="23"/>
  <c r="BB438" i="23"/>
  <c r="BC438" i="23"/>
  <c r="BD438" i="23"/>
  <c r="BE438" i="23"/>
  <c r="BF438" i="23"/>
  <c r="BG438" i="23"/>
  <c r="BH438" i="23"/>
  <c r="BI438" i="23"/>
  <c r="BJ438" i="23"/>
  <c r="BK438" i="23"/>
  <c r="BL438" i="23"/>
  <c r="BM438" i="23"/>
  <c r="BN438" i="23"/>
  <c r="BO438" i="23"/>
  <c r="BP438" i="23"/>
  <c r="BQ438" i="23"/>
  <c r="BR438" i="23"/>
  <c r="BS438" i="23"/>
  <c r="BT438" i="23"/>
  <c r="B439" i="23"/>
  <c r="C439" i="23"/>
  <c r="D439" i="23"/>
  <c r="E439" i="23"/>
  <c r="F439" i="23"/>
  <c r="G439" i="23"/>
  <c r="H439" i="23"/>
  <c r="I439" i="23"/>
  <c r="J439" i="23"/>
  <c r="K439" i="23"/>
  <c r="L439" i="23"/>
  <c r="M439" i="23"/>
  <c r="N439" i="23"/>
  <c r="O439" i="23"/>
  <c r="P439" i="23"/>
  <c r="Q439" i="23"/>
  <c r="R439" i="23"/>
  <c r="S439" i="23"/>
  <c r="T439" i="23"/>
  <c r="U439" i="23"/>
  <c r="V439" i="23"/>
  <c r="W439" i="23"/>
  <c r="X439" i="23"/>
  <c r="Y439" i="23"/>
  <c r="Z439" i="23"/>
  <c r="AA439" i="23"/>
  <c r="AB439" i="23"/>
  <c r="AC439" i="23"/>
  <c r="AD439" i="23"/>
  <c r="AE439" i="23"/>
  <c r="AF439" i="23"/>
  <c r="AG439" i="23"/>
  <c r="AH439" i="23"/>
  <c r="AI439" i="23"/>
  <c r="AJ439" i="23"/>
  <c r="AK439" i="23"/>
  <c r="AL439" i="23"/>
  <c r="AM439" i="23"/>
  <c r="AN439" i="23"/>
  <c r="AO439" i="23"/>
  <c r="AP439" i="23"/>
  <c r="AQ439" i="23"/>
  <c r="AR439" i="23"/>
  <c r="AS439" i="23"/>
  <c r="AT439" i="23"/>
  <c r="AU439" i="23"/>
  <c r="AV439" i="23"/>
  <c r="AW439" i="23"/>
  <c r="AX439" i="23"/>
  <c r="AY439" i="23"/>
  <c r="AZ439" i="23"/>
  <c r="BA439" i="23"/>
  <c r="BB439" i="23"/>
  <c r="BC439" i="23"/>
  <c r="BD439" i="23"/>
  <c r="BE439" i="23"/>
  <c r="BF439" i="23"/>
  <c r="BG439" i="23"/>
  <c r="BH439" i="23"/>
  <c r="BI439" i="23"/>
  <c r="BJ439" i="23"/>
  <c r="BK439" i="23"/>
  <c r="BL439" i="23"/>
  <c r="BM439" i="23"/>
  <c r="BN439" i="23"/>
  <c r="BO439" i="23"/>
  <c r="BP439" i="23"/>
  <c r="BQ439" i="23"/>
  <c r="BR439" i="23"/>
  <c r="BS439" i="23"/>
  <c r="BT439" i="23"/>
  <c r="B440" i="23"/>
  <c r="C440" i="23"/>
  <c r="D440" i="23"/>
  <c r="E440" i="23"/>
  <c r="F440" i="23"/>
  <c r="G440" i="23"/>
  <c r="H440" i="23"/>
  <c r="I440" i="23"/>
  <c r="J440" i="23"/>
  <c r="K440" i="23"/>
  <c r="L440" i="23"/>
  <c r="M440" i="23"/>
  <c r="N440" i="23"/>
  <c r="O440" i="23"/>
  <c r="P440" i="23"/>
  <c r="Q440" i="23"/>
  <c r="R440" i="23"/>
  <c r="S440" i="23"/>
  <c r="T440" i="23"/>
  <c r="U440" i="23"/>
  <c r="V440" i="23"/>
  <c r="W440" i="23"/>
  <c r="X440" i="23"/>
  <c r="Y440" i="23"/>
  <c r="Z440" i="23"/>
  <c r="AA440" i="23"/>
  <c r="AB440" i="23"/>
  <c r="AC440" i="23"/>
  <c r="AD440" i="23"/>
  <c r="AE440" i="23"/>
  <c r="AF440" i="23"/>
  <c r="AG440" i="23"/>
  <c r="AH440" i="23"/>
  <c r="AI440" i="23"/>
  <c r="AJ440" i="23"/>
  <c r="AK440" i="23"/>
  <c r="AL440" i="23"/>
  <c r="AM440" i="23"/>
  <c r="AN440" i="23"/>
  <c r="AO440" i="23"/>
  <c r="AP440" i="23"/>
  <c r="AQ440" i="23"/>
  <c r="AR440" i="23"/>
  <c r="AS440" i="23"/>
  <c r="AT440" i="23"/>
  <c r="AU440" i="23"/>
  <c r="AV440" i="23"/>
  <c r="AW440" i="23"/>
  <c r="AX440" i="23"/>
  <c r="AY440" i="23"/>
  <c r="AZ440" i="23"/>
  <c r="BA440" i="23"/>
  <c r="BB440" i="23"/>
  <c r="BC440" i="23"/>
  <c r="BD440" i="23"/>
  <c r="BE440" i="23"/>
  <c r="BF440" i="23"/>
  <c r="BG440" i="23"/>
  <c r="BH440" i="23"/>
  <c r="BI440" i="23"/>
  <c r="BJ440" i="23"/>
  <c r="BK440" i="23"/>
  <c r="BL440" i="23"/>
  <c r="BM440" i="23"/>
  <c r="BN440" i="23"/>
  <c r="BO440" i="23"/>
  <c r="BP440" i="23"/>
  <c r="BQ440" i="23"/>
  <c r="BR440" i="23"/>
  <c r="BS440" i="23"/>
  <c r="BT440" i="23"/>
  <c r="B441" i="23"/>
  <c r="C441" i="23"/>
  <c r="D441" i="23"/>
  <c r="E441" i="23"/>
  <c r="F441" i="23"/>
  <c r="G441" i="23"/>
  <c r="H441" i="23"/>
  <c r="I441" i="23"/>
  <c r="J441" i="23"/>
  <c r="K441" i="23"/>
  <c r="L441" i="23"/>
  <c r="M441" i="23"/>
  <c r="N441" i="23"/>
  <c r="O441" i="23"/>
  <c r="P441" i="23"/>
  <c r="Q441" i="23"/>
  <c r="R441" i="23"/>
  <c r="S441" i="23"/>
  <c r="T441" i="23"/>
  <c r="U441" i="23"/>
  <c r="V441" i="23"/>
  <c r="W441" i="23"/>
  <c r="X441" i="23"/>
  <c r="Y441" i="23"/>
  <c r="Z441" i="23"/>
  <c r="AA441" i="23"/>
  <c r="AB441" i="23"/>
  <c r="AC441" i="23"/>
  <c r="AD441" i="23"/>
  <c r="AE441" i="23"/>
  <c r="AF441" i="23"/>
  <c r="AG441" i="23"/>
  <c r="AH441" i="23"/>
  <c r="AI441" i="23"/>
  <c r="AJ441" i="23"/>
  <c r="AK441" i="23"/>
  <c r="AL441" i="23"/>
  <c r="AM441" i="23"/>
  <c r="AN441" i="23"/>
  <c r="AO441" i="23"/>
  <c r="AP441" i="23"/>
  <c r="AQ441" i="23"/>
  <c r="AR441" i="23"/>
  <c r="AS441" i="23"/>
  <c r="AT441" i="23"/>
  <c r="AU441" i="23"/>
  <c r="AV441" i="23"/>
  <c r="AW441" i="23"/>
  <c r="AX441" i="23"/>
  <c r="AY441" i="23"/>
  <c r="AZ441" i="23"/>
  <c r="BA441" i="23"/>
  <c r="BB441" i="23"/>
  <c r="BC441" i="23"/>
  <c r="BD441" i="23"/>
  <c r="BE441" i="23"/>
  <c r="BF441" i="23"/>
  <c r="BG441" i="23"/>
  <c r="BH441" i="23"/>
  <c r="BI441" i="23"/>
  <c r="BJ441" i="23"/>
  <c r="BK441" i="23"/>
  <c r="BL441" i="23"/>
  <c r="BM441" i="23"/>
  <c r="BN441" i="23"/>
  <c r="BO441" i="23"/>
  <c r="BP441" i="23"/>
  <c r="BQ441" i="23"/>
  <c r="BR441" i="23"/>
  <c r="BS441" i="23"/>
  <c r="BT441" i="23"/>
  <c r="B442" i="23"/>
  <c r="C442" i="23"/>
  <c r="D442" i="23"/>
  <c r="E442" i="23"/>
  <c r="F442" i="23"/>
  <c r="G442" i="23"/>
  <c r="H442" i="23"/>
  <c r="I442" i="23"/>
  <c r="J442" i="23"/>
  <c r="K442" i="23"/>
  <c r="L442" i="23"/>
  <c r="M442" i="23"/>
  <c r="N442" i="23"/>
  <c r="O442" i="23"/>
  <c r="P442" i="23"/>
  <c r="Q442" i="23"/>
  <c r="R442" i="23"/>
  <c r="S442" i="23"/>
  <c r="T442" i="23"/>
  <c r="U442" i="23"/>
  <c r="V442" i="23"/>
  <c r="W442" i="23"/>
  <c r="X442" i="23"/>
  <c r="Y442" i="23"/>
  <c r="Z442" i="23"/>
  <c r="AA442" i="23"/>
  <c r="AB442" i="23"/>
  <c r="AC442" i="23"/>
  <c r="AD442" i="23"/>
  <c r="AE442" i="23"/>
  <c r="AF442" i="23"/>
  <c r="AG442" i="23"/>
  <c r="AH442" i="23"/>
  <c r="AI442" i="23"/>
  <c r="AJ442" i="23"/>
  <c r="AK442" i="23"/>
  <c r="AL442" i="23"/>
  <c r="AM442" i="23"/>
  <c r="AN442" i="23"/>
  <c r="AO442" i="23"/>
  <c r="AP442" i="23"/>
  <c r="AQ442" i="23"/>
  <c r="AR442" i="23"/>
  <c r="AS442" i="23"/>
  <c r="AT442" i="23"/>
  <c r="AU442" i="23"/>
  <c r="AV442" i="23"/>
  <c r="AW442" i="23"/>
  <c r="AX442" i="23"/>
  <c r="AY442" i="23"/>
  <c r="AZ442" i="23"/>
  <c r="BA442" i="23"/>
  <c r="BB442" i="23"/>
  <c r="BC442" i="23"/>
  <c r="BD442" i="23"/>
  <c r="BE442" i="23"/>
  <c r="BF442" i="23"/>
  <c r="BG442" i="23"/>
  <c r="BH442" i="23"/>
  <c r="BI442" i="23"/>
  <c r="BJ442" i="23"/>
  <c r="BK442" i="23"/>
  <c r="BL442" i="23"/>
  <c r="BM442" i="23"/>
  <c r="BN442" i="23"/>
  <c r="BO442" i="23"/>
  <c r="BP442" i="23"/>
  <c r="BQ442" i="23"/>
  <c r="BR442" i="23"/>
  <c r="BS442" i="23"/>
  <c r="BT442" i="23"/>
  <c r="B443" i="23"/>
  <c r="C443" i="23"/>
  <c r="D443" i="23"/>
  <c r="E443" i="23"/>
  <c r="F443" i="23"/>
  <c r="G443" i="23"/>
  <c r="H443" i="23"/>
  <c r="I443" i="23"/>
  <c r="J443" i="23"/>
  <c r="K443" i="23"/>
  <c r="L443" i="23"/>
  <c r="M443" i="23"/>
  <c r="N443" i="23"/>
  <c r="O443" i="23"/>
  <c r="P443" i="23"/>
  <c r="Q443" i="23"/>
  <c r="R443" i="23"/>
  <c r="S443" i="23"/>
  <c r="T443" i="23"/>
  <c r="U443" i="23"/>
  <c r="V443" i="23"/>
  <c r="W443" i="23"/>
  <c r="X443" i="23"/>
  <c r="Y443" i="23"/>
  <c r="Z443" i="23"/>
  <c r="AA443" i="23"/>
  <c r="AB443" i="23"/>
  <c r="AC443" i="23"/>
  <c r="AD443" i="23"/>
  <c r="AE443" i="23"/>
  <c r="AF443" i="23"/>
  <c r="AG443" i="23"/>
  <c r="AH443" i="23"/>
  <c r="AI443" i="23"/>
  <c r="AJ443" i="23"/>
  <c r="AK443" i="23"/>
  <c r="AL443" i="23"/>
  <c r="AM443" i="23"/>
  <c r="AN443" i="23"/>
  <c r="AO443" i="23"/>
  <c r="AP443" i="23"/>
  <c r="AQ443" i="23"/>
  <c r="AR443" i="23"/>
  <c r="AS443" i="23"/>
  <c r="AT443" i="23"/>
  <c r="AU443" i="23"/>
  <c r="AV443" i="23"/>
  <c r="AW443" i="23"/>
  <c r="AX443" i="23"/>
  <c r="AY443" i="23"/>
  <c r="AZ443" i="23"/>
  <c r="BA443" i="23"/>
  <c r="BB443" i="23"/>
  <c r="BC443" i="23"/>
  <c r="BD443" i="23"/>
  <c r="BE443" i="23"/>
  <c r="BF443" i="23"/>
  <c r="BG443" i="23"/>
  <c r="BH443" i="23"/>
  <c r="BI443" i="23"/>
  <c r="BJ443" i="23"/>
  <c r="BK443" i="23"/>
  <c r="BL443" i="23"/>
  <c r="BM443" i="23"/>
  <c r="BN443" i="23"/>
  <c r="BO443" i="23"/>
  <c r="BP443" i="23"/>
  <c r="BQ443" i="23"/>
  <c r="BR443" i="23"/>
  <c r="BS443" i="23"/>
  <c r="BT443" i="23"/>
  <c r="B444" i="23"/>
  <c r="C444" i="23"/>
  <c r="D444" i="23"/>
  <c r="E444" i="23"/>
  <c r="F444" i="23"/>
  <c r="G444" i="23"/>
  <c r="H444" i="23"/>
  <c r="I444" i="23"/>
  <c r="J444" i="23"/>
  <c r="K444" i="23"/>
  <c r="L444" i="23"/>
  <c r="M444" i="23"/>
  <c r="N444" i="23"/>
  <c r="O444" i="23"/>
  <c r="P444" i="23"/>
  <c r="Q444" i="23"/>
  <c r="R444" i="23"/>
  <c r="S444" i="23"/>
  <c r="T444" i="23"/>
  <c r="U444" i="23"/>
  <c r="V444" i="23"/>
  <c r="W444" i="23"/>
  <c r="X444" i="23"/>
  <c r="Y444" i="23"/>
  <c r="Z444" i="23"/>
  <c r="AA444" i="23"/>
  <c r="AB444" i="23"/>
  <c r="AC444" i="23"/>
  <c r="AD444" i="23"/>
  <c r="AE444" i="23"/>
  <c r="AF444" i="23"/>
  <c r="AG444" i="23"/>
  <c r="AH444" i="23"/>
  <c r="AI444" i="23"/>
  <c r="AJ444" i="23"/>
  <c r="AK444" i="23"/>
  <c r="AL444" i="23"/>
  <c r="AM444" i="23"/>
  <c r="AN444" i="23"/>
  <c r="AO444" i="23"/>
  <c r="AP444" i="23"/>
  <c r="AQ444" i="23"/>
  <c r="AR444" i="23"/>
  <c r="AS444" i="23"/>
  <c r="AT444" i="23"/>
  <c r="AU444" i="23"/>
  <c r="AV444" i="23"/>
  <c r="AW444" i="23"/>
  <c r="AX444" i="23"/>
  <c r="AY444" i="23"/>
  <c r="AZ444" i="23"/>
  <c r="BA444" i="23"/>
  <c r="BB444" i="23"/>
  <c r="BC444" i="23"/>
  <c r="BD444" i="23"/>
  <c r="BE444" i="23"/>
  <c r="BF444" i="23"/>
  <c r="BG444" i="23"/>
  <c r="BH444" i="23"/>
  <c r="BI444" i="23"/>
  <c r="BJ444" i="23"/>
  <c r="BK444" i="23"/>
  <c r="BL444" i="23"/>
  <c r="BM444" i="23"/>
  <c r="BN444" i="23"/>
  <c r="BO444" i="23"/>
  <c r="BP444" i="23"/>
  <c r="BQ444" i="23"/>
  <c r="BR444" i="23"/>
  <c r="BS444" i="23"/>
  <c r="BT444" i="23"/>
  <c r="B445" i="23"/>
  <c r="C445" i="23"/>
  <c r="D445" i="23"/>
  <c r="E445" i="23"/>
  <c r="F445" i="23"/>
  <c r="G445" i="23"/>
  <c r="H445" i="23"/>
  <c r="I445" i="23"/>
  <c r="J445" i="23"/>
  <c r="K445" i="23"/>
  <c r="L445" i="23"/>
  <c r="M445" i="23"/>
  <c r="N445" i="23"/>
  <c r="O445" i="23"/>
  <c r="P445" i="23"/>
  <c r="Q445" i="23"/>
  <c r="R445" i="23"/>
  <c r="S445" i="23"/>
  <c r="T445" i="23"/>
  <c r="U445" i="23"/>
  <c r="V445" i="23"/>
  <c r="W445" i="23"/>
  <c r="X445" i="23"/>
  <c r="Y445" i="23"/>
  <c r="Z445" i="23"/>
  <c r="AA445" i="23"/>
  <c r="AB445" i="23"/>
  <c r="AC445" i="23"/>
  <c r="AD445" i="23"/>
  <c r="AE445" i="23"/>
  <c r="AF445" i="23"/>
  <c r="AG445" i="23"/>
  <c r="AH445" i="23"/>
  <c r="AI445" i="23"/>
  <c r="AJ445" i="23"/>
  <c r="AK445" i="23"/>
  <c r="AL445" i="23"/>
  <c r="AM445" i="23"/>
  <c r="AN445" i="23"/>
  <c r="AO445" i="23"/>
  <c r="AP445" i="23"/>
  <c r="AQ445" i="23"/>
  <c r="AR445" i="23"/>
  <c r="AS445" i="23"/>
  <c r="AT445" i="23"/>
  <c r="AU445" i="23"/>
  <c r="AV445" i="23"/>
  <c r="AW445" i="23"/>
  <c r="AX445" i="23"/>
  <c r="AY445" i="23"/>
  <c r="AZ445" i="23"/>
  <c r="BA445" i="23"/>
  <c r="BB445" i="23"/>
  <c r="BC445" i="23"/>
  <c r="BD445" i="23"/>
  <c r="BE445" i="23"/>
  <c r="BF445" i="23"/>
  <c r="BG445" i="23"/>
  <c r="BH445" i="23"/>
  <c r="BI445" i="23"/>
  <c r="BJ445" i="23"/>
  <c r="BK445" i="23"/>
  <c r="BL445" i="23"/>
  <c r="BM445" i="23"/>
  <c r="BN445" i="23"/>
  <c r="BO445" i="23"/>
  <c r="BP445" i="23"/>
  <c r="BQ445" i="23"/>
  <c r="BR445" i="23"/>
  <c r="BS445" i="23"/>
  <c r="BT445" i="23"/>
  <c r="B446" i="23"/>
  <c r="C446" i="23"/>
  <c r="D446" i="23"/>
  <c r="E446" i="23"/>
  <c r="F446" i="23"/>
  <c r="G446" i="23"/>
  <c r="H446" i="23"/>
  <c r="I446" i="23"/>
  <c r="J446" i="23"/>
  <c r="K446" i="23"/>
  <c r="L446" i="23"/>
  <c r="M446" i="23"/>
  <c r="N446" i="23"/>
  <c r="O446" i="23"/>
  <c r="P446" i="23"/>
  <c r="Q446" i="23"/>
  <c r="R446" i="23"/>
  <c r="S446" i="23"/>
  <c r="T446" i="23"/>
  <c r="U446" i="23"/>
  <c r="V446" i="23"/>
  <c r="W446" i="23"/>
  <c r="X446" i="23"/>
  <c r="Y446" i="23"/>
  <c r="Z446" i="23"/>
  <c r="AA446" i="23"/>
  <c r="AB446" i="23"/>
  <c r="AC446" i="23"/>
  <c r="AD446" i="23"/>
  <c r="AE446" i="23"/>
  <c r="AF446" i="23"/>
  <c r="AG446" i="23"/>
  <c r="AH446" i="23"/>
  <c r="AI446" i="23"/>
  <c r="AJ446" i="23"/>
  <c r="AK446" i="23"/>
  <c r="AL446" i="23"/>
  <c r="AM446" i="23"/>
  <c r="AN446" i="23"/>
  <c r="AO446" i="23"/>
  <c r="AP446" i="23"/>
  <c r="AQ446" i="23"/>
  <c r="AR446" i="23"/>
  <c r="AS446" i="23"/>
  <c r="AT446" i="23"/>
  <c r="AU446" i="23"/>
  <c r="AV446" i="23"/>
  <c r="AW446" i="23"/>
  <c r="AX446" i="23"/>
  <c r="AY446" i="23"/>
  <c r="AZ446" i="23"/>
  <c r="BA446" i="23"/>
  <c r="BB446" i="23"/>
  <c r="BC446" i="23"/>
  <c r="BD446" i="23"/>
  <c r="BE446" i="23"/>
  <c r="BF446" i="23"/>
  <c r="BG446" i="23"/>
  <c r="BH446" i="23"/>
  <c r="BI446" i="23"/>
  <c r="BJ446" i="23"/>
  <c r="BK446" i="23"/>
  <c r="BL446" i="23"/>
  <c r="BM446" i="23"/>
  <c r="BN446" i="23"/>
  <c r="BO446" i="23"/>
  <c r="BP446" i="23"/>
  <c r="BQ446" i="23"/>
  <c r="BR446" i="23"/>
  <c r="BS446" i="23"/>
  <c r="BT446" i="23"/>
  <c r="B447" i="23"/>
  <c r="C447" i="23"/>
  <c r="D447" i="23"/>
  <c r="E447" i="23"/>
  <c r="F447" i="23"/>
  <c r="G447" i="23"/>
  <c r="H447" i="23"/>
  <c r="I447" i="23"/>
  <c r="J447" i="23"/>
  <c r="K447" i="23"/>
  <c r="L447" i="23"/>
  <c r="M447" i="23"/>
  <c r="N447" i="23"/>
  <c r="O447" i="23"/>
  <c r="P447" i="23"/>
  <c r="Q447" i="23"/>
  <c r="R447" i="23"/>
  <c r="S447" i="23"/>
  <c r="T447" i="23"/>
  <c r="U447" i="23"/>
  <c r="V447" i="23"/>
  <c r="W447" i="23"/>
  <c r="X447" i="23"/>
  <c r="Y447" i="23"/>
  <c r="Z447" i="23"/>
  <c r="AA447" i="23"/>
  <c r="AB447" i="23"/>
  <c r="AC447" i="23"/>
  <c r="AD447" i="23"/>
  <c r="AE447" i="23"/>
  <c r="AF447" i="23"/>
  <c r="AG447" i="23"/>
  <c r="AH447" i="23"/>
  <c r="AI447" i="23"/>
  <c r="AJ447" i="23"/>
  <c r="AK447" i="23"/>
  <c r="AL447" i="23"/>
  <c r="AM447" i="23"/>
  <c r="AN447" i="23"/>
  <c r="AO447" i="23"/>
  <c r="AP447" i="23"/>
  <c r="AQ447" i="23"/>
  <c r="AR447" i="23"/>
  <c r="AS447" i="23"/>
  <c r="AT447" i="23"/>
  <c r="AU447" i="23"/>
  <c r="AV447" i="23"/>
  <c r="AW447" i="23"/>
  <c r="AX447" i="23"/>
  <c r="AY447" i="23"/>
  <c r="AZ447" i="23"/>
  <c r="BA447" i="23"/>
  <c r="BB447" i="23"/>
  <c r="BC447" i="23"/>
  <c r="BD447" i="23"/>
  <c r="BE447" i="23"/>
  <c r="BF447" i="23"/>
  <c r="BG447" i="23"/>
  <c r="BH447" i="23"/>
  <c r="BI447" i="23"/>
  <c r="BJ447" i="23"/>
  <c r="BK447" i="23"/>
  <c r="BL447" i="23"/>
  <c r="BM447" i="23"/>
  <c r="BN447" i="23"/>
  <c r="BO447" i="23"/>
  <c r="BP447" i="23"/>
  <c r="BQ447" i="23"/>
  <c r="BR447" i="23"/>
  <c r="BS447" i="23"/>
  <c r="BT447" i="23"/>
  <c r="B448" i="23"/>
  <c r="C448" i="23"/>
  <c r="D448" i="23"/>
  <c r="E448" i="23"/>
  <c r="F448" i="23"/>
  <c r="G448" i="23"/>
  <c r="H448" i="23"/>
  <c r="I448" i="23"/>
  <c r="J448" i="23"/>
  <c r="K448" i="23"/>
  <c r="L448" i="23"/>
  <c r="M448" i="23"/>
  <c r="N448" i="23"/>
  <c r="O448" i="23"/>
  <c r="P448" i="23"/>
  <c r="Q448" i="23"/>
  <c r="R448" i="23"/>
  <c r="S448" i="23"/>
  <c r="T448" i="23"/>
  <c r="U448" i="23"/>
  <c r="V448" i="23"/>
  <c r="W448" i="23"/>
  <c r="X448" i="23"/>
  <c r="Y448" i="23"/>
  <c r="Z448" i="23"/>
  <c r="AA448" i="23"/>
  <c r="AB448" i="23"/>
  <c r="AC448" i="23"/>
  <c r="AD448" i="23"/>
  <c r="AE448" i="23"/>
  <c r="AF448" i="23"/>
  <c r="AG448" i="23"/>
  <c r="AH448" i="23"/>
  <c r="AI448" i="23"/>
  <c r="AJ448" i="23"/>
  <c r="AK448" i="23"/>
  <c r="AL448" i="23"/>
  <c r="AM448" i="23"/>
  <c r="AN448" i="23"/>
  <c r="AO448" i="23"/>
  <c r="AP448" i="23"/>
  <c r="AQ448" i="23"/>
  <c r="AR448" i="23"/>
  <c r="AS448" i="23"/>
  <c r="AT448" i="23"/>
  <c r="AU448" i="23"/>
  <c r="AV448" i="23"/>
  <c r="AW448" i="23"/>
  <c r="AX448" i="23"/>
  <c r="AY448" i="23"/>
  <c r="AZ448" i="23"/>
  <c r="BA448" i="23"/>
  <c r="BB448" i="23"/>
  <c r="BC448" i="23"/>
  <c r="BD448" i="23"/>
  <c r="BE448" i="23"/>
  <c r="BF448" i="23"/>
  <c r="BG448" i="23"/>
  <c r="BH448" i="23"/>
  <c r="BI448" i="23"/>
  <c r="BJ448" i="23"/>
  <c r="BK448" i="23"/>
  <c r="BL448" i="23"/>
  <c r="BM448" i="23"/>
  <c r="BN448" i="23"/>
  <c r="BO448" i="23"/>
  <c r="BP448" i="23"/>
  <c r="BQ448" i="23"/>
  <c r="BR448" i="23"/>
  <c r="BS448" i="23"/>
  <c r="BT448" i="23"/>
  <c r="B449" i="23"/>
  <c r="C449" i="23"/>
  <c r="D449" i="23"/>
  <c r="E449" i="23"/>
  <c r="F449" i="23"/>
  <c r="G449" i="23"/>
  <c r="H449" i="23"/>
  <c r="I449" i="23"/>
  <c r="J449" i="23"/>
  <c r="K449" i="23"/>
  <c r="L449" i="23"/>
  <c r="M449" i="23"/>
  <c r="N449" i="23"/>
  <c r="O449" i="23"/>
  <c r="P449" i="23"/>
  <c r="Q449" i="23"/>
  <c r="R449" i="23"/>
  <c r="S449" i="23"/>
  <c r="T449" i="23"/>
  <c r="U449" i="23"/>
  <c r="V449" i="23"/>
  <c r="W449" i="23"/>
  <c r="X449" i="23"/>
  <c r="Y449" i="23"/>
  <c r="Z449" i="23"/>
  <c r="AA449" i="23"/>
  <c r="AB449" i="23"/>
  <c r="AC449" i="23"/>
  <c r="AD449" i="23"/>
  <c r="AE449" i="23"/>
  <c r="AF449" i="23"/>
  <c r="AG449" i="23"/>
  <c r="AH449" i="23"/>
  <c r="AI449" i="23"/>
  <c r="AJ449" i="23"/>
  <c r="AK449" i="23"/>
  <c r="AL449" i="23"/>
  <c r="AM449" i="23"/>
  <c r="AN449" i="23"/>
  <c r="AO449" i="23"/>
  <c r="AP449" i="23"/>
  <c r="AQ449" i="23"/>
  <c r="AR449" i="23"/>
  <c r="AS449" i="23"/>
  <c r="AT449" i="23"/>
  <c r="AU449" i="23"/>
  <c r="AV449" i="23"/>
  <c r="AW449" i="23"/>
  <c r="AX449" i="23"/>
  <c r="AY449" i="23"/>
  <c r="AZ449" i="23"/>
  <c r="BA449" i="23"/>
  <c r="BB449" i="23"/>
  <c r="BC449" i="23"/>
  <c r="BD449" i="23"/>
  <c r="BE449" i="23"/>
  <c r="BF449" i="23"/>
  <c r="BG449" i="23"/>
  <c r="BH449" i="23"/>
  <c r="BI449" i="23"/>
  <c r="BJ449" i="23"/>
  <c r="BK449" i="23"/>
  <c r="BL449" i="23"/>
  <c r="BM449" i="23"/>
  <c r="BN449" i="23"/>
  <c r="BO449" i="23"/>
  <c r="BP449" i="23"/>
  <c r="BQ449" i="23"/>
  <c r="BR449" i="23"/>
  <c r="BS449" i="23"/>
  <c r="BT449" i="23"/>
  <c r="B450" i="23"/>
  <c r="C450" i="23"/>
  <c r="D450" i="23"/>
  <c r="E450" i="23"/>
  <c r="F450" i="23"/>
  <c r="G450" i="23"/>
  <c r="H450" i="23"/>
  <c r="I450" i="23"/>
  <c r="J450" i="23"/>
  <c r="K450" i="23"/>
  <c r="L450" i="23"/>
  <c r="M450" i="23"/>
  <c r="N450" i="23"/>
  <c r="O450" i="23"/>
  <c r="P450" i="23"/>
  <c r="Q450" i="23"/>
  <c r="R450" i="23"/>
  <c r="S450" i="23"/>
  <c r="T450" i="23"/>
  <c r="U450" i="23"/>
  <c r="V450" i="23"/>
  <c r="W450" i="23"/>
  <c r="X450" i="23"/>
  <c r="Y450" i="23"/>
  <c r="Z450" i="23"/>
  <c r="AA450" i="23"/>
  <c r="AB450" i="23"/>
  <c r="AC450" i="23"/>
  <c r="AD450" i="23"/>
  <c r="AE450" i="23"/>
  <c r="AF450" i="23"/>
  <c r="AG450" i="23"/>
  <c r="AH450" i="23"/>
  <c r="AI450" i="23"/>
  <c r="AJ450" i="23"/>
  <c r="AK450" i="23"/>
  <c r="AL450" i="23"/>
  <c r="AM450" i="23"/>
  <c r="AN450" i="23"/>
  <c r="AO450" i="23"/>
  <c r="AP450" i="23"/>
  <c r="AQ450" i="23"/>
  <c r="AR450" i="23"/>
  <c r="AS450" i="23"/>
  <c r="AT450" i="23"/>
  <c r="AU450" i="23"/>
  <c r="AV450" i="23"/>
  <c r="AW450" i="23"/>
  <c r="AX450" i="23"/>
  <c r="AY450" i="23"/>
  <c r="AZ450" i="23"/>
  <c r="BA450" i="23"/>
  <c r="BB450" i="23"/>
  <c r="BC450" i="23"/>
  <c r="BD450" i="23"/>
  <c r="BE450" i="23"/>
  <c r="BF450" i="23"/>
  <c r="BG450" i="23"/>
  <c r="BH450" i="23"/>
  <c r="BI450" i="23"/>
  <c r="BJ450" i="23"/>
  <c r="BK450" i="23"/>
  <c r="BL450" i="23"/>
  <c r="BM450" i="23"/>
  <c r="BN450" i="23"/>
  <c r="BO450" i="23"/>
  <c r="BP450" i="23"/>
  <c r="BQ450" i="23"/>
  <c r="BR450" i="23"/>
  <c r="BS450" i="23"/>
  <c r="BT450" i="23"/>
  <c r="B451" i="23"/>
  <c r="C451" i="23"/>
  <c r="D451" i="23"/>
  <c r="E451" i="23"/>
  <c r="F451" i="23"/>
  <c r="G451" i="23"/>
  <c r="H451" i="23"/>
  <c r="I451" i="23"/>
  <c r="J451" i="23"/>
  <c r="K451" i="23"/>
  <c r="L451" i="23"/>
  <c r="M451" i="23"/>
  <c r="N451" i="23"/>
  <c r="O451" i="23"/>
  <c r="P451" i="23"/>
  <c r="Q451" i="23"/>
  <c r="R451" i="23"/>
  <c r="S451" i="23"/>
  <c r="T451" i="23"/>
  <c r="U451" i="23"/>
  <c r="V451" i="23"/>
  <c r="W451" i="23"/>
  <c r="X451" i="23"/>
  <c r="Y451" i="23"/>
  <c r="Z451" i="23"/>
  <c r="AA451" i="23"/>
  <c r="AB451" i="23"/>
  <c r="AC451" i="23"/>
  <c r="AD451" i="23"/>
  <c r="AE451" i="23"/>
  <c r="AF451" i="23"/>
  <c r="AG451" i="23"/>
  <c r="AH451" i="23"/>
  <c r="AI451" i="23"/>
  <c r="AJ451" i="23"/>
  <c r="AK451" i="23"/>
  <c r="AL451" i="23"/>
  <c r="AM451" i="23"/>
  <c r="AN451" i="23"/>
  <c r="AO451" i="23"/>
  <c r="AP451" i="23"/>
  <c r="AQ451" i="23"/>
  <c r="AR451" i="23"/>
  <c r="AS451" i="23"/>
  <c r="AT451" i="23"/>
  <c r="AU451" i="23"/>
  <c r="AV451" i="23"/>
  <c r="AW451" i="23"/>
  <c r="AX451" i="23"/>
  <c r="AY451" i="23"/>
  <c r="AZ451" i="23"/>
  <c r="BA451" i="23"/>
  <c r="BB451" i="23"/>
  <c r="BC451" i="23"/>
  <c r="BD451" i="23"/>
  <c r="BE451" i="23"/>
  <c r="BF451" i="23"/>
  <c r="BG451" i="23"/>
  <c r="BH451" i="23"/>
  <c r="BI451" i="23"/>
  <c r="BJ451" i="23"/>
  <c r="BK451" i="23"/>
  <c r="BL451" i="23"/>
  <c r="BM451" i="23"/>
  <c r="BN451" i="23"/>
  <c r="BO451" i="23"/>
  <c r="BP451" i="23"/>
  <c r="BQ451" i="23"/>
  <c r="BR451" i="23"/>
  <c r="BS451" i="23"/>
  <c r="BT451" i="23"/>
  <c r="B452" i="23"/>
  <c r="C452" i="23"/>
  <c r="D452" i="23"/>
  <c r="E452" i="23"/>
  <c r="F452" i="23"/>
  <c r="G452" i="23"/>
  <c r="H452" i="23"/>
  <c r="I452" i="23"/>
  <c r="J452" i="23"/>
  <c r="K452" i="23"/>
  <c r="L452" i="23"/>
  <c r="M452" i="23"/>
  <c r="N452" i="23"/>
  <c r="O452" i="23"/>
  <c r="P452" i="23"/>
  <c r="Q452" i="23"/>
  <c r="R452" i="23"/>
  <c r="S452" i="23"/>
  <c r="T452" i="23"/>
  <c r="U452" i="23"/>
  <c r="V452" i="23"/>
  <c r="W452" i="23"/>
  <c r="X452" i="23"/>
  <c r="Y452" i="23"/>
  <c r="Z452" i="23"/>
  <c r="AA452" i="23"/>
  <c r="AB452" i="23"/>
  <c r="AC452" i="23"/>
  <c r="AD452" i="23"/>
  <c r="AE452" i="23"/>
  <c r="AF452" i="23"/>
  <c r="AG452" i="23"/>
  <c r="AH452" i="23"/>
  <c r="AI452" i="23"/>
  <c r="AJ452" i="23"/>
  <c r="AK452" i="23"/>
  <c r="AL452" i="23"/>
  <c r="AM452" i="23"/>
  <c r="AN452" i="23"/>
  <c r="AO452" i="23"/>
  <c r="AP452" i="23"/>
  <c r="AQ452" i="23"/>
  <c r="AR452" i="23"/>
  <c r="AS452" i="23"/>
  <c r="AT452" i="23"/>
  <c r="AU452" i="23"/>
  <c r="AV452" i="23"/>
  <c r="AW452" i="23"/>
  <c r="AX452" i="23"/>
  <c r="AY452" i="23"/>
  <c r="AZ452" i="23"/>
  <c r="BA452" i="23"/>
  <c r="BB452" i="23"/>
  <c r="BC452" i="23"/>
  <c r="BD452" i="23"/>
  <c r="BE452" i="23"/>
  <c r="BF452" i="23"/>
  <c r="BG452" i="23"/>
  <c r="BH452" i="23"/>
  <c r="BI452" i="23"/>
  <c r="BJ452" i="23"/>
  <c r="BK452" i="23"/>
  <c r="BL452" i="23"/>
  <c r="BM452" i="23"/>
  <c r="BN452" i="23"/>
  <c r="BO452" i="23"/>
  <c r="BP452" i="23"/>
  <c r="BQ452" i="23"/>
  <c r="BR452" i="23"/>
  <c r="BS452" i="23"/>
  <c r="BT452" i="23"/>
  <c r="B453" i="23"/>
  <c r="C453" i="23"/>
  <c r="D453" i="23"/>
  <c r="E453" i="23"/>
  <c r="F453" i="23"/>
  <c r="G453" i="23"/>
  <c r="H453" i="23"/>
  <c r="I453" i="23"/>
  <c r="J453" i="23"/>
  <c r="K453" i="23"/>
  <c r="L453" i="23"/>
  <c r="M453" i="23"/>
  <c r="N453" i="23"/>
  <c r="O453" i="23"/>
  <c r="P453" i="23"/>
  <c r="Q453" i="23"/>
  <c r="R453" i="23"/>
  <c r="S453" i="23"/>
  <c r="T453" i="23"/>
  <c r="U453" i="23"/>
  <c r="V453" i="23"/>
  <c r="W453" i="23"/>
  <c r="X453" i="23"/>
  <c r="Y453" i="23"/>
  <c r="Z453" i="23"/>
  <c r="AA453" i="23"/>
  <c r="AB453" i="23"/>
  <c r="AC453" i="23"/>
  <c r="AD453" i="23"/>
  <c r="AE453" i="23"/>
  <c r="AF453" i="23"/>
  <c r="AG453" i="23"/>
  <c r="AH453" i="23"/>
  <c r="AI453" i="23"/>
  <c r="AJ453" i="23"/>
  <c r="AK453" i="23"/>
  <c r="AL453" i="23"/>
  <c r="AM453" i="23"/>
  <c r="AN453" i="23"/>
  <c r="AO453" i="23"/>
  <c r="AP453" i="23"/>
  <c r="AQ453" i="23"/>
  <c r="AR453" i="23"/>
  <c r="AS453" i="23"/>
  <c r="AT453" i="23"/>
  <c r="AU453" i="23"/>
  <c r="AV453" i="23"/>
  <c r="AW453" i="23"/>
  <c r="AX453" i="23"/>
  <c r="AY453" i="23"/>
  <c r="AZ453" i="23"/>
  <c r="BA453" i="23"/>
  <c r="BB453" i="23"/>
  <c r="BC453" i="23"/>
  <c r="BD453" i="23"/>
  <c r="BE453" i="23"/>
  <c r="BF453" i="23"/>
  <c r="BG453" i="23"/>
  <c r="BH453" i="23"/>
  <c r="BI453" i="23"/>
  <c r="BJ453" i="23"/>
  <c r="BK453" i="23"/>
  <c r="BL453" i="23"/>
  <c r="BM453" i="23"/>
  <c r="BN453" i="23"/>
  <c r="BO453" i="23"/>
  <c r="BP453" i="23"/>
  <c r="BQ453" i="23"/>
  <c r="BR453" i="23"/>
  <c r="BS453" i="23"/>
  <c r="BT453" i="23"/>
  <c r="B454" i="23"/>
  <c r="C454" i="23"/>
  <c r="D454" i="23"/>
  <c r="E454" i="23"/>
  <c r="F454" i="23"/>
  <c r="G454" i="23"/>
  <c r="H454" i="23"/>
  <c r="I454" i="23"/>
  <c r="J454" i="23"/>
  <c r="K454" i="23"/>
  <c r="L454" i="23"/>
  <c r="M454" i="23"/>
  <c r="N454" i="23"/>
  <c r="O454" i="23"/>
  <c r="P454" i="23"/>
  <c r="Q454" i="23"/>
  <c r="R454" i="23"/>
  <c r="S454" i="23"/>
  <c r="T454" i="23"/>
  <c r="U454" i="23"/>
  <c r="V454" i="23"/>
  <c r="W454" i="23"/>
  <c r="X454" i="23"/>
  <c r="Y454" i="23"/>
  <c r="Z454" i="23"/>
  <c r="AA454" i="23"/>
  <c r="AB454" i="23"/>
  <c r="AC454" i="23"/>
  <c r="AD454" i="23"/>
  <c r="AE454" i="23"/>
  <c r="AF454" i="23"/>
  <c r="AG454" i="23"/>
  <c r="AH454" i="23"/>
  <c r="AI454" i="23"/>
  <c r="AJ454" i="23"/>
  <c r="AK454" i="23"/>
  <c r="AL454" i="23"/>
  <c r="AM454" i="23"/>
  <c r="AN454" i="23"/>
  <c r="AO454" i="23"/>
  <c r="AP454" i="23"/>
  <c r="AQ454" i="23"/>
  <c r="AR454" i="23"/>
  <c r="AS454" i="23"/>
  <c r="AT454" i="23"/>
  <c r="AU454" i="23"/>
  <c r="AV454" i="23"/>
  <c r="AW454" i="23"/>
  <c r="AX454" i="23"/>
  <c r="AY454" i="23"/>
  <c r="AZ454" i="23"/>
  <c r="BA454" i="23"/>
  <c r="BB454" i="23"/>
  <c r="BC454" i="23"/>
  <c r="BD454" i="23"/>
  <c r="BE454" i="23"/>
  <c r="BF454" i="23"/>
  <c r="BG454" i="23"/>
  <c r="BH454" i="23"/>
  <c r="BI454" i="23"/>
  <c r="BJ454" i="23"/>
  <c r="BK454" i="23"/>
  <c r="BL454" i="23"/>
  <c r="BM454" i="23"/>
  <c r="BN454" i="23"/>
  <c r="BO454" i="23"/>
  <c r="BP454" i="23"/>
  <c r="BQ454" i="23"/>
  <c r="BR454" i="23"/>
  <c r="BS454" i="23"/>
  <c r="BT454" i="23"/>
  <c r="B455" i="23"/>
  <c r="C455" i="23"/>
  <c r="D455" i="23"/>
  <c r="E455" i="23"/>
  <c r="F455" i="23"/>
  <c r="G455" i="23"/>
  <c r="H455" i="23"/>
  <c r="I455" i="23"/>
  <c r="J455" i="23"/>
  <c r="K455" i="23"/>
  <c r="L455" i="23"/>
  <c r="M455" i="23"/>
  <c r="N455" i="23"/>
  <c r="O455" i="23"/>
  <c r="P455" i="23"/>
  <c r="Q455" i="23"/>
  <c r="R455" i="23"/>
  <c r="S455" i="23"/>
  <c r="T455" i="23"/>
  <c r="U455" i="23"/>
  <c r="V455" i="23"/>
  <c r="W455" i="23"/>
  <c r="X455" i="23"/>
  <c r="Y455" i="23"/>
  <c r="Z455" i="23"/>
  <c r="AA455" i="23"/>
  <c r="AB455" i="23"/>
  <c r="AC455" i="23"/>
  <c r="AD455" i="23"/>
  <c r="AE455" i="23"/>
  <c r="AF455" i="23"/>
  <c r="AG455" i="23"/>
  <c r="AH455" i="23"/>
  <c r="AI455" i="23"/>
  <c r="AJ455" i="23"/>
  <c r="AK455" i="23"/>
  <c r="AL455" i="23"/>
  <c r="AM455" i="23"/>
  <c r="AN455" i="23"/>
  <c r="AO455" i="23"/>
  <c r="AP455" i="23"/>
  <c r="AQ455" i="23"/>
  <c r="AR455" i="23"/>
  <c r="AS455" i="23"/>
  <c r="AT455" i="23"/>
  <c r="AU455" i="23"/>
  <c r="AV455" i="23"/>
  <c r="AW455" i="23"/>
  <c r="AX455" i="23"/>
  <c r="AY455" i="23"/>
  <c r="AZ455" i="23"/>
  <c r="BA455" i="23"/>
  <c r="BB455" i="23"/>
  <c r="BC455" i="23"/>
  <c r="BD455" i="23"/>
  <c r="BE455" i="23"/>
  <c r="BF455" i="23"/>
  <c r="BG455" i="23"/>
  <c r="BH455" i="23"/>
  <c r="BI455" i="23"/>
  <c r="BJ455" i="23"/>
  <c r="BK455" i="23"/>
  <c r="BL455" i="23"/>
  <c r="BM455" i="23"/>
  <c r="BN455" i="23"/>
  <c r="BO455" i="23"/>
  <c r="BP455" i="23"/>
  <c r="BQ455" i="23"/>
  <c r="BR455" i="23"/>
  <c r="BS455" i="23"/>
  <c r="BT455" i="23"/>
  <c r="B456" i="23"/>
  <c r="C456" i="23"/>
  <c r="D456" i="23"/>
  <c r="E456" i="23"/>
  <c r="F456" i="23"/>
  <c r="G456" i="23"/>
  <c r="H456" i="23"/>
  <c r="I456" i="23"/>
  <c r="J456" i="23"/>
  <c r="K456" i="23"/>
  <c r="L456" i="23"/>
  <c r="M456" i="23"/>
  <c r="N456" i="23"/>
  <c r="O456" i="23"/>
  <c r="P456" i="23"/>
  <c r="Q456" i="23"/>
  <c r="R456" i="23"/>
  <c r="S456" i="23"/>
  <c r="T456" i="23"/>
  <c r="U456" i="23"/>
  <c r="V456" i="23"/>
  <c r="W456" i="23"/>
  <c r="X456" i="23"/>
  <c r="Y456" i="23"/>
  <c r="Z456" i="23"/>
  <c r="AA456" i="23"/>
  <c r="AB456" i="23"/>
  <c r="AC456" i="23"/>
  <c r="AD456" i="23"/>
  <c r="AE456" i="23"/>
  <c r="AF456" i="23"/>
  <c r="AG456" i="23"/>
  <c r="AH456" i="23"/>
  <c r="AI456" i="23"/>
  <c r="AJ456" i="23"/>
  <c r="AK456" i="23"/>
  <c r="AL456" i="23"/>
  <c r="AM456" i="23"/>
  <c r="AN456" i="23"/>
  <c r="AO456" i="23"/>
  <c r="AP456" i="23"/>
  <c r="AQ456" i="23"/>
  <c r="AR456" i="23"/>
  <c r="AS456" i="23"/>
  <c r="AT456" i="23"/>
  <c r="AU456" i="23"/>
  <c r="AV456" i="23"/>
  <c r="AW456" i="23"/>
  <c r="AX456" i="23"/>
  <c r="AY456" i="23"/>
  <c r="AZ456" i="23"/>
  <c r="BA456" i="23"/>
  <c r="BB456" i="23"/>
  <c r="BC456" i="23"/>
  <c r="BD456" i="23"/>
  <c r="BE456" i="23"/>
  <c r="BF456" i="23"/>
  <c r="BG456" i="23"/>
  <c r="BH456" i="23"/>
  <c r="BI456" i="23"/>
  <c r="BJ456" i="23"/>
  <c r="BK456" i="23"/>
  <c r="BL456" i="23"/>
  <c r="BM456" i="23"/>
  <c r="BN456" i="23"/>
  <c r="BO456" i="23"/>
  <c r="BP456" i="23"/>
  <c r="BQ456" i="23"/>
  <c r="BR456" i="23"/>
  <c r="BS456" i="23"/>
  <c r="BT456" i="23"/>
  <c r="B457" i="23"/>
  <c r="C457" i="23"/>
  <c r="D457" i="23"/>
  <c r="E457" i="23"/>
  <c r="F457" i="23"/>
  <c r="G457" i="23"/>
  <c r="H457" i="23"/>
  <c r="I457" i="23"/>
  <c r="J457" i="23"/>
  <c r="K457" i="23"/>
  <c r="L457" i="23"/>
  <c r="M457" i="23"/>
  <c r="N457" i="23"/>
  <c r="O457" i="23"/>
  <c r="P457" i="23"/>
  <c r="Q457" i="23"/>
  <c r="R457" i="23"/>
  <c r="S457" i="23"/>
  <c r="T457" i="23"/>
  <c r="U457" i="23"/>
  <c r="V457" i="23"/>
  <c r="W457" i="23"/>
  <c r="X457" i="23"/>
  <c r="Y457" i="23"/>
  <c r="Z457" i="23"/>
  <c r="AA457" i="23"/>
  <c r="AB457" i="23"/>
  <c r="AC457" i="23"/>
  <c r="AD457" i="23"/>
  <c r="AE457" i="23"/>
  <c r="AF457" i="23"/>
  <c r="AG457" i="23"/>
  <c r="AH457" i="23"/>
  <c r="AI457" i="23"/>
  <c r="AJ457" i="23"/>
  <c r="AK457" i="23"/>
  <c r="AL457" i="23"/>
  <c r="AM457" i="23"/>
  <c r="AN457" i="23"/>
  <c r="AO457" i="23"/>
  <c r="AP457" i="23"/>
  <c r="AQ457" i="23"/>
  <c r="AR457" i="23"/>
  <c r="AS457" i="23"/>
  <c r="AT457" i="23"/>
  <c r="AU457" i="23"/>
  <c r="AV457" i="23"/>
  <c r="AW457" i="23"/>
  <c r="AX457" i="23"/>
  <c r="AY457" i="23"/>
  <c r="AZ457" i="23"/>
  <c r="BA457" i="23"/>
  <c r="BB457" i="23"/>
  <c r="BC457" i="23"/>
  <c r="BD457" i="23"/>
  <c r="BE457" i="23"/>
  <c r="BF457" i="23"/>
  <c r="BG457" i="23"/>
  <c r="BH457" i="23"/>
  <c r="BI457" i="23"/>
  <c r="BJ457" i="23"/>
  <c r="BK457" i="23"/>
  <c r="BL457" i="23"/>
  <c r="BM457" i="23"/>
  <c r="BN457" i="23"/>
  <c r="BO457" i="23"/>
  <c r="BP457" i="23"/>
  <c r="BQ457" i="23"/>
  <c r="BR457" i="23"/>
  <c r="BS457" i="23"/>
  <c r="BT457" i="23"/>
  <c r="B458" i="23"/>
  <c r="C458" i="23"/>
  <c r="D458" i="23"/>
  <c r="E458" i="23"/>
  <c r="F458" i="23"/>
  <c r="G458" i="23"/>
  <c r="H458" i="23"/>
  <c r="I458" i="23"/>
  <c r="J458" i="23"/>
  <c r="K458" i="23"/>
  <c r="L458" i="23"/>
  <c r="M458" i="23"/>
  <c r="N458" i="23"/>
  <c r="O458" i="23"/>
  <c r="P458" i="23"/>
  <c r="Q458" i="23"/>
  <c r="R458" i="23"/>
  <c r="S458" i="23"/>
  <c r="T458" i="23"/>
  <c r="U458" i="23"/>
  <c r="V458" i="23"/>
  <c r="W458" i="23"/>
  <c r="X458" i="23"/>
  <c r="Y458" i="23"/>
  <c r="Z458" i="23"/>
  <c r="AA458" i="23"/>
  <c r="AB458" i="23"/>
  <c r="AC458" i="23"/>
  <c r="AD458" i="23"/>
  <c r="AE458" i="23"/>
  <c r="AF458" i="23"/>
  <c r="AG458" i="23"/>
  <c r="AH458" i="23"/>
  <c r="AI458" i="23"/>
  <c r="AJ458" i="23"/>
  <c r="AK458" i="23"/>
  <c r="AL458" i="23"/>
  <c r="AM458" i="23"/>
  <c r="AN458" i="23"/>
  <c r="AO458" i="23"/>
  <c r="AP458" i="23"/>
  <c r="AQ458" i="23"/>
  <c r="AR458" i="23"/>
  <c r="AS458" i="23"/>
  <c r="AT458" i="23"/>
  <c r="AU458" i="23"/>
  <c r="AV458" i="23"/>
  <c r="AW458" i="23"/>
  <c r="AX458" i="23"/>
  <c r="AY458" i="23"/>
  <c r="AZ458" i="23"/>
  <c r="BA458" i="23"/>
  <c r="BB458" i="23"/>
  <c r="BC458" i="23"/>
  <c r="BD458" i="23"/>
  <c r="BE458" i="23"/>
  <c r="BF458" i="23"/>
  <c r="BG458" i="23"/>
  <c r="BH458" i="23"/>
  <c r="BI458" i="23"/>
  <c r="BJ458" i="23"/>
  <c r="BK458" i="23"/>
  <c r="BL458" i="23"/>
  <c r="BM458" i="23"/>
  <c r="BN458" i="23"/>
  <c r="BO458" i="23"/>
  <c r="BP458" i="23"/>
  <c r="BQ458" i="23"/>
  <c r="BR458" i="23"/>
  <c r="BS458" i="23"/>
  <c r="BT458" i="23"/>
  <c r="B459" i="23"/>
  <c r="C459" i="23"/>
  <c r="D459" i="23"/>
  <c r="E459" i="23"/>
  <c r="F459" i="23"/>
  <c r="G459" i="23"/>
  <c r="H459" i="23"/>
  <c r="I459" i="23"/>
  <c r="J459" i="23"/>
  <c r="K459" i="23"/>
  <c r="L459" i="23"/>
  <c r="M459" i="23"/>
  <c r="N459" i="23"/>
  <c r="O459" i="23"/>
  <c r="P459" i="23"/>
  <c r="Q459" i="23"/>
  <c r="R459" i="23"/>
  <c r="S459" i="23"/>
  <c r="T459" i="23"/>
  <c r="U459" i="23"/>
  <c r="V459" i="23"/>
  <c r="W459" i="23"/>
  <c r="X459" i="23"/>
  <c r="Y459" i="23"/>
  <c r="Z459" i="23"/>
  <c r="AA459" i="23"/>
  <c r="AB459" i="23"/>
  <c r="AC459" i="23"/>
  <c r="AD459" i="23"/>
  <c r="AE459" i="23"/>
  <c r="AF459" i="23"/>
  <c r="AG459" i="23"/>
  <c r="AH459" i="23"/>
  <c r="AI459" i="23"/>
  <c r="AJ459" i="23"/>
  <c r="AK459" i="23"/>
  <c r="AL459" i="23"/>
  <c r="AM459" i="23"/>
  <c r="AN459" i="23"/>
  <c r="AO459" i="23"/>
  <c r="AP459" i="23"/>
  <c r="AQ459" i="23"/>
  <c r="AR459" i="23"/>
  <c r="AS459" i="23"/>
  <c r="AT459" i="23"/>
  <c r="AU459" i="23"/>
  <c r="AV459" i="23"/>
  <c r="AW459" i="23"/>
  <c r="AX459" i="23"/>
  <c r="AY459" i="23"/>
  <c r="AZ459" i="23"/>
  <c r="BA459" i="23"/>
  <c r="BB459" i="23"/>
  <c r="BC459" i="23"/>
  <c r="BD459" i="23"/>
  <c r="BE459" i="23"/>
  <c r="BF459" i="23"/>
  <c r="BG459" i="23"/>
  <c r="BH459" i="23"/>
  <c r="BI459" i="23"/>
  <c r="BJ459" i="23"/>
  <c r="BK459" i="23"/>
  <c r="BL459" i="23"/>
  <c r="BM459" i="23"/>
  <c r="BN459" i="23"/>
  <c r="BO459" i="23"/>
  <c r="BP459" i="23"/>
  <c r="BQ459" i="23"/>
  <c r="BR459" i="23"/>
  <c r="BS459" i="23"/>
  <c r="BT459" i="23"/>
  <c r="B460" i="23"/>
  <c r="C460" i="23"/>
  <c r="D460" i="23"/>
  <c r="E460" i="23"/>
  <c r="F460" i="23"/>
  <c r="G460" i="23"/>
  <c r="H460" i="23"/>
  <c r="I460" i="23"/>
  <c r="J460" i="23"/>
  <c r="K460" i="23"/>
  <c r="L460" i="23"/>
  <c r="M460" i="23"/>
  <c r="N460" i="23"/>
  <c r="O460" i="23"/>
  <c r="P460" i="23"/>
  <c r="Q460" i="23"/>
  <c r="R460" i="23"/>
  <c r="S460" i="23"/>
  <c r="T460" i="23"/>
  <c r="U460" i="23"/>
  <c r="V460" i="23"/>
  <c r="W460" i="23"/>
  <c r="X460" i="23"/>
  <c r="Y460" i="23"/>
  <c r="Z460" i="23"/>
  <c r="AA460" i="23"/>
  <c r="AB460" i="23"/>
  <c r="AC460" i="23"/>
  <c r="AD460" i="23"/>
  <c r="AE460" i="23"/>
  <c r="AF460" i="23"/>
  <c r="AG460" i="23"/>
  <c r="AH460" i="23"/>
  <c r="AI460" i="23"/>
  <c r="AJ460" i="23"/>
  <c r="AK460" i="23"/>
  <c r="AL460" i="23"/>
  <c r="AM460" i="23"/>
  <c r="AN460" i="23"/>
  <c r="AO460" i="23"/>
  <c r="AP460" i="23"/>
  <c r="AQ460" i="23"/>
  <c r="AR460" i="23"/>
  <c r="AS460" i="23"/>
  <c r="AT460" i="23"/>
  <c r="AU460" i="23"/>
  <c r="AV460" i="23"/>
  <c r="AW460" i="23"/>
  <c r="AX460" i="23"/>
  <c r="AY460" i="23"/>
  <c r="AZ460" i="23"/>
  <c r="BA460" i="23"/>
  <c r="BB460" i="23"/>
  <c r="BC460" i="23"/>
  <c r="BD460" i="23"/>
  <c r="BE460" i="23"/>
  <c r="BF460" i="23"/>
  <c r="BG460" i="23"/>
  <c r="BH460" i="23"/>
  <c r="BI460" i="23"/>
  <c r="BJ460" i="23"/>
  <c r="BK460" i="23"/>
  <c r="BL460" i="23"/>
  <c r="BM460" i="23"/>
  <c r="BN460" i="23"/>
  <c r="BO460" i="23"/>
  <c r="BP460" i="23"/>
  <c r="BQ460" i="23"/>
  <c r="BR460" i="23"/>
  <c r="BS460" i="23"/>
  <c r="BT460" i="23"/>
  <c r="B461" i="23"/>
  <c r="C461" i="23"/>
  <c r="D461" i="23"/>
  <c r="E461" i="23"/>
  <c r="F461" i="23"/>
  <c r="G461" i="23"/>
  <c r="H461" i="23"/>
  <c r="I461" i="23"/>
  <c r="J461" i="23"/>
  <c r="K461" i="23"/>
  <c r="L461" i="23"/>
  <c r="M461" i="23"/>
  <c r="N461" i="23"/>
  <c r="O461" i="23"/>
  <c r="P461" i="23"/>
  <c r="Q461" i="23"/>
  <c r="R461" i="23"/>
  <c r="S461" i="23"/>
  <c r="T461" i="23"/>
  <c r="U461" i="23"/>
  <c r="V461" i="23"/>
  <c r="W461" i="23"/>
  <c r="X461" i="23"/>
  <c r="Y461" i="23"/>
  <c r="Z461" i="23"/>
  <c r="AA461" i="23"/>
  <c r="AB461" i="23"/>
  <c r="AC461" i="23"/>
  <c r="AD461" i="23"/>
  <c r="AE461" i="23"/>
  <c r="AF461" i="23"/>
  <c r="AG461" i="23"/>
  <c r="AH461" i="23"/>
  <c r="AI461" i="23"/>
  <c r="AJ461" i="23"/>
  <c r="AK461" i="23"/>
  <c r="AL461" i="23"/>
  <c r="AM461" i="23"/>
  <c r="AN461" i="23"/>
  <c r="AO461" i="23"/>
  <c r="AP461" i="23"/>
  <c r="AQ461" i="23"/>
  <c r="AR461" i="23"/>
  <c r="AS461" i="23"/>
  <c r="AT461" i="23"/>
  <c r="AU461" i="23"/>
  <c r="AV461" i="23"/>
  <c r="AW461" i="23"/>
  <c r="AX461" i="23"/>
  <c r="AY461" i="23"/>
  <c r="AZ461" i="23"/>
  <c r="BA461" i="23"/>
  <c r="BB461" i="23"/>
  <c r="BC461" i="23"/>
  <c r="BD461" i="23"/>
  <c r="BE461" i="23"/>
  <c r="BF461" i="23"/>
  <c r="BG461" i="23"/>
  <c r="BH461" i="23"/>
  <c r="BI461" i="23"/>
  <c r="BJ461" i="23"/>
  <c r="BK461" i="23"/>
  <c r="BL461" i="23"/>
  <c r="BM461" i="23"/>
  <c r="BN461" i="23"/>
  <c r="BO461" i="23"/>
  <c r="BP461" i="23"/>
  <c r="BQ461" i="23"/>
  <c r="BR461" i="23"/>
  <c r="BS461" i="23"/>
  <c r="BT461" i="23"/>
  <c r="B462" i="23"/>
  <c r="C462" i="23"/>
  <c r="D462" i="23"/>
  <c r="E462" i="23"/>
  <c r="F462" i="23"/>
  <c r="G462" i="23"/>
  <c r="H462" i="23"/>
  <c r="I462" i="23"/>
  <c r="J462" i="23"/>
  <c r="K462" i="23"/>
  <c r="L462" i="23"/>
  <c r="M462" i="23"/>
  <c r="N462" i="23"/>
  <c r="O462" i="23"/>
  <c r="P462" i="23"/>
  <c r="Q462" i="23"/>
  <c r="R462" i="23"/>
  <c r="S462" i="23"/>
  <c r="T462" i="23"/>
  <c r="U462" i="23"/>
  <c r="V462" i="23"/>
  <c r="W462" i="23"/>
  <c r="X462" i="23"/>
  <c r="Y462" i="23"/>
  <c r="Z462" i="23"/>
  <c r="AA462" i="23"/>
  <c r="AB462" i="23"/>
  <c r="AC462" i="23"/>
  <c r="AD462" i="23"/>
  <c r="AE462" i="23"/>
  <c r="AF462" i="23"/>
  <c r="AG462" i="23"/>
  <c r="AH462" i="23"/>
  <c r="AI462" i="23"/>
  <c r="AJ462" i="23"/>
  <c r="AK462" i="23"/>
  <c r="AL462" i="23"/>
  <c r="AM462" i="23"/>
  <c r="AN462" i="23"/>
  <c r="AO462" i="23"/>
  <c r="AP462" i="23"/>
  <c r="AQ462" i="23"/>
  <c r="AR462" i="23"/>
  <c r="AS462" i="23"/>
  <c r="AT462" i="23"/>
  <c r="AU462" i="23"/>
  <c r="AV462" i="23"/>
  <c r="AW462" i="23"/>
  <c r="AX462" i="23"/>
  <c r="AY462" i="23"/>
  <c r="AZ462" i="23"/>
  <c r="BA462" i="23"/>
  <c r="BB462" i="23"/>
  <c r="BC462" i="23"/>
  <c r="BD462" i="23"/>
  <c r="BE462" i="23"/>
  <c r="BF462" i="23"/>
  <c r="BG462" i="23"/>
  <c r="BH462" i="23"/>
  <c r="BI462" i="23"/>
  <c r="BJ462" i="23"/>
  <c r="BK462" i="23"/>
  <c r="BL462" i="23"/>
  <c r="BM462" i="23"/>
  <c r="BN462" i="23"/>
  <c r="BO462" i="23"/>
  <c r="BP462" i="23"/>
  <c r="BQ462" i="23"/>
  <c r="BR462" i="23"/>
  <c r="BS462" i="23"/>
  <c r="BT462" i="23"/>
  <c r="B463" i="23"/>
  <c r="C463" i="23"/>
  <c r="D463" i="23"/>
  <c r="E463" i="23"/>
  <c r="F463" i="23"/>
  <c r="G463" i="23"/>
  <c r="H463" i="23"/>
  <c r="I463" i="23"/>
  <c r="J463" i="23"/>
  <c r="K463" i="23"/>
  <c r="L463" i="23"/>
  <c r="M463" i="23"/>
  <c r="N463" i="23"/>
  <c r="O463" i="23"/>
  <c r="P463" i="23"/>
  <c r="Q463" i="23"/>
  <c r="R463" i="23"/>
  <c r="S463" i="23"/>
  <c r="T463" i="23"/>
  <c r="U463" i="23"/>
  <c r="V463" i="23"/>
  <c r="W463" i="23"/>
  <c r="X463" i="23"/>
  <c r="Y463" i="23"/>
  <c r="Z463" i="23"/>
  <c r="AA463" i="23"/>
  <c r="AB463" i="23"/>
  <c r="AC463" i="23"/>
  <c r="AD463" i="23"/>
  <c r="AE463" i="23"/>
  <c r="AF463" i="23"/>
  <c r="AG463" i="23"/>
  <c r="AH463" i="23"/>
  <c r="AI463" i="23"/>
  <c r="AJ463" i="23"/>
  <c r="AK463" i="23"/>
  <c r="AL463" i="23"/>
  <c r="AM463" i="23"/>
  <c r="AN463" i="23"/>
  <c r="AO463" i="23"/>
  <c r="AP463" i="23"/>
  <c r="AQ463" i="23"/>
  <c r="AR463" i="23"/>
  <c r="AS463" i="23"/>
  <c r="AT463" i="23"/>
  <c r="AU463" i="23"/>
  <c r="AV463" i="23"/>
  <c r="AW463" i="23"/>
  <c r="AX463" i="23"/>
  <c r="AY463" i="23"/>
  <c r="AZ463" i="23"/>
  <c r="BA463" i="23"/>
  <c r="BB463" i="23"/>
  <c r="BC463" i="23"/>
  <c r="BD463" i="23"/>
  <c r="BE463" i="23"/>
  <c r="BF463" i="23"/>
  <c r="BG463" i="23"/>
  <c r="BH463" i="23"/>
  <c r="BI463" i="23"/>
  <c r="BJ463" i="23"/>
  <c r="BK463" i="23"/>
  <c r="BL463" i="23"/>
  <c r="BM463" i="23"/>
  <c r="BN463" i="23"/>
  <c r="BO463" i="23"/>
  <c r="BP463" i="23"/>
  <c r="BQ463" i="23"/>
  <c r="BR463" i="23"/>
  <c r="BS463" i="23"/>
  <c r="BT463" i="23"/>
  <c r="B464" i="23"/>
  <c r="C464" i="23"/>
  <c r="D464" i="23"/>
  <c r="E464" i="23"/>
  <c r="F464" i="23"/>
  <c r="G464" i="23"/>
  <c r="H464" i="23"/>
  <c r="I464" i="23"/>
  <c r="J464" i="23"/>
  <c r="K464" i="23"/>
  <c r="L464" i="23"/>
  <c r="M464" i="23"/>
  <c r="N464" i="23"/>
  <c r="O464" i="23"/>
  <c r="P464" i="23"/>
  <c r="Q464" i="23"/>
  <c r="R464" i="23"/>
  <c r="S464" i="23"/>
  <c r="T464" i="23"/>
  <c r="U464" i="23"/>
  <c r="V464" i="23"/>
  <c r="W464" i="23"/>
  <c r="X464" i="23"/>
  <c r="Y464" i="23"/>
  <c r="Z464" i="23"/>
  <c r="AA464" i="23"/>
  <c r="AB464" i="23"/>
  <c r="AC464" i="23"/>
  <c r="AD464" i="23"/>
  <c r="AE464" i="23"/>
  <c r="AF464" i="23"/>
  <c r="AG464" i="23"/>
  <c r="AH464" i="23"/>
  <c r="AI464" i="23"/>
  <c r="AJ464" i="23"/>
  <c r="AK464" i="23"/>
  <c r="AL464" i="23"/>
  <c r="AM464" i="23"/>
  <c r="AN464" i="23"/>
  <c r="AO464" i="23"/>
  <c r="AP464" i="23"/>
  <c r="AQ464" i="23"/>
  <c r="AR464" i="23"/>
  <c r="AS464" i="23"/>
  <c r="AT464" i="23"/>
  <c r="AU464" i="23"/>
  <c r="AV464" i="23"/>
  <c r="AW464" i="23"/>
  <c r="AX464" i="23"/>
  <c r="AY464" i="23"/>
  <c r="AZ464" i="23"/>
  <c r="BA464" i="23"/>
  <c r="BB464" i="23"/>
  <c r="BC464" i="23"/>
  <c r="BD464" i="23"/>
  <c r="BE464" i="23"/>
  <c r="BF464" i="23"/>
  <c r="BG464" i="23"/>
  <c r="BH464" i="23"/>
  <c r="BI464" i="23"/>
  <c r="BJ464" i="23"/>
  <c r="BK464" i="23"/>
  <c r="BL464" i="23"/>
  <c r="BM464" i="23"/>
  <c r="BN464" i="23"/>
  <c r="BO464" i="23"/>
  <c r="BP464" i="23"/>
  <c r="BQ464" i="23"/>
  <c r="BR464" i="23"/>
  <c r="BS464" i="23"/>
  <c r="BT464" i="23"/>
  <c r="B465" i="23"/>
  <c r="C465" i="23"/>
  <c r="D465" i="23"/>
  <c r="E465" i="23"/>
  <c r="F465" i="23"/>
  <c r="G465" i="23"/>
  <c r="H465" i="23"/>
  <c r="I465" i="23"/>
  <c r="J465" i="23"/>
  <c r="K465" i="23"/>
  <c r="L465" i="23"/>
  <c r="M465" i="23"/>
  <c r="N465" i="23"/>
  <c r="O465" i="23"/>
  <c r="P465" i="23"/>
  <c r="Q465" i="23"/>
  <c r="R465" i="23"/>
  <c r="S465" i="23"/>
  <c r="T465" i="23"/>
  <c r="U465" i="23"/>
  <c r="V465" i="23"/>
  <c r="W465" i="23"/>
  <c r="X465" i="23"/>
  <c r="Y465" i="23"/>
  <c r="Z465" i="23"/>
  <c r="AA465" i="23"/>
  <c r="AB465" i="23"/>
  <c r="AC465" i="23"/>
  <c r="AD465" i="23"/>
  <c r="AE465" i="23"/>
  <c r="AF465" i="23"/>
  <c r="AG465" i="23"/>
  <c r="AH465" i="23"/>
  <c r="AI465" i="23"/>
  <c r="AJ465" i="23"/>
  <c r="AK465" i="23"/>
  <c r="AL465" i="23"/>
  <c r="AM465" i="23"/>
  <c r="AN465" i="23"/>
  <c r="AO465" i="23"/>
  <c r="AP465" i="23"/>
  <c r="AQ465" i="23"/>
  <c r="AR465" i="23"/>
  <c r="AS465" i="23"/>
  <c r="AT465" i="23"/>
  <c r="AU465" i="23"/>
  <c r="AV465" i="23"/>
  <c r="AW465" i="23"/>
  <c r="AX465" i="23"/>
  <c r="AY465" i="23"/>
  <c r="AZ465" i="23"/>
  <c r="BA465" i="23"/>
  <c r="BB465" i="23"/>
  <c r="BC465" i="23"/>
  <c r="BD465" i="23"/>
  <c r="BE465" i="23"/>
  <c r="BF465" i="23"/>
  <c r="BG465" i="23"/>
  <c r="BH465" i="23"/>
  <c r="BI465" i="23"/>
  <c r="BJ465" i="23"/>
  <c r="BK465" i="23"/>
  <c r="BL465" i="23"/>
  <c r="BM465" i="23"/>
  <c r="BN465" i="23"/>
  <c r="BO465" i="23"/>
  <c r="BP465" i="23"/>
  <c r="BQ465" i="23"/>
  <c r="BR465" i="23"/>
  <c r="BS465" i="23"/>
  <c r="BT465" i="23"/>
  <c r="B466" i="23"/>
  <c r="C466" i="23"/>
  <c r="D466" i="23"/>
  <c r="E466" i="23"/>
  <c r="F466" i="23"/>
  <c r="G466" i="23"/>
  <c r="H466" i="23"/>
  <c r="I466" i="23"/>
  <c r="J466" i="23"/>
  <c r="K466" i="23"/>
  <c r="L466" i="23"/>
  <c r="M466" i="23"/>
  <c r="N466" i="23"/>
  <c r="O466" i="23"/>
  <c r="P466" i="23"/>
  <c r="Q466" i="23"/>
  <c r="R466" i="23"/>
  <c r="S466" i="23"/>
  <c r="T466" i="23"/>
  <c r="U466" i="23"/>
  <c r="V466" i="23"/>
  <c r="W466" i="23"/>
  <c r="X466" i="23"/>
  <c r="Y466" i="23"/>
  <c r="Z466" i="23"/>
  <c r="AA466" i="23"/>
  <c r="AB466" i="23"/>
  <c r="AC466" i="23"/>
  <c r="AD466" i="23"/>
  <c r="AE466" i="23"/>
  <c r="AF466" i="23"/>
  <c r="AG466" i="23"/>
  <c r="AH466" i="23"/>
  <c r="AI466" i="23"/>
  <c r="AJ466" i="23"/>
  <c r="AK466" i="23"/>
  <c r="AL466" i="23"/>
  <c r="AM466" i="23"/>
  <c r="AN466" i="23"/>
  <c r="AO466" i="23"/>
  <c r="AP466" i="23"/>
  <c r="AQ466" i="23"/>
  <c r="AR466" i="23"/>
  <c r="AS466" i="23"/>
  <c r="AT466" i="23"/>
  <c r="AU466" i="23"/>
  <c r="AV466" i="23"/>
  <c r="AW466" i="23"/>
  <c r="AX466" i="23"/>
  <c r="AY466" i="23"/>
  <c r="AZ466" i="23"/>
  <c r="BA466" i="23"/>
  <c r="BB466" i="23"/>
  <c r="BC466" i="23"/>
  <c r="BD466" i="23"/>
  <c r="BE466" i="23"/>
  <c r="BF466" i="23"/>
  <c r="BG466" i="23"/>
  <c r="BH466" i="23"/>
  <c r="BI466" i="23"/>
  <c r="BJ466" i="23"/>
  <c r="BK466" i="23"/>
  <c r="BL466" i="23"/>
  <c r="BM466" i="23"/>
  <c r="BN466" i="23"/>
  <c r="BO466" i="23"/>
  <c r="BP466" i="23"/>
  <c r="BQ466" i="23"/>
  <c r="BR466" i="23"/>
  <c r="BS466" i="23"/>
  <c r="BT466" i="23"/>
  <c r="B467" i="23"/>
  <c r="C467" i="23"/>
  <c r="D467" i="23"/>
  <c r="E467" i="23"/>
  <c r="F467" i="23"/>
  <c r="G467" i="23"/>
  <c r="H467" i="23"/>
  <c r="I467" i="23"/>
  <c r="J467" i="23"/>
  <c r="K467" i="23"/>
  <c r="L467" i="23"/>
  <c r="M467" i="23"/>
  <c r="N467" i="23"/>
  <c r="O467" i="23"/>
  <c r="P467" i="23"/>
  <c r="Q467" i="23"/>
  <c r="R467" i="23"/>
  <c r="S467" i="23"/>
  <c r="T467" i="23"/>
  <c r="U467" i="23"/>
  <c r="V467" i="23"/>
  <c r="W467" i="23"/>
  <c r="X467" i="23"/>
  <c r="Y467" i="23"/>
  <c r="Z467" i="23"/>
  <c r="AA467" i="23"/>
  <c r="AB467" i="23"/>
  <c r="AC467" i="23"/>
  <c r="AD467" i="23"/>
  <c r="AE467" i="23"/>
  <c r="AF467" i="23"/>
  <c r="AG467" i="23"/>
  <c r="AH467" i="23"/>
  <c r="AI467" i="23"/>
  <c r="AJ467" i="23"/>
  <c r="AK467" i="23"/>
  <c r="AL467" i="23"/>
  <c r="AM467" i="23"/>
  <c r="AN467" i="23"/>
  <c r="AO467" i="23"/>
  <c r="AP467" i="23"/>
  <c r="AQ467" i="23"/>
  <c r="AR467" i="23"/>
  <c r="AS467" i="23"/>
  <c r="AT467" i="23"/>
  <c r="AU467" i="23"/>
  <c r="AV467" i="23"/>
  <c r="AW467" i="23"/>
  <c r="AX467" i="23"/>
  <c r="AY467" i="23"/>
  <c r="AZ467" i="23"/>
  <c r="BA467" i="23"/>
  <c r="BB467" i="23"/>
  <c r="BC467" i="23"/>
  <c r="BD467" i="23"/>
  <c r="BE467" i="23"/>
  <c r="BF467" i="23"/>
  <c r="BG467" i="23"/>
  <c r="BH467" i="23"/>
  <c r="BI467" i="23"/>
  <c r="BJ467" i="23"/>
  <c r="BK467" i="23"/>
  <c r="BL467" i="23"/>
  <c r="BM467" i="23"/>
  <c r="BN467" i="23"/>
  <c r="BO467" i="23"/>
  <c r="BP467" i="23"/>
  <c r="BQ467" i="23"/>
  <c r="BR467" i="23"/>
  <c r="BS467" i="23"/>
  <c r="BT467" i="23"/>
  <c r="B468" i="23"/>
  <c r="C468" i="23"/>
  <c r="D468" i="23"/>
  <c r="E468" i="23"/>
  <c r="F468" i="23"/>
  <c r="G468" i="23"/>
  <c r="H468" i="23"/>
  <c r="I468" i="23"/>
  <c r="J468" i="23"/>
  <c r="K468" i="23"/>
  <c r="L468" i="23"/>
  <c r="M468" i="23"/>
  <c r="N468" i="23"/>
  <c r="O468" i="23"/>
  <c r="P468" i="23"/>
  <c r="Q468" i="23"/>
  <c r="R468" i="23"/>
  <c r="S468" i="23"/>
  <c r="T468" i="23"/>
  <c r="U468" i="23"/>
  <c r="V468" i="23"/>
  <c r="W468" i="23"/>
  <c r="X468" i="23"/>
  <c r="Y468" i="23"/>
  <c r="Z468" i="23"/>
  <c r="AA468" i="23"/>
  <c r="AB468" i="23"/>
  <c r="AC468" i="23"/>
  <c r="AD468" i="23"/>
  <c r="AE468" i="23"/>
  <c r="AF468" i="23"/>
  <c r="AG468" i="23"/>
  <c r="AH468" i="23"/>
  <c r="AI468" i="23"/>
  <c r="AJ468" i="23"/>
  <c r="AK468" i="23"/>
  <c r="AL468" i="23"/>
  <c r="AM468" i="23"/>
  <c r="AN468" i="23"/>
  <c r="AO468" i="23"/>
  <c r="AP468" i="23"/>
  <c r="AQ468" i="23"/>
  <c r="AR468" i="23"/>
  <c r="AS468" i="23"/>
  <c r="AT468" i="23"/>
  <c r="AU468" i="23"/>
  <c r="AV468" i="23"/>
  <c r="AW468" i="23"/>
  <c r="AX468" i="23"/>
  <c r="AY468" i="23"/>
  <c r="AZ468" i="23"/>
  <c r="BA468" i="23"/>
  <c r="BB468" i="23"/>
  <c r="BC468" i="23"/>
  <c r="BD468" i="23"/>
  <c r="BE468" i="23"/>
  <c r="BF468" i="23"/>
  <c r="BG468" i="23"/>
  <c r="BH468" i="23"/>
  <c r="BI468" i="23"/>
  <c r="BJ468" i="23"/>
  <c r="BK468" i="23"/>
  <c r="BL468" i="23"/>
  <c r="BM468" i="23"/>
  <c r="BN468" i="23"/>
  <c r="BO468" i="23"/>
  <c r="BP468" i="23"/>
  <c r="BQ468" i="23"/>
  <c r="BR468" i="23"/>
  <c r="BS468" i="23"/>
  <c r="BT468" i="23"/>
  <c r="B469" i="23"/>
  <c r="C469" i="23"/>
  <c r="D469" i="23"/>
  <c r="E469" i="23"/>
  <c r="F469" i="23"/>
  <c r="G469" i="23"/>
  <c r="H469" i="23"/>
  <c r="I469" i="23"/>
  <c r="J469" i="23"/>
  <c r="K469" i="23"/>
  <c r="L469" i="23"/>
  <c r="M469" i="23"/>
  <c r="N469" i="23"/>
  <c r="O469" i="23"/>
  <c r="P469" i="23"/>
  <c r="Q469" i="23"/>
  <c r="R469" i="23"/>
  <c r="S469" i="23"/>
  <c r="T469" i="23"/>
  <c r="U469" i="23"/>
  <c r="V469" i="23"/>
  <c r="W469" i="23"/>
  <c r="X469" i="23"/>
  <c r="Y469" i="23"/>
  <c r="Z469" i="23"/>
  <c r="AA469" i="23"/>
  <c r="AB469" i="23"/>
  <c r="AC469" i="23"/>
  <c r="AD469" i="23"/>
  <c r="AE469" i="23"/>
  <c r="AF469" i="23"/>
  <c r="AG469" i="23"/>
  <c r="AH469" i="23"/>
  <c r="AI469" i="23"/>
  <c r="AJ469" i="23"/>
  <c r="AK469" i="23"/>
  <c r="AL469" i="23"/>
  <c r="AM469" i="23"/>
  <c r="AN469" i="23"/>
  <c r="AO469" i="23"/>
  <c r="AP469" i="23"/>
  <c r="AQ469" i="23"/>
  <c r="AR469" i="23"/>
  <c r="AS469" i="23"/>
  <c r="AT469" i="23"/>
  <c r="AU469" i="23"/>
  <c r="AV469" i="23"/>
  <c r="AW469" i="23"/>
  <c r="AX469" i="23"/>
  <c r="AY469" i="23"/>
  <c r="AZ469" i="23"/>
  <c r="BA469" i="23"/>
  <c r="BB469" i="23"/>
  <c r="BC469" i="23"/>
  <c r="BD469" i="23"/>
  <c r="BE469" i="23"/>
  <c r="BF469" i="23"/>
  <c r="BG469" i="23"/>
  <c r="BH469" i="23"/>
  <c r="BI469" i="23"/>
  <c r="BJ469" i="23"/>
  <c r="BK469" i="23"/>
  <c r="BL469" i="23"/>
  <c r="BM469" i="23"/>
  <c r="BN469" i="23"/>
  <c r="BO469" i="23"/>
  <c r="BP469" i="23"/>
  <c r="BQ469" i="23"/>
  <c r="BR469" i="23"/>
  <c r="BS469" i="23"/>
  <c r="BT469" i="23"/>
  <c r="B470" i="23"/>
  <c r="C470" i="23"/>
  <c r="D470" i="23"/>
  <c r="E470" i="23"/>
  <c r="F470" i="23"/>
  <c r="G470" i="23"/>
  <c r="H470" i="23"/>
  <c r="I470" i="23"/>
  <c r="J470" i="23"/>
  <c r="K470" i="23"/>
  <c r="L470" i="23"/>
  <c r="M470" i="23"/>
  <c r="N470" i="23"/>
  <c r="O470" i="23"/>
  <c r="P470" i="23"/>
  <c r="Q470" i="23"/>
  <c r="R470" i="23"/>
  <c r="S470" i="23"/>
  <c r="T470" i="23"/>
  <c r="U470" i="23"/>
  <c r="V470" i="23"/>
  <c r="W470" i="23"/>
  <c r="X470" i="23"/>
  <c r="Y470" i="23"/>
  <c r="Z470" i="23"/>
  <c r="AA470" i="23"/>
  <c r="AB470" i="23"/>
  <c r="AC470" i="23"/>
  <c r="AD470" i="23"/>
  <c r="AE470" i="23"/>
  <c r="AF470" i="23"/>
  <c r="AG470" i="23"/>
  <c r="AH470" i="23"/>
  <c r="AI470" i="23"/>
  <c r="AJ470" i="23"/>
  <c r="AK470" i="23"/>
  <c r="AL470" i="23"/>
  <c r="AM470" i="23"/>
  <c r="AN470" i="23"/>
  <c r="AO470" i="23"/>
  <c r="AP470" i="23"/>
  <c r="AQ470" i="23"/>
  <c r="AR470" i="23"/>
  <c r="AS470" i="23"/>
  <c r="AT470" i="23"/>
  <c r="AU470" i="23"/>
  <c r="AV470" i="23"/>
  <c r="AW470" i="23"/>
  <c r="AX470" i="23"/>
  <c r="AY470" i="23"/>
  <c r="AZ470" i="23"/>
  <c r="BA470" i="23"/>
  <c r="BB470" i="23"/>
  <c r="BC470" i="23"/>
  <c r="BD470" i="23"/>
  <c r="BE470" i="23"/>
  <c r="BF470" i="23"/>
  <c r="BG470" i="23"/>
  <c r="BH470" i="23"/>
  <c r="BI470" i="23"/>
  <c r="BJ470" i="23"/>
  <c r="BK470" i="23"/>
  <c r="BL470" i="23"/>
  <c r="BM470" i="23"/>
  <c r="BN470" i="23"/>
  <c r="BO470" i="23"/>
  <c r="BP470" i="23"/>
  <c r="BQ470" i="23"/>
  <c r="BR470" i="23"/>
  <c r="BS470" i="23"/>
  <c r="BT470" i="23"/>
  <c r="B471" i="23"/>
  <c r="C471" i="23"/>
  <c r="D471" i="23"/>
  <c r="E471" i="23"/>
  <c r="F471" i="23"/>
  <c r="G471" i="23"/>
  <c r="H471" i="23"/>
  <c r="I471" i="23"/>
  <c r="J471" i="23"/>
  <c r="K471" i="23"/>
  <c r="L471" i="23"/>
  <c r="M471" i="23"/>
  <c r="N471" i="23"/>
  <c r="O471" i="23"/>
  <c r="P471" i="23"/>
  <c r="Q471" i="23"/>
  <c r="R471" i="23"/>
  <c r="S471" i="23"/>
  <c r="T471" i="23"/>
  <c r="U471" i="23"/>
  <c r="V471" i="23"/>
  <c r="W471" i="23"/>
  <c r="X471" i="23"/>
  <c r="Y471" i="23"/>
  <c r="Z471" i="23"/>
  <c r="AA471" i="23"/>
  <c r="AB471" i="23"/>
  <c r="AC471" i="23"/>
  <c r="AD471" i="23"/>
  <c r="AE471" i="23"/>
  <c r="AF471" i="23"/>
  <c r="AG471" i="23"/>
  <c r="AH471" i="23"/>
  <c r="AI471" i="23"/>
  <c r="AJ471" i="23"/>
  <c r="AK471" i="23"/>
  <c r="AL471" i="23"/>
  <c r="AM471" i="23"/>
  <c r="AN471" i="23"/>
  <c r="AO471" i="23"/>
  <c r="AP471" i="23"/>
  <c r="AQ471" i="23"/>
  <c r="AR471" i="23"/>
  <c r="AS471" i="23"/>
  <c r="AT471" i="23"/>
  <c r="AU471" i="23"/>
  <c r="AV471" i="23"/>
  <c r="AW471" i="23"/>
  <c r="AX471" i="23"/>
  <c r="AY471" i="23"/>
  <c r="AZ471" i="23"/>
  <c r="BA471" i="23"/>
  <c r="BB471" i="23"/>
  <c r="BC471" i="23"/>
  <c r="BD471" i="23"/>
  <c r="BE471" i="23"/>
  <c r="BF471" i="23"/>
  <c r="BG471" i="23"/>
  <c r="BH471" i="23"/>
  <c r="BI471" i="23"/>
  <c r="BJ471" i="23"/>
  <c r="BK471" i="23"/>
  <c r="BL471" i="23"/>
  <c r="BM471" i="23"/>
  <c r="BN471" i="23"/>
  <c r="BO471" i="23"/>
  <c r="BP471" i="23"/>
  <c r="BQ471" i="23"/>
  <c r="BR471" i="23"/>
  <c r="BS471" i="23"/>
  <c r="BT471" i="23"/>
  <c r="B472" i="23"/>
  <c r="C472" i="23"/>
  <c r="D472" i="23"/>
  <c r="E472" i="23"/>
  <c r="F472" i="23"/>
  <c r="G472" i="23"/>
  <c r="H472" i="23"/>
  <c r="I472" i="23"/>
  <c r="J472" i="23"/>
  <c r="K472" i="23"/>
  <c r="L472" i="23"/>
  <c r="M472" i="23"/>
  <c r="N472" i="23"/>
  <c r="O472" i="23"/>
  <c r="P472" i="23"/>
  <c r="Q472" i="23"/>
  <c r="R472" i="23"/>
  <c r="S472" i="23"/>
  <c r="T472" i="23"/>
  <c r="U472" i="23"/>
  <c r="V472" i="23"/>
  <c r="W472" i="23"/>
  <c r="X472" i="23"/>
  <c r="Y472" i="23"/>
  <c r="Z472" i="23"/>
  <c r="AA472" i="23"/>
  <c r="AB472" i="23"/>
  <c r="AC472" i="23"/>
  <c r="AD472" i="23"/>
  <c r="AE472" i="23"/>
  <c r="AF472" i="23"/>
  <c r="AG472" i="23"/>
  <c r="AH472" i="23"/>
  <c r="AI472" i="23"/>
  <c r="AJ472" i="23"/>
  <c r="AK472" i="23"/>
  <c r="AL472" i="23"/>
  <c r="AM472" i="23"/>
  <c r="AN472" i="23"/>
  <c r="AO472" i="23"/>
  <c r="AP472" i="23"/>
  <c r="AQ472" i="23"/>
  <c r="AR472" i="23"/>
  <c r="AS472" i="23"/>
  <c r="AT472" i="23"/>
  <c r="AU472" i="23"/>
  <c r="AV472" i="23"/>
  <c r="AW472" i="23"/>
  <c r="AX472" i="23"/>
  <c r="AY472" i="23"/>
  <c r="AZ472" i="23"/>
  <c r="BA472" i="23"/>
  <c r="BB472" i="23"/>
  <c r="BC472" i="23"/>
  <c r="BD472" i="23"/>
  <c r="BE472" i="23"/>
  <c r="BF472" i="23"/>
  <c r="BG472" i="23"/>
  <c r="BH472" i="23"/>
  <c r="BI472" i="23"/>
  <c r="BJ472" i="23"/>
  <c r="BK472" i="23"/>
  <c r="BL472" i="23"/>
  <c r="BM472" i="23"/>
  <c r="BN472" i="23"/>
  <c r="BO472" i="23"/>
  <c r="BP472" i="23"/>
  <c r="BQ472" i="23"/>
  <c r="BR472" i="23"/>
  <c r="BS472" i="23"/>
  <c r="BT472" i="23"/>
  <c r="B473" i="23"/>
  <c r="C473" i="23"/>
  <c r="D473" i="23"/>
  <c r="E473" i="23"/>
  <c r="F473" i="23"/>
  <c r="G473" i="23"/>
  <c r="H473" i="23"/>
  <c r="I473" i="23"/>
  <c r="J473" i="23"/>
  <c r="K473" i="23"/>
  <c r="L473" i="23"/>
  <c r="M473" i="23"/>
  <c r="N473" i="23"/>
  <c r="O473" i="23"/>
  <c r="P473" i="23"/>
  <c r="Q473" i="23"/>
  <c r="R473" i="23"/>
  <c r="S473" i="23"/>
  <c r="T473" i="23"/>
  <c r="U473" i="23"/>
  <c r="V473" i="23"/>
  <c r="W473" i="23"/>
  <c r="X473" i="23"/>
  <c r="Y473" i="23"/>
  <c r="Z473" i="23"/>
  <c r="AA473" i="23"/>
  <c r="AB473" i="23"/>
  <c r="AC473" i="23"/>
  <c r="AD473" i="23"/>
  <c r="AE473" i="23"/>
  <c r="AF473" i="23"/>
  <c r="AG473" i="23"/>
  <c r="AH473" i="23"/>
  <c r="AI473" i="23"/>
  <c r="AJ473" i="23"/>
  <c r="AK473" i="23"/>
  <c r="AL473" i="23"/>
  <c r="AM473" i="23"/>
  <c r="AN473" i="23"/>
  <c r="AO473" i="23"/>
  <c r="AP473" i="23"/>
  <c r="AQ473" i="23"/>
  <c r="AR473" i="23"/>
  <c r="AS473" i="23"/>
  <c r="AT473" i="23"/>
  <c r="AU473" i="23"/>
  <c r="AV473" i="23"/>
  <c r="AW473" i="23"/>
  <c r="AX473" i="23"/>
  <c r="AY473" i="23"/>
  <c r="AZ473" i="23"/>
  <c r="BA473" i="23"/>
  <c r="BB473" i="23"/>
  <c r="BC473" i="23"/>
  <c r="BD473" i="23"/>
  <c r="BE473" i="23"/>
  <c r="BF473" i="23"/>
  <c r="BG473" i="23"/>
  <c r="BH473" i="23"/>
  <c r="BI473" i="23"/>
  <c r="BJ473" i="23"/>
  <c r="BK473" i="23"/>
  <c r="BL473" i="23"/>
  <c r="BM473" i="23"/>
  <c r="BN473" i="23"/>
  <c r="BO473" i="23"/>
  <c r="BP473" i="23"/>
  <c r="BQ473" i="23"/>
  <c r="BR473" i="23"/>
  <c r="BS473" i="23"/>
  <c r="BT473" i="23"/>
  <c r="B474" i="23"/>
  <c r="C474" i="23"/>
  <c r="D474" i="23"/>
  <c r="E474" i="23"/>
  <c r="F474" i="23"/>
  <c r="G474" i="23"/>
  <c r="H474" i="23"/>
  <c r="I474" i="23"/>
  <c r="J474" i="23"/>
  <c r="K474" i="23"/>
  <c r="L474" i="23"/>
  <c r="M474" i="23"/>
  <c r="N474" i="23"/>
  <c r="O474" i="23"/>
  <c r="P474" i="23"/>
  <c r="Q474" i="23"/>
  <c r="R474" i="23"/>
  <c r="S474" i="23"/>
  <c r="T474" i="23"/>
  <c r="U474" i="23"/>
  <c r="V474" i="23"/>
  <c r="W474" i="23"/>
  <c r="X474" i="23"/>
  <c r="Y474" i="23"/>
  <c r="Z474" i="23"/>
  <c r="AA474" i="23"/>
  <c r="AB474" i="23"/>
  <c r="AC474" i="23"/>
  <c r="AD474" i="23"/>
  <c r="AE474" i="23"/>
  <c r="AF474" i="23"/>
  <c r="AG474" i="23"/>
  <c r="AH474" i="23"/>
  <c r="AI474" i="23"/>
  <c r="AJ474" i="23"/>
  <c r="AK474" i="23"/>
  <c r="AL474" i="23"/>
  <c r="AM474" i="23"/>
  <c r="AN474" i="23"/>
  <c r="AO474" i="23"/>
  <c r="AP474" i="23"/>
  <c r="AQ474" i="23"/>
  <c r="AR474" i="23"/>
  <c r="AS474" i="23"/>
  <c r="AT474" i="23"/>
  <c r="AU474" i="23"/>
  <c r="AV474" i="23"/>
  <c r="AW474" i="23"/>
  <c r="AX474" i="23"/>
  <c r="AY474" i="23"/>
  <c r="AZ474" i="23"/>
  <c r="BA474" i="23"/>
  <c r="BB474" i="23"/>
  <c r="BC474" i="23"/>
  <c r="BD474" i="23"/>
  <c r="BE474" i="23"/>
  <c r="BF474" i="23"/>
  <c r="BG474" i="23"/>
  <c r="BH474" i="23"/>
  <c r="BI474" i="23"/>
  <c r="BJ474" i="23"/>
  <c r="BK474" i="23"/>
  <c r="BL474" i="23"/>
  <c r="BM474" i="23"/>
  <c r="BN474" i="23"/>
  <c r="BO474" i="23"/>
  <c r="BP474" i="23"/>
  <c r="BQ474" i="23"/>
  <c r="BR474" i="23"/>
  <c r="BS474" i="23"/>
  <c r="BT474" i="23"/>
  <c r="B475" i="23"/>
  <c r="C475" i="23"/>
  <c r="D475" i="23"/>
  <c r="E475" i="23"/>
  <c r="F475" i="23"/>
  <c r="G475" i="23"/>
  <c r="H475" i="23"/>
  <c r="I475" i="23"/>
  <c r="J475" i="23"/>
  <c r="K475" i="23"/>
  <c r="L475" i="23"/>
  <c r="M475" i="23"/>
  <c r="N475" i="23"/>
  <c r="O475" i="23"/>
  <c r="P475" i="23"/>
  <c r="Q475" i="23"/>
  <c r="R475" i="23"/>
  <c r="S475" i="23"/>
  <c r="T475" i="23"/>
  <c r="U475" i="23"/>
  <c r="V475" i="23"/>
  <c r="W475" i="23"/>
  <c r="X475" i="23"/>
  <c r="Y475" i="23"/>
  <c r="Z475" i="23"/>
  <c r="AA475" i="23"/>
  <c r="AB475" i="23"/>
  <c r="AC475" i="23"/>
  <c r="AD475" i="23"/>
  <c r="AE475" i="23"/>
  <c r="AF475" i="23"/>
  <c r="AG475" i="23"/>
  <c r="AH475" i="23"/>
  <c r="AI475" i="23"/>
  <c r="AJ475" i="23"/>
  <c r="AK475" i="23"/>
  <c r="AL475" i="23"/>
  <c r="AM475" i="23"/>
  <c r="AN475" i="23"/>
  <c r="AO475" i="23"/>
  <c r="AP475" i="23"/>
  <c r="AQ475" i="23"/>
  <c r="AR475" i="23"/>
  <c r="AS475" i="23"/>
  <c r="AT475" i="23"/>
  <c r="AU475" i="23"/>
  <c r="AV475" i="23"/>
  <c r="AW475" i="23"/>
  <c r="AX475" i="23"/>
  <c r="AY475" i="23"/>
  <c r="AZ475" i="23"/>
  <c r="BA475" i="23"/>
  <c r="BB475" i="23"/>
  <c r="BC475" i="23"/>
  <c r="BD475" i="23"/>
  <c r="BE475" i="23"/>
  <c r="BF475" i="23"/>
  <c r="BG475" i="23"/>
  <c r="BH475" i="23"/>
  <c r="BI475" i="23"/>
  <c r="BJ475" i="23"/>
  <c r="BK475" i="23"/>
  <c r="BL475" i="23"/>
  <c r="BM475" i="23"/>
  <c r="BN475" i="23"/>
  <c r="BO475" i="23"/>
  <c r="BP475" i="23"/>
  <c r="BQ475" i="23"/>
  <c r="BR475" i="23"/>
  <c r="BS475" i="23"/>
  <c r="BT475" i="23"/>
  <c r="B476" i="23"/>
  <c r="C476" i="23"/>
  <c r="D476" i="23"/>
  <c r="E476" i="23"/>
  <c r="F476" i="23"/>
  <c r="G476" i="23"/>
  <c r="H476" i="23"/>
  <c r="I476" i="23"/>
  <c r="J476" i="23"/>
  <c r="K476" i="23"/>
  <c r="L476" i="23"/>
  <c r="M476" i="23"/>
  <c r="N476" i="23"/>
  <c r="O476" i="23"/>
  <c r="P476" i="23"/>
  <c r="Q476" i="23"/>
  <c r="R476" i="23"/>
  <c r="S476" i="23"/>
  <c r="T476" i="23"/>
  <c r="U476" i="23"/>
  <c r="V476" i="23"/>
  <c r="W476" i="23"/>
  <c r="X476" i="23"/>
  <c r="Y476" i="23"/>
  <c r="Z476" i="23"/>
  <c r="AA476" i="23"/>
  <c r="AB476" i="23"/>
  <c r="AC476" i="23"/>
  <c r="AD476" i="23"/>
  <c r="AE476" i="23"/>
  <c r="AF476" i="23"/>
  <c r="AG476" i="23"/>
  <c r="AH476" i="23"/>
  <c r="AI476" i="23"/>
  <c r="AJ476" i="23"/>
  <c r="AK476" i="23"/>
  <c r="AL476" i="23"/>
  <c r="AM476" i="23"/>
  <c r="AN476" i="23"/>
  <c r="AO476" i="23"/>
  <c r="AP476" i="23"/>
  <c r="AQ476" i="23"/>
  <c r="AR476" i="23"/>
  <c r="AS476" i="23"/>
  <c r="AT476" i="23"/>
  <c r="AU476" i="23"/>
  <c r="AV476" i="23"/>
  <c r="AW476" i="23"/>
  <c r="AX476" i="23"/>
  <c r="AY476" i="23"/>
  <c r="AZ476" i="23"/>
  <c r="BA476" i="23"/>
  <c r="BB476" i="23"/>
  <c r="BC476" i="23"/>
  <c r="BD476" i="23"/>
  <c r="BE476" i="23"/>
  <c r="BF476" i="23"/>
  <c r="BG476" i="23"/>
  <c r="BH476" i="23"/>
  <c r="BI476" i="23"/>
  <c r="BJ476" i="23"/>
  <c r="BK476" i="23"/>
  <c r="BL476" i="23"/>
  <c r="BM476" i="23"/>
  <c r="BN476" i="23"/>
  <c r="BO476" i="23"/>
  <c r="BP476" i="23"/>
  <c r="BQ476" i="23"/>
  <c r="BR476" i="23"/>
  <c r="BS476" i="23"/>
  <c r="BT476" i="23"/>
  <c r="B477" i="23"/>
  <c r="C477" i="23"/>
  <c r="D477" i="23"/>
  <c r="E477" i="23"/>
  <c r="F477" i="23"/>
  <c r="G477" i="23"/>
  <c r="H477" i="23"/>
  <c r="I477" i="23"/>
  <c r="J477" i="23"/>
  <c r="K477" i="23"/>
  <c r="L477" i="23"/>
  <c r="M477" i="23"/>
  <c r="N477" i="23"/>
  <c r="O477" i="23"/>
  <c r="P477" i="23"/>
  <c r="Q477" i="23"/>
  <c r="R477" i="23"/>
  <c r="S477" i="23"/>
  <c r="T477" i="23"/>
  <c r="U477" i="23"/>
  <c r="V477" i="23"/>
  <c r="W477" i="23"/>
  <c r="X477" i="23"/>
  <c r="Y477" i="23"/>
  <c r="Z477" i="23"/>
  <c r="AA477" i="23"/>
  <c r="AB477" i="23"/>
  <c r="AC477" i="23"/>
  <c r="AD477" i="23"/>
  <c r="AE477" i="23"/>
  <c r="AF477" i="23"/>
  <c r="AG477" i="23"/>
  <c r="AH477" i="23"/>
  <c r="AI477" i="23"/>
  <c r="AJ477" i="23"/>
  <c r="AK477" i="23"/>
  <c r="AL477" i="23"/>
  <c r="AM477" i="23"/>
  <c r="AN477" i="23"/>
  <c r="AO477" i="23"/>
  <c r="AP477" i="23"/>
  <c r="AQ477" i="23"/>
  <c r="AR477" i="23"/>
  <c r="AS477" i="23"/>
  <c r="AT477" i="23"/>
  <c r="AU477" i="23"/>
  <c r="AV477" i="23"/>
  <c r="AW477" i="23"/>
  <c r="AX477" i="23"/>
  <c r="AY477" i="23"/>
  <c r="AZ477" i="23"/>
  <c r="BA477" i="23"/>
  <c r="BB477" i="23"/>
  <c r="BC477" i="23"/>
  <c r="BD477" i="23"/>
  <c r="BE477" i="23"/>
  <c r="BF477" i="23"/>
  <c r="BG477" i="23"/>
  <c r="BH477" i="23"/>
  <c r="BI477" i="23"/>
  <c r="BJ477" i="23"/>
  <c r="BK477" i="23"/>
  <c r="BL477" i="23"/>
  <c r="BM477" i="23"/>
  <c r="BN477" i="23"/>
  <c r="BO477" i="23"/>
  <c r="BP477" i="23"/>
  <c r="BQ477" i="23"/>
  <c r="BR477" i="23"/>
  <c r="BS477" i="23"/>
  <c r="BT477" i="23"/>
  <c r="B478" i="23"/>
  <c r="C478" i="23"/>
  <c r="D478" i="23"/>
  <c r="E478" i="23"/>
  <c r="F478" i="23"/>
  <c r="G478" i="23"/>
  <c r="H478" i="23"/>
  <c r="I478" i="23"/>
  <c r="J478" i="23"/>
  <c r="K478" i="23"/>
  <c r="L478" i="23"/>
  <c r="M478" i="23"/>
  <c r="N478" i="23"/>
  <c r="O478" i="23"/>
  <c r="P478" i="23"/>
  <c r="Q478" i="23"/>
  <c r="R478" i="23"/>
  <c r="S478" i="23"/>
  <c r="T478" i="23"/>
  <c r="U478" i="23"/>
  <c r="V478" i="23"/>
  <c r="W478" i="23"/>
  <c r="X478" i="23"/>
  <c r="Y478" i="23"/>
  <c r="Z478" i="23"/>
  <c r="AA478" i="23"/>
  <c r="AB478" i="23"/>
  <c r="AC478" i="23"/>
  <c r="AD478" i="23"/>
  <c r="AE478" i="23"/>
  <c r="AF478" i="23"/>
  <c r="AG478" i="23"/>
  <c r="AH478" i="23"/>
  <c r="AI478" i="23"/>
  <c r="AJ478" i="23"/>
  <c r="AK478" i="23"/>
  <c r="AL478" i="23"/>
  <c r="AM478" i="23"/>
  <c r="AN478" i="23"/>
  <c r="AO478" i="23"/>
  <c r="AP478" i="23"/>
  <c r="AQ478" i="23"/>
  <c r="AR478" i="23"/>
  <c r="AS478" i="23"/>
  <c r="AT478" i="23"/>
  <c r="AU478" i="23"/>
  <c r="AV478" i="23"/>
  <c r="AW478" i="23"/>
  <c r="AX478" i="23"/>
  <c r="AY478" i="23"/>
  <c r="AZ478" i="23"/>
  <c r="BA478" i="23"/>
  <c r="BB478" i="23"/>
  <c r="BC478" i="23"/>
  <c r="BD478" i="23"/>
  <c r="BE478" i="23"/>
  <c r="BF478" i="23"/>
  <c r="BG478" i="23"/>
  <c r="BH478" i="23"/>
  <c r="BI478" i="23"/>
  <c r="BJ478" i="23"/>
  <c r="BK478" i="23"/>
  <c r="BL478" i="23"/>
  <c r="BM478" i="23"/>
  <c r="BN478" i="23"/>
  <c r="BO478" i="23"/>
  <c r="BP478" i="23"/>
  <c r="BQ478" i="23"/>
  <c r="BR478" i="23"/>
  <c r="BS478" i="23"/>
  <c r="BT478" i="23"/>
  <c r="B479" i="23"/>
  <c r="C479" i="23"/>
  <c r="D479" i="23"/>
  <c r="E479" i="23"/>
  <c r="F479" i="23"/>
  <c r="G479" i="23"/>
  <c r="H479" i="23"/>
  <c r="I479" i="23"/>
  <c r="J479" i="23"/>
  <c r="K479" i="23"/>
  <c r="L479" i="23"/>
  <c r="M479" i="23"/>
  <c r="N479" i="23"/>
  <c r="O479" i="23"/>
  <c r="P479" i="23"/>
  <c r="Q479" i="23"/>
  <c r="R479" i="23"/>
  <c r="S479" i="23"/>
  <c r="T479" i="23"/>
  <c r="U479" i="23"/>
  <c r="V479" i="23"/>
  <c r="W479" i="23"/>
  <c r="X479" i="23"/>
  <c r="Y479" i="23"/>
  <c r="Z479" i="23"/>
  <c r="AA479" i="23"/>
  <c r="AB479" i="23"/>
  <c r="AC479" i="23"/>
  <c r="AD479" i="23"/>
  <c r="AE479" i="23"/>
  <c r="AF479" i="23"/>
  <c r="AG479" i="23"/>
  <c r="AH479" i="23"/>
  <c r="AI479" i="23"/>
  <c r="AJ479" i="23"/>
  <c r="AK479" i="23"/>
  <c r="AL479" i="23"/>
  <c r="AM479" i="23"/>
  <c r="AN479" i="23"/>
  <c r="AO479" i="23"/>
  <c r="AP479" i="23"/>
  <c r="AQ479" i="23"/>
  <c r="AR479" i="23"/>
  <c r="AS479" i="23"/>
  <c r="AT479" i="23"/>
  <c r="AU479" i="23"/>
  <c r="AV479" i="23"/>
  <c r="AW479" i="23"/>
  <c r="AX479" i="23"/>
  <c r="AY479" i="23"/>
  <c r="AZ479" i="23"/>
  <c r="BA479" i="23"/>
  <c r="BB479" i="23"/>
  <c r="BC479" i="23"/>
  <c r="BD479" i="23"/>
  <c r="BE479" i="23"/>
  <c r="BF479" i="23"/>
  <c r="BG479" i="23"/>
  <c r="BH479" i="23"/>
  <c r="BI479" i="23"/>
  <c r="BJ479" i="23"/>
  <c r="BK479" i="23"/>
  <c r="BL479" i="23"/>
  <c r="BM479" i="23"/>
  <c r="BN479" i="23"/>
  <c r="BO479" i="23"/>
  <c r="BP479" i="23"/>
  <c r="BQ479" i="23"/>
  <c r="BR479" i="23"/>
  <c r="BS479" i="23"/>
  <c r="BT479" i="23"/>
  <c r="B480" i="23"/>
  <c r="C480" i="23"/>
  <c r="D480" i="23"/>
  <c r="E480" i="23"/>
  <c r="F480" i="23"/>
  <c r="G480" i="23"/>
  <c r="H480" i="23"/>
  <c r="I480" i="23"/>
  <c r="J480" i="23"/>
  <c r="K480" i="23"/>
  <c r="L480" i="23"/>
  <c r="M480" i="23"/>
  <c r="N480" i="23"/>
  <c r="O480" i="23"/>
  <c r="P480" i="23"/>
  <c r="Q480" i="23"/>
  <c r="R480" i="23"/>
  <c r="S480" i="23"/>
  <c r="T480" i="23"/>
  <c r="U480" i="23"/>
  <c r="V480" i="23"/>
  <c r="W480" i="23"/>
  <c r="X480" i="23"/>
  <c r="Y480" i="23"/>
  <c r="Z480" i="23"/>
  <c r="AA480" i="23"/>
  <c r="AB480" i="23"/>
  <c r="AC480" i="23"/>
  <c r="AD480" i="23"/>
  <c r="AE480" i="23"/>
  <c r="AF480" i="23"/>
  <c r="AG480" i="23"/>
  <c r="AH480" i="23"/>
  <c r="AI480" i="23"/>
  <c r="AJ480" i="23"/>
  <c r="AK480" i="23"/>
  <c r="AL480" i="23"/>
  <c r="AM480" i="23"/>
  <c r="AN480" i="23"/>
  <c r="AO480" i="23"/>
  <c r="AP480" i="23"/>
  <c r="AQ480" i="23"/>
  <c r="AR480" i="23"/>
  <c r="AS480" i="23"/>
  <c r="AT480" i="23"/>
  <c r="AU480" i="23"/>
  <c r="AV480" i="23"/>
  <c r="AW480" i="23"/>
  <c r="AX480" i="23"/>
  <c r="AY480" i="23"/>
  <c r="AZ480" i="23"/>
  <c r="BA480" i="23"/>
  <c r="BB480" i="23"/>
  <c r="BC480" i="23"/>
  <c r="BD480" i="23"/>
  <c r="BE480" i="23"/>
  <c r="BF480" i="23"/>
  <c r="BG480" i="23"/>
  <c r="BH480" i="23"/>
  <c r="BI480" i="23"/>
  <c r="BJ480" i="23"/>
  <c r="BK480" i="23"/>
  <c r="BL480" i="23"/>
  <c r="BM480" i="23"/>
  <c r="BN480" i="23"/>
  <c r="BO480" i="23"/>
  <c r="BP480" i="23"/>
  <c r="BQ480" i="23"/>
  <c r="BR480" i="23"/>
  <c r="BS480" i="23"/>
  <c r="BT480" i="23"/>
  <c r="B481" i="23"/>
  <c r="C481" i="23"/>
  <c r="D481" i="23"/>
  <c r="E481" i="23"/>
  <c r="F481" i="23"/>
  <c r="G481" i="23"/>
  <c r="H481" i="23"/>
  <c r="I481" i="23"/>
  <c r="J481" i="23"/>
  <c r="K481" i="23"/>
  <c r="L481" i="23"/>
  <c r="M481" i="23"/>
  <c r="N481" i="23"/>
  <c r="O481" i="23"/>
  <c r="P481" i="23"/>
  <c r="Q481" i="23"/>
  <c r="R481" i="23"/>
  <c r="S481" i="23"/>
  <c r="T481" i="23"/>
  <c r="U481" i="23"/>
  <c r="V481" i="23"/>
  <c r="W481" i="23"/>
  <c r="X481" i="23"/>
  <c r="Y481" i="23"/>
  <c r="Z481" i="23"/>
  <c r="AA481" i="23"/>
  <c r="AB481" i="23"/>
  <c r="AC481" i="23"/>
  <c r="AD481" i="23"/>
  <c r="AE481" i="23"/>
  <c r="AF481" i="23"/>
  <c r="AG481" i="23"/>
  <c r="AH481" i="23"/>
  <c r="AI481" i="23"/>
  <c r="AJ481" i="23"/>
  <c r="AK481" i="23"/>
  <c r="AL481" i="23"/>
  <c r="AM481" i="23"/>
  <c r="AN481" i="23"/>
  <c r="AO481" i="23"/>
  <c r="AP481" i="23"/>
  <c r="AQ481" i="23"/>
  <c r="AR481" i="23"/>
  <c r="AS481" i="23"/>
  <c r="AT481" i="23"/>
  <c r="AU481" i="23"/>
  <c r="AV481" i="23"/>
  <c r="AW481" i="23"/>
  <c r="AX481" i="23"/>
  <c r="AY481" i="23"/>
  <c r="AZ481" i="23"/>
  <c r="BA481" i="23"/>
  <c r="BB481" i="23"/>
  <c r="BC481" i="23"/>
  <c r="BD481" i="23"/>
  <c r="BE481" i="23"/>
  <c r="BF481" i="23"/>
  <c r="BG481" i="23"/>
  <c r="BH481" i="23"/>
  <c r="BI481" i="23"/>
  <c r="BJ481" i="23"/>
  <c r="BK481" i="23"/>
  <c r="BL481" i="23"/>
  <c r="BM481" i="23"/>
  <c r="BN481" i="23"/>
  <c r="BO481" i="23"/>
  <c r="BP481" i="23"/>
  <c r="BQ481" i="23"/>
  <c r="BR481" i="23"/>
  <c r="BS481" i="23"/>
  <c r="BT481" i="23"/>
  <c r="B482" i="23"/>
  <c r="C482" i="23"/>
  <c r="D482" i="23"/>
  <c r="E482" i="23"/>
  <c r="F482" i="23"/>
  <c r="G482" i="23"/>
  <c r="H482" i="23"/>
  <c r="I482" i="23"/>
  <c r="J482" i="23"/>
  <c r="K482" i="23"/>
  <c r="L482" i="23"/>
  <c r="M482" i="23"/>
  <c r="N482" i="23"/>
  <c r="O482" i="23"/>
  <c r="P482" i="23"/>
  <c r="Q482" i="23"/>
  <c r="R482" i="23"/>
  <c r="S482" i="23"/>
  <c r="T482" i="23"/>
  <c r="U482" i="23"/>
  <c r="V482" i="23"/>
  <c r="W482" i="23"/>
  <c r="X482" i="23"/>
  <c r="Y482" i="23"/>
  <c r="Z482" i="23"/>
  <c r="AA482" i="23"/>
  <c r="AB482" i="23"/>
  <c r="AC482" i="23"/>
  <c r="AD482" i="23"/>
  <c r="AE482" i="23"/>
  <c r="AF482" i="23"/>
  <c r="AG482" i="23"/>
  <c r="AH482" i="23"/>
  <c r="AI482" i="23"/>
  <c r="AJ482" i="23"/>
  <c r="AK482" i="23"/>
  <c r="AL482" i="23"/>
  <c r="AM482" i="23"/>
  <c r="AN482" i="23"/>
  <c r="AO482" i="23"/>
  <c r="AP482" i="23"/>
  <c r="AQ482" i="23"/>
  <c r="AR482" i="23"/>
  <c r="AS482" i="23"/>
  <c r="AT482" i="23"/>
  <c r="AU482" i="23"/>
  <c r="AV482" i="23"/>
  <c r="AW482" i="23"/>
  <c r="AX482" i="23"/>
  <c r="AY482" i="23"/>
  <c r="AZ482" i="23"/>
  <c r="BA482" i="23"/>
  <c r="BB482" i="23"/>
  <c r="BC482" i="23"/>
  <c r="BD482" i="23"/>
  <c r="BE482" i="23"/>
  <c r="BF482" i="23"/>
  <c r="BG482" i="23"/>
  <c r="BH482" i="23"/>
  <c r="BI482" i="23"/>
  <c r="BJ482" i="23"/>
  <c r="BK482" i="23"/>
  <c r="BL482" i="23"/>
  <c r="BM482" i="23"/>
  <c r="BN482" i="23"/>
  <c r="BO482" i="23"/>
  <c r="BP482" i="23"/>
  <c r="BQ482" i="23"/>
  <c r="BR482" i="23"/>
  <c r="BS482" i="23"/>
  <c r="BT482" i="23"/>
  <c r="B483" i="23"/>
  <c r="C483" i="23"/>
  <c r="D483" i="23"/>
  <c r="E483" i="23"/>
  <c r="F483" i="23"/>
  <c r="G483" i="23"/>
  <c r="H483" i="23"/>
  <c r="I483" i="23"/>
  <c r="J483" i="23"/>
  <c r="K483" i="23"/>
  <c r="L483" i="23"/>
  <c r="M483" i="23"/>
  <c r="N483" i="23"/>
  <c r="O483" i="23"/>
  <c r="P483" i="23"/>
  <c r="Q483" i="23"/>
  <c r="R483" i="23"/>
  <c r="S483" i="23"/>
  <c r="T483" i="23"/>
  <c r="U483" i="23"/>
  <c r="V483" i="23"/>
  <c r="W483" i="23"/>
  <c r="X483" i="23"/>
  <c r="Y483" i="23"/>
  <c r="Z483" i="23"/>
  <c r="AA483" i="23"/>
  <c r="AB483" i="23"/>
  <c r="AC483" i="23"/>
  <c r="AD483" i="23"/>
  <c r="AE483" i="23"/>
  <c r="AF483" i="23"/>
  <c r="AG483" i="23"/>
  <c r="AH483" i="23"/>
  <c r="AI483" i="23"/>
  <c r="AJ483" i="23"/>
  <c r="AK483" i="23"/>
  <c r="AL483" i="23"/>
  <c r="AM483" i="23"/>
  <c r="AN483" i="23"/>
  <c r="AO483" i="23"/>
  <c r="AP483" i="23"/>
  <c r="AQ483" i="23"/>
  <c r="AR483" i="23"/>
  <c r="AS483" i="23"/>
  <c r="AT483" i="23"/>
  <c r="AU483" i="23"/>
  <c r="AV483" i="23"/>
  <c r="AW483" i="23"/>
  <c r="AX483" i="23"/>
  <c r="AY483" i="23"/>
  <c r="AZ483" i="23"/>
  <c r="BA483" i="23"/>
  <c r="BB483" i="23"/>
  <c r="BC483" i="23"/>
  <c r="BD483" i="23"/>
  <c r="BE483" i="23"/>
  <c r="BF483" i="23"/>
  <c r="BG483" i="23"/>
  <c r="BH483" i="23"/>
  <c r="BI483" i="23"/>
  <c r="BJ483" i="23"/>
  <c r="BK483" i="23"/>
  <c r="BL483" i="23"/>
  <c r="BM483" i="23"/>
  <c r="BN483" i="23"/>
  <c r="BO483" i="23"/>
  <c r="BP483" i="23"/>
  <c r="BQ483" i="23"/>
  <c r="BR483" i="23"/>
  <c r="BS483" i="23"/>
  <c r="BT483" i="23"/>
  <c r="B484" i="23"/>
  <c r="C484" i="23"/>
  <c r="D484" i="23"/>
  <c r="E484" i="23"/>
  <c r="F484" i="23"/>
  <c r="G484" i="23"/>
  <c r="H484" i="23"/>
  <c r="I484" i="23"/>
  <c r="J484" i="23"/>
  <c r="K484" i="23"/>
  <c r="L484" i="23"/>
  <c r="M484" i="23"/>
  <c r="N484" i="23"/>
  <c r="O484" i="23"/>
  <c r="P484" i="23"/>
  <c r="Q484" i="23"/>
  <c r="R484" i="23"/>
  <c r="S484" i="23"/>
  <c r="T484" i="23"/>
  <c r="U484" i="23"/>
  <c r="V484" i="23"/>
  <c r="W484" i="23"/>
  <c r="X484" i="23"/>
  <c r="Y484" i="23"/>
  <c r="Z484" i="23"/>
  <c r="AA484" i="23"/>
  <c r="AB484" i="23"/>
  <c r="AC484" i="23"/>
  <c r="AD484" i="23"/>
  <c r="AE484" i="23"/>
  <c r="AF484" i="23"/>
  <c r="AG484" i="23"/>
  <c r="AH484" i="23"/>
  <c r="AI484" i="23"/>
  <c r="AJ484" i="23"/>
  <c r="AK484" i="23"/>
  <c r="AL484" i="23"/>
  <c r="AM484" i="23"/>
  <c r="AN484" i="23"/>
  <c r="AO484" i="23"/>
  <c r="AP484" i="23"/>
  <c r="AQ484" i="23"/>
  <c r="AR484" i="23"/>
  <c r="AS484" i="23"/>
  <c r="AT484" i="23"/>
  <c r="AU484" i="23"/>
  <c r="AV484" i="23"/>
  <c r="AW484" i="23"/>
  <c r="AX484" i="23"/>
  <c r="AY484" i="23"/>
  <c r="AZ484" i="23"/>
  <c r="BA484" i="23"/>
  <c r="BB484" i="23"/>
  <c r="BC484" i="23"/>
  <c r="BD484" i="23"/>
  <c r="BE484" i="23"/>
  <c r="BF484" i="23"/>
  <c r="BG484" i="23"/>
  <c r="BH484" i="23"/>
  <c r="BI484" i="23"/>
  <c r="BJ484" i="23"/>
  <c r="BK484" i="23"/>
  <c r="BL484" i="23"/>
  <c r="BM484" i="23"/>
  <c r="BN484" i="23"/>
  <c r="BO484" i="23"/>
  <c r="BP484" i="23"/>
  <c r="BQ484" i="23"/>
  <c r="BR484" i="23"/>
  <c r="BS484" i="23"/>
  <c r="BT484" i="23"/>
  <c r="B485" i="23"/>
  <c r="C485" i="23"/>
  <c r="D485" i="23"/>
  <c r="E485" i="23"/>
  <c r="F485" i="23"/>
  <c r="G485" i="23"/>
  <c r="H485" i="23"/>
  <c r="I485" i="23"/>
  <c r="J485" i="23"/>
  <c r="K485" i="23"/>
  <c r="L485" i="23"/>
  <c r="M485" i="23"/>
  <c r="N485" i="23"/>
  <c r="O485" i="23"/>
  <c r="P485" i="23"/>
  <c r="Q485" i="23"/>
  <c r="R485" i="23"/>
  <c r="S485" i="23"/>
  <c r="T485" i="23"/>
  <c r="U485" i="23"/>
  <c r="V485" i="23"/>
  <c r="W485" i="23"/>
  <c r="X485" i="23"/>
  <c r="Y485" i="23"/>
  <c r="Z485" i="23"/>
  <c r="AA485" i="23"/>
  <c r="AB485" i="23"/>
  <c r="AC485" i="23"/>
  <c r="AD485" i="23"/>
  <c r="AE485" i="23"/>
  <c r="AF485" i="23"/>
  <c r="AG485" i="23"/>
  <c r="AH485" i="23"/>
  <c r="AI485" i="23"/>
  <c r="AJ485" i="23"/>
  <c r="AK485" i="23"/>
  <c r="AL485" i="23"/>
  <c r="AM485" i="23"/>
  <c r="AN485" i="23"/>
  <c r="AO485" i="23"/>
  <c r="AP485" i="23"/>
  <c r="AQ485" i="23"/>
  <c r="AR485" i="23"/>
  <c r="AS485" i="23"/>
  <c r="AT485" i="23"/>
  <c r="AU485" i="23"/>
  <c r="AV485" i="23"/>
  <c r="AW485" i="23"/>
  <c r="AX485" i="23"/>
  <c r="AY485" i="23"/>
  <c r="AZ485" i="23"/>
  <c r="BA485" i="23"/>
  <c r="BB485" i="23"/>
  <c r="BC485" i="23"/>
  <c r="BD485" i="23"/>
  <c r="BE485" i="23"/>
  <c r="BF485" i="23"/>
  <c r="BG485" i="23"/>
  <c r="BH485" i="23"/>
  <c r="BI485" i="23"/>
  <c r="BJ485" i="23"/>
  <c r="BK485" i="23"/>
  <c r="BL485" i="23"/>
  <c r="BM485" i="23"/>
  <c r="BN485" i="23"/>
  <c r="BO485" i="23"/>
  <c r="BP485" i="23"/>
  <c r="BQ485" i="23"/>
  <c r="BR485" i="23"/>
  <c r="BS485" i="23"/>
  <c r="BT485" i="23"/>
  <c r="B486" i="23"/>
  <c r="C486" i="23"/>
  <c r="D486" i="23"/>
  <c r="E486" i="23"/>
  <c r="F486" i="23"/>
  <c r="G486" i="23"/>
  <c r="H486" i="23"/>
  <c r="I486" i="23"/>
  <c r="J486" i="23"/>
  <c r="K486" i="23"/>
  <c r="L486" i="23"/>
  <c r="M486" i="23"/>
  <c r="N486" i="23"/>
  <c r="O486" i="23"/>
  <c r="P486" i="23"/>
  <c r="Q486" i="23"/>
  <c r="R486" i="23"/>
  <c r="S486" i="23"/>
  <c r="T486" i="23"/>
  <c r="U486" i="23"/>
  <c r="V486" i="23"/>
  <c r="W486" i="23"/>
  <c r="X486" i="23"/>
  <c r="Y486" i="23"/>
  <c r="Z486" i="23"/>
  <c r="AA486" i="23"/>
  <c r="AB486" i="23"/>
  <c r="AC486" i="23"/>
  <c r="AD486" i="23"/>
  <c r="AE486" i="23"/>
  <c r="AF486" i="23"/>
  <c r="AG486" i="23"/>
  <c r="AH486" i="23"/>
  <c r="AI486" i="23"/>
  <c r="AJ486" i="23"/>
  <c r="AK486" i="23"/>
  <c r="AL486" i="23"/>
  <c r="AM486" i="23"/>
  <c r="AN486" i="23"/>
  <c r="AO486" i="23"/>
  <c r="AP486" i="23"/>
  <c r="AQ486" i="23"/>
  <c r="AR486" i="23"/>
  <c r="AS486" i="23"/>
  <c r="AT486" i="23"/>
  <c r="AU486" i="23"/>
  <c r="AV486" i="23"/>
  <c r="AW486" i="23"/>
  <c r="AX486" i="23"/>
  <c r="AY486" i="23"/>
  <c r="AZ486" i="23"/>
  <c r="BA486" i="23"/>
  <c r="BB486" i="23"/>
  <c r="BC486" i="23"/>
  <c r="BD486" i="23"/>
  <c r="BE486" i="23"/>
  <c r="BF486" i="23"/>
  <c r="BG486" i="23"/>
  <c r="BH486" i="23"/>
  <c r="BI486" i="23"/>
  <c r="BJ486" i="23"/>
  <c r="BK486" i="23"/>
  <c r="BL486" i="23"/>
  <c r="BM486" i="23"/>
  <c r="BN486" i="23"/>
  <c r="BO486" i="23"/>
  <c r="BP486" i="23"/>
  <c r="BQ486" i="23"/>
  <c r="BR486" i="23"/>
  <c r="BS486" i="23"/>
  <c r="BT486" i="23"/>
  <c r="B487" i="23"/>
  <c r="C487" i="23"/>
  <c r="D487" i="23"/>
  <c r="E487" i="23"/>
  <c r="F487" i="23"/>
  <c r="G487" i="23"/>
  <c r="H487" i="23"/>
  <c r="I487" i="23"/>
  <c r="J487" i="23"/>
  <c r="K487" i="23"/>
  <c r="L487" i="23"/>
  <c r="M487" i="23"/>
  <c r="N487" i="23"/>
  <c r="O487" i="23"/>
  <c r="P487" i="23"/>
  <c r="Q487" i="23"/>
  <c r="R487" i="23"/>
  <c r="S487" i="23"/>
  <c r="T487" i="23"/>
  <c r="U487" i="23"/>
  <c r="V487" i="23"/>
  <c r="W487" i="23"/>
  <c r="X487" i="23"/>
  <c r="Y487" i="23"/>
  <c r="Z487" i="23"/>
  <c r="AA487" i="23"/>
  <c r="AB487" i="23"/>
  <c r="AC487" i="23"/>
  <c r="AD487" i="23"/>
  <c r="AE487" i="23"/>
  <c r="AF487" i="23"/>
  <c r="AG487" i="23"/>
  <c r="AH487" i="23"/>
  <c r="AI487" i="23"/>
  <c r="AJ487" i="23"/>
  <c r="AK487" i="23"/>
  <c r="AL487" i="23"/>
  <c r="AM487" i="23"/>
  <c r="AN487" i="23"/>
  <c r="AO487" i="23"/>
  <c r="AP487" i="23"/>
  <c r="AQ487" i="23"/>
  <c r="AR487" i="23"/>
  <c r="AS487" i="23"/>
  <c r="AT487" i="23"/>
  <c r="AU487" i="23"/>
  <c r="AV487" i="23"/>
  <c r="AW487" i="23"/>
  <c r="AX487" i="23"/>
  <c r="AY487" i="23"/>
  <c r="AZ487" i="23"/>
  <c r="BA487" i="23"/>
  <c r="BB487" i="23"/>
  <c r="BC487" i="23"/>
  <c r="BD487" i="23"/>
  <c r="BE487" i="23"/>
  <c r="BF487" i="23"/>
  <c r="BG487" i="23"/>
  <c r="BH487" i="23"/>
  <c r="BI487" i="23"/>
  <c r="BJ487" i="23"/>
  <c r="BK487" i="23"/>
  <c r="BL487" i="23"/>
  <c r="BM487" i="23"/>
  <c r="BN487" i="23"/>
  <c r="BO487" i="23"/>
  <c r="BP487" i="23"/>
  <c r="BQ487" i="23"/>
  <c r="BR487" i="23"/>
  <c r="BS487" i="23"/>
  <c r="BT487" i="23"/>
  <c r="B488" i="23"/>
  <c r="C488" i="23"/>
  <c r="D488" i="23"/>
  <c r="E488" i="23"/>
  <c r="F488" i="23"/>
  <c r="G488" i="23"/>
  <c r="H488" i="23"/>
  <c r="I488" i="23"/>
  <c r="J488" i="23"/>
  <c r="K488" i="23"/>
  <c r="L488" i="23"/>
  <c r="M488" i="23"/>
  <c r="N488" i="23"/>
  <c r="O488" i="23"/>
  <c r="P488" i="23"/>
  <c r="Q488" i="23"/>
  <c r="R488" i="23"/>
  <c r="S488" i="23"/>
  <c r="T488" i="23"/>
  <c r="U488" i="23"/>
  <c r="V488" i="23"/>
  <c r="W488" i="23"/>
  <c r="X488" i="23"/>
  <c r="Y488" i="23"/>
  <c r="Z488" i="23"/>
  <c r="AA488" i="23"/>
  <c r="AB488" i="23"/>
  <c r="AC488" i="23"/>
  <c r="AD488" i="23"/>
  <c r="AE488" i="23"/>
  <c r="AF488" i="23"/>
  <c r="AG488" i="23"/>
  <c r="AH488" i="23"/>
  <c r="AI488" i="23"/>
  <c r="AJ488" i="23"/>
  <c r="AK488" i="23"/>
  <c r="AL488" i="23"/>
  <c r="AM488" i="23"/>
  <c r="AN488" i="23"/>
  <c r="AO488" i="23"/>
  <c r="AP488" i="23"/>
  <c r="AQ488" i="23"/>
  <c r="AR488" i="23"/>
  <c r="AS488" i="23"/>
  <c r="AT488" i="23"/>
  <c r="AU488" i="23"/>
  <c r="AV488" i="23"/>
  <c r="AW488" i="23"/>
  <c r="AX488" i="23"/>
  <c r="AY488" i="23"/>
  <c r="AZ488" i="23"/>
  <c r="BA488" i="23"/>
  <c r="BB488" i="23"/>
  <c r="BC488" i="23"/>
  <c r="BD488" i="23"/>
  <c r="BE488" i="23"/>
  <c r="BF488" i="23"/>
  <c r="BG488" i="23"/>
  <c r="BH488" i="23"/>
  <c r="BI488" i="23"/>
  <c r="BJ488" i="23"/>
  <c r="BK488" i="23"/>
  <c r="BL488" i="23"/>
  <c r="BM488" i="23"/>
  <c r="BN488" i="23"/>
  <c r="BO488" i="23"/>
  <c r="BP488" i="23"/>
  <c r="BQ488" i="23"/>
  <c r="BR488" i="23"/>
  <c r="BS488" i="23"/>
  <c r="BT488" i="23"/>
  <c r="B489" i="23"/>
  <c r="C489" i="23"/>
  <c r="D489" i="23"/>
  <c r="E489" i="23"/>
  <c r="F489" i="23"/>
  <c r="G489" i="23"/>
  <c r="H489" i="23"/>
  <c r="I489" i="23"/>
  <c r="J489" i="23"/>
  <c r="K489" i="23"/>
  <c r="L489" i="23"/>
  <c r="M489" i="23"/>
  <c r="N489" i="23"/>
  <c r="O489" i="23"/>
  <c r="P489" i="23"/>
  <c r="Q489" i="23"/>
  <c r="R489" i="23"/>
  <c r="S489" i="23"/>
  <c r="T489" i="23"/>
  <c r="U489" i="23"/>
  <c r="V489" i="23"/>
  <c r="W489" i="23"/>
  <c r="X489" i="23"/>
  <c r="Y489" i="23"/>
  <c r="Z489" i="23"/>
  <c r="AA489" i="23"/>
  <c r="AB489" i="23"/>
  <c r="AC489" i="23"/>
  <c r="AD489" i="23"/>
  <c r="AE489" i="23"/>
  <c r="AF489" i="23"/>
  <c r="AG489" i="23"/>
  <c r="AH489" i="23"/>
  <c r="AI489" i="23"/>
  <c r="AJ489" i="23"/>
  <c r="AK489" i="23"/>
  <c r="AL489" i="23"/>
  <c r="AM489" i="23"/>
  <c r="AN489" i="23"/>
  <c r="AO489" i="23"/>
  <c r="AP489" i="23"/>
  <c r="AQ489" i="23"/>
  <c r="AR489" i="23"/>
  <c r="AS489" i="23"/>
  <c r="AT489" i="23"/>
  <c r="AU489" i="23"/>
  <c r="AV489" i="23"/>
  <c r="AW489" i="23"/>
  <c r="AX489" i="23"/>
  <c r="AY489" i="23"/>
  <c r="AZ489" i="23"/>
  <c r="BA489" i="23"/>
  <c r="BB489" i="23"/>
  <c r="BC489" i="23"/>
  <c r="BD489" i="23"/>
  <c r="BE489" i="23"/>
  <c r="BF489" i="23"/>
  <c r="BG489" i="23"/>
  <c r="BH489" i="23"/>
  <c r="BI489" i="23"/>
  <c r="BJ489" i="23"/>
  <c r="BK489" i="23"/>
  <c r="BL489" i="23"/>
  <c r="BM489" i="23"/>
  <c r="BN489" i="23"/>
  <c r="BO489" i="23"/>
  <c r="BP489" i="23"/>
  <c r="BQ489" i="23"/>
  <c r="BR489" i="23"/>
  <c r="BS489" i="23"/>
  <c r="BT489" i="23"/>
  <c r="B490" i="23"/>
  <c r="C490" i="23"/>
  <c r="D490" i="23"/>
  <c r="E490" i="23"/>
  <c r="F490" i="23"/>
  <c r="G490" i="23"/>
  <c r="H490" i="23"/>
  <c r="I490" i="23"/>
  <c r="J490" i="23"/>
  <c r="K490" i="23"/>
  <c r="L490" i="23"/>
  <c r="M490" i="23"/>
  <c r="N490" i="23"/>
  <c r="O490" i="23"/>
  <c r="P490" i="23"/>
  <c r="Q490" i="23"/>
  <c r="R490" i="23"/>
  <c r="S490" i="23"/>
  <c r="T490" i="23"/>
  <c r="U490" i="23"/>
  <c r="V490" i="23"/>
  <c r="W490" i="23"/>
  <c r="X490" i="23"/>
  <c r="Y490" i="23"/>
  <c r="Z490" i="23"/>
  <c r="AA490" i="23"/>
  <c r="AB490" i="23"/>
  <c r="AC490" i="23"/>
  <c r="AD490" i="23"/>
  <c r="AE490" i="23"/>
  <c r="AF490" i="23"/>
  <c r="AG490" i="23"/>
  <c r="AH490" i="23"/>
  <c r="AI490" i="23"/>
  <c r="AJ490" i="23"/>
  <c r="AK490" i="23"/>
  <c r="AL490" i="23"/>
  <c r="AM490" i="23"/>
  <c r="AN490" i="23"/>
  <c r="AO490" i="23"/>
  <c r="AP490" i="23"/>
  <c r="AQ490" i="23"/>
  <c r="AR490" i="23"/>
  <c r="AS490" i="23"/>
  <c r="AT490" i="23"/>
  <c r="AU490" i="23"/>
  <c r="AV490" i="23"/>
  <c r="AW490" i="23"/>
  <c r="AX490" i="23"/>
  <c r="AY490" i="23"/>
  <c r="AZ490" i="23"/>
  <c r="BA490" i="23"/>
  <c r="BB490" i="23"/>
  <c r="BC490" i="23"/>
  <c r="BD490" i="23"/>
  <c r="BE490" i="23"/>
  <c r="BF490" i="23"/>
  <c r="BG490" i="23"/>
  <c r="BH490" i="23"/>
  <c r="BI490" i="23"/>
  <c r="BJ490" i="23"/>
  <c r="BK490" i="23"/>
  <c r="BL490" i="23"/>
  <c r="BM490" i="23"/>
  <c r="BN490" i="23"/>
  <c r="BO490" i="23"/>
  <c r="BP490" i="23"/>
  <c r="BQ490" i="23"/>
  <c r="BR490" i="23"/>
  <c r="BS490" i="23"/>
  <c r="BT490" i="23"/>
  <c r="B491" i="23"/>
  <c r="C491" i="23"/>
  <c r="D491" i="23"/>
  <c r="E491" i="23"/>
  <c r="F491" i="23"/>
  <c r="G491" i="23"/>
  <c r="H491" i="23"/>
  <c r="I491" i="23"/>
  <c r="J491" i="23"/>
  <c r="K491" i="23"/>
  <c r="L491" i="23"/>
  <c r="M491" i="23"/>
  <c r="N491" i="23"/>
  <c r="O491" i="23"/>
  <c r="P491" i="23"/>
  <c r="Q491" i="23"/>
  <c r="R491" i="23"/>
  <c r="S491" i="23"/>
  <c r="T491" i="23"/>
  <c r="U491" i="23"/>
  <c r="V491" i="23"/>
  <c r="W491" i="23"/>
  <c r="X491" i="23"/>
  <c r="Y491" i="23"/>
  <c r="Z491" i="23"/>
  <c r="AA491" i="23"/>
  <c r="AB491" i="23"/>
  <c r="AC491" i="23"/>
  <c r="AD491" i="23"/>
  <c r="AE491" i="23"/>
  <c r="AF491" i="23"/>
  <c r="AG491" i="23"/>
  <c r="AH491" i="23"/>
  <c r="AI491" i="23"/>
  <c r="AJ491" i="23"/>
  <c r="AK491" i="23"/>
  <c r="AL491" i="23"/>
  <c r="AM491" i="23"/>
  <c r="AN491" i="23"/>
  <c r="AO491" i="23"/>
  <c r="AP491" i="23"/>
  <c r="AQ491" i="23"/>
  <c r="AR491" i="23"/>
  <c r="AS491" i="23"/>
  <c r="AT491" i="23"/>
  <c r="AU491" i="23"/>
  <c r="AV491" i="23"/>
  <c r="AW491" i="23"/>
  <c r="AX491" i="23"/>
  <c r="AY491" i="23"/>
  <c r="AZ491" i="23"/>
  <c r="BA491" i="23"/>
  <c r="BB491" i="23"/>
  <c r="BC491" i="23"/>
  <c r="BD491" i="23"/>
  <c r="BE491" i="23"/>
  <c r="BF491" i="23"/>
  <c r="BG491" i="23"/>
  <c r="BH491" i="23"/>
  <c r="BI491" i="23"/>
  <c r="BJ491" i="23"/>
  <c r="BK491" i="23"/>
  <c r="BL491" i="23"/>
  <c r="BM491" i="23"/>
  <c r="BN491" i="23"/>
  <c r="BO491" i="23"/>
  <c r="BP491" i="23"/>
  <c r="BQ491" i="23"/>
  <c r="BR491" i="23"/>
  <c r="BS491" i="23"/>
  <c r="BT491" i="23"/>
  <c r="B492" i="23"/>
  <c r="C492" i="23"/>
  <c r="D492" i="23"/>
  <c r="E492" i="23"/>
  <c r="F492" i="23"/>
  <c r="G492" i="23"/>
  <c r="H492" i="23"/>
  <c r="I492" i="23"/>
  <c r="J492" i="23"/>
  <c r="K492" i="23"/>
  <c r="L492" i="23"/>
  <c r="M492" i="23"/>
  <c r="N492" i="23"/>
  <c r="O492" i="23"/>
  <c r="P492" i="23"/>
  <c r="Q492" i="23"/>
  <c r="R492" i="23"/>
  <c r="S492" i="23"/>
  <c r="T492" i="23"/>
  <c r="U492" i="23"/>
  <c r="V492" i="23"/>
  <c r="W492" i="23"/>
  <c r="X492" i="23"/>
  <c r="Y492" i="23"/>
  <c r="Z492" i="23"/>
  <c r="AA492" i="23"/>
  <c r="AB492" i="23"/>
  <c r="AC492" i="23"/>
  <c r="AD492" i="23"/>
  <c r="AE492" i="23"/>
  <c r="AF492" i="23"/>
  <c r="AG492" i="23"/>
  <c r="AH492" i="23"/>
  <c r="AI492" i="23"/>
  <c r="AJ492" i="23"/>
  <c r="AK492" i="23"/>
  <c r="AL492" i="23"/>
  <c r="AM492" i="23"/>
  <c r="AN492" i="23"/>
  <c r="AO492" i="23"/>
  <c r="AP492" i="23"/>
  <c r="AQ492" i="23"/>
  <c r="AR492" i="23"/>
  <c r="AS492" i="23"/>
  <c r="AT492" i="23"/>
  <c r="AU492" i="23"/>
  <c r="AV492" i="23"/>
  <c r="AW492" i="23"/>
  <c r="AX492" i="23"/>
  <c r="AY492" i="23"/>
  <c r="AZ492" i="23"/>
  <c r="BA492" i="23"/>
  <c r="BB492" i="23"/>
  <c r="BC492" i="23"/>
  <c r="BD492" i="23"/>
  <c r="BE492" i="23"/>
  <c r="BF492" i="23"/>
  <c r="BG492" i="23"/>
  <c r="BH492" i="23"/>
  <c r="BI492" i="23"/>
  <c r="BJ492" i="23"/>
  <c r="BK492" i="23"/>
  <c r="BL492" i="23"/>
  <c r="BM492" i="23"/>
  <c r="BN492" i="23"/>
  <c r="BO492" i="23"/>
  <c r="BP492" i="23"/>
  <c r="BQ492" i="23"/>
  <c r="BR492" i="23"/>
  <c r="BS492" i="23"/>
  <c r="BT492" i="23"/>
  <c r="B493" i="23"/>
  <c r="C493" i="23"/>
  <c r="D493" i="23"/>
  <c r="E493" i="23"/>
  <c r="F493" i="23"/>
  <c r="G493" i="23"/>
  <c r="H493" i="23"/>
  <c r="I493" i="23"/>
  <c r="J493" i="23"/>
  <c r="K493" i="23"/>
  <c r="L493" i="23"/>
  <c r="M493" i="23"/>
  <c r="N493" i="23"/>
  <c r="O493" i="23"/>
  <c r="P493" i="23"/>
  <c r="Q493" i="23"/>
  <c r="R493" i="23"/>
  <c r="S493" i="23"/>
  <c r="T493" i="23"/>
  <c r="U493" i="23"/>
  <c r="V493" i="23"/>
  <c r="W493" i="23"/>
  <c r="X493" i="23"/>
  <c r="Y493" i="23"/>
  <c r="Z493" i="23"/>
  <c r="AA493" i="23"/>
  <c r="AB493" i="23"/>
  <c r="AC493" i="23"/>
  <c r="AD493" i="23"/>
  <c r="AE493" i="23"/>
  <c r="AF493" i="23"/>
  <c r="AG493" i="23"/>
  <c r="AH493" i="23"/>
  <c r="AI493" i="23"/>
  <c r="AJ493" i="23"/>
  <c r="AK493" i="23"/>
  <c r="AL493" i="23"/>
  <c r="AM493" i="23"/>
  <c r="AN493" i="23"/>
  <c r="AO493" i="23"/>
  <c r="AP493" i="23"/>
  <c r="AQ493" i="23"/>
  <c r="AR493" i="23"/>
  <c r="AS493" i="23"/>
  <c r="AT493" i="23"/>
  <c r="AU493" i="23"/>
  <c r="AV493" i="23"/>
  <c r="AW493" i="23"/>
  <c r="AX493" i="23"/>
  <c r="AY493" i="23"/>
  <c r="AZ493" i="23"/>
  <c r="BA493" i="23"/>
  <c r="BB493" i="23"/>
  <c r="BC493" i="23"/>
  <c r="BD493" i="23"/>
  <c r="BE493" i="23"/>
  <c r="BF493" i="23"/>
  <c r="BG493" i="23"/>
  <c r="BH493" i="23"/>
  <c r="BI493" i="23"/>
  <c r="BJ493" i="23"/>
  <c r="BK493" i="23"/>
  <c r="BL493" i="23"/>
  <c r="BM493" i="23"/>
  <c r="BN493" i="23"/>
  <c r="BO493" i="23"/>
  <c r="BP493" i="23"/>
  <c r="BQ493" i="23"/>
  <c r="BR493" i="23"/>
  <c r="BS493" i="23"/>
  <c r="BT493" i="23"/>
  <c r="B494" i="23"/>
  <c r="C494" i="23"/>
  <c r="D494" i="23"/>
  <c r="E494" i="23"/>
  <c r="F494" i="23"/>
  <c r="G494" i="23"/>
  <c r="H494" i="23"/>
  <c r="I494" i="23"/>
  <c r="J494" i="23"/>
  <c r="K494" i="23"/>
  <c r="L494" i="23"/>
  <c r="M494" i="23"/>
  <c r="N494" i="23"/>
  <c r="O494" i="23"/>
  <c r="P494" i="23"/>
  <c r="Q494" i="23"/>
  <c r="R494" i="23"/>
  <c r="S494" i="23"/>
  <c r="T494" i="23"/>
  <c r="U494" i="23"/>
  <c r="V494" i="23"/>
  <c r="W494" i="23"/>
  <c r="X494" i="23"/>
  <c r="Y494" i="23"/>
  <c r="Z494" i="23"/>
  <c r="AA494" i="23"/>
  <c r="AB494" i="23"/>
  <c r="AC494" i="23"/>
  <c r="AD494" i="23"/>
  <c r="AE494" i="23"/>
  <c r="AF494" i="23"/>
  <c r="AG494" i="23"/>
  <c r="AH494" i="23"/>
  <c r="AI494" i="23"/>
  <c r="AJ494" i="23"/>
  <c r="AK494" i="23"/>
  <c r="AL494" i="23"/>
  <c r="AM494" i="23"/>
  <c r="AN494" i="23"/>
  <c r="AO494" i="23"/>
  <c r="AP494" i="23"/>
  <c r="AQ494" i="23"/>
  <c r="AR494" i="23"/>
  <c r="AS494" i="23"/>
  <c r="AT494" i="23"/>
  <c r="AU494" i="23"/>
  <c r="AV494" i="23"/>
  <c r="AW494" i="23"/>
  <c r="AX494" i="23"/>
  <c r="AY494" i="23"/>
  <c r="AZ494" i="23"/>
  <c r="BA494" i="23"/>
  <c r="BB494" i="23"/>
  <c r="BC494" i="23"/>
  <c r="BD494" i="23"/>
  <c r="BE494" i="23"/>
  <c r="BF494" i="23"/>
  <c r="BG494" i="23"/>
  <c r="BH494" i="23"/>
  <c r="BI494" i="23"/>
  <c r="BJ494" i="23"/>
  <c r="BK494" i="23"/>
  <c r="BL494" i="23"/>
  <c r="BM494" i="23"/>
  <c r="BN494" i="23"/>
  <c r="BO494" i="23"/>
  <c r="BP494" i="23"/>
  <c r="BQ494" i="23"/>
  <c r="BR494" i="23"/>
  <c r="BS494" i="23"/>
  <c r="BT494" i="23"/>
  <c r="B495" i="23"/>
  <c r="C495" i="23"/>
  <c r="D495" i="23"/>
  <c r="E495" i="23"/>
  <c r="F495" i="23"/>
  <c r="G495" i="23"/>
  <c r="H495" i="23"/>
  <c r="I495" i="23"/>
  <c r="J495" i="23"/>
  <c r="K495" i="23"/>
  <c r="L495" i="23"/>
  <c r="M495" i="23"/>
  <c r="N495" i="23"/>
  <c r="O495" i="23"/>
  <c r="P495" i="23"/>
  <c r="Q495" i="23"/>
  <c r="R495" i="23"/>
  <c r="S495" i="23"/>
  <c r="T495" i="23"/>
  <c r="U495" i="23"/>
  <c r="V495" i="23"/>
  <c r="W495" i="23"/>
  <c r="X495" i="23"/>
  <c r="Y495" i="23"/>
  <c r="Z495" i="23"/>
  <c r="AA495" i="23"/>
  <c r="AB495" i="23"/>
  <c r="AC495" i="23"/>
  <c r="AD495" i="23"/>
  <c r="AE495" i="23"/>
  <c r="AF495" i="23"/>
  <c r="AG495" i="23"/>
  <c r="AH495" i="23"/>
  <c r="AI495" i="23"/>
  <c r="AJ495" i="23"/>
  <c r="AK495" i="23"/>
  <c r="AL495" i="23"/>
  <c r="AM495" i="23"/>
  <c r="AN495" i="23"/>
  <c r="AO495" i="23"/>
  <c r="AP495" i="23"/>
  <c r="AQ495" i="23"/>
  <c r="AR495" i="23"/>
  <c r="AS495" i="23"/>
  <c r="AT495" i="23"/>
  <c r="AU495" i="23"/>
  <c r="AV495" i="23"/>
  <c r="AW495" i="23"/>
  <c r="AX495" i="23"/>
  <c r="AY495" i="23"/>
  <c r="AZ495" i="23"/>
  <c r="BA495" i="23"/>
  <c r="BB495" i="23"/>
  <c r="BC495" i="23"/>
  <c r="BD495" i="23"/>
  <c r="BE495" i="23"/>
  <c r="BF495" i="23"/>
  <c r="BG495" i="23"/>
  <c r="BH495" i="23"/>
  <c r="BI495" i="23"/>
  <c r="BJ495" i="23"/>
  <c r="BK495" i="23"/>
  <c r="BL495" i="23"/>
  <c r="BM495" i="23"/>
  <c r="BN495" i="23"/>
  <c r="BO495" i="23"/>
  <c r="BP495" i="23"/>
  <c r="BQ495" i="23"/>
  <c r="BR495" i="23"/>
  <c r="BS495" i="23"/>
  <c r="BT495" i="23"/>
  <c r="B496" i="23"/>
  <c r="C496" i="23"/>
  <c r="D496" i="23"/>
  <c r="E496" i="23"/>
  <c r="F496" i="23"/>
  <c r="G496" i="23"/>
  <c r="H496" i="23"/>
  <c r="I496" i="23"/>
  <c r="J496" i="23"/>
  <c r="K496" i="23"/>
  <c r="L496" i="23"/>
  <c r="M496" i="23"/>
  <c r="N496" i="23"/>
  <c r="O496" i="23"/>
  <c r="P496" i="23"/>
  <c r="Q496" i="23"/>
  <c r="R496" i="23"/>
  <c r="S496" i="23"/>
  <c r="T496" i="23"/>
  <c r="U496" i="23"/>
  <c r="V496" i="23"/>
  <c r="W496" i="23"/>
  <c r="X496" i="23"/>
  <c r="Y496" i="23"/>
  <c r="Z496" i="23"/>
  <c r="AA496" i="23"/>
  <c r="AB496" i="23"/>
  <c r="AC496" i="23"/>
  <c r="AD496" i="23"/>
  <c r="AE496" i="23"/>
  <c r="AF496" i="23"/>
  <c r="AG496" i="23"/>
  <c r="AH496" i="23"/>
  <c r="AI496" i="23"/>
  <c r="AJ496" i="23"/>
  <c r="AK496" i="23"/>
  <c r="AL496" i="23"/>
  <c r="AM496" i="23"/>
  <c r="AN496" i="23"/>
  <c r="AO496" i="23"/>
  <c r="AP496" i="23"/>
  <c r="AQ496" i="23"/>
  <c r="AR496" i="23"/>
  <c r="AS496" i="23"/>
  <c r="AT496" i="23"/>
  <c r="AU496" i="23"/>
  <c r="AV496" i="23"/>
  <c r="AW496" i="23"/>
  <c r="AX496" i="23"/>
  <c r="AY496" i="23"/>
  <c r="AZ496" i="23"/>
  <c r="BA496" i="23"/>
  <c r="BB496" i="23"/>
  <c r="BC496" i="23"/>
  <c r="BD496" i="23"/>
  <c r="BE496" i="23"/>
  <c r="BF496" i="23"/>
  <c r="BG496" i="23"/>
  <c r="BH496" i="23"/>
  <c r="BI496" i="23"/>
  <c r="BJ496" i="23"/>
  <c r="BK496" i="23"/>
  <c r="BL496" i="23"/>
  <c r="BM496" i="23"/>
  <c r="BN496" i="23"/>
  <c r="BO496" i="23"/>
  <c r="BP496" i="23"/>
  <c r="BQ496" i="23"/>
  <c r="BR496" i="23"/>
  <c r="BS496" i="23"/>
  <c r="BT496" i="23"/>
  <c r="B497" i="23"/>
  <c r="C497" i="23"/>
  <c r="D497" i="23"/>
  <c r="E497" i="23"/>
  <c r="F497" i="23"/>
  <c r="G497" i="23"/>
  <c r="H497" i="23"/>
  <c r="I497" i="23"/>
  <c r="J497" i="23"/>
  <c r="K497" i="23"/>
  <c r="L497" i="23"/>
  <c r="M497" i="23"/>
  <c r="N497" i="23"/>
  <c r="O497" i="23"/>
  <c r="P497" i="23"/>
  <c r="Q497" i="23"/>
  <c r="R497" i="23"/>
  <c r="S497" i="23"/>
  <c r="T497" i="23"/>
  <c r="U497" i="23"/>
  <c r="V497" i="23"/>
  <c r="W497" i="23"/>
  <c r="X497" i="23"/>
  <c r="Y497" i="23"/>
  <c r="Z497" i="23"/>
  <c r="AA497" i="23"/>
  <c r="AB497" i="23"/>
  <c r="AC497" i="23"/>
  <c r="AD497" i="23"/>
  <c r="AE497" i="23"/>
  <c r="AF497" i="23"/>
  <c r="AG497" i="23"/>
  <c r="AH497" i="23"/>
  <c r="AI497" i="23"/>
  <c r="AJ497" i="23"/>
  <c r="AK497" i="23"/>
  <c r="AL497" i="23"/>
  <c r="AM497" i="23"/>
  <c r="AN497" i="23"/>
  <c r="AO497" i="23"/>
  <c r="AP497" i="23"/>
  <c r="AQ497" i="23"/>
  <c r="AR497" i="23"/>
  <c r="AS497" i="23"/>
  <c r="AT497" i="23"/>
  <c r="AU497" i="23"/>
  <c r="AV497" i="23"/>
  <c r="AW497" i="23"/>
  <c r="AX497" i="23"/>
  <c r="AY497" i="23"/>
  <c r="AZ497" i="23"/>
  <c r="BA497" i="23"/>
  <c r="BB497" i="23"/>
  <c r="BC497" i="23"/>
  <c r="BD497" i="23"/>
  <c r="BE497" i="23"/>
  <c r="BF497" i="23"/>
  <c r="BG497" i="23"/>
  <c r="BH497" i="23"/>
  <c r="BI497" i="23"/>
  <c r="BJ497" i="23"/>
  <c r="BK497" i="23"/>
  <c r="BL497" i="23"/>
  <c r="BM497" i="23"/>
  <c r="BN497" i="23"/>
  <c r="BO497" i="23"/>
  <c r="BP497" i="23"/>
  <c r="BQ497" i="23"/>
  <c r="BR497" i="23"/>
  <c r="BS497" i="23"/>
  <c r="BT497" i="23"/>
  <c r="B498" i="23"/>
  <c r="C498" i="23"/>
  <c r="D498" i="23"/>
  <c r="E498" i="23"/>
  <c r="F498" i="23"/>
  <c r="G498" i="23"/>
  <c r="H498" i="23"/>
  <c r="I498" i="23"/>
  <c r="J498" i="23"/>
  <c r="K498" i="23"/>
  <c r="L498" i="23"/>
  <c r="M498" i="23"/>
  <c r="N498" i="23"/>
  <c r="O498" i="23"/>
  <c r="P498" i="23"/>
  <c r="Q498" i="23"/>
  <c r="R498" i="23"/>
  <c r="S498" i="23"/>
  <c r="T498" i="23"/>
  <c r="U498" i="23"/>
  <c r="V498" i="23"/>
  <c r="W498" i="23"/>
  <c r="X498" i="23"/>
  <c r="Y498" i="23"/>
  <c r="Z498" i="23"/>
  <c r="AA498" i="23"/>
  <c r="AB498" i="23"/>
  <c r="AC498" i="23"/>
  <c r="AD498" i="23"/>
  <c r="AE498" i="23"/>
  <c r="AF498" i="23"/>
  <c r="AG498" i="23"/>
  <c r="AH498" i="23"/>
  <c r="AI498" i="23"/>
  <c r="AJ498" i="23"/>
  <c r="AK498" i="23"/>
  <c r="AL498" i="23"/>
  <c r="AM498" i="23"/>
  <c r="AN498" i="23"/>
  <c r="AO498" i="23"/>
  <c r="AP498" i="23"/>
  <c r="AQ498" i="23"/>
  <c r="AR498" i="23"/>
  <c r="AS498" i="23"/>
  <c r="AT498" i="23"/>
  <c r="AU498" i="23"/>
  <c r="AV498" i="23"/>
  <c r="AW498" i="23"/>
  <c r="AX498" i="23"/>
  <c r="AY498" i="23"/>
  <c r="AZ498" i="23"/>
  <c r="BA498" i="23"/>
  <c r="BB498" i="23"/>
  <c r="BC498" i="23"/>
  <c r="BD498" i="23"/>
  <c r="BE498" i="23"/>
  <c r="BF498" i="23"/>
  <c r="BG498" i="23"/>
  <c r="BH498" i="23"/>
  <c r="BI498" i="23"/>
  <c r="BJ498" i="23"/>
  <c r="BK498" i="23"/>
  <c r="BL498" i="23"/>
  <c r="BM498" i="23"/>
  <c r="BN498" i="23"/>
  <c r="BO498" i="23"/>
  <c r="BP498" i="23"/>
  <c r="BQ498" i="23"/>
  <c r="BR498" i="23"/>
  <c r="BS498" i="23"/>
  <c r="BT498" i="23"/>
  <c r="B499" i="23"/>
  <c r="C499" i="23"/>
  <c r="D499" i="23"/>
  <c r="E499" i="23"/>
  <c r="F499" i="23"/>
  <c r="G499" i="23"/>
  <c r="H499" i="23"/>
  <c r="I499" i="23"/>
  <c r="J499" i="23"/>
  <c r="K499" i="23"/>
  <c r="L499" i="23"/>
  <c r="M499" i="23"/>
  <c r="N499" i="23"/>
  <c r="O499" i="23"/>
  <c r="P499" i="23"/>
  <c r="Q499" i="23"/>
  <c r="R499" i="23"/>
  <c r="S499" i="23"/>
  <c r="T499" i="23"/>
  <c r="U499" i="23"/>
  <c r="V499" i="23"/>
  <c r="W499" i="23"/>
  <c r="X499" i="23"/>
  <c r="Y499" i="23"/>
  <c r="Z499" i="23"/>
  <c r="AA499" i="23"/>
  <c r="AB499" i="23"/>
  <c r="AC499" i="23"/>
  <c r="AD499" i="23"/>
  <c r="AE499" i="23"/>
  <c r="AF499" i="23"/>
  <c r="AG499" i="23"/>
  <c r="AH499" i="23"/>
  <c r="AI499" i="23"/>
  <c r="AJ499" i="23"/>
  <c r="AK499" i="23"/>
  <c r="AL499" i="23"/>
  <c r="AM499" i="23"/>
  <c r="AN499" i="23"/>
  <c r="AO499" i="23"/>
  <c r="AP499" i="23"/>
  <c r="AQ499" i="23"/>
  <c r="AR499" i="23"/>
  <c r="AS499" i="23"/>
  <c r="AT499" i="23"/>
  <c r="AU499" i="23"/>
  <c r="AV499" i="23"/>
  <c r="AW499" i="23"/>
  <c r="AX499" i="23"/>
  <c r="AY499" i="23"/>
  <c r="AZ499" i="23"/>
  <c r="BA499" i="23"/>
  <c r="BB499" i="23"/>
  <c r="BC499" i="23"/>
  <c r="BD499" i="23"/>
  <c r="BE499" i="23"/>
  <c r="BF499" i="23"/>
  <c r="BG499" i="23"/>
  <c r="BH499" i="23"/>
  <c r="BI499" i="23"/>
  <c r="BJ499" i="23"/>
  <c r="BK499" i="23"/>
  <c r="BL499" i="23"/>
  <c r="BM499" i="23"/>
  <c r="BN499" i="23"/>
  <c r="BO499" i="23"/>
  <c r="BP499" i="23"/>
  <c r="BQ499" i="23"/>
  <c r="BR499" i="23"/>
  <c r="BS499" i="23"/>
  <c r="BT499" i="23"/>
  <c r="B500" i="23"/>
  <c r="C500" i="23"/>
  <c r="D500" i="23"/>
  <c r="E500" i="23"/>
  <c r="F500" i="23"/>
  <c r="G500" i="23"/>
  <c r="H500" i="23"/>
  <c r="I500" i="23"/>
  <c r="J500" i="23"/>
  <c r="K500" i="23"/>
  <c r="L500" i="23"/>
  <c r="M500" i="23"/>
  <c r="N500" i="23"/>
  <c r="O500" i="23"/>
  <c r="P500" i="23"/>
  <c r="Q500" i="23"/>
  <c r="R500" i="23"/>
  <c r="S500" i="23"/>
  <c r="T500" i="23"/>
  <c r="U500" i="23"/>
  <c r="V500" i="23"/>
  <c r="W500" i="23"/>
  <c r="X500" i="23"/>
  <c r="Y500" i="23"/>
  <c r="Z500" i="23"/>
  <c r="AA500" i="23"/>
  <c r="AB500" i="23"/>
  <c r="AC500" i="23"/>
  <c r="AD500" i="23"/>
  <c r="AE500" i="23"/>
  <c r="AF500" i="23"/>
  <c r="AG500" i="23"/>
  <c r="AH500" i="23"/>
  <c r="AI500" i="23"/>
  <c r="AJ500" i="23"/>
  <c r="AK500" i="23"/>
  <c r="AL500" i="23"/>
  <c r="AM500" i="23"/>
  <c r="AN500" i="23"/>
  <c r="AO500" i="23"/>
  <c r="AP500" i="23"/>
  <c r="AQ500" i="23"/>
  <c r="AR500" i="23"/>
  <c r="AS500" i="23"/>
  <c r="AT500" i="23"/>
  <c r="AU500" i="23"/>
  <c r="AV500" i="23"/>
  <c r="AW500" i="23"/>
  <c r="AX500" i="23"/>
  <c r="AY500" i="23"/>
  <c r="AZ500" i="23"/>
  <c r="BA500" i="23"/>
  <c r="BB500" i="23"/>
  <c r="BC500" i="23"/>
  <c r="BD500" i="23"/>
  <c r="BE500" i="23"/>
  <c r="BF500" i="23"/>
  <c r="BG500" i="23"/>
  <c r="BH500" i="23"/>
  <c r="BI500" i="23"/>
  <c r="BJ500" i="23"/>
  <c r="BK500" i="23"/>
  <c r="BL500" i="23"/>
  <c r="BM500" i="23"/>
  <c r="BN500" i="23"/>
  <c r="BO500" i="23"/>
  <c r="BP500" i="23"/>
  <c r="BQ500" i="23"/>
  <c r="BR500" i="23"/>
  <c r="BS500" i="23"/>
  <c r="BT500" i="23"/>
  <c r="B501" i="23"/>
  <c r="C501" i="23"/>
  <c r="D501" i="23"/>
  <c r="E501" i="23"/>
  <c r="F501" i="23"/>
  <c r="G501" i="23"/>
  <c r="H501" i="23"/>
  <c r="I501" i="23"/>
  <c r="J501" i="23"/>
  <c r="K501" i="23"/>
  <c r="L501" i="23"/>
  <c r="M501" i="23"/>
  <c r="N501" i="23"/>
  <c r="O501" i="23"/>
  <c r="P501" i="23"/>
  <c r="Q501" i="23"/>
  <c r="R501" i="23"/>
  <c r="S501" i="23"/>
  <c r="T501" i="23"/>
  <c r="U501" i="23"/>
  <c r="V501" i="23"/>
  <c r="W501" i="23"/>
  <c r="X501" i="23"/>
  <c r="Y501" i="23"/>
  <c r="Z501" i="23"/>
  <c r="AA501" i="23"/>
  <c r="AB501" i="23"/>
  <c r="AC501" i="23"/>
  <c r="AD501" i="23"/>
  <c r="AE501" i="23"/>
  <c r="AF501" i="23"/>
  <c r="AG501" i="23"/>
  <c r="AH501" i="23"/>
  <c r="AI501" i="23"/>
  <c r="AJ501" i="23"/>
  <c r="AK501" i="23"/>
  <c r="AL501" i="23"/>
  <c r="AM501" i="23"/>
  <c r="AN501" i="23"/>
  <c r="AO501" i="23"/>
  <c r="AP501" i="23"/>
  <c r="AQ501" i="23"/>
  <c r="AR501" i="23"/>
  <c r="AS501" i="23"/>
  <c r="AT501" i="23"/>
  <c r="AU501" i="23"/>
  <c r="AV501" i="23"/>
  <c r="AW501" i="23"/>
  <c r="AX501" i="23"/>
  <c r="AY501" i="23"/>
  <c r="AZ501" i="23"/>
  <c r="BA501" i="23"/>
  <c r="BB501" i="23"/>
  <c r="BC501" i="23"/>
  <c r="BD501" i="23"/>
  <c r="BE501" i="23"/>
  <c r="BF501" i="23"/>
  <c r="BG501" i="23"/>
  <c r="BH501" i="23"/>
  <c r="BI501" i="23"/>
  <c r="BJ501" i="23"/>
  <c r="BK501" i="23"/>
  <c r="BL501" i="23"/>
  <c r="BM501" i="23"/>
  <c r="BN501" i="23"/>
  <c r="BO501" i="23"/>
  <c r="BP501" i="23"/>
  <c r="BQ501" i="23"/>
  <c r="BR501" i="23"/>
  <c r="BS501" i="23"/>
  <c r="BT501" i="23"/>
  <c r="B502" i="23"/>
  <c r="C502" i="23"/>
  <c r="D502" i="23"/>
  <c r="E502" i="23"/>
  <c r="F502" i="23"/>
  <c r="G502" i="23"/>
  <c r="H502" i="23"/>
  <c r="I502" i="23"/>
  <c r="J502" i="23"/>
  <c r="K502" i="23"/>
  <c r="L502" i="23"/>
  <c r="M502" i="23"/>
  <c r="N502" i="23"/>
  <c r="O502" i="23"/>
  <c r="P502" i="23"/>
  <c r="Q502" i="23"/>
  <c r="R502" i="23"/>
  <c r="S502" i="23"/>
  <c r="T502" i="23"/>
  <c r="U502" i="23"/>
  <c r="V502" i="23"/>
  <c r="W502" i="23"/>
  <c r="X502" i="23"/>
  <c r="Y502" i="23"/>
  <c r="Z502" i="23"/>
  <c r="AA502" i="23"/>
  <c r="AB502" i="23"/>
  <c r="AC502" i="23"/>
  <c r="AD502" i="23"/>
  <c r="AE502" i="23"/>
  <c r="AF502" i="23"/>
  <c r="AG502" i="23"/>
  <c r="AH502" i="23"/>
  <c r="AI502" i="23"/>
  <c r="AJ502" i="23"/>
  <c r="AK502" i="23"/>
  <c r="AL502" i="23"/>
  <c r="AM502" i="23"/>
  <c r="AN502" i="23"/>
  <c r="AO502" i="23"/>
  <c r="AP502" i="23"/>
  <c r="AQ502" i="23"/>
  <c r="AR502" i="23"/>
  <c r="AS502" i="23"/>
  <c r="AT502" i="23"/>
  <c r="AU502" i="23"/>
  <c r="AV502" i="23"/>
  <c r="AW502" i="23"/>
  <c r="AX502" i="23"/>
  <c r="AY502" i="23"/>
  <c r="AZ502" i="23"/>
  <c r="BA502" i="23"/>
  <c r="BB502" i="23"/>
  <c r="BC502" i="23"/>
  <c r="BD502" i="23"/>
  <c r="BE502" i="23"/>
  <c r="BF502" i="23"/>
  <c r="BG502" i="23"/>
  <c r="BH502" i="23"/>
  <c r="BI502" i="23"/>
  <c r="BJ502" i="23"/>
  <c r="BK502" i="23"/>
  <c r="BL502" i="23"/>
  <c r="BM502" i="23"/>
  <c r="BN502" i="23"/>
  <c r="BO502" i="23"/>
  <c r="BP502" i="23"/>
  <c r="BQ502" i="23"/>
  <c r="BR502" i="23"/>
  <c r="BS502" i="23"/>
  <c r="BT502" i="23"/>
  <c r="B503" i="23"/>
  <c r="C503" i="23"/>
  <c r="D503" i="23"/>
  <c r="E503" i="23"/>
  <c r="F503" i="23"/>
  <c r="G503" i="23"/>
  <c r="H503" i="23"/>
  <c r="I503" i="23"/>
  <c r="J503" i="23"/>
  <c r="K503" i="23"/>
  <c r="L503" i="23"/>
  <c r="M503" i="23"/>
  <c r="N503" i="23"/>
  <c r="O503" i="23"/>
  <c r="P503" i="23"/>
  <c r="Q503" i="23"/>
  <c r="R503" i="23"/>
  <c r="S503" i="23"/>
  <c r="T503" i="23"/>
  <c r="U503" i="23"/>
  <c r="V503" i="23"/>
  <c r="W503" i="23"/>
  <c r="X503" i="23"/>
  <c r="Y503" i="23"/>
  <c r="Z503" i="23"/>
  <c r="AA503" i="23"/>
  <c r="AB503" i="23"/>
  <c r="AC503" i="23"/>
  <c r="AD503" i="23"/>
  <c r="AE503" i="23"/>
  <c r="AF503" i="23"/>
  <c r="AG503" i="23"/>
  <c r="AH503" i="23"/>
  <c r="AI503" i="23"/>
  <c r="AJ503" i="23"/>
  <c r="AK503" i="23"/>
  <c r="AL503" i="23"/>
  <c r="AM503" i="23"/>
  <c r="AN503" i="23"/>
  <c r="AO503" i="23"/>
  <c r="AP503" i="23"/>
  <c r="AQ503" i="23"/>
  <c r="AR503" i="23"/>
  <c r="AS503" i="23"/>
  <c r="AT503" i="23"/>
  <c r="AU503" i="23"/>
  <c r="AV503" i="23"/>
  <c r="AW503" i="23"/>
  <c r="AX503" i="23"/>
  <c r="AY503" i="23"/>
  <c r="AZ503" i="23"/>
  <c r="BA503" i="23"/>
  <c r="BB503" i="23"/>
  <c r="BC503" i="23"/>
  <c r="BD503" i="23"/>
  <c r="BE503" i="23"/>
  <c r="BF503" i="23"/>
  <c r="BG503" i="23"/>
  <c r="BH503" i="23"/>
  <c r="BI503" i="23"/>
  <c r="BJ503" i="23"/>
  <c r="BK503" i="23"/>
  <c r="BL503" i="23"/>
  <c r="BM503" i="23"/>
  <c r="BN503" i="23"/>
  <c r="BO503" i="23"/>
  <c r="BP503" i="23"/>
  <c r="BQ503" i="23"/>
  <c r="BR503" i="23"/>
  <c r="BS503" i="23"/>
  <c r="BT503" i="23"/>
  <c r="B504" i="23"/>
  <c r="C504" i="23"/>
  <c r="D504" i="23"/>
  <c r="E504" i="23"/>
  <c r="F504" i="23"/>
  <c r="G504" i="23"/>
  <c r="H504" i="23"/>
  <c r="I504" i="23"/>
  <c r="J504" i="23"/>
  <c r="K504" i="23"/>
  <c r="L504" i="23"/>
  <c r="M504" i="23"/>
  <c r="N504" i="23"/>
  <c r="O504" i="23"/>
  <c r="P504" i="23"/>
  <c r="Q504" i="23"/>
  <c r="R504" i="23"/>
  <c r="S504" i="23"/>
  <c r="T504" i="23"/>
  <c r="U504" i="23"/>
  <c r="V504" i="23"/>
  <c r="W504" i="23"/>
  <c r="X504" i="23"/>
  <c r="Y504" i="23"/>
  <c r="Z504" i="23"/>
  <c r="AA504" i="23"/>
  <c r="AB504" i="23"/>
  <c r="AC504" i="23"/>
  <c r="AD504" i="23"/>
  <c r="AE504" i="23"/>
  <c r="AF504" i="23"/>
  <c r="AG504" i="23"/>
  <c r="AH504" i="23"/>
  <c r="AI504" i="23"/>
  <c r="AJ504" i="23"/>
  <c r="AK504" i="23"/>
  <c r="AL504" i="23"/>
  <c r="AM504" i="23"/>
  <c r="AN504" i="23"/>
  <c r="AO504" i="23"/>
  <c r="AP504" i="23"/>
  <c r="AQ504" i="23"/>
  <c r="AR504" i="23"/>
  <c r="AS504" i="23"/>
  <c r="AT504" i="23"/>
  <c r="AU504" i="23"/>
  <c r="AV504" i="23"/>
  <c r="AW504" i="23"/>
  <c r="AX504" i="23"/>
  <c r="AY504" i="23"/>
  <c r="AZ504" i="23"/>
  <c r="BA504" i="23"/>
  <c r="BB504" i="23"/>
  <c r="BC504" i="23"/>
  <c r="BD504" i="23"/>
  <c r="BE504" i="23"/>
  <c r="BF504" i="23"/>
  <c r="BG504" i="23"/>
  <c r="BH504" i="23"/>
  <c r="BI504" i="23"/>
  <c r="BJ504" i="23"/>
  <c r="BK504" i="23"/>
  <c r="BL504" i="23"/>
  <c r="BM504" i="23"/>
  <c r="BN504" i="23"/>
  <c r="BO504" i="23"/>
  <c r="BP504" i="23"/>
  <c r="BQ504" i="23"/>
  <c r="BR504" i="23"/>
  <c r="BS504" i="23"/>
  <c r="BT504" i="23"/>
  <c r="B505" i="23"/>
  <c r="C505" i="23"/>
  <c r="D505" i="23"/>
  <c r="E505" i="23"/>
  <c r="F505" i="23"/>
  <c r="G505" i="23"/>
  <c r="H505" i="23"/>
  <c r="I505" i="23"/>
  <c r="J505" i="23"/>
  <c r="K505" i="23"/>
  <c r="L505" i="23"/>
  <c r="M505" i="23"/>
  <c r="N505" i="23"/>
  <c r="O505" i="23"/>
  <c r="P505" i="23"/>
  <c r="Q505" i="23"/>
  <c r="R505" i="23"/>
  <c r="S505" i="23"/>
  <c r="T505" i="23"/>
  <c r="U505" i="23"/>
  <c r="V505" i="23"/>
  <c r="W505" i="23"/>
  <c r="X505" i="23"/>
  <c r="Y505" i="23"/>
  <c r="Z505" i="23"/>
  <c r="AA505" i="23"/>
  <c r="AB505" i="23"/>
  <c r="AC505" i="23"/>
  <c r="AD505" i="23"/>
  <c r="AE505" i="23"/>
  <c r="AF505" i="23"/>
  <c r="AG505" i="23"/>
  <c r="AH505" i="23"/>
  <c r="AI505" i="23"/>
  <c r="AJ505" i="23"/>
  <c r="AK505" i="23"/>
  <c r="AL505" i="23"/>
  <c r="AM505" i="23"/>
  <c r="AN505" i="23"/>
  <c r="AO505" i="23"/>
  <c r="AP505" i="23"/>
  <c r="AQ505" i="23"/>
  <c r="AR505" i="23"/>
  <c r="AS505" i="23"/>
  <c r="AT505" i="23"/>
  <c r="AU505" i="23"/>
  <c r="AV505" i="23"/>
  <c r="AW505" i="23"/>
  <c r="AX505" i="23"/>
  <c r="AY505" i="23"/>
  <c r="AZ505" i="23"/>
  <c r="BA505" i="23"/>
  <c r="BB505" i="23"/>
  <c r="BC505" i="23"/>
  <c r="BD505" i="23"/>
  <c r="BE505" i="23"/>
  <c r="BF505" i="23"/>
  <c r="BG505" i="23"/>
  <c r="BH505" i="23"/>
  <c r="BI505" i="23"/>
  <c r="BJ505" i="23"/>
  <c r="BK505" i="23"/>
  <c r="BL505" i="23"/>
  <c r="BM505" i="23"/>
  <c r="BN505" i="23"/>
  <c r="BO505" i="23"/>
  <c r="BP505" i="23"/>
  <c r="BQ505" i="23"/>
  <c r="BR505" i="23"/>
  <c r="BS505" i="23"/>
  <c r="BT505" i="23"/>
  <c r="B506" i="23"/>
  <c r="C506" i="23"/>
  <c r="D506" i="23"/>
  <c r="E506" i="23"/>
  <c r="F506" i="23"/>
  <c r="G506" i="23"/>
  <c r="H506" i="23"/>
  <c r="I506" i="23"/>
  <c r="J506" i="23"/>
  <c r="K506" i="23"/>
  <c r="L506" i="23"/>
  <c r="M506" i="23"/>
  <c r="N506" i="23"/>
  <c r="O506" i="23"/>
  <c r="P506" i="23"/>
  <c r="Q506" i="23"/>
  <c r="R506" i="23"/>
  <c r="S506" i="23"/>
  <c r="T506" i="23"/>
  <c r="U506" i="23"/>
  <c r="V506" i="23"/>
  <c r="W506" i="23"/>
  <c r="X506" i="23"/>
  <c r="Y506" i="23"/>
  <c r="Z506" i="23"/>
  <c r="AA506" i="23"/>
  <c r="AB506" i="23"/>
  <c r="AC506" i="23"/>
  <c r="AD506" i="23"/>
  <c r="AE506" i="23"/>
  <c r="AF506" i="23"/>
  <c r="AG506" i="23"/>
  <c r="AH506" i="23"/>
  <c r="AI506" i="23"/>
  <c r="AJ506" i="23"/>
  <c r="AK506" i="23"/>
  <c r="AL506" i="23"/>
  <c r="AM506" i="23"/>
  <c r="AN506" i="23"/>
  <c r="AO506" i="23"/>
  <c r="AP506" i="23"/>
  <c r="AQ506" i="23"/>
  <c r="AR506" i="23"/>
  <c r="AS506" i="23"/>
  <c r="AT506" i="23"/>
  <c r="AU506" i="23"/>
  <c r="AV506" i="23"/>
  <c r="AW506" i="23"/>
  <c r="AX506" i="23"/>
  <c r="AY506" i="23"/>
  <c r="AZ506" i="23"/>
  <c r="BA506" i="23"/>
  <c r="BB506" i="23"/>
  <c r="BC506" i="23"/>
  <c r="BD506" i="23"/>
  <c r="BE506" i="23"/>
  <c r="BF506" i="23"/>
  <c r="BG506" i="23"/>
  <c r="BH506" i="23"/>
  <c r="BI506" i="23"/>
  <c r="BJ506" i="23"/>
  <c r="BK506" i="23"/>
  <c r="BL506" i="23"/>
  <c r="BM506" i="23"/>
  <c r="BN506" i="23"/>
  <c r="BO506" i="23"/>
  <c r="BP506" i="23"/>
  <c r="BQ506" i="23"/>
  <c r="BR506" i="23"/>
  <c r="BS506" i="23"/>
  <c r="BT506" i="23"/>
  <c r="B507" i="23"/>
  <c r="C507" i="23"/>
  <c r="D507" i="23"/>
  <c r="E507" i="23"/>
  <c r="F507" i="23"/>
  <c r="G507" i="23"/>
  <c r="H507" i="23"/>
  <c r="I507" i="23"/>
  <c r="J507" i="23"/>
  <c r="K507" i="23"/>
  <c r="L507" i="23"/>
  <c r="M507" i="23"/>
  <c r="N507" i="23"/>
  <c r="O507" i="23"/>
  <c r="P507" i="23"/>
  <c r="Q507" i="23"/>
  <c r="R507" i="23"/>
  <c r="S507" i="23"/>
  <c r="T507" i="23"/>
  <c r="U507" i="23"/>
  <c r="V507" i="23"/>
  <c r="W507" i="23"/>
  <c r="X507" i="23"/>
  <c r="Y507" i="23"/>
  <c r="Z507" i="23"/>
  <c r="AA507" i="23"/>
  <c r="AB507" i="23"/>
  <c r="AC507" i="23"/>
  <c r="AD507" i="23"/>
  <c r="AE507" i="23"/>
  <c r="AF507" i="23"/>
  <c r="AG507" i="23"/>
  <c r="AH507" i="23"/>
  <c r="AI507" i="23"/>
  <c r="AJ507" i="23"/>
  <c r="AK507" i="23"/>
  <c r="AL507" i="23"/>
  <c r="AM507" i="23"/>
  <c r="AN507" i="23"/>
  <c r="AO507" i="23"/>
  <c r="AP507" i="23"/>
  <c r="AQ507" i="23"/>
  <c r="AR507" i="23"/>
  <c r="AS507" i="23"/>
  <c r="AT507" i="23"/>
  <c r="AU507" i="23"/>
  <c r="AV507" i="23"/>
  <c r="AW507" i="23"/>
  <c r="AX507" i="23"/>
  <c r="AY507" i="23"/>
  <c r="AZ507" i="23"/>
  <c r="BA507" i="23"/>
  <c r="BB507" i="23"/>
  <c r="BC507" i="23"/>
  <c r="BD507" i="23"/>
  <c r="BE507" i="23"/>
  <c r="BF507" i="23"/>
  <c r="BG507" i="23"/>
  <c r="BH507" i="23"/>
  <c r="BI507" i="23"/>
  <c r="BJ507" i="23"/>
  <c r="BK507" i="23"/>
  <c r="BL507" i="23"/>
  <c r="BM507" i="23"/>
  <c r="BN507" i="23"/>
  <c r="BO507" i="23"/>
  <c r="BP507" i="23"/>
  <c r="BQ507" i="23"/>
  <c r="BR507" i="23"/>
  <c r="BS507" i="23"/>
  <c r="BT507" i="23"/>
  <c r="B508" i="23"/>
  <c r="C508" i="23"/>
  <c r="D508" i="23"/>
  <c r="E508" i="23"/>
  <c r="F508" i="23"/>
  <c r="G508" i="23"/>
  <c r="H508" i="23"/>
  <c r="I508" i="23"/>
  <c r="J508" i="23"/>
  <c r="K508" i="23"/>
  <c r="L508" i="23"/>
  <c r="M508" i="23"/>
  <c r="N508" i="23"/>
  <c r="O508" i="23"/>
  <c r="P508" i="23"/>
  <c r="Q508" i="23"/>
  <c r="R508" i="23"/>
  <c r="S508" i="23"/>
  <c r="T508" i="23"/>
  <c r="U508" i="23"/>
  <c r="V508" i="23"/>
  <c r="W508" i="23"/>
  <c r="X508" i="23"/>
  <c r="Y508" i="23"/>
  <c r="Z508" i="23"/>
  <c r="AA508" i="23"/>
  <c r="AB508" i="23"/>
  <c r="AC508" i="23"/>
  <c r="AD508" i="23"/>
  <c r="AE508" i="23"/>
  <c r="AF508" i="23"/>
  <c r="AG508" i="23"/>
  <c r="AH508" i="23"/>
  <c r="AI508" i="23"/>
  <c r="AJ508" i="23"/>
  <c r="AK508" i="23"/>
  <c r="AL508" i="23"/>
  <c r="AM508" i="23"/>
  <c r="AN508" i="23"/>
  <c r="AO508" i="23"/>
  <c r="AP508" i="23"/>
  <c r="AQ508" i="23"/>
  <c r="AR508" i="23"/>
  <c r="AS508" i="23"/>
  <c r="AT508" i="23"/>
  <c r="AU508" i="23"/>
  <c r="AV508" i="23"/>
  <c r="AW508" i="23"/>
  <c r="AX508" i="23"/>
  <c r="AY508" i="23"/>
  <c r="AZ508" i="23"/>
  <c r="BA508" i="23"/>
  <c r="BB508" i="23"/>
  <c r="BC508" i="23"/>
  <c r="BD508" i="23"/>
  <c r="BE508" i="23"/>
  <c r="BF508" i="23"/>
  <c r="BG508" i="23"/>
  <c r="BH508" i="23"/>
  <c r="BI508" i="23"/>
  <c r="BJ508" i="23"/>
  <c r="BK508" i="23"/>
  <c r="BL508" i="23"/>
  <c r="BM508" i="23"/>
  <c r="BN508" i="23"/>
  <c r="BO508" i="23"/>
  <c r="BP508" i="23"/>
  <c r="BQ508" i="23"/>
  <c r="BR508" i="23"/>
  <c r="BS508" i="23"/>
  <c r="BT508" i="23"/>
  <c r="AG3" i="23"/>
  <c r="AH3" i="23"/>
  <c r="AI3" i="23"/>
  <c r="AJ3" i="23"/>
  <c r="AK3" i="23"/>
  <c r="AL3" i="23"/>
  <c r="AM3" i="23"/>
  <c r="AN3" i="23"/>
  <c r="AO3" i="23"/>
  <c r="AP3" i="23"/>
  <c r="AQ3" i="23"/>
  <c r="AR3" i="23"/>
  <c r="AS3" i="23"/>
  <c r="AT3" i="23"/>
  <c r="AU3" i="23"/>
  <c r="AV3" i="23"/>
  <c r="AW3" i="23"/>
  <c r="AX3" i="23"/>
  <c r="AY3" i="23"/>
  <c r="AZ3" i="23"/>
  <c r="BA3" i="23"/>
  <c r="BB3" i="23"/>
  <c r="BC3" i="23"/>
  <c r="BD3" i="23"/>
  <c r="BE3" i="23"/>
  <c r="BF3" i="23"/>
  <c r="BG3" i="23"/>
  <c r="BH3" i="23"/>
  <c r="BI3" i="23"/>
  <c r="BJ3" i="23"/>
  <c r="BK3" i="23"/>
  <c r="BL3" i="23"/>
  <c r="BM3" i="23"/>
  <c r="BN3" i="23"/>
  <c r="BO3" i="23"/>
  <c r="BP3" i="23"/>
  <c r="BQ3" i="23"/>
  <c r="BR3" i="23"/>
  <c r="BS3" i="23"/>
  <c r="BT3" i="23"/>
  <c r="C3" i="23"/>
  <c r="D3" i="23"/>
  <c r="E3" i="23"/>
  <c r="F3" i="23"/>
  <c r="G3" i="23"/>
  <c r="H3" i="23"/>
  <c r="I3" i="23"/>
  <c r="J3" i="23"/>
  <c r="K3" i="23"/>
  <c r="L3" i="23"/>
  <c r="M3" i="23"/>
  <c r="N3" i="23"/>
  <c r="O3" i="23"/>
  <c r="P3" i="23"/>
  <c r="Q3" i="23"/>
  <c r="R3" i="23"/>
  <c r="S3" i="23"/>
  <c r="T3" i="23"/>
  <c r="U3" i="23"/>
  <c r="V3" i="23"/>
  <c r="W3" i="23"/>
  <c r="X3" i="23"/>
  <c r="Y3" i="23"/>
  <c r="Z3" i="23"/>
  <c r="AA3" i="23"/>
  <c r="AB3" i="23"/>
  <c r="AC3" i="23"/>
  <c r="AD3" i="23"/>
  <c r="AE3" i="23"/>
  <c r="AF3" i="23"/>
  <c r="A4" i="23"/>
  <c r="A5" i="23"/>
  <c r="A6" i="23"/>
  <c r="A7" i="23"/>
  <c r="A8" i="23"/>
  <c r="A9" i="23"/>
  <c r="A10" i="23"/>
  <c r="A11" i="23"/>
  <c r="A12" i="23"/>
  <c r="A13" i="23"/>
  <c r="A14" i="23"/>
  <c r="A15" i="23"/>
  <c r="A16" i="23"/>
  <c r="A17" i="23"/>
  <c r="A18" i="23"/>
  <c r="A19" i="23"/>
  <c r="A20" i="23"/>
  <c r="A21" i="23"/>
  <c r="A22" i="23"/>
  <c r="A23" i="23"/>
  <c r="A24" i="23"/>
  <c r="A25" i="23"/>
  <c r="A26" i="23"/>
  <c r="A27" i="23"/>
  <c r="A28" i="23"/>
  <c r="A29" i="23"/>
  <c r="A30" i="23"/>
  <c r="A31" i="23"/>
  <c r="A32" i="23"/>
  <c r="A33" i="23"/>
  <c r="A34" i="23"/>
  <c r="A35" i="23"/>
  <c r="A36" i="23"/>
  <c r="A37" i="23"/>
  <c r="A38" i="23"/>
  <c r="A39" i="23"/>
  <c r="A40" i="23"/>
  <c r="A41" i="23"/>
  <c r="A42" i="23"/>
  <c r="A43" i="23"/>
  <c r="A44" i="23"/>
  <c r="A45" i="23"/>
  <c r="A46" i="23"/>
  <c r="A47" i="23"/>
  <c r="A48" i="23"/>
  <c r="A49" i="23"/>
  <c r="A50" i="23"/>
  <c r="A51" i="23"/>
  <c r="A52" i="23"/>
  <c r="A53" i="23"/>
  <c r="A54" i="23"/>
  <c r="A55" i="23"/>
  <c r="A56" i="23"/>
  <c r="A57" i="23"/>
  <c r="A58" i="23"/>
  <c r="A59" i="23"/>
  <c r="A60" i="23"/>
  <c r="A61" i="23"/>
  <c r="A62" i="23"/>
  <c r="A63" i="23"/>
  <c r="A64" i="23"/>
  <c r="A65" i="23"/>
  <c r="A66" i="23"/>
  <c r="A67" i="23"/>
  <c r="A68" i="23"/>
  <c r="A69" i="23"/>
  <c r="A70" i="23"/>
  <c r="A71" i="23"/>
  <c r="A72" i="23"/>
  <c r="A73" i="23"/>
  <c r="A74" i="23"/>
  <c r="A75" i="23"/>
  <c r="A76" i="23"/>
  <c r="A77" i="23"/>
  <c r="A78" i="23"/>
  <c r="A79" i="23"/>
  <c r="A80" i="23"/>
  <c r="A81" i="23"/>
  <c r="A82" i="23"/>
  <c r="A83" i="23"/>
  <c r="A84" i="23"/>
  <c r="A85" i="23"/>
  <c r="A86" i="23"/>
  <c r="A87" i="23"/>
  <c r="A88" i="23"/>
  <c r="A89" i="23"/>
  <c r="A90" i="23"/>
  <c r="A91" i="23"/>
  <c r="A92" i="23"/>
  <c r="A93" i="23"/>
  <c r="A94" i="23"/>
  <c r="A95" i="23"/>
  <c r="A96" i="23"/>
  <c r="A97" i="23"/>
  <c r="A98" i="23"/>
  <c r="A99" i="23"/>
  <c r="A100" i="23"/>
  <c r="A101" i="23"/>
  <c r="A102" i="23"/>
  <c r="A103" i="23"/>
  <c r="A104" i="23"/>
  <c r="A105" i="23"/>
  <c r="A106" i="23"/>
  <c r="A107" i="23"/>
  <c r="A108" i="23"/>
  <c r="A109" i="23"/>
  <c r="A110" i="23"/>
  <c r="A111" i="23"/>
  <c r="A112" i="23"/>
  <c r="A113" i="23"/>
  <c r="A114" i="23"/>
  <c r="A115" i="23"/>
  <c r="A116" i="23"/>
  <c r="A117" i="23"/>
  <c r="A118" i="23"/>
  <c r="A119" i="23"/>
  <c r="A120" i="23"/>
  <c r="A121" i="23"/>
  <c r="A122" i="23"/>
  <c r="A123" i="23"/>
  <c r="A124" i="23"/>
  <c r="A125" i="23"/>
  <c r="A126" i="23"/>
  <c r="A127" i="23"/>
  <c r="A128" i="23"/>
  <c r="A129" i="23"/>
  <c r="A130" i="23"/>
  <c r="A131" i="23"/>
  <c r="A132" i="23"/>
  <c r="A133" i="23"/>
  <c r="A134" i="23"/>
  <c r="A135" i="23"/>
  <c r="A136" i="23"/>
  <c r="A137" i="23"/>
  <c r="A138" i="23"/>
  <c r="A139" i="23"/>
  <c r="A140" i="23"/>
  <c r="A141" i="23"/>
  <c r="A142" i="23"/>
  <c r="A143" i="23"/>
  <c r="A144" i="23"/>
  <c r="A145" i="23"/>
  <c r="A146" i="23"/>
  <c r="A147" i="23"/>
  <c r="A148" i="23"/>
  <c r="A149" i="23"/>
  <c r="A150" i="23"/>
  <c r="A151" i="23"/>
  <c r="A152" i="23"/>
  <c r="A153" i="23"/>
  <c r="A154" i="23"/>
  <c r="A155" i="23"/>
  <c r="A156" i="23"/>
  <c r="A157" i="23"/>
  <c r="A158" i="23"/>
  <c r="A159" i="23"/>
  <c r="A160" i="23"/>
  <c r="A161" i="23"/>
  <c r="A162" i="23"/>
  <c r="A163" i="23"/>
  <c r="A164" i="23"/>
  <c r="A165" i="23"/>
  <c r="A166" i="23"/>
  <c r="A167" i="23"/>
  <c r="A168" i="23"/>
  <c r="A169" i="23"/>
  <c r="A170" i="23"/>
  <c r="A171" i="23"/>
  <c r="A172" i="23"/>
  <c r="A173" i="23"/>
  <c r="A174" i="23"/>
  <c r="A175" i="23"/>
  <c r="A176" i="23"/>
  <c r="A177" i="23"/>
  <c r="A178" i="23"/>
  <c r="A179" i="23"/>
  <c r="A180" i="23"/>
  <c r="A181" i="23"/>
  <c r="A182" i="23"/>
  <c r="A183" i="23"/>
  <c r="A184" i="23"/>
  <c r="A185" i="23"/>
  <c r="A186" i="23"/>
  <c r="A187" i="23"/>
  <c r="A188" i="23"/>
  <c r="A189" i="23"/>
  <c r="A190" i="23"/>
  <c r="A191" i="23"/>
  <c r="A192" i="23"/>
  <c r="A193" i="23"/>
  <c r="A194" i="23"/>
  <c r="A195" i="23"/>
  <c r="A196" i="23"/>
  <c r="A197" i="23"/>
  <c r="A198" i="23"/>
  <c r="A199" i="23"/>
  <c r="A200" i="23"/>
  <c r="A201" i="23"/>
  <c r="A202" i="23"/>
  <c r="A203" i="23"/>
  <c r="A204" i="23"/>
  <c r="A205" i="23"/>
  <c r="A206" i="23"/>
  <c r="A207" i="23"/>
  <c r="A208" i="23"/>
  <c r="A209" i="23"/>
  <c r="A210" i="23"/>
  <c r="A211" i="23"/>
  <c r="A212" i="23"/>
  <c r="A213" i="23"/>
  <c r="A214" i="23"/>
  <c r="A215" i="23"/>
  <c r="A216" i="23"/>
  <c r="A217" i="23"/>
  <c r="A218" i="23"/>
  <c r="A219" i="23"/>
  <c r="A220" i="23"/>
  <c r="A221" i="23"/>
  <c r="A222" i="23"/>
  <c r="A223" i="23"/>
  <c r="A224" i="23"/>
  <c r="A225" i="23"/>
  <c r="A226" i="23"/>
  <c r="A227" i="23"/>
  <c r="A228" i="23"/>
  <c r="A229" i="23"/>
  <c r="A230" i="23"/>
  <c r="A231" i="23"/>
  <c r="A232" i="23"/>
  <c r="A233" i="23"/>
  <c r="A234" i="23"/>
  <c r="A235" i="23"/>
  <c r="A236" i="23"/>
  <c r="A237" i="23"/>
  <c r="A238" i="23"/>
  <c r="A239" i="23"/>
  <c r="A240" i="23"/>
  <c r="A241" i="23"/>
  <c r="A242" i="23"/>
  <c r="A243" i="23"/>
  <c r="A244" i="23"/>
  <c r="A245" i="23"/>
  <c r="A246" i="23"/>
  <c r="A247" i="23"/>
  <c r="A248" i="23"/>
  <c r="A249" i="23"/>
  <c r="A250" i="23"/>
  <c r="A251" i="23"/>
  <c r="A252" i="23"/>
  <c r="A253" i="23"/>
  <c r="A254" i="23"/>
  <c r="A255" i="23"/>
  <c r="A256" i="23"/>
  <c r="A257" i="23"/>
  <c r="A258" i="23"/>
  <c r="A259" i="23"/>
  <c r="A260" i="23"/>
  <c r="A261" i="23"/>
  <c r="A262" i="23"/>
  <c r="A263" i="23"/>
  <c r="A264" i="23"/>
  <c r="A265" i="23"/>
  <c r="A266" i="23"/>
  <c r="A267" i="23"/>
  <c r="A268" i="23"/>
  <c r="A269" i="23"/>
  <c r="A270" i="23"/>
  <c r="A271" i="23"/>
  <c r="A272" i="23"/>
  <c r="A273" i="23"/>
  <c r="A274" i="23"/>
  <c r="A275" i="23"/>
  <c r="A276" i="23"/>
  <c r="A277" i="23"/>
  <c r="A278" i="23"/>
  <c r="A279" i="23"/>
  <c r="A280" i="23"/>
  <c r="A281" i="23"/>
  <c r="A282" i="23"/>
  <c r="A283" i="23"/>
  <c r="A284" i="23"/>
  <c r="A285" i="23"/>
  <c r="A286" i="23"/>
  <c r="A287" i="23"/>
  <c r="A288" i="23"/>
  <c r="A289" i="23"/>
  <c r="A290" i="23"/>
  <c r="A291" i="23"/>
  <c r="A292" i="23"/>
  <c r="A293" i="23"/>
  <c r="A294" i="23"/>
  <c r="A295" i="23"/>
  <c r="A296" i="23"/>
  <c r="A297" i="23"/>
  <c r="A298" i="23"/>
  <c r="A299" i="23"/>
  <c r="A300" i="23"/>
  <c r="A301" i="23"/>
  <c r="A302" i="23"/>
  <c r="A303" i="23"/>
  <c r="A304" i="23"/>
  <c r="A305" i="23"/>
  <c r="A306" i="23"/>
  <c r="A307" i="23"/>
  <c r="A308" i="23"/>
  <c r="A309" i="23"/>
  <c r="A310" i="23"/>
  <c r="A311" i="23"/>
  <c r="A312" i="23"/>
  <c r="A313" i="23"/>
  <c r="A314" i="23"/>
  <c r="A315" i="23"/>
  <c r="A316" i="23"/>
  <c r="A317" i="23"/>
  <c r="A318" i="23"/>
  <c r="A319" i="23"/>
  <c r="A320" i="23"/>
  <c r="A321" i="23"/>
  <c r="A322" i="23"/>
  <c r="A323" i="23"/>
  <c r="A324" i="23"/>
  <c r="A325" i="23"/>
  <c r="A326" i="23"/>
  <c r="A327" i="23"/>
  <c r="A328" i="23"/>
  <c r="A329" i="23"/>
  <c r="A330" i="23"/>
  <c r="A331" i="23"/>
  <c r="A332" i="23"/>
  <c r="A333" i="23"/>
  <c r="A334" i="23"/>
  <c r="A335" i="23"/>
  <c r="A336" i="23"/>
  <c r="A337" i="23"/>
  <c r="A338" i="23"/>
  <c r="A339" i="23"/>
  <c r="A340" i="23"/>
  <c r="A341" i="23"/>
  <c r="A342" i="23"/>
  <c r="A343" i="23"/>
  <c r="A344" i="23"/>
  <c r="A345" i="23"/>
  <c r="A346" i="23"/>
  <c r="A347" i="23"/>
  <c r="A348" i="23"/>
  <c r="A349" i="23"/>
  <c r="A350" i="23"/>
  <c r="A351" i="23"/>
  <c r="A352" i="23"/>
  <c r="A353" i="23"/>
  <c r="A354" i="23"/>
  <c r="A355" i="23"/>
  <c r="A356" i="23"/>
  <c r="A357" i="23"/>
  <c r="A358" i="23"/>
  <c r="A359" i="23"/>
  <c r="A360" i="23"/>
  <c r="A361" i="23"/>
  <c r="A362" i="23"/>
  <c r="A363" i="23"/>
  <c r="A364" i="23"/>
  <c r="A365" i="23"/>
  <c r="A366" i="23"/>
  <c r="A367" i="23"/>
  <c r="A368" i="23"/>
  <c r="A369" i="23"/>
  <c r="A370" i="23"/>
  <c r="A371" i="23"/>
  <c r="A372" i="23"/>
  <c r="A373" i="23"/>
  <c r="A374" i="23"/>
  <c r="A375" i="23"/>
  <c r="A376" i="23"/>
  <c r="A377" i="23"/>
  <c r="A378" i="23"/>
  <c r="A379" i="23"/>
  <c r="A380" i="23"/>
  <c r="A381" i="23"/>
  <c r="A382" i="23"/>
  <c r="A383" i="23"/>
  <c r="A384" i="23"/>
  <c r="A385" i="23"/>
  <c r="A386" i="23"/>
  <c r="A387" i="23"/>
  <c r="A388" i="23"/>
  <c r="A389" i="23"/>
  <c r="A390" i="23"/>
  <c r="A391" i="23"/>
  <c r="A392" i="23"/>
  <c r="A393" i="23"/>
  <c r="A394" i="23"/>
  <c r="A395" i="23"/>
  <c r="A396" i="23"/>
  <c r="A397" i="23"/>
  <c r="A398" i="23"/>
  <c r="A399" i="23"/>
  <c r="A400" i="23"/>
  <c r="A401" i="23"/>
  <c r="A402" i="23"/>
  <c r="A403" i="23"/>
  <c r="A404" i="23"/>
  <c r="A405" i="23"/>
  <c r="A406" i="23"/>
  <c r="A407" i="23"/>
  <c r="A408" i="23"/>
  <c r="A409" i="23"/>
  <c r="A410" i="23"/>
  <c r="A411" i="23"/>
  <c r="A412" i="23"/>
  <c r="A413" i="23"/>
  <c r="A414" i="23"/>
  <c r="A415" i="23"/>
  <c r="A416" i="23"/>
  <c r="A417" i="23"/>
  <c r="A418" i="23"/>
  <c r="A419" i="23"/>
  <c r="A420" i="23"/>
  <c r="A421" i="23"/>
  <c r="A422" i="23"/>
  <c r="A423" i="23"/>
  <c r="A424" i="23"/>
  <c r="A425" i="23"/>
  <c r="A426" i="23"/>
  <c r="A427" i="23"/>
  <c r="A428" i="23"/>
  <c r="A429" i="23"/>
  <c r="A430" i="23"/>
  <c r="A431" i="23"/>
  <c r="A432" i="23"/>
  <c r="A433" i="23"/>
  <c r="A434" i="23"/>
  <c r="A435" i="23"/>
  <c r="A436" i="23"/>
  <c r="A437" i="23"/>
  <c r="A438" i="23"/>
  <c r="A439" i="23"/>
  <c r="A440" i="23"/>
  <c r="A441" i="23"/>
  <c r="A442" i="23"/>
  <c r="A443" i="23"/>
  <c r="A444" i="23"/>
  <c r="A445" i="23"/>
  <c r="A446" i="23"/>
  <c r="A447" i="23"/>
  <c r="A448" i="23"/>
  <c r="A449" i="23"/>
  <c r="A450" i="23"/>
  <c r="A451" i="23"/>
  <c r="A452" i="23"/>
  <c r="A453" i="23"/>
  <c r="A454" i="23"/>
  <c r="A455" i="23"/>
  <c r="A456" i="23"/>
  <c r="A457" i="23"/>
  <c r="A458" i="23"/>
  <c r="A459" i="23"/>
  <c r="A460" i="23"/>
  <c r="A461" i="23"/>
  <c r="A462" i="23"/>
  <c r="A463" i="23"/>
  <c r="A464" i="23"/>
  <c r="A465" i="23"/>
  <c r="A466" i="23"/>
  <c r="A467" i="23"/>
  <c r="A468" i="23"/>
  <c r="A469" i="23"/>
  <c r="A470" i="23"/>
  <c r="A471" i="23"/>
  <c r="A472" i="23"/>
  <c r="A473" i="23"/>
  <c r="A474" i="23"/>
  <c r="A475" i="23"/>
  <c r="A476" i="23"/>
  <c r="A477" i="23"/>
  <c r="A478" i="23"/>
  <c r="A479" i="23"/>
  <c r="A480" i="23"/>
  <c r="A481" i="23"/>
  <c r="A482" i="23"/>
  <c r="A483" i="23"/>
  <c r="A484" i="23"/>
  <c r="A485" i="23"/>
  <c r="A486" i="23"/>
  <c r="A487" i="23"/>
  <c r="A488" i="23"/>
  <c r="A489" i="23"/>
  <c r="A490" i="23"/>
  <c r="A491" i="23"/>
  <c r="A492" i="23"/>
  <c r="A493" i="23"/>
  <c r="A494" i="23"/>
  <c r="A495" i="23"/>
  <c r="A496" i="23"/>
  <c r="A497" i="23"/>
  <c r="A498" i="23"/>
  <c r="A499" i="23"/>
  <c r="A500" i="23"/>
  <c r="A501" i="23"/>
  <c r="A502" i="23"/>
  <c r="A503" i="23"/>
  <c r="A504" i="23"/>
  <c r="A505" i="23"/>
  <c r="A506" i="23"/>
  <c r="A507" i="23"/>
  <c r="A508" i="23"/>
  <c r="B3" i="23"/>
  <c r="A3" i="23"/>
  <c r="B3" i="22"/>
  <c r="B4" i="22"/>
  <c r="B5" i="22"/>
  <c r="B6" i="22"/>
  <c r="B7" i="22"/>
  <c r="B8" i="22"/>
  <c r="B9" i="22"/>
  <c r="B10" i="22"/>
  <c r="B11" i="22"/>
  <c r="B12" i="22"/>
  <c r="B13" i="22"/>
  <c r="B14" i="22"/>
  <c r="B15" i="22"/>
  <c r="B16" i="22"/>
  <c r="B17" i="22"/>
  <c r="B18" i="22"/>
  <c r="B19" i="22"/>
  <c r="B20" i="22"/>
  <c r="B21" i="22"/>
  <c r="B22" i="22"/>
  <c r="B23" i="22"/>
  <c r="B24" i="22"/>
  <c r="B25" i="22"/>
  <c r="B26" i="22"/>
  <c r="B27" i="22"/>
  <c r="B28" i="22"/>
  <c r="B29" i="22"/>
  <c r="B30" i="22"/>
  <c r="B31" i="22"/>
  <c r="B32" i="22"/>
  <c r="B33" i="22"/>
  <c r="B34" i="22"/>
  <c r="B35" i="22"/>
  <c r="B36" i="22"/>
  <c r="B37" i="22"/>
  <c r="B38" i="22"/>
  <c r="B39" i="22"/>
  <c r="B40" i="22"/>
  <c r="B41" i="22"/>
  <c r="B42" i="22"/>
  <c r="B43" i="22"/>
  <c r="B44" i="22"/>
  <c r="B45" i="22"/>
  <c r="B46" i="22"/>
  <c r="B47" i="22"/>
  <c r="B48" i="22"/>
  <c r="B49" i="22"/>
  <c r="B50" i="22"/>
  <c r="B51" i="22"/>
  <c r="B52" i="22"/>
  <c r="B53" i="22"/>
  <c r="B54" i="22"/>
  <c r="B55" i="22"/>
  <c r="B56" i="22"/>
  <c r="B57" i="22"/>
  <c r="B58" i="22"/>
  <c r="B59" i="22"/>
  <c r="B60" i="22"/>
  <c r="B61" i="22"/>
  <c r="B62" i="22"/>
  <c r="B63" i="22"/>
  <c r="B2" i="22"/>
  <c r="H15" i="28"/>
  <c r="I8" i="30" l="1"/>
  <c r="I9" i="30"/>
  <c r="I10" i="30"/>
  <c r="I12" i="30"/>
  <c r="I13" i="30"/>
  <c r="I14" i="30"/>
  <c r="I15" i="30"/>
  <c r="I16" i="30"/>
  <c r="E8" i="30"/>
  <c r="F8" i="30"/>
  <c r="G8" i="30"/>
  <c r="H8" i="30"/>
  <c r="J8" i="30"/>
  <c r="L8" i="30"/>
  <c r="O8" i="30"/>
  <c r="P8" i="30"/>
  <c r="Q8" i="30"/>
  <c r="E9" i="30"/>
  <c r="F9" i="30"/>
  <c r="G9" i="30"/>
  <c r="H9" i="30"/>
  <c r="J9" i="30"/>
  <c r="L9" i="30"/>
  <c r="O9" i="30"/>
  <c r="P9" i="30"/>
  <c r="Q9" i="30"/>
  <c r="E10" i="30"/>
  <c r="F10" i="30"/>
  <c r="G10" i="30"/>
  <c r="H10" i="30"/>
  <c r="J10" i="30"/>
  <c r="L10" i="30"/>
  <c r="O10" i="30"/>
  <c r="P10" i="30"/>
  <c r="Q10" i="30"/>
  <c r="E11" i="30"/>
  <c r="F11" i="30"/>
  <c r="G11" i="30"/>
  <c r="H11" i="30"/>
  <c r="J11" i="30"/>
  <c r="L11" i="30"/>
  <c r="O11" i="30"/>
  <c r="P11" i="30"/>
  <c r="Q11" i="30"/>
  <c r="E12" i="30"/>
  <c r="F12" i="30"/>
  <c r="G12" i="30"/>
  <c r="H12" i="30"/>
  <c r="J12" i="30"/>
  <c r="L12" i="30"/>
  <c r="O12" i="30"/>
  <c r="P12" i="30"/>
  <c r="Q12" i="30"/>
  <c r="E13" i="30"/>
  <c r="G13" i="30"/>
  <c r="H13" i="30"/>
  <c r="J13" i="30"/>
  <c r="L13" i="30"/>
  <c r="O13" i="30"/>
  <c r="P13" i="30"/>
  <c r="Q13" i="30"/>
  <c r="E14" i="30"/>
  <c r="F14" i="30"/>
  <c r="G14" i="30"/>
  <c r="H14" i="30"/>
  <c r="J14" i="30"/>
  <c r="L14" i="30"/>
  <c r="O14" i="30"/>
  <c r="P14" i="30"/>
  <c r="Q14" i="30"/>
  <c r="E15" i="30"/>
  <c r="F15" i="30"/>
  <c r="G15" i="30"/>
  <c r="H15" i="30"/>
  <c r="J15" i="30"/>
  <c r="L15" i="30"/>
  <c r="O15" i="30"/>
  <c r="P15" i="30"/>
  <c r="Q15" i="30"/>
  <c r="E16" i="30"/>
  <c r="F16" i="30"/>
  <c r="G16" i="30"/>
  <c r="H16" i="30"/>
  <c r="J16" i="30"/>
  <c r="L16" i="30"/>
  <c r="O16" i="30"/>
  <c r="P16" i="30"/>
  <c r="Q16" i="30"/>
  <c r="E17" i="30"/>
  <c r="F17" i="30"/>
  <c r="G17" i="30"/>
  <c r="H17" i="30"/>
  <c r="I17" i="30"/>
  <c r="J17" i="30"/>
  <c r="L17" i="30"/>
  <c r="O17" i="30"/>
  <c r="P17" i="30"/>
  <c r="Q17" i="30"/>
  <c r="D4" i="30" l="1"/>
  <c r="E4" i="30"/>
  <c r="F4" i="30"/>
  <c r="G4" i="30"/>
  <c r="H4" i="30"/>
  <c r="I4" i="30"/>
  <c r="J4" i="30"/>
  <c r="K4" i="30"/>
  <c r="L4" i="30"/>
  <c r="M4" i="30"/>
  <c r="O4" i="30"/>
  <c r="P4" i="30"/>
  <c r="Q4" i="30"/>
  <c r="R4" i="30"/>
  <c r="S4" i="30"/>
  <c r="T4" i="30"/>
  <c r="E5" i="30"/>
  <c r="F5" i="30"/>
  <c r="G5" i="30"/>
  <c r="H5" i="30"/>
  <c r="I5" i="30"/>
  <c r="J5" i="30"/>
  <c r="L5" i="30"/>
  <c r="O5" i="30"/>
  <c r="P5" i="30"/>
  <c r="Q5" i="30"/>
  <c r="R5" i="30"/>
  <c r="S5" i="30"/>
  <c r="T5" i="30"/>
  <c r="E6" i="30"/>
  <c r="F6" i="30"/>
  <c r="G6" i="30"/>
  <c r="H6" i="30"/>
  <c r="J6" i="30"/>
  <c r="L6" i="30"/>
  <c r="O6" i="30"/>
  <c r="P6" i="30"/>
  <c r="Q6" i="30"/>
  <c r="R6" i="30"/>
  <c r="S6" i="30"/>
  <c r="T6" i="30"/>
  <c r="E7" i="30"/>
  <c r="F7" i="30"/>
  <c r="G7" i="30"/>
  <c r="H7" i="30"/>
  <c r="I7" i="30"/>
  <c r="J7" i="30"/>
  <c r="L7" i="30"/>
  <c r="O7" i="30"/>
  <c r="P7" i="30"/>
  <c r="Q7" i="30"/>
  <c r="R7" i="30"/>
  <c r="S7" i="30"/>
  <c r="T7" i="30"/>
  <c r="R8" i="30"/>
  <c r="S8" i="30"/>
  <c r="T8" i="30"/>
  <c r="R9" i="30"/>
  <c r="S9" i="30"/>
  <c r="T9" i="30"/>
  <c r="R10" i="30"/>
  <c r="S10" i="30"/>
  <c r="T10" i="30"/>
  <c r="R11" i="30"/>
  <c r="S11" i="30"/>
  <c r="T11" i="30"/>
  <c r="R12" i="30"/>
  <c r="S12" i="30"/>
  <c r="T12" i="30"/>
  <c r="R13" i="30"/>
  <c r="S13" i="30"/>
  <c r="T13" i="30"/>
  <c r="R14" i="30"/>
  <c r="S14" i="30"/>
  <c r="T14" i="30"/>
  <c r="R15" i="30"/>
  <c r="S15" i="30"/>
  <c r="T15" i="30"/>
  <c r="R16" i="30"/>
  <c r="S16" i="30"/>
  <c r="T16" i="30"/>
  <c r="R17" i="30"/>
  <c r="S17" i="30"/>
  <c r="T17" i="30"/>
  <c r="D18" i="30"/>
  <c r="E18" i="30"/>
  <c r="F18" i="30"/>
  <c r="G18" i="30"/>
  <c r="H18" i="30"/>
  <c r="I18" i="30"/>
  <c r="J18" i="30"/>
  <c r="K18" i="30"/>
  <c r="L18" i="30"/>
  <c r="M18" i="30"/>
  <c r="O18" i="30"/>
  <c r="P18" i="30"/>
  <c r="Q18" i="30"/>
  <c r="R18" i="30"/>
  <c r="S18" i="30"/>
  <c r="T18" i="30"/>
  <c r="D19" i="30"/>
  <c r="E19" i="30"/>
  <c r="F19" i="30"/>
  <c r="G19" i="30"/>
  <c r="H19" i="30"/>
  <c r="I19" i="30"/>
  <c r="J19" i="30"/>
  <c r="K19" i="30"/>
  <c r="L19" i="30"/>
  <c r="M19" i="30"/>
  <c r="O19" i="30"/>
  <c r="P19" i="30"/>
  <c r="Q19" i="30"/>
  <c r="R19" i="30"/>
  <c r="S19" i="30"/>
  <c r="T19" i="30"/>
  <c r="D20" i="30"/>
  <c r="E20" i="30"/>
  <c r="F20" i="30"/>
  <c r="G20" i="30"/>
  <c r="H20" i="30"/>
  <c r="I20" i="30"/>
  <c r="J20" i="30"/>
  <c r="L20" i="30"/>
  <c r="O20" i="30"/>
  <c r="P20" i="30"/>
  <c r="Q20" i="30"/>
  <c r="R20" i="30"/>
  <c r="S20" i="30"/>
  <c r="T20" i="30"/>
  <c r="D21" i="30"/>
  <c r="E21" i="30"/>
  <c r="F21" i="30"/>
  <c r="G21" i="30"/>
  <c r="H21" i="30"/>
  <c r="I21" i="30"/>
  <c r="J21" i="30"/>
  <c r="K21" i="30"/>
  <c r="L21" i="30"/>
  <c r="M21" i="30"/>
  <c r="O21" i="30"/>
  <c r="P21" i="30"/>
  <c r="Q21" i="30"/>
  <c r="R21" i="30"/>
  <c r="S21" i="30"/>
  <c r="T21" i="30"/>
  <c r="D22" i="30"/>
  <c r="E22" i="30"/>
  <c r="F22" i="30"/>
  <c r="G22" i="30"/>
  <c r="H22" i="30"/>
  <c r="I22" i="30"/>
  <c r="J22" i="30"/>
  <c r="K22" i="30"/>
  <c r="L22" i="30"/>
  <c r="M22" i="30"/>
  <c r="O22" i="30"/>
  <c r="P22" i="30"/>
  <c r="Q22" i="30"/>
  <c r="R22" i="30"/>
  <c r="S22" i="30"/>
  <c r="T22" i="30"/>
  <c r="D23" i="30"/>
  <c r="E23" i="30"/>
  <c r="F23" i="30"/>
  <c r="G23" i="30"/>
  <c r="H23" i="30"/>
  <c r="I23" i="30"/>
  <c r="J23" i="30"/>
  <c r="K23" i="30"/>
  <c r="L23" i="30"/>
  <c r="M23" i="30"/>
  <c r="O23" i="30"/>
  <c r="P23" i="30"/>
  <c r="Q23" i="30"/>
  <c r="R23" i="30"/>
  <c r="S23" i="30"/>
  <c r="T23" i="30"/>
  <c r="D24" i="30"/>
  <c r="E24" i="30"/>
  <c r="F24" i="30"/>
  <c r="G24" i="30"/>
  <c r="H24" i="30"/>
  <c r="I24" i="30"/>
  <c r="J24" i="30"/>
  <c r="K24" i="30"/>
  <c r="L24" i="30"/>
  <c r="M24" i="30"/>
  <c r="O24" i="30"/>
  <c r="P24" i="30"/>
  <c r="Q24" i="30"/>
  <c r="R24" i="30"/>
  <c r="S24" i="30"/>
  <c r="T24" i="30"/>
  <c r="D25" i="30"/>
  <c r="E25" i="30"/>
  <c r="F25" i="30"/>
  <c r="G25" i="30"/>
  <c r="H25" i="30"/>
  <c r="I25" i="30"/>
  <c r="J25" i="30"/>
  <c r="K25" i="30"/>
  <c r="L25" i="30"/>
  <c r="M25" i="30"/>
  <c r="O25" i="30"/>
  <c r="P25" i="30"/>
  <c r="Q25" i="30"/>
  <c r="R25" i="30"/>
  <c r="S25" i="30"/>
  <c r="T25" i="30"/>
  <c r="D26" i="30"/>
  <c r="E26" i="30"/>
  <c r="F26" i="30"/>
  <c r="G26" i="30"/>
  <c r="H26" i="30"/>
  <c r="I26" i="30"/>
  <c r="J26" i="30"/>
  <c r="K26" i="30"/>
  <c r="L26" i="30"/>
  <c r="M26" i="30"/>
  <c r="O26" i="30"/>
  <c r="P26" i="30"/>
  <c r="Q26" i="30"/>
  <c r="R26" i="30"/>
  <c r="S26" i="30"/>
  <c r="T26" i="30"/>
  <c r="D27" i="30"/>
  <c r="E27" i="30"/>
  <c r="F27" i="30"/>
  <c r="G27" i="30"/>
  <c r="H27" i="30"/>
  <c r="I27" i="30"/>
  <c r="J27" i="30"/>
  <c r="K27" i="30"/>
  <c r="L27" i="30"/>
  <c r="M27" i="30"/>
  <c r="O27" i="30"/>
  <c r="P27" i="30"/>
  <c r="Q27" i="30"/>
  <c r="R27" i="30"/>
  <c r="S27" i="30"/>
  <c r="T27" i="30"/>
  <c r="D28" i="30"/>
  <c r="E28" i="30"/>
  <c r="F28" i="30"/>
  <c r="G28" i="30"/>
  <c r="H28" i="30"/>
  <c r="I28" i="30"/>
  <c r="J28" i="30"/>
  <c r="K28" i="30"/>
  <c r="L28" i="30"/>
  <c r="M28" i="30"/>
  <c r="O28" i="30"/>
  <c r="P28" i="30"/>
  <c r="Q28" i="30"/>
  <c r="R28" i="30"/>
  <c r="S28" i="30"/>
  <c r="T28" i="30"/>
  <c r="D29" i="30"/>
  <c r="E29" i="30"/>
  <c r="F29" i="30"/>
  <c r="G29" i="30"/>
  <c r="H29" i="30"/>
  <c r="I29" i="30"/>
  <c r="J29" i="30"/>
  <c r="K29" i="30"/>
  <c r="L29" i="30"/>
  <c r="M29" i="30"/>
  <c r="O29" i="30"/>
  <c r="P29" i="30"/>
  <c r="Q29" i="30"/>
  <c r="R29" i="30"/>
  <c r="S29" i="30"/>
  <c r="T29" i="30"/>
  <c r="D30" i="30"/>
  <c r="E30" i="30"/>
  <c r="F30" i="30"/>
  <c r="G30" i="30"/>
  <c r="H30" i="30"/>
  <c r="I30" i="30"/>
  <c r="J30" i="30"/>
  <c r="K30" i="30"/>
  <c r="L30" i="30"/>
  <c r="M30" i="30"/>
  <c r="O30" i="30"/>
  <c r="P30" i="30"/>
  <c r="Q30" i="30"/>
  <c r="R30" i="30"/>
  <c r="S30" i="30"/>
  <c r="T30" i="30"/>
  <c r="D31" i="30"/>
  <c r="E31" i="30"/>
  <c r="F31" i="30"/>
  <c r="G31" i="30"/>
  <c r="H31" i="30"/>
  <c r="I31" i="30"/>
  <c r="J31" i="30"/>
  <c r="K31" i="30"/>
  <c r="L31" i="30"/>
  <c r="M31" i="30"/>
  <c r="O31" i="30"/>
  <c r="P31" i="30"/>
  <c r="Q31" i="30"/>
  <c r="R31" i="30"/>
  <c r="S31" i="30"/>
  <c r="T31" i="30"/>
  <c r="D32" i="30"/>
  <c r="E32" i="30"/>
  <c r="F32" i="30"/>
  <c r="G32" i="30"/>
  <c r="H32" i="30"/>
  <c r="I32" i="30"/>
  <c r="J32" i="30"/>
  <c r="K32" i="30"/>
  <c r="L32" i="30"/>
  <c r="M32" i="30"/>
  <c r="O32" i="30"/>
  <c r="P32" i="30"/>
  <c r="Q32" i="30"/>
  <c r="R32" i="30"/>
  <c r="S32" i="30"/>
  <c r="T32" i="30"/>
  <c r="D33" i="30"/>
  <c r="E33" i="30"/>
  <c r="F33" i="30"/>
  <c r="G33" i="30"/>
  <c r="H33" i="30"/>
  <c r="I33" i="30"/>
  <c r="J33" i="30"/>
  <c r="K33" i="30"/>
  <c r="L33" i="30"/>
  <c r="M33" i="30"/>
  <c r="O33" i="30"/>
  <c r="P33" i="30"/>
  <c r="Q33" i="30"/>
  <c r="R33" i="30"/>
  <c r="S33" i="30"/>
  <c r="T33" i="30"/>
  <c r="D34" i="30"/>
  <c r="E34" i="30"/>
  <c r="F34" i="30"/>
  <c r="G34" i="30"/>
  <c r="H34" i="30"/>
  <c r="I34" i="30"/>
  <c r="J34" i="30"/>
  <c r="K34" i="30"/>
  <c r="L34" i="30"/>
  <c r="M34" i="30"/>
  <c r="O34" i="30"/>
  <c r="P34" i="30"/>
  <c r="Q34" i="30"/>
  <c r="R34" i="30"/>
  <c r="S34" i="30"/>
  <c r="T34" i="30"/>
  <c r="D35" i="30"/>
  <c r="E35" i="30"/>
  <c r="F35" i="30"/>
  <c r="G35" i="30"/>
  <c r="H35" i="30"/>
  <c r="I35" i="30"/>
  <c r="J35" i="30"/>
  <c r="K35" i="30"/>
  <c r="L35" i="30"/>
  <c r="M35" i="30"/>
  <c r="O35" i="30"/>
  <c r="P35" i="30"/>
  <c r="Q35" i="30"/>
  <c r="R35" i="30"/>
  <c r="S35" i="30"/>
  <c r="T35" i="30"/>
  <c r="D36" i="30"/>
  <c r="E36" i="30"/>
  <c r="F36" i="30"/>
  <c r="G36" i="30"/>
  <c r="H36" i="30"/>
  <c r="I36" i="30"/>
  <c r="J36" i="30"/>
  <c r="K36" i="30"/>
  <c r="L36" i="30"/>
  <c r="M36" i="30"/>
  <c r="O36" i="30"/>
  <c r="P36" i="30"/>
  <c r="Q36" i="30"/>
  <c r="R36" i="30"/>
  <c r="S36" i="30"/>
  <c r="T36" i="30"/>
  <c r="D37" i="30"/>
  <c r="E37" i="30"/>
  <c r="F37" i="30"/>
  <c r="G37" i="30"/>
  <c r="H37" i="30"/>
  <c r="I37" i="30"/>
  <c r="J37" i="30"/>
  <c r="K37" i="30"/>
  <c r="L37" i="30"/>
  <c r="M37" i="30"/>
  <c r="O37" i="30"/>
  <c r="P37" i="30"/>
  <c r="Q37" i="30"/>
  <c r="R37" i="30"/>
  <c r="S37" i="30"/>
  <c r="T37" i="30"/>
  <c r="D38" i="30"/>
  <c r="E38" i="30"/>
  <c r="F38" i="30"/>
  <c r="G38" i="30"/>
  <c r="H38" i="30"/>
  <c r="I38" i="30"/>
  <c r="J38" i="30"/>
  <c r="K38" i="30"/>
  <c r="L38" i="30"/>
  <c r="M38" i="30"/>
  <c r="O38" i="30"/>
  <c r="P38" i="30"/>
  <c r="Q38" i="30"/>
  <c r="R38" i="30"/>
  <c r="S38" i="30"/>
  <c r="T38" i="30"/>
  <c r="D39" i="30"/>
  <c r="E39" i="30"/>
  <c r="F39" i="30"/>
  <c r="G39" i="30"/>
  <c r="H39" i="30"/>
  <c r="I39" i="30"/>
  <c r="J39" i="30"/>
  <c r="K39" i="30"/>
  <c r="L39" i="30"/>
  <c r="M39" i="30"/>
  <c r="O39" i="30"/>
  <c r="P39" i="30"/>
  <c r="Q39" i="30"/>
  <c r="R39" i="30"/>
  <c r="S39" i="30"/>
  <c r="T39" i="30"/>
  <c r="D40" i="30"/>
  <c r="E40" i="30"/>
  <c r="F40" i="30"/>
  <c r="G40" i="30"/>
  <c r="H40" i="30"/>
  <c r="I40" i="30"/>
  <c r="J40" i="30"/>
  <c r="K40" i="30"/>
  <c r="L40" i="30"/>
  <c r="M40" i="30"/>
  <c r="O40" i="30"/>
  <c r="P40" i="30"/>
  <c r="Q40" i="30"/>
  <c r="R40" i="30"/>
  <c r="S40" i="30"/>
  <c r="T40" i="30"/>
  <c r="D41" i="30"/>
  <c r="E41" i="30"/>
  <c r="F41" i="30"/>
  <c r="G41" i="30"/>
  <c r="H41" i="30"/>
  <c r="I41" i="30"/>
  <c r="J41" i="30"/>
  <c r="K41" i="30"/>
  <c r="L41" i="30"/>
  <c r="M41" i="30"/>
  <c r="O41" i="30"/>
  <c r="P41" i="30"/>
  <c r="Q41" i="30"/>
  <c r="R41" i="30"/>
  <c r="S41" i="30"/>
  <c r="T41" i="30"/>
  <c r="D42" i="30"/>
  <c r="E42" i="30"/>
  <c r="F42" i="30"/>
  <c r="G42" i="30"/>
  <c r="H42" i="30"/>
  <c r="I42" i="30"/>
  <c r="J42" i="30"/>
  <c r="K42" i="30"/>
  <c r="L42" i="30"/>
  <c r="M42" i="30"/>
  <c r="O42" i="30"/>
  <c r="P42" i="30"/>
  <c r="Q42" i="30"/>
  <c r="R42" i="30"/>
  <c r="S42" i="30"/>
  <c r="T42" i="30"/>
  <c r="D43" i="30"/>
  <c r="E43" i="30"/>
  <c r="F43" i="30"/>
  <c r="G43" i="30"/>
  <c r="H43" i="30"/>
  <c r="I43" i="30"/>
  <c r="J43" i="30"/>
  <c r="K43" i="30"/>
  <c r="L43" i="30"/>
  <c r="M43" i="30"/>
  <c r="O43" i="30"/>
  <c r="P43" i="30"/>
  <c r="Q43" i="30"/>
  <c r="R43" i="30"/>
  <c r="S43" i="30"/>
  <c r="T43" i="30"/>
  <c r="D44" i="30"/>
  <c r="E44" i="30"/>
  <c r="F44" i="30"/>
  <c r="G44" i="30"/>
  <c r="H44" i="30"/>
  <c r="I44" i="30"/>
  <c r="J44" i="30"/>
  <c r="K44" i="30"/>
  <c r="L44" i="30"/>
  <c r="M44" i="30"/>
  <c r="O44" i="30"/>
  <c r="P44" i="30"/>
  <c r="Q44" i="30"/>
  <c r="R44" i="30"/>
  <c r="S44" i="30"/>
  <c r="T44" i="30"/>
  <c r="D45" i="30"/>
  <c r="E45" i="30"/>
  <c r="F45" i="30"/>
  <c r="G45" i="30"/>
  <c r="H45" i="30"/>
  <c r="I45" i="30"/>
  <c r="J45" i="30"/>
  <c r="K45" i="30"/>
  <c r="L45" i="30"/>
  <c r="M45" i="30"/>
  <c r="O45" i="30"/>
  <c r="P45" i="30"/>
  <c r="Q45" i="30"/>
  <c r="R45" i="30"/>
  <c r="S45" i="30"/>
  <c r="T45" i="30"/>
  <c r="D46" i="30"/>
  <c r="E46" i="30"/>
  <c r="F46" i="30"/>
  <c r="G46" i="30"/>
  <c r="H46" i="30"/>
  <c r="I46" i="30"/>
  <c r="J46" i="30"/>
  <c r="K46" i="30"/>
  <c r="L46" i="30"/>
  <c r="M46" i="30"/>
  <c r="O46" i="30"/>
  <c r="P46" i="30"/>
  <c r="Q46" i="30"/>
  <c r="R46" i="30"/>
  <c r="S46" i="30"/>
  <c r="T46" i="30"/>
  <c r="D47" i="30"/>
  <c r="E47" i="30"/>
  <c r="F47" i="30"/>
  <c r="G47" i="30"/>
  <c r="H47" i="30"/>
  <c r="I47" i="30"/>
  <c r="J47" i="30"/>
  <c r="K47" i="30"/>
  <c r="L47" i="30"/>
  <c r="M47" i="30"/>
  <c r="O47" i="30"/>
  <c r="P47" i="30"/>
  <c r="Q47" i="30"/>
  <c r="R47" i="30"/>
  <c r="S47" i="30"/>
  <c r="T47" i="30"/>
  <c r="D48" i="30"/>
  <c r="E48" i="30"/>
  <c r="F48" i="30"/>
  <c r="G48" i="30"/>
  <c r="H48" i="30"/>
  <c r="I48" i="30"/>
  <c r="J48" i="30"/>
  <c r="K48" i="30"/>
  <c r="L48" i="30"/>
  <c r="M48" i="30"/>
  <c r="O48" i="30"/>
  <c r="P48" i="30"/>
  <c r="Q48" i="30"/>
  <c r="R48" i="30"/>
  <c r="S48" i="30"/>
  <c r="T48" i="30"/>
  <c r="D49" i="30"/>
  <c r="E49" i="30"/>
  <c r="F49" i="30"/>
  <c r="G49" i="30"/>
  <c r="H49" i="30"/>
  <c r="I49" i="30"/>
  <c r="J49" i="30"/>
  <c r="K49" i="30"/>
  <c r="L49" i="30"/>
  <c r="M49" i="30"/>
  <c r="O49" i="30"/>
  <c r="P49" i="30"/>
  <c r="Q49" i="30"/>
  <c r="R49" i="30"/>
  <c r="S49" i="30"/>
  <c r="T49" i="30"/>
  <c r="D50" i="30"/>
  <c r="E50" i="30"/>
  <c r="F50" i="30"/>
  <c r="G50" i="30"/>
  <c r="H50" i="30"/>
  <c r="I50" i="30"/>
  <c r="J50" i="30"/>
  <c r="K50" i="30"/>
  <c r="L50" i="30"/>
  <c r="M50" i="30"/>
  <c r="O50" i="30"/>
  <c r="P50" i="30"/>
  <c r="Q50" i="30"/>
  <c r="R50" i="30"/>
  <c r="S50" i="30"/>
  <c r="T50" i="30"/>
  <c r="D51" i="30"/>
  <c r="E51" i="30"/>
  <c r="F51" i="30"/>
  <c r="G51" i="30"/>
  <c r="H51" i="30"/>
  <c r="I51" i="30"/>
  <c r="J51" i="30"/>
  <c r="K51" i="30"/>
  <c r="L51" i="30"/>
  <c r="M51" i="30"/>
  <c r="O51" i="30"/>
  <c r="P51" i="30"/>
  <c r="Q51" i="30"/>
  <c r="R51" i="30"/>
  <c r="S51" i="30"/>
  <c r="T51" i="30"/>
  <c r="D52" i="30"/>
  <c r="E52" i="30"/>
  <c r="F52" i="30"/>
  <c r="G52" i="30"/>
  <c r="H52" i="30"/>
  <c r="I52" i="30"/>
  <c r="J52" i="30"/>
  <c r="K52" i="30"/>
  <c r="L52" i="30"/>
  <c r="M52" i="30"/>
  <c r="O52" i="30"/>
  <c r="P52" i="30"/>
  <c r="Q52" i="30"/>
  <c r="R52" i="30"/>
  <c r="S52" i="30"/>
  <c r="T52" i="30"/>
  <c r="D53" i="30"/>
  <c r="E53" i="30"/>
  <c r="F53" i="30"/>
  <c r="G53" i="30"/>
  <c r="H53" i="30"/>
  <c r="I53" i="30"/>
  <c r="J53" i="30"/>
  <c r="K53" i="30"/>
  <c r="L53" i="30"/>
  <c r="M53" i="30"/>
  <c r="O53" i="30"/>
  <c r="P53" i="30"/>
  <c r="Q53" i="30"/>
  <c r="R53" i="30"/>
  <c r="S53" i="30"/>
  <c r="T53" i="30"/>
  <c r="D54" i="30"/>
  <c r="E54" i="30"/>
  <c r="F54" i="30"/>
  <c r="G54" i="30"/>
  <c r="H54" i="30"/>
  <c r="I54" i="30"/>
  <c r="J54" i="30"/>
  <c r="K54" i="30"/>
  <c r="L54" i="30"/>
  <c r="M54" i="30"/>
  <c r="O54" i="30"/>
  <c r="P54" i="30"/>
  <c r="Q54" i="30"/>
  <c r="R54" i="30"/>
  <c r="S54" i="30"/>
  <c r="T54" i="30"/>
  <c r="D55" i="30"/>
  <c r="E55" i="30"/>
  <c r="F55" i="30"/>
  <c r="G55" i="30"/>
  <c r="H55" i="30"/>
  <c r="I55" i="30"/>
  <c r="J55" i="30"/>
  <c r="K55" i="30"/>
  <c r="L55" i="30"/>
  <c r="M55" i="30"/>
  <c r="O55" i="30"/>
  <c r="P55" i="30"/>
  <c r="Q55" i="30"/>
  <c r="R55" i="30"/>
  <c r="S55" i="30"/>
  <c r="T55" i="30"/>
  <c r="D56" i="30"/>
  <c r="E56" i="30"/>
  <c r="F56" i="30"/>
  <c r="G56" i="30"/>
  <c r="H56" i="30"/>
  <c r="I56" i="30"/>
  <c r="J56" i="30"/>
  <c r="K56" i="30"/>
  <c r="L56" i="30"/>
  <c r="M56" i="30"/>
  <c r="O56" i="30"/>
  <c r="P56" i="30"/>
  <c r="Q56" i="30"/>
  <c r="R56" i="30"/>
  <c r="S56" i="30"/>
  <c r="T56" i="30"/>
  <c r="D57" i="30"/>
  <c r="E57" i="30"/>
  <c r="F57" i="30"/>
  <c r="G57" i="30"/>
  <c r="H57" i="30"/>
  <c r="I57" i="30"/>
  <c r="J57" i="30"/>
  <c r="K57" i="30"/>
  <c r="L57" i="30"/>
  <c r="M57" i="30"/>
  <c r="O57" i="30"/>
  <c r="P57" i="30"/>
  <c r="Q57" i="30"/>
  <c r="R57" i="30"/>
  <c r="S57" i="30"/>
  <c r="T57" i="30"/>
  <c r="D58" i="30"/>
  <c r="E58" i="30"/>
  <c r="F58" i="30"/>
  <c r="G58" i="30"/>
  <c r="H58" i="30"/>
  <c r="I58" i="30"/>
  <c r="J58" i="30"/>
  <c r="K58" i="30"/>
  <c r="L58" i="30"/>
  <c r="M58" i="30"/>
  <c r="O58" i="30"/>
  <c r="P58" i="30"/>
  <c r="Q58" i="30"/>
  <c r="R58" i="30"/>
  <c r="S58" i="30"/>
  <c r="T58" i="30"/>
  <c r="D59" i="30"/>
  <c r="E59" i="30"/>
  <c r="F59" i="30"/>
  <c r="G59" i="30"/>
  <c r="H59" i="30"/>
  <c r="I59" i="30"/>
  <c r="J59" i="30"/>
  <c r="K59" i="30"/>
  <c r="L59" i="30"/>
  <c r="M59" i="30"/>
  <c r="O59" i="30"/>
  <c r="P59" i="30"/>
  <c r="Q59" i="30"/>
  <c r="R59" i="30"/>
  <c r="S59" i="30"/>
  <c r="T59" i="30"/>
  <c r="D60" i="30"/>
  <c r="E60" i="30"/>
  <c r="F60" i="30"/>
  <c r="G60" i="30"/>
  <c r="H60" i="30"/>
  <c r="I60" i="30"/>
  <c r="J60" i="30"/>
  <c r="K60" i="30"/>
  <c r="L60" i="30"/>
  <c r="M60" i="30"/>
  <c r="O60" i="30"/>
  <c r="P60" i="30"/>
  <c r="Q60" i="30"/>
  <c r="R60" i="30"/>
  <c r="S60" i="30"/>
  <c r="T60" i="30"/>
  <c r="D61" i="30"/>
  <c r="E61" i="30"/>
  <c r="F61" i="30"/>
  <c r="G61" i="30"/>
  <c r="H61" i="30"/>
  <c r="I61" i="30"/>
  <c r="J61" i="30"/>
  <c r="K61" i="30"/>
  <c r="L61" i="30"/>
  <c r="M61" i="30"/>
  <c r="O61" i="30"/>
  <c r="P61" i="30"/>
  <c r="Q61" i="30"/>
  <c r="R61" i="30"/>
  <c r="S61" i="30"/>
  <c r="T61" i="30"/>
  <c r="D62" i="30"/>
  <c r="E62" i="30"/>
  <c r="F62" i="30"/>
  <c r="G62" i="30"/>
  <c r="H62" i="30"/>
  <c r="I62" i="30"/>
  <c r="J62" i="30"/>
  <c r="K62" i="30"/>
  <c r="L62" i="30"/>
  <c r="M62" i="30"/>
  <c r="O62" i="30"/>
  <c r="P62" i="30"/>
  <c r="Q62" i="30"/>
  <c r="R62" i="30"/>
  <c r="S62" i="30"/>
  <c r="T62" i="30"/>
  <c r="D63" i="30"/>
  <c r="E63" i="30"/>
  <c r="F63" i="30"/>
  <c r="G63" i="30"/>
  <c r="H63" i="30"/>
  <c r="I63" i="30"/>
  <c r="J63" i="30"/>
  <c r="K63" i="30"/>
  <c r="L63" i="30"/>
  <c r="M63" i="30"/>
  <c r="O63" i="30"/>
  <c r="P63" i="30"/>
  <c r="Q63" i="30"/>
  <c r="R63" i="30"/>
  <c r="S63" i="30"/>
  <c r="T63" i="30"/>
  <c r="D64" i="30"/>
  <c r="E64" i="30"/>
  <c r="F64" i="30"/>
  <c r="G64" i="30"/>
  <c r="H64" i="30"/>
  <c r="I64" i="30"/>
  <c r="J64" i="30"/>
  <c r="K64" i="30"/>
  <c r="L64" i="30"/>
  <c r="M64" i="30"/>
  <c r="O64" i="30"/>
  <c r="P64" i="30"/>
  <c r="Q64" i="30"/>
  <c r="R64" i="30"/>
  <c r="S64" i="30"/>
  <c r="T64" i="30"/>
  <c r="D65" i="30"/>
  <c r="E65" i="30"/>
  <c r="F65" i="30"/>
  <c r="G65" i="30"/>
  <c r="H65" i="30"/>
  <c r="I65" i="30"/>
  <c r="J65" i="30"/>
  <c r="K65" i="30"/>
  <c r="L65" i="30"/>
  <c r="M65" i="30"/>
  <c r="O65" i="30"/>
  <c r="P65" i="30"/>
  <c r="Q65" i="30"/>
  <c r="R65" i="30"/>
  <c r="S65" i="30"/>
  <c r="T65" i="30"/>
  <c r="D66" i="30"/>
  <c r="E66" i="30"/>
  <c r="F66" i="30"/>
  <c r="G66" i="30"/>
  <c r="H66" i="30"/>
  <c r="I66" i="30"/>
  <c r="J66" i="30"/>
  <c r="K66" i="30"/>
  <c r="L66" i="30"/>
  <c r="M66" i="30"/>
  <c r="O66" i="30"/>
  <c r="P66" i="30"/>
  <c r="Q66" i="30"/>
  <c r="R66" i="30"/>
  <c r="S66" i="30"/>
  <c r="T66" i="30"/>
  <c r="D67" i="30"/>
  <c r="E67" i="30"/>
  <c r="F67" i="30"/>
  <c r="G67" i="30"/>
  <c r="H67" i="30"/>
  <c r="I67" i="30"/>
  <c r="J67" i="30"/>
  <c r="K67" i="30"/>
  <c r="L67" i="30"/>
  <c r="M67" i="30"/>
  <c r="O67" i="30"/>
  <c r="P67" i="30"/>
  <c r="Q67" i="30"/>
  <c r="R67" i="30"/>
  <c r="S67" i="30"/>
  <c r="T67" i="30"/>
  <c r="D68" i="30"/>
  <c r="E68" i="30"/>
  <c r="F68" i="30"/>
  <c r="G68" i="30"/>
  <c r="H68" i="30"/>
  <c r="I68" i="30"/>
  <c r="J68" i="30"/>
  <c r="K68" i="30"/>
  <c r="L68" i="30"/>
  <c r="M68" i="30"/>
  <c r="O68" i="30"/>
  <c r="P68" i="30"/>
  <c r="Q68" i="30"/>
  <c r="R68" i="30"/>
  <c r="S68" i="30"/>
  <c r="T68" i="30"/>
  <c r="D69" i="30"/>
  <c r="E69" i="30"/>
  <c r="F69" i="30"/>
  <c r="G69" i="30"/>
  <c r="H69" i="30"/>
  <c r="I69" i="30"/>
  <c r="J69" i="30"/>
  <c r="K69" i="30"/>
  <c r="L69" i="30"/>
  <c r="M69" i="30"/>
  <c r="O69" i="30"/>
  <c r="P69" i="30"/>
  <c r="Q69" i="30"/>
  <c r="R69" i="30"/>
  <c r="S69" i="30"/>
  <c r="T69" i="30"/>
  <c r="D70" i="30"/>
  <c r="E70" i="30"/>
  <c r="F70" i="30"/>
  <c r="G70" i="30"/>
  <c r="H70" i="30"/>
  <c r="I70" i="30"/>
  <c r="J70" i="30"/>
  <c r="K70" i="30"/>
  <c r="L70" i="30"/>
  <c r="M70" i="30"/>
  <c r="O70" i="30"/>
  <c r="P70" i="30"/>
  <c r="Q70" i="30"/>
  <c r="R70" i="30"/>
  <c r="S70" i="30"/>
  <c r="T70" i="30"/>
  <c r="D71" i="30"/>
  <c r="E71" i="30"/>
  <c r="F71" i="30"/>
  <c r="G71" i="30"/>
  <c r="H71" i="30"/>
  <c r="I71" i="30"/>
  <c r="J71" i="30"/>
  <c r="K71" i="30"/>
  <c r="L71" i="30"/>
  <c r="M71" i="30"/>
  <c r="O71" i="30"/>
  <c r="P71" i="30"/>
  <c r="Q71" i="30"/>
  <c r="R71" i="30"/>
  <c r="S71" i="30"/>
  <c r="T71" i="30"/>
  <c r="D72" i="30"/>
  <c r="E72" i="30"/>
  <c r="F72" i="30"/>
  <c r="G72" i="30"/>
  <c r="H72" i="30"/>
  <c r="I72" i="30"/>
  <c r="J72" i="30"/>
  <c r="K72" i="30"/>
  <c r="L72" i="30"/>
  <c r="M72" i="30"/>
  <c r="O72" i="30"/>
  <c r="P72" i="30"/>
  <c r="Q72" i="30"/>
  <c r="R72" i="30"/>
  <c r="S72" i="30"/>
  <c r="T72" i="30"/>
  <c r="D73" i="30"/>
  <c r="E73" i="30"/>
  <c r="F73" i="30"/>
  <c r="G73" i="30"/>
  <c r="H73" i="30"/>
  <c r="I73" i="30"/>
  <c r="J73" i="30"/>
  <c r="K73" i="30"/>
  <c r="L73" i="30"/>
  <c r="M73" i="30"/>
  <c r="O73" i="30"/>
  <c r="P73" i="30"/>
  <c r="Q73" i="30"/>
  <c r="R73" i="30"/>
  <c r="S73" i="30"/>
  <c r="T73" i="30"/>
  <c r="D74" i="30"/>
  <c r="E74" i="30"/>
  <c r="F74" i="30"/>
  <c r="G74" i="30"/>
  <c r="H74" i="30"/>
  <c r="I74" i="30"/>
  <c r="J74" i="30"/>
  <c r="K74" i="30"/>
  <c r="L74" i="30"/>
  <c r="M74" i="30"/>
  <c r="O74" i="30"/>
  <c r="P74" i="30"/>
  <c r="Q74" i="30"/>
  <c r="R74" i="30"/>
  <c r="S74" i="30"/>
  <c r="T74" i="30"/>
  <c r="D75" i="30"/>
  <c r="E75" i="30"/>
  <c r="F75" i="30"/>
  <c r="G75" i="30"/>
  <c r="H75" i="30"/>
  <c r="I75" i="30"/>
  <c r="J75" i="30"/>
  <c r="K75" i="30"/>
  <c r="L75" i="30"/>
  <c r="M75" i="30"/>
  <c r="O75" i="30"/>
  <c r="P75" i="30"/>
  <c r="Q75" i="30"/>
  <c r="R75" i="30"/>
  <c r="S75" i="30"/>
  <c r="T75" i="30"/>
  <c r="D76" i="30"/>
  <c r="E76" i="30"/>
  <c r="F76" i="30"/>
  <c r="G76" i="30"/>
  <c r="H76" i="30"/>
  <c r="I76" i="30"/>
  <c r="J76" i="30"/>
  <c r="K76" i="30"/>
  <c r="L76" i="30"/>
  <c r="M76" i="30"/>
  <c r="O76" i="30"/>
  <c r="P76" i="30"/>
  <c r="Q76" i="30"/>
  <c r="R76" i="30"/>
  <c r="S76" i="30"/>
  <c r="T76" i="30"/>
  <c r="D77" i="30"/>
  <c r="E77" i="30"/>
  <c r="F77" i="30"/>
  <c r="G77" i="30"/>
  <c r="H77" i="30"/>
  <c r="I77" i="30"/>
  <c r="J77" i="30"/>
  <c r="K77" i="30"/>
  <c r="L77" i="30"/>
  <c r="M77" i="30"/>
  <c r="O77" i="30"/>
  <c r="P77" i="30"/>
  <c r="Q77" i="30"/>
  <c r="R77" i="30"/>
  <c r="S77" i="30"/>
  <c r="T77" i="30"/>
  <c r="D78" i="30"/>
  <c r="E78" i="30"/>
  <c r="F78" i="30"/>
  <c r="G78" i="30"/>
  <c r="H78" i="30"/>
  <c r="I78" i="30"/>
  <c r="J78" i="30"/>
  <c r="K78" i="30"/>
  <c r="L78" i="30"/>
  <c r="M78" i="30"/>
  <c r="O78" i="30"/>
  <c r="P78" i="30"/>
  <c r="Q78" i="30"/>
  <c r="R78" i="30"/>
  <c r="S78" i="30"/>
  <c r="T78" i="30"/>
  <c r="D79" i="30"/>
  <c r="E79" i="30"/>
  <c r="F79" i="30"/>
  <c r="G79" i="30"/>
  <c r="H79" i="30"/>
  <c r="I79" i="30"/>
  <c r="J79" i="30"/>
  <c r="K79" i="30"/>
  <c r="L79" i="30"/>
  <c r="M79" i="30"/>
  <c r="O79" i="30"/>
  <c r="P79" i="30"/>
  <c r="Q79" i="30"/>
  <c r="R79" i="30"/>
  <c r="S79" i="30"/>
  <c r="T79" i="30"/>
  <c r="D80" i="30"/>
  <c r="E80" i="30"/>
  <c r="F80" i="30"/>
  <c r="G80" i="30"/>
  <c r="H80" i="30"/>
  <c r="I80" i="30"/>
  <c r="J80" i="30"/>
  <c r="K80" i="30"/>
  <c r="L80" i="30"/>
  <c r="M80" i="30"/>
  <c r="O80" i="30"/>
  <c r="P80" i="30"/>
  <c r="Q80" i="30"/>
  <c r="R80" i="30"/>
  <c r="S80" i="30"/>
  <c r="T80" i="30"/>
  <c r="D81" i="30"/>
  <c r="E81" i="30"/>
  <c r="F81" i="30"/>
  <c r="G81" i="30"/>
  <c r="H81" i="30"/>
  <c r="I81" i="30"/>
  <c r="J81" i="30"/>
  <c r="K81" i="30"/>
  <c r="L81" i="30"/>
  <c r="M81" i="30"/>
  <c r="O81" i="30"/>
  <c r="P81" i="30"/>
  <c r="Q81" i="30"/>
  <c r="R81" i="30"/>
  <c r="S81" i="30"/>
  <c r="T81" i="30"/>
  <c r="D82" i="30"/>
  <c r="E82" i="30"/>
  <c r="F82" i="30"/>
  <c r="G82" i="30"/>
  <c r="H82" i="30"/>
  <c r="I82" i="30"/>
  <c r="J82" i="30"/>
  <c r="K82" i="30"/>
  <c r="L82" i="30"/>
  <c r="M82" i="30"/>
  <c r="O82" i="30"/>
  <c r="P82" i="30"/>
  <c r="Q82" i="30"/>
  <c r="R82" i="30"/>
  <c r="S82" i="30"/>
  <c r="T82" i="30"/>
  <c r="D83" i="30"/>
  <c r="E83" i="30"/>
  <c r="F83" i="30"/>
  <c r="G83" i="30"/>
  <c r="H83" i="30"/>
  <c r="I83" i="30"/>
  <c r="J83" i="30"/>
  <c r="K83" i="30"/>
  <c r="L83" i="30"/>
  <c r="M83" i="30"/>
  <c r="O83" i="30"/>
  <c r="P83" i="30"/>
  <c r="Q83" i="30"/>
  <c r="R83" i="30"/>
  <c r="S83" i="30"/>
  <c r="T83" i="30"/>
  <c r="D84" i="30"/>
  <c r="E84" i="30"/>
  <c r="F84" i="30"/>
  <c r="G84" i="30"/>
  <c r="H84" i="30"/>
  <c r="I84" i="30"/>
  <c r="J84" i="30"/>
  <c r="K84" i="30"/>
  <c r="L84" i="30"/>
  <c r="M84" i="30"/>
  <c r="O84" i="30"/>
  <c r="P84" i="30"/>
  <c r="Q84" i="30"/>
  <c r="R84" i="30"/>
  <c r="S84" i="30"/>
  <c r="T84" i="30"/>
  <c r="D85" i="30"/>
  <c r="E85" i="30"/>
  <c r="F85" i="30"/>
  <c r="G85" i="30"/>
  <c r="H85" i="30"/>
  <c r="I85" i="30"/>
  <c r="J85" i="30"/>
  <c r="K85" i="30"/>
  <c r="L85" i="30"/>
  <c r="M85" i="30"/>
  <c r="O85" i="30"/>
  <c r="P85" i="30"/>
  <c r="Q85" i="30"/>
  <c r="R85" i="30"/>
  <c r="S85" i="30"/>
  <c r="T85" i="30"/>
  <c r="D86" i="30"/>
  <c r="E86" i="30"/>
  <c r="F86" i="30"/>
  <c r="G86" i="30"/>
  <c r="H86" i="30"/>
  <c r="I86" i="30"/>
  <c r="J86" i="30"/>
  <c r="K86" i="30"/>
  <c r="L86" i="30"/>
  <c r="M86" i="30"/>
  <c r="O86" i="30"/>
  <c r="P86" i="30"/>
  <c r="Q86" i="30"/>
  <c r="R86" i="30"/>
  <c r="S86" i="30"/>
  <c r="T86" i="30"/>
  <c r="D87" i="30"/>
  <c r="E87" i="30"/>
  <c r="F87" i="30"/>
  <c r="G87" i="30"/>
  <c r="H87" i="30"/>
  <c r="I87" i="30"/>
  <c r="J87" i="30"/>
  <c r="K87" i="30"/>
  <c r="L87" i="30"/>
  <c r="M87" i="30"/>
  <c r="O87" i="30"/>
  <c r="P87" i="30"/>
  <c r="Q87" i="30"/>
  <c r="R87" i="30"/>
  <c r="S87" i="30"/>
  <c r="T87" i="30"/>
  <c r="D88" i="30"/>
  <c r="E88" i="30"/>
  <c r="F88" i="30"/>
  <c r="G88" i="30"/>
  <c r="H88" i="30"/>
  <c r="I88" i="30"/>
  <c r="J88" i="30"/>
  <c r="K88" i="30"/>
  <c r="L88" i="30"/>
  <c r="M88" i="30"/>
  <c r="O88" i="30"/>
  <c r="P88" i="30"/>
  <c r="Q88" i="30"/>
  <c r="R88" i="30"/>
  <c r="S88" i="30"/>
  <c r="T88" i="30"/>
  <c r="D89" i="30"/>
  <c r="E89" i="30"/>
  <c r="F89" i="30"/>
  <c r="G89" i="30"/>
  <c r="H89" i="30"/>
  <c r="I89" i="30"/>
  <c r="J89" i="30"/>
  <c r="K89" i="30"/>
  <c r="L89" i="30"/>
  <c r="M89" i="30"/>
  <c r="O89" i="30"/>
  <c r="P89" i="30"/>
  <c r="Q89" i="30"/>
  <c r="R89" i="30"/>
  <c r="S89" i="30"/>
  <c r="T89" i="30"/>
  <c r="D90" i="30"/>
  <c r="E90" i="30"/>
  <c r="F90" i="30"/>
  <c r="G90" i="30"/>
  <c r="H90" i="30"/>
  <c r="I90" i="30"/>
  <c r="J90" i="30"/>
  <c r="K90" i="30"/>
  <c r="L90" i="30"/>
  <c r="M90" i="30"/>
  <c r="O90" i="30"/>
  <c r="P90" i="30"/>
  <c r="Q90" i="30"/>
  <c r="R90" i="30"/>
  <c r="S90" i="30"/>
  <c r="T90" i="30"/>
  <c r="D91" i="30"/>
  <c r="E91" i="30"/>
  <c r="F91" i="30"/>
  <c r="G91" i="30"/>
  <c r="H91" i="30"/>
  <c r="I91" i="30"/>
  <c r="J91" i="30"/>
  <c r="K91" i="30"/>
  <c r="L91" i="30"/>
  <c r="M91" i="30"/>
  <c r="O91" i="30"/>
  <c r="P91" i="30"/>
  <c r="Q91" i="30"/>
  <c r="R91" i="30"/>
  <c r="S91" i="30"/>
  <c r="T91" i="30"/>
  <c r="D92" i="30"/>
  <c r="E92" i="30"/>
  <c r="F92" i="30"/>
  <c r="G92" i="30"/>
  <c r="H92" i="30"/>
  <c r="I92" i="30"/>
  <c r="J92" i="30"/>
  <c r="K92" i="30"/>
  <c r="L92" i="30"/>
  <c r="M92" i="30"/>
  <c r="O92" i="30"/>
  <c r="P92" i="30"/>
  <c r="Q92" i="30"/>
  <c r="R92" i="30"/>
  <c r="S92" i="30"/>
  <c r="T92" i="30"/>
  <c r="D93" i="30"/>
  <c r="E93" i="30"/>
  <c r="F93" i="30"/>
  <c r="G93" i="30"/>
  <c r="H93" i="30"/>
  <c r="I93" i="30"/>
  <c r="J93" i="30"/>
  <c r="K93" i="30"/>
  <c r="L93" i="30"/>
  <c r="M93" i="30"/>
  <c r="O93" i="30"/>
  <c r="P93" i="30"/>
  <c r="Q93" i="30"/>
  <c r="R93" i="30"/>
  <c r="S93" i="30"/>
  <c r="T93" i="30"/>
  <c r="D94" i="30"/>
  <c r="E94" i="30"/>
  <c r="F94" i="30"/>
  <c r="G94" i="30"/>
  <c r="H94" i="30"/>
  <c r="I94" i="30"/>
  <c r="J94" i="30"/>
  <c r="K94" i="30"/>
  <c r="L94" i="30"/>
  <c r="M94" i="30"/>
  <c r="O94" i="30"/>
  <c r="P94" i="30"/>
  <c r="Q94" i="30"/>
  <c r="R94" i="30"/>
  <c r="S94" i="30"/>
  <c r="T94" i="30"/>
  <c r="D95" i="30"/>
  <c r="E95" i="30"/>
  <c r="F95" i="30"/>
  <c r="G95" i="30"/>
  <c r="H95" i="30"/>
  <c r="I95" i="30"/>
  <c r="J95" i="30"/>
  <c r="K95" i="30"/>
  <c r="L95" i="30"/>
  <c r="M95" i="30"/>
  <c r="O95" i="30"/>
  <c r="P95" i="30"/>
  <c r="Q95" i="30"/>
  <c r="R95" i="30"/>
  <c r="S95" i="30"/>
  <c r="T95" i="30"/>
  <c r="D96" i="30"/>
  <c r="E96" i="30"/>
  <c r="F96" i="30"/>
  <c r="G96" i="30"/>
  <c r="H96" i="30"/>
  <c r="I96" i="30"/>
  <c r="J96" i="30"/>
  <c r="K96" i="30"/>
  <c r="L96" i="30"/>
  <c r="M96" i="30"/>
  <c r="O96" i="30"/>
  <c r="P96" i="30"/>
  <c r="Q96" i="30"/>
  <c r="R96" i="30"/>
  <c r="S96" i="30"/>
  <c r="T96" i="30"/>
  <c r="D97" i="30"/>
  <c r="E97" i="30"/>
  <c r="F97" i="30"/>
  <c r="G97" i="30"/>
  <c r="H97" i="30"/>
  <c r="I97" i="30"/>
  <c r="J97" i="30"/>
  <c r="K97" i="30"/>
  <c r="L97" i="30"/>
  <c r="M97" i="30"/>
  <c r="O97" i="30"/>
  <c r="P97" i="30"/>
  <c r="Q97" i="30"/>
  <c r="R97" i="30"/>
  <c r="S97" i="30"/>
  <c r="T97" i="30"/>
  <c r="D98" i="30"/>
  <c r="E98" i="30"/>
  <c r="F98" i="30"/>
  <c r="G98" i="30"/>
  <c r="H98" i="30"/>
  <c r="I98" i="30"/>
  <c r="J98" i="30"/>
  <c r="K98" i="30"/>
  <c r="L98" i="30"/>
  <c r="M98" i="30"/>
  <c r="O98" i="30"/>
  <c r="P98" i="30"/>
  <c r="Q98" i="30"/>
  <c r="R98" i="30"/>
  <c r="S98" i="30"/>
  <c r="T98" i="30"/>
  <c r="D99" i="30"/>
  <c r="E99" i="30"/>
  <c r="F99" i="30"/>
  <c r="G99" i="30"/>
  <c r="H99" i="30"/>
  <c r="I99" i="30"/>
  <c r="J99" i="30"/>
  <c r="K99" i="30"/>
  <c r="L99" i="30"/>
  <c r="M99" i="30"/>
  <c r="O99" i="30"/>
  <c r="P99" i="30"/>
  <c r="Q99" i="30"/>
  <c r="R99" i="30"/>
  <c r="S99" i="30"/>
  <c r="T99" i="30"/>
  <c r="D100" i="30"/>
  <c r="E100" i="30"/>
  <c r="F100" i="30"/>
  <c r="G100" i="30"/>
  <c r="H100" i="30"/>
  <c r="I100" i="30"/>
  <c r="J100" i="30"/>
  <c r="K100" i="30"/>
  <c r="L100" i="30"/>
  <c r="M100" i="30"/>
  <c r="O100" i="30"/>
  <c r="P100" i="30"/>
  <c r="Q100" i="30"/>
  <c r="R100" i="30"/>
  <c r="S100" i="30"/>
  <c r="T100" i="30"/>
  <c r="D101" i="30"/>
  <c r="E101" i="30"/>
  <c r="F101" i="30"/>
  <c r="G101" i="30"/>
  <c r="H101" i="30"/>
  <c r="I101" i="30"/>
  <c r="J101" i="30"/>
  <c r="K101" i="30"/>
  <c r="L101" i="30"/>
  <c r="M101" i="30"/>
  <c r="O101" i="30"/>
  <c r="P101" i="30"/>
  <c r="Q101" i="30"/>
  <c r="R101" i="30"/>
  <c r="S101" i="30"/>
  <c r="T101" i="30"/>
  <c r="D102" i="30"/>
  <c r="E102" i="30"/>
  <c r="F102" i="30"/>
  <c r="G102" i="30"/>
  <c r="H102" i="30"/>
  <c r="I102" i="30"/>
  <c r="J102" i="30"/>
  <c r="K102" i="30"/>
  <c r="L102" i="30"/>
  <c r="M102" i="30"/>
  <c r="O102" i="30"/>
  <c r="P102" i="30"/>
  <c r="Q102" i="30"/>
  <c r="R102" i="30"/>
  <c r="S102" i="30"/>
  <c r="T102" i="30"/>
  <c r="D4" i="28"/>
  <c r="C3" i="27"/>
  <c r="E3" i="27"/>
  <c r="C4" i="27"/>
  <c r="E4" i="27"/>
  <c r="C5" i="27"/>
  <c r="E5" i="27"/>
  <c r="C6" i="27"/>
  <c r="E6" i="27"/>
  <c r="C7" i="27"/>
  <c r="E7" i="27"/>
  <c r="C8" i="27"/>
  <c r="E8" i="27"/>
  <c r="E9" i="27"/>
  <c r="C10" i="27"/>
  <c r="E10" i="27"/>
  <c r="C11" i="27"/>
  <c r="E11" i="27"/>
  <c r="C12" i="27"/>
  <c r="E12" i="27"/>
  <c r="C13" i="27"/>
  <c r="E13" i="27"/>
  <c r="C14" i="27"/>
  <c r="E14" i="27"/>
  <c r="E15" i="27"/>
  <c r="E16" i="27"/>
  <c r="C17" i="27"/>
  <c r="E17" i="27"/>
  <c r="C18" i="27"/>
  <c r="E18" i="27"/>
  <c r="C19" i="27"/>
  <c r="E19" i="27"/>
  <c r="C20" i="27"/>
  <c r="E20" i="27"/>
  <c r="C21" i="27"/>
  <c r="E21" i="27"/>
  <c r="C22" i="27"/>
  <c r="E22" i="27"/>
  <c r="C23" i="27"/>
  <c r="E23" i="27"/>
  <c r="C24" i="27"/>
  <c r="E24" i="27"/>
  <c r="C25" i="27"/>
  <c r="E25" i="27"/>
  <c r="C26" i="27"/>
  <c r="E26" i="27"/>
  <c r="C27" i="27"/>
  <c r="E27" i="27"/>
  <c r="C28" i="27"/>
  <c r="E28" i="27"/>
  <c r="C29" i="27"/>
  <c r="E29" i="27"/>
  <c r="C30" i="27"/>
  <c r="E30" i="27"/>
  <c r="C31" i="27"/>
  <c r="E31" i="27"/>
  <c r="C32" i="27"/>
  <c r="E32" i="27"/>
  <c r="C33" i="27"/>
  <c r="E33" i="27"/>
  <c r="C34" i="27"/>
  <c r="E34" i="27"/>
  <c r="C35" i="27"/>
  <c r="E35" i="27"/>
  <c r="C36" i="27"/>
  <c r="E36" i="27"/>
  <c r="C37" i="27"/>
  <c r="E37" i="27"/>
  <c r="C38" i="27"/>
  <c r="E38" i="27"/>
  <c r="C39" i="27"/>
  <c r="E39" i="27"/>
  <c r="C40" i="27"/>
  <c r="E40" i="27"/>
  <c r="C41" i="27"/>
  <c r="E41" i="27"/>
  <c r="C42" i="27"/>
  <c r="E42" i="27"/>
  <c r="C43" i="27"/>
  <c r="E43" i="27"/>
  <c r="C44" i="27"/>
  <c r="E44" i="27"/>
  <c r="C45" i="27"/>
  <c r="E45" i="27"/>
  <c r="C46" i="27"/>
  <c r="E46" i="27"/>
  <c r="C47" i="27"/>
  <c r="E47" i="27"/>
  <c r="C48" i="27"/>
  <c r="E48" i="27"/>
  <c r="C49" i="27"/>
  <c r="E49" i="27"/>
  <c r="C50" i="27"/>
  <c r="E50" i="27"/>
  <c r="C51" i="27"/>
  <c r="E51" i="27"/>
  <c r="C52" i="27"/>
  <c r="E52" i="27"/>
  <c r="C53" i="27"/>
  <c r="E53" i="27"/>
  <c r="C54" i="27"/>
  <c r="E54" i="27"/>
  <c r="C55" i="27"/>
  <c r="E55" i="27"/>
  <c r="C56" i="27"/>
  <c r="E56" i="27"/>
  <c r="C57" i="27"/>
  <c r="E57" i="27"/>
  <c r="C58" i="27"/>
  <c r="E58" i="27"/>
  <c r="C59" i="27"/>
  <c r="E59" i="27"/>
  <c r="C60" i="27"/>
  <c r="E60" i="27"/>
  <c r="C61" i="27"/>
  <c r="E61" i="27"/>
  <c r="C62" i="27"/>
  <c r="E62" i="27"/>
  <c r="C63" i="27"/>
  <c r="E63" i="27"/>
  <c r="C64" i="27"/>
  <c r="E64" i="27"/>
  <c r="C65" i="27"/>
  <c r="E65" i="27"/>
  <c r="C66" i="27"/>
  <c r="E66" i="27"/>
  <c r="C67" i="27"/>
  <c r="E67" i="27"/>
  <c r="C68" i="27"/>
  <c r="E68" i="27"/>
  <c r="C69" i="27"/>
  <c r="E69" i="27"/>
  <c r="C70" i="27"/>
  <c r="E70" i="27"/>
  <c r="C71" i="27"/>
  <c r="E71" i="27"/>
  <c r="C72" i="27"/>
  <c r="E72" i="27"/>
  <c r="C73" i="27"/>
  <c r="E73" i="27"/>
  <c r="C74" i="27"/>
  <c r="E74" i="27"/>
  <c r="C75" i="27"/>
  <c r="E75" i="27"/>
  <c r="C76" i="27"/>
  <c r="E76" i="27"/>
  <c r="C77" i="27"/>
  <c r="E77" i="27"/>
  <c r="C78" i="27"/>
  <c r="E78" i="27"/>
  <c r="C79" i="27"/>
  <c r="E79" i="27"/>
  <c r="C80" i="27"/>
  <c r="E80" i="27"/>
  <c r="C81" i="27"/>
  <c r="E81" i="27"/>
  <c r="C82" i="27"/>
  <c r="E82" i="27"/>
  <c r="C83" i="27"/>
  <c r="E83" i="27"/>
  <c r="C84" i="27"/>
  <c r="E84" i="27"/>
  <c r="C85" i="27"/>
  <c r="E85" i="27"/>
  <c r="C86" i="27"/>
  <c r="E86" i="27"/>
  <c r="C87" i="27"/>
  <c r="E87" i="27"/>
  <c r="C88" i="27"/>
  <c r="E88" i="27"/>
  <c r="C89" i="27"/>
  <c r="E89" i="27"/>
  <c r="C90" i="27"/>
  <c r="E90" i="27"/>
  <c r="C91" i="27"/>
  <c r="E91" i="27"/>
  <c r="C92" i="27"/>
  <c r="E92" i="27"/>
  <c r="C93" i="27"/>
  <c r="E93" i="27"/>
  <c r="C94" i="27"/>
  <c r="E94" i="27"/>
  <c r="C95" i="27"/>
  <c r="E95" i="27"/>
  <c r="C96" i="27"/>
  <c r="E96" i="27"/>
  <c r="C97" i="27"/>
  <c r="E97" i="27"/>
  <c r="C98" i="27"/>
  <c r="E98" i="27"/>
  <c r="C99" i="27"/>
  <c r="E99" i="27"/>
  <c r="C100" i="27"/>
  <c r="E100" i="27"/>
  <c r="C101" i="27"/>
  <c r="E101" i="27"/>
  <c r="C102" i="27"/>
  <c r="E102" i="27"/>
  <c r="C103" i="27"/>
  <c r="E103" i="27"/>
  <c r="C104" i="27"/>
  <c r="E104" i="27"/>
  <c r="C105" i="27"/>
  <c r="E105" i="27"/>
  <c r="C106" i="27"/>
  <c r="E106" i="27"/>
  <c r="C107" i="27"/>
  <c r="E107" i="27"/>
  <c r="C108" i="27"/>
  <c r="E108" i="27"/>
  <c r="C109" i="27"/>
  <c r="E109" i="27"/>
  <c r="C110" i="27"/>
  <c r="E110" i="27"/>
  <c r="C111" i="27"/>
  <c r="E111" i="27"/>
  <c r="C112" i="27"/>
  <c r="E112" i="27"/>
  <c r="C113" i="27"/>
  <c r="E113" i="27"/>
  <c r="C114" i="27"/>
  <c r="E114" i="27"/>
  <c r="C115" i="27"/>
  <c r="E115" i="27"/>
  <c r="C116" i="27"/>
  <c r="E116" i="27"/>
  <c r="C117" i="27"/>
  <c r="E117" i="27"/>
  <c r="C118" i="27"/>
  <c r="E118" i="27"/>
  <c r="C119" i="27"/>
  <c r="E119" i="27"/>
  <c r="C120" i="27"/>
  <c r="E120" i="27"/>
  <c r="C121" i="27"/>
  <c r="E121" i="27"/>
  <c r="C122" i="27"/>
  <c r="E122" i="27"/>
  <c r="C123" i="27"/>
  <c r="E123" i="27"/>
  <c r="C124" i="27"/>
  <c r="E124" i="27"/>
  <c r="C125" i="27"/>
  <c r="E125" i="27"/>
  <c r="C126" i="27"/>
  <c r="E126" i="27"/>
  <c r="C127" i="27"/>
  <c r="E127" i="27"/>
  <c r="C128" i="27"/>
  <c r="E128" i="27"/>
  <c r="C129" i="27"/>
  <c r="E129" i="27"/>
  <c r="C130" i="27"/>
  <c r="E130" i="27"/>
  <c r="C131" i="27"/>
  <c r="E131" i="27"/>
  <c r="C132" i="27"/>
  <c r="E132" i="27"/>
  <c r="C133" i="27"/>
  <c r="E133" i="27"/>
  <c r="C134" i="27"/>
  <c r="E134" i="27"/>
  <c r="C135" i="27"/>
  <c r="E135" i="27"/>
  <c r="C136" i="27"/>
  <c r="E136" i="27"/>
  <c r="C137" i="27"/>
  <c r="E137" i="27"/>
  <c r="C138" i="27"/>
  <c r="E138" i="27"/>
  <c r="C139" i="27"/>
  <c r="E139" i="27"/>
  <c r="C140" i="27"/>
  <c r="E140" i="27"/>
  <c r="C141" i="27"/>
  <c r="E141" i="27"/>
  <c r="C142" i="27"/>
  <c r="E142" i="27"/>
  <c r="C143" i="27"/>
  <c r="E143" i="27"/>
  <c r="C144" i="27"/>
  <c r="E144" i="27"/>
  <c r="C145" i="27"/>
  <c r="E145" i="27"/>
  <c r="C146" i="27"/>
  <c r="E146" i="27"/>
  <c r="C147" i="27"/>
  <c r="E147" i="27"/>
  <c r="C148" i="27"/>
  <c r="E148" i="27"/>
  <c r="C149" i="27"/>
  <c r="E149" i="27"/>
  <c r="C150" i="27"/>
  <c r="E150" i="27"/>
  <c r="C151" i="27"/>
  <c r="E151" i="27"/>
  <c r="C152" i="27"/>
  <c r="E152" i="27"/>
  <c r="C153" i="27"/>
  <c r="E153" i="27"/>
  <c r="C154" i="27"/>
  <c r="E154" i="27"/>
  <c r="C155" i="27"/>
  <c r="E155" i="27"/>
  <c r="C156" i="27"/>
  <c r="E156" i="27"/>
  <c r="C157" i="27"/>
  <c r="E157" i="27"/>
  <c r="C158" i="27"/>
  <c r="E158" i="27"/>
  <c r="C159" i="27"/>
  <c r="E159" i="27"/>
  <c r="C160" i="27"/>
  <c r="E160" i="27"/>
  <c r="C161" i="27"/>
  <c r="E161" i="27"/>
  <c r="C162" i="27"/>
  <c r="E162" i="27"/>
  <c r="C163" i="27"/>
  <c r="E163" i="27"/>
  <c r="C164" i="27"/>
  <c r="E164" i="27"/>
  <c r="C165" i="27"/>
  <c r="E165" i="27"/>
  <c r="C166" i="27"/>
  <c r="E166" i="27"/>
  <c r="C167" i="27"/>
  <c r="E167" i="27"/>
  <c r="C168" i="27"/>
  <c r="E168" i="27"/>
  <c r="C169" i="27"/>
  <c r="E169" i="27"/>
  <c r="C170" i="27"/>
  <c r="E170" i="27"/>
  <c r="C171" i="27"/>
  <c r="E171" i="27"/>
  <c r="C172" i="27"/>
  <c r="E172" i="27"/>
  <c r="C173" i="27"/>
  <c r="E173" i="27"/>
  <c r="C174" i="27"/>
  <c r="E174" i="27"/>
  <c r="C175" i="27"/>
  <c r="E175" i="27"/>
  <c r="C176" i="27"/>
  <c r="E176" i="27"/>
  <c r="C177" i="27"/>
  <c r="E177" i="27"/>
  <c r="C178" i="27"/>
  <c r="E178" i="27"/>
  <c r="C179" i="27"/>
  <c r="E179" i="27"/>
  <c r="C180" i="27"/>
  <c r="E180" i="27"/>
  <c r="C181" i="27"/>
  <c r="E181" i="27"/>
  <c r="C182" i="27"/>
  <c r="E182" i="27"/>
  <c r="C183" i="27"/>
  <c r="E183" i="27"/>
  <c r="C184" i="27"/>
  <c r="E184" i="27"/>
  <c r="C185" i="27"/>
  <c r="E185" i="27"/>
  <c r="C186" i="27"/>
  <c r="E186" i="27"/>
  <c r="C187" i="27"/>
  <c r="E187" i="27"/>
  <c r="C188" i="27"/>
  <c r="E188" i="27"/>
  <c r="C189" i="27"/>
  <c r="E189" i="27"/>
  <c r="C190" i="27"/>
  <c r="E190" i="27"/>
  <c r="C191" i="27"/>
  <c r="E191" i="27"/>
  <c r="C192" i="27"/>
  <c r="E192" i="27"/>
  <c r="C193" i="27"/>
  <c r="E193" i="27"/>
  <c r="C194" i="27"/>
  <c r="E194" i="27"/>
  <c r="C195" i="27"/>
  <c r="E195" i="27"/>
  <c r="C196" i="27"/>
  <c r="E196" i="27"/>
  <c r="C197" i="27"/>
  <c r="E197" i="27"/>
  <c r="C198" i="27"/>
  <c r="E198" i="27"/>
  <c r="C199" i="27"/>
  <c r="E199" i="27"/>
  <c r="C200" i="27"/>
  <c r="E200" i="27"/>
  <c r="C201" i="27"/>
  <c r="E201" i="27"/>
  <c r="C202" i="27"/>
  <c r="E202" i="27"/>
  <c r="C203" i="27"/>
  <c r="E203" i="27"/>
  <c r="C204" i="27"/>
  <c r="E204" i="27"/>
  <c r="C205" i="27"/>
  <c r="E205" i="27"/>
  <c r="C206" i="27"/>
  <c r="E206" i="27"/>
  <c r="C207" i="27"/>
  <c r="E207" i="27"/>
  <c r="C208" i="27"/>
  <c r="E208" i="27"/>
  <c r="C209" i="27"/>
  <c r="E209" i="27"/>
  <c r="C210" i="27"/>
  <c r="E210" i="27"/>
  <c r="C211" i="27"/>
  <c r="E211" i="27"/>
  <c r="C212" i="27"/>
  <c r="E212" i="27"/>
  <c r="C213" i="27"/>
  <c r="E213" i="27"/>
  <c r="C214" i="27"/>
  <c r="E214" i="27"/>
  <c r="C215" i="27"/>
  <c r="E215" i="27"/>
  <c r="C216" i="27"/>
  <c r="E216" i="27"/>
  <c r="C217" i="27"/>
  <c r="E217" i="27"/>
  <c r="C218" i="27"/>
  <c r="E218" i="27"/>
  <c r="C219" i="27"/>
  <c r="E219" i="27"/>
  <c r="C220" i="27"/>
  <c r="E220" i="27"/>
  <c r="C221" i="27"/>
  <c r="E221" i="27"/>
  <c r="C222" i="27"/>
  <c r="E222" i="27"/>
  <c r="C223" i="27"/>
  <c r="E223" i="27"/>
  <c r="C224" i="27"/>
  <c r="E224" i="27"/>
  <c r="C225" i="27"/>
  <c r="E225" i="27"/>
  <c r="C226" i="27"/>
  <c r="E226" i="27"/>
  <c r="C227" i="27"/>
  <c r="E227" i="27"/>
  <c r="C228" i="27"/>
  <c r="E228" i="27"/>
  <c r="C229" i="27"/>
  <c r="E229" i="27"/>
  <c r="C230" i="27"/>
  <c r="E230" i="27"/>
  <c r="C231" i="27"/>
  <c r="E231" i="27"/>
  <c r="C232" i="27"/>
  <c r="E232" i="27"/>
  <c r="C233" i="27"/>
  <c r="E233" i="27"/>
  <c r="C234" i="27"/>
  <c r="E234" i="27"/>
  <c r="C235" i="27"/>
  <c r="E235" i="27"/>
  <c r="C236" i="27"/>
  <c r="E236" i="27"/>
  <c r="C237" i="27"/>
  <c r="E237" i="27"/>
  <c r="C238" i="27"/>
  <c r="E238" i="27"/>
  <c r="C239" i="27"/>
  <c r="E239" i="27"/>
  <c r="C240" i="27"/>
  <c r="E240" i="27"/>
  <c r="C241" i="27"/>
  <c r="E241" i="27"/>
  <c r="C242" i="27"/>
  <c r="E242" i="27"/>
  <c r="C243" i="27"/>
  <c r="E243" i="27"/>
  <c r="C244" i="27"/>
  <c r="E244" i="27"/>
  <c r="C245" i="27"/>
  <c r="E245" i="27"/>
  <c r="C246" i="27"/>
  <c r="E246" i="27"/>
  <c r="C247" i="27"/>
  <c r="E247" i="27"/>
  <c r="C248" i="27"/>
  <c r="E248" i="27"/>
  <c r="C249" i="27"/>
  <c r="E249" i="27"/>
  <c r="C250" i="27"/>
  <c r="E250" i="27"/>
  <c r="C251" i="27"/>
  <c r="E251" i="27"/>
  <c r="C252" i="27"/>
  <c r="E252" i="27"/>
  <c r="C253" i="27"/>
  <c r="E253" i="27"/>
  <c r="C254" i="27"/>
  <c r="E254" i="27"/>
  <c r="C255" i="27"/>
  <c r="E255" i="27"/>
  <c r="C256" i="27"/>
  <c r="E256" i="27"/>
  <c r="C257" i="27"/>
  <c r="E257" i="27"/>
  <c r="C258" i="27"/>
  <c r="E258" i="27"/>
  <c r="C259" i="27"/>
  <c r="E259" i="27"/>
  <c r="C260" i="27"/>
  <c r="E260" i="27"/>
  <c r="C261" i="27"/>
  <c r="E261" i="27"/>
  <c r="C262" i="27"/>
  <c r="E262" i="27"/>
  <c r="C263" i="27"/>
  <c r="E263" i="27"/>
  <c r="C264" i="27"/>
  <c r="E264" i="27"/>
  <c r="C265" i="27"/>
  <c r="E265" i="27"/>
  <c r="C266" i="27"/>
  <c r="E266" i="27"/>
  <c r="C267" i="27"/>
  <c r="E267" i="27"/>
  <c r="C268" i="27"/>
  <c r="E268" i="27"/>
  <c r="C269" i="27"/>
  <c r="E269" i="27"/>
  <c r="C270" i="27"/>
  <c r="E270" i="27"/>
  <c r="C271" i="27"/>
  <c r="E271" i="27"/>
  <c r="C272" i="27"/>
  <c r="E272" i="27"/>
  <c r="C273" i="27"/>
  <c r="E273" i="27"/>
  <c r="C274" i="27"/>
  <c r="E274" i="27"/>
  <c r="C275" i="27"/>
  <c r="E275" i="27"/>
  <c r="C276" i="27"/>
  <c r="E276" i="27"/>
  <c r="C277" i="27"/>
  <c r="E277" i="27"/>
  <c r="C278" i="27"/>
  <c r="E278" i="27"/>
  <c r="C279" i="27"/>
  <c r="E279" i="27"/>
  <c r="C280" i="27"/>
  <c r="E280" i="27"/>
  <c r="C281" i="27"/>
  <c r="E281" i="27"/>
  <c r="C282" i="27"/>
  <c r="E282" i="27"/>
  <c r="C283" i="27"/>
  <c r="E283" i="27"/>
  <c r="C284" i="27"/>
  <c r="E284" i="27"/>
  <c r="C285" i="27"/>
  <c r="E285" i="27"/>
  <c r="C286" i="27"/>
  <c r="E286" i="27"/>
  <c r="C287" i="27"/>
  <c r="E287" i="27"/>
  <c r="C288" i="27"/>
  <c r="E288" i="27"/>
  <c r="C289" i="27"/>
  <c r="E289" i="27"/>
  <c r="C290" i="27"/>
  <c r="E290" i="27"/>
  <c r="C291" i="27"/>
  <c r="E291" i="27"/>
  <c r="C292" i="27"/>
  <c r="E292" i="27"/>
  <c r="C293" i="27"/>
  <c r="E293" i="27"/>
  <c r="C294" i="27"/>
  <c r="E294" i="27"/>
  <c r="C295" i="27"/>
  <c r="E295" i="27"/>
  <c r="C296" i="27"/>
  <c r="E296" i="27"/>
  <c r="C297" i="27"/>
  <c r="E297" i="27"/>
  <c r="C298" i="27"/>
  <c r="E298" i="27"/>
  <c r="C299" i="27"/>
  <c r="E299" i="27"/>
  <c r="C300" i="27"/>
  <c r="E300" i="27"/>
  <c r="A2" i="26"/>
  <c r="B7" i="26"/>
  <c r="C7" i="26"/>
  <c r="D7" i="26"/>
  <c r="E7" i="26"/>
  <c r="F7" i="26"/>
  <c r="G7" i="26"/>
  <c r="H7" i="26"/>
  <c r="J7" i="26"/>
  <c r="K7" i="26"/>
  <c r="L7" i="26"/>
  <c r="I11" i="26"/>
  <c r="I12" i="26"/>
  <c r="I13" i="26"/>
  <c r="I14" i="26"/>
  <c r="I15" i="26"/>
  <c r="I16" i="26"/>
  <c r="I17" i="26"/>
  <c r="I18" i="26"/>
  <c r="I19" i="26"/>
  <c r="I20" i="26"/>
  <c r="I21" i="26"/>
  <c r="I22" i="26"/>
  <c r="M22" i="26"/>
  <c r="I23" i="26"/>
  <c r="M23" i="26"/>
  <c r="M24" i="26"/>
  <c r="I24" i="26"/>
  <c r="I25" i="26"/>
  <c r="M25" i="26"/>
  <c r="M26" i="26"/>
  <c r="I26" i="26"/>
  <c r="I27" i="26"/>
  <c r="M27" i="26"/>
  <c r="I28" i="26"/>
  <c r="M28" i="26"/>
  <c r="I29" i="26"/>
  <c r="M29" i="26"/>
  <c r="I30" i="26"/>
  <c r="M30" i="26"/>
  <c r="I31" i="26"/>
  <c r="M31" i="26"/>
  <c r="M33" i="26"/>
  <c r="I33" i="26"/>
  <c r="I34" i="26"/>
  <c r="M34" i="26"/>
  <c r="I35" i="26"/>
  <c r="M35" i="26"/>
  <c r="I36" i="26"/>
  <c r="M36" i="26"/>
  <c r="I37" i="26"/>
  <c r="M37" i="26"/>
  <c r="I38" i="26"/>
  <c r="M38" i="26"/>
  <c r="I40" i="26"/>
  <c r="M40" i="26"/>
  <c r="M41" i="26"/>
  <c r="I41" i="26"/>
  <c r="I42" i="26"/>
  <c r="M42" i="26"/>
  <c r="I43" i="26"/>
  <c r="M43" i="26"/>
  <c r="I44" i="26"/>
  <c r="M44" i="26"/>
  <c r="I45" i="26"/>
  <c r="M45" i="26"/>
  <c r="I46" i="26"/>
  <c r="M46" i="26"/>
  <c r="M47" i="26"/>
  <c r="I47" i="26"/>
  <c r="B6" i="25"/>
  <c r="C6" i="25"/>
  <c r="D6" i="25"/>
  <c r="B7" i="25"/>
  <c r="B8" i="25"/>
  <c r="C8" i="25"/>
  <c r="D8" i="25"/>
  <c r="B9" i="25"/>
  <c r="C9" i="25"/>
  <c r="D9" i="25"/>
  <c r="C11" i="25"/>
  <c r="B12" i="25"/>
  <c r="C12" i="25"/>
  <c r="D12" i="25"/>
  <c r="B13" i="25"/>
  <c r="C13" i="25"/>
  <c r="D13" i="25"/>
  <c r="C15" i="25"/>
  <c r="B16" i="25"/>
  <c r="C16" i="25"/>
  <c r="D16" i="25"/>
  <c r="B17" i="25"/>
  <c r="C17" i="25"/>
  <c r="D17" i="25"/>
  <c r="B20" i="25"/>
  <c r="C20" i="25"/>
  <c r="D20" i="25"/>
  <c r="B21" i="25"/>
  <c r="C21" i="25"/>
  <c r="D21" i="25"/>
  <c r="C23" i="25"/>
  <c r="B24" i="25"/>
  <c r="C24" i="25"/>
  <c r="D24" i="25"/>
  <c r="B25" i="25"/>
  <c r="C25" i="25"/>
  <c r="D25" i="25"/>
  <c r="C27" i="25"/>
  <c r="B28" i="25"/>
  <c r="C28" i="25"/>
  <c r="D28" i="25"/>
  <c r="B29" i="25"/>
  <c r="C29" i="25"/>
  <c r="D29" i="25"/>
  <c r="B32" i="25"/>
  <c r="C32" i="25"/>
  <c r="D32" i="25"/>
  <c r="B33" i="25"/>
  <c r="C33" i="25"/>
  <c r="D33" i="25"/>
  <c r="B36" i="25"/>
  <c r="C36" i="25"/>
  <c r="D36" i="25"/>
  <c r="B37" i="25"/>
  <c r="C37" i="25"/>
  <c r="D37" i="25"/>
  <c r="C39" i="25"/>
  <c r="B40" i="25"/>
  <c r="C40" i="25"/>
  <c r="D40" i="25"/>
  <c r="B41" i="25"/>
  <c r="C41" i="25"/>
  <c r="D41" i="25"/>
  <c r="B42" i="25"/>
  <c r="C42" i="25"/>
  <c r="D42" i="25"/>
  <c r="B43" i="25"/>
  <c r="C43" i="25"/>
  <c r="D43" i="25"/>
  <c r="B44" i="25"/>
  <c r="C44" i="25"/>
  <c r="D44" i="25"/>
  <c r="B45" i="25"/>
  <c r="C45" i="25"/>
  <c r="D45" i="25"/>
  <c r="B46" i="25"/>
  <c r="C46" i="25"/>
  <c r="D46" i="25"/>
  <c r="B47" i="25"/>
  <c r="C47" i="25"/>
  <c r="D47" i="25"/>
  <c r="B48" i="25"/>
  <c r="C48" i="25"/>
  <c r="D48" i="25"/>
  <c r="B49" i="25"/>
  <c r="C49" i="25"/>
  <c r="D49" i="25"/>
  <c r="B50" i="25"/>
  <c r="C50" i="25"/>
  <c r="D50" i="25"/>
  <c r="B51" i="25"/>
  <c r="C51" i="25"/>
  <c r="D51" i="25"/>
  <c r="B52" i="25"/>
  <c r="C52" i="25"/>
  <c r="D52" i="25"/>
  <c r="B53" i="25"/>
  <c r="C53" i="25"/>
  <c r="D53" i="25"/>
  <c r="B54" i="25"/>
  <c r="C54" i="25"/>
  <c r="D54" i="25"/>
  <c r="B55" i="25"/>
  <c r="C55" i="25"/>
  <c r="D55" i="25"/>
  <c r="B56" i="25"/>
  <c r="C56" i="25"/>
  <c r="D56" i="25"/>
  <c r="B57" i="25"/>
  <c r="C57" i="25"/>
  <c r="D57" i="25"/>
  <c r="B58" i="25"/>
  <c r="C58" i="25"/>
  <c r="D58" i="25"/>
  <c r="B59" i="25"/>
  <c r="C59" i="25"/>
  <c r="D59" i="25"/>
  <c r="B60" i="25"/>
  <c r="C60" i="25"/>
  <c r="D60" i="25"/>
  <c r="B61" i="25"/>
  <c r="C61" i="25"/>
  <c r="D61" i="25"/>
  <c r="B62" i="25"/>
  <c r="C62" i="25"/>
  <c r="D62" i="25"/>
  <c r="B63" i="25"/>
  <c r="C63" i="25"/>
  <c r="D63" i="25"/>
  <c r="B64" i="25"/>
  <c r="C64" i="25"/>
  <c r="D64" i="25"/>
  <c r="B65" i="25"/>
  <c r="C65" i="25"/>
  <c r="D65" i="25"/>
  <c r="B66" i="25"/>
  <c r="C66" i="25"/>
  <c r="D66" i="25"/>
  <c r="B67" i="25"/>
  <c r="C67" i="25"/>
  <c r="D67" i="25"/>
  <c r="B68" i="25"/>
  <c r="C68" i="25"/>
  <c r="D68" i="25"/>
  <c r="B69" i="25"/>
  <c r="C69" i="25"/>
  <c r="D69" i="25"/>
  <c r="B70" i="25"/>
  <c r="C70" i="25"/>
  <c r="D70" i="25"/>
  <c r="B71" i="25"/>
  <c r="C71" i="25"/>
  <c r="D71" i="25"/>
  <c r="B72" i="25"/>
  <c r="C72" i="25"/>
  <c r="D72" i="25"/>
  <c r="B73" i="25"/>
  <c r="C73" i="25"/>
  <c r="D73" i="25"/>
  <c r="B74" i="25"/>
  <c r="C74" i="25"/>
  <c r="D74" i="25"/>
  <c r="B75" i="25"/>
  <c r="C75" i="25"/>
  <c r="D75" i="25"/>
  <c r="B76" i="25"/>
  <c r="C76" i="25"/>
  <c r="D76" i="25"/>
  <c r="B77" i="25"/>
  <c r="C77" i="25"/>
  <c r="D77" i="25"/>
  <c r="B78" i="25"/>
  <c r="C78" i="25"/>
  <c r="D78" i="25"/>
  <c r="B79" i="25"/>
  <c r="C79" i="25"/>
  <c r="D79" i="25"/>
  <c r="B80" i="25"/>
  <c r="C80" i="25"/>
  <c r="D80" i="25"/>
  <c r="B81" i="25"/>
  <c r="C81" i="25"/>
  <c r="D81" i="25"/>
  <c r="B82" i="25"/>
  <c r="C82" i="25"/>
  <c r="D82" i="25"/>
  <c r="B83" i="25"/>
  <c r="C83" i="25"/>
  <c r="D83" i="25"/>
  <c r="B84" i="25"/>
  <c r="C84" i="25"/>
  <c r="D84" i="25"/>
  <c r="B85" i="25"/>
  <c r="C85" i="25"/>
  <c r="D85" i="25"/>
  <c r="B86" i="25"/>
  <c r="C86" i="25"/>
  <c r="D86" i="25"/>
  <c r="B87" i="25"/>
  <c r="C87" i="25"/>
  <c r="D87" i="25"/>
  <c r="B88" i="25"/>
  <c r="C88" i="25"/>
  <c r="D88" i="25"/>
  <c r="B89" i="25"/>
  <c r="C89" i="25"/>
  <c r="D89" i="25"/>
  <c r="B90" i="25"/>
  <c r="C90" i="25"/>
  <c r="D90" i="25"/>
  <c r="B91" i="25"/>
  <c r="C91" i="25"/>
  <c r="D91" i="25"/>
  <c r="B92" i="25"/>
  <c r="C92" i="25"/>
  <c r="D92" i="25"/>
  <c r="B93" i="25"/>
  <c r="C93" i="25"/>
  <c r="D93" i="25"/>
  <c r="B94" i="25"/>
  <c r="C94" i="25"/>
  <c r="D94" i="25"/>
  <c r="B95" i="25"/>
  <c r="C95" i="25"/>
  <c r="D95" i="25"/>
  <c r="B96" i="25"/>
  <c r="C96" i="25"/>
  <c r="D96" i="25"/>
  <c r="B97" i="25"/>
  <c r="C97" i="25"/>
  <c r="D97" i="25"/>
  <c r="B98" i="25"/>
  <c r="C98" i="25"/>
  <c r="D98" i="25"/>
  <c r="B99" i="25"/>
  <c r="C99" i="25"/>
  <c r="D99" i="25"/>
  <c r="B100" i="25"/>
  <c r="C100" i="25"/>
  <c r="D100" i="25"/>
  <c r="B101" i="25"/>
  <c r="C101" i="25"/>
  <c r="D101" i="25"/>
  <c r="B102" i="25"/>
  <c r="C102" i="25"/>
  <c r="D102" i="25"/>
  <c r="B103" i="25"/>
  <c r="C103" i="25"/>
  <c r="D103" i="25"/>
  <c r="B104" i="25"/>
  <c r="C104" i="25"/>
  <c r="D104" i="25"/>
  <c r="B105" i="25"/>
  <c r="C105" i="25"/>
  <c r="D105" i="25"/>
  <c r="B106" i="25"/>
  <c r="C106" i="25"/>
  <c r="D106" i="25"/>
  <c r="B107" i="25"/>
  <c r="C107" i="25"/>
  <c r="D107" i="25"/>
  <c r="B108" i="25"/>
  <c r="C108" i="25"/>
  <c r="D108" i="25"/>
  <c r="B109" i="25"/>
  <c r="C109" i="25"/>
  <c r="D109" i="25"/>
  <c r="B110" i="25"/>
  <c r="C110" i="25"/>
  <c r="D110" i="25"/>
  <c r="B111" i="25"/>
  <c r="C111" i="25"/>
  <c r="D111" i="25"/>
  <c r="B112" i="25"/>
  <c r="C112" i="25"/>
  <c r="D112" i="25"/>
  <c r="B113" i="25"/>
  <c r="C113" i="25"/>
  <c r="D113" i="25"/>
  <c r="B114" i="25"/>
  <c r="C114" i="25"/>
  <c r="D114" i="25"/>
  <c r="B115" i="25"/>
  <c r="C115" i="25"/>
  <c r="D115" i="25"/>
  <c r="B116" i="25"/>
  <c r="C116" i="25"/>
  <c r="D116" i="25"/>
  <c r="B117" i="25"/>
  <c r="C117" i="25"/>
  <c r="D117" i="25"/>
  <c r="B118" i="25"/>
  <c r="C118" i="25"/>
  <c r="D118" i="25"/>
  <c r="B119" i="25"/>
  <c r="C119" i="25"/>
  <c r="D119" i="25"/>
  <c r="B120" i="25"/>
  <c r="C120" i="25"/>
  <c r="D120" i="25"/>
  <c r="B121" i="25"/>
  <c r="C121" i="25"/>
  <c r="D121" i="25"/>
  <c r="B122" i="25"/>
  <c r="C122" i="25"/>
  <c r="D122" i="25"/>
  <c r="B123" i="25"/>
  <c r="C123" i="25"/>
  <c r="D123" i="25"/>
  <c r="B124" i="25"/>
  <c r="C124" i="25"/>
  <c r="D124" i="25"/>
  <c r="B125" i="25"/>
  <c r="C125" i="25"/>
  <c r="D125" i="25"/>
  <c r="B126" i="25"/>
  <c r="C126" i="25"/>
  <c r="D126" i="25"/>
  <c r="B127" i="25"/>
  <c r="C127" i="25"/>
  <c r="D127" i="25"/>
  <c r="B128" i="25"/>
  <c r="C128" i="25"/>
  <c r="D128" i="25"/>
  <c r="B129" i="25"/>
  <c r="C129" i="25"/>
  <c r="D129" i="25"/>
  <c r="B130" i="25"/>
  <c r="C130" i="25"/>
  <c r="D130" i="25"/>
  <c r="B131" i="25"/>
  <c r="C131" i="25"/>
  <c r="D131" i="25"/>
  <c r="B132" i="25"/>
  <c r="C132" i="25"/>
  <c r="D132" i="25"/>
  <c r="B133" i="25"/>
  <c r="C133" i="25"/>
  <c r="D133" i="25"/>
  <c r="B134" i="25"/>
  <c r="C134" i="25"/>
  <c r="D134" i="25"/>
  <c r="B135" i="25"/>
  <c r="C135" i="25"/>
  <c r="D135" i="25"/>
  <c r="B136" i="25"/>
  <c r="C136" i="25"/>
  <c r="D136" i="25"/>
  <c r="B137" i="25"/>
  <c r="C137" i="25"/>
  <c r="D137" i="25"/>
  <c r="B138" i="25"/>
  <c r="C138" i="25"/>
  <c r="D138" i="25"/>
  <c r="B139" i="25"/>
  <c r="C139" i="25"/>
  <c r="D139" i="25"/>
  <c r="B140" i="25"/>
  <c r="C140" i="25"/>
  <c r="D140" i="25"/>
  <c r="B141" i="25"/>
  <c r="C141" i="25"/>
  <c r="D141" i="25"/>
  <c r="B142" i="25"/>
  <c r="C142" i="25"/>
  <c r="D142" i="25"/>
  <c r="B143" i="25"/>
  <c r="C143" i="25"/>
  <c r="D143" i="25"/>
  <c r="B144" i="25"/>
  <c r="C144" i="25"/>
  <c r="D144" i="25"/>
  <c r="B145" i="25"/>
  <c r="C145" i="25"/>
  <c r="D145" i="25"/>
  <c r="B146" i="25"/>
  <c r="C146" i="25"/>
  <c r="D146" i="25"/>
  <c r="B147" i="25"/>
  <c r="C147" i="25"/>
  <c r="D147" i="25"/>
  <c r="B148" i="25"/>
  <c r="C148" i="25"/>
  <c r="D148" i="25"/>
  <c r="B149" i="25"/>
  <c r="C149" i="25"/>
  <c r="D149" i="25"/>
  <c r="B150" i="25"/>
  <c r="C150" i="25"/>
  <c r="D150" i="25"/>
  <c r="B151" i="25"/>
  <c r="C151" i="25"/>
  <c r="D151" i="25"/>
  <c r="B152" i="25"/>
  <c r="C152" i="25"/>
  <c r="D152" i="25"/>
  <c r="B153" i="25"/>
  <c r="C153" i="25"/>
  <c r="D153" i="25"/>
  <c r="B154" i="25"/>
  <c r="C154" i="25"/>
  <c r="D154" i="25"/>
  <c r="B155" i="25"/>
  <c r="C155" i="25"/>
  <c r="D155" i="25"/>
  <c r="B156" i="25"/>
  <c r="C156" i="25"/>
  <c r="D156" i="25"/>
  <c r="B157" i="25"/>
  <c r="C157" i="25"/>
  <c r="D157" i="25"/>
  <c r="B158" i="25"/>
  <c r="C158" i="25"/>
  <c r="D158" i="25"/>
  <c r="B159" i="25"/>
  <c r="C159" i="25"/>
  <c r="D159" i="25"/>
  <c r="B160" i="25"/>
  <c r="C160" i="25"/>
  <c r="D160" i="25"/>
  <c r="B161" i="25"/>
  <c r="C161" i="25"/>
  <c r="D161" i="25"/>
  <c r="B162" i="25"/>
  <c r="C162" i="25"/>
  <c r="D162" i="25"/>
  <c r="B163" i="25"/>
  <c r="C163" i="25"/>
  <c r="D163" i="25"/>
  <c r="B164" i="25"/>
  <c r="C164" i="25"/>
  <c r="D164" i="25"/>
  <c r="B165" i="25"/>
  <c r="C165" i="25"/>
  <c r="D165" i="25"/>
  <c r="B166" i="25"/>
  <c r="C166" i="25"/>
  <c r="D166" i="25"/>
  <c r="B167" i="25"/>
  <c r="C167" i="25"/>
  <c r="D167" i="25"/>
  <c r="B168" i="25"/>
  <c r="C168" i="25"/>
  <c r="D168" i="25"/>
  <c r="B169" i="25"/>
  <c r="C169" i="25"/>
  <c r="D169" i="25"/>
  <c r="B170" i="25"/>
  <c r="C170" i="25"/>
  <c r="D170" i="25"/>
  <c r="B171" i="25"/>
  <c r="C171" i="25"/>
  <c r="D171" i="25"/>
  <c r="B172" i="25"/>
  <c r="C172" i="25"/>
  <c r="D172" i="25"/>
  <c r="B173" i="25"/>
  <c r="C173" i="25"/>
  <c r="D173" i="25"/>
  <c r="B174" i="25"/>
  <c r="C174" i="25"/>
  <c r="D174" i="25"/>
  <c r="B175" i="25"/>
  <c r="C175" i="25"/>
  <c r="D175" i="25"/>
  <c r="B176" i="25"/>
  <c r="C176" i="25"/>
  <c r="D176" i="25"/>
  <c r="B177" i="25"/>
  <c r="C177" i="25"/>
  <c r="D177" i="25"/>
  <c r="B178" i="25"/>
  <c r="C178" i="25"/>
  <c r="D178" i="25"/>
  <c r="B179" i="25"/>
  <c r="C179" i="25"/>
  <c r="D179" i="25"/>
  <c r="B180" i="25"/>
  <c r="C180" i="25"/>
  <c r="D180" i="25"/>
  <c r="B181" i="25"/>
  <c r="C181" i="25"/>
  <c r="D181" i="25"/>
  <c r="B182" i="25"/>
  <c r="C182" i="25"/>
  <c r="D182" i="25"/>
  <c r="B183" i="25"/>
  <c r="C183" i="25"/>
  <c r="D183" i="25"/>
  <c r="B184" i="25"/>
  <c r="C184" i="25"/>
  <c r="D184" i="25"/>
  <c r="B185" i="25"/>
  <c r="C185" i="25"/>
  <c r="D185" i="25"/>
  <c r="B186" i="25"/>
  <c r="C186" i="25"/>
  <c r="D186" i="25"/>
  <c r="B187" i="25"/>
  <c r="C187" i="25"/>
  <c r="D187" i="25"/>
  <c r="B188" i="25"/>
  <c r="C188" i="25"/>
  <c r="D188" i="25"/>
  <c r="B189" i="25"/>
  <c r="C189" i="25"/>
  <c r="D189" i="25"/>
  <c r="B190" i="25"/>
  <c r="C190" i="25"/>
  <c r="D190" i="25"/>
  <c r="B191" i="25"/>
  <c r="C191" i="25"/>
  <c r="D191" i="25"/>
  <c r="B192" i="25"/>
  <c r="C192" i="25"/>
  <c r="D192" i="25"/>
  <c r="B193" i="25"/>
  <c r="C193" i="25"/>
  <c r="D193" i="25"/>
  <c r="B194" i="25"/>
  <c r="C194" i="25"/>
  <c r="D194" i="25"/>
  <c r="B195" i="25"/>
  <c r="C195" i="25"/>
  <c r="D195" i="25"/>
  <c r="B196" i="25"/>
  <c r="C196" i="25"/>
  <c r="D196" i="25"/>
  <c r="B197" i="25"/>
  <c r="C197" i="25"/>
  <c r="D197" i="25"/>
  <c r="B198" i="25"/>
  <c r="C198" i="25"/>
  <c r="D198" i="25"/>
  <c r="B199" i="25"/>
  <c r="C199" i="25"/>
  <c r="D199" i="25"/>
  <c r="B200" i="25"/>
  <c r="C200" i="25"/>
  <c r="D200" i="25"/>
  <c r="B201" i="25"/>
  <c r="C201" i="25"/>
  <c r="D201" i="25"/>
  <c r="B202" i="25"/>
  <c r="C202" i="25"/>
  <c r="D202" i="25"/>
  <c r="B203" i="25"/>
  <c r="C203" i="25"/>
  <c r="D203" i="25"/>
  <c r="B204" i="25"/>
  <c r="C204" i="25"/>
  <c r="D204" i="25"/>
  <c r="B205" i="25"/>
  <c r="C205" i="25"/>
  <c r="D205" i="25"/>
  <c r="B206" i="25"/>
  <c r="C206" i="25"/>
  <c r="D206" i="25"/>
  <c r="B207" i="25"/>
  <c r="C207" i="25"/>
  <c r="D207" i="25"/>
  <c r="B208" i="25"/>
  <c r="C208" i="25"/>
  <c r="D208" i="25"/>
  <c r="B209" i="25"/>
  <c r="C209" i="25"/>
  <c r="D209" i="25"/>
  <c r="B210" i="25"/>
  <c r="C210" i="25"/>
  <c r="D210" i="25"/>
  <c r="B211" i="25"/>
  <c r="C211" i="25"/>
  <c r="D211" i="25"/>
  <c r="B212" i="25"/>
  <c r="C212" i="25"/>
  <c r="D212" i="25"/>
  <c r="B213" i="25"/>
  <c r="C213" i="25"/>
  <c r="D213" i="25"/>
  <c r="B214" i="25"/>
  <c r="C214" i="25"/>
  <c r="D214" i="25"/>
  <c r="B215" i="25"/>
  <c r="C215" i="25"/>
  <c r="D215" i="25"/>
  <c r="B216" i="25"/>
  <c r="C216" i="25"/>
  <c r="D216" i="25"/>
  <c r="B217" i="25"/>
  <c r="C217" i="25"/>
  <c r="D217" i="25"/>
  <c r="B218" i="25"/>
  <c r="C218" i="25"/>
  <c r="D218" i="25"/>
  <c r="B219" i="25"/>
  <c r="C219" i="25"/>
  <c r="D219" i="25"/>
  <c r="B220" i="25"/>
  <c r="C220" i="25"/>
  <c r="D220" i="25"/>
  <c r="B221" i="25"/>
  <c r="C221" i="25"/>
  <c r="D221" i="25"/>
  <c r="B222" i="25"/>
  <c r="C222" i="25"/>
  <c r="D222" i="25"/>
  <c r="B223" i="25"/>
  <c r="C223" i="25"/>
  <c r="D223" i="25"/>
  <c r="B224" i="25"/>
  <c r="C224" i="25"/>
  <c r="D224" i="25"/>
  <c r="B225" i="25"/>
  <c r="C225" i="25"/>
  <c r="D225" i="25"/>
  <c r="B226" i="25"/>
  <c r="C226" i="25"/>
  <c r="D226" i="25"/>
  <c r="B227" i="25"/>
  <c r="C227" i="25"/>
  <c r="D227" i="25"/>
  <c r="B228" i="25"/>
  <c r="C228" i="25"/>
  <c r="D228" i="25"/>
  <c r="B229" i="25"/>
  <c r="C229" i="25"/>
  <c r="D229" i="25"/>
  <c r="B230" i="25"/>
  <c r="C230" i="25"/>
  <c r="D230" i="25"/>
  <c r="B231" i="25"/>
  <c r="C231" i="25"/>
  <c r="D231" i="25"/>
  <c r="B232" i="25"/>
  <c r="C232" i="25"/>
  <c r="D232" i="25"/>
  <c r="B233" i="25"/>
  <c r="C233" i="25"/>
  <c r="D233" i="25"/>
  <c r="B234" i="25"/>
  <c r="C234" i="25"/>
  <c r="D234" i="25"/>
  <c r="B235" i="25"/>
  <c r="C235" i="25"/>
  <c r="D235" i="25"/>
  <c r="B236" i="25"/>
  <c r="C236" i="25"/>
  <c r="D236" i="25"/>
  <c r="B237" i="25"/>
  <c r="C237" i="25"/>
  <c r="D237" i="25"/>
  <c r="B238" i="25"/>
  <c r="C238" i="25"/>
  <c r="D238" i="25"/>
  <c r="B239" i="25"/>
  <c r="C239" i="25"/>
  <c r="D239" i="25"/>
  <c r="B240" i="25"/>
  <c r="C240" i="25"/>
  <c r="D240" i="25"/>
  <c r="B241" i="25"/>
  <c r="C241" i="25"/>
  <c r="D241" i="25"/>
  <c r="B242" i="25"/>
  <c r="C242" i="25"/>
  <c r="D242" i="25"/>
  <c r="B243" i="25"/>
  <c r="C243" i="25"/>
  <c r="D243" i="25"/>
  <c r="B244" i="25"/>
  <c r="C244" i="25"/>
  <c r="D244" i="25"/>
  <c r="B245" i="25"/>
  <c r="C245" i="25"/>
  <c r="D245" i="25"/>
  <c r="B246" i="25"/>
  <c r="C246" i="25"/>
  <c r="D246" i="25"/>
  <c r="B247" i="25"/>
  <c r="C247" i="25"/>
  <c r="D247" i="25"/>
  <c r="B248" i="25"/>
  <c r="C248" i="25"/>
  <c r="D248" i="25"/>
  <c r="B249" i="25"/>
  <c r="C249" i="25"/>
  <c r="D249" i="25"/>
  <c r="B250" i="25"/>
  <c r="C250" i="25"/>
  <c r="D250" i="25"/>
  <c r="B251" i="25"/>
  <c r="C251" i="25"/>
  <c r="D251" i="25"/>
  <c r="B252" i="25"/>
  <c r="C252" i="25"/>
  <c r="D252" i="25"/>
  <c r="B253" i="25"/>
  <c r="C253" i="25"/>
  <c r="D253" i="25"/>
  <c r="B254" i="25"/>
  <c r="C254" i="25"/>
  <c r="D254" i="25"/>
  <c r="B255" i="25"/>
  <c r="C255" i="25"/>
  <c r="D255" i="25"/>
  <c r="B256" i="25"/>
  <c r="C256" i="25"/>
  <c r="D256" i="25"/>
  <c r="B257" i="25"/>
  <c r="C257" i="25"/>
  <c r="D257" i="25"/>
  <c r="B258" i="25"/>
  <c r="C258" i="25"/>
  <c r="D258" i="25"/>
  <c r="B259" i="25"/>
  <c r="C259" i="25"/>
  <c r="D259" i="25"/>
  <c r="B260" i="25"/>
  <c r="C260" i="25"/>
  <c r="D260" i="25"/>
  <c r="B261" i="25"/>
  <c r="C261" i="25"/>
  <c r="D261" i="25"/>
  <c r="B262" i="25"/>
  <c r="C262" i="25"/>
  <c r="D262" i="25"/>
  <c r="B263" i="25"/>
  <c r="C263" i="25"/>
  <c r="D263" i="25"/>
  <c r="B264" i="25"/>
  <c r="C264" i="25"/>
  <c r="D264" i="25"/>
  <c r="B265" i="25"/>
  <c r="C265" i="25"/>
  <c r="D265" i="25"/>
  <c r="B266" i="25"/>
  <c r="C266" i="25"/>
  <c r="D266" i="25"/>
  <c r="B267" i="25"/>
  <c r="C267" i="25"/>
  <c r="D267" i="25"/>
  <c r="B268" i="25"/>
  <c r="C268" i="25"/>
  <c r="D268" i="25"/>
  <c r="B269" i="25"/>
  <c r="C269" i="25"/>
  <c r="D269" i="25"/>
  <c r="B270" i="25"/>
  <c r="C270" i="25"/>
  <c r="D270" i="25"/>
  <c r="B271" i="25"/>
  <c r="C271" i="25"/>
  <c r="D271" i="25"/>
  <c r="B272" i="25"/>
  <c r="C272" i="25"/>
  <c r="D272" i="25"/>
  <c r="B273" i="25"/>
  <c r="C273" i="25"/>
  <c r="D273" i="25"/>
  <c r="B274" i="25"/>
  <c r="C274" i="25"/>
  <c r="D274" i="25"/>
  <c r="B275" i="25"/>
  <c r="C275" i="25"/>
  <c r="D275" i="25"/>
  <c r="B276" i="25"/>
  <c r="C276" i="25"/>
  <c r="D276" i="25"/>
  <c r="B277" i="25"/>
  <c r="C277" i="25"/>
  <c r="D277" i="25"/>
  <c r="B278" i="25"/>
  <c r="C278" i="25"/>
  <c r="D278" i="25"/>
  <c r="B279" i="25"/>
  <c r="C279" i="25"/>
  <c r="D279" i="25"/>
  <c r="B280" i="25"/>
  <c r="C280" i="25"/>
  <c r="D280" i="25"/>
  <c r="B281" i="25"/>
  <c r="C281" i="25"/>
  <c r="D281" i="25"/>
  <c r="B282" i="25"/>
  <c r="C282" i="25"/>
  <c r="D282" i="25"/>
  <c r="B283" i="25"/>
  <c r="C283" i="25"/>
  <c r="D283" i="25"/>
  <c r="B284" i="25"/>
  <c r="C284" i="25"/>
  <c r="D284" i="25"/>
  <c r="B285" i="25"/>
  <c r="C285" i="25"/>
  <c r="D285" i="25"/>
  <c r="B286" i="25"/>
  <c r="C286" i="25"/>
  <c r="D286" i="25"/>
  <c r="B287" i="25"/>
  <c r="C287" i="25"/>
  <c r="D287" i="25"/>
  <c r="B288" i="25"/>
  <c r="C288" i="25"/>
  <c r="D288" i="25"/>
  <c r="B289" i="25"/>
  <c r="C289" i="25"/>
  <c r="D289" i="25"/>
  <c r="B290" i="25"/>
  <c r="C290" i="25"/>
  <c r="D290" i="25"/>
  <c r="B291" i="25"/>
  <c r="C291" i="25"/>
  <c r="D291" i="25"/>
  <c r="B292" i="25"/>
  <c r="C292" i="25"/>
  <c r="D292" i="25"/>
  <c r="B293" i="25"/>
  <c r="C293" i="25"/>
  <c r="D293" i="25"/>
  <c r="B294" i="25"/>
  <c r="C294" i="25"/>
  <c r="D294" i="25"/>
  <c r="B295" i="25"/>
  <c r="C295" i="25"/>
  <c r="D295" i="25"/>
  <c r="B296" i="25"/>
  <c r="C296" i="25"/>
  <c r="D296" i="25"/>
  <c r="B297" i="25"/>
  <c r="C297" i="25"/>
  <c r="D297" i="25"/>
  <c r="B298" i="25"/>
  <c r="C298" i="25"/>
  <c r="D298" i="25"/>
  <c r="B299" i="25"/>
  <c r="C299" i="25"/>
  <c r="D299" i="25"/>
  <c r="B300" i="25"/>
  <c r="C300" i="25"/>
  <c r="D300" i="25"/>
  <c r="B301" i="25"/>
  <c r="C301" i="25"/>
  <c r="D301" i="25"/>
  <c r="B302" i="25"/>
  <c r="C302" i="25"/>
  <c r="D302" i="25"/>
  <c r="B303" i="25"/>
  <c r="C303" i="25"/>
  <c r="D303" i="25"/>
  <c r="B304" i="25"/>
  <c r="C304" i="25"/>
  <c r="D304" i="25"/>
  <c r="B305" i="25"/>
  <c r="C305" i="25"/>
  <c r="D305" i="25"/>
  <c r="B306" i="25"/>
  <c r="C306" i="25"/>
  <c r="D306" i="25"/>
  <c r="B307" i="25"/>
  <c r="C307" i="25"/>
  <c r="D307" i="25"/>
  <c r="B308" i="25"/>
  <c r="C308" i="25"/>
  <c r="D308" i="25"/>
  <c r="B309" i="25"/>
  <c r="C309" i="25"/>
  <c r="D309" i="25"/>
  <c r="B310" i="25"/>
  <c r="C310" i="25"/>
  <c r="D310" i="25"/>
  <c r="B311" i="25"/>
  <c r="C311" i="25"/>
  <c r="D311" i="25"/>
  <c r="B312" i="25"/>
  <c r="C312" i="25"/>
  <c r="D312" i="25"/>
  <c r="B313" i="25"/>
  <c r="C313" i="25"/>
  <c r="D313" i="25"/>
  <c r="B314" i="25"/>
  <c r="C314" i="25"/>
  <c r="D314" i="25"/>
  <c r="B315" i="25"/>
  <c r="C315" i="25"/>
  <c r="D315" i="25"/>
  <c r="B316" i="25"/>
  <c r="C316" i="25"/>
  <c r="D316" i="25"/>
  <c r="B317" i="25"/>
  <c r="C317" i="25"/>
  <c r="D317" i="25"/>
  <c r="B318" i="25"/>
  <c r="C318" i="25"/>
  <c r="D318" i="25"/>
  <c r="B319" i="25"/>
  <c r="C319" i="25"/>
  <c r="D319" i="25"/>
  <c r="B320" i="25"/>
  <c r="C320" i="25"/>
  <c r="D320" i="25"/>
  <c r="B321" i="25"/>
  <c r="C321" i="25"/>
  <c r="D321" i="25"/>
  <c r="B322" i="25"/>
  <c r="C322" i="25"/>
  <c r="D322" i="25"/>
  <c r="B323" i="25"/>
  <c r="C323" i="25"/>
  <c r="D323" i="25"/>
  <c r="B324" i="25"/>
  <c r="C324" i="25"/>
  <c r="D324" i="25"/>
  <c r="B325" i="25"/>
  <c r="C325" i="25"/>
  <c r="D325" i="25"/>
  <c r="B326" i="25"/>
  <c r="C326" i="25"/>
  <c r="D326" i="25"/>
  <c r="B327" i="25"/>
  <c r="C327" i="25"/>
  <c r="D327" i="25"/>
  <c r="B328" i="25"/>
  <c r="C328" i="25"/>
  <c r="D328" i="25"/>
  <c r="B329" i="25"/>
  <c r="C329" i="25"/>
  <c r="D329" i="25"/>
  <c r="B330" i="25"/>
  <c r="C330" i="25"/>
  <c r="D330" i="25"/>
  <c r="B331" i="25"/>
  <c r="C331" i="25"/>
  <c r="D331" i="25"/>
  <c r="B332" i="25"/>
  <c r="C332" i="25"/>
  <c r="D332" i="25"/>
  <c r="B333" i="25"/>
  <c r="C333" i="25"/>
  <c r="D333" i="25"/>
  <c r="B334" i="25"/>
  <c r="C334" i="25"/>
  <c r="D334" i="25"/>
  <c r="B335" i="25"/>
  <c r="C335" i="25"/>
  <c r="D335" i="25"/>
  <c r="B336" i="25"/>
  <c r="C336" i="25"/>
  <c r="D336" i="25"/>
  <c r="B337" i="25"/>
  <c r="C337" i="25"/>
  <c r="D337" i="25"/>
  <c r="B338" i="25"/>
  <c r="C338" i="25"/>
  <c r="D338" i="25"/>
  <c r="B339" i="25"/>
  <c r="C339" i="25"/>
  <c r="D339" i="25"/>
  <c r="B340" i="25"/>
  <c r="C340" i="25"/>
  <c r="D340" i="25"/>
  <c r="B341" i="25"/>
  <c r="C341" i="25"/>
  <c r="D341" i="25"/>
  <c r="B342" i="25"/>
  <c r="C342" i="25"/>
  <c r="D342" i="25"/>
  <c r="B343" i="25"/>
  <c r="C343" i="25"/>
  <c r="D343" i="25"/>
  <c r="B344" i="25"/>
  <c r="C344" i="25"/>
  <c r="D344" i="25"/>
  <c r="B345" i="25"/>
  <c r="C345" i="25"/>
  <c r="D345" i="25"/>
  <c r="B346" i="25"/>
  <c r="C346" i="25"/>
  <c r="D346" i="25"/>
  <c r="B347" i="25"/>
  <c r="C347" i="25"/>
  <c r="D347" i="25"/>
  <c r="B348" i="25"/>
  <c r="C348" i="25"/>
  <c r="D348" i="25"/>
  <c r="B349" i="25"/>
  <c r="C349" i="25"/>
  <c r="D349" i="25"/>
  <c r="B350" i="25"/>
  <c r="C350" i="25"/>
  <c r="D350" i="25"/>
  <c r="B351" i="25"/>
  <c r="C351" i="25"/>
  <c r="D351" i="25"/>
  <c r="B352" i="25"/>
  <c r="C352" i="25"/>
  <c r="D352" i="25"/>
  <c r="B353" i="25"/>
  <c r="C353" i="25"/>
  <c r="D353" i="25"/>
  <c r="B354" i="25"/>
  <c r="C354" i="25"/>
  <c r="D354" i="25"/>
  <c r="B355" i="25"/>
  <c r="C355" i="25"/>
  <c r="D355" i="25"/>
  <c r="B356" i="25"/>
  <c r="C356" i="25"/>
  <c r="D356" i="25"/>
  <c r="B357" i="25"/>
  <c r="C357" i="25"/>
  <c r="D357" i="25"/>
  <c r="B358" i="25"/>
  <c r="C358" i="25"/>
  <c r="D358" i="25"/>
  <c r="B359" i="25"/>
  <c r="C359" i="25"/>
  <c r="D359" i="25"/>
  <c r="B360" i="25"/>
  <c r="C360" i="25"/>
  <c r="D360" i="25"/>
  <c r="B361" i="25"/>
  <c r="C361" i="25"/>
  <c r="D361" i="25"/>
  <c r="B362" i="25"/>
  <c r="C362" i="25"/>
  <c r="D362" i="25"/>
  <c r="B363" i="25"/>
  <c r="C363" i="25"/>
  <c r="D363" i="25"/>
  <c r="B364" i="25"/>
  <c r="C364" i="25"/>
  <c r="D364" i="25"/>
  <c r="B365" i="25"/>
  <c r="C365" i="25"/>
  <c r="D365" i="25"/>
  <c r="B366" i="25"/>
  <c r="C366" i="25"/>
  <c r="D366" i="25"/>
  <c r="B367" i="25"/>
  <c r="C367" i="25"/>
  <c r="D367" i="25"/>
  <c r="B368" i="25"/>
  <c r="C368" i="25"/>
  <c r="D368" i="25"/>
  <c r="B369" i="25"/>
  <c r="C369" i="25"/>
  <c r="D369" i="25"/>
  <c r="B370" i="25"/>
  <c r="C370" i="25"/>
  <c r="D370" i="25"/>
  <c r="B371" i="25"/>
  <c r="C371" i="25"/>
  <c r="D371" i="25"/>
  <c r="B372" i="25"/>
  <c r="C372" i="25"/>
  <c r="D372" i="25"/>
  <c r="B373" i="25"/>
  <c r="C373" i="25"/>
  <c r="D373" i="25"/>
  <c r="B374" i="25"/>
  <c r="C374" i="25"/>
  <c r="D374" i="25"/>
  <c r="B375" i="25"/>
  <c r="C375" i="25"/>
  <c r="D375" i="25"/>
  <c r="B376" i="25"/>
  <c r="C376" i="25"/>
  <c r="D376" i="25"/>
  <c r="B377" i="25"/>
  <c r="C377" i="25"/>
  <c r="D377" i="25"/>
  <c r="B378" i="25"/>
  <c r="C378" i="25"/>
  <c r="D378" i="25"/>
  <c r="B379" i="25"/>
  <c r="C379" i="25"/>
  <c r="D379" i="25"/>
  <c r="B380" i="25"/>
  <c r="C380" i="25"/>
  <c r="D380" i="25"/>
  <c r="B381" i="25"/>
  <c r="C381" i="25"/>
  <c r="D381" i="25"/>
  <c r="B382" i="25"/>
  <c r="C382" i="25"/>
  <c r="D382" i="25"/>
  <c r="B383" i="25"/>
  <c r="C383" i="25"/>
  <c r="D383" i="25"/>
  <c r="B384" i="25"/>
  <c r="C384" i="25"/>
  <c r="D384" i="25"/>
  <c r="B385" i="25"/>
  <c r="C385" i="25"/>
  <c r="D385" i="25"/>
  <c r="B386" i="25"/>
  <c r="C386" i="25"/>
  <c r="D386" i="25"/>
  <c r="B387" i="25"/>
  <c r="C387" i="25"/>
  <c r="D387" i="25"/>
  <c r="B388" i="25"/>
  <c r="C388" i="25"/>
  <c r="D388" i="25"/>
  <c r="B389" i="25"/>
  <c r="C389" i="25"/>
  <c r="D389" i="25"/>
  <c r="B390" i="25"/>
  <c r="C390" i="25"/>
  <c r="D390" i="25"/>
  <c r="B391" i="25"/>
  <c r="C391" i="25"/>
  <c r="D391" i="25"/>
  <c r="B392" i="25"/>
  <c r="C392" i="25"/>
  <c r="D392" i="25"/>
  <c r="B393" i="25"/>
  <c r="C393" i="25"/>
  <c r="D393" i="25"/>
  <c r="B394" i="25"/>
  <c r="C394" i="25"/>
  <c r="D394" i="25"/>
  <c r="B395" i="25"/>
  <c r="C395" i="25"/>
  <c r="D395" i="25"/>
  <c r="B396" i="25"/>
  <c r="C396" i="25"/>
  <c r="D396" i="25"/>
  <c r="B397" i="25"/>
  <c r="C397" i="25"/>
  <c r="D397" i="25"/>
  <c r="B398" i="25"/>
  <c r="C398" i="25"/>
  <c r="D398" i="25"/>
  <c r="B399" i="25"/>
  <c r="C399" i="25"/>
  <c r="D399" i="25"/>
  <c r="B400" i="25"/>
  <c r="C400" i="25"/>
  <c r="D400" i="25"/>
  <c r="B401" i="25"/>
  <c r="C401" i="25"/>
  <c r="D401" i="25"/>
  <c r="B402" i="25"/>
  <c r="C402" i="25"/>
  <c r="D402" i="25"/>
  <c r="B403" i="25"/>
  <c r="C403" i="25"/>
  <c r="D403" i="25"/>
  <c r="B404" i="25"/>
  <c r="C404" i="25"/>
  <c r="D404" i="25"/>
  <c r="B405" i="25"/>
  <c r="C405" i="25"/>
  <c r="D405" i="25"/>
  <c r="B406" i="25"/>
  <c r="C406" i="25"/>
  <c r="D406" i="25"/>
  <c r="B407" i="25"/>
  <c r="C407" i="25"/>
  <c r="D407" i="25"/>
  <c r="B408" i="25"/>
  <c r="C408" i="25"/>
  <c r="D408" i="25"/>
  <c r="B409" i="25"/>
  <c r="C409" i="25"/>
  <c r="D409" i="25"/>
  <c r="B410" i="25"/>
  <c r="C410" i="25"/>
  <c r="D410" i="25"/>
  <c r="B411" i="25"/>
  <c r="C411" i="25"/>
  <c r="D411" i="25"/>
  <c r="B412" i="25"/>
  <c r="C412" i="25"/>
  <c r="D412" i="25"/>
  <c r="B413" i="25"/>
  <c r="C413" i="25"/>
  <c r="D413" i="25"/>
  <c r="B414" i="25"/>
  <c r="C414" i="25"/>
  <c r="D414" i="25"/>
  <c r="B415" i="25"/>
  <c r="C415" i="25"/>
  <c r="D415" i="25"/>
  <c r="B416" i="25"/>
  <c r="C416" i="25"/>
  <c r="D416" i="25"/>
  <c r="B417" i="25"/>
  <c r="C417" i="25"/>
  <c r="D417" i="25"/>
  <c r="B418" i="25"/>
  <c r="C418" i="25"/>
  <c r="D418" i="25"/>
  <c r="B419" i="25"/>
  <c r="C419" i="25"/>
  <c r="D419" i="25"/>
  <c r="B420" i="25"/>
  <c r="C420" i="25"/>
  <c r="D420" i="25"/>
  <c r="B421" i="25"/>
  <c r="C421" i="25"/>
  <c r="D421" i="25"/>
  <c r="B422" i="25"/>
  <c r="C422" i="25"/>
  <c r="D422" i="25"/>
  <c r="B423" i="25"/>
  <c r="C423" i="25"/>
  <c r="D423" i="25"/>
  <c r="B424" i="25"/>
  <c r="C424" i="25"/>
  <c r="D424" i="25"/>
  <c r="B425" i="25"/>
  <c r="C425" i="25"/>
  <c r="D425" i="25"/>
  <c r="B426" i="25"/>
  <c r="C426" i="25"/>
  <c r="D426" i="25"/>
  <c r="B427" i="25"/>
  <c r="C427" i="25"/>
  <c r="D427" i="25"/>
  <c r="B428" i="25"/>
  <c r="C428" i="25"/>
  <c r="D428" i="25"/>
  <c r="B429" i="25"/>
  <c r="C429" i="25"/>
  <c r="D429" i="25"/>
  <c r="B430" i="25"/>
  <c r="C430" i="25"/>
  <c r="D430" i="25"/>
  <c r="B431" i="25"/>
  <c r="C431" i="25"/>
  <c r="D431" i="25"/>
  <c r="B432" i="25"/>
  <c r="C432" i="25"/>
  <c r="D432" i="25"/>
  <c r="B433" i="25"/>
  <c r="C433" i="25"/>
  <c r="D433" i="25"/>
  <c r="B434" i="25"/>
  <c r="C434" i="25"/>
  <c r="D434" i="25"/>
  <c r="B435" i="25"/>
  <c r="C435" i="25"/>
  <c r="D435" i="25"/>
  <c r="B436" i="25"/>
  <c r="C436" i="25"/>
  <c r="D436" i="25"/>
  <c r="B437" i="25"/>
  <c r="C437" i="25"/>
  <c r="D437" i="25"/>
  <c r="B438" i="25"/>
  <c r="C438" i="25"/>
  <c r="D438" i="25"/>
  <c r="B439" i="25"/>
  <c r="C439" i="25"/>
  <c r="D439" i="25"/>
  <c r="B440" i="25"/>
  <c r="C440" i="25"/>
  <c r="D440" i="25"/>
  <c r="B441" i="25"/>
  <c r="C441" i="25"/>
  <c r="D441" i="25"/>
  <c r="B442" i="25"/>
  <c r="C442" i="25"/>
  <c r="D442" i="25"/>
  <c r="B443" i="25"/>
  <c r="C443" i="25"/>
  <c r="D443" i="25"/>
  <c r="B444" i="25"/>
  <c r="C444" i="25"/>
  <c r="D444" i="25"/>
  <c r="B445" i="25"/>
  <c r="C445" i="25"/>
  <c r="D445" i="25"/>
  <c r="B446" i="25"/>
  <c r="C446" i="25"/>
  <c r="D446" i="25"/>
  <c r="B447" i="25"/>
  <c r="C447" i="25"/>
  <c r="D447" i="25"/>
  <c r="B448" i="25"/>
  <c r="C448" i="25"/>
  <c r="D448" i="25"/>
  <c r="B449" i="25"/>
  <c r="C449" i="25"/>
  <c r="D449" i="25"/>
  <c r="B450" i="25"/>
  <c r="C450" i="25"/>
  <c r="D450" i="25"/>
  <c r="B451" i="25"/>
  <c r="C451" i="25"/>
  <c r="D451" i="25"/>
  <c r="B452" i="25"/>
  <c r="C452" i="25"/>
  <c r="D452" i="25"/>
  <c r="AB31" i="24"/>
  <c r="S34" i="24"/>
  <c r="Q236" i="24"/>
  <c r="X239" i="24"/>
  <c r="G249" i="24"/>
  <c r="BE251" i="24"/>
  <c r="G254" i="24"/>
  <c r="AV262" i="24"/>
  <c r="AE265" i="24"/>
  <c r="BK270" i="24"/>
  <c r="O274" i="24"/>
  <c r="AW275" i="24"/>
  <c r="O278" i="24"/>
  <c r="AU278" i="24"/>
  <c r="P286" i="24"/>
  <c r="AE289" i="24"/>
  <c r="AV290" i="24"/>
  <c r="AH293" i="24"/>
  <c r="AV294" i="24"/>
  <c r="AX296" i="24"/>
  <c r="AU297" i="24"/>
  <c r="Q299" i="24"/>
  <c r="AH300" i="24"/>
  <c r="AX300" i="24"/>
  <c r="AU301" i="24"/>
  <c r="AV307" i="24"/>
  <c r="AX316" i="24"/>
  <c r="AV319" i="24"/>
  <c r="AH320" i="24"/>
  <c r="R324" i="24"/>
  <c r="AF331" i="24"/>
  <c r="AG331" i="24"/>
  <c r="AX332" i="24"/>
  <c r="AH336" i="24"/>
  <c r="AF343" i="24"/>
  <c r="AT347" i="24"/>
  <c r="D349" i="24"/>
  <c r="L349" i="24"/>
  <c r="AC350" i="24"/>
  <c r="AT351" i="24"/>
  <c r="D353" i="24"/>
  <c r="L353" i="24"/>
  <c r="AC354" i="24"/>
  <c r="AT355" i="24"/>
  <c r="D357" i="24"/>
  <c r="L357" i="24"/>
  <c r="AC358" i="24"/>
  <c r="AT359" i="24"/>
  <c r="D361" i="24"/>
  <c r="L361" i="24"/>
  <c r="AC362" i="24"/>
  <c r="AT363" i="24"/>
  <c r="D365" i="24"/>
  <c r="L365" i="24"/>
  <c r="AC366" i="24"/>
  <c r="AT367" i="24"/>
  <c r="D369" i="24"/>
  <c r="L369" i="24"/>
  <c r="M370" i="24"/>
  <c r="T370" i="24"/>
  <c r="BH370" i="24"/>
  <c r="BI370" i="24"/>
  <c r="F372" i="24"/>
  <c r="AR374" i="24"/>
  <c r="AB377" i="24"/>
  <c r="M378" i="24"/>
  <c r="T378" i="24"/>
  <c r="BH378" i="24"/>
  <c r="BI378" i="24"/>
  <c r="F380" i="24"/>
  <c r="AR382" i="24"/>
  <c r="N383" i="24"/>
  <c r="AL384" i="24"/>
  <c r="AZ385" i="24"/>
  <c r="BH385" i="24"/>
  <c r="L386" i="24"/>
  <c r="AR386" i="24"/>
  <c r="N387" i="24"/>
  <c r="AT387" i="24"/>
  <c r="AR389" i="24"/>
  <c r="T390" i="24"/>
  <c r="AZ390" i="24"/>
  <c r="F392" i="24"/>
  <c r="AJ393" i="24"/>
  <c r="M394" i="24"/>
  <c r="AS394" i="24"/>
  <c r="D397" i="24"/>
  <c r="D401" i="24"/>
  <c r="AC402" i="24"/>
  <c r="BI402" i="24"/>
  <c r="F404" i="24"/>
  <c r="AJ405" i="24"/>
  <c r="AR405" i="24"/>
  <c r="M406" i="24"/>
  <c r="T406" i="24"/>
  <c r="AS406" i="24"/>
  <c r="AZ406" i="24"/>
  <c r="F408" i="24"/>
  <c r="AJ409" i="24"/>
  <c r="M410" i="24"/>
  <c r="AS410" i="24"/>
  <c r="D413" i="24"/>
  <c r="L413" i="24"/>
  <c r="D414" i="24"/>
  <c r="AC414" i="24"/>
  <c r="AJ414" i="24"/>
  <c r="N415" i="24"/>
  <c r="D417" i="24"/>
  <c r="AJ417" i="24"/>
  <c r="AR417" i="24"/>
  <c r="AC418" i="24"/>
  <c r="AS418" i="24"/>
  <c r="AZ418" i="24"/>
  <c r="N419" i="24"/>
  <c r="AL420" i="24"/>
  <c r="T421" i="24"/>
  <c r="AJ421" i="24"/>
  <c r="D422" i="24"/>
  <c r="AS422" i="24"/>
  <c r="BI422" i="24"/>
  <c r="F424" i="24"/>
  <c r="AL424" i="24"/>
  <c r="T425" i="24"/>
  <c r="AZ425" i="24"/>
  <c r="M426" i="24"/>
  <c r="T426" i="24"/>
  <c r="AJ426" i="24"/>
  <c r="AK426" i="24"/>
  <c r="BI426" i="24"/>
  <c r="AD428" i="24"/>
  <c r="L429" i="24"/>
  <c r="AR429" i="24"/>
  <c r="M430" i="24"/>
  <c r="AC430" i="24"/>
  <c r="AJ430" i="24"/>
  <c r="AZ430" i="24"/>
  <c r="BA430" i="24"/>
  <c r="F431" i="24"/>
  <c r="D433" i="24"/>
  <c r="X433" i="24"/>
  <c r="AN433" i="24"/>
  <c r="AR433" i="24"/>
  <c r="BH433" i="24"/>
  <c r="L434" i="24"/>
  <c r="T434" i="24"/>
  <c r="Y434" i="24"/>
  <c r="AB434" i="24"/>
  <c r="AJ434" i="24"/>
  <c r="AO434" i="24"/>
  <c r="AR434" i="24"/>
  <c r="AZ434" i="24"/>
  <c r="BE434" i="24"/>
  <c r="BH434" i="24"/>
  <c r="B1" i="23"/>
  <c r="C1" i="23"/>
  <c r="D1" i="23"/>
  <c r="E1" i="23"/>
  <c r="F1" i="23"/>
  <c r="G1" i="23"/>
  <c r="H1" i="23"/>
  <c r="I1" i="23"/>
  <c r="J1" i="23"/>
  <c r="K1" i="23"/>
  <c r="L1" i="23"/>
  <c r="M1" i="23"/>
  <c r="N1" i="23"/>
  <c r="O1" i="23"/>
  <c r="P1" i="23"/>
  <c r="Q1" i="23"/>
  <c r="R1" i="23"/>
  <c r="S1" i="23"/>
  <c r="T1" i="23"/>
  <c r="U1" i="23"/>
  <c r="V1" i="23"/>
  <c r="W1" i="23"/>
  <c r="X1" i="23"/>
  <c r="Y1" i="23"/>
  <c r="Z1" i="23"/>
  <c r="AA1" i="23"/>
  <c r="AB1" i="23"/>
  <c r="AC1" i="23"/>
  <c r="AD1" i="23"/>
  <c r="AE1" i="23"/>
  <c r="AF1" i="23"/>
  <c r="AG1" i="23"/>
  <c r="AH1" i="23"/>
  <c r="AI1" i="23"/>
  <c r="AJ1" i="23"/>
  <c r="AK1" i="23"/>
  <c r="AL1" i="23"/>
  <c r="AM1" i="23"/>
  <c r="AN1" i="23"/>
  <c r="AO1" i="23"/>
  <c r="AP1" i="23"/>
  <c r="AQ1" i="23"/>
  <c r="AR1" i="23"/>
  <c r="AS1" i="23"/>
  <c r="AT1" i="23"/>
  <c r="AU1" i="23"/>
  <c r="AV1" i="23"/>
  <c r="AW1" i="23"/>
  <c r="AX1" i="23"/>
  <c r="AY1" i="23"/>
  <c r="AZ1" i="23"/>
  <c r="BA1" i="23"/>
  <c r="BB1" i="23"/>
  <c r="BC1" i="23"/>
  <c r="BD1" i="23"/>
  <c r="BE1" i="23"/>
  <c r="BF1" i="23"/>
  <c r="BG1" i="23"/>
  <c r="BH1" i="23"/>
  <c r="BI1" i="23"/>
  <c r="BJ1" i="23"/>
  <c r="BK1" i="23"/>
  <c r="BL1" i="23"/>
  <c r="BM1" i="23"/>
  <c r="BN1" i="23"/>
  <c r="BO1" i="23"/>
  <c r="BP1" i="23"/>
  <c r="BQ1" i="23"/>
  <c r="BR1" i="23"/>
  <c r="BS1" i="23"/>
  <c r="BT1" i="23"/>
  <c r="A2" i="23"/>
  <c r="B2" i="23"/>
  <c r="C2" i="23"/>
  <c r="D2" i="23"/>
  <c r="E2" i="23"/>
  <c r="F2" i="23"/>
  <c r="G2" i="23"/>
  <c r="H2" i="23"/>
  <c r="I2" i="23"/>
  <c r="J2" i="23"/>
  <c r="K2" i="23"/>
  <c r="L2" i="23"/>
  <c r="M2" i="23"/>
  <c r="N2" i="23"/>
  <c r="O2" i="23"/>
  <c r="P2" i="23"/>
  <c r="Q2" i="23"/>
  <c r="R2" i="23"/>
  <c r="S2" i="23"/>
  <c r="T2" i="23"/>
  <c r="U2" i="23"/>
  <c r="V2" i="23"/>
  <c r="W2" i="23"/>
  <c r="X2" i="23"/>
  <c r="Y2" i="23"/>
  <c r="Z2" i="23"/>
  <c r="AA2" i="23"/>
  <c r="AB2" i="23"/>
  <c r="AC2" i="23"/>
  <c r="AD2" i="23"/>
  <c r="AE2" i="23"/>
  <c r="AF2" i="23"/>
  <c r="AG2" i="23"/>
  <c r="AH2" i="23"/>
  <c r="AI2" i="23"/>
  <c r="AJ2" i="23"/>
  <c r="AK2" i="23"/>
  <c r="AL2" i="23"/>
  <c r="AM2" i="23"/>
  <c r="AN2" i="23"/>
  <c r="AO2" i="23"/>
  <c r="AP2" i="23"/>
  <c r="AQ2" i="23"/>
  <c r="AR2" i="23"/>
  <c r="AS2" i="23"/>
  <c r="AT2" i="23"/>
  <c r="AU2" i="23"/>
  <c r="AV2" i="23"/>
  <c r="AW2" i="23"/>
  <c r="AX2" i="23"/>
  <c r="AY2" i="23"/>
  <c r="AZ2" i="23"/>
  <c r="BA2" i="23"/>
  <c r="BB2" i="23"/>
  <c r="BC2" i="23"/>
  <c r="BD2" i="23"/>
  <c r="BE2" i="23"/>
  <c r="BF2" i="23"/>
  <c r="BG2" i="23"/>
  <c r="BH2" i="23"/>
  <c r="BI2" i="23"/>
  <c r="BJ2" i="23"/>
  <c r="BK2" i="23"/>
  <c r="BL2" i="23"/>
  <c r="BM2" i="23"/>
  <c r="BN2" i="23"/>
  <c r="BO2" i="23"/>
  <c r="BP2" i="23"/>
  <c r="BQ2" i="23"/>
  <c r="BR2" i="23"/>
  <c r="BS2" i="23"/>
  <c r="BT2" i="23"/>
  <c r="K8" i="26"/>
  <c r="L8" i="26"/>
  <c r="B2" i="24"/>
  <c r="E2" i="24"/>
  <c r="F2" i="24"/>
  <c r="G2" i="24"/>
  <c r="I2" i="24"/>
  <c r="J2" i="24"/>
  <c r="M2" i="24"/>
  <c r="N2" i="24"/>
  <c r="O2" i="24"/>
  <c r="Q2" i="24"/>
  <c r="R2" i="24"/>
  <c r="U2" i="24"/>
  <c r="V2" i="24"/>
  <c r="W2" i="24"/>
  <c r="X2" i="24"/>
  <c r="Y2" i="24"/>
  <c r="Z2" i="24"/>
  <c r="AA2" i="24"/>
  <c r="AB2" i="24"/>
  <c r="AC2" i="24"/>
  <c r="AD2" i="24"/>
  <c r="AG2" i="24"/>
  <c r="AH2" i="24"/>
  <c r="AJ2" i="24"/>
  <c r="AK2" i="24"/>
  <c r="AL2" i="24"/>
  <c r="AM2" i="24"/>
  <c r="AN2" i="24"/>
  <c r="AO2" i="24"/>
  <c r="AP2" i="24"/>
  <c r="AR2" i="24"/>
  <c r="AS2" i="24"/>
  <c r="AT2" i="24"/>
  <c r="AU2" i="24"/>
  <c r="AW2" i="24"/>
  <c r="AX2" i="24"/>
  <c r="AY2" i="24"/>
  <c r="AZ2" i="24"/>
  <c r="BA2" i="24"/>
  <c r="BB2" i="24"/>
  <c r="BD2" i="24"/>
  <c r="BE2" i="24"/>
  <c r="BF2" i="24"/>
  <c r="BI2" i="24"/>
  <c r="BJ2" i="24"/>
  <c r="BK2" i="24"/>
  <c r="K9" i="26"/>
  <c r="L9" i="26"/>
  <c r="B3" i="24"/>
  <c r="E3" i="24"/>
  <c r="F3" i="24"/>
  <c r="G3" i="24"/>
  <c r="H3" i="24"/>
  <c r="I3" i="24"/>
  <c r="J3" i="24"/>
  <c r="K3" i="24"/>
  <c r="M3" i="24"/>
  <c r="N3" i="24"/>
  <c r="Q3" i="24"/>
  <c r="R3" i="24"/>
  <c r="U3" i="24"/>
  <c r="V3" i="24"/>
  <c r="Y3" i="24"/>
  <c r="Z3" i="24"/>
  <c r="AB3" i="24"/>
  <c r="AC3" i="24"/>
  <c r="AD3" i="24"/>
  <c r="AF3" i="24"/>
  <c r="AG3" i="24"/>
  <c r="AH3" i="24"/>
  <c r="AI3" i="24"/>
  <c r="AJ3" i="24"/>
  <c r="AK3" i="24"/>
  <c r="AL3" i="24"/>
  <c r="AN3" i="24"/>
  <c r="AO3" i="24"/>
  <c r="AP3" i="24"/>
  <c r="AS3" i="24"/>
  <c r="AT3" i="24"/>
  <c r="AV3" i="24"/>
  <c r="AW3" i="24"/>
  <c r="AX3" i="24"/>
  <c r="BA3" i="24"/>
  <c r="BB3" i="24"/>
  <c r="BC3" i="24"/>
  <c r="BE3" i="24"/>
  <c r="BF3" i="24"/>
  <c r="BI3" i="24"/>
  <c r="BJ3" i="24"/>
  <c r="K10" i="26"/>
  <c r="L10" i="26"/>
  <c r="B4" i="24"/>
  <c r="C4" i="24"/>
  <c r="E4" i="24"/>
  <c r="F4" i="24"/>
  <c r="G4" i="24"/>
  <c r="I4" i="24"/>
  <c r="J4" i="24"/>
  <c r="K4" i="24"/>
  <c r="L4" i="24"/>
  <c r="M4" i="24"/>
  <c r="N4" i="24"/>
  <c r="P4" i="24"/>
  <c r="Q4" i="24"/>
  <c r="R4" i="24"/>
  <c r="S4" i="24"/>
  <c r="U4" i="24"/>
  <c r="V4" i="24"/>
  <c r="W4" i="24"/>
  <c r="X4" i="24"/>
  <c r="Y4" i="24"/>
  <c r="Z4" i="24"/>
  <c r="AC4" i="24"/>
  <c r="AD4" i="24"/>
  <c r="AF4" i="24"/>
  <c r="AG4" i="24"/>
  <c r="AH4" i="24"/>
  <c r="AI4" i="24"/>
  <c r="AJ4" i="24"/>
  <c r="AK4" i="24"/>
  <c r="AL4" i="24"/>
  <c r="AM4" i="24"/>
  <c r="AN4" i="24"/>
  <c r="AO4" i="24"/>
  <c r="AP4" i="24"/>
  <c r="AR4" i="24"/>
  <c r="AS4" i="24"/>
  <c r="AT4" i="24"/>
  <c r="AU4" i="24"/>
  <c r="AV4" i="24"/>
  <c r="AW4" i="24"/>
  <c r="AX4" i="24"/>
  <c r="AZ4" i="24"/>
  <c r="BA4" i="24"/>
  <c r="BB4" i="24"/>
  <c r="BE4" i="24"/>
  <c r="BF4" i="24"/>
  <c r="BI4" i="24"/>
  <c r="BJ4" i="24"/>
  <c r="K11" i="26"/>
  <c r="L11" i="26"/>
  <c r="B5" i="24"/>
  <c r="C5" i="24"/>
  <c r="D5" i="24"/>
  <c r="E5" i="24"/>
  <c r="F5" i="24"/>
  <c r="G5" i="24"/>
  <c r="H5" i="24"/>
  <c r="I5" i="24"/>
  <c r="J5" i="24"/>
  <c r="K5" i="24"/>
  <c r="L5" i="24"/>
  <c r="M5" i="24"/>
  <c r="N5" i="24"/>
  <c r="O5" i="24"/>
  <c r="P5" i="24"/>
  <c r="Q5" i="24"/>
  <c r="R5" i="24"/>
  <c r="S5" i="24"/>
  <c r="T5" i="24"/>
  <c r="U5" i="24"/>
  <c r="V5" i="24"/>
  <c r="W5" i="24"/>
  <c r="X5" i="24"/>
  <c r="Y5" i="24"/>
  <c r="Z5" i="24"/>
  <c r="AA5" i="24"/>
  <c r="AB5" i="24"/>
  <c r="AC5" i="24"/>
  <c r="AD5" i="24"/>
  <c r="AE5" i="24"/>
  <c r="AF5" i="24"/>
  <c r="AG5" i="24"/>
  <c r="AH5" i="24"/>
  <c r="AI5" i="24"/>
  <c r="AJ5" i="24"/>
  <c r="AK5" i="24"/>
  <c r="AL5" i="24"/>
  <c r="AM5" i="24"/>
  <c r="AN5" i="24"/>
  <c r="AO5" i="24"/>
  <c r="AP5" i="24"/>
  <c r="AQ5" i="24"/>
  <c r="AR5" i="24"/>
  <c r="AS5" i="24"/>
  <c r="AT5" i="24"/>
  <c r="AU5" i="24"/>
  <c r="AV5" i="24"/>
  <c r="AW5" i="24"/>
  <c r="AX5" i="24"/>
  <c r="AY5" i="24"/>
  <c r="AZ5" i="24"/>
  <c r="BA5" i="24"/>
  <c r="BB5" i="24"/>
  <c r="BC5" i="24"/>
  <c r="BD5" i="24"/>
  <c r="BE5" i="24"/>
  <c r="BF5" i="24"/>
  <c r="BG5" i="24"/>
  <c r="BH5" i="24"/>
  <c r="BI5" i="24"/>
  <c r="BJ5" i="24"/>
  <c r="BK5" i="24"/>
  <c r="K12" i="26"/>
  <c r="L12" i="26"/>
  <c r="B6" i="24"/>
  <c r="C6" i="24"/>
  <c r="D6" i="24"/>
  <c r="E6" i="24"/>
  <c r="F6" i="24"/>
  <c r="G6" i="24"/>
  <c r="H6" i="24"/>
  <c r="I6" i="24"/>
  <c r="J6" i="24"/>
  <c r="K6" i="24"/>
  <c r="L6" i="24"/>
  <c r="M6" i="24"/>
  <c r="N6" i="24"/>
  <c r="O6" i="24"/>
  <c r="P6" i="24"/>
  <c r="Q6" i="24"/>
  <c r="R6" i="24"/>
  <c r="S6" i="24"/>
  <c r="T6" i="24"/>
  <c r="U6" i="24"/>
  <c r="V6" i="24"/>
  <c r="W6" i="24"/>
  <c r="X6" i="24"/>
  <c r="Y6" i="24"/>
  <c r="Z6" i="24"/>
  <c r="AA6" i="24"/>
  <c r="AB6" i="24"/>
  <c r="AC6" i="24"/>
  <c r="AD6" i="24"/>
  <c r="AE6" i="24"/>
  <c r="AF6" i="24"/>
  <c r="AG6" i="24"/>
  <c r="AH6" i="24"/>
  <c r="AI6" i="24"/>
  <c r="AJ6" i="24"/>
  <c r="AK6" i="24"/>
  <c r="AL6" i="24"/>
  <c r="AM6" i="24"/>
  <c r="AN6" i="24"/>
  <c r="AO6" i="24"/>
  <c r="AP6" i="24"/>
  <c r="AQ6" i="24"/>
  <c r="AR6" i="24"/>
  <c r="AS6" i="24"/>
  <c r="AT6" i="24"/>
  <c r="AU6" i="24"/>
  <c r="AV6" i="24"/>
  <c r="AW6" i="24"/>
  <c r="AX6" i="24"/>
  <c r="AY6" i="24"/>
  <c r="AZ6" i="24"/>
  <c r="BA6" i="24"/>
  <c r="BB6" i="24"/>
  <c r="BC6" i="24"/>
  <c r="BD6" i="24"/>
  <c r="BE6" i="24"/>
  <c r="BF6" i="24"/>
  <c r="BG6" i="24"/>
  <c r="BH6" i="24"/>
  <c r="BI6" i="24"/>
  <c r="BJ6" i="24"/>
  <c r="BK6" i="24"/>
  <c r="K13" i="26"/>
  <c r="L13" i="26"/>
  <c r="B7" i="24"/>
  <c r="C7" i="24"/>
  <c r="D7" i="24"/>
  <c r="E7" i="24"/>
  <c r="F7" i="24"/>
  <c r="G7" i="24"/>
  <c r="H7" i="24"/>
  <c r="I7" i="24"/>
  <c r="J7" i="24"/>
  <c r="K7" i="24"/>
  <c r="L7" i="24"/>
  <c r="M7" i="24"/>
  <c r="N7" i="24"/>
  <c r="O7" i="24"/>
  <c r="P7" i="24"/>
  <c r="Q7" i="24"/>
  <c r="R7" i="24"/>
  <c r="S7" i="24"/>
  <c r="T7" i="24"/>
  <c r="U7" i="24"/>
  <c r="V7" i="24"/>
  <c r="W7" i="24"/>
  <c r="X7" i="24"/>
  <c r="Y7" i="24"/>
  <c r="Z7" i="24"/>
  <c r="AA7" i="24"/>
  <c r="AB7" i="24"/>
  <c r="AC7" i="24"/>
  <c r="AD7" i="24"/>
  <c r="AE7" i="24"/>
  <c r="AF7" i="24"/>
  <c r="AG7" i="24"/>
  <c r="AH7" i="24"/>
  <c r="AI7" i="24"/>
  <c r="AJ7" i="24"/>
  <c r="AK7" i="24"/>
  <c r="AL7" i="24"/>
  <c r="AM7" i="24"/>
  <c r="AN7" i="24"/>
  <c r="AO7" i="24"/>
  <c r="AP7" i="24"/>
  <c r="AQ7" i="24"/>
  <c r="AR7" i="24"/>
  <c r="AS7" i="24"/>
  <c r="AT7" i="24"/>
  <c r="AU7" i="24"/>
  <c r="AV7" i="24"/>
  <c r="AW7" i="24"/>
  <c r="AX7" i="24"/>
  <c r="AY7" i="24"/>
  <c r="AZ7" i="24"/>
  <c r="BA7" i="24"/>
  <c r="BB7" i="24"/>
  <c r="BC7" i="24"/>
  <c r="BD7" i="24"/>
  <c r="BE7" i="24"/>
  <c r="BF7" i="24"/>
  <c r="BG7" i="24"/>
  <c r="BH7" i="24"/>
  <c r="BI7" i="24"/>
  <c r="BJ7" i="24"/>
  <c r="BK7" i="24"/>
  <c r="K14" i="26"/>
  <c r="L14" i="26"/>
  <c r="B8" i="24"/>
  <c r="C8" i="24"/>
  <c r="D8" i="24"/>
  <c r="E8" i="24"/>
  <c r="F8" i="24"/>
  <c r="G8" i="24"/>
  <c r="H8" i="24"/>
  <c r="I8" i="24"/>
  <c r="J8" i="24"/>
  <c r="K8" i="24"/>
  <c r="L8" i="24"/>
  <c r="M8" i="24"/>
  <c r="N8" i="24"/>
  <c r="O8" i="24"/>
  <c r="P8" i="24"/>
  <c r="Q8" i="24"/>
  <c r="R8" i="24"/>
  <c r="S8" i="24"/>
  <c r="T8" i="24"/>
  <c r="U8" i="24"/>
  <c r="V8" i="24"/>
  <c r="W8" i="24"/>
  <c r="X8" i="24"/>
  <c r="Y8" i="24"/>
  <c r="Z8" i="24"/>
  <c r="AA8" i="24"/>
  <c r="AB8" i="24"/>
  <c r="AC8" i="24"/>
  <c r="AD8" i="24"/>
  <c r="AE8" i="24"/>
  <c r="AF8" i="24"/>
  <c r="AG8" i="24"/>
  <c r="AH8" i="24"/>
  <c r="AI8" i="24"/>
  <c r="AJ8" i="24"/>
  <c r="AK8" i="24"/>
  <c r="AL8" i="24"/>
  <c r="AM8" i="24"/>
  <c r="AN8" i="24"/>
  <c r="AO8" i="24"/>
  <c r="AP8" i="24"/>
  <c r="AQ8" i="24"/>
  <c r="AR8" i="24"/>
  <c r="AS8" i="24"/>
  <c r="AT8" i="24"/>
  <c r="AU8" i="24"/>
  <c r="AV8" i="24"/>
  <c r="AW8" i="24"/>
  <c r="AX8" i="24"/>
  <c r="AY8" i="24"/>
  <c r="AZ8" i="24"/>
  <c r="BA8" i="24"/>
  <c r="BB8" i="24"/>
  <c r="BC8" i="24"/>
  <c r="BD8" i="24"/>
  <c r="BE8" i="24"/>
  <c r="BF8" i="24"/>
  <c r="BG8" i="24"/>
  <c r="BH8" i="24"/>
  <c r="BI8" i="24"/>
  <c r="BJ8" i="24"/>
  <c r="BK8" i="24"/>
  <c r="K15" i="26"/>
  <c r="L15" i="26"/>
  <c r="B9" i="24"/>
  <c r="C9" i="24"/>
  <c r="D9" i="24"/>
  <c r="E9" i="24"/>
  <c r="F9" i="24"/>
  <c r="G9" i="24"/>
  <c r="H9" i="24"/>
  <c r="I9" i="24"/>
  <c r="J9" i="24"/>
  <c r="K9" i="24"/>
  <c r="L9" i="24"/>
  <c r="M9" i="24"/>
  <c r="N9" i="24"/>
  <c r="O9" i="24"/>
  <c r="P9" i="24"/>
  <c r="Q9" i="24"/>
  <c r="R9" i="24"/>
  <c r="S9" i="24"/>
  <c r="T9" i="24"/>
  <c r="U9" i="24"/>
  <c r="V9" i="24"/>
  <c r="W9" i="24"/>
  <c r="X9" i="24"/>
  <c r="Y9" i="24"/>
  <c r="Z9" i="24"/>
  <c r="AA9" i="24"/>
  <c r="AB9" i="24"/>
  <c r="AC9" i="24"/>
  <c r="AD9" i="24"/>
  <c r="AE9" i="24"/>
  <c r="AF9" i="24"/>
  <c r="AG9" i="24"/>
  <c r="AH9" i="24"/>
  <c r="AI9" i="24"/>
  <c r="AJ9" i="24"/>
  <c r="AK9" i="24"/>
  <c r="AL9" i="24"/>
  <c r="AM9" i="24"/>
  <c r="AN9" i="24"/>
  <c r="AO9" i="24"/>
  <c r="AP9" i="24"/>
  <c r="AQ9" i="24"/>
  <c r="AR9" i="24"/>
  <c r="AS9" i="24"/>
  <c r="AT9" i="24"/>
  <c r="AU9" i="24"/>
  <c r="AV9" i="24"/>
  <c r="AW9" i="24"/>
  <c r="AX9" i="24"/>
  <c r="AY9" i="24"/>
  <c r="AZ9" i="24"/>
  <c r="BA9" i="24"/>
  <c r="BB9" i="24"/>
  <c r="BC9" i="24"/>
  <c r="BD9" i="24"/>
  <c r="BE9" i="24"/>
  <c r="BF9" i="24"/>
  <c r="BG9" i="24"/>
  <c r="BH9" i="24"/>
  <c r="BI9" i="24"/>
  <c r="BJ9" i="24"/>
  <c r="BK9" i="24"/>
  <c r="K16" i="26"/>
  <c r="L16" i="26"/>
  <c r="B10" i="24"/>
  <c r="C10" i="24"/>
  <c r="D10" i="24"/>
  <c r="E10" i="24"/>
  <c r="F10" i="24"/>
  <c r="G10" i="24"/>
  <c r="H10" i="24"/>
  <c r="I10" i="24"/>
  <c r="J10" i="24"/>
  <c r="K10" i="24"/>
  <c r="L10" i="24"/>
  <c r="M10" i="24"/>
  <c r="N10" i="24"/>
  <c r="O10" i="24"/>
  <c r="P10" i="24"/>
  <c r="Q10" i="24"/>
  <c r="R10" i="24"/>
  <c r="S10" i="24"/>
  <c r="T10" i="24"/>
  <c r="U10" i="24"/>
  <c r="V10" i="24"/>
  <c r="W10" i="24"/>
  <c r="X10" i="24"/>
  <c r="Y10" i="24"/>
  <c r="Z10" i="24"/>
  <c r="AA10" i="24"/>
  <c r="AB10" i="24"/>
  <c r="AC10" i="24"/>
  <c r="AD10" i="24"/>
  <c r="AE10" i="24"/>
  <c r="AF10" i="24"/>
  <c r="AG10" i="24"/>
  <c r="AH10" i="24"/>
  <c r="AI10" i="24"/>
  <c r="AJ10" i="24"/>
  <c r="AK10" i="24"/>
  <c r="AL10" i="24"/>
  <c r="AM10" i="24"/>
  <c r="AN10" i="24"/>
  <c r="AO10" i="24"/>
  <c r="AP10" i="24"/>
  <c r="AQ10" i="24"/>
  <c r="AR10" i="24"/>
  <c r="AS10" i="24"/>
  <c r="AT10" i="24"/>
  <c r="AU10" i="24"/>
  <c r="AV10" i="24"/>
  <c r="AW10" i="24"/>
  <c r="AX10" i="24"/>
  <c r="AY10" i="24"/>
  <c r="AZ10" i="24"/>
  <c r="BA10" i="24"/>
  <c r="BB10" i="24"/>
  <c r="BC10" i="24"/>
  <c r="BD10" i="24"/>
  <c r="BE10" i="24"/>
  <c r="BF10" i="24"/>
  <c r="BG10" i="24"/>
  <c r="BH10" i="24"/>
  <c r="BI10" i="24"/>
  <c r="BJ10" i="24"/>
  <c r="BK10" i="24"/>
  <c r="K17" i="26"/>
  <c r="L17" i="26"/>
  <c r="B11" i="24"/>
  <c r="C11" i="24"/>
  <c r="D11" i="24"/>
  <c r="E11" i="24"/>
  <c r="F11" i="24"/>
  <c r="G11" i="24"/>
  <c r="H11" i="24"/>
  <c r="I11" i="24"/>
  <c r="J11" i="24"/>
  <c r="K11" i="24"/>
  <c r="L11" i="24"/>
  <c r="M11" i="24"/>
  <c r="N11" i="24"/>
  <c r="O11" i="24"/>
  <c r="P11" i="24"/>
  <c r="Q11" i="24"/>
  <c r="R11" i="24"/>
  <c r="S11" i="24"/>
  <c r="T11" i="24"/>
  <c r="U11" i="24"/>
  <c r="V11" i="24"/>
  <c r="W11" i="24"/>
  <c r="X11" i="24"/>
  <c r="Y11" i="24"/>
  <c r="Z11" i="24"/>
  <c r="AA11" i="24"/>
  <c r="AB11" i="24"/>
  <c r="AC11" i="24"/>
  <c r="AD11" i="24"/>
  <c r="AE11" i="24"/>
  <c r="AF11" i="24"/>
  <c r="AG11" i="24"/>
  <c r="AH11" i="24"/>
  <c r="AI11" i="24"/>
  <c r="AJ11" i="24"/>
  <c r="AK11" i="24"/>
  <c r="AL11" i="24"/>
  <c r="AM11" i="24"/>
  <c r="AN11" i="24"/>
  <c r="AO11" i="24"/>
  <c r="AP11" i="24"/>
  <c r="AQ11" i="24"/>
  <c r="AR11" i="24"/>
  <c r="AS11" i="24"/>
  <c r="AT11" i="24"/>
  <c r="AU11" i="24"/>
  <c r="AV11" i="24"/>
  <c r="AW11" i="24"/>
  <c r="AX11" i="24"/>
  <c r="AY11" i="24"/>
  <c r="AZ11" i="24"/>
  <c r="BA11" i="24"/>
  <c r="BB11" i="24"/>
  <c r="BC11" i="24"/>
  <c r="BD11" i="24"/>
  <c r="BE11" i="24"/>
  <c r="BF11" i="24"/>
  <c r="BG11" i="24"/>
  <c r="BH11" i="24"/>
  <c r="BI11" i="24"/>
  <c r="BJ11" i="24"/>
  <c r="BK11" i="24"/>
  <c r="K18" i="26"/>
  <c r="L18" i="26"/>
  <c r="B12" i="24"/>
  <c r="C12" i="24"/>
  <c r="D12" i="24"/>
  <c r="E12" i="24"/>
  <c r="F12" i="24"/>
  <c r="G12" i="24"/>
  <c r="H12" i="24"/>
  <c r="I12" i="24"/>
  <c r="J12" i="24"/>
  <c r="K12" i="24"/>
  <c r="L12" i="24"/>
  <c r="M12" i="24"/>
  <c r="N12" i="24"/>
  <c r="O12" i="24"/>
  <c r="P12" i="24"/>
  <c r="Q12" i="24"/>
  <c r="R12" i="24"/>
  <c r="S12" i="24"/>
  <c r="T12" i="24"/>
  <c r="U12" i="24"/>
  <c r="V12" i="24"/>
  <c r="W12" i="24"/>
  <c r="X12" i="24"/>
  <c r="Y12" i="24"/>
  <c r="Z12" i="24"/>
  <c r="AA12" i="24"/>
  <c r="AB12" i="24"/>
  <c r="AC12" i="24"/>
  <c r="AD12" i="24"/>
  <c r="AE12" i="24"/>
  <c r="AF12" i="24"/>
  <c r="AG12" i="24"/>
  <c r="AH12" i="24"/>
  <c r="AI12" i="24"/>
  <c r="AJ12" i="24"/>
  <c r="AK12" i="24"/>
  <c r="AL12" i="24"/>
  <c r="AM12" i="24"/>
  <c r="AN12" i="24"/>
  <c r="AO12" i="24"/>
  <c r="AP12" i="24"/>
  <c r="AQ12" i="24"/>
  <c r="AR12" i="24"/>
  <c r="AS12" i="24"/>
  <c r="AT12" i="24"/>
  <c r="AU12" i="24"/>
  <c r="AV12" i="24"/>
  <c r="AW12" i="24"/>
  <c r="AX12" i="24"/>
  <c r="AY12" i="24"/>
  <c r="AZ12" i="24"/>
  <c r="BA12" i="24"/>
  <c r="BB12" i="24"/>
  <c r="BC12" i="24"/>
  <c r="BD12" i="24"/>
  <c r="BE12" i="24"/>
  <c r="BF12" i="24"/>
  <c r="BG12" i="24"/>
  <c r="BH12" i="24"/>
  <c r="BI12" i="24"/>
  <c r="BJ12" i="24"/>
  <c r="BK12" i="24"/>
  <c r="K19" i="26"/>
  <c r="L19" i="26"/>
  <c r="B13" i="24"/>
  <c r="C13" i="24"/>
  <c r="D13" i="24"/>
  <c r="E13" i="24"/>
  <c r="F13" i="24"/>
  <c r="G13" i="24"/>
  <c r="H13" i="24"/>
  <c r="I13" i="24"/>
  <c r="J13" i="24"/>
  <c r="K13" i="24"/>
  <c r="L13" i="24"/>
  <c r="M13" i="24"/>
  <c r="N13" i="24"/>
  <c r="O13" i="24"/>
  <c r="P13" i="24"/>
  <c r="Q13" i="24"/>
  <c r="R13" i="24"/>
  <c r="S13" i="24"/>
  <c r="T13" i="24"/>
  <c r="U13" i="24"/>
  <c r="V13" i="24"/>
  <c r="W13" i="24"/>
  <c r="X13" i="24"/>
  <c r="Y13" i="24"/>
  <c r="Z13" i="24"/>
  <c r="AA13" i="24"/>
  <c r="AB13" i="24"/>
  <c r="AC13" i="24"/>
  <c r="AD13" i="24"/>
  <c r="AE13" i="24"/>
  <c r="AF13" i="24"/>
  <c r="AG13" i="24"/>
  <c r="AH13" i="24"/>
  <c r="AI13" i="24"/>
  <c r="AJ13" i="24"/>
  <c r="AK13" i="24"/>
  <c r="AL13" i="24"/>
  <c r="AM13" i="24"/>
  <c r="AN13" i="24"/>
  <c r="AO13" i="24"/>
  <c r="AP13" i="24"/>
  <c r="AQ13" i="24"/>
  <c r="AR13" i="24"/>
  <c r="AS13" i="24"/>
  <c r="AT13" i="24"/>
  <c r="AU13" i="24"/>
  <c r="AV13" i="24"/>
  <c r="AW13" i="24"/>
  <c r="AX13" i="24"/>
  <c r="AY13" i="24"/>
  <c r="AZ13" i="24"/>
  <c r="BA13" i="24"/>
  <c r="BB13" i="24"/>
  <c r="BC13" i="24"/>
  <c r="BD13" i="24"/>
  <c r="BE13" i="24"/>
  <c r="BF13" i="24"/>
  <c r="BG13" i="24"/>
  <c r="BH13" i="24"/>
  <c r="BI13" i="24"/>
  <c r="BJ13" i="24"/>
  <c r="BK13" i="24"/>
  <c r="K20" i="26"/>
  <c r="L20" i="26"/>
  <c r="B14" i="24"/>
  <c r="C14" i="24"/>
  <c r="D14" i="24"/>
  <c r="E14" i="24"/>
  <c r="F14" i="24"/>
  <c r="G14" i="24"/>
  <c r="H14" i="24"/>
  <c r="I14" i="24"/>
  <c r="J14" i="24"/>
  <c r="K14" i="24"/>
  <c r="L14" i="24"/>
  <c r="M14" i="24"/>
  <c r="N14" i="24"/>
  <c r="O14" i="24"/>
  <c r="P14" i="24"/>
  <c r="Q14" i="24"/>
  <c r="R14" i="24"/>
  <c r="S14" i="24"/>
  <c r="T14" i="24"/>
  <c r="U14" i="24"/>
  <c r="V14" i="24"/>
  <c r="W14" i="24"/>
  <c r="X14" i="24"/>
  <c r="Y14" i="24"/>
  <c r="Z14" i="24"/>
  <c r="AA14" i="24"/>
  <c r="AB14" i="24"/>
  <c r="AC14" i="24"/>
  <c r="AD14" i="24"/>
  <c r="AE14" i="24"/>
  <c r="AF14" i="24"/>
  <c r="AG14" i="24"/>
  <c r="AH14" i="24"/>
  <c r="AI14" i="24"/>
  <c r="AJ14" i="24"/>
  <c r="AK14" i="24"/>
  <c r="AL14" i="24"/>
  <c r="AM14" i="24"/>
  <c r="AN14" i="24"/>
  <c r="AO14" i="24"/>
  <c r="AP14" i="24"/>
  <c r="AQ14" i="24"/>
  <c r="AR14" i="24"/>
  <c r="AS14" i="24"/>
  <c r="AT14" i="24"/>
  <c r="AU14" i="24"/>
  <c r="AV14" i="24"/>
  <c r="AW14" i="24"/>
  <c r="AX14" i="24"/>
  <c r="AY14" i="24"/>
  <c r="AZ14" i="24"/>
  <c r="BA14" i="24"/>
  <c r="BB14" i="24"/>
  <c r="BC14" i="24"/>
  <c r="BD14" i="24"/>
  <c r="BE14" i="24"/>
  <c r="BF14" i="24"/>
  <c r="BG14" i="24"/>
  <c r="BH14" i="24"/>
  <c r="BI14" i="24"/>
  <c r="BJ14" i="24"/>
  <c r="BK14" i="24"/>
  <c r="K21" i="26"/>
  <c r="L21" i="26"/>
  <c r="B15" i="24"/>
  <c r="C15" i="24"/>
  <c r="D15" i="24"/>
  <c r="E15" i="24"/>
  <c r="F15" i="24"/>
  <c r="G15" i="24"/>
  <c r="H15" i="24"/>
  <c r="I15" i="24"/>
  <c r="J15" i="24"/>
  <c r="K15" i="24"/>
  <c r="L15" i="24"/>
  <c r="M15" i="24"/>
  <c r="N15" i="24"/>
  <c r="O15" i="24"/>
  <c r="P15" i="24"/>
  <c r="Q15" i="24"/>
  <c r="R15" i="24"/>
  <c r="S15" i="24"/>
  <c r="T15" i="24"/>
  <c r="U15" i="24"/>
  <c r="V15" i="24"/>
  <c r="W15" i="24"/>
  <c r="X15" i="24"/>
  <c r="Y15" i="24"/>
  <c r="Z15" i="24"/>
  <c r="AA15" i="24"/>
  <c r="AB15" i="24"/>
  <c r="AC15" i="24"/>
  <c r="AD15" i="24"/>
  <c r="AE15" i="24"/>
  <c r="AF15" i="24"/>
  <c r="AG15" i="24"/>
  <c r="AH15" i="24"/>
  <c r="AI15" i="24"/>
  <c r="AJ15" i="24"/>
  <c r="AK15" i="24"/>
  <c r="AL15" i="24"/>
  <c r="AM15" i="24"/>
  <c r="AN15" i="24"/>
  <c r="AO15" i="24"/>
  <c r="AP15" i="24"/>
  <c r="AQ15" i="24"/>
  <c r="AR15" i="24"/>
  <c r="AS15" i="24"/>
  <c r="AT15" i="24"/>
  <c r="AU15" i="24"/>
  <c r="AV15" i="24"/>
  <c r="AW15" i="24"/>
  <c r="AX15" i="24"/>
  <c r="AY15" i="24"/>
  <c r="AZ15" i="24"/>
  <c r="BA15" i="24"/>
  <c r="BB15" i="24"/>
  <c r="BC15" i="24"/>
  <c r="BD15" i="24"/>
  <c r="BE15" i="24"/>
  <c r="BF15" i="24"/>
  <c r="BG15" i="24"/>
  <c r="BH15" i="24"/>
  <c r="BI15" i="24"/>
  <c r="BJ15" i="24"/>
  <c r="BK15" i="24"/>
  <c r="K22" i="26"/>
  <c r="L22" i="26"/>
  <c r="B16" i="24"/>
  <c r="C16" i="24"/>
  <c r="D16" i="24"/>
  <c r="E16" i="24"/>
  <c r="F16" i="24"/>
  <c r="G16" i="24"/>
  <c r="H16" i="24"/>
  <c r="I16" i="24"/>
  <c r="J16" i="24"/>
  <c r="K16" i="24"/>
  <c r="L16" i="24"/>
  <c r="M16" i="24"/>
  <c r="N16" i="24"/>
  <c r="O16" i="24"/>
  <c r="P16" i="24"/>
  <c r="Q16" i="24"/>
  <c r="R16" i="24"/>
  <c r="S16" i="24"/>
  <c r="T16" i="24"/>
  <c r="U16" i="24"/>
  <c r="V16" i="24"/>
  <c r="W16" i="24"/>
  <c r="X16" i="24"/>
  <c r="Y16" i="24"/>
  <c r="Z16" i="24"/>
  <c r="AA16" i="24"/>
  <c r="AB16" i="24"/>
  <c r="AC16" i="24"/>
  <c r="AD16" i="24"/>
  <c r="AE16" i="24"/>
  <c r="AF16" i="24"/>
  <c r="AG16" i="24"/>
  <c r="AH16" i="24"/>
  <c r="AI16" i="24"/>
  <c r="AJ16" i="24"/>
  <c r="AK16" i="24"/>
  <c r="AL16" i="24"/>
  <c r="AM16" i="24"/>
  <c r="AN16" i="24"/>
  <c r="AO16" i="24"/>
  <c r="AP16" i="24"/>
  <c r="AQ16" i="24"/>
  <c r="AR16" i="24"/>
  <c r="AS16" i="24"/>
  <c r="AT16" i="24"/>
  <c r="AU16" i="24"/>
  <c r="AV16" i="24"/>
  <c r="AW16" i="24"/>
  <c r="AX16" i="24"/>
  <c r="AY16" i="24"/>
  <c r="AZ16" i="24"/>
  <c r="BA16" i="24"/>
  <c r="BB16" i="24"/>
  <c r="BC16" i="24"/>
  <c r="BD16" i="24"/>
  <c r="BE16" i="24"/>
  <c r="BF16" i="24"/>
  <c r="BG16" i="24"/>
  <c r="BH16" i="24"/>
  <c r="BI16" i="24"/>
  <c r="BJ16" i="24"/>
  <c r="BK16" i="24"/>
  <c r="K23" i="26"/>
  <c r="L23" i="26"/>
  <c r="B17" i="24"/>
  <c r="C17" i="24"/>
  <c r="D17" i="24"/>
  <c r="E17" i="24"/>
  <c r="F17" i="24"/>
  <c r="G17" i="24"/>
  <c r="H17" i="24"/>
  <c r="I17" i="24"/>
  <c r="J17" i="24"/>
  <c r="K17" i="24"/>
  <c r="L17" i="24"/>
  <c r="M17" i="24"/>
  <c r="N17" i="24"/>
  <c r="O17" i="24"/>
  <c r="P17" i="24"/>
  <c r="Q17" i="24"/>
  <c r="R17" i="24"/>
  <c r="S17" i="24"/>
  <c r="T17" i="24"/>
  <c r="U17" i="24"/>
  <c r="V17" i="24"/>
  <c r="W17" i="24"/>
  <c r="X17" i="24"/>
  <c r="Y17" i="24"/>
  <c r="Z17" i="24"/>
  <c r="AA17" i="24"/>
  <c r="AB17" i="24"/>
  <c r="AC17" i="24"/>
  <c r="AD17" i="24"/>
  <c r="AE17" i="24"/>
  <c r="AF17" i="24"/>
  <c r="AG17" i="24"/>
  <c r="AH17" i="24"/>
  <c r="AI17" i="24"/>
  <c r="AJ17" i="24"/>
  <c r="AK17" i="24"/>
  <c r="AL17" i="24"/>
  <c r="AM17" i="24"/>
  <c r="AN17" i="24"/>
  <c r="AO17" i="24"/>
  <c r="AP17" i="24"/>
  <c r="AQ17" i="24"/>
  <c r="AR17" i="24"/>
  <c r="AS17" i="24"/>
  <c r="AT17" i="24"/>
  <c r="AU17" i="24"/>
  <c r="AV17" i="24"/>
  <c r="AW17" i="24"/>
  <c r="AX17" i="24"/>
  <c r="AY17" i="24"/>
  <c r="AZ17" i="24"/>
  <c r="BA17" i="24"/>
  <c r="BB17" i="24"/>
  <c r="BC17" i="24"/>
  <c r="BD17" i="24"/>
  <c r="BE17" i="24"/>
  <c r="BF17" i="24"/>
  <c r="BG17" i="24"/>
  <c r="BH17" i="24"/>
  <c r="BI17" i="24"/>
  <c r="BJ17" i="24"/>
  <c r="BK17" i="24"/>
  <c r="K24" i="26"/>
  <c r="L24" i="26"/>
  <c r="B18" i="24"/>
  <c r="C18" i="24"/>
  <c r="D18" i="24"/>
  <c r="E18" i="24"/>
  <c r="F18" i="24"/>
  <c r="G18" i="24"/>
  <c r="H18" i="24"/>
  <c r="I18" i="24"/>
  <c r="J18" i="24"/>
  <c r="K18" i="24"/>
  <c r="L18" i="24"/>
  <c r="M18" i="24"/>
  <c r="N18" i="24"/>
  <c r="O18" i="24"/>
  <c r="P18" i="24"/>
  <c r="Q18" i="24"/>
  <c r="R18" i="24"/>
  <c r="S18" i="24"/>
  <c r="T18" i="24"/>
  <c r="U18" i="24"/>
  <c r="V18" i="24"/>
  <c r="W18" i="24"/>
  <c r="X18" i="24"/>
  <c r="Y18" i="24"/>
  <c r="Z18" i="24"/>
  <c r="AA18" i="24"/>
  <c r="AB18" i="24"/>
  <c r="AC18" i="24"/>
  <c r="AD18" i="24"/>
  <c r="AE18" i="24"/>
  <c r="AF18" i="24"/>
  <c r="AG18" i="24"/>
  <c r="AH18" i="24"/>
  <c r="AI18" i="24"/>
  <c r="AJ18" i="24"/>
  <c r="AK18" i="24"/>
  <c r="AL18" i="24"/>
  <c r="AM18" i="24"/>
  <c r="AN18" i="24"/>
  <c r="AO18" i="24"/>
  <c r="AP18" i="24"/>
  <c r="AQ18" i="24"/>
  <c r="AR18" i="24"/>
  <c r="AS18" i="24"/>
  <c r="AT18" i="24"/>
  <c r="AU18" i="24"/>
  <c r="AV18" i="24"/>
  <c r="AW18" i="24"/>
  <c r="AX18" i="24"/>
  <c r="AY18" i="24"/>
  <c r="AZ18" i="24"/>
  <c r="BA18" i="24"/>
  <c r="BB18" i="24"/>
  <c r="BC18" i="24"/>
  <c r="BD18" i="24"/>
  <c r="BE18" i="24"/>
  <c r="BF18" i="24"/>
  <c r="BG18" i="24"/>
  <c r="BH18" i="24"/>
  <c r="BI18" i="24"/>
  <c r="BJ18" i="24"/>
  <c r="BK18" i="24"/>
  <c r="K25" i="26"/>
  <c r="L25" i="26"/>
  <c r="B19" i="24"/>
  <c r="C19" i="24"/>
  <c r="D19" i="24"/>
  <c r="E19" i="24"/>
  <c r="F19" i="24"/>
  <c r="G19" i="24"/>
  <c r="H19" i="24"/>
  <c r="I19" i="24"/>
  <c r="J19" i="24"/>
  <c r="K19" i="24"/>
  <c r="L19" i="24"/>
  <c r="M19" i="24"/>
  <c r="N19" i="24"/>
  <c r="O19" i="24"/>
  <c r="P19" i="24"/>
  <c r="Q19" i="24"/>
  <c r="R19" i="24"/>
  <c r="S19" i="24"/>
  <c r="T19" i="24"/>
  <c r="U19" i="24"/>
  <c r="V19" i="24"/>
  <c r="W19" i="24"/>
  <c r="X19" i="24"/>
  <c r="Y19" i="24"/>
  <c r="Z19" i="24"/>
  <c r="AA19" i="24"/>
  <c r="AB19" i="24"/>
  <c r="AC19" i="24"/>
  <c r="AD19" i="24"/>
  <c r="AE19" i="24"/>
  <c r="AF19" i="24"/>
  <c r="AG19" i="24"/>
  <c r="AH19" i="24"/>
  <c r="AI19" i="24"/>
  <c r="AJ19" i="24"/>
  <c r="AK19" i="24"/>
  <c r="AL19" i="24"/>
  <c r="AM19" i="24"/>
  <c r="AN19" i="24"/>
  <c r="AO19" i="24"/>
  <c r="AP19" i="24"/>
  <c r="AQ19" i="24"/>
  <c r="AR19" i="24"/>
  <c r="AS19" i="24"/>
  <c r="AT19" i="24"/>
  <c r="AU19" i="24"/>
  <c r="AV19" i="24"/>
  <c r="AW19" i="24"/>
  <c r="AX19" i="24"/>
  <c r="AY19" i="24"/>
  <c r="AZ19" i="24"/>
  <c r="BA19" i="24"/>
  <c r="BB19" i="24"/>
  <c r="BC19" i="24"/>
  <c r="BD19" i="24"/>
  <c r="BE19" i="24"/>
  <c r="BF19" i="24"/>
  <c r="BG19" i="24"/>
  <c r="BH19" i="24"/>
  <c r="BI19" i="24"/>
  <c r="BJ19" i="24"/>
  <c r="BK19" i="24"/>
  <c r="K26" i="26"/>
  <c r="L26" i="26"/>
  <c r="B20" i="24"/>
  <c r="C20" i="24"/>
  <c r="D20" i="24"/>
  <c r="E20" i="24"/>
  <c r="F20" i="24"/>
  <c r="G20" i="24"/>
  <c r="H20" i="24"/>
  <c r="I20" i="24"/>
  <c r="J20" i="24"/>
  <c r="K20" i="24"/>
  <c r="L20" i="24"/>
  <c r="M20" i="24"/>
  <c r="N20" i="24"/>
  <c r="O20" i="24"/>
  <c r="P20" i="24"/>
  <c r="Q20" i="24"/>
  <c r="R20" i="24"/>
  <c r="S20" i="24"/>
  <c r="T20" i="24"/>
  <c r="U20" i="24"/>
  <c r="V20" i="24"/>
  <c r="W20" i="24"/>
  <c r="X20" i="24"/>
  <c r="Y20" i="24"/>
  <c r="Z20" i="24"/>
  <c r="AA20" i="24"/>
  <c r="AB20" i="24"/>
  <c r="AC20" i="24"/>
  <c r="AD20" i="24"/>
  <c r="AE20" i="24"/>
  <c r="AF20" i="24"/>
  <c r="AG20" i="24"/>
  <c r="AH20" i="24"/>
  <c r="AI20" i="24"/>
  <c r="AJ20" i="24"/>
  <c r="AK20" i="24"/>
  <c r="AL20" i="24"/>
  <c r="AM20" i="24"/>
  <c r="AN20" i="24"/>
  <c r="AO20" i="24"/>
  <c r="AP20" i="24"/>
  <c r="AQ20" i="24"/>
  <c r="AR20" i="24"/>
  <c r="AS20" i="24"/>
  <c r="AT20" i="24"/>
  <c r="AU20" i="24"/>
  <c r="AV20" i="24"/>
  <c r="AW20" i="24"/>
  <c r="AX20" i="24"/>
  <c r="AY20" i="24"/>
  <c r="AZ20" i="24"/>
  <c r="BA20" i="24"/>
  <c r="BB20" i="24"/>
  <c r="BC20" i="24"/>
  <c r="BD20" i="24"/>
  <c r="BE20" i="24"/>
  <c r="BF20" i="24"/>
  <c r="BG20" i="24"/>
  <c r="BH20" i="24"/>
  <c r="BI20" i="24"/>
  <c r="BJ20" i="24"/>
  <c r="BK20" i="24"/>
  <c r="K27" i="26"/>
  <c r="L27" i="26"/>
  <c r="B21" i="24"/>
  <c r="C21" i="24"/>
  <c r="D21" i="24"/>
  <c r="E21" i="24"/>
  <c r="F21" i="24"/>
  <c r="G21" i="24"/>
  <c r="H21" i="24"/>
  <c r="I21" i="24"/>
  <c r="J21" i="24"/>
  <c r="K21" i="24"/>
  <c r="L21" i="24"/>
  <c r="M21" i="24"/>
  <c r="N21" i="24"/>
  <c r="O21" i="24"/>
  <c r="P21" i="24"/>
  <c r="Q21" i="24"/>
  <c r="R21" i="24"/>
  <c r="S21" i="24"/>
  <c r="T21" i="24"/>
  <c r="U21" i="24"/>
  <c r="V21" i="24"/>
  <c r="W21" i="24"/>
  <c r="X21" i="24"/>
  <c r="Y21" i="24"/>
  <c r="Z21" i="24"/>
  <c r="AA21" i="24"/>
  <c r="AB21" i="24"/>
  <c r="AC21" i="24"/>
  <c r="AD21" i="24"/>
  <c r="AE21" i="24"/>
  <c r="AF21" i="24"/>
  <c r="AG21" i="24"/>
  <c r="AH21" i="24"/>
  <c r="AI21" i="24"/>
  <c r="AJ21" i="24"/>
  <c r="AK21" i="24"/>
  <c r="AL21" i="24"/>
  <c r="AM21" i="24"/>
  <c r="AN21" i="24"/>
  <c r="AO21" i="24"/>
  <c r="AP21" i="24"/>
  <c r="AQ21" i="24"/>
  <c r="AR21" i="24"/>
  <c r="AS21" i="24"/>
  <c r="AT21" i="24"/>
  <c r="AU21" i="24"/>
  <c r="AV21" i="24"/>
  <c r="AW21" i="24"/>
  <c r="AX21" i="24"/>
  <c r="AY21" i="24"/>
  <c r="AZ21" i="24"/>
  <c r="BA21" i="24"/>
  <c r="BB21" i="24"/>
  <c r="BC21" i="24"/>
  <c r="BD21" i="24"/>
  <c r="BE21" i="24"/>
  <c r="BF21" i="24"/>
  <c r="BG21" i="24"/>
  <c r="BH21" i="24"/>
  <c r="BI21" i="24"/>
  <c r="BJ21" i="24"/>
  <c r="BK21" i="24"/>
  <c r="K28" i="26"/>
  <c r="L28" i="26"/>
  <c r="B22" i="24"/>
  <c r="C22" i="24"/>
  <c r="D22" i="24"/>
  <c r="E22" i="24"/>
  <c r="F22" i="24"/>
  <c r="G22" i="24"/>
  <c r="H22" i="24"/>
  <c r="I22" i="24"/>
  <c r="J22" i="24"/>
  <c r="K22" i="24"/>
  <c r="L22" i="24"/>
  <c r="M22" i="24"/>
  <c r="N22" i="24"/>
  <c r="O22" i="24"/>
  <c r="P22" i="24"/>
  <c r="Q22" i="24"/>
  <c r="R22" i="24"/>
  <c r="S22" i="24"/>
  <c r="T22" i="24"/>
  <c r="U22" i="24"/>
  <c r="V22" i="24"/>
  <c r="W22" i="24"/>
  <c r="X22" i="24"/>
  <c r="Y22" i="24"/>
  <c r="Z22" i="24"/>
  <c r="AA22" i="24"/>
  <c r="AB22" i="24"/>
  <c r="AC22" i="24"/>
  <c r="AD22" i="24"/>
  <c r="AE22" i="24"/>
  <c r="AF22" i="24"/>
  <c r="AG22" i="24"/>
  <c r="AH22" i="24"/>
  <c r="AI22" i="24"/>
  <c r="AJ22" i="24"/>
  <c r="AK22" i="24"/>
  <c r="AL22" i="24"/>
  <c r="AM22" i="24"/>
  <c r="AN22" i="24"/>
  <c r="AO22" i="24"/>
  <c r="AP22" i="24"/>
  <c r="AQ22" i="24"/>
  <c r="AR22" i="24"/>
  <c r="AS22" i="24"/>
  <c r="AT22" i="24"/>
  <c r="AU22" i="24"/>
  <c r="AV22" i="24"/>
  <c r="AW22" i="24"/>
  <c r="AX22" i="24"/>
  <c r="AY22" i="24"/>
  <c r="AZ22" i="24"/>
  <c r="BA22" i="24"/>
  <c r="BB22" i="24"/>
  <c r="BC22" i="24"/>
  <c r="BD22" i="24"/>
  <c r="BE22" i="24"/>
  <c r="BF22" i="24"/>
  <c r="BG22" i="24"/>
  <c r="BH22" i="24"/>
  <c r="BI22" i="24"/>
  <c r="BJ22" i="24"/>
  <c r="BK22" i="24"/>
  <c r="K29" i="26"/>
  <c r="L29" i="26"/>
  <c r="B23" i="24"/>
  <c r="C23" i="24"/>
  <c r="D23" i="24"/>
  <c r="E23" i="24"/>
  <c r="F23" i="24"/>
  <c r="G23" i="24"/>
  <c r="H23" i="24"/>
  <c r="I23" i="24"/>
  <c r="J23" i="24"/>
  <c r="K23" i="24"/>
  <c r="L23" i="24"/>
  <c r="M23" i="24"/>
  <c r="N23" i="24"/>
  <c r="O23" i="24"/>
  <c r="P23" i="24"/>
  <c r="Q23" i="24"/>
  <c r="R23" i="24"/>
  <c r="S23" i="24"/>
  <c r="T23" i="24"/>
  <c r="U23" i="24"/>
  <c r="V23" i="24"/>
  <c r="W23" i="24"/>
  <c r="X23" i="24"/>
  <c r="Y23" i="24"/>
  <c r="Z23" i="24"/>
  <c r="AA23" i="24"/>
  <c r="AB23" i="24"/>
  <c r="AC23" i="24"/>
  <c r="AD23" i="24"/>
  <c r="AE23" i="24"/>
  <c r="AF23" i="24"/>
  <c r="AG23" i="24"/>
  <c r="AH23" i="24"/>
  <c r="AI23" i="24"/>
  <c r="AJ23" i="24"/>
  <c r="AK23" i="24"/>
  <c r="AL23" i="24"/>
  <c r="AM23" i="24"/>
  <c r="AN23" i="24"/>
  <c r="AO23" i="24"/>
  <c r="AP23" i="24"/>
  <c r="AQ23" i="24"/>
  <c r="AR23" i="24"/>
  <c r="AS23" i="24"/>
  <c r="AT23" i="24"/>
  <c r="AU23" i="24"/>
  <c r="AV23" i="24"/>
  <c r="AW23" i="24"/>
  <c r="AX23" i="24"/>
  <c r="AY23" i="24"/>
  <c r="AZ23" i="24"/>
  <c r="BA23" i="24"/>
  <c r="BB23" i="24"/>
  <c r="BC23" i="24"/>
  <c r="BD23" i="24"/>
  <c r="BE23" i="24"/>
  <c r="BF23" i="24"/>
  <c r="BG23" i="24"/>
  <c r="BH23" i="24"/>
  <c r="BI23" i="24"/>
  <c r="BJ23" i="24"/>
  <c r="BK23" i="24"/>
  <c r="K30" i="26"/>
  <c r="L30" i="26"/>
  <c r="B24" i="24"/>
  <c r="C24" i="24"/>
  <c r="D24" i="24"/>
  <c r="E24" i="24"/>
  <c r="F24" i="24"/>
  <c r="G24" i="24"/>
  <c r="H24" i="24"/>
  <c r="I24" i="24"/>
  <c r="J24" i="24"/>
  <c r="K24" i="24"/>
  <c r="L24" i="24"/>
  <c r="M24" i="24"/>
  <c r="N24" i="24"/>
  <c r="O24" i="24"/>
  <c r="P24" i="24"/>
  <c r="Q24" i="24"/>
  <c r="R24" i="24"/>
  <c r="S24" i="24"/>
  <c r="T24" i="24"/>
  <c r="U24" i="24"/>
  <c r="V24" i="24"/>
  <c r="W24" i="24"/>
  <c r="X24" i="24"/>
  <c r="Y24" i="24"/>
  <c r="Z24" i="24"/>
  <c r="AA24" i="24"/>
  <c r="AB24" i="24"/>
  <c r="AC24" i="24"/>
  <c r="AD24" i="24"/>
  <c r="AE24" i="24"/>
  <c r="AF24" i="24"/>
  <c r="AG24" i="24"/>
  <c r="AH24" i="24"/>
  <c r="AI24" i="24"/>
  <c r="AJ24" i="24"/>
  <c r="AK24" i="24"/>
  <c r="AL24" i="24"/>
  <c r="AM24" i="24"/>
  <c r="AN24" i="24"/>
  <c r="AO24" i="24"/>
  <c r="AP24" i="24"/>
  <c r="AQ24" i="24"/>
  <c r="AR24" i="24"/>
  <c r="AS24" i="24"/>
  <c r="AT24" i="24"/>
  <c r="AU24" i="24"/>
  <c r="AV24" i="24"/>
  <c r="AW24" i="24"/>
  <c r="AX24" i="24"/>
  <c r="AY24" i="24"/>
  <c r="AZ24" i="24"/>
  <c r="BA24" i="24"/>
  <c r="BB24" i="24"/>
  <c r="BC24" i="24"/>
  <c r="BD24" i="24"/>
  <c r="BE24" i="24"/>
  <c r="BF24" i="24"/>
  <c r="BG24" i="24"/>
  <c r="BH24" i="24"/>
  <c r="BI24" i="24"/>
  <c r="BJ24" i="24"/>
  <c r="BK24" i="24"/>
  <c r="K31" i="26"/>
  <c r="L31" i="26"/>
  <c r="B25" i="24"/>
  <c r="C25" i="24"/>
  <c r="D25" i="24"/>
  <c r="E25" i="24"/>
  <c r="F25" i="24"/>
  <c r="G25" i="24"/>
  <c r="H25" i="24"/>
  <c r="I25" i="24"/>
  <c r="J25" i="24"/>
  <c r="K25" i="24"/>
  <c r="L25" i="24"/>
  <c r="M25" i="24"/>
  <c r="N25" i="24"/>
  <c r="O25" i="24"/>
  <c r="P25" i="24"/>
  <c r="Q25" i="24"/>
  <c r="R25" i="24"/>
  <c r="S25" i="24"/>
  <c r="T25" i="24"/>
  <c r="U25" i="24"/>
  <c r="V25" i="24"/>
  <c r="W25" i="24"/>
  <c r="X25" i="24"/>
  <c r="Y25" i="24"/>
  <c r="Z25" i="24"/>
  <c r="AA25" i="24"/>
  <c r="AB25" i="24"/>
  <c r="AC25" i="24"/>
  <c r="AD25" i="24"/>
  <c r="AE25" i="24"/>
  <c r="AF25" i="24"/>
  <c r="AG25" i="24"/>
  <c r="AH25" i="24"/>
  <c r="AI25" i="24"/>
  <c r="AJ25" i="24"/>
  <c r="AK25" i="24"/>
  <c r="AL25" i="24"/>
  <c r="AM25" i="24"/>
  <c r="AN25" i="24"/>
  <c r="AO25" i="24"/>
  <c r="AP25" i="24"/>
  <c r="AQ25" i="24"/>
  <c r="AR25" i="24"/>
  <c r="AS25" i="24"/>
  <c r="AT25" i="24"/>
  <c r="AU25" i="24"/>
  <c r="AV25" i="24"/>
  <c r="AW25" i="24"/>
  <c r="AX25" i="24"/>
  <c r="AY25" i="24"/>
  <c r="AZ25" i="24"/>
  <c r="BA25" i="24"/>
  <c r="BB25" i="24"/>
  <c r="BC25" i="24"/>
  <c r="BD25" i="24"/>
  <c r="BE25" i="24"/>
  <c r="BF25" i="24"/>
  <c r="BG25" i="24"/>
  <c r="BH25" i="24"/>
  <c r="BI25" i="24"/>
  <c r="BJ25" i="24"/>
  <c r="BK25" i="24"/>
  <c r="K32" i="26"/>
  <c r="L32" i="26"/>
  <c r="B26" i="24"/>
  <c r="C26" i="24"/>
  <c r="D26" i="24"/>
  <c r="E26" i="24"/>
  <c r="F26" i="24"/>
  <c r="G26" i="24"/>
  <c r="H26" i="24"/>
  <c r="I26" i="24"/>
  <c r="J26" i="24"/>
  <c r="K26" i="24"/>
  <c r="L26" i="24"/>
  <c r="M26" i="24"/>
  <c r="N26" i="24"/>
  <c r="O26" i="24"/>
  <c r="P26" i="24"/>
  <c r="Q26" i="24"/>
  <c r="R26" i="24"/>
  <c r="S26" i="24"/>
  <c r="T26" i="24"/>
  <c r="U26" i="24"/>
  <c r="V26" i="24"/>
  <c r="W26" i="24"/>
  <c r="X26" i="24"/>
  <c r="Y26" i="24"/>
  <c r="Z26" i="24"/>
  <c r="AA26" i="24"/>
  <c r="AB26" i="24"/>
  <c r="AC26" i="24"/>
  <c r="AD26" i="24"/>
  <c r="AE26" i="24"/>
  <c r="AF26" i="24"/>
  <c r="AG26" i="24"/>
  <c r="AH26" i="24"/>
  <c r="AI26" i="24"/>
  <c r="AJ26" i="24"/>
  <c r="AK26" i="24"/>
  <c r="AL26" i="24"/>
  <c r="AM26" i="24"/>
  <c r="AN26" i="24"/>
  <c r="AO26" i="24"/>
  <c r="AP26" i="24"/>
  <c r="AQ26" i="24"/>
  <c r="AR26" i="24"/>
  <c r="AS26" i="24"/>
  <c r="AT26" i="24"/>
  <c r="AU26" i="24"/>
  <c r="AV26" i="24"/>
  <c r="AW26" i="24"/>
  <c r="AX26" i="24"/>
  <c r="AY26" i="24"/>
  <c r="AZ26" i="24"/>
  <c r="BA26" i="24"/>
  <c r="BB26" i="24"/>
  <c r="BC26" i="24"/>
  <c r="BD26" i="24"/>
  <c r="BE26" i="24"/>
  <c r="BF26" i="24"/>
  <c r="BG26" i="24"/>
  <c r="BH26" i="24"/>
  <c r="BI26" i="24"/>
  <c r="BJ26" i="24"/>
  <c r="BK26" i="24"/>
  <c r="K33" i="26"/>
  <c r="L33" i="26"/>
  <c r="B27" i="24"/>
  <c r="C27" i="24"/>
  <c r="D27" i="24"/>
  <c r="E27" i="24"/>
  <c r="F27" i="24"/>
  <c r="G27" i="24"/>
  <c r="H27" i="24"/>
  <c r="I27" i="24"/>
  <c r="J27" i="24"/>
  <c r="K27" i="24"/>
  <c r="L27" i="24"/>
  <c r="M27" i="24"/>
  <c r="N27" i="24"/>
  <c r="O27" i="24"/>
  <c r="P27" i="24"/>
  <c r="Q27" i="24"/>
  <c r="R27" i="24"/>
  <c r="S27" i="24"/>
  <c r="T27" i="24"/>
  <c r="U27" i="24"/>
  <c r="V27" i="24"/>
  <c r="W27" i="24"/>
  <c r="X27" i="24"/>
  <c r="Y27" i="24"/>
  <c r="Z27" i="24"/>
  <c r="AA27" i="24"/>
  <c r="AB27" i="24"/>
  <c r="AC27" i="24"/>
  <c r="AD27" i="24"/>
  <c r="AE27" i="24"/>
  <c r="AF27" i="24"/>
  <c r="AG27" i="24"/>
  <c r="AH27" i="24"/>
  <c r="AI27" i="24"/>
  <c r="AJ27" i="24"/>
  <c r="AK27" i="24"/>
  <c r="AL27" i="24"/>
  <c r="AM27" i="24"/>
  <c r="AN27" i="24"/>
  <c r="AO27" i="24"/>
  <c r="AP27" i="24"/>
  <c r="AQ27" i="24"/>
  <c r="AR27" i="24"/>
  <c r="AS27" i="24"/>
  <c r="AT27" i="24"/>
  <c r="AU27" i="24"/>
  <c r="AV27" i="24"/>
  <c r="AW27" i="24"/>
  <c r="AX27" i="24"/>
  <c r="AY27" i="24"/>
  <c r="AZ27" i="24"/>
  <c r="BA27" i="24"/>
  <c r="BB27" i="24"/>
  <c r="BC27" i="24"/>
  <c r="BD27" i="24"/>
  <c r="BE27" i="24"/>
  <c r="BF27" i="24"/>
  <c r="BG27" i="24"/>
  <c r="BH27" i="24"/>
  <c r="BI27" i="24"/>
  <c r="BJ27" i="24"/>
  <c r="BK27" i="24"/>
  <c r="K34" i="26"/>
  <c r="L34" i="26"/>
  <c r="B28" i="24"/>
  <c r="C28" i="24"/>
  <c r="D28" i="24"/>
  <c r="E28" i="24"/>
  <c r="F28" i="24"/>
  <c r="G28" i="24"/>
  <c r="H28" i="24"/>
  <c r="I28" i="24"/>
  <c r="J28" i="24"/>
  <c r="K28" i="24"/>
  <c r="L28" i="24"/>
  <c r="M28" i="24"/>
  <c r="N28" i="24"/>
  <c r="O28" i="24"/>
  <c r="P28" i="24"/>
  <c r="Q28" i="24"/>
  <c r="R28" i="24"/>
  <c r="S28" i="24"/>
  <c r="T28" i="24"/>
  <c r="U28" i="24"/>
  <c r="V28" i="24"/>
  <c r="W28" i="24"/>
  <c r="X28" i="24"/>
  <c r="Y28" i="24"/>
  <c r="Z28" i="24"/>
  <c r="AA28" i="24"/>
  <c r="AB28" i="24"/>
  <c r="AC28" i="24"/>
  <c r="AD28" i="24"/>
  <c r="AE28" i="24"/>
  <c r="AF28" i="24"/>
  <c r="AG28" i="24"/>
  <c r="AH28" i="24"/>
  <c r="AI28" i="24"/>
  <c r="AJ28" i="24"/>
  <c r="AK28" i="24"/>
  <c r="AL28" i="24"/>
  <c r="AM28" i="24"/>
  <c r="AN28" i="24"/>
  <c r="AO28" i="24"/>
  <c r="AP28" i="24"/>
  <c r="AQ28" i="24"/>
  <c r="AR28" i="24"/>
  <c r="AS28" i="24"/>
  <c r="AT28" i="24"/>
  <c r="AU28" i="24"/>
  <c r="AV28" i="24"/>
  <c r="AW28" i="24"/>
  <c r="AX28" i="24"/>
  <c r="AY28" i="24"/>
  <c r="AZ28" i="24"/>
  <c r="BA28" i="24"/>
  <c r="BB28" i="24"/>
  <c r="BC28" i="24"/>
  <c r="BD28" i="24"/>
  <c r="BE28" i="24"/>
  <c r="BF28" i="24"/>
  <c r="BG28" i="24"/>
  <c r="BH28" i="24"/>
  <c r="BI28" i="24"/>
  <c r="BJ28" i="24"/>
  <c r="BK28" i="24"/>
  <c r="K35" i="26"/>
  <c r="L35" i="26"/>
  <c r="B29" i="24"/>
  <c r="C29" i="24"/>
  <c r="D29" i="24"/>
  <c r="E29" i="24"/>
  <c r="F29" i="24"/>
  <c r="G29" i="24"/>
  <c r="H29" i="24"/>
  <c r="I29" i="24"/>
  <c r="J29" i="24"/>
  <c r="K29" i="24"/>
  <c r="L29" i="24"/>
  <c r="M29" i="24"/>
  <c r="N29" i="24"/>
  <c r="O29" i="24"/>
  <c r="P29" i="24"/>
  <c r="Q29" i="24"/>
  <c r="R29" i="24"/>
  <c r="S29" i="24"/>
  <c r="T29" i="24"/>
  <c r="U29" i="24"/>
  <c r="V29" i="24"/>
  <c r="W29" i="24"/>
  <c r="X29" i="24"/>
  <c r="Y29" i="24"/>
  <c r="Z29" i="24"/>
  <c r="AA29" i="24"/>
  <c r="AB29" i="24"/>
  <c r="AC29" i="24"/>
  <c r="AD29" i="24"/>
  <c r="AE29" i="24"/>
  <c r="AF29" i="24"/>
  <c r="AG29" i="24"/>
  <c r="AH29" i="24"/>
  <c r="AI29" i="24"/>
  <c r="AJ29" i="24"/>
  <c r="AK29" i="24"/>
  <c r="AL29" i="24"/>
  <c r="AM29" i="24"/>
  <c r="AN29" i="24"/>
  <c r="AO29" i="24"/>
  <c r="AP29" i="24"/>
  <c r="AQ29" i="24"/>
  <c r="AR29" i="24"/>
  <c r="AS29" i="24"/>
  <c r="AT29" i="24"/>
  <c r="AU29" i="24"/>
  <c r="AV29" i="24"/>
  <c r="AW29" i="24"/>
  <c r="AX29" i="24"/>
  <c r="AY29" i="24"/>
  <c r="AZ29" i="24"/>
  <c r="BA29" i="24"/>
  <c r="BB29" i="24"/>
  <c r="BC29" i="24"/>
  <c r="BD29" i="24"/>
  <c r="BE29" i="24"/>
  <c r="BF29" i="24"/>
  <c r="BG29" i="24"/>
  <c r="BH29" i="24"/>
  <c r="BI29" i="24"/>
  <c r="BJ29" i="24"/>
  <c r="BK29" i="24"/>
  <c r="K36" i="26"/>
  <c r="L36" i="26"/>
  <c r="B30" i="24"/>
  <c r="C30" i="24"/>
  <c r="D30" i="24"/>
  <c r="E30" i="24"/>
  <c r="F30" i="24"/>
  <c r="G30" i="24"/>
  <c r="H30" i="24"/>
  <c r="I30" i="24"/>
  <c r="J30" i="24"/>
  <c r="K30" i="24"/>
  <c r="L30" i="24"/>
  <c r="M30" i="24"/>
  <c r="N30" i="24"/>
  <c r="O30" i="24"/>
  <c r="P30" i="24"/>
  <c r="Q30" i="24"/>
  <c r="R30" i="24"/>
  <c r="S30" i="24"/>
  <c r="T30" i="24"/>
  <c r="U30" i="24"/>
  <c r="V30" i="24"/>
  <c r="W30" i="24"/>
  <c r="X30" i="24"/>
  <c r="Y30" i="24"/>
  <c r="Z30" i="24"/>
  <c r="AA30" i="24"/>
  <c r="AB30" i="24"/>
  <c r="AC30" i="24"/>
  <c r="AD30" i="24"/>
  <c r="AE30" i="24"/>
  <c r="AF30" i="24"/>
  <c r="AG30" i="24"/>
  <c r="AH30" i="24"/>
  <c r="AI30" i="24"/>
  <c r="AJ30" i="24"/>
  <c r="AK30" i="24"/>
  <c r="AL30" i="24"/>
  <c r="AM30" i="24"/>
  <c r="AN30" i="24"/>
  <c r="AO30" i="24"/>
  <c r="AP30" i="24"/>
  <c r="AQ30" i="24"/>
  <c r="AR30" i="24"/>
  <c r="AS30" i="24"/>
  <c r="AT30" i="24"/>
  <c r="AU30" i="24"/>
  <c r="AV30" i="24"/>
  <c r="AW30" i="24"/>
  <c r="AX30" i="24"/>
  <c r="AY30" i="24"/>
  <c r="AZ30" i="24"/>
  <c r="BA30" i="24"/>
  <c r="BB30" i="24"/>
  <c r="BC30" i="24"/>
  <c r="BD30" i="24"/>
  <c r="BE30" i="24"/>
  <c r="BF30" i="24"/>
  <c r="BG30" i="24"/>
  <c r="BH30" i="24"/>
  <c r="BI30" i="24"/>
  <c r="BJ30" i="24"/>
  <c r="BK30" i="24"/>
  <c r="K37" i="26"/>
  <c r="L37" i="26"/>
  <c r="B31" i="24"/>
  <c r="C31" i="24"/>
  <c r="D31" i="24"/>
  <c r="E31" i="24"/>
  <c r="F31" i="24"/>
  <c r="G31" i="24"/>
  <c r="H31" i="24"/>
  <c r="I31" i="24"/>
  <c r="J31" i="24"/>
  <c r="K31" i="24"/>
  <c r="L31" i="24"/>
  <c r="M31" i="24"/>
  <c r="N31" i="24"/>
  <c r="O31" i="24"/>
  <c r="P31" i="24"/>
  <c r="Q31" i="24"/>
  <c r="R31" i="24"/>
  <c r="S31" i="24"/>
  <c r="T31" i="24"/>
  <c r="U31" i="24"/>
  <c r="V31" i="24"/>
  <c r="W31" i="24"/>
  <c r="X31" i="24"/>
  <c r="Y31" i="24"/>
  <c r="Z31" i="24"/>
  <c r="AA31" i="24"/>
  <c r="AC31" i="24"/>
  <c r="AD31" i="24"/>
  <c r="AE31" i="24"/>
  <c r="AF31" i="24"/>
  <c r="AG31" i="24"/>
  <c r="AH31" i="24"/>
  <c r="AI31" i="24"/>
  <c r="AJ31" i="24"/>
  <c r="AK31" i="24"/>
  <c r="AL31" i="24"/>
  <c r="AM31" i="24"/>
  <c r="AN31" i="24"/>
  <c r="AO31" i="24"/>
  <c r="AP31" i="24"/>
  <c r="AQ31" i="24"/>
  <c r="AR31" i="24"/>
  <c r="AS31" i="24"/>
  <c r="AT31" i="24"/>
  <c r="AU31" i="24"/>
  <c r="AV31" i="24"/>
  <c r="AW31" i="24"/>
  <c r="AX31" i="24"/>
  <c r="AY31" i="24"/>
  <c r="AZ31" i="24"/>
  <c r="BA31" i="24"/>
  <c r="BB31" i="24"/>
  <c r="BC31" i="24"/>
  <c r="BD31" i="24"/>
  <c r="BE31" i="24"/>
  <c r="BF31" i="24"/>
  <c r="BG31" i="24"/>
  <c r="BH31" i="24"/>
  <c r="BI31" i="24"/>
  <c r="BJ31" i="24"/>
  <c r="BK31" i="24"/>
  <c r="K38" i="26"/>
  <c r="L38" i="26"/>
  <c r="B32" i="24"/>
  <c r="C32" i="24"/>
  <c r="D32" i="24"/>
  <c r="E32" i="24"/>
  <c r="F32" i="24"/>
  <c r="G32" i="24"/>
  <c r="H32" i="24"/>
  <c r="I32" i="24"/>
  <c r="J32" i="24"/>
  <c r="K32" i="24"/>
  <c r="L32" i="24"/>
  <c r="M32" i="24"/>
  <c r="N32" i="24"/>
  <c r="O32" i="24"/>
  <c r="P32" i="24"/>
  <c r="Q32" i="24"/>
  <c r="R32" i="24"/>
  <c r="S32" i="24"/>
  <c r="T32" i="24"/>
  <c r="U32" i="24"/>
  <c r="V32" i="24"/>
  <c r="W32" i="24"/>
  <c r="X32" i="24"/>
  <c r="Y32" i="24"/>
  <c r="Z32" i="24"/>
  <c r="AA32" i="24"/>
  <c r="AB32" i="24"/>
  <c r="AC32" i="24"/>
  <c r="AD32" i="24"/>
  <c r="AE32" i="24"/>
  <c r="AF32" i="24"/>
  <c r="AG32" i="24"/>
  <c r="AH32" i="24"/>
  <c r="AI32" i="24"/>
  <c r="AJ32" i="24"/>
  <c r="AK32" i="24"/>
  <c r="AL32" i="24"/>
  <c r="AM32" i="24"/>
  <c r="AN32" i="24"/>
  <c r="AO32" i="24"/>
  <c r="AP32" i="24"/>
  <c r="AQ32" i="24"/>
  <c r="AR32" i="24"/>
  <c r="AS32" i="24"/>
  <c r="AT32" i="24"/>
  <c r="AU32" i="24"/>
  <c r="AV32" i="24"/>
  <c r="AW32" i="24"/>
  <c r="AX32" i="24"/>
  <c r="AY32" i="24"/>
  <c r="AZ32" i="24"/>
  <c r="BA32" i="24"/>
  <c r="BB32" i="24"/>
  <c r="BC32" i="24"/>
  <c r="BD32" i="24"/>
  <c r="BE32" i="24"/>
  <c r="BF32" i="24"/>
  <c r="BG32" i="24"/>
  <c r="BH32" i="24"/>
  <c r="BI32" i="24"/>
  <c r="BJ32" i="24"/>
  <c r="BK32" i="24"/>
  <c r="K39" i="26"/>
  <c r="L39" i="26"/>
  <c r="B33" i="24"/>
  <c r="C33" i="24"/>
  <c r="D33" i="24"/>
  <c r="E33" i="24"/>
  <c r="F33" i="24"/>
  <c r="G33" i="24"/>
  <c r="H33" i="24"/>
  <c r="I33" i="24"/>
  <c r="J33" i="24"/>
  <c r="K33" i="24"/>
  <c r="L33" i="24"/>
  <c r="M33" i="24"/>
  <c r="N33" i="24"/>
  <c r="O33" i="24"/>
  <c r="P33" i="24"/>
  <c r="Q33" i="24"/>
  <c r="R33" i="24"/>
  <c r="S33" i="24"/>
  <c r="T33" i="24"/>
  <c r="U33" i="24"/>
  <c r="V33" i="24"/>
  <c r="W33" i="24"/>
  <c r="X33" i="24"/>
  <c r="Y33" i="24"/>
  <c r="Z33" i="24"/>
  <c r="AA33" i="24"/>
  <c r="AB33" i="24"/>
  <c r="AC33" i="24"/>
  <c r="AD33" i="24"/>
  <c r="AE33" i="24"/>
  <c r="AF33" i="24"/>
  <c r="AG33" i="24"/>
  <c r="AH33" i="24"/>
  <c r="AI33" i="24"/>
  <c r="AJ33" i="24"/>
  <c r="AK33" i="24"/>
  <c r="AL33" i="24"/>
  <c r="AM33" i="24"/>
  <c r="AN33" i="24"/>
  <c r="AO33" i="24"/>
  <c r="AP33" i="24"/>
  <c r="AQ33" i="24"/>
  <c r="AR33" i="24"/>
  <c r="AS33" i="24"/>
  <c r="AT33" i="24"/>
  <c r="AU33" i="24"/>
  <c r="AV33" i="24"/>
  <c r="AW33" i="24"/>
  <c r="AX33" i="24"/>
  <c r="AY33" i="24"/>
  <c r="AZ33" i="24"/>
  <c r="BA33" i="24"/>
  <c r="BB33" i="24"/>
  <c r="BC33" i="24"/>
  <c r="BD33" i="24"/>
  <c r="BE33" i="24"/>
  <c r="BF33" i="24"/>
  <c r="BG33" i="24"/>
  <c r="BH33" i="24"/>
  <c r="BI33" i="24"/>
  <c r="BJ33" i="24"/>
  <c r="BK33" i="24"/>
  <c r="K40" i="26"/>
  <c r="L40" i="26"/>
  <c r="B34" i="24"/>
  <c r="C34" i="24"/>
  <c r="D34" i="24"/>
  <c r="E34" i="24"/>
  <c r="F34" i="24"/>
  <c r="G34" i="24"/>
  <c r="H34" i="24"/>
  <c r="I34" i="24"/>
  <c r="J34" i="24"/>
  <c r="K34" i="24"/>
  <c r="L34" i="24"/>
  <c r="M34" i="24"/>
  <c r="N34" i="24"/>
  <c r="O34" i="24"/>
  <c r="P34" i="24"/>
  <c r="Q34" i="24"/>
  <c r="R34" i="24"/>
  <c r="T34" i="24"/>
  <c r="U34" i="24"/>
  <c r="V34" i="24"/>
  <c r="W34" i="24"/>
  <c r="X34" i="24"/>
  <c r="Y34" i="24"/>
  <c r="Z34" i="24"/>
  <c r="AA34" i="24"/>
  <c r="AB34" i="24"/>
  <c r="AC34" i="24"/>
  <c r="AD34" i="24"/>
  <c r="AE34" i="24"/>
  <c r="AF34" i="24"/>
  <c r="AG34" i="24"/>
  <c r="AH34" i="24"/>
  <c r="AI34" i="24"/>
  <c r="AJ34" i="24"/>
  <c r="AK34" i="24"/>
  <c r="AL34" i="24"/>
  <c r="AM34" i="24"/>
  <c r="AN34" i="24"/>
  <c r="AO34" i="24"/>
  <c r="AP34" i="24"/>
  <c r="AQ34" i="24"/>
  <c r="AR34" i="24"/>
  <c r="AS34" i="24"/>
  <c r="AT34" i="24"/>
  <c r="AU34" i="24"/>
  <c r="AV34" i="24"/>
  <c r="AW34" i="24"/>
  <c r="AX34" i="24"/>
  <c r="AY34" i="24"/>
  <c r="AZ34" i="24"/>
  <c r="BA34" i="24"/>
  <c r="BB34" i="24"/>
  <c r="BC34" i="24"/>
  <c r="BD34" i="24"/>
  <c r="BE34" i="24"/>
  <c r="BF34" i="24"/>
  <c r="BG34" i="24"/>
  <c r="BH34" i="24"/>
  <c r="BI34" i="24"/>
  <c r="BJ34" i="24"/>
  <c r="BK34" i="24"/>
  <c r="K41" i="26"/>
  <c r="L41" i="26"/>
  <c r="B35" i="24"/>
  <c r="C35" i="24"/>
  <c r="D35" i="24"/>
  <c r="E35" i="24"/>
  <c r="F35" i="24"/>
  <c r="G35" i="24"/>
  <c r="H35" i="24"/>
  <c r="I35" i="24"/>
  <c r="J35" i="24"/>
  <c r="K35" i="24"/>
  <c r="L35" i="24"/>
  <c r="M35" i="24"/>
  <c r="N35" i="24"/>
  <c r="O35" i="24"/>
  <c r="P35" i="24"/>
  <c r="Q35" i="24"/>
  <c r="R35" i="24"/>
  <c r="S35" i="24"/>
  <c r="T35" i="24"/>
  <c r="U35" i="24"/>
  <c r="V35" i="24"/>
  <c r="W35" i="24"/>
  <c r="X35" i="24"/>
  <c r="Y35" i="24"/>
  <c r="Z35" i="24"/>
  <c r="AA35" i="24"/>
  <c r="AB35" i="24"/>
  <c r="AC35" i="24"/>
  <c r="AD35" i="24"/>
  <c r="AE35" i="24"/>
  <c r="AF35" i="24"/>
  <c r="AG35" i="24"/>
  <c r="AH35" i="24"/>
  <c r="AI35" i="24"/>
  <c r="AJ35" i="24"/>
  <c r="AK35" i="24"/>
  <c r="AL35" i="24"/>
  <c r="AM35" i="24"/>
  <c r="AN35" i="24"/>
  <c r="AO35" i="24"/>
  <c r="AP35" i="24"/>
  <c r="AQ35" i="24"/>
  <c r="AR35" i="24"/>
  <c r="AS35" i="24"/>
  <c r="AT35" i="24"/>
  <c r="AU35" i="24"/>
  <c r="AV35" i="24"/>
  <c r="AW35" i="24"/>
  <c r="AX35" i="24"/>
  <c r="AY35" i="24"/>
  <c r="AZ35" i="24"/>
  <c r="BA35" i="24"/>
  <c r="BB35" i="24"/>
  <c r="BC35" i="24"/>
  <c r="BD35" i="24"/>
  <c r="BE35" i="24"/>
  <c r="BF35" i="24"/>
  <c r="BG35" i="24"/>
  <c r="BH35" i="24"/>
  <c r="BI35" i="24"/>
  <c r="BJ35" i="24"/>
  <c r="BK35" i="24"/>
  <c r="K42" i="26"/>
  <c r="L42" i="26"/>
  <c r="B36" i="24"/>
  <c r="C36" i="24"/>
  <c r="D36" i="24"/>
  <c r="E36" i="24"/>
  <c r="F36" i="24"/>
  <c r="G36" i="24"/>
  <c r="H36" i="24"/>
  <c r="I36" i="24"/>
  <c r="J36" i="24"/>
  <c r="K36" i="24"/>
  <c r="L36" i="24"/>
  <c r="M36" i="24"/>
  <c r="N36" i="24"/>
  <c r="O36" i="24"/>
  <c r="P36" i="24"/>
  <c r="Q36" i="24"/>
  <c r="R36" i="24"/>
  <c r="S36" i="24"/>
  <c r="T36" i="24"/>
  <c r="U36" i="24"/>
  <c r="V36" i="24"/>
  <c r="W36" i="24"/>
  <c r="X36" i="24"/>
  <c r="Y36" i="24"/>
  <c r="Z36" i="24"/>
  <c r="AA36" i="24"/>
  <c r="AB36" i="24"/>
  <c r="AC36" i="24"/>
  <c r="AD36" i="24"/>
  <c r="AE36" i="24"/>
  <c r="AF36" i="24"/>
  <c r="AG36" i="24"/>
  <c r="AH36" i="24"/>
  <c r="AI36" i="24"/>
  <c r="AJ36" i="24"/>
  <c r="AK36" i="24"/>
  <c r="AL36" i="24"/>
  <c r="AM36" i="24"/>
  <c r="AN36" i="24"/>
  <c r="AO36" i="24"/>
  <c r="AP36" i="24"/>
  <c r="AQ36" i="24"/>
  <c r="AR36" i="24"/>
  <c r="AS36" i="24"/>
  <c r="AT36" i="24"/>
  <c r="AU36" i="24"/>
  <c r="AV36" i="24"/>
  <c r="AW36" i="24"/>
  <c r="AX36" i="24"/>
  <c r="AY36" i="24"/>
  <c r="AZ36" i="24"/>
  <c r="BA36" i="24"/>
  <c r="BB36" i="24"/>
  <c r="BC36" i="24"/>
  <c r="BD36" i="24"/>
  <c r="BE36" i="24"/>
  <c r="BF36" i="24"/>
  <c r="BG36" i="24"/>
  <c r="BH36" i="24"/>
  <c r="BI36" i="24"/>
  <c r="BJ36" i="24"/>
  <c r="BK36" i="24"/>
  <c r="K43" i="26"/>
  <c r="L43" i="26"/>
  <c r="B37" i="24"/>
  <c r="C37" i="24"/>
  <c r="D37" i="24"/>
  <c r="E37" i="24"/>
  <c r="F37" i="24"/>
  <c r="G37" i="24"/>
  <c r="H37" i="24"/>
  <c r="I37" i="24"/>
  <c r="J37" i="24"/>
  <c r="K37" i="24"/>
  <c r="L37" i="24"/>
  <c r="M37" i="24"/>
  <c r="N37" i="24"/>
  <c r="O37" i="24"/>
  <c r="P37" i="24"/>
  <c r="Q37" i="24"/>
  <c r="R37" i="24"/>
  <c r="S37" i="24"/>
  <c r="T37" i="24"/>
  <c r="U37" i="24"/>
  <c r="V37" i="24"/>
  <c r="W37" i="24"/>
  <c r="X37" i="24"/>
  <c r="Y37" i="24"/>
  <c r="Z37" i="24"/>
  <c r="AA37" i="24"/>
  <c r="AB37" i="24"/>
  <c r="AC37" i="24"/>
  <c r="AD37" i="24"/>
  <c r="AE37" i="24"/>
  <c r="AF37" i="24"/>
  <c r="AG37" i="24"/>
  <c r="AH37" i="24"/>
  <c r="AI37" i="24"/>
  <c r="AJ37" i="24"/>
  <c r="AK37" i="24"/>
  <c r="AL37" i="24"/>
  <c r="AM37" i="24"/>
  <c r="AN37" i="24"/>
  <c r="AO37" i="24"/>
  <c r="AP37" i="24"/>
  <c r="AQ37" i="24"/>
  <c r="AR37" i="24"/>
  <c r="AS37" i="24"/>
  <c r="AT37" i="24"/>
  <c r="AU37" i="24"/>
  <c r="AV37" i="24"/>
  <c r="AW37" i="24"/>
  <c r="AX37" i="24"/>
  <c r="AY37" i="24"/>
  <c r="AZ37" i="24"/>
  <c r="BA37" i="24"/>
  <c r="BB37" i="24"/>
  <c r="BC37" i="24"/>
  <c r="BD37" i="24"/>
  <c r="BE37" i="24"/>
  <c r="BF37" i="24"/>
  <c r="BG37" i="24"/>
  <c r="BH37" i="24"/>
  <c r="BI37" i="24"/>
  <c r="BJ37" i="24"/>
  <c r="BK37" i="24"/>
  <c r="K44" i="26"/>
  <c r="L44" i="26"/>
  <c r="B38" i="24"/>
  <c r="C38" i="24"/>
  <c r="D38" i="24"/>
  <c r="E38" i="24"/>
  <c r="F38" i="24"/>
  <c r="G38" i="24"/>
  <c r="H38" i="24"/>
  <c r="I38" i="24"/>
  <c r="J38" i="24"/>
  <c r="K38" i="24"/>
  <c r="L38" i="24"/>
  <c r="M38" i="24"/>
  <c r="N38" i="24"/>
  <c r="O38" i="24"/>
  <c r="P38" i="24"/>
  <c r="Q38" i="24"/>
  <c r="R38" i="24"/>
  <c r="S38" i="24"/>
  <c r="T38" i="24"/>
  <c r="U38" i="24"/>
  <c r="V38" i="24"/>
  <c r="W38" i="24"/>
  <c r="X38" i="24"/>
  <c r="Y38" i="24"/>
  <c r="Z38" i="24"/>
  <c r="AA38" i="24"/>
  <c r="AB38" i="24"/>
  <c r="AC38" i="24"/>
  <c r="AD38" i="24"/>
  <c r="AE38" i="24"/>
  <c r="AF38" i="24"/>
  <c r="AG38" i="24"/>
  <c r="AH38" i="24"/>
  <c r="AI38" i="24"/>
  <c r="AJ38" i="24"/>
  <c r="AK38" i="24"/>
  <c r="AL38" i="24"/>
  <c r="AM38" i="24"/>
  <c r="AN38" i="24"/>
  <c r="AO38" i="24"/>
  <c r="AP38" i="24"/>
  <c r="AQ38" i="24"/>
  <c r="AR38" i="24"/>
  <c r="AS38" i="24"/>
  <c r="AT38" i="24"/>
  <c r="AU38" i="24"/>
  <c r="AV38" i="24"/>
  <c r="AW38" i="24"/>
  <c r="AX38" i="24"/>
  <c r="AY38" i="24"/>
  <c r="AZ38" i="24"/>
  <c r="BA38" i="24"/>
  <c r="BB38" i="24"/>
  <c r="BC38" i="24"/>
  <c r="BD38" i="24"/>
  <c r="BE38" i="24"/>
  <c r="BF38" i="24"/>
  <c r="BG38" i="24"/>
  <c r="BH38" i="24"/>
  <c r="BI38" i="24"/>
  <c r="BJ38" i="24"/>
  <c r="BK38" i="24"/>
  <c r="K45" i="26"/>
  <c r="L45" i="26"/>
  <c r="B39" i="24"/>
  <c r="C39" i="24"/>
  <c r="D39" i="24"/>
  <c r="E39" i="24"/>
  <c r="F39" i="24"/>
  <c r="G39" i="24"/>
  <c r="H39" i="24"/>
  <c r="I39" i="24"/>
  <c r="J39" i="24"/>
  <c r="K39" i="24"/>
  <c r="L39" i="24"/>
  <c r="M39" i="24"/>
  <c r="N39" i="24"/>
  <c r="O39" i="24"/>
  <c r="P39" i="24"/>
  <c r="Q39" i="24"/>
  <c r="R39" i="24"/>
  <c r="S39" i="24"/>
  <c r="T39" i="24"/>
  <c r="U39" i="24"/>
  <c r="V39" i="24"/>
  <c r="W39" i="24"/>
  <c r="X39" i="24"/>
  <c r="Y39" i="24"/>
  <c r="Z39" i="24"/>
  <c r="AA39" i="24"/>
  <c r="AB39" i="24"/>
  <c r="AC39" i="24"/>
  <c r="AD39" i="24"/>
  <c r="AE39" i="24"/>
  <c r="AF39" i="24"/>
  <c r="AG39" i="24"/>
  <c r="AH39" i="24"/>
  <c r="AI39" i="24"/>
  <c r="AJ39" i="24"/>
  <c r="AK39" i="24"/>
  <c r="AL39" i="24"/>
  <c r="AM39" i="24"/>
  <c r="AN39" i="24"/>
  <c r="AO39" i="24"/>
  <c r="AP39" i="24"/>
  <c r="AQ39" i="24"/>
  <c r="AR39" i="24"/>
  <c r="AS39" i="24"/>
  <c r="AT39" i="24"/>
  <c r="AU39" i="24"/>
  <c r="AV39" i="24"/>
  <c r="AW39" i="24"/>
  <c r="AX39" i="24"/>
  <c r="AY39" i="24"/>
  <c r="AZ39" i="24"/>
  <c r="BA39" i="24"/>
  <c r="BB39" i="24"/>
  <c r="BC39" i="24"/>
  <c r="BD39" i="24"/>
  <c r="BE39" i="24"/>
  <c r="BF39" i="24"/>
  <c r="BG39" i="24"/>
  <c r="BH39" i="24"/>
  <c r="BI39" i="24"/>
  <c r="BJ39" i="24"/>
  <c r="BK39" i="24"/>
  <c r="K46" i="26"/>
  <c r="L46" i="26"/>
  <c r="B40" i="24"/>
  <c r="C40" i="24"/>
  <c r="D40" i="24"/>
  <c r="E40" i="24"/>
  <c r="F40" i="24"/>
  <c r="G40" i="24"/>
  <c r="H40" i="24"/>
  <c r="I40" i="24"/>
  <c r="J40" i="24"/>
  <c r="K40" i="24"/>
  <c r="L40" i="24"/>
  <c r="M40" i="24"/>
  <c r="N40" i="24"/>
  <c r="O40" i="24"/>
  <c r="P40" i="24"/>
  <c r="Q40" i="24"/>
  <c r="R40" i="24"/>
  <c r="S40" i="24"/>
  <c r="T40" i="24"/>
  <c r="U40" i="24"/>
  <c r="V40" i="24"/>
  <c r="W40" i="24"/>
  <c r="X40" i="24"/>
  <c r="Y40" i="24"/>
  <c r="Z40" i="24"/>
  <c r="AA40" i="24"/>
  <c r="AB40" i="24"/>
  <c r="AC40" i="24"/>
  <c r="AD40" i="24"/>
  <c r="AE40" i="24"/>
  <c r="AF40" i="24"/>
  <c r="AG40" i="24"/>
  <c r="AH40" i="24"/>
  <c r="AI40" i="24"/>
  <c r="AJ40" i="24"/>
  <c r="AK40" i="24"/>
  <c r="AL40" i="24"/>
  <c r="AM40" i="24"/>
  <c r="AN40" i="24"/>
  <c r="AO40" i="24"/>
  <c r="AP40" i="24"/>
  <c r="AQ40" i="24"/>
  <c r="AR40" i="24"/>
  <c r="AS40" i="24"/>
  <c r="AT40" i="24"/>
  <c r="AU40" i="24"/>
  <c r="AV40" i="24"/>
  <c r="AW40" i="24"/>
  <c r="AX40" i="24"/>
  <c r="AY40" i="24"/>
  <c r="AZ40" i="24"/>
  <c r="BA40" i="24"/>
  <c r="BB40" i="24"/>
  <c r="BC40" i="24"/>
  <c r="BD40" i="24"/>
  <c r="BE40" i="24"/>
  <c r="BF40" i="24"/>
  <c r="BG40" i="24"/>
  <c r="BH40" i="24"/>
  <c r="BI40" i="24"/>
  <c r="BJ40" i="24"/>
  <c r="BK40" i="24"/>
  <c r="K47" i="26"/>
  <c r="L47" i="26"/>
  <c r="B41" i="24"/>
  <c r="C41" i="24"/>
  <c r="D41" i="24"/>
  <c r="E41" i="24"/>
  <c r="F41" i="24"/>
  <c r="G41" i="24"/>
  <c r="H41" i="24"/>
  <c r="I41" i="24"/>
  <c r="J41" i="24"/>
  <c r="K41" i="24"/>
  <c r="L41" i="24"/>
  <c r="M41" i="24"/>
  <c r="N41" i="24"/>
  <c r="O41" i="24"/>
  <c r="P41" i="24"/>
  <c r="Q41" i="24"/>
  <c r="R41" i="24"/>
  <c r="S41" i="24"/>
  <c r="T41" i="24"/>
  <c r="U41" i="24"/>
  <c r="V41" i="24"/>
  <c r="W41" i="24"/>
  <c r="X41" i="24"/>
  <c r="Y41" i="24"/>
  <c r="Z41" i="24"/>
  <c r="AA41" i="24"/>
  <c r="AB41" i="24"/>
  <c r="AC41" i="24"/>
  <c r="AD41" i="24"/>
  <c r="AE41" i="24"/>
  <c r="AF41" i="24"/>
  <c r="AG41" i="24"/>
  <c r="AH41" i="24"/>
  <c r="AI41" i="24"/>
  <c r="AJ41" i="24"/>
  <c r="AK41" i="24"/>
  <c r="AL41" i="24"/>
  <c r="AM41" i="24"/>
  <c r="AN41" i="24"/>
  <c r="AO41" i="24"/>
  <c r="AP41" i="24"/>
  <c r="AQ41" i="24"/>
  <c r="AR41" i="24"/>
  <c r="AS41" i="24"/>
  <c r="AT41" i="24"/>
  <c r="AU41" i="24"/>
  <c r="AV41" i="24"/>
  <c r="AW41" i="24"/>
  <c r="AX41" i="24"/>
  <c r="AY41" i="24"/>
  <c r="AZ41" i="24"/>
  <c r="BA41" i="24"/>
  <c r="BB41" i="24"/>
  <c r="BC41" i="24"/>
  <c r="BD41" i="24"/>
  <c r="BE41" i="24"/>
  <c r="BF41" i="24"/>
  <c r="BG41" i="24"/>
  <c r="BH41" i="24"/>
  <c r="BI41" i="24"/>
  <c r="BJ41" i="24"/>
  <c r="BK41" i="24"/>
  <c r="B42" i="24"/>
  <c r="C42" i="24"/>
  <c r="D42" i="24"/>
  <c r="E42" i="24"/>
  <c r="F42" i="24"/>
  <c r="G42" i="24"/>
  <c r="H42" i="24"/>
  <c r="I42" i="24"/>
  <c r="J42" i="24"/>
  <c r="K42" i="24"/>
  <c r="L42" i="24"/>
  <c r="M42" i="24"/>
  <c r="N42" i="24"/>
  <c r="O42" i="24"/>
  <c r="P42" i="24"/>
  <c r="Q42" i="24"/>
  <c r="R42" i="24"/>
  <c r="S42" i="24"/>
  <c r="T42" i="24"/>
  <c r="U42" i="24"/>
  <c r="V42" i="24"/>
  <c r="W42" i="24"/>
  <c r="X42" i="24"/>
  <c r="Y42" i="24"/>
  <c r="Z42" i="24"/>
  <c r="AA42" i="24"/>
  <c r="AB42" i="24"/>
  <c r="AC42" i="24"/>
  <c r="AD42" i="24"/>
  <c r="AE42" i="24"/>
  <c r="AF42" i="24"/>
  <c r="AG42" i="24"/>
  <c r="AH42" i="24"/>
  <c r="AI42" i="24"/>
  <c r="AJ42" i="24"/>
  <c r="AK42" i="24"/>
  <c r="AL42" i="24"/>
  <c r="AM42" i="24"/>
  <c r="AN42" i="24"/>
  <c r="AO42" i="24"/>
  <c r="AP42" i="24"/>
  <c r="AQ42" i="24"/>
  <c r="AR42" i="24"/>
  <c r="AS42" i="24"/>
  <c r="AT42" i="24"/>
  <c r="AU42" i="24"/>
  <c r="AV42" i="24"/>
  <c r="AW42" i="24"/>
  <c r="AX42" i="24"/>
  <c r="AY42" i="24"/>
  <c r="AZ42" i="24"/>
  <c r="BA42" i="24"/>
  <c r="BB42" i="24"/>
  <c r="BC42" i="24"/>
  <c r="BD42" i="24"/>
  <c r="BE42" i="24"/>
  <c r="BF42" i="24"/>
  <c r="BG42" i="24"/>
  <c r="BH42" i="24"/>
  <c r="BI42" i="24"/>
  <c r="BJ42" i="24"/>
  <c r="BK42" i="24"/>
  <c r="B43" i="24"/>
  <c r="C43" i="24"/>
  <c r="D43" i="24"/>
  <c r="E43" i="24"/>
  <c r="F43" i="24"/>
  <c r="G43" i="24"/>
  <c r="H43" i="24"/>
  <c r="I43" i="24"/>
  <c r="J43" i="24"/>
  <c r="K43" i="24"/>
  <c r="L43" i="24"/>
  <c r="M43" i="24"/>
  <c r="N43" i="24"/>
  <c r="O43" i="24"/>
  <c r="P43" i="24"/>
  <c r="Q43" i="24"/>
  <c r="R43" i="24"/>
  <c r="S43" i="24"/>
  <c r="T43" i="24"/>
  <c r="U43" i="24"/>
  <c r="V43" i="24"/>
  <c r="W43" i="24"/>
  <c r="X43" i="24"/>
  <c r="Y43" i="24"/>
  <c r="Z43" i="24"/>
  <c r="AA43" i="24"/>
  <c r="AB43" i="24"/>
  <c r="AC43" i="24"/>
  <c r="AD43" i="24"/>
  <c r="AE43" i="24"/>
  <c r="AF43" i="24"/>
  <c r="AG43" i="24"/>
  <c r="AH43" i="24"/>
  <c r="AI43" i="24"/>
  <c r="AJ43" i="24"/>
  <c r="AK43" i="24"/>
  <c r="AL43" i="24"/>
  <c r="AM43" i="24"/>
  <c r="AN43" i="24"/>
  <c r="AO43" i="24"/>
  <c r="AP43" i="24"/>
  <c r="AQ43" i="24"/>
  <c r="AR43" i="24"/>
  <c r="AS43" i="24"/>
  <c r="AT43" i="24"/>
  <c r="AU43" i="24"/>
  <c r="AV43" i="24"/>
  <c r="AW43" i="24"/>
  <c r="AX43" i="24"/>
  <c r="AY43" i="24"/>
  <c r="AZ43" i="24"/>
  <c r="BA43" i="24"/>
  <c r="BB43" i="24"/>
  <c r="BC43" i="24"/>
  <c r="BD43" i="24"/>
  <c r="BE43" i="24"/>
  <c r="BF43" i="24"/>
  <c r="BG43" i="24"/>
  <c r="BH43" i="24"/>
  <c r="BI43" i="24"/>
  <c r="BJ43" i="24"/>
  <c r="BK43" i="24"/>
  <c r="B44" i="24"/>
  <c r="C44" i="24"/>
  <c r="D44" i="24"/>
  <c r="E44" i="24"/>
  <c r="F44" i="24"/>
  <c r="G44" i="24"/>
  <c r="H44" i="24"/>
  <c r="I44" i="24"/>
  <c r="J44" i="24"/>
  <c r="K44" i="24"/>
  <c r="L44" i="24"/>
  <c r="M44" i="24"/>
  <c r="N44" i="24"/>
  <c r="O44" i="24"/>
  <c r="P44" i="24"/>
  <c r="Q44" i="24"/>
  <c r="R44" i="24"/>
  <c r="S44" i="24"/>
  <c r="T44" i="24"/>
  <c r="U44" i="24"/>
  <c r="V44" i="24"/>
  <c r="W44" i="24"/>
  <c r="X44" i="24"/>
  <c r="Y44" i="24"/>
  <c r="Z44" i="24"/>
  <c r="AA44" i="24"/>
  <c r="AB44" i="24"/>
  <c r="AC44" i="24"/>
  <c r="AD44" i="24"/>
  <c r="AE44" i="24"/>
  <c r="AF44" i="24"/>
  <c r="AG44" i="24"/>
  <c r="AH44" i="24"/>
  <c r="AI44" i="24"/>
  <c r="AJ44" i="24"/>
  <c r="AK44" i="24"/>
  <c r="AL44" i="24"/>
  <c r="AM44" i="24"/>
  <c r="AN44" i="24"/>
  <c r="AO44" i="24"/>
  <c r="AP44" i="24"/>
  <c r="AQ44" i="24"/>
  <c r="AR44" i="24"/>
  <c r="AS44" i="24"/>
  <c r="AT44" i="24"/>
  <c r="AU44" i="24"/>
  <c r="AV44" i="24"/>
  <c r="AW44" i="24"/>
  <c r="AX44" i="24"/>
  <c r="AY44" i="24"/>
  <c r="AZ44" i="24"/>
  <c r="BA44" i="24"/>
  <c r="BB44" i="24"/>
  <c r="BC44" i="24"/>
  <c r="BD44" i="24"/>
  <c r="BE44" i="24"/>
  <c r="BF44" i="24"/>
  <c r="BG44" i="24"/>
  <c r="BH44" i="24"/>
  <c r="BI44" i="24"/>
  <c r="BJ44" i="24"/>
  <c r="BK44" i="24"/>
  <c r="B45" i="24"/>
  <c r="C45" i="24"/>
  <c r="D45" i="24"/>
  <c r="E45" i="24"/>
  <c r="F45" i="24"/>
  <c r="G45" i="24"/>
  <c r="H45" i="24"/>
  <c r="I45" i="24"/>
  <c r="J45" i="24"/>
  <c r="K45" i="24"/>
  <c r="L45" i="24"/>
  <c r="M45" i="24"/>
  <c r="N45" i="24"/>
  <c r="O45" i="24"/>
  <c r="P45" i="24"/>
  <c r="Q45" i="24"/>
  <c r="R45" i="24"/>
  <c r="S45" i="24"/>
  <c r="T45" i="24"/>
  <c r="U45" i="24"/>
  <c r="V45" i="24"/>
  <c r="W45" i="24"/>
  <c r="X45" i="24"/>
  <c r="Y45" i="24"/>
  <c r="Z45" i="24"/>
  <c r="AA45" i="24"/>
  <c r="AB45" i="24"/>
  <c r="AC45" i="24"/>
  <c r="AD45" i="24"/>
  <c r="AE45" i="24"/>
  <c r="AF45" i="24"/>
  <c r="AG45" i="24"/>
  <c r="AH45" i="24"/>
  <c r="AI45" i="24"/>
  <c r="AJ45" i="24"/>
  <c r="AK45" i="24"/>
  <c r="AL45" i="24"/>
  <c r="AM45" i="24"/>
  <c r="AN45" i="24"/>
  <c r="AO45" i="24"/>
  <c r="AP45" i="24"/>
  <c r="AQ45" i="24"/>
  <c r="AR45" i="24"/>
  <c r="AS45" i="24"/>
  <c r="AT45" i="24"/>
  <c r="AU45" i="24"/>
  <c r="AV45" i="24"/>
  <c r="AW45" i="24"/>
  <c r="AX45" i="24"/>
  <c r="AY45" i="24"/>
  <c r="AZ45" i="24"/>
  <c r="BA45" i="24"/>
  <c r="BB45" i="24"/>
  <c r="BC45" i="24"/>
  <c r="BD45" i="24"/>
  <c r="BE45" i="24"/>
  <c r="BF45" i="24"/>
  <c r="BG45" i="24"/>
  <c r="BH45" i="24"/>
  <c r="BI45" i="24"/>
  <c r="BJ45" i="24"/>
  <c r="BK45" i="24"/>
  <c r="B46" i="24"/>
  <c r="C46" i="24"/>
  <c r="D46" i="24"/>
  <c r="E46" i="24"/>
  <c r="F46" i="24"/>
  <c r="G46" i="24"/>
  <c r="H46" i="24"/>
  <c r="I46" i="24"/>
  <c r="J46" i="24"/>
  <c r="K46" i="24"/>
  <c r="L46" i="24"/>
  <c r="M46" i="24"/>
  <c r="N46" i="24"/>
  <c r="O46" i="24"/>
  <c r="P46" i="24"/>
  <c r="Q46" i="24"/>
  <c r="R46" i="24"/>
  <c r="S46" i="24"/>
  <c r="T46" i="24"/>
  <c r="U46" i="24"/>
  <c r="V46" i="24"/>
  <c r="W46" i="24"/>
  <c r="X46" i="24"/>
  <c r="Y46" i="24"/>
  <c r="Z46" i="24"/>
  <c r="AA46" i="24"/>
  <c r="AB46" i="24"/>
  <c r="AC46" i="24"/>
  <c r="AD46" i="24"/>
  <c r="AE46" i="24"/>
  <c r="AF46" i="24"/>
  <c r="AG46" i="24"/>
  <c r="AH46" i="24"/>
  <c r="AI46" i="24"/>
  <c r="AJ46" i="24"/>
  <c r="AK46" i="24"/>
  <c r="AL46" i="24"/>
  <c r="AM46" i="24"/>
  <c r="AN46" i="24"/>
  <c r="AO46" i="24"/>
  <c r="AP46" i="24"/>
  <c r="AQ46" i="24"/>
  <c r="AR46" i="24"/>
  <c r="AS46" i="24"/>
  <c r="AT46" i="24"/>
  <c r="AU46" i="24"/>
  <c r="AV46" i="24"/>
  <c r="AW46" i="24"/>
  <c r="AX46" i="24"/>
  <c r="AY46" i="24"/>
  <c r="AZ46" i="24"/>
  <c r="BA46" i="24"/>
  <c r="BB46" i="24"/>
  <c r="BC46" i="24"/>
  <c r="BD46" i="24"/>
  <c r="BE46" i="24"/>
  <c r="BF46" i="24"/>
  <c r="BG46" i="24"/>
  <c r="BH46" i="24"/>
  <c r="BI46" i="24"/>
  <c r="BJ46" i="24"/>
  <c r="BK46" i="24"/>
  <c r="B47" i="24"/>
  <c r="C47" i="24"/>
  <c r="D47" i="24"/>
  <c r="E47" i="24"/>
  <c r="F47" i="24"/>
  <c r="G47" i="24"/>
  <c r="H47" i="24"/>
  <c r="I47" i="24"/>
  <c r="J47" i="24"/>
  <c r="K47" i="24"/>
  <c r="L47" i="24"/>
  <c r="M47" i="24"/>
  <c r="N47" i="24"/>
  <c r="O47" i="24"/>
  <c r="P47" i="24"/>
  <c r="Q47" i="24"/>
  <c r="R47" i="24"/>
  <c r="S47" i="24"/>
  <c r="T47" i="24"/>
  <c r="U47" i="24"/>
  <c r="V47" i="24"/>
  <c r="W47" i="24"/>
  <c r="X47" i="24"/>
  <c r="Y47" i="24"/>
  <c r="Z47" i="24"/>
  <c r="AA47" i="24"/>
  <c r="AB47" i="24"/>
  <c r="AC47" i="24"/>
  <c r="AD47" i="24"/>
  <c r="AE47" i="24"/>
  <c r="AF47" i="24"/>
  <c r="AG47" i="24"/>
  <c r="AH47" i="24"/>
  <c r="AI47" i="24"/>
  <c r="AJ47" i="24"/>
  <c r="AK47" i="24"/>
  <c r="AL47" i="24"/>
  <c r="AM47" i="24"/>
  <c r="AN47" i="24"/>
  <c r="AO47" i="24"/>
  <c r="AP47" i="24"/>
  <c r="AQ47" i="24"/>
  <c r="AR47" i="24"/>
  <c r="AS47" i="24"/>
  <c r="AT47" i="24"/>
  <c r="AU47" i="24"/>
  <c r="AV47" i="24"/>
  <c r="AW47" i="24"/>
  <c r="AX47" i="24"/>
  <c r="AY47" i="24"/>
  <c r="AZ47" i="24"/>
  <c r="BA47" i="24"/>
  <c r="BB47" i="24"/>
  <c r="BC47" i="24"/>
  <c r="BD47" i="24"/>
  <c r="BE47" i="24"/>
  <c r="BF47" i="24"/>
  <c r="BG47" i="24"/>
  <c r="BH47" i="24"/>
  <c r="BI47" i="24"/>
  <c r="BJ47" i="24"/>
  <c r="BK47" i="24"/>
  <c r="B48" i="24"/>
  <c r="C48" i="24"/>
  <c r="D48" i="24"/>
  <c r="E48" i="24"/>
  <c r="F48" i="24"/>
  <c r="G48" i="24"/>
  <c r="H48" i="24"/>
  <c r="I48" i="24"/>
  <c r="J48" i="24"/>
  <c r="K48" i="24"/>
  <c r="L48" i="24"/>
  <c r="M48" i="24"/>
  <c r="N48" i="24"/>
  <c r="O48" i="24"/>
  <c r="P48" i="24"/>
  <c r="Q48" i="24"/>
  <c r="R48" i="24"/>
  <c r="S48" i="24"/>
  <c r="T48" i="24"/>
  <c r="U48" i="24"/>
  <c r="V48" i="24"/>
  <c r="W48" i="24"/>
  <c r="X48" i="24"/>
  <c r="Y48" i="24"/>
  <c r="Z48" i="24"/>
  <c r="AA48" i="24"/>
  <c r="AB48" i="24"/>
  <c r="AC48" i="24"/>
  <c r="AD48" i="24"/>
  <c r="AE48" i="24"/>
  <c r="AF48" i="24"/>
  <c r="AG48" i="24"/>
  <c r="AH48" i="24"/>
  <c r="AI48" i="24"/>
  <c r="AJ48" i="24"/>
  <c r="AK48" i="24"/>
  <c r="AL48" i="24"/>
  <c r="AM48" i="24"/>
  <c r="AN48" i="24"/>
  <c r="AO48" i="24"/>
  <c r="AP48" i="24"/>
  <c r="AQ48" i="24"/>
  <c r="AR48" i="24"/>
  <c r="AS48" i="24"/>
  <c r="AT48" i="24"/>
  <c r="AU48" i="24"/>
  <c r="AV48" i="24"/>
  <c r="AW48" i="24"/>
  <c r="AX48" i="24"/>
  <c r="AY48" i="24"/>
  <c r="AZ48" i="24"/>
  <c r="BA48" i="24"/>
  <c r="BB48" i="24"/>
  <c r="BC48" i="24"/>
  <c r="BD48" i="24"/>
  <c r="BE48" i="24"/>
  <c r="BF48" i="24"/>
  <c r="BG48" i="24"/>
  <c r="BH48" i="24"/>
  <c r="BI48" i="24"/>
  <c r="BJ48" i="24"/>
  <c r="BK48" i="24"/>
  <c r="B49" i="24"/>
  <c r="C49" i="24"/>
  <c r="D49" i="24"/>
  <c r="E49" i="24"/>
  <c r="F49" i="24"/>
  <c r="G49" i="24"/>
  <c r="H49" i="24"/>
  <c r="I49" i="24"/>
  <c r="J49" i="24"/>
  <c r="K49" i="24"/>
  <c r="L49" i="24"/>
  <c r="M49" i="24"/>
  <c r="N49" i="24"/>
  <c r="O49" i="24"/>
  <c r="P49" i="24"/>
  <c r="Q49" i="24"/>
  <c r="R49" i="24"/>
  <c r="S49" i="24"/>
  <c r="T49" i="24"/>
  <c r="U49" i="24"/>
  <c r="V49" i="24"/>
  <c r="W49" i="24"/>
  <c r="X49" i="24"/>
  <c r="Y49" i="24"/>
  <c r="Z49" i="24"/>
  <c r="AA49" i="24"/>
  <c r="AB49" i="24"/>
  <c r="AC49" i="24"/>
  <c r="AD49" i="24"/>
  <c r="AE49" i="24"/>
  <c r="AF49" i="24"/>
  <c r="AG49" i="24"/>
  <c r="AH49" i="24"/>
  <c r="AI49" i="24"/>
  <c r="AJ49" i="24"/>
  <c r="AK49" i="24"/>
  <c r="AL49" i="24"/>
  <c r="AM49" i="24"/>
  <c r="AN49" i="24"/>
  <c r="AO49" i="24"/>
  <c r="AP49" i="24"/>
  <c r="AQ49" i="24"/>
  <c r="AR49" i="24"/>
  <c r="AS49" i="24"/>
  <c r="AT49" i="24"/>
  <c r="AU49" i="24"/>
  <c r="AV49" i="24"/>
  <c r="AW49" i="24"/>
  <c r="AX49" i="24"/>
  <c r="AY49" i="24"/>
  <c r="AZ49" i="24"/>
  <c r="BA49" i="24"/>
  <c r="BB49" i="24"/>
  <c r="BC49" i="24"/>
  <c r="BD49" i="24"/>
  <c r="BE49" i="24"/>
  <c r="BF49" i="24"/>
  <c r="BG49" i="24"/>
  <c r="BH49" i="24"/>
  <c r="BI49" i="24"/>
  <c r="BJ49" i="24"/>
  <c r="BK49" i="24"/>
  <c r="B50" i="24"/>
  <c r="C50" i="24"/>
  <c r="D50" i="24"/>
  <c r="E50" i="24"/>
  <c r="F50" i="24"/>
  <c r="G50" i="24"/>
  <c r="H50" i="24"/>
  <c r="I50" i="24"/>
  <c r="J50" i="24"/>
  <c r="K50" i="24"/>
  <c r="L50" i="24"/>
  <c r="M50" i="24"/>
  <c r="N50" i="24"/>
  <c r="O50" i="24"/>
  <c r="P50" i="24"/>
  <c r="Q50" i="24"/>
  <c r="R50" i="24"/>
  <c r="S50" i="24"/>
  <c r="T50" i="24"/>
  <c r="U50" i="24"/>
  <c r="V50" i="24"/>
  <c r="W50" i="24"/>
  <c r="X50" i="24"/>
  <c r="Y50" i="24"/>
  <c r="Z50" i="24"/>
  <c r="AA50" i="24"/>
  <c r="AB50" i="24"/>
  <c r="AC50" i="24"/>
  <c r="AD50" i="24"/>
  <c r="AE50" i="24"/>
  <c r="AF50" i="24"/>
  <c r="AG50" i="24"/>
  <c r="AH50" i="24"/>
  <c r="AI50" i="24"/>
  <c r="AJ50" i="24"/>
  <c r="AK50" i="24"/>
  <c r="AL50" i="24"/>
  <c r="AM50" i="24"/>
  <c r="AN50" i="24"/>
  <c r="AO50" i="24"/>
  <c r="AP50" i="24"/>
  <c r="AQ50" i="24"/>
  <c r="AR50" i="24"/>
  <c r="AS50" i="24"/>
  <c r="AT50" i="24"/>
  <c r="AU50" i="24"/>
  <c r="AV50" i="24"/>
  <c r="AW50" i="24"/>
  <c r="AX50" i="24"/>
  <c r="AY50" i="24"/>
  <c r="AZ50" i="24"/>
  <c r="BA50" i="24"/>
  <c r="BB50" i="24"/>
  <c r="BC50" i="24"/>
  <c r="BD50" i="24"/>
  <c r="BE50" i="24"/>
  <c r="BF50" i="24"/>
  <c r="BG50" i="24"/>
  <c r="BH50" i="24"/>
  <c r="BI50" i="24"/>
  <c r="BJ50" i="24"/>
  <c r="BK50" i="24"/>
  <c r="B51" i="24"/>
  <c r="C51" i="24"/>
  <c r="D51" i="24"/>
  <c r="E51" i="24"/>
  <c r="F51" i="24"/>
  <c r="G51" i="24"/>
  <c r="H51" i="24"/>
  <c r="I51" i="24"/>
  <c r="J51" i="24"/>
  <c r="K51" i="24"/>
  <c r="L51" i="24"/>
  <c r="M51" i="24"/>
  <c r="N51" i="24"/>
  <c r="O51" i="24"/>
  <c r="P51" i="24"/>
  <c r="Q51" i="24"/>
  <c r="R51" i="24"/>
  <c r="S51" i="24"/>
  <c r="T51" i="24"/>
  <c r="U51" i="24"/>
  <c r="V51" i="24"/>
  <c r="W51" i="24"/>
  <c r="X51" i="24"/>
  <c r="Y51" i="24"/>
  <c r="Z51" i="24"/>
  <c r="AA51" i="24"/>
  <c r="AB51" i="24"/>
  <c r="AC51" i="24"/>
  <c r="AD51" i="24"/>
  <c r="AE51" i="24"/>
  <c r="AF51" i="24"/>
  <c r="AG51" i="24"/>
  <c r="AH51" i="24"/>
  <c r="AI51" i="24"/>
  <c r="AJ51" i="24"/>
  <c r="AK51" i="24"/>
  <c r="AL51" i="24"/>
  <c r="AM51" i="24"/>
  <c r="AN51" i="24"/>
  <c r="AO51" i="24"/>
  <c r="AP51" i="24"/>
  <c r="AQ51" i="24"/>
  <c r="AR51" i="24"/>
  <c r="AS51" i="24"/>
  <c r="AT51" i="24"/>
  <c r="AU51" i="24"/>
  <c r="AV51" i="24"/>
  <c r="AW51" i="24"/>
  <c r="AX51" i="24"/>
  <c r="AY51" i="24"/>
  <c r="AZ51" i="24"/>
  <c r="BA51" i="24"/>
  <c r="BB51" i="24"/>
  <c r="BC51" i="24"/>
  <c r="BD51" i="24"/>
  <c r="BE51" i="24"/>
  <c r="BF51" i="24"/>
  <c r="BG51" i="24"/>
  <c r="BH51" i="24"/>
  <c r="BI51" i="24"/>
  <c r="BJ51" i="24"/>
  <c r="BK51" i="24"/>
  <c r="B52" i="24"/>
  <c r="C52" i="24"/>
  <c r="D52" i="24"/>
  <c r="E52" i="24"/>
  <c r="F52" i="24"/>
  <c r="G52" i="24"/>
  <c r="H52" i="24"/>
  <c r="I52" i="24"/>
  <c r="J52" i="24"/>
  <c r="K52" i="24"/>
  <c r="L52" i="24"/>
  <c r="M52" i="24"/>
  <c r="N52" i="24"/>
  <c r="O52" i="24"/>
  <c r="P52" i="24"/>
  <c r="Q52" i="24"/>
  <c r="R52" i="24"/>
  <c r="S52" i="24"/>
  <c r="T52" i="24"/>
  <c r="U52" i="24"/>
  <c r="V52" i="24"/>
  <c r="W52" i="24"/>
  <c r="X52" i="24"/>
  <c r="Y52" i="24"/>
  <c r="Z52" i="24"/>
  <c r="AA52" i="24"/>
  <c r="AB52" i="24"/>
  <c r="AC52" i="24"/>
  <c r="AD52" i="24"/>
  <c r="AE52" i="24"/>
  <c r="AF52" i="24"/>
  <c r="AG52" i="24"/>
  <c r="AH52" i="24"/>
  <c r="AI52" i="24"/>
  <c r="AJ52" i="24"/>
  <c r="AK52" i="24"/>
  <c r="AL52" i="24"/>
  <c r="AM52" i="24"/>
  <c r="AN52" i="24"/>
  <c r="AO52" i="24"/>
  <c r="AP52" i="24"/>
  <c r="AQ52" i="24"/>
  <c r="AR52" i="24"/>
  <c r="AS52" i="24"/>
  <c r="AT52" i="24"/>
  <c r="AU52" i="24"/>
  <c r="AV52" i="24"/>
  <c r="AW52" i="24"/>
  <c r="AX52" i="24"/>
  <c r="AY52" i="24"/>
  <c r="AZ52" i="24"/>
  <c r="BA52" i="24"/>
  <c r="BB52" i="24"/>
  <c r="BC52" i="24"/>
  <c r="BD52" i="24"/>
  <c r="BE52" i="24"/>
  <c r="BF52" i="24"/>
  <c r="BG52" i="24"/>
  <c r="BH52" i="24"/>
  <c r="BI52" i="24"/>
  <c r="BJ52" i="24"/>
  <c r="BK52" i="24"/>
  <c r="B53" i="24"/>
  <c r="C53" i="24"/>
  <c r="D53" i="24"/>
  <c r="E53" i="24"/>
  <c r="F53" i="24"/>
  <c r="G53" i="24"/>
  <c r="H53" i="24"/>
  <c r="I53" i="24"/>
  <c r="J53" i="24"/>
  <c r="K53" i="24"/>
  <c r="L53" i="24"/>
  <c r="M53" i="24"/>
  <c r="N53" i="24"/>
  <c r="O53" i="24"/>
  <c r="P53" i="24"/>
  <c r="Q53" i="24"/>
  <c r="R53" i="24"/>
  <c r="S53" i="24"/>
  <c r="T53" i="24"/>
  <c r="U53" i="24"/>
  <c r="V53" i="24"/>
  <c r="W53" i="24"/>
  <c r="X53" i="24"/>
  <c r="Y53" i="24"/>
  <c r="Z53" i="24"/>
  <c r="AA53" i="24"/>
  <c r="AB53" i="24"/>
  <c r="AC53" i="24"/>
  <c r="AD53" i="24"/>
  <c r="AE53" i="24"/>
  <c r="AF53" i="24"/>
  <c r="AG53" i="24"/>
  <c r="AH53" i="24"/>
  <c r="AI53" i="24"/>
  <c r="AJ53" i="24"/>
  <c r="AK53" i="24"/>
  <c r="AL53" i="24"/>
  <c r="AM53" i="24"/>
  <c r="AN53" i="24"/>
  <c r="AO53" i="24"/>
  <c r="AP53" i="24"/>
  <c r="AQ53" i="24"/>
  <c r="AR53" i="24"/>
  <c r="AS53" i="24"/>
  <c r="AT53" i="24"/>
  <c r="AU53" i="24"/>
  <c r="AV53" i="24"/>
  <c r="AW53" i="24"/>
  <c r="AX53" i="24"/>
  <c r="AY53" i="24"/>
  <c r="AZ53" i="24"/>
  <c r="BA53" i="24"/>
  <c r="BB53" i="24"/>
  <c r="BC53" i="24"/>
  <c r="BD53" i="24"/>
  <c r="BE53" i="24"/>
  <c r="BF53" i="24"/>
  <c r="BG53" i="24"/>
  <c r="BH53" i="24"/>
  <c r="BI53" i="24"/>
  <c r="BJ53" i="24"/>
  <c r="BK53" i="24"/>
  <c r="B54" i="24"/>
  <c r="C54" i="24"/>
  <c r="D54" i="24"/>
  <c r="E54" i="24"/>
  <c r="F54" i="24"/>
  <c r="G54" i="24"/>
  <c r="H54" i="24"/>
  <c r="I54" i="24"/>
  <c r="J54" i="24"/>
  <c r="K54" i="24"/>
  <c r="L54" i="24"/>
  <c r="M54" i="24"/>
  <c r="N54" i="24"/>
  <c r="O54" i="24"/>
  <c r="P54" i="24"/>
  <c r="Q54" i="24"/>
  <c r="R54" i="24"/>
  <c r="S54" i="24"/>
  <c r="T54" i="24"/>
  <c r="U54" i="24"/>
  <c r="V54" i="24"/>
  <c r="W54" i="24"/>
  <c r="X54" i="24"/>
  <c r="Y54" i="24"/>
  <c r="Z54" i="24"/>
  <c r="AA54" i="24"/>
  <c r="AB54" i="24"/>
  <c r="AC54" i="24"/>
  <c r="AD54" i="24"/>
  <c r="AE54" i="24"/>
  <c r="AF54" i="24"/>
  <c r="AG54" i="24"/>
  <c r="AH54" i="24"/>
  <c r="AI54" i="24"/>
  <c r="AJ54" i="24"/>
  <c r="AK54" i="24"/>
  <c r="AL54" i="24"/>
  <c r="AM54" i="24"/>
  <c r="AN54" i="24"/>
  <c r="AO54" i="24"/>
  <c r="AP54" i="24"/>
  <c r="AQ54" i="24"/>
  <c r="AR54" i="24"/>
  <c r="AS54" i="24"/>
  <c r="AT54" i="24"/>
  <c r="AU54" i="24"/>
  <c r="AV54" i="24"/>
  <c r="AW54" i="24"/>
  <c r="AX54" i="24"/>
  <c r="AY54" i="24"/>
  <c r="AZ54" i="24"/>
  <c r="BA54" i="24"/>
  <c r="BB54" i="24"/>
  <c r="BC54" i="24"/>
  <c r="BD54" i="24"/>
  <c r="BE54" i="24"/>
  <c r="BF54" i="24"/>
  <c r="BG54" i="24"/>
  <c r="BH54" i="24"/>
  <c r="BI54" i="24"/>
  <c r="BJ54" i="24"/>
  <c r="BK54" i="24"/>
  <c r="B55" i="24"/>
  <c r="C55" i="24"/>
  <c r="D55" i="24"/>
  <c r="E55" i="24"/>
  <c r="F55" i="24"/>
  <c r="G55" i="24"/>
  <c r="H55" i="24"/>
  <c r="I55" i="24"/>
  <c r="J55" i="24"/>
  <c r="K55" i="24"/>
  <c r="L55" i="24"/>
  <c r="M55" i="24"/>
  <c r="N55" i="24"/>
  <c r="O55" i="24"/>
  <c r="P55" i="24"/>
  <c r="Q55" i="24"/>
  <c r="R55" i="24"/>
  <c r="S55" i="24"/>
  <c r="T55" i="24"/>
  <c r="U55" i="24"/>
  <c r="V55" i="24"/>
  <c r="W55" i="24"/>
  <c r="X55" i="24"/>
  <c r="Y55" i="24"/>
  <c r="Z55" i="24"/>
  <c r="AA55" i="24"/>
  <c r="AB55" i="24"/>
  <c r="AC55" i="24"/>
  <c r="AD55" i="24"/>
  <c r="AE55" i="24"/>
  <c r="AF55" i="24"/>
  <c r="AG55" i="24"/>
  <c r="AH55" i="24"/>
  <c r="AI55" i="24"/>
  <c r="AJ55" i="24"/>
  <c r="AK55" i="24"/>
  <c r="AL55" i="24"/>
  <c r="AM55" i="24"/>
  <c r="AN55" i="24"/>
  <c r="AO55" i="24"/>
  <c r="AP55" i="24"/>
  <c r="AQ55" i="24"/>
  <c r="AR55" i="24"/>
  <c r="AS55" i="24"/>
  <c r="AT55" i="24"/>
  <c r="AU55" i="24"/>
  <c r="AV55" i="24"/>
  <c r="AW55" i="24"/>
  <c r="AX55" i="24"/>
  <c r="AY55" i="24"/>
  <c r="AZ55" i="24"/>
  <c r="BA55" i="24"/>
  <c r="BB55" i="24"/>
  <c r="BC55" i="24"/>
  <c r="BD55" i="24"/>
  <c r="BE55" i="24"/>
  <c r="BF55" i="24"/>
  <c r="BG55" i="24"/>
  <c r="BH55" i="24"/>
  <c r="BI55" i="24"/>
  <c r="BJ55" i="24"/>
  <c r="BK55" i="24"/>
  <c r="B56" i="24"/>
  <c r="C56" i="24"/>
  <c r="D56" i="24"/>
  <c r="E56" i="24"/>
  <c r="F56" i="24"/>
  <c r="G56" i="24"/>
  <c r="H56" i="24"/>
  <c r="I56" i="24"/>
  <c r="J56" i="24"/>
  <c r="K56" i="24"/>
  <c r="L56" i="24"/>
  <c r="M56" i="24"/>
  <c r="N56" i="24"/>
  <c r="O56" i="24"/>
  <c r="P56" i="24"/>
  <c r="Q56" i="24"/>
  <c r="R56" i="24"/>
  <c r="S56" i="24"/>
  <c r="T56" i="24"/>
  <c r="U56" i="24"/>
  <c r="V56" i="24"/>
  <c r="W56" i="24"/>
  <c r="X56" i="24"/>
  <c r="Y56" i="24"/>
  <c r="Z56" i="24"/>
  <c r="AA56" i="24"/>
  <c r="AB56" i="24"/>
  <c r="AC56" i="24"/>
  <c r="AD56" i="24"/>
  <c r="AE56" i="24"/>
  <c r="AF56" i="24"/>
  <c r="AG56" i="24"/>
  <c r="AH56" i="24"/>
  <c r="AI56" i="24"/>
  <c r="AJ56" i="24"/>
  <c r="AK56" i="24"/>
  <c r="AL56" i="24"/>
  <c r="AM56" i="24"/>
  <c r="AN56" i="24"/>
  <c r="AO56" i="24"/>
  <c r="AP56" i="24"/>
  <c r="AQ56" i="24"/>
  <c r="AR56" i="24"/>
  <c r="AS56" i="24"/>
  <c r="AT56" i="24"/>
  <c r="AU56" i="24"/>
  <c r="AV56" i="24"/>
  <c r="AW56" i="24"/>
  <c r="AX56" i="24"/>
  <c r="AY56" i="24"/>
  <c r="AZ56" i="24"/>
  <c r="BA56" i="24"/>
  <c r="BB56" i="24"/>
  <c r="BC56" i="24"/>
  <c r="BD56" i="24"/>
  <c r="BE56" i="24"/>
  <c r="BF56" i="24"/>
  <c r="BG56" i="24"/>
  <c r="BH56" i="24"/>
  <c r="BI56" i="24"/>
  <c r="BJ56" i="24"/>
  <c r="BK56" i="24"/>
  <c r="B57" i="24"/>
  <c r="C57" i="24"/>
  <c r="D57" i="24"/>
  <c r="E57" i="24"/>
  <c r="F57" i="24"/>
  <c r="G57" i="24"/>
  <c r="H57" i="24"/>
  <c r="I57" i="24"/>
  <c r="J57" i="24"/>
  <c r="K57" i="24"/>
  <c r="L57" i="24"/>
  <c r="M57" i="24"/>
  <c r="N57" i="24"/>
  <c r="O57" i="24"/>
  <c r="P57" i="24"/>
  <c r="Q57" i="24"/>
  <c r="R57" i="24"/>
  <c r="S57" i="24"/>
  <c r="T57" i="24"/>
  <c r="U57" i="24"/>
  <c r="V57" i="24"/>
  <c r="W57" i="24"/>
  <c r="X57" i="24"/>
  <c r="Y57" i="24"/>
  <c r="Z57" i="24"/>
  <c r="AA57" i="24"/>
  <c r="AB57" i="24"/>
  <c r="AC57" i="24"/>
  <c r="AD57" i="24"/>
  <c r="AE57" i="24"/>
  <c r="AF57" i="24"/>
  <c r="AG57" i="24"/>
  <c r="AH57" i="24"/>
  <c r="AI57" i="24"/>
  <c r="AJ57" i="24"/>
  <c r="AK57" i="24"/>
  <c r="AL57" i="24"/>
  <c r="AM57" i="24"/>
  <c r="AN57" i="24"/>
  <c r="AO57" i="24"/>
  <c r="AP57" i="24"/>
  <c r="AQ57" i="24"/>
  <c r="AR57" i="24"/>
  <c r="AS57" i="24"/>
  <c r="AT57" i="24"/>
  <c r="AU57" i="24"/>
  <c r="AV57" i="24"/>
  <c r="AW57" i="24"/>
  <c r="AX57" i="24"/>
  <c r="AY57" i="24"/>
  <c r="AZ57" i="24"/>
  <c r="BA57" i="24"/>
  <c r="BB57" i="24"/>
  <c r="BC57" i="24"/>
  <c r="BD57" i="24"/>
  <c r="BE57" i="24"/>
  <c r="BF57" i="24"/>
  <c r="BG57" i="24"/>
  <c r="BH57" i="24"/>
  <c r="BI57" i="24"/>
  <c r="BJ57" i="24"/>
  <c r="BK57" i="24"/>
  <c r="B58" i="24"/>
  <c r="C58" i="24"/>
  <c r="D58" i="24"/>
  <c r="E58" i="24"/>
  <c r="F58" i="24"/>
  <c r="G58" i="24"/>
  <c r="H58" i="24"/>
  <c r="I58" i="24"/>
  <c r="J58" i="24"/>
  <c r="K58" i="24"/>
  <c r="L58" i="24"/>
  <c r="M58" i="24"/>
  <c r="N58" i="24"/>
  <c r="O58" i="24"/>
  <c r="P58" i="24"/>
  <c r="Q58" i="24"/>
  <c r="R58" i="24"/>
  <c r="S58" i="24"/>
  <c r="T58" i="24"/>
  <c r="U58" i="24"/>
  <c r="V58" i="24"/>
  <c r="W58" i="24"/>
  <c r="X58" i="24"/>
  <c r="Y58" i="24"/>
  <c r="Z58" i="24"/>
  <c r="AA58" i="24"/>
  <c r="AB58" i="24"/>
  <c r="AC58" i="24"/>
  <c r="AD58" i="24"/>
  <c r="AE58" i="24"/>
  <c r="AF58" i="24"/>
  <c r="AG58" i="24"/>
  <c r="AH58" i="24"/>
  <c r="AI58" i="24"/>
  <c r="AJ58" i="24"/>
  <c r="AK58" i="24"/>
  <c r="AL58" i="24"/>
  <c r="AM58" i="24"/>
  <c r="AN58" i="24"/>
  <c r="AO58" i="24"/>
  <c r="AP58" i="24"/>
  <c r="AQ58" i="24"/>
  <c r="AR58" i="24"/>
  <c r="AS58" i="24"/>
  <c r="AT58" i="24"/>
  <c r="AU58" i="24"/>
  <c r="AV58" i="24"/>
  <c r="AW58" i="24"/>
  <c r="AX58" i="24"/>
  <c r="AY58" i="24"/>
  <c r="AZ58" i="24"/>
  <c r="BA58" i="24"/>
  <c r="BB58" i="24"/>
  <c r="BC58" i="24"/>
  <c r="BD58" i="24"/>
  <c r="BE58" i="24"/>
  <c r="BF58" i="24"/>
  <c r="BG58" i="24"/>
  <c r="BH58" i="24"/>
  <c r="BI58" i="24"/>
  <c r="BJ58" i="24"/>
  <c r="BK58" i="24"/>
  <c r="B59" i="24"/>
  <c r="C59" i="24"/>
  <c r="D59" i="24"/>
  <c r="E59" i="24"/>
  <c r="F59" i="24"/>
  <c r="G59" i="24"/>
  <c r="H59" i="24"/>
  <c r="I59" i="24"/>
  <c r="J59" i="24"/>
  <c r="K59" i="24"/>
  <c r="L59" i="24"/>
  <c r="M59" i="24"/>
  <c r="N59" i="24"/>
  <c r="O59" i="24"/>
  <c r="P59" i="24"/>
  <c r="Q59" i="24"/>
  <c r="R59" i="24"/>
  <c r="S59" i="24"/>
  <c r="T59" i="24"/>
  <c r="U59" i="24"/>
  <c r="V59" i="24"/>
  <c r="W59" i="24"/>
  <c r="X59" i="24"/>
  <c r="Y59" i="24"/>
  <c r="Z59" i="24"/>
  <c r="AA59" i="24"/>
  <c r="AB59" i="24"/>
  <c r="AC59" i="24"/>
  <c r="AD59" i="24"/>
  <c r="AE59" i="24"/>
  <c r="AF59" i="24"/>
  <c r="AG59" i="24"/>
  <c r="AH59" i="24"/>
  <c r="AI59" i="24"/>
  <c r="AJ59" i="24"/>
  <c r="AK59" i="24"/>
  <c r="AL59" i="24"/>
  <c r="AM59" i="24"/>
  <c r="AN59" i="24"/>
  <c r="AO59" i="24"/>
  <c r="AP59" i="24"/>
  <c r="AQ59" i="24"/>
  <c r="AR59" i="24"/>
  <c r="AS59" i="24"/>
  <c r="AT59" i="24"/>
  <c r="AU59" i="24"/>
  <c r="AV59" i="24"/>
  <c r="AW59" i="24"/>
  <c r="AX59" i="24"/>
  <c r="AY59" i="24"/>
  <c r="AZ59" i="24"/>
  <c r="BA59" i="24"/>
  <c r="BB59" i="24"/>
  <c r="BC59" i="24"/>
  <c r="BD59" i="24"/>
  <c r="BE59" i="24"/>
  <c r="BF59" i="24"/>
  <c r="BG59" i="24"/>
  <c r="BH59" i="24"/>
  <c r="BI59" i="24"/>
  <c r="BJ59" i="24"/>
  <c r="BK59" i="24"/>
  <c r="B60" i="24"/>
  <c r="C60" i="24"/>
  <c r="D60" i="24"/>
  <c r="E60" i="24"/>
  <c r="F60" i="24"/>
  <c r="G60" i="24"/>
  <c r="H60" i="24"/>
  <c r="I60" i="24"/>
  <c r="J60" i="24"/>
  <c r="K60" i="24"/>
  <c r="L60" i="24"/>
  <c r="M60" i="24"/>
  <c r="N60" i="24"/>
  <c r="O60" i="24"/>
  <c r="P60" i="24"/>
  <c r="Q60" i="24"/>
  <c r="R60" i="24"/>
  <c r="S60" i="24"/>
  <c r="T60" i="24"/>
  <c r="U60" i="24"/>
  <c r="V60" i="24"/>
  <c r="W60" i="24"/>
  <c r="X60" i="24"/>
  <c r="Y60" i="24"/>
  <c r="Z60" i="24"/>
  <c r="AA60" i="24"/>
  <c r="AB60" i="24"/>
  <c r="AC60" i="24"/>
  <c r="AD60" i="24"/>
  <c r="AE60" i="24"/>
  <c r="AF60" i="24"/>
  <c r="AG60" i="24"/>
  <c r="AH60" i="24"/>
  <c r="AI60" i="24"/>
  <c r="AJ60" i="24"/>
  <c r="AK60" i="24"/>
  <c r="AL60" i="24"/>
  <c r="AM60" i="24"/>
  <c r="AN60" i="24"/>
  <c r="AO60" i="24"/>
  <c r="AP60" i="24"/>
  <c r="AQ60" i="24"/>
  <c r="AR60" i="24"/>
  <c r="AS60" i="24"/>
  <c r="AT60" i="24"/>
  <c r="AU60" i="24"/>
  <c r="AV60" i="24"/>
  <c r="AW60" i="24"/>
  <c r="AX60" i="24"/>
  <c r="AY60" i="24"/>
  <c r="AZ60" i="24"/>
  <c r="BA60" i="24"/>
  <c r="BB60" i="24"/>
  <c r="BC60" i="24"/>
  <c r="BD60" i="24"/>
  <c r="BE60" i="24"/>
  <c r="BF60" i="24"/>
  <c r="BG60" i="24"/>
  <c r="BH60" i="24"/>
  <c r="BI60" i="24"/>
  <c r="BJ60" i="24"/>
  <c r="BK60" i="24"/>
  <c r="B61" i="24"/>
  <c r="C61" i="24"/>
  <c r="D61" i="24"/>
  <c r="E61" i="24"/>
  <c r="F61" i="24"/>
  <c r="G61" i="24"/>
  <c r="H61" i="24"/>
  <c r="I61" i="24"/>
  <c r="J61" i="24"/>
  <c r="K61" i="24"/>
  <c r="L61" i="24"/>
  <c r="M61" i="24"/>
  <c r="N61" i="24"/>
  <c r="O61" i="24"/>
  <c r="P61" i="24"/>
  <c r="Q61" i="24"/>
  <c r="R61" i="24"/>
  <c r="S61" i="24"/>
  <c r="T61" i="24"/>
  <c r="U61" i="24"/>
  <c r="V61" i="24"/>
  <c r="W61" i="24"/>
  <c r="X61" i="24"/>
  <c r="Y61" i="24"/>
  <c r="Z61" i="24"/>
  <c r="AA61" i="24"/>
  <c r="AB61" i="24"/>
  <c r="AC61" i="24"/>
  <c r="AD61" i="24"/>
  <c r="AE61" i="24"/>
  <c r="AF61" i="24"/>
  <c r="AG61" i="24"/>
  <c r="AH61" i="24"/>
  <c r="AI61" i="24"/>
  <c r="AJ61" i="24"/>
  <c r="AK61" i="24"/>
  <c r="AL61" i="24"/>
  <c r="AM61" i="24"/>
  <c r="AN61" i="24"/>
  <c r="AO61" i="24"/>
  <c r="AP61" i="24"/>
  <c r="AQ61" i="24"/>
  <c r="AR61" i="24"/>
  <c r="AS61" i="24"/>
  <c r="AT61" i="24"/>
  <c r="AU61" i="24"/>
  <c r="AV61" i="24"/>
  <c r="AW61" i="24"/>
  <c r="AX61" i="24"/>
  <c r="AY61" i="24"/>
  <c r="AZ61" i="24"/>
  <c r="BA61" i="24"/>
  <c r="BB61" i="24"/>
  <c r="BC61" i="24"/>
  <c r="BD61" i="24"/>
  <c r="BE61" i="24"/>
  <c r="BF61" i="24"/>
  <c r="BG61" i="24"/>
  <c r="BH61" i="24"/>
  <c r="BI61" i="24"/>
  <c r="BJ61" i="24"/>
  <c r="BK61" i="24"/>
  <c r="B62" i="24"/>
  <c r="C62" i="24"/>
  <c r="D62" i="24"/>
  <c r="E62" i="24"/>
  <c r="F62" i="24"/>
  <c r="G62" i="24"/>
  <c r="H62" i="24"/>
  <c r="I62" i="24"/>
  <c r="J62" i="24"/>
  <c r="K62" i="24"/>
  <c r="L62" i="24"/>
  <c r="M62" i="24"/>
  <c r="N62" i="24"/>
  <c r="O62" i="24"/>
  <c r="P62" i="24"/>
  <c r="Q62" i="24"/>
  <c r="R62" i="24"/>
  <c r="S62" i="24"/>
  <c r="T62" i="24"/>
  <c r="U62" i="24"/>
  <c r="V62" i="24"/>
  <c r="W62" i="24"/>
  <c r="X62" i="24"/>
  <c r="Y62" i="24"/>
  <c r="Z62" i="24"/>
  <c r="AA62" i="24"/>
  <c r="AB62" i="24"/>
  <c r="AC62" i="24"/>
  <c r="AD62" i="24"/>
  <c r="AE62" i="24"/>
  <c r="AF62" i="24"/>
  <c r="AG62" i="24"/>
  <c r="AH62" i="24"/>
  <c r="AI62" i="24"/>
  <c r="AJ62" i="24"/>
  <c r="AK62" i="24"/>
  <c r="AL62" i="24"/>
  <c r="AM62" i="24"/>
  <c r="AN62" i="24"/>
  <c r="AO62" i="24"/>
  <c r="AP62" i="24"/>
  <c r="AQ62" i="24"/>
  <c r="AR62" i="24"/>
  <c r="AS62" i="24"/>
  <c r="AT62" i="24"/>
  <c r="AU62" i="24"/>
  <c r="AV62" i="24"/>
  <c r="AW62" i="24"/>
  <c r="AX62" i="24"/>
  <c r="AY62" i="24"/>
  <c r="AZ62" i="24"/>
  <c r="BA62" i="24"/>
  <c r="BB62" i="24"/>
  <c r="BC62" i="24"/>
  <c r="BD62" i="24"/>
  <c r="BE62" i="24"/>
  <c r="BF62" i="24"/>
  <c r="BG62" i="24"/>
  <c r="BH62" i="24"/>
  <c r="BI62" i="24"/>
  <c r="BJ62" i="24"/>
  <c r="BK62" i="24"/>
  <c r="B63" i="24"/>
  <c r="C63" i="24"/>
  <c r="D63" i="24"/>
  <c r="E63" i="24"/>
  <c r="F63" i="24"/>
  <c r="G63" i="24"/>
  <c r="H63" i="24"/>
  <c r="I63" i="24"/>
  <c r="J63" i="24"/>
  <c r="K63" i="24"/>
  <c r="L63" i="24"/>
  <c r="M63" i="24"/>
  <c r="N63" i="24"/>
  <c r="O63" i="24"/>
  <c r="P63" i="24"/>
  <c r="Q63" i="24"/>
  <c r="R63" i="24"/>
  <c r="S63" i="24"/>
  <c r="T63" i="24"/>
  <c r="U63" i="24"/>
  <c r="V63" i="24"/>
  <c r="W63" i="24"/>
  <c r="X63" i="24"/>
  <c r="Y63" i="24"/>
  <c r="Z63" i="24"/>
  <c r="AA63" i="24"/>
  <c r="AB63" i="24"/>
  <c r="AC63" i="24"/>
  <c r="AD63" i="24"/>
  <c r="AE63" i="24"/>
  <c r="AF63" i="24"/>
  <c r="AG63" i="24"/>
  <c r="AH63" i="24"/>
  <c r="AI63" i="24"/>
  <c r="AJ63" i="24"/>
  <c r="AK63" i="24"/>
  <c r="AL63" i="24"/>
  <c r="AM63" i="24"/>
  <c r="AN63" i="24"/>
  <c r="AO63" i="24"/>
  <c r="AP63" i="24"/>
  <c r="AQ63" i="24"/>
  <c r="AR63" i="24"/>
  <c r="AS63" i="24"/>
  <c r="AT63" i="24"/>
  <c r="AU63" i="24"/>
  <c r="AV63" i="24"/>
  <c r="AW63" i="24"/>
  <c r="AX63" i="24"/>
  <c r="AY63" i="24"/>
  <c r="AZ63" i="24"/>
  <c r="BA63" i="24"/>
  <c r="BB63" i="24"/>
  <c r="BC63" i="24"/>
  <c r="BD63" i="24"/>
  <c r="BE63" i="24"/>
  <c r="BF63" i="24"/>
  <c r="BG63" i="24"/>
  <c r="BH63" i="24"/>
  <c r="BI63" i="24"/>
  <c r="BJ63" i="24"/>
  <c r="BK63" i="24"/>
  <c r="B64" i="24"/>
  <c r="C64" i="24"/>
  <c r="D64" i="24"/>
  <c r="E64" i="24"/>
  <c r="F64" i="24"/>
  <c r="G64" i="24"/>
  <c r="H64" i="24"/>
  <c r="I64" i="24"/>
  <c r="J64" i="24"/>
  <c r="K64" i="24"/>
  <c r="L64" i="24"/>
  <c r="M64" i="24"/>
  <c r="N64" i="24"/>
  <c r="O64" i="24"/>
  <c r="P64" i="24"/>
  <c r="Q64" i="24"/>
  <c r="R64" i="24"/>
  <c r="S64" i="24"/>
  <c r="T64" i="24"/>
  <c r="U64" i="24"/>
  <c r="V64" i="24"/>
  <c r="W64" i="24"/>
  <c r="X64" i="24"/>
  <c r="Y64" i="24"/>
  <c r="Z64" i="24"/>
  <c r="AA64" i="24"/>
  <c r="AB64" i="24"/>
  <c r="AC64" i="24"/>
  <c r="AD64" i="24"/>
  <c r="AE64" i="24"/>
  <c r="AF64" i="24"/>
  <c r="AG64" i="24"/>
  <c r="AH64" i="24"/>
  <c r="AI64" i="24"/>
  <c r="AJ64" i="24"/>
  <c r="AK64" i="24"/>
  <c r="AL64" i="24"/>
  <c r="AM64" i="24"/>
  <c r="AN64" i="24"/>
  <c r="AO64" i="24"/>
  <c r="AP64" i="24"/>
  <c r="AQ64" i="24"/>
  <c r="AR64" i="24"/>
  <c r="AS64" i="24"/>
  <c r="AT64" i="24"/>
  <c r="AU64" i="24"/>
  <c r="AV64" i="24"/>
  <c r="AW64" i="24"/>
  <c r="AX64" i="24"/>
  <c r="AY64" i="24"/>
  <c r="AZ64" i="24"/>
  <c r="BA64" i="24"/>
  <c r="BB64" i="24"/>
  <c r="BC64" i="24"/>
  <c r="BD64" i="24"/>
  <c r="BE64" i="24"/>
  <c r="BF64" i="24"/>
  <c r="BG64" i="24"/>
  <c r="BH64" i="24"/>
  <c r="BI64" i="24"/>
  <c r="BJ64" i="24"/>
  <c r="BK64" i="24"/>
  <c r="B65" i="24"/>
  <c r="C65" i="24"/>
  <c r="D65" i="24"/>
  <c r="E65" i="24"/>
  <c r="F65" i="24"/>
  <c r="G65" i="24"/>
  <c r="H65" i="24"/>
  <c r="I65" i="24"/>
  <c r="J65" i="24"/>
  <c r="K65" i="24"/>
  <c r="L65" i="24"/>
  <c r="M65" i="24"/>
  <c r="N65" i="24"/>
  <c r="O65" i="24"/>
  <c r="P65" i="24"/>
  <c r="Q65" i="24"/>
  <c r="R65" i="24"/>
  <c r="S65" i="24"/>
  <c r="T65" i="24"/>
  <c r="U65" i="24"/>
  <c r="V65" i="24"/>
  <c r="W65" i="24"/>
  <c r="X65" i="24"/>
  <c r="Y65" i="24"/>
  <c r="Z65" i="24"/>
  <c r="AA65" i="24"/>
  <c r="AB65" i="24"/>
  <c r="AC65" i="24"/>
  <c r="AD65" i="24"/>
  <c r="AE65" i="24"/>
  <c r="AF65" i="24"/>
  <c r="AG65" i="24"/>
  <c r="AH65" i="24"/>
  <c r="AI65" i="24"/>
  <c r="AJ65" i="24"/>
  <c r="AK65" i="24"/>
  <c r="AL65" i="24"/>
  <c r="AM65" i="24"/>
  <c r="AN65" i="24"/>
  <c r="AO65" i="24"/>
  <c r="AP65" i="24"/>
  <c r="AQ65" i="24"/>
  <c r="AR65" i="24"/>
  <c r="AS65" i="24"/>
  <c r="AT65" i="24"/>
  <c r="AU65" i="24"/>
  <c r="AV65" i="24"/>
  <c r="AW65" i="24"/>
  <c r="AX65" i="24"/>
  <c r="AY65" i="24"/>
  <c r="AZ65" i="24"/>
  <c r="BA65" i="24"/>
  <c r="BB65" i="24"/>
  <c r="BC65" i="24"/>
  <c r="BD65" i="24"/>
  <c r="BE65" i="24"/>
  <c r="BF65" i="24"/>
  <c r="BG65" i="24"/>
  <c r="BH65" i="24"/>
  <c r="BI65" i="24"/>
  <c r="BJ65" i="24"/>
  <c r="BK65" i="24"/>
  <c r="B66" i="24"/>
  <c r="C66" i="24"/>
  <c r="D66" i="24"/>
  <c r="E66" i="24"/>
  <c r="F66" i="24"/>
  <c r="G66" i="24"/>
  <c r="H66" i="24"/>
  <c r="I66" i="24"/>
  <c r="J66" i="24"/>
  <c r="K66" i="24"/>
  <c r="L66" i="24"/>
  <c r="M66" i="24"/>
  <c r="N66" i="24"/>
  <c r="O66" i="24"/>
  <c r="P66" i="24"/>
  <c r="Q66" i="24"/>
  <c r="R66" i="24"/>
  <c r="S66" i="24"/>
  <c r="T66" i="24"/>
  <c r="U66" i="24"/>
  <c r="V66" i="24"/>
  <c r="W66" i="24"/>
  <c r="X66" i="24"/>
  <c r="Y66" i="24"/>
  <c r="Z66" i="24"/>
  <c r="AA66" i="24"/>
  <c r="AB66" i="24"/>
  <c r="AC66" i="24"/>
  <c r="AD66" i="24"/>
  <c r="AE66" i="24"/>
  <c r="AF66" i="24"/>
  <c r="AG66" i="24"/>
  <c r="AH66" i="24"/>
  <c r="AI66" i="24"/>
  <c r="AJ66" i="24"/>
  <c r="AK66" i="24"/>
  <c r="AL66" i="24"/>
  <c r="AM66" i="24"/>
  <c r="AN66" i="24"/>
  <c r="AO66" i="24"/>
  <c r="AP66" i="24"/>
  <c r="AQ66" i="24"/>
  <c r="AR66" i="24"/>
  <c r="AS66" i="24"/>
  <c r="AT66" i="24"/>
  <c r="AU66" i="24"/>
  <c r="AV66" i="24"/>
  <c r="AW66" i="24"/>
  <c r="AX66" i="24"/>
  <c r="AY66" i="24"/>
  <c r="AZ66" i="24"/>
  <c r="BA66" i="24"/>
  <c r="BB66" i="24"/>
  <c r="BC66" i="24"/>
  <c r="BD66" i="24"/>
  <c r="BE66" i="24"/>
  <c r="BF66" i="24"/>
  <c r="BG66" i="24"/>
  <c r="BH66" i="24"/>
  <c r="BI66" i="24"/>
  <c r="BJ66" i="24"/>
  <c r="BK66" i="24"/>
  <c r="B67" i="24"/>
  <c r="C67" i="24"/>
  <c r="D67" i="24"/>
  <c r="E67" i="24"/>
  <c r="F67" i="24"/>
  <c r="G67" i="24"/>
  <c r="H67" i="24"/>
  <c r="I67" i="24"/>
  <c r="J67" i="24"/>
  <c r="K67" i="24"/>
  <c r="L67" i="24"/>
  <c r="M67" i="24"/>
  <c r="N67" i="24"/>
  <c r="O67" i="24"/>
  <c r="P67" i="24"/>
  <c r="Q67" i="24"/>
  <c r="R67" i="24"/>
  <c r="S67" i="24"/>
  <c r="T67" i="24"/>
  <c r="U67" i="24"/>
  <c r="V67" i="24"/>
  <c r="W67" i="24"/>
  <c r="X67" i="24"/>
  <c r="Y67" i="24"/>
  <c r="Z67" i="24"/>
  <c r="AA67" i="24"/>
  <c r="AB67" i="24"/>
  <c r="AC67" i="24"/>
  <c r="AD67" i="24"/>
  <c r="AE67" i="24"/>
  <c r="AF67" i="24"/>
  <c r="AG67" i="24"/>
  <c r="AH67" i="24"/>
  <c r="AI67" i="24"/>
  <c r="AJ67" i="24"/>
  <c r="AK67" i="24"/>
  <c r="AL67" i="24"/>
  <c r="AM67" i="24"/>
  <c r="AN67" i="24"/>
  <c r="AO67" i="24"/>
  <c r="AP67" i="24"/>
  <c r="AQ67" i="24"/>
  <c r="AR67" i="24"/>
  <c r="AS67" i="24"/>
  <c r="AT67" i="24"/>
  <c r="AU67" i="24"/>
  <c r="AV67" i="24"/>
  <c r="AW67" i="24"/>
  <c r="AX67" i="24"/>
  <c r="AY67" i="24"/>
  <c r="AZ67" i="24"/>
  <c r="BA67" i="24"/>
  <c r="BB67" i="24"/>
  <c r="BC67" i="24"/>
  <c r="BD67" i="24"/>
  <c r="BE67" i="24"/>
  <c r="BF67" i="24"/>
  <c r="BG67" i="24"/>
  <c r="BH67" i="24"/>
  <c r="BI67" i="24"/>
  <c r="BJ67" i="24"/>
  <c r="BK67" i="24"/>
  <c r="B68" i="24"/>
  <c r="C68" i="24"/>
  <c r="D68" i="24"/>
  <c r="E68" i="24"/>
  <c r="F68" i="24"/>
  <c r="G68" i="24"/>
  <c r="H68" i="24"/>
  <c r="I68" i="24"/>
  <c r="J68" i="24"/>
  <c r="K68" i="24"/>
  <c r="L68" i="24"/>
  <c r="M68" i="24"/>
  <c r="N68" i="24"/>
  <c r="O68" i="24"/>
  <c r="P68" i="24"/>
  <c r="Q68" i="24"/>
  <c r="R68" i="24"/>
  <c r="S68" i="24"/>
  <c r="T68" i="24"/>
  <c r="U68" i="24"/>
  <c r="V68" i="24"/>
  <c r="W68" i="24"/>
  <c r="X68" i="24"/>
  <c r="Y68" i="24"/>
  <c r="Z68" i="24"/>
  <c r="AA68" i="24"/>
  <c r="AB68" i="24"/>
  <c r="AC68" i="24"/>
  <c r="AD68" i="24"/>
  <c r="AE68" i="24"/>
  <c r="AF68" i="24"/>
  <c r="AG68" i="24"/>
  <c r="AH68" i="24"/>
  <c r="AI68" i="24"/>
  <c r="AJ68" i="24"/>
  <c r="AK68" i="24"/>
  <c r="AL68" i="24"/>
  <c r="AM68" i="24"/>
  <c r="AN68" i="24"/>
  <c r="AO68" i="24"/>
  <c r="AP68" i="24"/>
  <c r="AQ68" i="24"/>
  <c r="AR68" i="24"/>
  <c r="AS68" i="24"/>
  <c r="AT68" i="24"/>
  <c r="AU68" i="24"/>
  <c r="AV68" i="24"/>
  <c r="AW68" i="24"/>
  <c r="AX68" i="24"/>
  <c r="AY68" i="24"/>
  <c r="AZ68" i="24"/>
  <c r="BA68" i="24"/>
  <c r="BB68" i="24"/>
  <c r="BC68" i="24"/>
  <c r="BD68" i="24"/>
  <c r="BE68" i="24"/>
  <c r="BF68" i="24"/>
  <c r="BG68" i="24"/>
  <c r="BH68" i="24"/>
  <c r="BI68" i="24"/>
  <c r="BJ68" i="24"/>
  <c r="BK68" i="24"/>
  <c r="B69" i="24"/>
  <c r="C69" i="24"/>
  <c r="D69" i="24"/>
  <c r="E69" i="24"/>
  <c r="F69" i="24"/>
  <c r="G69" i="24"/>
  <c r="H69" i="24"/>
  <c r="I69" i="24"/>
  <c r="J69" i="24"/>
  <c r="K69" i="24"/>
  <c r="L69" i="24"/>
  <c r="M69" i="24"/>
  <c r="N69" i="24"/>
  <c r="O69" i="24"/>
  <c r="P69" i="24"/>
  <c r="Q69" i="24"/>
  <c r="R69" i="24"/>
  <c r="S69" i="24"/>
  <c r="T69" i="24"/>
  <c r="U69" i="24"/>
  <c r="V69" i="24"/>
  <c r="W69" i="24"/>
  <c r="X69" i="24"/>
  <c r="Y69" i="24"/>
  <c r="Z69" i="24"/>
  <c r="AA69" i="24"/>
  <c r="AB69" i="24"/>
  <c r="AC69" i="24"/>
  <c r="AD69" i="24"/>
  <c r="AE69" i="24"/>
  <c r="AF69" i="24"/>
  <c r="AG69" i="24"/>
  <c r="AH69" i="24"/>
  <c r="AI69" i="24"/>
  <c r="AJ69" i="24"/>
  <c r="AK69" i="24"/>
  <c r="AL69" i="24"/>
  <c r="AM69" i="24"/>
  <c r="AN69" i="24"/>
  <c r="AO69" i="24"/>
  <c r="AP69" i="24"/>
  <c r="AQ69" i="24"/>
  <c r="AR69" i="24"/>
  <c r="AS69" i="24"/>
  <c r="AT69" i="24"/>
  <c r="AU69" i="24"/>
  <c r="AV69" i="24"/>
  <c r="AW69" i="24"/>
  <c r="AX69" i="24"/>
  <c r="AY69" i="24"/>
  <c r="AZ69" i="24"/>
  <c r="BA69" i="24"/>
  <c r="BB69" i="24"/>
  <c r="BC69" i="24"/>
  <c r="BD69" i="24"/>
  <c r="BE69" i="24"/>
  <c r="BF69" i="24"/>
  <c r="BG69" i="24"/>
  <c r="BH69" i="24"/>
  <c r="BI69" i="24"/>
  <c r="BJ69" i="24"/>
  <c r="BK69" i="24"/>
  <c r="B70" i="24"/>
  <c r="C70" i="24"/>
  <c r="D70" i="24"/>
  <c r="E70" i="24"/>
  <c r="F70" i="24"/>
  <c r="G70" i="24"/>
  <c r="H70" i="24"/>
  <c r="I70" i="24"/>
  <c r="J70" i="24"/>
  <c r="K70" i="24"/>
  <c r="L70" i="24"/>
  <c r="M70" i="24"/>
  <c r="N70" i="24"/>
  <c r="O70" i="24"/>
  <c r="P70" i="24"/>
  <c r="Q70" i="24"/>
  <c r="R70" i="24"/>
  <c r="S70" i="24"/>
  <c r="T70" i="24"/>
  <c r="U70" i="24"/>
  <c r="V70" i="24"/>
  <c r="W70" i="24"/>
  <c r="X70" i="24"/>
  <c r="Y70" i="24"/>
  <c r="Z70" i="24"/>
  <c r="AA70" i="24"/>
  <c r="AB70" i="24"/>
  <c r="AC70" i="24"/>
  <c r="AD70" i="24"/>
  <c r="AE70" i="24"/>
  <c r="AF70" i="24"/>
  <c r="AG70" i="24"/>
  <c r="AH70" i="24"/>
  <c r="AI70" i="24"/>
  <c r="AJ70" i="24"/>
  <c r="AK70" i="24"/>
  <c r="AL70" i="24"/>
  <c r="AM70" i="24"/>
  <c r="AN70" i="24"/>
  <c r="AO70" i="24"/>
  <c r="AP70" i="24"/>
  <c r="AQ70" i="24"/>
  <c r="AR70" i="24"/>
  <c r="AS70" i="24"/>
  <c r="AT70" i="24"/>
  <c r="AU70" i="24"/>
  <c r="AV70" i="24"/>
  <c r="AW70" i="24"/>
  <c r="AX70" i="24"/>
  <c r="AY70" i="24"/>
  <c r="AZ70" i="24"/>
  <c r="BA70" i="24"/>
  <c r="BB70" i="24"/>
  <c r="BC70" i="24"/>
  <c r="BD70" i="24"/>
  <c r="BE70" i="24"/>
  <c r="BF70" i="24"/>
  <c r="BG70" i="24"/>
  <c r="BH70" i="24"/>
  <c r="BI70" i="24"/>
  <c r="BJ70" i="24"/>
  <c r="BK70" i="24"/>
  <c r="B71" i="24"/>
  <c r="C71" i="24"/>
  <c r="D71" i="24"/>
  <c r="E71" i="24"/>
  <c r="F71" i="24"/>
  <c r="G71" i="24"/>
  <c r="H71" i="24"/>
  <c r="I71" i="24"/>
  <c r="J71" i="24"/>
  <c r="K71" i="24"/>
  <c r="L71" i="24"/>
  <c r="M71" i="24"/>
  <c r="N71" i="24"/>
  <c r="O71" i="24"/>
  <c r="P71" i="24"/>
  <c r="Q71" i="24"/>
  <c r="R71" i="24"/>
  <c r="S71" i="24"/>
  <c r="T71" i="24"/>
  <c r="U71" i="24"/>
  <c r="V71" i="24"/>
  <c r="W71" i="24"/>
  <c r="X71" i="24"/>
  <c r="Y71" i="24"/>
  <c r="Z71" i="24"/>
  <c r="AA71" i="24"/>
  <c r="AB71" i="24"/>
  <c r="AC71" i="24"/>
  <c r="AD71" i="24"/>
  <c r="AE71" i="24"/>
  <c r="AF71" i="24"/>
  <c r="AG71" i="24"/>
  <c r="AH71" i="24"/>
  <c r="AI71" i="24"/>
  <c r="AJ71" i="24"/>
  <c r="AK71" i="24"/>
  <c r="AL71" i="24"/>
  <c r="AM71" i="24"/>
  <c r="AN71" i="24"/>
  <c r="AO71" i="24"/>
  <c r="AP71" i="24"/>
  <c r="AQ71" i="24"/>
  <c r="AR71" i="24"/>
  <c r="AS71" i="24"/>
  <c r="AT71" i="24"/>
  <c r="AU71" i="24"/>
  <c r="AV71" i="24"/>
  <c r="AW71" i="24"/>
  <c r="AX71" i="24"/>
  <c r="AY71" i="24"/>
  <c r="AZ71" i="24"/>
  <c r="BA71" i="24"/>
  <c r="BB71" i="24"/>
  <c r="BC71" i="24"/>
  <c r="BD71" i="24"/>
  <c r="BE71" i="24"/>
  <c r="BF71" i="24"/>
  <c r="BG71" i="24"/>
  <c r="BH71" i="24"/>
  <c r="BI71" i="24"/>
  <c r="BJ71" i="24"/>
  <c r="BK71" i="24"/>
  <c r="B72" i="24"/>
  <c r="C72" i="24"/>
  <c r="D72" i="24"/>
  <c r="E72" i="24"/>
  <c r="F72" i="24"/>
  <c r="G72" i="24"/>
  <c r="H72" i="24"/>
  <c r="I72" i="24"/>
  <c r="J72" i="24"/>
  <c r="K72" i="24"/>
  <c r="L72" i="24"/>
  <c r="M72" i="24"/>
  <c r="N72" i="24"/>
  <c r="O72" i="24"/>
  <c r="P72" i="24"/>
  <c r="Q72" i="24"/>
  <c r="R72" i="24"/>
  <c r="S72" i="24"/>
  <c r="T72" i="24"/>
  <c r="U72" i="24"/>
  <c r="V72" i="24"/>
  <c r="W72" i="24"/>
  <c r="X72" i="24"/>
  <c r="Y72" i="24"/>
  <c r="Z72" i="24"/>
  <c r="AA72" i="24"/>
  <c r="AB72" i="24"/>
  <c r="AC72" i="24"/>
  <c r="AD72" i="24"/>
  <c r="AE72" i="24"/>
  <c r="AF72" i="24"/>
  <c r="AG72" i="24"/>
  <c r="AH72" i="24"/>
  <c r="AI72" i="24"/>
  <c r="AJ72" i="24"/>
  <c r="AK72" i="24"/>
  <c r="AL72" i="24"/>
  <c r="AM72" i="24"/>
  <c r="AN72" i="24"/>
  <c r="AO72" i="24"/>
  <c r="AP72" i="24"/>
  <c r="AQ72" i="24"/>
  <c r="AR72" i="24"/>
  <c r="AS72" i="24"/>
  <c r="AT72" i="24"/>
  <c r="AU72" i="24"/>
  <c r="AV72" i="24"/>
  <c r="AW72" i="24"/>
  <c r="AX72" i="24"/>
  <c r="AY72" i="24"/>
  <c r="AZ72" i="24"/>
  <c r="BA72" i="24"/>
  <c r="BB72" i="24"/>
  <c r="BC72" i="24"/>
  <c r="BD72" i="24"/>
  <c r="BE72" i="24"/>
  <c r="BF72" i="24"/>
  <c r="BG72" i="24"/>
  <c r="BH72" i="24"/>
  <c r="BI72" i="24"/>
  <c r="BJ72" i="24"/>
  <c r="BK72" i="24"/>
  <c r="B73" i="24"/>
  <c r="C73" i="24"/>
  <c r="D73" i="24"/>
  <c r="E73" i="24"/>
  <c r="F73" i="24"/>
  <c r="G73" i="24"/>
  <c r="H73" i="24"/>
  <c r="I73" i="24"/>
  <c r="J73" i="24"/>
  <c r="K73" i="24"/>
  <c r="L73" i="24"/>
  <c r="M73" i="24"/>
  <c r="N73" i="24"/>
  <c r="O73" i="24"/>
  <c r="P73" i="24"/>
  <c r="Q73" i="24"/>
  <c r="R73" i="24"/>
  <c r="S73" i="24"/>
  <c r="T73" i="24"/>
  <c r="U73" i="24"/>
  <c r="V73" i="24"/>
  <c r="W73" i="24"/>
  <c r="X73" i="24"/>
  <c r="Y73" i="24"/>
  <c r="Z73" i="24"/>
  <c r="AA73" i="24"/>
  <c r="AB73" i="24"/>
  <c r="AC73" i="24"/>
  <c r="AD73" i="24"/>
  <c r="AE73" i="24"/>
  <c r="AF73" i="24"/>
  <c r="AG73" i="24"/>
  <c r="AH73" i="24"/>
  <c r="AI73" i="24"/>
  <c r="AJ73" i="24"/>
  <c r="AK73" i="24"/>
  <c r="AL73" i="24"/>
  <c r="AM73" i="24"/>
  <c r="AN73" i="24"/>
  <c r="AO73" i="24"/>
  <c r="AP73" i="24"/>
  <c r="AQ73" i="24"/>
  <c r="AR73" i="24"/>
  <c r="AS73" i="24"/>
  <c r="AT73" i="24"/>
  <c r="AU73" i="24"/>
  <c r="AV73" i="24"/>
  <c r="AW73" i="24"/>
  <c r="AX73" i="24"/>
  <c r="AY73" i="24"/>
  <c r="AZ73" i="24"/>
  <c r="BA73" i="24"/>
  <c r="BB73" i="24"/>
  <c r="BC73" i="24"/>
  <c r="BD73" i="24"/>
  <c r="BE73" i="24"/>
  <c r="BF73" i="24"/>
  <c r="BG73" i="24"/>
  <c r="BH73" i="24"/>
  <c r="BI73" i="24"/>
  <c r="BJ73" i="24"/>
  <c r="BK73" i="24"/>
  <c r="B74" i="24"/>
  <c r="C74" i="24"/>
  <c r="D74" i="24"/>
  <c r="E74" i="24"/>
  <c r="F74" i="24"/>
  <c r="G74" i="24"/>
  <c r="H74" i="24"/>
  <c r="I74" i="24"/>
  <c r="J74" i="24"/>
  <c r="K74" i="24"/>
  <c r="L74" i="24"/>
  <c r="M74" i="24"/>
  <c r="N74" i="24"/>
  <c r="O74" i="24"/>
  <c r="P74" i="24"/>
  <c r="Q74" i="24"/>
  <c r="R74" i="24"/>
  <c r="S74" i="24"/>
  <c r="T74" i="24"/>
  <c r="U74" i="24"/>
  <c r="V74" i="24"/>
  <c r="W74" i="24"/>
  <c r="X74" i="24"/>
  <c r="Y74" i="24"/>
  <c r="Z74" i="24"/>
  <c r="AA74" i="24"/>
  <c r="AB74" i="24"/>
  <c r="AC74" i="24"/>
  <c r="AD74" i="24"/>
  <c r="AE74" i="24"/>
  <c r="AF74" i="24"/>
  <c r="AG74" i="24"/>
  <c r="AH74" i="24"/>
  <c r="AI74" i="24"/>
  <c r="AJ74" i="24"/>
  <c r="AK74" i="24"/>
  <c r="AL74" i="24"/>
  <c r="AM74" i="24"/>
  <c r="AN74" i="24"/>
  <c r="AO74" i="24"/>
  <c r="AP74" i="24"/>
  <c r="AQ74" i="24"/>
  <c r="AR74" i="24"/>
  <c r="AS74" i="24"/>
  <c r="AT74" i="24"/>
  <c r="AU74" i="24"/>
  <c r="AV74" i="24"/>
  <c r="AW74" i="24"/>
  <c r="AX74" i="24"/>
  <c r="AY74" i="24"/>
  <c r="AZ74" i="24"/>
  <c r="BA74" i="24"/>
  <c r="BB74" i="24"/>
  <c r="BC74" i="24"/>
  <c r="BD74" i="24"/>
  <c r="BE74" i="24"/>
  <c r="BF74" i="24"/>
  <c r="BG74" i="24"/>
  <c r="BH74" i="24"/>
  <c r="BI74" i="24"/>
  <c r="BJ74" i="24"/>
  <c r="BK74" i="24"/>
  <c r="B75" i="24"/>
  <c r="C75" i="24"/>
  <c r="D75" i="24"/>
  <c r="E75" i="24"/>
  <c r="F75" i="24"/>
  <c r="G75" i="24"/>
  <c r="H75" i="24"/>
  <c r="I75" i="24"/>
  <c r="J75" i="24"/>
  <c r="K75" i="24"/>
  <c r="L75" i="24"/>
  <c r="M75" i="24"/>
  <c r="N75" i="24"/>
  <c r="O75" i="24"/>
  <c r="P75" i="24"/>
  <c r="Q75" i="24"/>
  <c r="R75" i="24"/>
  <c r="S75" i="24"/>
  <c r="T75" i="24"/>
  <c r="U75" i="24"/>
  <c r="V75" i="24"/>
  <c r="W75" i="24"/>
  <c r="X75" i="24"/>
  <c r="Y75" i="24"/>
  <c r="Z75" i="24"/>
  <c r="AA75" i="24"/>
  <c r="AB75" i="24"/>
  <c r="AC75" i="24"/>
  <c r="AD75" i="24"/>
  <c r="AE75" i="24"/>
  <c r="AF75" i="24"/>
  <c r="AG75" i="24"/>
  <c r="AH75" i="24"/>
  <c r="AI75" i="24"/>
  <c r="AJ75" i="24"/>
  <c r="AK75" i="24"/>
  <c r="AL75" i="24"/>
  <c r="AM75" i="24"/>
  <c r="AN75" i="24"/>
  <c r="AO75" i="24"/>
  <c r="AP75" i="24"/>
  <c r="AQ75" i="24"/>
  <c r="AR75" i="24"/>
  <c r="AS75" i="24"/>
  <c r="AT75" i="24"/>
  <c r="AU75" i="24"/>
  <c r="AV75" i="24"/>
  <c r="AW75" i="24"/>
  <c r="AX75" i="24"/>
  <c r="AY75" i="24"/>
  <c r="AZ75" i="24"/>
  <c r="BA75" i="24"/>
  <c r="BB75" i="24"/>
  <c r="BC75" i="24"/>
  <c r="BD75" i="24"/>
  <c r="BE75" i="24"/>
  <c r="BF75" i="24"/>
  <c r="BG75" i="24"/>
  <c r="BH75" i="24"/>
  <c r="BI75" i="24"/>
  <c r="BJ75" i="24"/>
  <c r="BK75" i="24"/>
  <c r="B76" i="24"/>
  <c r="C76" i="24"/>
  <c r="D76" i="24"/>
  <c r="E76" i="24"/>
  <c r="F76" i="24"/>
  <c r="G76" i="24"/>
  <c r="H76" i="24"/>
  <c r="I76" i="24"/>
  <c r="J76" i="24"/>
  <c r="K76" i="24"/>
  <c r="L76" i="24"/>
  <c r="M76" i="24"/>
  <c r="N76" i="24"/>
  <c r="O76" i="24"/>
  <c r="P76" i="24"/>
  <c r="Q76" i="24"/>
  <c r="R76" i="24"/>
  <c r="S76" i="24"/>
  <c r="T76" i="24"/>
  <c r="U76" i="24"/>
  <c r="V76" i="24"/>
  <c r="W76" i="24"/>
  <c r="X76" i="24"/>
  <c r="Y76" i="24"/>
  <c r="Z76" i="24"/>
  <c r="AA76" i="24"/>
  <c r="AB76" i="24"/>
  <c r="AC76" i="24"/>
  <c r="AD76" i="24"/>
  <c r="AE76" i="24"/>
  <c r="AF76" i="24"/>
  <c r="AG76" i="24"/>
  <c r="AH76" i="24"/>
  <c r="AI76" i="24"/>
  <c r="AJ76" i="24"/>
  <c r="AK76" i="24"/>
  <c r="AL76" i="24"/>
  <c r="AM76" i="24"/>
  <c r="AN76" i="24"/>
  <c r="AO76" i="24"/>
  <c r="AP76" i="24"/>
  <c r="AQ76" i="24"/>
  <c r="AR76" i="24"/>
  <c r="AS76" i="24"/>
  <c r="AT76" i="24"/>
  <c r="AU76" i="24"/>
  <c r="AV76" i="24"/>
  <c r="AW76" i="24"/>
  <c r="AX76" i="24"/>
  <c r="AY76" i="24"/>
  <c r="AZ76" i="24"/>
  <c r="BA76" i="24"/>
  <c r="BB76" i="24"/>
  <c r="BC76" i="24"/>
  <c r="BD76" i="24"/>
  <c r="BE76" i="24"/>
  <c r="BF76" i="24"/>
  <c r="BG76" i="24"/>
  <c r="BH76" i="24"/>
  <c r="BI76" i="24"/>
  <c r="BJ76" i="24"/>
  <c r="BK76" i="24"/>
  <c r="B77" i="24"/>
  <c r="C77" i="24"/>
  <c r="D77" i="24"/>
  <c r="E77" i="24"/>
  <c r="F77" i="24"/>
  <c r="G77" i="24"/>
  <c r="H77" i="24"/>
  <c r="I77" i="24"/>
  <c r="J77" i="24"/>
  <c r="K77" i="24"/>
  <c r="L77" i="24"/>
  <c r="M77" i="24"/>
  <c r="N77" i="24"/>
  <c r="O77" i="24"/>
  <c r="P77" i="24"/>
  <c r="Q77" i="24"/>
  <c r="R77" i="24"/>
  <c r="S77" i="24"/>
  <c r="T77" i="24"/>
  <c r="U77" i="24"/>
  <c r="V77" i="24"/>
  <c r="W77" i="24"/>
  <c r="X77" i="24"/>
  <c r="Y77" i="24"/>
  <c r="Z77" i="24"/>
  <c r="AA77" i="24"/>
  <c r="AB77" i="24"/>
  <c r="AC77" i="24"/>
  <c r="AD77" i="24"/>
  <c r="AE77" i="24"/>
  <c r="AF77" i="24"/>
  <c r="AG77" i="24"/>
  <c r="AH77" i="24"/>
  <c r="AI77" i="24"/>
  <c r="AJ77" i="24"/>
  <c r="AK77" i="24"/>
  <c r="AL77" i="24"/>
  <c r="AM77" i="24"/>
  <c r="AN77" i="24"/>
  <c r="AO77" i="24"/>
  <c r="AP77" i="24"/>
  <c r="AQ77" i="24"/>
  <c r="AR77" i="24"/>
  <c r="AS77" i="24"/>
  <c r="AT77" i="24"/>
  <c r="AU77" i="24"/>
  <c r="AV77" i="24"/>
  <c r="AW77" i="24"/>
  <c r="AX77" i="24"/>
  <c r="AY77" i="24"/>
  <c r="AZ77" i="24"/>
  <c r="BA77" i="24"/>
  <c r="BB77" i="24"/>
  <c r="BC77" i="24"/>
  <c r="BD77" i="24"/>
  <c r="BE77" i="24"/>
  <c r="BF77" i="24"/>
  <c r="BG77" i="24"/>
  <c r="BH77" i="24"/>
  <c r="BI77" i="24"/>
  <c r="BJ77" i="24"/>
  <c r="BK77" i="24"/>
  <c r="B78" i="24"/>
  <c r="C78" i="24"/>
  <c r="D78" i="24"/>
  <c r="E78" i="24"/>
  <c r="F78" i="24"/>
  <c r="G78" i="24"/>
  <c r="H78" i="24"/>
  <c r="I78" i="24"/>
  <c r="J78" i="24"/>
  <c r="K78" i="24"/>
  <c r="L78" i="24"/>
  <c r="M78" i="24"/>
  <c r="N78" i="24"/>
  <c r="O78" i="24"/>
  <c r="P78" i="24"/>
  <c r="Q78" i="24"/>
  <c r="R78" i="24"/>
  <c r="S78" i="24"/>
  <c r="T78" i="24"/>
  <c r="U78" i="24"/>
  <c r="V78" i="24"/>
  <c r="W78" i="24"/>
  <c r="X78" i="24"/>
  <c r="Y78" i="24"/>
  <c r="Z78" i="24"/>
  <c r="AA78" i="24"/>
  <c r="AB78" i="24"/>
  <c r="AC78" i="24"/>
  <c r="AD78" i="24"/>
  <c r="AE78" i="24"/>
  <c r="AF78" i="24"/>
  <c r="AG78" i="24"/>
  <c r="AH78" i="24"/>
  <c r="AI78" i="24"/>
  <c r="AJ78" i="24"/>
  <c r="AK78" i="24"/>
  <c r="AL78" i="24"/>
  <c r="AM78" i="24"/>
  <c r="AN78" i="24"/>
  <c r="AO78" i="24"/>
  <c r="AP78" i="24"/>
  <c r="AQ78" i="24"/>
  <c r="AR78" i="24"/>
  <c r="AS78" i="24"/>
  <c r="AT78" i="24"/>
  <c r="AU78" i="24"/>
  <c r="AV78" i="24"/>
  <c r="AW78" i="24"/>
  <c r="AX78" i="24"/>
  <c r="AY78" i="24"/>
  <c r="AZ78" i="24"/>
  <c r="BA78" i="24"/>
  <c r="BB78" i="24"/>
  <c r="BC78" i="24"/>
  <c r="BD78" i="24"/>
  <c r="BE78" i="24"/>
  <c r="BF78" i="24"/>
  <c r="BG78" i="24"/>
  <c r="BH78" i="24"/>
  <c r="BI78" i="24"/>
  <c r="BJ78" i="24"/>
  <c r="BK78" i="24"/>
  <c r="B79" i="24"/>
  <c r="C79" i="24"/>
  <c r="D79" i="24"/>
  <c r="E79" i="24"/>
  <c r="F79" i="24"/>
  <c r="G79" i="24"/>
  <c r="H79" i="24"/>
  <c r="I79" i="24"/>
  <c r="J79" i="24"/>
  <c r="K79" i="24"/>
  <c r="L79" i="24"/>
  <c r="M79" i="24"/>
  <c r="N79" i="24"/>
  <c r="O79" i="24"/>
  <c r="P79" i="24"/>
  <c r="Q79" i="24"/>
  <c r="R79" i="24"/>
  <c r="S79" i="24"/>
  <c r="T79" i="24"/>
  <c r="U79" i="24"/>
  <c r="V79" i="24"/>
  <c r="W79" i="24"/>
  <c r="X79" i="24"/>
  <c r="Y79" i="24"/>
  <c r="Z79" i="24"/>
  <c r="AA79" i="24"/>
  <c r="AB79" i="24"/>
  <c r="AC79" i="24"/>
  <c r="AD79" i="24"/>
  <c r="AE79" i="24"/>
  <c r="AF79" i="24"/>
  <c r="AG79" i="24"/>
  <c r="AH79" i="24"/>
  <c r="AI79" i="24"/>
  <c r="AJ79" i="24"/>
  <c r="AK79" i="24"/>
  <c r="AL79" i="24"/>
  <c r="AM79" i="24"/>
  <c r="AN79" i="24"/>
  <c r="AO79" i="24"/>
  <c r="AP79" i="24"/>
  <c r="AQ79" i="24"/>
  <c r="AR79" i="24"/>
  <c r="AS79" i="24"/>
  <c r="AT79" i="24"/>
  <c r="AU79" i="24"/>
  <c r="AV79" i="24"/>
  <c r="AW79" i="24"/>
  <c r="AX79" i="24"/>
  <c r="AY79" i="24"/>
  <c r="AZ79" i="24"/>
  <c r="BA79" i="24"/>
  <c r="BB79" i="24"/>
  <c r="BC79" i="24"/>
  <c r="BD79" i="24"/>
  <c r="BE79" i="24"/>
  <c r="BF79" i="24"/>
  <c r="BG79" i="24"/>
  <c r="BH79" i="24"/>
  <c r="BI79" i="24"/>
  <c r="BJ79" i="24"/>
  <c r="BK79" i="24"/>
  <c r="B80" i="24"/>
  <c r="C80" i="24"/>
  <c r="D80" i="24"/>
  <c r="E80" i="24"/>
  <c r="F80" i="24"/>
  <c r="G80" i="24"/>
  <c r="H80" i="24"/>
  <c r="I80" i="24"/>
  <c r="J80" i="24"/>
  <c r="K80" i="24"/>
  <c r="L80" i="24"/>
  <c r="M80" i="24"/>
  <c r="N80" i="24"/>
  <c r="O80" i="24"/>
  <c r="P80" i="24"/>
  <c r="Q80" i="24"/>
  <c r="R80" i="24"/>
  <c r="S80" i="24"/>
  <c r="T80" i="24"/>
  <c r="U80" i="24"/>
  <c r="V80" i="24"/>
  <c r="W80" i="24"/>
  <c r="X80" i="24"/>
  <c r="Y80" i="24"/>
  <c r="Z80" i="24"/>
  <c r="AA80" i="24"/>
  <c r="AB80" i="24"/>
  <c r="AC80" i="24"/>
  <c r="AD80" i="24"/>
  <c r="AE80" i="24"/>
  <c r="AF80" i="24"/>
  <c r="AG80" i="24"/>
  <c r="AH80" i="24"/>
  <c r="AI80" i="24"/>
  <c r="AJ80" i="24"/>
  <c r="AK80" i="24"/>
  <c r="AL80" i="24"/>
  <c r="AM80" i="24"/>
  <c r="AN80" i="24"/>
  <c r="AO80" i="24"/>
  <c r="AP80" i="24"/>
  <c r="AQ80" i="24"/>
  <c r="AR80" i="24"/>
  <c r="AS80" i="24"/>
  <c r="AT80" i="24"/>
  <c r="AU80" i="24"/>
  <c r="AV80" i="24"/>
  <c r="AW80" i="24"/>
  <c r="AX80" i="24"/>
  <c r="AY80" i="24"/>
  <c r="AZ80" i="24"/>
  <c r="BA80" i="24"/>
  <c r="BB80" i="24"/>
  <c r="BC80" i="24"/>
  <c r="BD80" i="24"/>
  <c r="BE80" i="24"/>
  <c r="BF80" i="24"/>
  <c r="BG80" i="24"/>
  <c r="BH80" i="24"/>
  <c r="BI80" i="24"/>
  <c r="BJ80" i="24"/>
  <c r="BK80" i="24"/>
  <c r="B81" i="24"/>
  <c r="C81" i="24"/>
  <c r="D81" i="24"/>
  <c r="E81" i="24"/>
  <c r="F81" i="24"/>
  <c r="G81" i="24"/>
  <c r="H81" i="24"/>
  <c r="I81" i="24"/>
  <c r="J81" i="24"/>
  <c r="K81" i="24"/>
  <c r="L81" i="24"/>
  <c r="M81" i="24"/>
  <c r="N81" i="24"/>
  <c r="O81" i="24"/>
  <c r="P81" i="24"/>
  <c r="Q81" i="24"/>
  <c r="R81" i="24"/>
  <c r="S81" i="24"/>
  <c r="T81" i="24"/>
  <c r="U81" i="24"/>
  <c r="V81" i="24"/>
  <c r="W81" i="24"/>
  <c r="X81" i="24"/>
  <c r="Y81" i="24"/>
  <c r="Z81" i="24"/>
  <c r="AA81" i="24"/>
  <c r="AB81" i="24"/>
  <c r="AC81" i="24"/>
  <c r="AD81" i="24"/>
  <c r="AE81" i="24"/>
  <c r="AF81" i="24"/>
  <c r="AG81" i="24"/>
  <c r="AH81" i="24"/>
  <c r="AI81" i="24"/>
  <c r="AJ81" i="24"/>
  <c r="AK81" i="24"/>
  <c r="AL81" i="24"/>
  <c r="AM81" i="24"/>
  <c r="AN81" i="24"/>
  <c r="AO81" i="24"/>
  <c r="AP81" i="24"/>
  <c r="AQ81" i="24"/>
  <c r="AR81" i="24"/>
  <c r="AS81" i="24"/>
  <c r="AT81" i="24"/>
  <c r="AU81" i="24"/>
  <c r="AV81" i="24"/>
  <c r="AW81" i="24"/>
  <c r="AX81" i="24"/>
  <c r="AY81" i="24"/>
  <c r="AZ81" i="24"/>
  <c r="BA81" i="24"/>
  <c r="BB81" i="24"/>
  <c r="BC81" i="24"/>
  <c r="BD81" i="24"/>
  <c r="BE81" i="24"/>
  <c r="BF81" i="24"/>
  <c r="BG81" i="24"/>
  <c r="BH81" i="24"/>
  <c r="BI81" i="24"/>
  <c r="BJ81" i="24"/>
  <c r="BK81" i="24"/>
  <c r="B82" i="24"/>
  <c r="C82" i="24"/>
  <c r="D82" i="24"/>
  <c r="E82" i="24"/>
  <c r="F82" i="24"/>
  <c r="G82" i="24"/>
  <c r="H82" i="24"/>
  <c r="I82" i="24"/>
  <c r="J82" i="24"/>
  <c r="K82" i="24"/>
  <c r="L82" i="24"/>
  <c r="M82" i="24"/>
  <c r="N82" i="24"/>
  <c r="O82" i="24"/>
  <c r="P82" i="24"/>
  <c r="Q82" i="24"/>
  <c r="R82" i="24"/>
  <c r="S82" i="24"/>
  <c r="T82" i="24"/>
  <c r="U82" i="24"/>
  <c r="V82" i="24"/>
  <c r="W82" i="24"/>
  <c r="X82" i="24"/>
  <c r="Y82" i="24"/>
  <c r="Z82" i="24"/>
  <c r="AA82" i="24"/>
  <c r="AB82" i="24"/>
  <c r="AC82" i="24"/>
  <c r="AD82" i="24"/>
  <c r="AE82" i="24"/>
  <c r="AF82" i="24"/>
  <c r="AG82" i="24"/>
  <c r="AH82" i="24"/>
  <c r="AI82" i="24"/>
  <c r="AJ82" i="24"/>
  <c r="AK82" i="24"/>
  <c r="AL82" i="24"/>
  <c r="AM82" i="24"/>
  <c r="AN82" i="24"/>
  <c r="AO82" i="24"/>
  <c r="AP82" i="24"/>
  <c r="AQ82" i="24"/>
  <c r="AR82" i="24"/>
  <c r="AS82" i="24"/>
  <c r="AT82" i="24"/>
  <c r="AU82" i="24"/>
  <c r="AV82" i="24"/>
  <c r="AW82" i="24"/>
  <c r="AX82" i="24"/>
  <c r="AY82" i="24"/>
  <c r="AZ82" i="24"/>
  <c r="BA82" i="24"/>
  <c r="BB82" i="24"/>
  <c r="BC82" i="24"/>
  <c r="BD82" i="24"/>
  <c r="BE82" i="24"/>
  <c r="BF82" i="24"/>
  <c r="BG82" i="24"/>
  <c r="BH82" i="24"/>
  <c r="BI82" i="24"/>
  <c r="BJ82" i="24"/>
  <c r="BK82" i="24"/>
  <c r="B83" i="24"/>
  <c r="C83" i="24"/>
  <c r="D83" i="24"/>
  <c r="E83" i="24"/>
  <c r="F83" i="24"/>
  <c r="G83" i="24"/>
  <c r="H83" i="24"/>
  <c r="I83" i="24"/>
  <c r="J83" i="24"/>
  <c r="K83" i="24"/>
  <c r="L83" i="24"/>
  <c r="M83" i="24"/>
  <c r="N83" i="24"/>
  <c r="O83" i="24"/>
  <c r="P83" i="24"/>
  <c r="Q83" i="24"/>
  <c r="R83" i="24"/>
  <c r="S83" i="24"/>
  <c r="T83" i="24"/>
  <c r="U83" i="24"/>
  <c r="V83" i="24"/>
  <c r="W83" i="24"/>
  <c r="X83" i="24"/>
  <c r="Y83" i="24"/>
  <c r="Z83" i="24"/>
  <c r="AA83" i="24"/>
  <c r="AB83" i="24"/>
  <c r="AC83" i="24"/>
  <c r="AD83" i="24"/>
  <c r="AE83" i="24"/>
  <c r="AF83" i="24"/>
  <c r="AG83" i="24"/>
  <c r="AH83" i="24"/>
  <c r="AI83" i="24"/>
  <c r="AJ83" i="24"/>
  <c r="AK83" i="24"/>
  <c r="AL83" i="24"/>
  <c r="AM83" i="24"/>
  <c r="AN83" i="24"/>
  <c r="AO83" i="24"/>
  <c r="AP83" i="24"/>
  <c r="AQ83" i="24"/>
  <c r="AR83" i="24"/>
  <c r="AS83" i="24"/>
  <c r="AT83" i="24"/>
  <c r="AU83" i="24"/>
  <c r="AV83" i="24"/>
  <c r="AW83" i="24"/>
  <c r="AX83" i="24"/>
  <c r="AY83" i="24"/>
  <c r="AZ83" i="24"/>
  <c r="BA83" i="24"/>
  <c r="BB83" i="24"/>
  <c r="BC83" i="24"/>
  <c r="BD83" i="24"/>
  <c r="BE83" i="24"/>
  <c r="BF83" i="24"/>
  <c r="BG83" i="24"/>
  <c r="BH83" i="24"/>
  <c r="BI83" i="24"/>
  <c r="BJ83" i="24"/>
  <c r="BK83" i="24"/>
  <c r="B84" i="24"/>
  <c r="C84" i="24"/>
  <c r="D84" i="24"/>
  <c r="E84" i="24"/>
  <c r="F84" i="24"/>
  <c r="G84" i="24"/>
  <c r="H84" i="24"/>
  <c r="I84" i="24"/>
  <c r="J84" i="24"/>
  <c r="K84" i="24"/>
  <c r="L84" i="24"/>
  <c r="M84" i="24"/>
  <c r="N84" i="24"/>
  <c r="O84" i="24"/>
  <c r="P84" i="24"/>
  <c r="Q84" i="24"/>
  <c r="R84" i="24"/>
  <c r="S84" i="24"/>
  <c r="T84" i="24"/>
  <c r="U84" i="24"/>
  <c r="V84" i="24"/>
  <c r="W84" i="24"/>
  <c r="X84" i="24"/>
  <c r="Y84" i="24"/>
  <c r="Z84" i="24"/>
  <c r="AA84" i="24"/>
  <c r="AB84" i="24"/>
  <c r="AC84" i="24"/>
  <c r="AD84" i="24"/>
  <c r="AE84" i="24"/>
  <c r="AF84" i="24"/>
  <c r="AG84" i="24"/>
  <c r="AH84" i="24"/>
  <c r="AI84" i="24"/>
  <c r="AJ84" i="24"/>
  <c r="AK84" i="24"/>
  <c r="AL84" i="24"/>
  <c r="AM84" i="24"/>
  <c r="AN84" i="24"/>
  <c r="AO84" i="24"/>
  <c r="AP84" i="24"/>
  <c r="AQ84" i="24"/>
  <c r="AR84" i="24"/>
  <c r="AS84" i="24"/>
  <c r="AT84" i="24"/>
  <c r="AU84" i="24"/>
  <c r="AV84" i="24"/>
  <c r="AW84" i="24"/>
  <c r="AX84" i="24"/>
  <c r="AY84" i="24"/>
  <c r="AZ84" i="24"/>
  <c r="BA84" i="24"/>
  <c r="BB84" i="24"/>
  <c r="BC84" i="24"/>
  <c r="BD84" i="24"/>
  <c r="BE84" i="24"/>
  <c r="BF84" i="24"/>
  <c r="BG84" i="24"/>
  <c r="BH84" i="24"/>
  <c r="BI84" i="24"/>
  <c r="BJ84" i="24"/>
  <c r="BK84" i="24"/>
  <c r="B85" i="24"/>
  <c r="C85" i="24"/>
  <c r="D85" i="24"/>
  <c r="E85" i="24"/>
  <c r="F85" i="24"/>
  <c r="G85" i="24"/>
  <c r="H85" i="24"/>
  <c r="I85" i="24"/>
  <c r="J85" i="24"/>
  <c r="K85" i="24"/>
  <c r="L85" i="24"/>
  <c r="M85" i="24"/>
  <c r="N85" i="24"/>
  <c r="O85" i="24"/>
  <c r="P85" i="24"/>
  <c r="Q85" i="24"/>
  <c r="R85" i="24"/>
  <c r="S85" i="24"/>
  <c r="T85" i="24"/>
  <c r="U85" i="24"/>
  <c r="V85" i="24"/>
  <c r="W85" i="24"/>
  <c r="X85" i="24"/>
  <c r="Y85" i="24"/>
  <c r="Z85" i="24"/>
  <c r="AA85" i="24"/>
  <c r="AB85" i="24"/>
  <c r="AC85" i="24"/>
  <c r="AD85" i="24"/>
  <c r="AE85" i="24"/>
  <c r="AF85" i="24"/>
  <c r="AG85" i="24"/>
  <c r="AH85" i="24"/>
  <c r="AI85" i="24"/>
  <c r="AJ85" i="24"/>
  <c r="AK85" i="24"/>
  <c r="AL85" i="24"/>
  <c r="AM85" i="24"/>
  <c r="AN85" i="24"/>
  <c r="AO85" i="24"/>
  <c r="AP85" i="24"/>
  <c r="AQ85" i="24"/>
  <c r="AR85" i="24"/>
  <c r="AS85" i="24"/>
  <c r="AT85" i="24"/>
  <c r="AU85" i="24"/>
  <c r="AV85" i="24"/>
  <c r="AW85" i="24"/>
  <c r="AX85" i="24"/>
  <c r="AY85" i="24"/>
  <c r="AZ85" i="24"/>
  <c r="BA85" i="24"/>
  <c r="BB85" i="24"/>
  <c r="BC85" i="24"/>
  <c r="BD85" i="24"/>
  <c r="BE85" i="24"/>
  <c r="BF85" i="24"/>
  <c r="BG85" i="24"/>
  <c r="BH85" i="24"/>
  <c r="BI85" i="24"/>
  <c r="BJ85" i="24"/>
  <c r="BK85" i="24"/>
  <c r="B86" i="24"/>
  <c r="C86" i="24"/>
  <c r="D86" i="24"/>
  <c r="E86" i="24"/>
  <c r="F86" i="24"/>
  <c r="G86" i="24"/>
  <c r="H86" i="24"/>
  <c r="I86" i="24"/>
  <c r="J86" i="24"/>
  <c r="K86" i="24"/>
  <c r="L86" i="24"/>
  <c r="M86" i="24"/>
  <c r="N86" i="24"/>
  <c r="O86" i="24"/>
  <c r="P86" i="24"/>
  <c r="Q86" i="24"/>
  <c r="R86" i="24"/>
  <c r="S86" i="24"/>
  <c r="T86" i="24"/>
  <c r="U86" i="24"/>
  <c r="V86" i="24"/>
  <c r="W86" i="24"/>
  <c r="X86" i="24"/>
  <c r="Y86" i="24"/>
  <c r="Z86" i="24"/>
  <c r="AA86" i="24"/>
  <c r="AB86" i="24"/>
  <c r="AC86" i="24"/>
  <c r="AD86" i="24"/>
  <c r="AE86" i="24"/>
  <c r="AF86" i="24"/>
  <c r="AG86" i="24"/>
  <c r="AH86" i="24"/>
  <c r="AI86" i="24"/>
  <c r="AJ86" i="24"/>
  <c r="AK86" i="24"/>
  <c r="AL86" i="24"/>
  <c r="AM86" i="24"/>
  <c r="AN86" i="24"/>
  <c r="AO86" i="24"/>
  <c r="AP86" i="24"/>
  <c r="AQ86" i="24"/>
  <c r="AR86" i="24"/>
  <c r="AS86" i="24"/>
  <c r="AT86" i="24"/>
  <c r="AU86" i="24"/>
  <c r="AV86" i="24"/>
  <c r="AW86" i="24"/>
  <c r="AX86" i="24"/>
  <c r="AY86" i="24"/>
  <c r="AZ86" i="24"/>
  <c r="BA86" i="24"/>
  <c r="BB86" i="24"/>
  <c r="BC86" i="24"/>
  <c r="BD86" i="24"/>
  <c r="BE86" i="24"/>
  <c r="BF86" i="24"/>
  <c r="BG86" i="24"/>
  <c r="BH86" i="24"/>
  <c r="BI86" i="24"/>
  <c r="BJ86" i="24"/>
  <c r="BK86" i="24"/>
  <c r="B87" i="24"/>
  <c r="C87" i="24"/>
  <c r="D87" i="24"/>
  <c r="E87" i="24"/>
  <c r="F87" i="24"/>
  <c r="G87" i="24"/>
  <c r="H87" i="24"/>
  <c r="I87" i="24"/>
  <c r="J87" i="24"/>
  <c r="K87" i="24"/>
  <c r="L87" i="24"/>
  <c r="M87" i="24"/>
  <c r="N87" i="24"/>
  <c r="O87" i="24"/>
  <c r="P87" i="24"/>
  <c r="Q87" i="24"/>
  <c r="R87" i="24"/>
  <c r="S87" i="24"/>
  <c r="T87" i="24"/>
  <c r="U87" i="24"/>
  <c r="V87" i="24"/>
  <c r="W87" i="24"/>
  <c r="X87" i="24"/>
  <c r="Y87" i="24"/>
  <c r="Z87" i="24"/>
  <c r="AA87" i="24"/>
  <c r="AB87" i="24"/>
  <c r="AC87" i="24"/>
  <c r="AD87" i="24"/>
  <c r="AE87" i="24"/>
  <c r="AF87" i="24"/>
  <c r="AG87" i="24"/>
  <c r="AH87" i="24"/>
  <c r="AI87" i="24"/>
  <c r="AJ87" i="24"/>
  <c r="AK87" i="24"/>
  <c r="AL87" i="24"/>
  <c r="AM87" i="24"/>
  <c r="AN87" i="24"/>
  <c r="AO87" i="24"/>
  <c r="AP87" i="24"/>
  <c r="AQ87" i="24"/>
  <c r="AR87" i="24"/>
  <c r="AS87" i="24"/>
  <c r="AT87" i="24"/>
  <c r="AU87" i="24"/>
  <c r="AV87" i="24"/>
  <c r="AW87" i="24"/>
  <c r="AX87" i="24"/>
  <c r="AY87" i="24"/>
  <c r="AZ87" i="24"/>
  <c r="BA87" i="24"/>
  <c r="BB87" i="24"/>
  <c r="BC87" i="24"/>
  <c r="BD87" i="24"/>
  <c r="BE87" i="24"/>
  <c r="BF87" i="24"/>
  <c r="BG87" i="24"/>
  <c r="BH87" i="24"/>
  <c r="BI87" i="24"/>
  <c r="BJ87" i="24"/>
  <c r="BK87" i="24"/>
  <c r="B88" i="24"/>
  <c r="C88" i="24"/>
  <c r="D88" i="24"/>
  <c r="E88" i="24"/>
  <c r="F88" i="24"/>
  <c r="G88" i="24"/>
  <c r="H88" i="24"/>
  <c r="I88" i="24"/>
  <c r="J88" i="24"/>
  <c r="K88" i="24"/>
  <c r="L88" i="24"/>
  <c r="M88" i="24"/>
  <c r="N88" i="24"/>
  <c r="O88" i="24"/>
  <c r="P88" i="24"/>
  <c r="Q88" i="24"/>
  <c r="R88" i="24"/>
  <c r="S88" i="24"/>
  <c r="T88" i="24"/>
  <c r="U88" i="24"/>
  <c r="V88" i="24"/>
  <c r="W88" i="24"/>
  <c r="X88" i="24"/>
  <c r="Y88" i="24"/>
  <c r="Z88" i="24"/>
  <c r="AA88" i="24"/>
  <c r="AB88" i="24"/>
  <c r="AC88" i="24"/>
  <c r="AD88" i="24"/>
  <c r="AE88" i="24"/>
  <c r="AF88" i="24"/>
  <c r="AG88" i="24"/>
  <c r="AH88" i="24"/>
  <c r="AI88" i="24"/>
  <c r="AJ88" i="24"/>
  <c r="AK88" i="24"/>
  <c r="AL88" i="24"/>
  <c r="AM88" i="24"/>
  <c r="AN88" i="24"/>
  <c r="AO88" i="24"/>
  <c r="AP88" i="24"/>
  <c r="AQ88" i="24"/>
  <c r="AR88" i="24"/>
  <c r="AS88" i="24"/>
  <c r="AT88" i="24"/>
  <c r="AU88" i="24"/>
  <c r="AV88" i="24"/>
  <c r="AW88" i="24"/>
  <c r="AX88" i="24"/>
  <c r="AY88" i="24"/>
  <c r="AZ88" i="24"/>
  <c r="BA88" i="24"/>
  <c r="BB88" i="24"/>
  <c r="BC88" i="24"/>
  <c r="BD88" i="24"/>
  <c r="BE88" i="24"/>
  <c r="BF88" i="24"/>
  <c r="BG88" i="24"/>
  <c r="BH88" i="24"/>
  <c r="BI88" i="24"/>
  <c r="BJ88" i="24"/>
  <c r="BK88" i="24"/>
  <c r="B89" i="24"/>
  <c r="C89" i="24"/>
  <c r="D89" i="24"/>
  <c r="E89" i="24"/>
  <c r="F89" i="24"/>
  <c r="G89" i="24"/>
  <c r="H89" i="24"/>
  <c r="I89" i="24"/>
  <c r="J89" i="24"/>
  <c r="K89" i="24"/>
  <c r="L89" i="24"/>
  <c r="M89" i="24"/>
  <c r="N89" i="24"/>
  <c r="O89" i="24"/>
  <c r="P89" i="24"/>
  <c r="Q89" i="24"/>
  <c r="R89" i="24"/>
  <c r="S89" i="24"/>
  <c r="T89" i="24"/>
  <c r="U89" i="24"/>
  <c r="V89" i="24"/>
  <c r="W89" i="24"/>
  <c r="X89" i="24"/>
  <c r="Y89" i="24"/>
  <c r="Z89" i="24"/>
  <c r="AA89" i="24"/>
  <c r="AB89" i="24"/>
  <c r="AC89" i="24"/>
  <c r="AD89" i="24"/>
  <c r="AE89" i="24"/>
  <c r="AF89" i="24"/>
  <c r="AG89" i="24"/>
  <c r="AH89" i="24"/>
  <c r="AI89" i="24"/>
  <c r="AJ89" i="24"/>
  <c r="AK89" i="24"/>
  <c r="AL89" i="24"/>
  <c r="AM89" i="24"/>
  <c r="AN89" i="24"/>
  <c r="AO89" i="24"/>
  <c r="AP89" i="24"/>
  <c r="AQ89" i="24"/>
  <c r="AR89" i="24"/>
  <c r="AS89" i="24"/>
  <c r="AT89" i="24"/>
  <c r="AU89" i="24"/>
  <c r="AV89" i="24"/>
  <c r="AW89" i="24"/>
  <c r="AX89" i="24"/>
  <c r="AY89" i="24"/>
  <c r="AZ89" i="24"/>
  <c r="BA89" i="24"/>
  <c r="BB89" i="24"/>
  <c r="BC89" i="24"/>
  <c r="BD89" i="24"/>
  <c r="BE89" i="24"/>
  <c r="BF89" i="24"/>
  <c r="BG89" i="24"/>
  <c r="BH89" i="24"/>
  <c r="BI89" i="24"/>
  <c r="BJ89" i="24"/>
  <c r="BK89" i="24"/>
  <c r="B90" i="24"/>
  <c r="C90" i="24"/>
  <c r="D90" i="24"/>
  <c r="E90" i="24"/>
  <c r="F90" i="24"/>
  <c r="G90" i="24"/>
  <c r="H90" i="24"/>
  <c r="I90" i="24"/>
  <c r="J90" i="24"/>
  <c r="K90" i="24"/>
  <c r="L90" i="24"/>
  <c r="M90" i="24"/>
  <c r="N90" i="24"/>
  <c r="O90" i="24"/>
  <c r="P90" i="24"/>
  <c r="Q90" i="24"/>
  <c r="R90" i="24"/>
  <c r="S90" i="24"/>
  <c r="T90" i="24"/>
  <c r="U90" i="24"/>
  <c r="V90" i="24"/>
  <c r="W90" i="24"/>
  <c r="X90" i="24"/>
  <c r="Y90" i="24"/>
  <c r="Z90" i="24"/>
  <c r="AA90" i="24"/>
  <c r="AB90" i="24"/>
  <c r="AC90" i="24"/>
  <c r="AD90" i="24"/>
  <c r="AE90" i="24"/>
  <c r="AF90" i="24"/>
  <c r="AG90" i="24"/>
  <c r="AH90" i="24"/>
  <c r="AI90" i="24"/>
  <c r="AJ90" i="24"/>
  <c r="AK90" i="24"/>
  <c r="AL90" i="24"/>
  <c r="AM90" i="24"/>
  <c r="AN90" i="24"/>
  <c r="AO90" i="24"/>
  <c r="AP90" i="24"/>
  <c r="AQ90" i="24"/>
  <c r="AR90" i="24"/>
  <c r="AS90" i="24"/>
  <c r="AT90" i="24"/>
  <c r="AU90" i="24"/>
  <c r="AV90" i="24"/>
  <c r="AW90" i="24"/>
  <c r="AX90" i="24"/>
  <c r="AY90" i="24"/>
  <c r="AZ90" i="24"/>
  <c r="BA90" i="24"/>
  <c r="BB90" i="24"/>
  <c r="BC90" i="24"/>
  <c r="BD90" i="24"/>
  <c r="BE90" i="24"/>
  <c r="BF90" i="24"/>
  <c r="BG90" i="24"/>
  <c r="BH90" i="24"/>
  <c r="BI90" i="24"/>
  <c r="BJ90" i="24"/>
  <c r="BK90" i="24"/>
  <c r="B91" i="24"/>
  <c r="C91" i="24"/>
  <c r="D91" i="24"/>
  <c r="E91" i="24"/>
  <c r="F91" i="24"/>
  <c r="G91" i="24"/>
  <c r="H91" i="24"/>
  <c r="I91" i="24"/>
  <c r="J91" i="24"/>
  <c r="K91" i="24"/>
  <c r="L91" i="24"/>
  <c r="M91" i="24"/>
  <c r="N91" i="24"/>
  <c r="O91" i="24"/>
  <c r="P91" i="24"/>
  <c r="Q91" i="24"/>
  <c r="R91" i="24"/>
  <c r="S91" i="24"/>
  <c r="T91" i="24"/>
  <c r="U91" i="24"/>
  <c r="V91" i="24"/>
  <c r="W91" i="24"/>
  <c r="X91" i="24"/>
  <c r="Y91" i="24"/>
  <c r="Z91" i="24"/>
  <c r="AA91" i="24"/>
  <c r="AB91" i="24"/>
  <c r="AC91" i="24"/>
  <c r="AD91" i="24"/>
  <c r="AE91" i="24"/>
  <c r="AF91" i="24"/>
  <c r="AG91" i="24"/>
  <c r="AH91" i="24"/>
  <c r="AI91" i="24"/>
  <c r="AJ91" i="24"/>
  <c r="AK91" i="24"/>
  <c r="AL91" i="24"/>
  <c r="AM91" i="24"/>
  <c r="AN91" i="24"/>
  <c r="AO91" i="24"/>
  <c r="AP91" i="24"/>
  <c r="AQ91" i="24"/>
  <c r="AR91" i="24"/>
  <c r="AS91" i="24"/>
  <c r="AT91" i="24"/>
  <c r="AU91" i="24"/>
  <c r="AV91" i="24"/>
  <c r="AW91" i="24"/>
  <c r="AX91" i="24"/>
  <c r="AY91" i="24"/>
  <c r="AZ91" i="24"/>
  <c r="BA91" i="24"/>
  <c r="BB91" i="24"/>
  <c r="BC91" i="24"/>
  <c r="BD91" i="24"/>
  <c r="BE91" i="24"/>
  <c r="BF91" i="24"/>
  <c r="BG91" i="24"/>
  <c r="BH91" i="24"/>
  <c r="BI91" i="24"/>
  <c r="BJ91" i="24"/>
  <c r="BK91" i="24"/>
  <c r="B92" i="24"/>
  <c r="C92" i="24"/>
  <c r="D92" i="24"/>
  <c r="E92" i="24"/>
  <c r="F92" i="24"/>
  <c r="G92" i="24"/>
  <c r="H92" i="24"/>
  <c r="I92" i="24"/>
  <c r="J92" i="24"/>
  <c r="K92" i="24"/>
  <c r="L92" i="24"/>
  <c r="M92" i="24"/>
  <c r="N92" i="24"/>
  <c r="O92" i="24"/>
  <c r="P92" i="24"/>
  <c r="Q92" i="24"/>
  <c r="R92" i="24"/>
  <c r="S92" i="24"/>
  <c r="T92" i="24"/>
  <c r="U92" i="24"/>
  <c r="V92" i="24"/>
  <c r="W92" i="24"/>
  <c r="X92" i="24"/>
  <c r="Y92" i="24"/>
  <c r="Z92" i="24"/>
  <c r="AA92" i="24"/>
  <c r="AB92" i="24"/>
  <c r="AC92" i="24"/>
  <c r="AD92" i="24"/>
  <c r="AE92" i="24"/>
  <c r="AF92" i="24"/>
  <c r="AG92" i="24"/>
  <c r="AH92" i="24"/>
  <c r="AI92" i="24"/>
  <c r="AJ92" i="24"/>
  <c r="AK92" i="24"/>
  <c r="AL92" i="24"/>
  <c r="AM92" i="24"/>
  <c r="AN92" i="24"/>
  <c r="AO92" i="24"/>
  <c r="AP92" i="24"/>
  <c r="AQ92" i="24"/>
  <c r="AR92" i="24"/>
  <c r="AS92" i="24"/>
  <c r="AT92" i="24"/>
  <c r="AU92" i="24"/>
  <c r="AV92" i="24"/>
  <c r="AW92" i="24"/>
  <c r="AX92" i="24"/>
  <c r="AY92" i="24"/>
  <c r="AZ92" i="24"/>
  <c r="BA92" i="24"/>
  <c r="BB92" i="24"/>
  <c r="BC92" i="24"/>
  <c r="BD92" i="24"/>
  <c r="BE92" i="24"/>
  <c r="BF92" i="24"/>
  <c r="BG92" i="24"/>
  <c r="BH92" i="24"/>
  <c r="BI92" i="24"/>
  <c r="BJ92" i="24"/>
  <c r="BK92" i="24"/>
  <c r="B93" i="24"/>
  <c r="C93" i="24"/>
  <c r="D93" i="24"/>
  <c r="E93" i="24"/>
  <c r="F93" i="24"/>
  <c r="G93" i="24"/>
  <c r="H93" i="24"/>
  <c r="I93" i="24"/>
  <c r="J93" i="24"/>
  <c r="K93" i="24"/>
  <c r="L93" i="24"/>
  <c r="M93" i="24"/>
  <c r="N93" i="24"/>
  <c r="O93" i="24"/>
  <c r="P93" i="24"/>
  <c r="Q93" i="24"/>
  <c r="R93" i="24"/>
  <c r="S93" i="24"/>
  <c r="T93" i="24"/>
  <c r="U93" i="24"/>
  <c r="V93" i="24"/>
  <c r="W93" i="24"/>
  <c r="X93" i="24"/>
  <c r="Y93" i="24"/>
  <c r="Z93" i="24"/>
  <c r="AA93" i="24"/>
  <c r="AB93" i="24"/>
  <c r="AC93" i="24"/>
  <c r="AD93" i="24"/>
  <c r="AE93" i="24"/>
  <c r="AF93" i="24"/>
  <c r="AG93" i="24"/>
  <c r="AH93" i="24"/>
  <c r="AI93" i="24"/>
  <c r="AJ93" i="24"/>
  <c r="AK93" i="24"/>
  <c r="AL93" i="24"/>
  <c r="AM93" i="24"/>
  <c r="AN93" i="24"/>
  <c r="AO93" i="24"/>
  <c r="AP93" i="24"/>
  <c r="AQ93" i="24"/>
  <c r="AR93" i="24"/>
  <c r="AS93" i="24"/>
  <c r="AT93" i="24"/>
  <c r="AU93" i="24"/>
  <c r="AV93" i="24"/>
  <c r="AW93" i="24"/>
  <c r="AX93" i="24"/>
  <c r="AY93" i="24"/>
  <c r="AZ93" i="24"/>
  <c r="BA93" i="24"/>
  <c r="BB93" i="24"/>
  <c r="BC93" i="24"/>
  <c r="BD93" i="24"/>
  <c r="BE93" i="24"/>
  <c r="BF93" i="24"/>
  <c r="BG93" i="24"/>
  <c r="BH93" i="24"/>
  <c r="BI93" i="24"/>
  <c r="BJ93" i="24"/>
  <c r="BK93" i="24"/>
  <c r="B94" i="24"/>
  <c r="C94" i="24"/>
  <c r="D94" i="24"/>
  <c r="E94" i="24"/>
  <c r="F94" i="24"/>
  <c r="G94" i="24"/>
  <c r="H94" i="24"/>
  <c r="I94" i="24"/>
  <c r="J94" i="24"/>
  <c r="K94" i="24"/>
  <c r="L94" i="24"/>
  <c r="M94" i="24"/>
  <c r="N94" i="24"/>
  <c r="O94" i="24"/>
  <c r="P94" i="24"/>
  <c r="Q94" i="24"/>
  <c r="R94" i="24"/>
  <c r="S94" i="24"/>
  <c r="T94" i="24"/>
  <c r="U94" i="24"/>
  <c r="V94" i="24"/>
  <c r="W94" i="24"/>
  <c r="X94" i="24"/>
  <c r="Y94" i="24"/>
  <c r="Z94" i="24"/>
  <c r="AA94" i="24"/>
  <c r="AB94" i="24"/>
  <c r="AC94" i="24"/>
  <c r="AD94" i="24"/>
  <c r="AE94" i="24"/>
  <c r="AF94" i="24"/>
  <c r="AG94" i="24"/>
  <c r="AH94" i="24"/>
  <c r="AI94" i="24"/>
  <c r="AJ94" i="24"/>
  <c r="AK94" i="24"/>
  <c r="AL94" i="24"/>
  <c r="AM94" i="24"/>
  <c r="AN94" i="24"/>
  <c r="AO94" i="24"/>
  <c r="AP94" i="24"/>
  <c r="AQ94" i="24"/>
  <c r="AR94" i="24"/>
  <c r="AS94" i="24"/>
  <c r="AT94" i="24"/>
  <c r="AU94" i="24"/>
  <c r="AV94" i="24"/>
  <c r="AW94" i="24"/>
  <c r="AX94" i="24"/>
  <c r="AY94" i="24"/>
  <c r="AZ94" i="24"/>
  <c r="BA94" i="24"/>
  <c r="BB94" i="24"/>
  <c r="BC94" i="24"/>
  <c r="BD94" i="24"/>
  <c r="BE94" i="24"/>
  <c r="BF94" i="24"/>
  <c r="BG94" i="24"/>
  <c r="BH94" i="24"/>
  <c r="BI94" i="24"/>
  <c r="BJ94" i="24"/>
  <c r="BK94" i="24"/>
  <c r="B95" i="24"/>
  <c r="C95" i="24"/>
  <c r="D95" i="24"/>
  <c r="E95" i="24"/>
  <c r="F95" i="24"/>
  <c r="G95" i="24"/>
  <c r="H95" i="24"/>
  <c r="I95" i="24"/>
  <c r="J95" i="24"/>
  <c r="K95" i="24"/>
  <c r="L95" i="24"/>
  <c r="M95" i="24"/>
  <c r="N95" i="24"/>
  <c r="O95" i="24"/>
  <c r="P95" i="24"/>
  <c r="Q95" i="24"/>
  <c r="R95" i="24"/>
  <c r="S95" i="24"/>
  <c r="T95" i="24"/>
  <c r="U95" i="24"/>
  <c r="V95" i="24"/>
  <c r="W95" i="24"/>
  <c r="X95" i="24"/>
  <c r="Y95" i="24"/>
  <c r="Z95" i="24"/>
  <c r="AA95" i="24"/>
  <c r="AB95" i="24"/>
  <c r="AC95" i="24"/>
  <c r="AD95" i="24"/>
  <c r="AE95" i="24"/>
  <c r="AF95" i="24"/>
  <c r="AG95" i="24"/>
  <c r="AH95" i="24"/>
  <c r="AI95" i="24"/>
  <c r="AJ95" i="24"/>
  <c r="AK95" i="24"/>
  <c r="AL95" i="24"/>
  <c r="AM95" i="24"/>
  <c r="AN95" i="24"/>
  <c r="AO95" i="24"/>
  <c r="AP95" i="24"/>
  <c r="AQ95" i="24"/>
  <c r="AR95" i="24"/>
  <c r="AS95" i="24"/>
  <c r="AT95" i="24"/>
  <c r="AU95" i="24"/>
  <c r="AV95" i="24"/>
  <c r="AW95" i="24"/>
  <c r="AX95" i="24"/>
  <c r="AY95" i="24"/>
  <c r="AZ95" i="24"/>
  <c r="BA95" i="24"/>
  <c r="BB95" i="24"/>
  <c r="BC95" i="24"/>
  <c r="BD95" i="24"/>
  <c r="BE95" i="24"/>
  <c r="BF95" i="24"/>
  <c r="BG95" i="24"/>
  <c r="BH95" i="24"/>
  <c r="BI95" i="24"/>
  <c r="BJ95" i="24"/>
  <c r="BK95" i="24"/>
  <c r="B96" i="24"/>
  <c r="C96" i="24"/>
  <c r="D96" i="24"/>
  <c r="E96" i="24"/>
  <c r="F96" i="24"/>
  <c r="G96" i="24"/>
  <c r="H96" i="24"/>
  <c r="I96" i="24"/>
  <c r="J96" i="24"/>
  <c r="K96" i="24"/>
  <c r="L96" i="24"/>
  <c r="M96" i="24"/>
  <c r="N96" i="24"/>
  <c r="O96" i="24"/>
  <c r="P96" i="24"/>
  <c r="Q96" i="24"/>
  <c r="R96" i="24"/>
  <c r="S96" i="24"/>
  <c r="T96" i="24"/>
  <c r="U96" i="24"/>
  <c r="V96" i="24"/>
  <c r="W96" i="24"/>
  <c r="X96" i="24"/>
  <c r="Y96" i="24"/>
  <c r="Z96" i="24"/>
  <c r="AA96" i="24"/>
  <c r="AB96" i="24"/>
  <c r="AC96" i="24"/>
  <c r="AD96" i="24"/>
  <c r="AE96" i="24"/>
  <c r="AF96" i="24"/>
  <c r="AG96" i="24"/>
  <c r="AH96" i="24"/>
  <c r="AI96" i="24"/>
  <c r="AJ96" i="24"/>
  <c r="AK96" i="24"/>
  <c r="AL96" i="24"/>
  <c r="AM96" i="24"/>
  <c r="AN96" i="24"/>
  <c r="AO96" i="24"/>
  <c r="AP96" i="24"/>
  <c r="AQ96" i="24"/>
  <c r="AR96" i="24"/>
  <c r="AS96" i="24"/>
  <c r="AT96" i="24"/>
  <c r="AU96" i="24"/>
  <c r="AV96" i="24"/>
  <c r="AW96" i="24"/>
  <c r="AX96" i="24"/>
  <c r="AY96" i="24"/>
  <c r="AZ96" i="24"/>
  <c r="BA96" i="24"/>
  <c r="BB96" i="24"/>
  <c r="BC96" i="24"/>
  <c r="BD96" i="24"/>
  <c r="BE96" i="24"/>
  <c r="BF96" i="24"/>
  <c r="BG96" i="24"/>
  <c r="BH96" i="24"/>
  <c r="BI96" i="24"/>
  <c r="BJ96" i="24"/>
  <c r="BK96" i="24"/>
  <c r="B97" i="24"/>
  <c r="C97" i="24"/>
  <c r="D97" i="24"/>
  <c r="E97" i="24"/>
  <c r="F97" i="24"/>
  <c r="G97" i="24"/>
  <c r="H97" i="24"/>
  <c r="I97" i="24"/>
  <c r="J97" i="24"/>
  <c r="K97" i="24"/>
  <c r="L97" i="24"/>
  <c r="M97" i="24"/>
  <c r="N97" i="24"/>
  <c r="O97" i="24"/>
  <c r="P97" i="24"/>
  <c r="Q97" i="24"/>
  <c r="R97" i="24"/>
  <c r="S97" i="24"/>
  <c r="T97" i="24"/>
  <c r="U97" i="24"/>
  <c r="V97" i="24"/>
  <c r="W97" i="24"/>
  <c r="X97" i="24"/>
  <c r="Y97" i="24"/>
  <c r="Z97" i="24"/>
  <c r="AA97" i="24"/>
  <c r="AB97" i="24"/>
  <c r="AC97" i="24"/>
  <c r="AD97" i="24"/>
  <c r="AE97" i="24"/>
  <c r="AF97" i="24"/>
  <c r="AG97" i="24"/>
  <c r="AH97" i="24"/>
  <c r="AI97" i="24"/>
  <c r="AJ97" i="24"/>
  <c r="AK97" i="24"/>
  <c r="AL97" i="24"/>
  <c r="AM97" i="24"/>
  <c r="AN97" i="24"/>
  <c r="AO97" i="24"/>
  <c r="AP97" i="24"/>
  <c r="AQ97" i="24"/>
  <c r="AR97" i="24"/>
  <c r="AS97" i="24"/>
  <c r="AT97" i="24"/>
  <c r="AU97" i="24"/>
  <c r="AV97" i="24"/>
  <c r="AW97" i="24"/>
  <c r="AX97" i="24"/>
  <c r="AY97" i="24"/>
  <c r="AZ97" i="24"/>
  <c r="BA97" i="24"/>
  <c r="BB97" i="24"/>
  <c r="BC97" i="24"/>
  <c r="BD97" i="24"/>
  <c r="BE97" i="24"/>
  <c r="BF97" i="24"/>
  <c r="BG97" i="24"/>
  <c r="BH97" i="24"/>
  <c r="BI97" i="24"/>
  <c r="BJ97" i="24"/>
  <c r="BK97" i="24"/>
  <c r="B98" i="24"/>
  <c r="C98" i="24"/>
  <c r="D98" i="24"/>
  <c r="E98" i="24"/>
  <c r="F98" i="24"/>
  <c r="G98" i="24"/>
  <c r="H98" i="24"/>
  <c r="I98" i="24"/>
  <c r="J98" i="24"/>
  <c r="K98" i="24"/>
  <c r="L98" i="24"/>
  <c r="M98" i="24"/>
  <c r="N98" i="24"/>
  <c r="O98" i="24"/>
  <c r="P98" i="24"/>
  <c r="Q98" i="24"/>
  <c r="R98" i="24"/>
  <c r="S98" i="24"/>
  <c r="T98" i="24"/>
  <c r="U98" i="24"/>
  <c r="V98" i="24"/>
  <c r="W98" i="24"/>
  <c r="X98" i="24"/>
  <c r="Y98" i="24"/>
  <c r="Z98" i="24"/>
  <c r="AA98" i="24"/>
  <c r="AB98" i="24"/>
  <c r="AC98" i="24"/>
  <c r="AD98" i="24"/>
  <c r="AE98" i="24"/>
  <c r="AF98" i="24"/>
  <c r="AG98" i="24"/>
  <c r="AH98" i="24"/>
  <c r="AI98" i="24"/>
  <c r="AJ98" i="24"/>
  <c r="AK98" i="24"/>
  <c r="AL98" i="24"/>
  <c r="AM98" i="24"/>
  <c r="AN98" i="24"/>
  <c r="AO98" i="24"/>
  <c r="AP98" i="24"/>
  <c r="AQ98" i="24"/>
  <c r="AR98" i="24"/>
  <c r="AS98" i="24"/>
  <c r="AT98" i="24"/>
  <c r="AU98" i="24"/>
  <c r="AV98" i="24"/>
  <c r="AW98" i="24"/>
  <c r="AX98" i="24"/>
  <c r="AY98" i="24"/>
  <c r="AZ98" i="24"/>
  <c r="BA98" i="24"/>
  <c r="BB98" i="24"/>
  <c r="BC98" i="24"/>
  <c r="BD98" i="24"/>
  <c r="BE98" i="24"/>
  <c r="BF98" i="24"/>
  <c r="BG98" i="24"/>
  <c r="BH98" i="24"/>
  <c r="BI98" i="24"/>
  <c r="BJ98" i="24"/>
  <c r="BK98" i="24"/>
  <c r="B99" i="24"/>
  <c r="C99" i="24"/>
  <c r="D99" i="24"/>
  <c r="E99" i="24"/>
  <c r="F99" i="24"/>
  <c r="G99" i="24"/>
  <c r="H99" i="24"/>
  <c r="I99" i="24"/>
  <c r="J99" i="24"/>
  <c r="K99" i="24"/>
  <c r="L99" i="24"/>
  <c r="M99" i="24"/>
  <c r="N99" i="24"/>
  <c r="O99" i="24"/>
  <c r="P99" i="24"/>
  <c r="Q99" i="24"/>
  <c r="R99" i="24"/>
  <c r="S99" i="24"/>
  <c r="T99" i="24"/>
  <c r="U99" i="24"/>
  <c r="V99" i="24"/>
  <c r="W99" i="24"/>
  <c r="X99" i="24"/>
  <c r="Y99" i="24"/>
  <c r="Z99" i="24"/>
  <c r="AA99" i="24"/>
  <c r="AB99" i="24"/>
  <c r="AC99" i="24"/>
  <c r="AD99" i="24"/>
  <c r="AE99" i="24"/>
  <c r="AF99" i="24"/>
  <c r="AG99" i="24"/>
  <c r="AH99" i="24"/>
  <c r="AI99" i="24"/>
  <c r="AJ99" i="24"/>
  <c r="AK99" i="24"/>
  <c r="AL99" i="24"/>
  <c r="AM99" i="24"/>
  <c r="AN99" i="24"/>
  <c r="AO99" i="24"/>
  <c r="AP99" i="24"/>
  <c r="AQ99" i="24"/>
  <c r="AR99" i="24"/>
  <c r="AS99" i="24"/>
  <c r="AT99" i="24"/>
  <c r="AU99" i="24"/>
  <c r="AV99" i="24"/>
  <c r="AW99" i="24"/>
  <c r="AX99" i="24"/>
  <c r="AY99" i="24"/>
  <c r="AZ99" i="24"/>
  <c r="BA99" i="24"/>
  <c r="BB99" i="24"/>
  <c r="BC99" i="24"/>
  <c r="BD99" i="24"/>
  <c r="BE99" i="24"/>
  <c r="BF99" i="24"/>
  <c r="BG99" i="24"/>
  <c r="BH99" i="24"/>
  <c r="BI99" i="24"/>
  <c r="BJ99" i="24"/>
  <c r="BK99" i="24"/>
  <c r="B100" i="24"/>
  <c r="C100" i="24"/>
  <c r="D100" i="24"/>
  <c r="E100" i="24"/>
  <c r="F100" i="24"/>
  <c r="G100" i="24"/>
  <c r="H100" i="24"/>
  <c r="I100" i="24"/>
  <c r="J100" i="24"/>
  <c r="K100" i="24"/>
  <c r="L100" i="24"/>
  <c r="M100" i="24"/>
  <c r="N100" i="24"/>
  <c r="O100" i="24"/>
  <c r="P100" i="24"/>
  <c r="Q100" i="24"/>
  <c r="R100" i="24"/>
  <c r="S100" i="24"/>
  <c r="T100" i="24"/>
  <c r="U100" i="24"/>
  <c r="V100" i="24"/>
  <c r="W100" i="24"/>
  <c r="X100" i="24"/>
  <c r="Y100" i="24"/>
  <c r="Z100" i="24"/>
  <c r="AA100" i="24"/>
  <c r="AB100" i="24"/>
  <c r="AC100" i="24"/>
  <c r="AD100" i="24"/>
  <c r="AE100" i="24"/>
  <c r="AF100" i="24"/>
  <c r="AG100" i="24"/>
  <c r="AH100" i="24"/>
  <c r="AI100" i="24"/>
  <c r="AJ100" i="24"/>
  <c r="AK100" i="24"/>
  <c r="AL100" i="24"/>
  <c r="AM100" i="24"/>
  <c r="AN100" i="24"/>
  <c r="AO100" i="24"/>
  <c r="AP100" i="24"/>
  <c r="AQ100" i="24"/>
  <c r="AR100" i="24"/>
  <c r="AS100" i="24"/>
  <c r="AT100" i="24"/>
  <c r="AU100" i="24"/>
  <c r="AV100" i="24"/>
  <c r="AW100" i="24"/>
  <c r="AX100" i="24"/>
  <c r="AY100" i="24"/>
  <c r="AZ100" i="24"/>
  <c r="BA100" i="24"/>
  <c r="BB100" i="24"/>
  <c r="BC100" i="24"/>
  <c r="BD100" i="24"/>
  <c r="BE100" i="24"/>
  <c r="BF100" i="24"/>
  <c r="BG100" i="24"/>
  <c r="BH100" i="24"/>
  <c r="BI100" i="24"/>
  <c r="BJ100" i="24"/>
  <c r="BK100" i="24"/>
  <c r="B101" i="24"/>
  <c r="C101" i="24"/>
  <c r="D101" i="24"/>
  <c r="E101" i="24"/>
  <c r="F101" i="24"/>
  <c r="G101" i="24"/>
  <c r="H101" i="24"/>
  <c r="I101" i="24"/>
  <c r="J101" i="24"/>
  <c r="K101" i="24"/>
  <c r="L101" i="24"/>
  <c r="M101" i="24"/>
  <c r="N101" i="24"/>
  <c r="O101" i="24"/>
  <c r="P101" i="24"/>
  <c r="Q101" i="24"/>
  <c r="R101" i="24"/>
  <c r="S101" i="24"/>
  <c r="T101" i="24"/>
  <c r="U101" i="24"/>
  <c r="V101" i="24"/>
  <c r="W101" i="24"/>
  <c r="X101" i="24"/>
  <c r="Y101" i="24"/>
  <c r="Z101" i="24"/>
  <c r="AA101" i="24"/>
  <c r="AB101" i="24"/>
  <c r="AC101" i="24"/>
  <c r="AD101" i="24"/>
  <c r="AE101" i="24"/>
  <c r="AF101" i="24"/>
  <c r="AG101" i="24"/>
  <c r="AH101" i="24"/>
  <c r="AI101" i="24"/>
  <c r="AJ101" i="24"/>
  <c r="AK101" i="24"/>
  <c r="AL101" i="24"/>
  <c r="AM101" i="24"/>
  <c r="AN101" i="24"/>
  <c r="AO101" i="24"/>
  <c r="AP101" i="24"/>
  <c r="AQ101" i="24"/>
  <c r="AR101" i="24"/>
  <c r="AS101" i="24"/>
  <c r="AT101" i="24"/>
  <c r="AU101" i="24"/>
  <c r="AV101" i="24"/>
  <c r="AW101" i="24"/>
  <c r="AX101" i="24"/>
  <c r="AY101" i="24"/>
  <c r="AZ101" i="24"/>
  <c r="BA101" i="24"/>
  <c r="BB101" i="24"/>
  <c r="BC101" i="24"/>
  <c r="BD101" i="24"/>
  <c r="BE101" i="24"/>
  <c r="BF101" i="24"/>
  <c r="BG101" i="24"/>
  <c r="BH101" i="24"/>
  <c r="BI101" i="24"/>
  <c r="BJ101" i="24"/>
  <c r="BK101" i="24"/>
  <c r="B102" i="24"/>
  <c r="C102" i="24"/>
  <c r="D102" i="24"/>
  <c r="E102" i="24"/>
  <c r="F102" i="24"/>
  <c r="G102" i="24"/>
  <c r="H102" i="24"/>
  <c r="I102" i="24"/>
  <c r="J102" i="24"/>
  <c r="K102" i="24"/>
  <c r="L102" i="24"/>
  <c r="M102" i="24"/>
  <c r="N102" i="24"/>
  <c r="O102" i="24"/>
  <c r="P102" i="24"/>
  <c r="Q102" i="24"/>
  <c r="R102" i="24"/>
  <c r="S102" i="24"/>
  <c r="T102" i="24"/>
  <c r="U102" i="24"/>
  <c r="V102" i="24"/>
  <c r="W102" i="24"/>
  <c r="X102" i="24"/>
  <c r="Y102" i="24"/>
  <c r="Z102" i="24"/>
  <c r="AA102" i="24"/>
  <c r="AB102" i="24"/>
  <c r="AC102" i="24"/>
  <c r="AD102" i="24"/>
  <c r="AE102" i="24"/>
  <c r="AF102" i="24"/>
  <c r="AG102" i="24"/>
  <c r="AH102" i="24"/>
  <c r="AI102" i="24"/>
  <c r="AJ102" i="24"/>
  <c r="AK102" i="24"/>
  <c r="AL102" i="24"/>
  <c r="AM102" i="24"/>
  <c r="AN102" i="24"/>
  <c r="AO102" i="24"/>
  <c r="AP102" i="24"/>
  <c r="AQ102" i="24"/>
  <c r="AR102" i="24"/>
  <c r="AS102" i="24"/>
  <c r="AT102" i="24"/>
  <c r="AU102" i="24"/>
  <c r="AV102" i="24"/>
  <c r="AW102" i="24"/>
  <c r="AX102" i="24"/>
  <c r="AY102" i="24"/>
  <c r="AZ102" i="24"/>
  <c r="BA102" i="24"/>
  <c r="BB102" i="24"/>
  <c r="BC102" i="24"/>
  <c r="BD102" i="24"/>
  <c r="BE102" i="24"/>
  <c r="BF102" i="24"/>
  <c r="BG102" i="24"/>
  <c r="BH102" i="24"/>
  <c r="BI102" i="24"/>
  <c r="BJ102" i="24"/>
  <c r="BK102" i="24"/>
  <c r="B103" i="24"/>
  <c r="C103" i="24"/>
  <c r="D103" i="24"/>
  <c r="E103" i="24"/>
  <c r="F103" i="24"/>
  <c r="G103" i="24"/>
  <c r="H103" i="24"/>
  <c r="I103" i="24"/>
  <c r="J103" i="24"/>
  <c r="K103" i="24"/>
  <c r="L103" i="24"/>
  <c r="M103" i="24"/>
  <c r="N103" i="24"/>
  <c r="O103" i="24"/>
  <c r="P103" i="24"/>
  <c r="Q103" i="24"/>
  <c r="R103" i="24"/>
  <c r="S103" i="24"/>
  <c r="T103" i="24"/>
  <c r="U103" i="24"/>
  <c r="V103" i="24"/>
  <c r="W103" i="24"/>
  <c r="X103" i="24"/>
  <c r="Y103" i="24"/>
  <c r="Z103" i="24"/>
  <c r="AA103" i="24"/>
  <c r="AB103" i="24"/>
  <c r="AC103" i="24"/>
  <c r="AD103" i="24"/>
  <c r="AE103" i="24"/>
  <c r="AF103" i="24"/>
  <c r="AG103" i="24"/>
  <c r="AH103" i="24"/>
  <c r="AI103" i="24"/>
  <c r="AJ103" i="24"/>
  <c r="AK103" i="24"/>
  <c r="AL103" i="24"/>
  <c r="AM103" i="24"/>
  <c r="AN103" i="24"/>
  <c r="AO103" i="24"/>
  <c r="AP103" i="24"/>
  <c r="AQ103" i="24"/>
  <c r="AR103" i="24"/>
  <c r="AS103" i="24"/>
  <c r="AT103" i="24"/>
  <c r="AU103" i="24"/>
  <c r="AV103" i="24"/>
  <c r="AW103" i="24"/>
  <c r="AX103" i="24"/>
  <c r="AY103" i="24"/>
  <c r="AZ103" i="24"/>
  <c r="BA103" i="24"/>
  <c r="BB103" i="24"/>
  <c r="BC103" i="24"/>
  <c r="BD103" i="24"/>
  <c r="BE103" i="24"/>
  <c r="BF103" i="24"/>
  <c r="BG103" i="24"/>
  <c r="BH103" i="24"/>
  <c r="BI103" i="24"/>
  <c r="BJ103" i="24"/>
  <c r="BK103" i="24"/>
  <c r="B104" i="24"/>
  <c r="C104" i="24"/>
  <c r="D104" i="24"/>
  <c r="E104" i="24"/>
  <c r="F104" i="24"/>
  <c r="G104" i="24"/>
  <c r="H104" i="24"/>
  <c r="I104" i="24"/>
  <c r="J104" i="24"/>
  <c r="K104" i="24"/>
  <c r="L104" i="24"/>
  <c r="M104" i="24"/>
  <c r="N104" i="24"/>
  <c r="O104" i="24"/>
  <c r="P104" i="24"/>
  <c r="Q104" i="24"/>
  <c r="R104" i="24"/>
  <c r="S104" i="24"/>
  <c r="T104" i="24"/>
  <c r="U104" i="24"/>
  <c r="V104" i="24"/>
  <c r="W104" i="24"/>
  <c r="X104" i="24"/>
  <c r="Y104" i="24"/>
  <c r="Z104" i="24"/>
  <c r="AA104" i="24"/>
  <c r="AB104" i="24"/>
  <c r="AC104" i="24"/>
  <c r="AD104" i="24"/>
  <c r="AE104" i="24"/>
  <c r="AF104" i="24"/>
  <c r="AG104" i="24"/>
  <c r="AH104" i="24"/>
  <c r="AI104" i="24"/>
  <c r="AJ104" i="24"/>
  <c r="AK104" i="24"/>
  <c r="AL104" i="24"/>
  <c r="AM104" i="24"/>
  <c r="AN104" i="24"/>
  <c r="AO104" i="24"/>
  <c r="AP104" i="24"/>
  <c r="AQ104" i="24"/>
  <c r="AR104" i="24"/>
  <c r="AS104" i="24"/>
  <c r="AT104" i="24"/>
  <c r="AU104" i="24"/>
  <c r="AV104" i="24"/>
  <c r="AW104" i="24"/>
  <c r="AX104" i="24"/>
  <c r="AY104" i="24"/>
  <c r="AZ104" i="24"/>
  <c r="BA104" i="24"/>
  <c r="BB104" i="24"/>
  <c r="BC104" i="24"/>
  <c r="BD104" i="24"/>
  <c r="BE104" i="24"/>
  <c r="BF104" i="24"/>
  <c r="BG104" i="24"/>
  <c r="BH104" i="24"/>
  <c r="BI104" i="24"/>
  <c r="BJ104" i="24"/>
  <c r="BK104" i="24"/>
  <c r="B105" i="24"/>
  <c r="C105" i="24"/>
  <c r="D105" i="24"/>
  <c r="E105" i="24"/>
  <c r="F105" i="24"/>
  <c r="G105" i="24"/>
  <c r="H105" i="24"/>
  <c r="I105" i="24"/>
  <c r="J105" i="24"/>
  <c r="K105" i="24"/>
  <c r="L105" i="24"/>
  <c r="M105" i="24"/>
  <c r="N105" i="24"/>
  <c r="O105" i="24"/>
  <c r="P105" i="24"/>
  <c r="Q105" i="24"/>
  <c r="R105" i="24"/>
  <c r="S105" i="24"/>
  <c r="T105" i="24"/>
  <c r="U105" i="24"/>
  <c r="V105" i="24"/>
  <c r="W105" i="24"/>
  <c r="X105" i="24"/>
  <c r="Y105" i="24"/>
  <c r="Z105" i="24"/>
  <c r="AA105" i="24"/>
  <c r="AB105" i="24"/>
  <c r="AC105" i="24"/>
  <c r="AD105" i="24"/>
  <c r="AE105" i="24"/>
  <c r="AF105" i="24"/>
  <c r="AG105" i="24"/>
  <c r="AH105" i="24"/>
  <c r="AI105" i="24"/>
  <c r="AJ105" i="24"/>
  <c r="AK105" i="24"/>
  <c r="AL105" i="24"/>
  <c r="AM105" i="24"/>
  <c r="AN105" i="24"/>
  <c r="AO105" i="24"/>
  <c r="AP105" i="24"/>
  <c r="AQ105" i="24"/>
  <c r="AR105" i="24"/>
  <c r="AS105" i="24"/>
  <c r="AT105" i="24"/>
  <c r="AU105" i="24"/>
  <c r="AV105" i="24"/>
  <c r="AW105" i="24"/>
  <c r="AX105" i="24"/>
  <c r="AY105" i="24"/>
  <c r="AZ105" i="24"/>
  <c r="BA105" i="24"/>
  <c r="BB105" i="24"/>
  <c r="BC105" i="24"/>
  <c r="BD105" i="24"/>
  <c r="BE105" i="24"/>
  <c r="BF105" i="24"/>
  <c r="BG105" i="24"/>
  <c r="BH105" i="24"/>
  <c r="BI105" i="24"/>
  <c r="BJ105" i="24"/>
  <c r="BK105" i="24"/>
  <c r="B106" i="24"/>
  <c r="C106" i="24"/>
  <c r="D106" i="24"/>
  <c r="E106" i="24"/>
  <c r="F106" i="24"/>
  <c r="G106" i="24"/>
  <c r="H106" i="24"/>
  <c r="I106" i="24"/>
  <c r="J106" i="24"/>
  <c r="K106" i="24"/>
  <c r="L106" i="24"/>
  <c r="M106" i="24"/>
  <c r="N106" i="24"/>
  <c r="O106" i="24"/>
  <c r="P106" i="24"/>
  <c r="Q106" i="24"/>
  <c r="R106" i="24"/>
  <c r="S106" i="24"/>
  <c r="T106" i="24"/>
  <c r="U106" i="24"/>
  <c r="V106" i="24"/>
  <c r="W106" i="24"/>
  <c r="X106" i="24"/>
  <c r="Y106" i="24"/>
  <c r="Z106" i="24"/>
  <c r="AA106" i="24"/>
  <c r="AB106" i="24"/>
  <c r="AC106" i="24"/>
  <c r="AD106" i="24"/>
  <c r="AE106" i="24"/>
  <c r="AF106" i="24"/>
  <c r="AG106" i="24"/>
  <c r="AH106" i="24"/>
  <c r="AI106" i="24"/>
  <c r="AJ106" i="24"/>
  <c r="AK106" i="24"/>
  <c r="AL106" i="24"/>
  <c r="AM106" i="24"/>
  <c r="AN106" i="24"/>
  <c r="AO106" i="24"/>
  <c r="AP106" i="24"/>
  <c r="AQ106" i="24"/>
  <c r="AR106" i="24"/>
  <c r="AS106" i="24"/>
  <c r="AT106" i="24"/>
  <c r="AU106" i="24"/>
  <c r="AV106" i="24"/>
  <c r="AW106" i="24"/>
  <c r="AX106" i="24"/>
  <c r="AY106" i="24"/>
  <c r="AZ106" i="24"/>
  <c r="BA106" i="24"/>
  <c r="BB106" i="24"/>
  <c r="BC106" i="24"/>
  <c r="BD106" i="24"/>
  <c r="BE106" i="24"/>
  <c r="BF106" i="24"/>
  <c r="BG106" i="24"/>
  <c r="BH106" i="24"/>
  <c r="BI106" i="24"/>
  <c r="BJ106" i="24"/>
  <c r="BK106" i="24"/>
  <c r="B107" i="24"/>
  <c r="C107" i="24"/>
  <c r="D107" i="24"/>
  <c r="E107" i="24"/>
  <c r="F107" i="24"/>
  <c r="G107" i="24"/>
  <c r="H107" i="24"/>
  <c r="I107" i="24"/>
  <c r="J107" i="24"/>
  <c r="K107" i="24"/>
  <c r="L107" i="24"/>
  <c r="M107" i="24"/>
  <c r="N107" i="24"/>
  <c r="O107" i="24"/>
  <c r="P107" i="24"/>
  <c r="Q107" i="24"/>
  <c r="R107" i="24"/>
  <c r="S107" i="24"/>
  <c r="T107" i="24"/>
  <c r="U107" i="24"/>
  <c r="V107" i="24"/>
  <c r="W107" i="24"/>
  <c r="X107" i="24"/>
  <c r="Y107" i="24"/>
  <c r="Z107" i="24"/>
  <c r="AA107" i="24"/>
  <c r="AB107" i="24"/>
  <c r="AC107" i="24"/>
  <c r="AD107" i="24"/>
  <c r="AE107" i="24"/>
  <c r="AF107" i="24"/>
  <c r="AG107" i="24"/>
  <c r="AH107" i="24"/>
  <c r="AI107" i="24"/>
  <c r="AJ107" i="24"/>
  <c r="AK107" i="24"/>
  <c r="AL107" i="24"/>
  <c r="AM107" i="24"/>
  <c r="AN107" i="24"/>
  <c r="AO107" i="24"/>
  <c r="AP107" i="24"/>
  <c r="AQ107" i="24"/>
  <c r="AR107" i="24"/>
  <c r="AS107" i="24"/>
  <c r="AT107" i="24"/>
  <c r="AU107" i="24"/>
  <c r="AV107" i="24"/>
  <c r="AW107" i="24"/>
  <c r="AX107" i="24"/>
  <c r="AY107" i="24"/>
  <c r="AZ107" i="24"/>
  <c r="BA107" i="24"/>
  <c r="BB107" i="24"/>
  <c r="BC107" i="24"/>
  <c r="BD107" i="24"/>
  <c r="BE107" i="24"/>
  <c r="BF107" i="24"/>
  <c r="BG107" i="24"/>
  <c r="BH107" i="24"/>
  <c r="BI107" i="24"/>
  <c r="BJ107" i="24"/>
  <c r="BK107" i="24"/>
  <c r="B108" i="24"/>
  <c r="C108" i="24"/>
  <c r="D108" i="24"/>
  <c r="E108" i="24"/>
  <c r="F108" i="24"/>
  <c r="G108" i="24"/>
  <c r="H108" i="24"/>
  <c r="I108" i="24"/>
  <c r="J108" i="24"/>
  <c r="K108" i="24"/>
  <c r="L108" i="24"/>
  <c r="M108" i="24"/>
  <c r="N108" i="24"/>
  <c r="O108" i="24"/>
  <c r="P108" i="24"/>
  <c r="Q108" i="24"/>
  <c r="R108" i="24"/>
  <c r="S108" i="24"/>
  <c r="T108" i="24"/>
  <c r="U108" i="24"/>
  <c r="V108" i="24"/>
  <c r="W108" i="24"/>
  <c r="X108" i="24"/>
  <c r="Y108" i="24"/>
  <c r="Z108" i="24"/>
  <c r="AA108" i="24"/>
  <c r="AB108" i="24"/>
  <c r="AC108" i="24"/>
  <c r="AD108" i="24"/>
  <c r="AE108" i="24"/>
  <c r="AF108" i="24"/>
  <c r="AG108" i="24"/>
  <c r="AH108" i="24"/>
  <c r="AI108" i="24"/>
  <c r="AJ108" i="24"/>
  <c r="AK108" i="24"/>
  <c r="AL108" i="24"/>
  <c r="AM108" i="24"/>
  <c r="AN108" i="24"/>
  <c r="AO108" i="24"/>
  <c r="AP108" i="24"/>
  <c r="AQ108" i="24"/>
  <c r="AR108" i="24"/>
  <c r="AS108" i="24"/>
  <c r="AT108" i="24"/>
  <c r="AU108" i="24"/>
  <c r="AV108" i="24"/>
  <c r="AW108" i="24"/>
  <c r="AX108" i="24"/>
  <c r="AY108" i="24"/>
  <c r="AZ108" i="24"/>
  <c r="BA108" i="24"/>
  <c r="BB108" i="24"/>
  <c r="BC108" i="24"/>
  <c r="BD108" i="24"/>
  <c r="BE108" i="24"/>
  <c r="BF108" i="24"/>
  <c r="BG108" i="24"/>
  <c r="BH108" i="24"/>
  <c r="BI108" i="24"/>
  <c r="BJ108" i="24"/>
  <c r="BK108" i="24"/>
  <c r="B109" i="24"/>
  <c r="C109" i="24"/>
  <c r="D109" i="24"/>
  <c r="E109" i="24"/>
  <c r="F109" i="24"/>
  <c r="G109" i="24"/>
  <c r="H109" i="24"/>
  <c r="I109" i="24"/>
  <c r="J109" i="24"/>
  <c r="K109" i="24"/>
  <c r="L109" i="24"/>
  <c r="M109" i="24"/>
  <c r="N109" i="24"/>
  <c r="O109" i="24"/>
  <c r="P109" i="24"/>
  <c r="Q109" i="24"/>
  <c r="R109" i="24"/>
  <c r="S109" i="24"/>
  <c r="T109" i="24"/>
  <c r="U109" i="24"/>
  <c r="V109" i="24"/>
  <c r="W109" i="24"/>
  <c r="X109" i="24"/>
  <c r="Y109" i="24"/>
  <c r="Z109" i="24"/>
  <c r="AA109" i="24"/>
  <c r="AB109" i="24"/>
  <c r="AC109" i="24"/>
  <c r="AD109" i="24"/>
  <c r="AE109" i="24"/>
  <c r="AF109" i="24"/>
  <c r="AG109" i="24"/>
  <c r="AH109" i="24"/>
  <c r="AI109" i="24"/>
  <c r="AJ109" i="24"/>
  <c r="AK109" i="24"/>
  <c r="AL109" i="24"/>
  <c r="AM109" i="24"/>
  <c r="AN109" i="24"/>
  <c r="AO109" i="24"/>
  <c r="AP109" i="24"/>
  <c r="AQ109" i="24"/>
  <c r="AR109" i="24"/>
  <c r="AS109" i="24"/>
  <c r="AT109" i="24"/>
  <c r="AU109" i="24"/>
  <c r="AV109" i="24"/>
  <c r="AW109" i="24"/>
  <c r="AX109" i="24"/>
  <c r="AY109" i="24"/>
  <c r="AZ109" i="24"/>
  <c r="BA109" i="24"/>
  <c r="BB109" i="24"/>
  <c r="BC109" i="24"/>
  <c r="BD109" i="24"/>
  <c r="BE109" i="24"/>
  <c r="BF109" i="24"/>
  <c r="BG109" i="24"/>
  <c r="BH109" i="24"/>
  <c r="BI109" i="24"/>
  <c r="BJ109" i="24"/>
  <c r="BK109" i="24"/>
  <c r="B110" i="24"/>
  <c r="C110" i="24"/>
  <c r="D110" i="24"/>
  <c r="E110" i="24"/>
  <c r="F110" i="24"/>
  <c r="G110" i="24"/>
  <c r="H110" i="24"/>
  <c r="I110" i="24"/>
  <c r="J110" i="24"/>
  <c r="K110" i="24"/>
  <c r="L110" i="24"/>
  <c r="M110" i="24"/>
  <c r="N110" i="24"/>
  <c r="O110" i="24"/>
  <c r="P110" i="24"/>
  <c r="Q110" i="24"/>
  <c r="R110" i="24"/>
  <c r="S110" i="24"/>
  <c r="T110" i="24"/>
  <c r="U110" i="24"/>
  <c r="V110" i="24"/>
  <c r="W110" i="24"/>
  <c r="X110" i="24"/>
  <c r="Y110" i="24"/>
  <c r="Z110" i="24"/>
  <c r="AA110" i="24"/>
  <c r="AB110" i="24"/>
  <c r="AC110" i="24"/>
  <c r="AD110" i="24"/>
  <c r="AE110" i="24"/>
  <c r="AF110" i="24"/>
  <c r="AG110" i="24"/>
  <c r="AH110" i="24"/>
  <c r="AI110" i="24"/>
  <c r="AJ110" i="24"/>
  <c r="AK110" i="24"/>
  <c r="AL110" i="24"/>
  <c r="AM110" i="24"/>
  <c r="AN110" i="24"/>
  <c r="AO110" i="24"/>
  <c r="AP110" i="24"/>
  <c r="AQ110" i="24"/>
  <c r="AR110" i="24"/>
  <c r="AS110" i="24"/>
  <c r="AT110" i="24"/>
  <c r="AU110" i="24"/>
  <c r="AV110" i="24"/>
  <c r="AW110" i="24"/>
  <c r="AX110" i="24"/>
  <c r="AY110" i="24"/>
  <c r="AZ110" i="24"/>
  <c r="BA110" i="24"/>
  <c r="BB110" i="24"/>
  <c r="BC110" i="24"/>
  <c r="BD110" i="24"/>
  <c r="BE110" i="24"/>
  <c r="BF110" i="24"/>
  <c r="BG110" i="24"/>
  <c r="BH110" i="24"/>
  <c r="BI110" i="24"/>
  <c r="BJ110" i="24"/>
  <c r="BK110" i="24"/>
  <c r="B111" i="24"/>
  <c r="C111" i="24"/>
  <c r="D111" i="24"/>
  <c r="E111" i="24"/>
  <c r="F111" i="24"/>
  <c r="G111" i="24"/>
  <c r="H111" i="24"/>
  <c r="I111" i="24"/>
  <c r="J111" i="24"/>
  <c r="K111" i="24"/>
  <c r="L111" i="24"/>
  <c r="M111" i="24"/>
  <c r="N111" i="24"/>
  <c r="O111" i="24"/>
  <c r="P111" i="24"/>
  <c r="Q111" i="24"/>
  <c r="R111" i="24"/>
  <c r="S111" i="24"/>
  <c r="T111" i="24"/>
  <c r="U111" i="24"/>
  <c r="V111" i="24"/>
  <c r="W111" i="24"/>
  <c r="X111" i="24"/>
  <c r="Y111" i="24"/>
  <c r="Z111" i="24"/>
  <c r="AA111" i="24"/>
  <c r="AB111" i="24"/>
  <c r="AC111" i="24"/>
  <c r="AD111" i="24"/>
  <c r="AE111" i="24"/>
  <c r="AF111" i="24"/>
  <c r="AG111" i="24"/>
  <c r="AH111" i="24"/>
  <c r="AI111" i="24"/>
  <c r="AJ111" i="24"/>
  <c r="AK111" i="24"/>
  <c r="AL111" i="24"/>
  <c r="AM111" i="24"/>
  <c r="AN111" i="24"/>
  <c r="AO111" i="24"/>
  <c r="AP111" i="24"/>
  <c r="AQ111" i="24"/>
  <c r="AR111" i="24"/>
  <c r="AS111" i="24"/>
  <c r="AT111" i="24"/>
  <c r="AU111" i="24"/>
  <c r="AV111" i="24"/>
  <c r="AW111" i="24"/>
  <c r="AX111" i="24"/>
  <c r="AY111" i="24"/>
  <c r="AZ111" i="24"/>
  <c r="BA111" i="24"/>
  <c r="BB111" i="24"/>
  <c r="BC111" i="24"/>
  <c r="BD111" i="24"/>
  <c r="BE111" i="24"/>
  <c r="BF111" i="24"/>
  <c r="BG111" i="24"/>
  <c r="BH111" i="24"/>
  <c r="BI111" i="24"/>
  <c r="BJ111" i="24"/>
  <c r="BK111" i="24"/>
  <c r="B112" i="24"/>
  <c r="C112" i="24"/>
  <c r="D112" i="24"/>
  <c r="E112" i="24"/>
  <c r="F112" i="24"/>
  <c r="G112" i="24"/>
  <c r="H112" i="24"/>
  <c r="I112" i="24"/>
  <c r="J112" i="24"/>
  <c r="K112" i="24"/>
  <c r="L112" i="24"/>
  <c r="M112" i="24"/>
  <c r="N112" i="24"/>
  <c r="O112" i="24"/>
  <c r="P112" i="24"/>
  <c r="Q112" i="24"/>
  <c r="R112" i="24"/>
  <c r="S112" i="24"/>
  <c r="T112" i="24"/>
  <c r="U112" i="24"/>
  <c r="V112" i="24"/>
  <c r="W112" i="24"/>
  <c r="X112" i="24"/>
  <c r="Y112" i="24"/>
  <c r="Z112" i="24"/>
  <c r="AA112" i="24"/>
  <c r="AB112" i="24"/>
  <c r="AC112" i="24"/>
  <c r="AD112" i="24"/>
  <c r="AE112" i="24"/>
  <c r="AF112" i="24"/>
  <c r="AG112" i="24"/>
  <c r="AH112" i="24"/>
  <c r="AI112" i="24"/>
  <c r="AJ112" i="24"/>
  <c r="AK112" i="24"/>
  <c r="AL112" i="24"/>
  <c r="AM112" i="24"/>
  <c r="AN112" i="24"/>
  <c r="AO112" i="24"/>
  <c r="AP112" i="24"/>
  <c r="AQ112" i="24"/>
  <c r="AR112" i="24"/>
  <c r="AS112" i="24"/>
  <c r="AT112" i="24"/>
  <c r="AU112" i="24"/>
  <c r="AV112" i="24"/>
  <c r="AW112" i="24"/>
  <c r="AX112" i="24"/>
  <c r="AY112" i="24"/>
  <c r="AZ112" i="24"/>
  <c r="BA112" i="24"/>
  <c r="BB112" i="24"/>
  <c r="BC112" i="24"/>
  <c r="BD112" i="24"/>
  <c r="BE112" i="24"/>
  <c r="BF112" i="24"/>
  <c r="BG112" i="24"/>
  <c r="BH112" i="24"/>
  <c r="BI112" i="24"/>
  <c r="BJ112" i="24"/>
  <c r="BK112" i="24"/>
  <c r="B113" i="24"/>
  <c r="C113" i="24"/>
  <c r="D113" i="24"/>
  <c r="E113" i="24"/>
  <c r="F113" i="24"/>
  <c r="G113" i="24"/>
  <c r="H113" i="24"/>
  <c r="I113" i="24"/>
  <c r="J113" i="24"/>
  <c r="K113" i="24"/>
  <c r="L113" i="24"/>
  <c r="M113" i="24"/>
  <c r="N113" i="24"/>
  <c r="O113" i="24"/>
  <c r="P113" i="24"/>
  <c r="Q113" i="24"/>
  <c r="R113" i="24"/>
  <c r="S113" i="24"/>
  <c r="T113" i="24"/>
  <c r="U113" i="24"/>
  <c r="V113" i="24"/>
  <c r="W113" i="24"/>
  <c r="X113" i="24"/>
  <c r="Y113" i="24"/>
  <c r="Z113" i="24"/>
  <c r="AA113" i="24"/>
  <c r="AB113" i="24"/>
  <c r="AC113" i="24"/>
  <c r="AD113" i="24"/>
  <c r="AE113" i="24"/>
  <c r="AF113" i="24"/>
  <c r="AG113" i="24"/>
  <c r="AH113" i="24"/>
  <c r="AI113" i="24"/>
  <c r="AJ113" i="24"/>
  <c r="AK113" i="24"/>
  <c r="AL113" i="24"/>
  <c r="AM113" i="24"/>
  <c r="AN113" i="24"/>
  <c r="AO113" i="24"/>
  <c r="AP113" i="24"/>
  <c r="AQ113" i="24"/>
  <c r="AR113" i="24"/>
  <c r="AS113" i="24"/>
  <c r="AT113" i="24"/>
  <c r="AU113" i="24"/>
  <c r="AV113" i="24"/>
  <c r="AW113" i="24"/>
  <c r="AX113" i="24"/>
  <c r="AY113" i="24"/>
  <c r="AZ113" i="24"/>
  <c r="BA113" i="24"/>
  <c r="BB113" i="24"/>
  <c r="BC113" i="24"/>
  <c r="BD113" i="24"/>
  <c r="BE113" i="24"/>
  <c r="BF113" i="24"/>
  <c r="BG113" i="24"/>
  <c r="BH113" i="24"/>
  <c r="BI113" i="24"/>
  <c r="BJ113" i="24"/>
  <c r="BK113" i="24"/>
  <c r="B114" i="24"/>
  <c r="C114" i="24"/>
  <c r="D114" i="24"/>
  <c r="E114" i="24"/>
  <c r="F114" i="24"/>
  <c r="G114" i="24"/>
  <c r="H114" i="24"/>
  <c r="I114" i="24"/>
  <c r="J114" i="24"/>
  <c r="K114" i="24"/>
  <c r="L114" i="24"/>
  <c r="M114" i="24"/>
  <c r="N114" i="24"/>
  <c r="O114" i="24"/>
  <c r="P114" i="24"/>
  <c r="Q114" i="24"/>
  <c r="R114" i="24"/>
  <c r="S114" i="24"/>
  <c r="T114" i="24"/>
  <c r="U114" i="24"/>
  <c r="V114" i="24"/>
  <c r="W114" i="24"/>
  <c r="X114" i="24"/>
  <c r="Y114" i="24"/>
  <c r="Z114" i="24"/>
  <c r="AA114" i="24"/>
  <c r="AB114" i="24"/>
  <c r="AC114" i="24"/>
  <c r="AD114" i="24"/>
  <c r="AE114" i="24"/>
  <c r="AF114" i="24"/>
  <c r="AG114" i="24"/>
  <c r="AH114" i="24"/>
  <c r="AI114" i="24"/>
  <c r="AJ114" i="24"/>
  <c r="AK114" i="24"/>
  <c r="AL114" i="24"/>
  <c r="AM114" i="24"/>
  <c r="AN114" i="24"/>
  <c r="AO114" i="24"/>
  <c r="AP114" i="24"/>
  <c r="AQ114" i="24"/>
  <c r="AR114" i="24"/>
  <c r="AS114" i="24"/>
  <c r="AT114" i="24"/>
  <c r="AU114" i="24"/>
  <c r="AV114" i="24"/>
  <c r="AW114" i="24"/>
  <c r="AX114" i="24"/>
  <c r="AY114" i="24"/>
  <c r="AZ114" i="24"/>
  <c r="BA114" i="24"/>
  <c r="BB114" i="24"/>
  <c r="BC114" i="24"/>
  <c r="BD114" i="24"/>
  <c r="BE114" i="24"/>
  <c r="BF114" i="24"/>
  <c r="BG114" i="24"/>
  <c r="BH114" i="24"/>
  <c r="BI114" i="24"/>
  <c r="BJ114" i="24"/>
  <c r="BK114" i="24"/>
  <c r="B115" i="24"/>
  <c r="C115" i="24"/>
  <c r="D115" i="24"/>
  <c r="E115" i="24"/>
  <c r="F115" i="24"/>
  <c r="G115" i="24"/>
  <c r="H115" i="24"/>
  <c r="I115" i="24"/>
  <c r="J115" i="24"/>
  <c r="K115" i="24"/>
  <c r="L115" i="24"/>
  <c r="M115" i="24"/>
  <c r="N115" i="24"/>
  <c r="O115" i="24"/>
  <c r="P115" i="24"/>
  <c r="Q115" i="24"/>
  <c r="R115" i="24"/>
  <c r="S115" i="24"/>
  <c r="T115" i="24"/>
  <c r="U115" i="24"/>
  <c r="V115" i="24"/>
  <c r="W115" i="24"/>
  <c r="X115" i="24"/>
  <c r="Y115" i="24"/>
  <c r="Z115" i="24"/>
  <c r="AA115" i="24"/>
  <c r="AB115" i="24"/>
  <c r="AC115" i="24"/>
  <c r="AD115" i="24"/>
  <c r="AE115" i="24"/>
  <c r="AF115" i="24"/>
  <c r="AG115" i="24"/>
  <c r="AH115" i="24"/>
  <c r="AI115" i="24"/>
  <c r="AJ115" i="24"/>
  <c r="AK115" i="24"/>
  <c r="AL115" i="24"/>
  <c r="AM115" i="24"/>
  <c r="AN115" i="24"/>
  <c r="AO115" i="24"/>
  <c r="AP115" i="24"/>
  <c r="AQ115" i="24"/>
  <c r="AR115" i="24"/>
  <c r="AS115" i="24"/>
  <c r="AT115" i="24"/>
  <c r="AU115" i="24"/>
  <c r="AV115" i="24"/>
  <c r="AW115" i="24"/>
  <c r="AX115" i="24"/>
  <c r="AY115" i="24"/>
  <c r="AZ115" i="24"/>
  <c r="BA115" i="24"/>
  <c r="BB115" i="24"/>
  <c r="BC115" i="24"/>
  <c r="BD115" i="24"/>
  <c r="BE115" i="24"/>
  <c r="BF115" i="24"/>
  <c r="BG115" i="24"/>
  <c r="BH115" i="24"/>
  <c r="BI115" i="24"/>
  <c r="BJ115" i="24"/>
  <c r="BK115" i="24"/>
  <c r="B116" i="24"/>
  <c r="C116" i="24"/>
  <c r="D116" i="24"/>
  <c r="E116" i="24"/>
  <c r="F116" i="24"/>
  <c r="G116" i="24"/>
  <c r="H116" i="24"/>
  <c r="I116" i="24"/>
  <c r="J116" i="24"/>
  <c r="K116" i="24"/>
  <c r="L116" i="24"/>
  <c r="M116" i="24"/>
  <c r="N116" i="24"/>
  <c r="O116" i="24"/>
  <c r="P116" i="24"/>
  <c r="Q116" i="24"/>
  <c r="R116" i="24"/>
  <c r="S116" i="24"/>
  <c r="T116" i="24"/>
  <c r="U116" i="24"/>
  <c r="V116" i="24"/>
  <c r="W116" i="24"/>
  <c r="X116" i="24"/>
  <c r="Y116" i="24"/>
  <c r="Z116" i="24"/>
  <c r="AA116" i="24"/>
  <c r="AB116" i="24"/>
  <c r="AC116" i="24"/>
  <c r="AD116" i="24"/>
  <c r="AE116" i="24"/>
  <c r="AF116" i="24"/>
  <c r="AG116" i="24"/>
  <c r="AH116" i="24"/>
  <c r="AI116" i="24"/>
  <c r="AJ116" i="24"/>
  <c r="AK116" i="24"/>
  <c r="AL116" i="24"/>
  <c r="AM116" i="24"/>
  <c r="AN116" i="24"/>
  <c r="AO116" i="24"/>
  <c r="AP116" i="24"/>
  <c r="AQ116" i="24"/>
  <c r="AR116" i="24"/>
  <c r="AS116" i="24"/>
  <c r="AT116" i="24"/>
  <c r="AU116" i="24"/>
  <c r="AV116" i="24"/>
  <c r="AW116" i="24"/>
  <c r="AX116" i="24"/>
  <c r="AY116" i="24"/>
  <c r="AZ116" i="24"/>
  <c r="BA116" i="24"/>
  <c r="BB116" i="24"/>
  <c r="BC116" i="24"/>
  <c r="BD116" i="24"/>
  <c r="BE116" i="24"/>
  <c r="BF116" i="24"/>
  <c r="BG116" i="24"/>
  <c r="BH116" i="24"/>
  <c r="BI116" i="24"/>
  <c r="BJ116" i="24"/>
  <c r="BK116" i="24"/>
  <c r="B117" i="24"/>
  <c r="C117" i="24"/>
  <c r="D117" i="24"/>
  <c r="E117" i="24"/>
  <c r="F117" i="24"/>
  <c r="G117" i="24"/>
  <c r="H117" i="24"/>
  <c r="I117" i="24"/>
  <c r="J117" i="24"/>
  <c r="K117" i="24"/>
  <c r="L117" i="24"/>
  <c r="M117" i="24"/>
  <c r="N117" i="24"/>
  <c r="O117" i="24"/>
  <c r="P117" i="24"/>
  <c r="Q117" i="24"/>
  <c r="R117" i="24"/>
  <c r="S117" i="24"/>
  <c r="T117" i="24"/>
  <c r="U117" i="24"/>
  <c r="V117" i="24"/>
  <c r="W117" i="24"/>
  <c r="X117" i="24"/>
  <c r="Y117" i="24"/>
  <c r="Z117" i="24"/>
  <c r="AA117" i="24"/>
  <c r="AB117" i="24"/>
  <c r="AC117" i="24"/>
  <c r="AD117" i="24"/>
  <c r="AE117" i="24"/>
  <c r="AF117" i="24"/>
  <c r="AG117" i="24"/>
  <c r="AH117" i="24"/>
  <c r="AI117" i="24"/>
  <c r="AJ117" i="24"/>
  <c r="AK117" i="24"/>
  <c r="AL117" i="24"/>
  <c r="AM117" i="24"/>
  <c r="AN117" i="24"/>
  <c r="AO117" i="24"/>
  <c r="AP117" i="24"/>
  <c r="AQ117" i="24"/>
  <c r="AR117" i="24"/>
  <c r="AS117" i="24"/>
  <c r="AT117" i="24"/>
  <c r="AU117" i="24"/>
  <c r="AV117" i="24"/>
  <c r="AW117" i="24"/>
  <c r="AX117" i="24"/>
  <c r="AY117" i="24"/>
  <c r="AZ117" i="24"/>
  <c r="BA117" i="24"/>
  <c r="BB117" i="24"/>
  <c r="BC117" i="24"/>
  <c r="BD117" i="24"/>
  <c r="BE117" i="24"/>
  <c r="BF117" i="24"/>
  <c r="BG117" i="24"/>
  <c r="BH117" i="24"/>
  <c r="BI117" i="24"/>
  <c r="BJ117" i="24"/>
  <c r="BK117" i="24"/>
  <c r="B118" i="24"/>
  <c r="C118" i="24"/>
  <c r="D118" i="24"/>
  <c r="E118" i="24"/>
  <c r="F118" i="24"/>
  <c r="G118" i="24"/>
  <c r="H118" i="24"/>
  <c r="I118" i="24"/>
  <c r="J118" i="24"/>
  <c r="K118" i="24"/>
  <c r="L118" i="24"/>
  <c r="M118" i="24"/>
  <c r="N118" i="24"/>
  <c r="O118" i="24"/>
  <c r="P118" i="24"/>
  <c r="Q118" i="24"/>
  <c r="R118" i="24"/>
  <c r="S118" i="24"/>
  <c r="T118" i="24"/>
  <c r="U118" i="24"/>
  <c r="V118" i="24"/>
  <c r="W118" i="24"/>
  <c r="X118" i="24"/>
  <c r="Y118" i="24"/>
  <c r="Z118" i="24"/>
  <c r="AA118" i="24"/>
  <c r="AB118" i="24"/>
  <c r="AC118" i="24"/>
  <c r="AD118" i="24"/>
  <c r="AE118" i="24"/>
  <c r="AF118" i="24"/>
  <c r="AG118" i="24"/>
  <c r="AH118" i="24"/>
  <c r="AI118" i="24"/>
  <c r="AJ118" i="24"/>
  <c r="AK118" i="24"/>
  <c r="AL118" i="24"/>
  <c r="AM118" i="24"/>
  <c r="AN118" i="24"/>
  <c r="AO118" i="24"/>
  <c r="AP118" i="24"/>
  <c r="AQ118" i="24"/>
  <c r="AR118" i="24"/>
  <c r="AS118" i="24"/>
  <c r="AT118" i="24"/>
  <c r="AU118" i="24"/>
  <c r="AV118" i="24"/>
  <c r="AW118" i="24"/>
  <c r="AX118" i="24"/>
  <c r="AY118" i="24"/>
  <c r="AZ118" i="24"/>
  <c r="BA118" i="24"/>
  <c r="BB118" i="24"/>
  <c r="BC118" i="24"/>
  <c r="BD118" i="24"/>
  <c r="BE118" i="24"/>
  <c r="BF118" i="24"/>
  <c r="BG118" i="24"/>
  <c r="BH118" i="24"/>
  <c r="BI118" i="24"/>
  <c r="BJ118" i="24"/>
  <c r="BK118" i="24"/>
  <c r="B119" i="24"/>
  <c r="C119" i="24"/>
  <c r="D119" i="24"/>
  <c r="E119" i="24"/>
  <c r="F119" i="24"/>
  <c r="G119" i="24"/>
  <c r="H119" i="24"/>
  <c r="I119" i="24"/>
  <c r="J119" i="24"/>
  <c r="K119" i="24"/>
  <c r="L119" i="24"/>
  <c r="M119" i="24"/>
  <c r="N119" i="24"/>
  <c r="O119" i="24"/>
  <c r="P119" i="24"/>
  <c r="Q119" i="24"/>
  <c r="R119" i="24"/>
  <c r="S119" i="24"/>
  <c r="T119" i="24"/>
  <c r="U119" i="24"/>
  <c r="V119" i="24"/>
  <c r="W119" i="24"/>
  <c r="X119" i="24"/>
  <c r="Y119" i="24"/>
  <c r="Z119" i="24"/>
  <c r="AA119" i="24"/>
  <c r="AB119" i="24"/>
  <c r="AC119" i="24"/>
  <c r="AD119" i="24"/>
  <c r="AE119" i="24"/>
  <c r="AF119" i="24"/>
  <c r="AG119" i="24"/>
  <c r="AH119" i="24"/>
  <c r="AI119" i="24"/>
  <c r="AJ119" i="24"/>
  <c r="AK119" i="24"/>
  <c r="AL119" i="24"/>
  <c r="AM119" i="24"/>
  <c r="AN119" i="24"/>
  <c r="AO119" i="24"/>
  <c r="AP119" i="24"/>
  <c r="AQ119" i="24"/>
  <c r="AR119" i="24"/>
  <c r="AS119" i="24"/>
  <c r="AT119" i="24"/>
  <c r="AU119" i="24"/>
  <c r="AV119" i="24"/>
  <c r="AW119" i="24"/>
  <c r="AX119" i="24"/>
  <c r="AY119" i="24"/>
  <c r="AZ119" i="24"/>
  <c r="BA119" i="24"/>
  <c r="BB119" i="24"/>
  <c r="BC119" i="24"/>
  <c r="BD119" i="24"/>
  <c r="BE119" i="24"/>
  <c r="BF119" i="24"/>
  <c r="BG119" i="24"/>
  <c r="BH119" i="24"/>
  <c r="BI119" i="24"/>
  <c r="BJ119" i="24"/>
  <c r="BK119" i="24"/>
  <c r="B120" i="24"/>
  <c r="C120" i="24"/>
  <c r="D120" i="24"/>
  <c r="E120" i="24"/>
  <c r="F120" i="24"/>
  <c r="G120" i="24"/>
  <c r="H120" i="24"/>
  <c r="I120" i="24"/>
  <c r="J120" i="24"/>
  <c r="K120" i="24"/>
  <c r="L120" i="24"/>
  <c r="M120" i="24"/>
  <c r="N120" i="24"/>
  <c r="O120" i="24"/>
  <c r="P120" i="24"/>
  <c r="Q120" i="24"/>
  <c r="R120" i="24"/>
  <c r="S120" i="24"/>
  <c r="T120" i="24"/>
  <c r="U120" i="24"/>
  <c r="V120" i="24"/>
  <c r="W120" i="24"/>
  <c r="X120" i="24"/>
  <c r="Y120" i="24"/>
  <c r="Z120" i="24"/>
  <c r="AA120" i="24"/>
  <c r="AB120" i="24"/>
  <c r="AC120" i="24"/>
  <c r="AD120" i="24"/>
  <c r="AE120" i="24"/>
  <c r="AF120" i="24"/>
  <c r="AG120" i="24"/>
  <c r="AH120" i="24"/>
  <c r="AI120" i="24"/>
  <c r="AJ120" i="24"/>
  <c r="AK120" i="24"/>
  <c r="AL120" i="24"/>
  <c r="AM120" i="24"/>
  <c r="AN120" i="24"/>
  <c r="AO120" i="24"/>
  <c r="AP120" i="24"/>
  <c r="AQ120" i="24"/>
  <c r="AR120" i="24"/>
  <c r="AS120" i="24"/>
  <c r="AT120" i="24"/>
  <c r="AU120" i="24"/>
  <c r="AV120" i="24"/>
  <c r="AW120" i="24"/>
  <c r="AX120" i="24"/>
  <c r="AY120" i="24"/>
  <c r="AZ120" i="24"/>
  <c r="BA120" i="24"/>
  <c r="BB120" i="24"/>
  <c r="BC120" i="24"/>
  <c r="BD120" i="24"/>
  <c r="BE120" i="24"/>
  <c r="BF120" i="24"/>
  <c r="BG120" i="24"/>
  <c r="BH120" i="24"/>
  <c r="BI120" i="24"/>
  <c r="BJ120" i="24"/>
  <c r="BK120" i="24"/>
  <c r="B121" i="24"/>
  <c r="C121" i="24"/>
  <c r="D121" i="24"/>
  <c r="E121" i="24"/>
  <c r="F121" i="24"/>
  <c r="G121" i="24"/>
  <c r="H121" i="24"/>
  <c r="I121" i="24"/>
  <c r="J121" i="24"/>
  <c r="K121" i="24"/>
  <c r="L121" i="24"/>
  <c r="M121" i="24"/>
  <c r="N121" i="24"/>
  <c r="O121" i="24"/>
  <c r="P121" i="24"/>
  <c r="Q121" i="24"/>
  <c r="R121" i="24"/>
  <c r="S121" i="24"/>
  <c r="T121" i="24"/>
  <c r="U121" i="24"/>
  <c r="V121" i="24"/>
  <c r="W121" i="24"/>
  <c r="X121" i="24"/>
  <c r="Y121" i="24"/>
  <c r="Z121" i="24"/>
  <c r="AA121" i="24"/>
  <c r="AB121" i="24"/>
  <c r="AC121" i="24"/>
  <c r="AD121" i="24"/>
  <c r="AE121" i="24"/>
  <c r="AF121" i="24"/>
  <c r="AG121" i="24"/>
  <c r="AH121" i="24"/>
  <c r="AI121" i="24"/>
  <c r="AJ121" i="24"/>
  <c r="AK121" i="24"/>
  <c r="AL121" i="24"/>
  <c r="AM121" i="24"/>
  <c r="AN121" i="24"/>
  <c r="AO121" i="24"/>
  <c r="AP121" i="24"/>
  <c r="AQ121" i="24"/>
  <c r="AR121" i="24"/>
  <c r="AS121" i="24"/>
  <c r="AT121" i="24"/>
  <c r="AU121" i="24"/>
  <c r="AV121" i="24"/>
  <c r="AW121" i="24"/>
  <c r="AX121" i="24"/>
  <c r="AY121" i="24"/>
  <c r="AZ121" i="24"/>
  <c r="BA121" i="24"/>
  <c r="BB121" i="24"/>
  <c r="BC121" i="24"/>
  <c r="BD121" i="24"/>
  <c r="BE121" i="24"/>
  <c r="BF121" i="24"/>
  <c r="BG121" i="24"/>
  <c r="BH121" i="24"/>
  <c r="BI121" i="24"/>
  <c r="BJ121" i="24"/>
  <c r="BK121" i="24"/>
  <c r="B122" i="24"/>
  <c r="C122" i="24"/>
  <c r="D122" i="24"/>
  <c r="E122" i="24"/>
  <c r="F122" i="24"/>
  <c r="G122" i="24"/>
  <c r="H122" i="24"/>
  <c r="I122" i="24"/>
  <c r="J122" i="24"/>
  <c r="K122" i="24"/>
  <c r="L122" i="24"/>
  <c r="M122" i="24"/>
  <c r="N122" i="24"/>
  <c r="O122" i="24"/>
  <c r="P122" i="24"/>
  <c r="Q122" i="24"/>
  <c r="R122" i="24"/>
  <c r="S122" i="24"/>
  <c r="T122" i="24"/>
  <c r="U122" i="24"/>
  <c r="V122" i="24"/>
  <c r="W122" i="24"/>
  <c r="X122" i="24"/>
  <c r="Y122" i="24"/>
  <c r="Z122" i="24"/>
  <c r="AA122" i="24"/>
  <c r="AB122" i="24"/>
  <c r="AC122" i="24"/>
  <c r="AD122" i="24"/>
  <c r="AE122" i="24"/>
  <c r="AF122" i="24"/>
  <c r="AG122" i="24"/>
  <c r="AH122" i="24"/>
  <c r="AI122" i="24"/>
  <c r="AJ122" i="24"/>
  <c r="AK122" i="24"/>
  <c r="AL122" i="24"/>
  <c r="AM122" i="24"/>
  <c r="AN122" i="24"/>
  <c r="AO122" i="24"/>
  <c r="AP122" i="24"/>
  <c r="AQ122" i="24"/>
  <c r="AR122" i="24"/>
  <c r="AS122" i="24"/>
  <c r="AT122" i="24"/>
  <c r="AU122" i="24"/>
  <c r="AV122" i="24"/>
  <c r="AW122" i="24"/>
  <c r="AX122" i="24"/>
  <c r="AY122" i="24"/>
  <c r="AZ122" i="24"/>
  <c r="BA122" i="24"/>
  <c r="BB122" i="24"/>
  <c r="BC122" i="24"/>
  <c r="BD122" i="24"/>
  <c r="BE122" i="24"/>
  <c r="BF122" i="24"/>
  <c r="BG122" i="24"/>
  <c r="BH122" i="24"/>
  <c r="BI122" i="24"/>
  <c r="BJ122" i="24"/>
  <c r="BK122" i="24"/>
  <c r="B123" i="24"/>
  <c r="C123" i="24"/>
  <c r="D123" i="24"/>
  <c r="E123" i="24"/>
  <c r="F123" i="24"/>
  <c r="G123" i="24"/>
  <c r="H123" i="24"/>
  <c r="I123" i="24"/>
  <c r="J123" i="24"/>
  <c r="K123" i="24"/>
  <c r="L123" i="24"/>
  <c r="M123" i="24"/>
  <c r="N123" i="24"/>
  <c r="O123" i="24"/>
  <c r="P123" i="24"/>
  <c r="Q123" i="24"/>
  <c r="R123" i="24"/>
  <c r="S123" i="24"/>
  <c r="T123" i="24"/>
  <c r="U123" i="24"/>
  <c r="V123" i="24"/>
  <c r="W123" i="24"/>
  <c r="X123" i="24"/>
  <c r="Y123" i="24"/>
  <c r="Z123" i="24"/>
  <c r="AA123" i="24"/>
  <c r="AB123" i="24"/>
  <c r="AC123" i="24"/>
  <c r="AD123" i="24"/>
  <c r="AE123" i="24"/>
  <c r="AF123" i="24"/>
  <c r="AG123" i="24"/>
  <c r="AH123" i="24"/>
  <c r="AI123" i="24"/>
  <c r="AJ123" i="24"/>
  <c r="AK123" i="24"/>
  <c r="AL123" i="24"/>
  <c r="AM123" i="24"/>
  <c r="AN123" i="24"/>
  <c r="AO123" i="24"/>
  <c r="AP123" i="24"/>
  <c r="AQ123" i="24"/>
  <c r="AR123" i="24"/>
  <c r="AS123" i="24"/>
  <c r="AT123" i="24"/>
  <c r="AU123" i="24"/>
  <c r="AV123" i="24"/>
  <c r="AW123" i="24"/>
  <c r="AX123" i="24"/>
  <c r="AY123" i="24"/>
  <c r="AZ123" i="24"/>
  <c r="BA123" i="24"/>
  <c r="BB123" i="24"/>
  <c r="BC123" i="24"/>
  <c r="BD123" i="24"/>
  <c r="BE123" i="24"/>
  <c r="BF123" i="24"/>
  <c r="BG123" i="24"/>
  <c r="BH123" i="24"/>
  <c r="BI123" i="24"/>
  <c r="BJ123" i="24"/>
  <c r="BK123" i="24"/>
  <c r="B124" i="24"/>
  <c r="C124" i="24"/>
  <c r="D124" i="24"/>
  <c r="E124" i="24"/>
  <c r="F124" i="24"/>
  <c r="G124" i="24"/>
  <c r="H124" i="24"/>
  <c r="I124" i="24"/>
  <c r="J124" i="24"/>
  <c r="K124" i="24"/>
  <c r="L124" i="24"/>
  <c r="M124" i="24"/>
  <c r="N124" i="24"/>
  <c r="O124" i="24"/>
  <c r="P124" i="24"/>
  <c r="Q124" i="24"/>
  <c r="R124" i="24"/>
  <c r="S124" i="24"/>
  <c r="T124" i="24"/>
  <c r="U124" i="24"/>
  <c r="V124" i="24"/>
  <c r="W124" i="24"/>
  <c r="X124" i="24"/>
  <c r="Y124" i="24"/>
  <c r="Z124" i="24"/>
  <c r="AA124" i="24"/>
  <c r="AB124" i="24"/>
  <c r="AC124" i="24"/>
  <c r="AD124" i="24"/>
  <c r="AE124" i="24"/>
  <c r="AF124" i="24"/>
  <c r="AG124" i="24"/>
  <c r="AH124" i="24"/>
  <c r="AI124" i="24"/>
  <c r="AJ124" i="24"/>
  <c r="AK124" i="24"/>
  <c r="AL124" i="24"/>
  <c r="AM124" i="24"/>
  <c r="AN124" i="24"/>
  <c r="AO124" i="24"/>
  <c r="AP124" i="24"/>
  <c r="AQ124" i="24"/>
  <c r="AR124" i="24"/>
  <c r="AS124" i="24"/>
  <c r="AT124" i="24"/>
  <c r="AU124" i="24"/>
  <c r="AV124" i="24"/>
  <c r="AW124" i="24"/>
  <c r="AX124" i="24"/>
  <c r="AY124" i="24"/>
  <c r="AZ124" i="24"/>
  <c r="BA124" i="24"/>
  <c r="BB124" i="24"/>
  <c r="BC124" i="24"/>
  <c r="BD124" i="24"/>
  <c r="BE124" i="24"/>
  <c r="BF124" i="24"/>
  <c r="BG124" i="24"/>
  <c r="BH124" i="24"/>
  <c r="BI124" i="24"/>
  <c r="BJ124" i="24"/>
  <c r="BK124" i="24"/>
  <c r="B125" i="24"/>
  <c r="C125" i="24"/>
  <c r="D125" i="24"/>
  <c r="E125" i="24"/>
  <c r="F125" i="24"/>
  <c r="G125" i="24"/>
  <c r="H125" i="24"/>
  <c r="I125" i="24"/>
  <c r="J125" i="24"/>
  <c r="K125" i="24"/>
  <c r="L125" i="24"/>
  <c r="M125" i="24"/>
  <c r="N125" i="24"/>
  <c r="O125" i="24"/>
  <c r="P125" i="24"/>
  <c r="Q125" i="24"/>
  <c r="R125" i="24"/>
  <c r="S125" i="24"/>
  <c r="T125" i="24"/>
  <c r="U125" i="24"/>
  <c r="V125" i="24"/>
  <c r="W125" i="24"/>
  <c r="X125" i="24"/>
  <c r="Y125" i="24"/>
  <c r="Z125" i="24"/>
  <c r="AA125" i="24"/>
  <c r="AB125" i="24"/>
  <c r="AC125" i="24"/>
  <c r="AD125" i="24"/>
  <c r="AE125" i="24"/>
  <c r="AF125" i="24"/>
  <c r="AG125" i="24"/>
  <c r="AH125" i="24"/>
  <c r="AI125" i="24"/>
  <c r="AJ125" i="24"/>
  <c r="AK125" i="24"/>
  <c r="AL125" i="24"/>
  <c r="AM125" i="24"/>
  <c r="AN125" i="24"/>
  <c r="AO125" i="24"/>
  <c r="AP125" i="24"/>
  <c r="AQ125" i="24"/>
  <c r="AR125" i="24"/>
  <c r="AS125" i="24"/>
  <c r="AT125" i="24"/>
  <c r="AU125" i="24"/>
  <c r="AV125" i="24"/>
  <c r="AW125" i="24"/>
  <c r="AX125" i="24"/>
  <c r="AY125" i="24"/>
  <c r="AZ125" i="24"/>
  <c r="BA125" i="24"/>
  <c r="BB125" i="24"/>
  <c r="BC125" i="24"/>
  <c r="BD125" i="24"/>
  <c r="BE125" i="24"/>
  <c r="BF125" i="24"/>
  <c r="BG125" i="24"/>
  <c r="BH125" i="24"/>
  <c r="BI125" i="24"/>
  <c r="BJ125" i="24"/>
  <c r="BK125" i="24"/>
  <c r="B126" i="24"/>
  <c r="C126" i="24"/>
  <c r="D126" i="24"/>
  <c r="E126" i="24"/>
  <c r="F126" i="24"/>
  <c r="G126" i="24"/>
  <c r="H126" i="24"/>
  <c r="I126" i="24"/>
  <c r="J126" i="24"/>
  <c r="K126" i="24"/>
  <c r="L126" i="24"/>
  <c r="M126" i="24"/>
  <c r="N126" i="24"/>
  <c r="O126" i="24"/>
  <c r="P126" i="24"/>
  <c r="Q126" i="24"/>
  <c r="R126" i="24"/>
  <c r="S126" i="24"/>
  <c r="T126" i="24"/>
  <c r="U126" i="24"/>
  <c r="V126" i="24"/>
  <c r="W126" i="24"/>
  <c r="X126" i="24"/>
  <c r="Y126" i="24"/>
  <c r="Z126" i="24"/>
  <c r="AA126" i="24"/>
  <c r="AB126" i="24"/>
  <c r="AC126" i="24"/>
  <c r="AD126" i="24"/>
  <c r="AE126" i="24"/>
  <c r="AF126" i="24"/>
  <c r="AG126" i="24"/>
  <c r="AH126" i="24"/>
  <c r="AI126" i="24"/>
  <c r="AJ126" i="24"/>
  <c r="AK126" i="24"/>
  <c r="AL126" i="24"/>
  <c r="AM126" i="24"/>
  <c r="AN126" i="24"/>
  <c r="AO126" i="24"/>
  <c r="AP126" i="24"/>
  <c r="AQ126" i="24"/>
  <c r="AR126" i="24"/>
  <c r="AS126" i="24"/>
  <c r="AT126" i="24"/>
  <c r="AU126" i="24"/>
  <c r="AV126" i="24"/>
  <c r="AW126" i="24"/>
  <c r="AX126" i="24"/>
  <c r="AY126" i="24"/>
  <c r="AZ126" i="24"/>
  <c r="BA126" i="24"/>
  <c r="BB126" i="24"/>
  <c r="BC126" i="24"/>
  <c r="BD126" i="24"/>
  <c r="BE126" i="24"/>
  <c r="BF126" i="24"/>
  <c r="BG126" i="24"/>
  <c r="BH126" i="24"/>
  <c r="BI126" i="24"/>
  <c r="BJ126" i="24"/>
  <c r="BK126" i="24"/>
  <c r="B127" i="24"/>
  <c r="C127" i="24"/>
  <c r="D127" i="24"/>
  <c r="E127" i="24"/>
  <c r="F127" i="24"/>
  <c r="G127" i="24"/>
  <c r="H127" i="24"/>
  <c r="I127" i="24"/>
  <c r="J127" i="24"/>
  <c r="K127" i="24"/>
  <c r="L127" i="24"/>
  <c r="M127" i="24"/>
  <c r="N127" i="24"/>
  <c r="O127" i="24"/>
  <c r="P127" i="24"/>
  <c r="Q127" i="24"/>
  <c r="R127" i="24"/>
  <c r="S127" i="24"/>
  <c r="T127" i="24"/>
  <c r="U127" i="24"/>
  <c r="V127" i="24"/>
  <c r="W127" i="24"/>
  <c r="X127" i="24"/>
  <c r="Y127" i="24"/>
  <c r="Z127" i="24"/>
  <c r="AA127" i="24"/>
  <c r="AB127" i="24"/>
  <c r="AC127" i="24"/>
  <c r="AD127" i="24"/>
  <c r="AE127" i="24"/>
  <c r="AF127" i="24"/>
  <c r="AG127" i="24"/>
  <c r="AH127" i="24"/>
  <c r="AI127" i="24"/>
  <c r="AJ127" i="24"/>
  <c r="AK127" i="24"/>
  <c r="AL127" i="24"/>
  <c r="AM127" i="24"/>
  <c r="AN127" i="24"/>
  <c r="AO127" i="24"/>
  <c r="AP127" i="24"/>
  <c r="AQ127" i="24"/>
  <c r="AR127" i="24"/>
  <c r="AS127" i="24"/>
  <c r="AT127" i="24"/>
  <c r="AU127" i="24"/>
  <c r="AV127" i="24"/>
  <c r="AW127" i="24"/>
  <c r="AX127" i="24"/>
  <c r="AY127" i="24"/>
  <c r="AZ127" i="24"/>
  <c r="BA127" i="24"/>
  <c r="BB127" i="24"/>
  <c r="BC127" i="24"/>
  <c r="BD127" i="24"/>
  <c r="BE127" i="24"/>
  <c r="BF127" i="24"/>
  <c r="BG127" i="24"/>
  <c r="BH127" i="24"/>
  <c r="BI127" i="24"/>
  <c r="BJ127" i="24"/>
  <c r="BK127" i="24"/>
  <c r="B128" i="24"/>
  <c r="C128" i="24"/>
  <c r="D128" i="24"/>
  <c r="E128" i="24"/>
  <c r="F128" i="24"/>
  <c r="G128" i="24"/>
  <c r="H128" i="24"/>
  <c r="I128" i="24"/>
  <c r="J128" i="24"/>
  <c r="K128" i="24"/>
  <c r="L128" i="24"/>
  <c r="M128" i="24"/>
  <c r="N128" i="24"/>
  <c r="O128" i="24"/>
  <c r="P128" i="24"/>
  <c r="Q128" i="24"/>
  <c r="R128" i="24"/>
  <c r="S128" i="24"/>
  <c r="T128" i="24"/>
  <c r="U128" i="24"/>
  <c r="V128" i="24"/>
  <c r="W128" i="24"/>
  <c r="X128" i="24"/>
  <c r="Y128" i="24"/>
  <c r="Z128" i="24"/>
  <c r="AA128" i="24"/>
  <c r="AB128" i="24"/>
  <c r="AC128" i="24"/>
  <c r="AD128" i="24"/>
  <c r="AE128" i="24"/>
  <c r="AF128" i="24"/>
  <c r="AG128" i="24"/>
  <c r="AH128" i="24"/>
  <c r="AI128" i="24"/>
  <c r="AJ128" i="24"/>
  <c r="AK128" i="24"/>
  <c r="AL128" i="24"/>
  <c r="AM128" i="24"/>
  <c r="AN128" i="24"/>
  <c r="AO128" i="24"/>
  <c r="AP128" i="24"/>
  <c r="AQ128" i="24"/>
  <c r="AR128" i="24"/>
  <c r="AS128" i="24"/>
  <c r="AT128" i="24"/>
  <c r="AU128" i="24"/>
  <c r="AV128" i="24"/>
  <c r="AW128" i="24"/>
  <c r="AX128" i="24"/>
  <c r="AY128" i="24"/>
  <c r="AZ128" i="24"/>
  <c r="BA128" i="24"/>
  <c r="BB128" i="24"/>
  <c r="BC128" i="24"/>
  <c r="BD128" i="24"/>
  <c r="BE128" i="24"/>
  <c r="BF128" i="24"/>
  <c r="BG128" i="24"/>
  <c r="BH128" i="24"/>
  <c r="BI128" i="24"/>
  <c r="BJ128" i="24"/>
  <c r="BK128" i="24"/>
  <c r="B129" i="24"/>
  <c r="C129" i="24"/>
  <c r="D129" i="24"/>
  <c r="E129" i="24"/>
  <c r="F129" i="24"/>
  <c r="G129" i="24"/>
  <c r="H129" i="24"/>
  <c r="I129" i="24"/>
  <c r="J129" i="24"/>
  <c r="K129" i="24"/>
  <c r="L129" i="24"/>
  <c r="M129" i="24"/>
  <c r="N129" i="24"/>
  <c r="O129" i="24"/>
  <c r="P129" i="24"/>
  <c r="Q129" i="24"/>
  <c r="R129" i="24"/>
  <c r="S129" i="24"/>
  <c r="T129" i="24"/>
  <c r="U129" i="24"/>
  <c r="V129" i="24"/>
  <c r="W129" i="24"/>
  <c r="X129" i="24"/>
  <c r="Y129" i="24"/>
  <c r="Z129" i="24"/>
  <c r="AA129" i="24"/>
  <c r="AB129" i="24"/>
  <c r="AC129" i="24"/>
  <c r="AD129" i="24"/>
  <c r="AE129" i="24"/>
  <c r="AF129" i="24"/>
  <c r="AG129" i="24"/>
  <c r="AH129" i="24"/>
  <c r="AI129" i="24"/>
  <c r="AJ129" i="24"/>
  <c r="AK129" i="24"/>
  <c r="AL129" i="24"/>
  <c r="AM129" i="24"/>
  <c r="AN129" i="24"/>
  <c r="AO129" i="24"/>
  <c r="AP129" i="24"/>
  <c r="AQ129" i="24"/>
  <c r="AR129" i="24"/>
  <c r="AS129" i="24"/>
  <c r="AT129" i="24"/>
  <c r="AU129" i="24"/>
  <c r="AV129" i="24"/>
  <c r="AW129" i="24"/>
  <c r="AX129" i="24"/>
  <c r="AY129" i="24"/>
  <c r="AZ129" i="24"/>
  <c r="BA129" i="24"/>
  <c r="BB129" i="24"/>
  <c r="BC129" i="24"/>
  <c r="BD129" i="24"/>
  <c r="BE129" i="24"/>
  <c r="BF129" i="24"/>
  <c r="BG129" i="24"/>
  <c r="BH129" i="24"/>
  <c r="BI129" i="24"/>
  <c r="BJ129" i="24"/>
  <c r="BK129" i="24"/>
  <c r="B130" i="24"/>
  <c r="C130" i="24"/>
  <c r="D130" i="24"/>
  <c r="E130" i="24"/>
  <c r="F130" i="24"/>
  <c r="G130" i="24"/>
  <c r="H130" i="24"/>
  <c r="I130" i="24"/>
  <c r="J130" i="24"/>
  <c r="K130" i="24"/>
  <c r="L130" i="24"/>
  <c r="M130" i="24"/>
  <c r="N130" i="24"/>
  <c r="O130" i="24"/>
  <c r="P130" i="24"/>
  <c r="Q130" i="24"/>
  <c r="R130" i="24"/>
  <c r="S130" i="24"/>
  <c r="T130" i="24"/>
  <c r="U130" i="24"/>
  <c r="V130" i="24"/>
  <c r="W130" i="24"/>
  <c r="X130" i="24"/>
  <c r="Y130" i="24"/>
  <c r="Z130" i="24"/>
  <c r="AA130" i="24"/>
  <c r="AB130" i="24"/>
  <c r="AC130" i="24"/>
  <c r="AD130" i="24"/>
  <c r="AE130" i="24"/>
  <c r="AF130" i="24"/>
  <c r="AG130" i="24"/>
  <c r="AH130" i="24"/>
  <c r="AI130" i="24"/>
  <c r="AJ130" i="24"/>
  <c r="AK130" i="24"/>
  <c r="AL130" i="24"/>
  <c r="AM130" i="24"/>
  <c r="AN130" i="24"/>
  <c r="AO130" i="24"/>
  <c r="AP130" i="24"/>
  <c r="AQ130" i="24"/>
  <c r="AR130" i="24"/>
  <c r="AS130" i="24"/>
  <c r="AT130" i="24"/>
  <c r="AU130" i="24"/>
  <c r="AV130" i="24"/>
  <c r="AW130" i="24"/>
  <c r="AX130" i="24"/>
  <c r="AY130" i="24"/>
  <c r="AZ130" i="24"/>
  <c r="BA130" i="24"/>
  <c r="BB130" i="24"/>
  <c r="BC130" i="24"/>
  <c r="BD130" i="24"/>
  <c r="BE130" i="24"/>
  <c r="BF130" i="24"/>
  <c r="BG130" i="24"/>
  <c r="BH130" i="24"/>
  <c r="BI130" i="24"/>
  <c r="BJ130" i="24"/>
  <c r="BK130" i="24"/>
  <c r="B131" i="24"/>
  <c r="C131" i="24"/>
  <c r="D131" i="24"/>
  <c r="E131" i="24"/>
  <c r="F131" i="24"/>
  <c r="G131" i="24"/>
  <c r="H131" i="24"/>
  <c r="I131" i="24"/>
  <c r="J131" i="24"/>
  <c r="K131" i="24"/>
  <c r="L131" i="24"/>
  <c r="M131" i="24"/>
  <c r="N131" i="24"/>
  <c r="O131" i="24"/>
  <c r="P131" i="24"/>
  <c r="Q131" i="24"/>
  <c r="R131" i="24"/>
  <c r="S131" i="24"/>
  <c r="T131" i="24"/>
  <c r="U131" i="24"/>
  <c r="V131" i="24"/>
  <c r="W131" i="24"/>
  <c r="X131" i="24"/>
  <c r="Y131" i="24"/>
  <c r="Z131" i="24"/>
  <c r="AA131" i="24"/>
  <c r="AB131" i="24"/>
  <c r="AC131" i="24"/>
  <c r="AD131" i="24"/>
  <c r="AE131" i="24"/>
  <c r="AF131" i="24"/>
  <c r="AG131" i="24"/>
  <c r="AH131" i="24"/>
  <c r="AI131" i="24"/>
  <c r="AJ131" i="24"/>
  <c r="AK131" i="24"/>
  <c r="AL131" i="24"/>
  <c r="AM131" i="24"/>
  <c r="AN131" i="24"/>
  <c r="AO131" i="24"/>
  <c r="AP131" i="24"/>
  <c r="AQ131" i="24"/>
  <c r="AR131" i="24"/>
  <c r="AS131" i="24"/>
  <c r="AT131" i="24"/>
  <c r="AU131" i="24"/>
  <c r="AV131" i="24"/>
  <c r="AW131" i="24"/>
  <c r="AX131" i="24"/>
  <c r="AY131" i="24"/>
  <c r="AZ131" i="24"/>
  <c r="BA131" i="24"/>
  <c r="BB131" i="24"/>
  <c r="BC131" i="24"/>
  <c r="BD131" i="24"/>
  <c r="BE131" i="24"/>
  <c r="BF131" i="24"/>
  <c r="BG131" i="24"/>
  <c r="BH131" i="24"/>
  <c r="BI131" i="24"/>
  <c r="BJ131" i="24"/>
  <c r="BK131" i="24"/>
  <c r="B132" i="24"/>
  <c r="C132" i="24"/>
  <c r="D132" i="24"/>
  <c r="E132" i="24"/>
  <c r="F132" i="24"/>
  <c r="G132" i="24"/>
  <c r="H132" i="24"/>
  <c r="I132" i="24"/>
  <c r="J132" i="24"/>
  <c r="K132" i="24"/>
  <c r="L132" i="24"/>
  <c r="M132" i="24"/>
  <c r="N132" i="24"/>
  <c r="O132" i="24"/>
  <c r="P132" i="24"/>
  <c r="Q132" i="24"/>
  <c r="R132" i="24"/>
  <c r="S132" i="24"/>
  <c r="T132" i="24"/>
  <c r="U132" i="24"/>
  <c r="V132" i="24"/>
  <c r="W132" i="24"/>
  <c r="X132" i="24"/>
  <c r="Y132" i="24"/>
  <c r="Z132" i="24"/>
  <c r="AA132" i="24"/>
  <c r="AB132" i="24"/>
  <c r="AC132" i="24"/>
  <c r="AD132" i="24"/>
  <c r="AE132" i="24"/>
  <c r="AF132" i="24"/>
  <c r="AG132" i="24"/>
  <c r="AH132" i="24"/>
  <c r="AI132" i="24"/>
  <c r="AJ132" i="24"/>
  <c r="AK132" i="24"/>
  <c r="AL132" i="24"/>
  <c r="AM132" i="24"/>
  <c r="AN132" i="24"/>
  <c r="AO132" i="24"/>
  <c r="AP132" i="24"/>
  <c r="AQ132" i="24"/>
  <c r="AR132" i="24"/>
  <c r="AS132" i="24"/>
  <c r="AT132" i="24"/>
  <c r="AU132" i="24"/>
  <c r="AV132" i="24"/>
  <c r="AW132" i="24"/>
  <c r="AX132" i="24"/>
  <c r="AY132" i="24"/>
  <c r="AZ132" i="24"/>
  <c r="BA132" i="24"/>
  <c r="BB132" i="24"/>
  <c r="BC132" i="24"/>
  <c r="BD132" i="24"/>
  <c r="BE132" i="24"/>
  <c r="BF132" i="24"/>
  <c r="BG132" i="24"/>
  <c r="BH132" i="24"/>
  <c r="BI132" i="24"/>
  <c r="BJ132" i="24"/>
  <c r="BK132" i="24"/>
  <c r="B133" i="24"/>
  <c r="C133" i="24"/>
  <c r="D133" i="24"/>
  <c r="E133" i="24"/>
  <c r="F133" i="24"/>
  <c r="G133" i="24"/>
  <c r="H133" i="24"/>
  <c r="I133" i="24"/>
  <c r="J133" i="24"/>
  <c r="K133" i="24"/>
  <c r="L133" i="24"/>
  <c r="M133" i="24"/>
  <c r="N133" i="24"/>
  <c r="O133" i="24"/>
  <c r="P133" i="24"/>
  <c r="Q133" i="24"/>
  <c r="R133" i="24"/>
  <c r="S133" i="24"/>
  <c r="T133" i="24"/>
  <c r="U133" i="24"/>
  <c r="V133" i="24"/>
  <c r="W133" i="24"/>
  <c r="X133" i="24"/>
  <c r="Y133" i="24"/>
  <c r="Z133" i="24"/>
  <c r="AA133" i="24"/>
  <c r="AB133" i="24"/>
  <c r="AC133" i="24"/>
  <c r="AD133" i="24"/>
  <c r="AE133" i="24"/>
  <c r="AF133" i="24"/>
  <c r="AG133" i="24"/>
  <c r="AH133" i="24"/>
  <c r="AI133" i="24"/>
  <c r="AJ133" i="24"/>
  <c r="AK133" i="24"/>
  <c r="AL133" i="24"/>
  <c r="AM133" i="24"/>
  <c r="AN133" i="24"/>
  <c r="AO133" i="24"/>
  <c r="AP133" i="24"/>
  <c r="AQ133" i="24"/>
  <c r="AR133" i="24"/>
  <c r="AS133" i="24"/>
  <c r="AT133" i="24"/>
  <c r="AU133" i="24"/>
  <c r="AV133" i="24"/>
  <c r="AW133" i="24"/>
  <c r="AX133" i="24"/>
  <c r="AY133" i="24"/>
  <c r="AZ133" i="24"/>
  <c r="BA133" i="24"/>
  <c r="BB133" i="24"/>
  <c r="BC133" i="24"/>
  <c r="BD133" i="24"/>
  <c r="BE133" i="24"/>
  <c r="BF133" i="24"/>
  <c r="BG133" i="24"/>
  <c r="BH133" i="24"/>
  <c r="BI133" i="24"/>
  <c r="BJ133" i="24"/>
  <c r="BK133" i="24"/>
  <c r="B134" i="24"/>
  <c r="C134" i="24"/>
  <c r="D134" i="24"/>
  <c r="E134" i="24"/>
  <c r="F134" i="24"/>
  <c r="G134" i="24"/>
  <c r="H134" i="24"/>
  <c r="I134" i="24"/>
  <c r="J134" i="24"/>
  <c r="K134" i="24"/>
  <c r="L134" i="24"/>
  <c r="M134" i="24"/>
  <c r="N134" i="24"/>
  <c r="O134" i="24"/>
  <c r="P134" i="24"/>
  <c r="Q134" i="24"/>
  <c r="R134" i="24"/>
  <c r="S134" i="24"/>
  <c r="T134" i="24"/>
  <c r="U134" i="24"/>
  <c r="V134" i="24"/>
  <c r="W134" i="24"/>
  <c r="X134" i="24"/>
  <c r="Y134" i="24"/>
  <c r="Z134" i="24"/>
  <c r="AA134" i="24"/>
  <c r="AB134" i="24"/>
  <c r="AC134" i="24"/>
  <c r="AD134" i="24"/>
  <c r="AE134" i="24"/>
  <c r="AF134" i="24"/>
  <c r="AG134" i="24"/>
  <c r="AH134" i="24"/>
  <c r="AI134" i="24"/>
  <c r="AJ134" i="24"/>
  <c r="AK134" i="24"/>
  <c r="AL134" i="24"/>
  <c r="AM134" i="24"/>
  <c r="AN134" i="24"/>
  <c r="AO134" i="24"/>
  <c r="AP134" i="24"/>
  <c r="AQ134" i="24"/>
  <c r="AR134" i="24"/>
  <c r="AS134" i="24"/>
  <c r="AT134" i="24"/>
  <c r="AU134" i="24"/>
  <c r="AV134" i="24"/>
  <c r="AW134" i="24"/>
  <c r="AX134" i="24"/>
  <c r="AY134" i="24"/>
  <c r="AZ134" i="24"/>
  <c r="BA134" i="24"/>
  <c r="BB134" i="24"/>
  <c r="BC134" i="24"/>
  <c r="BD134" i="24"/>
  <c r="BE134" i="24"/>
  <c r="BF134" i="24"/>
  <c r="BG134" i="24"/>
  <c r="BH134" i="24"/>
  <c r="BI134" i="24"/>
  <c r="BJ134" i="24"/>
  <c r="BK134" i="24"/>
  <c r="B135" i="24"/>
  <c r="C135" i="24"/>
  <c r="D135" i="24"/>
  <c r="E135" i="24"/>
  <c r="F135" i="24"/>
  <c r="G135" i="24"/>
  <c r="H135" i="24"/>
  <c r="I135" i="24"/>
  <c r="J135" i="24"/>
  <c r="K135" i="24"/>
  <c r="L135" i="24"/>
  <c r="M135" i="24"/>
  <c r="N135" i="24"/>
  <c r="O135" i="24"/>
  <c r="P135" i="24"/>
  <c r="Q135" i="24"/>
  <c r="R135" i="24"/>
  <c r="S135" i="24"/>
  <c r="T135" i="24"/>
  <c r="U135" i="24"/>
  <c r="V135" i="24"/>
  <c r="W135" i="24"/>
  <c r="X135" i="24"/>
  <c r="Y135" i="24"/>
  <c r="Z135" i="24"/>
  <c r="AA135" i="24"/>
  <c r="AB135" i="24"/>
  <c r="AC135" i="24"/>
  <c r="AD135" i="24"/>
  <c r="AE135" i="24"/>
  <c r="AF135" i="24"/>
  <c r="AG135" i="24"/>
  <c r="AH135" i="24"/>
  <c r="AI135" i="24"/>
  <c r="AJ135" i="24"/>
  <c r="AK135" i="24"/>
  <c r="AL135" i="24"/>
  <c r="AM135" i="24"/>
  <c r="AN135" i="24"/>
  <c r="AO135" i="24"/>
  <c r="AP135" i="24"/>
  <c r="AQ135" i="24"/>
  <c r="AR135" i="24"/>
  <c r="AS135" i="24"/>
  <c r="AT135" i="24"/>
  <c r="AU135" i="24"/>
  <c r="AV135" i="24"/>
  <c r="AW135" i="24"/>
  <c r="AX135" i="24"/>
  <c r="AY135" i="24"/>
  <c r="AZ135" i="24"/>
  <c r="BA135" i="24"/>
  <c r="BB135" i="24"/>
  <c r="BC135" i="24"/>
  <c r="BD135" i="24"/>
  <c r="BE135" i="24"/>
  <c r="BF135" i="24"/>
  <c r="BG135" i="24"/>
  <c r="BH135" i="24"/>
  <c r="BI135" i="24"/>
  <c r="BJ135" i="24"/>
  <c r="BK135" i="24"/>
  <c r="B136" i="24"/>
  <c r="C136" i="24"/>
  <c r="D136" i="24"/>
  <c r="E136" i="24"/>
  <c r="F136" i="24"/>
  <c r="G136" i="24"/>
  <c r="H136" i="24"/>
  <c r="I136" i="24"/>
  <c r="J136" i="24"/>
  <c r="K136" i="24"/>
  <c r="L136" i="24"/>
  <c r="M136" i="24"/>
  <c r="N136" i="24"/>
  <c r="O136" i="24"/>
  <c r="P136" i="24"/>
  <c r="Q136" i="24"/>
  <c r="R136" i="24"/>
  <c r="S136" i="24"/>
  <c r="T136" i="24"/>
  <c r="U136" i="24"/>
  <c r="V136" i="24"/>
  <c r="W136" i="24"/>
  <c r="X136" i="24"/>
  <c r="Y136" i="24"/>
  <c r="Z136" i="24"/>
  <c r="AA136" i="24"/>
  <c r="AB136" i="24"/>
  <c r="AC136" i="24"/>
  <c r="AD136" i="24"/>
  <c r="AE136" i="24"/>
  <c r="AF136" i="24"/>
  <c r="AG136" i="24"/>
  <c r="AH136" i="24"/>
  <c r="AI136" i="24"/>
  <c r="AJ136" i="24"/>
  <c r="AK136" i="24"/>
  <c r="AL136" i="24"/>
  <c r="AM136" i="24"/>
  <c r="AN136" i="24"/>
  <c r="AO136" i="24"/>
  <c r="AP136" i="24"/>
  <c r="AQ136" i="24"/>
  <c r="AR136" i="24"/>
  <c r="AS136" i="24"/>
  <c r="AT136" i="24"/>
  <c r="AU136" i="24"/>
  <c r="AV136" i="24"/>
  <c r="AW136" i="24"/>
  <c r="AX136" i="24"/>
  <c r="AY136" i="24"/>
  <c r="AZ136" i="24"/>
  <c r="BA136" i="24"/>
  <c r="BB136" i="24"/>
  <c r="BC136" i="24"/>
  <c r="BD136" i="24"/>
  <c r="BE136" i="24"/>
  <c r="BF136" i="24"/>
  <c r="BG136" i="24"/>
  <c r="BH136" i="24"/>
  <c r="BI136" i="24"/>
  <c r="BJ136" i="24"/>
  <c r="BK136" i="24"/>
  <c r="B137" i="24"/>
  <c r="C137" i="24"/>
  <c r="D137" i="24"/>
  <c r="E137" i="24"/>
  <c r="F137" i="24"/>
  <c r="G137" i="24"/>
  <c r="H137" i="24"/>
  <c r="I137" i="24"/>
  <c r="J137" i="24"/>
  <c r="K137" i="24"/>
  <c r="L137" i="24"/>
  <c r="M137" i="24"/>
  <c r="N137" i="24"/>
  <c r="O137" i="24"/>
  <c r="P137" i="24"/>
  <c r="Q137" i="24"/>
  <c r="R137" i="24"/>
  <c r="S137" i="24"/>
  <c r="T137" i="24"/>
  <c r="U137" i="24"/>
  <c r="V137" i="24"/>
  <c r="W137" i="24"/>
  <c r="X137" i="24"/>
  <c r="Y137" i="24"/>
  <c r="Z137" i="24"/>
  <c r="AA137" i="24"/>
  <c r="AB137" i="24"/>
  <c r="AC137" i="24"/>
  <c r="AD137" i="24"/>
  <c r="AE137" i="24"/>
  <c r="AF137" i="24"/>
  <c r="AG137" i="24"/>
  <c r="AH137" i="24"/>
  <c r="AI137" i="24"/>
  <c r="AJ137" i="24"/>
  <c r="AK137" i="24"/>
  <c r="AL137" i="24"/>
  <c r="AM137" i="24"/>
  <c r="AN137" i="24"/>
  <c r="AO137" i="24"/>
  <c r="AP137" i="24"/>
  <c r="AQ137" i="24"/>
  <c r="AR137" i="24"/>
  <c r="AS137" i="24"/>
  <c r="AT137" i="24"/>
  <c r="AU137" i="24"/>
  <c r="AV137" i="24"/>
  <c r="AW137" i="24"/>
  <c r="AX137" i="24"/>
  <c r="AY137" i="24"/>
  <c r="AZ137" i="24"/>
  <c r="BA137" i="24"/>
  <c r="BB137" i="24"/>
  <c r="BC137" i="24"/>
  <c r="BD137" i="24"/>
  <c r="BE137" i="24"/>
  <c r="BF137" i="24"/>
  <c r="BG137" i="24"/>
  <c r="BH137" i="24"/>
  <c r="BI137" i="24"/>
  <c r="BJ137" i="24"/>
  <c r="BK137" i="24"/>
  <c r="B138" i="24"/>
  <c r="C138" i="24"/>
  <c r="D138" i="24"/>
  <c r="E138" i="24"/>
  <c r="F138" i="24"/>
  <c r="G138" i="24"/>
  <c r="H138" i="24"/>
  <c r="I138" i="24"/>
  <c r="J138" i="24"/>
  <c r="K138" i="24"/>
  <c r="L138" i="24"/>
  <c r="M138" i="24"/>
  <c r="N138" i="24"/>
  <c r="O138" i="24"/>
  <c r="P138" i="24"/>
  <c r="Q138" i="24"/>
  <c r="R138" i="24"/>
  <c r="S138" i="24"/>
  <c r="T138" i="24"/>
  <c r="U138" i="24"/>
  <c r="V138" i="24"/>
  <c r="W138" i="24"/>
  <c r="X138" i="24"/>
  <c r="Y138" i="24"/>
  <c r="Z138" i="24"/>
  <c r="AA138" i="24"/>
  <c r="AB138" i="24"/>
  <c r="AC138" i="24"/>
  <c r="AD138" i="24"/>
  <c r="AE138" i="24"/>
  <c r="AF138" i="24"/>
  <c r="AG138" i="24"/>
  <c r="AH138" i="24"/>
  <c r="AI138" i="24"/>
  <c r="AJ138" i="24"/>
  <c r="AK138" i="24"/>
  <c r="AL138" i="24"/>
  <c r="AM138" i="24"/>
  <c r="AN138" i="24"/>
  <c r="AO138" i="24"/>
  <c r="AP138" i="24"/>
  <c r="AQ138" i="24"/>
  <c r="AR138" i="24"/>
  <c r="AS138" i="24"/>
  <c r="AT138" i="24"/>
  <c r="AU138" i="24"/>
  <c r="AV138" i="24"/>
  <c r="AW138" i="24"/>
  <c r="AX138" i="24"/>
  <c r="AY138" i="24"/>
  <c r="AZ138" i="24"/>
  <c r="BA138" i="24"/>
  <c r="BB138" i="24"/>
  <c r="BC138" i="24"/>
  <c r="BD138" i="24"/>
  <c r="BE138" i="24"/>
  <c r="BF138" i="24"/>
  <c r="BG138" i="24"/>
  <c r="BH138" i="24"/>
  <c r="BI138" i="24"/>
  <c r="BJ138" i="24"/>
  <c r="BK138" i="24"/>
  <c r="B139" i="24"/>
  <c r="C139" i="24"/>
  <c r="D139" i="24"/>
  <c r="E139" i="24"/>
  <c r="F139" i="24"/>
  <c r="G139" i="24"/>
  <c r="H139" i="24"/>
  <c r="I139" i="24"/>
  <c r="J139" i="24"/>
  <c r="K139" i="24"/>
  <c r="L139" i="24"/>
  <c r="M139" i="24"/>
  <c r="N139" i="24"/>
  <c r="O139" i="24"/>
  <c r="P139" i="24"/>
  <c r="Q139" i="24"/>
  <c r="R139" i="24"/>
  <c r="S139" i="24"/>
  <c r="T139" i="24"/>
  <c r="U139" i="24"/>
  <c r="V139" i="24"/>
  <c r="W139" i="24"/>
  <c r="X139" i="24"/>
  <c r="Y139" i="24"/>
  <c r="Z139" i="24"/>
  <c r="AA139" i="24"/>
  <c r="AB139" i="24"/>
  <c r="AC139" i="24"/>
  <c r="AD139" i="24"/>
  <c r="AE139" i="24"/>
  <c r="AF139" i="24"/>
  <c r="AG139" i="24"/>
  <c r="AH139" i="24"/>
  <c r="AI139" i="24"/>
  <c r="AJ139" i="24"/>
  <c r="AK139" i="24"/>
  <c r="AL139" i="24"/>
  <c r="AM139" i="24"/>
  <c r="AN139" i="24"/>
  <c r="AO139" i="24"/>
  <c r="AP139" i="24"/>
  <c r="AQ139" i="24"/>
  <c r="AR139" i="24"/>
  <c r="AS139" i="24"/>
  <c r="AT139" i="24"/>
  <c r="AU139" i="24"/>
  <c r="AV139" i="24"/>
  <c r="AW139" i="24"/>
  <c r="AX139" i="24"/>
  <c r="AY139" i="24"/>
  <c r="AZ139" i="24"/>
  <c r="BA139" i="24"/>
  <c r="BB139" i="24"/>
  <c r="BC139" i="24"/>
  <c r="BD139" i="24"/>
  <c r="BE139" i="24"/>
  <c r="BF139" i="24"/>
  <c r="BG139" i="24"/>
  <c r="BH139" i="24"/>
  <c r="BI139" i="24"/>
  <c r="BJ139" i="24"/>
  <c r="BK139" i="24"/>
  <c r="B140" i="24"/>
  <c r="C140" i="24"/>
  <c r="D140" i="24"/>
  <c r="E140" i="24"/>
  <c r="F140" i="24"/>
  <c r="G140" i="24"/>
  <c r="H140" i="24"/>
  <c r="I140" i="24"/>
  <c r="J140" i="24"/>
  <c r="K140" i="24"/>
  <c r="L140" i="24"/>
  <c r="M140" i="24"/>
  <c r="N140" i="24"/>
  <c r="O140" i="24"/>
  <c r="P140" i="24"/>
  <c r="Q140" i="24"/>
  <c r="R140" i="24"/>
  <c r="S140" i="24"/>
  <c r="T140" i="24"/>
  <c r="U140" i="24"/>
  <c r="V140" i="24"/>
  <c r="W140" i="24"/>
  <c r="X140" i="24"/>
  <c r="Y140" i="24"/>
  <c r="Z140" i="24"/>
  <c r="AA140" i="24"/>
  <c r="AB140" i="24"/>
  <c r="AC140" i="24"/>
  <c r="AD140" i="24"/>
  <c r="AE140" i="24"/>
  <c r="AF140" i="24"/>
  <c r="AG140" i="24"/>
  <c r="AH140" i="24"/>
  <c r="AI140" i="24"/>
  <c r="AJ140" i="24"/>
  <c r="AK140" i="24"/>
  <c r="AL140" i="24"/>
  <c r="AM140" i="24"/>
  <c r="AN140" i="24"/>
  <c r="AO140" i="24"/>
  <c r="AP140" i="24"/>
  <c r="AQ140" i="24"/>
  <c r="AR140" i="24"/>
  <c r="AS140" i="24"/>
  <c r="AT140" i="24"/>
  <c r="AU140" i="24"/>
  <c r="AV140" i="24"/>
  <c r="AW140" i="24"/>
  <c r="AX140" i="24"/>
  <c r="AY140" i="24"/>
  <c r="AZ140" i="24"/>
  <c r="BA140" i="24"/>
  <c r="BB140" i="24"/>
  <c r="BC140" i="24"/>
  <c r="BD140" i="24"/>
  <c r="BE140" i="24"/>
  <c r="BF140" i="24"/>
  <c r="BG140" i="24"/>
  <c r="BH140" i="24"/>
  <c r="BI140" i="24"/>
  <c r="BJ140" i="24"/>
  <c r="BK140" i="24"/>
  <c r="B141" i="24"/>
  <c r="C141" i="24"/>
  <c r="D141" i="24"/>
  <c r="E141" i="24"/>
  <c r="F141" i="24"/>
  <c r="G141" i="24"/>
  <c r="H141" i="24"/>
  <c r="I141" i="24"/>
  <c r="J141" i="24"/>
  <c r="K141" i="24"/>
  <c r="L141" i="24"/>
  <c r="M141" i="24"/>
  <c r="N141" i="24"/>
  <c r="O141" i="24"/>
  <c r="P141" i="24"/>
  <c r="Q141" i="24"/>
  <c r="R141" i="24"/>
  <c r="S141" i="24"/>
  <c r="T141" i="24"/>
  <c r="U141" i="24"/>
  <c r="V141" i="24"/>
  <c r="W141" i="24"/>
  <c r="X141" i="24"/>
  <c r="Y141" i="24"/>
  <c r="Z141" i="24"/>
  <c r="AA141" i="24"/>
  <c r="AB141" i="24"/>
  <c r="AC141" i="24"/>
  <c r="AD141" i="24"/>
  <c r="AE141" i="24"/>
  <c r="AF141" i="24"/>
  <c r="AG141" i="24"/>
  <c r="AH141" i="24"/>
  <c r="AI141" i="24"/>
  <c r="AJ141" i="24"/>
  <c r="AK141" i="24"/>
  <c r="AL141" i="24"/>
  <c r="AM141" i="24"/>
  <c r="AN141" i="24"/>
  <c r="AO141" i="24"/>
  <c r="AP141" i="24"/>
  <c r="AQ141" i="24"/>
  <c r="AR141" i="24"/>
  <c r="AS141" i="24"/>
  <c r="AT141" i="24"/>
  <c r="AU141" i="24"/>
  <c r="AV141" i="24"/>
  <c r="AW141" i="24"/>
  <c r="AX141" i="24"/>
  <c r="AY141" i="24"/>
  <c r="AZ141" i="24"/>
  <c r="BA141" i="24"/>
  <c r="BB141" i="24"/>
  <c r="BC141" i="24"/>
  <c r="BD141" i="24"/>
  <c r="BE141" i="24"/>
  <c r="BF141" i="24"/>
  <c r="BG141" i="24"/>
  <c r="BH141" i="24"/>
  <c r="BI141" i="24"/>
  <c r="BJ141" i="24"/>
  <c r="BK141" i="24"/>
  <c r="B142" i="24"/>
  <c r="C142" i="24"/>
  <c r="D142" i="24"/>
  <c r="E142" i="24"/>
  <c r="F142" i="24"/>
  <c r="G142" i="24"/>
  <c r="H142" i="24"/>
  <c r="I142" i="24"/>
  <c r="J142" i="24"/>
  <c r="K142" i="24"/>
  <c r="L142" i="24"/>
  <c r="M142" i="24"/>
  <c r="N142" i="24"/>
  <c r="O142" i="24"/>
  <c r="P142" i="24"/>
  <c r="Q142" i="24"/>
  <c r="R142" i="24"/>
  <c r="S142" i="24"/>
  <c r="T142" i="24"/>
  <c r="U142" i="24"/>
  <c r="V142" i="24"/>
  <c r="W142" i="24"/>
  <c r="X142" i="24"/>
  <c r="Y142" i="24"/>
  <c r="Z142" i="24"/>
  <c r="AA142" i="24"/>
  <c r="AB142" i="24"/>
  <c r="AC142" i="24"/>
  <c r="AD142" i="24"/>
  <c r="AE142" i="24"/>
  <c r="AF142" i="24"/>
  <c r="AG142" i="24"/>
  <c r="AH142" i="24"/>
  <c r="AI142" i="24"/>
  <c r="AJ142" i="24"/>
  <c r="AK142" i="24"/>
  <c r="AL142" i="24"/>
  <c r="AM142" i="24"/>
  <c r="AN142" i="24"/>
  <c r="AO142" i="24"/>
  <c r="AP142" i="24"/>
  <c r="AQ142" i="24"/>
  <c r="AR142" i="24"/>
  <c r="AS142" i="24"/>
  <c r="AT142" i="24"/>
  <c r="AU142" i="24"/>
  <c r="AV142" i="24"/>
  <c r="AW142" i="24"/>
  <c r="AX142" i="24"/>
  <c r="AY142" i="24"/>
  <c r="AZ142" i="24"/>
  <c r="BA142" i="24"/>
  <c r="BB142" i="24"/>
  <c r="BC142" i="24"/>
  <c r="BD142" i="24"/>
  <c r="BE142" i="24"/>
  <c r="BF142" i="24"/>
  <c r="BG142" i="24"/>
  <c r="BH142" i="24"/>
  <c r="BI142" i="24"/>
  <c r="BJ142" i="24"/>
  <c r="BK142" i="24"/>
  <c r="B143" i="24"/>
  <c r="C143" i="24"/>
  <c r="D143" i="24"/>
  <c r="E143" i="24"/>
  <c r="F143" i="24"/>
  <c r="G143" i="24"/>
  <c r="H143" i="24"/>
  <c r="I143" i="24"/>
  <c r="J143" i="24"/>
  <c r="K143" i="24"/>
  <c r="L143" i="24"/>
  <c r="M143" i="24"/>
  <c r="N143" i="24"/>
  <c r="O143" i="24"/>
  <c r="P143" i="24"/>
  <c r="Q143" i="24"/>
  <c r="R143" i="24"/>
  <c r="S143" i="24"/>
  <c r="T143" i="24"/>
  <c r="U143" i="24"/>
  <c r="V143" i="24"/>
  <c r="W143" i="24"/>
  <c r="X143" i="24"/>
  <c r="Y143" i="24"/>
  <c r="Z143" i="24"/>
  <c r="AA143" i="24"/>
  <c r="AB143" i="24"/>
  <c r="AC143" i="24"/>
  <c r="AD143" i="24"/>
  <c r="AE143" i="24"/>
  <c r="AF143" i="24"/>
  <c r="AG143" i="24"/>
  <c r="AH143" i="24"/>
  <c r="AI143" i="24"/>
  <c r="AJ143" i="24"/>
  <c r="AK143" i="24"/>
  <c r="AL143" i="24"/>
  <c r="AM143" i="24"/>
  <c r="AN143" i="24"/>
  <c r="AO143" i="24"/>
  <c r="AP143" i="24"/>
  <c r="AQ143" i="24"/>
  <c r="AR143" i="24"/>
  <c r="AS143" i="24"/>
  <c r="AT143" i="24"/>
  <c r="AU143" i="24"/>
  <c r="AV143" i="24"/>
  <c r="AW143" i="24"/>
  <c r="AX143" i="24"/>
  <c r="AY143" i="24"/>
  <c r="AZ143" i="24"/>
  <c r="BA143" i="24"/>
  <c r="BB143" i="24"/>
  <c r="BC143" i="24"/>
  <c r="BD143" i="24"/>
  <c r="BE143" i="24"/>
  <c r="BF143" i="24"/>
  <c r="BG143" i="24"/>
  <c r="BH143" i="24"/>
  <c r="BI143" i="24"/>
  <c r="BJ143" i="24"/>
  <c r="BK143" i="24"/>
  <c r="B144" i="24"/>
  <c r="C144" i="24"/>
  <c r="D144" i="24"/>
  <c r="E144" i="24"/>
  <c r="F144" i="24"/>
  <c r="G144" i="24"/>
  <c r="H144" i="24"/>
  <c r="I144" i="24"/>
  <c r="J144" i="24"/>
  <c r="K144" i="24"/>
  <c r="L144" i="24"/>
  <c r="M144" i="24"/>
  <c r="N144" i="24"/>
  <c r="O144" i="24"/>
  <c r="P144" i="24"/>
  <c r="Q144" i="24"/>
  <c r="R144" i="24"/>
  <c r="S144" i="24"/>
  <c r="T144" i="24"/>
  <c r="U144" i="24"/>
  <c r="V144" i="24"/>
  <c r="W144" i="24"/>
  <c r="X144" i="24"/>
  <c r="Y144" i="24"/>
  <c r="Z144" i="24"/>
  <c r="AA144" i="24"/>
  <c r="AB144" i="24"/>
  <c r="AC144" i="24"/>
  <c r="AD144" i="24"/>
  <c r="AE144" i="24"/>
  <c r="AF144" i="24"/>
  <c r="AG144" i="24"/>
  <c r="AH144" i="24"/>
  <c r="AI144" i="24"/>
  <c r="AJ144" i="24"/>
  <c r="AK144" i="24"/>
  <c r="AL144" i="24"/>
  <c r="AM144" i="24"/>
  <c r="AN144" i="24"/>
  <c r="AO144" i="24"/>
  <c r="AP144" i="24"/>
  <c r="AQ144" i="24"/>
  <c r="AR144" i="24"/>
  <c r="AS144" i="24"/>
  <c r="AT144" i="24"/>
  <c r="AU144" i="24"/>
  <c r="AV144" i="24"/>
  <c r="AW144" i="24"/>
  <c r="AX144" i="24"/>
  <c r="AY144" i="24"/>
  <c r="AZ144" i="24"/>
  <c r="BA144" i="24"/>
  <c r="BB144" i="24"/>
  <c r="BC144" i="24"/>
  <c r="BD144" i="24"/>
  <c r="BE144" i="24"/>
  <c r="BF144" i="24"/>
  <c r="BG144" i="24"/>
  <c r="BH144" i="24"/>
  <c r="BI144" i="24"/>
  <c r="BJ144" i="24"/>
  <c r="BK144" i="24"/>
  <c r="B145" i="24"/>
  <c r="C145" i="24"/>
  <c r="D145" i="24"/>
  <c r="E145" i="24"/>
  <c r="F145" i="24"/>
  <c r="G145" i="24"/>
  <c r="H145" i="24"/>
  <c r="I145" i="24"/>
  <c r="J145" i="24"/>
  <c r="K145" i="24"/>
  <c r="L145" i="24"/>
  <c r="M145" i="24"/>
  <c r="N145" i="24"/>
  <c r="O145" i="24"/>
  <c r="P145" i="24"/>
  <c r="Q145" i="24"/>
  <c r="R145" i="24"/>
  <c r="S145" i="24"/>
  <c r="T145" i="24"/>
  <c r="U145" i="24"/>
  <c r="V145" i="24"/>
  <c r="W145" i="24"/>
  <c r="X145" i="24"/>
  <c r="Y145" i="24"/>
  <c r="Z145" i="24"/>
  <c r="AA145" i="24"/>
  <c r="AB145" i="24"/>
  <c r="AC145" i="24"/>
  <c r="AD145" i="24"/>
  <c r="AE145" i="24"/>
  <c r="AF145" i="24"/>
  <c r="AG145" i="24"/>
  <c r="AH145" i="24"/>
  <c r="AI145" i="24"/>
  <c r="AJ145" i="24"/>
  <c r="AK145" i="24"/>
  <c r="AL145" i="24"/>
  <c r="AM145" i="24"/>
  <c r="AN145" i="24"/>
  <c r="AO145" i="24"/>
  <c r="AP145" i="24"/>
  <c r="AQ145" i="24"/>
  <c r="AR145" i="24"/>
  <c r="AS145" i="24"/>
  <c r="AT145" i="24"/>
  <c r="AU145" i="24"/>
  <c r="AV145" i="24"/>
  <c r="AW145" i="24"/>
  <c r="AX145" i="24"/>
  <c r="AY145" i="24"/>
  <c r="AZ145" i="24"/>
  <c r="BA145" i="24"/>
  <c r="BB145" i="24"/>
  <c r="BC145" i="24"/>
  <c r="BD145" i="24"/>
  <c r="BE145" i="24"/>
  <c r="BF145" i="24"/>
  <c r="BG145" i="24"/>
  <c r="BH145" i="24"/>
  <c r="BI145" i="24"/>
  <c r="BJ145" i="24"/>
  <c r="BK145" i="24"/>
  <c r="B146" i="24"/>
  <c r="C146" i="24"/>
  <c r="D146" i="24"/>
  <c r="E146" i="24"/>
  <c r="F146" i="24"/>
  <c r="G146" i="24"/>
  <c r="H146" i="24"/>
  <c r="I146" i="24"/>
  <c r="J146" i="24"/>
  <c r="K146" i="24"/>
  <c r="L146" i="24"/>
  <c r="M146" i="24"/>
  <c r="N146" i="24"/>
  <c r="O146" i="24"/>
  <c r="P146" i="24"/>
  <c r="Q146" i="24"/>
  <c r="R146" i="24"/>
  <c r="S146" i="24"/>
  <c r="T146" i="24"/>
  <c r="U146" i="24"/>
  <c r="V146" i="24"/>
  <c r="W146" i="24"/>
  <c r="X146" i="24"/>
  <c r="Y146" i="24"/>
  <c r="Z146" i="24"/>
  <c r="AA146" i="24"/>
  <c r="AB146" i="24"/>
  <c r="AC146" i="24"/>
  <c r="AD146" i="24"/>
  <c r="AE146" i="24"/>
  <c r="AF146" i="24"/>
  <c r="AG146" i="24"/>
  <c r="AH146" i="24"/>
  <c r="AI146" i="24"/>
  <c r="AJ146" i="24"/>
  <c r="AK146" i="24"/>
  <c r="AL146" i="24"/>
  <c r="AM146" i="24"/>
  <c r="AN146" i="24"/>
  <c r="AO146" i="24"/>
  <c r="AP146" i="24"/>
  <c r="AQ146" i="24"/>
  <c r="AR146" i="24"/>
  <c r="AS146" i="24"/>
  <c r="AT146" i="24"/>
  <c r="AU146" i="24"/>
  <c r="AV146" i="24"/>
  <c r="AW146" i="24"/>
  <c r="AX146" i="24"/>
  <c r="AY146" i="24"/>
  <c r="AZ146" i="24"/>
  <c r="BA146" i="24"/>
  <c r="BB146" i="24"/>
  <c r="BC146" i="24"/>
  <c r="BD146" i="24"/>
  <c r="BE146" i="24"/>
  <c r="BF146" i="24"/>
  <c r="BG146" i="24"/>
  <c r="BH146" i="24"/>
  <c r="BI146" i="24"/>
  <c r="BJ146" i="24"/>
  <c r="BK146" i="24"/>
  <c r="B147" i="24"/>
  <c r="C147" i="24"/>
  <c r="D147" i="24"/>
  <c r="E147" i="24"/>
  <c r="F147" i="24"/>
  <c r="G147" i="24"/>
  <c r="H147" i="24"/>
  <c r="I147" i="24"/>
  <c r="J147" i="24"/>
  <c r="K147" i="24"/>
  <c r="L147" i="24"/>
  <c r="M147" i="24"/>
  <c r="N147" i="24"/>
  <c r="O147" i="24"/>
  <c r="P147" i="24"/>
  <c r="Q147" i="24"/>
  <c r="R147" i="24"/>
  <c r="S147" i="24"/>
  <c r="T147" i="24"/>
  <c r="U147" i="24"/>
  <c r="V147" i="24"/>
  <c r="W147" i="24"/>
  <c r="X147" i="24"/>
  <c r="Y147" i="24"/>
  <c r="Z147" i="24"/>
  <c r="AA147" i="24"/>
  <c r="AB147" i="24"/>
  <c r="AC147" i="24"/>
  <c r="AD147" i="24"/>
  <c r="AE147" i="24"/>
  <c r="AF147" i="24"/>
  <c r="AG147" i="24"/>
  <c r="AH147" i="24"/>
  <c r="AI147" i="24"/>
  <c r="AJ147" i="24"/>
  <c r="AK147" i="24"/>
  <c r="AL147" i="24"/>
  <c r="AM147" i="24"/>
  <c r="AN147" i="24"/>
  <c r="AO147" i="24"/>
  <c r="AP147" i="24"/>
  <c r="AQ147" i="24"/>
  <c r="AR147" i="24"/>
  <c r="AS147" i="24"/>
  <c r="AT147" i="24"/>
  <c r="AU147" i="24"/>
  <c r="AV147" i="24"/>
  <c r="AW147" i="24"/>
  <c r="AX147" i="24"/>
  <c r="AY147" i="24"/>
  <c r="AZ147" i="24"/>
  <c r="BA147" i="24"/>
  <c r="BB147" i="24"/>
  <c r="BC147" i="24"/>
  <c r="BD147" i="24"/>
  <c r="BE147" i="24"/>
  <c r="BF147" i="24"/>
  <c r="BG147" i="24"/>
  <c r="BH147" i="24"/>
  <c r="BI147" i="24"/>
  <c r="BJ147" i="24"/>
  <c r="BK147" i="24"/>
  <c r="B148" i="24"/>
  <c r="C148" i="24"/>
  <c r="D148" i="24"/>
  <c r="E148" i="24"/>
  <c r="F148" i="24"/>
  <c r="G148" i="24"/>
  <c r="H148" i="24"/>
  <c r="I148" i="24"/>
  <c r="J148" i="24"/>
  <c r="K148" i="24"/>
  <c r="L148" i="24"/>
  <c r="M148" i="24"/>
  <c r="N148" i="24"/>
  <c r="O148" i="24"/>
  <c r="P148" i="24"/>
  <c r="Q148" i="24"/>
  <c r="R148" i="24"/>
  <c r="S148" i="24"/>
  <c r="T148" i="24"/>
  <c r="U148" i="24"/>
  <c r="V148" i="24"/>
  <c r="W148" i="24"/>
  <c r="X148" i="24"/>
  <c r="Y148" i="24"/>
  <c r="Z148" i="24"/>
  <c r="AA148" i="24"/>
  <c r="AB148" i="24"/>
  <c r="AC148" i="24"/>
  <c r="AD148" i="24"/>
  <c r="AE148" i="24"/>
  <c r="AF148" i="24"/>
  <c r="AG148" i="24"/>
  <c r="AH148" i="24"/>
  <c r="AI148" i="24"/>
  <c r="AJ148" i="24"/>
  <c r="AK148" i="24"/>
  <c r="AL148" i="24"/>
  <c r="AM148" i="24"/>
  <c r="AN148" i="24"/>
  <c r="AO148" i="24"/>
  <c r="AP148" i="24"/>
  <c r="AQ148" i="24"/>
  <c r="AR148" i="24"/>
  <c r="AS148" i="24"/>
  <c r="AT148" i="24"/>
  <c r="AU148" i="24"/>
  <c r="AV148" i="24"/>
  <c r="AW148" i="24"/>
  <c r="AX148" i="24"/>
  <c r="AY148" i="24"/>
  <c r="AZ148" i="24"/>
  <c r="BA148" i="24"/>
  <c r="BB148" i="24"/>
  <c r="BC148" i="24"/>
  <c r="BD148" i="24"/>
  <c r="BE148" i="24"/>
  <c r="BF148" i="24"/>
  <c r="BG148" i="24"/>
  <c r="BH148" i="24"/>
  <c r="BI148" i="24"/>
  <c r="BJ148" i="24"/>
  <c r="BK148" i="24"/>
  <c r="B149" i="24"/>
  <c r="C149" i="24"/>
  <c r="D149" i="24"/>
  <c r="E149" i="24"/>
  <c r="F149" i="24"/>
  <c r="G149" i="24"/>
  <c r="H149" i="24"/>
  <c r="I149" i="24"/>
  <c r="J149" i="24"/>
  <c r="K149" i="24"/>
  <c r="L149" i="24"/>
  <c r="M149" i="24"/>
  <c r="N149" i="24"/>
  <c r="O149" i="24"/>
  <c r="P149" i="24"/>
  <c r="Q149" i="24"/>
  <c r="R149" i="24"/>
  <c r="S149" i="24"/>
  <c r="T149" i="24"/>
  <c r="U149" i="24"/>
  <c r="V149" i="24"/>
  <c r="W149" i="24"/>
  <c r="X149" i="24"/>
  <c r="Y149" i="24"/>
  <c r="Z149" i="24"/>
  <c r="AA149" i="24"/>
  <c r="AB149" i="24"/>
  <c r="AC149" i="24"/>
  <c r="AD149" i="24"/>
  <c r="AE149" i="24"/>
  <c r="AF149" i="24"/>
  <c r="AG149" i="24"/>
  <c r="AH149" i="24"/>
  <c r="AI149" i="24"/>
  <c r="AJ149" i="24"/>
  <c r="AK149" i="24"/>
  <c r="AL149" i="24"/>
  <c r="AM149" i="24"/>
  <c r="AN149" i="24"/>
  <c r="AO149" i="24"/>
  <c r="AP149" i="24"/>
  <c r="AQ149" i="24"/>
  <c r="AR149" i="24"/>
  <c r="AS149" i="24"/>
  <c r="AT149" i="24"/>
  <c r="AU149" i="24"/>
  <c r="AV149" i="24"/>
  <c r="AW149" i="24"/>
  <c r="AX149" i="24"/>
  <c r="AY149" i="24"/>
  <c r="AZ149" i="24"/>
  <c r="BA149" i="24"/>
  <c r="BB149" i="24"/>
  <c r="BC149" i="24"/>
  <c r="BD149" i="24"/>
  <c r="BE149" i="24"/>
  <c r="BF149" i="24"/>
  <c r="BG149" i="24"/>
  <c r="BH149" i="24"/>
  <c r="BI149" i="24"/>
  <c r="BJ149" i="24"/>
  <c r="BK149" i="24"/>
  <c r="B150" i="24"/>
  <c r="C150" i="24"/>
  <c r="D150" i="24"/>
  <c r="E150" i="24"/>
  <c r="F150" i="24"/>
  <c r="G150" i="24"/>
  <c r="H150" i="24"/>
  <c r="I150" i="24"/>
  <c r="J150" i="24"/>
  <c r="K150" i="24"/>
  <c r="L150" i="24"/>
  <c r="M150" i="24"/>
  <c r="N150" i="24"/>
  <c r="O150" i="24"/>
  <c r="P150" i="24"/>
  <c r="Q150" i="24"/>
  <c r="R150" i="24"/>
  <c r="S150" i="24"/>
  <c r="T150" i="24"/>
  <c r="U150" i="24"/>
  <c r="V150" i="24"/>
  <c r="W150" i="24"/>
  <c r="X150" i="24"/>
  <c r="Y150" i="24"/>
  <c r="Z150" i="24"/>
  <c r="AA150" i="24"/>
  <c r="AB150" i="24"/>
  <c r="AC150" i="24"/>
  <c r="AD150" i="24"/>
  <c r="AE150" i="24"/>
  <c r="AF150" i="24"/>
  <c r="AG150" i="24"/>
  <c r="AH150" i="24"/>
  <c r="AI150" i="24"/>
  <c r="AJ150" i="24"/>
  <c r="AK150" i="24"/>
  <c r="AL150" i="24"/>
  <c r="AM150" i="24"/>
  <c r="AN150" i="24"/>
  <c r="AO150" i="24"/>
  <c r="AP150" i="24"/>
  <c r="AQ150" i="24"/>
  <c r="AR150" i="24"/>
  <c r="AS150" i="24"/>
  <c r="AT150" i="24"/>
  <c r="AU150" i="24"/>
  <c r="AV150" i="24"/>
  <c r="AW150" i="24"/>
  <c r="AX150" i="24"/>
  <c r="AY150" i="24"/>
  <c r="AZ150" i="24"/>
  <c r="BA150" i="24"/>
  <c r="BB150" i="24"/>
  <c r="BC150" i="24"/>
  <c r="BD150" i="24"/>
  <c r="BE150" i="24"/>
  <c r="BF150" i="24"/>
  <c r="BG150" i="24"/>
  <c r="BH150" i="24"/>
  <c r="BI150" i="24"/>
  <c r="BJ150" i="24"/>
  <c r="BK150" i="24"/>
  <c r="B151" i="24"/>
  <c r="C151" i="24"/>
  <c r="D151" i="24"/>
  <c r="E151" i="24"/>
  <c r="F151" i="24"/>
  <c r="G151" i="24"/>
  <c r="H151" i="24"/>
  <c r="I151" i="24"/>
  <c r="J151" i="24"/>
  <c r="K151" i="24"/>
  <c r="L151" i="24"/>
  <c r="M151" i="24"/>
  <c r="N151" i="24"/>
  <c r="O151" i="24"/>
  <c r="P151" i="24"/>
  <c r="Q151" i="24"/>
  <c r="R151" i="24"/>
  <c r="S151" i="24"/>
  <c r="T151" i="24"/>
  <c r="U151" i="24"/>
  <c r="V151" i="24"/>
  <c r="W151" i="24"/>
  <c r="X151" i="24"/>
  <c r="Y151" i="24"/>
  <c r="Z151" i="24"/>
  <c r="AA151" i="24"/>
  <c r="AB151" i="24"/>
  <c r="AC151" i="24"/>
  <c r="AD151" i="24"/>
  <c r="AE151" i="24"/>
  <c r="AF151" i="24"/>
  <c r="AG151" i="24"/>
  <c r="AH151" i="24"/>
  <c r="AI151" i="24"/>
  <c r="AJ151" i="24"/>
  <c r="AK151" i="24"/>
  <c r="AL151" i="24"/>
  <c r="AM151" i="24"/>
  <c r="AN151" i="24"/>
  <c r="AO151" i="24"/>
  <c r="AP151" i="24"/>
  <c r="AQ151" i="24"/>
  <c r="AR151" i="24"/>
  <c r="AS151" i="24"/>
  <c r="AT151" i="24"/>
  <c r="AU151" i="24"/>
  <c r="AV151" i="24"/>
  <c r="AW151" i="24"/>
  <c r="AX151" i="24"/>
  <c r="AY151" i="24"/>
  <c r="AZ151" i="24"/>
  <c r="BA151" i="24"/>
  <c r="BB151" i="24"/>
  <c r="BC151" i="24"/>
  <c r="BD151" i="24"/>
  <c r="BE151" i="24"/>
  <c r="BF151" i="24"/>
  <c r="BG151" i="24"/>
  <c r="BH151" i="24"/>
  <c r="BI151" i="24"/>
  <c r="BJ151" i="24"/>
  <c r="BK151" i="24"/>
  <c r="B152" i="24"/>
  <c r="C152" i="24"/>
  <c r="D152" i="24"/>
  <c r="E152" i="24"/>
  <c r="F152" i="24"/>
  <c r="G152" i="24"/>
  <c r="H152" i="24"/>
  <c r="I152" i="24"/>
  <c r="J152" i="24"/>
  <c r="K152" i="24"/>
  <c r="L152" i="24"/>
  <c r="M152" i="24"/>
  <c r="N152" i="24"/>
  <c r="O152" i="24"/>
  <c r="P152" i="24"/>
  <c r="Q152" i="24"/>
  <c r="R152" i="24"/>
  <c r="S152" i="24"/>
  <c r="T152" i="24"/>
  <c r="U152" i="24"/>
  <c r="V152" i="24"/>
  <c r="W152" i="24"/>
  <c r="X152" i="24"/>
  <c r="Y152" i="24"/>
  <c r="Z152" i="24"/>
  <c r="AA152" i="24"/>
  <c r="AB152" i="24"/>
  <c r="AC152" i="24"/>
  <c r="AD152" i="24"/>
  <c r="AE152" i="24"/>
  <c r="AF152" i="24"/>
  <c r="AG152" i="24"/>
  <c r="AH152" i="24"/>
  <c r="AI152" i="24"/>
  <c r="AJ152" i="24"/>
  <c r="AK152" i="24"/>
  <c r="AL152" i="24"/>
  <c r="AM152" i="24"/>
  <c r="AN152" i="24"/>
  <c r="AO152" i="24"/>
  <c r="AP152" i="24"/>
  <c r="AQ152" i="24"/>
  <c r="AR152" i="24"/>
  <c r="AS152" i="24"/>
  <c r="AT152" i="24"/>
  <c r="AU152" i="24"/>
  <c r="AV152" i="24"/>
  <c r="AW152" i="24"/>
  <c r="AX152" i="24"/>
  <c r="AY152" i="24"/>
  <c r="AZ152" i="24"/>
  <c r="BA152" i="24"/>
  <c r="BB152" i="24"/>
  <c r="BC152" i="24"/>
  <c r="BD152" i="24"/>
  <c r="BE152" i="24"/>
  <c r="BF152" i="24"/>
  <c r="BG152" i="24"/>
  <c r="BH152" i="24"/>
  <c r="BI152" i="24"/>
  <c r="BJ152" i="24"/>
  <c r="BK152" i="24"/>
  <c r="B153" i="24"/>
  <c r="C153" i="24"/>
  <c r="D153" i="24"/>
  <c r="E153" i="24"/>
  <c r="F153" i="24"/>
  <c r="G153" i="24"/>
  <c r="H153" i="24"/>
  <c r="I153" i="24"/>
  <c r="J153" i="24"/>
  <c r="K153" i="24"/>
  <c r="L153" i="24"/>
  <c r="M153" i="24"/>
  <c r="N153" i="24"/>
  <c r="O153" i="24"/>
  <c r="P153" i="24"/>
  <c r="Q153" i="24"/>
  <c r="R153" i="24"/>
  <c r="S153" i="24"/>
  <c r="T153" i="24"/>
  <c r="U153" i="24"/>
  <c r="V153" i="24"/>
  <c r="W153" i="24"/>
  <c r="X153" i="24"/>
  <c r="Y153" i="24"/>
  <c r="Z153" i="24"/>
  <c r="AA153" i="24"/>
  <c r="AB153" i="24"/>
  <c r="AC153" i="24"/>
  <c r="AD153" i="24"/>
  <c r="AE153" i="24"/>
  <c r="AF153" i="24"/>
  <c r="AG153" i="24"/>
  <c r="AH153" i="24"/>
  <c r="AI153" i="24"/>
  <c r="AJ153" i="24"/>
  <c r="AK153" i="24"/>
  <c r="AL153" i="24"/>
  <c r="AM153" i="24"/>
  <c r="AN153" i="24"/>
  <c r="AO153" i="24"/>
  <c r="AP153" i="24"/>
  <c r="AQ153" i="24"/>
  <c r="AR153" i="24"/>
  <c r="AS153" i="24"/>
  <c r="AT153" i="24"/>
  <c r="AU153" i="24"/>
  <c r="AV153" i="24"/>
  <c r="AW153" i="24"/>
  <c r="AX153" i="24"/>
  <c r="AY153" i="24"/>
  <c r="AZ153" i="24"/>
  <c r="BA153" i="24"/>
  <c r="BB153" i="24"/>
  <c r="BC153" i="24"/>
  <c r="BD153" i="24"/>
  <c r="BE153" i="24"/>
  <c r="BF153" i="24"/>
  <c r="BG153" i="24"/>
  <c r="BH153" i="24"/>
  <c r="BI153" i="24"/>
  <c r="BJ153" i="24"/>
  <c r="BK153" i="24"/>
  <c r="B154" i="24"/>
  <c r="C154" i="24"/>
  <c r="D154" i="24"/>
  <c r="E154" i="24"/>
  <c r="F154" i="24"/>
  <c r="G154" i="24"/>
  <c r="H154" i="24"/>
  <c r="I154" i="24"/>
  <c r="J154" i="24"/>
  <c r="K154" i="24"/>
  <c r="L154" i="24"/>
  <c r="M154" i="24"/>
  <c r="N154" i="24"/>
  <c r="O154" i="24"/>
  <c r="P154" i="24"/>
  <c r="Q154" i="24"/>
  <c r="R154" i="24"/>
  <c r="S154" i="24"/>
  <c r="T154" i="24"/>
  <c r="U154" i="24"/>
  <c r="V154" i="24"/>
  <c r="W154" i="24"/>
  <c r="X154" i="24"/>
  <c r="Y154" i="24"/>
  <c r="Z154" i="24"/>
  <c r="AA154" i="24"/>
  <c r="AB154" i="24"/>
  <c r="AC154" i="24"/>
  <c r="AD154" i="24"/>
  <c r="AE154" i="24"/>
  <c r="AF154" i="24"/>
  <c r="AG154" i="24"/>
  <c r="AH154" i="24"/>
  <c r="AI154" i="24"/>
  <c r="AJ154" i="24"/>
  <c r="AK154" i="24"/>
  <c r="AL154" i="24"/>
  <c r="AM154" i="24"/>
  <c r="AN154" i="24"/>
  <c r="AO154" i="24"/>
  <c r="AP154" i="24"/>
  <c r="AQ154" i="24"/>
  <c r="AR154" i="24"/>
  <c r="AS154" i="24"/>
  <c r="AT154" i="24"/>
  <c r="AU154" i="24"/>
  <c r="AV154" i="24"/>
  <c r="AW154" i="24"/>
  <c r="AX154" i="24"/>
  <c r="AY154" i="24"/>
  <c r="AZ154" i="24"/>
  <c r="BA154" i="24"/>
  <c r="BB154" i="24"/>
  <c r="BC154" i="24"/>
  <c r="BD154" i="24"/>
  <c r="BE154" i="24"/>
  <c r="BF154" i="24"/>
  <c r="BG154" i="24"/>
  <c r="BH154" i="24"/>
  <c r="BI154" i="24"/>
  <c r="BJ154" i="24"/>
  <c r="BK154" i="24"/>
  <c r="B155" i="24"/>
  <c r="C155" i="24"/>
  <c r="D155" i="24"/>
  <c r="E155" i="24"/>
  <c r="F155" i="24"/>
  <c r="G155" i="24"/>
  <c r="H155" i="24"/>
  <c r="I155" i="24"/>
  <c r="J155" i="24"/>
  <c r="K155" i="24"/>
  <c r="L155" i="24"/>
  <c r="M155" i="24"/>
  <c r="N155" i="24"/>
  <c r="O155" i="24"/>
  <c r="P155" i="24"/>
  <c r="Q155" i="24"/>
  <c r="R155" i="24"/>
  <c r="S155" i="24"/>
  <c r="T155" i="24"/>
  <c r="U155" i="24"/>
  <c r="V155" i="24"/>
  <c r="W155" i="24"/>
  <c r="X155" i="24"/>
  <c r="Y155" i="24"/>
  <c r="Z155" i="24"/>
  <c r="AA155" i="24"/>
  <c r="AB155" i="24"/>
  <c r="AC155" i="24"/>
  <c r="AD155" i="24"/>
  <c r="AE155" i="24"/>
  <c r="AF155" i="24"/>
  <c r="AG155" i="24"/>
  <c r="AH155" i="24"/>
  <c r="AI155" i="24"/>
  <c r="AJ155" i="24"/>
  <c r="AK155" i="24"/>
  <c r="AL155" i="24"/>
  <c r="AM155" i="24"/>
  <c r="AN155" i="24"/>
  <c r="AO155" i="24"/>
  <c r="AP155" i="24"/>
  <c r="AQ155" i="24"/>
  <c r="AR155" i="24"/>
  <c r="AS155" i="24"/>
  <c r="AT155" i="24"/>
  <c r="AU155" i="24"/>
  <c r="AV155" i="24"/>
  <c r="AW155" i="24"/>
  <c r="AX155" i="24"/>
  <c r="AY155" i="24"/>
  <c r="AZ155" i="24"/>
  <c r="BA155" i="24"/>
  <c r="BB155" i="24"/>
  <c r="BC155" i="24"/>
  <c r="BD155" i="24"/>
  <c r="BE155" i="24"/>
  <c r="BF155" i="24"/>
  <c r="BG155" i="24"/>
  <c r="BH155" i="24"/>
  <c r="BI155" i="24"/>
  <c r="BJ155" i="24"/>
  <c r="BK155" i="24"/>
  <c r="B156" i="24"/>
  <c r="C156" i="24"/>
  <c r="D156" i="24"/>
  <c r="E156" i="24"/>
  <c r="F156" i="24"/>
  <c r="G156" i="24"/>
  <c r="H156" i="24"/>
  <c r="I156" i="24"/>
  <c r="J156" i="24"/>
  <c r="K156" i="24"/>
  <c r="L156" i="24"/>
  <c r="M156" i="24"/>
  <c r="N156" i="24"/>
  <c r="O156" i="24"/>
  <c r="P156" i="24"/>
  <c r="Q156" i="24"/>
  <c r="R156" i="24"/>
  <c r="S156" i="24"/>
  <c r="T156" i="24"/>
  <c r="U156" i="24"/>
  <c r="V156" i="24"/>
  <c r="W156" i="24"/>
  <c r="X156" i="24"/>
  <c r="Y156" i="24"/>
  <c r="Z156" i="24"/>
  <c r="AA156" i="24"/>
  <c r="AB156" i="24"/>
  <c r="AC156" i="24"/>
  <c r="AD156" i="24"/>
  <c r="AE156" i="24"/>
  <c r="AF156" i="24"/>
  <c r="AG156" i="24"/>
  <c r="AH156" i="24"/>
  <c r="AI156" i="24"/>
  <c r="AJ156" i="24"/>
  <c r="AK156" i="24"/>
  <c r="AL156" i="24"/>
  <c r="AM156" i="24"/>
  <c r="AN156" i="24"/>
  <c r="AO156" i="24"/>
  <c r="AP156" i="24"/>
  <c r="AQ156" i="24"/>
  <c r="AR156" i="24"/>
  <c r="AS156" i="24"/>
  <c r="AT156" i="24"/>
  <c r="AU156" i="24"/>
  <c r="AV156" i="24"/>
  <c r="AW156" i="24"/>
  <c r="AX156" i="24"/>
  <c r="AY156" i="24"/>
  <c r="AZ156" i="24"/>
  <c r="BA156" i="24"/>
  <c r="BB156" i="24"/>
  <c r="BC156" i="24"/>
  <c r="BD156" i="24"/>
  <c r="BE156" i="24"/>
  <c r="BF156" i="24"/>
  <c r="BG156" i="24"/>
  <c r="BH156" i="24"/>
  <c r="BI156" i="24"/>
  <c r="BJ156" i="24"/>
  <c r="BK156" i="24"/>
  <c r="B157" i="24"/>
  <c r="C157" i="24"/>
  <c r="D157" i="24"/>
  <c r="E157" i="24"/>
  <c r="F157" i="24"/>
  <c r="G157" i="24"/>
  <c r="H157" i="24"/>
  <c r="I157" i="24"/>
  <c r="J157" i="24"/>
  <c r="K157" i="24"/>
  <c r="L157" i="24"/>
  <c r="M157" i="24"/>
  <c r="N157" i="24"/>
  <c r="O157" i="24"/>
  <c r="P157" i="24"/>
  <c r="Q157" i="24"/>
  <c r="R157" i="24"/>
  <c r="S157" i="24"/>
  <c r="T157" i="24"/>
  <c r="U157" i="24"/>
  <c r="V157" i="24"/>
  <c r="W157" i="24"/>
  <c r="X157" i="24"/>
  <c r="Y157" i="24"/>
  <c r="Z157" i="24"/>
  <c r="AA157" i="24"/>
  <c r="AB157" i="24"/>
  <c r="AC157" i="24"/>
  <c r="AD157" i="24"/>
  <c r="AE157" i="24"/>
  <c r="AF157" i="24"/>
  <c r="AG157" i="24"/>
  <c r="AH157" i="24"/>
  <c r="AI157" i="24"/>
  <c r="AJ157" i="24"/>
  <c r="AK157" i="24"/>
  <c r="AL157" i="24"/>
  <c r="AM157" i="24"/>
  <c r="AN157" i="24"/>
  <c r="AO157" i="24"/>
  <c r="AP157" i="24"/>
  <c r="AQ157" i="24"/>
  <c r="AR157" i="24"/>
  <c r="AS157" i="24"/>
  <c r="AT157" i="24"/>
  <c r="AU157" i="24"/>
  <c r="AV157" i="24"/>
  <c r="AW157" i="24"/>
  <c r="AX157" i="24"/>
  <c r="AY157" i="24"/>
  <c r="AZ157" i="24"/>
  <c r="BA157" i="24"/>
  <c r="BB157" i="24"/>
  <c r="BC157" i="24"/>
  <c r="BD157" i="24"/>
  <c r="BE157" i="24"/>
  <c r="BF157" i="24"/>
  <c r="BG157" i="24"/>
  <c r="BH157" i="24"/>
  <c r="BI157" i="24"/>
  <c r="BJ157" i="24"/>
  <c r="BK157" i="24"/>
  <c r="B158" i="24"/>
  <c r="C158" i="24"/>
  <c r="D158" i="24"/>
  <c r="E158" i="24"/>
  <c r="F158" i="24"/>
  <c r="G158" i="24"/>
  <c r="H158" i="24"/>
  <c r="I158" i="24"/>
  <c r="J158" i="24"/>
  <c r="K158" i="24"/>
  <c r="L158" i="24"/>
  <c r="M158" i="24"/>
  <c r="N158" i="24"/>
  <c r="O158" i="24"/>
  <c r="P158" i="24"/>
  <c r="Q158" i="24"/>
  <c r="R158" i="24"/>
  <c r="S158" i="24"/>
  <c r="T158" i="24"/>
  <c r="U158" i="24"/>
  <c r="V158" i="24"/>
  <c r="W158" i="24"/>
  <c r="X158" i="24"/>
  <c r="Y158" i="24"/>
  <c r="Z158" i="24"/>
  <c r="AA158" i="24"/>
  <c r="AB158" i="24"/>
  <c r="AC158" i="24"/>
  <c r="AD158" i="24"/>
  <c r="AE158" i="24"/>
  <c r="AF158" i="24"/>
  <c r="AG158" i="24"/>
  <c r="AH158" i="24"/>
  <c r="AI158" i="24"/>
  <c r="AJ158" i="24"/>
  <c r="AK158" i="24"/>
  <c r="AL158" i="24"/>
  <c r="AM158" i="24"/>
  <c r="AN158" i="24"/>
  <c r="AO158" i="24"/>
  <c r="AP158" i="24"/>
  <c r="AQ158" i="24"/>
  <c r="AR158" i="24"/>
  <c r="AS158" i="24"/>
  <c r="AT158" i="24"/>
  <c r="AU158" i="24"/>
  <c r="AV158" i="24"/>
  <c r="AW158" i="24"/>
  <c r="AX158" i="24"/>
  <c r="AY158" i="24"/>
  <c r="AZ158" i="24"/>
  <c r="BA158" i="24"/>
  <c r="BB158" i="24"/>
  <c r="BC158" i="24"/>
  <c r="BD158" i="24"/>
  <c r="BE158" i="24"/>
  <c r="BF158" i="24"/>
  <c r="BG158" i="24"/>
  <c r="BH158" i="24"/>
  <c r="BI158" i="24"/>
  <c r="BJ158" i="24"/>
  <c r="BK158" i="24"/>
  <c r="B159" i="24"/>
  <c r="C159" i="24"/>
  <c r="D159" i="24"/>
  <c r="E159" i="24"/>
  <c r="F159" i="24"/>
  <c r="G159" i="24"/>
  <c r="H159" i="24"/>
  <c r="I159" i="24"/>
  <c r="J159" i="24"/>
  <c r="K159" i="24"/>
  <c r="L159" i="24"/>
  <c r="M159" i="24"/>
  <c r="N159" i="24"/>
  <c r="O159" i="24"/>
  <c r="P159" i="24"/>
  <c r="Q159" i="24"/>
  <c r="R159" i="24"/>
  <c r="S159" i="24"/>
  <c r="T159" i="24"/>
  <c r="U159" i="24"/>
  <c r="V159" i="24"/>
  <c r="W159" i="24"/>
  <c r="X159" i="24"/>
  <c r="Y159" i="24"/>
  <c r="Z159" i="24"/>
  <c r="AA159" i="24"/>
  <c r="AB159" i="24"/>
  <c r="AC159" i="24"/>
  <c r="AD159" i="24"/>
  <c r="AE159" i="24"/>
  <c r="AF159" i="24"/>
  <c r="AG159" i="24"/>
  <c r="AH159" i="24"/>
  <c r="AI159" i="24"/>
  <c r="AJ159" i="24"/>
  <c r="AK159" i="24"/>
  <c r="AL159" i="24"/>
  <c r="AM159" i="24"/>
  <c r="AN159" i="24"/>
  <c r="AO159" i="24"/>
  <c r="AP159" i="24"/>
  <c r="AQ159" i="24"/>
  <c r="AR159" i="24"/>
  <c r="AS159" i="24"/>
  <c r="AT159" i="24"/>
  <c r="AU159" i="24"/>
  <c r="AV159" i="24"/>
  <c r="AW159" i="24"/>
  <c r="AX159" i="24"/>
  <c r="AY159" i="24"/>
  <c r="AZ159" i="24"/>
  <c r="BA159" i="24"/>
  <c r="BB159" i="24"/>
  <c r="BC159" i="24"/>
  <c r="BD159" i="24"/>
  <c r="BE159" i="24"/>
  <c r="BF159" i="24"/>
  <c r="BG159" i="24"/>
  <c r="BH159" i="24"/>
  <c r="BI159" i="24"/>
  <c r="BJ159" i="24"/>
  <c r="BK159" i="24"/>
  <c r="B160" i="24"/>
  <c r="C160" i="24"/>
  <c r="D160" i="24"/>
  <c r="E160" i="24"/>
  <c r="F160" i="24"/>
  <c r="G160" i="24"/>
  <c r="H160" i="24"/>
  <c r="I160" i="24"/>
  <c r="J160" i="24"/>
  <c r="K160" i="24"/>
  <c r="L160" i="24"/>
  <c r="M160" i="24"/>
  <c r="N160" i="24"/>
  <c r="O160" i="24"/>
  <c r="P160" i="24"/>
  <c r="Q160" i="24"/>
  <c r="R160" i="24"/>
  <c r="S160" i="24"/>
  <c r="T160" i="24"/>
  <c r="U160" i="24"/>
  <c r="V160" i="24"/>
  <c r="W160" i="24"/>
  <c r="X160" i="24"/>
  <c r="Y160" i="24"/>
  <c r="Z160" i="24"/>
  <c r="AA160" i="24"/>
  <c r="AB160" i="24"/>
  <c r="AC160" i="24"/>
  <c r="AD160" i="24"/>
  <c r="AE160" i="24"/>
  <c r="AF160" i="24"/>
  <c r="AG160" i="24"/>
  <c r="AH160" i="24"/>
  <c r="AI160" i="24"/>
  <c r="AJ160" i="24"/>
  <c r="AK160" i="24"/>
  <c r="AL160" i="24"/>
  <c r="AM160" i="24"/>
  <c r="AN160" i="24"/>
  <c r="AO160" i="24"/>
  <c r="AP160" i="24"/>
  <c r="AQ160" i="24"/>
  <c r="AR160" i="24"/>
  <c r="AS160" i="24"/>
  <c r="AT160" i="24"/>
  <c r="AU160" i="24"/>
  <c r="AV160" i="24"/>
  <c r="AW160" i="24"/>
  <c r="AX160" i="24"/>
  <c r="AY160" i="24"/>
  <c r="AZ160" i="24"/>
  <c r="BA160" i="24"/>
  <c r="BB160" i="24"/>
  <c r="BC160" i="24"/>
  <c r="BD160" i="24"/>
  <c r="BE160" i="24"/>
  <c r="BF160" i="24"/>
  <c r="BG160" i="24"/>
  <c r="BH160" i="24"/>
  <c r="BI160" i="24"/>
  <c r="BJ160" i="24"/>
  <c r="BK160" i="24"/>
  <c r="B161" i="24"/>
  <c r="C161" i="24"/>
  <c r="D161" i="24"/>
  <c r="E161" i="24"/>
  <c r="F161" i="24"/>
  <c r="G161" i="24"/>
  <c r="H161" i="24"/>
  <c r="I161" i="24"/>
  <c r="J161" i="24"/>
  <c r="K161" i="24"/>
  <c r="L161" i="24"/>
  <c r="M161" i="24"/>
  <c r="N161" i="24"/>
  <c r="O161" i="24"/>
  <c r="P161" i="24"/>
  <c r="Q161" i="24"/>
  <c r="R161" i="24"/>
  <c r="S161" i="24"/>
  <c r="T161" i="24"/>
  <c r="U161" i="24"/>
  <c r="V161" i="24"/>
  <c r="W161" i="24"/>
  <c r="X161" i="24"/>
  <c r="Y161" i="24"/>
  <c r="Z161" i="24"/>
  <c r="AA161" i="24"/>
  <c r="AB161" i="24"/>
  <c r="AC161" i="24"/>
  <c r="AD161" i="24"/>
  <c r="AE161" i="24"/>
  <c r="AF161" i="24"/>
  <c r="AG161" i="24"/>
  <c r="AH161" i="24"/>
  <c r="AI161" i="24"/>
  <c r="AJ161" i="24"/>
  <c r="AK161" i="24"/>
  <c r="AL161" i="24"/>
  <c r="AM161" i="24"/>
  <c r="AN161" i="24"/>
  <c r="AO161" i="24"/>
  <c r="AP161" i="24"/>
  <c r="AQ161" i="24"/>
  <c r="AR161" i="24"/>
  <c r="AS161" i="24"/>
  <c r="AT161" i="24"/>
  <c r="AU161" i="24"/>
  <c r="AV161" i="24"/>
  <c r="AW161" i="24"/>
  <c r="AX161" i="24"/>
  <c r="AY161" i="24"/>
  <c r="AZ161" i="24"/>
  <c r="BA161" i="24"/>
  <c r="BB161" i="24"/>
  <c r="BC161" i="24"/>
  <c r="BD161" i="24"/>
  <c r="BE161" i="24"/>
  <c r="BF161" i="24"/>
  <c r="BG161" i="24"/>
  <c r="BH161" i="24"/>
  <c r="BI161" i="24"/>
  <c r="BJ161" i="24"/>
  <c r="BK161" i="24"/>
  <c r="B162" i="24"/>
  <c r="C162" i="24"/>
  <c r="D162" i="24"/>
  <c r="E162" i="24"/>
  <c r="F162" i="24"/>
  <c r="G162" i="24"/>
  <c r="H162" i="24"/>
  <c r="I162" i="24"/>
  <c r="J162" i="24"/>
  <c r="K162" i="24"/>
  <c r="L162" i="24"/>
  <c r="M162" i="24"/>
  <c r="N162" i="24"/>
  <c r="O162" i="24"/>
  <c r="P162" i="24"/>
  <c r="Q162" i="24"/>
  <c r="R162" i="24"/>
  <c r="S162" i="24"/>
  <c r="T162" i="24"/>
  <c r="U162" i="24"/>
  <c r="V162" i="24"/>
  <c r="W162" i="24"/>
  <c r="X162" i="24"/>
  <c r="Y162" i="24"/>
  <c r="Z162" i="24"/>
  <c r="AA162" i="24"/>
  <c r="AB162" i="24"/>
  <c r="AC162" i="24"/>
  <c r="AD162" i="24"/>
  <c r="AE162" i="24"/>
  <c r="AF162" i="24"/>
  <c r="AG162" i="24"/>
  <c r="AH162" i="24"/>
  <c r="AI162" i="24"/>
  <c r="AJ162" i="24"/>
  <c r="AK162" i="24"/>
  <c r="AL162" i="24"/>
  <c r="AM162" i="24"/>
  <c r="AN162" i="24"/>
  <c r="AO162" i="24"/>
  <c r="AP162" i="24"/>
  <c r="AQ162" i="24"/>
  <c r="AR162" i="24"/>
  <c r="AS162" i="24"/>
  <c r="AT162" i="24"/>
  <c r="AU162" i="24"/>
  <c r="AV162" i="24"/>
  <c r="AW162" i="24"/>
  <c r="AX162" i="24"/>
  <c r="AY162" i="24"/>
  <c r="AZ162" i="24"/>
  <c r="BA162" i="24"/>
  <c r="BB162" i="24"/>
  <c r="BC162" i="24"/>
  <c r="BD162" i="24"/>
  <c r="BE162" i="24"/>
  <c r="BF162" i="24"/>
  <c r="BG162" i="24"/>
  <c r="BH162" i="24"/>
  <c r="BI162" i="24"/>
  <c r="BJ162" i="24"/>
  <c r="BK162" i="24"/>
  <c r="B163" i="24"/>
  <c r="C163" i="24"/>
  <c r="D163" i="24"/>
  <c r="E163" i="24"/>
  <c r="F163" i="24"/>
  <c r="G163" i="24"/>
  <c r="H163" i="24"/>
  <c r="I163" i="24"/>
  <c r="J163" i="24"/>
  <c r="K163" i="24"/>
  <c r="L163" i="24"/>
  <c r="M163" i="24"/>
  <c r="N163" i="24"/>
  <c r="O163" i="24"/>
  <c r="P163" i="24"/>
  <c r="Q163" i="24"/>
  <c r="R163" i="24"/>
  <c r="S163" i="24"/>
  <c r="T163" i="24"/>
  <c r="U163" i="24"/>
  <c r="V163" i="24"/>
  <c r="W163" i="24"/>
  <c r="X163" i="24"/>
  <c r="Y163" i="24"/>
  <c r="Z163" i="24"/>
  <c r="AA163" i="24"/>
  <c r="AB163" i="24"/>
  <c r="AC163" i="24"/>
  <c r="AD163" i="24"/>
  <c r="AE163" i="24"/>
  <c r="AF163" i="24"/>
  <c r="AG163" i="24"/>
  <c r="AH163" i="24"/>
  <c r="AI163" i="24"/>
  <c r="AJ163" i="24"/>
  <c r="AK163" i="24"/>
  <c r="AL163" i="24"/>
  <c r="AM163" i="24"/>
  <c r="AN163" i="24"/>
  <c r="AO163" i="24"/>
  <c r="AP163" i="24"/>
  <c r="AQ163" i="24"/>
  <c r="AR163" i="24"/>
  <c r="AS163" i="24"/>
  <c r="AT163" i="24"/>
  <c r="AU163" i="24"/>
  <c r="AV163" i="24"/>
  <c r="AW163" i="24"/>
  <c r="AX163" i="24"/>
  <c r="AY163" i="24"/>
  <c r="AZ163" i="24"/>
  <c r="BA163" i="24"/>
  <c r="BB163" i="24"/>
  <c r="BC163" i="24"/>
  <c r="BD163" i="24"/>
  <c r="BE163" i="24"/>
  <c r="BF163" i="24"/>
  <c r="BG163" i="24"/>
  <c r="BH163" i="24"/>
  <c r="BI163" i="24"/>
  <c r="BJ163" i="24"/>
  <c r="BK163" i="24"/>
  <c r="B164" i="24"/>
  <c r="C164" i="24"/>
  <c r="D164" i="24"/>
  <c r="E164" i="24"/>
  <c r="F164" i="24"/>
  <c r="G164" i="24"/>
  <c r="H164" i="24"/>
  <c r="I164" i="24"/>
  <c r="J164" i="24"/>
  <c r="K164" i="24"/>
  <c r="L164" i="24"/>
  <c r="M164" i="24"/>
  <c r="N164" i="24"/>
  <c r="O164" i="24"/>
  <c r="P164" i="24"/>
  <c r="Q164" i="24"/>
  <c r="R164" i="24"/>
  <c r="S164" i="24"/>
  <c r="T164" i="24"/>
  <c r="U164" i="24"/>
  <c r="V164" i="24"/>
  <c r="W164" i="24"/>
  <c r="X164" i="24"/>
  <c r="Y164" i="24"/>
  <c r="Z164" i="24"/>
  <c r="AA164" i="24"/>
  <c r="AB164" i="24"/>
  <c r="AC164" i="24"/>
  <c r="AD164" i="24"/>
  <c r="AE164" i="24"/>
  <c r="AF164" i="24"/>
  <c r="AG164" i="24"/>
  <c r="AH164" i="24"/>
  <c r="AI164" i="24"/>
  <c r="AJ164" i="24"/>
  <c r="AK164" i="24"/>
  <c r="AL164" i="24"/>
  <c r="AM164" i="24"/>
  <c r="AN164" i="24"/>
  <c r="AO164" i="24"/>
  <c r="AP164" i="24"/>
  <c r="AQ164" i="24"/>
  <c r="AR164" i="24"/>
  <c r="AS164" i="24"/>
  <c r="AT164" i="24"/>
  <c r="AU164" i="24"/>
  <c r="AV164" i="24"/>
  <c r="AW164" i="24"/>
  <c r="AX164" i="24"/>
  <c r="AY164" i="24"/>
  <c r="AZ164" i="24"/>
  <c r="BA164" i="24"/>
  <c r="BB164" i="24"/>
  <c r="BC164" i="24"/>
  <c r="BD164" i="24"/>
  <c r="BE164" i="24"/>
  <c r="BF164" i="24"/>
  <c r="BG164" i="24"/>
  <c r="BH164" i="24"/>
  <c r="BI164" i="24"/>
  <c r="BJ164" i="24"/>
  <c r="BK164" i="24"/>
  <c r="B165" i="24"/>
  <c r="C165" i="24"/>
  <c r="D165" i="24"/>
  <c r="E165" i="24"/>
  <c r="F165" i="24"/>
  <c r="G165" i="24"/>
  <c r="H165" i="24"/>
  <c r="I165" i="24"/>
  <c r="J165" i="24"/>
  <c r="K165" i="24"/>
  <c r="L165" i="24"/>
  <c r="M165" i="24"/>
  <c r="N165" i="24"/>
  <c r="O165" i="24"/>
  <c r="P165" i="24"/>
  <c r="Q165" i="24"/>
  <c r="R165" i="24"/>
  <c r="S165" i="24"/>
  <c r="T165" i="24"/>
  <c r="U165" i="24"/>
  <c r="V165" i="24"/>
  <c r="W165" i="24"/>
  <c r="X165" i="24"/>
  <c r="Y165" i="24"/>
  <c r="Z165" i="24"/>
  <c r="AA165" i="24"/>
  <c r="AB165" i="24"/>
  <c r="AC165" i="24"/>
  <c r="AD165" i="24"/>
  <c r="AE165" i="24"/>
  <c r="AF165" i="24"/>
  <c r="AG165" i="24"/>
  <c r="AH165" i="24"/>
  <c r="AI165" i="24"/>
  <c r="AJ165" i="24"/>
  <c r="AK165" i="24"/>
  <c r="AL165" i="24"/>
  <c r="AM165" i="24"/>
  <c r="AN165" i="24"/>
  <c r="AO165" i="24"/>
  <c r="AP165" i="24"/>
  <c r="AQ165" i="24"/>
  <c r="AR165" i="24"/>
  <c r="AS165" i="24"/>
  <c r="AT165" i="24"/>
  <c r="AU165" i="24"/>
  <c r="AV165" i="24"/>
  <c r="AW165" i="24"/>
  <c r="AX165" i="24"/>
  <c r="AY165" i="24"/>
  <c r="AZ165" i="24"/>
  <c r="BA165" i="24"/>
  <c r="BB165" i="24"/>
  <c r="BC165" i="24"/>
  <c r="BD165" i="24"/>
  <c r="BE165" i="24"/>
  <c r="BF165" i="24"/>
  <c r="BG165" i="24"/>
  <c r="BH165" i="24"/>
  <c r="BI165" i="24"/>
  <c r="BJ165" i="24"/>
  <c r="BK165" i="24"/>
  <c r="B166" i="24"/>
  <c r="C166" i="24"/>
  <c r="D166" i="24"/>
  <c r="E166" i="24"/>
  <c r="F166" i="24"/>
  <c r="G166" i="24"/>
  <c r="H166" i="24"/>
  <c r="I166" i="24"/>
  <c r="J166" i="24"/>
  <c r="K166" i="24"/>
  <c r="L166" i="24"/>
  <c r="M166" i="24"/>
  <c r="N166" i="24"/>
  <c r="O166" i="24"/>
  <c r="P166" i="24"/>
  <c r="Q166" i="24"/>
  <c r="R166" i="24"/>
  <c r="S166" i="24"/>
  <c r="T166" i="24"/>
  <c r="U166" i="24"/>
  <c r="V166" i="24"/>
  <c r="W166" i="24"/>
  <c r="X166" i="24"/>
  <c r="Y166" i="24"/>
  <c r="Z166" i="24"/>
  <c r="AA166" i="24"/>
  <c r="AB166" i="24"/>
  <c r="AC166" i="24"/>
  <c r="AD166" i="24"/>
  <c r="AE166" i="24"/>
  <c r="AF166" i="24"/>
  <c r="AG166" i="24"/>
  <c r="AH166" i="24"/>
  <c r="AI166" i="24"/>
  <c r="AJ166" i="24"/>
  <c r="AK166" i="24"/>
  <c r="AL166" i="24"/>
  <c r="AM166" i="24"/>
  <c r="AN166" i="24"/>
  <c r="AO166" i="24"/>
  <c r="AP166" i="24"/>
  <c r="AQ166" i="24"/>
  <c r="AR166" i="24"/>
  <c r="AS166" i="24"/>
  <c r="AT166" i="24"/>
  <c r="AU166" i="24"/>
  <c r="AV166" i="24"/>
  <c r="AW166" i="24"/>
  <c r="AX166" i="24"/>
  <c r="AY166" i="24"/>
  <c r="AZ166" i="24"/>
  <c r="BA166" i="24"/>
  <c r="BB166" i="24"/>
  <c r="BC166" i="24"/>
  <c r="BD166" i="24"/>
  <c r="BE166" i="24"/>
  <c r="BF166" i="24"/>
  <c r="BG166" i="24"/>
  <c r="BH166" i="24"/>
  <c r="BI166" i="24"/>
  <c r="BJ166" i="24"/>
  <c r="BK166" i="24"/>
  <c r="B167" i="24"/>
  <c r="C167" i="24"/>
  <c r="D167" i="24"/>
  <c r="E167" i="24"/>
  <c r="F167" i="24"/>
  <c r="G167" i="24"/>
  <c r="H167" i="24"/>
  <c r="I167" i="24"/>
  <c r="J167" i="24"/>
  <c r="K167" i="24"/>
  <c r="L167" i="24"/>
  <c r="M167" i="24"/>
  <c r="N167" i="24"/>
  <c r="O167" i="24"/>
  <c r="P167" i="24"/>
  <c r="Q167" i="24"/>
  <c r="R167" i="24"/>
  <c r="S167" i="24"/>
  <c r="T167" i="24"/>
  <c r="U167" i="24"/>
  <c r="V167" i="24"/>
  <c r="W167" i="24"/>
  <c r="X167" i="24"/>
  <c r="Y167" i="24"/>
  <c r="Z167" i="24"/>
  <c r="AA167" i="24"/>
  <c r="AB167" i="24"/>
  <c r="AC167" i="24"/>
  <c r="AD167" i="24"/>
  <c r="AE167" i="24"/>
  <c r="AF167" i="24"/>
  <c r="AG167" i="24"/>
  <c r="AH167" i="24"/>
  <c r="AI167" i="24"/>
  <c r="AJ167" i="24"/>
  <c r="AK167" i="24"/>
  <c r="AL167" i="24"/>
  <c r="AM167" i="24"/>
  <c r="AN167" i="24"/>
  <c r="AO167" i="24"/>
  <c r="AP167" i="24"/>
  <c r="AQ167" i="24"/>
  <c r="AR167" i="24"/>
  <c r="AS167" i="24"/>
  <c r="AT167" i="24"/>
  <c r="AU167" i="24"/>
  <c r="AV167" i="24"/>
  <c r="AW167" i="24"/>
  <c r="AX167" i="24"/>
  <c r="AY167" i="24"/>
  <c r="AZ167" i="24"/>
  <c r="BA167" i="24"/>
  <c r="BB167" i="24"/>
  <c r="BC167" i="24"/>
  <c r="BD167" i="24"/>
  <c r="BE167" i="24"/>
  <c r="BF167" i="24"/>
  <c r="BG167" i="24"/>
  <c r="BH167" i="24"/>
  <c r="BI167" i="24"/>
  <c r="BJ167" i="24"/>
  <c r="BK167" i="24"/>
  <c r="B168" i="24"/>
  <c r="C168" i="24"/>
  <c r="D168" i="24"/>
  <c r="E168" i="24"/>
  <c r="F168" i="24"/>
  <c r="G168" i="24"/>
  <c r="H168" i="24"/>
  <c r="I168" i="24"/>
  <c r="J168" i="24"/>
  <c r="K168" i="24"/>
  <c r="L168" i="24"/>
  <c r="M168" i="24"/>
  <c r="N168" i="24"/>
  <c r="O168" i="24"/>
  <c r="P168" i="24"/>
  <c r="Q168" i="24"/>
  <c r="R168" i="24"/>
  <c r="S168" i="24"/>
  <c r="T168" i="24"/>
  <c r="U168" i="24"/>
  <c r="V168" i="24"/>
  <c r="W168" i="24"/>
  <c r="X168" i="24"/>
  <c r="Y168" i="24"/>
  <c r="Z168" i="24"/>
  <c r="AA168" i="24"/>
  <c r="AB168" i="24"/>
  <c r="AC168" i="24"/>
  <c r="AD168" i="24"/>
  <c r="AE168" i="24"/>
  <c r="AF168" i="24"/>
  <c r="AG168" i="24"/>
  <c r="AH168" i="24"/>
  <c r="AI168" i="24"/>
  <c r="AJ168" i="24"/>
  <c r="AK168" i="24"/>
  <c r="AL168" i="24"/>
  <c r="AM168" i="24"/>
  <c r="AN168" i="24"/>
  <c r="AO168" i="24"/>
  <c r="AP168" i="24"/>
  <c r="AQ168" i="24"/>
  <c r="AR168" i="24"/>
  <c r="AS168" i="24"/>
  <c r="AT168" i="24"/>
  <c r="AU168" i="24"/>
  <c r="AV168" i="24"/>
  <c r="AW168" i="24"/>
  <c r="AX168" i="24"/>
  <c r="AY168" i="24"/>
  <c r="AZ168" i="24"/>
  <c r="BA168" i="24"/>
  <c r="BB168" i="24"/>
  <c r="BC168" i="24"/>
  <c r="BD168" i="24"/>
  <c r="BE168" i="24"/>
  <c r="BF168" i="24"/>
  <c r="BG168" i="24"/>
  <c r="BH168" i="24"/>
  <c r="BI168" i="24"/>
  <c r="BJ168" i="24"/>
  <c r="BK168" i="24"/>
  <c r="B169" i="24"/>
  <c r="C169" i="24"/>
  <c r="D169" i="24"/>
  <c r="E169" i="24"/>
  <c r="F169" i="24"/>
  <c r="G169" i="24"/>
  <c r="H169" i="24"/>
  <c r="I169" i="24"/>
  <c r="J169" i="24"/>
  <c r="K169" i="24"/>
  <c r="L169" i="24"/>
  <c r="M169" i="24"/>
  <c r="N169" i="24"/>
  <c r="O169" i="24"/>
  <c r="P169" i="24"/>
  <c r="Q169" i="24"/>
  <c r="R169" i="24"/>
  <c r="S169" i="24"/>
  <c r="T169" i="24"/>
  <c r="U169" i="24"/>
  <c r="V169" i="24"/>
  <c r="W169" i="24"/>
  <c r="X169" i="24"/>
  <c r="Y169" i="24"/>
  <c r="Z169" i="24"/>
  <c r="AA169" i="24"/>
  <c r="AB169" i="24"/>
  <c r="AC169" i="24"/>
  <c r="AD169" i="24"/>
  <c r="AE169" i="24"/>
  <c r="AF169" i="24"/>
  <c r="AG169" i="24"/>
  <c r="AH169" i="24"/>
  <c r="AI169" i="24"/>
  <c r="AJ169" i="24"/>
  <c r="AK169" i="24"/>
  <c r="AL169" i="24"/>
  <c r="AM169" i="24"/>
  <c r="AN169" i="24"/>
  <c r="AO169" i="24"/>
  <c r="AP169" i="24"/>
  <c r="AQ169" i="24"/>
  <c r="AR169" i="24"/>
  <c r="AS169" i="24"/>
  <c r="AT169" i="24"/>
  <c r="AU169" i="24"/>
  <c r="AV169" i="24"/>
  <c r="AW169" i="24"/>
  <c r="AX169" i="24"/>
  <c r="AY169" i="24"/>
  <c r="AZ169" i="24"/>
  <c r="BA169" i="24"/>
  <c r="BB169" i="24"/>
  <c r="BC169" i="24"/>
  <c r="BD169" i="24"/>
  <c r="BE169" i="24"/>
  <c r="BF169" i="24"/>
  <c r="BG169" i="24"/>
  <c r="BH169" i="24"/>
  <c r="BI169" i="24"/>
  <c r="BJ169" i="24"/>
  <c r="BK169" i="24"/>
  <c r="B170" i="24"/>
  <c r="C170" i="24"/>
  <c r="D170" i="24"/>
  <c r="E170" i="24"/>
  <c r="F170" i="24"/>
  <c r="G170" i="24"/>
  <c r="H170" i="24"/>
  <c r="I170" i="24"/>
  <c r="J170" i="24"/>
  <c r="K170" i="24"/>
  <c r="L170" i="24"/>
  <c r="M170" i="24"/>
  <c r="N170" i="24"/>
  <c r="O170" i="24"/>
  <c r="P170" i="24"/>
  <c r="Q170" i="24"/>
  <c r="R170" i="24"/>
  <c r="S170" i="24"/>
  <c r="T170" i="24"/>
  <c r="U170" i="24"/>
  <c r="V170" i="24"/>
  <c r="W170" i="24"/>
  <c r="X170" i="24"/>
  <c r="Y170" i="24"/>
  <c r="Z170" i="24"/>
  <c r="AA170" i="24"/>
  <c r="AB170" i="24"/>
  <c r="AC170" i="24"/>
  <c r="AD170" i="24"/>
  <c r="AE170" i="24"/>
  <c r="AF170" i="24"/>
  <c r="AG170" i="24"/>
  <c r="AH170" i="24"/>
  <c r="AI170" i="24"/>
  <c r="AJ170" i="24"/>
  <c r="AK170" i="24"/>
  <c r="AL170" i="24"/>
  <c r="AM170" i="24"/>
  <c r="AN170" i="24"/>
  <c r="AO170" i="24"/>
  <c r="AP170" i="24"/>
  <c r="AQ170" i="24"/>
  <c r="AR170" i="24"/>
  <c r="AS170" i="24"/>
  <c r="AT170" i="24"/>
  <c r="AU170" i="24"/>
  <c r="AV170" i="24"/>
  <c r="AW170" i="24"/>
  <c r="AX170" i="24"/>
  <c r="AY170" i="24"/>
  <c r="AZ170" i="24"/>
  <c r="BA170" i="24"/>
  <c r="BB170" i="24"/>
  <c r="BC170" i="24"/>
  <c r="BD170" i="24"/>
  <c r="BE170" i="24"/>
  <c r="BF170" i="24"/>
  <c r="BG170" i="24"/>
  <c r="BH170" i="24"/>
  <c r="BI170" i="24"/>
  <c r="BJ170" i="24"/>
  <c r="BK170" i="24"/>
  <c r="B171" i="24"/>
  <c r="C171" i="24"/>
  <c r="D171" i="24"/>
  <c r="E171" i="24"/>
  <c r="F171" i="24"/>
  <c r="G171" i="24"/>
  <c r="H171" i="24"/>
  <c r="I171" i="24"/>
  <c r="J171" i="24"/>
  <c r="K171" i="24"/>
  <c r="L171" i="24"/>
  <c r="M171" i="24"/>
  <c r="N171" i="24"/>
  <c r="O171" i="24"/>
  <c r="P171" i="24"/>
  <c r="Q171" i="24"/>
  <c r="R171" i="24"/>
  <c r="S171" i="24"/>
  <c r="T171" i="24"/>
  <c r="U171" i="24"/>
  <c r="V171" i="24"/>
  <c r="W171" i="24"/>
  <c r="X171" i="24"/>
  <c r="Y171" i="24"/>
  <c r="Z171" i="24"/>
  <c r="AA171" i="24"/>
  <c r="AB171" i="24"/>
  <c r="AC171" i="24"/>
  <c r="AD171" i="24"/>
  <c r="AE171" i="24"/>
  <c r="AF171" i="24"/>
  <c r="AG171" i="24"/>
  <c r="AH171" i="24"/>
  <c r="AI171" i="24"/>
  <c r="AJ171" i="24"/>
  <c r="AK171" i="24"/>
  <c r="AL171" i="24"/>
  <c r="AM171" i="24"/>
  <c r="AN171" i="24"/>
  <c r="AO171" i="24"/>
  <c r="AP171" i="24"/>
  <c r="AQ171" i="24"/>
  <c r="AR171" i="24"/>
  <c r="AS171" i="24"/>
  <c r="AT171" i="24"/>
  <c r="AU171" i="24"/>
  <c r="AV171" i="24"/>
  <c r="AW171" i="24"/>
  <c r="AX171" i="24"/>
  <c r="AY171" i="24"/>
  <c r="AZ171" i="24"/>
  <c r="BA171" i="24"/>
  <c r="BB171" i="24"/>
  <c r="BC171" i="24"/>
  <c r="BD171" i="24"/>
  <c r="BE171" i="24"/>
  <c r="BF171" i="24"/>
  <c r="BG171" i="24"/>
  <c r="BH171" i="24"/>
  <c r="BI171" i="24"/>
  <c r="BJ171" i="24"/>
  <c r="BK171" i="24"/>
  <c r="B172" i="24"/>
  <c r="C172" i="24"/>
  <c r="D172" i="24"/>
  <c r="E172" i="24"/>
  <c r="F172" i="24"/>
  <c r="G172" i="24"/>
  <c r="H172" i="24"/>
  <c r="I172" i="24"/>
  <c r="J172" i="24"/>
  <c r="K172" i="24"/>
  <c r="L172" i="24"/>
  <c r="M172" i="24"/>
  <c r="N172" i="24"/>
  <c r="O172" i="24"/>
  <c r="P172" i="24"/>
  <c r="Q172" i="24"/>
  <c r="R172" i="24"/>
  <c r="S172" i="24"/>
  <c r="T172" i="24"/>
  <c r="U172" i="24"/>
  <c r="V172" i="24"/>
  <c r="W172" i="24"/>
  <c r="X172" i="24"/>
  <c r="Y172" i="24"/>
  <c r="Z172" i="24"/>
  <c r="AA172" i="24"/>
  <c r="AB172" i="24"/>
  <c r="AC172" i="24"/>
  <c r="AD172" i="24"/>
  <c r="AE172" i="24"/>
  <c r="AF172" i="24"/>
  <c r="AG172" i="24"/>
  <c r="AH172" i="24"/>
  <c r="AI172" i="24"/>
  <c r="AJ172" i="24"/>
  <c r="AK172" i="24"/>
  <c r="AL172" i="24"/>
  <c r="AM172" i="24"/>
  <c r="AN172" i="24"/>
  <c r="AO172" i="24"/>
  <c r="AP172" i="24"/>
  <c r="AQ172" i="24"/>
  <c r="AR172" i="24"/>
  <c r="AS172" i="24"/>
  <c r="AT172" i="24"/>
  <c r="AU172" i="24"/>
  <c r="AV172" i="24"/>
  <c r="AW172" i="24"/>
  <c r="AX172" i="24"/>
  <c r="AY172" i="24"/>
  <c r="AZ172" i="24"/>
  <c r="BA172" i="24"/>
  <c r="BB172" i="24"/>
  <c r="BC172" i="24"/>
  <c r="BD172" i="24"/>
  <c r="BE172" i="24"/>
  <c r="BF172" i="24"/>
  <c r="BG172" i="24"/>
  <c r="BH172" i="24"/>
  <c r="BI172" i="24"/>
  <c r="BJ172" i="24"/>
  <c r="BK172" i="24"/>
  <c r="B173" i="24"/>
  <c r="C173" i="24"/>
  <c r="D173" i="24"/>
  <c r="E173" i="24"/>
  <c r="F173" i="24"/>
  <c r="G173" i="24"/>
  <c r="H173" i="24"/>
  <c r="I173" i="24"/>
  <c r="J173" i="24"/>
  <c r="K173" i="24"/>
  <c r="L173" i="24"/>
  <c r="M173" i="24"/>
  <c r="N173" i="24"/>
  <c r="O173" i="24"/>
  <c r="P173" i="24"/>
  <c r="Q173" i="24"/>
  <c r="R173" i="24"/>
  <c r="S173" i="24"/>
  <c r="T173" i="24"/>
  <c r="U173" i="24"/>
  <c r="V173" i="24"/>
  <c r="W173" i="24"/>
  <c r="X173" i="24"/>
  <c r="Y173" i="24"/>
  <c r="Z173" i="24"/>
  <c r="AA173" i="24"/>
  <c r="AB173" i="24"/>
  <c r="AC173" i="24"/>
  <c r="AD173" i="24"/>
  <c r="AE173" i="24"/>
  <c r="AF173" i="24"/>
  <c r="AG173" i="24"/>
  <c r="AH173" i="24"/>
  <c r="AI173" i="24"/>
  <c r="AJ173" i="24"/>
  <c r="AK173" i="24"/>
  <c r="AL173" i="24"/>
  <c r="AM173" i="24"/>
  <c r="AN173" i="24"/>
  <c r="AO173" i="24"/>
  <c r="AP173" i="24"/>
  <c r="AQ173" i="24"/>
  <c r="AR173" i="24"/>
  <c r="AS173" i="24"/>
  <c r="AT173" i="24"/>
  <c r="AU173" i="24"/>
  <c r="AV173" i="24"/>
  <c r="AW173" i="24"/>
  <c r="AX173" i="24"/>
  <c r="AY173" i="24"/>
  <c r="AZ173" i="24"/>
  <c r="BA173" i="24"/>
  <c r="BB173" i="24"/>
  <c r="BC173" i="24"/>
  <c r="BD173" i="24"/>
  <c r="BE173" i="24"/>
  <c r="BF173" i="24"/>
  <c r="BG173" i="24"/>
  <c r="BH173" i="24"/>
  <c r="BI173" i="24"/>
  <c r="BJ173" i="24"/>
  <c r="BK173" i="24"/>
  <c r="B174" i="24"/>
  <c r="C174" i="24"/>
  <c r="D174" i="24"/>
  <c r="E174" i="24"/>
  <c r="F174" i="24"/>
  <c r="G174" i="24"/>
  <c r="H174" i="24"/>
  <c r="I174" i="24"/>
  <c r="J174" i="24"/>
  <c r="K174" i="24"/>
  <c r="L174" i="24"/>
  <c r="M174" i="24"/>
  <c r="N174" i="24"/>
  <c r="O174" i="24"/>
  <c r="P174" i="24"/>
  <c r="Q174" i="24"/>
  <c r="R174" i="24"/>
  <c r="S174" i="24"/>
  <c r="T174" i="24"/>
  <c r="U174" i="24"/>
  <c r="V174" i="24"/>
  <c r="W174" i="24"/>
  <c r="X174" i="24"/>
  <c r="Y174" i="24"/>
  <c r="Z174" i="24"/>
  <c r="AA174" i="24"/>
  <c r="AB174" i="24"/>
  <c r="AC174" i="24"/>
  <c r="AD174" i="24"/>
  <c r="AE174" i="24"/>
  <c r="AF174" i="24"/>
  <c r="AG174" i="24"/>
  <c r="AH174" i="24"/>
  <c r="AI174" i="24"/>
  <c r="AJ174" i="24"/>
  <c r="AK174" i="24"/>
  <c r="AL174" i="24"/>
  <c r="AM174" i="24"/>
  <c r="AN174" i="24"/>
  <c r="AO174" i="24"/>
  <c r="AP174" i="24"/>
  <c r="AQ174" i="24"/>
  <c r="AR174" i="24"/>
  <c r="AS174" i="24"/>
  <c r="AT174" i="24"/>
  <c r="AU174" i="24"/>
  <c r="AV174" i="24"/>
  <c r="AW174" i="24"/>
  <c r="AX174" i="24"/>
  <c r="AY174" i="24"/>
  <c r="AZ174" i="24"/>
  <c r="BA174" i="24"/>
  <c r="BB174" i="24"/>
  <c r="BC174" i="24"/>
  <c r="BD174" i="24"/>
  <c r="BE174" i="24"/>
  <c r="BF174" i="24"/>
  <c r="BG174" i="24"/>
  <c r="BH174" i="24"/>
  <c r="BI174" i="24"/>
  <c r="BJ174" i="24"/>
  <c r="BK174" i="24"/>
  <c r="B175" i="24"/>
  <c r="C175" i="24"/>
  <c r="D175" i="24"/>
  <c r="E175" i="24"/>
  <c r="F175" i="24"/>
  <c r="G175" i="24"/>
  <c r="H175" i="24"/>
  <c r="I175" i="24"/>
  <c r="J175" i="24"/>
  <c r="K175" i="24"/>
  <c r="L175" i="24"/>
  <c r="M175" i="24"/>
  <c r="N175" i="24"/>
  <c r="O175" i="24"/>
  <c r="P175" i="24"/>
  <c r="Q175" i="24"/>
  <c r="R175" i="24"/>
  <c r="S175" i="24"/>
  <c r="T175" i="24"/>
  <c r="U175" i="24"/>
  <c r="V175" i="24"/>
  <c r="W175" i="24"/>
  <c r="X175" i="24"/>
  <c r="Y175" i="24"/>
  <c r="Z175" i="24"/>
  <c r="AA175" i="24"/>
  <c r="AB175" i="24"/>
  <c r="AC175" i="24"/>
  <c r="AD175" i="24"/>
  <c r="AE175" i="24"/>
  <c r="AF175" i="24"/>
  <c r="AG175" i="24"/>
  <c r="AH175" i="24"/>
  <c r="AI175" i="24"/>
  <c r="AJ175" i="24"/>
  <c r="AK175" i="24"/>
  <c r="AL175" i="24"/>
  <c r="AM175" i="24"/>
  <c r="AN175" i="24"/>
  <c r="AO175" i="24"/>
  <c r="AP175" i="24"/>
  <c r="AQ175" i="24"/>
  <c r="AR175" i="24"/>
  <c r="AS175" i="24"/>
  <c r="AT175" i="24"/>
  <c r="AU175" i="24"/>
  <c r="AV175" i="24"/>
  <c r="AW175" i="24"/>
  <c r="AX175" i="24"/>
  <c r="AY175" i="24"/>
  <c r="AZ175" i="24"/>
  <c r="BA175" i="24"/>
  <c r="BB175" i="24"/>
  <c r="BC175" i="24"/>
  <c r="BD175" i="24"/>
  <c r="BE175" i="24"/>
  <c r="BF175" i="24"/>
  <c r="BG175" i="24"/>
  <c r="BH175" i="24"/>
  <c r="BI175" i="24"/>
  <c r="BJ175" i="24"/>
  <c r="BK175" i="24"/>
  <c r="B176" i="24"/>
  <c r="C176" i="24"/>
  <c r="D176" i="24"/>
  <c r="E176" i="24"/>
  <c r="F176" i="24"/>
  <c r="G176" i="24"/>
  <c r="H176" i="24"/>
  <c r="I176" i="24"/>
  <c r="J176" i="24"/>
  <c r="K176" i="24"/>
  <c r="L176" i="24"/>
  <c r="M176" i="24"/>
  <c r="N176" i="24"/>
  <c r="O176" i="24"/>
  <c r="P176" i="24"/>
  <c r="Q176" i="24"/>
  <c r="R176" i="24"/>
  <c r="S176" i="24"/>
  <c r="T176" i="24"/>
  <c r="U176" i="24"/>
  <c r="V176" i="24"/>
  <c r="W176" i="24"/>
  <c r="X176" i="24"/>
  <c r="Y176" i="24"/>
  <c r="Z176" i="24"/>
  <c r="AA176" i="24"/>
  <c r="AB176" i="24"/>
  <c r="AC176" i="24"/>
  <c r="AD176" i="24"/>
  <c r="AE176" i="24"/>
  <c r="AF176" i="24"/>
  <c r="AG176" i="24"/>
  <c r="AH176" i="24"/>
  <c r="AI176" i="24"/>
  <c r="AJ176" i="24"/>
  <c r="AK176" i="24"/>
  <c r="AL176" i="24"/>
  <c r="AM176" i="24"/>
  <c r="AN176" i="24"/>
  <c r="AO176" i="24"/>
  <c r="AP176" i="24"/>
  <c r="AQ176" i="24"/>
  <c r="AR176" i="24"/>
  <c r="AS176" i="24"/>
  <c r="AT176" i="24"/>
  <c r="AU176" i="24"/>
  <c r="AV176" i="24"/>
  <c r="AW176" i="24"/>
  <c r="AX176" i="24"/>
  <c r="AY176" i="24"/>
  <c r="AZ176" i="24"/>
  <c r="BA176" i="24"/>
  <c r="BB176" i="24"/>
  <c r="BC176" i="24"/>
  <c r="BD176" i="24"/>
  <c r="BE176" i="24"/>
  <c r="BF176" i="24"/>
  <c r="BG176" i="24"/>
  <c r="BH176" i="24"/>
  <c r="BI176" i="24"/>
  <c r="BJ176" i="24"/>
  <c r="BK176" i="24"/>
  <c r="B177" i="24"/>
  <c r="C177" i="24"/>
  <c r="D177" i="24"/>
  <c r="E177" i="24"/>
  <c r="F177" i="24"/>
  <c r="G177" i="24"/>
  <c r="H177" i="24"/>
  <c r="I177" i="24"/>
  <c r="J177" i="24"/>
  <c r="K177" i="24"/>
  <c r="L177" i="24"/>
  <c r="M177" i="24"/>
  <c r="N177" i="24"/>
  <c r="O177" i="24"/>
  <c r="P177" i="24"/>
  <c r="Q177" i="24"/>
  <c r="R177" i="24"/>
  <c r="S177" i="24"/>
  <c r="T177" i="24"/>
  <c r="U177" i="24"/>
  <c r="V177" i="24"/>
  <c r="W177" i="24"/>
  <c r="X177" i="24"/>
  <c r="Y177" i="24"/>
  <c r="Z177" i="24"/>
  <c r="AA177" i="24"/>
  <c r="AB177" i="24"/>
  <c r="AC177" i="24"/>
  <c r="AD177" i="24"/>
  <c r="AE177" i="24"/>
  <c r="AF177" i="24"/>
  <c r="AG177" i="24"/>
  <c r="AH177" i="24"/>
  <c r="AI177" i="24"/>
  <c r="AJ177" i="24"/>
  <c r="AK177" i="24"/>
  <c r="AL177" i="24"/>
  <c r="AM177" i="24"/>
  <c r="AN177" i="24"/>
  <c r="AO177" i="24"/>
  <c r="AP177" i="24"/>
  <c r="AQ177" i="24"/>
  <c r="AR177" i="24"/>
  <c r="AS177" i="24"/>
  <c r="AT177" i="24"/>
  <c r="AU177" i="24"/>
  <c r="AV177" i="24"/>
  <c r="AW177" i="24"/>
  <c r="AX177" i="24"/>
  <c r="AY177" i="24"/>
  <c r="AZ177" i="24"/>
  <c r="BA177" i="24"/>
  <c r="BB177" i="24"/>
  <c r="BC177" i="24"/>
  <c r="BD177" i="24"/>
  <c r="BE177" i="24"/>
  <c r="BF177" i="24"/>
  <c r="BG177" i="24"/>
  <c r="BH177" i="24"/>
  <c r="BI177" i="24"/>
  <c r="BJ177" i="24"/>
  <c r="BK177" i="24"/>
  <c r="B178" i="24"/>
  <c r="C178" i="24"/>
  <c r="D178" i="24"/>
  <c r="E178" i="24"/>
  <c r="F178" i="24"/>
  <c r="G178" i="24"/>
  <c r="H178" i="24"/>
  <c r="I178" i="24"/>
  <c r="J178" i="24"/>
  <c r="K178" i="24"/>
  <c r="L178" i="24"/>
  <c r="M178" i="24"/>
  <c r="N178" i="24"/>
  <c r="O178" i="24"/>
  <c r="P178" i="24"/>
  <c r="Q178" i="24"/>
  <c r="R178" i="24"/>
  <c r="S178" i="24"/>
  <c r="T178" i="24"/>
  <c r="U178" i="24"/>
  <c r="V178" i="24"/>
  <c r="W178" i="24"/>
  <c r="X178" i="24"/>
  <c r="Y178" i="24"/>
  <c r="Z178" i="24"/>
  <c r="AA178" i="24"/>
  <c r="AB178" i="24"/>
  <c r="AC178" i="24"/>
  <c r="AD178" i="24"/>
  <c r="AE178" i="24"/>
  <c r="AF178" i="24"/>
  <c r="AG178" i="24"/>
  <c r="AH178" i="24"/>
  <c r="AI178" i="24"/>
  <c r="AJ178" i="24"/>
  <c r="AK178" i="24"/>
  <c r="AL178" i="24"/>
  <c r="AM178" i="24"/>
  <c r="AN178" i="24"/>
  <c r="AO178" i="24"/>
  <c r="AP178" i="24"/>
  <c r="AQ178" i="24"/>
  <c r="AR178" i="24"/>
  <c r="AS178" i="24"/>
  <c r="AT178" i="24"/>
  <c r="AU178" i="24"/>
  <c r="AV178" i="24"/>
  <c r="AW178" i="24"/>
  <c r="AX178" i="24"/>
  <c r="AY178" i="24"/>
  <c r="AZ178" i="24"/>
  <c r="BA178" i="24"/>
  <c r="BB178" i="24"/>
  <c r="BC178" i="24"/>
  <c r="BD178" i="24"/>
  <c r="BE178" i="24"/>
  <c r="BF178" i="24"/>
  <c r="BG178" i="24"/>
  <c r="BH178" i="24"/>
  <c r="BI178" i="24"/>
  <c r="BJ178" i="24"/>
  <c r="BK178" i="24"/>
  <c r="B179" i="24"/>
  <c r="C179" i="24"/>
  <c r="D179" i="24"/>
  <c r="E179" i="24"/>
  <c r="F179" i="24"/>
  <c r="G179" i="24"/>
  <c r="H179" i="24"/>
  <c r="I179" i="24"/>
  <c r="J179" i="24"/>
  <c r="K179" i="24"/>
  <c r="L179" i="24"/>
  <c r="M179" i="24"/>
  <c r="N179" i="24"/>
  <c r="O179" i="24"/>
  <c r="P179" i="24"/>
  <c r="Q179" i="24"/>
  <c r="R179" i="24"/>
  <c r="S179" i="24"/>
  <c r="T179" i="24"/>
  <c r="U179" i="24"/>
  <c r="V179" i="24"/>
  <c r="W179" i="24"/>
  <c r="X179" i="24"/>
  <c r="Y179" i="24"/>
  <c r="Z179" i="24"/>
  <c r="AA179" i="24"/>
  <c r="AB179" i="24"/>
  <c r="AC179" i="24"/>
  <c r="AD179" i="24"/>
  <c r="AE179" i="24"/>
  <c r="AF179" i="24"/>
  <c r="AG179" i="24"/>
  <c r="AH179" i="24"/>
  <c r="AI179" i="24"/>
  <c r="AJ179" i="24"/>
  <c r="AK179" i="24"/>
  <c r="AL179" i="24"/>
  <c r="AM179" i="24"/>
  <c r="AN179" i="24"/>
  <c r="AO179" i="24"/>
  <c r="AP179" i="24"/>
  <c r="AQ179" i="24"/>
  <c r="AR179" i="24"/>
  <c r="AS179" i="24"/>
  <c r="AT179" i="24"/>
  <c r="AU179" i="24"/>
  <c r="AV179" i="24"/>
  <c r="AW179" i="24"/>
  <c r="AX179" i="24"/>
  <c r="AY179" i="24"/>
  <c r="AZ179" i="24"/>
  <c r="BA179" i="24"/>
  <c r="BB179" i="24"/>
  <c r="BC179" i="24"/>
  <c r="BD179" i="24"/>
  <c r="BE179" i="24"/>
  <c r="BF179" i="24"/>
  <c r="BG179" i="24"/>
  <c r="BH179" i="24"/>
  <c r="BI179" i="24"/>
  <c r="BJ179" i="24"/>
  <c r="BK179" i="24"/>
  <c r="B180" i="24"/>
  <c r="C180" i="24"/>
  <c r="D180" i="24"/>
  <c r="E180" i="24"/>
  <c r="F180" i="24"/>
  <c r="G180" i="24"/>
  <c r="H180" i="24"/>
  <c r="I180" i="24"/>
  <c r="J180" i="24"/>
  <c r="K180" i="24"/>
  <c r="L180" i="24"/>
  <c r="M180" i="24"/>
  <c r="N180" i="24"/>
  <c r="O180" i="24"/>
  <c r="P180" i="24"/>
  <c r="Q180" i="24"/>
  <c r="R180" i="24"/>
  <c r="S180" i="24"/>
  <c r="T180" i="24"/>
  <c r="U180" i="24"/>
  <c r="V180" i="24"/>
  <c r="W180" i="24"/>
  <c r="X180" i="24"/>
  <c r="Y180" i="24"/>
  <c r="Z180" i="24"/>
  <c r="AA180" i="24"/>
  <c r="AB180" i="24"/>
  <c r="AC180" i="24"/>
  <c r="AD180" i="24"/>
  <c r="AE180" i="24"/>
  <c r="AF180" i="24"/>
  <c r="AG180" i="24"/>
  <c r="AH180" i="24"/>
  <c r="AI180" i="24"/>
  <c r="AJ180" i="24"/>
  <c r="AK180" i="24"/>
  <c r="AL180" i="24"/>
  <c r="AM180" i="24"/>
  <c r="AN180" i="24"/>
  <c r="AO180" i="24"/>
  <c r="AP180" i="24"/>
  <c r="AQ180" i="24"/>
  <c r="AR180" i="24"/>
  <c r="AS180" i="24"/>
  <c r="AT180" i="24"/>
  <c r="AU180" i="24"/>
  <c r="AV180" i="24"/>
  <c r="AW180" i="24"/>
  <c r="AX180" i="24"/>
  <c r="AY180" i="24"/>
  <c r="AZ180" i="24"/>
  <c r="BA180" i="24"/>
  <c r="BB180" i="24"/>
  <c r="BC180" i="24"/>
  <c r="BD180" i="24"/>
  <c r="BE180" i="24"/>
  <c r="BF180" i="24"/>
  <c r="BG180" i="24"/>
  <c r="BH180" i="24"/>
  <c r="BI180" i="24"/>
  <c r="BJ180" i="24"/>
  <c r="BK180" i="24"/>
  <c r="B181" i="24"/>
  <c r="C181" i="24"/>
  <c r="D181" i="24"/>
  <c r="E181" i="24"/>
  <c r="F181" i="24"/>
  <c r="G181" i="24"/>
  <c r="H181" i="24"/>
  <c r="I181" i="24"/>
  <c r="J181" i="24"/>
  <c r="K181" i="24"/>
  <c r="L181" i="24"/>
  <c r="M181" i="24"/>
  <c r="N181" i="24"/>
  <c r="O181" i="24"/>
  <c r="P181" i="24"/>
  <c r="Q181" i="24"/>
  <c r="R181" i="24"/>
  <c r="S181" i="24"/>
  <c r="T181" i="24"/>
  <c r="U181" i="24"/>
  <c r="V181" i="24"/>
  <c r="W181" i="24"/>
  <c r="X181" i="24"/>
  <c r="Y181" i="24"/>
  <c r="Z181" i="24"/>
  <c r="AA181" i="24"/>
  <c r="AB181" i="24"/>
  <c r="AC181" i="24"/>
  <c r="AD181" i="24"/>
  <c r="AE181" i="24"/>
  <c r="AF181" i="24"/>
  <c r="AG181" i="24"/>
  <c r="AH181" i="24"/>
  <c r="AI181" i="24"/>
  <c r="AJ181" i="24"/>
  <c r="AK181" i="24"/>
  <c r="AL181" i="24"/>
  <c r="AM181" i="24"/>
  <c r="AN181" i="24"/>
  <c r="AO181" i="24"/>
  <c r="AP181" i="24"/>
  <c r="AQ181" i="24"/>
  <c r="AR181" i="24"/>
  <c r="AS181" i="24"/>
  <c r="AT181" i="24"/>
  <c r="AU181" i="24"/>
  <c r="AV181" i="24"/>
  <c r="AW181" i="24"/>
  <c r="AX181" i="24"/>
  <c r="AY181" i="24"/>
  <c r="AZ181" i="24"/>
  <c r="BA181" i="24"/>
  <c r="BB181" i="24"/>
  <c r="BC181" i="24"/>
  <c r="BD181" i="24"/>
  <c r="BE181" i="24"/>
  <c r="BF181" i="24"/>
  <c r="BG181" i="24"/>
  <c r="BH181" i="24"/>
  <c r="BI181" i="24"/>
  <c r="BJ181" i="24"/>
  <c r="BK181" i="24"/>
  <c r="B182" i="24"/>
  <c r="C182" i="24"/>
  <c r="D182" i="24"/>
  <c r="E182" i="24"/>
  <c r="F182" i="24"/>
  <c r="G182" i="24"/>
  <c r="H182" i="24"/>
  <c r="I182" i="24"/>
  <c r="J182" i="24"/>
  <c r="K182" i="24"/>
  <c r="L182" i="24"/>
  <c r="M182" i="24"/>
  <c r="N182" i="24"/>
  <c r="O182" i="24"/>
  <c r="P182" i="24"/>
  <c r="Q182" i="24"/>
  <c r="R182" i="24"/>
  <c r="S182" i="24"/>
  <c r="T182" i="24"/>
  <c r="U182" i="24"/>
  <c r="V182" i="24"/>
  <c r="W182" i="24"/>
  <c r="X182" i="24"/>
  <c r="Y182" i="24"/>
  <c r="Z182" i="24"/>
  <c r="AA182" i="24"/>
  <c r="AB182" i="24"/>
  <c r="AC182" i="24"/>
  <c r="AD182" i="24"/>
  <c r="AE182" i="24"/>
  <c r="AF182" i="24"/>
  <c r="AG182" i="24"/>
  <c r="AH182" i="24"/>
  <c r="AI182" i="24"/>
  <c r="AJ182" i="24"/>
  <c r="AK182" i="24"/>
  <c r="AL182" i="24"/>
  <c r="AM182" i="24"/>
  <c r="AN182" i="24"/>
  <c r="AO182" i="24"/>
  <c r="AP182" i="24"/>
  <c r="AQ182" i="24"/>
  <c r="AR182" i="24"/>
  <c r="AS182" i="24"/>
  <c r="AT182" i="24"/>
  <c r="AU182" i="24"/>
  <c r="AV182" i="24"/>
  <c r="AW182" i="24"/>
  <c r="AX182" i="24"/>
  <c r="AY182" i="24"/>
  <c r="AZ182" i="24"/>
  <c r="BA182" i="24"/>
  <c r="BB182" i="24"/>
  <c r="BC182" i="24"/>
  <c r="BD182" i="24"/>
  <c r="BE182" i="24"/>
  <c r="BF182" i="24"/>
  <c r="BG182" i="24"/>
  <c r="BH182" i="24"/>
  <c r="BI182" i="24"/>
  <c r="BJ182" i="24"/>
  <c r="BK182" i="24"/>
  <c r="B183" i="24"/>
  <c r="C183" i="24"/>
  <c r="D183" i="24"/>
  <c r="E183" i="24"/>
  <c r="F183" i="24"/>
  <c r="G183" i="24"/>
  <c r="H183" i="24"/>
  <c r="I183" i="24"/>
  <c r="J183" i="24"/>
  <c r="K183" i="24"/>
  <c r="L183" i="24"/>
  <c r="M183" i="24"/>
  <c r="N183" i="24"/>
  <c r="O183" i="24"/>
  <c r="P183" i="24"/>
  <c r="Q183" i="24"/>
  <c r="R183" i="24"/>
  <c r="S183" i="24"/>
  <c r="T183" i="24"/>
  <c r="U183" i="24"/>
  <c r="V183" i="24"/>
  <c r="W183" i="24"/>
  <c r="X183" i="24"/>
  <c r="Y183" i="24"/>
  <c r="Z183" i="24"/>
  <c r="AA183" i="24"/>
  <c r="AB183" i="24"/>
  <c r="AC183" i="24"/>
  <c r="AD183" i="24"/>
  <c r="AE183" i="24"/>
  <c r="AF183" i="24"/>
  <c r="AG183" i="24"/>
  <c r="AH183" i="24"/>
  <c r="AI183" i="24"/>
  <c r="AJ183" i="24"/>
  <c r="AK183" i="24"/>
  <c r="AL183" i="24"/>
  <c r="AM183" i="24"/>
  <c r="AN183" i="24"/>
  <c r="AO183" i="24"/>
  <c r="AP183" i="24"/>
  <c r="AQ183" i="24"/>
  <c r="AR183" i="24"/>
  <c r="AS183" i="24"/>
  <c r="AT183" i="24"/>
  <c r="AU183" i="24"/>
  <c r="AV183" i="24"/>
  <c r="AW183" i="24"/>
  <c r="AX183" i="24"/>
  <c r="AY183" i="24"/>
  <c r="AZ183" i="24"/>
  <c r="BA183" i="24"/>
  <c r="BB183" i="24"/>
  <c r="BC183" i="24"/>
  <c r="BD183" i="24"/>
  <c r="BE183" i="24"/>
  <c r="BF183" i="24"/>
  <c r="BG183" i="24"/>
  <c r="BH183" i="24"/>
  <c r="BI183" i="24"/>
  <c r="BJ183" i="24"/>
  <c r="BK183" i="24"/>
  <c r="B184" i="24"/>
  <c r="C184" i="24"/>
  <c r="D184" i="24"/>
  <c r="E184" i="24"/>
  <c r="F184" i="24"/>
  <c r="G184" i="24"/>
  <c r="H184" i="24"/>
  <c r="I184" i="24"/>
  <c r="J184" i="24"/>
  <c r="K184" i="24"/>
  <c r="L184" i="24"/>
  <c r="M184" i="24"/>
  <c r="N184" i="24"/>
  <c r="O184" i="24"/>
  <c r="P184" i="24"/>
  <c r="Q184" i="24"/>
  <c r="R184" i="24"/>
  <c r="S184" i="24"/>
  <c r="T184" i="24"/>
  <c r="U184" i="24"/>
  <c r="V184" i="24"/>
  <c r="W184" i="24"/>
  <c r="X184" i="24"/>
  <c r="Y184" i="24"/>
  <c r="Z184" i="24"/>
  <c r="AA184" i="24"/>
  <c r="AB184" i="24"/>
  <c r="AC184" i="24"/>
  <c r="AD184" i="24"/>
  <c r="AE184" i="24"/>
  <c r="AF184" i="24"/>
  <c r="AG184" i="24"/>
  <c r="AH184" i="24"/>
  <c r="AI184" i="24"/>
  <c r="AJ184" i="24"/>
  <c r="AK184" i="24"/>
  <c r="AL184" i="24"/>
  <c r="AM184" i="24"/>
  <c r="AN184" i="24"/>
  <c r="AO184" i="24"/>
  <c r="AP184" i="24"/>
  <c r="AQ184" i="24"/>
  <c r="AR184" i="24"/>
  <c r="AS184" i="24"/>
  <c r="AT184" i="24"/>
  <c r="AU184" i="24"/>
  <c r="AV184" i="24"/>
  <c r="AW184" i="24"/>
  <c r="AX184" i="24"/>
  <c r="AY184" i="24"/>
  <c r="AZ184" i="24"/>
  <c r="BA184" i="24"/>
  <c r="BB184" i="24"/>
  <c r="BC184" i="24"/>
  <c r="BD184" i="24"/>
  <c r="BE184" i="24"/>
  <c r="BF184" i="24"/>
  <c r="BG184" i="24"/>
  <c r="BH184" i="24"/>
  <c r="BI184" i="24"/>
  <c r="BJ184" i="24"/>
  <c r="BK184" i="24"/>
  <c r="B185" i="24"/>
  <c r="C185" i="24"/>
  <c r="D185" i="24"/>
  <c r="E185" i="24"/>
  <c r="F185" i="24"/>
  <c r="G185" i="24"/>
  <c r="H185" i="24"/>
  <c r="I185" i="24"/>
  <c r="J185" i="24"/>
  <c r="K185" i="24"/>
  <c r="L185" i="24"/>
  <c r="M185" i="24"/>
  <c r="N185" i="24"/>
  <c r="O185" i="24"/>
  <c r="P185" i="24"/>
  <c r="Q185" i="24"/>
  <c r="R185" i="24"/>
  <c r="S185" i="24"/>
  <c r="T185" i="24"/>
  <c r="U185" i="24"/>
  <c r="V185" i="24"/>
  <c r="W185" i="24"/>
  <c r="X185" i="24"/>
  <c r="Y185" i="24"/>
  <c r="Z185" i="24"/>
  <c r="AA185" i="24"/>
  <c r="AB185" i="24"/>
  <c r="AC185" i="24"/>
  <c r="AD185" i="24"/>
  <c r="AE185" i="24"/>
  <c r="AF185" i="24"/>
  <c r="AG185" i="24"/>
  <c r="AH185" i="24"/>
  <c r="AI185" i="24"/>
  <c r="AJ185" i="24"/>
  <c r="AK185" i="24"/>
  <c r="AL185" i="24"/>
  <c r="AM185" i="24"/>
  <c r="AN185" i="24"/>
  <c r="AO185" i="24"/>
  <c r="AP185" i="24"/>
  <c r="AQ185" i="24"/>
  <c r="AR185" i="24"/>
  <c r="AS185" i="24"/>
  <c r="AT185" i="24"/>
  <c r="AU185" i="24"/>
  <c r="AV185" i="24"/>
  <c r="AW185" i="24"/>
  <c r="AX185" i="24"/>
  <c r="AY185" i="24"/>
  <c r="AZ185" i="24"/>
  <c r="BA185" i="24"/>
  <c r="BB185" i="24"/>
  <c r="BC185" i="24"/>
  <c r="BD185" i="24"/>
  <c r="BE185" i="24"/>
  <c r="BF185" i="24"/>
  <c r="BG185" i="24"/>
  <c r="BH185" i="24"/>
  <c r="BI185" i="24"/>
  <c r="BJ185" i="24"/>
  <c r="BK185" i="24"/>
  <c r="B186" i="24"/>
  <c r="C186" i="24"/>
  <c r="D186" i="24"/>
  <c r="E186" i="24"/>
  <c r="F186" i="24"/>
  <c r="G186" i="24"/>
  <c r="H186" i="24"/>
  <c r="I186" i="24"/>
  <c r="J186" i="24"/>
  <c r="K186" i="24"/>
  <c r="L186" i="24"/>
  <c r="M186" i="24"/>
  <c r="N186" i="24"/>
  <c r="O186" i="24"/>
  <c r="P186" i="24"/>
  <c r="Q186" i="24"/>
  <c r="R186" i="24"/>
  <c r="S186" i="24"/>
  <c r="T186" i="24"/>
  <c r="U186" i="24"/>
  <c r="V186" i="24"/>
  <c r="W186" i="24"/>
  <c r="X186" i="24"/>
  <c r="Y186" i="24"/>
  <c r="Z186" i="24"/>
  <c r="AA186" i="24"/>
  <c r="AB186" i="24"/>
  <c r="AC186" i="24"/>
  <c r="AD186" i="24"/>
  <c r="AE186" i="24"/>
  <c r="AF186" i="24"/>
  <c r="AG186" i="24"/>
  <c r="AH186" i="24"/>
  <c r="AI186" i="24"/>
  <c r="AJ186" i="24"/>
  <c r="AK186" i="24"/>
  <c r="AL186" i="24"/>
  <c r="AM186" i="24"/>
  <c r="AN186" i="24"/>
  <c r="AO186" i="24"/>
  <c r="AP186" i="24"/>
  <c r="AQ186" i="24"/>
  <c r="AR186" i="24"/>
  <c r="AS186" i="24"/>
  <c r="AT186" i="24"/>
  <c r="AU186" i="24"/>
  <c r="AV186" i="24"/>
  <c r="AW186" i="24"/>
  <c r="AX186" i="24"/>
  <c r="AY186" i="24"/>
  <c r="AZ186" i="24"/>
  <c r="BA186" i="24"/>
  <c r="BB186" i="24"/>
  <c r="BC186" i="24"/>
  <c r="BD186" i="24"/>
  <c r="BE186" i="24"/>
  <c r="BF186" i="24"/>
  <c r="BG186" i="24"/>
  <c r="BH186" i="24"/>
  <c r="BI186" i="24"/>
  <c r="BJ186" i="24"/>
  <c r="BK186" i="24"/>
  <c r="B187" i="24"/>
  <c r="C187" i="24"/>
  <c r="D187" i="24"/>
  <c r="E187" i="24"/>
  <c r="F187" i="24"/>
  <c r="G187" i="24"/>
  <c r="H187" i="24"/>
  <c r="I187" i="24"/>
  <c r="J187" i="24"/>
  <c r="K187" i="24"/>
  <c r="L187" i="24"/>
  <c r="M187" i="24"/>
  <c r="N187" i="24"/>
  <c r="O187" i="24"/>
  <c r="P187" i="24"/>
  <c r="Q187" i="24"/>
  <c r="R187" i="24"/>
  <c r="S187" i="24"/>
  <c r="T187" i="24"/>
  <c r="U187" i="24"/>
  <c r="V187" i="24"/>
  <c r="W187" i="24"/>
  <c r="X187" i="24"/>
  <c r="Y187" i="24"/>
  <c r="Z187" i="24"/>
  <c r="AA187" i="24"/>
  <c r="AB187" i="24"/>
  <c r="AC187" i="24"/>
  <c r="AD187" i="24"/>
  <c r="AE187" i="24"/>
  <c r="AF187" i="24"/>
  <c r="AG187" i="24"/>
  <c r="AH187" i="24"/>
  <c r="AI187" i="24"/>
  <c r="AJ187" i="24"/>
  <c r="AK187" i="24"/>
  <c r="AL187" i="24"/>
  <c r="AM187" i="24"/>
  <c r="AN187" i="24"/>
  <c r="AO187" i="24"/>
  <c r="AP187" i="24"/>
  <c r="AQ187" i="24"/>
  <c r="AR187" i="24"/>
  <c r="AS187" i="24"/>
  <c r="AT187" i="24"/>
  <c r="AU187" i="24"/>
  <c r="AV187" i="24"/>
  <c r="AW187" i="24"/>
  <c r="AX187" i="24"/>
  <c r="AY187" i="24"/>
  <c r="AZ187" i="24"/>
  <c r="BA187" i="24"/>
  <c r="BB187" i="24"/>
  <c r="BC187" i="24"/>
  <c r="BD187" i="24"/>
  <c r="BE187" i="24"/>
  <c r="BF187" i="24"/>
  <c r="BG187" i="24"/>
  <c r="BH187" i="24"/>
  <c r="BI187" i="24"/>
  <c r="BJ187" i="24"/>
  <c r="BK187" i="24"/>
  <c r="B188" i="24"/>
  <c r="C188" i="24"/>
  <c r="D188" i="24"/>
  <c r="E188" i="24"/>
  <c r="F188" i="24"/>
  <c r="G188" i="24"/>
  <c r="H188" i="24"/>
  <c r="I188" i="24"/>
  <c r="J188" i="24"/>
  <c r="K188" i="24"/>
  <c r="L188" i="24"/>
  <c r="M188" i="24"/>
  <c r="N188" i="24"/>
  <c r="O188" i="24"/>
  <c r="P188" i="24"/>
  <c r="Q188" i="24"/>
  <c r="R188" i="24"/>
  <c r="S188" i="24"/>
  <c r="T188" i="24"/>
  <c r="U188" i="24"/>
  <c r="V188" i="24"/>
  <c r="W188" i="24"/>
  <c r="X188" i="24"/>
  <c r="Y188" i="24"/>
  <c r="Z188" i="24"/>
  <c r="AA188" i="24"/>
  <c r="AB188" i="24"/>
  <c r="AC188" i="24"/>
  <c r="AD188" i="24"/>
  <c r="AE188" i="24"/>
  <c r="AF188" i="24"/>
  <c r="AG188" i="24"/>
  <c r="AH188" i="24"/>
  <c r="AI188" i="24"/>
  <c r="AJ188" i="24"/>
  <c r="AK188" i="24"/>
  <c r="AL188" i="24"/>
  <c r="AM188" i="24"/>
  <c r="AN188" i="24"/>
  <c r="AO188" i="24"/>
  <c r="AP188" i="24"/>
  <c r="AQ188" i="24"/>
  <c r="AR188" i="24"/>
  <c r="AS188" i="24"/>
  <c r="AT188" i="24"/>
  <c r="AU188" i="24"/>
  <c r="AV188" i="24"/>
  <c r="AW188" i="24"/>
  <c r="AX188" i="24"/>
  <c r="AY188" i="24"/>
  <c r="AZ188" i="24"/>
  <c r="BA188" i="24"/>
  <c r="BB188" i="24"/>
  <c r="BC188" i="24"/>
  <c r="BD188" i="24"/>
  <c r="BE188" i="24"/>
  <c r="BF188" i="24"/>
  <c r="BG188" i="24"/>
  <c r="BH188" i="24"/>
  <c r="BI188" i="24"/>
  <c r="BJ188" i="24"/>
  <c r="BK188" i="24"/>
  <c r="B189" i="24"/>
  <c r="C189" i="24"/>
  <c r="D189" i="24"/>
  <c r="E189" i="24"/>
  <c r="F189" i="24"/>
  <c r="G189" i="24"/>
  <c r="H189" i="24"/>
  <c r="I189" i="24"/>
  <c r="J189" i="24"/>
  <c r="K189" i="24"/>
  <c r="L189" i="24"/>
  <c r="M189" i="24"/>
  <c r="N189" i="24"/>
  <c r="O189" i="24"/>
  <c r="P189" i="24"/>
  <c r="Q189" i="24"/>
  <c r="R189" i="24"/>
  <c r="S189" i="24"/>
  <c r="T189" i="24"/>
  <c r="U189" i="24"/>
  <c r="V189" i="24"/>
  <c r="W189" i="24"/>
  <c r="X189" i="24"/>
  <c r="Y189" i="24"/>
  <c r="Z189" i="24"/>
  <c r="AA189" i="24"/>
  <c r="AB189" i="24"/>
  <c r="AC189" i="24"/>
  <c r="AD189" i="24"/>
  <c r="AE189" i="24"/>
  <c r="AF189" i="24"/>
  <c r="AG189" i="24"/>
  <c r="AH189" i="24"/>
  <c r="AI189" i="24"/>
  <c r="AJ189" i="24"/>
  <c r="AK189" i="24"/>
  <c r="AL189" i="24"/>
  <c r="AM189" i="24"/>
  <c r="AN189" i="24"/>
  <c r="AO189" i="24"/>
  <c r="AP189" i="24"/>
  <c r="AQ189" i="24"/>
  <c r="AR189" i="24"/>
  <c r="AS189" i="24"/>
  <c r="AT189" i="24"/>
  <c r="AU189" i="24"/>
  <c r="AV189" i="24"/>
  <c r="AW189" i="24"/>
  <c r="AX189" i="24"/>
  <c r="AY189" i="24"/>
  <c r="AZ189" i="24"/>
  <c r="BA189" i="24"/>
  <c r="BB189" i="24"/>
  <c r="BC189" i="24"/>
  <c r="BD189" i="24"/>
  <c r="BE189" i="24"/>
  <c r="BF189" i="24"/>
  <c r="BG189" i="24"/>
  <c r="BH189" i="24"/>
  <c r="BI189" i="24"/>
  <c r="BJ189" i="24"/>
  <c r="BK189" i="24"/>
  <c r="B190" i="24"/>
  <c r="C190" i="24"/>
  <c r="D190" i="24"/>
  <c r="E190" i="24"/>
  <c r="F190" i="24"/>
  <c r="G190" i="24"/>
  <c r="H190" i="24"/>
  <c r="I190" i="24"/>
  <c r="J190" i="24"/>
  <c r="K190" i="24"/>
  <c r="L190" i="24"/>
  <c r="M190" i="24"/>
  <c r="N190" i="24"/>
  <c r="O190" i="24"/>
  <c r="P190" i="24"/>
  <c r="Q190" i="24"/>
  <c r="R190" i="24"/>
  <c r="S190" i="24"/>
  <c r="T190" i="24"/>
  <c r="U190" i="24"/>
  <c r="V190" i="24"/>
  <c r="W190" i="24"/>
  <c r="X190" i="24"/>
  <c r="Y190" i="24"/>
  <c r="Z190" i="24"/>
  <c r="AA190" i="24"/>
  <c r="AB190" i="24"/>
  <c r="AC190" i="24"/>
  <c r="AD190" i="24"/>
  <c r="AE190" i="24"/>
  <c r="AF190" i="24"/>
  <c r="AG190" i="24"/>
  <c r="AH190" i="24"/>
  <c r="AI190" i="24"/>
  <c r="AJ190" i="24"/>
  <c r="AK190" i="24"/>
  <c r="AL190" i="24"/>
  <c r="AM190" i="24"/>
  <c r="AN190" i="24"/>
  <c r="AO190" i="24"/>
  <c r="AP190" i="24"/>
  <c r="AQ190" i="24"/>
  <c r="AR190" i="24"/>
  <c r="AS190" i="24"/>
  <c r="AT190" i="24"/>
  <c r="AU190" i="24"/>
  <c r="AV190" i="24"/>
  <c r="AW190" i="24"/>
  <c r="AX190" i="24"/>
  <c r="AY190" i="24"/>
  <c r="AZ190" i="24"/>
  <c r="BA190" i="24"/>
  <c r="BB190" i="24"/>
  <c r="BC190" i="24"/>
  <c r="BD190" i="24"/>
  <c r="BE190" i="24"/>
  <c r="BF190" i="24"/>
  <c r="BG190" i="24"/>
  <c r="BH190" i="24"/>
  <c r="BI190" i="24"/>
  <c r="BJ190" i="24"/>
  <c r="BK190" i="24"/>
  <c r="B191" i="24"/>
  <c r="C191" i="24"/>
  <c r="D191" i="24"/>
  <c r="E191" i="24"/>
  <c r="F191" i="24"/>
  <c r="G191" i="24"/>
  <c r="H191" i="24"/>
  <c r="I191" i="24"/>
  <c r="J191" i="24"/>
  <c r="K191" i="24"/>
  <c r="L191" i="24"/>
  <c r="M191" i="24"/>
  <c r="N191" i="24"/>
  <c r="O191" i="24"/>
  <c r="P191" i="24"/>
  <c r="Q191" i="24"/>
  <c r="R191" i="24"/>
  <c r="S191" i="24"/>
  <c r="T191" i="24"/>
  <c r="U191" i="24"/>
  <c r="V191" i="24"/>
  <c r="W191" i="24"/>
  <c r="X191" i="24"/>
  <c r="Y191" i="24"/>
  <c r="Z191" i="24"/>
  <c r="AA191" i="24"/>
  <c r="AB191" i="24"/>
  <c r="AC191" i="24"/>
  <c r="AD191" i="24"/>
  <c r="AE191" i="24"/>
  <c r="AF191" i="24"/>
  <c r="AG191" i="24"/>
  <c r="AH191" i="24"/>
  <c r="AI191" i="24"/>
  <c r="AJ191" i="24"/>
  <c r="AK191" i="24"/>
  <c r="AL191" i="24"/>
  <c r="AM191" i="24"/>
  <c r="AN191" i="24"/>
  <c r="AO191" i="24"/>
  <c r="AP191" i="24"/>
  <c r="AQ191" i="24"/>
  <c r="AR191" i="24"/>
  <c r="AS191" i="24"/>
  <c r="AT191" i="24"/>
  <c r="AU191" i="24"/>
  <c r="AV191" i="24"/>
  <c r="AW191" i="24"/>
  <c r="AX191" i="24"/>
  <c r="AY191" i="24"/>
  <c r="AZ191" i="24"/>
  <c r="BA191" i="24"/>
  <c r="BB191" i="24"/>
  <c r="BC191" i="24"/>
  <c r="BD191" i="24"/>
  <c r="BE191" i="24"/>
  <c r="BF191" i="24"/>
  <c r="BG191" i="24"/>
  <c r="BH191" i="24"/>
  <c r="BI191" i="24"/>
  <c r="BJ191" i="24"/>
  <c r="BK191" i="24"/>
  <c r="B192" i="24"/>
  <c r="C192" i="24"/>
  <c r="D192" i="24"/>
  <c r="E192" i="24"/>
  <c r="F192" i="24"/>
  <c r="G192" i="24"/>
  <c r="H192" i="24"/>
  <c r="I192" i="24"/>
  <c r="J192" i="24"/>
  <c r="K192" i="24"/>
  <c r="L192" i="24"/>
  <c r="M192" i="24"/>
  <c r="N192" i="24"/>
  <c r="O192" i="24"/>
  <c r="P192" i="24"/>
  <c r="Q192" i="24"/>
  <c r="R192" i="24"/>
  <c r="S192" i="24"/>
  <c r="T192" i="24"/>
  <c r="U192" i="24"/>
  <c r="V192" i="24"/>
  <c r="W192" i="24"/>
  <c r="X192" i="24"/>
  <c r="Y192" i="24"/>
  <c r="Z192" i="24"/>
  <c r="AA192" i="24"/>
  <c r="AB192" i="24"/>
  <c r="AC192" i="24"/>
  <c r="AD192" i="24"/>
  <c r="AE192" i="24"/>
  <c r="AF192" i="24"/>
  <c r="AG192" i="24"/>
  <c r="AH192" i="24"/>
  <c r="AI192" i="24"/>
  <c r="AJ192" i="24"/>
  <c r="AK192" i="24"/>
  <c r="AL192" i="24"/>
  <c r="AM192" i="24"/>
  <c r="AN192" i="24"/>
  <c r="AO192" i="24"/>
  <c r="AP192" i="24"/>
  <c r="AQ192" i="24"/>
  <c r="AR192" i="24"/>
  <c r="AS192" i="24"/>
  <c r="AT192" i="24"/>
  <c r="AU192" i="24"/>
  <c r="AV192" i="24"/>
  <c r="AW192" i="24"/>
  <c r="AX192" i="24"/>
  <c r="AY192" i="24"/>
  <c r="AZ192" i="24"/>
  <c r="BA192" i="24"/>
  <c r="BB192" i="24"/>
  <c r="BC192" i="24"/>
  <c r="BD192" i="24"/>
  <c r="BE192" i="24"/>
  <c r="BF192" i="24"/>
  <c r="BG192" i="24"/>
  <c r="BH192" i="24"/>
  <c r="BI192" i="24"/>
  <c r="BJ192" i="24"/>
  <c r="BK192" i="24"/>
  <c r="B193" i="24"/>
  <c r="C193" i="24"/>
  <c r="D193" i="24"/>
  <c r="E193" i="24"/>
  <c r="F193" i="24"/>
  <c r="G193" i="24"/>
  <c r="H193" i="24"/>
  <c r="I193" i="24"/>
  <c r="J193" i="24"/>
  <c r="K193" i="24"/>
  <c r="L193" i="24"/>
  <c r="M193" i="24"/>
  <c r="N193" i="24"/>
  <c r="O193" i="24"/>
  <c r="P193" i="24"/>
  <c r="Q193" i="24"/>
  <c r="R193" i="24"/>
  <c r="S193" i="24"/>
  <c r="T193" i="24"/>
  <c r="U193" i="24"/>
  <c r="V193" i="24"/>
  <c r="W193" i="24"/>
  <c r="X193" i="24"/>
  <c r="Y193" i="24"/>
  <c r="Z193" i="24"/>
  <c r="AA193" i="24"/>
  <c r="AB193" i="24"/>
  <c r="AC193" i="24"/>
  <c r="AD193" i="24"/>
  <c r="AE193" i="24"/>
  <c r="AF193" i="24"/>
  <c r="AG193" i="24"/>
  <c r="AH193" i="24"/>
  <c r="AI193" i="24"/>
  <c r="AJ193" i="24"/>
  <c r="AK193" i="24"/>
  <c r="AL193" i="24"/>
  <c r="AM193" i="24"/>
  <c r="AN193" i="24"/>
  <c r="AO193" i="24"/>
  <c r="AP193" i="24"/>
  <c r="AQ193" i="24"/>
  <c r="AR193" i="24"/>
  <c r="AS193" i="24"/>
  <c r="AT193" i="24"/>
  <c r="AU193" i="24"/>
  <c r="AV193" i="24"/>
  <c r="AW193" i="24"/>
  <c r="AX193" i="24"/>
  <c r="AY193" i="24"/>
  <c r="AZ193" i="24"/>
  <c r="BA193" i="24"/>
  <c r="BB193" i="24"/>
  <c r="BC193" i="24"/>
  <c r="BD193" i="24"/>
  <c r="BE193" i="24"/>
  <c r="BF193" i="24"/>
  <c r="BG193" i="24"/>
  <c r="BH193" i="24"/>
  <c r="BI193" i="24"/>
  <c r="BJ193" i="24"/>
  <c r="BK193" i="24"/>
  <c r="B194" i="24"/>
  <c r="C194" i="24"/>
  <c r="D194" i="24"/>
  <c r="E194" i="24"/>
  <c r="F194" i="24"/>
  <c r="G194" i="24"/>
  <c r="H194" i="24"/>
  <c r="I194" i="24"/>
  <c r="J194" i="24"/>
  <c r="K194" i="24"/>
  <c r="L194" i="24"/>
  <c r="M194" i="24"/>
  <c r="N194" i="24"/>
  <c r="O194" i="24"/>
  <c r="P194" i="24"/>
  <c r="Q194" i="24"/>
  <c r="R194" i="24"/>
  <c r="S194" i="24"/>
  <c r="T194" i="24"/>
  <c r="U194" i="24"/>
  <c r="V194" i="24"/>
  <c r="W194" i="24"/>
  <c r="X194" i="24"/>
  <c r="Y194" i="24"/>
  <c r="Z194" i="24"/>
  <c r="AA194" i="24"/>
  <c r="AB194" i="24"/>
  <c r="AC194" i="24"/>
  <c r="AD194" i="24"/>
  <c r="AE194" i="24"/>
  <c r="AF194" i="24"/>
  <c r="AG194" i="24"/>
  <c r="AH194" i="24"/>
  <c r="AI194" i="24"/>
  <c r="AJ194" i="24"/>
  <c r="AK194" i="24"/>
  <c r="AL194" i="24"/>
  <c r="AM194" i="24"/>
  <c r="AN194" i="24"/>
  <c r="AO194" i="24"/>
  <c r="AP194" i="24"/>
  <c r="AQ194" i="24"/>
  <c r="AR194" i="24"/>
  <c r="AS194" i="24"/>
  <c r="AT194" i="24"/>
  <c r="AU194" i="24"/>
  <c r="AV194" i="24"/>
  <c r="AW194" i="24"/>
  <c r="AX194" i="24"/>
  <c r="AY194" i="24"/>
  <c r="AZ194" i="24"/>
  <c r="BA194" i="24"/>
  <c r="BB194" i="24"/>
  <c r="BC194" i="24"/>
  <c r="BD194" i="24"/>
  <c r="BE194" i="24"/>
  <c r="BF194" i="24"/>
  <c r="BG194" i="24"/>
  <c r="BH194" i="24"/>
  <c r="BI194" i="24"/>
  <c r="BJ194" i="24"/>
  <c r="BK194" i="24"/>
  <c r="B195" i="24"/>
  <c r="C195" i="24"/>
  <c r="D195" i="24"/>
  <c r="E195" i="24"/>
  <c r="F195" i="24"/>
  <c r="G195" i="24"/>
  <c r="H195" i="24"/>
  <c r="I195" i="24"/>
  <c r="J195" i="24"/>
  <c r="K195" i="24"/>
  <c r="L195" i="24"/>
  <c r="M195" i="24"/>
  <c r="N195" i="24"/>
  <c r="O195" i="24"/>
  <c r="P195" i="24"/>
  <c r="Q195" i="24"/>
  <c r="R195" i="24"/>
  <c r="S195" i="24"/>
  <c r="T195" i="24"/>
  <c r="U195" i="24"/>
  <c r="V195" i="24"/>
  <c r="W195" i="24"/>
  <c r="X195" i="24"/>
  <c r="Y195" i="24"/>
  <c r="Z195" i="24"/>
  <c r="AA195" i="24"/>
  <c r="AB195" i="24"/>
  <c r="AC195" i="24"/>
  <c r="AD195" i="24"/>
  <c r="AE195" i="24"/>
  <c r="AF195" i="24"/>
  <c r="AG195" i="24"/>
  <c r="AH195" i="24"/>
  <c r="AI195" i="24"/>
  <c r="AJ195" i="24"/>
  <c r="AK195" i="24"/>
  <c r="AL195" i="24"/>
  <c r="AM195" i="24"/>
  <c r="AN195" i="24"/>
  <c r="AO195" i="24"/>
  <c r="AP195" i="24"/>
  <c r="AQ195" i="24"/>
  <c r="AR195" i="24"/>
  <c r="AS195" i="24"/>
  <c r="AT195" i="24"/>
  <c r="AU195" i="24"/>
  <c r="AV195" i="24"/>
  <c r="AW195" i="24"/>
  <c r="AX195" i="24"/>
  <c r="AY195" i="24"/>
  <c r="AZ195" i="24"/>
  <c r="BA195" i="24"/>
  <c r="BB195" i="24"/>
  <c r="BC195" i="24"/>
  <c r="BD195" i="24"/>
  <c r="BE195" i="24"/>
  <c r="BF195" i="24"/>
  <c r="BG195" i="24"/>
  <c r="BH195" i="24"/>
  <c r="BI195" i="24"/>
  <c r="BJ195" i="24"/>
  <c r="BK195" i="24"/>
  <c r="B196" i="24"/>
  <c r="C196" i="24"/>
  <c r="D196" i="24"/>
  <c r="E196" i="24"/>
  <c r="F196" i="24"/>
  <c r="G196" i="24"/>
  <c r="H196" i="24"/>
  <c r="I196" i="24"/>
  <c r="J196" i="24"/>
  <c r="K196" i="24"/>
  <c r="L196" i="24"/>
  <c r="M196" i="24"/>
  <c r="N196" i="24"/>
  <c r="O196" i="24"/>
  <c r="P196" i="24"/>
  <c r="Q196" i="24"/>
  <c r="R196" i="24"/>
  <c r="S196" i="24"/>
  <c r="T196" i="24"/>
  <c r="U196" i="24"/>
  <c r="V196" i="24"/>
  <c r="W196" i="24"/>
  <c r="X196" i="24"/>
  <c r="Y196" i="24"/>
  <c r="Z196" i="24"/>
  <c r="AA196" i="24"/>
  <c r="AB196" i="24"/>
  <c r="AC196" i="24"/>
  <c r="AD196" i="24"/>
  <c r="AE196" i="24"/>
  <c r="AF196" i="24"/>
  <c r="AG196" i="24"/>
  <c r="AH196" i="24"/>
  <c r="AI196" i="24"/>
  <c r="AJ196" i="24"/>
  <c r="AK196" i="24"/>
  <c r="AL196" i="24"/>
  <c r="AM196" i="24"/>
  <c r="AN196" i="24"/>
  <c r="AO196" i="24"/>
  <c r="AP196" i="24"/>
  <c r="AQ196" i="24"/>
  <c r="AR196" i="24"/>
  <c r="AS196" i="24"/>
  <c r="AT196" i="24"/>
  <c r="AU196" i="24"/>
  <c r="AV196" i="24"/>
  <c r="AW196" i="24"/>
  <c r="AX196" i="24"/>
  <c r="AY196" i="24"/>
  <c r="AZ196" i="24"/>
  <c r="BA196" i="24"/>
  <c r="BB196" i="24"/>
  <c r="BC196" i="24"/>
  <c r="BD196" i="24"/>
  <c r="BE196" i="24"/>
  <c r="BF196" i="24"/>
  <c r="BG196" i="24"/>
  <c r="BH196" i="24"/>
  <c r="BI196" i="24"/>
  <c r="BJ196" i="24"/>
  <c r="BK196" i="24"/>
  <c r="B197" i="24"/>
  <c r="C197" i="24"/>
  <c r="D197" i="24"/>
  <c r="E197" i="24"/>
  <c r="F197" i="24"/>
  <c r="G197" i="24"/>
  <c r="H197" i="24"/>
  <c r="I197" i="24"/>
  <c r="J197" i="24"/>
  <c r="K197" i="24"/>
  <c r="L197" i="24"/>
  <c r="M197" i="24"/>
  <c r="N197" i="24"/>
  <c r="O197" i="24"/>
  <c r="P197" i="24"/>
  <c r="Q197" i="24"/>
  <c r="R197" i="24"/>
  <c r="S197" i="24"/>
  <c r="T197" i="24"/>
  <c r="U197" i="24"/>
  <c r="V197" i="24"/>
  <c r="W197" i="24"/>
  <c r="X197" i="24"/>
  <c r="Y197" i="24"/>
  <c r="Z197" i="24"/>
  <c r="AA197" i="24"/>
  <c r="AB197" i="24"/>
  <c r="AC197" i="24"/>
  <c r="AD197" i="24"/>
  <c r="AE197" i="24"/>
  <c r="AF197" i="24"/>
  <c r="AG197" i="24"/>
  <c r="AH197" i="24"/>
  <c r="AI197" i="24"/>
  <c r="AJ197" i="24"/>
  <c r="AK197" i="24"/>
  <c r="AL197" i="24"/>
  <c r="AM197" i="24"/>
  <c r="AN197" i="24"/>
  <c r="AO197" i="24"/>
  <c r="AP197" i="24"/>
  <c r="AQ197" i="24"/>
  <c r="AR197" i="24"/>
  <c r="AS197" i="24"/>
  <c r="AT197" i="24"/>
  <c r="AU197" i="24"/>
  <c r="AV197" i="24"/>
  <c r="AW197" i="24"/>
  <c r="AX197" i="24"/>
  <c r="AY197" i="24"/>
  <c r="AZ197" i="24"/>
  <c r="BA197" i="24"/>
  <c r="BB197" i="24"/>
  <c r="BC197" i="24"/>
  <c r="BD197" i="24"/>
  <c r="BE197" i="24"/>
  <c r="BF197" i="24"/>
  <c r="BG197" i="24"/>
  <c r="BH197" i="24"/>
  <c r="BI197" i="24"/>
  <c r="BJ197" i="24"/>
  <c r="BK197" i="24"/>
  <c r="B198" i="24"/>
  <c r="C198" i="24"/>
  <c r="D198" i="24"/>
  <c r="E198" i="24"/>
  <c r="F198" i="24"/>
  <c r="G198" i="24"/>
  <c r="H198" i="24"/>
  <c r="I198" i="24"/>
  <c r="J198" i="24"/>
  <c r="K198" i="24"/>
  <c r="L198" i="24"/>
  <c r="M198" i="24"/>
  <c r="N198" i="24"/>
  <c r="O198" i="24"/>
  <c r="P198" i="24"/>
  <c r="Q198" i="24"/>
  <c r="R198" i="24"/>
  <c r="S198" i="24"/>
  <c r="T198" i="24"/>
  <c r="U198" i="24"/>
  <c r="V198" i="24"/>
  <c r="W198" i="24"/>
  <c r="X198" i="24"/>
  <c r="Y198" i="24"/>
  <c r="Z198" i="24"/>
  <c r="AA198" i="24"/>
  <c r="AB198" i="24"/>
  <c r="AC198" i="24"/>
  <c r="AD198" i="24"/>
  <c r="AE198" i="24"/>
  <c r="AF198" i="24"/>
  <c r="AG198" i="24"/>
  <c r="AH198" i="24"/>
  <c r="AI198" i="24"/>
  <c r="AJ198" i="24"/>
  <c r="AK198" i="24"/>
  <c r="AL198" i="24"/>
  <c r="AM198" i="24"/>
  <c r="AN198" i="24"/>
  <c r="AO198" i="24"/>
  <c r="AP198" i="24"/>
  <c r="AQ198" i="24"/>
  <c r="AR198" i="24"/>
  <c r="AS198" i="24"/>
  <c r="AT198" i="24"/>
  <c r="AU198" i="24"/>
  <c r="AV198" i="24"/>
  <c r="AW198" i="24"/>
  <c r="AX198" i="24"/>
  <c r="AY198" i="24"/>
  <c r="AZ198" i="24"/>
  <c r="BA198" i="24"/>
  <c r="BB198" i="24"/>
  <c r="BC198" i="24"/>
  <c r="BD198" i="24"/>
  <c r="BE198" i="24"/>
  <c r="BF198" i="24"/>
  <c r="BG198" i="24"/>
  <c r="BH198" i="24"/>
  <c r="BI198" i="24"/>
  <c r="BJ198" i="24"/>
  <c r="BK198" i="24"/>
  <c r="B199" i="24"/>
  <c r="C199" i="24"/>
  <c r="D199" i="24"/>
  <c r="E199" i="24"/>
  <c r="F199" i="24"/>
  <c r="G199" i="24"/>
  <c r="H199" i="24"/>
  <c r="I199" i="24"/>
  <c r="J199" i="24"/>
  <c r="K199" i="24"/>
  <c r="L199" i="24"/>
  <c r="M199" i="24"/>
  <c r="N199" i="24"/>
  <c r="O199" i="24"/>
  <c r="P199" i="24"/>
  <c r="Q199" i="24"/>
  <c r="R199" i="24"/>
  <c r="S199" i="24"/>
  <c r="T199" i="24"/>
  <c r="U199" i="24"/>
  <c r="V199" i="24"/>
  <c r="W199" i="24"/>
  <c r="X199" i="24"/>
  <c r="Y199" i="24"/>
  <c r="Z199" i="24"/>
  <c r="AA199" i="24"/>
  <c r="AB199" i="24"/>
  <c r="AC199" i="24"/>
  <c r="AD199" i="24"/>
  <c r="AE199" i="24"/>
  <c r="AF199" i="24"/>
  <c r="AG199" i="24"/>
  <c r="AH199" i="24"/>
  <c r="AI199" i="24"/>
  <c r="AJ199" i="24"/>
  <c r="AK199" i="24"/>
  <c r="AL199" i="24"/>
  <c r="AM199" i="24"/>
  <c r="AN199" i="24"/>
  <c r="AO199" i="24"/>
  <c r="AP199" i="24"/>
  <c r="AQ199" i="24"/>
  <c r="AR199" i="24"/>
  <c r="AS199" i="24"/>
  <c r="AT199" i="24"/>
  <c r="AU199" i="24"/>
  <c r="AV199" i="24"/>
  <c r="AW199" i="24"/>
  <c r="AX199" i="24"/>
  <c r="AY199" i="24"/>
  <c r="AZ199" i="24"/>
  <c r="BA199" i="24"/>
  <c r="BB199" i="24"/>
  <c r="BC199" i="24"/>
  <c r="BD199" i="24"/>
  <c r="BE199" i="24"/>
  <c r="BF199" i="24"/>
  <c r="BG199" i="24"/>
  <c r="BH199" i="24"/>
  <c r="BI199" i="24"/>
  <c r="BJ199" i="24"/>
  <c r="BK199" i="24"/>
  <c r="B200" i="24"/>
  <c r="C200" i="24"/>
  <c r="D200" i="24"/>
  <c r="E200" i="24"/>
  <c r="F200" i="24"/>
  <c r="G200" i="24"/>
  <c r="H200" i="24"/>
  <c r="I200" i="24"/>
  <c r="J200" i="24"/>
  <c r="K200" i="24"/>
  <c r="L200" i="24"/>
  <c r="M200" i="24"/>
  <c r="N200" i="24"/>
  <c r="O200" i="24"/>
  <c r="P200" i="24"/>
  <c r="Q200" i="24"/>
  <c r="R200" i="24"/>
  <c r="S200" i="24"/>
  <c r="T200" i="24"/>
  <c r="U200" i="24"/>
  <c r="V200" i="24"/>
  <c r="W200" i="24"/>
  <c r="X200" i="24"/>
  <c r="Y200" i="24"/>
  <c r="Z200" i="24"/>
  <c r="AA200" i="24"/>
  <c r="AB200" i="24"/>
  <c r="AC200" i="24"/>
  <c r="AD200" i="24"/>
  <c r="AE200" i="24"/>
  <c r="AF200" i="24"/>
  <c r="AG200" i="24"/>
  <c r="AH200" i="24"/>
  <c r="AI200" i="24"/>
  <c r="AJ200" i="24"/>
  <c r="AK200" i="24"/>
  <c r="AL200" i="24"/>
  <c r="AM200" i="24"/>
  <c r="AN200" i="24"/>
  <c r="AO200" i="24"/>
  <c r="AP200" i="24"/>
  <c r="AQ200" i="24"/>
  <c r="AR200" i="24"/>
  <c r="AS200" i="24"/>
  <c r="AT200" i="24"/>
  <c r="AU200" i="24"/>
  <c r="AV200" i="24"/>
  <c r="AW200" i="24"/>
  <c r="AX200" i="24"/>
  <c r="AY200" i="24"/>
  <c r="AZ200" i="24"/>
  <c r="BA200" i="24"/>
  <c r="BB200" i="24"/>
  <c r="BC200" i="24"/>
  <c r="BD200" i="24"/>
  <c r="BE200" i="24"/>
  <c r="BF200" i="24"/>
  <c r="BG200" i="24"/>
  <c r="BH200" i="24"/>
  <c r="BI200" i="24"/>
  <c r="BJ200" i="24"/>
  <c r="BK200" i="24"/>
  <c r="B201" i="24"/>
  <c r="C201" i="24"/>
  <c r="D201" i="24"/>
  <c r="E201" i="24"/>
  <c r="F201" i="24"/>
  <c r="G201" i="24"/>
  <c r="H201" i="24"/>
  <c r="I201" i="24"/>
  <c r="J201" i="24"/>
  <c r="K201" i="24"/>
  <c r="L201" i="24"/>
  <c r="M201" i="24"/>
  <c r="N201" i="24"/>
  <c r="O201" i="24"/>
  <c r="P201" i="24"/>
  <c r="Q201" i="24"/>
  <c r="R201" i="24"/>
  <c r="S201" i="24"/>
  <c r="T201" i="24"/>
  <c r="U201" i="24"/>
  <c r="V201" i="24"/>
  <c r="W201" i="24"/>
  <c r="X201" i="24"/>
  <c r="Y201" i="24"/>
  <c r="Z201" i="24"/>
  <c r="AA201" i="24"/>
  <c r="AB201" i="24"/>
  <c r="AC201" i="24"/>
  <c r="AD201" i="24"/>
  <c r="AE201" i="24"/>
  <c r="AF201" i="24"/>
  <c r="AG201" i="24"/>
  <c r="AH201" i="24"/>
  <c r="AI201" i="24"/>
  <c r="AJ201" i="24"/>
  <c r="AK201" i="24"/>
  <c r="AL201" i="24"/>
  <c r="AM201" i="24"/>
  <c r="AN201" i="24"/>
  <c r="AO201" i="24"/>
  <c r="AP201" i="24"/>
  <c r="AQ201" i="24"/>
  <c r="AR201" i="24"/>
  <c r="AS201" i="24"/>
  <c r="AT201" i="24"/>
  <c r="AU201" i="24"/>
  <c r="AV201" i="24"/>
  <c r="AW201" i="24"/>
  <c r="AX201" i="24"/>
  <c r="AY201" i="24"/>
  <c r="AZ201" i="24"/>
  <c r="BA201" i="24"/>
  <c r="BB201" i="24"/>
  <c r="BC201" i="24"/>
  <c r="BD201" i="24"/>
  <c r="BE201" i="24"/>
  <c r="BF201" i="24"/>
  <c r="BG201" i="24"/>
  <c r="BH201" i="24"/>
  <c r="BI201" i="24"/>
  <c r="BJ201" i="24"/>
  <c r="BK201" i="24"/>
  <c r="B202" i="24"/>
  <c r="C202" i="24"/>
  <c r="D202" i="24"/>
  <c r="E202" i="24"/>
  <c r="F202" i="24"/>
  <c r="G202" i="24"/>
  <c r="H202" i="24"/>
  <c r="I202" i="24"/>
  <c r="J202" i="24"/>
  <c r="K202" i="24"/>
  <c r="L202" i="24"/>
  <c r="M202" i="24"/>
  <c r="N202" i="24"/>
  <c r="O202" i="24"/>
  <c r="P202" i="24"/>
  <c r="Q202" i="24"/>
  <c r="R202" i="24"/>
  <c r="S202" i="24"/>
  <c r="T202" i="24"/>
  <c r="U202" i="24"/>
  <c r="V202" i="24"/>
  <c r="W202" i="24"/>
  <c r="X202" i="24"/>
  <c r="Y202" i="24"/>
  <c r="Z202" i="24"/>
  <c r="AA202" i="24"/>
  <c r="AB202" i="24"/>
  <c r="AC202" i="24"/>
  <c r="AD202" i="24"/>
  <c r="AE202" i="24"/>
  <c r="AF202" i="24"/>
  <c r="AG202" i="24"/>
  <c r="AH202" i="24"/>
  <c r="AI202" i="24"/>
  <c r="AJ202" i="24"/>
  <c r="AK202" i="24"/>
  <c r="AL202" i="24"/>
  <c r="AM202" i="24"/>
  <c r="AN202" i="24"/>
  <c r="AO202" i="24"/>
  <c r="AP202" i="24"/>
  <c r="AQ202" i="24"/>
  <c r="AR202" i="24"/>
  <c r="AS202" i="24"/>
  <c r="AT202" i="24"/>
  <c r="AU202" i="24"/>
  <c r="AV202" i="24"/>
  <c r="AW202" i="24"/>
  <c r="AX202" i="24"/>
  <c r="AY202" i="24"/>
  <c r="AZ202" i="24"/>
  <c r="BA202" i="24"/>
  <c r="BB202" i="24"/>
  <c r="BC202" i="24"/>
  <c r="BD202" i="24"/>
  <c r="BE202" i="24"/>
  <c r="BF202" i="24"/>
  <c r="BG202" i="24"/>
  <c r="BH202" i="24"/>
  <c r="BI202" i="24"/>
  <c r="BJ202" i="24"/>
  <c r="BK202" i="24"/>
  <c r="B203" i="24"/>
  <c r="C203" i="24"/>
  <c r="D203" i="24"/>
  <c r="E203" i="24"/>
  <c r="F203" i="24"/>
  <c r="G203" i="24"/>
  <c r="H203" i="24"/>
  <c r="I203" i="24"/>
  <c r="J203" i="24"/>
  <c r="K203" i="24"/>
  <c r="L203" i="24"/>
  <c r="M203" i="24"/>
  <c r="N203" i="24"/>
  <c r="O203" i="24"/>
  <c r="P203" i="24"/>
  <c r="Q203" i="24"/>
  <c r="R203" i="24"/>
  <c r="S203" i="24"/>
  <c r="T203" i="24"/>
  <c r="U203" i="24"/>
  <c r="V203" i="24"/>
  <c r="W203" i="24"/>
  <c r="X203" i="24"/>
  <c r="Y203" i="24"/>
  <c r="Z203" i="24"/>
  <c r="AA203" i="24"/>
  <c r="AB203" i="24"/>
  <c r="AC203" i="24"/>
  <c r="AD203" i="24"/>
  <c r="AE203" i="24"/>
  <c r="AF203" i="24"/>
  <c r="AG203" i="24"/>
  <c r="AH203" i="24"/>
  <c r="AI203" i="24"/>
  <c r="AJ203" i="24"/>
  <c r="AK203" i="24"/>
  <c r="AL203" i="24"/>
  <c r="AM203" i="24"/>
  <c r="AN203" i="24"/>
  <c r="AO203" i="24"/>
  <c r="AP203" i="24"/>
  <c r="AQ203" i="24"/>
  <c r="AR203" i="24"/>
  <c r="AS203" i="24"/>
  <c r="AT203" i="24"/>
  <c r="AU203" i="24"/>
  <c r="AV203" i="24"/>
  <c r="AW203" i="24"/>
  <c r="AX203" i="24"/>
  <c r="AY203" i="24"/>
  <c r="AZ203" i="24"/>
  <c r="BA203" i="24"/>
  <c r="BB203" i="24"/>
  <c r="BC203" i="24"/>
  <c r="BD203" i="24"/>
  <c r="BE203" i="24"/>
  <c r="BF203" i="24"/>
  <c r="BG203" i="24"/>
  <c r="BH203" i="24"/>
  <c r="BI203" i="24"/>
  <c r="BJ203" i="24"/>
  <c r="BK203" i="24"/>
  <c r="B204" i="24"/>
  <c r="C204" i="24"/>
  <c r="D204" i="24"/>
  <c r="E204" i="24"/>
  <c r="F204" i="24"/>
  <c r="G204" i="24"/>
  <c r="H204" i="24"/>
  <c r="I204" i="24"/>
  <c r="J204" i="24"/>
  <c r="K204" i="24"/>
  <c r="L204" i="24"/>
  <c r="M204" i="24"/>
  <c r="N204" i="24"/>
  <c r="O204" i="24"/>
  <c r="P204" i="24"/>
  <c r="Q204" i="24"/>
  <c r="R204" i="24"/>
  <c r="S204" i="24"/>
  <c r="T204" i="24"/>
  <c r="U204" i="24"/>
  <c r="V204" i="24"/>
  <c r="W204" i="24"/>
  <c r="X204" i="24"/>
  <c r="Y204" i="24"/>
  <c r="Z204" i="24"/>
  <c r="AA204" i="24"/>
  <c r="AB204" i="24"/>
  <c r="AC204" i="24"/>
  <c r="AD204" i="24"/>
  <c r="AE204" i="24"/>
  <c r="AF204" i="24"/>
  <c r="AG204" i="24"/>
  <c r="AH204" i="24"/>
  <c r="AI204" i="24"/>
  <c r="AJ204" i="24"/>
  <c r="AK204" i="24"/>
  <c r="AL204" i="24"/>
  <c r="AM204" i="24"/>
  <c r="AN204" i="24"/>
  <c r="AO204" i="24"/>
  <c r="AP204" i="24"/>
  <c r="AQ204" i="24"/>
  <c r="AR204" i="24"/>
  <c r="AS204" i="24"/>
  <c r="AT204" i="24"/>
  <c r="AU204" i="24"/>
  <c r="AV204" i="24"/>
  <c r="AW204" i="24"/>
  <c r="AX204" i="24"/>
  <c r="AY204" i="24"/>
  <c r="AZ204" i="24"/>
  <c r="BA204" i="24"/>
  <c r="BB204" i="24"/>
  <c r="BC204" i="24"/>
  <c r="BD204" i="24"/>
  <c r="BE204" i="24"/>
  <c r="BF204" i="24"/>
  <c r="BG204" i="24"/>
  <c r="BH204" i="24"/>
  <c r="BI204" i="24"/>
  <c r="BJ204" i="24"/>
  <c r="BK204" i="24"/>
  <c r="B205" i="24"/>
  <c r="C205" i="24"/>
  <c r="D205" i="24"/>
  <c r="E205" i="24"/>
  <c r="F205" i="24"/>
  <c r="G205" i="24"/>
  <c r="H205" i="24"/>
  <c r="I205" i="24"/>
  <c r="J205" i="24"/>
  <c r="K205" i="24"/>
  <c r="L205" i="24"/>
  <c r="M205" i="24"/>
  <c r="N205" i="24"/>
  <c r="O205" i="24"/>
  <c r="P205" i="24"/>
  <c r="Q205" i="24"/>
  <c r="R205" i="24"/>
  <c r="S205" i="24"/>
  <c r="T205" i="24"/>
  <c r="U205" i="24"/>
  <c r="V205" i="24"/>
  <c r="W205" i="24"/>
  <c r="X205" i="24"/>
  <c r="Y205" i="24"/>
  <c r="Z205" i="24"/>
  <c r="AA205" i="24"/>
  <c r="AB205" i="24"/>
  <c r="AC205" i="24"/>
  <c r="AD205" i="24"/>
  <c r="AE205" i="24"/>
  <c r="AF205" i="24"/>
  <c r="AG205" i="24"/>
  <c r="AH205" i="24"/>
  <c r="AI205" i="24"/>
  <c r="AJ205" i="24"/>
  <c r="AK205" i="24"/>
  <c r="AL205" i="24"/>
  <c r="AM205" i="24"/>
  <c r="AN205" i="24"/>
  <c r="AO205" i="24"/>
  <c r="AP205" i="24"/>
  <c r="AQ205" i="24"/>
  <c r="AR205" i="24"/>
  <c r="AS205" i="24"/>
  <c r="AT205" i="24"/>
  <c r="AU205" i="24"/>
  <c r="AV205" i="24"/>
  <c r="AW205" i="24"/>
  <c r="AX205" i="24"/>
  <c r="AY205" i="24"/>
  <c r="AZ205" i="24"/>
  <c r="BA205" i="24"/>
  <c r="BB205" i="24"/>
  <c r="BC205" i="24"/>
  <c r="BD205" i="24"/>
  <c r="BE205" i="24"/>
  <c r="BF205" i="24"/>
  <c r="BG205" i="24"/>
  <c r="BH205" i="24"/>
  <c r="BI205" i="24"/>
  <c r="BJ205" i="24"/>
  <c r="BK205" i="24"/>
  <c r="B206" i="24"/>
  <c r="C206" i="24"/>
  <c r="D206" i="24"/>
  <c r="E206" i="24"/>
  <c r="F206" i="24"/>
  <c r="G206" i="24"/>
  <c r="H206" i="24"/>
  <c r="I206" i="24"/>
  <c r="J206" i="24"/>
  <c r="K206" i="24"/>
  <c r="L206" i="24"/>
  <c r="M206" i="24"/>
  <c r="N206" i="24"/>
  <c r="O206" i="24"/>
  <c r="P206" i="24"/>
  <c r="Q206" i="24"/>
  <c r="R206" i="24"/>
  <c r="S206" i="24"/>
  <c r="T206" i="24"/>
  <c r="U206" i="24"/>
  <c r="V206" i="24"/>
  <c r="W206" i="24"/>
  <c r="X206" i="24"/>
  <c r="Y206" i="24"/>
  <c r="Z206" i="24"/>
  <c r="AA206" i="24"/>
  <c r="AB206" i="24"/>
  <c r="AC206" i="24"/>
  <c r="AD206" i="24"/>
  <c r="AE206" i="24"/>
  <c r="AF206" i="24"/>
  <c r="AG206" i="24"/>
  <c r="AH206" i="24"/>
  <c r="AI206" i="24"/>
  <c r="AJ206" i="24"/>
  <c r="AK206" i="24"/>
  <c r="AL206" i="24"/>
  <c r="AM206" i="24"/>
  <c r="AN206" i="24"/>
  <c r="AO206" i="24"/>
  <c r="AP206" i="24"/>
  <c r="AQ206" i="24"/>
  <c r="AR206" i="24"/>
  <c r="AS206" i="24"/>
  <c r="AT206" i="24"/>
  <c r="AU206" i="24"/>
  <c r="AV206" i="24"/>
  <c r="AW206" i="24"/>
  <c r="AX206" i="24"/>
  <c r="AY206" i="24"/>
  <c r="AZ206" i="24"/>
  <c r="BA206" i="24"/>
  <c r="BB206" i="24"/>
  <c r="BC206" i="24"/>
  <c r="BD206" i="24"/>
  <c r="BE206" i="24"/>
  <c r="BF206" i="24"/>
  <c r="BG206" i="24"/>
  <c r="BH206" i="24"/>
  <c r="BI206" i="24"/>
  <c r="BJ206" i="24"/>
  <c r="BK206" i="24"/>
  <c r="B207" i="24"/>
  <c r="C207" i="24"/>
  <c r="D207" i="24"/>
  <c r="E207" i="24"/>
  <c r="F207" i="24"/>
  <c r="G207" i="24"/>
  <c r="H207" i="24"/>
  <c r="I207" i="24"/>
  <c r="J207" i="24"/>
  <c r="K207" i="24"/>
  <c r="L207" i="24"/>
  <c r="M207" i="24"/>
  <c r="N207" i="24"/>
  <c r="O207" i="24"/>
  <c r="P207" i="24"/>
  <c r="Q207" i="24"/>
  <c r="R207" i="24"/>
  <c r="S207" i="24"/>
  <c r="T207" i="24"/>
  <c r="U207" i="24"/>
  <c r="V207" i="24"/>
  <c r="W207" i="24"/>
  <c r="X207" i="24"/>
  <c r="Y207" i="24"/>
  <c r="Z207" i="24"/>
  <c r="AA207" i="24"/>
  <c r="AB207" i="24"/>
  <c r="AC207" i="24"/>
  <c r="AD207" i="24"/>
  <c r="AE207" i="24"/>
  <c r="AF207" i="24"/>
  <c r="AG207" i="24"/>
  <c r="AH207" i="24"/>
  <c r="AI207" i="24"/>
  <c r="AJ207" i="24"/>
  <c r="AK207" i="24"/>
  <c r="AL207" i="24"/>
  <c r="AM207" i="24"/>
  <c r="AN207" i="24"/>
  <c r="AO207" i="24"/>
  <c r="AP207" i="24"/>
  <c r="AQ207" i="24"/>
  <c r="AR207" i="24"/>
  <c r="AS207" i="24"/>
  <c r="AT207" i="24"/>
  <c r="AU207" i="24"/>
  <c r="AV207" i="24"/>
  <c r="AW207" i="24"/>
  <c r="AX207" i="24"/>
  <c r="AY207" i="24"/>
  <c r="AZ207" i="24"/>
  <c r="BA207" i="24"/>
  <c r="BB207" i="24"/>
  <c r="BC207" i="24"/>
  <c r="BD207" i="24"/>
  <c r="BE207" i="24"/>
  <c r="BF207" i="24"/>
  <c r="BG207" i="24"/>
  <c r="BH207" i="24"/>
  <c r="BI207" i="24"/>
  <c r="BJ207" i="24"/>
  <c r="BK207" i="24"/>
  <c r="B208" i="24"/>
  <c r="C208" i="24"/>
  <c r="D208" i="24"/>
  <c r="E208" i="24"/>
  <c r="F208" i="24"/>
  <c r="G208" i="24"/>
  <c r="H208" i="24"/>
  <c r="I208" i="24"/>
  <c r="J208" i="24"/>
  <c r="K208" i="24"/>
  <c r="L208" i="24"/>
  <c r="M208" i="24"/>
  <c r="N208" i="24"/>
  <c r="O208" i="24"/>
  <c r="P208" i="24"/>
  <c r="Q208" i="24"/>
  <c r="R208" i="24"/>
  <c r="S208" i="24"/>
  <c r="T208" i="24"/>
  <c r="U208" i="24"/>
  <c r="V208" i="24"/>
  <c r="W208" i="24"/>
  <c r="X208" i="24"/>
  <c r="Y208" i="24"/>
  <c r="Z208" i="24"/>
  <c r="AA208" i="24"/>
  <c r="AB208" i="24"/>
  <c r="AC208" i="24"/>
  <c r="AD208" i="24"/>
  <c r="AE208" i="24"/>
  <c r="AF208" i="24"/>
  <c r="AG208" i="24"/>
  <c r="AH208" i="24"/>
  <c r="AI208" i="24"/>
  <c r="AJ208" i="24"/>
  <c r="AK208" i="24"/>
  <c r="AL208" i="24"/>
  <c r="AM208" i="24"/>
  <c r="AN208" i="24"/>
  <c r="AO208" i="24"/>
  <c r="AP208" i="24"/>
  <c r="AQ208" i="24"/>
  <c r="AR208" i="24"/>
  <c r="AS208" i="24"/>
  <c r="AT208" i="24"/>
  <c r="AU208" i="24"/>
  <c r="AV208" i="24"/>
  <c r="AW208" i="24"/>
  <c r="AX208" i="24"/>
  <c r="AY208" i="24"/>
  <c r="AZ208" i="24"/>
  <c r="BA208" i="24"/>
  <c r="BB208" i="24"/>
  <c r="BC208" i="24"/>
  <c r="BD208" i="24"/>
  <c r="BE208" i="24"/>
  <c r="BF208" i="24"/>
  <c r="BG208" i="24"/>
  <c r="BH208" i="24"/>
  <c r="BI208" i="24"/>
  <c r="BJ208" i="24"/>
  <c r="BK208" i="24"/>
  <c r="B209" i="24"/>
  <c r="C209" i="24"/>
  <c r="D209" i="24"/>
  <c r="E209" i="24"/>
  <c r="F209" i="24"/>
  <c r="G209" i="24"/>
  <c r="H209" i="24"/>
  <c r="I209" i="24"/>
  <c r="J209" i="24"/>
  <c r="K209" i="24"/>
  <c r="L209" i="24"/>
  <c r="M209" i="24"/>
  <c r="N209" i="24"/>
  <c r="O209" i="24"/>
  <c r="P209" i="24"/>
  <c r="Q209" i="24"/>
  <c r="R209" i="24"/>
  <c r="S209" i="24"/>
  <c r="T209" i="24"/>
  <c r="U209" i="24"/>
  <c r="V209" i="24"/>
  <c r="W209" i="24"/>
  <c r="X209" i="24"/>
  <c r="Y209" i="24"/>
  <c r="Z209" i="24"/>
  <c r="AA209" i="24"/>
  <c r="AB209" i="24"/>
  <c r="AC209" i="24"/>
  <c r="AD209" i="24"/>
  <c r="AE209" i="24"/>
  <c r="AF209" i="24"/>
  <c r="AG209" i="24"/>
  <c r="AH209" i="24"/>
  <c r="AI209" i="24"/>
  <c r="AJ209" i="24"/>
  <c r="AK209" i="24"/>
  <c r="AL209" i="24"/>
  <c r="AM209" i="24"/>
  <c r="AN209" i="24"/>
  <c r="AO209" i="24"/>
  <c r="AP209" i="24"/>
  <c r="AQ209" i="24"/>
  <c r="AR209" i="24"/>
  <c r="AS209" i="24"/>
  <c r="AT209" i="24"/>
  <c r="AU209" i="24"/>
  <c r="AV209" i="24"/>
  <c r="AW209" i="24"/>
  <c r="AX209" i="24"/>
  <c r="AY209" i="24"/>
  <c r="AZ209" i="24"/>
  <c r="BA209" i="24"/>
  <c r="BB209" i="24"/>
  <c r="BC209" i="24"/>
  <c r="BD209" i="24"/>
  <c r="BE209" i="24"/>
  <c r="BF209" i="24"/>
  <c r="BG209" i="24"/>
  <c r="BH209" i="24"/>
  <c r="BI209" i="24"/>
  <c r="BJ209" i="24"/>
  <c r="BK209" i="24"/>
  <c r="B210" i="24"/>
  <c r="C210" i="24"/>
  <c r="D210" i="24"/>
  <c r="E210" i="24"/>
  <c r="F210" i="24"/>
  <c r="G210" i="24"/>
  <c r="H210" i="24"/>
  <c r="I210" i="24"/>
  <c r="J210" i="24"/>
  <c r="K210" i="24"/>
  <c r="L210" i="24"/>
  <c r="M210" i="24"/>
  <c r="N210" i="24"/>
  <c r="O210" i="24"/>
  <c r="P210" i="24"/>
  <c r="Q210" i="24"/>
  <c r="R210" i="24"/>
  <c r="S210" i="24"/>
  <c r="T210" i="24"/>
  <c r="U210" i="24"/>
  <c r="V210" i="24"/>
  <c r="W210" i="24"/>
  <c r="X210" i="24"/>
  <c r="Y210" i="24"/>
  <c r="Z210" i="24"/>
  <c r="AA210" i="24"/>
  <c r="AB210" i="24"/>
  <c r="AC210" i="24"/>
  <c r="AD210" i="24"/>
  <c r="AE210" i="24"/>
  <c r="AF210" i="24"/>
  <c r="AG210" i="24"/>
  <c r="AH210" i="24"/>
  <c r="AI210" i="24"/>
  <c r="AJ210" i="24"/>
  <c r="AK210" i="24"/>
  <c r="AL210" i="24"/>
  <c r="AM210" i="24"/>
  <c r="AN210" i="24"/>
  <c r="AO210" i="24"/>
  <c r="AP210" i="24"/>
  <c r="AQ210" i="24"/>
  <c r="AR210" i="24"/>
  <c r="AS210" i="24"/>
  <c r="AT210" i="24"/>
  <c r="AU210" i="24"/>
  <c r="AV210" i="24"/>
  <c r="AW210" i="24"/>
  <c r="AX210" i="24"/>
  <c r="AY210" i="24"/>
  <c r="AZ210" i="24"/>
  <c r="BA210" i="24"/>
  <c r="BB210" i="24"/>
  <c r="BC210" i="24"/>
  <c r="BD210" i="24"/>
  <c r="BE210" i="24"/>
  <c r="BF210" i="24"/>
  <c r="BG210" i="24"/>
  <c r="BH210" i="24"/>
  <c r="BI210" i="24"/>
  <c r="BJ210" i="24"/>
  <c r="BK210" i="24"/>
  <c r="B211" i="24"/>
  <c r="C211" i="24"/>
  <c r="D211" i="24"/>
  <c r="E211" i="24"/>
  <c r="F211" i="24"/>
  <c r="G211" i="24"/>
  <c r="H211" i="24"/>
  <c r="I211" i="24"/>
  <c r="J211" i="24"/>
  <c r="K211" i="24"/>
  <c r="L211" i="24"/>
  <c r="M211" i="24"/>
  <c r="N211" i="24"/>
  <c r="O211" i="24"/>
  <c r="P211" i="24"/>
  <c r="Q211" i="24"/>
  <c r="R211" i="24"/>
  <c r="S211" i="24"/>
  <c r="T211" i="24"/>
  <c r="U211" i="24"/>
  <c r="V211" i="24"/>
  <c r="W211" i="24"/>
  <c r="X211" i="24"/>
  <c r="Y211" i="24"/>
  <c r="Z211" i="24"/>
  <c r="AA211" i="24"/>
  <c r="AB211" i="24"/>
  <c r="AC211" i="24"/>
  <c r="AD211" i="24"/>
  <c r="AE211" i="24"/>
  <c r="AF211" i="24"/>
  <c r="AG211" i="24"/>
  <c r="AH211" i="24"/>
  <c r="AI211" i="24"/>
  <c r="AJ211" i="24"/>
  <c r="AK211" i="24"/>
  <c r="AL211" i="24"/>
  <c r="AM211" i="24"/>
  <c r="AN211" i="24"/>
  <c r="AO211" i="24"/>
  <c r="AP211" i="24"/>
  <c r="AQ211" i="24"/>
  <c r="AR211" i="24"/>
  <c r="AS211" i="24"/>
  <c r="AT211" i="24"/>
  <c r="AU211" i="24"/>
  <c r="AV211" i="24"/>
  <c r="AW211" i="24"/>
  <c r="AX211" i="24"/>
  <c r="AY211" i="24"/>
  <c r="AZ211" i="24"/>
  <c r="BA211" i="24"/>
  <c r="BB211" i="24"/>
  <c r="BC211" i="24"/>
  <c r="BD211" i="24"/>
  <c r="BE211" i="24"/>
  <c r="BF211" i="24"/>
  <c r="BG211" i="24"/>
  <c r="BH211" i="24"/>
  <c r="BI211" i="24"/>
  <c r="BJ211" i="24"/>
  <c r="BK211" i="24"/>
  <c r="B212" i="24"/>
  <c r="C212" i="24"/>
  <c r="D212" i="24"/>
  <c r="E212" i="24"/>
  <c r="F212" i="24"/>
  <c r="G212" i="24"/>
  <c r="H212" i="24"/>
  <c r="I212" i="24"/>
  <c r="J212" i="24"/>
  <c r="K212" i="24"/>
  <c r="L212" i="24"/>
  <c r="M212" i="24"/>
  <c r="N212" i="24"/>
  <c r="O212" i="24"/>
  <c r="P212" i="24"/>
  <c r="Q212" i="24"/>
  <c r="R212" i="24"/>
  <c r="S212" i="24"/>
  <c r="T212" i="24"/>
  <c r="U212" i="24"/>
  <c r="V212" i="24"/>
  <c r="W212" i="24"/>
  <c r="X212" i="24"/>
  <c r="Y212" i="24"/>
  <c r="Z212" i="24"/>
  <c r="AA212" i="24"/>
  <c r="AB212" i="24"/>
  <c r="AC212" i="24"/>
  <c r="AD212" i="24"/>
  <c r="AE212" i="24"/>
  <c r="AF212" i="24"/>
  <c r="AG212" i="24"/>
  <c r="AH212" i="24"/>
  <c r="AI212" i="24"/>
  <c r="AJ212" i="24"/>
  <c r="AK212" i="24"/>
  <c r="AL212" i="24"/>
  <c r="AM212" i="24"/>
  <c r="AN212" i="24"/>
  <c r="AO212" i="24"/>
  <c r="AP212" i="24"/>
  <c r="AQ212" i="24"/>
  <c r="AR212" i="24"/>
  <c r="AS212" i="24"/>
  <c r="AT212" i="24"/>
  <c r="AU212" i="24"/>
  <c r="AV212" i="24"/>
  <c r="AW212" i="24"/>
  <c r="AX212" i="24"/>
  <c r="AY212" i="24"/>
  <c r="AZ212" i="24"/>
  <c r="BA212" i="24"/>
  <c r="BB212" i="24"/>
  <c r="BC212" i="24"/>
  <c r="BD212" i="24"/>
  <c r="BE212" i="24"/>
  <c r="BF212" i="24"/>
  <c r="BG212" i="24"/>
  <c r="BH212" i="24"/>
  <c r="BI212" i="24"/>
  <c r="BJ212" i="24"/>
  <c r="BK212" i="24"/>
  <c r="B213" i="24"/>
  <c r="C213" i="24"/>
  <c r="D213" i="24"/>
  <c r="E213" i="24"/>
  <c r="F213" i="24"/>
  <c r="G213" i="24"/>
  <c r="H213" i="24"/>
  <c r="I213" i="24"/>
  <c r="J213" i="24"/>
  <c r="K213" i="24"/>
  <c r="L213" i="24"/>
  <c r="M213" i="24"/>
  <c r="N213" i="24"/>
  <c r="O213" i="24"/>
  <c r="P213" i="24"/>
  <c r="Q213" i="24"/>
  <c r="R213" i="24"/>
  <c r="S213" i="24"/>
  <c r="T213" i="24"/>
  <c r="U213" i="24"/>
  <c r="V213" i="24"/>
  <c r="W213" i="24"/>
  <c r="X213" i="24"/>
  <c r="Y213" i="24"/>
  <c r="Z213" i="24"/>
  <c r="AA213" i="24"/>
  <c r="AB213" i="24"/>
  <c r="AC213" i="24"/>
  <c r="AD213" i="24"/>
  <c r="AE213" i="24"/>
  <c r="AF213" i="24"/>
  <c r="AG213" i="24"/>
  <c r="AH213" i="24"/>
  <c r="AI213" i="24"/>
  <c r="AJ213" i="24"/>
  <c r="AK213" i="24"/>
  <c r="AL213" i="24"/>
  <c r="AM213" i="24"/>
  <c r="AN213" i="24"/>
  <c r="AO213" i="24"/>
  <c r="AP213" i="24"/>
  <c r="AQ213" i="24"/>
  <c r="AR213" i="24"/>
  <c r="AS213" i="24"/>
  <c r="AT213" i="24"/>
  <c r="AU213" i="24"/>
  <c r="AV213" i="24"/>
  <c r="AW213" i="24"/>
  <c r="AX213" i="24"/>
  <c r="AY213" i="24"/>
  <c r="AZ213" i="24"/>
  <c r="BA213" i="24"/>
  <c r="BB213" i="24"/>
  <c r="BC213" i="24"/>
  <c r="BD213" i="24"/>
  <c r="BE213" i="24"/>
  <c r="BF213" i="24"/>
  <c r="BG213" i="24"/>
  <c r="BH213" i="24"/>
  <c r="BI213" i="24"/>
  <c r="BJ213" i="24"/>
  <c r="BK213" i="24"/>
  <c r="B214" i="24"/>
  <c r="C214" i="24"/>
  <c r="D214" i="24"/>
  <c r="E214" i="24"/>
  <c r="F214" i="24"/>
  <c r="G214" i="24"/>
  <c r="H214" i="24"/>
  <c r="I214" i="24"/>
  <c r="J214" i="24"/>
  <c r="K214" i="24"/>
  <c r="L214" i="24"/>
  <c r="M214" i="24"/>
  <c r="N214" i="24"/>
  <c r="O214" i="24"/>
  <c r="P214" i="24"/>
  <c r="Q214" i="24"/>
  <c r="R214" i="24"/>
  <c r="S214" i="24"/>
  <c r="T214" i="24"/>
  <c r="U214" i="24"/>
  <c r="V214" i="24"/>
  <c r="W214" i="24"/>
  <c r="X214" i="24"/>
  <c r="Y214" i="24"/>
  <c r="Z214" i="24"/>
  <c r="AA214" i="24"/>
  <c r="AB214" i="24"/>
  <c r="AC214" i="24"/>
  <c r="AD214" i="24"/>
  <c r="AE214" i="24"/>
  <c r="AF214" i="24"/>
  <c r="AG214" i="24"/>
  <c r="AH214" i="24"/>
  <c r="AI214" i="24"/>
  <c r="AJ214" i="24"/>
  <c r="AK214" i="24"/>
  <c r="AL214" i="24"/>
  <c r="AM214" i="24"/>
  <c r="AN214" i="24"/>
  <c r="AO214" i="24"/>
  <c r="AP214" i="24"/>
  <c r="AQ214" i="24"/>
  <c r="AR214" i="24"/>
  <c r="AS214" i="24"/>
  <c r="AT214" i="24"/>
  <c r="AU214" i="24"/>
  <c r="AV214" i="24"/>
  <c r="AW214" i="24"/>
  <c r="AX214" i="24"/>
  <c r="AY214" i="24"/>
  <c r="AZ214" i="24"/>
  <c r="BA214" i="24"/>
  <c r="BB214" i="24"/>
  <c r="BC214" i="24"/>
  <c r="BD214" i="24"/>
  <c r="BE214" i="24"/>
  <c r="BF214" i="24"/>
  <c r="BG214" i="24"/>
  <c r="BH214" i="24"/>
  <c r="BI214" i="24"/>
  <c r="BJ214" i="24"/>
  <c r="BK214" i="24"/>
  <c r="B215" i="24"/>
  <c r="C215" i="24"/>
  <c r="D215" i="24"/>
  <c r="E215" i="24"/>
  <c r="F215" i="24"/>
  <c r="G215" i="24"/>
  <c r="H215" i="24"/>
  <c r="I215" i="24"/>
  <c r="J215" i="24"/>
  <c r="K215" i="24"/>
  <c r="L215" i="24"/>
  <c r="M215" i="24"/>
  <c r="N215" i="24"/>
  <c r="O215" i="24"/>
  <c r="P215" i="24"/>
  <c r="Q215" i="24"/>
  <c r="R215" i="24"/>
  <c r="S215" i="24"/>
  <c r="T215" i="24"/>
  <c r="U215" i="24"/>
  <c r="V215" i="24"/>
  <c r="W215" i="24"/>
  <c r="X215" i="24"/>
  <c r="Y215" i="24"/>
  <c r="Z215" i="24"/>
  <c r="AA215" i="24"/>
  <c r="AB215" i="24"/>
  <c r="AC215" i="24"/>
  <c r="AD215" i="24"/>
  <c r="AE215" i="24"/>
  <c r="AF215" i="24"/>
  <c r="AG215" i="24"/>
  <c r="AH215" i="24"/>
  <c r="AI215" i="24"/>
  <c r="AJ215" i="24"/>
  <c r="AK215" i="24"/>
  <c r="AL215" i="24"/>
  <c r="AM215" i="24"/>
  <c r="AN215" i="24"/>
  <c r="AO215" i="24"/>
  <c r="AP215" i="24"/>
  <c r="AQ215" i="24"/>
  <c r="AR215" i="24"/>
  <c r="AS215" i="24"/>
  <c r="AT215" i="24"/>
  <c r="AU215" i="24"/>
  <c r="AV215" i="24"/>
  <c r="AW215" i="24"/>
  <c r="AX215" i="24"/>
  <c r="AY215" i="24"/>
  <c r="AZ215" i="24"/>
  <c r="BA215" i="24"/>
  <c r="BB215" i="24"/>
  <c r="BC215" i="24"/>
  <c r="BD215" i="24"/>
  <c r="BE215" i="24"/>
  <c r="BF215" i="24"/>
  <c r="BG215" i="24"/>
  <c r="BH215" i="24"/>
  <c r="BI215" i="24"/>
  <c r="BJ215" i="24"/>
  <c r="BK215" i="24"/>
  <c r="B216" i="24"/>
  <c r="C216" i="24"/>
  <c r="D216" i="24"/>
  <c r="E216" i="24"/>
  <c r="F216" i="24"/>
  <c r="G216" i="24"/>
  <c r="H216" i="24"/>
  <c r="I216" i="24"/>
  <c r="J216" i="24"/>
  <c r="K216" i="24"/>
  <c r="L216" i="24"/>
  <c r="M216" i="24"/>
  <c r="N216" i="24"/>
  <c r="O216" i="24"/>
  <c r="P216" i="24"/>
  <c r="Q216" i="24"/>
  <c r="R216" i="24"/>
  <c r="S216" i="24"/>
  <c r="T216" i="24"/>
  <c r="U216" i="24"/>
  <c r="V216" i="24"/>
  <c r="W216" i="24"/>
  <c r="X216" i="24"/>
  <c r="Y216" i="24"/>
  <c r="Z216" i="24"/>
  <c r="AA216" i="24"/>
  <c r="AB216" i="24"/>
  <c r="AC216" i="24"/>
  <c r="AD216" i="24"/>
  <c r="AE216" i="24"/>
  <c r="AF216" i="24"/>
  <c r="AG216" i="24"/>
  <c r="AH216" i="24"/>
  <c r="AI216" i="24"/>
  <c r="AJ216" i="24"/>
  <c r="AK216" i="24"/>
  <c r="AL216" i="24"/>
  <c r="AM216" i="24"/>
  <c r="AN216" i="24"/>
  <c r="AO216" i="24"/>
  <c r="AP216" i="24"/>
  <c r="AQ216" i="24"/>
  <c r="AR216" i="24"/>
  <c r="AS216" i="24"/>
  <c r="AT216" i="24"/>
  <c r="AU216" i="24"/>
  <c r="AV216" i="24"/>
  <c r="AW216" i="24"/>
  <c r="AX216" i="24"/>
  <c r="AY216" i="24"/>
  <c r="AZ216" i="24"/>
  <c r="BA216" i="24"/>
  <c r="BB216" i="24"/>
  <c r="BC216" i="24"/>
  <c r="BD216" i="24"/>
  <c r="BE216" i="24"/>
  <c r="BF216" i="24"/>
  <c r="BG216" i="24"/>
  <c r="BH216" i="24"/>
  <c r="BI216" i="24"/>
  <c r="BJ216" i="24"/>
  <c r="BK216" i="24"/>
  <c r="B217" i="24"/>
  <c r="C217" i="24"/>
  <c r="D217" i="24"/>
  <c r="E217" i="24"/>
  <c r="F217" i="24"/>
  <c r="G217" i="24"/>
  <c r="H217" i="24"/>
  <c r="I217" i="24"/>
  <c r="J217" i="24"/>
  <c r="K217" i="24"/>
  <c r="L217" i="24"/>
  <c r="M217" i="24"/>
  <c r="N217" i="24"/>
  <c r="O217" i="24"/>
  <c r="P217" i="24"/>
  <c r="Q217" i="24"/>
  <c r="R217" i="24"/>
  <c r="S217" i="24"/>
  <c r="T217" i="24"/>
  <c r="U217" i="24"/>
  <c r="V217" i="24"/>
  <c r="W217" i="24"/>
  <c r="X217" i="24"/>
  <c r="Y217" i="24"/>
  <c r="Z217" i="24"/>
  <c r="AA217" i="24"/>
  <c r="AB217" i="24"/>
  <c r="AC217" i="24"/>
  <c r="AD217" i="24"/>
  <c r="AE217" i="24"/>
  <c r="AF217" i="24"/>
  <c r="AG217" i="24"/>
  <c r="AH217" i="24"/>
  <c r="AI217" i="24"/>
  <c r="AJ217" i="24"/>
  <c r="AK217" i="24"/>
  <c r="AL217" i="24"/>
  <c r="AM217" i="24"/>
  <c r="AN217" i="24"/>
  <c r="AO217" i="24"/>
  <c r="AP217" i="24"/>
  <c r="AQ217" i="24"/>
  <c r="AR217" i="24"/>
  <c r="AS217" i="24"/>
  <c r="AT217" i="24"/>
  <c r="AU217" i="24"/>
  <c r="AV217" i="24"/>
  <c r="AW217" i="24"/>
  <c r="AX217" i="24"/>
  <c r="AY217" i="24"/>
  <c r="AZ217" i="24"/>
  <c r="BA217" i="24"/>
  <c r="BB217" i="24"/>
  <c r="BC217" i="24"/>
  <c r="BD217" i="24"/>
  <c r="BE217" i="24"/>
  <c r="BF217" i="24"/>
  <c r="BG217" i="24"/>
  <c r="BH217" i="24"/>
  <c r="BI217" i="24"/>
  <c r="BJ217" i="24"/>
  <c r="BK217" i="24"/>
  <c r="B218" i="24"/>
  <c r="C218" i="24"/>
  <c r="D218" i="24"/>
  <c r="E218" i="24"/>
  <c r="F218" i="24"/>
  <c r="G218" i="24"/>
  <c r="H218" i="24"/>
  <c r="I218" i="24"/>
  <c r="J218" i="24"/>
  <c r="K218" i="24"/>
  <c r="L218" i="24"/>
  <c r="M218" i="24"/>
  <c r="N218" i="24"/>
  <c r="O218" i="24"/>
  <c r="P218" i="24"/>
  <c r="Q218" i="24"/>
  <c r="R218" i="24"/>
  <c r="S218" i="24"/>
  <c r="T218" i="24"/>
  <c r="U218" i="24"/>
  <c r="V218" i="24"/>
  <c r="W218" i="24"/>
  <c r="X218" i="24"/>
  <c r="Y218" i="24"/>
  <c r="Z218" i="24"/>
  <c r="AA218" i="24"/>
  <c r="AB218" i="24"/>
  <c r="AC218" i="24"/>
  <c r="AD218" i="24"/>
  <c r="AE218" i="24"/>
  <c r="AF218" i="24"/>
  <c r="AG218" i="24"/>
  <c r="AH218" i="24"/>
  <c r="AI218" i="24"/>
  <c r="AJ218" i="24"/>
  <c r="AK218" i="24"/>
  <c r="AL218" i="24"/>
  <c r="AM218" i="24"/>
  <c r="AN218" i="24"/>
  <c r="AO218" i="24"/>
  <c r="AP218" i="24"/>
  <c r="AQ218" i="24"/>
  <c r="AR218" i="24"/>
  <c r="AS218" i="24"/>
  <c r="AT218" i="24"/>
  <c r="AU218" i="24"/>
  <c r="AV218" i="24"/>
  <c r="AW218" i="24"/>
  <c r="AX218" i="24"/>
  <c r="AY218" i="24"/>
  <c r="AZ218" i="24"/>
  <c r="BA218" i="24"/>
  <c r="BB218" i="24"/>
  <c r="BC218" i="24"/>
  <c r="BD218" i="24"/>
  <c r="BE218" i="24"/>
  <c r="BF218" i="24"/>
  <c r="BG218" i="24"/>
  <c r="BH218" i="24"/>
  <c r="BI218" i="24"/>
  <c r="BJ218" i="24"/>
  <c r="BK218" i="24"/>
  <c r="B219" i="24"/>
  <c r="C219" i="24"/>
  <c r="D219" i="24"/>
  <c r="E219" i="24"/>
  <c r="F219" i="24"/>
  <c r="G219" i="24"/>
  <c r="H219" i="24"/>
  <c r="I219" i="24"/>
  <c r="J219" i="24"/>
  <c r="K219" i="24"/>
  <c r="L219" i="24"/>
  <c r="M219" i="24"/>
  <c r="N219" i="24"/>
  <c r="O219" i="24"/>
  <c r="P219" i="24"/>
  <c r="Q219" i="24"/>
  <c r="R219" i="24"/>
  <c r="S219" i="24"/>
  <c r="T219" i="24"/>
  <c r="U219" i="24"/>
  <c r="V219" i="24"/>
  <c r="W219" i="24"/>
  <c r="X219" i="24"/>
  <c r="Y219" i="24"/>
  <c r="Z219" i="24"/>
  <c r="AA219" i="24"/>
  <c r="AB219" i="24"/>
  <c r="AC219" i="24"/>
  <c r="AD219" i="24"/>
  <c r="AE219" i="24"/>
  <c r="AF219" i="24"/>
  <c r="AG219" i="24"/>
  <c r="AH219" i="24"/>
  <c r="AI219" i="24"/>
  <c r="AJ219" i="24"/>
  <c r="AK219" i="24"/>
  <c r="AL219" i="24"/>
  <c r="AM219" i="24"/>
  <c r="AN219" i="24"/>
  <c r="AO219" i="24"/>
  <c r="AP219" i="24"/>
  <c r="AQ219" i="24"/>
  <c r="AR219" i="24"/>
  <c r="AS219" i="24"/>
  <c r="AT219" i="24"/>
  <c r="AU219" i="24"/>
  <c r="AV219" i="24"/>
  <c r="AW219" i="24"/>
  <c r="AX219" i="24"/>
  <c r="AY219" i="24"/>
  <c r="AZ219" i="24"/>
  <c r="BA219" i="24"/>
  <c r="BB219" i="24"/>
  <c r="BC219" i="24"/>
  <c r="BD219" i="24"/>
  <c r="BE219" i="24"/>
  <c r="BF219" i="24"/>
  <c r="BG219" i="24"/>
  <c r="BH219" i="24"/>
  <c r="BI219" i="24"/>
  <c r="BJ219" i="24"/>
  <c r="BK219" i="24"/>
  <c r="B220" i="24"/>
  <c r="C220" i="24"/>
  <c r="D220" i="24"/>
  <c r="E220" i="24"/>
  <c r="F220" i="24"/>
  <c r="G220" i="24"/>
  <c r="H220" i="24"/>
  <c r="I220" i="24"/>
  <c r="J220" i="24"/>
  <c r="K220" i="24"/>
  <c r="L220" i="24"/>
  <c r="M220" i="24"/>
  <c r="N220" i="24"/>
  <c r="O220" i="24"/>
  <c r="P220" i="24"/>
  <c r="Q220" i="24"/>
  <c r="R220" i="24"/>
  <c r="S220" i="24"/>
  <c r="T220" i="24"/>
  <c r="U220" i="24"/>
  <c r="V220" i="24"/>
  <c r="W220" i="24"/>
  <c r="X220" i="24"/>
  <c r="Y220" i="24"/>
  <c r="Z220" i="24"/>
  <c r="AA220" i="24"/>
  <c r="AB220" i="24"/>
  <c r="AC220" i="24"/>
  <c r="AD220" i="24"/>
  <c r="AE220" i="24"/>
  <c r="AF220" i="24"/>
  <c r="AG220" i="24"/>
  <c r="AH220" i="24"/>
  <c r="AI220" i="24"/>
  <c r="AJ220" i="24"/>
  <c r="AK220" i="24"/>
  <c r="AL220" i="24"/>
  <c r="AM220" i="24"/>
  <c r="AN220" i="24"/>
  <c r="AO220" i="24"/>
  <c r="AP220" i="24"/>
  <c r="AQ220" i="24"/>
  <c r="AR220" i="24"/>
  <c r="AS220" i="24"/>
  <c r="AT220" i="24"/>
  <c r="AU220" i="24"/>
  <c r="AV220" i="24"/>
  <c r="AW220" i="24"/>
  <c r="AX220" i="24"/>
  <c r="AY220" i="24"/>
  <c r="AZ220" i="24"/>
  <c r="BA220" i="24"/>
  <c r="BB220" i="24"/>
  <c r="BC220" i="24"/>
  <c r="BD220" i="24"/>
  <c r="BE220" i="24"/>
  <c r="BF220" i="24"/>
  <c r="BG220" i="24"/>
  <c r="BH220" i="24"/>
  <c r="BI220" i="24"/>
  <c r="BJ220" i="24"/>
  <c r="BK220" i="24"/>
  <c r="B221" i="24"/>
  <c r="C221" i="24"/>
  <c r="D221" i="24"/>
  <c r="E221" i="24"/>
  <c r="F221" i="24"/>
  <c r="G221" i="24"/>
  <c r="H221" i="24"/>
  <c r="I221" i="24"/>
  <c r="J221" i="24"/>
  <c r="K221" i="24"/>
  <c r="L221" i="24"/>
  <c r="M221" i="24"/>
  <c r="N221" i="24"/>
  <c r="O221" i="24"/>
  <c r="P221" i="24"/>
  <c r="Q221" i="24"/>
  <c r="R221" i="24"/>
  <c r="S221" i="24"/>
  <c r="T221" i="24"/>
  <c r="U221" i="24"/>
  <c r="V221" i="24"/>
  <c r="W221" i="24"/>
  <c r="X221" i="24"/>
  <c r="Y221" i="24"/>
  <c r="Z221" i="24"/>
  <c r="AA221" i="24"/>
  <c r="AB221" i="24"/>
  <c r="AC221" i="24"/>
  <c r="AD221" i="24"/>
  <c r="AE221" i="24"/>
  <c r="AF221" i="24"/>
  <c r="AG221" i="24"/>
  <c r="AH221" i="24"/>
  <c r="AI221" i="24"/>
  <c r="AJ221" i="24"/>
  <c r="AK221" i="24"/>
  <c r="AL221" i="24"/>
  <c r="AM221" i="24"/>
  <c r="AN221" i="24"/>
  <c r="AO221" i="24"/>
  <c r="AP221" i="24"/>
  <c r="AQ221" i="24"/>
  <c r="AR221" i="24"/>
  <c r="AS221" i="24"/>
  <c r="AT221" i="24"/>
  <c r="AU221" i="24"/>
  <c r="AV221" i="24"/>
  <c r="AW221" i="24"/>
  <c r="AX221" i="24"/>
  <c r="AY221" i="24"/>
  <c r="AZ221" i="24"/>
  <c r="BA221" i="24"/>
  <c r="BB221" i="24"/>
  <c r="BC221" i="24"/>
  <c r="BD221" i="24"/>
  <c r="BE221" i="24"/>
  <c r="BF221" i="24"/>
  <c r="BG221" i="24"/>
  <c r="BH221" i="24"/>
  <c r="BI221" i="24"/>
  <c r="BJ221" i="24"/>
  <c r="BK221" i="24"/>
  <c r="B222" i="24"/>
  <c r="C222" i="24"/>
  <c r="D222" i="24"/>
  <c r="E222" i="24"/>
  <c r="F222" i="24"/>
  <c r="G222" i="24"/>
  <c r="H222" i="24"/>
  <c r="I222" i="24"/>
  <c r="J222" i="24"/>
  <c r="K222" i="24"/>
  <c r="L222" i="24"/>
  <c r="M222" i="24"/>
  <c r="N222" i="24"/>
  <c r="O222" i="24"/>
  <c r="P222" i="24"/>
  <c r="Q222" i="24"/>
  <c r="R222" i="24"/>
  <c r="S222" i="24"/>
  <c r="T222" i="24"/>
  <c r="U222" i="24"/>
  <c r="V222" i="24"/>
  <c r="W222" i="24"/>
  <c r="X222" i="24"/>
  <c r="Y222" i="24"/>
  <c r="Z222" i="24"/>
  <c r="AA222" i="24"/>
  <c r="AB222" i="24"/>
  <c r="AC222" i="24"/>
  <c r="AD222" i="24"/>
  <c r="AE222" i="24"/>
  <c r="AF222" i="24"/>
  <c r="AG222" i="24"/>
  <c r="AH222" i="24"/>
  <c r="AI222" i="24"/>
  <c r="AJ222" i="24"/>
  <c r="AK222" i="24"/>
  <c r="AL222" i="24"/>
  <c r="AM222" i="24"/>
  <c r="AN222" i="24"/>
  <c r="AO222" i="24"/>
  <c r="AP222" i="24"/>
  <c r="AQ222" i="24"/>
  <c r="AR222" i="24"/>
  <c r="AS222" i="24"/>
  <c r="AT222" i="24"/>
  <c r="AU222" i="24"/>
  <c r="AV222" i="24"/>
  <c r="AW222" i="24"/>
  <c r="AX222" i="24"/>
  <c r="AY222" i="24"/>
  <c r="AZ222" i="24"/>
  <c r="BA222" i="24"/>
  <c r="BB222" i="24"/>
  <c r="BC222" i="24"/>
  <c r="BD222" i="24"/>
  <c r="BE222" i="24"/>
  <c r="BF222" i="24"/>
  <c r="BG222" i="24"/>
  <c r="BH222" i="24"/>
  <c r="BI222" i="24"/>
  <c r="BJ222" i="24"/>
  <c r="BK222" i="24"/>
  <c r="B223" i="24"/>
  <c r="C223" i="24"/>
  <c r="D223" i="24"/>
  <c r="E223" i="24"/>
  <c r="F223" i="24"/>
  <c r="G223" i="24"/>
  <c r="H223" i="24"/>
  <c r="I223" i="24"/>
  <c r="J223" i="24"/>
  <c r="K223" i="24"/>
  <c r="L223" i="24"/>
  <c r="M223" i="24"/>
  <c r="N223" i="24"/>
  <c r="O223" i="24"/>
  <c r="P223" i="24"/>
  <c r="Q223" i="24"/>
  <c r="R223" i="24"/>
  <c r="S223" i="24"/>
  <c r="T223" i="24"/>
  <c r="U223" i="24"/>
  <c r="V223" i="24"/>
  <c r="W223" i="24"/>
  <c r="X223" i="24"/>
  <c r="Y223" i="24"/>
  <c r="Z223" i="24"/>
  <c r="AA223" i="24"/>
  <c r="AB223" i="24"/>
  <c r="AC223" i="24"/>
  <c r="AD223" i="24"/>
  <c r="AE223" i="24"/>
  <c r="AF223" i="24"/>
  <c r="AG223" i="24"/>
  <c r="AH223" i="24"/>
  <c r="AI223" i="24"/>
  <c r="AJ223" i="24"/>
  <c r="AK223" i="24"/>
  <c r="AL223" i="24"/>
  <c r="AM223" i="24"/>
  <c r="AN223" i="24"/>
  <c r="AO223" i="24"/>
  <c r="AP223" i="24"/>
  <c r="AQ223" i="24"/>
  <c r="AR223" i="24"/>
  <c r="AS223" i="24"/>
  <c r="AT223" i="24"/>
  <c r="AU223" i="24"/>
  <c r="AV223" i="24"/>
  <c r="AW223" i="24"/>
  <c r="AX223" i="24"/>
  <c r="AY223" i="24"/>
  <c r="AZ223" i="24"/>
  <c r="BA223" i="24"/>
  <c r="BB223" i="24"/>
  <c r="BC223" i="24"/>
  <c r="BD223" i="24"/>
  <c r="BE223" i="24"/>
  <c r="BF223" i="24"/>
  <c r="BG223" i="24"/>
  <c r="BH223" i="24"/>
  <c r="BI223" i="24"/>
  <c r="BJ223" i="24"/>
  <c r="BK223" i="24"/>
  <c r="B224" i="24"/>
  <c r="C224" i="24"/>
  <c r="D224" i="24"/>
  <c r="E224" i="24"/>
  <c r="F224" i="24"/>
  <c r="G224" i="24"/>
  <c r="H224" i="24"/>
  <c r="I224" i="24"/>
  <c r="J224" i="24"/>
  <c r="K224" i="24"/>
  <c r="L224" i="24"/>
  <c r="M224" i="24"/>
  <c r="N224" i="24"/>
  <c r="O224" i="24"/>
  <c r="P224" i="24"/>
  <c r="Q224" i="24"/>
  <c r="R224" i="24"/>
  <c r="S224" i="24"/>
  <c r="T224" i="24"/>
  <c r="U224" i="24"/>
  <c r="V224" i="24"/>
  <c r="W224" i="24"/>
  <c r="X224" i="24"/>
  <c r="Y224" i="24"/>
  <c r="Z224" i="24"/>
  <c r="AA224" i="24"/>
  <c r="AB224" i="24"/>
  <c r="AC224" i="24"/>
  <c r="AD224" i="24"/>
  <c r="AE224" i="24"/>
  <c r="AF224" i="24"/>
  <c r="AG224" i="24"/>
  <c r="AH224" i="24"/>
  <c r="AI224" i="24"/>
  <c r="AJ224" i="24"/>
  <c r="AK224" i="24"/>
  <c r="AL224" i="24"/>
  <c r="AM224" i="24"/>
  <c r="AN224" i="24"/>
  <c r="AO224" i="24"/>
  <c r="AP224" i="24"/>
  <c r="AQ224" i="24"/>
  <c r="AR224" i="24"/>
  <c r="AS224" i="24"/>
  <c r="AT224" i="24"/>
  <c r="AU224" i="24"/>
  <c r="AV224" i="24"/>
  <c r="AW224" i="24"/>
  <c r="AX224" i="24"/>
  <c r="AY224" i="24"/>
  <c r="AZ224" i="24"/>
  <c r="BA224" i="24"/>
  <c r="BB224" i="24"/>
  <c r="BC224" i="24"/>
  <c r="BD224" i="24"/>
  <c r="BE224" i="24"/>
  <c r="BF224" i="24"/>
  <c r="BG224" i="24"/>
  <c r="BH224" i="24"/>
  <c r="BI224" i="24"/>
  <c r="BJ224" i="24"/>
  <c r="BK224" i="24"/>
  <c r="B225" i="24"/>
  <c r="C225" i="24"/>
  <c r="D225" i="24"/>
  <c r="E225" i="24"/>
  <c r="F225" i="24"/>
  <c r="G225" i="24"/>
  <c r="H225" i="24"/>
  <c r="I225" i="24"/>
  <c r="J225" i="24"/>
  <c r="K225" i="24"/>
  <c r="L225" i="24"/>
  <c r="M225" i="24"/>
  <c r="N225" i="24"/>
  <c r="O225" i="24"/>
  <c r="P225" i="24"/>
  <c r="Q225" i="24"/>
  <c r="R225" i="24"/>
  <c r="S225" i="24"/>
  <c r="T225" i="24"/>
  <c r="U225" i="24"/>
  <c r="V225" i="24"/>
  <c r="W225" i="24"/>
  <c r="X225" i="24"/>
  <c r="Y225" i="24"/>
  <c r="Z225" i="24"/>
  <c r="AA225" i="24"/>
  <c r="AB225" i="24"/>
  <c r="AC225" i="24"/>
  <c r="AD225" i="24"/>
  <c r="AE225" i="24"/>
  <c r="AF225" i="24"/>
  <c r="AG225" i="24"/>
  <c r="AH225" i="24"/>
  <c r="AI225" i="24"/>
  <c r="AJ225" i="24"/>
  <c r="AK225" i="24"/>
  <c r="AL225" i="24"/>
  <c r="AM225" i="24"/>
  <c r="AN225" i="24"/>
  <c r="AO225" i="24"/>
  <c r="AP225" i="24"/>
  <c r="AQ225" i="24"/>
  <c r="AR225" i="24"/>
  <c r="AS225" i="24"/>
  <c r="AT225" i="24"/>
  <c r="AU225" i="24"/>
  <c r="AV225" i="24"/>
  <c r="AW225" i="24"/>
  <c r="AX225" i="24"/>
  <c r="AY225" i="24"/>
  <c r="AZ225" i="24"/>
  <c r="BA225" i="24"/>
  <c r="BB225" i="24"/>
  <c r="BC225" i="24"/>
  <c r="BD225" i="24"/>
  <c r="BE225" i="24"/>
  <c r="BF225" i="24"/>
  <c r="BG225" i="24"/>
  <c r="BH225" i="24"/>
  <c r="BI225" i="24"/>
  <c r="BJ225" i="24"/>
  <c r="BK225" i="24"/>
  <c r="B226" i="24"/>
  <c r="C226" i="24"/>
  <c r="D226" i="24"/>
  <c r="E226" i="24"/>
  <c r="F226" i="24"/>
  <c r="G226" i="24"/>
  <c r="H226" i="24"/>
  <c r="I226" i="24"/>
  <c r="J226" i="24"/>
  <c r="K226" i="24"/>
  <c r="L226" i="24"/>
  <c r="M226" i="24"/>
  <c r="N226" i="24"/>
  <c r="O226" i="24"/>
  <c r="P226" i="24"/>
  <c r="Q226" i="24"/>
  <c r="R226" i="24"/>
  <c r="S226" i="24"/>
  <c r="T226" i="24"/>
  <c r="U226" i="24"/>
  <c r="V226" i="24"/>
  <c r="W226" i="24"/>
  <c r="X226" i="24"/>
  <c r="Y226" i="24"/>
  <c r="Z226" i="24"/>
  <c r="AA226" i="24"/>
  <c r="AB226" i="24"/>
  <c r="AC226" i="24"/>
  <c r="AD226" i="24"/>
  <c r="AE226" i="24"/>
  <c r="AF226" i="24"/>
  <c r="AG226" i="24"/>
  <c r="AH226" i="24"/>
  <c r="AI226" i="24"/>
  <c r="AJ226" i="24"/>
  <c r="AK226" i="24"/>
  <c r="AL226" i="24"/>
  <c r="AM226" i="24"/>
  <c r="AN226" i="24"/>
  <c r="AO226" i="24"/>
  <c r="AP226" i="24"/>
  <c r="AQ226" i="24"/>
  <c r="AR226" i="24"/>
  <c r="AS226" i="24"/>
  <c r="AT226" i="24"/>
  <c r="AU226" i="24"/>
  <c r="AV226" i="24"/>
  <c r="AW226" i="24"/>
  <c r="AX226" i="24"/>
  <c r="AY226" i="24"/>
  <c r="AZ226" i="24"/>
  <c r="BA226" i="24"/>
  <c r="BB226" i="24"/>
  <c r="BC226" i="24"/>
  <c r="BD226" i="24"/>
  <c r="BE226" i="24"/>
  <c r="BF226" i="24"/>
  <c r="BG226" i="24"/>
  <c r="BH226" i="24"/>
  <c r="BI226" i="24"/>
  <c r="BJ226" i="24"/>
  <c r="BK226" i="24"/>
  <c r="B227" i="24"/>
  <c r="C227" i="24"/>
  <c r="D227" i="24"/>
  <c r="E227" i="24"/>
  <c r="F227" i="24"/>
  <c r="G227" i="24"/>
  <c r="H227" i="24"/>
  <c r="I227" i="24"/>
  <c r="J227" i="24"/>
  <c r="K227" i="24"/>
  <c r="L227" i="24"/>
  <c r="M227" i="24"/>
  <c r="N227" i="24"/>
  <c r="O227" i="24"/>
  <c r="P227" i="24"/>
  <c r="Q227" i="24"/>
  <c r="R227" i="24"/>
  <c r="S227" i="24"/>
  <c r="T227" i="24"/>
  <c r="U227" i="24"/>
  <c r="V227" i="24"/>
  <c r="W227" i="24"/>
  <c r="X227" i="24"/>
  <c r="Y227" i="24"/>
  <c r="Z227" i="24"/>
  <c r="AA227" i="24"/>
  <c r="AB227" i="24"/>
  <c r="AC227" i="24"/>
  <c r="AD227" i="24"/>
  <c r="AE227" i="24"/>
  <c r="AF227" i="24"/>
  <c r="AG227" i="24"/>
  <c r="AH227" i="24"/>
  <c r="AI227" i="24"/>
  <c r="AJ227" i="24"/>
  <c r="AK227" i="24"/>
  <c r="AL227" i="24"/>
  <c r="AM227" i="24"/>
  <c r="AN227" i="24"/>
  <c r="AO227" i="24"/>
  <c r="AP227" i="24"/>
  <c r="AQ227" i="24"/>
  <c r="AR227" i="24"/>
  <c r="AS227" i="24"/>
  <c r="AT227" i="24"/>
  <c r="AU227" i="24"/>
  <c r="AV227" i="24"/>
  <c r="AW227" i="24"/>
  <c r="AX227" i="24"/>
  <c r="AY227" i="24"/>
  <c r="AZ227" i="24"/>
  <c r="BA227" i="24"/>
  <c r="BB227" i="24"/>
  <c r="BC227" i="24"/>
  <c r="BD227" i="24"/>
  <c r="BE227" i="24"/>
  <c r="BF227" i="24"/>
  <c r="BG227" i="24"/>
  <c r="BH227" i="24"/>
  <c r="BI227" i="24"/>
  <c r="BJ227" i="24"/>
  <c r="BK227" i="24"/>
  <c r="B228" i="24"/>
  <c r="C228" i="24"/>
  <c r="D228" i="24"/>
  <c r="E228" i="24"/>
  <c r="F228" i="24"/>
  <c r="G228" i="24"/>
  <c r="H228" i="24"/>
  <c r="I228" i="24"/>
  <c r="J228" i="24"/>
  <c r="K228" i="24"/>
  <c r="L228" i="24"/>
  <c r="M228" i="24"/>
  <c r="N228" i="24"/>
  <c r="O228" i="24"/>
  <c r="P228" i="24"/>
  <c r="Q228" i="24"/>
  <c r="R228" i="24"/>
  <c r="S228" i="24"/>
  <c r="T228" i="24"/>
  <c r="U228" i="24"/>
  <c r="V228" i="24"/>
  <c r="W228" i="24"/>
  <c r="X228" i="24"/>
  <c r="Y228" i="24"/>
  <c r="Z228" i="24"/>
  <c r="AA228" i="24"/>
  <c r="AB228" i="24"/>
  <c r="AC228" i="24"/>
  <c r="AD228" i="24"/>
  <c r="AE228" i="24"/>
  <c r="AF228" i="24"/>
  <c r="AG228" i="24"/>
  <c r="AH228" i="24"/>
  <c r="AI228" i="24"/>
  <c r="AJ228" i="24"/>
  <c r="AK228" i="24"/>
  <c r="AL228" i="24"/>
  <c r="AM228" i="24"/>
  <c r="AN228" i="24"/>
  <c r="AO228" i="24"/>
  <c r="AP228" i="24"/>
  <c r="AQ228" i="24"/>
  <c r="AR228" i="24"/>
  <c r="AS228" i="24"/>
  <c r="AT228" i="24"/>
  <c r="AU228" i="24"/>
  <c r="AV228" i="24"/>
  <c r="AW228" i="24"/>
  <c r="AX228" i="24"/>
  <c r="AY228" i="24"/>
  <c r="AZ228" i="24"/>
  <c r="BA228" i="24"/>
  <c r="BB228" i="24"/>
  <c r="BC228" i="24"/>
  <c r="BD228" i="24"/>
  <c r="BE228" i="24"/>
  <c r="BF228" i="24"/>
  <c r="BG228" i="24"/>
  <c r="BH228" i="24"/>
  <c r="BI228" i="24"/>
  <c r="BJ228" i="24"/>
  <c r="BK228" i="24"/>
  <c r="B229" i="24"/>
  <c r="C229" i="24"/>
  <c r="D229" i="24"/>
  <c r="E229" i="24"/>
  <c r="F229" i="24"/>
  <c r="G229" i="24"/>
  <c r="H229" i="24"/>
  <c r="I229" i="24"/>
  <c r="J229" i="24"/>
  <c r="K229" i="24"/>
  <c r="L229" i="24"/>
  <c r="M229" i="24"/>
  <c r="N229" i="24"/>
  <c r="O229" i="24"/>
  <c r="P229" i="24"/>
  <c r="Q229" i="24"/>
  <c r="R229" i="24"/>
  <c r="S229" i="24"/>
  <c r="T229" i="24"/>
  <c r="U229" i="24"/>
  <c r="V229" i="24"/>
  <c r="W229" i="24"/>
  <c r="X229" i="24"/>
  <c r="Y229" i="24"/>
  <c r="Z229" i="24"/>
  <c r="AA229" i="24"/>
  <c r="AB229" i="24"/>
  <c r="AC229" i="24"/>
  <c r="AD229" i="24"/>
  <c r="AE229" i="24"/>
  <c r="AF229" i="24"/>
  <c r="AG229" i="24"/>
  <c r="AH229" i="24"/>
  <c r="AI229" i="24"/>
  <c r="AJ229" i="24"/>
  <c r="AK229" i="24"/>
  <c r="AL229" i="24"/>
  <c r="AM229" i="24"/>
  <c r="AN229" i="24"/>
  <c r="AO229" i="24"/>
  <c r="AP229" i="24"/>
  <c r="AQ229" i="24"/>
  <c r="AR229" i="24"/>
  <c r="AS229" i="24"/>
  <c r="AT229" i="24"/>
  <c r="AU229" i="24"/>
  <c r="AV229" i="24"/>
  <c r="AW229" i="24"/>
  <c r="AX229" i="24"/>
  <c r="AY229" i="24"/>
  <c r="AZ229" i="24"/>
  <c r="BA229" i="24"/>
  <c r="BB229" i="24"/>
  <c r="BC229" i="24"/>
  <c r="BD229" i="24"/>
  <c r="BE229" i="24"/>
  <c r="BF229" i="24"/>
  <c r="BG229" i="24"/>
  <c r="BH229" i="24"/>
  <c r="BI229" i="24"/>
  <c r="BJ229" i="24"/>
  <c r="BK229" i="24"/>
  <c r="B230" i="24"/>
  <c r="C230" i="24"/>
  <c r="D230" i="24"/>
  <c r="E230" i="24"/>
  <c r="F230" i="24"/>
  <c r="G230" i="24"/>
  <c r="H230" i="24"/>
  <c r="I230" i="24"/>
  <c r="J230" i="24"/>
  <c r="K230" i="24"/>
  <c r="L230" i="24"/>
  <c r="M230" i="24"/>
  <c r="N230" i="24"/>
  <c r="O230" i="24"/>
  <c r="P230" i="24"/>
  <c r="Q230" i="24"/>
  <c r="R230" i="24"/>
  <c r="S230" i="24"/>
  <c r="T230" i="24"/>
  <c r="U230" i="24"/>
  <c r="V230" i="24"/>
  <c r="W230" i="24"/>
  <c r="X230" i="24"/>
  <c r="Y230" i="24"/>
  <c r="Z230" i="24"/>
  <c r="AA230" i="24"/>
  <c r="AB230" i="24"/>
  <c r="AC230" i="24"/>
  <c r="AD230" i="24"/>
  <c r="AE230" i="24"/>
  <c r="AF230" i="24"/>
  <c r="AG230" i="24"/>
  <c r="AH230" i="24"/>
  <c r="AI230" i="24"/>
  <c r="AJ230" i="24"/>
  <c r="AK230" i="24"/>
  <c r="AL230" i="24"/>
  <c r="AM230" i="24"/>
  <c r="AN230" i="24"/>
  <c r="AO230" i="24"/>
  <c r="AP230" i="24"/>
  <c r="AQ230" i="24"/>
  <c r="AR230" i="24"/>
  <c r="AS230" i="24"/>
  <c r="AT230" i="24"/>
  <c r="AU230" i="24"/>
  <c r="AV230" i="24"/>
  <c r="AW230" i="24"/>
  <c r="AX230" i="24"/>
  <c r="AY230" i="24"/>
  <c r="AZ230" i="24"/>
  <c r="BA230" i="24"/>
  <c r="BB230" i="24"/>
  <c r="BC230" i="24"/>
  <c r="BD230" i="24"/>
  <c r="BE230" i="24"/>
  <c r="BF230" i="24"/>
  <c r="BG230" i="24"/>
  <c r="BH230" i="24"/>
  <c r="BI230" i="24"/>
  <c r="BJ230" i="24"/>
  <c r="BK230" i="24"/>
  <c r="B231" i="24"/>
  <c r="C231" i="24"/>
  <c r="D231" i="24"/>
  <c r="E231" i="24"/>
  <c r="F231" i="24"/>
  <c r="G231" i="24"/>
  <c r="H231" i="24"/>
  <c r="I231" i="24"/>
  <c r="J231" i="24"/>
  <c r="K231" i="24"/>
  <c r="L231" i="24"/>
  <c r="M231" i="24"/>
  <c r="N231" i="24"/>
  <c r="O231" i="24"/>
  <c r="P231" i="24"/>
  <c r="Q231" i="24"/>
  <c r="R231" i="24"/>
  <c r="S231" i="24"/>
  <c r="T231" i="24"/>
  <c r="U231" i="24"/>
  <c r="V231" i="24"/>
  <c r="W231" i="24"/>
  <c r="X231" i="24"/>
  <c r="Y231" i="24"/>
  <c r="Z231" i="24"/>
  <c r="AA231" i="24"/>
  <c r="AB231" i="24"/>
  <c r="AC231" i="24"/>
  <c r="AD231" i="24"/>
  <c r="AE231" i="24"/>
  <c r="AF231" i="24"/>
  <c r="AG231" i="24"/>
  <c r="AH231" i="24"/>
  <c r="AI231" i="24"/>
  <c r="AJ231" i="24"/>
  <c r="AK231" i="24"/>
  <c r="AL231" i="24"/>
  <c r="AM231" i="24"/>
  <c r="AN231" i="24"/>
  <c r="AO231" i="24"/>
  <c r="AP231" i="24"/>
  <c r="AQ231" i="24"/>
  <c r="AR231" i="24"/>
  <c r="AS231" i="24"/>
  <c r="AT231" i="24"/>
  <c r="AU231" i="24"/>
  <c r="AV231" i="24"/>
  <c r="AW231" i="24"/>
  <c r="AX231" i="24"/>
  <c r="AY231" i="24"/>
  <c r="AZ231" i="24"/>
  <c r="BA231" i="24"/>
  <c r="BB231" i="24"/>
  <c r="BC231" i="24"/>
  <c r="BD231" i="24"/>
  <c r="BE231" i="24"/>
  <c r="BF231" i="24"/>
  <c r="BG231" i="24"/>
  <c r="BH231" i="24"/>
  <c r="BI231" i="24"/>
  <c r="BJ231" i="24"/>
  <c r="BK231" i="24"/>
  <c r="B232" i="24"/>
  <c r="C232" i="24"/>
  <c r="D232" i="24"/>
  <c r="E232" i="24"/>
  <c r="F232" i="24"/>
  <c r="G232" i="24"/>
  <c r="H232" i="24"/>
  <c r="I232" i="24"/>
  <c r="J232" i="24"/>
  <c r="K232" i="24"/>
  <c r="L232" i="24"/>
  <c r="M232" i="24"/>
  <c r="N232" i="24"/>
  <c r="O232" i="24"/>
  <c r="P232" i="24"/>
  <c r="Q232" i="24"/>
  <c r="R232" i="24"/>
  <c r="S232" i="24"/>
  <c r="T232" i="24"/>
  <c r="U232" i="24"/>
  <c r="V232" i="24"/>
  <c r="W232" i="24"/>
  <c r="X232" i="24"/>
  <c r="Y232" i="24"/>
  <c r="Z232" i="24"/>
  <c r="AA232" i="24"/>
  <c r="AB232" i="24"/>
  <c r="AC232" i="24"/>
  <c r="AD232" i="24"/>
  <c r="AE232" i="24"/>
  <c r="AF232" i="24"/>
  <c r="AG232" i="24"/>
  <c r="AH232" i="24"/>
  <c r="AI232" i="24"/>
  <c r="AJ232" i="24"/>
  <c r="AK232" i="24"/>
  <c r="AL232" i="24"/>
  <c r="AM232" i="24"/>
  <c r="AN232" i="24"/>
  <c r="AO232" i="24"/>
  <c r="AP232" i="24"/>
  <c r="AQ232" i="24"/>
  <c r="AR232" i="24"/>
  <c r="AS232" i="24"/>
  <c r="AT232" i="24"/>
  <c r="AU232" i="24"/>
  <c r="AV232" i="24"/>
  <c r="AW232" i="24"/>
  <c r="AX232" i="24"/>
  <c r="AY232" i="24"/>
  <c r="AZ232" i="24"/>
  <c r="BA232" i="24"/>
  <c r="BB232" i="24"/>
  <c r="BC232" i="24"/>
  <c r="BD232" i="24"/>
  <c r="BE232" i="24"/>
  <c r="BF232" i="24"/>
  <c r="BG232" i="24"/>
  <c r="BH232" i="24"/>
  <c r="BI232" i="24"/>
  <c r="BJ232" i="24"/>
  <c r="BK232" i="24"/>
  <c r="B233" i="24"/>
  <c r="C233" i="24"/>
  <c r="D233" i="24"/>
  <c r="E233" i="24"/>
  <c r="F233" i="24"/>
  <c r="G233" i="24"/>
  <c r="H233" i="24"/>
  <c r="I233" i="24"/>
  <c r="J233" i="24"/>
  <c r="K233" i="24"/>
  <c r="L233" i="24"/>
  <c r="M233" i="24"/>
  <c r="N233" i="24"/>
  <c r="O233" i="24"/>
  <c r="P233" i="24"/>
  <c r="Q233" i="24"/>
  <c r="R233" i="24"/>
  <c r="S233" i="24"/>
  <c r="T233" i="24"/>
  <c r="U233" i="24"/>
  <c r="V233" i="24"/>
  <c r="W233" i="24"/>
  <c r="X233" i="24"/>
  <c r="Y233" i="24"/>
  <c r="Z233" i="24"/>
  <c r="AA233" i="24"/>
  <c r="AB233" i="24"/>
  <c r="AC233" i="24"/>
  <c r="AD233" i="24"/>
  <c r="AE233" i="24"/>
  <c r="AF233" i="24"/>
  <c r="AG233" i="24"/>
  <c r="AH233" i="24"/>
  <c r="AI233" i="24"/>
  <c r="AJ233" i="24"/>
  <c r="AK233" i="24"/>
  <c r="AL233" i="24"/>
  <c r="AM233" i="24"/>
  <c r="AN233" i="24"/>
  <c r="AO233" i="24"/>
  <c r="AP233" i="24"/>
  <c r="AQ233" i="24"/>
  <c r="AR233" i="24"/>
  <c r="AS233" i="24"/>
  <c r="AT233" i="24"/>
  <c r="AU233" i="24"/>
  <c r="AV233" i="24"/>
  <c r="AW233" i="24"/>
  <c r="AX233" i="24"/>
  <c r="AY233" i="24"/>
  <c r="AZ233" i="24"/>
  <c r="BA233" i="24"/>
  <c r="BB233" i="24"/>
  <c r="BC233" i="24"/>
  <c r="BD233" i="24"/>
  <c r="BE233" i="24"/>
  <c r="BF233" i="24"/>
  <c r="BG233" i="24"/>
  <c r="BH233" i="24"/>
  <c r="BI233" i="24"/>
  <c r="BJ233" i="24"/>
  <c r="BK233" i="24"/>
  <c r="B234" i="24"/>
  <c r="C234" i="24"/>
  <c r="D234" i="24"/>
  <c r="E234" i="24"/>
  <c r="F234" i="24"/>
  <c r="G234" i="24"/>
  <c r="H234" i="24"/>
  <c r="I234" i="24"/>
  <c r="J234" i="24"/>
  <c r="K234" i="24"/>
  <c r="L234" i="24"/>
  <c r="M234" i="24"/>
  <c r="N234" i="24"/>
  <c r="O234" i="24"/>
  <c r="P234" i="24"/>
  <c r="Q234" i="24"/>
  <c r="R234" i="24"/>
  <c r="S234" i="24"/>
  <c r="T234" i="24"/>
  <c r="U234" i="24"/>
  <c r="V234" i="24"/>
  <c r="W234" i="24"/>
  <c r="X234" i="24"/>
  <c r="Y234" i="24"/>
  <c r="Z234" i="24"/>
  <c r="AA234" i="24"/>
  <c r="AB234" i="24"/>
  <c r="AC234" i="24"/>
  <c r="AD234" i="24"/>
  <c r="AE234" i="24"/>
  <c r="AF234" i="24"/>
  <c r="AG234" i="24"/>
  <c r="AH234" i="24"/>
  <c r="AI234" i="24"/>
  <c r="AJ234" i="24"/>
  <c r="AK234" i="24"/>
  <c r="AL234" i="24"/>
  <c r="AM234" i="24"/>
  <c r="AN234" i="24"/>
  <c r="AO234" i="24"/>
  <c r="AP234" i="24"/>
  <c r="AQ234" i="24"/>
  <c r="AR234" i="24"/>
  <c r="AS234" i="24"/>
  <c r="AT234" i="24"/>
  <c r="AU234" i="24"/>
  <c r="AV234" i="24"/>
  <c r="AW234" i="24"/>
  <c r="AX234" i="24"/>
  <c r="AY234" i="24"/>
  <c r="AZ234" i="24"/>
  <c r="BA234" i="24"/>
  <c r="BB234" i="24"/>
  <c r="BC234" i="24"/>
  <c r="BD234" i="24"/>
  <c r="BE234" i="24"/>
  <c r="BF234" i="24"/>
  <c r="BG234" i="24"/>
  <c r="BH234" i="24"/>
  <c r="BI234" i="24"/>
  <c r="BJ234" i="24"/>
  <c r="BK234" i="24"/>
  <c r="B235" i="24"/>
  <c r="C235" i="24"/>
  <c r="D235" i="24"/>
  <c r="E235" i="24"/>
  <c r="F235" i="24"/>
  <c r="G235" i="24"/>
  <c r="H235" i="24"/>
  <c r="I235" i="24"/>
  <c r="J235" i="24"/>
  <c r="K235" i="24"/>
  <c r="L235" i="24"/>
  <c r="M235" i="24"/>
  <c r="N235" i="24"/>
  <c r="O235" i="24"/>
  <c r="P235" i="24"/>
  <c r="Q235" i="24"/>
  <c r="R235" i="24"/>
  <c r="S235" i="24"/>
  <c r="T235" i="24"/>
  <c r="U235" i="24"/>
  <c r="V235" i="24"/>
  <c r="W235" i="24"/>
  <c r="X235" i="24"/>
  <c r="Y235" i="24"/>
  <c r="Z235" i="24"/>
  <c r="AA235" i="24"/>
  <c r="AB235" i="24"/>
  <c r="AC235" i="24"/>
  <c r="AD235" i="24"/>
  <c r="AE235" i="24"/>
  <c r="AF235" i="24"/>
  <c r="AG235" i="24"/>
  <c r="AH235" i="24"/>
  <c r="AI235" i="24"/>
  <c r="AJ235" i="24"/>
  <c r="AK235" i="24"/>
  <c r="AL235" i="24"/>
  <c r="AM235" i="24"/>
  <c r="AN235" i="24"/>
  <c r="AO235" i="24"/>
  <c r="AP235" i="24"/>
  <c r="AQ235" i="24"/>
  <c r="AR235" i="24"/>
  <c r="AS235" i="24"/>
  <c r="AT235" i="24"/>
  <c r="AU235" i="24"/>
  <c r="AV235" i="24"/>
  <c r="AW235" i="24"/>
  <c r="AX235" i="24"/>
  <c r="AY235" i="24"/>
  <c r="AZ235" i="24"/>
  <c r="BA235" i="24"/>
  <c r="BB235" i="24"/>
  <c r="BC235" i="24"/>
  <c r="BD235" i="24"/>
  <c r="BE235" i="24"/>
  <c r="BF235" i="24"/>
  <c r="BG235" i="24"/>
  <c r="BH235" i="24"/>
  <c r="BI235" i="24"/>
  <c r="BJ235" i="24"/>
  <c r="BK235" i="24"/>
  <c r="B236" i="24"/>
  <c r="C236" i="24"/>
  <c r="D236" i="24"/>
  <c r="E236" i="24"/>
  <c r="F236" i="24"/>
  <c r="G236" i="24"/>
  <c r="H236" i="24"/>
  <c r="I236" i="24"/>
  <c r="J236" i="24"/>
  <c r="K236" i="24"/>
  <c r="L236" i="24"/>
  <c r="M236" i="24"/>
  <c r="N236" i="24"/>
  <c r="O236" i="24"/>
  <c r="P236" i="24"/>
  <c r="R236" i="24"/>
  <c r="S236" i="24"/>
  <c r="T236" i="24"/>
  <c r="U236" i="24"/>
  <c r="V236" i="24"/>
  <c r="W236" i="24"/>
  <c r="X236" i="24"/>
  <c r="Y236" i="24"/>
  <c r="Z236" i="24"/>
  <c r="AA236" i="24"/>
  <c r="AB236" i="24"/>
  <c r="AC236" i="24"/>
  <c r="AD236" i="24"/>
  <c r="AE236" i="24"/>
  <c r="AF236" i="24"/>
  <c r="AG236" i="24"/>
  <c r="AH236" i="24"/>
  <c r="AI236" i="24"/>
  <c r="AJ236" i="24"/>
  <c r="AK236" i="24"/>
  <c r="AL236" i="24"/>
  <c r="AM236" i="24"/>
  <c r="AN236" i="24"/>
  <c r="AO236" i="24"/>
  <c r="AP236" i="24"/>
  <c r="AQ236" i="24"/>
  <c r="AR236" i="24"/>
  <c r="AS236" i="24"/>
  <c r="AT236" i="24"/>
  <c r="AU236" i="24"/>
  <c r="AV236" i="24"/>
  <c r="AW236" i="24"/>
  <c r="AX236" i="24"/>
  <c r="AY236" i="24"/>
  <c r="AZ236" i="24"/>
  <c r="BA236" i="24"/>
  <c r="BB236" i="24"/>
  <c r="BC236" i="24"/>
  <c r="BD236" i="24"/>
  <c r="BE236" i="24"/>
  <c r="BF236" i="24"/>
  <c r="BG236" i="24"/>
  <c r="BH236" i="24"/>
  <c r="BI236" i="24"/>
  <c r="BJ236" i="24"/>
  <c r="BK236" i="24"/>
  <c r="B237" i="24"/>
  <c r="C237" i="24"/>
  <c r="D237" i="24"/>
  <c r="E237" i="24"/>
  <c r="F237" i="24"/>
  <c r="G237" i="24"/>
  <c r="H237" i="24"/>
  <c r="I237" i="24"/>
  <c r="J237" i="24"/>
  <c r="K237" i="24"/>
  <c r="L237" i="24"/>
  <c r="M237" i="24"/>
  <c r="N237" i="24"/>
  <c r="O237" i="24"/>
  <c r="P237" i="24"/>
  <c r="Q237" i="24"/>
  <c r="R237" i="24"/>
  <c r="S237" i="24"/>
  <c r="T237" i="24"/>
  <c r="U237" i="24"/>
  <c r="V237" i="24"/>
  <c r="W237" i="24"/>
  <c r="X237" i="24"/>
  <c r="Y237" i="24"/>
  <c r="Z237" i="24"/>
  <c r="AA237" i="24"/>
  <c r="AB237" i="24"/>
  <c r="AC237" i="24"/>
  <c r="AD237" i="24"/>
  <c r="AE237" i="24"/>
  <c r="AF237" i="24"/>
  <c r="AG237" i="24"/>
  <c r="AH237" i="24"/>
  <c r="AI237" i="24"/>
  <c r="AJ237" i="24"/>
  <c r="AK237" i="24"/>
  <c r="AL237" i="24"/>
  <c r="AM237" i="24"/>
  <c r="AN237" i="24"/>
  <c r="AO237" i="24"/>
  <c r="AP237" i="24"/>
  <c r="AQ237" i="24"/>
  <c r="AR237" i="24"/>
  <c r="AS237" i="24"/>
  <c r="AT237" i="24"/>
  <c r="AU237" i="24"/>
  <c r="AV237" i="24"/>
  <c r="AW237" i="24"/>
  <c r="AX237" i="24"/>
  <c r="AY237" i="24"/>
  <c r="AZ237" i="24"/>
  <c r="BA237" i="24"/>
  <c r="BB237" i="24"/>
  <c r="BC237" i="24"/>
  <c r="BD237" i="24"/>
  <c r="BE237" i="24"/>
  <c r="BF237" i="24"/>
  <c r="BG237" i="24"/>
  <c r="BH237" i="24"/>
  <c r="BI237" i="24"/>
  <c r="BJ237" i="24"/>
  <c r="BK237" i="24"/>
  <c r="B238" i="24"/>
  <c r="C238" i="24"/>
  <c r="D238" i="24"/>
  <c r="E238" i="24"/>
  <c r="F238" i="24"/>
  <c r="G238" i="24"/>
  <c r="H238" i="24"/>
  <c r="I238" i="24"/>
  <c r="J238" i="24"/>
  <c r="K238" i="24"/>
  <c r="L238" i="24"/>
  <c r="M238" i="24"/>
  <c r="N238" i="24"/>
  <c r="O238" i="24"/>
  <c r="P238" i="24"/>
  <c r="Q238" i="24"/>
  <c r="R238" i="24"/>
  <c r="S238" i="24"/>
  <c r="T238" i="24"/>
  <c r="U238" i="24"/>
  <c r="V238" i="24"/>
  <c r="W238" i="24"/>
  <c r="X238" i="24"/>
  <c r="Y238" i="24"/>
  <c r="Z238" i="24"/>
  <c r="AA238" i="24"/>
  <c r="AB238" i="24"/>
  <c r="AC238" i="24"/>
  <c r="AD238" i="24"/>
  <c r="AE238" i="24"/>
  <c r="AF238" i="24"/>
  <c r="AG238" i="24"/>
  <c r="AH238" i="24"/>
  <c r="AI238" i="24"/>
  <c r="AJ238" i="24"/>
  <c r="AK238" i="24"/>
  <c r="AL238" i="24"/>
  <c r="AM238" i="24"/>
  <c r="AN238" i="24"/>
  <c r="AO238" i="24"/>
  <c r="AP238" i="24"/>
  <c r="AQ238" i="24"/>
  <c r="AR238" i="24"/>
  <c r="AS238" i="24"/>
  <c r="AT238" i="24"/>
  <c r="AU238" i="24"/>
  <c r="AV238" i="24"/>
  <c r="AW238" i="24"/>
  <c r="AX238" i="24"/>
  <c r="AY238" i="24"/>
  <c r="AZ238" i="24"/>
  <c r="BA238" i="24"/>
  <c r="BB238" i="24"/>
  <c r="BC238" i="24"/>
  <c r="BD238" i="24"/>
  <c r="BE238" i="24"/>
  <c r="BF238" i="24"/>
  <c r="BG238" i="24"/>
  <c r="BH238" i="24"/>
  <c r="BI238" i="24"/>
  <c r="BJ238" i="24"/>
  <c r="BK238" i="24"/>
  <c r="B239" i="24"/>
  <c r="C239" i="24"/>
  <c r="D239" i="24"/>
  <c r="E239" i="24"/>
  <c r="F239" i="24"/>
  <c r="G239" i="24"/>
  <c r="H239" i="24"/>
  <c r="I239" i="24"/>
  <c r="J239" i="24"/>
  <c r="K239" i="24"/>
  <c r="L239" i="24"/>
  <c r="M239" i="24"/>
  <c r="N239" i="24"/>
  <c r="O239" i="24"/>
  <c r="P239" i="24"/>
  <c r="Q239" i="24"/>
  <c r="R239" i="24"/>
  <c r="S239" i="24"/>
  <c r="T239" i="24"/>
  <c r="U239" i="24"/>
  <c r="V239" i="24"/>
  <c r="W239" i="24"/>
  <c r="Y239" i="24"/>
  <c r="Z239" i="24"/>
  <c r="AA239" i="24"/>
  <c r="AB239" i="24"/>
  <c r="AC239" i="24"/>
  <c r="AD239" i="24"/>
  <c r="AE239" i="24"/>
  <c r="AF239" i="24"/>
  <c r="AG239" i="24"/>
  <c r="AH239" i="24"/>
  <c r="AI239" i="24"/>
  <c r="AJ239" i="24"/>
  <c r="AK239" i="24"/>
  <c r="AL239" i="24"/>
  <c r="AM239" i="24"/>
  <c r="AN239" i="24"/>
  <c r="AO239" i="24"/>
  <c r="AP239" i="24"/>
  <c r="AQ239" i="24"/>
  <c r="AR239" i="24"/>
  <c r="AS239" i="24"/>
  <c r="AT239" i="24"/>
  <c r="AU239" i="24"/>
  <c r="AV239" i="24"/>
  <c r="AW239" i="24"/>
  <c r="AX239" i="24"/>
  <c r="AY239" i="24"/>
  <c r="AZ239" i="24"/>
  <c r="BA239" i="24"/>
  <c r="BB239" i="24"/>
  <c r="BC239" i="24"/>
  <c r="BD239" i="24"/>
  <c r="BE239" i="24"/>
  <c r="BF239" i="24"/>
  <c r="BG239" i="24"/>
  <c r="BH239" i="24"/>
  <c r="BI239" i="24"/>
  <c r="BJ239" i="24"/>
  <c r="BK239" i="24"/>
  <c r="B240" i="24"/>
  <c r="C240" i="24"/>
  <c r="D240" i="24"/>
  <c r="E240" i="24"/>
  <c r="F240" i="24"/>
  <c r="G240" i="24"/>
  <c r="H240" i="24"/>
  <c r="I240" i="24"/>
  <c r="J240" i="24"/>
  <c r="K240" i="24"/>
  <c r="L240" i="24"/>
  <c r="M240" i="24"/>
  <c r="N240" i="24"/>
  <c r="O240" i="24"/>
  <c r="P240" i="24"/>
  <c r="Q240" i="24"/>
  <c r="R240" i="24"/>
  <c r="S240" i="24"/>
  <c r="T240" i="24"/>
  <c r="U240" i="24"/>
  <c r="V240" i="24"/>
  <c r="W240" i="24"/>
  <c r="X240" i="24"/>
  <c r="Y240" i="24"/>
  <c r="Z240" i="24"/>
  <c r="AA240" i="24"/>
  <c r="AB240" i="24"/>
  <c r="AC240" i="24"/>
  <c r="AD240" i="24"/>
  <c r="AE240" i="24"/>
  <c r="AF240" i="24"/>
  <c r="AG240" i="24"/>
  <c r="AH240" i="24"/>
  <c r="AI240" i="24"/>
  <c r="AJ240" i="24"/>
  <c r="AK240" i="24"/>
  <c r="AL240" i="24"/>
  <c r="AM240" i="24"/>
  <c r="AN240" i="24"/>
  <c r="AO240" i="24"/>
  <c r="AP240" i="24"/>
  <c r="AQ240" i="24"/>
  <c r="AR240" i="24"/>
  <c r="AS240" i="24"/>
  <c r="AT240" i="24"/>
  <c r="AU240" i="24"/>
  <c r="AV240" i="24"/>
  <c r="AW240" i="24"/>
  <c r="AX240" i="24"/>
  <c r="AY240" i="24"/>
  <c r="AZ240" i="24"/>
  <c r="BA240" i="24"/>
  <c r="BB240" i="24"/>
  <c r="BC240" i="24"/>
  <c r="BD240" i="24"/>
  <c r="BE240" i="24"/>
  <c r="BF240" i="24"/>
  <c r="BG240" i="24"/>
  <c r="BH240" i="24"/>
  <c r="BI240" i="24"/>
  <c r="BJ240" i="24"/>
  <c r="BK240" i="24"/>
  <c r="B241" i="24"/>
  <c r="C241" i="24"/>
  <c r="D241" i="24"/>
  <c r="E241" i="24"/>
  <c r="F241" i="24"/>
  <c r="G241" i="24"/>
  <c r="H241" i="24"/>
  <c r="I241" i="24"/>
  <c r="J241" i="24"/>
  <c r="K241" i="24"/>
  <c r="L241" i="24"/>
  <c r="M241" i="24"/>
  <c r="N241" i="24"/>
  <c r="O241" i="24"/>
  <c r="P241" i="24"/>
  <c r="Q241" i="24"/>
  <c r="R241" i="24"/>
  <c r="S241" i="24"/>
  <c r="T241" i="24"/>
  <c r="U241" i="24"/>
  <c r="V241" i="24"/>
  <c r="W241" i="24"/>
  <c r="X241" i="24"/>
  <c r="Y241" i="24"/>
  <c r="Z241" i="24"/>
  <c r="AA241" i="24"/>
  <c r="AB241" i="24"/>
  <c r="AC241" i="24"/>
  <c r="AD241" i="24"/>
  <c r="AE241" i="24"/>
  <c r="AF241" i="24"/>
  <c r="AG241" i="24"/>
  <c r="AH241" i="24"/>
  <c r="AI241" i="24"/>
  <c r="AJ241" i="24"/>
  <c r="AK241" i="24"/>
  <c r="AL241" i="24"/>
  <c r="AM241" i="24"/>
  <c r="AN241" i="24"/>
  <c r="AO241" i="24"/>
  <c r="AP241" i="24"/>
  <c r="AQ241" i="24"/>
  <c r="AR241" i="24"/>
  <c r="AS241" i="24"/>
  <c r="AT241" i="24"/>
  <c r="AU241" i="24"/>
  <c r="AV241" i="24"/>
  <c r="AW241" i="24"/>
  <c r="AX241" i="24"/>
  <c r="AY241" i="24"/>
  <c r="AZ241" i="24"/>
  <c r="BA241" i="24"/>
  <c r="BB241" i="24"/>
  <c r="BC241" i="24"/>
  <c r="BD241" i="24"/>
  <c r="BE241" i="24"/>
  <c r="BF241" i="24"/>
  <c r="BG241" i="24"/>
  <c r="BH241" i="24"/>
  <c r="BI241" i="24"/>
  <c r="BJ241" i="24"/>
  <c r="BK241" i="24"/>
  <c r="B242" i="24"/>
  <c r="C242" i="24"/>
  <c r="D242" i="24"/>
  <c r="E242" i="24"/>
  <c r="F242" i="24"/>
  <c r="G242" i="24"/>
  <c r="H242" i="24"/>
  <c r="I242" i="24"/>
  <c r="J242" i="24"/>
  <c r="K242" i="24"/>
  <c r="L242" i="24"/>
  <c r="M242" i="24"/>
  <c r="N242" i="24"/>
  <c r="O242" i="24"/>
  <c r="P242" i="24"/>
  <c r="Q242" i="24"/>
  <c r="R242" i="24"/>
  <c r="S242" i="24"/>
  <c r="T242" i="24"/>
  <c r="U242" i="24"/>
  <c r="V242" i="24"/>
  <c r="W242" i="24"/>
  <c r="X242" i="24"/>
  <c r="Y242" i="24"/>
  <c r="Z242" i="24"/>
  <c r="AA242" i="24"/>
  <c r="AB242" i="24"/>
  <c r="AC242" i="24"/>
  <c r="AD242" i="24"/>
  <c r="AE242" i="24"/>
  <c r="AF242" i="24"/>
  <c r="AG242" i="24"/>
  <c r="AH242" i="24"/>
  <c r="AI242" i="24"/>
  <c r="AJ242" i="24"/>
  <c r="AK242" i="24"/>
  <c r="AL242" i="24"/>
  <c r="AM242" i="24"/>
  <c r="AN242" i="24"/>
  <c r="AO242" i="24"/>
  <c r="AP242" i="24"/>
  <c r="AQ242" i="24"/>
  <c r="AR242" i="24"/>
  <c r="AS242" i="24"/>
  <c r="AT242" i="24"/>
  <c r="AU242" i="24"/>
  <c r="AV242" i="24"/>
  <c r="AW242" i="24"/>
  <c r="AX242" i="24"/>
  <c r="AY242" i="24"/>
  <c r="AZ242" i="24"/>
  <c r="BA242" i="24"/>
  <c r="BB242" i="24"/>
  <c r="BC242" i="24"/>
  <c r="BD242" i="24"/>
  <c r="BE242" i="24"/>
  <c r="BF242" i="24"/>
  <c r="BG242" i="24"/>
  <c r="BH242" i="24"/>
  <c r="BI242" i="24"/>
  <c r="BJ242" i="24"/>
  <c r="BK242" i="24"/>
  <c r="B243" i="24"/>
  <c r="C243" i="24"/>
  <c r="D243" i="24"/>
  <c r="E243" i="24"/>
  <c r="F243" i="24"/>
  <c r="G243" i="24"/>
  <c r="H243" i="24"/>
  <c r="I243" i="24"/>
  <c r="J243" i="24"/>
  <c r="K243" i="24"/>
  <c r="L243" i="24"/>
  <c r="M243" i="24"/>
  <c r="N243" i="24"/>
  <c r="O243" i="24"/>
  <c r="P243" i="24"/>
  <c r="Q243" i="24"/>
  <c r="R243" i="24"/>
  <c r="S243" i="24"/>
  <c r="T243" i="24"/>
  <c r="U243" i="24"/>
  <c r="V243" i="24"/>
  <c r="W243" i="24"/>
  <c r="X243" i="24"/>
  <c r="Y243" i="24"/>
  <c r="Z243" i="24"/>
  <c r="AA243" i="24"/>
  <c r="AB243" i="24"/>
  <c r="AC243" i="24"/>
  <c r="AD243" i="24"/>
  <c r="AE243" i="24"/>
  <c r="AF243" i="24"/>
  <c r="AG243" i="24"/>
  <c r="AH243" i="24"/>
  <c r="AI243" i="24"/>
  <c r="AJ243" i="24"/>
  <c r="AK243" i="24"/>
  <c r="AL243" i="24"/>
  <c r="AM243" i="24"/>
  <c r="AN243" i="24"/>
  <c r="AO243" i="24"/>
  <c r="AP243" i="24"/>
  <c r="AQ243" i="24"/>
  <c r="AR243" i="24"/>
  <c r="AS243" i="24"/>
  <c r="AT243" i="24"/>
  <c r="AU243" i="24"/>
  <c r="AV243" i="24"/>
  <c r="AW243" i="24"/>
  <c r="AX243" i="24"/>
  <c r="AY243" i="24"/>
  <c r="AZ243" i="24"/>
  <c r="BA243" i="24"/>
  <c r="BB243" i="24"/>
  <c r="BC243" i="24"/>
  <c r="BD243" i="24"/>
  <c r="BE243" i="24"/>
  <c r="BF243" i="24"/>
  <c r="BG243" i="24"/>
  <c r="BH243" i="24"/>
  <c r="BI243" i="24"/>
  <c r="BJ243" i="24"/>
  <c r="BK243" i="24"/>
  <c r="B244" i="24"/>
  <c r="C244" i="24"/>
  <c r="D244" i="24"/>
  <c r="E244" i="24"/>
  <c r="F244" i="24"/>
  <c r="G244" i="24"/>
  <c r="H244" i="24"/>
  <c r="I244" i="24"/>
  <c r="J244" i="24"/>
  <c r="K244" i="24"/>
  <c r="L244" i="24"/>
  <c r="M244" i="24"/>
  <c r="N244" i="24"/>
  <c r="O244" i="24"/>
  <c r="P244" i="24"/>
  <c r="Q244" i="24"/>
  <c r="R244" i="24"/>
  <c r="S244" i="24"/>
  <c r="T244" i="24"/>
  <c r="U244" i="24"/>
  <c r="V244" i="24"/>
  <c r="W244" i="24"/>
  <c r="X244" i="24"/>
  <c r="Y244" i="24"/>
  <c r="Z244" i="24"/>
  <c r="AA244" i="24"/>
  <c r="AB244" i="24"/>
  <c r="AC244" i="24"/>
  <c r="AD244" i="24"/>
  <c r="AE244" i="24"/>
  <c r="AF244" i="24"/>
  <c r="AG244" i="24"/>
  <c r="AH244" i="24"/>
  <c r="AI244" i="24"/>
  <c r="AJ244" i="24"/>
  <c r="AK244" i="24"/>
  <c r="AL244" i="24"/>
  <c r="AM244" i="24"/>
  <c r="AN244" i="24"/>
  <c r="AO244" i="24"/>
  <c r="AP244" i="24"/>
  <c r="AQ244" i="24"/>
  <c r="AR244" i="24"/>
  <c r="AS244" i="24"/>
  <c r="AT244" i="24"/>
  <c r="AU244" i="24"/>
  <c r="AV244" i="24"/>
  <c r="AW244" i="24"/>
  <c r="AX244" i="24"/>
  <c r="AY244" i="24"/>
  <c r="AZ244" i="24"/>
  <c r="BA244" i="24"/>
  <c r="BB244" i="24"/>
  <c r="BC244" i="24"/>
  <c r="BD244" i="24"/>
  <c r="BE244" i="24"/>
  <c r="BF244" i="24"/>
  <c r="BG244" i="24"/>
  <c r="BH244" i="24"/>
  <c r="BI244" i="24"/>
  <c r="BJ244" i="24"/>
  <c r="BK244" i="24"/>
  <c r="B245" i="24"/>
  <c r="C245" i="24"/>
  <c r="D245" i="24"/>
  <c r="E245" i="24"/>
  <c r="F245" i="24"/>
  <c r="G245" i="24"/>
  <c r="H245" i="24"/>
  <c r="I245" i="24"/>
  <c r="J245" i="24"/>
  <c r="K245" i="24"/>
  <c r="L245" i="24"/>
  <c r="M245" i="24"/>
  <c r="N245" i="24"/>
  <c r="O245" i="24"/>
  <c r="P245" i="24"/>
  <c r="Q245" i="24"/>
  <c r="R245" i="24"/>
  <c r="S245" i="24"/>
  <c r="T245" i="24"/>
  <c r="U245" i="24"/>
  <c r="V245" i="24"/>
  <c r="W245" i="24"/>
  <c r="X245" i="24"/>
  <c r="Y245" i="24"/>
  <c r="Z245" i="24"/>
  <c r="AA245" i="24"/>
  <c r="AB245" i="24"/>
  <c r="AC245" i="24"/>
  <c r="AD245" i="24"/>
  <c r="AE245" i="24"/>
  <c r="AF245" i="24"/>
  <c r="AG245" i="24"/>
  <c r="AH245" i="24"/>
  <c r="AI245" i="24"/>
  <c r="AJ245" i="24"/>
  <c r="AK245" i="24"/>
  <c r="AL245" i="24"/>
  <c r="AM245" i="24"/>
  <c r="AN245" i="24"/>
  <c r="AO245" i="24"/>
  <c r="AP245" i="24"/>
  <c r="AQ245" i="24"/>
  <c r="AR245" i="24"/>
  <c r="AS245" i="24"/>
  <c r="AT245" i="24"/>
  <c r="AU245" i="24"/>
  <c r="AV245" i="24"/>
  <c r="AW245" i="24"/>
  <c r="AX245" i="24"/>
  <c r="AY245" i="24"/>
  <c r="AZ245" i="24"/>
  <c r="BA245" i="24"/>
  <c r="BB245" i="24"/>
  <c r="BC245" i="24"/>
  <c r="BD245" i="24"/>
  <c r="BE245" i="24"/>
  <c r="BF245" i="24"/>
  <c r="BG245" i="24"/>
  <c r="BH245" i="24"/>
  <c r="BI245" i="24"/>
  <c r="BJ245" i="24"/>
  <c r="BK245" i="24"/>
  <c r="B246" i="24"/>
  <c r="C246" i="24"/>
  <c r="D246" i="24"/>
  <c r="E246" i="24"/>
  <c r="F246" i="24"/>
  <c r="G246" i="24"/>
  <c r="H246" i="24"/>
  <c r="I246" i="24"/>
  <c r="J246" i="24"/>
  <c r="K246" i="24"/>
  <c r="L246" i="24"/>
  <c r="M246" i="24"/>
  <c r="N246" i="24"/>
  <c r="O246" i="24"/>
  <c r="P246" i="24"/>
  <c r="Q246" i="24"/>
  <c r="R246" i="24"/>
  <c r="S246" i="24"/>
  <c r="T246" i="24"/>
  <c r="U246" i="24"/>
  <c r="V246" i="24"/>
  <c r="W246" i="24"/>
  <c r="X246" i="24"/>
  <c r="Y246" i="24"/>
  <c r="Z246" i="24"/>
  <c r="AA246" i="24"/>
  <c r="AB246" i="24"/>
  <c r="AC246" i="24"/>
  <c r="AD246" i="24"/>
  <c r="AE246" i="24"/>
  <c r="AF246" i="24"/>
  <c r="AG246" i="24"/>
  <c r="AH246" i="24"/>
  <c r="AI246" i="24"/>
  <c r="AJ246" i="24"/>
  <c r="AK246" i="24"/>
  <c r="AL246" i="24"/>
  <c r="AM246" i="24"/>
  <c r="AN246" i="24"/>
  <c r="AO246" i="24"/>
  <c r="AP246" i="24"/>
  <c r="AQ246" i="24"/>
  <c r="AR246" i="24"/>
  <c r="AS246" i="24"/>
  <c r="AT246" i="24"/>
  <c r="AU246" i="24"/>
  <c r="AV246" i="24"/>
  <c r="AW246" i="24"/>
  <c r="AX246" i="24"/>
  <c r="AY246" i="24"/>
  <c r="AZ246" i="24"/>
  <c r="BA246" i="24"/>
  <c r="BB246" i="24"/>
  <c r="BC246" i="24"/>
  <c r="BD246" i="24"/>
  <c r="BE246" i="24"/>
  <c r="BF246" i="24"/>
  <c r="BG246" i="24"/>
  <c r="BH246" i="24"/>
  <c r="BI246" i="24"/>
  <c r="BJ246" i="24"/>
  <c r="BK246" i="24"/>
  <c r="B247" i="24"/>
  <c r="C247" i="24"/>
  <c r="D247" i="24"/>
  <c r="E247" i="24"/>
  <c r="F247" i="24"/>
  <c r="G247" i="24"/>
  <c r="H247" i="24"/>
  <c r="I247" i="24"/>
  <c r="J247" i="24"/>
  <c r="K247" i="24"/>
  <c r="L247" i="24"/>
  <c r="M247" i="24"/>
  <c r="N247" i="24"/>
  <c r="O247" i="24"/>
  <c r="P247" i="24"/>
  <c r="Q247" i="24"/>
  <c r="R247" i="24"/>
  <c r="S247" i="24"/>
  <c r="T247" i="24"/>
  <c r="U247" i="24"/>
  <c r="V247" i="24"/>
  <c r="W247" i="24"/>
  <c r="X247" i="24"/>
  <c r="Y247" i="24"/>
  <c r="Z247" i="24"/>
  <c r="AA247" i="24"/>
  <c r="AB247" i="24"/>
  <c r="AC247" i="24"/>
  <c r="AD247" i="24"/>
  <c r="AE247" i="24"/>
  <c r="AF247" i="24"/>
  <c r="AG247" i="24"/>
  <c r="AH247" i="24"/>
  <c r="AI247" i="24"/>
  <c r="AJ247" i="24"/>
  <c r="AK247" i="24"/>
  <c r="AL247" i="24"/>
  <c r="AM247" i="24"/>
  <c r="AN247" i="24"/>
  <c r="AO247" i="24"/>
  <c r="AP247" i="24"/>
  <c r="AQ247" i="24"/>
  <c r="AR247" i="24"/>
  <c r="AS247" i="24"/>
  <c r="AT247" i="24"/>
  <c r="AU247" i="24"/>
  <c r="AV247" i="24"/>
  <c r="AW247" i="24"/>
  <c r="AX247" i="24"/>
  <c r="AY247" i="24"/>
  <c r="AZ247" i="24"/>
  <c r="BA247" i="24"/>
  <c r="BB247" i="24"/>
  <c r="BC247" i="24"/>
  <c r="BD247" i="24"/>
  <c r="BE247" i="24"/>
  <c r="BF247" i="24"/>
  <c r="BG247" i="24"/>
  <c r="BH247" i="24"/>
  <c r="BI247" i="24"/>
  <c r="BJ247" i="24"/>
  <c r="BK247" i="24"/>
  <c r="B248" i="24"/>
  <c r="C248" i="24"/>
  <c r="D248" i="24"/>
  <c r="E248" i="24"/>
  <c r="F248" i="24"/>
  <c r="G248" i="24"/>
  <c r="H248" i="24"/>
  <c r="I248" i="24"/>
  <c r="J248" i="24"/>
  <c r="K248" i="24"/>
  <c r="L248" i="24"/>
  <c r="M248" i="24"/>
  <c r="N248" i="24"/>
  <c r="O248" i="24"/>
  <c r="P248" i="24"/>
  <c r="Q248" i="24"/>
  <c r="R248" i="24"/>
  <c r="S248" i="24"/>
  <c r="T248" i="24"/>
  <c r="U248" i="24"/>
  <c r="V248" i="24"/>
  <c r="W248" i="24"/>
  <c r="X248" i="24"/>
  <c r="Y248" i="24"/>
  <c r="Z248" i="24"/>
  <c r="AA248" i="24"/>
  <c r="AB248" i="24"/>
  <c r="AC248" i="24"/>
  <c r="AD248" i="24"/>
  <c r="AE248" i="24"/>
  <c r="AF248" i="24"/>
  <c r="AG248" i="24"/>
  <c r="AH248" i="24"/>
  <c r="AI248" i="24"/>
  <c r="AJ248" i="24"/>
  <c r="AK248" i="24"/>
  <c r="AL248" i="24"/>
  <c r="AM248" i="24"/>
  <c r="AN248" i="24"/>
  <c r="AO248" i="24"/>
  <c r="AP248" i="24"/>
  <c r="AQ248" i="24"/>
  <c r="AR248" i="24"/>
  <c r="AS248" i="24"/>
  <c r="AT248" i="24"/>
  <c r="AU248" i="24"/>
  <c r="AV248" i="24"/>
  <c r="AW248" i="24"/>
  <c r="AX248" i="24"/>
  <c r="AY248" i="24"/>
  <c r="AZ248" i="24"/>
  <c r="BA248" i="24"/>
  <c r="BB248" i="24"/>
  <c r="BC248" i="24"/>
  <c r="BD248" i="24"/>
  <c r="BE248" i="24"/>
  <c r="BF248" i="24"/>
  <c r="BG248" i="24"/>
  <c r="BH248" i="24"/>
  <c r="BI248" i="24"/>
  <c r="BJ248" i="24"/>
  <c r="BK248" i="24"/>
  <c r="B249" i="24"/>
  <c r="C249" i="24"/>
  <c r="D249" i="24"/>
  <c r="E249" i="24"/>
  <c r="F249" i="24"/>
  <c r="H249" i="24"/>
  <c r="I249" i="24"/>
  <c r="J249" i="24"/>
  <c r="K249" i="24"/>
  <c r="L249" i="24"/>
  <c r="M249" i="24"/>
  <c r="N249" i="24"/>
  <c r="O249" i="24"/>
  <c r="P249" i="24"/>
  <c r="Q249" i="24"/>
  <c r="R249" i="24"/>
  <c r="S249" i="24"/>
  <c r="T249" i="24"/>
  <c r="U249" i="24"/>
  <c r="V249" i="24"/>
  <c r="W249" i="24"/>
  <c r="X249" i="24"/>
  <c r="Y249" i="24"/>
  <c r="Z249" i="24"/>
  <c r="AA249" i="24"/>
  <c r="AB249" i="24"/>
  <c r="AC249" i="24"/>
  <c r="AD249" i="24"/>
  <c r="AE249" i="24"/>
  <c r="AF249" i="24"/>
  <c r="AG249" i="24"/>
  <c r="AH249" i="24"/>
  <c r="AI249" i="24"/>
  <c r="AJ249" i="24"/>
  <c r="AK249" i="24"/>
  <c r="AL249" i="24"/>
  <c r="AM249" i="24"/>
  <c r="AN249" i="24"/>
  <c r="AO249" i="24"/>
  <c r="AP249" i="24"/>
  <c r="AQ249" i="24"/>
  <c r="AR249" i="24"/>
  <c r="AS249" i="24"/>
  <c r="AT249" i="24"/>
  <c r="AU249" i="24"/>
  <c r="AV249" i="24"/>
  <c r="AW249" i="24"/>
  <c r="AX249" i="24"/>
  <c r="AY249" i="24"/>
  <c r="AZ249" i="24"/>
  <c r="BA249" i="24"/>
  <c r="BB249" i="24"/>
  <c r="BC249" i="24"/>
  <c r="BD249" i="24"/>
  <c r="BE249" i="24"/>
  <c r="BF249" i="24"/>
  <c r="BG249" i="24"/>
  <c r="BH249" i="24"/>
  <c r="BI249" i="24"/>
  <c r="BJ249" i="24"/>
  <c r="BK249" i="24"/>
  <c r="B250" i="24"/>
  <c r="C250" i="24"/>
  <c r="D250" i="24"/>
  <c r="E250" i="24"/>
  <c r="F250" i="24"/>
  <c r="G250" i="24"/>
  <c r="H250" i="24"/>
  <c r="I250" i="24"/>
  <c r="J250" i="24"/>
  <c r="K250" i="24"/>
  <c r="L250" i="24"/>
  <c r="M250" i="24"/>
  <c r="N250" i="24"/>
  <c r="O250" i="24"/>
  <c r="P250" i="24"/>
  <c r="Q250" i="24"/>
  <c r="R250" i="24"/>
  <c r="S250" i="24"/>
  <c r="T250" i="24"/>
  <c r="U250" i="24"/>
  <c r="V250" i="24"/>
  <c r="W250" i="24"/>
  <c r="X250" i="24"/>
  <c r="Y250" i="24"/>
  <c r="Z250" i="24"/>
  <c r="AA250" i="24"/>
  <c r="AB250" i="24"/>
  <c r="AC250" i="24"/>
  <c r="AD250" i="24"/>
  <c r="AE250" i="24"/>
  <c r="AF250" i="24"/>
  <c r="AG250" i="24"/>
  <c r="AH250" i="24"/>
  <c r="AI250" i="24"/>
  <c r="AJ250" i="24"/>
  <c r="AK250" i="24"/>
  <c r="AL250" i="24"/>
  <c r="AM250" i="24"/>
  <c r="AN250" i="24"/>
  <c r="AO250" i="24"/>
  <c r="AP250" i="24"/>
  <c r="AQ250" i="24"/>
  <c r="AR250" i="24"/>
  <c r="AS250" i="24"/>
  <c r="AT250" i="24"/>
  <c r="AU250" i="24"/>
  <c r="AV250" i="24"/>
  <c r="AW250" i="24"/>
  <c r="AX250" i="24"/>
  <c r="AY250" i="24"/>
  <c r="AZ250" i="24"/>
  <c r="BA250" i="24"/>
  <c r="BB250" i="24"/>
  <c r="BC250" i="24"/>
  <c r="BD250" i="24"/>
  <c r="BE250" i="24"/>
  <c r="BF250" i="24"/>
  <c r="BG250" i="24"/>
  <c r="BH250" i="24"/>
  <c r="BI250" i="24"/>
  <c r="BJ250" i="24"/>
  <c r="BK250" i="24"/>
  <c r="B251" i="24"/>
  <c r="C251" i="24"/>
  <c r="D251" i="24"/>
  <c r="E251" i="24"/>
  <c r="F251" i="24"/>
  <c r="G251" i="24"/>
  <c r="H251" i="24"/>
  <c r="I251" i="24"/>
  <c r="J251" i="24"/>
  <c r="K251" i="24"/>
  <c r="L251" i="24"/>
  <c r="M251" i="24"/>
  <c r="N251" i="24"/>
  <c r="O251" i="24"/>
  <c r="P251" i="24"/>
  <c r="Q251" i="24"/>
  <c r="R251" i="24"/>
  <c r="S251" i="24"/>
  <c r="T251" i="24"/>
  <c r="U251" i="24"/>
  <c r="V251" i="24"/>
  <c r="W251" i="24"/>
  <c r="X251" i="24"/>
  <c r="Y251" i="24"/>
  <c r="Z251" i="24"/>
  <c r="AA251" i="24"/>
  <c r="AB251" i="24"/>
  <c r="AC251" i="24"/>
  <c r="AD251" i="24"/>
  <c r="AE251" i="24"/>
  <c r="AF251" i="24"/>
  <c r="AG251" i="24"/>
  <c r="AH251" i="24"/>
  <c r="AI251" i="24"/>
  <c r="AJ251" i="24"/>
  <c r="AK251" i="24"/>
  <c r="AL251" i="24"/>
  <c r="AM251" i="24"/>
  <c r="AN251" i="24"/>
  <c r="AO251" i="24"/>
  <c r="AP251" i="24"/>
  <c r="AQ251" i="24"/>
  <c r="AR251" i="24"/>
  <c r="AS251" i="24"/>
  <c r="AT251" i="24"/>
  <c r="AU251" i="24"/>
  <c r="AV251" i="24"/>
  <c r="AW251" i="24"/>
  <c r="AX251" i="24"/>
  <c r="AY251" i="24"/>
  <c r="AZ251" i="24"/>
  <c r="BA251" i="24"/>
  <c r="BB251" i="24"/>
  <c r="BC251" i="24"/>
  <c r="BD251" i="24"/>
  <c r="BF251" i="24"/>
  <c r="BG251" i="24"/>
  <c r="BH251" i="24"/>
  <c r="BI251" i="24"/>
  <c r="BJ251" i="24"/>
  <c r="BK251" i="24"/>
  <c r="B252" i="24"/>
  <c r="C252" i="24"/>
  <c r="D252" i="24"/>
  <c r="E252" i="24"/>
  <c r="F252" i="24"/>
  <c r="G252" i="24"/>
  <c r="H252" i="24"/>
  <c r="I252" i="24"/>
  <c r="J252" i="24"/>
  <c r="K252" i="24"/>
  <c r="L252" i="24"/>
  <c r="M252" i="24"/>
  <c r="N252" i="24"/>
  <c r="O252" i="24"/>
  <c r="P252" i="24"/>
  <c r="Q252" i="24"/>
  <c r="R252" i="24"/>
  <c r="S252" i="24"/>
  <c r="T252" i="24"/>
  <c r="U252" i="24"/>
  <c r="V252" i="24"/>
  <c r="W252" i="24"/>
  <c r="X252" i="24"/>
  <c r="Y252" i="24"/>
  <c r="Z252" i="24"/>
  <c r="AA252" i="24"/>
  <c r="AB252" i="24"/>
  <c r="AC252" i="24"/>
  <c r="AD252" i="24"/>
  <c r="AE252" i="24"/>
  <c r="AF252" i="24"/>
  <c r="AG252" i="24"/>
  <c r="AH252" i="24"/>
  <c r="AI252" i="24"/>
  <c r="AJ252" i="24"/>
  <c r="AK252" i="24"/>
  <c r="AL252" i="24"/>
  <c r="AM252" i="24"/>
  <c r="AN252" i="24"/>
  <c r="AO252" i="24"/>
  <c r="AP252" i="24"/>
  <c r="AQ252" i="24"/>
  <c r="AR252" i="24"/>
  <c r="AS252" i="24"/>
  <c r="AT252" i="24"/>
  <c r="AU252" i="24"/>
  <c r="AV252" i="24"/>
  <c r="AW252" i="24"/>
  <c r="AX252" i="24"/>
  <c r="AY252" i="24"/>
  <c r="AZ252" i="24"/>
  <c r="BA252" i="24"/>
  <c r="BB252" i="24"/>
  <c r="BC252" i="24"/>
  <c r="BD252" i="24"/>
  <c r="BE252" i="24"/>
  <c r="BF252" i="24"/>
  <c r="BG252" i="24"/>
  <c r="BH252" i="24"/>
  <c r="BI252" i="24"/>
  <c r="BJ252" i="24"/>
  <c r="BK252" i="24"/>
  <c r="B253" i="24"/>
  <c r="C253" i="24"/>
  <c r="D253" i="24"/>
  <c r="E253" i="24"/>
  <c r="F253" i="24"/>
  <c r="G253" i="24"/>
  <c r="H253" i="24"/>
  <c r="I253" i="24"/>
  <c r="J253" i="24"/>
  <c r="K253" i="24"/>
  <c r="L253" i="24"/>
  <c r="M253" i="24"/>
  <c r="N253" i="24"/>
  <c r="O253" i="24"/>
  <c r="P253" i="24"/>
  <c r="Q253" i="24"/>
  <c r="R253" i="24"/>
  <c r="S253" i="24"/>
  <c r="T253" i="24"/>
  <c r="U253" i="24"/>
  <c r="V253" i="24"/>
  <c r="W253" i="24"/>
  <c r="X253" i="24"/>
  <c r="Y253" i="24"/>
  <c r="Z253" i="24"/>
  <c r="AA253" i="24"/>
  <c r="AB253" i="24"/>
  <c r="AC253" i="24"/>
  <c r="AD253" i="24"/>
  <c r="AE253" i="24"/>
  <c r="AF253" i="24"/>
  <c r="AG253" i="24"/>
  <c r="AH253" i="24"/>
  <c r="AI253" i="24"/>
  <c r="AJ253" i="24"/>
  <c r="AK253" i="24"/>
  <c r="AL253" i="24"/>
  <c r="AM253" i="24"/>
  <c r="AN253" i="24"/>
  <c r="AO253" i="24"/>
  <c r="AP253" i="24"/>
  <c r="AQ253" i="24"/>
  <c r="AR253" i="24"/>
  <c r="AS253" i="24"/>
  <c r="AT253" i="24"/>
  <c r="AU253" i="24"/>
  <c r="AV253" i="24"/>
  <c r="AW253" i="24"/>
  <c r="AX253" i="24"/>
  <c r="AY253" i="24"/>
  <c r="AZ253" i="24"/>
  <c r="BA253" i="24"/>
  <c r="BB253" i="24"/>
  <c r="BC253" i="24"/>
  <c r="BD253" i="24"/>
  <c r="BE253" i="24"/>
  <c r="BF253" i="24"/>
  <c r="BG253" i="24"/>
  <c r="BH253" i="24"/>
  <c r="BI253" i="24"/>
  <c r="BJ253" i="24"/>
  <c r="BK253" i="24"/>
  <c r="B254" i="24"/>
  <c r="C254" i="24"/>
  <c r="D254" i="24"/>
  <c r="E254" i="24"/>
  <c r="F254" i="24"/>
  <c r="H254" i="24"/>
  <c r="I254" i="24"/>
  <c r="J254" i="24"/>
  <c r="K254" i="24"/>
  <c r="L254" i="24"/>
  <c r="M254" i="24"/>
  <c r="N254" i="24"/>
  <c r="O254" i="24"/>
  <c r="P254" i="24"/>
  <c r="Q254" i="24"/>
  <c r="R254" i="24"/>
  <c r="S254" i="24"/>
  <c r="T254" i="24"/>
  <c r="U254" i="24"/>
  <c r="V254" i="24"/>
  <c r="W254" i="24"/>
  <c r="X254" i="24"/>
  <c r="Y254" i="24"/>
  <c r="Z254" i="24"/>
  <c r="AA254" i="24"/>
  <c r="AB254" i="24"/>
  <c r="AC254" i="24"/>
  <c r="AD254" i="24"/>
  <c r="AE254" i="24"/>
  <c r="AF254" i="24"/>
  <c r="AG254" i="24"/>
  <c r="AH254" i="24"/>
  <c r="AI254" i="24"/>
  <c r="AJ254" i="24"/>
  <c r="AK254" i="24"/>
  <c r="AL254" i="24"/>
  <c r="AM254" i="24"/>
  <c r="AN254" i="24"/>
  <c r="AO254" i="24"/>
  <c r="AP254" i="24"/>
  <c r="AQ254" i="24"/>
  <c r="AR254" i="24"/>
  <c r="AS254" i="24"/>
  <c r="AT254" i="24"/>
  <c r="AU254" i="24"/>
  <c r="AV254" i="24"/>
  <c r="AW254" i="24"/>
  <c r="AX254" i="24"/>
  <c r="AY254" i="24"/>
  <c r="AZ254" i="24"/>
  <c r="BA254" i="24"/>
  <c r="BB254" i="24"/>
  <c r="BC254" i="24"/>
  <c r="BD254" i="24"/>
  <c r="BE254" i="24"/>
  <c r="BF254" i="24"/>
  <c r="BG254" i="24"/>
  <c r="BH254" i="24"/>
  <c r="BI254" i="24"/>
  <c r="BJ254" i="24"/>
  <c r="BK254" i="24"/>
  <c r="B255" i="24"/>
  <c r="C255" i="24"/>
  <c r="D255" i="24"/>
  <c r="E255" i="24"/>
  <c r="F255" i="24"/>
  <c r="G255" i="24"/>
  <c r="H255" i="24"/>
  <c r="I255" i="24"/>
  <c r="J255" i="24"/>
  <c r="K255" i="24"/>
  <c r="L255" i="24"/>
  <c r="M255" i="24"/>
  <c r="N255" i="24"/>
  <c r="O255" i="24"/>
  <c r="P255" i="24"/>
  <c r="Q255" i="24"/>
  <c r="R255" i="24"/>
  <c r="S255" i="24"/>
  <c r="T255" i="24"/>
  <c r="U255" i="24"/>
  <c r="V255" i="24"/>
  <c r="W255" i="24"/>
  <c r="X255" i="24"/>
  <c r="Y255" i="24"/>
  <c r="Z255" i="24"/>
  <c r="AA255" i="24"/>
  <c r="AB255" i="24"/>
  <c r="AC255" i="24"/>
  <c r="AD255" i="24"/>
  <c r="AE255" i="24"/>
  <c r="AF255" i="24"/>
  <c r="AG255" i="24"/>
  <c r="AH255" i="24"/>
  <c r="AI255" i="24"/>
  <c r="AJ255" i="24"/>
  <c r="AK255" i="24"/>
  <c r="AL255" i="24"/>
  <c r="AM255" i="24"/>
  <c r="AN255" i="24"/>
  <c r="AO255" i="24"/>
  <c r="AP255" i="24"/>
  <c r="AQ255" i="24"/>
  <c r="AR255" i="24"/>
  <c r="AS255" i="24"/>
  <c r="AT255" i="24"/>
  <c r="AU255" i="24"/>
  <c r="AV255" i="24"/>
  <c r="AW255" i="24"/>
  <c r="AX255" i="24"/>
  <c r="AY255" i="24"/>
  <c r="AZ255" i="24"/>
  <c r="BA255" i="24"/>
  <c r="BB255" i="24"/>
  <c r="BC255" i="24"/>
  <c r="BD255" i="24"/>
  <c r="BE255" i="24"/>
  <c r="BF255" i="24"/>
  <c r="BG255" i="24"/>
  <c r="BH255" i="24"/>
  <c r="BI255" i="24"/>
  <c r="BJ255" i="24"/>
  <c r="BK255" i="24"/>
  <c r="B256" i="24"/>
  <c r="C256" i="24"/>
  <c r="D256" i="24"/>
  <c r="E256" i="24"/>
  <c r="F256" i="24"/>
  <c r="G256" i="24"/>
  <c r="H256" i="24"/>
  <c r="I256" i="24"/>
  <c r="J256" i="24"/>
  <c r="K256" i="24"/>
  <c r="L256" i="24"/>
  <c r="M256" i="24"/>
  <c r="N256" i="24"/>
  <c r="O256" i="24"/>
  <c r="P256" i="24"/>
  <c r="Q256" i="24"/>
  <c r="R256" i="24"/>
  <c r="S256" i="24"/>
  <c r="T256" i="24"/>
  <c r="U256" i="24"/>
  <c r="V256" i="24"/>
  <c r="W256" i="24"/>
  <c r="X256" i="24"/>
  <c r="Y256" i="24"/>
  <c r="Z256" i="24"/>
  <c r="AA256" i="24"/>
  <c r="AB256" i="24"/>
  <c r="AC256" i="24"/>
  <c r="AD256" i="24"/>
  <c r="AE256" i="24"/>
  <c r="AF256" i="24"/>
  <c r="AG256" i="24"/>
  <c r="AH256" i="24"/>
  <c r="AI256" i="24"/>
  <c r="AJ256" i="24"/>
  <c r="AK256" i="24"/>
  <c r="AL256" i="24"/>
  <c r="AM256" i="24"/>
  <c r="AN256" i="24"/>
  <c r="AO256" i="24"/>
  <c r="AP256" i="24"/>
  <c r="AQ256" i="24"/>
  <c r="AR256" i="24"/>
  <c r="AS256" i="24"/>
  <c r="AT256" i="24"/>
  <c r="AU256" i="24"/>
  <c r="AV256" i="24"/>
  <c r="AW256" i="24"/>
  <c r="AX256" i="24"/>
  <c r="AY256" i="24"/>
  <c r="AZ256" i="24"/>
  <c r="BA256" i="24"/>
  <c r="BB256" i="24"/>
  <c r="BC256" i="24"/>
  <c r="BD256" i="24"/>
  <c r="BE256" i="24"/>
  <c r="BF256" i="24"/>
  <c r="BG256" i="24"/>
  <c r="BH256" i="24"/>
  <c r="BI256" i="24"/>
  <c r="BJ256" i="24"/>
  <c r="BK256" i="24"/>
  <c r="B257" i="24"/>
  <c r="C257" i="24"/>
  <c r="D257" i="24"/>
  <c r="E257" i="24"/>
  <c r="F257" i="24"/>
  <c r="G257" i="24"/>
  <c r="H257" i="24"/>
  <c r="I257" i="24"/>
  <c r="J257" i="24"/>
  <c r="K257" i="24"/>
  <c r="L257" i="24"/>
  <c r="M257" i="24"/>
  <c r="N257" i="24"/>
  <c r="O257" i="24"/>
  <c r="P257" i="24"/>
  <c r="Q257" i="24"/>
  <c r="R257" i="24"/>
  <c r="S257" i="24"/>
  <c r="T257" i="24"/>
  <c r="U257" i="24"/>
  <c r="V257" i="24"/>
  <c r="W257" i="24"/>
  <c r="X257" i="24"/>
  <c r="Y257" i="24"/>
  <c r="Z257" i="24"/>
  <c r="AA257" i="24"/>
  <c r="AB257" i="24"/>
  <c r="AC257" i="24"/>
  <c r="AD257" i="24"/>
  <c r="AE257" i="24"/>
  <c r="AF257" i="24"/>
  <c r="AG257" i="24"/>
  <c r="AH257" i="24"/>
  <c r="AI257" i="24"/>
  <c r="AJ257" i="24"/>
  <c r="AK257" i="24"/>
  <c r="AL257" i="24"/>
  <c r="AM257" i="24"/>
  <c r="AN257" i="24"/>
  <c r="AO257" i="24"/>
  <c r="AP257" i="24"/>
  <c r="AQ257" i="24"/>
  <c r="AR257" i="24"/>
  <c r="AS257" i="24"/>
  <c r="AT257" i="24"/>
  <c r="AU257" i="24"/>
  <c r="AV257" i="24"/>
  <c r="AW257" i="24"/>
  <c r="AX257" i="24"/>
  <c r="AY257" i="24"/>
  <c r="AZ257" i="24"/>
  <c r="BA257" i="24"/>
  <c r="BB257" i="24"/>
  <c r="BC257" i="24"/>
  <c r="BD257" i="24"/>
  <c r="BE257" i="24"/>
  <c r="BF257" i="24"/>
  <c r="BG257" i="24"/>
  <c r="BH257" i="24"/>
  <c r="BI257" i="24"/>
  <c r="BJ257" i="24"/>
  <c r="BK257" i="24"/>
  <c r="B258" i="24"/>
  <c r="C258" i="24"/>
  <c r="D258" i="24"/>
  <c r="E258" i="24"/>
  <c r="F258" i="24"/>
  <c r="G258" i="24"/>
  <c r="H258" i="24"/>
  <c r="I258" i="24"/>
  <c r="J258" i="24"/>
  <c r="K258" i="24"/>
  <c r="L258" i="24"/>
  <c r="M258" i="24"/>
  <c r="N258" i="24"/>
  <c r="O258" i="24"/>
  <c r="P258" i="24"/>
  <c r="Q258" i="24"/>
  <c r="R258" i="24"/>
  <c r="S258" i="24"/>
  <c r="T258" i="24"/>
  <c r="U258" i="24"/>
  <c r="V258" i="24"/>
  <c r="W258" i="24"/>
  <c r="X258" i="24"/>
  <c r="Y258" i="24"/>
  <c r="Z258" i="24"/>
  <c r="AA258" i="24"/>
  <c r="AB258" i="24"/>
  <c r="AC258" i="24"/>
  <c r="AD258" i="24"/>
  <c r="AE258" i="24"/>
  <c r="AF258" i="24"/>
  <c r="AG258" i="24"/>
  <c r="AH258" i="24"/>
  <c r="AI258" i="24"/>
  <c r="AJ258" i="24"/>
  <c r="AK258" i="24"/>
  <c r="AL258" i="24"/>
  <c r="AM258" i="24"/>
  <c r="AN258" i="24"/>
  <c r="AO258" i="24"/>
  <c r="AP258" i="24"/>
  <c r="AQ258" i="24"/>
  <c r="AR258" i="24"/>
  <c r="AS258" i="24"/>
  <c r="AT258" i="24"/>
  <c r="AU258" i="24"/>
  <c r="AV258" i="24"/>
  <c r="AW258" i="24"/>
  <c r="AX258" i="24"/>
  <c r="AY258" i="24"/>
  <c r="AZ258" i="24"/>
  <c r="BA258" i="24"/>
  <c r="BB258" i="24"/>
  <c r="BC258" i="24"/>
  <c r="BD258" i="24"/>
  <c r="BE258" i="24"/>
  <c r="BF258" i="24"/>
  <c r="BG258" i="24"/>
  <c r="BH258" i="24"/>
  <c r="BI258" i="24"/>
  <c r="BJ258" i="24"/>
  <c r="BK258" i="24"/>
  <c r="B259" i="24"/>
  <c r="C259" i="24"/>
  <c r="D259" i="24"/>
  <c r="E259" i="24"/>
  <c r="F259" i="24"/>
  <c r="G259" i="24"/>
  <c r="H259" i="24"/>
  <c r="I259" i="24"/>
  <c r="J259" i="24"/>
  <c r="K259" i="24"/>
  <c r="L259" i="24"/>
  <c r="M259" i="24"/>
  <c r="N259" i="24"/>
  <c r="O259" i="24"/>
  <c r="P259" i="24"/>
  <c r="Q259" i="24"/>
  <c r="R259" i="24"/>
  <c r="S259" i="24"/>
  <c r="T259" i="24"/>
  <c r="U259" i="24"/>
  <c r="V259" i="24"/>
  <c r="W259" i="24"/>
  <c r="X259" i="24"/>
  <c r="Y259" i="24"/>
  <c r="Z259" i="24"/>
  <c r="AA259" i="24"/>
  <c r="AB259" i="24"/>
  <c r="AC259" i="24"/>
  <c r="AD259" i="24"/>
  <c r="AE259" i="24"/>
  <c r="AF259" i="24"/>
  <c r="AG259" i="24"/>
  <c r="AH259" i="24"/>
  <c r="AI259" i="24"/>
  <c r="AJ259" i="24"/>
  <c r="AK259" i="24"/>
  <c r="AL259" i="24"/>
  <c r="AM259" i="24"/>
  <c r="AN259" i="24"/>
  <c r="AO259" i="24"/>
  <c r="AP259" i="24"/>
  <c r="AQ259" i="24"/>
  <c r="AR259" i="24"/>
  <c r="AS259" i="24"/>
  <c r="AT259" i="24"/>
  <c r="AU259" i="24"/>
  <c r="AV259" i="24"/>
  <c r="AW259" i="24"/>
  <c r="AX259" i="24"/>
  <c r="AY259" i="24"/>
  <c r="AZ259" i="24"/>
  <c r="BA259" i="24"/>
  <c r="BB259" i="24"/>
  <c r="BC259" i="24"/>
  <c r="BD259" i="24"/>
  <c r="BE259" i="24"/>
  <c r="BF259" i="24"/>
  <c r="BG259" i="24"/>
  <c r="BH259" i="24"/>
  <c r="BI259" i="24"/>
  <c r="BJ259" i="24"/>
  <c r="BK259" i="24"/>
  <c r="B260" i="24"/>
  <c r="C260" i="24"/>
  <c r="D260" i="24"/>
  <c r="E260" i="24"/>
  <c r="F260" i="24"/>
  <c r="G260" i="24"/>
  <c r="H260" i="24"/>
  <c r="I260" i="24"/>
  <c r="J260" i="24"/>
  <c r="K260" i="24"/>
  <c r="L260" i="24"/>
  <c r="M260" i="24"/>
  <c r="N260" i="24"/>
  <c r="O260" i="24"/>
  <c r="P260" i="24"/>
  <c r="Q260" i="24"/>
  <c r="R260" i="24"/>
  <c r="S260" i="24"/>
  <c r="T260" i="24"/>
  <c r="U260" i="24"/>
  <c r="V260" i="24"/>
  <c r="W260" i="24"/>
  <c r="X260" i="24"/>
  <c r="Y260" i="24"/>
  <c r="Z260" i="24"/>
  <c r="AA260" i="24"/>
  <c r="AB260" i="24"/>
  <c r="AC260" i="24"/>
  <c r="AD260" i="24"/>
  <c r="AE260" i="24"/>
  <c r="AF260" i="24"/>
  <c r="AG260" i="24"/>
  <c r="AH260" i="24"/>
  <c r="AI260" i="24"/>
  <c r="AJ260" i="24"/>
  <c r="AK260" i="24"/>
  <c r="AL260" i="24"/>
  <c r="AM260" i="24"/>
  <c r="AN260" i="24"/>
  <c r="AO260" i="24"/>
  <c r="AP260" i="24"/>
  <c r="AQ260" i="24"/>
  <c r="AR260" i="24"/>
  <c r="AS260" i="24"/>
  <c r="AT260" i="24"/>
  <c r="AU260" i="24"/>
  <c r="AV260" i="24"/>
  <c r="AW260" i="24"/>
  <c r="AX260" i="24"/>
  <c r="AY260" i="24"/>
  <c r="AZ260" i="24"/>
  <c r="BA260" i="24"/>
  <c r="BB260" i="24"/>
  <c r="BC260" i="24"/>
  <c r="BD260" i="24"/>
  <c r="BE260" i="24"/>
  <c r="BF260" i="24"/>
  <c r="BG260" i="24"/>
  <c r="BH260" i="24"/>
  <c r="BI260" i="24"/>
  <c r="BJ260" i="24"/>
  <c r="BK260" i="24"/>
  <c r="B261" i="24"/>
  <c r="C261" i="24"/>
  <c r="D261" i="24"/>
  <c r="E261" i="24"/>
  <c r="F261" i="24"/>
  <c r="G261" i="24"/>
  <c r="H261" i="24"/>
  <c r="I261" i="24"/>
  <c r="J261" i="24"/>
  <c r="K261" i="24"/>
  <c r="L261" i="24"/>
  <c r="M261" i="24"/>
  <c r="N261" i="24"/>
  <c r="O261" i="24"/>
  <c r="P261" i="24"/>
  <c r="Q261" i="24"/>
  <c r="R261" i="24"/>
  <c r="S261" i="24"/>
  <c r="T261" i="24"/>
  <c r="U261" i="24"/>
  <c r="V261" i="24"/>
  <c r="W261" i="24"/>
  <c r="X261" i="24"/>
  <c r="Y261" i="24"/>
  <c r="Z261" i="24"/>
  <c r="AA261" i="24"/>
  <c r="AB261" i="24"/>
  <c r="AC261" i="24"/>
  <c r="AD261" i="24"/>
  <c r="AE261" i="24"/>
  <c r="AF261" i="24"/>
  <c r="AG261" i="24"/>
  <c r="AH261" i="24"/>
  <c r="AI261" i="24"/>
  <c r="AJ261" i="24"/>
  <c r="AK261" i="24"/>
  <c r="AL261" i="24"/>
  <c r="AM261" i="24"/>
  <c r="AN261" i="24"/>
  <c r="AO261" i="24"/>
  <c r="AP261" i="24"/>
  <c r="AQ261" i="24"/>
  <c r="AR261" i="24"/>
  <c r="AS261" i="24"/>
  <c r="AT261" i="24"/>
  <c r="AU261" i="24"/>
  <c r="AV261" i="24"/>
  <c r="AW261" i="24"/>
  <c r="AX261" i="24"/>
  <c r="AY261" i="24"/>
  <c r="AZ261" i="24"/>
  <c r="BA261" i="24"/>
  <c r="BB261" i="24"/>
  <c r="BC261" i="24"/>
  <c r="BD261" i="24"/>
  <c r="BE261" i="24"/>
  <c r="BF261" i="24"/>
  <c r="BG261" i="24"/>
  <c r="BH261" i="24"/>
  <c r="BI261" i="24"/>
  <c r="BJ261" i="24"/>
  <c r="BK261" i="24"/>
  <c r="B262" i="24"/>
  <c r="C262" i="24"/>
  <c r="D262" i="24"/>
  <c r="E262" i="24"/>
  <c r="F262" i="24"/>
  <c r="G262" i="24"/>
  <c r="H262" i="24"/>
  <c r="I262" i="24"/>
  <c r="J262" i="24"/>
  <c r="K262" i="24"/>
  <c r="L262" i="24"/>
  <c r="M262" i="24"/>
  <c r="N262" i="24"/>
  <c r="O262" i="24"/>
  <c r="P262" i="24"/>
  <c r="Q262" i="24"/>
  <c r="R262" i="24"/>
  <c r="S262" i="24"/>
  <c r="T262" i="24"/>
  <c r="U262" i="24"/>
  <c r="V262" i="24"/>
  <c r="W262" i="24"/>
  <c r="X262" i="24"/>
  <c r="Y262" i="24"/>
  <c r="Z262" i="24"/>
  <c r="AA262" i="24"/>
  <c r="AB262" i="24"/>
  <c r="AC262" i="24"/>
  <c r="AD262" i="24"/>
  <c r="AE262" i="24"/>
  <c r="AF262" i="24"/>
  <c r="AG262" i="24"/>
  <c r="AH262" i="24"/>
  <c r="AI262" i="24"/>
  <c r="AJ262" i="24"/>
  <c r="AK262" i="24"/>
  <c r="AL262" i="24"/>
  <c r="AM262" i="24"/>
  <c r="AN262" i="24"/>
  <c r="AO262" i="24"/>
  <c r="AP262" i="24"/>
  <c r="AQ262" i="24"/>
  <c r="AR262" i="24"/>
  <c r="AS262" i="24"/>
  <c r="AT262" i="24"/>
  <c r="AU262" i="24"/>
  <c r="AW262" i="24"/>
  <c r="AX262" i="24"/>
  <c r="AY262" i="24"/>
  <c r="AZ262" i="24"/>
  <c r="BA262" i="24"/>
  <c r="BB262" i="24"/>
  <c r="BC262" i="24"/>
  <c r="BD262" i="24"/>
  <c r="BE262" i="24"/>
  <c r="BF262" i="24"/>
  <c r="BG262" i="24"/>
  <c r="BH262" i="24"/>
  <c r="BI262" i="24"/>
  <c r="BJ262" i="24"/>
  <c r="BK262" i="24"/>
  <c r="B263" i="24"/>
  <c r="C263" i="24"/>
  <c r="D263" i="24"/>
  <c r="E263" i="24"/>
  <c r="F263" i="24"/>
  <c r="G263" i="24"/>
  <c r="H263" i="24"/>
  <c r="I263" i="24"/>
  <c r="J263" i="24"/>
  <c r="K263" i="24"/>
  <c r="L263" i="24"/>
  <c r="M263" i="24"/>
  <c r="N263" i="24"/>
  <c r="O263" i="24"/>
  <c r="P263" i="24"/>
  <c r="Q263" i="24"/>
  <c r="R263" i="24"/>
  <c r="S263" i="24"/>
  <c r="T263" i="24"/>
  <c r="U263" i="24"/>
  <c r="V263" i="24"/>
  <c r="W263" i="24"/>
  <c r="X263" i="24"/>
  <c r="Y263" i="24"/>
  <c r="Z263" i="24"/>
  <c r="AA263" i="24"/>
  <c r="AB263" i="24"/>
  <c r="AC263" i="24"/>
  <c r="AD263" i="24"/>
  <c r="AE263" i="24"/>
  <c r="AF263" i="24"/>
  <c r="AG263" i="24"/>
  <c r="AH263" i="24"/>
  <c r="AI263" i="24"/>
  <c r="AJ263" i="24"/>
  <c r="AK263" i="24"/>
  <c r="AL263" i="24"/>
  <c r="AM263" i="24"/>
  <c r="AN263" i="24"/>
  <c r="AO263" i="24"/>
  <c r="AP263" i="24"/>
  <c r="AQ263" i="24"/>
  <c r="AR263" i="24"/>
  <c r="AS263" i="24"/>
  <c r="AT263" i="24"/>
  <c r="AU263" i="24"/>
  <c r="AV263" i="24"/>
  <c r="AW263" i="24"/>
  <c r="AX263" i="24"/>
  <c r="AY263" i="24"/>
  <c r="AZ263" i="24"/>
  <c r="BA263" i="24"/>
  <c r="BB263" i="24"/>
  <c r="BC263" i="24"/>
  <c r="BD263" i="24"/>
  <c r="BE263" i="24"/>
  <c r="BF263" i="24"/>
  <c r="BG263" i="24"/>
  <c r="BH263" i="24"/>
  <c r="BI263" i="24"/>
  <c r="BJ263" i="24"/>
  <c r="BK263" i="24"/>
  <c r="B264" i="24"/>
  <c r="C264" i="24"/>
  <c r="D264" i="24"/>
  <c r="E264" i="24"/>
  <c r="F264" i="24"/>
  <c r="G264" i="24"/>
  <c r="H264" i="24"/>
  <c r="I264" i="24"/>
  <c r="J264" i="24"/>
  <c r="K264" i="24"/>
  <c r="L264" i="24"/>
  <c r="M264" i="24"/>
  <c r="N264" i="24"/>
  <c r="O264" i="24"/>
  <c r="P264" i="24"/>
  <c r="Q264" i="24"/>
  <c r="R264" i="24"/>
  <c r="S264" i="24"/>
  <c r="T264" i="24"/>
  <c r="U264" i="24"/>
  <c r="V264" i="24"/>
  <c r="W264" i="24"/>
  <c r="X264" i="24"/>
  <c r="Y264" i="24"/>
  <c r="Z264" i="24"/>
  <c r="AA264" i="24"/>
  <c r="AB264" i="24"/>
  <c r="AC264" i="24"/>
  <c r="AD264" i="24"/>
  <c r="AE264" i="24"/>
  <c r="AF264" i="24"/>
  <c r="AG264" i="24"/>
  <c r="AH264" i="24"/>
  <c r="AI264" i="24"/>
  <c r="AJ264" i="24"/>
  <c r="AK264" i="24"/>
  <c r="AL264" i="24"/>
  <c r="AM264" i="24"/>
  <c r="AN264" i="24"/>
  <c r="AO264" i="24"/>
  <c r="AP264" i="24"/>
  <c r="AQ264" i="24"/>
  <c r="AR264" i="24"/>
  <c r="AS264" i="24"/>
  <c r="AT264" i="24"/>
  <c r="AU264" i="24"/>
  <c r="AV264" i="24"/>
  <c r="AW264" i="24"/>
  <c r="AX264" i="24"/>
  <c r="AY264" i="24"/>
  <c r="AZ264" i="24"/>
  <c r="BA264" i="24"/>
  <c r="BB264" i="24"/>
  <c r="BC264" i="24"/>
  <c r="BD264" i="24"/>
  <c r="BE264" i="24"/>
  <c r="BF264" i="24"/>
  <c r="BG264" i="24"/>
  <c r="BH264" i="24"/>
  <c r="BI264" i="24"/>
  <c r="BJ264" i="24"/>
  <c r="BK264" i="24"/>
  <c r="B265" i="24"/>
  <c r="C265" i="24"/>
  <c r="D265" i="24"/>
  <c r="E265" i="24"/>
  <c r="F265" i="24"/>
  <c r="G265" i="24"/>
  <c r="H265" i="24"/>
  <c r="I265" i="24"/>
  <c r="J265" i="24"/>
  <c r="K265" i="24"/>
  <c r="L265" i="24"/>
  <c r="M265" i="24"/>
  <c r="N265" i="24"/>
  <c r="O265" i="24"/>
  <c r="P265" i="24"/>
  <c r="Q265" i="24"/>
  <c r="R265" i="24"/>
  <c r="S265" i="24"/>
  <c r="T265" i="24"/>
  <c r="U265" i="24"/>
  <c r="V265" i="24"/>
  <c r="W265" i="24"/>
  <c r="X265" i="24"/>
  <c r="Y265" i="24"/>
  <c r="Z265" i="24"/>
  <c r="AA265" i="24"/>
  <c r="AB265" i="24"/>
  <c r="AC265" i="24"/>
  <c r="AD265" i="24"/>
  <c r="AF265" i="24"/>
  <c r="AG265" i="24"/>
  <c r="AH265" i="24"/>
  <c r="AI265" i="24"/>
  <c r="AJ265" i="24"/>
  <c r="AK265" i="24"/>
  <c r="AL265" i="24"/>
  <c r="AM265" i="24"/>
  <c r="AN265" i="24"/>
  <c r="AO265" i="24"/>
  <c r="AP265" i="24"/>
  <c r="AQ265" i="24"/>
  <c r="AR265" i="24"/>
  <c r="AS265" i="24"/>
  <c r="AT265" i="24"/>
  <c r="AU265" i="24"/>
  <c r="AV265" i="24"/>
  <c r="AW265" i="24"/>
  <c r="AX265" i="24"/>
  <c r="AY265" i="24"/>
  <c r="AZ265" i="24"/>
  <c r="BA265" i="24"/>
  <c r="BB265" i="24"/>
  <c r="BC265" i="24"/>
  <c r="BD265" i="24"/>
  <c r="BE265" i="24"/>
  <c r="BF265" i="24"/>
  <c r="BG265" i="24"/>
  <c r="BH265" i="24"/>
  <c r="BI265" i="24"/>
  <c r="BJ265" i="24"/>
  <c r="BK265" i="24"/>
  <c r="B266" i="24"/>
  <c r="C266" i="24"/>
  <c r="D266" i="24"/>
  <c r="E266" i="24"/>
  <c r="F266" i="24"/>
  <c r="G266" i="24"/>
  <c r="H266" i="24"/>
  <c r="I266" i="24"/>
  <c r="J266" i="24"/>
  <c r="K266" i="24"/>
  <c r="L266" i="24"/>
  <c r="M266" i="24"/>
  <c r="N266" i="24"/>
  <c r="O266" i="24"/>
  <c r="P266" i="24"/>
  <c r="Q266" i="24"/>
  <c r="R266" i="24"/>
  <c r="S266" i="24"/>
  <c r="T266" i="24"/>
  <c r="U266" i="24"/>
  <c r="V266" i="24"/>
  <c r="W266" i="24"/>
  <c r="X266" i="24"/>
  <c r="Y266" i="24"/>
  <c r="Z266" i="24"/>
  <c r="AA266" i="24"/>
  <c r="AB266" i="24"/>
  <c r="AC266" i="24"/>
  <c r="AD266" i="24"/>
  <c r="AE266" i="24"/>
  <c r="AF266" i="24"/>
  <c r="AG266" i="24"/>
  <c r="AH266" i="24"/>
  <c r="AI266" i="24"/>
  <c r="AJ266" i="24"/>
  <c r="AK266" i="24"/>
  <c r="AL266" i="24"/>
  <c r="AM266" i="24"/>
  <c r="AN266" i="24"/>
  <c r="AO266" i="24"/>
  <c r="AP266" i="24"/>
  <c r="AQ266" i="24"/>
  <c r="AR266" i="24"/>
  <c r="AS266" i="24"/>
  <c r="AT266" i="24"/>
  <c r="AU266" i="24"/>
  <c r="AV266" i="24"/>
  <c r="AW266" i="24"/>
  <c r="AX266" i="24"/>
  <c r="AY266" i="24"/>
  <c r="AZ266" i="24"/>
  <c r="BA266" i="24"/>
  <c r="BB266" i="24"/>
  <c r="BC266" i="24"/>
  <c r="BD266" i="24"/>
  <c r="BE266" i="24"/>
  <c r="BF266" i="24"/>
  <c r="BG266" i="24"/>
  <c r="BH266" i="24"/>
  <c r="BI266" i="24"/>
  <c r="BJ266" i="24"/>
  <c r="BK266" i="24"/>
  <c r="B267" i="24"/>
  <c r="C267" i="24"/>
  <c r="D267" i="24"/>
  <c r="E267" i="24"/>
  <c r="F267" i="24"/>
  <c r="G267" i="24"/>
  <c r="H267" i="24"/>
  <c r="I267" i="24"/>
  <c r="J267" i="24"/>
  <c r="K267" i="24"/>
  <c r="L267" i="24"/>
  <c r="M267" i="24"/>
  <c r="N267" i="24"/>
  <c r="O267" i="24"/>
  <c r="P267" i="24"/>
  <c r="Q267" i="24"/>
  <c r="R267" i="24"/>
  <c r="S267" i="24"/>
  <c r="T267" i="24"/>
  <c r="U267" i="24"/>
  <c r="V267" i="24"/>
  <c r="W267" i="24"/>
  <c r="X267" i="24"/>
  <c r="Y267" i="24"/>
  <c r="Z267" i="24"/>
  <c r="AA267" i="24"/>
  <c r="AB267" i="24"/>
  <c r="AC267" i="24"/>
  <c r="AD267" i="24"/>
  <c r="AE267" i="24"/>
  <c r="AF267" i="24"/>
  <c r="AG267" i="24"/>
  <c r="AH267" i="24"/>
  <c r="AI267" i="24"/>
  <c r="AJ267" i="24"/>
  <c r="AK267" i="24"/>
  <c r="AL267" i="24"/>
  <c r="AM267" i="24"/>
  <c r="AN267" i="24"/>
  <c r="AO267" i="24"/>
  <c r="AP267" i="24"/>
  <c r="AQ267" i="24"/>
  <c r="AR267" i="24"/>
  <c r="AS267" i="24"/>
  <c r="AT267" i="24"/>
  <c r="AU267" i="24"/>
  <c r="AV267" i="24"/>
  <c r="AW267" i="24"/>
  <c r="AX267" i="24"/>
  <c r="AY267" i="24"/>
  <c r="AZ267" i="24"/>
  <c r="BA267" i="24"/>
  <c r="BB267" i="24"/>
  <c r="BC267" i="24"/>
  <c r="BD267" i="24"/>
  <c r="BE267" i="24"/>
  <c r="BF267" i="24"/>
  <c r="BG267" i="24"/>
  <c r="BH267" i="24"/>
  <c r="BI267" i="24"/>
  <c r="BJ267" i="24"/>
  <c r="BK267" i="24"/>
  <c r="B268" i="24"/>
  <c r="C268" i="24"/>
  <c r="D268" i="24"/>
  <c r="E268" i="24"/>
  <c r="F268" i="24"/>
  <c r="G268" i="24"/>
  <c r="H268" i="24"/>
  <c r="I268" i="24"/>
  <c r="J268" i="24"/>
  <c r="K268" i="24"/>
  <c r="L268" i="24"/>
  <c r="M268" i="24"/>
  <c r="N268" i="24"/>
  <c r="O268" i="24"/>
  <c r="P268" i="24"/>
  <c r="Q268" i="24"/>
  <c r="R268" i="24"/>
  <c r="S268" i="24"/>
  <c r="T268" i="24"/>
  <c r="U268" i="24"/>
  <c r="V268" i="24"/>
  <c r="W268" i="24"/>
  <c r="X268" i="24"/>
  <c r="Y268" i="24"/>
  <c r="Z268" i="24"/>
  <c r="AA268" i="24"/>
  <c r="AB268" i="24"/>
  <c r="AC268" i="24"/>
  <c r="AD268" i="24"/>
  <c r="AE268" i="24"/>
  <c r="AF268" i="24"/>
  <c r="AG268" i="24"/>
  <c r="AH268" i="24"/>
  <c r="AI268" i="24"/>
  <c r="AJ268" i="24"/>
  <c r="AK268" i="24"/>
  <c r="AL268" i="24"/>
  <c r="AM268" i="24"/>
  <c r="AN268" i="24"/>
  <c r="AO268" i="24"/>
  <c r="AP268" i="24"/>
  <c r="AQ268" i="24"/>
  <c r="AR268" i="24"/>
  <c r="AS268" i="24"/>
  <c r="AT268" i="24"/>
  <c r="AU268" i="24"/>
  <c r="AV268" i="24"/>
  <c r="AW268" i="24"/>
  <c r="AX268" i="24"/>
  <c r="AY268" i="24"/>
  <c r="AZ268" i="24"/>
  <c r="BA268" i="24"/>
  <c r="BB268" i="24"/>
  <c r="BC268" i="24"/>
  <c r="BD268" i="24"/>
  <c r="BE268" i="24"/>
  <c r="BF268" i="24"/>
  <c r="BG268" i="24"/>
  <c r="BH268" i="24"/>
  <c r="BI268" i="24"/>
  <c r="BJ268" i="24"/>
  <c r="BK268" i="24"/>
  <c r="B269" i="24"/>
  <c r="C269" i="24"/>
  <c r="D269" i="24"/>
  <c r="E269" i="24"/>
  <c r="F269" i="24"/>
  <c r="G269" i="24"/>
  <c r="H269" i="24"/>
  <c r="I269" i="24"/>
  <c r="J269" i="24"/>
  <c r="K269" i="24"/>
  <c r="L269" i="24"/>
  <c r="M269" i="24"/>
  <c r="N269" i="24"/>
  <c r="O269" i="24"/>
  <c r="P269" i="24"/>
  <c r="Q269" i="24"/>
  <c r="R269" i="24"/>
  <c r="S269" i="24"/>
  <c r="T269" i="24"/>
  <c r="U269" i="24"/>
  <c r="V269" i="24"/>
  <c r="W269" i="24"/>
  <c r="X269" i="24"/>
  <c r="Y269" i="24"/>
  <c r="Z269" i="24"/>
  <c r="AA269" i="24"/>
  <c r="AB269" i="24"/>
  <c r="AC269" i="24"/>
  <c r="AD269" i="24"/>
  <c r="AE269" i="24"/>
  <c r="AF269" i="24"/>
  <c r="AG269" i="24"/>
  <c r="AH269" i="24"/>
  <c r="AI269" i="24"/>
  <c r="AJ269" i="24"/>
  <c r="AK269" i="24"/>
  <c r="AL269" i="24"/>
  <c r="AM269" i="24"/>
  <c r="AN269" i="24"/>
  <c r="AO269" i="24"/>
  <c r="AP269" i="24"/>
  <c r="AQ269" i="24"/>
  <c r="AR269" i="24"/>
  <c r="AS269" i="24"/>
  <c r="AT269" i="24"/>
  <c r="AU269" i="24"/>
  <c r="AV269" i="24"/>
  <c r="AW269" i="24"/>
  <c r="AX269" i="24"/>
  <c r="AY269" i="24"/>
  <c r="AZ269" i="24"/>
  <c r="BA269" i="24"/>
  <c r="BB269" i="24"/>
  <c r="BC269" i="24"/>
  <c r="BD269" i="24"/>
  <c r="BE269" i="24"/>
  <c r="BF269" i="24"/>
  <c r="BG269" i="24"/>
  <c r="BH269" i="24"/>
  <c r="BI269" i="24"/>
  <c r="BJ269" i="24"/>
  <c r="BK269" i="24"/>
  <c r="B270" i="24"/>
  <c r="C270" i="24"/>
  <c r="D270" i="24"/>
  <c r="E270" i="24"/>
  <c r="F270" i="24"/>
  <c r="G270" i="24"/>
  <c r="H270" i="24"/>
  <c r="I270" i="24"/>
  <c r="J270" i="24"/>
  <c r="K270" i="24"/>
  <c r="L270" i="24"/>
  <c r="M270" i="24"/>
  <c r="N270" i="24"/>
  <c r="O270" i="24"/>
  <c r="P270" i="24"/>
  <c r="Q270" i="24"/>
  <c r="R270" i="24"/>
  <c r="S270" i="24"/>
  <c r="T270" i="24"/>
  <c r="U270" i="24"/>
  <c r="V270" i="24"/>
  <c r="W270" i="24"/>
  <c r="X270" i="24"/>
  <c r="Y270" i="24"/>
  <c r="Z270" i="24"/>
  <c r="AA270" i="24"/>
  <c r="AB270" i="24"/>
  <c r="AC270" i="24"/>
  <c r="AD270" i="24"/>
  <c r="AE270" i="24"/>
  <c r="AF270" i="24"/>
  <c r="AG270" i="24"/>
  <c r="AH270" i="24"/>
  <c r="AI270" i="24"/>
  <c r="AJ270" i="24"/>
  <c r="AK270" i="24"/>
  <c r="AL270" i="24"/>
  <c r="AM270" i="24"/>
  <c r="AN270" i="24"/>
  <c r="AO270" i="24"/>
  <c r="AP270" i="24"/>
  <c r="AQ270" i="24"/>
  <c r="AR270" i="24"/>
  <c r="AS270" i="24"/>
  <c r="AT270" i="24"/>
  <c r="AU270" i="24"/>
  <c r="AV270" i="24"/>
  <c r="AW270" i="24"/>
  <c r="AX270" i="24"/>
  <c r="AY270" i="24"/>
  <c r="AZ270" i="24"/>
  <c r="BA270" i="24"/>
  <c r="BB270" i="24"/>
  <c r="BC270" i="24"/>
  <c r="BD270" i="24"/>
  <c r="BE270" i="24"/>
  <c r="BF270" i="24"/>
  <c r="BG270" i="24"/>
  <c r="BH270" i="24"/>
  <c r="BI270" i="24"/>
  <c r="BJ270" i="24"/>
  <c r="B271" i="24"/>
  <c r="C271" i="24"/>
  <c r="D271" i="24"/>
  <c r="E271" i="24"/>
  <c r="F271" i="24"/>
  <c r="G271" i="24"/>
  <c r="H271" i="24"/>
  <c r="I271" i="24"/>
  <c r="J271" i="24"/>
  <c r="K271" i="24"/>
  <c r="L271" i="24"/>
  <c r="M271" i="24"/>
  <c r="N271" i="24"/>
  <c r="O271" i="24"/>
  <c r="P271" i="24"/>
  <c r="Q271" i="24"/>
  <c r="R271" i="24"/>
  <c r="S271" i="24"/>
  <c r="T271" i="24"/>
  <c r="U271" i="24"/>
  <c r="V271" i="24"/>
  <c r="W271" i="24"/>
  <c r="X271" i="24"/>
  <c r="Y271" i="24"/>
  <c r="Z271" i="24"/>
  <c r="AA271" i="24"/>
  <c r="AB271" i="24"/>
  <c r="AC271" i="24"/>
  <c r="AD271" i="24"/>
  <c r="AE271" i="24"/>
  <c r="AF271" i="24"/>
  <c r="AG271" i="24"/>
  <c r="AH271" i="24"/>
  <c r="AI271" i="24"/>
  <c r="AJ271" i="24"/>
  <c r="AK271" i="24"/>
  <c r="AL271" i="24"/>
  <c r="AM271" i="24"/>
  <c r="AN271" i="24"/>
  <c r="AO271" i="24"/>
  <c r="AP271" i="24"/>
  <c r="AQ271" i="24"/>
  <c r="AR271" i="24"/>
  <c r="AS271" i="24"/>
  <c r="AT271" i="24"/>
  <c r="AU271" i="24"/>
  <c r="AV271" i="24"/>
  <c r="AW271" i="24"/>
  <c r="AX271" i="24"/>
  <c r="AY271" i="24"/>
  <c r="AZ271" i="24"/>
  <c r="BA271" i="24"/>
  <c r="BB271" i="24"/>
  <c r="BC271" i="24"/>
  <c r="BD271" i="24"/>
  <c r="BE271" i="24"/>
  <c r="BF271" i="24"/>
  <c r="BG271" i="24"/>
  <c r="BH271" i="24"/>
  <c r="BI271" i="24"/>
  <c r="BJ271" i="24"/>
  <c r="BK271" i="24"/>
  <c r="B272" i="24"/>
  <c r="C272" i="24"/>
  <c r="D272" i="24"/>
  <c r="E272" i="24"/>
  <c r="F272" i="24"/>
  <c r="G272" i="24"/>
  <c r="H272" i="24"/>
  <c r="I272" i="24"/>
  <c r="J272" i="24"/>
  <c r="K272" i="24"/>
  <c r="L272" i="24"/>
  <c r="M272" i="24"/>
  <c r="N272" i="24"/>
  <c r="O272" i="24"/>
  <c r="P272" i="24"/>
  <c r="Q272" i="24"/>
  <c r="R272" i="24"/>
  <c r="S272" i="24"/>
  <c r="T272" i="24"/>
  <c r="U272" i="24"/>
  <c r="V272" i="24"/>
  <c r="W272" i="24"/>
  <c r="X272" i="24"/>
  <c r="Y272" i="24"/>
  <c r="Z272" i="24"/>
  <c r="AA272" i="24"/>
  <c r="AB272" i="24"/>
  <c r="AC272" i="24"/>
  <c r="AD272" i="24"/>
  <c r="AE272" i="24"/>
  <c r="AF272" i="24"/>
  <c r="AG272" i="24"/>
  <c r="AH272" i="24"/>
  <c r="AI272" i="24"/>
  <c r="AJ272" i="24"/>
  <c r="AK272" i="24"/>
  <c r="AL272" i="24"/>
  <c r="AM272" i="24"/>
  <c r="AN272" i="24"/>
  <c r="AO272" i="24"/>
  <c r="AP272" i="24"/>
  <c r="AQ272" i="24"/>
  <c r="AR272" i="24"/>
  <c r="AS272" i="24"/>
  <c r="AT272" i="24"/>
  <c r="AU272" i="24"/>
  <c r="AV272" i="24"/>
  <c r="AW272" i="24"/>
  <c r="AX272" i="24"/>
  <c r="AY272" i="24"/>
  <c r="AZ272" i="24"/>
  <c r="BA272" i="24"/>
  <c r="BB272" i="24"/>
  <c r="BC272" i="24"/>
  <c r="BD272" i="24"/>
  <c r="BE272" i="24"/>
  <c r="BF272" i="24"/>
  <c r="BG272" i="24"/>
  <c r="BH272" i="24"/>
  <c r="BI272" i="24"/>
  <c r="BJ272" i="24"/>
  <c r="BK272" i="24"/>
  <c r="B273" i="24"/>
  <c r="C273" i="24"/>
  <c r="D273" i="24"/>
  <c r="E273" i="24"/>
  <c r="F273" i="24"/>
  <c r="G273" i="24"/>
  <c r="H273" i="24"/>
  <c r="I273" i="24"/>
  <c r="J273" i="24"/>
  <c r="K273" i="24"/>
  <c r="L273" i="24"/>
  <c r="M273" i="24"/>
  <c r="N273" i="24"/>
  <c r="O273" i="24"/>
  <c r="P273" i="24"/>
  <c r="Q273" i="24"/>
  <c r="R273" i="24"/>
  <c r="S273" i="24"/>
  <c r="T273" i="24"/>
  <c r="U273" i="24"/>
  <c r="V273" i="24"/>
  <c r="W273" i="24"/>
  <c r="X273" i="24"/>
  <c r="Y273" i="24"/>
  <c r="Z273" i="24"/>
  <c r="AA273" i="24"/>
  <c r="AB273" i="24"/>
  <c r="AC273" i="24"/>
  <c r="AD273" i="24"/>
  <c r="AE273" i="24"/>
  <c r="AF273" i="24"/>
  <c r="AG273" i="24"/>
  <c r="AH273" i="24"/>
  <c r="AI273" i="24"/>
  <c r="AJ273" i="24"/>
  <c r="AK273" i="24"/>
  <c r="AL273" i="24"/>
  <c r="AM273" i="24"/>
  <c r="AN273" i="24"/>
  <c r="AO273" i="24"/>
  <c r="AP273" i="24"/>
  <c r="AQ273" i="24"/>
  <c r="AR273" i="24"/>
  <c r="AS273" i="24"/>
  <c r="AT273" i="24"/>
  <c r="AU273" i="24"/>
  <c r="AV273" i="24"/>
  <c r="AW273" i="24"/>
  <c r="AX273" i="24"/>
  <c r="AY273" i="24"/>
  <c r="AZ273" i="24"/>
  <c r="BA273" i="24"/>
  <c r="BB273" i="24"/>
  <c r="BC273" i="24"/>
  <c r="BD273" i="24"/>
  <c r="BE273" i="24"/>
  <c r="BF273" i="24"/>
  <c r="BG273" i="24"/>
  <c r="BH273" i="24"/>
  <c r="BI273" i="24"/>
  <c r="BJ273" i="24"/>
  <c r="BK273" i="24"/>
  <c r="B274" i="24"/>
  <c r="C274" i="24"/>
  <c r="D274" i="24"/>
  <c r="E274" i="24"/>
  <c r="F274" i="24"/>
  <c r="G274" i="24"/>
  <c r="H274" i="24"/>
  <c r="I274" i="24"/>
  <c r="J274" i="24"/>
  <c r="K274" i="24"/>
  <c r="L274" i="24"/>
  <c r="M274" i="24"/>
  <c r="N274" i="24"/>
  <c r="P274" i="24"/>
  <c r="Q274" i="24"/>
  <c r="R274" i="24"/>
  <c r="S274" i="24"/>
  <c r="T274" i="24"/>
  <c r="U274" i="24"/>
  <c r="V274" i="24"/>
  <c r="W274" i="24"/>
  <c r="X274" i="24"/>
  <c r="Y274" i="24"/>
  <c r="Z274" i="24"/>
  <c r="AA274" i="24"/>
  <c r="AB274" i="24"/>
  <c r="AC274" i="24"/>
  <c r="AD274" i="24"/>
  <c r="AE274" i="24"/>
  <c r="AF274" i="24"/>
  <c r="AG274" i="24"/>
  <c r="AH274" i="24"/>
  <c r="AI274" i="24"/>
  <c r="AJ274" i="24"/>
  <c r="AK274" i="24"/>
  <c r="AL274" i="24"/>
  <c r="AM274" i="24"/>
  <c r="AN274" i="24"/>
  <c r="AO274" i="24"/>
  <c r="AP274" i="24"/>
  <c r="AQ274" i="24"/>
  <c r="AR274" i="24"/>
  <c r="AS274" i="24"/>
  <c r="AT274" i="24"/>
  <c r="AU274" i="24"/>
  <c r="AV274" i="24"/>
  <c r="AW274" i="24"/>
  <c r="AX274" i="24"/>
  <c r="AY274" i="24"/>
  <c r="AZ274" i="24"/>
  <c r="BA274" i="24"/>
  <c r="BB274" i="24"/>
  <c r="BC274" i="24"/>
  <c r="BD274" i="24"/>
  <c r="BE274" i="24"/>
  <c r="BF274" i="24"/>
  <c r="BG274" i="24"/>
  <c r="BH274" i="24"/>
  <c r="BI274" i="24"/>
  <c r="BJ274" i="24"/>
  <c r="BK274" i="24"/>
  <c r="B275" i="24"/>
  <c r="C275" i="24"/>
  <c r="D275" i="24"/>
  <c r="E275" i="24"/>
  <c r="F275" i="24"/>
  <c r="G275" i="24"/>
  <c r="H275" i="24"/>
  <c r="I275" i="24"/>
  <c r="J275" i="24"/>
  <c r="K275" i="24"/>
  <c r="L275" i="24"/>
  <c r="M275" i="24"/>
  <c r="N275" i="24"/>
  <c r="O275" i="24"/>
  <c r="P275" i="24"/>
  <c r="Q275" i="24"/>
  <c r="R275" i="24"/>
  <c r="S275" i="24"/>
  <c r="T275" i="24"/>
  <c r="U275" i="24"/>
  <c r="V275" i="24"/>
  <c r="W275" i="24"/>
  <c r="X275" i="24"/>
  <c r="Y275" i="24"/>
  <c r="Z275" i="24"/>
  <c r="AA275" i="24"/>
  <c r="AB275" i="24"/>
  <c r="AC275" i="24"/>
  <c r="AD275" i="24"/>
  <c r="AE275" i="24"/>
  <c r="AF275" i="24"/>
  <c r="AG275" i="24"/>
  <c r="AH275" i="24"/>
  <c r="AI275" i="24"/>
  <c r="AJ275" i="24"/>
  <c r="AK275" i="24"/>
  <c r="AL275" i="24"/>
  <c r="AM275" i="24"/>
  <c r="AN275" i="24"/>
  <c r="AO275" i="24"/>
  <c r="AP275" i="24"/>
  <c r="AQ275" i="24"/>
  <c r="AR275" i="24"/>
  <c r="AS275" i="24"/>
  <c r="AT275" i="24"/>
  <c r="AU275" i="24"/>
  <c r="AV275" i="24"/>
  <c r="AX275" i="24"/>
  <c r="AY275" i="24"/>
  <c r="AZ275" i="24"/>
  <c r="BA275" i="24"/>
  <c r="BB275" i="24"/>
  <c r="BC275" i="24"/>
  <c r="BD275" i="24"/>
  <c r="BE275" i="24"/>
  <c r="BF275" i="24"/>
  <c r="BG275" i="24"/>
  <c r="BH275" i="24"/>
  <c r="BI275" i="24"/>
  <c r="BJ275" i="24"/>
  <c r="BK275" i="24"/>
  <c r="B276" i="24"/>
  <c r="C276" i="24"/>
  <c r="D276" i="24"/>
  <c r="E276" i="24"/>
  <c r="F276" i="24"/>
  <c r="G276" i="24"/>
  <c r="H276" i="24"/>
  <c r="I276" i="24"/>
  <c r="J276" i="24"/>
  <c r="K276" i="24"/>
  <c r="L276" i="24"/>
  <c r="M276" i="24"/>
  <c r="N276" i="24"/>
  <c r="O276" i="24"/>
  <c r="P276" i="24"/>
  <c r="Q276" i="24"/>
  <c r="R276" i="24"/>
  <c r="S276" i="24"/>
  <c r="T276" i="24"/>
  <c r="U276" i="24"/>
  <c r="V276" i="24"/>
  <c r="W276" i="24"/>
  <c r="X276" i="24"/>
  <c r="Y276" i="24"/>
  <c r="Z276" i="24"/>
  <c r="AA276" i="24"/>
  <c r="AB276" i="24"/>
  <c r="AC276" i="24"/>
  <c r="AD276" i="24"/>
  <c r="AE276" i="24"/>
  <c r="AF276" i="24"/>
  <c r="AG276" i="24"/>
  <c r="AH276" i="24"/>
  <c r="AI276" i="24"/>
  <c r="AJ276" i="24"/>
  <c r="AK276" i="24"/>
  <c r="AL276" i="24"/>
  <c r="AM276" i="24"/>
  <c r="AN276" i="24"/>
  <c r="AO276" i="24"/>
  <c r="AP276" i="24"/>
  <c r="AQ276" i="24"/>
  <c r="AR276" i="24"/>
  <c r="AS276" i="24"/>
  <c r="AT276" i="24"/>
  <c r="AU276" i="24"/>
  <c r="AV276" i="24"/>
  <c r="AW276" i="24"/>
  <c r="AX276" i="24"/>
  <c r="AY276" i="24"/>
  <c r="AZ276" i="24"/>
  <c r="BA276" i="24"/>
  <c r="BB276" i="24"/>
  <c r="BC276" i="24"/>
  <c r="BD276" i="24"/>
  <c r="BE276" i="24"/>
  <c r="BF276" i="24"/>
  <c r="BG276" i="24"/>
  <c r="BH276" i="24"/>
  <c r="BI276" i="24"/>
  <c r="BJ276" i="24"/>
  <c r="BK276" i="24"/>
  <c r="B277" i="24"/>
  <c r="C277" i="24"/>
  <c r="D277" i="24"/>
  <c r="E277" i="24"/>
  <c r="F277" i="24"/>
  <c r="G277" i="24"/>
  <c r="H277" i="24"/>
  <c r="I277" i="24"/>
  <c r="J277" i="24"/>
  <c r="K277" i="24"/>
  <c r="L277" i="24"/>
  <c r="M277" i="24"/>
  <c r="N277" i="24"/>
  <c r="O277" i="24"/>
  <c r="P277" i="24"/>
  <c r="Q277" i="24"/>
  <c r="R277" i="24"/>
  <c r="S277" i="24"/>
  <c r="T277" i="24"/>
  <c r="U277" i="24"/>
  <c r="V277" i="24"/>
  <c r="W277" i="24"/>
  <c r="X277" i="24"/>
  <c r="Y277" i="24"/>
  <c r="Z277" i="24"/>
  <c r="AA277" i="24"/>
  <c r="AB277" i="24"/>
  <c r="AC277" i="24"/>
  <c r="AD277" i="24"/>
  <c r="AE277" i="24"/>
  <c r="AF277" i="24"/>
  <c r="AG277" i="24"/>
  <c r="AH277" i="24"/>
  <c r="AI277" i="24"/>
  <c r="AJ277" i="24"/>
  <c r="AK277" i="24"/>
  <c r="AL277" i="24"/>
  <c r="AM277" i="24"/>
  <c r="AN277" i="24"/>
  <c r="AO277" i="24"/>
  <c r="AP277" i="24"/>
  <c r="AQ277" i="24"/>
  <c r="AR277" i="24"/>
  <c r="AS277" i="24"/>
  <c r="AT277" i="24"/>
  <c r="AU277" i="24"/>
  <c r="AV277" i="24"/>
  <c r="AW277" i="24"/>
  <c r="AX277" i="24"/>
  <c r="AY277" i="24"/>
  <c r="AZ277" i="24"/>
  <c r="BA277" i="24"/>
  <c r="BB277" i="24"/>
  <c r="BC277" i="24"/>
  <c r="BD277" i="24"/>
  <c r="BE277" i="24"/>
  <c r="BF277" i="24"/>
  <c r="BG277" i="24"/>
  <c r="BH277" i="24"/>
  <c r="BI277" i="24"/>
  <c r="BJ277" i="24"/>
  <c r="BK277" i="24"/>
  <c r="B278" i="24"/>
  <c r="C278" i="24"/>
  <c r="D278" i="24"/>
  <c r="E278" i="24"/>
  <c r="F278" i="24"/>
  <c r="G278" i="24"/>
  <c r="H278" i="24"/>
  <c r="I278" i="24"/>
  <c r="J278" i="24"/>
  <c r="K278" i="24"/>
  <c r="L278" i="24"/>
  <c r="M278" i="24"/>
  <c r="N278" i="24"/>
  <c r="P278" i="24"/>
  <c r="Q278" i="24"/>
  <c r="R278" i="24"/>
  <c r="S278" i="24"/>
  <c r="T278" i="24"/>
  <c r="U278" i="24"/>
  <c r="V278" i="24"/>
  <c r="W278" i="24"/>
  <c r="X278" i="24"/>
  <c r="Y278" i="24"/>
  <c r="Z278" i="24"/>
  <c r="AA278" i="24"/>
  <c r="AB278" i="24"/>
  <c r="AC278" i="24"/>
  <c r="AD278" i="24"/>
  <c r="AE278" i="24"/>
  <c r="AF278" i="24"/>
  <c r="AG278" i="24"/>
  <c r="AH278" i="24"/>
  <c r="AI278" i="24"/>
  <c r="AJ278" i="24"/>
  <c r="AK278" i="24"/>
  <c r="AL278" i="24"/>
  <c r="AM278" i="24"/>
  <c r="AN278" i="24"/>
  <c r="AO278" i="24"/>
  <c r="AP278" i="24"/>
  <c r="AQ278" i="24"/>
  <c r="AR278" i="24"/>
  <c r="AS278" i="24"/>
  <c r="AT278" i="24"/>
  <c r="AV278" i="24"/>
  <c r="AW278" i="24"/>
  <c r="AX278" i="24"/>
  <c r="AY278" i="24"/>
  <c r="AZ278" i="24"/>
  <c r="BA278" i="24"/>
  <c r="BB278" i="24"/>
  <c r="BC278" i="24"/>
  <c r="BD278" i="24"/>
  <c r="BE278" i="24"/>
  <c r="BF278" i="24"/>
  <c r="BG278" i="24"/>
  <c r="BH278" i="24"/>
  <c r="BI278" i="24"/>
  <c r="BJ278" i="24"/>
  <c r="BK278" i="24"/>
  <c r="B279" i="24"/>
  <c r="C279" i="24"/>
  <c r="D279" i="24"/>
  <c r="E279" i="24"/>
  <c r="F279" i="24"/>
  <c r="G279" i="24"/>
  <c r="H279" i="24"/>
  <c r="I279" i="24"/>
  <c r="J279" i="24"/>
  <c r="K279" i="24"/>
  <c r="L279" i="24"/>
  <c r="M279" i="24"/>
  <c r="N279" i="24"/>
  <c r="O279" i="24"/>
  <c r="P279" i="24"/>
  <c r="Q279" i="24"/>
  <c r="R279" i="24"/>
  <c r="S279" i="24"/>
  <c r="T279" i="24"/>
  <c r="U279" i="24"/>
  <c r="V279" i="24"/>
  <c r="W279" i="24"/>
  <c r="X279" i="24"/>
  <c r="Y279" i="24"/>
  <c r="Z279" i="24"/>
  <c r="AA279" i="24"/>
  <c r="AB279" i="24"/>
  <c r="AC279" i="24"/>
  <c r="AD279" i="24"/>
  <c r="AE279" i="24"/>
  <c r="AF279" i="24"/>
  <c r="AG279" i="24"/>
  <c r="AH279" i="24"/>
  <c r="AI279" i="24"/>
  <c r="AJ279" i="24"/>
  <c r="AK279" i="24"/>
  <c r="AL279" i="24"/>
  <c r="AM279" i="24"/>
  <c r="AN279" i="24"/>
  <c r="AO279" i="24"/>
  <c r="AP279" i="24"/>
  <c r="AQ279" i="24"/>
  <c r="AR279" i="24"/>
  <c r="AS279" i="24"/>
  <c r="AT279" i="24"/>
  <c r="AU279" i="24"/>
  <c r="AV279" i="24"/>
  <c r="AW279" i="24"/>
  <c r="AX279" i="24"/>
  <c r="AY279" i="24"/>
  <c r="AZ279" i="24"/>
  <c r="BA279" i="24"/>
  <c r="BB279" i="24"/>
  <c r="BC279" i="24"/>
  <c r="BD279" i="24"/>
  <c r="BE279" i="24"/>
  <c r="BF279" i="24"/>
  <c r="BG279" i="24"/>
  <c r="BH279" i="24"/>
  <c r="BI279" i="24"/>
  <c r="BJ279" i="24"/>
  <c r="BK279" i="24"/>
  <c r="B280" i="24"/>
  <c r="C280" i="24"/>
  <c r="D280" i="24"/>
  <c r="E280" i="24"/>
  <c r="F280" i="24"/>
  <c r="G280" i="24"/>
  <c r="H280" i="24"/>
  <c r="I280" i="24"/>
  <c r="J280" i="24"/>
  <c r="K280" i="24"/>
  <c r="L280" i="24"/>
  <c r="M280" i="24"/>
  <c r="N280" i="24"/>
  <c r="O280" i="24"/>
  <c r="P280" i="24"/>
  <c r="Q280" i="24"/>
  <c r="R280" i="24"/>
  <c r="S280" i="24"/>
  <c r="T280" i="24"/>
  <c r="U280" i="24"/>
  <c r="V280" i="24"/>
  <c r="W280" i="24"/>
  <c r="X280" i="24"/>
  <c r="Y280" i="24"/>
  <c r="Z280" i="24"/>
  <c r="AA280" i="24"/>
  <c r="AB280" i="24"/>
  <c r="AC280" i="24"/>
  <c r="AD280" i="24"/>
  <c r="AE280" i="24"/>
  <c r="AF280" i="24"/>
  <c r="AG280" i="24"/>
  <c r="AH280" i="24"/>
  <c r="AI280" i="24"/>
  <c r="AJ280" i="24"/>
  <c r="AK280" i="24"/>
  <c r="AL280" i="24"/>
  <c r="AM280" i="24"/>
  <c r="AN280" i="24"/>
  <c r="AO280" i="24"/>
  <c r="AP280" i="24"/>
  <c r="AQ280" i="24"/>
  <c r="AR280" i="24"/>
  <c r="AS280" i="24"/>
  <c r="AT280" i="24"/>
  <c r="AU280" i="24"/>
  <c r="AV280" i="24"/>
  <c r="AW280" i="24"/>
  <c r="AX280" i="24"/>
  <c r="AY280" i="24"/>
  <c r="AZ280" i="24"/>
  <c r="BA280" i="24"/>
  <c r="BB280" i="24"/>
  <c r="BC280" i="24"/>
  <c r="BD280" i="24"/>
  <c r="BE280" i="24"/>
  <c r="BF280" i="24"/>
  <c r="BG280" i="24"/>
  <c r="BH280" i="24"/>
  <c r="BI280" i="24"/>
  <c r="BJ280" i="24"/>
  <c r="BK280" i="24"/>
  <c r="B281" i="24"/>
  <c r="C281" i="24"/>
  <c r="D281" i="24"/>
  <c r="E281" i="24"/>
  <c r="F281" i="24"/>
  <c r="G281" i="24"/>
  <c r="H281" i="24"/>
  <c r="I281" i="24"/>
  <c r="J281" i="24"/>
  <c r="K281" i="24"/>
  <c r="L281" i="24"/>
  <c r="M281" i="24"/>
  <c r="N281" i="24"/>
  <c r="O281" i="24"/>
  <c r="P281" i="24"/>
  <c r="Q281" i="24"/>
  <c r="R281" i="24"/>
  <c r="S281" i="24"/>
  <c r="T281" i="24"/>
  <c r="U281" i="24"/>
  <c r="V281" i="24"/>
  <c r="W281" i="24"/>
  <c r="X281" i="24"/>
  <c r="Y281" i="24"/>
  <c r="Z281" i="24"/>
  <c r="AA281" i="24"/>
  <c r="AB281" i="24"/>
  <c r="AC281" i="24"/>
  <c r="AD281" i="24"/>
  <c r="AE281" i="24"/>
  <c r="AF281" i="24"/>
  <c r="AG281" i="24"/>
  <c r="AH281" i="24"/>
  <c r="AI281" i="24"/>
  <c r="AJ281" i="24"/>
  <c r="AK281" i="24"/>
  <c r="AL281" i="24"/>
  <c r="AM281" i="24"/>
  <c r="AN281" i="24"/>
  <c r="AO281" i="24"/>
  <c r="AP281" i="24"/>
  <c r="AQ281" i="24"/>
  <c r="AR281" i="24"/>
  <c r="AS281" i="24"/>
  <c r="AT281" i="24"/>
  <c r="AU281" i="24"/>
  <c r="AV281" i="24"/>
  <c r="AW281" i="24"/>
  <c r="AX281" i="24"/>
  <c r="AY281" i="24"/>
  <c r="AZ281" i="24"/>
  <c r="BA281" i="24"/>
  <c r="BB281" i="24"/>
  <c r="BC281" i="24"/>
  <c r="BD281" i="24"/>
  <c r="BE281" i="24"/>
  <c r="BF281" i="24"/>
  <c r="BG281" i="24"/>
  <c r="BH281" i="24"/>
  <c r="BI281" i="24"/>
  <c r="BJ281" i="24"/>
  <c r="BK281" i="24"/>
  <c r="B282" i="24"/>
  <c r="C282" i="24"/>
  <c r="D282" i="24"/>
  <c r="E282" i="24"/>
  <c r="F282" i="24"/>
  <c r="G282" i="24"/>
  <c r="H282" i="24"/>
  <c r="I282" i="24"/>
  <c r="J282" i="24"/>
  <c r="K282" i="24"/>
  <c r="L282" i="24"/>
  <c r="M282" i="24"/>
  <c r="N282" i="24"/>
  <c r="O282" i="24"/>
  <c r="P282" i="24"/>
  <c r="Q282" i="24"/>
  <c r="R282" i="24"/>
  <c r="S282" i="24"/>
  <c r="T282" i="24"/>
  <c r="U282" i="24"/>
  <c r="V282" i="24"/>
  <c r="W282" i="24"/>
  <c r="X282" i="24"/>
  <c r="Y282" i="24"/>
  <c r="Z282" i="24"/>
  <c r="AA282" i="24"/>
  <c r="AB282" i="24"/>
  <c r="AC282" i="24"/>
  <c r="AD282" i="24"/>
  <c r="AE282" i="24"/>
  <c r="AF282" i="24"/>
  <c r="AG282" i="24"/>
  <c r="AH282" i="24"/>
  <c r="AI282" i="24"/>
  <c r="AJ282" i="24"/>
  <c r="AK282" i="24"/>
  <c r="AL282" i="24"/>
  <c r="AM282" i="24"/>
  <c r="AN282" i="24"/>
  <c r="AO282" i="24"/>
  <c r="AP282" i="24"/>
  <c r="AQ282" i="24"/>
  <c r="AR282" i="24"/>
  <c r="AS282" i="24"/>
  <c r="AT282" i="24"/>
  <c r="AU282" i="24"/>
  <c r="AV282" i="24"/>
  <c r="AW282" i="24"/>
  <c r="AX282" i="24"/>
  <c r="AY282" i="24"/>
  <c r="AZ282" i="24"/>
  <c r="BA282" i="24"/>
  <c r="BB282" i="24"/>
  <c r="BC282" i="24"/>
  <c r="BD282" i="24"/>
  <c r="BE282" i="24"/>
  <c r="BF282" i="24"/>
  <c r="BG282" i="24"/>
  <c r="BH282" i="24"/>
  <c r="BI282" i="24"/>
  <c r="BJ282" i="24"/>
  <c r="BK282" i="24"/>
  <c r="B283" i="24"/>
  <c r="C283" i="24"/>
  <c r="D283" i="24"/>
  <c r="E283" i="24"/>
  <c r="F283" i="24"/>
  <c r="G283" i="24"/>
  <c r="H283" i="24"/>
  <c r="I283" i="24"/>
  <c r="J283" i="24"/>
  <c r="K283" i="24"/>
  <c r="L283" i="24"/>
  <c r="M283" i="24"/>
  <c r="N283" i="24"/>
  <c r="O283" i="24"/>
  <c r="P283" i="24"/>
  <c r="Q283" i="24"/>
  <c r="R283" i="24"/>
  <c r="S283" i="24"/>
  <c r="T283" i="24"/>
  <c r="U283" i="24"/>
  <c r="V283" i="24"/>
  <c r="W283" i="24"/>
  <c r="X283" i="24"/>
  <c r="Y283" i="24"/>
  <c r="Z283" i="24"/>
  <c r="AA283" i="24"/>
  <c r="AB283" i="24"/>
  <c r="AC283" i="24"/>
  <c r="AD283" i="24"/>
  <c r="AE283" i="24"/>
  <c r="AF283" i="24"/>
  <c r="AG283" i="24"/>
  <c r="AH283" i="24"/>
  <c r="AI283" i="24"/>
  <c r="AJ283" i="24"/>
  <c r="AK283" i="24"/>
  <c r="AL283" i="24"/>
  <c r="AM283" i="24"/>
  <c r="AN283" i="24"/>
  <c r="AO283" i="24"/>
  <c r="AP283" i="24"/>
  <c r="AQ283" i="24"/>
  <c r="AR283" i="24"/>
  <c r="AS283" i="24"/>
  <c r="AT283" i="24"/>
  <c r="AU283" i="24"/>
  <c r="AV283" i="24"/>
  <c r="AW283" i="24"/>
  <c r="AX283" i="24"/>
  <c r="AY283" i="24"/>
  <c r="AZ283" i="24"/>
  <c r="BA283" i="24"/>
  <c r="BB283" i="24"/>
  <c r="BC283" i="24"/>
  <c r="BD283" i="24"/>
  <c r="BE283" i="24"/>
  <c r="BF283" i="24"/>
  <c r="BG283" i="24"/>
  <c r="BH283" i="24"/>
  <c r="BI283" i="24"/>
  <c r="BJ283" i="24"/>
  <c r="BK283" i="24"/>
  <c r="B284" i="24"/>
  <c r="C284" i="24"/>
  <c r="D284" i="24"/>
  <c r="E284" i="24"/>
  <c r="F284" i="24"/>
  <c r="G284" i="24"/>
  <c r="H284" i="24"/>
  <c r="I284" i="24"/>
  <c r="J284" i="24"/>
  <c r="K284" i="24"/>
  <c r="L284" i="24"/>
  <c r="M284" i="24"/>
  <c r="N284" i="24"/>
  <c r="O284" i="24"/>
  <c r="P284" i="24"/>
  <c r="Q284" i="24"/>
  <c r="R284" i="24"/>
  <c r="S284" i="24"/>
  <c r="T284" i="24"/>
  <c r="U284" i="24"/>
  <c r="V284" i="24"/>
  <c r="W284" i="24"/>
  <c r="X284" i="24"/>
  <c r="Y284" i="24"/>
  <c r="Z284" i="24"/>
  <c r="AA284" i="24"/>
  <c r="AB284" i="24"/>
  <c r="AC284" i="24"/>
  <c r="AD284" i="24"/>
  <c r="AE284" i="24"/>
  <c r="AF284" i="24"/>
  <c r="AG284" i="24"/>
  <c r="AH284" i="24"/>
  <c r="AI284" i="24"/>
  <c r="AJ284" i="24"/>
  <c r="AK284" i="24"/>
  <c r="AL284" i="24"/>
  <c r="AM284" i="24"/>
  <c r="AN284" i="24"/>
  <c r="AO284" i="24"/>
  <c r="AP284" i="24"/>
  <c r="AQ284" i="24"/>
  <c r="AR284" i="24"/>
  <c r="AS284" i="24"/>
  <c r="AT284" i="24"/>
  <c r="AU284" i="24"/>
  <c r="AV284" i="24"/>
  <c r="AW284" i="24"/>
  <c r="AX284" i="24"/>
  <c r="AY284" i="24"/>
  <c r="AZ284" i="24"/>
  <c r="BA284" i="24"/>
  <c r="BB284" i="24"/>
  <c r="BC284" i="24"/>
  <c r="BD284" i="24"/>
  <c r="BE284" i="24"/>
  <c r="BF284" i="24"/>
  <c r="BG284" i="24"/>
  <c r="BH284" i="24"/>
  <c r="BI284" i="24"/>
  <c r="BJ284" i="24"/>
  <c r="BK284" i="24"/>
  <c r="B285" i="24"/>
  <c r="C285" i="24"/>
  <c r="D285" i="24"/>
  <c r="E285" i="24"/>
  <c r="F285" i="24"/>
  <c r="G285" i="24"/>
  <c r="H285" i="24"/>
  <c r="I285" i="24"/>
  <c r="J285" i="24"/>
  <c r="K285" i="24"/>
  <c r="L285" i="24"/>
  <c r="M285" i="24"/>
  <c r="N285" i="24"/>
  <c r="O285" i="24"/>
  <c r="P285" i="24"/>
  <c r="Q285" i="24"/>
  <c r="R285" i="24"/>
  <c r="S285" i="24"/>
  <c r="T285" i="24"/>
  <c r="U285" i="24"/>
  <c r="V285" i="24"/>
  <c r="W285" i="24"/>
  <c r="X285" i="24"/>
  <c r="Y285" i="24"/>
  <c r="Z285" i="24"/>
  <c r="AA285" i="24"/>
  <c r="AB285" i="24"/>
  <c r="AC285" i="24"/>
  <c r="AD285" i="24"/>
  <c r="AE285" i="24"/>
  <c r="AF285" i="24"/>
  <c r="AG285" i="24"/>
  <c r="AH285" i="24"/>
  <c r="AI285" i="24"/>
  <c r="AJ285" i="24"/>
  <c r="AK285" i="24"/>
  <c r="AL285" i="24"/>
  <c r="AM285" i="24"/>
  <c r="AN285" i="24"/>
  <c r="AO285" i="24"/>
  <c r="AP285" i="24"/>
  <c r="AQ285" i="24"/>
  <c r="AR285" i="24"/>
  <c r="AS285" i="24"/>
  <c r="AT285" i="24"/>
  <c r="AU285" i="24"/>
  <c r="AV285" i="24"/>
  <c r="AW285" i="24"/>
  <c r="AX285" i="24"/>
  <c r="AY285" i="24"/>
  <c r="AZ285" i="24"/>
  <c r="BA285" i="24"/>
  <c r="BB285" i="24"/>
  <c r="BC285" i="24"/>
  <c r="BD285" i="24"/>
  <c r="BE285" i="24"/>
  <c r="BF285" i="24"/>
  <c r="BG285" i="24"/>
  <c r="BH285" i="24"/>
  <c r="BI285" i="24"/>
  <c r="BJ285" i="24"/>
  <c r="BK285" i="24"/>
  <c r="B286" i="24"/>
  <c r="C286" i="24"/>
  <c r="D286" i="24"/>
  <c r="E286" i="24"/>
  <c r="F286" i="24"/>
  <c r="G286" i="24"/>
  <c r="H286" i="24"/>
  <c r="I286" i="24"/>
  <c r="J286" i="24"/>
  <c r="K286" i="24"/>
  <c r="L286" i="24"/>
  <c r="M286" i="24"/>
  <c r="N286" i="24"/>
  <c r="O286" i="24"/>
  <c r="Q286" i="24"/>
  <c r="R286" i="24"/>
  <c r="S286" i="24"/>
  <c r="T286" i="24"/>
  <c r="U286" i="24"/>
  <c r="V286" i="24"/>
  <c r="W286" i="24"/>
  <c r="X286" i="24"/>
  <c r="Y286" i="24"/>
  <c r="Z286" i="24"/>
  <c r="AA286" i="24"/>
  <c r="AB286" i="24"/>
  <c r="AC286" i="24"/>
  <c r="AD286" i="24"/>
  <c r="AE286" i="24"/>
  <c r="AF286" i="24"/>
  <c r="AG286" i="24"/>
  <c r="AH286" i="24"/>
  <c r="AI286" i="24"/>
  <c r="AJ286" i="24"/>
  <c r="AK286" i="24"/>
  <c r="AL286" i="24"/>
  <c r="AM286" i="24"/>
  <c r="AN286" i="24"/>
  <c r="AO286" i="24"/>
  <c r="AP286" i="24"/>
  <c r="AQ286" i="24"/>
  <c r="AR286" i="24"/>
  <c r="AS286" i="24"/>
  <c r="AT286" i="24"/>
  <c r="AU286" i="24"/>
  <c r="AV286" i="24"/>
  <c r="AW286" i="24"/>
  <c r="AX286" i="24"/>
  <c r="AY286" i="24"/>
  <c r="AZ286" i="24"/>
  <c r="BA286" i="24"/>
  <c r="BB286" i="24"/>
  <c r="BC286" i="24"/>
  <c r="BD286" i="24"/>
  <c r="BE286" i="24"/>
  <c r="BF286" i="24"/>
  <c r="BG286" i="24"/>
  <c r="BH286" i="24"/>
  <c r="BI286" i="24"/>
  <c r="BJ286" i="24"/>
  <c r="BK286" i="24"/>
  <c r="B287" i="24"/>
  <c r="C287" i="24"/>
  <c r="D287" i="24"/>
  <c r="E287" i="24"/>
  <c r="F287" i="24"/>
  <c r="G287" i="24"/>
  <c r="H287" i="24"/>
  <c r="I287" i="24"/>
  <c r="J287" i="24"/>
  <c r="K287" i="24"/>
  <c r="L287" i="24"/>
  <c r="M287" i="24"/>
  <c r="N287" i="24"/>
  <c r="O287" i="24"/>
  <c r="P287" i="24"/>
  <c r="Q287" i="24"/>
  <c r="R287" i="24"/>
  <c r="S287" i="24"/>
  <c r="T287" i="24"/>
  <c r="U287" i="24"/>
  <c r="V287" i="24"/>
  <c r="W287" i="24"/>
  <c r="X287" i="24"/>
  <c r="Y287" i="24"/>
  <c r="Z287" i="24"/>
  <c r="AA287" i="24"/>
  <c r="AB287" i="24"/>
  <c r="AC287" i="24"/>
  <c r="AD287" i="24"/>
  <c r="AE287" i="24"/>
  <c r="AF287" i="24"/>
  <c r="AG287" i="24"/>
  <c r="AH287" i="24"/>
  <c r="AI287" i="24"/>
  <c r="AJ287" i="24"/>
  <c r="AK287" i="24"/>
  <c r="AL287" i="24"/>
  <c r="AM287" i="24"/>
  <c r="AN287" i="24"/>
  <c r="AO287" i="24"/>
  <c r="AP287" i="24"/>
  <c r="AQ287" i="24"/>
  <c r="AR287" i="24"/>
  <c r="AS287" i="24"/>
  <c r="AT287" i="24"/>
  <c r="AU287" i="24"/>
  <c r="AV287" i="24"/>
  <c r="AW287" i="24"/>
  <c r="AX287" i="24"/>
  <c r="AY287" i="24"/>
  <c r="AZ287" i="24"/>
  <c r="BA287" i="24"/>
  <c r="BB287" i="24"/>
  <c r="BC287" i="24"/>
  <c r="BD287" i="24"/>
  <c r="BE287" i="24"/>
  <c r="BF287" i="24"/>
  <c r="BG287" i="24"/>
  <c r="BH287" i="24"/>
  <c r="BI287" i="24"/>
  <c r="BJ287" i="24"/>
  <c r="BK287" i="24"/>
  <c r="B288" i="24"/>
  <c r="C288" i="24"/>
  <c r="D288" i="24"/>
  <c r="E288" i="24"/>
  <c r="F288" i="24"/>
  <c r="G288" i="24"/>
  <c r="H288" i="24"/>
  <c r="I288" i="24"/>
  <c r="J288" i="24"/>
  <c r="K288" i="24"/>
  <c r="L288" i="24"/>
  <c r="M288" i="24"/>
  <c r="N288" i="24"/>
  <c r="O288" i="24"/>
  <c r="P288" i="24"/>
  <c r="Q288" i="24"/>
  <c r="R288" i="24"/>
  <c r="S288" i="24"/>
  <c r="T288" i="24"/>
  <c r="U288" i="24"/>
  <c r="V288" i="24"/>
  <c r="W288" i="24"/>
  <c r="X288" i="24"/>
  <c r="Y288" i="24"/>
  <c r="Z288" i="24"/>
  <c r="AA288" i="24"/>
  <c r="AB288" i="24"/>
  <c r="AC288" i="24"/>
  <c r="AD288" i="24"/>
  <c r="AE288" i="24"/>
  <c r="AF288" i="24"/>
  <c r="AG288" i="24"/>
  <c r="AH288" i="24"/>
  <c r="AI288" i="24"/>
  <c r="AJ288" i="24"/>
  <c r="AK288" i="24"/>
  <c r="AL288" i="24"/>
  <c r="AM288" i="24"/>
  <c r="AN288" i="24"/>
  <c r="AO288" i="24"/>
  <c r="AP288" i="24"/>
  <c r="AQ288" i="24"/>
  <c r="AR288" i="24"/>
  <c r="AS288" i="24"/>
  <c r="AT288" i="24"/>
  <c r="AU288" i="24"/>
  <c r="AV288" i="24"/>
  <c r="AW288" i="24"/>
  <c r="AX288" i="24"/>
  <c r="AY288" i="24"/>
  <c r="AZ288" i="24"/>
  <c r="BA288" i="24"/>
  <c r="BB288" i="24"/>
  <c r="BC288" i="24"/>
  <c r="BD288" i="24"/>
  <c r="BE288" i="24"/>
  <c r="BF288" i="24"/>
  <c r="BG288" i="24"/>
  <c r="BH288" i="24"/>
  <c r="BI288" i="24"/>
  <c r="BJ288" i="24"/>
  <c r="BK288" i="24"/>
  <c r="B289" i="24"/>
  <c r="C289" i="24"/>
  <c r="D289" i="24"/>
  <c r="E289" i="24"/>
  <c r="F289" i="24"/>
  <c r="G289" i="24"/>
  <c r="H289" i="24"/>
  <c r="I289" i="24"/>
  <c r="J289" i="24"/>
  <c r="K289" i="24"/>
  <c r="L289" i="24"/>
  <c r="M289" i="24"/>
  <c r="N289" i="24"/>
  <c r="O289" i="24"/>
  <c r="P289" i="24"/>
  <c r="Q289" i="24"/>
  <c r="R289" i="24"/>
  <c r="S289" i="24"/>
  <c r="T289" i="24"/>
  <c r="U289" i="24"/>
  <c r="V289" i="24"/>
  <c r="W289" i="24"/>
  <c r="X289" i="24"/>
  <c r="Y289" i="24"/>
  <c r="Z289" i="24"/>
  <c r="AA289" i="24"/>
  <c r="AB289" i="24"/>
  <c r="AC289" i="24"/>
  <c r="AD289" i="24"/>
  <c r="AF289" i="24"/>
  <c r="AG289" i="24"/>
  <c r="AH289" i="24"/>
  <c r="AI289" i="24"/>
  <c r="AJ289" i="24"/>
  <c r="AK289" i="24"/>
  <c r="AL289" i="24"/>
  <c r="AM289" i="24"/>
  <c r="AN289" i="24"/>
  <c r="AO289" i="24"/>
  <c r="AP289" i="24"/>
  <c r="AQ289" i="24"/>
  <c r="AR289" i="24"/>
  <c r="AS289" i="24"/>
  <c r="AT289" i="24"/>
  <c r="AU289" i="24"/>
  <c r="AV289" i="24"/>
  <c r="AW289" i="24"/>
  <c r="AX289" i="24"/>
  <c r="AY289" i="24"/>
  <c r="AZ289" i="24"/>
  <c r="BA289" i="24"/>
  <c r="BB289" i="24"/>
  <c r="BC289" i="24"/>
  <c r="BD289" i="24"/>
  <c r="BE289" i="24"/>
  <c r="BF289" i="24"/>
  <c r="BG289" i="24"/>
  <c r="BH289" i="24"/>
  <c r="BI289" i="24"/>
  <c r="BJ289" i="24"/>
  <c r="BK289" i="24"/>
  <c r="B290" i="24"/>
  <c r="C290" i="24"/>
  <c r="D290" i="24"/>
  <c r="E290" i="24"/>
  <c r="F290" i="24"/>
  <c r="G290" i="24"/>
  <c r="H290" i="24"/>
  <c r="I290" i="24"/>
  <c r="J290" i="24"/>
  <c r="K290" i="24"/>
  <c r="L290" i="24"/>
  <c r="M290" i="24"/>
  <c r="N290" i="24"/>
  <c r="O290" i="24"/>
  <c r="P290" i="24"/>
  <c r="Q290" i="24"/>
  <c r="R290" i="24"/>
  <c r="S290" i="24"/>
  <c r="T290" i="24"/>
  <c r="U290" i="24"/>
  <c r="V290" i="24"/>
  <c r="W290" i="24"/>
  <c r="X290" i="24"/>
  <c r="Y290" i="24"/>
  <c r="Z290" i="24"/>
  <c r="AA290" i="24"/>
  <c r="AB290" i="24"/>
  <c r="AC290" i="24"/>
  <c r="AD290" i="24"/>
  <c r="AE290" i="24"/>
  <c r="AF290" i="24"/>
  <c r="AG290" i="24"/>
  <c r="AH290" i="24"/>
  <c r="AI290" i="24"/>
  <c r="AJ290" i="24"/>
  <c r="AK290" i="24"/>
  <c r="AL290" i="24"/>
  <c r="AM290" i="24"/>
  <c r="AN290" i="24"/>
  <c r="AO290" i="24"/>
  <c r="AP290" i="24"/>
  <c r="AQ290" i="24"/>
  <c r="AR290" i="24"/>
  <c r="AS290" i="24"/>
  <c r="AT290" i="24"/>
  <c r="AU290" i="24"/>
  <c r="AW290" i="24"/>
  <c r="AX290" i="24"/>
  <c r="AY290" i="24"/>
  <c r="AZ290" i="24"/>
  <c r="BA290" i="24"/>
  <c r="BB290" i="24"/>
  <c r="BC290" i="24"/>
  <c r="BD290" i="24"/>
  <c r="BE290" i="24"/>
  <c r="BF290" i="24"/>
  <c r="BG290" i="24"/>
  <c r="BH290" i="24"/>
  <c r="BI290" i="24"/>
  <c r="BJ290" i="24"/>
  <c r="BK290" i="24"/>
  <c r="B291" i="24"/>
  <c r="C291" i="24"/>
  <c r="D291" i="24"/>
  <c r="E291" i="24"/>
  <c r="F291" i="24"/>
  <c r="G291" i="24"/>
  <c r="H291" i="24"/>
  <c r="I291" i="24"/>
  <c r="J291" i="24"/>
  <c r="K291" i="24"/>
  <c r="L291" i="24"/>
  <c r="M291" i="24"/>
  <c r="N291" i="24"/>
  <c r="O291" i="24"/>
  <c r="P291" i="24"/>
  <c r="Q291" i="24"/>
  <c r="R291" i="24"/>
  <c r="S291" i="24"/>
  <c r="T291" i="24"/>
  <c r="U291" i="24"/>
  <c r="V291" i="24"/>
  <c r="W291" i="24"/>
  <c r="X291" i="24"/>
  <c r="Y291" i="24"/>
  <c r="Z291" i="24"/>
  <c r="AA291" i="24"/>
  <c r="AB291" i="24"/>
  <c r="AC291" i="24"/>
  <c r="AD291" i="24"/>
  <c r="AE291" i="24"/>
  <c r="AF291" i="24"/>
  <c r="AG291" i="24"/>
  <c r="AH291" i="24"/>
  <c r="AI291" i="24"/>
  <c r="AJ291" i="24"/>
  <c r="AK291" i="24"/>
  <c r="AL291" i="24"/>
  <c r="AM291" i="24"/>
  <c r="AN291" i="24"/>
  <c r="AO291" i="24"/>
  <c r="AP291" i="24"/>
  <c r="AQ291" i="24"/>
  <c r="AR291" i="24"/>
  <c r="AS291" i="24"/>
  <c r="AT291" i="24"/>
  <c r="AU291" i="24"/>
  <c r="AV291" i="24"/>
  <c r="AW291" i="24"/>
  <c r="AX291" i="24"/>
  <c r="AY291" i="24"/>
  <c r="AZ291" i="24"/>
  <c r="BA291" i="24"/>
  <c r="BB291" i="24"/>
  <c r="BC291" i="24"/>
  <c r="BD291" i="24"/>
  <c r="BE291" i="24"/>
  <c r="BF291" i="24"/>
  <c r="BG291" i="24"/>
  <c r="BH291" i="24"/>
  <c r="BI291" i="24"/>
  <c r="BJ291" i="24"/>
  <c r="BK291" i="24"/>
  <c r="B292" i="24"/>
  <c r="C292" i="24"/>
  <c r="D292" i="24"/>
  <c r="E292" i="24"/>
  <c r="F292" i="24"/>
  <c r="G292" i="24"/>
  <c r="H292" i="24"/>
  <c r="I292" i="24"/>
  <c r="J292" i="24"/>
  <c r="K292" i="24"/>
  <c r="L292" i="24"/>
  <c r="M292" i="24"/>
  <c r="N292" i="24"/>
  <c r="O292" i="24"/>
  <c r="P292" i="24"/>
  <c r="Q292" i="24"/>
  <c r="R292" i="24"/>
  <c r="S292" i="24"/>
  <c r="T292" i="24"/>
  <c r="U292" i="24"/>
  <c r="V292" i="24"/>
  <c r="W292" i="24"/>
  <c r="X292" i="24"/>
  <c r="Y292" i="24"/>
  <c r="Z292" i="24"/>
  <c r="AA292" i="24"/>
  <c r="AB292" i="24"/>
  <c r="AC292" i="24"/>
  <c r="AD292" i="24"/>
  <c r="AE292" i="24"/>
  <c r="AF292" i="24"/>
  <c r="AG292" i="24"/>
  <c r="AH292" i="24"/>
  <c r="AI292" i="24"/>
  <c r="AJ292" i="24"/>
  <c r="AK292" i="24"/>
  <c r="AL292" i="24"/>
  <c r="AM292" i="24"/>
  <c r="AN292" i="24"/>
  <c r="AO292" i="24"/>
  <c r="AP292" i="24"/>
  <c r="AQ292" i="24"/>
  <c r="AR292" i="24"/>
  <c r="AS292" i="24"/>
  <c r="AT292" i="24"/>
  <c r="AU292" i="24"/>
  <c r="AV292" i="24"/>
  <c r="AW292" i="24"/>
  <c r="AX292" i="24"/>
  <c r="AY292" i="24"/>
  <c r="AZ292" i="24"/>
  <c r="BA292" i="24"/>
  <c r="BB292" i="24"/>
  <c r="BC292" i="24"/>
  <c r="BD292" i="24"/>
  <c r="BE292" i="24"/>
  <c r="BF292" i="24"/>
  <c r="BG292" i="24"/>
  <c r="BH292" i="24"/>
  <c r="BI292" i="24"/>
  <c r="BJ292" i="24"/>
  <c r="BK292" i="24"/>
  <c r="B293" i="24"/>
  <c r="C293" i="24"/>
  <c r="D293" i="24"/>
  <c r="E293" i="24"/>
  <c r="F293" i="24"/>
  <c r="G293" i="24"/>
  <c r="H293" i="24"/>
  <c r="I293" i="24"/>
  <c r="J293" i="24"/>
  <c r="K293" i="24"/>
  <c r="L293" i="24"/>
  <c r="M293" i="24"/>
  <c r="N293" i="24"/>
  <c r="O293" i="24"/>
  <c r="P293" i="24"/>
  <c r="Q293" i="24"/>
  <c r="R293" i="24"/>
  <c r="S293" i="24"/>
  <c r="T293" i="24"/>
  <c r="U293" i="24"/>
  <c r="V293" i="24"/>
  <c r="W293" i="24"/>
  <c r="X293" i="24"/>
  <c r="Y293" i="24"/>
  <c r="Z293" i="24"/>
  <c r="AA293" i="24"/>
  <c r="AB293" i="24"/>
  <c r="AC293" i="24"/>
  <c r="AD293" i="24"/>
  <c r="AE293" i="24"/>
  <c r="AF293" i="24"/>
  <c r="AG293" i="24"/>
  <c r="AI293" i="24"/>
  <c r="AJ293" i="24"/>
  <c r="AK293" i="24"/>
  <c r="AL293" i="24"/>
  <c r="AM293" i="24"/>
  <c r="AN293" i="24"/>
  <c r="AO293" i="24"/>
  <c r="AP293" i="24"/>
  <c r="AQ293" i="24"/>
  <c r="AR293" i="24"/>
  <c r="AS293" i="24"/>
  <c r="AT293" i="24"/>
  <c r="AU293" i="24"/>
  <c r="AV293" i="24"/>
  <c r="AW293" i="24"/>
  <c r="AX293" i="24"/>
  <c r="AY293" i="24"/>
  <c r="AZ293" i="24"/>
  <c r="BA293" i="24"/>
  <c r="BB293" i="24"/>
  <c r="BC293" i="24"/>
  <c r="BD293" i="24"/>
  <c r="BE293" i="24"/>
  <c r="BF293" i="24"/>
  <c r="BG293" i="24"/>
  <c r="BH293" i="24"/>
  <c r="BI293" i="24"/>
  <c r="BJ293" i="24"/>
  <c r="BK293" i="24"/>
  <c r="B294" i="24"/>
  <c r="C294" i="24"/>
  <c r="D294" i="24"/>
  <c r="E294" i="24"/>
  <c r="F294" i="24"/>
  <c r="G294" i="24"/>
  <c r="H294" i="24"/>
  <c r="I294" i="24"/>
  <c r="J294" i="24"/>
  <c r="K294" i="24"/>
  <c r="L294" i="24"/>
  <c r="M294" i="24"/>
  <c r="N294" i="24"/>
  <c r="O294" i="24"/>
  <c r="P294" i="24"/>
  <c r="Q294" i="24"/>
  <c r="R294" i="24"/>
  <c r="S294" i="24"/>
  <c r="T294" i="24"/>
  <c r="U294" i="24"/>
  <c r="V294" i="24"/>
  <c r="W294" i="24"/>
  <c r="X294" i="24"/>
  <c r="Y294" i="24"/>
  <c r="Z294" i="24"/>
  <c r="AA294" i="24"/>
  <c r="AB294" i="24"/>
  <c r="AC294" i="24"/>
  <c r="AD294" i="24"/>
  <c r="AE294" i="24"/>
  <c r="AF294" i="24"/>
  <c r="AG294" i="24"/>
  <c r="AH294" i="24"/>
  <c r="AI294" i="24"/>
  <c r="AJ294" i="24"/>
  <c r="AK294" i="24"/>
  <c r="AL294" i="24"/>
  <c r="AM294" i="24"/>
  <c r="AN294" i="24"/>
  <c r="AO294" i="24"/>
  <c r="AP294" i="24"/>
  <c r="AQ294" i="24"/>
  <c r="AR294" i="24"/>
  <c r="AS294" i="24"/>
  <c r="AT294" i="24"/>
  <c r="AU294" i="24"/>
  <c r="AW294" i="24"/>
  <c r="AX294" i="24"/>
  <c r="AY294" i="24"/>
  <c r="AZ294" i="24"/>
  <c r="BA294" i="24"/>
  <c r="BB294" i="24"/>
  <c r="BC294" i="24"/>
  <c r="BD294" i="24"/>
  <c r="BE294" i="24"/>
  <c r="BF294" i="24"/>
  <c r="BG294" i="24"/>
  <c r="BH294" i="24"/>
  <c r="BI294" i="24"/>
  <c r="BJ294" i="24"/>
  <c r="BK294" i="24"/>
  <c r="B295" i="24"/>
  <c r="C295" i="24"/>
  <c r="D295" i="24"/>
  <c r="E295" i="24"/>
  <c r="F295" i="24"/>
  <c r="G295" i="24"/>
  <c r="H295" i="24"/>
  <c r="I295" i="24"/>
  <c r="J295" i="24"/>
  <c r="K295" i="24"/>
  <c r="L295" i="24"/>
  <c r="M295" i="24"/>
  <c r="N295" i="24"/>
  <c r="O295" i="24"/>
  <c r="P295" i="24"/>
  <c r="Q295" i="24"/>
  <c r="R295" i="24"/>
  <c r="S295" i="24"/>
  <c r="T295" i="24"/>
  <c r="U295" i="24"/>
  <c r="V295" i="24"/>
  <c r="W295" i="24"/>
  <c r="X295" i="24"/>
  <c r="Y295" i="24"/>
  <c r="Z295" i="24"/>
  <c r="AA295" i="24"/>
  <c r="AB295" i="24"/>
  <c r="AC295" i="24"/>
  <c r="AD295" i="24"/>
  <c r="AE295" i="24"/>
  <c r="AF295" i="24"/>
  <c r="AG295" i="24"/>
  <c r="AH295" i="24"/>
  <c r="AI295" i="24"/>
  <c r="AJ295" i="24"/>
  <c r="AK295" i="24"/>
  <c r="AL295" i="24"/>
  <c r="AM295" i="24"/>
  <c r="AN295" i="24"/>
  <c r="AO295" i="24"/>
  <c r="AP295" i="24"/>
  <c r="AQ295" i="24"/>
  <c r="AR295" i="24"/>
  <c r="AS295" i="24"/>
  <c r="AT295" i="24"/>
  <c r="AU295" i="24"/>
  <c r="AV295" i="24"/>
  <c r="AW295" i="24"/>
  <c r="AX295" i="24"/>
  <c r="AY295" i="24"/>
  <c r="AZ295" i="24"/>
  <c r="BA295" i="24"/>
  <c r="BB295" i="24"/>
  <c r="BC295" i="24"/>
  <c r="BD295" i="24"/>
  <c r="BE295" i="24"/>
  <c r="BF295" i="24"/>
  <c r="BG295" i="24"/>
  <c r="BH295" i="24"/>
  <c r="BI295" i="24"/>
  <c r="BJ295" i="24"/>
  <c r="BK295" i="24"/>
  <c r="B296" i="24"/>
  <c r="C296" i="24"/>
  <c r="D296" i="24"/>
  <c r="E296" i="24"/>
  <c r="F296" i="24"/>
  <c r="G296" i="24"/>
  <c r="H296" i="24"/>
  <c r="I296" i="24"/>
  <c r="J296" i="24"/>
  <c r="K296" i="24"/>
  <c r="L296" i="24"/>
  <c r="M296" i="24"/>
  <c r="N296" i="24"/>
  <c r="O296" i="24"/>
  <c r="P296" i="24"/>
  <c r="Q296" i="24"/>
  <c r="R296" i="24"/>
  <c r="S296" i="24"/>
  <c r="T296" i="24"/>
  <c r="U296" i="24"/>
  <c r="V296" i="24"/>
  <c r="W296" i="24"/>
  <c r="X296" i="24"/>
  <c r="Y296" i="24"/>
  <c r="Z296" i="24"/>
  <c r="AA296" i="24"/>
  <c r="AB296" i="24"/>
  <c r="AC296" i="24"/>
  <c r="AD296" i="24"/>
  <c r="AE296" i="24"/>
  <c r="AF296" i="24"/>
  <c r="AG296" i="24"/>
  <c r="AH296" i="24"/>
  <c r="AI296" i="24"/>
  <c r="AJ296" i="24"/>
  <c r="AK296" i="24"/>
  <c r="AL296" i="24"/>
  <c r="AM296" i="24"/>
  <c r="AN296" i="24"/>
  <c r="AO296" i="24"/>
  <c r="AP296" i="24"/>
  <c r="AQ296" i="24"/>
  <c r="AR296" i="24"/>
  <c r="AS296" i="24"/>
  <c r="AT296" i="24"/>
  <c r="AU296" i="24"/>
  <c r="AV296" i="24"/>
  <c r="AW296" i="24"/>
  <c r="AY296" i="24"/>
  <c r="AZ296" i="24"/>
  <c r="BA296" i="24"/>
  <c r="BB296" i="24"/>
  <c r="BC296" i="24"/>
  <c r="BD296" i="24"/>
  <c r="BE296" i="24"/>
  <c r="BF296" i="24"/>
  <c r="BG296" i="24"/>
  <c r="BH296" i="24"/>
  <c r="BI296" i="24"/>
  <c r="BJ296" i="24"/>
  <c r="BK296" i="24"/>
  <c r="B297" i="24"/>
  <c r="C297" i="24"/>
  <c r="D297" i="24"/>
  <c r="E297" i="24"/>
  <c r="F297" i="24"/>
  <c r="G297" i="24"/>
  <c r="H297" i="24"/>
  <c r="I297" i="24"/>
  <c r="J297" i="24"/>
  <c r="K297" i="24"/>
  <c r="L297" i="24"/>
  <c r="M297" i="24"/>
  <c r="N297" i="24"/>
  <c r="O297" i="24"/>
  <c r="P297" i="24"/>
  <c r="Q297" i="24"/>
  <c r="R297" i="24"/>
  <c r="S297" i="24"/>
  <c r="T297" i="24"/>
  <c r="U297" i="24"/>
  <c r="V297" i="24"/>
  <c r="W297" i="24"/>
  <c r="X297" i="24"/>
  <c r="Y297" i="24"/>
  <c r="Z297" i="24"/>
  <c r="AA297" i="24"/>
  <c r="AB297" i="24"/>
  <c r="AC297" i="24"/>
  <c r="AD297" i="24"/>
  <c r="AE297" i="24"/>
  <c r="AF297" i="24"/>
  <c r="AG297" i="24"/>
  <c r="AH297" i="24"/>
  <c r="AI297" i="24"/>
  <c r="AJ297" i="24"/>
  <c r="AK297" i="24"/>
  <c r="AL297" i="24"/>
  <c r="AM297" i="24"/>
  <c r="AN297" i="24"/>
  <c r="AO297" i="24"/>
  <c r="AP297" i="24"/>
  <c r="AQ297" i="24"/>
  <c r="AR297" i="24"/>
  <c r="AS297" i="24"/>
  <c r="AT297" i="24"/>
  <c r="AV297" i="24"/>
  <c r="AW297" i="24"/>
  <c r="AX297" i="24"/>
  <c r="AY297" i="24"/>
  <c r="AZ297" i="24"/>
  <c r="BA297" i="24"/>
  <c r="BB297" i="24"/>
  <c r="BC297" i="24"/>
  <c r="BD297" i="24"/>
  <c r="BE297" i="24"/>
  <c r="BF297" i="24"/>
  <c r="BG297" i="24"/>
  <c r="BH297" i="24"/>
  <c r="BI297" i="24"/>
  <c r="BJ297" i="24"/>
  <c r="BK297" i="24"/>
  <c r="B298" i="24"/>
  <c r="C298" i="24"/>
  <c r="D298" i="24"/>
  <c r="E298" i="24"/>
  <c r="F298" i="24"/>
  <c r="G298" i="24"/>
  <c r="H298" i="24"/>
  <c r="I298" i="24"/>
  <c r="J298" i="24"/>
  <c r="K298" i="24"/>
  <c r="L298" i="24"/>
  <c r="M298" i="24"/>
  <c r="N298" i="24"/>
  <c r="O298" i="24"/>
  <c r="P298" i="24"/>
  <c r="Q298" i="24"/>
  <c r="R298" i="24"/>
  <c r="S298" i="24"/>
  <c r="T298" i="24"/>
  <c r="U298" i="24"/>
  <c r="V298" i="24"/>
  <c r="W298" i="24"/>
  <c r="X298" i="24"/>
  <c r="Y298" i="24"/>
  <c r="Z298" i="24"/>
  <c r="AA298" i="24"/>
  <c r="AB298" i="24"/>
  <c r="AC298" i="24"/>
  <c r="AD298" i="24"/>
  <c r="AE298" i="24"/>
  <c r="AF298" i="24"/>
  <c r="AG298" i="24"/>
  <c r="AH298" i="24"/>
  <c r="AI298" i="24"/>
  <c r="AJ298" i="24"/>
  <c r="AK298" i="24"/>
  <c r="AL298" i="24"/>
  <c r="AM298" i="24"/>
  <c r="AN298" i="24"/>
  <c r="AO298" i="24"/>
  <c r="AP298" i="24"/>
  <c r="AQ298" i="24"/>
  <c r="AR298" i="24"/>
  <c r="AS298" i="24"/>
  <c r="AT298" i="24"/>
  <c r="AU298" i="24"/>
  <c r="AV298" i="24"/>
  <c r="AW298" i="24"/>
  <c r="AX298" i="24"/>
  <c r="AY298" i="24"/>
  <c r="AZ298" i="24"/>
  <c r="BA298" i="24"/>
  <c r="BB298" i="24"/>
  <c r="BC298" i="24"/>
  <c r="BD298" i="24"/>
  <c r="BE298" i="24"/>
  <c r="BF298" i="24"/>
  <c r="BG298" i="24"/>
  <c r="BH298" i="24"/>
  <c r="BI298" i="24"/>
  <c r="BJ298" i="24"/>
  <c r="BK298" i="24"/>
  <c r="B299" i="24"/>
  <c r="C299" i="24"/>
  <c r="D299" i="24"/>
  <c r="E299" i="24"/>
  <c r="F299" i="24"/>
  <c r="G299" i="24"/>
  <c r="H299" i="24"/>
  <c r="I299" i="24"/>
  <c r="J299" i="24"/>
  <c r="K299" i="24"/>
  <c r="L299" i="24"/>
  <c r="M299" i="24"/>
  <c r="N299" i="24"/>
  <c r="O299" i="24"/>
  <c r="P299" i="24"/>
  <c r="R299" i="24"/>
  <c r="S299" i="24"/>
  <c r="T299" i="24"/>
  <c r="U299" i="24"/>
  <c r="V299" i="24"/>
  <c r="W299" i="24"/>
  <c r="X299" i="24"/>
  <c r="Y299" i="24"/>
  <c r="Z299" i="24"/>
  <c r="AA299" i="24"/>
  <c r="AB299" i="24"/>
  <c r="AC299" i="24"/>
  <c r="AD299" i="24"/>
  <c r="AE299" i="24"/>
  <c r="AF299" i="24"/>
  <c r="AG299" i="24"/>
  <c r="AH299" i="24"/>
  <c r="AI299" i="24"/>
  <c r="AJ299" i="24"/>
  <c r="AK299" i="24"/>
  <c r="AL299" i="24"/>
  <c r="AM299" i="24"/>
  <c r="AN299" i="24"/>
  <c r="AO299" i="24"/>
  <c r="AP299" i="24"/>
  <c r="AQ299" i="24"/>
  <c r="AR299" i="24"/>
  <c r="AS299" i="24"/>
  <c r="AT299" i="24"/>
  <c r="AU299" i="24"/>
  <c r="AV299" i="24"/>
  <c r="AW299" i="24"/>
  <c r="AX299" i="24"/>
  <c r="AY299" i="24"/>
  <c r="AZ299" i="24"/>
  <c r="BA299" i="24"/>
  <c r="BB299" i="24"/>
  <c r="BC299" i="24"/>
  <c r="BD299" i="24"/>
  <c r="BE299" i="24"/>
  <c r="BF299" i="24"/>
  <c r="BG299" i="24"/>
  <c r="BH299" i="24"/>
  <c r="BI299" i="24"/>
  <c r="BJ299" i="24"/>
  <c r="BK299" i="24"/>
  <c r="B300" i="24"/>
  <c r="C300" i="24"/>
  <c r="D300" i="24"/>
  <c r="E300" i="24"/>
  <c r="F300" i="24"/>
  <c r="G300" i="24"/>
  <c r="H300" i="24"/>
  <c r="I300" i="24"/>
  <c r="J300" i="24"/>
  <c r="K300" i="24"/>
  <c r="L300" i="24"/>
  <c r="M300" i="24"/>
  <c r="N300" i="24"/>
  <c r="O300" i="24"/>
  <c r="P300" i="24"/>
  <c r="Q300" i="24"/>
  <c r="R300" i="24"/>
  <c r="S300" i="24"/>
  <c r="T300" i="24"/>
  <c r="U300" i="24"/>
  <c r="V300" i="24"/>
  <c r="W300" i="24"/>
  <c r="X300" i="24"/>
  <c r="Y300" i="24"/>
  <c r="Z300" i="24"/>
  <c r="AA300" i="24"/>
  <c r="AB300" i="24"/>
  <c r="AC300" i="24"/>
  <c r="AD300" i="24"/>
  <c r="AE300" i="24"/>
  <c r="AF300" i="24"/>
  <c r="AG300" i="24"/>
  <c r="AI300" i="24"/>
  <c r="AJ300" i="24"/>
  <c r="AK300" i="24"/>
  <c r="AL300" i="24"/>
  <c r="AM300" i="24"/>
  <c r="AN300" i="24"/>
  <c r="AO300" i="24"/>
  <c r="AP300" i="24"/>
  <c r="AQ300" i="24"/>
  <c r="AR300" i="24"/>
  <c r="AS300" i="24"/>
  <c r="AT300" i="24"/>
  <c r="AU300" i="24"/>
  <c r="AV300" i="24"/>
  <c r="AW300" i="24"/>
  <c r="AY300" i="24"/>
  <c r="AZ300" i="24"/>
  <c r="BA300" i="24"/>
  <c r="BB300" i="24"/>
  <c r="BC300" i="24"/>
  <c r="BD300" i="24"/>
  <c r="BE300" i="24"/>
  <c r="BF300" i="24"/>
  <c r="BG300" i="24"/>
  <c r="BH300" i="24"/>
  <c r="BI300" i="24"/>
  <c r="BJ300" i="24"/>
  <c r="BK300" i="24"/>
  <c r="B301" i="24"/>
  <c r="C301" i="24"/>
  <c r="D301" i="24"/>
  <c r="E301" i="24"/>
  <c r="F301" i="24"/>
  <c r="G301" i="24"/>
  <c r="H301" i="24"/>
  <c r="I301" i="24"/>
  <c r="J301" i="24"/>
  <c r="K301" i="24"/>
  <c r="L301" i="24"/>
  <c r="M301" i="24"/>
  <c r="N301" i="24"/>
  <c r="O301" i="24"/>
  <c r="P301" i="24"/>
  <c r="Q301" i="24"/>
  <c r="R301" i="24"/>
  <c r="S301" i="24"/>
  <c r="T301" i="24"/>
  <c r="U301" i="24"/>
  <c r="V301" i="24"/>
  <c r="W301" i="24"/>
  <c r="X301" i="24"/>
  <c r="Y301" i="24"/>
  <c r="Z301" i="24"/>
  <c r="AA301" i="24"/>
  <c r="AB301" i="24"/>
  <c r="AC301" i="24"/>
  <c r="AD301" i="24"/>
  <c r="AE301" i="24"/>
  <c r="AF301" i="24"/>
  <c r="AG301" i="24"/>
  <c r="AH301" i="24"/>
  <c r="AI301" i="24"/>
  <c r="AJ301" i="24"/>
  <c r="AK301" i="24"/>
  <c r="AL301" i="24"/>
  <c r="AM301" i="24"/>
  <c r="AN301" i="24"/>
  <c r="AO301" i="24"/>
  <c r="AP301" i="24"/>
  <c r="AQ301" i="24"/>
  <c r="AR301" i="24"/>
  <c r="AS301" i="24"/>
  <c r="AT301" i="24"/>
  <c r="AV301" i="24"/>
  <c r="AW301" i="24"/>
  <c r="AX301" i="24"/>
  <c r="AY301" i="24"/>
  <c r="AZ301" i="24"/>
  <c r="BA301" i="24"/>
  <c r="BB301" i="24"/>
  <c r="BC301" i="24"/>
  <c r="BD301" i="24"/>
  <c r="BE301" i="24"/>
  <c r="BF301" i="24"/>
  <c r="BG301" i="24"/>
  <c r="BH301" i="24"/>
  <c r="BI301" i="24"/>
  <c r="BJ301" i="24"/>
  <c r="BK301" i="24"/>
  <c r="B302" i="24"/>
  <c r="D302" i="24"/>
  <c r="E302" i="24"/>
  <c r="F302" i="24"/>
  <c r="H302" i="24"/>
  <c r="I302" i="24"/>
  <c r="J302" i="24"/>
  <c r="L302" i="24"/>
  <c r="M302" i="24"/>
  <c r="N302" i="24"/>
  <c r="O302" i="24"/>
  <c r="P302" i="24"/>
  <c r="Q302" i="24"/>
  <c r="R302" i="24"/>
  <c r="S302" i="24"/>
  <c r="T302" i="24"/>
  <c r="U302" i="24"/>
  <c r="V302" i="24"/>
  <c r="W302" i="24"/>
  <c r="X302" i="24"/>
  <c r="Y302" i="24"/>
  <c r="Z302" i="24"/>
  <c r="AA302" i="24"/>
  <c r="AB302" i="24"/>
  <c r="AC302" i="24"/>
  <c r="AD302" i="24"/>
  <c r="AE302" i="24"/>
  <c r="AF302" i="24"/>
  <c r="AG302" i="24"/>
  <c r="AH302" i="24"/>
  <c r="AI302" i="24"/>
  <c r="AJ302" i="24"/>
  <c r="AK302" i="24"/>
  <c r="AL302" i="24"/>
  <c r="AM302" i="24"/>
  <c r="AN302" i="24"/>
  <c r="AO302" i="24"/>
  <c r="AP302" i="24"/>
  <c r="AQ302" i="24"/>
  <c r="AR302" i="24"/>
  <c r="AS302" i="24"/>
  <c r="AT302" i="24"/>
  <c r="AU302" i="24"/>
  <c r="AV302" i="24"/>
  <c r="AW302" i="24"/>
  <c r="AX302" i="24"/>
  <c r="AY302" i="24"/>
  <c r="AZ302" i="24"/>
  <c r="BA302" i="24"/>
  <c r="BB302" i="24"/>
  <c r="BC302" i="24"/>
  <c r="BD302" i="24"/>
  <c r="BE302" i="24"/>
  <c r="BF302" i="24"/>
  <c r="BG302" i="24"/>
  <c r="BH302" i="24"/>
  <c r="BI302" i="24"/>
  <c r="BJ302" i="24"/>
  <c r="BK302" i="24"/>
  <c r="B303" i="24"/>
  <c r="D303" i="24"/>
  <c r="E303" i="24"/>
  <c r="F303" i="24"/>
  <c r="H303" i="24"/>
  <c r="I303" i="24"/>
  <c r="J303" i="24"/>
  <c r="L303" i="24"/>
  <c r="M303" i="24"/>
  <c r="N303" i="24"/>
  <c r="P303" i="24"/>
  <c r="Q303" i="24"/>
  <c r="R303" i="24"/>
  <c r="T303" i="24"/>
  <c r="U303" i="24"/>
  <c r="V303" i="24"/>
  <c r="X303" i="24"/>
  <c r="Y303" i="24"/>
  <c r="Z303" i="24"/>
  <c r="AB303" i="24"/>
  <c r="AC303" i="24"/>
  <c r="AD303" i="24"/>
  <c r="AF303" i="24"/>
  <c r="AG303" i="24"/>
  <c r="AH303" i="24"/>
  <c r="AJ303" i="24"/>
  <c r="AK303" i="24"/>
  <c r="AL303" i="24"/>
  <c r="AM303" i="24"/>
  <c r="AN303" i="24"/>
  <c r="AO303" i="24"/>
  <c r="AP303" i="24"/>
  <c r="AQ303" i="24"/>
  <c r="AR303" i="24"/>
  <c r="AS303" i="24"/>
  <c r="AT303" i="24"/>
  <c r="AU303" i="24"/>
  <c r="AV303" i="24"/>
  <c r="AW303" i="24"/>
  <c r="AX303" i="24"/>
  <c r="AY303" i="24"/>
  <c r="AZ303" i="24"/>
  <c r="BA303" i="24"/>
  <c r="BB303" i="24"/>
  <c r="BC303" i="24"/>
  <c r="BD303" i="24"/>
  <c r="BE303" i="24"/>
  <c r="BF303" i="24"/>
  <c r="BG303" i="24"/>
  <c r="BH303" i="24"/>
  <c r="BI303" i="24"/>
  <c r="BJ303" i="24"/>
  <c r="BK303" i="24"/>
  <c r="B304" i="24"/>
  <c r="D304" i="24"/>
  <c r="E304" i="24"/>
  <c r="F304" i="24"/>
  <c r="H304" i="24"/>
  <c r="I304" i="24"/>
  <c r="J304" i="24"/>
  <c r="L304" i="24"/>
  <c r="M304" i="24"/>
  <c r="N304" i="24"/>
  <c r="P304" i="24"/>
  <c r="Q304" i="24"/>
  <c r="R304" i="24"/>
  <c r="T304" i="24"/>
  <c r="U304" i="24"/>
  <c r="V304" i="24"/>
  <c r="X304" i="24"/>
  <c r="Y304" i="24"/>
  <c r="Z304" i="24"/>
  <c r="AB304" i="24"/>
  <c r="AC304" i="24"/>
  <c r="AD304" i="24"/>
  <c r="AF304" i="24"/>
  <c r="AG304" i="24"/>
  <c r="AH304" i="24"/>
  <c r="AJ304" i="24"/>
  <c r="AK304" i="24"/>
  <c r="AL304" i="24"/>
  <c r="AM304" i="24"/>
  <c r="AN304" i="24"/>
  <c r="AO304" i="24"/>
  <c r="AP304" i="24"/>
  <c r="AQ304" i="24"/>
  <c r="AR304" i="24"/>
  <c r="AS304" i="24"/>
  <c r="AT304" i="24"/>
  <c r="AU304" i="24"/>
  <c r="AV304" i="24"/>
  <c r="AW304" i="24"/>
  <c r="AX304" i="24"/>
  <c r="AY304" i="24"/>
  <c r="AZ304" i="24"/>
  <c r="BA304" i="24"/>
  <c r="BB304" i="24"/>
  <c r="BC304" i="24"/>
  <c r="BD304" i="24"/>
  <c r="BE304" i="24"/>
  <c r="BF304" i="24"/>
  <c r="BG304" i="24"/>
  <c r="BH304" i="24"/>
  <c r="BI304" i="24"/>
  <c r="BJ304" i="24"/>
  <c r="BK304" i="24"/>
  <c r="B305" i="24"/>
  <c r="D305" i="24"/>
  <c r="E305" i="24"/>
  <c r="F305" i="24"/>
  <c r="H305" i="24"/>
  <c r="I305" i="24"/>
  <c r="J305" i="24"/>
  <c r="L305" i="24"/>
  <c r="M305" i="24"/>
  <c r="N305" i="24"/>
  <c r="P305" i="24"/>
  <c r="Q305" i="24"/>
  <c r="R305" i="24"/>
  <c r="T305" i="24"/>
  <c r="U305" i="24"/>
  <c r="V305" i="24"/>
  <c r="X305" i="24"/>
  <c r="Y305" i="24"/>
  <c r="Z305" i="24"/>
  <c r="AB305" i="24"/>
  <c r="AC305" i="24"/>
  <c r="AD305" i="24"/>
  <c r="AF305" i="24"/>
  <c r="AG305" i="24"/>
  <c r="AH305" i="24"/>
  <c r="AJ305" i="24"/>
  <c r="AK305" i="24"/>
  <c r="AL305" i="24"/>
  <c r="AN305" i="24"/>
  <c r="AO305" i="24"/>
  <c r="AP305" i="24"/>
  <c r="AR305" i="24"/>
  <c r="AS305" i="24"/>
  <c r="AT305" i="24"/>
  <c r="AV305" i="24"/>
  <c r="AW305" i="24"/>
  <c r="AX305" i="24"/>
  <c r="AZ305" i="24"/>
  <c r="BA305" i="24"/>
  <c r="BB305" i="24"/>
  <c r="BD305" i="24"/>
  <c r="BE305" i="24"/>
  <c r="BF305" i="24"/>
  <c r="BH305" i="24"/>
  <c r="BI305" i="24"/>
  <c r="BJ305" i="24"/>
  <c r="B306" i="24"/>
  <c r="D306" i="24"/>
  <c r="E306" i="24"/>
  <c r="F306" i="24"/>
  <c r="H306" i="24"/>
  <c r="I306" i="24"/>
  <c r="J306" i="24"/>
  <c r="L306" i="24"/>
  <c r="M306" i="24"/>
  <c r="N306" i="24"/>
  <c r="P306" i="24"/>
  <c r="Q306" i="24"/>
  <c r="R306" i="24"/>
  <c r="T306" i="24"/>
  <c r="U306" i="24"/>
  <c r="V306" i="24"/>
  <c r="X306" i="24"/>
  <c r="Y306" i="24"/>
  <c r="Z306" i="24"/>
  <c r="AB306" i="24"/>
  <c r="AC306" i="24"/>
  <c r="AD306" i="24"/>
  <c r="AF306" i="24"/>
  <c r="AG306" i="24"/>
  <c r="AH306" i="24"/>
  <c r="AJ306" i="24"/>
  <c r="AK306" i="24"/>
  <c r="AL306" i="24"/>
  <c r="AN306" i="24"/>
  <c r="AO306" i="24"/>
  <c r="AP306" i="24"/>
  <c r="AR306" i="24"/>
  <c r="AS306" i="24"/>
  <c r="AT306" i="24"/>
  <c r="AV306" i="24"/>
  <c r="AW306" i="24"/>
  <c r="AX306" i="24"/>
  <c r="AZ306" i="24"/>
  <c r="BA306" i="24"/>
  <c r="BB306" i="24"/>
  <c r="BD306" i="24"/>
  <c r="BE306" i="24"/>
  <c r="BF306" i="24"/>
  <c r="BH306" i="24"/>
  <c r="BI306" i="24"/>
  <c r="BJ306" i="24"/>
  <c r="B307" i="24"/>
  <c r="D307" i="24"/>
  <c r="E307" i="24"/>
  <c r="F307" i="24"/>
  <c r="H307" i="24"/>
  <c r="I307" i="24"/>
  <c r="J307" i="24"/>
  <c r="L307" i="24"/>
  <c r="M307" i="24"/>
  <c r="N307" i="24"/>
  <c r="P307" i="24"/>
  <c r="Q307" i="24"/>
  <c r="R307" i="24"/>
  <c r="T307" i="24"/>
  <c r="U307" i="24"/>
  <c r="V307" i="24"/>
  <c r="X307" i="24"/>
  <c r="Y307" i="24"/>
  <c r="Z307" i="24"/>
  <c r="AB307" i="24"/>
  <c r="AC307" i="24"/>
  <c r="AD307" i="24"/>
  <c r="AF307" i="24"/>
  <c r="AG307" i="24"/>
  <c r="AH307" i="24"/>
  <c r="AJ307" i="24"/>
  <c r="AK307" i="24"/>
  <c r="AL307" i="24"/>
  <c r="AN307" i="24"/>
  <c r="AO307" i="24"/>
  <c r="AP307" i="24"/>
  <c r="AR307" i="24"/>
  <c r="AS307" i="24"/>
  <c r="AT307" i="24"/>
  <c r="AW307" i="24"/>
  <c r="AX307" i="24"/>
  <c r="AZ307" i="24"/>
  <c r="BA307" i="24"/>
  <c r="BB307" i="24"/>
  <c r="BD307" i="24"/>
  <c r="BE307" i="24"/>
  <c r="BF307" i="24"/>
  <c r="BH307" i="24"/>
  <c r="BI307" i="24"/>
  <c r="BJ307" i="24"/>
  <c r="B308" i="24"/>
  <c r="D308" i="24"/>
  <c r="E308" i="24"/>
  <c r="F308" i="24"/>
  <c r="H308" i="24"/>
  <c r="I308" i="24"/>
  <c r="J308" i="24"/>
  <c r="L308" i="24"/>
  <c r="M308" i="24"/>
  <c r="N308" i="24"/>
  <c r="P308" i="24"/>
  <c r="Q308" i="24"/>
  <c r="R308" i="24"/>
  <c r="T308" i="24"/>
  <c r="U308" i="24"/>
  <c r="V308" i="24"/>
  <c r="X308" i="24"/>
  <c r="Y308" i="24"/>
  <c r="Z308" i="24"/>
  <c r="AB308" i="24"/>
  <c r="AC308" i="24"/>
  <c r="AD308" i="24"/>
  <c r="AF308" i="24"/>
  <c r="AG308" i="24"/>
  <c r="AH308" i="24"/>
  <c r="AJ308" i="24"/>
  <c r="AK308" i="24"/>
  <c r="AL308" i="24"/>
  <c r="AN308" i="24"/>
  <c r="AO308" i="24"/>
  <c r="AP308" i="24"/>
  <c r="AR308" i="24"/>
  <c r="AS308" i="24"/>
  <c r="AT308" i="24"/>
  <c r="AV308" i="24"/>
  <c r="AW308" i="24"/>
  <c r="AX308" i="24"/>
  <c r="AZ308" i="24"/>
  <c r="BA308" i="24"/>
  <c r="BB308" i="24"/>
  <c r="BD308" i="24"/>
  <c r="BE308" i="24"/>
  <c r="BF308" i="24"/>
  <c r="BH308" i="24"/>
  <c r="BI308" i="24"/>
  <c r="BJ308" i="24"/>
  <c r="B309" i="24"/>
  <c r="D309" i="24"/>
  <c r="E309" i="24"/>
  <c r="F309" i="24"/>
  <c r="H309" i="24"/>
  <c r="I309" i="24"/>
  <c r="J309" i="24"/>
  <c r="L309" i="24"/>
  <c r="M309" i="24"/>
  <c r="N309" i="24"/>
  <c r="P309" i="24"/>
  <c r="Q309" i="24"/>
  <c r="R309" i="24"/>
  <c r="T309" i="24"/>
  <c r="U309" i="24"/>
  <c r="V309" i="24"/>
  <c r="X309" i="24"/>
  <c r="Y309" i="24"/>
  <c r="Z309" i="24"/>
  <c r="AB309" i="24"/>
  <c r="AC309" i="24"/>
  <c r="AD309" i="24"/>
  <c r="AF309" i="24"/>
  <c r="AG309" i="24"/>
  <c r="AH309" i="24"/>
  <c r="AJ309" i="24"/>
  <c r="AK309" i="24"/>
  <c r="AL309" i="24"/>
  <c r="AN309" i="24"/>
  <c r="AO309" i="24"/>
  <c r="AP309" i="24"/>
  <c r="AR309" i="24"/>
  <c r="AS309" i="24"/>
  <c r="AT309" i="24"/>
  <c r="AV309" i="24"/>
  <c r="AW309" i="24"/>
  <c r="AX309" i="24"/>
  <c r="AZ309" i="24"/>
  <c r="BA309" i="24"/>
  <c r="BB309" i="24"/>
  <c r="BD309" i="24"/>
  <c r="BE309" i="24"/>
  <c r="BF309" i="24"/>
  <c r="BH309" i="24"/>
  <c r="BI309" i="24"/>
  <c r="BJ309" i="24"/>
  <c r="B310" i="24"/>
  <c r="D310" i="24"/>
  <c r="E310" i="24"/>
  <c r="F310" i="24"/>
  <c r="H310" i="24"/>
  <c r="I310" i="24"/>
  <c r="J310" i="24"/>
  <c r="L310" i="24"/>
  <c r="M310" i="24"/>
  <c r="N310" i="24"/>
  <c r="P310" i="24"/>
  <c r="Q310" i="24"/>
  <c r="R310" i="24"/>
  <c r="T310" i="24"/>
  <c r="U310" i="24"/>
  <c r="V310" i="24"/>
  <c r="X310" i="24"/>
  <c r="Y310" i="24"/>
  <c r="Z310" i="24"/>
  <c r="AB310" i="24"/>
  <c r="AC310" i="24"/>
  <c r="AD310" i="24"/>
  <c r="AF310" i="24"/>
  <c r="AG310" i="24"/>
  <c r="AH310" i="24"/>
  <c r="AJ310" i="24"/>
  <c r="AK310" i="24"/>
  <c r="AL310" i="24"/>
  <c r="AN310" i="24"/>
  <c r="AO310" i="24"/>
  <c r="AP310" i="24"/>
  <c r="AR310" i="24"/>
  <c r="AS310" i="24"/>
  <c r="AT310" i="24"/>
  <c r="AV310" i="24"/>
  <c r="AW310" i="24"/>
  <c r="AX310" i="24"/>
  <c r="AZ310" i="24"/>
  <c r="BA310" i="24"/>
  <c r="BB310" i="24"/>
  <c r="BD310" i="24"/>
  <c r="BE310" i="24"/>
  <c r="BF310" i="24"/>
  <c r="BH310" i="24"/>
  <c r="BI310" i="24"/>
  <c r="BJ310" i="24"/>
  <c r="B311" i="24"/>
  <c r="D311" i="24"/>
  <c r="E311" i="24"/>
  <c r="F311" i="24"/>
  <c r="H311" i="24"/>
  <c r="I311" i="24"/>
  <c r="J311" i="24"/>
  <c r="L311" i="24"/>
  <c r="M311" i="24"/>
  <c r="N311" i="24"/>
  <c r="P311" i="24"/>
  <c r="Q311" i="24"/>
  <c r="R311" i="24"/>
  <c r="T311" i="24"/>
  <c r="U311" i="24"/>
  <c r="V311" i="24"/>
  <c r="X311" i="24"/>
  <c r="Y311" i="24"/>
  <c r="Z311" i="24"/>
  <c r="AB311" i="24"/>
  <c r="AC311" i="24"/>
  <c r="AD311" i="24"/>
  <c r="AF311" i="24"/>
  <c r="AG311" i="24"/>
  <c r="AH311" i="24"/>
  <c r="AJ311" i="24"/>
  <c r="AK311" i="24"/>
  <c r="AL311" i="24"/>
  <c r="AN311" i="24"/>
  <c r="AO311" i="24"/>
  <c r="AP311" i="24"/>
  <c r="AR311" i="24"/>
  <c r="AS311" i="24"/>
  <c r="AT311" i="24"/>
  <c r="AV311" i="24"/>
  <c r="AW311" i="24"/>
  <c r="AX311" i="24"/>
  <c r="AZ311" i="24"/>
  <c r="BA311" i="24"/>
  <c r="BB311" i="24"/>
  <c r="BD311" i="24"/>
  <c r="BE311" i="24"/>
  <c r="BF311" i="24"/>
  <c r="BH311" i="24"/>
  <c r="BI311" i="24"/>
  <c r="BJ311" i="24"/>
  <c r="B312" i="24"/>
  <c r="D312" i="24"/>
  <c r="E312" i="24"/>
  <c r="F312" i="24"/>
  <c r="H312" i="24"/>
  <c r="I312" i="24"/>
  <c r="J312" i="24"/>
  <c r="L312" i="24"/>
  <c r="M312" i="24"/>
  <c r="N312" i="24"/>
  <c r="P312" i="24"/>
  <c r="Q312" i="24"/>
  <c r="R312" i="24"/>
  <c r="T312" i="24"/>
  <c r="U312" i="24"/>
  <c r="V312" i="24"/>
  <c r="X312" i="24"/>
  <c r="Y312" i="24"/>
  <c r="Z312" i="24"/>
  <c r="AB312" i="24"/>
  <c r="AC312" i="24"/>
  <c r="AD312" i="24"/>
  <c r="AF312" i="24"/>
  <c r="AG312" i="24"/>
  <c r="AH312" i="24"/>
  <c r="AJ312" i="24"/>
  <c r="AK312" i="24"/>
  <c r="AL312" i="24"/>
  <c r="AN312" i="24"/>
  <c r="AO312" i="24"/>
  <c r="AP312" i="24"/>
  <c r="AR312" i="24"/>
  <c r="AS312" i="24"/>
  <c r="AT312" i="24"/>
  <c r="AV312" i="24"/>
  <c r="AW312" i="24"/>
  <c r="AX312" i="24"/>
  <c r="AZ312" i="24"/>
  <c r="BA312" i="24"/>
  <c r="BB312" i="24"/>
  <c r="BD312" i="24"/>
  <c r="BE312" i="24"/>
  <c r="BF312" i="24"/>
  <c r="BH312" i="24"/>
  <c r="BI312" i="24"/>
  <c r="BJ312" i="24"/>
  <c r="B313" i="24"/>
  <c r="D313" i="24"/>
  <c r="E313" i="24"/>
  <c r="F313" i="24"/>
  <c r="H313" i="24"/>
  <c r="I313" i="24"/>
  <c r="J313" i="24"/>
  <c r="L313" i="24"/>
  <c r="M313" i="24"/>
  <c r="N313" i="24"/>
  <c r="P313" i="24"/>
  <c r="Q313" i="24"/>
  <c r="R313" i="24"/>
  <c r="T313" i="24"/>
  <c r="U313" i="24"/>
  <c r="V313" i="24"/>
  <c r="X313" i="24"/>
  <c r="Y313" i="24"/>
  <c r="Z313" i="24"/>
  <c r="AB313" i="24"/>
  <c r="AC313" i="24"/>
  <c r="AD313" i="24"/>
  <c r="AF313" i="24"/>
  <c r="AG313" i="24"/>
  <c r="AH313" i="24"/>
  <c r="AJ313" i="24"/>
  <c r="AK313" i="24"/>
  <c r="AL313" i="24"/>
  <c r="AN313" i="24"/>
  <c r="AO313" i="24"/>
  <c r="AP313" i="24"/>
  <c r="AR313" i="24"/>
  <c r="AS313" i="24"/>
  <c r="AT313" i="24"/>
  <c r="AV313" i="24"/>
  <c r="AW313" i="24"/>
  <c r="AX313" i="24"/>
  <c r="AZ313" i="24"/>
  <c r="BA313" i="24"/>
  <c r="BB313" i="24"/>
  <c r="BD313" i="24"/>
  <c r="BE313" i="24"/>
  <c r="BF313" i="24"/>
  <c r="BH313" i="24"/>
  <c r="BI313" i="24"/>
  <c r="BJ313" i="24"/>
  <c r="B314" i="24"/>
  <c r="D314" i="24"/>
  <c r="E314" i="24"/>
  <c r="F314" i="24"/>
  <c r="H314" i="24"/>
  <c r="I314" i="24"/>
  <c r="J314" i="24"/>
  <c r="L314" i="24"/>
  <c r="M314" i="24"/>
  <c r="N314" i="24"/>
  <c r="P314" i="24"/>
  <c r="Q314" i="24"/>
  <c r="R314" i="24"/>
  <c r="T314" i="24"/>
  <c r="U314" i="24"/>
  <c r="V314" i="24"/>
  <c r="X314" i="24"/>
  <c r="Y314" i="24"/>
  <c r="Z314" i="24"/>
  <c r="AB314" i="24"/>
  <c r="AC314" i="24"/>
  <c r="AD314" i="24"/>
  <c r="AF314" i="24"/>
  <c r="AG314" i="24"/>
  <c r="AH314" i="24"/>
  <c r="AJ314" i="24"/>
  <c r="AK314" i="24"/>
  <c r="AL314" i="24"/>
  <c r="AN314" i="24"/>
  <c r="AO314" i="24"/>
  <c r="AP314" i="24"/>
  <c r="AR314" i="24"/>
  <c r="AS314" i="24"/>
  <c r="AT314" i="24"/>
  <c r="AV314" i="24"/>
  <c r="AW314" i="24"/>
  <c r="AX314" i="24"/>
  <c r="AZ314" i="24"/>
  <c r="BA314" i="24"/>
  <c r="BB314" i="24"/>
  <c r="BD314" i="24"/>
  <c r="BE314" i="24"/>
  <c r="BF314" i="24"/>
  <c r="BH314" i="24"/>
  <c r="BI314" i="24"/>
  <c r="BJ314" i="24"/>
  <c r="B315" i="24"/>
  <c r="D315" i="24"/>
  <c r="E315" i="24"/>
  <c r="F315" i="24"/>
  <c r="H315" i="24"/>
  <c r="I315" i="24"/>
  <c r="J315" i="24"/>
  <c r="L315" i="24"/>
  <c r="M315" i="24"/>
  <c r="N315" i="24"/>
  <c r="P315" i="24"/>
  <c r="Q315" i="24"/>
  <c r="R315" i="24"/>
  <c r="T315" i="24"/>
  <c r="U315" i="24"/>
  <c r="V315" i="24"/>
  <c r="X315" i="24"/>
  <c r="Y315" i="24"/>
  <c r="Z315" i="24"/>
  <c r="AB315" i="24"/>
  <c r="AC315" i="24"/>
  <c r="AD315" i="24"/>
  <c r="AF315" i="24"/>
  <c r="AG315" i="24"/>
  <c r="AH315" i="24"/>
  <c r="AJ315" i="24"/>
  <c r="AK315" i="24"/>
  <c r="AL315" i="24"/>
  <c r="AN315" i="24"/>
  <c r="AO315" i="24"/>
  <c r="AP315" i="24"/>
  <c r="AR315" i="24"/>
  <c r="AS315" i="24"/>
  <c r="AT315" i="24"/>
  <c r="AV315" i="24"/>
  <c r="AW315" i="24"/>
  <c r="AX315" i="24"/>
  <c r="AZ315" i="24"/>
  <c r="BA315" i="24"/>
  <c r="BB315" i="24"/>
  <c r="BD315" i="24"/>
  <c r="BE315" i="24"/>
  <c r="BF315" i="24"/>
  <c r="BH315" i="24"/>
  <c r="BI315" i="24"/>
  <c r="BJ315" i="24"/>
  <c r="B316" i="24"/>
  <c r="D316" i="24"/>
  <c r="E316" i="24"/>
  <c r="F316" i="24"/>
  <c r="H316" i="24"/>
  <c r="I316" i="24"/>
  <c r="J316" i="24"/>
  <c r="L316" i="24"/>
  <c r="M316" i="24"/>
  <c r="N316" i="24"/>
  <c r="P316" i="24"/>
  <c r="Q316" i="24"/>
  <c r="R316" i="24"/>
  <c r="T316" i="24"/>
  <c r="U316" i="24"/>
  <c r="V316" i="24"/>
  <c r="X316" i="24"/>
  <c r="Y316" i="24"/>
  <c r="Z316" i="24"/>
  <c r="AB316" i="24"/>
  <c r="AC316" i="24"/>
  <c r="AD316" i="24"/>
  <c r="AF316" i="24"/>
  <c r="AG316" i="24"/>
  <c r="AH316" i="24"/>
  <c r="AJ316" i="24"/>
  <c r="AK316" i="24"/>
  <c r="AL316" i="24"/>
  <c r="AN316" i="24"/>
  <c r="AO316" i="24"/>
  <c r="AP316" i="24"/>
  <c r="AR316" i="24"/>
  <c r="AS316" i="24"/>
  <c r="AT316" i="24"/>
  <c r="AV316" i="24"/>
  <c r="AW316" i="24"/>
  <c r="AZ316" i="24"/>
  <c r="BA316" i="24"/>
  <c r="BB316" i="24"/>
  <c r="BD316" i="24"/>
  <c r="BE316" i="24"/>
  <c r="BF316" i="24"/>
  <c r="BH316" i="24"/>
  <c r="BI316" i="24"/>
  <c r="BJ316" i="24"/>
  <c r="B317" i="24"/>
  <c r="D317" i="24"/>
  <c r="E317" i="24"/>
  <c r="F317" i="24"/>
  <c r="H317" i="24"/>
  <c r="I317" i="24"/>
  <c r="J317" i="24"/>
  <c r="L317" i="24"/>
  <c r="M317" i="24"/>
  <c r="N317" i="24"/>
  <c r="P317" i="24"/>
  <c r="Q317" i="24"/>
  <c r="R317" i="24"/>
  <c r="T317" i="24"/>
  <c r="U317" i="24"/>
  <c r="V317" i="24"/>
  <c r="X317" i="24"/>
  <c r="Y317" i="24"/>
  <c r="Z317" i="24"/>
  <c r="AB317" i="24"/>
  <c r="AC317" i="24"/>
  <c r="AD317" i="24"/>
  <c r="AF317" i="24"/>
  <c r="AG317" i="24"/>
  <c r="AH317" i="24"/>
  <c r="AJ317" i="24"/>
  <c r="AK317" i="24"/>
  <c r="AL317" i="24"/>
  <c r="AN317" i="24"/>
  <c r="AO317" i="24"/>
  <c r="AP317" i="24"/>
  <c r="AR317" i="24"/>
  <c r="AS317" i="24"/>
  <c r="AT317" i="24"/>
  <c r="AV317" i="24"/>
  <c r="AW317" i="24"/>
  <c r="AX317" i="24"/>
  <c r="AZ317" i="24"/>
  <c r="BA317" i="24"/>
  <c r="BB317" i="24"/>
  <c r="BD317" i="24"/>
  <c r="BE317" i="24"/>
  <c r="BF317" i="24"/>
  <c r="BH317" i="24"/>
  <c r="BI317" i="24"/>
  <c r="BJ317" i="24"/>
  <c r="B318" i="24"/>
  <c r="D318" i="24"/>
  <c r="E318" i="24"/>
  <c r="F318" i="24"/>
  <c r="H318" i="24"/>
  <c r="I318" i="24"/>
  <c r="J318" i="24"/>
  <c r="L318" i="24"/>
  <c r="M318" i="24"/>
  <c r="N318" i="24"/>
  <c r="P318" i="24"/>
  <c r="Q318" i="24"/>
  <c r="R318" i="24"/>
  <c r="T318" i="24"/>
  <c r="U318" i="24"/>
  <c r="V318" i="24"/>
  <c r="X318" i="24"/>
  <c r="Y318" i="24"/>
  <c r="Z318" i="24"/>
  <c r="AB318" i="24"/>
  <c r="AC318" i="24"/>
  <c r="AD318" i="24"/>
  <c r="AF318" i="24"/>
  <c r="AG318" i="24"/>
  <c r="AH318" i="24"/>
  <c r="AJ318" i="24"/>
  <c r="AK318" i="24"/>
  <c r="AL318" i="24"/>
  <c r="AN318" i="24"/>
  <c r="AO318" i="24"/>
  <c r="AP318" i="24"/>
  <c r="AR318" i="24"/>
  <c r="AS318" i="24"/>
  <c r="AT318" i="24"/>
  <c r="AV318" i="24"/>
  <c r="AW318" i="24"/>
  <c r="AX318" i="24"/>
  <c r="AZ318" i="24"/>
  <c r="BA318" i="24"/>
  <c r="BB318" i="24"/>
  <c r="BD318" i="24"/>
  <c r="BE318" i="24"/>
  <c r="BF318" i="24"/>
  <c r="BH318" i="24"/>
  <c r="BI318" i="24"/>
  <c r="BJ318" i="24"/>
  <c r="B319" i="24"/>
  <c r="D319" i="24"/>
  <c r="E319" i="24"/>
  <c r="F319" i="24"/>
  <c r="H319" i="24"/>
  <c r="I319" i="24"/>
  <c r="J319" i="24"/>
  <c r="L319" i="24"/>
  <c r="M319" i="24"/>
  <c r="N319" i="24"/>
  <c r="P319" i="24"/>
  <c r="Q319" i="24"/>
  <c r="R319" i="24"/>
  <c r="T319" i="24"/>
  <c r="U319" i="24"/>
  <c r="V319" i="24"/>
  <c r="X319" i="24"/>
  <c r="Y319" i="24"/>
  <c r="Z319" i="24"/>
  <c r="AB319" i="24"/>
  <c r="AC319" i="24"/>
  <c r="AD319" i="24"/>
  <c r="AF319" i="24"/>
  <c r="AG319" i="24"/>
  <c r="AH319" i="24"/>
  <c r="AJ319" i="24"/>
  <c r="AK319" i="24"/>
  <c r="AL319" i="24"/>
  <c r="AN319" i="24"/>
  <c r="AO319" i="24"/>
  <c r="AP319" i="24"/>
  <c r="AR319" i="24"/>
  <c r="AS319" i="24"/>
  <c r="AT319" i="24"/>
  <c r="AW319" i="24"/>
  <c r="AX319" i="24"/>
  <c r="AZ319" i="24"/>
  <c r="BA319" i="24"/>
  <c r="BB319" i="24"/>
  <c r="BD319" i="24"/>
  <c r="BE319" i="24"/>
  <c r="BF319" i="24"/>
  <c r="BH319" i="24"/>
  <c r="BI319" i="24"/>
  <c r="BJ319" i="24"/>
  <c r="B320" i="24"/>
  <c r="D320" i="24"/>
  <c r="E320" i="24"/>
  <c r="F320" i="24"/>
  <c r="H320" i="24"/>
  <c r="I320" i="24"/>
  <c r="J320" i="24"/>
  <c r="L320" i="24"/>
  <c r="M320" i="24"/>
  <c r="N320" i="24"/>
  <c r="P320" i="24"/>
  <c r="Q320" i="24"/>
  <c r="R320" i="24"/>
  <c r="T320" i="24"/>
  <c r="U320" i="24"/>
  <c r="V320" i="24"/>
  <c r="X320" i="24"/>
  <c r="Y320" i="24"/>
  <c r="Z320" i="24"/>
  <c r="AB320" i="24"/>
  <c r="AC320" i="24"/>
  <c r="AD320" i="24"/>
  <c r="AF320" i="24"/>
  <c r="AG320" i="24"/>
  <c r="AJ320" i="24"/>
  <c r="AK320" i="24"/>
  <c r="AL320" i="24"/>
  <c r="AN320" i="24"/>
  <c r="AO320" i="24"/>
  <c r="AP320" i="24"/>
  <c r="AR320" i="24"/>
  <c r="AS320" i="24"/>
  <c r="AT320" i="24"/>
  <c r="AV320" i="24"/>
  <c r="AW320" i="24"/>
  <c r="AX320" i="24"/>
  <c r="AZ320" i="24"/>
  <c r="BA320" i="24"/>
  <c r="BB320" i="24"/>
  <c r="BD320" i="24"/>
  <c r="BE320" i="24"/>
  <c r="BF320" i="24"/>
  <c r="BH320" i="24"/>
  <c r="BI320" i="24"/>
  <c r="BJ320" i="24"/>
  <c r="B321" i="24"/>
  <c r="D321" i="24"/>
  <c r="E321" i="24"/>
  <c r="F321" i="24"/>
  <c r="H321" i="24"/>
  <c r="I321" i="24"/>
  <c r="J321" i="24"/>
  <c r="L321" i="24"/>
  <c r="M321" i="24"/>
  <c r="N321" i="24"/>
  <c r="P321" i="24"/>
  <c r="Q321" i="24"/>
  <c r="R321" i="24"/>
  <c r="T321" i="24"/>
  <c r="U321" i="24"/>
  <c r="V321" i="24"/>
  <c r="X321" i="24"/>
  <c r="Y321" i="24"/>
  <c r="Z321" i="24"/>
  <c r="AB321" i="24"/>
  <c r="AC321" i="24"/>
  <c r="AD321" i="24"/>
  <c r="AF321" i="24"/>
  <c r="AG321" i="24"/>
  <c r="AH321" i="24"/>
  <c r="AJ321" i="24"/>
  <c r="AK321" i="24"/>
  <c r="AL321" i="24"/>
  <c r="AN321" i="24"/>
  <c r="AO321" i="24"/>
  <c r="AP321" i="24"/>
  <c r="AR321" i="24"/>
  <c r="AS321" i="24"/>
  <c r="AT321" i="24"/>
  <c r="AV321" i="24"/>
  <c r="AW321" i="24"/>
  <c r="AX321" i="24"/>
  <c r="AZ321" i="24"/>
  <c r="BA321" i="24"/>
  <c r="BB321" i="24"/>
  <c r="BD321" i="24"/>
  <c r="BE321" i="24"/>
  <c r="BF321" i="24"/>
  <c r="BH321" i="24"/>
  <c r="BI321" i="24"/>
  <c r="BJ321" i="24"/>
  <c r="B322" i="24"/>
  <c r="D322" i="24"/>
  <c r="E322" i="24"/>
  <c r="F322" i="24"/>
  <c r="H322" i="24"/>
  <c r="I322" i="24"/>
  <c r="J322" i="24"/>
  <c r="L322" i="24"/>
  <c r="M322" i="24"/>
  <c r="N322" i="24"/>
  <c r="P322" i="24"/>
  <c r="Q322" i="24"/>
  <c r="R322" i="24"/>
  <c r="T322" i="24"/>
  <c r="U322" i="24"/>
  <c r="V322" i="24"/>
  <c r="X322" i="24"/>
  <c r="Y322" i="24"/>
  <c r="Z322" i="24"/>
  <c r="AB322" i="24"/>
  <c r="AC322" i="24"/>
  <c r="AD322" i="24"/>
  <c r="AF322" i="24"/>
  <c r="AG322" i="24"/>
  <c r="AH322" i="24"/>
  <c r="AJ322" i="24"/>
  <c r="AK322" i="24"/>
  <c r="AL322" i="24"/>
  <c r="AN322" i="24"/>
  <c r="AO322" i="24"/>
  <c r="AP322" i="24"/>
  <c r="AR322" i="24"/>
  <c r="AS322" i="24"/>
  <c r="AT322" i="24"/>
  <c r="AV322" i="24"/>
  <c r="AW322" i="24"/>
  <c r="AX322" i="24"/>
  <c r="AZ322" i="24"/>
  <c r="BA322" i="24"/>
  <c r="BB322" i="24"/>
  <c r="BD322" i="24"/>
  <c r="BE322" i="24"/>
  <c r="BF322" i="24"/>
  <c r="BH322" i="24"/>
  <c r="BI322" i="24"/>
  <c r="BJ322" i="24"/>
  <c r="B323" i="24"/>
  <c r="D323" i="24"/>
  <c r="E323" i="24"/>
  <c r="F323" i="24"/>
  <c r="H323" i="24"/>
  <c r="I323" i="24"/>
  <c r="J323" i="24"/>
  <c r="L323" i="24"/>
  <c r="M323" i="24"/>
  <c r="N323" i="24"/>
  <c r="P323" i="24"/>
  <c r="Q323" i="24"/>
  <c r="R323" i="24"/>
  <c r="T323" i="24"/>
  <c r="U323" i="24"/>
  <c r="V323" i="24"/>
  <c r="X323" i="24"/>
  <c r="Y323" i="24"/>
  <c r="Z323" i="24"/>
  <c r="AB323" i="24"/>
  <c r="AC323" i="24"/>
  <c r="AD323" i="24"/>
  <c r="AF323" i="24"/>
  <c r="AG323" i="24"/>
  <c r="AH323" i="24"/>
  <c r="AJ323" i="24"/>
  <c r="AK323" i="24"/>
  <c r="AL323" i="24"/>
  <c r="AN323" i="24"/>
  <c r="AO323" i="24"/>
  <c r="AP323" i="24"/>
  <c r="AR323" i="24"/>
  <c r="AS323" i="24"/>
  <c r="AT323" i="24"/>
  <c r="AV323" i="24"/>
  <c r="AW323" i="24"/>
  <c r="AX323" i="24"/>
  <c r="AZ323" i="24"/>
  <c r="BA323" i="24"/>
  <c r="BB323" i="24"/>
  <c r="BD323" i="24"/>
  <c r="BE323" i="24"/>
  <c r="BF323" i="24"/>
  <c r="BH323" i="24"/>
  <c r="BI323" i="24"/>
  <c r="BJ323" i="24"/>
  <c r="B324" i="24"/>
  <c r="D324" i="24"/>
  <c r="E324" i="24"/>
  <c r="F324" i="24"/>
  <c r="H324" i="24"/>
  <c r="I324" i="24"/>
  <c r="J324" i="24"/>
  <c r="L324" i="24"/>
  <c r="M324" i="24"/>
  <c r="N324" i="24"/>
  <c r="P324" i="24"/>
  <c r="Q324" i="24"/>
  <c r="T324" i="24"/>
  <c r="U324" i="24"/>
  <c r="V324" i="24"/>
  <c r="X324" i="24"/>
  <c r="Y324" i="24"/>
  <c r="Z324" i="24"/>
  <c r="AB324" i="24"/>
  <c r="AC324" i="24"/>
  <c r="AD324" i="24"/>
  <c r="AF324" i="24"/>
  <c r="AG324" i="24"/>
  <c r="AH324" i="24"/>
  <c r="AJ324" i="24"/>
  <c r="AK324" i="24"/>
  <c r="AL324" i="24"/>
  <c r="AN324" i="24"/>
  <c r="AO324" i="24"/>
  <c r="AP324" i="24"/>
  <c r="AR324" i="24"/>
  <c r="AS324" i="24"/>
  <c r="AT324" i="24"/>
  <c r="AV324" i="24"/>
  <c r="AW324" i="24"/>
  <c r="AX324" i="24"/>
  <c r="AZ324" i="24"/>
  <c r="BA324" i="24"/>
  <c r="BB324" i="24"/>
  <c r="BD324" i="24"/>
  <c r="BE324" i="24"/>
  <c r="BF324" i="24"/>
  <c r="BH324" i="24"/>
  <c r="BI324" i="24"/>
  <c r="BJ324" i="24"/>
  <c r="B325" i="24"/>
  <c r="D325" i="24"/>
  <c r="E325" i="24"/>
  <c r="F325" i="24"/>
  <c r="H325" i="24"/>
  <c r="I325" i="24"/>
  <c r="J325" i="24"/>
  <c r="L325" i="24"/>
  <c r="M325" i="24"/>
  <c r="N325" i="24"/>
  <c r="P325" i="24"/>
  <c r="Q325" i="24"/>
  <c r="R325" i="24"/>
  <c r="T325" i="24"/>
  <c r="U325" i="24"/>
  <c r="V325" i="24"/>
  <c r="X325" i="24"/>
  <c r="Y325" i="24"/>
  <c r="Z325" i="24"/>
  <c r="AB325" i="24"/>
  <c r="AC325" i="24"/>
  <c r="AD325" i="24"/>
  <c r="AF325" i="24"/>
  <c r="AG325" i="24"/>
  <c r="AH325" i="24"/>
  <c r="AJ325" i="24"/>
  <c r="AK325" i="24"/>
  <c r="AL325" i="24"/>
  <c r="AN325" i="24"/>
  <c r="AO325" i="24"/>
  <c r="AP325" i="24"/>
  <c r="AR325" i="24"/>
  <c r="AS325" i="24"/>
  <c r="AT325" i="24"/>
  <c r="AV325" i="24"/>
  <c r="AW325" i="24"/>
  <c r="AX325" i="24"/>
  <c r="AZ325" i="24"/>
  <c r="BA325" i="24"/>
  <c r="BB325" i="24"/>
  <c r="BD325" i="24"/>
  <c r="BE325" i="24"/>
  <c r="BF325" i="24"/>
  <c r="BH325" i="24"/>
  <c r="BI325" i="24"/>
  <c r="BJ325" i="24"/>
  <c r="B326" i="24"/>
  <c r="D326" i="24"/>
  <c r="E326" i="24"/>
  <c r="F326" i="24"/>
  <c r="H326" i="24"/>
  <c r="I326" i="24"/>
  <c r="J326" i="24"/>
  <c r="L326" i="24"/>
  <c r="M326" i="24"/>
  <c r="N326" i="24"/>
  <c r="P326" i="24"/>
  <c r="Q326" i="24"/>
  <c r="R326" i="24"/>
  <c r="T326" i="24"/>
  <c r="U326" i="24"/>
  <c r="V326" i="24"/>
  <c r="X326" i="24"/>
  <c r="Y326" i="24"/>
  <c r="Z326" i="24"/>
  <c r="AB326" i="24"/>
  <c r="AC326" i="24"/>
  <c r="AD326" i="24"/>
  <c r="AF326" i="24"/>
  <c r="AG326" i="24"/>
  <c r="AH326" i="24"/>
  <c r="AJ326" i="24"/>
  <c r="AK326" i="24"/>
  <c r="AL326" i="24"/>
  <c r="AN326" i="24"/>
  <c r="AO326" i="24"/>
  <c r="AP326" i="24"/>
  <c r="AR326" i="24"/>
  <c r="AS326" i="24"/>
  <c r="AT326" i="24"/>
  <c r="AV326" i="24"/>
  <c r="AW326" i="24"/>
  <c r="AX326" i="24"/>
  <c r="AZ326" i="24"/>
  <c r="BA326" i="24"/>
  <c r="BB326" i="24"/>
  <c r="BD326" i="24"/>
  <c r="BE326" i="24"/>
  <c r="BF326" i="24"/>
  <c r="BH326" i="24"/>
  <c r="BI326" i="24"/>
  <c r="BJ326" i="24"/>
  <c r="B327" i="24"/>
  <c r="D327" i="24"/>
  <c r="E327" i="24"/>
  <c r="F327" i="24"/>
  <c r="H327" i="24"/>
  <c r="I327" i="24"/>
  <c r="J327" i="24"/>
  <c r="L327" i="24"/>
  <c r="M327" i="24"/>
  <c r="N327" i="24"/>
  <c r="P327" i="24"/>
  <c r="Q327" i="24"/>
  <c r="R327" i="24"/>
  <c r="T327" i="24"/>
  <c r="U327" i="24"/>
  <c r="V327" i="24"/>
  <c r="X327" i="24"/>
  <c r="Y327" i="24"/>
  <c r="Z327" i="24"/>
  <c r="AB327" i="24"/>
  <c r="AC327" i="24"/>
  <c r="AD327" i="24"/>
  <c r="AF327" i="24"/>
  <c r="AG327" i="24"/>
  <c r="AH327" i="24"/>
  <c r="AJ327" i="24"/>
  <c r="AK327" i="24"/>
  <c r="AL327" i="24"/>
  <c r="AN327" i="24"/>
  <c r="AO327" i="24"/>
  <c r="AP327" i="24"/>
  <c r="AR327" i="24"/>
  <c r="AS327" i="24"/>
  <c r="AT327" i="24"/>
  <c r="AV327" i="24"/>
  <c r="AW327" i="24"/>
  <c r="AX327" i="24"/>
  <c r="AZ327" i="24"/>
  <c r="BA327" i="24"/>
  <c r="BB327" i="24"/>
  <c r="BD327" i="24"/>
  <c r="BE327" i="24"/>
  <c r="BF327" i="24"/>
  <c r="BH327" i="24"/>
  <c r="BI327" i="24"/>
  <c r="BJ327" i="24"/>
  <c r="B328" i="24"/>
  <c r="D328" i="24"/>
  <c r="E328" i="24"/>
  <c r="F328" i="24"/>
  <c r="H328" i="24"/>
  <c r="I328" i="24"/>
  <c r="J328" i="24"/>
  <c r="L328" i="24"/>
  <c r="M328" i="24"/>
  <c r="N328" i="24"/>
  <c r="P328" i="24"/>
  <c r="Q328" i="24"/>
  <c r="R328" i="24"/>
  <c r="T328" i="24"/>
  <c r="U328" i="24"/>
  <c r="V328" i="24"/>
  <c r="X328" i="24"/>
  <c r="Y328" i="24"/>
  <c r="Z328" i="24"/>
  <c r="AB328" i="24"/>
  <c r="AC328" i="24"/>
  <c r="AD328" i="24"/>
  <c r="AF328" i="24"/>
  <c r="AG328" i="24"/>
  <c r="AH328" i="24"/>
  <c r="AJ328" i="24"/>
  <c r="AK328" i="24"/>
  <c r="AL328" i="24"/>
  <c r="AN328" i="24"/>
  <c r="AO328" i="24"/>
  <c r="AP328" i="24"/>
  <c r="AR328" i="24"/>
  <c r="AS328" i="24"/>
  <c r="AT328" i="24"/>
  <c r="AV328" i="24"/>
  <c r="AW328" i="24"/>
  <c r="AX328" i="24"/>
  <c r="AZ328" i="24"/>
  <c r="BA328" i="24"/>
  <c r="BB328" i="24"/>
  <c r="BD328" i="24"/>
  <c r="BE328" i="24"/>
  <c r="BF328" i="24"/>
  <c r="BH328" i="24"/>
  <c r="BI328" i="24"/>
  <c r="BJ328" i="24"/>
  <c r="B329" i="24"/>
  <c r="D329" i="24"/>
  <c r="E329" i="24"/>
  <c r="F329" i="24"/>
  <c r="H329" i="24"/>
  <c r="I329" i="24"/>
  <c r="J329" i="24"/>
  <c r="L329" i="24"/>
  <c r="M329" i="24"/>
  <c r="N329" i="24"/>
  <c r="P329" i="24"/>
  <c r="Q329" i="24"/>
  <c r="R329" i="24"/>
  <c r="T329" i="24"/>
  <c r="U329" i="24"/>
  <c r="V329" i="24"/>
  <c r="X329" i="24"/>
  <c r="Y329" i="24"/>
  <c r="Z329" i="24"/>
  <c r="AB329" i="24"/>
  <c r="AC329" i="24"/>
  <c r="AD329" i="24"/>
  <c r="AF329" i="24"/>
  <c r="AG329" i="24"/>
  <c r="AH329" i="24"/>
  <c r="AJ329" i="24"/>
  <c r="AK329" i="24"/>
  <c r="AL329" i="24"/>
  <c r="AN329" i="24"/>
  <c r="AO329" i="24"/>
  <c r="AP329" i="24"/>
  <c r="AR329" i="24"/>
  <c r="AS329" i="24"/>
  <c r="AT329" i="24"/>
  <c r="AV329" i="24"/>
  <c r="AW329" i="24"/>
  <c r="AX329" i="24"/>
  <c r="AZ329" i="24"/>
  <c r="BA329" i="24"/>
  <c r="BB329" i="24"/>
  <c r="BD329" i="24"/>
  <c r="BE329" i="24"/>
  <c r="BF329" i="24"/>
  <c r="BH329" i="24"/>
  <c r="BI329" i="24"/>
  <c r="BJ329" i="24"/>
  <c r="B330" i="24"/>
  <c r="D330" i="24"/>
  <c r="E330" i="24"/>
  <c r="F330" i="24"/>
  <c r="H330" i="24"/>
  <c r="I330" i="24"/>
  <c r="J330" i="24"/>
  <c r="L330" i="24"/>
  <c r="M330" i="24"/>
  <c r="N330" i="24"/>
  <c r="P330" i="24"/>
  <c r="Q330" i="24"/>
  <c r="R330" i="24"/>
  <c r="T330" i="24"/>
  <c r="U330" i="24"/>
  <c r="V330" i="24"/>
  <c r="X330" i="24"/>
  <c r="Y330" i="24"/>
  <c r="Z330" i="24"/>
  <c r="AB330" i="24"/>
  <c r="AC330" i="24"/>
  <c r="AD330" i="24"/>
  <c r="AF330" i="24"/>
  <c r="AG330" i="24"/>
  <c r="AH330" i="24"/>
  <c r="AJ330" i="24"/>
  <c r="AK330" i="24"/>
  <c r="AL330" i="24"/>
  <c r="AN330" i="24"/>
  <c r="AO330" i="24"/>
  <c r="AP330" i="24"/>
  <c r="AR330" i="24"/>
  <c r="AS330" i="24"/>
  <c r="AT330" i="24"/>
  <c r="AV330" i="24"/>
  <c r="AW330" i="24"/>
  <c r="AX330" i="24"/>
  <c r="AZ330" i="24"/>
  <c r="BA330" i="24"/>
  <c r="BB330" i="24"/>
  <c r="BD330" i="24"/>
  <c r="BE330" i="24"/>
  <c r="BF330" i="24"/>
  <c r="BH330" i="24"/>
  <c r="BI330" i="24"/>
  <c r="BJ330" i="24"/>
  <c r="B331" i="24"/>
  <c r="D331" i="24"/>
  <c r="E331" i="24"/>
  <c r="F331" i="24"/>
  <c r="H331" i="24"/>
  <c r="I331" i="24"/>
  <c r="J331" i="24"/>
  <c r="L331" i="24"/>
  <c r="M331" i="24"/>
  <c r="N331" i="24"/>
  <c r="P331" i="24"/>
  <c r="Q331" i="24"/>
  <c r="R331" i="24"/>
  <c r="T331" i="24"/>
  <c r="U331" i="24"/>
  <c r="V331" i="24"/>
  <c r="X331" i="24"/>
  <c r="Y331" i="24"/>
  <c r="Z331" i="24"/>
  <c r="AB331" i="24"/>
  <c r="AC331" i="24"/>
  <c r="AD331" i="24"/>
  <c r="AH331" i="24"/>
  <c r="AJ331" i="24"/>
  <c r="AK331" i="24"/>
  <c r="AL331" i="24"/>
  <c r="AN331" i="24"/>
  <c r="AO331" i="24"/>
  <c r="AP331" i="24"/>
  <c r="AR331" i="24"/>
  <c r="AS331" i="24"/>
  <c r="AT331" i="24"/>
  <c r="AV331" i="24"/>
  <c r="AW331" i="24"/>
  <c r="AX331" i="24"/>
  <c r="AZ331" i="24"/>
  <c r="BA331" i="24"/>
  <c r="BB331" i="24"/>
  <c r="BD331" i="24"/>
  <c r="BE331" i="24"/>
  <c r="BF331" i="24"/>
  <c r="BH331" i="24"/>
  <c r="BI331" i="24"/>
  <c r="BJ331" i="24"/>
  <c r="B332" i="24"/>
  <c r="D332" i="24"/>
  <c r="E332" i="24"/>
  <c r="F332" i="24"/>
  <c r="H332" i="24"/>
  <c r="I332" i="24"/>
  <c r="J332" i="24"/>
  <c r="L332" i="24"/>
  <c r="M332" i="24"/>
  <c r="N332" i="24"/>
  <c r="P332" i="24"/>
  <c r="Q332" i="24"/>
  <c r="R332" i="24"/>
  <c r="T332" i="24"/>
  <c r="U332" i="24"/>
  <c r="V332" i="24"/>
  <c r="X332" i="24"/>
  <c r="Y332" i="24"/>
  <c r="Z332" i="24"/>
  <c r="AB332" i="24"/>
  <c r="AC332" i="24"/>
  <c r="AD332" i="24"/>
  <c r="AF332" i="24"/>
  <c r="AG332" i="24"/>
  <c r="AH332" i="24"/>
  <c r="AJ332" i="24"/>
  <c r="AK332" i="24"/>
  <c r="AL332" i="24"/>
  <c r="AN332" i="24"/>
  <c r="AO332" i="24"/>
  <c r="AP332" i="24"/>
  <c r="AR332" i="24"/>
  <c r="AS332" i="24"/>
  <c r="AT332" i="24"/>
  <c r="AV332" i="24"/>
  <c r="AW332" i="24"/>
  <c r="AZ332" i="24"/>
  <c r="BA332" i="24"/>
  <c r="BB332" i="24"/>
  <c r="BD332" i="24"/>
  <c r="BE332" i="24"/>
  <c r="BF332" i="24"/>
  <c r="BH332" i="24"/>
  <c r="BI332" i="24"/>
  <c r="BJ332" i="24"/>
  <c r="B333" i="24"/>
  <c r="D333" i="24"/>
  <c r="E333" i="24"/>
  <c r="F333" i="24"/>
  <c r="H333" i="24"/>
  <c r="I333" i="24"/>
  <c r="J333" i="24"/>
  <c r="L333" i="24"/>
  <c r="M333" i="24"/>
  <c r="N333" i="24"/>
  <c r="P333" i="24"/>
  <c r="Q333" i="24"/>
  <c r="R333" i="24"/>
  <c r="T333" i="24"/>
  <c r="U333" i="24"/>
  <c r="V333" i="24"/>
  <c r="X333" i="24"/>
  <c r="Y333" i="24"/>
  <c r="Z333" i="24"/>
  <c r="AB333" i="24"/>
  <c r="AC333" i="24"/>
  <c r="AD333" i="24"/>
  <c r="AF333" i="24"/>
  <c r="AG333" i="24"/>
  <c r="AH333" i="24"/>
  <c r="AJ333" i="24"/>
  <c r="AK333" i="24"/>
  <c r="AL333" i="24"/>
  <c r="AN333" i="24"/>
  <c r="AO333" i="24"/>
  <c r="AP333" i="24"/>
  <c r="AR333" i="24"/>
  <c r="AS333" i="24"/>
  <c r="AT333" i="24"/>
  <c r="AV333" i="24"/>
  <c r="AW333" i="24"/>
  <c r="AX333" i="24"/>
  <c r="AZ333" i="24"/>
  <c r="BA333" i="24"/>
  <c r="BB333" i="24"/>
  <c r="BD333" i="24"/>
  <c r="BE333" i="24"/>
  <c r="BF333" i="24"/>
  <c r="BH333" i="24"/>
  <c r="BI333" i="24"/>
  <c r="BJ333" i="24"/>
  <c r="B334" i="24"/>
  <c r="D334" i="24"/>
  <c r="E334" i="24"/>
  <c r="F334" i="24"/>
  <c r="H334" i="24"/>
  <c r="I334" i="24"/>
  <c r="J334" i="24"/>
  <c r="L334" i="24"/>
  <c r="M334" i="24"/>
  <c r="N334" i="24"/>
  <c r="P334" i="24"/>
  <c r="Q334" i="24"/>
  <c r="R334" i="24"/>
  <c r="T334" i="24"/>
  <c r="U334" i="24"/>
  <c r="V334" i="24"/>
  <c r="X334" i="24"/>
  <c r="Y334" i="24"/>
  <c r="Z334" i="24"/>
  <c r="AB334" i="24"/>
  <c r="AC334" i="24"/>
  <c r="AD334" i="24"/>
  <c r="AF334" i="24"/>
  <c r="AG334" i="24"/>
  <c r="AH334" i="24"/>
  <c r="AJ334" i="24"/>
  <c r="AK334" i="24"/>
  <c r="AL334" i="24"/>
  <c r="AN334" i="24"/>
  <c r="AO334" i="24"/>
  <c r="AP334" i="24"/>
  <c r="AR334" i="24"/>
  <c r="AS334" i="24"/>
  <c r="AT334" i="24"/>
  <c r="AV334" i="24"/>
  <c r="AW334" i="24"/>
  <c r="AX334" i="24"/>
  <c r="AZ334" i="24"/>
  <c r="BA334" i="24"/>
  <c r="BB334" i="24"/>
  <c r="BD334" i="24"/>
  <c r="BE334" i="24"/>
  <c r="BF334" i="24"/>
  <c r="BH334" i="24"/>
  <c r="BI334" i="24"/>
  <c r="BJ334" i="24"/>
  <c r="B335" i="24"/>
  <c r="D335" i="24"/>
  <c r="E335" i="24"/>
  <c r="F335" i="24"/>
  <c r="H335" i="24"/>
  <c r="I335" i="24"/>
  <c r="J335" i="24"/>
  <c r="L335" i="24"/>
  <c r="M335" i="24"/>
  <c r="N335" i="24"/>
  <c r="P335" i="24"/>
  <c r="Q335" i="24"/>
  <c r="R335" i="24"/>
  <c r="T335" i="24"/>
  <c r="U335" i="24"/>
  <c r="V335" i="24"/>
  <c r="X335" i="24"/>
  <c r="Y335" i="24"/>
  <c r="Z335" i="24"/>
  <c r="AB335" i="24"/>
  <c r="AC335" i="24"/>
  <c r="AD335" i="24"/>
  <c r="AF335" i="24"/>
  <c r="AG335" i="24"/>
  <c r="AH335" i="24"/>
  <c r="AJ335" i="24"/>
  <c r="AK335" i="24"/>
  <c r="AL335" i="24"/>
  <c r="AN335" i="24"/>
  <c r="AO335" i="24"/>
  <c r="AP335" i="24"/>
  <c r="AR335" i="24"/>
  <c r="AS335" i="24"/>
  <c r="AT335" i="24"/>
  <c r="AV335" i="24"/>
  <c r="AW335" i="24"/>
  <c r="AX335" i="24"/>
  <c r="AZ335" i="24"/>
  <c r="BA335" i="24"/>
  <c r="BB335" i="24"/>
  <c r="BD335" i="24"/>
  <c r="BE335" i="24"/>
  <c r="BF335" i="24"/>
  <c r="BH335" i="24"/>
  <c r="BI335" i="24"/>
  <c r="BJ335" i="24"/>
  <c r="B336" i="24"/>
  <c r="D336" i="24"/>
  <c r="E336" i="24"/>
  <c r="F336" i="24"/>
  <c r="H336" i="24"/>
  <c r="I336" i="24"/>
  <c r="J336" i="24"/>
  <c r="L336" i="24"/>
  <c r="M336" i="24"/>
  <c r="N336" i="24"/>
  <c r="P336" i="24"/>
  <c r="Q336" i="24"/>
  <c r="R336" i="24"/>
  <c r="T336" i="24"/>
  <c r="U336" i="24"/>
  <c r="V336" i="24"/>
  <c r="X336" i="24"/>
  <c r="Y336" i="24"/>
  <c r="Z336" i="24"/>
  <c r="AB336" i="24"/>
  <c r="AC336" i="24"/>
  <c r="AD336" i="24"/>
  <c r="AF336" i="24"/>
  <c r="AG336" i="24"/>
  <c r="AJ336" i="24"/>
  <c r="AK336" i="24"/>
  <c r="AL336" i="24"/>
  <c r="AN336" i="24"/>
  <c r="AO336" i="24"/>
  <c r="AP336" i="24"/>
  <c r="AR336" i="24"/>
  <c r="AS336" i="24"/>
  <c r="AT336" i="24"/>
  <c r="AV336" i="24"/>
  <c r="AW336" i="24"/>
  <c r="AX336" i="24"/>
  <c r="AZ336" i="24"/>
  <c r="BA336" i="24"/>
  <c r="BB336" i="24"/>
  <c r="BD336" i="24"/>
  <c r="BE336" i="24"/>
  <c r="BF336" i="24"/>
  <c r="BH336" i="24"/>
  <c r="BI336" i="24"/>
  <c r="BJ336" i="24"/>
  <c r="B337" i="24"/>
  <c r="D337" i="24"/>
  <c r="E337" i="24"/>
  <c r="F337" i="24"/>
  <c r="H337" i="24"/>
  <c r="I337" i="24"/>
  <c r="J337" i="24"/>
  <c r="L337" i="24"/>
  <c r="M337" i="24"/>
  <c r="N337" i="24"/>
  <c r="P337" i="24"/>
  <c r="Q337" i="24"/>
  <c r="R337" i="24"/>
  <c r="T337" i="24"/>
  <c r="U337" i="24"/>
  <c r="V337" i="24"/>
  <c r="X337" i="24"/>
  <c r="Y337" i="24"/>
  <c r="Z337" i="24"/>
  <c r="AB337" i="24"/>
  <c r="AC337" i="24"/>
  <c r="AD337" i="24"/>
  <c r="AF337" i="24"/>
  <c r="AG337" i="24"/>
  <c r="AH337" i="24"/>
  <c r="AJ337" i="24"/>
  <c r="AK337" i="24"/>
  <c r="AL337" i="24"/>
  <c r="AN337" i="24"/>
  <c r="AO337" i="24"/>
  <c r="AP337" i="24"/>
  <c r="AR337" i="24"/>
  <c r="AS337" i="24"/>
  <c r="AT337" i="24"/>
  <c r="AV337" i="24"/>
  <c r="AW337" i="24"/>
  <c r="AX337" i="24"/>
  <c r="AZ337" i="24"/>
  <c r="BA337" i="24"/>
  <c r="BB337" i="24"/>
  <c r="BD337" i="24"/>
  <c r="BE337" i="24"/>
  <c r="BF337" i="24"/>
  <c r="BH337" i="24"/>
  <c r="BI337" i="24"/>
  <c r="BJ337" i="24"/>
  <c r="B338" i="24"/>
  <c r="D338" i="24"/>
  <c r="E338" i="24"/>
  <c r="F338" i="24"/>
  <c r="H338" i="24"/>
  <c r="I338" i="24"/>
  <c r="J338" i="24"/>
  <c r="L338" i="24"/>
  <c r="M338" i="24"/>
  <c r="N338" i="24"/>
  <c r="P338" i="24"/>
  <c r="Q338" i="24"/>
  <c r="R338" i="24"/>
  <c r="T338" i="24"/>
  <c r="U338" i="24"/>
  <c r="V338" i="24"/>
  <c r="X338" i="24"/>
  <c r="Y338" i="24"/>
  <c r="Z338" i="24"/>
  <c r="AB338" i="24"/>
  <c r="AC338" i="24"/>
  <c r="AD338" i="24"/>
  <c r="AF338" i="24"/>
  <c r="AG338" i="24"/>
  <c r="AH338" i="24"/>
  <c r="AJ338" i="24"/>
  <c r="AK338" i="24"/>
  <c r="AL338" i="24"/>
  <c r="AN338" i="24"/>
  <c r="AO338" i="24"/>
  <c r="AP338" i="24"/>
  <c r="AR338" i="24"/>
  <c r="AS338" i="24"/>
  <c r="AT338" i="24"/>
  <c r="AV338" i="24"/>
  <c r="AW338" i="24"/>
  <c r="AX338" i="24"/>
  <c r="AZ338" i="24"/>
  <c r="BA338" i="24"/>
  <c r="BB338" i="24"/>
  <c r="BD338" i="24"/>
  <c r="BE338" i="24"/>
  <c r="BF338" i="24"/>
  <c r="BH338" i="24"/>
  <c r="BI338" i="24"/>
  <c r="BJ338" i="24"/>
  <c r="B339" i="24"/>
  <c r="D339" i="24"/>
  <c r="E339" i="24"/>
  <c r="F339" i="24"/>
  <c r="H339" i="24"/>
  <c r="I339" i="24"/>
  <c r="J339" i="24"/>
  <c r="L339" i="24"/>
  <c r="M339" i="24"/>
  <c r="N339" i="24"/>
  <c r="P339" i="24"/>
  <c r="Q339" i="24"/>
  <c r="R339" i="24"/>
  <c r="T339" i="24"/>
  <c r="U339" i="24"/>
  <c r="V339" i="24"/>
  <c r="X339" i="24"/>
  <c r="Y339" i="24"/>
  <c r="Z339" i="24"/>
  <c r="AB339" i="24"/>
  <c r="AC339" i="24"/>
  <c r="AD339" i="24"/>
  <c r="AF339" i="24"/>
  <c r="AG339" i="24"/>
  <c r="AH339" i="24"/>
  <c r="AJ339" i="24"/>
  <c r="AK339" i="24"/>
  <c r="AL339" i="24"/>
  <c r="AN339" i="24"/>
  <c r="AO339" i="24"/>
  <c r="AP339" i="24"/>
  <c r="AR339" i="24"/>
  <c r="AS339" i="24"/>
  <c r="AT339" i="24"/>
  <c r="AV339" i="24"/>
  <c r="AW339" i="24"/>
  <c r="AX339" i="24"/>
  <c r="AZ339" i="24"/>
  <c r="BA339" i="24"/>
  <c r="BB339" i="24"/>
  <c r="BD339" i="24"/>
  <c r="BE339" i="24"/>
  <c r="BF339" i="24"/>
  <c r="BH339" i="24"/>
  <c r="BI339" i="24"/>
  <c r="BJ339" i="24"/>
  <c r="B340" i="24"/>
  <c r="D340" i="24"/>
  <c r="E340" i="24"/>
  <c r="F340" i="24"/>
  <c r="H340" i="24"/>
  <c r="I340" i="24"/>
  <c r="J340" i="24"/>
  <c r="L340" i="24"/>
  <c r="M340" i="24"/>
  <c r="N340" i="24"/>
  <c r="P340" i="24"/>
  <c r="Q340" i="24"/>
  <c r="R340" i="24"/>
  <c r="T340" i="24"/>
  <c r="U340" i="24"/>
  <c r="V340" i="24"/>
  <c r="X340" i="24"/>
  <c r="Y340" i="24"/>
  <c r="Z340" i="24"/>
  <c r="AB340" i="24"/>
  <c r="AC340" i="24"/>
  <c r="AD340" i="24"/>
  <c r="AF340" i="24"/>
  <c r="AG340" i="24"/>
  <c r="AH340" i="24"/>
  <c r="AJ340" i="24"/>
  <c r="AK340" i="24"/>
  <c r="AL340" i="24"/>
  <c r="AN340" i="24"/>
  <c r="AO340" i="24"/>
  <c r="AP340" i="24"/>
  <c r="AR340" i="24"/>
  <c r="AS340" i="24"/>
  <c r="AT340" i="24"/>
  <c r="AV340" i="24"/>
  <c r="AW340" i="24"/>
  <c r="AX340" i="24"/>
  <c r="AZ340" i="24"/>
  <c r="BA340" i="24"/>
  <c r="BB340" i="24"/>
  <c r="BD340" i="24"/>
  <c r="BE340" i="24"/>
  <c r="BF340" i="24"/>
  <c r="BH340" i="24"/>
  <c r="BI340" i="24"/>
  <c r="BJ340" i="24"/>
  <c r="B341" i="24"/>
  <c r="D341" i="24"/>
  <c r="E341" i="24"/>
  <c r="F341" i="24"/>
  <c r="H341" i="24"/>
  <c r="I341" i="24"/>
  <c r="J341" i="24"/>
  <c r="L341" i="24"/>
  <c r="M341" i="24"/>
  <c r="N341" i="24"/>
  <c r="P341" i="24"/>
  <c r="Q341" i="24"/>
  <c r="R341" i="24"/>
  <c r="T341" i="24"/>
  <c r="U341" i="24"/>
  <c r="V341" i="24"/>
  <c r="X341" i="24"/>
  <c r="Y341" i="24"/>
  <c r="Z341" i="24"/>
  <c r="AB341" i="24"/>
  <c r="AC341" i="24"/>
  <c r="AD341" i="24"/>
  <c r="AF341" i="24"/>
  <c r="AG341" i="24"/>
  <c r="AH341" i="24"/>
  <c r="AJ341" i="24"/>
  <c r="AK341" i="24"/>
  <c r="AL341" i="24"/>
  <c r="AN341" i="24"/>
  <c r="AO341" i="24"/>
  <c r="AP341" i="24"/>
  <c r="AR341" i="24"/>
  <c r="AS341" i="24"/>
  <c r="AT341" i="24"/>
  <c r="AV341" i="24"/>
  <c r="AW341" i="24"/>
  <c r="AX341" i="24"/>
  <c r="AZ341" i="24"/>
  <c r="BA341" i="24"/>
  <c r="BB341" i="24"/>
  <c r="BD341" i="24"/>
  <c r="BE341" i="24"/>
  <c r="BF341" i="24"/>
  <c r="BH341" i="24"/>
  <c r="BI341" i="24"/>
  <c r="BJ341" i="24"/>
  <c r="B342" i="24"/>
  <c r="D342" i="24"/>
  <c r="E342" i="24"/>
  <c r="F342" i="24"/>
  <c r="H342" i="24"/>
  <c r="I342" i="24"/>
  <c r="J342" i="24"/>
  <c r="L342" i="24"/>
  <c r="M342" i="24"/>
  <c r="N342" i="24"/>
  <c r="P342" i="24"/>
  <c r="Q342" i="24"/>
  <c r="R342" i="24"/>
  <c r="T342" i="24"/>
  <c r="U342" i="24"/>
  <c r="V342" i="24"/>
  <c r="X342" i="24"/>
  <c r="Y342" i="24"/>
  <c r="Z342" i="24"/>
  <c r="AB342" i="24"/>
  <c r="AC342" i="24"/>
  <c r="AD342" i="24"/>
  <c r="AF342" i="24"/>
  <c r="AG342" i="24"/>
  <c r="AH342" i="24"/>
  <c r="AJ342" i="24"/>
  <c r="AK342" i="24"/>
  <c r="AL342" i="24"/>
  <c r="AN342" i="24"/>
  <c r="AO342" i="24"/>
  <c r="AP342" i="24"/>
  <c r="AR342" i="24"/>
  <c r="AS342" i="24"/>
  <c r="AT342" i="24"/>
  <c r="AV342" i="24"/>
  <c r="AW342" i="24"/>
  <c r="AX342" i="24"/>
  <c r="AZ342" i="24"/>
  <c r="BA342" i="24"/>
  <c r="BB342" i="24"/>
  <c r="BD342" i="24"/>
  <c r="BE342" i="24"/>
  <c r="BF342" i="24"/>
  <c r="BH342" i="24"/>
  <c r="BI342" i="24"/>
  <c r="BJ342" i="24"/>
  <c r="B343" i="24"/>
  <c r="D343" i="24"/>
  <c r="E343" i="24"/>
  <c r="F343" i="24"/>
  <c r="H343" i="24"/>
  <c r="I343" i="24"/>
  <c r="J343" i="24"/>
  <c r="L343" i="24"/>
  <c r="M343" i="24"/>
  <c r="N343" i="24"/>
  <c r="P343" i="24"/>
  <c r="Q343" i="24"/>
  <c r="R343" i="24"/>
  <c r="T343" i="24"/>
  <c r="U343" i="24"/>
  <c r="V343" i="24"/>
  <c r="X343" i="24"/>
  <c r="Y343" i="24"/>
  <c r="Z343" i="24"/>
  <c r="AB343" i="24"/>
  <c r="AC343" i="24"/>
  <c r="AD343" i="24"/>
  <c r="AG343" i="24"/>
  <c r="AH343" i="24"/>
  <c r="AJ343" i="24"/>
  <c r="AK343" i="24"/>
  <c r="AL343" i="24"/>
  <c r="AN343" i="24"/>
  <c r="AO343" i="24"/>
  <c r="AP343" i="24"/>
  <c r="AR343" i="24"/>
  <c r="AS343" i="24"/>
  <c r="AT343" i="24"/>
  <c r="AV343" i="24"/>
  <c r="AW343" i="24"/>
  <c r="AX343" i="24"/>
  <c r="AZ343" i="24"/>
  <c r="BA343" i="24"/>
  <c r="BB343" i="24"/>
  <c r="BD343" i="24"/>
  <c r="BE343" i="24"/>
  <c r="BF343" i="24"/>
  <c r="BH343" i="24"/>
  <c r="BI343" i="24"/>
  <c r="BJ343" i="24"/>
  <c r="B344" i="24"/>
  <c r="D344" i="24"/>
  <c r="E344" i="24"/>
  <c r="F344" i="24"/>
  <c r="H344" i="24"/>
  <c r="I344" i="24"/>
  <c r="J344" i="24"/>
  <c r="L344" i="24"/>
  <c r="M344" i="24"/>
  <c r="N344" i="24"/>
  <c r="P344" i="24"/>
  <c r="Q344" i="24"/>
  <c r="R344" i="24"/>
  <c r="T344" i="24"/>
  <c r="U344" i="24"/>
  <c r="V344" i="24"/>
  <c r="X344" i="24"/>
  <c r="Y344" i="24"/>
  <c r="Z344" i="24"/>
  <c r="AB344" i="24"/>
  <c r="AC344" i="24"/>
  <c r="AD344" i="24"/>
  <c r="AF344" i="24"/>
  <c r="AG344" i="24"/>
  <c r="AH344" i="24"/>
  <c r="AJ344" i="24"/>
  <c r="AK344" i="24"/>
  <c r="AL344" i="24"/>
  <c r="AN344" i="24"/>
  <c r="AO344" i="24"/>
  <c r="AP344" i="24"/>
  <c r="AR344" i="24"/>
  <c r="AS344" i="24"/>
  <c r="AT344" i="24"/>
  <c r="AV344" i="24"/>
  <c r="AW344" i="24"/>
  <c r="AX344" i="24"/>
  <c r="AZ344" i="24"/>
  <c r="BA344" i="24"/>
  <c r="BB344" i="24"/>
  <c r="BD344" i="24"/>
  <c r="BE344" i="24"/>
  <c r="BF344" i="24"/>
  <c r="BH344" i="24"/>
  <c r="BI344" i="24"/>
  <c r="BJ344" i="24"/>
  <c r="B345" i="24"/>
  <c r="D345" i="24"/>
  <c r="E345" i="24"/>
  <c r="F345" i="24"/>
  <c r="H345" i="24"/>
  <c r="I345" i="24"/>
  <c r="J345" i="24"/>
  <c r="L345" i="24"/>
  <c r="M345" i="24"/>
  <c r="N345" i="24"/>
  <c r="P345" i="24"/>
  <c r="Q345" i="24"/>
  <c r="R345" i="24"/>
  <c r="T345" i="24"/>
  <c r="U345" i="24"/>
  <c r="V345" i="24"/>
  <c r="X345" i="24"/>
  <c r="Y345" i="24"/>
  <c r="Z345" i="24"/>
  <c r="AB345" i="24"/>
  <c r="AC345" i="24"/>
  <c r="AD345" i="24"/>
  <c r="AF345" i="24"/>
  <c r="AG345" i="24"/>
  <c r="AH345" i="24"/>
  <c r="AJ345" i="24"/>
  <c r="AK345" i="24"/>
  <c r="AL345" i="24"/>
  <c r="AN345" i="24"/>
  <c r="AO345" i="24"/>
  <c r="AP345" i="24"/>
  <c r="AR345" i="24"/>
  <c r="AS345" i="24"/>
  <c r="AT345" i="24"/>
  <c r="AV345" i="24"/>
  <c r="AW345" i="24"/>
  <c r="AX345" i="24"/>
  <c r="AZ345" i="24"/>
  <c r="BA345" i="24"/>
  <c r="BB345" i="24"/>
  <c r="BD345" i="24"/>
  <c r="BE345" i="24"/>
  <c r="BF345" i="24"/>
  <c r="BH345" i="24"/>
  <c r="BI345" i="24"/>
  <c r="BJ345" i="24"/>
  <c r="B346" i="24"/>
  <c r="D346" i="24"/>
  <c r="E346" i="24"/>
  <c r="F346" i="24"/>
  <c r="H346" i="24"/>
  <c r="I346" i="24"/>
  <c r="J346" i="24"/>
  <c r="L346" i="24"/>
  <c r="M346" i="24"/>
  <c r="N346" i="24"/>
  <c r="P346" i="24"/>
  <c r="Q346" i="24"/>
  <c r="R346" i="24"/>
  <c r="T346" i="24"/>
  <c r="U346" i="24"/>
  <c r="V346" i="24"/>
  <c r="X346" i="24"/>
  <c r="Y346" i="24"/>
  <c r="Z346" i="24"/>
  <c r="AB346" i="24"/>
  <c r="AC346" i="24"/>
  <c r="AD346" i="24"/>
  <c r="AF346" i="24"/>
  <c r="AG346" i="24"/>
  <c r="AH346" i="24"/>
  <c r="AJ346" i="24"/>
  <c r="AK346" i="24"/>
  <c r="AL346" i="24"/>
  <c r="AN346" i="24"/>
  <c r="AO346" i="24"/>
  <c r="AP346" i="24"/>
  <c r="AR346" i="24"/>
  <c r="AS346" i="24"/>
  <c r="AT346" i="24"/>
  <c r="AV346" i="24"/>
  <c r="AW346" i="24"/>
  <c r="AX346" i="24"/>
  <c r="AZ346" i="24"/>
  <c r="BA346" i="24"/>
  <c r="BB346" i="24"/>
  <c r="BD346" i="24"/>
  <c r="BE346" i="24"/>
  <c r="BF346" i="24"/>
  <c r="BH346" i="24"/>
  <c r="BI346" i="24"/>
  <c r="BJ346" i="24"/>
  <c r="B347" i="24"/>
  <c r="D347" i="24"/>
  <c r="E347" i="24"/>
  <c r="F347" i="24"/>
  <c r="H347" i="24"/>
  <c r="I347" i="24"/>
  <c r="J347" i="24"/>
  <c r="L347" i="24"/>
  <c r="M347" i="24"/>
  <c r="N347" i="24"/>
  <c r="P347" i="24"/>
  <c r="Q347" i="24"/>
  <c r="R347" i="24"/>
  <c r="T347" i="24"/>
  <c r="U347" i="24"/>
  <c r="V347" i="24"/>
  <c r="X347" i="24"/>
  <c r="Y347" i="24"/>
  <c r="Z347" i="24"/>
  <c r="AB347" i="24"/>
  <c r="AC347" i="24"/>
  <c r="AD347" i="24"/>
  <c r="AF347" i="24"/>
  <c r="AG347" i="24"/>
  <c r="AH347" i="24"/>
  <c r="AJ347" i="24"/>
  <c r="AK347" i="24"/>
  <c r="AL347" i="24"/>
  <c r="AN347" i="24"/>
  <c r="AO347" i="24"/>
  <c r="AP347" i="24"/>
  <c r="AR347" i="24"/>
  <c r="AS347" i="24"/>
  <c r="AV347" i="24"/>
  <c r="AW347" i="24"/>
  <c r="AX347" i="24"/>
  <c r="AZ347" i="24"/>
  <c r="BA347" i="24"/>
  <c r="BB347" i="24"/>
  <c r="BD347" i="24"/>
  <c r="BE347" i="24"/>
  <c r="BF347" i="24"/>
  <c r="BH347" i="24"/>
  <c r="BI347" i="24"/>
  <c r="BJ347" i="24"/>
  <c r="B348" i="24"/>
  <c r="D348" i="24"/>
  <c r="E348" i="24"/>
  <c r="F348" i="24"/>
  <c r="H348" i="24"/>
  <c r="I348" i="24"/>
  <c r="J348" i="24"/>
  <c r="L348" i="24"/>
  <c r="M348" i="24"/>
  <c r="N348" i="24"/>
  <c r="P348" i="24"/>
  <c r="Q348" i="24"/>
  <c r="R348" i="24"/>
  <c r="T348" i="24"/>
  <c r="U348" i="24"/>
  <c r="V348" i="24"/>
  <c r="X348" i="24"/>
  <c r="Y348" i="24"/>
  <c r="Z348" i="24"/>
  <c r="AB348" i="24"/>
  <c r="AC348" i="24"/>
  <c r="AD348" i="24"/>
  <c r="AF348" i="24"/>
  <c r="AG348" i="24"/>
  <c r="AH348" i="24"/>
  <c r="AJ348" i="24"/>
  <c r="AK348" i="24"/>
  <c r="AL348" i="24"/>
  <c r="AN348" i="24"/>
  <c r="AO348" i="24"/>
  <c r="AP348" i="24"/>
  <c r="AR348" i="24"/>
  <c r="AS348" i="24"/>
  <c r="AT348" i="24"/>
  <c r="AV348" i="24"/>
  <c r="AW348" i="24"/>
  <c r="AX348" i="24"/>
  <c r="AZ348" i="24"/>
  <c r="BA348" i="24"/>
  <c r="BB348" i="24"/>
  <c r="BD348" i="24"/>
  <c r="BE348" i="24"/>
  <c r="BF348" i="24"/>
  <c r="BH348" i="24"/>
  <c r="BI348" i="24"/>
  <c r="BJ348" i="24"/>
  <c r="B349" i="24"/>
  <c r="E349" i="24"/>
  <c r="F349" i="24"/>
  <c r="H349" i="24"/>
  <c r="I349" i="24"/>
  <c r="J349" i="24"/>
  <c r="M349" i="24"/>
  <c r="N349" i="24"/>
  <c r="P349" i="24"/>
  <c r="Q349" i="24"/>
  <c r="R349" i="24"/>
  <c r="T349" i="24"/>
  <c r="U349" i="24"/>
  <c r="V349" i="24"/>
  <c r="X349" i="24"/>
  <c r="Y349" i="24"/>
  <c r="Z349" i="24"/>
  <c r="AB349" i="24"/>
  <c r="AC349" i="24"/>
  <c r="AD349" i="24"/>
  <c r="AF349" i="24"/>
  <c r="AG349" i="24"/>
  <c r="AH349" i="24"/>
  <c r="AJ349" i="24"/>
  <c r="AK349" i="24"/>
  <c r="AL349" i="24"/>
  <c r="AN349" i="24"/>
  <c r="AO349" i="24"/>
  <c r="AP349" i="24"/>
  <c r="AR349" i="24"/>
  <c r="AS349" i="24"/>
  <c r="AT349" i="24"/>
  <c r="AV349" i="24"/>
  <c r="AW349" i="24"/>
  <c r="AX349" i="24"/>
  <c r="AZ349" i="24"/>
  <c r="BA349" i="24"/>
  <c r="BB349" i="24"/>
  <c r="BD349" i="24"/>
  <c r="BE349" i="24"/>
  <c r="BF349" i="24"/>
  <c r="BH349" i="24"/>
  <c r="BI349" i="24"/>
  <c r="BJ349" i="24"/>
  <c r="B350" i="24"/>
  <c r="D350" i="24"/>
  <c r="E350" i="24"/>
  <c r="F350" i="24"/>
  <c r="H350" i="24"/>
  <c r="I350" i="24"/>
  <c r="J350" i="24"/>
  <c r="L350" i="24"/>
  <c r="M350" i="24"/>
  <c r="N350" i="24"/>
  <c r="P350" i="24"/>
  <c r="Q350" i="24"/>
  <c r="R350" i="24"/>
  <c r="T350" i="24"/>
  <c r="U350" i="24"/>
  <c r="V350" i="24"/>
  <c r="X350" i="24"/>
  <c r="Y350" i="24"/>
  <c r="Z350" i="24"/>
  <c r="AB350" i="24"/>
  <c r="AD350" i="24"/>
  <c r="AF350" i="24"/>
  <c r="AG350" i="24"/>
  <c r="AH350" i="24"/>
  <c r="AJ350" i="24"/>
  <c r="AK350" i="24"/>
  <c r="AL350" i="24"/>
  <c r="AN350" i="24"/>
  <c r="AO350" i="24"/>
  <c r="AP350" i="24"/>
  <c r="AR350" i="24"/>
  <c r="AS350" i="24"/>
  <c r="AT350" i="24"/>
  <c r="AV350" i="24"/>
  <c r="AW350" i="24"/>
  <c r="AX350" i="24"/>
  <c r="AZ350" i="24"/>
  <c r="BA350" i="24"/>
  <c r="BB350" i="24"/>
  <c r="BD350" i="24"/>
  <c r="BE350" i="24"/>
  <c r="BF350" i="24"/>
  <c r="BH350" i="24"/>
  <c r="BI350" i="24"/>
  <c r="BJ350" i="24"/>
  <c r="B351" i="24"/>
  <c r="D351" i="24"/>
  <c r="E351" i="24"/>
  <c r="F351" i="24"/>
  <c r="H351" i="24"/>
  <c r="I351" i="24"/>
  <c r="J351" i="24"/>
  <c r="L351" i="24"/>
  <c r="M351" i="24"/>
  <c r="N351" i="24"/>
  <c r="P351" i="24"/>
  <c r="Q351" i="24"/>
  <c r="R351" i="24"/>
  <c r="T351" i="24"/>
  <c r="U351" i="24"/>
  <c r="V351" i="24"/>
  <c r="X351" i="24"/>
  <c r="Y351" i="24"/>
  <c r="Z351" i="24"/>
  <c r="AB351" i="24"/>
  <c r="AC351" i="24"/>
  <c r="AD351" i="24"/>
  <c r="AF351" i="24"/>
  <c r="AG351" i="24"/>
  <c r="AH351" i="24"/>
  <c r="AJ351" i="24"/>
  <c r="AK351" i="24"/>
  <c r="AL351" i="24"/>
  <c r="AN351" i="24"/>
  <c r="AO351" i="24"/>
  <c r="AP351" i="24"/>
  <c r="AR351" i="24"/>
  <c r="AS351" i="24"/>
  <c r="AV351" i="24"/>
  <c r="AW351" i="24"/>
  <c r="AX351" i="24"/>
  <c r="AZ351" i="24"/>
  <c r="BA351" i="24"/>
  <c r="BB351" i="24"/>
  <c r="BD351" i="24"/>
  <c r="BE351" i="24"/>
  <c r="BF351" i="24"/>
  <c r="BH351" i="24"/>
  <c r="BI351" i="24"/>
  <c r="BJ351" i="24"/>
  <c r="B352" i="24"/>
  <c r="D352" i="24"/>
  <c r="E352" i="24"/>
  <c r="F352" i="24"/>
  <c r="H352" i="24"/>
  <c r="I352" i="24"/>
  <c r="J352" i="24"/>
  <c r="L352" i="24"/>
  <c r="M352" i="24"/>
  <c r="N352" i="24"/>
  <c r="P352" i="24"/>
  <c r="Q352" i="24"/>
  <c r="R352" i="24"/>
  <c r="T352" i="24"/>
  <c r="U352" i="24"/>
  <c r="V352" i="24"/>
  <c r="X352" i="24"/>
  <c r="Y352" i="24"/>
  <c r="Z352" i="24"/>
  <c r="AB352" i="24"/>
  <c r="AC352" i="24"/>
  <c r="AD352" i="24"/>
  <c r="AF352" i="24"/>
  <c r="AG352" i="24"/>
  <c r="AH352" i="24"/>
  <c r="AJ352" i="24"/>
  <c r="AK352" i="24"/>
  <c r="AL352" i="24"/>
  <c r="AN352" i="24"/>
  <c r="AO352" i="24"/>
  <c r="AP352" i="24"/>
  <c r="AR352" i="24"/>
  <c r="AS352" i="24"/>
  <c r="AT352" i="24"/>
  <c r="AV352" i="24"/>
  <c r="AW352" i="24"/>
  <c r="AX352" i="24"/>
  <c r="AZ352" i="24"/>
  <c r="BA352" i="24"/>
  <c r="BB352" i="24"/>
  <c r="BD352" i="24"/>
  <c r="BE352" i="24"/>
  <c r="BF352" i="24"/>
  <c r="BH352" i="24"/>
  <c r="BI352" i="24"/>
  <c r="BJ352" i="24"/>
  <c r="B353" i="24"/>
  <c r="E353" i="24"/>
  <c r="F353" i="24"/>
  <c r="H353" i="24"/>
  <c r="I353" i="24"/>
  <c r="J353" i="24"/>
  <c r="M353" i="24"/>
  <c r="N353" i="24"/>
  <c r="P353" i="24"/>
  <c r="Q353" i="24"/>
  <c r="R353" i="24"/>
  <c r="T353" i="24"/>
  <c r="U353" i="24"/>
  <c r="V353" i="24"/>
  <c r="X353" i="24"/>
  <c r="Y353" i="24"/>
  <c r="Z353" i="24"/>
  <c r="AB353" i="24"/>
  <c r="AC353" i="24"/>
  <c r="AD353" i="24"/>
  <c r="AF353" i="24"/>
  <c r="AG353" i="24"/>
  <c r="AH353" i="24"/>
  <c r="AJ353" i="24"/>
  <c r="AK353" i="24"/>
  <c r="AL353" i="24"/>
  <c r="AN353" i="24"/>
  <c r="AO353" i="24"/>
  <c r="AP353" i="24"/>
  <c r="AR353" i="24"/>
  <c r="AS353" i="24"/>
  <c r="AT353" i="24"/>
  <c r="AV353" i="24"/>
  <c r="AW353" i="24"/>
  <c r="AX353" i="24"/>
  <c r="AZ353" i="24"/>
  <c r="BA353" i="24"/>
  <c r="BB353" i="24"/>
  <c r="BD353" i="24"/>
  <c r="BE353" i="24"/>
  <c r="BF353" i="24"/>
  <c r="BH353" i="24"/>
  <c r="BI353" i="24"/>
  <c r="BJ353" i="24"/>
  <c r="B354" i="24"/>
  <c r="D354" i="24"/>
  <c r="E354" i="24"/>
  <c r="F354" i="24"/>
  <c r="H354" i="24"/>
  <c r="I354" i="24"/>
  <c r="J354" i="24"/>
  <c r="L354" i="24"/>
  <c r="M354" i="24"/>
  <c r="N354" i="24"/>
  <c r="P354" i="24"/>
  <c r="Q354" i="24"/>
  <c r="R354" i="24"/>
  <c r="T354" i="24"/>
  <c r="U354" i="24"/>
  <c r="V354" i="24"/>
  <c r="X354" i="24"/>
  <c r="Y354" i="24"/>
  <c r="Z354" i="24"/>
  <c r="AB354" i="24"/>
  <c r="AD354" i="24"/>
  <c r="AF354" i="24"/>
  <c r="AG354" i="24"/>
  <c r="AH354" i="24"/>
  <c r="AJ354" i="24"/>
  <c r="AK354" i="24"/>
  <c r="AL354" i="24"/>
  <c r="AN354" i="24"/>
  <c r="AO354" i="24"/>
  <c r="AP354" i="24"/>
  <c r="AR354" i="24"/>
  <c r="AS354" i="24"/>
  <c r="AT354" i="24"/>
  <c r="AV354" i="24"/>
  <c r="AW354" i="24"/>
  <c r="AX354" i="24"/>
  <c r="AZ354" i="24"/>
  <c r="BA354" i="24"/>
  <c r="BB354" i="24"/>
  <c r="BD354" i="24"/>
  <c r="BE354" i="24"/>
  <c r="BF354" i="24"/>
  <c r="BH354" i="24"/>
  <c r="BI354" i="24"/>
  <c r="BJ354" i="24"/>
  <c r="B355" i="24"/>
  <c r="D355" i="24"/>
  <c r="E355" i="24"/>
  <c r="F355" i="24"/>
  <c r="H355" i="24"/>
  <c r="I355" i="24"/>
  <c r="J355" i="24"/>
  <c r="L355" i="24"/>
  <c r="M355" i="24"/>
  <c r="N355" i="24"/>
  <c r="P355" i="24"/>
  <c r="Q355" i="24"/>
  <c r="R355" i="24"/>
  <c r="T355" i="24"/>
  <c r="U355" i="24"/>
  <c r="V355" i="24"/>
  <c r="X355" i="24"/>
  <c r="Y355" i="24"/>
  <c r="Z355" i="24"/>
  <c r="AB355" i="24"/>
  <c r="AC355" i="24"/>
  <c r="AD355" i="24"/>
  <c r="AF355" i="24"/>
  <c r="AG355" i="24"/>
  <c r="AH355" i="24"/>
  <c r="AJ355" i="24"/>
  <c r="AK355" i="24"/>
  <c r="AL355" i="24"/>
  <c r="AN355" i="24"/>
  <c r="AO355" i="24"/>
  <c r="AP355" i="24"/>
  <c r="AR355" i="24"/>
  <c r="AS355" i="24"/>
  <c r="AV355" i="24"/>
  <c r="AW355" i="24"/>
  <c r="AX355" i="24"/>
  <c r="AZ355" i="24"/>
  <c r="BA355" i="24"/>
  <c r="BB355" i="24"/>
  <c r="BD355" i="24"/>
  <c r="BE355" i="24"/>
  <c r="BF355" i="24"/>
  <c r="BH355" i="24"/>
  <c r="BI355" i="24"/>
  <c r="BJ355" i="24"/>
  <c r="B356" i="24"/>
  <c r="D356" i="24"/>
  <c r="E356" i="24"/>
  <c r="F356" i="24"/>
  <c r="H356" i="24"/>
  <c r="I356" i="24"/>
  <c r="J356" i="24"/>
  <c r="L356" i="24"/>
  <c r="M356" i="24"/>
  <c r="N356" i="24"/>
  <c r="P356" i="24"/>
  <c r="Q356" i="24"/>
  <c r="R356" i="24"/>
  <c r="T356" i="24"/>
  <c r="U356" i="24"/>
  <c r="V356" i="24"/>
  <c r="X356" i="24"/>
  <c r="Y356" i="24"/>
  <c r="Z356" i="24"/>
  <c r="AB356" i="24"/>
  <c r="AC356" i="24"/>
  <c r="AD356" i="24"/>
  <c r="AF356" i="24"/>
  <c r="AG356" i="24"/>
  <c r="AH356" i="24"/>
  <c r="AJ356" i="24"/>
  <c r="AK356" i="24"/>
  <c r="AL356" i="24"/>
  <c r="AN356" i="24"/>
  <c r="AO356" i="24"/>
  <c r="AP356" i="24"/>
  <c r="AR356" i="24"/>
  <c r="AS356" i="24"/>
  <c r="AT356" i="24"/>
  <c r="AV356" i="24"/>
  <c r="AW356" i="24"/>
  <c r="AX356" i="24"/>
  <c r="AZ356" i="24"/>
  <c r="BA356" i="24"/>
  <c r="BB356" i="24"/>
  <c r="BD356" i="24"/>
  <c r="BE356" i="24"/>
  <c r="BF356" i="24"/>
  <c r="BH356" i="24"/>
  <c r="BI356" i="24"/>
  <c r="BJ356" i="24"/>
  <c r="B357" i="24"/>
  <c r="E357" i="24"/>
  <c r="F357" i="24"/>
  <c r="H357" i="24"/>
  <c r="I357" i="24"/>
  <c r="J357" i="24"/>
  <c r="M357" i="24"/>
  <c r="N357" i="24"/>
  <c r="P357" i="24"/>
  <c r="Q357" i="24"/>
  <c r="R357" i="24"/>
  <c r="T357" i="24"/>
  <c r="U357" i="24"/>
  <c r="V357" i="24"/>
  <c r="X357" i="24"/>
  <c r="Y357" i="24"/>
  <c r="Z357" i="24"/>
  <c r="AB357" i="24"/>
  <c r="AC357" i="24"/>
  <c r="AD357" i="24"/>
  <c r="AF357" i="24"/>
  <c r="AG357" i="24"/>
  <c r="AH357" i="24"/>
  <c r="AJ357" i="24"/>
  <c r="AK357" i="24"/>
  <c r="AL357" i="24"/>
  <c r="AN357" i="24"/>
  <c r="AO357" i="24"/>
  <c r="AP357" i="24"/>
  <c r="AR357" i="24"/>
  <c r="AS357" i="24"/>
  <c r="AT357" i="24"/>
  <c r="AV357" i="24"/>
  <c r="AW357" i="24"/>
  <c r="AX357" i="24"/>
  <c r="AZ357" i="24"/>
  <c r="BA357" i="24"/>
  <c r="BB357" i="24"/>
  <c r="BD357" i="24"/>
  <c r="BE357" i="24"/>
  <c r="BF357" i="24"/>
  <c r="BH357" i="24"/>
  <c r="BI357" i="24"/>
  <c r="BJ357" i="24"/>
  <c r="B358" i="24"/>
  <c r="D358" i="24"/>
  <c r="E358" i="24"/>
  <c r="F358" i="24"/>
  <c r="H358" i="24"/>
  <c r="I358" i="24"/>
  <c r="J358" i="24"/>
  <c r="L358" i="24"/>
  <c r="M358" i="24"/>
  <c r="N358" i="24"/>
  <c r="P358" i="24"/>
  <c r="Q358" i="24"/>
  <c r="R358" i="24"/>
  <c r="T358" i="24"/>
  <c r="U358" i="24"/>
  <c r="V358" i="24"/>
  <c r="X358" i="24"/>
  <c r="Y358" i="24"/>
  <c r="Z358" i="24"/>
  <c r="AB358" i="24"/>
  <c r="AD358" i="24"/>
  <c r="AF358" i="24"/>
  <c r="AG358" i="24"/>
  <c r="AH358" i="24"/>
  <c r="AJ358" i="24"/>
  <c r="AK358" i="24"/>
  <c r="AL358" i="24"/>
  <c r="AN358" i="24"/>
  <c r="AO358" i="24"/>
  <c r="AP358" i="24"/>
  <c r="AR358" i="24"/>
  <c r="AS358" i="24"/>
  <c r="AT358" i="24"/>
  <c r="AV358" i="24"/>
  <c r="AW358" i="24"/>
  <c r="AX358" i="24"/>
  <c r="AZ358" i="24"/>
  <c r="BA358" i="24"/>
  <c r="BB358" i="24"/>
  <c r="BD358" i="24"/>
  <c r="BE358" i="24"/>
  <c r="BF358" i="24"/>
  <c r="BH358" i="24"/>
  <c r="BI358" i="24"/>
  <c r="BJ358" i="24"/>
  <c r="B359" i="24"/>
  <c r="D359" i="24"/>
  <c r="E359" i="24"/>
  <c r="F359" i="24"/>
  <c r="H359" i="24"/>
  <c r="I359" i="24"/>
  <c r="J359" i="24"/>
  <c r="L359" i="24"/>
  <c r="M359" i="24"/>
  <c r="N359" i="24"/>
  <c r="P359" i="24"/>
  <c r="Q359" i="24"/>
  <c r="R359" i="24"/>
  <c r="T359" i="24"/>
  <c r="U359" i="24"/>
  <c r="V359" i="24"/>
  <c r="X359" i="24"/>
  <c r="Y359" i="24"/>
  <c r="Z359" i="24"/>
  <c r="AB359" i="24"/>
  <c r="AC359" i="24"/>
  <c r="AD359" i="24"/>
  <c r="AF359" i="24"/>
  <c r="AG359" i="24"/>
  <c r="AH359" i="24"/>
  <c r="AJ359" i="24"/>
  <c r="AK359" i="24"/>
  <c r="AL359" i="24"/>
  <c r="AN359" i="24"/>
  <c r="AO359" i="24"/>
  <c r="AP359" i="24"/>
  <c r="AR359" i="24"/>
  <c r="AS359" i="24"/>
  <c r="AV359" i="24"/>
  <c r="AW359" i="24"/>
  <c r="AX359" i="24"/>
  <c r="AZ359" i="24"/>
  <c r="BA359" i="24"/>
  <c r="BB359" i="24"/>
  <c r="BD359" i="24"/>
  <c r="BE359" i="24"/>
  <c r="BF359" i="24"/>
  <c r="BH359" i="24"/>
  <c r="BI359" i="24"/>
  <c r="BJ359" i="24"/>
  <c r="B360" i="24"/>
  <c r="D360" i="24"/>
  <c r="E360" i="24"/>
  <c r="F360" i="24"/>
  <c r="H360" i="24"/>
  <c r="I360" i="24"/>
  <c r="J360" i="24"/>
  <c r="L360" i="24"/>
  <c r="M360" i="24"/>
  <c r="N360" i="24"/>
  <c r="P360" i="24"/>
  <c r="Q360" i="24"/>
  <c r="R360" i="24"/>
  <c r="T360" i="24"/>
  <c r="U360" i="24"/>
  <c r="V360" i="24"/>
  <c r="X360" i="24"/>
  <c r="Y360" i="24"/>
  <c r="Z360" i="24"/>
  <c r="AB360" i="24"/>
  <c r="AC360" i="24"/>
  <c r="AD360" i="24"/>
  <c r="AF360" i="24"/>
  <c r="AG360" i="24"/>
  <c r="AH360" i="24"/>
  <c r="AJ360" i="24"/>
  <c r="AK360" i="24"/>
  <c r="AL360" i="24"/>
  <c r="AN360" i="24"/>
  <c r="AO360" i="24"/>
  <c r="AP360" i="24"/>
  <c r="AR360" i="24"/>
  <c r="AS360" i="24"/>
  <c r="AT360" i="24"/>
  <c r="AV360" i="24"/>
  <c r="AW360" i="24"/>
  <c r="AX360" i="24"/>
  <c r="AZ360" i="24"/>
  <c r="BA360" i="24"/>
  <c r="BB360" i="24"/>
  <c r="BD360" i="24"/>
  <c r="BE360" i="24"/>
  <c r="BF360" i="24"/>
  <c r="BH360" i="24"/>
  <c r="BI360" i="24"/>
  <c r="BJ360" i="24"/>
  <c r="B361" i="24"/>
  <c r="E361" i="24"/>
  <c r="F361" i="24"/>
  <c r="H361" i="24"/>
  <c r="I361" i="24"/>
  <c r="J361" i="24"/>
  <c r="M361" i="24"/>
  <c r="N361" i="24"/>
  <c r="P361" i="24"/>
  <c r="Q361" i="24"/>
  <c r="R361" i="24"/>
  <c r="T361" i="24"/>
  <c r="U361" i="24"/>
  <c r="V361" i="24"/>
  <c r="X361" i="24"/>
  <c r="Y361" i="24"/>
  <c r="Z361" i="24"/>
  <c r="AB361" i="24"/>
  <c r="AC361" i="24"/>
  <c r="AD361" i="24"/>
  <c r="AF361" i="24"/>
  <c r="AG361" i="24"/>
  <c r="AH361" i="24"/>
  <c r="AJ361" i="24"/>
  <c r="AK361" i="24"/>
  <c r="AL361" i="24"/>
  <c r="AN361" i="24"/>
  <c r="AO361" i="24"/>
  <c r="AP361" i="24"/>
  <c r="AR361" i="24"/>
  <c r="AS361" i="24"/>
  <c r="AT361" i="24"/>
  <c r="AV361" i="24"/>
  <c r="AW361" i="24"/>
  <c r="AX361" i="24"/>
  <c r="AZ361" i="24"/>
  <c r="BA361" i="24"/>
  <c r="BB361" i="24"/>
  <c r="BD361" i="24"/>
  <c r="BE361" i="24"/>
  <c r="BF361" i="24"/>
  <c r="BH361" i="24"/>
  <c r="BI361" i="24"/>
  <c r="BJ361" i="24"/>
  <c r="B362" i="24"/>
  <c r="D362" i="24"/>
  <c r="E362" i="24"/>
  <c r="F362" i="24"/>
  <c r="H362" i="24"/>
  <c r="I362" i="24"/>
  <c r="J362" i="24"/>
  <c r="L362" i="24"/>
  <c r="M362" i="24"/>
  <c r="N362" i="24"/>
  <c r="P362" i="24"/>
  <c r="Q362" i="24"/>
  <c r="R362" i="24"/>
  <c r="T362" i="24"/>
  <c r="U362" i="24"/>
  <c r="V362" i="24"/>
  <c r="X362" i="24"/>
  <c r="Y362" i="24"/>
  <c r="Z362" i="24"/>
  <c r="AB362" i="24"/>
  <c r="AD362" i="24"/>
  <c r="AF362" i="24"/>
  <c r="AG362" i="24"/>
  <c r="AH362" i="24"/>
  <c r="AJ362" i="24"/>
  <c r="AK362" i="24"/>
  <c r="AL362" i="24"/>
  <c r="AN362" i="24"/>
  <c r="AO362" i="24"/>
  <c r="AP362" i="24"/>
  <c r="AR362" i="24"/>
  <c r="AS362" i="24"/>
  <c r="AT362" i="24"/>
  <c r="AV362" i="24"/>
  <c r="AW362" i="24"/>
  <c r="AX362" i="24"/>
  <c r="AZ362" i="24"/>
  <c r="BA362" i="24"/>
  <c r="BB362" i="24"/>
  <c r="BD362" i="24"/>
  <c r="BE362" i="24"/>
  <c r="BF362" i="24"/>
  <c r="BH362" i="24"/>
  <c r="BI362" i="24"/>
  <c r="BJ362" i="24"/>
  <c r="B363" i="24"/>
  <c r="D363" i="24"/>
  <c r="E363" i="24"/>
  <c r="F363" i="24"/>
  <c r="H363" i="24"/>
  <c r="I363" i="24"/>
  <c r="J363" i="24"/>
  <c r="L363" i="24"/>
  <c r="M363" i="24"/>
  <c r="N363" i="24"/>
  <c r="P363" i="24"/>
  <c r="Q363" i="24"/>
  <c r="R363" i="24"/>
  <c r="T363" i="24"/>
  <c r="U363" i="24"/>
  <c r="V363" i="24"/>
  <c r="X363" i="24"/>
  <c r="Y363" i="24"/>
  <c r="Z363" i="24"/>
  <c r="AB363" i="24"/>
  <c r="AC363" i="24"/>
  <c r="AD363" i="24"/>
  <c r="AF363" i="24"/>
  <c r="AG363" i="24"/>
  <c r="AH363" i="24"/>
  <c r="AJ363" i="24"/>
  <c r="AK363" i="24"/>
  <c r="AL363" i="24"/>
  <c r="AN363" i="24"/>
  <c r="AO363" i="24"/>
  <c r="AP363" i="24"/>
  <c r="AR363" i="24"/>
  <c r="AS363" i="24"/>
  <c r="AV363" i="24"/>
  <c r="AW363" i="24"/>
  <c r="AX363" i="24"/>
  <c r="AZ363" i="24"/>
  <c r="BA363" i="24"/>
  <c r="BB363" i="24"/>
  <c r="BD363" i="24"/>
  <c r="BE363" i="24"/>
  <c r="BF363" i="24"/>
  <c r="BH363" i="24"/>
  <c r="BI363" i="24"/>
  <c r="BJ363" i="24"/>
  <c r="B364" i="24"/>
  <c r="D364" i="24"/>
  <c r="E364" i="24"/>
  <c r="F364" i="24"/>
  <c r="H364" i="24"/>
  <c r="I364" i="24"/>
  <c r="J364" i="24"/>
  <c r="L364" i="24"/>
  <c r="M364" i="24"/>
  <c r="N364" i="24"/>
  <c r="P364" i="24"/>
  <c r="Q364" i="24"/>
  <c r="R364" i="24"/>
  <c r="T364" i="24"/>
  <c r="U364" i="24"/>
  <c r="V364" i="24"/>
  <c r="X364" i="24"/>
  <c r="Y364" i="24"/>
  <c r="Z364" i="24"/>
  <c r="AB364" i="24"/>
  <c r="AC364" i="24"/>
  <c r="AD364" i="24"/>
  <c r="AF364" i="24"/>
  <c r="AG364" i="24"/>
  <c r="AH364" i="24"/>
  <c r="AJ364" i="24"/>
  <c r="AK364" i="24"/>
  <c r="AL364" i="24"/>
  <c r="AN364" i="24"/>
  <c r="AO364" i="24"/>
  <c r="AP364" i="24"/>
  <c r="AR364" i="24"/>
  <c r="AS364" i="24"/>
  <c r="AT364" i="24"/>
  <c r="AV364" i="24"/>
  <c r="AW364" i="24"/>
  <c r="AX364" i="24"/>
  <c r="AZ364" i="24"/>
  <c r="BA364" i="24"/>
  <c r="BB364" i="24"/>
  <c r="BD364" i="24"/>
  <c r="BE364" i="24"/>
  <c r="BF364" i="24"/>
  <c r="BH364" i="24"/>
  <c r="BI364" i="24"/>
  <c r="BJ364" i="24"/>
  <c r="B365" i="24"/>
  <c r="E365" i="24"/>
  <c r="F365" i="24"/>
  <c r="H365" i="24"/>
  <c r="I365" i="24"/>
  <c r="J365" i="24"/>
  <c r="M365" i="24"/>
  <c r="N365" i="24"/>
  <c r="P365" i="24"/>
  <c r="Q365" i="24"/>
  <c r="R365" i="24"/>
  <c r="T365" i="24"/>
  <c r="U365" i="24"/>
  <c r="V365" i="24"/>
  <c r="X365" i="24"/>
  <c r="Y365" i="24"/>
  <c r="Z365" i="24"/>
  <c r="AB365" i="24"/>
  <c r="AC365" i="24"/>
  <c r="AD365" i="24"/>
  <c r="AF365" i="24"/>
  <c r="AG365" i="24"/>
  <c r="AH365" i="24"/>
  <c r="AJ365" i="24"/>
  <c r="AK365" i="24"/>
  <c r="AL365" i="24"/>
  <c r="AN365" i="24"/>
  <c r="AO365" i="24"/>
  <c r="AP365" i="24"/>
  <c r="AR365" i="24"/>
  <c r="AS365" i="24"/>
  <c r="AT365" i="24"/>
  <c r="AV365" i="24"/>
  <c r="AW365" i="24"/>
  <c r="AX365" i="24"/>
  <c r="AZ365" i="24"/>
  <c r="BA365" i="24"/>
  <c r="BB365" i="24"/>
  <c r="BD365" i="24"/>
  <c r="BE365" i="24"/>
  <c r="BF365" i="24"/>
  <c r="BH365" i="24"/>
  <c r="BI365" i="24"/>
  <c r="BJ365" i="24"/>
  <c r="B366" i="24"/>
  <c r="D366" i="24"/>
  <c r="E366" i="24"/>
  <c r="F366" i="24"/>
  <c r="H366" i="24"/>
  <c r="I366" i="24"/>
  <c r="J366" i="24"/>
  <c r="L366" i="24"/>
  <c r="M366" i="24"/>
  <c r="N366" i="24"/>
  <c r="P366" i="24"/>
  <c r="Q366" i="24"/>
  <c r="R366" i="24"/>
  <c r="T366" i="24"/>
  <c r="U366" i="24"/>
  <c r="V366" i="24"/>
  <c r="X366" i="24"/>
  <c r="Y366" i="24"/>
  <c r="Z366" i="24"/>
  <c r="AB366" i="24"/>
  <c r="AD366" i="24"/>
  <c r="AF366" i="24"/>
  <c r="AG366" i="24"/>
  <c r="AH366" i="24"/>
  <c r="AJ366" i="24"/>
  <c r="AK366" i="24"/>
  <c r="AL366" i="24"/>
  <c r="AN366" i="24"/>
  <c r="AO366" i="24"/>
  <c r="AP366" i="24"/>
  <c r="AR366" i="24"/>
  <c r="AS366" i="24"/>
  <c r="AT366" i="24"/>
  <c r="AV366" i="24"/>
  <c r="AW366" i="24"/>
  <c r="AX366" i="24"/>
  <c r="AZ366" i="24"/>
  <c r="BA366" i="24"/>
  <c r="BB366" i="24"/>
  <c r="BD366" i="24"/>
  <c r="BE366" i="24"/>
  <c r="BF366" i="24"/>
  <c r="BH366" i="24"/>
  <c r="BI366" i="24"/>
  <c r="BJ366" i="24"/>
  <c r="B367" i="24"/>
  <c r="D367" i="24"/>
  <c r="E367" i="24"/>
  <c r="F367" i="24"/>
  <c r="H367" i="24"/>
  <c r="I367" i="24"/>
  <c r="J367" i="24"/>
  <c r="L367" i="24"/>
  <c r="M367" i="24"/>
  <c r="N367" i="24"/>
  <c r="P367" i="24"/>
  <c r="Q367" i="24"/>
  <c r="R367" i="24"/>
  <c r="T367" i="24"/>
  <c r="U367" i="24"/>
  <c r="V367" i="24"/>
  <c r="X367" i="24"/>
  <c r="Y367" i="24"/>
  <c r="Z367" i="24"/>
  <c r="AB367" i="24"/>
  <c r="AC367" i="24"/>
  <c r="AD367" i="24"/>
  <c r="AF367" i="24"/>
  <c r="AG367" i="24"/>
  <c r="AH367" i="24"/>
  <c r="AJ367" i="24"/>
  <c r="AK367" i="24"/>
  <c r="AL367" i="24"/>
  <c r="AN367" i="24"/>
  <c r="AO367" i="24"/>
  <c r="AP367" i="24"/>
  <c r="AR367" i="24"/>
  <c r="AS367" i="24"/>
  <c r="AV367" i="24"/>
  <c r="AW367" i="24"/>
  <c r="AX367" i="24"/>
  <c r="AZ367" i="24"/>
  <c r="BA367" i="24"/>
  <c r="BB367" i="24"/>
  <c r="BD367" i="24"/>
  <c r="BE367" i="24"/>
  <c r="BF367" i="24"/>
  <c r="BH367" i="24"/>
  <c r="BI367" i="24"/>
  <c r="BJ367" i="24"/>
  <c r="B368" i="24"/>
  <c r="D368" i="24"/>
  <c r="E368" i="24"/>
  <c r="F368" i="24"/>
  <c r="H368" i="24"/>
  <c r="I368" i="24"/>
  <c r="J368" i="24"/>
  <c r="L368" i="24"/>
  <c r="M368" i="24"/>
  <c r="N368" i="24"/>
  <c r="P368" i="24"/>
  <c r="Q368" i="24"/>
  <c r="R368" i="24"/>
  <c r="T368" i="24"/>
  <c r="U368" i="24"/>
  <c r="V368" i="24"/>
  <c r="X368" i="24"/>
  <c r="Y368" i="24"/>
  <c r="Z368" i="24"/>
  <c r="AB368" i="24"/>
  <c r="AC368" i="24"/>
  <c r="AD368" i="24"/>
  <c r="AF368" i="24"/>
  <c r="AG368" i="24"/>
  <c r="AH368" i="24"/>
  <c r="AJ368" i="24"/>
  <c r="AK368" i="24"/>
  <c r="AL368" i="24"/>
  <c r="AN368" i="24"/>
  <c r="AO368" i="24"/>
  <c r="AP368" i="24"/>
  <c r="AR368" i="24"/>
  <c r="AS368" i="24"/>
  <c r="AT368" i="24"/>
  <c r="AV368" i="24"/>
  <c r="AW368" i="24"/>
  <c r="AX368" i="24"/>
  <c r="AZ368" i="24"/>
  <c r="BA368" i="24"/>
  <c r="BB368" i="24"/>
  <c r="BD368" i="24"/>
  <c r="BE368" i="24"/>
  <c r="BF368" i="24"/>
  <c r="BH368" i="24"/>
  <c r="BI368" i="24"/>
  <c r="BJ368" i="24"/>
  <c r="B369" i="24"/>
  <c r="E369" i="24"/>
  <c r="F369" i="24"/>
  <c r="H369" i="24"/>
  <c r="I369" i="24"/>
  <c r="J369" i="24"/>
  <c r="M369" i="24"/>
  <c r="N369" i="24"/>
  <c r="P369" i="24"/>
  <c r="Q369" i="24"/>
  <c r="R369" i="24"/>
  <c r="T369" i="24"/>
  <c r="U369" i="24"/>
  <c r="V369" i="24"/>
  <c r="X369" i="24"/>
  <c r="Y369" i="24"/>
  <c r="Z369" i="24"/>
  <c r="AB369" i="24"/>
  <c r="AC369" i="24"/>
  <c r="AD369" i="24"/>
  <c r="AF369" i="24"/>
  <c r="AG369" i="24"/>
  <c r="AH369" i="24"/>
  <c r="AJ369" i="24"/>
  <c r="AK369" i="24"/>
  <c r="AL369" i="24"/>
  <c r="AN369" i="24"/>
  <c r="AO369" i="24"/>
  <c r="AP369" i="24"/>
  <c r="AR369" i="24"/>
  <c r="AS369" i="24"/>
  <c r="AT369" i="24"/>
  <c r="AV369" i="24"/>
  <c r="AW369" i="24"/>
  <c r="AX369" i="24"/>
  <c r="AZ369" i="24"/>
  <c r="BA369" i="24"/>
  <c r="BB369" i="24"/>
  <c r="BD369" i="24"/>
  <c r="BE369" i="24"/>
  <c r="BF369" i="24"/>
  <c r="BH369" i="24"/>
  <c r="BI369" i="24"/>
  <c r="BJ369" i="24"/>
  <c r="B370" i="24"/>
  <c r="D370" i="24"/>
  <c r="E370" i="24"/>
  <c r="F370" i="24"/>
  <c r="H370" i="24"/>
  <c r="I370" i="24"/>
  <c r="J370" i="24"/>
  <c r="L370" i="24"/>
  <c r="N370" i="24"/>
  <c r="P370" i="24"/>
  <c r="Q370" i="24"/>
  <c r="R370" i="24"/>
  <c r="U370" i="24"/>
  <c r="V370" i="24"/>
  <c r="X370" i="24"/>
  <c r="Y370" i="24"/>
  <c r="Z370" i="24"/>
  <c r="AB370" i="24"/>
  <c r="AC370" i="24"/>
  <c r="AD370" i="24"/>
  <c r="AF370" i="24"/>
  <c r="AG370" i="24"/>
  <c r="AH370" i="24"/>
  <c r="AJ370" i="24"/>
  <c r="AK370" i="24"/>
  <c r="AL370" i="24"/>
  <c r="AN370" i="24"/>
  <c r="AO370" i="24"/>
  <c r="AP370" i="24"/>
  <c r="AR370" i="24"/>
  <c r="AS370" i="24"/>
  <c r="AT370" i="24"/>
  <c r="AV370" i="24"/>
  <c r="AW370" i="24"/>
  <c r="AX370" i="24"/>
  <c r="AZ370" i="24"/>
  <c r="BA370" i="24"/>
  <c r="BB370" i="24"/>
  <c r="BD370" i="24"/>
  <c r="BE370" i="24"/>
  <c r="BF370" i="24"/>
  <c r="BJ370" i="24"/>
  <c r="B371" i="24"/>
  <c r="D371" i="24"/>
  <c r="E371" i="24"/>
  <c r="F371" i="24"/>
  <c r="H371" i="24"/>
  <c r="I371" i="24"/>
  <c r="J371" i="24"/>
  <c r="L371" i="24"/>
  <c r="M371" i="24"/>
  <c r="N371" i="24"/>
  <c r="P371" i="24"/>
  <c r="Q371" i="24"/>
  <c r="R371" i="24"/>
  <c r="T371" i="24"/>
  <c r="U371" i="24"/>
  <c r="V371" i="24"/>
  <c r="X371" i="24"/>
  <c r="Y371" i="24"/>
  <c r="Z371" i="24"/>
  <c r="AB371" i="24"/>
  <c r="AC371" i="24"/>
  <c r="AD371" i="24"/>
  <c r="AF371" i="24"/>
  <c r="AG371" i="24"/>
  <c r="AH371" i="24"/>
  <c r="AJ371" i="24"/>
  <c r="AK371" i="24"/>
  <c r="AL371" i="24"/>
  <c r="AN371" i="24"/>
  <c r="AO371" i="24"/>
  <c r="AP371" i="24"/>
  <c r="AR371" i="24"/>
  <c r="AS371" i="24"/>
  <c r="AT371" i="24"/>
  <c r="AV371" i="24"/>
  <c r="AW371" i="24"/>
  <c r="AX371" i="24"/>
  <c r="AZ371" i="24"/>
  <c r="BA371" i="24"/>
  <c r="BB371" i="24"/>
  <c r="BD371" i="24"/>
  <c r="BE371" i="24"/>
  <c r="BF371" i="24"/>
  <c r="BH371" i="24"/>
  <c r="BI371" i="24"/>
  <c r="BJ371" i="24"/>
  <c r="B372" i="24"/>
  <c r="D372" i="24"/>
  <c r="E372" i="24"/>
  <c r="H372" i="24"/>
  <c r="I372" i="24"/>
  <c r="J372" i="24"/>
  <c r="L372" i="24"/>
  <c r="M372" i="24"/>
  <c r="N372" i="24"/>
  <c r="P372" i="24"/>
  <c r="Q372" i="24"/>
  <c r="R372" i="24"/>
  <c r="T372" i="24"/>
  <c r="U372" i="24"/>
  <c r="V372" i="24"/>
  <c r="X372" i="24"/>
  <c r="Y372" i="24"/>
  <c r="Z372" i="24"/>
  <c r="AB372" i="24"/>
  <c r="AC372" i="24"/>
  <c r="AD372" i="24"/>
  <c r="AF372" i="24"/>
  <c r="AG372" i="24"/>
  <c r="AH372" i="24"/>
  <c r="AJ372" i="24"/>
  <c r="AK372" i="24"/>
  <c r="AL372" i="24"/>
  <c r="AN372" i="24"/>
  <c r="AO372" i="24"/>
  <c r="AP372" i="24"/>
  <c r="AR372" i="24"/>
  <c r="AS372" i="24"/>
  <c r="AT372" i="24"/>
  <c r="AV372" i="24"/>
  <c r="AW372" i="24"/>
  <c r="AX372" i="24"/>
  <c r="AZ372" i="24"/>
  <c r="BA372" i="24"/>
  <c r="BB372" i="24"/>
  <c r="BD372" i="24"/>
  <c r="BE372" i="24"/>
  <c r="BF372" i="24"/>
  <c r="BH372" i="24"/>
  <c r="BI372" i="24"/>
  <c r="BJ372" i="24"/>
  <c r="B373" i="24"/>
  <c r="D373" i="24"/>
  <c r="E373" i="24"/>
  <c r="F373" i="24"/>
  <c r="H373" i="24"/>
  <c r="I373" i="24"/>
  <c r="J373" i="24"/>
  <c r="L373" i="24"/>
  <c r="M373" i="24"/>
  <c r="N373" i="24"/>
  <c r="P373" i="24"/>
  <c r="Q373" i="24"/>
  <c r="R373" i="24"/>
  <c r="T373" i="24"/>
  <c r="U373" i="24"/>
  <c r="V373" i="24"/>
  <c r="X373" i="24"/>
  <c r="Y373" i="24"/>
  <c r="Z373" i="24"/>
  <c r="AB373" i="24"/>
  <c r="AC373" i="24"/>
  <c r="AD373" i="24"/>
  <c r="AF373" i="24"/>
  <c r="AG373" i="24"/>
  <c r="AH373" i="24"/>
  <c r="AJ373" i="24"/>
  <c r="AK373" i="24"/>
  <c r="AL373" i="24"/>
  <c r="AN373" i="24"/>
  <c r="AO373" i="24"/>
  <c r="AP373" i="24"/>
  <c r="AR373" i="24"/>
  <c r="AS373" i="24"/>
  <c r="AT373" i="24"/>
  <c r="AV373" i="24"/>
  <c r="AW373" i="24"/>
  <c r="AX373" i="24"/>
  <c r="AZ373" i="24"/>
  <c r="BA373" i="24"/>
  <c r="BB373" i="24"/>
  <c r="BD373" i="24"/>
  <c r="BE373" i="24"/>
  <c r="BF373" i="24"/>
  <c r="BH373" i="24"/>
  <c r="BI373" i="24"/>
  <c r="BJ373" i="24"/>
  <c r="B374" i="24"/>
  <c r="D374" i="24"/>
  <c r="E374" i="24"/>
  <c r="F374" i="24"/>
  <c r="H374" i="24"/>
  <c r="I374" i="24"/>
  <c r="J374" i="24"/>
  <c r="L374" i="24"/>
  <c r="M374" i="24"/>
  <c r="N374" i="24"/>
  <c r="P374" i="24"/>
  <c r="Q374" i="24"/>
  <c r="R374" i="24"/>
  <c r="T374" i="24"/>
  <c r="U374" i="24"/>
  <c r="V374" i="24"/>
  <c r="X374" i="24"/>
  <c r="Y374" i="24"/>
  <c r="Z374" i="24"/>
  <c r="AB374" i="24"/>
  <c r="AC374" i="24"/>
  <c r="AD374" i="24"/>
  <c r="AF374" i="24"/>
  <c r="AG374" i="24"/>
  <c r="AH374" i="24"/>
  <c r="AJ374" i="24"/>
  <c r="AK374" i="24"/>
  <c r="AL374" i="24"/>
  <c r="AN374" i="24"/>
  <c r="AO374" i="24"/>
  <c r="AP374" i="24"/>
  <c r="AS374" i="24"/>
  <c r="AT374" i="24"/>
  <c r="AV374" i="24"/>
  <c r="AW374" i="24"/>
  <c r="AX374" i="24"/>
  <c r="AZ374" i="24"/>
  <c r="BA374" i="24"/>
  <c r="BB374" i="24"/>
  <c r="BD374" i="24"/>
  <c r="BE374" i="24"/>
  <c r="BF374" i="24"/>
  <c r="BH374" i="24"/>
  <c r="BI374" i="24"/>
  <c r="BJ374" i="24"/>
  <c r="B375" i="24"/>
  <c r="D375" i="24"/>
  <c r="E375" i="24"/>
  <c r="F375" i="24"/>
  <c r="H375" i="24"/>
  <c r="I375" i="24"/>
  <c r="J375" i="24"/>
  <c r="L375" i="24"/>
  <c r="M375" i="24"/>
  <c r="N375" i="24"/>
  <c r="P375" i="24"/>
  <c r="Q375" i="24"/>
  <c r="R375" i="24"/>
  <c r="T375" i="24"/>
  <c r="U375" i="24"/>
  <c r="V375" i="24"/>
  <c r="X375" i="24"/>
  <c r="Y375" i="24"/>
  <c r="Z375" i="24"/>
  <c r="AB375" i="24"/>
  <c r="AC375" i="24"/>
  <c r="AD375" i="24"/>
  <c r="AF375" i="24"/>
  <c r="AG375" i="24"/>
  <c r="AH375" i="24"/>
  <c r="AJ375" i="24"/>
  <c r="AK375" i="24"/>
  <c r="AL375" i="24"/>
  <c r="AN375" i="24"/>
  <c r="AO375" i="24"/>
  <c r="AP375" i="24"/>
  <c r="AR375" i="24"/>
  <c r="AS375" i="24"/>
  <c r="AT375" i="24"/>
  <c r="AV375" i="24"/>
  <c r="AW375" i="24"/>
  <c r="AX375" i="24"/>
  <c r="AZ375" i="24"/>
  <c r="BA375" i="24"/>
  <c r="BB375" i="24"/>
  <c r="BD375" i="24"/>
  <c r="BE375" i="24"/>
  <c r="BF375" i="24"/>
  <c r="BH375" i="24"/>
  <c r="BI375" i="24"/>
  <c r="BJ375" i="24"/>
  <c r="B376" i="24"/>
  <c r="D376" i="24"/>
  <c r="E376" i="24"/>
  <c r="F376" i="24"/>
  <c r="H376" i="24"/>
  <c r="I376" i="24"/>
  <c r="J376" i="24"/>
  <c r="L376" i="24"/>
  <c r="M376" i="24"/>
  <c r="N376" i="24"/>
  <c r="P376" i="24"/>
  <c r="Q376" i="24"/>
  <c r="R376" i="24"/>
  <c r="T376" i="24"/>
  <c r="U376" i="24"/>
  <c r="V376" i="24"/>
  <c r="X376" i="24"/>
  <c r="Y376" i="24"/>
  <c r="Z376" i="24"/>
  <c r="AB376" i="24"/>
  <c r="AC376" i="24"/>
  <c r="AD376" i="24"/>
  <c r="AF376" i="24"/>
  <c r="AG376" i="24"/>
  <c r="AH376" i="24"/>
  <c r="AJ376" i="24"/>
  <c r="AK376" i="24"/>
  <c r="AL376" i="24"/>
  <c r="AN376" i="24"/>
  <c r="AO376" i="24"/>
  <c r="AP376" i="24"/>
  <c r="AR376" i="24"/>
  <c r="AS376" i="24"/>
  <c r="AT376" i="24"/>
  <c r="AV376" i="24"/>
  <c r="AW376" i="24"/>
  <c r="AX376" i="24"/>
  <c r="AZ376" i="24"/>
  <c r="BA376" i="24"/>
  <c r="BB376" i="24"/>
  <c r="BD376" i="24"/>
  <c r="BE376" i="24"/>
  <c r="BF376" i="24"/>
  <c r="BH376" i="24"/>
  <c r="BI376" i="24"/>
  <c r="BJ376" i="24"/>
  <c r="B377" i="24"/>
  <c r="D377" i="24"/>
  <c r="E377" i="24"/>
  <c r="F377" i="24"/>
  <c r="H377" i="24"/>
  <c r="I377" i="24"/>
  <c r="J377" i="24"/>
  <c r="L377" i="24"/>
  <c r="M377" i="24"/>
  <c r="N377" i="24"/>
  <c r="P377" i="24"/>
  <c r="Q377" i="24"/>
  <c r="R377" i="24"/>
  <c r="T377" i="24"/>
  <c r="U377" i="24"/>
  <c r="V377" i="24"/>
  <c r="X377" i="24"/>
  <c r="Y377" i="24"/>
  <c r="Z377" i="24"/>
  <c r="AC377" i="24"/>
  <c r="AD377" i="24"/>
  <c r="AF377" i="24"/>
  <c r="AG377" i="24"/>
  <c r="AH377" i="24"/>
  <c r="AJ377" i="24"/>
  <c r="AK377" i="24"/>
  <c r="AL377" i="24"/>
  <c r="AN377" i="24"/>
  <c r="AO377" i="24"/>
  <c r="AP377" i="24"/>
  <c r="AR377" i="24"/>
  <c r="AS377" i="24"/>
  <c r="AT377" i="24"/>
  <c r="AV377" i="24"/>
  <c r="AW377" i="24"/>
  <c r="AX377" i="24"/>
  <c r="AZ377" i="24"/>
  <c r="BA377" i="24"/>
  <c r="BB377" i="24"/>
  <c r="BD377" i="24"/>
  <c r="BE377" i="24"/>
  <c r="BF377" i="24"/>
  <c r="BH377" i="24"/>
  <c r="BI377" i="24"/>
  <c r="BJ377" i="24"/>
  <c r="B378" i="24"/>
  <c r="D378" i="24"/>
  <c r="E378" i="24"/>
  <c r="F378" i="24"/>
  <c r="H378" i="24"/>
  <c r="I378" i="24"/>
  <c r="J378" i="24"/>
  <c r="L378" i="24"/>
  <c r="N378" i="24"/>
  <c r="P378" i="24"/>
  <c r="Q378" i="24"/>
  <c r="R378" i="24"/>
  <c r="U378" i="24"/>
  <c r="V378" i="24"/>
  <c r="X378" i="24"/>
  <c r="Y378" i="24"/>
  <c r="Z378" i="24"/>
  <c r="AB378" i="24"/>
  <c r="AC378" i="24"/>
  <c r="AD378" i="24"/>
  <c r="AF378" i="24"/>
  <c r="AG378" i="24"/>
  <c r="AH378" i="24"/>
  <c r="AJ378" i="24"/>
  <c r="AK378" i="24"/>
  <c r="AL378" i="24"/>
  <c r="AN378" i="24"/>
  <c r="AO378" i="24"/>
  <c r="AP378" i="24"/>
  <c r="AR378" i="24"/>
  <c r="AS378" i="24"/>
  <c r="AT378" i="24"/>
  <c r="AV378" i="24"/>
  <c r="AW378" i="24"/>
  <c r="AX378" i="24"/>
  <c r="AZ378" i="24"/>
  <c r="BA378" i="24"/>
  <c r="BB378" i="24"/>
  <c r="BD378" i="24"/>
  <c r="BE378" i="24"/>
  <c r="BF378" i="24"/>
  <c r="BJ378" i="24"/>
  <c r="B379" i="24"/>
  <c r="D379" i="24"/>
  <c r="E379" i="24"/>
  <c r="F379" i="24"/>
  <c r="H379" i="24"/>
  <c r="I379" i="24"/>
  <c r="J379" i="24"/>
  <c r="L379" i="24"/>
  <c r="M379" i="24"/>
  <c r="N379" i="24"/>
  <c r="P379" i="24"/>
  <c r="Q379" i="24"/>
  <c r="R379" i="24"/>
  <c r="T379" i="24"/>
  <c r="U379" i="24"/>
  <c r="V379" i="24"/>
  <c r="X379" i="24"/>
  <c r="Y379" i="24"/>
  <c r="Z379" i="24"/>
  <c r="AB379" i="24"/>
  <c r="AC379" i="24"/>
  <c r="AD379" i="24"/>
  <c r="AF379" i="24"/>
  <c r="AG379" i="24"/>
  <c r="AH379" i="24"/>
  <c r="AJ379" i="24"/>
  <c r="AK379" i="24"/>
  <c r="AL379" i="24"/>
  <c r="AN379" i="24"/>
  <c r="AO379" i="24"/>
  <c r="AP379" i="24"/>
  <c r="AR379" i="24"/>
  <c r="AS379" i="24"/>
  <c r="AT379" i="24"/>
  <c r="AV379" i="24"/>
  <c r="AW379" i="24"/>
  <c r="AX379" i="24"/>
  <c r="AZ379" i="24"/>
  <c r="BA379" i="24"/>
  <c r="BB379" i="24"/>
  <c r="BD379" i="24"/>
  <c r="BE379" i="24"/>
  <c r="BF379" i="24"/>
  <c r="BH379" i="24"/>
  <c r="BI379" i="24"/>
  <c r="BJ379" i="24"/>
  <c r="B380" i="24"/>
  <c r="D380" i="24"/>
  <c r="E380" i="24"/>
  <c r="H380" i="24"/>
  <c r="I380" i="24"/>
  <c r="J380" i="24"/>
  <c r="L380" i="24"/>
  <c r="M380" i="24"/>
  <c r="N380" i="24"/>
  <c r="P380" i="24"/>
  <c r="Q380" i="24"/>
  <c r="R380" i="24"/>
  <c r="T380" i="24"/>
  <c r="U380" i="24"/>
  <c r="V380" i="24"/>
  <c r="X380" i="24"/>
  <c r="Y380" i="24"/>
  <c r="Z380" i="24"/>
  <c r="AB380" i="24"/>
  <c r="AC380" i="24"/>
  <c r="AD380" i="24"/>
  <c r="AF380" i="24"/>
  <c r="AG380" i="24"/>
  <c r="AH380" i="24"/>
  <c r="AJ380" i="24"/>
  <c r="AK380" i="24"/>
  <c r="AL380" i="24"/>
  <c r="AN380" i="24"/>
  <c r="AO380" i="24"/>
  <c r="AP380" i="24"/>
  <c r="AR380" i="24"/>
  <c r="AS380" i="24"/>
  <c r="AT380" i="24"/>
  <c r="AV380" i="24"/>
  <c r="AW380" i="24"/>
  <c r="AX380" i="24"/>
  <c r="AZ380" i="24"/>
  <c r="BA380" i="24"/>
  <c r="BB380" i="24"/>
  <c r="BD380" i="24"/>
  <c r="BE380" i="24"/>
  <c r="BF380" i="24"/>
  <c r="BH380" i="24"/>
  <c r="BI380" i="24"/>
  <c r="BJ380" i="24"/>
  <c r="B381" i="24"/>
  <c r="D381" i="24"/>
  <c r="E381" i="24"/>
  <c r="F381" i="24"/>
  <c r="H381" i="24"/>
  <c r="I381" i="24"/>
  <c r="J381" i="24"/>
  <c r="L381" i="24"/>
  <c r="M381" i="24"/>
  <c r="N381" i="24"/>
  <c r="P381" i="24"/>
  <c r="Q381" i="24"/>
  <c r="R381" i="24"/>
  <c r="T381" i="24"/>
  <c r="U381" i="24"/>
  <c r="V381" i="24"/>
  <c r="X381" i="24"/>
  <c r="Y381" i="24"/>
  <c r="Z381" i="24"/>
  <c r="AB381" i="24"/>
  <c r="AC381" i="24"/>
  <c r="AD381" i="24"/>
  <c r="AF381" i="24"/>
  <c r="AG381" i="24"/>
  <c r="AH381" i="24"/>
  <c r="AJ381" i="24"/>
  <c r="AK381" i="24"/>
  <c r="AL381" i="24"/>
  <c r="AN381" i="24"/>
  <c r="AO381" i="24"/>
  <c r="AP381" i="24"/>
  <c r="AR381" i="24"/>
  <c r="AS381" i="24"/>
  <c r="AT381" i="24"/>
  <c r="AV381" i="24"/>
  <c r="AW381" i="24"/>
  <c r="AX381" i="24"/>
  <c r="AZ381" i="24"/>
  <c r="BA381" i="24"/>
  <c r="BB381" i="24"/>
  <c r="BD381" i="24"/>
  <c r="BE381" i="24"/>
  <c r="BF381" i="24"/>
  <c r="BH381" i="24"/>
  <c r="BI381" i="24"/>
  <c r="BJ381" i="24"/>
  <c r="B382" i="24"/>
  <c r="D382" i="24"/>
  <c r="E382" i="24"/>
  <c r="F382" i="24"/>
  <c r="H382" i="24"/>
  <c r="I382" i="24"/>
  <c r="J382" i="24"/>
  <c r="L382" i="24"/>
  <c r="M382" i="24"/>
  <c r="N382" i="24"/>
  <c r="P382" i="24"/>
  <c r="Q382" i="24"/>
  <c r="R382" i="24"/>
  <c r="T382" i="24"/>
  <c r="U382" i="24"/>
  <c r="V382" i="24"/>
  <c r="X382" i="24"/>
  <c r="Y382" i="24"/>
  <c r="Z382" i="24"/>
  <c r="AB382" i="24"/>
  <c r="AC382" i="24"/>
  <c r="AD382" i="24"/>
  <c r="AF382" i="24"/>
  <c r="AG382" i="24"/>
  <c r="AH382" i="24"/>
  <c r="AJ382" i="24"/>
  <c r="AK382" i="24"/>
  <c r="AL382" i="24"/>
  <c r="AN382" i="24"/>
  <c r="AO382" i="24"/>
  <c r="AP382" i="24"/>
  <c r="AS382" i="24"/>
  <c r="AT382" i="24"/>
  <c r="AV382" i="24"/>
  <c r="AW382" i="24"/>
  <c r="AX382" i="24"/>
  <c r="AZ382" i="24"/>
  <c r="BA382" i="24"/>
  <c r="BB382" i="24"/>
  <c r="BD382" i="24"/>
  <c r="BE382" i="24"/>
  <c r="BF382" i="24"/>
  <c r="BH382" i="24"/>
  <c r="BI382" i="24"/>
  <c r="BJ382" i="24"/>
  <c r="B383" i="24"/>
  <c r="D383" i="24"/>
  <c r="E383" i="24"/>
  <c r="F383" i="24"/>
  <c r="H383" i="24"/>
  <c r="I383" i="24"/>
  <c r="J383" i="24"/>
  <c r="L383" i="24"/>
  <c r="M383" i="24"/>
  <c r="P383" i="24"/>
  <c r="Q383" i="24"/>
  <c r="R383" i="24"/>
  <c r="T383" i="24"/>
  <c r="U383" i="24"/>
  <c r="V383" i="24"/>
  <c r="X383" i="24"/>
  <c r="Y383" i="24"/>
  <c r="Z383" i="24"/>
  <c r="AB383" i="24"/>
  <c r="AC383" i="24"/>
  <c r="AD383" i="24"/>
  <c r="AF383" i="24"/>
  <c r="AG383" i="24"/>
  <c r="AH383" i="24"/>
  <c r="AJ383" i="24"/>
  <c r="AK383" i="24"/>
  <c r="AL383" i="24"/>
  <c r="AN383" i="24"/>
  <c r="AO383" i="24"/>
  <c r="AP383" i="24"/>
  <c r="AR383" i="24"/>
  <c r="AS383" i="24"/>
  <c r="AT383" i="24"/>
  <c r="AV383" i="24"/>
  <c r="AW383" i="24"/>
  <c r="AX383" i="24"/>
  <c r="AZ383" i="24"/>
  <c r="BA383" i="24"/>
  <c r="BB383" i="24"/>
  <c r="BD383" i="24"/>
  <c r="BE383" i="24"/>
  <c r="BF383" i="24"/>
  <c r="BH383" i="24"/>
  <c r="BI383" i="24"/>
  <c r="BJ383" i="24"/>
  <c r="B384" i="24"/>
  <c r="D384" i="24"/>
  <c r="E384" i="24"/>
  <c r="F384" i="24"/>
  <c r="H384" i="24"/>
  <c r="I384" i="24"/>
  <c r="J384" i="24"/>
  <c r="L384" i="24"/>
  <c r="M384" i="24"/>
  <c r="N384" i="24"/>
  <c r="P384" i="24"/>
  <c r="Q384" i="24"/>
  <c r="R384" i="24"/>
  <c r="T384" i="24"/>
  <c r="U384" i="24"/>
  <c r="V384" i="24"/>
  <c r="X384" i="24"/>
  <c r="Y384" i="24"/>
  <c r="Z384" i="24"/>
  <c r="AB384" i="24"/>
  <c r="AC384" i="24"/>
  <c r="AD384" i="24"/>
  <c r="AF384" i="24"/>
  <c r="AG384" i="24"/>
  <c r="AH384" i="24"/>
  <c r="AJ384" i="24"/>
  <c r="AK384" i="24"/>
  <c r="AN384" i="24"/>
  <c r="AO384" i="24"/>
  <c r="AP384" i="24"/>
  <c r="AR384" i="24"/>
  <c r="AS384" i="24"/>
  <c r="AT384" i="24"/>
  <c r="AV384" i="24"/>
  <c r="AW384" i="24"/>
  <c r="AX384" i="24"/>
  <c r="AZ384" i="24"/>
  <c r="BA384" i="24"/>
  <c r="BB384" i="24"/>
  <c r="BD384" i="24"/>
  <c r="BE384" i="24"/>
  <c r="BF384" i="24"/>
  <c r="BH384" i="24"/>
  <c r="BI384" i="24"/>
  <c r="BJ384" i="24"/>
  <c r="B385" i="24"/>
  <c r="D385" i="24"/>
  <c r="E385" i="24"/>
  <c r="F385" i="24"/>
  <c r="H385" i="24"/>
  <c r="I385" i="24"/>
  <c r="J385" i="24"/>
  <c r="L385" i="24"/>
  <c r="M385" i="24"/>
  <c r="N385" i="24"/>
  <c r="P385" i="24"/>
  <c r="Q385" i="24"/>
  <c r="R385" i="24"/>
  <c r="T385" i="24"/>
  <c r="U385" i="24"/>
  <c r="V385" i="24"/>
  <c r="X385" i="24"/>
  <c r="Y385" i="24"/>
  <c r="Z385" i="24"/>
  <c r="AB385" i="24"/>
  <c r="AC385" i="24"/>
  <c r="AD385" i="24"/>
  <c r="AF385" i="24"/>
  <c r="AG385" i="24"/>
  <c r="AH385" i="24"/>
  <c r="AJ385" i="24"/>
  <c r="AK385" i="24"/>
  <c r="AL385" i="24"/>
  <c r="AN385" i="24"/>
  <c r="AO385" i="24"/>
  <c r="AP385" i="24"/>
  <c r="AR385" i="24"/>
  <c r="AS385" i="24"/>
  <c r="AT385" i="24"/>
  <c r="AV385" i="24"/>
  <c r="AW385" i="24"/>
  <c r="AX385" i="24"/>
  <c r="BA385" i="24"/>
  <c r="BB385" i="24"/>
  <c r="BD385" i="24"/>
  <c r="BE385" i="24"/>
  <c r="BF385" i="24"/>
  <c r="BI385" i="24"/>
  <c r="BJ385" i="24"/>
  <c r="B386" i="24"/>
  <c r="D386" i="24"/>
  <c r="E386" i="24"/>
  <c r="F386" i="24"/>
  <c r="H386" i="24"/>
  <c r="I386" i="24"/>
  <c r="J386" i="24"/>
  <c r="M386" i="24"/>
  <c r="N386" i="24"/>
  <c r="P386" i="24"/>
  <c r="Q386" i="24"/>
  <c r="R386" i="24"/>
  <c r="T386" i="24"/>
  <c r="U386" i="24"/>
  <c r="V386" i="24"/>
  <c r="X386" i="24"/>
  <c r="Y386" i="24"/>
  <c r="Z386" i="24"/>
  <c r="AB386" i="24"/>
  <c r="AC386" i="24"/>
  <c r="AD386" i="24"/>
  <c r="AF386" i="24"/>
  <c r="AG386" i="24"/>
  <c r="AH386" i="24"/>
  <c r="AJ386" i="24"/>
  <c r="AK386" i="24"/>
  <c r="AL386" i="24"/>
  <c r="AN386" i="24"/>
  <c r="AO386" i="24"/>
  <c r="AP386" i="24"/>
  <c r="AS386" i="24"/>
  <c r="AT386" i="24"/>
  <c r="AV386" i="24"/>
  <c r="AW386" i="24"/>
  <c r="AX386" i="24"/>
  <c r="AZ386" i="24"/>
  <c r="BA386" i="24"/>
  <c r="BB386" i="24"/>
  <c r="BD386" i="24"/>
  <c r="BE386" i="24"/>
  <c r="BF386" i="24"/>
  <c r="BH386" i="24"/>
  <c r="BI386" i="24"/>
  <c r="BJ386" i="24"/>
  <c r="B387" i="24"/>
  <c r="D387" i="24"/>
  <c r="E387" i="24"/>
  <c r="F387" i="24"/>
  <c r="H387" i="24"/>
  <c r="I387" i="24"/>
  <c r="J387" i="24"/>
  <c r="L387" i="24"/>
  <c r="M387" i="24"/>
  <c r="P387" i="24"/>
  <c r="Q387" i="24"/>
  <c r="R387" i="24"/>
  <c r="T387" i="24"/>
  <c r="U387" i="24"/>
  <c r="V387" i="24"/>
  <c r="X387" i="24"/>
  <c r="Y387" i="24"/>
  <c r="Z387" i="24"/>
  <c r="AB387" i="24"/>
  <c r="AC387" i="24"/>
  <c r="AD387" i="24"/>
  <c r="AF387" i="24"/>
  <c r="AG387" i="24"/>
  <c r="AH387" i="24"/>
  <c r="AJ387" i="24"/>
  <c r="AK387" i="24"/>
  <c r="AL387" i="24"/>
  <c r="AN387" i="24"/>
  <c r="AO387" i="24"/>
  <c r="AP387" i="24"/>
  <c r="AR387" i="24"/>
  <c r="AS387" i="24"/>
  <c r="AV387" i="24"/>
  <c r="AW387" i="24"/>
  <c r="AX387" i="24"/>
  <c r="AZ387" i="24"/>
  <c r="BA387" i="24"/>
  <c r="BB387" i="24"/>
  <c r="BD387" i="24"/>
  <c r="BE387" i="24"/>
  <c r="BF387" i="24"/>
  <c r="BH387" i="24"/>
  <c r="BI387" i="24"/>
  <c r="BJ387" i="24"/>
  <c r="B388" i="24"/>
  <c r="D388" i="24"/>
  <c r="E388" i="24"/>
  <c r="F388" i="24"/>
  <c r="H388" i="24"/>
  <c r="I388" i="24"/>
  <c r="J388" i="24"/>
  <c r="L388" i="24"/>
  <c r="M388" i="24"/>
  <c r="N388" i="24"/>
  <c r="P388" i="24"/>
  <c r="Q388" i="24"/>
  <c r="R388" i="24"/>
  <c r="T388" i="24"/>
  <c r="U388" i="24"/>
  <c r="V388" i="24"/>
  <c r="X388" i="24"/>
  <c r="Y388" i="24"/>
  <c r="Z388" i="24"/>
  <c r="AB388" i="24"/>
  <c r="AC388" i="24"/>
  <c r="AD388" i="24"/>
  <c r="AF388" i="24"/>
  <c r="AG388" i="24"/>
  <c r="AH388" i="24"/>
  <c r="AJ388" i="24"/>
  <c r="AK388" i="24"/>
  <c r="AL388" i="24"/>
  <c r="AN388" i="24"/>
  <c r="AO388" i="24"/>
  <c r="AP388" i="24"/>
  <c r="AR388" i="24"/>
  <c r="AS388" i="24"/>
  <c r="AT388" i="24"/>
  <c r="AV388" i="24"/>
  <c r="AW388" i="24"/>
  <c r="AX388" i="24"/>
  <c r="AZ388" i="24"/>
  <c r="BA388" i="24"/>
  <c r="BB388" i="24"/>
  <c r="BD388" i="24"/>
  <c r="BE388" i="24"/>
  <c r="BF388" i="24"/>
  <c r="BH388" i="24"/>
  <c r="BI388" i="24"/>
  <c r="BJ388" i="24"/>
  <c r="B389" i="24"/>
  <c r="D389" i="24"/>
  <c r="E389" i="24"/>
  <c r="F389" i="24"/>
  <c r="H389" i="24"/>
  <c r="I389" i="24"/>
  <c r="J389" i="24"/>
  <c r="L389" i="24"/>
  <c r="M389" i="24"/>
  <c r="N389" i="24"/>
  <c r="P389" i="24"/>
  <c r="Q389" i="24"/>
  <c r="R389" i="24"/>
  <c r="T389" i="24"/>
  <c r="U389" i="24"/>
  <c r="V389" i="24"/>
  <c r="X389" i="24"/>
  <c r="Y389" i="24"/>
  <c r="Z389" i="24"/>
  <c r="AB389" i="24"/>
  <c r="AC389" i="24"/>
  <c r="AD389" i="24"/>
  <c r="AF389" i="24"/>
  <c r="AG389" i="24"/>
  <c r="AH389" i="24"/>
  <c r="AJ389" i="24"/>
  <c r="AK389" i="24"/>
  <c r="AL389" i="24"/>
  <c r="AN389" i="24"/>
  <c r="AO389" i="24"/>
  <c r="AP389" i="24"/>
  <c r="AS389" i="24"/>
  <c r="AT389" i="24"/>
  <c r="AV389" i="24"/>
  <c r="AW389" i="24"/>
  <c r="AX389" i="24"/>
  <c r="AZ389" i="24"/>
  <c r="BA389" i="24"/>
  <c r="BB389" i="24"/>
  <c r="BD389" i="24"/>
  <c r="BE389" i="24"/>
  <c r="BF389" i="24"/>
  <c r="BH389" i="24"/>
  <c r="BI389" i="24"/>
  <c r="BJ389" i="24"/>
  <c r="B390" i="24"/>
  <c r="D390" i="24"/>
  <c r="E390" i="24"/>
  <c r="F390" i="24"/>
  <c r="H390" i="24"/>
  <c r="I390" i="24"/>
  <c r="J390" i="24"/>
  <c r="L390" i="24"/>
  <c r="M390" i="24"/>
  <c r="N390" i="24"/>
  <c r="P390" i="24"/>
  <c r="Q390" i="24"/>
  <c r="R390" i="24"/>
  <c r="U390" i="24"/>
  <c r="V390" i="24"/>
  <c r="X390" i="24"/>
  <c r="Y390" i="24"/>
  <c r="Z390" i="24"/>
  <c r="AB390" i="24"/>
  <c r="AC390" i="24"/>
  <c r="AD390" i="24"/>
  <c r="AF390" i="24"/>
  <c r="AG390" i="24"/>
  <c r="AH390" i="24"/>
  <c r="AJ390" i="24"/>
  <c r="AK390" i="24"/>
  <c r="AL390" i="24"/>
  <c r="AN390" i="24"/>
  <c r="AO390" i="24"/>
  <c r="AP390" i="24"/>
  <c r="AR390" i="24"/>
  <c r="AS390" i="24"/>
  <c r="AT390" i="24"/>
  <c r="AV390" i="24"/>
  <c r="AW390" i="24"/>
  <c r="AX390" i="24"/>
  <c r="BA390" i="24"/>
  <c r="BB390" i="24"/>
  <c r="BD390" i="24"/>
  <c r="BE390" i="24"/>
  <c r="BF390" i="24"/>
  <c r="BH390" i="24"/>
  <c r="BI390" i="24"/>
  <c r="BJ390" i="24"/>
  <c r="B391" i="24"/>
  <c r="D391" i="24"/>
  <c r="E391" i="24"/>
  <c r="F391" i="24"/>
  <c r="H391" i="24"/>
  <c r="I391" i="24"/>
  <c r="J391" i="24"/>
  <c r="L391" i="24"/>
  <c r="M391" i="24"/>
  <c r="N391" i="24"/>
  <c r="P391" i="24"/>
  <c r="Q391" i="24"/>
  <c r="R391" i="24"/>
  <c r="T391" i="24"/>
  <c r="U391" i="24"/>
  <c r="V391" i="24"/>
  <c r="X391" i="24"/>
  <c r="Y391" i="24"/>
  <c r="Z391" i="24"/>
  <c r="AB391" i="24"/>
  <c r="AC391" i="24"/>
  <c r="AD391" i="24"/>
  <c r="AF391" i="24"/>
  <c r="AG391" i="24"/>
  <c r="AH391" i="24"/>
  <c r="AJ391" i="24"/>
  <c r="AK391" i="24"/>
  <c r="AL391" i="24"/>
  <c r="AN391" i="24"/>
  <c r="AO391" i="24"/>
  <c r="AP391" i="24"/>
  <c r="AR391" i="24"/>
  <c r="AS391" i="24"/>
  <c r="AT391" i="24"/>
  <c r="AV391" i="24"/>
  <c r="AW391" i="24"/>
  <c r="AX391" i="24"/>
  <c r="AZ391" i="24"/>
  <c r="BA391" i="24"/>
  <c r="BB391" i="24"/>
  <c r="BD391" i="24"/>
  <c r="BE391" i="24"/>
  <c r="BF391" i="24"/>
  <c r="BH391" i="24"/>
  <c r="BI391" i="24"/>
  <c r="BJ391" i="24"/>
  <c r="B392" i="24"/>
  <c r="D392" i="24"/>
  <c r="E392" i="24"/>
  <c r="H392" i="24"/>
  <c r="I392" i="24"/>
  <c r="J392" i="24"/>
  <c r="L392" i="24"/>
  <c r="M392" i="24"/>
  <c r="N392" i="24"/>
  <c r="P392" i="24"/>
  <c r="Q392" i="24"/>
  <c r="R392" i="24"/>
  <c r="T392" i="24"/>
  <c r="U392" i="24"/>
  <c r="V392" i="24"/>
  <c r="X392" i="24"/>
  <c r="Y392" i="24"/>
  <c r="Z392" i="24"/>
  <c r="AB392" i="24"/>
  <c r="AC392" i="24"/>
  <c r="AD392" i="24"/>
  <c r="AF392" i="24"/>
  <c r="AG392" i="24"/>
  <c r="AH392" i="24"/>
  <c r="AJ392" i="24"/>
  <c r="AK392" i="24"/>
  <c r="AL392" i="24"/>
  <c r="AN392" i="24"/>
  <c r="AO392" i="24"/>
  <c r="AP392" i="24"/>
  <c r="AR392" i="24"/>
  <c r="AS392" i="24"/>
  <c r="AT392" i="24"/>
  <c r="AV392" i="24"/>
  <c r="AW392" i="24"/>
  <c r="AX392" i="24"/>
  <c r="AZ392" i="24"/>
  <c r="BA392" i="24"/>
  <c r="BB392" i="24"/>
  <c r="BD392" i="24"/>
  <c r="BE392" i="24"/>
  <c r="BF392" i="24"/>
  <c r="BH392" i="24"/>
  <c r="BI392" i="24"/>
  <c r="BJ392" i="24"/>
  <c r="B393" i="24"/>
  <c r="D393" i="24"/>
  <c r="E393" i="24"/>
  <c r="F393" i="24"/>
  <c r="H393" i="24"/>
  <c r="I393" i="24"/>
  <c r="J393" i="24"/>
  <c r="L393" i="24"/>
  <c r="M393" i="24"/>
  <c r="N393" i="24"/>
  <c r="P393" i="24"/>
  <c r="Q393" i="24"/>
  <c r="R393" i="24"/>
  <c r="T393" i="24"/>
  <c r="U393" i="24"/>
  <c r="V393" i="24"/>
  <c r="X393" i="24"/>
  <c r="Y393" i="24"/>
  <c r="Z393" i="24"/>
  <c r="AB393" i="24"/>
  <c r="AC393" i="24"/>
  <c r="AD393" i="24"/>
  <c r="AF393" i="24"/>
  <c r="AG393" i="24"/>
  <c r="AH393" i="24"/>
  <c r="AK393" i="24"/>
  <c r="AL393" i="24"/>
  <c r="AN393" i="24"/>
  <c r="AO393" i="24"/>
  <c r="AP393" i="24"/>
  <c r="AR393" i="24"/>
  <c r="AS393" i="24"/>
  <c r="AT393" i="24"/>
  <c r="AV393" i="24"/>
  <c r="AW393" i="24"/>
  <c r="AX393" i="24"/>
  <c r="AZ393" i="24"/>
  <c r="BA393" i="24"/>
  <c r="BB393" i="24"/>
  <c r="BD393" i="24"/>
  <c r="BE393" i="24"/>
  <c r="BF393" i="24"/>
  <c r="BH393" i="24"/>
  <c r="BI393" i="24"/>
  <c r="BJ393" i="24"/>
  <c r="B394" i="24"/>
  <c r="D394" i="24"/>
  <c r="E394" i="24"/>
  <c r="F394" i="24"/>
  <c r="H394" i="24"/>
  <c r="I394" i="24"/>
  <c r="J394" i="24"/>
  <c r="L394" i="24"/>
  <c r="N394" i="24"/>
  <c r="P394" i="24"/>
  <c r="Q394" i="24"/>
  <c r="R394" i="24"/>
  <c r="T394" i="24"/>
  <c r="U394" i="24"/>
  <c r="V394" i="24"/>
  <c r="X394" i="24"/>
  <c r="Y394" i="24"/>
  <c r="Z394" i="24"/>
  <c r="AB394" i="24"/>
  <c r="AC394" i="24"/>
  <c r="AD394" i="24"/>
  <c r="AF394" i="24"/>
  <c r="AG394" i="24"/>
  <c r="AH394" i="24"/>
  <c r="AJ394" i="24"/>
  <c r="AK394" i="24"/>
  <c r="AL394" i="24"/>
  <c r="AN394" i="24"/>
  <c r="AO394" i="24"/>
  <c r="AP394" i="24"/>
  <c r="AR394" i="24"/>
  <c r="AT394" i="24"/>
  <c r="AV394" i="24"/>
  <c r="AW394" i="24"/>
  <c r="AX394" i="24"/>
  <c r="AZ394" i="24"/>
  <c r="BA394" i="24"/>
  <c r="BB394" i="24"/>
  <c r="BD394" i="24"/>
  <c r="BE394" i="24"/>
  <c r="BF394" i="24"/>
  <c r="BH394" i="24"/>
  <c r="BI394" i="24"/>
  <c r="BJ394" i="24"/>
  <c r="B395" i="24"/>
  <c r="D395" i="24"/>
  <c r="E395" i="24"/>
  <c r="F395" i="24"/>
  <c r="H395" i="24"/>
  <c r="I395" i="24"/>
  <c r="J395" i="24"/>
  <c r="L395" i="24"/>
  <c r="M395" i="24"/>
  <c r="N395" i="24"/>
  <c r="P395" i="24"/>
  <c r="Q395" i="24"/>
  <c r="R395" i="24"/>
  <c r="T395" i="24"/>
  <c r="U395" i="24"/>
  <c r="V395" i="24"/>
  <c r="X395" i="24"/>
  <c r="Y395" i="24"/>
  <c r="Z395" i="24"/>
  <c r="AB395" i="24"/>
  <c r="AC395" i="24"/>
  <c r="AD395" i="24"/>
  <c r="AF395" i="24"/>
  <c r="AG395" i="24"/>
  <c r="AH395" i="24"/>
  <c r="AJ395" i="24"/>
  <c r="AK395" i="24"/>
  <c r="AL395" i="24"/>
  <c r="AN395" i="24"/>
  <c r="AO395" i="24"/>
  <c r="AP395" i="24"/>
  <c r="AR395" i="24"/>
  <c r="AS395" i="24"/>
  <c r="AT395" i="24"/>
  <c r="AV395" i="24"/>
  <c r="AW395" i="24"/>
  <c r="AX395" i="24"/>
  <c r="AZ395" i="24"/>
  <c r="BA395" i="24"/>
  <c r="BB395" i="24"/>
  <c r="BD395" i="24"/>
  <c r="BE395" i="24"/>
  <c r="BF395" i="24"/>
  <c r="BH395" i="24"/>
  <c r="BI395" i="24"/>
  <c r="BJ395" i="24"/>
  <c r="B396" i="24"/>
  <c r="D396" i="24"/>
  <c r="E396" i="24"/>
  <c r="F396" i="24"/>
  <c r="H396" i="24"/>
  <c r="I396" i="24"/>
  <c r="J396" i="24"/>
  <c r="L396" i="24"/>
  <c r="M396" i="24"/>
  <c r="N396" i="24"/>
  <c r="P396" i="24"/>
  <c r="Q396" i="24"/>
  <c r="R396" i="24"/>
  <c r="T396" i="24"/>
  <c r="U396" i="24"/>
  <c r="V396" i="24"/>
  <c r="X396" i="24"/>
  <c r="Y396" i="24"/>
  <c r="Z396" i="24"/>
  <c r="AB396" i="24"/>
  <c r="AC396" i="24"/>
  <c r="AD396" i="24"/>
  <c r="AF396" i="24"/>
  <c r="AG396" i="24"/>
  <c r="AH396" i="24"/>
  <c r="AJ396" i="24"/>
  <c r="AK396" i="24"/>
  <c r="AL396" i="24"/>
  <c r="AN396" i="24"/>
  <c r="AO396" i="24"/>
  <c r="AP396" i="24"/>
  <c r="AR396" i="24"/>
  <c r="AS396" i="24"/>
  <c r="AT396" i="24"/>
  <c r="AV396" i="24"/>
  <c r="AW396" i="24"/>
  <c r="AX396" i="24"/>
  <c r="AZ396" i="24"/>
  <c r="BA396" i="24"/>
  <c r="BB396" i="24"/>
  <c r="BD396" i="24"/>
  <c r="BE396" i="24"/>
  <c r="BF396" i="24"/>
  <c r="BH396" i="24"/>
  <c r="BI396" i="24"/>
  <c r="BJ396" i="24"/>
  <c r="B397" i="24"/>
  <c r="E397" i="24"/>
  <c r="F397" i="24"/>
  <c r="H397" i="24"/>
  <c r="I397" i="24"/>
  <c r="J397" i="24"/>
  <c r="L397" i="24"/>
  <c r="M397" i="24"/>
  <c r="N397" i="24"/>
  <c r="P397" i="24"/>
  <c r="Q397" i="24"/>
  <c r="R397" i="24"/>
  <c r="T397" i="24"/>
  <c r="U397" i="24"/>
  <c r="V397" i="24"/>
  <c r="X397" i="24"/>
  <c r="Y397" i="24"/>
  <c r="Z397" i="24"/>
  <c r="AB397" i="24"/>
  <c r="AC397" i="24"/>
  <c r="AD397" i="24"/>
  <c r="AF397" i="24"/>
  <c r="AG397" i="24"/>
  <c r="AH397" i="24"/>
  <c r="AJ397" i="24"/>
  <c r="AK397" i="24"/>
  <c r="AL397" i="24"/>
  <c r="AN397" i="24"/>
  <c r="AO397" i="24"/>
  <c r="AP397" i="24"/>
  <c r="AR397" i="24"/>
  <c r="AS397" i="24"/>
  <c r="AT397" i="24"/>
  <c r="AV397" i="24"/>
  <c r="AW397" i="24"/>
  <c r="AX397" i="24"/>
  <c r="AZ397" i="24"/>
  <c r="BA397" i="24"/>
  <c r="BB397" i="24"/>
  <c r="BD397" i="24"/>
  <c r="BE397" i="24"/>
  <c r="BF397" i="24"/>
  <c r="BH397" i="24"/>
  <c r="BI397" i="24"/>
  <c r="BJ397" i="24"/>
  <c r="B398" i="24"/>
  <c r="D398" i="24"/>
  <c r="E398" i="24"/>
  <c r="F398" i="24"/>
  <c r="H398" i="24"/>
  <c r="I398" i="24"/>
  <c r="J398" i="24"/>
  <c r="L398" i="24"/>
  <c r="M398" i="24"/>
  <c r="N398" i="24"/>
  <c r="P398" i="24"/>
  <c r="Q398" i="24"/>
  <c r="R398" i="24"/>
  <c r="T398" i="24"/>
  <c r="U398" i="24"/>
  <c r="V398" i="24"/>
  <c r="X398" i="24"/>
  <c r="Y398" i="24"/>
  <c r="Z398" i="24"/>
  <c r="AB398" i="24"/>
  <c r="AC398" i="24"/>
  <c r="AD398" i="24"/>
  <c r="AF398" i="24"/>
  <c r="AG398" i="24"/>
  <c r="AH398" i="24"/>
  <c r="AJ398" i="24"/>
  <c r="AK398" i="24"/>
  <c r="AL398" i="24"/>
  <c r="AN398" i="24"/>
  <c r="AO398" i="24"/>
  <c r="AP398" i="24"/>
  <c r="AR398" i="24"/>
  <c r="AS398" i="24"/>
  <c r="AT398" i="24"/>
  <c r="AV398" i="24"/>
  <c r="AW398" i="24"/>
  <c r="AX398" i="24"/>
  <c r="AZ398" i="24"/>
  <c r="BA398" i="24"/>
  <c r="BB398" i="24"/>
  <c r="BD398" i="24"/>
  <c r="BE398" i="24"/>
  <c r="BF398" i="24"/>
  <c r="BH398" i="24"/>
  <c r="BI398" i="24"/>
  <c r="BJ398" i="24"/>
  <c r="B399" i="24"/>
  <c r="D399" i="24"/>
  <c r="E399" i="24"/>
  <c r="F399" i="24"/>
  <c r="H399" i="24"/>
  <c r="I399" i="24"/>
  <c r="J399" i="24"/>
  <c r="L399" i="24"/>
  <c r="M399" i="24"/>
  <c r="N399" i="24"/>
  <c r="P399" i="24"/>
  <c r="Q399" i="24"/>
  <c r="R399" i="24"/>
  <c r="T399" i="24"/>
  <c r="U399" i="24"/>
  <c r="V399" i="24"/>
  <c r="X399" i="24"/>
  <c r="Y399" i="24"/>
  <c r="Z399" i="24"/>
  <c r="AB399" i="24"/>
  <c r="AC399" i="24"/>
  <c r="AD399" i="24"/>
  <c r="AF399" i="24"/>
  <c r="AG399" i="24"/>
  <c r="AH399" i="24"/>
  <c r="AJ399" i="24"/>
  <c r="AK399" i="24"/>
  <c r="AL399" i="24"/>
  <c r="AN399" i="24"/>
  <c r="AO399" i="24"/>
  <c r="AP399" i="24"/>
  <c r="AR399" i="24"/>
  <c r="AS399" i="24"/>
  <c r="AT399" i="24"/>
  <c r="AV399" i="24"/>
  <c r="AW399" i="24"/>
  <c r="AX399" i="24"/>
  <c r="AZ399" i="24"/>
  <c r="BA399" i="24"/>
  <c r="BB399" i="24"/>
  <c r="BD399" i="24"/>
  <c r="BE399" i="24"/>
  <c r="BF399" i="24"/>
  <c r="BH399" i="24"/>
  <c r="BI399" i="24"/>
  <c r="BJ399" i="24"/>
  <c r="B400" i="24"/>
  <c r="D400" i="24"/>
  <c r="E400" i="24"/>
  <c r="F400" i="24"/>
  <c r="H400" i="24"/>
  <c r="I400" i="24"/>
  <c r="J400" i="24"/>
  <c r="L400" i="24"/>
  <c r="M400" i="24"/>
  <c r="N400" i="24"/>
  <c r="P400" i="24"/>
  <c r="Q400" i="24"/>
  <c r="R400" i="24"/>
  <c r="T400" i="24"/>
  <c r="U400" i="24"/>
  <c r="V400" i="24"/>
  <c r="X400" i="24"/>
  <c r="Y400" i="24"/>
  <c r="Z400" i="24"/>
  <c r="AB400" i="24"/>
  <c r="AC400" i="24"/>
  <c r="AD400" i="24"/>
  <c r="AF400" i="24"/>
  <c r="AG400" i="24"/>
  <c r="AH400" i="24"/>
  <c r="AJ400" i="24"/>
  <c r="AK400" i="24"/>
  <c r="AL400" i="24"/>
  <c r="AN400" i="24"/>
  <c r="AO400" i="24"/>
  <c r="AP400" i="24"/>
  <c r="AR400" i="24"/>
  <c r="AS400" i="24"/>
  <c r="AT400" i="24"/>
  <c r="AV400" i="24"/>
  <c r="AW400" i="24"/>
  <c r="AX400" i="24"/>
  <c r="AZ400" i="24"/>
  <c r="BA400" i="24"/>
  <c r="BB400" i="24"/>
  <c r="BD400" i="24"/>
  <c r="BE400" i="24"/>
  <c r="BF400" i="24"/>
  <c r="BH400" i="24"/>
  <c r="BI400" i="24"/>
  <c r="BJ400" i="24"/>
  <c r="B401" i="24"/>
  <c r="E401" i="24"/>
  <c r="F401" i="24"/>
  <c r="H401" i="24"/>
  <c r="I401" i="24"/>
  <c r="J401" i="24"/>
  <c r="L401" i="24"/>
  <c r="M401" i="24"/>
  <c r="N401" i="24"/>
  <c r="P401" i="24"/>
  <c r="Q401" i="24"/>
  <c r="R401" i="24"/>
  <c r="T401" i="24"/>
  <c r="U401" i="24"/>
  <c r="V401" i="24"/>
  <c r="X401" i="24"/>
  <c r="Y401" i="24"/>
  <c r="Z401" i="24"/>
  <c r="AB401" i="24"/>
  <c r="AC401" i="24"/>
  <c r="AD401" i="24"/>
  <c r="AF401" i="24"/>
  <c r="AG401" i="24"/>
  <c r="AH401" i="24"/>
  <c r="AJ401" i="24"/>
  <c r="AK401" i="24"/>
  <c r="AL401" i="24"/>
  <c r="AN401" i="24"/>
  <c r="AO401" i="24"/>
  <c r="AP401" i="24"/>
  <c r="AR401" i="24"/>
  <c r="AS401" i="24"/>
  <c r="AT401" i="24"/>
  <c r="AV401" i="24"/>
  <c r="AW401" i="24"/>
  <c r="AX401" i="24"/>
  <c r="AZ401" i="24"/>
  <c r="BA401" i="24"/>
  <c r="BB401" i="24"/>
  <c r="BD401" i="24"/>
  <c r="BE401" i="24"/>
  <c r="BF401" i="24"/>
  <c r="BH401" i="24"/>
  <c r="BI401" i="24"/>
  <c r="BJ401" i="24"/>
  <c r="B402" i="24"/>
  <c r="D402" i="24"/>
  <c r="E402" i="24"/>
  <c r="F402" i="24"/>
  <c r="H402" i="24"/>
  <c r="I402" i="24"/>
  <c r="J402" i="24"/>
  <c r="L402" i="24"/>
  <c r="M402" i="24"/>
  <c r="N402" i="24"/>
  <c r="P402" i="24"/>
  <c r="Q402" i="24"/>
  <c r="R402" i="24"/>
  <c r="T402" i="24"/>
  <c r="U402" i="24"/>
  <c r="V402" i="24"/>
  <c r="X402" i="24"/>
  <c r="Y402" i="24"/>
  <c r="Z402" i="24"/>
  <c r="AB402" i="24"/>
  <c r="AD402" i="24"/>
  <c r="AF402" i="24"/>
  <c r="AG402" i="24"/>
  <c r="AH402" i="24"/>
  <c r="AJ402" i="24"/>
  <c r="AK402" i="24"/>
  <c r="AL402" i="24"/>
  <c r="AN402" i="24"/>
  <c r="AO402" i="24"/>
  <c r="AP402" i="24"/>
  <c r="AR402" i="24"/>
  <c r="AS402" i="24"/>
  <c r="AT402" i="24"/>
  <c r="AV402" i="24"/>
  <c r="AW402" i="24"/>
  <c r="AX402" i="24"/>
  <c r="AZ402" i="24"/>
  <c r="BA402" i="24"/>
  <c r="BB402" i="24"/>
  <c r="BD402" i="24"/>
  <c r="BE402" i="24"/>
  <c r="BF402" i="24"/>
  <c r="BH402" i="24"/>
  <c r="BJ402" i="24"/>
  <c r="B403" i="24"/>
  <c r="D403" i="24"/>
  <c r="E403" i="24"/>
  <c r="F403" i="24"/>
  <c r="H403" i="24"/>
  <c r="I403" i="24"/>
  <c r="J403" i="24"/>
  <c r="L403" i="24"/>
  <c r="M403" i="24"/>
  <c r="N403" i="24"/>
  <c r="P403" i="24"/>
  <c r="Q403" i="24"/>
  <c r="R403" i="24"/>
  <c r="T403" i="24"/>
  <c r="U403" i="24"/>
  <c r="V403" i="24"/>
  <c r="X403" i="24"/>
  <c r="Y403" i="24"/>
  <c r="Z403" i="24"/>
  <c r="AB403" i="24"/>
  <c r="AC403" i="24"/>
  <c r="AD403" i="24"/>
  <c r="AF403" i="24"/>
  <c r="AG403" i="24"/>
  <c r="AH403" i="24"/>
  <c r="AJ403" i="24"/>
  <c r="AK403" i="24"/>
  <c r="AL403" i="24"/>
  <c r="AN403" i="24"/>
  <c r="AO403" i="24"/>
  <c r="AP403" i="24"/>
  <c r="AR403" i="24"/>
  <c r="AS403" i="24"/>
  <c r="AT403" i="24"/>
  <c r="AV403" i="24"/>
  <c r="AW403" i="24"/>
  <c r="AX403" i="24"/>
  <c r="AZ403" i="24"/>
  <c r="BA403" i="24"/>
  <c r="BB403" i="24"/>
  <c r="BD403" i="24"/>
  <c r="BE403" i="24"/>
  <c r="BF403" i="24"/>
  <c r="BH403" i="24"/>
  <c r="BI403" i="24"/>
  <c r="BJ403" i="24"/>
  <c r="B404" i="24"/>
  <c r="D404" i="24"/>
  <c r="E404" i="24"/>
  <c r="H404" i="24"/>
  <c r="I404" i="24"/>
  <c r="J404" i="24"/>
  <c r="L404" i="24"/>
  <c r="M404" i="24"/>
  <c r="N404" i="24"/>
  <c r="P404" i="24"/>
  <c r="Q404" i="24"/>
  <c r="R404" i="24"/>
  <c r="T404" i="24"/>
  <c r="U404" i="24"/>
  <c r="V404" i="24"/>
  <c r="X404" i="24"/>
  <c r="Y404" i="24"/>
  <c r="Z404" i="24"/>
  <c r="AB404" i="24"/>
  <c r="AC404" i="24"/>
  <c r="AD404" i="24"/>
  <c r="AF404" i="24"/>
  <c r="AG404" i="24"/>
  <c r="AH404" i="24"/>
  <c r="AJ404" i="24"/>
  <c r="AK404" i="24"/>
  <c r="AL404" i="24"/>
  <c r="AN404" i="24"/>
  <c r="AO404" i="24"/>
  <c r="AP404" i="24"/>
  <c r="AR404" i="24"/>
  <c r="AS404" i="24"/>
  <c r="AT404" i="24"/>
  <c r="AV404" i="24"/>
  <c r="AW404" i="24"/>
  <c r="AX404" i="24"/>
  <c r="AZ404" i="24"/>
  <c r="BA404" i="24"/>
  <c r="BB404" i="24"/>
  <c r="BD404" i="24"/>
  <c r="BE404" i="24"/>
  <c r="BF404" i="24"/>
  <c r="BH404" i="24"/>
  <c r="BI404" i="24"/>
  <c r="BJ404" i="24"/>
  <c r="B405" i="24"/>
  <c r="D405" i="24"/>
  <c r="E405" i="24"/>
  <c r="F405" i="24"/>
  <c r="H405" i="24"/>
  <c r="I405" i="24"/>
  <c r="J405" i="24"/>
  <c r="L405" i="24"/>
  <c r="M405" i="24"/>
  <c r="N405" i="24"/>
  <c r="P405" i="24"/>
  <c r="Q405" i="24"/>
  <c r="R405" i="24"/>
  <c r="T405" i="24"/>
  <c r="U405" i="24"/>
  <c r="V405" i="24"/>
  <c r="X405" i="24"/>
  <c r="Y405" i="24"/>
  <c r="Z405" i="24"/>
  <c r="AB405" i="24"/>
  <c r="AC405" i="24"/>
  <c r="AD405" i="24"/>
  <c r="AF405" i="24"/>
  <c r="AG405" i="24"/>
  <c r="AH405" i="24"/>
  <c r="AK405" i="24"/>
  <c r="AL405" i="24"/>
  <c r="AN405" i="24"/>
  <c r="AO405" i="24"/>
  <c r="AP405" i="24"/>
  <c r="AS405" i="24"/>
  <c r="AT405" i="24"/>
  <c r="AV405" i="24"/>
  <c r="AW405" i="24"/>
  <c r="AX405" i="24"/>
  <c r="AZ405" i="24"/>
  <c r="BA405" i="24"/>
  <c r="BB405" i="24"/>
  <c r="BD405" i="24"/>
  <c r="BE405" i="24"/>
  <c r="BF405" i="24"/>
  <c r="BH405" i="24"/>
  <c r="BI405" i="24"/>
  <c r="BJ405" i="24"/>
  <c r="B406" i="24"/>
  <c r="D406" i="24"/>
  <c r="E406" i="24"/>
  <c r="F406" i="24"/>
  <c r="H406" i="24"/>
  <c r="I406" i="24"/>
  <c r="J406" i="24"/>
  <c r="L406" i="24"/>
  <c r="N406" i="24"/>
  <c r="P406" i="24"/>
  <c r="Q406" i="24"/>
  <c r="R406" i="24"/>
  <c r="U406" i="24"/>
  <c r="V406" i="24"/>
  <c r="X406" i="24"/>
  <c r="Y406" i="24"/>
  <c r="Z406" i="24"/>
  <c r="AB406" i="24"/>
  <c r="AC406" i="24"/>
  <c r="AD406" i="24"/>
  <c r="AF406" i="24"/>
  <c r="AG406" i="24"/>
  <c r="AH406" i="24"/>
  <c r="AJ406" i="24"/>
  <c r="AK406" i="24"/>
  <c r="AL406" i="24"/>
  <c r="AN406" i="24"/>
  <c r="AO406" i="24"/>
  <c r="AP406" i="24"/>
  <c r="AR406" i="24"/>
  <c r="AT406" i="24"/>
  <c r="AV406" i="24"/>
  <c r="AW406" i="24"/>
  <c r="AX406" i="24"/>
  <c r="BA406" i="24"/>
  <c r="BB406" i="24"/>
  <c r="BD406" i="24"/>
  <c r="BE406" i="24"/>
  <c r="BF406" i="24"/>
  <c r="BH406" i="24"/>
  <c r="BI406" i="24"/>
  <c r="BJ406" i="24"/>
  <c r="B407" i="24"/>
  <c r="D407" i="24"/>
  <c r="E407" i="24"/>
  <c r="F407" i="24"/>
  <c r="H407" i="24"/>
  <c r="I407" i="24"/>
  <c r="J407" i="24"/>
  <c r="L407" i="24"/>
  <c r="M407" i="24"/>
  <c r="N407" i="24"/>
  <c r="P407" i="24"/>
  <c r="Q407" i="24"/>
  <c r="R407" i="24"/>
  <c r="T407" i="24"/>
  <c r="U407" i="24"/>
  <c r="V407" i="24"/>
  <c r="X407" i="24"/>
  <c r="Y407" i="24"/>
  <c r="Z407" i="24"/>
  <c r="AB407" i="24"/>
  <c r="AC407" i="24"/>
  <c r="AD407" i="24"/>
  <c r="AF407" i="24"/>
  <c r="AG407" i="24"/>
  <c r="AH407" i="24"/>
  <c r="AJ407" i="24"/>
  <c r="AK407" i="24"/>
  <c r="AL407" i="24"/>
  <c r="AN407" i="24"/>
  <c r="AO407" i="24"/>
  <c r="AP407" i="24"/>
  <c r="AR407" i="24"/>
  <c r="AS407" i="24"/>
  <c r="AT407" i="24"/>
  <c r="AV407" i="24"/>
  <c r="AW407" i="24"/>
  <c r="AX407" i="24"/>
  <c r="AZ407" i="24"/>
  <c r="BA407" i="24"/>
  <c r="BB407" i="24"/>
  <c r="BD407" i="24"/>
  <c r="BE407" i="24"/>
  <c r="BF407" i="24"/>
  <c r="BH407" i="24"/>
  <c r="BI407" i="24"/>
  <c r="BJ407" i="24"/>
  <c r="B408" i="24"/>
  <c r="D408" i="24"/>
  <c r="E408" i="24"/>
  <c r="H408" i="24"/>
  <c r="I408" i="24"/>
  <c r="J408" i="24"/>
  <c r="L408" i="24"/>
  <c r="M408" i="24"/>
  <c r="N408" i="24"/>
  <c r="P408" i="24"/>
  <c r="Q408" i="24"/>
  <c r="R408" i="24"/>
  <c r="T408" i="24"/>
  <c r="U408" i="24"/>
  <c r="V408" i="24"/>
  <c r="X408" i="24"/>
  <c r="Y408" i="24"/>
  <c r="Z408" i="24"/>
  <c r="AB408" i="24"/>
  <c r="AC408" i="24"/>
  <c r="AD408" i="24"/>
  <c r="AF408" i="24"/>
  <c r="AG408" i="24"/>
  <c r="AH408" i="24"/>
  <c r="AJ408" i="24"/>
  <c r="AK408" i="24"/>
  <c r="AL408" i="24"/>
  <c r="AN408" i="24"/>
  <c r="AO408" i="24"/>
  <c r="AP408" i="24"/>
  <c r="AR408" i="24"/>
  <c r="AS408" i="24"/>
  <c r="AT408" i="24"/>
  <c r="AV408" i="24"/>
  <c r="AW408" i="24"/>
  <c r="AX408" i="24"/>
  <c r="AZ408" i="24"/>
  <c r="BA408" i="24"/>
  <c r="BB408" i="24"/>
  <c r="BD408" i="24"/>
  <c r="BE408" i="24"/>
  <c r="BF408" i="24"/>
  <c r="BH408" i="24"/>
  <c r="BI408" i="24"/>
  <c r="BJ408" i="24"/>
  <c r="B409" i="24"/>
  <c r="D409" i="24"/>
  <c r="E409" i="24"/>
  <c r="F409" i="24"/>
  <c r="H409" i="24"/>
  <c r="I409" i="24"/>
  <c r="J409" i="24"/>
  <c r="L409" i="24"/>
  <c r="M409" i="24"/>
  <c r="N409" i="24"/>
  <c r="P409" i="24"/>
  <c r="Q409" i="24"/>
  <c r="R409" i="24"/>
  <c r="T409" i="24"/>
  <c r="U409" i="24"/>
  <c r="V409" i="24"/>
  <c r="X409" i="24"/>
  <c r="Y409" i="24"/>
  <c r="Z409" i="24"/>
  <c r="AB409" i="24"/>
  <c r="AC409" i="24"/>
  <c r="AD409" i="24"/>
  <c r="AF409" i="24"/>
  <c r="AG409" i="24"/>
  <c r="AH409" i="24"/>
  <c r="AK409" i="24"/>
  <c r="AL409" i="24"/>
  <c r="AN409" i="24"/>
  <c r="AO409" i="24"/>
  <c r="AP409" i="24"/>
  <c r="AR409" i="24"/>
  <c r="AS409" i="24"/>
  <c r="AT409" i="24"/>
  <c r="AV409" i="24"/>
  <c r="AW409" i="24"/>
  <c r="AX409" i="24"/>
  <c r="AZ409" i="24"/>
  <c r="BA409" i="24"/>
  <c r="BB409" i="24"/>
  <c r="BD409" i="24"/>
  <c r="BE409" i="24"/>
  <c r="BF409" i="24"/>
  <c r="BH409" i="24"/>
  <c r="BI409" i="24"/>
  <c r="BJ409" i="24"/>
  <c r="B410" i="24"/>
  <c r="D410" i="24"/>
  <c r="E410" i="24"/>
  <c r="F410" i="24"/>
  <c r="H410" i="24"/>
  <c r="I410" i="24"/>
  <c r="J410" i="24"/>
  <c r="L410" i="24"/>
  <c r="N410" i="24"/>
  <c r="P410" i="24"/>
  <c r="Q410" i="24"/>
  <c r="R410" i="24"/>
  <c r="T410" i="24"/>
  <c r="U410" i="24"/>
  <c r="V410" i="24"/>
  <c r="X410" i="24"/>
  <c r="Y410" i="24"/>
  <c r="Z410" i="24"/>
  <c r="AB410" i="24"/>
  <c r="AC410" i="24"/>
  <c r="AD410" i="24"/>
  <c r="AF410" i="24"/>
  <c r="AG410" i="24"/>
  <c r="AH410" i="24"/>
  <c r="AJ410" i="24"/>
  <c r="AK410" i="24"/>
  <c r="AL410" i="24"/>
  <c r="AN410" i="24"/>
  <c r="AO410" i="24"/>
  <c r="AP410" i="24"/>
  <c r="AR410" i="24"/>
  <c r="AT410" i="24"/>
  <c r="AV410" i="24"/>
  <c r="AW410" i="24"/>
  <c r="AX410" i="24"/>
  <c r="AZ410" i="24"/>
  <c r="BA410" i="24"/>
  <c r="BB410" i="24"/>
  <c r="BD410" i="24"/>
  <c r="BE410" i="24"/>
  <c r="BF410" i="24"/>
  <c r="BH410" i="24"/>
  <c r="BI410" i="24"/>
  <c r="BJ410" i="24"/>
  <c r="B411" i="24"/>
  <c r="D411" i="24"/>
  <c r="E411" i="24"/>
  <c r="F411" i="24"/>
  <c r="H411" i="24"/>
  <c r="I411" i="24"/>
  <c r="J411" i="24"/>
  <c r="L411" i="24"/>
  <c r="M411" i="24"/>
  <c r="N411" i="24"/>
  <c r="P411" i="24"/>
  <c r="Q411" i="24"/>
  <c r="R411" i="24"/>
  <c r="T411" i="24"/>
  <c r="U411" i="24"/>
  <c r="V411" i="24"/>
  <c r="X411" i="24"/>
  <c r="Y411" i="24"/>
  <c r="Z411" i="24"/>
  <c r="AB411" i="24"/>
  <c r="AC411" i="24"/>
  <c r="AD411" i="24"/>
  <c r="AF411" i="24"/>
  <c r="AG411" i="24"/>
  <c r="AH411" i="24"/>
  <c r="AJ411" i="24"/>
  <c r="AK411" i="24"/>
  <c r="AL411" i="24"/>
  <c r="AN411" i="24"/>
  <c r="AO411" i="24"/>
  <c r="AP411" i="24"/>
  <c r="AR411" i="24"/>
  <c r="AS411" i="24"/>
  <c r="AT411" i="24"/>
  <c r="AV411" i="24"/>
  <c r="AW411" i="24"/>
  <c r="AX411" i="24"/>
  <c r="AZ411" i="24"/>
  <c r="BA411" i="24"/>
  <c r="BB411" i="24"/>
  <c r="BD411" i="24"/>
  <c r="BE411" i="24"/>
  <c r="BF411" i="24"/>
  <c r="BH411" i="24"/>
  <c r="BI411" i="24"/>
  <c r="BJ411" i="24"/>
  <c r="B412" i="24"/>
  <c r="D412" i="24"/>
  <c r="E412" i="24"/>
  <c r="F412" i="24"/>
  <c r="H412" i="24"/>
  <c r="I412" i="24"/>
  <c r="J412" i="24"/>
  <c r="L412" i="24"/>
  <c r="M412" i="24"/>
  <c r="N412" i="24"/>
  <c r="P412" i="24"/>
  <c r="Q412" i="24"/>
  <c r="R412" i="24"/>
  <c r="T412" i="24"/>
  <c r="U412" i="24"/>
  <c r="V412" i="24"/>
  <c r="X412" i="24"/>
  <c r="Y412" i="24"/>
  <c r="Z412" i="24"/>
  <c r="AB412" i="24"/>
  <c r="AC412" i="24"/>
  <c r="AD412" i="24"/>
  <c r="AF412" i="24"/>
  <c r="AG412" i="24"/>
  <c r="AH412" i="24"/>
  <c r="AJ412" i="24"/>
  <c r="AK412" i="24"/>
  <c r="AL412" i="24"/>
  <c r="AN412" i="24"/>
  <c r="AO412" i="24"/>
  <c r="AP412" i="24"/>
  <c r="AR412" i="24"/>
  <c r="AS412" i="24"/>
  <c r="AT412" i="24"/>
  <c r="AV412" i="24"/>
  <c r="AW412" i="24"/>
  <c r="AX412" i="24"/>
  <c r="AZ412" i="24"/>
  <c r="BA412" i="24"/>
  <c r="BB412" i="24"/>
  <c r="BD412" i="24"/>
  <c r="BE412" i="24"/>
  <c r="BF412" i="24"/>
  <c r="BH412" i="24"/>
  <c r="BI412" i="24"/>
  <c r="BJ412" i="24"/>
  <c r="B413" i="24"/>
  <c r="E413" i="24"/>
  <c r="F413" i="24"/>
  <c r="H413" i="24"/>
  <c r="I413" i="24"/>
  <c r="J413" i="24"/>
  <c r="M413" i="24"/>
  <c r="N413" i="24"/>
  <c r="P413" i="24"/>
  <c r="Q413" i="24"/>
  <c r="R413" i="24"/>
  <c r="T413" i="24"/>
  <c r="U413" i="24"/>
  <c r="V413" i="24"/>
  <c r="X413" i="24"/>
  <c r="Y413" i="24"/>
  <c r="Z413" i="24"/>
  <c r="AB413" i="24"/>
  <c r="AC413" i="24"/>
  <c r="AD413" i="24"/>
  <c r="AF413" i="24"/>
  <c r="AG413" i="24"/>
  <c r="AH413" i="24"/>
  <c r="AJ413" i="24"/>
  <c r="AK413" i="24"/>
  <c r="AL413" i="24"/>
  <c r="AN413" i="24"/>
  <c r="AO413" i="24"/>
  <c r="AP413" i="24"/>
  <c r="AR413" i="24"/>
  <c r="AS413" i="24"/>
  <c r="AT413" i="24"/>
  <c r="AV413" i="24"/>
  <c r="AW413" i="24"/>
  <c r="AX413" i="24"/>
  <c r="AZ413" i="24"/>
  <c r="BA413" i="24"/>
  <c r="BB413" i="24"/>
  <c r="BD413" i="24"/>
  <c r="BE413" i="24"/>
  <c r="BF413" i="24"/>
  <c r="BH413" i="24"/>
  <c r="BI413" i="24"/>
  <c r="BJ413" i="24"/>
  <c r="B414" i="24"/>
  <c r="E414" i="24"/>
  <c r="F414" i="24"/>
  <c r="H414" i="24"/>
  <c r="I414" i="24"/>
  <c r="J414" i="24"/>
  <c r="L414" i="24"/>
  <c r="M414" i="24"/>
  <c r="N414" i="24"/>
  <c r="P414" i="24"/>
  <c r="Q414" i="24"/>
  <c r="R414" i="24"/>
  <c r="T414" i="24"/>
  <c r="U414" i="24"/>
  <c r="V414" i="24"/>
  <c r="X414" i="24"/>
  <c r="Y414" i="24"/>
  <c r="Z414" i="24"/>
  <c r="AB414" i="24"/>
  <c r="AD414" i="24"/>
  <c r="AF414" i="24"/>
  <c r="AG414" i="24"/>
  <c r="AH414" i="24"/>
  <c r="AK414" i="24"/>
  <c r="AL414" i="24"/>
  <c r="AN414" i="24"/>
  <c r="AO414" i="24"/>
  <c r="AP414" i="24"/>
  <c r="AR414" i="24"/>
  <c r="AS414" i="24"/>
  <c r="AT414" i="24"/>
  <c r="AV414" i="24"/>
  <c r="AW414" i="24"/>
  <c r="AX414" i="24"/>
  <c r="AZ414" i="24"/>
  <c r="BA414" i="24"/>
  <c r="BB414" i="24"/>
  <c r="BD414" i="24"/>
  <c r="BE414" i="24"/>
  <c r="BF414" i="24"/>
  <c r="BH414" i="24"/>
  <c r="BI414" i="24"/>
  <c r="BJ414" i="24"/>
  <c r="B415" i="24"/>
  <c r="D415" i="24"/>
  <c r="E415" i="24"/>
  <c r="F415" i="24"/>
  <c r="H415" i="24"/>
  <c r="I415" i="24"/>
  <c r="J415" i="24"/>
  <c r="L415" i="24"/>
  <c r="M415" i="24"/>
  <c r="P415" i="24"/>
  <c r="Q415" i="24"/>
  <c r="R415" i="24"/>
  <c r="T415" i="24"/>
  <c r="U415" i="24"/>
  <c r="V415" i="24"/>
  <c r="X415" i="24"/>
  <c r="Y415" i="24"/>
  <c r="Z415" i="24"/>
  <c r="AB415" i="24"/>
  <c r="AC415" i="24"/>
  <c r="AD415" i="24"/>
  <c r="AF415" i="24"/>
  <c r="AG415" i="24"/>
  <c r="AH415" i="24"/>
  <c r="AJ415" i="24"/>
  <c r="AK415" i="24"/>
  <c r="AL415" i="24"/>
  <c r="AN415" i="24"/>
  <c r="AO415" i="24"/>
  <c r="AP415" i="24"/>
  <c r="AR415" i="24"/>
  <c r="AS415" i="24"/>
  <c r="AT415" i="24"/>
  <c r="AV415" i="24"/>
  <c r="AW415" i="24"/>
  <c r="AX415" i="24"/>
  <c r="AZ415" i="24"/>
  <c r="BA415" i="24"/>
  <c r="BB415" i="24"/>
  <c r="BD415" i="24"/>
  <c r="BE415" i="24"/>
  <c r="BF415" i="24"/>
  <c r="BH415" i="24"/>
  <c r="BI415" i="24"/>
  <c r="BJ415" i="24"/>
  <c r="B416" i="24"/>
  <c r="D416" i="24"/>
  <c r="E416" i="24"/>
  <c r="F416" i="24"/>
  <c r="H416" i="24"/>
  <c r="I416" i="24"/>
  <c r="J416" i="24"/>
  <c r="L416" i="24"/>
  <c r="M416" i="24"/>
  <c r="N416" i="24"/>
  <c r="P416" i="24"/>
  <c r="Q416" i="24"/>
  <c r="R416" i="24"/>
  <c r="T416" i="24"/>
  <c r="U416" i="24"/>
  <c r="V416" i="24"/>
  <c r="X416" i="24"/>
  <c r="Y416" i="24"/>
  <c r="Z416" i="24"/>
  <c r="AB416" i="24"/>
  <c r="AC416" i="24"/>
  <c r="AD416" i="24"/>
  <c r="AF416" i="24"/>
  <c r="AG416" i="24"/>
  <c r="AH416" i="24"/>
  <c r="AJ416" i="24"/>
  <c r="AK416" i="24"/>
  <c r="AL416" i="24"/>
  <c r="AN416" i="24"/>
  <c r="AO416" i="24"/>
  <c r="AP416" i="24"/>
  <c r="AR416" i="24"/>
  <c r="AS416" i="24"/>
  <c r="AT416" i="24"/>
  <c r="AV416" i="24"/>
  <c r="AW416" i="24"/>
  <c r="AX416" i="24"/>
  <c r="AZ416" i="24"/>
  <c r="BA416" i="24"/>
  <c r="BB416" i="24"/>
  <c r="BD416" i="24"/>
  <c r="BE416" i="24"/>
  <c r="BF416" i="24"/>
  <c r="BH416" i="24"/>
  <c r="BI416" i="24"/>
  <c r="BJ416" i="24"/>
  <c r="B417" i="24"/>
  <c r="E417" i="24"/>
  <c r="F417" i="24"/>
  <c r="H417" i="24"/>
  <c r="I417" i="24"/>
  <c r="J417" i="24"/>
  <c r="L417" i="24"/>
  <c r="M417" i="24"/>
  <c r="N417" i="24"/>
  <c r="P417" i="24"/>
  <c r="Q417" i="24"/>
  <c r="R417" i="24"/>
  <c r="T417" i="24"/>
  <c r="U417" i="24"/>
  <c r="V417" i="24"/>
  <c r="X417" i="24"/>
  <c r="Y417" i="24"/>
  <c r="Z417" i="24"/>
  <c r="AB417" i="24"/>
  <c r="AC417" i="24"/>
  <c r="AD417" i="24"/>
  <c r="AF417" i="24"/>
  <c r="AG417" i="24"/>
  <c r="AH417" i="24"/>
  <c r="AK417" i="24"/>
  <c r="AL417" i="24"/>
  <c r="AN417" i="24"/>
  <c r="AO417" i="24"/>
  <c r="AP417" i="24"/>
  <c r="AS417" i="24"/>
  <c r="AT417" i="24"/>
  <c r="AV417" i="24"/>
  <c r="AW417" i="24"/>
  <c r="AX417" i="24"/>
  <c r="AZ417" i="24"/>
  <c r="BA417" i="24"/>
  <c r="BB417" i="24"/>
  <c r="BD417" i="24"/>
  <c r="BE417" i="24"/>
  <c r="BF417" i="24"/>
  <c r="BH417" i="24"/>
  <c r="BI417" i="24"/>
  <c r="BJ417" i="24"/>
  <c r="B418" i="24"/>
  <c r="D418" i="24"/>
  <c r="E418" i="24"/>
  <c r="F418" i="24"/>
  <c r="H418" i="24"/>
  <c r="I418" i="24"/>
  <c r="J418" i="24"/>
  <c r="L418" i="24"/>
  <c r="M418" i="24"/>
  <c r="N418" i="24"/>
  <c r="P418" i="24"/>
  <c r="Q418" i="24"/>
  <c r="R418" i="24"/>
  <c r="T418" i="24"/>
  <c r="U418" i="24"/>
  <c r="V418" i="24"/>
  <c r="X418" i="24"/>
  <c r="Y418" i="24"/>
  <c r="Z418" i="24"/>
  <c r="AB418" i="24"/>
  <c r="AD418" i="24"/>
  <c r="AF418" i="24"/>
  <c r="AG418" i="24"/>
  <c r="AH418" i="24"/>
  <c r="AJ418" i="24"/>
  <c r="AK418" i="24"/>
  <c r="AL418" i="24"/>
  <c r="AN418" i="24"/>
  <c r="AO418" i="24"/>
  <c r="AP418" i="24"/>
  <c r="AR418" i="24"/>
  <c r="AT418" i="24"/>
  <c r="AV418" i="24"/>
  <c r="AW418" i="24"/>
  <c r="AX418" i="24"/>
  <c r="BA418" i="24"/>
  <c r="BB418" i="24"/>
  <c r="BD418" i="24"/>
  <c r="BE418" i="24"/>
  <c r="BF418" i="24"/>
  <c r="BH418" i="24"/>
  <c r="BI418" i="24"/>
  <c r="BJ418" i="24"/>
  <c r="B419" i="24"/>
  <c r="D419" i="24"/>
  <c r="E419" i="24"/>
  <c r="F419" i="24"/>
  <c r="H419" i="24"/>
  <c r="I419" i="24"/>
  <c r="J419" i="24"/>
  <c r="L419" i="24"/>
  <c r="M419" i="24"/>
  <c r="P419" i="24"/>
  <c r="Q419" i="24"/>
  <c r="R419" i="24"/>
  <c r="T419" i="24"/>
  <c r="U419" i="24"/>
  <c r="V419" i="24"/>
  <c r="X419" i="24"/>
  <c r="Y419" i="24"/>
  <c r="Z419" i="24"/>
  <c r="AB419" i="24"/>
  <c r="AC419" i="24"/>
  <c r="AD419" i="24"/>
  <c r="AF419" i="24"/>
  <c r="AG419" i="24"/>
  <c r="AH419" i="24"/>
  <c r="AJ419" i="24"/>
  <c r="AK419" i="24"/>
  <c r="AL419" i="24"/>
  <c r="AN419" i="24"/>
  <c r="AO419" i="24"/>
  <c r="AP419" i="24"/>
  <c r="AR419" i="24"/>
  <c r="AS419" i="24"/>
  <c r="AT419" i="24"/>
  <c r="AV419" i="24"/>
  <c r="AW419" i="24"/>
  <c r="AX419" i="24"/>
  <c r="AZ419" i="24"/>
  <c r="BA419" i="24"/>
  <c r="BB419" i="24"/>
  <c r="BD419" i="24"/>
  <c r="BE419" i="24"/>
  <c r="BF419" i="24"/>
  <c r="BH419" i="24"/>
  <c r="BI419" i="24"/>
  <c r="BJ419" i="24"/>
  <c r="B420" i="24"/>
  <c r="D420" i="24"/>
  <c r="E420" i="24"/>
  <c r="F420" i="24"/>
  <c r="H420" i="24"/>
  <c r="I420" i="24"/>
  <c r="J420" i="24"/>
  <c r="L420" i="24"/>
  <c r="M420" i="24"/>
  <c r="N420" i="24"/>
  <c r="P420" i="24"/>
  <c r="Q420" i="24"/>
  <c r="R420" i="24"/>
  <c r="T420" i="24"/>
  <c r="U420" i="24"/>
  <c r="V420" i="24"/>
  <c r="X420" i="24"/>
  <c r="Y420" i="24"/>
  <c r="Z420" i="24"/>
  <c r="AB420" i="24"/>
  <c r="AC420" i="24"/>
  <c r="AD420" i="24"/>
  <c r="AF420" i="24"/>
  <c r="AG420" i="24"/>
  <c r="AH420" i="24"/>
  <c r="AJ420" i="24"/>
  <c r="AK420" i="24"/>
  <c r="AN420" i="24"/>
  <c r="AO420" i="24"/>
  <c r="AP420" i="24"/>
  <c r="AR420" i="24"/>
  <c r="AS420" i="24"/>
  <c r="AT420" i="24"/>
  <c r="AV420" i="24"/>
  <c r="AW420" i="24"/>
  <c r="AX420" i="24"/>
  <c r="AZ420" i="24"/>
  <c r="BA420" i="24"/>
  <c r="BB420" i="24"/>
  <c r="BD420" i="24"/>
  <c r="BE420" i="24"/>
  <c r="BF420" i="24"/>
  <c r="BH420" i="24"/>
  <c r="BI420" i="24"/>
  <c r="BJ420" i="24"/>
  <c r="B421" i="24"/>
  <c r="D421" i="24"/>
  <c r="E421" i="24"/>
  <c r="F421" i="24"/>
  <c r="H421" i="24"/>
  <c r="I421" i="24"/>
  <c r="J421" i="24"/>
  <c r="L421" i="24"/>
  <c r="M421" i="24"/>
  <c r="N421" i="24"/>
  <c r="P421" i="24"/>
  <c r="Q421" i="24"/>
  <c r="R421" i="24"/>
  <c r="U421" i="24"/>
  <c r="V421" i="24"/>
  <c r="X421" i="24"/>
  <c r="Y421" i="24"/>
  <c r="Z421" i="24"/>
  <c r="AB421" i="24"/>
  <c r="AC421" i="24"/>
  <c r="AD421" i="24"/>
  <c r="AF421" i="24"/>
  <c r="AG421" i="24"/>
  <c r="AH421" i="24"/>
  <c r="AK421" i="24"/>
  <c r="AL421" i="24"/>
  <c r="AN421" i="24"/>
  <c r="AO421" i="24"/>
  <c r="AP421" i="24"/>
  <c r="AR421" i="24"/>
  <c r="AS421" i="24"/>
  <c r="AT421" i="24"/>
  <c r="AV421" i="24"/>
  <c r="AW421" i="24"/>
  <c r="AX421" i="24"/>
  <c r="AZ421" i="24"/>
  <c r="BA421" i="24"/>
  <c r="BB421" i="24"/>
  <c r="BD421" i="24"/>
  <c r="BE421" i="24"/>
  <c r="BF421" i="24"/>
  <c r="BH421" i="24"/>
  <c r="BI421" i="24"/>
  <c r="BJ421" i="24"/>
  <c r="B422" i="24"/>
  <c r="E422" i="24"/>
  <c r="F422" i="24"/>
  <c r="H422" i="24"/>
  <c r="I422" i="24"/>
  <c r="J422" i="24"/>
  <c r="L422" i="24"/>
  <c r="M422" i="24"/>
  <c r="N422" i="24"/>
  <c r="P422" i="24"/>
  <c r="Q422" i="24"/>
  <c r="R422" i="24"/>
  <c r="T422" i="24"/>
  <c r="U422" i="24"/>
  <c r="V422" i="24"/>
  <c r="X422" i="24"/>
  <c r="Y422" i="24"/>
  <c r="Z422" i="24"/>
  <c r="AB422" i="24"/>
  <c r="AC422" i="24"/>
  <c r="AD422" i="24"/>
  <c r="AF422" i="24"/>
  <c r="AG422" i="24"/>
  <c r="AH422" i="24"/>
  <c r="AJ422" i="24"/>
  <c r="AK422" i="24"/>
  <c r="AL422" i="24"/>
  <c r="AN422" i="24"/>
  <c r="AO422" i="24"/>
  <c r="AP422" i="24"/>
  <c r="AR422" i="24"/>
  <c r="AT422" i="24"/>
  <c r="AV422" i="24"/>
  <c r="AW422" i="24"/>
  <c r="AX422" i="24"/>
  <c r="AZ422" i="24"/>
  <c r="BA422" i="24"/>
  <c r="BB422" i="24"/>
  <c r="BD422" i="24"/>
  <c r="BE422" i="24"/>
  <c r="BF422" i="24"/>
  <c r="BH422" i="24"/>
  <c r="BJ422" i="24"/>
  <c r="B423" i="24"/>
  <c r="D423" i="24"/>
  <c r="E423" i="24"/>
  <c r="F423" i="24"/>
  <c r="H423" i="24"/>
  <c r="I423" i="24"/>
  <c r="J423" i="24"/>
  <c r="L423" i="24"/>
  <c r="M423" i="24"/>
  <c r="N423" i="24"/>
  <c r="P423" i="24"/>
  <c r="Q423" i="24"/>
  <c r="R423" i="24"/>
  <c r="T423" i="24"/>
  <c r="U423" i="24"/>
  <c r="V423" i="24"/>
  <c r="X423" i="24"/>
  <c r="Y423" i="24"/>
  <c r="Z423" i="24"/>
  <c r="AB423" i="24"/>
  <c r="AC423" i="24"/>
  <c r="AD423" i="24"/>
  <c r="AF423" i="24"/>
  <c r="AG423" i="24"/>
  <c r="AH423" i="24"/>
  <c r="AJ423" i="24"/>
  <c r="AK423" i="24"/>
  <c r="AL423" i="24"/>
  <c r="AN423" i="24"/>
  <c r="AO423" i="24"/>
  <c r="AP423" i="24"/>
  <c r="AR423" i="24"/>
  <c r="AS423" i="24"/>
  <c r="AT423" i="24"/>
  <c r="AV423" i="24"/>
  <c r="AW423" i="24"/>
  <c r="AX423" i="24"/>
  <c r="AZ423" i="24"/>
  <c r="BA423" i="24"/>
  <c r="BB423" i="24"/>
  <c r="BD423" i="24"/>
  <c r="BE423" i="24"/>
  <c r="BF423" i="24"/>
  <c r="BH423" i="24"/>
  <c r="BI423" i="24"/>
  <c r="BJ423" i="24"/>
  <c r="B424" i="24"/>
  <c r="D424" i="24"/>
  <c r="E424" i="24"/>
  <c r="H424" i="24"/>
  <c r="I424" i="24"/>
  <c r="J424" i="24"/>
  <c r="L424" i="24"/>
  <c r="M424" i="24"/>
  <c r="N424" i="24"/>
  <c r="P424" i="24"/>
  <c r="Q424" i="24"/>
  <c r="R424" i="24"/>
  <c r="T424" i="24"/>
  <c r="U424" i="24"/>
  <c r="V424" i="24"/>
  <c r="X424" i="24"/>
  <c r="Y424" i="24"/>
  <c r="Z424" i="24"/>
  <c r="AB424" i="24"/>
  <c r="AC424" i="24"/>
  <c r="AD424" i="24"/>
  <c r="AF424" i="24"/>
  <c r="AG424" i="24"/>
  <c r="AH424" i="24"/>
  <c r="AJ424" i="24"/>
  <c r="AK424" i="24"/>
  <c r="AN424" i="24"/>
  <c r="AO424" i="24"/>
  <c r="AP424" i="24"/>
  <c r="AR424" i="24"/>
  <c r="AS424" i="24"/>
  <c r="AT424" i="24"/>
  <c r="AV424" i="24"/>
  <c r="AW424" i="24"/>
  <c r="AX424" i="24"/>
  <c r="AZ424" i="24"/>
  <c r="BA424" i="24"/>
  <c r="BB424" i="24"/>
  <c r="BD424" i="24"/>
  <c r="BE424" i="24"/>
  <c r="BF424" i="24"/>
  <c r="BH424" i="24"/>
  <c r="BI424" i="24"/>
  <c r="BJ424" i="24"/>
  <c r="B425" i="24"/>
  <c r="D425" i="24"/>
  <c r="E425" i="24"/>
  <c r="F425" i="24"/>
  <c r="H425" i="24"/>
  <c r="I425" i="24"/>
  <c r="J425" i="24"/>
  <c r="L425" i="24"/>
  <c r="M425" i="24"/>
  <c r="N425" i="24"/>
  <c r="P425" i="24"/>
  <c r="Q425" i="24"/>
  <c r="R425" i="24"/>
  <c r="U425" i="24"/>
  <c r="V425" i="24"/>
  <c r="X425" i="24"/>
  <c r="Y425" i="24"/>
  <c r="Z425" i="24"/>
  <c r="AB425" i="24"/>
  <c r="AC425" i="24"/>
  <c r="AD425" i="24"/>
  <c r="AF425" i="24"/>
  <c r="AG425" i="24"/>
  <c r="AH425" i="24"/>
  <c r="AJ425" i="24"/>
  <c r="AK425" i="24"/>
  <c r="AL425" i="24"/>
  <c r="AN425" i="24"/>
  <c r="AO425" i="24"/>
  <c r="AP425" i="24"/>
  <c r="AR425" i="24"/>
  <c r="AS425" i="24"/>
  <c r="AT425" i="24"/>
  <c r="AV425" i="24"/>
  <c r="AW425" i="24"/>
  <c r="AX425" i="24"/>
  <c r="BA425" i="24"/>
  <c r="BB425" i="24"/>
  <c r="BD425" i="24"/>
  <c r="BE425" i="24"/>
  <c r="BF425" i="24"/>
  <c r="BH425" i="24"/>
  <c r="BI425" i="24"/>
  <c r="BJ425" i="24"/>
  <c r="B426" i="24"/>
  <c r="D426" i="24"/>
  <c r="E426" i="24"/>
  <c r="F426" i="24"/>
  <c r="H426" i="24"/>
  <c r="I426" i="24"/>
  <c r="J426" i="24"/>
  <c r="L426" i="24"/>
  <c r="N426" i="24"/>
  <c r="P426" i="24"/>
  <c r="Q426" i="24"/>
  <c r="R426" i="24"/>
  <c r="U426" i="24"/>
  <c r="V426" i="24"/>
  <c r="X426" i="24"/>
  <c r="Y426" i="24"/>
  <c r="Z426" i="24"/>
  <c r="AB426" i="24"/>
  <c r="AC426" i="24"/>
  <c r="AD426" i="24"/>
  <c r="AF426" i="24"/>
  <c r="AG426" i="24"/>
  <c r="AH426" i="24"/>
  <c r="AL426" i="24"/>
  <c r="AN426" i="24"/>
  <c r="AO426" i="24"/>
  <c r="AP426" i="24"/>
  <c r="AR426" i="24"/>
  <c r="AS426" i="24"/>
  <c r="AT426" i="24"/>
  <c r="AV426" i="24"/>
  <c r="AW426" i="24"/>
  <c r="AX426" i="24"/>
  <c r="AZ426" i="24"/>
  <c r="BA426" i="24"/>
  <c r="BB426" i="24"/>
  <c r="BD426" i="24"/>
  <c r="BE426" i="24"/>
  <c r="BF426" i="24"/>
  <c r="BH426" i="24"/>
  <c r="BJ426" i="24"/>
  <c r="B427" i="24"/>
  <c r="D427" i="24"/>
  <c r="E427" i="24"/>
  <c r="F427" i="24"/>
  <c r="H427" i="24"/>
  <c r="I427" i="24"/>
  <c r="J427" i="24"/>
  <c r="L427" i="24"/>
  <c r="M427" i="24"/>
  <c r="N427" i="24"/>
  <c r="P427" i="24"/>
  <c r="Q427" i="24"/>
  <c r="R427" i="24"/>
  <c r="T427" i="24"/>
  <c r="U427" i="24"/>
  <c r="V427" i="24"/>
  <c r="X427" i="24"/>
  <c r="Y427" i="24"/>
  <c r="Z427" i="24"/>
  <c r="AB427" i="24"/>
  <c r="AC427" i="24"/>
  <c r="AD427" i="24"/>
  <c r="AF427" i="24"/>
  <c r="AG427" i="24"/>
  <c r="AH427" i="24"/>
  <c r="AJ427" i="24"/>
  <c r="AK427" i="24"/>
  <c r="AL427" i="24"/>
  <c r="AN427" i="24"/>
  <c r="AO427" i="24"/>
  <c r="AP427" i="24"/>
  <c r="AR427" i="24"/>
  <c r="AS427" i="24"/>
  <c r="AT427" i="24"/>
  <c r="AV427" i="24"/>
  <c r="AW427" i="24"/>
  <c r="AX427" i="24"/>
  <c r="AZ427" i="24"/>
  <c r="BA427" i="24"/>
  <c r="BB427" i="24"/>
  <c r="BD427" i="24"/>
  <c r="BE427" i="24"/>
  <c r="BF427" i="24"/>
  <c r="BH427" i="24"/>
  <c r="BI427" i="24"/>
  <c r="BJ427" i="24"/>
  <c r="B428" i="24"/>
  <c r="D428" i="24"/>
  <c r="E428" i="24"/>
  <c r="F428" i="24"/>
  <c r="H428" i="24"/>
  <c r="I428" i="24"/>
  <c r="J428" i="24"/>
  <c r="L428" i="24"/>
  <c r="M428" i="24"/>
  <c r="N428" i="24"/>
  <c r="P428" i="24"/>
  <c r="Q428" i="24"/>
  <c r="R428" i="24"/>
  <c r="T428" i="24"/>
  <c r="U428" i="24"/>
  <c r="V428" i="24"/>
  <c r="X428" i="24"/>
  <c r="Y428" i="24"/>
  <c r="Z428" i="24"/>
  <c r="AB428" i="24"/>
  <c r="AC428" i="24"/>
  <c r="AF428" i="24"/>
  <c r="AG428" i="24"/>
  <c r="AH428" i="24"/>
  <c r="AJ428" i="24"/>
  <c r="AK428" i="24"/>
  <c r="AL428" i="24"/>
  <c r="AN428" i="24"/>
  <c r="AO428" i="24"/>
  <c r="AP428" i="24"/>
  <c r="AR428" i="24"/>
  <c r="AS428" i="24"/>
  <c r="AT428" i="24"/>
  <c r="AV428" i="24"/>
  <c r="AW428" i="24"/>
  <c r="AX428" i="24"/>
  <c r="AZ428" i="24"/>
  <c r="BA428" i="24"/>
  <c r="BB428" i="24"/>
  <c r="BD428" i="24"/>
  <c r="BE428" i="24"/>
  <c r="BF428" i="24"/>
  <c r="BH428" i="24"/>
  <c r="BI428" i="24"/>
  <c r="BJ428" i="24"/>
  <c r="B429" i="24"/>
  <c r="D429" i="24"/>
  <c r="E429" i="24"/>
  <c r="F429" i="24"/>
  <c r="H429" i="24"/>
  <c r="I429" i="24"/>
  <c r="J429" i="24"/>
  <c r="M429" i="24"/>
  <c r="N429" i="24"/>
  <c r="P429" i="24"/>
  <c r="Q429" i="24"/>
  <c r="R429" i="24"/>
  <c r="T429" i="24"/>
  <c r="U429" i="24"/>
  <c r="V429" i="24"/>
  <c r="X429" i="24"/>
  <c r="Y429" i="24"/>
  <c r="Z429" i="24"/>
  <c r="AB429" i="24"/>
  <c r="AC429" i="24"/>
  <c r="AD429" i="24"/>
  <c r="AF429" i="24"/>
  <c r="AG429" i="24"/>
  <c r="AH429" i="24"/>
  <c r="AJ429" i="24"/>
  <c r="AK429" i="24"/>
  <c r="AL429" i="24"/>
  <c r="AN429" i="24"/>
  <c r="AO429" i="24"/>
  <c r="AP429" i="24"/>
  <c r="AS429" i="24"/>
  <c r="AT429" i="24"/>
  <c r="AV429" i="24"/>
  <c r="AW429" i="24"/>
  <c r="AX429" i="24"/>
  <c r="AZ429" i="24"/>
  <c r="BA429" i="24"/>
  <c r="BB429" i="24"/>
  <c r="BD429" i="24"/>
  <c r="BE429" i="24"/>
  <c r="BF429" i="24"/>
  <c r="BH429" i="24"/>
  <c r="BI429" i="24"/>
  <c r="BJ429" i="24"/>
  <c r="B430" i="24"/>
  <c r="D430" i="24"/>
  <c r="E430" i="24"/>
  <c r="F430" i="24"/>
  <c r="H430" i="24"/>
  <c r="I430" i="24"/>
  <c r="J430" i="24"/>
  <c r="L430" i="24"/>
  <c r="N430" i="24"/>
  <c r="P430" i="24"/>
  <c r="Q430" i="24"/>
  <c r="R430" i="24"/>
  <c r="T430" i="24"/>
  <c r="U430" i="24"/>
  <c r="V430" i="24"/>
  <c r="X430" i="24"/>
  <c r="Y430" i="24"/>
  <c r="Z430" i="24"/>
  <c r="AB430" i="24"/>
  <c r="AD430" i="24"/>
  <c r="AF430" i="24"/>
  <c r="AG430" i="24"/>
  <c r="AH430" i="24"/>
  <c r="AK430" i="24"/>
  <c r="AL430" i="24"/>
  <c r="AN430" i="24"/>
  <c r="AO430" i="24"/>
  <c r="AP430" i="24"/>
  <c r="AR430" i="24"/>
  <c r="AS430" i="24"/>
  <c r="AT430" i="24"/>
  <c r="AV430" i="24"/>
  <c r="AW430" i="24"/>
  <c r="AX430" i="24"/>
  <c r="BB430" i="24"/>
  <c r="BD430" i="24"/>
  <c r="BE430" i="24"/>
  <c r="BF430" i="24"/>
  <c r="BH430" i="24"/>
  <c r="BI430" i="24"/>
  <c r="BJ430" i="24"/>
  <c r="B431" i="24"/>
  <c r="D431" i="24"/>
  <c r="E431" i="24"/>
  <c r="H431" i="24"/>
  <c r="I431" i="24"/>
  <c r="J431" i="24"/>
  <c r="L431" i="24"/>
  <c r="M431" i="24"/>
  <c r="N431" i="24"/>
  <c r="P431" i="24"/>
  <c r="Q431" i="24"/>
  <c r="R431" i="24"/>
  <c r="T431" i="24"/>
  <c r="U431" i="24"/>
  <c r="V431" i="24"/>
  <c r="X431" i="24"/>
  <c r="Y431" i="24"/>
  <c r="Z431" i="24"/>
  <c r="AB431" i="24"/>
  <c r="AC431" i="24"/>
  <c r="AD431" i="24"/>
  <c r="AF431" i="24"/>
  <c r="AG431" i="24"/>
  <c r="AH431" i="24"/>
  <c r="AJ431" i="24"/>
  <c r="AK431" i="24"/>
  <c r="AL431" i="24"/>
  <c r="AN431" i="24"/>
  <c r="AO431" i="24"/>
  <c r="AP431" i="24"/>
  <c r="AR431" i="24"/>
  <c r="AS431" i="24"/>
  <c r="AT431" i="24"/>
  <c r="AV431" i="24"/>
  <c r="AW431" i="24"/>
  <c r="AX431" i="24"/>
  <c r="AZ431" i="24"/>
  <c r="BA431" i="24"/>
  <c r="BB431" i="24"/>
  <c r="BD431" i="24"/>
  <c r="BE431" i="24"/>
  <c r="BF431" i="24"/>
  <c r="BH431" i="24"/>
  <c r="BI431" i="24"/>
  <c r="BJ431" i="24"/>
  <c r="B432" i="24"/>
  <c r="D432" i="24"/>
  <c r="E432" i="24"/>
  <c r="F432" i="24"/>
  <c r="H432" i="24"/>
  <c r="I432" i="24"/>
  <c r="J432" i="24"/>
  <c r="L432" i="24"/>
  <c r="M432" i="24"/>
  <c r="N432" i="24"/>
  <c r="P432" i="24"/>
  <c r="Q432" i="24"/>
  <c r="R432" i="24"/>
  <c r="T432" i="24"/>
  <c r="U432" i="24"/>
  <c r="V432" i="24"/>
  <c r="X432" i="24"/>
  <c r="Y432" i="24"/>
  <c r="Z432" i="24"/>
  <c r="AB432" i="24"/>
  <c r="AC432" i="24"/>
  <c r="AD432" i="24"/>
  <c r="AF432" i="24"/>
  <c r="AG432" i="24"/>
  <c r="AH432" i="24"/>
  <c r="AJ432" i="24"/>
  <c r="AK432" i="24"/>
  <c r="AL432" i="24"/>
  <c r="AN432" i="24"/>
  <c r="AO432" i="24"/>
  <c r="AP432" i="24"/>
  <c r="AR432" i="24"/>
  <c r="AS432" i="24"/>
  <c r="AT432" i="24"/>
  <c r="AV432" i="24"/>
  <c r="AW432" i="24"/>
  <c r="AX432" i="24"/>
  <c r="AZ432" i="24"/>
  <c r="BA432" i="24"/>
  <c r="BB432" i="24"/>
  <c r="BD432" i="24"/>
  <c r="BE432" i="24"/>
  <c r="BF432" i="24"/>
  <c r="BH432" i="24"/>
  <c r="BI432" i="24"/>
  <c r="BJ432" i="24"/>
  <c r="B433" i="24"/>
  <c r="E433" i="24"/>
  <c r="F433" i="24"/>
  <c r="H433" i="24"/>
  <c r="I433" i="24"/>
  <c r="J433" i="24"/>
  <c r="L433" i="24"/>
  <c r="M433" i="24"/>
  <c r="N433" i="24"/>
  <c r="P433" i="24"/>
  <c r="Q433" i="24"/>
  <c r="R433" i="24"/>
  <c r="T433" i="24"/>
  <c r="U433" i="24"/>
  <c r="V433" i="24"/>
  <c r="Y433" i="24"/>
  <c r="Z433" i="24"/>
  <c r="AB433" i="24"/>
  <c r="AC433" i="24"/>
  <c r="AD433" i="24"/>
  <c r="AF433" i="24"/>
  <c r="AG433" i="24"/>
  <c r="AH433" i="24"/>
  <c r="AJ433" i="24"/>
  <c r="AK433" i="24"/>
  <c r="AL433" i="24"/>
  <c r="AO433" i="24"/>
  <c r="AP433" i="24"/>
  <c r="AS433" i="24"/>
  <c r="AT433" i="24"/>
  <c r="AV433" i="24"/>
  <c r="AW433" i="24"/>
  <c r="AX433" i="24"/>
  <c r="AZ433" i="24"/>
  <c r="BA433" i="24"/>
  <c r="BB433" i="24"/>
  <c r="BD433" i="24"/>
  <c r="BE433" i="24"/>
  <c r="BF433" i="24"/>
  <c r="BI433" i="24"/>
  <c r="BJ433" i="24"/>
  <c r="B434" i="24"/>
  <c r="D434" i="24"/>
  <c r="E434" i="24"/>
  <c r="F434" i="24"/>
  <c r="H434" i="24"/>
  <c r="I434" i="24"/>
  <c r="J434" i="24"/>
  <c r="M434" i="24"/>
  <c r="N434" i="24"/>
  <c r="P434" i="24"/>
  <c r="Q434" i="24"/>
  <c r="R434" i="24"/>
  <c r="U434" i="24"/>
  <c r="V434" i="24"/>
  <c r="X434" i="24"/>
  <c r="Z434" i="24"/>
  <c r="AC434" i="24"/>
  <c r="AD434" i="24"/>
  <c r="AF434" i="24"/>
  <c r="AG434" i="24"/>
  <c r="AH434" i="24"/>
  <c r="AK434" i="24"/>
  <c r="AL434" i="24"/>
  <c r="AN434" i="24"/>
  <c r="AP434" i="24"/>
  <c r="AS434" i="24"/>
  <c r="AT434" i="24"/>
  <c r="AV434" i="24"/>
  <c r="AW434" i="24"/>
  <c r="AX434" i="24"/>
  <c r="BA434" i="24"/>
  <c r="BB434" i="24"/>
  <c r="BD434" i="24"/>
  <c r="BF434" i="24"/>
  <c r="BI434" i="24"/>
  <c r="BJ434" i="24"/>
  <c r="T11" i="21"/>
  <c r="V11" i="21"/>
  <c r="X11" i="21"/>
  <c r="AD11" i="21"/>
  <c r="AT11" i="21"/>
  <c r="AV11" i="21"/>
  <c r="AW11" i="21"/>
  <c r="AX11" i="21"/>
  <c r="AA11" i="21"/>
  <c r="AB11" i="21"/>
  <c r="Y12" i="21"/>
  <c r="AT12" i="21"/>
  <c r="AV12" i="21"/>
  <c r="AW12" i="21"/>
  <c r="AX12" i="21"/>
  <c r="T13" i="21"/>
  <c r="X13" i="21"/>
  <c r="AT13" i="21"/>
  <c r="AU13" i="21"/>
  <c r="AV13" i="21"/>
  <c r="AW13" i="21"/>
  <c r="AX13" i="21"/>
  <c r="AY13" i="21"/>
  <c r="W14" i="21"/>
  <c r="T14" i="21"/>
  <c r="U14" i="21"/>
  <c r="X14" i="21"/>
  <c r="Y14" i="21"/>
  <c r="AC14" i="21"/>
  <c r="AD14" i="21"/>
  <c r="AL14" i="21"/>
  <c r="AT14" i="21"/>
  <c r="AV14" i="21"/>
  <c r="AW14" i="21"/>
  <c r="AX14" i="21"/>
  <c r="Z14" i="21"/>
  <c r="AA14" i="21"/>
  <c r="Q15" i="21"/>
  <c r="W15" i="21"/>
  <c r="R15" i="21"/>
  <c r="AD15" i="21"/>
  <c r="T15" i="21"/>
  <c r="U15" i="21"/>
  <c r="V15" i="21"/>
  <c r="X15" i="21"/>
  <c r="Y15" i="21"/>
  <c r="AB15" i="21"/>
  <c r="AC15" i="21"/>
  <c r="AL15" i="21"/>
  <c r="AT15" i="21"/>
  <c r="AV15" i="21"/>
  <c r="AW15" i="21"/>
  <c r="AX15" i="21"/>
  <c r="Z15" i="21"/>
  <c r="AA15" i="21"/>
  <c r="V16" i="21"/>
  <c r="Y16" i="21"/>
  <c r="AT16" i="21"/>
  <c r="AV16" i="21"/>
  <c r="AW16" i="21"/>
  <c r="AX16" i="21"/>
  <c r="AT17" i="21"/>
  <c r="AU17" i="21"/>
  <c r="AV17" i="21"/>
  <c r="AW17" i="21"/>
  <c r="AX17" i="21"/>
  <c r="AY17" i="21"/>
  <c r="U18" i="21"/>
  <c r="AC18" i="21"/>
  <c r="T18" i="21"/>
  <c r="W18" i="21"/>
  <c r="X18" i="21"/>
  <c r="Y18" i="21"/>
  <c r="AA18" i="21"/>
  <c r="AL18" i="21"/>
  <c r="AT18" i="21"/>
  <c r="AU18" i="21"/>
  <c r="AV18" i="21"/>
  <c r="AW18" i="21"/>
  <c r="AX18" i="21"/>
  <c r="AY18" i="21"/>
  <c r="Q19" i="21"/>
  <c r="U19" i="21"/>
  <c r="R19" i="21"/>
  <c r="T19" i="21"/>
  <c r="V19" i="21"/>
  <c r="W19" i="21"/>
  <c r="X19" i="21"/>
  <c r="Y19" i="21"/>
  <c r="AA19" i="21"/>
  <c r="AC19" i="21"/>
  <c r="AD19" i="21"/>
  <c r="AL19" i="21"/>
  <c r="AT19" i="21"/>
  <c r="AU19" i="21"/>
  <c r="AV19" i="21"/>
  <c r="AW19" i="21"/>
  <c r="AX19" i="21"/>
  <c r="AY19" i="21"/>
  <c r="Z19" i="21"/>
  <c r="AB19" i="21"/>
  <c r="V20" i="21"/>
  <c r="Y20" i="21"/>
  <c r="AC20" i="21"/>
  <c r="AT20" i="21"/>
  <c r="AV20" i="21"/>
  <c r="AW20" i="21"/>
  <c r="AX20" i="21"/>
  <c r="T21" i="21"/>
  <c r="W21" i="21"/>
  <c r="X21" i="21"/>
  <c r="Y21" i="21"/>
  <c r="AA21" i="21"/>
  <c r="AC21" i="21"/>
  <c r="AL21" i="21"/>
  <c r="AT21" i="21"/>
  <c r="AU21" i="21"/>
  <c r="AZ21" i="21" s="1"/>
  <c r="AV21" i="21"/>
  <c r="AW21" i="21"/>
  <c r="AX21" i="21"/>
  <c r="AY21" i="21"/>
  <c r="Q22" i="21"/>
  <c r="AC22" i="21"/>
  <c r="T22" i="21"/>
  <c r="U22" i="21"/>
  <c r="V22" i="21"/>
  <c r="W22" i="21"/>
  <c r="X22" i="21"/>
  <c r="Y22" i="21"/>
  <c r="AD22" i="21"/>
  <c r="AL22" i="21"/>
  <c r="AT22" i="21"/>
  <c r="AU22" i="21"/>
  <c r="AV22" i="21"/>
  <c r="AW22" i="21"/>
  <c r="AZ22" i="21" s="1"/>
  <c r="AX22" i="21"/>
  <c r="AY22" i="21"/>
  <c r="Z22" i="21"/>
  <c r="AA22" i="21"/>
  <c r="AB22" i="21"/>
  <c r="V23" i="21"/>
  <c r="AT23" i="21"/>
  <c r="AU23" i="21"/>
  <c r="AV23" i="21"/>
  <c r="AW23" i="21"/>
  <c r="AX23" i="21"/>
  <c r="AY23" i="21"/>
  <c r="V24" i="21"/>
  <c r="X24" i="21"/>
  <c r="AT24" i="21"/>
  <c r="AU24" i="21"/>
  <c r="AV24" i="21"/>
  <c r="AW24" i="21"/>
  <c r="AX24" i="21"/>
  <c r="AY24" i="21"/>
  <c r="Q25" i="21"/>
  <c r="T25" i="21"/>
  <c r="U25" i="21"/>
  <c r="W25" i="21"/>
  <c r="X25" i="21"/>
  <c r="Y25" i="21"/>
  <c r="AA25" i="21"/>
  <c r="AB25" i="21"/>
  <c r="AC25" i="21"/>
  <c r="AG25" i="21"/>
  <c r="AL25" i="21"/>
  <c r="AT25" i="21"/>
  <c r="AU25" i="21"/>
  <c r="AV25" i="21"/>
  <c r="AW25" i="21"/>
  <c r="AX25" i="21"/>
  <c r="AY25" i="21"/>
  <c r="AZ25" i="21"/>
  <c r="Q26" i="21"/>
  <c r="R26" i="21"/>
  <c r="T26" i="21"/>
  <c r="U26" i="21"/>
  <c r="V26" i="21"/>
  <c r="W26" i="21"/>
  <c r="X26" i="21"/>
  <c r="Y26" i="21"/>
  <c r="Z26" i="21"/>
  <c r="AA26" i="21"/>
  <c r="AB26" i="21"/>
  <c r="AC26" i="21"/>
  <c r="AD26" i="21"/>
  <c r="AG26" i="21"/>
  <c r="AL26" i="21"/>
  <c r="AT26" i="21"/>
  <c r="AU26" i="21"/>
  <c r="AV26" i="21"/>
  <c r="AW26" i="21"/>
  <c r="AX26" i="21"/>
  <c r="AY26" i="21"/>
  <c r="AZ26" i="21"/>
  <c r="Q27" i="21"/>
  <c r="U27" i="21"/>
  <c r="V27" i="21"/>
  <c r="Y27" i="21"/>
  <c r="Z27" i="21"/>
  <c r="AA27" i="21"/>
  <c r="AD27" i="21"/>
  <c r="AG27" i="21"/>
  <c r="AL27" i="21"/>
  <c r="AT27" i="21"/>
  <c r="AU27" i="21"/>
  <c r="AV27" i="21"/>
  <c r="AW27" i="21"/>
  <c r="AX27" i="21"/>
  <c r="AY27" i="21"/>
  <c r="AZ27" i="21"/>
  <c r="Q28" i="21"/>
  <c r="U28" i="21"/>
  <c r="V28" i="21"/>
  <c r="Z28" i="21"/>
  <c r="AB28" i="21"/>
  <c r="AT28" i="21"/>
  <c r="AU28" i="21"/>
  <c r="AV28" i="21"/>
  <c r="AW28" i="21"/>
  <c r="AX28" i="21"/>
  <c r="AY28" i="21"/>
  <c r="Q29" i="21"/>
  <c r="R29" i="21"/>
  <c r="T29" i="21"/>
  <c r="U29" i="21"/>
  <c r="V29" i="21"/>
  <c r="W29" i="21"/>
  <c r="X29" i="21"/>
  <c r="Y29" i="21"/>
  <c r="Z29" i="21"/>
  <c r="AA29" i="21"/>
  <c r="AB29" i="21"/>
  <c r="AC29" i="21"/>
  <c r="AD29" i="21"/>
  <c r="AG29" i="21"/>
  <c r="AL29" i="21"/>
  <c r="AT29" i="21"/>
  <c r="AU29" i="21"/>
  <c r="AV29" i="21"/>
  <c r="AW29" i="21"/>
  <c r="AX29" i="21"/>
  <c r="AY29" i="21"/>
  <c r="AZ29" i="21"/>
  <c r="Q30" i="21"/>
  <c r="U30" i="21"/>
  <c r="V30" i="21"/>
  <c r="Y30" i="21"/>
  <c r="Z30" i="21"/>
  <c r="AA30" i="21"/>
  <c r="AD30" i="21"/>
  <c r="AG30" i="21"/>
  <c r="AL30" i="21"/>
  <c r="AT30" i="21"/>
  <c r="AU30" i="21"/>
  <c r="AV30" i="21"/>
  <c r="AW30" i="21"/>
  <c r="AX30" i="21"/>
  <c r="AY30" i="21"/>
  <c r="AZ30" i="21"/>
  <c r="AT31" i="21"/>
  <c r="AU31" i="21"/>
  <c r="AV31" i="21"/>
  <c r="AW31" i="21"/>
  <c r="AX31" i="21"/>
  <c r="AY31" i="21"/>
  <c r="Q32" i="21"/>
  <c r="W32" i="21"/>
  <c r="X32" i="21"/>
  <c r="AB32" i="21"/>
  <c r="AC32" i="21"/>
  <c r="AG32" i="21"/>
  <c r="AT32" i="21"/>
  <c r="AU32" i="21"/>
  <c r="AV32" i="21"/>
  <c r="AW32" i="21"/>
  <c r="AX32" i="21"/>
  <c r="AY32" i="21"/>
  <c r="Q33" i="21"/>
  <c r="R33" i="21"/>
  <c r="T33" i="21"/>
  <c r="U33" i="21"/>
  <c r="V33" i="21"/>
  <c r="W33" i="21"/>
  <c r="X33" i="21"/>
  <c r="Y33" i="21"/>
  <c r="Z33" i="21"/>
  <c r="AA33" i="21"/>
  <c r="AB33" i="21"/>
  <c r="AC33" i="21"/>
  <c r="AD33" i="21"/>
  <c r="AG33" i="21"/>
  <c r="AL33" i="21"/>
  <c r="AT33" i="21"/>
  <c r="AU33" i="21"/>
  <c r="AV33" i="21"/>
  <c r="AW33" i="21"/>
  <c r="AX33" i="21"/>
  <c r="AY33" i="21"/>
  <c r="AZ33" i="21"/>
  <c r="Q34" i="21"/>
  <c r="R34" i="21"/>
  <c r="V34" i="21"/>
  <c r="W34" i="21"/>
  <c r="Y34" i="21"/>
  <c r="Z34" i="21"/>
  <c r="AA34" i="21"/>
  <c r="AC34" i="21"/>
  <c r="AD34" i="21"/>
  <c r="AG34" i="21"/>
  <c r="AL34" i="21"/>
  <c r="AT34" i="21"/>
  <c r="AU34" i="21"/>
  <c r="AV34" i="21"/>
  <c r="AW34" i="21"/>
  <c r="AX34" i="21"/>
  <c r="AY34" i="21"/>
  <c r="AZ34" i="21"/>
  <c r="Q35" i="21"/>
  <c r="R35" i="21"/>
  <c r="T35" i="21"/>
  <c r="U35" i="21"/>
  <c r="V35" i="21"/>
  <c r="X35" i="21"/>
  <c r="Y35" i="21"/>
  <c r="Z35" i="21"/>
  <c r="AB35" i="21"/>
  <c r="AC35" i="21"/>
  <c r="AD35" i="21"/>
  <c r="AG35" i="21"/>
  <c r="AL35" i="21"/>
  <c r="AT35" i="21"/>
  <c r="AU35" i="21"/>
  <c r="AV35" i="21"/>
  <c r="AW35" i="21"/>
  <c r="AX35" i="21"/>
  <c r="AY35" i="21"/>
  <c r="AZ35" i="21"/>
  <c r="W36" i="21"/>
  <c r="AT36" i="21"/>
  <c r="AU36" i="21"/>
  <c r="AV36" i="21"/>
  <c r="AW36" i="21"/>
  <c r="AX36" i="21"/>
  <c r="AY36" i="21"/>
  <c r="Q37" i="21"/>
  <c r="R37" i="21"/>
  <c r="T37" i="21"/>
  <c r="U37" i="21"/>
  <c r="V37" i="21"/>
  <c r="W37" i="21"/>
  <c r="X37" i="21"/>
  <c r="Y37" i="21"/>
  <c r="Z37" i="21"/>
  <c r="AA37" i="21"/>
  <c r="AB37" i="21"/>
  <c r="AC37" i="21"/>
  <c r="AD37" i="21"/>
  <c r="AG37" i="21"/>
  <c r="AL37" i="21"/>
  <c r="AT37" i="21"/>
  <c r="AU37" i="21"/>
  <c r="AV37" i="21"/>
  <c r="AW37" i="21"/>
  <c r="AX37" i="21"/>
  <c r="AY37" i="21"/>
  <c r="AZ37" i="21"/>
  <c r="Q38" i="21"/>
  <c r="R38" i="21"/>
  <c r="V38" i="21"/>
  <c r="W38" i="21"/>
  <c r="AA38" i="21"/>
  <c r="AC38" i="21"/>
  <c r="AG38" i="21"/>
  <c r="AT38" i="21"/>
  <c r="AU38" i="21"/>
  <c r="AV38" i="21"/>
  <c r="AW38" i="21"/>
  <c r="AX38" i="21"/>
  <c r="AY38" i="21"/>
  <c r="Q39" i="21"/>
  <c r="R39" i="21"/>
  <c r="T39" i="21"/>
  <c r="U39" i="21"/>
  <c r="V39" i="21"/>
  <c r="X39" i="21"/>
  <c r="Y39" i="21"/>
  <c r="Z39" i="21"/>
  <c r="AB39" i="21"/>
  <c r="AC39" i="21"/>
  <c r="AD39" i="21"/>
  <c r="AG39" i="21"/>
  <c r="AL39" i="21"/>
  <c r="AT39" i="21"/>
  <c r="AU39" i="21"/>
  <c r="AV39" i="21"/>
  <c r="AW39" i="21"/>
  <c r="AX39" i="21"/>
  <c r="AY39" i="21"/>
  <c r="AZ39" i="21"/>
  <c r="Q40" i="21"/>
  <c r="T40" i="21"/>
  <c r="U40" i="21"/>
  <c r="W40" i="21"/>
  <c r="Y40" i="21"/>
  <c r="AA40" i="21"/>
  <c r="AB40" i="21"/>
  <c r="AG40" i="21"/>
  <c r="AL40" i="21"/>
  <c r="AT40" i="21"/>
  <c r="AU40" i="21"/>
  <c r="AV40" i="21"/>
  <c r="AW40" i="21"/>
  <c r="AX40" i="21"/>
  <c r="AY40" i="21"/>
  <c r="AZ40" i="21"/>
  <c r="Q41" i="21"/>
  <c r="R41" i="21"/>
  <c r="T41" i="21"/>
  <c r="U41" i="21"/>
  <c r="V41" i="21"/>
  <c r="W41" i="21"/>
  <c r="X41" i="21"/>
  <c r="Y41" i="21"/>
  <c r="Z41" i="21"/>
  <c r="AA41" i="21"/>
  <c r="AB41" i="21"/>
  <c r="AC41" i="21"/>
  <c r="AD41" i="21"/>
  <c r="AG41" i="21"/>
  <c r="AL41" i="21"/>
  <c r="AT41" i="21"/>
  <c r="AU41" i="21"/>
  <c r="AV41" i="21"/>
  <c r="AW41" i="21"/>
  <c r="AX41" i="21"/>
  <c r="AY41" i="21"/>
  <c r="AZ41" i="21"/>
  <c r="V42" i="21"/>
  <c r="AA42" i="21"/>
  <c r="AG42" i="21"/>
  <c r="AT42" i="21"/>
  <c r="AU42" i="21"/>
  <c r="AV42" i="21"/>
  <c r="AW42" i="21"/>
  <c r="AX42" i="21"/>
  <c r="AY42" i="21"/>
  <c r="Q43" i="21"/>
  <c r="R43" i="21"/>
  <c r="V43" i="21"/>
  <c r="X43" i="21"/>
  <c r="AB43" i="21"/>
  <c r="AC43" i="21"/>
  <c r="AG43" i="21"/>
  <c r="AT43" i="21"/>
  <c r="AU43" i="21"/>
  <c r="AV43" i="21"/>
  <c r="AW43" i="21"/>
  <c r="AX43" i="21"/>
  <c r="AY43" i="21"/>
  <c r="Q44" i="21"/>
  <c r="T44" i="21"/>
  <c r="U44" i="21"/>
  <c r="W44" i="21"/>
  <c r="X44" i="21"/>
  <c r="Y44" i="21"/>
  <c r="AA44" i="21"/>
  <c r="AB44" i="21"/>
  <c r="AC44" i="21"/>
  <c r="AG44" i="21"/>
  <c r="AL44" i="21"/>
  <c r="AT44" i="21"/>
  <c r="AU44" i="21"/>
  <c r="AV44" i="21"/>
  <c r="AW44" i="21"/>
  <c r="AX44" i="21"/>
  <c r="AY44" i="21"/>
  <c r="AZ44" i="21"/>
  <c r="Q45" i="21"/>
  <c r="R45" i="21"/>
  <c r="T45" i="21"/>
  <c r="U45" i="21"/>
  <c r="V45" i="21"/>
  <c r="W45" i="21"/>
  <c r="X45" i="21"/>
  <c r="Y45" i="21"/>
  <c r="Z45" i="21"/>
  <c r="AA45" i="21"/>
  <c r="AB45" i="21"/>
  <c r="AC45" i="21"/>
  <c r="AD45" i="21"/>
  <c r="AG45" i="21"/>
  <c r="AL45" i="21"/>
  <c r="AT45" i="21"/>
  <c r="AU45" i="21"/>
  <c r="AV45" i="21"/>
  <c r="AW45" i="21"/>
  <c r="AX45" i="21"/>
  <c r="AY45" i="21"/>
  <c r="AZ45" i="21"/>
  <c r="Q46" i="21"/>
  <c r="U46" i="21"/>
  <c r="V46" i="21"/>
  <c r="X46" i="21"/>
  <c r="Y46" i="21"/>
  <c r="Z46" i="21"/>
  <c r="AB46" i="21"/>
  <c r="AC46" i="21"/>
  <c r="AD46" i="21"/>
  <c r="AG46" i="21"/>
  <c r="AL46" i="21"/>
  <c r="AT46" i="21"/>
  <c r="AU46" i="21"/>
  <c r="AV46" i="21"/>
  <c r="AW46" i="21"/>
  <c r="AX46" i="21"/>
  <c r="AY46" i="21"/>
  <c r="AZ46" i="21"/>
  <c r="Q47" i="21"/>
  <c r="T47" i="21"/>
  <c r="U47" i="21"/>
  <c r="W47" i="21"/>
  <c r="X47" i="21"/>
  <c r="Y47" i="21"/>
  <c r="AA47" i="21"/>
  <c r="AB47" i="21"/>
  <c r="AC47" i="21"/>
  <c r="AG47" i="21"/>
  <c r="AL47" i="21"/>
  <c r="AT47" i="21"/>
  <c r="AU47" i="21"/>
  <c r="AV47" i="21"/>
  <c r="AW47" i="21"/>
  <c r="AX47" i="21"/>
  <c r="AY47" i="21"/>
  <c r="AZ47" i="21"/>
  <c r="Q48" i="21"/>
  <c r="R48" i="21"/>
  <c r="T48" i="21"/>
  <c r="U48" i="21"/>
  <c r="V48" i="21"/>
  <c r="W48" i="21"/>
  <c r="X48" i="21"/>
  <c r="Y48" i="21"/>
  <c r="Z48" i="21"/>
  <c r="AA48" i="21"/>
  <c r="AB48" i="21"/>
  <c r="AC48" i="21"/>
  <c r="AD48" i="21"/>
  <c r="AG48" i="21"/>
  <c r="AL48" i="21"/>
  <c r="AT48" i="21"/>
  <c r="AU48" i="21"/>
  <c r="AV48" i="21"/>
  <c r="AW48" i="21"/>
  <c r="AX48" i="21"/>
  <c r="AY48" i="21"/>
  <c r="AZ48" i="21"/>
  <c r="W49" i="21"/>
  <c r="AT49" i="21"/>
  <c r="AU49" i="21"/>
  <c r="AV49" i="21"/>
  <c r="AW49" i="21"/>
  <c r="AX49" i="21"/>
  <c r="AY49" i="21"/>
  <c r="Q50" i="21"/>
  <c r="T50" i="21"/>
  <c r="V50" i="21"/>
  <c r="Y50" i="21"/>
  <c r="AB50" i="21"/>
  <c r="AD50" i="21"/>
  <c r="AG50" i="21"/>
  <c r="AT50" i="21"/>
  <c r="AU50" i="21"/>
  <c r="AV50" i="21"/>
  <c r="AW50" i="21"/>
  <c r="AX50" i="21"/>
  <c r="AY50" i="21"/>
  <c r="A2" i="20"/>
  <c r="C6" i="20"/>
  <c r="T6" i="20"/>
  <c r="C9" i="20"/>
  <c r="C10" i="20"/>
  <c r="T10" i="20"/>
  <c r="C13" i="20"/>
  <c r="C14" i="20"/>
  <c r="T14" i="20"/>
  <c r="C18" i="20"/>
  <c r="T18" i="20"/>
  <c r="V20" i="20"/>
  <c r="C21" i="20"/>
  <c r="C22" i="20"/>
  <c r="T22" i="20"/>
  <c r="V22" i="20"/>
  <c r="V24" i="20"/>
  <c r="C25" i="20"/>
  <c r="V25" i="20"/>
  <c r="C26" i="20"/>
  <c r="T26" i="20"/>
  <c r="V26" i="20"/>
  <c r="C27" i="20"/>
  <c r="T28" i="20"/>
  <c r="V28" i="20"/>
  <c r="C29" i="20"/>
  <c r="V29" i="20"/>
  <c r="C30" i="20"/>
  <c r="T30" i="20"/>
  <c r="V30" i="20"/>
  <c r="T31" i="20"/>
  <c r="T32" i="20"/>
  <c r="V32" i="20"/>
  <c r="V33" i="20"/>
  <c r="C34" i="20"/>
  <c r="T34" i="20"/>
  <c r="V34" i="20"/>
  <c r="C35" i="20"/>
  <c r="T35" i="20"/>
  <c r="V36" i="20"/>
  <c r="C37" i="20"/>
  <c r="V37" i="20"/>
  <c r="C38" i="20"/>
  <c r="T38" i="20"/>
  <c r="V38" i="20"/>
  <c r="T40" i="20"/>
  <c r="V40" i="20"/>
  <c r="C41" i="20"/>
  <c r="V41" i="20"/>
  <c r="C42" i="20"/>
  <c r="T42" i="20"/>
  <c r="V42" i="20"/>
  <c r="C43" i="20"/>
  <c r="T43" i="20"/>
  <c r="T44" i="20"/>
  <c r="V44" i="20"/>
  <c r="C45" i="20"/>
  <c r="V45" i="20"/>
  <c r="L2" i="19"/>
  <c r="L3" i="19"/>
  <c r="L4" i="19"/>
  <c r="S4" i="19"/>
  <c r="L5" i="19"/>
  <c r="L6" i="19"/>
  <c r="L7" i="19"/>
  <c r="L8" i="19"/>
  <c r="L9" i="19"/>
  <c r="L10" i="19"/>
  <c r="L11" i="19"/>
  <c r="L12" i="19"/>
  <c r="L13" i="19"/>
  <c r="L14" i="19"/>
  <c r="L15" i="19"/>
  <c r="L16" i="19"/>
  <c r="L17" i="19"/>
  <c r="L18" i="19"/>
  <c r="L19" i="19"/>
  <c r="L20" i="19"/>
  <c r="L21" i="19"/>
  <c r="L22" i="19"/>
  <c r="L23" i="19"/>
  <c r="L24" i="19"/>
  <c r="L25" i="19"/>
  <c r="L26" i="19"/>
  <c r="L27" i="19"/>
  <c r="L28" i="19"/>
  <c r="L29" i="19"/>
  <c r="L30" i="19"/>
  <c r="L31" i="19"/>
  <c r="L32" i="19"/>
  <c r="L33" i="19"/>
  <c r="L34" i="19"/>
  <c r="L35" i="19"/>
  <c r="L36" i="19"/>
  <c r="L37" i="19"/>
  <c r="L38" i="19"/>
  <c r="L39" i="19"/>
  <c r="L40" i="19"/>
  <c r="L41" i="19"/>
  <c r="L42" i="19"/>
  <c r="L43" i="19"/>
  <c r="L44" i="19"/>
  <c r="L45" i="19"/>
  <c r="L46" i="19"/>
  <c r="L47" i="19"/>
  <c r="L48" i="19"/>
  <c r="L49" i="19"/>
  <c r="L50" i="19"/>
  <c r="L51" i="19"/>
  <c r="L52" i="19"/>
  <c r="L53" i="19"/>
  <c r="L54" i="19"/>
  <c r="L55" i="19"/>
  <c r="L56" i="19"/>
  <c r="L57" i="19"/>
  <c r="L58" i="19"/>
  <c r="D2" i="18"/>
  <c r="C3" i="18"/>
  <c r="D3" i="18"/>
  <c r="E3" i="18"/>
  <c r="J3" i="18"/>
  <c r="C4" i="18"/>
  <c r="D4" i="18"/>
  <c r="E4" i="18" s="1"/>
  <c r="J4" i="18"/>
  <c r="M4" i="18"/>
  <c r="C5" i="18"/>
  <c r="D5" i="18"/>
  <c r="E5" i="18"/>
  <c r="J5" i="18"/>
  <c r="C6" i="18"/>
  <c r="D6" i="18"/>
  <c r="E6" i="18" s="1"/>
  <c r="J6" i="18"/>
  <c r="M6" i="18"/>
  <c r="C7" i="18"/>
  <c r="D7" i="18"/>
  <c r="E7" i="18"/>
  <c r="J7" i="18"/>
  <c r="C8" i="18"/>
  <c r="D8" i="18"/>
  <c r="E8" i="18" s="1"/>
  <c r="J8" i="18"/>
  <c r="M8" i="18"/>
  <c r="C9" i="18"/>
  <c r="D9" i="18"/>
  <c r="E9" i="18"/>
  <c r="J9" i="18"/>
  <c r="C10" i="18"/>
  <c r="D10" i="18"/>
  <c r="E10" i="18" s="1"/>
  <c r="J10" i="18"/>
  <c r="M10" i="18"/>
  <c r="C11" i="18"/>
  <c r="D11" i="18"/>
  <c r="E11" i="18"/>
  <c r="J11" i="18"/>
  <c r="C12" i="18"/>
  <c r="D12" i="18"/>
  <c r="E12" i="18" s="1"/>
  <c r="J12" i="18"/>
  <c r="M12" i="18"/>
  <c r="C13" i="18"/>
  <c r="D13" i="18"/>
  <c r="E13" i="18" s="1"/>
  <c r="J13" i="18"/>
  <c r="C14" i="18"/>
  <c r="D14" i="18"/>
  <c r="E14" i="18" s="1"/>
  <c r="J14" i="18"/>
  <c r="M14" i="18"/>
  <c r="V14" i="18"/>
  <c r="C15" i="18"/>
  <c r="D15" i="18"/>
  <c r="E15" i="18" s="1"/>
  <c r="J15" i="18"/>
  <c r="C16" i="18"/>
  <c r="D16" i="18"/>
  <c r="E16" i="18" s="1"/>
  <c r="J16" i="18"/>
  <c r="M16" i="18"/>
  <c r="C17" i="18"/>
  <c r="D17" i="18"/>
  <c r="E17" i="18" s="1"/>
  <c r="J17" i="18"/>
  <c r="C18" i="18"/>
  <c r="D18" i="18"/>
  <c r="E18" i="18" s="1"/>
  <c r="J18" i="18"/>
  <c r="M18" i="18"/>
  <c r="V18" i="18"/>
  <c r="C19" i="18"/>
  <c r="D19" i="18"/>
  <c r="E19" i="18" s="1"/>
  <c r="J19" i="18"/>
  <c r="C20" i="18"/>
  <c r="D20" i="18"/>
  <c r="E20" i="18" s="1"/>
  <c r="J20" i="18"/>
  <c r="M20" i="18"/>
  <c r="C21" i="18"/>
  <c r="D21" i="18"/>
  <c r="E21" i="18" s="1"/>
  <c r="J21" i="18"/>
  <c r="K9" i="18" s="1"/>
  <c r="C22" i="18"/>
  <c r="D22" i="18"/>
  <c r="E22" i="18" s="1"/>
  <c r="J22" i="18"/>
  <c r="M22" i="18"/>
  <c r="C23" i="18"/>
  <c r="D23" i="18"/>
  <c r="E23" i="18" s="1"/>
  <c r="J23" i="18"/>
  <c r="C24" i="18"/>
  <c r="D24" i="18"/>
  <c r="E24" i="18" s="1"/>
  <c r="J24" i="18"/>
  <c r="C25" i="18"/>
  <c r="D25" i="18"/>
  <c r="E25" i="18" s="1"/>
  <c r="J25" i="18"/>
  <c r="M25" i="18"/>
  <c r="V25" i="18"/>
  <c r="C26" i="18"/>
  <c r="D26" i="18"/>
  <c r="E26" i="18" s="1"/>
  <c r="J26" i="18"/>
  <c r="K24" i="18" s="1"/>
  <c r="C27" i="18"/>
  <c r="D27" i="18"/>
  <c r="E27" i="18" s="1"/>
  <c r="J27" i="18"/>
  <c r="M27" i="18"/>
  <c r="M28" i="18"/>
  <c r="C28" i="18"/>
  <c r="D28" i="18"/>
  <c r="E28" i="18" s="1"/>
  <c r="J28" i="18"/>
  <c r="C29" i="18"/>
  <c r="D29" i="18"/>
  <c r="E29" i="18" s="1"/>
  <c r="J29" i="18"/>
  <c r="M29" i="18"/>
  <c r="C30" i="18"/>
  <c r="D30" i="18"/>
  <c r="E30" i="18"/>
  <c r="J30" i="18"/>
  <c r="C31" i="18"/>
  <c r="D31" i="18"/>
  <c r="E31" i="18" s="1"/>
  <c r="J31" i="18"/>
  <c r="K32" i="18" s="1"/>
  <c r="M31" i="18"/>
  <c r="C32" i="18"/>
  <c r="D32" i="18"/>
  <c r="E32" i="18"/>
  <c r="J32" i="18"/>
  <c r="C33" i="18"/>
  <c r="D33" i="18"/>
  <c r="E33" i="18" s="1"/>
  <c r="J33" i="18"/>
  <c r="M33" i="18"/>
  <c r="D34" i="18"/>
  <c r="E34" i="18"/>
  <c r="J34" i="18"/>
  <c r="C35" i="18"/>
  <c r="D35" i="18"/>
  <c r="E35" i="18" s="1"/>
  <c r="J35" i="18"/>
  <c r="M35" i="18"/>
  <c r="C36" i="18"/>
  <c r="D36" i="18"/>
  <c r="E36" i="18"/>
  <c r="J36" i="18"/>
  <c r="C37" i="18"/>
  <c r="D37" i="18"/>
  <c r="E37" i="18" s="1"/>
  <c r="J37" i="18"/>
  <c r="M37" i="18"/>
  <c r="C38" i="18"/>
  <c r="D38" i="18"/>
  <c r="E38" i="18"/>
  <c r="J38" i="18"/>
  <c r="C39" i="18"/>
  <c r="D39" i="18"/>
  <c r="E39" i="18" s="1"/>
  <c r="J39" i="18"/>
  <c r="K39" i="18" s="1"/>
  <c r="M39" i="18"/>
  <c r="C40" i="18"/>
  <c r="D40" i="18"/>
  <c r="E40" i="18"/>
  <c r="J40" i="18"/>
  <c r="C41" i="18"/>
  <c r="D41" i="18"/>
  <c r="E41" i="18" s="1"/>
  <c r="J41" i="18"/>
  <c r="M41" i="18"/>
  <c r="D42" i="18"/>
  <c r="E42" i="18"/>
  <c r="J42" i="18"/>
  <c r="V28" i="18" l="1"/>
  <c r="V22" i="18"/>
  <c r="V27" i="18"/>
  <c r="V12" i="18"/>
  <c r="AF29" i="21"/>
  <c r="AF26" i="21"/>
  <c r="AZ18" i="21"/>
  <c r="AZ19" i="21"/>
  <c r="AE48" i="21"/>
  <c r="AE37" i="21"/>
  <c r="AE19" i="21"/>
  <c r="R24" i="21"/>
  <c r="AF19" i="21"/>
  <c r="AE26" i="21"/>
  <c r="AF45" i="21"/>
  <c r="AF33" i="21"/>
  <c r="AE22" i="21"/>
  <c r="R22" i="21"/>
  <c r="AE41" i="21"/>
  <c r="AE29" i="21"/>
  <c r="AE15" i="21"/>
  <c r="AL11" i="21"/>
  <c r="F47" i="26"/>
  <c r="E47" i="26"/>
  <c r="H47" i="26"/>
  <c r="G47" i="26"/>
  <c r="B19" i="30"/>
  <c r="B11" i="30"/>
  <c r="B7" i="30"/>
  <c r="B92" i="30"/>
  <c r="B76" i="30"/>
  <c r="B28" i="30"/>
  <c r="B90" i="30"/>
  <c r="B74" i="30"/>
  <c r="B58" i="30"/>
  <c r="B42" i="30"/>
  <c r="B26" i="30"/>
  <c r="B16" i="30"/>
  <c r="B12" i="30"/>
  <c r="B96" i="30"/>
  <c r="B80" i="30"/>
  <c r="B64" i="30"/>
  <c r="B48" i="30"/>
  <c r="B32" i="30"/>
  <c r="B8" i="30"/>
  <c r="B5" i="30"/>
  <c r="B98" i="30"/>
  <c r="B88" i="30"/>
  <c r="B82" i="30"/>
  <c r="B72" i="30"/>
  <c r="B66" i="30"/>
  <c r="B56" i="30"/>
  <c r="B54" i="30"/>
  <c r="B50" i="30"/>
  <c r="B40" i="30"/>
  <c r="B38" i="30"/>
  <c r="B34" i="30"/>
  <c r="B24" i="30"/>
  <c r="B22" i="30"/>
  <c r="B9" i="30"/>
  <c r="B93" i="30"/>
  <c r="B87" i="30"/>
  <c r="B61" i="30"/>
  <c r="B45" i="30"/>
  <c r="B29" i="30"/>
  <c r="B60" i="30"/>
  <c r="B101" i="30"/>
  <c r="B95" i="30"/>
  <c r="B85" i="30"/>
  <c r="B79" i="30"/>
  <c r="B69" i="30"/>
  <c r="B63" i="30"/>
  <c r="B53" i="30"/>
  <c r="B47" i="30"/>
  <c r="B37" i="30"/>
  <c r="B31" i="30"/>
  <c r="B21" i="30"/>
  <c r="B14" i="30"/>
  <c r="B4" i="30"/>
  <c r="B77" i="30"/>
  <c r="B71" i="30"/>
  <c r="B55" i="30"/>
  <c r="B39" i="30"/>
  <c r="B23" i="30"/>
  <c r="B94" i="30"/>
  <c r="B78" i="30"/>
  <c r="B62" i="30"/>
  <c r="B44" i="30"/>
  <c r="B15" i="30"/>
  <c r="B10" i="30"/>
  <c r="B102" i="30"/>
  <c r="B100" i="30"/>
  <c r="B86" i="30"/>
  <c r="B84" i="30"/>
  <c r="B70" i="30"/>
  <c r="B68" i="30"/>
  <c r="B52" i="30"/>
  <c r="B46" i="30"/>
  <c r="B36" i="30"/>
  <c r="B30" i="30"/>
  <c r="B17" i="30"/>
  <c r="B6" i="30"/>
  <c r="B97" i="30"/>
  <c r="B89" i="30"/>
  <c r="B81" i="30"/>
  <c r="B73" i="30"/>
  <c r="B65" i="30"/>
  <c r="B57" i="30"/>
  <c r="B49" i="30"/>
  <c r="B41" i="30"/>
  <c r="B33" i="30"/>
  <c r="B25" i="30"/>
  <c r="B18" i="30"/>
  <c r="B99" i="30"/>
  <c r="B91" i="30"/>
  <c r="B83" i="30"/>
  <c r="B75" i="30"/>
  <c r="B67" i="30"/>
  <c r="B59" i="30"/>
  <c r="B51" i="30"/>
  <c r="B43" i="30"/>
  <c r="B35" i="30"/>
  <c r="B27" i="30"/>
  <c r="B20" i="30"/>
  <c r="B13" i="30"/>
  <c r="F25" i="26"/>
  <c r="F23" i="26"/>
  <c r="F21" i="26"/>
  <c r="F20" i="26"/>
  <c r="F18" i="26"/>
  <c r="F16" i="26"/>
  <c r="F15" i="26"/>
  <c r="F14" i="26"/>
  <c r="F13" i="26"/>
  <c r="F10" i="26"/>
  <c r="F8" i="26"/>
  <c r="F46" i="26"/>
  <c r="F45" i="26"/>
  <c r="F44" i="26"/>
  <c r="F43" i="26"/>
  <c r="F42" i="26"/>
  <c r="F41" i="26"/>
  <c r="F40" i="26"/>
  <c r="F39" i="26"/>
  <c r="F38" i="26"/>
  <c r="F37" i="26"/>
  <c r="F36" i="26"/>
  <c r="F35" i="26"/>
  <c r="F34" i="26"/>
  <c r="F33" i="26"/>
  <c r="F32" i="26"/>
  <c r="F31" i="26"/>
  <c r="F30" i="26"/>
  <c r="F29" i="26"/>
  <c r="F28" i="26"/>
  <c r="F27" i="26"/>
  <c r="F26" i="26"/>
  <c r="F24" i="26"/>
  <c r="F22" i="26"/>
  <c r="F19" i="26"/>
  <c r="F17" i="26"/>
  <c r="F12" i="26"/>
  <c r="F11" i="26"/>
  <c r="F9" i="26"/>
  <c r="E46" i="26"/>
  <c r="E45" i="26"/>
  <c r="E44" i="26"/>
  <c r="E43" i="26"/>
  <c r="E37" i="26"/>
  <c r="E36" i="26"/>
  <c r="E35" i="26"/>
  <c r="E34" i="26"/>
  <c r="E33" i="26"/>
  <c r="E32" i="26"/>
  <c r="E28" i="26"/>
  <c r="E27" i="26"/>
  <c r="E25" i="26"/>
  <c r="E23" i="26"/>
  <c r="E22" i="26"/>
  <c r="E20" i="26"/>
  <c r="E17" i="26"/>
  <c r="E14" i="26"/>
  <c r="E13" i="26"/>
  <c r="E12" i="26"/>
  <c r="I8" i="26"/>
  <c r="BK434" i="24"/>
  <c r="BG434" i="24"/>
  <c r="BC434" i="24"/>
  <c r="AY434" i="24"/>
  <c r="AU434" i="24"/>
  <c r="AQ434" i="24"/>
  <c r="AM434" i="24"/>
  <c r="AI434" i="24"/>
  <c r="AE434" i="24"/>
  <c r="AA434" i="24"/>
  <c r="W434" i="24"/>
  <c r="S434" i="24"/>
  <c r="O434" i="24"/>
  <c r="K434" i="24"/>
  <c r="G434" i="24"/>
  <c r="C434" i="24"/>
  <c r="BK433" i="24"/>
  <c r="BG433" i="24"/>
  <c r="BC433" i="24"/>
  <c r="AY433" i="24"/>
  <c r="AU433" i="24"/>
  <c r="AQ433" i="24"/>
  <c r="AM433" i="24"/>
  <c r="AI433" i="24"/>
  <c r="AE433" i="24"/>
  <c r="AA433" i="24"/>
  <c r="W433" i="24"/>
  <c r="S433" i="24"/>
  <c r="O433" i="24"/>
  <c r="K433" i="24"/>
  <c r="G433" i="24"/>
  <c r="C433" i="24"/>
  <c r="BK432" i="24"/>
  <c r="BG432" i="24"/>
  <c r="BC432" i="24"/>
  <c r="AY432" i="24"/>
  <c r="AU432" i="24"/>
  <c r="AQ432" i="24"/>
  <c r="AM432" i="24"/>
  <c r="AI432" i="24"/>
  <c r="AE432" i="24"/>
  <c r="AA432" i="24"/>
  <c r="W432" i="24"/>
  <c r="S432" i="24"/>
  <c r="O432" i="24"/>
  <c r="K432" i="24"/>
  <c r="G432" i="24"/>
  <c r="C432" i="24"/>
  <c r="BK431" i="24"/>
  <c r="BG431" i="24"/>
  <c r="BC431" i="24"/>
  <c r="AY431" i="24"/>
  <c r="AU431" i="24"/>
  <c r="AQ431" i="24"/>
  <c r="AM431" i="24"/>
  <c r="AI431" i="24"/>
  <c r="AE431" i="24"/>
  <c r="AA431" i="24"/>
  <c r="W431" i="24"/>
  <c r="S431" i="24"/>
  <c r="O431" i="24"/>
  <c r="K431" i="24"/>
  <c r="G431" i="24"/>
  <c r="C431" i="24"/>
  <c r="BK430" i="24"/>
  <c r="BG430" i="24"/>
  <c r="BC430" i="24"/>
  <c r="AY430" i="24"/>
  <c r="AU430" i="24"/>
  <c r="AQ430" i="24"/>
  <c r="AM430" i="24"/>
  <c r="AI430" i="24"/>
  <c r="AE430" i="24"/>
  <c r="AA430" i="24"/>
  <c r="W430" i="24"/>
  <c r="S430" i="24"/>
  <c r="O430" i="24"/>
  <c r="K430" i="24"/>
  <c r="G430" i="24"/>
  <c r="C430" i="24"/>
  <c r="BK429" i="24"/>
  <c r="BG429" i="24"/>
  <c r="BC429" i="24"/>
  <c r="AY429" i="24"/>
  <c r="AU429" i="24"/>
  <c r="AQ429" i="24"/>
  <c r="AM429" i="24"/>
  <c r="AI429" i="24"/>
  <c r="AE429" i="24"/>
  <c r="AA429" i="24"/>
  <c r="W429" i="24"/>
  <c r="S429" i="24"/>
  <c r="O429" i="24"/>
  <c r="K429" i="24"/>
  <c r="G429" i="24"/>
  <c r="C429" i="24"/>
  <c r="BK428" i="24"/>
  <c r="BG428" i="24"/>
  <c r="BC428" i="24"/>
  <c r="AY428" i="24"/>
  <c r="AU428" i="24"/>
  <c r="AQ428" i="24"/>
  <c r="AM428" i="24"/>
  <c r="AI428" i="24"/>
  <c r="AE428" i="24"/>
  <c r="AA428" i="24"/>
  <c r="W428" i="24"/>
  <c r="S428" i="24"/>
  <c r="O428" i="24"/>
  <c r="K428" i="24"/>
  <c r="G428" i="24"/>
  <c r="C428" i="24"/>
  <c r="BK427" i="24"/>
  <c r="BG427" i="24"/>
  <c r="BC427" i="24"/>
  <c r="AY427" i="24"/>
  <c r="AU427" i="24"/>
  <c r="AQ427" i="24"/>
  <c r="AM427" i="24"/>
  <c r="AI427" i="24"/>
  <c r="AE427" i="24"/>
  <c r="AA427" i="24"/>
  <c r="W427" i="24"/>
  <c r="S427" i="24"/>
  <c r="O427" i="24"/>
  <c r="K427" i="24"/>
  <c r="G427" i="24"/>
  <c r="C427" i="24"/>
  <c r="BK426" i="24"/>
  <c r="BG426" i="24"/>
  <c r="BC426" i="24"/>
  <c r="AY426" i="24"/>
  <c r="AU426" i="24"/>
  <c r="AQ426" i="24"/>
  <c r="AM426" i="24"/>
  <c r="AI426" i="24"/>
  <c r="AE426" i="24"/>
  <c r="AA426" i="24"/>
  <c r="W426" i="24"/>
  <c r="S426" i="24"/>
  <c r="O426" i="24"/>
  <c r="K426" i="24"/>
  <c r="G426" i="24"/>
  <c r="C426" i="24"/>
  <c r="BK425" i="24"/>
  <c r="BG425" i="24"/>
  <c r="BC425" i="24"/>
  <c r="AY425" i="24"/>
  <c r="AU425" i="24"/>
  <c r="AQ425" i="24"/>
  <c r="AM425" i="24"/>
  <c r="AI425" i="24"/>
  <c r="AE425" i="24"/>
  <c r="AA425" i="24"/>
  <c r="W425" i="24"/>
  <c r="S425" i="24"/>
  <c r="O425" i="24"/>
  <c r="K425" i="24"/>
  <c r="G425" i="24"/>
  <c r="C425" i="24"/>
  <c r="BK424" i="24"/>
  <c r="BG424" i="24"/>
  <c r="BC424" i="24"/>
  <c r="AY424" i="24"/>
  <c r="AU424" i="24"/>
  <c r="AQ424" i="24"/>
  <c r="AM424" i="24"/>
  <c r="AI424" i="24"/>
  <c r="AE424" i="24"/>
  <c r="AA424" i="24"/>
  <c r="W424" i="24"/>
  <c r="S424" i="24"/>
  <c r="O424" i="24"/>
  <c r="K424" i="24"/>
  <c r="G424" i="24"/>
  <c r="C424" i="24"/>
  <c r="BK423" i="24"/>
  <c r="BG423" i="24"/>
  <c r="BC423" i="24"/>
  <c r="AY423" i="24"/>
  <c r="AU423" i="24"/>
  <c r="AQ423" i="24"/>
  <c r="AM423" i="24"/>
  <c r="AI423" i="24"/>
  <c r="AE423" i="24"/>
  <c r="AA423" i="24"/>
  <c r="W423" i="24"/>
  <c r="S423" i="24"/>
  <c r="O423" i="24"/>
  <c r="K423" i="24"/>
  <c r="G423" i="24"/>
  <c r="C423" i="24"/>
  <c r="BK422" i="24"/>
  <c r="BG422" i="24"/>
  <c r="BC422" i="24"/>
  <c r="AY422" i="24"/>
  <c r="AU422" i="24"/>
  <c r="AQ422" i="24"/>
  <c r="AM422" i="24"/>
  <c r="AI422" i="24"/>
  <c r="AE422" i="24"/>
  <c r="AA422" i="24"/>
  <c r="W422" i="24"/>
  <c r="S422" i="24"/>
  <c r="O422" i="24"/>
  <c r="K422" i="24"/>
  <c r="G422" i="24"/>
  <c r="C422" i="24"/>
  <c r="BK421" i="24"/>
  <c r="BG421" i="24"/>
  <c r="BC421" i="24"/>
  <c r="AY421" i="24"/>
  <c r="AU421" i="24"/>
  <c r="AQ421" i="24"/>
  <c r="AM421" i="24"/>
  <c r="AI421" i="24"/>
  <c r="AE421" i="24"/>
  <c r="AA421" i="24"/>
  <c r="W421" i="24"/>
  <c r="S421" i="24"/>
  <c r="O421" i="24"/>
  <c r="K421" i="24"/>
  <c r="G421" i="24"/>
  <c r="C421" i="24"/>
  <c r="BK420" i="24"/>
  <c r="BG420" i="24"/>
  <c r="BC420" i="24"/>
  <c r="AY420" i="24"/>
  <c r="AU420" i="24"/>
  <c r="AQ420" i="24"/>
  <c r="AM420" i="24"/>
  <c r="AI420" i="24"/>
  <c r="AE420" i="24"/>
  <c r="AA420" i="24"/>
  <c r="W420" i="24"/>
  <c r="S420" i="24"/>
  <c r="O420" i="24"/>
  <c r="K420" i="24"/>
  <c r="G420" i="24"/>
  <c r="C420" i="24"/>
  <c r="BK419" i="24"/>
  <c r="BG419" i="24"/>
  <c r="BC419" i="24"/>
  <c r="AY419" i="24"/>
  <c r="AU419" i="24"/>
  <c r="AQ419" i="24"/>
  <c r="AM419" i="24"/>
  <c r="AI419" i="24"/>
  <c r="AE419" i="24"/>
  <c r="AA419" i="24"/>
  <c r="W419" i="24"/>
  <c r="S419" i="24"/>
  <c r="O419" i="24"/>
  <c r="K419" i="24"/>
  <c r="G419" i="24"/>
  <c r="C419" i="24"/>
  <c r="BK418" i="24"/>
  <c r="BG418" i="24"/>
  <c r="BC418" i="24"/>
  <c r="AY418" i="24"/>
  <c r="AU418" i="24"/>
  <c r="AQ418" i="24"/>
  <c r="AM418" i="24"/>
  <c r="AI418" i="24"/>
  <c r="AE418" i="24"/>
  <c r="AA418" i="24"/>
  <c r="W418" i="24"/>
  <c r="S418" i="24"/>
  <c r="O418" i="24"/>
  <c r="K418" i="24"/>
  <c r="G418" i="24"/>
  <c r="C418" i="24"/>
  <c r="BK417" i="24"/>
  <c r="BG417" i="24"/>
  <c r="BC417" i="24"/>
  <c r="AY417" i="24"/>
  <c r="AU417" i="24"/>
  <c r="AQ417" i="24"/>
  <c r="AM417" i="24"/>
  <c r="AI417" i="24"/>
  <c r="AE417" i="24"/>
  <c r="AA417" i="24"/>
  <c r="W417" i="24"/>
  <c r="S417" i="24"/>
  <c r="O417" i="24"/>
  <c r="K417" i="24"/>
  <c r="G417" i="24"/>
  <c r="C417" i="24"/>
  <c r="BK416" i="24"/>
  <c r="BG416" i="24"/>
  <c r="BC416" i="24"/>
  <c r="AY416" i="24"/>
  <c r="AU416" i="24"/>
  <c r="AQ416" i="24"/>
  <c r="AM416" i="24"/>
  <c r="AI416" i="24"/>
  <c r="AE416" i="24"/>
  <c r="AA416" i="24"/>
  <c r="W416" i="24"/>
  <c r="S416" i="24"/>
  <c r="O416" i="24"/>
  <c r="K416" i="24"/>
  <c r="G416" i="24"/>
  <c r="C416" i="24"/>
  <c r="BK415" i="24"/>
  <c r="BG415" i="24"/>
  <c r="BC415" i="24"/>
  <c r="AY415" i="24"/>
  <c r="AU415" i="24"/>
  <c r="AQ415" i="24"/>
  <c r="AM415" i="24"/>
  <c r="AI415" i="24"/>
  <c r="AE415" i="24"/>
  <c r="AA415" i="24"/>
  <c r="W415" i="24"/>
  <c r="S415" i="24"/>
  <c r="O415" i="24"/>
  <c r="K415" i="24"/>
  <c r="G415" i="24"/>
  <c r="C415" i="24"/>
  <c r="BK414" i="24"/>
  <c r="BG414" i="24"/>
  <c r="BC414" i="24"/>
  <c r="AY414" i="24"/>
  <c r="AU414" i="24"/>
  <c r="AQ414" i="24"/>
  <c r="AM414" i="24"/>
  <c r="AI414" i="24"/>
  <c r="AE414" i="24"/>
  <c r="AA414" i="24"/>
  <c r="W414" i="24"/>
  <c r="S414" i="24"/>
  <c r="O414" i="24"/>
  <c r="K414" i="24"/>
  <c r="G414" i="24"/>
  <c r="C414" i="24"/>
  <c r="BK413" i="24"/>
  <c r="BG413" i="24"/>
  <c r="BC413" i="24"/>
  <c r="AY413" i="24"/>
  <c r="AU413" i="24"/>
  <c r="AQ413" i="24"/>
  <c r="AM413" i="24"/>
  <c r="AI413" i="24"/>
  <c r="AE413" i="24"/>
  <c r="AA413" i="24"/>
  <c r="W413" i="24"/>
  <c r="S413" i="24"/>
  <c r="O413" i="24"/>
  <c r="K413" i="24"/>
  <c r="G413" i="24"/>
  <c r="C413" i="24"/>
  <c r="BK412" i="24"/>
  <c r="BG412" i="24"/>
  <c r="BC412" i="24"/>
  <c r="AY412" i="24"/>
  <c r="AU412" i="24"/>
  <c r="AQ412" i="24"/>
  <c r="AM412" i="24"/>
  <c r="AI412" i="24"/>
  <c r="AE412" i="24"/>
  <c r="AA412" i="24"/>
  <c r="W412" i="24"/>
  <c r="S412" i="24"/>
  <c r="O412" i="24"/>
  <c r="K412" i="24"/>
  <c r="G412" i="24"/>
  <c r="C412" i="24"/>
  <c r="BK411" i="24"/>
  <c r="BG411" i="24"/>
  <c r="BC411" i="24"/>
  <c r="AY411" i="24"/>
  <c r="AU411" i="24"/>
  <c r="AQ411" i="24"/>
  <c r="AM411" i="24"/>
  <c r="AI411" i="24"/>
  <c r="AE411" i="24"/>
  <c r="AA411" i="24"/>
  <c r="W411" i="24"/>
  <c r="S411" i="24"/>
  <c r="O411" i="24"/>
  <c r="K411" i="24"/>
  <c r="G411" i="24"/>
  <c r="C411" i="24"/>
  <c r="BK410" i="24"/>
  <c r="BG410" i="24"/>
  <c r="BC410" i="24"/>
  <c r="AY410" i="24"/>
  <c r="AU410" i="24"/>
  <c r="AQ410" i="24"/>
  <c r="AM410" i="24"/>
  <c r="AI410" i="24"/>
  <c r="AE410" i="24"/>
  <c r="AA410" i="24"/>
  <c r="W410" i="24"/>
  <c r="S410" i="24"/>
  <c r="O410" i="24"/>
  <c r="K410" i="24"/>
  <c r="G410" i="24"/>
  <c r="C410" i="24"/>
  <c r="BK409" i="24"/>
  <c r="BG409" i="24"/>
  <c r="BC409" i="24"/>
  <c r="AY409" i="24"/>
  <c r="AU409" i="24"/>
  <c r="AQ409" i="24"/>
  <c r="AM409" i="24"/>
  <c r="AI409" i="24"/>
  <c r="AE409" i="24"/>
  <c r="AA409" i="24"/>
  <c r="W409" i="24"/>
  <c r="S409" i="24"/>
  <c r="O409" i="24"/>
  <c r="K409" i="24"/>
  <c r="G409" i="24"/>
  <c r="C409" i="24"/>
  <c r="BK408" i="24"/>
  <c r="BG408" i="24"/>
  <c r="BC408" i="24"/>
  <c r="AY408" i="24"/>
  <c r="AU408" i="24"/>
  <c r="AQ408" i="24"/>
  <c r="AM408" i="24"/>
  <c r="AI408" i="24"/>
  <c r="AE408" i="24"/>
  <c r="AA408" i="24"/>
  <c r="W408" i="24"/>
  <c r="S408" i="24"/>
  <c r="O408" i="24"/>
  <c r="K408" i="24"/>
  <c r="G408" i="24"/>
  <c r="C408" i="24"/>
  <c r="BK407" i="24"/>
  <c r="BG407" i="24"/>
  <c r="BC407" i="24"/>
  <c r="AY407" i="24"/>
  <c r="AU407" i="24"/>
  <c r="AQ407" i="24"/>
  <c r="AM407" i="24"/>
  <c r="AI407" i="24"/>
  <c r="AE407" i="24"/>
  <c r="AA407" i="24"/>
  <c r="W407" i="24"/>
  <c r="S407" i="24"/>
  <c r="O407" i="24"/>
  <c r="K407" i="24"/>
  <c r="G407" i="24"/>
  <c r="C407" i="24"/>
  <c r="BK406" i="24"/>
  <c r="BG406" i="24"/>
  <c r="BC406" i="24"/>
  <c r="AY406" i="24"/>
  <c r="AU406" i="24"/>
  <c r="AQ406" i="24"/>
  <c r="AM406" i="24"/>
  <c r="AI406" i="24"/>
  <c r="AE406" i="24"/>
  <c r="AA406" i="24"/>
  <c r="W406" i="24"/>
  <c r="S406" i="24"/>
  <c r="O406" i="24"/>
  <c r="K406" i="24"/>
  <c r="G406" i="24"/>
  <c r="C406" i="24"/>
  <c r="BK405" i="24"/>
  <c r="BG405" i="24"/>
  <c r="BC405" i="24"/>
  <c r="AY405" i="24"/>
  <c r="AU405" i="24"/>
  <c r="AQ405" i="24"/>
  <c r="AM405" i="24"/>
  <c r="AI405" i="24"/>
  <c r="AE405" i="24"/>
  <c r="AA405" i="24"/>
  <c r="W405" i="24"/>
  <c r="S405" i="24"/>
  <c r="O405" i="24"/>
  <c r="K405" i="24"/>
  <c r="G405" i="24"/>
  <c r="C405" i="24"/>
  <c r="BK404" i="24"/>
  <c r="BG404" i="24"/>
  <c r="BC404" i="24"/>
  <c r="AY404" i="24"/>
  <c r="AU404" i="24"/>
  <c r="AQ404" i="24"/>
  <c r="AM404" i="24"/>
  <c r="AI404" i="24"/>
  <c r="AE404" i="24"/>
  <c r="AA404" i="24"/>
  <c r="W404" i="24"/>
  <c r="S404" i="24"/>
  <c r="O404" i="24"/>
  <c r="K404" i="24"/>
  <c r="G404" i="24"/>
  <c r="C404" i="24"/>
  <c r="BK403" i="24"/>
  <c r="BG403" i="24"/>
  <c r="BC403" i="24"/>
  <c r="AY403" i="24"/>
  <c r="AU403" i="24"/>
  <c r="AQ403" i="24"/>
  <c r="AM403" i="24"/>
  <c r="AI403" i="24"/>
  <c r="AE403" i="24"/>
  <c r="AA403" i="24"/>
  <c r="W403" i="24"/>
  <c r="S403" i="24"/>
  <c r="O403" i="24"/>
  <c r="K403" i="24"/>
  <c r="G403" i="24"/>
  <c r="C403" i="24"/>
  <c r="BK402" i="24"/>
  <c r="BG402" i="24"/>
  <c r="BC402" i="24"/>
  <c r="AY402" i="24"/>
  <c r="AU402" i="24"/>
  <c r="AQ402" i="24"/>
  <c r="AM402" i="24"/>
  <c r="AI402" i="24"/>
  <c r="AE402" i="24"/>
  <c r="AA402" i="24"/>
  <c r="W402" i="24"/>
  <c r="S402" i="24"/>
  <c r="O402" i="24"/>
  <c r="K402" i="24"/>
  <c r="G402" i="24"/>
  <c r="C402" i="24"/>
  <c r="BK401" i="24"/>
  <c r="BG401" i="24"/>
  <c r="BC401" i="24"/>
  <c r="AY401" i="24"/>
  <c r="AU401" i="24"/>
  <c r="AQ401" i="24"/>
  <c r="AM401" i="24"/>
  <c r="AI401" i="24"/>
  <c r="AE401" i="24"/>
  <c r="AA401" i="24"/>
  <c r="W401" i="24"/>
  <c r="S401" i="24"/>
  <c r="O401" i="24"/>
  <c r="K401" i="24"/>
  <c r="G401" i="24"/>
  <c r="C401" i="24"/>
  <c r="BK400" i="24"/>
  <c r="BG400" i="24"/>
  <c r="BC400" i="24"/>
  <c r="AY400" i="24"/>
  <c r="AU400" i="24"/>
  <c r="AQ400" i="24"/>
  <c r="AM400" i="24"/>
  <c r="AI400" i="24"/>
  <c r="AE400" i="24"/>
  <c r="AA400" i="24"/>
  <c r="W400" i="24"/>
  <c r="S400" i="24"/>
  <c r="O400" i="24"/>
  <c r="K400" i="24"/>
  <c r="G400" i="24"/>
  <c r="C400" i="24"/>
  <c r="BK399" i="24"/>
  <c r="BG399" i="24"/>
  <c r="BC399" i="24"/>
  <c r="AY399" i="24"/>
  <c r="AU399" i="24"/>
  <c r="AQ399" i="24"/>
  <c r="AM399" i="24"/>
  <c r="AI399" i="24"/>
  <c r="AE399" i="24"/>
  <c r="AA399" i="24"/>
  <c r="W399" i="24"/>
  <c r="S399" i="24"/>
  <c r="O399" i="24"/>
  <c r="K399" i="24"/>
  <c r="G399" i="24"/>
  <c r="C399" i="24"/>
  <c r="BK398" i="24"/>
  <c r="BG398" i="24"/>
  <c r="BC398" i="24"/>
  <c r="AY398" i="24"/>
  <c r="AU398" i="24"/>
  <c r="AQ398" i="24"/>
  <c r="AM398" i="24"/>
  <c r="AI398" i="24"/>
  <c r="AE398" i="24"/>
  <c r="AA398" i="24"/>
  <c r="W398" i="24"/>
  <c r="S398" i="24"/>
  <c r="O398" i="24"/>
  <c r="K398" i="24"/>
  <c r="G398" i="24"/>
  <c r="C398" i="24"/>
  <c r="BK397" i="24"/>
  <c r="BG397" i="24"/>
  <c r="BC397" i="24"/>
  <c r="AY397" i="24"/>
  <c r="AU397" i="24"/>
  <c r="AQ397" i="24"/>
  <c r="AM397" i="24"/>
  <c r="AI397" i="24"/>
  <c r="AE397" i="24"/>
  <c r="AA397" i="24"/>
  <c r="W397" i="24"/>
  <c r="S397" i="24"/>
  <c r="O397" i="24"/>
  <c r="K397" i="24"/>
  <c r="G397" i="24"/>
  <c r="C397" i="24"/>
  <c r="BK396" i="24"/>
  <c r="BG396" i="24"/>
  <c r="BC396" i="24"/>
  <c r="AY396" i="24"/>
  <c r="AU396" i="24"/>
  <c r="AQ396" i="24"/>
  <c r="AM396" i="24"/>
  <c r="AI396" i="24"/>
  <c r="AE396" i="24"/>
  <c r="AA396" i="24"/>
  <c r="W396" i="24"/>
  <c r="S396" i="24"/>
  <c r="O396" i="24"/>
  <c r="K396" i="24"/>
  <c r="G396" i="24"/>
  <c r="C396" i="24"/>
  <c r="BK395" i="24"/>
  <c r="BG395" i="24"/>
  <c r="BC395" i="24"/>
  <c r="AY395" i="24"/>
  <c r="AU395" i="24"/>
  <c r="AQ395" i="24"/>
  <c r="AM395" i="24"/>
  <c r="AI395" i="24"/>
  <c r="AE395" i="24"/>
  <c r="AA395" i="24"/>
  <c r="W395" i="24"/>
  <c r="S395" i="24"/>
  <c r="O395" i="24"/>
  <c r="K395" i="24"/>
  <c r="G395" i="24"/>
  <c r="C395" i="24"/>
  <c r="BK394" i="24"/>
  <c r="BG394" i="24"/>
  <c r="BC394" i="24"/>
  <c r="AY394" i="24"/>
  <c r="AU394" i="24"/>
  <c r="AQ394" i="24"/>
  <c r="AM394" i="24"/>
  <c r="AI394" i="24"/>
  <c r="AE394" i="24"/>
  <c r="AA394" i="24"/>
  <c r="W394" i="24"/>
  <c r="S394" i="24"/>
  <c r="O394" i="24"/>
  <c r="K394" i="24"/>
  <c r="G394" i="24"/>
  <c r="C394" i="24"/>
  <c r="BK393" i="24"/>
  <c r="BG393" i="24"/>
  <c r="BC393" i="24"/>
  <c r="AY393" i="24"/>
  <c r="AU393" i="24"/>
  <c r="AQ393" i="24"/>
  <c r="AM393" i="24"/>
  <c r="AI393" i="24"/>
  <c r="AE393" i="24"/>
  <c r="AA393" i="24"/>
  <c r="W393" i="24"/>
  <c r="S393" i="24"/>
  <c r="O393" i="24"/>
  <c r="K393" i="24"/>
  <c r="G393" i="24"/>
  <c r="C393" i="24"/>
  <c r="BK392" i="24"/>
  <c r="BG392" i="24"/>
  <c r="BC392" i="24"/>
  <c r="AY392" i="24"/>
  <c r="AU392" i="24"/>
  <c r="AQ392" i="24"/>
  <c r="AM392" i="24"/>
  <c r="AI392" i="24"/>
  <c r="AE392" i="24"/>
  <c r="AA392" i="24"/>
  <c r="W392" i="24"/>
  <c r="S392" i="24"/>
  <c r="O392" i="24"/>
  <c r="K392" i="24"/>
  <c r="G392" i="24"/>
  <c r="C392" i="24"/>
  <c r="BK391" i="24"/>
  <c r="BG391" i="24"/>
  <c r="BC391" i="24"/>
  <c r="AY391" i="24"/>
  <c r="AU391" i="24"/>
  <c r="AQ391" i="24"/>
  <c r="AM391" i="24"/>
  <c r="AI391" i="24"/>
  <c r="AE391" i="24"/>
  <c r="AA391" i="24"/>
  <c r="W391" i="24"/>
  <c r="S391" i="24"/>
  <c r="O391" i="24"/>
  <c r="K391" i="24"/>
  <c r="G391" i="24"/>
  <c r="C391" i="24"/>
  <c r="BK390" i="24"/>
  <c r="BG390" i="24"/>
  <c r="BC390" i="24"/>
  <c r="AY390" i="24"/>
  <c r="AU390" i="24"/>
  <c r="AQ390" i="24"/>
  <c r="AM390" i="24"/>
  <c r="AI390" i="24"/>
  <c r="AE390" i="24"/>
  <c r="AA390" i="24"/>
  <c r="W390" i="24"/>
  <c r="S390" i="24"/>
  <c r="O390" i="24"/>
  <c r="K390" i="24"/>
  <c r="G390" i="24"/>
  <c r="C390" i="24"/>
  <c r="BK389" i="24"/>
  <c r="BG389" i="24"/>
  <c r="BC389" i="24"/>
  <c r="AY389" i="24"/>
  <c r="AU389" i="24"/>
  <c r="AQ389" i="24"/>
  <c r="AM389" i="24"/>
  <c r="AI389" i="24"/>
  <c r="AE389" i="24"/>
  <c r="AA389" i="24"/>
  <c r="W389" i="24"/>
  <c r="S389" i="24"/>
  <c r="O389" i="24"/>
  <c r="K389" i="24"/>
  <c r="G389" i="24"/>
  <c r="C389" i="24"/>
  <c r="BK388" i="24"/>
  <c r="BG388" i="24"/>
  <c r="BC388" i="24"/>
  <c r="AY388" i="24"/>
  <c r="AU388" i="24"/>
  <c r="AQ388" i="24"/>
  <c r="AM388" i="24"/>
  <c r="AI388" i="24"/>
  <c r="AE388" i="24"/>
  <c r="AA388" i="24"/>
  <c r="W388" i="24"/>
  <c r="S388" i="24"/>
  <c r="O388" i="24"/>
  <c r="K388" i="24"/>
  <c r="G388" i="24"/>
  <c r="C388" i="24"/>
  <c r="BK387" i="24"/>
  <c r="BG387" i="24"/>
  <c r="BC387" i="24"/>
  <c r="AY387" i="24"/>
  <c r="AU387" i="24"/>
  <c r="AQ387" i="24"/>
  <c r="AM387" i="24"/>
  <c r="AI387" i="24"/>
  <c r="AE387" i="24"/>
  <c r="AA387" i="24"/>
  <c r="W387" i="24"/>
  <c r="S387" i="24"/>
  <c r="O387" i="24"/>
  <c r="K387" i="24"/>
  <c r="G387" i="24"/>
  <c r="C387" i="24"/>
  <c r="BK386" i="24"/>
  <c r="BG386" i="24"/>
  <c r="BC386" i="24"/>
  <c r="AY386" i="24"/>
  <c r="AU386" i="24"/>
  <c r="AQ386" i="24"/>
  <c r="AM386" i="24"/>
  <c r="AI386" i="24"/>
  <c r="AE386" i="24"/>
  <c r="AA386" i="24"/>
  <c r="W386" i="24"/>
  <c r="S386" i="24"/>
  <c r="O386" i="24"/>
  <c r="K386" i="24"/>
  <c r="G386" i="24"/>
  <c r="C386" i="24"/>
  <c r="BK385" i="24"/>
  <c r="BG385" i="24"/>
  <c r="BC385" i="24"/>
  <c r="AY385" i="24"/>
  <c r="AU385" i="24"/>
  <c r="AQ385" i="24"/>
  <c r="AM385" i="24"/>
  <c r="AI385" i="24"/>
  <c r="AE385" i="24"/>
  <c r="AA385" i="24"/>
  <c r="W385" i="24"/>
  <c r="S385" i="24"/>
  <c r="O385" i="24"/>
  <c r="K385" i="24"/>
  <c r="G385" i="24"/>
  <c r="C385" i="24"/>
  <c r="BK384" i="24"/>
  <c r="BG384" i="24"/>
  <c r="BC384" i="24"/>
  <c r="AY384" i="24"/>
  <c r="AU384" i="24"/>
  <c r="AQ384" i="24"/>
  <c r="AM384" i="24"/>
  <c r="AI384" i="24"/>
  <c r="AE384" i="24"/>
  <c r="AA384" i="24"/>
  <c r="W384" i="24"/>
  <c r="S384" i="24"/>
  <c r="O384" i="24"/>
  <c r="K384" i="24"/>
  <c r="G384" i="24"/>
  <c r="C384" i="24"/>
  <c r="BK383" i="24"/>
  <c r="BG383" i="24"/>
  <c r="BC383" i="24"/>
  <c r="AY383" i="24"/>
  <c r="AU383" i="24"/>
  <c r="AQ383" i="24"/>
  <c r="AM383" i="24"/>
  <c r="AI383" i="24"/>
  <c r="AE383" i="24"/>
  <c r="AA383" i="24"/>
  <c r="W383" i="24"/>
  <c r="S383" i="24"/>
  <c r="O383" i="24"/>
  <c r="K383" i="24"/>
  <c r="G383" i="24"/>
  <c r="C383" i="24"/>
  <c r="BK382" i="24"/>
  <c r="BG382" i="24"/>
  <c r="BC382" i="24"/>
  <c r="AY382" i="24"/>
  <c r="AU382" i="24"/>
  <c r="AQ382" i="24"/>
  <c r="AM382" i="24"/>
  <c r="AI382" i="24"/>
  <c r="AE382" i="24"/>
  <c r="AA382" i="24"/>
  <c r="W382" i="24"/>
  <c r="S382" i="24"/>
  <c r="O382" i="24"/>
  <c r="K382" i="24"/>
  <c r="G382" i="24"/>
  <c r="C382" i="24"/>
  <c r="BK381" i="24"/>
  <c r="BG381" i="24"/>
  <c r="BC381" i="24"/>
  <c r="AY381" i="24"/>
  <c r="AU381" i="24"/>
  <c r="AQ381" i="24"/>
  <c r="AM381" i="24"/>
  <c r="AI381" i="24"/>
  <c r="AE381" i="24"/>
  <c r="AA381" i="24"/>
  <c r="W381" i="24"/>
  <c r="S381" i="24"/>
  <c r="O381" i="24"/>
  <c r="K381" i="24"/>
  <c r="G381" i="24"/>
  <c r="C381" i="24"/>
  <c r="BK380" i="24"/>
  <c r="BG380" i="24"/>
  <c r="BC380" i="24"/>
  <c r="AY380" i="24"/>
  <c r="AU380" i="24"/>
  <c r="AQ380" i="24"/>
  <c r="AM380" i="24"/>
  <c r="AI380" i="24"/>
  <c r="AE380" i="24"/>
  <c r="AA380" i="24"/>
  <c r="W380" i="24"/>
  <c r="S380" i="24"/>
  <c r="O380" i="24"/>
  <c r="K380" i="24"/>
  <c r="G380" i="24"/>
  <c r="C380" i="24"/>
  <c r="BK379" i="24"/>
  <c r="BG379" i="24"/>
  <c r="BC379" i="24"/>
  <c r="AY379" i="24"/>
  <c r="AU379" i="24"/>
  <c r="AQ379" i="24"/>
  <c r="AM379" i="24"/>
  <c r="AI379" i="24"/>
  <c r="AE379" i="24"/>
  <c r="AA379" i="24"/>
  <c r="W379" i="24"/>
  <c r="S379" i="24"/>
  <c r="O379" i="24"/>
  <c r="K379" i="24"/>
  <c r="G379" i="24"/>
  <c r="C379" i="24"/>
  <c r="BK378" i="24"/>
  <c r="BG378" i="24"/>
  <c r="BC378" i="24"/>
  <c r="AY378" i="24"/>
  <c r="AU378" i="24"/>
  <c r="AQ378" i="24"/>
  <c r="AM378" i="24"/>
  <c r="AI378" i="24"/>
  <c r="AE378" i="24"/>
  <c r="AA378" i="24"/>
  <c r="W378" i="24"/>
  <c r="S378" i="24"/>
  <c r="O378" i="24"/>
  <c r="K378" i="24"/>
  <c r="G378" i="24"/>
  <c r="C378" i="24"/>
  <c r="BK377" i="24"/>
  <c r="BG377" i="24"/>
  <c r="BC377" i="24"/>
  <c r="AY377" i="24"/>
  <c r="AU377" i="24"/>
  <c r="AQ377" i="24"/>
  <c r="AM377" i="24"/>
  <c r="AI377" i="24"/>
  <c r="AE377" i="24"/>
  <c r="AA377" i="24"/>
  <c r="W377" i="24"/>
  <c r="S377" i="24"/>
  <c r="O377" i="24"/>
  <c r="K377" i="24"/>
  <c r="G377" i="24"/>
  <c r="C377" i="24"/>
  <c r="BK376" i="24"/>
  <c r="BG376" i="24"/>
  <c r="BC376" i="24"/>
  <c r="AY376" i="24"/>
  <c r="AU376" i="24"/>
  <c r="AQ376" i="24"/>
  <c r="AM376" i="24"/>
  <c r="AI376" i="24"/>
  <c r="AE376" i="24"/>
  <c r="AA376" i="24"/>
  <c r="W376" i="24"/>
  <c r="S376" i="24"/>
  <c r="O376" i="24"/>
  <c r="K376" i="24"/>
  <c r="G376" i="24"/>
  <c r="C376" i="24"/>
  <c r="BK375" i="24"/>
  <c r="BG375" i="24"/>
  <c r="BC375" i="24"/>
  <c r="AY375" i="24"/>
  <c r="AU375" i="24"/>
  <c r="AQ375" i="24"/>
  <c r="AM375" i="24"/>
  <c r="AI375" i="24"/>
  <c r="AE375" i="24"/>
  <c r="AA375" i="24"/>
  <c r="W375" i="24"/>
  <c r="S375" i="24"/>
  <c r="O375" i="24"/>
  <c r="K375" i="24"/>
  <c r="G375" i="24"/>
  <c r="C375" i="24"/>
  <c r="BK374" i="24"/>
  <c r="BG374" i="24"/>
  <c r="BC374" i="24"/>
  <c r="AY374" i="24"/>
  <c r="AU374" i="24"/>
  <c r="AQ374" i="24"/>
  <c r="AM374" i="24"/>
  <c r="AI374" i="24"/>
  <c r="AE374" i="24"/>
  <c r="AA374" i="24"/>
  <c r="W374" i="24"/>
  <c r="S374" i="24"/>
  <c r="O374" i="24"/>
  <c r="K374" i="24"/>
  <c r="G374" i="24"/>
  <c r="C374" i="24"/>
  <c r="BK373" i="24"/>
  <c r="BG373" i="24"/>
  <c r="BC373" i="24"/>
  <c r="AY373" i="24"/>
  <c r="AU373" i="24"/>
  <c r="AQ373" i="24"/>
  <c r="AM373" i="24"/>
  <c r="AI373" i="24"/>
  <c r="AE373" i="24"/>
  <c r="AA373" i="24"/>
  <c r="W373" i="24"/>
  <c r="S373" i="24"/>
  <c r="O373" i="24"/>
  <c r="K373" i="24"/>
  <c r="G373" i="24"/>
  <c r="C373" i="24"/>
  <c r="BK372" i="24"/>
  <c r="BG372" i="24"/>
  <c r="BC372" i="24"/>
  <c r="AY372" i="24"/>
  <c r="AU372" i="24"/>
  <c r="AQ372" i="24"/>
  <c r="AM372" i="24"/>
  <c r="AI372" i="24"/>
  <c r="AE372" i="24"/>
  <c r="AA372" i="24"/>
  <c r="W372" i="24"/>
  <c r="S372" i="24"/>
  <c r="O372" i="24"/>
  <c r="K372" i="24"/>
  <c r="G372" i="24"/>
  <c r="C372" i="24"/>
  <c r="BK371" i="24"/>
  <c r="BG371" i="24"/>
  <c r="BC371" i="24"/>
  <c r="AY371" i="24"/>
  <c r="AU371" i="24"/>
  <c r="AQ371" i="24"/>
  <c r="AM371" i="24"/>
  <c r="AI371" i="24"/>
  <c r="AE371" i="24"/>
  <c r="AA371" i="24"/>
  <c r="W371" i="24"/>
  <c r="S371" i="24"/>
  <c r="O371" i="24"/>
  <c r="K371" i="24"/>
  <c r="G371" i="24"/>
  <c r="C371" i="24"/>
  <c r="BK370" i="24"/>
  <c r="BG370" i="24"/>
  <c r="BC370" i="24"/>
  <c r="AY370" i="24"/>
  <c r="AU370" i="24"/>
  <c r="AQ370" i="24"/>
  <c r="AM370" i="24"/>
  <c r="AI370" i="24"/>
  <c r="AE370" i="24"/>
  <c r="AA370" i="24"/>
  <c r="W370" i="24"/>
  <c r="S370" i="24"/>
  <c r="O370" i="24"/>
  <c r="K370" i="24"/>
  <c r="G370" i="24"/>
  <c r="C370" i="24"/>
  <c r="BK369" i="24"/>
  <c r="BG369" i="24"/>
  <c r="BC369" i="24"/>
  <c r="AY369" i="24"/>
  <c r="AU369" i="24"/>
  <c r="AQ369" i="24"/>
  <c r="AM369" i="24"/>
  <c r="AI369" i="24"/>
  <c r="AE369" i="24"/>
  <c r="AA369" i="24"/>
  <c r="W369" i="24"/>
  <c r="S369" i="24"/>
  <c r="O369" i="24"/>
  <c r="K369" i="24"/>
  <c r="G369" i="24"/>
  <c r="C369" i="24"/>
  <c r="BK368" i="24"/>
  <c r="BG368" i="24"/>
  <c r="BC368" i="24"/>
  <c r="AY368" i="24"/>
  <c r="AU368" i="24"/>
  <c r="AQ368" i="24"/>
  <c r="AM368" i="24"/>
  <c r="AI368" i="24"/>
  <c r="AE368" i="24"/>
  <c r="AA368" i="24"/>
  <c r="W368" i="24"/>
  <c r="S368" i="24"/>
  <c r="O368" i="24"/>
  <c r="K368" i="24"/>
  <c r="G368" i="24"/>
  <c r="C368" i="24"/>
  <c r="BK367" i="24"/>
  <c r="BG367" i="24"/>
  <c r="BC367" i="24"/>
  <c r="AY367" i="24"/>
  <c r="AU367" i="24"/>
  <c r="AQ367" i="24"/>
  <c r="AM367" i="24"/>
  <c r="AI367" i="24"/>
  <c r="AE367" i="24"/>
  <c r="AA367" i="24"/>
  <c r="W367" i="24"/>
  <c r="S367" i="24"/>
  <c r="O367" i="24"/>
  <c r="K367" i="24"/>
  <c r="G367" i="24"/>
  <c r="C367" i="24"/>
  <c r="BK366" i="24"/>
  <c r="BG366" i="24"/>
  <c r="BC366" i="24"/>
  <c r="AY366" i="24"/>
  <c r="AU366" i="24"/>
  <c r="AQ366" i="24"/>
  <c r="AM366" i="24"/>
  <c r="AI366" i="24"/>
  <c r="AE366" i="24"/>
  <c r="AA366" i="24"/>
  <c r="W366" i="24"/>
  <c r="S366" i="24"/>
  <c r="O366" i="24"/>
  <c r="K366" i="24"/>
  <c r="G366" i="24"/>
  <c r="C366" i="24"/>
  <c r="BK365" i="24"/>
  <c r="BG365" i="24"/>
  <c r="BC365" i="24"/>
  <c r="AY365" i="24"/>
  <c r="AU365" i="24"/>
  <c r="AQ365" i="24"/>
  <c r="AM365" i="24"/>
  <c r="AI365" i="24"/>
  <c r="AE365" i="24"/>
  <c r="AA365" i="24"/>
  <c r="W365" i="24"/>
  <c r="S365" i="24"/>
  <c r="O365" i="24"/>
  <c r="K365" i="24"/>
  <c r="G365" i="24"/>
  <c r="C365" i="24"/>
  <c r="BK364" i="24"/>
  <c r="BG364" i="24"/>
  <c r="BC364" i="24"/>
  <c r="AY364" i="24"/>
  <c r="AU364" i="24"/>
  <c r="AQ364" i="24"/>
  <c r="AM364" i="24"/>
  <c r="AI364" i="24"/>
  <c r="AE364" i="24"/>
  <c r="AA364" i="24"/>
  <c r="W364" i="24"/>
  <c r="S364" i="24"/>
  <c r="O364" i="24"/>
  <c r="K364" i="24"/>
  <c r="G364" i="24"/>
  <c r="C364" i="24"/>
  <c r="BK363" i="24"/>
  <c r="BG363" i="24"/>
  <c r="BC363" i="24"/>
  <c r="AY363" i="24"/>
  <c r="AU363" i="24"/>
  <c r="AQ363" i="24"/>
  <c r="AM363" i="24"/>
  <c r="AI363" i="24"/>
  <c r="AE363" i="24"/>
  <c r="AA363" i="24"/>
  <c r="W363" i="24"/>
  <c r="S363" i="24"/>
  <c r="O363" i="24"/>
  <c r="K363" i="24"/>
  <c r="G363" i="24"/>
  <c r="C363" i="24"/>
  <c r="BK362" i="24"/>
  <c r="BG362" i="24"/>
  <c r="BC362" i="24"/>
  <c r="AY362" i="24"/>
  <c r="AU362" i="24"/>
  <c r="AQ362" i="24"/>
  <c r="AM362" i="24"/>
  <c r="AI362" i="24"/>
  <c r="AE362" i="24"/>
  <c r="AA362" i="24"/>
  <c r="W362" i="24"/>
  <c r="S362" i="24"/>
  <c r="O362" i="24"/>
  <c r="K362" i="24"/>
  <c r="G362" i="24"/>
  <c r="C362" i="24"/>
  <c r="BK361" i="24"/>
  <c r="BG361" i="24"/>
  <c r="BC361" i="24"/>
  <c r="AY361" i="24"/>
  <c r="AU361" i="24"/>
  <c r="AQ361" i="24"/>
  <c r="AM361" i="24"/>
  <c r="AI361" i="24"/>
  <c r="AE361" i="24"/>
  <c r="AA361" i="24"/>
  <c r="W361" i="24"/>
  <c r="S361" i="24"/>
  <c r="O361" i="24"/>
  <c r="K361" i="24"/>
  <c r="G361" i="24"/>
  <c r="C361" i="24"/>
  <c r="BK360" i="24"/>
  <c r="BG360" i="24"/>
  <c r="BC360" i="24"/>
  <c r="AY360" i="24"/>
  <c r="AU360" i="24"/>
  <c r="AQ360" i="24"/>
  <c r="AM360" i="24"/>
  <c r="AI360" i="24"/>
  <c r="AE360" i="24"/>
  <c r="AA360" i="24"/>
  <c r="W360" i="24"/>
  <c r="S360" i="24"/>
  <c r="O360" i="24"/>
  <c r="K360" i="24"/>
  <c r="G360" i="24"/>
  <c r="C360" i="24"/>
  <c r="BK359" i="24"/>
  <c r="BG359" i="24"/>
  <c r="BC359" i="24"/>
  <c r="AY359" i="24"/>
  <c r="AU359" i="24"/>
  <c r="AQ359" i="24"/>
  <c r="AM359" i="24"/>
  <c r="AI359" i="24"/>
  <c r="AE359" i="24"/>
  <c r="AA359" i="24"/>
  <c r="W359" i="24"/>
  <c r="S359" i="24"/>
  <c r="O359" i="24"/>
  <c r="K359" i="24"/>
  <c r="G359" i="24"/>
  <c r="C359" i="24"/>
  <c r="BK358" i="24"/>
  <c r="BG358" i="24"/>
  <c r="BC358" i="24"/>
  <c r="AY358" i="24"/>
  <c r="AU358" i="24"/>
  <c r="AQ358" i="24"/>
  <c r="AM358" i="24"/>
  <c r="AI358" i="24"/>
  <c r="AE358" i="24"/>
  <c r="AA358" i="24"/>
  <c r="W358" i="24"/>
  <c r="S358" i="24"/>
  <c r="O358" i="24"/>
  <c r="K358" i="24"/>
  <c r="G358" i="24"/>
  <c r="C358" i="24"/>
  <c r="BK357" i="24"/>
  <c r="BG357" i="24"/>
  <c r="BC357" i="24"/>
  <c r="AY357" i="24"/>
  <c r="AU357" i="24"/>
  <c r="AQ357" i="24"/>
  <c r="AM357" i="24"/>
  <c r="AI357" i="24"/>
  <c r="AE357" i="24"/>
  <c r="AA357" i="24"/>
  <c r="W357" i="24"/>
  <c r="S357" i="24"/>
  <c r="O357" i="24"/>
  <c r="K357" i="24"/>
  <c r="G357" i="24"/>
  <c r="C357" i="24"/>
  <c r="BK356" i="24"/>
  <c r="BG356" i="24"/>
  <c r="BC356" i="24"/>
  <c r="AY356" i="24"/>
  <c r="AU356" i="24"/>
  <c r="AQ356" i="24"/>
  <c r="AM356" i="24"/>
  <c r="AI356" i="24"/>
  <c r="AE356" i="24"/>
  <c r="AA356" i="24"/>
  <c r="W356" i="24"/>
  <c r="S356" i="24"/>
  <c r="O356" i="24"/>
  <c r="K356" i="24"/>
  <c r="G356" i="24"/>
  <c r="C356" i="24"/>
  <c r="BK355" i="24"/>
  <c r="BG355" i="24"/>
  <c r="BC355" i="24"/>
  <c r="AY355" i="24"/>
  <c r="AU355" i="24"/>
  <c r="AQ355" i="24"/>
  <c r="AM355" i="24"/>
  <c r="AI355" i="24"/>
  <c r="AE355" i="24"/>
  <c r="AA355" i="24"/>
  <c r="W355" i="24"/>
  <c r="S355" i="24"/>
  <c r="O355" i="24"/>
  <c r="K355" i="24"/>
  <c r="G355" i="24"/>
  <c r="C355" i="24"/>
  <c r="BK354" i="24"/>
  <c r="BG354" i="24"/>
  <c r="BC354" i="24"/>
  <c r="AY354" i="24"/>
  <c r="AU354" i="24"/>
  <c r="AQ354" i="24"/>
  <c r="AM354" i="24"/>
  <c r="AI354" i="24"/>
  <c r="AE354" i="24"/>
  <c r="AA354" i="24"/>
  <c r="W354" i="24"/>
  <c r="S354" i="24"/>
  <c r="O354" i="24"/>
  <c r="K354" i="24"/>
  <c r="G354" i="24"/>
  <c r="C354" i="24"/>
  <c r="BK353" i="24"/>
  <c r="BG353" i="24"/>
  <c r="BC353" i="24"/>
  <c r="AY353" i="24"/>
  <c r="AU353" i="24"/>
  <c r="AQ353" i="24"/>
  <c r="AM353" i="24"/>
  <c r="AI353" i="24"/>
  <c r="AE353" i="24"/>
  <c r="AA353" i="24"/>
  <c r="W353" i="24"/>
  <c r="S353" i="24"/>
  <c r="O353" i="24"/>
  <c r="K353" i="24"/>
  <c r="G353" i="24"/>
  <c r="C353" i="24"/>
  <c r="BK352" i="24"/>
  <c r="BG352" i="24"/>
  <c r="BC352" i="24"/>
  <c r="AY352" i="24"/>
  <c r="AU352" i="24"/>
  <c r="AQ352" i="24"/>
  <c r="AM352" i="24"/>
  <c r="AI352" i="24"/>
  <c r="AE352" i="24"/>
  <c r="AA352" i="24"/>
  <c r="W352" i="24"/>
  <c r="S352" i="24"/>
  <c r="O352" i="24"/>
  <c r="K352" i="24"/>
  <c r="G352" i="24"/>
  <c r="C352" i="24"/>
  <c r="BK351" i="24"/>
  <c r="BG351" i="24"/>
  <c r="BC351" i="24"/>
  <c r="AY351" i="24"/>
  <c r="AU351" i="24"/>
  <c r="AQ351" i="24"/>
  <c r="AM351" i="24"/>
  <c r="AI351" i="24"/>
  <c r="AE351" i="24"/>
  <c r="AA351" i="24"/>
  <c r="W351" i="24"/>
  <c r="S351" i="24"/>
  <c r="O351" i="24"/>
  <c r="K351" i="24"/>
  <c r="G351" i="24"/>
  <c r="C351" i="24"/>
  <c r="BK350" i="24"/>
  <c r="BG350" i="24"/>
  <c r="BC350" i="24"/>
  <c r="AY350" i="24"/>
  <c r="AU350" i="24"/>
  <c r="AQ350" i="24"/>
  <c r="AM350" i="24"/>
  <c r="AI350" i="24"/>
  <c r="AE350" i="24"/>
  <c r="AA350" i="24"/>
  <c r="W350" i="24"/>
  <c r="S350" i="24"/>
  <c r="O350" i="24"/>
  <c r="K350" i="24"/>
  <c r="G350" i="24"/>
  <c r="C350" i="24"/>
  <c r="BK349" i="24"/>
  <c r="BG349" i="24"/>
  <c r="BC349" i="24"/>
  <c r="AY349" i="24"/>
  <c r="AU349" i="24"/>
  <c r="AQ349" i="24"/>
  <c r="AM349" i="24"/>
  <c r="AI349" i="24"/>
  <c r="AE349" i="24"/>
  <c r="AA349" i="24"/>
  <c r="W349" i="24"/>
  <c r="S349" i="24"/>
  <c r="O349" i="24"/>
  <c r="K349" i="24"/>
  <c r="G349" i="24"/>
  <c r="C349" i="24"/>
  <c r="BK348" i="24"/>
  <c r="BG348" i="24"/>
  <c r="BC348" i="24"/>
  <c r="AY348" i="24"/>
  <c r="AU348" i="24"/>
  <c r="AQ348" i="24"/>
  <c r="AM348" i="24"/>
  <c r="AI348" i="24"/>
  <c r="AE348" i="24"/>
  <c r="AA348" i="24"/>
  <c r="W348" i="24"/>
  <c r="S348" i="24"/>
  <c r="O348" i="24"/>
  <c r="K348" i="24"/>
  <c r="G348" i="24"/>
  <c r="C348" i="24"/>
  <c r="BK347" i="24"/>
  <c r="BG347" i="24"/>
  <c r="BC347" i="24"/>
  <c r="AY347" i="24"/>
  <c r="AU347" i="24"/>
  <c r="AQ347" i="24"/>
  <c r="AM347" i="24"/>
  <c r="AI347" i="24"/>
  <c r="AE347" i="24"/>
  <c r="AA347" i="24"/>
  <c r="W347" i="24"/>
  <c r="S347" i="24"/>
  <c r="O347" i="24"/>
  <c r="K347" i="24"/>
  <c r="G347" i="24"/>
  <c r="C347" i="24"/>
  <c r="BK346" i="24"/>
  <c r="BG346" i="24"/>
  <c r="BC346" i="24"/>
  <c r="AY346" i="24"/>
  <c r="AU346" i="24"/>
  <c r="AQ346" i="24"/>
  <c r="AM346" i="24"/>
  <c r="AI346" i="24"/>
  <c r="AE346" i="24"/>
  <c r="AA346" i="24"/>
  <c r="W346" i="24"/>
  <c r="S346" i="24"/>
  <c r="O346" i="24"/>
  <c r="K346" i="24"/>
  <c r="G346" i="24"/>
  <c r="C346" i="24"/>
  <c r="BK345" i="24"/>
  <c r="BG345" i="24"/>
  <c r="BC345" i="24"/>
  <c r="AY345" i="24"/>
  <c r="AU345" i="24"/>
  <c r="AQ345" i="24"/>
  <c r="AM345" i="24"/>
  <c r="AI345" i="24"/>
  <c r="AE345" i="24"/>
  <c r="AA345" i="24"/>
  <c r="W345" i="24"/>
  <c r="S345" i="24"/>
  <c r="O345" i="24"/>
  <c r="K345" i="24"/>
  <c r="G345" i="24"/>
  <c r="C345" i="24"/>
  <c r="BK344" i="24"/>
  <c r="BG344" i="24"/>
  <c r="BC344" i="24"/>
  <c r="AY344" i="24"/>
  <c r="AU344" i="24"/>
  <c r="AQ344" i="24"/>
  <c r="AM344" i="24"/>
  <c r="AI344" i="24"/>
  <c r="AE344" i="24"/>
  <c r="AA344" i="24"/>
  <c r="W344" i="24"/>
  <c r="S344" i="24"/>
  <c r="O344" i="24"/>
  <c r="K344" i="24"/>
  <c r="G344" i="24"/>
  <c r="C344" i="24"/>
  <c r="BK343" i="24"/>
  <c r="BG343" i="24"/>
  <c r="BC343" i="24"/>
  <c r="AY343" i="24"/>
  <c r="AU343" i="24"/>
  <c r="AQ343" i="24"/>
  <c r="AM343" i="24"/>
  <c r="AI343" i="24"/>
  <c r="AE343" i="24"/>
  <c r="AA343" i="24"/>
  <c r="W343" i="24"/>
  <c r="S343" i="24"/>
  <c r="O343" i="24"/>
  <c r="K343" i="24"/>
  <c r="G343" i="24"/>
  <c r="C343" i="24"/>
  <c r="BK342" i="24"/>
  <c r="BG342" i="24"/>
  <c r="BC342" i="24"/>
  <c r="AY342" i="24"/>
  <c r="AU342" i="24"/>
  <c r="AQ342" i="24"/>
  <c r="AM342" i="24"/>
  <c r="AI342" i="24"/>
  <c r="AE342" i="24"/>
  <c r="AA342" i="24"/>
  <c r="W342" i="24"/>
  <c r="S342" i="24"/>
  <c r="O342" i="24"/>
  <c r="K342" i="24"/>
  <c r="G342" i="24"/>
  <c r="C342" i="24"/>
  <c r="BK341" i="24"/>
  <c r="BG341" i="24"/>
  <c r="BC341" i="24"/>
  <c r="AY341" i="24"/>
  <c r="AU341" i="24"/>
  <c r="AQ341" i="24"/>
  <c r="AM341" i="24"/>
  <c r="AI341" i="24"/>
  <c r="AE341" i="24"/>
  <c r="AA341" i="24"/>
  <c r="W341" i="24"/>
  <c r="S341" i="24"/>
  <c r="O341" i="24"/>
  <c r="K341" i="24"/>
  <c r="G341" i="24"/>
  <c r="C341" i="24"/>
  <c r="BK340" i="24"/>
  <c r="BG340" i="24"/>
  <c r="BC340" i="24"/>
  <c r="AY340" i="24"/>
  <c r="AU340" i="24"/>
  <c r="AQ340" i="24"/>
  <c r="AM340" i="24"/>
  <c r="AI340" i="24"/>
  <c r="AE340" i="24"/>
  <c r="AA340" i="24"/>
  <c r="W340" i="24"/>
  <c r="S340" i="24"/>
  <c r="O340" i="24"/>
  <c r="K340" i="24"/>
  <c r="G340" i="24"/>
  <c r="C340" i="24"/>
  <c r="BK339" i="24"/>
  <c r="BG339" i="24"/>
  <c r="BC339" i="24"/>
  <c r="AY339" i="24"/>
  <c r="AU339" i="24"/>
  <c r="AQ339" i="24"/>
  <c r="AM339" i="24"/>
  <c r="AI339" i="24"/>
  <c r="AE339" i="24"/>
  <c r="AA339" i="24"/>
  <c r="W339" i="24"/>
  <c r="S339" i="24"/>
  <c r="O339" i="24"/>
  <c r="K339" i="24"/>
  <c r="G339" i="24"/>
  <c r="C339" i="24"/>
  <c r="BK338" i="24"/>
  <c r="BG338" i="24"/>
  <c r="BC338" i="24"/>
  <c r="AY338" i="24"/>
  <c r="AU338" i="24"/>
  <c r="AQ338" i="24"/>
  <c r="AM338" i="24"/>
  <c r="AI338" i="24"/>
  <c r="AE338" i="24"/>
  <c r="AA338" i="24"/>
  <c r="W338" i="24"/>
  <c r="S338" i="24"/>
  <c r="O338" i="24"/>
  <c r="K338" i="24"/>
  <c r="G338" i="24"/>
  <c r="C338" i="24"/>
  <c r="BK337" i="24"/>
  <c r="BG337" i="24"/>
  <c r="BC337" i="24"/>
  <c r="AY337" i="24"/>
  <c r="AU337" i="24"/>
  <c r="AQ337" i="24"/>
  <c r="AM337" i="24"/>
  <c r="AI337" i="24"/>
  <c r="AE337" i="24"/>
  <c r="AA337" i="24"/>
  <c r="W337" i="24"/>
  <c r="S337" i="24"/>
  <c r="O337" i="24"/>
  <c r="K337" i="24"/>
  <c r="G337" i="24"/>
  <c r="C337" i="24"/>
  <c r="BK336" i="24"/>
  <c r="BG336" i="24"/>
  <c r="BC336" i="24"/>
  <c r="AY336" i="24"/>
  <c r="AU336" i="24"/>
  <c r="AQ336" i="24"/>
  <c r="AM336" i="24"/>
  <c r="AI336" i="24"/>
  <c r="AE336" i="24"/>
  <c r="AA336" i="24"/>
  <c r="W336" i="24"/>
  <c r="S336" i="24"/>
  <c r="O336" i="24"/>
  <c r="K336" i="24"/>
  <c r="G336" i="24"/>
  <c r="C336" i="24"/>
  <c r="BK335" i="24"/>
  <c r="BG335" i="24"/>
  <c r="BC335" i="24"/>
  <c r="AY335" i="24"/>
  <c r="AU335" i="24"/>
  <c r="AQ335" i="24"/>
  <c r="AM335" i="24"/>
  <c r="AI335" i="24"/>
  <c r="AE335" i="24"/>
  <c r="AA335" i="24"/>
  <c r="W335" i="24"/>
  <c r="S335" i="24"/>
  <c r="O335" i="24"/>
  <c r="K335" i="24"/>
  <c r="G335" i="24"/>
  <c r="C335" i="24"/>
  <c r="BK334" i="24"/>
  <c r="BG334" i="24"/>
  <c r="BC334" i="24"/>
  <c r="AY334" i="24"/>
  <c r="AU334" i="24"/>
  <c r="AQ334" i="24"/>
  <c r="AM334" i="24"/>
  <c r="AI334" i="24"/>
  <c r="AE334" i="24"/>
  <c r="AA334" i="24"/>
  <c r="W334" i="24"/>
  <c r="S334" i="24"/>
  <c r="O334" i="24"/>
  <c r="K334" i="24"/>
  <c r="G334" i="24"/>
  <c r="C334" i="24"/>
  <c r="BK333" i="24"/>
  <c r="BG333" i="24"/>
  <c r="BC333" i="24"/>
  <c r="AY333" i="24"/>
  <c r="AU333" i="24"/>
  <c r="AQ333" i="24"/>
  <c r="AM333" i="24"/>
  <c r="AI333" i="24"/>
  <c r="AE333" i="24"/>
  <c r="AA333" i="24"/>
  <c r="W333" i="24"/>
  <c r="S333" i="24"/>
  <c r="O333" i="24"/>
  <c r="K333" i="24"/>
  <c r="G333" i="24"/>
  <c r="C333" i="24"/>
  <c r="BK332" i="24"/>
  <c r="BG332" i="24"/>
  <c r="BC332" i="24"/>
  <c r="AY332" i="24"/>
  <c r="AU332" i="24"/>
  <c r="AQ332" i="24"/>
  <c r="AM332" i="24"/>
  <c r="AI332" i="24"/>
  <c r="AE332" i="24"/>
  <c r="AA332" i="24"/>
  <c r="W332" i="24"/>
  <c r="S332" i="24"/>
  <c r="O332" i="24"/>
  <c r="K332" i="24"/>
  <c r="G332" i="24"/>
  <c r="C332" i="24"/>
  <c r="BK331" i="24"/>
  <c r="BG331" i="24"/>
  <c r="BC331" i="24"/>
  <c r="AY331" i="24"/>
  <c r="AU331" i="24"/>
  <c r="AQ331" i="24"/>
  <c r="AM331" i="24"/>
  <c r="AI331" i="24"/>
  <c r="AE331" i="24"/>
  <c r="AA331" i="24"/>
  <c r="W331" i="24"/>
  <c r="S331" i="24"/>
  <c r="O331" i="24"/>
  <c r="K331" i="24"/>
  <c r="G331" i="24"/>
  <c r="C331" i="24"/>
  <c r="BK330" i="24"/>
  <c r="BG330" i="24"/>
  <c r="BC330" i="24"/>
  <c r="AY330" i="24"/>
  <c r="AU330" i="24"/>
  <c r="AQ330" i="24"/>
  <c r="AM330" i="24"/>
  <c r="AI330" i="24"/>
  <c r="AE330" i="24"/>
  <c r="AA330" i="24"/>
  <c r="W330" i="24"/>
  <c r="S330" i="24"/>
  <c r="O330" i="24"/>
  <c r="K330" i="24"/>
  <c r="G330" i="24"/>
  <c r="C330" i="24"/>
  <c r="BK329" i="24"/>
  <c r="BG329" i="24"/>
  <c r="BC329" i="24"/>
  <c r="AY329" i="24"/>
  <c r="AU329" i="24"/>
  <c r="AQ329" i="24"/>
  <c r="AM329" i="24"/>
  <c r="AI329" i="24"/>
  <c r="AE329" i="24"/>
  <c r="AA329" i="24"/>
  <c r="W329" i="24"/>
  <c r="S329" i="24"/>
  <c r="O329" i="24"/>
  <c r="K329" i="24"/>
  <c r="G329" i="24"/>
  <c r="C329" i="24"/>
  <c r="BK328" i="24"/>
  <c r="BG328" i="24"/>
  <c r="BC328" i="24"/>
  <c r="AY328" i="24"/>
  <c r="AU328" i="24"/>
  <c r="AQ328" i="24"/>
  <c r="AM328" i="24"/>
  <c r="AI328" i="24"/>
  <c r="AE328" i="24"/>
  <c r="AA328" i="24"/>
  <c r="W328" i="24"/>
  <c r="S328" i="24"/>
  <c r="O328" i="24"/>
  <c r="K328" i="24"/>
  <c r="G328" i="24"/>
  <c r="C328" i="24"/>
  <c r="BK327" i="24"/>
  <c r="BG327" i="24"/>
  <c r="BC327" i="24"/>
  <c r="AY327" i="24"/>
  <c r="AU327" i="24"/>
  <c r="AQ327" i="24"/>
  <c r="AM327" i="24"/>
  <c r="AI327" i="24"/>
  <c r="AE327" i="24"/>
  <c r="AA327" i="24"/>
  <c r="W327" i="24"/>
  <c r="S327" i="24"/>
  <c r="O327" i="24"/>
  <c r="K327" i="24"/>
  <c r="G327" i="24"/>
  <c r="C327" i="24"/>
  <c r="BK326" i="24"/>
  <c r="BG326" i="24"/>
  <c r="BC326" i="24"/>
  <c r="AY326" i="24"/>
  <c r="AU326" i="24"/>
  <c r="AQ326" i="24"/>
  <c r="AM326" i="24"/>
  <c r="AI326" i="24"/>
  <c r="AE326" i="24"/>
  <c r="AA326" i="24"/>
  <c r="W326" i="24"/>
  <c r="S326" i="24"/>
  <c r="O326" i="24"/>
  <c r="K326" i="24"/>
  <c r="G326" i="24"/>
  <c r="C326" i="24"/>
  <c r="BK325" i="24"/>
  <c r="BG325" i="24"/>
  <c r="BC325" i="24"/>
  <c r="AY325" i="24"/>
  <c r="AU325" i="24"/>
  <c r="AQ325" i="24"/>
  <c r="AM325" i="24"/>
  <c r="AI325" i="24"/>
  <c r="AE325" i="24"/>
  <c r="AA325" i="24"/>
  <c r="W325" i="24"/>
  <c r="S325" i="24"/>
  <c r="O325" i="24"/>
  <c r="K325" i="24"/>
  <c r="G325" i="24"/>
  <c r="C325" i="24"/>
  <c r="BK324" i="24"/>
  <c r="BG324" i="24"/>
  <c r="BC324" i="24"/>
  <c r="AY324" i="24"/>
  <c r="AU324" i="24"/>
  <c r="AQ324" i="24"/>
  <c r="AM324" i="24"/>
  <c r="AI324" i="24"/>
  <c r="AE324" i="24"/>
  <c r="AA324" i="24"/>
  <c r="W324" i="24"/>
  <c r="S324" i="24"/>
  <c r="O324" i="24"/>
  <c r="K324" i="24"/>
  <c r="G324" i="24"/>
  <c r="C324" i="24"/>
  <c r="BK323" i="24"/>
  <c r="BG323" i="24"/>
  <c r="BC323" i="24"/>
  <c r="AY323" i="24"/>
  <c r="AU323" i="24"/>
  <c r="AQ323" i="24"/>
  <c r="AM323" i="24"/>
  <c r="AI323" i="24"/>
  <c r="AE323" i="24"/>
  <c r="AA323" i="24"/>
  <c r="W323" i="24"/>
  <c r="S323" i="24"/>
  <c r="O323" i="24"/>
  <c r="K323" i="24"/>
  <c r="G323" i="24"/>
  <c r="C323" i="24"/>
  <c r="BK322" i="24"/>
  <c r="BG322" i="24"/>
  <c r="BC322" i="24"/>
  <c r="AY322" i="24"/>
  <c r="AU322" i="24"/>
  <c r="AQ322" i="24"/>
  <c r="AM322" i="24"/>
  <c r="AI322" i="24"/>
  <c r="AE322" i="24"/>
  <c r="AA322" i="24"/>
  <c r="W322" i="24"/>
  <c r="S322" i="24"/>
  <c r="O322" i="24"/>
  <c r="K322" i="24"/>
  <c r="G322" i="24"/>
  <c r="C322" i="24"/>
  <c r="BK321" i="24"/>
  <c r="BG321" i="24"/>
  <c r="BC321" i="24"/>
  <c r="AY321" i="24"/>
  <c r="AU321" i="24"/>
  <c r="AQ321" i="24"/>
  <c r="AM321" i="24"/>
  <c r="AI321" i="24"/>
  <c r="AE321" i="24"/>
  <c r="AA321" i="24"/>
  <c r="W321" i="24"/>
  <c r="S321" i="24"/>
  <c r="O321" i="24"/>
  <c r="K321" i="24"/>
  <c r="G321" i="24"/>
  <c r="C321" i="24"/>
  <c r="BK320" i="24"/>
  <c r="BG320" i="24"/>
  <c r="BC320" i="24"/>
  <c r="AY320" i="24"/>
  <c r="AU320" i="24"/>
  <c r="AQ320" i="24"/>
  <c r="AM320" i="24"/>
  <c r="AI320" i="24"/>
  <c r="AE320" i="24"/>
  <c r="AA320" i="24"/>
  <c r="W320" i="24"/>
  <c r="S320" i="24"/>
  <c r="O320" i="24"/>
  <c r="K320" i="24"/>
  <c r="G320" i="24"/>
  <c r="C320" i="24"/>
  <c r="BK319" i="24"/>
  <c r="BG319" i="24"/>
  <c r="BC319" i="24"/>
  <c r="AY319" i="24"/>
  <c r="AU319" i="24"/>
  <c r="AQ319" i="24"/>
  <c r="AM319" i="24"/>
  <c r="AI319" i="24"/>
  <c r="AE319" i="24"/>
  <c r="AA319" i="24"/>
  <c r="W319" i="24"/>
  <c r="S319" i="24"/>
  <c r="O319" i="24"/>
  <c r="K319" i="24"/>
  <c r="G319" i="24"/>
  <c r="C319" i="24"/>
  <c r="BK318" i="24"/>
  <c r="BG318" i="24"/>
  <c r="BC318" i="24"/>
  <c r="AY318" i="24"/>
  <c r="AU318" i="24"/>
  <c r="AQ318" i="24"/>
  <c r="AM318" i="24"/>
  <c r="AI318" i="24"/>
  <c r="AE318" i="24"/>
  <c r="AA318" i="24"/>
  <c r="W318" i="24"/>
  <c r="S318" i="24"/>
  <c r="O318" i="24"/>
  <c r="K318" i="24"/>
  <c r="G318" i="24"/>
  <c r="C318" i="24"/>
  <c r="BK317" i="24"/>
  <c r="BG317" i="24"/>
  <c r="BC317" i="24"/>
  <c r="AY317" i="24"/>
  <c r="AU317" i="24"/>
  <c r="AQ317" i="24"/>
  <c r="AM317" i="24"/>
  <c r="AI317" i="24"/>
  <c r="AE317" i="24"/>
  <c r="AA317" i="24"/>
  <c r="W317" i="24"/>
  <c r="S317" i="24"/>
  <c r="O317" i="24"/>
  <c r="K317" i="24"/>
  <c r="G317" i="24"/>
  <c r="C317" i="24"/>
  <c r="BK316" i="24"/>
  <c r="BG316" i="24"/>
  <c r="BC316" i="24"/>
  <c r="AY316" i="24"/>
  <c r="AU316" i="24"/>
  <c r="AQ316" i="24"/>
  <c r="AM316" i="24"/>
  <c r="AI316" i="24"/>
  <c r="AE316" i="24"/>
  <c r="AA316" i="24"/>
  <c r="W316" i="24"/>
  <c r="S316" i="24"/>
  <c r="O316" i="24"/>
  <c r="K316" i="24"/>
  <c r="G316" i="24"/>
  <c r="C316" i="24"/>
  <c r="BK315" i="24"/>
  <c r="BG315" i="24"/>
  <c r="BC315" i="24"/>
  <c r="AY315" i="24"/>
  <c r="AU315" i="24"/>
  <c r="AQ315" i="24"/>
  <c r="AM315" i="24"/>
  <c r="AI315" i="24"/>
  <c r="AE315" i="24"/>
  <c r="AA315" i="24"/>
  <c r="W315" i="24"/>
  <c r="S315" i="24"/>
  <c r="O315" i="24"/>
  <c r="K315" i="24"/>
  <c r="G315" i="24"/>
  <c r="C315" i="24"/>
  <c r="BK314" i="24"/>
  <c r="BG314" i="24"/>
  <c r="BC314" i="24"/>
  <c r="AY314" i="24"/>
  <c r="AU314" i="24"/>
  <c r="AQ314" i="24"/>
  <c r="AM314" i="24"/>
  <c r="AI314" i="24"/>
  <c r="AE314" i="24"/>
  <c r="AA314" i="24"/>
  <c r="W314" i="24"/>
  <c r="S314" i="24"/>
  <c r="O314" i="24"/>
  <c r="K314" i="24"/>
  <c r="G314" i="24"/>
  <c r="C314" i="24"/>
  <c r="BK313" i="24"/>
  <c r="BG313" i="24"/>
  <c r="BC313" i="24"/>
  <c r="AY313" i="24"/>
  <c r="AU313" i="24"/>
  <c r="AQ313" i="24"/>
  <c r="AM313" i="24"/>
  <c r="AI313" i="24"/>
  <c r="AE313" i="24"/>
  <c r="AA313" i="24"/>
  <c r="W313" i="24"/>
  <c r="S313" i="24"/>
  <c r="O313" i="24"/>
  <c r="K313" i="24"/>
  <c r="G313" i="24"/>
  <c r="C313" i="24"/>
  <c r="BK312" i="24"/>
  <c r="BG312" i="24"/>
  <c r="BC312" i="24"/>
  <c r="AY312" i="24"/>
  <c r="AU312" i="24"/>
  <c r="AQ312" i="24"/>
  <c r="AM312" i="24"/>
  <c r="AI312" i="24"/>
  <c r="AE312" i="24"/>
  <c r="AA312" i="24"/>
  <c r="W312" i="24"/>
  <c r="S312" i="24"/>
  <c r="O312" i="24"/>
  <c r="K312" i="24"/>
  <c r="G312" i="24"/>
  <c r="C312" i="24"/>
  <c r="BK311" i="24"/>
  <c r="BG311" i="24"/>
  <c r="BC311" i="24"/>
  <c r="AY311" i="24"/>
  <c r="AU311" i="24"/>
  <c r="AQ311" i="24"/>
  <c r="AM311" i="24"/>
  <c r="AI311" i="24"/>
  <c r="AE311" i="24"/>
  <c r="AA311" i="24"/>
  <c r="W311" i="24"/>
  <c r="S311" i="24"/>
  <c r="O311" i="24"/>
  <c r="K311" i="24"/>
  <c r="G311" i="24"/>
  <c r="C311" i="24"/>
  <c r="BK310" i="24"/>
  <c r="BG310" i="24"/>
  <c r="BC310" i="24"/>
  <c r="AY310" i="24"/>
  <c r="AU310" i="24"/>
  <c r="AQ310" i="24"/>
  <c r="AM310" i="24"/>
  <c r="AI310" i="24"/>
  <c r="AE310" i="24"/>
  <c r="AA310" i="24"/>
  <c r="W310" i="24"/>
  <c r="S310" i="24"/>
  <c r="O310" i="24"/>
  <c r="K310" i="24"/>
  <c r="G310" i="24"/>
  <c r="C310" i="24"/>
  <c r="BK309" i="24"/>
  <c r="BG309" i="24"/>
  <c r="BC309" i="24"/>
  <c r="AY309" i="24"/>
  <c r="AU309" i="24"/>
  <c r="AQ309" i="24"/>
  <c r="AM309" i="24"/>
  <c r="AI309" i="24"/>
  <c r="AE309" i="24"/>
  <c r="AA309" i="24"/>
  <c r="W309" i="24"/>
  <c r="S309" i="24"/>
  <c r="O309" i="24"/>
  <c r="K309" i="24"/>
  <c r="G309" i="24"/>
  <c r="C309" i="24"/>
  <c r="BK308" i="24"/>
  <c r="BG308" i="24"/>
  <c r="BC308" i="24"/>
  <c r="AY308" i="24"/>
  <c r="AU308" i="24"/>
  <c r="AQ308" i="24"/>
  <c r="AM308" i="24"/>
  <c r="AI308" i="24"/>
  <c r="AE308" i="24"/>
  <c r="AA308" i="24"/>
  <c r="W308" i="24"/>
  <c r="S308" i="24"/>
  <c r="O308" i="24"/>
  <c r="K308" i="24"/>
  <c r="G308" i="24"/>
  <c r="C308" i="24"/>
  <c r="BK307" i="24"/>
  <c r="BG307" i="24"/>
  <c r="BC307" i="24"/>
  <c r="AY307" i="24"/>
  <c r="AU307" i="24"/>
  <c r="AQ307" i="24"/>
  <c r="AM307" i="24"/>
  <c r="AI307" i="24"/>
  <c r="AE307" i="24"/>
  <c r="AA307" i="24"/>
  <c r="W307" i="24"/>
  <c r="S307" i="24"/>
  <c r="O307" i="24"/>
  <c r="K307" i="24"/>
  <c r="G307" i="24"/>
  <c r="C307" i="24"/>
  <c r="BK306" i="24"/>
  <c r="BG306" i="24"/>
  <c r="BC306" i="24"/>
  <c r="AY306" i="24"/>
  <c r="AU306" i="24"/>
  <c r="AQ306" i="24"/>
  <c r="AM306" i="24"/>
  <c r="AI306" i="24"/>
  <c r="AE306" i="24"/>
  <c r="AA306" i="24"/>
  <c r="W306" i="24"/>
  <c r="S306" i="24"/>
  <c r="O306" i="24"/>
  <c r="K306" i="24"/>
  <c r="G306" i="24"/>
  <c r="C306" i="24"/>
  <c r="BK305" i="24"/>
  <c r="BG305" i="24"/>
  <c r="BC305" i="24"/>
  <c r="AY305" i="24"/>
  <c r="AU305" i="24"/>
  <c r="AQ305" i="24"/>
  <c r="AM305" i="24"/>
  <c r="AI305" i="24"/>
  <c r="AE305" i="24"/>
  <c r="AA305" i="24"/>
  <c r="W305" i="24"/>
  <c r="S305" i="24"/>
  <c r="O305" i="24"/>
  <c r="K305" i="24"/>
  <c r="G305" i="24"/>
  <c r="C305" i="24"/>
  <c r="AI304" i="24"/>
  <c r="AE304" i="24"/>
  <c r="AA304" i="24"/>
  <c r="W304" i="24"/>
  <c r="S304" i="24"/>
  <c r="O304" i="24"/>
  <c r="K304" i="24"/>
  <c r="G304" i="24"/>
  <c r="C304" i="24"/>
  <c r="AI303" i="24"/>
  <c r="AE303" i="24"/>
  <c r="AA303" i="24"/>
  <c r="W303" i="24"/>
  <c r="S303" i="24"/>
  <c r="O303" i="24"/>
  <c r="K303" i="24"/>
  <c r="G303" i="24"/>
  <c r="C303" i="24"/>
  <c r="K302" i="24"/>
  <c r="G302" i="24"/>
  <c r="C302" i="24"/>
  <c r="G46" i="26"/>
  <c r="G45" i="26"/>
  <c r="G44" i="26"/>
  <c r="G43" i="26"/>
  <c r="G42" i="26"/>
  <c r="G41" i="26"/>
  <c r="G40" i="26"/>
  <c r="G39" i="26"/>
  <c r="G38" i="26"/>
  <c r="G37" i="26"/>
  <c r="G36" i="26"/>
  <c r="G35" i="26"/>
  <c r="G34" i="26"/>
  <c r="G33" i="26"/>
  <c r="G32" i="26"/>
  <c r="G31" i="26"/>
  <c r="G30" i="26"/>
  <c r="G29" i="26"/>
  <c r="G28" i="26"/>
  <c r="G27" i="26"/>
  <c r="G26" i="26"/>
  <c r="G25" i="26"/>
  <c r="G24" i="26"/>
  <c r="G23" i="26"/>
  <c r="G22" i="26"/>
  <c r="G21" i="26"/>
  <c r="G20" i="26"/>
  <c r="G19" i="26"/>
  <c r="G18" i="26"/>
  <c r="G17" i="26"/>
  <c r="G16" i="26"/>
  <c r="G15" i="26"/>
  <c r="G14" i="26"/>
  <c r="G13" i="26"/>
  <c r="G12" i="26"/>
  <c r="G11" i="26"/>
  <c r="BK4" i="24"/>
  <c r="BG4" i="24"/>
  <c r="BC4" i="24"/>
  <c r="AY4" i="24"/>
  <c r="AQ4" i="24"/>
  <c r="AE4" i="24"/>
  <c r="AA4" i="24"/>
  <c r="O4" i="24"/>
  <c r="G10" i="26"/>
  <c r="BK3" i="24"/>
  <c r="BG3" i="24"/>
  <c r="AY3" i="24"/>
  <c r="AU3" i="24"/>
  <c r="AQ3" i="24"/>
  <c r="AM3" i="24"/>
  <c r="AE3" i="24"/>
  <c r="AA3" i="24"/>
  <c r="W3" i="24"/>
  <c r="S3" i="24"/>
  <c r="O3" i="24"/>
  <c r="C3" i="24"/>
  <c r="G9" i="26"/>
  <c r="BG2" i="24"/>
  <c r="BC2" i="24"/>
  <c r="AQ2" i="24"/>
  <c r="AI2" i="24"/>
  <c r="AE2" i="24"/>
  <c r="S2" i="24"/>
  <c r="K2" i="24"/>
  <c r="C2" i="24"/>
  <c r="G8" i="26"/>
  <c r="E42" i="26"/>
  <c r="E41" i="26"/>
  <c r="E40" i="26"/>
  <c r="E39" i="26"/>
  <c r="E38" i="26"/>
  <c r="E31" i="26"/>
  <c r="E30" i="26"/>
  <c r="E29" i="26"/>
  <c r="E26" i="26"/>
  <c r="E24" i="26"/>
  <c r="E21" i="26"/>
  <c r="E19" i="26"/>
  <c r="E18" i="26"/>
  <c r="E16" i="26"/>
  <c r="E15" i="26"/>
  <c r="E11" i="26"/>
  <c r="I10" i="26"/>
  <c r="E10" i="26"/>
  <c r="I9" i="26"/>
  <c r="E9" i="26"/>
  <c r="E8" i="26"/>
  <c r="H46" i="26"/>
  <c r="H45" i="26"/>
  <c r="H44" i="26"/>
  <c r="H43" i="26"/>
  <c r="H42" i="26"/>
  <c r="H41" i="26"/>
  <c r="H40" i="26"/>
  <c r="H39" i="26"/>
  <c r="H38" i="26"/>
  <c r="H37" i="26"/>
  <c r="H36" i="26"/>
  <c r="H35" i="26"/>
  <c r="H34" i="26"/>
  <c r="H33" i="26"/>
  <c r="H32" i="26"/>
  <c r="H31" i="26"/>
  <c r="H30" i="26"/>
  <c r="H29" i="26"/>
  <c r="H28" i="26"/>
  <c r="H27" i="26"/>
  <c r="H26" i="26"/>
  <c r="H25" i="26"/>
  <c r="H24" i="26"/>
  <c r="H23" i="26"/>
  <c r="H22" i="26"/>
  <c r="H21" i="26"/>
  <c r="H20" i="26"/>
  <c r="H19" i="26"/>
  <c r="H18" i="26"/>
  <c r="H17" i="26"/>
  <c r="H16" i="26"/>
  <c r="H15" i="26"/>
  <c r="H14" i="26"/>
  <c r="H13" i="26"/>
  <c r="H12" i="26"/>
  <c r="H11" i="26"/>
  <c r="BH4" i="24"/>
  <c r="BD4" i="24"/>
  <c r="AB4" i="24"/>
  <c r="T4" i="24"/>
  <c r="H4" i="24"/>
  <c r="D4" i="24"/>
  <c r="H10" i="26"/>
  <c r="BH3" i="24"/>
  <c r="BD3" i="24"/>
  <c r="AZ3" i="24"/>
  <c r="AR3" i="24"/>
  <c r="X3" i="24"/>
  <c r="T3" i="24"/>
  <c r="P3" i="24"/>
  <c r="L3" i="24"/>
  <c r="D3" i="24"/>
  <c r="H9" i="26"/>
  <c r="BH2" i="24"/>
  <c r="AV2" i="24"/>
  <c r="AF2" i="24"/>
  <c r="T2" i="24"/>
  <c r="P2" i="24"/>
  <c r="L2" i="24"/>
  <c r="H2" i="24"/>
  <c r="D2" i="24"/>
  <c r="H8" i="26"/>
  <c r="B38" i="25"/>
  <c r="C38" i="25"/>
  <c r="D38" i="25"/>
  <c r="B34" i="25"/>
  <c r="C34" i="25"/>
  <c r="D34" i="25"/>
  <c r="B5" i="25"/>
  <c r="D5" i="25"/>
  <c r="C5" i="25"/>
  <c r="B31" i="25"/>
  <c r="D31" i="25"/>
  <c r="C31" i="25"/>
  <c r="B19" i="25"/>
  <c r="D19" i="25"/>
  <c r="C19" i="25"/>
  <c r="B35" i="25"/>
  <c r="D35" i="25"/>
  <c r="C35" i="25"/>
  <c r="B22" i="25"/>
  <c r="C22" i="25"/>
  <c r="D22" i="25"/>
  <c r="B18" i="25"/>
  <c r="C18" i="25"/>
  <c r="D18" i="25"/>
  <c r="B15" i="25"/>
  <c r="D15" i="25"/>
  <c r="B39" i="25"/>
  <c r="D39" i="25"/>
  <c r="B26" i="25"/>
  <c r="C26" i="25"/>
  <c r="D26" i="25"/>
  <c r="B23" i="25"/>
  <c r="D23" i="25"/>
  <c r="B10" i="25"/>
  <c r="C10" i="25"/>
  <c r="D10" i="25"/>
  <c r="M39" i="26"/>
  <c r="I39" i="26"/>
  <c r="B30" i="25"/>
  <c r="C30" i="25"/>
  <c r="D30" i="25"/>
  <c r="B27" i="25"/>
  <c r="D27" i="25"/>
  <c r="B14" i="25"/>
  <c r="C14" i="25"/>
  <c r="D14" i="25"/>
  <c r="B11" i="25"/>
  <c r="D11" i="25"/>
  <c r="C7" i="25"/>
  <c r="D7" i="25"/>
  <c r="I32" i="26"/>
  <c r="M32" i="26"/>
  <c r="M7" i="26"/>
  <c r="V39" i="20"/>
  <c r="T33" i="20"/>
  <c r="V23" i="20"/>
  <c r="C44" i="20"/>
  <c r="T39" i="20"/>
  <c r="C33" i="20"/>
  <c r="V31" i="20"/>
  <c r="V43" i="20"/>
  <c r="C40" i="20"/>
  <c r="C39" i="20"/>
  <c r="T37" i="20"/>
  <c r="V27" i="20"/>
  <c r="C24" i="20"/>
  <c r="C23" i="20"/>
  <c r="V21" i="20"/>
  <c r="C20" i="20"/>
  <c r="T20" i="20"/>
  <c r="C19" i="20"/>
  <c r="C11" i="20"/>
  <c r="T11" i="20"/>
  <c r="C8" i="20"/>
  <c r="AC49" i="21"/>
  <c r="AE45" i="21"/>
  <c r="W31" i="21"/>
  <c r="AA31" i="21"/>
  <c r="U31" i="21"/>
  <c r="Z31" i="21"/>
  <c r="AL31" i="21"/>
  <c r="AZ31" i="21"/>
  <c r="R31" i="21"/>
  <c r="X31" i="21"/>
  <c r="AC31" i="21"/>
  <c r="T31" i="21"/>
  <c r="Y31" i="21"/>
  <c r="AD31" i="21"/>
  <c r="AB31" i="21"/>
  <c r="AG31" i="21"/>
  <c r="Q31" i="21"/>
  <c r="T49" i="21"/>
  <c r="X49" i="21"/>
  <c r="AB49" i="21"/>
  <c r="Y49" i="21"/>
  <c r="AD49" i="21"/>
  <c r="U49" i="21"/>
  <c r="Z49" i="21"/>
  <c r="AL49" i="21"/>
  <c r="AZ49" i="21"/>
  <c r="Q49" i="21"/>
  <c r="V49" i="21"/>
  <c r="AA49" i="21"/>
  <c r="AG49" i="21"/>
  <c r="AF41" i="21"/>
  <c r="T45" i="20"/>
  <c r="V35" i="20"/>
  <c r="C32" i="20"/>
  <c r="C31" i="20"/>
  <c r="T29" i="20"/>
  <c r="T27" i="20"/>
  <c r="T24" i="20"/>
  <c r="T19" i="20"/>
  <c r="T17" i="20"/>
  <c r="C17" i="20"/>
  <c r="R49" i="21"/>
  <c r="R36" i="21"/>
  <c r="V36" i="21"/>
  <c r="Z36" i="21"/>
  <c r="AD36" i="21"/>
  <c r="U36" i="21"/>
  <c r="AA36" i="21"/>
  <c r="AL36" i="21"/>
  <c r="X36" i="21"/>
  <c r="AC36" i="21"/>
  <c r="T36" i="21"/>
  <c r="Y36" i="21"/>
  <c r="AZ36" i="21"/>
  <c r="AB36" i="21"/>
  <c r="AG36" i="21"/>
  <c r="Q36" i="21"/>
  <c r="C36" i="20"/>
  <c r="T41" i="20"/>
  <c r="T36" i="20"/>
  <c r="C28" i="20"/>
  <c r="T25" i="20"/>
  <c r="T23" i="20"/>
  <c r="T21" i="20"/>
  <c r="C16" i="20"/>
  <c r="T16" i="20"/>
  <c r="T13" i="20"/>
  <c r="V31" i="21"/>
  <c r="C7" i="20"/>
  <c r="T7" i="20"/>
  <c r="AC50" i="21"/>
  <c r="X50" i="21"/>
  <c r="R50" i="21"/>
  <c r="AF37" i="21"/>
  <c r="AE33" i="21"/>
  <c r="U23" i="21"/>
  <c r="T23" i="21"/>
  <c r="X23" i="21"/>
  <c r="AC23" i="21"/>
  <c r="AZ23" i="21"/>
  <c r="Q23" i="21"/>
  <c r="Z23" i="21"/>
  <c r="W23" i="21"/>
  <c r="Y23" i="21"/>
  <c r="AD23" i="21"/>
  <c r="AL23" i="21"/>
  <c r="AB23" i="21"/>
  <c r="AA23" i="21"/>
  <c r="W50" i="21"/>
  <c r="AA50" i="21"/>
  <c r="T42" i="21"/>
  <c r="X42" i="21"/>
  <c r="AB42" i="21"/>
  <c r="U42" i="21"/>
  <c r="Z42" i="21"/>
  <c r="AL42" i="21"/>
  <c r="AZ42" i="21"/>
  <c r="R42" i="21"/>
  <c r="W42" i="21"/>
  <c r="AC42" i="21"/>
  <c r="Y42" i="21"/>
  <c r="AD42" i="21"/>
  <c r="C15" i="20"/>
  <c r="T15" i="20"/>
  <c r="C12" i="20"/>
  <c r="T12" i="20"/>
  <c r="AZ50" i="21"/>
  <c r="AL50" i="21"/>
  <c r="Z50" i="21"/>
  <c r="U50" i="21"/>
  <c r="AE50" i="21" s="1"/>
  <c r="AF48" i="21"/>
  <c r="Q42" i="21"/>
  <c r="AD47" i="21"/>
  <c r="Z47" i="21"/>
  <c r="V47" i="21"/>
  <c r="AE47" i="21" s="1"/>
  <c r="R47" i="21"/>
  <c r="AA46" i="21"/>
  <c r="AF46" i="21" s="1"/>
  <c r="W46" i="21"/>
  <c r="R46" i="21"/>
  <c r="R44" i="21"/>
  <c r="V44" i="21"/>
  <c r="AE44" i="21" s="1"/>
  <c r="Z44" i="21"/>
  <c r="AD44" i="21"/>
  <c r="AZ43" i="21"/>
  <c r="AL43" i="21"/>
  <c r="Z43" i="21"/>
  <c r="U43" i="21"/>
  <c r="AC40" i="21"/>
  <c r="X40" i="21"/>
  <c r="W39" i="21"/>
  <c r="AE39" i="21" s="1"/>
  <c r="AA39" i="21"/>
  <c r="AF39" i="21" s="1"/>
  <c r="AZ38" i="21"/>
  <c r="AL38" i="21"/>
  <c r="Z38" i="21"/>
  <c r="U38" i="21"/>
  <c r="T34" i="21"/>
  <c r="X34" i="21"/>
  <c r="AB34" i="21"/>
  <c r="AF34" i="21" s="1"/>
  <c r="AL32" i="21"/>
  <c r="AA32" i="21"/>
  <c r="U32" i="21"/>
  <c r="AC30" i="21"/>
  <c r="W30" i="21"/>
  <c r="R30" i="21"/>
  <c r="AF22" i="21"/>
  <c r="T46" i="21"/>
  <c r="AD43" i="21"/>
  <c r="Y43" i="21"/>
  <c r="T43" i="21"/>
  <c r="R40" i="21"/>
  <c r="V40" i="21"/>
  <c r="Z40" i="21"/>
  <c r="AD40" i="21"/>
  <c r="AD38" i="21"/>
  <c r="Y38" i="21"/>
  <c r="W35" i="21"/>
  <c r="AA35" i="21"/>
  <c r="AF35" i="21" s="1"/>
  <c r="U34" i="21"/>
  <c r="AZ32" i="21"/>
  <c r="Y32" i="21"/>
  <c r="T32" i="21"/>
  <c r="T30" i="21"/>
  <c r="X30" i="21"/>
  <c r="AB30" i="21"/>
  <c r="AF30" i="21" s="1"/>
  <c r="W28" i="21"/>
  <c r="AA28" i="21"/>
  <c r="R28" i="21"/>
  <c r="X28" i="21"/>
  <c r="AC28" i="21"/>
  <c r="AG28" i="21"/>
  <c r="AL28" i="21"/>
  <c r="AZ28" i="21"/>
  <c r="T28" i="21"/>
  <c r="Y28" i="21"/>
  <c r="AD28" i="21"/>
  <c r="V17" i="21"/>
  <c r="Z17" i="21"/>
  <c r="R17" i="21"/>
  <c r="T17" i="21"/>
  <c r="AZ17" i="21"/>
  <c r="W17" i="21"/>
  <c r="AD17" i="21"/>
  <c r="X17" i="21"/>
  <c r="AB17" i="21"/>
  <c r="AA17" i="21"/>
  <c r="AC17" i="21"/>
  <c r="U17" i="21"/>
  <c r="AL17" i="21"/>
  <c r="Y17" i="21"/>
  <c r="W43" i="21"/>
  <c r="AA43" i="21"/>
  <c r="T38" i="21"/>
  <c r="X38" i="21"/>
  <c r="AB38" i="21"/>
  <c r="AE35" i="21"/>
  <c r="R32" i="21"/>
  <c r="V32" i="21"/>
  <c r="Z32" i="21"/>
  <c r="AD32" i="21"/>
  <c r="AC27" i="21"/>
  <c r="W27" i="21"/>
  <c r="R27" i="21"/>
  <c r="R25" i="21"/>
  <c r="V25" i="21"/>
  <c r="AE25" i="21" s="1"/>
  <c r="Z25" i="21"/>
  <c r="AF25" i="21" s="1"/>
  <c r="AD25" i="21"/>
  <c r="AZ24" i="21"/>
  <c r="AL24" i="21"/>
  <c r="AD24" i="21"/>
  <c r="U24" i="21"/>
  <c r="U21" i="21"/>
  <c r="AB21" i="21"/>
  <c r="R21" i="21"/>
  <c r="V21" i="21"/>
  <c r="Z21" i="21"/>
  <c r="AD21" i="21"/>
  <c r="T27" i="21"/>
  <c r="X27" i="21"/>
  <c r="AB27" i="21"/>
  <c r="AB24" i="21"/>
  <c r="Y24" i="21"/>
  <c r="T24" i="21"/>
  <c r="Q24" i="21"/>
  <c r="AC24" i="21"/>
  <c r="W24" i="21"/>
  <c r="AA24" i="21"/>
  <c r="Z24" i="21"/>
  <c r="U20" i="21"/>
  <c r="W20" i="21"/>
  <c r="AD20" i="21"/>
  <c r="T20" i="21"/>
  <c r="X20" i="21"/>
  <c r="AB20" i="21"/>
  <c r="AL20" i="21"/>
  <c r="AA20" i="21"/>
  <c r="AC16" i="21"/>
  <c r="U16" i="21"/>
  <c r="AC12" i="21"/>
  <c r="AA12" i="21"/>
  <c r="AL12" i="21"/>
  <c r="U12" i="21"/>
  <c r="W12" i="21"/>
  <c r="Z12" i="21"/>
  <c r="T12" i="21"/>
  <c r="X12" i="21"/>
  <c r="AB12" i="21"/>
  <c r="V12" i="21"/>
  <c r="AD12" i="21"/>
  <c r="AZ11" i="21"/>
  <c r="AA16" i="21"/>
  <c r="AL16" i="21"/>
  <c r="W16" i="21"/>
  <c r="R16" i="21"/>
  <c r="AD16" i="21"/>
  <c r="T16" i="21"/>
  <c r="X16" i="21"/>
  <c r="AB16" i="21"/>
  <c r="AF15" i="21"/>
  <c r="AZ13" i="21"/>
  <c r="AC11" i="21"/>
  <c r="AY11" i="21"/>
  <c r="AY15" i="21"/>
  <c r="Y11" i="21"/>
  <c r="AY12" i="21"/>
  <c r="AY16" i="21"/>
  <c r="AY20" i="21"/>
  <c r="Y13" i="21"/>
  <c r="AY14" i="21"/>
  <c r="AU11" i="21"/>
  <c r="AU15" i="21"/>
  <c r="AZ15" i="21" s="1"/>
  <c r="AU12" i="21"/>
  <c r="AZ12" i="21" s="1"/>
  <c r="AU16" i="21"/>
  <c r="AU20" i="21"/>
  <c r="U13" i="21"/>
  <c r="AU14" i="21"/>
  <c r="AZ14" i="21" s="1"/>
  <c r="AD18" i="21"/>
  <c r="Z18" i="21"/>
  <c r="AF18" i="21" s="1"/>
  <c r="V18" i="21"/>
  <c r="AE18" i="21" s="1"/>
  <c r="AB18" i="21"/>
  <c r="Q18" i="21"/>
  <c r="V14" i="21"/>
  <c r="AE14" i="21" s="1"/>
  <c r="AB14" i="21"/>
  <c r="AF14" i="21" s="1"/>
  <c r="Q14" i="21"/>
  <c r="AL13" i="21"/>
  <c r="AA13" i="21"/>
  <c r="W13" i="21"/>
  <c r="AC13" i="21"/>
  <c r="AD13" i="21"/>
  <c r="Z13" i="21"/>
  <c r="V13" i="21"/>
  <c r="AB13" i="21"/>
  <c r="W11" i="21"/>
  <c r="U11" i="21"/>
  <c r="M42" i="18"/>
  <c r="K38" i="18"/>
  <c r="M34" i="18"/>
  <c r="K26" i="18"/>
  <c r="K17" i="18"/>
  <c r="K5" i="18"/>
  <c r="K33" i="18"/>
  <c r="K21" i="18"/>
  <c r="M21" i="18"/>
  <c r="K19" i="18"/>
  <c r="K42" i="18"/>
  <c r="M38" i="18"/>
  <c r="C42" i="18"/>
  <c r="M40" i="18"/>
  <c r="V40" i="18"/>
  <c r="K37" i="18"/>
  <c r="K36" i="18"/>
  <c r="V34" i="18"/>
  <c r="C34" i="18"/>
  <c r="M32" i="18"/>
  <c r="K29" i="18"/>
  <c r="V20" i="18"/>
  <c r="K15" i="18"/>
  <c r="K11" i="18"/>
  <c r="K3" i="18"/>
  <c r="K31" i="18"/>
  <c r="K30" i="18"/>
  <c r="K41" i="18"/>
  <c r="K40" i="18"/>
  <c r="M36" i="18"/>
  <c r="V36" i="18"/>
  <c r="K23" i="18"/>
  <c r="K7" i="18"/>
  <c r="K35" i="18"/>
  <c r="K34" i="18"/>
  <c r="M30" i="18"/>
  <c r="V30" i="18"/>
  <c r="K28" i="18"/>
  <c r="V16" i="18"/>
  <c r="K13" i="18"/>
  <c r="M17" i="18"/>
  <c r="M13" i="18"/>
  <c r="V41" i="18"/>
  <c r="V39" i="18"/>
  <c r="V37" i="18"/>
  <c r="V35" i="18"/>
  <c r="V33" i="18"/>
  <c r="V31" i="18"/>
  <c r="V29" i="18"/>
  <c r="M26" i="18"/>
  <c r="M24" i="18"/>
  <c r="G32" i="18"/>
  <c r="K27" i="18"/>
  <c r="K25" i="18"/>
  <c r="M23" i="18"/>
  <c r="M19" i="18"/>
  <c r="M15" i="18"/>
  <c r="V10" i="18"/>
  <c r="V8" i="18"/>
  <c r="V6" i="18"/>
  <c r="V4" i="18"/>
  <c r="K22" i="18"/>
  <c r="K20" i="18"/>
  <c r="K18" i="18"/>
  <c r="K16" i="18"/>
  <c r="K14" i="18"/>
  <c r="K12" i="18"/>
  <c r="M11" i="18"/>
  <c r="V11" i="18"/>
  <c r="K10" i="18"/>
  <c r="M9" i="18"/>
  <c r="K8" i="18"/>
  <c r="M7" i="18"/>
  <c r="K6" i="18"/>
  <c r="M5" i="18"/>
  <c r="K4" i="18"/>
  <c r="M3" i="18"/>
  <c r="V3" i="18"/>
  <c r="N19" i="18" l="1"/>
  <c r="V5" i="18"/>
  <c r="V15" i="18"/>
  <c r="V13" i="18"/>
  <c r="G30" i="18"/>
  <c r="V7" i="18"/>
  <c r="V9" i="18"/>
  <c r="G17" i="18"/>
  <c r="V24" i="18"/>
  <c r="G23" i="18"/>
  <c r="V42" i="18"/>
  <c r="G15" i="18"/>
  <c r="V38" i="18"/>
  <c r="G38" i="18"/>
  <c r="G4" i="18"/>
  <c r="G36" i="18"/>
  <c r="G16" i="18"/>
  <c r="G40" i="18"/>
  <c r="G20" i="18"/>
  <c r="G6" i="18"/>
  <c r="G24" i="18"/>
  <c r="G26" i="18"/>
  <c r="V32" i="18"/>
  <c r="AE13" i="21"/>
  <c r="AZ16" i="21"/>
  <c r="BA49" i="21" s="1"/>
  <c r="J44" i="20" s="1"/>
  <c r="AZ20" i="21"/>
  <c r="BA15" i="21" s="1"/>
  <c r="J10" i="20" s="1"/>
  <c r="AF40" i="21"/>
  <c r="AF27" i="21"/>
  <c r="AF21" i="21"/>
  <c r="AE40" i="21"/>
  <c r="AF24" i="21"/>
  <c r="AF13" i="21"/>
  <c r="AF12" i="21"/>
  <c r="R14" i="21"/>
  <c r="AF32" i="21"/>
  <c r="AE46" i="21"/>
  <c r="Q13" i="21"/>
  <c r="R18" i="21"/>
  <c r="Q16" i="21"/>
  <c r="R20" i="21"/>
  <c r="Q21" i="21"/>
  <c r="Q17" i="21"/>
  <c r="Q20" i="21"/>
  <c r="AM13" i="21"/>
  <c r="I8" i="20" s="1"/>
  <c r="AM40" i="21"/>
  <c r="I35" i="20" s="1"/>
  <c r="AE24" i="21"/>
  <c r="AE21" i="21"/>
  <c r="AE28" i="21"/>
  <c r="AE30" i="21"/>
  <c r="R23" i="21"/>
  <c r="Z16" i="21"/>
  <c r="AF16" i="21" s="1"/>
  <c r="AF28" i="21"/>
  <c r="Z20" i="21"/>
  <c r="AF20" i="21" s="1"/>
  <c r="AE11" i="21"/>
  <c r="Q11" i="21"/>
  <c r="T9" i="20"/>
  <c r="F17" i="20"/>
  <c r="D32" i="20"/>
  <c r="F24" i="20"/>
  <c r="F16" i="20"/>
  <c r="J23" i="26"/>
  <c r="J26" i="26"/>
  <c r="C4" i="25"/>
  <c r="J45" i="26"/>
  <c r="J21" i="26"/>
  <c r="M21" i="26" s="1"/>
  <c r="J10" i="26"/>
  <c r="C2" i="25"/>
  <c r="B4" i="25"/>
  <c r="B2" i="25"/>
  <c r="C3" i="25"/>
  <c r="D3" i="25"/>
  <c r="D2" i="25"/>
  <c r="B3" i="25"/>
  <c r="B9" i="26" s="1"/>
  <c r="D4" i="25"/>
  <c r="J19" i="26"/>
  <c r="M19" i="26" s="1"/>
  <c r="J32" i="26"/>
  <c r="J39" i="26"/>
  <c r="J16" i="26"/>
  <c r="M16" i="26" s="1"/>
  <c r="J11" i="26"/>
  <c r="M11" i="26" s="1"/>
  <c r="J27" i="26"/>
  <c r="J37" i="26"/>
  <c r="J43" i="26"/>
  <c r="J25" i="26"/>
  <c r="J33" i="26"/>
  <c r="J47" i="26"/>
  <c r="J8" i="26"/>
  <c r="J12" i="26"/>
  <c r="M12" i="26" s="1"/>
  <c r="J20" i="26"/>
  <c r="M20" i="26" s="1"/>
  <c r="J28" i="26"/>
  <c r="J36" i="26"/>
  <c r="J44" i="26"/>
  <c r="J14" i="26"/>
  <c r="M14" i="26" s="1"/>
  <c r="J22" i="26"/>
  <c r="J30" i="26"/>
  <c r="J34" i="26"/>
  <c r="J42" i="26"/>
  <c r="J46" i="26"/>
  <c r="J40" i="26"/>
  <c r="J24" i="26"/>
  <c r="J38" i="26"/>
  <c r="J17" i="26"/>
  <c r="M17" i="26" s="1"/>
  <c r="J13" i="26"/>
  <c r="M13" i="26" s="1"/>
  <c r="J29" i="26"/>
  <c r="J15" i="26"/>
  <c r="M15" i="26" s="1"/>
  <c r="J31" i="26"/>
  <c r="J35" i="26"/>
  <c r="J18" i="26"/>
  <c r="M18" i="26" s="1"/>
  <c r="J41" i="26"/>
  <c r="J9" i="26"/>
  <c r="U6" i="20"/>
  <c r="U42" i="20"/>
  <c r="U26" i="20"/>
  <c r="AM47" i="21"/>
  <c r="I42" i="20" s="1"/>
  <c r="D19" i="20"/>
  <c r="D24" i="20"/>
  <c r="F26" i="20"/>
  <c r="F31" i="20"/>
  <c r="D39" i="20"/>
  <c r="F6" i="20"/>
  <c r="D15" i="20"/>
  <c r="Q12" i="21"/>
  <c r="AE38" i="21"/>
  <c r="BA28" i="21"/>
  <c r="J23" i="20" s="1"/>
  <c r="AF43" i="21"/>
  <c r="AF44" i="21"/>
  <c r="AF47" i="21"/>
  <c r="AM39" i="21"/>
  <c r="I34" i="20" s="1"/>
  <c r="D12" i="20"/>
  <c r="AM35" i="21"/>
  <c r="I30" i="20" s="1"/>
  <c r="AF42" i="21"/>
  <c r="D7" i="20"/>
  <c r="D30" i="20"/>
  <c r="D10" i="20"/>
  <c r="D18" i="20"/>
  <c r="AE36" i="21"/>
  <c r="AM36" i="21"/>
  <c r="I31" i="20" s="1"/>
  <c r="D17" i="20"/>
  <c r="F23" i="20"/>
  <c r="AE31" i="21"/>
  <c r="AM31" i="21"/>
  <c r="I26" i="20" s="1"/>
  <c r="T8" i="20"/>
  <c r="D8" i="20"/>
  <c r="D11" i="20"/>
  <c r="F28" i="20"/>
  <c r="D40" i="20"/>
  <c r="F42" i="20"/>
  <c r="F14" i="20"/>
  <c r="D41" i="20"/>
  <c r="D34" i="20"/>
  <c r="F45" i="20"/>
  <c r="D21" i="20"/>
  <c r="F29" i="20"/>
  <c r="D42" i="20"/>
  <c r="AM16" i="21"/>
  <c r="I11" i="20" s="1"/>
  <c r="AM20" i="21"/>
  <c r="I15" i="20" s="1"/>
  <c r="BA30" i="21"/>
  <c r="J25" i="20" s="1"/>
  <c r="F27" i="20"/>
  <c r="AF36" i="21"/>
  <c r="U27" i="20"/>
  <c r="F34" i="20"/>
  <c r="D27" i="20"/>
  <c r="BA11" i="21"/>
  <c r="J6" i="20" s="1"/>
  <c r="BA26" i="21"/>
  <c r="J21" i="20" s="1"/>
  <c r="BA33" i="21"/>
  <c r="J28" i="20" s="1"/>
  <c r="BA48" i="21"/>
  <c r="J43" i="20" s="1"/>
  <c r="R12" i="21"/>
  <c r="AM24" i="21"/>
  <c r="I19" i="20" s="1"/>
  <c r="R13" i="21"/>
  <c r="BA18" i="21"/>
  <c r="J13" i="20" s="1"/>
  <c r="AM28" i="21"/>
  <c r="I23" i="20" s="1"/>
  <c r="AM43" i="21"/>
  <c r="I38" i="20" s="1"/>
  <c r="AF50" i="21"/>
  <c r="AE42" i="21"/>
  <c r="AM23" i="21"/>
  <c r="I18" i="20" s="1"/>
  <c r="D9" i="20"/>
  <c r="F13" i="20"/>
  <c r="F15" i="20"/>
  <c r="F18" i="20"/>
  <c r="D22" i="20"/>
  <c r="BA36" i="21"/>
  <c r="J31" i="20" s="1"/>
  <c r="F11" i="20"/>
  <c r="U17" i="20"/>
  <c r="F33" i="20"/>
  <c r="D37" i="20"/>
  <c r="U45" i="20"/>
  <c r="AM49" i="21"/>
  <c r="I44" i="20" s="1"/>
  <c r="D6" i="20"/>
  <c r="AF31" i="21"/>
  <c r="F9" i="20"/>
  <c r="F12" i="20"/>
  <c r="U20" i="20"/>
  <c r="D20" i="20"/>
  <c r="F25" i="20"/>
  <c r="F44" i="20"/>
  <c r="U39" i="20"/>
  <c r="D44" i="20"/>
  <c r="F7" i="20"/>
  <c r="F19" i="20"/>
  <c r="F43" i="20"/>
  <c r="F32" i="20"/>
  <c r="G32" i="20" s="1"/>
  <c r="D43" i="20"/>
  <c r="D38" i="20"/>
  <c r="D45" i="20"/>
  <c r="AM12" i="21"/>
  <c r="I7" i="20" s="1"/>
  <c r="AM11" i="21"/>
  <c r="I6" i="20" s="1"/>
  <c r="AM15" i="21"/>
  <c r="I10" i="20" s="1"/>
  <c r="AM19" i="21"/>
  <c r="I14" i="20" s="1"/>
  <c r="AM26" i="21"/>
  <c r="I21" i="20" s="1"/>
  <c r="AM37" i="21"/>
  <c r="I32" i="20" s="1"/>
  <c r="AM29" i="21"/>
  <c r="I24" i="20" s="1"/>
  <c r="AM45" i="21"/>
  <c r="I40" i="20" s="1"/>
  <c r="AM33" i="21"/>
  <c r="I28" i="20" s="1"/>
  <c r="AM34" i="21"/>
  <c r="I29" i="20" s="1"/>
  <c r="AM41" i="21"/>
  <c r="I36" i="20" s="1"/>
  <c r="AM22" i="21"/>
  <c r="I17" i="20" s="1"/>
  <c r="AM48" i="21"/>
  <c r="I43" i="20" s="1"/>
  <c r="AM32" i="21"/>
  <c r="I27" i="20" s="1"/>
  <c r="AM38" i="21"/>
  <c r="I33" i="20" s="1"/>
  <c r="BA50" i="21"/>
  <c r="J45" i="20" s="1"/>
  <c r="AM42" i="21"/>
  <c r="I37" i="20" s="1"/>
  <c r="AE23" i="21"/>
  <c r="U23" i="20"/>
  <c r="U11" i="20"/>
  <c r="F20" i="20"/>
  <c r="U24" i="20"/>
  <c r="D33" i="20"/>
  <c r="U33" i="20"/>
  <c r="F21" i="20"/>
  <c r="F37" i="20"/>
  <c r="AM25" i="21"/>
  <c r="I20" i="20" s="1"/>
  <c r="BA27" i="21"/>
  <c r="J22" i="20" s="1"/>
  <c r="R11" i="21"/>
  <c r="Z11" i="21"/>
  <c r="AF11" i="21" s="1"/>
  <c r="AE12" i="21"/>
  <c r="AM18" i="21"/>
  <c r="I13" i="20" s="1"/>
  <c r="AE27" i="21"/>
  <c r="BA40" i="21"/>
  <c r="J35" i="20" s="1"/>
  <c r="AM17" i="21"/>
  <c r="I12" i="20" s="1"/>
  <c r="AE17" i="21"/>
  <c r="AF17" i="21"/>
  <c r="AE43" i="21"/>
  <c r="AE34" i="21"/>
  <c r="AM14" i="21"/>
  <c r="I9" i="20" s="1"/>
  <c r="AE16" i="21"/>
  <c r="AE20" i="21"/>
  <c r="AM21" i="21"/>
  <c r="I16" i="20" s="1"/>
  <c r="AE32" i="21"/>
  <c r="AM44" i="21"/>
  <c r="I39" i="20" s="1"/>
  <c r="AF38" i="21"/>
  <c r="AM27" i="21"/>
  <c r="I22" i="20" s="1"/>
  <c r="AM50" i="21"/>
  <c r="I45" i="20" s="1"/>
  <c r="U9" i="20"/>
  <c r="BA42" i="21"/>
  <c r="J37" i="20" s="1"/>
  <c r="AF23" i="21"/>
  <c r="AM30" i="21"/>
  <c r="I25" i="20" s="1"/>
  <c r="BA46" i="21"/>
  <c r="J41" i="20" s="1"/>
  <c r="F10" i="20"/>
  <c r="U13" i="20"/>
  <c r="D16" i="20"/>
  <c r="G16" i="20" s="1"/>
  <c r="U21" i="20"/>
  <c r="D28" i="20"/>
  <c r="D36" i="20"/>
  <c r="AM46" i="21"/>
  <c r="I41" i="20" s="1"/>
  <c r="U19" i="20"/>
  <c r="U29" i="20"/>
  <c r="D31" i="20"/>
  <c r="F39" i="20"/>
  <c r="AF49" i="21"/>
  <c r="AE49" i="21"/>
  <c r="F22" i="20"/>
  <c r="F38" i="20"/>
  <c r="F8" i="20"/>
  <c r="D23" i="20"/>
  <c r="D29" i="20"/>
  <c r="F41" i="20"/>
  <c r="F30" i="20"/>
  <c r="F35" i="20"/>
  <c r="D13" i="20"/>
  <c r="D25" i="20"/>
  <c r="G25" i="20" s="1"/>
  <c r="D14" i="20"/>
  <c r="F36" i="20"/>
  <c r="D26" i="20"/>
  <c r="G26" i="20" s="1"/>
  <c r="D35" i="20"/>
  <c r="F40" i="20"/>
  <c r="N10" i="18"/>
  <c r="N24" i="18"/>
  <c r="N26" i="18"/>
  <c r="N30" i="18"/>
  <c r="N36" i="18"/>
  <c r="N3" i="18"/>
  <c r="N28" i="18"/>
  <c r="N25" i="18"/>
  <c r="N31" i="18"/>
  <c r="N39" i="18"/>
  <c r="N18" i="18"/>
  <c r="N22" i="18"/>
  <c r="N29" i="18"/>
  <c r="N35" i="18"/>
  <c r="N14" i="18"/>
  <c r="N37" i="18"/>
  <c r="N27" i="18"/>
  <c r="N5" i="18"/>
  <c r="N7" i="18"/>
  <c r="N9" i="18"/>
  <c r="N11" i="18"/>
  <c r="N15" i="18"/>
  <c r="V23" i="18"/>
  <c r="N4" i="18"/>
  <c r="N17" i="18"/>
  <c r="N20" i="18"/>
  <c r="N21" i="18"/>
  <c r="N42" i="18"/>
  <c r="N41" i="18"/>
  <c r="N23" i="18"/>
  <c r="N6" i="18"/>
  <c r="N12" i="18"/>
  <c r="G28" i="18"/>
  <c r="G19" i="18"/>
  <c r="V21" i="18"/>
  <c r="N16" i="18"/>
  <c r="N34" i="18"/>
  <c r="G42" i="18"/>
  <c r="G3" i="18"/>
  <c r="G5" i="18"/>
  <c r="G7" i="18"/>
  <c r="G9" i="18"/>
  <c r="G11" i="18"/>
  <c r="V19" i="18"/>
  <c r="N8" i="18"/>
  <c r="G13" i="18"/>
  <c r="G8" i="18"/>
  <c r="G10" i="18"/>
  <c r="G12" i="18"/>
  <c r="G25" i="18"/>
  <c r="G18" i="18"/>
  <c r="G14" i="18"/>
  <c r="G22" i="18"/>
  <c r="G27" i="18"/>
  <c r="V17" i="18"/>
  <c r="V26" i="18"/>
  <c r="G29" i="18"/>
  <c r="G31" i="18"/>
  <c r="G33" i="18"/>
  <c r="G35" i="18"/>
  <c r="G37" i="18"/>
  <c r="G39" i="18"/>
  <c r="G41" i="18"/>
  <c r="N13" i="18"/>
  <c r="N32" i="18"/>
  <c r="N40" i="18"/>
  <c r="N38" i="18"/>
  <c r="G21" i="18"/>
  <c r="G34" i="18"/>
  <c r="N33" i="18"/>
  <c r="W20" i="18" l="1"/>
  <c r="W33" i="18"/>
  <c r="Y33" i="18" s="1"/>
  <c r="W41" i="18"/>
  <c r="Y41" i="18" s="1"/>
  <c r="W23" i="18"/>
  <c r="Y23" i="18"/>
  <c r="Y20" i="18"/>
  <c r="BA43" i="21"/>
  <c r="J38" i="20" s="1"/>
  <c r="BA13" i="21"/>
  <c r="J8" i="20" s="1"/>
  <c r="BA45" i="21"/>
  <c r="J40" i="20" s="1"/>
  <c r="BA20" i="21"/>
  <c r="J15" i="20" s="1"/>
  <c r="BA25" i="21"/>
  <c r="J20" i="20" s="1"/>
  <c r="BA44" i="21"/>
  <c r="J39" i="20" s="1"/>
  <c r="BA35" i="21"/>
  <c r="J30" i="20" s="1"/>
  <c r="BA21" i="21"/>
  <c r="J16" i="20" s="1"/>
  <c r="BA47" i="21"/>
  <c r="J42" i="20" s="1"/>
  <c r="BA34" i="21"/>
  <c r="J29" i="20" s="1"/>
  <c r="BA37" i="21"/>
  <c r="J32" i="20" s="1"/>
  <c r="BA19" i="21"/>
  <c r="J14" i="20" s="1"/>
  <c r="BA31" i="21"/>
  <c r="J26" i="20" s="1"/>
  <c r="BA23" i="21"/>
  <c r="J18" i="20" s="1"/>
  <c r="BA38" i="21"/>
  <c r="J33" i="20" s="1"/>
  <c r="BA14" i="21"/>
  <c r="J9" i="20" s="1"/>
  <c r="BA12" i="21"/>
  <c r="J7" i="20" s="1"/>
  <c r="BA17" i="21"/>
  <c r="J12" i="20" s="1"/>
  <c r="BA24" i="21"/>
  <c r="J19" i="20" s="1"/>
  <c r="BA22" i="21"/>
  <c r="J17" i="20" s="1"/>
  <c r="BA39" i="21"/>
  <c r="J34" i="20" s="1"/>
  <c r="BA32" i="21"/>
  <c r="J27" i="20" s="1"/>
  <c r="BA41" i="21"/>
  <c r="J36" i="20" s="1"/>
  <c r="BA29" i="21"/>
  <c r="J24" i="20" s="1"/>
  <c r="BA16" i="21"/>
  <c r="J11" i="20" s="1"/>
  <c r="AG14" i="21"/>
  <c r="S31" i="21"/>
  <c r="S14" i="21"/>
  <c r="S47" i="21"/>
  <c r="S48" i="21"/>
  <c r="AG17" i="21"/>
  <c r="AG15" i="21"/>
  <c r="AG20" i="21"/>
  <c r="AG23" i="21"/>
  <c r="AG18" i="21"/>
  <c r="AG21" i="21"/>
  <c r="AG16" i="21"/>
  <c r="AG24" i="21"/>
  <c r="AG19" i="21"/>
  <c r="AG22" i="21"/>
  <c r="AG13" i="21"/>
  <c r="S49" i="21"/>
  <c r="U8" i="20"/>
  <c r="G45" i="20"/>
  <c r="G35" i="20"/>
  <c r="G43" i="20"/>
  <c r="G42" i="20"/>
  <c r="G17" i="20"/>
  <c r="G14" i="20"/>
  <c r="G28" i="20"/>
  <c r="G33" i="20"/>
  <c r="U41" i="20"/>
  <c r="U35" i="20"/>
  <c r="U37" i="20"/>
  <c r="G24" i="20"/>
  <c r="U40" i="20"/>
  <c r="G13" i="20"/>
  <c r="G29" i="20"/>
  <c r="G27" i="20"/>
  <c r="G21" i="20"/>
  <c r="G23" i="20"/>
  <c r="G31" i="20"/>
  <c r="G8" i="20"/>
  <c r="G30" i="20"/>
  <c r="C29" i="26"/>
  <c r="C16" i="26"/>
  <c r="C13" i="26"/>
  <c r="C9" i="26"/>
  <c r="D18" i="26"/>
  <c r="C42" i="26"/>
  <c r="G3" i="25"/>
  <c r="G7" i="25" s="1"/>
  <c r="B20" i="26"/>
  <c r="B33" i="26"/>
  <c r="B23" i="26"/>
  <c r="B38" i="26"/>
  <c r="B37" i="26"/>
  <c r="B13" i="26"/>
  <c r="D24" i="26"/>
  <c r="B30" i="26"/>
  <c r="B12" i="26"/>
  <c r="B46" i="26"/>
  <c r="B29" i="26"/>
  <c r="B21" i="26"/>
  <c r="C33" i="26"/>
  <c r="B14" i="26"/>
  <c r="B42" i="26"/>
  <c r="G2" i="25"/>
  <c r="G6" i="25" s="1"/>
  <c r="C35" i="26"/>
  <c r="D43" i="26"/>
  <c r="B11" i="26"/>
  <c r="C39" i="26"/>
  <c r="C20" i="26"/>
  <c r="B39" i="26"/>
  <c r="B27" i="26"/>
  <c r="B18" i="26"/>
  <c r="D38" i="26"/>
  <c r="D27" i="26"/>
  <c r="C24" i="26"/>
  <c r="C40" i="26"/>
  <c r="C15" i="26"/>
  <c r="C21" i="26"/>
  <c r="C47" i="26"/>
  <c r="D26" i="26"/>
  <c r="I3" i="25"/>
  <c r="I7" i="25" s="1"/>
  <c r="D33" i="26"/>
  <c r="D11" i="26"/>
  <c r="D13" i="26"/>
  <c r="C17" i="26"/>
  <c r="D37" i="26"/>
  <c r="D21" i="26"/>
  <c r="C18" i="26"/>
  <c r="C27" i="26"/>
  <c r="D45" i="26"/>
  <c r="H3" i="25"/>
  <c r="H7" i="25" s="1"/>
  <c r="C41" i="26"/>
  <c r="C22" i="26"/>
  <c r="C32" i="26"/>
  <c r="D44" i="26"/>
  <c r="D20" i="26"/>
  <c r="D12" i="26"/>
  <c r="D42" i="26"/>
  <c r="D14" i="26"/>
  <c r="B44" i="26"/>
  <c r="B45" i="26"/>
  <c r="C45" i="26"/>
  <c r="B17" i="26"/>
  <c r="C14" i="26"/>
  <c r="D29" i="26"/>
  <c r="C25" i="26"/>
  <c r="H2" i="25"/>
  <c r="H6" i="25" s="1"/>
  <c r="C31" i="26"/>
  <c r="B28" i="26"/>
  <c r="D16" i="26"/>
  <c r="C43" i="26"/>
  <c r="D25" i="26"/>
  <c r="B16" i="26"/>
  <c r="D40" i="26"/>
  <c r="C30" i="26"/>
  <c r="C10" i="26"/>
  <c r="B22" i="26"/>
  <c r="B19" i="26"/>
  <c r="B43" i="26"/>
  <c r="B15" i="26"/>
  <c r="B34" i="26"/>
  <c r="B8" i="26"/>
  <c r="M8" i="26" s="1"/>
  <c r="D35" i="26"/>
  <c r="D39" i="26"/>
  <c r="D30" i="26"/>
  <c r="D23" i="26"/>
  <c r="D15" i="26"/>
  <c r="D8" i="26"/>
  <c r="C38" i="26"/>
  <c r="C26" i="26"/>
  <c r="C34" i="26"/>
  <c r="C37" i="26"/>
  <c r="D17" i="26"/>
  <c r="D41" i="26"/>
  <c r="D34" i="26"/>
  <c r="D19" i="26"/>
  <c r="I2" i="25"/>
  <c r="I6" i="25" s="1"/>
  <c r="C12" i="26"/>
  <c r="B25" i="26"/>
  <c r="B40" i="26"/>
  <c r="C28" i="26"/>
  <c r="B32" i="26"/>
  <c r="C36" i="26"/>
  <c r="B41" i="26"/>
  <c r="D36" i="26"/>
  <c r="D32" i="26"/>
  <c r="C8" i="26"/>
  <c r="B24" i="26"/>
  <c r="B36" i="26"/>
  <c r="C19" i="26"/>
  <c r="C44" i="26"/>
  <c r="D28" i="26"/>
  <c r="C11" i="26"/>
  <c r="C23" i="26"/>
  <c r="B10" i="26"/>
  <c r="M10" i="26" s="1"/>
  <c r="B47" i="26"/>
  <c r="B35" i="26"/>
  <c r="B26" i="26"/>
  <c r="B31" i="26"/>
  <c r="D10" i="26"/>
  <c r="D47" i="26"/>
  <c r="D31" i="26"/>
  <c r="D46" i="26"/>
  <c r="D22" i="26"/>
  <c r="C46" i="26"/>
  <c r="D9" i="26"/>
  <c r="M9" i="26"/>
  <c r="G38" i="20"/>
  <c r="S32" i="21"/>
  <c r="S26" i="21"/>
  <c r="S43" i="21"/>
  <c r="S13" i="21"/>
  <c r="S42" i="21"/>
  <c r="S46" i="21"/>
  <c r="S30" i="21"/>
  <c r="S27" i="21"/>
  <c r="S23" i="21"/>
  <c r="S36" i="21"/>
  <c r="U25" i="20"/>
  <c r="G7" i="20"/>
  <c r="G12" i="20"/>
  <c r="S12" i="21"/>
  <c r="G39" i="20"/>
  <c r="G19" i="20"/>
  <c r="S17" i="21"/>
  <c r="S16" i="21"/>
  <c r="S15" i="21"/>
  <c r="S28" i="21"/>
  <c r="S37" i="21"/>
  <c r="S33" i="21"/>
  <c r="U14" i="20"/>
  <c r="U10" i="20"/>
  <c r="U43" i="20"/>
  <c r="U18" i="20"/>
  <c r="U34" i="20"/>
  <c r="U7" i="20"/>
  <c r="S50" i="21"/>
  <c r="S44" i="21"/>
  <c r="S25" i="21"/>
  <c r="G44" i="20"/>
  <c r="G6" i="20"/>
  <c r="G37" i="20"/>
  <c r="G34" i="20"/>
  <c r="G18" i="20"/>
  <c r="U36" i="20"/>
  <c r="S29" i="21"/>
  <c r="S38" i="21"/>
  <c r="S22" i="21"/>
  <c r="S39" i="21"/>
  <c r="S20" i="21"/>
  <c r="S19" i="21"/>
  <c r="U15" i="20"/>
  <c r="U30" i="20"/>
  <c r="U28" i="20"/>
  <c r="U16" i="20"/>
  <c r="U31" i="20"/>
  <c r="S21" i="21"/>
  <c r="S45" i="21"/>
  <c r="S18" i="21"/>
  <c r="G36" i="20"/>
  <c r="AG12" i="21"/>
  <c r="G20" i="20"/>
  <c r="G22" i="20"/>
  <c r="G9" i="20"/>
  <c r="G41" i="20"/>
  <c r="G40" i="20"/>
  <c r="G11" i="20"/>
  <c r="G10" i="20"/>
  <c r="G15" i="20"/>
  <c r="S40" i="21"/>
  <c r="S41" i="21"/>
  <c r="S35" i="21"/>
  <c r="S24" i="21"/>
  <c r="S34" i="21"/>
  <c r="S11" i="21"/>
  <c r="U32" i="20"/>
  <c r="U22" i="20"/>
  <c r="U44" i="20"/>
  <c r="U38" i="20"/>
  <c r="U12" i="20"/>
  <c r="AG11" i="21"/>
  <c r="W13" i="18"/>
  <c r="Y13" i="18" s="1"/>
  <c r="F13" i="27" s="1"/>
  <c r="W9" i="18"/>
  <c r="Y9" i="18" s="1"/>
  <c r="F9" i="27" s="1"/>
  <c r="W27" i="18"/>
  <c r="Y27" i="18" s="1"/>
  <c r="W19" i="18"/>
  <c r="Y19" i="18" s="1"/>
  <c r="W15" i="18"/>
  <c r="Y15" i="18" s="1"/>
  <c r="W34" i="18"/>
  <c r="Y34" i="18" s="1"/>
  <c r="W40" i="18"/>
  <c r="Y40" i="18" s="1"/>
  <c r="W28" i="18"/>
  <c r="Y28" i="18" s="1"/>
  <c r="W14" i="18"/>
  <c r="Y14" i="18" s="1"/>
  <c r="F14" i="27" s="1"/>
  <c r="W17" i="18"/>
  <c r="Y17" i="18" s="1"/>
  <c r="W4" i="18"/>
  <c r="Y4" i="18" s="1"/>
  <c r="W16" i="18"/>
  <c r="Y16" i="18" s="1"/>
  <c r="W37" i="18"/>
  <c r="Y37" i="18" s="1"/>
  <c r="W29" i="18"/>
  <c r="Y29" i="18" s="1"/>
  <c r="W8" i="18"/>
  <c r="Y8" i="18" s="1"/>
  <c r="F8" i="27" s="1"/>
  <c r="W24" i="18"/>
  <c r="Y24" i="18" s="1"/>
  <c r="W7" i="18"/>
  <c r="Y7" i="18" s="1"/>
  <c r="F7" i="27" s="1"/>
  <c r="W36" i="18"/>
  <c r="Y36" i="18" s="1"/>
  <c r="W38" i="18"/>
  <c r="Y38" i="18" s="1"/>
  <c r="W25" i="18"/>
  <c r="Y25" i="18" s="1"/>
  <c r="W22" i="18"/>
  <c r="Y22" i="18" s="1"/>
  <c r="W42" i="18"/>
  <c r="Y42" i="18" s="1"/>
  <c r="W5" i="18"/>
  <c r="Y5" i="18" s="1"/>
  <c r="W18" i="18"/>
  <c r="Y18" i="18" s="1"/>
  <c r="W26" i="18"/>
  <c r="Y26" i="18" s="1"/>
  <c r="W39" i="18"/>
  <c r="Y39" i="18" s="1"/>
  <c r="W31" i="18"/>
  <c r="Y31" i="18" s="1"/>
  <c r="W21" i="18"/>
  <c r="Y21" i="18" s="1"/>
  <c r="W10" i="18"/>
  <c r="Y10" i="18" s="1"/>
  <c r="F10" i="27" s="1"/>
  <c r="W35" i="18"/>
  <c r="Y35" i="18" s="1"/>
  <c r="W6" i="18"/>
  <c r="Y6" i="18" s="1"/>
  <c r="F6" i="27" s="1"/>
  <c r="W32" i="18"/>
  <c r="Y32" i="18" s="1"/>
  <c r="W30" i="18"/>
  <c r="Y30" i="18" s="1"/>
  <c r="W11" i="18"/>
  <c r="Y11" i="18" s="1"/>
  <c r="F11" i="27" s="1"/>
  <c r="W12" i="18"/>
  <c r="Y12" i="18" s="1"/>
  <c r="F12" i="27" s="1"/>
  <c r="W3" i="18"/>
  <c r="Y3" i="18" s="1"/>
  <c r="F3" i="27" s="1"/>
  <c r="F16" i="27" l="1"/>
  <c r="F5" i="27"/>
  <c r="F15" i="27"/>
  <c r="F4" i="27"/>
  <c r="F17" i="27"/>
  <c r="F21" i="27"/>
  <c r="F25" i="27"/>
  <c r="F29" i="27"/>
  <c r="F33" i="27"/>
  <c r="F37" i="27"/>
  <c r="F41" i="27"/>
  <c r="F45" i="27"/>
  <c r="F49" i="27"/>
  <c r="F53" i="27"/>
  <c r="F57" i="27"/>
  <c r="F61" i="27"/>
  <c r="F65" i="27"/>
  <c r="F69" i="27"/>
  <c r="F73" i="27"/>
  <c r="F77" i="27"/>
  <c r="F81" i="27"/>
  <c r="F85" i="27"/>
  <c r="F89" i="27"/>
  <c r="F93" i="27"/>
  <c r="F97" i="27"/>
  <c r="F101" i="27"/>
  <c r="F105" i="27"/>
  <c r="F109" i="27"/>
  <c r="F113" i="27"/>
  <c r="F117" i="27"/>
  <c r="F121" i="27"/>
  <c r="F125" i="27"/>
  <c r="F129" i="27"/>
  <c r="F133" i="27"/>
  <c r="F137" i="27"/>
  <c r="F141" i="27"/>
  <c r="F145" i="27"/>
  <c r="F149" i="27"/>
  <c r="F153" i="27"/>
  <c r="F157" i="27"/>
  <c r="F161" i="27"/>
  <c r="F165" i="27"/>
  <c r="F169" i="27"/>
  <c r="F173" i="27"/>
  <c r="F177" i="27"/>
  <c r="F181" i="27"/>
  <c r="F185" i="27"/>
  <c r="F189" i="27"/>
  <c r="F193" i="27"/>
  <c r="F197" i="27"/>
  <c r="F201" i="27"/>
  <c r="F205" i="27"/>
  <c r="F209" i="27"/>
  <c r="F213" i="27"/>
  <c r="F217" i="27"/>
  <c r="F221" i="27"/>
  <c r="F225" i="27"/>
  <c r="F229" i="27"/>
  <c r="F233" i="27"/>
  <c r="F237" i="27"/>
  <c r="F241" i="27"/>
  <c r="F245" i="27"/>
  <c r="F249" i="27"/>
  <c r="F253" i="27"/>
  <c r="F257" i="27"/>
  <c r="F261" i="27"/>
  <c r="F265" i="27"/>
  <c r="F269" i="27"/>
  <c r="F273" i="27"/>
  <c r="F277" i="27"/>
  <c r="F281" i="27"/>
  <c r="F285" i="27"/>
  <c r="F289" i="27"/>
  <c r="F293" i="27"/>
  <c r="F297" i="27"/>
  <c r="F20" i="27"/>
  <c r="F24" i="27"/>
  <c r="F28" i="27"/>
  <c r="F32" i="27"/>
  <c r="F36" i="27"/>
  <c r="F40" i="27"/>
  <c r="F44" i="27"/>
  <c r="F48" i="27"/>
  <c r="F52" i="27"/>
  <c r="F56" i="27"/>
  <c r="F60" i="27"/>
  <c r="F64" i="27"/>
  <c r="F18" i="27"/>
  <c r="F22" i="27"/>
  <c r="F26" i="27"/>
  <c r="F30" i="27"/>
  <c r="F34" i="27"/>
  <c r="F38" i="27"/>
  <c r="F42" i="27"/>
  <c r="F46" i="27"/>
  <c r="F50" i="27"/>
  <c r="F54" i="27"/>
  <c r="F58" i="27"/>
  <c r="F62" i="27"/>
  <c r="F66" i="27"/>
  <c r="F70" i="27"/>
  <c r="F74" i="27"/>
  <c r="F78" i="27"/>
  <c r="F82" i="27"/>
  <c r="F86" i="27"/>
  <c r="F90" i="27"/>
  <c r="F94" i="27"/>
  <c r="F98" i="27"/>
  <c r="F102" i="27"/>
  <c r="F106" i="27"/>
  <c r="F110" i="27"/>
  <c r="F114" i="27"/>
  <c r="F118" i="27"/>
  <c r="F122" i="27"/>
  <c r="F126" i="27"/>
  <c r="F130" i="27"/>
  <c r="F134" i="27"/>
  <c r="F138" i="27"/>
  <c r="F142" i="27"/>
  <c r="F146" i="27"/>
  <c r="F150" i="27"/>
  <c r="F154" i="27"/>
  <c r="F158" i="27"/>
  <c r="F162" i="27"/>
  <c r="F166" i="27"/>
  <c r="F170" i="27"/>
  <c r="F174" i="27"/>
  <c r="F178" i="27"/>
  <c r="F182" i="27"/>
  <c r="F186" i="27"/>
  <c r="F190" i="27"/>
  <c r="F194" i="27"/>
  <c r="F198" i="27"/>
  <c r="F202" i="27"/>
  <c r="F206" i="27"/>
  <c r="F210" i="27"/>
  <c r="F214" i="27"/>
  <c r="F218" i="27"/>
  <c r="F222" i="27"/>
  <c r="F226" i="27"/>
  <c r="F230" i="27"/>
  <c r="F234" i="27"/>
  <c r="F238" i="27"/>
  <c r="F242" i="27"/>
  <c r="F246" i="27"/>
  <c r="F250" i="27"/>
  <c r="F254" i="27"/>
  <c r="F258" i="27"/>
  <c r="F262" i="27"/>
  <c r="F266" i="27"/>
  <c r="F270" i="27"/>
  <c r="F274" i="27"/>
  <c r="F278" i="27"/>
  <c r="F282" i="27"/>
  <c r="F286" i="27"/>
  <c r="F290" i="27"/>
  <c r="F294" i="27"/>
  <c r="F298" i="27"/>
  <c r="F31" i="27"/>
  <c r="F47" i="27"/>
  <c r="F63" i="27"/>
  <c r="F68" i="27"/>
  <c r="F76" i="27"/>
  <c r="F84" i="27"/>
  <c r="F92" i="27"/>
  <c r="F100" i="27"/>
  <c r="F108" i="27"/>
  <c r="F116" i="27"/>
  <c r="F124" i="27"/>
  <c r="F132" i="27"/>
  <c r="F140" i="27"/>
  <c r="F148" i="27"/>
  <c r="F156" i="27"/>
  <c r="F164" i="27"/>
  <c r="F172" i="27"/>
  <c r="F180" i="27"/>
  <c r="F188" i="27"/>
  <c r="F196" i="27"/>
  <c r="F204" i="27"/>
  <c r="F212" i="27"/>
  <c r="F220" i="27"/>
  <c r="F228" i="27"/>
  <c r="F236" i="27"/>
  <c r="F244" i="27"/>
  <c r="F252" i="27"/>
  <c r="F260" i="27"/>
  <c r="F268" i="27"/>
  <c r="F276" i="27"/>
  <c r="F284" i="27"/>
  <c r="F292" i="27"/>
  <c r="F300" i="27"/>
  <c r="F27" i="27"/>
  <c r="F43" i="27"/>
  <c r="F59" i="27"/>
  <c r="F71" i="27"/>
  <c r="F79" i="27"/>
  <c r="F87" i="27"/>
  <c r="F95" i="27"/>
  <c r="F103" i="27"/>
  <c r="F111" i="27"/>
  <c r="F119" i="27"/>
  <c r="F127" i="27"/>
  <c r="F135" i="27"/>
  <c r="F143" i="27"/>
  <c r="F151" i="27"/>
  <c r="F159" i="27"/>
  <c r="F167" i="27"/>
  <c r="F175" i="27"/>
  <c r="F183" i="27"/>
  <c r="F191" i="27"/>
  <c r="F199" i="27"/>
  <c r="F207" i="27"/>
  <c r="F215" i="27"/>
  <c r="F223" i="27"/>
  <c r="F231" i="27"/>
  <c r="F239" i="27"/>
  <c r="F247" i="27"/>
  <c r="F255" i="27"/>
  <c r="F263" i="27"/>
  <c r="F271" i="27"/>
  <c r="F279" i="27"/>
  <c r="F287" i="27"/>
  <c r="F295" i="27"/>
  <c r="F19" i="27"/>
  <c r="F35" i="27"/>
  <c r="F51" i="27"/>
  <c r="F67" i="27"/>
  <c r="F75" i="27"/>
  <c r="F83" i="27"/>
  <c r="F91" i="27"/>
  <c r="F99" i="27"/>
  <c r="F107" i="27"/>
  <c r="F115" i="27"/>
  <c r="F123" i="27"/>
  <c r="F131" i="27"/>
  <c r="F139" i="27"/>
  <c r="F147" i="27"/>
  <c r="F155" i="27"/>
  <c r="F163" i="27"/>
  <c r="F171" i="27"/>
  <c r="F179" i="27"/>
  <c r="F187" i="27"/>
  <c r="F195" i="27"/>
  <c r="F203" i="27"/>
  <c r="F211" i="27"/>
  <c r="F219" i="27"/>
  <c r="F227" i="27"/>
  <c r="F235" i="27"/>
  <c r="F243" i="27"/>
  <c r="F251" i="27"/>
  <c r="F259" i="27"/>
  <c r="F267" i="27"/>
  <c r="F275" i="27"/>
  <c r="F283" i="27"/>
  <c r="F291" i="27"/>
  <c r="F299" i="27"/>
  <c r="F23" i="27"/>
  <c r="F39" i="27"/>
  <c r="F55" i="27"/>
  <c r="F72" i="27"/>
  <c r="F80" i="27"/>
  <c r="F88" i="27"/>
  <c r="F96" i="27"/>
  <c r="F104" i="27"/>
  <c r="F112" i="27"/>
  <c r="F120" i="27"/>
  <c r="F128" i="27"/>
  <c r="F136" i="27"/>
  <c r="F144" i="27"/>
  <c r="F152" i="27"/>
  <c r="F160" i="27"/>
  <c r="F168" i="27"/>
  <c r="F176" i="27"/>
  <c r="F184" i="27"/>
  <c r="F192" i="27"/>
  <c r="F200" i="27"/>
  <c r="F216" i="27"/>
  <c r="F248" i="27"/>
  <c r="F280" i="27"/>
  <c r="F264" i="27"/>
  <c r="F296" i="27"/>
  <c r="F240" i="27"/>
  <c r="F224" i="27"/>
  <c r="F256" i="27"/>
  <c r="F288" i="27"/>
  <c r="F232" i="27"/>
  <c r="F208" i="27"/>
  <c r="F272" i="27"/>
  <c r="N22" i="26"/>
  <c r="N29" i="26"/>
  <c r="N9" i="26"/>
  <c r="B15" i="27" s="1"/>
  <c r="N27" i="26"/>
  <c r="Q8" i="26"/>
  <c r="N11" i="26"/>
  <c r="B56" i="27" s="1"/>
  <c r="N47" i="26"/>
  <c r="N44" i="26"/>
  <c r="N33" i="26"/>
  <c r="B8" i="27"/>
  <c r="B14" i="27"/>
  <c r="B5" i="27"/>
  <c r="B11" i="27"/>
  <c r="N43" i="26"/>
  <c r="N42" i="26"/>
  <c r="N13" i="26"/>
  <c r="N14" i="26"/>
  <c r="N31" i="26"/>
  <c r="N41" i="26"/>
  <c r="N16" i="26"/>
  <c r="N17" i="26"/>
  <c r="B12" i="27" s="1"/>
  <c r="N19" i="26"/>
  <c r="N46" i="26"/>
  <c r="N40" i="26"/>
  <c r="N26" i="26"/>
  <c r="N28" i="26"/>
  <c r="N25" i="26"/>
  <c r="N12" i="26"/>
  <c r="B7" i="27" s="1"/>
  <c r="N23" i="26"/>
  <c r="N21" i="26"/>
  <c r="N35" i="26"/>
  <c r="N34" i="26"/>
  <c r="N36" i="26"/>
  <c r="N39" i="26"/>
  <c r="N10" i="26"/>
  <c r="B16" i="27" s="1"/>
  <c r="N37" i="26"/>
  <c r="N15" i="26"/>
  <c r="B10" i="27" s="1"/>
  <c r="N20" i="26"/>
  <c r="N45" i="26"/>
  <c r="N30" i="26"/>
  <c r="N24" i="26"/>
  <c r="N18" i="26"/>
  <c r="B13" i="27" s="1"/>
  <c r="N8" i="26"/>
  <c r="N38" i="26"/>
  <c r="N32" i="26"/>
  <c r="AH11" i="21"/>
  <c r="H6" i="20" s="1"/>
  <c r="K6" i="20" s="1"/>
  <c r="V6" i="20" s="1"/>
  <c r="AH15" i="21"/>
  <c r="H10" i="20" s="1"/>
  <c r="K10" i="20" s="1"/>
  <c r="V10" i="20" s="1"/>
  <c r="AH19" i="21"/>
  <c r="H14" i="20" s="1"/>
  <c r="K14" i="20" s="1"/>
  <c r="V14" i="20" s="1"/>
  <c r="AH20" i="21"/>
  <c r="H15" i="20" s="1"/>
  <c r="K15" i="20" s="1"/>
  <c r="V15" i="20" s="1"/>
  <c r="AH26" i="21"/>
  <c r="H21" i="20" s="1"/>
  <c r="K21" i="20" s="1"/>
  <c r="AH16" i="21"/>
  <c r="H11" i="20" s="1"/>
  <c r="K11" i="20" s="1"/>
  <c r="V11" i="20" s="1"/>
  <c r="AH34" i="21"/>
  <c r="H29" i="20" s="1"/>
  <c r="K29" i="20" s="1"/>
  <c r="AH37" i="21"/>
  <c r="H32" i="20" s="1"/>
  <c r="K32" i="20" s="1"/>
  <c r="AH39" i="21"/>
  <c r="H34" i="20" s="1"/>
  <c r="K34" i="20" s="1"/>
  <c r="AH29" i="21"/>
  <c r="H24" i="20" s="1"/>
  <c r="K24" i="20" s="1"/>
  <c r="AH45" i="21"/>
  <c r="H40" i="20" s="1"/>
  <c r="K40" i="20" s="1"/>
  <c r="AH33" i="21"/>
  <c r="H28" i="20" s="1"/>
  <c r="K28" i="20" s="1"/>
  <c r="AH35" i="21"/>
  <c r="H30" i="20" s="1"/>
  <c r="K30" i="20" s="1"/>
  <c r="AH41" i="21"/>
  <c r="H36" i="20" s="1"/>
  <c r="K36" i="20" s="1"/>
  <c r="AH43" i="21"/>
  <c r="H38" i="20" s="1"/>
  <c r="K38" i="20" s="1"/>
  <c r="AH22" i="21"/>
  <c r="H17" i="20" s="1"/>
  <c r="K17" i="20" s="1"/>
  <c r="V17" i="20" s="1"/>
  <c r="AH24" i="21"/>
  <c r="H19" i="20" s="1"/>
  <c r="K19" i="20" s="1"/>
  <c r="V19" i="20" s="1"/>
  <c r="AH48" i="21"/>
  <c r="H43" i="20" s="1"/>
  <c r="K43" i="20" s="1"/>
  <c r="AH38" i="21"/>
  <c r="H33" i="20" s="1"/>
  <c r="K33" i="20" s="1"/>
  <c r="AH40" i="21"/>
  <c r="H35" i="20" s="1"/>
  <c r="K35" i="20" s="1"/>
  <c r="AH32" i="21"/>
  <c r="H27" i="20" s="1"/>
  <c r="K27" i="20" s="1"/>
  <c r="AH25" i="21"/>
  <c r="H20" i="20" s="1"/>
  <c r="K20" i="20" s="1"/>
  <c r="AH21" i="21"/>
  <c r="H16" i="20" s="1"/>
  <c r="K16" i="20" s="1"/>
  <c r="V16" i="20" s="1"/>
  <c r="AH27" i="21"/>
  <c r="H22" i="20" s="1"/>
  <c r="K22" i="20" s="1"/>
  <c r="AH42" i="21"/>
  <c r="H37" i="20" s="1"/>
  <c r="K37" i="20" s="1"/>
  <c r="AH30" i="21"/>
  <c r="H25" i="20" s="1"/>
  <c r="K25" i="20" s="1"/>
  <c r="AH17" i="21"/>
  <c r="H12" i="20" s="1"/>
  <c r="K12" i="20" s="1"/>
  <c r="V12" i="20" s="1"/>
  <c r="AH14" i="21"/>
  <c r="H9" i="20" s="1"/>
  <c r="K9" i="20" s="1"/>
  <c r="V9" i="20" s="1"/>
  <c r="AH50" i="21"/>
  <c r="H45" i="20" s="1"/>
  <c r="K45" i="20" s="1"/>
  <c r="AH47" i="21"/>
  <c r="H42" i="20" s="1"/>
  <c r="K42" i="20" s="1"/>
  <c r="AH18" i="21"/>
  <c r="H13" i="20" s="1"/>
  <c r="K13" i="20" s="1"/>
  <c r="V13" i="20" s="1"/>
  <c r="AH46" i="21"/>
  <c r="H41" i="20" s="1"/>
  <c r="K41" i="20" s="1"/>
  <c r="AH44" i="21"/>
  <c r="H39" i="20" s="1"/>
  <c r="K39" i="20" s="1"/>
  <c r="AH36" i="21"/>
  <c r="H31" i="20" s="1"/>
  <c r="K31" i="20" s="1"/>
  <c r="AH23" i="21"/>
  <c r="H18" i="20" s="1"/>
  <c r="K18" i="20" s="1"/>
  <c r="V18" i="20" s="1"/>
  <c r="AH49" i="21"/>
  <c r="H44" i="20" s="1"/>
  <c r="K44" i="20" s="1"/>
  <c r="AH31" i="21"/>
  <c r="H26" i="20" s="1"/>
  <c r="K26" i="20" s="1"/>
  <c r="AH28" i="21"/>
  <c r="H23" i="20" s="1"/>
  <c r="K23" i="20" s="1"/>
  <c r="AH12" i="21"/>
  <c r="H7" i="20" s="1"/>
  <c r="K7" i="20" s="1"/>
  <c r="V7" i="20" s="1"/>
  <c r="AH13" i="21"/>
  <c r="H8" i="20" s="1"/>
  <c r="K8" i="20" s="1"/>
  <c r="V8" i="20" s="1"/>
  <c r="R2" i="14"/>
  <c r="C9" i="27" s="1"/>
  <c r="AG23" i="15"/>
  <c r="AF23" i="15"/>
  <c r="AE23" i="15"/>
  <c r="AD23" i="15"/>
  <c r="AC23" i="15"/>
  <c r="AB23" i="15"/>
  <c r="AA23" i="15"/>
  <c r="Z23" i="15"/>
  <c r="Y23" i="15"/>
  <c r="X23" i="15"/>
  <c r="W23" i="15"/>
  <c r="V23" i="15"/>
  <c r="U23" i="15"/>
  <c r="T23" i="15"/>
  <c r="S23" i="15"/>
  <c r="R23" i="15"/>
  <c r="Q23" i="15"/>
  <c r="P23" i="15"/>
  <c r="O23" i="15"/>
  <c r="N23" i="15"/>
  <c r="M23" i="15"/>
  <c r="L23" i="15"/>
  <c r="K23" i="15"/>
  <c r="J23" i="15"/>
  <c r="I23" i="15"/>
  <c r="H23" i="15"/>
  <c r="G23" i="15"/>
  <c r="F23" i="15"/>
  <c r="E23" i="15"/>
  <c r="D23" i="15"/>
  <c r="C23" i="15"/>
  <c r="B23" i="15"/>
  <c r="AG22" i="15"/>
  <c r="AF22" i="15"/>
  <c r="AE22" i="15"/>
  <c r="AD22" i="15"/>
  <c r="AC22" i="15"/>
  <c r="AB22" i="15"/>
  <c r="AA22" i="15"/>
  <c r="Z22" i="15"/>
  <c r="Y22" i="15"/>
  <c r="X22" i="15"/>
  <c r="W22" i="15"/>
  <c r="V22" i="15"/>
  <c r="U22" i="15"/>
  <c r="T22" i="15"/>
  <c r="S22" i="15"/>
  <c r="R22" i="15"/>
  <c r="Q22" i="15"/>
  <c r="P22" i="15"/>
  <c r="O22" i="15"/>
  <c r="N22" i="15"/>
  <c r="M22" i="15"/>
  <c r="L22" i="15"/>
  <c r="K22" i="15"/>
  <c r="J22" i="15"/>
  <c r="I22" i="15"/>
  <c r="H22" i="15"/>
  <c r="G22" i="15"/>
  <c r="F22" i="15"/>
  <c r="E22" i="15"/>
  <c r="D22" i="15"/>
  <c r="C22" i="15"/>
  <c r="B22" i="15"/>
  <c r="AG21" i="15"/>
  <c r="AF21" i="15"/>
  <c r="AE21" i="15"/>
  <c r="AD21" i="15"/>
  <c r="AC21" i="15"/>
  <c r="AB21" i="15"/>
  <c r="AA21" i="15"/>
  <c r="Z21" i="15"/>
  <c r="Y21" i="15"/>
  <c r="X21" i="15"/>
  <c r="W21" i="15"/>
  <c r="V21" i="15"/>
  <c r="U21" i="15"/>
  <c r="T21" i="15"/>
  <c r="S21" i="15"/>
  <c r="R21" i="15"/>
  <c r="Q21" i="15"/>
  <c r="P21" i="15"/>
  <c r="O21" i="15"/>
  <c r="N21" i="15"/>
  <c r="M21" i="15"/>
  <c r="L21" i="15"/>
  <c r="K21" i="15"/>
  <c r="J21" i="15"/>
  <c r="I21" i="15"/>
  <c r="H21" i="15"/>
  <c r="G21" i="15"/>
  <c r="F21" i="15"/>
  <c r="E21" i="15"/>
  <c r="D21" i="15"/>
  <c r="C21" i="15"/>
  <c r="B21" i="15"/>
  <c r="AG20" i="15"/>
  <c r="AF20" i="15"/>
  <c r="AE20" i="15"/>
  <c r="AD20" i="15"/>
  <c r="AC20" i="15"/>
  <c r="AB20" i="15"/>
  <c r="AA20" i="15"/>
  <c r="Z20" i="15"/>
  <c r="Y20" i="15"/>
  <c r="X20" i="15"/>
  <c r="W20" i="15"/>
  <c r="V20" i="15"/>
  <c r="U20" i="15"/>
  <c r="T20" i="15"/>
  <c r="S20" i="15"/>
  <c r="R20" i="15"/>
  <c r="Q20" i="15"/>
  <c r="P20" i="15"/>
  <c r="O20" i="15"/>
  <c r="N20" i="15"/>
  <c r="M20" i="15"/>
  <c r="L20" i="15"/>
  <c r="K20" i="15"/>
  <c r="J20" i="15"/>
  <c r="I20" i="15"/>
  <c r="H20" i="15"/>
  <c r="G20" i="15"/>
  <c r="F20" i="15"/>
  <c r="E20" i="15"/>
  <c r="D20" i="15"/>
  <c r="C20" i="15"/>
  <c r="B20" i="15"/>
  <c r="AG19" i="15"/>
  <c r="AF19" i="15"/>
  <c r="AE19" i="15"/>
  <c r="AD19" i="15"/>
  <c r="AC19" i="15"/>
  <c r="AB19" i="15"/>
  <c r="AA19" i="15"/>
  <c r="Z19" i="15"/>
  <c r="Y19" i="15"/>
  <c r="X19" i="15"/>
  <c r="W19" i="15"/>
  <c r="V19" i="15"/>
  <c r="U19" i="15"/>
  <c r="T19" i="15"/>
  <c r="S19" i="15"/>
  <c r="R19" i="15"/>
  <c r="Q19" i="15"/>
  <c r="P19" i="15"/>
  <c r="O19" i="15"/>
  <c r="N19" i="15"/>
  <c r="M19" i="15"/>
  <c r="L19" i="15"/>
  <c r="K19" i="15"/>
  <c r="J19" i="15"/>
  <c r="I19" i="15"/>
  <c r="H19" i="15"/>
  <c r="G19" i="15"/>
  <c r="F19" i="15"/>
  <c r="E19" i="15"/>
  <c r="D19" i="15"/>
  <c r="C19" i="15"/>
  <c r="B19" i="15"/>
  <c r="AG18" i="15"/>
  <c r="AF18" i="15"/>
  <c r="AE18" i="15"/>
  <c r="AD18" i="15"/>
  <c r="AC18" i="15"/>
  <c r="AB18" i="15"/>
  <c r="AA18" i="15"/>
  <c r="Z18" i="15"/>
  <c r="Y18" i="15"/>
  <c r="X18" i="15"/>
  <c r="W18" i="15"/>
  <c r="V18" i="15"/>
  <c r="U18" i="15"/>
  <c r="T18" i="15"/>
  <c r="S18" i="15"/>
  <c r="R18" i="15"/>
  <c r="Q18" i="15"/>
  <c r="P18" i="15"/>
  <c r="O18" i="15"/>
  <c r="N18" i="15"/>
  <c r="M18" i="15"/>
  <c r="L18" i="15"/>
  <c r="K18" i="15"/>
  <c r="J18" i="15"/>
  <c r="I18" i="15"/>
  <c r="H18" i="15"/>
  <c r="G18" i="15"/>
  <c r="F18" i="15"/>
  <c r="E18" i="15"/>
  <c r="D18" i="15"/>
  <c r="C18" i="15"/>
  <c r="B18" i="15"/>
  <c r="AG17" i="15"/>
  <c r="AF17" i="15"/>
  <c r="AE17" i="15"/>
  <c r="AD17" i="15"/>
  <c r="AC17" i="15"/>
  <c r="AB17" i="15"/>
  <c r="AA17" i="15"/>
  <c r="Z17" i="15"/>
  <c r="Y17" i="15"/>
  <c r="X17" i="15"/>
  <c r="W17" i="15"/>
  <c r="V17" i="15"/>
  <c r="U17" i="15"/>
  <c r="T17" i="15"/>
  <c r="S17" i="15"/>
  <c r="R17" i="15"/>
  <c r="Q17" i="15"/>
  <c r="P17" i="15"/>
  <c r="O17" i="15"/>
  <c r="N17" i="15"/>
  <c r="M17" i="15"/>
  <c r="L17" i="15"/>
  <c r="K17" i="15"/>
  <c r="J17" i="15"/>
  <c r="I17" i="15"/>
  <c r="H17" i="15"/>
  <c r="G17" i="15"/>
  <c r="F17" i="15"/>
  <c r="E17" i="15"/>
  <c r="D17" i="15"/>
  <c r="C17" i="15"/>
  <c r="B17" i="15"/>
  <c r="AG16" i="15"/>
  <c r="AF16" i="15"/>
  <c r="AE16" i="15"/>
  <c r="AD16" i="15"/>
  <c r="AC16" i="15"/>
  <c r="AB16" i="15"/>
  <c r="AA16" i="15"/>
  <c r="Z16" i="15"/>
  <c r="Y16" i="15"/>
  <c r="X16" i="15"/>
  <c r="W16" i="15"/>
  <c r="V16" i="15"/>
  <c r="U16" i="15"/>
  <c r="T16" i="15"/>
  <c r="S16" i="15"/>
  <c r="R16" i="15"/>
  <c r="Q16" i="15"/>
  <c r="P16" i="15"/>
  <c r="O16" i="15"/>
  <c r="N16" i="15"/>
  <c r="M16" i="15"/>
  <c r="L16" i="15"/>
  <c r="K16" i="15"/>
  <c r="J16" i="15"/>
  <c r="I16" i="15"/>
  <c r="H16" i="15"/>
  <c r="G16" i="15"/>
  <c r="F16" i="15"/>
  <c r="E16" i="15"/>
  <c r="D16" i="15"/>
  <c r="C16" i="15"/>
  <c r="B16" i="15"/>
  <c r="AG15" i="15"/>
  <c r="AF15" i="15"/>
  <c r="AE15" i="15"/>
  <c r="AD15" i="15"/>
  <c r="AC15" i="15"/>
  <c r="AB15" i="15"/>
  <c r="AA15" i="15"/>
  <c r="Z15" i="15"/>
  <c r="Y15" i="15"/>
  <c r="X15" i="15"/>
  <c r="W15" i="15"/>
  <c r="V15" i="15"/>
  <c r="U15" i="15"/>
  <c r="T15" i="15"/>
  <c r="S15" i="15"/>
  <c r="R15" i="15"/>
  <c r="Q15" i="15"/>
  <c r="P15" i="15"/>
  <c r="O15" i="15"/>
  <c r="N15" i="15"/>
  <c r="M15" i="15"/>
  <c r="L15" i="15"/>
  <c r="K15" i="15"/>
  <c r="J15" i="15"/>
  <c r="I15" i="15"/>
  <c r="H15" i="15"/>
  <c r="G15" i="15"/>
  <c r="F15" i="15"/>
  <c r="E15" i="15"/>
  <c r="D15" i="15"/>
  <c r="C15" i="15"/>
  <c r="B15" i="15"/>
  <c r="AG14" i="15"/>
  <c r="AF14" i="15"/>
  <c r="AE14" i="15"/>
  <c r="AD14" i="15"/>
  <c r="AC14" i="15"/>
  <c r="AB14" i="15"/>
  <c r="AA14" i="15"/>
  <c r="Z14" i="15"/>
  <c r="Y14" i="15"/>
  <c r="X14" i="15"/>
  <c r="W14" i="15"/>
  <c r="V14" i="15"/>
  <c r="U14" i="15"/>
  <c r="T14" i="15"/>
  <c r="S14" i="15"/>
  <c r="R14" i="15"/>
  <c r="Q14" i="15"/>
  <c r="P14" i="15"/>
  <c r="O14" i="15"/>
  <c r="N14" i="15"/>
  <c r="M14" i="15"/>
  <c r="L14" i="15"/>
  <c r="K14" i="15"/>
  <c r="J14" i="15"/>
  <c r="I14" i="15"/>
  <c r="H14" i="15"/>
  <c r="G14" i="15"/>
  <c r="F14" i="15"/>
  <c r="E14" i="15"/>
  <c r="D14" i="15"/>
  <c r="C14" i="15"/>
  <c r="B14" i="15"/>
  <c r="AG13" i="15"/>
  <c r="AF13" i="15"/>
  <c r="AE13" i="15"/>
  <c r="AD13" i="15"/>
  <c r="AC13" i="15"/>
  <c r="AB13" i="15"/>
  <c r="AA13" i="15"/>
  <c r="Z13" i="15"/>
  <c r="Y13" i="15"/>
  <c r="X13" i="15"/>
  <c r="W13" i="15"/>
  <c r="V13" i="15"/>
  <c r="U13" i="15"/>
  <c r="T13" i="15"/>
  <c r="S13" i="15"/>
  <c r="R13" i="15"/>
  <c r="Q13" i="15"/>
  <c r="P13" i="15"/>
  <c r="O13" i="15"/>
  <c r="N13" i="15"/>
  <c r="M13" i="15"/>
  <c r="L13" i="15"/>
  <c r="K13" i="15"/>
  <c r="J13" i="15"/>
  <c r="I13" i="15"/>
  <c r="H13" i="15"/>
  <c r="G13" i="15"/>
  <c r="F13" i="15"/>
  <c r="E13" i="15"/>
  <c r="D13" i="15"/>
  <c r="C13" i="15"/>
  <c r="B13" i="15"/>
  <c r="AG12" i="15"/>
  <c r="AF12" i="15"/>
  <c r="AE12" i="15"/>
  <c r="AD12" i="15"/>
  <c r="AC12" i="15"/>
  <c r="AB12" i="15"/>
  <c r="AA12" i="15"/>
  <c r="Z12" i="15"/>
  <c r="Y12" i="15"/>
  <c r="X12" i="15"/>
  <c r="W12" i="15"/>
  <c r="V12" i="15"/>
  <c r="U12" i="15"/>
  <c r="T12" i="15"/>
  <c r="S12" i="15"/>
  <c r="R12" i="15"/>
  <c r="Q12" i="15"/>
  <c r="P12" i="15"/>
  <c r="O12" i="15"/>
  <c r="N12" i="15"/>
  <c r="M12" i="15"/>
  <c r="L12" i="15"/>
  <c r="K12" i="15"/>
  <c r="J12" i="15"/>
  <c r="I12" i="15"/>
  <c r="H12" i="15"/>
  <c r="G12" i="15"/>
  <c r="F12" i="15"/>
  <c r="E12" i="15"/>
  <c r="D12" i="15"/>
  <c r="C12" i="15"/>
  <c r="B12" i="15"/>
  <c r="AG11" i="15"/>
  <c r="AF11" i="15"/>
  <c r="AE11" i="15"/>
  <c r="AD11" i="15"/>
  <c r="AC11" i="15"/>
  <c r="AB11" i="15"/>
  <c r="AA11" i="15"/>
  <c r="Z11" i="15"/>
  <c r="Y11" i="15"/>
  <c r="X11" i="15"/>
  <c r="W11" i="15"/>
  <c r="V11" i="15"/>
  <c r="U11" i="15"/>
  <c r="T11" i="15"/>
  <c r="S11" i="15"/>
  <c r="R11" i="15"/>
  <c r="Q11" i="15"/>
  <c r="P11" i="15"/>
  <c r="O11" i="15"/>
  <c r="N11" i="15"/>
  <c r="M11" i="15"/>
  <c r="L11" i="15"/>
  <c r="K11" i="15"/>
  <c r="J11" i="15"/>
  <c r="I11" i="15"/>
  <c r="H11" i="15"/>
  <c r="G11" i="15"/>
  <c r="F11" i="15"/>
  <c r="E11" i="15"/>
  <c r="D11" i="15"/>
  <c r="C11" i="15"/>
  <c r="B11" i="15"/>
  <c r="AG10" i="15"/>
  <c r="AF10" i="15"/>
  <c r="AE10" i="15"/>
  <c r="AD10" i="15"/>
  <c r="AC10" i="15"/>
  <c r="AB10" i="15"/>
  <c r="AA10" i="15"/>
  <c r="Z10" i="15"/>
  <c r="Y10" i="15"/>
  <c r="X10" i="15"/>
  <c r="W10" i="15"/>
  <c r="V10" i="15"/>
  <c r="U10" i="15"/>
  <c r="T10" i="15"/>
  <c r="S10" i="15"/>
  <c r="R10" i="15"/>
  <c r="Q10" i="15"/>
  <c r="P10" i="15"/>
  <c r="O10" i="15"/>
  <c r="N10" i="15"/>
  <c r="M10" i="15"/>
  <c r="L10" i="15"/>
  <c r="K10" i="15"/>
  <c r="J10" i="15"/>
  <c r="I10" i="15"/>
  <c r="H10" i="15"/>
  <c r="G10" i="15"/>
  <c r="F10" i="15"/>
  <c r="E10" i="15"/>
  <c r="D10" i="15"/>
  <c r="C10" i="15"/>
  <c r="B10" i="15"/>
  <c r="AG9" i="15"/>
  <c r="AF9" i="15"/>
  <c r="AE9" i="15"/>
  <c r="AD9" i="15"/>
  <c r="AC9" i="15"/>
  <c r="AB9" i="15"/>
  <c r="AA9" i="15"/>
  <c r="Z9" i="15"/>
  <c r="Y9" i="15"/>
  <c r="X9" i="15"/>
  <c r="W9" i="15"/>
  <c r="V9" i="15"/>
  <c r="U9" i="15"/>
  <c r="T9" i="15"/>
  <c r="S9" i="15"/>
  <c r="R9" i="15"/>
  <c r="Q9" i="15"/>
  <c r="P9" i="15"/>
  <c r="O9" i="15"/>
  <c r="N9" i="15"/>
  <c r="M9" i="15"/>
  <c r="L9" i="15"/>
  <c r="K9" i="15"/>
  <c r="J9" i="15"/>
  <c r="I9" i="15"/>
  <c r="H9" i="15"/>
  <c r="G9" i="15"/>
  <c r="F9" i="15"/>
  <c r="E9" i="15"/>
  <c r="D9" i="15"/>
  <c r="C9" i="15"/>
  <c r="B9" i="15"/>
  <c r="AG7" i="15"/>
  <c r="AF7" i="15"/>
  <c r="AE7" i="15"/>
  <c r="AD7" i="15"/>
  <c r="AC7" i="15"/>
  <c r="AB7" i="15"/>
  <c r="AA7" i="15"/>
  <c r="Z7" i="15"/>
  <c r="Y7" i="15"/>
  <c r="X7" i="15"/>
  <c r="W7" i="15"/>
  <c r="V7" i="15"/>
  <c r="U7" i="15"/>
  <c r="T7" i="15"/>
  <c r="S7" i="15"/>
  <c r="R7" i="15"/>
  <c r="Q7" i="15"/>
  <c r="P7" i="15"/>
  <c r="O7" i="15"/>
  <c r="N7" i="15"/>
  <c r="M7" i="15"/>
  <c r="L7" i="15"/>
  <c r="K7" i="15"/>
  <c r="J7" i="15"/>
  <c r="I7" i="15"/>
  <c r="H7" i="15"/>
  <c r="G7" i="15"/>
  <c r="F7" i="15"/>
  <c r="E7" i="15"/>
  <c r="D7" i="15"/>
  <c r="C7" i="15"/>
  <c r="B7" i="15"/>
  <c r="AG6" i="15"/>
  <c r="AF6" i="15"/>
  <c r="AE6" i="15"/>
  <c r="AD6" i="15"/>
  <c r="AC6" i="15"/>
  <c r="AB6" i="15"/>
  <c r="AA6" i="15"/>
  <c r="Z6" i="15"/>
  <c r="Y6" i="15"/>
  <c r="X6" i="15"/>
  <c r="W6" i="15"/>
  <c r="V6" i="15"/>
  <c r="U6" i="15"/>
  <c r="T6" i="15"/>
  <c r="S6" i="15"/>
  <c r="R6" i="15"/>
  <c r="Q6" i="15"/>
  <c r="P6" i="15"/>
  <c r="O6" i="15"/>
  <c r="N6" i="15"/>
  <c r="M6" i="15"/>
  <c r="L6" i="15"/>
  <c r="K6" i="15"/>
  <c r="J6" i="15"/>
  <c r="I6" i="15"/>
  <c r="H6" i="15"/>
  <c r="G6" i="15"/>
  <c r="F6" i="15"/>
  <c r="E6" i="15"/>
  <c r="D6" i="15"/>
  <c r="C6" i="15"/>
  <c r="B6" i="15"/>
  <c r="AG5" i="15"/>
  <c r="AF5" i="15"/>
  <c r="AE5" i="15"/>
  <c r="AD5" i="15"/>
  <c r="AC5" i="15"/>
  <c r="AB5" i="15"/>
  <c r="AA5" i="15"/>
  <c r="Z5" i="15"/>
  <c r="Y5" i="15"/>
  <c r="X5" i="15"/>
  <c r="W5" i="15"/>
  <c r="V5" i="15"/>
  <c r="U5" i="15"/>
  <c r="T5" i="15"/>
  <c r="S5" i="15"/>
  <c r="R5" i="15"/>
  <c r="Q5" i="15"/>
  <c r="P5" i="15"/>
  <c r="O5" i="15"/>
  <c r="N5" i="15"/>
  <c r="M5" i="15"/>
  <c r="L5" i="15"/>
  <c r="K5" i="15"/>
  <c r="J5" i="15"/>
  <c r="I5" i="15"/>
  <c r="H5" i="15"/>
  <c r="G5" i="15"/>
  <c r="F5" i="15"/>
  <c r="E5" i="15"/>
  <c r="D5" i="15"/>
  <c r="C5" i="15"/>
  <c r="B5" i="15"/>
  <c r="AG4" i="15"/>
  <c r="AF4" i="15"/>
  <c r="AE4" i="15"/>
  <c r="AD4" i="15"/>
  <c r="AC4" i="15"/>
  <c r="AB4" i="15"/>
  <c r="AA4" i="15"/>
  <c r="Z4" i="15"/>
  <c r="Y4" i="15"/>
  <c r="X4" i="15"/>
  <c r="W4" i="15"/>
  <c r="V4" i="15"/>
  <c r="U4" i="15"/>
  <c r="T4" i="15"/>
  <c r="S4" i="15"/>
  <c r="R4" i="15"/>
  <c r="Q4" i="15"/>
  <c r="P4" i="15"/>
  <c r="O4" i="15"/>
  <c r="N4" i="15"/>
  <c r="M4" i="15"/>
  <c r="L4" i="15"/>
  <c r="K4" i="15"/>
  <c r="J4" i="15"/>
  <c r="I4" i="15"/>
  <c r="H4" i="15"/>
  <c r="G4" i="15"/>
  <c r="F4" i="15"/>
  <c r="E4" i="15"/>
  <c r="D4" i="15"/>
  <c r="C4" i="15"/>
  <c r="B4" i="15"/>
  <c r="AG23" i="12"/>
  <c r="AF23" i="12"/>
  <c r="AE23" i="12"/>
  <c r="AD23" i="12"/>
  <c r="AC23" i="12"/>
  <c r="AB23" i="12"/>
  <c r="AA23" i="12"/>
  <c r="Z23" i="12"/>
  <c r="Y23" i="12"/>
  <c r="X23" i="12"/>
  <c r="W23" i="12"/>
  <c r="V23" i="12"/>
  <c r="U23" i="12"/>
  <c r="T23" i="12"/>
  <c r="S23" i="12"/>
  <c r="R23" i="12"/>
  <c r="Q23" i="12"/>
  <c r="P23" i="12"/>
  <c r="O23" i="12"/>
  <c r="N23" i="12"/>
  <c r="M23" i="12"/>
  <c r="L23" i="12"/>
  <c r="K23" i="12"/>
  <c r="J23" i="12"/>
  <c r="I23" i="12"/>
  <c r="H23" i="12"/>
  <c r="G23" i="12"/>
  <c r="F23" i="12"/>
  <c r="E23" i="12"/>
  <c r="D23" i="12"/>
  <c r="C23" i="12"/>
  <c r="AG22" i="12"/>
  <c r="AF22" i="12"/>
  <c r="AE22" i="12"/>
  <c r="AD22" i="12"/>
  <c r="AC22" i="12"/>
  <c r="AB22" i="12"/>
  <c r="AA22" i="12"/>
  <c r="Z22" i="12"/>
  <c r="Y22" i="12"/>
  <c r="X22" i="12"/>
  <c r="W22" i="12"/>
  <c r="V22" i="12"/>
  <c r="U22" i="12"/>
  <c r="T22" i="12"/>
  <c r="S22" i="12"/>
  <c r="R22" i="12"/>
  <c r="Q22" i="12"/>
  <c r="P22" i="12"/>
  <c r="O22" i="12"/>
  <c r="N22" i="12"/>
  <c r="M22" i="12"/>
  <c r="L22" i="12"/>
  <c r="K22" i="12"/>
  <c r="J22" i="12"/>
  <c r="I22" i="12"/>
  <c r="H22" i="12"/>
  <c r="G22" i="12"/>
  <c r="F22" i="12"/>
  <c r="E22" i="12"/>
  <c r="D22" i="12"/>
  <c r="C22" i="12"/>
  <c r="AG21" i="12"/>
  <c r="AF21" i="12"/>
  <c r="AE21" i="12"/>
  <c r="AD21" i="12"/>
  <c r="AC21" i="12"/>
  <c r="AB21" i="12"/>
  <c r="AA21" i="12"/>
  <c r="Z21" i="12"/>
  <c r="Y21" i="12"/>
  <c r="X21" i="12"/>
  <c r="W21" i="12"/>
  <c r="V21" i="12"/>
  <c r="U21" i="12"/>
  <c r="T21" i="12"/>
  <c r="S21" i="12"/>
  <c r="R21" i="12"/>
  <c r="Q21" i="12"/>
  <c r="P21" i="12"/>
  <c r="O21" i="12"/>
  <c r="N21" i="12"/>
  <c r="M21" i="12"/>
  <c r="L21" i="12"/>
  <c r="K21" i="12"/>
  <c r="J21" i="12"/>
  <c r="I21" i="12"/>
  <c r="H21" i="12"/>
  <c r="G21" i="12"/>
  <c r="F21" i="12"/>
  <c r="E21" i="12"/>
  <c r="D21" i="12"/>
  <c r="C21" i="12"/>
  <c r="AG20" i="12"/>
  <c r="AF20" i="12"/>
  <c r="AE20" i="12"/>
  <c r="AD20" i="12"/>
  <c r="AC20" i="12"/>
  <c r="AB20" i="12"/>
  <c r="AA20" i="12"/>
  <c r="Z20" i="12"/>
  <c r="Y20" i="12"/>
  <c r="X20" i="12"/>
  <c r="W20" i="12"/>
  <c r="V20" i="12"/>
  <c r="U20" i="12"/>
  <c r="T20" i="12"/>
  <c r="S20" i="12"/>
  <c r="R20" i="12"/>
  <c r="Q20" i="12"/>
  <c r="P20" i="12"/>
  <c r="O20" i="12"/>
  <c r="N20" i="12"/>
  <c r="M20" i="12"/>
  <c r="L20" i="12"/>
  <c r="K20" i="12"/>
  <c r="J20" i="12"/>
  <c r="I20" i="12"/>
  <c r="H20" i="12"/>
  <c r="G20" i="12"/>
  <c r="F20" i="12"/>
  <c r="E20" i="12"/>
  <c r="D20" i="12"/>
  <c r="C20" i="12"/>
  <c r="AG19" i="12"/>
  <c r="AF19" i="12"/>
  <c r="AE19" i="12"/>
  <c r="AD19" i="12"/>
  <c r="AC19" i="12"/>
  <c r="AB19" i="12"/>
  <c r="AA19" i="12"/>
  <c r="Z19" i="12"/>
  <c r="Y19" i="12"/>
  <c r="X19" i="12"/>
  <c r="W19" i="12"/>
  <c r="V19" i="12"/>
  <c r="U19" i="12"/>
  <c r="T19" i="12"/>
  <c r="S19" i="12"/>
  <c r="R19" i="12"/>
  <c r="Q19" i="12"/>
  <c r="P19" i="12"/>
  <c r="O19" i="12"/>
  <c r="N19" i="12"/>
  <c r="M19" i="12"/>
  <c r="L19" i="12"/>
  <c r="K19" i="12"/>
  <c r="J19" i="12"/>
  <c r="I19" i="12"/>
  <c r="H19" i="12"/>
  <c r="G19" i="12"/>
  <c r="F19" i="12"/>
  <c r="E19" i="12"/>
  <c r="D19" i="12"/>
  <c r="C19" i="12"/>
  <c r="AG18" i="12"/>
  <c r="AF18" i="12"/>
  <c r="AE18" i="12"/>
  <c r="AD18" i="12"/>
  <c r="AC18" i="12"/>
  <c r="AB18" i="12"/>
  <c r="AA18" i="12"/>
  <c r="Z18" i="12"/>
  <c r="Y18" i="12"/>
  <c r="X18" i="12"/>
  <c r="W18" i="12"/>
  <c r="V18" i="12"/>
  <c r="U18" i="12"/>
  <c r="T18" i="12"/>
  <c r="S18" i="12"/>
  <c r="R18" i="12"/>
  <c r="Q18" i="12"/>
  <c r="P18" i="12"/>
  <c r="O18" i="12"/>
  <c r="N18" i="12"/>
  <c r="M18" i="12"/>
  <c r="L18" i="12"/>
  <c r="K18" i="12"/>
  <c r="J18" i="12"/>
  <c r="I18" i="12"/>
  <c r="H18" i="12"/>
  <c r="G18" i="12"/>
  <c r="F18" i="12"/>
  <c r="E18" i="12"/>
  <c r="D18" i="12"/>
  <c r="C18" i="12"/>
  <c r="AG17" i="12"/>
  <c r="AF17" i="12"/>
  <c r="AE17" i="12"/>
  <c r="AD17" i="12"/>
  <c r="AC17" i="12"/>
  <c r="AB17" i="12"/>
  <c r="AA17" i="12"/>
  <c r="Z17" i="12"/>
  <c r="Y17" i="12"/>
  <c r="X17" i="12"/>
  <c r="W17" i="12"/>
  <c r="V17" i="12"/>
  <c r="U17" i="12"/>
  <c r="T17" i="12"/>
  <c r="S17" i="12"/>
  <c r="R17" i="12"/>
  <c r="Q17" i="12"/>
  <c r="P17" i="12"/>
  <c r="O17" i="12"/>
  <c r="N17" i="12"/>
  <c r="M17" i="12"/>
  <c r="L17" i="12"/>
  <c r="K17" i="12"/>
  <c r="J17" i="12"/>
  <c r="I17" i="12"/>
  <c r="H17" i="12"/>
  <c r="G17" i="12"/>
  <c r="F17" i="12"/>
  <c r="E17" i="12"/>
  <c r="D17" i="12"/>
  <c r="C17" i="12"/>
  <c r="AG16" i="12"/>
  <c r="AF16" i="12"/>
  <c r="AE16" i="12"/>
  <c r="AD16" i="12"/>
  <c r="AC16" i="12"/>
  <c r="AB16" i="12"/>
  <c r="AA16" i="12"/>
  <c r="Z16" i="12"/>
  <c r="Y16" i="12"/>
  <c r="X16" i="12"/>
  <c r="W16" i="12"/>
  <c r="V16" i="12"/>
  <c r="U16" i="12"/>
  <c r="T16" i="12"/>
  <c r="S16" i="12"/>
  <c r="R16" i="12"/>
  <c r="Q16" i="12"/>
  <c r="P16" i="12"/>
  <c r="O16" i="12"/>
  <c r="N16" i="12"/>
  <c r="M16" i="12"/>
  <c r="L16" i="12"/>
  <c r="K16" i="12"/>
  <c r="J16" i="12"/>
  <c r="I16" i="12"/>
  <c r="H16" i="12"/>
  <c r="G16" i="12"/>
  <c r="F16" i="12"/>
  <c r="E16" i="12"/>
  <c r="D16" i="12"/>
  <c r="C16" i="12"/>
  <c r="AG15" i="12"/>
  <c r="AF15" i="12"/>
  <c r="AE15" i="12"/>
  <c r="AD15" i="12"/>
  <c r="AC15" i="12"/>
  <c r="AB15" i="12"/>
  <c r="AA15" i="12"/>
  <c r="Z15" i="12"/>
  <c r="Y15" i="12"/>
  <c r="X15" i="12"/>
  <c r="W15" i="12"/>
  <c r="V15" i="12"/>
  <c r="U15" i="12"/>
  <c r="T15" i="12"/>
  <c r="S15" i="12"/>
  <c r="R15" i="12"/>
  <c r="Q15" i="12"/>
  <c r="P15" i="12"/>
  <c r="O15" i="12"/>
  <c r="N15" i="12"/>
  <c r="M15" i="12"/>
  <c r="L15" i="12"/>
  <c r="K15" i="12"/>
  <c r="J15" i="12"/>
  <c r="I15" i="12"/>
  <c r="H15" i="12"/>
  <c r="G15" i="12"/>
  <c r="F15" i="12"/>
  <c r="E15" i="12"/>
  <c r="D15" i="12"/>
  <c r="C15" i="12"/>
  <c r="AG14" i="12"/>
  <c r="AF14" i="12"/>
  <c r="AE14" i="12"/>
  <c r="AD14" i="12"/>
  <c r="AC14" i="12"/>
  <c r="AB14" i="12"/>
  <c r="AA14" i="12"/>
  <c r="Z14" i="12"/>
  <c r="Y14" i="12"/>
  <c r="X14" i="12"/>
  <c r="W14" i="12"/>
  <c r="V14" i="12"/>
  <c r="U14" i="12"/>
  <c r="T14" i="12"/>
  <c r="S14" i="12"/>
  <c r="R14" i="12"/>
  <c r="Q14" i="12"/>
  <c r="P14" i="12"/>
  <c r="O14" i="12"/>
  <c r="N14" i="12"/>
  <c r="M14" i="12"/>
  <c r="L14" i="12"/>
  <c r="K14" i="12"/>
  <c r="J14" i="12"/>
  <c r="I14" i="12"/>
  <c r="H14" i="12"/>
  <c r="G14" i="12"/>
  <c r="F14" i="12"/>
  <c r="E14" i="12"/>
  <c r="D14" i="12"/>
  <c r="C14" i="12"/>
  <c r="AG13" i="12"/>
  <c r="AF13" i="12"/>
  <c r="AE13" i="12"/>
  <c r="AD13" i="12"/>
  <c r="AC13" i="12"/>
  <c r="AB13" i="12"/>
  <c r="AA13" i="12"/>
  <c r="Z13" i="12"/>
  <c r="Y13" i="12"/>
  <c r="X13" i="12"/>
  <c r="W13" i="12"/>
  <c r="V13" i="12"/>
  <c r="U13" i="12"/>
  <c r="T13" i="12"/>
  <c r="S13" i="12"/>
  <c r="R13" i="12"/>
  <c r="Q13" i="12"/>
  <c r="P13" i="12"/>
  <c r="O13" i="12"/>
  <c r="N13" i="12"/>
  <c r="M13" i="12"/>
  <c r="L13" i="12"/>
  <c r="K13" i="12"/>
  <c r="J13" i="12"/>
  <c r="I13" i="12"/>
  <c r="H13" i="12"/>
  <c r="G13" i="12"/>
  <c r="F13" i="12"/>
  <c r="E13" i="12"/>
  <c r="D13" i="12"/>
  <c r="C13" i="12"/>
  <c r="AG12" i="12"/>
  <c r="AF12" i="12"/>
  <c r="AE12" i="12"/>
  <c r="AD12" i="12"/>
  <c r="AC12" i="12"/>
  <c r="AB12" i="12"/>
  <c r="AA12" i="12"/>
  <c r="Z12" i="12"/>
  <c r="Y12" i="12"/>
  <c r="X12" i="12"/>
  <c r="W12" i="12"/>
  <c r="V12" i="12"/>
  <c r="U12" i="12"/>
  <c r="T12" i="12"/>
  <c r="S12" i="12"/>
  <c r="R12" i="12"/>
  <c r="Q12" i="12"/>
  <c r="P12" i="12"/>
  <c r="O12" i="12"/>
  <c r="N12" i="12"/>
  <c r="M12" i="12"/>
  <c r="L12" i="12"/>
  <c r="K12" i="12"/>
  <c r="J12" i="12"/>
  <c r="I12" i="12"/>
  <c r="H12" i="12"/>
  <c r="G12" i="12"/>
  <c r="F12" i="12"/>
  <c r="E12" i="12"/>
  <c r="D12" i="12"/>
  <c r="C12" i="12"/>
  <c r="AG11" i="12"/>
  <c r="AF11" i="12"/>
  <c r="AE11" i="12"/>
  <c r="AD11" i="12"/>
  <c r="AC11" i="12"/>
  <c r="AB11" i="12"/>
  <c r="AA11" i="12"/>
  <c r="Z11" i="12"/>
  <c r="Y11" i="12"/>
  <c r="X11" i="12"/>
  <c r="W11" i="12"/>
  <c r="V11" i="12"/>
  <c r="U11" i="12"/>
  <c r="T11" i="12"/>
  <c r="S11" i="12"/>
  <c r="R11" i="12"/>
  <c r="Q11" i="12"/>
  <c r="P11" i="12"/>
  <c r="O11" i="12"/>
  <c r="N11" i="12"/>
  <c r="M11" i="12"/>
  <c r="L11" i="12"/>
  <c r="K11" i="12"/>
  <c r="J11" i="12"/>
  <c r="I11" i="12"/>
  <c r="H11" i="12"/>
  <c r="G11" i="12"/>
  <c r="F11" i="12"/>
  <c r="E11" i="12"/>
  <c r="D11" i="12"/>
  <c r="C11" i="12"/>
  <c r="AG10" i="12"/>
  <c r="AF10" i="12"/>
  <c r="AE10" i="12"/>
  <c r="AD10" i="12"/>
  <c r="AC10" i="12"/>
  <c r="AB10" i="12"/>
  <c r="AA10" i="12"/>
  <c r="Z10" i="12"/>
  <c r="Y10" i="12"/>
  <c r="X10" i="12"/>
  <c r="W10" i="12"/>
  <c r="V10" i="12"/>
  <c r="U10" i="12"/>
  <c r="T10" i="12"/>
  <c r="S10" i="12"/>
  <c r="R10" i="12"/>
  <c r="Q10" i="12"/>
  <c r="P10" i="12"/>
  <c r="O10" i="12"/>
  <c r="N10" i="12"/>
  <c r="M10" i="12"/>
  <c r="L10" i="12"/>
  <c r="K10" i="12"/>
  <c r="J10" i="12"/>
  <c r="I10" i="12"/>
  <c r="H10" i="12"/>
  <c r="G10" i="12"/>
  <c r="F10" i="12"/>
  <c r="E10" i="12"/>
  <c r="D10" i="12"/>
  <c r="C10" i="12"/>
  <c r="AG9" i="12"/>
  <c r="AF9" i="12"/>
  <c r="AE9" i="12"/>
  <c r="AD9" i="12"/>
  <c r="AC9" i="12"/>
  <c r="AB9" i="12"/>
  <c r="AA9" i="12"/>
  <c r="Z9" i="12"/>
  <c r="Y9" i="12"/>
  <c r="X9" i="12"/>
  <c r="W9" i="12"/>
  <c r="V9" i="12"/>
  <c r="U9" i="12"/>
  <c r="T9" i="12"/>
  <c r="S9" i="12"/>
  <c r="R9" i="12"/>
  <c r="Q9" i="12"/>
  <c r="P9" i="12"/>
  <c r="O9" i="12"/>
  <c r="N9" i="12"/>
  <c r="M9" i="12"/>
  <c r="L9" i="12"/>
  <c r="K9" i="12"/>
  <c r="J9" i="12"/>
  <c r="I9" i="12"/>
  <c r="H9" i="12"/>
  <c r="G9" i="12"/>
  <c r="F9" i="12"/>
  <c r="E9" i="12"/>
  <c r="D9" i="12"/>
  <c r="C9" i="12"/>
  <c r="AG8" i="12"/>
  <c r="AF8" i="12"/>
  <c r="AE8" i="12"/>
  <c r="AD8" i="12"/>
  <c r="AC8" i="12"/>
  <c r="AB8" i="12"/>
  <c r="AA8" i="12"/>
  <c r="Z8" i="12"/>
  <c r="Y8" i="12"/>
  <c r="X8" i="12"/>
  <c r="W8" i="12"/>
  <c r="V8" i="12"/>
  <c r="U8" i="12"/>
  <c r="T8" i="12"/>
  <c r="S8" i="12"/>
  <c r="R8" i="12"/>
  <c r="Q8" i="12"/>
  <c r="P8" i="12"/>
  <c r="O8" i="12"/>
  <c r="N8" i="12"/>
  <c r="M8" i="12"/>
  <c r="L8" i="12"/>
  <c r="K8" i="12"/>
  <c r="J8" i="12"/>
  <c r="I8" i="12"/>
  <c r="H8" i="12"/>
  <c r="G8" i="12"/>
  <c r="F8" i="12"/>
  <c r="E8" i="12"/>
  <c r="D8" i="12"/>
  <c r="C8" i="12"/>
  <c r="AG6" i="12"/>
  <c r="AF6" i="12"/>
  <c r="AE6" i="12"/>
  <c r="AD6" i="12"/>
  <c r="AC6" i="12"/>
  <c r="AB6" i="12"/>
  <c r="AA6" i="12"/>
  <c r="Z6" i="12"/>
  <c r="Y6" i="12"/>
  <c r="X6" i="12"/>
  <c r="W6" i="12"/>
  <c r="V6" i="12"/>
  <c r="U6" i="12"/>
  <c r="T6" i="12"/>
  <c r="S6" i="12"/>
  <c r="R6" i="12"/>
  <c r="Q6" i="12"/>
  <c r="P6" i="12"/>
  <c r="O6" i="12"/>
  <c r="N6" i="12"/>
  <c r="M6" i="12"/>
  <c r="L6" i="12"/>
  <c r="K6" i="12"/>
  <c r="J6" i="12"/>
  <c r="I6" i="12"/>
  <c r="H6" i="12"/>
  <c r="G6" i="12"/>
  <c r="F6" i="12"/>
  <c r="E6" i="12"/>
  <c r="D6" i="12"/>
  <c r="C6" i="12"/>
  <c r="AG5" i="12"/>
  <c r="AF5" i="12"/>
  <c r="AE5" i="12"/>
  <c r="AD5" i="12"/>
  <c r="AC5" i="12"/>
  <c r="AB5" i="12"/>
  <c r="AA5" i="12"/>
  <c r="Z5" i="12"/>
  <c r="Y5" i="12"/>
  <c r="X5" i="12"/>
  <c r="W5" i="12"/>
  <c r="V5" i="12"/>
  <c r="U5" i="12"/>
  <c r="T5" i="12"/>
  <c r="S5" i="12"/>
  <c r="R5" i="12"/>
  <c r="Q5" i="12"/>
  <c r="P5" i="12"/>
  <c r="O5" i="12"/>
  <c r="N5" i="12"/>
  <c r="M5" i="12"/>
  <c r="L5" i="12"/>
  <c r="K5" i="12"/>
  <c r="J5" i="12"/>
  <c r="I5" i="12"/>
  <c r="H5" i="12"/>
  <c r="G5" i="12"/>
  <c r="F5" i="12"/>
  <c r="E5" i="12"/>
  <c r="D5" i="12"/>
  <c r="C5" i="12"/>
  <c r="AG4" i="12"/>
  <c r="AF4" i="12"/>
  <c r="AE4" i="12"/>
  <c r="AD4" i="12"/>
  <c r="AC4" i="12"/>
  <c r="AB4" i="12"/>
  <c r="AA4" i="12"/>
  <c r="Z4" i="12"/>
  <c r="Y4" i="12"/>
  <c r="X4" i="12"/>
  <c r="W4" i="12"/>
  <c r="V4" i="12"/>
  <c r="U4" i="12"/>
  <c r="T4" i="12"/>
  <c r="S4" i="12"/>
  <c r="R4" i="12"/>
  <c r="Q4" i="12"/>
  <c r="P4" i="12"/>
  <c r="O4" i="12"/>
  <c r="N4" i="12"/>
  <c r="M4" i="12"/>
  <c r="L4" i="12"/>
  <c r="K4" i="12"/>
  <c r="J4" i="12"/>
  <c r="I4" i="12"/>
  <c r="H4" i="12"/>
  <c r="G4" i="12"/>
  <c r="F4" i="12"/>
  <c r="E4" i="12"/>
  <c r="D4" i="12"/>
  <c r="C4" i="12"/>
  <c r="B5" i="12"/>
  <c r="B6" i="12"/>
  <c r="B8" i="12"/>
  <c r="B9" i="12"/>
  <c r="B10" i="12"/>
  <c r="B11" i="12"/>
  <c r="B12" i="12"/>
  <c r="B13" i="12"/>
  <c r="B14" i="12"/>
  <c r="B15" i="12"/>
  <c r="B16" i="12"/>
  <c r="B17" i="12"/>
  <c r="B18" i="12"/>
  <c r="B19" i="12"/>
  <c r="B20" i="12"/>
  <c r="B21" i="12"/>
  <c r="B22" i="12"/>
  <c r="B23" i="12"/>
  <c r="B4" i="12"/>
  <c r="B7" i="12"/>
  <c r="AG8" i="15"/>
  <c r="W7" i="20" l="1"/>
  <c r="B4" i="27"/>
  <c r="B9" i="27"/>
  <c r="B6" i="27"/>
  <c r="B3" i="27"/>
  <c r="B257" i="27"/>
  <c r="B294" i="27"/>
  <c r="B227" i="27"/>
  <c r="B33" i="27"/>
  <c r="B159" i="27"/>
  <c r="B231" i="27"/>
  <c r="B289" i="27"/>
  <c r="B168" i="27"/>
  <c r="B298" i="27"/>
  <c r="B291" i="27"/>
  <c r="B129" i="27"/>
  <c r="B102" i="27"/>
  <c r="B86" i="27"/>
  <c r="B161" i="27"/>
  <c r="B104" i="27"/>
  <c r="B295" i="27"/>
  <c r="B166" i="27"/>
  <c r="B75" i="27"/>
  <c r="B99" i="27"/>
  <c r="B193" i="27"/>
  <c r="B65" i="27"/>
  <c r="B22" i="27"/>
  <c r="B232" i="27"/>
  <c r="B162" i="27"/>
  <c r="B230" i="27"/>
  <c r="B218" i="27"/>
  <c r="B103" i="27"/>
  <c r="B163" i="27"/>
  <c r="B26" i="27"/>
  <c r="B225" i="27"/>
  <c r="B97" i="27"/>
  <c r="B292" i="27"/>
  <c r="B40" i="27"/>
  <c r="B282" i="27"/>
  <c r="B279" i="27"/>
  <c r="B286" i="27"/>
  <c r="B158" i="27"/>
  <c r="B290" i="27"/>
  <c r="B215" i="27"/>
  <c r="B87" i="27"/>
  <c r="B203" i="27"/>
  <c r="B139" i="27"/>
  <c r="B63" i="27"/>
  <c r="B78" i="27"/>
  <c r="B18" i="27"/>
  <c r="B277" i="27"/>
  <c r="B245" i="27"/>
  <c r="B213" i="27"/>
  <c r="B181" i="27"/>
  <c r="B149" i="27"/>
  <c r="B117" i="27"/>
  <c r="B85" i="27"/>
  <c r="B53" i="27"/>
  <c r="B21" i="27"/>
  <c r="B82" i="27"/>
  <c r="B280" i="27"/>
  <c r="B152" i="27"/>
  <c r="B210" i="27"/>
  <c r="B90" i="27"/>
  <c r="B207" i="27"/>
  <c r="B71" i="27"/>
  <c r="B254" i="27"/>
  <c r="B190" i="27"/>
  <c r="B126" i="27"/>
  <c r="B35" i="27"/>
  <c r="B226" i="27"/>
  <c r="B106" i="27"/>
  <c r="B271" i="27"/>
  <c r="B151" i="27"/>
  <c r="B299" i="27"/>
  <c r="B235" i="27"/>
  <c r="B171" i="27"/>
  <c r="B107" i="27"/>
  <c r="B46" i="27"/>
  <c r="B293" i="27"/>
  <c r="B261" i="27"/>
  <c r="B229" i="27"/>
  <c r="B197" i="27"/>
  <c r="B165" i="27"/>
  <c r="B133" i="27"/>
  <c r="B101" i="27"/>
  <c r="B69" i="27"/>
  <c r="B37" i="27"/>
  <c r="B50" i="27"/>
  <c r="B296" i="27"/>
  <c r="B248" i="27"/>
  <c r="B184" i="27"/>
  <c r="B120" i="27"/>
  <c r="B32" i="27"/>
  <c r="B48" i="27"/>
  <c r="B64" i="27"/>
  <c r="B80" i="27"/>
  <c r="B96" i="27"/>
  <c r="B112" i="27"/>
  <c r="B128" i="27"/>
  <c r="B144" i="27"/>
  <c r="B160" i="27"/>
  <c r="B176" i="27"/>
  <c r="B192" i="27"/>
  <c r="B208" i="27"/>
  <c r="B224" i="27"/>
  <c r="B240" i="27"/>
  <c r="B256" i="27"/>
  <c r="B272" i="27"/>
  <c r="B288" i="27"/>
  <c r="B38" i="27"/>
  <c r="B74" i="27"/>
  <c r="B29" i="27"/>
  <c r="B45" i="27"/>
  <c r="B61" i="27"/>
  <c r="B77" i="27"/>
  <c r="B93" i="27"/>
  <c r="B109" i="27"/>
  <c r="B125" i="27"/>
  <c r="B141" i="27"/>
  <c r="B157" i="27"/>
  <c r="B173" i="27"/>
  <c r="B189" i="27"/>
  <c r="B205" i="27"/>
  <c r="B221" i="27"/>
  <c r="B237" i="27"/>
  <c r="B253" i="27"/>
  <c r="B269" i="27"/>
  <c r="B285" i="27"/>
  <c r="B42" i="27"/>
  <c r="B70" i="27"/>
  <c r="B31" i="27"/>
  <c r="B91" i="27"/>
  <c r="B123" i="27"/>
  <c r="B155" i="27"/>
  <c r="B187" i="27"/>
  <c r="B219" i="27"/>
  <c r="B251" i="27"/>
  <c r="B283" i="27"/>
  <c r="B39" i="27"/>
  <c r="B135" i="27"/>
  <c r="B199" i="27"/>
  <c r="B255" i="27"/>
  <c r="B59" i="27"/>
  <c r="B130" i="27"/>
  <c r="B202" i="27"/>
  <c r="B258" i="27"/>
  <c r="B19" i="27"/>
  <c r="B83" i="27"/>
  <c r="B118" i="27"/>
  <c r="B150" i="27"/>
  <c r="B182" i="27"/>
  <c r="B214" i="27"/>
  <c r="B246" i="27"/>
  <c r="B278" i="27"/>
  <c r="B55" i="27"/>
  <c r="B127" i="27"/>
  <c r="B191" i="27"/>
  <c r="B263" i="27"/>
  <c r="B43" i="27"/>
  <c r="B138" i="27"/>
  <c r="B194" i="27"/>
  <c r="B266" i="27"/>
  <c r="B260" i="27"/>
  <c r="B28" i="27"/>
  <c r="B44" i="27"/>
  <c r="B60" i="27"/>
  <c r="B76" i="27"/>
  <c r="B92" i="27"/>
  <c r="B108" i="27"/>
  <c r="B124" i="27"/>
  <c r="B140" i="27"/>
  <c r="B156" i="27"/>
  <c r="B172" i="27"/>
  <c r="B188" i="27"/>
  <c r="B204" i="27"/>
  <c r="B220" i="27"/>
  <c r="B236" i="27"/>
  <c r="B252" i="27"/>
  <c r="B268" i="27"/>
  <c r="B284" i="27"/>
  <c r="B300" i="27"/>
  <c r="B30" i="27"/>
  <c r="B66" i="27"/>
  <c r="B25" i="27"/>
  <c r="B41" i="27"/>
  <c r="B57" i="27"/>
  <c r="B73" i="27"/>
  <c r="B89" i="27"/>
  <c r="B105" i="27"/>
  <c r="B121" i="27"/>
  <c r="B137" i="27"/>
  <c r="B153" i="27"/>
  <c r="B169" i="27"/>
  <c r="B185" i="27"/>
  <c r="B201" i="27"/>
  <c r="B217" i="27"/>
  <c r="B233" i="27"/>
  <c r="B249" i="27"/>
  <c r="B265" i="27"/>
  <c r="B281" i="27"/>
  <c r="B297" i="27"/>
  <c r="B34" i="27"/>
  <c r="B62" i="27"/>
  <c r="B79" i="27"/>
  <c r="B115" i="27"/>
  <c r="B147" i="27"/>
  <c r="B179" i="27"/>
  <c r="B211" i="27"/>
  <c r="B243" i="27"/>
  <c r="B275" i="27"/>
  <c r="B119" i="27"/>
  <c r="B183" i="27"/>
  <c r="B239" i="27"/>
  <c r="B114" i="27"/>
  <c r="B186" i="27"/>
  <c r="B242" i="27"/>
  <c r="B67" i="27"/>
  <c r="B110" i="27"/>
  <c r="B142" i="27"/>
  <c r="B174" i="27"/>
  <c r="B206" i="27"/>
  <c r="B238" i="27"/>
  <c r="B270" i="27"/>
  <c r="B23" i="27"/>
  <c r="B111" i="27"/>
  <c r="B175" i="27"/>
  <c r="B247" i="27"/>
  <c r="B27" i="27"/>
  <c r="B122" i="27"/>
  <c r="B178" i="27"/>
  <c r="B250" i="27"/>
  <c r="B20" i="27"/>
  <c r="B36" i="27"/>
  <c r="B52" i="27"/>
  <c r="B68" i="27"/>
  <c r="B84" i="27"/>
  <c r="B100" i="27"/>
  <c r="B116" i="27"/>
  <c r="B132" i="27"/>
  <c r="B148" i="27"/>
  <c r="B164" i="27"/>
  <c r="B180" i="27"/>
  <c r="B196" i="27"/>
  <c r="B212" i="27"/>
  <c r="B228" i="27"/>
  <c r="B244" i="27"/>
  <c r="B276" i="27"/>
  <c r="B154" i="27"/>
  <c r="B143" i="27"/>
  <c r="B222" i="27"/>
  <c r="B94" i="27"/>
  <c r="B170" i="27"/>
  <c r="B267" i="27"/>
  <c r="B216" i="27"/>
  <c r="B88" i="27"/>
  <c r="B24" i="27"/>
  <c r="B234" i="27"/>
  <c r="B98" i="27"/>
  <c r="B223" i="27"/>
  <c r="B95" i="27"/>
  <c r="B262" i="27"/>
  <c r="B198" i="27"/>
  <c r="B134" i="27"/>
  <c r="B51" i="27"/>
  <c r="B274" i="27"/>
  <c r="B146" i="27"/>
  <c r="B287" i="27"/>
  <c r="B167" i="27"/>
  <c r="B259" i="27"/>
  <c r="B195" i="27"/>
  <c r="B131" i="27"/>
  <c r="B47" i="27"/>
  <c r="B54" i="27"/>
  <c r="B273" i="27"/>
  <c r="B241" i="27"/>
  <c r="B209" i="27"/>
  <c r="B177" i="27"/>
  <c r="B145" i="27"/>
  <c r="B113" i="27"/>
  <c r="B81" i="27"/>
  <c r="B49" i="27"/>
  <c r="B17" i="27"/>
  <c r="B58" i="27"/>
  <c r="B264" i="27"/>
  <c r="B200" i="27"/>
  <c r="B136" i="27"/>
  <c r="B72" i="27"/>
  <c r="W37" i="20"/>
  <c r="W17" i="20"/>
  <c r="D14" i="27" s="1"/>
  <c r="G14" i="27" s="1"/>
  <c r="W26" i="20"/>
  <c r="W29" i="20"/>
  <c r="W45" i="20"/>
  <c r="W6" i="20"/>
  <c r="D3" i="27" s="1"/>
  <c r="W34" i="20"/>
  <c r="W9" i="20"/>
  <c r="D6" i="27" s="1"/>
  <c r="W10" i="20"/>
  <c r="D7" i="27" s="1"/>
  <c r="G7" i="27" s="1"/>
  <c r="W42" i="20"/>
  <c r="W25" i="20"/>
  <c r="W13" i="20"/>
  <c r="D10" i="27" s="1"/>
  <c r="G10" i="27" s="1"/>
  <c r="W44" i="20"/>
  <c r="W20" i="20"/>
  <c r="W14" i="20"/>
  <c r="D11" i="27" s="1"/>
  <c r="G11" i="27" s="1"/>
  <c r="W38" i="20"/>
  <c r="W36" i="20"/>
  <c r="W16" i="20"/>
  <c r="D13" i="27" s="1"/>
  <c r="G13" i="27" s="1"/>
  <c r="W33" i="20"/>
  <c r="W22" i="20"/>
  <c r="W28" i="20"/>
  <c r="W40" i="20"/>
  <c r="W12" i="20"/>
  <c r="D9" i="27" s="1"/>
  <c r="W41" i="20"/>
  <c r="W30" i="20"/>
  <c r="W24" i="20"/>
  <c r="W32" i="20"/>
  <c r="W18" i="20"/>
  <c r="W23" i="20"/>
  <c r="W19" i="20"/>
  <c r="W35" i="20"/>
  <c r="W21" i="20"/>
  <c r="W11" i="20"/>
  <c r="D8" i="27" s="1"/>
  <c r="G8" i="27" s="1"/>
  <c r="W15" i="20"/>
  <c r="D12" i="27" s="1"/>
  <c r="G12" i="27" s="1"/>
  <c r="W27" i="20"/>
  <c r="W43" i="20"/>
  <c r="W31" i="20"/>
  <c r="W39" i="20"/>
  <c r="W8" i="20"/>
  <c r="B8" i="15"/>
  <c r="C8" i="15"/>
  <c r="D8" i="15"/>
  <c r="E8" i="15"/>
  <c r="F8" i="15"/>
  <c r="G8" i="15"/>
  <c r="H8" i="15"/>
  <c r="I8" i="15"/>
  <c r="J8" i="15"/>
  <c r="K8" i="15"/>
  <c r="L8" i="15"/>
  <c r="M8" i="15"/>
  <c r="N8" i="15"/>
  <c r="O8" i="15"/>
  <c r="P8" i="15"/>
  <c r="Q8" i="15"/>
  <c r="R8" i="15"/>
  <c r="S8" i="15"/>
  <c r="T8" i="15"/>
  <c r="U8" i="15"/>
  <c r="V8" i="15"/>
  <c r="W8" i="15"/>
  <c r="X8" i="15"/>
  <c r="Y8" i="15"/>
  <c r="Z8" i="15"/>
  <c r="AA8" i="15"/>
  <c r="AB8" i="15"/>
  <c r="AC8" i="15"/>
  <c r="AD8" i="15"/>
  <c r="AE8" i="15"/>
  <c r="AF8" i="15"/>
  <c r="C7" i="12"/>
  <c r="D7" i="12"/>
  <c r="E7" i="12"/>
  <c r="F7" i="12"/>
  <c r="G7" i="12"/>
  <c r="H7" i="12"/>
  <c r="I7" i="12"/>
  <c r="J7" i="12"/>
  <c r="K7" i="12"/>
  <c r="L7" i="12"/>
  <c r="M7" i="12"/>
  <c r="N7" i="12"/>
  <c r="O7" i="12"/>
  <c r="P7" i="12"/>
  <c r="Q7" i="12"/>
  <c r="R7" i="12"/>
  <c r="S7" i="12"/>
  <c r="T7" i="12"/>
  <c r="U7" i="12"/>
  <c r="V7" i="12"/>
  <c r="W7" i="12"/>
  <c r="X7" i="12"/>
  <c r="Y7" i="12"/>
  <c r="Z7" i="12"/>
  <c r="AA7" i="12"/>
  <c r="AB7" i="12"/>
  <c r="AC7" i="12"/>
  <c r="AD7" i="12"/>
  <c r="AE7" i="12"/>
  <c r="AF7" i="12"/>
  <c r="AG7" i="12"/>
  <c r="D16" i="27" l="1"/>
  <c r="D5" i="27"/>
  <c r="G5" i="27" s="1"/>
  <c r="G9" i="27"/>
  <c r="G6" i="27"/>
  <c r="D15" i="27"/>
  <c r="D4" i="27"/>
  <c r="G4" i="27" s="1"/>
  <c r="G3" i="27"/>
  <c r="D17" i="27"/>
  <c r="G17" i="27" s="1"/>
  <c r="D18" i="27"/>
  <c r="G18" i="27" s="1"/>
  <c r="D19" i="27"/>
  <c r="G19" i="27" s="1"/>
  <c r="D20" i="27"/>
  <c r="G20" i="27" s="1"/>
  <c r="D21" i="27"/>
  <c r="G21" i="27" s="1"/>
  <c r="D22" i="27"/>
  <c r="G22" i="27" s="1"/>
  <c r="D23" i="27"/>
  <c r="G23" i="27" s="1"/>
  <c r="D24" i="27"/>
  <c r="G24" i="27" s="1"/>
  <c r="D25" i="27"/>
  <c r="G25" i="27" s="1"/>
  <c r="D26" i="27"/>
  <c r="G26" i="27" s="1"/>
  <c r="D27" i="27"/>
  <c r="G27" i="27" s="1"/>
  <c r="D28" i="27"/>
  <c r="G28" i="27" s="1"/>
  <c r="D29" i="27"/>
  <c r="G29" i="27" s="1"/>
  <c r="D30" i="27"/>
  <c r="G30" i="27" s="1"/>
  <c r="D31" i="27"/>
  <c r="G31" i="27" s="1"/>
  <c r="D32" i="27"/>
  <c r="G32" i="27" s="1"/>
  <c r="D33" i="27"/>
  <c r="G33" i="27" s="1"/>
  <c r="D34" i="27"/>
  <c r="G34" i="27" s="1"/>
  <c r="D35" i="27"/>
  <c r="G35" i="27" s="1"/>
  <c r="D36" i="27"/>
  <c r="G36" i="27" s="1"/>
  <c r="D37" i="27"/>
  <c r="G37" i="27" s="1"/>
  <c r="D38" i="27"/>
  <c r="G38" i="27" s="1"/>
  <c r="D39" i="27"/>
  <c r="G39" i="27" s="1"/>
  <c r="D40" i="27"/>
  <c r="G40" i="27" s="1"/>
  <c r="D41" i="27"/>
  <c r="G41" i="27" s="1"/>
  <c r="D42" i="27"/>
  <c r="G42" i="27" s="1"/>
  <c r="D43" i="27"/>
  <c r="G43" i="27" s="1"/>
  <c r="D44" i="27"/>
  <c r="G44" i="27" s="1"/>
  <c r="D45" i="27"/>
  <c r="G45" i="27" s="1"/>
  <c r="D46" i="27"/>
  <c r="G46" i="27" s="1"/>
  <c r="D47" i="27"/>
  <c r="G47" i="27" s="1"/>
  <c r="D48" i="27"/>
  <c r="G48" i="27" s="1"/>
  <c r="D49" i="27"/>
  <c r="G49" i="27" s="1"/>
  <c r="D50" i="27"/>
  <c r="G50" i="27" s="1"/>
  <c r="D51" i="27"/>
  <c r="G51" i="27" s="1"/>
  <c r="D52" i="27"/>
  <c r="G52" i="27" s="1"/>
  <c r="D53" i="27"/>
  <c r="G53" i="27" s="1"/>
  <c r="D54" i="27"/>
  <c r="G54" i="27" s="1"/>
  <c r="D55" i="27"/>
  <c r="G55" i="27" s="1"/>
  <c r="D56" i="27"/>
  <c r="G56" i="27" s="1"/>
  <c r="D57" i="27"/>
  <c r="G57" i="27" s="1"/>
  <c r="D58" i="27"/>
  <c r="G58" i="27" s="1"/>
  <c r="D59" i="27"/>
  <c r="G59" i="27" s="1"/>
  <c r="D60" i="27"/>
  <c r="G60" i="27" s="1"/>
  <c r="D61" i="27"/>
  <c r="G61" i="27" s="1"/>
  <c r="D62" i="27"/>
  <c r="G62" i="27" s="1"/>
  <c r="D63" i="27"/>
  <c r="G63" i="27" s="1"/>
  <c r="D64" i="27"/>
  <c r="G64" i="27" s="1"/>
  <c r="D65" i="27"/>
  <c r="G65" i="27" s="1"/>
  <c r="D66" i="27"/>
  <c r="G66" i="27" s="1"/>
  <c r="D67" i="27"/>
  <c r="G67" i="27" s="1"/>
  <c r="D68" i="27"/>
  <c r="G68" i="27" s="1"/>
  <c r="D69" i="27"/>
  <c r="G69" i="27" s="1"/>
  <c r="D70" i="27"/>
  <c r="G70" i="27" s="1"/>
  <c r="D71" i="27"/>
  <c r="G71" i="27" s="1"/>
  <c r="D72" i="27"/>
  <c r="G72" i="27" s="1"/>
  <c r="D73" i="27"/>
  <c r="G73" i="27" s="1"/>
  <c r="D74" i="27"/>
  <c r="G74" i="27" s="1"/>
  <c r="D75" i="27"/>
  <c r="G75" i="27" s="1"/>
  <c r="D76" i="27"/>
  <c r="G76" i="27" s="1"/>
  <c r="D77" i="27"/>
  <c r="G77" i="27" s="1"/>
  <c r="D78" i="27"/>
  <c r="G78" i="27" s="1"/>
  <c r="D79" i="27"/>
  <c r="G79" i="27" s="1"/>
  <c r="D80" i="27"/>
  <c r="G80" i="27" s="1"/>
  <c r="D81" i="27"/>
  <c r="G81" i="27" s="1"/>
  <c r="D82" i="27"/>
  <c r="G82" i="27" s="1"/>
  <c r="D83" i="27"/>
  <c r="G83" i="27" s="1"/>
  <c r="D84" i="27"/>
  <c r="G84" i="27" s="1"/>
  <c r="D85" i="27"/>
  <c r="G85" i="27" s="1"/>
  <c r="D86" i="27"/>
  <c r="G86" i="27" s="1"/>
  <c r="D87" i="27"/>
  <c r="G87" i="27" s="1"/>
  <c r="D88" i="27"/>
  <c r="G88" i="27" s="1"/>
  <c r="D89" i="27"/>
  <c r="G89" i="27" s="1"/>
  <c r="D90" i="27"/>
  <c r="G90" i="27" s="1"/>
  <c r="D91" i="27"/>
  <c r="G91" i="27" s="1"/>
  <c r="D92" i="27"/>
  <c r="G92" i="27" s="1"/>
  <c r="D93" i="27"/>
  <c r="G93" i="27" s="1"/>
  <c r="D94" i="27"/>
  <c r="G94" i="27" s="1"/>
  <c r="D95" i="27"/>
  <c r="G95" i="27" s="1"/>
  <c r="D96" i="27"/>
  <c r="G96" i="27" s="1"/>
  <c r="D97" i="27"/>
  <c r="G97" i="27" s="1"/>
  <c r="D98" i="27"/>
  <c r="G98" i="27" s="1"/>
  <c r="D99" i="27"/>
  <c r="G99" i="27" s="1"/>
  <c r="D100" i="27"/>
  <c r="G100" i="27" s="1"/>
  <c r="D101" i="27"/>
  <c r="G101" i="27" s="1"/>
  <c r="D103" i="27"/>
  <c r="G103" i="27" s="1"/>
  <c r="D106" i="27"/>
  <c r="G106" i="27" s="1"/>
  <c r="D108" i="27"/>
  <c r="G108" i="27" s="1"/>
  <c r="D110" i="27"/>
  <c r="G110" i="27" s="1"/>
  <c r="D112" i="27"/>
  <c r="G112" i="27" s="1"/>
  <c r="D114" i="27"/>
  <c r="G114" i="27" s="1"/>
  <c r="D116" i="27"/>
  <c r="G116" i="27" s="1"/>
  <c r="D118" i="27"/>
  <c r="G118" i="27" s="1"/>
  <c r="D120" i="27"/>
  <c r="G120" i="27" s="1"/>
  <c r="D122" i="27"/>
  <c r="G122" i="27" s="1"/>
  <c r="D124" i="27"/>
  <c r="G124" i="27" s="1"/>
  <c r="D126" i="27"/>
  <c r="G126" i="27" s="1"/>
  <c r="D128" i="27"/>
  <c r="G128" i="27" s="1"/>
  <c r="D130" i="27"/>
  <c r="G130" i="27" s="1"/>
  <c r="D132" i="27"/>
  <c r="G132" i="27" s="1"/>
  <c r="D134" i="27"/>
  <c r="G134" i="27" s="1"/>
  <c r="D136" i="27"/>
  <c r="G136" i="27" s="1"/>
  <c r="D138" i="27"/>
  <c r="G138" i="27" s="1"/>
  <c r="D140" i="27"/>
  <c r="G140" i="27" s="1"/>
  <c r="D142" i="27"/>
  <c r="G142" i="27" s="1"/>
  <c r="D144" i="27"/>
  <c r="G144" i="27" s="1"/>
  <c r="D146" i="27"/>
  <c r="G146" i="27" s="1"/>
  <c r="D148" i="27"/>
  <c r="G148" i="27" s="1"/>
  <c r="D150" i="27"/>
  <c r="G150" i="27" s="1"/>
  <c r="D152" i="27"/>
  <c r="G152" i="27" s="1"/>
  <c r="D154" i="27"/>
  <c r="G154" i="27" s="1"/>
  <c r="D156" i="27"/>
  <c r="G156" i="27" s="1"/>
  <c r="D158" i="27"/>
  <c r="G158" i="27" s="1"/>
  <c r="D160" i="27"/>
  <c r="G160" i="27" s="1"/>
  <c r="D162" i="27"/>
  <c r="G162" i="27" s="1"/>
  <c r="D164" i="27"/>
  <c r="G164" i="27" s="1"/>
  <c r="D166" i="27"/>
  <c r="G166" i="27" s="1"/>
  <c r="D168" i="27"/>
  <c r="G168" i="27" s="1"/>
  <c r="D169" i="27"/>
  <c r="G169" i="27" s="1"/>
  <c r="D171" i="27"/>
  <c r="G171" i="27" s="1"/>
  <c r="D173" i="27"/>
  <c r="G173" i="27" s="1"/>
  <c r="D175" i="27"/>
  <c r="G175" i="27" s="1"/>
  <c r="D177" i="27"/>
  <c r="G177" i="27" s="1"/>
  <c r="D179" i="27"/>
  <c r="G179" i="27" s="1"/>
  <c r="D181" i="27"/>
  <c r="G181" i="27" s="1"/>
  <c r="D184" i="27"/>
  <c r="G184" i="27" s="1"/>
  <c r="D186" i="27"/>
  <c r="G186" i="27" s="1"/>
  <c r="D188" i="27"/>
  <c r="G188" i="27" s="1"/>
  <c r="D190" i="27"/>
  <c r="G190" i="27" s="1"/>
  <c r="D192" i="27"/>
  <c r="G192" i="27" s="1"/>
  <c r="D194" i="27"/>
  <c r="G194" i="27" s="1"/>
  <c r="D195" i="27"/>
  <c r="G195" i="27" s="1"/>
  <c r="D197" i="27"/>
  <c r="G197" i="27" s="1"/>
  <c r="D199" i="27"/>
  <c r="G199" i="27" s="1"/>
  <c r="D201" i="27"/>
  <c r="G201" i="27" s="1"/>
  <c r="D203" i="27"/>
  <c r="G203" i="27" s="1"/>
  <c r="D205" i="27"/>
  <c r="G205" i="27" s="1"/>
  <c r="D207" i="27"/>
  <c r="G207" i="27" s="1"/>
  <c r="D209" i="27"/>
  <c r="G209" i="27" s="1"/>
  <c r="D211" i="27"/>
  <c r="G211" i="27" s="1"/>
  <c r="D213" i="27"/>
  <c r="G213" i="27" s="1"/>
  <c r="D215" i="27"/>
  <c r="G215" i="27" s="1"/>
  <c r="D217" i="27"/>
  <c r="G217" i="27" s="1"/>
  <c r="D219" i="27"/>
  <c r="G219" i="27" s="1"/>
  <c r="D221" i="27"/>
  <c r="G221" i="27" s="1"/>
  <c r="D223" i="27"/>
  <c r="G223" i="27" s="1"/>
  <c r="D225" i="27"/>
  <c r="G225" i="27" s="1"/>
  <c r="D227" i="27"/>
  <c r="G227" i="27" s="1"/>
  <c r="D229" i="27"/>
  <c r="G229" i="27" s="1"/>
  <c r="D231" i="27"/>
  <c r="G231" i="27" s="1"/>
  <c r="D233" i="27"/>
  <c r="G233" i="27" s="1"/>
  <c r="D235" i="27"/>
  <c r="G235" i="27" s="1"/>
  <c r="D237" i="27"/>
  <c r="G237" i="27" s="1"/>
  <c r="D239" i="27"/>
  <c r="G239" i="27" s="1"/>
  <c r="D242" i="27"/>
  <c r="G242" i="27" s="1"/>
  <c r="D244" i="27"/>
  <c r="G244" i="27" s="1"/>
  <c r="D246" i="27"/>
  <c r="G246" i="27" s="1"/>
  <c r="D248" i="27"/>
  <c r="G248" i="27" s="1"/>
  <c r="D250" i="27"/>
  <c r="G250" i="27" s="1"/>
  <c r="D252" i="27"/>
  <c r="G252" i="27" s="1"/>
  <c r="D254" i="27"/>
  <c r="G254" i="27" s="1"/>
  <c r="D256" i="27"/>
  <c r="G256" i="27" s="1"/>
  <c r="D258" i="27"/>
  <c r="G258" i="27" s="1"/>
  <c r="D260" i="27"/>
  <c r="G260" i="27" s="1"/>
  <c r="D262" i="27"/>
  <c r="G262" i="27" s="1"/>
  <c r="D264" i="27"/>
  <c r="G264" i="27" s="1"/>
  <c r="D266" i="27"/>
  <c r="G266" i="27" s="1"/>
  <c r="D268" i="27"/>
  <c r="G268" i="27" s="1"/>
  <c r="D270" i="27"/>
  <c r="G270" i="27" s="1"/>
  <c r="D102" i="27"/>
  <c r="G102" i="27" s="1"/>
  <c r="D104" i="27"/>
  <c r="G104" i="27" s="1"/>
  <c r="D105" i="27"/>
  <c r="G105" i="27" s="1"/>
  <c r="D107" i="27"/>
  <c r="G107" i="27" s="1"/>
  <c r="D109" i="27"/>
  <c r="G109" i="27" s="1"/>
  <c r="D111" i="27"/>
  <c r="G111" i="27" s="1"/>
  <c r="D113" i="27"/>
  <c r="G113" i="27" s="1"/>
  <c r="D115" i="27"/>
  <c r="G115" i="27" s="1"/>
  <c r="D117" i="27"/>
  <c r="G117" i="27" s="1"/>
  <c r="D119" i="27"/>
  <c r="G119" i="27" s="1"/>
  <c r="D121" i="27"/>
  <c r="G121" i="27" s="1"/>
  <c r="D123" i="27"/>
  <c r="G123" i="27" s="1"/>
  <c r="D125" i="27"/>
  <c r="G125" i="27" s="1"/>
  <c r="D127" i="27"/>
  <c r="G127" i="27" s="1"/>
  <c r="D129" i="27"/>
  <c r="G129" i="27" s="1"/>
  <c r="D131" i="27"/>
  <c r="G131" i="27" s="1"/>
  <c r="D133" i="27"/>
  <c r="G133" i="27" s="1"/>
  <c r="D135" i="27"/>
  <c r="G135" i="27" s="1"/>
  <c r="D137" i="27"/>
  <c r="G137" i="27" s="1"/>
  <c r="D139" i="27"/>
  <c r="G139" i="27" s="1"/>
  <c r="D141" i="27"/>
  <c r="G141" i="27" s="1"/>
  <c r="D143" i="27"/>
  <c r="G143" i="27" s="1"/>
  <c r="D145" i="27"/>
  <c r="G145" i="27" s="1"/>
  <c r="D147" i="27"/>
  <c r="G147" i="27" s="1"/>
  <c r="D149" i="27"/>
  <c r="G149" i="27" s="1"/>
  <c r="D151" i="27"/>
  <c r="G151" i="27" s="1"/>
  <c r="D153" i="27"/>
  <c r="G153" i="27" s="1"/>
  <c r="D155" i="27"/>
  <c r="G155" i="27" s="1"/>
  <c r="D157" i="27"/>
  <c r="G157" i="27" s="1"/>
  <c r="D159" i="27"/>
  <c r="G159" i="27" s="1"/>
  <c r="D161" i="27"/>
  <c r="G161" i="27" s="1"/>
  <c r="D163" i="27"/>
  <c r="G163" i="27" s="1"/>
  <c r="D165" i="27"/>
  <c r="G165" i="27" s="1"/>
  <c r="D167" i="27"/>
  <c r="G167" i="27" s="1"/>
  <c r="D170" i="27"/>
  <c r="G170" i="27" s="1"/>
  <c r="D172" i="27"/>
  <c r="G172" i="27" s="1"/>
  <c r="D174" i="27"/>
  <c r="G174" i="27" s="1"/>
  <c r="D176" i="27"/>
  <c r="G176" i="27" s="1"/>
  <c r="D178" i="27"/>
  <c r="G178" i="27" s="1"/>
  <c r="D180" i="27"/>
  <c r="G180" i="27" s="1"/>
  <c r="D182" i="27"/>
  <c r="G182" i="27" s="1"/>
  <c r="D183" i="27"/>
  <c r="G183" i="27" s="1"/>
  <c r="D185" i="27"/>
  <c r="G185" i="27" s="1"/>
  <c r="D187" i="27"/>
  <c r="G187" i="27" s="1"/>
  <c r="D189" i="27"/>
  <c r="G189" i="27" s="1"/>
  <c r="D191" i="27"/>
  <c r="G191" i="27" s="1"/>
  <c r="D193" i="27"/>
  <c r="G193" i="27" s="1"/>
  <c r="D196" i="27"/>
  <c r="G196" i="27" s="1"/>
  <c r="D198" i="27"/>
  <c r="G198" i="27" s="1"/>
  <c r="D200" i="27"/>
  <c r="G200" i="27" s="1"/>
  <c r="D202" i="27"/>
  <c r="G202" i="27" s="1"/>
  <c r="D204" i="27"/>
  <c r="G204" i="27" s="1"/>
  <c r="D206" i="27"/>
  <c r="G206" i="27" s="1"/>
  <c r="D208" i="27"/>
  <c r="G208" i="27" s="1"/>
  <c r="D210" i="27"/>
  <c r="G210" i="27" s="1"/>
  <c r="D212" i="27"/>
  <c r="G212" i="27" s="1"/>
  <c r="D214" i="27"/>
  <c r="G214" i="27" s="1"/>
  <c r="D216" i="27"/>
  <c r="G216" i="27" s="1"/>
  <c r="D218" i="27"/>
  <c r="G218" i="27" s="1"/>
  <c r="D220" i="27"/>
  <c r="G220" i="27" s="1"/>
  <c r="D222" i="27"/>
  <c r="G222" i="27" s="1"/>
  <c r="D224" i="27"/>
  <c r="G224" i="27" s="1"/>
  <c r="D226" i="27"/>
  <c r="G226" i="27" s="1"/>
  <c r="D228" i="27"/>
  <c r="G228" i="27" s="1"/>
  <c r="D230" i="27"/>
  <c r="G230" i="27" s="1"/>
  <c r="D232" i="27"/>
  <c r="G232" i="27" s="1"/>
  <c r="D234" i="27"/>
  <c r="G234" i="27" s="1"/>
  <c r="D236" i="27"/>
  <c r="G236" i="27" s="1"/>
  <c r="D238" i="27"/>
  <c r="G238" i="27" s="1"/>
  <c r="D240" i="27"/>
  <c r="G240" i="27" s="1"/>
  <c r="D241" i="27"/>
  <c r="G241" i="27" s="1"/>
  <c r="D243" i="27"/>
  <c r="G243" i="27" s="1"/>
  <c r="D245" i="27"/>
  <c r="G245" i="27" s="1"/>
  <c r="D247" i="27"/>
  <c r="G247" i="27" s="1"/>
  <c r="D249" i="27"/>
  <c r="G249" i="27" s="1"/>
  <c r="D251" i="27"/>
  <c r="G251" i="27" s="1"/>
  <c r="D253" i="27"/>
  <c r="G253" i="27" s="1"/>
  <c r="D255" i="27"/>
  <c r="G255" i="27" s="1"/>
  <c r="D257" i="27"/>
  <c r="G257" i="27" s="1"/>
  <c r="D259" i="27"/>
  <c r="G259" i="27" s="1"/>
  <c r="D261" i="27"/>
  <c r="G261" i="27" s="1"/>
  <c r="D263" i="27"/>
  <c r="G263" i="27" s="1"/>
  <c r="D265" i="27"/>
  <c r="G265" i="27" s="1"/>
  <c r="D267" i="27"/>
  <c r="G267" i="27" s="1"/>
  <c r="D269" i="27"/>
  <c r="G269" i="27" s="1"/>
  <c r="D271" i="27"/>
  <c r="G271" i="27" s="1"/>
  <c r="D272" i="27"/>
  <c r="G272" i="27" s="1"/>
  <c r="D273" i="27"/>
  <c r="G273" i="27" s="1"/>
  <c r="D274" i="27"/>
  <c r="G274" i="27" s="1"/>
  <c r="D275" i="27"/>
  <c r="G275" i="27" s="1"/>
  <c r="D276" i="27"/>
  <c r="G276" i="27" s="1"/>
  <c r="D277" i="27"/>
  <c r="G277" i="27" s="1"/>
  <c r="D278" i="27"/>
  <c r="G278" i="27" s="1"/>
  <c r="D279" i="27"/>
  <c r="G279" i="27" s="1"/>
  <c r="D280" i="27"/>
  <c r="G280" i="27" s="1"/>
  <c r="D281" i="27"/>
  <c r="G281" i="27" s="1"/>
  <c r="D282" i="27"/>
  <c r="G282" i="27" s="1"/>
  <c r="D283" i="27"/>
  <c r="G283" i="27" s="1"/>
  <c r="D284" i="27"/>
  <c r="G284" i="27" s="1"/>
  <c r="D285" i="27"/>
  <c r="G285" i="27" s="1"/>
  <c r="D286" i="27"/>
  <c r="G286" i="27" s="1"/>
  <c r="D287" i="27"/>
  <c r="G287" i="27" s="1"/>
  <c r="D288" i="27"/>
  <c r="G288" i="27" s="1"/>
  <c r="D289" i="27"/>
  <c r="G289" i="27" s="1"/>
  <c r="D290" i="27"/>
  <c r="G290" i="27" s="1"/>
  <c r="D291" i="27"/>
  <c r="G291" i="27" s="1"/>
  <c r="D292" i="27"/>
  <c r="G292" i="27" s="1"/>
  <c r="D293" i="27"/>
  <c r="G293" i="27" s="1"/>
  <c r="D294" i="27"/>
  <c r="G294" i="27" s="1"/>
  <c r="D295" i="27"/>
  <c r="G295" i="27" s="1"/>
  <c r="D296" i="27"/>
  <c r="G296" i="27" s="1"/>
  <c r="D297" i="27"/>
  <c r="G297" i="27" s="1"/>
  <c r="D298" i="27"/>
  <c r="G298" i="27" s="1"/>
  <c r="D299" i="27"/>
  <c r="G299" i="27" s="1"/>
  <c r="D300" i="27"/>
  <c r="G300" i="27" s="1"/>
  <c r="B6" i="11"/>
  <c r="P8" i="14"/>
  <c r="R8" i="14"/>
  <c r="P9" i="14"/>
  <c r="R9" i="14"/>
  <c r="P10" i="14"/>
  <c r="R10" i="14"/>
  <c r="P11" i="14"/>
  <c r="R11" i="14"/>
  <c r="P12" i="14"/>
  <c r="R12" i="14"/>
  <c r="P13" i="14"/>
  <c r="R13" i="14"/>
  <c r="P14" i="14"/>
  <c r="R14" i="14"/>
  <c r="P15" i="14"/>
  <c r="R15" i="14"/>
  <c r="P16" i="14"/>
  <c r="R16" i="14"/>
  <c r="P17" i="14"/>
  <c r="R17" i="14"/>
  <c r="P18" i="14"/>
  <c r="R18" i="14"/>
  <c r="P19" i="14"/>
  <c r="R19" i="14"/>
  <c r="P20" i="14"/>
  <c r="R20" i="14"/>
  <c r="P21" i="14"/>
  <c r="R21" i="14"/>
  <c r="R3" i="14"/>
  <c r="C15" i="27" s="1"/>
  <c r="R4" i="14"/>
  <c r="C16" i="27" s="1"/>
  <c r="R5" i="14"/>
  <c r="R6" i="14"/>
  <c r="R7" i="14"/>
  <c r="S1" i="14"/>
  <c r="T1" i="14" s="1"/>
  <c r="G16" i="27" l="1"/>
  <c r="G15" i="27"/>
  <c r="B5" i="17"/>
  <c r="B2" i="17"/>
  <c r="B3" i="17"/>
  <c r="B27" i="17"/>
  <c r="B28" i="17" s="1"/>
  <c r="B21" i="17"/>
  <c r="B22" i="17" s="1"/>
  <c r="B4" i="17"/>
  <c r="C3" i="15"/>
  <c r="D3" i="15"/>
  <c r="E3" i="15"/>
  <c r="F3" i="15"/>
  <c r="G3" i="15"/>
  <c r="H3" i="15"/>
  <c r="I3" i="15"/>
  <c r="J3" i="15"/>
  <c r="K3" i="15"/>
  <c r="L3" i="15"/>
  <c r="M3" i="15"/>
  <c r="N3" i="15"/>
  <c r="O3" i="15"/>
  <c r="P3" i="15"/>
  <c r="Q3" i="15"/>
  <c r="R3" i="15"/>
  <c r="S3" i="15"/>
  <c r="T3" i="15"/>
  <c r="U3" i="15"/>
  <c r="V3" i="15"/>
  <c r="W3" i="15"/>
  <c r="X3" i="15"/>
  <c r="Y3" i="15"/>
  <c r="Z3" i="15"/>
  <c r="AA3" i="15"/>
  <c r="AB3" i="15"/>
  <c r="AC3" i="15"/>
  <c r="AD3" i="15"/>
  <c r="AE3" i="15"/>
  <c r="AF3" i="15"/>
  <c r="AG3" i="15"/>
  <c r="B3" i="15"/>
  <c r="C3" i="12"/>
  <c r="D3" i="12"/>
  <c r="E3" i="12"/>
  <c r="F3" i="12"/>
  <c r="G3" i="12"/>
  <c r="H3" i="12"/>
  <c r="I3" i="12"/>
  <c r="J3" i="12"/>
  <c r="K3" i="12"/>
  <c r="L3" i="12"/>
  <c r="M3" i="12"/>
  <c r="N3" i="12"/>
  <c r="O3" i="12"/>
  <c r="P3" i="12"/>
  <c r="Q3" i="12"/>
  <c r="R3" i="12"/>
  <c r="S3" i="12"/>
  <c r="T3" i="12"/>
  <c r="U3" i="12"/>
  <c r="V3" i="12"/>
  <c r="W3" i="12"/>
  <c r="X3" i="12"/>
  <c r="Y3" i="12"/>
  <c r="Z3" i="12"/>
  <c r="AA3" i="12"/>
  <c r="AB3" i="12"/>
  <c r="AC3" i="12"/>
  <c r="AD3" i="12"/>
  <c r="AE3" i="12"/>
  <c r="AF3" i="12"/>
  <c r="AG3" i="12"/>
  <c r="B3" i="12"/>
  <c r="C22" i="17"/>
  <c r="B24" i="17"/>
  <c r="B16" i="17"/>
  <c r="B15" i="17"/>
  <c r="B14" i="17"/>
  <c r="B13" i="17"/>
  <c r="B26" i="17" s="1"/>
  <c r="B12" i="17"/>
  <c r="B25" i="17" s="1"/>
  <c r="B10" i="17"/>
  <c r="B9" i="17"/>
  <c r="B8" i="17"/>
  <c r="A36" i="9"/>
  <c r="A37" i="9" s="1"/>
  <c r="A38" i="9" s="1"/>
  <c r="A39" i="9" s="1"/>
  <c r="A40" i="9" s="1"/>
  <c r="A41" i="9" s="1"/>
  <c r="A42" i="9" s="1"/>
  <c r="A43" i="9" s="1"/>
  <c r="A44" i="9" s="1"/>
  <c r="A45" i="9" s="1"/>
  <c r="A46" i="9" s="1"/>
  <c r="A47" i="9" s="1"/>
  <c r="A48" i="9" s="1"/>
  <c r="A49" i="9" s="1"/>
  <c r="A50" i="9" s="1"/>
  <c r="A51" i="9" s="1"/>
  <c r="A52" i="9" s="1"/>
  <c r="A53" i="9" s="1"/>
  <c r="A54" i="9" s="1"/>
  <c r="A55" i="9" s="1"/>
  <c r="A56" i="9" s="1"/>
  <c r="A57" i="9" s="1"/>
  <c r="A58" i="9" s="1"/>
  <c r="A59" i="9" s="1"/>
  <c r="A60" i="9" s="1"/>
  <c r="A61" i="9" s="1"/>
  <c r="A62" i="9" s="1"/>
  <c r="A63" i="9" s="1"/>
  <c r="A64" i="9" s="1"/>
  <c r="A65" i="9" s="1"/>
  <c r="A66" i="9" s="1"/>
  <c r="A67" i="9" s="1"/>
  <c r="A68" i="9" s="1"/>
  <c r="A69" i="9" s="1"/>
  <c r="A70" i="9" s="1"/>
  <c r="A71" i="9" s="1"/>
  <c r="A72" i="9" s="1"/>
  <c r="A73" i="9" s="1"/>
  <c r="A74" i="9" s="1"/>
  <c r="A75" i="9" s="1"/>
  <c r="A76" i="9" s="1"/>
  <c r="A77" i="9" s="1"/>
  <c r="A78" i="9" s="1"/>
  <c r="A79" i="9" s="1"/>
  <c r="A80" i="9" s="1"/>
  <c r="A81" i="9" s="1"/>
  <c r="A82" i="9" s="1"/>
  <c r="A83" i="9" s="1"/>
  <c r="A84" i="9" s="1"/>
  <c r="A85" i="9" s="1"/>
  <c r="A86" i="9" s="1"/>
  <c r="A87" i="9" s="1"/>
  <c r="A88" i="9" s="1"/>
  <c r="A89" i="9" s="1"/>
  <c r="A90" i="9" s="1"/>
  <c r="A91" i="9" s="1"/>
  <c r="A92" i="9" s="1"/>
  <c r="A93" i="9" s="1"/>
  <c r="A94" i="9" s="1"/>
  <c r="A95" i="9" s="1"/>
  <c r="A96" i="9" s="1"/>
  <c r="A97" i="9" s="1"/>
  <c r="A98" i="9" s="1"/>
  <c r="A99" i="9" s="1"/>
  <c r="A100" i="9" s="1"/>
  <c r="A101" i="9" s="1"/>
  <c r="A102" i="9" s="1"/>
  <c r="A103" i="9" s="1"/>
  <c r="A104" i="9" s="1"/>
  <c r="A105" i="9" s="1"/>
  <c r="A106" i="9" s="1"/>
  <c r="A107" i="9" s="1"/>
  <c r="A108" i="9" s="1"/>
  <c r="A109" i="9" s="1"/>
  <c r="A110" i="9" s="1"/>
  <c r="A111" i="9" s="1"/>
  <c r="A112" i="9" s="1"/>
  <c r="A113" i="9" s="1"/>
  <c r="A114" i="9" s="1"/>
  <c r="A115" i="9" s="1"/>
  <c r="A116" i="9" s="1"/>
  <c r="A117" i="9" s="1"/>
  <c r="A118" i="9" s="1"/>
  <c r="A119" i="9" s="1"/>
  <c r="A120" i="9" s="1"/>
  <c r="A121" i="9" s="1"/>
  <c r="A122" i="9" s="1"/>
  <c r="A123" i="9" s="1"/>
  <c r="A124" i="9" s="1"/>
  <c r="A125" i="9" s="1"/>
  <c r="A126" i="9" s="1"/>
  <c r="A127" i="9" s="1"/>
  <c r="A128" i="9" s="1"/>
  <c r="A129" i="9" s="1"/>
  <c r="A130" i="9" s="1"/>
  <c r="A131" i="9" s="1"/>
  <c r="A132" i="9" s="1"/>
  <c r="A133" i="9" s="1"/>
  <c r="A134" i="9" s="1"/>
  <c r="A135" i="9" s="1"/>
  <c r="A136" i="9" s="1"/>
  <c r="A137" i="9" s="1"/>
  <c r="A138" i="9" s="1"/>
  <c r="A139" i="9" s="1"/>
  <c r="A140" i="9" s="1"/>
  <c r="A141" i="9" s="1"/>
  <c r="A142" i="9" s="1"/>
  <c r="A143" i="9" s="1"/>
  <c r="A144" i="9" s="1"/>
  <c r="A145" i="9" s="1"/>
  <c r="A146" i="9" s="1"/>
  <c r="A147" i="9" s="1"/>
  <c r="A148" i="9" s="1"/>
  <c r="A149" i="9" s="1"/>
  <c r="A150" i="9" s="1"/>
  <c r="A151" i="9" s="1"/>
  <c r="A152" i="9" s="1"/>
  <c r="A153" i="9" s="1"/>
  <c r="A154" i="9" s="1"/>
  <c r="A155" i="9" s="1"/>
  <c r="A156" i="9" s="1"/>
  <c r="A157" i="9" s="1"/>
  <c r="A158" i="9" s="1"/>
  <c r="A159" i="9" s="1"/>
  <c r="A160" i="9" s="1"/>
  <c r="A161" i="9" s="1"/>
  <c r="A162" i="9" s="1"/>
  <c r="A163" i="9" s="1"/>
  <c r="A164" i="9" s="1"/>
  <c r="A165" i="9" s="1"/>
  <c r="A166" i="9" s="1"/>
  <c r="A167" i="9" s="1"/>
  <c r="A168" i="9" s="1"/>
  <c r="A169" i="9" s="1"/>
  <c r="A170" i="9" s="1"/>
  <c r="A171" i="9" s="1"/>
  <c r="A172" i="9" s="1"/>
  <c r="A173" i="9" s="1"/>
  <c r="A174" i="9" s="1"/>
  <c r="A175" i="9" s="1"/>
  <c r="A176" i="9" s="1"/>
  <c r="A177" i="9" s="1"/>
  <c r="A178" i="9" s="1"/>
  <c r="A179" i="9" s="1"/>
  <c r="A180" i="9" s="1"/>
  <c r="A181" i="9" s="1"/>
  <c r="A182" i="9" s="1"/>
  <c r="A183" i="9" s="1"/>
  <c r="A184" i="9" s="1"/>
  <c r="A185" i="9" s="1"/>
  <c r="A186" i="9" s="1"/>
  <c r="A187" i="9" s="1"/>
  <c r="A188" i="9" s="1"/>
  <c r="A189" i="9" s="1"/>
  <c r="A190" i="9" s="1"/>
  <c r="A191" i="9" s="1"/>
  <c r="A192" i="9" s="1"/>
  <c r="A193" i="9" s="1"/>
  <c r="A194" i="9" s="1"/>
  <c r="A195" i="9" s="1"/>
  <c r="A196" i="9" s="1"/>
  <c r="A197" i="9" s="1"/>
  <c r="A198" i="9" s="1"/>
  <c r="A199" i="9" s="1"/>
  <c r="A200" i="9" s="1"/>
  <c r="A201" i="9" s="1"/>
  <c r="A202" i="9" s="1"/>
  <c r="A203" i="9" s="1"/>
  <c r="A204" i="9" s="1"/>
  <c r="A205" i="9" s="1"/>
  <c r="A206" i="9" s="1"/>
  <c r="A207" i="9" s="1"/>
  <c r="A208" i="9" s="1"/>
  <c r="A209" i="9" s="1"/>
  <c r="A210" i="9" s="1"/>
  <c r="A211" i="9" s="1"/>
  <c r="A212" i="9" s="1"/>
  <c r="A213" i="9" s="1"/>
  <c r="A214" i="9" s="1"/>
  <c r="A215" i="9" s="1"/>
  <c r="A216" i="9" s="1"/>
  <c r="A217" i="9" s="1"/>
  <c r="A218" i="9" s="1"/>
  <c r="A219" i="9" s="1"/>
  <c r="A220" i="9" s="1"/>
  <c r="A221" i="9" s="1"/>
  <c r="A222" i="9" s="1"/>
  <c r="A223" i="9" s="1"/>
  <c r="A224" i="9" s="1"/>
  <c r="A225" i="9" s="1"/>
  <c r="A226" i="9" s="1"/>
  <c r="A227" i="9" s="1"/>
  <c r="A228" i="9" s="1"/>
  <c r="A229" i="9" s="1"/>
  <c r="A230" i="9" s="1"/>
  <c r="A231" i="9" s="1"/>
  <c r="A232" i="9" s="1"/>
  <c r="A233" i="9" s="1"/>
  <c r="A234" i="9" s="1"/>
  <c r="A235" i="9" s="1"/>
  <c r="A236" i="9" s="1"/>
  <c r="A237" i="9" s="1"/>
  <c r="A238" i="9" s="1"/>
  <c r="A239" i="9" s="1"/>
  <c r="A240" i="9" s="1"/>
  <c r="A241" i="9" s="1"/>
  <c r="A242" i="9" s="1"/>
  <c r="A243" i="9" s="1"/>
  <c r="A244" i="9" s="1"/>
  <c r="A245" i="9" s="1"/>
  <c r="A246" i="9" s="1"/>
  <c r="A247" i="9" s="1"/>
  <c r="A248" i="9" s="1"/>
  <c r="A249" i="9" s="1"/>
  <c r="A250" i="9" s="1"/>
  <c r="A251" i="9" s="1"/>
  <c r="A252" i="9" s="1"/>
  <c r="A253" i="9" s="1"/>
  <c r="A254" i="9" s="1"/>
  <c r="A255" i="9" s="1"/>
  <c r="A256" i="9" s="1"/>
  <c r="A257" i="9" s="1"/>
  <c r="A258" i="9" s="1"/>
  <c r="A259" i="9" s="1"/>
  <c r="A260" i="9" s="1"/>
  <c r="A261" i="9" s="1"/>
  <c r="A262" i="9" s="1"/>
  <c r="A263" i="9" s="1"/>
  <c r="A264" i="9" s="1"/>
  <c r="A265" i="9" s="1"/>
  <c r="A266" i="9" s="1"/>
  <c r="A267" i="9" s="1"/>
  <c r="A268" i="9" s="1"/>
  <c r="A269" i="9" s="1"/>
  <c r="A270" i="9" s="1"/>
  <c r="A271" i="9" s="1"/>
  <c r="A272" i="9" s="1"/>
  <c r="A273" i="9" s="1"/>
  <c r="A274" i="9" s="1"/>
  <c r="A275" i="9" s="1"/>
  <c r="A276" i="9" s="1"/>
  <c r="A277" i="9" s="1"/>
  <c r="A278" i="9" s="1"/>
  <c r="A279" i="9" s="1"/>
  <c r="A280" i="9" s="1"/>
  <c r="A281" i="9" s="1"/>
  <c r="A282" i="9" s="1"/>
  <c r="A283" i="9" s="1"/>
  <c r="A284" i="9" s="1"/>
  <c r="A285" i="9" s="1"/>
  <c r="A286" i="9" s="1"/>
  <c r="A287" i="9" s="1"/>
  <c r="A288" i="9" s="1"/>
  <c r="A289" i="9" s="1"/>
  <c r="A290" i="9" s="1"/>
  <c r="A291" i="9" s="1"/>
  <c r="A292" i="9" s="1"/>
  <c r="A293" i="9" s="1"/>
  <c r="A294" i="9" s="1"/>
  <c r="A295" i="9" s="1"/>
  <c r="A296" i="9" s="1"/>
  <c r="A297" i="9" s="1"/>
  <c r="A298" i="9" s="1"/>
  <c r="A299" i="9" s="1"/>
  <c r="A300" i="9" s="1"/>
  <c r="A301" i="9" s="1"/>
  <c r="A302" i="9" s="1"/>
  <c r="A303" i="9" s="1"/>
  <c r="A304" i="9" s="1"/>
  <c r="A305" i="9" s="1"/>
  <c r="A306" i="9" s="1"/>
  <c r="A307" i="9" s="1"/>
  <c r="A308" i="9" s="1"/>
  <c r="A309" i="9" s="1"/>
  <c r="A310" i="9" s="1"/>
  <c r="A311" i="9" s="1"/>
  <c r="A312" i="9" s="1"/>
  <c r="A313" i="9" s="1"/>
  <c r="A314" i="9" s="1"/>
  <c r="A315" i="9" s="1"/>
  <c r="A316" i="9" s="1"/>
  <c r="A317" i="9" s="1"/>
  <c r="A318" i="9" s="1"/>
  <c r="A319" i="9" s="1"/>
  <c r="A320" i="9" s="1"/>
  <c r="A321" i="9" s="1"/>
  <c r="A322" i="9" s="1"/>
  <c r="A323" i="9" s="1"/>
  <c r="A324" i="9" s="1"/>
  <c r="A325" i="9" s="1"/>
  <c r="A326" i="9" s="1"/>
  <c r="A327" i="9" s="1"/>
  <c r="A328" i="9" s="1"/>
  <c r="A329" i="9" s="1"/>
  <c r="A330" i="9" s="1"/>
  <c r="A331" i="9" s="1"/>
  <c r="A332" i="9" s="1"/>
  <c r="A333" i="9" s="1"/>
  <c r="A334" i="9" s="1"/>
  <c r="A335" i="9" s="1"/>
  <c r="A336" i="9" s="1"/>
  <c r="A337" i="9" s="1"/>
  <c r="A338" i="9" s="1"/>
  <c r="A339" i="9" s="1"/>
  <c r="A340" i="9" s="1"/>
  <c r="A341" i="9" s="1"/>
  <c r="A342" i="9" s="1"/>
  <c r="A343" i="9" s="1"/>
  <c r="A344" i="9" s="1"/>
  <c r="A345" i="9" s="1"/>
  <c r="A346" i="9" s="1"/>
  <c r="A347" i="9" s="1"/>
  <c r="A348" i="9" s="1"/>
  <c r="A349" i="9" s="1"/>
  <c r="A350" i="9" s="1"/>
  <c r="A351" i="9" s="1"/>
  <c r="A352" i="9" s="1"/>
  <c r="A353" i="9" s="1"/>
  <c r="A354" i="9" s="1"/>
  <c r="A355" i="9" s="1"/>
  <c r="A356" i="9" s="1"/>
  <c r="A357" i="9" s="1"/>
  <c r="A358" i="9" s="1"/>
  <c r="A359" i="9" s="1"/>
  <c r="A360" i="9" s="1"/>
  <c r="A361" i="9" s="1"/>
  <c r="A362" i="9" s="1"/>
  <c r="A363" i="9" s="1"/>
  <c r="A364" i="9" s="1"/>
  <c r="A365" i="9" s="1"/>
  <c r="A366" i="9" s="1"/>
  <c r="A367" i="9" s="1"/>
  <c r="A368" i="9" s="1"/>
  <c r="A369" i="9" s="1"/>
  <c r="A370" i="9" s="1"/>
  <c r="A371" i="9" s="1"/>
  <c r="A372" i="9" s="1"/>
  <c r="A373" i="9" s="1"/>
  <c r="A374" i="9" s="1"/>
  <c r="A375" i="9" s="1"/>
  <c r="A376" i="9" s="1"/>
  <c r="A377" i="9" s="1"/>
  <c r="A378" i="9" s="1"/>
  <c r="A379" i="9" s="1"/>
  <c r="A380" i="9" s="1"/>
  <c r="A381" i="9" s="1"/>
  <c r="A382" i="9" s="1"/>
  <c r="A383" i="9" s="1"/>
  <c r="A384" i="9" s="1"/>
  <c r="A385" i="9" s="1"/>
  <c r="A386" i="9" s="1"/>
  <c r="A387" i="9" s="1"/>
  <c r="A388" i="9" s="1"/>
  <c r="A389" i="9" s="1"/>
  <c r="A390" i="9" s="1"/>
  <c r="A391" i="9" s="1"/>
  <c r="A392" i="9" s="1"/>
  <c r="A393" i="9" s="1"/>
  <c r="A394" i="9" s="1"/>
  <c r="A395" i="9" s="1"/>
  <c r="P3" i="14"/>
  <c r="P4" i="14"/>
  <c r="P5" i="14"/>
  <c r="P6" i="14"/>
  <c r="P7" i="14"/>
  <c r="P2" i="14"/>
  <c r="F32" i="17"/>
  <c r="B11" i="17"/>
  <c r="Q2" i="14" l="1"/>
  <c r="Q12" i="14"/>
  <c r="Q8" i="14"/>
  <c r="Q11" i="14"/>
  <c r="Q14" i="14"/>
  <c r="Q17" i="14"/>
  <c r="Q19" i="14"/>
  <c r="Q21" i="14"/>
  <c r="Q15" i="14"/>
  <c r="Q16" i="14"/>
  <c r="Q18" i="14"/>
  <c r="Q20" i="14"/>
  <c r="Q10" i="14"/>
  <c r="Q13" i="14"/>
  <c r="Q9" i="14"/>
  <c r="C14" i="17"/>
  <c r="C15" i="17"/>
  <c r="C16" i="17"/>
  <c r="Q6" i="14"/>
  <c r="Q5" i="14"/>
  <c r="Q3" i="14"/>
  <c r="Q4" i="14"/>
  <c r="Q7" i="14"/>
  <c r="G35" i="17"/>
  <c r="B27" i="9"/>
  <c r="B21" i="9"/>
  <c r="B3" i="9"/>
  <c r="B2" i="9"/>
  <c r="B5" i="9"/>
  <c r="B4" i="9"/>
  <c r="B9" i="9"/>
  <c r="F32" i="9"/>
  <c r="B19" i="17" l="1"/>
  <c r="C17" i="17"/>
  <c r="G215" i="17" s="1"/>
  <c r="B16" i="9"/>
  <c r="C16" i="9" s="1"/>
  <c r="B8" i="9"/>
  <c r="B10" i="9"/>
  <c r="B11" i="9"/>
  <c r="B12" i="9"/>
  <c r="B25" i="9" s="1"/>
  <c r="B13" i="9"/>
  <c r="B26" i="9" s="1"/>
  <c r="G233" i="9" s="1"/>
  <c r="B14" i="9"/>
  <c r="C14" i="9" s="1"/>
  <c r="B15" i="9"/>
  <c r="C15" i="9" s="1"/>
  <c r="G171" i="17" l="1"/>
  <c r="G207" i="17"/>
  <c r="G191" i="17"/>
  <c r="G139" i="17"/>
  <c r="G167" i="17"/>
  <c r="G187" i="17"/>
  <c r="G123" i="17"/>
  <c r="G83" i="17"/>
  <c r="G119" i="17"/>
  <c r="G99" i="17"/>
  <c r="G188" i="17"/>
  <c r="G59" i="17"/>
  <c r="G147" i="17"/>
  <c r="G103" i="17"/>
  <c r="G55" i="17"/>
  <c r="G39" i="17"/>
  <c r="G75" i="17"/>
  <c r="G196" i="17"/>
  <c r="G172" i="17"/>
  <c r="G132" i="17"/>
  <c r="G152" i="17"/>
  <c r="G148" i="17"/>
  <c r="G212" i="17"/>
  <c r="G168" i="17"/>
  <c r="G124" i="17"/>
  <c r="G104" i="17"/>
  <c r="G108" i="17"/>
  <c r="G209" i="17"/>
  <c r="G88" i="17"/>
  <c r="G84" i="17"/>
  <c r="G201" i="17"/>
  <c r="G145" i="17"/>
  <c r="G185" i="17"/>
  <c r="G165" i="17"/>
  <c r="G57" i="17"/>
  <c r="G121" i="17"/>
  <c r="G101" i="17"/>
  <c r="G81" i="17"/>
  <c r="G181" i="17"/>
  <c r="G161" i="17"/>
  <c r="G137" i="17"/>
  <c r="G117" i="17"/>
  <c r="G97" i="17"/>
  <c r="G73" i="17"/>
  <c r="G53" i="17"/>
  <c r="G203" i="17"/>
  <c r="G183" i="17"/>
  <c r="G155" i="17"/>
  <c r="G135" i="17"/>
  <c r="G115" i="17"/>
  <c r="G91" i="17"/>
  <c r="G71" i="17"/>
  <c r="G51" i="17"/>
  <c r="G204" i="17"/>
  <c r="G184" i="17"/>
  <c r="G164" i="17"/>
  <c r="G140" i="17"/>
  <c r="G120" i="17"/>
  <c r="G100" i="17"/>
  <c r="G76" i="17"/>
  <c r="G197" i="17"/>
  <c r="G177" i="17"/>
  <c r="G153" i="17"/>
  <c r="G133" i="17"/>
  <c r="G113" i="17"/>
  <c r="G89" i="17"/>
  <c r="G69" i="17"/>
  <c r="G49" i="17"/>
  <c r="G199" i="17"/>
  <c r="G175" i="17"/>
  <c r="G151" i="17"/>
  <c r="G131" i="17"/>
  <c r="G107" i="17"/>
  <c r="G87" i="17"/>
  <c r="G67" i="17"/>
  <c r="G43" i="17"/>
  <c r="G200" i="17"/>
  <c r="G180" i="17"/>
  <c r="G156" i="17"/>
  <c r="G136" i="17"/>
  <c r="G116" i="17"/>
  <c r="G92" i="17"/>
  <c r="G213" i="17"/>
  <c r="G193" i="17"/>
  <c r="G169" i="17"/>
  <c r="G149" i="17"/>
  <c r="G129" i="17"/>
  <c r="G105" i="17"/>
  <c r="G85" i="17"/>
  <c r="G65" i="17"/>
  <c r="G37" i="17"/>
  <c r="G41" i="17"/>
  <c r="G198" i="17"/>
  <c r="G166" i="17"/>
  <c r="G118" i="17"/>
  <c r="G64" i="17"/>
  <c r="G134" i="17"/>
  <c r="G182" i="17"/>
  <c r="G102" i="17"/>
  <c r="G206" i="17"/>
  <c r="G72" i="17"/>
  <c r="G56" i="17"/>
  <c r="G40" i="17"/>
  <c r="G158" i="17"/>
  <c r="G190" i="17"/>
  <c r="G94" i="17"/>
  <c r="G78" i="17"/>
  <c r="G142" i="17"/>
  <c r="G126" i="17"/>
  <c r="G211" i="17"/>
  <c r="G195" i="17"/>
  <c r="G179" i="17"/>
  <c r="G159" i="17"/>
  <c r="G143" i="17"/>
  <c r="G127" i="17"/>
  <c r="G111" i="17"/>
  <c r="G95" i="17"/>
  <c r="G79" i="17"/>
  <c r="G63" i="17"/>
  <c r="G47" i="17"/>
  <c r="G208" i="17"/>
  <c r="G192" i="17"/>
  <c r="G176" i="17"/>
  <c r="G160" i="17"/>
  <c r="G144" i="17"/>
  <c r="G128" i="17"/>
  <c r="G112" i="17"/>
  <c r="G96" i="17"/>
  <c r="G80" i="17"/>
  <c r="G205" i="17"/>
  <c r="G189" i="17"/>
  <c r="G173" i="17"/>
  <c r="G157" i="17"/>
  <c r="G141" i="17"/>
  <c r="G125" i="17"/>
  <c r="G109" i="17"/>
  <c r="G93" i="17"/>
  <c r="G77" i="17"/>
  <c r="G61" i="17"/>
  <c r="G45" i="17"/>
  <c r="G214" i="17"/>
  <c r="G150" i="17"/>
  <c r="G86" i="17"/>
  <c r="G48" i="17"/>
  <c r="G174" i="17"/>
  <c r="G110" i="17"/>
  <c r="G68" i="17"/>
  <c r="G60" i="17"/>
  <c r="G52" i="17"/>
  <c r="G210" i="17"/>
  <c r="G44" i="17"/>
  <c r="G36" i="17"/>
  <c r="G178" i="17"/>
  <c r="G194" i="17"/>
  <c r="G146" i="17"/>
  <c r="G130" i="17"/>
  <c r="G114" i="17"/>
  <c r="G162" i="17"/>
  <c r="G82" i="17"/>
  <c r="G98" i="17"/>
  <c r="G46" i="17"/>
  <c r="G202" i="17"/>
  <c r="G70" i="17"/>
  <c r="G54" i="17"/>
  <c r="G62" i="17"/>
  <c r="G154" i="17"/>
  <c r="G90" i="17"/>
  <c r="G38" i="17"/>
  <c r="G50" i="17"/>
  <c r="G122" i="17"/>
  <c r="G138" i="17"/>
  <c r="G186" i="17"/>
  <c r="G66" i="17"/>
  <c r="G74" i="17"/>
  <c r="G163" i="17"/>
  <c r="G42" i="17"/>
  <c r="G106" i="17"/>
  <c r="G170" i="17"/>
  <c r="G58" i="17"/>
  <c r="G240" i="9"/>
  <c r="G387" i="9"/>
  <c r="G323" i="9"/>
  <c r="G263" i="9"/>
  <c r="G372" i="9"/>
  <c r="G308" i="9"/>
  <c r="G244" i="9"/>
  <c r="G381" i="9"/>
  <c r="G353" i="9"/>
  <c r="G366" i="9"/>
  <c r="G334" i="9"/>
  <c r="G302" i="9"/>
  <c r="G270" i="9"/>
  <c r="G254" i="9"/>
  <c r="G222" i="9"/>
  <c r="G343" i="9"/>
  <c r="G275" i="9"/>
  <c r="G392" i="9"/>
  <c r="G328" i="9"/>
  <c r="G393" i="9"/>
  <c r="G245" i="9"/>
  <c r="G371" i="9"/>
  <c r="G339" i="9"/>
  <c r="G311" i="9"/>
  <c r="G279" i="9"/>
  <c r="G247" i="9"/>
  <c r="G388" i="9"/>
  <c r="G356" i="9"/>
  <c r="G324" i="9"/>
  <c r="G292" i="9"/>
  <c r="G260" i="9"/>
  <c r="G236" i="9"/>
  <c r="G216" i="9"/>
  <c r="G369" i="9"/>
  <c r="G337" i="9"/>
  <c r="G390" i="9"/>
  <c r="G374" i="9"/>
  <c r="G358" i="9"/>
  <c r="G342" i="9"/>
  <c r="G326" i="9"/>
  <c r="G310" i="9"/>
  <c r="G294" i="9"/>
  <c r="G278" i="9"/>
  <c r="G262" i="9"/>
  <c r="G246" i="9"/>
  <c r="G230" i="9"/>
  <c r="G391" i="9"/>
  <c r="G359" i="9"/>
  <c r="G327" i="9"/>
  <c r="G291" i="9"/>
  <c r="G259" i="9"/>
  <c r="G227" i="9"/>
  <c r="G376" i="9"/>
  <c r="G344" i="9"/>
  <c r="G312" i="9"/>
  <c r="G280" i="9"/>
  <c r="G248" i="9"/>
  <c r="G377" i="9"/>
  <c r="G341" i="9"/>
  <c r="G317" i="9"/>
  <c r="G301" i="9"/>
  <c r="G285" i="9"/>
  <c r="G269" i="9"/>
  <c r="G253" i="9"/>
  <c r="G237" i="9"/>
  <c r="G221" i="9"/>
  <c r="G379" i="9"/>
  <c r="G347" i="9"/>
  <c r="G319" i="9"/>
  <c r="G287" i="9"/>
  <c r="G255" i="9"/>
  <c r="G223" i="9"/>
  <c r="G364" i="9"/>
  <c r="G332" i="9"/>
  <c r="G300" i="9"/>
  <c r="G268" i="9"/>
  <c r="G220" i="9"/>
  <c r="G373" i="9"/>
  <c r="G345" i="9"/>
  <c r="G394" i="9"/>
  <c r="G378" i="9"/>
  <c r="G362" i="9"/>
  <c r="G346" i="9"/>
  <c r="G330" i="9"/>
  <c r="G314" i="9"/>
  <c r="G298" i="9"/>
  <c r="G282" i="9"/>
  <c r="G266" i="9"/>
  <c r="G250" i="9"/>
  <c r="G234" i="9"/>
  <c r="G218" i="9"/>
  <c r="G367" i="9"/>
  <c r="G335" i="9"/>
  <c r="G299" i="9"/>
  <c r="G267" i="9"/>
  <c r="G235" i="9"/>
  <c r="G384" i="9"/>
  <c r="G352" i="9"/>
  <c r="G320" i="9"/>
  <c r="G288" i="9"/>
  <c r="G256" i="9"/>
  <c r="G385" i="9"/>
  <c r="G349" i="9"/>
  <c r="G321" i="9"/>
  <c r="G305" i="9"/>
  <c r="G289" i="9"/>
  <c r="G273" i="9"/>
  <c r="G257" i="9"/>
  <c r="G241" i="9"/>
  <c r="G225" i="9"/>
  <c r="G355" i="9"/>
  <c r="G295" i="9"/>
  <c r="G231" i="9"/>
  <c r="G340" i="9"/>
  <c r="G276" i="9"/>
  <c r="G224" i="9"/>
  <c r="G217" i="9"/>
  <c r="G382" i="9"/>
  <c r="G350" i="9"/>
  <c r="G318" i="9"/>
  <c r="G286" i="9"/>
  <c r="G238" i="9"/>
  <c r="G375" i="9"/>
  <c r="G307" i="9"/>
  <c r="G243" i="9"/>
  <c r="G360" i="9"/>
  <c r="G296" i="9"/>
  <c r="G264" i="9"/>
  <c r="G357" i="9"/>
  <c r="G325" i="9"/>
  <c r="G309" i="9"/>
  <c r="G293" i="9"/>
  <c r="G277" i="9"/>
  <c r="G261" i="9"/>
  <c r="G229" i="9"/>
  <c r="G395" i="9"/>
  <c r="G363" i="9"/>
  <c r="G331" i="9"/>
  <c r="G303" i="9"/>
  <c r="G271" i="9"/>
  <c r="G239" i="9"/>
  <c r="G380" i="9"/>
  <c r="G348" i="9"/>
  <c r="G316" i="9"/>
  <c r="G284" i="9"/>
  <c r="G252" i="9"/>
  <c r="G232" i="9"/>
  <c r="G389" i="9"/>
  <c r="G361" i="9"/>
  <c r="G329" i="9"/>
  <c r="G386" i="9"/>
  <c r="G370" i="9"/>
  <c r="G354" i="9"/>
  <c r="G338" i="9"/>
  <c r="G322" i="9"/>
  <c r="G306" i="9"/>
  <c r="G290" i="9"/>
  <c r="G274" i="9"/>
  <c r="G258" i="9"/>
  <c r="G242" i="9"/>
  <c r="G226" i="9"/>
  <c r="G383" i="9"/>
  <c r="G351" i="9"/>
  <c r="G315" i="9"/>
  <c r="G283" i="9"/>
  <c r="G251" i="9"/>
  <c r="G219" i="9"/>
  <c r="G368" i="9"/>
  <c r="G336" i="9"/>
  <c r="G304" i="9"/>
  <c r="G272" i="9"/>
  <c r="G228" i="9"/>
  <c r="G365" i="9"/>
  <c r="G333" i="9"/>
  <c r="G313" i="9"/>
  <c r="G297" i="9"/>
  <c r="G281" i="9"/>
  <c r="G265" i="9"/>
  <c r="G249" i="9"/>
  <c r="C17" i="9"/>
  <c r="G215" i="9" s="1"/>
  <c r="B28" i="9"/>
  <c r="B24" i="9"/>
  <c r="G32" i="17" l="1"/>
  <c r="G35" i="9"/>
  <c r="G36" i="9"/>
  <c r="G128" i="9"/>
  <c r="G132" i="9"/>
  <c r="G136" i="9"/>
  <c r="G140" i="9"/>
  <c r="G144" i="9"/>
  <c r="G148" i="9"/>
  <c r="G152" i="9"/>
  <c r="G156" i="9"/>
  <c r="G160" i="9"/>
  <c r="G164" i="9"/>
  <c r="G168" i="9"/>
  <c r="G172" i="9"/>
  <c r="G176" i="9"/>
  <c r="G180" i="9"/>
  <c r="G184" i="9"/>
  <c r="G188" i="9"/>
  <c r="G192" i="9"/>
  <c r="G196" i="9"/>
  <c r="G200" i="9"/>
  <c r="G204" i="9"/>
  <c r="G208" i="9"/>
  <c r="G212" i="9"/>
  <c r="G130" i="9"/>
  <c r="G138" i="9"/>
  <c r="G146" i="9"/>
  <c r="G154" i="9"/>
  <c r="G158" i="9"/>
  <c r="G166" i="9"/>
  <c r="G174" i="9"/>
  <c r="G182" i="9"/>
  <c r="G190" i="9"/>
  <c r="G202" i="9"/>
  <c r="G210" i="9"/>
  <c r="G129" i="9"/>
  <c r="G137" i="9"/>
  <c r="G145" i="9"/>
  <c r="G153" i="9"/>
  <c r="G161" i="9"/>
  <c r="G169" i="9"/>
  <c r="G177" i="9"/>
  <c r="G185" i="9"/>
  <c r="G193" i="9"/>
  <c r="G201" i="9"/>
  <c r="G209" i="9"/>
  <c r="G127" i="9"/>
  <c r="G131" i="9"/>
  <c r="G135" i="9"/>
  <c r="G139" i="9"/>
  <c r="G143" i="9"/>
  <c r="G147" i="9"/>
  <c r="G151" i="9"/>
  <c r="G155" i="9"/>
  <c r="G159" i="9"/>
  <c r="G163" i="9"/>
  <c r="G167" i="9"/>
  <c r="G171" i="9"/>
  <c r="G175" i="9"/>
  <c r="G179" i="9"/>
  <c r="G183" i="9"/>
  <c r="G187" i="9"/>
  <c r="G191" i="9"/>
  <c r="G195" i="9"/>
  <c r="G199" i="9"/>
  <c r="G203" i="9"/>
  <c r="G207" i="9"/>
  <c r="G211" i="9"/>
  <c r="G126" i="9"/>
  <c r="G134" i="9"/>
  <c r="G142" i="9"/>
  <c r="G150" i="9"/>
  <c r="G162" i="9"/>
  <c r="G170" i="9"/>
  <c r="G178" i="9"/>
  <c r="G186" i="9"/>
  <c r="G194" i="9"/>
  <c r="G198" i="9"/>
  <c r="G206" i="9"/>
  <c r="G214" i="9"/>
  <c r="G133" i="9"/>
  <c r="G141" i="9"/>
  <c r="G149" i="9"/>
  <c r="G157" i="9"/>
  <c r="G165" i="9"/>
  <c r="G173" i="9"/>
  <c r="G181" i="9"/>
  <c r="G189" i="9"/>
  <c r="G197" i="9"/>
  <c r="G205" i="9"/>
  <c r="G213" i="9"/>
  <c r="G40" i="9"/>
  <c r="G44" i="9"/>
  <c r="G48" i="9"/>
  <c r="G52" i="9"/>
  <c r="G56" i="9"/>
  <c r="G60" i="9"/>
  <c r="G64" i="9"/>
  <c r="G68" i="9"/>
  <c r="G72" i="9"/>
  <c r="G76" i="9"/>
  <c r="G80" i="9"/>
  <c r="G84" i="9"/>
  <c r="G88" i="9"/>
  <c r="G92" i="9"/>
  <c r="G96" i="9"/>
  <c r="G100" i="9"/>
  <c r="G104" i="9"/>
  <c r="G108" i="9"/>
  <c r="G112" i="9"/>
  <c r="G116" i="9"/>
  <c r="G120" i="9"/>
  <c r="G124" i="9"/>
  <c r="G42" i="9"/>
  <c r="G46" i="9"/>
  <c r="G50" i="9"/>
  <c r="G54" i="9"/>
  <c r="G62" i="9"/>
  <c r="G70" i="9"/>
  <c r="G78" i="9"/>
  <c r="G86" i="9"/>
  <c r="G94" i="9"/>
  <c r="G102" i="9"/>
  <c r="G110" i="9"/>
  <c r="G122" i="9"/>
  <c r="G37" i="9"/>
  <c r="G45" i="9"/>
  <c r="G49" i="9"/>
  <c r="G53" i="9"/>
  <c r="G57" i="9"/>
  <c r="G61" i="9"/>
  <c r="G65" i="9"/>
  <c r="G73" i="9"/>
  <c r="G81" i="9"/>
  <c r="G89" i="9"/>
  <c r="G97" i="9"/>
  <c r="G105" i="9"/>
  <c r="G113" i="9"/>
  <c r="G121" i="9"/>
  <c r="G39" i="9"/>
  <c r="G43" i="9"/>
  <c r="G47" i="9"/>
  <c r="G51" i="9"/>
  <c r="G55" i="9"/>
  <c r="G59" i="9"/>
  <c r="G63" i="9"/>
  <c r="G67" i="9"/>
  <c r="G71" i="9"/>
  <c r="G75" i="9"/>
  <c r="G79" i="9"/>
  <c r="G83" i="9"/>
  <c r="G87" i="9"/>
  <c r="G91" i="9"/>
  <c r="G95" i="9"/>
  <c r="G99" i="9"/>
  <c r="G103" i="9"/>
  <c r="G107" i="9"/>
  <c r="G111" i="9"/>
  <c r="G115" i="9"/>
  <c r="G119" i="9"/>
  <c r="G123" i="9"/>
  <c r="G38" i="9"/>
  <c r="G58" i="9"/>
  <c r="G66" i="9"/>
  <c r="G74" i="9"/>
  <c r="G82" i="9"/>
  <c r="G90" i="9"/>
  <c r="G98" i="9"/>
  <c r="G106" i="9"/>
  <c r="G114" i="9"/>
  <c r="G118" i="9"/>
  <c r="G41" i="9"/>
  <c r="G69" i="9"/>
  <c r="G77" i="9"/>
  <c r="G85" i="9"/>
  <c r="G93" i="9"/>
  <c r="G101" i="9"/>
  <c r="G109" i="9"/>
  <c r="G117" i="9"/>
  <c r="G125" i="9"/>
  <c r="C22" i="9"/>
  <c r="B22" i="9"/>
  <c r="G32" i="9" l="1"/>
  <c r="E38" i="17"/>
  <c r="E61" i="17"/>
  <c r="B96" i="17"/>
  <c r="E44" i="17"/>
  <c r="E166" i="9"/>
  <c r="E137" i="17"/>
  <c r="C74" i="9"/>
  <c r="C67" i="9"/>
  <c r="B341" i="9"/>
  <c r="B94" i="17"/>
  <c r="B37" i="9"/>
  <c r="B177" i="17"/>
  <c r="B393" i="9"/>
  <c r="C85" i="17"/>
  <c r="E194" i="17"/>
  <c r="B184" i="17"/>
  <c r="B105" i="17"/>
  <c r="C210" i="17"/>
  <c r="C314" i="9"/>
  <c r="C95" i="17"/>
  <c r="E108" i="17"/>
  <c r="C150" i="9"/>
  <c r="C270" i="9"/>
  <c r="E222" i="9"/>
  <c r="B72" i="17"/>
  <c r="B171" i="17"/>
  <c r="C120" i="9"/>
  <c r="C143" i="17"/>
  <c r="B391" i="9"/>
  <c r="C393" i="9"/>
  <c r="E145" i="17"/>
  <c r="C146" i="9"/>
  <c r="C36" i="9"/>
  <c r="C117" i="17"/>
  <c r="C199" i="17"/>
  <c r="C98" i="17"/>
  <c r="B301" i="9"/>
  <c r="C91" i="17"/>
  <c r="B52" i="17"/>
  <c r="B371" i="9"/>
  <c r="E87" i="17"/>
  <c r="C58" i="17"/>
  <c r="B43" i="17"/>
  <c r="B148" i="17"/>
  <c r="C85" i="9"/>
  <c r="E176" i="17"/>
  <c r="B240" i="9"/>
  <c r="B120" i="9"/>
  <c r="B218" i="9"/>
  <c r="C200" i="17"/>
  <c r="E165" i="17"/>
  <c r="C116" i="17"/>
  <c r="E78" i="9"/>
  <c r="C62" i="9"/>
  <c r="B357" i="9"/>
  <c r="E173" i="9"/>
  <c r="E367" i="9"/>
  <c r="E200" i="17"/>
  <c r="E357" i="9"/>
  <c r="E233" i="9"/>
  <c r="C80" i="17"/>
  <c r="B347" i="9"/>
  <c r="E143" i="9"/>
  <c r="C177" i="9"/>
  <c r="E166" i="17"/>
  <c r="E293" i="9"/>
  <c r="C61" i="9"/>
  <c r="B90" i="17"/>
  <c r="E124" i="17"/>
  <c r="E79" i="17"/>
  <c r="C96" i="17"/>
  <c r="E385" i="9"/>
  <c r="E202" i="17"/>
  <c r="C216" i="9"/>
  <c r="B152" i="9"/>
  <c r="B119" i="17"/>
  <c r="C56" i="17"/>
  <c r="E330" i="9"/>
  <c r="E169" i="9"/>
  <c r="C120" i="17"/>
  <c r="B62" i="17"/>
  <c r="B48" i="17"/>
  <c r="C88" i="9"/>
  <c r="E154" i="17"/>
  <c r="E109" i="9"/>
  <c r="C200" i="9"/>
  <c r="C353" i="9"/>
  <c r="E343" i="9"/>
  <c r="B383" i="9"/>
  <c r="B312" i="9"/>
  <c r="C324" i="9"/>
  <c r="C358" i="9"/>
  <c r="C278" i="9"/>
  <c r="E57" i="9"/>
  <c r="B67" i="9"/>
  <c r="C182" i="9"/>
  <c r="B176" i="17"/>
  <c r="E145" i="9"/>
  <c r="B276" i="9"/>
  <c r="E128" i="17"/>
  <c r="C191" i="17"/>
  <c r="E290" i="9"/>
  <c r="B201" i="17"/>
  <c r="E36" i="9"/>
  <c r="B163" i="9"/>
  <c r="C97" i="17"/>
  <c r="C148" i="9"/>
  <c r="C38" i="17"/>
  <c r="E216" i="9"/>
  <c r="B70" i="9"/>
  <c r="C202" i="9"/>
  <c r="C310" i="9"/>
  <c r="B193" i="17"/>
  <c r="B55" i="9"/>
  <c r="B274" i="9"/>
  <c r="E96" i="17"/>
  <c r="E35" i="17"/>
  <c r="C76" i="9"/>
  <c r="E62" i="9"/>
  <c r="E155" i="17"/>
  <c r="E152" i="9"/>
  <c r="B306" i="9"/>
  <c r="E162" i="9"/>
  <c r="C394" i="9"/>
  <c r="B56" i="9"/>
  <c r="C164" i="17"/>
  <c r="E264" i="9"/>
  <c r="C64" i="17"/>
  <c r="E95" i="17"/>
  <c r="B109" i="17"/>
  <c r="E160" i="17"/>
  <c r="C198" i="17"/>
  <c r="B187" i="17"/>
  <c r="B73" i="17"/>
  <c r="B207" i="17"/>
  <c r="E105" i="9"/>
  <c r="E191" i="9"/>
  <c r="E304" i="9"/>
  <c r="B172" i="17"/>
  <c r="C157" i="17"/>
  <c r="E129" i="17"/>
  <c r="B157" i="9"/>
  <c r="C59" i="17"/>
  <c r="E165" i="9"/>
  <c r="E42" i="9"/>
  <c r="C342" i="9"/>
  <c r="B122" i="17"/>
  <c r="B145" i="17"/>
  <c r="B135" i="17"/>
  <c r="C208" i="17"/>
  <c r="E207" i="17"/>
  <c r="E252" i="9"/>
  <c r="E86" i="17"/>
  <c r="B325" i="9"/>
  <c r="C62" i="17"/>
  <c r="C84" i="17"/>
  <c r="C99" i="17"/>
  <c r="B110" i="17"/>
  <c r="B123" i="17"/>
  <c r="B178" i="17"/>
  <c r="E57" i="17"/>
  <c r="E110" i="17"/>
  <c r="E46" i="9"/>
  <c r="B164" i="17"/>
  <c r="E170" i="17"/>
  <c r="B45" i="17"/>
  <c r="E334" i="9"/>
  <c r="C188" i="17"/>
  <c r="E203" i="9"/>
  <c r="E133" i="9"/>
  <c r="B82" i="9"/>
  <c r="B210" i="17"/>
  <c r="C83" i="17"/>
  <c r="C213" i="17"/>
  <c r="C138" i="9"/>
  <c r="E118" i="17"/>
  <c r="E209" i="17"/>
  <c r="E113" i="9"/>
  <c r="C190" i="17"/>
  <c r="C215" i="9"/>
  <c r="C233" i="9"/>
  <c r="B96" i="9"/>
  <c r="B222" i="9"/>
  <c r="B332" i="9"/>
  <c r="C125" i="9"/>
  <c r="E212" i="17"/>
  <c r="C72" i="17"/>
  <c r="B69" i="17"/>
  <c r="B88" i="9"/>
  <c r="B92" i="9"/>
  <c r="C325" i="9"/>
  <c r="E46" i="17"/>
  <c r="E193" i="17"/>
  <c r="E103" i="9"/>
  <c r="E80" i="17"/>
  <c r="E319" i="9"/>
  <c r="E225" i="9"/>
  <c r="E168" i="17"/>
  <c r="E265" i="9"/>
  <c r="E221" i="9"/>
  <c r="C66" i="9"/>
  <c r="C63" i="9"/>
  <c r="E278" i="9"/>
  <c r="B225" i="9"/>
  <c r="E270" i="9"/>
  <c r="B70" i="17"/>
  <c r="C40" i="17"/>
  <c r="B142" i="17"/>
  <c r="B78" i="9"/>
  <c r="E68" i="17"/>
  <c r="E302" i="9"/>
  <c r="B170" i="17"/>
  <c r="E392" i="9"/>
  <c r="C125" i="17"/>
  <c r="E41" i="9"/>
  <c r="E103" i="17"/>
  <c r="B231" i="9"/>
  <c r="B180" i="9"/>
  <c r="E121" i="9"/>
  <c r="E382" i="9"/>
  <c r="E76" i="17"/>
  <c r="C355" i="9"/>
  <c r="E320" i="9"/>
  <c r="E386" i="9"/>
  <c r="B43" i="9"/>
  <c r="E99" i="17"/>
  <c r="E211" i="17"/>
  <c r="E49" i="17"/>
  <c r="B127" i="9"/>
  <c r="E360" i="9"/>
  <c r="E373" i="9"/>
  <c r="E164" i="9"/>
  <c r="B137" i="17"/>
  <c r="C356" i="9"/>
  <c r="C243" i="9"/>
  <c r="C384" i="9"/>
  <c r="B211" i="17"/>
  <c r="C93" i="9"/>
  <c r="E151" i="17"/>
  <c r="B44" i="9"/>
  <c r="E344" i="9"/>
  <c r="C224" i="9"/>
  <c r="B307" i="9"/>
  <c r="C90" i="9"/>
  <c r="C188" i="9"/>
  <c r="B163" i="17"/>
  <c r="B133" i="9"/>
  <c r="E56" i="9"/>
  <c r="E95" i="9"/>
  <c r="E65" i="9"/>
  <c r="E301" i="9"/>
  <c r="C383" i="9"/>
  <c r="B250" i="9"/>
  <c r="E354" i="9"/>
  <c r="E137" i="9"/>
  <c r="B286" i="9"/>
  <c r="C36" i="17"/>
  <c r="E235" i="9"/>
  <c r="C105" i="9"/>
  <c r="C97" i="9"/>
  <c r="B270" i="9"/>
  <c r="E187" i="9"/>
  <c r="E261" i="9"/>
  <c r="E312" i="9"/>
  <c r="C374" i="9"/>
  <c r="E379" i="9"/>
  <c r="E244" i="9"/>
  <c r="B329" i="9"/>
  <c r="B333" i="9"/>
  <c r="B91" i="9"/>
  <c r="E212" i="9"/>
  <c r="E257" i="9"/>
  <c r="C196" i="9"/>
  <c r="B174" i="9"/>
  <c r="B135" i="9"/>
  <c r="B57" i="9"/>
  <c r="C167" i="17"/>
  <c r="E393" i="9"/>
  <c r="E273" i="9"/>
  <c r="B93" i="17"/>
  <c r="B167" i="17"/>
  <c r="B85" i="9"/>
  <c r="C66" i="17"/>
  <c r="C291" i="9"/>
  <c r="E44" i="9"/>
  <c r="E342" i="9"/>
  <c r="E292" i="9"/>
  <c r="E338" i="9"/>
  <c r="E156" i="9"/>
  <c r="E162" i="17"/>
  <c r="B122" i="9"/>
  <c r="E185" i="17"/>
  <c r="C157" i="9"/>
  <c r="E121" i="17"/>
  <c r="C141" i="17"/>
  <c r="C380" i="9"/>
  <c r="B90" i="9"/>
  <c r="C194" i="17"/>
  <c r="B58" i="9"/>
  <c r="C108" i="17"/>
  <c r="C110" i="9"/>
  <c r="E366" i="9"/>
  <c r="C72" i="9"/>
  <c r="E199" i="17"/>
  <c r="E132" i="9"/>
  <c r="E178" i="9"/>
  <c r="B72" i="9"/>
  <c r="C152" i="17"/>
  <c r="E144" i="9"/>
  <c r="E120" i="17"/>
  <c r="C211" i="17"/>
  <c r="C372" i="9"/>
  <c r="C69" i="17"/>
  <c r="B181" i="17"/>
  <c r="E208" i="17"/>
  <c r="C329" i="9"/>
  <c r="E149" i="17"/>
  <c r="E201" i="17"/>
  <c r="C156" i="17"/>
  <c r="C127" i="17"/>
  <c r="B51" i="17"/>
  <c r="E219" i="9"/>
  <c r="E59" i="9"/>
  <c r="E184" i="17"/>
  <c r="B353" i="9"/>
  <c r="C137" i="17"/>
  <c r="E167" i="17"/>
  <c r="C376" i="9"/>
  <c r="C293" i="9"/>
  <c r="E48" i="9"/>
  <c r="E87" i="9"/>
  <c r="C151" i="9"/>
  <c r="C175" i="9"/>
  <c r="C95" i="9"/>
  <c r="C249" i="9"/>
  <c r="E203" i="17"/>
  <c r="E102" i="17"/>
  <c r="B159" i="17"/>
  <c r="C75" i="17"/>
  <c r="C304" i="9"/>
  <c r="B94" i="9"/>
  <c r="B215" i="17"/>
  <c r="B114" i="17"/>
  <c r="C108" i="9"/>
  <c r="E311" i="9"/>
  <c r="B156" i="17"/>
  <c r="C86" i="17"/>
  <c r="E154" i="9"/>
  <c r="C215" i="17"/>
  <c r="C123" i="17"/>
  <c r="B137" i="9"/>
  <c r="E68" i="9"/>
  <c r="E58" i="9"/>
  <c r="C76" i="17"/>
  <c r="B191" i="9"/>
  <c r="B318" i="9"/>
  <c r="E125" i="9"/>
  <c r="B99" i="17"/>
  <c r="B116" i="9"/>
  <c r="C339" i="9"/>
  <c r="C130" i="17"/>
  <c r="C274" i="9"/>
  <c r="C136" i="17"/>
  <c r="C79" i="9"/>
  <c r="C252" i="9"/>
  <c r="E101" i="17"/>
  <c r="C271" i="9"/>
  <c r="B145" i="9"/>
  <c r="B252" i="9"/>
  <c r="E126" i="9"/>
  <c r="C145" i="9"/>
  <c r="E79" i="9"/>
  <c r="C347" i="9"/>
  <c r="C77" i="9"/>
  <c r="B95" i="17"/>
  <c r="B136" i="9"/>
  <c r="E362" i="9"/>
  <c r="C187" i="17"/>
  <c r="C149" i="9"/>
  <c r="B392" i="9"/>
  <c r="B331" i="9"/>
  <c r="B360" i="9"/>
  <c r="B219" i="9"/>
  <c r="C153" i="17"/>
  <c r="B138" i="9"/>
  <c r="E125" i="17"/>
  <c r="E141" i="17"/>
  <c r="C286" i="9"/>
  <c r="C77" i="17"/>
  <c r="B74" i="17"/>
  <c r="B239" i="9"/>
  <c r="C126" i="17"/>
  <c r="C93" i="17"/>
  <c r="E159" i="9"/>
  <c r="E84" i="17"/>
  <c r="B229" i="9"/>
  <c r="B228" i="9"/>
  <c r="C131" i="9"/>
  <c r="B262" i="9"/>
  <c r="E272" i="9"/>
  <c r="E106" i="9"/>
  <c r="B110" i="9"/>
  <c r="E139" i="9"/>
  <c r="E291" i="9"/>
  <c r="B143" i="9"/>
  <c r="B88" i="17"/>
  <c r="C52" i="9"/>
  <c r="B304" i="9"/>
  <c r="C184" i="17"/>
  <c r="C114" i="17"/>
  <c r="C110" i="17"/>
  <c r="B194" i="9"/>
  <c r="C268" i="9"/>
  <c r="C168" i="9"/>
  <c r="C115" i="9"/>
  <c r="B115" i="17"/>
  <c r="B79" i="9"/>
  <c r="E152" i="17"/>
  <c r="C241" i="9"/>
  <c r="E147" i="17"/>
  <c r="B107" i="17"/>
  <c r="B141" i="17"/>
  <c r="E50" i="17"/>
  <c r="C86" i="9"/>
  <c r="B268" i="9"/>
  <c r="B158" i="17"/>
  <c r="B216" i="9"/>
  <c r="B385" i="9"/>
  <c r="C51" i="17"/>
  <c r="B86" i="9"/>
  <c r="B200" i="17"/>
  <c r="C240" i="9"/>
  <c r="E67" i="17"/>
  <c r="B101" i="17"/>
  <c r="B195" i="17"/>
  <c r="E378" i="9"/>
  <c r="B320" i="9"/>
  <c r="C44" i="17"/>
  <c r="E39" i="17"/>
  <c r="B206" i="9"/>
  <c r="C138" i="17"/>
  <c r="C395" i="9"/>
  <c r="E363" i="9"/>
  <c r="B54" i="9"/>
  <c r="C35" i="17"/>
  <c r="B261" i="9"/>
  <c r="B61" i="9"/>
  <c r="E298" i="9"/>
  <c r="C348" i="9"/>
  <c r="C159" i="17"/>
  <c r="E335" i="9"/>
  <c r="B221" i="9"/>
  <c r="C92" i="9"/>
  <c r="E88" i="17"/>
  <c r="E239" i="9"/>
  <c r="B303" i="9"/>
  <c r="E178" i="17"/>
  <c r="E215" i="17"/>
  <c r="B139" i="9"/>
  <c r="C326" i="9"/>
  <c r="B81" i="17"/>
  <c r="C124" i="9"/>
  <c r="E271" i="9"/>
  <c r="B267" i="9"/>
  <c r="B180" i="17"/>
  <c r="C67" i="17"/>
  <c r="C147" i="17"/>
  <c r="E318" i="9"/>
  <c r="E248" i="9"/>
  <c r="E391" i="9"/>
  <c r="B49" i="9"/>
  <c r="C217" i="9"/>
  <c r="C192" i="9"/>
  <c r="C229" i="9"/>
  <c r="C48" i="9"/>
  <c r="E86" i="9"/>
  <c r="C136" i="9"/>
  <c r="E395" i="9"/>
  <c r="C231" i="9"/>
  <c r="C322" i="9"/>
  <c r="E59" i="17"/>
  <c r="B188" i="17"/>
  <c r="C123" i="9"/>
  <c r="E83" i="9"/>
  <c r="E226" i="9"/>
  <c r="B210" i="9"/>
  <c r="E305" i="9"/>
  <c r="E316" i="9"/>
  <c r="E280" i="9"/>
  <c r="B245" i="9"/>
  <c r="E35" i="9"/>
  <c r="C228" i="9"/>
  <c r="E210" i="9"/>
  <c r="E205" i="9"/>
  <c r="C155" i="9"/>
  <c r="B246" i="9"/>
  <c r="E53" i="17"/>
  <c r="B38" i="9"/>
  <c r="E375" i="9"/>
  <c r="E101" i="9"/>
  <c r="B139" i="17"/>
  <c r="E116" i="9"/>
  <c r="E148" i="17"/>
  <c r="C80" i="9"/>
  <c r="E74" i="17"/>
  <c r="B166" i="17"/>
  <c r="E105" i="17"/>
  <c r="B198" i="17"/>
  <c r="E146" i="17"/>
  <c r="B354" i="9"/>
  <c r="B123" i="9"/>
  <c r="C173" i="17"/>
  <c r="E98" i="17"/>
  <c r="B189" i="17"/>
  <c r="B257" i="9"/>
  <c r="C375" i="9"/>
  <c r="B188" i="9"/>
  <c r="B53" i="9"/>
  <c r="C112" i="9"/>
  <c r="C96" i="9"/>
  <c r="E171" i="9"/>
  <c r="E118" i="9"/>
  <c r="B350" i="9"/>
  <c r="E309" i="9"/>
  <c r="C70" i="17"/>
  <c r="C84" i="9"/>
  <c r="E263" i="9"/>
  <c r="C79" i="17"/>
  <c r="E185" i="9"/>
  <c r="C388" i="9"/>
  <c r="B373" i="9"/>
  <c r="B93" i="9"/>
  <c r="B236" i="9"/>
  <c r="C134" i="17"/>
  <c r="E104" i="17"/>
  <c r="C37" i="9"/>
  <c r="E183" i="9"/>
  <c r="E300" i="9"/>
  <c r="E199" i="9"/>
  <c r="B68" i="17"/>
  <c r="C170" i="9"/>
  <c r="C53" i="9"/>
  <c r="C119" i="9"/>
  <c r="B266" i="9"/>
  <c r="E73" i="17"/>
  <c r="B380" i="9"/>
  <c r="C143" i="9"/>
  <c r="B104" i="17"/>
  <c r="C106" i="9"/>
  <c r="C135" i="17"/>
  <c r="C351" i="9"/>
  <c r="C330" i="9"/>
  <c r="B162" i="9"/>
  <c r="C369" i="9"/>
  <c r="B76" i="9"/>
  <c r="E40" i="9"/>
  <c r="E76" i="9"/>
  <c r="C89" i="17"/>
  <c r="E144" i="17"/>
  <c r="C204" i="9"/>
  <c r="C210" i="9"/>
  <c r="E64" i="17"/>
  <c r="C289" i="9"/>
  <c r="B217" i="9"/>
  <c r="E51" i="17"/>
  <c r="E262" i="9"/>
  <c r="E71" i="9"/>
  <c r="B289" i="9"/>
  <c r="B98" i="17"/>
  <c r="E196" i="9"/>
  <c r="C169" i="17"/>
  <c r="E194" i="9"/>
  <c r="B100" i="17"/>
  <c r="C364" i="9"/>
  <c r="C177" i="17"/>
  <c r="C265" i="9"/>
  <c r="C129" i="9"/>
  <c r="B92" i="17"/>
  <c r="C144" i="17"/>
  <c r="B254" i="9"/>
  <c r="C160" i="17"/>
  <c r="E163" i="9"/>
  <c r="C78" i="17"/>
  <c r="B39" i="9"/>
  <c r="B305" i="9"/>
  <c r="E117" i="9"/>
  <c r="E333" i="9"/>
  <c r="E97" i="9"/>
  <c r="C94" i="17"/>
  <c r="B177" i="9"/>
  <c r="E179" i="9"/>
  <c r="B129" i="17"/>
  <c r="E136" i="17"/>
  <c r="B189" i="9"/>
  <c r="B204" i="9"/>
  <c r="E204" i="17"/>
  <c r="B233" i="9"/>
  <c r="C121" i="9"/>
  <c r="B100" i="9"/>
  <c r="C211" i="9"/>
  <c r="C203" i="9"/>
  <c r="C41" i="9"/>
  <c r="E200" i="9"/>
  <c r="B186" i="9"/>
  <c r="E149" i="9"/>
  <c r="B36" i="17"/>
  <c r="B82" i="17"/>
  <c r="B364" i="9"/>
  <c r="B389" i="9"/>
  <c r="B213" i="9"/>
  <c r="C382" i="9"/>
  <c r="E174" i="9"/>
  <c r="E130" i="9"/>
  <c r="E74" i="9"/>
  <c r="E245" i="9"/>
  <c r="E64" i="9"/>
  <c r="C135" i="9"/>
  <c r="E112" i="17"/>
  <c r="B159" i="9"/>
  <c r="E192" i="9"/>
  <c r="B183" i="9"/>
  <c r="C113" i="9"/>
  <c r="C254" i="9"/>
  <c r="B84" i="17"/>
  <c r="E127" i="17"/>
  <c r="E81" i="9"/>
  <c r="C175" i="17"/>
  <c r="B62" i="9"/>
  <c r="C387" i="9"/>
  <c r="B384" i="9"/>
  <c r="B363" i="9"/>
  <c r="C163" i="17"/>
  <c r="B116" i="17"/>
  <c r="B379" i="9"/>
  <c r="C140" i="17"/>
  <c r="E81" i="17"/>
  <c r="E328" i="9"/>
  <c r="C192" i="17"/>
  <c r="E313" i="9"/>
  <c r="C64" i="9"/>
  <c r="B343" i="9"/>
  <c r="C116" i="9"/>
  <c r="B75" i="9"/>
  <c r="B196" i="9"/>
  <c r="B81" i="9"/>
  <c r="E340" i="9"/>
  <c r="B42" i="17"/>
  <c r="C198" i="9"/>
  <c r="B39" i="17"/>
  <c r="C126" i="9"/>
  <c r="E258" i="9"/>
  <c r="E180" i="9"/>
  <c r="C244" i="9"/>
  <c r="B45" i="9"/>
  <c r="B330" i="9"/>
  <c r="C269" i="9"/>
  <c r="C149" i="17"/>
  <c r="C305" i="9"/>
  <c r="E369" i="9"/>
  <c r="C237" i="9"/>
  <c r="E38" i="9"/>
  <c r="B52" i="9"/>
  <c r="E224" i="9"/>
  <c r="B168" i="9"/>
  <c r="B287" i="9"/>
  <c r="B251" i="9"/>
  <c r="C338" i="9"/>
  <c r="E353" i="9"/>
  <c r="C48" i="17"/>
  <c r="C207" i="17"/>
  <c r="C214" i="17"/>
  <c r="B75" i="17"/>
  <c r="C363" i="9"/>
  <c r="E115" i="17"/>
  <c r="C166" i="17"/>
  <c r="B156" i="9"/>
  <c r="B112" i="17"/>
  <c r="E135" i="17"/>
  <c r="C343" i="9"/>
  <c r="E48" i="17"/>
  <c r="E77" i="17"/>
  <c r="E374" i="9"/>
  <c r="E133" i="17"/>
  <c r="E140" i="17"/>
  <c r="E174" i="17"/>
  <c r="B241" i="9"/>
  <c r="B49" i="17"/>
  <c r="E109" i="17"/>
  <c r="C272" i="9"/>
  <c r="C189" i="17"/>
  <c r="C258" i="9"/>
  <c r="C174" i="9"/>
  <c r="E380" i="9"/>
  <c r="C197" i="17"/>
  <c r="B277" i="9"/>
  <c r="C132" i="9"/>
  <c r="E275" i="9"/>
  <c r="C172" i="9"/>
  <c r="E55" i="17"/>
  <c r="E158" i="17"/>
  <c r="C323" i="9"/>
  <c r="B160" i="17"/>
  <c r="E60" i="17"/>
  <c r="C154" i="17"/>
  <c r="B224" i="9"/>
  <c r="C201" i="9"/>
  <c r="B38" i="17"/>
  <c r="E52" i="17"/>
  <c r="B366" i="9"/>
  <c r="C263" i="9"/>
  <c r="E308" i="9"/>
  <c r="B285" i="9"/>
  <c r="C98" i="9"/>
  <c r="E168" i="9"/>
  <c r="E117" i="17"/>
  <c r="E77" i="9"/>
  <c r="C245" i="9"/>
  <c r="B176" i="9"/>
  <c r="C205" i="17"/>
  <c r="C202" i="17"/>
  <c r="C132" i="17"/>
  <c r="E297" i="9"/>
  <c r="B130" i="9"/>
  <c r="B173" i="9"/>
  <c r="C206" i="9"/>
  <c r="B278" i="9"/>
  <c r="C284" i="9"/>
  <c r="C333" i="9"/>
  <c r="E120" i="9"/>
  <c r="E359" i="9"/>
  <c r="B336" i="9"/>
  <c r="B309" i="9"/>
  <c r="E112" i="9"/>
  <c r="C45" i="17"/>
  <c r="C287" i="9"/>
  <c r="E324" i="9"/>
  <c r="B47" i="17"/>
  <c r="B199" i="17"/>
  <c r="B294" i="9"/>
  <c r="B377" i="9"/>
  <c r="C212" i="9"/>
  <c r="C106" i="17"/>
  <c r="C170" i="17"/>
  <c r="C70" i="9"/>
  <c r="B36" i="9"/>
  <c r="E39" i="9"/>
  <c r="E234" i="9"/>
  <c r="C300" i="9"/>
  <c r="C222" i="9"/>
  <c r="E355" i="9"/>
  <c r="B168" i="17"/>
  <c r="B99" i="9"/>
  <c r="B394" i="9"/>
  <c r="C139" i="17"/>
  <c r="E279" i="9"/>
  <c r="C367" i="9"/>
  <c r="E377" i="9"/>
  <c r="E54" i="17"/>
  <c r="E368" i="9"/>
  <c r="E211" i="9"/>
  <c r="E197" i="17"/>
  <c r="C199" i="9"/>
  <c r="C193" i="17"/>
  <c r="C185" i="9"/>
  <c r="C129" i="17"/>
  <c r="B387" i="9"/>
  <c r="B244" i="9"/>
  <c r="C57" i="17"/>
  <c r="E126" i="17"/>
  <c r="E56" i="17"/>
  <c r="E173" i="17"/>
  <c r="E217" i="9"/>
  <c r="E240" i="9"/>
  <c r="E232" i="9"/>
  <c r="C296" i="9"/>
  <c r="B372" i="9"/>
  <c r="B149" i="9"/>
  <c r="C232" i="9"/>
  <c r="B185" i="17"/>
  <c r="B368" i="9"/>
  <c r="B317" i="9"/>
  <c r="B367" i="9"/>
  <c r="E227" i="9"/>
  <c r="B192" i="9"/>
  <c r="C101" i="17"/>
  <c r="B369" i="9"/>
  <c r="B117" i="17"/>
  <c r="B234" i="9"/>
  <c r="B315" i="9"/>
  <c r="C225" i="9"/>
  <c r="B297" i="9"/>
  <c r="E351" i="9"/>
  <c r="E365" i="9"/>
  <c r="C49" i="9"/>
  <c r="B260" i="9"/>
  <c r="B302" i="9"/>
  <c r="B173" i="17"/>
  <c r="B149" i="17"/>
  <c r="E202" i="9"/>
  <c r="E223" i="9"/>
  <c r="B41" i="9"/>
  <c r="C219" i="9"/>
  <c r="C82" i="17"/>
  <c r="C89" i="9"/>
  <c r="E43" i="9"/>
  <c r="B237" i="9"/>
  <c r="E195" i="17"/>
  <c r="B73" i="9"/>
  <c r="B359" i="9"/>
  <c r="C292" i="9"/>
  <c r="B235" i="9"/>
  <c r="C65" i="9"/>
  <c r="E167" i="9"/>
  <c r="B115" i="9"/>
  <c r="B311" i="9"/>
  <c r="B58" i="17"/>
  <c r="B60" i="9"/>
  <c r="C366" i="9"/>
  <c r="B186" i="17"/>
  <c r="C285" i="9"/>
  <c r="E88" i="9"/>
  <c r="E358" i="9"/>
  <c r="E107" i="17"/>
  <c r="B206" i="17"/>
  <c r="B141" i="9"/>
  <c r="C321" i="9"/>
  <c r="B76" i="17"/>
  <c r="C119" i="17"/>
  <c r="B134" i="9"/>
  <c r="B376" i="9"/>
  <c r="B182" i="9"/>
  <c r="C257" i="9"/>
  <c r="E285" i="9"/>
  <c r="B77" i="17"/>
  <c r="E43" i="17"/>
  <c r="E114" i="9"/>
  <c r="C256" i="9"/>
  <c r="E287" i="9"/>
  <c r="E288" i="9"/>
  <c r="C111" i="17"/>
  <c r="B113" i="17"/>
  <c r="C107" i="17"/>
  <c r="C370" i="9"/>
  <c r="B195" i="9"/>
  <c r="C60" i="9"/>
  <c r="C173" i="9"/>
  <c r="C50" i="9"/>
  <c r="E229" i="9"/>
  <c r="B164" i="9"/>
  <c r="C162" i="17"/>
  <c r="B322" i="9"/>
  <c r="E72" i="9"/>
  <c r="C261" i="9"/>
  <c r="C59" i="9"/>
  <c r="E341" i="9"/>
  <c r="B275" i="9"/>
  <c r="B247" i="9"/>
  <c r="B41" i="17"/>
  <c r="C260" i="9"/>
  <c r="B215" i="9"/>
  <c r="B128" i="17"/>
  <c r="B67" i="17"/>
  <c r="E281" i="9"/>
  <c r="B146" i="17"/>
  <c r="C112" i="17"/>
  <c r="C187" i="9"/>
  <c r="B51" i="9"/>
  <c r="C273" i="9"/>
  <c r="C197" i="9"/>
  <c r="E214" i="9"/>
  <c r="E249" i="9"/>
  <c r="B151" i="9"/>
  <c r="B271" i="9"/>
  <c r="E75" i="9"/>
  <c r="B248" i="9"/>
  <c r="C267" i="9"/>
  <c r="B84" i="9"/>
  <c r="C247" i="9"/>
  <c r="E161" i="9"/>
  <c r="B131" i="9"/>
  <c r="E113" i="17"/>
  <c r="C101" i="9"/>
  <c r="C208" i="9"/>
  <c r="B71" i="17"/>
  <c r="B208" i="17"/>
  <c r="B91" i="17"/>
  <c r="B83" i="17"/>
  <c r="E69" i="9"/>
  <c r="E268" i="9"/>
  <c r="E195" i="9"/>
  <c r="B352" i="9"/>
  <c r="C47" i="9"/>
  <c r="B255" i="9"/>
  <c r="B133" i="17"/>
  <c r="E130" i="17"/>
  <c r="B46" i="17"/>
  <c r="B338" i="9"/>
  <c r="C204" i="17"/>
  <c r="B200" i="9"/>
  <c r="C250" i="9"/>
  <c r="C332" i="9"/>
  <c r="C51" i="9"/>
  <c r="B153" i="17"/>
  <c r="C209" i="17"/>
  <c r="E231" i="9"/>
  <c r="C234" i="9"/>
  <c r="E66" i="9"/>
  <c r="B154" i="9"/>
  <c r="E159" i="17"/>
  <c r="E143" i="17"/>
  <c r="C365" i="9"/>
  <c r="B126" i="17"/>
  <c r="C55" i="17"/>
  <c r="B165" i="17"/>
  <c r="B152" i="17"/>
  <c r="B108" i="9"/>
  <c r="E193" i="9"/>
  <c r="B42" i="9"/>
  <c r="E50" i="9"/>
  <c r="B64" i="17"/>
  <c r="C178" i="9"/>
  <c r="C201" i="17"/>
  <c r="E104" i="9"/>
  <c r="B196" i="17"/>
  <c r="B382" i="9"/>
  <c r="E208" i="9"/>
  <c r="B344" i="9"/>
  <c r="B197" i="17"/>
  <c r="E256" i="9"/>
  <c r="E314" i="9"/>
  <c r="B220" i="9"/>
  <c r="E306" i="9"/>
  <c r="E91" i="9"/>
  <c r="C313" i="9"/>
  <c r="C40" i="9"/>
  <c r="C299" i="9"/>
  <c r="E246" i="9"/>
  <c r="B279" i="9"/>
  <c r="C379" i="9"/>
  <c r="B323" i="9"/>
  <c r="C312" i="9"/>
  <c r="C297" i="9"/>
  <c r="B194" i="17"/>
  <c r="B158" i="9"/>
  <c r="C248" i="9"/>
  <c r="C158" i="17"/>
  <c r="C47" i="17"/>
  <c r="B103" i="17"/>
  <c r="C148" i="17"/>
  <c r="E198" i="9"/>
  <c r="C213" i="9"/>
  <c r="C350" i="9"/>
  <c r="C357" i="9"/>
  <c r="C71" i="17"/>
  <c r="E236" i="9"/>
  <c r="B128" i="9"/>
  <c r="E376" i="9"/>
  <c r="C152" i="9"/>
  <c r="C352" i="9"/>
  <c r="E356" i="9"/>
  <c r="B121" i="17"/>
  <c r="E184" i="9"/>
  <c r="B226" i="9"/>
  <c r="E62" i="17"/>
  <c r="E75" i="17"/>
  <c r="E55" i="9"/>
  <c r="B114" i="9"/>
  <c r="B144" i="9"/>
  <c r="B147" i="9"/>
  <c r="E277" i="9"/>
  <c r="C288" i="9"/>
  <c r="C223" i="9"/>
  <c r="C35" i="9"/>
  <c r="B154" i="17"/>
  <c r="C154" i="9"/>
  <c r="B79" i="17"/>
  <c r="B66" i="9"/>
  <c r="B136" i="17"/>
  <c r="E394" i="9"/>
  <c r="B64" i="9"/>
  <c r="C78" i="9"/>
  <c r="C124" i="17"/>
  <c r="C320" i="9"/>
  <c r="E348" i="9"/>
  <c r="C46" i="9"/>
  <c r="C151" i="17"/>
  <c r="B102" i="17"/>
  <c r="C378" i="9"/>
  <c r="B125" i="9"/>
  <c r="E322" i="9"/>
  <c r="B269" i="9"/>
  <c r="B47" i="9"/>
  <c r="B197" i="9"/>
  <c r="C165" i="9"/>
  <c r="C83" i="9"/>
  <c r="C180" i="17"/>
  <c r="C166" i="9"/>
  <c r="B340" i="9"/>
  <c r="B109" i="9"/>
  <c r="B182" i="17"/>
  <c r="C162" i="9"/>
  <c r="B230" i="9"/>
  <c r="E220" i="9"/>
  <c r="E371" i="9"/>
  <c r="C390" i="9"/>
  <c r="E139" i="17"/>
  <c r="E321" i="9"/>
  <c r="E102" i="9"/>
  <c r="C179" i="9"/>
  <c r="C290" i="9"/>
  <c r="C133" i="9"/>
  <c r="C55" i="9"/>
  <c r="B170" i="9"/>
  <c r="B103" i="9"/>
  <c r="B113" i="9"/>
  <c r="C344" i="9"/>
  <c r="B179" i="17"/>
  <c r="B214" i="17"/>
  <c r="E94" i="9"/>
  <c r="B106" i="9"/>
  <c r="C114" i="9"/>
  <c r="C238" i="9"/>
  <c r="C362" i="9"/>
  <c r="B174" i="17"/>
  <c r="E164" i="17"/>
  <c r="C50" i="17"/>
  <c r="C318" i="9"/>
  <c r="C328" i="9"/>
  <c r="B355" i="9"/>
  <c r="C346" i="9"/>
  <c r="E325" i="9"/>
  <c r="E132" i="17"/>
  <c r="B388" i="9"/>
  <c r="C195" i="9"/>
  <c r="C142" i="9"/>
  <c r="E45" i="17"/>
  <c r="B57" i="17"/>
  <c r="C145" i="17"/>
  <c r="C155" i="17"/>
  <c r="E153" i="17"/>
  <c r="B166" i="9"/>
  <c r="E66" i="17"/>
  <c r="B167" i="9"/>
  <c r="E183" i="17"/>
  <c r="C264" i="9"/>
  <c r="E181" i="9"/>
  <c r="B181" i="9"/>
  <c r="E179" i="17"/>
  <c r="E337" i="9"/>
  <c r="B208" i="9"/>
  <c r="C282" i="9"/>
  <c r="B151" i="17"/>
  <c r="C349" i="9"/>
  <c r="B316" i="9"/>
  <c r="B190" i="17"/>
  <c r="C109" i="9"/>
  <c r="E190" i="17"/>
  <c r="C176" i="17"/>
  <c r="B223" i="9"/>
  <c r="B249" i="9"/>
  <c r="C239" i="9"/>
  <c r="C303" i="9"/>
  <c r="E282" i="9"/>
  <c r="E215" i="9"/>
  <c r="E187" i="17"/>
  <c r="E188" i="17"/>
  <c r="C102" i="9"/>
  <c r="E150" i="17"/>
  <c r="C189" i="9"/>
  <c r="B202" i="9"/>
  <c r="B346" i="9"/>
  <c r="B124" i="17"/>
  <c r="C146" i="17"/>
  <c r="C60" i="17"/>
  <c r="E186" i="9"/>
  <c r="C54" i="9"/>
  <c r="C43" i="9"/>
  <c r="C99" i="9"/>
  <c r="C386" i="9"/>
  <c r="E116" i="17"/>
  <c r="C178" i="17"/>
  <c r="B328" i="9"/>
  <c r="B203" i="9"/>
  <c r="C109" i="17"/>
  <c r="E204" i="9"/>
  <c r="E96" i="9"/>
  <c r="B105" i="9"/>
  <c r="C100" i="9"/>
  <c r="C164" i="9"/>
  <c r="C39" i="17"/>
  <c r="B227" i="9"/>
  <c r="B265" i="9"/>
  <c r="C73" i="9"/>
  <c r="B107" i="9"/>
  <c r="E370" i="9"/>
  <c r="B205" i="17"/>
  <c r="C236" i="9"/>
  <c r="B101" i="9"/>
  <c r="E84" i="9"/>
  <c r="C53" i="17"/>
  <c r="E58" i="17"/>
  <c r="B120" i="17"/>
  <c r="B190" i="9"/>
  <c r="E158" i="9"/>
  <c r="E60" i="9"/>
  <c r="E108" i="9"/>
  <c r="B183" i="17"/>
  <c r="C373" i="9"/>
  <c r="E303" i="9"/>
  <c r="E241" i="9"/>
  <c r="B118" i="9"/>
  <c r="B192" i="17"/>
  <c r="C160" i="9"/>
  <c r="E276" i="9"/>
  <c r="B334" i="9"/>
  <c r="B77" i="9"/>
  <c r="C102" i="17"/>
  <c r="C74" i="17"/>
  <c r="E274" i="9"/>
  <c r="E206" i="17"/>
  <c r="C279" i="9"/>
  <c r="B68" i="9"/>
  <c r="C122" i="9"/>
  <c r="B169" i="17"/>
  <c r="B71" i="9"/>
  <c r="E107" i="9"/>
  <c r="E73" i="9"/>
  <c r="E189" i="9"/>
  <c r="C214" i="9"/>
  <c r="E52" i="9"/>
  <c r="E90" i="9"/>
  <c r="E151" i="9"/>
  <c r="E254" i="9"/>
  <c r="E327" i="9"/>
  <c r="E189" i="17"/>
  <c r="B144" i="17"/>
  <c r="C75" i="9"/>
  <c r="B209" i="9"/>
  <c r="E250" i="9"/>
  <c r="C246" i="9"/>
  <c r="C207" i="9"/>
  <c r="E218" i="9"/>
  <c r="C377" i="9"/>
  <c r="E72" i="17"/>
  <c r="E49" i="9"/>
  <c r="B273" i="9"/>
  <c r="C182" i="17"/>
  <c r="E160" i="9"/>
  <c r="C181" i="17"/>
  <c r="E177" i="17"/>
  <c r="B60" i="17"/>
  <c r="C90" i="17"/>
  <c r="E47" i="17"/>
  <c r="B327" i="9"/>
  <c r="B147" i="17"/>
  <c r="C150" i="17"/>
  <c r="C159" i="9"/>
  <c r="B53" i="17"/>
  <c r="C218" i="9"/>
  <c r="E299" i="9"/>
  <c r="C43" i="17"/>
  <c r="C105" i="17"/>
  <c r="E197" i="9"/>
  <c r="E161" i="17"/>
  <c r="B35" i="9"/>
  <c r="C295" i="9"/>
  <c r="E92" i="17"/>
  <c r="C103" i="17"/>
  <c r="E100" i="17"/>
  <c r="B205" i="9"/>
  <c r="E169" i="17"/>
  <c r="E37" i="9"/>
  <c r="B55" i="17"/>
  <c r="C118" i="9"/>
  <c r="E122" i="17"/>
  <c r="C169" i="9"/>
  <c r="E131" i="17"/>
  <c r="B87" i="17"/>
  <c r="E153" i="9"/>
  <c r="E65" i="17"/>
  <c r="C56" i="9"/>
  <c r="E163" i="17"/>
  <c r="B282" i="9"/>
  <c r="E71" i="17"/>
  <c r="B138" i="17"/>
  <c r="C41" i="17"/>
  <c r="B143" i="17"/>
  <c r="B213" i="17"/>
  <c r="C87" i="17"/>
  <c r="C242" i="9"/>
  <c r="C42" i="9"/>
  <c r="E243" i="9"/>
  <c r="E41" i="17"/>
  <c r="E142" i="9"/>
  <c r="C331" i="9"/>
  <c r="E339" i="9"/>
  <c r="E111" i="17"/>
  <c r="B295" i="9"/>
  <c r="C227" i="9"/>
  <c r="E142" i="17"/>
  <c r="C389" i="9"/>
  <c r="B207" i="9"/>
  <c r="C183" i="17"/>
  <c r="E51" i="9"/>
  <c r="C309" i="9"/>
  <c r="B212" i="9"/>
  <c r="C359" i="9"/>
  <c r="B365" i="9"/>
  <c r="E157" i="17"/>
  <c r="E115" i="9"/>
  <c r="B83" i="9"/>
  <c r="B98" i="9"/>
  <c r="B292" i="9"/>
  <c r="C58" i="9"/>
  <c r="B86" i="17"/>
  <c r="C361" i="9"/>
  <c r="E134" i="9"/>
  <c r="C82" i="9"/>
  <c r="C220" i="9"/>
  <c r="B193" i="9"/>
  <c r="C360" i="9"/>
  <c r="C354" i="9"/>
  <c r="E114" i="17"/>
  <c r="C137" i="9"/>
  <c r="E53" i="9"/>
  <c r="B111" i="17"/>
  <c r="C134" i="9"/>
  <c r="E296" i="9"/>
  <c r="B314" i="9"/>
  <c r="C327" i="9"/>
  <c r="C122" i="17"/>
  <c r="E93" i="17"/>
  <c r="B140" i="17"/>
  <c r="B146" i="9"/>
  <c r="B56" i="17"/>
  <c r="B242" i="9"/>
  <c r="C181" i="9"/>
  <c r="C73" i="17"/>
  <c r="B283" i="9"/>
  <c r="C133" i="17"/>
  <c r="E123" i="9"/>
  <c r="B150" i="9"/>
  <c r="E141" i="9"/>
  <c r="B199" i="9"/>
  <c r="E134" i="17"/>
  <c r="C209" i="9"/>
  <c r="B313" i="9"/>
  <c r="E146" i="9"/>
  <c r="C131" i="17"/>
  <c r="C315" i="9"/>
  <c r="E82" i="17"/>
  <c r="B375" i="9"/>
  <c r="B259" i="9"/>
  <c r="E350" i="9"/>
  <c r="B132" i="17"/>
  <c r="E175" i="17"/>
  <c r="B140" i="9"/>
  <c r="E82" i="9"/>
  <c r="C171" i="17"/>
  <c r="E317" i="9"/>
  <c r="B40" i="9"/>
  <c r="E67" i="9"/>
  <c r="E251" i="9"/>
  <c r="E294" i="9"/>
  <c r="E238" i="9"/>
  <c r="B198" i="9"/>
  <c r="B201" i="9"/>
  <c r="B40" i="17"/>
  <c r="E69" i="17"/>
  <c r="C179" i="17"/>
  <c r="B263" i="9"/>
  <c r="B78" i="17"/>
  <c r="E196" i="17"/>
  <c r="B280" i="9"/>
  <c r="B291" i="9"/>
  <c r="E128" i="9"/>
  <c r="E70" i="9"/>
  <c r="C275" i="9"/>
  <c r="B111" i="9"/>
  <c r="B124" i="9"/>
  <c r="C128" i="17"/>
  <c r="B209" i="17"/>
  <c r="E127" i="9"/>
  <c r="E323" i="9"/>
  <c r="B203" i="17"/>
  <c r="B150" i="17"/>
  <c r="E150" i="9"/>
  <c r="B162" i="17"/>
  <c r="E61" i="9"/>
  <c r="C226" i="9"/>
  <c r="E190" i="9"/>
  <c r="E119" i="17"/>
  <c r="B119" i="9"/>
  <c r="C186" i="17"/>
  <c r="C61" i="17"/>
  <c r="B361" i="9"/>
  <c r="B148" i="9"/>
  <c r="E191" i="17"/>
  <c r="E336" i="9"/>
  <c r="C161" i="17"/>
  <c r="C194" i="9"/>
  <c r="B264" i="9"/>
  <c r="E176" i="9"/>
  <c r="B157" i="17"/>
  <c r="C37" i="17"/>
  <c r="E63" i="17"/>
  <c r="C195" i="17"/>
  <c r="B362" i="9"/>
  <c r="B126" i="9"/>
  <c r="B258" i="9"/>
  <c r="B232" i="9"/>
  <c r="B284" i="9"/>
  <c r="C141" i="9"/>
  <c r="B175" i="9"/>
  <c r="E85" i="9"/>
  <c r="E349" i="9"/>
  <c r="E171" i="17"/>
  <c r="C68" i="17"/>
  <c r="E106" i="17"/>
  <c r="C142" i="17"/>
  <c r="E381" i="9"/>
  <c r="B161" i="17"/>
  <c r="C153" i="9"/>
  <c r="C100" i="17"/>
  <c r="E295" i="9"/>
  <c r="E83" i="17"/>
  <c r="B63" i="9"/>
  <c r="C184" i="9"/>
  <c r="B390" i="9"/>
  <c r="B106" i="17"/>
  <c r="E100" i="9"/>
  <c r="E155" i="9"/>
  <c r="B299" i="9"/>
  <c r="B80" i="9"/>
  <c r="C345" i="9"/>
  <c r="E138" i="9"/>
  <c r="B339" i="9"/>
  <c r="E136" i="9"/>
  <c r="C147" i="9"/>
  <c r="B214" i="9"/>
  <c r="E310" i="9"/>
  <c r="B342" i="9"/>
  <c r="C381" i="9"/>
  <c r="E284" i="9"/>
  <c r="E329" i="9"/>
  <c r="C276" i="9"/>
  <c r="E213" i="9"/>
  <c r="C307" i="9"/>
  <c r="B74" i="9"/>
  <c r="B335" i="9"/>
  <c r="E242" i="9"/>
  <c r="B191" i="17"/>
  <c r="E192" i="17"/>
  <c r="C49" i="17"/>
  <c r="C171" i="9"/>
  <c r="C253" i="9"/>
  <c r="B102" i="9"/>
  <c r="E364" i="9"/>
  <c r="E332" i="9"/>
  <c r="E175" i="9"/>
  <c r="C156" i="9"/>
  <c r="E372" i="9"/>
  <c r="E182" i="17"/>
  <c r="B272" i="9"/>
  <c r="B395" i="9"/>
  <c r="C121" i="17"/>
  <c r="E214" i="17"/>
  <c r="C336" i="9"/>
  <c r="B211" i="9"/>
  <c r="B349" i="9"/>
  <c r="E230" i="9"/>
  <c r="C52" i="17"/>
  <c r="B253" i="9"/>
  <c r="E390" i="9"/>
  <c r="E148" i="9"/>
  <c r="C230" i="9"/>
  <c r="E47" i="9"/>
  <c r="E111" i="9"/>
  <c r="B121" i="9"/>
  <c r="E172" i="9"/>
  <c r="E267" i="9"/>
  <c r="B288" i="9"/>
  <c r="C167" i="9"/>
  <c r="E54" i="9"/>
  <c r="C127" i="9"/>
  <c r="C103" i="9"/>
  <c r="E289" i="9"/>
  <c r="E201" i="9"/>
  <c r="B59" i="9"/>
  <c r="B345" i="9"/>
  <c r="C94" i="9"/>
  <c r="B172" i="9"/>
  <c r="B290" i="9"/>
  <c r="C39" i="9"/>
  <c r="E131" i="9"/>
  <c r="B37" i="17"/>
  <c r="B187" i="9"/>
  <c r="E345" i="9"/>
  <c r="E92" i="9"/>
  <c r="B256" i="9"/>
  <c r="C140" i="9"/>
  <c r="B370" i="9"/>
  <c r="E331" i="9"/>
  <c r="C206" i="17"/>
  <c r="B80" i="17"/>
  <c r="B298" i="9"/>
  <c r="B155" i="9"/>
  <c r="B160" i="9"/>
  <c r="E156" i="17"/>
  <c r="C118" i="17"/>
  <c r="C161" i="9"/>
  <c r="E91" i="17"/>
  <c r="E129" i="9"/>
  <c r="C316" i="9"/>
  <c r="B130" i="17"/>
  <c r="E198" i="17"/>
  <c r="E90" i="17"/>
  <c r="C144" i="9"/>
  <c r="C317" i="9"/>
  <c r="B326" i="9"/>
  <c r="B112" i="9"/>
  <c r="C283" i="9"/>
  <c r="B281" i="9"/>
  <c r="B65" i="9"/>
  <c r="B169" i="9"/>
  <c r="C235" i="9"/>
  <c r="C81" i="9"/>
  <c r="C298" i="9"/>
  <c r="C115" i="17"/>
  <c r="E97" i="17"/>
  <c r="C88" i="17"/>
  <c r="C174" i="17"/>
  <c r="B46" i="9"/>
  <c r="E255" i="9"/>
  <c r="C139" i="9"/>
  <c r="B131" i="17"/>
  <c r="E389" i="9"/>
  <c r="E78" i="17"/>
  <c r="C221" i="9"/>
  <c r="B378" i="9"/>
  <c r="C163" i="9"/>
  <c r="E269" i="9"/>
  <c r="B296" i="9"/>
  <c r="C42" i="17"/>
  <c r="E247" i="9"/>
  <c r="C191" i="9"/>
  <c r="C168" i="17"/>
  <c r="B165" i="9"/>
  <c r="E181" i="17"/>
  <c r="C281" i="9"/>
  <c r="C158" i="9"/>
  <c r="B179" i="9"/>
  <c r="B59" i="17"/>
  <c r="C277" i="9"/>
  <c r="E384" i="9"/>
  <c r="E80" i="9"/>
  <c r="C104" i="9"/>
  <c r="B85" i="17"/>
  <c r="C113" i="17"/>
  <c r="C294" i="9"/>
  <c r="C302" i="9"/>
  <c r="E286" i="9"/>
  <c r="C301" i="9"/>
  <c r="C306" i="9"/>
  <c r="E63" i="9"/>
  <c r="E346" i="9"/>
  <c r="C205" i="9"/>
  <c r="E36" i="17"/>
  <c r="C255" i="9"/>
  <c r="B381" i="9"/>
  <c r="B171" i="9"/>
  <c r="C185" i="17"/>
  <c r="E45" i="9"/>
  <c r="C196" i="17"/>
  <c r="B142" i="9"/>
  <c r="E259" i="9"/>
  <c r="C54" i="17"/>
  <c r="C44" i="9"/>
  <c r="B324" i="9"/>
  <c r="E98" i="9"/>
  <c r="E85" i="17"/>
  <c r="B95" i="9"/>
  <c r="C63" i="17"/>
  <c r="C212" i="17"/>
  <c r="E315" i="9"/>
  <c r="E307" i="9"/>
  <c r="C176" i="9"/>
  <c r="B63" i="17"/>
  <c r="C203" i="17"/>
  <c r="B89" i="9"/>
  <c r="E180" i="17"/>
  <c r="C65" i="17"/>
  <c r="B125" i="17"/>
  <c r="E206" i="9"/>
  <c r="E253" i="9"/>
  <c r="C186" i="9"/>
  <c r="E170" i="9"/>
  <c r="E172" i="17"/>
  <c r="C308" i="9"/>
  <c r="E119" i="9"/>
  <c r="B89" i="17"/>
  <c r="B356" i="9"/>
  <c r="B238" i="9"/>
  <c r="E135" i="9"/>
  <c r="E352" i="9"/>
  <c r="C180" i="9"/>
  <c r="C117" i="9"/>
  <c r="B293" i="9"/>
  <c r="E157" i="9"/>
  <c r="C392" i="9"/>
  <c r="C259" i="9"/>
  <c r="C87" i="9"/>
  <c r="B243" i="9"/>
  <c r="B175" i="17"/>
  <c r="C165" i="17"/>
  <c r="B337" i="9"/>
  <c r="B69" i="9"/>
  <c r="B35" i="17"/>
  <c r="C262" i="9"/>
  <c r="B204" i="17"/>
  <c r="E89" i="17"/>
  <c r="B184" i="9"/>
  <c r="C340" i="9"/>
  <c r="E347" i="9"/>
  <c r="B117" i="9"/>
  <c r="E177" i="9"/>
  <c r="B300" i="9"/>
  <c r="C266" i="9"/>
  <c r="E123" i="17"/>
  <c r="B108" i="17"/>
  <c r="B155" i="17"/>
  <c r="E70" i="17"/>
  <c r="E283" i="9"/>
  <c r="C107" i="9"/>
  <c r="B178" i="9"/>
  <c r="C128" i="9"/>
  <c r="B48" i="9"/>
  <c r="B97" i="17"/>
  <c r="E40" i="17"/>
  <c r="C190" i="9"/>
  <c r="C385" i="9"/>
  <c r="B308" i="9"/>
  <c r="E228" i="9"/>
  <c r="C311" i="9"/>
  <c r="B351" i="9"/>
  <c r="C371" i="9"/>
  <c r="E99" i="9"/>
  <c r="E186" i="17"/>
  <c r="E387" i="9"/>
  <c r="C69" i="9"/>
  <c r="E260" i="9"/>
  <c r="C71" i="9"/>
  <c r="B212" i="17"/>
  <c r="B319" i="9"/>
  <c r="E210" i="17"/>
  <c r="B348" i="9"/>
  <c r="B61" i="17"/>
  <c r="C337" i="9"/>
  <c r="C319" i="9"/>
  <c r="B185" i="9"/>
  <c r="B97" i="9"/>
  <c r="E326" i="9"/>
  <c r="C81" i="17"/>
  <c r="C172" i="17"/>
  <c r="B129" i="9"/>
  <c r="B54" i="17"/>
  <c r="E110" i="9"/>
  <c r="C111" i="9"/>
  <c r="E182" i="9"/>
  <c r="B134" i="17"/>
  <c r="B127" i="17"/>
  <c r="C368" i="9"/>
  <c r="C68" i="9"/>
  <c r="E93" i="9"/>
  <c r="E42" i="17"/>
  <c r="B50" i="9"/>
  <c r="B87" i="9"/>
  <c r="C341" i="9"/>
  <c r="B202" i="17"/>
  <c r="B358" i="9"/>
  <c r="C130" i="9"/>
  <c r="B132" i="9"/>
  <c r="C46" i="17"/>
  <c r="B310" i="9"/>
  <c r="B386" i="9"/>
  <c r="E266" i="9"/>
  <c r="E89" i="9"/>
  <c r="C391" i="9"/>
  <c r="C92" i="17"/>
  <c r="C91" i="9"/>
  <c r="E205" i="17"/>
  <c r="E122" i="9"/>
  <c r="C193" i="9"/>
  <c r="E147" i="9"/>
  <c r="C280" i="9"/>
  <c r="E140" i="9"/>
  <c r="B161" i="9"/>
  <c r="C38" i="9"/>
  <c r="E209" i="9"/>
  <c r="B66" i="17"/>
  <c r="B321" i="9"/>
  <c r="C57" i="9"/>
  <c r="E361" i="9"/>
  <c r="B104" i="9"/>
  <c r="B153" i="9"/>
  <c r="E138" i="17"/>
  <c r="C183" i="9"/>
  <c r="C335" i="9"/>
  <c r="C104" i="17"/>
  <c r="B118" i="17"/>
  <c r="E124" i="9"/>
  <c r="E237" i="9"/>
  <c r="B65" i="17"/>
  <c r="E207" i="9"/>
  <c r="B374" i="9"/>
  <c r="E388" i="9"/>
  <c r="E213" i="17"/>
  <c r="E94" i="17"/>
  <c r="B50" i="17"/>
  <c r="B44" i="17"/>
  <c r="E188" i="9"/>
  <c r="C251" i="9"/>
  <c r="E383" i="9"/>
  <c r="C45" i="9"/>
  <c r="E37" i="17"/>
  <c r="C334" i="9"/>
  <c r="D4" i="9"/>
  <c r="D4" i="17"/>
  <c r="B19" i="9" l="1"/>
  <c r="D73" i="9"/>
  <c r="I73" i="9"/>
  <c r="D359" i="9"/>
  <c r="I359" i="9"/>
  <c r="D149" i="9"/>
  <c r="I149" i="9"/>
  <c r="D184" i="9"/>
  <c r="I184" i="9"/>
  <c r="I275" i="9"/>
  <c r="D275" i="9"/>
  <c r="D119" i="9"/>
  <c r="I119" i="9"/>
  <c r="D198" i="9"/>
  <c r="I198" i="9"/>
  <c r="I165" i="9"/>
  <c r="D165" i="9"/>
  <c r="D168" i="9"/>
  <c r="I168" i="9"/>
  <c r="I89" i="17"/>
  <c r="D89" i="17"/>
  <c r="I205" i="17"/>
  <c r="D205" i="17"/>
  <c r="I80" i="9"/>
  <c r="D80" i="9"/>
  <c r="D153" i="9"/>
  <c r="I153" i="9"/>
  <c r="I59" i="9"/>
  <c r="D59" i="9"/>
  <c r="D181" i="9"/>
  <c r="I181" i="9"/>
  <c r="D150" i="9"/>
  <c r="I150" i="9"/>
  <c r="D41" i="17"/>
  <c r="I41" i="17"/>
  <c r="D183" i="9"/>
  <c r="I183" i="9"/>
  <c r="I129" i="9"/>
  <c r="D129" i="9"/>
  <c r="I185" i="9"/>
  <c r="D185" i="9"/>
  <c r="D201" i="9"/>
  <c r="I201" i="9"/>
  <c r="D258" i="9"/>
  <c r="I258" i="9"/>
  <c r="D247" i="9"/>
  <c r="I247" i="9"/>
  <c r="I387" i="9"/>
  <c r="D387" i="9"/>
  <c r="D131" i="9"/>
  <c r="I131" i="9"/>
  <c r="I135" i="9"/>
  <c r="D135" i="9"/>
  <c r="D287" i="9"/>
  <c r="I287" i="9"/>
  <c r="D171" i="9"/>
  <c r="I171" i="9"/>
  <c r="D210" i="9"/>
  <c r="I210" i="9"/>
  <c r="D192" i="9"/>
  <c r="I192" i="9"/>
  <c r="D299" i="9"/>
  <c r="I299" i="9"/>
  <c r="D100" i="9"/>
  <c r="I100" i="9"/>
  <c r="I40" i="9"/>
  <c r="D40" i="9"/>
  <c r="D251" i="9"/>
  <c r="I251" i="9"/>
  <c r="D230" i="9"/>
  <c r="I230" i="9"/>
  <c r="I273" i="9"/>
  <c r="D273" i="9"/>
  <c r="I121" i="17"/>
  <c r="D121" i="17"/>
  <c r="D356" i="9"/>
  <c r="I356" i="9"/>
  <c r="D215" i="9"/>
  <c r="I215" i="9"/>
  <c r="D93" i="9"/>
  <c r="I93" i="9"/>
  <c r="I381" i="9"/>
  <c r="D381" i="9"/>
  <c r="D127" i="17"/>
  <c r="I127" i="17"/>
  <c r="I370" i="9"/>
  <c r="D370" i="9"/>
  <c r="I291" i="9"/>
  <c r="D291" i="9"/>
  <c r="D141" i="9"/>
  <c r="I141" i="9"/>
  <c r="I84" i="9"/>
  <c r="D84" i="9"/>
  <c r="I249" i="9"/>
  <c r="D249" i="9"/>
  <c r="D235" i="9"/>
  <c r="I235" i="9"/>
  <c r="D346" i="9"/>
  <c r="I346" i="9"/>
  <c r="I232" i="9"/>
  <c r="D232" i="9"/>
  <c r="D162" i="17"/>
  <c r="I162" i="17"/>
  <c r="D161" i="9"/>
  <c r="I161" i="9"/>
  <c r="I65" i="17"/>
  <c r="D65" i="17"/>
  <c r="D153" i="17"/>
  <c r="I153" i="17"/>
  <c r="I53" i="9"/>
  <c r="D53" i="9"/>
  <c r="I326" i="9"/>
  <c r="D326" i="9"/>
  <c r="I65" i="9"/>
  <c r="D65" i="9"/>
  <c r="I149" i="17"/>
  <c r="D149" i="17"/>
  <c r="I256" i="9"/>
  <c r="D256" i="9"/>
  <c r="I250" i="9"/>
  <c r="D250" i="9"/>
  <c r="I380" i="9"/>
  <c r="D380" i="9"/>
  <c r="D363" i="9"/>
  <c r="I363" i="9"/>
  <c r="I130" i="9"/>
  <c r="D130" i="9"/>
  <c r="D104" i="9"/>
  <c r="I104" i="9"/>
  <c r="I207" i="9"/>
  <c r="D207" i="9"/>
  <c r="I170" i="9"/>
  <c r="D170" i="9"/>
  <c r="I177" i="9"/>
  <c r="D177" i="9"/>
  <c r="I333" i="9"/>
  <c r="D333" i="9"/>
  <c r="D185" i="17"/>
  <c r="I185" i="17"/>
  <c r="I209" i="9"/>
  <c r="D209" i="9"/>
  <c r="D253" i="9"/>
  <c r="I253" i="9"/>
  <c r="D118" i="17"/>
  <c r="I118" i="17"/>
  <c r="I176" i="9"/>
  <c r="D176" i="9"/>
  <c r="D37" i="17"/>
  <c r="I37" i="17"/>
  <c r="D226" i="9"/>
  <c r="I226" i="9"/>
  <c r="D200" i="9"/>
  <c r="I200" i="9"/>
  <c r="D121" i="9"/>
  <c r="I121" i="9"/>
  <c r="D209" i="17"/>
  <c r="I209" i="17"/>
  <c r="D74" i="9"/>
  <c r="I74" i="9"/>
  <c r="I49" i="9"/>
  <c r="D49" i="9"/>
  <c r="D339" i="9"/>
  <c r="I339" i="9"/>
  <c r="D271" i="9"/>
  <c r="I271" i="9"/>
  <c r="I66" i="17"/>
  <c r="D66" i="17"/>
  <c r="I191" i="17"/>
  <c r="D191" i="17"/>
  <c r="I83" i="17"/>
  <c r="D83" i="17"/>
  <c r="D91" i="9"/>
  <c r="I91" i="9"/>
  <c r="I159" i="9"/>
  <c r="D159" i="9"/>
  <c r="D336" i="9"/>
  <c r="I336" i="9"/>
  <c r="I50" i="9"/>
  <c r="D50" i="9"/>
  <c r="D45" i="9"/>
  <c r="I45" i="9"/>
  <c r="D313" i="9"/>
  <c r="I313" i="9"/>
  <c r="I40" i="17"/>
  <c r="D40" i="17"/>
  <c r="D208" i="9"/>
  <c r="I208" i="9"/>
  <c r="D144" i="9"/>
  <c r="I144" i="9"/>
  <c r="D113" i="9"/>
  <c r="I113" i="9"/>
  <c r="I308" i="9"/>
  <c r="D308" i="9"/>
  <c r="D39" i="17"/>
  <c r="I39" i="17"/>
  <c r="D109" i="9"/>
  <c r="I109" i="9"/>
  <c r="D77" i="9"/>
  <c r="I77" i="9"/>
  <c r="D245" i="9"/>
  <c r="I245" i="9"/>
  <c r="I187" i="9"/>
  <c r="D187" i="9"/>
  <c r="I154" i="9"/>
  <c r="D154" i="9"/>
  <c r="I334" i="9"/>
  <c r="D334" i="9"/>
  <c r="D214" i="17"/>
  <c r="I214" i="17"/>
  <c r="D367" i="9"/>
  <c r="I367" i="9"/>
  <c r="I314" i="9"/>
  <c r="D314" i="9"/>
  <c r="D117" i="9"/>
  <c r="I117" i="9"/>
  <c r="D280" i="9"/>
  <c r="I280" i="9"/>
  <c r="D317" i="9"/>
  <c r="I317" i="9"/>
  <c r="I281" i="9"/>
  <c r="D281" i="9"/>
  <c r="D340" i="9"/>
  <c r="I340" i="9"/>
  <c r="I175" i="9"/>
  <c r="D175" i="9"/>
  <c r="D322" i="9"/>
  <c r="I322" i="9"/>
  <c r="I265" i="9"/>
  <c r="D265" i="9"/>
  <c r="I378" i="9"/>
  <c r="D378" i="9"/>
  <c r="D97" i="9"/>
  <c r="I97" i="9"/>
  <c r="I179" i="9"/>
  <c r="D179" i="9"/>
  <c r="I206" i="17"/>
  <c r="D206" i="17"/>
  <c r="I208" i="17"/>
  <c r="D208" i="17"/>
  <c r="D144" i="17"/>
  <c r="I144" i="17"/>
  <c r="D376" i="9"/>
  <c r="I376" i="9"/>
  <c r="I374" i="9"/>
  <c r="D374" i="9"/>
  <c r="D106" i="9"/>
  <c r="I106" i="9"/>
  <c r="D112" i="9"/>
  <c r="I112" i="9"/>
  <c r="I154" i="17"/>
  <c r="D154" i="17"/>
  <c r="I300" i="9"/>
  <c r="D300" i="9"/>
  <c r="I192" i="17"/>
  <c r="D192" i="17"/>
  <c r="D227" i="9"/>
  <c r="I227" i="9"/>
  <c r="I167" i="17"/>
  <c r="D167" i="17"/>
  <c r="C32" i="9"/>
  <c r="I151" i="9"/>
  <c r="D151" i="9"/>
  <c r="D147" i="9"/>
  <c r="I147" i="9"/>
  <c r="I101" i="9"/>
  <c r="D101" i="9"/>
  <c r="D203" i="9"/>
  <c r="I203" i="9"/>
  <c r="I129" i="17"/>
  <c r="D129" i="17"/>
  <c r="D212" i="9"/>
  <c r="I212" i="9"/>
  <c r="I389" i="9"/>
  <c r="D389" i="9"/>
  <c r="D42" i="17"/>
  <c r="I42" i="17"/>
  <c r="I390" i="9"/>
  <c r="D390" i="9"/>
  <c r="D214" i="9"/>
  <c r="I214" i="9"/>
  <c r="I105" i="9"/>
  <c r="D105" i="9"/>
  <c r="D140" i="9"/>
  <c r="I140" i="9"/>
  <c r="D139" i="17"/>
  <c r="I139" i="17"/>
  <c r="I107" i="9"/>
  <c r="D107" i="9"/>
  <c r="D126" i="9"/>
  <c r="I126" i="9"/>
  <c r="D202" i="17"/>
  <c r="I202" i="17"/>
  <c r="D46" i="17"/>
  <c r="I46" i="17"/>
  <c r="D63" i="17"/>
  <c r="I63" i="17"/>
  <c r="I284" i="9"/>
  <c r="D284" i="9"/>
  <c r="I194" i="9"/>
  <c r="D194" i="9"/>
  <c r="D330" i="9"/>
  <c r="I330" i="9"/>
  <c r="D186" i="9"/>
  <c r="I186" i="9"/>
  <c r="D132" i="9"/>
  <c r="I132" i="9"/>
  <c r="D54" i="17"/>
  <c r="I54" i="17"/>
  <c r="D162" i="9"/>
  <c r="I162" i="9"/>
  <c r="I352" i="9"/>
  <c r="D352" i="9"/>
  <c r="D52" i="9"/>
  <c r="I52" i="9"/>
  <c r="I99" i="9"/>
  <c r="D99" i="9"/>
  <c r="I193" i="9"/>
  <c r="D193" i="9"/>
  <c r="D167" i="9"/>
  <c r="I167" i="9"/>
  <c r="I270" i="9"/>
  <c r="D270" i="9"/>
  <c r="D57" i="17"/>
  <c r="I57" i="17"/>
  <c r="D195" i="9"/>
  <c r="I195" i="9"/>
  <c r="D140" i="17"/>
  <c r="I140" i="17"/>
  <c r="D386" i="9"/>
  <c r="I386" i="9"/>
  <c r="D199" i="9"/>
  <c r="I199" i="9"/>
  <c r="D95" i="9"/>
  <c r="I95" i="9"/>
  <c r="D368" i="9"/>
  <c r="I368" i="9"/>
  <c r="D233" i="9"/>
  <c r="I233" i="9"/>
  <c r="D81" i="9"/>
  <c r="I81" i="9"/>
  <c r="D302" i="9"/>
  <c r="I302" i="9"/>
  <c r="I188" i="17"/>
  <c r="D188" i="17"/>
  <c r="I242" i="9"/>
  <c r="D242" i="9"/>
  <c r="D372" i="9"/>
  <c r="I372" i="9"/>
  <c r="D174" i="9"/>
  <c r="I174" i="9"/>
  <c r="I169" i="9"/>
  <c r="D169" i="9"/>
  <c r="I106" i="17"/>
  <c r="D106" i="17"/>
  <c r="I143" i="9"/>
  <c r="D143" i="9"/>
  <c r="I186" i="17"/>
  <c r="D186" i="17"/>
  <c r="I342" i="9"/>
  <c r="D342" i="9"/>
  <c r="D305" i="9"/>
  <c r="I305" i="9"/>
  <c r="I328" i="9"/>
  <c r="D328" i="9"/>
  <c r="D237" i="9"/>
  <c r="I237" i="9"/>
  <c r="D166" i="9"/>
  <c r="I166" i="9"/>
  <c r="D335" i="9"/>
  <c r="I335" i="9"/>
  <c r="D56" i="9"/>
  <c r="I56" i="9"/>
  <c r="I217" i="9"/>
  <c r="D217" i="9"/>
  <c r="D89" i="9"/>
  <c r="I89" i="9"/>
  <c r="D68" i="17"/>
  <c r="I68" i="17"/>
  <c r="D189" i="9"/>
  <c r="I189" i="9"/>
  <c r="I260" i="9"/>
  <c r="D260" i="9"/>
  <c r="I85" i="17"/>
  <c r="D85" i="17"/>
  <c r="I111" i="17"/>
  <c r="D111" i="17"/>
  <c r="D246" i="9"/>
  <c r="I246" i="9"/>
  <c r="I114" i="9"/>
  <c r="D114" i="9"/>
  <c r="D236" i="9"/>
  <c r="I236" i="9"/>
  <c r="D85" i="9"/>
  <c r="I85" i="9"/>
  <c r="D133" i="17"/>
  <c r="I133" i="17"/>
  <c r="I93" i="17"/>
  <c r="D93" i="17"/>
  <c r="I203" i="17"/>
  <c r="D203" i="17"/>
  <c r="E32" i="9"/>
  <c r="I35" i="9"/>
  <c r="I286" i="9"/>
  <c r="D286" i="9"/>
  <c r="D343" i="9"/>
  <c r="I343" i="9"/>
  <c r="D283" i="9"/>
  <c r="I283" i="9"/>
  <c r="D296" i="9"/>
  <c r="I296" i="9"/>
  <c r="D61" i="17"/>
  <c r="I61" i="17"/>
  <c r="I315" i="9"/>
  <c r="D315" i="9"/>
  <c r="I309" i="9"/>
  <c r="D309" i="9"/>
  <c r="I204" i="9"/>
  <c r="D204" i="9"/>
  <c r="I373" i="9"/>
  <c r="D373" i="9"/>
  <c r="D116" i="9"/>
  <c r="I116" i="9"/>
  <c r="D318" i="9"/>
  <c r="I318" i="9"/>
  <c r="I221" i="9"/>
  <c r="D221" i="9"/>
  <c r="D312" i="9"/>
  <c r="I312" i="9"/>
  <c r="D229" i="9"/>
  <c r="I229" i="9"/>
  <c r="I36" i="9"/>
  <c r="D36" i="9"/>
  <c r="D383" i="9"/>
  <c r="I383" i="9"/>
  <c r="D75" i="9"/>
  <c r="I75" i="9"/>
  <c r="D293" i="9"/>
  <c r="I293" i="9"/>
  <c r="I382" i="9"/>
  <c r="D382" i="9"/>
  <c r="I146" i="9"/>
  <c r="D146" i="9"/>
  <c r="I160" i="17"/>
  <c r="D160" i="17"/>
  <c r="D57" i="9"/>
  <c r="I57" i="9"/>
  <c r="I63" i="9"/>
  <c r="D63" i="9"/>
  <c r="D241" i="9"/>
  <c r="I241" i="9"/>
  <c r="I297" i="9"/>
  <c r="D297" i="9"/>
  <c r="I348" i="9"/>
  <c r="D348" i="9"/>
  <c r="I266" i="9"/>
  <c r="D266" i="9"/>
  <c r="I103" i="9"/>
  <c r="D103" i="9"/>
  <c r="D190" i="9"/>
  <c r="I190" i="9"/>
  <c r="D182" i="17"/>
  <c r="I182" i="17"/>
  <c r="I128" i="9"/>
  <c r="D128" i="9"/>
  <c r="I76" i="9"/>
  <c r="D76" i="9"/>
  <c r="D188" i="9"/>
  <c r="I188" i="9"/>
  <c r="D211" i="9"/>
  <c r="I211" i="9"/>
  <c r="I223" i="9"/>
  <c r="D223" i="9"/>
  <c r="I163" i="17"/>
  <c r="D163" i="17"/>
  <c r="D362" i="9"/>
  <c r="I362" i="9"/>
  <c r="I323" i="9"/>
  <c r="D323" i="9"/>
  <c r="D83" i="9"/>
  <c r="I83" i="9"/>
  <c r="I350" i="9"/>
  <c r="D350" i="9"/>
  <c r="I78" i="9"/>
  <c r="D78" i="9"/>
  <c r="D272" i="9"/>
  <c r="I272" i="9"/>
  <c r="D278" i="9"/>
  <c r="I278" i="9"/>
  <c r="I35" i="17"/>
  <c r="E32" i="17"/>
  <c r="I252" i="9"/>
  <c r="D252" i="9"/>
  <c r="I194" i="17"/>
  <c r="D194" i="17"/>
  <c r="I131" i="17"/>
  <c r="D131" i="17"/>
  <c r="D257" i="9"/>
  <c r="I257" i="9"/>
  <c r="I303" i="9"/>
  <c r="D303" i="9"/>
  <c r="D35" i="17"/>
  <c r="B32" i="17"/>
  <c r="D41" i="9"/>
  <c r="I41" i="9"/>
  <c r="I58" i="17"/>
  <c r="D58" i="17"/>
  <c r="D329" i="9"/>
  <c r="I329" i="9"/>
  <c r="D44" i="17"/>
  <c r="I44" i="17"/>
  <c r="D211" i="17"/>
  <c r="I211" i="17"/>
  <c r="I285" i="9"/>
  <c r="D285" i="9"/>
  <c r="D220" i="9"/>
  <c r="I220" i="9"/>
  <c r="D205" i="9"/>
  <c r="I205" i="9"/>
  <c r="I384" i="9"/>
  <c r="D384" i="9"/>
  <c r="D71" i="9"/>
  <c r="I71" i="9"/>
  <c r="I228" i="9"/>
  <c r="D228" i="9"/>
  <c r="I290" i="9"/>
  <c r="D290" i="9"/>
  <c r="D337" i="9"/>
  <c r="I337" i="9"/>
  <c r="I202" i="9"/>
  <c r="D202" i="9"/>
  <c r="D42" i="9"/>
  <c r="I42" i="9"/>
  <c r="I119" i="17"/>
  <c r="D119" i="17"/>
  <c r="D216" i="9"/>
  <c r="I216" i="9"/>
  <c r="I182" i="9"/>
  <c r="D182" i="9"/>
  <c r="D150" i="17"/>
  <c r="I150" i="17"/>
  <c r="I55" i="17"/>
  <c r="D55" i="17"/>
  <c r="D91" i="17"/>
  <c r="I91" i="17"/>
  <c r="I54" i="9"/>
  <c r="D54" i="9"/>
  <c r="I331" i="9"/>
  <c r="D331" i="9"/>
  <c r="I307" i="9"/>
  <c r="D307" i="9"/>
  <c r="I152" i="9"/>
  <c r="D152" i="9"/>
  <c r="I69" i="9"/>
  <c r="D69" i="9"/>
  <c r="I332" i="9"/>
  <c r="D332" i="9"/>
  <c r="D115" i="9"/>
  <c r="I115" i="9"/>
  <c r="I255" i="9"/>
  <c r="D255" i="9"/>
  <c r="D60" i="9"/>
  <c r="I60" i="9"/>
  <c r="I224" i="9"/>
  <c r="D224" i="9"/>
  <c r="I298" i="9"/>
  <c r="D298" i="9"/>
  <c r="I113" i="17"/>
  <c r="D113" i="17"/>
  <c r="I158" i="9"/>
  <c r="D158" i="9"/>
  <c r="I48" i="9"/>
  <c r="D48" i="9"/>
  <c r="D72" i="9"/>
  <c r="I72" i="9"/>
  <c r="I183" i="17"/>
  <c r="D183" i="17"/>
  <c r="I50" i="17"/>
  <c r="D50" i="17"/>
  <c r="I179" i="17"/>
  <c r="D179" i="17"/>
  <c r="I347" i="9"/>
  <c r="D347" i="9"/>
  <c r="D108" i="9"/>
  <c r="I108" i="9"/>
  <c r="D213" i="9"/>
  <c r="I213" i="9"/>
  <c r="D39" i="9"/>
  <c r="I39" i="9"/>
  <c r="D78" i="17"/>
  <c r="I78" i="17"/>
  <c r="D189" i="17"/>
  <c r="I189" i="17"/>
  <c r="D112" i="17"/>
  <c r="I112" i="17"/>
  <c r="D267" i="9"/>
  <c r="I267" i="9"/>
  <c r="D62" i="9"/>
  <c r="I62" i="9"/>
  <c r="D238" i="9"/>
  <c r="I238" i="9"/>
  <c r="I172" i="9"/>
  <c r="D172" i="9"/>
  <c r="D259" i="9"/>
  <c r="I259" i="9"/>
  <c r="I288" i="9"/>
  <c r="D288" i="9"/>
  <c r="D180" i="9"/>
  <c r="I180" i="9"/>
  <c r="I191" i="9"/>
  <c r="D191" i="9"/>
  <c r="D264" i="9"/>
  <c r="I264" i="9"/>
  <c r="I82" i="9"/>
  <c r="D82" i="9"/>
  <c r="D231" i="9"/>
  <c r="I231" i="9"/>
  <c r="D97" i="17"/>
  <c r="I97" i="17"/>
  <c r="D213" i="17"/>
  <c r="I213" i="17"/>
  <c r="I320" i="9"/>
  <c r="D320" i="9"/>
  <c r="I357" i="9"/>
  <c r="D357" i="9"/>
  <c r="D375" i="9"/>
  <c r="I375" i="9"/>
  <c r="I190" i="17"/>
  <c r="D190" i="17"/>
  <c r="I244" i="9"/>
  <c r="D244" i="9"/>
  <c r="I134" i="17"/>
  <c r="D134" i="17"/>
  <c r="I134" i="9"/>
  <c r="D134" i="9"/>
  <c r="D316" i="9"/>
  <c r="I316" i="9"/>
  <c r="D173" i="9"/>
  <c r="I173" i="9"/>
  <c r="I44" i="9"/>
  <c r="D44" i="9"/>
  <c r="D248" i="9"/>
  <c r="I248" i="9"/>
  <c r="I310" i="9"/>
  <c r="D310" i="9"/>
  <c r="D311" i="9"/>
  <c r="I311" i="9"/>
  <c r="I349" i="9"/>
  <c r="D349" i="9"/>
  <c r="I142" i="9"/>
  <c r="D142" i="9"/>
  <c r="I364" i="9"/>
  <c r="D364" i="9"/>
  <c r="I68" i="9"/>
  <c r="D68" i="9"/>
  <c r="I354" i="9"/>
  <c r="D354" i="9"/>
  <c r="D67" i="9"/>
  <c r="I67" i="9"/>
  <c r="I394" i="9"/>
  <c r="D394" i="9"/>
  <c r="D355" i="9"/>
  <c r="I355" i="9"/>
  <c r="D395" i="9"/>
  <c r="I395" i="9"/>
  <c r="I321" i="9"/>
  <c r="D321" i="9"/>
  <c r="I64" i="9"/>
  <c r="D64" i="9"/>
  <c r="D168" i="17"/>
  <c r="I168" i="17"/>
  <c r="I164" i="9"/>
  <c r="D164" i="9"/>
  <c r="D104" i="17"/>
  <c r="I104" i="17"/>
  <c r="D197" i="9"/>
  <c r="I197" i="9"/>
  <c r="D277" i="9"/>
  <c r="I277" i="9"/>
  <c r="I178" i="9"/>
  <c r="D178" i="9"/>
  <c r="D125" i="9"/>
  <c r="I125" i="9"/>
  <c r="I379" i="9"/>
  <c r="D379" i="9"/>
  <c r="I86" i="17"/>
  <c r="D86" i="17"/>
  <c r="D351" i="9"/>
  <c r="I351" i="9"/>
  <c r="I292" i="9"/>
  <c r="D292" i="9"/>
  <c r="D95" i="17"/>
  <c r="I95" i="17"/>
  <c r="D47" i="9"/>
  <c r="I47" i="9"/>
  <c r="D82" i="17"/>
  <c r="I82" i="17"/>
  <c r="I139" i="9"/>
  <c r="D139" i="9"/>
  <c r="D103" i="17"/>
  <c r="I103" i="17"/>
  <c r="I71" i="17"/>
  <c r="D71" i="17"/>
  <c r="D117" i="17"/>
  <c r="I117" i="17"/>
  <c r="I125" i="17"/>
  <c r="D125" i="17"/>
  <c r="D196" i="9"/>
  <c r="I196" i="9"/>
  <c r="I173" i="17"/>
  <c r="D173" i="17"/>
  <c r="I391" i="9"/>
  <c r="D391" i="9"/>
  <c r="I102" i="17"/>
  <c r="D102" i="17"/>
  <c r="I324" i="9"/>
  <c r="D324" i="9"/>
  <c r="D243" i="9"/>
  <c r="I243" i="9"/>
  <c r="D74" i="17"/>
  <c r="I74" i="17"/>
  <c r="D295" i="9"/>
  <c r="I295" i="9"/>
  <c r="D110" i="9"/>
  <c r="I110" i="9"/>
  <c r="D219" i="9"/>
  <c r="I219" i="9"/>
  <c r="I137" i="9"/>
  <c r="D137" i="9"/>
  <c r="D304" i="9"/>
  <c r="I304" i="9"/>
  <c r="D61" i="9"/>
  <c r="I61" i="9"/>
  <c r="I124" i="9"/>
  <c r="D124" i="9"/>
  <c r="I392" i="9"/>
  <c r="D392" i="9"/>
  <c r="I92" i="9"/>
  <c r="D92" i="9"/>
  <c r="D268" i="9"/>
  <c r="I268" i="9"/>
  <c r="D133" i="9"/>
  <c r="I133" i="9"/>
  <c r="I263" i="9"/>
  <c r="D263" i="9"/>
  <c r="I306" i="9"/>
  <c r="D306" i="9"/>
  <c r="D72" i="17"/>
  <c r="I72" i="17"/>
  <c r="I254" i="9"/>
  <c r="D254" i="9"/>
  <c r="D388" i="9"/>
  <c r="I388" i="9"/>
  <c r="I81" i="17"/>
  <c r="D81" i="17"/>
  <c r="I344" i="9"/>
  <c r="D344" i="9"/>
  <c r="D147" i="17"/>
  <c r="I147" i="17"/>
  <c r="D338" i="9"/>
  <c r="I338" i="9"/>
  <c r="I358" i="9"/>
  <c r="D358" i="9"/>
  <c r="D38" i="9"/>
  <c r="I38" i="9"/>
  <c r="D56" i="17"/>
  <c r="I56" i="17"/>
  <c r="I222" i="9"/>
  <c r="D222" i="9"/>
  <c r="I163" i="9"/>
  <c r="D163" i="9"/>
  <c r="I178" i="17"/>
  <c r="D178" i="17"/>
  <c r="I127" i="9"/>
  <c r="D127" i="9"/>
  <c r="I86" i="9"/>
  <c r="D86" i="9"/>
  <c r="D114" i="17"/>
  <c r="I114" i="17"/>
  <c r="I212" i="17"/>
  <c r="D212" i="17"/>
  <c r="D64" i="17"/>
  <c r="I64" i="17"/>
  <c r="I70" i="17"/>
  <c r="D70" i="17"/>
  <c r="I319" i="9"/>
  <c r="D319" i="9"/>
  <c r="D128" i="17"/>
  <c r="I128" i="17"/>
  <c r="I145" i="9"/>
  <c r="D145" i="9"/>
  <c r="I180" i="17"/>
  <c r="D180" i="17"/>
  <c r="I174" i="17"/>
  <c r="D174" i="17"/>
  <c r="D325" i="9"/>
  <c r="I325" i="9"/>
  <c r="I62" i="17"/>
  <c r="D62" i="17"/>
  <c r="D53" i="17"/>
  <c r="I53" i="17"/>
  <c r="I201" i="17"/>
  <c r="D201" i="17"/>
  <c r="I55" i="9"/>
  <c r="D55" i="9"/>
  <c r="I261" i="9"/>
  <c r="D261" i="9"/>
  <c r="D204" i="17"/>
  <c r="I204" i="17"/>
  <c r="I69" i="17"/>
  <c r="D69" i="17"/>
  <c r="D99" i="17"/>
  <c r="I99" i="17"/>
  <c r="D118" i="9"/>
  <c r="I118" i="9"/>
  <c r="D269" i="9"/>
  <c r="I269" i="9"/>
  <c r="I102" i="9"/>
  <c r="D102" i="9"/>
  <c r="D96" i="9"/>
  <c r="I96" i="9"/>
  <c r="D225" i="9"/>
  <c r="I225" i="9"/>
  <c r="I276" i="9"/>
  <c r="D276" i="9"/>
  <c r="I262" i="9"/>
  <c r="D262" i="9"/>
  <c r="D341" i="9"/>
  <c r="I341" i="9"/>
  <c r="I215" i="17"/>
  <c r="D215" i="17"/>
  <c r="D111" i="9"/>
  <c r="I111" i="9"/>
  <c r="I360" i="9"/>
  <c r="D360" i="9"/>
  <c r="D366" i="9"/>
  <c r="I366" i="9"/>
  <c r="D35" i="9"/>
  <c r="B32" i="9"/>
  <c r="D94" i="9"/>
  <c r="I94" i="9"/>
  <c r="I234" i="9"/>
  <c r="D234" i="9"/>
  <c r="D152" i="17"/>
  <c r="I152" i="17"/>
  <c r="I176" i="17"/>
  <c r="D176" i="17"/>
  <c r="I210" i="17"/>
  <c r="D210" i="17"/>
  <c r="I88" i="9"/>
  <c r="D88" i="9"/>
  <c r="I157" i="9"/>
  <c r="D157" i="9"/>
  <c r="D159" i="17"/>
  <c r="I159" i="17"/>
  <c r="D88" i="17"/>
  <c r="I88" i="17"/>
  <c r="I239" i="9"/>
  <c r="D239" i="9"/>
  <c r="I172" i="17"/>
  <c r="D172" i="17"/>
  <c r="D49" i="17"/>
  <c r="I49" i="17"/>
  <c r="D110" i="17"/>
  <c r="I110" i="17"/>
  <c r="D197" i="17"/>
  <c r="I197" i="17"/>
  <c r="I107" i="17"/>
  <c r="D107" i="17"/>
  <c r="D155" i="9"/>
  <c r="I155" i="9"/>
  <c r="D120" i="17"/>
  <c r="I120" i="17"/>
  <c r="D327" i="9"/>
  <c r="I327" i="9"/>
  <c r="I206" i="9"/>
  <c r="D206" i="9"/>
  <c r="I90" i="9"/>
  <c r="D90" i="9"/>
  <c r="I156" i="9"/>
  <c r="D156" i="9"/>
  <c r="I218" i="9"/>
  <c r="D218" i="9"/>
  <c r="I80" i="17"/>
  <c r="D80" i="17"/>
  <c r="I101" i="17"/>
  <c r="D101" i="17"/>
  <c r="I60" i="17"/>
  <c r="D60" i="17"/>
  <c r="D120" i="9"/>
  <c r="I120" i="9"/>
  <c r="I274" i="9"/>
  <c r="D274" i="9"/>
  <c r="I282" i="9"/>
  <c r="D282" i="9"/>
  <c r="I377" i="9"/>
  <c r="D377" i="9"/>
  <c r="I279" i="9"/>
  <c r="D279" i="9"/>
  <c r="D122" i="9"/>
  <c r="I122" i="9"/>
  <c r="I240" i="9"/>
  <c r="D240" i="9"/>
  <c r="I79" i="9"/>
  <c r="D79" i="9"/>
  <c r="D109" i="17"/>
  <c r="I109" i="17"/>
  <c r="D70" i="9"/>
  <c r="I70" i="9"/>
  <c r="D148" i="17"/>
  <c r="I148" i="17"/>
  <c r="I196" i="17"/>
  <c r="D196" i="17"/>
  <c r="D195" i="17"/>
  <c r="I195" i="17"/>
  <c r="I77" i="17"/>
  <c r="D77" i="17"/>
  <c r="I43" i="17"/>
  <c r="D43" i="17"/>
  <c r="I198" i="17"/>
  <c r="D198" i="17"/>
  <c r="I45" i="17"/>
  <c r="D45" i="17"/>
  <c r="D170" i="17"/>
  <c r="I170" i="17"/>
  <c r="D301" i="9"/>
  <c r="I301" i="9"/>
  <c r="I365" i="9"/>
  <c r="D365" i="9"/>
  <c r="I132" i="17"/>
  <c r="D132" i="17"/>
  <c r="D160" i="9"/>
  <c r="I160" i="9"/>
  <c r="I108" i="17"/>
  <c r="D108" i="17"/>
  <c r="I90" i="17"/>
  <c r="D90" i="17"/>
  <c r="D361" i="9"/>
  <c r="I361" i="9"/>
  <c r="I76" i="17"/>
  <c r="D76" i="17"/>
  <c r="D136" i="17"/>
  <c r="I136" i="17"/>
  <c r="I36" i="17"/>
  <c r="D36" i="17"/>
  <c r="I146" i="17"/>
  <c r="D146" i="17"/>
  <c r="D181" i="17"/>
  <c r="I181" i="17"/>
  <c r="I116" i="17"/>
  <c r="D116" i="17"/>
  <c r="D137" i="17"/>
  <c r="I137" i="17"/>
  <c r="D51" i="9"/>
  <c r="I51" i="9"/>
  <c r="I294" i="9"/>
  <c r="D294" i="9"/>
  <c r="I98" i="9"/>
  <c r="D98" i="9"/>
  <c r="I385" i="9"/>
  <c r="D385" i="9"/>
  <c r="D87" i="9"/>
  <c r="I87" i="9"/>
  <c r="I169" i="17"/>
  <c r="D169" i="17"/>
  <c r="D157" i="17"/>
  <c r="I157" i="17"/>
  <c r="I84" i="17"/>
  <c r="D84" i="17"/>
  <c r="D161" i="17"/>
  <c r="I161" i="17"/>
  <c r="D92" i="17"/>
  <c r="I92" i="17"/>
  <c r="I126" i="17"/>
  <c r="D126" i="17"/>
  <c r="D345" i="9"/>
  <c r="I345" i="9"/>
  <c r="D369" i="9"/>
  <c r="I369" i="9"/>
  <c r="I73" i="17"/>
  <c r="D73" i="17"/>
  <c r="D136" i="9"/>
  <c r="I136" i="9"/>
  <c r="I79" i="17"/>
  <c r="D79" i="17"/>
  <c r="C32" i="17"/>
  <c r="I142" i="17"/>
  <c r="D142" i="17"/>
  <c r="D187" i="17"/>
  <c r="I187" i="17"/>
  <c r="D47" i="17"/>
  <c r="I47" i="17"/>
  <c r="D156" i="17"/>
  <c r="I156" i="17"/>
  <c r="D98" i="17"/>
  <c r="I98" i="17"/>
  <c r="D105" i="17"/>
  <c r="I105" i="17"/>
  <c r="I171" i="17"/>
  <c r="D171" i="17"/>
  <c r="D141" i="17"/>
  <c r="I141" i="17"/>
  <c r="D87" i="17"/>
  <c r="I87" i="17"/>
  <c r="D184" i="17"/>
  <c r="I184" i="17"/>
  <c r="D123" i="17"/>
  <c r="I123" i="17"/>
  <c r="D175" i="17"/>
  <c r="I175" i="17"/>
  <c r="I165" i="17"/>
  <c r="D165" i="17"/>
  <c r="I100" i="17"/>
  <c r="D100" i="17"/>
  <c r="D155" i="17"/>
  <c r="I155" i="17"/>
  <c r="D122" i="17"/>
  <c r="I122" i="17"/>
  <c r="I200" i="17"/>
  <c r="D200" i="17"/>
  <c r="I58" i="9"/>
  <c r="D58" i="9"/>
  <c r="I46" i="9"/>
  <c r="D46" i="9"/>
  <c r="I371" i="9"/>
  <c r="D371" i="9"/>
  <c r="I289" i="9"/>
  <c r="D289" i="9"/>
  <c r="D123" i="9"/>
  <c r="I123" i="9"/>
  <c r="D43" i="9"/>
  <c r="I43" i="9"/>
  <c r="D135" i="17"/>
  <c r="I135" i="17"/>
  <c r="D52" i="17"/>
  <c r="I52" i="17"/>
  <c r="D151" i="17"/>
  <c r="I151" i="17"/>
  <c r="I393" i="9"/>
  <c r="D393" i="9"/>
  <c r="I138" i="9"/>
  <c r="D138" i="9"/>
  <c r="D193" i="17"/>
  <c r="I193" i="17"/>
  <c r="I59" i="17"/>
  <c r="D59" i="17"/>
  <c r="D177" i="17"/>
  <c r="I177" i="17"/>
  <c r="D143" i="17"/>
  <c r="I143" i="17"/>
  <c r="I38" i="17"/>
  <c r="D38" i="17"/>
  <c r="I37" i="9"/>
  <c r="D37" i="9"/>
  <c r="I353" i="9"/>
  <c r="D353" i="9"/>
  <c r="I67" i="17"/>
  <c r="D67" i="17"/>
  <c r="D94" i="17"/>
  <c r="I94" i="17"/>
  <c r="D164" i="17"/>
  <c r="I164" i="17"/>
  <c r="D207" i="17"/>
  <c r="I207" i="17"/>
  <c r="I124" i="17"/>
  <c r="D124" i="17"/>
  <c r="D75" i="17"/>
  <c r="I75" i="17"/>
  <c r="I166" i="17"/>
  <c r="D166" i="17"/>
  <c r="I48" i="17"/>
  <c r="D48" i="17"/>
  <c r="I148" i="9"/>
  <c r="D148" i="9"/>
  <c r="I66" i="9"/>
  <c r="D66" i="9"/>
  <c r="D96" i="17"/>
  <c r="I96" i="17"/>
  <c r="D138" i="17"/>
  <c r="I138" i="17"/>
  <c r="I158" i="17"/>
  <c r="D158" i="17"/>
  <c r="I199" i="17"/>
  <c r="D199" i="17"/>
  <c r="I145" i="17"/>
  <c r="D145" i="17"/>
  <c r="I130" i="17"/>
  <c r="D130" i="17"/>
  <c r="I115" i="17"/>
  <c r="D115" i="17"/>
  <c r="I51" i="17"/>
  <c r="D51" i="17"/>
  <c r="J35" i="9" l="1"/>
  <c r="K35" i="9" s="1"/>
  <c r="D32" i="9"/>
  <c r="D32" i="17"/>
  <c r="J35" i="17"/>
  <c r="K35" i="17" s="1"/>
</calcChain>
</file>

<file path=xl/sharedStrings.xml><?xml version="1.0" encoding="utf-8"?>
<sst xmlns="http://schemas.openxmlformats.org/spreadsheetml/2006/main" count="4927" uniqueCount="658">
  <si>
    <t>tasa anual</t>
  </si>
  <si>
    <t>tasa BR</t>
  </si>
  <si>
    <t>tasa mensual</t>
  </si>
  <si>
    <t>tasa BR mensual</t>
  </si>
  <si>
    <t>valor de la deuda</t>
  </si>
  <si>
    <t>meses de pago</t>
  </si>
  <si>
    <t>EN PESOS</t>
  </si>
  <si>
    <t>mes</t>
  </si>
  <si>
    <t>cuota</t>
  </si>
  <si>
    <t>intereses</t>
  </si>
  <si>
    <t>abono a capital</t>
  </si>
  <si>
    <t>saldo</t>
  </si>
  <si>
    <t>PLAZO</t>
  </si>
  <si>
    <t>TIR MENSUAL</t>
  </si>
  <si>
    <t>TIR ANUAL</t>
  </si>
  <si>
    <t>SI</t>
  </si>
  <si>
    <t>NO</t>
  </si>
  <si>
    <t>Cuota fija UVR</t>
  </si>
  <si>
    <t>Abono a Capital UVR</t>
  </si>
  <si>
    <t>Cuota Decreciente mensualmete UVR</t>
  </si>
  <si>
    <t>Cuota fija Pesos</t>
  </si>
  <si>
    <t>Abono a Capital Pesos</t>
  </si>
  <si>
    <t>tasa inflación anual</t>
  </si>
  <si>
    <t>tasa inflación mensual</t>
  </si>
  <si>
    <t>Codigo tipo de amortización</t>
  </si>
  <si>
    <t>Tipo de amortizacion</t>
  </si>
  <si>
    <t>Ingreso adicional</t>
  </si>
  <si>
    <t>Gasto adicional</t>
  </si>
  <si>
    <t>TIPO DE CREDITO</t>
  </si>
  <si>
    <t>TIPO DE AMORTIZACION</t>
  </si>
  <si>
    <t>MONTO DEL CREDITO</t>
  </si>
  <si>
    <t>INGRESO</t>
  </si>
  <si>
    <t>VIVIENDA</t>
  </si>
  <si>
    <t>VALOR DE LA VIVIENDA</t>
  </si>
  <si>
    <t>IDENTIFICACIÓN DEL PRODUCTO</t>
  </si>
  <si>
    <t>NOMBRE DEL PRODUCTO</t>
  </si>
  <si>
    <t>ENTIDAD</t>
  </si>
  <si>
    <t>CANAL 1</t>
  </si>
  <si>
    <t>CANAL 2</t>
  </si>
  <si>
    <t>CANAL 3</t>
  </si>
  <si>
    <t>CANAL 4</t>
  </si>
  <si>
    <t>CANAL 5</t>
  </si>
  <si>
    <t>CANAL 6</t>
  </si>
  <si>
    <t>CANAL 7</t>
  </si>
  <si>
    <t>CANAL 8</t>
  </si>
  <si>
    <t>CANAL 9</t>
  </si>
  <si>
    <t>CANAL 10</t>
  </si>
  <si>
    <t>CANAL 11</t>
  </si>
  <si>
    <t>CANAL 12</t>
  </si>
  <si>
    <t>CANAL 13</t>
  </si>
  <si>
    <t>CANAL 14</t>
  </si>
  <si>
    <t>CANAL 15</t>
  </si>
  <si>
    <t>CANAL 16</t>
  </si>
  <si>
    <t>CANAL 17</t>
  </si>
  <si>
    <t>CANAL 18</t>
  </si>
  <si>
    <t>CANAL 19</t>
  </si>
  <si>
    <t>CANAL 20</t>
  </si>
  <si>
    <t>CANAL 21</t>
  </si>
  <si>
    <t>CANAL 22</t>
  </si>
  <si>
    <t>COSTO USO DEL CANAL PARA PAGO</t>
  </si>
  <si>
    <t>CANAL A</t>
  </si>
  <si>
    <t>CANAL B</t>
  </si>
  <si>
    <t>CANAL C</t>
  </si>
  <si>
    <t>CUANTO TIENE DE CUOTA INICIAL</t>
  </si>
  <si>
    <t>PRODUCTO</t>
  </si>
  <si>
    <t>COSTO INICIAL</t>
  </si>
  <si>
    <t>COSTO FINAL</t>
  </si>
  <si>
    <t>COSTO ADMINISTRACION</t>
  </si>
  <si>
    <t>PERIODISC ADMINIS</t>
  </si>
  <si>
    <t>COSTO PROMEDIO</t>
  </si>
  <si>
    <t>validador primera cuota</t>
  </si>
  <si>
    <t>Primera cuota</t>
  </si>
  <si>
    <t>CONSUMO</t>
  </si>
  <si>
    <t>Tasa de Interes</t>
  </si>
  <si>
    <t>TIR</t>
  </si>
  <si>
    <t>UBICACIÓN POR VALOR PAGADO</t>
  </si>
  <si>
    <t>TOTAL PAGADO</t>
  </si>
  <si>
    <t>UBICACIÓN POR TIR</t>
  </si>
  <si>
    <t>E001006027001</t>
  </si>
  <si>
    <t>E001003</t>
  </si>
  <si>
    <t>E001004</t>
  </si>
  <si>
    <t>E001005</t>
  </si>
  <si>
    <t>CALIF TIR</t>
  </si>
  <si>
    <t>E001013021001</t>
  </si>
  <si>
    <t>E001010021003</t>
  </si>
  <si>
    <t>E001012021002</t>
  </si>
  <si>
    <t>Calif</t>
  </si>
  <si>
    <t>Cuenta</t>
  </si>
  <si>
    <t>Chat</t>
  </si>
  <si>
    <t>Pagina</t>
  </si>
  <si>
    <t>Youtube</t>
  </si>
  <si>
    <t>Linea telefonica</t>
  </si>
  <si>
    <t>Twitter</t>
  </si>
  <si>
    <t>Facebook</t>
  </si>
  <si>
    <t>Correo electronico</t>
  </si>
  <si>
    <t>/168</t>
  </si>
  <si>
    <t>Horas por semana oficinas</t>
  </si>
  <si>
    <t>Relacion</t>
  </si>
  <si>
    <t>Clientes</t>
  </si>
  <si>
    <t>Quejas IA</t>
  </si>
  <si>
    <t>Numero</t>
  </si>
  <si>
    <t>Como es proceso</t>
  </si>
  <si>
    <t>GENERAL</t>
  </si>
  <si>
    <t>Comunicaciones</t>
  </si>
  <si>
    <t>Horarios</t>
  </si>
  <si>
    <t>Quejas</t>
  </si>
  <si>
    <t>Beneficios adicionales</t>
  </si>
  <si>
    <t>Preaprobacion</t>
  </si>
  <si>
    <t>Virtualidad vs presencia fisica</t>
  </si>
  <si>
    <t>Coopcentral</t>
  </si>
  <si>
    <t>E008002</t>
  </si>
  <si>
    <t>8-2</t>
  </si>
  <si>
    <t>Giros &amp; Finanzas</t>
  </si>
  <si>
    <t>E004008</t>
  </si>
  <si>
    <t>4-8</t>
  </si>
  <si>
    <t>Leasing Bancolombia</t>
  </si>
  <si>
    <t>E004067</t>
  </si>
  <si>
    <t>4-67</t>
  </si>
  <si>
    <t>Leasing Bolívar</t>
  </si>
  <si>
    <t>E004065</t>
  </si>
  <si>
    <t>4-65</t>
  </si>
  <si>
    <t>Leasing Corficolombiana</t>
  </si>
  <si>
    <t>E004059</t>
  </si>
  <si>
    <t>4-59</t>
  </si>
  <si>
    <t>Finamérica</t>
  </si>
  <si>
    <t>E004005</t>
  </si>
  <si>
    <t>4-5</t>
  </si>
  <si>
    <t>Coltefinanciera</t>
  </si>
  <si>
    <t>E004046</t>
  </si>
  <si>
    <t>4-46</t>
  </si>
  <si>
    <t>Macrofinanciera</t>
  </si>
  <si>
    <t>E004035</t>
  </si>
  <si>
    <t>4-35</t>
  </si>
  <si>
    <t>Internacional</t>
  </si>
  <si>
    <t>E004033</t>
  </si>
  <si>
    <t>4-33</t>
  </si>
  <si>
    <t>G.M.A.C.</t>
  </si>
  <si>
    <t>E004031</t>
  </si>
  <si>
    <t>4-31</t>
  </si>
  <si>
    <t>TUYA</t>
  </si>
  <si>
    <t>E004026</t>
  </si>
  <si>
    <t>4-26</t>
  </si>
  <si>
    <t>Serfinansa</t>
  </si>
  <si>
    <t>E004023</t>
  </si>
  <si>
    <t>4-23</t>
  </si>
  <si>
    <t>Confinanciera</t>
  </si>
  <si>
    <t>E004022</t>
  </si>
  <si>
    <t>4-22</t>
  </si>
  <si>
    <t>Factoring Bancolombia</t>
  </si>
  <si>
    <t>E004017</t>
  </si>
  <si>
    <t>4-17</t>
  </si>
  <si>
    <t>Credifamilia</t>
  </si>
  <si>
    <t>E004117</t>
  </si>
  <si>
    <t>4-117</t>
  </si>
  <si>
    <t>La Polar</t>
  </si>
  <si>
    <t>E004116</t>
  </si>
  <si>
    <t>4-116</t>
  </si>
  <si>
    <t>Financiera Pagos Internacionales</t>
  </si>
  <si>
    <t>E004115</t>
  </si>
  <si>
    <t>4-115</t>
  </si>
  <si>
    <t>Mi Plata</t>
  </si>
  <si>
    <t>E004114</t>
  </si>
  <si>
    <t>4-114</t>
  </si>
  <si>
    <t>Financiera Cambiamos</t>
  </si>
  <si>
    <t>E004113</t>
  </si>
  <si>
    <t>4-113</t>
  </si>
  <si>
    <t>CIT Capita</t>
  </si>
  <si>
    <t>E004111</t>
  </si>
  <si>
    <t>4-111</t>
  </si>
  <si>
    <t>Dann Regional</t>
  </si>
  <si>
    <t>E004108</t>
  </si>
  <si>
    <t>4-108</t>
  </si>
  <si>
    <t>Leasing Bancoldex</t>
  </si>
  <si>
    <t>E004101</t>
  </si>
  <si>
    <t>4-101</t>
  </si>
  <si>
    <t>Juriscoop</t>
  </si>
  <si>
    <t>E032007</t>
  </si>
  <si>
    <t>32-7</t>
  </si>
  <si>
    <t>Confiar</t>
  </si>
  <si>
    <t>E032005</t>
  </si>
  <si>
    <t>32-5</t>
  </si>
  <si>
    <t>Cotrafa</t>
  </si>
  <si>
    <t>E032004</t>
  </si>
  <si>
    <t>32-4</t>
  </si>
  <si>
    <t>Coofinep</t>
  </si>
  <si>
    <t>E032003</t>
  </si>
  <si>
    <t>32-3</t>
  </si>
  <si>
    <t>Cooperativa John F. Kennedy</t>
  </si>
  <si>
    <t>E032002</t>
  </si>
  <si>
    <t>32-2</t>
  </si>
  <si>
    <t>Cooperativa financiera de antioquia</t>
  </si>
  <si>
    <t>E032001</t>
  </si>
  <si>
    <t>32-1</t>
  </si>
  <si>
    <t>BNP Paribas</t>
  </si>
  <si>
    <t>E002042</t>
  </si>
  <si>
    <t>2-42</t>
  </si>
  <si>
    <t>JP Morgan</t>
  </si>
  <si>
    <t>E002041</t>
  </si>
  <si>
    <t>2-41</t>
  </si>
  <si>
    <t>Banca de Inversión Bancolombia</t>
  </si>
  <si>
    <t>E002037</t>
  </si>
  <si>
    <t>2-37</t>
  </si>
  <si>
    <t>FNA</t>
  </si>
  <si>
    <t>E022008</t>
  </si>
  <si>
    <t>22-8</t>
  </si>
  <si>
    <t>Bancoldex</t>
  </si>
  <si>
    <t>E022001</t>
  </si>
  <si>
    <t>22-1</t>
  </si>
  <si>
    <t>Corficolombiana</t>
  </si>
  <si>
    <t>E002011</t>
  </si>
  <si>
    <t>2-11</t>
  </si>
  <si>
    <t>Citibank</t>
  </si>
  <si>
    <t>E001009</t>
  </si>
  <si>
    <t>1-9</t>
  </si>
  <si>
    <t>Scotiabank</t>
  </si>
  <si>
    <t>E001008</t>
  </si>
  <si>
    <t>1-8</t>
  </si>
  <si>
    <t>Bancolombia</t>
  </si>
  <si>
    <t>E001007</t>
  </si>
  <si>
    <t>1-7</t>
  </si>
  <si>
    <t>Banco Santander</t>
  </si>
  <si>
    <t>E001006</t>
  </si>
  <si>
    <t>1-6</t>
  </si>
  <si>
    <t>Banco Pichincha</t>
  </si>
  <si>
    <t>E001057</t>
  </si>
  <si>
    <t>1-57</t>
  </si>
  <si>
    <t>Banco Falabella</t>
  </si>
  <si>
    <t>E001056</t>
  </si>
  <si>
    <t>1-56</t>
  </si>
  <si>
    <t>Banco Finandina</t>
  </si>
  <si>
    <t>E001055</t>
  </si>
  <si>
    <t>1-55</t>
  </si>
  <si>
    <t>Banco Coomeva</t>
  </si>
  <si>
    <t>E001054</t>
  </si>
  <si>
    <t>1-54</t>
  </si>
  <si>
    <t>Banco WWB</t>
  </si>
  <si>
    <t>E001053</t>
  </si>
  <si>
    <t>1-53</t>
  </si>
  <si>
    <t>Bancamía</t>
  </si>
  <si>
    <t>E001052</t>
  </si>
  <si>
    <t>1-52</t>
  </si>
  <si>
    <t>ProCredit</t>
  </si>
  <si>
    <t>E001051</t>
  </si>
  <si>
    <t>1-51</t>
  </si>
  <si>
    <t>AV Villas</t>
  </si>
  <si>
    <t>E001049</t>
  </si>
  <si>
    <t>1-49</t>
  </si>
  <si>
    <t>Banagrario</t>
  </si>
  <si>
    <t>E001043</t>
  </si>
  <si>
    <t>1-43</t>
  </si>
  <si>
    <t>Banco Colpatria</t>
  </si>
  <si>
    <t>E001042</t>
  </si>
  <si>
    <t>1-42</t>
  </si>
  <si>
    <t>Davivienda</t>
  </si>
  <si>
    <t>E001039</t>
  </si>
  <si>
    <t>1-39</t>
  </si>
  <si>
    <t>BCSC</t>
  </si>
  <si>
    <t>E001030</t>
  </si>
  <si>
    <t>1-30</t>
  </si>
  <si>
    <t>Banco de Occidente</t>
  </si>
  <si>
    <t>E001023</t>
  </si>
  <si>
    <t>1-23</t>
  </si>
  <si>
    <t>Banco Popular</t>
  </si>
  <si>
    <t>E001002</t>
  </si>
  <si>
    <t>1-2</t>
  </si>
  <si>
    <t>Helm Bank</t>
  </si>
  <si>
    <t>E001014</t>
  </si>
  <si>
    <t>1-14</t>
  </si>
  <si>
    <t>BBVA</t>
  </si>
  <si>
    <t>E001013</t>
  </si>
  <si>
    <t>1-13</t>
  </si>
  <si>
    <t>Sum:</t>
  </si>
  <si>
    <t>GNB Sudameris</t>
  </si>
  <si>
    <t>E001012</t>
  </si>
  <si>
    <t>1-12</t>
  </si>
  <si>
    <t>HSBC</t>
  </si>
  <si>
    <t>E001010</t>
  </si>
  <si>
    <t>1-10</t>
  </si>
  <si>
    <t>m</t>
  </si>
  <si>
    <t>l</t>
  </si>
  <si>
    <t>k</t>
  </si>
  <si>
    <t>j</t>
  </si>
  <si>
    <t>i</t>
  </si>
  <si>
    <t>Cuando paga</t>
  </si>
  <si>
    <t>Riesgo Op</t>
  </si>
  <si>
    <t>Sanciones</t>
  </si>
  <si>
    <t>Decisiones</t>
  </si>
  <si>
    <t>Infl</t>
  </si>
  <si>
    <t>Incremento de quejas</t>
  </si>
  <si>
    <t>Quejas a favor / Quejas</t>
  </si>
  <si>
    <t>Quejas / Clientes</t>
  </si>
  <si>
    <t>Banco de Bogotá</t>
  </si>
  <si>
    <t>E001001</t>
  </si>
  <si>
    <t>1-1</t>
  </si>
  <si>
    <t>Ponderaciones</t>
  </si>
  <si>
    <t>TOT</t>
  </si>
  <si>
    <t>REF</t>
  </si>
  <si>
    <t>CALIF TOT</t>
  </si>
  <si>
    <t>CALIF FACILID</t>
  </si>
  <si>
    <t>CALIF INF</t>
  </si>
  <si>
    <t>TOTAL</t>
  </si>
  <si>
    <t>CNB</t>
  </si>
  <si>
    <t>Cajero</t>
  </si>
  <si>
    <t>Oficina</t>
  </si>
  <si>
    <t>BancaMovil</t>
  </si>
  <si>
    <t>Audioresp</t>
  </si>
  <si>
    <t>Internet</t>
  </si>
  <si>
    <t>Correo electr</t>
  </si>
  <si>
    <t>Correo Fisico</t>
  </si>
  <si>
    <t>CALIF CAN</t>
  </si>
  <si>
    <t>CALIF VERS</t>
  </si>
  <si>
    <t>CALIF</t>
  </si>
  <si>
    <t>OPCIONES POR MES</t>
  </si>
  <si>
    <t>Se puede?</t>
  </si>
  <si>
    <t>Consultar la informacion del estado de la cuenta</t>
  </si>
  <si>
    <t>Cercania</t>
  </si>
  <si>
    <t>Pagar en otra ciudad</t>
  </si>
  <si>
    <t>Canales</t>
  </si>
  <si>
    <t>Fechas</t>
  </si>
  <si>
    <t>Periodicidad diferente a la mensual</t>
  </si>
  <si>
    <t>INFORMACION</t>
  </si>
  <si>
    <t>CANALES</t>
  </si>
  <si>
    <t>VERSATILIDAD</t>
  </si>
  <si>
    <t>Mirar índice superfinanciera. (documento de los nichos)</t>
  </si>
  <si>
    <t>Solamente lo listado aca.</t>
  </si>
  <si>
    <r>
      <t>·</t>
    </r>
    <r>
      <rPr>
        <sz val="7"/>
        <color theme="1"/>
        <rFont val="Times New Roman"/>
        <family val="1"/>
      </rPr>
      <t xml:space="preserve">         </t>
    </r>
    <r>
      <rPr>
        <sz val="11"/>
        <color theme="1"/>
        <rFont val="Calibri"/>
        <family val="2"/>
      </rPr>
      <t>Costo</t>
    </r>
  </si>
  <si>
    <r>
      <t>·</t>
    </r>
    <r>
      <rPr>
        <sz val="7"/>
        <color theme="1"/>
        <rFont val="Times New Roman"/>
        <family val="1"/>
      </rPr>
      <t xml:space="preserve">         </t>
    </r>
    <r>
      <rPr>
        <sz val="11"/>
        <color theme="1"/>
        <rFont val="Calibri"/>
        <family val="2"/>
      </rPr>
      <t>Puedo usar todos los canales</t>
    </r>
  </si>
  <si>
    <r>
      <t>·</t>
    </r>
    <r>
      <rPr>
        <sz val="7"/>
        <color theme="1"/>
        <rFont val="Times New Roman"/>
        <family val="1"/>
      </rPr>
      <t xml:space="preserve">         </t>
    </r>
    <r>
      <rPr>
        <sz val="11"/>
        <color theme="1"/>
        <rFont val="Calibri"/>
        <family val="2"/>
      </rPr>
      <t>Se puede pagar en plaza diferente a donde lo saque.</t>
    </r>
  </si>
  <si>
    <t>Calif 1</t>
  </si>
  <si>
    <t>Otros mts</t>
  </si>
  <si>
    <t>Grandes superf mts</t>
  </si>
  <si>
    <t>Centro recaudo mts</t>
  </si>
  <si>
    <t>CNB mts</t>
  </si>
  <si>
    <t>Cajero mts</t>
  </si>
  <si>
    <t>Oficina mts</t>
  </si>
  <si>
    <t>Otros</t>
  </si>
  <si>
    <t>Grandes superf</t>
  </si>
  <si>
    <t>Centro recaudo</t>
  </si>
  <si>
    <t>Num Mun</t>
  </si>
  <si>
    <t>COSTO</t>
  </si>
  <si>
    <t>MUNICIPIOS?</t>
  </si>
  <si>
    <t>SE PUEDE?</t>
  </si>
  <si>
    <t>Pres y No pres</t>
  </si>
  <si>
    <t>No presenciales</t>
  </si>
  <si>
    <t>Presenciales</t>
  </si>
  <si>
    <t>PSE</t>
  </si>
  <si>
    <t>Debitos autom (si tiene cuenta en ent)</t>
  </si>
  <si>
    <t>Bancamovil (si tiene cuenta en entidad)</t>
  </si>
  <si>
    <t>Audiorespuesta si tiene cuenta en la entidad</t>
  </si>
  <si>
    <t>Centro recaud ajeno</t>
  </si>
  <si>
    <t>Centro recaudo propio</t>
  </si>
  <si>
    <t>CNB ajeno</t>
  </si>
  <si>
    <t>CNB propia</t>
  </si>
  <si>
    <t>Cajero ajeno</t>
  </si>
  <si>
    <t>Cajero propio</t>
  </si>
  <si>
    <t>Of ajena</t>
  </si>
  <si>
    <t>Ofina propia</t>
  </si>
  <si>
    <t>Entre mayor flexibilidad en esta materia mejor. Entre mas municipios (ponderados por su población, o por su aporte al PIB, hay que definir esto) mejor. Canal físico, en que canales, en cualquier CNB. Hacerla lo mas dicotómica posible, si es parcial es NO.</t>
  </si>
  <si>
    <t>Tiene cuenta -aux 3</t>
  </si>
  <si>
    <t>Tiene cuenta -aux 2</t>
  </si>
  <si>
    <t>Tiene cuenta -aux 1</t>
  </si>
  <si>
    <t>Pago en otras ciudades</t>
  </si>
  <si>
    <t>Canales que le interesan</t>
  </si>
  <si>
    <t>Canales disponibles</t>
  </si>
  <si>
    <t>Distancia en metros del mas cercano PROPIO O QUE SE COMPORTE COMO PROPIO</t>
  </si>
  <si>
    <t>Esta columna se puede reemplazar por la sumatoria de la poblacion de los municipios con convenio</t>
  </si>
  <si>
    <t>Cuales canales le interesan para pagar</t>
  </si>
  <si>
    <t>Costo</t>
  </si>
  <si>
    <t>Le interesa poder pagar en otra ciudad</t>
  </si>
  <si>
    <t>Tiene cuenta en la entidad</t>
  </si>
  <si>
    <t>Que tantos canales tiene (hay que ver en vez de esto si tiene los que le interesan al usuario???)</t>
  </si>
  <si>
    <t>USUARIO</t>
  </si>
  <si>
    <t>De donde lo quiere pagar (indiferente, cuenta en otro banco, quiere abrir cuenta?, que se debite de su sueldo</t>
  </si>
  <si>
    <t>Propios y por convenio</t>
  </si>
  <si>
    <t>tiene cuenta en la entidad</t>
  </si>
  <si>
    <t>Canales disponibles para el pago de credito</t>
  </si>
  <si>
    <t>E-Otro 3</t>
  </si>
  <si>
    <t>E-Otro 2</t>
  </si>
  <si>
    <t>E-Otro 1</t>
  </si>
  <si>
    <t>E-Copia de los 3 ultimos recibos de pago</t>
  </si>
  <si>
    <t>E-Solicitud de vinculación</t>
  </si>
  <si>
    <t>E-Registro mercantil</t>
  </si>
  <si>
    <t>E-Promesa de compraventa</t>
  </si>
  <si>
    <t>E-Planos, presupuestos y/o licencias</t>
  </si>
  <si>
    <t>E-Declaración de renta</t>
  </si>
  <si>
    <t>E-Copia 3 últimos extractos bancarios</t>
  </si>
  <si>
    <t>E-Constancia de no declarante</t>
  </si>
  <si>
    <t>E-Certificación de patrimonio</t>
  </si>
  <si>
    <t>E-Certificación de otros ingresos</t>
  </si>
  <si>
    <t>E-Certificado de libertad del inmueble</t>
  </si>
  <si>
    <t>E-Certificación laboral</t>
  </si>
  <si>
    <t>E-Certificado de ingresos y retenciones</t>
  </si>
  <si>
    <t>E-Certificado convenio con empleador</t>
  </si>
  <si>
    <t>E-Carta y matricula de contador</t>
  </si>
  <si>
    <t>E-Certificado Camara de comercio</t>
  </si>
  <si>
    <t>E-Copia del documento de identidad</t>
  </si>
  <si>
    <t>E-Cédula Original</t>
  </si>
  <si>
    <t>E-Antigüedad mínima en meses</t>
  </si>
  <si>
    <t>I-Otro 3</t>
  </si>
  <si>
    <t>I-Otro 2</t>
  </si>
  <si>
    <t>I-Otro 1</t>
  </si>
  <si>
    <t>I-Solicitud de vinculación</t>
  </si>
  <si>
    <t>I-Registro mercantil</t>
  </si>
  <si>
    <t>I-Promesa de compraventa</t>
  </si>
  <si>
    <t>I-Planos, presupuestos y/o licencias</t>
  </si>
  <si>
    <t>I-Declaración de renta</t>
  </si>
  <si>
    <t>I-Copia 3 últimos extractos bancarios</t>
  </si>
  <si>
    <t>I-Constancia de no declarante</t>
  </si>
  <si>
    <t>I-Certificación de patrimonio</t>
  </si>
  <si>
    <t>I-Certificación de otros ingresos</t>
  </si>
  <si>
    <t>I-Certificado de libertad del inmueble</t>
  </si>
  <si>
    <t>I-Certificación laboral</t>
  </si>
  <si>
    <t>I-Certificado de ingresos y retenciones</t>
  </si>
  <si>
    <t>I-Certificado convenio con empleador</t>
  </si>
  <si>
    <t>I-Carta y matricula de contador</t>
  </si>
  <si>
    <t>I-Certificado Camara de comercio</t>
  </si>
  <si>
    <t>I-Copia del documento de identidad</t>
  </si>
  <si>
    <t>I-Cédula Original</t>
  </si>
  <si>
    <t>P-Otro 3</t>
  </si>
  <si>
    <t>P-Otro 2</t>
  </si>
  <si>
    <t>P-Otro 1</t>
  </si>
  <si>
    <t>P-Ultimas colillas o desprendibles de pago de pensión:</t>
  </si>
  <si>
    <t>P-Solicitud de vinculación</t>
  </si>
  <si>
    <t>P-Registro mercantil</t>
  </si>
  <si>
    <t>P-Promesa de compraventa</t>
  </si>
  <si>
    <t>P-Planos, presupuestos y/o licencias</t>
  </si>
  <si>
    <t>P-Declaración de renta</t>
  </si>
  <si>
    <t>P-Copia 3 últimos extractos bancarios</t>
  </si>
  <si>
    <t>P-Copia de 3 ultimos recibos de pago:</t>
  </si>
  <si>
    <t>P-Constancia de no declarante</t>
  </si>
  <si>
    <t>P-Certificación de patrimonio</t>
  </si>
  <si>
    <t>P-Certificación de otros ingresos</t>
  </si>
  <si>
    <t>P-Certificación  de ser pensionado</t>
  </si>
  <si>
    <t>P-Certificado de ingresos y retenciones</t>
  </si>
  <si>
    <t>P-Certificado convenio con el que paga la pensión</t>
  </si>
  <si>
    <t>P-Carta y matricula de contador</t>
  </si>
  <si>
    <t>EMPLEADO</t>
  </si>
  <si>
    <t>E-</t>
  </si>
  <si>
    <t>P-Copia del documento de identidad</t>
  </si>
  <si>
    <t>INDEPENDIENTE – DEPENDIENTE - RENTISTA</t>
  </si>
  <si>
    <t>I-</t>
  </si>
  <si>
    <t>P-Cédula Original</t>
  </si>
  <si>
    <t>PENSIONADO</t>
  </si>
  <si>
    <t>P-</t>
  </si>
  <si>
    <t>PUNTAJE</t>
  </si>
  <si>
    <t>DOCUMENTO</t>
  </si>
  <si>
    <t>AVISO</t>
  </si>
  <si>
    <t>CALIF SUMA</t>
  </si>
  <si>
    <t>SUMA</t>
  </si>
  <si>
    <t>Valor Copia</t>
  </si>
  <si>
    <t>Valor 1ro</t>
  </si>
  <si>
    <t># dias despues de ultimo pago para tenerlo</t>
  </si>
  <si>
    <t>Vigencia paz y salvo</t>
  </si>
  <si>
    <t>DESEMBOLSO</t>
  </si>
  <si>
    <t>TIEMPOS</t>
  </si>
  <si>
    <t>FINALIZACION</t>
  </si>
  <si>
    <t>APERTURA</t>
  </si>
  <si>
    <t>FINAL</t>
  </si>
  <si>
    <t>TRAMITES</t>
  </si>
  <si>
    <t>Situacion laboral:</t>
  </si>
  <si>
    <t>ATENC</t>
  </si>
  <si>
    <t>PROT</t>
  </si>
  <si>
    <t>FACIL</t>
  </si>
  <si>
    <t>TRAM</t>
  </si>
  <si>
    <t>PONDERACION</t>
  </si>
  <si>
    <t>PARA CORRIENTES Y VIVIENDA</t>
  </si>
  <si>
    <t>codigo 4</t>
  </si>
  <si>
    <t>codigo 3</t>
  </si>
  <si>
    <t>codigo 2</t>
  </si>
  <si>
    <t>Vacio</t>
  </si>
  <si>
    <t>Si</t>
  </si>
  <si>
    <t>No</t>
  </si>
  <si>
    <t>Calle 10 carrera 7</t>
  </si>
  <si>
    <t>Calle 3 carrera 389</t>
  </si>
  <si>
    <t>Calle 21 carrera 9</t>
  </si>
  <si>
    <t>Masculino</t>
  </si>
  <si>
    <t>Edad maxima del codeudor que consigue</t>
  </si>
  <si>
    <t>Edad minima del codeudor que consigue</t>
  </si>
  <si>
    <t>¿El codeudor cumple las mismas condiciones del deudor?</t>
  </si>
  <si>
    <t>valor mínimo de finca raiz del codeudor?</t>
  </si>
  <si>
    <t>ingresos minimos debe contar el codeudor?</t>
  </si>
  <si>
    <t>Consigue deudor solidario?</t>
  </si>
  <si>
    <t>Exigen que pertenezca a la misma pagaduría y al mismo régimen que el codeudor, deudor solidario o fiador?</t>
  </si>
  <si>
    <t>valor mínimo de la prenda?</t>
  </si>
  <si>
    <t>valor del bien?</t>
  </si>
  <si>
    <t>tiene un bien inmueble para la solicitud?</t>
  </si>
  <si>
    <t>¿Qué valor mínimo de finca raiz debe tener el codeudor?</t>
  </si>
  <si>
    <t>¿Con qué ingresos minimos debe contar el codeudor?</t>
  </si>
  <si>
    <t>¿Exige Codeudor?</t>
  </si>
  <si>
    <t>Edad maxima del fiador que consigue</t>
  </si>
  <si>
    <t>Edad minima del fiador que consigue</t>
  </si>
  <si>
    <t>¿El fiador cumple las mismas condiciones del deudor?</t>
  </si>
  <si>
    <t>¿Qué valor mínimo de finca raiz debe tener el fiador?</t>
  </si>
  <si>
    <t>¿Con qué ingresos minimos debe contar el fiador?</t>
  </si>
  <si>
    <t>Tiene fiador?</t>
  </si>
  <si>
    <t>número de créditos por pagaduría que tiene</t>
  </si>
  <si>
    <t>¿Cuántos meses de experiencia crediticia?</t>
  </si>
  <si>
    <t>¿Durante cuánto tiempo estuvo reportado?</t>
  </si>
  <si>
    <t>Tiene reporte en centrales de riesgo por compromisos no financieros?</t>
  </si>
  <si>
    <t>Tiene reporte por compromisos financieros?</t>
  </si>
  <si>
    <t>Direccion aproximada 3</t>
  </si>
  <si>
    <t>Direccion aproximada 2</t>
  </si>
  <si>
    <t>Direccion aproximada 1</t>
  </si>
  <si>
    <t>Con que entidad tiene cuentas</t>
  </si>
  <si>
    <t>Le interesa pagar por Internet</t>
  </si>
  <si>
    <t>Le interesa pagar por PSE</t>
  </si>
  <si>
    <t>Le interesa pagar por Debitos autom</t>
  </si>
  <si>
    <t>Le interesa pagar por Bancamovil</t>
  </si>
  <si>
    <t>Le interesa pagar por Audiorespuesta</t>
  </si>
  <si>
    <t>Le interesa pagar por Le interesa pagar por Otros</t>
  </si>
  <si>
    <t>Le interesa pagar por Le interesa pagar por Grandes superf</t>
  </si>
  <si>
    <t>Le interesa pagar por Le interesa pagar por Centro recaudo</t>
  </si>
  <si>
    <t>Le interesa pagar por Le interesa pagar por CNB</t>
  </si>
  <si>
    <t>Le interesa pagar por Le interesa pagar por Cajero</t>
  </si>
  <si>
    <t>Le interesa pagar por Le interesa pagar por Oficina</t>
  </si>
  <si>
    <t>CANAL C que le interesa usar</t>
  </si>
  <si>
    <t>CANAL B que le interesa usar</t>
  </si>
  <si>
    <t>CANAL A que le interesa usar</t>
  </si>
  <si>
    <t>Tiempo por el que a estado reportado en centrales de riesgo</t>
  </si>
  <si>
    <t>Puede conseguir un codeudor?</t>
  </si>
  <si>
    <t>Para que es el credito</t>
  </si>
  <si>
    <t>Plazos maximo requerido</t>
  </si>
  <si>
    <t>Plazos minimo requerido</t>
  </si>
  <si>
    <t>Monto requerido. SI ES VIVIENDA, VALOR DE LA VIVIENDA</t>
  </si>
  <si>
    <t>Situacion laboral</t>
  </si>
  <si>
    <t>Edad</t>
  </si>
  <si>
    <t>Genero</t>
  </si>
  <si>
    <t>Ingresos con familia</t>
  </si>
  <si>
    <t>Puede sumar ingresos con familia y estos lo harian, o planea hacerlo?</t>
  </si>
  <si>
    <t>Ingresos</t>
  </si>
  <si>
    <t>0;1</t>
  </si>
  <si>
    <t>Virtual</t>
  </si>
  <si>
    <t>Ambos</t>
  </si>
  <si>
    <t>Presencial</t>
  </si>
  <si>
    <t>E001012027004</t>
  </si>
  <si>
    <t>E001012027003</t>
  </si>
  <si>
    <t>E001012027002</t>
  </si>
  <si>
    <t>Intermedio</t>
  </si>
  <si>
    <t>E001012027001</t>
  </si>
  <si>
    <t>E001010027004</t>
  </si>
  <si>
    <t>Fisica</t>
  </si>
  <si>
    <t>E001010027003</t>
  </si>
  <si>
    <t>E001010027002</t>
  </si>
  <si>
    <t>E001010027001</t>
  </si>
  <si>
    <t>E001013027004</t>
  </si>
  <si>
    <t>Femenino</t>
  </si>
  <si>
    <t>E001013027003</t>
  </si>
  <si>
    <t>E001013027002</t>
  </si>
  <si>
    <t>E001013027001</t>
  </si>
  <si>
    <t>E001002027004</t>
  </si>
  <si>
    <t>E001002027003</t>
  </si>
  <si>
    <t>E001002027002</t>
  </si>
  <si>
    <t>E001002027001</t>
  </si>
  <si>
    <t>E001001027003</t>
  </si>
  <si>
    <t>E001001027002</t>
  </si>
  <si>
    <t>E001001027001</t>
  </si>
  <si>
    <t>E001006021001</t>
  </si>
  <si>
    <t>E001012021004</t>
  </si>
  <si>
    <t>E001012021003</t>
  </si>
  <si>
    <t>E001012021001</t>
  </si>
  <si>
    <t>E001010021004</t>
  </si>
  <si>
    <t>E001010021002</t>
  </si>
  <si>
    <t>E001010021001</t>
  </si>
  <si>
    <t>E001013021004</t>
  </si>
  <si>
    <t>E001013021003</t>
  </si>
  <si>
    <t>E001013021002</t>
  </si>
  <si>
    <t>E001002021004</t>
  </si>
  <si>
    <t>E001002021003</t>
  </si>
  <si>
    <t>E001002021002</t>
  </si>
  <si>
    <t>E001002021001</t>
  </si>
  <si>
    <t>E001001021003</t>
  </si>
  <si>
    <t>E001001021002</t>
  </si>
  <si>
    <t>E001001021001</t>
  </si>
  <si>
    <t>Tiene como canal de com.  Chat</t>
  </si>
  <si>
    <t>Tiene como canal de com.  Pagina</t>
  </si>
  <si>
    <t>Tiene como canal de com.  Youtube</t>
  </si>
  <si>
    <t>Tiene como canal de com.  Linea telefonica</t>
  </si>
  <si>
    <t>Tiene como canal de com.  Twitter</t>
  </si>
  <si>
    <t>Tiene como canal de com.  Facebook</t>
  </si>
  <si>
    <t>Tiene como canal de com.  Correo electronico</t>
  </si>
  <si>
    <t># de benef adicionales</t>
  </si>
  <si>
    <t>Preabrovacion (virt-pres)</t>
  </si>
  <si>
    <t>Como es el proceso (virtualidad vs presencial)</t>
  </si>
  <si>
    <t>Direccion aprox punto 3</t>
  </si>
  <si>
    <t>Direccion aprox punto 2</t>
  </si>
  <si>
    <t>Direccion aprox punto 1</t>
  </si>
  <si>
    <t># MUNICIPIOS?</t>
  </si>
  <si>
    <t>SE PUEDE pagar en otros municipios</t>
  </si>
  <si>
    <t>Numero de  Internet</t>
  </si>
  <si>
    <t>Numero de  PSE</t>
  </si>
  <si>
    <t>Numero de  Debitos autom (si tiene cuenta en ent)</t>
  </si>
  <si>
    <t>Numero de  Bancamovil (si tiene cuenta en entidad)</t>
  </si>
  <si>
    <t>Numero de  Audiorespuesta si tiene cuenta en la entidad</t>
  </si>
  <si>
    <t>Numero de  Otros</t>
  </si>
  <si>
    <t>Numero de  Grandes superf</t>
  </si>
  <si>
    <t>Numero de  Centro recaud ajeno</t>
  </si>
  <si>
    <t>Numero de  Centro recaudo propio</t>
  </si>
  <si>
    <t>Numero de  CNB ajeno</t>
  </si>
  <si>
    <t>Numero de  CNB propia</t>
  </si>
  <si>
    <t>Numero de  Cajero ajeno</t>
  </si>
  <si>
    <t>Numero de  Cajero propio</t>
  </si>
  <si>
    <t>Numero de  Of ajena</t>
  </si>
  <si>
    <t>Numero de  Ofina propia</t>
  </si>
  <si>
    <t>Consultar estado deuda por: CNB</t>
  </si>
  <si>
    <t>Consultar estado deuda por: Cajero</t>
  </si>
  <si>
    <t>Consultar estado deuda por: Oficina</t>
  </si>
  <si>
    <t>Consultar estado deuda por: BancaMovil</t>
  </si>
  <si>
    <t>Consultar estado deuda por: Audioresp</t>
  </si>
  <si>
    <t>Consultar estado deuda por: Internet</t>
  </si>
  <si>
    <t>Consultar estado deuda por: Correo electr</t>
  </si>
  <si>
    <t>Consultar estado deuda por: Correo Fisico</t>
  </si>
  <si>
    <t>Opciones por mes para hace pago</t>
  </si>
  <si>
    <t>Se puede periodicidad diferente a la mensual?</t>
  </si>
  <si>
    <t>COBRA INTERES</t>
  </si>
  <si>
    <t>PERIODO DE GRACIA</t>
  </si>
  <si>
    <t>COSTO ADMINISTRA</t>
  </si>
  <si>
    <t>PERIOD ADMINIS</t>
  </si>
  <si>
    <t>COSTOS FINALES</t>
  </si>
  <si>
    <t>COSTOS INICIALES</t>
  </si>
  <si>
    <t>TASA DE INTERES</t>
  </si>
  <si>
    <t>Canal desemb</t>
  </si>
  <si>
    <t>avisan desemb?</t>
  </si>
  <si>
    <t>Días desde la aprobación hasta el desembolso (máximo)</t>
  </si>
  <si>
    <t xml:space="preserve">Días desde la solicitud hasta la aprobación (máximo) </t>
  </si>
  <si>
    <t>Cuantos dias despues de ultimo pago se puede solicitar</t>
  </si>
  <si>
    <t>¿Exige deudor solidario?</t>
  </si>
  <si>
    <t>¿Exigen que pertenezca a la misma pagaduría y al mismo régimen? COD</t>
  </si>
  <si>
    <t>¿Cuál debe ser el valor mínimo de la prenda?</t>
  </si>
  <si>
    <t>Exige prenda?</t>
  </si>
  <si>
    <t>¿Cuál debe ser el valor mínimo del bien?</t>
  </si>
  <si>
    <t>Exige hipoteca?</t>
  </si>
  <si>
    <t>¿Se requiere tener un bien inmueble para la solicitud?</t>
  </si>
  <si>
    <t>Edad maxima del codeudor</t>
  </si>
  <si>
    <t>Edad minima del codeudor</t>
  </si>
  <si>
    <t>Edad maxima del fiador</t>
  </si>
  <si>
    <t>Edad minima del fiador</t>
  </si>
  <si>
    <t>¿El fiador debe cumplir las mismas condiciones del deudor?</t>
  </si>
  <si>
    <t>Exige fiador?</t>
  </si>
  <si>
    <t>número de créditos por pagaduría maximo que permite</t>
  </si>
  <si>
    <t>¿Cuántos meses de experiencia crediticia exige?</t>
  </si>
  <si>
    <t>cuánto tiempo de reportado?</t>
  </si>
  <si>
    <t>Presta con reporte en centrales de riesgo por compromisos no financieros?</t>
  </si>
  <si>
    <t>Presta con reporte por compromisos financieros?</t>
  </si>
  <si>
    <t>Plazos maximo</t>
  </si>
  <si>
    <t>Plazos minimo</t>
  </si>
  <si>
    <t>Monto prestado max</t>
  </si>
  <si>
    <t>Monto prestado min</t>
  </si>
  <si>
    <t>Situacion laboral - 3</t>
  </si>
  <si>
    <t>Situacion laboral - 2</t>
  </si>
  <si>
    <t>Situacion laboral - 1</t>
  </si>
  <si>
    <t>Edad max</t>
  </si>
  <si>
    <t>Edad min</t>
  </si>
  <si>
    <t>Ingresos max</t>
  </si>
  <si>
    <t>Ingresos min</t>
  </si>
  <si>
    <t>Permite sumar ingresos con familia y estos lo harian, o planea hacerlo?</t>
  </si>
  <si>
    <t>Valido?</t>
  </si>
  <si>
    <t>No = 0</t>
  </si>
  <si>
    <t>Si =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</si>
</sst>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5">
    <numFmt numFmtId="43" formatCode="_-* #,##0.00\ _€_-;\-* #,##0.00\ _€_-;_-* &quot;-&quot;??\ _€_-;_-@_-"/>
    <numFmt numFmtId="164" formatCode="&quot;$&quot;\ #,##0_);[Red]\(&quot;$&quot;\ #,##0\)"/>
    <numFmt numFmtId="165" formatCode="&quot;$&quot;\ #,##0.00_);[Red]\(&quot;$&quot;\ #,##0.00\)"/>
    <numFmt numFmtId="166" formatCode="&quot;$&quot;#,##0.00;\-&quot;$&quot;#,##0.00"/>
    <numFmt numFmtId="167" formatCode="&quot;$&quot;#,##0.00;[Red]\-&quot;$&quot;#,##0.00"/>
    <numFmt numFmtId="168" formatCode="_-* #,##0.00_-;\-* #,##0.00_-;_-* &quot;-&quot;??_-;_-@_-"/>
    <numFmt numFmtId="169" formatCode="_(* #,##0_);_(* \(#,##0\);_(* &quot;-&quot;??_);_(@_)"/>
    <numFmt numFmtId="170" formatCode="0.0000%"/>
    <numFmt numFmtId="171" formatCode="_(* #,##0.0_);_(* \(#,##0.0\);_(* &quot;-&quot;??_);_(@_)"/>
    <numFmt numFmtId="172" formatCode="0.000%"/>
    <numFmt numFmtId="173" formatCode="0.0%"/>
    <numFmt numFmtId="174" formatCode="0.000"/>
    <numFmt numFmtId="175" formatCode="0.000000000"/>
    <numFmt numFmtId="176" formatCode="_-* #,##0.0000\ _€_-;\-* #,##0.0000\ _€_-;_-* &quot;-&quot;??\ _€_-;_-@_-"/>
    <numFmt numFmtId="177" formatCode="_-* #,##0\ _€_-;\-* #,##0\ _€_-;_-* &quot;-&quot;??\ _€_-;_-@_-"/>
  </numFmts>
  <fonts count="1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</font>
    <font>
      <sz val="11"/>
      <color theme="1"/>
      <name val="Symbol"/>
      <family val="1"/>
      <charset val="2"/>
    </font>
    <font>
      <sz val="7"/>
      <color theme="1"/>
      <name val="Times New Roman"/>
      <family val="1"/>
    </font>
    <font>
      <sz val="10"/>
      <name val="MS Sans Serif"/>
      <family val="2"/>
    </font>
    <font>
      <u/>
      <sz val="10"/>
      <color theme="10"/>
      <name val="MS Sans Serif"/>
      <family val="2"/>
    </font>
    <font>
      <b/>
      <sz val="1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11"/>
      <color theme="1"/>
      <name val="Calibri"/>
      <family val="2"/>
    </font>
    <font>
      <b/>
      <sz val="10"/>
      <name val="MS Sans Serif"/>
      <family val="2"/>
    </font>
  </fonts>
  <fills count="18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67CE7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7030A0"/>
        <bgColor indexed="64"/>
      </patternFill>
    </fill>
  </fills>
  <borders count="4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1" fillId="0" borderId="0" applyNumberFormat="0" applyFill="0" applyBorder="0" applyAlignment="0" applyProtection="0"/>
  </cellStyleXfs>
  <cellXfs count="272">
    <xf numFmtId="0" fontId="0" fillId="0" borderId="0" xfId="0"/>
    <xf numFmtId="10" fontId="0" fillId="0" borderId="0" xfId="2" applyNumberFormat="1" applyFont="1"/>
    <xf numFmtId="169" fontId="0" fillId="0" borderId="0" xfId="1" applyNumberFormat="1" applyFont="1"/>
    <xf numFmtId="0" fontId="2" fillId="0" borderId="4" xfId="0" applyFont="1" applyBorder="1" applyAlignment="1">
      <alignment horizontal="center"/>
    </xf>
    <xf numFmtId="169" fontId="0" fillId="0" borderId="0" xfId="0" applyNumberFormat="1"/>
    <xf numFmtId="0" fontId="2" fillId="0" borderId="0" xfId="0" applyFont="1" applyFill="1" applyBorder="1" applyAlignment="1">
      <alignment horizontal="center" wrapText="1"/>
    </xf>
    <xf numFmtId="0" fontId="0" fillId="0" borderId="15" xfId="0" applyBorder="1"/>
    <xf numFmtId="0" fontId="0" fillId="0" borderId="16" xfId="0" applyBorder="1"/>
    <xf numFmtId="0" fontId="0" fillId="0" borderId="17" xfId="0" applyBorder="1"/>
    <xf numFmtId="172" fontId="0" fillId="0" borderId="0" xfId="2" applyNumberFormat="1" applyFont="1"/>
    <xf numFmtId="0" fontId="2" fillId="0" borderId="4" xfId="0" applyFont="1" applyBorder="1" applyAlignment="1">
      <alignment horizontal="center" wrapText="1"/>
    </xf>
    <xf numFmtId="0" fontId="0" fillId="2" borderId="0" xfId="0" applyFill="1"/>
    <xf numFmtId="166" fontId="0" fillId="0" borderId="0" xfId="0" applyNumberFormat="1"/>
    <xf numFmtId="0" fontId="2" fillId="0" borderId="9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169" fontId="0" fillId="3" borderId="0" xfId="1" applyNumberFormat="1" applyFont="1" applyFill="1"/>
    <xf numFmtId="0" fontId="0" fillId="3" borderId="0" xfId="0" applyFill="1"/>
    <xf numFmtId="0" fontId="0" fillId="4" borderId="0" xfId="0" applyFill="1"/>
    <xf numFmtId="0" fontId="4" fillId="4" borderId="4" xfId="0" applyFont="1" applyFill="1" applyBorder="1" applyAlignment="1">
      <alignment horizontal="center" vertical="center" wrapText="1"/>
    </xf>
    <xf numFmtId="0" fontId="2" fillId="2" borderId="0" xfId="0" applyFont="1" applyFill="1" applyBorder="1" applyAlignment="1">
      <alignment horizontal="center" wrapText="1"/>
    </xf>
    <xf numFmtId="0" fontId="0" fillId="5" borderId="0" xfId="0" applyFill="1"/>
    <xf numFmtId="169" fontId="0" fillId="5" borderId="0" xfId="1" applyNumberFormat="1" applyFont="1" applyFill="1"/>
    <xf numFmtId="173" fontId="3" fillId="5" borderId="4" xfId="2" applyNumberFormat="1" applyFont="1" applyFill="1" applyBorder="1"/>
    <xf numFmtId="10" fontId="0" fillId="5" borderId="0" xfId="2" applyNumberFormat="1" applyFont="1" applyFill="1"/>
    <xf numFmtId="172" fontId="0" fillId="5" borderId="0" xfId="2" applyNumberFormat="1" applyFont="1" applyFill="1"/>
    <xf numFmtId="165" fontId="3" fillId="5" borderId="4" xfId="0" applyNumberFormat="1" applyFont="1" applyFill="1" applyBorder="1"/>
    <xf numFmtId="167" fontId="0" fillId="5" borderId="0" xfId="0" applyNumberFormat="1" applyFill="1"/>
    <xf numFmtId="43" fontId="0" fillId="5" borderId="0" xfId="0" applyNumberFormat="1" applyFill="1"/>
    <xf numFmtId="0" fontId="2" fillId="5" borderId="0" xfId="0" applyFont="1" applyFill="1" applyBorder="1" applyAlignment="1">
      <alignment horizontal="center"/>
    </xf>
    <xf numFmtId="0" fontId="2" fillId="5" borderId="4" xfId="0" applyFont="1" applyFill="1" applyBorder="1" applyAlignment="1">
      <alignment horizontal="center"/>
    </xf>
    <xf numFmtId="170" fontId="0" fillId="5" borderId="0" xfId="2" applyNumberFormat="1" applyFont="1" applyFill="1"/>
    <xf numFmtId="0" fontId="0" fillId="5" borderId="5" xfId="0" applyFill="1" applyBorder="1"/>
    <xf numFmtId="164" fontId="0" fillId="5" borderId="6" xfId="0" applyNumberFormat="1" applyFill="1" applyBorder="1"/>
    <xf numFmtId="164" fontId="0" fillId="5" borderId="7" xfId="0" applyNumberFormat="1" applyFill="1" applyBorder="1"/>
    <xf numFmtId="164" fontId="0" fillId="5" borderId="8" xfId="0" applyNumberFormat="1" applyFill="1" applyBorder="1"/>
    <xf numFmtId="43" fontId="0" fillId="5" borderId="0" xfId="0" applyNumberFormat="1" applyFill="1" applyBorder="1"/>
    <xf numFmtId="171" fontId="0" fillId="5" borderId="0" xfId="0" applyNumberFormat="1" applyFill="1"/>
    <xf numFmtId="170" fontId="0" fillId="5" borderId="0" xfId="0" applyNumberFormat="1" applyFill="1"/>
    <xf numFmtId="0" fontId="0" fillId="5" borderId="9" xfId="0" applyFill="1" applyBorder="1"/>
    <xf numFmtId="164" fontId="0" fillId="5" borderId="10" xfId="0" applyNumberFormat="1" applyFill="1" applyBorder="1"/>
    <xf numFmtId="164" fontId="0" fillId="5" borderId="11" xfId="0" applyNumberFormat="1" applyFill="1" applyBorder="1"/>
    <xf numFmtId="164" fontId="0" fillId="5" borderId="12" xfId="0" applyNumberFormat="1" applyFill="1" applyBorder="1"/>
    <xf numFmtId="165" fontId="0" fillId="5" borderId="0" xfId="0" applyNumberFormat="1" applyFill="1"/>
    <xf numFmtId="168" fontId="0" fillId="5" borderId="0" xfId="0" applyNumberFormat="1" applyFill="1"/>
    <xf numFmtId="0" fontId="0" fillId="5" borderId="13" xfId="0" applyFill="1" applyBorder="1"/>
    <xf numFmtId="164" fontId="0" fillId="5" borderId="18" xfId="0" applyNumberFormat="1" applyFill="1" applyBorder="1"/>
    <xf numFmtId="164" fontId="0" fillId="5" borderId="14" xfId="0" applyNumberFormat="1" applyFill="1" applyBorder="1"/>
    <xf numFmtId="0" fontId="0" fillId="6" borderId="0" xfId="0" applyFill="1"/>
    <xf numFmtId="0" fontId="0" fillId="4" borderId="10" xfId="0" applyFill="1" applyBorder="1"/>
    <xf numFmtId="0" fontId="0" fillId="2" borderId="19" xfId="0" applyFill="1" applyBorder="1"/>
    <xf numFmtId="0" fontId="0" fillId="6" borderId="12" xfId="0" applyFill="1" applyBorder="1"/>
    <xf numFmtId="0" fontId="0" fillId="5" borderId="11" xfId="0" applyFill="1" applyBorder="1"/>
    <xf numFmtId="0" fontId="0" fillId="5" borderId="14" xfId="0" applyFill="1" applyBorder="1"/>
    <xf numFmtId="0" fontId="0" fillId="0" borderId="14" xfId="0" applyBorder="1"/>
    <xf numFmtId="0" fontId="0" fillId="0" borderId="18" xfId="0" applyBorder="1"/>
    <xf numFmtId="0" fontId="0" fillId="6" borderId="20" xfId="0" applyFill="1" applyBorder="1"/>
    <xf numFmtId="0" fontId="0" fillId="6" borderId="10" xfId="0" applyFill="1" applyBorder="1"/>
    <xf numFmtId="0" fontId="0" fillId="0" borderId="11" xfId="0" applyBorder="1"/>
    <xf numFmtId="0" fontId="0" fillId="0" borderId="10" xfId="0" applyBorder="1"/>
    <xf numFmtId="0" fontId="0" fillId="0" borderId="11" xfId="0" applyFill="1" applyBorder="1"/>
    <xf numFmtId="0" fontId="2" fillId="0" borderId="15" xfId="0" applyFont="1" applyFill="1" applyBorder="1"/>
    <xf numFmtId="0" fontId="2" fillId="2" borderId="21" xfId="0" applyFont="1" applyFill="1" applyBorder="1" applyAlignment="1">
      <alignment horizontal="center"/>
    </xf>
    <xf numFmtId="0" fontId="0" fillId="0" borderId="25" xfId="0" applyFill="1" applyBorder="1"/>
    <xf numFmtId="2" fontId="0" fillId="0" borderId="0" xfId="0" applyNumberFormat="1"/>
    <xf numFmtId="0" fontId="0" fillId="0" borderId="0" xfId="0" applyFill="1"/>
    <xf numFmtId="0" fontId="2" fillId="0" borderId="0" xfId="0" applyFont="1" applyFill="1"/>
    <xf numFmtId="174" fontId="0" fillId="0" borderId="0" xfId="0" applyNumberFormat="1"/>
    <xf numFmtId="0" fontId="0" fillId="2" borderId="11" xfId="0" applyFill="1" applyBorder="1"/>
    <xf numFmtId="174" fontId="0" fillId="0" borderId="11" xfId="0" applyNumberFormat="1" applyBorder="1"/>
    <xf numFmtId="2" fontId="0" fillId="0" borderId="11" xfId="0" applyNumberFormat="1" applyBorder="1"/>
    <xf numFmtId="0" fontId="2" fillId="0" borderId="11" xfId="0" applyFont="1" applyFill="1" applyBorder="1"/>
    <xf numFmtId="43" fontId="0" fillId="0" borderId="0" xfId="1" applyFont="1"/>
    <xf numFmtId="9" fontId="0" fillId="7" borderId="11" xfId="0" applyNumberFormat="1" applyFill="1" applyBorder="1"/>
    <xf numFmtId="0" fontId="6" fillId="8" borderId="0" xfId="0" applyFont="1" applyFill="1"/>
    <xf numFmtId="0" fontId="6" fillId="8" borderId="26" xfId="0" applyFont="1" applyFill="1" applyBorder="1"/>
    <xf numFmtId="0" fontId="2" fillId="0" borderId="0" xfId="0" applyFont="1" applyAlignment="1">
      <alignment wrapText="1"/>
    </xf>
    <xf numFmtId="0" fontId="2" fillId="2" borderId="11" xfId="0" applyFont="1" applyFill="1" applyBorder="1" applyAlignment="1">
      <alignment wrapText="1"/>
    </xf>
    <xf numFmtId="0" fontId="2" fillId="0" borderId="11" xfId="0" applyFont="1" applyBorder="1" applyAlignment="1">
      <alignment horizontal="center" wrapText="1"/>
    </xf>
    <xf numFmtId="0" fontId="2" fillId="0" borderId="11" xfId="0" applyFont="1" applyBorder="1" applyAlignment="1">
      <alignment horizontal="left" vertical="center" wrapText="1"/>
    </xf>
    <xf numFmtId="0" fontId="2" fillId="0" borderId="11" xfId="0" applyFont="1" applyBorder="1" applyAlignment="1">
      <alignment vertical="center" wrapText="1"/>
    </xf>
    <xf numFmtId="0" fontId="2" fillId="0" borderId="11" xfId="0" applyFont="1" applyBorder="1" applyAlignment="1">
      <alignment wrapText="1"/>
    </xf>
    <xf numFmtId="0" fontId="2" fillId="0" borderId="11" xfId="0" applyFont="1" applyFill="1" applyBorder="1" applyAlignment="1">
      <alignment wrapText="1"/>
    </xf>
    <xf numFmtId="0" fontId="2" fillId="0" borderId="0" xfId="0" applyFont="1" applyFill="1" applyAlignment="1">
      <alignment wrapText="1"/>
    </xf>
    <xf numFmtId="0" fontId="0" fillId="2" borderId="16" xfId="0" applyFill="1" applyBorder="1"/>
    <xf numFmtId="0" fontId="0" fillId="6" borderId="16" xfId="0" applyFill="1" applyBorder="1"/>
    <xf numFmtId="0" fontId="0" fillId="2" borderId="27" xfId="0" applyFill="1" applyBorder="1"/>
    <xf numFmtId="0" fontId="0" fillId="2" borderId="12" xfId="0" applyFont="1" applyFill="1" applyBorder="1"/>
    <xf numFmtId="0" fontId="0" fillId="5" borderId="11" xfId="0" applyFont="1" applyFill="1" applyBorder="1"/>
    <xf numFmtId="0" fontId="0" fillId="5" borderId="10" xfId="0" applyFont="1" applyFill="1" applyBorder="1"/>
    <xf numFmtId="0" fontId="0" fillId="2" borderId="12" xfId="0" applyFill="1" applyBorder="1"/>
    <xf numFmtId="0" fontId="0" fillId="4" borderId="11" xfId="0" applyFill="1" applyBorder="1"/>
    <xf numFmtId="0" fontId="2" fillId="0" borderId="0" xfId="0" applyFont="1"/>
    <xf numFmtId="0" fontId="2" fillId="2" borderId="15" xfId="0" applyFont="1" applyFill="1" applyBorder="1"/>
    <xf numFmtId="0" fontId="2" fillId="0" borderId="15" xfId="0" applyFont="1" applyBorder="1"/>
    <xf numFmtId="0" fontId="2" fillId="2" borderId="27" xfId="0" applyFont="1" applyFill="1" applyBorder="1"/>
    <xf numFmtId="0" fontId="2" fillId="0" borderId="11" xfId="0" applyFont="1" applyBorder="1"/>
    <xf numFmtId="0" fontId="2" fillId="0" borderId="10" xfId="0" applyFont="1" applyBorder="1"/>
    <xf numFmtId="0" fontId="2" fillId="2" borderId="12" xfId="0" applyFont="1" applyFill="1" applyBorder="1"/>
    <xf numFmtId="0" fontId="2" fillId="0" borderId="0" xfId="0" applyFont="1" applyBorder="1"/>
    <xf numFmtId="0" fontId="2" fillId="0" borderId="9" xfId="0" applyFont="1" applyBorder="1"/>
    <xf numFmtId="0" fontId="2" fillId="2" borderId="11" xfId="0" applyFont="1" applyFill="1" applyBorder="1"/>
    <xf numFmtId="0" fontId="2" fillId="0" borderId="27" xfId="0" applyFont="1" applyBorder="1"/>
    <xf numFmtId="0" fontId="2" fillId="0" borderId="12" xfId="0" applyFont="1" applyBorder="1"/>
    <xf numFmtId="0" fontId="2" fillId="0" borderId="12" xfId="0" applyFont="1" applyBorder="1" applyAlignment="1">
      <alignment horizontal="center"/>
    </xf>
    <xf numFmtId="9" fontId="0" fillId="0" borderId="0" xfId="2" applyFont="1"/>
    <xf numFmtId="9" fontId="0" fillId="0" borderId="20" xfId="2" applyFont="1" applyBorder="1"/>
    <xf numFmtId="9" fontId="0" fillId="0" borderId="14" xfId="2" applyFont="1" applyBorder="1"/>
    <xf numFmtId="9" fontId="0" fillId="7" borderId="14" xfId="2" applyFont="1" applyFill="1" applyBorder="1"/>
    <xf numFmtId="9" fontId="0" fillId="7" borderId="14" xfId="2" applyFont="1" applyFill="1" applyBorder="1" applyAlignment="1">
      <alignment horizontal="center"/>
    </xf>
    <xf numFmtId="0" fontId="6" fillId="0" borderId="0" xfId="0" applyFont="1"/>
    <xf numFmtId="0" fontId="0" fillId="6" borderId="11" xfId="0" applyFill="1" applyBorder="1"/>
    <xf numFmtId="0" fontId="6" fillId="5" borderId="11" xfId="0" applyFont="1" applyFill="1" applyBorder="1"/>
    <xf numFmtId="0" fontId="5" fillId="0" borderId="11" xfId="0" applyFont="1" applyBorder="1"/>
    <xf numFmtId="0" fontId="7" fillId="0" borderId="0" xfId="0" applyFont="1" applyAlignment="1">
      <alignment vertical="center"/>
    </xf>
    <xf numFmtId="0" fontId="8" fillId="0" borderId="0" xfId="0" applyFont="1" applyAlignment="1">
      <alignment horizontal="left" vertical="center" indent="5"/>
    </xf>
    <xf numFmtId="0" fontId="2" fillId="9" borderId="11" xfId="0" applyFont="1" applyFill="1" applyBorder="1"/>
    <xf numFmtId="0" fontId="6" fillId="0" borderId="11" xfId="0" applyFont="1" applyBorder="1"/>
    <xf numFmtId="0" fontId="0" fillId="9" borderId="34" xfId="0" applyFill="1" applyBorder="1"/>
    <xf numFmtId="0" fontId="0" fillId="0" borderId="35" xfId="0" applyBorder="1"/>
    <xf numFmtId="0" fontId="0" fillId="0" borderId="13" xfId="0" applyBorder="1"/>
    <xf numFmtId="0" fontId="0" fillId="9" borderId="18" xfId="0" applyFill="1" applyBorder="1"/>
    <xf numFmtId="0" fontId="0" fillId="0" borderId="0" xfId="0" applyBorder="1"/>
    <xf numFmtId="0" fontId="0" fillId="0" borderId="9" xfId="0" applyBorder="1"/>
    <xf numFmtId="0" fontId="0" fillId="0" borderId="36" xfId="0" applyBorder="1"/>
    <xf numFmtId="0" fontId="5" fillId="5" borderId="11" xfId="0" applyFont="1" applyFill="1" applyBorder="1"/>
    <xf numFmtId="0" fontId="0" fillId="0" borderId="38" xfId="0" applyBorder="1"/>
    <xf numFmtId="0" fontId="0" fillId="0" borderId="5" xfId="0" applyBorder="1"/>
    <xf numFmtId="0" fontId="0" fillId="0" borderId="0" xfId="0" applyAlignment="1">
      <alignment horizontal="center"/>
    </xf>
    <xf numFmtId="0" fontId="0" fillId="4" borderId="11" xfId="0" applyFill="1" applyBorder="1" applyAlignment="1">
      <alignment horizontal="center"/>
    </xf>
    <xf numFmtId="0" fontId="0" fillId="10" borderId="11" xfId="0" applyFill="1" applyBorder="1" applyAlignment="1">
      <alignment vertical="center"/>
    </xf>
    <xf numFmtId="0" fontId="2" fillId="0" borderId="11" xfId="0" applyFont="1" applyBorder="1" applyAlignment="1">
      <alignment vertical="center"/>
    </xf>
    <xf numFmtId="0" fontId="0" fillId="0" borderId="11" xfId="0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2" fillId="4" borderId="11" xfId="0" applyFont="1" applyFill="1" applyBorder="1" applyAlignment="1">
      <alignment vertical="center" wrapText="1"/>
    </xf>
    <xf numFmtId="0" fontId="0" fillId="4" borderId="0" xfId="0" applyFill="1" applyAlignment="1">
      <alignment vertical="center"/>
    </xf>
    <xf numFmtId="0" fontId="0" fillId="0" borderId="0" xfId="0" applyAlignment="1">
      <alignment vertical="center" wrapText="1"/>
    </xf>
    <xf numFmtId="0" fontId="2" fillId="0" borderId="11" xfId="0" applyFont="1" applyFill="1" applyBorder="1" applyAlignment="1">
      <alignment vertical="center" wrapText="1"/>
    </xf>
    <xf numFmtId="0" fontId="2" fillId="2" borderId="11" xfId="0" applyFont="1" applyFill="1" applyBorder="1" applyAlignment="1">
      <alignment vertical="center" wrapText="1"/>
    </xf>
    <xf numFmtId="0" fontId="0" fillId="5" borderId="11" xfId="0" applyFont="1" applyFill="1" applyBorder="1" applyAlignment="1">
      <alignment horizontal="center"/>
    </xf>
    <xf numFmtId="0" fontId="0" fillId="5" borderId="11" xfId="0" applyFill="1" applyBorder="1" applyAlignment="1">
      <alignment horizontal="center"/>
    </xf>
    <xf numFmtId="0" fontId="2" fillId="2" borderId="11" xfId="0" applyFont="1" applyFill="1" applyBorder="1" applyAlignment="1">
      <alignment vertical="center"/>
    </xf>
    <xf numFmtId="0" fontId="0" fillId="2" borderId="19" xfId="0" applyFont="1" applyFill="1" applyBorder="1" applyAlignment="1">
      <alignment vertical="center"/>
    </xf>
    <xf numFmtId="0" fontId="0" fillId="5" borderId="10" xfId="0" applyFill="1" applyBorder="1"/>
    <xf numFmtId="175" fontId="0" fillId="6" borderId="10" xfId="0" applyNumberFormat="1" applyFill="1" applyBorder="1"/>
    <xf numFmtId="0" fontId="0" fillId="0" borderId="0" xfId="0" applyFont="1" applyAlignment="1">
      <alignment vertical="center"/>
    </xf>
    <xf numFmtId="9" fontId="0" fillId="0" borderId="0" xfId="0" applyNumberFormat="1" applyFont="1" applyAlignment="1">
      <alignment vertical="center"/>
    </xf>
    <xf numFmtId="9" fontId="0" fillId="0" borderId="10" xfId="0" applyNumberFormat="1" applyBorder="1" applyAlignment="1">
      <alignment vertical="center" wrapText="1"/>
    </xf>
    <xf numFmtId="9" fontId="0" fillId="0" borderId="39" xfId="0" applyNumberFormat="1" applyBorder="1" applyAlignment="1">
      <alignment vertical="center" wrapText="1"/>
    </xf>
    <xf numFmtId="9" fontId="0" fillId="0" borderId="10" xfId="0" applyNumberFormat="1" applyFont="1" applyFill="1" applyBorder="1" applyAlignment="1">
      <alignment vertical="center" wrapText="1"/>
    </xf>
    <xf numFmtId="9" fontId="0" fillId="0" borderId="10" xfId="0" applyNumberFormat="1" applyFont="1" applyBorder="1" applyAlignment="1">
      <alignment vertical="center" wrapText="1"/>
    </xf>
    <xf numFmtId="0" fontId="2" fillId="2" borderId="0" xfId="0" applyFont="1" applyFill="1" applyBorder="1" applyAlignment="1">
      <alignment horizontal="center" vertical="center"/>
    </xf>
    <xf numFmtId="0" fontId="0" fillId="0" borderId="12" xfId="0" applyBorder="1" applyAlignment="1">
      <alignment vertical="center" wrapText="1"/>
    </xf>
    <xf numFmtId="0" fontId="0" fillId="0" borderId="10" xfId="0" applyBorder="1" applyAlignment="1">
      <alignment vertical="center" wrapText="1"/>
    </xf>
    <xf numFmtId="0" fontId="0" fillId="0" borderId="12" xfId="0" applyFont="1" applyFill="1" applyBorder="1" applyAlignment="1">
      <alignment vertical="center" wrapText="1"/>
    </xf>
    <xf numFmtId="0" fontId="0" fillId="0" borderId="11" xfId="0" applyFont="1" applyFill="1" applyBorder="1" applyAlignment="1">
      <alignment vertical="center" wrapText="1"/>
    </xf>
    <xf numFmtId="0" fontId="0" fillId="0" borderId="10" xfId="0" applyFont="1" applyFill="1" applyBorder="1" applyAlignment="1">
      <alignment vertical="center" wrapText="1"/>
    </xf>
    <xf numFmtId="0" fontId="0" fillId="0" borderId="12" xfId="0" applyFont="1" applyBorder="1" applyAlignment="1">
      <alignment vertical="center" wrapText="1"/>
    </xf>
    <xf numFmtId="0" fontId="0" fillId="0" borderId="11" xfId="0" applyFont="1" applyBorder="1" applyAlignment="1">
      <alignment vertical="center" wrapText="1"/>
    </xf>
    <xf numFmtId="0" fontId="0" fillId="0" borderId="10" xfId="0" applyFont="1" applyBorder="1" applyAlignment="1">
      <alignment vertical="center" wrapText="1"/>
    </xf>
    <xf numFmtId="0" fontId="2" fillId="2" borderId="16" xfId="0" applyFont="1" applyFill="1" applyBorder="1" applyAlignment="1">
      <alignment horizontal="center" vertical="center"/>
    </xf>
    <xf numFmtId="0" fontId="0" fillId="0" borderId="16" xfId="0" applyBorder="1" applyAlignment="1">
      <alignment horizontal="left" vertical="center" indent="13"/>
    </xf>
    <xf numFmtId="0" fontId="0" fillId="2" borderId="21" xfId="0" applyFill="1" applyBorder="1" applyAlignment="1">
      <alignment horizontal="center"/>
    </xf>
    <xf numFmtId="176" fontId="0" fillId="0" borderId="15" xfId="1" applyNumberFormat="1" applyFont="1" applyBorder="1" applyAlignment="1">
      <alignment horizontal="left" vertical="center" indent="13"/>
    </xf>
    <xf numFmtId="177" fontId="0" fillId="0" borderId="0" xfId="1" applyNumberFormat="1" applyFont="1"/>
    <xf numFmtId="0" fontId="2" fillId="8" borderId="11" xfId="0" applyFont="1" applyFill="1" applyBorder="1"/>
    <xf numFmtId="9" fontId="2" fillId="11" borderId="11" xfId="2" applyFont="1" applyFill="1" applyBorder="1" applyAlignment="1">
      <alignment horizontal="center"/>
    </xf>
    <xf numFmtId="0" fontId="0" fillId="12" borderId="0" xfId="0" applyFill="1"/>
    <xf numFmtId="0" fontId="0" fillId="13" borderId="0" xfId="0" applyFill="1"/>
    <xf numFmtId="10" fontId="0" fillId="12" borderId="0" xfId="2" applyNumberFormat="1" applyFont="1" applyFill="1"/>
    <xf numFmtId="0" fontId="10" fillId="0" borderId="11" xfId="0" applyFont="1" applyBorder="1"/>
    <xf numFmtId="177" fontId="0" fillId="14" borderId="11" xfId="1" applyNumberFormat="1" applyFont="1" applyFill="1" applyBorder="1"/>
    <xf numFmtId="0" fontId="0" fillId="14" borderId="11" xfId="0" applyFill="1" applyBorder="1"/>
    <xf numFmtId="169" fontId="0" fillId="14" borderId="11" xfId="1" applyNumberFormat="1" applyFont="1" applyFill="1" applyBorder="1"/>
    <xf numFmtId="0" fontId="10" fillId="14" borderId="11" xfId="0" applyFont="1" applyFill="1" applyBorder="1"/>
    <xf numFmtId="0" fontId="5" fillId="14" borderId="11" xfId="0" applyFont="1" applyFill="1" applyBorder="1"/>
    <xf numFmtId="0" fontId="11" fillId="14" borderId="11" xfId="3" applyFill="1" applyBorder="1"/>
    <xf numFmtId="0" fontId="12" fillId="0" borderId="0" xfId="0" applyFont="1" applyFill="1" applyAlignment="1">
      <alignment vertical="center" wrapText="1"/>
    </xf>
    <xf numFmtId="0" fontId="0" fillId="15" borderId="11" xfId="0" applyFill="1" applyBorder="1" applyAlignment="1">
      <alignment wrapText="1"/>
    </xf>
    <xf numFmtId="0" fontId="13" fillId="15" borderId="11" xfId="0" applyFont="1" applyFill="1" applyBorder="1" applyAlignment="1" applyProtection="1">
      <alignment vertical="center" wrapText="1"/>
    </xf>
    <xf numFmtId="0" fontId="14" fillId="15" borderId="11" xfId="0" applyFont="1" applyFill="1" applyBorder="1" applyAlignment="1">
      <alignment vertical="center" wrapText="1"/>
    </xf>
    <xf numFmtId="0" fontId="2" fillId="15" borderId="11" xfId="0" applyFont="1" applyFill="1" applyBorder="1" applyAlignment="1">
      <alignment wrapText="1"/>
    </xf>
    <xf numFmtId="0" fontId="12" fillId="15" borderId="11" xfId="0" applyFont="1" applyFill="1" applyBorder="1" applyAlignment="1">
      <alignment vertical="center" wrapText="1"/>
    </xf>
    <xf numFmtId="0" fontId="0" fillId="4" borderId="18" xfId="0" applyFill="1" applyBorder="1"/>
    <xf numFmtId="0" fontId="0" fillId="4" borderId="14" xfId="0" applyFill="1" applyBorder="1"/>
    <xf numFmtId="169" fontId="0" fillId="4" borderId="0" xfId="1" applyNumberFormat="1" applyFont="1" applyFill="1"/>
    <xf numFmtId="173" fontId="0" fillId="4" borderId="0" xfId="2" applyNumberFormat="1" applyFont="1" applyFill="1"/>
    <xf numFmtId="0" fontId="0" fillId="4" borderId="11" xfId="0" applyFont="1" applyFill="1" applyBorder="1" applyAlignment="1">
      <alignment horizontal="center"/>
    </xf>
    <xf numFmtId="177" fontId="0" fillId="4" borderId="11" xfId="1" applyNumberFormat="1" applyFont="1" applyFill="1" applyBorder="1" applyAlignment="1">
      <alignment horizontal="center"/>
    </xf>
    <xf numFmtId="43" fontId="0" fillId="4" borderId="11" xfId="1" applyFont="1" applyFill="1" applyBorder="1"/>
    <xf numFmtId="0" fontId="0" fillId="16" borderId="0" xfId="0" applyFill="1"/>
    <xf numFmtId="0" fontId="0" fillId="16" borderId="11" xfId="0" applyFill="1" applyBorder="1"/>
    <xf numFmtId="0" fontId="0" fillId="16" borderId="10" xfId="0" applyFill="1" applyBorder="1"/>
    <xf numFmtId="169" fontId="0" fillId="16" borderId="0" xfId="1" applyNumberFormat="1" applyFont="1" applyFill="1"/>
    <xf numFmtId="173" fontId="0" fillId="16" borderId="0" xfId="2" applyNumberFormat="1" applyFont="1" applyFill="1"/>
    <xf numFmtId="0" fontId="0" fillId="16" borderId="11" xfId="0" applyFill="1" applyBorder="1" applyAlignment="1">
      <alignment horizontal="center"/>
    </xf>
    <xf numFmtId="0" fontId="0" fillId="16" borderId="11" xfId="0" applyFont="1" applyFill="1" applyBorder="1" applyAlignment="1">
      <alignment horizontal="center"/>
    </xf>
    <xf numFmtId="177" fontId="0" fillId="16" borderId="11" xfId="1" applyNumberFormat="1" applyFont="1" applyFill="1" applyBorder="1" applyAlignment="1">
      <alignment horizontal="center"/>
    </xf>
    <xf numFmtId="43" fontId="0" fillId="16" borderId="11" xfId="1" applyFont="1" applyFill="1" applyBorder="1"/>
    <xf numFmtId="0" fontId="0" fillId="10" borderId="11" xfId="0" applyFill="1" applyBorder="1" applyAlignment="1">
      <alignment wrapText="1"/>
    </xf>
    <xf numFmtId="0" fontId="0" fillId="10" borderId="10" xfId="0" applyFill="1" applyBorder="1" applyAlignment="1">
      <alignment wrapText="1"/>
    </xf>
    <xf numFmtId="0" fontId="2" fillId="10" borderId="10" xfId="0" applyFont="1" applyFill="1" applyBorder="1" applyAlignment="1">
      <alignment wrapText="1"/>
    </xf>
    <xf numFmtId="0" fontId="2" fillId="10" borderId="41" xfId="0" applyFont="1" applyFill="1" applyBorder="1" applyAlignment="1">
      <alignment wrapText="1"/>
    </xf>
    <xf numFmtId="0" fontId="0" fillId="10" borderId="11" xfId="0" applyFill="1" applyBorder="1"/>
    <xf numFmtId="0" fontId="2" fillId="10" borderId="11" xfId="0" applyFont="1" applyFill="1" applyBorder="1" applyAlignment="1">
      <alignment wrapText="1"/>
    </xf>
    <xf numFmtId="0" fontId="4" fillId="10" borderId="19" xfId="0" applyFont="1" applyFill="1" applyBorder="1" applyAlignment="1">
      <alignment horizontal="center" vertical="center" wrapText="1"/>
    </xf>
    <xf numFmtId="0" fontId="4" fillId="10" borderId="4" xfId="0" applyFont="1" applyFill="1" applyBorder="1" applyAlignment="1">
      <alignment horizontal="center" vertical="center" wrapText="1"/>
    </xf>
    <xf numFmtId="0" fontId="2" fillId="10" borderId="11" xfId="0" applyFont="1" applyFill="1" applyBorder="1" applyAlignment="1">
      <alignment vertical="center" wrapText="1"/>
    </xf>
    <xf numFmtId="0" fontId="15" fillId="10" borderId="11" xfId="0" applyFont="1" applyFill="1" applyBorder="1" applyAlignment="1">
      <alignment vertical="center" wrapText="1"/>
    </xf>
    <xf numFmtId="0" fontId="13" fillId="10" borderId="11" xfId="0" applyFont="1" applyFill="1" applyBorder="1" applyAlignment="1" applyProtection="1">
      <alignment vertical="center" wrapText="1"/>
    </xf>
    <xf numFmtId="0" fontId="12" fillId="10" borderId="11" xfId="0" applyFont="1" applyFill="1" applyBorder="1" applyAlignment="1">
      <alignment vertical="center" wrapText="1"/>
    </xf>
    <xf numFmtId="0" fontId="2" fillId="10" borderId="11" xfId="0" applyFont="1" applyFill="1" applyBorder="1" applyAlignment="1">
      <alignment vertical="center"/>
    </xf>
    <xf numFmtId="177" fontId="0" fillId="0" borderId="11" xfId="0" applyNumberFormat="1" applyBorder="1"/>
    <xf numFmtId="177" fontId="16" fillId="0" borderId="11" xfId="0" applyNumberFormat="1" applyFont="1" applyBorder="1"/>
    <xf numFmtId="0" fontId="12" fillId="0" borderId="11" xfId="0" applyFont="1" applyFill="1" applyBorder="1" applyAlignment="1">
      <alignment vertical="center" wrapText="1"/>
    </xf>
    <xf numFmtId="0" fontId="12" fillId="16" borderId="11" xfId="0" applyFont="1" applyFill="1" applyBorder="1" applyAlignment="1">
      <alignment vertical="center" wrapText="1"/>
    </xf>
    <xf numFmtId="0" fontId="13" fillId="0" borderId="11" xfId="0" applyFont="1" applyFill="1" applyBorder="1" applyAlignment="1" applyProtection="1">
      <alignment vertical="center" wrapText="1"/>
    </xf>
    <xf numFmtId="0" fontId="13" fillId="16" borderId="11" xfId="0" applyFont="1" applyFill="1" applyBorder="1" applyAlignment="1" applyProtection="1">
      <alignment vertical="center" wrapText="1"/>
    </xf>
    <xf numFmtId="0" fontId="16" fillId="0" borderId="11" xfId="0" applyFont="1" applyBorder="1" applyAlignment="1">
      <alignment vertical="center"/>
    </xf>
    <xf numFmtId="0" fontId="0" fillId="17" borderId="0" xfId="0" applyFill="1"/>
    <xf numFmtId="0" fontId="16" fillId="0" borderId="0" xfId="0" applyFont="1"/>
    <xf numFmtId="0" fontId="10" fillId="0" borderId="0" xfId="0" applyFont="1"/>
    <xf numFmtId="0" fontId="0" fillId="0" borderId="0" xfId="0" applyAlignment="1">
      <alignment horizontal="center" wrapText="1"/>
    </xf>
    <xf numFmtId="0" fontId="0" fillId="0" borderId="24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33" xfId="0" applyFont="1" applyBorder="1" applyAlignment="1">
      <alignment horizontal="center"/>
    </xf>
    <xf numFmtId="0" fontId="0" fillId="0" borderId="31" xfId="0" applyFont="1" applyBorder="1" applyAlignment="1">
      <alignment horizontal="center"/>
    </xf>
    <xf numFmtId="0" fontId="0" fillId="0" borderId="24" xfId="0" applyFont="1" applyBorder="1" applyAlignment="1">
      <alignment horizontal="center"/>
    </xf>
    <xf numFmtId="0" fontId="0" fillId="0" borderId="22" xfId="0" applyFont="1" applyBorder="1" applyAlignment="1">
      <alignment horizontal="center"/>
    </xf>
    <xf numFmtId="9" fontId="0" fillId="7" borderId="11" xfId="0" applyNumberFormat="1" applyFill="1" applyBorder="1" applyAlignment="1">
      <alignment horizontal="center" vertical="center"/>
    </xf>
    <xf numFmtId="9" fontId="0" fillId="7" borderId="11" xfId="0" applyNumberFormat="1" applyFill="1" applyBorder="1" applyAlignment="1">
      <alignment horizontal="center"/>
    </xf>
    <xf numFmtId="0" fontId="0" fillId="7" borderId="11" xfId="0" applyFill="1" applyBorder="1" applyAlignment="1">
      <alignment horizontal="center"/>
    </xf>
    <xf numFmtId="9" fontId="0" fillId="7" borderId="40" xfId="0" applyNumberFormat="1" applyFill="1" applyBorder="1" applyAlignment="1">
      <alignment horizontal="center" vertical="center"/>
    </xf>
    <xf numFmtId="9" fontId="0" fillId="7" borderId="40" xfId="0" applyNumberFormat="1" applyFill="1" applyBorder="1" applyAlignment="1">
      <alignment horizontal="center"/>
    </xf>
    <xf numFmtId="0" fontId="0" fillId="7" borderId="40" xfId="0" applyFill="1" applyBorder="1" applyAlignment="1">
      <alignment horizontal="center"/>
    </xf>
    <xf numFmtId="0" fontId="2" fillId="5" borderId="1" xfId="0" applyFont="1" applyFill="1" applyBorder="1" applyAlignment="1">
      <alignment horizontal="center"/>
    </xf>
    <xf numFmtId="0" fontId="2" fillId="5" borderId="2" xfId="0" applyFont="1" applyFill="1" applyBorder="1" applyAlignment="1">
      <alignment horizontal="center"/>
    </xf>
    <xf numFmtId="0" fontId="2" fillId="5" borderId="3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left"/>
    </xf>
    <xf numFmtId="0" fontId="2" fillId="4" borderId="2" xfId="0" applyFont="1" applyFill="1" applyBorder="1" applyAlignment="1">
      <alignment horizontal="left"/>
    </xf>
    <xf numFmtId="0" fontId="2" fillId="4" borderId="3" xfId="0" applyFont="1" applyFill="1" applyBorder="1" applyAlignment="1">
      <alignment horizontal="left"/>
    </xf>
    <xf numFmtId="9" fontId="0" fillId="7" borderId="7" xfId="2" applyFont="1" applyFill="1" applyBorder="1" applyAlignment="1">
      <alignment horizontal="center"/>
    </xf>
    <xf numFmtId="9" fontId="0" fillId="7" borderId="6" xfId="2" applyFont="1" applyFill="1" applyBorder="1" applyAlignment="1">
      <alignment horizontal="center"/>
    </xf>
    <xf numFmtId="9" fontId="0" fillId="7" borderId="8" xfId="2" applyFont="1" applyFill="1" applyBorder="1" applyAlignment="1">
      <alignment horizontal="center"/>
    </xf>
    <xf numFmtId="9" fontId="0" fillId="7" borderId="14" xfId="2" applyFont="1" applyFill="1" applyBorder="1" applyAlignment="1">
      <alignment horizontal="center"/>
    </xf>
    <xf numFmtId="9" fontId="0" fillId="7" borderId="18" xfId="2" applyFont="1" applyFill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30" xfId="0" applyFont="1" applyBorder="1" applyAlignment="1">
      <alignment horizontal="center"/>
    </xf>
    <xf numFmtId="0" fontId="2" fillId="0" borderId="29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2" fillId="0" borderId="33" xfId="0" applyFont="1" applyBorder="1" applyAlignment="1">
      <alignment horizontal="center"/>
    </xf>
    <xf numFmtId="0" fontId="2" fillId="0" borderId="32" xfId="0" applyFont="1" applyBorder="1" applyAlignment="1">
      <alignment horizontal="center"/>
    </xf>
    <xf numFmtId="0" fontId="2" fillId="0" borderId="31" xfId="0" applyFont="1" applyBorder="1" applyAlignment="1">
      <alignment horizontal="center"/>
    </xf>
    <xf numFmtId="0" fontId="2" fillId="0" borderId="1" xfId="0" applyFont="1" applyBorder="1" applyAlignment="1">
      <alignment horizontal="left"/>
    </xf>
    <xf numFmtId="0" fontId="2" fillId="0" borderId="2" xfId="0" applyFont="1" applyBorder="1" applyAlignment="1">
      <alignment horizontal="left"/>
    </xf>
    <xf numFmtId="0" fontId="2" fillId="0" borderId="3" xfId="0" applyFont="1" applyBorder="1" applyAlignment="1">
      <alignment horizontal="left"/>
    </xf>
    <xf numFmtId="0" fontId="0" fillId="0" borderId="38" xfId="0" applyBorder="1" applyAlignment="1">
      <alignment horizontal="left" wrapText="1"/>
    </xf>
    <xf numFmtId="0" fontId="0" fillId="0" borderId="37" xfId="0" applyBorder="1" applyAlignment="1">
      <alignment horizontal="left" wrapText="1"/>
    </xf>
    <xf numFmtId="0" fontId="0" fillId="0" borderId="0" xfId="0" applyBorder="1" applyAlignment="1">
      <alignment horizontal="left" wrapText="1"/>
    </xf>
    <xf numFmtId="0" fontId="0" fillId="0" borderId="36" xfId="0" applyBorder="1" applyAlignment="1">
      <alignment horizontal="left" wrapText="1"/>
    </xf>
    <xf numFmtId="0" fontId="0" fillId="0" borderId="29" xfId="0" applyBorder="1" applyAlignment="1">
      <alignment horizontal="center"/>
    </xf>
    <xf numFmtId="0" fontId="2" fillId="2" borderId="0" xfId="0" applyFont="1" applyFill="1" applyAlignment="1">
      <alignment horizontal="center" wrapText="1"/>
    </xf>
    <xf numFmtId="2" fontId="0" fillId="0" borderId="0" xfId="0" applyNumberFormat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43" fontId="0" fillId="0" borderId="0" xfId="0" applyNumberFormat="1"/>
  </cellXfs>
  <cellStyles count="4">
    <cellStyle name="Hipervínculo" xfId="3" builtinId="8"/>
    <cellStyle name="Millares" xfId="1" builtinId="3"/>
    <cellStyle name="Normal" xfId="0" builtinId="0"/>
    <cellStyle name="Porcentaje" xfId="2" builtinId="5"/>
  </cellStyles>
  <dxfs count="2">
    <dxf>
      <fill>
        <patternFill patternType="gray0625">
          <fgColor rgb="FFFFFF00"/>
          <bgColor rgb="FF92D050"/>
        </patternFill>
      </fill>
    </dxf>
    <dxf>
      <fill>
        <patternFill patternType="gray0625">
          <fgColor auto="1"/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257175</xdr:colOff>
      <xdr:row>9</xdr:row>
      <xdr:rowOff>85725</xdr:rowOff>
    </xdr:from>
    <xdr:to>
      <xdr:col>6</xdr:col>
      <xdr:colOff>561975</xdr:colOff>
      <xdr:row>15</xdr:row>
      <xdr:rowOff>180975</xdr:rowOff>
    </xdr:to>
    <xdr:sp macro="[0]!FILTRADO" textlink="">
      <xdr:nvSpPr>
        <xdr:cNvPr id="2" name="1 Triángulo isósceles"/>
        <xdr:cNvSpPr/>
      </xdr:nvSpPr>
      <xdr:spPr>
        <a:xfrm>
          <a:off x="3305175" y="1800225"/>
          <a:ext cx="1828800" cy="1238250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s-CO" sz="1100"/>
            <a:t>EJECUTAR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666750</xdr:colOff>
      <xdr:row>4</xdr:row>
      <xdr:rowOff>152400</xdr:rowOff>
    </xdr:from>
    <xdr:to>
      <xdr:col>8</xdr:col>
      <xdr:colOff>314325</xdr:colOff>
      <xdr:row>12</xdr:row>
      <xdr:rowOff>57150</xdr:rowOff>
    </xdr:to>
    <xdr:sp macro="[0]!RESCREDITO" textlink="">
      <xdr:nvSpPr>
        <xdr:cNvPr id="2" name="1 Rectángulo"/>
        <xdr:cNvSpPr/>
      </xdr:nvSpPr>
      <xdr:spPr>
        <a:xfrm>
          <a:off x="4533900" y="914400"/>
          <a:ext cx="3457575" cy="14287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s-MX" sz="2800"/>
            <a:t>EJECUTAR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Visitante/Desktop/MAGADALENA%20MEDIO/CREDITOS%20CORRIENTES%20Y%20VIVIENDA/1.0.%20Filtro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Visitante/Desktop/MAGADALENA%20MEDIO/CREDITOS%20CORRIENTES%20Y%20VIVIENDA/1.0.%20Filtro%20CRED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CONSOLIDADO%20ALTERNATIVO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1-CONSOLIDADO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microsoft.com/office/2006/relationships/xlExternalLinkPath/xlPathMissing" Target="PUNTOS-FIN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User"/>
      <sheetName val="Prod"/>
      <sheetName val="Validacion"/>
      <sheetName val="Tablas"/>
    </sheetNames>
    <sheetDataSet>
      <sheetData sheetId="0" refreshError="1"/>
      <sheetData sheetId="1" refreshError="1"/>
      <sheetData sheetId="2" refreshError="1"/>
      <sheetData sheetId="3">
        <row r="7">
          <cell r="B7" t="str">
            <v>Si</v>
          </cell>
          <cell r="C7" t="str">
            <v>Masculino</v>
          </cell>
          <cell r="D7" t="str">
            <v>Empleado</v>
          </cell>
        </row>
        <row r="8">
          <cell r="C8" t="str">
            <v>Femenino</v>
          </cell>
          <cell r="D8" t="str">
            <v>Dependiente</v>
          </cell>
        </row>
        <row r="9">
          <cell r="C9" t="str">
            <v>Ambos</v>
          </cell>
          <cell r="D9" t="str">
            <v>Independiente</v>
          </cell>
        </row>
        <row r="10">
          <cell r="D10" t="str">
            <v>Pensionado</v>
          </cell>
        </row>
        <row r="11">
          <cell r="D11" t="str">
            <v>Rentista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User"/>
      <sheetName val="Prod"/>
      <sheetName val="Validacion"/>
      <sheetName val="Tablas"/>
    </sheetNames>
    <sheetDataSet>
      <sheetData sheetId="0">
        <row r="2">
          <cell r="B2">
            <v>2000000</v>
          </cell>
          <cell r="C2" t="str">
            <v>No</v>
          </cell>
          <cell r="D2">
            <v>0</v>
          </cell>
          <cell r="E2" t="str">
            <v>Masculino</v>
          </cell>
          <cell r="F2">
            <v>31</v>
          </cell>
          <cell r="G2">
            <v>1</v>
          </cell>
          <cell r="H2">
            <v>200000000</v>
          </cell>
          <cell r="I2">
            <v>12</v>
          </cell>
          <cell r="J2">
            <v>60</v>
          </cell>
          <cell r="L2" t="str">
            <v>SI</v>
          </cell>
          <cell r="M2">
            <v>0</v>
          </cell>
          <cell r="N2">
            <v>60000000</v>
          </cell>
          <cell r="O2" t="str">
            <v>CANAL 1</v>
          </cell>
          <cell r="P2" t="str">
            <v>CANAL 2</v>
          </cell>
          <cell r="Q2" t="str">
            <v>CANAL 4</v>
          </cell>
        </row>
      </sheetData>
      <sheetData sheetId="1">
        <row r="2">
          <cell r="AU2" t="str">
            <v>CANAL 1</v>
          </cell>
          <cell r="AV2" t="str">
            <v>CANAL 2</v>
          </cell>
          <cell r="AW2" t="str">
            <v>CANAL 3</v>
          </cell>
          <cell r="AX2" t="str">
            <v>CANAL 4</v>
          </cell>
          <cell r="AY2" t="str">
            <v>CANAL 5</v>
          </cell>
          <cell r="AZ2" t="str">
            <v>CANAL 6</v>
          </cell>
          <cell r="BA2" t="str">
            <v>CANAL 7</v>
          </cell>
          <cell r="BB2" t="str">
            <v>CANAL 8</v>
          </cell>
          <cell r="BC2" t="str">
            <v>CANAL 9</v>
          </cell>
          <cell r="BD2" t="str">
            <v>CANAL 10</v>
          </cell>
          <cell r="BE2" t="str">
            <v>CANAL 11</v>
          </cell>
          <cell r="BF2" t="str">
            <v>CANAL 12</v>
          </cell>
          <cell r="BG2" t="str">
            <v>CANAL 13</v>
          </cell>
          <cell r="BH2" t="str">
            <v>CANAL 14</v>
          </cell>
          <cell r="BI2" t="str">
            <v>CANAL 15</v>
          </cell>
          <cell r="BJ2" t="str">
            <v>CANAL 16</v>
          </cell>
          <cell r="BK2" t="str">
            <v>CANAL 17</v>
          </cell>
          <cell r="BL2" t="str">
            <v>CANAL 18</v>
          </cell>
          <cell r="BM2" t="str">
            <v>CANAL 19</v>
          </cell>
          <cell r="BN2" t="str">
            <v>CANAL 20</v>
          </cell>
          <cell r="BO2" t="str">
            <v>CANAL 21</v>
          </cell>
          <cell r="BP2" t="str">
            <v>CANAL 22</v>
          </cell>
        </row>
        <row r="3">
          <cell r="AU3">
            <v>7000</v>
          </cell>
          <cell r="AV3">
            <v>0</v>
          </cell>
          <cell r="AW3">
            <v>2500</v>
          </cell>
          <cell r="AX3">
            <v>4000</v>
          </cell>
          <cell r="AY3">
            <v>6500</v>
          </cell>
          <cell r="AZ3">
            <v>10000</v>
          </cell>
          <cell r="BA3">
            <v>3000</v>
          </cell>
          <cell r="BB3">
            <v>6500</v>
          </cell>
          <cell r="BC3">
            <v>5000</v>
          </cell>
          <cell r="BD3">
            <v>2000</v>
          </cell>
          <cell r="BE3">
            <v>6000</v>
          </cell>
          <cell r="BF3">
            <v>4500</v>
          </cell>
          <cell r="BG3">
            <v>5500</v>
          </cell>
          <cell r="BH3">
            <v>9000</v>
          </cell>
          <cell r="BI3">
            <v>4500</v>
          </cell>
          <cell r="BJ3">
            <v>7000</v>
          </cell>
          <cell r="BK3">
            <v>7500</v>
          </cell>
          <cell r="BL3">
            <v>0</v>
          </cell>
          <cell r="BM3">
            <v>9500</v>
          </cell>
          <cell r="BN3">
            <v>5500</v>
          </cell>
          <cell r="BO3">
            <v>2000</v>
          </cell>
          <cell r="BP3">
            <v>6500</v>
          </cell>
        </row>
        <row r="4">
          <cell r="C4" t="str">
            <v>Si</v>
          </cell>
          <cell r="D4">
            <v>1071200</v>
          </cell>
          <cell r="E4">
            <v>99999999</v>
          </cell>
          <cell r="F4" t="str">
            <v>Ambos</v>
          </cell>
          <cell r="G4">
            <v>18</v>
          </cell>
          <cell r="H4">
            <v>65</v>
          </cell>
          <cell r="I4" t="str">
            <v>SI</v>
          </cell>
          <cell r="J4" t="str">
            <v>NO</v>
          </cell>
          <cell r="K4" t="str">
            <v>SI</v>
          </cell>
          <cell r="L4">
            <v>0</v>
          </cell>
          <cell r="M4">
            <v>0</v>
          </cell>
          <cell r="N4">
            <v>0</v>
          </cell>
          <cell r="O4">
            <v>0</v>
          </cell>
          <cell r="Q4">
            <v>0</v>
          </cell>
          <cell r="W4">
            <v>0</v>
          </cell>
          <cell r="AU4">
            <v>2500</v>
          </cell>
          <cell r="AV4">
            <v>5000</v>
          </cell>
          <cell r="AW4">
            <v>9500</v>
          </cell>
          <cell r="AX4">
            <v>500</v>
          </cell>
          <cell r="AY4">
            <v>5500</v>
          </cell>
          <cell r="AZ4">
            <v>6500</v>
          </cell>
          <cell r="BA4">
            <v>7500</v>
          </cell>
          <cell r="BB4">
            <v>8500</v>
          </cell>
          <cell r="BC4">
            <v>6000</v>
          </cell>
          <cell r="BD4">
            <v>6000</v>
          </cell>
          <cell r="BE4">
            <v>6500</v>
          </cell>
          <cell r="BF4">
            <v>8000</v>
          </cell>
          <cell r="BG4">
            <v>4000</v>
          </cell>
          <cell r="BH4">
            <v>8000</v>
          </cell>
          <cell r="BI4">
            <v>500</v>
          </cell>
          <cell r="BJ4">
            <v>1000</v>
          </cell>
          <cell r="BK4">
            <v>0</v>
          </cell>
          <cell r="BL4">
            <v>4500</v>
          </cell>
          <cell r="BM4">
            <v>7000</v>
          </cell>
          <cell r="BN4">
            <v>6500</v>
          </cell>
          <cell r="BO4">
            <v>7000</v>
          </cell>
          <cell r="BP4">
            <v>6500</v>
          </cell>
        </row>
        <row r="5">
          <cell r="D5">
            <v>2000000</v>
          </cell>
          <cell r="E5">
            <v>99999999</v>
          </cell>
          <cell r="F5" t="str">
            <v>Ambos</v>
          </cell>
          <cell r="G5">
            <v>25</v>
          </cell>
          <cell r="H5">
            <v>65</v>
          </cell>
          <cell r="I5" t="str">
            <v>SI</v>
          </cell>
          <cell r="J5" t="str">
            <v>SI</v>
          </cell>
          <cell r="K5" t="str">
            <v>SI</v>
          </cell>
          <cell r="L5">
            <v>0</v>
          </cell>
          <cell r="N5">
            <v>0</v>
          </cell>
          <cell r="Q5">
            <v>0</v>
          </cell>
          <cell r="W5">
            <v>0</v>
          </cell>
          <cell r="AU5">
            <v>500</v>
          </cell>
          <cell r="AV5">
            <v>9500</v>
          </cell>
          <cell r="AW5">
            <v>4500</v>
          </cell>
          <cell r="AX5">
            <v>0</v>
          </cell>
          <cell r="AY5">
            <v>9500</v>
          </cell>
          <cell r="AZ5">
            <v>4500</v>
          </cell>
          <cell r="BA5">
            <v>4000</v>
          </cell>
          <cell r="BB5">
            <v>4500</v>
          </cell>
          <cell r="BC5">
            <v>1500</v>
          </cell>
          <cell r="BD5">
            <v>5000</v>
          </cell>
          <cell r="BE5">
            <v>8500</v>
          </cell>
          <cell r="BF5">
            <v>3000</v>
          </cell>
          <cell r="BG5">
            <v>4000</v>
          </cell>
          <cell r="BH5">
            <v>5500</v>
          </cell>
          <cell r="BI5">
            <v>7500</v>
          </cell>
          <cell r="BJ5">
            <v>7000</v>
          </cell>
          <cell r="BK5">
            <v>6500</v>
          </cell>
          <cell r="BL5">
            <v>7000</v>
          </cell>
          <cell r="BM5">
            <v>3500</v>
          </cell>
          <cell r="BN5">
            <v>9000</v>
          </cell>
          <cell r="BO5">
            <v>9500</v>
          </cell>
          <cell r="BP5">
            <v>10000</v>
          </cell>
        </row>
        <row r="6">
          <cell r="D6">
            <v>3749200</v>
          </cell>
          <cell r="E6">
            <v>99999999</v>
          </cell>
          <cell r="F6" t="str">
            <v>Ambos</v>
          </cell>
          <cell r="G6">
            <v>18</v>
          </cell>
          <cell r="H6">
            <v>65</v>
          </cell>
          <cell r="L6">
            <v>0</v>
          </cell>
          <cell r="N6">
            <v>0</v>
          </cell>
          <cell r="Q6">
            <v>0</v>
          </cell>
          <cell r="W6">
            <v>0</v>
          </cell>
          <cell r="AU6">
            <v>4000</v>
          </cell>
          <cell r="AV6">
            <v>500</v>
          </cell>
          <cell r="AW6">
            <v>5500</v>
          </cell>
          <cell r="AX6">
            <v>7000</v>
          </cell>
          <cell r="AY6">
            <v>3000</v>
          </cell>
          <cell r="AZ6">
            <v>6000</v>
          </cell>
          <cell r="BA6">
            <v>2000</v>
          </cell>
          <cell r="BB6">
            <v>6500</v>
          </cell>
          <cell r="BC6">
            <v>9000</v>
          </cell>
          <cell r="BD6">
            <v>7500</v>
          </cell>
          <cell r="BE6">
            <v>0</v>
          </cell>
          <cell r="BF6">
            <v>8500</v>
          </cell>
          <cell r="BG6">
            <v>9500</v>
          </cell>
          <cell r="BH6">
            <v>7500</v>
          </cell>
          <cell r="BI6">
            <v>8000</v>
          </cell>
          <cell r="BJ6">
            <v>6500</v>
          </cell>
          <cell r="BK6">
            <v>7500</v>
          </cell>
          <cell r="BL6">
            <v>8000</v>
          </cell>
          <cell r="BM6">
            <v>4500</v>
          </cell>
          <cell r="BN6">
            <v>7000</v>
          </cell>
          <cell r="BO6">
            <v>6500</v>
          </cell>
          <cell r="BP6">
            <v>2500</v>
          </cell>
        </row>
        <row r="7">
          <cell r="D7">
            <v>2142400</v>
          </cell>
          <cell r="E7">
            <v>10000000</v>
          </cell>
          <cell r="F7" t="str">
            <v>Ambos</v>
          </cell>
          <cell r="G7">
            <v>18</v>
          </cell>
          <cell r="H7">
            <v>65</v>
          </cell>
          <cell r="I7" t="str">
            <v>SI</v>
          </cell>
          <cell r="J7" t="str">
            <v>SI</v>
          </cell>
          <cell r="K7" t="str">
            <v>SI</v>
          </cell>
          <cell r="L7">
            <v>0</v>
          </cell>
          <cell r="N7">
            <v>0</v>
          </cell>
          <cell r="Q7">
            <v>0</v>
          </cell>
          <cell r="W7">
            <v>0</v>
          </cell>
          <cell r="AU7">
            <v>8000</v>
          </cell>
          <cell r="AV7">
            <v>7500</v>
          </cell>
          <cell r="AW7">
            <v>0</v>
          </cell>
          <cell r="AX7">
            <v>1500</v>
          </cell>
          <cell r="AY7">
            <v>3000</v>
          </cell>
          <cell r="AZ7">
            <v>500</v>
          </cell>
          <cell r="BA7">
            <v>9000</v>
          </cell>
          <cell r="BB7">
            <v>0</v>
          </cell>
          <cell r="BC7">
            <v>7500</v>
          </cell>
          <cell r="BD7">
            <v>5000</v>
          </cell>
          <cell r="BE7">
            <v>7000</v>
          </cell>
          <cell r="BF7">
            <v>7500</v>
          </cell>
          <cell r="BG7">
            <v>4000</v>
          </cell>
          <cell r="BH7">
            <v>8000</v>
          </cell>
          <cell r="BI7">
            <v>2500</v>
          </cell>
          <cell r="BJ7">
            <v>2000</v>
          </cell>
          <cell r="BK7">
            <v>8000</v>
          </cell>
          <cell r="BL7">
            <v>7500</v>
          </cell>
          <cell r="BM7">
            <v>7500</v>
          </cell>
          <cell r="BN7">
            <v>6500</v>
          </cell>
          <cell r="BO7">
            <v>5000</v>
          </cell>
          <cell r="BP7">
            <v>0</v>
          </cell>
        </row>
        <row r="8">
          <cell r="D8">
            <v>1606800</v>
          </cell>
          <cell r="E8">
            <v>99999999</v>
          </cell>
          <cell r="F8" t="str">
            <v>Ambos</v>
          </cell>
          <cell r="G8">
            <v>30</v>
          </cell>
          <cell r="H8">
            <v>65</v>
          </cell>
          <cell r="I8" t="str">
            <v>SI</v>
          </cell>
          <cell r="J8" t="str">
            <v>SI</v>
          </cell>
          <cell r="K8" t="str">
            <v>NO</v>
          </cell>
          <cell r="L8">
            <v>0</v>
          </cell>
          <cell r="N8">
            <v>0</v>
          </cell>
          <cell r="Q8">
            <v>0</v>
          </cell>
          <cell r="W8">
            <v>0</v>
          </cell>
          <cell r="AU8">
            <v>9500</v>
          </cell>
          <cell r="AV8">
            <v>1500</v>
          </cell>
          <cell r="AW8">
            <v>1000</v>
          </cell>
          <cell r="AX8">
            <v>5000</v>
          </cell>
          <cell r="AY8">
            <v>4000</v>
          </cell>
          <cell r="AZ8">
            <v>10000</v>
          </cell>
          <cell r="BA8">
            <v>3500</v>
          </cell>
          <cell r="BB8">
            <v>6000</v>
          </cell>
          <cell r="BC8">
            <v>6000</v>
          </cell>
          <cell r="BD8">
            <v>6500</v>
          </cell>
          <cell r="BE8">
            <v>2500</v>
          </cell>
          <cell r="BF8">
            <v>500</v>
          </cell>
          <cell r="BG8">
            <v>6000</v>
          </cell>
          <cell r="BH8">
            <v>1500</v>
          </cell>
          <cell r="BI8">
            <v>7000</v>
          </cell>
          <cell r="BJ8">
            <v>4000</v>
          </cell>
          <cell r="BK8">
            <v>3000</v>
          </cell>
          <cell r="BL8">
            <v>2500</v>
          </cell>
          <cell r="BM8">
            <v>3000</v>
          </cell>
          <cell r="BN8">
            <v>7500</v>
          </cell>
          <cell r="BO8">
            <v>7500</v>
          </cell>
          <cell r="BP8">
            <v>0</v>
          </cell>
        </row>
        <row r="9">
          <cell r="D9">
            <v>2678000</v>
          </cell>
          <cell r="E9">
            <v>99999999</v>
          </cell>
          <cell r="F9" t="str">
            <v>Ambos</v>
          </cell>
          <cell r="G9">
            <v>18</v>
          </cell>
          <cell r="H9">
            <v>65</v>
          </cell>
          <cell r="I9" t="str">
            <v>SI</v>
          </cell>
          <cell r="J9" t="str">
            <v>NO</v>
          </cell>
          <cell r="K9" t="str">
            <v>SI</v>
          </cell>
          <cell r="L9">
            <v>0</v>
          </cell>
          <cell r="N9">
            <v>0</v>
          </cell>
          <cell r="Q9">
            <v>0</v>
          </cell>
          <cell r="W9">
            <v>0</v>
          </cell>
          <cell r="AU9">
            <v>5500</v>
          </cell>
          <cell r="AV9">
            <v>3500</v>
          </cell>
          <cell r="AW9">
            <v>4500</v>
          </cell>
          <cell r="AX9">
            <v>10000</v>
          </cell>
          <cell r="AY9">
            <v>9000</v>
          </cell>
          <cell r="AZ9">
            <v>4000</v>
          </cell>
          <cell r="BA9">
            <v>5000</v>
          </cell>
          <cell r="BB9">
            <v>4000</v>
          </cell>
          <cell r="BC9">
            <v>8000</v>
          </cell>
          <cell r="BD9">
            <v>8500</v>
          </cell>
          <cell r="BE9">
            <v>3500</v>
          </cell>
          <cell r="BF9">
            <v>6000</v>
          </cell>
          <cell r="BG9">
            <v>5500</v>
          </cell>
          <cell r="BH9">
            <v>7500</v>
          </cell>
          <cell r="BI9">
            <v>7000</v>
          </cell>
          <cell r="BJ9">
            <v>1500</v>
          </cell>
          <cell r="BK9">
            <v>0</v>
          </cell>
          <cell r="BL9">
            <v>5000</v>
          </cell>
          <cell r="BM9">
            <v>4500</v>
          </cell>
          <cell r="BN9">
            <v>7500</v>
          </cell>
          <cell r="BO9">
            <v>500</v>
          </cell>
          <cell r="BP9">
            <v>5000</v>
          </cell>
        </row>
        <row r="10">
          <cell r="D10">
            <v>2678000</v>
          </cell>
          <cell r="E10">
            <v>99999999</v>
          </cell>
          <cell r="F10" t="str">
            <v>Ambos</v>
          </cell>
          <cell r="G10">
            <v>18</v>
          </cell>
          <cell r="H10">
            <v>65</v>
          </cell>
          <cell r="I10" t="str">
            <v>SI</v>
          </cell>
          <cell r="J10" t="str">
            <v>SI</v>
          </cell>
          <cell r="K10" t="str">
            <v>SI</v>
          </cell>
          <cell r="L10">
            <v>0</v>
          </cell>
          <cell r="N10">
            <v>0</v>
          </cell>
          <cell r="Q10">
            <v>0</v>
          </cell>
          <cell r="W10">
            <v>0</v>
          </cell>
          <cell r="AU10">
            <v>2500</v>
          </cell>
          <cell r="AV10">
            <v>6000</v>
          </cell>
          <cell r="AW10">
            <v>7000</v>
          </cell>
          <cell r="AX10">
            <v>3500</v>
          </cell>
          <cell r="AY10">
            <v>3500</v>
          </cell>
          <cell r="AZ10">
            <v>0</v>
          </cell>
          <cell r="BA10">
            <v>0</v>
          </cell>
          <cell r="BB10">
            <v>1000</v>
          </cell>
          <cell r="BC10">
            <v>2500</v>
          </cell>
          <cell r="BD10">
            <v>3000</v>
          </cell>
          <cell r="BE10">
            <v>5000</v>
          </cell>
          <cell r="BF10">
            <v>0</v>
          </cell>
          <cell r="BG10">
            <v>2000</v>
          </cell>
          <cell r="BH10">
            <v>9500</v>
          </cell>
          <cell r="BI10">
            <v>7500</v>
          </cell>
          <cell r="BJ10">
            <v>9000</v>
          </cell>
          <cell r="BK10">
            <v>1500</v>
          </cell>
          <cell r="BL10">
            <v>10000</v>
          </cell>
          <cell r="BM10">
            <v>10000</v>
          </cell>
          <cell r="BN10">
            <v>6000</v>
          </cell>
          <cell r="BO10">
            <v>8500</v>
          </cell>
          <cell r="BP10">
            <v>500</v>
          </cell>
        </row>
        <row r="11">
          <cell r="D11">
            <v>1071200</v>
          </cell>
          <cell r="E11">
            <v>99999999</v>
          </cell>
          <cell r="F11" t="str">
            <v>Ambos</v>
          </cell>
          <cell r="G11">
            <v>18</v>
          </cell>
          <cell r="H11">
            <v>60</v>
          </cell>
          <cell r="L11">
            <v>0</v>
          </cell>
          <cell r="N11">
            <v>0</v>
          </cell>
          <cell r="Q11">
            <v>0</v>
          </cell>
          <cell r="W11">
            <v>0</v>
          </cell>
          <cell r="AU11">
            <v>9000</v>
          </cell>
          <cell r="AV11">
            <v>1000</v>
          </cell>
          <cell r="AW11">
            <v>3000</v>
          </cell>
          <cell r="AX11">
            <v>6500</v>
          </cell>
          <cell r="AY11">
            <v>3000</v>
          </cell>
          <cell r="AZ11">
            <v>3000</v>
          </cell>
          <cell r="BA11">
            <v>9000</v>
          </cell>
          <cell r="BB11">
            <v>8500</v>
          </cell>
          <cell r="BC11">
            <v>3500</v>
          </cell>
          <cell r="BD11">
            <v>9000</v>
          </cell>
          <cell r="BE11">
            <v>2500</v>
          </cell>
          <cell r="BF11">
            <v>5000</v>
          </cell>
          <cell r="BG11">
            <v>9500</v>
          </cell>
          <cell r="BH11">
            <v>6000</v>
          </cell>
          <cell r="BI11">
            <v>1500</v>
          </cell>
          <cell r="BJ11">
            <v>5500</v>
          </cell>
          <cell r="BK11">
            <v>4000</v>
          </cell>
          <cell r="BL11">
            <v>4000</v>
          </cell>
          <cell r="BM11">
            <v>500</v>
          </cell>
          <cell r="BN11">
            <v>4000</v>
          </cell>
          <cell r="BO11">
            <v>9500</v>
          </cell>
          <cell r="BP11">
            <v>5000</v>
          </cell>
        </row>
        <row r="12">
          <cell r="D12">
            <v>1071200</v>
          </cell>
          <cell r="E12">
            <v>99999999</v>
          </cell>
          <cell r="F12" t="str">
            <v>Ambos</v>
          </cell>
          <cell r="G12">
            <v>18</v>
          </cell>
          <cell r="H12">
            <v>65</v>
          </cell>
          <cell r="I12" t="str">
            <v>SI</v>
          </cell>
          <cell r="J12" t="str">
            <v>SI</v>
          </cell>
          <cell r="K12" t="str">
            <v>SI</v>
          </cell>
          <cell r="L12">
            <v>0</v>
          </cell>
          <cell r="N12">
            <v>0</v>
          </cell>
          <cell r="Q12">
            <v>0</v>
          </cell>
          <cell r="W12">
            <v>0</v>
          </cell>
          <cell r="AU12">
            <v>2000</v>
          </cell>
          <cell r="AV12">
            <v>4000</v>
          </cell>
          <cell r="AW12">
            <v>0</v>
          </cell>
          <cell r="AX12">
            <v>8000</v>
          </cell>
          <cell r="AY12">
            <v>4000</v>
          </cell>
          <cell r="AZ12">
            <v>3500</v>
          </cell>
          <cell r="BA12">
            <v>3500</v>
          </cell>
          <cell r="BB12">
            <v>500</v>
          </cell>
          <cell r="BC12">
            <v>5500</v>
          </cell>
          <cell r="BD12">
            <v>3500</v>
          </cell>
          <cell r="BE12">
            <v>7000</v>
          </cell>
          <cell r="BF12">
            <v>5000</v>
          </cell>
          <cell r="BG12">
            <v>500</v>
          </cell>
          <cell r="BH12">
            <v>3500</v>
          </cell>
          <cell r="BI12">
            <v>2000</v>
          </cell>
          <cell r="BJ12">
            <v>500</v>
          </cell>
          <cell r="BK12">
            <v>3000</v>
          </cell>
          <cell r="BL12">
            <v>500</v>
          </cell>
          <cell r="BM12">
            <v>2500</v>
          </cell>
          <cell r="BN12">
            <v>5500</v>
          </cell>
          <cell r="BO12">
            <v>7000</v>
          </cell>
          <cell r="BP12">
            <v>4500</v>
          </cell>
        </row>
        <row r="13">
          <cell r="D13">
            <v>1687706.66666667</v>
          </cell>
          <cell r="E13">
            <v>99999999</v>
          </cell>
          <cell r="G13">
            <v>25</v>
          </cell>
          <cell r="H13">
            <v>65</v>
          </cell>
          <cell r="I13" t="str">
            <v>SI</v>
          </cell>
          <cell r="J13" t="str">
            <v>NO</v>
          </cell>
          <cell r="K13" t="str">
            <v>SI</v>
          </cell>
          <cell r="L13">
            <v>0</v>
          </cell>
          <cell r="N13">
            <v>0</v>
          </cell>
          <cell r="Q13">
            <v>0</v>
          </cell>
          <cell r="W13">
            <v>0</v>
          </cell>
          <cell r="AU13">
            <v>8500</v>
          </cell>
          <cell r="AV13">
            <v>2500</v>
          </cell>
          <cell r="AW13">
            <v>6500</v>
          </cell>
          <cell r="AX13">
            <v>10000</v>
          </cell>
          <cell r="AY13">
            <v>7000</v>
          </cell>
          <cell r="AZ13">
            <v>0</v>
          </cell>
          <cell r="BA13">
            <v>9500</v>
          </cell>
          <cell r="BB13">
            <v>4500</v>
          </cell>
          <cell r="BC13">
            <v>1000</v>
          </cell>
          <cell r="BD13">
            <v>6000</v>
          </cell>
          <cell r="BE13">
            <v>10000</v>
          </cell>
          <cell r="BF13">
            <v>6500</v>
          </cell>
          <cell r="BG13">
            <v>6500</v>
          </cell>
          <cell r="BH13">
            <v>1500</v>
          </cell>
          <cell r="BI13">
            <v>3000</v>
          </cell>
          <cell r="BJ13">
            <v>500</v>
          </cell>
          <cell r="BK13">
            <v>7500</v>
          </cell>
          <cell r="BL13">
            <v>3500</v>
          </cell>
          <cell r="BM13">
            <v>2500</v>
          </cell>
          <cell r="BN13">
            <v>8000</v>
          </cell>
          <cell r="BO13">
            <v>5500</v>
          </cell>
          <cell r="BP13">
            <v>1500</v>
          </cell>
        </row>
        <row r="14">
          <cell r="D14">
            <v>1627100.6060606099</v>
          </cell>
          <cell r="E14">
            <v>99999999</v>
          </cell>
          <cell r="F14" t="str">
            <v>Ambos</v>
          </cell>
          <cell r="G14">
            <v>18</v>
          </cell>
          <cell r="H14">
            <v>65</v>
          </cell>
          <cell r="I14" t="str">
            <v>SI</v>
          </cell>
          <cell r="J14" t="str">
            <v>SI</v>
          </cell>
          <cell r="K14" t="str">
            <v>SI</v>
          </cell>
          <cell r="L14">
            <v>0</v>
          </cell>
          <cell r="N14">
            <v>0</v>
          </cell>
          <cell r="Q14">
            <v>0</v>
          </cell>
          <cell r="W14">
            <v>0</v>
          </cell>
          <cell r="AU14">
            <v>5500</v>
          </cell>
          <cell r="AV14">
            <v>4500</v>
          </cell>
          <cell r="AW14">
            <v>10000</v>
          </cell>
          <cell r="AX14">
            <v>4000</v>
          </cell>
          <cell r="AY14">
            <v>4500</v>
          </cell>
          <cell r="AZ14">
            <v>8000</v>
          </cell>
          <cell r="BA14">
            <v>1000</v>
          </cell>
          <cell r="BB14">
            <v>4500</v>
          </cell>
          <cell r="BC14">
            <v>0</v>
          </cell>
          <cell r="BD14">
            <v>8000</v>
          </cell>
          <cell r="BE14">
            <v>1500</v>
          </cell>
          <cell r="BF14">
            <v>9500</v>
          </cell>
          <cell r="BG14">
            <v>500</v>
          </cell>
          <cell r="BH14">
            <v>4500</v>
          </cell>
          <cell r="BI14">
            <v>9500</v>
          </cell>
          <cell r="BJ14">
            <v>9500</v>
          </cell>
          <cell r="BK14">
            <v>1000</v>
          </cell>
          <cell r="BL14">
            <v>3500</v>
          </cell>
          <cell r="BM14">
            <v>4500</v>
          </cell>
          <cell r="BN14">
            <v>1000</v>
          </cell>
          <cell r="BO14">
            <v>2500</v>
          </cell>
          <cell r="BP14">
            <v>4000</v>
          </cell>
        </row>
        <row r="15">
          <cell r="D15">
            <v>1566494.5454545501</v>
          </cell>
          <cell r="E15">
            <v>99999999</v>
          </cell>
          <cell r="F15" t="str">
            <v>Ambos</v>
          </cell>
          <cell r="G15">
            <v>18</v>
          </cell>
          <cell r="H15">
            <v>65</v>
          </cell>
          <cell r="I15" t="str">
            <v>SI</v>
          </cell>
          <cell r="J15" t="str">
            <v>SI</v>
          </cell>
          <cell r="K15" t="str">
            <v>SI</v>
          </cell>
          <cell r="L15">
            <v>0</v>
          </cell>
          <cell r="N15">
            <v>0</v>
          </cell>
          <cell r="Q15">
            <v>0</v>
          </cell>
          <cell r="W15">
            <v>0</v>
          </cell>
          <cell r="AU15">
            <v>4500</v>
          </cell>
          <cell r="AV15">
            <v>7500</v>
          </cell>
          <cell r="AW15">
            <v>8000</v>
          </cell>
          <cell r="AX15">
            <v>1500</v>
          </cell>
          <cell r="AY15">
            <v>7500</v>
          </cell>
          <cell r="AZ15">
            <v>9000</v>
          </cell>
          <cell r="BA15">
            <v>6500</v>
          </cell>
          <cell r="BB15">
            <v>0</v>
          </cell>
          <cell r="BC15">
            <v>8500</v>
          </cell>
          <cell r="BD15">
            <v>8500</v>
          </cell>
          <cell r="BE15">
            <v>7000</v>
          </cell>
          <cell r="BF15">
            <v>5500</v>
          </cell>
          <cell r="BG15">
            <v>7000</v>
          </cell>
          <cell r="BH15">
            <v>3000</v>
          </cell>
          <cell r="BI15">
            <v>9500</v>
          </cell>
          <cell r="BJ15">
            <v>10000</v>
          </cell>
          <cell r="BK15">
            <v>0</v>
          </cell>
          <cell r="BL15">
            <v>6000</v>
          </cell>
          <cell r="BM15">
            <v>1000</v>
          </cell>
          <cell r="BN15">
            <v>8000</v>
          </cell>
          <cell r="BO15">
            <v>8000</v>
          </cell>
          <cell r="BP15">
            <v>2000</v>
          </cell>
        </row>
        <row r="16">
          <cell r="D16">
            <v>1505888.48484849</v>
          </cell>
          <cell r="E16">
            <v>99999999</v>
          </cell>
          <cell r="F16" t="str">
            <v>Ambos</v>
          </cell>
          <cell r="G16">
            <v>30</v>
          </cell>
          <cell r="H16">
            <v>65</v>
          </cell>
          <cell r="I16" t="str">
            <v>SI</v>
          </cell>
          <cell r="J16" t="str">
            <v>SI</v>
          </cell>
          <cell r="K16" t="str">
            <v>NO</v>
          </cell>
          <cell r="L16">
            <v>0</v>
          </cell>
          <cell r="N16">
            <v>0</v>
          </cell>
          <cell r="Q16">
            <v>0</v>
          </cell>
          <cell r="W16">
            <v>0</v>
          </cell>
          <cell r="AU16">
            <v>5000</v>
          </cell>
          <cell r="AV16">
            <v>9500</v>
          </cell>
          <cell r="AW16">
            <v>10000</v>
          </cell>
          <cell r="AX16">
            <v>500</v>
          </cell>
          <cell r="AY16">
            <v>9500</v>
          </cell>
          <cell r="AZ16">
            <v>0</v>
          </cell>
          <cell r="BA16">
            <v>6500</v>
          </cell>
          <cell r="BB16">
            <v>0</v>
          </cell>
          <cell r="BC16">
            <v>1000</v>
          </cell>
          <cell r="BD16">
            <v>3500</v>
          </cell>
          <cell r="BE16">
            <v>0</v>
          </cell>
          <cell r="BF16">
            <v>1500</v>
          </cell>
          <cell r="BG16">
            <v>3000</v>
          </cell>
          <cell r="BH16">
            <v>3000</v>
          </cell>
          <cell r="BI16">
            <v>2500</v>
          </cell>
          <cell r="BJ16">
            <v>3000</v>
          </cell>
          <cell r="BK16">
            <v>4000</v>
          </cell>
          <cell r="BL16">
            <v>500</v>
          </cell>
          <cell r="BM16">
            <v>8500</v>
          </cell>
          <cell r="BN16">
            <v>5000</v>
          </cell>
          <cell r="BO16">
            <v>7000</v>
          </cell>
          <cell r="BP16">
            <v>9000</v>
          </cell>
        </row>
        <row r="17">
          <cell r="D17">
            <v>1445282.4242424199</v>
          </cell>
          <cell r="E17">
            <v>99999999</v>
          </cell>
          <cell r="F17" t="str">
            <v>Ambos</v>
          </cell>
          <cell r="G17">
            <v>18</v>
          </cell>
          <cell r="H17">
            <v>65</v>
          </cell>
          <cell r="I17" t="str">
            <v>SI</v>
          </cell>
          <cell r="J17" t="str">
            <v>NO</v>
          </cell>
          <cell r="K17" t="str">
            <v>SI</v>
          </cell>
          <cell r="L17">
            <v>0</v>
          </cell>
          <cell r="N17">
            <v>0</v>
          </cell>
          <cell r="Q17">
            <v>0</v>
          </cell>
          <cell r="W17">
            <v>0</v>
          </cell>
          <cell r="AU17">
            <v>7500</v>
          </cell>
          <cell r="AV17">
            <v>10000</v>
          </cell>
          <cell r="AW17">
            <v>5500</v>
          </cell>
          <cell r="AX17">
            <v>6500</v>
          </cell>
          <cell r="AY17">
            <v>4500</v>
          </cell>
          <cell r="AZ17">
            <v>6500</v>
          </cell>
          <cell r="BA17">
            <v>1500</v>
          </cell>
          <cell r="BB17">
            <v>500</v>
          </cell>
          <cell r="BC17">
            <v>8500</v>
          </cell>
          <cell r="BD17">
            <v>4000</v>
          </cell>
          <cell r="BE17">
            <v>8000</v>
          </cell>
          <cell r="BF17">
            <v>3000</v>
          </cell>
          <cell r="BG17">
            <v>8000</v>
          </cell>
          <cell r="BH17">
            <v>6000</v>
          </cell>
          <cell r="BI17">
            <v>5000</v>
          </cell>
          <cell r="BJ17">
            <v>1500</v>
          </cell>
          <cell r="BK17">
            <v>3000</v>
          </cell>
          <cell r="BL17">
            <v>5000</v>
          </cell>
          <cell r="BM17">
            <v>7500</v>
          </cell>
          <cell r="BN17">
            <v>7500</v>
          </cell>
          <cell r="BO17">
            <v>8500</v>
          </cell>
          <cell r="BP17">
            <v>8500</v>
          </cell>
        </row>
        <row r="18">
          <cell r="C18" t="str">
            <v>Si</v>
          </cell>
          <cell r="D18">
            <v>1384676.36363636</v>
          </cell>
          <cell r="E18">
            <v>99999999</v>
          </cell>
          <cell r="F18" t="str">
            <v>Ambos</v>
          </cell>
          <cell r="G18">
            <v>18</v>
          </cell>
          <cell r="H18">
            <v>65</v>
          </cell>
          <cell r="I18" t="str">
            <v>SI</v>
          </cell>
          <cell r="J18" t="str">
            <v>SI</v>
          </cell>
          <cell r="K18" t="str">
            <v>SI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Q18">
            <v>0</v>
          </cell>
          <cell r="W18">
            <v>0</v>
          </cell>
          <cell r="AU18">
            <v>10000</v>
          </cell>
          <cell r="AV18">
            <v>8500</v>
          </cell>
          <cell r="AW18">
            <v>1000</v>
          </cell>
          <cell r="AX18">
            <v>2000</v>
          </cell>
          <cell r="AY18">
            <v>7000</v>
          </cell>
          <cell r="AZ18">
            <v>10000</v>
          </cell>
          <cell r="BA18">
            <v>4000</v>
          </cell>
          <cell r="BB18">
            <v>500</v>
          </cell>
          <cell r="BC18">
            <v>6500</v>
          </cell>
          <cell r="BD18">
            <v>1500</v>
          </cell>
          <cell r="BE18">
            <v>10000</v>
          </cell>
          <cell r="BF18">
            <v>6500</v>
          </cell>
          <cell r="BG18">
            <v>5000</v>
          </cell>
          <cell r="BH18">
            <v>10000</v>
          </cell>
          <cell r="BI18">
            <v>8500</v>
          </cell>
          <cell r="BJ18">
            <v>9000</v>
          </cell>
          <cell r="BK18">
            <v>9000</v>
          </cell>
          <cell r="BL18">
            <v>6000</v>
          </cell>
          <cell r="BM18">
            <v>9000</v>
          </cell>
          <cell r="BN18">
            <v>1500</v>
          </cell>
          <cell r="BO18">
            <v>7500</v>
          </cell>
          <cell r="BP18">
            <v>8000</v>
          </cell>
        </row>
        <row r="19">
          <cell r="C19" t="str">
            <v>No</v>
          </cell>
          <cell r="D19">
            <v>1324070.3030303</v>
          </cell>
          <cell r="E19">
            <v>99999999</v>
          </cell>
          <cell r="F19" t="str">
            <v>Ambos</v>
          </cell>
          <cell r="G19">
            <v>18</v>
          </cell>
          <cell r="H19">
            <v>65</v>
          </cell>
          <cell r="I19" t="str">
            <v>SI</v>
          </cell>
          <cell r="J19" t="str">
            <v>SI</v>
          </cell>
          <cell r="K19" t="str">
            <v>SI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  <cell r="Q19">
            <v>0</v>
          </cell>
          <cell r="W19">
            <v>0</v>
          </cell>
          <cell r="AU19">
            <v>6000</v>
          </cell>
          <cell r="AV19">
            <v>6000</v>
          </cell>
          <cell r="AW19">
            <v>0</v>
          </cell>
          <cell r="AX19">
            <v>1000</v>
          </cell>
          <cell r="AY19">
            <v>3500</v>
          </cell>
          <cell r="AZ19">
            <v>8500</v>
          </cell>
          <cell r="BA19">
            <v>1500</v>
          </cell>
          <cell r="BB19">
            <v>5500</v>
          </cell>
          <cell r="BC19">
            <v>500</v>
          </cell>
          <cell r="BD19">
            <v>4500</v>
          </cell>
          <cell r="BE19">
            <v>7000</v>
          </cell>
          <cell r="BF19">
            <v>1500</v>
          </cell>
          <cell r="BG19">
            <v>0</v>
          </cell>
          <cell r="BH19">
            <v>5500</v>
          </cell>
          <cell r="BI19">
            <v>5000</v>
          </cell>
          <cell r="BJ19">
            <v>500</v>
          </cell>
          <cell r="BK19">
            <v>4500</v>
          </cell>
          <cell r="BL19">
            <v>4500</v>
          </cell>
          <cell r="BM19">
            <v>2000</v>
          </cell>
          <cell r="BN19">
            <v>9000</v>
          </cell>
          <cell r="BO19">
            <v>7500</v>
          </cell>
          <cell r="BP19">
            <v>3000</v>
          </cell>
        </row>
        <row r="20">
          <cell r="C20" t="str">
            <v>Si</v>
          </cell>
          <cell r="D20">
            <v>1263464.2424242401</v>
          </cell>
          <cell r="E20">
            <v>99999999</v>
          </cell>
          <cell r="F20" t="str">
            <v>Ambos</v>
          </cell>
          <cell r="G20">
            <v>30</v>
          </cell>
          <cell r="H20">
            <v>65</v>
          </cell>
          <cell r="I20" t="str">
            <v>SI</v>
          </cell>
          <cell r="J20" t="str">
            <v>SI</v>
          </cell>
          <cell r="K20" t="str">
            <v>SI</v>
          </cell>
          <cell r="L20">
            <v>0</v>
          </cell>
          <cell r="N20">
            <v>0</v>
          </cell>
          <cell r="Q20">
            <v>0</v>
          </cell>
          <cell r="W20">
            <v>0</v>
          </cell>
          <cell r="AU20">
            <v>6000</v>
          </cell>
          <cell r="AV20">
            <v>3500</v>
          </cell>
          <cell r="AW20">
            <v>5500</v>
          </cell>
          <cell r="AX20">
            <v>8500</v>
          </cell>
          <cell r="AY20">
            <v>4500</v>
          </cell>
          <cell r="AZ20">
            <v>4500</v>
          </cell>
          <cell r="BA20">
            <v>9500</v>
          </cell>
          <cell r="BB20">
            <v>7500</v>
          </cell>
          <cell r="BC20">
            <v>2500</v>
          </cell>
          <cell r="BD20">
            <v>500</v>
          </cell>
          <cell r="BE20">
            <v>0</v>
          </cell>
          <cell r="BF20">
            <v>3500</v>
          </cell>
          <cell r="BG20">
            <v>5500</v>
          </cell>
          <cell r="BH20">
            <v>7500</v>
          </cell>
          <cell r="BI20">
            <v>3500</v>
          </cell>
          <cell r="BJ20">
            <v>3000</v>
          </cell>
          <cell r="BK20">
            <v>0</v>
          </cell>
          <cell r="BL20">
            <v>5000</v>
          </cell>
          <cell r="BM20">
            <v>8000</v>
          </cell>
          <cell r="BN20">
            <v>5500</v>
          </cell>
          <cell r="BO20">
            <v>2000</v>
          </cell>
          <cell r="BP20">
            <v>0</v>
          </cell>
        </row>
        <row r="21">
          <cell r="C21" t="str">
            <v>Si</v>
          </cell>
          <cell r="D21">
            <v>1202858.18181818</v>
          </cell>
          <cell r="E21">
            <v>99999999</v>
          </cell>
          <cell r="F21" t="str">
            <v>Ambos</v>
          </cell>
          <cell r="G21">
            <v>18</v>
          </cell>
          <cell r="H21">
            <v>65</v>
          </cell>
          <cell r="I21" t="str">
            <v>SI</v>
          </cell>
          <cell r="J21" t="str">
            <v>SI</v>
          </cell>
          <cell r="K21" t="str">
            <v>SI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Q21">
            <v>0</v>
          </cell>
          <cell r="W21">
            <v>0</v>
          </cell>
          <cell r="AU21">
            <v>4500</v>
          </cell>
          <cell r="AV21">
            <v>6000</v>
          </cell>
          <cell r="AW21">
            <v>3000</v>
          </cell>
          <cell r="AX21">
            <v>6000</v>
          </cell>
          <cell r="AY21">
            <v>5500</v>
          </cell>
          <cell r="AZ21">
            <v>3500</v>
          </cell>
          <cell r="BA21">
            <v>2500</v>
          </cell>
          <cell r="BB21">
            <v>3500</v>
          </cell>
          <cell r="BC21">
            <v>4000</v>
          </cell>
          <cell r="BD21">
            <v>9000</v>
          </cell>
          <cell r="BE21">
            <v>3500</v>
          </cell>
          <cell r="BF21">
            <v>0</v>
          </cell>
          <cell r="BG21">
            <v>4500</v>
          </cell>
          <cell r="BH21">
            <v>2000</v>
          </cell>
          <cell r="BI21">
            <v>7500</v>
          </cell>
          <cell r="BJ21">
            <v>9000</v>
          </cell>
          <cell r="BK21">
            <v>7000</v>
          </cell>
          <cell r="BL21">
            <v>1000</v>
          </cell>
          <cell r="BM21">
            <v>8500</v>
          </cell>
          <cell r="BN21">
            <v>9500</v>
          </cell>
          <cell r="BO21">
            <v>4500</v>
          </cell>
          <cell r="BP21">
            <v>500</v>
          </cell>
        </row>
        <row r="22">
          <cell r="C22" t="str">
            <v>Si</v>
          </cell>
          <cell r="D22">
            <v>1142252.1212121199</v>
          </cell>
          <cell r="E22">
            <v>99999999</v>
          </cell>
          <cell r="F22" t="str">
            <v>Ambos</v>
          </cell>
          <cell r="G22">
            <v>25</v>
          </cell>
          <cell r="H22">
            <v>65</v>
          </cell>
          <cell r="I22" t="str">
            <v>SI</v>
          </cell>
          <cell r="J22" t="str">
            <v>SI</v>
          </cell>
          <cell r="K22" t="str">
            <v>SI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Q22">
            <v>0</v>
          </cell>
          <cell r="W22">
            <v>0</v>
          </cell>
          <cell r="AU22">
            <v>3000</v>
          </cell>
          <cell r="AV22">
            <v>6000</v>
          </cell>
          <cell r="AW22">
            <v>8000</v>
          </cell>
          <cell r="AX22">
            <v>4000</v>
          </cell>
          <cell r="AY22">
            <v>3000</v>
          </cell>
          <cell r="AZ22">
            <v>3500</v>
          </cell>
          <cell r="BA22">
            <v>3000</v>
          </cell>
          <cell r="BB22">
            <v>2500</v>
          </cell>
          <cell r="BC22">
            <v>8500</v>
          </cell>
          <cell r="BD22">
            <v>4000</v>
          </cell>
          <cell r="BE22">
            <v>8500</v>
          </cell>
          <cell r="BF22">
            <v>4000</v>
          </cell>
          <cell r="BG22">
            <v>8500</v>
          </cell>
          <cell r="BH22">
            <v>7000</v>
          </cell>
          <cell r="BI22">
            <v>2000</v>
          </cell>
          <cell r="BJ22">
            <v>2000</v>
          </cell>
          <cell r="BK22">
            <v>9000</v>
          </cell>
          <cell r="BL22">
            <v>5500</v>
          </cell>
          <cell r="BM22">
            <v>2000</v>
          </cell>
          <cell r="BN22">
            <v>2500</v>
          </cell>
          <cell r="BO22">
            <v>8500</v>
          </cell>
          <cell r="BP22">
            <v>5500</v>
          </cell>
        </row>
        <row r="23">
          <cell r="C23" t="str">
            <v>Si</v>
          </cell>
          <cell r="D23">
            <v>1081646.0606060601</v>
          </cell>
          <cell r="E23">
            <v>99999999</v>
          </cell>
          <cell r="F23" t="str">
            <v>Femenino</v>
          </cell>
          <cell r="G23">
            <v>18</v>
          </cell>
          <cell r="H23">
            <v>65</v>
          </cell>
          <cell r="I23" t="str">
            <v>SI</v>
          </cell>
          <cell r="J23" t="str">
            <v>SI</v>
          </cell>
          <cell r="K23" t="str">
            <v>SI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Q23">
            <v>0</v>
          </cell>
          <cell r="W23">
            <v>0</v>
          </cell>
          <cell r="AU23">
            <v>7000</v>
          </cell>
          <cell r="AV23">
            <v>0</v>
          </cell>
          <cell r="AW23">
            <v>2500</v>
          </cell>
          <cell r="AX23">
            <v>4000</v>
          </cell>
          <cell r="AY23">
            <v>6500</v>
          </cell>
          <cell r="AZ23">
            <v>10000</v>
          </cell>
          <cell r="BA23">
            <v>3000</v>
          </cell>
          <cell r="BB23">
            <v>6500</v>
          </cell>
          <cell r="BC23">
            <v>5000</v>
          </cell>
          <cell r="BD23">
            <v>2000</v>
          </cell>
          <cell r="BE23">
            <v>6000</v>
          </cell>
          <cell r="BF23">
            <v>4500</v>
          </cell>
          <cell r="BG23">
            <v>5500</v>
          </cell>
          <cell r="BH23">
            <v>9000</v>
          </cell>
          <cell r="BI23">
            <v>4500</v>
          </cell>
          <cell r="BJ23">
            <v>7000</v>
          </cell>
          <cell r="BK23">
            <v>7500</v>
          </cell>
          <cell r="BL23">
            <v>0</v>
          </cell>
          <cell r="BM23">
            <v>9500</v>
          </cell>
          <cell r="BN23">
            <v>5500</v>
          </cell>
          <cell r="BO23">
            <v>2000</v>
          </cell>
          <cell r="BP23">
            <v>6500</v>
          </cell>
        </row>
        <row r="24">
          <cell r="C24" t="str">
            <v>Si</v>
          </cell>
          <cell r="D24">
            <v>1021040</v>
          </cell>
          <cell r="E24">
            <v>99999999</v>
          </cell>
          <cell r="F24" t="str">
            <v>Ambos</v>
          </cell>
          <cell r="G24">
            <v>18</v>
          </cell>
          <cell r="H24">
            <v>65</v>
          </cell>
          <cell r="I24" t="str">
            <v>SI</v>
          </cell>
          <cell r="J24" t="str">
            <v>SI</v>
          </cell>
          <cell r="K24" t="str">
            <v>SI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Q24">
            <v>0</v>
          </cell>
          <cell r="W24">
            <v>0</v>
          </cell>
          <cell r="AU24">
            <v>2500</v>
          </cell>
          <cell r="AV24">
            <v>5000</v>
          </cell>
          <cell r="AW24">
            <v>9500</v>
          </cell>
          <cell r="AX24">
            <v>500</v>
          </cell>
          <cell r="AY24">
            <v>5500</v>
          </cell>
          <cell r="AZ24">
            <v>6500</v>
          </cell>
          <cell r="BA24">
            <v>7500</v>
          </cell>
          <cell r="BB24">
            <v>8500</v>
          </cell>
          <cell r="BC24">
            <v>6000</v>
          </cell>
          <cell r="BD24">
            <v>6000</v>
          </cell>
          <cell r="BE24">
            <v>6500</v>
          </cell>
          <cell r="BF24">
            <v>8000</v>
          </cell>
          <cell r="BG24">
            <v>4000</v>
          </cell>
          <cell r="BH24">
            <v>8000</v>
          </cell>
          <cell r="BI24">
            <v>500</v>
          </cell>
          <cell r="BJ24">
            <v>1000</v>
          </cell>
          <cell r="BK24">
            <v>0</v>
          </cell>
          <cell r="BL24">
            <v>4500</v>
          </cell>
          <cell r="BM24">
            <v>7000</v>
          </cell>
          <cell r="BN24">
            <v>6500</v>
          </cell>
          <cell r="BO24">
            <v>7000</v>
          </cell>
          <cell r="BP24">
            <v>6500</v>
          </cell>
        </row>
        <row r="25">
          <cell r="C25" t="str">
            <v>No</v>
          </cell>
          <cell r="D25">
            <v>960433.93939394201</v>
          </cell>
          <cell r="E25">
            <v>99999999</v>
          </cell>
          <cell r="F25" t="str">
            <v>Ambos</v>
          </cell>
          <cell r="G25">
            <v>30</v>
          </cell>
          <cell r="H25">
            <v>65</v>
          </cell>
          <cell r="I25" t="str">
            <v>SI</v>
          </cell>
          <cell r="J25" t="str">
            <v>SI</v>
          </cell>
          <cell r="K25" t="str">
            <v>SI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Q25">
            <v>0</v>
          </cell>
          <cell r="W25">
            <v>0</v>
          </cell>
          <cell r="AU25">
            <v>500</v>
          </cell>
          <cell r="AV25">
            <v>9500</v>
          </cell>
          <cell r="AW25">
            <v>4500</v>
          </cell>
          <cell r="AX25">
            <v>0</v>
          </cell>
          <cell r="AY25">
            <v>9500</v>
          </cell>
          <cell r="AZ25">
            <v>4500</v>
          </cell>
          <cell r="BA25">
            <v>4000</v>
          </cell>
          <cell r="BB25">
            <v>4500</v>
          </cell>
          <cell r="BC25">
            <v>1500</v>
          </cell>
          <cell r="BD25">
            <v>5000</v>
          </cell>
          <cell r="BE25">
            <v>8500</v>
          </cell>
          <cell r="BF25">
            <v>3000</v>
          </cell>
          <cell r="BG25">
            <v>4000</v>
          </cell>
          <cell r="BH25">
            <v>5500</v>
          </cell>
          <cell r="BI25">
            <v>7500</v>
          </cell>
          <cell r="BJ25">
            <v>7000</v>
          </cell>
          <cell r="BK25">
            <v>6500</v>
          </cell>
          <cell r="BL25">
            <v>7000</v>
          </cell>
          <cell r="BM25">
            <v>3500</v>
          </cell>
          <cell r="BN25">
            <v>9000</v>
          </cell>
          <cell r="BO25">
            <v>9500</v>
          </cell>
          <cell r="BP25">
            <v>10000</v>
          </cell>
        </row>
        <row r="26">
          <cell r="C26" t="str">
            <v>No</v>
          </cell>
          <cell r="D26">
            <v>899827.87878788204</v>
          </cell>
          <cell r="E26">
            <v>99999999</v>
          </cell>
          <cell r="F26" t="str">
            <v>Ambos</v>
          </cell>
          <cell r="G26">
            <v>18</v>
          </cell>
          <cell r="H26">
            <v>65</v>
          </cell>
          <cell r="I26" t="str">
            <v>SI</v>
          </cell>
          <cell r="J26" t="str">
            <v>NO</v>
          </cell>
          <cell r="K26" t="str">
            <v>SI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  <cell r="Q26">
            <v>0</v>
          </cell>
          <cell r="W26">
            <v>0</v>
          </cell>
          <cell r="AU26">
            <v>4000</v>
          </cell>
          <cell r="AV26">
            <v>500</v>
          </cell>
          <cell r="AW26">
            <v>5500</v>
          </cell>
          <cell r="AX26">
            <v>7000</v>
          </cell>
          <cell r="AY26">
            <v>3000</v>
          </cell>
          <cell r="AZ26">
            <v>6000</v>
          </cell>
          <cell r="BA26">
            <v>2000</v>
          </cell>
          <cell r="BB26">
            <v>6500</v>
          </cell>
          <cell r="BC26">
            <v>9000</v>
          </cell>
          <cell r="BD26">
            <v>7500</v>
          </cell>
          <cell r="BE26">
            <v>0</v>
          </cell>
          <cell r="BF26">
            <v>8500</v>
          </cell>
          <cell r="BG26">
            <v>9500</v>
          </cell>
          <cell r="BH26">
            <v>7500</v>
          </cell>
          <cell r="BI26">
            <v>8000</v>
          </cell>
          <cell r="BJ26">
            <v>6500</v>
          </cell>
          <cell r="BK26">
            <v>7500</v>
          </cell>
          <cell r="BL26">
            <v>8000</v>
          </cell>
          <cell r="BM26">
            <v>4500</v>
          </cell>
          <cell r="BN26">
            <v>7000</v>
          </cell>
          <cell r="BO26">
            <v>6500</v>
          </cell>
          <cell r="BP26">
            <v>2500</v>
          </cell>
        </row>
        <row r="27">
          <cell r="C27" t="str">
            <v>Si</v>
          </cell>
          <cell r="D27">
            <v>839221.81818182301</v>
          </cell>
          <cell r="E27">
            <v>99999999</v>
          </cell>
          <cell r="F27" t="str">
            <v>Ambos</v>
          </cell>
          <cell r="G27">
            <v>25</v>
          </cell>
          <cell r="H27">
            <v>65</v>
          </cell>
          <cell r="I27" t="str">
            <v>SI</v>
          </cell>
          <cell r="J27" t="str">
            <v>SI</v>
          </cell>
          <cell r="K27" t="str">
            <v>SI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Q27">
            <v>0</v>
          </cell>
          <cell r="W27">
            <v>0</v>
          </cell>
          <cell r="AU27">
            <v>8000</v>
          </cell>
          <cell r="AV27">
            <v>7500</v>
          </cell>
          <cell r="AW27">
            <v>0</v>
          </cell>
          <cell r="AX27">
            <v>1500</v>
          </cell>
          <cell r="AY27">
            <v>3000</v>
          </cell>
          <cell r="AZ27">
            <v>500</v>
          </cell>
          <cell r="BA27">
            <v>9000</v>
          </cell>
          <cell r="BB27">
            <v>0</v>
          </cell>
          <cell r="BC27">
            <v>7500</v>
          </cell>
          <cell r="BD27">
            <v>5000</v>
          </cell>
          <cell r="BE27">
            <v>7000</v>
          </cell>
          <cell r="BF27">
            <v>7500</v>
          </cell>
          <cell r="BG27">
            <v>4000</v>
          </cell>
          <cell r="BH27">
            <v>8000</v>
          </cell>
          <cell r="BI27">
            <v>2500</v>
          </cell>
          <cell r="BJ27">
            <v>2000</v>
          </cell>
          <cell r="BK27">
            <v>8000</v>
          </cell>
          <cell r="BL27">
            <v>7500</v>
          </cell>
          <cell r="BM27">
            <v>7500</v>
          </cell>
          <cell r="BN27">
            <v>6500</v>
          </cell>
          <cell r="BO27">
            <v>5000</v>
          </cell>
          <cell r="BP27">
            <v>0</v>
          </cell>
        </row>
        <row r="28">
          <cell r="C28" t="str">
            <v>Si</v>
          </cell>
          <cell r="D28">
            <v>778615.75757576199</v>
          </cell>
          <cell r="E28">
            <v>99999999</v>
          </cell>
          <cell r="F28" t="str">
            <v>Ambos</v>
          </cell>
          <cell r="G28">
            <v>18</v>
          </cell>
          <cell r="H28">
            <v>65</v>
          </cell>
          <cell r="I28" t="str">
            <v>SI</v>
          </cell>
          <cell r="J28" t="str">
            <v>SI</v>
          </cell>
          <cell r="K28" t="str">
            <v>SI</v>
          </cell>
          <cell r="L28">
            <v>0</v>
          </cell>
          <cell r="M28">
            <v>0</v>
          </cell>
          <cell r="N28">
            <v>0</v>
          </cell>
          <cell r="O28">
            <v>0</v>
          </cell>
          <cell r="Q28">
            <v>0</v>
          </cell>
          <cell r="W28">
            <v>0</v>
          </cell>
          <cell r="AU28">
            <v>9500</v>
          </cell>
          <cell r="AV28">
            <v>1500</v>
          </cell>
          <cell r="AW28">
            <v>1000</v>
          </cell>
          <cell r="AX28">
            <v>5000</v>
          </cell>
          <cell r="AY28">
            <v>4000</v>
          </cell>
          <cell r="AZ28">
            <v>10000</v>
          </cell>
          <cell r="BA28">
            <v>3500</v>
          </cell>
          <cell r="BB28">
            <v>6000</v>
          </cell>
          <cell r="BC28">
            <v>6000</v>
          </cell>
          <cell r="BD28">
            <v>6500</v>
          </cell>
          <cell r="BE28">
            <v>2500</v>
          </cell>
          <cell r="BF28">
            <v>500</v>
          </cell>
          <cell r="BG28">
            <v>6000</v>
          </cell>
          <cell r="BH28">
            <v>1500</v>
          </cell>
          <cell r="BI28">
            <v>7000</v>
          </cell>
          <cell r="BJ28">
            <v>4000</v>
          </cell>
          <cell r="BK28">
            <v>3000</v>
          </cell>
          <cell r="BL28">
            <v>2500</v>
          </cell>
          <cell r="BM28">
            <v>3000</v>
          </cell>
          <cell r="BN28">
            <v>7500</v>
          </cell>
          <cell r="BO28">
            <v>7500</v>
          </cell>
          <cell r="BP28">
            <v>0</v>
          </cell>
        </row>
        <row r="29">
          <cell r="C29" t="str">
            <v>No</v>
          </cell>
          <cell r="D29">
            <v>718009.69696970202</v>
          </cell>
          <cell r="E29">
            <v>99999999</v>
          </cell>
          <cell r="F29" t="str">
            <v>Ambos</v>
          </cell>
          <cell r="G29">
            <v>18</v>
          </cell>
          <cell r="H29">
            <v>65</v>
          </cell>
          <cell r="I29" t="str">
            <v>NO</v>
          </cell>
          <cell r="J29" t="str">
            <v>SI</v>
          </cell>
          <cell r="K29" t="str">
            <v>SI</v>
          </cell>
          <cell r="L29">
            <v>0</v>
          </cell>
          <cell r="M29">
            <v>0</v>
          </cell>
          <cell r="N29">
            <v>0</v>
          </cell>
          <cell r="O29">
            <v>0</v>
          </cell>
          <cell r="Q29">
            <v>0</v>
          </cell>
          <cell r="W29">
            <v>0</v>
          </cell>
          <cell r="AU29">
            <v>5500</v>
          </cell>
          <cell r="AV29">
            <v>3500</v>
          </cell>
          <cell r="AW29">
            <v>4500</v>
          </cell>
          <cell r="AX29">
            <v>10000</v>
          </cell>
          <cell r="AY29">
            <v>9000</v>
          </cell>
          <cell r="AZ29">
            <v>4000</v>
          </cell>
          <cell r="BA29">
            <v>5000</v>
          </cell>
          <cell r="BB29">
            <v>4000</v>
          </cell>
          <cell r="BC29">
            <v>8000</v>
          </cell>
          <cell r="BD29">
            <v>8500</v>
          </cell>
          <cell r="BE29">
            <v>3500</v>
          </cell>
          <cell r="BF29">
            <v>6000</v>
          </cell>
          <cell r="BG29">
            <v>5500</v>
          </cell>
          <cell r="BH29">
            <v>7500</v>
          </cell>
          <cell r="BI29">
            <v>7000</v>
          </cell>
          <cell r="BJ29">
            <v>1500</v>
          </cell>
          <cell r="BK29">
            <v>0</v>
          </cell>
          <cell r="BL29">
            <v>5000</v>
          </cell>
          <cell r="BM29">
            <v>4500</v>
          </cell>
          <cell r="BN29">
            <v>7500</v>
          </cell>
          <cell r="BO29">
            <v>500</v>
          </cell>
          <cell r="BP29">
            <v>5000</v>
          </cell>
        </row>
        <row r="30">
          <cell r="C30" t="str">
            <v>Si</v>
          </cell>
          <cell r="D30">
            <v>657403.63636364299</v>
          </cell>
          <cell r="E30">
            <v>99999999</v>
          </cell>
          <cell r="F30" t="str">
            <v>Ambos</v>
          </cell>
          <cell r="G30">
            <v>30</v>
          </cell>
          <cell r="H30">
            <v>65</v>
          </cell>
          <cell r="I30" t="str">
            <v>SI</v>
          </cell>
          <cell r="J30" t="str">
            <v>SI</v>
          </cell>
          <cell r="K30" t="str">
            <v>SI</v>
          </cell>
          <cell r="L30">
            <v>0</v>
          </cell>
          <cell r="M30">
            <v>0</v>
          </cell>
          <cell r="N30">
            <v>0</v>
          </cell>
          <cell r="O30">
            <v>0</v>
          </cell>
          <cell r="Q30">
            <v>0</v>
          </cell>
          <cell r="W30">
            <v>0</v>
          </cell>
          <cell r="AU30">
            <v>2500</v>
          </cell>
          <cell r="AV30">
            <v>6000</v>
          </cell>
          <cell r="AW30">
            <v>7000</v>
          </cell>
          <cell r="AX30">
            <v>3500</v>
          </cell>
          <cell r="AY30">
            <v>3500</v>
          </cell>
          <cell r="AZ30">
            <v>0</v>
          </cell>
          <cell r="BA30">
            <v>0</v>
          </cell>
          <cell r="BB30">
            <v>1000</v>
          </cell>
          <cell r="BC30">
            <v>2500</v>
          </cell>
          <cell r="BD30">
            <v>3000</v>
          </cell>
          <cell r="BE30">
            <v>5000</v>
          </cell>
          <cell r="BF30">
            <v>0</v>
          </cell>
          <cell r="BG30">
            <v>2000</v>
          </cell>
          <cell r="BH30">
            <v>9500</v>
          </cell>
          <cell r="BI30">
            <v>7500</v>
          </cell>
          <cell r="BJ30">
            <v>9000</v>
          </cell>
          <cell r="BK30">
            <v>1500</v>
          </cell>
          <cell r="BL30">
            <v>10000</v>
          </cell>
          <cell r="BM30">
            <v>10000</v>
          </cell>
          <cell r="BN30">
            <v>6000</v>
          </cell>
          <cell r="BO30">
            <v>8500</v>
          </cell>
          <cell r="BP30">
            <v>500</v>
          </cell>
        </row>
        <row r="31">
          <cell r="C31" t="str">
            <v>Si</v>
          </cell>
          <cell r="D31">
            <v>596797.57575757196</v>
          </cell>
          <cell r="E31">
            <v>99999999</v>
          </cell>
          <cell r="F31" t="str">
            <v>Ambos</v>
          </cell>
          <cell r="G31">
            <v>18</v>
          </cell>
          <cell r="H31">
            <v>65</v>
          </cell>
          <cell r="I31" t="str">
            <v>SI</v>
          </cell>
          <cell r="J31" t="str">
            <v>SI</v>
          </cell>
          <cell r="K31" t="str">
            <v>SI</v>
          </cell>
          <cell r="L31">
            <v>0</v>
          </cell>
          <cell r="M31">
            <v>0</v>
          </cell>
          <cell r="N31">
            <v>0</v>
          </cell>
          <cell r="O31">
            <v>0</v>
          </cell>
          <cell r="Q31">
            <v>0</v>
          </cell>
          <cell r="W31">
            <v>0</v>
          </cell>
          <cell r="AU31">
            <v>9000</v>
          </cell>
          <cell r="AV31">
            <v>1000</v>
          </cell>
          <cell r="AW31">
            <v>3000</v>
          </cell>
          <cell r="AX31">
            <v>6500</v>
          </cell>
          <cell r="AY31">
            <v>3000</v>
          </cell>
          <cell r="AZ31">
            <v>3000</v>
          </cell>
          <cell r="BA31">
            <v>9000</v>
          </cell>
          <cell r="BB31">
            <v>8500</v>
          </cell>
          <cell r="BC31">
            <v>3500</v>
          </cell>
          <cell r="BD31">
            <v>9000</v>
          </cell>
          <cell r="BE31">
            <v>2500</v>
          </cell>
          <cell r="BF31">
            <v>5000</v>
          </cell>
          <cell r="BG31">
            <v>9500</v>
          </cell>
          <cell r="BH31">
            <v>6000</v>
          </cell>
          <cell r="BI31">
            <v>1500</v>
          </cell>
          <cell r="BJ31">
            <v>5500</v>
          </cell>
          <cell r="BK31">
            <v>4000</v>
          </cell>
          <cell r="BL31">
            <v>4000</v>
          </cell>
          <cell r="BM31">
            <v>500</v>
          </cell>
          <cell r="BN31">
            <v>4000</v>
          </cell>
          <cell r="BO31">
            <v>9500</v>
          </cell>
          <cell r="BP31">
            <v>5000</v>
          </cell>
        </row>
        <row r="32">
          <cell r="C32" t="str">
            <v>Si</v>
          </cell>
          <cell r="D32">
            <v>536191.51515151304</v>
          </cell>
          <cell r="E32">
            <v>99999999</v>
          </cell>
          <cell r="F32" t="str">
            <v>Ambos</v>
          </cell>
          <cell r="G32">
            <v>25</v>
          </cell>
          <cell r="H32">
            <v>65</v>
          </cell>
          <cell r="I32" t="str">
            <v>SI</v>
          </cell>
          <cell r="J32" t="str">
            <v>SI</v>
          </cell>
          <cell r="K32" t="str">
            <v>SI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Q32">
            <v>0</v>
          </cell>
          <cell r="W32">
            <v>0</v>
          </cell>
          <cell r="AU32">
            <v>2000</v>
          </cell>
          <cell r="AV32">
            <v>4000</v>
          </cell>
          <cell r="AW32">
            <v>0</v>
          </cell>
          <cell r="AX32">
            <v>8000</v>
          </cell>
          <cell r="AY32">
            <v>4000</v>
          </cell>
          <cell r="AZ32">
            <v>3500</v>
          </cell>
          <cell r="BA32">
            <v>3500</v>
          </cell>
          <cell r="BB32">
            <v>500</v>
          </cell>
          <cell r="BC32">
            <v>5500</v>
          </cell>
          <cell r="BD32">
            <v>3500</v>
          </cell>
          <cell r="BE32">
            <v>7000</v>
          </cell>
          <cell r="BF32">
            <v>5000</v>
          </cell>
          <cell r="BG32">
            <v>500</v>
          </cell>
          <cell r="BH32">
            <v>3500</v>
          </cell>
          <cell r="BI32">
            <v>2000</v>
          </cell>
          <cell r="BJ32">
            <v>500</v>
          </cell>
          <cell r="BK32">
            <v>3000</v>
          </cell>
          <cell r="BL32">
            <v>500</v>
          </cell>
          <cell r="BM32">
            <v>2500</v>
          </cell>
          <cell r="BN32">
            <v>5500</v>
          </cell>
          <cell r="BO32">
            <v>7000</v>
          </cell>
          <cell r="BP32">
            <v>4500</v>
          </cell>
        </row>
        <row r="33">
          <cell r="C33" t="str">
            <v>Si</v>
          </cell>
          <cell r="D33">
            <v>475585.45454545203</v>
          </cell>
          <cell r="E33">
            <v>99999999</v>
          </cell>
          <cell r="F33" t="str">
            <v>Femenino</v>
          </cell>
          <cell r="G33">
            <v>18</v>
          </cell>
          <cell r="H33">
            <v>65</v>
          </cell>
          <cell r="I33" t="str">
            <v>SI</v>
          </cell>
          <cell r="J33" t="str">
            <v>NO</v>
          </cell>
          <cell r="K33" t="str">
            <v>SI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Q33">
            <v>0</v>
          </cell>
          <cell r="W33">
            <v>0</v>
          </cell>
          <cell r="AU33">
            <v>8500</v>
          </cell>
          <cell r="AV33">
            <v>2500</v>
          </cell>
          <cell r="AW33">
            <v>6500</v>
          </cell>
          <cell r="AX33">
            <v>10000</v>
          </cell>
          <cell r="AY33">
            <v>7000</v>
          </cell>
          <cell r="AZ33">
            <v>0</v>
          </cell>
          <cell r="BA33">
            <v>9500</v>
          </cell>
          <cell r="BB33">
            <v>4500</v>
          </cell>
          <cell r="BC33">
            <v>1000</v>
          </cell>
          <cell r="BD33">
            <v>6000</v>
          </cell>
          <cell r="BE33">
            <v>10000</v>
          </cell>
          <cell r="BF33">
            <v>6500</v>
          </cell>
          <cell r="BG33">
            <v>6500</v>
          </cell>
          <cell r="BH33">
            <v>1500</v>
          </cell>
          <cell r="BI33">
            <v>3000</v>
          </cell>
          <cell r="BJ33">
            <v>500</v>
          </cell>
          <cell r="BK33">
            <v>7500</v>
          </cell>
          <cell r="BL33">
            <v>3500</v>
          </cell>
          <cell r="BM33">
            <v>2500</v>
          </cell>
          <cell r="BN33">
            <v>8000</v>
          </cell>
          <cell r="BO33">
            <v>5500</v>
          </cell>
          <cell r="BP33">
            <v>1500</v>
          </cell>
        </row>
        <row r="34">
          <cell r="C34" t="str">
            <v>Si</v>
          </cell>
          <cell r="D34">
            <v>414979.393939392</v>
          </cell>
          <cell r="E34">
            <v>99999999</v>
          </cell>
          <cell r="F34" t="str">
            <v>Ambos</v>
          </cell>
          <cell r="G34">
            <v>18</v>
          </cell>
          <cell r="H34">
            <v>65</v>
          </cell>
          <cell r="I34" t="str">
            <v>NO</v>
          </cell>
          <cell r="J34" t="str">
            <v>SI</v>
          </cell>
          <cell r="K34" t="str">
            <v>SI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Q34">
            <v>0</v>
          </cell>
          <cell r="W34">
            <v>0</v>
          </cell>
          <cell r="AU34">
            <v>5500</v>
          </cell>
          <cell r="AV34">
            <v>4500</v>
          </cell>
          <cell r="AW34">
            <v>10000</v>
          </cell>
          <cell r="AX34">
            <v>4000</v>
          </cell>
          <cell r="AY34">
            <v>4500</v>
          </cell>
          <cell r="AZ34">
            <v>8000</v>
          </cell>
          <cell r="BA34">
            <v>1000</v>
          </cell>
          <cell r="BB34">
            <v>4500</v>
          </cell>
          <cell r="BC34">
            <v>0</v>
          </cell>
          <cell r="BD34">
            <v>8000</v>
          </cell>
          <cell r="BE34">
            <v>1500</v>
          </cell>
          <cell r="BF34">
            <v>9500</v>
          </cell>
          <cell r="BG34">
            <v>500</v>
          </cell>
          <cell r="BH34">
            <v>4500</v>
          </cell>
          <cell r="BI34">
            <v>9500</v>
          </cell>
          <cell r="BJ34">
            <v>9500</v>
          </cell>
          <cell r="BK34">
            <v>1000</v>
          </cell>
          <cell r="BL34">
            <v>3500</v>
          </cell>
          <cell r="BM34">
            <v>4500</v>
          </cell>
          <cell r="BN34">
            <v>1000</v>
          </cell>
          <cell r="BO34">
            <v>2500</v>
          </cell>
          <cell r="BP34">
            <v>4000</v>
          </cell>
        </row>
        <row r="35">
          <cell r="C35" t="str">
            <v>No</v>
          </cell>
          <cell r="D35">
            <v>354373.33333333302</v>
          </cell>
          <cell r="E35">
            <v>99999999</v>
          </cell>
          <cell r="F35" t="str">
            <v>Ambos</v>
          </cell>
          <cell r="G35">
            <v>30</v>
          </cell>
          <cell r="H35">
            <v>65</v>
          </cell>
          <cell r="I35" t="str">
            <v>SI</v>
          </cell>
          <cell r="J35" t="str">
            <v>SI</v>
          </cell>
          <cell r="K35" t="str">
            <v>SI</v>
          </cell>
          <cell r="L35">
            <v>0</v>
          </cell>
          <cell r="M35">
            <v>0</v>
          </cell>
          <cell r="N35">
            <v>0</v>
          </cell>
          <cell r="O35">
            <v>0</v>
          </cell>
          <cell r="Q35">
            <v>0</v>
          </cell>
          <cell r="W35">
            <v>0</v>
          </cell>
          <cell r="AU35">
            <v>4500</v>
          </cell>
          <cell r="AV35">
            <v>7500</v>
          </cell>
          <cell r="AW35">
            <v>8000</v>
          </cell>
          <cell r="AX35">
            <v>1500</v>
          </cell>
          <cell r="AY35">
            <v>7500</v>
          </cell>
          <cell r="AZ35">
            <v>9000</v>
          </cell>
          <cell r="BA35">
            <v>6500</v>
          </cell>
          <cell r="BB35">
            <v>0</v>
          </cell>
          <cell r="BC35">
            <v>8500</v>
          </cell>
          <cell r="BD35">
            <v>8500</v>
          </cell>
          <cell r="BE35">
            <v>7000</v>
          </cell>
          <cell r="BF35">
            <v>5500</v>
          </cell>
          <cell r="BG35">
            <v>7000</v>
          </cell>
          <cell r="BH35">
            <v>3000</v>
          </cell>
          <cell r="BI35">
            <v>9500</v>
          </cell>
          <cell r="BJ35">
            <v>10000</v>
          </cell>
          <cell r="BK35">
            <v>0</v>
          </cell>
          <cell r="BL35">
            <v>6000</v>
          </cell>
          <cell r="BM35">
            <v>1000</v>
          </cell>
          <cell r="BN35">
            <v>8000</v>
          </cell>
          <cell r="BO35">
            <v>8000</v>
          </cell>
          <cell r="BP35">
            <v>2000</v>
          </cell>
        </row>
        <row r="36">
          <cell r="C36" t="str">
            <v>No</v>
          </cell>
          <cell r="D36">
            <v>293767.27272727201</v>
          </cell>
          <cell r="E36">
            <v>99999999</v>
          </cell>
          <cell r="F36" t="str">
            <v>Ambos</v>
          </cell>
          <cell r="G36">
            <v>18</v>
          </cell>
          <cell r="H36">
            <v>65</v>
          </cell>
          <cell r="I36" t="str">
            <v>SI</v>
          </cell>
          <cell r="J36" t="str">
            <v>NO</v>
          </cell>
          <cell r="K36" t="str">
            <v>SI</v>
          </cell>
          <cell r="L36">
            <v>0</v>
          </cell>
          <cell r="M36">
            <v>0</v>
          </cell>
          <cell r="N36">
            <v>0</v>
          </cell>
          <cell r="O36">
            <v>0</v>
          </cell>
          <cell r="Q36">
            <v>0</v>
          </cell>
          <cell r="W36">
            <v>0</v>
          </cell>
          <cell r="AU36">
            <v>5000</v>
          </cell>
          <cell r="AV36">
            <v>9500</v>
          </cell>
          <cell r="AW36">
            <v>10000</v>
          </cell>
          <cell r="AX36">
            <v>500</v>
          </cell>
          <cell r="AY36">
            <v>9500</v>
          </cell>
          <cell r="AZ36">
            <v>0</v>
          </cell>
          <cell r="BA36">
            <v>6500</v>
          </cell>
          <cell r="BB36">
            <v>0</v>
          </cell>
          <cell r="BC36">
            <v>1000</v>
          </cell>
          <cell r="BD36">
            <v>3500</v>
          </cell>
          <cell r="BE36">
            <v>0</v>
          </cell>
          <cell r="BF36">
            <v>1500</v>
          </cell>
          <cell r="BG36">
            <v>3000</v>
          </cell>
          <cell r="BH36">
            <v>3000</v>
          </cell>
          <cell r="BI36">
            <v>2500</v>
          </cell>
          <cell r="BJ36">
            <v>3000</v>
          </cell>
          <cell r="BK36">
            <v>4000</v>
          </cell>
          <cell r="BL36">
            <v>500</v>
          </cell>
          <cell r="BM36">
            <v>8500</v>
          </cell>
          <cell r="BN36">
            <v>5000</v>
          </cell>
          <cell r="BO36">
            <v>7000</v>
          </cell>
          <cell r="BP36">
            <v>9000</v>
          </cell>
        </row>
        <row r="37">
          <cell r="C37" t="str">
            <v>Si</v>
          </cell>
          <cell r="D37">
            <v>233161.21212121201</v>
          </cell>
          <cell r="E37">
            <v>99999999</v>
          </cell>
          <cell r="F37" t="str">
            <v>Ambos</v>
          </cell>
          <cell r="G37">
            <v>18</v>
          </cell>
          <cell r="H37">
            <v>65</v>
          </cell>
          <cell r="I37" t="str">
            <v>SI</v>
          </cell>
          <cell r="J37" t="str">
            <v>SI</v>
          </cell>
          <cell r="K37" t="str">
            <v>SI</v>
          </cell>
          <cell r="L37">
            <v>0</v>
          </cell>
          <cell r="M37">
            <v>0</v>
          </cell>
          <cell r="N37">
            <v>0</v>
          </cell>
          <cell r="O37">
            <v>0</v>
          </cell>
          <cell r="Q37">
            <v>0</v>
          </cell>
          <cell r="W37">
            <v>0</v>
          </cell>
          <cell r="AU37">
            <v>7500</v>
          </cell>
          <cell r="AV37">
            <v>10000</v>
          </cell>
          <cell r="AW37">
            <v>5500</v>
          </cell>
          <cell r="AX37">
            <v>6500</v>
          </cell>
          <cell r="AY37">
            <v>4500</v>
          </cell>
          <cell r="AZ37">
            <v>6500</v>
          </cell>
          <cell r="BA37">
            <v>1500</v>
          </cell>
          <cell r="BB37">
            <v>500</v>
          </cell>
          <cell r="BC37">
            <v>8500</v>
          </cell>
          <cell r="BD37">
            <v>4000</v>
          </cell>
          <cell r="BE37">
            <v>8000</v>
          </cell>
          <cell r="BF37">
            <v>3000</v>
          </cell>
          <cell r="BG37">
            <v>8000</v>
          </cell>
          <cell r="BH37">
            <v>6000</v>
          </cell>
          <cell r="BI37">
            <v>5000</v>
          </cell>
          <cell r="BJ37">
            <v>1500</v>
          </cell>
          <cell r="BK37">
            <v>3000</v>
          </cell>
          <cell r="BL37">
            <v>5000</v>
          </cell>
          <cell r="BM37">
            <v>7500</v>
          </cell>
          <cell r="BN37">
            <v>7500</v>
          </cell>
          <cell r="BO37">
            <v>8500</v>
          </cell>
          <cell r="BP37">
            <v>8500</v>
          </cell>
        </row>
        <row r="38">
          <cell r="C38" t="str">
            <v>Si</v>
          </cell>
          <cell r="D38">
            <v>172555.15151515201</v>
          </cell>
          <cell r="E38">
            <v>99999999</v>
          </cell>
          <cell r="F38" t="str">
            <v>Ambos</v>
          </cell>
          <cell r="G38">
            <v>25</v>
          </cell>
          <cell r="H38">
            <v>65</v>
          </cell>
          <cell r="I38" t="str">
            <v>SI</v>
          </cell>
          <cell r="J38" t="str">
            <v>NO</v>
          </cell>
          <cell r="K38" t="str">
            <v>SI</v>
          </cell>
          <cell r="L38">
            <v>0</v>
          </cell>
          <cell r="M38">
            <v>0</v>
          </cell>
          <cell r="N38">
            <v>0</v>
          </cell>
          <cell r="O38">
            <v>0</v>
          </cell>
          <cell r="Q38">
            <v>0</v>
          </cell>
          <cell r="W38">
            <v>0</v>
          </cell>
          <cell r="AU38">
            <v>10000</v>
          </cell>
          <cell r="AV38">
            <v>8500</v>
          </cell>
          <cell r="AW38">
            <v>1000</v>
          </cell>
          <cell r="AX38">
            <v>2000</v>
          </cell>
          <cell r="AY38">
            <v>7000</v>
          </cell>
          <cell r="AZ38">
            <v>10000</v>
          </cell>
          <cell r="BA38">
            <v>4000</v>
          </cell>
          <cell r="BB38">
            <v>500</v>
          </cell>
          <cell r="BC38">
            <v>6500</v>
          </cell>
          <cell r="BD38">
            <v>1500</v>
          </cell>
          <cell r="BE38">
            <v>10000</v>
          </cell>
          <cell r="BF38">
            <v>6500</v>
          </cell>
          <cell r="BG38">
            <v>5000</v>
          </cell>
          <cell r="BH38">
            <v>10000</v>
          </cell>
          <cell r="BI38">
            <v>8500</v>
          </cell>
          <cell r="BJ38">
            <v>9000</v>
          </cell>
          <cell r="BK38">
            <v>9000</v>
          </cell>
          <cell r="BL38">
            <v>6000</v>
          </cell>
          <cell r="BM38">
            <v>9000</v>
          </cell>
          <cell r="BN38">
            <v>1500</v>
          </cell>
          <cell r="BO38">
            <v>7500</v>
          </cell>
          <cell r="BP38">
            <v>8000</v>
          </cell>
        </row>
        <row r="39">
          <cell r="C39" t="str">
            <v>No</v>
          </cell>
          <cell r="D39">
            <v>111949.09090909301</v>
          </cell>
          <cell r="E39">
            <v>99999999</v>
          </cell>
          <cell r="F39" t="str">
            <v>Ambos</v>
          </cell>
          <cell r="G39">
            <v>18</v>
          </cell>
          <cell r="H39">
            <v>65</v>
          </cell>
          <cell r="I39" t="str">
            <v>SI</v>
          </cell>
          <cell r="J39" t="str">
            <v>SI</v>
          </cell>
          <cell r="K39" t="str">
            <v>NO</v>
          </cell>
          <cell r="L39">
            <v>0</v>
          </cell>
          <cell r="M39">
            <v>0</v>
          </cell>
          <cell r="N39">
            <v>0</v>
          </cell>
          <cell r="O39">
            <v>0</v>
          </cell>
          <cell r="Q39">
            <v>0</v>
          </cell>
          <cell r="W39">
            <v>0</v>
          </cell>
          <cell r="AU39">
            <v>6000</v>
          </cell>
          <cell r="AV39">
            <v>6000</v>
          </cell>
          <cell r="AW39">
            <v>0</v>
          </cell>
          <cell r="AX39">
            <v>1000</v>
          </cell>
          <cell r="AY39">
            <v>3500</v>
          </cell>
          <cell r="AZ39">
            <v>8500</v>
          </cell>
          <cell r="BA39">
            <v>1500</v>
          </cell>
          <cell r="BB39">
            <v>5500</v>
          </cell>
          <cell r="BC39">
            <v>500</v>
          </cell>
          <cell r="BD39">
            <v>4500</v>
          </cell>
          <cell r="BE39">
            <v>7000</v>
          </cell>
          <cell r="BF39">
            <v>1500</v>
          </cell>
          <cell r="BG39">
            <v>0</v>
          </cell>
          <cell r="BH39">
            <v>5500</v>
          </cell>
          <cell r="BI39">
            <v>5000</v>
          </cell>
          <cell r="BJ39">
            <v>500</v>
          </cell>
          <cell r="BK39">
            <v>4500</v>
          </cell>
          <cell r="BL39">
            <v>4500</v>
          </cell>
          <cell r="BM39">
            <v>2000</v>
          </cell>
          <cell r="BN39">
            <v>9000</v>
          </cell>
          <cell r="BO39">
            <v>7500</v>
          </cell>
          <cell r="BP39">
            <v>3000</v>
          </cell>
        </row>
        <row r="40">
          <cell r="C40" t="str">
            <v>Si</v>
          </cell>
          <cell r="D40">
            <v>51343.030303032603</v>
          </cell>
          <cell r="E40">
            <v>99999999</v>
          </cell>
          <cell r="F40" t="str">
            <v>Ambos</v>
          </cell>
          <cell r="G40">
            <v>18</v>
          </cell>
          <cell r="H40">
            <v>65</v>
          </cell>
          <cell r="I40" t="str">
            <v>SI</v>
          </cell>
          <cell r="J40" t="str">
            <v>SI</v>
          </cell>
          <cell r="K40" t="str">
            <v>SI</v>
          </cell>
          <cell r="L40">
            <v>0</v>
          </cell>
          <cell r="M40">
            <v>0</v>
          </cell>
          <cell r="N40">
            <v>0</v>
          </cell>
          <cell r="O40">
            <v>0</v>
          </cell>
          <cell r="Q40">
            <v>0</v>
          </cell>
          <cell r="W40">
            <v>0</v>
          </cell>
          <cell r="AU40">
            <v>6000</v>
          </cell>
          <cell r="AV40">
            <v>3500</v>
          </cell>
          <cell r="AW40">
            <v>5500</v>
          </cell>
          <cell r="AX40">
            <v>8500</v>
          </cell>
          <cell r="AY40">
            <v>4500</v>
          </cell>
          <cell r="AZ40">
            <v>4500</v>
          </cell>
          <cell r="BA40">
            <v>9500</v>
          </cell>
          <cell r="BB40">
            <v>7500</v>
          </cell>
          <cell r="BC40">
            <v>2500</v>
          </cell>
          <cell r="BD40">
            <v>500</v>
          </cell>
          <cell r="BE40">
            <v>0</v>
          </cell>
          <cell r="BF40">
            <v>3500</v>
          </cell>
          <cell r="BG40">
            <v>5500</v>
          </cell>
          <cell r="BH40">
            <v>7500</v>
          </cell>
          <cell r="BI40">
            <v>3500</v>
          </cell>
          <cell r="BJ40">
            <v>3000</v>
          </cell>
          <cell r="BK40">
            <v>0</v>
          </cell>
          <cell r="BL40">
            <v>5000</v>
          </cell>
          <cell r="BM40">
            <v>8000</v>
          </cell>
          <cell r="BN40">
            <v>5500</v>
          </cell>
          <cell r="BO40">
            <v>2000</v>
          </cell>
          <cell r="BP40">
            <v>0</v>
          </cell>
        </row>
        <row r="41">
          <cell r="C41" t="str">
            <v>Si</v>
          </cell>
          <cell r="D41">
            <v>-9263.0303030274808</v>
          </cell>
          <cell r="E41">
            <v>99999999</v>
          </cell>
          <cell r="F41" t="str">
            <v>Ambos</v>
          </cell>
          <cell r="G41">
            <v>30</v>
          </cell>
          <cell r="H41">
            <v>65</v>
          </cell>
          <cell r="I41" t="str">
            <v>SI</v>
          </cell>
          <cell r="J41" t="str">
            <v>SI</v>
          </cell>
          <cell r="K41" t="str">
            <v>SI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Q41">
            <v>0</v>
          </cell>
          <cell r="W41">
            <v>0</v>
          </cell>
          <cell r="AU41">
            <v>4500</v>
          </cell>
          <cell r="AV41">
            <v>6000</v>
          </cell>
          <cell r="AW41">
            <v>3000</v>
          </cell>
          <cell r="AX41">
            <v>6000</v>
          </cell>
          <cell r="AY41">
            <v>5500</v>
          </cell>
          <cell r="AZ41">
            <v>3500</v>
          </cell>
          <cell r="BA41">
            <v>2500</v>
          </cell>
          <cell r="BB41">
            <v>3500</v>
          </cell>
          <cell r="BC41">
            <v>4000</v>
          </cell>
          <cell r="BD41">
            <v>9000</v>
          </cell>
          <cell r="BE41">
            <v>3500</v>
          </cell>
          <cell r="BF41">
            <v>0</v>
          </cell>
          <cell r="BG41">
            <v>4500</v>
          </cell>
          <cell r="BH41">
            <v>2000</v>
          </cell>
          <cell r="BI41">
            <v>7500</v>
          </cell>
          <cell r="BJ41">
            <v>9000</v>
          </cell>
          <cell r="BK41">
            <v>7000</v>
          </cell>
          <cell r="BL41">
            <v>1000</v>
          </cell>
          <cell r="BM41">
            <v>8500</v>
          </cell>
          <cell r="BN41">
            <v>9500</v>
          </cell>
          <cell r="BO41">
            <v>4500</v>
          </cell>
          <cell r="BP41">
            <v>500</v>
          </cell>
        </row>
        <row r="42">
          <cell r="C42" t="str">
            <v>Si</v>
          </cell>
          <cell r="D42">
            <v>-69869.090909087594</v>
          </cell>
          <cell r="E42">
            <v>99999999</v>
          </cell>
          <cell r="F42" t="str">
            <v>Ambos</v>
          </cell>
          <cell r="G42">
            <v>18</v>
          </cell>
          <cell r="H42">
            <v>65</v>
          </cell>
          <cell r="I42" t="str">
            <v>NO</v>
          </cell>
          <cell r="J42" t="str">
            <v>SI</v>
          </cell>
          <cell r="K42" t="str">
            <v>SI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Q42">
            <v>0</v>
          </cell>
          <cell r="W42">
            <v>0</v>
          </cell>
          <cell r="AU42">
            <v>3000</v>
          </cell>
          <cell r="AV42">
            <v>6000</v>
          </cell>
          <cell r="AW42">
            <v>8000</v>
          </cell>
          <cell r="AX42">
            <v>4000</v>
          </cell>
          <cell r="AY42">
            <v>3000</v>
          </cell>
          <cell r="AZ42">
            <v>3500</v>
          </cell>
          <cell r="BA42">
            <v>3000</v>
          </cell>
          <cell r="BB42">
            <v>2500</v>
          </cell>
          <cell r="BC42">
            <v>8500</v>
          </cell>
          <cell r="BD42">
            <v>4000</v>
          </cell>
          <cell r="BE42">
            <v>8500</v>
          </cell>
          <cell r="BF42">
            <v>4000</v>
          </cell>
          <cell r="BG42">
            <v>8500</v>
          </cell>
          <cell r="BH42">
            <v>7000</v>
          </cell>
          <cell r="BI42">
            <v>2000</v>
          </cell>
          <cell r="BJ42">
            <v>2000</v>
          </cell>
          <cell r="BK42">
            <v>9000</v>
          </cell>
          <cell r="BL42">
            <v>5500</v>
          </cell>
          <cell r="BM42">
            <v>2000</v>
          </cell>
          <cell r="BN42">
            <v>2500</v>
          </cell>
          <cell r="BO42">
            <v>8500</v>
          </cell>
          <cell r="BP42">
            <v>5500</v>
          </cell>
        </row>
        <row r="43">
          <cell r="C43"/>
          <cell r="D43"/>
          <cell r="E43"/>
          <cell r="F43"/>
          <cell r="G43"/>
          <cell r="H43"/>
          <cell r="I43"/>
          <cell r="J43"/>
          <cell r="K43"/>
          <cell r="L43"/>
          <cell r="M43"/>
          <cell r="N43"/>
          <cell r="O43"/>
          <cell r="Q43"/>
          <cell r="W43"/>
        </row>
      </sheetData>
      <sheetData sheetId="2"/>
      <sheetData sheetId="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solidado general"/>
      <sheetName val="Productos"/>
      <sheetName val="User"/>
      <sheetName val="FILTRO"/>
      <sheetName val="TABLAS"/>
    </sheetNames>
    <sheetDataSet>
      <sheetData sheetId="0" refreshError="1"/>
      <sheetData sheetId="1" refreshError="1">
        <row r="1">
          <cell r="AT1">
            <v>45</v>
          </cell>
          <cell r="DM1">
            <v>116</v>
          </cell>
          <cell r="DN1">
            <v>117</v>
          </cell>
          <cell r="DO1">
            <v>118</v>
          </cell>
          <cell r="DP1">
            <v>119</v>
          </cell>
          <cell r="DQ1">
            <v>120</v>
          </cell>
          <cell r="DR1">
            <v>121</v>
          </cell>
          <cell r="DS1">
            <v>122</v>
          </cell>
          <cell r="DT1">
            <v>123</v>
          </cell>
          <cell r="DU1">
            <v>124</v>
          </cell>
          <cell r="DV1">
            <v>125</v>
          </cell>
          <cell r="DW1">
            <v>126</v>
          </cell>
          <cell r="DX1">
            <v>127</v>
          </cell>
          <cell r="DY1">
            <v>128</v>
          </cell>
          <cell r="DZ1">
            <v>129</v>
          </cell>
          <cell r="EA1">
            <v>130</v>
          </cell>
          <cell r="EB1">
            <v>131</v>
          </cell>
          <cell r="EC1">
            <v>132</v>
          </cell>
          <cell r="ED1">
            <v>133</v>
          </cell>
          <cell r="EE1">
            <v>134</v>
          </cell>
          <cell r="EF1">
            <v>135</v>
          </cell>
          <cell r="EG1">
            <v>136</v>
          </cell>
          <cell r="EH1">
            <v>137</v>
          </cell>
          <cell r="EI1">
            <v>138</v>
          </cell>
          <cell r="EJ1">
            <v>139</v>
          </cell>
          <cell r="EK1">
            <v>140</v>
          </cell>
          <cell r="EL1">
            <v>141</v>
          </cell>
          <cell r="EM1">
            <v>142</v>
          </cell>
          <cell r="EN1">
            <v>143</v>
          </cell>
          <cell r="EO1">
            <v>144</v>
          </cell>
          <cell r="EP1">
            <v>145</v>
          </cell>
          <cell r="EQ1">
            <v>146</v>
          </cell>
          <cell r="ER1">
            <v>147</v>
          </cell>
        </row>
        <row r="3">
          <cell r="A3" t="str">
            <v>PRODUCTO</v>
          </cell>
          <cell r="B3" t="str">
            <v>Permite sumar ingresos con familia y estos lo harian, o planea hacerlo?</v>
          </cell>
          <cell r="C3" t="str">
            <v>Ingresos min</v>
          </cell>
          <cell r="D3" t="str">
            <v>Ingresos max</v>
          </cell>
          <cell r="E3" t="str">
            <v>Genero</v>
          </cell>
          <cell r="F3" t="str">
            <v>Edad min</v>
          </cell>
          <cell r="G3" t="str">
            <v>Edad max</v>
          </cell>
          <cell r="H3" t="str">
            <v>Situacion laboral - 1</v>
          </cell>
          <cell r="I3" t="str">
            <v>Situacion laboral - 2</v>
          </cell>
          <cell r="J3" t="str">
            <v>Situacion laboral - 3</v>
          </cell>
          <cell r="K3" t="str">
            <v>Monto prestado min</v>
          </cell>
          <cell r="L3" t="str">
            <v>Monto prestado max</v>
          </cell>
          <cell r="M3" t="str">
            <v>Plazos minimo</v>
          </cell>
          <cell r="N3" t="str">
            <v>Plazos maximo</v>
          </cell>
          <cell r="O3" t="str">
            <v>Para que es el credito</v>
          </cell>
          <cell r="P3" t="str">
            <v>Presta con reporte por compromisos financieros?</v>
          </cell>
          <cell r="Q3" t="str">
            <v>cuánto tiempo de reportado?</v>
          </cell>
          <cell r="R3" t="str">
            <v>Presta con reporte en centrales de riesgo por compromisos no financieros?</v>
          </cell>
          <cell r="S3" t="str">
            <v>cuánto tiempo de reportado?</v>
          </cell>
          <cell r="T3" t="str">
            <v>¿Cuántos meses de experiencia crediticia exige?</v>
          </cell>
          <cell r="U3" t="str">
            <v>número de créditos por pagaduría maximo que permite</v>
          </cell>
          <cell r="V3" t="str">
            <v>Exige fiador?</v>
          </cell>
          <cell r="W3" t="str">
            <v>¿Con qué ingresos minimos debe contar el fiador?</v>
          </cell>
          <cell r="X3" t="str">
            <v>¿Qué valor mínimo de finca raiz debe tener el fiador?</v>
          </cell>
          <cell r="Y3" t="str">
            <v>¿El fiador debe cumplir las mismas condiciones del deudor?</v>
          </cell>
          <cell r="Z3" t="str">
            <v>Edad minima del fiador</v>
          </cell>
          <cell r="AA3" t="str">
            <v>Edad maxima del fiador</v>
          </cell>
          <cell r="AB3" t="str">
            <v>¿Exige Codeudor?</v>
          </cell>
          <cell r="AC3" t="str">
            <v>¿Con qué ingresos minimos debe contar el codeudor?</v>
          </cell>
          <cell r="AD3" t="str">
            <v>¿Qué valor mínimo de finca raiz debe tener el codeudor?</v>
          </cell>
          <cell r="AE3" t="str">
            <v>¿El codeudor cumple las mismas condiciones del deudor?</v>
          </cell>
          <cell r="AF3" t="str">
            <v>Edad minima del codeudor</v>
          </cell>
          <cell r="AG3" t="str">
            <v>Edad maxima del codeudor</v>
          </cell>
          <cell r="AH3" t="str">
            <v>¿Se requiere tener un bien inmueble para la solicitud?</v>
          </cell>
          <cell r="AI3" t="str">
            <v>Exige hipoteca?</v>
          </cell>
          <cell r="AJ3" t="str">
            <v>¿Cuál debe ser el valor mínimo del bien?</v>
          </cell>
          <cell r="AK3" t="str">
            <v>Exige prenda?</v>
          </cell>
          <cell r="AL3" t="str">
            <v>¿Cuál debe ser el valor mínimo de la prenda?</v>
          </cell>
          <cell r="AM3" t="str">
            <v>¿Exigen que pertenezca a la misma pagaduría y al mismo régimen? COD</v>
          </cell>
          <cell r="AN3" t="str">
            <v>¿Exige deudor solidario?</v>
          </cell>
          <cell r="AO3" t="str">
            <v>¿Con qué ingresos minimos debe contar el codeudor?</v>
          </cell>
          <cell r="AP3" t="str">
            <v>¿Qué valor mínimo de finca raiz debe tener el codeudor?</v>
          </cell>
          <cell r="AQ3" t="str">
            <v>¿El codeudor cumple las mismas condiciones del deudor?</v>
          </cell>
          <cell r="AR3" t="str">
            <v>Edad minima del codeudor que consigue</v>
          </cell>
          <cell r="AS3" t="str">
            <v>Edad maxima del codeudor que consigue</v>
          </cell>
          <cell r="AT3" t="str">
            <v>Vigencia paz y salvo</v>
          </cell>
          <cell r="AU3" t="str">
            <v>Cuantos dias despues de ultimo pago se puede solicitar</v>
          </cell>
          <cell r="AV3" t="str">
            <v>Valor 1ro</v>
          </cell>
          <cell r="AW3" t="str">
            <v>Valor Copia</v>
          </cell>
          <cell r="AX3" t="str">
            <v xml:space="preserve">Días desde la solicitud hasta la aprobación (máximo) </v>
          </cell>
          <cell r="AY3" t="str">
            <v>Días desde la aprobación hasta el desembolso (máximo)</v>
          </cell>
          <cell r="AZ3" t="str">
            <v>avisan desemb?</v>
          </cell>
          <cell r="BA3" t="str">
            <v>Canal desemb</v>
          </cell>
          <cell r="BC3" t="str">
            <v>P-Cédula Original</v>
          </cell>
          <cell r="BD3" t="str">
            <v>P-Copia del documento de identidad</v>
          </cell>
          <cell r="BE3" t="str">
            <v>P-Carta y matricula de contador</v>
          </cell>
          <cell r="BF3" t="str">
            <v>P-Certificado convenio con el que paga la pensión</v>
          </cell>
          <cell r="BG3" t="str">
            <v>P-Certificado de ingresos y retenciones</v>
          </cell>
          <cell r="BH3" t="str">
            <v>P-Certificación  de ser pensionado</v>
          </cell>
          <cell r="BI3" t="str">
            <v>P-Certificación de otros ingresos</v>
          </cell>
          <cell r="BJ3" t="str">
            <v>P-Certificación de patrimonio</v>
          </cell>
          <cell r="BK3" t="str">
            <v>P-Constancia de no declarante</v>
          </cell>
          <cell r="BL3" t="str">
            <v>P-Copia de 3 ultimos recibos de pago:</v>
          </cell>
          <cell r="BM3" t="str">
            <v>P-Copia 3 últimos extractos bancarios</v>
          </cell>
          <cell r="BN3" t="str">
            <v>P-Declaración de renta</v>
          </cell>
          <cell r="BO3" t="str">
            <v>P-Planos, presupuestos y/o licencias</v>
          </cell>
          <cell r="BP3" t="str">
            <v>P-Promesa de compraventa</v>
          </cell>
          <cell r="BQ3" t="str">
            <v>P-Registro mercantil</v>
          </cell>
          <cell r="BR3" t="str">
            <v>P-Solicitud de vinculación</v>
          </cell>
          <cell r="BS3" t="str">
            <v>P-Ultimas colillas o desprendibles de pago de pensión:</v>
          </cell>
          <cell r="BT3" t="str">
            <v>P-Otro 1</v>
          </cell>
          <cell r="BU3" t="str">
            <v>P-Otro 2</v>
          </cell>
          <cell r="BV3" t="str">
            <v>P-Otro 3</v>
          </cell>
          <cell r="BW3" t="str">
            <v>I-Cédula Original</v>
          </cell>
          <cell r="BX3" t="str">
            <v>I-Copia del documento de identidad</v>
          </cell>
          <cell r="BY3" t="str">
            <v>I-Certificado Camara de comercio</v>
          </cell>
          <cell r="BZ3" t="str">
            <v>I-Carta y matricula de contador</v>
          </cell>
          <cell r="CA3" t="str">
            <v>I-Certificado convenio con empleador</v>
          </cell>
          <cell r="CB3" t="str">
            <v>I-Certificado de ingresos y retenciones</v>
          </cell>
          <cell r="CC3" t="str">
            <v>I-Certificación laboral</v>
          </cell>
          <cell r="CD3" t="str">
            <v>I-Certificado de libertad del inmueble</v>
          </cell>
          <cell r="CE3" t="str">
            <v>I-Certificación de otros ingresos</v>
          </cell>
          <cell r="CF3" t="str">
            <v>I-Certificación de patrimonio</v>
          </cell>
          <cell r="CG3" t="str">
            <v>I-Constancia de no declarante</v>
          </cell>
          <cell r="CH3" t="str">
            <v>I-Copia 3 últimos extractos bancarios</v>
          </cell>
          <cell r="CI3" t="str">
            <v>I-Declaración de renta</v>
          </cell>
          <cell r="CJ3" t="str">
            <v>I-Planos, presupuestos y/o licencias</v>
          </cell>
          <cell r="CK3" t="str">
            <v>I-Promesa de compraventa</v>
          </cell>
          <cell r="CL3" t="str">
            <v>I-Registro mercantil</v>
          </cell>
          <cell r="CM3" t="str">
            <v>I-Solicitud de vinculación</v>
          </cell>
          <cell r="CN3" t="str">
            <v>I-Otro 1</v>
          </cell>
          <cell r="CO3" t="str">
            <v>I-Otro 2</v>
          </cell>
          <cell r="CP3" t="str">
            <v>I-Otro 3</v>
          </cell>
          <cell r="CQ3" t="str">
            <v>E-Antigüedad mínima en meses</v>
          </cell>
          <cell r="CR3" t="str">
            <v>E-Cédula Original</v>
          </cell>
          <cell r="CS3" t="str">
            <v>E-Copia del documento de identidad</v>
          </cell>
          <cell r="CT3" t="str">
            <v>E-Certificado Camara de comercio</v>
          </cell>
          <cell r="CU3" t="str">
            <v>E-Carta y matricula de contador</v>
          </cell>
          <cell r="CV3" t="str">
            <v>E-Certificado convenio con empleador</v>
          </cell>
          <cell r="CW3" t="str">
            <v>E-Certificado de ingresos y retenciones</v>
          </cell>
          <cell r="CX3" t="str">
            <v>E-Certificación laboral</v>
          </cell>
          <cell r="CY3" t="str">
            <v>E-Certificado de libertad del inmueble</v>
          </cell>
          <cell r="CZ3" t="str">
            <v>E-Certificación de otros ingresos</v>
          </cell>
          <cell r="DA3" t="str">
            <v>E-Certificación de patrimonio</v>
          </cell>
          <cell r="DB3" t="str">
            <v>E-Constancia de no declarante</v>
          </cell>
          <cell r="DC3" t="str">
            <v>E-Copia 3 últimos extractos bancarios</v>
          </cell>
          <cell r="DD3" t="str">
            <v>E-Declaración de renta</v>
          </cell>
          <cell r="DE3" t="str">
            <v>E-Planos, presupuestos y/o licencias</v>
          </cell>
          <cell r="DF3" t="str">
            <v>E-Promesa de compraventa</v>
          </cell>
          <cell r="DG3" t="str">
            <v>E-Registro mercantil</v>
          </cell>
          <cell r="DH3" t="str">
            <v>E-Solicitud de vinculación</v>
          </cell>
          <cell r="DI3" t="str">
            <v>E-Copia de los 3 ultimos recibos de pago</v>
          </cell>
          <cell r="DJ3" t="str">
            <v>E-Otro 1</v>
          </cell>
          <cell r="DK3" t="str">
            <v>E-Otro 2</v>
          </cell>
          <cell r="DL3" t="str">
            <v>E-Otro 3</v>
          </cell>
          <cell r="DM3" t="str">
            <v>NOMBRE DEL PRODUCTO</v>
          </cell>
          <cell r="DN3" t="str">
            <v>ENTIDAD</v>
          </cell>
          <cell r="DO3" t="str">
            <v>TIPO DE AMORTIZACION</v>
          </cell>
          <cell r="DP3" t="str">
            <v>TASA DE INTERES</v>
          </cell>
          <cell r="DQ3" t="str">
            <v>COSTOS INICIALES</v>
          </cell>
          <cell r="DR3" t="str">
            <v>COSTOS FINALES</v>
          </cell>
          <cell r="DS3" t="str">
            <v>PERIOD ADMINIS</v>
          </cell>
          <cell r="DT3" t="str">
            <v>COSTO ADMINISTRA</v>
          </cell>
          <cell r="DU3" t="str">
            <v>PERIODO DE GRACIA</v>
          </cell>
          <cell r="DV3" t="str">
            <v>COBRA INTERES</v>
          </cell>
          <cell r="DW3" t="str">
            <v>CANAL 1</v>
          </cell>
          <cell r="DX3" t="str">
            <v>CANAL 2</v>
          </cell>
          <cell r="DY3" t="str">
            <v>CANAL 3</v>
          </cell>
          <cell r="DZ3" t="str">
            <v>CANAL 4</v>
          </cell>
          <cell r="EA3" t="str">
            <v>CANAL 5</v>
          </cell>
          <cell r="EB3" t="str">
            <v>CANAL 6</v>
          </cell>
          <cell r="EC3" t="str">
            <v>CANAL 7</v>
          </cell>
          <cell r="ED3" t="str">
            <v>CANAL 8</v>
          </cell>
          <cell r="EE3" t="str">
            <v>CANAL 9</v>
          </cell>
          <cell r="EF3" t="str">
            <v>CANAL 10</v>
          </cell>
          <cell r="EG3" t="str">
            <v>CANAL 11</v>
          </cell>
          <cell r="EH3" t="str">
            <v>CANAL 12</v>
          </cell>
          <cell r="EI3" t="str">
            <v>CANAL 13</v>
          </cell>
          <cell r="EJ3" t="str">
            <v>CANAL 14</v>
          </cell>
          <cell r="EK3" t="str">
            <v>CANAL 15</v>
          </cell>
          <cell r="EL3" t="str">
            <v>CANAL 16</v>
          </cell>
          <cell r="EM3" t="str">
            <v>CANAL 17</v>
          </cell>
          <cell r="EN3" t="str">
            <v>CANAL 18</v>
          </cell>
          <cell r="EO3" t="str">
            <v>CANAL 19</v>
          </cell>
          <cell r="EP3" t="str">
            <v>CANAL 20</v>
          </cell>
          <cell r="EQ3" t="str">
            <v>CANAL 21</v>
          </cell>
          <cell r="ER3" t="str">
            <v>CANAL 22</v>
          </cell>
          <cell r="ES3" t="str">
            <v>Se puede periodicidad diferente a la mensual?</v>
          </cell>
          <cell r="ET3" t="str">
            <v>Opciones por mes para hace pago</v>
          </cell>
          <cell r="EU3" t="str">
            <v>Consultar estado deuda por: Correo Fisico</v>
          </cell>
          <cell r="EV3" t="str">
            <v>Consultar estado deuda por: Correo electr</v>
          </cell>
          <cell r="EW3" t="str">
            <v>Consultar estado deuda por: Internet</v>
          </cell>
          <cell r="EX3" t="str">
            <v>Consultar estado deuda por: Audioresp</v>
          </cell>
          <cell r="EY3" t="str">
            <v>Consultar estado deuda por: BancaMovil</v>
          </cell>
          <cell r="EZ3" t="str">
            <v>Consultar estado deuda por: Oficina</v>
          </cell>
          <cell r="FA3" t="str">
            <v>Consultar estado deuda por: Cajero</v>
          </cell>
          <cell r="FB3" t="str">
            <v>Consultar estado deuda por: CNB</v>
          </cell>
          <cell r="FC3" t="str">
            <v>Numero de  Ofina propia</v>
          </cell>
          <cell r="FD3" t="str">
            <v>Numero de  Of ajena</v>
          </cell>
          <cell r="FE3" t="str">
            <v>Numero de  Cajero propio</v>
          </cell>
          <cell r="FF3" t="str">
            <v>Numero de  Cajero ajeno</v>
          </cell>
          <cell r="FG3" t="str">
            <v>Numero de  CNB propia</v>
          </cell>
          <cell r="FH3" t="str">
            <v>Numero de  CNB ajeno</v>
          </cell>
          <cell r="FI3" t="str">
            <v>Numero de  Centro recaudo propio</v>
          </cell>
          <cell r="FJ3" t="str">
            <v>Numero de  Centro recaud ajeno</v>
          </cell>
          <cell r="FK3" t="str">
            <v>Numero de  Grandes superf</v>
          </cell>
          <cell r="FL3" t="str">
            <v>Numero de  Otros</v>
          </cell>
          <cell r="FM3" t="str">
            <v>Numero de  Audiorespuesta si tiene cuenta en la entidad</v>
          </cell>
          <cell r="FN3" t="str">
            <v>Numero de  Bancamovil (si tiene cuenta en entidad)</v>
          </cell>
          <cell r="FO3" t="str">
            <v>Numero de  Debitos autom (si tiene cuenta en ent)</v>
          </cell>
          <cell r="FP3" t="str">
            <v>Numero de  PSE</v>
          </cell>
          <cell r="FQ3" t="str">
            <v>Numero de  Internet</v>
          </cell>
          <cell r="FR3" t="str">
            <v>SE PUEDE pagar en otros municipios</v>
          </cell>
          <cell r="FS3" t="str">
            <v># MUNICIPIOS?</v>
          </cell>
          <cell r="FT3" t="str">
            <v>Direccion aprox punto 1</v>
          </cell>
          <cell r="FU3" t="str">
            <v>Direccion aprox punto 2</v>
          </cell>
          <cell r="FV3" t="str">
            <v>Direccion aprox punto 3</v>
          </cell>
          <cell r="FW3" t="str">
            <v>Como es el proceso (virtualidad vs presencial)</v>
          </cell>
          <cell r="FX3" t="str">
            <v>Preabrovacion (virt-pres)</v>
          </cell>
          <cell r="FY3" t="str">
            <v># de benef adicionales</v>
          </cell>
          <cell r="FZ3" t="str">
            <v>Horas por semana oficinas</v>
          </cell>
          <cell r="GA3" t="str">
            <v>Tiene como canal de com.  Correo electronico</v>
          </cell>
          <cell r="GB3" t="str">
            <v>Tiene como canal de com.  Facebook</v>
          </cell>
          <cell r="GC3" t="str">
            <v>Tiene como canal de com.  Twitter</v>
          </cell>
          <cell r="GD3" t="str">
            <v>Tiene como canal de com.  Linea telefonica</v>
          </cell>
          <cell r="GE3" t="str">
            <v>Tiene como canal de com.  Youtube</v>
          </cell>
          <cell r="GF3" t="str">
            <v>Tiene como canal de com.  Pagina</v>
          </cell>
          <cell r="GG3" t="str">
            <v>Tiene como canal de com.  Chat</v>
          </cell>
        </row>
        <row r="4">
          <cell r="A4" t="str">
            <v>E001001021001</v>
          </cell>
          <cell r="B4" t="str">
            <v>Si</v>
          </cell>
          <cell r="C4">
            <v>2142400</v>
          </cell>
          <cell r="D4">
            <v>99999999</v>
          </cell>
          <cell r="E4" t="str">
            <v>Femenino</v>
          </cell>
          <cell r="F4">
            <v>18</v>
          </cell>
          <cell r="G4">
            <v>30</v>
          </cell>
          <cell r="H4" t="str">
            <v>SI</v>
          </cell>
          <cell r="I4" t="str">
            <v>SI</v>
          </cell>
          <cell r="J4" t="str">
            <v>SI</v>
          </cell>
          <cell r="AT4">
            <v>12</v>
          </cell>
          <cell r="AU4">
            <v>6</v>
          </cell>
          <cell r="AV4">
            <v>10000</v>
          </cell>
          <cell r="AW4">
            <v>10000</v>
          </cell>
          <cell r="AX4">
            <v>6</v>
          </cell>
          <cell r="AY4">
            <v>8</v>
          </cell>
          <cell r="AZ4" t="str">
            <v>NO</v>
          </cell>
          <cell r="BA4">
            <v>2</v>
          </cell>
          <cell r="BC4" t="str">
            <v>NO</v>
          </cell>
          <cell r="BD4" t="str">
            <v>SI</v>
          </cell>
          <cell r="BE4" t="str">
            <v>NO</v>
          </cell>
          <cell r="BF4" t="str">
            <v>NO</v>
          </cell>
          <cell r="BG4" t="str">
            <v>SI</v>
          </cell>
          <cell r="BH4" t="str">
            <v>SI</v>
          </cell>
          <cell r="BI4" t="str">
            <v>SI</v>
          </cell>
          <cell r="BJ4" t="str">
            <v>SI</v>
          </cell>
          <cell r="BK4" t="str">
            <v>NO</v>
          </cell>
          <cell r="BL4" t="str">
            <v>SI</v>
          </cell>
          <cell r="BM4" t="str">
            <v>SI</v>
          </cell>
          <cell r="BN4" t="str">
            <v>NO</v>
          </cell>
          <cell r="BO4" t="str">
            <v>SI</v>
          </cell>
          <cell r="BP4" t="str">
            <v>SI</v>
          </cell>
          <cell r="BQ4" t="str">
            <v>NO</v>
          </cell>
          <cell r="BR4" t="str">
            <v>SI</v>
          </cell>
          <cell r="BS4" t="str">
            <v>SI</v>
          </cell>
          <cell r="BT4" t="str">
            <v>SI</v>
          </cell>
          <cell r="BU4" t="str">
            <v>SI</v>
          </cell>
          <cell r="BV4" t="str">
            <v>NO</v>
          </cell>
          <cell r="BW4" t="str">
            <v>SI</v>
          </cell>
          <cell r="BX4" t="str">
            <v>NO</v>
          </cell>
          <cell r="BY4" t="str">
            <v>NO</v>
          </cell>
          <cell r="BZ4" t="str">
            <v>SI</v>
          </cell>
          <cell r="CA4" t="str">
            <v>NO</v>
          </cell>
          <cell r="CB4" t="str">
            <v>NO</v>
          </cell>
          <cell r="CC4" t="str">
            <v>NO</v>
          </cell>
          <cell r="CD4" t="str">
            <v>NO</v>
          </cell>
          <cell r="CE4" t="str">
            <v>SI</v>
          </cell>
          <cell r="CF4" t="str">
            <v>SI</v>
          </cell>
          <cell r="CG4" t="str">
            <v>NO</v>
          </cell>
          <cell r="CH4" t="str">
            <v>NO</v>
          </cell>
          <cell r="CI4" t="str">
            <v>SI</v>
          </cell>
          <cell r="CJ4" t="str">
            <v>NO</v>
          </cell>
          <cell r="CK4" t="str">
            <v>SI</v>
          </cell>
          <cell r="CL4" t="str">
            <v>SI</v>
          </cell>
          <cell r="CM4" t="str">
            <v>SI</v>
          </cell>
          <cell r="CN4" t="str">
            <v>NO</v>
          </cell>
          <cell r="CO4" t="str">
            <v>NO</v>
          </cell>
          <cell r="CP4" t="str">
            <v>SI</v>
          </cell>
          <cell r="CQ4" t="str">
            <v>SI</v>
          </cell>
          <cell r="CR4" t="str">
            <v>SI</v>
          </cell>
          <cell r="CS4" t="str">
            <v>SI</v>
          </cell>
          <cell r="CT4" t="str">
            <v>SI</v>
          </cell>
          <cell r="CU4" t="str">
            <v>SI</v>
          </cell>
          <cell r="CV4" t="str">
            <v>SI</v>
          </cell>
          <cell r="CW4" t="str">
            <v>NO</v>
          </cell>
          <cell r="CX4" t="str">
            <v>SI</v>
          </cell>
          <cell r="CY4" t="str">
            <v>NO</v>
          </cell>
          <cell r="CZ4" t="str">
            <v>SI</v>
          </cell>
          <cell r="DA4" t="str">
            <v>NO</v>
          </cell>
          <cell r="DB4" t="str">
            <v>SI</v>
          </cell>
          <cell r="DC4" t="str">
            <v>SI</v>
          </cell>
          <cell r="DD4" t="str">
            <v>NO</v>
          </cell>
          <cell r="DE4" t="str">
            <v>SI</v>
          </cell>
          <cell r="DF4" t="str">
            <v>SI</v>
          </cell>
          <cell r="DG4" t="str">
            <v>NO</v>
          </cell>
          <cell r="DH4" t="str">
            <v>SI</v>
          </cell>
          <cell r="DI4" t="str">
            <v>SI</v>
          </cell>
          <cell r="DJ4" t="str">
            <v>SI</v>
          </cell>
          <cell r="DK4" t="str">
            <v>NO</v>
          </cell>
          <cell r="DL4" t="str">
            <v>NO</v>
          </cell>
          <cell r="DM4" t="str">
            <v>E001001021001</v>
          </cell>
          <cell r="DN4" t="str">
            <v>E001001</v>
          </cell>
          <cell r="DO4" t="str">
            <v>Cuota fija Pesos</v>
          </cell>
          <cell r="DP4">
            <v>0.1</v>
          </cell>
          <cell r="DQ4">
            <v>2100000</v>
          </cell>
          <cell r="DR4">
            <v>900000</v>
          </cell>
          <cell r="DS4">
            <v>2</v>
          </cell>
          <cell r="DT4">
            <v>1500</v>
          </cell>
          <cell r="DW4">
            <v>7000</v>
          </cell>
          <cell r="DX4">
            <v>0</v>
          </cell>
          <cell r="DY4">
            <v>2500</v>
          </cell>
          <cell r="DZ4">
            <v>4000</v>
          </cell>
          <cell r="EA4">
            <v>6500</v>
          </cell>
          <cell r="EB4">
            <v>10000</v>
          </cell>
          <cell r="EC4">
            <v>3000</v>
          </cell>
          <cell r="ED4">
            <v>6500</v>
          </cell>
          <cell r="EE4">
            <v>5000</v>
          </cell>
          <cell r="EF4">
            <v>2000</v>
          </cell>
          <cell r="EG4">
            <v>6000</v>
          </cell>
          <cell r="EH4">
            <v>4500</v>
          </cell>
          <cell r="EI4">
            <v>5500</v>
          </cell>
          <cell r="EJ4">
            <v>9000</v>
          </cell>
          <cell r="EK4">
            <v>4500</v>
          </cell>
          <cell r="EL4">
            <v>7000</v>
          </cell>
          <cell r="EM4">
            <v>7500</v>
          </cell>
          <cell r="EN4">
            <v>0</v>
          </cell>
          <cell r="EO4">
            <v>9500</v>
          </cell>
          <cell r="EP4">
            <v>5500</v>
          </cell>
          <cell r="EQ4">
            <v>2000</v>
          </cell>
          <cell r="ER4">
            <v>6500</v>
          </cell>
          <cell r="ES4" t="str">
            <v>SI</v>
          </cell>
          <cell r="ET4">
            <v>15</v>
          </cell>
          <cell r="EU4" t="str">
            <v>NO</v>
          </cell>
          <cell r="EV4" t="str">
            <v>SI</v>
          </cell>
          <cell r="EW4" t="str">
            <v>NO</v>
          </cell>
          <cell r="EX4" t="str">
            <v>SI</v>
          </cell>
          <cell r="EY4" t="str">
            <v>NO</v>
          </cell>
          <cell r="EZ4" t="str">
            <v>SI</v>
          </cell>
          <cell r="FA4" t="str">
            <v>SI</v>
          </cell>
          <cell r="FB4" t="str">
            <v>SI</v>
          </cell>
          <cell r="FC4">
            <v>2217</v>
          </cell>
          <cell r="FD4">
            <v>1739</v>
          </cell>
          <cell r="FE4">
            <v>472</v>
          </cell>
          <cell r="FF4">
            <v>1128</v>
          </cell>
          <cell r="FG4">
            <v>501</v>
          </cell>
          <cell r="FH4">
            <v>477</v>
          </cell>
          <cell r="FI4">
            <v>1384</v>
          </cell>
          <cell r="FJ4">
            <v>565</v>
          </cell>
          <cell r="FK4">
            <v>1403</v>
          </cell>
          <cell r="FL4">
            <v>451</v>
          </cell>
          <cell r="FM4" t="str">
            <v>NO</v>
          </cell>
          <cell r="FN4" t="str">
            <v>SI</v>
          </cell>
          <cell r="FO4" t="str">
            <v>NO</v>
          </cell>
          <cell r="FP4" t="str">
            <v>NO</v>
          </cell>
          <cell r="FQ4" t="str">
            <v>SI</v>
          </cell>
          <cell r="FR4" t="str">
            <v>SI</v>
          </cell>
          <cell r="FS4">
            <v>395</v>
          </cell>
          <cell r="FW4" t="str">
            <v>Virtual</v>
          </cell>
          <cell r="FX4" t="str">
            <v>Virtual</v>
          </cell>
          <cell r="FY4">
            <v>3</v>
          </cell>
          <cell r="FZ4">
            <v>74</v>
          </cell>
          <cell r="GA4" t="str">
            <v>SI</v>
          </cell>
          <cell r="GB4" t="str">
            <v>SI</v>
          </cell>
          <cell r="GC4" t="str">
            <v>NO</v>
          </cell>
          <cell r="GD4" t="str">
            <v>NO</v>
          </cell>
          <cell r="GE4" t="str">
            <v>SI</v>
          </cell>
          <cell r="GF4" t="str">
            <v>SI</v>
          </cell>
          <cell r="GG4" t="str">
            <v>SI</v>
          </cell>
        </row>
        <row r="5">
          <cell r="A5" t="str">
            <v>E001001021002</v>
          </cell>
          <cell r="B5" t="str">
            <v>Si</v>
          </cell>
          <cell r="C5">
            <v>1071200</v>
          </cell>
          <cell r="D5">
            <v>99999999</v>
          </cell>
          <cell r="E5" t="str">
            <v>Ambos</v>
          </cell>
          <cell r="F5">
            <v>18</v>
          </cell>
          <cell r="G5">
            <v>65</v>
          </cell>
          <cell r="H5" t="str">
            <v>SI</v>
          </cell>
          <cell r="I5" t="str">
            <v>NO</v>
          </cell>
          <cell r="J5" t="str">
            <v>SI</v>
          </cell>
          <cell r="AT5">
            <v>4</v>
          </cell>
          <cell r="AU5">
            <v>10</v>
          </cell>
          <cell r="AV5">
            <v>15000</v>
          </cell>
          <cell r="AW5">
            <v>20000</v>
          </cell>
          <cell r="AX5">
            <v>1</v>
          </cell>
          <cell r="AY5">
            <v>8</v>
          </cell>
          <cell r="AZ5" t="str">
            <v>SI</v>
          </cell>
          <cell r="BA5">
            <v>4</v>
          </cell>
          <cell r="BC5" t="str">
            <v>NO</v>
          </cell>
          <cell r="BD5" t="str">
            <v>NO</v>
          </cell>
          <cell r="BE5" t="str">
            <v>SI</v>
          </cell>
          <cell r="BF5" t="str">
            <v>NO</v>
          </cell>
          <cell r="BG5" t="str">
            <v>SI</v>
          </cell>
          <cell r="BH5" t="str">
            <v>SI</v>
          </cell>
          <cell r="BI5" t="str">
            <v>SI</v>
          </cell>
          <cell r="BJ5" t="str">
            <v>SI</v>
          </cell>
          <cell r="BK5" t="str">
            <v>SI</v>
          </cell>
          <cell r="BL5" t="str">
            <v>NO</v>
          </cell>
          <cell r="BM5" t="str">
            <v>NO</v>
          </cell>
          <cell r="BN5" t="str">
            <v>NO</v>
          </cell>
          <cell r="BO5" t="str">
            <v>SI</v>
          </cell>
          <cell r="BP5" t="str">
            <v>SI</v>
          </cell>
          <cell r="BQ5" t="str">
            <v>NO</v>
          </cell>
          <cell r="BR5" t="str">
            <v>SI</v>
          </cell>
          <cell r="BS5" t="str">
            <v>SI</v>
          </cell>
          <cell r="BT5" t="str">
            <v>NO</v>
          </cell>
          <cell r="BU5" t="str">
            <v>SI</v>
          </cell>
          <cell r="BV5" t="str">
            <v>NO</v>
          </cell>
          <cell r="BW5" t="str">
            <v>NO</v>
          </cell>
          <cell r="BX5" t="str">
            <v>NO</v>
          </cell>
          <cell r="BY5" t="str">
            <v>NO</v>
          </cell>
          <cell r="BZ5" t="str">
            <v>NO</v>
          </cell>
          <cell r="CA5" t="str">
            <v>SI</v>
          </cell>
          <cell r="CB5" t="str">
            <v>SI</v>
          </cell>
          <cell r="CC5" t="str">
            <v>SI</v>
          </cell>
          <cell r="CD5" t="str">
            <v>SI</v>
          </cell>
          <cell r="CE5" t="str">
            <v>SI</v>
          </cell>
          <cell r="CF5" t="str">
            <v>SI</v>
          </cell>
          <cell r="CG5" t="str">
            <v>NO</v>
          </cell>
          <cell r="CH5" t="str">
            <v>SI</v>
          </cell>
          <cell r="CI5" t="str">
            <v>SI</v>
          </cell>
          <cell r="CJ5" t="str">
            <v>NO</v>
          </cell>
          <cell r="CK5" t="str">
            <v>NO</v>
          </cell>
          <cell r="CL5" t="str">
            <v>SI</v>
          </cell>
          <cell r="CM5" t="str">
            <v>NO</v>
          </cell>
          <cell r="CN5" t="str">
            <v>NO</v>
          </cell>
          <cell r="CO5" t="str">
            <v>NO</v>
          </cell>
          <cell r="CP5" t="str">
            <v>NO</v>
          </cell>
          <cell r="CQ5" t="str">
            <v>SI</v>
          </cell>
          <cell r="CR5" t="str">
            <v>NO</v>
          </cell>
          <cell r="CS5" t="str">
            <v>SI</v>
          </cell>
          <cell r="CT5" t="str">
            <v>SI</v>
          </cell>
          <cell r="CU5" t="str">
            <v>SI</v>
          </cell>
          <cell r="CV5" t="str">
            <v>NO</v>
          </cell>
          <cell r="CW5" t="str">
            <v>SI</v>
          </cell>
          <cell r="CX5" t="str">
            <v>NO</v>
          </cell>
          <cell r="CY5" t="str">
            <v>NO</v>
          </cell>
          <cell r="CZ5" t="str">
            <v>NO</v>
          </cell>
          <cell r="DA5" t="str">
            <v>NO</v>
          </cell>
          <cell r="DB5" t="str">
            <v>SI</v>
          </cell>
          <cell r="DC5" t="str">
            <v>NO</v>
          </cell>
          <cell r="DD5" t="str">
            <v>SI</v>
          </cell>
          <cell r="DE5" t="str">
            <v>SI</v>
          </cell>
          <cell r="DF5" t="str">
            <v>SI</v>
          </cell>
          <cell r="DG5" t="str">
            <v>NO</v>
          </cell>
          <cell r="DH5" t="str">
            <v>SI</v>
          </cell>
          <cell r="DI5" t="str">
            <v>NO</v>
          </cell>
          <cell r="DJ5" t="str">
            <v>NO</v>
          </cell>
          <cell r="DK5" t="str">
            <v>SI</v>
          </cell>
          <cell r="DL5" t="str">
            <v>SI</v>
          </cell>
          <cell r="DM5" t="str">
            <v>E001001021002</v>
          </cell>
          <cell r="DN5" t="str">
            <v>E001001</v>
          </cell>
          <cell r="DO5" t="str">
            <v>Cuota fija Pesos</v>
          </cell>
          <cell r="DP5">
            <v>0.09</v>
          </cell>
          <cell r="DQ5">
            <v>1200000</v>
          </cell>
          <cell r="DR5">
            <v>1200000</v>
          </cell>
          <cell r="DS5">
            <v>2</v>
          </cell>
          <cell r="DT5">
            <v>2500</v>
          </cell>
          <cell r="DW5">
            <v>2500</v>
          </cell>
          <cell r="DX5">
            <v>5000</v>
          </cell>
          <cell r="DY5">
            <v>9500</v>
          </cell>
          <cell r="DZ5">
            <v>500</v>
          </cell>
          <cell r="EA5">
            <v>5500</v>
          </cell>
          <cell r="EB5">
            <v>6500</v>
          </cell>
          <cell r="EC5">
            <v>7500</v>
          </cell>
          <cell r="ED5">
            <v>8500</v>
          </cell>
          <cell r="EE5">
            <v>6000</v>
          </cell>
          <cell r="EF5">
            <v>6000</v>
          </cell>
          <cell r="EG5">
            <v>6500</v>
          </cell>
          <cell r="EH5">
            <v>8000</v>
          </cell>
          <cell r="EI5">
            <v>4000</v>
          </cell>
          <cell r="EJ5">
            <v>8000</v>
          </cell>
          <cell r="EK5">
            <v>500</v>
          </cell>
          <cell r="EL5">
            <v>1000</v>
          </cell>
          <cell r="EM5">
            <v>0</v>
          </cell>
          <cell r="EN5">
            <v>4500</v>
          </cell>
          <cell r="EO5">
            <v>7000</v>
          </cell>
          <cell r="EP5">
            <v>6500</v>
          </cell>
          <cell r="EQ5">
            <v>7000</v>
          </cell>
          <cell r="ER5">
            <v>6500</v>
          </cell>
          <cell r="ES5" t="str">
            <v>NO</v>
          </cell>
          <cell r="ET5">
            <v>9</v>
          </cell>
          <cell r="EU5" t="str">
            <v>NO</v>
          </cell>
          <cell r="EV5" t="str">
            <v>SI</v>
          </cell>
          <cell r="EW5" t="str">
            <v>NO</v>
          </cell>
          <cell r="EX5" t="str">
            <v>SI</v>
          </cell>
          <cell r="EY5" t="str">
            <v>NO</v>
          </cell>
          <cell r="EZ5" t="str">
            <v>SI</v>
          </cell>
          <cell r="FA5" t="str">
            <v>NO</v>
          </cell>
          <cell r="FB5" t="str">
            <v>NO</v>
          </cell>
          <cell r="FC5">
            <v>1134</v>
          </cell>
          <cell r="FD5">
            <v>623</v>
          </cell>
          <cell r="FE5">
            <v>665</v>
          </cell>
          <cell r="FF5">
            <v>1139</v>
          </cell>
          <cell r="FG5">
            <v>843</v>
          </cell>
          <cell r="FH5">
            <v>1396</v>
          </cell>
          <cell r="FI5">
            <v>2159</v>
          </cell>
          <cell r="FJ5">
            <v>478</v>
          </cell>
          <cell r="FK5">
            <v>704</v>
          </cell>
          <cell r="FL5">
            <v>1585</v>
          </cell>
          <cell r="FM5" t="str">
            <v>SI</v>
          </cell>
          <cell r="FN5" t="str">
            <v>NO</v>
          </cell>
          <cell r="FO5" t="str">
            <v>NO</v>
          </cell>
          <cell r="FP5" t="str">
            <v>NO</v>
          </cell>
          <cell r="FQ5" t="str">
            <v>NO</v>
          </cell>
          <cell r="FR5" t="str">
            <v>SI</v>
          </cell>
          <cell r="FS5">
            <v>713</v>
          </cell>
          <cell r="FW5" t="str">
            <v>Presencial</v>
          </cell>
          <cell r="FX5" t="str">
            <v>Fisica</v>
          </cell>
          <cell r="FY5">
            <v>2</v>
          </cell>
          <cell r="FZ5">
            <v>70</v>
          </cell>
          <cell r="GA5" t="str">
            <v>SI</v>
          </cell>
          <cell r="GB5" t="str">
            <v>NO</v>
          </cell>
          <cell r="GC5" t="str">
            <v>NO</v>
          </cell>
          <cell r="GD5" t="str">
            <v>NO</v>
          </cell>
          <cell r="GE5" t="str">
            <v>SI</v>
          </cell>
          <cell r="GF5" t="str">
            <v>SI</v>
          </cell>
          <cell r="GG5" t="str">
            <v>SI</v>
          </cell>
        </row>
        <row r="6">
          <cell r="A6" t="str">
            <v>E001001021003</v>
          </cell>
          <cell r="B6" t="str">
            <v>No</v>
          </cell>
          <cell r="C6">
            <v>2000000</v>
          </cell>
          <cell r="D6">
            <v>99999999</v>
          </cell>
          <cell r="E6" t="str">
            <v>Ambos</v>
          </cell>
          <cell r="F6">
            <v>25</v>
          </cell>
          <cell r="G6">
            <v>65</v>
          </cell>
          <cell r="H6" t="str">
            <v>SI</v>
          </cell>
          <cell r="I6" t="str">
            <v>SI</v>
          </cell>
          <cell r="J6" t="str">
            <v>SI</v>
          </cell>
          <cell r="AT6">
            <v>21</v>
          </cell>
          <cell r="AU6">
            <v>12</v>
          </cell>
          <cell r="AV6">
            <v>8000</v>
          </cell>
          <cell r="AW6">
            <v>25000</v>
          </cell>
          <cell r="AX6">
            <v>10</v>
          </cell>
          <cell r="AY6">
            <v>13</v>
          </cell>
          <cell r="AZ6" t="str">
            <v>SI</v>
          </cell>
          <cell r="BA6">
            <v>4</v>
          </cell>
          <cell r="BC6" t="str">
            <v>SI</v>
          </cell>
          <cell r="BD6" t="str">
            <v>SI</v>
          </cell>
          <cell r="BE6" t="str">
            <v>SI</v>
          </cell>
          <cell r="BF6" t="str">
            <v>NO</v>
          </cell>
          <cell r="BG6" t="str">
            <v>NO</v>
          </cell>
          <cell r="BH6" t="str">
            <v>NO</v>
          </cell>
          <cell r="BI6" t="str">
            <v>SI</v>
          </cell>
          <cell r="BJ6" t="str">
            <v>NO</v>
          </cell>
          <cell r="BK6" t="str">
            <v>SI</v>
          </cell>
          <cell r="BL6" t="str">
            <v>SI</v>
          </cell>
          <cell r="BM6" t="str">
            <v>SI</v>
          </cell>
          <cell r="BN6" t="str">
            <v>NO</v>
          </cell>
          <cell r="BO6" t="str">
            <v>SI</v>
          </cell>
          <cell r="BP6" t="str">
            <v>NO</v>
          </cell>
          <cell r="BQ6" t="str">
            <v>NO</v>
          </cell>
          <cell r="BR6" t="str">
            <v>SI</v>
          </cell>
          <cell r="BS6" t="str">
            <v>SI</v>
          </cell>
          <cell r="BT6" t="str">
            <v>SI</v>
          </cell>
          <cell r="BU6" t="str">
            <v>SI</v>
          </cell>
          <cell r="BV6" t="str">
            <v>NO</v>
          </cell>
          <cell r="BW6" t="str">
            <v>SI</v>
          </cell>
          <cell r="BX6" t="str">
            <v>NO</v>
          </cell>
          <cell r="BY6" t="str">
            <v>SI</v>
          </cell>
          <cell r="BZ6" t="str">
            <v>SI</v>
          </cell>
          <cell r="CA6" t="str">
            <v>NO</v>
          </cell>
          <cell r="CB6" t="str">
            <v>NO</v>
          </cell>
          <cell r="CC6" t="str">
            <v>NO</v>
          </cell>
          <cell r="CD6" t="str">
            <v>SI</v>
          </cell>
          <cell r="CE6" t="str">
            <v>SI</v>
          </cell>
          <cell r="CF6" t="str">
            <v>SI</v>
          </cell>
          <cell r="CG6" t="str">
            <v>SI</v>
          </cell>
          <cell r="CH6" t="str">
            <v>SI</v>
          </cell>
          <cell r="CI6" t="str">
            <v>NO</v>
          </cell>
          <cell r="CJ6" t="str">
            <v>SI</v>
          </cell>
          <cell r="CK6" t="str">
            <v>NO</v>
          </cell>
          <cell r="CL6" t="str">
            <v>NO</v>
          </cell>
          <cell r="CM6" t="str">
            <v>NO</v>
          </cell>
          <cell r="CN6" t="str">
            <v>NO</v>
          </cell>
          <cell r="CO6" t="str">
            <v>SI</v>
          </cell>
          <cell r="CP6" t="str">
            <v>NO</v>
          </cell>
          <cell r="CQ6" t="str">
            <v>NO</v>
          </cell>
          <cell r="CR6" t="str">
            <v>NO</v>
          </cell>
          <cell r="CS6" t="str">
            <v>SI</v>
          </cell>
          <cell r="CT6" t="str">
            <v>SI</v>
          </cell>
          <cell r="CU6" t="str">
            <v>SI</v>
          </cell>
          <cell r="CV6" t="str">
            <v>SI</v>
          </cell>
          <cell r="CW6" t="str">
            <v>SI</v>
          </cell>
          <cell r="CX6" t="str">
            <v>SI</v>
          </cell>
          <cell r="CY6" t="str">
            <v>NO</v>
          </cell>
          <cell r="CZ6" t="str">
            <v>SI</v>
          </cell>
          <cell r="DA6" t="str">
            <v>NO</v>
          </cell>
          <cell r="DB6" t="str">
            <v>SI</v>
          </cell>
          <cell r="DC6" t="str">
            <v>NO</v>
          </cell>
          <cell r="DD6" t="str">
            <v>SI</v>
          </cell>
          <cell r="DE6" t="str">
            <v>SI</v>
          </cell>
          <cell r="DF6" t="str">
            <v>SI</v>
          </cell>
          <cell r="DG6" t="str">
            <v>SI</v>
          </cell>
          <cell r="DH6" t="str">
            <v>SI</v>
          </cell>
          <cell r="DI6" t="str">
            <v>SI</v>
          </cell>
          <cell r="DJ6" t="str">
            <v>SI</v>
          </cell>
          <cell r="DK6" t="str">
            <v>NO</v>
          </cell>
          <cell r="DL6" t="str">
            <v>NO</v>
          </cell>
          <cell r="DM6" t="str">
            <v>E001001021003</v>
          </cell>
          <cell r="DN6" t="str">
            <v>E001001</v>
          </cell>
          <cell r="DO6" t="str">
            <v>Cuota fija Pesos</v>
          </cell>
          <cell r="DP6">
            <v>0.12</v>
          </cell>
          <cell r="DQ6">
            <v>1300000</v>
          </cell>
          <cell r="DR6">
            <v>1100000</v>
          </cell>
          <cell r="DS6">
            <v>2</v>
          </cell>
          <cell r="DT6">
            <v>6500</v>
          </cell>
          <cell r="DW6">
            <v>500</v>
          </cell>
          <cell r="DX6">
            <v>9500</v>
          </cell>
          <cell r="DY6">
            <v>4500</v>
          </cell>
          <cell r="DZ6">
            <v>0</v>
          </cell>
          <cell r="EA6">
            <v>9500</v>
          </cell>
          <cell r="EB6">
            <v>4500</v>
          </cell>
          <cell r="EC6">
            <v>4000</v>
          </cell>
          <cell r="ED6">
            <v>4500</v>
          </cell>
          <cell r="EE6">
            <v>1500</v>
          </cell>
          <cell r="EF6">
            <v>5000</v>
          </cell>
          <cell r="EG6">
            <v>8500</v>
          </cell>
          <cell r="EH6">
            <v>3000</v>
          </cell>
          <cell r="EI6">
            <v>4000</v>
          </cell>
          <cell r="EJ6">
            <v>5500</v>
          </cell>
          <cell r="EK6">
            <v>7500</v>
          </cell>
          <cell r="EL6">
            <v>7000</v>
          </cell>
          <cell r="EM6">
            <v>6500</v>
          </cell>
          <cell r="EN6">
            <v>7000</v>
          </cell>
          <cell r="EO6">
            <v>3500</v>
          </cell>
          <cell r="EP6">
            <v>9000</v>
          </cell>
          <cell r="EQ6">
            <v>9500</v>
          </cell>
          <cell r="ER6">
            <v>10000</v>
          </cell>
          <cell r="ES6" t="str">
            <v>NO</v>
          </cell>
          <cell r="ET6">
            <v>17</v>
          </cell>
          <cell r="EU6" t="str">
            <v>NO</v>
          </cell>
          <cell r="EV6" t="str">
            <v>SI</v>
          </cell>
          <cell r="EW6" t="str">
            <v>NO</v>
          </cell>
          <cell r="EX6" t="str">
            <v>NO</v>
          </cell>
          <cell r="EY6" t="str">
            <v>SI</v>
          </cell>
          <cell r="EZ6" t="str">
            <v>NO</v>
          </cell>
          <cell r="FA6" t="str">
            <v>SI</v>
          </cell>
          <cell r="FB6" t="str">
            <v>NO</v>
          </cell>
          <cell r="FC6">
            <v>1421</v>
          </cell>
          <cell r="FD6">
            <v>1405</v>
          </cell>
          <cell r="FE6">
            <v>712</v>
          </cell>
          <cell r="FF6">
            <v>2259</v>
          </cell>
          <cell r="FG6">
            <v>945</v>
          </cell>
          <cell r="FH6">
            <v>1815</v>
          </cell>
          <cell r="FI6">
            <v>268</v>
          </cell>
          <cell r="FJ6">
            <v>578</v>
          </cell>
          <cell r="FK6">
            <v>1083</v>
          </cell>
          <cell r="FL6">
            <v>1257</v>
          </cell>
          <cell r="FM6" t="str">
            <v>SI</v>
          </cell>
          <cell r="FN6" t="str">
            <v>SI</v>
          </cell>
          <cell r="FO6" t="str">
            <v>NO</v>
          </cell>
          <cell r="FP6" t="str">
            <v>SI</v>
          </cell>
          <cell r="FQ6" t="str">
            <v>NO</v>
          </cell>
          <cell r="FR6" t="str">
            <v>NO</v>
          </cell>
          <cell r="FS6">
            <v>0</v>
          </cell>
          <cell r="FW6" t="str">
            <v>Intermedio</v>
          </cell>
          <cell r="FX6" t="str">
            <v>No</v>
          </cell>
          <cell r="FY6">
            <v>6</v>
          </cell>
          <cell r="FZ6">
            <v>40</v>
          </cell>
          <cell r="GA6" t="str">
            <v>NO</v>
          </cell>
          <cell r="GB6" t="str">
            <v>SI</v>
          </cell>
          <cell r="GC6" t="str">
            <v>NO</v>
          </cell>
          <cell r="GD6" t="str">
            <v>NO</v>
          </cell>
          <cell r="GE6" t="str">
            <v>NO</v>
          </cell>
          <cell r="GF6" t="str">
            <v>NO</v>
          </cell>
          <cell r="GG6" t="str">
            <v>NO</v>
          </cell>
        </row>
        <row r="7">
          <cell r="A7" t="str">
            <v>E001002021001</v>
          </cell>
          <cell r="B7" t="str">
            <v>No</v>
          </cell>
          <cell r="C7">
            <v>3749200</v>
          </cell>
          <cell r="D7">
            <v>99999999</v>
          </cell>
          <cell r="E7" t="str">
            <v>Ambos</v>
          </cell>
          <cell r="F7">
            <v>18</v>
          </cell>
          <cell r="G7">
            <v>65</v>
          </cell>
          <cell r="H7" t="str">
            <v>NO</v>
          </cell>
          <cell r="I7" t="str">
            <v>SI</v>
          </cell>
          <cell r="J7" t="str">
            <v>SI</v>
          </cell>
          <cell r="AT7">
            <v>23</v>
          </cell>
          <cell r="AU7">
            <v>10</v>
          </cell>
          <cell r="AV7">
            <v>12000</v>
          </cell>
          <cell r="AW7">
            <v>10000</v>
          </cell>
          <cell r="AX7">
            <v>12</v>
          </cell>
          <cell r="AY7">
            <v>14</v>
          </cell>
          <cell r="AZ7" t="str">
            <v>NO</v>
          </cell>
          <cell r="BA7">
            <v>3</v>
          </cell>
          <cell r="BC7" t="str">
            <v>SI</v>
          </cell>
          <cell r="BD7" t="str">
            <v>SI</v>
          </cell>
          <cell r="BE7" t="str">
            <v>SI</v>
          </cell>
          <cell r="BF7" t="str">
            <v>NO</v>
          </cell>
          <cell r="BG7" t="str">
            <v>SI</v>
          </cell>
          <cell r="BH7" t="str">
            <v>NO</v>
          </cell>
          <cell r="BI7" t="str">
            <v>NO</v>
          </cell>
          <cell r="BJ7" t="str">
            <v>NO</v>
          </cell>
          <cell r="BK7" t="str">
            <v>SI</v>
          </cell>
          <cell r="BL7" t="str">
            <v>NO</v>
          </cell>
          <cell r="BM7" t="str">
            <v>SI</v>
          </cell>
          <cell r="BN7" t="str">
            <v>SI</v>
          </cell>
          <cell r="BO7" t="str">
            <v>SI</v>
          </cell>
          <cell r="BP7" t="str">
            <v>SI</v>
          </cell>
          <cell r="BQ7" t="str">
            <v>SI</v>
          </cell>
          <cell r="BR7" t="str">
            <v>SI</v>
          </cell>
          <cell r="BS7" t="str">
            <v>SI</v>
          </cell>
          <cell r="BT7" t="str">
            <v>SI</v>
          </cell>
          <cell r="BU7" t="str">
            <v>SI</v>
          </cell>
          <cell r="BV7" t="str">
            <v>NO</v>
          </cell>
          <cell r="BW7" t="str">
            <v>SI</v>
          </cell>
          <cell r="BX7" t="str">
            <v>SI</v>
          </cell>
          <cell r="BY7" t="str">
            <v>SI</v>
          </cell>
          <cell r="BZ7" t="str">
            <v>NO</v>
          </cell>
          <cell r="CA7" t="str">
            <v>SI</v>
          </cell>
          <cell r="CB7" t="str">
            <v>SI</v>
          </cell>
          <cell r="CC7" t="str">
            <v>NO</v>
          </cell>
          <cell r="CD7" t="str">
            <v>NO</v>
          </cell>
          <cell r="CE7" t="str">
            <v>SI</v>
          </cell>
          <cell r="CF7" t="str">
            <v>SI</v>
          </cell>
          <cell r="CG7" t="str">
            <v>NO</v>
          </cell>
          <cell r="CH7" t="str">
            <v>NO</v>
          </cell>
          <cell r="CI7" t="str">
            <v>NO</v>
          </cell>
          <cell r="CJ7" t="str">
            <v>NO</v>
          </cell>
          <cell r="CK7" t="str">
            <v>NO</v>
          </cell>
          <cell r="CL7" t="str">
            <v>NO</v>
          </cell>
          <cell r="CM7" t="str">
            <v>SI</v>
          </cell>
          <cell r="CN7" t="str">
            <v>SI</v>
          </cell>
          <cell r="CO7" t="str">
            <v>NO</v>
          </cell>
          <cell r="CP7" t="str">
            <v>SI</v>
          </cell>
          <cell r="CQ7" t="str">
            <v>SI</v>
          </cell>
          <cell r="CR7" t="str">
            <v>SI</v>
          </cell>
          <cell r="CS7" t="str">
            <v>SI</v>
          </cell>
          <cell r="CT7" t="str">
            <v>SI</v>
          </cell>
          <cell r="CU7" t="str">
            <v>SI</v>
          </cell>
          <cell r="CV7" t="str">
            <v>SI</v>
          </cell>
          <cell r="CW7" t="str">
            <v>NO</v>
          </cell>
          <cell r="CX7" t="str">
            <v>SI</v>
          </cell>
          <cell r="CY7" t="str">
            <v>SI</v>
          </cell>
          <cell r="CZ7" t="str">
            <v>SI</v>
          </cell>
          <cell r="DA7" t="str">
            <v>SI</v>
          </cell>
          <cell r="DB7" t="str">
            <v>NO</v>
          </cell>
          <cell r="DC7" t="str">
            <v>SI</v>
          </cell>
          <cell r="DD7" t="str">
            <v>NO</v>
          </cell>
          <cell r="DE7" t="str">
            <v>SI</v>
          </cell>
          <cell r="DF7" t="str">
            <v>NO</v>
          </cell>
          <cell r="DG7" t="str">
            <v>SI</v>
          </cell>
          <cell r="DH7" t="str">
            <v>SI</v>
          </cell>
          <cell r="DI7" t="str">
            <v>SI</v>
          </cell>
          <cell r="DJ7" t="str">
            <v>SI</v>
          </cell>
          <cell r="DK7" t="str">
            <v>SI</v>
          </cell>
          <cell r="DL7" t="str">
            <v>SI</v>
          </cell>
          <cell r="DM7" t="str">
            <v>E001002021001</v>
          </cell>
          <cell r="DN7" t="str">
            <v>E001002</v>
          </cell>
          <cell r="DO7" t="str">
            <v>Cuota fija Pesos</v>
          </cell>
          <cell r="DP7">
            <v>0.1</v>
          </cell>
          <cell r="DQ7">
            <v>1000000</v>
          </cell>
          <cell r="DR7">
            <v>1300000</v>
          </cell>
          <cell r="DS7">
            <v>3</v>
          </cell>
          <cell r="DT7">
            <v>500</v>
          </cell>
          <cell r="DW7">
            <v>4000</v>
          </cell>
          <cell r="DX7">
            <v>500</v>
          </cell>
          <cell r="DY7">
            <v>5500</v>
          </cell>
          <cell r="DZ7">
            <v>7000</v>
          </cell>
          <cell r="EA7">
            <v>3000</v>
          </cell>
          <cell r="EB7">
            <v>6000</v>
          </cell>
          <cell r="EC7">
            <v>2000</v>
          </cell>
          <cell r="ED7">
            <v>6500</v>
          </cell>
          <cell r="EE7">
            <v>9000</v>
          </cell>
          <cell r="EF7">
            <v>7500</v>
          </cell>
          <cell r="EG7">
            <v>0</v>
          </cell>
          <cell r="EH7">
            <v>8500</v>
          </cell>
          <cell r="EI7">
            <v>9500</v>
          </cell>
          <cell r="EJ7">
            <v>7500</v>
          </cell>
          <cell r="EK7">
            <v>8000</v>
          </cell>
          <cell r="EL7">
            <v>6500</v>
          </cell>
          <cell r="EM7">
            <v>7500</v>
          </cell>
          <cell r="EN7">
            <v>8000</v>
          </cell>
          <cell r="EO7">
            <v>4500</v>
          </cell>
          <cell r="EP7">
            <v>7000</v>
          </cell>
          <cell r="EQ7">
            <v>6500</v>
          </cell>
          <cell r="ER7">
            <v>2500</v>
          </cell>
          <cell r="ES7" t="str">
            <v>NO</v>
          </cell>
          <cell r="ET7">
            <v>1</v>
          </cell>
          <cell r="EU7" t="str">
            <v>SI</v>
          </cell>
          <cell r="EV7" t="str">
            <v>SI</v>
          </cell>
          <cell r="EW7" t="str">
            <v>NO</v>
          </cell>
          <cell r="EX7" t="str">
            <v>NO</v>
          </cell>
          <cell r="EY7" t="str">
            <v>NO</v>
          </cell>
          <cell r="EZ7" t="str">
            <v>NO</v>
          </cell>
          <cell r="FA7" t="str">
            <v>SI</v>
          </cell>
          <cell r="FB7" t="str">
            <v>SI</v>
          </cell>
          <cell r="FC7">
            <v>1684</v>
          </cell>
          <cell r="FD7">
            <v>359</v>
          </cell>
          <cell r="FE7">
            <v>630</v>
          </cell>
          <cell r="FF7">
            <v>1710</v>
          </cell>
          <cell r="FG7">
            <v>2153</v>
          </cell>
          <cell r="FH7">
            <v>1823</v>
          </cell>
          <cell r="FI7">
            <v>1251</v>
          </cell>
          <cell r="FJ7">
            <v>2206</v>
          </cell>
          <cell r="FK7">
            <v>1910</v>
          </cell>
          <cell r="FL7">
            <v>984</v>
          </cell>
          <cell r="FM7" t="str">
            <v>SI</v>
          </cell>
          <cell r="FN7" t="str">
            <v>NO</v>
          </cell>
          <cell r="FO7" t="str">
            <v>SI</v>
          </cell>
          <cell r="FP7" t="str">
            <v>SI</v>
          </cell>
          <cell r="FQ7" t="str">
            <v>SI</v>
          </cell>
          <cell r="FR7" t="str">
            <v>SI</v>
          </cell>
          <cell r="FS7">
            <v>172</v>
          </cell>
          <cell r="FW7" t="str">
            <v>Intermedio</v>
          </cell>
          <cell r="FX7" t="str">
            <v>Fisica</v>
          </cell>
          <cell r="FY7">
            <v>6</v>
          </cell>
          <cell r="FZ7">
            <v>130</v>
          </cell>
          <cell r="GA7" t="str">
            <v>NO</v>
          </cell>
          <cell r="GB7" t="str">
            <v>SI</v>
          </cell>
          <cell r="GC7" t="str">
            <v>SI</v>
          </cell>
          <cell r="GD7" t="str">
            <v>NO</v>
          </cell>
          <cell r="GE7" t="str">
            <v>NO</v>
          </cell>
          <cell r="GF7" t="str">
            <v>NO</v>
          </cell>
          <cell r="GG7" t="str">
            <v>NO</v>
          </cell>
        </row>
        <row r="8">
          <cell r="A8" t="str">
            <v>E001002021002</v>
          </cell>
          <cell r="B8" t="str">
            <v>Si</v>
          </cell>
          <cell r="C8">
            <v>2142400</v>
          </cell>
          <cell r="D8">
            <v>10000000</v>
          </cell>
          <cell r="E8" t="str">
            <v>Ambos</v>
          </cell>
          <cell r="F8">
            <v>18</v>
          </cell>
          <cell r="G8">
            <v>65</v>
          </cell>
          <cell r="H8" t="str">
            <v>SI</v>
          </cell>
          <cell r="I8" t="str">
            <v>SI</v>
          </cell>
          <cell r="J8" t="str">
            <v>SI</v>
          </cell>
          <cell r="AT8">
            <v>21</v>
          </cell>
          <cell r="AU8">
            <v>6</v>
          </cell>
          <cell r="AV8">
            <v>9000</v>
          </cell>
          <cell r="AW8">
            <v>10000</v>
          </cell>
          <cell r="AX8">
            <v>8</v>
          </cell>
          <cell r="AY8">
            <v>9</v>
          </cell>
          <cell r="AZ8" t="str">
            <v>NO</v>
          </cell>
          <cell r="BA8">
            <v>1</v>
          </cell>
          <cell r="BC8" t="str">
            <v>SI</v>
          </cell>
          <cell r="BD8" t="str">
            <v>SI</v>
          </cell>
          <cell r="BE8" t="str">
            <v>SI</v>
          </cell>
          <cell r="BF8" t="str">
            <v>NO</v>
          </cell>
          <cell r="BG8" t="str">
            <v>SI</v>
          </cell>
          <cell r="BH8" t="str">
            <v>NO</v>
          </cell>
          <cell r="BI8" t="str">
            <v>SI</v>
          </cell>
          <cell r="BJ8" t="str">
            <v>NO</v>
          </cell>
          <cell r="BK8" t="str">
            <v>SI</v>
          </cell>
          <cell r="BL8" t="str">
            <v>NO</v>
          </cell>
          <cell r="BM8" t="str">
            <v>SI</v>
          </cell>
          <cell r="BN8" t="str">
            <v>NO</v>
          </cell>
          <cell r="BO8" t="str">
            <v>SI</v>
          </cell>
          <cell r="BP8" t="str">
            <v>NO</v>
          </cell>
          <cell r="BQ8" t="str">
            <v>NO</v>
          </cell>
          <cell r="BR8" t="str">
            <v>NO</v>
          </cell>
          <cell r="BS8" t="str">
            <v>NO</v>
          </cell>
          <cell r="BT8" t="str">
            <v>NO</v>
          </cell>
          <cell r="BU8" t="str">
            <v>SI</v>
          </cell>
          <cell r="BV8" t="str">
            <v>NO</v>
          </cell>
          <cell r="BW8" t="str">
            <v>SI</v>
          </cell>
          <cell r="BX8" t="str">
            <v>NO</v>
          </cell>
          <cell r="BY8" t="str">
            <v>NO</v>
          </cell>
          <cell r="BZ8" t="str">
            <v>NO</v>
          </cell>
          <cell r="CA8" t="str">
            <v>NO</v>
          </cell>
          <cell r="CB8" t="str">
            <v>SI</v>
          </cell>
          <cell r="CC8" t="str">
            <v>NO</v>
          </cell>
          <cell r="CD8" t="str">
            <v>SI</v>
          </cell>
          <cell r="CE8" t="str">
            <v>SI</v>
          </cell>
          <cell r="CF8" t="str">
            <v>SI</v>
          </cell>
          <cell r="CG8" t="str">
            <v>NO</v>
          </cell>
          <cell r="CH8" t="str">
            <v>SI</v>
          </cell>
          <cell r="CI8" t="str">
            <v>NO</v>
          </cell>
          <cell r="CJ8" t="str">
            <v>NO</v>
          </cell>
          <cell r="CK8" t="str">
            <v>NO</v>
          </cell>
          <cell r="CL8" t="str">
            <v>NO</v>
          </cell>
          <cell r="CM8" t="str">
            <v>NO</v>
          </cell>
          <cell r="CN8" t="str">
            <v>NO</v>
          </cell>
          <cell r="CO8" t="str">
            <v>NO</v>
          </cell>
          <cell r="CP8" t="str">
            <v>NO</v>
          </cell>
          <cell r="CQ8" t="str">
            <v>SI</v>
          </cell>
          <cell r="CR8" t="str">
            <v>SI</v>
          </cell>
          <cell r="CS8" t="str">
            <v>NO</v>
          </cell>
          <cell r="CT8" t="str">
            <v>NO</v>
          </cell>
          <cell r="CU8" t="str">
            <v>SI</v>
          </cell>
          <cell r="CV8" t="str">
            <v>NO</v>
          </cell>
          <cell r="CW8" t="str">
            <v>SI</v>
          </cell>
          <cell r="CX8" t="str">
            <v>SI</v>
          </cell>
          <cell r="CY8" t="str">
            <v>SI</v>
          </cell>
          <cell r="CZ8" t="str">
            <v>SI</v>
          </cell>
          <cell r="DA8" t="str">
            <v>NO</v>
          </cell>
          <cell r="DB8" t="str">
            <v>SI</v>
          </cell>
          <cell r="DC8" t="str">
            <v>SI</v>
          </cell>
          <cell r="DD8" t="str">
            <v>NO</v>
          </cell>
          <cell r="DE8" t="str">
            <v>NO</v>
          </cell>
          <cell r="DF8" t="str">
            <v>SI</v>
          </cell>
          <cell r="DG8" t="str">
            <v>SI</v>
          </cell>
          <cell r="DH8" t="str">
            <v>SI</v>
          </cell>
          <cell r="DI8" t="str">
            <v>SI</v>
          </cell>
          <cell r="DJ8" t="str">
            <v>SI</v>
          </cell>
          <cell r="DK8" t="str">
            <v>NO</v>
          </cell>
          <cell r="DL8" t="str">
            <v>NO</v>
          </cell>
          <cell r="DM8" t="str">
            <v>E001002021002</v>
          </cell>
          <cell r="DN8" t="str">
            <v>E001002</v>
          </cell>
          <cell r="DO8" t="str">
            <v>Cuota fija Pesos</v>
          </cell>
          <cell r="DP8">
            <v>0.15</v>
          </cell>
          <cell r="DQ8">
            <v>800000</v>
          </cell>
          <cell r="DR8">
            <v>1300000</v>
          </cell>
          <cell r="DS8">
            <v>3</v>
          </cell>
          <cell r="DT8">
            <v>2500</v>
          </cell>
          <cell r="DW8">
            <v>8000</v>
          </cell>
          <cell r="DX8">
            <v>7500</v>
          </cell>
          <cell r="DY8">
            <v>0</v>
          </cell>
          <cell r="DZ8">
            <v>1500</v>
          </cell>
          <cell r="EA8">
            <v>3000</v>
          </cell>
          <cell r="EB8">
            <v>500</v>
          </cell>
          <cell r="EC8">
            <v>9000</v>
          </cell>
          <cell r="ED8">
            <v>0</v>
          </cell>
          <cell r="EE8">
            <v>7500</v>
          </cell>
          <cell r="EF8">
            <v>5000</v>
          </cell>
          <cell r="EG8">
            <v>7000</v>
          </cell>
          <cell r="EH8">
            <v>7500</v>
          </cell>
          <cell r="EI8">
            <v>4000</v>
          </cell>
          <cell r="EJ8">
            <v>8000</v>
          </cell>
          <cell r="EK8">
            <v>2500</v>
          </cell>
          <cell r="EL8">
            <v>2000</v>
          </cell>
          <cell r="EM8">
            <v>8000</v>
          </cell>
          <cell r="EN8">
            <v>7500</v>
          </cell>
          <cell r="EO8">
            <v>7500</v>
          </cell>
          <cell r="EP8">
            <v>6500</v>
          </cell>
          <cell r="EQ8">
            <v>5000</v>
          </cell>
          <cell r="ER8">
            <v>0</v>
          </cell>
          <cell r="ES8" t="str">
            <v>SI</v>
          </cell>
          <cell r="ET8">
            <v>2</v>
          </cell>
          <cell r="EU8" t="str">
            <v>NO</v>
          </cell>
          <cell r="EV8" t="str">
            <v>SI</v>
          </cell>
          <cell r="EW8" t="str">
            <v>SI</v>
          </cell>
          <cell r="EX8" t="str">
            <v>NO</v>
          </cell>
          <cell r="EY8" t="str">
            <v>SI</v>
          </cell>
          <cell r="EZ8" t="str">
            <v>NO</v>
          </cell>
          <cell r="FA8" t="str">
            <v>NO</v>
          </cell>
          <cell r="FB8" t="str">
            <v>SI</v>
          </cell>
          <cell r="FC8">
            <v>2047</v>
          </cell>
          <cell r="FD8">
            <v>1922</v>
          </cell>
          <cell r="FE8">
            <v>1269</v>
          </cell>
          <cell r="FF8">
            <v>611</v>
          </cell>
          <cell r="FG8">
            <v>1149</v>
          </cell>
          <cell r="FH8">
            <v>500</v>
          </cell>
          <cell r="FI8">
            <v>1040</v>
          </cell>
          <cell r="FJ8">
            <v>2004</v>
          </cell>
          <cell r="FK8">
            <v>1362</v>
          </cell>
          <cell r="FL8">
            <v>391</v>
          </cell>
          <cell r="FM8" t="str">
            <v>SI</v>
          </cell>
          <cell r="FN8" t="str">
            <v>SI</v>
          </cell>
          <cell r="FO8" t="str">
            <v>NO</v>
          </cell>
          <cell r="FP8" t="str">
            <v>NO</v>
          </cell>
          <cell r="FQ8" t="str">
            <v>SI</v>
          </cell>
          <cell r="FR8" t="str">
            <v>SI</v>
          </cell>
          <cell r="FS8">
            <v>280</v>
          </cell>
          <cell r="FW8" t="str">
            <v>Presencial</v>
          </cell>
          <cell r="FX8" t="str">
            <v>No</v>
          </cell>
          <cell r="FY8">
            <v>6</v>
          </cell>
          <cell r="FZ8">
            <v>95</v>
          </cell>
          <cell r="GA8" t="str">
            <v>SI</v>
          </cell>
          <cell r="GB8" t="str">
            <v>SI</v>
          </cell>
          <cell r="GC8" t="str">
            <v>SI</v>
          </cell>
          <cell r="GD8" t="str">
            <v>SI</v>
          </cell>
          <cell r="GE8" t="str">
            <v>NO</v>
          </cell>
          <cell r="GF8" t="str">
            <v>SI</v>
          </cell>
          <cell r="GG8" t="str">
            <v>NO</v>
          </cell>
        </row>
        <row r="9">
          <cell r="A9" t="str">
            <v>E001002021003</v>
          </cell>
          <cell r="B9" t="str">
            <v>Si</v>
          </cell>
          <cell r="C9">
            <v>1606800</v>
          </cell>
          <cell r="D9">
            <v>99999999</v>
          </cell>
          <cell r="E9" t="str">
            <v>Ambos</v>
          </cell>
          <cell r="F9">
            <v>30</v>
          </cell>
          <cell r="G9">
            <v>65</v>
          </cell>
          <cell r="H9" t="str">
            <v>SI</v>
          </cell>
          <cell r="I9" t="str">
            <v>SI</v>
          </cell>
          <cell r="J9" t="str">
            <v>NO</v>
          </cell>
          <cell r="AT9">
            <v>21</v>
          </cell>
          <cell r="AU9">
            <v>10</v>
          </cell>
          <cell r="AV9">
            <v>10000</v>
          </cell>
          <cell r="AW9">
            <v>15000</v>
          </cell>
          <cell r="AX9">
            <v>1</v>
          </cell>
          <cell r="AY9">
            <v>14</v>
          </cell>
          <cell r="AZ9" t="str">
            <v>SI</v>
          </cell>
          <cell r="BA9">
            <v>2</v>
          </cell>
          <cell r="BC9" t="str">
            <v>SI</v>
          </cell>
          <cell r="BD9" t="str">
            <v>SI</v>
          </cell>
          <cell r="BE9" t="str">
            <v>SI</v>
          </cell>
          <cell r="BF9" t="str">
            <v>SI</v>
          </cell>
          <cell r="BG9" t="str">
            <v>SI</v>
          </cell>
          <cell r="BH9" t="str">
            <v>NO</v>
          </cell>
          <cell r="BI9" t="str">
            <v>SI</v>
          </cell>
          <cell r="BJ9" t="str">
            <v>NO</v>
          </cell>
          <cell r="BK9" t="str">
            <v>SI</v>
          </cell>
          <cell r="BL9" t="str">
            <v>NO</v>
          </cell>
          <cell r="BM9" t="str">
            <v>SI</v>
          </cell>
          <cell r="BN9" t="str">
            <v>NO</v>
          </cell>
          <cell r="BO9" t="str">
            <v>SI</v>
          </cell>
          <cell r="BP9" t="str">
            <v>NO</v>
          </cell>
          <cell r="BQ9" t="str">
            <v>NO</v>
          </cell>
          <cell r="BR9" t="str">
            <v>SI</v>
          </cell>
          <cell r="BS9" t="str">
            <v>SI</v>
          </cell>
          <cell r="BT9" t="str">
            <v>SI</v>
          </cell>
          <cell r="BU9" t="str">
            <v>NO</v>
          </cell>
          <cell r="BV9" t="str">
            <v>SI</v>
          </cell>
          <cell r="BW9" t="str">
            <v>SI</v>
          </cell>
          <cell r="BX9" t="str">
            <v>NO</v>
          </cell>
          <cell r="BY9" t="str">
            <v>NO</v>
          </cell>
          <cell r="BZ9" t="str">
            <v>SI</v>
          </cell>
          <cell r="CA9" t="str">
            <v>NO</v>
          </cell>
          <cell r="CB9" t="str">
            <v>NO</v>
          </cell>
          <cell r="CC9" t="str">
            <v>NO</v>
          </cell>
          <cell r="CD9" t="str">
            <v>SI</v>
          </cell>
          <cell r="CE9" t="str">
            <v>SI</v>
          </cell>
          <cell r="CF9" t="str">
            <v>SI</v>
          </cell>
          <cell r="CG9" t="str">
            <v>NO</v>
          </cell>
          <cell r="CH9" t="str">
            <v>SI</v>
          </cell>
          <cell r="CI9" t="str">
            <v>SI</v>
          </cell>
          <cell r="CJ9" t="str">
            <v>SI</v>
          </cell>
          <cell r="CK9" t="str">
            <v>NO</v>
          </cell>
          <cell r="CL9" t="str">
            <v>NO</v>
          </cell>
          <cell r="CM9" t="str">
            <v>NO</v>
          </cell>
          <cell r="CN9" t="str">
            <v>NO</v>
          </cell>
          <cell r="CO9" t="str">
            <v>NO</v>
          </cell>
          <cell r="CP9" t="str">
            <v>NO</v>
          </cell>
          <cell r="CQ9" t="str">
            <v>SI</v>
          </cell>
          <cell r="CR9" t="str">
            <v>SI</v>
          </cell>
          <cell r="CS9" t="str">
            <v>NO</v>
          </cell>
          <cell r="CT9" t="str">
            <v>NO</v>
          </cell>
          <cell r="CU9" t="str">
            <v>SI</v>
          </cell>
          <cell r="CV9" t="str">
            <v>NO</v>
          </cell>
          <cell r="CW9" t="str">
            <v>SI</v>
          </cell>
          <cell r="CX9" t="str">
            <v>SI</v>
          </cell>
          <cell r="CY9" t="str">
            <v>SI</v>
          </cell>
          <cell r="CZ9" t="str">
            <v>SI</v>
          </cell>
          <cell r="DA9" t="str">
            <v>NO</v>
          </cell>
          <cell r="DB9" t="str">
            <v>SI</v>
          </cell>
          <cell r="DC9" t="str">
            <v>SI</v>
          </cell>
          <cell r="DD9" t="str">
            <v>NO</v>
          </cell>
          <cell r="DE9" t="str">
            <v>SI</v>
          </cell>
          <cell r="DF9" t="str">
            <v>SI</v>
          </cell>
          <cell r="DG9" t="str">
            <v>SI</v>
          </cell>
          <cell r="DH9" t="str">
            <v>SI</v>
          </cell>
          <cell r="DI9" t="str">
            <v>NO</v>
          </cell>
          <cell r="DJ9" t="str">
            <v>SI</v>
          </cell>
          <cell r="DK9" t="str">
            <v>NO</v>
          </cell>
          <cell r="DL9" t="str">
            <v>NO</v>
          </cell>
          <cell r="DM9" t="str">
            <v>E001002021003</v>
          </cell>
          <cell r="DN9" t="str">
            <v>E001002</v>
          </cell>
          <cell r="DO9" t="str">
            <v>Cuota fija Pesos</v>
          </cell>
          <cell r="DP9">
            <v>0.16</v>
          </cell>
          <cell r="DQ9">
            <v>1600000</v>
          </cell>
          <cell r="DR9">
            <v>1100000</v>
          </cell>
          <cell r="DS9">
            <v>1</v>
          </cell>
          <cell r="DT9">
            <v>8000</v>
          </cell>
          <cell r="DW9">
            <v>9500</v>
          </cell>
          <cell r="DX9">
            <v>1500</v>
          </cell>
          <cell r="DY9">
            <v>1000</v>
          </cell>
          <cell r="DZ9">
            <v>5000</v>
          </cell>
          <cell r="EA9">
            <v>4000</v>
          </cell>
          <cell r="EB9">
            <v>10000</v>
          </cell>
          <cell r="EC9">
            <v>3500</v>
          </cell>
          <cell r="ED9">
            <v>6000</v>
          </cell>
          <cell r="EE9">
            <v>6000</v>
          </cell>
          <cell r="EF9">
            <v>6500</v>
          </cell>
          <cell r="EG9">
            <v>2500</v>
          </cell>
          <cell r="EH9">
            <v>500</v>
          </cell>
          <cell r="EI9">
            <v>6000</v>
          </cell>
          <cell r="EJ9">
            <v>1500</v>
          </cell>
          <cell r="EK9">
            <v>7000</v>
          </cell>
          <cell r="EL9">
            <v>4000</v>
          </cell>
          <cell r="EM9">
            <v>3000</v>
          </cell>
          <cell r="EN9">
            <v>2500</v>
          </cell>
          <cell r="EO9">
            <v>3000</v>
          </cell>
          <cell r="EP9">
            <v>7500</v>
          </cell>
          <cell r="EQ9">
            <v>7500</v>
          </cell>
          <cell r="ER9">
            <v>0</v>
          </cell>
          <cell r="ES9" t="str">
            <v>NO</v>
          </cell>
          <cell r="ET9">
            <v>2</v>
          </cell>
          <cell r="EU9" t="str">
            <v>SI</v>
          </cell>
          <cell r="EV9" t="str">
            <v>SI</v>
          </cell>
          <cell r="EW9" t="str">
            <v>NO</v>
          </cell>
          <cell r="EX9" t="str">
            <v>SI</v>
          </cell>
          <cell r="EY9" t="str">
            <v>SI</v>
          </cell>
          <cell r="EZ9" t="str">
            <v>NO</v>
          </cell>
          <cell r="FA9" t="str">
            <v>NO</v>
          </cell>
          <cell r="FB9" t="str">
            <v>SI</v>
          </cell>
          <cell r="FC9">
            <v>1343</v>
          </cell>
          <cell r="FD9">
            <v>1354</v>
          </cell>
          <cell r="FE9">
            <v>1191</v>
          </cell>
          <cell r="FF9">
            <v>1001</v>
          </cell>
          <cell r="FG9">
            <v>2188</v>
          </cell>
          <cell r="FH9">
            <v>1065</v>
          </cell>
          <cell r="FI9">
            <v>1786</v>
          </cell>
          <cell r="FJ9">
            <v>1519</v>
          </cell>
          <cell r="FK9">
            <v>1937</v>
          </cell>
          <cell r="FL9">
            <v>1235</v>
          </cell>
          <cell r="FM9" t="str">
            <v>NO</v>
          </cell>
          <cell r="FN9" t="str">
            <v>NO</v>
          </cell>
          <cell r="FO9" t="str">
            <v>SI</v>
          </cell>
          <cell r="FP9" t="str">
            <v>NO</v>
          </cell>
          <cell r="FQ9" t="str">
            <v>NO</v>
          </cell>
          <cell r="FR9" t="str">
            <v>NO</v>
          </cell>
          <cell r="FS9">
            <v>0</v>
          </cell>
          <cell r="FW9" t="str">
            <v>Intermedio</v>
          </cell>
          <cell r="FX9" t="str">
            <v>Virtual</v>
          </cell>
          <cell r="FY9">
            <v>4</v>
          </cell>
          <cell r="FZ9">
            <v>57</v>
          </cell>
          <cell r="GA9" t="str">
            <v>NO</v>
          </cell>
          <cell r="GB9" t="str">
            <v>NO</v>
          </cell>
          <cell r="GC9" t="str">
            <v>NO</v>
          </cell>
          <cell r="GD9" t="str">
            <v>SI</v>
          </cell>
          <cell r="GE9" t="str">
            <v>SI</v>
          </cell>
          <cell r="GF9" t="str">
            <v>NO</v>
          </cell>
          <cell r="GG9" t="str">
            <v>SI</v>
          </cell>
        </row>
        <row r="10">
          <cell r="A10" t="str">
            <v>E001002021004</v>
          </cell>
          <cell r="B10" t="str">
            <v>No</v>
          </cell>
          <cell r="C10">
            <v>2678000</v>
          </cell>
          <cell r="D10">
            <v>99999999</v>
          </cell>
          <cell r="E10" t="str">
            <v>Ambos</v>
          </cell>
          <cell r="F10">
            <v>18</v>
          </cell>
          <cell r="G10">
            <v>65</v>
          </cell>
          <cell r="H10" t="str">
            <v>SI</v>
          </cell>
          <cell r="I10" t="str">
            <v>NO</v>
          </cell>
          <cell r="J10" t="str">
            <v>SI</v>
          </cell>
          <cell r="AT10">
            <v>4</v>
          </cell>
          <cell r="AU10">
            <v>12</v>
          </cell>
          <cell r="AV10">
            <v>15000</v>
          </cell>
          <cell r="AW10">
            <v>15000</v>
          </cell>
          <cell r="AX10">
            <v>12</v>
          </cell>
          <cell r="AY10">
            <v>1</v>
          </cell>
          <cell r="AZ10" t="str">
            <v>SI</v>
          </cell>
          <cell r="BA10">
            <v>2</v>
          </cell>
          <cell r="BC10" t="str">
            <v>NO</v>
          </cell>
          <cell r="BD10" t="str">
            <v>NO</v>
          </cell>
          <cell r="BE10" t="str">
            <v>SI</v>
          </cell>
          <cell r="BF10" t="str">
            <v>SI</v>
          </cell>
          <cell r="BG10" t="str">
            <v>SI</v>
          </cell>
          <cell r="BH10" t="str">
            <v>NO</v>
          </cell>
          <cell r="BI10" t="str">
            <v>SI</v>
          </cell>
          <cell r="BJ10" t="str">
            <v>NO</v>
          </cell>
          <cell r="BK10" t="str">
            <v>SI</v>
          </cell>
          <cell r="BL10" t="str">
            <v>NO</v>
          </cell>
          <cell r="BM10" t="str">
            <v>NO</v>
          </cell>
          <cell r="BN10" t="str">
            <v>NO</v>
          </cell>
          <cell r="BO10" t="str">
            <v>SI</v>
          </cell>
          <cell r="BP10" t="str">
            <v>SI</v>
          </cell>
          <cell r="BQ10" t="str">
            <v>NO</v>
          </cell>
          <cell r="BR10" t="str">
            <v>NO</v>
          </cell>
          <cell r="BS10" t="str">
            <v>NO</v>
          </cell>
          <cell r="BT10" t="str">
            <v>NO</v>
          </cell>
          <cell r="BU10" t="str">
            <v>SI</v>
          </cell>
          <cell r="BV10" t="str">
            <v>NO</v>
          </cell>
          <cell r="BW10" t="str">
            <v>NO</v>
          </cell>
          <cell r="BX10" t="str">
            <v>NO</v>
          </cell>
          <cell r="BY10" t="str">
            <v>NO</v>
          </cell>
          <cell r="BZ10" t="str">
            <v>NO</v>
          </cell>
          <cell r="CA10" t="str">
            <v>SI</v>
          </cell>
          <cell r="CB10" t="str">
            <v>SI</v>
          </cell>
          <cell r="CC10" t="str">
            <v>SI</v>
          </cell>
          <cell r="CD10" t="str">
            <v>SI</v>
          </cell>
          <cell r="CE10" t="str">
            <v>SI</v>
          </cell>
          <cell r="CF10" t="str">
            <v>SI</v>
          </cell>
          <cell r="CG10" t="str">
            <v>NO</v>
          </cell>
          <cell r="CH10" t="str">
            <v>SI</v>
          </cell>
          <cell r="CI10" t="str">
            <v>SI</v>
          </cell>
          <cell r="CJ10" t="str">
            <v>NO</v>
          </cell>
          <cell r="CK10" t="str">
            <v>NO</v>
          </cell>
          <cell r="CL10" t="str">
            <v>SI</v>
          </cell>
          <cell r="CM10" t="str">
            <v>NO</v>
          </cell>
          <cell r="CN10" t="str">
            <v>NO</v>
          </cell>
          <cell r="CO10" t="str">
            <v>NO</v>
          </cell>
          <cell r="CP10" t="str">
            <v>NO</v>
          </cell>
          <cell r="CQ10" t="str">
            <v>SI</v>
          </cell>
          <cell r="CR10" t="str">
            <v>SI</v>
          </cell>
          <cell r="CS10" t="str">
            <v>NO</v>
          </cell>
          <cell r="CT10" t="str">
            <v>NO</v>
          </cell>
          <cell r="CU10" t="str">
            <v>SI</v>
          </cell>
          <cell r="CV10" t="str">
            <v>NO</v>
          </cell>
          <cell r="CW10" t="str">
            <v>NO</v>
          </cell>
          <cell r="CX10" t="str">
            <v>SI</v>
          </cell>
          <cell r="CY10" t="str">
            <v>SI</v>
          </cell>
          <cell r="CZ10" t="str">
            <v>SI</v>
          </cell>
          <cell r="DA10" t="str">
            <v>NO</v>
          </cell>
          <cell r="DB10" t="str">
            <v>NO</v>
          </cell>
          <cell r="DC10" t="str">
            <v>SI</v>
          </cell>
          <cell r="DD10" t="str">
            <v>SI</v>
          </cell>
          <cell r="DE10" t="str">
            <v>SI</v>
          </cell>
          <cell r="DF10" t="str">
            <v>SI</v>
          </cell>
          <cell r="DG10" t="str">
            <v>SI</v>
          </cell>
          <cell r="DH10" t="str">
            <v>SI</v>
          </cell>
          <cell r="DI10" t="str">
            <v>SI</v>
          </cell>
          <cell r="DJ10" t="str">
            <v>SI</v>
          </cell>
          <cell r="DK10" t="str">
            <v>SI</v>
          </cell>
          <cell r="DL10" t="str">
            <v>SI</v>
          </cell>
          <cell r="DM10" t="str">
            <v>E001002021004</v>
          </cell>
          <cell r="DN10" t="str">
            <v>E001002</v>
          </cell>
          <cell r="DO10" t="str">
            <v>Cuota fija Pesos</v>
          </cell>
          <cell r="DP10">
            <v>0.08</v>
          </cell>
          <cell r="DQ10">
            <v>2500000</v>
          </cell>
          <cell r="DR10">
            <v>600000</v>
          </cell>
          <cell r="DS10">
            <v>1</v>
          </cell>
          <cell r="DT10">
            <v>6500</v>
          </cell>
          <cell r="DW10">
            <v>5500</v>
          </cell>
          <cell r="DX10">
            <v>3500</v>
          </cell>
          <cell r="DY10">
            <v>4500</v>
          </cell>
          <cell r="DZ10">
            <v>10000</v>
          </cell>
          <cell r="EA10">
            <v>9000</v>
          </cell>
          <cell r="EB10">
            <v>4000</v>
          </cell>
          <cell r="EC10">
            <v>5000</v>
          </cell>
          <cell r="ED10">
            <v>4000</v>
          </cell>
          <cell r="EE10">
            <v>8000</v>
          </cell>
          <cell r="EF10">
            <v>8500</v>
          </cell>
          <cell r="EG10">
            <v>3500</v>
          </cell>
          <cell r="EH10">
            <v>6000</v>
          </cell>
          <cell r="EI10">
            <v>5500</v>
          </cell>
          <cell r="EJ10">
            <v>7500</v>
          </cell>
          <cell r="EK10">
            <v>7000</v>
          </cell>
          <cell r="EL10">
            <v>1500</v>
          </cell>
          <cell r="EM10">
            <v>0</v>
          </cell>
          <cell r="EN10">
            <v>5000</v>
          </cell>
          <cell r="EO10">
            <v>4500</v>
          </cell>
          <cell r="EP10">
            <v>7500</v>
          </cell>
          <cell r="EQ10">
            <v>500</v>
          </cell>
          <cell r="ER10">
            <v>5000</v>
          </cell>
          <cell r="ES10" t="str">
            <v>SI</v>
          </cell>
          <cell r="ET10">
            <v>1</v>
          </cell>
          <cell r="EU10" t="str">
            <v>NO</v>
          </cell>
          <cell r="EV10" t="str">
            <v>SI</v>
          </cell>
          <cell r="EW10" t="str">
            <v>NO</v>
          </cell>
          <cell r="EX10" t="str">
            <v>NO</v>
          </cell>
          <cell r="EY10" t="str">
            <v>SI</v>
          </cell>
          <cell r="EZ10" t="str">
            <v>NO</v>
          </cell>
          <cell r="FA10" t="str">
            <v>NO</v>
          </cell>
          <cell r="FB10" t="str">
            <v>NO</v>
          </cell>
          <cell r="FC10">
            <v>1937</v>
          </cell>
          <cell r="FD10">
            <v>1916</v>
          </cell>
          <cell r="FE10">
            <v>1924</v>
          </cell>
          <cell r="FF10">
            <v>586</v>
          </cell>
          <cell r="FG10">
            <v>234</v>
          </cell>
          <cell r="FH10">
            <v>793</v>
          </cell>
          <cell r="FI10">
            <v>504</v>
          </cell>
          <cell r="FJ10">
            <v>2287</v>
          </cell>
          <cell r="FK10">
            <v>2066</v>
          </cell>
          <cell r="FL10">
            <v>2123</v>
          </cell>
          <cell r="FM10" t="str">
            <v>NO</v>
          </cell>
          <cell r="FN10" t="str">
            <v>SI</v>
          </cell>
          <cell r="FO10" t="str">
            <v>SI</v>
          </cell>
          <cell r="FP10" t="str">
            <v>NO</v>
          </cell>
          <cell r="FQ10" t="str">
            <v>SI</v>
          </cell>
          <cell r="FR10" t="str">
            <v>SI</v>
          </cell>
          <cell r="FS10">
            <v>103</v>
          </cell>
          <cell r="FW10" t="str">
            <v>Presencial</v>
          </cell>
          <cell r="FX10" t="str">
            <v>No</v>
          </cell>
          <cell r="FY10">
            <v>6</v>
          </cell>
          <cell r="FZ10">
            <v>158</v>
          </cell>
          <cell r="GA10" t="str">
            <v>SI</v>
          </cell>
          <cell r="GB10" t="str">
            <v>SI</v>
          </cell>
          <cell r="GC10" t="str">
            <v>NO</v>
          </cell>
          <cell r="GD10" t="str">
            <v>NO</v>
          </cell>
          <cell r="GE10" t="str">
            <v>NO</v>
          </cell>
          <cell r="GF10" t="str">
            <v>NO</v>
          </cell>
          <cell r="GG10" t="str">
            <v>SI</v>
          </cell>
        </row>
        <row r="11">
          <cell r="A11" t="str">
            <v>E001013021001</v>
          </cell>
          <cell r="B11" t="str">
            <v>Si</v>
          </cell>
          <cell r="C11">
            <v>2678000</v>
          </cell>
          <cell r="D11">
            <v>99999999</v>
          </cell>
          <cell r="E11" t="str">
            <v>Ambos</v>
          </cell>
          <cell r="F11">
            <v>18</v>
          </cell>
          <cell r="G11">
            <v>65</v>
          </cell>
          <cell r="H11" t="str">
            <v>SI</v>
          </cell>
          <cell r="I11" t="str">
            <v>SI</v>
          </cell>
          <cell r="J11" t="str">
            <v>SI</v>
          </cell>
          <cell r="AT11">
            <v>21</v>
          </cell>
          <cell r="AU11">
            <v>8</v>
          </cell>
          <cell r="AV11">
            <v>8000</v>
          </cell>
          <cell r="AW11">
            <v>12000</v>
          </cell>
          <cell r="AX11">
            <v>5</v>
          </cell>
          <cell r="AY11">
            <v>2</v>
          </cell>
          <cell r="AZ11" t="str">
            <v>SI</v>
          </cell>
          <cell r="BA11">
            <v>4</v>
          </cell>
          <cell r="BC11" t="str">
            <v>SI</v>
          </cell>
          <cell r="BD11" t="str">
            <v>SI</v>
          </cell>
          <cell r="BE11" t="str">
            <v>SI</v>
          </cell>
          <cell r="BF11" t="str">
            <v>SI</v>
          </cell>
          <cell r="BG11" t="str">
            <v>SI</v>
          </cell>
          <cell r="BH11" t="str">
            <v>NO</v>
          </cell>
          <cell r="BI11" t="str">
            <v>SI</v>
          </cell>
          <cell r="BJ11" t="str">
            <v>SI</v>
          </cell>
          <cell r="BK11" t="str">
            <v>SI</v>
          </cell>
          <cell r="BL11" t="str">
            <v>SI</v>
          </cell>
          <cell r="BM11" t="str">
            <v>SI</v>
          </cell>
          <cell r="BN11" t="str">
            <v>NO</v>
          </cell>
          <cell r="BO11" t="str">
            <v>NO</v>
          </cell>
          <cell r="BP11" t="str">
            <v>NO</v>
          </cell>
          <cell r="BQ11" t="str">
            <v>SI</v>
          </cell>
          <cell r="BR11" t="str">
            <v>NO</v>
          </cell>
          <cell r="BS11" t="str">
            <v>SI</v>
          </cell>
          <cell r="BT11" t="str">
            <v>SI</v>
          </cell>
          <cell r="BU11" t="str">
            <v>SI</v>
          </cell>
          <cell r="BV11" t="str">
            <v>NO</v>
          </cell>
          <cell r="BW11" t="str">
            <v>SI</v>
          </cell>
          <cell r="BX11" t="str">
            <v>NO</v>
          </cell>
          <cell r="BY11" t="str">
            <v>NO</v>
          </cell>
          <cell r="BZ11" t="str">
            <v>SI</v>
          </cell>
          <cell r="CA11" t="str">
            <v>NO</v>
          </cell>
          <cell r="CB11" t="str">
            <v>NO</v>
          </cell>
          <cell r="CC11" t="str">
            <v>NO</v>
          </cell>
          <cell r="CD11" t="str">
            <v>SI</v>
          </cell>
          <cell r="CE11" t="str">
            <v>SI</v>
          </cell>
          <cell r="CF11" t="str">
            <v>SI</v>
          </cell>
          <cell r="CG11" t="str">
            <v>SI</v>
          </cell>
          <cell r="CH11" t="str">
            <v>SI</v>
          </cell>
          <cell r="CI11" t="str">
            <v>NO</v>
          </cell>
          <cell r="CJ11" t="str">
            <v>SI</v>
          </cell>
          <cell r="CK11" t="str">
            <v>NO</v>
          </cell>
          <cell r="CL11" t="str">
            <v>NO</v>
          </cell>
          <cell r="CM11" t="str">
            <v>NO</v>
          </cell>
          <cell r="CN11" t="str">
            <v>NO</v>
          </cell>
          <cell r="CO11" t="str">
            <v>NO</v>
          </cell>
          <cell r="CP11" t="str">
            <v>NO</v>
          </cell>
          <cell r="CQ11" t="str">
            <v>SI</v>
          </cell>
          <cell r="CR11" t="str">
            <v>SI</v>
          </cell>
          <cell r="CS11" t="str">
            <v>NO</v>
          </cell>
          <cell r="CT11" t="str">
            <v>NO</v>
          </cell>
          <cell r="CU11" t="str">
            <v>SI</v>
          </cell>
          <cell r="CV11" t="str">
            <v>NO</v>
          </cell>
          <cell r="CW11" t="str">
            <v>SI</v>
          </cell>
          <cell r="CX11" t="str">
            <v>NO</v>
          </cell>
          <cell r="CY11" t="str">
            <v>NO</v>
          </cell>
          <cell r="CZ11" t="str">
            <v>NO</v>
          </cell>
          <cell r="DA11" t="str">
            <v>NO</v>
          </cell>
          <cell r="DB11" t="str">
            <v>SI</v>
          </cell>
          <cell r="DC11" t="str">
            <v>NO</v>
          </cell>
          <cell r="DD11" t="str">
            <v>SI</v>
          </cell>
          <cell r="DE11" t="str">
            <v>NO</v>
          </cell>
          <cell r="DF11" t="str">
            <v>SI</v>
          </cell>
          <cell r="DG11" t="str">
            <v>SI</v>
          </cell>
          <cell r="DH11" t="str">
            <v>SI</v>
          </cell>
          <cell r="DI11" t="str">
            <v>SI</v>
          </cell>
          <cell r="DJ11" t="str">
            <v>SI</v>
          </cell>
          <cell r="DK11" t="str">
            <v>NO</v>
          </cell>
          <cell r="DL11" t="str">
            <v>NO</v>
          </cell>
          <cell r="DM11" t="str">
            <v>E001013021001</v>
          </cell>
          <cell r="DN11" t="str">
            <v>E001003</v>
          </cell>
          <cell r="DO11" t="str">
            <v>Cuota fija Pesos</v>
          </cell>
          <cell r="DP11">
            <v>0.09</v>
          </cell>
          <cell r="DQ11">
            <v>1000000</v>
          </cell>
          <cell r="DR11">
            <v>700000</v>
          </cell>
          <cell r="DS11">
            <v>3</v>
          </cell>
          <cell r="DT11">
            <v>500</v>
          </cell>
          <cell r="DW11">
            <v>2500</v>
          </cell>
          <cell r="DX11">
            <v>6000</v>
          </cell>
          <cell r="DY11">
            <v>7000</v>
          </cell>
          <cell r="DZ11">
            <v>3500</v>
          </cell>
          <cell r="EA11">
            <v>3500</v>
          </cell>
          <cell r="EB11">
            <v>0</v>
          </cell>
          <cell r="EC11">
            <v>0</v>
          </cell>
          <cell r="ED11">
            <v>1000</v>
          </cell>
          <cell r="EE11">
            <v>2500</v>
          </cell>
          <cell r="EF11">
            <v>3000</v>
          </cell>
          <cell r="EG11">
            <v>5000</v>
          </cell>
          <cell r="EH11">
            <v>0</v>
          </cell>
          <cell r="EI11">
            <v>2000</v>
          </cell>
          <cell r="EJ11">
            <v>9500</v>
          </cell>
          <cell r="EK11">
            <v>7500</v>
          </cell>
          <cell r="EL11">
            <v>9000</v>
          </cell>
          <cell r="EM11">
            <v>1500</v>
          </cell>
          <cell r="EN11">
            <v>10000</v>
          </cell>
          <cell r="EO11">
            <v>10000</v>
          </cell>
          <cell r="EP11">
            <v>6000</v>
          </cell>
          <cell r="EQ11">
            <v>8500</v>
          </cell>
          <cell r="ER11">
            <v>500</v>
          </cell>
          <cell r="ES11" t="str">
            <v>NO</v>
          </cell>
          <cell r="ET11">
            <v>6</v>
          </cell>
          <cell r="EU11" t="str">
            <v>SI</v>
          </cell>
          <cell r="EV11" t="str">
            <v>NO</v>
          </cell>
          <cell r="EW11" t="str">
            <v>SI</v>
          </cell>
          <cell r="EX11" t="str">
            <v>SI</v>
          </cell>
          <cell r="EY11" t="str">
            <v>SI</v>
          </cell>
          <cell r="EZ11" t="str">
            <v>SI</v>
          </cell>
          <cell r="FA11" t="str">
            <v>SI</v>
          </cell>
          <cell r="FB11" t="str">
            <v>SI</v>
          </cell>
          <cell r="FC11">
            <v>1236</v>
          </cell>
          <cell r="FD11">
            <v>1794</v>
          </cell>
          <cell r="FE11">
            <v>1628</v>
          </cell>
          <cell r="FF11">
            <v>330</v>
          </cell>
          <cell r="FG11">
            <v>741</v>
          </cell>
          <cell r="FH11">
            <v>847</v>
          </cell>
          <cell r="FI11">
            <v>211</v>
          </cell>
          <cell r="FJ11">
            <v>1340</v>
          </cell>
          <cell r="FK11">
            <v>1183</v>
          </cell>
          <cell r="FL11">
            <v>1507</v>
          </cell>
          <cell r="FM11" t="str">
            <v>SI</v>
          </cell>
          <cell r="FN11" t="str">
            <v>SI</v>
          </cell>
          <cell r="FO11" t="str">
            <v>SI</v>
          </cell>
          <cell r="FP11" t="str">
            <v>NO</v>
          </cell>
          <cell r="FQ11" t="str">
            <v>SI</v>
          </cell>
          <cell r="FR11" t="str">
            <v>NO</v>
          </cell>
          <cell r="FS11">
            <v>0</v>
          </cell>
          <cell r="FW11" t="str">
            <v>Virtual</v>
          </cell>
          <cell r="FX11" t="str">
            <v>No</v>
          </cell>
          <cell r="FY11">
            <v>3</v>
          </cell>
          <cell r="FZ11">
            <v>87</v>
          </cell>
          <cell r="GA11" t="str">
            <v>SI</v>
          </cell>
          <cell r="GB11" t="str">
            <v>SI</v>
          </cell>
          <cell r="GC11" t="str">
            <v>NO</v>
          </cell>
          <cell r="GD11" t="str">
            <v>NO</v>
          </cell>
          <cell r="GE11" t="str">
            <v>NO</v>
          </cell>
          <cell r="GF11" t="str">
            <v>SI</v>
          </cell>
          <cell r="GG11" t="str">
            <v>SI</v>
          </cell>
        </row>
        <row r="12">
          <cell r="A12" t="str">
            <v>E001013021002</v>
          </cell>
          <cell r="B12" t="str">
            <v>Si</v>
          </cell>
          <cell r="C12">
            <v>1071200</v>
          </cell>
          <cell r="D12">
            <v>99999999</v>
          </cell>
          <cell r="E12" t="str">
            <v>Ambos</v>
          </cell>
          <cell r="F12">
            <v>18</v>
          </cell>
          <cell r="G12">
            <v>60</v>
          </cell>
          <cell r="H12" t="str">
            <v>NO</v>
          </cell>
          <cell r="I12" t="str">
            <v>SI</v>
          </cell>
          <cell r="J12" t="str">
            <v>SI</v>
          </cell>
          <cell r="AT12">
            <v>4</v>
          </cell>
          <cell r="AU12">
            <v>8</v>
          </cell>
          <cell r="AV12">
            <v>10000</v>
          </cell>
          <cell r="AW12">
            <v>15000</v>
          </cell>
          <cell r="AX12">
            <v>2</v>
          </cell>
          <cell r="AY12">
            <v>5</v>
          </cell>
          <cell r="AZ12" t="str">
            <v>NO</v>
          </cell>
          <cell r="BA12">
            <v>3</v>
          </cell>
          <cell r="BC12" t="str">
            <v>NO</v>
          </cell>
          <cell r="BD12" t="str">
            <v>NO</v>
          </cell>
          <cell r="BE12" t="str">
            <v>SI</v>
          </cell>
          <cell r="BF12" t="str">
            <v>SI</v>
          </cell>
          <cell r="BG12" t="str">
            <v>SI</v>
          </cell>
          <cell r="BH12" t="str">
            <v>SI</v>
          </cell>
          <cell r="BI12" t="str">
            <v>SI</v>
          </cell>
          <cell r="BJ12" t="str">
            <v>NO</v>
          </cell>
          <cell r="BK12" t="str">
            <v>SI</v>
          </cell>
          <cell r="BL12" t="str">
            <v>NO</v>
          </cell>
          <cell r="BM12" t="str">
            <v>NO</v>
          </cell>
          <cell r="BN12" t="str">
            <v>NO</v>
          </cell>
          <cell r="BO12" t="str">
            <v>SI</v>
          </cell>
          <cell r="BP12" t="str">
            <v>NO</v>
          </cell>
          <cell r="BQ12" t="str">
            <v>NO</v>
          </cell>
          <cell r="BR12" t="str">
            <v>NO</v>
          </cell>
          <cell r="BS12" t="str">
            <v>SI</v>
          </cell>
          <cell r="BT12" t="str">
            <v>SI</v>
          </cell>
          <cell r="BU12" t="str">
            <v>SI</v>
          </cell>
          <cell r="BV12" t="str">
            <v>SI</v>
          </cell>
          <cell r="BW12" t="str">
            <v>SI</v>
          </cell>
          <cell r="BX12" t="str">
            <v>SI</v>
          </cell>
          <cell r="BY12" t="str">
            <v>SI</v>
          </cell>
          <cell r="BZ12" t="str">
            <v>NO</v>
          </cell>
          <cell r="CA12" t="str">
            <v>SI</v>
          </cell>
          <cell r="CB12" t="str">
            <v>SI</v>
          </cell>
          <cell r="CC12" t="str">
            <v>SI</v>
          </cell>
          <cell r="CD12" t="str">
            <v>SI</v>
          </cell>
          <cell r="CE12" t="str">
            <v>SI</v>
          </cell>
          <cell r="CF12" t="str">
            <v>SI</v>
          </cell>
          <cell r="CG12" t="str">
            <v>NO</v>
          </cell>
          <cell r="CH12" t="str">
            <v>SI</v>
          </cell>
          <cell r="CI12" t="str">
            <v>SI</v>
          </cell>
          <cell r="CJ12" t="str">
            <v>NO</v>
          </cell>
          <cell r="CK12" t="str">
            <v>NO</v>
          </cell>
          <cell r="CL12" t="str">
            <v>SI</v>
          </cell>
          <cell r="CM12" t="str">
            <v>NO</v>
          </cell>
          <cell r="CN12" t="str">
            <v>NO</v>
          </cell>
          <cell r="CO12" t="str">
            <v>NO</v>
          </cell>
          <cell r="CP12" t="str">
            <v>NO</v>
          </cell>
          <cell r="CQ12" t="str">
            <v>SI</v>
          </cell>
          <cell r="CR12" t="str">
            <v>SI</v>
          </cell>
          <cell r="CS12" t="str">
            <v>NO</v>
          </cell>
          <cell r="CT12" t="str">
            <v>NO</v>
          </cell>
          <cell r="CU12" t="str">
            <v>SI</v>
          </cell>
          <cell r="CV12" t="str">
            <v>NO</v>
          </cell>
          <cell r="CW12" t="str">
            <v>NO</v>
          </cell>
          <cell r="CX12" t="str">
            <v>SI</v>
          </cell>
          <cell r="CY12" t="str">
            <v>NO</v>
          </cell>
          <cell r="CZ12" t="str">
            <v>SI</v>
          </cell>
          <cell r="DA12" t="str">
            <v>NO</v>
          </cell>
          <cell r="DB12" t="str">
            <v>NO</v>
          </cell>
          <cell r="DC12" t="str">
            <v>SI</v>
          </cell>
          <cell r="DD12" t="str">
            <v>NO</v>
          </cell>
          <cell r="DE12" t="str">
            <v>SI</v>
          </cell>
          <cell r="DF12" t="str">
            <v>SI</v>
          </cell>
          <cell r="DG12" t="str">
            <v>NO</v>
          </cell>
          <cell r="DH12" t="str">
            <v>NO</v>
          </cell>
          <cell r="DI12" t="str">
            <v>NO</v>
          </cell>
          <cell r="DJ12" t="str">
            <v>NO</v>
          </cell>
          <cell r="DK12" t="str">
            <v>SI</v>
          </cell>
          <cell r="DL12" t="str">
            <v>SI</v>
          </cell>
          <cell r="DM12" t="str">
            <v>E001013021002</v>
          </cell>
          <cell r="DN12" t="str">
            <v>E001003</v>
          </cell>
          <cell r="DO12" t="str">
            <v>Cuota fija Pesos</v>
          </cell>
          <cell r="DP12">
            <v>0.11</v>
          </cell>
          <cell r="DQ12">
            <v>2100000</v>
          </cell>
          <cell r="DR12">
            <v>1600000</v>
          </cell>
          <cell r="DS12">
            <v>3</v>
          </cell>
          <cell r="DT12">
            <v>2000</v>
          </cell>
          <cell r="DW12">
            <v>9000</v>
          </cell>
          <cell r="DX12">
            <v>1000</v>
          </cell>
          <cell r="DY12">
            <v>3000</v>
          </cell>
          <cell r="DZ12">
            <v>6500</v>
          </cell>
          <cell r="EA12">
            <v>3000</v>
          </cell>
          <cell r="EB12">
            <v>3000</v>
          </cell>
          <cell r="EC12">
            <v>9000</v>
          </cell>
          <cell r="ED12">
            <v>8500</v>
          </cell>
          <cell r="EE12">
            <v>3500</v>
          </cell>
          <cell r="EF12">
            <v>9000</v>
          </cell>
          <cell r="EG12">
            <v>2500</v>
          </cell>
          <cell r="EH12">
            <v>5000</v>
          </cell>
          <cell r="EI12">
            <v>9500</v>
          </cell>
          <cell r="EJ12">
            <v>6000</v>
          </cell>
          <cell r="EK12">
            <v>1500</v>
          </cell>
          <cell r="EL12">
            <v>5500</v>
          </cell>
          <cell r="EM12">
            <v>4000</v>
          </cell>
          <cell r="EN12">
            <v>4000</v>
          </cell>
          <cell r="EO12">
            <v>500</v>
          </cell>
          <cell r="EP12">
            <v>4000</v>
          </cell>
          <cell r="EQ12">
            <v>9500</v>
          </cell>
          <cell r="ER12">
            <v>5000</v>
          </cell>
          <cell r="ES12" t="str">
            <v>NO</v>
          </cell>
          <cell r="ET12">
            <v>30</v>
          </cell>
          <cell r="EU12" t="str">
            <v>NO</v>
          </cell>
          <cell r="EV12" t="str">
            <v>SI</v>
          </cell>
          <cell r="EW12" t="str">
            <v>SI</v>
          </cell>
          <cell r="EX12" t="str">
            <v>NO</v>
          </cell>
          <cell r="EY12" t="str">
            <v>NO</v>
          </cell>
          <cell r="EZ12" t="str">
            <v>SI</v>
          </cell>
          <cell r="FA12" t="str">
            <v>SI</v>
          </cell>
          <cell r="FB12" t="str">
            <v>NO</v>
          </cell>
          <cell r="FC12">
            <v>1454</v>
          </cell>
          <cell r="FD12">
            <v>1011</v>
          </cell>
          <cell r="FE12">
            <v>1265</v>
          </cell>
          <cell r="FF12">
            <v>1881</v>
          </cell>
          <cell r="FG12">
            <v>1055</v>
          </cell>
          <cell r="FH12">
            <v>1262</v>
          </cell>
          <cell r="FI12">
            <v>431</v>
          </cell>
          <cell r="FJ12">
            <v>802</v>
          </cell>
          <cell r="FK12">
            <v>1708</v>
          </cell>
          <cell r="FL12">
            <v>2019</v>
          </cell>
          <cell r="FM12" t="str">
            <v>SI</v>
          </cell>
          <cell r="FN12" t="str">
            <v>SI</v>
          </cell>
          <cell r="FO12" t="str">
            <v>SI</v>
          </cell>
          <cell r="FP12" t="str">
            <v>NO</v>
          </cell>
          <cell r="FQ12" t="str">
            <v>NO</v>
          </cell>
          <cell r="FR12" t="str">
            <v>SI</v>
          </cell>
          <cell r="FS12">
            <v>29</v>
          </cell>
          <cell r="FW12" t="str">
            <v>Presencial</v>
          </cell>
          <cell r="FX12" t="str">
            <v>Virtual</v>
          </cell>
          <cell r="FY12">
            <v>5</v>
          </cell>
          <cell r="FZ12">
            <v>108</v>
          </cell>
          <cell r="GA12" t="str">
            <v>SI</v>
          </cell>
          <cell r="GB12" t="str">
            <v>SI</v>
          </cell>
          <cell r="GC12" t="str">
            <v>SI</v>
          </cell>
          <cell r="GD12" t="str">
            <v>NO</v>
          </cell>
          <cell r="GE12" t="str">
            <v>NO</v>
          </cell>
          <cell r="GF12" t="str">
            <v>SI</v>
          </cell>
          <cell r="GG12" t="str">
            <v>SI</v>
          </cell>
        </row>
        <row r="13">
          <cell r="A13" t="str">
            <v>E001013021003</v>
          </cell>
          <cell r="B13" t="str">
            <v>Si</v>
          </cell>
          <cell r="C13">
            <v>1071200</v>
          </cell>
          <cell r="D13">
            <v>99999999</v>
          </cell>
          <cell r="E13" t="str">
            <v>Ambos</v>
          </cell>
          <cell r="F13">
            <v>18</v>
          </cell>
          <cell r="G13">
            <v>65</v>
          </cell>
          <cell r="H13" t="str">
            <v>SI</v>
          </cell>
          <cell r="I13" t="str">
            <v>SI</v>
          </cell>
          <cell r="J13" t="str">
            <v>SI</v>
          </cell>
          <cell r="AT13">
            <v>12</v>
          </cell>
          <cell r="AU13">
            <v>2</v>
          </cell>
          <cell r="AV13">
            <v>5000</v>
          </cell>
          <cell r="AW13">
            <v>15000</v>
          </cell>
          <cell r="AX13">
            <v>1</v>
          </cell>
          <cell r="AY13">
            <v>3</v>
          </cell>
          <cell r="AZ13" t="str">
            <v>SI</v>
          </cell>
          <cell r="BA13">
            <v>1</v>
          </cell>
          <cell r="BC13" t="str">
            <v>NO</v>
          </cell>
          <cell r="BD13" t="str">
            <v>SI</v>
          </cell>
          <cell r="BE13" t="str">
            <v>NO</v>
          </cell>
          <cell r="BF13" t="str">
            <v>NO</v>
          </cell>
          <cell r="BG13" t="str">
            <v>NO</v>
          </cell>
          <cell r="BH13" t="str">
            <v>NO</v>
          </cell>
          <cell r="BI13" t="str">
            <v>NO</v>
          </cell>
          <cell r="BJ13" t="str">
            <v>SI</v>
          </cell>
          <cell r="BK13" t="str">
            <v>NO</v>
          </cell>
          <cell r="BL13" t="str">
            <v>SI</v>
          </cell>
          <cell r="BM13" t="str">
            <v>SI</v>
          </cell>
          <cell r="BN13" t="str">
            <v>NO</v>
          </cell>
          <cell r="BO13" t="str">
            <v>SI</v>
          </cell>
          <cell r="BP13" t="str">
            <v>SI</v>
          </cell>
          <cell r="BQ13" t="str">
            <v>NO</v>
          </cell>
          <cell r="BR13" t="str">
            <v>NO</v>
          </cell>
          <cell r="BS13" t="str">
            <v>SI</v>
          </cell>
          <cell r="BT13" t="str">
            <v>NO</v>
          </cell>
          <cell r="BU13" t="str">
            <v>NO</v>
          </cell>
          <cell r="BV13" t="str">
            <v>SI</v>
          </cell>
          <cell r="BW13" t="str">
            <v>SI</v>
          </cell>
          <cell r="BX13" t="str">
            <v>NO</v>
          </cell>
          <cell r="BY13" t="str">
            <v>NO</v>
          </cell>
          <cell r="BZ13" t="str">
            <v>SI</v>
          </cell>
          <cell r="CA13" t="str">
            <v>NO</v>
          </cell>
          <cell r="CB13" t="str">
            <v>NO</v>
          </cell>
          <cell r="CC13" t="str">
            <v>NO</v>
          </cell>
          <cell r="CD13" t="str">
            <v>NO</v>
          </cell>
          <cell r="CE13" t="str">
            <v>SI</v>
          </cell>
          <cell r="CF13" t="str">
            <v>SI</v>
          </cell>
          <cell r="CG13" t="str">
            <v>NO</v>
          </cell>
          <cell r="CH13" t="str">
            <v>NO</v>
          </cell>
          <cell r="CI13" t="str">
            <v>SI</v>
          </cell>
          <cell r="CJ13" t="str">
            <v>NO</v>
          </cell>
          <cell r="CK13" t="str">
            <v>SI</v>
          </cell>
          <cell r="CL13" t="str">
            <v>SI</v>
          </cell>
          <cell r="CM13" t="str">
            <v>SI</v>
          </cell>
          <cell r="CN13" t="str">
            <v>NO</v>
          </cell>
          <cell r="CO13" t="str">
            <v>NO</v>
          </cell>
          <cell r="CP13" t="str">
            <v>SI</v>
          </cell>
          <cell r="CQ13" t="str">
            <v>SI</v>
          </cell>
          <cell r="CR13" t="str">
            <v>SI</v>
          </cell>
          <cell r="CS13" t="str">
            <v>SI</v>
          </cell>
          <cell r="CT13" t="str">
            <v>SI</v>
          </cell>
          <cell r="CU13" t="str">
            <v>SI</v>
          </cell>
          <cell r="CV13" t="str">
            <v>SI</v>
          </cell>
          <cell r="CW13" t="str">
            <v>NO</v>
          </cell>
          <cell r="CX13" t="str">
            <v>SI</v>
          </cell>
          <cell r="CY13" t="str">
            <v>NO</v>
          </cell>
          <cell r="CZ13" t="str">
            <v>SI</v>
          </cell>
          <cell r="DA13" t="str">
            <v>NO</v>
          </cell>
          <cell r="DB13" t="str">
            <v>SI</v>
          </cell>
          <cell r="DC13" t="str">
            <v>SI</v>
          </cell>
          <cell r="DD13" t="str">
            <v>NO</v>
          </cell>
          <cell r="DE13" t="str">
            <v>SI</v>
          </cell>
          <cell r="DF13" t="str">
            <v>SI</v>
          </cell>
          <cell r="DG13" t="str">
            <v>NO</v>
          </cell>
          <cell r="DH13" t="str">
            <v>SI</v>
          </cell>
          <cell r="DI13" t="str">
            <v>SI</v>
          </cell>
          <cell r="DJ13" t="str">
            <v>SI</v>
          </cell>
          <cell r="DK13" t="str">
            <v>NO</v>
          </cell>
          <cell r="DL13" t="str">
            <v>NO</v>
          </cell>
          <cell r="DM13" t="str">
            <v>E001013021003</v>
          </cell>
          <cell r="DN13" t="str">
            <v>E001003</v>
          </cell>
          <cell r="DO13" t="str">
            <v>Cuota fija Pesos</v>
          </cell>
          <cell r="DP13">
            <v>0.09</v>
          </cell>
          <cell r="DQ13">
            <v>1300000</v>
          </cell>
          <cell r="DR13">
            <v>600000</v>
          </cell>
          <cell r="DS13">
            <v>1</v>
          </cell>
          <cell r="DT13">
            <v>9500</v>
          </cell>
          <cell r="DW13">
            <v>2000</v>
          </cell>
          <cell r="DX13">
            <v>4000</v>
          </cell>
          <cell r="DY13">
            <v>0</v>
          </cell>
          <cell r="DZ13">
            <v>8000</v>
          </cell>
          <cell r="EA13">
            <v>4000</v>
          </cell>
          <cell r="EB13">
            <v>3500</v>
          </cell>
          <cell r="EC13">
            <v>3500</v>
          </cell>
          <cell r="ED13">
            <v>500</v>
          </cell>
          <cell r="EE13">
            <v>5500</v>
          </cell>
          <cell r="EF13">
            <v>3500</v>
          </cell>
          <cell r="EG13">
            <v>7000</v>
          </cell>
          <cell r="EH13">
            <v>5000</v>
          </cell>
          <cell r="EI13">
            <v>500</v>
          </cell>
          <cell r="EJ13">
            <v>3500</v>
          </cell>
          <cell r="EK13">
            <v>2000</v>
          </cell>
          <cell r="EL13">
            <v>500</v>
          </cell>
          <cell r="EM13">
            <v>3000</v>
          </cell>
          <cell r="EN13">
            <v>500</v>
          </cell>
          <cell r="EO13">
            <v>2500</v>
          </cell>
          <cell r="EP13">
            <v>5500</v>
          </cell>
          <cell r="EQ13">
            <v>7000</v>
          </cell>
          <cell r="ER13">
            <v>4500</v>
          </cell>
          <cell r="ES13" t="str">
            <v>SI</v>
          </cell>
          <cell r="ET13">
            <v>6</v>
          </cell>
          <cell r="EU13" t="str">
            <v>SI</v>
          </cell>
          <cell r="EV13" t="str">
            <v>NO</v>
          </cell>
          <cell r="EW13" t="str">
            <v>SI</v>
          </cell>
          <cell r="EX13" t="str">
            <v>SI</v>
          </cell>
          <cell r="EY13" t="str">
            <v>SI</v>
          </cell>
          <cell r="EZ13" t="str">
            <v>NO</v>
          </cell>
          <cell r="FA13" t="str">
            <v>NO</v>
          </cell>
          <cell r="FB13" t="str">
            <v>SI</v>
          </cell>
          <cell r="FC13">
            <v>2042</v>
          </cell>
          <cell r="FD13">
            <v>1150</v>
          </cell>
          <cell r="FE13">
            <v>395</v>
          </cell>
          <cell r="FF13">
            <v>2165</v>
          </cell>
          <cell r="FG13">
            <v>1334</v>
          </cell>
          <cell r="FH13">
            <v>930</v>
          </cell>
          <cell r="FI13">
            <v>1098</v>
          </cell>
          <cell r="FJ13">
            <v>1459</v>
          </cell>
          <cell r="FK13">
            <v>1557</v>
          </cell>
          <cell r="FL13">
            <v>827</v>
          </cell>
          <cell r="FM13" t="str">
            <v>NO</v>
          </cell>
          <cell r="FN13" t="str">
            <v>NO</v>
          </cell>
          <cell r="FO13" t="str">
            <v>NO</v>
          </cell>
          <cell r="FP13" t="str">
            <v>SI</v>
          </cell>
          <cell r="FQ13" t="str">
            <v>NO</v>
          </cell>
          <cell r="FR13" t="str">
            <v>SI</v>
          </cell>
          <cell r="FS13">
            <v>61</v>
          </cell>
          <cell r="FW13" t="str">
            <v>Presencial</v>
          </cell>
          <cell r="FX13" t="str">
            <v>No</v>
          </cell>
          <cell r="FY13">
            <v>1</v>
          </cell>
          <cell r="FZ13">
            <v>90</v>
          </cell>
          <cell r="GA13" t="str">
            <v>NO</v>
          </cell>
          <cell r="GB13" t="str">
            <v>NO</v>
          </cell>
          <cell r="GC13" t="str">
            <v>SI</v>
          </cell>
          <cell r="GD13" t="str">
            <v>SI</v>
          </cell>
          <cell r="GE13" t="str">
            <v>NO</v>
          </cell>
          <cell r="GF13" t="str">
            <v>NO</v>
          </cell>
          <cell r="GG13" t="str">
            <v>SI</v>
          </cell>
        </row>
        <row r="14">
          <cell r="A14" t="str">
            <v>E001013021004</v>
          </cell>
          <cell r="B14" t="str">
            <v>Si</v>
          </cell>
          <cell r="C14">
            <v>1687706.66666667</v>
          </cell>
          <cell r="D14">
            <v>99999999</v>
          </cell>
          <cell r="E14" t="str">
            <v>Femenino</v>
          </cell>
          <cell r="F14">
            <v>25</v>
          </cell>
          <cell r="G14">
            <v>65</v>
          </cell>
          <cell r="H14" t="str">
            <v>SI</v>
          </cell>
          <cell r="I14" t="str">
            <v>NO</v>
          </cell>
          <cell r="J14" t="str">
            <v>SI</v>
          </cell>
          <cell r="AT14">
            <v>4</v>
          </cell>
          <cell r="AU14">
            <v>6</v>
          </cell>
          <cell r="AV14">
            <v>10000</v>
          </cell>
          <cell r="AW14">
            <v>10000</v>
          </cell>
          <cell r="AX14">
            <v>6</v>
          </cell>
          <cell r="AY14">
            <v>8</v>
          </cell>
          <cell r="AZ14" t="str">
            <v>NO</v>
          </cell>
          <cell r="BA14">
            <v>2</v>
          </cell>
          <cell r="BC14" t="str">
            <v>NO</v>
          </cell>
          <cell r="BD14" t="str">
            <v>SI</v>
          </cell>
          <cell r="BE14" t="str">
            <v>NO</v>
          </cell>
          <cell r="BF14" t="str">
            <v>NO</v>
          </cell>
          <cell r="BG14" t="str">
            <v>SI</v>
          </cell>
          <cell r="BH14" t="str">
            <v>SI</v>
          </cell>
          <cell r="BI14" t="str">
            <v>SI</v>
          </cell>
          <cell r="BJ14" t="str">
            <v>SI</v>
          </cell>
          <cell r="BK14" t="str">
            <v>NO</v>
          </cell>
          <cell r="BL14" t="str">
            <v>SI</v>
          </cell>
          <cell r="BM14" t="str">
            <v>SI</v>
          </cell>
          <cell r="BN14" t="str">
            <v>NO</v>
          </cell>
          <cell r="BO14" t="str">
            <v>SI</v>
          </cell>
          <cell r="BP14" t="str">
            <v>SI</v>
          </cell>
          <cell r="BQ14" t="str">
            <v>NO</v>
          </cell>
          <cell r="BR14" t="str">
            <v>SI</v>
          </cell>
          <cell r="BS14" t="str">
            <v>SI</v>
          </cell>
          <cell r="BT14" t="str">
            <v>SI</v>
          </cell>
          <cell r="BU14" t="str">
            <v>SI</v>
          </cell>
          <cell r="BV14" t="str">
            <v>NO</v>
          </cell>
          <cell r="BW14" t="str">
            <v>SI</v>
          </cell>
          <cell r="BX14" t="str">
            <v>NO</v>
          </cell>
          <cell r="BY14" t="str">
            <v>NO</v>
          </cell>
          <cell r="BZ14" t="str">
            <v>SI</v>
          </cell>
          <cell r="CA14" t="str">
            <v>NO</v>
          </cell>
          <cell r="CB14" t="str">
            <v>NO</v>
          </cell>
          <cell r="CC14" t="str">
            <v>NO</v>
          </cell>
          <cell r="CD14" t="str">
            <v>NO</v>
          </cell>
          <cell r="CE14" t="str">
            <v>SI</v>
          </cell>
          <cell r="CF14" t="str">
            <v>SI</v>
          </cell>
          <cell r="CG14" t="str">
            <v>NO</v>
          </cell>
          <cell r="CH14" t="str">
            <v>NO</v>
          </cell>
          <cell r="CI14" t="str">
            <v>SI</v>
          </cell>
          <cell r="CJ14" t="str">
            <v>NO</v>
          </cell>
          <cell r="CK14" t="str">
            <v>SI</v>
          </cell>
          <cell r="CL14" t="str">
            <v>SI</v>
          </cell>
          <cell r="CM14" t="str">
            <v>SI</v>
          </cell>
          <cell r="CN14" t="str">
            <v>NO</v>
          </cell>
          <cell r="CO14" t="str">
            <v>NO</v>
          </cell>
          <cell r="CP14" t="str">
            <v>SI</v>
          </cell>
          <cell r="CQ14" t="str">
            <v>SI</v>
          </cell>
          <cell r="CR14" t="str">
            <v>SI</v>
          </cell>
          <cell r="CS14" t="str">
            <v>SI</v>
          </cell>
          <cell r="CT14" t="str">
            <v>SI</v>
          </cell>
          <cell r="CU14" t="str">
            <v>SI</v>
          </cell>
          <cell r="CV14" t="str">
            <v>SI</v>
          </cell>
          <cell r="CW14" t="str">
            <v>NO</v>
          </cell>
          <cell r="CX14" t="str">
            <v>SI</v>
          </cell>
          <cell r="CY14" t="str">
            <v>NO</v>
          </cell>
          <cell r="CZ14" t="str">
            <v>SI</v>
          </cell>
          <cell r="DA14" t="str">
            <v>NO</v>
          </cell>
          <cell r="DB14" t="str">
            <v>SI</v>
          </cell>
          <cell r="DC14" t="str">
            <v>SI</v>
          </cell>
          <cell r="DD14" t="str">
            <v>NO</v>
          </cell>
          <cell r="DE14" t="str">
            <v>SI</v>
          </cell>
          <cell r="DF14" t="str">
            <v>SI</v>
          </cell>
          <cell r="DG14" t="str">
            <v>NO</v>
          </cell>
          <cell r="DH14" t="str">
            <v>SI</v>
          </cell>
          <cell r="DI14" t="str">
            <v>SI</v>
          </cell>
          <cell r="DJ14" t="str">
            <v>SI</v>
          </cell>
          <cell r="DK14" t="str">
            <v>NO</v>
          </cell>
          <cell r="DL14" t="str">
            <v>NO</v>
          </cell>
          <cell r="DM14" t="str">
            <v>E001013021004</v>
          </cell>
          <cell r="DN14" t="str">
            <v>E001003</v>
          </cell>
          <cell r="DO14" t="str">
            <v>Cuota fija Pesos</v>
          </cell>
          <cell r="DP14">
            <v>0.13</v>
          </cell>
          <cell r="DQ14">
            <v>2100000</v>
          </cell>
          <cell r="DR14">
            <v>1400000</v>
          </cell>
          <cell r="DS14">
            <v>2</v>
          </cell>
          <cell r="DT14">
            <v>0</v>
          </cell>
          <cell r="DW14">
            <v>8500</v>
          </cell>
          <cell r="DX14">
            <v>2500</v>
          </cell>
          <cell r="DY14">
            <v>6500</v>
          </cell>
          <cell r="DZ14">
            <v>10000</v>
          </cell>
          <cell r="EA14">
            <v>7000</v>
          </cell>
          <cell r="EB14">
            <v>0</v>
          </cell>
          <cell r="EC14">
            <v>9500</v>
          </cell>
          <cell r="ED14">
            <v>4500</v>
          </cell>
          <cell r="EE14">
            <v>1000</v>
          </cell>
          <cell r="EF14">
            <v>6000</v>
          </cell>
          <cell r="EG14">
            <v>10000</v>
          </cell>
          <cell r="EH14">
            <v>6500</v>
          </cell>
          <cell r="EI14">
            <v>6500</v>
          </cell>
          <cell r="EJ14">
            <v>1500</v>
          </cell>
          <cell r="EK14">
            <v>3000</v>
          </cell>
          <cell r="EL14">
            <v>500</v>
          </cell>
          <cell r="EM14">
            <v>7500</v>
          </cell>
          <cell r="EN14">
            <v>3500</v>
          </cell>
          <cell r="EO14">
            <v>2500</v>
          </cell>
          <cell r="EP14">
            <v>8000</v>
          </cell>
          <cell r="EQ14">
            <v>5500</v>
          </cell>
          <cell r="ER14">
            <v>1500</v>
          </cell>
          <cell r="ES14" t="str">
            <v>SI</v>
          </cell>
          <cell r="ET14">
            <v>15</v>
          </cell>
          <cell r="EU14" t="str">
            <v>NO</v>
          </cell>
          <cell r="EV14" t="str">
            <v>SI</v>
          </cell>
          <cell r="EW14" t="str">
            <v>NO</v>
          </cell>
          <cell r="EX14" t="str">
            <v>SI</v>
          </cell>
          <cell r="EY14" t="str">
            <v>NO</v>
          </cell>
          <cell r="EZ14" t="str">
            <v>SI</v>
          </cell>
          <cell r="FA14" t="str">
            <v>SI</v>
          </cell>
          <cell r="FB14" t="str">
            <v>SI</v>
          </cell>
          <cell r="FC14">
            <v>2217</v>
          </cell>
          <cell r="FD14">
            <v>1739</v>
          </cell>
          <cell r="FE14">
            <v>472</v>
          </cell>
          <cell r="FF14">
            <v>1128</v>
          </cell>
          <cell r="FG14">
            <v>501</v>
          </cell>
          <cell r="FH14">
            <v>477</v>
          </cell>
          <cell r="FI14">
            <v>1384</v>
          </cell>
          <cell r="FJ14">
            <v>565</v>
          </cell>
          <cell r="FK14">
            <v>1403</v>
          </cell>
          <cell r="FL14">
            <v>451</v>
          </cell>
          <cell r="FM14" t="str">
            <v>NO</v>
          </cell>
          <cell r="FN14" t="str">
            <v>SI</v>
          </cell>
          <cell r="FO14" t="str">
            <v>NO</v>
          </cell>
          <cell r="FP14" t="str">
            <v>NO</v>
          </cell>
          <cell r="FQ14" t="str">
            <v>SI</v>
          </cell>
          <cell r="FR14" t="str">
            <v>SI</v>
          </cell>
          <cell r="FS14">
            <v>395</v>
          </cell>
          <cell r="FW14" t="str">
            <v>Virtual</v>
          </cell>
          <cell r="FX14" t="str">
            <v>Virtual</v>
          </cell>
          <cell r="FY14">
            <v>3</v>
          </cell>
          <cell r="FZ14">
            <v>74</v>
          </cell>
          <cell r="GA14" t="str">
            <v>SI</v>
          </cell>
          <cell r="GB14" t="str">
            <v>SI</v>
          </cell>
          <cell r="GC14" t="str">
            <v>NO</v>
          </cell>
          <cell r="GD14" t="str">
            <v>NO</v>
          </cell>
          <cell r="GE14" t="str">
            <v>SI</v>
          </cell>
          <cell r="GF14" t="str">
            <v>SI</v>
          </cell>
          <cell r="GG14" t="str">
            <v>SI</v>
          </cell>
        </row>
        <row r="15">
          <cell r="A15" t="str">
            <v>E001010021001</v>
          </cell>
          <cell r="B15" t="str">
            <v>Si</v>
          </cell>
          <cell r="C15">
            <v>1627100.6060606099</v>
          </cell>
          <cell r="D15">
            <v>99999999</v>
          </cell>
          <cell r="E15" t="str">
            <v>Ambos</v>
          </cell>
          <cell r="F15">
            <v>18</v>
          </cell>
          <cell r="G15">
            <v>65</v>
          </cell>
          <cell r="H15" t="str">
            <v>SI</v>
          </cell>
          <cell r="I15" t="str">
            <v>SI</v>
          </cell>
          <cell r="J15" t="str">
            <v>SI</v>
          </cell>
          <cell r="AT15">
            <v>21</v>
          </cell>
          <cell r="AU15">
            <v>10</v>
          </cell>
          <cell r="AV15">
            <v>15000</v>
          </cell>
          <cell r="AW15">
            <v>20000</v>
          </cell>
          <cell r="AX15">
            <v>1</v>
          </cell>
          <cell r="AY15">
            <v>8</v>
          </cell>
          <cell r="AZ15" t="str">
            <v>SI</v>
          </cell>
          <cell r="BA15">
            <v>2</v>
          </cell>
          <cell r="BC15" t="str">
            <v>NO</v>
          </cell>
          <cell r="BD15" t="str">
            <v>NO</v>
          </cell>
          <cell r="BE15" t="str">
            <v>SI</v>
          </cell>
          <cell r="BF15" t="str">
            <v>NO</v>
          </cell>
          <cell r="BG15" t="str">
            <v>SI</v>
          </cell>
          <cell r="BH15" t="str">
            <v>SI</v>
          </cell>
          <cell r="BI15" t="str">
            <v>SI</v>
          </cell>
          <cell r="BJ15" t="str">
            <v>SI</v>
          </cell>
          <cell r="BK15" t="str">
            <v>SI</v>
          </cell>
          <cell r="BL15" t="str">
            <v>NO</v>
          </cell>
          <cell r="BM15" t="str">
            <v>NO</v>
          </cell>
          <cell r="BN15" t="str">
            <v>NO</v>
          </cell>
          <cell r="BO15" t="str">
            <v>SI</v>
          </cell>
          <cell r="BP15" t="str">
            <v>SI</v>
          </cell>
          <cell r="BQ15" t="str">
            <v>NO</v>
          </cell>
          <cell r="BR15" t="str">
            <v>SI</v>
          </cell>
          <cell r="BS15" t="str">
            <v>SI</v>
          </cell>
          <cell r="BT15" t="str">
            <v>NO</v>
          </cell>
          <cell r="BU15" t="str">
            <v>SI</v>
          </cell>
          <cell r="BV15" t="str">
            <v>NO</v>
          </cell>
          <cell r="BW15" t="str">
            <v>NO</v>
          </cell>
          <cell r="BX15" t="str">
            <v>NO</v>
          </cell>
          <cell r="BY15" t="str">
            <v>NO</v>
          </cell>
          <cell r="BZ15" t="str">
            <v>NO</v>
          </cell>
          <cell r="CA15" t="str">
            <v>SI</v>
          </cell>
          <cell r="CB15" t="str">
            <v>SI</v>
          </cell>
          <cell r="CC15" t="str">
            <v>SI</v>
          </cell>
          <cell r="CD15" t="str">
            <v>SI</v>
          </cell>
          <cell r="CE15" t="str">
            <v>SI</v>
          </cell>
          <cell r="CF15" t="str">
            <v>SI</v>
          </cell>
          <cell r="CG15" t="str">
            <v>NO</v>
          </cell>
          <cell r="CH15" t="str">
            <v>SI</v>
          </cell>
          <cell r="CI15" t="str">
            <v>SI</v>
          </cell>
          <cell r="CJ15" t="str">
            <v>NO</v>
          </cell>
          <cell r="CK15" t="str">
            <v>NO</v>
          </cell>
          <cell r="CL15" t="str">
            <v>SI</v>
          </cell>
          <cell r="CM15" t="str">
            <v>NO</v>
          </cell>
          <cell r="CN15" t="str">
            <v>NO</v>
          </cell>
          <cell r="CO15" t="str">
            <v>NO</v>
          </cell>
          <cell r="CP15" t="str">
            <v>NO</v>
          </cell>
          <cell r="CQ15" t="str">
            <v>SI</v>
          </cell>
          <cell r="CR15" t="str">
            <v>NO</v>
          </cell>
          <cell r="CS15" t="str">
            <v>SI</v>
          </cell>
          <cell r="CT15" t="str">
            <v>SI</v>
          </cell>
          <cell r="CU15" t="str">
            <v>SI</v>
          </cell>
          <cell r="CV15" t="str">
            <v>NO</v>
          </cell>
          <cell r="CW15" t="str">
            <v>SI</v>
          </cell>
          <cell r="CX15" t="str">
            <v>NO</v>
          </cell>
          <cell r="CY15" t="str">
            <v>NO</v>
          </cell>
          <cell r="CZ15" t="str">
            <v>NO</v>
          </cell>
          <cell r="DA15" t="str">
            <v>NO</v>
          </cell>
          <cell r="DB15" t="str">
            <v>SI</v>
          </cell>
          <cell r="DC15" t="str">
            <v>NO</v>
          </cell>
          <cell r="DD15" t="str">
            <v>SI</v>
          </cell>
          <cell r="DE15" t="str">
            <v>SI</v>
          </cell>
          <cell r="DF15" t="str">
            <v>SI</v>
          </cell>
          <cell r="DG15" t="str">
            <v>NO</v>
          </cell>
          <cell r="DH15" t="str">
            <v>SI</v>
          </cell>
          <cell r="DI15" t="str">
            <v>NO</v>
          </cell>
          <cell r="DJ15" t="str">
            <v>NO</v>
          </cell>
          <cell r="DK15" t="str">
            <v>SI</v>
          </cell>
          <cell r="DL15" t="str">
            <v>SI</v>
          </cell>
          <cell r="DM15" t="str">
            <v>E001010021001</v>
          </cell>
          <cell r="DN15" t="str">
            <v>E001004</v>
          </cell>
          <cell r="DO15" t="str">
            <v>Cuota fija Pesos</v>
          </cell>
          <cell r="DP15">
            <v>0.12</v>
          </cell>
          <cell r="DQ15">
            <v>1200000</v>
          </cell>
          <cell r="DR15">
            <v>500000</v>
          </cell>
          <cell r="DS15">
            <v>2</v>
          </cell>
          <cell r="DT15">
            <v>1000</v>
          </cell>
          <cell r="DW15">
            <v>5500</v>
          </cell>
          <cell r="DX15">
            <v>4500</v>
          </cell>
          <cell r="DY15">
            <v>10000</v>
          </cell>
          <cell r="DZ15">
            <v>4000</v>
          </cell>
          <cell r="EA15">
            <v>4500</v>
          </cell>
          <cell r="EB15">
            <v>8000</v>
          </cell>
          <cell r="EC15">
            <v>1000</v>
          </cell>
          <cell r="ED15">
            <v>4500</v>
          </cell>
          <cell r="EE15">
            <v>0</v>
          </cell>
          <cell r="EF15">
            <v>8000</v>
          </cell>
          <cell r="EG15">
            <v>1500</v>
          </cell>
          <cell r="EH15">
            <v>9500</v>
          </cell>
          <cell r="EI15">
            <v>500</v>
          </cell>
          <cell r="EJ15">
            <v>4500</v>
          </cell>
          <cell r="EK15">
            <v>9500</v>
          </cell>
          <cell r="EL15">
            <v>9500</v>
          </cell>
          <cell r="EM15">
            <v>1000</v>
          </cell>
          <cell r="EN15">
            <v>3500</v>
          </cell>
          <cell r="EO15">
            <v>4500</v>
          </cell>
          <cell r="EP15">
            <v>1000</v>
          </cell>
          <cell r="EQ15">
            <v>2500</v>
          </cell>
          <cell r="ER15">
            <v>4000</v>
          </cell>
          <cell r="ES15" t="str">
            <v>NO</v>
          </cell>
          <cell r="ET15">
            <v>9</v>
          </cell>
          <cell r="EU15" t="str">
            <v>NO</v>
          </cell>
          <cell r="EV15" t="str">
            <v>SI</v>
          </cell>
          <cell r="EW15" t="str">
            <v>NO</v>
          </cell>
          <cell r="EX15" t="str">
            <v>SI</v>
          </cell>
          <cell r="EY15" t="str">
            <v>NO</v>
          </cell>
          <cell r="EZ15" t="str">
            <v>SI</v>
          </cell>
          <cell r="FA15" t="str">
            <v>NO</v>
          </cell>
          <cell r="FB15" t="str">
            <v>NO</v>
          </cell>
          <cell r="FC15">
            <v>1134</v>
          </cell>
          <cell r="FD15">
            <v>623</v>
          </cell>
          <cell r="FE15">
            <v>665</v>
          </cell>
          <cell r="FF15">
            <v>1139</v>
          </cell>
          <cell r="FG15">
            <v>843</v>
          </cell>
          <cell r="FH15">
            <v>1396</v>
          </cell>
          <cell r="FI15">
            <v>2159</v>
          </cell>
          <cell r="FJ15">
            <v>478</v>
          </cell>
          <cell r="FK15">
            <v>704</v>
          </cell>
          <cell r="FL15">
            <v>1585</v>
          </cell>
          <cell r="FM15" t="str">
            <v>SI</v>
          </cell>
          <cell r="FN15" t="str">
            <v>NO</v>
          </cell>
          <cell r="FO15" t="str">
            <v>NO</v>
          </cell>
          <cell r="FP15" t="str">
            <v>NO</v>
          </cell>
          <cell r="FQ15" t="str">
            <v>NO</v>
          </cell>
          <cell r="FR15" t="str">
            <v>SI</v>
          </cell>
          <cell r="FS15">
            <v>713</v>
          </cell>
          <cell r="FW15" t="str">
            <v>Presencial</v>
          </cell>
          <cell r="FX15" t="str">
            <v>Fisica</v>
          </cell>
          <cell r="FY15">
            <v>2</v>
          </cell>
          <cell r="FZ15">
            <v>70</v>
          </cell>
          <cell r="GA15" t="str">
            <v>SI</v>
          </cell>
          <cell r="GB15" t="str">
            <v>NO</v>
          </cell>
          <cell r="GC15" t="str">
            <v>NO</v>
          </cell>
          <cell r="GD15" t="str">
            <v>NO</v>
          </cell>
          <cell r="GE15" t="str">
            <v>SI</v>
          </cell>
          <cell r="GF15" t="str">
            <v>SI</v>
          </cell>
          <cell r="GG15" t="str">
            <v>SI</v>
          </cell>
        </row>
        <row r="16">
          <cell r="A16" t="str">
            <v>E001010021002</v>
          </cell>
          <cell r="B16" t="str">
            <v>No</v>
          </cell>
          <cell r="C16">
            <v>1566494.5454545501</v>
          </cell>
          <cell r="D16">
            <v>99999999</v>
          </cell>
          <cell r="E16" t="str">
            <v>Ambos</v>
          </cell>
          <cell r="F16">
            <v>18</v>
          </cell>
          <cell r="G16">
            <v>65</v>
          </cell>
          <cell r="H16" t="str">
            <v>SI</v>
          </cell>
          <cell r="I16" t="str">
            <v>SI</v>
          </cell>
          <cell r="J16" t="str">
            <v>SI</v>
          </cell>
          <cell r="AT16">
            <v>23</v>
          </cell>
          <cell r="AU16">
            <v>12</v>
          </cell>
          <cell r="AV16">
            <v>8000</v>
          </cell>
          <cell r="AW16">
            <v>25000</v>
          </cell>
          <cell r="AX16">
            <v>10</v>
          </cell>
          <cell r="AY16">
            <v>13</v>
          </cell>
          <cell r="AZ16" t="str">
            <v>SI</v>
          </cell>
          <cell r="BA16">
            <v>4</v>
          </cell>
          <cell r="BC16" t="str">
            <v>SI</v>
          </cell>
          <cell r="BD16" t="str">
            <v>SI</v>
          </cell>
          <cell r="BE16" t="str">
            <v>SI</v>
          </cell>
          <cell r="BF16" t="str">
            <v>NO</v>
          </cell>
          <cell r="BG16" t="str">
            <v>NO</v>
          </cell>
          <cell r="BH16" t="str">
            <v>NO</v>
          </cell>
          <cell r="BI16" t="str">
            <v>SI</v>
          </cell>
          <cell r="BJ16" t="str">
            <v>NO</v>
          </cell>
          <cell r="BK16" t="str">
            <v>SI</v>
          </cell>
          <cell r="BL16" t="str">
            <v>SI</v>
          </cell>
          <cell r="BM16" t="str">
            <v>SI</v>
          </cell>
          <cell r="BN16" t="str">
            <v>NO</v>
          </cell>
          <cell r="BO16" t="str">
            <v>SI</v>
          </cell>
          <cell r="BP16" t="str">
            <v>NO</v>
          </cell>
          <cell r="BQ16" t="str">
            <v>NO</v>
          </cell>
          <cell r="BR16" t="str">
            <v>SI</v>
          </cell>
          <cell r="BS16" t="str">
            <v>SI</v>
          </cell>
          <cell r="BT16" t="str">
            <v>SI</v>
          </cell>
          <cell r="BU16" t="str">
            <v>SI</v>
          </cell>
          <cell r="BV16" t="str">
            <v>NO</v>
          </cell>
          <cell r="BW16" t="str">
            <v>SI</v>
          </cell>
          <cell r="BX16" t="str">
            <v>NO</v>
          </cell>
          <cell r="BY16" t="str">
            <v>SI</v>
          </cell>
          <cell r="BZ16" t="str">
            <v>SI</v>
          </cell>
          <cell r="CA16" t="str">
            <v>NO</v>
          </cell>
          <cell r="CB16" t="str">
            <v>NO</v>
          </cell>
          <cell r="CC16" t="str">
            <v>NO</v>
          </cell>
          <cell r="CD16" t="str">
            <v>SI</v>
          </cell>
          <cell r="CE16" t="str">
            <v>SI</v>
          </cell>
          <cell r="CF16" t="str">
            <v>SI</v>
          </cell>
          <cell r="CG16" t="str">
            <v>SI</v>
          </cell>
          <cell r="CH16" t="str">
            <v>SI</v>
          </cell>
          <cell r="CI16" t="str">
            <v>NO</v>
          </cell>
          <cell r="CJ16" t="str">
            <v>SI</v>
          </cell>
          <cell r="CK16" t="str">
            <v>NO</v>
          </cell>
          <cell r="CL16" t="str">
            <v>NO</v>
          </cell>
          <cell r="CM16" t="str">
            <v>NO</v>
          </cell>
          <cell r="CN16" t="str">
            <v>NO</v>
          </cell>
          <cell r="CO16" t="str">
            <v>SI</v>
          </cell>
          <cell r="CP16" t="str">
            <v>NO</v>
          </cell>
          <cell r="CQ16" t="str">
            <v>NO</v>
          </cell>
          <cell r="CR16" t="str">
            <v>NO</v>
          </cell>
          <cell r="CS16" t="str">
            <v>SI</v>
          </cell>
          <cell r="CT16" t="str">
            <v>SI</v>
          </cell>
          <cell r="CU16" t="str">
            <v>SI</v>
          </cell>
          <cell r="CV16" t="str">
            <v>SI</v>
          </cell>
          <cell r="CW16" t="str">
            <v>SI</v>
          </cell>
          <cell r="CX16" t="str">
            <v>SI</v>
          </cell>
          <cell r="CY16" t="str">
            <v>NO</v>
          </cell>
          <cell r="CZ16" t="str">
            <v>SI</v>
          </cell>
          <cell r="DA16" t="str">
            <v>NO</v>
          </cell>
          <cell r="DB16" t="str">
            <v>SI</v>
          </cell>
          <cell r="DC16" t="str">
            <v>NO</v>
          </cell>
          <cell r="DD16" t="str">
            <v>SI</v>
          </cell>
          <cell r="DE16" t="str">
            <v>SI</v>
          </cell>
          <cell r="DF16" t="str">
            <v>SI</v>
          </cell>
          <cell r="DG16" t="str">
            <v>SI</v>
          </cell>
          <cell r="DH16" t="str">
            <v>SI</v>
          </cell>
          <cell r="DI16" t="str">
            <v>SI</v>
          </cell>
          <cell r="DJ16" t="str">
            <v>SI</v>
          </cell>
          <cell r="DK16" t="str">
            <v>NO</v>
          </cell>
          <cell r="DL16" t="str">
            <v>NO</v>
          </cell>
          <cell r="DM16" t="str">
            <v>E001010021002</v>
          </cell>
          <cell r="DN16" t="str">
            <v>E001004</v>
          </cell>
          <cell r="DO16" t="str">
            <v>Cuota fija Pesos</v>
          </cell>
          <cell r="DP16">
            <v>0.08</v>
          </cell>
          <cell r="DQ16">
            <v>2400000</v>
          </cell>
          <cell r="DR16">
            <v>1600000</v>
          </cell>
          <cell r="DS16">
            <v>2</v>
          </cell>
          <cell r="DT16">
            <v>8500</v>
          </cell>
          <cell r="DW16">
            <v>4500</v>
          </cell>
          <cell r="DX16">
            <v>7500</v>
          </cell>
          <cell r="DY16">
            <v>8000</v>
          </cell>
          <cell r="DZ16">
            <v>1500</v>
          </cell>
          <cell r="EA16">
            <v>7500</v>
          </cell>
          <cell r="EB16">
            <v>9000</v>
          </cell>
          <cell r="EC16">
            <v>6500</v>
          </cell>
          <cell r="ED16">
            <v>0</v>
          </cell>
          <cell r="EE16">
            <v>8500</v>
          </cell>
          <cell r="EF16">
            <v>8500</v>
          </cell>
          <cell r="EG16">
            <v>7000</v>
          </cell>
          <cell r="EH16">
            <v>5500</v>
          </cell>
          <cell r="EI16">
            <v>7000</v>
          </cell>
          <cell r="EJ16">
            <v>3000</v>
          </cell>
          <cell r="EK16">
            <v>9500</v>
          </cell>
          <cell r="EL16">
            <v>10000</v>
          </cell>
          <cell r="EM16">
            <v>0</v>
          </cell>
          <cell r="EN16">
            <v>6000</v>
          </cell>
          <cell r="EO16">
            <v>1000</v>
          </cell>
          <cell r="EP16">
            <v>8000</v>
          </cell>
          <cell r="EQ16">
            <v>8000</v>
          </cell>
          <cell r="ER16">
            <v>2000</v>
          </cell>
          <cell r="ES16" t="str">
            <v>NO</v>
          </cell>
          <cell r="ET16">
            <v>17</v>
          </cell>
          <cell r="EU16" t="str">
            <v>NO</v>
          </cell>
          <cell r="EV16" t="str">
            <v>SI</v>
          </cell>
          <cell r="EW16" t="str">
            <v>NO</v>
          </cell>
          <cell r="EX16" t="str">
            <v>NO</v>
          </cell>
          <cell r="EY16" t="str">
            <v>SI</v>
          </cell>
          <cell r="EZ16" t="str">
            <v>NO</v>
          </cell>
          <cell r="FA16" t="str">
            <v>SI</v>
          </cell>
          <cell r="FB16" t="str">
            <v>NO</v>
          </cell>
          <cell r="FC16">
            <v>1421</v>
          </cell>
          <cell r="FD16">
            <v>1405</v>
          </cell>
          <cell r="FE16">
            <v>712</v>
          </cell>
          <cell r="FF16">
            <v>2259</v>
          </cell>
          <cell r="FG16">
            <v>945</v>
          </cell>
          <cell r="FH16">
            <v>1815</v>
          </cell>
          <cell r="FI16">
            <v>268</v>
          </cell>
          <cell r="FJ16">
            <v>578</v>
          </cell>
          <cell r="FK16">
            <v>1083</v>
          </cell>
          <cell r="FL16">
            <v>1257</v>
          </cell>
          <cell r="FM16" t="str">
            <v>SI</v>
          </cell>
          <cell r="FN16" t="str">
            <v>SI</v>
          </cell>
          <cell r="FO16" t="str">
            <v>NO</v>
          </cell>
          <cell r="FP16" t="str">
            <v>SI</v>
          </cell>
          <cell r="FQ16" t="str">
            <v>NO</v>
          </cell>
          <cell r="FR16" t="str">
            <v>NO</v>
          </cell>
          <cell r="FS16">
            <v>0</v>
          </cell>
          <cell r="FW16" t="str">
            <v>Intermedio</v>
          </cell>
          <cell r="FX16" t="str">
            <v>No</v>
          </cell>
          <cell r="FY16">
            <v>6</v>
          </cell>
          <cell r="FZ16">
            <v>40</v>
          </cell>
          <cell r="GA16" t="str">
            <v>NO</v>
          </cell>
          <cell r="GB16" t="str">
            <v>SI</v>
          </cell>
          <cell r="GC16" t="str">
            <v>NO</v>
          </cell>
          <cell r="GD16" t="str">
            <v>NO</v>
          </cell>
          <cell r="GE16" t="str">
            <v>NO</v>
          </cell>
          <cell r="GF16" t="str">
            <v>NO</v>
          </cell>
          <cell r="GG16" t="str">
            <v>NO</v>
          </cell>
        </row>
        <row r="17">
          <cell r="A17" t="str">
            <v>E001010021003</v>
          </cell>
          <cell r="B17" t="str">
            <v>No</v>
          </cell>
          <cell r="C17">
            <v>1505888.48484849</v>
          </cell>
          <cell r="D17">
            <v>99999999</v>
          </cell>
          <cell r="E17" t="str">
            <v>Ambos</v>
          </cell>
          <cell r="F17">
            <v>30</v>
          </cell>
          <cell r="G17">
            <v>65</v>
          </cell>
          <cell r="H17" t="str">
            <v>SI</v>
          </cell>
          <cell r="I17" t="str">
            <v>SI</v>
          </cell>
          <cell r="J17" t="str">
            <v>NO</v>
          </cell>
          <cell r="AT17">
            <v>20</v>
          </cell>
          <cell r="AU17">
            <v>8</v>
          </cell>
          <cell r="AV17">
            <v>12000</v>
          </cell>
          <cell r="AW17">
            <v>10000</v>
          </cell>
          <cell r="AX17">
            <v>12</v>
          </cell>
          <cell r="AY17">
            <v>14</v>
          </cell>
          <cell r="AZ17" t="str">
            <v>NO</v>
          </cell>
          <cell r="BA17">
            <v>4</v>
          </cell>
          <cell r="BC17" t="str">
            <v>SI</v>
          </cell>
          <cell r="BD17" t="str">
            <v>SI</v>
          </cell>
          <cell r="BE17" t="str">
            <v>SI</v>
          </cell>
          <cell r="BF17" t="str">
            <v>NO</v>
          </cell>
          <cell r="BG17" t="str">
            <v>SI</v>
          </cell>
          <cell r="BH17" t="str">
            <v>NO</v>
          </cell>
          <cell r="BI17" t="str">
            <v>NO</v>
          </cell>
          <cell r="BJ17" t="str">
            <v>NO</v>
          </cell>
          <cell r="BK17" t="str">
            <v>SI</v>
          </cell>
          <cell r="BL17" t="str">
            <v>NO</v>
          </cell>
          <cell r="BM17" t="str">
            <v>SI</v>
          </cell>
          <cell r="BN17" t="str">
            <v>SI</v>
          </cell>
          <cell r="BO17" t="str">
            <v>SI</v>
          </cell>
          <cell r="BP17" t="str">
            <v>SI</v>
          </cell>
          <cell r="BQ17" t="str">
            <v>SI</v>
          </cell>
          <cell r="BR17" t="str">
            <v>SI</v>
          </cell>
          <cell r="BS17" t="str">
            <v>SI</v>
          </cell>
          <cell r="BT17" t="str">
            <v>SI</v>
          </cell>
          <cell r="BU17" t="str">
            <v>SI</v>
          </cell>
          <cell r="BV17" t="str">
            <v>NO</v>
          </cell>
          <cell r="BW17" t="str">
            <v>SI</v>
          </cell>
          <cell r="BX17" t="str">
            <v>SI</v>
          </cell>
          <cell r="BY17" t="str">
            <v>SI</v>
          </cell>
          <cell r="BZ17" t="str">
            <v>NO</v>
          </cell>
          <cell r="CA17" t="str">
            <v>SI</v>
          </cell>
          <cell r="CB17" t="str">
            <v>SI</v>
          </cell>
          <cell r="CC17" t="str">
            <v>NO</v>
          </cell>
          <cell r="CD17" t="str">
            <v>NO</v>
          </cell>
          <cell r="CE17" t="str">
            <v>SI</v>
          </cell>
          <cell r="CF17" t="str">
            <v>SI</v>
          </cell>
          <cell r="CG17" t="str">
            <v>NO</v>
          </cell>
          <cell r="CH17" t="str">
            <v>NO</v>
          </cell>
          <cell r="CI17" t="str">
            <v>NO</v>
          </cell>
          <cell r="CJ17" t="str">
            <v>NO</v>
          </cell>
          <cell r="CK17" t="str">
            <v>NO</v>
          </cell>
          <cell r="CL17" t="str">
            <v>NO</v>
          </cell>
          <cell r="CM17" t="str">
            <v>SI</v>
          </cell>
          <cell r="CN17" t="str">
            <v>SI</v>
          </cell>
          <cell r="CO17" t="str">
            <v>NO</v>
          </cell>
          <cell r="CP17" t="str">
            <v>SI</v>
          </cell>
          <cell r="CQ17" t="str">
            <v>SI</v>
          </cell>
          <cell r="CR17" t="str">
            <v>SI</v>
          </cell>
          <cell r="CS17" t="str">
            <v>SI</v>
          </cell>
          <cell r="CT17" t="str">
            <v>SI</v>
          </cell>
          <cell r="CU17" t="str">
            <v>SI</v>
          </cell>
          <cell r="CV17" t="str">
            <v>SI</v>
          </cell>
          <cell r="CW17" t="str">
            <v>NO</v>
          </cell>
          <cell r="CX17" t="str">
            <v>SI</v>
          </cell>
          <cell r="CY17" t="str">
            <v>SI</v>
          </cell>
          <cell r="CZ17" t="str">
            <v>SI</v>
          </cell>
          <cell r="DA17" t="str">
            <v>SI</v>
          </cell>
          <cell r="DB17" t="str">
            <v>NO</v>
          </cell>
          <cell r="DC17" t="str">
            <v>SI</v>
          </cell>
          <cell r="DD17" t="str">
            <v>NO</v>
          </cell>
          <cell r="DE17" t="str">
            <v>SI</v>
          </cell>
          <cell r="DF17" t="str">
            <v>NO</v>
          </cell>
          <cell r="DG17" t="str">
            <v>SI</v>
          </cell>
          <cell r="DH17" t="str">
            <v>SI</v>
          </cell>
          <cell r="DI17" t="str">
            <v>SI</v>
          </cell>
          <cell r="DJ17" t="str">
            <v>SI</v>
          </cell>
          <cell r="DK17" t="str">
            <v>SI</v>
          </cell>
          <cell r="DL17" t="str">
            <v>SI</v>
          </cell>
          <cell r="DM17" t="str">
            <v>E001010021003</v>
          </cell>
          <cell r="DN17" t="str">
            <v>E001004</v>
          </cell>
          <cell r="DO17" t="str">
            <v>Cuota fija Pesos</v>
          </cell>
          <cell r="DP17">
            <v>0.13</v>
          </cell>
          <cell r="DQ17">
            <v>2100000</v>
          </cell>
          <cell r="DR17">
            <v>600000</v>
          </cell>
          <cell r="DS17">
            <v>1</v>
          </cell>
          <cell r="DT17">
            <v>7000</v>
          </cell>
          <cell r="DW17">
            <v>5000</v>
          </cell>
          <cell r="DX17">
            <v>9500</v>
          </cell>
          <cell r="DY17">
            <v>10000</v>
          </cell>
          <cell r="DZ17">
            <v>500</v>
          </cell>
          <cell r="EA17">
            <v>9500</v>
          </cell>
          <cell r="EB17">
            <v>0</v>
          </cell>
          <cell r="EC17">
            <v>6500</v>
          </cell>
          <cell r="ED17">
            <v>0</v>
          </cell>
          <cell r="EE17">
            <v>1000</v>
          </cell>
          <cell r="EF17">
            <v>3500</v>
          </cell>
          <cell r="EG17">
            <v>0</v>
          </cell>
          <cell r="EH17">
            <v>1500</v>
          </cell>
          <cell r="EI17">
            <v>3000</v>
          </cell>
          <cell r="EJ17">
            <v>3000</v>
          </cell>
          <cell r="EK17">
            <v>2500</v>
          </cell>
          <cell r="EL17">
            <v>3000</v>
          </cell>
          <cell r="EM17">
            <v>4000</v>
          </cell>
          <cell r="EN17">
            <v>500</v>
          </cell>
          <cell r="EO17">
            <v>8500</v>
          </cell>
          <cell r="EP17">
            <v>5000</v>
          </cell>
          <cell r="EQ17">
            <v>7000</v>
          </cell>
          <cell r="ER17">
            <v>9000</v>
          </cell>
          <cell r="ES17" t="str">
            <v>NO</v>
          </cell>
          <cell r="ET17">
            <v>1</v>
          </cell>
          <cell r="EU17" t="str">
            <v>SI</v>
          </cell>
          <cell r="EV17" t="str">
            <v>SI</v>
          </cell>
          <cell r="EW17" t="str">
            <v>NO</v>
          </cell>
          <cell r="EX17" t="str">
            <v>NO</v>
          </cell>
          <cell r="EY17" t="str">
            <v>NO</v>
          </cell>
          <cell r="EZ17" t="str">
            <v>NO</v>
          </cell>
          <cell r="FA17" t="str">
            <v>SI</v>
          </cell>
          <cell r="FB17" t="str">
            <v>SI</v>
          </cell>
          <cell r="FC17">
            <v>1684</v>
          </cell>
          <cell r="FD17">
            <v>359</v>
          </cell>
          <cell r="FE17">
            <v>630</v>
          </cell>
          <cell r="FF17">
            <v>1710</v>
          </cell>
          <cell r="FG17">
            <v>2153</v>
          </cell>
          <cell r="FH17">
            <v>1823</v>
          </cell>
          <cell r="FI17">
            <v>1251</v>
          </cell>
          <cell r="FJ17">
            <v>2206</v>
          </cell>
          <cell r="FK17">
            <v>1910</v>
          </cell>
          <cell r="FL17">
            <v>984</v>
          </cell>
          <cell r="FM17" t="str">
            <v>SI</v>
          </cell>
          <cell r="FN17" t="str">
            <v>NO</v>
          </cell>
          <cell r="FO17" t="str">
            <v>SI</v>
          </cell>
          <cell r="FP17" t="str">
            <v>SI</v>
          </cell>
          <cell r="FQ17" t="str">
            <v>SI</v>
          </cell>
          <cell r="FR17" t="str">
            <v>SI</v>
          </cell>
          <cell r="FS17">
            <v>172</v>
          </cell>
          <cell r="FW17" t="str">
            <v>Intermedio</v>
          </cell>
          <cell r="FX17" t="str">
            <v>Fisica</v>
          </cell>
          <cell r="FY17">
            <v>6</v>
          </cell>
          <cell r="FZ17">
            <v>130</v>
          </cell>
          <cell r="GA17" t="str">
            <v>NO</v>
          </cell>
          <cell r="GB17" t="str">
            <v>SI</v>
          </cell>
          <cell r="GC17" t="str">
            <v>SI</v>
          </cell>
          <cell r="GD17" t="str">
            <v>NO</v>
          </cell>
          <cell r="GE17" t="str">
            <v>NO</v>
          </cell>
          <cell r="GF17" t="str">
            <v>NO</v>
          </cell>
          <cell r="GG17" t="str">
            <v>NO</v>
          </cell>
        </row>
        <row r="18">
          <cell r="A18" t="str">
            <v>E001010021004</v>
          </cell>
          <cell r="B18" t="str">
            <v>Si</v>
          </cell>
          <cell r="C18">
            <v>1445282.4242424199</v>
          </cell>
          <cell r="D18">
            <v>99999999</v>
          </cell>
          <cell r="E18" t="str">
            <v>Ambos</v>
          </cell>
          <cell r="F18">
            <v>18</v>
          </cell>
          <cell r="G18">
            <v>65</v>
          </cell>
          <cell r="H18" t="str">
            <v>SI</v>
          </cell>
          <cell r="I18" t="str">
            <v>NO</v>
          </cell>
          <cell r="J18" t="str">
            <v>SI</v>
          </cell>
          <cell r="AT18">
            <v>21</v>
          </cell>
          <cell r="AU18">
            <v>8</v>
          </cell>
          <cell r="AV18">
            <v>9000</v>
          </cell>
          <cell r="AW18">
            <v>10000</v>
          </cell>
          <cell r="AX18">
            <v>8</v>
          </cell>
          <cell r="AY18">
            <v>9</v>
          </cell>
          <cell r="AZ18" t="str">
            <v>NO</v>
          </cell>
          <cell r="BA18">
            <v>3</v>
          </cell>
          <cell r="BC18" t="str">
            <v>SI</v>
          </cell>
          <cell r="BD18" t="str">
            <v>SI</v>
          </cell>
          <cell r="BE18" t="str">
            <v>SI</v>
          </cell>
          <cell r="BF18" t="str">
            <v>NO</v>
          </cell>
          <cell r="BG18" t="str">
            <v>SI</v>
          </cell>
          <cell r="BH18" t="str">
            <v>NO</v>
          </cell>
          <cell r="BI18" t="str">
            <v>SI</v>
          </cell>
          <cell r="BJ18" t="str">
            <v>NO</v>
          </cell>
          <cell r="BK18" t="str">
            <v>SI</v>
          </cell>
          <cell r="BL18" t="str">
            <v>NO</v>
          </cell>
          <cell r="BM18" t="str">
            <v>SI</v>
          </cell>
          <cell r="BN18" t="str">
            <v>NO</v>
          </cell>
          <cell r="BO18" t="str">
            <v>SI</v>
          </cell>
          <cell r="BP18" t="str">
            <v>NO</v>
          </cell>
          <cell r="BQ18" t="str">
            <v>NO</v>
          </cell>
          <cell r="BR18" t="str">
            <v>NO</v>
          </cell>
          <cell r="BS18" t="str">
            <v>NO</v>
          </cell>
          <cell r="BT18" t="str">
            <v>NO</v>
          </cell>
          <cell r="BU18" t="str">
            <v>SI</v>
          </cell>
          <cell r="BV18" t="str">
            <v>NO</v>
          </cell>
          <cell r="BW18" t="str">
            <v>SI</v>
          </cell>
          <cell r="BX18" t="str">
            <v>NO</v>
          </cell>
          <cell r="BY18" t="str">
            <v>NO</v>
          </cell>
          <cell r="BZ18" t="str">
            <v>NO</v>
          </cell>
          <cell r="CA18" t="str">
            <v>NO</v>
          </cell>
          <cell r="CB18" t="str">
            <v>SI</v>
          </cell>
          <cell r="CC18" t="str">
            <v>NO</v>
          </cell>
          <cell r="CD18" t="str">
            <v>SI</v>
          </cell>
          <cell r="CE18" t="str">
            <v>SI</v>
          </cell>
          <cell r="CF18" t="str">
            <v>SI</v>
          </cell>
          <cell r="CG18" t="str">
            <v>NO</v>
          </cell>
          <cell r="CH18" t="str">
            <v>SI</v>
          </cell>
          <cell r="CI18" t="str">
            <v>NO</v>
          </cell>
          <cell r="CJ18" t="str">
            <v>NO</v>
          </cell>
          <cell r="CK18" t="str">
            <v>NO</v>
          </cell>
          <cell r="CL18" t="str">
            <v>NO</v>
          </cell>
          <cell r="CM18" t="str">
            <v>NO</v>
          </cell>
          <cell r="CN18" t="str">
            <v>NO</v>
          </cell>
          <cell r="CO18" t="str">
            <v>NO</v>
          </cell>
          <cell r="CP18" t="str">
            <v>NO</v>
          </cell>
          <cell r="CQ18" t="str">
            <v>SI</v>
          </cell>
          <cell r="CR18" t="str">
            <v>SI</v>
          </cell>
          <cell r="CS18" t="str">
            <v>NO</v>
          </cell>
          <cell r="CT18" t="str">
            <v>NO</v>
          </cell>
          <cell r="CU18" t="str">
            <v>SI</v>
          </cell>
          <cell r="CV18" t="str">
            <v>NO</v>
          </cell>
          <cell r="CW18" t="str">
            <v>SI</v>
          </cell>
          <cell r="CX18" t="str">
            <v>SI</v>
          </cell>
          <cell r="CY18" t="str">
            <v>SI</v>
          </cell>
          <cell r="CZ18" t="str">
            <v>SI</v>
          </cell>
          <cell r="DA18" t="str">
            <v>NO</v>
          </cell>
          <cell r="DB18" t="str">
            <v>SI</v>
          </cell>
          <cell r="DC18" t="str">
            <v>SI</v>
          </cell>
          <cell r="DD18" t="str">
            <v>NO</v>
          </cell>
          <cell r="DE18" t="str">
            <v>NO</v>
          </cell>
          <cell r="DF18" t="str">
            <v>SI</v>
          </cell>
          <cell r="DG18" t="str">
            <v>SI</v>
          </cell>
          <cell r="DH18" t="str">
            <v>SI</v>
          </cell>
          <cell r="DI18" t="str">
            <v>SI</v>
          </cell>
          <cell r="DJ18" t="str">
            <v>SI</v>
          </cell>
          <cell r="DK18" t="str">
            <v>NO</v>
          </cell>
          <cell r="DL18" t="str">
            <v>NO</v>
          </cell>
          <cell r="DM18" t="str">
            <v>E001010021004</v>
          </cell>
          <cell r="DN18" t="str">
            <v>E001004</v>
          </cell>
          <cell r="DO18" t="str">
            <v>Cuota fija Pesos</v>
          </cell>
          <cell r="DP18">
            <v>0.1</v>
          </cell>
          <cell r="DQ18">
            <v>1700000</v>
          </cell>
          <cell r="DR18">
            <v>1400000</v>
          </cell>
          <cell r="DS18">
            <v>3</v>
          </cell>
          <cell r="DT18">
            <v>3000</v>
          </cell>
          <cell r="DW18">
            <v>7500</v>
          </cell>
          <cell r="DX18">
            <v>10000</v>
          </cell>
          <cell r="DY18">
            <v>5500</v>
          </cell>
          <cell r="DZ18">
            <v>6500</v>
          </cell>
          <cell r="EA18">
            <v>4500</v>
          </cell>
          <cell r="EB18">
            <v>6500</v>
          </cell>
          <cell r="EC18">
            <v>1500</v>
          </cell>
          <cell r="ED18">
            <v>500</v>
          </cell>
          <cell r="EE18">
            <v>8500</v>
          </cell>
          <cell r="EF18">
            <v>4000</v>
          </cell>
          <cell r="EG18">
            <v>8000</v>
          </cell>
          <cell r="EH18">
            <v>3000</v>
          </cell>
          <cell r="EI18">
            <v>8000</v>
          </cell>
          <cell r="EJ18">
            <v>6000</v>
          </cell>
          <cell r="EK18">
            <v>5000</v>
          </cell>
          <cell r="EL18">
            <v>1500</v>
          </cell>
          <cell r="EM18">
            <v>3000</v>
          </cell>
          <cell r="EN18">
            <v>5000</v>
          </cell>
          <cell r="EO18">
            <v>7500</v>
          </cell>
          <cell r="EP18">
            <v>7500</v>
          </cell>
          <cell r="EQ18">
            <v>8500</v>
          </cell>
          <cell r="ER18">
            <v>8500</v>
          </cell>
          <cell r="ES18" t="str">
            <v>SI</v>
          </cell>
          <cell r="ET18">
            <v>2</v>
          </cell>
          <cell r="EU18" t="str">
            <v>NO</v>
          </cell>
          <cell r="EV18" t="str">
            <v>SI</v>
          </cell>
          <cell r="EW18" t="str">
            <v>SI</v>
          </cell>
          <cell r="EX18" t="str">
            <v>NO</v>
          </cell>
          <cell r="EY18" t="str">
            <v>SI</v>
          </cell>
          <cell r="EZ18" t="str">
            <v>NO</v>
          </cell>
          <cell r="FA18" t="str">
            <v>NO</v>
          </cell>
          <cell r="FB18" t="str">
            <v>SI</v>
          </cell>
          <cell r="FC18">
            <v>2047</v>
          </cell>
          <cell r="FD18">
            <v>1922</v>
          </cell>
          <cell r="FE18">
            <v>1269</v>
          </cell>
          <cell r="FF18">
            <v>611</v>
          </cell>
          <cell r="FG18">
            <v>1149</v>
          </cell>
          <cell r="FH18">
            <v>500</v>
          </cell>
          <cell r="FI18">
            <v>1040</v>
          </cell>
          <cell r="FJ18">
            <v>2004</v>
          </cell>
          <cell r="FK18">
            <v>1362</v>
          </cell>
          <cell r="FL18">
            <v>391</v>
          </cell>
          <cell r="FM18" t="str">
            <v>SI</v>
          </cell>
          <cell r="FN18" t="str">
            <v>SI</v>
          </cell>
          <cell r="FO18" t="str">
            <v>NO</v>
          </cell>
          <cell r="FP18" t="str">
            <v>NO</v>
          </cell>
          <cell r="FQ18" t="str">
            <v>SI</v>
          </cell>
          <cell r="FR18" t="str">
            <v>SI</v>
          </cell>
          <cell r="FS18">
            <v>280</v>
          </cell>
          <cell r="FW18" t="str">
            <v>Presencial</v>
          </cell>
          <cell r="FX18" t="str">
            <v>No</v>
          </cell>
          <cell r="FY18">
            <v>6</v>
          </cell>
          <cell r="FZ18">
            <v>95</v>
          </cell>
          <cell r="GA18" t="str">
            <v>SI</v>
          </cell>
          <cell r="GB18" t="str">
            <v>SI</v>
          </cell>
          <cell r="GC18" t="str">
            <v>SI</v>
          </cell>
          <cell r="GD18" t="str">
            <v>SI</v>
          </cell>
          <cell r="GE18" t="str">
            <v>NO</v>
          </cell>
          <cell r="GF18" t="str">
            <v>SI</v>
          </cell>
          <cell r="GG18" t="str">
            <v>NO</v>
          </cell>
        </row>
        <row r="19">
          <cell r="A19" t="str">
            <v>E001012021001</v>
          </cell>
          <cell r="B19" t="str">
            <v>Si</v>
          </cell>
          <cell r="C19">
            <v>1384676.36363636</v>
          </cell>
          <cell r="D19">
            <v>99999999</v>
          </cell>
          <cell r="E19" t="str">
            <v>Ambos</v>
          </cell>
          <cell r="F19">
            <v>18</v>
          </cell>
          <cell r="G19">
            <v>65</v>
          </cell>
          <cell r="H19" t="str">
            <v>SI</v>
          </cell>
          <cell r="I19" t="str">
            <v>SI</v>
          </cell>
          <cell r="J19" t="str">
            <v>SI</v>
          </cell>
          <cell r="AT19">
            <v>4</v>
          </cell>
          <cell r="AU19">
            <v>6</v>
          </cell>
          <cell r="AV19">
            <v>10000</v>
          </cell>
          <cell r="AW19">
            <v>15000</v>
          </cell>
          <cell r="AX19">
            <v>1</v>
          </cell>
          <cell r="AY19">
            <v>14</v>
          </cell>
          <cell r="AZ19" t="str">
            <v>SI</v>
          </cell>
          <cell r="BA19">
            <v>1</v>
          </cell>
          <cell r="BC19" t="str">
            <v>SI</v>
          </cell>
          <cell r="BD19" t="str">
            <v>SI</v>
          </cell>
          <cell r="BE19" t="str">
            <v>SI</v>
          </cell>
          <cell r="BF19" t="str">
            <v>SI</v>
          </cell>
          <cell r="BG19" t="str">
            <v>SI</v>
          </cell>
          <cell r="BH19" t="str">
            <v>NO</v>
          </cell>
          <cell r="BI19" t="str">
            <v>SI</v>
          </cell>
          <cell r="BJ19" t="str">
            <v>NO</v>
          </cell>
          <cell r="BK19" t="str">
            <v>SI</v>
          </cell>
          <cell r="BL19" t="str">
            <v>NO</v>
          </cell>
          <cell r="BM19" t="str">
            <v>SI</v>
          </cell>
          <cell r="BN19" t="str">
            <v>NO</v>
          </cell>
          <cell r="BO19" t="str">
            <v>SI</v>
          </cell>
          <cell r="BP19" t="str">
            <v>NO</v>
          </cell>
          <cell r="BQ19" t="str">
            <v>NO</v>
          </cell>
          <cell r="BR19" t="str">
            <v>SI</v>
          </cell>
          <cell r="BS19" t="str">
            <v>SI</v>
          </cell>
          <cell r="BT19" t="str">
            <v>SI</v>
          </cell>
          <cell r="BU19" t="str">
            <v>NO</v>
          </cell>
          <cell r="BV19" t="str">
            <v>SI</v>
          </cell>
          <cell r="BW19" t="str">
            <v>SI</v>
          </cell>
          <cell r="BX19" t="str">
            <v>NO</v>
          </cell>
          <cell r="BY19" t="str">
            <v>NO</v>
          </cell>
          <cell r="BZ19" t="str">
            <v>SI</v>
          </cell>
          <cell r="CA19" t="str">
            <v>NO</v>
          </cell>
          <cell r="CB19" t="str">
            <v>NO</v>
          </cell>
          <cell r="CC19" t="str">
            <v>NO</v>
          </cell>
          <cell r="CD19" t="str">
            <v>SI</v>
          </cell>
          <cell r="CE19" t="str">
            <v>SI</v>
          </cell>
          <cell r="CF19" t="str">
            <v>SI</v>
          </cell>
          <cell r="CG19" t="str">
            <v>NO</v>
          </cell>
          <cell r="CH19" t="str">
            <v>SI</v>
          </cell>
          <cell r="CI19" t="str">
            <v>SI</v>
          </cell>
          <cell r="CJ19" t="str">
            <v>SI</v>
          </cell>
          <cell r="CK19" t="str">
            <v>NO</v>
          </cell>
          <cell r="CL19" t="str">
            <v>NO</v>
          </cell>
          <cell r="CM19" t="str">
            <v>NO</v>
          </cell>
          <cell r="CN19" t="str">
            <v>NO</v>
          </cell>
          <cell r="CO19" t="str">
            <v>NO</v>
          </cell>
          <cell r="CP19" t="str">
            <v>NO</v>
          </cell>
          <cell r="CQ19" t="str">
            <v>SI</v>
          </cell>
          <cell r="CR19" t="str">
            <v>SI</v>
          </cell>
          <cell r="CS19" t="str">
            <v>NO</v>
          </cell>
          <cell r="CT19" t="str">
            <v>NO</v>
          </cell>
          <cell r="CU19" t="str">
            <v>SI</v>
          </cell>
          <cell r="CV19" t="str">
            <v>NO</v>
          </cell>
          <cell r="CW19" t="str">
            <v>SI</v>
          </cell>
          <cell r="CX19" t="str">
            <v>SI</v>
          </cell>
          <cell r="CY19" t="str">
            <v>SI</v>
          </cell>
          <cell r="CZ19" t="str">
            <v>SI</v>
          </cell>
          <cell r="DA19" t="str">
            <v>NO</v>
          </cell>
          <cell r="DB19" t="str">
            <v>SI</v>
          </cell>
          <cell r="DC19" t="str">
            <v>SI</v>
          </cell>
          <cell r="DD19" t="str">
            <v>NO</v>
          </cell>
          <cell r="DE19" t="str">
            <v>SI</v>
          </cell>
          <cell r="DF19" t="str">
            <v>SI</v>
          </cell>
          <cell r="DG19" t="str">
            <v>SI</v>
          </cell>
          <cell r="DH19" t="str">
            <v>SI</v>
          </cell>
          <cell r="DI19" t="str">
            <v>NO</v>
          </cell>
          <cell r="DJ19" t="str">
            <v>SI</v>
          </cell>
          <cell r="DK19" t="str">
            <v>NO</v>
          </cell>
          <cell r="DL19" t="str">
            <v>NO</v>
          </cell>
          <cell r="DM19" t="str">
            <v>E001012021001</v>
          </cell>
          <cell r="DN19" t="str">
            <v>E001005</v>
          </cell>
          <cell r="DO19" t="str">
            <v>Cuota fija Pesos</v>
          </cell>
          <cell r="DP19">
            <v>0.14000000000000001</v>
          </cell>
          <cell r="DQ19">
            <v>2400000</v>
          </cell>
          <cell r="DR19">
            <v>1400000</v>
          </cell>
          <cell r="DS19">
            <v>2</v>
          </cell>
          <cell r="DT19">
            <v>1500</v>
          </cell>
          <cell r="DW19">
            <v>10000</v>
          </cell>
          <cell r="DX19">
            <v>8500</v>
          </cell>
          <cell r="DY19">
            <v>1000</v>
          </cell>
          <cell r="DZ19">
            <v>2000</v>
          </cell>
          <cell r="EA19">
            <v>7000</v>
          </cell>
          <cell r="EB19">
            <v>10000</v>
          </cell>
          <cell r="EC19">
            <v>4000</v>
          </cell>
          <cell r="ED19">
            <v>500</v>
          </cell>
          <cell r="EE19">
            <v>6500</v>
          </cell>
          <cell r="EF19">
            <v>1500</v>
          </cell>
          <cell r="EG19">
            <v>10000</v>
          </cell>
          <cell r="EH19">
            <v>6500</v>
          </cell>
          <cell r="EI19">
            <v>5000</v>
          </cell>
          <cell r="EJ19">
            <v>10000</v>
          </cell>
          <cell r="EK19">
            <v>8500</v>
          </cell>
          <cell r="EL19">
            <v>9000</v>
          </cell>
          <cell r="EM19">
            <v>9000</v>
          </cell>
          <cell r="EN19">
            <v>6000</v>
          </cell>
          <cell r="EO19">
            <v>9000</v>
          </cell>
          <cell r="EP19">
            <v>1500</v>
          </cell>
          <cell r="EQ19">
            <v>7500</v>
          </cell>
          <cell r="ER19">
            <v>8000</v>
          </cell>
          <cell r="ES19" t="str">
            <v>NO</v>
          </cell>
          <cell r="ET19">
            <v>2</v>
          </cell>
          <cell r="EU19" t="str">
            <v>SI</v>
          </cell>
          <cell r="EV19" t="str">
            <v>SI</v>
          </cell>
          <cell r="EW19" t="str">
            <v>NO</v>
          </cell>
          <cell r="EX19" t="str">
            <v>SI</v>
          </cell>
          <cell r="EY19" t="str">
            <v>SI</v>
          </cell>
          <cell r="EZ19" t="str">
            <v>NO</v>
          </cell>
          <cell r="FA19" t="str">
            <v>NO</v>
          </cell>
          <cell r="FB19" t="str">
            <v>SI</v>
          </cell>
          <cell r="FC19">
            <v>1343</v>
          </cell>
          <cell r="FD19">
            <v>1354</v>
          </cell>
          <cell r="FE19">
            <v>1191</v>
          </cell>
          <cell r="FF19">
            <v>1001</v>
          </cell>
          <cell r="FG19">
            <v>2188</v>
          </cell>
          <cell r="FH19">
            <v>1065</v>
          </cell>
          <cell r="FI19">
            <v>1786</v>
          </cell>
          <cell r="FJ19">
            <v>1519</v>
          </cell>
          <cell r="FK19">
            <v>1937</v>
          </cell>
          <cell r="FL19">
            <v>1235</v>
          </cell>
          <cell r="FM19" t="str">
            <v>NO</v>
          </cell>
          <cell r="FN19" t="str">
            <v>NO</v>
          </cell>
          <cell r="FO19" t="str">
            <v>SI</v>
          </cell>
          <cell r="FP19" t="str">
            <v>NO</v>
          </cell>
          <cell r="FQ19" t="str">
            <v>NO</v>
          </cell>
          <cell r="FR19" t="str">
            <v>NO</v>
          </cell>
          <cell r="FS19">
            <v>0</v>
          </cell>
          <cell r="FW19" t="str">
            <v>Intermedio</v>
          </cell>
          <cell r="FX19" t="str">
            <v>Virtual</v>
          </cell>
          <cell r="FY19">
            <v>4</v>
          </cell>
          <cell r="FZ19">
            <v>57</v>
          </cell>
          <cell r="GA19" t="str">
            <v>NO</v>
          </cell>
          <cell r="GB19" t="str">
            <v>NO</v>
          </cell>
          <cell r="GC19" t="str">
            <v>NO</v>
          </cell>
          <cell r="GD19" t="str">
            <v>SI</v>
          </cell>
          <cell r="GE19" t="str">
            <v>SI</v>
          </cell>
          <cell r="GF19" t="str">
            <v>NO</v>
          </cell>
          <cell r="GG19" t="str">
            <v>SI</v>
          </cell>
        </row>
        <row r="20">
          <cell r="A20" t="str">
            <v>E001012021002</v>
          </cell>
          <cell r="B20" t="str">
            <v>No</v>
          </cell>
          <cell r="C20">
            <v>1324070.3030303</v>
          </cell>
          <cell r="D20">
            <v>99999999</v>
          </cell>
          <cell r="E20" t="str">
            <v>Ambos</v>
          </cell>
          <cell r="F20">
            <v>18</v>
          </cell>
          <cell r="G20">
            <v>65</v>
          </cell>
          <cell r="H20" t="str">
            <v>SI</v>
          </cell>
          <cell r="I20" t="str">
            <v>SI</v>
          </cell>
          <cell r="J20" t="str">
            <v>SI</v>
          </cell>
          <cell r="AT20">
            <v>22</v>
          </cell>
          <cell r="AU20">
            <v>10</v>
          </cell>
          <cell r="AV20">
            <v>15000</v>
          </cell>
          <cell r="AW20">
            <v>15000</v>
          </cell>
          <cell r="AX20">
            <v>12</v>
          </cell>
          <cell r="AY20">
            <v>1</v>
          </cell>
          <cell r="AZ20" t="str">
            <v>SI</v>
          </cell>
          <cell r="BA20">
            <v>2</v>
          </cell>
          <cell r="BC20" t="str">
            <v>NO</v>
          </cell>
          <cell r="BD20" t="str">
            <v>NO</v>
          </cell>
          <cell r="BE20" t="str">
            <v>SI</v>
          </cell>
          <cell r="BF20" t="str">
            <v>SI</v>
          </cell>
          <cell r="BG20" t="str">
            <v>SI</v>
          </cell>
          <cell r="BH20" t="str">
            <v>NO</v>
          </cell>
          <cell r="BI20" t="str">
            <v>SI</v>
          </cell>
          <cell r="BJ20" t="str">
            <v>NO</v>
          </cell>
          <cell r="BK20" t="str">
            <v>SI</v>
          </cell>
          <cell r="BL20" t="str">
            <v>NO</v>
          </cell>
          <cell r="BM20" t="str">
            <v>NO</v>
          </cell>
          <cell r="BN20" t="str">
            <v>NO</v>
          </cell>
          <cell r="BO20" t="str">
            <v>SI</v>
          </cell>
          <cell r="BP20" t="str">
            <v>SI</v>
          </cell>
          <cell r="BQ20" t="str">
            <v>NO</v>
          </cell>
          <cell r="BR20" t="str">
            <v>NO</v>
          </cell>
          <cell r="BS20" t="str">
            <v>NO</v>
          </cell>
          <cell r="BT20" t="str">
            <v>NO</v>
          </cell>
          <cell r="BU20" t="str">
            <v>SI</v>
          </cell>
          <cell r="BV20" t="str">
            <v>NO</v>
          </cell>
          <cell r="BW20" t="str">
            <v>NO</v>
          </cell>
          <cell r="BX20" t="str">
            <v>NO</v>
          </cell>
          <cell r="BY20" t="str">
            <v>NO</v>
          </cell>
          <cell r="BZ20" t="str">
            <v>NO</v>
          </cell>
          <cell r="CA20" t="str">
            <v>SI</v>
          </cell>
          <cell r="CB20" t="str">
            <v>SI</v>
          </cell>
          <cell r="CC20" t="str">
            <v>SI</v>
          </cell>
          <cell r="CD20" t="str">
            <v>SI</v>
          </cell>
          <cell r="CE20" t="str">
            <v>SI</v>
          </cell>
          <cell r="CF20" t="str">
            <v>SI</v>
          </cell>
          <cell r="CG20" t="str">
            <v>NO</v>
          </cell>
          <cell r="CH20" t="str">
            <v>SI</v>
          </cell>
          <cell r="CI20" t="str">
            <v>SI</v>
          </cell>
          <cell r="CJ20" t="str">
            <v>NO</v>
          </cell>
          <cell r="CK20" t="str">
            <v>NO</v>
          </cell>
          <cell r="CL20" t="str">
            <v>SI</v>
          </cell>
          <cell r="CM20" t="str">
            <v>NO</v>
          </cell>
          <cell r="CN20" t="str">
            <v>NO</v>
          </cell>
          <cell r="CO20" t="str">
            <v>NO</v>
          </cell>
          <cell r="CP20" t="str">
            <v>NO</v>
          </cell>
          <cell r="CQ20" t="str">
            <v>SI</v>
          </cell>
          <cell r="CR20" t="str">
            <v>SI</v>
          </cell>
          <cell r="CS20" t="str">
            <v>NO</v>
          </cell>
          <cell r="CT20" t="str">
            <v>NO</v>
          </cell>
          <cell r="CU20" t="str">
            <v>SI</v>
          </cell>
          <cell r="CV20" t="str">
            <v>NO</v>
          </cell>
          <cell r="CW20" t="str">
            <v>NO</v>
          </cell>
          <cell r="CX20" t="str">
            <v>SI</v>
          </cell>
          <cell r="CY20" t="str">
            <v>SI</v>
          </cell>
          <cell r="CZ20" t="str">
            <v>SI</v>
          </cell>
          <cell r="DA20" t="str">
            <v>NO</v>
          </cell>
          <cell r="DB20" t="str">
            <v>NO</v>
          </cell>
          <cell r="DC20" t="str">
            <v>SI</v>
          </cell>
          <cell r="DD20" t="str">
            <v>SI</v>
          </cell>
          <cell r="DE20" t="str">
            <v>SI</v>
          </cell>
          <cell r="DF20" t="str">
            <v>SI</v>
          </cell>
          <cell r="DG20" t="str">
            <v>SI</v>
          </cell>
          <cell r="DH20" t="str">
            <v>SI</v>
          </cell>
          <cell r="DI20" t="str">
            <v>SI</v>
          </cell>
          <cell r="DJ20" t="str">
            <v>SI</v>
          </cell>
          <cell r="DK20" t="str">
            <v>SI</v>
          </cell>
          <cell r="DL20" t="str">
            <v>SI</v>
          </cell>
          <cell r="DM20" t="str">
            <v>E001012021002</v>
          </cell>
          <cell r="DN20" t="str">
            <v>E001005</v>
          </cell>
          <cell r="DO20" t="str">
            <v>Cuota fija Pesos</v>
          </cell>
          <cell r="DP20">
            <v>0.15</v>
          </cell>
          <cell r="DQ20">
            <v>1800000</v>
          </cell>
          <cell r="DR20">
            <v>1400000</v>
          </cell>
          <cell r="DS20">
            <v>1</v>
          </cell>
          <cell r="DT20">
            <v>9500</v>
          </cell>
          <cell r="DW20">
            <v>6000</v>
          </cell>
          <cell r="DX20">
            <v>6000</v>
          </cell>
          <cell r="DY20">
            <v>0</v>
          </cell>
          <cell r="DZ20">
            <v>1000</v>
          </cell>
          <cell r="EA20">
            <v>3500</v>
          </cell>
          <cell r="EB20">
            <v>8500</v>
          </cell>
          <cell r="EC20">
            <v>1500</v>
          </cell>
          <cell r="ED20">
            <v>5500</v>
          </cell>
          <cell r="EE20">
            <v>500</v>
          </cell>
          <cell r="EF20">
            <v>4500</v>
          </cell>
          <cell r="EG20">
            <v>7000</v>
          </cell>
          <cell r="EH20">
            <v>1500</v>
          </cell>
          <cell r="EI20">
            <v>0</v>
          </cell>
          <cell r="EJ20">
            <v>5500</v>
          </cell>
          <cell r="EK20">
            <v>5000</v>
          </cell>
          <cell r="EL20">
            <v>500</v>
          </cell>
          <cell r="EM20">
            <v>4500</v>
          </cell>
          <cell r="EN20">
            <v>4500</v>
          </cell>
          <cell r="EO20">
            <v>2000</v>
          </cell>
          <cell r="EP20">
            <v>9000</v>
          </cell>
          <cell r="EQ20">
            <v>7500</v>
          </cell>
          <cell r="ER20">
            <v>3000</v>
          </cell>
          <cell r="ES20" t="str">
            <v>SI</v>
          </cell>
          <cell r="ET20">
            <v>1</v>
          </cell>
          <cell r="EU20" t="str">
            <v>NO</v>
          </cell>
          <cell r="EV20" t="str">
            <v>SI</v>
          </cell>
          <cell r="EW20" t="str">
            <v>NO</v>
          </cell>
          <cell r="EX20" t="str">
            <v>NO</v>
          </cell>
          <cell r="EY20" t="str">
            <v>SI</v>
          </cell>
          <cell r="EZ20" t="str">
            <v>NO</v>
          </cell>
          <cell r="FA20" t="str">
            <v>NO</v>
          </cell>
          <cell r="FB20" t="str">
            <v>NO</v>
          </cell>
          <cell r="FC20">
            <v>1937</v>
          </cell>
          <cell r="FD20">
            <v>1916</v>
          </cell>
          <cell r="FE20">
            <v>1924</v>
          </cell>
          <cell r="FF20">
            <v>586</v>
          </cell>
          <cell r="FG20">
            <v>234</v>
          </cell>
          <cell r="FH20">
            <v>793</v>
          </cell>
          <cell r="FI20">
            <v>504</v>
          </cell>
          <cell r="FJ20">
            <v>2287</v>
          </cell>
          <cell r="FK20">
            <v>2066</v>
          </cell>
          <cell r="FL20">
            <v>2123</v>
          </cell>
          <cell r="FM20" t="str">
            <v>NO</v>
          </cell>
          <cell r="FN20" t="str">
            <v>SI</v>
          </cell>
          <cell r="FO20" t="str">
            <v>SI</v>
          </cell>
          <cell r="FP20" t="str">
            <v>NO</v>
          </cell>
          <cell r="FQ20" t="str">
            <v>SI</v>
          </cell>
          <cell r="FR20" t="str">
            <v>SI</v>
          </cell>
          <cell r="FS20">
            <v>103</v>
          </cell>
          <cell r="FW20" t="str">
            <v>Presencial</v>
          </cell>
          <cell r="FX20" t="str">
            <v>No</v>
          </cell>
          <cell r="FY20">
            <v>6</v>
          </cell>
          <cell r="FZ20">
            <v>158</v>
          </cell>
          <cell r="GA20" t="str">
            <v>SI</v>
          </cell>
          <cell r="GB20" t="str">
            <v>SI</v>
          </cell>
          <cell r="GC20" t="str">
            <v>NO</v>
          </cell>
          <cell r="GD20" t="str">
            <v>NO</v>
          </cell>
          <cell r="GE20" t="str">
            <v>NO</v>
          </cell>
          <cell r="GF20" t="str">
            <v>NO</v>
          </cell>
          <cell r="GG20" t="str">
            <v>SI</v>
          </cell>
        </row>
        <row r="21">
          <cell r="A21" t="str">
            <v>E001012021003</v>
          </cell>
          <cell r="B21" t="str">
            <v>Si</v>
          </cell>
          <cell r="C21">
            <v>1263464.2424242401</v>
          </cell>
          <cell r="D21">
            <v>99999999</v>
          </cell>
          <cell r="E21" t="str">
            <v>Ambos</v>
          </cell>
          <cell r="F21">
            <v>30</v>
          </cell>
          <cell r="G21">
            <v>65</v>
          </cell>
          <cell r="H21" t="str">
            <v>SI</v>
          </cell>
          <cell r="I21" t="str">
            <v>SI</v>
          </cell>
          <cell r="J21" t="str">
            <v>SI</v>
          </cell>
          <cell r="AT21">
            <v>23</v>
          </cell>
          <cell r="AU21">
            <v>12</v>
          </cell>
          <cell r="AV21">
            <v>8000</v>
          </cell>
          <cell r="AW21">
            <v>12000</v>
          </cell>
          <cell r="AX21">
            <v>5</v>
          </cell>
          <cell r="AY21">
            <v>2</v>
          </cell>
          <cell r="AZ21" t="str">
            <v>SI</v>
          </cell>
          <cell r="BA21">
            <v>2</v>
          </cell>
          <cell r="BC21" t="str">
            <v>SI</v>
          </cell>
          <cell r="BD21" t="str">
            <v>SI</v>
          </cell>
          <cell r="BE21" t="str">
            <v>SI</v>
          </cell>
          <cell r="BF21" t="str">
            <v>SI</v>
          </cell>
          <cell r="BG21" t="str">
            <v>SI</v>
          </cell>
          <cell r="BH21" t="str">
            <v>NO</v>
          </cell>
          <cell r="BI21" t="str">
            <v>SI</v>
          </cell>
          <cell r="BJ21" t="str">
            <v>SI</v>
          </cell>
          <cell r="BK21" t="str">
            <v>SI</v>
          </cell>
          <cell r="BL21" t="str">
            <v>SI</v>
          </cell>
          <cell r="BM21" t="str">
            <v>SI</v>
          </cell>
          <cell r="BN21" t="str">
            <v>NO</v>
          </cell>
          <cell r="BO21" t="str">
            <v>NO</v>
          </cell>
          <cell r="BP21" t="str">
            <v>NO</v>
          </cell>
          <cell r="BQ21" t="str">
            <v>SI</v>
          </cell>
          <cell r="BR21" t="str">
            <v>NO</v>
          </cell>
          <cell r="BS21" t="str">
            <v>SI</v>
          </cell>
          <cell r="BT21" t="str">
            <v>SI</v>
          </cell>
          <cell r="BU21" t="str">
            <v>SI</v>
          </cell>
          <cell r="BV21" t="str">
            <v>NO</v>
          </cell>
          <cell r="BW21" t="str">
            <v>SI</v>
          </cell>
          <cell r="BX21" t="str">
            <v>NO</v>
          </cell>
          <cell r="BY21" t="str">
            <v>NO</v>
          </cell>
          <cell r="BZ21" t="str">
            <v>SI</v>
          </cell>
          <cell r="CA21" t="str">
            <v>NO</v>
          </cell>
          <cell r="CB21" t="str">
            <v>NO</v>
          </cell>
          <cell r="CC21" t="str">
            <v>NO</v>
          </cell>
          <cell r="CD21" t="str">
            <v>SI</v>
          </cell>
          <cell r="CE21" t="str">
            <v>SI</v>
          </cell>
          <cell r="CF21" t="str">
            <v>SI</v>
          </cell>
          <cell r="CG21" t="str">
            <v>SI</v>
          </cell>
          <cell r="CH21" t="str">
            <v>SI</v>
          </cell>
          <cell r="CI21" t="str">
            <v>NO</v>
          </cell>
          <cell r="CJ21" t="str">
            <v>SI</v>
          </cell>
          <cell r="CK21" t="str">
            <v>NO</v>
          </cell>
          <cell r="CL21" t="str">
            <v>NO</v>
          </cell>
          <cell r="CM21" t="str">
            <v>NO</v>
          </cell>
          <cell r="CN21" t="str">
            <v>NO</v>
          </cell>
          <cell r="CO21" t="str">
            <v>NO</v>
          </cell>
          <cell r="CP21" t="str">
            <v>NO</v>
          </cell>
          <cell r="CQ21" t="str">
            <v>SI</v>
          </cell>
          <cell r="CR21" t="str">
            <v>SI</v>
          </cell>
          <cell r="CS21" t="str">
            <v>NO</v>
          </cell>
          <cell r="CT21" t="str">
            <v>NO</v>
          </cell>
          <cell r="CU21" t="str">
            <v>SI</v>
          </cell>
          <cell r="CV21" t="str">
            <v>NO</v>
          </cell>
          <cell r="CW21" t="str">
            <v>SI</v>
          </cell>
          <cell r="CX21" t="str">
            <v>NO</v>
          </cell>
          <cell r="CY21" t="str">
            <v>NO</v>
          </cell>
          <cell r="CZ21" t="str">
            <v>NO</v>
          </cell>
          <cell r="DA21" t="str">
            <v>NO</v>
          </cell>
          <cell r="DB21" t="str">
            <v>SI</v>
          </cell>
          <cell r="DC21" t="str">
            <v>NO</v>
          </cell>
          <cell r="DD21" t="str">
            <v>SI</v>
          </cell>
          <cell r="DE21" t="str">
            <v>NO</v>
          </cell>
          <cell r="DF21" t="str">
            <v>SI</v>
          </cell>
          <cell r="DG21" t="str">
            <v>SI</v>
          </cell>
          <cell r="DH21" t="str">
            <v>SI</v>
          </cell>
          <cell r="DI21" t="str">
            <v>SI</v>
          </cell>
          <cell r="DJ21" t="str">
            <v>SI</v>
          </cell>
          <cell r="DK21" t="str">
            <v>NO</v>
          </cell>
          <cell r="DL21" t="str">
            <v>NO</v>
          </cell>
          <cell r="DM21" t="str">
            <v>E001012021003</v>
          </cell>
          <cell r="DN21" t="str">
            <v>E001005</v>
          </cell>
          <cell r="DO21" t="str">
            <v>Cuota fija Pesos</v>
          </cell>
          <cell r="DP21">
            <v>0.12</v>
          </cell>
          <cell r="DQ21">
            <v>2100000</v>
          </cell>
          <cell r="DR21">
            <v>1300000</v>
          </cell>
          <cell r="DS21">
            <v>3</v>
          </cell>
          <cell r="DT21">
            <v>5500</v>
          </cell>
          <cell r="DW21">
            <v>6000</v>
          </cell>
          <cell r="DX21">
            <v>3500</v>
          </cell>
          <cell r="DY21">
            <v>5500</v>
          </cell>
          <cell r="DZ21">
            <v>8500</v>
          </cell>
          <cell r="EA21">
            <v>4500</v>
          </cell>
          <cell r="EB21">
            <v>4500</v>
          </cell>
          <cell r="EC21">
            <v>9500</v>
          </cell>
          <cell r="ED21">
            <v>7500</v>
          </cell>
          <cell r="EE21">
            <v>2500</v>
          </cell>
          <cell r="EF21">
            <v>500</v>
          </cell>
          <cell r="EG21">
            <v>0</v>
          </cell>
          <cell r="EH21">
            <v>3500</v>
          </cell>
          <cell r="EI21">
            <v>5500</v>
          </cell>
          <cell r="EJ21">
            <v>7500</v>
          </cell>
          <cell r="EK21">
            <v>3500</v>
          </cell>
          <cell r="EL21">
            <v>3000</v>
          </cell>
          <cell r="EM21">
            <v>0</v>
          </cell>
          <cell r="EN21">
            <v>5000</v>
          </cell>
          <cell r="EO21">
            <v>8000</v>
          </cell>
          <cell r="EP21">
            <v>5500</v>
          </cell>
          <cell r="EQ21">
            <v>2000</v>
          </cell>
          <cell r="ER21">
            <v>0</v>
          </cell>
          <cell r="ES21" t="str">
            <v>NO</v>
          </cell>
          <cell r="ET21">
            <v>6</v>
          </cell>
          <cell r="EU21" t="str">
            <v>SI</v>
          </cell>
          <cell r="EV21" t="str">
            <v>NO</v>
          </cell>
          <cell r="EW21" t="str">
            <v>SI</v>
          </cell>
          <cell r="EX21" t="str">
            <v>SI</v>
          </cell>
          <cell r="EY21" t="str">
            <v>SI</v>
          </cell>
          <cell r="EZ21" t="str">
            <v>SI</v>
          </cell>
          <cell r="FA21" t="str">
            <v>SI</v>
          </cell>
          <cell r="FB21" t="str">
            <v>SI</v>
          </cell>
          <cell r="FC21">
            <v>1236</v>
          </cell>
          <cell r="FD21">
            <v>1794</v>
          </cell>
          <cell r="FE21">
            <v>1628</v>
          </cell>
          <cell r="FF21">
            <v>330</v>
          </cell>
          <cell r="FG21">
            <v>741</v>
          </cell>
          <cell r="FH21">
            <v>847</v>
          </cell>
          <cell r="FI21">
            <v>211</v>
          </cell>
          <cell r="FJ21">
            <v>1340</v>
          </cell>
          <cell r="FK21">
            <v>1183</v>
          </cell>
          <cell r="FL21">
            <v>1507</v>
          </cell>
          <cell r="FM21" t="str">
            <v>SI</v>
          </cell>
          <cell r="FN21" t="str">
            <v>SI</v>
          </cell>
          <cell r="FO21" t="str">
            <v>SI</v>
          </cell>
          <cell r="FP21" t="str">
            <v>NO</v>
          </cell>
          <cell r="FQ21" t="str">
            <v>SI</v>
          </cell>
          <cell r="FR21" t="str">
            <v>NO</v>
          </cell>
          <cell r="FS21">
            <v>0</v>
          </cell>
          <cell r="FW21" t="str">
            <v>Virtual</v>
          </cell>
          <cell r="FX21" t="str">
            <v>No</v>
          </cell>
          <cell r="FY21">
            <v>3</v>
          </cell>
          <cell r="FZ21">
            <v>87</v>
          </cell>
          <cell r="GA21" t="str">
            <v>SI</v>
          </cell>
          <cell r="GB21" t="str">
            <v>SI</v>
          </cell>
          <cell r="GC21" t="str">
            <v>NO</v>
          </cell>
          <cell r="GD21" t="str">
            <v>NO</v>
          </cell>
          <cell r="GE21" t="str">
            <v>NO</v>
          </cell>
          <cell r="GF21" t="str">
            <v>SI</v>
          </cell>
          <cell r="GG21" t="str">
            <v>SI</v>
          </cell>
        </row>
        <row r="22">
          <cell r="A22" t="str">
            <v>E001012021004</v>
          </cell>
          <cell r="B22" t="str">
            <v>Si</v>
          </cell>
          <cell r="C22">
            <v>1202858.18181818</v>
          </cell>
          <cell r="D22">
            <v>99999999</v>
          </cell>
          <cell r="E22" t="str">
            <v>Ambos</v>
          </cell>
          <cell r="F22">
            <v>18</v>
          </cell>
          <cell r="G22">
            <v>65</v>
          </cell>
          <cell r="H22" t="str">
            <v>SI</v>
          </cell>
          <cell r="I22" t="str">
            <v>SI</v>
          </cell>
          <cell r="J22" t="str">
            <v>SI</v>
          </cell>
          <cell r="AT22">
            <v>21</v>
          </cell>
          <cell r="AU22">
            <v>8</v>
          </cell>
          <cell r="AV22">
            <v>10000</v>
          </cell>
          <cell r="AW22">
            <v>15000</v>
          </cell>
          <cell r="AX22">
            <v>2</v>
          </cell>
          <cell r="AY22">
            <v>5</v>
          </cell>
          <cell r="AZ22" t="str">
            <v>NO</v>
          </cell>
          <cell r="BA22">
            <v>4</v>
          </cell>
          <cell r="BC22" t="str">
            <v>NO</v>
          </cell>
          <cell r="BD22" t="str">
            <v>NO</v>
          </cell>
          <cell r="BE22" t="str">
            <v>SI</v>
          </cell>
          <cell r="BF22" t="str">
            <v>SI</v>
          </cell>
          <cell r="BG22" t="str">
            <v>SI</v>
          </cell>
          <cell r="BH22" t="str">
            <v>SI</v>
          </cell>
          <cell r="BI22" t="str">
            <v>SI</v>
          </cell>
          <cell r="BJ22" t="str">
            <v>NO</v>
          </cell>
          <cell r="BK22" t="str">
            <v>SI</v>
          </cell>
          <cell r="BL22" t="str">
            <v>NO</v>
          </cell>
          <cell r="BM22" t="str">
            <v>NO</v>
          </cell>
          <cell r="BN22" t="str">
            <v>NO</v>
          </cell>
          <cell r="BO22" t="str">
            <v>SI</v>
          </cell>
          <cell r="BP22" t="str">
            <v>NO</v>
          </cell>
          <cell r="BQ22" t="str">
            <v>NO</v>
          </cell>
          <cell r="BR22" t="str">
            <v>NO</v>
          </cell>
          <cell r="BS22" t="str">
            <v>SI</v>
          </cell>
          <cell r="BT22" t="str">
            <v>SI</v>
          </cell>
          <cell r="BU22" t="str">
            <v>SI</v>
          </cell>
          <cell r="BV22" t="str">
            <v>SI</v>
          </cell>
          <cell r="BW22" t="str">
            <v>SI</v>
          </cell>
          <cell r="BX22" t="str">
            <v>SI</v>
          </cell>
          <cell r="BY22" t="str">
            <v>SI</v>
          </cell>
          <cell r="BZ22" t="str">
            <v>NO</v>
          </cell>
          <cell r="CA22" t="str">
            <v>SI</v>
          </cell>
          <cell r="CB22" t="str">
            <v>SI</v>
          </cell>
          <cell r="CC22" t="str">
            <v>SI</v>
          </cell>
          <cell r="CD22" t="str">
            <v>SI</v>
          </cell>
          <cell r="CE22" t="str">
            <v>SI</v>
          </cell>
          <cell r="CF22" t="str">
            <v>SI</v>
          </cell>
          <cell r="CG22" t="str">
            <v>NO</v>
          </cell>
          <cell r="CH22" t="str">
            <v>SI</v>
          </cell>
          <cell r="CI22" t="str">
            <v>SI</v>
          </cell>
          <cell r="CJ22" t="str">
            <v>NO</v>
          </cell>
          <cell r="CK22" t="str">
            <v>NO</v>
          </cell>
          <cell r="CL22" t="str">
            <v>SI</v>
          </cell>
          <cell r="CM22" t="str">
            <v>NO</v>
          </cell>
          <cell r="CN22" t="str">
            <v>NO</v>
          </cell>
          <cell r="CO22" t="str">
            <v>NO</v>
          </cell>
          <cell r="CP22" t="str">
            <v>NO</v>
          </cell>
          <cell r="CQ22" t="str">
            <v>SI</v>
          </cell>
          <cell r="CR22" t="str">
            <v>SI</v>
          </cell>
          <cell r="CS22" t="str">
            <v>NO</v>
          </cell>
          <cell r="CT22" t="str">
            <v>NO</v>
          </cell>
          <cell r="CU22" t="str">
            <v>SI</v>
          </cell>
          <cell r="CV22" t="str">
            <v>NO</v>
          </cell>
          <cell r="CW22" t="str">
            <v>NO</v>
          </cell>
          <cell r="CX22" t="str">
            <v>SI</v>
          </cell>
          <cell r="CY22" t="str">
            <v>NO</v>
          </cell>
          <cell r="CZ22" t="str">
            <v>SI</v>
          </cell>
          <cell r="DA22" t="str">
            <v>NO</v>
          </cell>
          <cell r="DB22" t="str">
            <v>NO</v>
          </cell>
          <cell r="DC22" t="str">
            <v>SI</v>
          </cell>
          <cell r="DD22" t="str">
            <v>NO</v>
          </cell>
          <cell r="DE22" t="str">
            <v>SI</v>
          </cell>
          <cell r="DF22" t="str">
            <v>SI</v>
          </cell>
          <cell r="DG22" t="str">
            <v>NO</v>
          </cell>
          <cell r="DH22" t="str">
            <v>NO</v>
          </cell>
          <cell r="DI22" t="str">
            <v>NO</v>
          </cell>
          <cell r="DJ22" t="str">
            <v>NO</v>
          </cell>
          <cell r="DK22" t="str">
            <v>SI</v>
          </cell>
          <cell r="DL22" t="str">
            <v>SI</v>
          </cell>
          <cell r="DM22" t="str">
            <v>E001012021004</v>
          </cell>
          <cell r="DN22" t="str">
            <v>E001005</v>
          </cell>
          <cell r="DO22" t="str">
            <v>Cuota fija Pesos</v>
          </cell>
          <cell r="DP22">
            <v>0.08</v>
          </cell>
          <cell r="DQ22">
            <v>1900000</v>
          </cell>
          <cell r="DR22">
            <v>1500000</v>
          </cell>
          <cell r="DS22">
            <v>2</v>
          </cell>
          <cell r="DT22">
            <v>10000</v>
          </cell>
          <cell r="DW22">
            <v>4500</v>
          </cell>
          <cell r="DX22">
            <v>6000</v>
          </cell>
          <cell r="DY22">
            <v>3000</v>
          </cell>
          <cell r="DZ22">
            <v>6000</v>
          </cell>
          <cell r="EA22">
            <v>5500</v>
          </cell>
          <cell r="EB22">
            <v>3500</v>
          </cell>
          <cell r="EC22">
            <v>2500</v>
          </cell>
          <cell r="ED22">
            <v>3500</v>
          </cell>
          <cell r="EE22">
            <v>4000</v>
          </cell>
          <cell r="EF22">
            <v>9000</v>
          </cell>
          <cell r="EG22">
            <v>3500</v>
          </cell>
          <cell r="EH22">
            <v>0</v>
          </cell>
          <cell r="EI22">
            <v>4500</v>
          </cell>
          <cell r="EJ22">
            <v>2000</v>
          </cell>
          <cell r="EK22">
            <v>7500</v>
          </cell>
          <cell r="EL22">
            <v>9000</v>
          </cell>
          <cell r="EM22">
            <v>7000</v>
          </cell>
          <cell r="EN22">
            <v>1000</v>
          </cell>
          <cell r="EO22">
            <v>8500</v>
          </cell>
          <cell r="EP22">
            <v>9500</v>
          </cell>
          <cell r="EQ22">
            <v>4500</v>
          </cell>
          <cell r="ER22">
            <v>500</v>
          </cell>
          <cell r="ES22" t="str">
            <v>NO</v>
          </cell>
          <cell r="ET22">
            <v>30</v>
          </cell>
          <cell r="EU22" t="str">
            <v>NO</v>
          </cell>
          <cell r="EV22" t="str">
            <v>SI</v>
          </cell>
          <cell r="EW22" t="str">
            <v>SI</v>
          </cell>
          <cell r="EX22" t="str">
            <v>NO</v>
          </cell>
          <cell r="EY22" t="str">
            <v>NO</v>
          </cell>
          <cell r="EZ22" t="str">
            <v>SI</v>
          </cell>
          <cell r="FA22" t="str">
            <v>SI</v>
          </cell>
          <cell r="FB22" t="str">
            <v>NO</v>
          </cell>
          <cell r="FC22">
            <v>1454</v>
          </cell>
          <cell r="FD22">
            <v>1011</v>
          </cell>
          <cell r="FE22">
            <v>1265</v>
          </cell>
          <cell r="FF22">
            <v>1881</v>
          </cell>
          <cell r="FG22">
            <v>1055</v>
          </cell>
          <cell r="FH22">
            <v>1262</v>
          </cell>
          <cell r="FI22">
            <v>431</v>
          </cell>
          <cell r="FJ22">
            <v>802</v>
          </cell>
          <cell r="FK22">
            <v>1708</v>
          </cell>
          <cell r="FL22">
            <v>2019</v>
          </cell>
          <cell r="FM22" t="str">
            <v>SI</v>
          </cell>
          <cell r="FN22" t="str">
            <v>SI</v>
          </cell>
          <cell r="FO22" t="str">
            <v>SI</v>
          </cell>
          <cell r="FP22" t="str">
            <v>NO</v>
          </cell>
          <cell r="FQ22" t="str">
            <v>NO</v>
          </cell>
          <cell r="FR22" t="str">
            <v>SI</v>
          </cell>
          <cell r="FS22">
            <v>29</v>
          </cell>
          <cell r="FW22" t="str">
            <v>Presencial</v>
          </cell>
          <cell r="FX22" t="str">
            <v>Virtual</v>
          </cell>
          <cell r="FY22">
            <v>5</v>
          </cell>
          <cell r="FZ22">
            <v>108</v>
          </cell>
          <cell r="GA22" t="str">
            <v>SI</v>
          </cell>
          <cell r="GB22" t="str">
            <v>SI</v>
          </cell>
          <cell r="GC22" t="str">
            <v>SI</v>
          </cell>
          <cell r="GD22" t="str">
            <v>NO</v>
          </cell>
          <cell r="GE22" t="str">
            <v>NO</v>
          </cell>
          <cell r="GF22" t="str">
            <v>SI</v>
          </cell>
          <cell r="GG22" t="str">
            <v>SI</v>
          </cell>
        </row>
        <row r="23">
          <cell r="A23" t="str">
            <v>E001006021001</v>
          </cell>
          <cell r="B23" t="str">
            <v>Si</v>
          </cell>
          <cell r="C23">
            <v>1142252.1212121199</v>
          </cell>
          <cell r="D23">
            <v>99999999</v>
          </cell>
          <cell r="E23" t="str">
            <v>Ambos</v>
          </cell>
          <cell r="F23">
            <v>25</v>
          </cell>
          <cell r="G23">
            <v>65</v>
          </cell>
          <cell r="H23" t="str">
            <v>SI</v>
          </cell>
          <cell r="I23" t="str">
            <v>SI</v>
          </cell>
          <cell r="J23" t="str">
            <v>SI</v>
          </cell>
          <cell r="AT23">
            <v>23</v>
          </cell>
          <cell r="AU23">
            <v>8</v>
          </cell>
          <cell r="AV23">
            <v>5000</v>
          </cell>
          <cell r="AW23">
            <v>15000</v>
          </cell>
          <cell r="AX23">
            <v>1</v>
          </cell>
          <cell r="AY23">
            <v>3</v>
          </cell>
          <cell r="AZ23" t="str">
            <v>SI</v>
          </cell>
          <cell r="BA23">
            <v>3</v>
          </cell>
          <cell r="BC23" t="str">
            <v>NO</v>
          </cell>
          <cell r="BD23" t="str">
            <v>SI</v>
          </cell>
          <cell r="BE23" t="str">
            <v>NO</v>
          </cell>
          <cell r="BF23" t="str">
            <v>NO</v>
          </cell>
          <cell r="BG23" t="str">
            <v>NO</v>
          </cell>
          <cell r="BH23" t="str">
            <v>NO</v>
          </cell>
          <cell r="BI23" t="str">
            <v>NO</v>
          </cell>
          <cell r="BJ23" t="str">
            <v>SI</v>
          </cell>
          <cell r="BK23" t="str">
            <v>NO</v>
          </cell>
          <cell r="BL23" t="str">
            <v>SI</v>
          </cell>
          <cell r="BM23" t="str">
            <v>SI</v>
          </cell>
          <cell r="BN23" t="str">
            <v>NO</v>
          </cell>
          <cell r="BO23" t="str">
            <v>SI</v>
          </cell>
          <cell r="BP23" t="str">
            <v>SI</v>
          </cell>
          <cell r="BQ23" t="str">
            <v>NO</v>
          </cell>
          <cell r="BR23" t="str">
            <v>NO</v>
          </cell>
          <cell r="BS23" t="str">
            <v>SI</v>
          </cell>
          <cell r="BT23" t="str">
            <v>NO</v>
          </cell>
          <cell r="BU23" t="str">
            <v>NO</v>
          </cell>
          <cell r="BV23" t="str">
            <v>SI</v>
          </cell>
          <cell r="BW23" t="str">
            <v>SI</v>
          </cell>
          <cell r="BX23" t="str">
            <v>NO</v>
          </cell>
          <cell r="BY23" t="str">
            <v>NO</v>
          </cell>
          <cell r="BZ23" t="str">
            <v>SI</v>
          </cell>
          <cell r="CA23" t="str">
            <v>NO</v>
          </cell>
          <cell r="CB23" t="str">
            <v>NO</v>
          </cell>
          <cell r="CC23" t="str">
            <v>NO</v>
          </cell>
          <cell r="CD23" t="str">
            <v>NO</v>
          </cell>
          <cell r="CE23" t="str">
            <v>SI</v>
          </cell>
          <cell r="CF23" t="str">
            <v>SI</v>
          </cell>
          <cell r="CG23" t="str">
            <v>NO</v>
          </cell>
          <cell r="CH23" t="str">
            <v>NO</v>
          </cell>
          <cell r="CI23" t="str">
            <v>SI</v>
          </cell>
          <cell r="CJ23" t="str">
            <v>NO</v>
          </cell>
          <cell r="CK23" t="str">
            <v>SI</v>
          </cell>
          <cell r="CL23" t="str">
            <v>SI</v>
          </cell>
          <cell r="CM23" t="str">
            <v>SI</v>
          </cell>
          <cell r="CN23" t="str">
            <v>NO</v>
          </cell>
          <cell r="CO23" t="str">
            <v>NO</v>
          </cell>
          <cell r="CP23" t="str">
            <v>SI</v>
          </cell>
          <cell r="CQ23" t="str">
            <v>SI</v>
          </cell>
          <cell r="CR23" t="str">
            <v>SI</v>
          </cell>
          <cell r="CS23" t="str">
            <v>SI</v>
          </cell>
          <cell r="CT23" t="str">
            <v>SI</v>
          </cell>
          <cell r="CU23" t="str">
            <v>SI</v>
          </cell>
          <cell r="CV23" t="str">
            <v>SI</v>
          </cell>
          <cell r="CW23" t="str">
            <v>NO</v>
          </cell>
          <cell r="CX23" t="str">
            <v>SI</v>
          </cell>
          <cell r="CY23" t="str">
            <v>NO</v>
          </cell>
          <cell r="CZ23" t="str">
            <v>SI</v>
          </cell>
          <cell r="DA23" t="str">
            <v>NO</v>
          </cell>
          <cell r="DB23" t="str">
            <v>SI</v>
          </cell>
          <cell r="DC23" t="str">
            <v>SI</v>
          </cell>
          <cell r="DD23" t="str">
            <v>NO</v>
          </cell>
          <cell r="DE23" t="str">
            <v>SI</v>
          </cell>
          <cell r="DF23" t="str">
            <v>SI</v>
          </cell>
          <cell r="DG23" t="str">
            <v>NO</v>
          </cell>
          <cell r="DH23" t="str">
            <v>SI</v>
          </cell>
          <cell r="DI23" t="str">
            <v>SI</v>
          </cell>
          <cell r="DJ23" t="str">
            <v>SI</v>
          </cell>
          <cell r="DK23" t="str">
            <v>NO</v>
          </cell>
          <cell r="DL23" t="str">
            <v>NO</v>
          </cell>
          <cell r="DM23" t="str">
            <v>E001006021001</v>
          </cell>
          <cell r="DN23" t="str">
            <v>E001006</v>
          </cell>
          <cell r="DO23" t="str">
            <v>Cuota fija Pesos</v>
          </cell>
          <cell r="DP23">
            <v>0.12</v>
          </cell>
          <cell r="DQ23">
            <v>1600000</v>
          </cell>
          <cell r="DR23">
            <v>800000</v>
          </cell>
          <cell r="DS23">
            <v>1</v>
          </cell>
          <cell r="DT23">
            <v>0</v>
          </cell>
          <cell r="DW23">
            <v>3000</v>
          </cell>
          <cell r="DX23">
            <v>6000</v>
          </cell>
          <cell r="DY23">
            <v>8000</v>
          </cell>
          <cell r="DZ23">
            <v>4000</v>
          </cell>
          <cell r="EA23">
            <v>3000</v>
          </cell>
          <cell r="EB23">
            <v>3500</v>
          </cell>
          <cell r="EC23">
            <v>3000</v>
          </cell>
          <cell r="ED23">
            <v>2500</v>
          </cell>
          <cell r="EE23">
            <v>8500</v>
          </cell>
          <cell r="EF23">
            <v>4000</v>
          </cell>
          <cell r="EG23">
            <v>8500</v>
          </cell>
          <cell r="EH23">
            <v>4000</v>
          </cell>
          <cell r="EI23">
            <v>8500</v>
          </cell>
          <cell r="EJ23">
            <v>7000</v>
          </cell>
          <cell r="EK23">
            <v>2000</v>
          </cell>
          <cell r="EL23">
            <v>2000</v>
          </cell>
          <cell r="EM23">
            <v>9000</v>
          </cell>
          <cell r="EN23">
            <v>5500</v>
          </cell>
          <cell r="EO23">
            <v>2000</v>
          </cell>
          <cell r="EP23">
            <v>2500</v>
          </cell>
          <cell r="EQ23">
            <v>8500</v>
          </cell>
          <cell r="ER23">
            <v>5500</v>
          </cell>
          <cell r="ES23" t="str">
            <v>SI</v>
          </cell>
          <cell r="ET23">
            <v>6</v>
          </cell>
          <cell r="EU23" t="str">
            <v>SI</v>
          </cell>
          <cell r="EV23" t="str">
            <v>NO</v>
          </cell>
          <cell r="EW23" t="str">
            <v>SI</v>
          </cell>
          <cell r="EX23" t="str">
            <v>SI</v>
          </cell>
          <cell r="EY23" t="str">
            <v>SI</v>
          </cell>
          <cell r="EZ23" t="str">
            <v>NO</v>
          </cell>
          <cell r="FA23" t="str">
            <v>NO</v>
          </cell>
          <cell r="FB23" t="str">
            <v>SI</v>
          </cell>
          <cell r="FC23">
            <v>2042</v>
          </cell>
          <cell r="FD23">
            <v>1150</v>
          </cell>
          <cell r="FE23">
            <v>395</v>
          </cell>
          <cell r="FF23">
            <v>2165</v>
          </cell>
          <cell r="FG23">
            <v>1334</v>
          </cell>
          <cell r="FH23">
            <v>930</v>
          </cell>
          <cell r="FI23">
            <v>1098</v>
          </cell>
          <cell r="FJ23">
            <v>1459</v>
          </cell>
          <cell r="FK23">
            <v>1557</v>
          </cell>
          <cell r="FL23">
            <v>827</v>
          </cell>
          <cell r="FM23" t="str">
            <v>NO</v>
          </cell>
          <cell r="FN23" t="str">
            <v>NO</v>
          </cell>
          <cell r="FO23" t="str">
            <v>NO</v>
          </cell>
          <cell r="FP23" t="str">
            <v>SI</v>
          </cell>
          <cell r="FQ23" t="str">
            <v>NO</v>
          </cell>
          <cell r="FR23" t="str">
            <v>SI</v>
          </cell>
          <cell r="FS23">
            <v>61</v>
          </cell>
          <cell r="FW23" t="str">
            <v>Presencial</v>
          </cell>
          <cell r="FX23" t="str">
            <v>No</v>
          </cell>
          <cell r="FY23">
            <v>1</v>
          </cell>
          <cell r="FZ23">
            <v>90</v>
          </cell>
          <cell r="GA23" t="str">
            <v>NO</v>
          </cell>
          <cell r="GB23" t="str">
            <v>NO</v>
          </cell>
          <cell r="GC23" t="str">
            <v>SI</v>
          </cell>
          <cell r="GD23" t="str">
            <v>SI</v>
          </cell>
          <cell r="GE23" t="str">
            <v>NO</v>
          </cell>
          <cell r="GF23" t="str">
            <v>NO</v>
          </cell>
          <cell r="GG23" t="str">
            <v>SI</v>
          </cell>
        </row>
        <row r="24">
          <cell r="A24" t="str">
            <v>E001001027001</v>
          </cell>
          <cell r="B24" t="str">
            <v>Si</v>
          </cell>
          <cell r="C24">
            <v>1081646.0606060601</v>
          </cell>
          <cell r="D24">
            <v>99999999</v>
          </cell>
          <cell r="E24" t="str">
            <v>Femenino</v>
          </cell>
          <cell r="F24">
            <v>18</v>
          </cell>
          <cell r="G24">
            <v>65</v>
          </cell>
          <cell r="H24" t="str">
            <v>SI</v>
          </cell>
          <cell r="I24" t="str">
            <v>SI</v>
          </cell>
          <cell r="J24" t="str">
            <v>SI</v>
          </cell>
          <cell r="AT24">
            <v>4</v>
          </cell>
          <cell r="AU24">
            <v>6</v>
          </cell>
          <cell r="AV24">
            <v>10000</v>
          </cell>
          <cell r="AW24">
            <v>10000</v>
          </cell>
          <cell r="AX24">
            <v>6</v>
          </cell>
          <cell r="AY24">
            <v>8</v>
          </cell>
          <cell r="AZ24" t="str">
            <v>NO</v>
          </cell>
          <cell r="BA24">
            <v>1</v>
          </cell>
          <cell r="BC24" t="str">
            <v>NO</v>
          </cell>
          <cell r="BD24" t="str">
            <v>SI</v>
          </cell>
          <cell r="BE24" t="str">
            <v>NO</v>
          </cell>
          <cell r="BF24" t="str">
            <v>NO</v>
          </cell>
          <cell r="BG24" t="str">
            <v>SI</v>
          </cell>
          <cell r="BH24" t="str">
            <v>SI</v>
          </cell>
          <cell r="BI24" t="str">
            <v>SI</v>
          </cell>
          <cell r="BJ24" t="str">
            <v>SI</v>
          </cell>
          <cell r="BK24" t="str">
            <v>NO</v>
          </cell>
          <cell r="BL24" t="str">
            <v>SI</v>
          </cell>
          <cell r="BM24" t="str">
            <v>SI</v>
          </cell>
          <cell r="BN24" t="str">
            <v>NO</v>
          </cell>
          <cell r="BO24" t="str">
            <v>SI</v>
          </cell>
          <cell r="BP24" t="str">
            <v>SI</v>
          </cell>
          <cell r="BQ24" t="str">
            <v>NO</v>
          </cell>
          <cell r="BR24" t="str">
            <v>SI</v>
          </cell>
          <cell r="BS24" t="str">
            <v>SI</v>
          </cell>
          <cell r="BT24" t="str">
            <v>SI</v>
          </cell>
          <cell r="BU24" t="str">
            <v>SI</v>
          </cell>
          <cell r="BV24" t="str">
            <v>NO</v>
          </cell>
          <cell r="BW24" t="str">
            <v>SI</v>
          </cell>
          <cell r="BX24" t="str">
            <v>NO</v>
          </cell>
          <cell r="BY24" t="str">
            <v>NO</v>
          </cell>
          <cell r="BZ24" t="str">
            <v>SI</v>
          </cell>
          <cell r="CA24" t="str">
            <v>NO</v>
          </cell>
          <cell r="CB24" t="str">
            <v>NO</v>
          </cell>
          <cell r="CC24" t="str">
            <v>NO</v>
          </cell>
          <cell r="CD24" t="str">
            <v>NO</v>
          </cell>
          <cell r="CE24" t="str">
            <v>SI</v>
          </cell>
          <cell r="CF24" t="str">
            <v>SI</v>
          </cell>
          <cell r="CG24" t="str">
            <v>NO</v>
          </cell>
          <cell r="CH24" t="str">
            <v>NO</v>
          </cell>
          <cell r="CI24" t="str">
            <v>SI</v>
          </cell>
          <cell r="CJ24" t="str">
            <v>NO</v>
          </cell>
          <cell r="CK24" t="str">
            <v>SI</v>
          </cell>
          <cell r="CL24" t="str">
            <v>SI</v>
          </cell>
          <cell r="CM24" t="str">
            <v>SI</v>
          </cell>
          <cell r="CN24" t="str">
            <v>NO</v>
          </cell>
          <cell r="CO24" t="str">
            <v>NO</v>
          </cell>
          <cell r="CP24" t="str">
            <v>SI</v>
          </cell>
          <cell r="CQ24" t="str">
            <v>SI</v>
          </cell>
          <cell r="CR24" t="str">
            <v>SI</v>
          </cell>
          <cell r="CS24" t="str">
            <v>SI</v>
          </cell>
          <cell r="CT24" t="str">
            <v>SI</v>
          </cell>
          <cell r="CU24" t="str">
            <v>SI</v>
          </cell>
          <cell r="CV24" t="str">
            <v>SI</v>
          </cell>
          <cell r="CW24" t="str">
            <v>NO</v>
          </cell>
          <cell r="CX24" t="str">
            <v>SI</v>
          </cell>
          <cell r="CY24" t="str">
            <v>NO</v>
          </cell>
          <cell r="CZ24" t="str">
            <v>SI</v>
          </cell>
          <cell r="DA24" t="str">
            <v>NO</v>
          </cell>
          <cell r="DB24" t="str">
            <v>SI</v>
          </cell>
          <cell r="DC24" t="str">
            <v>SI</v>
          </cell>
          <cell r="DD24" t="str">
            <v>NO</v>
          </cell>
          <cell r="DE24" t="str">
            <v>SI</v>
          </cell>
          <cell r="DF24" t="str">
            <v>SI</v>
          </cell>
          <cell r="DG24" t="str">
            <v>NO</v>
          </cell>
          <cell r="DH24" t="str">
            <v>SI</v>
          </cell>
          <cell r="DI24" t="str">
            <v>SI</v>
          </cell>
          <cell r="DJ24" t="str">
            <v>SI</v>
          </cell>
          <cell r="DK24" t="str">
            <v>NO</v>
          </cell>
          <cell r="DL24" t="str">
            <v>NO</v>
          </cell>
          <cell r="DM24" t="str">
            <v>E001001027001</v>
          </cell>
          <cell r="DN24" t="str">
            <v>E001001</v>
          </cell>
          <cell r="DO24" t="str">
            <v>Cuota fija UVR</v>
          </cell>
          <cell r="DP24">
            <v>0.1</v>
          </cell>
          <cell r="DQ24">
            <v>2100000</v>
          </cell>
          <cell r="DR24">
            <v>900000</v>
          </cell>
          <cell r="DS24">
            <v>2</v>
          </cell>
          <cell r="DT24">
            <v>1500</v>
          </cell>
          <cell r="DW24">
            <v>7000</v>
          </cell>
          <cell r="DX24">
            <v>0</v>
          </cell>
          <cell r="DY24">
            <v>2500</v>
          </cell>
          <cell r="DZ24">
            <v>4000</v>
          </cell>
          <cell r="EA24">
            <v>6500</v>
          </cell>
          <cell r="EB24">
            <v>10000</v>
          </cell>
          <cell r="EC24">
            <v>3000</v>
          </cell>
          <cell r="ED24">
            <v>6500</v>
          </cell>
          <cell r="EE24">
            <v>5000</v>
          </cell>
          <cell r="EF24">
            <v>2000</v>
          </cell>
          <cell r="EG24">
            <v>6000</v>
          </cell>
          <cell r="EH24">
            <v>4500</v>
          </cell>
          <cell r="EI24">
            <v>5500</v>
          </cell>
          <cell r="EJ24">
            <v>9000</v>
          </cell>
          <cell r="EK24">
            <v>4500</v>
          </cell>
          <cell r="EL24">
            <v>7000</v>
          </cell>
          <cell r="EM24">
            <v>7500</v>
          </cell>
          <cell r="EN24">
            <v>0</v>
          </cell>
          <cell r="EO24">
            <v>9500</v>
          </cell>
          <cell r="EP24">
            <v>5500</v>
          </cell>
          <cell r="EQ24">
            <v>2000</v>
          </cell>
          <cell r="ER24">
            <v>6500</v>
          </cell>
          <cell r="ES24" t="str">
            <v>SI</v>
          </cell>
          <cell r="ET24">
            <v>15</v>
          </cell>
          <cell r="EU24" t="str">
            <v>NO</v>
          </cell>
          <cell r="EV24" t="str">
            <v>SI</v>
          </cell>
          <cell r="EW24" t="str">
            <v>NO</v>
          </cell>
          <cell r="EX24" t="str">
            <v>SI</v>
          </cell>
          <cell r="EY24" t="str">
            <v>NO</v>
          </cell>
          <cell r="EZ24" t="str">
            <v>SI</v>
          </cell>
          <cell r="FA24" t="str">
            <v>SI</v>
          </cell>
          <cell r="FB24" t="str">
            <v>SI</v>
          </cell>
          <cell r="FC24">
            <v>2217</v>
          </cell>
          <cell r="FD24">
            <v>1739</v>
          </cell>
          <cell r="FE24">
            <v>472</v>
          </cell>
          <cell r="FF24">
            <v>1128</v>
          </cell>
          <cell r="FG24">
            <v>501</v>
          </cell>
          <cell r="FH24">
            <v>477</v>
          </cell>
          <cell r="FI24">
            <v>1384</v>
          </cell>
          <cell r="FJ24">
            <v>565</v>
          </cell>
          <cell r="FK24">
            <v>1403</v>
          </cell>
          <cell r="FL24">
            <v>451</v>
          </cell>
          <cell r="FM24" t="str">
            <v>NO</v>
          </cell>
          <cell r="FN24" t="str">
            <v>SI</v>
          </cell>
          <cell r="FO24" t="str">
            <v>NO</v>
          </cell>
          <cell r="FP24" t="str">
            <v>NO</v>
          </cell>
          <cell r="FQ24" t="str">
            <v>SI</v>
          </cell>
          <cell r="FR24" t="str">
            <v>SI</v>
          </cell>
          <cell r="FS24">
            <v>395</v>
          </cell>
          <cell r="FW24" t="str">
            <v>Virtual</v>
          </cell>
          <cell r="FX24" t="str">
            <v>Virtual</v>
          </cell>
          <cell r="FY24">
            <v>3</v>
          </cell>
          <cell r="FZ24">
            <v>74</v>
          </cell>
          <cell r="GA24" t="str">
            <v>SI</v>
          </cell>
          <cell r="GB24" t="str">
            <v>SI</v>
          </cell>
          <cell r="GC24" t="str">
            <v>NO</v>
          </cell>
          <cell r="GD24" t="str">
            <v>NO</v>
          </cell>
          <cell r="GE24" t="str">
            <v>SI</v>
          </cell>
          <cell r="GF24" t="str">
            <v>SI</v>
          </cell>
          <cell r="GG24" t="str">
            <v>SI</v>
          </cell>
        </row>
        <row r="25">
          <cell r="A25" t="str">
            <v>E001001027002</v>
          </cell>
          <cell r="B25" t="str">
            <v>Si</v>
          </cell>
          <cell r="C25">
            <v>1021040</v>
          </cell>
          <cell r="D25">
            <v>99999999</v>
          </cell>
          <cell r="E25" t="str">
            <v>Ambos</v>
          </cell>
          <cell r="F25">
            <v>18</v>
          </cell>
          <cell r="G25">
            <v>65</v>
          </cell>
          <cell r="H25" t="str">
            <v>SI</v>
          </cell>
          <cell r="I25" t="str">
            <v>SI</v>
          </cell>
          <cell r="J25" t="str">
            <v>SI</v>
          </cell>
          <cell r="AT25">
            <v>4</v>
          </cell>
          <cell r="AU25">
            <v>10</v>
          </cell>
          <cell r="AV25">
            <v>15000</v>
          </cell>
          <cell r="AW25">
            <v>20000</v>
          </cell>
          <cell r="AX25">
            <v>1</v>
          </cell>
          <cell r="AY25">
            <v>8</v>
          </cell>
          <cell r="AZ25" t="str">
            <v>SI</v>
          </cell>
          <cell r="BA25">
            <v>2</v>
          </cell>
          <cell r="BC25" t="str">
            <v>NO</v>
          </cell>
          <cell r="BD25" t="str">
            <v>NO</v>
          </cell>
          <cell r="BE25" t="str">
            <v>SI</v>
          </cell>
          <cell r="BF25" t="str">
            <v>NO</v>
          </cell>
          <cell r="BG25" t="str">
            <v>SI</v>
          </cell>
          <cell r="BH25" t="str">
            <v>SI</v>
          </cell>
          <cell r="BI25" t="str">
            <v>SI</v>
          </cell>
          <cell r="BJ25" t="str">
            <v>SI</v>
          </cell>
          <cell r="BK25" t="str">
            <v>SI</v>
          </cell>
          <cell r="BL25" t="str">
            <v>NO</v>
          </cell>
          <cell r="BM25" t="str">
            <v>NO</v>
          </cell>
          <cell r="BN25" t="str">
            <v>NO</v>
          </cell>
          <cell r="BO25" t="str">
            <v>SI</v>
          </cell>
          <cell r="BP25" t="str">
            <v>SI</v>
          </cell>
          <cell r="BQ25" t="str">
            <v>NO</v>
          </cell>
          <cell r="BR25" t="str">
            <v>SI</v>
          </cell>
          <cell r="BS25" t="str">
            <v>SI</v>
          </cell>
          <cell r="BT25" t="str">
            <v>NO</v>
          </cell>
          <cell r="BU25" t="str">
            <v>SI</v>
          </cell>
          <cell r="BV25" t="str">
            <v>NO</v>
          </cell>
          <cell r="BW25" t="str">
            <v>NO</v>
          </cell>
          <cell r="BX25" t="str">
            <v>NO</v>
          </cell>
          <cell r="BY25" t="str">
            <v>NO</v>
          </cell>
          <cell r="BZ25" t="str">
            <v>NO</v>
          </cell>
          <cell r="CA25" t="str">
            <v>SI</v>
          </cell>
          <cell r="CB25" t="str">
            <v>SI</v>
          </cell>
          <cell r="CC25" t="str">
            <v>SI</v>
          </cell>
          <cell r="CD25" t="str">
            <v>SI</v>
          </cell>
          <cell r="CE25" t="str">
            <v>SI</v>
          </cell>
          <cell r="CF25" t="str">
            <v>SI</v>
          </cell>
          <cell r="CG25" t="str">
            <v>NO</v>
          </cell>
          <cell r="CH25" t="str">
            <v>SI</v>
          </cell>
          <cell r="CI25" t="str">
            <v>SI</v>
          </cell>
          <cell r="CJ25" t="str">
            <v>NO</v>
          </cell>
          <cell r="CK25" t="str">
            <v>NO</v>
          </cell>
          <cell r="CL25" t="str">
            <v>SI</v>
          </cell>
          <cell r="CM25" t="str">
            <v>NO</v>
          </cell>
          <cell r="CN25" t="str">
            <v>NO</v>
          </cell>
          <cell r="CO25" t="str">
            <v>NO</v>
          </cell>
          <cell r="CP25" t="str">
            <v>NO</v>
          </cell>
          <cell r="CQ25" t="str">
            <v>SI</v>
          </cell>
          <cell r="CR25" t="str">
            <v>NO</v>
          </cell>
          <cell r="CS25" t="str">
            <v>SI</v>
          </cell>
          <cell r="CT25" t="str">
            <v>SI</v>
          </cell>
          <cell r="CU25" t="str">
            <v>SI</v>
          </cell>
          <cell r="CV25" t="str">
            <v>NO</v>
          </cell>
          <cell r="CW25" t="str">
            <v>SI</v>
          </cell>
          <cell r="CX25" t="str">
            <v>NO</v>
          </cell>
          <cell r="CY25" t="str">
            <v>NO</v>
          </cell>
          <cell r="CZ25" t="str">
            <v>NO</v>
          </cell>
          <cell r="DA25" t="str">
            <v>NO</v>
          </cell>
          <cell r="DB25" t="str">
            <v>SI</v>
          </cell>
          <cell r="DC25" t="str">
            <v>NO</v>
          </cell>
          <cell r="DD25" t="str">
            <v>SI</v>
          </cell>
          <cell r="DE25" t="str">
            <v>SI</v>
          </cell>
          <cell r="DF25" t="str">
            <v>SI</v>
          </cell>
          <cell r="DG25" t="str">
            <v>NO</v>
          </cell>
          <cell r="DH25" t="str">
            <v>SI</v>
          </cell>
          <cell r="DI25" t="str">
            <v>NO</v>
          </cell>
          <cell r="DJ25" t="str">
            <v>NO</v>
          </cell>
          <cell r="DK25" t="str">
            <v>SI</v>
          </cell>
          <cell r="DL25" t="str">
            <v>SI</v>
          </cell>
          <cell r="DM25" t="str">
            <v>E001001027002</v>
          </cell>
          <cell r="DN25" t="str">
            <v>E001001</v>
          </cell>
          <cell r="DO25" t="str">
            <v>Cuota Decreciente mensualmete UVR</v>
          </cell>
          <cell r="DP25">
            <v>0.09</v>
          </cell>
          <cell r="DQ25">
            <v>1200000</v>
          </cell>
          <cell r="DR25">
            <v>1200000</v>
          </cell>
          <cell r="DS25">
            <v>2</v>
          </cell>
          <cell r="DT25">
            <v>2500</v>
          </cell>
          <cell r="DW25">
            <v>2500</v>
          </cell>
          <cell r="DX25">
            <v>5000</v>
          </cell>
          <cell r="DY25">
            <v>9500</v>
          </cell>
          <cell r="DZ25">
            <v>500</v>
          </cell>
          <cell r="EA25">
            <v>5500</v>
          </cell>
          <cell r="EB25">
            <v>6500</v>
          </cell>
          <cell r="EC25">
            <v>7500</v>
          </cell>
          <cell r="ED25">
            <v>8500</v>
          </cell>
          <cell r="EE25">
            <v>6000</v>
          </cell>
          <cell r="EF25">
            <v>6000</v>
          </cell>
          <cell r="EG25">
            <v>6500</v>
          </cell>
          <cell r="EH25">
            <v>8000</v>
          </cell>
          <cell r="EI25">
            <v>4000</v>
          </cell>
          <cell r="EJ25">
            <v>8000</v>
          </cell>
          <cell r="EK25">
            <v>500</v>
          </cell>
          <cell r="EL25">
            <v>1000</v>
          </cell>
          <cell r="EM25">
            <v>0</v>
          </cell>
          <cell r="EN25">
            <v>4500</v>
          </cell>
          <cell r="EO25">
            <v>7000</v>
          </cell>
          <cell r="EP25">
            <v>6500</v>
          </cell>
          <cell r="EQ25">
            <v>7000</v>
          </cell>
          <cell r="ER25">
            <v>6500</v>
          </cell>
          <cell r="ES25" t="str">
            <v>NO</v>
          </cell>
          <cell r="ET25">
            <v>9</v>
          </cell>
          <cell r="EU25" t="str">
            <v>NO</v>
          </cell>
          <cell r="EV25" t="str">
            <v>SI</v>
          </cell>
          <cell r="EW25" t="str">
            <v>NO</v>
          </cell>
          <cell r="EX25" t="str">
            <v>SI</v>
          </cell>
          <cell r="EY25" t="str">
            <v>NO</v>
          </cell>
          <cell r="EZ25" t="str">
            <v>SI</v>
          </cell>
          <cell r="FA25" t="str">
            <v>NO</v>
          </cell>
          <cell r="FB25" t="str">
            <v>NO</v>
          </cell>
          <cell r="FC25">
            <v>1134</v>
          </cell>
          <cell r="FD25">
            <v>623</v>
          </cell>
          <cell r="FE25">
            <v>665</v>
          </cell>
          <cell r="FF25">
            <v>1139</v>
          </cell>
          <cell r="FG25">
            <v>843</v>
          </cell>
          <cell r="FH25">
            <v>1396</v>
          </cell>
          <cell r="FI25">
            <v>2159</v>
          </cell>
          <cell r="FJ25">
            <v>478</v>
          </cell>
          <cell r="FK25">
            <v>704</v>
          </cell>
          <cell r="FL25">
            <v>1585</v>
          </cell>
          <cell r="FM25" t="str">
            <v>SI</v>
          </cell>
          <cell r="FN25" t="str">
            <v>NO</v>
          </cell>
          <cell r="FO25" t="str">
            <v>NO</v>
          </cell>
          <cell r="FP25" t="str">
            <v>NO</v>
          </cell>
          <cell r="FQ25" t="str">
            <v>NO</v>
          </cell>
          <cell r="FR25" t="str">
            <v>SI</v>
          </cell>
          <cell r="FS25">
            <v>713</v>
          </cell>
          <cell r="FW25" t="str">
            <v>Presencial</v>
          </cell>
          <cell r="FX25" t="str">
            <v>Fisica</v>
          </cell>
          <cell r="FY25">
            <v>2</v>
          </cell>
          <cell r="FZ25">
            <v>70</v>
          </cell>
          <cell r="GA25" t="str">
            <v>SI</v>
          </cell>
          <cell r="GB25" t="str">
            <v>NO</v>
          </cell>
          <cell r="GC25" t="str">
            <v>NO</v>
          </cell>
          <cell r="GD25" t="str">
            <v>NO</v>
          </cell>
          <cell r="GE25" t="str">
            <v>SI</v>
          </cell>
          <cell r="GF25" t="str">
            <v>SI</v>
          </cell>
          <cell r="GG25" t="str">
            <v>SI</v>
          </cell>
        </row>
        <row r="26">
          <cell r="A26" t="str">
            <v>E001001027003</v>
          </cell>
          <cell r="B26" t="str">
            <v>No</v>
          </cell>
          <cell r="C26">
            <v>960433.93939394201</v>
          </cell>
          <cell r="D26">
            <v>99999999</v>
          </cell>
          <cell r="E26" t="str">
            <v>Ambos</v>
          </cell>
          <cell r="F26">
            <v>30</v>
          </cell>
          <cell r="G26">
            <v>65</v>
          </cell>
          <cell r="H26" t="str">
            <v>SI</v>
          </cell>
          <cell r="I26" t="str">
            <v>SI</v>
          </cell>
          <cell r="J26" t="str">
            <v>SI</v>
          </cell>
          <cell r="AT26">
            <v>21</v>
          </cell>
          <cell r="AU26">
            <v>12</v>
          </cell>
          <cell r="AV26">
            <v>8000</v>
          </cell>
          <cell r="AW26">
            <v>25000</v>
          </cell>
          <cell r="AX26">
            <v>10</v>
          </cell>
          <cell r="AY26">
            <v>13</v>
          </cell>
          <cell r="AZ26" t="str">
            <v>SI</v>
          </cell>
          <cell r="BA26">
            <v>2</v>
          </cell>
          <cell r="BC26" t="str">
            <v>SI</v>
          </cell>
          <cell r="BD26" t="str">
            <v>SI</v>
          </cell>
          <cell r="BE26" t="str">
            <v>SI</v>
          </cell>
          <cell r="BF26" t="str">
            <v>NO</v>
          </cell>
          <cell r="BG26" t="str">
            <v>NO</v>
          </cell>
          <cell r="BH26" t="str">
            <v>NO</v>
          </cell>
          <cell r="BI26" t="str">
            <v>SI</v>
          </cell>
          <cell r="BJ26" t="str">
            <v>NO</v>
          </cell>
          <cell r="BK26" t="str">
            <v>SI</v>
          </cell>
          <cell r="BL26" t="str">
            <v>SI</v>
          </cell>
          <cell r="BM26" t="str">
            <v>SI</v>
          </cell>
          <cell r="BN26" t="str">
            <v>NO</v>
          </cell>
          <cell r="BO26" t="str">
            <v>SI</v>
          </cell>
          <cell r="BP26" t="str">
            <v>NO</v>
          </cell>
          <cell r="BQ26" t="str">
            <v>NO</v>
          </cell>
          <cell r="BR26" t="str">
            <v>SI</v>
          </cell>
          <cell r="BS26" t="str">
            <v>SI</v>
          </cell>
          <cell r="BT26" t="str">
            <v>SI</v>
          </cell>
          <cell r="BU26" t="str">
            <v>SI</v>
          </cell>
          <cell r="BV26" t="str">
            <v>NO</v>
          </cell>
          <cell r="BW26" t="str">
            <v>SI</v>
          </cell>
          <cell r="BX26" t="str">
            <v>NO</v>
          </cell>
          <cell r="BY26" t="str">
            <v>SI</v>
          </cell>
          <cell r="BZ26" t="str">
            <v>SI</v>
          </cell>
          <cell r="CA26" t="str">
            <v>NO</v>
          </cell>
          <cell r="CB26" t="str">
            <v>NO</v>
          </cell>
          <cell r="CC26" t="str">
            <v>NO</v>
          </cell>
          <cell r="CD26" t="str">
            <v>SI</v>
          </cell>
          <cell r="CE26" t="str">
            <v>SI</v>
          </cell>
          <cell r="CF26" t="str">
            <v>SI</v>
          </cell>
          <cell r="CG26" t="str">
            <v>SI</v>
          </cell>
          <cell r="CH26" t="str">
            <v>SI</v>
          </cell>
          <cell r="CI26" t="str">
            <v>NO</v>
          </cell>
          <cell r="CJ26" t="str">
            <v>SI</v>
          </cell>
          <cell r="CK26" t="str">
            <v>NO</v>
          </cell>
          <cell r="CL26" t="str">
            <v>NO</v>
          </cell>
          <cell r="CM26" t="str">
            <v>NO</v>
          </cell>
          <cell r="CN26" t="str">
            <v>NO</v>
          </cell>
          <cell r="CO26" t="str">
            <v>SI</v>
          </cell>
          <cell r="CP26" t="str">
            <v>NO</v>
          </cell>
          <cell r="CQ26" t="str">
            <v>NO</v>
          </cell>
          <cell r="CR26" t="str">
            <v>NO</v>
          </cell>
          <cell r="CS26" t="str">
            <v>SI</v>
          </cell>
          <cell r="CT26" t="str">
            <v>SI</v>
          </cell>
          <cell r="CU26" t="str">
            <v>SI</v>
          </cell>
          <cell r="CV26" t="str">
            <v>SI</v>
          </cell>
          <cell r="CW26" t="str">
            <v>SI</v>
          </cell>
          <cell r="CX26" t="str">
            <v>SI</v>
          </cell>
          <cell r="CY26" t="str">
            <v>NO</v>
          </cell>
          <cell r="CZ26" t="str">
            <v>SI</v>
          </cell>
          <cell r="DA26" t="str">
            <v>NO</v>
          </cell>
          <cell r="DB26" t="str">
            <v>SI</v>
          </cell>
          <cell r="DC26" t="str">
            <v>NO</v>
          </cell>
          <cell r="DD26" t="str">
            <v>SI</v>
          </cell>
          <cell r="DE26" t="str">
            <v>SI</v>
          </cell>
          <cell r="DF26" t="str">
            <v>SI</v>
          </cell>
          <cell r="DG26" t="str">
            <v>SI</v>
          </cell>
          <cell r="DH26" t="str">
            <v>SI</v>
          </cell>
          <cell r="DI26" t="str">
            <v>SI</v>
          </cell>
          <cell r="DJ26" t="str">
            <v>SI</v>
          </cell>
          <cell r="DK26" t="str">
            <v>NO</v>
          </cell>
          <cell r="DL26" t="str">
            <v>NO</v>
          </cell>
          <cell r="DM26" t="str">
            <v>E001001027003</v>
          </cell>
          <cell r="DN26" t="str">
            <v>E001001</v>
          </cell>
          <cell r="DO26" t="str">
            <v>Abono a Capital Pesos</v>
          </cell>
          <cell r="DP26">
            <v>0.12</v>
          </cell>
          <cell r="DQ26">
            <v>1300000</v>
          </cell>
          <cell r="DR26">
            <v>1100000</v>
          </cell>
          <cell r="DS26">
            <v>2</v>
          </cell>
          <cell r="DT26">
            <v>6500</v>
          </cell>
          <cell r="DW26">
            <v>500</v>
          </cell>
          <cell r="DX26">
            <v>9500</v>
          </cell>
          <cell r="DY26">
            <v>4500</v>
          </cell>
          <cell r="DZ26">
            <v>0</v>
          </cell>
          <cell r="EA26">
            <v>9500</v>
          </cell>
          <cell r="EB26">
            <v>4500</v>
          </cell>
          <cell r="EC26">
            <v>4000</v>
          </cell>
          <cell r="ED26">
            <v>4500</v>
          </cell>
          <cell r="EE26">
            <v>1500</v>
          </cell>
          <cell r="EF26">
            <v>5000</v>
          </cell>
          <cell r="EG26">
            <v>8500</v>
          </cell>
          <cell r="EH26">
            <v>3000</v>
          </cell>
          <cell r="EI26">
            <v>4000</v>
          </cell>
          <cell r="EJ26">
            <v>5500</v>
          </cell>
          <cell r="EK26">
            <v>7500</v>
          </cell>
          <cell r="EL26">
            <v>7000</v>
          </cell>
          <cell r="EM26">
            <v>6500</v>
          </cell>
          <cell r="EN26">
            <v>7000</v>
          </cell>
          <cell r="EO26">
            <v>3500</v>
          </cell>
          <cell r="EP26">
            <v>9000</v>
          </cell>
          <cell r="EQ26">
            <v>9500</v>
          </cell>
          <cell r="ER26">
            <v>10000</v>
          </cell>
          <cell r="ES26" t="str">
            <v>NO</v>
          </cell>
          <cell r="ET26">
            <v>17</v>
          </cell>
          <cell r="EU26" t="str">
            <v>NO</v>
          </cell>
          <cell r="EV26" t="str">
            <v>SI</v>
          </cell>
          <cell r="EW26" t="str">
            <v>NO</v>
          </cell>
          <cell r="EX26" t="str">
            <v>NO</v>
          </cell>
          <cell r="EY26" t="str">
            <v>SI</v>
          </cell>
          <cell r="EZ26" t="str">
            <v>NO</v>
          </cell>
          <cell r="FA26" t="str">
            <v>SI</v>
          </cell>
          <cell r="FB26" t="str">
            <v>NO</v>
          </cell>
          <cell r="FC26">
            <v>1421</v>
          </cell>
          <cell r="FD26">
            <v>1405</v>
          </cell>
          <cell r="FE26">
            <v>712</v>
          </cell>
          <cell r="FF26">
            <v>2259</v>
          </cell>
          <cell r="FG26">
            <v>945</v>
          </cell>
          <cell r="FH26">
            <v>1815</v>
          </cell>
          <cell r="FI26">
            <v>268</v>
          </cell>
          <cell r="FJ26">
            <v>578</v>
          </cell>
          <cell r="FK26">
            <v>1083</v>
          </cell>
          <cell r="FL26">
            <v>1257</v>
          </cell>
          <cell r="FM26" t="str">
            <v>SI</v>
          </cell>
          <cell r="FN26" t="str">
            <v>SI</v>
          </cell>
          <cell r="FO26" t="str">
            <v>NO</v>
          </cell>
          <cell r="FP26" t="str">
            <v>SI</v>
          </cell>
          <cell r="FQ26" t="str">
            <v>NO</v>
          </cell>
          <cell r="FR26" t="str">
            <v>NO</v>
          </cell>
          <cell r="FS26">
            <v>0</v>
          </cell>
          <cell r="FW26" t="str">
            <v>Intermedio</v>
          </cell>
          <cell r="FX26" t="str">
            <v>No</v>
          </cell>
          <cell r="FY26">
            <v>6</v>
          </cell>
          <cell r="FZ26">
            <v>40</v>
          </cell>
          <cell r="GA26" t="str">
            <v>NO</v>
          </cell>
          <cell r="GB26" t="str">
            <v>SI</v>
          </cell>
          <cell r="GC26" t="str">
            <v>NO</v>
          </cell>
          <cell r="GD26" t="str">
            <v>NO</v>
          </cell>
          <cell r="GE26" t="str">
            <v>NO</v>
          </cell>
          <cell r="GF26" t="str">
            <v>NO</v>
          </cell>
          <cell r="GG26" t="str">
            <v>NO</v>
          </cell>
        </row>
        <row r="27">
          <cell r="A27" t="str">
            <v>E001002027001</v>
          </cell>
          <cell r="B27" t="str">
            <v>No</v>
          </cell>
          <cell r="C27">
            <v>899827.87878788204</v>
          </cell>
          <cell r="D27">
            <v>99999999</v>
          </cell>
          <cell r="E27" t="str">
            <v>Ambos</v>
          </cell>
          <cell r="F27">
            <v>18</v>
          </cell>
          <cell r="G27">
            <v>65</v>
          </cell>
          <cell r="H27" t="str">
            <v>SI</v>
          </cell>
          <cell r="I27" t="str">
            <v>NO</v>
          </cell>
          <cell r="J27" t="str">
            <v>SI</v>
          </cell>
          <cell r="AT27">
            <v>23</v>
          </cell>
          <cell r="AU27">
            <v>8</v>
          </cell>
          <cell r="AV27">
            <v>12000</v>
          </cell>
          <cell r="AW27">
            <v>10000</v>
          </cell>
          <cell r="AX27">
            <v>12</v>
          </cell>
          <cell r="AY27">
            <v>14</v>
          </cell>
          <cell r="AZ27" t="str">
            <v>NO</v>
          </cell>
          <cell r="BA27">
            <v>4</v>
          </cell>
          <cell r="BC27" t="str">
            <v>SI</v>
          </cell>
          <cell r="BD27" t="str">
            <v>SI</v>
          </cell>
          <cell r="BE27" t="str">
            <v>SI</v>
          </cell>
          <cell r="BF27" t="str">
            <v>NO</v>
          </cell>
          <cell r="BG27" t="str">
            <v>SI</v>
          </cell>
          <cell r="BH27" t="str">
            <v>NO</v>
          </cell>
          <cell r="BI27" t="str">
            <v>NO</v>
          </cell>
          <cell r="BJ27" t="str">
            <v>NO</v>
          </cell>
          <cell r="BK27" t="str">
            <v>SI</v>
          </cell>
          <cell r="BL27" t="str">
            <v>NO</v>
          </cell>
          <cell r="BM27" t="str">
            <v>SI</v>
          </cell>
          <cell r="BN27" t="str">
            <v>SI</v>
          </cell>
          <cell r="BO27" t="str">
            <v>SI</v>
          </cell>
          <cell r="BP27" t="str">
            <v>SI</v>
          </cell>
          <cell r="BQ27" t="str">
            <v>SI</v>
          </cell>
          <cell r="BR27" t="str">
            <v>SI</v>
          </cell>
          <cell r="BS27" t="str">
            <v>SI</v>
          </cell>
          <cell r="BT27" t="str">
            <v>SI</v>
          </cell>
          <cell r="BU27" t="str">
            <v>SI</v>
          </cell>
          <cell r="BV27" t="str">
            <v>NO</v>
          </cell>
          <cell r="BW27" t="str">
            <v>SI</v>
          </cell>
          <cell r="BX27" t="str">
            <v>SI</v>
          </cell>
          <cell r="BY27" t="str">
            <v>SI</v>
          </cell>
          <cell r="BZ27" t="str">
            <v>NO</v>
          </cell>
          <cell r="CA27" t="str">
            <v>SI</v>
          </cell>
          <cell r="CB27" t="str">
            <v>SI</v>
          </cell>
          <cell r="CC27" t="str">
            <v>NO</v>
          </cell>
          <cell r="CD27" t="str">
            <v>NO</v>
          </cell>
          <cell r="CE27" t="str">
            <v>SI</v>
          </cell>
          <cell r="CF27" t="str">
            <v>SI</v>
          </cell>
          <cell r="CG27" t="str">
            <v>NO</v>
          </cell>
          <cell r="CH27" t="str">
            <v>NO</v>
          </cell>
          <cell r="CI27" t="str">
            <v>NO</v>
          </cell>
          <cell r="CJ27" t="str">
            <v>NO</v>
          </cell>
          <cell r="CK27" t="str">
            <v>NO</v>
          </cell>
          <cell r="CL27" t="str">
            <v>NO</v>
          </cell>
          <cell r="CM27" t="str">
            <v>SI</v>
          </cell>
          <cell r="CN27" t="str">
            <v>SI</v>
          </cell>
          <cell r="CO27" t="str">
            <v>NO</v>
          </cell>
          <cell r="CP27" t="str">
            <v>SI</v>
          </cell>
          <cell r="CQ27" t="str">
            <v>SI</v>
          </cell>
          <cell r="CR27" t="str">
            <v>SI</v>
          </cell>
          <cell r="CS27" t="str">
            <v>SI</v>
          </cell>
          <cell r="CT27" t="str">
            <v>SI</v>
          </cell>
          <cell r="CU27" t="str">
            <v>SI</v>
          </cell>
          <cell r="CV27" t="str">
            <v>SI</v>
          </cell>
          <cell r="CW27" t="str">
            <v>NO</v>
          </cell>
          <cell r="CX27" t="str">
            <v>SI</v>
          </cell>
          <cell r="CY27" t="str">
            <v>SI</v>
          </cell>
          <cell r="CZ27" t="str">
            <v>SI</v>
          </cell>
          <cell r="DA27" t="str">
            <v>SI</v>
          </cell>
          <cell r="DB27" t="str">
            <v>NO</v>
          </cell>
          <cell r="DC27" t="str">
            <v>SI</v>
          </cell>
          <cell r="DD27" t="str">
            <v>NO</v>
          </cell>
          <cell r="DE27" t="str">
            <v>SI</v>
          </cell>
          <cell r="DF27" t="str">
            <v>NO</v>
          </cell>
          <cell r="DG27" t="str">
            <v>SI</v>
          </cell>
          <cell r="DH27" t="str">
            <v>SI</v>
          </cell>
          <cell r="DI27" t="str">
            <v>SI</v>
          </cell>
          <cell r="DJ27" t="str">
            <v>SI</v>
          </cell>
          <cell r="DK27" t="str">
            <v>SI</v>
          </cell>
          <cell r="DL27" t="str">
            <v>SI</v>
          </cell>
          <cell r="DM27" t="str">
            <v>E001002027001</v>
          </cell>
          <cell r="DN27" t="str">
            <v>E001002</v>
          </cell>
          <cell r="DO27" t="str">
            <v>Abono a Capital UVR</v>
          </cell>
          <cell r="DP27">
            <v>0.1</v>
          </cell>
          <cell r="DQ27">
            <v>1000000</v>
          </cell>
          <cell r="DR27">
            <v>1300000</v>
          </cell>
          <cell r="DS27">
            <v>3</v>
          </cell>
          <cell r="DT27">
            <v>500</v>
          </cell>
          <cell r="DW27">
            <v>4000</v>
          </cell>
          <cell r="DX27">
            <v>500</v>
          </cell>
          <cell r="DY27">
            <v>5500</v>
          </cell>
          <cell r="DZ27">
            <v>7000</v>
          </cell>
          <cell r="EA27">
            <v>3000</v>
          </cell>
          <cell r="EB27">
            <v>6000</v>
          </cell>
          <cell r="EC27">
            <v>2000</v>
          </cell>
          <cell r="ED27">
            <v>6500</v>
          </cell>
          <cell r="EE27">
            <v>9000</v>
          </cell>
          <cell r="EF27">
            <v>7500</v>
          </cell>
          <cell r="EG27">
            <v>0</v>
          </cell>
          <cell r="EH27">
            <v>8500</v>
          </cell>
          <cell r="EI27">
            <v>9500</v>
          </cell>
          <cell r="EJ27">
            <v>7500</v>
          </cell>
          <cell r="EK27">
            <v>8000</v>
          </cell>
          <cell r="EL27">
            <v>6500</v>
          </cell>
          <cell r="EM27">
            <v>7500</v>
          </cell>
          <cell r="EN27">
            <v>8000</v>
          </cell>
          <cell r="EO27">
            <v>4500</v>
          </cell>
          <cell r="EP27">
            <v>7000</v>
          </cell>
          <cell r="EQ27">
            <v>6500</v>
          </cell>
          <cell r="ER27">
            <v>2500</v>
          </cell>
          <cell r="ES27" t="str">
            <v>NO</v>
          </cell>
          <cell r="ET27">
            <v>1</v>
          </cell>
          <cell r="EU27" t="str">
            <v>SI</v>
          </cell>
          <cell r="EV27" t="str">
            <v>SI</v>
          </cell>
          <cell r="EW27" t="str">
            <v>NO</v>
          </cell>
          <cell r="EX27" t="str">
            <v>NO</v>
          </cell>
          <cell r="EY27" t="str">
            <v>NO</v>
          </cell>
          <cell r="EZ27" t="str">
            <v>NO</v>
          </cell>
          <cell r="FA27" t="str">
            <v>SI</v>
          </cell>
          <cell r="FB27" t="str">
            <v>SI</v>
          </cell>
          <cell r="FC27">
            <v>1684</v>
          </cell>
          <cell r="FD27">
            <v>359</v>
          </cell>
          <cell r="FE27">
            <v>630</v>
          </cell>
          <cell r="FF27">
            <v>1710</v>
          </cell>
          <cell r="FG27">
            <v>2153</v>
          </cell>
          <cell r="FH27">
            <v>1823</v>
          </cell>
          <cell r="FI27">
            <v>1251</v>
          </cell>
          <cell r="FJ27">
            <v>2206</v>
          </cell>
          <cell r="FK27">
            <v>1910</v>
          </cell>
          <cell r="FL27">
            <v>984</v>
          </cell>
          <cell r="FM27" t="str">
            <v>SI</v>
          </cell>
          <cell r="FN27" t="str">
            <v>NO</v>
          </cell>
          <cell r="FO27" t="str">
            <v>SI</v>
          </cell>
          <cell r="FP27" t="str">
            <v>SI</v>
          </cell>
          <cell r="FQ27" t="str">
            <v>SI</v>
          </cell>
          <cell r="FR27" t="str">
            <v>SI</v>
          </cell>
          <cell r="FS27">
            <v>172</v>
          </cell>
          <cell r="FW27" t="str">
            <v>Intermedio</v>
          </cell>
          <cell r="FX27" t="str">
            <v>Fisica</v>
          </cell>
          <cell r="FY27">
            <v>6</v>
          </cell>
          <cell r="FZ27">
            <v>130</v>
          </cell>
          <cell r="GA27" t="str">
            <v>NO</v>
          </cell>
          <cell r="GB27" t="str">
            <v>SI</v>
          </cell>
          <cell r="GC27" t="str">
            <v>SI</v>
          </cell>
          <cell r="GD27" t="str">
            <v>NO</v>
          </cell>
          <cell r="GE27" t="str">
            <v>NO</v>
          </cell>
          <cell r="GF27" t="str">
            <v>NO</v>
          </cell>
          <cell r="GG27" t="str">
            <v>NO</v>
          </cell>
        </row>
        <row r="28">
          <cell r="A28" t="str">
            <v>E001002027002</v>
          </cell>
          <cell r="B28" t="str">
            <v>Si</v>
          </cell>
          <cell r="C28">
            <v>839221.81818182301</v>
          </cell>
          <cell r="D28">
            <v>99999999</v>
          </cell>
          <cell r="E28" t="str">
            <v>Ambos</v>
          </cell>
          <cell r="F28">
            <v>25</v>
          </cell>
          <cell r="G28">
            <v>65</v>
          </cell>
          <cell r="H28" t="str">
            <v>SI</v>
          </cell>
          <cell r="I28" t="str">
            <v>SI</v>
          </cell>
          <cell r="J28" t="str">
            <v>SI</v>
          </cell>
          <cell r="AT28">
            <v>21</v>
          </cell>
          <cell r="AU28">
            <v>8</v>
          </cell>
          <cell r="AV28">
            <v>9000</v>
          </cell>
          <cell r="AW28">
            <v>10000</v>
          </cell>
          <cell r="AX28">
            <v>8</v>
          </cell>
          <cell r="AY28">
            <v>9</v>
          </cell>
          <cell r="AZ28" t="str">
            <v>NO</v>
          </cell>
          <cell r="BA28">
            <v>4</v>
          </cell>
          <cell r="BC28" t="str">
            <v>SI</v>
          </cell>
          <cell r="BD28" t="str">
            <v>SI</v>
          </cell>
          <cell r="BE28" t="str">
            <v>SI</v>
          </cell>
          <cell r="BF28" t="str">
            <v>NO</v>
          </cell>
          <cell r="BG28" t="str">
            <v>SI</v>
          </cell>
          <cell r="BH28" t="str">
            <v>NO</v>
          </cell>
          <cell r="BI28" t="str">
            <v>SI</v>
          </cell>
          <cell r="BJ28" t="str">
            <v>NO</v>
          </cell>
          <cell r="BK28" t="str">
            <v>SI</v>
          </cell>
          <cell r="BL28" t="str">
            <v>NO</v>
          </cell>
          <cell r="BM28" t="str">
            <v>SI</v>
          </cell>
          <cell r="BN28" t="str">
            <v>NO</v>
          </cell>
          <cell r="BO28" t="str">
            <v>SI</v>
          </cell>
          <cell r="BP28" t="str">
            <v>NO</v>
          </cell>
          <cell r="BQ28" t="str">
            <v>NO</v>
          </cell>
          <cell r="BR28" t="str">
            <v>NO</v>
          </cell>
          <cell r="BS28" t="str">
            <v>NO</v>
          </cell>
          <cell r="BT28" t="str">
            <v>NO</v>
          </cell>
          <cell r="BU28" t="str">
            <v>SI</v>
          </cell>
          <cell r="BV28" t="str">
            <v>NO</v>
          </cell>
          <cell r="BW28" t="str">
            <v>SI</v>
          </cell>
          <cell r="BX28" t="str">
            <v>NO</v>
          </cell>
          <cell r="BY28" t="str">
            <v>NO</v>
          </cell>
          <cell r="BZ28" t="str">
            <v>NO</v>
          </cell>
          <cell r="CA28" t="str">
            <v>NO</v>
          </cell>
          <cell r="CB28" t="str">
            <v>SI</v>
          </cell>
          <cell r="CC28" t="str">
            <v>NO</v>
          </cell>
          <cell r="CD28" t="str">
            <v>SI</v>
          </cell>
          <cell r="CE28" t="str">
            <v>SI</v>
          </cell>
          <cell r="CF28" t="str">
            <v>SI</v>
          </cell>
          <cell r="CG28" t="str">
            <v>NO</v>
          </cell>
          <cell r="CH28" t="str">
            <v>SI</v>
          </cell>
          <cell r="CI28" t="str">
            <v>NO</v>
          </cell>
          <cell r="CJ28" t="str">
            <v>NO</v>
          </cell>
          <cell r="CK28" t="str">
            <v>NO</v>
          </cell>
          <cell r="CL28" t="str">
            <v>NO</v>
          </cell>
          <cell r="CM28" t="str">
            <v>NO</v>
          </cell>
          <cell r="CN28" t="str">
            <v>NO</v>
          </cell>
          <cell r="CO28" t="str">
            <v>NO</v>
          </cell>
          <cell r="CP28" t="str">
            <v>NO</v>
          </cell>
          <cell r="CQ28" t="str">
            <v>SI</v>
          </cell>
          <cell r="CR28" t="str">
            <v>SI</v>
          </cell>
          <cell r="CS28" t="str">
            <v>NO</v>
          </cell>
          <cell r="CT28" t="str">
            <v>NO</v>
          </cell>
          <cell r="CU28" t="str">
            <v>SI</v>
          </cell>
          <cell r="CV28" t="str">
            <v>NO</v>
          </cell>
          <cell r="CW28" t="str">
            <v>SI</v>
          </cell>
          <cell r="CX28" t="str">
            <v>SI</v>
          </cell>
          <cell r="CY28" t="str">
            <v>SI</v>
          </cell>
          <cell r="CZ28" t="str">
            <v>SI</v>
          </cell>
          <cell r="DA28" t="str">
            <v>NO</v>
          </cell>
          <cell r="DB28" t="str">
            <v>SI</v>
          </cell>
          <cell r="DC28" t="str">
            <v>SI</v>
          </cell>
          <cell r="DD28" t="str">
            <v>NO</v>
          </cell>
          <cell r="DE28" t="str">
            <v>NO</v>
          </cell>
          <cell r="DF28" t="str">
            <v>SI</v>
          </cell>
          <cell r="DG28" t="str">
            <v>SI</v>
          </cell>
          <cell r="DH28" t="str">
            <v>SI</v>
          </cell>
          <cell r="DI28" t="str">
            <v>SI</v>
          </cell>
          <cell r="DJ28" t="str">
            <v>SI</v>
          </cell>
          <cell r="DK28" t="str">
            <v>NO</v>
          </cell>
          <cell r="DL28" t="str">
            <v>NO</v>
          </cell>
          <cell r="DM28" t="str">
            <v>E001002027002</v>
          </cell>
          <cell r="DN28" t="str">
            <v>E001002</v>
          </cell>
          <cell r="DO28" t="str">
            <v>Cuota fija Pesos</v>
          </cell>
          <cell r="DP28">
            <v>0.15</v>
          </cell>
          <cell r="DQ28">
            <v>800000</v>
          </cell>
          <cell r="DR28">
            <v>1300000</v>
          </cell>
          <cell r="DS28">
            <v>3</v>
          </cell>
          <cell r="DT28">
            <v>2500</v>
          </cell>
          <cell r="DW28">
            <v>8000</v>
          </cell>
          <cell r="DX28">
            <v>7500</v>
          </cell>
          <cell r="DY28">
            <v>0</v>
          </cell>
          <cell r="DZ28">
            <v>1500</v>
          </cell>
          <cell r="EA28">
            <v>3000</v>
          </cell>
          <cell r="EB28">
            <v>500</v>
          </cell>
          <cell r="EC28">
            <v>9000</v>
          </cell>
          <cell r="ED28">
            <v>0</v>
          </cell>
          <cell r="EE28">
            <v>7500</v>
          </cell>
          <cell r="EF28">
            <v>5000</v>
          </cell>
          <cell r="EG28">
            <v>7000</v>
          </cell>
          <cell r="EH28">
            <v>7500</v>
          </cell>
          <cell r="EI28">
            <v>4000</v>
          </cell>
          <cell r="EJ28">
            <v>8000</v>
          </cell>
          <cell r="EK28">
            <v>2500</v>
          </cell>
          <cell r="EL28">
            <v>2000</v>
          </cell>
          <cell r="EM28">
            <v>8000</v>
          </cell>
          <cell r="EN28">
            <v>7500</v>
          </cell>
          <cell r="EO28">
            <v>7500</v>
          </cell>
          <cell r="EP28">
            <v>6500</v>
          </cell>
          <cell r="EQ28">
            <v>5000</v>
          </cell>
          <cell r="ER28">
            <v>0</v>
          </cell>
          <cell r="ES28" t="str">
            <v>SI</v>
          </cell>
          <cell r="ET28">
            <v>2</v>
          </cell>
          <cell r="EU28" t="str">
            <v>NO</v>
          </cell>
          <cell r="EV28" t="str">
            <v>SI</v>
          </cell>
          <cell r="EW28" t="str">
            <v>SI</v>
          </cell>
          <cell r="EX28" t="str">
            <v>NO</v>
          </cell>
          <cell r="EY28" t="str">
            <v>SI</v>
          </cell>
          <cell r="EZ28" t="str">
            <v>NO</v>
          </cell>
          <cell r="FA28" t="str">
            <v>NO</v>
          </cell>
          <cell r="FB28" t="str">
            <v>SI</v>
          </cell>
          <cell r="FC28">
            <v>2047</v>
          </cell>
          <cell r="FD28">
            <v>1922</v>
          </cell>
          <cell r="FE28">
            <v>1269</v>
          </cell>
          <cell r="FF28">
            <v>611</v>
          </cell>
          <cell r="FG28">
            <v>1149</v>
          </cell>
          <cell r="FH28">
            <v>500</v>
          </cell>
          <cell r="FI28">
            <v>1040</v>
          </cell>
          <cell r="FJ28">
            <v>2004</v>
          </cell>
          <cell r="FK28">
            <v>1362</v>
          </cell>
          <cell r="FL28">
            <v>391</v>
          </cell>
          <cell r="FM28" t="str">
            <v>SI</v>
          </cell>
          <cell r="FN28" t="str">
            <v>SI</v>
          </cell>
          <cell r="FO28" t="str">
            <v>NO</v>
          </cell>
          <cell r="FP28" t="str">
            <v>NO</v>
          </cell>
          <cell r="FQ28" t="str">
            <v>SI</v>
          </cell>
          <cell r="FR28" t="str">
            <v>SI</v>
          </cell>
          <cell r="FS28">
            <v>280</v>
          </cell>
          <cell r="FW28" t="str">
            <v>Presencial</v>
          </cell>
          <cell r="FX28" t="str">
            <v>No</v>
          </cell>
          <cell r="FY28">
            <v>6</v>
          </cell>
          <cell r="FZ28">
            <v>95</v>
          </cell>
          <cell r="GA28" t="str">
            <v>SI</v>
          </cell>
          <cell r="GB28" t="str">
            <v>SI</v>
          </cell>
          <cell r="GC28" t="str">
            <v>SI</v>
          </cell>
          <cell r="GD28" t="str">
            <v>SI</v>
          </cell>
          <cell r="GE28" t="str">
            <v>NO</v>
          </cell>
          <cell r="GF28" t="str">
            <v>SI</v>
          </cell>
          <cell r="GG28" t="str">
            <v>NO</v>
          </cell>
        </row>
        <row r="29">
          <cell r="A29" t="str">
            <v>E001002027003</v>
          </cell>
          <cell r="B29" t="str">
            <v>Si</v>
          </cell>
          <cell r="C29">
            <v>778615.75757576199</v>
          </cell>
          <cell r="D29">
            <v>99999999</v>
          </cell>
          <cell r="E29" t="str">
            <v>Ambos</v>
          </cell>
          <cell r="F29">
            <v>18</v>
          </cell>
          <cell r="G29">
            <v>65</v>
          </cell>
          <cell r="H29" t="str">
            <v>SI</v>
          </cell>
          <cell r="I29" t="str">
            <v>SI</v>
          </cell>
          <cell r="J29" t="str">
            <v>SI</v>
          </cell>
          <cell r="AT29">
            <v>21</v>
          </cell>
          <cell r="AU29">
            <v>10</v>
          </cell>
          <cell r="AV29">
            <v>10000</v>
          </cell>
          <cell r="AW29">
            <v>15000</v>
          </cell>
          <cell r="AX29">
            <v>1</v>
          </cell>
          <cell r="AY29">
            <v>14</v>
          </cell>
          <cell r="AZ29" t="str">
            <v>SI</v>
          </cell>
          <cell r="BA29">
            <v>3</v>
          </cell>
          <cell r="BC29" t="str">
            <v>SI</v>
          </cell>
          <cell r="BD29" t="str">
            <v>SI</v>
          </cell>
          <cell r="BE29" t="str">
            <v>SI</v>
          </cell>
          <cell r="BF29" t="str">
            <v>SI</v>
          </cell>
          <cell r="BG29" t="str">
            <v>SI</v>
          </cell>
          <cell r="BH29" t="str">
            <v>NO</v>
          </cell>
          <cell r="BI29" t="str">
            <v>SI</v>
          </cell>
          <cell r="BJ29" t="str">
            <v>NO</v>
          </cell>
          <cell r="BK29" t="str">
            <v>SI</v>
          </cell>
          <cell r="BL29" t="str">
            <v>NO</v>
          </cell>
          <cell r="BM29" t="str">
            <v>SI</v>
          </cell>
          <cell r="BN29" t="str">
            <v>NO</v>
          </cell>
          <cell r="BO29" t="str">
            <v>SI</v>
          </cell>
          <cell r="BP29" t="str">
            <v>NO</v>
          </cell>
          <cell r="BQ29" t="str">
            <v>NO</v>
          </cell>
          <cell r="BR29" t="str">
            <v>SI</v>
          </cell>
          <cell r="BS29" t="str">
            <v>SI</v>
          </cell>
          <cell r="BT29" t="str">
            <v>SI</v>
          </cell>
          <cell r="BU29" t="str">
            <v>NO</v>
          </cell>
          <cell r="BV29" t="str">
            <v>SI</v>
          </cell>
          <cell r="BW29" t="str">
            <v>SI</v>
          </cell>
          <cell r="BX29" t="str">
            <v>NO</v>
          </cell>
          <cell r="BY29" t="str">
            <v>NO</v>
          </cell>
          <cell r="BZ29" t="str">
            <v>SI</v>
          </cell>
          <cell r="CA29" t="str">
            <v>NO</v>
          </cell>
          <cell r="CB29" t="str">
            <v>NO</v>
          </cell>
          <cell r="CC29" t="str">
            <v>NO</v>
          </cell>
          <cell r="CD29" t="str">
            <v>SI</v>
          </cell>
          <cell r="CE29" t="str">
            <v>SI</v>
          </cell>
          <cell r="CF29" t="str">
            <v>SI</v>
          </cell>
          <cell r="CG29" t="str">
            <v>NO</v>
          </cell>
          <cell r="CH29" t="str">
            <v>SI</v>
          </cell>
          <cell r="CI29" t="str">
            <v>SI</v>
          </cell>
          <cell r="CJ29" t="str">
            <v>SI</v>
          </cell>
          <cell r="CK29" t="str">
            <v>NO</v>
          </cell>
          <cell r="CL29" t="str">
            <v>NO</v>
          </cell>
          <cell r="CM29" t="str">
            <v>NO</v>
          </cell>
          <cell r="CN29" t="str">
            <v>NO</v>
          </cell>
          <cell r="CO29" t="str">
            <v>NO</v>
          </cell>
          <cell r="CP29" t="str">
            <v>NO</v>
          </cell>
          <cell r="CQ29" t="str">
            <v>SI</v>
          </cell>
          <cell r="CR29" t="str">
            <v>SI</v>
          </cell>
          <cell r="CS29" t="str">
            <v>NO</v>
          </cell>
          <cell r="CT29" t="str">
            <v>NO</v>
          </cell>
          <cell r="CU29" t="str">
            <v>SI</v>
          </cell>
          <cell r="CV29" t="str">
            <v>NO</v>
          </cell>
          <cell r="CW29" t="str">
            <v>SI</v>
          </cell>
          <cell r="CX29" t="str">
            <v>SI</v>
          </cell>
          <cell r="CY29" t="str">
            <v>SI</v>
          </cell>
          <cell r="CZ29" t="str">
            <v>SI</v>
          </cell>
          <cell r="DA29" t="str">
            <v>NO</v>
          </cell>
          <cell r="DB29" t="str">
            <v>SI</v>
          </cell>
          <cell r="DC29" t="str">
            <v>SI</v>
          </cell>
          <cell r="DD29" t="str">
            <v>NO</v>
          </cell>
          <cell r="DE29" t="str">
            <v>SI</v>
          </cell>
          <cell r="DF29" t="str">
            <v>SI</v>
          </cell>
          <cell r="DG29" t="str">
            <v>SI</v>
          </cell>
          <cell r="DH29" t="str">
            <v>SI</v>
          </cell>
          <cell r="DI29" t="str">
            <v>NO</v>
          </cell>
          <cell r="DJ29" t="str">
            <v>SI</v>
          </cell>
          <cell r="DK29" t="str">
            <v>NO</v>
          </cell>
          <cell r="DL29" t="str">
            <v>NO</v>
          </cell>
          <cell r="DM29" t="str">
            <v>E001002027003</v>
          </cell>
          <cell r="DN29" t="str">
            <v>E001002</v>
          </cell>
          <cell r="DO29" t="str">
            <v>Abono a Capital Pesos</v>
          </cell>
          <cell r="DP29">
            <v>0.16</v>
          </cell>
          <cell r="DQ29">
            <v>1600000</v>
          </cell>
          <cell r="DR29">
            <v>1100000</v>
          </cell>
          <cell r="DS29">
            <v>1</v>
          </cell>
          <cell r="DT29">
            <v>8000</v>
          </cell>
          <cell r="DW29">
            <v>9500</v>
          </cell>
          <cell r="DX29">
            <v>1500</v>
          </cell>
          <cell r="DY29">
            <v>1000</v>
          </cell>
          <cell r="DZ29">
            <v>5000</v>
          </cell>
          <cell r="EA29">
            <v>4000</v>
          </cell>
          <cell r="EB29">
            <v>10000</v>
          </cell>
          <cell r="EC29">
            <v>3500</v>
          </cell>
          <cell r="ED29">
            <v>6000</v>
          </cell>
          <cell r="EE29">
            <v>6000</v>
          </cell>
          <cell r="EF29">
            <v>6500</v>
          </cell>
          <cell r="EG29">
            <v>2500</v>
          </cell>
          <cell r="EH29">
            <v>500</v>
          </cell>
          <cell r="EI29">
            <v>6000</v>
          </cell>
          <cell r="EJ29">
            <v>1500</v>
          </cell>
          <cell r="EK29">
            <v>7000</v>
          </cell>
          <cell r="EL29">
            <v>4000</v>
          </cell>
          <cell r="EM29">
            <v>3000</v>
          </cell>
          <cell r="EN29">
            <v>2500</v>
          </cell>
          <cell r="EO29">
            <v>3000</v>
          </cell>
          <cell r="EP29">
            <v>7500</v>
          </cell>
          <cell r="EQ29">
            <v>7500</v>
          </cell>
          <cell r="ER29">
            <v>0</v>
          </cell>
          <cell r="ES29" t="str">
            <v>NO</v>
          </cell>
          <cell r="ET29">
            <v>2</v>
          </cell>
          <cell r="EU29" t="str">
            <v>SI</v>
          </cell>
          <cell r="EV29" t="str">
            <v>SI</v>
          </cell>
          <cell r="EW29" t="str">
            <v>NO</v>
          </cell>
          <cell r="EX29" t="str">
            <v>SI</v>
          </cell>
          <cell r="EY29" t="str">
            <v>SI</v>
          </cell>
          <cell r="EZ29" t="str">
            <v>NO</v>
          </cell>
          <cell r="FA29" t="str">
            <v>NO</v>
          </cell>
          <cell r="FB29" t="str">
            <v>SI</v>
          </cell>
          <cell r="FC29">
            <v>1343</v>
          </cell>
          <cell r="FD29">
            <v>1354</v>
          </cell>
          <cell r="FE29">
            <v>1191</v>
          </cell>
          <cell r="FF29">
            <v>1001</v>
          </cell>
          <cell r="FG29">
            <v>2188</v>
          </cell>
          <cell r="FH29">
            <v>1065</v>
          </cell>
          <cell r="FI29">
            <v>1786</v>
          </cell>
          <cell r="FJ29">
            <v>1519</v>
          </cell>
          <cell r="FK29">
            <v>1937</v>
          </cell>
          <cell r="FL29">
            <v>1235</v>
          </cell>
          <cell r="FM29" t="str">
            <v>NO</v>
          </cell>
          <cell r="FN29" t="str">
            <v>NO</v>
          </cell>
          <cell r="FO29" t="str">
            <v>SI</v>
          </cell>
          <cell r="FP29" t="str">
            <v>NO</v>
          </cell>
          <cell r="FQ29" t="str">
            <v>NO</v>
          </cell>
          <cell r="FR29" t="str">
            <v>NO</v>
          </cell>
          <cell r="FS29">
            <v>0</v>
          </cell>
          <cell r="FW29" t="str">
            <v>Intermedio</v>
          </cell>
          <cell r="FX29" t="str">
            <v>Virtual</v>
          </cell>
          <cell r="FY29">
            <v>4</v>
          </cell>
          <cell r="FZ29">
            <v>57</v>
          </cell>
          <cell r="GA29" t="str">
            <v>NO</v>
          </cell>
          <cell r="GB29" t="str">
            <v>NO</v>
          </cell>
          <cell r="GC29" t="str">
            <v>NO</v>
          </cell>
          <cell r="GD29" t="str">
            <v>SI</v>
          </cell>
          <cell r="GE29" t="str">
            <v>SI</v>
          </cell>
          <cell r="GF29" t="str">
            <v>NO</v>
          </cell>
          <cell r="GG29" t="str">
            <v>SI</v>
          </cell>
        </row>
        <row r="30">
          <cell r="A30" t="str">
            <v>E001002027004</v>
          </cell>
          <cell r="B30" t="str">
            <v>No</v>
          </cell>
          <cell r="C30">
            <v>718009.69696970202</v>
          </cell>
          <cell r="D30">
            <v>99999999</v>
          </cell>
          <cell r="E30" t="str">
            <v>Ambos</v>
          </cell>
          <cell r="F30">
            <v>18</v>
          </cell>
          <cell r="G30">
            <v>65</v>
          </cell>
          <cell r="H30" t="str">
            <v>NO</v>
          </cell>
          <cell r="I30" t="str">
            <v>SI</v>
          </cell>
          <cell r="J30" t="str">
            <v>SI</v>
          </cell>
          <cell r="AT30">
            <v>4</v>
          </cell>
          <cell r="AU30">
            <v>12</v>
          </cell>
          <cell r="AV30">
            <v>15000</v>
          </cell>
          <cell r="AW30">
            <v>15000</v>
          </cell>
          <cell r="AX30">
            <v>12</v>
          </cell>
          <cell r="AY30">
            <v>1</v>
          </cell>
          <cell r="AZ30" t="str">
            <v>SI</v>
          </cell>
          <cell r="BA30">
            <v>1</v>
          </cell>
          <cell r="BC30" t="str">
            <v>NO</v>
          </cell>
          <cell r="BD30" t="str">
            <v>NO</v>
          </cell>
          <cell r="BE30" t="str">
            <v>SI</v>
          </cell>
          <cell r="BF30" t="str">
            <v>SI</v>
          </cell>
          <cell r="BG30" t="str">
            <v>SI</v>
          </cell>
          <cell r="BH30" t="str">
            <v>NO</v>
          </cell>
          <cell r="BI30" t="str">
            <v>SI</v>
          </cell>
          <cell r="BJ30" t="str">
            <v>NO</v>
          </cell>
          <cell r="BK30" t="str">
            <v>SI</v>
          </cell>
          <cell r="BL30" t="str">
            <v>NO</v>
          </cell>
          <cell r="BM30" t="str">
            <v>NO</v>
          </cell>
          <cell r="BN30" t="str">
            <v>NO</v>
          </cell>
          <cell r="BO30" t="str">
            <v>SI</v>
          </cell>
          <cell r="BP30" t="str">
            <v>SI</v>
          </cell>
          <cell r="BQ30" t="str">
            <v>NO</v>
          </cell>
          <cell r="BR30" t="str">
            <v>NO</v>
          </cell>
          <cell r="BS30" t="str">
            <v>NO</v>
          </cell>
          <cell r="BT30" t="str">
            <v>NO</v>
          </cell>
          <cell r="BU30" t="str">
            <v>SI</v>
          </cell>
          <cell r="BV30" t="str">
            <v>NO</v>
          </cell>
          <cell r="BW30" t="str">
            <v>NO</v>
          </cell>
          <cell r="BX30" t="str">
            <v>NO</v>
          </cell>
          <cell r="BY30" t="str">
            <v>NO</v>
          </cell>
          <cell r="BZ30" t="str">
            <v>NO</v>
          </cell>
          <cell r="CA30" t="str">
            <v>SI</v>
          </cell>
          <cell r="CB30" t="str">
            <v>SI</v>
          </cell>
          <cell r="CC30" t="str">
            <v>SI</v>
          </cell>
          <cell r="CD30" t="str">
            <v>SI</v>
          </cell>
          <cell r="CE30" t="str">
            <v>SI</v>
          </cell>
          <cell r="CF30" t="str">
            <v>SI</v>
          </cell>
          <cell r="CG30" t="str">
            <v>NO</v>
          </cell>
          <cell r="CH30" t="str">
            <v>SI</v>
          </cell>
          <cell r="CI30" t="str">
            <v>SI</v>
          </cell>
          <cell r="CJ30" t="str">
            <v>NO</v>
          </cell>
          <cell r="CK30" t="str">
            <v>NO</v>
          </cell>
          <cell r="CL30" t="str">
            <v>SI</v>
          </cell>
          <cell r="CM30" t="str">
            <v>NO</v>
          </cell>
          <cell r="CN30" t="str">
            <v>NO</v>
          </cell>
          <cell r="CO30" t="str">
            <v>NO</v>
          </cell>
          <cell r="CP30" t="str">
            <v>NO</v>
          </cell>
          <cell r="CQ30" t="str">
            <v>SI</v>
          </cell>
          <cell r="CR30" t="str">
            <v>SI</v>
          </cell>
          <cell r="CS30" t="str">
            <v>NO</v>
          </cell>
          <cell r="CT30" t="str">
            <v>NO</v>
          </cell>
          <cell r="CU30" t="str">
            <v>SI</v>
          </cell>
          <cell r="CV30" t="str">
            <v>NO</v>
          </cell>
          <cell r="CW30" t="str">
            <v>NO</v>
          </cell>
          <cell r="CX30" t="str">
            <v>SI</v>
          </cell>
          <cell r="CY30" t="str">
            <v>SI</v>
          </cell>
          <cell r="CZ30" t="str">
            <v>SI</v>
          </cell>
          <cell r="DA30" t="str">
            <v>NO</v>
          </cell>
          <cell r="DB30" t="str">
            <v>NO</v>
          </cell>
          <cell r="DC30" t="str">
            <v>SI</v>
          </cell>
          <cell r="DD30" t="str">
            <v>SI</v>
          </cell>
          <cell r="DE30" t="str">
            <v>SI</v>
          </cell>
          <cell r="DF30" t="str">
            <v>SI</v>
          </cell>
          <cell r="DG30" t="str">
            <v>SI</v>
          </cell>
          <cell r="DH30" t="str">
            <v>SI</v>
          </cell>
          <cell r="DI30" t="str">
            <v>SI</v>
          </cell>
          <cell r="DJ30" t="str">
            <v>SI</v>
          </cell>
          <cell r="DK30" t="str">
            <v>SI</v>
          </cell>
          <cell r="DL30" t="str">
            <v>SI</v>
          </cell>
          <cell r="DM30" t="str">
            <v>E001002027004</v>
          </cell>
          <cell r="DN30" t="str">
            <v>E001002</v>
          </cell>
          <cell r="DO30" t="str">
            <v>Cuota fija UVR</v>
          </cell>
          <cell r="DP30">
            <v>0.08</v>
          </cell>
          <cell r="DQ30">
            <v>2500000</v>
          </cell>
          <cell r="DR30">
            <v>600000</v>
          </cell>
          <cell r="DS30">
            <v>1</v>
          </cell>
          <cell r="DT30">
            <v>6500</v>
          </cell>
          <cell r="DW30">
            <v>5500</v>
          </cell>
          <cell r="DX30">
            <v>3500</v>
          </cell>
          <cell r="DY30">
            <v>4500</v>
          </cell>
          <cell r="DZ30">
            <v>10000</v>
          </cell>
          <cell r="EA30">
            <v>9000</v>
          </cell>
          <cell r="EB30">
            <v>4000</v>
          </cell>
          <cell r="EC30">
            <v>5000</v>
          </cell>
          <cell r="ED30">
            <v>4000</v>
          </cell>
          <cell r="EE30">
            <v>8000</v>
          </cell>
          <cell r="EF30">
            <v>8500</v>
          </cell>
          <cell r="EG30">
            <v>3500</v>
          </cell>
          <cell r="EH30">
            <v>6000</v>
          </cell>
          <cell r="EI30">
            <v>5500</v>
          </cell>
          <cell r="EJ30">
            <v>7500</v>
          </cell>
          <cell r="EK30">
            <v>7000</v>
          </cell>
          <cell r="EL30">
            <v>1500</v>
          </cell>
          <cell r="EM30">
            <v>0</v>
          </cell>
          <cell r="EN30">
            <v>5000</v>
          </cell>
          <cell r="EO30">
            <v>4500</v>
          </cell>
          <cell r="EP30">
            <v>7500</v>
          </cell>
          <cell r="EQ30">
            <v>500</v>
          </cell>
          <cell r="ER30">
            <v>5000</v>
          </cell>
          <cell r="ES30" t="str">
            <v>SI</v>
          </cell>
          <cell r="ET30">
            <v>1</v>
          </cell>
          <cell r="EU30" t="str">
            <v>NO</v>
          </cell>
          <cell r="EV30" t="str">
            <v>SI</v>
          </cell>
          <cell r="EW30" t="str">
            <v>NO</v>
          </cell>
          <cell r="EX30" t="str">
            <v>NO</v>
          </cell>
          <cell r="EY30" t="str">
            <v>SI</v>
          </cell>
          <cell r="EZ30" t="str">
            <v>NO</v>
          </cell>
          <cell r="FA30" t="str">
            <v>NO</v>
          </cell>
          <cell r="FB30" t="str">
            <v>NO</v>
          </cell>
          <cell r="FC30">
            <v>1937</v>
          </cell>
          <cell r="FD30">
            <v>1916</v>
          </cell>
          <cell r="FE30">
            <v>1924</v>
          </cell>
          <cell r="FF30">
            <v>586</v>
          </cell>
          <cell r="FG30">
            <v>234</v>
          </cell>
          <cell r="FH30">
            <v>793</v>
          </cell>
          <cell r="FI30">
            <v>504</v>
          </cell>
          <cell r="FJ30">
            <v>2287</v>
          </cell>
          <cell r="FK30">
            <v>2066</v>
          </cell>
          <cell r="FL30">
            <v>2123</v>
          </cell>
          <cell r="FM30" t="str">
            <v>NO</v>
          </cell>
          <cell r="FN30" t="str">
            <v>SI</v>
          </cell>
          <cell r="FO30" t="str">
            <v>SI</v>
          </cell>
          <cell r="FP30" t="str">
            <v>NO</v>
          </cell>
          <cell r="FQ30" t="str">
            <v>SI</v>
          </cell>
          <cell r="FR30" t="str">
            <v>SI</v>
          </cell>
          <cell r="FS30">
            <v>103</v>
          </cell>
          <cell r="FW30" t="str">
            <v>Presencial</v>
          </cell>
          <cell r="FX30" t="str">
            <v>No</v>
          </cell>
          <cell r="FY30">
            <v>6</v>
          </cell>
          <cell r="FZ30">
            <v>158</v>
          </cell>
          <cell r="GA30" t="str">
            <v>SI</v>
          </cell>
          <cell r="GB30" t="str">
            <v>SI</v>
          </cell>
          <cell r="GC30" t="str">
            <v>NO</v>
          </cell>
          <cell r="GD30" t="str">
            <v>NO</v>
          </cell>
          <cell r="GE30" t="str">
            <v>NO</v>
          </cell>
          <cell r="GF30" t="str">
            <v>NO</v>
          </cell>
          <cell r="GG30" t="str">
            <v>SI</v>
          </cell>
        </row>
        <row r="31">
          <cell r="A31" t="str">
            <v>E001013027001</v>
          </cell>
          <cell r="B31" t="str">
            <v>Si</v>
          </cell>
          <cell r="C31">
            <v>657403.63636364299</v>
          </cell>
          <cell r="D31">
            <v>99999999</v>
          </cell>
          <cell r="E31" t="str">
            <v>Ambos</v>
          </cell>
          <cell r="F31">
            <v>30</v>
          </cell>
          <cell r="G31">
            <v>65</v>
          </cell>
          <cell r="H31" t="str">
            <v>SI</v>
          </cell>
          <cell r="I31" t="str">
            <v>SI</v>
          </cell>
          <cell r="J31" t="str">
            <v>SI</v>
          </cell>
          <cell r="AT31">
            <v>4</v>
          </cell>
          <cell r="AU31">
            <v>8</v>
          </cell>
          <cell r="AV31">
            <v>8000</v>
          </cell>
          <cell r="AW31">
            <v>12000</v>
          </cell>
          <cell r="AX31">
            <v>5</v>
          </cell>
          <cell r="AY31">
            <v>2</v>
          </cell>
          <cell r="AZ31" t="str">
            <v>SI</v>
          </cell>
          <cell r="BA31">
            <v>2</v>
          </cell>
          <cell r="BC31" t="str">
            <v>SI</v>
          </cell>
          <cell r="BD31" t="str">
            <v>SI</v>
          </cell>
          <cell r="BE31" t="str">
            <v>SI</v>
          </cell>
          <cell r="BF31" t="str">
            <v>SI</v>
          </cell>
          <cell r="BG31" t="str">
            <v>SI</v>
          </cell>
          <cell r="BH31" t="str">
            <v>NO</v>
          </cell>
          <cell r="BI31" t="str">
            <v>SI</v>
          </cell>
          <cell r="BJ31" t="str">
            <v>SI</v>
          </cell>
          <cell r="BK31" t="str">
            <v>SI</v>
          </cell>
          <cell r="BL31" t="str">
            <v>SI</v>
          </cell>
          <cell r="BM31" t="str">
            <v>SI</v>
          </cell>
          <cell r="BN31" t="str">
            <v>NO</v>
          </cell>
          <cell r="BO31" t="str">
            <v>NO</v>
          </cell>
          <cell r="BP31" t="str">
            <v>NO</v>
          </cell>
          <cell r="BQ31" t="str">
            <v>SI</v>
          </cell>
          <cell r="BR31" t="str">
            <v>NO</v>
          </cell>
          <cell r="BS31" t="str">
            <v>SI</v>
          </cell>
          <cell r="BT31" t="str">
            <v>SI</v>
          </cell>
          <cell r="BU31" t="str">
            <v>SI</v>
          </cell>
          <cell r="BV31" t="str">
            <v>NO</v>
          </cell>
          <cell r="BW31" t="str">
            <v>SI</v>
          </cell>
          <cell r="BX31" t="str">
            <v>NO</v>
          </cell>
          <cell r="BY31" t="str">
            <v>NO</v>
          </cell>
          <cell r="BZ31" t="str">
            <v>SI</v>
          </cell>
          <cell r="CA31" t="str">
            <v>NO</v>
          </cell>
          <cell r="CB31" t="str">
            <v>NO</v>
          </cell>
          <cell r="CC31" t="str">
            <v>NO</v>
          </cell>
          <cell r="CD31" t="str">
            <v>SI</v>
          </cell>
          <cell r="CE31" t="str">
            <v>SI</v>
          </cell>
          <cell r="CF31" t="str">
            <v>SI</v>
          </cell>
          <cell r="CG31" t="str">
            <v>SI</v>
          </cell>
          <cell r="CH31" t="str">
            <v>SI</v>
          </cell>
          <cell r="CI31" t="str">
            <v>NO</v>
          </cell>
          <cell r="CJ31" t="str">
            <v>SI</v>
          </cell>
          <cell r="CK31" t="str">
            <v>NO</v>
          </cell>
          <cell r="CL31" t="str">
            <v>NO</v>
          </cell>
          <cell r="CM31" t="str">
            <v>NO</v>
          </cell>
          <cell r="CN31" t="str">
            <v>NO</v>
          </cell>
          <cell r="CO31" t="str">
            <v>NO</v>
          </cell>
          <cell r="CP31" t="str">
            <v>NO</v>
          </cell>
          <cell r="CQ31" t="str">
            <v>SI</v>
          </cell>
          <cell r="CR31" t="str">
            <v>SI</v>
          </cell>
          <cell r="CS31" t="str">
            <v>NO</v>
          </cell>
          <cell r="CT31" t="str">
            <v>NO</v>
          </cell>
          <cell r="CU31" t="str">
            <v>SI</v>
          </cell>
          <cell r="CV31" t="str">
            <v>NO</v>
          </cell>
          <cell r="CW31" t="str">
            <v>SI</v>
          </cell>
          <cell r="CX31" t="str">
            <v>NO</v>
          </cell>
          <cell r="CY31" t="str">
            <v>NO</v>
          </cell>
          <cell r="CZ31" t="str">
            <v>NO</v>
          </cell>
          <cell r="DA31" t="str">
            <v>NO</v>
          </cell>
          <cell r="DB31" t="str">
            <v>SI</v>
          </cell>
          <cell r="DC31" t="str">
            <v>NO</v>
          </cell>
          <cell r="DD31" t="str">
            <v>SI</v>
          </cell>
          <cell r="DE31" t="str">
            <v>NO</v>
          </cell>
          <cell r="DF31" t="str">
            <v>SI</v>
          </cell>
          <cell r="DG31" t="str">
            <v>SI</v>
          </cell>
          <cell r="DH31" t="str">
            <v>SI</v>
          </cell>
          <cell r="DI31" t="str">
            <v>SI</v>
          </cell>
          <cell r="DJ31" t="str">
            <v>SI</v>
          </cell>
          <cell r="DK31" t="str">
            <v>NO</v>
          </cell>
          <cell r="DL31" t="str">
            <v>NO</v>
          </cell>
          <cell r="DM31" t="str">
            <v>E001013027001</v>
          </cell>
          <cell r="DN31" t="str">
            <v>E001003</v>
          </cell>
          <cell r="DO31" t="str">
            <v>Cuota Decreciente mensualmete UVR</v>
          </cell>
          <cell r="DP31">
            <v>0.09</v>
          </cell>
          <cell r="DQ31">
            <v>1000000</v>
          </cell>
          <cell r="DR31">
            <v>700000</v>
          </cell>
          <cell r="DS31">
            <v>3</v>
          </cell>
          <cell r="DT31">
            <v>500</v>
          </cell>
          <cell r="DW31">
            <v>2500</v>
          </cell>
          <cell r="DX31">
            <v>6000</v>
          </cell>
          <cell r="DY31">
            <v>7000</v>
          </cell>
          <cell r="DZ31">
            <v>3500</v>
          </cell>
          <cell r="EA31">
            <v>3500</v>
          </cell>
          <cell r="EB31">
            <v>0</v>
          </cell>
          <cell r="EC31">
            <v>0</v>
          </cell>
          <cell r="ED31">
            <v>1000</v>
          </cell>
          <cell r="EE31">
            <v>2500</v>
          </cell>
          <cell r="EF31">
            <v>3000</v>
          </cell>
          <cell r="EG31">
            <v>5000</v>
          </cell>
          <cell r="EH31">
            <v>0</v>
          </cell>
          <cell r="EI31">
            <v>2000</v>
          </cell>
          <cell r="EJ31">
            <v>9500</v>
          </cell>
          <cell r="EK31">
            <v>7500</v>
          </cell>
          <cell r="EL31">
            <v>9000</v>
          </cell>
          <cell r="EM31">
            <v>1500</v>
          </cell>
          <cell r="EN31">
            <v>10000</v>
          </cell>
          <cell r="EO31">
            <v>10000</v>
          </cell>
          <cell r="EP31">
            <v>6000</v>
          </cell>
          <cell r="EQ31">
            <v>8500</v>
          </cell>
          <cell r="ER31">
            <v>500</v>
          </cell>
          <cell r="ES31" t="str">
            <v>NO</v>
          </cell>
          <cell r="ET31">
            <v>6</v>
          </cell>
          <cell r="EU31" t="str">
            <v>SI</v>
          </cell>
          <cell r="EV31" t="str">
            <v>NO</v>
          </cell>
          <cell r="EW31" t="str">
            <v>SI</v>
          </cell>
          <cell r="EX31" t="str">
            <v>SI</v>
          </cell>
          <cell r="EY31" t="str">
            <v>SI</v>
          </cell>
          <cell r="EZ31" t="str">
            <v>SI</v>
          </cell>
          <cell r="FA31" t="str">
            <v>SI</v>
          </cell>
          <cell r="FB31" t="str">
            <v>SI</v>
          </cell>
          <cell r="FC31">
            <v>1236</v>
          </cell>
          <cell r="FD31">
            <v>1794</v>
          </cell>
          <cell r="FE31">
            <v>1628</v>
          </cell>
          <cell r="FF31">
            <v>330</v>
          </cell>
          <cell r="FG31">
            <v>741</v>
          </cell>
          <cell r="FH31">
            <v>847</v>
          </cell>
          <cell r="FI31">
            <v>211</v>
          </cell>
          <cell r="FJ31">
            <v>1340</v>
          </cell>
          <cell r="FK31">
            <v>1183</v>
          </cell>
          <cell r="FL31">
            <v>1507</v>
          </cell>
          <cell r="FM31" t="str">
            <v>SI</v>
          </cell>
          <cell r="FN31" t="str">
            <v>SI</v>
          </cell>
          <cell r="FO31" t="str">
            <v>SI</v>
          </cell>
          <cell r="FP31" t="str">
            <v>NO</v>
          </cell>
          <cell r="FQ31" t="str">
            <v>SI</v>
          </cell>
          <cell r="FR31" t="str">
            <v>NO</v>
          </cell>
          <cell r="FS31">
            <v>0</v>
          </cell>
          <cell r="FW31" t="str">
            <v>Virtual</v>
          </cell>
          <cell r="FX31" t="str">
            <v>No</v>
          </cell>
          <cell r="FY31">
            <v>3</v>
          </cell>
          <cell r="FZ31">
            <v>87</v>
          </cell>
          <cell r="GA31" t="str">
            <v>SI</v>
          </cell>
          <cell r="GB31" t="str">
            <v>SI</v>
          </cell>
          <cell r="GC31" t="str">
            <v>NO</v>
          </cell>
          <cell r="GD31" t="str">
            <v>NO</v>
          </cell>
          <cell r="GE31" t="str">
            <v>NO</v>
          </cell>
          <cell r="GF31" t="str">
            <v>SI</v>
          </cell>
          <cell r="GG31" t="str">
            <v>SI</v>
          </cell>
        </row>
        <row r="32">
          <cell r="A32" t="str">
            <v>E001013027002</v>
          </cell>
          <cell r="B32" t="str">
            <v>Si</v>
          </cell>
          <cell r="C32">
            <v>596797.57575757196</v>
          </cell>
          <cell r="D32">
            <v>99999999</v>
          </cell>
          <cell r="E32" t="str">
            <v>Ambos</v>
          </cell>
          <cell r="F32">
            <v>18</v>
          </cell>
          <cell r="G32">
            <v>65</v>
          </cell>
          <cell r="H32" t="str">
            <v>SI</v>
          </cell>
          <cell r="I32" t="str">
            <v>SI</v>
          </cell>
          <cell r="J32" t="str">
            <v>SI</v>
          </cell>
          <cell r="AT32">
            <v>21</v>
          </cell>
          <cell r="AU32">
            <v>8</v>
          </cell>
          <cell r="AV32">
            <v>10000</v>
          </cell>
          <cell r="AW32">
            <v>15000</v>
          </cell>
          <cell r="AX32">
            <v>2</v>
          </cell>
          <cell r="AY32">
            <v>5</v>
          </cell>
          <cell r="AZ32" t="str">
            <v>NO</v>
          </cell>
          <cell r="BA32">
            <v>2</v>
          </cell>
          <cell r="BC32" t="str">
            <v>NO</v>
          </cell>
          <cell r="BD32" t="str">
            <v>NO</v>
          </cell>
          <cell r="BE32" t="str">
            <v>SI</v>
          </cell>
          <cell r="BF32" t="str">
            <v>SI</v>
          </cell>
          <cell r="BG32" t="str">
            <v>SI</v>
          </cell>
          <cell r="BH32" t="str">
            <v>SI</v>
          </cell>
          <cell r="BI32" t="str">
            <v>SI</v>
          </cell>
          <cell r="BJ32" t="str">
            <v>NO</v>
          </cell>
          <cell r="BK32" t="str">
            <v>SI</v>
          </cell>
          <cell r="BL32" t="str">
            <v>NO</v>
          </cell>
          <cell r="BM32" t="str">
            <v>NO</v>
          </cell>
          <cell r="BN32" t="str">
            <v>NO</v>
          </cell>
          <cell r="BO32" t="str">
            <v>SI</v>
          </cell>
          <cell r="BP32" t="str">
            <v>NO</v>
          </cell>
          <cell r="BQ32" t="str">
            <v>NO</v>
          </cell>
          <cell r="BR32" t="str">
            <v>NO</v>
          </cell>
          <cell r="BS32" t="str">
            <v>SI</v>
          </cell>
          <cell r="BT32" t="str">
            <v>SI</v>
          </cell>
          <cell r="BU32" t="str">
            <v>SI</v>
          </cell>
          <cell r="BV32" t="str">
            <v>SI</v>
          </cell>
          <cell r="BW32" t="str">
            <v>SI</v>
          </cell>
          <cell r="BX32" t="str">
            <v>SI</v>
          </cell>
          <cell r="BY32" t="str">
            <v>SI</v>
          </cell>
          <cell r="BZ32" t="str">
            <v>NO</v>
          </cell>
          <cell r="CA32" t="str">
            <v>SI</v>
          </cell>
          <cell r="CB32" t="str">
            <v>SI</v>
          </cell>
          <cell r="CC32" t="str">
            <v>SI</v>
          </cell>
          <cell r="CD32" t="str">
            <v>SI</v>
          </cell>
          <cell r="CE32" t="str">
            <v>SI</v>
          </cell>
          <cell r="CF32" t="str">
            <v>SI</v>
          </cell>
          <cell r="CG32" t="str">
            <v>NO</v>
          </cell>
          <cell r="CH32" t="str">
            <v>SI</v>
          </cell>
          <cell r="CI32" t="str">
            <v>SI</v>
          </cell>
          <cell r="CJ32" t="str">
            <v>NO</v>
          </cell>
          <cell r="CK32" t="str">
            <v>NO</v>
          </cell>
          <cell r="CL32" t="str">
            <v>SI</v>
          </cell>
          <cell r="CM32" t="str">
            <v>NO</v>
          </cell>
          <cell r="CN32" t="str">
            <v>NO</v>
          </cell>
          <cell r="CO32" t="str">
            <v>NO</v>
          </cell>
          <cell r="CP32" t="str">
            <v>NO</v>
          </cell>
          <cell r="CQ32" t="str">
            <v>SI</v>
          </cell>
          <cell r="CR32" t="str">
            <v>SI</v>
          </cell>
          <cell r="CS32" t="str">
            <v>NO</v>
          </cell>
          <cell r="CT32" t="str">
            <v>NO</v>
          </cell>
          <cell r="CU32" t="str">
            <v>SI</v>
          </cell>
          <cell r="CV32" t="str">
            <v>NO</v>
          </cell>
          <cell r="CW32" t="str">
            <v>NO</v>
          </cell>
          <cell r="CX32" t="str">
            <v>SI</v>
          </cell>
          <cell r="CY32" t="str">
            <v>NO</v>
          </cell>
          <cell r="CZ32" t="str">
            <v>SI</v>
          </cell>
          <cell r="DA32" t="str">
            <v>NO</v>
          </cell>
          <cell r="DB32" t="str">
            <v>NO</v>
          </cell>
          <cell r="DC32" t="str">
            <v>SI</v>
          </cell>
          <cell r="DD32" t="str">
            <v>NO</v>
          </cell>
          <cell r="DE32" t="str">
            <v>SI</v>
          </cell>
          <cell r="DF32" t="str">
            <v>SI</v>
          </cell>
          <cell r="DG32" t="str">
            <v>NO</v>
          </cell>
          <cell r="DH32" t="str">
            <v>NO</v>
          </cell>
          <cell r="DI32" t="str">
            <v>NO</v>
          </cell>
          <cell r="DJ32" t="str">
            <v>NO</v>
          </cell>
          <cell r="DK32" t="str">
            <v>SI</v>
          </cell>
          <cell r="DL32" t="str">
            <v>SI</v>
          </cell>
          <cell r="DM32" t="str">
            <v>E001013027002</v>
          </cell>
          <cell r="DN32" t="str">
            <v>E001003</v>
          </cell>
          <cell r="DO32" t="str">
            <v>Cuota fija Pesos</v>
          </cell>
          <cell r="DP32">
            <v>0.11</v>
          </cell>
          <cell r="DQ32">
            <v>2100000</v>
          </cell>
          <cell r="DR32">
            <v>1600000</v>
          </cell>
          <cell r="DS32">
            <v>3</v>
          </cell>
          <cell r="DT32">
            <v>2000</v>
          </cell>
          <cell r="DW32">
            <v>9000</v>
          </cell>
          <cell r="DX32">
            <v>1000</v>
          </cell>
          <cell r="DY32">
            <v>3000</v>
          </cell>
          <cell r="DZ32">
            <v>6500</v>
          </cell>
          <cell r="EA32">
            <v>3000</v>
          </cell>
          <cell r="EB32">
            <v>3000</v>
          </cell>
          <cell r="EC32">
            <v>9000</v>
          </cell>
          <cell r="ED32">
            <v>8500</v>
          </cell>
          <cell r="EE32">
            <v>3500</v>
          </cell>
          <cell r="EF32">
            <v>9000</v>
          </cell>
          <cell r="EG32">
            <v>2500</v>
          </cell>
          <cell r="EH32">
            <v>5000</v>
          </cell>
          <cell r="EI32">
            <v>9500</v>
          </cell>
          <cell r="EJ32">
            <v>6000</v>
          </cell>
          <cell r="EK32">
            <v>1500</v>
          </cell>
          <cell r="EL32">
            <v>5500</v>
          </cell>
          <cell r="EM32">
            <v>4000</v>
          </cell>
          <cell r="EN32">
            <v>4000</v>
          </cell>
          <cell r="EO32">
            <v>500</v>
          </cell>
          <cell r="EP32">
            <v>4000</v>
          </cell>
          <cell r="EQ32">
            <v>9500</v>
          </cell>
          <cell r="ER32">
            <v>5000</v>
          </cell>
          <cell r="ES32" t="str">
            <v>NO</v>
          </cell>
          <cell r="ET32">
            <v>30</v>
          </cell>
          <cell r="EU32" t="str">
            <v>NO</v>
          </cell>
          <cell r="EV32" t="str">
            <v>SI</v>
          </cell>
          <cell r="EW32" t="str">
            <v>SI</v>
          </cell>
          <cell r="EX32" t="str">
            <v>NO</v>
          </cell>
          <cell r="EY32" t="str">
            <v>NO</v>
          </cell>
          <cell r="EZ32" t="str">
            <v>SI</v>
          </cell>
          <cell r="FA32" t="str">
            <v>SI</v>
          </cell>
          <cell r="FB32" t="str">
            <v>NO</v>
          </cell>
          <cell r="FC32">
            <v>1454</v>
          </cell>
          <cell r="FD32">
            <v>1011</v>
          </cell>
          <cell r="FE32">
            <v>1265</v>
          </cell>
          <cell r="FF32">
            <v>1881</v>
          </cell>
          <cell r="FG32">
            <v>1055</v>
          </cell>
          <cell r="FH32">
            <v>1262</v>
          </cell>
          <cell r="FI32">
            <v>431</v>
          </cell>
          <cell r="FJ32">
            <v>802</v>
          </cell>
          <cell r="FK32">
            <v>1708</v>
          </cell>
          <cell r="FL32">
            <v>2019</v>
          </cell>
          <cell r="FM32" t="str">
            <v>SI</v>
          </cell>
          <cell r="FN32" t="str">
            <v>SI</v>
          </cell>
          <cell r="FO32" t="str">
            <v>SI</v>
          </cell>
          <cell r="FP32" t="str">
            <v>NO</v>
          </cell>
          <cell r="FQ32" t="str">
            <v>NO</v>
          </cell>
          <cell r="FR32" t="str">
            <v>SI</v>
          </cell>
          <cell r="FS32">
            <v>29</v>
          </cell>
          <cell r="FW32" t="str">
            <v>Presencial</v>
          </cell>
          <cell r="FX32" t="str">
            <v>Virtual</v>
          </cell>
          <cell r="FY32">
            <v>5</v>
          </cell>
          <cell r="FZ32">
            <v>108</v>
          </cell>
          <cell r="GA32" t="str">
            <v>SI</v>
          </cell>
          <cell r="GB32" t="str">
            <v>SI</v>
          </cell>
          <cell r="GC32" t="str">
            <v>SI</v>
          </cell>
          <cell r="GD32" t="str">
            <v>NO</v>
          </cell>
          <cell r="GE32" t="str">
            <v>NO</v>
          </cell>
          <cell r="GF32" t="str">
            <v>SI</v>
          </cell>
          <cell r="GG32" t="str">
            <v>SI</v>
          </cell>
        </row>
        <row r="33">
          <cell r="A33" t="str">
            <v>E001013027003</v>
          </cell>
          <cell r="B33" t="str">
            <v>Si</v>
          </cell>
          <cell r="C33">
            <v>536191.51515151304</v>
          </cell>
          <cell r="D33">
            <v>99999999</v>
          </cell>
          <cell r="E33" t="str">
            <v>Ambos</v>
          </cell>
          <cell r="F33">
            <v>25</v>
          </cell>
          <cell r="G33">
            <v>65</v>
          </cell>
          <cell r="H33" t="str">
            <v>SI</v>
          </cell>
          <cell r="I33" t="str">
            <v>SI</v>
          </cell>
          <cell r="J33" t="str">
            <v>SI</v>
          </cell>
          <cell r="AT33">
            <v>23</v>
          </cell>
          <cell r="AU33">
            <v>6</v>
          </cell>
          <cell r="AV33">
            <v>15000</v>
          </cell>
          <cell r="AW33">
            <v>15000</v>
          </cell>
          <cell r="AX33">
            <v>1</v>
          </cell>
          <cell r="AY33">
            <v>3</v>
          </cell>
          <cell r="AZ33" t="str">
            <v>SI</v>
          </cell>
          <cell r="BA33">
            <v>2</v>
          </cell>
          <cell r="BC33" t="str">
            <v>NO</v>
          </cell>
          <cell r="BD33" t="str">
            <v>SI</v>
          </cell>
          <cell r="BE33" t="str">
            <v>NO</v>
          </cell>
          <cell r="BF33" t="str">
            <v>NO</v>
          </cell>
          <cell r="BG33" t="str">
            <v>NO</v>
          </cell>
          <cell r="BH33" t="str">
            <v>NO</v>
          </cell>
          <cell r="BI33" t="str">
            <v>NO</v>
          </cell>
          <cell r="BJ33" t="str">
            <v>SI</v>
          </cell>
          <cell r="BK33" t="str">
            <v>NO</v>
          </cell>
          <cell r="BL33" t="str">
            <v>SI</v>
          </cell>
          <cell r="BM33" t="str">
            <v>SI</v>
          </cell>
          <cell r="BN33" t="str">
            <v>NO</v>
          </cell>
          <cell r="BO33" t="str">
            <v>SI</v>
          </cell>
          <cell r="BP33" t="str">
            <v>SI</v>
          </cell>
          <cell r="BQ33" t="str">
            <v>NO</v>
          </cell>
          <cell r="BR33" t="str">
            <v>NO</v>
          </cell>
          <cell r="BS33" t="str">
            <v>SI</v>
          </cell>
          <cell r="BT33" t="str">
            <v>NO</v>
          </cell>
          <cell r="BU33" t="str">
            <v>NO</v>
          </cell>
          <cell r="BV33" t="str">
            <v>SI</v>
          </cell>
          <cell r="BW33" t="str">
            <v>SI</v>
          </cell>
          <cell r="BX33" t="str">
            <v>NO</v>
          </cell>
          <cell r="BY33" t="str">
            <v>NO</v>
          </cell>
          <cell r="BZ33" t="str">
            <v>SI</v>
          </cell>
          <cell r="CA33" t="str">
            <v>NO</v>
          </cell>
          <cell r="CB33" t="str">
            <v>NO</v>
          </cell>
          <cell r="CC33" t="str">
            <v>NO</v>
          </cell>
          <cell r="CD33" t="str">
            <v>NO</v>
          </cell>
          <cell r="CE33" t="str">
            <v>SI</v>
          </cell>
          <cell r="CF33" t="str">
            <v>SI</v>
          </cell>
          <cell r="CG33" t="str">
            <v>NO</v>
          </cell>
          <cell r="CH33" t="str">
            <v>NO</v>
          </cell>
          <cell r="CI33" t="str">
            <v>SI</v>
          </cell>
          <cell r="CJ33" t="str">
            <v>NO</v>
          </cell>
          <cell r="CK33" t="str">
            <v>SI</v>
          </cell>
          <cell r="CL33" t="str">
            <v>SI</v>
          </cell>
          <cell r="CM33" t="str">
            <v>SI</v>
          </cell>
          <cell r="CN33" t="str">
            <v>NO</v>
          </cell>
          <cell r="CO33" t="str">
            <v>NO</v>
          </cell>
          <cell r="CP33" t="str">
            <v>SI</v>
          </cell>
          <cell r="CQ33" t="str">
            <v>SI</v>
          </cell>
          <cell r="CR33" t="str">
            <v>SI</v>
          </cell>
          <cell r="CS33" t="str">
            <v>SI</v>
          </cell>
          <cell r="CT33" t="str">
            <v>SI</v>
          </cell>
          <cell r="CU33" t="str">
            <v>SI</v>
          </cell>
          <cell r="CV33" t="str">
            <v>SI</v>
          </cell>
          <cell r="CW33" t="str">
            <v>NO</v>
          </cell>
          <cell r="CX33" t="str">
            <v>SI</v>
          </cell>
          <cell r="CY33" t="str">
            <v>NO</v>
          </cell>
          <cell r="CZ33" t="str">
            <v>SI</v>
          </cell>
          <cell r="DA33" t="str">
            <v>NO</v>
          </cell>
          <cell r="DB33" t="str">
            <v>SI</v>
          </cell>
          <cell r="DC33" t="str">
            <v>SI</v>
          </cell>
          <cell r="DD33" t="str">
            <v>NO</v>
          </cell>
          <cell r="DE33" t="str">
            <v>SI</v>
          </cell>
          <cell r="DF33" t="str">
            <v>SI</v>
          </cell>
          <cell r="DG33" t="str">
            <v>NO</v>
          </cell>
          <cell r="DH33" t="str">
            <v>SI</v>
          </cell>
          <cell r="DI33" t="str">
            <v>SI</v>
          </cell>
          <cell r="DJ33" t="str">
            <v>SI</v>
          </cell>
          <cell r="DK33" t="str">
            <v>NO</v>
          </cell>
          <cell r="DL33" t="str">
            <v>NO</v>
          </cell>
          <cell r="DM33" t="str">
            <v>E001013027003</v>
          </cell>
          <cell r="DN33" t="str">
            <v>E001003</v>
          </cell>
          <cell r="DO33" t="str">
            <v>Abono a Capital UVR</v>
          </cell>
          <cell r="DP33">
            <v>0.09</v>
          </cell>
          <cell r="DQ33">
            <v>1300000</v>
          </cell>
          <cell r="DR33">
            <v>600000</v>
          </cell>
          <cell r="DS33">
            <v>1</v>
          </cell>
          <cell r="DT33">
            <v>9500</v>
          </cell>
          <cell r="DW33">
            <v>2000</v>
          </cell>
          <cell r="DX33">
            <v>4000</v>
          </cell>
          <cell r="DY33">
            <v>0</v>
          </cell>
          <cell r="DZ33">
            <v>8000</v>
          </cell>
          <cell r="EA33">
            <v>4000</v>
          </cell>
          <cell r="EB33">
            <v>3500</v>
          </cell>
          <cell r="EC33">
            <v>3500</v>
          </cell>
          <cell r="ED33">
            <v>500</v>
          </cell>
          <cell r="EE33">
            <v>5500</v>
          </cell>
          <cell r="EF33">
            <v>3500</v>
          </cell>
          <cell r="EG33">
            <v>7000</v>
          </cell>
          <cell r="EH33">
            <v>5000</v>
          </cell>
          <cell r="EI33">
            <v>500</v>
          </cell>
          <cell r="EJ33">
            <v>3500</v>
          </cell>
          <cell r="EK33">
            <v>2000</v>
          </cell>
          <cell r="EL33">
            <v>500</v>
          </cell>
          <cell r="EM33">
            <v>3000</v>
          </cell>
          <cell r="EN33">
            <v>500</v>
          </cell>
          <cell r="EO33">
            <v>2500</v>
          </cell>
          <cell r="EP33">
            <v>5500</v>
          </cell>
          <cell r="EQ33">
            <v>7000</v>
          </cell>
          <cell r="ER33">
            <v>4500</v>
          </cell>
          <cell r="ES33" t="str">
            <v>SI</v>
          </cell>
          <cell r="ET33">
            <v>6</v>
          </cell>
          <cell r="EU33" t="str">
            <v>SI</v>
          </cell>
          <cell r="EV33" t="str">
            <v>NO</v>
          </cell>
          <cell r="EW33" t="str">
            <v>SI</v>
          </cell>
          <cell r="EX33" t="str">
            <v>SI</v>
          </cell>
          <cell r="EY33" t="str">
            <v>SI</v>
          </cell>
          <cell r="EZ33" t="str">
            <v>NO</v>
          </cell>
          <cell r="FA33" t="str">
            <v>NO</v>
          </cell>
          <cell r="FB33" t="str">
            <v>SI</v>
          </cell>
          <cell r="FC33">
            <v>2042</v>
          </cell>
          <cell r="FD33">
            <v>1150</v>
          </cell>
          <cell r="FE33">
            <v>395</v>
          </cell>
          <cell r="FF33">
            <v>2165</v>
          </cell>
          <cell r="FG33">
            <v>1334</v>
          </cell>
          <cell r="FH33">
            <v>930</v>
          </cell>
          <cell r="FI33">
            <v>1098</v>
          </cell>
          <cell r="FJ33">
            <v>1459</v>
          </cell>
          <cell r="FK33">
            <v>1557</v>
          </cell>
          <cell r="FL33">
            <v>827</v>
          </cell>
          <cell r="FM33" t="str">
            <v>NO</v>
          </cell>
          <cell r="FN33" t="str">
            <v>NO</v>
          </cell>
          <cell r="FO33" t="str">
            <v>NO</v>
          </cell>
          <cell r="FP33" t="str">
            <v>SI</v>
          </cell>
          <cell r="FQ33" t="str">
            <v>NO</v>
          </cell>
          <cell r="FR33" t="str">
            <v>SI</v>
          </cell>
          <cell r="FS33">
            <v>61</v>
          </cell>
          <cell r="FW33" t="str">
            <v>Presencial</v>
          </cell>
          <cell r="FX33" t="str">
            <v>No</v>
          </cell>
          <cell r="FY33">
            <v>1</v>
          </cell>
          <cell r="FZ33">
            <v>90</v>
          </cell>
          <cell r="GA33" t="str">
            <v>NO</v>
          </cell>
          <cell r="GB33" t="str">
            <v>NO</v>
          </cell>
          <cell r="GC33" t="str">
            <v>SI</v>
          </cell>
          <cell r="GD33" t="str">
            <v>SI</v>
          </cell>
          <cell r="GE33" t="str">
            <v>NO</v>
          </cell>
          <cell r="GF33" t="str">
            <v>NO</v>
          </cell>
          <cell r="GG33" t="str">
            <v>SI</v>
          </cell>
        </row>
        <row r="34">
          <cell r="A34" t="str">
            <v>E001013027004</v>
          </cell>
          <cell r="B34" t="str">
            <v>Si</v>
          </cell>
          <cell r="C34">
            <v>475585.45454545203</v>
          </cell>
          <cell r="D34">
            <v>99999999</v>
          </cell>
          <cell r="E34" t="str">
            <v>Femenino</v>
          </cell>
          <cell r="F34">
            <v>18</v>
          </cell>
          <cell r="G34">
            <v>65</v>
          </cell>
          <cell r="H34" t="str">
            <v>SI</v>
          </cell>
          <cell r="I34" t="str">
            <v>NO</v>
          </cell>
          <cell r="J34" t="str">
            <v>SI</v>
          </cell>
          <cell r="AT34">
            <v>21</v>
          </cell>
          <cell r="AU34">
            <v>10</v>
          </cell>
          <cell r="AV34">
            <v>8000</v>
          </cell>
          <cell r="AW34">
            <v>10000</v>
          </cell>
          <cell r="AX34">
            <v>6</v>
          </cell>
          <cell r="AY34">
            <v>8</v>
          </cell>
          <cell r="AZ34" t="str">
            <v>NO</v>
          </cell>
          <cell r="BA34">
            <v>4</v>
          </cell>
          <cell r="BC34" t="str">
            <v>NO</v>
          </cell>
          <cell r="BD34" t="str">
            <v>SI</v>
          </cell>
          <cell r="BE34" t="str">
            <v>NO</v>
          </cell>
          <cell r="BF34" t="str">
            <v>NO</v>
          </cell>
          <cell r="BG34" t="str">
            <v>SI</v>
          </cell>
          <cell r="BH34" t="str">
            <v>SI</v>
          </cell>
          <cell r="BI34" t="str">
            <v>SI</v>
          </cell>
          <cell r="BJ34" t="str">
            <v>SI</v>
          </cell>
          <cell r="BK34" t="str">
            <v>NO</v>
          </cell>
          <cell r="BL34" t="str">
            <v>SI</v>
          </cell>
          <cell r="BM34" t="str">
            <v>SI</v>
          </cell>
          <cell r="BN34" t="str">
            <v>NO</v>
          </cell>
          <cell r="BO34" t="str">
            <v>SI</v>
          </cell>
          <cell r="BP34" t="str">
            <v>SI</v>
          </cell>
          <cell r="BQ34" t="str">
            <v>NO</v>
          </cell>
          <cell r="BR34" t="str">
            <v>SI</v>
          </cell>
          <cell r="BS34" t="str">
            <v>SI</v>
          </cell>
          <cell r="BT34" t="str">
            <v>SI</v>
          </cell>
          <cell r="BU34" t="str">
            <v>SI</v>
          </cell>
          <cell r="BV34" t="str">
            <v>NO</v>
          </cell>
          <cell r="BW34" t="str">
            <v>SI</v>
          </cell>
          <cell r="BX34" t="str">
            <v>NO</v>
          </cell>
          <cell r="BY34" t="str">
            <v>NO</v>
          </cell>
          <cell r="BZ34" t="str">
            <v>SI</v>
          </cell>
          <cell r="CA34" t="str">
            <v>NO</v>
          </cell>
          <cell r="CB34" t="str">
            <v>NO</v>
          </cell>
          <cell r="CC34" t="str">
            <v>NO</v>
          </cell>
          <cell r="CD34" t="str">
            <v>NO</v>
          </cell>
          <cell r="CE34" t="str">
            <v>SI</v>
          </cell>
          <cell r="CF34" t="str">
            <v>SI</v>
          </cell>
          <cell r="CG34" t="str">
            <v>NO</v>
          </cell>
          <cell r="CH34" t="str">
            <v>NO</v>
          </cell>
          <cell r="CI34" t="str">
            <v>SI</v>
          </cell>
          <cell r="CJ34" t="str">
            <v>NO</v>
          </cell>
          <cell r="CK34" t="str">
            <v>SI</v>
          </cell>
          <cell r="CL34" t="str">
            <v>SI</v>
          </cell>
          <cell r="CM34" t="str">
            <v>SI</v>
          </cell>
          <cell r="CN34" t="str">
            <v>NO</v>
          </cell>
          <cell r="CO34" t="str">
            <v>NO</v>
          </cell>
          <cell r="CP34" t="str">
            <v>SI</v>
          </cell>
          <cell r="CQ34" t="str">
            <v>SI</v>
          </cell>
          <cell r="CR34" t="str">
            <v>SI</v>
          </cell>
          <cell r="CS34" t="str">
            <v>SI</v>
          </cell>
          <cell r="CT34" t="str">
            <v>SI</v>
          </cell>
          <cell r="CU34" t="str">
            <v>SI</v>
          </cell>
          <cell r="CV34" t="str">
            <v>SI</v>
          </cell>
          <cell r="CW34" t="str">
            <v>NO</v>
          </cell>
          <cell r="CX34" t="str">
            <v>SI</v>
          </cell>
          <cell r="CY34" t="str">
            <v>NO</v>
          </cell>
          <cell r="CZ34" t="str">
            <v>SI</v>
          </cell>
          <cell r="DA34" t="str">
            <v>NO</v>
          </cell>
          <cell r="DB34" t="str">
            <v>SI</v>
          </cell>
          <cell r="DC34" t="str">
            <v>SI</v>
          </cell>
          <cell r="DD34" t="str">
            <v>NO</v>
          </cell>
          <cell r="DE34" t="str">
            <v>SI</v>
          </cell>
          <cell r="DF34" t="str">
            <v>SI</v>
          </cell>
          <cell r="DG34" t="str">
            <v>NO</v>
          </cell>
          <cell r="DH34" t="str">
            <v>SI</v>
          </cell>
          <cell r="DI34" t="str">
            <v>SI</v>
          </cell>
          <cell r="DJ34" t="str">
            <v>SI</v>
          </cell>
          <cell r="DK34" t="str">
            <v>NO</v>
          </cell>
          <cell r="DL34" t="str">
            <v>NO</v>
          </cell>
          <cell r="DM34" t="str">
            <v>E001013027004</v>
          </cell>
          <cell r="DN34" t="str">
            <v>E001003</v>
          </cell>
          <cell r="DO34" t="str">
            <v>Cuota fija Pesos</v>
          </cell>
          <cell r="DP34">
            <v>0.13</v>
          </cell>
          <cell r="DQ34">
            <v>2100000</v>
          </cell>
          <cell r="DR34">
            <v>1400000</v>
          </cell>
          <cell r="DS34">
            <v>2</v>
          </cell>
          <cell r="DT34">
            <v>0</v>
          </cell>
          <cell r="DW34">
            <v>8500</v>
          </cell>
          <cell r="DX34">
            <v>2500</v>
          </cell>
          <cell r="DY34">
            <v>6500</v>
          </cell>
          <cell r="DZ34">
            <v>10000</v>
          </cell>
          <cell r="EA34">
            <v>7000</v>
          </cell>
          <cell r="EB34">
            <v>0</v>
          </cell>
          <cell r="EC34">
            <v>9500</v>
          </cell>
          <cell r="ED34">
            <v>4500</v>
          </cell>
          <cell r="EE34">
            <v>1000</v>
          </cell>
          <cell r="EF34">
            <v>6000</v>
          </cell>
          <cell r="EG34">
            <v>10000</v>
          </cell>
          <cell r="EH34">
            <v>6500</v>
          </cell>
          <cell r="EI34">
            <v>6500</v>
          </cell>
          <cell r="EJ34">
            <v>1500</v>
          </cell>
          <cell r="EK34">
            <v>3000</v>
          </cell>
          <cell r="EL34">
            <v>500</v>
          </cell>
          <cell r="EM34">
            <v>7500</v>
          </cell>
          <cell r="EN34">
            <v>3500</v>
          </cell>
          <cell r="EO34">
            <v>2500</v>
          </cell>
          <cell r="EP34">
            <v>8000</v>
          </cell>
          <cell r="EQ34">
            <v>5500</v>
          </cell>
          <cell r="ER34">
            <v>1500</v>
          </cell>
          <cell r="ES34" t="str">
            <v>SI</v>
          </cell>
          <cell r="ET34">
            <v>15</v>
          </cell>
          <cell r="EU34" t="str">
            <v>NO</v>
          </cell>
          <cell r="EV34" t="str">
            <v>SI</v>
          </cell>
          <cell r="EW34" t="str">
            <v>NO</v>
          </cell>
          <cell r="EX34" t="str">
            <v>SI</v>
          </cell>
          <cell r="EY34" t="str">
            <v>NO</v>
          </cell>
          <cell r="EZ34" t="str">
            <v>SI</v>
          </cell>
          <cell r="FA34" t="str">
            <v>SI</v>
          </cell>
          <cell r="FB34" t="str">
            <v>SI</v>
          </cell>
          <cell r="FC34">
            <v>2217</v>
          </cell>
          <cell r="FD34">
            <v>1739</v>
          </cell>
          <cell r="FE34">
            <v>472</v>
          </cell>
          <cell r="FF34">
            <v>1128</v>
          </cell>
          <cell r="FG34">
            <v>501</v>
          </cell>
          <cell r="FH34">
            <v>477</v>
          </cell>
          <cell r="FI34">
            <v>1384</v>
          </cell>
          <cell r="FJ34">
            <v>565</v>
          </cell>
          <cell r="FK34">
            <v>1403</v>
          </cell>
          <cell r="FL34">
            <v>451</v>
          </cell>
          <cell r="FM34" t="str">
            <v>NO</v>
          </cell>
          <cell r="FN34" t="str">
            <v>SI</v>
          </cell>
          <cell r="FO34" t="str">
            <v>NO</v>
          </cell>
          <cell r="FP34" t="str">
            <v>NO</v>
          </cell>
          <cell r="FQ34" t="str">
            <v>SI</v>
          </cell>
          <cell r="FR34" t="str">
            <v>SI</v>
          </cell>
          <cell r="FS34">
            <v>395</v>
          </cell>
          <cell r="FW34" t="str">
            <v>Virtual</v>
          </cell>
          <cell r="FX34" t="str">
            <v>Virtual</v>
          </cell>
          <cell r="FY34">
            <v>3</v>
          </cell>
          <cell r="FZ34">
            <v>74</v>
          </cell>
          <cell r="GA34" t="str">
            <v>SI</v>
          </cell>
          <cell r="GB34" t="str">
            <v>SI</v>
          </cell>
          <cell r="GC34" t="str">
            <v>NO</v>
          </cell>
          <cell r="GD34" t="str">
            <v>NO</v>
          </cell>
          <cell r="GE34" t="str">
            <v>SI</v>
          </cell>
          <cell r="GF34" t="str">
            <v>SI</v>
          </cell>
          <cell r="GG34" t="str">
            <v>SI</v>
          </cell>
        </row>
        <row r="35">
          <cell r="A35" t="str">
            <v>E001010027001</v>
          </cell>
          <cell r="B35" t="str">
            <v>Si</v>
          </cell>
          <cell r="C35">
            <v>414979.393939392</v>
          </cell>
          <cell r="D35">
            <v>99999999</v>
          </cell>
          <cell r="E35" t="str">
            <v>Ambos</v>
          </cell>
          <cell r="F35">
            <v>18</v>
          </cell>
          <cell r="G35">
            <v>65</v>
          </cell>
          <cell r="H35" t="str">
            <v>NO</v>
          </cell>
          <cell r="I35" t="str">
            <v>SI</v>
          </cell>
          <cell r="J35" t="str">
            <v>SI</v>
          </cell>
          <cell r="AT35">
            <v>21</v>
          </cell>
          <cell r="AU35">
            <v>12</v>
          </cell>
          <cell r="AV35">
            <v>12000</v>
          </cell>
          <cell r="AW35">
            <v>20000</v>
          </cell>
          <cell r="AX35">
            <v>1</v>
          </cell>
          <cell r="AY35">
            <v>8</v>
          </cell>
          <cell r="AZ35" t="str">
            <v>SI</v>
          </cell>
          <cell r="BA35">
            <v>4</v>
          </cell>
          <cell r="BC35" t="str">
            <v>NO</v>
          </cell>
          <cell r="BD35" t="str">
            <v>NO</v>
          </cell>
          <cell r="BE35" t="str">
            <v>SI</v>
          </cell>
          <cell r="BF35" t="str">
            <v>NO</v>
          </cell>
          <cell r="BG35" t="str">
            <v>SI</v>
          </cell>
          <cell r="BH35" t="str">
            <v>SI</v>
          </cell>
          <cell r="BI35" t="str">
            <v>SI</v>
          </cell>
          <cell r="BJ35" t="str">
            <v>SI</v>
          </cell>
          <cell r="BK35" t="str">
            <v>SI</v>
          </cell>
          <cell r="BL35" t="str">
            <v>NO</v>
          </cell>
          <cell r="BM35" t="str">
            <v>NO</v>
          </cell>
          <cell r="BN35" t="str">
            <v>NO</v>
          </cell>
          <cell r="BO35" t="str">
            <v>SI</v>
          </cell>
          <cell r="BP35" t="str">
            <v>SI</v>
          </cell>
          <cell r="BQ35" t="str">
            <v>NO</v>
          </cell>
          <cell r="BR35" t="str">
            <v>SI</v>
          </cell>
          <cell r="BS35" t="str">
            <v>SI</v>
          </cell>
          <cell r="BT35" t="str">
            <v>NO</v>
          </cell>
          <cell r="BU35" t="str">
            <v>SI</v>
          </cell>
          <cell r="BV35" t="str">
            <v>NO</v>
          </cell>
          <cell r="BW35" t="str">
            <v>NO</v>
          </cell>
          <cell r="BX35" t="str">
            <v>NO</v>
          </cell>
          <cell r="BY35" t="str">
            <v>NO</v>
          </cell>
          <cell r="BZ35" t="str">
            <v>NO</v>
          </cell>
          <cell r="CA35" t="str">
            <v>SI</v>
          </cell>
          <cell r="CB35" t="str">
            <v>SI</v>
          </cell>
          <cell r="CC35" t="str">
            <v>SI</v>
          </cell>
          <cell r="CD35" t="str">
            <v>SI</v>
          </cell>
          <cell r="CE35" t="str">
            <v>SI</v>
          </cell>
          <cell r="CF35" t="str">
            <v>SI</v>
          </cell>
          <cell r="CG35" t="str">
            <v>NO</v>
          </cell>
          <cell r="CH35" t="str">
            <v>SI</v>
          </cell>
          <cell r="CI35" t="str">
            <v>SI</v>
          </cell>
          <cell r="CJ35" t="str">
            <v>NO</v>
          </cell>
          <cell r="CK35" t="str">
            <v>NO</v>
          </cell>
          <cell r="CL35" t="str">
            <v>SI</v>
          </cell>
          <cell r="CM35" t="str">
            <v>NO</v>
          </cell>
          <cell r="CN35" t="str">
            <v>NO</v>
          </cell>
          <cell r="CO35" t="str">
            <v>NO</v>
          </cell>
          <cell r="CP35" t="str">
            <v>NO</v>
          </cell>
          <cell r="CQ35" t="str">
            <v>SI</v>
          </cell>
          <cell r="CR35" t="str">
            <v>NO</v>
          </cell>
          <cell r="CS35" t="str">
            <v>SI</v>
          </cell>
          <cell r="CT35" t="str">
            <v>SI</v>
          </cell>
          <cell r="CU35" t="str">
            <v>SI</v>
          </cell>
          <cell r="CV35" t="str">
            <v>NO</v>
          </cell>
          <cell r="CW35" t="str">
            <v>SI</v>
          </cell>
          <cell r="CX35" t="str">
            <v>NO</v>
          </cell>
          <cell r="CY35" t="str">
            <v>NO</v>
          </cell>
          <cell r="CZ35" t="str">
            <v>NO</v>
          </cell>
          <cell r="DA35" t="str">
            <v>NO</v>
          </cell>
          <cell r="DB35" t="str">
            <v>SI</v>
          </cell>
          <cell r="DC35" t="str">
            <v>NO</v>
          </cell>
          <cell r="DD35" t="str">
            <v>SI</v>
          </cell>
          <cell r="DE35" t="str">
            <v>SI</v>
          </cell>
          <cell r="DF35" t="str">
            <v>SI</v>
          </cell>
          <cell r="DG35" t="str">
            <v>NO</v>
          </cell>
          <cell r="DH35" t="str">
            <v>SI</v>
          </cell>
          <cell r="DI35" t="str">
            <v>NO</v>
          </cell>
          <cell r="DJ35" t="str">
            <v>NO</v>
          </cell>
          <cell r="DK35" t="str">
            <v>SI</v>
          </cell>
          <cell r="DL35" t="str">
            <v>SI</v>
          </cell>
          <cell r="DM35" t="str">
            <v>E001010027001</v>
          </cell>
          <cell r="DN35" t="str">
            <v>E001004</v>
          </cell>
          <cell r="DO35" t="str">
            <v>Abono a Capital Pesos</v>
          </cell>
          <cell r="DP35">
            <v>0.12</v>
          </cell>
          <cell r="DQ35">
            <v>1200000</v>
          </cell>
          <cell r="DR35">
            <v>500000</v>
          </cell>
          <cell r="DS35">
            <v>2</v>
          </cell>
          <cell r="DT35">
            <v>1000</v>
          </cell>
          <cell r="DW35">
            <v>5500</v>
          </cell>
          <cell r="DX35">
            <v>4500</v>
          </cell>
          <cell r="DY35">
            <v>10000</v>
          </cell>
          <cell r="DZ35">
            <v>4000</v>
          </cell>
          <cell r="EA35">
            <v>4500</v>
          </cell>
          <cell r="EB35">
            <v>8000</v>
          </cell>
          <cell r="EC35">
            <v>1000</v>
          </cell>
          <cell r="ED35">
            <v>4500</v>
          </cell>
          <cell r="EE35">
            <v>0</v>
          </cell>
          <cell r="EF35">
            <v>8000</v>
          </cell>
          <cell r="EG35">
            <v>1500</v>
          </cell>
          <cell r="EH35">
            <v>9500</v>
          </cell>
          <cell r="EI35">
            <v>500</v>
          </cell>
          <cell r="EJ35">
            <v>4500</v>
          </cell>
          <cell r="EK35">
            <v>9500</v>
          </cell>
          <cell r="EL35">
            <v>9500</v>
          </cell>
          <cell r="EM35">
            <v>1000</v>
          </cell>
          <cell r="EN35">
            <v>3500</v>
          </cell>
          <cell r="EO35">
            <v>4500</v>
          </cell>
          <cell r="EP35">
            <v>1000</v>
          </cell>
          <cell r="EQ35">
            <v>2500</v>
          </cell>
          <cell r="ER35">
            <v>4000</v>
          </cell>
          <cell r="ES35" t="str">
            <v>NO</v>
          </cell>
          <cell r="ET35">
            <v>9</v>
          </cell>
          <cell r="EU35" t="str">
            <v>NO</v>
          </cell>
          <cell r="EV35" t="str">
            <v>SI</v>
          </cell>
          <cell r="EW35" t="str">
            <v>NO</v>
          </cell>
          <cell r="EX35" t="str">
            <v>SI</v>
          </cell>
          <cell r="EY35" t="str">
            <v>NO</v>
          </cell>
          <cell r="EZ35" t="str">
            <v>SI</v>
          </cell>
          <cell r="FA35" t="str">
            <v>NO</v>
          </cell>
          <cell r="FB35" t="str">
            <v>NO</v>
          </cell>
          <cell r="FC35">
            <v>1134</v>
          </cell>
          <cell r="FD35">
            <v>623</v>
          </cell>
          <cell r="FE35">
            <v>665</v>
          </cell>
          <cell r="FF35">
            <v>1139</v>
          </cell>
          <cell r="FG35">
            <v>843</v>
          </cell>
          <cell r="FH35">
            <v>1396</v>
          </cell>
          <cell r="FI35">
            <v>2159</v>
          </cell>
          <cell r="FJ35">
            <v>478</v>
          </cell>
          <cell r="FK35">
            <v>704</v>
          </cell>
          <cell r="FL35">
            <v>1585</v>
          </cell>
          <cell r="FM35" t="str">
            <v>SI</v>
          </cell>
          <cell r="FN35" t="str">
            <v>NO</v>
          </cell>
          <cell r="FO35" t="str">
            <v>NO</v>
          </cell>
          <cell r="FP35" t="str">
            <v>NO</v>
          </cell>
          <cell r="FQ35" t="str">
            <v>NO</v>
          </cell>
          <cell r="FR35" t="str">
            <v>SI</v>
          </cell>
          <cell r="FS35">
            <v>713</v>
          </cell>
          <cell r="FW35" t="str">
            <v>Presencial</v>
          </cell>
          <cell r="FX35" t="str">
            <v>Fisica</v>
          </cell>
          <cell r="FY35">
            <v>2</v>
          </cell>
          <cell r="FZ35">
            <v>70</v>
          </cell>
          <cell r="GA35" t="str">
            <v>SI</v>
          </cell>
          <cell r="GB35" t="str">
            <v>NO</v>
          </cell>
          <cell r="GC35" t="str">
            <v>NO</v>
          </cell>
          <cell r="GD35" t="str">
            <v>NO</v>
          </cell>
          <cell r="GE35" t="str">
            <v>SI</v>
          </cell>
          <cell r="GF35" t="str">
            <v>SI</v>
          </cell>
          <cell r="GG35" t="str">
            <v>SI</v>
          </cell>
        </row>
        <row r="36">
          <cell r="A36" t="str">
            <v>E001010027002</v>
          </cell>
          <cell r="B36" t="str">
            <v>No</v>
          </cell>
          <cell r="C36">
            <v>354373.33333333302</v>
          </cell>
          <cell r="D36">
            <v>99999999</v>
          </cell>
          <cell r="E36" t="str">
            <v>Ambos</v>
          </cell>
          <cell r="F36">
            <v>30</v>
          </cell>
          <cell r="G36">
            <v>65</v>
          </cell>
          <cell r="H36" t="str">
            <v>SI</v>
          </cell>
          <cell r="I36" t="str">
            <v>SI</v>
          </cell>
          <cell r="J36" t="str">
            <v>SI</v>
          </cell>
          <cell r="AT36">
            <v>4</v>
          </cell>
          <cell r="AU36">
            <v>8</v>
          </cell>
          <cell r="AV36">
            <v>9000</v>
          </cell>
          <cell r="AW36">
            <v>25000</v>
          </cell>
          <cell r="AX36">
            <v>10</v>
          </cell>
          <cell r="AY36">
            <v>13</v>
          </cell>
          <cell r="AZ36" t="str">
            <v>SI</v>
          </cell>
          <cell r="BA36">
            <v>3</v>
          </cell>
          <cell r="BC36" t="str">
            <v>SI</v>
          </cell>
          <cell r="BD36" t="str">
            <v>SI</v>
          </cell>
          <cell r="BE36" t="str">
            <v>SI</v>
          </cell>
          <cell r="BF36" t="str">
            <v>NO</v>
          </cell>
          <cell r="BG36" t="str">
            <v>NO</v>
          </cell>
          <cell r="BH36" t="str">
            <v>NO</v>
          </cell>
          <cell r="BI36" t="str">
            <v>SI</v>
          </cell>
          <cell r="BJ36" t="str">
            <v>NO</v>
          </cell>
          <cell r="BK36" t="str">
            <v>SI</v>
          </cell>
          <cell r="BL36" t="str">
            <v>SI</v>
          </cell>
          <cell r="BM36" t="str">
            <v>SI</v>
          </cell>
          <cell r="BN36" t="str">
            <v>NO</v>
          </cell>
          <cell r="BO36" t="str">
            <v>SI</v>
          </cell>
          <cell r="BP36" t="str">
            <v>NO</v>
          </cell>
          <cell r="BQ36" t="str">
            <v>NO</v>
          </cell>
          <cell r="BR36" t="str">
            <v>SI</v>
          </cell>
          <cell r="BS36" t="str">
            <v>SI</v>
          </cell>
          <cell r="BT36" t="str">
            <v>SI</v>
          </cell>
          <cell r="BU36" t="str">
            <v>SI</v>
          </cell>
          <cell r="BV36" t="str">
            <v>NO</v>
          </cell>
          <cell r="BW36" t="str">
            <v>SI</v>
          </cell>
          <cell r="BX36" t="str">
            <v>NO</v>
          </cell>
          <cell r="BY36" t="str">
            <v>SI</v>
          </cell>
          <cell r="BZ36" t="str">
            <v>SI</v>
          </cell>
          <cell r="CA36" t="str">
            <v>NO</v>
          </cell>
          <cell r="CB36" t="str">
            <v>NO</v>
          </cell>
          <cell r="CC36" t="str">
            <v>NO</v>
          </cell>
          <cell r="CD36" t="str">
            <v>SI</v>
          </cell>
          <cell r="CE36" t="str">
            <v>SI</v>
          </cell>
          <cell r="CF36" t="str">
            <v>SI</v>
          </cell>
          <cell r="CG36" t="str">
            <v>SI</v>
          </cell>
          <cell r="CH36" t="str">
            <v>SI</v>
          </cell>
          <cell r="CI36" t="str">
            <v>NO</v>
          </cell>
          <cell r="CJ36" t="str">
            <v>SI</v>
          </cell>
          <cell r="CK36" t="str">
            <v>NO</v>
          </cell>
          <cell r="CL36" t="str">
            <v>NO</v>
          </cell>
          <cell r="CM36" t="str">
            <v>NO</v>
          </cell>
          <cell r="CN36" t="str">
            <v>NO</v>
          </cell>
          <cell r="CO36" t="str">
            <v>SI</v>
          </cell>
          <cell r="CP36" t="str">
            <v>NO</v>
          </cell>
          <cell r="CQ36" t="str">
            <v>NO</v>
          </cell>
          <cell r="CR36" t="str">
            <v>NO</v>
          </cell>
          <cell r="CS36" t="str">
            <v>SI</v>
          </cell>
          <cell r="CT36" t="str">
            <v>SI</v>
          </cell>
          <cell r="CU36" t="str">
            <v>SI</v>
          </cell>
          <cell r="CV36" t="str">
            <v>SI</v>
          </cell>
          <cell r="CW36" t="str">
            <v>SI</v>
          </cell>
          <cell r="CX36" t="str">
            <v>SI</v>
          </cell>
          <cell r="CY36" t="str">
            <v>NO</v>
          </cell>
          <cell r="CZ36" t="str">
            <v>SI</v>
          </cell>
          <cell r="DA36" t="str">
            <v>NO</v>
          </cell>
          <cell r="DB36" t="str">
            <v>SI</v>
          </cell>
          <cell r="DC36" t="str">
            <v>NO</v>
          </cell>
          <cell r="DD36" t="str">
            <v>SI</v>
          </cell>
          <cell r="DE36" t="str">
            <v>SI</v>
          </cell>
          <cell r="DF36" t="str">
            <v>SI</v>
          </cell>
          <cell r="DG36" t="str">
            <v>SI</v>
          </cell>
          <cell r="DH36" t="str">
            <v>SI</v>
          </cell>
          <cell r="DI36" t="str">
            <v>SI</v>
          </cell>
          <cell r="DJ36" t="str">
            <v>SI</v>
          </cell>
          <cell r="DK36" t="str">
            <v>NO</v>
          </cell>
          <cell r="DL36" t="str">
            <v>NO</v>
          </cell>
          <cell r="DM36" t="str">
            <v>E001010027002</v>
          </cell>
          <cell r="DN36" t="str">
            <v>E001004</v>
          </cell>
          <cell r="DO36" t="str">
            <v>Cuota Decreciente mensualmete UVR</v>
          </cell>
          <cell r="DP36">
            <v>0.08</v>
          </cell>
          <cell r="DQ36">
            <v>2400000</v>
          </cell>
          <cell r="DR36">
            <v>1600000</v>
          </cell>
          <cell r="DS36">
            <v>2</v>
          </cell>
          <cell r="DT36">
            <v>8500</v>
          </cell>
          <cell r="DW36">
            <v>4500</v>
          </cell>
          <cell r="DX36">
            <v>7500</v>
          </cell>
          <cell r="DY36">
            <v>8000</v>
          </cell>
          <cell r="DZ36">
            <v>1500</v>
          </cell>
          <cell r="EA36">
            <v>7500</v>
          </cell>
          <cell r="EB36">
            <v>9000</v>
          </cell>
          <cell r="EC36">
            <v>6500</v>
          </cell>
          <cell r="ED36">
            <v>0</v>
          </cell>
          <cell r="EE36">
            <v>8500</v>
          </cell>
          <cell r="EF36">
            <v>8500</v>
          </cell>
          <cell r="EG36">
            <v>7000</v>
          </cell>
          <cell r="EH36">
            <v>5500</v>
          </cell>
          <cell r="EI36">
            <v>7000</v>
          </cell>
          <cell r="EJ36">
            <v>3000</v>
          </cell>
          <cell r="EK36">
            <v>9500</v>
          </cell>
          <cell r="EL36">
            <v>10000</v>
          </cell>
          <cell r="EM36">
            <v>0</v>
          </cell>
          <cell r="EN36">
            <v>6000</v>
          </cell>
          <cell r="EO36">
            <v>1000</v>
          </cell>
          <cell r="EP36">
            <v>8000</v>
          </cell>
          <cell r="EQ36">
            <v>8000</v>
          </cell>
          <cell r="ER36">
            <v>2000</v>
          </cell>
          <cell r="ES36" t="str">
            <v>NO</v>
          </cell>
          <cell r="ET36">
            <v>17</v>
          </cell>
          <cell r="EU36" t="str">
            <v>NO</v>
          </cell>
          <cell r="EV36" t="str">
            <v>SI</v>
          </cell>
          <cell r="EW36" t="str">
            <v>NO</v>
          </cell>
          <cell r="EX36" t="str">
            <v>NO</v>
          </cell>
          <cell r="EY36" t="str">
            <v>SI</v>
          </cell>
          <cell r="EZ36" t="str">
            <v>NO</v>
          </cell>
          <cell r="FA36" t="str">
            <v>SI</v>
          </cell>
          <cell r="FB36" t="str">
            <v>NO</v>
          </cell>
          <cell r="FC36">
            <v>1421</v>
          </cell>
          <cell r="FD36">
            <v>1405</v>
          </cell>
          <cell r="FE36">
            <v>712</v>
          </cell>
          <cell r="FF36">
            <v>2259</v>
          </cell>
          <cell r="FG36">
            <v>945</v>
          </cell>
          <cell r="FH36">
            <v>1815</v>
          </cell>
          <cell r="FI36">
            <v>268</v>
          </cell>
          <cell r="FJ36">
            <v>578</v>
          </cell>
          <cell r="FK36">
            <v>1083</v>
          </cell>
          <cell r="FL36">
            <v>1257</v>
          </cell>
          <cell r="FM36" t="str">
            <v>SI</v>
          </cell>
          <cell r="FN36" t="str">
            <v>SI</v>
          </cell>
          <cell r="FO36" t="str">
            <v>NO</v>
          </cell>
          <cell r="FP36" t="str">
            <v>SI</v>
          </cell>
          <cell r="FQ36" t="str">
            <v>NO</v>
          </cell>
          <cell r="FR36" t="str">
            <v>NO</v>
          </cell>
          <cell r="FS36">
            <v>0</v>
          </cell>
          <cell r="FW36" t="str">
            <v>Intermedio</v>
          </cell>
          <cell r="FX36" t="str">
            <v>No</v>
          </cell>
          <cell r="FY36">
            <v>6</v>
          </cell>
          <cell r="FZ36">
            <v>40</v>
          </cell>
          <cell r="GA36" t="str">
            <v>NO</v>
          </cell>
          <cell r="GB36" t="str">
            <v>SI</v>
          </cell>
          <cell r="GC36" t="str">
            <v>NO</v>
          </cell>
          <cell r="GD36" t="str">
            <v>NO</v>
          </cell>
          <cell r="GE36" t="str">
            <v>NO</v>
          </cell>
          <cell r="GF36" t="str">
            <v>NO</v>
          </cell>
          <cell r="GG36" t="str">
            <v>NO</v>
          </cell>
        </row>
        <row r="37">
          <cell r="A37" t="str">
            <v>E001010027003</v>
          </cell>
          <cell r="B37" t="str">
            <v>No</v>
          </cell>
          <cell r="C37">
            <v>293767.27272727201</v>
          </cell>
          <cell r="D37">
            <v>99999999</v>
          </cell>
          <cell r="E37" t="str">
            <v>Ambos</v>
          </cell>
          <cell r="F37">
            <v>18</v>
          </cell>
          <cell r="G37">
            <v>65</v>
          </cell>
          <cell r="H37" t="str">
            <v>SI</v>
          </cell>
          <cell r="I37" t="str">
            <v>NO</v>
          </cell>
          <cell r="J37" t="str">
            <v>SI</v>
          </cell>
          <cell r="AT37">
            <v>4</v>
          </cell>
          <cell r="AU37">
            <v>8</v>
          </cell>
          <cell r="AV37">
            <v>10000</v>
          </cell>
          <cell r="AW37">
            <v>10000</v>
          </cell>
          <cell r="AX37">
            <v>12</v>
          </cell>
          <cell r="AY37">
            <v>14</v>
          </cell>
          <cell r="AZ37" t="str">
            <v>NO</v>
          </cell>
          <cell r="BA37">
            <v>1</v>
          </cell>
          <cell r="BC37" t="str">
            <v>SI</v>
          </cell>
          <cell r="BD37" t="str">
            <v>SI</v>
          </cell>
          <cell r="BE37" t="str">
            <v>SI</v>
          </cell>
          <cell r="BF37" t="str">
            <v>NO</v>
          </cell>
          <cell r="BG37" t="str">
            <v>SI</v>
          </cell>
          <cell r="BH37" t="str">
            <v>NO</v>
          </cell>
          <cell r="BI37" t="str">
            <v>NO</v>
          </cell>
          <cell r="BJ37" t="str">
            <v>NO</v>
          </cell>
          <cell r="BK37" t="str">
            <v>SI</v>
          </cell>
          <cell r="BL37" t="str">
            <v>NO</v>
          </cell>
          <cell r="BM37" t="str">
            <v>SI</v>
          </cell>
          <cell r="BN37" t="str">
            <v>SI</v>
          </cell>
          <cell r="BO37" t="str">
            <v>SI</v>
          </cell>
          <cell r="BP37" t="str">
            <v>SI</v>
          </cell>
          <cell r="BQ37" t="str">
            <v>SI</v>
          </cell>
          <cell r="BR37" t="str">
            <v>SI</v>
          </cell>
          <cell r="BS37" t="str">
            <v>SI</v>
          </cell>
          <cell r="BT37" t="str">
            <v>SI</v>
          </cell>
          <cell r="BU37" t="str">
            <v>SI</v>
          </cell>
          <cell r="BV37" t="str">
            <v>NO</v>
          </cell>
          <cell r="BW37" t="str">
            <v>SI</v>
          </cell>
          <cell r="BX37" t="str">
            <v>SI</v>
          </cell>
          <cell r="BY37" t="str">
            <v>SI</v>
          </cell>
          <cell r="BZ37" t="str">
            <v>NO</v>
          </cell>
          <cell r="CA37" t="str">
            <v>SI</v>
          </cell>
          <cell r="CB37" t="str">
            <v>SI</v>
          </cell>
          <cell r="CC37" t="str">
            <v>NO</v>
          </cell>
          <cell r="CD37" t="str">
            <v>NO</v>
          </cell>
          <cell r="CE37" t="str">
            <v>SI</v>
          </cell>
          <cell r="CF37" t="str">
            <v>SI</v>
          </cell>
          <cell r="CG37" t="str">
            <v>NO</v>
          </cell>
          <cell r="CH37" t="str">
            <v>NO</v>
          </cell>
          <cell r="CI37" t="str">
            <v>NO</v>
          </cell>
          <cell r="CJ37" t="str">
            <v>NO</v>
          </cell>
          <cell r="CK37" t="str">
            <v>NO</v>
          </cell>
          <cell r="CL37" t="str">
            <v>NO</v>
          </cell>
          <cell r="CM37" t="str">
            <v>SI</v>
          </cell>
          <cell r="CN37" t="str">
            <v>SI</v>
          </cell>
          <cell r="CO37" t="str">
            <v>NO</v>
          </cell>
          <cell r="CP37" t="str">
            <v>SI</v>
          </cell>
          <cell r="CQ37" t="str">
            <v>SI</v>
          </cell>
          <cell r="CR37" t="str">
            <v>SI</v>
          </cell>
          <cell r="CS37" t="str">
            <v>SI</v>
          </cell>
          <cell r="CT37" t="str">
            <v>SI</v>
          </cell>
          <cell r="CU37" t="str">
            <v>SI</v>
          </cell>
          <cell r="CV37" t="str">
            <v>SI</v>
          </cell>
          <cell r="CW37" t="str">
            <v>NO</v>
          </cell>
          <cell r="CX37" t="str">
            <v>SI</v>
          </cell>
          <cell r="CY37" t="str">
            <v>SI</v>
          </cell>
          <cell r="CZ37" t="str">
            <v>SI</v>
          </cell>
          <cell r="DA37" t="str">
            <v>SI</v>
          </cell>
          <cell r="DB37" t="str">
            <v>NO</v>
          </cell>
          <cell r="DC37" t="str">
            <v>SI</v>
          </cell>
          <cell r="DD37" t="str">
            <v>NO</v>
          </cell>
          <cell r="DE37" t="str">
            <v>SI</v>
          </cell>
          <cell r="DF37" t="str">
            <v>NO</v>
          </cell>
          <cell r="DG37" t="str">
            <v>SI</v>
          </cell>
          <cell r="DH37" t="str">
            <v>SI</v>
          </cell>
          <cell r="DI37" t="str">
            <v>SI</v>
          </cell>
          <cell r="DJ37" t="str">
            <v>SI</v>
          </cell>
          <cell r="DK37" t="str">
            <v>SI</v>
          </cell>
          <cell r="DL37" t="str">
            <v>SI</v>
          </cell>
          <cell r="DM37" t="str">
            <v>E001010027003</v>
          </cell>
          <cell r="DN37" t="str">
            <v>E001004</v>
          </cell>
          <cell r="DO37" t="str">
            <v>Cuota fija Pesos</v>
          </cell>
          <cell r="DP37">
            <v>0.13</v>
          </cell>
          <cell r="DQ37">
            <v>2100000</v>
          </cell>
          <cell r="DR37">
            <v>600000</v>
          </cell>
          <cell r="DS37">
            <v>1</v>
          </cell>
          <cell r="DT37">
            <v>7000</v>
          </cell>
          <cell r="DW37">
            <v>5000</v>
          </cell>
          <cell r="DX37">
            <v>9500</v>
          </cell>
          <cell r="DY37">
            <v>10000</v>
          </cell>
          <cell r="DZ37">
            <v>500</v>
          </cell>
          <cell r="EA37">
            <v>9500</v>
          </cell>
          <cell r="EB37">
            <v>0</v>
          </cell>
          <cell r="EC37">
            <v>6500</v>
          </cell>
          <cell r="ED37">
            <v>0</v>
          </cell>
          <cell r="EE37">
            <v>1000</v>
          </cell>
          <cell r="EF37">
            <v>3500</v>
          </cell>
          <cell r="EG37">
            <v>0</v>
          </cell>
          <cell r="EH37">
            <v>1500</v>
          </cell>
          <cell r="EI37">
            <v>3000</v>
          </cell>
          <cell r="EJ37">
            <v>3000</v>
          </cell>
          <cell r="EK37">
            <v>2500</v>
          </cell>
          <cell r="EL37">
            <v>3000</v>
          </cell>
          <cell r="EM37">
            <v>4000</v>
          </cell>
          <cell r="EN37">
            <v>500</v>
          </cell>
          <cell r="EO37">
            <v>8500</v>
          </cell>
          <cell r="EP37">
            <v>5000</v>
          </cell>
          <cell r="EQ37">
            <v>7000</v>
          </cell>
          <cell r="ER37">
            <v>9000</v>
          </cell>
          <cell r="ES37" t="str">
            <v>NO</v>
          </cell>
          <cell r="ET37">
            <v>1</v>
          </cell>
          <cell r="EU37" t="str">
            <v>SI</v>
          </cell>
          <cell r="EV37" t="str">
            <v>SI</v>
          </cell>
          <cell r="EW37" t="str">
            <v>NO</v>
          </cell>
          <cell r="EX37" t="str">
            <v>NO</v>
          </cell>
          <cell r="EY37" t="str">
            <v>NO</v>
          </cell>
          <cell r="EZ37" t="str">
            <v>NO</v>
          </cell>
          <cell r="FA37" t="str">
            <v>SI</v>
          </cell>
          <cell r="FB37" t="str">
            <v>SI</v>
          </cell>
          <cell r="FC37">
            <v>1684</v>
          </cell>
          <cell r="FD37">
            <v>359</v>
          </cell>
          <cell r="FE37">
            <v>630</v>
          </cell>
          <cell r="FF37">
            <v>1710</v>
          </cell>
          <cell r="FG37">
            <v>2153</v>
          </cell>
          <cell r="FH37">
            <v>1823</v>
          </cell>
          <cell r="FI37">
            <v>1251</v>
          </cell>
          <cell r="FJ37">
            <v>2206</v>
          </cell>
          <cell r="FK37">
            <v>1910</v>
          </cell>
          <cell r="FL37">
            <v>984</v>
          </cell>
          <cell r="FM37" t="str">
            <v>SI</v>
          </cell>
          <cell r="FN37" t="str">
            <v>NO</v>
          </cell>
          <cell r="FO37" t="str">
            <v>SI</v>
          </cell>
          <cell r="FP37" t="str">
            <v>SI</v>
          </cell>
          <cell r="FQ37" t="str">
            <v>SI</v>
          </cell>
          <cell r="FR37" t="str">
            <v>SI</v>
          </cell>
          <cell r="FS37">
            <v>172</v>
          </cell>
          <cell r="FW37" t="str">
            <v>Intermedio</v>
          </cell>
          <cell r="FX37" t="str">
            <v>Fisica</v>
          </cell>
          <cell r="FY37">
            <v>6</v>
          </cell>
          <cell r="FZ37">
            <v>130</v>
          </cell>
          <cell r="GA37" t="str">
            <v>NO</v>
          </cell>
          <cell r="GB37" t="str">
            <v>SI</v>
          </cell>
          <cell r="GC37" t="str">
            <v>SI</v>
          </cell>
          <cell r="GD37" t="str">
            <v>NO</v>
          </cell>
          <cell r="GE37" t="str">
            <v>NO</v>
          </cell>
          <cell r="GF37" t="str">
            <v>NO</v>
          </cell>
          <cell r="GG37" t="str">
            <v>NO</v>
          </cell>
        </row>
        <row r="38">
          <cell r="A38" t="str">
            <v>E001010027004</v>
          </cell>
          <cell r="B38" t="str">
            <v>Si</v>
          </cell>
          <cell r="C38">
            <v>233161.21212121201</v>
          </cell>
          <cell r="D38">
            <v>99999999</v>
          </cell>
          <cell r="E38" t="str">
            <v>Ambos</v>
          </cell>
          <cell r="F38">
            <v>18</v>
          </cell>
          <cell r="G38">
            <v>65</v>
          </cell>
          <cell r="H38" t="str">
            <v>SI</v>
          </cell>
          <cell r="I38" t="str">
            <v>SI</v>
          </cell>
          <cell r="J38" t="str">
            <v>SI</v>
          </cell>
          <cell r="AT38">
            <v>4</v>
          </cell>
          <cell r="AU38">
            <v>6</v>
          </cell>
          <cell r="AV38">
            <v>15000</v>
          </cell>
          <cell r="AW38">
            <v>10000</v>
          </cell>
          <cell r="AX38">
            <v>8</v>
          </cell>
          <cell r="AY38">
            <v>9</v>
          </cell>
          <cell r="AZ38" t="str">
            <v>NO</v>
          </cell>
          <cell r="BA38">
            <v>2</v>
          </cell>
          <cell r="BC38" t="str">
            <v>SI</v>
          </cell>
          <cell r="BD38" t="str">
            <v>SI</v>
          </cell>
          <cell r="BE38" t="str">
            <v>SI</v>
          </cell>
          <cell r="BF38" t="str">
            <v>NO</v>
          </cell>
          <cell r="BG38" t="str">
            <v>SI</v>
          </cell>
          <cell r="BH38" t="str">
            <v>NO</v>
          </cell>
          <cell r="BI38" t="str">
            <v>SI</v>
          </cell>
          <cell r="BJ38" t="str">
            <v>NO</v>
          </cell>
          <cell r="BK38" t="str">
            <v>SI</v>
          </cell>
          <cell r="BL38" t="str">
            <v>NO</v>
          </cell>
          <cell r="BM38" t="str">
            <v>SI</v>
          </cell>
          <cell r="BN38" t="str">
            <v>NO</v>
          </cell>
          <cell r="BO38" t="str">
            <v>SI</v>
          </cell>
          <cell r="BP38" t="str">
            <v>NO</v>
          </cell>
          <cell r="BQ38" t="str">
            <v>NO</v>
          </cell>
          <cell r="BR38" t="str">
            <v>NO</v>
          </cell>
          <cell r="BS38" t="str">
            <v>NO</v>
          </cell>
          <cell r="BT38" t="str">
            <v>NO</v>
          </cell>
          <cell r="BU38" t="str">
            <v>SI</v>
          </cell>
          <cell r="BV38" t="str">
            <v>NO</v>
          </cell>
          <cell r="BW38" t="str">
            <v>SI</v>
          </cell>
          <cell r="BX38" t="str">
            <v>NO</v>
          </cell>
          <cell r="BY38" t="str">
            <v>NO</v>
          </cell>
          <cell r="BZ38" t="str">
            <v>NO</v>
          </cell>
          <cell r="CA38" t="str">
            <v>NO</v>
          </cell>
          <cell r="CB38" t="str">
            <v>SI</v>
          </cell>
          <cell r="CC38" t="str">
            <v>NO</v>
          </cell>
          <cell r="CD38" t="str">
            <v>SI</v>
          </cell>
          <cell r="CE38" t="str">
            <v>SI</v>
          </cell>
          <cell r="CF38" t="str">
            <v>SI</v>
          </cell>
          <cell r="CG38" t="str">
            <v>NO</v>
          </cell>
          <cell r="CH38" t="str">
            <v>SI</v>
          </cell>
          <cell r="CI38" t="str">
            <v>NO</v>
          </cell>
          <cell r="CJ38" t="str">
            <v>NO</v>
          </cell>
          <cell r="CK38" t="str">
            <v>NO</v>
          </cell>
          <cell r="CL38" t="str">
            <v>NO</v>
          </cell>
          <cell r="CM38" t="str">
            <v>NO</v>
          </cell>
          <cell r="CN38" t="str">
            <v>NO</v>
          </cell>
          <cell r="CO38" t="str">
            <v>NO</v>
          </cell>
          <cell r="CP38" t="str">
            <v>NO</v>
          </cell>
          <cell r="CQ38" t="str">
            <v>SI</v>
          </cell>
          <cell r="CR38" t="str">
            <v>SI</v>
          </cell>
          <cell r="CS38" t="str">
            <v>NO</v>
          </cell>
          <cell r="CT38" t="str">
            <v>NO</v>
          </cell>
          <cell r="CU38" t="str">
            <v>SI</v>
          </cell>
          <cell r="CV38" t="str">
            <v>NO</v>
          </cell>
          <cell r="CW38" t="str">
            <v>SI</v>
          </cell>
          <cell r="CX38" t="str">
            <v>SI</v>
          </cell>
          <cell r="CY38" t="str">
            <v>SI</v>
          </cell>
          <cell r="CZ38" t="str">
            <v>SI</v>
          </cell>
          <cell r="DA38" t="str">
            <v>NO</v>
          </cell>
          <cell r="DB38" t="str">
            <v>SI</v>
          </cell>
          <cell r="DC38" t="str">
            <v>SI</v>
          </cell>
          <cell r="DD38" t="str">
            <v>NO</v>
          </cell>
          <cell r="DE38" t="str">
            <v>NO</v>
          </cell>
          <cell r="DF38" t="str">
            <v>SI</v>
          </cell>
          <cell r="DG38" t="str">
            <v>SI</v>
          </cell>
          <cell r="DH38" t="str">
            <v>SI</v>
          </cell>
          <cell r="DI38" t="str">
            <v>SI</v>
          </cell>
          <cell r="DJ38" t="str">
            <v>SI</v>
          </cell>
          <cell r="DK38" t="str">
            <v>NO</v>
          </cell>
          <cell r="DL38" t="str">
            <v>NO</v>
          </cell>
          <cell r="DM38" t="str">
            <v>E001010027004</v>
          </cell>
          <cell r="DN38" t="str">
            <v>E001004</v>
          </cell>
          <cell r="DO38" t="str">
            <v>Abono a Capital UVR</v>
          </cell>
          <cell r="DP38">
            <v>0.1</v>
          </cell>
          <cell r="DQ38">
            <v>1700000</v>
          </cell>
          <cell r="DR38">
            <v>1400000</v>
          </cell>
          <cell r="DS38">
            <v>3</v>
          </cell>
          <cell r="DT38">
            <v>3000</v>
          </cell>
          <cell r="DW38">
            <v>7500</v>
          </cell>
          <cell r="DX38">
            <v>10000</v>
          </cell>
          <cell r="DY38">
            <v>5500</v>
          </cell>
          <cell r="DZ38">
            <v>6500</v>
          </cell>
          <cell r="EA38">
            <v>4500</v>
          </cell>
          <cell r="EB38">
            <v>6500</v>
          </cell>
          <cell r="EC38">
            <v>1500</v>
          </cell>
          <cell r="ED38">
            <v>500</v>
          </cell>
          <cell r="EE38">
            <v>8500</v>
          </cell>
          <cell r="EF38">
            <v>4000</v>
          </cell>
          <cell r="EG38">
            <v>8000</v>
          </cell>
          <cell r="EH38">
            <v>3000</v>
          </cell>
          <cell r="EI38">
            <v>8000</v>
          </cell>
          <cell r="EJ38">
            <v>6000</v>
          </cell>
          <cell r="EK38">
            <v>5000</v>
          </cell>
          <cell r="EL38">
            <v>1500</v>
          </cell>
          <cell r="EM38">
            <v>3000</v>
          </cell>
          <cell r="EN38">
            <v>5000</v>
          </cell>
          <cell r="EO38">
            <v>7500</v>
          </cell>
          <cell r="EP38">
            <v>7500</v>
          </cell>
          <cell r="EQ38">
            <v>8500</v>
          </cell>
          <cell r="ER38">
            <v>8500</v>
          </cell>
          <cell r="ES38" t="str">
            <v>SI</v>
          </cell>
          <cell r="ET38">
            <v>2</v>
          </cell>
          <cell r="EU38" t="str">
            <v>NO</v>
          </cell>
          <cell r="EV38" t="str">
            <v>SI</v>
          </cell>
          <cell r="EW38" t="str">
            <v>SI</v>
          </cell>
          <cell r="EX38" t="str">
            <v>NO</v>
          </cell>
          <cell r="EY38" t="str">
            <v>SI</v>
          </cell>
          <cell r="EZ38" t="str">
            <v>NO</v>
          </cell>
          <cell r="FA38" t="str">
            <v>NO</v>
          </cell>
          <cell r="FB38" t="str">
            <v>SI</v>
          </cell>
          <cell r="FC38">
            <v>2047</v>
          </cell>
          <cell r="FD38">
            <v>1922</v>
          </cell>
          <cell r="FE38">
            <v>1269</v>
          </cell>
          <cell r="FF38">
            <v>611</v>
          </cell>
          <cell r="FG38">
            <v>1149</v>
          </cell>
          <cell r="FH38">
            <v>500</v>
          </cell>
          <cell r="FI38">
            <v>1040</v>
          </cell>
          <cell r="FJ38">
            <v>2004</v>
          </cell>
          <cell r="FK38">
            <v>1362</v>
          </cell>
          <cell r="FL38">
            <v>391</v>
          </cell>
          <cell r="FM38" t="str">
            <v>SI</v>
          </cell>
          <cell r="FN38" t="str">
            <v>SI</v>
          </cell>
          <cell r="FO38" t="str">
            <v>NO</v>
          </cell>
          <cell r="FP38" t="str">
            <v>NO</v>
          </cell>
          <cell r="FQ38" t="str">
            <v>SI</v>
          </cell>
          <cell r="FR38" t="str">
            <v>SI</v>
          </cell>
          <cell r="FS38">
            <v>280</v>
          </cell>
          <cell r="FW38" t="str">
            <v>Presencial</v>
          </cell>
          <cell r="FX38" t="str">
            <v>No</v>
          </cell>
          <cell r="FY38">
            <v>6</v>
          </cell>
          <cell r="FZ38">
            <v>95</v>
          </cell>
          <cell r="GA38" t="str">
            <v>SI</v>
          </cell>
          <cell r="GB38" t="str">
            <v>SI</v>
          </cell>
          <cell r="GC38" t="str">
            <v>SI</v>
          </cell>
          <cell r="GD38" t="str">
            <v>SI</v>
          </cell>
          <cell r="GE38" t="str">
            <v>NO</v>
          </cell>
          <cell r="GF38" t="str">
            <v>SI</v>
          </cell>
          <cell r="GG38" t="str">
            <v>NO</v>
          </cell>
        </row>
        <row r="39">
          <cell r="A39" t="str">
            <v>E001012027001</v>
          </cell>
          <cell r="B39" t="str">
            <v>Si</v>
          </cell>
          <cell r="C39">
            <v>172555.15151515201</v>
          </cell>
          <cell r="D39">
            <v>99999999</v>
          </cell>
          <cell r="E39" t="str">
            <v>Ambos</v>
          </cell>
          <cell r="F39">
            <v>25</v>
          </cell>
          <cell r="G39">
            <v>65</v>
          </cell>
          <cell r="H39" t="str">
            <v>SI</v>
          </cell>
          <cell r="I39" t="str">
            <v>NO</v>
          </cell>
          <cell r="J39" t="str">
            <v>SI</v>
          </cell>
          <cell r="AT39">
            <v>21</v>
          </cell>
          <cell r="AU39">
            <v>6</v>
          </cell>
          <cell r="AV39">
            <v>8000</v>
          </cell>
          <cell r="AW39">
            <v>15000</v>
          </cell>
          <cell r="AX39">
            <v>1</v>
          </cell>
          <cell r="AY39">
            <v>14</v>
          </cell>
          <cell r="AZ39" t="str">
            <v>SI</v>
          </cell>
          <cell r="BA39">
            <v>2</v>
          </cell>
          <cell r="BC39" t="str">
            <v>SI</v>
          </cell>
          <cell r="BD39" t="str">
            <v>SI</v>
          </cell>
          <cell r="BE39" t="str">
            <v>SI</v>
          </cell>
          <cell r="BF39" t="str">
            <v>SI</v>
          </cell>
          <cell r="BG39" t="str">
            <v>SI</v>
          </cell>
          <cell r="BH39" t="str">
            <v>NO</v>
          </cell>
          <cell r="BI39" t="str">
            <v>SI</v>
          </cell>
          <cell r="BJ39" t="str">
            <v>NO</v>
          </cell>
          <cell r="BK39" t="str">
            <v>SI</v>
          </cell>
          <cell r="BL39" t="str">
            <v>NO</v>
          </cell>
          <cell r="BM39" t="str">
            <v>SI</v>
          </cell>
          <cell r="BN39" t="str">
            <v>NO</v>
          </cell>
          <cell r="BO39" t="str">
            <v>SI</v>
          </cell>
          <cell r="BP39" t="str">
            <v>NO</v>
          </cell>
          <cell r="BQ39" t="str">
            <v>NO</v>
          </cell>
          <cell r="BR39" t="str">
            <v>SI</v>
          </cell>
          <cell r="BS39" t="str">
            <v>SI</v>
          </cell>
          <cell r="BT39" t="str">
            <v>SI</v>
          </cell>
          <cell r="BU39" t="str">
            <v>NO</v>
          </cell>
          <cell r="BV39" t="str">
            <v>SI</v>
          </cell>
          <cell r="BW39" t="str">
            <v>SI</v>
          </cell>
          <cell r="BX39" t="str">
            <v>NO</v>
          </cell>
          <cell r="BY39" t="str">
            <v>NO</v>
          </cell>
          <cell r="BZ39" t="str">
            <v>SI</v>
          </cell>
          <cell r="CA39" t="str">
            <v>NO</v>
          </cell>
          <cell r="CB39" t="str">
            <v>NO</v>
          </cell>
          <cell r="CC39" t="str">
            <v>NO</v>
          </cell>
          <cell r="CD39" t="str">
            <v>SI</v>
          </cell>
          <cell r="CE39" t="str">
            <v>SI</v>
          </cell>
          <cell r="CF39" t="str">
            <v>SI</v>
          </cell>
          <cell r="CG39" t="str">
            <v>NO</v>
          </cell>
          <cell r="CH39" t="str">
            <v>SI</v>
          </cell>
          <cell r="CI39" t="str">
            <v>SI</v>
          </cell>
          <cell r="CJ39" t="str">
            <v>SI</v>
          </cell>
          <cell r="CK39" t="str">
            <v>NO</v>
          </cell>
          <cell r="CL39" t="str">
            <v>NO</v>
          </cell>
          <cell r="CM39" t="str">
            <v>NO</v>
          </cell>
          <cell r="CN39" t="str">
            <v>NO</v>
          </cell>
          <cell r="CO39" t="str">
            <v>NO</v>
          </cell>
          <cell r="CP39" t="str">
            <v>NO</v>
          </cell>
          <cell r="CQ39" t="str">
            <v>SI</v>
          </cell>
          <cell r="CR39" t="str">
            <v>SI</v>
          </cell>
          <cell r="CS39" t="str">
            <v>NO</v>
          </cell>
          <cell r="CT39" t="str">
            <v>NO</v>
          </cell>
          <cell r="CU39" t="str">
            <v>SI</v>
          </cell>
          <cell r="CV39" t="str">
            <v>NO</v>
          </cell>
          <cell r="CW39" t="str">
            <v>SI</v>
          </cell>
          <cell r="CX39" t="str">
            <v>SI</v>
          </cell>
          <cell r="CY39" t="str">
            <v>SI</v>
          </cell>
          <cell r="CZ39" t="str">
            <v>SI</v>
          </cell>
          <cell r="DA39" t="str">
            <v>NO</v>
          </cell>
          <cell r="DB39" t="str">
            <v>SI</v>
          </cell>
          <cell r="DC39" t="str">
            <v>SI</v>
          </cell>
          <cell r="DD39" t="str">
            <v>NO</v>
          </cell>
          <cell r="DE39" t="str">
            <v>SI</v>
          </cell>
          <cell r="DF39" t="str">
            <v>SI</v>
          </cell>
          <cell r="DG39" t="str">
            <v>SI</v>
          </cell>
          <cell r="DH39" t="str">
            <v>SI</v>
          </cell>
          <cell r="DI39" t="str">
            <v>NO</v>
          </cell>
          <cell r="DJ39" t="str">
            <v>SI</v>
          </cell>
          <cell r="DK39" t="str">
            <v>NO</v>
          </cell>
          <cell r="DL39" t="str">
            <v>NO</v>
          </cell>
          <cell r="DM39" t="str">
            <v>E001012027001</v>
          </cell>
          <cell r="DN39" t="str">
            <v>E001005</v>
          </cell>
          <cell r="DO39" t="str">
            <v>Cuota fija Pesos</v>
          </cell>
          <cell r="DP39">
            <v>0.14000000000000001</v>
          </cell>
          <cell r="DQ39">
            <v>2400000</v>
          </cell>
          <cell r="DR39">
            <v>1400000</v>
          </cell>
          <cell r="DS39">
            <v>2</v>
          </cell>
          <cell r="DT39">
            <v>1500</v>
          </cell>
          <cell r="DW39">
            <v>10000</v>
          </cell>
          <cell r="DX39">
            <v>8500</v>
          </cell>
          <cell r="DY39">
            <v>1000</v>
          </cell>
          <cell r="DZ39">
            <v>2000</v>
          </cell>
          <cell r="EA39">
            <v>7000</v>
          </cell>
          <cell r="EB39">
            <v>10000</v>
          </cell>
          <cell r="EC39">
            <v>4000</v>
          </cell>
          <cell r="ED39">
            <v>500</v>
          </cell>
          <cell r="EE39">
            <v>6500</v>
          </cell>
          <cell r="EF39">
            <v>1500</v>
          </cell>
          <cell r="EG39">
            <v>10000</v>
          </cell>
          <cell r="EH39">
            <v>6500</v>
          </cell>
          <cell r="EI39">
            <v>5000</v>
          </cell>
          <cell r="EJ39">
            <v>10000</v>
          </cell>
          <cell r="EK39">
            <v>8500</v>
          </cell>
          <cell r="EL39">
            <v>9000</v>
          </cell>
          <cell r="EM39">
            <v>9000</v>
          </cell>
          <cell r="EN39">
            <v>6000</v>
          </cell>
          <cell r="EO39">
            <v>9000</v>
          </cell>
          <cell r="EP39">
            <v>1500</v>
          </cell>
          <cell r="EQ39">
            <v>7500</v>
          </cell>
          <cell r="ER39">
            <v>8000</v>
          </cell>
          <cell r="ES39" t="str">
            <v>NO</v>
          </cell>
          <cell r="ET39">
            <v>2</v>
          </cell>
          <cell r="EU39" t="str">
            <v>SI</v>
          </cell>
          <cell r="EV39" t="str">
            <v>SI</v>
          </cell>
          <cell r="EW39" t="str">
            <v>NO</v>
          </cell>
          <cell r="EX39" t="str">
            <v>SI</v>
          </cell>
          <cell r="EY39" t="str">
            <v>SI</v>
          </cell>
          <cell r="EZ39" t="str">
            <v>NO</v>
          </cell>
          <cell r="FA39" t="str">
            <v>NO</v>
          </cell>
          <cell r="FB39" t="str">
            <v>SI</v>
          </cell>
          <cell r="FC39">
            <v>1343</v>
          </cell>
          <cell r="FD39">
            <v>1354</v>
          </cell>
          <cell r="FE39">
            <v>1191</v>
          </cell>
          <cell r="FF39">
            <v>1001</v>
          </cell>
          <cell r="FG39">
            <v>2188</v>
          </cell>
          <cell r="FH39">
            <v>1065</v>
          </cell>
          <cell r="FI39">
            <v>1786</v>
          </cell>
          <cell r="FJ39">
            <v>1519</v>
          </cell>
          <cell r="FK39">
            <v>1937</v>
          </cell>
          <cell r="FL39">
            <v>1235</v>
          </cell>
          <cell r="FM39" t="str">
            <v>NO</v>
          </cell>
          <cell r="FN39" t="str">
            <v>NO</v>
          </cell>
          <cell r="FO39" t="str">
            <v>SI</v>
          </cell>
          <cell r="FP39" t="str">
            <v>NO</v>
          </cell>
          <cell r="FQ39" t="str">
            <v>NO</v>
          </cell>
          <cell r="FR39" t="str">
            <v>NO</v>
          </cell>
          <cell r="FS39">
            <v>0</v>
          </cell>
          <cell r="FW39" t="str">
            <v>Intermedio</v>
          </cell>
          <cell r="FX39" t="str">
            <v>Virtual</v>
          </cell>
          <cell r="FY39">
            <v>4</v>
          </cell>
          <cell r="FZ39">
            <v>57</v>
          </cell>
          <cell r="GA39" t="str">
            <v>NO</v>
          </cell>
          <cell r="GB39" t="str">
            <v>NO</v>
          </cell>
          <cell r="GC39" t="str">
            <v>NO</v>
          </cell>
          <cell r="GD39" t="str">
            <v>SI</v>
          </cell>
          <cell r="GE39" t="str">
            <v>SI</v>
          </cell>
          <cell r="GF39" t="str">
            <v>NO</v>
          </cell>
          <cell r="GG39" t="str">
            <v>SI</v>
          </cell>
        </row>
        <row r="40">
          <cell r="A40" t="str">
            <v>E001012027002</v>
          </cell>
          <cell r="B40" t="str">
            <v>No</v>
          </cell>
          <cell r="C40">
            <v>111949.09090909301</v>
          </cell>
          <cell r="D40">
            <v>99999999</v>
          </cell>
          <cell r="E40" t="str">
            <v>Ambos</v>
          </cell>
          <cell r="F40">
            <v>18</v>
          </cell>
          <cell r="G40">
            <v>65</v>
          </cell>
          <cell r="H40" t="str">
            <v>SI</v>
          </cell>
          <cell r="I40" t="str">
            <v>SI</v>
          </cell>
          <cell r="J40" t="str">
            <v>NO</v>
          </cell>
          <cell r="AT40">
            <v>23</v>
          </cell>
          <cell r="AU40">
            <v>10</v>
          </cell>
          <cell r="AV40">
            <v>10000</v>
          </cell>
          <cell r="AW40">
            <v>15000</v>
          </cell>
          <cell r="AX40">
            <v>12</v>
          </cell>
          <cell r="AY40">
            <v>1</v>
          </cell>
          <cell r="AZ40" t="str">
            <v>SI</v>
          </cell>
          <cell r="BA40">
            <v>4</v>
          </cell>
          <cell r="BC40" t="str">
            <v>NO</v>
          </cell>
          <cell r="BD40" t="str">
            <v>NO</v>
          </cell>
          <cell r="BE40" t="str">
            <v>SI</v>
          </cell>
          <cell r="BF40" t="str">
            <v>SI</v>
          </cell>
          <cell r="BG40" t="str">
            <v>SI</v>
          </cell>
          <cell r="BH40" t="str">
            <v>NO</v>
          </cell>
          <cell r="BI40" t="str">
            <v>SI</v>
          </cell>
          <cell r="BJ40" t="str">
            <v>NO</v>
          </cell>
          <cell r="BK40" t="str">
            <v>SI</v>
          </cell>
          <cell r="BL40" t="str">
            <v>NO</v>
          </cell>
          <cell r="BM40" t="str">
            <v>NO</v>
          </cell>
          <cell r="BN40" t="str">
            <v>NO</v>
          </cell>
          <cell r="BO40" t="str">
            <v>SI</v>
          </cell>
          <cell r="BP40" t="str">
            <v>SI</v>
          </cell>
          <cell r="BQ40" t="str">
            <v>NO</v>
          </cell>
          <cell r="BR40" t="str">
            <v>NO</v>
          </cell>
          <cell r="BS40" t="str">
            <v>NO</v>
          </cell>
          <cell r="BT40" t="str">
            <v>NO</v>
          </cell>
          <cell r="BU40" t="str">
            <v>SI</v>
          </cell>
          <cell r="BV40" t="str">
            <v>NO</v>
          </cell>
          <cell r="BW40" t="str">
            <v>NO</v>
          </cell>
          <cell r="BX40" t="str">
            <v>NO</v>
          </cell>
          <cell r="BY40" t="str">
            <v>NO</v>
          </cell>
          <cell r="BZ40" t="str">
            <v>NO</v>
          </cell>
          <cell r="CA40" t="str">
            <v>SI</v>
          </cell>
          <cell r="CB40" t="str">
            <v>SI</v>
          </cell>
          <cell r="CC40" t="str">
            <v>SI</v>
          </cell>
          <cell r="CD40" t="str">
            <v>SI</v>
          </cell>
          <cell r="CE40" t="str">
            <v>SI</v>
          </cell>
          <cell r="CF40" t="str">
            <v>SI</v>
          </cell>
          <cell r="CG40" t="str">
            <v>NO</v>
          </cell>
          <cell r="CH40" t="str">
            <v>SI</v>
          </cell>
          <cell r="CI40" t="str">
            <v>SI</v>
          </cell>
          <cell r="CJ40" t="str">
            <v>NO</v>
          </cell>
          <cell r="CK40" t="str">
            <v>NO</v>
          </cell>
          <cell r="CL40" t="str">
            <v>SI</v>
          </cell>
          <cell r="CM40" t="str">
            <v>NO</v>
          </cell>
          <cell r="CN40" t="str">
            <v>NO</v>
          </cell>
          <cell r="CO40" t="str">
            <v>NO</v>
          </cell>
          <cell r="CP40" t="str">
            <v>NO</v>
          </cell>
          <cell r="CQ40" t="str">
            <v>SI</v>
          </cell>
          <cell r="CR40" t="str">
            <v>SI</v>
          </cell>
          <cell r="CS40" t="str">
            <v>NO</v>
          </cell>
          <cell r="CT40" t="str">
            <v>NO</v>
          </cell>
          <cell r="CU40" t="str">
            <v>SI</v>
          </cell>
          <cell r="CV40" t="str">
            <v>NO</v>
          </cell>
          <cell r="CW40" t="str">
            <v>NO</v>
          </cell>
          <cell r="CX40" t="str">
            <v>SI</v>
          </cell>
          <cell r="CY40" t="str">
            <v>SI</v>
          </cell>
          <cell r="CZ40" t="str">
            <v>SI</v>
          </cell>
          <cell r="DA40" t="str">
            <v>NO</v>
          </cell>
          <cell r="DB40" t="str">
            <v>NO</v>
          </cell>
          <cell r="DC40" t="str">
            <v>SI</v>
          </cell>
          <cell r="DD40" t="str">
            <v>SI</v>
          </cell>
          <cell r="DE40" t="str">
            <v>SI</v>
          </cell>
          <cell r="DF40" t="str">
            <v>SI</v>
          </cell>
          <cell r="DG40" t="str">
            <v>SI</v>
          </cell>
          <cell r="DH40" t="str">
            <v>SI</v>
          </cell>
          <cell r="DI40" t="str">
            <v>SI</v>
          </cell>
          <cell r="DJ40" t="str">
            <v>SI</v>
          </cell>
          <cell r="DK40" t="str">
            <v>SI</v>
          </cell>
          <cell r="DL40" t="str">
            <v>SI</v>
          </cell>
          <cell r="DM40" t="str">
            <v>E001012027002</v>
          </cell>
          <cell r="DN40" t="str">
            <v>E001005</v>
          </cell>
          <cell r="DO40" t="str">
            <v>Abono a Capital Pesos</v>
          </cell>
          <cell r="DP40">
            <v>0.15</v>
          </cell>
          <cell r="DQ40">
            <v>1800000</v>
          </cell>
          <cell r="DR40">
            <v>1400000</v>
          </cell>
          <cell r="DS40">
            <v>1</v>
          </cell>
          <cell r="DT40">
            <v>9500</v>
          </cell>
          <cell r="DW40">
            <v>6000</v>
          </cell>
          <cell r="DX40">
            <v>6000</v>
          </cell>
          <cell r="DY40">
            <v>0</v>
          </cell>
          <cell r="DZ40">
            <v>1000</v>
          </cell>
          <cell r="EA40">
            <v>3500</v>
          </cell>
          <cell r="EB40">
            <v>8500</v>
          </cell>
          <cell r="EC40">
            <v>1500</v>
          </cell>
          <cell r="ED40">
            <v>5500</v>
          </cell>
          <cell r="EE40">
            <v>500</v>
          </cell>
          <cell r="EF40">
            <v>4500</v>
          </cell>
          <cell r="EG40">
            <v>7000</v>
          </cell>
          <cell r="EH40">
            <v>1500</v>
          </cell>
          <cell r="EI40">
            <v>0</v>
          </cell>
          <cell r="EJ40">
            <v>5500</v>
          </cell>
          <cell r="EK40">
            <v>5000</v>
          </cell>
          <cell r="EL40">
            <v>500</v>
          </cell>
          <cell r="EM40">
            <v>4500</v>
          </cell>
          <cell r="EN40">
            <v>4500</v>
          </cell>
          <cell r="EO40">
            <v>2000</v>
          </cell>
          <cell r="EP40">
            <v>9000</v>
          </cell>
          <cell r="EQ40">
            <v>7500</v>
          </cell>
          <cell r="ER40">
            <v>3000</v>
          </cell>
          <cell r="ES40" t="str">
            <v>SI</v>
          </cell>
          <cell r="ET40">
            <v>1</v>
          </cell>
          <cell r="EU40" t="str">
            <v>NO</v>
          </cell>
          <cell r="EV40" t="str">
            <v>SI</v>
          </cell>
          <cell r="EW40" t="str">
            <v>NO</v>
          </cell>
          <cell r="EX40" t="str">
            <v>NO</v>
          </cell>
          <cell r="EY40" t="str">
            <v>SI</v>
          </cell>
          <cell r="EZ40" t="str">
            <v>NO</v>
          </cell>
          <cell r="FA40" t="str">
            <v>NO</v>
          </cell>
          <cell r="FB40" t="str">
            <v>NO</v>
          </cell>
          <cell r="FC40">
            <v>1937</v>
          </cell>
          <cell r="FD40">
            <v>1916</v>
          </cell>
          <cell r="FE40">
            <v>1924</v>
          </cell>
          <cell r="FF40">
            <v>586</v>
          </cell>
          <cell r="FG40">
            <v>234</v>
          </cell>
          <cell r="FH40">
            <v>793</v>
          </cell>
          <cell r="FI40">
            <v>504</v>
          </cell>
          <cell r="FJ40">
            <v>2287</v>
          </cell>
          <cell r="FK40">
            <v>2066</v>
          </cell>
          <cell r="FL40">
            <v>2123</v>
          </cell>
          <cell r="FM40" t="str">
            <v>NO</v>
          </cell>
          <cell r="FN40" t="str">
            <v>SI</v>
          </cell>
          <cell r="FO40" t="str">
            <v>SI</v>
          </cell>
          <cell r="FP40" t="str">
            <v>NO</v>
          </cell>
          <cell r="FQ40" t="str">
            <v>SI</v>
          </cell>
          <cell r="FR40" t="str">
            <v>SI</v>
          </cell>
          <cell r="FS40">
            <v>103</v>
          </cell>
          <cell r="FW40" t="str">
            <v>Presencial</v>
          </cell>
          <cell r="FX40" t="str">
            <v>No</v>
          </cell>
          <cell r="FY40">
            <v>6</v>
          </cell>
          <cell r="FZ40">
            <v>158</v>
          </cell>
          <cell r="GA40" t="str">
            <v>SI</v>
          </cell>
          <cell r="GB40" t="str">
            <v>SI</v>
          </cell>
          <cell r="GC40" t="str">
            <v>NO</v>
          </cell>
          <cell r="GD40" t="str">
            <v>NO</v>
          </cell>
          <cell r="GE40" t="str">
            <v>NO</v>
          </cell>
          <cell r="GF40" t="str">
            <v>NO</v>
          </cell>
          <cell r="GG40" t="str">
            <v>SI</v>
          </cell>
        </row>
        <row r="41">
          <cell r="A41" t="str">
            <v>E001012027003</v>
          </cell>
          <cell r="B41" t="str">
            <v>Si</v>
          </cell>
          <cell r="C41">
            <v>51343.030303032603</v>
          </cell>
          <cell r="D41">
            <v>99999999</v>
          </cell>
          <cell r="E41" t="str">
            <v>Ambos</v>
          </cell>
          <cell r="F41">
            <v>18</v>
          </cell>
          <cell r="G41">
            <v>65</v>
          </cell>
          <cell r="H41" t="str">
            <v>SI</v>
          </cell>
          <cell r="I41" t="str">
            <v>SI</v>
          </cell>
          <cell r="J41" t="str">
            <v>SI</v>
          </cell>
          <cell r="AT41">
            <v>21</v>
          </cell>
          <cell r="AU41">
            <v>12</v>
          </cell>
          <cell r="AV41">
            <v>5000</v>
          </cell>
          <cell r="AW41">
            <v>12000</v>
          </cell>
          <cell r="AX41">
            <v>5</v>
          </cell>
          <cell r="AY41">
            <v>2</v>
          </cell>
          <cell r="AZ41" t="str">
            <v>SI</v>
          </cell>
          <cell r="BA41">
            <v>3</v>
          </cell>
          <cell r="BC41" t="str">
            <v>SI</v>
          </cell>
          <cell r="BD41" t="str">
            <v>SI</v>
          </cell>
          <cell r="BE41" t="str">
            <v>SI</v>
          </cell>
          <cell r="BF41" t="str">
            <v>SI</v>
          </cell>
          <cell r="BG41" t="str">
            <v>SI</v>
          </cell>
          <cell r="BH41" t="str">
            <v>NO</v>
          </cell>
          <cell r="BI41" t="str">
            <v>SI</v>
          </cell>
          <cell r="BJ41" t="str">
            <v>SI</v>
          </cell>
          <cell r="BK41" t="str">
            <v>SI</v>
          </cell>
          <cell r="BL41" t="str">
            <v>SI</v>
          </cell>
          <cell r="BM41" t="str">
            <v>SI</v>
          </cell>
          <cell r="BN41" t="str">
            <v>NO</v>
          </cell>
          <cell r="BO41" t="str">
            <v>NO</v>
          </cell>
          <cell r="BP41" t="str">
            <v>NO</v>
          </cell>
          <cell r="BQ41" t="str">
            <v>SI</v>
          </cell>
          <cell r="BR41" t="str">
            <v>NO</v>
          </cell>
          <cell r="BS41" t="str">
            <v>SI</v>
          </cell>
          <cell r="BT41" t="str">
            <v>SI</v>
          </cell>
          <cell r="BU41" t="str">
            <v>SI</v>
          </cell>
          <cell r="BV41" t="str">
            <v>NO</v>
          </cell>
          <cell r="BW41" t="str">
            <v>SI</v>
          </cell>
          <cell r="BX41" t="str">
            <v>NO</v>
          </cell>
          <cell r="BY41" t="str">
            <v>NO</v>
          </cell>
          <cell r="BZ41" t="str">
            <v>SI</v>
          </cell>
          <cell r="CA41" t="str">
            <v>NO</v>
          </cell>
          <cell r="CB41" t="str">
            <v>NO</v>
          </cell>
          <cell r="CC41" t="str">
            <v>NO</v>
          </cell>
          <cell r="CD41" t="str">
            <v>SI</v>
          </cell>
          <cell r="CE41" t="str">
            <v>SI</v>
          </cell>
          <cell r="CF41" t="str">
            <v>SI</v>
          </cell>
          <cell r="CG41" t="str">
            <v>SI</v>
          </cell>
          <cell r="CH41" t="str">
            <v>SI</v>
          </cell>
          <cell r="CI41" t="str">
            <v>NO</v>
          </cell>
          <cell r="CJ41" t="str">
            <v>SI</v>
          </cell>
          <cell r="CK41" t="str">
            <v>NO</v>
          </cell>
          <cell r="CL41" t="str">
            <v>NO</v>
          </cell>
          <cell r="CM41" t="str">
            <v>NO</v>
          </cell>
          <cell r="CN41" t="str">
            <v>NO</v>
          </cell>
          <cell r="CO41" t="str">
            <v>NO</v>
          </cell>
          <cell r="CP41" t="str">
            <v>NO</v>
          </cell>
          <cell r="CQ41" t="str">
            <v>SI</v>
          </cell>
          <cell r="CR41" t="str">
            <v>SI</v>
          </cell>
          <cell r="CS41" t="str">
            <v>NO</v>
          </cell>
          <cell r="CT41" t="str">
            <v>NO</v>
          </cell>
          <cell r="CU41" t="str">
            <v>SI</v>
          </cell>
          <cell r="CV41" t="str">
            <v>NO</v>
          </cell>
          <cell r="CW41" t="str">
            <v>SI</v>
          </cell>
          <cell r="CX41" t="str">
            <v>NO</v>
          </cell>
          <cell r="CY41" t="str">
            <v>NO</v>
          </cell>
          <cell r="CZ41" t="str">
            <v>NO</v>
          </cell>
          <cell r="DA41" t="str">
            <v>NO</v>
          </cell>
          <cell r="DB41" t="str">
            <v>SI</v>
          </cell>
          <cell r="DC41" t="str">
            <v>NO</v>
          </cell>
          <cell r="DD41" t="str">
            <v>SI</v>
          </cell>
          <cell r="DE41" t="str">
            <v>NO</v>
          </cell>
          <cell r="DF41" t="str">
            <v>SI</v>
          </cell>
          <cell r="DG41" t="str">
            <v>SI</v>
          </cell>
          <cell r="DH41" t="str">
            <v>SI</v>
          </cell>
          <cell r="DI41" t="str">
            <v>SI</v>
          </cell>
          <cell r="DJ41" t="str">
            <v>SI</v>
          </cell>
          <cell r="DK41" t="str">
            <v>NO</v>
          </cell>
          <cell r="DL41" t="str">
            <v>NO</v>
          </cell>
          <cell r="DM41" t="str">
            <v>E001012027003</v>
          </cell>
          <cell r="DN41" t="str">
            <v>E001005</v>
          </cell>
          <cell r="DO41" t="str">
            <v>Cuota fija UVR</v>
          </cell>
          <cell r="DP41">
            <v>0.12</v>
          </cell>
          <cell r="DQ41">
            <v>2100000</v>
          </cell>
          <cell r="DR41">
            <v>1300000</v>
          </cell>
          <cell r="DS41">
            <v>3</v>
          </cell>
          <cell r="DT41">
            <v>5500</v>
          </cell>
          <cell r="DW41">
            <v>6000</v>
          </cell>
          <cell r="DX41">
            <v>3500</v>
          </cell>
          <cell r="DY41">
            <v>5500</v>
          </cell>
          <cell r="DZ41">
            <v>8500</v>
          </cell>
          <cell r="EA41">
            <v>4500</v>
          </cell>
          <cell r="EB41">
            <v>4500</v>
          </cell>
          <cell r="EC41">
            <v>9500</v>
          </cell>
          <cell r="ED41">
            <v>7500</v>
          </cell>
          <cell r="EE41">
            <v>2500</v>
          </cell>
          <cell r="EF41">
            <v>500</v>
          </cell>
          <cell r="EG41">
            <v>0</v>
          </cell>
          <cell r="EH41">
            <v>3500</v>
          </cell>
          <cell r="EI41">
            <v>5500</v>
          </cell>
          <cell r="EJ41">
            <v>7500</v>
          </cell>
          <cell r="EK41">
            <v>3500</v>
          </cell>
          <cell r="EL41">
            <v>3000</v>
          </cell>
          <cell r="EM41">
            <v>0</v>
          </cell>
          <cell r="EN41">
            <v>5000</v>
          </cell>
          <cell r="EO41">
            <v>8000</v>
          </cell>
          <cell r="EP41">
            <v>5500</v>
          </cell>
          <cell r="EQ41">
            <v>2000</v>
          </cell>
          <cell r="ER41">
            <v>0</v>
          </cell>
          <cell r="ES41" t="str">
            <v>NO</v>
          </cell>
          <cell r="ET41">
            <v>6</v>
          </cell>
          <cell r="EU41" t="str">
            <v>SI</v>
          </cell>
          <cell r="EV41" t="str">
            <v>NO</v>
          </cell>
          <cell r="EW41" t="str">
            <v>SI</v>
          </cell>
          <cell r="EX41" t="str">
            <v>SI</v>
          </cell>
          <cell r="EY41" t="str">
            <v>SI</v>
          </cell>
          <cell r="EZ41" t="str">
            <v>SI</v>
          </cell>
          <cell r="FA41" t="str">
            <v>SI</v>
          </cell>
          <cell r="FB41" t="str">
            <v>SI</v>
          </cell>
          <cell r="FC41">
            <v>1236</v>
          </cell>
          <cell r="FD41">
            <v>1794</v>
          </cell>
          <cell r="FE41">
            <v>1628</v>
          </cell>
          <cell r="FF41">
            <v>330</v>
          </cell>
          <cell r="FG41">
            <v>741</v>
          </cell>
          <cell r="FH41">
            <v>847</v>
          </cell>
          <cell r="FI41">
            <v>211</v>
          </cell>
          <cell r="FJ41">
            <v>1340</v>
          </cell>
          <cell r="FK41">
            <v>1183</v>
          </cell>
          <cell r="FL41">
            <v>1507</v>
          </cell>
          <cell r="FM41" t="str">
            <v>SI</v>
          </cell>
          <cell r="FN41" t="str">
            <v>SI</v>
          </cell>
          <cell r="FO41" t="str">
            <v>SI</v>
          </cell>
          <cell r="FP41" t="str">
            <v>NO</v>
          </cell>
          <cell r="FQ41" t="str">
            <v>SI</v>
          </cell>
          <cell r="FR41" t="str">
            <v>NO</v>
          </cell>
          <cell r="FS41">
            <v>0</v>
          </cell>
          <cell r="FW41" t="str">
            <v>Virtual</v>
          </cell>
          <cell r="FX41" t="str">
            <v>No</v>
          </cell>
          <cell r="FY41">
            <v>3</v>
          </cell>
          <cell r="FZ41">
            <v>87</v>
          </cell>
          <cell r="GA41" t="str">
            <v>SI</v>
          </cell>
          <cell r="GB41" t="str">
            <v>SI</v>
          </cell>
          <cell r="GC41" t="str">
            <v>NO</v>
          </cell>
          <cell r="GD41" t="str">
            <v>NO</v>
          </cell>
          <cell r="GE41" t="str">
            <v>NO</v>
          </cell>
          <cell r="GF41" t="str">
            <v>SI</v>
          </cell>
          <cell r="GG41" t="str">
            <v>SI</v>
          </cell>
        </row>
        <row r="42">
          <cell r="A42" t="str">
            <v>E001012027004</v>
          </cell>
          <cell r="B42" t="str">
            <v>Si</v>
          </cell>
          <cell r="C42">
            <v>-9263.0303030274808</v>
          </cell>
          <cell r="D42">
            <v>99999999</v>
          </cell>
          <cell r="E42" t="str">
            <v>Ambos</v>
          </cell>
          <cell r="F42">
            <v>30</v>
          </cell>
          <cell r="G42">
            <v>65</v>
          </cell>
          <cell r="H42" t="str">
            <v>SI</v>
          </cell>
          <cell r="I42" t="str">
            <v>SI</v>
          </cell>
          <cell r="J42" t="str">
            <v>SI</v>
          </cell>
          <cell r="AT42">
            <v>21</v>
          </cell>
          <cell r="AU42">
            <v>8</v>
          </cell>
          <cell r="AV42">
            <v>5000</v>
          </cell>
          <cell r="AW42">
            <v>15000</v>
          </cell>
          <cell r="AX42">
            <v>2</v>
          </cell>
          <cell r="AY42">
            <v>5</v>
          </cell>
          <cell r="AZ42" t="str">
            <v>NO</v>
          </cell>
          <cell r="BA42">
            <v>1</v>
          </cell>
          <cell r="BC42" t="str">
            <v>NO</v>
          </cell>
          <cell r="BD42" t="str">
            <v>NO</v>
          </cell>
          <cell r="BE42" t="str">
            <v>SI</v>
          </cell>
          <cell r="BF42" t="str">
            <v>SI</v>
          </cell>
          <cell r="BG42" t="str">
            <v>SI</v>
          </cell>
          <cell r="BH42" t="str">
            <v>SI</v>
          </cell>
          <cell r="BI42" t="str">
            <v>SI</v>
          </cell>
          <cell r="BJ42" t="str">
            <v>NO</v>
          </cell>
          <cell r="BK42" t="str">
            <v>SI</v>
          </cell>
          <cell r="BL42" t="str">
            <v>NO</v>
          </cell>
          <cell r="BM42" t="str">
            <v>NO</v>
          </cell>
          <cell r="BN42" t="str">
            <v>NO</v>
          </cell>
          <cell r="BO42" t="str">
            <v>SI</v>
          </cell>
          <cell r="BP42" t="str">
            <v>NO</v>
          </cell>
          <cell r="BQ42" t="str">
            <v>NO</v>
          </cell>
          <cell r="BR42" t="str">
            <v>NO</v>
          </cell>
          <cell r="BS42" t="str">
            <v>SI</v>
          </cell>
          <cell r="BT42" t="str">
            <v>SI</v>
          </cell>
          <cell r="BU42" t="str">
            <v>SI</v>
          </cell>
          <cell r="BV42" t="str">
            <v>SI</v>
          </cell>
          <cell r="BW42" t="str">
            <v>SI</v>
          </cell>
          <cell r="BX42" t="str">
            <v>SI</v>
          </cell>
          <cell r="BY42" t="str">
            <v>SI</v>
          </cell>
          <cell r="BZ42" t="str">
            <v>NO</v>
          </cell>
          <cell r="CA42" t="str">
            <v>SI</v>
          </cell>
          <cell r="CB42" t="str">
            <v>SI</v>
          </cell>
          <cell r="CC42" t="str">
            <v>SI</v>
          </cell>
          <cell r="CD42" t="str">
            <v>SI</v>
          </cell>
          <cell r="CE42" t="str">
            <v>SI</v>
          </cell>
          <cell r="CF42" t="str">
            <v>SI</v>
          </cell>
          <cell r="CG42" t="str">
            <v>NO</v>
          </cell>
          <cell r="CH42" t="str">
            <v>SI</v>
          </cell>
          <cell r="CI42" t="str">
            <v>SI</v>
          </cell>
          <cell r="CJ42" t="str">
            <v>NO</v>
          </cell>
          <cell r="CK42" t="str">
            <v>NO</v>
          </cell>
          <cell r="CL42" t="str">
            <v>SI</v>
          </cell>
          <cell r="CM42" t="str">
            <v>NO</v>
          </cell>
          <cell r="CN42" t="str">
            <v>NO</v>
          </cell>
          <cell r="CO42" t="str">
            <v>NO</v>
          </cell>
          <cell r="CP42" t="str">
            <v>NO</v>
          </cell>
          <cell r="CQ42" t="str">
            <v>SI</v>
          </cell>
          <cell r="CR42" t="str">
            <v>SI</v>
          </cell>
          <cell r="CS42" t="str">
            <v>NO</v>
          </cell>
          <cell r="CT42" t="str">
            <v>NO</v>
          </cell>
          <cell r="CU42" t="str">
            <v>SI</v>
          </cell>
          <cell r="CV42" t="str">
            <v>NO</v>
          </cell>
          <cell r="CW42" t="str">
            <v>NO</v>
          </cell>
          <cell r="CX42" t="str">
            <v>SI</v>
          </cell>
          <cell r="CY42" t="str">
            <v>NO</v>
          </cell>
          <cell r="CZ42" t="str">
            <v>SI</v>
          </cell>
          <cell r="DA42" t="str">
            <v>NO</v>
          </cell>
          <cell r="DB42" t="str">
            <v>NO</v>
          </cell>
          <cell r="DC42" t="str">
            <v>SI</v>
          </cell>
          <cell r="DD42" t="str">
            <v>NO</v>
          </cell>
          <cell r="DE42" t="str">
            <v>SI</v>
          </cell>
          <cell r="DF42" t="str">
            <v>SI</v>
          </cell>
          <cell r="DG42" t="str">
            <v>NO</v>
          </cell>
          <cell r="DH42" t="str">
            <v>NO</v>
          </cell>
          <cell r="DI42" t="str">
            <v>NO</v>
          </cell>
          <cell r="DJ42" t="str">
            <v>NO</v>
          </cell>
          <cell r="DK42" t="str">
            <v>SI</v>
          </cell>
          <cell r="DL42" t="str">
            <v>SI</v>
          </cell>
          <cell r="DM42" t="str">
            <v>E001012027004</v>
          </cell>
          <cell r="DN42" t="str">
            <v>E001005</v>
          </cell>
          <cell r="DO42" t="str">
            <v>Cuota Decreciente mensualmete UVR</v>
          </cell>
          <cell r="DP42">
            <v>0.08</v>
          </cell>
          <cell r="DQ42">
            <v>1900000</v>
          </cell>
          <cell r="DR42">
            <v>1500000</v>
          </cell>
          <cell r="DS42">
            <v>2</v>
          </cell>
          <cell r="DT42">
            <v>10000</v>
          </cell>
          <cell r="DW42">
            <v>4500</v>
          </cell>
          <cell r="DX42">
            <v>6000</v>
          </cell>
          <cell r="DY42">
            <v>3000</v>
          </cell>
          <cell r="DZ42">
            <v>6000</v>
          </cell>
          <cell r="EA42">
            <v>5500</v>
          </cell>
          <cell r="EB42">
            <v>3500</v>
          </cell>
          <cell r="EC42">
            <v>2500</v>
          </cell>
          <cell r="ED42">
            <v>3500</v>
          </cell>
          <cell r="EE42">
            <v>4000</v>
          </cell>
          <cell r="EF42">
            <v>9000</v>
          </cell>
          <cell r="EG42">
            <v>3500</v>
          </cell>
          <cell r="EH42">
            <v>0</v>
          </cell>
          <cell r="EI42">
            <v>4500</v>
          </cell>
          <cell r="EJ42">
            <v>2000</v>
          </cell>
          <cell r="EK42">
            <v>7500</v>
          </cell>
          <cell r="EL42">
            <v>9000</v>
          </cell>
          <cell r="EM42">
            <v>7000</v>
          </cell>
          <cell r="EN42">
            <v>1000</v>
          </cell>
          <cell r="EO42">
            <v>8500</v>
          </cell>
          <cell r="EP42">
            <v>9500</v>
          </cell>
          <cell r="EQ42">
            <v>4500</v>
          </cell>
          <cell r="ER42">
            <v>500</v>
          </cell>
          <cell r="ES42" t="str">
            <v>NO</v>
          </cell>
          <cell r="ET42">
            <v>30</v>
          </cell>
          <cell r="EU42" t="str">
            <v>NO</v>
          </cell>
          <cell r="EV42" t="str">
            <v>SI</v>
          </cell>
          <cell r="EW42" t="str">
            <v>SI</v>
          </cell>
          <cell r="EX42" t="str">
            <v>NO</v>
          </cell>
          <cell r="EY42" t="str">
            <v>NO</v>
          </cell>
          <cell r="EZ42" t="str">
            <v>SI</v>
          </cell>
          <cell r="FA42" t="str">
            <v>SI</v>
          </cell>
          <cell r="FB42" t="str">
            <v>NO</v>
          </cell>
          <cell r="FC42">
            <v>1454</v>
          </cell>
          <cell r="FD42">
            <v>1011</v>
          </cell>
          <cell r="FE42">
            <v>1265</v>
          </cell>
          <cell r="FF42">
            <v>1881</v>
          </cell>
          <cell r="FG42">
            <v>1055</v>
          </cell>
          <cell r="FH42">
            <v>1262</v>
          </cell>
          <cell r="FI42">
            <v>431</v>
          </cell>
          <cell r="FJ42">
            <v>802</v>
          </cell>
          <cell r="FK42">
            <v>1708</v>
          </cell>
          <cell r="FL42">
            <v>2019</v>
          </cell>
          <cell r="FM42" t="str">
            <v>SI</v>
          </cell>
          <cell r="FN42" t="str">
            <v>SI</v>
          </cell>
          <cell r="FO42" t="str">
            <v>SI</v>
          </cell>
          <cell r="FP42" t="str">
            <v>NO</v>
          </cell>
          <cell r="FQ42" t="str">
            <v>NO</v>
          </cell>
          <cell r="FR42" t="str">
            <v>SI</v>
          </cell>
          <cell r="FS42">
            <v>29</v>
          </cell>
          <cell r="FW42" t="str">
            <v>Presencial</v>
          </cell>
          <cell r="FX42" t="str">
            <v>Virtual</v>
          </cell>
          <cell r="FY42">
            <v>5</v>
          </cell>
          <cell r="FZ42">
            <v>108</v>
          </cell>
          <cell r="GA42" t="str">
            <v>SI</v>
          </cell>
          <cell r="GB42" t="str">
            <v>SI</v>
          </cell>
          <cell r="GC42" t="str">
            <v>SI</v>
          </cell>
          <cell r="GD42" t="str">
            <v>NO</v>
          </cell>
          <cell r="GE42" t="str">
            <v>NO</v>
          </cell>
          <cell r="GF42" t="str">
            <v>SI</v>
          </cell>
          <cell r="GG42" t="str">
            <v>SI</v>
          </cell>
        </row>
        <row r="43">
          <cell r="A43" t="str">
            <v>E001006027001</v>
          </cell>
          <cell r="B43" t="str">
            <v>Si</v>
          </cell>
          <cell r="C43">
            <v>-69869.090909087594</v>
          </cell>
          <cell r="D43">
            <v>99999999</v>
          </cell>
          <cell r="E43" t="str">
            <v>Ambos</v>
          </cell>
          <cell r="F43">
            <v>18</v>
          </cell>
          <cell r="G43">
            <v>65</v>
          </cell>
          <cell r="H43" t="str">
            <v>NO</v>
          </cell>
          <cell r="I43" t="str">
            <v>SI</v>
          </cell>
          <cell r="J43" t="str">
            <v>SI</v>
          </cell>
          <cell r="AT43">
            <v>4</v>
          </cell>
          <cell r="AU43">
            <v>8</v>
          </cell>
          <cell r="AV43">
            <v>5000</v>
          </cell>
          <cell r="AW43">
            <v>15000</v>
          </cell>
          <cell r="AX43">
            <v>1</v>
          </cell>
          <cell r="AY43">
            <v>3</v>
          </cell>
          <cell r="AZ43" t="str">
            <v>SI</v>
          </cell>
          <cell r="BA43">
            <v>2</v>
          </cell>
          <cell r="BC43" t="str">
            <v>NO</v>
          </cell>
          <cell r="BD43" t="str">
            <v>SI</v>
          </cell>
          <cell r="BE43" t="str">
            <v>NO</v>
          </cell>
          <cell r="BF43" t="str">
            <v>NO</v>
          </cell>
          <cell r="BG43" t="str">
            <v>NO</v>
          </cell>
          <cell r="BH43" t="str">
            <v>NO</v>
          </cell>
          <cell r="BI43" t="str">
            <v>NO</v>
          </cell>
          <cell r="BJ43" t="str">
            <v>SI</v>
          </cell>
          <cell r="BK43" t="str">
            <v>NO</v>
          </cell>
          <cell r="BL43" t="str">
            <v>SI</v>
          </cell>
          <cell r="BM43" t="str">
            <v>SI</v>
          </cell>
          <cell r="BN43" t="str">
            <v>NO</v>
          </cell>
          <cell r="BO43" t="str">
            <v>SI</v>
          </cell>
          <cell r="BP43" t="str">
            <v>SI</v>
          </cell>
          <cell r="BQ43" t="str">
            <v>NO</v>
          </cell>
          <cell r="BR43" t="str">
            <v>NO</v>
          </cell>
          <cell r="BS43" t="str">
            <v>SI</v>
          </cell>
          <cell r="BT43" t="str">
            <v>NO</v>
          </cell>
          <cell r="BU43" t="str">
            <v>NO</v>
          </cell>
          <cell r="BV43" t="str">
            <v>SI</v>
          </cell>
          <cell r="BW43" t="str">
            <v>SI</v>
          </cell>
          <cell r="BX43" t="str">
            <v>NO</v>
          </cell>
          <cell r="BY43" t="str">
            <v>NO</v>
          </cell>
          <cell r="BZ43" t="str">
            <v>SI</v>
          </cell>
          <cell r="CA43" t="str">
            <v>NO</v>
          </cell>
          <cell r="CB43" t="str">
            <v>NO</v>
          </cell>
          <cell r="CC43" t="str">
            <v>NO</v>
          </cell>
          <cell r="CD43" t="str">
            <v>NO</v>
          </cell>
          <cell r="CE43" t="str">
            <v>SI</v>
          </cell>
          <cell r="CF43" t="str">
            <v>SI</v>
          </cell>
          <cell r="CG43" t="str">
            <v>NO</v>
          </cell>
          <cell r="CH43" t="str">
            <v>NO</v>
          </cell>
          <cell r="CI43" t="str">
            <v>SI</v>
          </cell>
          <cell r="CJ43" t="str">
            <v>NO</v>
          </cell>
          <cell r="CK43" t="str">
            <v>SI</v>
          </cell>
          <cell r="CL43" t="str">
            <v>SI</v>
          </cell>
          <cell r="CM43" t="str">
            <v>SI</v>
          </cell>
          <cell r="CN43" t="str">
            <v>NO</v>
          </cell>
          <cell r="CO43" t="str">
            <v>NO</v>
          </cell>
          <cell r="CP43" t="str">
            <v>SI</v>
          </cell>
          <cell r="CQ43" t="str">
            <v>SI</v>
          </cell>
          <cell r="CR43" t="str">
            <v>SI</v>
          </cell>
          <cell r="CS43" t="str">
            <v>SI</v>
          </cell>
          <cell r="CT43" t="str">
            <v>SI</v>
          </cell>
          <cell r="CU43" t="str">
            <v>SI</v>
          </cell>
          <cell r="CV43" t="str">
            <v>SI</v>
          </cell>
          <cell r="CW43" t="str">
            <v>NO</v>
          </cell>
          <cell r="CX43" t="str">
            <v>SI</v>
          </cell>
          <cell r="CY43" t="str">
            <v>NO</v>
          </cell>
          <cell r="CZ43" t="str">
            <v>SI</v>
          </cell>
          <cell r="DA43" t="str">
            <v>NO</v>
          </cell>
          <cell r="DB43" t="str">
            <v>SI</v>
          </cell>
          <cell r="DC43" t="str">
            <v>SI</v>
          </cell>
          <cell r="DD43" t="str">
            <v>NO</v>
          </cell>
          <cell r="DE43" t="str">
            <v>SI</v>
          </cell>
          <cell r="DF43" t="str">
            <v>SI</v>
          </cell>
          <cell r="DG43" t="str">
            <v>NO</v>
          </cell>
          <cell r="DH43" t="str">
            <v>SI</v>
          </cell>
          <cell r="DI43" t="str">
            <v>SI</v>
          </cell>
          <cell r="DJ43" t="str">
            <v>SI</v>
          </cell>
          <cell r="DK43" t="str">
            <v>NO</v>
          </cell>
          <cell r="DL43" t="str">
            <v>NO</v>
          </cell>
          <cell r="DM43" t="str">
            <v>E001006027001</v>
          </cell>
          <cell r="DN43" t="str">
            <v>E001006</v>
          </cell>
          <cell r="DO43" t="str">
            <v>Abono a Capital Pesos</v>
          </cell>
          <cell r="DP43">
            <v>0.12</v>
          </cell>
          <cell r="DQ43">
            <v>1600000</v>
          </cell>
          <cell r="DR43">
            <v>800000</v>
          </cell>
          <cell r="DS43">
            <v>1</v>
          </cell>
          <cell r="DT43">
            <v>0</v>
          </cell>
          <cell r="DW43">
            <v>3000</v>
          </cell>
          <cell r="DX43">
            <v>6000</v>
          </cell>
          <cell r="DY43">
            <v>8000</v>
          </cell>
          <cell r="DZ43">
            <v>4000</v>
          </cell>
          <cell r="EA43">
            <v>3000</v>
          </cell>
          <cell r="EB43">
            <v>3500</v>
          </cell>
          <cell r="EC43">
            <v>3000</v>
          </cell>
          <cell r="ED43">
            <v>2500</v>
          </cell>
          <cell r="EE43">
            <v>8500</v>
          </cell>
          <cell r="EF43">
            <v>4000</v>
          </cell>
          <cell r="EG43">
            <v>8500</v>
          </cell>
          <cell r="EH43">
            <v>4000</v>
          </cell>
          <cell r="EI43">
            <v>8500</v>
          </cell>
          <cell r="EJ43">
            <v>7000</v>
          </cell>
          <cell r="EK43">
            <v>2000</v>
          </cell>
          <cell r="EL43">
            <v>2000</v>
          </cell>
          <cell r="EM43">
            <v>9000</v>
          </cell>
          <cell r="EN43">
            <v>5500</v>
          </cell>
          <cell r="EO43">
            <v>2000</v>
          </cell>
          <cell r="EP43">
            <v>2500</v>
          </cell>
          <cell r="EQ43">
            <v>8500</v>
          </cell>
          <cell r="ER43">
            <v>5500</v>
          </cell>
          <cell r="ES43" t="str">
            <v>SI</v>
          </cell>
          <cell r="ET43">
            <v>6</v>
          </cell>
          <cell r="EU43" t="str">
            <v>NO</v>
          </cell>
          <cell r="EV43" t="str">
            <v>SI</v>
          </cell>
          <cell r="EW43" t="str">
            <v>NO</v>
          </cell>
          <cell r="EX43" t="str">
            <v>SI</v>
          </cell>
          <cell r="EY43" t="str">
            <v>NO</v>
          </cell>
          <cell r="EZ43" t="str">
            <v>SI</v>
          </cell>
          <cell r="FA43" t="str">
            <v>SI</v>
          </cell>
          <cell r="FB43" t="str">
            <v>SI</v>
          </cell>
          <cell r="FC43">
            <v>2042</v>
          </cell>
          <cell r="FD43">
            <v>1150</v>
          </cell>
          <cell r="FE43">
            <v>395</v>
          </cell>
          <cell r="FF43">
            <v>2165</v>
          </cell>
          <cell r="FG43">
            <v>1334</v>
          </cell>
          <cell r="FH43">
            <v>930</v>
          </cell>
          <cell r="FI43">
            <v>1098</v>
          </cell>
          <cell r="FJ43">
            <v>1459</v>
          </cell>
          <cell r="FK43">
            <v>1557</v>
          </cell>
          <cell r="FL43">
            <v>827</v>
          </cell>
          <cell r="FM43" t="str">
            <v>NO</v>
          </cell>
          <cell r="FN43" t="str">
            <v>SI</v>
          </cell>
          <cell r="FO43" t="str">
            <v>NO</v>
          </cell>
          <cell r="FP43" t="str">
            <v>NO</v>
          </cell>
          <cell r="FQ43" t="str">
            <v>SI</v>
          </cell>
          <cell r="FR43" t="str">
            <v>SI</v>
          </cell>
          <cell r="FS43">
            <v>61</v>
          </cell>
          <cell r="FW43" t="str">
            <v>Virtual</v>
          </cell>
          <cell r="FX43" t="str">
            <v>Virtual</v>
          </cell>
          <cell r="FY43">
            <v>1</v>
          </cell>
          <cell r="FZ43">
            <v>90</v>
          </cell>
          <cell r="GA43" t="str">
            <v>SI</v>
          </cell>
          <cell r="GB43" t="str">
            <v>SI</v>
          </cell>
          <cell r="GC43" t="str">
            <v>NO</v>
          </cell>
          <cell r="GD43" t="str">
            <v>NO</v>
          </cell>
          <cell r="GE43" t="str">
            <v>SI</v>
          </cell>
          <cell r="GF43" t="str">
            <v>SI</v>
          </cell>
          <cell r="GG43" t="str">
            <v>SI</v>
          </cell>
        </row>
      </sheetData>
      <sheetData sheetId="2" refreshError="1">
        <row r="3">
          <cell r="B3">
            <v>2000000</v>
          </cell>
          <cell r="G3">
            <v>1</v>
          </cell>
        </row>
      </sheetData>
      <sheetData sheetId="3" refreshError="1"/>
      <sheetData sheetId="4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solidado general"/>
      <sheetName val="Productos"/>
      <sheetName val="User"/>
      <sheetName val="Info general"/>
      <sheetName val="TABLAS"/>
      <sheetName val="PONDERACIONES"/>
    </sheetNames>
    <sheetDataSet>
      <sheetData sheetId="0" refreshError="1"/>
      <sheetData sheetId="1" refreshError="1">
        <row r="1">
          <cell r="DM1">
            <v>116</v>
          </cell>
        </row>
        <row r="2">
          <cell r="AT2">
            <v>1</v>
          </cell>
          <cell r="AU2">
            <v>1</v>
          </cell>
          <cell r="AV2">
            <v>1</v>
          </cell>
          <cell r="AW2">
            <v>1</v>
          </cell>
          <cell r="AX2">
            <v>1</v>
          </cell>
          <cell r="AY2">
            <v>1</v>
          </cell>
          <cell r="AZ2">
            <v>1</v>
          </cell>
          <cell r="BA2">
            <v>1</v>
          </cell>
          <cell r="BB2">
            <v>1</v>
          </cell>
          <cell r="BC2">
            <v>1</v>
          </cell>
          <cell r="BD2">
            <v>1</v>
          </cell>
          <cell r="BE2">
            <v>1</v>
          </cell>
          <cell r="BF2">
            <v>1</v>
          </cell>
          <cell r="BG2">
            <v>1</v>
          </cell>
          <cell r="BH2">
            <v>1</v>
          </cell>
          <cell r="BI2">
            <v>1</v>
          </cell>
          <cell r="BJ2">
            <v>1</v>
          </cell>
          <cell r="BK2">
            <v>1</v>
          </cell>
          <cell r="BL2">
            <v>1</v>
          </cell>
          <cell r="BM2">
            <v>1</v>
          </cell>
          <cell r="BN2">
            <v>1</v>
          </cell>
          <cell r="BO2">
            <v>1</v>
          </cell>
          <cell r="BP2">
            <v>1</v>
          </cell>
          <cell r="BQ2">
            <v>1</v>
          </cell>
          <cell r="BR2">
            <v>1</v>
          </cell>
          <cell r="BS2">
            <v>1</v>
          </cell>
          <cell r="BT2">
            <v>1</v>
          </cell>
          <cell r="BU2">
            <v>1</v>
          </cell>
          <cell r="BV2">
            <v>1</v>
          </cell>
          <cell r="BW2">
            <v>1</v>
          </cell>
          <cell r="BX2">
            <v>1</v>
          </cell>
          <cell r="BY2">
            <v>1</v>
          </cell>
          <cell r="BZ2">
            <v>1</v>
          </cell>
          <cell r="CA2">
            <v>1</v>
          </cell>
          <cell r="CB2">
            <v>1</v>
          </cell>
          <cell r="CC2">
            <v>1</v>
          </cell>
          <cell r="CD2">
            <v>1</v>
          </cell>
          <cell r="CE2">
            <v>1</v>
          </cell>
          <cell r="CF2">
            <v>1</v>
          </cell>
          <cell r="CG2">
            <v>1</v>
          </cell>
          <cell r="CH2">
            <v>1</v>
          </cell>
          <cell r="CI2">
            <v>1</v>
          </cell>
          <cell r="CJ2">
            <v>1</v>
          </cell>
          <cell r="CK2">
            <v>1</v>
          </cell>
          <cell r="CL2">
            <v>1</v>
          </cell>
          <cell r="CM2">
            <v>1</v>
          </cell>
          <cell r="CN2">
            <v>1</v>
          </cell>
          <cell r="CO2">
            <v>1</v>
          </cell>
          <cell r="CP2">
            <v>1</v>
          </cell>
          <cell r="CQ2">
            <v>1</v>
          </cell>
          <cell r="CR2">
            <v>1</v>
          </cell>
          <cell r="CS2">
            <v>1</v>
          </cell>
          <cell r="CT2">
            <v>1</v>
          </cell>
          <cell r="CU2">
            <v>1</v>
          </cell>
          <cell r="CV2">
            <v>1</v>
          </cell>
          <cell r="CW2">
            <v>1</v>
          </cell>
          <cell r="CX2">
            <v>1</v>
          </cell>
          <cell r="CY2">
            <v>1</v>
          </cell>
          <cell r="CZ2">
            <v>1</v>
          </cell>
          <cell r="DA2">
            <v>1</v>
          </cell>
          <cell r="DB2">
            <v>1</v>
          </cell>
          <cell r="DC2">
            <v>1</v>
          </cell>
          <cell r="DD2">
            <v>1</v>
          </cell>
          <cell r="DE2">
            <v>1</v>
          </cell>
          <cell r="DF2">
            <v>1</v>
          </cell>
          <cell r="DG2">
            <v>1</v>
          </cell>
          <cell r="DH2">
            <v>1</v>
          </cell>
          <cell r="DI2">
            <v>1</v>
          </cell>
          <cell r="DJ2">
            <v>1</v>
          </cell>
          <cell r="DK2">
            <v>1</v>
          </cell>
          <cell r="DL2">
            <v>1</v>
          </cell>
        </row>
        <row r="3">
          <cell r="A3" t="str">
            <v>PRODUCTO</v>
          </cell>
          <cell r="AT3" t="str">
            <v>Vigencia paz y salvo</v>
          </cell>
          <cell r="AU3" t="str">
            <v>Cuantos dias despues de ultimo pago se puede solicitar</v>
          </cell>
          <cell r="AV3" t="str">
            <v>Valor 1ro</v>
          </cell>
          <cell r="AW3" t="str">
            <v>Valor Copia</v>
          </cell>
          <cell r="AX3" t="str">
            <v xml:space="preserve">Días desde la solicitud hasta la aprobación (máximo) </v>
          </cell>
          <cell r="AY3" t="str">
            <v>Días desde la aprobación hasta el desembolso (máximo)</v>
          </cell>
          <cell r="AZ3" t="str">
            <v>avisan desemb?</v>
          </cell>
          <cell r="BA3" t="str">
            <v>Canal desemb</v>
          </cell>
          <cell r="BC3" t="str">
            <v>P-Cédula Original</v>
          </cell>
          <cell r="BD3" t="str">
            <v>P-Copia del documento de identidad</v>
          </cell>
          <cell r="BE3" t="str">
            <v>P-Carta y matricula de contador</v>
          </cell>
          <cell r="BF3" t="str">
            <v>P-Certificado convenio con el que paga la pensión</v>
          </cell>
          <cell r="BG3" t="str">
            <v>P-Certificado de ingresos y retenciones</v>
          </cell>
          <cell r="BH3" t="str">
            <v>P-Certificación  de ser pensionado</v>
          </cell>
          <cell r="BI3" t="str">
            <v>P-Certificación de otros ingresos</v>
          </cell>
          <cell r="BJ3" t="str">
            <v>P-Certificación de patrimonio</v>
          </cell>
          <cell r="BK3" t="str">
            <v>P-Constancia de no declarante</v>
          </cell>
          <cell r="BL3" t="str">
            <v>P-Copia de 3 ultimos recibos de pago:</v>
          </cell>
          <cell r="BM3" t="str">
            <v>P-Copia 3 últimos extractos bancarios</v>
          </cell>
          <cell r="BN3" t="str">
            <v>P-Declaración de renta</v>
          </cell>
          <cell r="BO3" t="str">
            <v>P-Planos, presupuestos y/o licencias</v>
          </cell>
          <cell r="BP3" t="str">
            <v>P-Promesa de compraventa</v>
          </cell>
          <cell r="BQ3" t="str">
            <v>P-Registro mercantil</v>
          </cell>
          <cell r="BR3" t="str">
            <v>P-Solicitud de vinculación</v>
          </cell>
          <cell r="BS3" t="str">
            <v>P-Ultimas colillas o desprendibles de pago de pensión:</v>
          </cell>
          <cell r="BT3" t="str">
            <v>P-Otro 1</v>
          </cell>
          <cell r="BU3" t="str">
            <v>P-Otro 2</v>
          </cell>
          <cell r="BV3" t="str">
            <v>P-Otro 3</v>
          </cell>
          <cell r="BW3" t="str">
            <v>I-Cédula Original</v>
          </cell>
          <cell r="BX3" t="str">
            <v>I-Copia del documento de identidad</v>
          </cell>
          <cell r="BY3" t="str">
            <v>I-Certificado Camara de comercio</v>
          </cell>
          <cell r="BZ3" t="str">
            <v>I-Carta y matricula de contador</v>
          </cell>
          <cell r="CA3" t="str">
            <v>I-Certificado convenio con empleador</v>
          </cell>
          <cell r="CB3" t="str">
            <v>I-Certificado de ingresos y retenciones</v>
          </cell>
          <cell r="CC3" t="str">
            <v>I-Certificación laboral</v>
          </cell>
          <cell r="CD3" t="str">
            <v>I-Certificado de libertad del inmueble</v>
          </cell>
          <cell r="CE3" t="str">
            <v>I-Certificación de otros ingresos</v>
          </cell>
          <cell r="CF3" t="str">
            <v>I-Certificación de patrimonio</v>
          </cell>
          <cell r="CG3" t="str">
            <v>I-Constancia de no declarante</v>
          </cell>
          <cell r="CH3" t="str">
            <v>I-Copia 3 últimos extractos bancarios</v>
          </cell>
          <cell r="CI3" t="str">
            <v>I-Declaración de renta</v>
          </cell>
          <cell r="CJ3" t="str">
            <v>I-Planos, presupuestos y/o licencias</v>
          </cell>
          <cell r="CK3" t="str">
            <v>I-Promesa de compraventa</v>
          </cell>
          <cell r="CL3" t="str">
            <v>I-Registro mercantil</v>
          </cell>
          <cell r="CM3" t="str">
            <v>I-Solicitud de vinculación</v>
          </cell>
          <cell r="CN3" t="str">
            <v>I-Otro 1</v>
          </cell>
          <cell r="CO3" t="str">
            <v>I-Otro 2</v>
          </cell>
          <cell r="CP3" t="str">
            <v>I-Otro 3</v>
          </cell>
          <cell r="CQ3" t="str">
            <v>E-Antigüedad mínima en meses</v>
          </cell>
          <cell r="CR3" t="str">
            <v>E-Cédula Original</v>
          </cell>
          <cell r="CS3" t="str">
            <v>E-Copia del documento de identidad</v>
          </cell>
          <cell r="CT3" t="str">
            <v>E-Certificado Camara de comercio</v>
          </cell>
          <cell r="CU3" t="str">
            <v>E-Carta y matricula de contador</v>
          </cell>
          <cell r="CV3" t="str">
            <v>E-Certificado convenio con empleador</v>
          </cell>
          <cell r="CW3" t="str">
            <v>E-Certificado de ingresos y retenciones</v>
          </cell>
          <cell r="CX3" t="str">
            <v>E-Certificación laboral</v>
          </cell>
          <cell r="CY3" t="str">
            <v>E-Certificado de libertad del inmueble</v>
          </cell>
          <cell r="CZ3" t="str">
            <v>E-Certificación de otros ingresos</v>
          </cell>
          <cell r="DA3" t="str">
            <v>E-Certificación de patrimonio</v>
          </cell>
          <cell r="DB3" t="str">
            <v>E-Constancia de no declarante</v>
          </cell>
          <cell r="DC3" t="str">
            <v>E-Copia 3 últimos extractos bancarios</v>
          </cell>
          <cell r="DD3" t="str">
            <v>E-Declaración de renta</v>
          </cell>
          <cell r="DE3" t="str">
            <v>E-Planos, presupuestos y/o licencias</v>
          </cell>
          <cell r="DF3" t="str">
            <v>E-Promesa de compraventa</v>
          </cell>
          <cell r="DG3" t="str">
            <v>E-Registro mercantil</v>
          </cell>
          <cell r="DH3" t="str">
            <v>E-Solicitud de vinculación</v>
          </cell>
          <cell r="DI3" t="str">
            <v>E-Copia de los 3 ultimos recibos de pago</v>
          </cell>
          <cell r="DJ3" t="str">
            <v>E-Otro 1</v>
          </cell>
          <cell r="DK3" t="str">
            <v>E-Otro 2</v>
          </cell>
          <cell r="DL3" t="str">
            <v>E-Otro 3</v>
          </cell>
          <cell r="DM3" t="str">
            <v>NOMBRE DEL PRODUCTO</v>
          </cell>
          <cell r="DN3" t="str">
            <v>ENTIDAD</v>
          </cell>
          <cell r="DO3" t="str">
            <v>TIPO DE AMORTIZACION</v>
          </cell>
          <cell r="DP3" t="str">
            <v>TASA DE INTERES</v>
          </cell>
          <cell r="DQ3" t="str">
            <v>COSTOS INICIALES</v>
          </cell>
          <cell r="DR3" t="str">
            <v>COSTOS FINALES</v>
          </cell>
          <cell r="DS3" t="str">
            <v>PERIOD ADMINIS</v>
          </cell>
          <cell r="DT3" t="str">
            <v>COSTO ADMINISTRA</v>
          </cell>
          <cell r="DU3" t="str">
            <v>PERIODO DE GRACIA</v>
          </cell>
          <cell r="DV3" t="str">
            <v>COBRA INTERES</v>
          </cell>
          <cell r="DW3" t="str">
            <v>CANAL 1</v>
          </cell>
          <cell r="DX3" t="str">
            <v>CANAL 2</v>
          </cell>
          <cell r="DY3" t="str">
            <v>CANAL 3</v>
          </cell>
          <cell r="DZ3" t="str">
            <v>CANAL 4</v>
          </cell>
          <cell r="EA3" t="str">
            <v>CANAL 5</v>
          </cell>
          <cell r="EB3" t="str">
            <v>CANAL 6</v>
          </cell>
          <cell r="EC3" t="str">
            <v>CANAL 7</v>
          </cell>
          <cell r="ED3" t="str">
            <v>CANAL 8</v>
          </cell>
          <cell r="EE3" t="str">
            <v>CANAL 9</v>
          </cell>
          <cell r="EF3" t="str">
            <v>CANAL 10</v>
          </cell>
          <cell r="EG3" t="str">
            <v>CANAL 11</v>
          </cell>
          <cell r="EH3" t="str">
            <v>CANAL 12</v>
          </cell>
          <cell r="EI3" t="str">
            <v>CANAL 13</v>
          </cell>
          <cell r="EJ3" t="str">
            <v>CANAL 14</v>
          </cell>
          <cell r="EK3" t="str">
            <v>CANAL 15</v>
          </cell>
          <cell r="EL3" t="str">
            <v>CANAL 16</v>
          </cell>
          <cell r="EM3" t="str">
            <v>CANAL 17</v>
          </cell>
          <cell r="EN3" t="str">
            <v>CANAL 18</v>
          </cell>
          <cell r="EO3" t="str">
            <v>CANAL 19</v>
          </cell>
          <cell r="EP3" t="str">
            <v>CANAL 20</v>
          </cell>
          <cell r="EQ3" t="str">
            <v>CANAL 21</v>
          </cell>
          <cell r="ER3" t="str">
            <v>CANAL 22</v>
          </cell>
        </row>
        <row r="4">
          <cell r="FX4" t="str">
            <v>Virtual</v>
          </cell>
        </row>
        <row r="5">
          <cell r="FX5" t="str">
            <v>Fisica</v>
          </cell>
        </row>
        <row r="6">
          <cell r="FX6" t="str">
            <v>No</v>
          </cell>
        </row>
        <row r="7">
          <cell r="FX7" t="str">
            <v>Fisica</v>
          </cell>
        </row>
        <row r="8">
          <cell r="FX8" t="str">
            <v>No</v>
          </cell>
        </row>
        <row r="9">
          <cell r="FX9" t="str">
            <v>Virtual</v>
          </cell>
        </row>
        <row r="10">
          <cell r="FX10" t="str">
            <v>No</v>
          </cell>
        </row>
        <row r="11">
          <cell r="FX11" t="str">
            <v>No</v>
          </cell>
        </row>
        <row r="12">
          <cell r="FX12" t="str">
            <v>Virtual</v>
          </cell>
        </row>
        <row r="13">
          <cell r="FX13" t="str">
            <v>No</v>
          </cell>
        </row>
        <row r="14">
          <cell r="FX14" t="str">
            <v>Virtual</v>
          </cell>
        </row>
        <row r="15">
          <cell r="FX15" t="str">
            <v>Fisica</v>
          </cell>
        </row>
        <row r="16">
          <cell r="FX16" t="str">
            <v>No</v>
          </cell>
        </row>
        <row r="17">
          <cell r="FX17" t="str">
            <v>Fisica</v>
          </cell>
        </row>
        <row r="18">
          <cell r="FX18" t="str">
            <v>No</v>
          </cell>
        </row>
        <row r="19">
          <cell r="FX19" t="str">
            <v>Virtual</v>
          </cell>
        </row>
        <row r="20">
          <cell r="FX20" t="str">
            <v>No</v>
          </cell>
        </row>
        <row r="21">
          <cell r="FX21" t="str">
            <v>No</v>
          </cell>
        </row>
        <row r="22">
          <cell r="FX22" t="str">
            <v>Virtual</v>
          </cell>
        </row>
        <row r="23">
          <cell r="FX23" t="str">
            <v>No</v>
          </cell>
        </row>
        <row r="24">
          <cell r="FX24" t="str">
            <v>Virtual</v>
          </cell>
        </row>
        <row r="25">
          <cell r="FX25" t="str">
            <v>Fisica</v>
          </cell>
        </row>
        <row r="26">
          <cell r="FX26" t="str">
            <v>No</v>
          </cell>
        </row>
        <row r="27">
          <cell r="FX27" t="str">
            <v>Fisica</v>
          </cell>
        </row>
        <row r="28">
          <cell r="FX28" t="str">
            <v>No</v>
          </cell>
        </row>
        <row r="29">
          <cell r="FX29" t="str">
            <v>Virtual</v>
          </cell>
        </row>
        <row r="30">
          <cell r="FX30" t="str">
            <v>No</v>
          </cell>
        </row>
        <row r="31">
          <cell r="FX31" t="str">
            <v>No</v>
          </cell>
        </row>
        <row r="32">
          <cell r="FX32" t="str">
            <v>Virtual</v>
          </cell>
        </row>
        <row r="33">
          <cell r="FX33" t="str">
            <v>No</v>
          </cell>
        </row>
        <row r="34">
          <cell r="FX34" t="str">
            <v>Virtual</v>
          </cell>
        </row>
        <row r="35">
          <cell r="FX35" t="str">
            <v>Fisica</v>
          </cell>
        </row>
        <row r="36">
          <cell r="FX36" t="str">
            <v>No</v>
          </cell>
        </row>
        <row r="37">
          <cell r="FX37" t="str">
            <v>Fisica</v>
          </cell>
        </row>
        <row r="38">
          <cell r="FX38" t="str">
            <v>No</v>
          </cell>
        </row>
        <row r="39">
          <cell r="FX39" t="str">
            <v>Virtual</v>
          </cell>
        </row>
        <row r="40">
          <cell r="FX40" t="str">
            <v>No</v>
          </cell>
        </row>
        <row r="41">
          <cell r="FX41" t="str">
            <v>No</v>
          </cell>
        </row>
        <row r="42">
          <cell r="FX42" t="str">
            <v>Virtual</v>
          </cell>
        </row>
        <row r="43">
          <cell r="FX43" t="str">
            <v>Virtual</v>
          </cell>
        </row>
      </sheetData>
      <sheetData sheetId="2" refreshError="1"/>
      <sheetData sheetId="3" refreshError="1"/>
      <sheetData sheetId="4" refreshError="1"/>
      <sheetData sheetId="5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UNTOS-FIN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N300"/>
  <sheetViews>
    <sheetView workbookViewId="0">
      <selection activeCell="A17" sqref="A17"/>
    </sheetView>
  </sheetViews>
  <sheetFormatPr baseColWidth="10" defaultRowHeight="15" x14ac:dyDescent="0.25"/>
  <cols>
    <col min="1" max="1" width="14.28515625" bestFit="1" customWidth="1"/>
    <col min="6" max="6" width="12" bestFit="1" customWidth="1"/>
    <col min="9" max="12" width="5.85546875" customWidth="1"/>
    <col min="13" max="13" width="6.140625" customWidth="1"/>
    <col min="14" max="14" width="5.85546875" customWidth="1"/>
    <col min="15" max="15" width="6.85546875" customWidth="1"/>
  </cols>
  <sheetData>
    <row r="1" spans="1:14" s="91" customFormat="1" x14ac:dyDescent="0.25">
      <c r="A1" s="164" t="s">
        <v>464</v>
      </c>
      <c r="B1" s="165">
        <v>0.2</v>
      </c>
      <c r="C1" s="165">
        <v>0.2</v>
      </c>
      <c r="D1" s="165">
        <v>0.2</v>
      </c>
      <c r="E1" s="165">
        <v>0.2</v>
      </c>
      <c r="F1" s="165">
        <v>0.2</v>
      </c>
      <c r="G1" s="164"/>
    </row>
    <row r="2" spans="1:14" x14ac:dyDescent="0.25">
      <c r="A2" s="100" t="s">
        <v>64</v>
      </c>
      <c r="B2" s="100" t="s">
        <v>463</v>
      </c>
      <c r="C2" s="100" t="s">
        <v>339</v>
      </c>
      <c r="D2" s="100" t="s">
        <v>462</v>
      </c>
      <c r="E2" s="100" t="s">
        <v>461</v>
      </c>
      <c r="F2" s="100" t="s">
        <v>460</v>
      </c>
      <c r="G2" s="100" t="s">
        <v>102</v>
      </c>
    </row>
    <row r="3" spans="1:14" x14ac:dyDescent="0.25">
      <c r="A3" s="17" t="s">
        <v>571</v>
      </c>
      <c r="B3" s="57">
        <f>VLOOKUP(A3,'1.CALIF'!$A$8:$N$400,14,0)</f>
        <v>3.6480800748588416</v>
      </c>
      <c r="C3" s="57" t="e">
        <f>VLOOKUP(A3,'2.RESULTADOS'!$A$1:$R$124,18,0)</f>
        <v>#N/A</v>
      </c>
      <c r="D3" s="57">
        <f>VLOOKUP(A3,'3.gral'!$A$5:$W$187,23,0)</f>
        <v>1.2007060719608216</v>
      </c>
      <c r="E3" s="57">
        <f>VLOOKUP(LEFT(A3,7),'4.Todo'!$B$2:$L$272,11,0)</f>
        <v>2.9045493709168793</v>
      </c>
      <c r="F3" s="57">
        <f>VLOOKUP(A3,'5.AT'!$A$2:$Y$200,25,0)</f>
        <v>1.5771186440677969</v>
      </c>
      <c r="G3" s="57" t="e">
        <f t="shared" ref="G3:G66" si="0">B3*$B$1+C3*$C$1+D3*$D$1+E3*$E$1+F3*$F$1</f>
        <v>#N/A</v>
      </c>
    </row>
    <row r="4" spans="1:14" x14ac:dyDescent="0.25">
      <c r="A4" s="17" t="s">
        <v>570</v>
      </c>
      <c r="B4" s="57">
        <f>VLOOKUP(A4,'1.CALIF'!$A$8:$N$400,14,0)</f>
        <v>0.31158618434311763</v>
      </c>
      <c r="C4" s="57" t="e">
        <f>VLOOKUP(A4,'2.RESULTADOS'!$A$1:$R$124,18,0)</f>
        <v>#N/A</v>
      </c>
      <c r="D4" s="57">
        <f>VLOOKUP(A4,'3.gral'!$A$5:$W$187,23,0)</f>
        <v>3.1504119223055387</v>
      </c>
      <c r="E4" s="57">
        <f>VLOOKUP(LEFT(A4,7),'4.Todo'!$B$2:$L$272,11,0)</f>
        <v>2.9045493709168793</v>
      </c>
      <c r="F4" s="57">
        <f>VLOOKUP(A4,'5.AT'!$A$2:$Y$200,25,0)</f>
        <v>1.9637983048216812</v>
      </c>
      <c r="G4" s="57" t="e">
        <f t="shared" si="0"/>
        <v>#N/A</v>
      </c>
    </row>
    <row r="5" spans="1:14" x14ac:dyDescent="0.25">
      <c r="A5" s="17" t="s">
        <v>569</v>
      </c>
      <c r="B5" s="57">
        <f>VLOOKUP(A5,'1.CALIF'!$A$8:$N$400,14,0)</f>
        <v>2.5503020006721844</v>
      </c>
      <c r="C5" s="57" t="e">
        <f>VLOOKUP(A5,'2.RESULTADOS'!$A$1:$R$124,18,0)</f>
        <v>#N/A</v>
      </c>
      <c r="D5" s="57">
        <f>VLOOKUP(A5,'3.gral'!$A$5:$W$187,23,0)</f>
        <v>1.4129068911453182</v>
      </c>
      <c r="E5" s="57">
        <f>VLOOKUP(LEFT(A5,7),'4.Todo'!$B$2:$L$272,11,0)</f>
        <v>1.8523531537485696</v>
      </c>
      <c r="F5" s="57">
        <f>VLOOKUP(A5,'5.AT'!$A$2:$Y$200,25,0)</f>
        <v>3.7813559322033896</v>
      </c>
      <c r="G5" s="57" t="e">
        <f t="shared" si="0"/>
        <v>#N/A</v>
      </c>
    </row>
    <row r="6" spans="1:14" x14ac:dyDescent="0.25">
      <c r="A6" s="17" t="s">
        <v>568</v>
      </c>
      <c r="B6" s="57">
        <f>VLOOKUP(A6,'1.CALIF'!$A$8:$N$400,14,0)</f>
        <v>1.0364448367961978</v>
      </c>
      <c r="C6" s="57" t="e">
        <f>VLOOKUP(A6,'2.RESULTADOS'!$A$1:$R$124,18,0)</f>
        <v>#N/A</v>
      </c>
      <c r="D6" s="57">
        <f>VLOOKUP(A6,'3.gral'!$A$5:$W$187,23,0)</f>
        <v>1.9795150850860321</v>
      </c>
      <c r="E6" s="57">
        <f>VLOOKUP(LEFT(A6,7),'4.Todo'!$B$2:$L$272,11,0)</f>
        <v>1.8523531537485696</v>
      </c>
      <c r="F6" s="57">
        <f>VLOOKUP(A6,'5.AT'!$A$2:$Y$200,25,0)</f>
        <v>1.7047194859105095</v>
      </c>
      <c r="G6" s="57" t="e">
        <f t="shared" si="0"/>
        <v>#N/A</v>
      </c>
    </row>
    <row r="7" spans="1:14" x14ac:dyDescent="0.25">
      <c r="A7" s="17" t="s">
        <v>567</v>
      </c>
      <c r="B7" s="57">
        <f>VLOOKUP(A7,'1.CALIF'!$A$8:$N$400,14,0)</f>
        <v>0.36655150596673974</v>
      </c>
      <c r="C7" s="57" t="e">
        <f>VLOOKUP(A7,'2.RESULTADOS'!$A$1:$R$124,18,0)</f>
        <v>#N/A</v>
      </c>
      <c r="D7" s="57">
        <f>VLOOKUP(A7,'3.gral'!$A$5:$W$187,23,0)</f>
        <v>0</v>
      </c>
      <c r="E7" s="57">
        <f>VLOOKUP(LEFT(A7,7),'4.Todo'!$B$2:$L$272,11,0)</f>
        <v>1.8523531537485696</v>
      </c>
      <c r="F7" s="57">
        <f>VLOOKUP(A7,'5.AT'!$A$2:$Y$200,25,0)</f>
        <v>2.8703303297789251</v>
      </c>
      <c r="G7" s="57" t="e">
        <f t="shared" si="0"/>
        <v>#N/A</v>
      </c>
    </row>
    <row r="8" spans="1:14" x14ac:dyDescent="0.25">
      <c r="A8" s="17" t="s">
        <v>566</v>
      </c>
      <c r="B8" s="57">
        <f>VLOOKUP(A8,'1.CALIF'!$A$8:$N$400,14,0)</f>
        <v>3.9944338507520838</v>
      </c>
      <c r="C8" s="57" t="e">
        <f>VLOOKUP(A8,'2.RESULTADOS'!$A$1:$R$124,18,0)</f>
        <v>#N/A</v>
      </c>
      <c r="D8" s="57">
        <f>VLOOKUP(A8,'3.gral'!$A$5:$W$187,23,0)</f>
        <v>1.5265331089846605</v>
      </c>
      <c r="E8" s="57">
        <f>VLOOKUP(LEFT(A8,7),'4.Todo'!$B$2:$L$272,11,0)</f>
        <v>1.8523531537485696</v>
      </c>
      <c r="F8" s="57">
        <f>VLOOKUP(A8,'5.AT'!$A$2:$Y$200,25,0)</f>
        <v>2.1827557851887072</v>
      </c>
      <c r="G8" s="57" t="e">
        <f t="shared" si="0"/>
        <v>#N/A</v>
      </c>
    </row>
    <row r="9" spans="1:14" x14ac:dyDescent="0.25">
      <c r="A9" s="189" t="s">
        <v>83</v>
      </c>
      <c r="B9" s="57">
        <f>VLOOKUP(A9,'1.CALIF'!$A$8:$N$400,14,0)</f>
        <v>1.3397544856950052</v>
      </c>
      <c r="C9" s="57">
        <f>VLOOKUP(A9,'2.RESULTADOS'!$A$1:$R$124,18,0)</f>
        <v>0</v>
      </c>
      <c r="D9" s="57">
        <f>VLOOKUP(A9,'3.gral'!$A$5:$W$187,23,0)</f>
        <v>2.5738230574869823</v>
      </c>
      <c r="E9" s="57">
        <f>VLOOKUP(LEFT(A9,7),'4.Todo'!$B$2:$L$272,11,0)</f>
        <v>2.2929544431262494</v>
      </c>
      <c r="F9" s="57">
        <f>VLOOKUP(A9,'5.AT'!$A$2:$Y$200,25,0)</f>
        <v>2.7499394630569625</v>
      </c>
      <c r="G9" s="57">
        <f t="shared" si="0"/>
        <v>1.79129428987304</v>
      </c>
      <c r="N9" s="163"/>
    </row>
    <row r="10" spans="1:14" x14ac:dyDescent="0.25">
      <c r="A10" s="17" t="s">
        <v>565</v>
      </c>
      <c r="B10" s="57">
        <f>VLOOKUP(A10,'1.CALIF'!$A$8:$N$400,14,0)</f>
        <v>2.1375896868430426</v>
      </c>
      <c r="C10" s="57" t="e">
        <f>VLOOKUP(A10,'2.RESULTADOS'!$A$1:$R$124,18,0)</f>
        <v>#N/A</v>
      </c>
      <c r="D10" s="57">
        <f>VLOOKUP(A10,'3.gral'!$A$5:$W$187,23,0)</f>
        <v>1.8182690614152457</v>
      </c>
      <c r="E10" s="57">
        <f>VLOOKUP(LEFT(A10,7),'4.Todo'!$B$2:$L$272,11,0)</f>
        <v>2.2929544431262494</v>
      </c>
      <c r="F10" s="57">
        <f>VLOOKUP(A10,'5.AT'!$A$2:$Y$200,25,0)</f>
        <v>2.6944398696006937</v>
      </c>
      <c r="G10" s="57" t="e">
        <f t="shared" si="0"/>
        <v>#N/A</v>
      </c>
    </row>
    <row r="11" spans="1:14" x14ac:dyDescent="0.25">
      <c r="A11" s="17" t="s">
        <v>564</v>
      </c>
      <c r="B11" s="57">
        <f>VLOOKUP(A11,'1.CALIF'!$A$8:$N$400,14,0)</f>
        <v>5</v>
      </c>
      <c r="C11" s="57" t="e">
        <f>VLOOKUP(A11,'2.RESULTADOS'!$A$1:$R$124,18,0)</f>
        <v>#N/A</v>
      </c>
      <c r="D11" s="57">
        <f>VLOOKUP(A11,'3.gral'!$A$5:$W$187,23,0)</f>
        <v>1.2769011327003474</v>
      </c>
      <c r="E11" s="57">
        <f>VLOOKUP(LEFT(A11,7),'4.Todo'!$B$2:$L$272,11,0)</f>
        <v>2.2929544431262494</v>
      </c>
      <c r="F11" s="57">
        <f>VLOOKUP(A11,'5.AT'!$A$2:$Y$200,25,0)</f>
        <v>1.0764672060857179</v>
      </c>
      <c r="G11" s="57" t="e">
        <f t="shared" si="0"/>
        <v>#N/A</v>
      </c>
      <c r="N11" s="163"/>
    </row>
    <row r="12" spans="1:14" x14ac:dyDescent="0.25">
      <c r="A12" s="17" t="s">
        <v>563</v>
      </c>
      <c r="B12" s="57">
        <f>VLOOKUP(A12,'1.CALIF'!$A$8:$N$400,14,0)</f>
        <v>0</v>
      </c>
      <c r="C12" s="57" t="e">
        <f>VLOOKUP(A12,'2.RESULTADOS'!$A$1:$R$124,18,0)</f>
        <v>#N/A</v>
      </c>
      <c r="D12" s="57">
        <f>VLOOKUP(A12,'3.gral'!$A$5:$W$187,23,0)</f>
        <v>5</v>
      </c>
      <c r="E12" s="57">
        <f>VLOOKUP(LEFT(A12,7),'4.Todo'!$B$2:$L$272,11,0)</f>
        <v>2.2929544431262494</v>
      </c>
      <c r="F12" s="57">
        <f>VLOOKUP(A12,'5.AT'!$A$2:$Y$200,25,0)</f>
        <v>3.8186967681258852</v>
      </c>
      <c r="G12" s="57" t="e">
        <f t="shared" si="0"/>
        <v>#N/A</v>
      </c>
    </row>
    <row r="13" spans="1:14" x14ac:dyDescent="0.25">
      <c r="A13" s="17" t="s">
        <v>562</v>
      </c>
      <c r="B13" s="57">
        <f>VLOOKUP(A13,'1.CALIF'!$A$8:$N$400,14,0)</f>
        <v>3.5551237151186958</v>
      </c>
      <c r="C13" s="57" t="e">
        <f>VLOOKUP(A13,'2.RESULTADOS'!$A$1:$R$124,18,0)</f>
        <v>#N/A</v>
      </c>
      <c r="D13" s="57">
        <f>VLOOKUP(A13,'3.gral'!$A$5:$W$187,23,0)</f>
        <v>1.2007060719608216</v>
      </c>
      <c r="E13" s="57">
        <f>VLOOKUP(LEFT(A13,7),'4.Todo'!$B$2:$L$272,11,0)</f>
        <v>2.3368996138620646</v>
      </c>
      <c r="F13" s="57">
        <f>VLOOKUP(A13,'5.AT'!$A$2:$Y$200,25,0)</f>
        <v>1.5771186440677969</v>
      </c>
      <c r="G13" s="57" t="e">
        <f t="shared" si="0"/>
        <v>#N/A</v>
      </c>
      <c r="N13" s="163"/>
    </row>
    <row r="14" spans="1:14" x14ac:dyDescent="0.25">
      <c r="A14" s="17" t="s">
        <v>561</v>
      </c>
      <c r="B14" s="57">
        <f>VLOOKUP(A14,'1.CALIF'!$A$8:$N$400,14,0)</f>
        <v>0.35502373562355943</v>
      </c>
      <c r="C14" s="57" t="e">
        <f>VLOOKUP(A14,'2.RESULTADOS'!$A$1:$R$124,18,0)</f>
        <v>#N/A</v>
      </c>
      <c r="D14" s="57">
        <f>VLOOKUP(A14,'3.gral'!$A$5:$W$187,23,0)</f>
        <v>1.2390053776294625</v>
      </c>
      <c r="E14" s="57">
        <f>VLOOKUP(LEFT(A14,7),'4.Todo'!$B$2:$L$272,11,0)</f>
        <v>2.3368996138620646</v>
      </c>
      <c r="F14" s="57">
        <f>VLOOKUP(A14,'5.AT'!$A$2:$Y$200,25,0)</f>
        <v>1.9637983048216812</v>
      </c>
      <c r="G14" s="57" t="e">
        <f t="shared" si="0"/>
        <v>#N/A</v>
      </c>
    </row>
    <row r="15" spans="1:14" x14ac:dyDescent="0.25">
      <c r="A15" s="189" t="s">
        <v>84</v>
      </c>
      <c r="B15" s="57">
        <f>VLOOKUP(A15,'1.CALIF'!$A$8:$N$400,14,0)</f>
        <v>2.6502083686172027</v>
      </c>
      <c r="C15" s="57">
        <f>VLOOKUP(A15,'2.RESULTADOS'!$A$1:$R$124,18,0)</f>
        <v>3.4254947883543863</v>
      </c>
      <c r="D15" s="57">
        <f>VLOOKUP(A15,'3.gral'!$A$5:$W$187,23,0)</f>
        <v>1.4129068911453182</v>
      </c>
      <c r="E15" s="57">
        <f>VLOOKUP(LEFT(A15,7),'4.Todo'!$B$2:$L$272,11,0)</f>
        <v>2.3368996138620646</v>
      </c>
      <c r="F15" s="57">
        <f>VLOOKUP(A15,'5.AT'!$A$2:$Y$200,25,0)</f>
        <v>3.7813559322033896</v>
      </c>
      <c r="G15" s="57">
        <f t="shared" si="0"/>
        <v>2.721373118836472</v>
      </c>
      <c r="N15" s="163"/>
    </row>
    <row r="16" spans="1:14" x14ac:dyDescent="0.25">
      <c r="A16" s="189" t="s">
        <v>85</v>
      </c>
      <c r="B16" s="57">
        <f>VLOOKUP(A16,'1.CALIF'!$A$8:$N$400,14,0)</f>
        <v>4.3193467343297929</v>
      </c>
      <c r="C16" s="57">
        <f>VLOOKUP(A16,'2.RESULTADOS'!$A$1:$R$124,18,0)</f>
        <v>5</v>
      </c>
      <c r="D16" s="57">
        <f>VLOOKUP(A16,'3.gral'!$A$5:$W$187,23,0)</f>
        <v>0.81643065131285353</v>
      </c>
      <c r="E16" s="57">
        <f>VLOOKUP(LEFT(A16,7),'4.Todo'!$B$2:$L$272,11,0)</f>
        <v>2.6685610171943028</v>
      </c>
      <c r="F16" s="57">
        <f>VLOOKUP(A16,'5.AT'!$A$2:$Y$200,25,0)</f>
        <v>1.6716686384528823</v>
      </c>
      <c r="G16" s="57">
        <f t="shared" si="0"/>
        <v>2.8952014082579662</v>
      </c>
    </row>
    <row r="17" spans="2:7" x14ac:dyDescent="0.25">
      <c r="B17" s="57" t="e">
        <f>VLOOKUP(A17,'1.CALIF'!$A$8:$N$400,14,0)</f>
        <v>#VALUE!</v>
      </c>
      <c r="C17" s="57" t="e">
        <f>VLOOKUP(A17,'2.RESULTADOS'!$A$1:$R$124,18,0)</f>
        <v>#N/A</v>
      </c>
      <c r="D17" s="57" t="e">
        <f>VLOOKUP(A17,'3.gral'!$A$5:$W$187,23,0)</f>
        <v>#VALUE!</v>
      </c>
      <c r="E17" s="57" t="e">
        <f>VLOOKUP(LEFT(A17,7),'4.Todo'!$B$2:$L$272,11,0)</f>
        <v>#N/A</v>
      </c>
      <c r="F17" s="57" t="e">
        <f>VLOOKUP(A17,'5.AT'!$A$2:$Y$200,25,0)</f>
        <v>#N/A</v>
      </c>
      <c r="G17" s="57" t="e">
        <f t="shared" si="0"/>
        <v>#VALUE!</v>
      </c>
    </row>
    <row r="18" spans="2:7" x14ac:dyDescent="0.25">
      <c r="B18" s="57" t="e">
        <f>VLOOKUP(A18,'1.CALIF'!$A$8:$N$400,14,0)</f>
        <v>#VALUE!</v>
      </c>
      <c r="C18" s="57" t="e">
        <f>VLOOKUP(A18,'2.RESULTADOS'!$A$1:$R$124,18,0)</f>
        <v>#N/A</v>
      </c>
      <c r="D18" s="57" t="e">
        <f>VLOOKUP(A18,'3.gral'!$A$5:$W$187,23,0)</f>
        <v>#VALUE!</v>
      </c>
      <c r="E18" s="57" t="e">
        <f>VLOOKUP(LEFT(A18,7),'4.Todo'!$B$2:$L$272,11,0)</f>
        <v>#N/A</v>
      </c>
      <c r="F18" s="57" t="e">
        <f>VLOOKUP(A18,'5.AT'!$A$2:$Y$200,25,0)</f>
        <v>#N/A</v>
      </c>
      <c r="G18" s="57" t="e">
        <f t="shared" si="0"/>
        <v>#VALUE!</v>
      </c>
    </row>
    <row r="19" spans="2:7" x14ac:dyDescent="0.25">
      <c r="B19" s="57" t="e">
        <f>VLOOKUP(A19,'1.CALIF'!$A$8:$N$400,14,0)</f>
        <v>#VALUE!</v>
      </c>
      <c r="C19" s="57" t="e">
        <f>VLOOKUP(A19,'2.RESULTADOS'!$A$1:$R$124,18,0)</f>
        <v>#N/A</v>
      </c>
      <c r="D19" s="57" t="e">
        <f>VLOOKUP(A19,'3.gral'!$A$5:$W$187,23,0)</f>
        <v>#VALUE!</v>
      </c>
      <c r="E19" s="57" t="e">
        <f>VLOOKUP(LEFT(A19,7),'4.Todo'!$B$2:$L$272,11,0)</f>
        <v>#N/A</v>
      </c>
      <c r="F19" s="57" t="e">
        <f>VLOOKUP(A19,'5.AT'!$A$2:$Y$200,25,0)</f>
        <v>#N/A</v>
      </c>
      <c r="G19" s="57" t="e">
        <f t="shared" si="0"/>
        <v>#VALUE!</v>
      </c>
    </row>
    <row r="20" spans="2:7" x14ac:dyDescent="0.25">
      <c r="B20" s="57" t="e">
        <f>VLOOKUP(A20,'1.CALIF'!$A$8:$N$400,14,0)</f>
        <v>#VALUE!</v>
      </c>
      <c r="C20" s="57" t="e">
        <f>VLOOKUP(A20,'2.RESULTADOS'!$A$1:$R$124,18,0)</f>
        <v>#N/A</v>
      </c>
      <c r="D20" s="57" t="e">
        <f>VLOOKUP(A20,'3.gral'!$A$5:$W$187,23,0)</f>
        <v>#VALUE!</v>
      </c>
      <c r="E20" s="57" t="e">
        <f>VLOOKUP(LEFT(A20,7),'4.Todo'!$B$2:$L$272,11,0)</f>
        <v>#N/A</v>
      </c>
      <c r="F20" s="57" t="e">
        <f>VLOOKUP(A20,'5.AT'!$A$2:$Y$200,25,0)</f>
        <v>#N/A</v>
      </c>
      <c r="G20" s="57" t="e">
        <f t="shared" si="0"/>
        <v>#VALUE!</v>
      </c>
    </row>
    <row r="21" spans="2:7" x14ac:dyDescent="0.25">
      <c r="B21" s="57" t="e">
        <f>VLOOKUP(A21,'1.CALIF'!$A$8:$N$400,14,0)</f>
        <v>#VALUE!</v>
      </c>
      <c r="C21" s="57" t="e">
        <f>VLOOKUP(A21,'2.RESULTADOS'!$A$1:$R$124,18,0)</f>
        <v>#N/A</v>
      </c>
      <c r="D21" s="57" t="e">
        <f>VLOOKUP(A21,'3.gral'!$A$5:$W$187,23,0)</f>
        <v>#VALUE!</v>
      </c>
      <c r="E21" s="57" t="e">
        <f>VLOOKUP(LEFT(A21,7),'4.Todo'!$B$2:$L$272,11,0)</f>
        <v>#N/A</v>
      </c>
      <c r="F21" s="57" t="e">
        <f>VLOOKUP(A21,'5.AT'!$A$2:$Y$200,25,0)</f>
        <v>#N/A</v>
      </c>
      <c r="G21" s="57" t="e">
        <f t="shared" si="0"/>
        <v>#VALUE!</v>
      </c>
    </row>
    <row r="22" spans="2:7" x14ac:dyDescent="0.25">
      <c r="B22" s="57" t="e">
        <f>VLOOKUP(A22,'1.CALIF'!$A$8:$N$400,14,0)</f>
        <v>#VALUE!</v>
      </c>
      <c r="C22" s="57" t="e">
        <f>VLOOKUP(A22,'2.RESULTADOS'!$A$1:$R$124,18,0)</f>
        <v>#N/A</v>
      </c>
      <c r="D22" s="57" t="e">
        <f>VLOOKUP(A22,'3.gral'!$A$5:$W$187,23,0)</f>
        <v>#VALUE!</v>
      </c>
      <c r="E22" s="57" t="e">
        <f>VLOOKUP(LEFT(A22,7),'4.Todo'!$B$2:$L$272,11,0)</f>
        <v>#N/A</v>
      </c>
      <c r="F22" s="57" t="e">
        <f>VLOOKUP(A22,'5.AT'!$A$2:$Y$200,25,0)</f>
        <v>#N/A</v>
      </c>
      <c r="G22" s="57" t="e">
        <f t="shared" si="0"/>
        <v>#VALUE!</v>
      </c>
    </row>
    <row r="23" spans="2:7" x14ac:dyDescent="0.25">
      <c r="B23" s="57" t="e">
        <f>VLOOKUP(A23,'1.CALIF'!$A$8:$N$400,14,0)</f>
        <v>#VALUE!</v>
      </c>
      <c r="C23" s="57" t="e">
        <f>VLOOKUP(A23,'2.RESULTADOS'!$A$1:$R$124,18,0)</f>
        <v>#N/A</v>
      </c>
      <c r="D23" s="57" t="e">
        <f>VLOOKUP(A23,'3.gral'!$A$5:$W$187,23,0)</f>
        <v>#VALUE!</v>
      </c>
      <c r="E23" s="57" t="e">
        <f>VLOOKUP(LEFT(A23,7),'4.Todo'!$B$2:$L$272,11,0)</f>
        <v>#N/A</v>
      </c>
      <c r="F23" s="57" t="e">
        <f>VLOOKUP(A23,'5.AT'!$A$2:$Y$200,25,0)</f>
        <v>#N/A</v>
      </c>
      <c r="G23" s="57" t="e">
        <f t="shared" si="0"/>
        <v>#VALUE!</v>
      </c>
    </row>
    <row r="24" spans="2:7" x14ac:dyDescent="0.25">
      <c r="B24" s="57" t="e">
        <f>VLOOKUP(A24,'1.CALIF'!$A$8:$N$400,14,0)</f>
        <v>#VALUE!</v>
      </c>
      <c r="C24" s="57" t="e">
        <f>VLOOKUP(A24,'2.RESULTADOS'!$A$1:$R$124,18,0)</f>
        <v>#N/A</v>
      </c>
      <c r="D24" s="57" t="e">
        <f>VLOOKUP(A24,'3.gral'!$A$5:$W$187,23,0)</f>
        <v>#VALUE!</v>
      </c>
      <c r="E24" s="57" t="e">
        <f>VLOOKUP(LEFT(A24,7),'4.Todo'!$B$2:$L$272,11,0)</f>
        <v>#N/A</v>
      </c>
      <c r="F24" s="57" t="e">
        <f>VLOOKUP(A24,'5.AT'!$A$2:$Y$200,25,0)</f>
        <v>#N/A</v>
      </c>
      <c r="G24" s="57" t="e">
        <f t="shared" si="0"/>
        <v>#VALUE!</v>
      </c>
    </row>
    <row r="25" spans="2:7" x14ac:dyDescent="0.25">
      <c r="B25" s="57" t="e">
        <f>VLOOKUP(A25,'1.CALIF'!$A$8:$N$400,14,0)</f>
        <v>#VALUE!</v>
      </c>
      <c r="C25" s="57" t="e">
        <f>VLOOKUP(A25,'2.RESULTADOS'!$A$1:$R$124,18,0)</f>
        <v>#N/A</v>
      </c>
      <c r="D25" s="57" t="e">
        <f>VLOOKUP(A25,'3.gral'!$A$5:$W$187,23,0)</f>
        <v>#VALUE!</v>
      </c>
      <c r="E25" s="57" t="e">
        <f>VLOOKUP(LEFT(A25,7),'4.Todo'!$B$2:$L$272,11,0)</f>
        <v>#N/A</v>
      </c>
      <c r="F25" s="57" t="e">
        <f>VLOOKUP(A25,'5.AT'!$A$2:$Y$200,25,0)</f>
        <v>#N/A</v>
      </c>
      <c r="G25" s="57" t="e">
        <f t="shared" si="0"/>
        <v>#VALUE!</v>
      </c>
    </row>
    <row r="26" spans="2:7" x14ac:dyDescent="0.25">
      <c r="B26" s="57" t="e">
        <f>VLOOKUP(A26,'1.CALIF'!$A$8:$N$400,14,0)</f>
        <v>#VALUE!</v>
      </c>
      <c r="C26" s="57" t="e">
        <f>VLOOKUP(A26,'2.RESULTADOS'!$A$1:$R$124,18,0)</f>
        <v>#N/A</v>
      </c>
      <c r="D26" s="57" t="e">
        <f>VLOOKUP(A26,'3.gral'!$A$5:$W$187,23,0)</f>
        <v>#VALUE!</v>
      </c>
      <c r="E26" s="57" t="e">
        <f>VLOOKUP(LEFT(A26,7),'4.Todo'!$B$2:$L$272,11,0)</f>
        <v>#N/A</v>
      </c>
      <c r="F26" s="57" t="e">
        <f>VLOOKUP(A26,'5.AT'!$A$2:$Y$200,25,0)</f>
        <v>#N/A</v>
      </c>
      <c r="G26" s="57" t="e">
        <f t="shared" si="0"/>
        <v>#VALUE!</v>
      </c>
    </row>
    <row r="27" spans="2:7" x14ac:dyDescent="0.25">
      <c r="B27" s="57" t="e">
        <f>VLOOKUP(A27,'1.CALIF'!$A$8:$N$400,14,0)</f>
        <v>#VALUE!</v>
      </c>
      <c r="C27" s="57" t="e">
        <f>VLOOKUP(A27,'2.RESULTADOS'!$A$1:$R$124,18,0)</f>
        <v>#N/A</v>
      </c>
      <c r="D27" s="57" t="e">
        <f>VLOOKUP(A27,'3.gral'!$A$5:$W$187,23,0)</f>
        <v>#VALUE!</v>
      </c>
      <c r="E27" s="57" t="e">
        <f>VLOOKUP(LEFT(A27,7),'4.Todo'!$B$2:$L$272,11,0)</f>
        <v>#N/A</v>
      </c>
      <c r="F27" s="57" t="e">
        <f>VLOOKUP(A27,'5.AT'!$A$2:$Y$200,25,0)</f>
        <v>#N/A</v>
      </c>
      <c r="G27" s="57" t="e">
        <f t="shared" si="0"/>
        <v>#VALUE!</v>
      </c>
    </row>
    <row r="28" spans="2:7" x14ac:dyDescent="0.25">
      <c r="B28" s="57" t="e">
        <f>VLOOKUP(A28,'1.CALIF'!$A$8:$N$400,14,0)</f>
        <v>#VALUE!</v>
      </c>
      <c r="C28" s="57" t="e">
        <f>VLOOKUP(A28,'2.RESULTADOS'!$A$1:$R$124,18,0)</f>
        <v>#N/A</v>
      </c>
      <c r="D28" s="57" t="e">
        <f>VLOOKUP(A28,'3.gral'!$A$5:$W$187,23,0)</f>
        <v>#VALUE!</v>
      </c>
      <c r="E28" s="57" t="e">
        <f>VLOOKUP(LEFT(A28,7),'4.Todo'!$B$2:$L$272,11,0)</f>
        <v>#N/A</v>
      </c>
      <c r="F28" s="57" t="e">
        <f>VLOOKUP(A28,'5.AT'!$A$2:$Y$200,25,0)</f>
        <v>#N/A</v>
      </c>
      <c r="G28" s="57" t="e">
        <f t="shared" si="0"/>
        <v>#VALUE!</v>
      </c>
    </row>
    <row r="29" spans="2:7" x14ac:dyDescent="0.25">
      <c r="B29" s="57" t="e">
        <f>VLOOKUP(A29,'1.CALIF'!$A$8:$N$400,14,0)</f>
        <v>#VALUE!</v>
      </c>
      <c r="C29" s="57" t="e">
        <f>VLOOKUP(A29,'2.RESULTADOS'!$A$1:$R$124,18,0)</f>
        <v>#N/A</v>
      </c>
      <c r="D29" s="57" t="e">
        <f>VLOOKUP(A29,'3.gral'!$A$5:$W$187,23,0)</f>
        <v>#VALUE!</v>
      </c>
      <c r="E29" s="57" t="e">
        <f>VLOOKUP(LEFT(A29,7),'4.Todo'!$B$2:$L$272,11,0)</f>
        <v>#N/A</v>
      </c>
      <c r="F29" s="57" t="e">
        <f>VLOOKUP(A29,'5.AT'!$A$2:$Y$200,25,0)</f>
        <v>#N/A</v>
      </c>
      <c r="G29" s="57" t="e">
        <f t="shared" si="0"/>
        <v>#VALUE!</v>
      </c>
    </row>
    <row r="30" spans="2:7" x14ac:dyDescent="0.25">
      <c r="B30" s="57" t="e">
        <f>VLOOKUP(A30,'1.CALIF'!$A$8:$N$400,14,0)</f>
        <v>#VALUE!</v>
      </c>
      <c r="C30" s="57" t="e">
        <f>VLOOKUP(A30,'2.RESULTADOS'!$A$1:$R$124,18,0)</f>
        <v>#N/A</v>
      </c>
      <c r="D30" s="57" t="e">
        <f>VLOOKUP(A30,'3.gral'!$A$5:$W$187,23,0)</f>
        <v>#VALUE!</v>
      </c>
      <c r="E30" s="57" t="e">
        <f>VLOOKUP(LEFT(A30,7),'4.Todo'!$B$2:$L$272,11,0)</f>
        <v>#N/A</v>
      </c>
      <c r="F30" s="57" t="e">
        <f>VLOOKUP(A30,'5.AT'!$A$2:$Y$200,25,0)</f>
        <v>#N/A</v>
      </c>
      <c r="G30" s="57" t="e">
        <f t="shared" si="0"/>
        <v>#VALUE!</v>
      </c>
    </row>
    <row r="31" spans="2:7" x14ac:dyDescent="0.25">
      <c r="B31" s="57" t="e">
        <f>VLOOKUP(A31,'1.CALIF'!$A$8:$N$400,14,0)</f>
        <v>#VALUE!</v>
      </c>
      <c r="C31" s="57" t="e">
        <f>VLOOKUP(A31,'2.RESULTADOS'!$A$1:$R$124,18,0)</f>
        <v>#N/A</v>
      </c>
      <c r="D31" s="57" t="e">
        <f>VLOOKUP(A31,'3.gral'!$A$5:$W$187,23,0)</f>
        <v>#VALUE!</v>
      </c>
      <c r="E31" s="57" t="e">
        <f>VLOOKUP(LEFT(A31,7),'4.Todo'!$B$2:$L$272,11,0)</f>
        <v>#N/A</v>
      </c>
      <c r="F31" s="57" t="e">
        <f>VLOOKUP(A31,'5.AT'!$A$2:$Y$200,25,0)</f>
        <v>#N/A</v>
      </c>
      <c r="G31" s="57" t="e">
        <f t="shared" si="0"/>
        <v>#VALUE!</v>
      </c>
    </row>
    <row r="32" spans="2:7" x14ac:dyDescent="0.25">
      <c r="B32" s="57" t="e">
        <f>VLOOKUP(A32,'1.CALIF'!$A$8:$N$400,14,0)</f>
        <v>#VALUE!</v>
      </c>
      <c r="C32" s="57" t="e">
        <f>VLOOKUP(A32,'2.RESULTADOS'!$A$1:$R$124,18,0)</f>
        <v>#N/A</v>
      </c>
      <c r="D32" s="57" t="e">
        <f>VLOOKUP(A32,'3.gral'!$A$5:$W$187,23,0)</f>
        <v>#VALUE!</v>
      </c>
      <c r="E32" s="57" t="e">
        <f>VLOOKUP(LEFT(A32,7),'4.Todo'!$B$2:$L$272,11,0)</f>
        <v>#N/A</v>
      </c>
      <c r="F32" s="57" t="e">
        <f>VLOOKUP(A32,'5.AT'!$A$2:$Y$200,25,0)</f>
        <v>#N/A</v>
      </c>
      <c r="G32" s="57" t="e">
        <f t="shared" si="0"/>
        <v>#VALUE!</v>
      </c>
    </row>
    <row r="33" spans="2:7" x14ac:dyDescent="0.25">
      <c r="B33" s="57" t="e">
        <f>VLOOKUP(A33,'1.CALIF'!$A$8:$N$400,14,0)</f>
        <v>#VALUE!</v>
      </c>
      <c r="C33" s="57" t="e">
        <f>VLOOKUP(A33,'2.RESULTADOS'!$A$1:$R$124,18,0)</f>
        <v>#N/A</v>
      </c>
      <c r="D33" s="57" t="e">
        <f>VLOOKUP(A33,'3.gral'!$A$5:$W$187,23,0)</f>
        <v>#VALUE!</v>
      </c>
      <c r="E33" s="57" t="e">
        <f>VLOOKUP(LEFT(A33,7),'4.Todo'!$B$2:$L$272,11,0)</f>
        <v>#N/A</v>
      </c>
      <c r="F33" s="57" t="e">
        <f>VLOOKUP(A33,'5.AT'!$A$2:$Y$200,25,0)</f>
        <v>#N/A</v>
      </c>
      <c r="G33" s="57" t="e">
        <f t="shared" si="0"/>
        <v>#VALUE!</v>
      </c>
    </row>
    <row r="34" spans="2:7" x14ac:dyDescent="0.25">
      <c r="B34" s="57" t="e">
        <f>VLOOKUP(A34,'1.CALIF'!$A$8:$N$400,14,0)</f>
        <v>#VALUE!</v>
      </c>
      <c r="C34" s="57" t="e">
        <f>VLOOKUP(A34,'2.RESULTADOS'!$A$1:$R$124,18,0)</f>
        <v>#N/A</v>
      </c>
      <c r="D34" s="57" t="e">
        <f>VLOOKUP(A34,'3.gral'!$A$5:$W$187,23,0)</f>
        <v>#VALUE!</v>
      </c>
      <c r="E34" s="57" t="e">
        <f>VLOOKUP(LEFT(A34,7),'4.Todo'!$B$2:$L$272,11,0)</f>
        <v>#N/A</v>
      </c>
      <c r="F34" s="57" t="e">
        <f>VLOOKUP(A34,'5.AT'!$A$2:$Y$200,25,0)</f>
        <v>#N/A</v>
      </c>
      <c r="G34" s="57" t="e">
        <f t="shared" si="0"/>
        <v>#VALUE!</v>
      </c>
    </row>
    <row r="35" spans="2:7" x14ac:dyDescent="0.25">
      <c r="B35" s="57" t="e">
        <f>VLOOKUP(A35,'1.CALIF'!$A$8:$N$400,14,0)</f>
        <v>#VALUE!</v>
      </c>
      <c r="C35" s="57" t="e">
        <f>VLOOKUP(A35,'2.RESULTADOS'!$A$1:$R$124,18,0)</f>
        <v>#N/A</v>
      </c>
      <c r="D35" s="57" t="e">
        <f>VLOOKUP(A35,'3.gral'!$A$5:$W$187,23,0)</f>
        <v>#VALUE!</v>
      </c>
      <c r="E35" s="57" t="e">
        <f>VLOOKUP(LEFT(A35,7),'4.Todo'!$B$2:$L$272,11,0)</f>
        <v>#N/A</v>
      </c>
      <c r="F35" s="57" t="e">
        <f>VLOOKUP(A35,'5.AT'!$A$2:$Y$200,25,0)</f>
        <v>#N/A</v>
      </c>
      <c r="G35" s="57" t="e">
        <f t="shared" si="0"/>
        <v>#VALUE!</v>
      </c>
    </row>
    <row r="36" spans="2:7" x14ac:dyDescent="0.25">
      <c r="B36" s="57" t="e">
        <f>VLOOKUP(A36,'1.CALIF'!$A$8:$N$400,14,0)</f>
        <v>#VALUE!</v>
      </c>
      <c r="C36" s="57" t="e">
        <f>VLOOKUP(A36,'2.RESULTADOS'!$A$1:$R$124,18,0)</f>
        <v>#N/A</v>
      </c>
      <c r="D36" s="57" t="e">
        <f>VLOOKUP(A36,'3.gral'!$A$5:$W$187,23,0)</f>
        <v>#VALUE!</v>
      </c>
      <c r="E36" s="57" t="e">
        <f>VLOOKUP(LEFT(A36,7),'4.Todo'!$B$2:$L$272,11,0)</f>
        <v>#N/A</v>
      </c>
      <c r="F36" s="57" t="e">
        <f>VLOOKUP(A36,'5.AT'!$A$2:$Y$200,25,0)</f>
        <v>#N/A</v>
      </c>
      <c r="G36" s="57" t="e">
        <f t="shared" si="0"/>
        <v>#VALUE!</v>
      </c>
    </row>
    <row r="37" spans="2:7" x14ac:dyDescent="0.25">
      <c r="B37" s="57" t="e">
        <f>VLOOKUP(A37,'1.CALIF'!$A$8:$N$400,14,0)</f>
        <v>#VALUE!</v>
      </c>
      <c r="C37" s="57" t="e">
        <f>VLOOKUP(A37,'2.RESULTADOS'!$A$1:$R$124,18,0)</f>
        <v>#N/A</v>
      </c>
      <c r="D37" s="57" t="e">
        <f>VLOOKUP(A37,'3.gral'!$A$5:$W$187,23,0)</f>
        <v>#VALUE!</v>
      </c>
      <c r="E37" s="57" t="e">
        <f>VLOOKUP(LEFT(A37,7),'4.Todo'!$B$2:$L$272,11,0)</f>
        <v>#N/A</v>
      </c>
      <c r="F37" s="57" t="e">
        <f>VLOOKUP(A37,'5.AT'!$A$2:$Y$200,25,0)</f>
        <v>#N/A</v>
      </c>
      <c r="G37" s="57" t="e">
        <f t="shared" si="0"/>
        <v>#VALUE!</v>
      </c>
    </row>
    <row r="38" spans="2:7" x14ac:dyDescent="0.25">
      <c r="B38" s="57" t="e">
        <f>VLOOKUP(A38,'1.CALIF'!$A$8:$N$400,14,0)</f>
        <v>#VALUE!</v>
      </c>
      <c r="C38" s="57" t="e">
        <f>VLOOKUP(A38,'2.RESULTADOS'!$A$1:$R$124,18,0)</f>
        <v>#N/A</v>
      </c>
      <c r="D38" s="57" t="e">
        <f>VLOOKUP(A38,'3.gral'!$A$5:$W$187,23,0)</f>
        <v>#VALUE!</v>
      </c>
      <c r="E38" s="57" t="e">
        <f>VLOOKUP(LEFT(A38,7),'4.Todo'!$B$2:$L$272,11,0)</f>
        <v>#N/A</v>
      </c>
      <c r="F38" s="57" t="e">
        <f>VLOOKUP(A38,'5.AT'!$A$2:$Y$200,25,0)</f>
        <v>#N/A</v>
      </c>
      <c r="G38" s="57" t="e">
        <f t="shared" si="0"/>
        <v>#VALUE!</v>
      </c>
    </row>
    <row r="39" spans="2:7" x14ac:dyDescent="0.25">
      <c r="B39" s="57" t="e">
        <f>VLOOKUP(A39,'1.CALIF'!$A$8:$N$400,14,0)</f>
        <v>#VALUE!</v>
      </c>
      <c r="C39" s="57" t="e">
        <f>VLOOKUP(A39,'2.RESULTADOS'!$A$1:$R$124,18,0)</f>
        <v>#N/A</v>
      </c>
      <c r="D39" s="57" t="e">
        <f>VLOOKUP(A39,'3.gral'!$A$5:$W$187,23,0)</f>
        <v>#VALUE!</v>
      </c>
      <c r="E39" s="57" t="e">
        <f>VLOOKUP(LEFT(A39,7),'4.Todo'!$B$2:$L$272,11,0)</f>
        <v>#N/A</v>
      </c>
      <c r="F39" s="57" t="e">
        <f>VLOOKUP(A39,'5.AT'!$A$2:$Y$200,25,0)</f>
        <v>#N/A</v>
      </c>
      <c r="G39" s="57" t="e">
        <f t="shared" si="0"/>
        <v>#VALUE!</v>
      </c>
    </row>
    <row r="40" spans="2:7" x14ac:dyDescent="0.25">
      <c r="B40" s="57" t="e">
        <f>VLOOKUP(A40,'1.CALIF'!$A$8:$N$400,14,0)</f>
        <v>#VALUE!</v>
      </c>
      <c r="C40" s="57" t="e">
        <f>VLOOKUP(A40,'2.RESULTADOS'!$A$1:$R$124,18,0)</f>
        <v>#N/A</v>
      </c>
      <c r="D40" s="57" t="e">
        <f>VLOOKUP(A40,'3.gral'!$A$5:$W$187,23,0)</f>
        <v>#VALUE!</v>
      </c>
      <c r="E40" s="57" t="e">
        <f>VLOOKUP(LEFT(A40,7),'4.Todo'!$B$2:$L$272,11,0)</f>
        <v>#N/A</v>
      </c>
      <c r="F40" s="57" t="e">
        <f>VLOOKUP(A40,'5.AT'!$A$2:$Y$200,25,0)</f>
        <v>#N/A</v>
      </c>
      <c r="G40" s="57" t="e">
        <f t="shared" si="0"/>
        <v>#VALUE!</v>
      </c>
    </row>
    <row r="41" spans="2:7" x14ac:dyDescent="0.25">
      <c r="B41" s="57" t="e">
        <f>VLOOKUP(A41,'1.CALIF'!$A$8:$N$400,14,0)</f>
        <v>#VALUE!</v>
      </c>
      <c r="C41" s="57" t="e">
        <f>VLOOKUP(A41,'2.RESULTADOS'!$A$1:$R$124,18,0)</f>
        <v>#N/A</v>
      </c>
      <c r="D41" s="57" t="e">
        <f>VLOOKUP(A41,'3.gral'!$A$5:$W$187,23,0)</f>
        <v>#VALUE!</v>
      </c>
      <c r="E41" s="57" t="e">
        <f>VLOOKUP(LEFT(A41,7),'4.Todo'!$B$2:$L$272,11,0)</f>
        <v>#N/A</v>
      </c>
      <c r="F41" s="57" t="e">
        <f>VLOOKUP(A41,'5.AT'!$A$2:$Y$200,25,0)</f>
        <v>#N/A</v>
      </c>
      <c r="G41" s="57" t="e">
        <f t="shared" si="0"/>
        <v>#VALUE!</v>
      </c>
    </row>
    <row r="42" spans="2:7" x14ac:dyDescent="0.25">
      <c r="B42" s="57" t="e">
        <f>VLOOKUP(A42,'1.CALIF'!$A$8:$N$400,14,0)</f>
        <v>#VALUE!</v>
      </c>
      <c r="C42" s="57" t="e">
        <f>VLOOKUP(A42,'2.RESULTADOS'!$A$1:$R$124,18,0)</f>
        <v>#N/A</v>
      </c>
      <c r="D42" s="57" t="e">
        <f>VLOOKUP(A42,'3.gral'!$A$5:$W$187,23,0)</f>
        <v>#VALUE!</v>
      </c>
      <c r="E42" s="57" t="e">
        <f>VLOOKUP(LEFT(A42,7),'4.Todo'!$B$2:$L$272,11,0)</f>
        <v>#N/A</v>
      </c>
      <c r="F42" s="57" t="e">
        <f>VLOOKUP(A42,'5.AT'!$A$2:$Y$200,25,0)</f>
        <v>#N/A</v>
      </c>
      <c r="G42" s="57" t="e">
        <f t="shared" si="0"/>
        <v>#VALUE!</v>
      </c>
    </row>
    <row r="43" spans="2:7" x14ac:dyDescent="0.25">
      <c r="B43" s="57" t="e">
        <f>VLOOKUP(A43,'1.CALIF'!$A$8:$N$400,14,0)</f>
        <v>#VALUE!</v>
      </c>
      <c r="C43" s="57" t="e">
        <f>VLOOKUP(A43,'2.RESULTADOS'!$A$1:$R$124,18,0)</f>
        <v>#N/A</v>
      </c>
      <c r="D43" s="57" t="e">
        <f>VLOOKUP(A43,'3.gral'!$A$5:$W$187,23,0)</f>
        <v>#VALUE!</v>
      </c>
      <c r="E43" s="57" t="e">
        <f>VLOOKUP(LEFT(A43,7),'4.Todo'!$B$2:$L$272,11,0)</f>
        <v>#N/A</v>
      </c>
      <c r="F43" s="57" t="e">
        <f>VLOOKUP(A43,'5.AT'!$A$2:$Y$200,25,0)</f>
        <v>#N/A</v>
      </c>
      <c r="G43" s="57" t="e">
        <f t="shared" si="0"/>
        <v>#VALUE!</v>
      </c>
    </row>
    <row r="44" spans="2:7" x14ac:dyDescent="0.25">
      <c r="B44" s="57" t="e">
        <f>VLOOKUP(A44,'1.CALIF'!$A$8:$N$400,14,0)</f>
        <v>#VALUE!</v>
      </c>
      <c r="C44" s="57" t="e">
        <f>VLOOKUP(A44,'2.RESULTADOS'!$A$1:$R$124,18,0)</f>
        <v>#N/A</v>
      </c>
      <c r="D44" s="57" t="e">
        <f>VLOOKUP(A44,'3.gral'!$A$5:$W$187,23,0)</f>
        <v>#VALUE!</v>
      </c>
      <c r="E44" s="57" t="e">
        <f>VLOOKUP(LEFT(A44,7),'4.Todo'!$B$2:$L$272,11,0)</f>
        <v>#N/A</v>
      </c>
      <c r="F44" s="57" t="e">
        <f>VLOOKUP(A44,'5.AT'!$A$2:$Y$200,25,0)</f>
        <v>#N/A</v>
      </c>
      <c r="G44" s="57" t="e">
        <f t="shared" si="0"/>
        <v>#VALUE!</v>
      </c>
    </row>
    <row r="45" spans="2:7" x14ac:dyDescent="0.25">
      <c r="B45" s="57" t="e">
        <f>VLOOKUP(A45,'1.CALIF'!$A$8:$N$400,14,0)</f>
        <v>#VALUE!</v>
      </c>
      <c r="C45" s="57" t="e">
        <f>VLOOKUP(A45,'2.RESULTADOS'!$A$1:$R$124,18,0)</f>
        <v>#N/A</v>
      </c>
      <c r="D45" s="57" t="e">
        <f>VLOOKUP(A45,'3.gral'!$A$5:$W$187,23,0)</f>
        <v>#VALUE!</v>
      </c>
      <c r="E45" s="57" t="e">
        <f>VLOOKUP(LEFT(A45,7),'4.Todo'!$B$2:$L$272,11,0)</f>
        <v>#N/A</v>
      </c>
      <c r="F45" s="57" t="e">
        <f>VLOOKUP(A45,'5.AT'!$A$2:$Y$200,25,0)</f>
        <v>#N/A</v>
      </c>
      <c r="G45" s="57" t="e">
        <f t="shared" si="0"/>
        <v>#VALUE!</v>
      </c>
    </row>
    <row r="46" spans="2:7" x14ac:dyDescent="0.25">
      <c r="B46" s="57" t="e">
        <f>VLOOKUP(A46,'1.CALIF'!$A$8:$N$400,14,0)</f>
        <v>#VALUE!</v>
      </c>
      <c r="C46" s="57" t="e">
        <f>VLOOKUP(A46,'2.RESULTADOS'!$A$1:$R$124,18,0)</f>
        <v>#N/A</v>
      </c>
      <c r="D46" s="57" t="e">
        <f>VLOOKUP(A46,'3.gral'!$A$5:$W$187,23,0)</f>
        <v>#VALUE!</v>
      </c>
      <c r="E46" s="57" t="e">
        <f>VLOOKUP(LEFT(A46,7),'4.Todo'!$B$2:$L$272,11,0)</f>
        <v>#N/A</v>
      </c>
      <c r="F46" s="57" t="e">
        <f>VLOOKUP(A46,'5.AT'!$A$2:$Y$200,25,0)</f>
        <v>#N/A</v>
      </c>
      <c r="G46" s="57" t="e">
        <f t="shared" si="0"/>
        <v>#VALUE!</v>
      </c>
    </row>
    <row r="47" spans="2:7" x14ac:dyDescent="0.25">
      <c r="B47" s="57" t="e">
        <f>VLOOKUP(A47,'1.CALIF'!$A$8:$N$400,14,0)</f>
        <v>#VALUE!</v>
      </c>
      <c r="C47" s="57" t="e">
        <f>VLOOKUP(A47,'2.RESULTADOS'!$A$1:$R$124,18,0)</f>
        <v>#N/A</v>
      </c>
      <c r="D47" s="57" t="e">
        <f>VLOOKUP(A47,'3.gral'!$A$5:$W$187,23,0)</f>
        <v>#VALUE!</v>
      </c>
      <c r="E47" s="57" t="e">
        <f>VLOOKUP(LEFT(A47,7),'4.Todo'!$B$2:$L$272,11,0)</f>
        <v>#N/A</v>
      </c>
      <c r="F47" s="57" t="e">
        <f>VLOOKUP(A47,'5.AT'!$A$2:$Y$200,25,0)</f>
        <v>#N/A</v>
      </c>
      <c r="G47" s="57" t="e">
        <f t="shared" si="0"/>
        <v>#VALUE!</v>
      </c>
    </row>
    <row r="48" spans="2:7" x14ac:dyDescent="0.25">
      <c r="B48" s="57" t="e">
        <f>VLOOKUP(A48,'1.CALIF'!$A$8:$N$400,14,0)</f>
        <v>#VALUE!</v>
      </c>
      <c r="C48" s="57" t="e">
        <f>VLOOKUP(A48,'2.RESULTADOS'!$A$1:$R$124,18,0)</f>
        <v>#N/A</v>
      </c>
      <c r="D48" s="57" t="e">
        <f>VLOOKUP(A48,'3.gral'!$A$5:$W$187,23,0)</f>
        <v>#VALUE!</v>
      </c>
      <c r="E48" s="57" t="e">
        <f>VLOOKUP(LEFT(A48,7),'4.Todo'!$B$2:$L$272,11,0)</f>
        <v>#N/A</v>
      </c>
      <c r="F48" s="57" t="e">
        <f>VLOOKUP(A48,'5.AT'!$A$2:$Y$200,25,0)</f>
        <v>#N/A</v>
      </c>
      <c r="G48" s="57" t="e">
        <f t="shared" si="0"/>
        <v>#VALUE!</v>
      </c>
    </row>
    <row r="49" spans="2:7" x14ac:dyDescent="0.25">
      <c r="B49" s="57" t="e">
        <f>VLOOKUP(A49,'1.CALIF'!$A$8:$N$400,14,0)</f>
        <v>#VALUE!</v>
      </c>
      <c r="C49" s="57" t="e">
        <f>VLOOKUP(A49,'2.RESULTADOS'!$A$1:$R$124,18,0)</f>
        <v>#N/A</v>
      </c>
      <c r="D49" s="57" t="e">
        <f>VLOOKUP(A49,'3.gral'!$A$5:$W$187,23,0)</f>
        <v>#VALUE!</v>
      </c>
      <c r="E49" s="57" t="e">
        <f>VLOOKUP(LEFT(A49,7),'4.Todo'!$B$2:$L$272,11,0)</f>
        <v>#N/A</v>
      </c>
      <c r="F49" s="57" t="e">
        <f>VLOOKUP(A49,'5.AT'!$A$2:$Y$200,25,0)</f>
        <v>#N/A</v>
      </c>
      <c r="G49" s="57" t="e">
        <f t="shared" si="0"/>
        <v>#VALUE!</v>
      </c>
    </row>
    <row r="50" spans="2:7" x14ac:dyDescent="0.25">
      <c r="B50" s="57" t="e">
        <f>VLOOKUP(A50,'1.CALIF'!$A$8:$N$400,14,0)</f>
        <v>#VALUE!</v>
      </c>
      <c r="C50" s="57" t="e">
        <f>VLOOKUP(A50,'2.RESULTADOS'!$A$1:$R$124,18,0)</f>
        <v>#N/A</v>
      </c>
      <c r="D50" s="57" t="e">
        <f>VLOOKUP(A50,'3.gral'!$A$5:$W$187,23,0)</f>
        <v>#VALUE!</v>
      </c>
      <c r="E50" s="57" t="e">
        <f>VLOOKUP(LEFT(A50,7),'4.Todo'!$B$2:$L$272,11,0)</f>
        <v>#N/A</v>
      </c>
      <c r="F50" s="57" t="e">
        <f>VLOOKUP(A50,'5.AT'!$A$2:$Y$200,25,0)</f>
        <v>#N/A</v>
      </c>
      <c r="G50" s="57" t="e">
        <f t="shared" si="0"/>
        <v>#VALUE!</v>
      </c>
    </row>
    <row r="51" spans="2:7" x14ac:dyDescent="0.25">
      <c r="B51" s="57" t="e">
        <f>VLOOKUP(A51,'1.CALIF'!$A$8:$N$400,14,0)</f>
        <v>#VALUE!</v>
      </c>
      <c r="C51" s="57" t="e">
        <f>VLOOKUP(A51,'2.RESULTADOS'!$A$1:$R$124,18,0)</f>
        <v>#N/A</v>
      </c>
      <c r="D51" s="57" t="e">
        <f>VLOOKUP(A51,'3.gral'!$A$5:$W$187,23,0)</f>
        <v>#VALUE!</v>
      </c>
      <c r="E51" s="57" t="e">
        <f>VLOOKUP(LEFT(A51,7),'4.Todo'!$B$2:$L$272,11,0)</f>
        <v>#N/A</v>
      </c>
      <c r="F51" s="57" t="e">
        <f>VLOOKUP(A51,'5.AT'!$A$2:$Y$200,25,0)</f>
        <v>#N/A</v>
      </c>
      <c r="G51" s="57" t="e">
        <f t="shared" si="0"/>
        <v>#VALUE!</v>
      </c>
    </row>
    <row r="52" spans="2:7" x14ac:dyDescent="0.25">
      <c r="B52" s="57" t="e">
        <f>VLOOKUP(A52,'1.CALIF'!$A$8:$N$400,14,0)</f>
        <v>#VALUE!</v>
      </c>
      <c r="C52" s="57" t="e">
        <f>VLOOKUP(A52,'2.RESULTADOS'!$A$1:$R$124,18,0)</f>
        <v>#N/A</v>
      </c>
      <c r="D52" s="57" t="e">
        <f>VLOOKUP(A52,'3.gral'!$A$5:$W$187,23,0)</f>
        <v>#VALUE!</v>
      </c>
      <c r="E52" s="57" t="e">
        <f>VLOOKUP(LEFT(A52,7),'4.Todo'!$B$2:$L$272,11,0)</f>
        <v>#N/A</v>
      </c>
      <c r="F52" s="57" t="e">
        <f>VLOOKUP(A52,'5.AT'!$A$2:$Y$200,25,0)</f>
        <v>#N/A</v>
      </c>
      <c r="G52" s="57" t="e">
        <f t="shared" si="0"/>
        <v>#VALUE!</v>
      </c>
    </row>
    <row r="53" spans="2:7" x14ac:dyDescent="0.25">
      <c r="B53" s="57" t="e">
        <f>VLOOKUP(A53,'1.CALIF'!$A$8:$N$400,14,0)</f>
        <v>#VALUE!</v>
      </c>
      <c r="C53" s="57" t="e">
        <f>VLOOKUP(A53,'2.RESULTADOS'!$A$1:$R$124,18,0)</f>
        <v>#N/A</v>
      </c>
      <c r="D53" s="57" t="e">
        <f>VLOOKUP(A53,'3.gral'!$A$5:$W$187,23,0)</f>
        <v>#VALUE!</v>
      </c>
      <c r="E53" s="57" t="e">
        <f>VLOOKUP(LEFT(A53,7),'4.Todo'!$B$2:$L$272,11,0)</f>
        <v>#N/A</v>
      </c>
      <c r="F53" s="57" t="e">
        <f>VLOOKUP(A53,'5.AT'!$A$2:$Y$200,25,0)</f>
        <v>#N/A</v>
      </c>
      <c r="G53" s="57" t="e">
        <f t="shared" si="0"/>
        <v>#VALUE!</v>
      </c>
    </row>
    <row r="54" spans="2:7" x14ac:dyDescent="0.25">
      <c r="B54" s="57" t="e">
        <f>VLOOKUP(A54,'1.CALIF'!$A$8:$N$400,14,0)</f>
        <v>#VALUE!</v>
      </c>
      <c r="C54" s="57" t="e">
        <f>VLOOKUP(A54,'2.RESULTADOS'!$A$1:$R$124,18,0)</f>
        <v>#N/A</v>
      </c>
      <c r="D54" s="57" t="e">
        <f>VLOOKUP(A54,'3.gral'!$A$5:$W$187,23,0)</f>
        <v>#VALUE!</v>
      </c>
      <c r="E54" s="57" t="e">
        <f>VLOOKUP(LEFT(A54,7),'4.Todo'!$B$2:$L$272,11,0)</f>
        <v>#N/A</v>
      </c>
      <c r="F54" s="57" t="e">
        <f>VLOOKUP(A54,'5.AT'!$A$2:$Y$200,25,0)</f>
        <v>#N/A</v>
      </c>
      <c r="G54" s="57" t="e">
        <f t="shared" si="0"/>
        <v>#VALUE!</v>
      </c>
    </row>
    <row r="55" spans="2:7" x14ac:dyDescent="0.25">
      <c r="B55" s="57" t="e">
        <f>VLOOKUP(A55,'1.CALIF'!$A$8:$N$400,14,0)</f>
        <v>#VALUE!</v>
      </c>
      <c r="C55" s="57" t="e">
        <f>VLOOKUP(A55,'2.RESULTADOS'!$A$1:$R$124,18,0)</f>
        <v>#N/A</v>
      </c>
      <c r="D55" s="57" t="e">
        <f>VLOOKUP(A55,'3.gral'!$A$5:$W$187,23,0)</f>
        <v>#VALUE!</v>
      </c>
      <c r="E55" s="57" t="e">
        <f>VLOOKUP(LEFT(A55,7),'4.Todo'!$B$2:$L$272,11,0)</f>
        <v>#N/A</v>
      </c>
      <c r="F55" s="57" t="e">
        <f>VLOOKUP(A55,'5.AT'!$A$2:$Y$200,25,0)</f>
        <v>#N/A</v>
      </c>
      <c r="G55" s="57" t="e">
        <f t="shared" si="0"/>
        <v>#VALUE!</v>
      </c>
    </row>
    <row r="56" spans="2:7" x14ac:dyDescent="0.25">
      <c r="B56" s="57" t="e">
        <f>VLOOKUP(A56,'1.CALIF'!$A$8:$N$400,14,0)</f>
        <v>#VALUE!</v>
      </c>
      <c r="C56" s="57" t="e">
        <f>VLOOKUP(A56,'2.RESULTADOS'!$A$1:$R$124,18,0)</f>
        <v>#N/A</v>
      </c>
      <c r="D56" s="57" t="e">
        <f>VLOOKUP(A56,'3.gral'!$A$5:$W$187,23,0)</f>
        <v>#VALUE!</v>
      </c>
      <c r="E56" s="57" t="e">
        <f>VLOOKUP(LEFT(A56,7),'4.Todo'!$B$2:$L$272,11,0)</f>
        <v>#N/A</v>
      </c>
      <c r="F56" s="57" t="e">
        <f>VLOOKUP(A56,'5.AT'!$A$2:$Y$200,25,0)</f>
        <v>#N/A</v>
      </c>
      <c r="G56" s="57" t="e">
        <f t="shared" si="0"/>
        <v>#VALUE!</v>
      </c>
    </row>
    <row r="57" spans="2:7" x14ac:dyDescent="0.25">
      <c r="B57" s="57" t="e">
        <f>VLOOKUP(A57,'1.CALIF'!$A$8:$N$400,14,0)</f>
        <v>#VALUE!</v>
      </c>
      <c r="C57" s="57" t="e">
        <f>VLOOKUP(A57,'2.RESULTADOS'!$A$1:$R$124,18,0)</f>
        <v>#N/A</v>
      </c>
      <c r="D57" s="57" t="e">
        <f>VLOOKUP(A57,'3.gral'!$A$5:$W$187,23,0)</f>
        <v>#VALUE!</v>
      </c>
      <c r="E57" s="57" t="e">
        <f>VLOOKUP(LEFT(A57,7),'4.Todo'!$B$2:$L$272,11,0)</f>
        <v>#N/A</v>
      </c>
      <c r="F57" s="57" t="e">
        <f>VLOOKUP(A57,'5.AT'!$A$2:$Y$200,25,0)</f>
        <v>#N/A</v>
      </c>
      <c r="G57" s="57" t="e">
        <f t="shared" si="0"/>
        <v>#VALUE!</v>
      </c>
    </row>
    <row r="58" spans="2:7" x14ac:dyDescent="0.25">
      <c r="B58" s="57" t="e">
        <f>VLOOKUP(A58,'1.CALIF'!$A$8:$N$400,14,0)</f>
        <v>#VALUE!</v>
      </c>
      <c r="C58" s="57" t="e">
        <f>VLOOKUP(A58,'2.RESULTADOS'!$A$1:$R$124,18,0)</f>
        <v>#N/A</v>
      </c>
      <c r="D58" s="57" t="e">
        <f>VLOOKUP(A58,'3.gral'!$A$5:$W$187,23,0)</f>
        <v>#VALUE!</v>
      </c>
      <c r="E58" s="57" t="e">
        <f>VLOOKUP(LEFT(A58,7),'4.Todo'!$B$2:$L$272,11,0)</f>
        <v>#N/A</v>
      </c>
      <c r="F58" s="57" t="e">
        <f>VLOOKUP(A58,'5.AT'!$A$2:$Y$200,25,0)</f>
        <v>#N/A</v>
      </c>
      <c r="G58" s="57" t="e">
        <f t="shared" si="0"/>
        <v>#VALUE!</v>
      </c>
    </row>
    <row r="59" spans="2:7" x14ac:dyDescent="0.25">
      <c r="B59" s="57" t="e">
        <f>VLOOKUP(A59,'1.CALIF'!$A$8:$N$400,14,0)</f>
        <v>#VALUE!</v>
      </c>
      <c r="C59" s="57" t="e">
        <f>VLOOKUP(A59,'2.RESULTADOS'!$A$1:$R$124,18,0)</f>
        <v>#N/A</v>
      </c>
      <c r="D59" s="57" t="e">
        <f>VLOOKUP(A59,'3.gral'!$A$5:$W$187,23,0)</f>
        <v>#VALUE!</v>
      </c>
      <c r="E59" s="57" t="e">
        <f>VLOOKUP(LEFT(A59,7),'4.Todo'!$B$2:$L$272,11,0)</f>
        <v>#N/A</v>
      </c>
      <c r="F59" s="57" t="e">
        <f>VLOOKUP(A59,'5.AT'!$A$2:$Y$200,25,0)</f>
        <v>#N/A</v>
      </c>
      <c r="G59" s="57" t="e">
        <f t="shared" si="0"/>
        <v>#VALUE!</v>
      </c>
    </row>
    <row r="60" spans="2:7" x14ac:dyDescent="0.25">
      <c r="B60" s="57" t="e">
        <f>VLOOKUP(A60,'1.CALIF'!$A$8:$N$400,14,0)</f>
        <v>#VALUE!</v>
      </c>
      <c r="C60" s="57" t="e">
        <f>VLOOKUP(A60,'2.RESULTADOS'!$A$1:$R$124,18,0)</f>
        <v>#N/A</v>
      </c>
      <c r="D60" s="57" t="e">
        <f>VLOOKUP(A60,'3.gral'!$A$5:$W$187,23,0)</f>
        <v>#VALUE!</v>
      </c>
      <c r="E60" s="57" t="e">
        <f>VLOOKUP(LEFT(A60,7),'4.Todo'!$B$2:$L$272,11,0)</f>
        <v>#N/A</v>
      </c>
      <c r="F60" s="57" t="e">
        <f>VLOOKUP(A60,'5.AT'!$A$2:$Y$200,25,0)</f>
        <v>#N/A</v>
      </c>
      <c r="G60" s="57" t="e">
        <f t="shared" si="0"/>
        <v>#VALUE!</v>
      </c>
    </row>
    <row r="61" spans="2:7" x14ac:dyDescent="0.25">
      <c r="B61" s="57" t="e">
        <f>VLOOKUP(A61,'1.CALIF'!$A$8:$N$400,14,0)</f>
        <v>#VALUE!</v>
      </c>
      <c r="C61" s="57" t="e">
        <f>VLOOKUP(A61,'2.RESULTADOS'!$A$1:$R$124,18,0)</f>
        <v>#N/A</v>
      </c>
      <c r="D61" s="57" t="e">
        <f>VLOOKUP(A61,'3.gral'!$A$5:$W$187,23,0)</f>
        <v>#VALUE!</v>
      </c>
      <c r="E61" s="57" t="e">
        <f>VLOOKUP(LEFT(A61,7),'4.Todo'!$B$2:$L$272,11,0)</f>
        <v>#N/A</v>
      </c>
      <c r="F61" s="57" t="e">
        <f>VLOOKUP(A61,'5.AT'!$A$2:$Y$200,25,0)</f>
        <v>#N/A</v>
      </c>
      <c r="G61" s="57" t="e">
        <f t="shared" si="0"/>
        <v>#VALUE!</v>
      </c>
    </row>
    <row r="62" spans="2:7" x14ac:dyDescent="0.25">
      <c r="B62" s="57" t="e">
        <f>VLOOKUP(A62,'1.CALIF'!$A$8:$N$400,14,0)</f>
        <v>#VALUE!</v>
      </c>
      <c r="C62" s="57" t="e">
        <f>VLOOKUP(A62,'2.RESULTADOS'!$A$1:$R$124,18,0)</f>
        <v>#N/A</v>
      </c>
      <c r="D62" s="57" t="e">
        <f>VLOOKUP(A62,'3.gral'!$A$5:$W$187,23,0)</f>
        <v>#VALUE!</v>
      </c>
      <c r="E62" s="57" t="e">
        <f>VLOOKUP(LEFT(A62,7),'4.Todo'!$B$2:$L$272,11,0)</f>
        <v>#N/A</v>
      </c>
      <c r="F62" s="57" t="e">
        <f>VLOOKUP(A62,'5.AT'!$A$2:$Y$200,25,0)</f>
        <v>#N/A</v>
      </c>
      <c r="G62" s="57" t="e">
        <f t="shared" si="0"/>
        <v>#VALUE!</v>
      </c>
    </row>
    <row r="63" spans="2:7" x14ac:dyDescent="0.25">
      <c r="B63" s="57" t="e">
        <f>VLOOKUP(A63,'1.CALIF'!$A$8:$N$400,14,0)</f>
        <v>#VALUE!</v>
      </c>
      <c r="C63" s="57" t="e">
        <f>VLOOKUP(A63,'2.RESULTADOS'!$A$1:$R$124,18,0)</f>
        <v>#N/A</v>
      </c>
      <c r="D63" s="57" t="e">
        <f>VLOOKUP(A63,'3.gral'!$A$5:$W$187,23,0)</f>
        <v>#VALUE!</v>
      </c>
      <c r="E63" s="57" t="e">
        <f>VLOOKUP(LEFT(A63,7),'4.Todo'!$B$2:$L$272,11,0)</f>
        <v>#N/A</v>
      </c>
      <c r="F63" s="57" t="e">
        <f>VLOOKUP(A63,'5.AT'!$A$2:$Y$200,25,0)</f>
        <v>#N/A</v>
      </c>
      <c r="G63" s="57" t="e">
        <f t="shared" si="0"/>
        <v>#VALUE!</v>
      </c>
    </row>
    <row r="64" spans="2:7" x14ac:dyDescent="0.25">
      <c r="B64" s="57" t="e">
        <f>VLOOKUP(A64,'1.CALIF'!$A$8:$N$400,14,0)</f>
        <v>#VALUE!</v>
      </c>
      <c r="C64" s="57" t="e">
        <f>VLOOKUP(A64,'2.RESULTADOS'!$A$1:$R$124,18,0)</f>
        <v>#N/A</v>
      </c>
      <c r="D64" s="57" t="e">
        <f>VLOOKUP(A64,'3.gral'!$A$5:$W$187,23,0)</f>
        <v>#VALUE!</v>
      </c>
      <c r="E64" s="57" t="e">
        <f>VLOOKUP(LEFT(A64,7),'4.Todo'!$B$2:$L$272,11,0)</f>
        <v>#N/A</v>
      </c>
      <c r="F64" s="57" t="e">
        <f>VLOOKUP(A64,'5.AT'!$A$2:$Y$200,25,0)</f>
        <v>#N/A</v>
      </c>
      <c r="G64" s="57" t="e">
        <f t="shared" si="0"/>
        <v>#VALUE!</v>
      </c>
    </row>
    <row r="65" spans="2:7" x14ac:dyDescent="0.25">
      <c r="B65" s="57" t="e">
        <f>VLOOKUP(A65,'1.CALIF'!$A$8:$N$400,14,0)</f>
        <v>#VALUE!</v>
      </c>
      <c r="C65" s="57" t="e">
        <f>VLOOKUP(A65,'2.RESULTADOS'!$A$1:$R$124,18,0)</f>
        <v>#N/A</v>
      </c>
      <c r="D65" s="57" t="e">
        <f>VLOOKUP(A65,'3.gral'!$A$5:$W$187,23,0)</f>
        <v>#VALUE!</v>
      </c>
      <c r="E65" s="57" t="e">
        <f>VLOOKUP(LEFT(A65,7),'4.Todo'!$B$2:$L$272,11,0)</f>
        <v>#N/A</v>
      </c>
      <c r="F65" s="57" t="e">
        <f>VLOOKUP(A65,'5.AT'!$A$2:$Y$200,25,0)</f>
        <v>#N/A</v>
      </c>
      <c r="G65" s="57" t="e">
        <f t="shared" si="0"/>
        <v>#VALUE!</v>
      </c>
    </row>
    <row r="66" spans="2:7" x14ac:dyDescent="0.25">
      <c r="B66" s="57" t="e">
        <f>VLOOKUP(A66,'1.CALIF'!$A$8:$N$400,14,0)</f>
        <v>#VALUE!</v>
      </c>
      <c r="C66" s="57" t="e">
        <f>VLOOKUP(A66,'2.RESULTADOS'!$A$1:$R$124,18,0)</f>
        <v>#N/A</v>
      </c>
      <c r="D66" s="57" t="e">
        <f>VLOOKUP(A66,'3.gral'!$A$5:$W$187,23,0)</f>
        <v>#VALUE!</v>
      </c>
      <c r="E66" s="57" t="e">
        <f>VLOOKUP(LEFT(A66,7),'4.Todo'!$B$2:$L$272,11,0)</f>
        <v>#N/A</v>
      </c>
      <c r="F66" s="57" t="e">
        <f>VLOOKUP(A66,'5.AT'!$A$2:$Y$200,25,0)</f>
        <v>#N/A</v>
      </c>
      <c r="G66" s="57" t="e">
        <f t="shared" si="0"/>
        <v>#VALUE!</v>
      </c>
    </row>
    <row r="67" spans="2:7" x14ac:dyDescent="0.25">
      <c r="B67" s="57" t="e">
        <f>VLOOKUP(A67,'1.CALIF'!$A$8:$N$400,14,0)</f>
        <v>#VALUE!</v>
      </c>
      <c r="C67" s="57" t="e">
        <f>VLOOKUP(A67,'2.RESULTADOS'!$A$1:$R$124,18,0)</f>
        <v>#N/A</v>
      </c>
      <c r="D67" s="57" t="e">
        <f>VLOOKUP(A67,'3.gral'!$A$5:$W$187,23,0)</f>
        <v>#VALUE!</v>
      </c>
      <c r="E67" s="57" t="e">
        <f>VLOOKUP(LEFT(A67,7),'4.Todo'!$B$2:$L$272,11,0)</f>
        <v>#N/A</v>
      </c>
      <c r="F67" s="57" t="e">
        <f>VLOOKUP(A67,'5.AT'!$A$2:$Y$200,25,0)</f>
        <v>#N/A</v>
      </c>
      <c r="G67" s="57" t="e">
        <f t="shared" ref="G67:G130" si="1">B67*$B$1+C67*$C$1+D67*$D$1+E67*$E$1+F67*$F$1</f>
        <v>#VALUE!</v>
      </c>
    </row>
    <row r="68" spans="2:7" x14ac:dyDescent="0.25">
      <c r="B68" s="57" t="e">
        <f>VLOOKUP(A68,'1.CALIF'!$A$8:$N$400,14,0)</f>
        <v>#VALUE!</v>
      </c>
      <c r="C68" s="57" t="e">
        <f>VLOOKUP(A68,'2.RESULTADOS'!$A$1:$R$124,18,0)</f>
        <v>#N/A</v>
      </c>
      <c r="D68" s="57" t="e">
        <f>VLOOKUP(A68,'3.gral'!$A$5:$W$187,23,0)</f>
        <v>#VALUE!</v>
      </c>
      <c r="E68" s="57" t="e">
        <f>VLOOKUP(LEFT(A68,7),'4.Todo'!$B$2:$L$272,11,0)</f>
        <v>#N/A</v>
      </c>
      <c r="F68" s="57" t="e">
        <f>VLOOKUP(A68,'5.AT'!$A$2:$Y$200,25,0)</f>
        <v>#N/A</v>
      </c>
      <c r="G68" s="57" t="e">
        <f t="shared" si="1"/>
        <v>#VALUE!</v>
      </c>
    </row>
    <row r="69" spans="2:7" x14ac:dyDescent="0.25">
      <c r="B69" s="57" t="e">
        <f>VLOOKUP(A69,'1.CALIF'!$A$8:$N$400,14,0)</f>
        <v>#VALUE!</v>
      </c>
      <c r="C69" s="57" t="e">
        <f>VLOOKUP(A69,'2.RESULTADOS'!$A$1:$R$124,18,0)</f>
        <v>#N/A</v>
      </c>
      <c r="D69" s="57" t="e">
        <f>VLOOKUP(A69,'3.gral'!$A$5:$W$187,23,0)</f>
        <v>#VALUE!</v>
      </c>
      <c r="E69" s="57" t="e">
        <f>VLOOKUP(LEFT(A69,7),'4.Todo'!$B$2:$L$272,11,0)</f>
        <v>#N/A</v>
      </c>
      <c r="F69" s="57" t="e">
        <f>VLOOKUP(A69,'5.AT'!$A$2:$Y$200,25,0)</f>
        <v>#N/A</v>
      </c>
      <c r="G69" s="57" t="e">
        <f t="shared" si="1"/>
        <v>#VALUE!</v>
      </c>
    </row>
    <row r="70" spans="2:7" x14ac:dyDescent="0.25">
      <c r="B70" s="57" t="e">
        <f>VLOOKUP(A70,'1.CALIF'!$A$8:$N$400,14,0)</f>
        <v>#VALUE!</v>
      </c>
      <c r="C70" s="57" t="e">
        <f>VLOOKUP(A70,'2.RESULTADOS'!$A$1:$R$124,18,0)</f>
        <v>#N/A</v>
      </c>
      <c r="D70" s="57" t="e">
        <f>VLOOKUP(A70,'3.gral'!$A$5:$W$187,23,0)</f>
        <v>#VALUE!</v>
      </c>
      <c r="E70" s="57" t="e">
        <f>VLOOKUP(LEFT(A70,7),'4.Todo'!$B$2:$L$272,11,0)</f>
        <v>#N/A</v>
      </c>
      <c r="F70" s="57" t="e">
        <f>VLOOKUP(A70,'5.AT'!$A$2:$Y$200,25,0)</f>
        <v>#N/A</v>
      </c>
      <c r="G70" s="57" t="e">
        <f t="shared" si="1"/>
        <v>#VALUE!</v>
      </c>
    </row>
    <row r="71" spans="2:7" x14ac:dyDescent="0.25">
      <c r="B71" s="57" t="e">
        <f>VLOOKUP(A71,'1.CALIF'!$A$8:$N$400,14,0)</f>
        <v>#VALUE!</v>
      </c>
      <c r="C71" s="57" t="e">
        <f>VLOOKUP(A71,'2.RESULTADOS'!$A$1:$R$124,18,0)</f>
        <v>#N/A</v>
      </c>
      <c r="D71" s="57" t="e">
        <f>VLOOKUP(A71,'3.gral'!$A$5:$W$187,23,0)</f>
        <v>#VALUE!</v>
      </c>
      <c r="E71" s="57" t="e">
        <f>VLOOKUP(LEFT(A71,7),'4.Todo'!$B$2:$L$272,11,0)</f>
        <v>#N/A</v>
      </c>
      <c r="F71" s="57" t="e">
        <f>VLOOKUP(A71,'5.AT'!$A$2:$Y$200,25,0)</f>
        <v>#N/A</v>
      </c>
      <c r="G71" s="57" t="e">
        <f t="shared" si="1"/>
        <v>#VALUE!</v>
      </c>
    </row>
    <row r="72" spans="2:7" x14ac:dyDescent="0.25">
      <c r="B72" s="57" t="e">
        <f>VLOOKUP(A72,'1.CALIF'!$A$8:$N$400,14,0)</f>
        <v>#VALUE!</v>
      </c>
      <c r="C72" s="57" t="e">
        <f>VLOOKUP(A72,'2.RESULTADOS'!$A$1:$R$124,18,0)</f>
        <v>#N/A</v>
      </c>
      <c r="D72" s="57" t="e">
        <f>VLOOKUP(A72,'3.gral'!$A$5:$W$187,23,0)</f>
        <v>#VALUE!</v>
      </c>
      <c r="E72" s="57" t="e">
        <f>VLOOKUP(LEFT(A72,7),'4.Todo'!$B$2:$L$272,11,0)</f>
        <v>#N/A</v>
      </c>
      <c r="F72" s="57" t="e">
        <f>VLOOKUP(A72,'5.AT'!$A$2:$Y$200,25,0)</f>
        <v>#N/A</v>
      </c>
      <c r="G72" s="57" t="e">
        <f t="shared" si="1"/>
        <v>#VALUE!</v>
      </c>
    </row>
    <row r="73" spans="2:7" x14ac:dyDescent="0.25">
      <c r="B73" s="57" t="e">
        <f>VLOOKUP(A73,'1.CALIF'!$A$8:$N$400,14,0)</f>
        <v>#VALUE!</v>
      </c>
      <c r="C73" s="57" t="e">
        <f>VLOOKUP(A73,'2.RESULTADOS'!$A$1:$R$124,18,0)</f>
        <v>#N/A</v>
      </c>
      <c r="D73" s="57" t="e">
        <f>VLOOKUP(A73,'3.gral'!$A$5:$W$187,23,0)</f>
        <v>#VALUE!</v>
      </c>
      <c r="E73" s="57" t="e">
        <f>VLOOKUP(LEFT(A73,7),'4.Todo'!$B$2:$L$272,11,0)</f>
        <v>#N/A</v>
      </c>
      <c r="F73" s="57" t="e">
        <f>VLOOKUP(A73,'5.AT'!$A$2:$Y$200,25,0)</f>
        <v>#N/A</v>
      </c>
      <c r="G73" s="57" t="e">
        <f t="shared" si="1"/>
        <v>#VALUE!</v>
      </c>
    </row>
    <row r="74" spans="2:7" x14ac:dyDescent="0.25">
      <c r="B74" s="57" t="e">
        <f>VLOOKUP(A74,'1.CALIF'!$A$8:$N$400,14,0)</f>
        <v>#VALUE!</v>
      </c>
      <c r="C74" s="57" t="e">
        <f>VLOOKUP(A74,'2.RESULTADOS'!$A$1:$R$124,18,0)</f>
        <v>#N/A</v>
      </c>
      <c r="D74" s="57" t="e">
        <f>VLOOKUP(A74,'3.gral'!$A$5:$W$187,23,0)</f>
        <v>#VALUE!</v>
      </c>
      <c r="E74" s="57" t="e">
        <f>VLOOKUP(LEFT(A74,7),'4.Todo'!$B$2:$L$272,11,0)</f>
        <v>#N/A</v>
      </c>
      <c r="F74" s="57" t="e">
        <f>VLOOKUP(A74,'5.AT'!$A$2:$Y$200,25,0)</f>
        <v>#N/A</v>
      </c>
      <c r="G74" s="57" t="e">
        <f t="shared" si="1"/>
        <v>#VALUE!</v>
      </c>
    </row>
    <row r="75" spans="2:7" x14ac:dyDescent="0.25">
      <c r="B75" s="57" t="e">
        <f>VLOOKUP(A75,'1.CALIF'!$A$8:$N$400,14,0)</f>
        <v>#VALUE!</v>
      </c>
      <c r="C75" s="57" t="e">
        <f>VLOOKUP(A75,'2.RESULTADOS'!$A$1:$R$124,18,0)</f>
        <v>#N/A</v>
      </c>
      <c r="D75" s="57" t="e">
        <f>VLOOKUP(A75,'3.gral'!$A$5:$W$187,23,0)</f>
        <v>#VALUE!</v>
      </c>
      <c r="E75" s="57" t="e">
        <f>VLOOKUP(LEFT(A75,7),'4.Todo'!$B$2:$L$272,11,0)</f>
        <v>#N/A</v>
      </c>
      <c r="F75" s="57" t="e">
        <f>VLOOKUP(A75,'5.AT'!$A$2:$Y$200,25,0)</f>
        <v>#N/A</v>
      </c>
      <c r="G75" s="57" t="e">
        <f t="shared" si="1"/>
        <v>#VALUE!</v>
      </c>
    </row>
    <row r="76" spans="2:7" x14ac:dyDescent="0.25">
      <c r="B76" s="57" t="e">
        <f>VLOOKUP(A76,'1.CALIF'!$A$8:$N$400,14,0)</f>
        <v>#VALUE!</v>
      </c>
      <c r="C76" s="57" t="e">
        <f>VLOOKUP(A76,'2.RESULTADOS'!$A$1:$R$124,18,0)</f>
        <v>#N/A</v>
      </c>
      <c r="D76" s="57" t="e">
        <f>VLOOKUP(A76,'3.gral'!$A$5:$W$187,23,0)</f>
        <v>#VALUE!</v>
      </c>
      <c r="E76" s="57" t="e">
        <f>VLOOKUP(LEFT(A76,7),'4.Todo'!$B$2:$L$272,11,0)</f>
        <v>#N/A</v>
      </c>
      <c r="F76" s="57" t="e">
        <f>VLOOKUP(A76,'5.AT'!$A$2:$Y$200,25,0)</f>
        <v>#N/A</v>
      </c>
      <c r="G76" s="57" t="e">
        <f t="shared" si="1"/>
        <v>#VALUE!</v>
      </c>
    </row>
    <row r="77" spans="2:7" x14ac:dyDescent="0.25">
      <c r="B77" s="57" t="e">
        <f>VLOOKUP(A77,'1.CALIF'!$A$8:$N$400,14,0)</f>
        <v>#VALUE!</v>
      </c>
      <c r="C77" s="57" t="e">
        <f>VLOOKUP(A77,'2.RESULTADOS'!$A$1:$R$124,18,0)</f>
        <v>#N/A</v>
      </c>
      <c r="D77" s="57" t="e">
        <f>VLOOKUP(A77,'3.gral'!$A$5:$W$187,23,0)</f>
        <v>#VALUE!</v>
      </c>
      <c r="E77" s="57" t="e">
        <f>VLOOKUP(LEFT(A77,7),'4.Todo'!$B$2:$L$272,11,0)</f>
        <v>#N/A</v>
      </c>
      <c r="F77" s="57" t="e">
        <f>VLOOKUP(A77,'5.AT'!$A$2:$Y$200,25,0)</f>
        <v>#N/A</v>
      </c>
      <c r="G77" s="57" t="e">
        <f t="shared" si="1"/>
        <v>#VALUE!</v>
      </c>
    </row>
    <row r="78" spans="2:7" x14ac:dyDescent="0.25">
      <c r="B78" s="57" t="e">
        <f>VLOOKUP(A78,'1.CALIF'!$A$8:$N$400,14,0)</f>
        <v>#VALUE!</v>
      </c>
      <c r="C78" s="57" t="e">
        <f>VLOOKUP(A78,'2.RESULTADOS'!$A$1:$R$124,18,0)</f>
        <v>#N/A</v>
      </c>
      <c r="D78" s="57" t="e">
        <f>VLOOKUP(A78,'3.gral'!$A$5:$W$187,23,0)</f>
        <v>#VALUE!</v>
      </c>
      <c r="E78" s="57" t="e">
        <f>VLOOKUP(LEFT(A78,7),'4.Todo'!$B$2:$L$272,11,0)</f>
        <v>#N/A</v>
      </c>
      <c r="F78" s="57" t="e">
        <f>VLOOKUP(A78,'5.AT'!$A$2:$Y$200,25,0)</f>
        <v>#N/A</v>
      </c>
      <c r="G78" s="57" t="e">
        <f t="shared" si="1"/>
        <v>#VALUE!</v>
      </c>
    </row>
    <row r="79" spans="2:7" x14ac:dyDescent="0.25">
      <c r="B79" s="57" t="e">
        <f>VLOOKUP(A79,'1.CALIF'!$A$8:$N$400,14,0)</f>
        <v>#VALUE!</v>
      </c>
      <c r="C79" s="57" t="e">
        <f>VLOOKUP(A79,'2.RESULTADOS'!$A$1:$R$124,18,0)</f>
        <v>#N/A</v>
      </c>
      <c r="D79" s="57" t="e">
        <f>VLOOKUP(A79,'3.gral'!$A$5:$W$187,23,0)</f>
        <v>#VALUE!</v>
      </c>
      <c r="E79" s="57" t="e">
        <f>VLOOKUP(LEFT(A79,7),'4.Todo'!$B$2:$L$272,11,0)</f>
        <v>#N/A</v>
      </c>
      <c r="F79" s="57" t="e">
        <f>VLOOKUP(A79,'5.AT'!$A$2:$Y$200,25,0)</f>
        <v>#N/A</v>
      </c>
      <c r="G79" s="57" t="e">
        <f t="shared" si="1"/>
        <v>#VALUE!</v>
      </c>
    </row>
    <row r="80" spans="2:7" x14ac:dyDescent="0.25">
      <c r="B80" s="57" t="e">
        <f>VLOOKUP(A80,'1.CALIF'!$A$8:$N$400,14,0)</f>
        <v>#VALUE!</v>
      </c>
      <c r="C80" s="57" t="e">
        <f>VLOOKUP(A80,'2.RESULTADOS'!$A$1:$R$124,18,0)</f>
        <v>#N/A</v>
      </c>
      <c r="D80" s="57" t="e">
        <f>VLOOKUP(A80,'3.gral'!$A$5:$W$187,23,0)</f>
        <v>#VALUE!</v>
      </c>
      <c r="E80" s="57" t="e">
        <f>VLOOKUP(LEFT(A80,7),'4.Todo'!$B$2:$L$272,11,0)</f>
        <v>#N/A</v>
      </c>
      <c r="F80" s="57" t="e">
        <f>VLOOKUP(A80,'5.AT'!$A$2:$Y$200,25,0)</f>
        <v>#N/A</v>
      </c>
      <c r="G80" s="57" t="e">
        <f t="shared" si="1"/>
        <v>#VALUE!</v>
      </c>
    </row>
    <row r="81" spans="2:7" x14ac:dyDescent="0.25">
      <c r="B81" s="57" t="e">
        <f>VLOOKUP(A81,'1.CALIF'!$A$8:$N$400,14,0)</f>
        <v>#VALUE!</v>
      </c>
      <c r="C81" s="57" t="e">
        <f>VLOOKUP(A81,'2.RESULTADOS'!$A$1:$R$124,18,0)</f>
        <v>#N/A</v>
      </c>
      <c r="D81" s="57" t="e">
        <f>VLOOKUP(A81,'3.gral'!$A$5:$W$187,23,0)</f>
        <v>#VALUE!</v>
      </c>
      <c r="E81" s="57" t="e">
        <f>VLOOKUP(LEFT(A81,7),'4.Todo'!$B$2:$L$272,11,0)</f>
        <v>#N/A</v>
      </c>
      <c r="F81" s="57" t="e">
        <f>VLOOKUP(A81,'5.AT'!$A$2:$Y$200,25,0)</f>
        <v>#N/A</v>
      </c>
      <c r="G81" s="57" t="e">
        <f t="shared" si="1"/>
        <v>#VALUE!</v>
      </c>
    </row>
    <row r="82" spans="2:7" x14ac:dyDescent="0.25">
      <c r="B82" s="57" t="e">
        <f>VLOOKUP(A82,'1.CALIF'!$A$8:$N$400,14,0)</f>
        <v>#VALUE!</v>
      </c>
      <c r="C82" s="57" t="e">
        <f>VLOOKUP(A82,'2.RESULTADOS'!$A$1:$R$124,18,0)</f>
        <v>#N/A</v>
      </c>
      <c r="D82" s="57" t="e">
        <f>VLOOKUP(A82,'3.gral'!$A$5:$W$187,23,0)</f>
        <v>#VALUE!</v>
      </c>
      <c r="E82" s="57" t="e">
        <f>VLOOKUP(LEFT(A82,7),'4.Todo'!$B$2:$L$272,11,0)</f>
        <v>#N/A</v>
      </c>
      <c r="F82" s="57" t="e">
        <f>VLOOKUP(A82,'5.AT'!$A$2:$Y$200,25,0)</f>
        <v>#N/A</v>
      </c>
      <c r="G82" s="57" t="e">
        <f t="shared" si="1"/>
        <v>#VALUE!</v>
      </c>
    </row>
    <row r="83" spans="2:7" x14ac:dyDescent="0.25">
      <c r="B83" s="57" t="e">
        <f>VLOOKUP(A83,'1.CALIF'!$A$8:$N$400,14,0)</f>
        <v>#VALUE!</v>
      </c>
      <c r="C83" s="57" t="e">
        <f>VLOOKUP(A83,'2.RESULTADOS'!$A$1:$R$124,18,0)</f>
        <v>#N/A</v>
      </c>
      <c r="D83" s="57" t="e">
        <f>VLOOKUP(A83,'3.gral'!$A$5:$W$187,23,0)</f>
        <v>#VALUE!</v>
      </c>
      <c r="E83" s="57" t="e">
        <f>VLOOKUP(LEFT(A83,7),'4.Todo'!$B$2:$L$272,11,0)</f>
        <v>#N/A</v>
      </c>
      <c r="F83" s="57" t="e">
        <f>VLOOKUP(A83,'5.AT'!$A$2:$Y$200,25,0)</f>
        <v>#N/A</v>
      </c>
      <c r="G83" s="57" t="e">
        <f t="shared" si="1"/>
        <v>#VALUE!</v>
      </c>
    </row>
    <row r="84" spans="2:7" x14ac:dyDescent="0.25">
      <c r="B84" s="57" t="e">
        <f>VLOOKUP(A84,'1.CALIF'!$A$8:$N$400,14,0)</f>
        <v>#VALUE!</v>
      </c>
      <c r="C84" s="57" t="e">
        <f>VLOOKUP(A84,'2.RESULTADOS'!$A$1:$R$124,18,0)</f>
        <v>#N/A</v>
      </c>
      <c r="D84" s="57" t="e">
        <f>VLOOKUP(A84,'3.gral'!$A$5:$W$187,23,0)</f>
        <v>#VALUE!</v>
      </c>
      <c r="E84" s="57" t="e">
        <f>VLOOKUP(LEFT(A84,7),'4.Todo'!$B$2:$L$272,11,0)</f>
        <v>#N/A</v>
      </c>
      <c r="F84" s="57" t="e">
        <f>VLOOKUP(A84,'5.AT'!$A$2:$Y$200,25,0)</f>
        <v>#N/A</v>
      </c>
      <c r="G84" s="57" t="e">
        <f t="shared" si="1"/>
        <v>#VALUE!</v>
      </c>
    </row>
    <row r="85" spans="2:7" x14ac:dyDescent="0.25">
      <c r="B85" s="57" t="e">
        <f>VLOOKUP(A85,'1.CALIF'!$A$8:$N$400,14,0)</f>
        <v>#VALUE!</v>
      </c>
      <c r="C85" s="57" t="e">
        <f>VLOOKUP(A85,'2.RESULTADOS'!$A$1:$R$124,18,0)</f>
        <v>#N/A</v>
      </c>
      <c r="D85" s="57" t="e">
        <f>VLOOKUP(A85,'3.gral'!$A$5:$W$187,23,0)</f>
        <v>#VALUE!</v>
      </c>
      <c r="E85" s="57" t="e">
        <f>VLOOKUP(LEFT(A85,7),'4.Todo'!$B$2:$L$272,11,0)</f>
        <v>#N/A</v>
      </c>
      <c r="F85" s="57" t="e">
        <f>VLOOKUP(A85,'5.AT'!$A$2:$Y$200,25,0)</f>
        <v>#N/A</v>
      </c>
      <c r="G85" s="57" t="e">
        <f t="shared" si="1"/>
        <v>#VALUE!</v>
      </c>
    </row>
    <row r="86" spans="2:7" x14ac:dyDescent="0.25">
      <c r="B86" s="57" t="e">
        <f>VLOOKUP(A86,'1.CALIF'!$A$8:$N$400,14,0)</f>
        <v>#VALUE!</v>
      </c>
      <c r="C86" s="57" t="e">
        <f>VLOOKUP(A86,'2.RESULTADOS'!$A$1:$R$124,18,0)</f>
        <v>#N/A</v>
      </c>
      <c r="D86" s="57" t="e">
        <f>VLOOKUP(A86,'3.gral'!$A$5:$W$187,23,0)</f>
        <v>#VALUE!</v>
      </c>
      <c r="E86" s="57" t="e">
        <f>VLOOKUP(LEFT(A86,7),'4.Todo'!$B$2:$L$272,11,0)</f>
        <v>#N/A</v>
      </c>
      <c r="F86" s="57" t="e">
        <f>VLOOKUP(A86,'5.AT'!$A$2:$Y$200,25,0)</f>
        <v>#N/A</v>
      </c>
      <c r="G86" s="57" t="e">
        <f t="shared" si="1"/>
        <v>#VALUE!</v>
      </c>
    </row>
    <row r="87" spans="2:7" x14ac:dyDescent="0.25">
      <c r="B87" s="57" t="e">
        <f>VLOOKUP(A87,'1.CALIF'!$A$8:$N$400,14,0)</f>
        <v>#VALUE!</v>
      </c>
      <c r="C87" s="57" t="e">
        <f>VLOOKUP(A87,'2.RESULTADOS'!$A$1:$R$124,18,0)</f>
        <v>#N/A</v>
      </c>
      <c r="D87" s="57" t="e">
        <f>VLOOKUP(A87,'3.gral'!$A$5:$W$187,23,0)</f>
        <v>#VALUE!</v>
      </c>
      <c r="E87" s="57" t="e">
        <f>VLOOKUP(LEFT(A87,7),'4.Todo'!$B$2:$L$272,11,0)</f>
        <v>#N/A</v>
      </c>
      <c r="F87" s="57" t="e">
        <f>VLOOKUP(A87,'5.AT'!$A$2:$Y$200,25,0)</f>
        <v>#N/A</v>
      </c>
      <c r="G87" s="57" t="e">
        <f t="shared" si="1"/>
        <v>#VALUE!</v>
      </c>
    </row>
    <row r="88" spans="2:7" x14ac:dyDescent="0.25">
      <c r="B88" s="57" t="e">
        <f>VLOOKUP(A88,'1.CALIF'!$A$8:$N$400,14,0)</f>
        <v>#VALUE!</v>
      </c>
      <c r="C88" s="57" t="e">
        <f>VLOOKUP(A88,'2.RESULTADOS'!$A$1:$R$124,18,0)</f>
        <v>#N/A</v>
      </c>
      <c r="D88" s="57" t="e">
        <f>VLOOKUP(A88,'3.gral'!$A$5:$W$187,23,0)</f>
        <v>#VALUE!</v>
      </c>
      <c r="E88" s="57" t="e">
        <f>VLOOKUP(LEFT(A88,7),'4.Todo'!$B$2:$L$272,11,0)</f>
        <v>#N/A</v>
      </c>
      <c r="F88" s="57" t="e">
        <f>VLOOKUP(A88,'5.AT'!$A$2:$Y$200,25,0)</f>
        <v>#N/A</v>
      </c>
      <c r="G88" s="57" t="e">
        <f t="shared" si="1"/>
        <v>#VALUE!</v>
      </c>
    </row>
    <row r="89" spans="2:7" x14ac:dyDescent="0.25">
      <c r="B89" s="57" t="e">
        <f>VLOOKUP(A89,'1.CALIF'!$A$8:$N$400,14,0)</f>
        <v>#VALUE!</v>
      </c>
      <c r="C89" s="57" t="e">
        <f>VLOOKUP(A89,'2.RESULTADOS'!$A$1:$R$124,18,0)</f>
        <v>#N/A</v>
      </c>
      <c r="D89" s="57" t="e">
        <f>VLOOKUP(A89,'3.gral'!$A$5:$W$187,23,0)</f>
        <v>#VALUE!</v>
      </c>
      <c r="E89" s="57" t="e">
        <f>VLOOKUP(LEFT(A89,7),'4.Todo'!$B$2:$L$272,11,0)</f>
        <v>#N/A</v>
      </c>
      <c r="F89" s="57" t="e">
        <f>VLOOKUP(A89,'5.AT'!$A$2:$Y$200,25,0)</f>
        <v>#N/A</v>
      </c>
      <c r="G89" s="57" t="e">
        <f t="shared" si="1"/>
        <v>#VALUE!</v>
      </c>
    </row>
    <row r="90" spans="2:7" x14ac:dyDescent="0.25">
      <c r="B90" s="57" t="e">
        <f>VLOOKUP(A90,'1.CALIF'!$A$8:$N$400,14,0)</f>
        <v>#VALUE!</v>
      </c>
      <c r="C90" s="57" t="e">
        <f>VLOOKUP(A90,'2.RESULTADOS'!$A$1:$R$124,18,0)</f>
        <v>#N/A</v>
      </c>
      <c r="D90" s="57" t="e">
        <f>VLOOKUP(A90,'3.gral'!$A$5:$W$187,23,0)</f>
        <v>#VALUE!</v>
      </c>
      <c r="E90" s="57" t="e">
        <f>VLOOKUP(LEFT(A90,7),'4.Todo'!$B$2:$L$272,11,0)</f>
        <v>#N/A</v>
      </c>
      <c r="F90" s="57" t="e">
        <f>VLOOKUP(A90,'5.AT'!$A$2:$Y$200,25,0)</f>
        <v>#N/A</v>
      </c>
      <c r="G90" s="57" t="e">
        <f t="shared" si="1"/>
        <v>#VALUE!</v>
      </c>
    </row>
    <row r="91" spans="2:7" x14ac:dyDescent="0.25">
      <c r="B91" s="57" t="e">
        <f>VLOOKUP(A91,'1.CALIF'!$A$8:$N$400,14,0)</f>
        <v>#VALUE!</v>
      </c>
      <c r="C91" s="57" t="e">
        <f>VLOOKUP(A91,'2.RESULTADOS'!$A$1:$R$124,18,0)</f>
        <v>#N/A</v>
      </c>
      <c r="D91" s="57" t="e">
        <f>VLOOKUP(A91,'3.gral'!$A$5:$W$187,23,0)</f>
        <v>#VALUE!</v>
      </c>
      <c r="E91" s="57" t="e">
        <f>VLOOKUP(LEFT(A91,7),'4.Todo'!$B$2:$L$272,11,0)</f>
        <v>#N/A</v>
      </c>
      <c r="F91" s="57" t="e">
        <f>VLOOKUP(A91,'5.AT'!$A$2:$Y$200,25,0)</f>
        <v>#N/A</v>
      </c>
      <c r="G91" s="57" t="e">
        <f t="shared" si="1"/>
        <v>#VALUE!</v>
      </c>
    </row>
    <row r="92" spans="2:7" x14ac:dyDescent="0.25">
      <c r="B92" s="57" t="e">
        <f>VLOOKUP(A92,'1.CALIF'!$A$8:$N$400,14,0)</f>
        <v>#VALUE!</v>
      </c>
      <c r="C92" s="57" t="e">
        <f>VLOOKUP(A92,'2.RESULTADOS'!$A$1:$R$124,18,0)</f>
        <v>#N/A</v>
      </c>
      <c r="D92" s="57" t="e">
        <f>VLOOKUP(A92,'3.gral'!$A$5:$W$187,23,0)</f>
        <v>#VALUE!</v>
      </c>
      <c r="E92" s="57" t="e">
        <f>VLOOKUP(LEFT(A92,7),'4.Todo'!$B$2:$L$272,11,0)</f>
        <v>#N/A</v>
      </c>
      <c r="F92" s="57" t="e">
        <f>VLOOKUP(A92,'5.AT'!$A$2:$Y$200,25,0)</f>
        <v>#N/A</v>
      </c>
      <c r="G92" s="57" t="e">
        <f t="shared" si="1"/>
        <v>#VALUE!</v>
      </c>
    </row>
    <row r="93" spans="2:7" x14ac:dyDescent="0.25">
      <c r="B93" s="57" t="e">
        <f>VLOOKUP(A93,'1.CALIF'!$A$8:$N$400,14,0)</f>
        <v>#VALUE!</v>
      </c>
      <c r="C93" s="57" t="e">
        <f>VLOOKUP(A93,'2.RESULTADOS'!$A$1:$R$124,18,0)</f>
        <v>#N/A</v>
      </c>
      <c r="D93" s="57" t="e">
        <f>VLOOKUP(A93,'3.gral'!$A$5:$W$187,23,0)</f>
        <v>#VALUE!</v>
      </c>
      <c r="E93" s="57" t="e">
        <f>VLOOKUP(LEFT(A93,7),'4.Todo'!$B$2:$L$272,11,0)</f>
        <v>#N/A</v>
      </c>
      <c r="F93" s="57" t="e">
        <f>VLOOKUP(A93,'5.AT'!$A$2:$Y$200,25,0)</f>
        <v>#N/A</v>
      </c>
      <c r="G93" s="57" t="e">
        <f t="shared" si="1"/>
        <v>#VALUE!</v>
      </c>
    </row>
    <row r="94" spans="2:7" x14ac:dyDescent="0.25">
      <c r="B94" s="57" t="e">
        <f>VLOOKUP(A94,'1.CALIF'!$A$8:$N$400,14,0)</f>
        <v>#VALUE!</v>
      </c>
      <c r="C94" s="57" t="e">
        <f>VLOOKUP(A94,'2.RESULTADOS'!$A$1:$R$124,18,0)</f>
        <v>#N/A</v>
      </c>
      <c r="D94" s="57" t="e">
        <f>VLOOKUP(A94,'3.gral'!$A$5:$W$187,23,0)</f>
        <v>#VALUE!</v>
      </c>
      <c r="E94" s="57" t="e">
        <f>VLOOKUP(LEFT(A94,7),'4.Todo'!$B$2:$L$272,11,0)</f>
        <v>#N/A</v>
      </c>
      <c r="F94" s="57" t="e">
        <f>VLOOKUP(A94,'5.AT'!$A$2:$Y$200,25,0)</f>
        <v>#N/A</v>
      </c>
      <c r="G94" s="57" t="e">
        <f t="shared" si="1"/>
        <v>#VALUE!</v>
      </c>
    </row>
    <row r="95" spans="2:7" x14ac:dyDescent="0.25">
      <c r="B95" s="57" t="e">
        <f>VLOOKUP(A95,'1.CALIF'!$A$8:$N$400,14,0)</f>
        <v>#VALUE!</v>
      </c>
      <c r="C95" s="57" t="e">
        <f>VLOOKUP(A95,'2.RESULTADOS'!$A$1:$R$124,18,0)</f>
        <v>#N/A</v>
      </c>
      <c r="D95" s="57" t="e">
        <f>VLOOKUP(A95,'3.gral'!$A$5:$W$187,23,0)</f>
        <v>#VALUE!</v>
      </c>
      <c r="E95" s="57" t="e">
        <f>VLOOKUP(LEFT(A95,7),'4.Todo'!$B$2:$L$272,11,0)</f>
        <v>#N/A</v>
      </c>
      <c r="F95" s="57" t="e">
        <f>VLOOKUP(A95,'5.AT'!$A$2:$Y$200,25,0)</f>
        <v>#N/A</v>
      </c>
      <c r="G95" s="57" t="e">
        <f t="shared" si="1"/>
        <v>#VALUE!</v>
      </c>
    </row>
    <row r="96" spans="2:7" x14ac:dyDescent="0.25">
      <c r="B96" s="57" t="e">
        <f>VLOOKUP(A96,'1.CALIF'!$A$8:$N$400,14,0)</f>
        <v>#VALUE!</v>
      </c>
      <c r="C96" s="57" t="e">
        <f>VLOOKUP(A96,'2.RESULTADOS'!$A$1:$R$124,18,0)</f>
        <v>#N/A</v>
      </c>
      <c r="D96" s="57" t="e">
        <f>VLOOKUP(A96,'3.gral'!$A$5:$W$187,23,0)</f>
        <v>#VALUE!</v>
      </c>
      <c r="E96" s="57" t="e">
        <f>VLOOKUP(LEFT(A96,7),'4.Todo'!$B$2:$L$272,11,0)</f>
        <v>#N/A</v>
      </c>
      <c r="F96" s="57" t="e">
        <f>VLOOKUP(A96,'5.AT'!$A$2:$Y$200,25,0)</f>
        <v>#N/A</v>
      </c>
      <c r="G96" s="57" t="e">
        <f t="shared" si="1"/>
        <v>#VALUE!</v>
      </c>
    </row>
    <row r="97" spans="2:7" x14ac:dyDescent="0.25">
      <c r="B97" s="57" t="e">
        <f>VLOOKUP(A97,'1.CALIF'!$A$8:$N$400,14,0)</f>
        <v>#VALUE!</v>
      </c>
      <c r="C97" s="57" t="e">
        <f>VLOOKUP(A97,'2.RESULTADOS'!$A$1:$R$124,18,0)</f>
        <v>#N/A</v>
      </c>
      <c r="D97" s="57" t="e">
        <f>VLOOKUP(A97,'3.gral'!$A$5:$W$187,23,0)</f>
        <v>#VALUE!</v>
      </c>
      <c r="E97" s="57" t="e">
        <f>VLOOKUP(LEFT(A97,7),'4.Todo'!$B$2:$L$272,11,0)</f>
        <v>#N/A</v>
      </c>
      <c r="F97" s="57" t="e">
        <f>VLOOKUP(A97,'5.AT'!$A$2:$Y$200,25,0)</f>
        <v>#N/A</v>
      </c>
      <c r="G97" s="57" t="e">
        <f t="shared" si="1"/>
        <v>#VALUE!</v>
      </c>
    </row>
    <row r="98" spans="2:7" x14ac:dyDescent="0.25">
      <c r="B98" s="57" t="e">
        <f>VLOOKUP(A98,'1.CALIF'!$A$8:$N$400,14,0)</f>
        <v>#VALUE!</v>
      </c>
      <c r="C98" s="57" t="e">
        <f>VLOOKUP(A98,'2.RESULTADOS'!$A$1:$R$124,18,0)</f>
        <v>#N/A</v>
      </c>
      <c r="D98" s="57" t="e">
        <f>VLOOKUP(A98,'3.gral'!$A$5:$W$187,23,0)</f>
        <v>#VALUE!</v>
      </c>
      <c r="E98" s="57" t="e">
        <f>VLOOKUP(LEFT(A98,7),'4.Todo'!$B$2:$L$272,11,0)</f>
        <v>#N/A</v>
      </c>
      <c r="F98" s="57" t="e">
        <f>VLOOKUP(A98,'5.AT'!$A$2:$Y$200,25,0)</f>
        <v>#N/A</v>
      </c>
      <c r="G98" s="57" t="e">
        <f t="shared" si="1"/>
        <v>#VALUE!</v>
      </c>
    </row>
    <row r="99" spans="2:7" x14ac:dyDescent="0.25">
      <c r="B99" s="57" t="e">
        <f>VLOOKUP(A99,'1.CALIF'!$A$8:$N$400,14,0)</f>
        <v>#VALUE!</v>
      </c>
      <c r="C99" s="57" t="e">
        <f>VLOOKUP(A99,'2.RESULTADOS'!$A$1:$R$124,18,0)</f>
        <v>#N/A</v>
      </c>
      <c r="D99" s="57" t="e">
        <f>VLOOKUP(A99,'3.gral'!$A$5:$W$187,23,0)</f>
        <v>#VALUE!</v>
      </c>
      <c r="E99" s="57" t="e">
        <f>VLOOKUP(LEFT(A99,7),'4.Todo'!$B$2:$L$272,11,0)</f>
        <v>#N/A</v>
      </c>
      <c r="F99" s="57" t="e">
        <f>VLOOKUP(A99,'5.AT'!$A$2:$Y$200,25,0)</f>
        <v>#N/A</v>
      </c>
      <c r="G99" s="57" t="e">
        <f t="shared" si="1"/>
        <v>#VALUE!</v>
      </c>
    </row>
    <row r="100" spans="2:7" x14ac:dyDescent="0.25">
      <c r="B100" s="57" t="e">
        <f>VLOOKUP(A100,'1.CALIF'!$A$8:$N$400,14,0)</f>
        <v>#VALUE!</v>
      </c>
      <c r="C100" s="57" t="e">
        <f>VLOOKUP(A100,'2.RESULTADOS'!$A$1:$R$124,18,0)</f>
        <v>#N/A</v>
      </c>
      <c r="D100" s="57" t="e">
        <f>VLOOKUP(A100,'3.gral'!$A$5:$W$187,23,0)</f>
        <v>#VALUE!</v>
      </c>
      <c r="E100" s="57" t="e">
        <f>VLOOKUP(LEFT(A100,7),'4.Todo'!$B$2:$L$272,11,0)</f>
        <v>#N/A</v>
      </c>
      <c r="F100" s="57" t="e">
        <f>VLOOKUP(A100,'5.AT'!$A$2:$Y$200,25,0)</f>
        <v>#N/A</v>
      </c>
      <c r="G100" s="57" t="e">
        <f t="shared" si="1"/>
        <v>#VALUE!</v>
      </c>
    </row>
    <row r="101" spans="2:7" x14ac:dyDescent="0.25">
      <c r="B101" s="57" t="e">
        <f>VLOOKUP(A101,'1.CALIF'!$A$8:$N$400,14,0)</f>
        <v>#VALUE!</v>
      </c>
      <c r="C101" s="57" t="e">
        <f>VLOOKUP(A101,'2.RESULTADOS'!$A$1:$R$124,18,0)</f>
        <v>#N/A</v>
      </c>
      <c r="D101" s="57" t="e">
        <f>VLOOKUP(A101,'3.gral'!$A$5:$W$187,23,0)</f>
        <v>#VALUE!</v>
      </c>
      <c r="E101" s="57" t="e">
        <f>VLOOKUP(LEFT(A101,7),'4.Todo'!$B$2:$L$272,11,0)</f>
        <v>#N/A</v>
      </c>
      <c r="F101" s="57" t="e">
        <f>VLOOKUP(A101,'5.AT'!$A$2:$Y$200,25,0)</f>
        <v>#N/A</v>
      </c>
      <c r="G101" s="57" t="e">
        <f t="shared" si="1"/>
        <v>#VALUE!</v>
      </c>
    </row>
    <row r="102" spans="2:7" x14ac:dyDescent="0.25">
      <c r="B102" s="57" t="e">
        <f>VLOOKUP(A102,'1.CALIF'!$A$8:$N$400,14,0)</f>
        <v>#VALUE!</v>
      </c>
      <c r="C102" s="57" t="e">
        <f>VLOOKUP(A102,'2.RESULTADOS'!$A$1:$R$124,18,0)</f>
        <v>#N/A</v>
      </c>
      <c r="D102" s="57" t="e">
        <f>VLOOKUP(A102,'3.gral'!$A$5:$W$187,23,0)</f>
        <v>#VALUE!</v>
      </c>
      <c r="E102" s="57" t="e">
        <f>VLOOKUP(LEFT(A102,7),'4.Todo'!$B$2:$L$272,11,0)</f>
        <v>#N/A</v>
      </c>
      <c r="F102" s="57" t="e">
        <f>VLOOKUP(A102,'5.AT'!$A$2:$Y$200,25,0)</f>
        <v>#N/A</v>
      </c>
      <c r="G102" s="57" t="e">
        <f t="shared" si="1"/>
        <v>#VALUE!</v>
      </c>
    </row>
    <row r="103" spans="2:7" x14ac:dyDescent="0.25">
      <c r="B103" s="57" t="e">
        <f>VLOOKUP(A103,'1.CALIF'!$A$8:$N$400,14,0)</f>
        <v>#VALUE!</v>
      </c>
      <c r="C103" s="57" t="e">
        <f>VLOOKUP(A103,'2.RESULTADOS'!$A$1:$R$124,18,0)</f>
        <v>#N/A</v>
      </c>
      <c r="D103" s="57" t="e">
        <f>VLOOKUP(A103,'3.gral'!$A$5:$W$187,23,0)</f>
        <v>#VALUE!</v>
      </c>
      <c r="E103" s="57" t="e">
        <f>VLOOKUP(LEFT(A103,7),'4.Todo'!$B$2:$L$272,11,0)</f>
        <v>#N/A</v>
      </c>
      <c r="F103" s="57" t="e">
        <f>VLOOKUP(A103,'5.AT'!$A$2:$Y$200,25,0)</f>
        <v>#N/A</v>
      </c>
      <c r="G103" s="57" t="e">
        <f t="shared" si="1"/>
        <v>#VALUE!</v>
      </c>
    </row>
    <row r="104" spans="2:7" x14ac:dyDescent="0.25">
      <c r="B104" s="57" t="e">
        <f>VLOOKUP(A104,'1.CALIF'!$A$8:$N$400,14,0)</f>
        <v>#VALUE!</v>
      </c>
      <c r="C104" s="57" t="e">
        <f>VLOOKUP(A104,'2.RESULTADOS'!$A$1:$R$124,18,0)</f>
        <v>#N/A</v>
      </c>
      <c r="D104" s="57" t="e">
        <f>VLOOKUP(A104,'3.gral'!$A$5:$W$187,23,0)</f>
        <v>#VALUE!</v>
      </c>
      <c r="E104" s="57" t="e">
        <f>VLOOKUP(LEFT(A104,7),'4.Todo'!$B$2:$L$272,11,0)</f>
        <v>#N/A</v>
      </c>
      <c r="F104" s="57" t="e">
        <f>VLOOKUP(A104,'5.AT'!$A$2:$Y$200,25,0)</f>
        <v>#N/A</v>
      </c>
      <c r="G104" s="57" t="e">
        <f t="shared" si="1"/>
        <v>#VALUE!</v>
      </c>
    </row>
    <row r="105" spans="2:7" x14ac:dyDescent="0.25">
      <c r="B105" s="57" t="e">
        <f>VLOOKUP(A105,'1.CALIF'!$A$8:$N$400,14,0)</f>
        <v>#VALUE!</v>
      </c>
      <c r="C105" s="57" t="e">
        <f>VLOOKUP(A105,'2.RESULTADOS'!$A$1:$R$124,18,0)</f>
        <v>#N/A</v>
      </c>
      <c r="D105" s="57" t="e">
        <f>VLOOKUP(A105,'3.gral'!$A$5:$W$187,23,0)</f>
        <v>#VALUE!</v>
      </c>
      <c r="E105" s="57" t="e">
        <f>VLOOKUP(LEFT(A105,7),'4.Todo'!$B$2:$L$272,11,0)</f>
        <v>#N/A</v>
      </c>
      <c r="F105" s="57" t="e">
        <f>VLOOKUP(A105,'5.AT'!$A$2:$Y$200,25,0)</f>
        <v>#N/A</v>
      </c>
      <c r="G105" s="57" t="e">
        <f t="shared" si="1"/>
        <v>#VALUE!</v>
      </c>
    </row>
    <row r="106" spans="2:7" x14ac:dyDescent="0.25">
      <c r="B106" s="57" t="e">
        <f>VLOOKUP(A106,'1.CALIF'!$A$8:$N$400,14,0)</f>
        <v>#VALUE!</v>
      </c>
      <c r="C106" s="57" t="e">
        <f>VLOOKUP(A106,'2.RESULTADOS'!$A$1:$R$124,18,0)</f>
        <v>#N/A</v>
      </c>
      <c r="D106" s="57" t="e">
        <f>VLOOKUP(A106,'3.gral'!$A$5:$W$187,23,0)</f>
        <v>#VALUE!</v>
      </c>
      <c r="E106" s="57" t="e">
        <f>VLOOKUP(LEFT(A106,7),'4.Todo'!$B$2:$L$272,11,0)</f>
        <v>#N/A</v>
      </c>
      <c r="F106" s="57" t="e">
        <f>VLOOKUP(A106,'5.AT'!$A$2:$Y$200,25,0)</f>
        <v>#N/A</v>
      </c>
      <c r="G106" s="57" t="e">
        <f t="shared" si="1"/>
        <v>#VALUE!</v>
      </c>
    </row>
    <row r="107" spans="2:7" x14ac:dyDescent="0.25">
      <c r="B107" s="57" t="e">
        <f>VLOOKUP(A107,'1.CALIF'!$A$8:$N$400,14,0)</f>
        <v>#VALUE!</v>
      </c>
      <c r="C107" s="57" t="e">
        <f>VLOOKUP(A107,'2.RESULTADOS'!$A$1:$R$124,18,0)</f>
        <v>#N/A</v>
      </c>
      <c r="D107" s="57" t="e">
        <f>VLOOKUP(A107,'3.gral'!$A$5:$W$187,23,0)</f>
        <v>#VALUE!</v>
      </c>
      <c r="E107" s="57" t="e">
        <f>VLOOKUP(LEFT(A107,7),'4.Todo'!$B$2:$L$272,11,0)</f>
        <v>#N/A</v>
      </c>
      <c r="F107" s="57" t="e">
        <f>VLOOKUP(A107,'5.AT'!$A$2:$Y$200,25,0)</f>
        <v>#N/A</v>
      </c>
      <c r="G107" s="57" t="e">
        <f t="shared" si="1"/>
        <v>#VALUE!</v>
      </c>
    </row>
    <row r="108" spans="2:7" x14ac:dyDescent="0.25">
      <c r="B108" s="57" t="e">
        <f>VLOOKUP(A108,'1.CALIF'!$A$8:$N$400,14,0)</f>
        <v>#VALUE!</v>
      </c>
      <c r="C108" s="57" t="e">
        <f>VLOOKUP(A108,'2.RESULTADOS'!$A$1:$R$124,18,0)</f>
        <v>#N/A</v>
      </c>
      <c r="D108" s="57" t="e">
        <f>VLOOKUP(A108,'3.gral'!$A$5:$W$187,23,0)</f>
        <v>#VALUE!</v>
      </c>
      <c r="E108" s="57" t="e">
        <f>VLOOKUP(LEFT(A108,7),'4.Todo'!$B$2:$L$272,11,0)</f>
        <v>#N/A</v>
      </c>
      <c r="F108" s="57" t="e">
        <f>VLOOKUP(A108,'5.AT'!$A$2:$Y$200,25,0)</f>
        <v>#N/A</v>
      </c>
      <c r="G108" s="57" t="e">
        <f t="shared" si="1"/>
        <v>#VALUE!</v>
      </c>
    </row>
    <row r="109" spans="2:7" x14ac:dyDescent="0.25">
      <c r="B109" s="57" t="e">
        <f>VLOOKUP(A109,'1.CALIF'!$A$8:$N$400,14,0)</f>
        <v>#VALUE!</v>
      </c>
      <c r="C109" s="57" t="e">
        <f>VLOOKUP(A109,'2.RESULTADOS'!$A$1:$R$124,18,0)</f>
        <v>#N/A</v>
      </c>
      <c r="D109" s="57" t="e">
        <f>VLOOKUP(A109,'3.gral'!$A$5:$W$187,23,0)</f>
        <v>#VALUE!</v>
      </c>
      <c r="E109" s="57" t="e">
        <f>VLOOKUP(LEFT(A109,7),'4.Todo'!$B$2:$L$272,11,0)</f>
        <v>#N/A</v>
      </c>
      <c r="F109" s="57" t="e">
        <f>VLOOKUP(A109,'5.AT'!$A$2:$Y$200,25,0)</f>
        <v>#N/A</v>
      </c>
      <c r="G109" s="57" t="e">
        <f t="shared" si="1"/>
        <v>#VALUE!</v>
      </c>
    </row>
    <row r="110" spans="2:7" x14ac:dyDescent="0.25">
      <c r="B110" s="57" t="e">
        <f>VLOOKUP(A110,'1.CALIF'!$A$8:$N$400,14,0)</f>
        <v>#VALUE!</v>
      </c>
      <c r="C110" s="57" t="e">
        <f>VLOOKUP(A110,'2.RESULTADOS'!$A$1:$R$124,18,0)</f>
        <v>#N/A</v>
      </c>
      <c r="D110" s="57" t="e">
        <f>VLOOKUP(A110,'3.gral'!$A$5:$W$187,23,0)</f>
        <v>#VALUE!</v>
      </c>
      <c r="E110" s="57" t="e">
        <f>VLOOKUP(LEFT(A110,7),'4.Todo'!$B$2:$L$272,11,0)</f>
        <v>#N/A</v>
      </c>
      <c r="F110" s="57" t="e">
        <f>VLOOKUP(A110,'5.AT'!$A$2:$Y$200,25,0)</f>
        <v>#N/A</v>
      </c>
      <c r="G110" s="57" t="e">
        <f t="shared" si="1"/>
        <v>#VALUE!</v>
      </c>
    </row>
    <row r="111" spans="2:7" x14ac:dyDescent="0.25">
      <c r="B111" s="57" t="e">
        <f>VLOOKUP(A111,'1.CALIF'!$A$8:$N$400,14,0)</f>
        <v>#VALUE!</v>
      </c>
      <c r="C111" s="57" t="e">
        <f>VLOOKUP(A111,'2.RESULTADOS'!$A$1:$R$124,18,0)</f>
        <v>#N/A</v>
      </c>
      <c r="D111" s="57" t="e">
        <f>VLOOKUP(A111,'3.gral'!$A$5:$W$187,23,0)</f>
        <v>#VALUE!</v>
      </c>
      <c r="E111" s="57" t="e">
        <f>VLOOKUP(LEFT(A111,7),'4.Todo'!$B$2:$L$272,11,0)</f>
        <v>#N/A</v>
      </c>
      <c r="F111" s="57" t="e">
        <f>VLOOKUP(A111,'5.AT'!$A$2:$Y$200,25,0)</f>
        <v>#N/A</v>
      </c>
      <c r="G111" s="57" t="e">
        <f t="shared" si="1"/>
        <v>#VALUE!</v>
      </c>
    </row>
    <row r="112" spans="2:7" x14ac:dyDescent="0.25">
      <c r="B112" s="57" t="e">
        <f>VLOOKUP(A112,'1.CALIF'!$A$8:$N$400,14,0)</f>
        <v>#VALUE!</v>
      </c>
      <c r="C112" s="57" t="e">
        <f>VLOOKUP(A112,'2.RESULTADOS'!$A$1:$R$124,18,0)</f>
        <v>#N/A</v>
      </c>
      <c r="D112" s="57" t="e">
        <f>VLOOKUP(A112,'3.gral'!$A$5:$W$187,23,0)</f>
        <v>#VALUE!</v>
      </c>
      <c r="E112" s="57" t="e">
        <f>VLOOKUP(LEFT(A112,7),'4.Todo'!$B$2:$L$272,11,0)</f>
        <v>#N/A</v>
      </c>
      <c r="F112" s="57" t="e">
        <f>VLOOKUP(A112,'5.AT'!$A$2:$Y$200,25,0)</f>
        <v>#N/A</v>
      </c>
      <c r="G112" s="57" t="e">
        <f t="shared" si="1"/>
        <v>#VALUE!</v>
      </c>
    </row>
    <row r="113" spans="2:7" x14ac:dyDescent="0.25">
      <c r="B113" s="57" t="e">
        <f>VLOOKUP(A113,'1.CALIF'!$A$8:$N$400,14,0)</f>
        <v>#VALUE!</v>
      </c>
      <c r="C113" s="57" t="e">
        <f>VLOOKUP(A113,'2.RESULTADOS'!$A$1:$R$124,18,0)</f>
        <v>#N/A</v>
      </c>
      <c r="D113" s="57" t="e">
        <f>VLOOKUP(A113,'3.gral'!$A$5:$W$187,23,0)</f>
        <v>#VALUE!</v>
      </c>
      <c r="E113" s="57" t="e">
        <f>VLOOKUP(LEFT(A113,7),'4.Todo'!$B$2:$L$272,11,0)</f>
        <v>#N/A</v>
      </c>
      <c r="F113" s="57" t="e">
        <f>VLOOKUP(A113,'5.AT'!$A$2:$Y$200,25,0)</f>
        <v>#N/A</v>
      </c>
      <c r="G113" s="57" t="e">
        <f t="shared" si="1"/>
        <v>#VALUE!</v>
      </c>
    </row>
    <row r="114" spans="2:7" x14ac:dyDescent="0.25">
      <c r="B114" s="57" t="e">
        <f>VLOOKUP(A114,'1.CALIF'!$A$8:$N$400,14,0)</f>
        <v>#VALUE!</v>
      </c>
      <c r="C114" s="57" t="e">
        <f>VLOOKUP(A114,'2.RESULTADOS'!$A$1:$R$124,18,0)</f>
        <v>#N/A</v>
      </c>
      <c r="D114" s="57" t="e">
        <f>VLOOKUP(A114,'3.gral'!$A$5:$W$187,23,0)</f>
        <v>#VALUE!</v>
      </c>
      <c r="E114" s="57" t="e">
        <f>VLOOKUP(LEFT(A114,7),'4.Todo'!$B$2:$L$272,11,0)</f>
        <v>#N/A</v>
      </c>
      <c r="F114" s="57" t="e">
        <f>VLOOKUP(A114,'5.AT'!$A$2:$Y$200,25,0)</f>
        <v>#N/A</v>
      </c>
      <c r="G114" s="57" t="e">
        <f t="shared" si="1"/>
        <v>#VALUE!</v>
      </c>
    </row>
    <row r="115" spans="2:7" x14ac:dyDescent="0.25">
      <c r="B115" s="57" t="e">
        <f>VLOOKUP(A115,'1.CALIF'!$A$8:$N$400,14,0)</f>
        <v>#VALUE!</v>
      </c>
      <c r="C115" s="57" t="e">
        <f>VLOOKUP(A115,'2.RESULTADOS'!$A$1:$R$124,18,0)</f>
        <v>#N/A</v>
      </c>
      <c r="D115" s="57" t="e">
        <f>VLOOKUP(A115,'3.gral'!$A$5:$W$187,23,0)</f>
        <v>#VALUE!</v>
      </c>
      <c r="E115" s="57" t="e">
        <f>VLOOKUP(LEFT(A115,7),'4.Todo'!$B$2:$L$272,11,0)</f>
        <v>#N/A</v>
      </c>
      <c r="F115" s="57" t="e">
        <f>VLOOKUP(A115,'5.AT'!$A$2:$Y$200,25,0)</f>
        <v>#N/A</v>
      </c>
      <c r="G115" s="57" t="e">
        <f t="shared" si="1"/>
        <v>#VALUE!</v>
      </c>
    </row>
    <row r="116" spans="2:7" x14ac:dyDescent="0.25">
      <c r="B116" s="57" t="e">
        <f>VLOOKUP(A116,'1.CALIF'!$A$8:$N$400,14,0)</f>
        <v>#VALUE!</v>
      </c>
      <c r="C116" s="57" t="e">
        <f>VLOOKUP(A116,'2.RESULTADOS'!$A$1:$R$124,18,0)</f>
        <v>#N/A</v>
      </c>
      <c r="D116" s="57" t="e">
        <f>VLOOKUP(A116,'3.gral'!$A$5:$W$187,23,0)</f>
        <v>#VALUE!</v>
      </c>
      <c r="E116" s="57" t="e">
        <f>VLOOKUP(LEFT(A116,7),'4.Todo'!$B$2:$L$272,11,0)</f>
        <v>#N/A</v>
      </c>
      <c r="F116" s="57" t="e">
        <f>VLOOKUP(A116,'5.AT'!$A$2:$Y$200,25,0)</f>
        <v>#N/A</v>
      </c>
      <c r="G116" s="57" t="e">
        <f t="shared" si="1"/>
        <v>#VALUE!</v>
      </c>
    </row>
    <row r="117" spans="2:7" x14ac:dyDescent="0.25">
      <c r="B117" s="57" t="e">
        <f>VLOOKUP(A117,'1.CALIF'!$A$8:$N$400,14,0)</f>
        <v>#VALUE!</v>
      </c>
      <c r="C117" s="57" t="e">
        <f>VLOOKUP(A117,'2.RESULTADOS'!$A$1:$R$124,18,0)</f>
        <v>#N/A</v>
      </c>
      <c r="D117" s="57" t="e">
        <f>VLOOKUP(A117,'3.gral'!$A$5:$W$187,23,0)</f>
        <v>#VALUE!</v>
      </c>
      <c r="E117" s="57" t="e">
        <f>VLOOKUP(LEFT(A117,7),'4.Todo'!$B$2:$L$272,11,0)</f>
        <v>#N/A</v>
      </c>
      <c r="F117" s="57" t="e">
        <f>VLOOKUP(A117,'5.AT'!$A$2:$Y$200,25,0)</f>
        <v>#N/A</v>
      </c>
      <c r="G117" s="57" t="e">
        <f t="shared" si="1"/>
        <v>#VALUE!</v>
      </c>
    </row>
    <row r="118" spans="2:7" x14ac:dyDescent="0.25">
      <c r="B118" s="57" t="e">
        <f>VLOOKUP(A118,'1.CALIF'!$A$8:$N$400,14,0)</f>
        <v>#VALUE!</v>
      </c>
      <c r="C118" s="57" t="e">
        <f>VLOOKUP(A118,'2.RESULTADOS'!$A$1:$R$124,18,0)</f>
        <v>#N/A</v>
      </c>
      <c r="D118" s="57" t="e">
        <f>VLOOKUP(A118,'3.gral'!$A$5:$W$187,23,0)</f>
        <v>#VALUE!</v>
      </c>
      <c r="E118" s="57" t="e">
        <f>VLOOKUP(LEFT(A118,7),'4.Todo'!$B$2:$L$272,11,0)</f>
        <v>#N/A</v>
      </c>
      <c r="F118" s="57" t="e">
        <f>VLOOKUP(A118,'5.AT'!$A$2:$Y$200,25,0)</f>
        <v>#N/A</v>
      </c>
      <c r="G118" s="57" t="e">
        <f t="shared" si="1"/>
        <v>#VALUE!</v>
      </c>
    </row>
    <row r="119" spans="2:7" x14ac:dyDescent="0.25">
      <c r="B119" s="57" t="e">
        <f>VLOOKUP(A119,'1.CALIF'!$A$8:$N$400,14,0)</f>
        <v>#VALUE!</v>
      </c>
      <c r="C119" s="57" t="e">
        <f>VLOOKUP(A119,'2.RESULTADOS'!$A$1:$R$124,18,0)</f>
        <v>#N/A</v>
      </c>
      <c r="D119" s="57" t="e">
        <f>VLOOKUP(A119,'3.gral'!$A$5:$W$187,23,0)</f>
        <v>#VALUE!</v>
      </c>
      <c r="E119" s="57" t="e">
        <f>VLOOKUP(LEFT(A119,7),'4.Todo'!$B$2:$L$272,11,0)</f>
        <v>#N/A</v>
      </c>
      <c r="F119" s="57" t="e">
        <f>VLOOKUP(A119,'5.AT'!$A$2:$Y$200,25,0)</f>
        <v>#N/A</v>
      </c>
      <c r="G119" s="57" t="e">
        <f t="shared" si="1"/>
        <v>#VALUE!</v>
      </c>
    </row>
    <row r="120" spans="2:7" x14ac:dyDescent="0.25">
      <c r="B120" s="57" t="e">
        <f>VLOOKUP(A120,'1.CALIF'!$A$8:$N$400,14,0)</f>
        <v>#VALUE!</v>
      </c>
      <c r="C120" s="57" t="e">
        <f>VLOOKUP(A120,'2.RESULTADOS'!$A$1:$R$124,18,0)</f>
        <v>#N/A</v>
      </c>
      <c r="D120" s="57" t="e">
        <f>VLOOKUP(A120,'3.gral'!$A$5:$W$187,23,0)</f>
        <v>#VALUE!</v>
      </c>
      <c r="E120" s="57" t="e">
        <f>VLOOKUP(LEFT(A120,7),'4.Todo'!$B$2:$L$272,11,0)</f>
        <v>#N/A</v>
      </c>
      <c r="F120" s="57" t="e">
        <f>VLOOKUP(A120,'5.AT'!$A$2:$Y$200,25,0)</f>
        <v>#N/A</v>
      </c>
      <c r="G120" s="57" t="e">
        <f t="shared" si="1"/>
        <v>#VALUE!</v>
      </c>
    </row>
    <row r="121" spans="2:7" x14ac:dyDescent="0.25">
      <c r="B121" s="57" t="e">
        <f>VLOOKUP(A121,'1.CALIF'!$A$8:$N$400,14,0)</f>
        <v>#VALUE!</v>
      </c>
      <c r="C121" s="57" t="e">
        <f>VLOOKUP(A121,'2.RESULTADOS'!$A$1:$R$124,18,0)</f>
        <v>#N/A</v>
      </c>
      <c r="D121" s="57" t="e">
        <f>VLOOKUP(A121,'3.gral'!$A$5:$W$187,23,0)</f>
        <v>#VALUE!</v>
      </c>
      <c r="E121" s="57" t="e">
        <f>VLOOKUP(LEFT(A121,7),'4.Todo'!$B$2:$L$272,11,0)</f>
        <v>#N/A</v>
      </c>
      <c r="F121" s="57" t="e">
        <f>VLOOKUP(A121,'5.AT'!$A$2:$Y$200,25,0)</f>
        <v>#N/A</v>
      </c>
      <c r="G121" s="57" t="e">
        <f t="shared" si="1"/>
        <v>#VALUE!</v>
      </c>
    </row>
    <row r="122" spans="2:7" x14ac:dyDescent="0.25">
      <c r="B122" s="57" t="e">
        <f>VLOOKUP(A122,'1.CALIF'!$A$8:$N$400,14,0)</f>
        <v>#VALUE!</v>
      </c>
      <c r="C122" s="57" t="e">
        <f>VLOOKUP(A122,'2.RESULTADOS'!$A$1:$R$124,18,0)</f>
        <v>#N/A</v>
      </c>
      <c r="D122" s="57" t="e">
        <f>VLOOKUP(A122,'3.gral'!$A$5:$W$187,23,0)</f>
        <v>#VALUE!</v>
      </c>
      <c r="E122" s="57" t="e">
        <f>VLOOKUP(LEFT(A122,7),'4.Todo'!$B$2:$L$272,11,0)</f>
        <v>#N/A</v>
      </c>
      <c r="F122" s="57" t="e">
        <f>VLOOKUP(A122,'5.AT'!$A$2:$Y$200,25,0)</f>
        <v>#N/A</v>
      </c>
      <c r="G122" s="57" t="e">
        <f t="shared" si="1"/>
        <v>#VALUE!</v>
      </c>
    </row>
    <row r="123" spans="2:7" x14ac:dyDescent="0.25">
      <c r="B123" s="57" t="e">
        <f>VLOOKUP(A123,'1.CALIF'!$A$8:$N$400,14,0)</f>
        <v>#VALUE!</v>
      </c>
      <c r="C123" s="57" t="e">
        <f>VLOOKUP(A123,'2.RESULTADOS'!$A$1:$R$124,18,0)</f>
        <v>#N/A</v>
      </c>
      <c r="D123" s="57" t="e">
        <f>VLOOKUP(A123,'3.gral'!$A$5:$W$187,23,0)</f>
        <v>#VALUE!</v>
      </c>
      <c r="E123" s="57" t="e">
        <f>VLOOKUP(LEFT(A123,7),'4.Todo'!$B$2:$L$272,11,0)</f>
        <v>#N/A</v>
      </c>
      <c r="F123" s="57" t="e">
        <f>VLOOKUP(A123,'5.AT'!$A$2:$Y$200,25,0)</f>
        <v>#N/A</v>
      </c>
      <c r="G123" s="57" t="e">
        <f t="shared" si="1"/>
        <v>#VALUE!</v>
      </c>
    </row>
    <row r="124" spans="2:7" x14ac:dyDescent="0.25">
      <c r="B124" s="57" t="e">
        <f>VLOOKUP(A124,'1.CALIF'!$A$8:$N$400,14,0)</f>
        <v>#VALUE!</v>
      </c>
      <c r="C124" s="57" t="e">
        <f>VLOOKUP(A124,'2.RESULTADOS'!$A$1:$R$124,18,0)</f>
        <v>#N/A</v>
      </c>
      <c r="D124" s="57" t="e">
        <f>VLOOKUP(A124,'3.gral'!$A$5:$W$187,23,0)</f>
        <v>#VALUE!</v>
      </c>
      <c r="E124" s="57" t="e">
        <f>VLOOKUP(LEFT(A124,7),'4.Todo'!$B$2:$L$272,11,0)</f>
        <v>#N/A</v>
      </c>
      <c r="F124" s="57" t="e">
        <f>VLOOKUP(A124,'5.AT'!$A$2:$Y$200,25,0)</f>
        <v>#N/A</v>
      </c>
      <c r="G124" s="57" t="e">
        <f t="shared" si="1"/>
        <v>#VALUE!</v>
      </c>
    </row>
    <row r="125" spans="2:7" x14ac:dyDescent="0.25">
      <c r="B125" s="57" t="e">
        <f>VLOOKUP(A125,'1.CALIF'!$A$8:$N$400,14,0)</f>
        <v>#VALUE!</v>
      </c>
      <c r="C125" s="57" t="e">
        <f>VLOOKUP(A125,'2.RESULTADOS'!$A$1:$R$124,18,0)</f>
        <v>#N/A</v>
      </c>
      <c r="D125" s="57" t="e">
        <f>VLOOKUP(A125,'3.gral'!$A$5:$W$187,23,0)</f>
        <v>#VALUE!</v>
      </c>
      <c r="E125" s="57" t="e">
        <f>VLOOKUP(LEFT(A125,7),'4.Todo'!$B$2:$L$272,11,0)</f>
        <v>#N/A</v>
      </c>
      <c r="F125" s="57" t="e">
        <f>VLOOKUP(A125,'5.AT'!$A$2:$Y$200,25,0)</f>
        <v>#N/A</v>
      </c>
      <c r="G125" s="57" t="e">
        <f t="shared" si="1"/>
        <v>#VALUE!</v>
      </c>
    </row>
    <row r="126" spans="2:7" x14ac:dyDescent="0.25">
      <c r="B126" s="57" t="e">
        <f>VLOOKUP(A126,'1.CALIF'!$A$8:$N$400,14,0)</f>
        <v>#VALUE!</v>
      </c>
      <c r="C126" s="57" t="e">
        <f>VLOOKUP(A126,'2.RESULTADOS'!$A$1:$R$124,18,0)</f>
        <v>#N/A</v>
      </c>
      <c r="D126" s="57" t="e">
        <f>VLOOKUP(A126,'3.gral'!$A$5:$W$187,23,0)</f>
        <v>#VALUE!</v>
      </c>
      <c r="E126" s="57" t="e">
        <f>VLOOKUP(LEFT(A126,7),'4.Todo'!$B$2:$L$272,11,0)</f>
        <v>#N/A</v>
      </c>
      <c r="F126" s="57" t="e">
        <f>VLOOKUP(A126,'5.AT'!$A$2:$Y$200,25,0)</f>
        <v>#N/A</v>
      </c>
      <c r="G126" s="57" t="e">
        <f t="shared" si="1"/>
        <v>#VALUE!</v>
      </c>
    </row>
    <row r="127" spans="2:7" x14ac:dyDescent="0.25">
      <c r="B127" s="57" t="e">
        <f>VLOOKUP(A127,'1.CALIF'!$A$8:$N$400,14,0)</f>
        <v>#VALUE!</v>
      </c>
      <c r="C127" s="57" t="e">
        <f>VLOOKUP(A127,'2.RESULTADOS'!$A$1:$R$124,18,0)</f>
        <v>#N/A</v>
      </c>
      <c r="D127" s="57" t="e">
        <f>VLOOKUP(A127,'3.gral'!$A$5:$W$187,23,0)</f>
        <v>#VALUE!</v>
      </c>
      <c r="E127" s="57" t="e">
        <f>VLOOKUP(LEFT(A127,7),'4.Todo'!$B$2:$L$272,11,0)</f>
        <v>#N/A</v>
      </c>
      <c r="F127" s="57" t="e">
        <f>VLOOKUP(A127,'5.AT'!$A$2:$Y$200,25,0)</f>
        <v>#N/A</v>
      </c>
      <c r="G127" s="57" t="e">
        <f t="shared" si="1"/>
        <v>#VALUE!</v>
      </c>
    </row>
    <row r="128" spans="2:7" x14ac:dyDescent="0.25">
      <c r="B128" s="57" t="e">
        <f>VLOOKUP(A128,'1.CALIF'!$A$8:$N$400,14,0)</f>
        <v>#VALUE!</v>
      </c>
      <c r="C128" s="57" t="e">
        <f>VLOOKUP(A128,'2.RESULTADOS'!$A$1:$R$124,18,0)</f>
        <v>#N/A</v>
      </c>
      <c r="D128" s="57" t="e">
        <f>VLOOKUP(A128,'3.gral'!$A$5:$W$187,23,0)</f>
        <v>#VALUE!</v>
      </c>
      <c r="E128" s="57" t="e">
        <f>VLOOKUP(LEFT(A128,7),'4.Todo'!$B$2:$L$272,11,0)</f>
        <v>#N/A</v>
      </c>
      <c r="F128" s="57" t="e">
        <f>VLOOKUP(A128,'5.AT'!$A$2:$Y$200,25,0)</f>
        <v>#N/A</v>
      </c>
      <c r="G128" s="57" t="e">
        <f t="shared" si="1"/>
        <v>#VALUE!</v>
      </c>
    </row>
    <row r="129" spans="2:7" x14ac:dyDescent="0.25">
      <c r="B129" s="57" t="e">
        <f>VLOOKUP(A129,'1.CALIF'!$A$8:$N$400,14,0)</f>
        <v>#VALUE!</v>
      </c>
      <c r="C129" s="57" t="e">
        <f>VLOOKUP(A129,'2.RESULTADOS'!$A$1:$R$124,18,0)</f>
        <v>#N/A</v>
      </c>
      <c r="D129" s="57" t="e">
        <f>VLOOKUP(A129,'3.gral'!$A$5:$W$187,23,0)</f>
        <v>#VALUE!</v>
      </c>
      <c r="E129" s="57" t="e">
        <f>VLOOKUP(LEFT(A129,7),'4.Todo'!$B$2:$L$272,11,0)</f>
        <v>#N/A</v>
      </c>
      <c r="F129" s="57" t="e">
        <f>VLOOKUP(A129,'5.AT'!$A$2:$Y$200,25,0)</f>
        <v>#N/A</v>
      </c>
      <c r="G129" s="57" t="e">
        <f t="shared" si="1"/>
        <v>#VALUE!</v>
      </c>
    </row>
    <row r="130" spans="2:7" x14ac:dyDescent="0.25">
      <c r="B130" s="57" t="e">
        <f>VLOOKUP(A130,'1.CALIF'!$A$8:$N$400,14,0)</f>
        <v>#VALUE!</v>
      </c>
      <c r="C130" s="57" t="e">
        <f>VLOOKUP(A130,'2.RESULTADOS'!$A$1:$R$124,18,0)</f>
        <v>#N/A</v>
      </c>
      <c r="D130" s="57" t="e">
        <f>VLOOKUP(A130,'3.gral'!$A$5:$W$187,23,0)</f>
        <v>#VALUE!</v>
      </c>
      <c r="E130" s="57" t="e">
        <f>VLOOKUP(LEFT(A130,7),'4.Todo'!$B$2:$L$272,11,0)</f>
        <v>#N/A</v>
      </c>
      <c r="F130" s="57" t="e">
        <f>VLOOKUP(A130,'5.AT'!$A$2:$Y$200,25,0)</f>
        <v>#N/A</v>
      </c>
      <c r="G130" s="57" t="e">
        <f t="shared" si="1"/>
        <v>#VALUE!</v>
      </c>
    </row>
    <row r="131" spans="2:7" x14ac:dyDescent="0.25">
      <c r="B131" s="57" t="e">
        <f>VLOOKUP(A131,'1.CALIF'!$A$8:$N$400,14,0)</f>
        <v>#VALUE!</v>
      </c>
      <c r="C131" s="57" t="e">
        <f>VLOOKUP(A131,'2.RESULTADOS'!$A$1:$R$124,18,0)</f>
        <v>#N/A</v>
      </c>
      <c r="D131" s="57" t="e">
        <f>VLOOKUP(A131,'3.gral'!$A$5:$W$187,23,0)</f>
        <v>#VALUE!</v>
      </c>
      <c r="E131" s="57" t="e">
        <f>VLOOKUP(LEFT(A131,7),'4.Todo'!$B$2:$L$272,11,0)</f>
        <v>#N/A</v>
      </c>
      <c r="F131" s="57" t="e">
        <f>VLOOKUP(A131,'5.AT'!$A$2:$Y$200,25,0)</f>
        <v>#N/A</v>
      </c>
      <c r="G131" s="57" t="e">
        <f t="shared" ref="G131:G194" si="2">B131*$B$1+C131*$C$1+D131*$D$1+E131*$E$1+F131*$F$1</f>
        <v>#VALUE!</v>
      </c>
    </row>
    <row r="132" spans="2:7" x14ac:dyDescent="0.25">
      <c r="B132" s="57" t="e">
        <f>VLOOKUP(A132,'1.CALIF'!$A$8:$N$400,14,0)</f>
        <v>#VALUE!</v>
      </c>
      <c r="C132" s="57" t="e">
        <f>VLOOKUP(A132,'2.RESULTADOS'!$A$1:$R$124,18,0)</f>
        <v>#N/A</v>
      </c>
      <c r="D132" s="57" t="e">
        <f>VLOOKUP(A132,'3.gral'!$A$5:$W$187,23,0)</f>
        <v>#VALUE!</v>
      </c>
      <c r="E132" s="57" t="e">
        <f>VLOOKUP(LEFT(A132,7),'4.Todo'!$B$2:$L$272,11,0)</f>
        <v>#N/A</v>
      </c>
      <c r="F132" s="57" t="e">
        <f>VLOOKUP(A132,'5.AT'!$A$2:$Y$200,25,0)</f>
        <v>#N/A</v>
      </c>
      <c r="G132" s="57" t="e">
        <f t="shared" si="2"/>
        <v>#VALUE!</v>
      </c>
    </row>
    <row r="133" spans="2:7" x14ac:dyDescent="0.25">
      <c r="B133" s="57" t="e">
        <f>VLOOKUP(A133,'1.CALIF'!$A$8:$N$400,14,0)</f>
        <v>#VALUE!</v>
      </c>
      <c r="C133" s="57" t="e">
        <f>VLOOKUP(A133,'2.RESULTADOS'!$A$1:$R$124,18,0)</f>
        <v>#N/A</v>
      </c>
      <c r="D133" s="57" t="e">
        <f>VLOOKUP(A133,'3.gral'!$A$5:$W$187,23,0)</f>
        <v>#VALUE!</v>
      </c>
      <c r="E133" s="57" t="e">
        <f>VLOOKUP(LEFT(A133,7),'4.Todo'!$B$2:$L$272,11,0)</f>
        <v>#N/A</v>
      </c>
      <c r="F133" s="57" t="e">
        <f>VLOOKUP(A133,'5.AT'!$A$2:$Y$200,25,0)</f>
        <v>#N/A</v>
      </c>
      <c r="G133" s="57" t="e">
        <f t="shared" si="2"/>
        <v>#VALUE!</v>
      </c>
    </row>
    <row r="134" spans="2:7" x14ac:dyDescent="0.25">
      <c r="B134" s="57" t="e">
        <f>VLOOKUP(A134,'1.CALIF'!$A$8:$N$400,14,0)</f>
        <v>#VALUE!</v>
      </c>
      <c r="C134" s="57" t="e">
        <f>VLOOKUP(A134,'2.RESULTADOS'!$A$1:$R$124,18,0)</f>
        <v>#N/A</v>
      </c>
      <c r="D134" s="57" t="e">
        <f>VLOOKUP(A134,'3.gral'!$A$5:$W$187,23,0)</f>
        <v>#VALUE!</v>
      </c>
      <c r="E134" s="57" t="e">
        <f>VLOOKUP(LEFT(A134,7),'4.Todo'!$B$2:$L$272,11,0)</f>
        <v>#N/A</v>
      </c>
      <c r="F134" s="57" t="e">
        <f>VLOOKUP(A134,'5.AT'!$A$2:$Y$200,25,0)</f>
        <v>#N/A</v>
      </c>
      <c r="G134" s="57" t="e">
        <f t="shared" si="2"/>
        <v>#VALUE!</v>
      </c>
    </row>
    <row r="135" spans="2:7" x14ac:dyDescent="0.25">
      <c r="B135" s="57" t="e">
        <f>VLOOKUP(A135,'1.CALIF'!$A$8:$N$400,14,0)</f>
        <v>#VALUE!</v>
      </c>
      <c r="C135" s="57" t="e">
        <f>VLOOKUP(A135,'2.RESULTADOS'!$A$1:$R$124,18,0)</f>
        <v>#N/A</v>
      </c>
      <c r="D135" s="57" t="e">
        <f>VLOOKUP(A135,'3.gral'!$A$5:$W$187,23,0)</f>
        <v>#VALUE!</v>
      </c>
      <c r="E135" s="57" t="e">
        <f>VLOOKUP(LEFT(A135,7),'4.Todo'!$B$2:$L$272,11,0)</f>
        <v>#N/A</v>
      </c>
      <c r="F135" s="57" t="e">
        <f>VLOOKUP(A135,'5.AT'!$A$2:$Y$200,25,0)</f>
        <v>#N/A</v>
      </c>
      <c r="G135" s="57" t="e">
        <f t="shared" si="2"/>
        <v>#VALUE!</v>
      </c>
    </row>
    <row r="136" spans="2:7" x14ac:dyDescent="0.25">
      <c r="B136" s="57" t="e">
        <f>VLOOKUP(A136,'1.CALIF'!$A$8:$N$400,14,0)</f>
        <v>#VALUE!</v>
      </c>
      <c r="C136" s="57" t="e">
        <f>VLOOKUP(A136,'2.RESULTADOS'!$A$1:$R$124,18,0)</f>
        <v>#N/A</v>
      </c>
      <c r="D136" s="57" t="e">
        <f>VLOOKUP(A136,'3.gral'!$A$5:$W$187,23,0)</f>
        <v>#VALUE!</v>
      </c>
      <c r="E136" s="57" t="e">
        <f>VLOOKUP(LEFT(A136,7),'4.Todo'!$B$2:$L$272,11,0)</f>
        <v>#N/A</v>
      </c>
      <c r="F136" s="57" t="e">
        <f>VLOOKUP(A136,'5.AT'!$A$2:$Y$200,25,0)</f>
        <v>#N/A</v>
      </c>
      <c r="G136" s="57" t="e">
        <f t="shared" si="2"/>
        <v>#VALUE!</v>
      </c>
    </row>
    <row r="137" spans="2:7" x14ac:dyDescent="0.25">
      <c r="B137" s="57" t="e">
        <f>VLOOKUP(A137,'1.CALIF'!$A$8:$N$400,14,0)</f>
        <v>#VALUE!</v>
      </c>
      <c r="C137" s="57" t="e">
        <f>VLOOKUP(A137,'2.RESULTADOS'!$A$1:$R$124,18,0)</f>
        <v>#N/A</v>
      </c>
      <c r="D137" s="57" t="e">
        <f>VLOOKUP(A137,'3.gral'!$A$5:$W$187,23,0)</f>
        <v>#VALUE!</v>
      </c>
      <c r="E137" s="57" t="e">
        <f>VLOOKUP(LEFT(A137,7),'4.Todo'!$B$2:$L$272,11,0)</f>
        <v>#N/A</v>
      </c>
      <c r="F137" s="57" t="e">
        <f>VLOOKUP(A137,'5.AT'!$A$2:$Y$200,25,0)</f>
        <v>#N/A</v>
      </c>
      <c r="G137" s="57" t="e">
        <f t="shared" si="2"/>
        <v>#VALUE!</v>
      </c>
    </row>
    <row r="138" spans="2:7" x14ac:dyDescent="0.25">
      <c r="B138" s="57" t="e">
        <f>VLOOKUP(A138,'1.CALIF'!$A$8:$N$400,14,0)</f>
        <v>#VALUE!</v>
      </c>
      <c r="C138" s="57" t="e">
        <f>VLOOKUP(A138,'2.RESULTADOS'!$A$1:$R$124,18,0)</f>
        <v>#N/A</v>
      </c>
      <c r="D138" s="57" t="e">
        <f>VLOOKUP(A138,'3.gral'!$A$5:$W$187,23,0)</f>
        <v>#VALUE!</v>
      </c>
      <c r="E138" s="57" t="e">
        <f>VLOOKUP(LEFT(A138,7),'4.Todo'!$B$2:$L$272,11,0)</f>
        <v>#N/A</v>
      </c>
      <c r="F138" s="57" t="e">
        <f>VLOOKUP(A138,'5.AT'!$A$2:$Y$200,25,0)</f>
        <v>#N/A</v>
      </c>
      <c r="G138" s="57" t="e">
        <f t="shared" si="2"/>
        <v>#VALUE!</v>
      </c>
    </row>
    <row r="139" spans="2:7" x14ac:dyDescent="0.25">
      <c r="B139" s="57" t="e">
        <f>VLOOKUP(A139,'1.CALIF'!$A$8:$N$400,14,0)</f>
        <v>#VALUE!</v>
      </c>
      <c r="C139" s="57" t="e">
        <f>VLOOKUP(A139,'2.RESULTADOS'!$A$1:$R$124,18,0)</f>
        <v>#N/A</v>
      </c>
      <c r="D139" s="57" t="e">
        <f>VLOOKUP(A139,'3.gral'!$A$5:$W$187,23,0)</f>
        <v>#VALUE!</v>
      </c>
      <c r="E139" s="57" t="e">
        <f>VLOOKUP(LEFT(A139,7),'4.Todo'!$B$2:$L$272,11,0)</f>
        <v>#N/A</v>
      </c>
      <c r="F139" s="57" t="e">
        <f>VLOOKUP(A139,'5.AT'!$A$2:$Y$200,25,0)</f>
        <v>#N/A</v>
      </c>
      <c r="G139" s="57" t="e">
        <f t="shared" si="2"/>
        <v>#VALUE!</v>
      </c>
    </row>
    <row r="140" spans="2:7" x14ac:dyDescent="0.25">
      <c r="B140" s="57" t="e">
        <f>VLOOKUP(A140,'1.CALIF'!$A$8:$N$400,14,0)</f>
        <v>#VALUE!</v>
      </c>
      <c r="C140" s="57" t="e">
        <f>VLOOKUP(A140,'2.RESULTADOS'!$A$1:$R$124,18,0)</f>
        <v>#N/A</v>
      </c>
      <c r="D140" s="57" t="e">
        <f>VLOOKUP(A140,'3.gral'!$A$5:$W$187,23,0)</f>
        <v>#VALUE!</v>
      </c>
      <c r="E140" s="57" t="e">
        <f>VLOOKUP(LEFT(A140,7),'4.Todo'!$B$2:$L$272,11,0)</f>
        <v>#N/A</v>
      </c>
      <c r="F140" s="57" t="e">
        <f>VLOOKUP(A140,'5.AT'!$A$2:$Y$200,25,0)</f>
        <v>#N/A</v>
      </c>
      <c r="G140" s="57" t="e">
        <f t="shared" si="2"/>
        <v>#VALUE!</v>
      </c>
    </row>
    <row r="141" spans="2:7" x14ac:dyDescent="0.25">
      <c r="B141" s="57" t="e">
        <f>VLOOKUP(A141,'1.CALIF'!$A$8:$N$400,14,0)</f>
        <v>#VALUE!</v>
      </c>
      <c r="C141" s="57" t="e">
        <f>VLOOKUP(A141,'2.RESULTADOS'!$A$1:$R$124,18,0)</f>
        <v>#N/A</v>
      </c>
      <c r="D141" s="57" t="e">
        <f>VLOOKUP(A141,'3.gral'!$A$5:$W$187,23,0)</f>
        <v>#VALUE!</v>
      </c>
      <c r="E141" s="57" t="e">
        <f>VLOOKUP(LEFT(A141,7),'4.Todo'!$B$2:$L$272,11,0)</f>
        <v>#N/A</v>
      </c>
      <c r="F141" s="57" t="e">
        <f>VLOOKUP(A141,'5.AT'!$A$2:$Y$200,25,0)</f>
        <v>#N/A</v>
      </c>
      <c r="G141" s="57" t="e">
        <f t="shared" si="2"/>
        <v>#VALUE!</v>
      </c>
    </row>
    <row r="142" spans="2:7" x14ac:dyDescent="0.25">
      <c r="B142" s="57" t="e">
        <f>VLOOKUP(A142,'1.CALIF'!$A$8:$N$400,14,0)</f>
        <v>#VALUE!</v>
      </c>
      <c r="C142" s="57" t="e">
        <f>VLOOKUP(A142,'2.RESULTADOS'!$A$1:$R$124,18,0)</f>
        <v>#N/A</v>
      </c>
      <c r="D142" s="57" t="e">
        <f>VLOOKUP(A142,'3.gral'!$A$5:$W$187,23,0)</f>
        <v>#VALUE!</v>
      </c>
      <c r="E142" s="57" t="e">
        <f>VLOOKUP(LEFT(A142,7),'4.Todo'!$B$2:$L$272,11,0)</f>
        <v>#N/A</v>
      </c>
      <c r="F142" s="57" t="e">
        <f>VLOOKUP(A142,'5.AT'!$A$2:$Y$200,25,0)</f>
        <v>#N/A</v>
      </c>
      <c r="G142" s="57" t="e">
        <f t="shared" si="2"/>
        <v>#VALUE!</v>
      </c>
    </row>
    <row r="143" spans="2:7" x14ac:dyDescent="0.25">
      <c r="B143" s="57" t="e">
        <f>VLOOKUP(A143,'1.CALIF'!$A$8:$N$400,14,0)</f>
        <v>#VALUE!</v>
      </c>
      <c r="C143" s="57" t="e">
        <f>VLOOKUP(A143,'2.RESULTADOS'!$A$1:$R$124,18,0)</f>
        <v>#N/A</v>
      </c>
      <c r="D143" s="57" t="e">
        <f>VLOOKUP(A143,'3.gral'!$A$5:$W$187,23,0)</f>
        <v>#VALUE!</v>
      </c>
      <c r="E143" s="57" t="e">
        <f>VLOOKUP(LEFT(A143,7),'4.Todo'!$B$2:$L$272,11,0)</f>
        <v>#N/A</v>
      </c>
      <c r="F143" s="57" t="e">
        <f>VLOOKUP(A143,'5.AT'!$A$2:$Y$200,25,0)</f>
        <v>#N/A</v>
      </c>
      <c r="G143" s="57" t="e">
        <f t="shared" si="2"/>
        <v>#VALUE!</v>
      </c>
    </row>
    <row r="144" spans="2:7" x14ac:dyDescent="0.25">
      <c r="B144" s="57" t="e">
        <f>VLOOKUP(A144,'1.CALIF'!$A$8:$N$400,14,0)</f>
        <v>#VALUE!</v>
      </c>
      <c r="C144" s="57" t="e">
        <f>VLOOKUP(A144,'2.RESULTADOS'!$A$1:$R$124,18,0)</f>
        <v>#N/A</v>
      </c>
      <c r="D144" s="57" t="e">
        <f>VLOOKUP(A144,'3.gral'!$A$5:$W$187,23,0)</f>
        <v>#VALUE!</v>
      </c>
      <c r="E144" s="57" t="e">
        <f>VLOOKUP(LEFT(A144,7),'4.Todo'!$B$2:$L$272,11,0)</f>
        <v>#N/A</v>
      </c>
      <c r="F144" s="57" t="e">
        <f>VLOOKUP(A144,'5.AT'!$A$2:$Y$200,25,0)</f>
        <v>#N/A</v>
      </c>
      <c r="G144" s="57" t="e">
        <f t="shared" si="2"/>
        <v>#VALUE!</v>
      </c>
    </row>
    <row r="145" spans="2:7" x14ac:dyDescent="0.25">
      <c r="B145" s="57" t="e">
        <f>VLOOKUP(A145,'1.CALIF'!$A$8:$N$400,14,0)</f>
        <v>#VALUE!</v>
      </c>
      <c r="C145" s="57" t="e">
        <f>VLOOKUP(A145,'2.RESULTADOS'!$A$1:$R$124,18,0)</f>
        <v>#N/A</v>
      </c>
      <c r="D145" s="57" t="e">
        <f>VLOOKUP(A145,'3.gral'!$A$5:$W$187,23,0)</f>
        <v>#VALUE!</v>
      </c>
      <c r="E145" s="57" t="e">
        <f>VLOOKUP(LEFT(A145,7),'4.Todo'!$B$2:$L$272,11,0)</f>
        <v>#N/A</v>
      </c>
      <c r="F145" s="57" t="e">
        <f>VLOOKUP(A145,'5.AT'!$A$2:$Y$200,25,0)</f>
        <v>#N/A</v>
      </c>
      <c r="G145" s="57" t="e">
        <f t="shared" si="2"/>
        <v>#VALUE!</v>
      </c>
    </row>
    <row r="146" spans="2:7" x14ac:dyDescent="0.25">
      <c r="B146" s="57" t="e">
        <f>VLOOKUP(A146,'1.CALIF'!$A$8:$N$400,14,0)</f>
        <v>#VALUE!</v>
      </c>
      <c r="C146" s="57" t="e">
        <f>VLOOKUP(A146,'2.RESULTADOS'!$A$1:$R$124,18,0)</f>
        <v>#N/A</v>
      </c>
      <c r="D146" s="57" t="e">
        <f>VLOOKUP(A146,'3.gral'!$A$5:$W$187,23,0)</f>
        <v>#VALUE!</v>
      </c>
      <c r="E146" s="57" t="e">
        <f>VLOOKUP(LEFT(A146,7),'4.Todo'!$B$2:$L$272,11,0)</f>
        <v>#N/A</v>
      </c>
      <c r="F146" s="57" t="e">
        <f>VLOOKUP(A146,'5.AT'!$A$2:$Y$200,25,0)</f>
        <v>#N/A</v>
      </c>
      <c r="G146" s="57" t="e">
        <f t="shared" si="2"/>
        <v>#VALUE!</v>
      </c>
    </row>
    <row r="147" spans="2:7" x14ac:dyDescent="0.25">
      <c r="B147" s="57" t="e">
        <f>VLOOKUP(A147,'1.CALIF'!$A$8:$N$400,14,0)</f>
        <v>#VALUE!</v>
      </c>
      <c r="C147" s="57" t="e">
        <f>VLOOKUP(A147,'2.RESULTADOS'!$A$1:$R$124,18,0)</f>
        <v>#N/A</v>
      </c>
      <c r="D147" s="57" t="e">
        <f>VLOOKUP(A147,'3.gral'!$A$5:$W$187,23,0)</f>
        <v>#VALUE!</v>
      </c>
      <c r="E147" s="57" t="e">
        <f>VLOOKUP(LEFT(A147,7),'4.Todo'!$B$2:$L$272,11,0)</f>
        <v>#N/A</v>
      </c>
      <c r="F147" s="57" t="e">
        <f>VLOOKUP(A147,'5.AT'!$A$2:$Y$200,25,0)</f>
        <v>#N/A</v>
      </c>
      <c r="G147" s="57" t="e">
        <f t="shared" si="2"/>
        <v>#VALUE!</v>
      </c>
    </row>
    <row r="148" spans="2:7" x14ac:dyDescent="0.25">
      <c r="B148" s="57" t="e">
        <f>VLOOKUP(A148,'1.CALIF'!$A$8:$N$400,14,0)</f>
        <v>#VALUE!</v>
      </c>
      <c r="C148" s="57" t="e">
        <f>VLOOKUP(A148,'2.RESULTADOS'!$A$1:$R$124,18,0)</f>
        <v>#N/A</v>
      </c>
      <c r="D148" s="57" t="e">
        <f>VLOOKUP(A148,'3.gral'!$A$5:$W$187,23,0)</f>
        <v>#VALUE!</v>
      </c>
      <c r="E148" s="57" t="e">
        <f>VLOOKUP(LEFT(A148,7),'4.Todo'!$B$2:$L$272,11,0)</f>
        <v>#N/A</v>
      </c>
      <c r="F148" s="57" t="e">
        <f>VLOOKUP(A148,'5.AT'!$A$2:$Y$200,25,0)</f>
        <v>#N/A</v>
      </c>
      <c r="G148" s="57" t="e">
        <f t="shared" si="2"/>
        <v>#VALUE!</v>
      </c>
    </row>
    <row r="149" spans="2:7" x14ac:dyDescent="0.25">
      <c r="B149" s="57" t="e">
        <f>VLOOKUP(A149,'1.CALIF'!$A$8:$N$400,14,0)</f>
        <v>#VALUE!</v>
      </c>
      <c r="C149" s="57" t="e">
        <f>VLOOKUP(A149,'2.RESULTADOS'!$A$1:$R$124,18,0)</f>
        <v>#N/A</v>
      </c>
      <c r="D149" s="57" t="e">
        <f>VLOOKUP(A149,'3.gral'!$A$5:$W$187,23,0)</f>
        <v>#VALUE!</v>
      </c>
      <c r="E149" s="57" t="e">
        <f>VLOOKUP(LEFT(A149,7),'4.Todo'!$B$2:$L$272,11,0)</f>
        <v>#N/A</v>
      </c>
      <c r="F149" s="57" t="e">
        <f>VLOOKUP(A149,'5.AT'!$A$2:$Y$200,25,0)</f>
        <v>#N/A</v>
      </c>
      <c r="G149" s="57" t="e">
        <f t="shared" si="2"/>
        <v>#VALUE!</v>
      </c>
    </row>
    <row r="150" spans="2:7" x14ac:dyDescent="0.25">
      <c r="B150" s="57" t="e">
        <f>VLOOKUP(A150,'1.CALIF'!$A$8:$N$400,14,0)</f>
        <v>#VALUE!</v>
      </c>
      <c r="C150" s="57" t="e">
        <f>VLOOKUP(A150,'2.RESULTADOS'!$A$1:$R$124,18,0)</f>
        <v>#N/A</v>
      </c>
      <c r="D150" s="57" t="e">
        <f>VLOOKUP(A150,'3.gral'!$A$5:$W$187,23,0)</f>
        <v>#VALUE!</v>
      </c>
      <c r="E150" s="57" t="e">
        <f>VLOOKUP(LEFT(A150,7),'4.Todo'!$B$2:$L$272,11,0)</f>
        <v>#N/A</v>
      </c>
      <c r="F150" s="57" t="e">
        <f>VLOOKUP(A150,'5.AT'!$A$2:$Y$200,25,0)</f>
        <v>#N/A</v>
      </c>
      <c r="G150" s="57" t="e">
        <f t="shared" si="2"/>
        <v>#VALUE!</v>
      </c>
    </row>
    <row r="151" spans="2:7" x14ac:dyDescent="0.25">
      <c r="B151" s="57" t="e">
        <f>VLOOKUP(A151,'1.CALIF'!$A$8:$N$400,14,0)</f>
        <v>#VALUE!</v>
      </c>
      <c r="C151" s="57" t="e">
        <f>VLOOKUP(A151,'2.RESULTADOS'!$A$1:$R$124,18,0)</f>
        <v>#N/A</v>
      </c>
      <c r="D151" s="57" t="e">
        <f>VLOOKUP(A151,'3.gral'!$A$5:$W$187,23,0)</f>
        <v>#VALUE!</v>
      </c>
      <c r="E151" s="57" t="e">
        <f>VLOOKUP(LEFT(A151,7),'4.Todo'!$B$2:$L$272,11,0)</f>
        <v>#N/A</v>
      </c>
      <c r="F151" s="57" t="e">
        <f>VLOOKUP(A151,'5.AT'!$A$2:$Y$200,25,0)</f>
        <v>#N/A</v>
      </c>
      <c r="G151" s="57" t="e">
        <f t="shared" si="2"/>
        <v>#VALUE!</v>
      </c>
    </row>
    <row r="152" spans="2:7" x14ac:dyDescent="0.25">
      <c r="B152" s="57" t="e">
        <f>VLOOKUP(A152,'1.CALIF'!$A$8:$N$400,14,0)</f>
        <v>#VALUE!</v>
      </c>
      <c r="C152" s="57" t="e">
        <f>VLOOKUP(A152,'2.RESULTADOS'!$A$1:$R$124,18,0)</f>
        <v>#N/A</v>
      </c>
      <c r="D152" s="57" t="e">
        <f>VLOOKUP(A152,'3.gral'!$A$5:$W$187,23,0)</f>
        <v>#VALUE!</v>
      </c>
      <c r="E152" s="57" t="e">
        <f>VLOOKUP(LEFT(A152,7),'4.Todo'!$B$2:$L$272,11,0)</f>
        <v>#N/A</v>
      </c>
      <c r="F152" s="57" t="e">
        <f>VLOOKUP(A152,'5.AT'!$A$2:$Y$200,25,0)</f>
        <v>#N/A</v>
      </c>
      <c r="G152" s="57" t="e">
        <f t="shared" si="2"/>
        <v>#VALUE!</v>
      </c>
    </row>
    <row r="153" spans="2:7" x14ac:dyDescent="0.25">
      <c r="B153" s="57" t="e">
        <f>VLOOKUP(A153,'1.CALIF'!$A$8:$N$400,14,0)</f>
        <v>#VALUE!</v>
      </c>
      <c r="C153" s="57" t="e">
        <f>VLOOKUP(A153,'2.RESULTADOS'!$A$1:$R$124,18,0)</f>
        <v>#N/A</v>
      </c>
      <c r="D153" s="57" t="e">
        <f>VLOOKUP(A153,'3.gral'!$A$5:$W$187,23,0)</f>
        <v>#VALUE!</v>
      </c>
      <c r="E153" s="57" t="e">
        <f>VLOOKUP(LEFT(A153,7),'4.Todo'!$B$2:$L$272,11,0)</f>
        <v>#N/A</v>
      </c>
      <c r="F153" s="57" t="e">
        <f>VLOOKUP(A153,'5.AT'!$A$2:$Y$200,25,0)</f>
        <v>#N/A</v>
      </c>
      <c r="G153" s="57" t="e">
        <f t="shared" si="2"/>
        <v>#VALUE!</v>
      </c>
    </row>
    <row r="154" spans="2:7" x14ac:dyDescent="0.25">
      <c r="B154" s="57" t="e">
        <f>VLOOKUP(A154,'1.CALIF'!$A$8:$N$400,14,0)</f>
        <v>#VALUE!</v>
      </c>
      <c r="C154" s="57" t="e">
        <f>VLOOKUP(A154,'2.RESULTADOS'!$A$1:$R$124,18,0)</f>
        <v>#N/A</v>
      </c>
      <c r="D154" s="57" t="e">
        <f>VLOOKUP(A154,'3.gral'!$A$5:$W$187,23,0)</f>
        <v>#VALUE!</v>
      </c>
      <c r="E154" s="57" t="e">
        <f>VLOOKUP(LEFT(A154,7),'4.Todo'!$B$2:$L$272,11,0)</f>
        <v>#N/A</v>
      </c>
      <c r="F154" s="57" t="e">
        <f>VLOOKUP(A154,'5.AT'!$A$2:$Y$200,25,0)</f>
        <v>#N/A</v>
      </c>
      <c r="G154" s="57" t="e">
        <f t="shared" si="2"/>
        <v>#VALUE!</v>
      </c>
    </row>
    <row r="155" spans="2:7" x14ac:dyDescent="0.25">
      <c r="B155" s="57" t="e">
        <f>VLOOKUP(A155,'1.CALIF'!$A$8:$N$400,14,0)</f>
        <v>#VALUE!</v>
      </c>
      <c r="C155" s="57" t="e">
        <f>VLOOKUP(A155,'2.RESULTADOS'!$A$1:$R$124,18,0)</f>
        <v>#N/A</v>
      </c>
      <c r="D155" s="57" t="e">
        <f>VLOOKUP(A155,'3.gral'!$A$5:$W$187,23,0)</f>
        <v>#VALUE!</v>
      </c>
      <c r="E155" s="57" t="e">
        <f>VLOOKUP(LEFT(A155,7),'4.Todo'!$B$2:$L$272,11,0)</f>
        <v>#N/A</v>
      </c>
      <c r="F155" s="57" t="e">
        <f>VLOOKUP(A155,'5.AT'!$A$2:$Y$200,25,0)</f>
        <v>#N/A</v>
      </c>
      <c r="G155" s="57" t="e">
        <f t="shared" si="2"/>
        <v>#VALUE!</v>
      </c>
    </row>
    <row r="156" spans="2:7" x14ac:dyDescent="0.25">
      <c r="B156" s="57" t="e">
        <f>VLOOKUP(A156,'1.CALIF'!$A$8:$N$400,14,0)</f>
        <v>#VALUE!</v>
      </c>
      <c r="C156" s="57" t="e">
        <f>VLOOKUP(A156,'2.RESULTADOS'!$A$1:$R$124,18,0)</f>
        <v>#N/A</v>
      </c>
      <c r="D156" s="57" t="e">
        <f>VLOOKUP(A156,'3.gral'!$A$5:$W$187,23,0)</f>
        <v>#VALUE!</v>
      </c>
      <c r="E156" s="57" t="e">
        <f>VLOOKUP(LEFT(A156,7),'4.Todo'!$B$2:$L$272,11,0)</f>
        <v>#N/A</v>
      </c>
      <c r="F156" s="57" t="e">
        <f>VLOOKUP(A156,'5.AT'!$A$2:$Y$200,25,0)</f>
        <v>#N/A</v>
      </c>
      <c r="G156" s="57" t="e">
        <f t="shared" si="2"/>
        <v>#VALUE!</v>
      </c>
    </row>
    <row r="157" spans="2:7" x14ac:dyDescent="0.25">
      <c r="B157" s="57" t="e">
        <f>VLOOKUP(A157,'1.CALIF'!$A$8:$N$400,14,0)</f>
        <v>#VALUE!</v>
      </c>
      <c r="C157" s="57" t="e">
        <f>VLOOKUP(A157,'2.RESULTADOS'!$A$1:$R$124,18,0)</f>
        <v>#N/A</v>
      </c>
      <c r="D157" s="57" t="e">
        <f>VLOOKUP(A157,'3.gral'!$A$5:$W$187,23,0)</f>
        <v>#VALUE!</v>
      </c>
      <c r="E157" s="57" t="e">
        <f>VLOOKUP(LEFT(A157,7),'4.Todo'!$B$2:$L$272,11,0)</f>
        <v>#N/A</v>
      </c>
      <c r="F157" s="57" t="e">
        <f>VLOOKUP(A157,'5.AT'!$A$2:$Y$200,25,0)</f>
        <v>#N/A</v>
      </c>
      <c r="G157" s="57" t="e">
        <f t="shared" si="2"/>
        <v>#VALUE!</v>
      </c>
    </row>
    <row r="158" spans="2:7" x14ac:dyDescent="0.25">
      <c r="B158" s="57" t="e">
        <f>VLOOKUP(A158,'1.CALIF'!$A$8:$N$400,14,0)</f>
        <v>#VALUE!</v>
      </c>
      <c r="C158" s="57" t="e">
        <f>VLOOKUP(A158,'2.RESULTADOS'!$A$1:$R$124,18,0)</f>
        <v>#N/A</v>
      </c>
      <c r="D158" s="57" t="e">
        <f>VLOOKUP(A158,'3.gral'!$A$5:$W$187,23,0)</f>
        <v>#VALUE!</v>
      </c>
      <c r="E158" s="57" t="e">
        <f>VLOOKUP(LEFT(A158,7),'4.Todo'!$B$2:$L$272,11,0)</f>
        <v>#N/A</v>
      </c>
      <c r="F158" s="57" t="e">
        <f>VLOOKUP(A158,'5.AT'!$A$2:$Y$200,25,0)</f>
        <v>#N/A</v>
      </c>
      <c r="G158" s="57" t="e">
        <f t="shared" si="2"/>
        <v>#VALUE!</v>
      </c>
    </row>
    <row r="159" spans="2:7" x14ac:dyDescent="0.25">
      <c r="B159" s="57" t="e">
        <f>VLOOKUP(A159,'1.CALIF'!$A$8:$N$400,14,0)</f>
        <v>#VALUE!</v>
      </c>
      <c r="C159" s="57" t="e">
        <f>VLOOKUP(A159,'2.RESULTADOS'!$A$1:$R$124,18,0)</f>
        <v>#N/A</v>
      </c>
      <c r="D159" s="57" t="e">
        <f>VLOOKUP(A159,'3.gral'!$A$5:$W$187,23,0)</f>
        <v>#VALUE!</v>
      </c>
      <c r="E159" s="57" t="e">
        <f>VLOOKUP(LEFT(A159,7),'4.Todo'!$B$2:$L$272,11,0)</f>
        <v>#N/A</v>
      </c>
      <c r="F159" s="57" t="e">
        <f>VLOOKUP(A159,'5.AT'!$A$2:$Y$200,25,0)</f>
        <v>#N/A</v>
      </c>
      <c r="G159" s="57" t="e">
        <f t="shared" si="2"/>
        <v>#VALUE!</v>
      </c>
    </row>
    <row r="160" spans="2:7" x14ac:dyDescent="0.25">
      <c r="B160" s="57" t="e">
        <f>VLOOKUP(A160,'1.CALIF'!$A$8:$N$400,14,0)</f>
        <v>#VALUE!</v>
      </c>
      <c r="C160" s="57" t="e">
        <f>VLOOKUP(A160,'2.RESULTADOS'!$A$1:$R$124,18,0)</f>
        <v>#N/A</v>
      </c>
      <c r="D160" s="57" t="e">
        <f>VLOOKUP(A160,'3.gral'!$A$5:$W$187,23,0)</f>
        <v>#VALUE!</v>
      </c>
      <c r="E160" s="57" t="e">
        <f>VLOOKUP(LEFT(A160,7),'4.Todo'!$B$2:$L$272,11,0)</f>
        <v>#N/A</v>
      </c>
      <c r="F160" s="57" t="e">
        <f>VLOOKUP(A160,'5.AT'!$A$2:$Y$200,25,0)</f>
        <v>#N/A</v>
      </c>
      <c r="G160" s="57" t="e">
        <f t="shared" si="2"/>
        <v>#VALUE!</v>
      </c>
    </row>
    <row r="161" spans="2:7" x14ac:dyDescent="0.25">
      <c r="B161" s="57" t="e">
        <f>VLOOKUP(A161,'1.CALIF'!$A$8:$N$400,14,0)</f>
        <v>#VALUE!</v>
      </c>
      <c r="C161" s="57" t="e">
        <f>VLOOKUP(A161,'2.RESULTADOS'!$A$1:$R$124,18,0)</f>
        <v>#N/A</v>
      </c>
      <c r="D161" s="57" t="e">
        <f>VLOOKUP(A161,'3.gral'!$A$5:$W$187,23,0)</f>
        <v>#VALUE!</v>
      </c>
      <c r="E161" s="57" t="e">
        <f>VLOOKUP(LEFT(A161,7),'4.Todo'!$B$2:$L$272,11,0)</f>
        <v>#N/A</v>
      </c>
      <c r="F161" s="57" t="e">
        <f>VLOOKUP(A161,'5.AT'!$A$2:$Y$200,25,0)</f>
        <v>#N/A</v>
      </c>
      <c r="G161" s="57" t="e">
        <f t="shared" si="2"/>
        <v>#VALUE!</v>
      </c>
    </row>
    <row r="162" spans="2:7" x14ac:dyDescent="0.25">
      <c r="B162" s="57" t="e">
        <f>VLOOKUP(A162,'1.CALIF'!$A$8:$N$400,14,0)</f>
        <v>#VALUE!</v>
      </c>
      <c r="C162" s="57" t="e">
        <f>VLOOKUP(A162,'2.RESULTADOS'!$A$1:$R$124,18,0)</f>
        <v>#N/A</v>
      </c>
      <c r="D162" s="57" t="e">
        <f>VLOOKUP(A162,'3.gral'!$A$5:$W$187,23,0)</f>
        <v>#VALUE!</v>
      </c>
      <c r="E162" s="57" t="e">
        <f>VLOOKUP(LEFT(A162,7),'4.Todo'!$B$2:$L$272,11,0)</f>
        <v>#N/A</v>
      </c>
      <c r="F162" s="57" t="e">
        <f>VLOOKUP(A162,'5.AT'!$A$2:$Y$200,25,0)</f>
        <v>#N/A</v>
      </c>
      <c r="G162" s="57" t="e">
        <f t="shared" si="2"/>
        <v>#VALUE!</v>
      </c>
    </row>
    <row r="163" spans="2:7" x14ac:dyDescent="0.25">
      <c r="B163" s="57" t="e">
        <f>VLOOKUP(A163,'1.CALIF'!$A$8:$N$400,14,0)</f>
        <v>#VALUE!</v>
      </c>
      <c r="C163" s="57" t="e">
        <f>VLOOKUP(A163,'2.RESULTADOS'!$A$1:$R$124,18,0)</f>
        <v>#N/A</v>
      </c>
      <c r="D163" s="57" t="e">
        <f>VLOOKUP(A163,'3.gral'!$A$5:$W$187,23,0)</f>
        <v>#VALUE!</v>
      </c>
      <c r="E163" s="57" t="e">
        <f>VLOOKUP(LEFT(A163,7),'4.Todo'!$B$2:$L$272,11,0)</f>
        <v>#N/A</v>
      </c>
      <c r="F163" s="57" t="e">
        <f>VLOOKUP(A163,'5.AT'!$A$2:$Y$200,25,0)</f>
        <v>#N/A</v>
      </c>
      <c r="G163" s="57" t="e">
        <f t="shared" si="2"/>
        <v>#VALUE!</v>
      </c>
    </row>
    <row r="164" spans="2:7" x14ac:dyDescent="0.25">
      <c r="B164" s="57" t="e">
        <f>VLOOKUP(A164,'1.CALIF'!$A$8:$N$400,14,0)</f>
        <v>#VALUE!</v>
      </c>
      <c r="C164" s="57" t="e">
        <f>VLOOKUP(A164,'2.RESULTADOS'!$A$1:$R$124,18,0)</f>
        <v>#N/A</v>
      </c>
      <c r="D164" s="57" t="e">
        <f>VLOOKUP(A164,'3.gral'!$A$5:$W$187,23,0)</f>
        <v>#VALUE!</v>
      </c>
      <c r="E164" s="57" t="e">
        <f>VLOOKUP(LEFT(A164,7),'4.Todo'!$B$2:$L$272,11,0)</f>
        <v>#N/A</v>
      </c>
      <c r="F164" s="57" t="e">
        <f>VLOOKUP(A164,'5.AT'!$A$2:$Y$200,25,0)</f>
        <v>#N/A</v>
      </c>
      <c r="G164" s="57" t="e">
        <f t="shared" si="2"/>
        <v>#VALUE!</v>
      </c>
    </row>
    <row r="165" spans="2:7" x14ac:dyDescent="0.25">
      <c r="B165" s="57" t="e">
        <f>VLOOKUP(A165,'1.CALIF'!$A$8:$N$400,14,0)</f>
        <v>#VALUE!</v>
      </c>
      <c r="C165" s="57" t="e">
        <f>VLOOKUP(A165,'2.RESULTADOS'!$A$1:$R$124,18,0)</f>
        <v>#N/A</v>
      </c>
      <c r="D165" s="57" t="e">
        <f>VLOOKUP(A165,'3.gral'!$A$5:$W$187,23,0)</f>
        <v>#VALUE!</v>
      </c>
      <c r="E165" s="57" t="e">
        <f>VLOOKUP(LEFT(A165,7),'4.Todo'!$B$2:$L$272,11,0)</f>
        <v>#N/A</v>
      </c>
      <c r="F165" s="57" t="e">
        <f>VLOOKUP(A165,'5.AT'!$A$2:$Y$200,25,0)</f>
        <v>#N/A</v>
      </c>
      <c r="G165" s="57" t="e">
        <f t="shared" si="2"/>
        <v>#VALUE!</v>
      </c>
    </row>
    <row r="166" spans="2:7" x14ac:dyDescent="0.25">
      <c r="B166" s="57" t="e">
        <f>VLOOKUP(A166,'1.CALIF'!$A$8:$N$400,14,0)</f>
        <v>#VALUE!</v>
      </c>
      <c r="C166" s="57" t="e">
        <f>VLOOKUP(A166,'2.RESULTADOS'!$A$1:$R$124,18,0)</f>
        <v>#N/A</v>
      </c>
      <c r="D166" s="57" t="e">
        <f>VLOOKUP(A166,'3.gral'!$A$5:$W$187,23,0)</f>
        <v>#VALUE!</v>
      </c>
      <c r="E166" s="57" t="e">
        <f>VLOOKUP(LEFT(A166,7),'4.Todo'!$B$2:$L$272,11,0)</f>
        <v>#N/A</v>
      </c>
      <c r="F166" s="57" t="e">
        <f>VLOOKUP(A166,'5.AT'!$A$2:$Y$200,25,0)</f>
        <v>#N/A</v>
      </c>
      <c r="G166" s="57" t="e">
        <f t="shared" si="2"/>
        <v>#VALUE!</v>
      </c>
    </row>
    <row r="167" spans="2:7" x14ac:dyDescent="0.25">
      <c r="B167" s="57" t="e">
        <f>VLOOKUP(A167,'1.CALIF'!$A$8:$N$400,14,0)</f>
        <v>#VALUE!</v>
      </c>
      <c r="C167" s="57" t="e">
        <f>VLOOKUP(A167,'2.RESULTADOS'!$A$1:$R$124,18,0)</f>
        <v>#N/A</v>
      </c>
      <c r="D167" s="57" t="e">
        <f>VLOOKUP(A167,'3.gral'!$A$5:$W$187,23,0)</f>
        <v>#VALUE!</v>
      </c>
      <c r="E167" s="57" t="e">
        <f>VLOOKUP(LEFT(A167,7),'4.Todo'!$B$2:$L$272,11,0)</f>
        <v>#N/A</v>
      </c>
      <c r="F167" s="57" t="e">
        <f>VLOOKUP(A167,'5.AT'!$A$2:$Y$200,25,0)</f>
        <v>#N/A</v>
      </c>
      <c r="G167" s="57" t="e">
        <f t="shared" si="2"/>
        <v>#VALUE!</v>
      </c>
    </row>
    <row r="168" spans="2:7" x14ac:dyDescent="0.25">
      <c r="B168" s="57" t="e">
        <f>VLOOKUP(A168,'1.CALIF'!$A$8:$N$400,14,0)</f>
        <v>#VALUE!</v>
      </c>
      <c r="C168" s="57" t="e">
        <f>VLOOKUP(A168,'2.RESULTADOS'!$A$1:$R$124,18,0)</f>
        <v>#N/A</v>
      </c>
      <c r="D168" s="57" t="e">
        <f>VLOOKUP(A168,'3.gral'!$A$5:$W$187,23,0)</f>
        <v>#VALUE!</v>
      </c>
      <c r="E168" s="57" t="e">
        <f>VLOOKUP(LEFT(A168,7),'4.Todo'!$B$2:$L$272,11,0)</f>
        <v>#N/A</v>
      </c>
      <c r="F168" s="57" t="e">
        <f>VLOOKUP(A168,'5.AT'!$A$2:$Y$200,25,0)</f>
        <v>#N/A</v>
      </c>
      <c r="G168" s="57" t="e">
        <f t="shared" si="2"/>
        <v>#VALUE!</v>
      </c>
    </row>
    <row r="169" spans="2:7" x14ac:dyDescent="0.25">
      <c r="B169" s="57" t="e">
        <f>VLOOKUP(A169,'1.CALIF'!$A$8:$N$400,14,0)</f>
        <v>#VALUE!</v>
      </c>
      <c r="C169" s="57" t="e">
        <f>VLOOKUP(A169,'2.RESULTADOS'!$A$1:$R$124,18,0)</f>
        <v>#N/A</v>
      </c>
      <c r="D169" s="57" t="e">
        <f>VLOOKUP(A169,'3.gral'!$A$5:$W$187,23,0)</f>
        <v>#VALUE!</v>
      </c>
      <c r="E169" s="57" t="e">
        <f>VLOOKUP(LEFT(A169,7),'4.Todo'!$B$2:$L$272,11,0)</f>
        <v>#N/A</v>
      </c>
      <c r="F169" s="57" t="e">
        <f>VLOOKUP(A169,'5.AT'!$A$2:$Y$200,25,0)</f>
        <v>#N/A</v>
      </c>
      <c r="G169" s="57" t="e">
        <f t="shared" si="2"/>
        <v>#VALUE!</v>
      </c>
    </row>
    <row r="170" spans="2:7" x14ac:dyDescent="0.25">
      <c r="B170" s="57" t="e">
        <f>VLOOKUP(A170,'1.CALIF'!$A$8:$N$400,14,0)</f>
        <v>#VALUE!</v>
      </c>
      <c r="C170" s="57" t="e">
        <f>VLOOKUP(A170,'2.RESULTADOS'!$A$1:$R$124,18,0)</f>
        <v>#N/A</v>
      </c>
      <c r="D170" s="57" t="e">
        <f>VLOOKUP(A170,'3.gral'!$A$5:$W$187,23,0)</f>
        <v>#VALUE!</v>
      </c>
      <c r="E170" s="57" t="e">
        <f>VLOOKUP(LEFT(A170,7),'4.Todo'!$B$2:$L$272,11,0)</f>
        <v>#N/A</v>
      </c>
      <c r="F170" s="57" t="e">
        <f>VLOOKUP(A170,'5.AT'!$A$2:$Y$200,25,0)</f>
        <v>#N/A</v>
      </c>
      <c r="G170" s="57" t="e">
        <f t="shared" si="2"/>
        <v>#VALUE!</v>
      </c>
    </row>
    <row r="171" spans="2:7" x14ac:dyDescent="0.25">
      <c r="B171" s="57" t="e">
        <f>VLOOKUP(A171,'1.CALIF'!$A$8:$N$400,14,0)</f>
        <v>#VALUE!</v>
      </c>
      <c r="C171" s="57" t="e">
        <f>VLOOKUP(A171,'2.RESULTADOS'!$A$1:$R$124,18,0)</f>
        <v>#N/A</v>
      </c>
      <c r="D171" s="57" t="e">
        <f>VLOOKUP(A171,'3.gral'!$A$5:$W$187,23,0)</f>
        <v>#VALUE!</v>
      </c>
      <c r="E171" s="57" t="e">
        <f>VLOOKUP(LEFT(A171,7),'4.Todo'!$B$2:$L$272,11,0)</f>
        <v>#N/A</v>
      </c>
      <c r="F171" s="57" t="e">
        <f>VLOOKUP(A171,'5.AT'!$A$2:$Y$200,25,0)</f>
        <v>#N/A</v>
      </c>
      <c r="G171" s="57" t="e">
        <f t="shared" si="2"/>
        <v>#VALUE!</v>
      </c>
    </row>
    <row r="172" spans="2:7" x14ac:dyDescent="0.25">
      <c r="B172" s="57" t="e">
        <f>VLOOKUP(A172,'1.CALIF'!$A$8:$N$400,14,0)</f>
        <v>#VALUE!</v>
      </c>
      <c r="C172" s="57" t="e">
        <f>VLOOKUP(A172,'2.RESULTADOS'!$A$1:$R$124,18,0)</f>
        <v>#N/A</v>
      </c>
      <c r="D172" s="57" t="e">
        <f>VLOOKUP(A172,'3.gral'!$A$5:$W$187,23,0)</f>
        <v>#VALUE!</v>
      </c>
      <c r="E172" s="57" t="e">
        <f>VLOOKUP(LEFT(A172,7),'4.Todo'!$B$2:$L$272,11,0)</f>
        <v>#N/A</v>
      </c>
      <c r="F172" s="57" t="e">
        <f>VLOOKUP(A172,'5.AT'!$A$2:$Y$200,25,0)</f>
        <v>#N/A</v>
      </c>
      <c r="G172" s="57" t="e">
        <f t="shared" si="2"/>
        <v>#VALUE!</v>
      </c>
    </row>
    <row r="173" spans="2:7" x14ac:dyDescent="0.25">
      <c r="B173" s="57" t="e">
        <f>VLOOKUP(A173,'1.CALIF'!$A$8:$N$400,14,0)</f>
        <v>#VALUE!</v>
      </c>
      <c r="C173" s="57" t="e">
        <f>VLOOKUP(A173,'2.RESULTADOS'!$A$1:$R$124,18,0)</f>
        <v>#N/A</v>
      </c>
      <c r="D173" s="57" t="e">
        <f>VLOOKUP(A173,'3.gral'!$A$5:$W$187,23,0)</f>
        <v>#VALUE!</v>
      </c>
      <c r="E173" s="57" t="e">
        <f>VLOOKUP(LEFT(A173,7),'4.Todo'!$B$2:$L$272,11,0)</f>
        <v>#N/A</v>
      </c>
      <c r="F173" s="57" t="e">
        <f>VLOOKUP(A173,'5.AT'!$A$2:$Y$200,25,0)</f>
        <v>#N/A</v>
      </c>
      <c r="G173" s="57" t="e">
        <f t="shared" si="2"/>
        <v>#VALUE!</v>
      </c>
    </row>
    <row r="174" spans="2:7" x14ac:dyDescent="0.25">
      <c r="B174" s="57" t="e">
        <f>VLOOKUP(A174,'1.CALIF'!$A$8:$N$400,14,0)</f>
        <v>#VALUE!</v>
      </c>
      <c r="C174" s="57" t="e">
        <f>VLOOKUP(A174,'2.RESULTADOS'!$A$1:$R$124,18,0)</f>
        <v>#N/A</v>
      </c>
      <c r="D174" s="57" t="e">
        <f>VLOOKUP(A174,'3.gral'!$A$5:$W$187,23,0)</f>
        <v>#VALUE!</v>
      </c>
      <c r="E174" s="57" t="e">
        <f>VLOOKUP(LEFT(A174,7),'4.Todo'!$B$2:$L$272,11,0)</f>
        <v>#N/A</v>
      </c>
      <c r="F174" s="57" t="e">
        <f>VLOOKUP(A174,'5.AT'!$A$2:$Y$200,25,0)</f>
        <v>#N/A</v>
      </c>
      <c r="G174" s="57" t="e">
        <f t="shared" si="2"/>
        <v>#VALUE!</v>
      </c>
    </row>
    <row r="175" spans="2:7" x14ac:dyDescent="0.25">
      <c r="B175" s="57" t="e">
        <f>VLOOKUP(A175,'1.CALIF'!$A$8:$N$400,14,0)</f>
        <v>#VALUE!</v>
      </c>
      <c r="C175" s="57" t="e">
        <f>VLOOKUP(A175,'2.RESULTADOS'!$A$1:$R$124,18,0)</f>
        <v>#N/A</v>
      </c>
      <c r="D175" s="57" t="e">
        <f>VLOOKUP(A175,'3.gral'!$A$5:$W$187,23,0)</f>
        <v>#VALUE!</v>
      </c>
      <c r="E175" s="57" t="e">
        <f>VLOOKUP(LEFT(A175,7),'4.Todo'!$B$2:$L$272,11,0)</f>
        <v>#N/A</v>
      </c>
      <c r="F175" s="57" t="e">
        <f>VLOOKUP(A175,'5.AT'!$A$2:$Y$200,25,0)</f>
        <v>#N/A</v>
      </c>
      <c r="G175" s="57" t="e">
        <f t="shared" si="2"/>
        <v>#VALUE!</v>
      </c>
    </row>
    <row r="176" spans="2:7" x14ac:dyDescent="0.25">
      <c r="B176" s="57" t="e">
        <f>VLOOKUP(A176,'1.CALIF'!$A$8:$N$400,14,0)</f>
        <v>#VALUE!</v>
      </c>
      <c r="C176" s="57" t="e">
        <f>VLOOKUP(A176,'2.RESULTADOS'!$A$1:$R$124,18,0)</f>
        <v>#N/A</v>
      </c>
      <c r="D176" s="57" t="e">
        <f>VLOOKUP(A176,'3.gral'!$A$5:$W$187,23,0)</f>
        <v>#VALUE!</v>
      </c>
      <c r="E176" s="57" t="e">
        <f>VLOOKUP(LEFT(A176,7),'4.Todo'!$B$2:$L$272,11,0)</f>
        <v>#N/A</v>
      </c>
      <c r="F176" s="57" t="e">
        <f>VLOOKUP(A176,'5.AT'!$A$2:$Y$200,25,0)</f>
        <v>#N/A</v>
      </c>
      <c r="G176" s="57" t="e">
        <f t="shared" si="2"/>
        <v>#VALUE!</v>
      </c>
    </row>
    <row r="177" spans="2:7" x14ac:dyDescent="0.25">
      <c r="B177" s="57" t="e">
        <f>VLOOKUP(A177,'1.CALIF'!$A$8:$N$400,14,0)</f>
        <v>#VALUE!</v>
      </c>
      <c r="C177" s="57" t="e">
        <f>VLOOKUP(A177,'2.RESULTADOS'!$A$1:$R$124,18,0)</f>
        <v>#N/A</v>
      </c>
      <c r="D177" s="57" t="e">
        <f>VLOOKUP(A177,'3.gral'!$A$5:$W$187,23,0)</f>
        <v>#VALUE!</v>
      </c>
      <c r="E177" s="57" t="e">
        <f>VLOOKUP(LEFT(A177,7),'4.Todo'!$B$2:$L$272,11,0)</f>
        <v>#N/A</v>
      </c>
      <c r="F177" s="57" t="e">
        <f>VLOOKUP(A177,'5.AT'!$A$2:$Y$200,25,0)</f>
        <v>#N/A</v>
      </c>
      <c r="G177" s="57" t="e">
        <f t="shared" si="2"/>
        <v>#VALUE!</v>
      </c>
    </row>
    <row r="178" spans="2:7" x14ac:dyDescent="0.25">
      <c r="B178" s="57" t="e">
        <f>VLOOKUP(A178,'1.CALIF'!$A$8:$N$400,14,0)</f>
        <v>#VALUE!</v>
      </c>
      <c r="C178" s="57" t="e">
        <f>VLOOKUP(A178,'2.RESULTADOS'!$A$1:$R$124,18,0)</f>
        <v>#N/A</v>
      </c>
      <c r="D178" s="57" t="e">
        <f>VLOOKUP(A178,'3.gral'!$A$5:$W$187,23,0)</f>
        <v>#VALUE!</v>
      </c>
      <c r="E178" s="57" t="e">
        <f>VLOOKUP(LEFT(A178,7),'4.Todo'!$B$2:$L$272,11,0)</f>
        <v>#N/A</v>
      </c>
      <c r="F178" s="57" t="e">
        <f>VLOOKUP(A178,'5.AT'!$A$2:$Y$200,25,0)</f>
        <v>#N/A</v>
      </c>
      <c r="G178" s="57" t="e">
        <f t="shared" si="2"/>
        <v>#VALUE!</v>
      </c>
    </row>
    <row r="179" spans="2:7" x14ac:dyDescent="0.25">
      <c r="B179" s="57" t="e">
        <f>VLOOKUP(A179,'1.CALIF'!$A$8:$N$400,14,0)</f>
        <v>#VALUE!</v>
      </c>
      <c r="C179" s="57" t="e">
        <f>VLOOKUP(A179,'2.RESULTADOS'!$A$1:$R$124,18,0)</f>
        <v>#N/A</v>
      </c>
      <c r="D179" s="57" t="e">
        <f>VLOOKUP(A179,'3.gral'!$A$5:$W$187,23,0)</f>
        <v>#VALUE!</v>
      </c>
      <c r="E179" s="57" t="e">
        <f>VLOOKUP(LEFT(A179,7),'4.Todo'!$B$2:$L$272,11,0)</f>
        <v>#N/A</v>
      </c>
      <c r="F179" s="57" t="e">
        <f>VLOOKUP(A179,'5.AT'!$A$2:$Y$200,25,0)</f>
        <v>#N/A</v>
      </c>
      <c r="G179" s="57" t="e">
        <f t="shared" si="2"/>
        <v>#VALUE!</v>
      </c>
    </row>
    <row r="180" spans="2:7" x14ac:dyDescent="0.25">
      <c r="B180" s="57" t="e">
        <f>VLOOKUP(A180,'1.CALIF'!$A$8:$N$400,14,0)</f>
        <v>#VALUE!</v>
      </c>
      <c r="C180" s="57" t="e">
        <f>VLOOKUP(A180,'2.RESULTADOS'!$A$1:$R$124,18,0)</f>
        <v>#N/A</v>
      </c>
      <c r="D180" s="57" t="e">
        <f>VLOOKUP(A180,'3.gral'!$A$5:$W$187,23,0)</f>
        <v>#VALUE!</v>
      </c>
      <c r="E180" s="57" t="e">
        <f>VLOOKUP(LEFT(A180,7),'4.Todo'!$B$2:$L$272,11,0)</f>
        <v>#N/A</v>
      </c>
      <c r="F180" s="57" t="e">
        <f>VLOOKUP(A180,'5.AT'!$A$2:$Y$200,25,0)</f>
        <v>#N/A</v>
      </c>
      <c r="G180" s="57" t="e">
        <f t="shared" si="2"/>
        <v>#VALUE!</v>
      </c>
    </row>
    <row r="181" spans="2:7" x14ac:dyDescent="0.25">
      <c r="B181" s="57" t="e">
        <f>VLOOKUP(A181,'1.CALIF'!$A$8:$N$400,14,0)</f>
        <v>#VALUE!</v>
      </c>
      <c r="C181" s="57" t="e">
        <f>VLOOKUP(A181,'2.RESULTADOS'!$A$1:$R$124,18,0)</f>
        <v>#N/A</v>
      </c>
      <c r="D181" s="57" t="e">
        <f>VLOOKUP(A181,'3.gral'!$A$5:$W$187,23,0)</f>
        <v>#VALUE!</v>
      </c>
      <c r="E181" s="57" t="e">
        <f>VLOOKUP(LEFT(A181,7),'4.Todo'!$B$2:$L$272,11,0)</f>
        <v>#N/A</v>
      </c>
      <c r="F181" s="57" t="e">
        <f>VLOOKUP(A181,'5.AT'!$A$2:$Y$200,25,0)</f>
        <v>#N/A</v>
      </c>
      <c r="G181" s="57" t="e">
        <f t="shared" si="2"/>
        <v>#VALUE!</v>
      </c>
    </row>
    <row r="182" spans="2:7" x14ac:dyDescent="0.25">
      <c r="B182" s="57" t="e">
        <f>VLOOKUP(A182,'1.CALIF'!$A$8:$N$400,14,0)</f>
        <v>#VALUE!</v>
      </c>
      <c r="C182" s="57" t="e">
        <f>VLOOKUP(A182,'2.RESULTADOS'!$A$1:$R$124,18,0)</f>
        <v>#N/A</v>
      </c>
      <c r="D182" s="57" t="e">
        <f>VLOOKUP(A182,'3.gral'!$A$5:$W$187,23,0)</f>
        <v>#VALUE!</v>
      </c>
      <c r="E182" s="57" t="e">
        <f>VLOOKUP(LEFT(A182,7),'4.Todo'!$B$2:$L$272,11,0)</f>
        <v>#N/A</v>
      </c>
      <c r="F182" s="57" t="e">
        <f>VLOOKUP(A182,'5.AT'!$A$2:$Y$200,25,0)</f>
        <v>#N/A</v>
      </c>
      <c r="G182" s="57" t="e">
        <f t="shared" si="2"/>
        <v>#VALUE!</v>
      </c>
    </row>
    <row r="183" spans="2:7" x14ac:dyDescent="0.25">
      <c r="B183" s="57" t="e">
        <f>VLOOKUP(A183,'1.CALIF'!$A$8:$N$400,14,0)</f>
        <v>#VALUE!</v>
      </c>
      <c r="C183" s="57" t="e">
        <f>VLOOKUP(A183,'2.RESULTADOS'!$A$1:$R$124,18,0)</f>
        <v>#N/A</v>
      </c>
      <c r="D183" s="57" t="e">
        <f>VLOOKUP(A183,'3.gral'!$A$5:$W$187,23,0)</f>
        <v>#VALUE!</v>
      </c>
      <c r="E183" s="57" t="e">
        <f>VLOOKUP(LEFT(A183,7),'4.Todo'!$B$2:$L$272,11,0)</f>
        <v>#N/A</v>
      </c>
      <c r="F183" s="57" t="e">
        <f>VLOOKUP(A183,'5.AT'!$A$2:$Y$200,25,0)</f>
        <v>#N/A</v>
      </c>
      <c r="G183" s="57" t="e">
        <f t="shared" si="2"/>
        <v>#VALUE!</v>
      </c>
    </row>
    <row r="184" spans="2:7" x14ac:dyDescent="0.25">
      <c r="B184" s="57" t="e">
        <f>VLOOKUP(A184,'1.CALIF'!$A$8:$N$400,14,0)</f>
        <v>#VALUE!</v>
      </c>
      <c r="C184" s="57" t="e">
        <f>VLOOKUP(A184,'2.RESULTADOS'!$A$1:$R$124,18,0)</f>
        <v>#N/A</v>
      </c>
      <c r="D184" s="57" t="e">
        <f>VLOOKUP(A184,'3.gral'!$A$5:$W$187,23,0)</f>
        <v>#VALUE!</v>
      </c>
      <c r="E184" s="57" t="e">
        <f>VLOOKUP(LEFT(A184,7),'4.Todo'!$B$2:$L$272,11,0)</f>
        <v>#N/A</v>
      </c>
      <c r="F184" s="57" t="e">
        <f>VLOOKUP(A184,'5.AT'!$A$2:$Y$200,25,0)</f>
        <v>#N/A</v>
      </c>
      <c r="G184" s="57" t="e">
        <f t="shared" si="2"/>
        <v>#VALUE!</v>
      </c>
    </row>
    <row r="185" spans="2:7" x14ac:dyDescent="0.25">
      <c r="B185" s="57" t="e">
        <f>VLOOKUP(A185,'1.CALIF'!$A$8:$N$400,14,0)</f>
        <v>#VALUE!</v>
      </c>
      <c r="C185" s="57" t="e">
        <f>VLOOKUP(A185,'2.RESULTADOS'!$A$1:$R$124,18,0)</f>
        <v>#N/A</v>
      </c>
      <c r="D185" s="57" t="e">
        <f>VLOOKUP(A185,'3.gral'!$A$5:$W$187,23,0)</f>
        <v>#VALUE!</v>
      </c>
      <c r="E185" s="57" t="e">
        <f>VLOOKUP(LEFT(A185,7),'4.Todo'!$B$2:$L$272,11,0)</f>
        <v>#N/A</v>
      </c>
      <c r="F185" s="57" t="e">
        <f>VLOOKUP(A185,'5.AT'!$A$2:$Y$200,25,0)</f>
        <v>#N/A</v>
      </c>
      <c r="G185" s="57" t="e">
        <f t="shared" si="2"/>
        <v>#VALUE!</v>
      </c>
    </row>
    <row r="186" spans="2:7" x14ac:dyDescent="0.25">
      <c r="B186" s="57" t="e">
        <f>VLOOKUP(A186,'1.CALIF'!$A$8:$N$400,14,0)</f>
        <v>#VALUE!</v>
      </c>
      <c r="C186" s="57" t="e">
        <f>VLOOKUP(A186,'2.RESULTADOS'!$A$1:$R$124,18,0)</f>
        <v>#N/A</v>
      </c>
      <c r="D186" s="57" t="e">
        <f>VLOOKUP(A186,'3.gral'!$A$5:$W$187,23,0)</f>
        <v>#VALUE!</v>
      </c>
      <c r="E186" s="57" t="e">
        <f>VLOOKUP(LEFT(A186,7),'4.Todo'!$B$2:$L$272,11,0)</f>
        <v>#N/A</v>
      </c>
      <c r="F186" s="57" t="e">
        <f>VLOOKUP(A186,'5.AT'!$A$2:$Y$200,25,0)</f>
        <v>#N/A</v>
      </c>
      <c r="G186" s="57" t="e">
        <f t="shared" si="2"/>
        <v>#VALUE!</v>
      </c>
    </row>
    <row r="187" spans="2:7" x14ac:dyDescent="0.25">
      <c r="B187" s="57" t="e">
        <f>VLOOKUP(A187,'1.CALIF'!$A$8:$N$400,14,0)</f>
        <v>#VALUE!</v>
      </c>
      <c r="C187" s="57" t="e">
        <f>VLOOKUP(A187,'2.RESULTADOS'!$A$1:$R$124,18,0)</f>
        <v>#N/A</v>
      </c>
      <c r="D187" s="57" t="e">
        <f>VLOOKUP(A187,'3.gral'!$A$5:$W$187,23,0)</f>
        <v>#VALUE!</v>
      </c>
      <c r="E187" s="57" t="e">
        <f>VLOOKUP(LEFT(A187,7),'4.Todo'!$B$2:$L$272,11,0)</f>
        <v>#N/A</v>
      </c>
      <c r="F187" s="57" t="e">
        <f>VLOOKUP(A187,'5.AT'!$A$2:$Y$200,25,0)</f>
        <v>#N/A</v>
      </c>
      <c r="G187" s="57" t="e">
        <f t="shared" si="2"/>
        <v>#VALUE!</v>
      </c>
    </row>
    <row r="188" spans="2:7" x14ac:dyDescent="0.25">
      <c r="B188" s="57" t="e">
        <f>VLOOKUP(A188,'1.CALIF'!$A$8:$N$400,14,0)</f>
        <v>#VALUE!</v>
      </c>
      <c r="C188" s="57" t="e">
        <f>VLOOKUP(A188,'2.RESULTADOS'!$A$1:$R$124,18,0)</f>
        <v>#N/A</v>
      </c>
      <c r="D188" s="57" t="e">
        <f>VLOOKUP(A188,'3.gral'!$A$5:$W$187,23,0)</f>
        <v>#VALUE!</v>
      </c>
      <c r="E188" s="57" t="e">
        <f>VLOOKUP(LEFT(A188,7),'4.Todo'!$B$2:$L$272,11,0)</f>
        <v>#N/A</v>
      </c>
      <c r="F188" s="57" t="e">
        <f>VLOOKUP(A188,'5.AT'!$A$2:$Y$200,25,0)</f>
        <v>#N/A</v>
      </c>
      <c r="G188" s="57" t="e">
        <f t="shared" si="2"/>
        <v>#VALUE!</v>
      </c>
    </row>
    <row r="189" spans="2:7" x14ac:dyDescent="0.25">
      <c r="B189" s="57" t="e">
        <f>VLOOKUP(A189,'1.CALIF'!$A$8:$N$400,14,0)</f>
        <v>#VALUE!</v>
      </c>
      <c r="C189" s="57" t="e">
        <f>VLOOKUP(A189,'2.RESULTADOS'!$A$1:$R$124,18,0)</f>
        <v>#N/A</v>
      </c>
      <c r="D189" s="57" t="e">
        <f>VLOOKUP(A189,'3.gral'!$A$5:$W$187,23,0)</f>
        <v>#VALUE!</v>
      </c>
      <c r="E189" s="57" t="e">
        <f>VLOOKUP(LEFT(A189,7),'4.Todo'!$B$2:$L$272,11,0)</f>
        <v>#N/A</v>
      </c>
      <c r="F189" s="57" t="e">
        <f>VLOOKUP(A189,'5.AT'!$A$2:$Y$200,25,0)</f>
        <v>#N/A</v>
      </c>
      <c r="G189" s="57" t="e">
        <f t="shared" si="2"/>
        <v>#VALUE!</v>
      </c>
    </row>
    <row r="190" spans="2:7" x14ac:dyDescent="0.25">
      <c r="B190" s="57" t="e">
        <f>VLOOKUP(A190,'1.CALIF'!$A$8:$N$400,14,0)</f>
        <v>#VALUE!</v>
      </c>
      <c r="C190" s="57" t="e">
        <f>VLOOKUP(A190,'2.RESULTADOS'!$A$1:$R$124,18,0)</f>
        <v>#N/A</v>
      </c>
      <c r="D190" s="57" t="e">
        <f>VLOOKUP(A190,'3.gral'!$A$5:$W$187,23,0)</f>
        <v>#VALUE!</v>
      </c>
      <c r="E190" s="57" t="e">
        <f>VLOOKUP(LEFT(A190,7),'4.Todo'!$B$2:$L$272,11,0)</f>
        <v>#N/A</v>
      </c>
      <c r="F190" s="57" t="e">
        <f>VLOOKUP(A190,'5.AT'!$A$2:$Y$200,25,0)</f>
        <v>#N/A</v>
      </c>
      <c r="G190" s="57" t="e">
        <f t="shared" si="2"/>
        <v>#VALUE!</v>
      </c>
    </row>
    <row r="191" spans="2:7" x14ac:dyDescent="0.25">
      <c r="B191" s="57" t="e">
        <f>VLOOKUP(A191,'1.CALIF'!$A$8:$N$400,14,0)</f>
        <v>#VALUE!</v>
      </c>
      <c r="C191" s="57" t="e">
        <f>VLOOKUP(A191,'2.RESULTADOS'!$A$1:$R$124,18,0)</f>
        <v>#N/A</v>
      </c>
      <c r="D191" s="57" t="e">
        <f>VLOOKUP(A191,'3.gral'!$A$5:$W$187,23,0)</f>
        <v>#VALUE!</v>
      </c>
      <c r="E191" s="57" t="e">
        <f>VLOOKUP(LEFT(A191,7),'4.Todo'!$B$2:$L$272,11,0)</f>
        <v>#N/A</v>
      </c>
      <c r="F191" s="57" t="e">
        <f>VLOOKUP(A191,'5.AT'!$A$2:$Y$200,25,0)</f>
        <v>#N/A</v>
      </c>
      <c r="G191" s="57" t="e">
        <f t="shared" si="2"/>
        <v>#VALUE!</v>
      </c>
    </row>
    <row r="192" spans="2:7" x14ac:dyDescent="0.25">
      <c r="B192" s="57" t="e">
        <f>VLOOKUP(A192,'1.CALIF'!$A$8:$N$400,14,0)</f>
        <v>#VALUE!</v>
      </c>
      <c r="C192" s="57" t="e">
        <f>VLOOKUP(A192,'2.RESULTADOS'!$A$1:$R$124,18,0)</f>
        <v>#N/A</v>
      </c>
      <c r="D192" s="57" t="e">
        <f>VLOOKUP(A192,'3.gral'!$A$5:$W$187,23,0)</f>
        <v>#VALUE!</v>
      </c>
      <c r="E192" s="57" t="e">
        <f>VLOOKUP(LEFT(A192,7),'4.Todo'!$B$2:$L$272,11,0)</f>
        <v>#N/A</v>
      </c>
      <c r="F192" s="57" t="e">
        <f>VLOOKUP(A192,'5.AT'!$A$2:$Y$200,25,0)</f>
        <v>#N/A</v>
      </c>
      <c r="G192" s="57" t="e">
        <f t="shared" si="2"/>
        <v>#VALUE!</v>
      </c>
    </row>
    <row r="193" spans="2:7" x14ac:dyDescent="0.25">
      <c r="B193" s="57" t="e">
        <f>VLOOKUP(A193,'1.CALIF'!$A$8:$N$400,14,0)</f>
        <v>#VALUE!</v>
      </c>
      <c r="C193" s="57" t="e">
        <f>VLOOKUP(A193,'2.RESULTADOS'!$A$1:$R$124,18,0)</f>
        <v>#N/A</v>
      </c>
      <c r="D193" s="57" t="e">
        <f>VLOOKUP(A193,'3.gral'!$A$5:$W$187,23,0)</f>
        <v>#VALUE!</v>
      </c>
      <c r="E193" s="57" t="e">
        <f>VLOOKUP(LEFT(A193,7),'4.Todo'!$B$2:$L$272,11,0)</f>
        <v>#N/A</v>
      </c>
      <c r="F193" s="57" t="e">
        <f>VLOOKUP(A193,'5.AT'!$A$2:$Y$200,25,0)</f>
        <v>#N/A</v>
      </c>
      <c r="G193" s="57" t="e">
        <f t="shared" si="2"/>
        <v>#VALUE!</v>
      </c>
    </row>
    <row r="194" spans="2:7" x14ac:dyDescent="0.25">
      <c r="B194" s="57" t="e">
        <f>VLOOKUP(A194,'1.CALIF'!$A$8:$N$400,14,0)</f>
        <v>#VALUE!</v>
      </c>
      <c r="C194" s="57" t="e">
        <f>VLOOKUP(A194,'2.RESULTADOS'!$A$1:$R$124,18,0)</f>
        <v>#N/A</v>
      </c>
      <c r="D194" s="57" t="e">
        <f>VLOOKUP(A194,'3.gral'!$A$5:$W$187,23,0)</f>
        <v>#VALUE!</v>
      </c>
      <c r="E194" s="57" t="e">
        <f>VLOOKUP(LEFT(A194,7),'4.Todo'!$B$2:$L$272,11,0)</f>
        <v>#N/A</v>
      </c>
      <c r="F194" s="57" t="e">
        <f>VLOOKUP(A194,'5.AT'!$A$2:$Y$200,25,0)</f>
        <v>#N/A</v>
      </c>
      <c r="G194" s="57" t="e">
        <f t="shared" si="2"/>
        <v>#VALUE!</v>
      </c>
    </row>
    <row r="195" spans="2:7" x14ac:dyDescent="0.25">
      <c r="B195" s="57" t="e">
        <f>VLOOKUP(A195,'1.CALIF'!$A$8:$N$400,14,0)</f>
        <v>#VALUE!</v>
      </c>
      <c r="C195" s="57" t="e">
        <f>VLOOKUP(A195,'2.RESULTADOS'!$A$1:$R$124,18,0)</f>
        <v>#N/A</v>
      </c>
      <c r="D195" s="57" t="e">
        <f>VLOOKUP(A195,'3.gral'!$A$5:$W$187,23,0)</f>
        <v>#VALUE!</v>
      </c>
      <c r="E195" s="57" t="e">
        <f>VLOOKUP(LEFT(A195,7),'4.Todo'!$B$2:$L$272,11,0)</f>
        <v>#N/A</v>
      </c>
      <c r="F195" s="57" t="e">
        <f>VLOOKUP(A195,'5.AT'!$A$2:$Y$200,25,0)</f>
        <v>#N/A</v>
      </c>
      <c r="G195" s="57" t="e">
        <f t="shared" ref="G195:G258" si="3">B195*$B$1+C195*$C$1+D195*$D$1+E195*$E$1+F195*$F$1</f>
        <v>#VALUE!</v>
      </c>
    </row>
    <row r="196" spans="2:7" x14ac:dyDescent="0.25">
      <c r="B196" s="57" t="e">
        <f>VLOOKUP(A196,'1.CALIF'!$A$8:$N$400,14,0)</f>
        <v>#VALUE!</v>
      </c>
      <c r="C196" s="57" t="e">
        <f>VLOOKUP(A196,'2.RESULTADOS'!$A$1:$R$124,18,0)</f>
        <v>#N/A</v>
      </c>
      <c r="D196" s="57" t="e">
        <f>VLOOKUP(A196,'3.gral'!$A$5:$W$187,23,0)</f>
        <v>#VALUE!</v>
      </c>
      <c r="E196" s="57" t="e">
        <f>VLOOKUP(LEFT(A196,7),'4.Todo'!$B$2:$L$272,11,0)</f>
        <v>#N/A</v>
      </c>
      <c r="F196" s="57" t="e">
        <f>VLOOKUP(A196,'5.AT'!$A$2:$Y$200,25,0)</f>
        <v>#N/A</v>
      </c>
      <c r="G196" s="57" t="e">
        <f t="shared" si="3"/>
        <v>#VALUE!</v>
      </c>
    </row>
    <row r="197" spans="2:7" x14ac:dyDescent="0.25">
      <c r="B197" s="57" t="e">
        <f>VLOOKUP(A197,'1.CALIF'!$A$8:$N$400,14,0)</f>
        <v>#VALUE!</v>
      </c>
      <c r="C197" s="57" t="e">
        <f>VLOOKUP(A197,'2.RESULTADOS'!$A$1:$R$124,18,0)</f>
        <v>#N/A</v>
      </c>
      <c r="D197" s="57" t="e">
        <f>VLOOKUP(A197,'3.gral'!$A$5:$W$187,23,0)</f>
        <v>#VALUE!</v>
      </c>
      <c r="E197" s="57" t="e">
        <f>VLOOKUP(LEFT(A197,7),'4.Todo'!$B$2:$L$272,11,0)</f>
        <v>#N/A</v>
      </c>
      <c r="F197" s="57" t="e">
        <f>VLOOKUP(A197,'5.AT'!$A$2:$Y$200,25,0)</f>
        <v>#N/A</v>
      </c>
      <c r="G197" s="57" t="e">
        <f t="shared" si="3"/>
        <v>#VALUE!</v>
      </c>
    </row>
    <row r="198" spans="2:7" x14ac:dyDescent="0.25">
      <c r="B198" s="57" t="e">
        <f>VLOOKUP(A198,'1.CALIF'!$A$8:$N$400,14,0)</f>
        <v>#VALUE!</v>
      </c>
      <c r="C198" s="57" t="e">
        <f>VLOOKUP(A198,'2.RESULTADOS'!$A$1:$R$124,18,0)</f>
        <v>#N/A</v>
      </c>
      <c r="D198" s="57" t="e">
        <f>VLOOKUP(A198,'3.gral'!$A$5:$W$187,23,0)</f>
        <v>#VALUE!</v>
      </c>
      <c r="E198" s="57" t="e">
        <f>VLOOKUP(LEFT(A198,7),'4.Todo'!$B$2:$L$272,11,0)</f>
        <v>#N/A</v>
      </c>
      <c r="F198" s="57" t="e">
        <f>VLOOKUP(A198,'5.AT'!$A$2:$Y$200,25,0)</f>
        <v>#N/A</v>
      </c>
      <c r="G198" s="57" t="e">
        <f t="shared" si="3"/>
        <v>#VALUE!</v>
      </c>
    </row>
    <row r="199" spans="2:7" x14ac:dyDescent="0.25">
      <c r="B199" s="57" t="e">
        <f>VLOOKUP(A199,'1.CALIF'!$A$8:$N$400,14,0)</f>
        <v>#VALUE!</v>
      </c>
      <c r="C199" s="57" t="e">
        <f>VLOOKUP(A199,'2.RESULTADOS'!$A$1:$R$124,18,0)</f>
        <v>#N/A</v>
      </c>
      <c r="D199" s="57" t="e">
        <f>VLOOKUP(A199,'3.gral'!$A$5:$W$187,23,0)</f>
        <v>#VALUE!</v>
      </c>
      <c r="E199" s="57" t="e">
        <f>VLOOKUP(LEFT(A199,7),'4.Todo'!$B$2:$L$272,11,0)</f>
        <v>#N/A</v>
      </c>
      <c r="F199" s="57" t="e">
        <f>VLOOKUP(A199,'5.AT'!$A$2:$Y$200,25,0)</f>
        <v>#N/A</v>
      </c>
      <c r="G199" s="57" t="e">
        <f t="shared" si="3"/>
        <v>#VALUE!</v>
      </c>
    </row>
    <row r="200" spans="2:7" x14ac:dyDescent="0.25">
      <c r="B200" s="57" t="e">
        <f>VLOOKUP(A200,'1.CALIF'!$A$8:$N$400,14,0)</f>
        <v>#VALUE!</v>
      </c>
      <c r="C200" s="57" t="e">
        <f>VLOOKUP(A200,'2.RESULTADOS'!$A$1:$R$124,18,0)</f>
        <v>#N/A</v>
      </c>
      <c r="D200" s="57" t="e">
        <f>VLOOKUP(A200,'3.gral'!$A$5:$W$187,23,0)</f>
        <v>#VALUE!</v>
      </c>
      <c r="E200" s="57" t="e">
        <f>VLOOKUP(LEFT(A200,7),'4.Todo'!$B$2:$L$272,11,0)</f>
        <v>#N/A</v>
      </c>
      <c r="F200" s="57" t="e">
        <f>VLOOKUP(A200,'5.AT'!$A$2:$Y$200,25,0)</f>
        <v>#N/A</v>
      </c>
      <c r="G200" s="57" t="e">
        <f t="shared" si="3"/>
        <v>#VALUE!</v>
      </c>
    </row>
    <row r="201" spans="2:7" x14ac:dyDescent="0.25">
      <c r="B201" s="57" t="e">
        <f>VLOOKUP(A201,'1.CALIF'!$A$8:$N$400,14,0)</f>
        <v>#VALUE!</v>
      </c>
      <c r="C201" s="57" t="e">
        <f>VLOOKUP(A201,'2.RESULTADOS'!$A$1:$R$124,18,0)</f>
        <v>#N/A</v>
      </c>
      <c r="D201" s="57" t="e">
        <f>VLOOKUP(A201,'3.gral'!$A$5:$W$187,23,0)</f>
        <v>#VALUE!</v>
      </c>
      <c r="E201" s="57" t="e">
        <f>VLOOKUP(LEFT(A201,7),'4.Todo'!$B$2:$L$272,11,0)</f>
        <v>#N/A</v>
      </c>
      <c r="F201" s="57" t="e">
        <f>VLOOKUP(A201,'5.AT'!$A$2:$Y$200,25,0)</f>
        <v>#N/A</v>
      </c>
      <c r="G201" s="57" t="e">
        <f t="shared" si="3"/>
        <v>#VALUE!</v>
      </c>
    </row>
    <row r="202" spans="2:7" x14ac:dyDescent="0.25">
      <c r="B202" s="57" t="e">
        <f>VLOOKUP(A202,'1.CALIF'!$A$8:$N$400,14,0)</f>
        <v>#VALUE!</v>
      </c>
      <c r="C202" s="57" t="e">
        <f>VLOOKUP(A202,'2.RESULTADOS'!$A$1:$R$124,18,0)</f>
        <v>#N/A</v>
      </c>
      <c r="D202" s="57" t="e">
        <f>VLOOKUP(A202,'3.gral'!$A$5:$W$187,23,0)</f>
        <v>#VALUE!</v>
      </c>
      <c r="E202" s="57" t="e">
        <f>VLOOKUP(LEFT(A202,7),'4.Todo'!$B$2:$L$272,11,0)</f>
        <v>#N/A</v>
      </c>
      <c r="F202" s="57" t="e">
        <f>VLOOKUP(A202,'5.AT'!$A$2:$Y$200,25,0)</f>
        <v>#N/A</v>
      </c>
      <c r="G202" s="57" t="e">
        <f t="shared" si="3"/>
        <v>#VALUE!</v>
      </c>
    </row>
    <row r="203" spans="2:7" x14ac:dyDescent="0.25">
      <c r="B203" s="57" t="e">
        <f>VLOOKUP(A203,'1.CALIF'!$A$8:$N$400,14,0)</f>
        <v>#VALUE!</v>
      </c>
      <c r="C203" s="57" t="e">
        <f>VLOOKUP(A203,'2.RESULTADOS'!$A$1:$R$124,18,0)</f>
        <v>#N/A</v>
      </c>
      <c r="D203" s="57" t="e">
        <f>VLOOKUP(A203,'3.gral'!$A$5:$W$187,23,0)</f>
        <v>#VALUE!</v>
      </c>
      <c r="E203" s="57" t="e">
        <f>VLOOKUP(LEFT(A203,7),'4.Todo'!$B$2:$L$272,11,0)</f>
        <v>#N/A</v>
      </c>
      <c r="F203" s="57" t="e">
        <f>VLOOKUP(A203,'5.AT'!$A$2:$Y$200,25,0)</f>
        <v>#N/A</v>
      </c>
      <c r="G203" s="57" t="e">
        <f t="shared" si="3"/>
        <v>#VALUE!</v>
      </c>
    </row>
    <row r="204" spans="2:7" x14ac:dyDescent="0.25">
      <c r="B204" s="57" t="e">
        <f>VLOOKUP(A204,'1.CALIF'!$A$8:$N$400,14,0)</f>
        <v>#VALUE!</v>
      </c>
      <c r="C204" s="57" t="e">
        <f>VLOOKUP(A204,'2.RESULTADOS'!$A$1:$R$124,18,0)</f>
        <v>#N/A</v>
      </c>
      <c r="D204" s="57" t="e">
        <f>VLOOKUP(A204,'3.gral'!$A$5:$W$187,23,0)</f>
        <v>#VALUE!</v>
      </c>
      <c r="E204" s="57" t="e">
        <f>VLOOKUP(LEFT(A204,7),'4.Todo'!$B$2:$L$272,11,0)</f>
        <v>#N/A</v>
      </c>
      <c r="F204" s="57" t="e">
        <f>VLOOKUP(A204,'5.AT'!$A$2:$Y$200,25,0)</f>
        <v>#N/A</v>
      </c>
      <c r="G204" s="57" t="e">
        <f t="shared" si="3"/>
        <v>#VALUE!</v>
      </c>
    </row>
    <row r="205" spans="2:7" x14ac:dyDescent="0.25">
      <c r="B205" s="57" t="e">
        <f>VLOOKUP(A205,'1.CALIF'!$A$8:$N$400,14,0)</f>
        <v>#VALUE!</v>
      </c>
      <c r="C205" s="57" t="e">
        <f>VLOOKUP(A205,'2.RESULTADOS'!$A$1:$R$124,18,0)</f>
        <v>#N/A</v>
      </c>
      <c r="D205" s="57" t="e">
        <f>VLOOKUP(A205,'3.gral'!$A$5:$W$187,23,0)</f>
        <v>#VALUE!</v>
      </c>
      <c r="E205" s="57" t="e">
        <f>VLOOKUP(LEFT(A205,7),'4.Todo'!$B$2:$L$272,11,0)</f>
        <v>#N/A</v>
      </c>
      <c r="F205" s="57" t="e">
        <f>VLOOKUP(A205,'5.AT'!$A$2:$Y$200,25,0)</f>
        <v>#N/A</v>
      </c>
      <c r="G205" s="57" t="e">
        <f t="shared" si="3"/>
        <v>#VALUE!</v>
      </c>
    </row>
    <row r="206" spans="2:7" x14ac:dyDescent="0.25">
      <c r="B206" s="57" t="e">
        <f>VLOOKUP(A206,'1.CALIF'!$A$8:$N$400,14,0)</f>
        <v>#VALUE!</v>
      </c>
      <c r="C206" s="57" t="e">
        <f>VLOOKUP(A206,'2.RESULTADOS'!$A$1:$R$124,18,0)</f>
        <v>#N/A</v>
      </c>
      <c r="D206" s="57" t="e">
        <f>VLOOKUP(A206,'3.gral'!$A$5:$W$187,23,0)</f>
        <v>#VALUE!</v>
      </c>
      <c r="E206" s="57" t="e">
        <f>VLOOKUP(LEFT(A206,7),'4.Todo'!$B$2:$L$272,11,0)</f>
        <v>#N/A</v>
      </c>
      <c r="F206" s="57" t="e">
        <f>VLOOKUP(A206,'5.AT'!$A$2:$Y$200,25,0)</f>
        <v>#N/A</v>
      </c>
      <c r="G206" s="57" t="e">
        <f t="shared" si="3"/>
        <v>#VALUE!</v>
      </c>
    </row>
    <row r="207" spans="2:7" x14ac:dyDescent="0.25">
      <c r="B207" s="57" t="e">
        <f>VLOOKUP(A207,'1.CALIF'!$A$8:$N$400,14,0)</f>
        <v>#VALUE!</v>
      </c>
      <c r="C207" s="57" t="e">
        <f>VLOOKUP(A207,'2.RESULTADOS'!$A$1:$R$124,18,0)</f>
        <v>#N/A</v>
      </c>
      <c r="D207" s="57" t="e">
        <f>VLOOKUP(A207,'3.gral'!$A$5:$W$187,23,0)</f>
        <v>#VALUE!</v>
      </c>
      <c r="E207" s="57" t="e">
        <f>VLOOKUP(LEFT(A207,7),'4.Todo'!$B$2:$L$272,11,0)</f>
        <v>#N/A</v>
      </c>
      <c r="F207" s="57" t="e">
        <f>VLOOKUP(A207,'5.AT'!$A$2:$Y$200,25,0)</f>
        <v>#N/A</v>
      </c>
      <c r="G207" s="57" t="e">
        <f t="shared" si="3"/>
        <v>#VALUE!</v>
      </c>
    </row>
    <row r="208" spans="2:7" x14ac:dyDescent="0.25">
      <c r="B208" s="57" t="e">
        <f>VLOOKUP(A208,'1.CALIF'!$A$8:$N$400,14,0)</f>
        <v>#VALUE!</v>
      </c>
      <c r="C208" s="57" t="e">
        <f>VLOOKUP(A208,'2.RESULTADOS'!$A$1:$R$124,18,0)</f>
        <v>#N/A</v>
      </c>
      <c r="D208" s="57" t="e">
        <f>VLOOKUP(A208,'3.gral'!$A$5:$W$187,23,0)</f>
        <v>#VALUE!</v>
      </c>
      <c r="E208" s="57" t="e">
        <f>VLOOKUP(LEFT(A208,7),'4.Todo'!$B$2:$L$272,11,0)</f>
        <v>#N/A</v>
      </c>
      <c r="F208" s="57" t="e">
        <f>VLOOKUP(A208,'5.AT'!$A$2:$Y$200,25,0)</f>
        <v>#N/A</v>
      </c>
      <c r="G208" s="57" t="e">
        <f t="shared" si="3"/>
        <v>#VALUE!</v>
      </c>
    </row>
    <row r="209" spans="2:7" x14ac:dyDescent="0.25">
      <c r="B209" s="57" t="e">
        <f>VLOOKUP(A209,'1.CALIF'!$A$8:$N$400,14,0)</f>
        <v>#VALUE!</v>
      </c>
      <c r="C209" s="57" t="e">
        <f>VLOOKUP(A209,'2.RESULTADOS'!$A$1:$R$124,18,0)</f>
        <v>#N/A</v>
      </c>
      <c r="D209" s="57" t="e">
        <f>VLOOKUP(A209,'3.gral'!$A$5:$W$187,23,0)</f>
        <v>#VALUE!</v>
      </c>
      <c r="E209" s="57" t="e">
        <f>VLOOKUP(LEFT(A209,7),'4.Todo'!$B$2:$L$272,11,0)</f>
        <v>#N/A</v>
      </c>
      <c r="F209" s="57" t="e">
        <f>VLOOKUP(A209,'5.AT'!$A$2:$Y$200,25,0)</f>
        <v>#N/A</v>
      </c>
      <c r="G209" s="57" t="e">
        <f t="shared" si="3"/>
        <v>#VALUE!</v>
      </c>
    </row>
    <row r="210" spans="2:7" x14ac:dyDescent="0.25">
      <c r="B210" s="57" t="e">
        <f>VLOOKUP(A210,'1.CALIF'!$A$8:$N$400,14,0)</f>
        <v>#VALUE!</v>
      </c>
      <c r="C210" s="57" t="e">
        <f>VLOOKUP(A210,'2.RESULTADOS'!$A$1:$R$124,18,0)</f>
        <v>#N/A</v>
      </c>
      <c r="D210" s="57" t="e">
        <f>VLOOKUP(A210,'3.gral'!$A$5:$W$187,23,0)</f>
        <v>#VALUE!</v>
      </c>
      <c r="E210" s="57" t="e">
        <f>VLOOKUP(LEFT(A210,7),'4.Todo'!$B$2:$L$272,11,0)</f>
        <v>#N/A</v>
      </c>
      <c r="F210" s="57" t="e">
        <f>VLOOKUP(A210,'5.AT'!$A$2:$Y$200,25,0)</f>
        <v>#N/A</v>
      </c>
      <c r="G210" s="57" t="e">
        <f t="shared" si="3"/>
        <v>#VALUE!</v>
      </c>
    </row>
    <row r="211" spans="2:7" x14ac:dyDescent="0.25">
      <c r="B211" s="57" t="e">
        <f>VLOOKUP(A211,'1.CALIF'!$A$8:$N$400,14,0)</f>
        <v>#VALUE!</v>
      </c>
      <c r="C211" s="57" t="e">
        <f>VLOOKUP(A211,'2.RESULTADOS'!$A$1:$R$124,18,0)</f>
        <v>#N/A</v>
      </c>
      <c r="D211" s="57" t="e">
        <f>VLOOKUP(A211,'3.gral'!$A$5:$W$187,23,0)</f>
        <v>#VALUE!</v>
      </c>
      <c r="E211" s="57" t="e">
        <f>VLOOKUP(LEFT(A211,7),'4.Todo'!$B$2:$L$272,11,0)</f>
        <v>#N/A</v>
      </c>
      <c r="F211" s="57" t="e">
        <f>VLOOKUP(A211,'5.AT'!$A$2:$Y$200,25,0)</f>
        <v>#N/A</v>
      </c>
      <c r="G211" s="57" t="e">
        <f t="shared" si="3"/>
        <v>#VALUE!</v>
      </c>
    </row>
    <row r="212" spans="2:7" x14ac:dyDescent="0.25">
      <c r="B212" s="57" t="e">
        <f>VLOOKUP(A212,'1.CALIF'!$A$8:$N$400,14,0)</f>
        <v>#VALUE!</v>
      </c>
      <c r="C212" s="57" t="e">
        <f>VLOOKUP(A212,'2.RESULTADOS'!$A$1:$R$124,18,0)</f>
        <v>#N/A</v>
      </c>
      <c r="D212" s="57" t="e">
        <f>VLOOKUP(A212,'3.gral'!$A$5:$W$187,23,0)</f>
        <v>#VALUE!</v>
      </c>
      <c r="E212" s="57" t="e">
        <f>VLOOKUP(LEFT(A212,7),'4.Todo'!$B$2:$L$272,11,0)</f>
        <v>#N/A</v>
      </c>
      <c r="F212" s="57" t="e">
        <f>VLOOKUP(A212,'5.AT'!$A$2:$Y$200,25,0)</f>
        <v>#N/A</v>
      </c>
      <c r="G212" s="57" t="e">
        <f t="shared" si="3"/>
        <v>#VALUE!</v>
      </c>
    </row>
    <row r="213" spans="2:7" x14ac:dyDescent="0.25">
      <c r="B213" s="57" t="e">
        <f>VLOOKUP(A213,'1.CALIF'!$A$8:$N$400,14,0)</f>
        <v>#VALUE!</v>
      </c>
      <c r="C213" s="57" t="e">
        <f>VLOOKUP(A213,'2.RESULTADOS'!$A$1:$R$124,18,0)</f>
        <v>#N/A</v>
      </c>
      <c r="D213" s="57" t="e">
        <f>VLOOKUP(A213,'3.gral'!$A$5:$W$187,23,0)</f>
        <v>#VALUE!</v>
      </c>
      <c r="E213" s="57" t="e">
        <f>VLOOKUP(LEFT(A213,7),'4.Todo'!$B$2:$L$272,11,0)</f>
        <v>#N/A</v>
      </c>
      <c r="F213" s="57" t="e">
        <f>VLOOKUP(A213,'5.AT'!$A$2:$Y$200,25,0)</f>
        <v>#N/A</v>
      </c>
      <c r="G213" s="57" t="e">
        <f t="shared" si="3"/>
        <v>#VALUE!</v>
      </c>
    </row>
    <row r="214" spans="2:7" x14ac:dyDescent="0.25">
      <c r="B214" s="57" t="e">
        <f>VLOOKUP(A214,'1.CALIF'!$A$8:$N$400,14,0)</f>
        <v>#VALUE!</v>
      </c>
      <c r="C214" s="57" t="e">
        <f>VLOOKUP(A214,'2.RESULTADOS'!$A$1:$R$124,18,0)</f>
        <v>#N/A</v>
      </c>
      <c r="D214" s="57" t="e">
        <f>VLOOKUP(A214,'3.gral'!$A$5:$W$187,23,0)</f>
        <v>#VALUE!</v>
      </c>
      <c r="E214" s="57" t="e">
        <f>VLOOKUP(LEFT(A214,7),'4.Todo'!$B$2:$L$272,11,0)</f>
        <v>#N/A</v>
      </c>
      <c r="F214" s="57" t="e">
        <f>VLOOKUP(A214,'5.AT'!$A$2:$Y$200,25,0)</f>
        <v>#N/A</v>
      </c>
      <c r="G214" s="57" t="e">
        <f t="shared" si="3"/>
        <v>#VALUE!</v>
      </c>
    </row>
    <row r="215" spans="2:7" x14ac:dyDescent="0.25">
      <c r="B215" s="57" t="e">
        <f>VLOOKUP(A215,'1.CALIF'!$A$8:$N$400,14,0)</f>
        <v>#VALUE!</v>
      </c>
      <c r="C215" s="57" t="e">
        <f>VLOOKUP(A215,'2.RESULTADOS'!$A$1:$R$124,18,0)</f>
        <v>#N/A</v>
      </c>
      <c r="D215" s="57" t="e">
        <f>VLOOKUP(A215,'3.gral'!$A$5:$W$187,23,0)</f>
        <v>#VALUE!</v>
      </c>
      <c r="E215" s="57" t="e">
        <f>VLOOKUP(LEFT(A215,7),'4.Todo'!$B$2:$L$272,11,0)</f>
        <v>#N/A</v>
      </c>
      <c r="F215" s="57" t="e">
        <f>VLOOKUP(A215,'5.AT'!$A$2:$Y$200,25,0)</f>
        <v>#N/A</v>
      </c>
      <c r="G215" s="57" t="e">
        <f t="shared" si="3"/>
        <v>#VALUE!</v>
      </c>
    </row>
    <row r="216" spans="2:7" x14ac:dyDescent="0.25">
      <c r="B216" s="57" t="e">
        <f>VLOOKUP(A216,'1.CALIF'!$A$8:$N$400,14,0)</f>
        <v>#VALUE!</v>
      </c>
      <c r="C216" s="57" t="e">
        <f>VLOOKUP(A216,'2.RESULTADOS'!$A$1:$R$124,18,0)</f>
        <v>#N/A</v>
      </c>
      <c r="D216" s="57" t="e">
        <f>VLOOKUP(A216,'3.gral'!$A$5:$W$187,23,0)</f>
        <v>#VALUE!</v>
      </c>
      <c r="E216" s="57" t="e">
        <f>VLOOKUP(LEFT(A216,7),'4.Todo'!$B$2:$L$272,11,0)</f>
        <v>#N/A</v>
      </c>
      <c r="F216" s="57" t="e">
        <f>VLOOKUP(A216,'5.AT'!$A$2:$Y$200,25,0)</f>
        <v>#N/A</v>
      </c>
      <c r="G216" s="57" t="e">
        <f t="shared" si="3"/>
        <v>#VALUE!</v>
      </c>
    </row>
    <row r="217" spans="2:7" x14ac:dyDescent="0.25">
      <c r="B217" s="57" t="e">
        <f>VLOOKUP(A217,'1.CALIF'!$A$8:$N$400,14,0)</f>
        <v>#VALUE!</v>
      </c>
      <c r="C217" s="57" t="e">
        <f>VLOOKUP(A217,'2.RESULTADOS'!$A$1:$R$124,18,0)</f>
        <v>#N/A</v>
      </c>
      <c r="D217" s="57" t="e">
        <f>VLOOKUP(A217,'3.gral'!$A$5:$W$187,23,0)</f>
        <v>#VALUE!</v>
      </c>
      <c r="E217" s="57" t="e">
        <f>VLOOKUP(LEFT(A217,7),'4.Todo'!$B$2:$L$272,11,0)</f>
        <v>#N/A</v>
      </c>
      <c r="F217" s="57" t="e">
        <f>VLOOKUP(A217,'5.AT'!$A$2:$Y$200,25,0)</f>
        <v>#N/A</v>
      </c>
      <c r="G217" s="57" t="e">
        <f t="shared" si="3"/>
        <v>#VALUE!</v>
      </c>
    </row>
    <row r="218" spans="2:7" x14ac:dyDescent="0.25">
      <c r="B218" s="57" t="e">
        <f>VLOOKUP(A218,'1.CALIF'!$A$8:$N$400,14,0)</f>
        <v>#VALUE!</v>
      </c>
      <c r="C218" s="57" t="e">
        <f>VLOOKUP(A218,'2.RESULTADOS'!$A$1:$R$124,18,0)</f>
        <v>#N/A</v>
      </c>
      <c r="D218" s="57" t="e">
        <f>VLOOKUP(A218,'3.gral'!$A$5:$W$187,23,0)</f>
        <v>#VALUE!</v>
      </c>
      <c r="E218" s="57" t="e">
        <f>VLOOKUP(LEFT(A218,7),'4.Todo'!$B$2:$L$272,11,0)</f>
        <v>#N/A</v>
      </c>
      <c r="F218" s="57" t="e">
        <f>VLOOKUP(A218,'5.AT'!$A$2:$Y$200,25,0)</f>
        <v>#N/A</v>
      </c>
      <c r="G218" s="57" t="e">
        <f t="shared" si="3"/>
        <v>#VALUE!</v>
      </c>
    </row>
    <row r="219" spans="2:7" x14ac:dyDescent="0.25">
      <c r="B219" s="57" t="e">
        <f>VLOOKUP(A219,'1.CALIF'!$A$8:$N$400,14,0)</f>
        <v>#VALUE!</v>
      </c>
      <c r="C219" s="57" t="e">
        <f>VLOOKUP(A219,'2.RESULTADOS'!$A$1:$R$124,18,0)</f>
        <v>#N/A</v>
      </c>
      <c r="D219" s="57" t="e">
        <f>VLOOKUP(A219,'3.gral'!$A$5:$W$187,23,0)</f>
        <v>#VALUE!</v>
      </c>
      <c r="E219" s="57" t="e">
        <f>VLOOKUP(LEFT(A219,7),'4.Todo'!$B$2:$L$272,11,0)</f>
        <v>#N/A</v>
      </c>
      <c r="F219" s="57" t="e">
        <f>VLOOKUP(A219,'5.AT'!$A$2:$Y$200,25,0)</f>
        <v>#N/A</v>
      </c>
      <c r="G219" s="57" t="e">
        <f t="shared" si="3"/>
        <v>#VALUE!</v>
      </c>
    </row>
    <row r="220" spans="2:7" x14ac:dyDescent="0.25">
      <c r="B220" s="57" t="e">
        <f>VLOOKUP(A220,'1.CALIF'!$A$8:$N$400,14,0)</f>
        <v>#VALUE!</v>
      </c>
      <c r="C220" s="57" t="e">
        <f>VLOOKUP(A220,'2.RESULTADOS'!$A$1:$R$124,18,0)</f>
        <v>#N/A</v>
      </c>
      <c r="D220" s="57" t="e">
        <f>VLOOKUP(A220,'3.gral'!$A$5:$W$187,23,0)</f>
        <v>#VALUE!</v>
      </c>
      <c r="E220" s="57" t="e">
        <f>VLOOKUP(LEFT(A220,7),'4.Todo'!$B$2:$L$272,11,0)</f>
        <v>#N/A</v>
      </c>
      <c r="F220" s="57" t="e">
        <f>VLOOKUP(A220,'5.AT'!$A$2:$Y$200,25,0)</f>
        <v>#N/A</v>
      </c>
      <c r="G220" s="57" t="e">
        <f t="shared" si="3"/>
        <v>#VALUE!</v>
      </c>
    </row>
    <row r="221" spans="2:7" x14ac:dyDescent="0.25">
      <c r="B221" s="57" t="e">
        <f>VLOOKUP(A221,'1.CALIF'!$A$8:$N$400,14,0)</f>
        <v>#VALUE!</v>
      </c>
      <c r="C221" s="57" t="e">
        <f>VLOOKUP(A221,'2.RESULTADOS'!$A$1:$R$124,18,0)</f>
        <v>#N/A</v>
      </c>
      <c r="D221" s="57" t="e">
        <f>VLOOKUP(A221,'3.gral'!$A$5:$W$187,23,0)</f>
        <v>#VALUE!</v>
      </c>
      <c r="E221" s="57" t="e">
        <f>VLOOKUP(LEFT(A221,7),'4.Todo'!$B$2:$L$272,11,0)</f>
        <v>#N/A</v>
      </c>
      <c r="F221" s="57" t="e">
        <f>VLOOKUP(A221,'5.AT'!$A$2:$Y$200,25,0)</f>
        <v>#N/A</v>
      </c>
      <c r="G221" s="57" t="e">
        <f t="shared" si="3"/>
        <v>#VALUE!</v>
      </c>
    </row>
    <row r="222" spans="2:7" x14ac:dyDescent="0.25">
      <c r="B222" s="57" t="e">
        <f>VLOOKUP(A222,'1.CALIF'!$A$8:$N$400,14,0)</f>
        <v>#VALUE!</v>
      </c>
      <c r="C222" s="57" t="e">
        <f>VLOOKUP(A222,'2.RESULTADOS'!$A$1:$R$124,18,0)</f>
        <v>#N/A</v>
      </c>
      <c r="D222" s="57" t="e">
        <f>VLOOKUP(A222,'3.gral'!$A$5:$W$187,23,0)</f>
        <v>#VALUE!</v>
      </c>
      <c r="E222" s="57" t="e">
        <f>VLOOKUP(LEFT(A222,7),'4.Todo'!$B$2:$L$272,11,0)</f>
        <v>#N/A</v>
      </c>
      <c r="F222" s="57" t="e">
        <f>VLOOKUP(A222,'5.AT'!$A$2:$Y$200,25,0)</f>
        <v>#N/A</v>
      </c>
      <c r="G222" s="57" t="e">
        <f t="shared" si="3"/>
        <v>#VALUE!</v>
      </c>
    </row>
    <row r="223" spans="2:7" x14ac:dyDescent="0.25">
      <c r="B223" s="57" t="e">
        <f>VLOOKUP(A223,'1.CALIF'!$A$8:$N$400,14,0)</f>
        <v>#VALUE!</v>
      </c>
      <c r="C223" s="57" t="e">
        <f>VLOOKUP(A223,'2.RESULTADOS'!$A$1:$R$124,18,0)</f>
        <v>#N/A</v>
      </c>
      <c r="D223" s="57" t="e">
        <f>VLOOKUP(A223,'3.gral'!$A$5:$W$187,23,0)</f>
        <v>#VALUE!</v>
      </c>
      <c r="E223" s="57" t="e">
        <f>VLOOKUP(LEFT(A223,7),'4.Todo'!$B$2:$L$272,11,0)</f>
        <v>#N/A</v>
      </c>
      <c r="F223" s="57" t="e">
        <f>VLOOKUP(A223,'5.AT'!$A$2:$Y$200,25,0)</f>
        <v>#N/A</v>
      </c>
      <c r="G223" s="57" t="e">
        <f t="shared" si="3"/>
        <v>#VALUE!</v>
      </c>
    </row>
    <row r="224" spans="2:7" x14ac:dyDescent="0.25">
      <c r="B224" s="57" t="e">
        <f>VLOOKUP(A224,'1.CALIF'!$A$8:$N$400,14,0)</f>
        <v>#VALUE!</v>
      </c>
      <c r="C224" s="57" t="e">
        <f>VLOOKUP(A224,'2.RESULTADOS'!$A$1:$R$124,18,0)</f>
        <v>#N/A</v>
      </c>
      <c r="D224" s="57" t="e">
        <f>VLOOKUP(A224,'3.gral'!$A$5:$W$187,23,0)</f>
        <v>#VALUE!</v>
      </c>
      <c r="E224" s="57" t="e">
        <f>VLOOKUP(LEFT(A224,7),'4.Todo'!$B$2:$L$272,11,0)</f>
        <v>#N/A</v>
      </c>
      <c r="F224" s="57" t="e">
        <f>VLOOKUP(A224,'5.AT'!$A$2:$Y$200,25,0)</f>
        <v>#N/A</v>
      </c>
      <c r="G224" s="57" t="e">
        <f t="shared" si="3"/>
        <v>#VALUE!</v>
      </c>
    </row>
    <row r="225" spans="2:7" x14ac:dyDescent="0.25">
      <c r="B225" s="57" t="e">
        <f>VLOOKUP(A225,'1.CALIF'!$A$8:$N$400,14,0)</f>
        <v>#VALUE!</v>
      </c>
      <c r="C225" s="57" t="e">
        <f>VLOOKUP(A225,'2.RESULTADOS'!$A$1:$R$124,18,0)</f>
        <v>#N/A</v>
      </c>
      <c r="D225" s="57" t="e">
        <f>VLOOKUP(A225,'3.gral'!$A$5:$W$187,23,0)</f>
        <v>#VALUE!</v>
      </c>
      <c r="E225" s="57" t="e">
        <f>VLOOKUP(LEFT(A225,7),'4.Todo'!$B$2:$L$272,11,0)</f>
        <v>#N/A</v>
      </c>
      <c r="F225" s="57" t="e">
        <f>VLOOKUP(A225,'5.AT'!$A$2:$Y$200,25,0)</f>
        <v>#N/A</v>
      </c>
      <c r="G225" s="57" t="e">
        <f t="shared" si="3"/>
        <v>#VALUE!</v>
      </c>
    </row>
    <row r="226" spans="2:7" x14ac:dyDescent="0.25">
      <c r="B226" s="57" t="e">
        <f>VLOOKUP(A226,'1.CALIF'!$A$8:$N$400,14,0)</f>
        <v>#VALUE!</v>
      </c>
      <c r="C226" s="57" t="e">
        <f>VLOOKUP(A226,'2.RESULTADOS'!$A$1:$R$124,18,0)</f>
        <v>#N/A</v>
      </c>
      <c r="D226" s="57" t="e">
        <f>VLOOKUP(A226,'3.gral'!$A$5:$W$187,23,0)</f>
        <v>#VALUE!</v>
      </c>
      <c r="E226" s="57" t="e">
        <f>VLOOKUP(LEFT(A226,7),'4.Todo'!$B$2:$L$272,11,0)</f>
        <v>#N/A</v>
      </c>
      <c r="F226" s="57" t="e">
        <f>VLOOKUP(A226,'5.AT'!$A$2:$Y$200,25,0)</f>
        <v>#N/A</v>
      </c>
      <c r="G226" s="57" t="e">
        <f t="shared" si="3"/>
        <v>#VALUE!</v>
      </c>
    </row>
    <row r="227" spans="2:7" x14ac:dyDescent="0.25">
      <c r="B227" s="57" t="e">
        <f>VLOOKUP(A227,'1.CALIF'!$A$8:$N$400,14,0)</f>
        <v>#VALUE!</v>
      </c>
      <c r="C227" s="57" t="e">
        <f>VLOOKUP(A227,'2.RESULTADOS'!$A$1:$R$124,18,0)</f>
        <v>#N/A</v>
      </c>
      <c r="D227" s="57" t="e">
        <f>VLOOKUP(A227,'3.gral'!$A$5:$W$187,23,0)</f>
        <v>#VALUE!</v>
      </c>
      <c r="E227" s="57" t="e">
        <f>VLOOKUP(LEFT(A227,7),'4.Todo'!$B$2:$L$272,11,0)</f>
        <v>#N/A</v>
      </c>
      <c r="F227" s="57" t="e">
        <f>VLOOKUP(A227,'5.AT'!$A$2:$Y$200,25,0)</f>
        <v>#N/A</v>
      </c>
      <c r="G227" s="57" t="e">
        <f t="shared" si="3"/>
        <v>#VALUE!</v>
      </c>
    </row>
    <row r="228" spans="2:7" x14ac:dyDescent="0.25">
      <c r="B228" s="57" t="e">
        <f>VLOOKUP(A228,'1.CALIF'!$A$8:$N$400,14,0)</f>
        <v>#VALUE!</v>
      </c>
      <c r="C228" s="57" t="e">
        <f>VLOOKUP(A228,'2.RESULTADOS'!$A$1:$R$124,18,0)</f>
        <v>#N/A</v>
      </c>
      <c r="D228" s="57" t="e">
        <f>VLOOKUP(A228,'3.gral'!$A$5:$W$187,23,0)</f>
        <v>#VALUE!</v>
      </c>
      <c r="E228" s="57" t="e">
        <f>VLOOKUP(LEFT(A228,7),'4.Todo'!$B$2:$L$272,11,0)</f>
        <v>#N/A</v>
      </c>
      <c r="F228" s="57" t="e">
        <f>VLOOKUP(A228,'5.AT'!$A$2:$Y$200,25,0)</f>
        <v>#N/A</v>
      </c>
      <c r="G228" s="57" t="e">
        <f t="shared" si="3"/>
        <v>#VALUE!</v>
      </c>
    </row>
    <row r="229" spans="2:7" x14ac:dyDescent="0.25">
      <c r="B229" s="57" t="e">
        <f>VLOOKUP(A229,'1.CALIF'!$A$8:$N$400,14,0)</f>
        <v>#VALUE!</v>
      </c>
      <c r="C229" s="57" t="e">
        <f>VLOOKUP(A229,'2.RESULTADOS'!$A$1:$R$124,18,0)</f>
        <v>#N/A</v>
      </c>
      <c r="D229" s="57" t="e">
        <f>VLOOKUP(A229,'3.gral'!$A$5:$W$187,23,0)</f>
        <v>#VALUE!</v>
      </c>
      <c r="E229" s="57" t="e">
        <f>VLOOKUP(LEFT(A229,7),'4.Todo'!$B$2:$L$272,11,0)</f>
        <v>#N/A</v>
      </c>
      <c r="F229" s="57" t="e">
        <f>VLOOKUP(A229,'5.AT'!$A$2:$Y$200,25,0)</f>
        <v>#N/A</v>
      </c>
      <c r="G229" s="57" t="e">
        <f t="shared" si="3"/>
        <v>#VALUE!</v>
      </c>
    </row>
    <row r="230" spans="2:7" x14ac:dyDescent="0.25">
      <c r="B230" s="57" t="e">
        <f>VLOOKUP(A230,'1.CALIF'!$A$8:$N$400,14,0)</f>
        <v>#VALUE!</v>
      </c>
      <c r="C230" s="57" t="e">
        <f>VLOOKUP(A230,'2.RESULTADOS'!$A$1:$R$124,18,0)</f>
        <v>#N/A</v>
      </c>
      <c r="D230" s="57" t="e">
        <f>VLOOKUP(A230,'3.gral'!$A$5:$W$187,23,0)</f>
        <v>#VALUE!</v>
      </c>
      <c r="E230" s="57" t="e">
        <f>VLOOKUP(LEFT(A230,7),'4.Todo'!$B$2:$L$272,11,0)</f>
        <v>#N/A</v>
      </c>
      <c r="F230" s="57" t="e">
        <f>VLOOKUP(A230,'5.AT'!$A$2:$Y$200,25,0)</f>
        <v>#N/A</v>
      </c>
      <c r="G230" s="57" t="e">
        <f t="shared" si="3"/>
        <v>#VALUE!</v>
      </c>
    </row>
    <row r="231" spans="2:7" x14ac:dyDescent="0.25">
      <c r="B231" s="57" t="e">
        <f>VLOOKUP(A231,'1.CALIF'!$A$8:$N$400,14,0)</f>
        <v>#VALUE!</v>
      </c>
      <c r="C231" s="57" t="e">
        <f>VLOOKUP(A231,'2.RESULTADOS'!$A$1:$R$124,18,0)</f>
        <v>#N/A</v>
      </c>
      <c r="D231" s="57" t="e">
        <f>VLOOKUP(A231,'3.gral'!$A$5:$W$187,23,0)</f>
        <v>#VALUE!</v>
      </c>
      <c r="E231" s="57" t="e">
        <f>VLOOKUP(LEFT(A231,7),'4.Todo'!$B$2:$L$272,11,0)</f>
        <v>#N/A</v>
      </c>
      <c r="F231" s="57" t="e">
        <f>VLOOKUP(A231,'5.AT'!$A$2:$Y$200,25,0)</f>
        <v>#N/A</v>
      </c>
      <c r="G231" s="57" t="e">
        <f t="shared" si="3"/>
        <v>#VALUE!</v>
      </c>
    </row>
    <row r="232" spans="2:7" x14ac:dyDescent="0.25">
      <c r="B232" s="57" t="e">
        <f>VLOOKUP(A232,'1.CALIF'!$A$8:$N$400,14,0)</f>
        <v>#VALUE!</v>
      </c>
      <c r="C232" s="57" t="e">
        <f>VLOOKUP(A232,'2.RESULTADOS'!$A$1:$R$124,18,0)</f>
        <v>#N/A</v>
      </c>
      <c r="D232" s="57" t="e">
        <f>VLOOKUP(A232,'3.gral'!$A$5:$W$187,23,0)</f>
        <v>#VALUE!</v>
      </c>
      <c r="E232" s="57" t="e">
        <f>VLOOKUP(LEFT(A232,7),'4.Todo'!$B$2:$L$272,11,0)</f>
        <v>#N/A</v>
      </c>
      <c r="F232" s="57" t="e">
        <f>VLOOKUP(A232,'5.AT'!$A$2:$Y$200,25,0)</f>
        <v>#N/A</v>
      </c>
      <c r="G232" s="57" t="e">
        <f t="shared" si="3"/>
        <v>#VALUE!</v>
      </c>
    </row>
    <row r="233" spans="2:7" x14ac:dyDescent="0.25">
      <c r="B233" s="57" t="e">
        <f>VLOOKUP(A233,'1.CALIF'!$A$8:$N$400,14,0)</f>
        <v>#VALUE!</v>
      </c>
      <c r="C233" s="57" t="e">
        <f>VLOOKUP(A233,'2.RESULTADOS'!$A$1:$R$124,18,0)</f>
        <v>#N/A</v>
      </c>
      <c r="D233" s="57" t="e">
        <f>VLOOKUP(A233,'3.gral'!$A$5:$W$187,23,0)</f>
        <v>#VALUE!</v>
      </c>
      <c r="E233" s="57" t="e">
        <f>VLOOKUP(LEFT(A233,7),'4.Todo'!$B$2:$L$272,11,0)</f>
        <v>#N/A</v>
      </c>
      <c r="F233" s="57" t="e">
        <f>VLOOKUP(A233,'5.AT'!$A$2:$Y$200,25,0)</f>
        <v>#N/A</v>
      </c>
      <c r="G233" s="57" t="e">
        <f t="shared" si="3"/>
        <v>#VALUE!</v>
      </c>
    </row>
    <row r="234" spans="2:7" x14ac:dyDescent="0.25">
      <c r="B234" s="57" t="e">
        <f>VLOOKUP(A234,'1.CALIF'!$A$8:$N$400,14,0)</f>
        <v>#VALUE!</v>
      </c>
      <c r="C234" s="57" t="e">
        <f>VLOOKUP(A234,'2.RESULTADOS'!$A$1:$R$124,18,0)</f>
        <v>#N/A</v>
      </c>
      <c r="D234" s="57" t="e">
        <f>VLOOKUP(A234,'3.gral'!$A$5:$W$187,23,0)</f>
        <v>#VALUE!</v>
      </c>
      <c r="E234" s="57" t="e">
        <f>VLOOKUP(LEFT(A234,7),'4.Todo'!$B$2:$L$272,11,0)</f>
        <v>#N/A</v>
      </c>
      <c r="F234" s="57" t="e">
        <f>VLOOKUP(A234,'5.AT'!$A$2:$Y$200,25,0)</f>
        <v>#N/A</v>
      </c>
      <c r="G234" s="57" t="e">
        <f t="shared" si="3"/>
        <v>#VALUE!</v>
      </c>
    </row>
    <row r="235" spans="2:7" x14ac:dyDescent="0.25">
      <c r="B235" s="57" t="e">
        <f>VLOOKUP(A235,'1.CALIF'!$A$8:$N$400,14,0)</f>
        <v>#VALUE!</v>
      </c>
      <c r="C235" s="57" t="e">
        <f>VLOOKUP(A235,'2.RESULTADOS'!$A$1:$R$124,18,0)</f>
        <v>#N/A</v>
      </c>
      <c r="D235" s="57" t="e">
        <f>VLOOKUP(A235,'3.gral'!$A$5:$W$187,23,0)</f>
        <v>#VALUE!</v>
      </c>
      <c r="E235" s="57" t="e">
        <f>VLOOKUP(LEFT(A235,7),'4.Todo'!$B$2:$L$272,11,0)</f>
        <v>#N/A</v>
      </c>
      <c r="F235" s="57" t="e">
        <f>VLOOKUP(A235,'5.AT'!$A$2:$Y$200,25,0)</f>
        <v>#N/A</v>
      </c>
      <c r="G235" s="57" t="e">
        <f t="shared" si="3"/>
        <v>#VALUE!</v>
      </c>
    </row>
    <row r="236" spans="2:7" x14ac:dyDescent="0.25">
      <c r="B236" s="57" t="e">
        <f>VLOOKUP(A236,'1.CALIF'!$A$8:$N$400,14,0)</f>
        <v>#VALUE!</v>
      </c>
      <c r="C236" s="57" t="e">
        <f>VLOOKUP(A236,'2.RESULTADOS'!$A$1:$R$124,18,0)</f>
        <v>#N/A</v>
      </c>
      <c r="D236" s="57" t="e">
        <f>VLOOKUP(A236,'3.gral'!$A$5:$W$187,23,0)</f>
        <v>#VALUE!</v>
      </c>
      <c r="E236" s="57" t="e">
        <f>VLOOKUP(LEFT(A236,7),'4.Todo'!$B$2:$L$272,11,0)</f>
        <v>#N/A</v>
      </c>
      <c r="F236" s="57" t="e">
        <f>VLOOKUP(A236,'5.AT'!$A$2:$Y$200,25,0)</f>
        <v>#N/A</v>
      </c>
      <c r="G236" s="57" t="e">
        <f t="shared" si="3"/>
        <v>#VALUE!</v>
      </c>
    </row>
    <row r="237" spans="2:7" x14ac:dyDescent="0.25">
      <c r="B237" s="57" t="e">
        <f>VLOOKUP(A237,'1.CALIF'!$A$8:$N$400,14,0)</f>
        <v>#VALUE!</v>
      </c>
      <c r="C237" s="57" t="e">
        <f>VLOOKUP(A237,'2.RESULTADOS'!$A$1:$R$124,18,0)</f>
        <v>#N/A</v>
      </c>
      <c r="D237" s="57" t="e">
        <f>VLOOKUP(A237,'3.gral'!$A$5:$W$187,23,0)</f>
        <v>#VALUE!</v>
      </c>
      <c r="E237" s="57" t="e">
        <f>VLOOKUP(LEFT(A237,7),'4.Todo'!$B$2:$L$272,11,0)</f>
        <v>#N/A</v>
      </c>
      <c r="F237" s="57" t="e">
        <f>VLOOKUP(A237,'5.AT'!$A$2:$Y$200,25,0)</f>
        <v>#N/A</v>
      </c>
      <c r="G237" s="57" t="e">
        <f t="shared" si="3"/>
        <v>#VALUE!</v>
      </c>
    </row>
    <row r="238" spans="2:7" x14ac:dyDescent="0.25">
      <c r="B238" s="57" t="e">
        <f>VLOOKUP(A238,'1.CALIF'!$A$8:$N$400,14,0)</f>
        <v>#VALUE!</v>
      </c>
      <c r="C238" s="57" t="e">
        <f>VLOOKUP(A238,'2.RESULTADOS'!$A$1:$R$124,18,0)</f>
        <v>#N/A</v>
      </c>
      <c r="D238" s="57" t="e">
        <f>VLOOKUP(A238,'3.gral'!$A$5:$W$187,23,0)</f>
        <v>#VALUE!</v>
      </c>
      <c r="E238" s="57" t="e">
        <f>VLOOKUP(LEFT(A238,7),'4.Todo'!$B$2:$L$272,11,0)</f>
        <v>#N/A</v>
      </c>
      <c r="F238" s="57" t="e">
        <f>VLOOKUP(A238,'5.AT'!$A$2:$Y$200,25,0)</f>
        <v>#N/A</v>
      </c>
      <c r="G238" s="57" t="e">
        <f t="shared" si="3"/>
        <v>#VALUE!</v>
      </c>
    </row>
    <row r="239" spans="2:7" x14ac:dyDescent="0.25">
      <c r="B239" s="57" t="e">
        <f>VLOOKUP(A239,'1.CALIF'!$A$8:$N$400,14,0)</f>
        <v>#VALUE!</v>
      </c>
      <c r="C239" s="57" t="e">
        <f>VLOOKUP(A239,'2.RESULTADOS'!$A$1:$R$124,18,0)</f>
        <v>#N/A</v>
      </c>
      <c r="D239" s="57" t="e">
        <f>VLOOKUP(A239,'3.gral'!$A$5:$W$187,23,0)</f>
        <v>#VALUE!</v>
      </c>
      <c r="E239" s="57" t="e">
        <f>VLOOKUP(LEFT(A239,7),'4.Todo'!$B$2:$L$272,11,0)</f>
        <v>#N/A</v>
      </c>
      <c r="F239" s="57" t="e">
        <f>VLOOKUP(A239,'5.AT'!$A$2:$Y$200,25,0)</f>
        <v>#N/A</v>
      </c>
      <c r="G239" s="57" t="e">
        <f t="shared" si="3"/>
        <v>#VALUE!</v>
      </c>
    </row>
    <row r="240" spans="2:7" x14ac:dyDescent="0.25">
      <c r="B240" s="57" t="e">
        <f>VLOOKUP(A240,'1.CALIF'!$A$8:$N$400,14,0)</f>
        <v>#VALUE!</v>
      </c>
      <c r="C240" s="57" t="e">
        <f>VLOOKUP(A240,'2.RESULTADOS'!$A$1:$R$124,18,0)</f>
        <v>#N/A</v>
      </c>
      <c r="D240" s="57" t="e">
        <f>VLOOKUP(A240,'3.gral'!$A$5:$W$187,23,0)</f>
        <v>#VALUE!</v>
      </c>
      <c r="E240" s="57" t="e">
        <f>VLOOKUP(LEFT(A240,7),'4.Todo'!$B$2:$L$272,11,0)</f>
        <v>#N/A</v>
      </c>
      <c r="F240" s="57" t="e">
        <f>VLOOKUP(A240,'5.AT'!$A$2:$Y$200,25,0)</f>
        <v>#N/A</v>
      </c>
      <c r="G240" s="57" t="e">
        <f t="shared" si="3"/>
        <v>#VALUE!</v>
      </c>
    </row>
    <row r="241" spans="2:7" x14ac:dyDescent="0.25">
      <c r="B241" s="57" t="e">
        <f>VLOOKUP(A241,'1.CALIF'!$A$8:$N$400,14,0)</f>
        <v>#VALUE!</v>
      </c>
      <c r="C241" s="57" t="e">
        <f>VLOOKUP(A241,'2.RESULTADOS'!$A$1:$R$124,18,0)</f>
        <v>#N/A</v>
      </c>
      <c r="D241" s="57" t="e">
        <f>VLOOKUP(A241,'3.gral'!$A$5:$W$187,23,0)</f>
        <v>#VALUE!</v>
      </c>
      <c r="E241" s="57" t="e">
        <f>VLOOKUP(LEFT(A241,7),'4.Todo'!$B$2:$L$272,11,0)</f>
        <v>#N/A</v>
      </c>
      <c r="F241" s="57" t="e">
        <f>VLOOKUP(A241,'5.AT'!$A$2:$Y$200,25,0)</f>
        <v>#N/A</v>
      </c>
      <c r="G241" s="57" t="e">
        <f t="shared" si="3"/>
        <v>#VALUE!</v>
      </c>
    </row>
    <row r="242" spans="2:7" x14ac:dyDescent="0.25">
      <c r="B242" s="57" t="e">
        <f>VLOOKUP(A242,'1.CALIF'!$A$8:$N$400,14,0)</f>
        <v>#VALUE!</v>
      </c>
      <c r="C242" s="57" t="e">
        <f>VLOOKUP(A242,'2.RESULTADOS'!$A$1:$R$124,18,0)</f>
        <v>#N/A</v>
      </c>
      <c r="D242" s="57" t="e">
        <f>VLOOKUP(A242,'3.gral'!$A$5:$W$187,23,0)</f>
        <v>#VALUE!</v>
      </c>
      <c r="E242" s="57" t="e">
        <f>VLOOKUP(LEFT(A242,7),'4.Todo'!$B$2:$L$272,11,0)</f>
        <v>#N/A</v>
      </c>
      <c r="F242" s="57" t="e">
        <f>VLOOKUP(A242,'5.AT'!$A$2:$Y$200,25,0)</f>
        <v>#N/A</v>
      </c>
      <c r="G242" s="57" t="e">
        <f t="shared" si="3"/>
        <v>#VALUE!</v>
      </c>
    </row>
    <row r="243" spans="2:7" x14ac:dyDescent="0.25">
      <c r="B243" s="57" t="e">
        <f>VLOOKUP(A243,'1.CALIF'!$A$8:$N$400,14,0)</f>
        <v>#VALUE!</v>
      </c>
      <c r="C243" s="57" t="e">
        <f>VLOOKUP(A243,'2.RESULTADOS'!$A$1:$R$124,18,0)</f>
        <v>#N/A</v>
      </c>
      <c r="D243" s="57" t="e">
        <f>VLOOKUP(A243,'3.gral'!$A$5:$W$187,23,0)</f>
        <v>#VALUE!</v>
      </c>
      <c r="E243" s="57" t="e">
        <f>VLOOKUP(LEFT(A243,7),'4.Todo'!$B$2:$L$272,11,0)</f>
        <v>#N/A</v>
      </c>
      <c r="F243" s="57" t="e">
        <f>VLOOKUP(A243,'5.AT'!$A$2:$Y$200,25,0)</f>
        <v>#N/A</v>
      </c>
      <c r="G243" s="57" t="e">
        <f t="shared" si="3"/>
        <v>#VALUE!</v>
      </c>
    </row>
    <row r="244" spans="2:7" x14ac:dyDescent="0.25">
      <c r="B244" s="57" t="e">
        <f>VLOOKUP(A244,'1.CALIF'!$A$8:$N$400,14,0)</f>
        <v>#VALUE!</v>
      </c>
      <c r="C244" s="57" t="e">
        <f>VLOOKUP(A244,'2.RESULTADOS'!$A$1:$R$124,18,0)</f>
        <v>#N/A</v>
      </c>
      <c r="D244" s="57" t="e">
        <f>VLOOKUP(A244,'3.gral'!$A$5:$W$187,23,0)</f>
        <v>#VALUE!</v>
      </c>
      <c r="E244" s="57" t="e">
        <f>VLOOKUP(LEFT(A244,7),'4.Todo'!$B$2:$L$272,11,0)</f>
        <v>#N/A</v>
      </c>
      <c r="F244" s="57" t="e">
        <f>VLOOKUP(A244,'5.AT'!$A$2:$Y$200,25,0)</f>
        <v>#N/A</v>
      </c>
      <c r="G244" s="57" t="e">
        <f t="shared" si="3"/>
        <v>#VALUE!</v>
      </c>
    </row>
    <row r="245" spans="2:7" x14ac:dyDescent="0.25">
      <c r="B245" s="57" t="e">
        <f>VLOOKUP(A245,'1.CALIF'!$A$8:$N$400,14,0)</f>
        <v>#VALUE!</v>
      </c>
      <c r="C245" s="57" t="e">
        <f>VLOOKUP(A245,'2.RESULTADOS'!$A$1:$R$124,18,0)</f>
        <v>#N/A</v>
      </c>
      <c r="D245" s="57" t="e">
        <f>VLOOKUP(A245,'3.gral'!$A$5:$W$187,23,0)</f>
        <v>#VALUE!</v>
      </c>
      <c r="E245" s="57" t="e">
        <f>VLOOKUP(LEFT(A245,7),'4.Todo'!$B$2:$L$272,11,0)</f>
        <v>#N/A</v>
      </c>
      <c r="F245" s="57" t="e">
        <f>VLOOKUP(A245,'5.AT'!$A$2:$Y$200,25,0)</f>
        <v>#N/A</v>
      </c>
      <c r="G245" s="57" t="e">
        <f t="shared" si="3"/>
        <v>#VALUE!</v>
      </c>
    </row>
    <row r="246" spans="2:7" x14ac:dyDescent="0.25">
      <c r="B246" s="57" t="e">
        <f>VLOOKUP(A246,'1.CALIF'!$A$8:$N$400,14,0)</f>
        <v>#VALUE!</v>
      </c>
      <c r="C246" s="57" t="e">
        <f>VLOOKUP(A246,'2.RESULTADOS'!$A$1:$R$124,18,0)</f>
        <v>#N/A</v>
      </c>
      <c r="D246" s="57" t="e">
        <f>VLOOKUP(A246,'3.gral'!$A$5:$W$187,23,0)</f>
        <v>#VALUE!</v>
      </c>
      <c r="E246" s="57" t="e">
        <f>VLOOKUP(LEFT(A246,7),'4.Todo'!$B$2:$L$272,11,0)</f>
        <v>#N/A</v>
      </c>
      <c r="F246" s="57" t="e">
        <f>VLOOKUP(A246,'5.AT'!$A$2:$Y$200,25,0)</f>
        <v>#N/A</v>
      </c>
      <c r="G246" s="57" t="e">
        <f t="shared" si="3"/>
        <v>#VALUE!</v>
      </c>
    </row>
    <row r="247" spans="2:7" x14ac:dyDescent="0.25">
      <c r="B247" s="57" t="e">
        <f>VLOOKUP(A247,'1.CALIF'!$A$8:$N$400,14,0)</f>
        <v>#VALUE!</v>
      </c>
      <c r="C247" s="57" t="e">
        <f>VLOOKUP(A247,'2.RESULTADOS'!$A$1:$R$124,18,0)</f>
        <v>#N/A</v>
      </c>
      <c r="D247" s="57" t="e">
        <f>VLOOKUP(A247,'3.gral'!$A$5:$W$187,23,0)</f>
        <v>#VALUE!</v>
      </c>
      <c r="E247" s="57" t="e">
        <f>VLOOKUP(LEFT(A247,7),'4.Todo'!$B$2:$L$272,11,0)</f>
        <v>#N/A</v>
      </c>
      <c r="F247" s="57" t="e">
        <f>VLOOKUP(A247,'5.AT'!$A$2:$Y$200,25,0)</f>
        <v>#N/A</v>
      </c>
      <c r="G247" s="57" t="e">
        <f t="shared" si="3"/>
        <v>#VALUE!</v>
      </c>
    </row>
    <row r="248" spans="2:7" x14ac:dyDescent="0.25">
      <c r="B248" s="57" t="e">
        <f>VLOOKUP(A248,'1.CALIF'!$A$8:$N$400,14,0)</f>
        <v>#VALUE!</v>
      </c>
      <c r="C248" s="57" t="e">
        <f>VLOOKUP(A248,'2.RESULTADOS'!$A$1:$R$124,18,0)</f>
        <v>#N/A</v>
      </c>
      <c r="D248" s="57" t="e">
        <f>VLOOKUP(A248,'3.gral'!$A$5:$W$187,23,0)</f>
        <v>#VALUE!</v>
      </c>
      <c r="E248" s="57" t="e">
        <f>VLOOKUP(LEFT(A248,7),'4.Todo'!$B$2:$L$272,11,0)</f>
        <v>#N/A</v>
      </c>
      <c r="F248" s="57" t="e">
        <f>VLOOKUP(A248,'5.AT'!$A$2:$Y$200,25,0)</f>
        <v>#N/A</v>
      </c>
      <c r="G248" s="57" t="e">
        <f t="shared" si="3"/>
        <v>#VALUE!</v>
      </c>
    </row>
    <row r="249" spans="2:7" x14ac:dyDescent="0.25">
      <c r="B249" s="57" t="e">
        <f>VLOOKUP(A249,'1.CALIF'!$A$8:$N$400,14,0)</f>
        <v>#VALUE!</v>
      </c>
      <c r="C249" s="57" t="e">
        <f>VLOOKUP(A249,'2.RESULTADOS'!$A$1:$R$124,18,0)</f>
        <v>#N/A</v>
      </c>
      <c r="D249" s="57" t="e">
        <f>VLOOKUP(A249,'3.gral'!$A$5:$W$187,23,0)</f>
        <v>#VALUE!</v>
      </c>
      <c r="E249" s="57" t="e">
        <f>VLOOKUP(LEFT(A249,7),'4.Todo'!$B$2:$L$272,11,0)</f>
        <v>#N/A</v>
      </c>
      <c r="F249" s="57" t="e">
        <f>VLOOKUP(A249,'5.AT'!$A$2:$Y$200,25,0)</f>
        <v>#N/A</v>
      </c>
      <c r="G249" s="57" t="e">
        <f t="shared" si="3"/>
        <v>#VALUE!</v>
      </c>
    </row>
    <row r="250" spans="2:7" x14ac:dyDescent="0.25">
      <c r="B250" s="57" t="e">
        <f>VLOOKUP(A250,'1.CALIF'!$A$8:$N$400,14,0)</f>
        <v>#VALUE!</v>
      </c>
      <c r="C250" s="57" t="e">
        <f>VLOOKUP(A250,'2.RESULTADOS'!$A$1:$R$124,18,0)</f>
        <v>#N/A</v>
      </c>
      <c r="D250" s="57" t="e">
        <f>VLOOKUP(A250,'3.gral'!$A$5:$W$187,23,0)</f>
        <v>#VALUE!</v>
      </c>
      <c r="E250" s="57" t="e">
        <f>VLOOKUP(LEFT(A250,7),'4.Todo'!$B$2:$L$272,11,0)</f>
        <v>#N/A</v>
      </c>
      <c r="F250" s="57" t="e">
        <f>VLOOKUP(A250,'5.AT'!$A$2:$Y$200,25,0)</f>
        <v>#N/A</v>
      </c>
      <c r="G250" s="57" t="e">
        <f t="shared" si="3"/>
        <v>#VALUE!</v>
      </c>
    </row>
    <row r="251" spans="2:7" x14ac:dyDescent="0.25">
      <c r="B251" s="57" t="e">
        <f>VLOOKUP(A251,'1.CALIF'!$A$8:$N$400,14,0)</f>
        <v>#VALUE!</v>
      </c>
      <c r="C251" s="57" t="e">
        <f>VLOOKUP(A251,'2.RESULTADOS'!$A$1:$R$124,18,0)</f>
        <v>#N/A</v>
      </c>
      <c r="D251" s="57" t="e">
        <f>VLOOKUP(A251,'3.gral'!$A$5:$W$187,23,0)</f>
        <v>#VALUE!</v>
      </c>
      <c r="E251" s="57" t="e">
        <f>VLOOKUP(LEFT(A251,7),'4.Todo'!$B$2:$L$272,11,0)</f>
        <v>#N/A</v>
      </c>
      <c r="F251" s="57" t="e">
        <f>VLOOKUP(A251,'5.AT'!$A$2:$Y$200,25,0)</f>
        <v>#N/A</v>
      </c>
      <c r="G251" s="57" t="e">
        <f t="shared" si="3"/>
        <v>#VALUE!</v>
      </c>
    </row>
    <row r="252" spans="2:7" x14ac:dyDescent="0.25">
      <c r="B252" s="57" t="e">
        <f>VLOOKUP(A252,'1.CALIF'!$A$8:$N$400,14,0)</f>
        <v>#VALUE!</v>
      </c>
      <c r="C252" s="57" t="e">
        <f>VLOOKUP(A252,'2.RESULTADOS'!$A$1:$R$124,18,0)</f>
        <v>#N/A</v>
      </c>
      <c r="D252" s="57" t="e">
        <f>VLOOKUP(A252,'3.gral'!$A$5:$W$187,23,0)</f>
        <v>#VALUE!</v>
      </c>
      <c r="E252" s="57" t="e">
        <f>VLOOKUP(LEFT(A252,7),'4.Todo'!$B$2:$L$272,11,0)</f>
        <v>#N/A</v>
      </c>
      <c r="F252" s="57" t="e">
        <f>VLOOKUP(A252,'5.AT'!$A$2:$Y$200,25,0)</f>
        <v>#N/A</v>
      </c>
      <c r="G252" s="57" t="e">
        <f t="shared" si="3"/>
        <v>#VALUE!</v>
      </c>
    </row>
    <row r="253" spans="2:7" x14ac:dyDescent="0.25">
      <c r="B253" s="57" t="e">
        <f>VLOOKUP(A253,'1.CALIF'!$A$8:$N$400,14,0)</f>
        <v>#VALUE!</v>
      </c>
      <c r="C253" s="57" t="e">
        <f>VLOOKUP(A253,'2.RESULTADOS'!$A$1:$R$124,18,0)</f>
        <v>#N/A</v>
      </c>
      <c r="D253" s="57" t="e">
        <f>VLOOKUP(A253,'3.gral'!$A$5:$W$187,23,0)</f>
        <v>#VALUE!</v>
      </c>
      <c r="E253" s="57" t="e">
        <f>VLOOKUP(LEFT(A253,7),'4.Todo'!$B$2:$L$272,11,0)</f>
        <v>#N/A</v>
      </c>
      <c r="F253" s="57" t="e">
        <f>VLOOKUP(A253,'5.AT'!$A$2:$Y$200,25,0)</f>
        <v>#N/A</v>
      </c>
      <c r="G253" s="57" t="e">
        <f t="shared" si="3"/>
        <v>#VALUE!</v>
      </c>
    </row>
    <row r="254" spans="2:7" x14ac:dyDescent="0.25">
      <c r="B254" s="57" t="e">
        <f>VLOOKUP(A254,'1.CALIF'!$A$8:$N$400,14,0)</f>
        <v>#VALUE!</v>
      </c>
      <c r="C254" s="57" t="e">
        <f>VLOOKUP(A254,'2.RESULTADOS'!$A$1:$R$124,18,0)</f>
        <v>#N/A</v>
      </c>
      <c r="D254" s="57" t="e">
        <f>VLOOKUP(A254,'3.gral'!$A$5:$W$187,23,0)</f>
        <v>#VALUE!</v>
      </c>
      <c r="E254" s="57" t="e">
        <f>VLOOKUP(LEFT(A254,7),'4.Todo'!$B$2:$L$272,11,0)</f>
        <v>#N/A</v>
      </c>
      <c r="F254" s="57" t="e">
        <f>VLOOKUP(A254,'5.AT'!$A$2:$Y$200,25,0)</f>
        <v>#N/A</v>
      </c>
      <c r="G254" s="57" t="e">
        <f t="shared" si="3"/>
        <v>#VALUE!</v>
      </c>
    </row>
    <row r="255" spans="2:7" x14ac:dyDescent="0.25">
      <c r="B255" s="57" t="e">
        <f>VLOOKUP(A255,'1.CALIF'!$A$8:$N$400,14,0)</f>
        <v>#VALUE!</v>
      </c>
      <c r="C255" s="57" t="e">
        <f>VLOOKUP(A255,'2.RESULTADOS'!$A$1:$R$124,18,0)</f>
        <v>#N/A</v>
      </c>
      <c r="D255" s="57" t="e">
        <f>VLOOKUP(A255,'3.gral'!$A$5:$W$187,23,0)</f>
        <v>#VALUE!</v>
      </c>
      <c r="E255" s="57" t="e">
        <f>VLOOKUP(LEFT(A255,7),'4.Todo'!$B$2:$L$272,11,0)</f>
        <v>#N/A</v>
      </c>
      <c r="F255" s="57" t="e">
        <f>VLOOKUP(A255,'5.AT'!$A$2:$Y$200,25,0)</f>
        <v>#N/A</v>
      </c>
      <c r="G255" s="57" t="e">
        <f t="shared" si="3"/>
        <v>#VALUE!</v>
      </c>
    </row>
    <row r="256" spans="2:7" x14ac:dyDescent="0.25">
      <c r="B256" s="57" t="e">
        <f>VLOOKUP(A256,'1.CALIF'!$A$8:$N$400,14,0)</f>
        <v>#VALUE!</v>
      </c>
      <c r="C256" s="57" t="e">
        <f>VLOOKUP(A256,'2.RESULTADOS'!$A$1:$R$124,18,0)</f>
        <v>#N/A</v>
      </c>
      <c r="D256" s="57" t="e">
        <f>VLOOKUP(A256,'3.gral'!$A$5:$W$187,23,0)</f>
        <v>#VALUE!</v>
      </c>
      <c r="E256" s="57" t="e">
        <f>VLOOKUP(LEFT(A256,7),'4.Todo'!$B$2:$L$272,11,0)</f>
        <v>#N/A</v>
      </c>
      <c r="F256" s="57" t="e">
        <f>VLOOKUP(A256,'5.AT'!$A$2:$Y$200,25,0)</f>
        <v>#N/A</v>
      </c>
      <c r="G256" s="57" t="e">
        <f t="shared" si="3"/>
        <v>#VALUE!</v>
      </c>
    </row>
    <row r="257" spans="2:7" x14ac:dyDescent="0.25">
      <c r="B257" s="57" t="e">
        <f>VLOOKUP(A257,'1.CALIF'!$A$8:$N$400,14,0)</f>
        <v>#VALUE!</v>
      </c>
      <c r="C257" s="57" t="e">
        <f>VLOOKUP(A257,'2.RESULTADOS'!$A$1:$R$124,18,0)</f>
        <v>#N/A</v>
      </c>
      <c r="D257" s="57" t="e">
        <f>VLOOKUP(A257,'3.gral'!$A$5:$W$187,23,0)</f>
        <v>#VALUE!</v>
      </c>
      <c r="E257" s="57" t="e">
        <f>VLOOKUP(LEFT(A257,7),'4.Todo'!$B$2:$L$272,11,0)</f>
        <v>#N/A</v>
      </c>
      <c r="F257" s="57" t="e">
        <f>VLOOKUP(A257,'5.AT'!$A$2:$Y$200,25,0)</f>
        <v>#N/A</v>
      </c>
      <c r="G257" s="57" t="e">
        <f t="shared" si="3"/>
        <v>#VALUE!</v>
      </c>
    </row>
    <row r="258" spans="2:7" x14ac:dyDescent="0.25">
      <c r="B258" s="57" t="e">
        <f>VLOOKUP(A258,'1.CALIF'!$A$8:$N$400,14,0)</f>
        <v>#VALUE!</v>
      </c>
      <c r="C258" s="57" t="e">
        <f>VLOOKUP(A258,'2.RESULTADOS'!$A$1:$R$124,18,0)</f>
        <v>#N/A</v>
      </c>
      <c r="D258" s="57" t="e">
        <f>VLOOKUP(A258,'3.gral'!$A$5:$W$187,23,0)</f>
        <v>#VALUE!</v>
      </c>
      <c r="E258" s="57" t="e">
        <f>VLOOKUP(LEFT(A258,7),'4.Todo'!$B$2:$L$272,11,0)</f>
        <v>#N/A</v>
      </c>
      <c r="F258" s="57" t="e">
        <f>VLOOKUP(A258,'5.AT'!$A$2:$Y$200,25,0)</f>
        <v>#N/A</v>
      </c>
      <c r="G258" s="57" t="e">
        <f t="shared" si="3"/>
        <v>#VALUE!</v>
      </c>
    </row>
    <row r="259" spans="2:7" x14ac:dyDescent="0.25">
      <c r="B259" s="57" t="e">
        <f>VLOOKUP(A259,'1.CALIF'!$A$8:$N$400,14,0)</f>
        <v>#VALUE!</v>
      </c>
      <c r="C259" s="57" t="e">
        <f>VLOOKUP(A259,'2.RESULTADOS'!$A$1:$R$124,18,0)</f>
        <v>#N/A</v>
      </c>
      <c r="D259" s="57" t="e">
        <f>VLOOKUP(A259,'3.gral'!$A$5:$W$187,23,0)</f>
        <v>#VALUE!</v>
      </c>
      <c r="E259" s="57" t="e">
        <f>VLOOKUP(LEFT(A259,7),'4.Todo'!$B$2:$L$272,11,0)</f>
        <v>#N/A</v>
      </c>
      <c r="F259" s="57" t="e">
        <f>VLOOKUP(A259,'5.AT'!$A$2:$Y$200,25,0)</f>
        <v>#N/A</v>
      </c>
      <c r="G259" s="57" t="e">
        <f t="shared" ref="G259:G322" si="4">B259*$B$1+C259*$C$1+D259*$D$1+E259*$E$1+F259*$F$1</f>
        <v>#VALUE!</v>
      </c>
    </row>
    <row r="260" spans="2:7" x14ac:dyDescent="0.25">
      <c r="B260" s="57" t="e">
        <f>VLOOKUP(A260,'1.CALIF'!$A$8:$N$400,14,0)</f>
        <v>#VALUE!</v>
      </c>
      <c r="C260" s="57" t="e">
        <f>VLOOKUP(A260,'2.RESULTADOS'!$A$1:$R$124,18,0)</f>
        <v>#N/A</v>
      </c>
      <c r="D260" s="57" t="e">
        <f>VLOOKUP(A260,'3.gral'!$A$5:$W$187,23,0)</f>
        <v>#VALUE!</v>
      </c>
      <c r="E260" s="57" t="e">
        <f>VLOOKUP(LEFT(A260,7),'4.Todo'!$B$2:$L$272,11,0)</f>
        <v>#N/A</v>
      </c>
      <c r="F260" s="57" t="e">
        <f>VLOOKUP(A260,'5.AT'!$A$2:$Y$200,25,0)</f>
        <v>#N/A</v>
      </c>
      <c r="G260" s="57" t="e">
        <f t="shared" si="4"/>
        <v>#VALUE!</v>
      </c>
    </row>
    <row r="261" spans="2:7" x14ac:dyDescent="0.25">
      <c r="B261" s="57" t="e">
        <f>VLOOKUP(A261,'1.CALIF'!$A$8:$N$400,14,0)</f>
        <v>#VALUE!</v>
      </c>
      <c r="C261" s="57" t="e">
        <f>VLOOKUP(A261,'2.RESULTADOS'!$A$1:$R$124,18,0)</f>
        <v>#N/A</v>
      </c>
      <c r="D261" s="57" t="e">
        <f>VLOOKUP(A261,'3.gral'!$A$5:$W$187,23,0)</f>
        <v>#VALUE!</v>
      </c>
      <c r="E261" s="57" t="e">
        <f>VLOOKUP(LEFT(A261,7),'4.Todo'!$B$2:$L$272,11,0)</f>
        <v>#N/A</v>
      </c>
      <c r="F261" s="57" t="e">
        <f>VLOOKUP(A261,'5.AT'!$A$2:$Y$200,25,0)</f>
        <v>#N/A</v>
      </c>
      <c r="G261" s="57" t="e">
        <f t="shared" si="4"/>
        <v>#VALUE!</v>
      </c>
    </row>
    <row r="262" spans="2:7" x14ac:dyDescent="0.25">
      <c r="B262" s="57" t="e">
        <f>VLOOKUP(A262,'1.CALIF'!$A$8:$N$400,14,0)</f>
        <v>#VALUE!</v>
      </c>
      <c r="C262" s="57" t="e">
        <f>VLOOKUP(A262,'2.RESULTADOS'!$A$1:$R$124,18,0)</f>
        <v>#N/A</v>
      </c>
      <c r="D262" s="57" t="e">
        <f>VLOOKUP(A262,'3.gral'!$A$5:$W$187,23,0)</f>
        <v>#VALUE!</v>
      </c>
      <c r="E262" s="57" t="e">
        <f>VLOOKUP(LEFT(A262,7),'4.Todo'!$B$2:$L$272,11,0)</f>
        <v>#N/A</v>
      </c>
      <c r="F262" s="57" t="e">
        <f>VLOOKUP(A262,'5.AT'!$A$2:$Y$200,25,0)</f>
        <v>#N/A</v>
      </c>
      <c r="G262" s="57" t="e">
        <f t="shared" si="4"/>
        <v>#VALUE!</v>
      </c>
    </row>
    <row r="263" spans="2:7" x14ac:dyDescent="0.25">
      <c r="B263" s="57" t="e">
        <f>VLOOKUP(A263,'1.CALIF'!$A$8:$N$400,14,0)</f>
        <v>#VALUE!</v>
      </c>
      <c r="C263" s="57" t="e">
        <f>VLOOKUP(A263,'2.RESULTADOS'!$A$1:$R$124,18,0)</f>
        <v>#N/A</v>
      </c>
      <c r="D263" s="57" t="e">
        <f>VLOOKUP(A263,'3.gral'!$A$5:$W$187,23,0)</f>
        <v>#VALUE!</v>
      </c>
      <c r="E263" s="57" t="e">
        <f>VLOOKUP(LEFT(A263,7),'4.Todo'!$B$2:$L$272,11,0)</f>
        <v>#N/A</v>
      </c>
      <c r="F263" s="57" t="e">
        <f>VLOOKUP(A263,'5.AT'!$A$2:$Y$200,25,0)</f>
        <v>#N/A</v>
      </c>
      <c r="G263" s="57" t="e">
        <f t="shared" si="4"/>
        <v>#VALUE!</v>
      </c>
    </row>
    <row r="264" spans="2:7" x14ac:dyDescent="0.25">
      <c r="B264" s="57" t="e">
        <f>VLOOKUP(A264,'1.CALIF'!$A$8:$N$400,14,0)</f>
        <v>#VALUE!</v>
      </c>
      <c r="C264" s="57" t="e">
        <f>VLOOKUP(A264,'2.RESULTADOS'!$A$1:$R$124,18,0)</f>
        <v>#N/A</v>
      </c>
      <c r="D264" s="57" t="e">
        <f>VLOOKUP(A264,'3.gral'!$A$5:$W$187,23,0)</f>
        <v>#VALUE!</v>
      </c>
      <c r="E264" s="57" t="e">
        <f>VLOOKUP(LEFT(A264,7),'4.Todo'!$B$2:$L$272,11,0)</f>
        <v>#N/A</v>
      </c>
      <c r="F264" s="57" t="e">
        <f>VLOOKUP(A264,'5.AT'!$A$2:$Y$200,25,0)</f>
        <v>#N/A</v>
      </c>
      <c r="G264" s="57" t="e">
        <f t="shared" si="4"/>
        <v>#VALUE!</v>
      </c>
    </row>
    <row r="265" spans="2:7" x14ac:dyDescent="0.25">
      <c r="B265" s="57" t="e">
        <f>VLOOKUP(A265,'1.CALIF'!$A$8:$N$400,14,0)</f>
        <v>#VALUE!</v>
      </c>
      <c r="C265" s="57" t="e">
        <f>VLOOKUP(A265,'2.RESULTADOS'!$A$1:$R$124,18,0)</f>
        <v>#N/A</v>
      </c>
      <c r="D265" s="57" t="e">
        <f>VLOOKUP(A265,'3.gral'!$A$5:$W$187,23,0)</f>
        <v>#VALUE!</v>
      </c>
      <c r="E265" s="57" t="e">
        <f>VLOOKUP(LEFT(A265,7),'4.Todo'!$B$2:$L$272,11,0)</f>
        <v>#N/A</v>
      </c>
      <c r="F265" s="57" t="e">
        <f>VLOOKUP(A265,'5.AT'!$A$2:$Y$200,25,0)</f>
        <v>#N/A</v>
      </c>
      <c r="G265" s="57" t="e">
        <f t="shared" si="4"/>
        <v>#VALUE!</v>
      </c>
    </row>
    <row r="266" spans="2:7" x14ac:dyDescent="0.25">
      <c r="B266" s="57" t="e">
        <f>VLOOKUP(A266,'1.CALIF'!$A$8:$N$400,14,0)</f>
        <v>#VALUE!</v>
      </c>
      <c r="C266" s="57" t="e">
        <f>VLOOKUP(A266,'2.RESULTADOS'!$A$1:$R$124,18,0)</f>
        <v>#N/A</v>
      </c>
      <c r="D266" s="57" t="e">
        <f>VLOOKUP(A266,'3.gral'!$A$5:$W$187,23,0)</f>
        <v>#VALUE!</v>
      </c>
      <c r="E266" s="57" t="e">
        <f>VLOOKUP(LEFT(A266,7),'4.Todo'!$B$2:$L$272,11,0)</f>
        <v>#N/A</v>
      </c>
      <c r="F266" s="57" t="e">
        <f>VLOOKUP(A266,'5.AT'!$A$2:$Y$200,25,0)</f>
        <v>#N/A</v>
      </c>
      <c r="G266" s="57" t="e">
        <f t="shared" si="4"/>
        <v>#VALUE!</v>
      </c>
    </row>
    <row r="267" spans="2:7" x14ac:dyDescent="0.25">
      <c r="B267" s="57" t="e">
        <f>VLOOKUP(A267,'1.CALIF'!$A$8:$N$400,14,0)</f>
        <v>#VALUE!</v>
      </c>
      <c r="C267" s="57" t="e">
        <f>VLOOKUP(A267,'2.RESULTADOS'!$A$1:$R$124,18,0)</f>
        <v>#N/A</v>
      </c>
      <c r="D267" s="57" t="e">
        <f>VLOOKUP(A267,'3.gral'!$A$5:$W$187,23,0)</f>
        <v>#VALUE!</v>
      </c>
      <c r="E267" s="57" t="e">
        <f>VLOOKUP(LEFT(A267,7),'4.Todo'!$B$2:$L$272,11,0)</f>
        <v>#N/A</v>
      </c>
      <c r="F267" s="57" t="e">
        <f>VLOOKUP(A267,'5.AT'!$A$2:$Y$200,25,0)</f>
        <v>#N/A</v>
      </c>
      <c r="G267" s="57" t="e">
        <f t="shared" si="4"/>
        <v>#VALUE!</v>
      </c>
    </row>
    <row r="268" spans="2:7" x14ac:dyDescent="0.25">
      <c r="B268" s="57" t="e">
        <f>VLOOKUP(A268,'1.CALIF'!$A$8:$N$400,14,0)</f>
        <v>#VALUE!</v>
      </c>
      <c r="C268" s="57" t="e">
        <f>VLOOKUP(A268,'2.RESULTADOS'!$A$1:$R$124,18,0)</f>
        <v>#N/A</v>
      </c>
      <c r="D268" s="57" t="e">
        <f>VLOOKUP(A268,'3.gral'!$A$5:$W$187,23,0)</f>
        <v>#VALUE!</v>
      </c>
      <c r="E268" s="57" t="e">
        <f>VLOOKUP(LEFT(A268,7),'4.Todo'!$B$2:$L$272,11,0)</f>
        <v>#N/A</v>
      </c>
      <c r="F268" s="57" t="e">
        <f>VLOOKUP(A268,'5.AT'!$A$2:$Y$200,25,0)</f>
        <v>#N/A</v>
      </c>
      <c r="G268" s="57" t="e">
        <f t="shared" si="4"/>
        <v>#VALUE!</v>
      </c>
    </row>
    <row r="269" spans="2:7" x14ac:dyDescent="0.25">
      <c r="B269" s="57" t="e">
        <f>VLOOKUP(A269,'1.CALIF'!$A$8:$N$400,14,0)</f>
        <v>#VALUE!</v>
      </c>
      <c r="C269" s="57" t="e">
        <f>VLOOKUP(A269,'2.RESULTADOS'!$A$1:$R$124,18,0)</f>
        <v>#N/A</v>
      </c>
      <c r="D269" s="57" t="e">
        <f>VLOOKUP(A269,'3.gral'!$A$5:$W$187,23,0)</f>
        <v>#VALUE!</v>
      </c>
      <c r="E269" s="57" t="e">
        <f>VLOOKUP(LEFT(A269,7),'4.Todo'!$B$2:$L$272,11,0)</f>
        <v>#N/A</v>
      </c>
      <c r="F269" s="57" t="e">
        <f>VLOOKUP(A269,'5.AT'!$A$2:$Y$200,25,0)</f>
        <v>#N/A</v>
      </c>
      <c r="G269" s="57" t="e">
        <f t="shared" si="4"/>
        <v>#VALUE!</v>
      </c>
    </row>
    <row r="270" spans="2:7" x14ac:dyDescent="0.25">
      <c r="B270" s="57" t="e">
        <f>VLOOKUP(A270,'1.CALIF'!$A$8:$N$400,14,0)</f>
        <v>#VALUE!</v>
      </c>
      <c r="C270" s="57" t="e">
        <f>VLOOKUP(A270,'2.RESULTADOS'!$A$1:$R$124,18,0)</f>
        <v>#N/A</v>
      </c>
      <c r="D270" s="57" t="e">
        <f>VLOOKUP(A270,'3.gral'!$A$5:$W$187,23,0)</f>
        <v>#VALUE!</v>
      </c>
      <c r="E270" s="57" t="e">
        <f>VLOOKUP(LEFT(A270,7),'4.Todo'!$B$2:$L$272,11,0)</f>
        <v>#N/A</v>
      </c>
      <c r="F270" s="57" t="e">
        <f>VLOOKUP(A270,'5.AT'!$A$2:$Y$200,25,0)</f>
        <v>#N/A</v>
      </c>
      <c r="G270" s="57" t="e">
        <f t="shared" si="4"/>
        <v>#VALUE!</v>
      </c>
    </row>
    <row r="271" spans="2:7" x14ac:dyDescent="0.25">
      <c r="B271" s="57" t="e">
        <f>VLOOKUP(A271,'1.CALIF'!$A$8:$N$400,14,0)</f>
        <v>#VALUE!</v>
      </c>
      <c r="C271" s="57" t="e">
        <f>VLOOKUP(A271,'2.RESULTADOS'!$A$1:$R$124,18,0)</f>
        <v>#N/A</v>
      </c>
      <c r="D271" s="57" t="e">
        <f>VLOOKUP(A271,'3.gral'!$A$5:$W$187,23,0)</f>
        <v>#VALUE!</v>
      </c>
      <c r="E271" s="57" t="e">
        <f>VLOOKUP(LEFT(A271,7),'4.Todo'!$B$2:$L$272,11,0)</f>
        <v>#N/A</v>
      </c>
      <c r="F271" s="57" t="e">
        <f>VLOOKUP(A271,'5.AT'!$A$2:$Y$200,25,0)</f>
        <v>#N/A</v>
      </c>
      <c r="G271" s="57" t="e">
        <f t="shared" si="4"/>
        <v>#VALUE!</v>
      </c>
    </row>
    <row r="272" spans="2:7" x14ac:dyDescent="0.25">
      <c r="B272" s="57" t="e">
        <f>VLOOKUP(A272,'1.CALIF'!$A$8:$N$400,14,0)</f>
        <v>#VALUE!</v>
      </c>
      <c r="C272" s="57" t="e">
        <f>VLOOKUP(A272,'2.RESULTADOS'!$A$1:$R$124,18,0)</f>
        <v>#N/A</v>
      </c>
      <c r="D272" s="57" t="e">
        <f>VLOOKUP(A272,'3.gral'!$A$5:$W$187,23,0)</f>
        <v>#VALUE!</v>
      </c>
      <c r="E272" s="57" t="e">
        <f>VLOOKUP(LEFT(A272,7),'4.Todo'!$B$2:$L$272,11,0)</f>
        <v>#N/A</v>
      </c>
      <c r="F272" s="57" t="e">
        <f>VLOOKUP(A272,'5.AT'!$A$2:$Y$200,25,0)</f>
        <v>#N/A</v>
      </c>
      <c r="G272" s="57" t="e">
        <f t="shared" si="4"/>
        <v>#VALUE!</v>
      </c>
    </row>
    <row r="273" spans="2:7" x14ac:dyDescent="0.25">
      <c r="B273" s="57" t="e">
        <f>VLOOKUP(A273,'1.CALIF'!$A$8:$N$400,14,0)</f>
        <v>#VALUE!</v>
      </c>
      <c r="C273" s="57" t="e">
        <f>VLOOKUP(A273,'2.RESULTADOS'!$A$1:$R$124,18,0)</f>
        <v>#N/A</v>
      </c>
      <c r="D273" s="57" t="e">
        <f>VLOOKUP(A273,'3.gral'!$A$5:$W$187,23,0)</f>
        <v>#VALUE!</v>
      </c>
      <c r="E273" s="57" t="e">
        <f>VLOOKUP(LEFT(A273,7),'4.Todo'!$B$2:$L$272,11,0)</f>
        <v>#N/A</v>
      </c>
      <c r="F273" s="57" t="e">
        <f>VLOOKUP(A273,'5.AT'!$A$2:$Y$200,25,0)</f>
        <v>#N/A</v>
      </c>
      <c r="G273" s="57" t="e">
        <f t="shared" si="4"/>
        <v>#VALUE!</v>
      </c>
    </row>
    <row r="274" spans="2:7" x14ac:dyDescent="0.25">
      <c r="B274" s="57" t="e">
        <f>VLOOKUP(A274,'1.CALIF'!$A$8:$N$400,14,0)</f>
        <v>#VALUE!</v>
      </c>
      <c r="C274" s="57" t="e">
        <f>VLOOKUP(A274,'2.RESULTADOS'!$A$1:$R$124,18,0)</f>
        <v>#N/A</v>
      </c>
      <c r="D274" s="57" t="e">
        <f>VLOOKUP(A274,'3.gral'!$A$5:$W$187,23,0)</f>
        <v>#VALUE!</v>
      </c>
      <c r="E274" s="57" t="e">
        <f>VLOOKUP(LEFT(A274,7),'4.Todo'!$B$2:$L$272,11,0)</f>
        <v>#N/A</v>
      </c>
      <c r="F274" s="57" t="e">
        <f>VLOOKUP(A274,'5.AT'!$A$2:$Y$200,25,0)</f>
        <v>#N/A</v>
      </c>
      <c r="G274" s="57" t="e">
        <f t="shared" si="4"/>
        <v>#VALUE!</v>
      </c>
    </row>
    <row r="275" spans="2:7" x14ac:dyDescent="0.25">
      <c r="B275" s="57" t="e">
        <f>VLOOKUP(A275,'1.CALIF'!$A$8:$N$400,14,0)</f>
        <v>#VALUE!</v>
      </c>
      <c r="C275" s="57" t="e">
        <f>VLOOKUP(A275,'2.RESULTADOS'!$A$1:$R$124,18,0)</f>
        <v>#N/A</v>
      </c>
      <c r="D275" s="57" t="e">
        <f>VLOOKUP(A275,'3.gral'!$A$5:$W$187,23,0)</f>
        <v>#VALUE!</v>
      </c>
      <c r="E275" s="57" t="e">
        <f>VLOOKUP(LEFT(A275,7),'4.Todo'!$B$2:$L$272,11,0)</f>
        <v>#N/A</v>
      </c>
      <c r="F275" s="57" t="e">
        <f>VLOOKUP(A275,'5.AT'!$A$2:$Y$200,25,0)</f>
        <v>#N/A</v>
      </c>
      <c r="G275" s="57" t="e">
        <f t="shared" si="4"/>
        <v>#VALUE!</v>
      </c>
    </row>
    <row r="276" spans="2:7" x14ac:dyDescent="0.25">
      <c r="B276" s="57" t="e">
        <f>VLOOKUP(A276,'1.CALIF'!$A$8:$N$400,14,0)</f>
        <v>#VALUE!</v>
      </c>
      <c r="C276" s="57" t="e">
        <f>VLOOKUP(A276,'2.RESULTADOS'!$A$1:$R$124,18,0)</f>
        <v>#N/A</v>
      </c>
      <c r="D276" s="57" t="e">
        <f>VLOOKUP(A276,'3.gral'!$A$5:$W$187,23,0)</f>
        <v>#VALUE!</v>
      </c>
      <c r="E276" s="57" t="e">
        <f>VLOOKUP(LEFT(A276,7),'4.Todo'!$B$2:$L$272,11,0)</f>
        <v>#N/A</v>
      </c>
      <c r="F276" s="57" t="e">
        <f>VLOOKUP(A276,'5.AT'!$A$2:$Y$200,25,0)</f>
        <v>#N/A</v>
      </c>
      <c r="G276" s="57" t="e">
        <f t="shared" si="4"/>
        <v>#VALUE!</v>
      </c>
    </row>
    <row r="277" spans="2:7" x14ac:dyDescent="0.25">
      <c r="B277" s="57" t="e">
        <f>VLOOKUP(A277,'1.CALIF'!$A$8:$N$400,14,0)</f>
        <v>#VALUE!</v>
      </c>
      <c r="C277" s="57" t="e">
        <f>VLOOKUP(A277,'2.RESULTADOS'!$A$1:$R$124,18,0)</f>
        <v>#N/A</v>
      </c>
      <c r="D277" s="57" t="e">
        <f>VLOOKUP(A277,'3.gral'!$A$5:$W$187,23,0)</f>
        <v>#VALUE!</v>
      </c>
      <c r="E277" s="57" t="e">
        <f>VLOOKUP(LEFT(A277,7),'4.Todo'!$B$2:$L$272,11,0)</f>
        <v>#N/A</v>
      </c>
      <c r="F277" s="57" t="e">
        <f>VLOOKUP(A277,'5.AT'!$A$2:$Y$200,25,0)</f>
        <v>#N/A</v>
      </c>
      <c r="G277" s="57" t="e">
        <f t="shared" si="4"/>
        <v>#VALUE!</v>
      </c>
    </row>
    <row r="278" spans="2:7" x14ac:dyDescent="0.25">
      <c r="B278" s="57" t="e">
        <f>VLOOKUP(A278,'1.CALIF'!$A$8:$N$400,14,0)</f>
        <v>#VALUE!</v>
      </c>
      <c r="C278" s="57" t="e">
        <f>VLOOKUP(A278,'2.RESULTADOS'!$A$1:$R$124,18,0)</f>
        <v>#N/A</v>
      </c>
      <c r="D278" s="57" t="e">
        <f>VLOOKUP(A278,'3.gral'!$A$5:$W$187,23,0)</f>
        <v>#VALUE!</v>
      </c>
      <c r="E278" s="57" t="e">
        <f>VLOOKUP(LEFT(A278,7),'4.Todo'!$B$2:$L$272,11,0)</f>
        <v>#N/A</v>
      </c>
      <c r="F278" s="57" t="e">
        <f>VLOOKUP(A278,'5.AT'!$A$2:$Y$200,25,0)</f>
        <v>#N/A</v>
      </c>
      <c r="G278" s="57" t="e">
        <f t="shared" si="4"/>
        <v>#VALUE!</v>
      </c>
    </row>
    <row r="279" spans="2:7" x14ac:dyDescent="0.25">
      <c r="B279" s="57" t="e">
        <f>VLOOKUP(A279,'1.CALIF'!$A$8:$N$400,14,0)</f>
        <v>#VALUE!</v>
      </c>
      <c r="C279" s="57" t="e">
        <f>VLOOKUP(A279,'2.RESULTADOS'!$A$1:$R$124,18,0)</f>
        <v>#N/A</v>
      </c>
      <c r="D279" s="57" t="e">
        <f>VLOOKUP(A279,'3.gral'!$A$5:$W$187,23,0)</f>
        <v>#VALUE!</v>
      </c>
      <c r="E279" s="57" t="e">
        <f>VLOOKUP(LEFT(A279,7),'4.Todo'!$B$2:$L$272,11,0)</f>
        <v>#N/A</v>
      </c>
      <c r="F279" s="57" t="e">
        <f>VLOOKUP(A279,'5.AT'!$A$2:$Y$200,25,0)</f>
        <v>#N/A</v>
      </c>
      <c r="G279" s="57" t="e">
        <f t="shared" si="4"/>
        <v>#VALUE!</v>
      </c>
    </row>
    <row r="280" spans="2:7" x14ac:dyDescent="0.25">
      <c r="B280" s="57" t="e">
        <f>VLOOKUP(A280,'1.CALIF'!$A$8:$N$400,14,0)</f>
        <v>#VALUE!</v>
      </c>
      <c r="C280" s="57" t="e">
        <f>VLOOKUP(A280,'2.RESULTADOS'!$A$1:$R$124,18,0)</f>
        <v>#N/A</v>
      </c>
      <c r="D280" s="57" t="e">
        <f>VLOOKUP(A280,'3.gral'!$A$5:$W$187,23,0)</f>
        <v>#VALUE!</v>
      </c>
      <c r="E280" s="57" t="e">
        <f>VLOOKUP(LEFT(A280,7),'4.Todo'!$B$2:$L$272,11,0)</f>
        <v>#N/A</v>
      </c>
      <c r="F280" s="57" t="e">
        <f>VLOOKUP(A280,'5.AT'!$A$2:$Y$200,25,0)</f>
        <v>#N/A</v>
      </c>
      <c r="G280" s="57" t="e">
        <f t="shared" si="4"/>
        <v>#VALUE!</v>
      </c>
    </row>
    <row r="281" spans="2:7" x14ac:dyDescent="0.25">
      <c r="B281" s="57" t="e">
        <f>VLOOKUP(A281,'1.CALIF'!$A$8:$N$400,14,0)</f>
        <v>#VALUE!</v>
      </c>
      <c r="C281" s="57" t="e">
        <f>VLOOKUP(A281,'2.RESULTADOS'!$A$1:$R$124,18,0)</f>
        <v>#N/A</v>
      </c>
      <c r="D281" s="57" t="e">
        <f>VLOOKUP(A281,'3.gral'!$A$5:$W$187,23,0)</f>
        <v>#VALUE!</v>
      </c>
      <c r="E281" s="57" t="e">
        <f>VLOOKUP(LEFT(A281,7),'4.Todo'!$B$2:$L$272,11,0)</f>
        <v>#N/A</v>
      </c>
      <c r="F281" s="57" t="e">
        <f>VLOOKUP(A281,'5.AT'!$A$2:$Y$200,25,0)</f>
        <v>#N/A</v>
      </c>
      <c r="G281" s="57" t="e">
        <f t="shared" si="4"/>
        <v>#VALUE!</v>
      </c>
    </row>
    <row r="282" spans="2:7" x14ac:dyDescent="0.25">
      <c r="B282" s="57" t="e">
        <f>VLOOKUP(A282,'1.CALIF'!$A$8:$N$400,14,0)</f>
        <v>#VALUE!</v>
      </c>
      <c r="C282" s="57" t="e">
        <f>VLOOKUP(A282,'2.RESULTADOS'!$A$1:$R$124,18,0)</f>
        <v>#N/A</v>
      </c>
      <c r="D282" s="57" t="e">
        <f>VLOOKUP(A282,'3.gral'!$A$5:$W$187,23,0)</f>
        <v>#VALUE!</v>
      </c>
      <c r="E282" s="57" t="e">
        <f>VLOOKUP(LEFT(A282,7),'4.Todo'!$B$2:$L$272,11,0)</f>
        <v>#N/A</v>
      </c>
      <c r="F282" s="57" t="e">
        <f>VLOOKUP(A282,'5.AT'!$A$2:$Y$200,25,0)</f>
        <v>#N/A</v>
      </c>
      <c r="G282" s="57" t="e">
        <f t="shared" si="4"/>
        <v>#VALUE!</v>
      </c>
    </row>
    <row r="283" spans="2:7" x14ac:dyDescent="0.25">
      <c r="B283" s="57" t="e">
        <f>VLOOKUP(A283,'1.CALIF'!$A$8:$N$400,14,0)</f>
        <v>#VALUE!</v>
      </c>
      <c r="C283" s="57" t="e">
        <f>VLOOKUP(A283,'2.RESULTADOS'!$A$1:$R$124,18,0)</f>
        <v>#N/A</v>
      </c>
      <c r="D283" s="57" t="e">
        <f>VLOOKUP(A283,'3.gral'!$A$5:$W$187,23,0)</f>
        <v>#VALUE!</v>
      </c>
      <c r="E283" s="57" t="e">
        <f>VLOOKUP(LEFT(A283,7),'4.Todo'!$B$2:$L$272,11,0)</f>
        <v>#N/A</v>
      </c>
      <c r="F283" s="57" t="e">
        <f>VLOOKUP(A283,'5.AT'!$A$2:$Y$200,25,0)</f>
        <v>#N/A</v>
      </c>
      <c r="G283" s="57" t="e">
        <f t="shared" si="4"/>
        <v>#VALUE!</v>
      </c>
    </row>
    <row r="284" spans="2:7" x14ac:dyDescent="0.25">
      <c r="B284" s="57" t="e">
        <f>VLOOKUP(A284,'1.CALIF'!$A$8:$N$400,14,0)</f>
        <v>#VALUE!</v>
      </c>
      <c r="C284" s="57" t="e">
        <f>VLOOKUP(A284,'2.RESULTADOS'!$A$1:$R$124,18,0)</f>
        <v>#N/A</v>
      </c>
      <c r="D284" s="57" t="e">
        <f>VLOOKUP(A284,'3.gral'!$A$5:$W$187,23,0)</f>
        <v>#VALUE!</v>
      </c>
      <c r="E284" s="57" t="e">
        <f>VLOOKUP(LEFT(A284,7),'4.Todo'!$B$2:$L$272,11,0)</f>
        <v>#N/A</v>
      </c>
      <c r="F284" s="57" t="e">
        <f>VLOOKUP(A284,'5.AT'!$A$2:$Y$200,25,0)</f>
        <v>#N/A</v>
      </c>
      <c r="G284" s="57" t="e">
        <f t="shared" si="4"/>
        <v>#VALUE!</v>
      </c>
    </row>
    <row r="285" spans="2:7" x14ac:dyDescent="0.25">
      <c r="B285" s="57" t="e">
        <f>VLOOKUP(A285,'1.CALIF'!$A$8:$N$400,14,0)</f>
        <v>#VALUE!</v>
      </c>
      <c r="C285" s="57" t="e">
        <f>VLOOKUP(A285,'2.RESULTADOS'!$A$1:$R$124,18,0)</f>
        <v>#N/A</v>
      </c>
      <c r="D285" s="57" t="e">
        <f>VLOOKUP(A285,'3.gral'!$A$5:$W$187,23,0)</f>
        <v>#VALUE!</v>
      </c>
      <c r="E285" s="57" t="e">
        <f>VLOOKUP(LEFT(A285,7),'4.Todo'!$B$2:$L$272,11,0)</f>
        <v>#N/A</v>
      </c>
      <c r="F285" s="57" t="e">
        <f>VLOOKUP(A285,'5.AT'!$A$2:$Y$200,25,0)</f>
        <v>#N/A</v>
      </c>
      <c r="G285" s="57" t="e">
        <f t="shared" si="4"/>
        <v>#VALUE!</v>
      </c>
    </row>
    <row r="286" spans="2:7" x14ac:dyDescent="0.25">
      <c r="B286" s="57" t="e">
        <f>VLOOKUP(A286,'1.CALIF'!$A$8:$N$400,14,0)</f>
        <v>#VALUE!</v>
      </c>
      <c r="C286" s="57" t="e">
        <f>VLOOKUP(A286,'2.RESULTADOS'!$A$1:$R$124,18,0)</f>
        <v>#N/A</v>
      </c>
      <c r="D286" s="57" t="e">
        <f>VLOOKUP(A286,'3.gral'!$A$5:$W$187,23,0)</f>
        <v>#VALUE!</v>
      </c>
      <c r="E286" s="57" t="e">
        <f>VLOOKUP(LEFT(A286,7),'4.Todo'!$B$2:$L$272,11,0)</f>
        <v>#N/A</v>
      </c>
      <c r="F286" s="57" t="e">
        <f>VLOOKUP(A286,'5.AT'!$A$2:$Y$200,25,0)</f>
        <v>#N/A</v>
      </c>
      <c r="G286" s="57" t="e">
        <f t="shared" si="4"/>
        <v>#VALUE!</v>
      </c>
    </row>
    <row r="287" spans="2:7" x14ac:dyDescent="0.25">
      <c r="B287" s="57" t="e">
        <f>VLOOKUP(A287,'1.CALIF'!$A$8:$N$400,14,0)</f>
        <v>#VALUE!</v>
      </c>
      <c r="C287" s="57" t="e">
        <f>VLOOKUP(A287,'2.RESULTADOS'!$A$1:$R$124,18,0)</f>
        <v>#N/A</v>
      </c>
      <c r="D287" s="57" t="e">
        <f>VLOOKUP(A287,'3.gral'!$A$5:$W$187,23,0)</f>
        <v>#VALUE!</v>
      </c>
      <c r="E287" s="57" t="e">
        <f>VLOOKUP(LEFT(A287,7),'4.Todo'!$B$2:$L$272,11,0)</f>
        <v>#N/A</v>
      </c>
      <c r="F287" s="57" t="e">
        <f>VLOOKUP(A287,'5.AT'!$A$2:$Y$200,25,0)</f>
        <v>#N/A</v>
      </c>
      <c r="G287" s="57" t="e">
        <f t="shared" si="4"/>
        <v>#VALUE!</v>
      </c>
    </row>
    <row r="288" spans="2:7" x14ac:dyDescent="0.25">
      <c r="B288" s="57" t="e">
        <f>VLOOKUP(A288,'1.CALIF'!$A$8:$N$400,14,0)</f>
        <v>#VALUE!</v>
      </c>
      <c r="C288" s="57" t="e">
        <f>VLOOKUP(A288,'2.RESULTADOS'!$A$1:$R$124,18,0)</f>
        <v>#N/A</v>
      </c>
      <c r="D288" s="57" t="e">
        <f>VLOOKUP(A288,'3.gral'!$A$5:$W$187,23,0)</f>
        <v>#VALUE!</v>
      </c>
      <c r="E288" s="57" t="e">
        <f>VLOOKUP(LEFT(A288,7),'4.Todo'!$B$2:$L$272,11,0)</f>
        <v>#N/A</v>
      </c>
      <c r="F288" s="57" t="e">
        <f>VLOOKUP(A288,'5.AT'!$A$2:$Y$200,25,0)</f>
        <v>#N/A</v>
      </c>
      <c r="G288" s="57" t="e">
        <f t="shared" si="4"/>
        <v>#VALUE!</v>
      </c>
    </row>
    <row r="289" spans="2:7" x14ac:dyDescent="0.25">
      <c r="B289" s="57" t="e">
        <f>VLOOKUP(A289,'1.CALIF'!$A$8:$N$400,14,0)</f>
        <v>#VALUE!</v>
      </c>
      <c r="C289" s="57" t="e">
        <f>VLOOKUP(A289,'2.RESULTADOS'!$A$1:$R$124,18,0)</f>
        <v>#N/A</v>
      </c>
      <c r="D289" s="57" t="e">
        <f>VLOOKUP(A289,'3.gral'!$A$5:$W$187,23,0)</f>
        <v>#VALUE!</v>
      </c>
      <c r="E289" s="57" t="e">
        <f>VLOOKUP(LEFT(A289,7),'4.Todo'!$B$2:$L$272,11,0)</f>
        <v>#N/A</v>
      </c>
      <c r="F289" s="57" t="e">
        <f>VLOOKUP(A289,'5.AT'!$A$2:$Y$200,25,0)</f>
        <v>#N/A</v>
      </c>
      <c r="G289" s="57" t="e">
        <f t="shared" si="4"/>
        <v>#VALUE!</v>
      </c>
    </row>
    <row r="290" spans="2:7" x14ac:dyDescent="0.25">
      <c r="B290" s="57" t="e">
        <f>VLOOKUP(A290,'1.CALIF'!$A$8:$N$400,14,0)</f>
        <v>#VALUE!</v>
      </c>
      <c r="C290" s="57" t="e">
        <f>VLOOKUP(A290,'2.RESULTADOS'!$A$1:$R$124,18,0)</f>
        <v>#N/A</v>
      </c>
      <c r="D290" s="57" t="e">
        <f>VLOOKUP(A290,'3.gral'!$A$5:$W$187,23,0)</f>
        <v>#VALUE!</v>
      </c>
      <c r="E290" s="57" t="e">
        <f>VLOOKUP(LEFT(A290,7),'4.Todo'!$B$2:$L$272,11,0)</f>
        <v>#N/A</v>
      </c>
      <c r="F290" s="57" t="e">
        <f>VLOOKUP(A290,'5.AT'!$A$2:$Y$200,25,0)</f>
        <v>#N/A</v>
      </c>
      <c r="G290" s="57" t="e">
        <f t="shared" si="4"/>
        <v>#VALUE!</v>
      </c>
    </row>
    <row r="291" spans="2:7" x14ac:dyDescent="0.25">
      <c r="B291" s="57" t="e">
        <f>VLOOKUP(A291,'1.CALIF'!$A$8:$N$400,14,0)</f>
        <v>#VALUE!</v>
      </c>
      <c r="C291" s="57" t="e">
        <f>VLOOKUP(A291,'2.RESULTADOS'!$A$1:$R$124,18,0)</f>
        <v>#N/A</v>
      </c>
      <c r="D291" s="57" t="e">
        <f>VLOOKUP(A291,'3.gral'!$A$5:$W$187,23,0)</f>
        <v>#VALUE!</v>
      </c>
      <c r="E291" s="57" t="e">
        <f>VLOOKUP(LEFT(A291,7),'4.Todo'!$B$2:$L$272,11,0)</f>
        <v>#N/A</v>
      </c>
      <c r="F291" s="57" t="e">
        <f>VLOOKUP(A291,'5.AT'!$A$2:$Y$200,25,0)</f>
        <v>#N/A</v>
      </c>
      <c r="G291" s="57" t="e">
        <f t="shared" si="4"/>
        <v>#VALUE!</v>
      </c>
    </row>
    <row r="292" spans="2:7" x14ac:dyDescent="0.25">
      <c r="B292" s="57" t="e">
        <f>VLOOKUP(A292,'1.CALIF'!$A$8:$N$400,14,0)</f>
        <v>#VALUE!</v>
      </c>
      <c r="C292" s="57" t="e">
        <f>VLOOKUP(A292,'2.RESULTADOS'!$A$1:$R$124,18,0)</f>
        <v>#N/A</v>
      </c>
      <c r="D292" s="57" t="e">
        <f>VLOOKUP(A292,'3.gral'!$A$5:$W$187,23,0)</f>
        <v>#VALUE!</v>
      </c>
      <c r="E292" s="57" t="e">
        <f>VLOOKUP(LEFT(A292,7),'4.Todo'!$B$2:$L$272,11,0)</f>
        <v>#N/A</v>
      </c>
      <c r="F292" s="57" t="e">
        <f>VLOOKUP(A292,'5.AT'!$A$2:$Y$200,25,0)</f>
        <v>#N/A</v>
      </c>
      <c r="G292" s="57" t="e">
        <f t="shared" si="4"/>
        <v>#VALUE!</v>
      </c>
    </row>
    <row r="293" spans="2:7" x14ac:dyDescent="0.25">
      <c r="B293" s="57" t="e">
        <f>VLOOKUP(A293,'1.CALIF'!$A$8:$N$400,14,0)</f>
        <v>#VALUE!</v>
      </c>
      <c r="C293" s="57" t="e">
        <f>VLOOKUP(A293,'2.RESULTADOS'!$A$1:$R$124,18,0)</f>
        <v>#N/A</v>
      </c>
      <c r="D293" s="57" t="e">
        <f>VLOOKUP(A293,'3.gral'!$A$5:$W$187,23,0)</f>
        <v>#VALUE!</v>
      </c>
      <c r="E293" s="57" t="e">
        <f>VLOOKUP(LEFT(A293,7),'4.Todo'!$B$2:$L$272,11,0)</f>
        <v>#N/A</v>
      </c>
      <c r="F293" s="57" t="e">
        <f>VLOOKUP(A293,'5.AT'!$A$2:$Y$200,25,0)</f>
        <v>#N/A</v>
      </c>
      <c r="G293" s="57" t="e">
        <f t="shared" si="4"/>
        <v>#VALUE!</v>
      </c>
    </row>
    <row r="294" spans="2:7" x14ac:dyDescent="0.25">
      <c r="B294" s="57" t="e">
        <f>VLOOKUP(A294,'1.CALIF'!$A$8:$N$400,14,0)</f>
        <v>#VALUE!</v>
      </c>
      <c r="C294" s="57" t="e">
        <f>VLOOKUP(A294,'2.RESULTADOS'!$A$1:$R$124,18,0)</f>
        <v>#N/A</v>
      </c>
      <c r="D294" s="57" t="e">
        <f>VLOOKUP(A294,'3.gral'!$A$5:$W$187,23,0)</f>
        <v>#VALUE!</v>
      </c>
      <c r="E294" s="57" t="e">
        <f>VLOOKUP(LEFT(A294,7),'4.Todo'!$B$2:$L$272,11,0)</f>
        <v>#N/A</v>
      </c>
      <c r="F294" s="57" t="e">
        <f>VLOOKUP(A294,'5.AT'!$A$2:$Y$200,25,0)</f>
        <v>#N/A</v>
      </c>
      <c r="G294" s="57" t="e">
        <f t="shared" si="4"/>
        <v>#VALUE!</v>
      </c>
    </row>
    <row r="295" spans="2:7" x14ac:dyDescent="0.25">
      <c r="B295" s="57" t="e">
        <f>VLOOKUP(A295,'1.CALIF'!$A$8:$N$400,14,0)</f>
        <v>#VALUE!</v>
      </c>
      <c r="C295" s="57" t="e">
        <f>VLOOKUP(A295,'2.RESULTADOS'!$A$1:$R$124,18,0)</f>
        <v>#N/A</v>
      </c>
      <c r="D295" s="57" t="e">
        <f>VLOOKUP(A295,'3.gral'!$A$5:$W$187,23,0)</f>
        <v>#VALUE!</v>
      </c>
      <c r="E295" s="57" t="e">
        <f>VLOOKUP(LEFT(A295,7),'4.Todo'!$B$2:$L$272,11,0)</f>
        <v>#N/A</v>
      </c>
      <c r="F295" s="57" t="e">
        <f>VLOOKUP(A295,'5.AT'!$A$2:$Y$200,25,0)</f>
        <v>#N/A</v>
      </c>
      <c r="G295" s="57" t="e">
        <f t="shared" si="4"/>
        <v>#VALUE!</v>
      </c>
    </row>
    <row r="296" spans="2:7" x14ac:dyDescent="0.25">
      <c r="B296" s="57" t="e">
        <f>VLOOKUP(A296,'1.CALIF'!$A$8:$N$400,14,0)</f>
        <v>#VALUE!</v>
      </c>
      <c r="C296" s="57" t="e">
        <f>VLOOKUP(A296,'2.RESULTADOS'!$A$1:$R$124,18,0)</f>
        <v>#N/A</v>
      </c>
      <c r="D296" s="57" t="e">
        <f>VLOOKUP(A296,'3.gral'!$A$5:$W$187,23,0)</f>
        <v>#VALUE!</v>
      </c>
      <c r="E296" s="57" t="e">
        <f>VLOOKUP(LEFT(A296,7),'4.Todo'!$B$2:$L$272,11,0)</f>
        <v>#N/A</v>
      </c>
      <c r="F296" s="57" t="e">
        <f>VLOOKUP(A296,'5.AT'!$A$2:$Y$200,25,0)</f>
        <v>#N/A</v>
      </c>
      <c r="G296" s="57" t="e">
        <f t="shared" si="4"/>
        <v>#VALUE!</v>
      </c>
    </row>
    <row r="297" spans="2:7" x14ac:dyDescent="0.25">
      <c r="B297" s="57" t="e">
        <f>VLOOKUP(A297,'1.CALIF'!$A$8:$N$400,14,0)</f>
        <v>#VALUE!</v>
      </c>
      <c r="C297" s="57" t="e">
        <f>VLOOKUP(A297,'2.RESULTADOS'!$A$1:$R$124,18,0)</f>
        <v>#N/A</v>
      </c>
      <c r="D297" s="57" t="e">
        <f>VLOOKUP(A297,'3.gral'!$A$5:$W$187,23,0)</f>
        <v>#VALUE!</v>
      </c>
      <c r="E297" s="57" t="e">
        <f>VLOOKUP(LEFT(A297,7),'4.Todo'!$B$2:$L$272,11,0)</f>
        <v>#N/A</v>
      </c>
      <c r="F297" s="57" t="e">
        <f>VLOOKUP(A297,'5.AT'!$A$2:$Y$200,25,0)</f>
        <v>#N/A</v>
      </c>
      <c r="G297" s="57" t="e">
        <f t="shared" si="4"/>
        <v>#VALUE!</v>
      </c>
    </row>
    <row r="298" spans="2:7" x14ac:dyDescent="0.25">
      <c r="B298" s="57" t="e">
        <f>VLOOKUP(A298,'1.CALIF'!$A$8:$N$400,14,0)</f>
        <v>#VALUE!</v>
      </c>
      <c r="C298" s="57" t="e">
        <f>VLOOKUP(A298,'2.RESULTADOS'!$A$1:$R$124,18,0)</f>
        <v>#N/A</v>
      </c>
      <c r="D298" s="57" t="e">
        <f>VLOOKUP(A298,'3.gral'!$A$5:$W$187,23,0)</f>
        <v>#VALUE!</v>
      </c>
      <c r="E298" s="57" t="e">
        <f>VLOOKUP(LEFT(A298,7),'4.Todo'!$B$2:$L$272,11,0)</f>
        <v>#N/A</v>
      </c>
      <c r="F298" s="57" t="e">
        <f>VLOOKUP(A298,'5.AT'!$A$2:$Y$200,25,0)</f>
        <v>#N/A</v>
      </c>
      <c r="G298" s="57" t="e">
        <f t="shared" si="4"/>
        <v>#VALUE!</v>
      </c>
    </row>
    <row r="299" spans="2:7" x14ac:dyDescent="0.25">
      <c r="B299" s="57" t="e">
        <f>VLOOKUP(A299,'1.CALIF'!$A$8:$N$400,14,0)</f>
        <v>#VALUE!</v>
      </c>
      <c r="C299" s="57" t="e">
        <f>VLOOKUP(A299,'2.RESULTADOS'!$A$1:$R$124,18,0)</f>
        <v>#N/A</v>
      </c>
      <c r="D299" s="57" t="e">
        <f>VLOOKUP(A299,'3.gral'!$A$5:$W$187,23,0)</f>
        <v>#VALUE!</v>
      </c>
      <c r="E299" s="57" t="e">
        <f>VLOOKUP(LEFT(A299,7),'4.Todo'!$B$2:$L$272,11,0)</f>
        <v>#N/A</v>
      </c>
      <c r="F299" s="57" t="e">
        <f>VLOOKUP(A299,'5.AT'!$A$2:$Y$200,25,0)</f>
        <v>#N/A</v>
      </c>
      <c r="G299" s="57" t="e">
        <f t="shared" si="4"/>
        <v>#VALUE!</v>
      </c>
    </row>
    <row r="300" spans="2:7" x14ac:dyDescent="0.25">
      <c r="B300" s="57" t="e">
        <f>VLOOKUP(A300,'1.CALIF'!$A$8:$N$400,14,0)</f>
        <v>#VALUE!</v>
      </c>
      <c r="C300" s="57" t="e">
        <f>VLOOKUP(A300,'2.RESULTADOS'!$A$1:$R$124,18,0)</f>
        <v>#N/A</v>
      </c>
      <c r="D300" s="57" t="e">
        <f>VLOOKUP(A300,'3.gral'!$A$5:$W$187,23,0)</f>
        <v>#VALUE!</v>
      </c>
      <c r="E300" s="57" t="e">
        <f>VLOOKUP(LEFT(A300,7),'4.Todo'!$B$2:$L$272,11,0)</f>
        <v>#N/A</v>
      </c>
      <c r="F300" s="57" t="e">
        <f>VLOOKUP(A300,'5.AT'!$A$2:$Y$200,25,0)</f>
        <v>#N/A</v>
      </c>
      <c r="G300" s="57" t="e">
        <f t="shared" si="4"/>
        <v>#VALUE!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BL16"/>
  <sheetViews>
    <sheetView workbookViewId="0">
      <selection activeCell="H19" sqref="H19"/>
    </sheetView>
  </sheetViews>
  <sheetFormatPr baseColWidth="10" defaultRowHeight="15" x14ac:dyDescent="0.25"/>
  <cols>
    <col min="2" max="2" width="15.5703125" bestFit="1" customWidth="1"/>
    <col min="3" max="3" width="23" customWidth="1"/>
    <col min="7" max="7" width="18.42578125" customWidth="1"/>
    <col min="8" max="8" width="15.5703125" bestFit="1" customWidth="1"/>
    <col min="12" max="12" width="12.42578125" customWidth="1"/>
    <col min="13" max="13" width="14.28515625" customWidth="1"/>
    <col min="14" max="14" width="14.7109375" customWidth="1"/>
    <col min="18" max="20" width="14.140625" customWidth="1"/>
    <col min="21" max="21" width="15.85546875" customWidth="1"/>
    <col min="22" max="22" width="16.7109375" customWidth="1"/>
    <col min="23" max="23" width="14.140625" customWidth="1"/>
    <col min="34" max="34" width="18.42578125" customWidth="1"/>
    <col min="35" max="35" width="16.140625" customWidth="1"/>
    <col min="36" max="36" width="26.140625" customWidth="1"/>
    <col min="37" max="37" width="16.5703125" customWidth="1"/>
    <col min="38" max="38" width="16.7109375" customWidth="1"/>
    <col min="39" max="39" width="19.85546875" customWidth="1"/>
    <col min="41" max="41" width="18.42578125" customWidth="1"/>
    <col min="42" max="42" width="18" customWidth="1"/>
    <col min="43" max="43" width="19.7109375" customWidth="1"/>
    <col min="44" max="44" width="13.5703125" customWidth="1"/>
    <col min="45" max="45" width="13.28515625" customWidth="1"/>
    <col min="47" max="47" width="19.5703125" customWidth="1"/>
    <col min="48" max="48" width="18.7109375" customWidth="1"/>
    <col min="49" max="49" width="25.28515625" customWidth="1"/>
    <col min="50" max="50" width="16" customWidth="1"/>
    <col min="51" max="51" width="15" customWidth="1"/>
    <col min="52" max="52" width="14.7109375" customWidth="1"/>
    <col min="55" max="55" width="33.140625" customWidth="1"/>
    <col min="57" max="57" width="16.42578125" customWidth="1"/>
    <col min="58" max="58" width="14.85546875" customWidth="1"/>
    <col min="59" max="59" width="21.7109375" customWidth="1"/>
    <col min="60" max="60" width="14.5703125" customWidth="1"/>
    <col min="61" max="61" width="13.7109375" customWidth="1"/>
    <col min="64" max="64" width="16.7109375" bestFit="1" customWidth="1"/>
  </cols>
  <sheetData>
    <row r="1" spans="1:64" x14ac:dyDescent="0.25">
      <c r="B1">
        <v>0</v>
      </c>
      <c r="C1">
        <v>0</v>
      </c>
      <c r="D1">
        <v>0</v>
      </c>
      <c r="E1">
        <v>0</v>
      </c>
      <c r="F1">
        <v>0</v>
      </c>
      <c r="G1" t="s">
        <v>530</v>
      </c>
      <c r="H1">
        <v>0</v>
      </c>
      <c r="I1">
        <v>0</v>
      </c>
      <c r="J1">
        <v>0</v>
      </c>
      <c r="K1">
        <v>0</v>
      </c>
      <c r="N1">
        <v>2</v>
      </c>
      <c r="O1">
        <v>2</v>
      </c>
      <c r="P1">
        <v>2</v>
      </c>
      <c r="Q1">
        <v>2</v>
      </c>
      <c r="R1">
        <v>3</v>
      </c>
      <c r="S1">
        <v>3</v>
      </c>
      <c r="T1">
        <v>3</v>
      </c>
      <c r="U1">
        <v>3</v>
      </c>
      <c r="V1">
        <v>3</v>
      </c>
      <c r="W1">
        <v>3</v>
      </c>
      <c r="X1">
        <v>3</v>
      </c>
      <c r="Y1">
        <v>3</v>
      </c>
      <c r="Z1">
        <v>3</v>
      </c>
      <c r="AA1">
        <v>3</v>
      </c>
      <c r="AB1">
        <v>3</v>
      </c>
      <c r="AC1">
        <v>3</v>
      </c>
      <c r="AD1">
        <v>3</v>
      </c>
      <c r="AE1">
        <v>3</v>
      </c>
      <c r="AF1">
        <v>3</v>
      </c>
      <c r="AG1">
        <v>3</v>
      </c>
      <c r="AH1">
        <v>0</v>
      </c>
      <c r="AI1">
        <v>0</v>
      </c>
      <c r="AJ1">
        <v>0</v>
      </c>
      <c r="AK1">
        <v>0</v>
      </c>
      <c r="AL1">
        <v>0</v>
      </c>
      <c r="AM1">
        <v>0</v>
      </c>
      <c r="AN1">
        <v>0</v>
      </c>
      <c r="AO1">
        <v>0</v>
      </c>
      <c r="AP1">
        <v>0</v>
      </c>
      <c r="AQ1">
        <v>0</v>
      </c>
      <c r="AR1">
        <v>0</v>
      </c>
      <c r="AS1">
        <v>0</v>
      </c>
      <c r="AT1">
        <v>0</v>
      </c>
      <c r="AU1">
        <v>0</v>
      </c>
      <c r="AV1">
        <v>0</v>
      </c>
      <c r="AW1">
        <v>0</v>
      </c>
      <c r="AX1">
        <v>0</v>
      </c>
      <c r="AY1">
        <v>0</v>
      </c>
      <c r="AZ1">
        <v>0</v>
      </c>
      <c r="BA1">
        <v>0</v>
      </c>
      <c r="BB1">
        <v>0</v>
      </c>
      <c r="BC1">
        <v>0</v>
      </c>
      <c r="BD1">
        <v>0</v>
      </c>
      <c r="BE1">
        <v>0</v>
      </c>
      <c r="BF1">
        <v>0</v>
      </c>
      <c r="BG1">
        <v>0</v>
      </c>
      <c r="BH1">
        <v>0</v>
      </c>
      <c r="BI1">
        <v>0</v>
      </c>
      <c r="BJ1">
        <v>2</v>
      </c>
      <c r="BK1">
        <v>2</v>
      </c>
      <c r="BL1">
        <v>2</v>
      </c>
    </row>
    <row r="2" spans="1:64" s="176" customFormat="1" ht="75" x14ac:dyDescent="0.25">
      <c r="A2" s="181" t="s">
        <v>371</v>
      </c>
      <c r="B2" s="178" t="s">
        <v>529</v>
      </c>
      <c r="C2" s="178" t="s">
        <v>528</v>
      </c>
      <c r="D2" s="178" t="s">
        <v>527</v>
      </c>
      <c r="E2" s="178" t="s">
        <v>526</v>
      </c>
      <c r="F2" s="178" t="s">
        <v>525</v>
      </c>
      <c r="G2" s="178" t="s">
        <v>524</v>
      </c>
      <c r="H2" s="181" t="s">
        <v>523</v>
      </c>
      <c r="I2" s="181" t="s">
        <v>522</v>
      </c>
      <c r="J2" s="181" t="s">
        <v>521</v>
      </c>
      <c r="K2" s="181" t="s">
        <v>520</v>
      </c>
      <c r="L2" s="181" t="s">
        <v>519</v>
      </c>
      <c r="M2" s="181" t="s">
        <v>518</v>
      </c>
      <c r="N2" s="177" t="s">
        <v>63</v>
      </c>
      <c r="O2" s="177" t="s">
        <v>517</v>
      </c>
      <c r="P2" s="177" t="s">
        <v>516</v>
      </c>
      <c r="Q2" s="177" t="s">
        <v>515</v>
      </c>
      <c r="R2" s="180" t="s">
        <v>514</v>
      </c>
      <c r="S2" s="180" t="s">
        <v>513</v>
      </c>
      <c r="T2" s="180" t="s">
        <v>512</v>
      </c>
      <c r="U2" s="180" t="s">
        <v>511</v>
      </c>
      <c r="V2" s="180" t="s">
        <v>510</v>
      </c>
      <c r="W2" s="180" t="s">
        <v>509</v>
      </c>
      <c r="X2" s="180" t="s">
        <v>508</v>
      </c>
      <c r="Y2" s="180" t="s">
        <v>507</v>
      </c>
      <c r="Z2" s="180" t="s">
        <v>506</v>
      </c>
      <c r="AA2" s="180" t="s">
        <v>505</v>
      </c>
      <c r="AB2" s="180" t="s">
        <v>504</v>
      </c>
      <c r="AC2" s="179" t="s">
        <v>503</v>
      </c>
      <c r="AD2" s="179" t="s">
        <v>368</v>
      </c>
      <c r="AE2" s="179" t="s">
        <v>502</v>
      </c>
      <c r="AF2" s="179" t="s">
        <v>501</v>
      </c>
      <c r="AG2" s="179" t="s">
        <v>500</v>
      </c>
      <c r="AH2" s="178" t="s">
        <v>499</v>
      </c>
      <c r="AI2" s="178" t="s">
        <v>497</v>
      </c>
      <c r="AJ2" s="178" t="s">
        <v>498</v>
      </c>
      <c r="AK2" s="178" t="s">
        <v>497</v>
      </c>
      <c r="AL2" s="178" t="s">
        <v>496</v>
      </c>
      <c r="AM2" s="178" t="s">
        <v>495</v>
      </c>
      <c r="AN2" s="178" t="s">
        <v>494</v>
      </c>
      <c r="AO2" s="178" t="s">
        <v>493</v>
      </c>
      <c r="AP2" s="178" t="s">
        <v>492</v>
      </c>
      <c r="AQ2" s="178" t="s">
        <v>491</v>
      </c>
      <c r="AR2" s="178" t="s">
        <v>490</v>
      </c>
      <c r="AS2" s="178" t="s">
        <v>489</v>
      </c>
      <c r="AT2" s="178" t="s">
        <v>488</v>
      </c>
      <c r="AU2" s="178" t="s">
        <v>487</v>
      </c>
      <c r="AV2" s="178" t="s">
        <v>486</v>
      </c>
      <c r="AW2" s="178" t="s">
        <v>478</v>
      </c>
      <c r="AX2" s="178" t="s">
        <v>477</v>
      </c>
      <c r="AY2" s="178" t="s">
        <v>476</v>
      </c>
      <c r="AZ2" s="178" t="s">
        <v>485</v>
      </c>
      <c r="BA2" s="178" t="s">
        <v>484</v>
      </c>
      <c r="BB2" s="178" t="s">
        <v>483</v>
      </c>
      <c r="BC2" s="178" t="s">
        <v>482</v>
      </c>
      <c r="BD2" s="178" t="s">
        <v>481</v>
      </c>
      <c r="BE2" s="178" t="s">
        <v>480</v>
      </c>
      <c r="BF2" s="178" t="s">
        <v>479</v>
      </c>
      <c r="BG2" s="178" t="s">
        <v>478</v>
      </c>
      <c r="BH2" s="178" t="s">
        <v>477</v>
      </c>
      <c r="BI2" s="178" t="s">
        <v>476</v>
      </c>
      <c r="BJ2" s="177" t="s">
        <v>31</v>
      </c>
      <c r="BK2" s="177" t="s">
        <v>28</v>
      </c>
      <c r="BL2" s="177" t="s">
        <v>33</v>
      </c>
    </row>
    <row r="3" spans="1:64" x14ac:dyDescent="0.25">
      <c r="A3" s="175"/>
      <c r="B3" s="170">
        <v>3000000</v>
      </c>
      <c r="C3" s="173" t="s">
        <v>471</v>
      </c>
      <c r="D3" s="173"/>
      <c r="E3" s="173" t="s">
        <v>475</v>
      </c>
      <c r="F3" s="171">
        <v>31</v>
      </c>
      <c r="G3" s="173">
        <v>1</v>
      </c>
      <c r="H3" s="170">
        <v>200000000</v>
      </c>
      <c r="I3" s="171">
        <v>12</v>
      </c>
      <c r="J3" s="171">
        <v>60</v>
      </c>
      <c r="K3" s="173" t="s">
        <v>72</v>
      </c>
      <c r="L3" s="173" t="s">
        <v>15</v>
      </c>
      <c r="M3" s="173">
        <v>0</v>
      </c>
      <c r="N3" s="172">
        <v>60000000</v>
      </c>
      <c r="O3" s="171" t="s">
        <v>37</v>
      </c>
      <c r="P3" s="171" t="s">
        <v>38</v>
      </c>
      <c r="Q3" s="171" t="s">
        <v>40</v>
      </c>
      <c r="R3" s="171" t="s">
        <v>16</v>
      </c>
      <c r="S3" s="171" t="s">
        <v>15</v>
      </c>
      <c r="T3" s="171" t="s">
        <v>16</v>
      </c>
      <c r="U3" s="171" t="s">
        <v>15</v>
      </c>
      <c r="V3" s="171" t="s">
        <v>16</v>
      </c>
      <c r="W3" s="171" t="s">
        <v>16</v>
      </c>
      <c r="X3" s="171" t="s">
        <v>16</v>
      </c>
      <c r="Y3" s="171" t="s">
        <v>15</v>
      </c>
      <c r="Z3" s="171" t="s">
        <v>16</v>
      </c>
      <c r="AA3" s="171" t="s">
        <v>16</v>
      </c>
      <c r="AB3" s="171" t="s">
        <v>15</v>
      </c>
      <c r="AC3" s="174" t="s">
        <v>292</v>
      </c>
      <c r="AD3" s="171" t="s">
        <v>15</v>
      </c>
      <c r="AE3" s="171" t="s">
        <v>474</v>
      </c>
      <c r="AF3" s="171" t="s">
        <v>473</v>
      </c>
      <c r="AG3" s="171" t="s">
        <v>472</v>
      </c>
      <c r="AH3" s="173" t="s">
        <v>471</v>
      </c>
      <c r="AI3" s="171">
        <v>0</v>
      </c>
      <c r="AJ3" s="173" t="s">
        <v>471</v>
      </c>
      <c r="AK3" s="171">
        <v>0</v>
      </c>
      <c r="AL3" s="171">
        <v>24</v>
      </c>
      <c r="AM3" s="171">
        <v>0</v>
      </c>
      <c r="AN3" s="173" t="s">
        <v>470</v>
      </c>
      <c r="AO3" s="171">
        <v>1500000</v>
      </c>
      <c r="AP3" s="171">
        <v>20000000</v>
      </c>
      <c r="AQ3" s="173" t="s">
        <v>470</v>
      </c>
      <c r="AR3" s="171">
        <v>25</v>
      </c>
      <c r="AS3" s="171">
        <v>45</v>
      </c>
      <c r="AT3" s="173" t="s">
        <v>470</v>
      </c>
      <c r="AU3" s="171">
        <v>1500000</v>
      </c>
      <c r="AV3" s="171">
        <v>20000000</v>
      </c>
      <c r="AW3" s="173" t="s">
        <v>470</v>
      </c>
      <c r="AX3" s="171">
        <v>25</v>
      </c>
      <c r="AY3" s="171">
        <v>45</v>
      </c>
      <c r="AZ3" s="173" t="s">
        <v>470</v>
      </c>
      <c r="BA3" s="171">
        <v>50000000</v>
      </c>
      <c r="BB3" s="171">
        <v>10000000</v>
      </c>
      <c r="BC3" s="173" t="s">
        <v>470</v>
      </c>
      <c r="BD3" s="173" t="s">
        <v>470</v>
      </c>
      <c r="BE3" s="171">
        <v>1500000</v>
      </c>
      <c r="BF3" s="171">
        <v>20000000</v>
      </c>
      <c r="BG3" s="173" t="s">
        <v>470</v>
      </c>
      <c r="BH3" s="171">
        <v>25</v>
      </c>
      <c r="BI3" s="171">
        <v>45</v>
      </c>
      <c r="BJ3" s="172">
        <v>3000000</v>
      </c>
      <c r="BK3" s="171" t="s">
        <v>32</v>
      </c>
      <c r="BL3" s="170">
        <v>100000000</v>
      </c>
    </row>
    <row r="4" spans="1:64" x14ac:dyDescent="0.25">
      <c r="A4" s="169"/>
      <c r="B4" s="57"/>
      <c r="C4" s="57"/>
      <c r="D4" s="57">
        <f>B4</f>
        <v>0</v>
      </c>
      <c r="E4" s="57"/>
      <c r="F4" s="57"/>
      <c r="G4" s="57"/>
      <c r="H4" s="57"/>
      <c r="I4" s="57"/>
      <c r="J4" s="57"/>
      <c r="K4" s="57"/>
      <c r="L4" s="57" t="s">
        <v>15</v>
      </c>
      <c r="M4" s="57">
        <v>0</v>
      </c>
      <c r="N4" s="57"/>
      <c r="O4" s="57"/>
      <c r="P4" s="57"/>
      <c r="Q4" s="57"/>
      <c r="R4" s="57"/>
      <c r="S4" s="57"/>
      <c r="T4" s="57"/>
      <c r="U4" s="57"/>
      <c r="V4" s="57"/>
      <c r="W4" s="57"/>
      <c r="X4" s="57"/>
      <c r="Y4" s="57"/>
      <c r="Z4" s="57"/>
      <c r="AA4" s="57"/>
      <c r="AB4" s="57"/>
      <c r="AC4" s="57" t="s">
        <v>469</v>
      </c>
      <c r="AD4" s="57"/>
      <c r="AE4" s="57"/>
      <c r="AF4" s="57"/>
      <c r="AG4" s="57"/>
      <c r="AH4" s="57"/>
      <c r="AI4" s="57"/>
      <c r="AJ4" s="57"/>
      <c r="AK4" s="57"/>
      <c r="AL4" s="57"/>
      <c r="AM4" s="57"/>
      <c r="AN4" s="57"/>
      <c r="AO4" s="57"/>
      <c r="AP4" s="57"/>
      <c r="AQ4" s="57"/>
      <c r="AR4" s="57"/>
      <c r="AS4" s="57"/>
      <c r="AT4" s="57"/>
      <c r="AU4" s="57"/>
      <c r="AV4" s="57"/>
      <c r="AW4" s="57"/>
      <c r="AX4" s="57"/>
      <c r="AY4" s="57"/>
      <c r="AZ4" s="57"/>
      <c r="BA4" s="57"/>
      <c r="BB4" s="57"/>
      <c r="BC4" s="57"/>
      <c r="BD4" s="57"/>
      <c r="BE4" s="57"/>
      <c r="BF4" s="57"/>
      <c r="BG4" s="57"/>
      <c r="BH4" s="57"/>
      <c r="BI4" s="57"/>
      <c r="BJ4" s="57"/>
      <c r="BK4" s="57"/>
      <c r="BL4" s="57"/>
    </row>
    <row r="5" spans="1:64" x14ac:dyDescent="0.25">
      <c r="B5" t="s">
        <v>468</v>
      </c>
      <c r="C5" t="s">
        <v>467</v>
      </c>
      <c r="D5" t="s">
        <v>466</v>
      </c>
    </row>
    <row r="6" spans="1:64" x14ac:dyDescent="0.25">
      <c r="G6" s="158" t="s">
        <v>442</v>
      </c>
      <c r="H6">
        <v>1</v>
      </c>
    </row>
    <row r="7" spans="1:64" ht="45" x14ac:dyDescent="0.25">
      <c r="G7" s="157" t="s">
        <v>439</v>
      </c>
      <c r="H7">
        <v>2</v>
      </c>
      <c r="K7" t="s">
        <v>32</v>
      </c>
      <c r="L7" s="221" t="s">
        <v>465</v>
      </c>
    </row>
    <row r="8" spans="1:64" x14ac:dyDescent="0.25">
      <c r="G8" s="156" t="s">
        <v>436</v>
      </c>
      <c r="H8">
        <v>3</v>
      </c>
      <c r="K8" t="s">
        <v>72</v>
      </c>
      <c r="L8" s="221"/>
    </row>
    <row r="10" spans="1:64" x14ac:dyDescent="0.25">
      <c r="A10" s="167"/>
      <c r="B10" s="168">
        <v>0.04</v>
      </c>
    </row>
    <row r="11" spans="1:64" x14ac:dyDescent="0.25">
      <c r="A11" s="167"/>
      <c r="B11" s="168">
        <v>0.1323</v>
      </c>
    </row>
    <row r="12" spans="1:64" x14ac:dyDescent="0.25">
      <c r="A12" s="167"/>
      <c r="B12" s="166"/>
    </row>
    <row r="13" spans="1:64" x14ac:dyDescent="0.25">
      <c r="A13" s="167"/>
      <c r="B13" s="166"/>
    </row>
    <row r="15" spans="1:64" x14ac:dyDescent="0.25">
      <c r="H15" t="str">
        <f>'0.Productos'!GD14</f>
        <v>NO</v>
      </c>
    </row>
    <row r="16" spans="1:64" x14ac:dyDescent="0.25">
      <c r="C16" s="271"/>
    </row>
  </sheetData>
  <mergeCells count="1">
    <mergeCell ref="L7:L8"/>
  </mergeCells>
  <dataValidations count="3">
    <dataValidation type="list" allowBlank="1" showInputMessage="1" showErrorMessage="1" sqref="O3:Q3">
      <formula1>CANALES</formula1>
    </dataValidation>
    <dataValidation type="list" allowBlank="1" showInputMessage="1" showErrorMessage="1" sqref="BK3">
      <formula1>TCREDITO</formula1>
    </dataValidation>
    <dataValidation type="list" allowBlank="1" showInputMessage="1" showErrorMessage="1" sqref="G3">
      <formula1>situalab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GK65"/>
  <sheetViews>
    <sheetView topLeftCell="FZ1" workbookViewId="0">
      <selection activeCell="F6" sqref="F6"/>
    </sheetView>
  </sheetViews>
  <sheetFormatPr baseColWidth="10" defaultRowHeight="15" x14ac:dyDescent="0.25"/>
  <cols>
    <col min="1" max="1" width="14" bestFit="1" customWidth="1"/>
    <col min="2" max="2" width="24.85546875" customWidth="1"/>
    <col min="3" max="3" width="14.5703125" bestFit="1" customWidth="1"/>
    <col min="4" max="4" width="15.5703125" bestFit="1" customWidth="1"/>
    <col min="16" max="16" width="17.42578125" customWidth="1"/>
    <col min="18" max="18" width="30.140625" customWidth="1"/>
    <col min="20" max="20" width="15.5703125" customWidth="1"/>
    <col min="21" max="21" width="19.28515625" customWidth="1"/>
    <col min="23" max="23" width="17.42578125" customWidth="1"/>
    <col min="24" max="24" width="19.5703125" customWidth="1"/>
    <col min="25" max="25" width="22.42578125" customWidth="1"/>
    <col min="29" max="29" width="19.28515625" customWidth="1"/>
    <col min="30" max="30" width="19.5703125" customWidth="1"/>
    <col min="31" max="31" width="22.140625" customWidth="1"/>
    <col min="34" max="34" width="18.28515625" customWidth="1"/>
    <col min="36" max="36" width="16" customWidth="1"/>
    <col min="38" max="38" width="14.7109375" customWidth="1"/>
    <col min="39" max="39" width="22.5703125" customWidth="1"/>
    <col min="41" max="41" width="19.28515625" customWidth="1"/>
    <col min="42" max="42" width="17.7109375" customWidth="1"/>
    <col min="43" max="43" width="24" customWidth="1"/>
    <col min="44" max="44" width="13.28515625" customWidth="1"/>
    <col min="45" max="45" width="16.42578125" customWidth="1"/>
    <col min="47" max="47" width="21.5703125" customWidth="1"/>
    <col min="117" max="117" width="14.5703125" customWidth="1"/>
    <col min="171" max="171" width="16.140625" customWidth="1"/>
    <col min="179" max="179" width="14.7109375" customWidth="1"/>
    <col min="183" max="183" width="15.7109375" customWidth="1"/>
    <col min="192" max="192" width="50.140625" bestFit="1" customWidth="1"/>
    <col min="193" max="193" width="8.85546875" bestFit="1" customWidth="1"/>
  </cols>
  <sheetData>
    <row r="1" spans="1:193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  <c r="X1">
        <v>23</v>
      </c>
      <c r="Y1">
        <v>24</v>
      </c>
      <c r="Z1">
        <v>25</v>
      </c>
      <c r="AA1">
        <v>26</v>
      </c>
      <c r="AB1">
        <v>27</v>
      </c>
      <c r="AC1">
        <v>28</v>
      </c>
      <c r="AD1">
        <v>29</v>
      </c>
      <c r="AE1">
        <v>30</v>
      </c>
      <c r="AF1">
        <v>31</v>
      </c>
      <c r="AG1">
        <v>32</v>
      </c>
      <c r="AH1">
        <v>33</v>
      </c>
      <c r="AI1">
        <v>34</v>
      </c>
      <c r="AJ1">
        <v>35</v>
      </c>
      <c r="AK1">
        <v>36</v>
      </c>
      <c r="AL1">
        <v>37</v>
      </c>
      <c r="AM1">
        <v>38</v>
      </c>
      <c r="AN1">
        <v>39</v>
      </c>
      <c r="AO1">
        <v>40</v>
      </c>
      <c r="AP1">
        <v>41</v>
      </c>
      <c r="AQ1">
        <v>42</v>
      </c>
      <c r="AR1">
        <v>43</v>
      </c>
      <c r="AS1">
        <v>44</v>
      </c>
      <c r="AT1">
        <v>45</v>
      </c>
      <c r="AU1">
        <v>46</v>
      </c>
      <c r="AV1">
        <v>47</v>
      </c>
      <c r="AW1">
        <v>48</v>
      </c>
      <c r="AX1">
        <v>49</v>
      </c>
      <c r="AY1">
        <v>50</v>
      </c>
      <c r="AZ1">
        <v>51</v>
      </c>
      <c r="BA1">
        <v>52</v>
      </c>
      <c r="BB1">
        <v>53</v>
      </c>
      <c r="BC1">
        <v>54</v>
      </c>
      <c r="BD1">
        <v>55</v>
      </c>
      <c r="BE1">
        <v>56</v>
      </c>
      <c r="BF1">
        <v>57</v>
      </c>
      <c r="BG1">
        <v>58</v>
      </c>
      <c r="BH1">
        <v>59</v>
      </c>
      <c r="BI1">
        <v>60</v>
      </c>
      <c r="BJ1">
        <v>61</v>
      </c>
      <c r="BK1">
        <v>62</v>
      </c>
      <c r="BL1">
        <v>63</v>
      </c>
      <c r="BM1">
        <v>64</v>
      </c>
      <c r="BN1">
        <v>65</v>
      </c>
      <c r="BO1">
        <v>66</v>
      </c>
      <c r="BP1">
        <v>67</v>
      </c>
      <c r="BQ1">
        <v>68</v>
      </c>
      <c r="BR1">
        <v>69</v>
      </c>
      <c r="BS1">
        <v>70</v>
      </c>
      <c r="BT1">
        <v>71</v>
      </c>
      <c r="BU1">
        <v>72</v>
      </c>
      <c r="BV1">
        <v>73</v>
      </c>
      <c r="BW1">
        <v>74</v>
      </c>
      <c r="BX1">
        <v>75</v>
      </c>
      <c r="BY1">
        <v>76</v>
      </c>
      <c r="BZ1">
        <v>77</v>
      </c>
      <c r="CA1">
        <v>78</v>
      </c>
      <c r="CB1">
        <v>79</v>
      </c>
      <c r="CC1">
        <v>80</v>
      </c>
      <c r="CD1">
        <v>81</v>
      </c>
      <c r="CE1">
        <v>82</v>
      </c>
      <c r="CF1">
        <v>83</v>
      </c>
      <c r="CG1">
        <v>84</v>
      </c>
      <c r="CH1">
        <v>85</v>
      </c>
      <c r="CI1">
        <v>86</v>
      </c>
      <c r="CJ1">
        <v>87</v>
      </c>
      <c r="CK1">
        <v>88</v>
      </c>
      <c r="CL1">
        <v>89</v>
      </c>
      <c r="CM1">
        <v>90</v>
      </c>
      <c r="CN1">
        <v>91</v>
      </c>
      <c r="CO1">
        <v>92</v>
      </c>
      <c r="CP1">
        <v>93</v>
      </c>
      <c r="CQ1">
        <v>94</v>
      </c>
      <c r="CR1">
        <v>95</v>
      </c>
      <c r="CS1">
        <v>96</v>
      </c>
      <c r="CT1">
        <v>97</v>
      </c>
      <c r="CU1">
        <v>98</v>
      </c>
      <c r="CV1">
        <v>99</v>
      </c>
      <c r="CW1">
        <v>100</v>
      </c>
      <c r="CX1">
        <v>101</v>
      </c>
      <c r="CY1">
        <v>102</v>
      </c>
      <c r="CZ1">
        <v>103</v>
      </c>
      <c r="DA1">
        <v>104</v>
      </c>
      <c r="DB1">
        <v>105</v>
      </c>
      <c r="DC1">
        <v>106</v>
      </c>
      <c r="DD1">
        <v>107</v>
      </c>
      <c r="DE1">
        <v>108</v>
      </c>
      <c r="DF1">
        <v>109</v>
      </c>
      <c r="DG1">
        <v>110</v>
      </c>
      <c r="DH1">
        <v>111</v>
      </c>
      <c r="DI1">
        <v>112</v>
      </c>
      <c r="DJ1">
        <v>113</v>
      </c>
      <c r="DK1">
        <v>114</v>
      </c>
      <c r="DL1">
        <v>115</v>
      </c>
      <c r="DM1">
        <v>116</v>
      </c>
      <c r="DN1">
        <v>117</v>
      </c>
      <c r="DO1">
        <v>118</v>
      </c>
      <c r="DP1">
        <v>119</v>
      </c>
      <c r="DQ1">
        <v>120</v>
      </c>
      <c r="DR1">
        <v>121</v>
      </c>
      <c r="DS1">
        <v>122</v>
      </c>
      <c r="DT1">
        <v>123</v>
      </c>
      <c r="DU1">
        <v>124</v>
      </c>
      <c r="DV1">
        <v>125</v>
      </c>
      <c r="DW1">
        <v>126</v>
      </c>
      <c r="DX1">
        <v>127</v>
      </c>
      <c r="DY1">
        <v>128</v>
      </c>
      <c r="DZ1">
        <v>129</v>
      </c>
      <c r="EA1">
        <v>130</v>
      </c>
      <c r="EB1">
        <v>131</v>
      </c>
      <c r="EC1">
        <v>132</v>
      </c>
      <c r="ED1">
        <v>133</v>
      </c>
      <c r="EE1">
        <v>134</v>
      </c>
      <c r="EF1">
        <v>135</v>
      </c>
      <c r="EG1">
        <v>136</v>
      </c>
      <c r="EH1">
        <v>137</v>
      </c>
      <c r="EI1">
        <v>138</v>
      </c>
      <c r="EJ1">
        <v>139</v>
      </c>
      <c r="EK1">
        <v>140</v>
      </c>
      <c r="EL1">
        <v>141</v>
      </c>
      <c r="EM1">
        <v>142</v>
      </c>
      <c r="EN1">
        <v>143</v>
      </c>
      <c r="EO1">
        <v>144</v>
      </c>
      <c r="EP1">
        <v>145</v>
      </c>
      <c r="EQ1">
        <v>146</v>
      </c>
      <c r="ER1">
        <v>147</v>
      </c>
      <c r="ES1">
        <v>148</v>
      </c>
      <c r="ET1">
        <v>149</v>
      </c>
      <c r="EU1">
        <v>150</v>
      </c>
      <c r="EV1">
        <v>151</v>
      </c>
      <c r="EW1">
        <v>152</v>
      </c>
      <c r="EX1">
        <v>153</v>
      </c>
      <c r="EY1">
        <v>154</v>
      </c>
      <c r="EZ1">
        <v>155</v>
      </c>
      <c r="FA1">
        <v>156</v>
      </c>
      <c r="FB1">
        <v>157</v>
      </c>
      <c r="FC1">
        <v>158</v>
      </c>
      <c r="FD1">
        <v>159</v>
      </c>
      <c r="FE1">
        <v>160</v>
      </c>
      <c r="FF1">
        <v>161</v>
      </c>
      <c r="FG1">
        <v>162</v>
      </c>
      <c r="FH1">
        <v>163</v>
      </c>
      <c r="FI1">
        <v>164</v>
      </c>
      <c r="FJ1">
        <v>165</v>
      </c>
      <c r="FK1">
        <v>166</v>
      </c>
      <c r="FL1">
        <v>167</v>
      </c>
      <c r="FM1">
        <v>168</v>
      </c>
      <c r="FN1">
        <v>169</v>
      </c>
      <c r="FO1">
        <v>170</v>
      </c>
      <c r="FP1">
        <v>171</v>
      </c>
      <c r="FQ1">
        <v>172</v>
      </c>
      <c r="FR1">
        <v>173</v>
      </c>
      <c r="FS1">
        <v>174</v>
      </c>
      <c r="FT1">
        <v>175</v>
      </c>
      <c r="FU1">
        <v>176</v>
      </c>
      <c r="FV1">
        <v>177</v>
      </c>
      <c r="FW1">
        <v>178</v>
      </c>
      <c r="FX1">
        <v>179</v>
      </c>
      <c r="FY1">
        <v>180</v>
      </c>
      <c r="FZ1">
        <v>181</v>
      </c>
      <c r="GA1">
        <v>182</v>
      </c>
      <c r="GB1">
        <v>183</v>
      </c>
      <c r="GC1">
        <v>184</v>
      </c>
      <c r="GD1">
        <v>185</v>
      </c>
      <c r="GE1">
        <v>186</v>
      </c>
      <c r="GF1">
        <v>187</v>
      </c>
      <c r="GG1">
        <v>188</v>
      </c>
    </row>
    <row r="2" spans="1:193" ht="15.75" thickBot="1" x14ac:dyDescent="0.3">
      <c r="A2" s="70"/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1</v>
      </c>
      <c r="AU2">
        <v>1</v>
      </c>
      <c r="AV2">
        <v>1</v>
      </c>
      <c r="AW2">
        <v>1</v>
      </c>
      <c r="AX2">
        <v>1</v>
      </c>
      <c r="AY2">
        <v>1</v>
      </c>
      <c r="AZ2">
        <v>1</v>
      </c>
      <c r="BA2">
        <v>1</v>
      </c>
      <c r="BB2">
        <v>1</v>
      </c>
      <c r="BC2">
        <v>1</v>
      </c>
      <c r="BD2">
        <v>1</v>
      </c>
      <c r="BE2">
        <v>1</v>
      </c>
      <c r="BF2">
        <v>1</v>
      </c>
      <c r="BG2">
        <v>1</v>
      </c>
      <c r="BH2">
        <v>1</v>
      </c>
      <c r="BI2">
        <v>1</v>
      </c>
      <c r="BJ2">
        <v>1</v>
      </c>
      <c r="BK2">
        <v>1</v>
      </c>
      <c r="BL2">
        <v>1</v>
      </c>
      <c r="BM2">
        <v>1</v>
      </c>
      <c r="BN2">
        <v>1</v>
      </c>
      <c r="BO2">
        <v>1</v>
      </c>
      <c r="BP2">
        <v>1</v>
      </c>
      <c r="BQ2">
        <v>1</v>
      </c>
      <c r="BR2">
        <v>1</v>
      </c>
      <c r="BS2">
        <v>1</v>
      </c>
      <c r="BT2">
        <v>1</v>
      </c>
      <c r="BU2">
        <v>1</v>
      </c>
      <c r="BV2">
        <v>1</v>
      </c>
      <c r="BW2">
        <v>1</v>
      </c>
      <c r="BX2">
        <v>1</v>
      </c>
      <c r="BY2">
        <v>1</v>
      </c>
      <c r="BZ2">
        <v>1</v>
      </c>
      <c r="CA2">
        <v>1</v>
      </c>
      <c r="CB2">
        <v>1</v>
      </c>
      <c r="CC2">
        <v>1</v>
      </c>
      <c r="CD2">
        <v>1</v>
      </c>
      <c r="CE2">
        <v>1</v>
      </c>
      <c r="CF2">
        <v>1</v>
      </c>
      <c r="CG2">
        <v>1</v>
      </c>
      <c r="CH2">
        <v>1</v>
      </c>
      <c r="CI2">
        <v>1</v>
      </c>
      <c r="CJ2">
        <v>1</v>
      </c>
      <c r="CK2">
        <v>1</v>
      </c>
      <c r="CL2">
        <v>1</v>
      </c>
      <c r="CM2">
        <v>1</v>
      </c>
      <c r="CN2">
        <v>1</v>
      </c>
      <c r="CO2">
        <v>1</v>
      </c>
      <c r="CP2">
        <v>1</v>
      </c>
      <c r="CQ2">
        <v>1</v>
      </c>
      <c r="CR2">
        <v>1</v>
      </c>
      <c r="CS2">
        <v>1</v>
      </c>
      <c r="CT2">
        <v>1</v>
      </c>
      <c r="CU2">
        <v>1</v>
      </c>
      <c r="CV2">
        <v>1</v>
      </c>
      <c r="CW2">
        <v>1</v>
      </c>
      <c r="CX2">
        <v>1</v>
      </c>
      <c r="CY2">
        <v>1</v>
      </c>
      <c r="CZ2">
        <v>1</v>
      </c>
      <c r="DA2">
        <v>1</v>
      </c>
      <c r="DB2">
        <v>1</v>
      </c>
      <c r="DC2">
        <v>1</v>
      </c>
      <c r="DD2">
        <v>1</v>
      </c>
      <c r="DE2">
        <v>1</v>
      </c>
      <c r="DF2">
        <v>1</v>
      </c>
      <c r="DG2">
        <v>1</v>
      </c>
      <c r="DH2">
        <v>1</v>
      </c>
      <c r="DI2">
        <v>1</v>
      </c>
      <c r="DJ2">
        <v>1</v>
      </c>
      <c r="DK2">
        <v>1</v>
      </c>
      <c r="DL2">
        <v>1</v>
      </c>
      <c r="DM2">
        <v>2</v>
      </c>
      <c r="DN2">
        <v>2</v>
      </c>
      <c r="DO2">
        <v>2</v>
      </c>
      <c r="DP2">
        <v>2</v>
      </c>
      <c r="DQ2">
        <v>2</v>
      </c>
      <c r="DR2">
        <v>2</v>
      </c>
      <c r="DS2">
        <v>2</v>
      </c>
      <c r="DT2">
        <v>2</v>
      </c>
      <c r="DU2">
        <v>2</v>
      </c>
      <c r="DV2">
        <v>2</v>
      </c>
      <c r="DW2">
        <v>2</v>
      </c>
      <c r="DX2">
        <v>2</v>
      </c>
      <c r="DY2">
        <v>2</v>
      </c>
      <c r="DZ2">
        <v>2</v>
      </c>
      <c r="EA2">
        <v>2</v>
      </c>
      <c r="EB2">
        <v>2</v>
      </c>
      <c r="EC2">
        <v>2</v>
      </c>
      <c r="ED2">
        <v>2</v>
      </c>
      <c r="EE2">
        <v>2</v>
      </c>
      <c r="EF2">
        <v>2</v>
      </c>
      <c r="EG2">
        <v>2</v>
      </c>
      <c r="EH2">
        <v>2</v>
      </c>
      <c r="EI2">
        <v>2</v>
      </c>
      <c r="EJ2">
        <v>2</v>
      </c>
      <c r="EK2">
        <v>2</v>
      </c>
      <c r="EL2">
        <v>2</v>
      </c>
      <c r="EM2">
        <v>2</v>
      </c>
      <c r="EN2">
        <v>2</v>
      </c>
      <c r="EO2">
        <v>2</v>
      </c>
      <c r="EP2">
        <v>2</v>
      </c>
      <c r="EQ2">
        <v>2</v>
      </c>
      <c r="ER2">
        <v>2</v>
      </c>
      <c r="ES2">
        <v>3</v>
      </c>
      <c r="ET2">
        <v>3</v>
      </c>
      <c r="EU2">
        <v>3</v>
      </c>
      <c r="EV2">
        <v>3</v>
      </c>
      <c r="EW2">
        <v>3</v>
      </c>
      <c r="EX2">
        <v>3</v>
      </c>
      <c r="EY2">
        <v>3</v>
      </c>
      <c r="EZ2">
        <v>3</v>
      </c>
      <c r="FA2">
        <v>3</v>
      </c>
      <c r="FB2">
        <v>3</v>
      </c>
      <c r="FC2">
        <v>3</v>
      </c>
      <c r="FD2">
        <v>3</v>
      </c>
      <c r="FE2">
        <v>3</v>
      </c>
      <c r="FF2">
        <v>3</v>
      </c>
      <c r="FG2">
        <v>3</v>
      </c>
      <c r="FH2">
        <v>3</v>
      </c>
      <c r="FI2">
        <v>3</v>
      </c>
      <c r="FJ2">
        <v>3</v>
      </c>
      <c r="FK2">
        <v>3</v>
      </c>
      <c r="FL2">
        <v>3</v>
      </c>
      <c r="FM2">
        <v>3</v>
      </c>
      <c r="FN2">
        <v>3</v>
      </c>
      <c r="FO2">
        <v>3</v>
      </c>
      <c r="FP2">
        <v>3</v>
      </c>
      <c r="FQ2">
        <v>3</v>
      </c>
      <c r="FR2">
        <v>3</v>
      </c>
      <c r="FS2">
        <v>3</v>
      </c>
      <c r="FT2">
        <v>3</v>
      </c>
      <c r="FU2">
        <v>3</v>
      </c>
      <c r="FV2">
        <v>3</v>
      </c>
    </row>
    <row r="3" spans="1:193" ht="90.75" thickBot="1" x14ac:dyDescent="0.3">
      <c r="A3" s="210" t="s">
        <v>64</v>
      </c>
      <c r="B3" s="208" t="s">
        <v>654</v>
      </c>
      <c r="C3" s="208" t="s">
        <v>653</v>
      </c>
      <c r="D3" s="208" t="s">
        <v>652</v>
      </c>
      <c r="E3" s="208" t="s">
        <v>526</v>
      </c>
      <c r="F3" s="208" t="s">
        <v>651</v>
      </c>
      <c r="G3" s="208" t="s">
        <v>650</v>
      </c>
      <c r="H3" s="208" t="s">
        <v>649</v>
      </c>
      <c r="I3" s="208" t="s">
        <v>648</v>
      </c>
      <c r="J3" s="208" t="s">
        <v>647</v>
      </c>
      <c r="K3" s="209" t="s">
        <v>646</v>
      </c>
      <c r="L3" s="209" t="s">
        <v>645</v>
      </c>
      <c r="M3" s="209" t="s">
        <v>644</v>
      </c>
      <c r="N3" s="209" t="s">
        <v>643</v>
      </c>
      <c r="O3" s="209" t="s">
        <v>520</v>
      </c>
      <c r="P3" s="208" t="s">
        <v>642</v>
      </c>
      <c r="Q3" s="208" t="s">
        <v>640</v>
      </c>
      <c r="R3" s="208" t="s">
        <v>641</v>
      </c>
      <c r="S3" s="208" t="s">
        <v>640</v>
      </c>
      <c r="T3" s="208" t="s">
        <v>639</v>
      </c>
      <c r="U3" s="208" t="s">
        <v>638</v>
      </c>
      <c r="V3" s="208" t="s">
        <v>637</v>
      </c>
      <c r="W3" s="208" t="s">
        <v>493</v>
      </c>
      <c r="X3" s="208" t="s">
        <v>492</v>
      </c>
      <c r="Y3" s="208" t="s">
        <v>636</v>
      </c>
      <c r="Z3" s="208" t="s">
        <v>635</v>
      </c>
      <c r="AA3" s="208" t="s">
        <v>634</v>
      </c>
      <c r="AB3" s="208" t="s">
        <v>488</v>
      </c>
      <c r="AC3" s="208" t="s">
        <v>487</v>
      </c>
      <c r="AD3" s="208" t="s">
        <v>486</v>
      </c>
      <c r="AE3" s="208" t="s">
        <v>478</v>
      </c>
      <c r="AF3" s="208" t="s">
        <v>633</v>
      </c>
      <c r="AG3" s="208" t="s">
        <v>632</v>
      </c>
      <c r="AH3" s="208" t="s">
        <v>631</v>
      </c>
      <c r="AI3" s="208" t="s">
        <v>630</v>
      </c>
      <c r="AJ3" s="208" t="s">
        <v>629</v>
      </c>
      <c r="AK3" s="208" t="s">
        <v>628</v>
      </c>
      <c r="AL3" s="208" t="s">
        <v>627</v>
      </c>
      <c r="AM3" s="208" t="s">
        <v>626</v>
      </c>
      <c r="AN3" s="208" t="s">
        <v>625</v>
      </c>
      <c r="AO3" s="208" t="s">
        <v>487</v>
      </c>
      <c r="AP3" s="208" t="s">
        <v>486</v>
      </c>
      <c r="AQ3" s="208" t="s">
        <v>478</v>
      </c>
      <c r="AR3" s="208" t="s">
        <v>477</v>
      </c>
      <c r="AS3" s="208" t="s">
        <v>476</v>
      </c>
      <c r="AT3" s="206" t="s">
        <v>452</v>
      </c>
      <c r="AU3" s="206" t="s">
        <v>624</v>
      </c>
      <c r="AV3" s="206" t="s">
        <v>450</v>
      </c>
      <c r="AW3" s="206" t="s">
        <v>449</v>
      </c>
      <c r="AX3" s="206" t="s">
        <v>623</v>
      </c>
      <c r="AY3" s="207" t="s">
        <v>622</v>
      </c>
      <c r="AZ3" s="207" t="s">
        <v>621</v>
      </c>
      <c r="BA3" s="207" t="s">
        <v>620</v>
      </c>
      <c r="BB3" s="207"/>
      <c r="BC3" s="206" t="s">
        <v>441</v>
      </c>
      <c r="BD3" s="206" t="s">
        <v>438</v>
      </c>
      <c r="BE3" s="206" t="s">
        <v>435</v>
      </c>
      <c r="BF3" s="206" t="s">
        <v>434</v>
      </c>
      <c r="BG3" s="206" t="s">
        <v>433</v>
      </c>
      <c r="BH3" s="206" t="s">
        <v>432</v>
      </c>
      <c r="BI3" s="206" t="s">
        <v>431</v>
      </c>
      <c r="BJ3" s="206" t="s">
        <v>430</v>
      </c>
      <c r="BK3" s="206" t="s">
        <v>429</v>
      </c>
      <c r="BL3" s="206" t="s">
        <v>428</v>
      </c>
      <c r="BM3" s="206" t="s">
        <v>427</v>
      </c>
      <c r="BN3" s="206" t="s">
        <v>426</v>
      </c>
      <c r="BO3" s="206" t="s">
        <v>425</v>
      </c>
      <c r="BP3" s="206" t="s">
        <v>424</v>
      </c>
      <c r="BQ3" s="206" t="s">
        <v>423</v>
      </c>
      <c r="BR3" s="206" t="s">
        <v>422</v>
      </c>
      <c r="BS3" s="206" t="s">
        <v>421</v>
      </c>
      <c r="BT3" s="206" t="s">
        <v>420</v>
      </c>
      <c r="BU3" s="206" t="s">
        <v>419</v>
      </c>
      <c r="BV3" s="206" t="s">
        <v>418</v>
      </c>
      <c r="BW3" s="206" t="s">
        <v>417</v>
      </c>
      <c r="BX3" s="206" t="s">
        <v>416</v>
      </c>
      <c r="BY3" s="206" t="s">
        <v>415</v>
      </c>
      <c r="BZ3" s="206" t="s">
        <v>414</v>
      </c>
      <c r="CA3" s="206" t="s">
        <v>413</v>
      </c>
      <c r="CB3" s="206" t="s">
        <v>412</v>
      </c>
      <c r="CC3" s="206" t="s">
        <v>411</v>
      </c>
      <c r="CD3" s="206" t="s">
        <v>410</v>
      </c>
      <c r="CE3" s="206" t="s">
        <v>409</v>
      </c>
      <c r="CF3" s="206" t="s">
        <v>408</v>
      </c>
      <c r="CG3" s="206" t="s">
        <v>407</v>
      </c>
      <c r="CH3" s="206" t="s">
        <v>406</v>
      </c>
      <c r="CI3" s="206" t="s">
        <v>405</v>
      </c>
      <c r="CJ3" s="206" t="s">
        <v>404</v>
      </c>
      <c r="CK3" s="206" t="s">
        <v>403</v>
      </c>
      <c r="CL3" s="206" t="s">
        <v>402</v>
      </c>
      <c r="CM3" s="206" t="s">
        <v>401</v>
      </c>
      <c r="CN3" s="206" t="s">
        <v>400</v>
      </c>
      <c r="CO3" s="206" t="s">
        <v>399</v>
      </c>
      <c r="CP3" s="206" t="s">
        <v>398</v>
      </c>
      <c r="CQ3" s="206" t="s">
        <v>397</v>
      </c>
      <c r="CR3" s="206" t="s">
        <v>396</v>
      </c>
      <c r="CS3" s="206" t="s">
        <v>395</v>
      </c>
      <c r="CT3" s="206" t="s">
        <v>394</v>
      </c>
      <c r="CU3" s="206" t="s">
        <v>393</v>
      </c>
      <c r="CV3" s="206" t="s">
        <v>392</v>
      </c>
      <c r="CW3" s="206" t="s">
        <v>391</v>
      </c>
      <c r="CX3" s="206" t="s">
        <v>390</v>
      </c>
      <c r="CY3" s="206" t="s">
        <v>389</v>
      </c>
      <c r="CZ3" s="206" t="s">
        <v>388</v>
      </c>
      <c r="DA3" s="206" t="s">
        <v>387</v>
      </c>
      <c r="DB3" s="206" t="s">
        <v>386</v>
      </c>
      <c r="DC3" s="206" t="s">
        <v>385</v>
      </c>
      <c r="DD3" s="206" t="s">
        <v>384</v>
      </c>
      <c r="DE3" s="206" t="s">
        <v>383</v>
      </c>
      <c r="DF3" s="206" t="s">
        <v>382</v>
      </c>
      <c r="DG3" s="206" t="s">
        <v>381</v>
      </c>
      <c r="DH3" s="206" t="s">
        <v>380</v>
      </c>
      <c r="DI3" s="206" t="s">
        <v>379</v>
      </c>
      <c r="DJ3" s="206" t="s">
        <v>378</v>
      </c>
      <c r="DK3" s="206" t="s">
        <v>377</v>
      </c>
      <c r="DL3" s="206" t="s">
        <v>376</v>
      </c>
      <c r="DM3" s="205" t="s">
        <v>35</v>
      </c>
      <c r="DN3" s="205" t="s">
        <v>36</v>
      </c>
      <c r="DO3" s="205" t="s">
        <v>29</v>
      </c>
      <c r="DP3" s="205" t="s">
        <v>619</v>
      </c>
      <c r="DQ3" s="205" t="s">
        <v>618</v>
      </c>
      <c r="DR3" s="205" t="s">
        <v>617</v>
      </c>
      <c r="DS3" s="205" t="s">
        <v>616</v>
      </c>
      <c r="DT3" s="205" t="s">
        <v>615</v>
      </c>
      <c r="DU3" s="205" t="s">
        <v>614</v>
      </c>
      <c r="DV3" s="205" t="s">
        <v>613</v>
      </c>
      <c r="DW3" s="205" t="s">
        <v>37</v>
      </c>
      <c r="DX3" s="205" t="s">
        <v>38</v>
      </c>
      <c r="DY3" s="205" t="s">
        <v>39</v>
      </c>
      <c r="DZ3" s="205" t="s">
        <v>40</v>
      </c>
      <c r="EA3" s="205" t="s">
        <v>41</v>
      </c>
      <c r="EB3" s="205" t="s">
        <v>42</v>
      </c>
      <c r="EC3" s="205" t="s">
        <v>43</v>
      </c>
      <c r="ED3" s="205" t="s">
        <v>44</v>
      </c>
      <c r="EE3" s="205" t="s">
        <v>45</v>
      </c>
      <c r="EF3" s="205" t="s">
        <v>46</v>
      </c>
      <c r="EG3" s="205" t="s">
        <v>47</v>
      </c>
      <c r="EH3" s="205" t="s">
        <v>48</v>
      </c>
      <c r="EI3" s="205" t="s">
        <v>49</v>
      </c>
      <c r="EJ3" s="205" t="s">
        <v>50</v>
      </c>
      <c r="EK3" s="205" t="s">
        <v>51</v>
      </c>
      <c r="EL3" s="205" t="s">
        <v>52</v>
      </c>
      <c r="EM3" s="205" t="s">
        <v>53</v>
      </c>
      <c r="EN3" s="205" t="s">
        <v>54</v>
      </c>
      <c r="EO3" s="205" t="s">
        <v>55</v>
      </c>
      <c r="EP3" s="205" t="s">
        <v>56</v>
      </c>
      <c r="EQ3" s="205" t="s">
        <v>57</v>
      </c>
      <c r="ER3" s="205" t="s">
        <v>58</v>
      </c>
      <c r="ES3" s="204" t="s">
        <v>612</v>
      </c>
      <c r="ET3" s="204" t="s">
        <v>611</v>
      </c>
      <c r="EU3" s="200" t="s">
        <v>610</v>
      </c>
      <c r="EV3" s="203" t="s">
        <v>609</v>
      </c>
      <c r="EW3" s="203" t="s">
        <v>608</v>
      </c>
      <c r="EX3" s="203" t="s">
        <v>607</v>
      </c>
      <c r="EY3" s="203" t="s">
        <v>606</v>
      </c>
      <c r="EZ3" s="203" t="s">
        <v>605</v>
      </c>
      <c r="FA3" s="203" t="s">
        <v>604</v>
      </c>
      <c r="FB3" s="203" t="s">
        <v>603</v>
      </c>
      <c r="FC3" s="203" t="s">
        <v>602</v>
      </c>
      <c r="FD3" s="203" t="s">
        <v>601</v>
      </c>
      <c r="FE3" s="203" t="s">
        <v>600</v>
      </c>
      <c r="FF3" s="203" t="s">
        <v>599</v>
      </c>
      <c r="FG3" s="203" t="s">
        <v>598</v>
      </c>
      <c r="FH3" s="203" t="s">
        <v>597</v>
      </c>
      <c r="FI3" s="203" t="s">
        <v>596</v>
      </c>
      <c r="FJ3" s="203" t="s">
        <v>595</v>
      </c>
      <c r="FK3" s="203" t="s">
        <v>594</v>
      </c>
      <c r="FL3" s="203" t="s">
        <v>593</v>
      </c>
      <c r="FM3" s="203" t="s">
        <v>592</v>
      </c>
      <c r="FN3" s="203" t="s">
        <v>591</v>
      </c>
      <c r="FO3" s="203" t="s">
        <v>590</v>
      </c>
      <c r="FP3" s="203" t="s">
        <v>589</v>
      </c>
      <c r="FQ3" s="203" t="s">
        <v>588</v>
      </c>
      <c r="FR3" s="202" t="s">
        <v>587</v>
      </c>
      <c r="FS3" s="202" t="s">
        <v>586</v>
      </c>
      <c r="FT3" s="201" t="s">
        <v>585</v>
      </c>
      <c r="FU3" s="201" t="s">
        <v>584</v>
      </c>
      <c r="FV3" s="201" t="s">
        <v>583</v>
      </c>
      <c r="FW3" s="201" t="s">
        <v>582</v>
      </c>
      <c r="FX3" s="201" t="s">
        <v>581</v>
      </c>
      <c r="FY3" s="201" t="s">
        <v>580</v>
      </c>
      <c r="FZ3" s="200" t="s">
        <v>96</v>
      </c>
      <c r="GA3" s="199" t="s">
        <v>579</v>
      </c>
      <c r="GB3" s="198" t="s">
        <v>578</v>
      </c>
      <c r="GC3" s="198" t="s">
        <v>577</v>
      </c>
      <c r="GD3" s="198" t="s">
        <v>576</v>
      </c>
      <c r="GE3" s="198" t="s">
        <v>575</v>
      </c>
      <c r="GF3" s="198" t="s">
        <v>574</v>
      </c>
      <c r="GG3" s="198" t="s">
        <v>573</v>
      </c>
      <c r="GJ3" s="57" t="s">
        <v>445</v>
      </c>
      <c r="GK3" s="57" t="s">
        <v>444</v>
      </c>
    </row>
    <row r="4" spans="1:193" x14ac:dyDescent="0.25">
      <c r="A4" s="17" t="s">
        <v>572</v>
      </c>
      <c r="B4" s="128" t="s">
        <v>470</v>
      </c>
      <c r="C4" s="188">
        <v>2142400</v>
      </c>
      <c r="D4" s="188">
        <v>99999999</v>
      </c>
      <c r="E4" s="90" t="s">
        <v>545</v>
      </c>
      <c r="F4" s="90">
        <v>18</v>
      </c>
      <c r="G4" s="90">
        <v>30</v>
      </c>
      <c r="H4" s="90" t="s">
        <v>15</v>
      </c>
      <c r="I4" s="90" t="s">
        <v>15</v>
      </c>
      <c r="J4" s="90" t="s">
        <v>15</v>
      </c>
      <c r="K4" s="90"/>
      <c r="L4" s="90"/>
      <c r="M4" s="90"/>
      <c r="N4" s="90"/>
      <c r="O4" s="90"/>
      <c r="P4" s="90"/>
      <c r="Q4" s="90"/>
      <c r="R4" s="90"/>
      <c r="S4" s="90"/>
      <c r="T4" s="90"/>
      <c r="U4" s="90"/>
      <c r="V4" s="90"/>
      <c r="W4" s="90"/>
      <c r="X4" s="90"/>
      <c r="Y4" s="90"/>
      <c r="Z4" s="90"/>
      <c r="AA4" s="90"/>
      <c r="AB4" s="90"/>
      <c r="AC4" s="90"/>
      <c r="AD4" s="90"/>
      <c r="AE4" s="90"/>
      <c r="AF4" s="90"/>
      <c r="AG4" s="90"/>
      <c r="AH4" s="90"/>
      <c r="AI4" s="90"/>
      <c r="AJ4" s="90"/>
      <c r="AK4" s="90"/>
      <c r="AL4" s="90"/>
      <c r="AM4" s="90"/>
      <c r="AN4" s="90"/>
      <c r="AO4" s="90"/>
      <c r="AP4" s="90"/>
      <c r="AQ4" s="90"/>
      <c r="AR4" s="90"/>
      <c r="AS4" s="90"/>
      <c r="AT4" s="186">
        <v>12</v>
      </c>
      <c r="AU4" s="186">
        <v>6</v>
      </c>
      <c r="AV4" s="187">
        <v>10000</v>
      </c>
      <c r="AW4" s="187">
        <v>10000</v>
      </c>
      <c r="AX4" s="90">
        <v>6</v>
      </c>
      <c r="AY4" s="90">
        <v>8</v>
      </c>
      <c r="AZ4" s="186" t="s">
        <v>16</v>
      </c>
      <c r="BA4" s="186">
        <v>2</v>
      </c>
      <c r="BB4" s="186"/>
      <c r="BC4" s="186" t="s">
        <v>16</v>
      </c>
      <c r="BD4" s="128" t="s">
        <v>15</v>
      </c>
      <c r="BE4" s="128" t="s">
        <v>16</v>
      </c>
      <c r="BF4" s="128" t="s">
        <v>16</v>
      </c>
      <c r="BG4" s="128" t="s">
        <v>15</v>
      </c>
      <c r="BH4" s="128" t="s">
        <v>15</v>
      </c>
      <c r="BI4" s="128" t="s">
        <v>15</v>
      </c>
      <c r="BJ4" s="128" t="s">
        <v>15</v>
      </c>
      <c r="BK4" s="128" t="s">
        <v>16</v>
      </c>
      <c r="BL4" s="128" t="s">
        <v>15</v>
      </c>
      <c r="BM4" s="128" t="s">
        <v>15</v>
      </c>
      <c r="BN4" s="128" t="s">
        <v>16</v>
      </c>
      <c r="BO4" s="128" t="s">
        <v>15</v>
      </c>
      <c r="BP4" s="128" t="s">
        <v>15</v>
      </c>
      <c r="BQ4" s="128" t="s">
        <v>16</v>
      </c>
      <c r="BR4" s="128" t="s">
        <v>15</v>
      </c>
      <c r="BS4" s="128" t="s">
        <v>15</v>
      </c>
      <c r="BT4" s="128" t="s">
        <v>15</v>
      </c>
      <c r="BU4" s="128" t="s">
        <v>15</v>
      </c>
      <c r="BV4" s="128" t="s">
        <v>16</v>
      </c>
      <c r="BW4" s="128" t="s">
        <v>15</v>
      </c>
      <c r="BX4" s="128" t="s">
        <v>16</v>
      </c>
      <c r="BY4" s="128" t="s">
        <v>16</v>
      </c>
      <c r="BZ4" s="128" t="s">
        <v>15</v>
      </c>
      <c r="CA4" s="128" t="s">
        <v>16</v>
      </c>
      <c r="CB4" s="128" t="s">
        <v>16</v>
      </c>
      <c r="CC4" s="128" t="s">
        <v>16</v>
      </c>
      <c r="CD4" s="128" t="s">
        <v>16</v>
      </c>
      <c r="CE4" s="128" t="s">
        <v>15</v>
      </c>
      <c r="CF4" s="128" t="s">
        <v>15</v>
      </c>
      <c r="CG4" s="128" t="s">
        <v>16</v>
      </c>
      <c r="CH4" s="128" t="s">
        <v>16</v>
      </c>
      <c r="CI4" s="128" t="s">
        <v>15</v>
      </c>
      <c r="CJ4" s="128" t="s">
        <v>16</v>
      </c>
      <c r="CK4" s="128" t="s">
        <v>15</v>
      </c>
      <c r="CL4" s="128" t="s">
        <v>15</v>
      </c>
      <c r="CM4" s="128" t="s">
        <v>15</v>
      </c>
      <c r="CN4" s="128" t="s">
        <v>16</v>
      </c>
      <c r="CO4" s="128" t="s">
        <v>16</v>
      </c>
      <c r="CP4" s="128" t="s">
        <v>15</v>
      </c>
      <c r="CQ4" s="128" t="s">
        <v>15</v>
      </c>
      <c r="CR4" s="128" t="s">
        <v>15</v>
      </c>
      <c r="CS4" s="128" t="s">
        <v>15</v>
      </c>
      <c r="CT4" s="128" t="s">
        <v>15</v>
      </c>
      <c r="CU4" s="128" t="s">
        <v>15</v>
      </c>
      <c r="CV4" s="128" t="s">
        <v>15</v>
      </c>
      <c r="CW4" s="128" t="s">
        <v>16</v>
      </c>
      <c r="CX4" s="128" t="s">
        <v>15</v>
      </c>
      <c r="CY4" s="128" t="s">
        <v>16</v>
      </c>
      <c r="CZ4" s="128" t="s">
        <v>15</v>
      </c>
      <c r="DA4" s="128" t="s">
        <v>16</v>
      </c>
      <c r="DB4" s="128" t="s">
        <v>15</v>
      </c>
      <c r="DC4" s="128" t="s">
        <v>15</v>
      </c>
      <c r="DD4" s="128" t="s">
        <v>16</v>
      </c>
      <c r="DE4" s="128" t="s">
        <v>15</v>
      </c>
      <c r="DF4" s="128" t="s">
        <v>15</v>
      </c>
      <c r="DG4" s="128" t="s">
        <v>16</v>
      </c>
      <c r="DH4" s="128" t="s">
        <v>15</v>
      </c>
      <c r="DI4" s="128" t="s">
        <v>15</v>
      </c>
      <c r="DJ4" s="128" t="s">
        <v>15</v>
      </c>
      <c r="DK4" s="128" t="s">
        <v>16</v>
      </c>
      <c r="DL4" s="128" t="s">
        <v>16</v>
      </c>
      <c r="DM4" s="17" t="s">
        <v>572</v>
      </c>
      <c r="DN4" s="17" t="s">
        <v>292</v>
      </c>
      <c r="DO4" s="17" t="s">
        <v>20</v>
      </c>
      <c r="DP4" s="185">
        <v>0.1</v>
      </c>
      <c r="DQ4" s="184">
        <v>2100000</v>
      </c>
      <c r="DR4" s="184">
        <v>900000</v>
      </c>
      <c r="DS4" s="17">
        <v>2</v>
      </c>
      <c r="DT4" s="184">
        <v>1500</v>
      </c>
      <c r="DU4" s="184"/>
      <c r="DV4" s="184"/>
      <c r="DW4" s="184">
        <v>7000</v>
      </c>
      <c r="DX4" s="184">
        <v>0</v>
      </c>
      <c r="DY4" s="184">
        <v>2500</v>
      </c>
      <c r="DZ4" s="184">
        <v>4000</v>
      </c>
      <c r="EA4" s="184">
        <v>6500</v>
      </c>
      <c r="EB4" s="184">
        <v>10000</v>
      </c>
      <c r="EC4" s="184">
        <v>3000</v>
      </c>
      <c r="ED4" s="184">
        <v>6500</v>
      </c>
      <c r="EE4" s="184">
        <v>5000</v>
      </c>
      <c r="EF4" s="184">
        <v>2000</v>
      </c>
      <c r="EG4" s="184">
        <v>6000</v>
      </c>
      <c r="EH4" s="184">
        <v>4500</v>
      </c>
      <c r="EI4" s="184">
        <v>5500</v>
      </c>
      <c r="EJ4" s="184">
        <v>9000</v>
      </c>
      <c r="EK4" s="184">
        <v>4500</v>
      </c>
      <c r="EL4" s="184">
        <v>7000</v>
      </c>
      <c r="EM4" s="184">
        <v>7500</v>
      </c>
      <c r="EN4" s="184">
        <v>0</v>
      </c>
      <c r="EO4" s="184">
        <v>9500</v>
      </c>
      <c r="EP4" s="184">
        <v>5500</v>
      </c>
      <c r="EQ4" s="184">
        <v>2000</v>
      </c>
      <c r="ER4" s="184">
        <v>6500</v>
      </c>
      <c r="ES4" s="48" t="s">
        <v>15</v>
      </c>
      <c r="ET4" s="90">
        <v>15</v>
      </c>
      <c r="EU4" s="48" t="s">
        <v>16</v>
      </c>
      <c r="EV4" s="90" t="s">
        <v>15</v>
      </c>
      <c r="EW4" s="90" t="s">
        <v>16</v>
      </c>
      <c r="EX4" s="90" t="s">
        <v>15</v>
      </c>
      <c r="EY4" s="90" t="s">
        <v>16</v>
      </c>
      <c r="EZ4" s="90" t="s">
        <v>15</v>
      </c>
      <c r="FA4" s="90" t="s">
        <v>15</v>
      </c>
      <c r="FB4" s="90" t="s">
        <v>15</v>
      </c>
      <c r="FC4" s="90">
        <v>2217</v>
      </c>
      <c r="FD4" s="90">
        <v>1739</v>
      </c>
      <c r="FE4" s="90">
        <v>472</v>
      </c>
      <c r="FF4" s="90">
        <v>1128</v>
      </c>
      <c r="FG4" s="90">
        <v>501</v>
      </c>
      <c r="FH4" s="90">
        <v>477</v>
      </c>
      <c r="FI4" s="90">
        <v>1384</v>
      </c>
      <c r="FJ4" s="90">
        <v>565</v>
      </c>
      <c r="FK4" s="90">
        <v>1403</v>
      </c>
      <c r="FL4" s="90">
        <v>451</v>
      </c>
      <c r="FM4" s="90" t="s">
        <v>16</v>
      </c>
      <c r="FN4" s="90" t="s">
        <v>15</v>
      </c>
      <c r="FO4" s="90" t="s">
        <v>16</v>
      </c>
      <c r="FP4" s="90" t="s">
        <v>16</v>
      </c>
      <c r="FQ4" s="90" t="s">
        <v>15</v>
      </c>
      <c r="FR4" s="90" t="s">
        <v>15</v>
      </c>
      <c r="FS4" s="90">
        <v>395</v>
      </c>
      <c r="FT4" s="17"/>
      <c r="FU4" s="17"/>
      <c r="FV4" s="17"/>
      <c r="FW4" s="48" t="s">
        <v>531</v>
      </c>
      <c r="FX4" s="48" t="s">
        <v>531</v>
      </c>
      <c r="FY4" s="48">
        <v>3</v>
      </c>
      <c r="FZ4" s="48">
        <v>74</v>
      </c>
      <c r="GA4" s="48" t="s">
        <v>15</v>
      </c>
      <c r="GB4" s="90" t="s">
        <v>15</v>
      </c>
      <c r="GC4" s="90" t="s">
        <v>16</v>
      </c>
      <c r="GD4" s="90" t="s">
        <v>16</v>
      </c>
      <c r="GE4" s="90" t="s">
        <v>15</v>
      </c>
      <c r="GF4" s="90" t="s">
        <v>15</v>
      </c>
      <c r="GG4" s="90" t="s">
        <v>15</v>
      </c>
      <c r="GJ4" s="57" t="s">
        <v>441</v>
      </c>
      <c r="GK4" s="57">
        <v>4</v>
      </c>
    </row>
    <row r="5" spans="1:193" x14ac:dyDescent="0.25">
      <c r="A5" s="17" t="s">
        <v>571</v>
      </c>
      <c r="B5" s="128" t="s">
        <v>470</v>
      </c>
      <c r="C5" s="188">
        <v>1071200</v>
      </c>
      <c r="D5" s="188">
        <v>99999999</v>
      </c>
      <c r="E5" s="90" t="s">
        <v>532</v>
      </c>
      <c r="F5" s="90">
        <v>18</v>
      </c>
      <c r="G5" s="90">
        <v>65</v>
      </c>
      <c r="H5" s="90" t="s">
        <v>15</v>
      </c>
      <c r="I5" s="90" t="s">
        <v>16</v>
      </c>
      <c r="J5" s="90" t="s">
        <v>15</v>
      </c>
      <c r="K5" s="90"/>
      <c r="L5" s="90"/>
      <c r="M5" s="90"/>
      <c r="N5" s="90"/>
      <c r="O5" s="90"/>
      <c r="P5" s="90"/>
      <c r="Q5" s="90"/>
      <c r="R5" s="90"/>
      <c r="S5" s="90"/>
      <c r="T5" s="90"/>
      <c r="U5" s="90"/>
      <c r="V5" s="90"/>
      <c r="W5" s="90"/>
      <c r="X5" s="90"/>
      <c r="Y5" s="90"/>
      <c r="Z5" s="90"/>
      <c r="AA5" s="90"/>
      <c r="AB5" s="90"/>
      <c r="AC5" s="90"/>
      <c r="AD5" s="90"/>
      <c r="AE5" s="90"/>
      <c r="AF5" s="90"/>
      <c r="AG5" s="90"/>
      <c r="AH5" s="90"/>
      <c r="AI5" s="90"/>
      <c r="AJ5" s="90"/>
      <c r="AK5" s="90"/>
      <c r="AL5" s="90"/>
      <c r="AM5" s="90"/>
      <c r="AN5" s="90"/>
      <c r="AO5" s="90"/>
      <c r="AP5" s="90"/>
      <c r="AQ5" s="90"/>
      <c r="AR5" s="90"/>
      <c r="AS5" s="90"/>
      <c r="AT5" s="186">
        <v>4</v>
      </c>
      <c r="AU5" s="186">
        <v>10</v>
      </c>
      <c r="AV5" s="187">
        <v>15000</v>
      </c>
      <c r="AW5" s="187">
        <v>20000</v>
      </c>
      <c r="AX5" s="90">
        <v>1</v>
      </c>
      <c r="AY5" s="90">
        <v>8</v>
      </c>
      <c r="AZ5" s="186" t="s">
        <v>15</v>
      </c>
      <c r="BA5" s="186">
        <v>4</v>
      </c>
      <c r="BB5" s="186"/>
      <c r="BC5" s="186" t="s">
        <v>16</v>
      </c>
      <c r="BD5" s="128" t="s">
        <v>16</v>
      </c>
      <c r="BE5" s="128" t="s">
        <v>15</v>
      </c>
      <c r="BF5" s="128" t="s">
        <v>16</v>
      </c>
      <c r="BG5" s="128" t="s">
        <v>15</v>
      </c>
      <c r="BH5" s="128" t="s">
        <v>15</v>
      </c>
      <c r="BI5" s="128" t="s">
        <v>15</v>
      </c>
      <c r="BJ5" s="128" t="s">
        <v>15</v>
      </c>
      <c r="BK5" s="128" t="s">
        <v>15</v>
      </c>
      <c r="BL5" s="128" t="s">
        <v>16</v>
      </c>
      <c r="BM5" s="128" t="s">
        <v>16</v>
      </c>
      <c r="BN5" s="128" t="s">
        <v>16</v>
      </c>
      <c r="BO5" s="128" t="s">
        <v>15</v>
      </c>
      <c r="BP5" s="128" t="s">
        <v>15</v>
      </c>
      <c r="BQ5" s="128" t="s">
        <v>16</v>
      </c>
      <c r="BR5" s="128" t="s">
        <v>15</v>
      </c>
      <c r="BS5" s="128" t="s">
        <v>15</v>
      </c>
      <c r="BT5" s="128" t="s">
        <v>16</v>
      </c>
      <c r="BU5" s="128" t="s">
        <v>15</v>
      </c>
      <c r="BV5" s="128" t="s">
        <v>16</v>
      </c>
      <c r="BW5" s="128" t="s">
        <v>16</v>
      </c>
      <c r="BX5" s="128" t="s">
        <v>16</v>
      </c>
      <c r="BY5" s="128" t="s">
        <v>16</v>
      </c>
      <c r="BZ5" s="128" t="s">
        <v>16</v>
      </c>
      <c r="CA5" s="128" t="s">
        <v>15</v>
      </c>
      <c r="CB5" s="128" t="s">
        <v>15</v>
      </c>
      <c r="CC5" s="128" t="s">
        <v>15</v>
      </c>
      <c r="CD5" s="128" t="s">
        <v>15</v>
      </c>
      <c r="CE5" s="128" t="s">
        <v>15</v>
      </c>
      <c r="CF5" s="128" t="s">
        <v>15</v>
      </c>
      <c r="CG5" s="128" t="s">
        <v>16</v>
      </c>
      <c r="CH5" s="128" t="s">
        <v>15</v>
      </c>
      <c r="CI5" s="128" t="s">
        <v>15</v>
      </c>
      <c r="CJ5" s="128" t="s">
        <v>16</v>
      </c>
      <c r="CK5" s="128" t="s">
        <v>16</v>
      </c>
      <c r="CL5" s="128" t="s">
        <v>15</v>
      </c>
      <c r="CM5" s="128" t="s">
        <v>16</v>
      </c>
      <c r="CN5" s="128" t="s">
        <v>16</v>
      </c>
      <c r="CO5" s="128" t="s">
        <v>16</v>
      </c>
      <c r="CP5" s="128" t="s">
        <v>16</v>
      </c>
      <c r="CQ5" s="128" t="s">
        <v>15</v>
      </c>
      <c r="CR5" s="128" t="s">
        <v>16</v>
      </c>
      <c r="CS5" s="128" t="s">
        <v>15</v>
      </c>
      <c r="CT5" s="128" t="s">
        <v>15</v>
      </c>
      <c r="CU5" s="128" t="s">
        <v>15</v>
      </c>
      <c r="CV5" s="128" t="s">
        <v>16</v>
      </c>
      <c r="CW5" s="128" t="s">
        <v>15</v>
      </c>
      <c r="CX5" s="128" t="s">
        <v>16</v>
      </c>
      <c r="CY5" s="128" t="s">
        <v>16</v>
      </c>
      <c r="CZ5" s="128" t="s">
        <v>16</v>
      </c>
      <c r="DA5" s="128" t="s">
        <v>16</v>
      </c>
      <c r="DB5" s="128" t="s">
        <v>15</v>
      </c>
      <c r="DC5" s="128" t="s">
        <v>16</v>
      </c>
      <c r="DD5" s="128" t="s">
        <v>15</v>
      </c>
      <c r="DE5" s="128" t="s">
        <v>15</v>
      </c>
      <c r="DF5" s="128" t="s">
        <v>15</v>
      </c>
      <c r="DG5" s="128" t="s">
        <v>16</v>
      </c>
      <c r="DH5" s="128" t="s">
        <v>15</v>
      </c>
      <c r="DI5" s="128" t="s">
        <v>16</v>
      </c>
      <c r="DJ5" s="128" t="s">
        <v>16</v>
      </c>
      <c r="DK5" s="128" t="s">
        <v>15</v>
      </c>
      <c r="DL5" s="128" t="s">
        <v>15</v>
      </c>
      <c r="DM5" s="17" t="s">
        <v>571</v>
      </c>
      <c r="DN5" s="17" t="s">
        <v>292</v>
      </c>
      <c r="DO5" s="17" t="s">
        <v>20</v>
      </c>
      <c r="DP5" s="185">
        <v>0.09</v>
      </c>
      <c r="DQ5" s="184">
        <v>1200000</v>
      </c>
      <c r="DR5" s="184">
        <v>1200000</v>
      </c>
      <c r="DS5" s="17">
        <v>2</v>
      </c>
      <c r="DT5" s="184">
        <v>2500</v>
      </c>
      <c r="DU5" s="184"/>
      <c r="DV5" s="184"/>
      <c r="DW5" s="184">
        <v>2500</v>
      </c>
      <c r="DX5" s="184">
        <v>5000</v>
      </c>
      <c r="DY5" s="184">
        <v>9500</v>
      </c>
      <c r="DZ5" s="184">
        <v>500</v>
      </c>
      <c r="EA5" s="184">
        <v>5500</v>
      </c>
      <c r="EB5" s="184">
        <v>6500</v>
      </c>
      <c r="EC5" s="184">
        <v>7500</v>
      </c>
      <c r="ED5" s="184">
        <v>8500</v>
      </c>
      <c r="EE5" s="184">
        <v>6000</v>
      </c>
      <c r="EF5" s="184">
        <v>6000</v>
      </c>
      <c r="EG5" s="184">
        <v>6500</v>
      </c>
      <c r="EH5" s="184">
        <v>8000</v>
      </c>
      <c r="EI5" s="184">
        <v>4000</v>
      </c>
      <c r="EJ5" s="184">
        <v>8000</v>
      </c>
      <c r="EK5" s="184">
        <v>500</v>
      </c>
      <c r="EL5" s="184">
        <v>1000</v>
      </c>
      <c r="EM5" s="184">
        <v>0</v>
      </c>
      <c r="EN5" s="184">
        <v>4500</v>
      </c>
      <c r="EO5" s="184">
        <v>7000</v>
      </c>
      <c r="EP5" s="184">
        <v>6500</v>
      </c>
      <c r="EQ5" s="184">
        <v>7000</v>
      </c>
      <c r="ER5" s="184">
        <v>6500</v>
      </c>
      <c r="ES5" s="48" t="s">
        <v>16</v>
      </c>
      <c r="ET5" s="90">
        <v>9</v>
      </c>
      <c r="EU5" s="48" t="s">
        <v>16</v>
      </c>
      <c r="EV5" s="90" t="s">
        <v>15</v>
      </c>
      <c r="EW5" s="90" t="s">
        <v>16</v>
      </c>
      <c r="EX5" s="90" t="s">
        <v>15</v>
      </c>
      <c r="EY5" s="90" t="s">
        <v>16</v>
      </c>
      <c r="EZ5" s="90" t="s">
        <v>15</v>
      </c>
      <c r="FA5" s="90" t="s">
        <v>16</v>
      </c>
      <c r="FB5" s="90" t="s">
        <v>16</v>
      </c>
      <c r="FC5" s="90">
        <v>1134</v>
      </c>
      <c r="FD5" s="90">
        <v>623</v>
      </c>
      <c r="FE5" s="90">
        <v>665</v>
      </c>
      <c r="FF5" s="90">
        <v>1139</v>
      </c>
      <c r="FG5" s="90">
        <v>843</v>
      </c>
      <c r="FH5" s="90">
        <v>1396</v>
      </c>
      <c r="FI5" s="90">
        <v>2159</v>
      </c>
      <c r="FJ5" s="90">
        <v>478</v>
      </c>
      <c r="FK5" s="90">
        <v>704</v>
      </c>
      <c r="FL5" s="90">
        <v>1585</v>
      </c>
      <c r="FM5" s="90" t="s">
        <v>15</v>
      </c>
      <c r="FN5" s="90" t="s">
        <v>16</v>
      </c>
      <c r="FO5" s="90" t="s">
        <v>16</v>
      </c>
      <c r="FP5" s="90" t="s">
        <v>16</v>
      </c>
      <c r="FQ5" s="90" t="s">
        <v>16</v>
      </c>
      <c r="FR5" s="90" t="s">
        <v>15</v>
      </c>
      <c r="FS5" s="90">
        <v>713</v>
      </c>
      <c r="FT5" s="17"/>
      <c r="FU5" s="17"/>
      <c r="FV5" s="17"/>
      <c r="FW5" s="48" t="s">
        <v>533</v>
      </c>
      <c r="FX5" s="48" t="s">
        <v>540</v>
      </c>
      <c r="FY5" s="48">
        <v>2</v>
      </c>
      <c r="FZ5" s="48">
        <v>70</v>
      </c>
      <c r="GA5" s="48" t="s">
        <v>15</v>
      </c>
      <c r="GB5" s="90" t="s">
        <v>16</v>
      </c>
      <c r="GC5" s="90" t="s">
        <v>16</v>
      </c>
      <c r="GD5" s="90" t="s">
        <v>16</v>
      </c>
      <c r="GE5" s="90" t="s">
        <v>15</v>
      </c>
      <c r="GF5" s="90" t="s">
        <v>15</v>
      </c>
      <c r="GG5" s="90" t="s">
        <v>15</v>
      </c>
      <c r="GJ5" s="57" t="s">
        <v>438</v>
      </c>
      <c r="GK5" s="57">
        <v>5</v>
      </c>
    </row>
    <row r="6" spans="1:193" x14ac:dyDescent="0.25">
      <c r="A6" s="17" t="s">
        <v>570</v>
      </c>
      <c r="B6" s="128" t="s">
        <v>471</v>
      </c>
      <c r="C6" s="188">
        <v>2000000</v>
      </c>
      <c r="D6" s="188">
        <v>99999999</v>
      </c>
      <c r="E6" s="90" t="s">
        <v>532</v>
      </c>
      <c r="F6" s="90">
        <v>25</v>
      </c>
      <c r="G6" s="90">
        <v>65</v>
      </c>
      <c r="H6" s="90" t="s">
        <v>15</v>
      </c>
      <c r="I6" s="90" t="s">
        <v>15</v>
      </c>
      <c r="J6" s="90" t="s">
        <v>15</v>
      </c>
      <c r="K6" s="90"/>
      <c r="L6" s="90"/>
      <c r="M6" s="90"/>
      <c r="N6" s="90"/>
      <c r="O6" s="90"/>
      <c r="P6" s="90"/>
      <c r="Q6" s="90"/>
      <c r="R6" s="90"/>
      <c r="S6" s="90"/>
      <c r="T6" s="90"/>
      <c r="U6" s="90"/>
      <c r="V6" s="90"/>
      <c r="W6" s="90"/>
      <c r="X6" s="90"/>
      <c r="Y6" s="90"/>
      <c r="Z6" s="90"/>
      <c r="AA6" s="90"/>
      <c r="AB6" s="90"/>
      <c r="AC6" s="90"/>
      <c r="AD6" s="90"/>
      <c r="AE6" s="90"/>
      <c r="AF6" s="90"/>
      <c r="AG6" s="90"/>
      <c r="AH6" s="90"/>
      <c r="AI6" s="90"/>
      <c r="AJ6" s="90"/>
      <c r="AK6" s="90"/>
      <c r="AL6" s="90"/>
      <c r="AM6" s="90"/>
      <c r="AN6" s="90"/>
      <c r="AO6" s="90"/>
      <c r="AP6" s="90"/>
      <c r="AQ6" s="90"/>
      <c r="AR6" s="90"/>
      <c r="AS6" s="90"/>
      <c r="AT6" s="186">
        <v>21</v>
      </c>
      <c r="AU6" s="186">
        <v>12</v>
      </c>
      <c r="AV6" s="187">
        <v>8000</v>
      </c>
      <c r="AW6" s="187">
        <v>25000</v>
      </c>
      <c r="AX6" s="90">
        <v>10</v>
      </c>
      <c r="AY6" s="90">
        <v>13</v>
      </c>
      <c r="AZ6" s="186" t="s">
        <v>15</v>
      </c>
      <c r="BA6" s="186">
        <v>4</v>
      </c>
      <c r="BB6" s="186"/>
      <c r="BC6" s="186" t="s">
        <v>15</v>
      </c>
      <c r="BD6" s="128" t="s">
        <v>15</v>
      </c>
      <c r="BE6" s="128" t="s">
        <v>15</v>
      </c>
      <c r="BF6" s="128" t="s">
        <v>16</v>
      </c>
      <c r="BG6" s="128" t="s">
        <v>16</v>
      </c>
      <c r="BH6" s="128" t="s">
        <v>16</v>
      </c>
      <c r="BI6" s="128" t="s">
        <v>15</v>
      </c>
      <c r="BJ6" s="128" t="s">
        <v>16</v>
      </c>
      <c r="BK6" s="128" t="s">
        <v>15</v>
      </c>
      <c r="BL6" s="128" t="s">
        <v>15</v>
      </c>
      <c r="BM6" s="128" t="s">
        <v>15</v>
      </c>
      <c r="BN6" s="128" t="s">
        <v>16</v>
      </c>
      <c r="BO6" s="128" t="s">
        <v>15</v>
      </c>
      <c r="BP6" s="128" t="s">
        <v>16</v>
      </c>
      <c r="BQ6" s="128" t="s">
        <v>16</v>
      </c>
      <c r="BR6" s="128" t="s">
        <v>15</v>
      </c>
      <c r="BS6" s="128" t="s">
        <v>15</v>
      </c>
      <c r="BT6" s="128" t="s">
        <v>15</v>
      </c>
      <c r="BU6" s="128" t="s">
        <v>15</v>
      </c>
      <c r="BV6" s="128" t="s">
        <v>16</v>
      </c>
      <c r="BW6" s="128" t="s">
        <v>15</v>
      </c>
      <c r="BX6" s="128" t="s">
        <v>16</v>
      </c>
      <c r="BY6" s="128" t="s">
        <v>15</v>
      </c>
      <c r="BZ6" s="128" t="s">
        <v>15</v>
      </c>
      <c r="CA6" s="128" t="s">
        <v>16</v>
      </c>
      <c r="CB6" s="128" t="s">
        <v>16</v>
      </c>
      <c r="CC6" s="128" t="s">
        <v>16</v>
      </c>
      <c r="CD6" s="128" t="s">
        <v>15</v>
      </c>
      <c r="CE6" s="128" t="s">
        <v>15</v>
      </c>
      <c r="CF6" s="128" t="s">
        <v>15</v>
      </c>
      <c r="CG6" s="128" t="s">
        <v>15</v>
      </c>
      <c r="CH6" s="128" t="s">
        <v>15</v>
      </c>
      <c r="CI6" s="128" t="s">
        <v>16</v>
      </c>
      <c r="CJ6" s="128" t="s">
        <v>15</v>
      </c>
      <c r="CK6" s="128" t="s">
        <v>16</v>
      </c>
      <c r="CL6" s="128" t="s">
        <v>16</v>
      </c>
      <c r="CM6" s="128" t="s">
        <v>16</v>
      </c>
      <c r="CN6" s="128" t="s">
        <v>16</v>
      </c>
      <c r="CO6" s="128" t="s">
        <v>15</v>
      </c>
      <c r="CP6" s="128" t="s">
        <v>16</v>
      </c>
      <c r="CQ6" s="128" t="s">
        <v>16</v>
      </c>
      <c r="CR6" s="128" t="s">
        <v>16</v>
      </c>
      <c r="CS6" s="128" t="s">
        <v>15</v>
      </c>
      <c r="CT6" s="128" t="s">
        <v>15</v>
      </c>
      <c r="CU6" s="128" t="s">
        <v>15</v>
      </c>
      <c r="CV6" s="128" t="s">
        <v>15</v>
      </c>
      <c r="CW6" s="128" t="s">
        <v>15</v>
      </c>
      <c r="CX6" s="128" t="s">
        <v>15</v>
      </c>
      <c r="CY6" s="128" t="s">
        <v>16</v>
      </c>
      <c r="CZ6" s="128" t="s">
        <v>15</v>
      </c>
      <c r="DA6" s="128" t="s">
        <v>16</v>
      </c>
      <c r="DB6" s="128" t="s">
        <v>15</v>
      </c>
      <c r="DC6" s="128" t="s">
        <v>16</v>
      </c>
      <c r="DD6" s="128" t="s">
        <v>15</v>
      </c>
      <c r="DE6" s="128" t="s">
        <v>15</v>
      </c>
      <c r="DF6" s="128" t="s">
        <v>15</v>
      </c>
      <c r="DG6" s="128" t="s">
        <v>15</v>
      </c>
      <c r="DH6" s="128" t="s">
        <v>15</v>
      </c>
      <c r="DI6" s="128" t="s">
        <v>15</v>
      </c>
      <c r="DJ6" s="128" t="s">
        <v>15</v>
      </c>
      <c r="DK6" s="128" t="s">
        <v>16</v>
      </c>
      <c r="DL6" s="128" t="s">
        <v>16</v>
      </c>
      <c r="DM6" s="17" t="s">
        <v>570</v>
      </c>
      <c r="DN6" s="17" t="s">
        <v>292</v>
      </c>
      <c r="DO6" s="17" t="s">
        <v>20</v>
      </c>
      <c r="DP6" s="185">
        <v>0.12</v>
      </c>
      <c r="DQ6" s="184">
        <v>1300000</v>
      </c>
      <c r="DR6" s="184">
        <v>1100000</v>
      </c>
      <c r="DS6" s="17">
        <v>2</v>
      </c>
      <c r="DT6" s="184">
        <v>6500</v>
      </c>
      <c r="DU6" s="184"/>
      <c r="DV6" s="184"/>
      <c r="DW6" s="184">
        <v>500</v>
      </c>
      <c r="DX6" s="184">
        <v>9500</v>
      </c>
      <c r="DY6" s="184">
        <v>4500</v>
      </c>
      <c r="DZ6" s="184">
        <v>0</v>
      </c>
      <c r="EA6" s="184">
        <v>9500</v>
      </c>
      <c r="EB6" s="184">
        <v>4500</v>
      </c>
      <c r="EC6" s="184">
        <v>4000</v>
      </c>
      <c r="ED6" s="184">
        <v>4500</v>
      </c>
      <c r="EE6" s="184">
        <v>1500</v>
      </c>
      <c r="EF6" s="184">
        <v>5000</v>
      </c>
      <c r="EG6" s="184">
        <v>8500</v>
      </c>
      <c r="EH6" s="184">
        <v>3000</v>
      </c>
      <c r="EI6" s="184">
        <v>4000</v>
      </c>
      <c r="EJ6" s="184">
        <v>5500</v>
      </c>
      <c r="EK6" s="184">
        <v>7500</v>
      </c>
      <c r="EL6" s="184">
        <v>7000</v>
      </c>
      <c r="EM6" s="184">
        <v>6500</v>
      </c>
      <c r="EN6" s="184">
        <v>7000</v>
      </c>
      <c r="EO6" s="184">
        <v>3500</v>
      </c>
      <c r="EP6" s="184">
        <v>9000</v>
      </c>
      <c r="EQ6" s="184">
        <v>9500</v>
      </c>
      <c r="ER6" s="184">
        <v>10000</v>
      </c>
      <c r="ES6" s="48" t="s">
        <v>16</v>
      </c>
      <c r="ET6" s="90">
        <v>17</v>
      </c>
      <c r="EU6" s="48" t="s">
        <v>16</v>
      </c>
      <c r="EV6" s="90" t="s">
        <v>15</v>
      </c>
      <c r="EW6" s="90" t="s">
        <v>16</v>
      </c>
      <c r="EX6" s="90" t="s">
        <v>16</v>
      </c>
      <c r="EY6" s="90" t="s">
        <v>15</v>
      </c>
      <c r="EZ6" s="90" t="s">
        <v>16</v>
      </c>
      <c r="FA6" s="90" t="s">
        <v>15</v>
      </c>
      <c r="FB6" s="90" t="s">
        <v>16</v>
      </c>
      <c r="FC6" s="90">
        <v>1421</v>
      </c>
      <c r="FD6" s="90">
        <v>1405</v>
      </c>
      <c r="FE6" s="90">
        <v>712</v>
      </c>
      <c r="FF6" s="90">
        <v>2259</v>
      </c>
      <c r="FG6" s="90">
        <v>945</v>
      </c>
      <c r="FH6" s="90">
        <v>1815</v>
      </c>
      <c r="FI6" s="90">
        <v>268</v>
      </c>
      <c r="FJ6" s="90">
        <v>578</v>
      </c>
      <c r="FK6" s="90">
        <v>1083</v>
      </c>
      <c r="FL6" s="90">
        <v>1257</v>
      </c>
      <c r="FM6" s="90" t="s">
        <v>15</v>
      </c>
      <c r="FN6" s="90" t="s">
        <v>15</v>
      </c>
      <c r="FO6" s="90" t="s">
        <v>16</v>
      </c>
      <c r="FP6" s="90" t="s">
        <v>15</v>
      </c>
      <c r="FQ6" s="90" t="s">
        <v>16</v>
      </c>
      <c r="FR6" s="90" t="s">
        <v>16</v>
      </c>
      <c r="FS6" s="90">
        <v>0</v>
      </c>
      <c r="FT6" s="17"/>
      <c r="FU6" s="17"/>
      <c r="FV6" s="17"/>
      <c r="FW6" s="48" t="s">
        <v>537</v>
      </c>
      <c r="FX6" s="48" t="s">
        <v>471</v>
      </c>
      <c r="FY6" s="48">
        <v>6</v>
      </c>
      <c r="FZ6" s="48">
        <v>40</v>
      </c>
      <c r="GA6" s="48" t="s">
        <v>16</v>
      </c>
      <c r="GB6" s="90" t="s">
        <v>15</v>
      </c>
      <c r="GC6" s="90" t="s">
        <v>16</v>
      </c>
      <c r="GD6" s="90" t="s">
        <v>16</v>
      </c>
      <c r="GE6" s="90" t="s">
        <v>16</v>
      </c>
      <c r="GF6" s="90" t="s">
        <v>16</v>
      </c>
      <c r="GG6" s="90" t="s">
        <v>16</v>
      </c>
      <c r="GJ6" s="57" t="s">
        <v>435</v>
      </c>
      <c r="GK6" s="57">
        <v>3</v>
      </c>
    </row>
    <row r="7" spans="1:193" x14ac:dyDescent="0.25">
      <c r="A7" s="17" t="s">
        <v>569</v>
      </c>
      <c r="B7" s="128" t="s">
        <v>471</v>
      </c>
      <c r="C7" s="188">
        <v>3749200</v>
      </c>
      <c r="D7" s="188">
        <v>99999999</v>
      </c>
      <c r="E7" s="90" t="s">
        <v>532</v>
      </c>
      <c r="F7" s="90">
        <v>18</v>
      </c>
      <c r="G7" s="90">
        <v>65</v>
      </c>
      <c r="H7" s="90" t="s">
        <v>16</v>
      </c>
      <c r="I7" s="90" t="s">
        <v>15</v>
      </c>
      <c r="J7" s="90" t="s">
        <v>15</v>
      </c>
      <c r="K7" s="90"/>
      <c r="L7" s="90"/>
      <c r="M7" s="90"/>
      <c r="N7" s="90"/>
      <c r="O7" s="90"/>
      <c r="P7" s="90"/>
      <c r="Q7" s="90"/>
      <c r="R7" s="90"/>
      <c r="S7" s="90"/>
      <c r="T7" s="90"/>
      <c r="U7" s="90"/>
      <c r="V7" s="90"/>
      <c r="W7" s="90"/>
      <c r="X7" s="90"/>
      <c r="Y7" s="90"/>
      <c r="Z7" s="90"/>
      <c r="AA7" s="90"/>
      <c r="AB7" s="90"/>
      <c r="AC7" s="90"/>
      <c r="AD7" s="90"/>
      <c r="AE7" s="90"/>
      <c r="AF7" s="90"/>
      <c r="AG7" s="90"/>
      <c r="AH7" s="90"/>
      <c r="AI7" s="90"/>
      <c r="AJ7" s="90"/>
      <c r="AK7" s="90"/>
      <c r="AL7" s="90"/>
      <c r="AM7" s="90"/>
      <c r="AN7" s="90"/>
      <c r="AO7" s="90"/>
      <c r="AP7" s="90"/>
      <c r="AQ7" s="90"/>
      <c r="AR7" s="90"/>
      <c r="AS7" s="90"/>
      <c r="AT7" s="186">
        <v>23</v>
      </c>
      <c r="AU7" s="186">
        <v>10</v>
      </c>
      <c r="AV7" s="187">
        <v>12000</v>
      </c>
      <c r="AW7" s="187">
        <v>10000</v>
      </c>
      <c r="AX7" s="90">
        <v>12</v>
      </c>
      <c r="AY7" s="90">
        <v>14</v>
      </c>
      <c r="AZ7" s="186" t="s">
        <v>16</v>
      </c>
      <c r="BA7" s="186">
        <v>3</v>
      </c>
      <c r="BB7" s="186"/>
      <c r="BC7" s="186" t="s">
        <v>15</v>
      </c>
      <c r="BD7" s="128" t="s">
        <v>15</v>
      </c>
      <c r="BE7" s="128" t="s">
        <v>15</v>
      </c>
      <c r="BF7" s="128" t="s">
        <v>16</v>
      </c>
      <c r="BG7" s="128" t="s">
        <v>15</v>
      </c>
      <c r="BH7" s="128" t="s">
        <v>16</v>
      </c>
      <c r="BI7" s="128" t="s">
        <v>16</v>
      </c>
      <c r="BJ7" s="128" t="s">
        <v>16</v>
      </c>
      <c r="BK7" s="128" t="s">
        <v>15</v>
      </c>
      <c r="BL7" s="128" t="s">
        <v>16</v>
      </c>
      <c r="BM7" s="128" t="s">
        <v>15</v>
      </c>
      <c r="BN7" s="128" t="s">
        <v>15</v>
      </c>
      <c r="BO7" s="128" t="s">
        <v>15</v>
      </c>
      <c r="BP7" s="128" t="s">
        <v>15</v>
      </c>
      <c r="BQ7" s="128" t="s">
        <v>15</v>
      </c>
      <c r="BR7" s="128" t="s">
        <v>15</v>
      </c>
      <c r="BS7" s="128" t="s">
        <v>15</v>
      </c>
      <c r="BT7" s="128" t="s">
        <v>15</v>
      </c>
      <c r="BU7" s="128" t="s">
        <v>15</v>
      </c>
      <c r="BV7" s="128" t="s">
        <v>16</v>
      </c>
      <c r="BW7" s="128" t="s">
        <v>15</v>
      </c>
      <c r="BX7" s="128" t="s">
        <v>15</v>
      </c>
      <c r="BY7" s="128" t="s">
        <v>15</v>
      </c>
      <c r="BZ7" s="128" t="s">
        <v>16</v>
      </c>
      <c r="CA7" s="128" t="s">
        <v>15</v>
      </c>
      <c r="CB7" s="128" t="s">
        <v>15</v>
      </c>
      <c r="CC7" s="128" t="s">
        <v>16</v>
      </c>
      <c r="CD7" s="128" t="s">
        <v>16</v>
      </c>
      <c r="CE7" s="128" t="s">
        <v>15</v>
      </c>
      <c r="CF7" s="128" t="s">
        <v>15</v>
      </c>
      <c r="CG7" s="128" t="s">
        <v>16</v>
      </c>
      <c r="CH7" s="128" t="s">
        <v>16</v>
      </c>
      <c r="CI7" s="128" t="s">
        <v>16</v>
      </c>
      <c r="CJ7" s="128" t="s">
        <v>16</v>
      </c>
      <c r="CK7" s="128" t="s">
        <v>16</v>
      </c>
      <c r="CL7" s="128" t="s">
        <v>16</v>
      </c>
      <c r="CM7" s="128" t="s">
        <v>15</v>
      </c>
      <c r="CN7" s="128" t="s">
        <v>15</v>
      </c>
      <c r="CO7" s="128" t="s">
        <v>16</v>
      </c>
      <c r="CP7" s="128" t="s">
        <v>15</v>
      </c>
      <c r="CQ7" s="128" t="s">
        <v>15</v>
      </c>
      <c r="CR7" s="128" t="s">
        <v>15</v>
      </c>
      <c r="CS7" s="128" t="s">
        <v>15</v>
      </c>
      <c r="CT7" s="128" t="s">
        <v>15</v>
      </c>
      <c r="CU7" s="128" t="s">
        <v>15</v>
      </c>
      <c r="CV7" s="128" t="s">
        <v>15</v>
      </c>
      <c r="CW7" s="128" t="s">
        <v>16</v>
      </c>
      <c r="CX7" s="128" t="s">
        <v>15</v>
      </c>
      <c r="CY7" s="128" t="s">
        <v>15</v>
      </c>
      <c r="CZ7" s="128" t="s">
        <v>15</v>
      </c>
      <c r="DA7" s="128" t="s">
        <v>15</v>
      </c>
      <c r="DB7" s="128" t="s">
        <v>16</v>
      </c>
      <c r="DC7" s="128" t="s">
        <v>15</v>
      </c>
      <c r="DD7" s="128" t="s">
        <v>16</v>
      </c>
      <c r="DE7" s="128" t="s">
        <v>15</v>
      </c>
      <c r="DF7" s="128" t="s">
        <v>16</v>
      </c>
      <c r="DG7" s="128" t="s">
        <v>15</v>
      </c>
      <c r="DH7" s="128" t="s">
        <v>15</v>
      </c>
      <c r="DI7" s="128" t="s">
        <v>15</v>
      </c>
      <c r="DJ7" s="128" t="s">
        <v>15</v>
      </c>
      <c r="DK7" s="128" t="s">
        <v>15</v>
      </c>
      <c r="DL7" s="128" t="s">
        <v>15</v>
      </c>
      <c r="DM7" s="17" t="s">
        <v>569</v>
      </c>
      <c r="DN7" s="17" t="s">
        <v>263</v>
      </c>
      <c r="DO7" s="17" t="s">
        <v>20</v>
      </c>
      <c r="DP7" s="185">
        <v>0.1</v>
      </c>
      <c r="DQ7" s="184">
        <v>1000000</v>
      </c>
      <c r="DR7" s="184">
        <v>1300000</v>
      </c>
      <c r="DS7" s="17">
        <v>3</v>
      </c>
      <c r="DT7" s="184">
        <v>500</v>
      </c>
      <c r="DU7" s="184"/>
      <c r="DV7" s="184"/>
      <c r="DW7" s="184">
        <v>4000</v>
      </c>
      <c r="DX7" s="184">
        <v>500</v>
      </c>
      <c r="DY7" s="184">
        <v>5500</v>
      </c>
      <c r="DZ7" s="184">
        <v>7000</v>
      </c>
      <c r="EA7" s="184">
        <v>3000</v>
      </c>
      <c r="EB7" s="184">
        <v>6000</v>
      </c>
      <c r="EC7" s="184">
        <v>2000</v>
      </c>
      <c r="ED7" s="184">
        <v>6500</v>
      </c>
      <c r="EE7" s="184">
        <v>9000</v>
      </c>
      <c r="EF7" s="184">
        <v>7500</v>
      </c>
      <c r="EG7" s="184">
        <v>0</v>
      </c>
      <c r="EH7" s="184">
        <v>8500</v>
      </c>
      <c r="EI7" s="184">
        <v>9500</v>
      </c>
      <c r="EJ7" s="184">
        <v>7500</v>
      </c>
      <c r="EK7" s="184">
        <v>8000</v>
      </c>
      <c r="EL7" s="184">
        <v>6500</v>
      </c>
      <c r="EM7" s="184">
        <v>7500</v>
      </c>
      <c r="EN7" s="184">
        <v>8000</v>
      </c>
      <c r="EO7" s="184">
        <v>4500</v>
      </c>
      <c r="EP7" s="184">
        <v>7000</v>
      </c>
      <c r="EQ7" s="184">
        <v>6500</v>
      </c>
      <c r="ER7" s="184">
        <v>2500</v>
      </c>
      <c r="ES7" s="48" t="s">
        <v>16</v>
      </c>
      <c r="ET7" s="90">
        <v>1</v>
      </c>
      <c r="EU7" s="48" t="s">
        <v>15</v>
      </c>
      <c r="EV7" s="90" t="s">
        <v>15</v>
      </c>
      <c r="EW7" s="90" t="s">
        <v>16</v>
      </c>
      <c r="EX7" s="90" t="s">
        <v>16</v>
      </c>
      <c r="EY7" s="90" t="s">
        <v>16</v>
      </c>
      <c r="EZ7" s="90" t="s">
        <v>16</v>
      </c>
      <c r="FA7" s="90" t="s">
        <v>15</v>
      </c>
      <c r="FB7" s="90" t="s">
        <v>15</v>
      </c>
      <c r="FC7" s="90">
        <v>1684</v>
      </c>
      <c r="FD7" s="90">
        <v>359</v>
      </c>
      <c r="FE7" s="90">
        <v>630</v>
      </c>
      <c r="FF7" s="90">
        <v>1710</v>
      </c>
      <c r="FG7" s="90">
        <v>2153</v>
      </c>
      <c r="FH7" s="90">
        <v>1823</v>
      </c>
      <c r="FI7" s="90">
        <v>1251</v>
      </c>
      <c r="FJ7" s="90">
        <v>2206</v>
      </c>
      <c r="FK7" s="90">
        <v>1910</v>
      </c>
      <c r="FL7" s="90">
        <v>984</v>
      </c>
      <c r="FM7" s="90" t="s">
        <v>15</v>
      </c>
      <c r="FN7" s="90" t="s">
        <v>16</v>
      </c>
      <c r="FO7" s="90" t="s">
        <v>15</v>
      </c>
      <c r="FP7" s="90" t="s">
        <v>15</v>
      </c>
      <c r="FQ7" s="90" t="s">
        <v>15</v>
      </c>
      <c r="FR7" s="90" t="s">
        <v>15</v>
      </c>
      <c r="FS7" s="90">
        <v>172</v>
      </c>
      <c r="FT7" s="17"/>
      <c r="FU7" s="17"/>
      <c r="FV7" s="17"/>
      <c r="FW7" s="48" t="s">
        <v>537</v>
      </c>
      <c r="FX7" s="48" t="s">
        <v>540</v>
      </c>
      <c r="FY7" s="48">
        <v>6</v>
      </c>
      <c r="FZ7" s="48">
        <v>130</v>
      </c>
      <c r="GA7" s="48" t="s">
        <v>16</v>
      </c>
      <c r="GB7" s="90" t="s">
        <v>15</v>
      </c>
      <c r="GC7" s="90" t="s">
        <v>15</v>
      </c>
      <c r="GD7" s="90" t="s">
        <v>16</v>
      </c>
      <c r="GE7" s="90" t="s">
        <v>16</v>
      </c>
      <c r="GF7" s="90" t="s">
        <v>16</v>
      </c>
      <c r="GG7" s="90" t="s">
        <v>16</v>
      </c>
      <c r="GJ7" s="57" t="s">
        <v>434</v>
      </c>
      <c r="GK7" s="57">
        <v>3</v>
      </c>
    </row>
    <row r="8" spans="1:193" x14ac:dyDescent="0.25">
      <c r="A8" s="17" t="s">
        <v>568</v>
      </c>
      <c r="B8" s="128" t="s">
        <v>470</v>
      </c>
      <c r="C8" s="188">
        <v>2142400</v>
      </c>
      <c r="D8" s="188">
        <v>10000000</v>
      </c>
      <c r="E8" s="90" t="s">
        <v>532</v>
      </c>
      <c r="F8" s="90">
        <v>18</v>
      </c>
      <c r="G8" s="90">
        <v>65</v>
      </c>
      <c r="H8" s="90" t="s">
        <v>15</v>
      </c>
      <c r="I8" s="90" t="s">
        <v>15</v>
      </c>
      <c r="J8" s="90" t="s">
        <v>15</v>
      </c>
      <c r="K8" s="90"/>
      <c r="L8" s="90"/>
      <c r="M8" s="90"/>
      <c r="N8" s="90"/>
      <c r="O8" s="90"/>
      <c r="P8" s="90"/>
      <c r="Q8" s="90"/>
      <c r="R8" s="90"/>
      <c r="S8" s="90"/>
      <c r="T8" s="90"/>
      <c r="U8" s="90"/>
      <c r="V8" s="90"/>
      <c r="W8" s="90"/>
      <c r="X8" s="90"/>
      <c r="Y8" s="90"/>
      <c r="Z8" s="90"/>
      <c r="AA8" s="90"/>
      <c r="AB8" s="90"/>
      <c r="AC8" s="90"/>
      <c r="AD8" s="90"/>
      <c r="AE8" s="90"/>
      <c r="AF8" s="90"/>
      <c r="AG8" s="90"/>
      <c r="AH8" s="90"/>
      <c r="AI8" s="90"/>
      <c r="AJ8" s="90"/>
      <c r="AK8" s="90"/>
      <c r="AL8" s="90"/>
      <c r="AM8" s="90"/>
      <c r="AN8" s="90"/>
      <c r="AO8" s="90"/>
      <c r="AP8" s="90"/>
      <c r="AQ8" s="90"/>
      <c r="AR8" s="90"/>
      <c r="AS8" s="90"/>
      <c r="AT8" s="186">
        <v>21</v>
      </c>
      <c r="AU8" s="186">
        <v>6</v>
      </c>
      <c r="AV8" s="187">
        <v>9000</v>
      </c>
      <c r="AW8" s="187">
        <v>10000</v>
      </c>
      <c r="AX8" s="90">
        <v>8</v>
      </c>
      <c r="AY8" s="90">
        <v>9</v>
      </c>
      <c r="AZ8" s="186" t="s">
        <v>16</v>
      </c>
      <c r="BA8" s="186">
        <v>1</v>
      </c>
      <c r="BB8" s="186"/>
      <c r="BC8" s="186" t="s">
        <v>15</v>
      </c>
      <c r="BD8" s="128" t="s">
        <v>15</v>
      </c>
      <c r="BE8" s="128" t="s">
        <v>15</v>
      </c>
      <c r="BF8" s="128" t="s">
        <v>16</v>
      </c>
      <c r="BG8" s="128" t="s">
        <v>15</v>
      </c>
      <c r="BH8" s="128" t="s">
        <v>16</v>
      </c>
      <c r="BI8" s="128" t="s">
        <v>15</v>
      </c>
      <c r="BJ8" s="128" t="s">
        <v>16</v>
      </c>
      <c r="BK8" s="128" t="s">
        <v>15</v>
      </c>
      <c r="BL8" s="128" t="s">
        <v>16</v>
      </c>
      <c r="BM8" s="128" t="s">
        <v>15</v>
      </c>
      <c r="BN8" s="128" t="s">
        <v>16</v>
      </c>
      <c r="BO8" s="128" t="s">
        <v>15</v>
      </c>
      <c r="BP8" s="128" t="s">
        <v>16</v>
      </c>
      <c r="BQ8" s="128" t="s">
        <v>16</v>
      </c>
      <c r="BR8" s="128" t="s">
        <v>16</v>
      </c>
      <c r="BS8" s="128" t="s">
        <v>16</v>
      </c>
      <c r="BT8" s="128" t="s">
        <v>16</v>
      </c>
      <c r="BU8" s="128" t="s">
        <v>15</v>
      </c>
      <c r="BV8" s="128" t="s">
        <v>16</v>
      </c>
      <c r="BW8" s="128" t="s">
        <v>15</v>
      </c>
      <c r="BX8" s="128" t="s">
        <v>16</v>
      </c>
      <c r="BY8" s="128" t="s">
        <v>16</v>
      </c>
      <c r="BZ8" s="128" t="s">
        <v>16</v>
      </c>
      <c r="CA8" s="128" t="s">
        <v>16</v>
      </c>
      <c r="CB8" s="128" t="s">
        <v>15</v>
      </c>
      <c r="CC8" s="128" t="s">
        <v>16</v>
      </c>
      <c r="CD8" s="128" t="s">
        <v>15</v>
      </c>
      <c r="CE8" s="128" t="s">
        <v>15</v>
      </c>
      <c r="CF8" s="128" t="s">
        <v>15</v>
      </c>
      <c r="CG8" s="128" t="s">
        <v>16</v>
      </c>
      <c r="CH8" s="128" t="s">
        <v>15</v>
      </c>
      <c r="CI8" s="128" t="s">
        <v>16</v>
      </c>
      <c r="CJ8" s="128" t="s">
        <v>16</v>
      </c>
      <c r="CK8" s="128" t="s">
        <v>16</v>
      </c>
      <c r="CL8" s="128" t="s">
        <v>16</v>
      </c>
      <c r="CM8" s="128" t="s">
        <v>16</v>
      </c>
      <c r="CN8" s="128" t="s">
        <v>16</v>
      </c>
      <c r="CO8" s="128" t="s">
        <v>16</v>
      </c>
      <c r="CP8" s="128" t="s">
        <v>16</v>
      </c>
      <c r="CQ8" s="128" t="s">
        <v>15</v>
      </c>
      <c r="CR8" s="128" t="s">
        <v>15</v>
      </c>
      <c r="CS8" s="128" t="s">
        <v>16</v>
      </c>
      <c r="CT8" s="128" t="s">
        <v>16</v>
      </c>
      <c r="CU8" s="128" t="s">
        <v>15</v>
      </c>
      <c r="CV8" s="128" t="s">
        <v>16</v>
      </c>
      <c r="CW8" s="128" t="s">
        <v>15</v>
      </c>
      <c r="CX8" s="128" t="s">
        <v>15</v>
      </c>
      <c r="CY8" s="128" t="s">
        <v>15</v>
      </c>
      <c r="CZ8" s="128" t="s">
        <v>15</v>
      </c>
      <c r="DA8" s="128" t="s">
        <v>16</v>
      </c>
      <c r="DB8" s="128" t="s">
        <v>15</v>
      </c>
      <c r="DC8" s="128" t="s">
        <v>15</v>
      </c>
      <c r="DD8" s="128" t="s">
        <v>16</v>
      </c>
      <c r="DE8" s="128" t="s">
        <v>16</v>
      </c>
      <c r="DF8" s="128" t="s">
        <v>15</v>
      </c>
      <c r="DG8" s="128" t="s">
        <v>15</v>
      </c>
      <c r="DH8" s="128" t="s">
        <v>15</v>
      </c>
      <c r="DI8" s="128" t="s">
        <v>15</v>
      </c>
      <c r="DJ8" s="128" t="s">
        <v>15</v>
      </c>
      <c r="DK8" s="128" t="s">
        <v>16</v>
      </c>
      <c r="DL8" s="128" t="s">
        <v>16</v>
      </c>
      <c r="DM8" s="17" t="s">
        <v>568</v>
      </c>
      <c r="DN8" s="17" t="s">
        <v>263</v>
      </c>
      <c r="DO8" s="17" t="s">
        <v>20</v>
      </c>
      <c r="DP8" s="185">
        <v>0.15</v>
      </c>
      <c r="DQ8" s="184">
        <v>800000</v>
      </c>
      <c r="DR8" s="184">
        <v>1300000</v>
      </c>
      <c r="DS8" s="17">
        <v>3</v>
      </c>
      <c r="DT8" s="184">
        <v>2500</v>
      </c>
      <c r="DU8" s="184"/>
      <c r="DV8" s="184"/>
      <c r="DW8" s="184">
        <v>8000</v>
      </c>
      <c r="DX8" s="184">
        <v>7500</v>
      </c>
      <c r="DY8" s="184">
        <v>0</v>
      </c>
      <c r="DZ8" s="184">
        <v>1500</v>
      </c>
      <c r="EA8" s="184">
        <v>3000</v>
      </c>
      <c r="EB8" s="184">
        <v>500</v>
      </c>
      <c r="EC8" s="184">
        <v>9000</v>
      </c>
      <c r="ED8" s="184">
        <v>0</v>
      </c>
      <c r="EE8" s="184">
        <v>7500</v>
      </c>
      <c r="EF8" s="184">
        <v>5000</v>
      </c>
      <c r="EG8" s="184">
        <v>7000</v>
      </c>
      <c r="EH8" s="184">
        <v>7500</v>
      </c>
      <c r="EI8" s="184">
        <v>4000</v>
      </c>
      <c r="EJ8" s="184">
        <v>8000</v>
      </c>
      <c r="EK8" s="184">
        <v>2500</v>
      </c>
      <c r="EL8" s="184">
        <v>2000</v>
      </c>
      <c r="EM8" s="184">
        <v>8000</v>
      </c>
      <c r="EN8" s="184">
        <v>7500</v>
      </c>
      <c r="EO8" s="184">
        <v>7500</v>
      </c>
      <c r="EP8" s="184">
        <v>6500</v>
      </c>
      <c r="EQ8" s="184">
        <v>5000</v>
      </c>
      <c r="ER8" s="184">
        <v>0</v>
      </c>
      <c r="ES8" s="48" t="s">
        <v>15</v>
      </c>
      <c r="ET8" s="90">
        <v>2</v>
      </c>
      <c r="EU8" s="48" t="s">
        <v>16</v>
      </c>
      <c r="EV8" s="90" t="s">
        <v>15</v>
      </c>
      <c r="EW8" s="90" t="s">
        <v>15</v>
      </c>
      <c r="EX8" s="90" t="s">
        <v>16</v>
      </c>
      <c r="EY8" s="90" t="s">
        <v>15</v>
      </c>
      <c r="EZ8" s="90" t="s">
        <v>16</v>
      </c>
      <c r="FA8" s="90" t="s">
        <v>16</v>
      </c>
      <c r="FB8" s="90" t="s">
        <v>15</v>
      </c>
      <c r="FC8" s="90">
        <v>2047</v>
      </c>
      <c r="FD8" s="90">
        <v>1922</v>
      </c>
      <c r="FE8" s="90">
        <v>1269</v>
      </c>
      <c r="FF8" s="90">
        <v>611</v>
      </c>
      <c r="FG8" s="90">
        <v>1149</v>
      </c>
      <c r="FH8" s="90">
        <v>500</v>
      </c>
      <c r="FI8" s="90">
        <v>1040</v>
      </c>
      <c r="FJ8" s="90">
        <v>2004</v>
      </c>
      <c r="FK8" s="90">
        <v>1362</v>
      </c>
      <c r="FL8" s="90">
        <v>391</v>
      </c>
      <c r="FM8" s="90" t="s">
        <v>15</v>
      </c>
      <c r="FN8" s="90" t="s">
        <v>15</v>
      </c>
      <c r="FO8" s="90" t="s">
        <v>16</v>
      </c>
      <c r="FP8" s="90" t="s">
        <v>16</v>
      </c>
      <c r="FQ8" s="90" t="s">
        <v>15</v>
      </c>
      <c r="FR8" s="90" t="s">
        <v>15</v>
      </c>
      <c r="FS8" s="90">
        <v>280</v>
      </c>
      <c r="FT8" s="17"/>
      <c r="FU8" s="17"/>
      <c r="FV8" s="17"/>
      <c r="FW8" s="48" t="s">
        <v>533</v>
      </c>
      <c r="FX8" s="48" t="s">
        <v>471</v>
      </c>
      <c r="FY8" s="48">
        <v>6</v>
      </c>
      <c r="FZ8" s="48">
        <v>95</v>
      </c>
      <c r="GA8" s="48" t="s">
        <v>15</v>
      </c>
      <c r="GB8" s="90" t="s">
        <v>15</v>
      </c>
      <c r="GC8" s="90" t="s">
        <v>15</v>
      </c>
      <c r="GD8" s="90" t="s">
        <v>15</v>
      </c>
      <c r="GE8" s="90" t="s">
        <v>16</v>
      </c>
      <c r="GF8" s="90" t="s">
        <v>15</v>
      </c>
      <c r="GG8" s="90" t="s">
        <v>16</v>
      </c>
      <c r="GJ8" s="57" t="s">
        <v>433</v>
      </c>
      <c r="GK8" s="57">
        <v>2</v>
      </c>
    </row>
    <row r="9" spans="1:193" x14ac:dyDescent="0.25">
      <c r="A9" s="17" t="s">
        <v>567</v>
      </c>
      <c r="B9" s="128" t="s">
        <v>470</v>
      </c>
      <c r="C9" s="188">
        <v>1606800</v>
      </c>
      <c r="D9" s="188">
        <v>99999999</v>
      </c>
      <c r="E9" s="90" t="s">
        <v>532</v>
      </c>
      <c r="F9" s="90">
        <v>30</v>
      </c>
      <c r="G9" s="90">
        <v>65</v>
      </c>
      <c r="H9" s="90" t="s">
        <v>15</v>
      </c>
      <c r="I9" s="90" t="s">
        <v>15</v>
      </c>
      <c r="J9" s="90" t="s">
        <v>16</v>
      </c>
      <c r="K9" s="90"/>
      <c r="L9" s="90"/>
      <c r="M9" s="90"/>
      <c r="N9" s="90"/>
      <c r="O9" s="90"/>
      <c r="P9" s="90"/>
      <c r="Q9" s="90"/>
      <c r="R9" s="90"/>
      <c r="S9" s="90"/>
      <c r="T9" s="90"/>
      <c r="U9" s="90"/>
      <c r="V9" s="90"/>
      <c r="W9" s="90"/>
      <c r="X9" s="90"/>
      <c r="Y9" s="90"/>
      <c r="Z9" s="90"/>
      <c r="AA9" s="90"/>
      <c r="AB9" s="90"/>
      <c r="AC9" s="90"/>
      <c r="AD9" s="90"/>
      <c r="AE9" s="90"/>
      <c r="AF9" s="90"/>
      <c r="AG9" s="90"/>
      <c r="AH9" s="90"/>
      <c r="AI9" s="90"/>
      <c r="AJ9" s="90"/>
      <c r="AK9" s="90"/>
      <c r="AL9" s="90"/>
      <c r="AM9" s="90"/>
      <c r="AN9" s="90"/>
      <c r="AO9" s="90"/>
      <c r="AP9" s="90"/>
      <c r="AQ9" s="90"/>
      <c r="AR9" s="90"/>
      <c r="AS9" s="90"/>
      <c r="AT9" s="186">
        <v>21</v>
      </c>
      <c r="AU9" s="186">
        <v>10</v>
      </c>
      <c r="AV9" s="187">
        <v>10000</v>
      </c>
      <c r="AW9" s="187">
        <v>15000</v>
      </c>
      <c r="AX9" s="90">
        <v>1</v>
      </c>
      <c r="AY9" s="90">
        <v>14</v>
      </c>
      <c r="AZ9" s="186" t="s">
        <v>15</v>
      </c>
      <c r="BA9" s="186">
        <v>2</v>
      </c>
      <c r="BB9" s="186"/>
      <c r="BC9" s="186" t="s">
        <v>15</v>
      </c>
      <c r="BD9" s="128" t="s">
        <v>15</v>
      </c>
      <c r="BE9" s="128" t="s">
        <v>15</v>
      </c>
      <c r="BF9" s="128" t="s">
        <v>15</v>
      </c>
      <c r="BG9" s="128" t="s">
        <v>15</v>
      </c>
      <c r="BH9" s="128" t="s">
        <v>16</v>
      </c>
      <c r="BI9" s="128" t="s">
        <v>15</v>
      </c>
      <c r="BJ9" s="128" t="s">
        <v>16</v>
      </c>
      <c r="BK9" s="128" t="s">
        <v>15</v>
      </c>
      <c r="BL9" s="128" t="s">
        <v>16</v>
      </c>
      <c r="BM9" s="128" t="s">
        <v>15</v>
      </c>
      <c r="BN9" s="128" t="s">
        <v>16</v>
      </c>
      <c r="BO9" s="128" t="s">
        <v>15</v>
      </c>
      <c r="BP9" s="128" t="s">
        <v>16</v>
      </c>
      <c r="BQ9" s="128" t="s">
        <v>16</v>
      </c>
      <c r="BR9" s="128" t="s">
        <v>15</v>
      </c>
      <c r="BS9" s="128" t="s">
        <v>15</v>
      </c>
      <c r="BT9" s="128" t="s">
        <v>15</v>
      </c>
      <c r="BU9" s="128" t="s">
        <v>16</v>
      </c>
      <c r="BV9" s="128" t="s">
        <v>15</v>
      </c>
      <c r="BW9" s="128" t="s">
        <v>15</v>
      </c>
      <c r="BX9" s="128" t="s">
        <v>16</v>
      </c>
      <c r="BY9" s="128" t="s">
        <v>16</v>
      </c>
      <c r="BZ9" s="128" t="s">
        <v>15</v>
      </c>
      <c r="CA9" s="128" t="s">
        <v>16</v>
      </c>
      <c r="CB9" s="128" t="s">
        <v>16</v>
      </c>
      <c r="CC9" s="128" t="s">
        <v>16</v>
      </c>
      <c r="CD9" s="128" t="s">
        <v>15</v>
      </c>
      <c r="CE9" s="128" t="s">
        <v>15</v>
      </c>
      <c r="CF9" s="128" t="s">
        <v>15</v>
      </c>
      <c r="CG9" s="128" t="s">
        <v>16</v>
      </c>
      <c r="CH9" s="128" t="s">
        <v>15</v>
      </c>
      <c r="CI9" s="128" t="s">
        <v>15</v>
      </c>
      <c r="CJ9" s="128" t="s">
        <v>15</v>
      </c>
      <c r="CK9" s="128" t="s">
        <v>16</v>
      </c>
      <c r="CL9" s="128" t="s">
        <v>16</v>
      </c>
      <c r="CM9" s="128" t="s">
        <v>16</v>
      </c>
      <c r="CN9" s="128" t="s">
        <v>16</v>
      </c>
      <c r="CO9" s="128" t="s">
        <v>16</v>
      </c>
      <c r="CP9" s="128" t="s">
        <v>16</v>
      </c>
      <c r="CQ9" s="128" t="s">
        <v>15</v>
      </c>
      <c r="CR9" s="128" t="s">
        <v>15</v>
      </c>
      <c r="CS9" s="128" t="s">
        <v>16</v>
      </c>
      <c r="CT9" s="128" t="s">
        <v>16</v>
      </c>
      <c r="CU9" s="128" t="s">
        <v>15</v>
      </c>
      <c r="CV9" s="128" t="s">
        <v>16</v>
      </c>
      <c r="CW9" s="128" t="s">
        <v>15</v>
      </c>
      <c r="CX9" s="128" t="s">
        <v>15</v>
      </c>
      <c r="CY9" s="128" t="s">
        <v>15</v>
      </c>
      <c r="CZ9" s="128" t="s">
        <v>15</v>
      </c>
      <c r="DA9" s="128" t="s">
        <v>16</v>
      </c>
      <c r="DB9" s="128" t="s">
        <v>15</v>
      </c>
      <c r="DC9" s="128" t="s">
        <v>15</v>
      </c>
      <c r="DD9" s="128" t="s">
        <v>16</v>
      </c>
      <c r="DE9" s="128" t="s">
        <v>15</v>
      </c>
      <c r="DF9" s="128" t="s">
        <v>15</v>
      </c>
      <c r="DG9" s="128" t="s">
        <v>15</v>
      </c>
      <c r="DH9" s="128" t="s">
        <v>15</v>
      </c>
      <c r="DI9" s="128" t="s">
        <v>16</v>
      </c>
      <c r="DJ9" s="128" t="s">
        <v>15</v>
      </c>
      <c r="DK9" s="128" t="s">
        <v>16</v>
      </c>
      <c r="DL9" s="128" t="s">
        <v>16</v>
      </c>
      <c r="DM9" s="17" t="s">
        <v>567</v>
      </c>
      <c r="DN9" s="17" t="s">
        <v>263</v>
      </c>
      <c r="DO9" s="17" t="s">
        <v>20</v>
      </c>
      <c r="DP9" s="185">
        <v>0.16</v>
      </c>
      <c r="DQ9" s="184">
        <v>1600000</v>
      </c>
      <c r="DR9" s="184">
        <v>1100000</v>
      </c>
      <c r="DS9" s="17">
        <v>1</v>
      </c>
      <c r="DT9" s="184">
        <v>8000</v>
      </c>
      <c r="DU9" s="184"/>
      <c r="DV9" s="184"/>
      <c r="DW9" s="184">
        <v>9500</v>
      </c>
      <c r="DX9" s="184">
        <v>1500</v>
      </c>
      <c r="DY9" s="184">
        <v>1000</v>
      </c>
      <c r="DZ9" s="184">
        <v>5000</v>
      </c>
      <c r="EA9" s="184">
        <v>4000</v>
      </c>
      <c r="EB9" s="184">
        <v>10000</v>
      </c>
      <c r="EC9" s="184">
        <v>3500</v>
      </c>
      <c r="ED9" s="184">
        <v>6000</v>
      </c>
      <c r="EE9" s="184">
        <v>6000</v>
      </c>
      <c r="EF9" s="184">
        <v>6500</v>
      </c>
      <c r="EG9" s="184">
        <v>2500</v>
      </c>
      <c r="EH9" s="184">
        <v>500</v>
      </c>
      <c r="EI9" s="184">
        <v>6000</v>
      </c>
      <c r="EJ9" s="184">
        <v>1500</v>
      </c>
      <c r="EK9" s="184">
        <v>7000</v>
      </c>
      <c r="EL9" s="184">
        <v>4000</v>
      </c>
      <c r="EM9" s="184">
        <v>3000</v>
      </c>
      <c r="EN9" s="184">
        <v>2500</v>
      </c>
      <c r="EO9" s="184">
        <v>3000</v>
      </c>
      <c r="EP9" s="184">
        <v>7500</v>
      </c>
      <c r="EQ9" s="184">
        <v>7500</v>
      </c>
      <c r="ER9" s="184">
        <v>0</v>
      </c>
      <c r="ES9" s="48" t="s">
        <v>16</v>
      </c>
      <c r="ET9" s="90">
        <v>2</v>
      </c>
      <c r="EU9" s="48" t="s">
        <v>15</v>
      </c>
      <c r="EV9" s="90" t="s">
        <v>15</v>
      </c>
      <c r="EW9" s="90" t="s">
        <v>16</v>
      </c>
      <c r="EX9" s="90" t="s">
        <v>15</v>
      </c>
      <c r="EY9" s="90" t="s">
        <v>15</v>
      </c>
      <c r="EZ9" s="90" t="s">
        <v>16</v>
      </c>
      <c r="FA9" s="90" t="s">
        <v>16</v>
      </c>
      <c r="FB9" s="90" t="s">
        <v>15</v>
      </c>
      <c r="FC9" s="90">
        <v>1343</v>
      </c>
      <c r="FD9" s="90">
        <v>1354</v>
      </c>
      <c r="FE9" s="90">
        <v>1191</v>
      </c>
      <c r="FF9" s="90">
        <v>1001</v>
      </c>
      <c r="FG9" s="90">
        <v>2188</v>
      </c>
      <c r="FH9" s="90">
        <v>1065</v>
      </c>
      <c r="FI9" s="90">
        <v>1786</v>
      </c>
      <c r="FJ9" s="90">
        <v>1519</v>
      </c>
      <c r="FK9" s="90">
        <v>1937</v>
      </c>
      <c r="FL9" s="90">
        <v>1235</v>
      </c>
      <c r="FM9" s="90" t="s">
        <v>16</v>
      </c>
      <c r="FN9" s="90" t="s">
        <v>16</v>
      </c>
      <c r="FO9" s="90" t="s">
        <v>15</v>
      </c>
      <c r="FP9" s="90" t="s">
        <v>16</v>
      </c>
      <c r="FQ9" s="90" t="s">
        <v>16</v>
      </c>
      <c r="FR9" s="90" t="s">
        <v>16</v>
      </c>
      <c r="FS9" s="90">
        <v>0</v>
      </c>
      <c r="FT9" s="17"/>
      <c r="FU9" s="17"/>
      <c r="FV9" s="17"/>
      <c r="FW9" s="48" t="s">
        <v>537</v>
      </c>
      <c r="FX9" s="48" t="s">
        <v>531</v>
      </c>
      <c r="FY9" s="48">
        <v>4</v>
      </c>
      <c r="FZ9" s="48">
        <v>57</v>
      </c>
      <c r="GA9" s="48" t="s">
        <v>16</v>
      </c>
      <c r="GB9" s="90" t="s">
        <v>16</v>
      </c>
      <c r="GC9" s="90" t="s">
        <v>16</v>
      </c>
      <c r="GD9" s="90" t="s">
        <v>15</v>
      </c>
      <c r="GE9" s="90" t="s">
        <v>15</v>
      </c>
      <c r="GF9" s="90" t="s">
        <v>16</v>
      </c>
      <c r="GG9" s="90" t="s">
        <v>15</v>
      </c>
      <c r="GJ9" s="57" t="s">
        <v>432</v>
      </c>
      <c r="GK9" s="57">
        <v>3</v>
      </c>
    </row>
    <row r="10" spans="1:193" x14ac:dyDescent="0.25">
      <c r="A10" s="17" t="s">
        <v>566</v>
      </c>
      <c r="B10" s="128" t="s">
        <v>471</v>
      </c>
      <c r="C10" s="188">
        <v>2678000</v>
      </c>
      <c r="D10" s="188">
        <v>99999999</v>
      </c>
      <c r="E10" s="90" t="s">
        <v>532</v>
      </c>
      <c r="F10" s="90">
        <v>18</v>
      </c>
      <c r="G10" s="90">
        <v>65</v>
      </c>
      <c r="H10" s="90" t="s">
        <v>15</v>
      </c>
      <c r="I10" s="90" t="s">
        <v>16</v>
      </c>
      <c r="J10" s="90" t="s">
        <v>15</v>
      </c>
      <c r="K10" s="90"/>
      <c r="L10" s="90"/>
      <c r="M10" s="90"/>
      <c r="N10" s="90"/>
      <c r="O10" s="90"/>
      <c r="P10" s="90"/>
      <c r="Q10" s="90"/>
      <c r="R10" s="90"/>
      <c r="S10" s="90"/>
      <c r="T10" s="90"/>
      <c r="U10" s="90"/>
      <c r="V10" s="90"/>
      <c r="W10" s="90"/>
      <c r="X10" s="90"/>
      <c r="Y10" s="90"/>
      <c r="Z10" s="90"/>
      <c r="AA10" s="90"/>
      <c r="AB10" s="90"/>
      <c r="AC10" s="90"/>
      <c r="AD10" s="90"/>
      <c r="AE10" s="90"/>
      <c r="AF10" s="90"/>
      <c r="AG10" s="90"/>
      <c r="AH10" s="90"/>
      <c r="AI10" s="90"/>
      <c r="AJ10" s="90"/>
      <c r="AK10" s="90"/>
      <c r="AL10" s="90"/>
      <c r="AM10" s="90"/>
      <c r="AN10" s="90"/>
      <c r="AO10" s="90"/>
      <c r="AP10" s="90"/>
      <c r="AQ10" s="90"/>
      <c r="AR10" s="90"/>
      <c r="AS10" s="90"/>
      <c r="AT10" s="186">
        <v>4</v>
      </c>
      <c r="AU10" s="186">
        <v>12</v>
      </c>
      <c r="AV10" s="187">
        <v>15000</v>
      </c>
      <c r="AW10" s="187">
        <v>15000</v>
      </c>
      <c r="AX10" s="90">
        <v>12</v>
      </c>
      <c r="AY10" s="90">
        <v>1</v>
      </c>
      <c r="AZ10" s="186" t="s">
        <v>15</v>
      </c>
      <c r="BA10" s="186">
        <v>2</v>
      </c>
      <c r="BB10" s="186"/>
      <c r="BC10" s="186" t="s">
        <v>16</v>
      </c>
      <c r="BD10" s="128" t="s">
        <v>16</v>
      </c>
      <c r="BE10" s="128" t="s">
        <v>15</v>
      </c>
      <c r="BF10" s="128" t="s">
        <v>15</v>
      </c>
      <c r="BG10" s="128" t="s">
        <v>15</v>
      </c>
      <c r="BH10" s="128" t="s">
        <v>16</v>
      </c>
      <c r="BI10" s="128" t="s">
        <v>15</v>
      </c>
      <c r="BJ10" s="128" t="s">
        <v>16</v>
      </c>
      <c r="BK10" s="128" t="s">
        <v>15</v>
      </c>
      <c r="BL10" s="128" t="s">
        <v>16</v>
      </c>
      <c r="BM10" s="128" t="s">
        <v>16</v>
      </c>
      <c r="BN10" s="128" t="s">
        <v>16</v>
      </c>
      <c r="BO10" s="128" t="s">
        <v>15</v>
      </c>
      <c r="BP10" s="128" t="s">
        <v>15</v>
      </c>
      <c r="BQ10" s="128" t="s">
        <v>16</v>
      </c>
      <c r="BR10" s="128" t="s">
        <v>16</v>
      </c>
      <c r="BS10" s="128" t="s">
        <v>16</v>
      </c>
      <c r="BT10" s="128" t="s">
        <v>16</v>
      </c>
      <c r="BU10" s="128" t="s">
        <v>15</v>
      </c>
      <c r="BV10" s="128" t="s">
        <v>16</v>
      </c>
      <c r="BW10" s="128" t="s">
        <v>16</v>
      </c>
      <c r="BX10" s="128" t="s">
        <v>16</v>
      </c>
      <c r="BY10" s="128" t="s">
        <v>16</v>
      </c>
      <c r="BZ10" s="128" t="s">
        <v>16</v>
      </c>
      <c r="CA10" s="128" t="s">
        <v>15</v>
      </c>
      <c r="CB10" s="128" t="s">
        <v>15</v>
      </c>
      <c r="CC10" s="128" t="s">
        <v>15</v>
      </c>
      <c r="CD10" s="128" t="s">
        <v>15</v>
      </c>
      <c r="CE10" s="128" t="s">
        <v>15</v>
      </c>
      <c r="CF10" s="128" t="s">
        <v>15</v>
      </c>
      <c r="CG10" s="128" t="s">
        <v>16</v>
      </c>
      <c r="CH10" s="128" t="s">
        <v>15</v>
      </c>
      <c r="CI10" s="128" t="s">
        <v>15</v>
      </c>
      <c r="CJ10" s="128" t="s">
        <v>16</v>
      </c>
      <c r="CK10" s="128" t="s">
        <v>16</v>
      </c>
      <c r="CL10" s="128" t="s">
        <v>15</v>
      </c>
      <c r="CM10" s="128" t="s">
        <v>16</v>
      </c>
      <c r="CN10" s="128" t="s">
        <v>16</v>
      </c>
      <c r="CO10" s="128" t="s">
        <v>16</v>
      </c>
      <c r="CP10" s="128" t="s">
        <v>16</v>
      </c>
      <c r="CQ10" s="128" t="s">
        <v>15</v>
      </c>
      <c r="CR10" s="128" t="s">
        <v>15</v>
      </c>
      <c r="CS10" s="128" t="s">
        <v>16</v>
      </c>
      <c r="CT10" s="128" t="s">
        <v>16</v>
      </c>
      <c r="CU10" s="128" t="s">
        <v>15</v>
      </c>
      <c r="CV10" s="128" t="s">
        <v>16</v>
      </c>
      <c r="CW10" s="128" t="s">
        <v>16</v>
      </c>
      <c r="CX10" s="128" t="s">
        <v>15</v>
      </c>
      <c r="CY10" s="128" t="s">
        <v>15</v>
      </c>
      <c r="CZ10" s="128" t="s">
        <v>15</v>
      </c>
      <c r="DA10" s="128" t="s">
        <v>16</v>
      </c>
      <c r="DB10" s="128" t="s">
        <v>16</v>
      </c>
      <c r="DC10" s="128" t="s">
        <v>15</v>
      </c>
      <c r="DD10" s="128" t="s">
        <v>15</v>
      </c>
      <c r="DE10" s="128" t="s">
        <v>15</v>
      </c>
      <c r="DF10" s="128" t="s">
        <v>15</v>
      </c>
      <c r="DG10" s="128" t="s">
        <v>15</v>
      </c>
      <c r="DH10" s="128" t="s">
        <v>15</v>
      </c>
      <c r="DI10" s="128" t="s">
        <v>15</v>
      </c>
      <c r="DJ10" s="128" t="s">
        <v>15</v>
      </c>
      <c r="DK10" s="128" t="s">
        <v>15</v>
      </c>
      <c r="DL10" s="128" t="s">
        <v>15</v>
      </c>
      <c r="DM10" s="17" t="s">
        <v>566</v>
      </c>
      <c r="DN10" s="17" t="s">
        <v>263</v>
      </c>
      <c r="DO10" s="17" t="s">
        <v>20</v>
      </c>
      <c r="DP10" s="185">
        <v>0.08</v>
      </c>
      <c r="DQ10" s="184">
        <v>2500000</v>
      </c>
      <c r="DR10" s="184">
        <v>600000</v>
      </c>
      <c r="DS10" s="17">
        <v>1</v>
      </c>
      <c r="DT10" s="184">
        <v>6500</v>
      </c>
      <c r="DU10" s="184"/>
      <c r="DV10" s="184"/>
      <c r="DW10" s="184">
        <v>5500</v>
      </c>
      <c r="DX10" s="184">
        <v>3500</v>
      </c>
      <c r="DY10" s="184">
        <v>4500</v>
      </c>
      <c r="DZ10" s="184">
        <v>10000</v>
      </c>
      <c r="EA10" s="184">
        <v>9000</v>
      </c>
      <c r="EB10" s="184">
        <v>4000</v>
      </c>
      <c r="EC10" s="184">
        <v>5000</v>
      </c>
      <c r="ED10" s="184">
        <v>4000</v>
      </c>
      <c r="EE10" s="184">
        <v>8000</v>
      </c>
      <c r="EF10" s="184">
        <v>8500</v>
      </c>
      <c r="EG10" s="184">
        <v>3500</v>
      </c>
      <c r="EH10" s="184">
        <v>6000</v>
      </c>
      <c r="EI10" s="184">
        <v>5500</v>
      </c>
      <c r="EJ10" s="184">
        <v>7500</v>
      </c>
      <c r="EK10" s="184">
        <v>7000</v>
      </c>
      <c r="EL10" s="184">
        <v>1500</v>
      </c>
      <c r="EM10" s="184">
        <v>0</v>
      </c>
      <c r="EN10" s="184">
        <v>5000</v>
      </c>
      <c r="EO10" s="184">
        <v>4500</v>
      </c>
      <c r="EP10" s="184">
        <v>7500</v>
      </c>
      <c r="EQ10" s="184">
        <v>500</v>
      </c>
      <c r="ER10" s="184">
        <v>5000</v>
      </c>
      <c r="ES10" s="48" t="s">
        <v>15</v>
      </c>
      <c r="ET10" s="90">
        <v>1</v>
      </c>
      <c r="EU10" s="48" t="s">
        <v>16</v>
      </c>
      <c r="EV10" s="90" t="s">
        <v>15</v>
      </c>
      <c r="EW10" s="90" t="s">
        <v>16</v>
      </c>
      <c r="EX10" s="90" t="s">
        <v>16</v>
      </c>
      <c r="EY10" s="90" t="s">
        <v>15</v>
      </c>
      <c r="EZ10" s="90" t="s">
        <v>16</v>
      </c>
      <c r="FA10" s="90" t="s">
        <v>16</v>
      </c>
      <c r="FB10" s="90" t="s">
        <v>16</v>
      </c>
      <c r="FC10" s="90">
        <v>1937</v>
      </c>
      <c r="FD10" s="90">
        <v>1916</v>
      </c>
      <c r="FE10" s="90">
        <v>1924</v>
      </c>
      <c r="FF10" s="90">
        <v>586</v>
      </c>
      <c r="FG10" s="90">
        <v>234</v>
      </c>
      <c r="FH10" s="90">
        <v>793</v>
      </c>
      <c r="FI10" s="90">
        <v>504</v>
      </c>
      <c r="FJ10" s="90">
        <v>2287</v>
      </c>
      <c r="FK10" s="90">
        <v>2066</v>
      </c>
      <c r="FL10" s="90">
        <v>2123</v>
      </c>
      <c r="FM10" s="90" t="s">
        <v>16</v>
      </c>
      <c r="FN10" s="90" t="s">
        <v>15</v>
      </c>
      <c r="FO10" s="90" t="s">
        <v>15</v>
      </c>
      <c r="FP10" s="90" t="s">
        <v>16</v>
      </c>
      <c r="FQ10" s="90" t="s">
        <v>15</v>
      </c>
      <c r="FR10" s="90" t="s">
        <v>15</v>
      </c>
      <c r="FS10" s="90">
        <v>103</v>
      </c>
      <c r="FT10" s="17"/>
      <c r="FU10" s="17"/>
      <c r="FV10" s="17"/>
      <c r="FW10" s="48" t="s">
        <v>533</v>
      </c>
      <c r="FX10" s="48" t="s">
        <v>471</v>
      </c>
      <c r="FY10" s="48">
        <v>6</v>
      </c>
      <c r="FZ10" s="48">
        <v>158</v>
      </c>
      <c r="GA10" s="48" t="s">
        <v>15</v>
      </c>
      <c r="GB10" s="90" t="s">
        <v>15</v>
      </c>
      <c r="GC10" s="90" t="s">
        <v>16</v>
      </c>
      <c r="GD10" s="90" t="s">
        <v>16</v>
      </c>
      <c r="GE10" s="90" t="s">
        <v>16</v>
      </c>
      <c r="GF10" s="90" t="s">
        <v>16</v>
      </c>
      <c r="GG10" s="90" t="s">
        <v>15</v>
      </c>
      <c r="GJ10" s="57" t="s">
        <v>431</v>
      </c>
      <c r="GK10" s="57">
        <v>3</v>
      </c>
    </row>
    <row r="11" spans="1:193" s="189" customFormat="1" x14ac:dyDescent="0.25">
      <c r="A11" s="189" t="s">
        <v>83</v>
      </c>
      <c r="B11" s="194" t="s">
        <v>470</v>
      </c>
      <c r="C11" s="197">
        <v>2678000</v>
      </c>
      <c r="D11" s="197">
        <v>99999999</v>
      </c>
      <c r="E11" s="190" t="s">
        <v>532</v>
      </c>
      <c r="F11" s="190">
        <v>18</v>
      </c>
      <c r="G11" s="190">
        <v>65</v>
      </c>
      <c r="H11" s="190" t="s">
        <v>15</v>
      </c>
      <c r="I11" s="190" t="s">
        <v>15</v>
      </c>
      <c r="J11" s="190" t="s">
        <v>15</v>
      </c>
      <c r="K11" s="190"/>
      <c r="L11" s="190"/>
      <c r="M11" s="190"/>
      <c r="N11" s="190"/>
      <c r="O11" s="190"/>
      <c r="P11" s="190"/>
      <c r="Q11" s="190"/>
      <c r="R11" s="190"/>
      <c r="S11" s="190"/>
      <c r="T11" s="190"/>
      <c r="U11" s="190"/>
      <c r="V11" s="190"/>
      <c r="W11" s="190"/>
      <c r="X11" s="190"/>
      <c r="Y11" s="190"/>
      <c r="Z11" s="190"/>
      <c r="AA11" s="190"/>
      <c r="AB11" s="190"/>
      <c r="AC11" s="190"/>
      <c r="AD11" s="190"/>
      <c r="AE11" s="190"/>
      <c r="AF11" s="190"/>
      <c r="AG11" s="190"/>
      <c r="AH11" s="190"/>
      <c r="AI11" s="190"/>
      <c r="AJ11" s="190"/>
      <c r="AK11" s="190"/>
      <c r="AL11" s="190"/>
      <c r="AM11" s="190"/>
      <c r="AN11" s="190"/>
      <c r="AO11" s="190"/>
      <c r="AP11" s="190"/>
      <c r="AQ11" s="190"/>
      <c r="AR11" s="190"/>
      <c r="AS11" s="190"/>
      <c r="AT11" s="195">
        <v>21</v>
      </c>
      <c r="AU11" s="195">
        <v>8</v>
      </c>
      <c r="AV11" s="196">
        <v>8000</v>
      </c>
      <c r="AW11" s="196">
        <v>12000</v>
      </c>
      <c r="AX11" s="190">
        <v>5</v>
      </c>
      <c r="AY11" s="190">
        <v>2</v>
      </c>
      <c r="AZ11" s="195" t="s">
        <v>15</v>
      </c>
      <c r="BA11" s="195">
        <v>4</v>
      </c>
      <c r="BB11" s="195"/>
      <c r="BC11" s="195" t="s">
        <v>15</v>
      </c>
      <c r="BD11" s="194" t="s">
        <v>15</v>
      </c>
      <c r="BE11" s="194" t="s">
        <v>15</v>
      </c>
      <c r="BF11" s="194" t="s">
        <v>15</v>
      </c>
      <c r="BG11" s="194" t="s">
        <v>15</v>
      </c>
      <c r="BH11" s="194" t="s">
        <v>16</v>
      </c>
      <c r="BI11" s="194" t="s">
        <v>15</v>
      </c>
      <c r="BJ11" s="194" t="s">
        <v>15</v>
      </c>
      <c r="BK11" s="194" t="s">
        <v>15</v>
      </c>
      <c r="BL11" s="194" t="s">
        <v>15</v>
      </c>
      <c r="BM11" s="194" t="s">
        <v>15</v>
      </c>
      <c r="BN11" s="194" t="s">
        <v>16</v>
      </c>
      <c r="BO11" s="194" t="s">
        <v>16</v>
      </c>
      <c r="BP11" s="194" t="s">
        <v>16</v>
      </c>
      <c r="BQ11" s="194" t="s">
        <v>15</v>
      </c>
      <c r="BR11" s="194" t="s">
        <v>16</v>
      </c>
      <c r="BS11" s="194" t="s">
        <v>15</v>
      </c>
      <c r="BT11" s="194" t="s">
        <v>15</v>
      </c>
      <c r="BU11" s="194" t="s">
        <v>15</v>
      </c>
      <c r="BV11" s="194" t="s">
        <v>16</v>
      </c>
      <c r="BW11" s="194" t="s">
        <v>15</v>
      </c>
      <c r="BX11" s="194" t="s">
        <v>16</v>
      </c>
      <c r="BY11" s="194" t="s">
        <v>16</v>
      </c>
      <c r="BZ11" s="194" t="s">
        <v>15</v>
      </c>
      <c r="CA11" s="194" t="s">
        <v>16</v>
      </c>
      <c r="CB11" s="194" t="s">
        <v>16</v>
      </c>
      <c r="CC11" s="194" t="s">
        <v>16</v>
      </c>
      <c r="CD11" s="194" t="s">
        <v>15</v>
      </c>
      <c r="CE11" s="194" t="s">
        <v>15</v>
      </c>
      <c r="CF11" s="194" t="s">
        <v>15</v>
      </c>
      <c r="CG11" s="194" t="s">
        <v>15</v>
      </c>
      <c r="CH11" s="194" t="s">
        <v>15</v>
      </c>
      <c r="CI11" s="194" t="s">
        <v>16</v>
      </c>
      <c r="CJ11" s="194" t="s">
        <v>15</v>
      </c>
      <c r="CK11" s="194" t="s">
        <v>16</v>
      </c>
      <c r="CL11" s="194" t="s">
        <v>16</v>
      </c>
      <c r="CM11" s="194" t="s">
        <v>16</v>
      </c>
      <c r="CN11" s="194" t="s">
        <v>16</v>
      </c>
      <c r="CO11" s="194" t="s">
        <v>16</v>
      </c>
      <c r="CP11" s="194" t="s">
        <v>16</v>
      </c>
      <c r="CQ11" s="194" t="s">
        <v>15</v>
      </c>
      <c r="CR11" s="194" t="s">
        <v>15</v>
      </c>
      <c r="CS11" s="194" t="s">
        <v>16</v>
      </c>
      <c r="CT11" s="194" t="s">
        <v>16</v>
      </c>
      <c r="CU11" s="194" t="s">
        <v>15</v>
      </c>
      <c r="CV11" s="194" t="s">
        <v>16</v>
      </c>
      <c r="CW11" s="194" t="s">
        <v>15</v>
      </c>
      <c r="CX11" s="194" t="s">
        <v>16</v>
      </c>
      <c r="CY11" s="194" t="s">
        <v>16</v>
      </c>
      <c r="CZ11" s="194" t="s">
        <v>16</v>
      </c>
      <c r="DA11" s="194" t="s">
        <v>16</v>
      </c>
      <c r="DB11" s="194" t="s">
        <v>15</v>
      </c>
      <c r="DC11" s="194" t="s">
        <v>16</v>
      </c>
      <c r="DD11" s="194" t="s">
        <v>15</v>
      </c>
      <c r="DE11" s="194" t="s">
        <v>16</v>
      </c>
      <c r="DF11" s="194" t="s">
        <v>15</v>
      </c>
      <c r="DG11" s="194" t="s">
        <v>15</v>
      </c>
      <c r="DH11" s="194" t="s">
        <v>15</v>
      </c>
      <c r="DI11" s="194" t="s">
        <v>15</v>
      </c>
      <c r="DJ11" s="194" t="s">
        <v>15</v>
      </c>
      <c r="DK11" s="194" t="s">
        <v>16</v>
      </c>
      <c r="DL11" s="194" t="s">
        <v>16</v>
      </c>
      <c r="DM11" s="189" t="s">
        <v>83</v>
      </c>
      <c r="DN11" s="189" t="s">
        <v>79</v>
      </c>
      <c r="DO11" s="189" t="s">
        <v>20</v>
      </c>
      <c r="DP11" s="193">
        <v>0.09</v>
      </c>
      <c r="DQ11" s="192">
        <v>1000000</v>
      </c>
      <c r="DR11" s="192">
        <v>700000</v>
      </c>
      <c r="DS11" s="189">
        <v>3</v>
      </c>
      <c r="DT11" s="192">
        <v>500</v>
      </c>
      <c r="DU11" s="192"/>
      <c r="DV11" s="192"/>
      <c r="DW11" s="192">
        <v>2500</v>
      </c>
      <c r="DX11" s="192">
        <v>6000</v>
      </c>
      <c r="DY11" s="192">
        <v>7000</v>
      </c>
      <c r="DZ11" s="192">
        <v>3500</v>
      </c>
      <c r="EA11" s="192">
        <v>3500</v>
      </c>
      <c r="EB11" s="192">
        <v>0</v>
      </c>
      <c r="EC11" s="192">
        <v>0</v>
      </c>
      <c r="ED11" s="192">
        <v>1000</v>
      </c>
      <c r="EE11" s="192">
        <v>2500</v>
      </c>
      <c r="EF11" s="192">
        <v>3000</v>
      </c>
      <c r="EG11" s="192">
        <v>5000</v>
      </c>
      <c r="EH11" s="192">
        <v>0</v>
      </c>
      <c r="EI11" s="192">
        <v>2000</v>
      </c>
      <c r="EJ11" s="192">
        <v>9500</v>
      </c>
      <c r="EK11" s="192">
        <v>7500</v>
      </c>
      <c r="EL11" s="192">
        <v>9000</v>
      </c>
      <c r="EM11" s="192">
        <v>1500</v>
      </c>
      <c r="EN11" s="192">
        <v>10000</v>
      </c>
      <c r="EO11" s="192">
        <v>10000</v>
      </c>
      <c r="EP11" s="192">
        <v>6000</v>
      </c>
      <c r="EQ11" s="192">
        <v>8500</v>
      </c>
      <c r="ER11" s="192">
        <v>500</v>
      </c>
      <c r="ES11" s="191" t="s">
        <v>16</v>
      </c>
      <c r="ET11" s="190">
        <v>6</v>
      </c>
      <c r="EU11" s="191" t="s">
        <v>15</v>
      </c>
      <c r="EV11" s="190" t="s">
        <v>16</v>
      </c>
      <c r="EW11" s="190" t="s">
        <v>15</v>
      </c>
      <c r="EX11" s="190" t="s">
        <v>15</v>
      </c>
      <c r="EY11" s="190" t="s">
        <v>15</v>
      </c>
      <c r="EZ11" s="190" t="s">
        <v>15</v>
      </c>
      <c r="FA11" s="190" t="s">
        <v>15</v>
      </c>
      <c r="FB11" s="190" t="s">
        <v>15</v>
      </c>
      <c r="FC11" s="190">
        <v>1236</v>
      </c>
      <c r="FD11" s="190">
        <v>1794</v>
      </c>
      <c r="FE11" s="190">
        <v>1628</v>
      </c>
      <c r="FF11" s="190">
        <v>330</v>
      </c>
      <c r="FG11" s="190">
        <v>741</v>
      </c>
      <c r="FH11" s="190">
        <v>847</v>
      </c>
      <c r="FI11" s="190">
        <v>211</v>
      </c>
      <c r="FJ11" s="190">
        <v>1340</v>
      </c>
      <c r="FK11" s="190">
        <v>1183</v>
      </c>
      <c r="FL11" s="190">
        <v>1507</v>
      </c>
      <c r="FM11" s="190" t="s">
        <v>15</v>
      </c>
      <c r="FN11" s="190" t="s">
        <v>15</v>
      </c>
      <c r="FO11" s="190" t="s">
        <v>15</v>
      </c>
      <c r="FP11" s="190" t="s">
        <v>16</v>
      </c>
      <c r="FQ11" s="190" t="s">
        <v>15</v>
      </c>
      <c r="FR11" s="190" t="s">
        <v>16</v>
      </c>
      <c r="FS11" s="190">
        <v>0</v>
      </c>
      <c r="FW11" s="191" t="s">
        <v>531</v>
      </c>
      <c r="FX11" s="191" t="s">
        <v>471</v>
      </c>
      <c r="FY11" s="191">
        <v>3</v>
      </c>
      <c r="FZ11" s="191">
        <v>87</v>
      </c>
      <c r="GA11" s="191" t="s">
        <v>15</v>
      </c>
      <c r="GB11" s="190" t="s">
        <v>15</v>
      </c>
      <c r="GC11" s="190" t="s">
        <v>16</v>
      </c>
      <c r="GD11" s="190" t="s">
        <v>16</v>
      </c>
      <c r="GE11" s="190" t="s">
        <v>16</v>
      </c>
      <c r="GF11" s="190" t="s">
        <v>15</v>
      </c>
      <c r="GG11" s="190" t="s">
        <v>15</v>
      </c>
      <c r="GJ11" s="190" t="s">
        <v>430</v>
      </c>
      <c r="GK11" s="190">
        <v>3</v>
      </c>
    </row>
    <row r="12" spans="1:193" x14ac:dyDescent="0.25">
      <c r="A12" s="17" t="s">
        <v>565</v>
      </c>
      <c r="B12" s="128" t="s">
        <v>470</v>
      </c>
      <c r="C12" s="188">
        <v>1071200</v>
      </c>
      <c r="D12" s="188">
        <v>99999999</v>
      </c>
      <c r="E12" s="90" t="s">
        <v>532</v>
      </c>
      <c r="F12" s="90">
        <v>18</v>
      </c>
      <c r="G12" s="90">
        <v>60</v>
      </c>
      <c r="H12" s="90" t="s">
        <v>16</v>
      </c>
      <c r="I12" s="90" t="s">
        <v>15</v>
      </c>
      <c r="J12" s="90" t="s">
        <v>15</v>
      </c>
      <c r="K12" s="90"/>
      <c r="L12" s="90"/>
      <c r="M12" s="90"/>
      <c r="N12" s="90"/>
      <c r="O12" s="90"/>
      <c r="P12" s="90"/>
      <c r="Q12" s="90"/>
      <c r="R12" s="90"/>
      <c r="S12" s="90"/>
      <c r="T12" s="90"/>
      <c r="U12" s="90"/>
      <c r="V12" s="90"/>
      <c r="W12" s="90"/>
      <c r="X12" s="90"/>
      <c r="Y12" s="90"/>
      <c r="Z12" s="90"/>
      <c r="AA12" s="90"/>
      <c r="AB12" s="90"/>
      <c r="AC12" s="90"/>
      <c r="AD12" s="90"/>
      <c r="AE12" s="90"/>
      <c r="AF12" s="90"/>
      <c r="AG12" s="90"/>
      <c r="AH12" s="90"/>
      <c r="AI12" s="90"/>
      <c r="AJ12" s="90"/>
      <c r="AK12" s="90"/>
      <c r="AL12" s="90"/>
      <c r="AM12" s="90"/>
      <c r="AN12" s="90"/>
      <c r="AO12" s="90"/>
      <c r="AP12" s="90"/>
      <c r="AQ12" s="90"/>
      <c r="AR12" s="90"/>
      <c r="AS12" s="90"/>
      <c r="AT12" s="186">
        <v>4</v>
      </c>
      <c r="AU12" s="186">
        <v>8</v>
      </c>
      <c r="AV12" s="187">
        <v>10000</v>
      </c>
      <c r="AW12" s="187">
        <v>15000</v>
      </c>
      <c r="AX12" s="90">
        <v>2</v>
      </c>
      <c r="AY12" s="90">
        <v>5</v>
      </c>
      <c r="AZ12" s="186" t="s">
        <v>16</v>
      </c>
      <c r="BA12" s="186">
        <v>3</v>
      </c>
      <c r="BB12" s="186"/>
      <c r="BC12" s="186" t="s">
        <v>16</v>
      </c>
      <c r="BD12" s="128" t="s">
        <v>16</v>
      </c>
      <c r="BE12" s="128" t="s">
        <v>15</v>
      </c>
      <c r="BF12" s="128" t="s">
        <v>15</v>
      </c>
      <c r="BG12" s="128" t="s">
        <v>15</v>
      </c>
      <c r="BH12" s="128" t="s">
        <v>15</v>
      </c>
      <c r="BI12" s="128" t="s">
        <v>15</v>
      </c>
      <c r="BJ12" s="128" t="s">
        <v>16</v>
      </c>
      <c r="BK12" s="128" t="s">
        <v>15</v>
      </c>
      <c r="BL12" s="128" t="s">
        <v>16</v>
      </c>
      <c r="BM12" s="128" t="s">
        <v>16</v>
      </c>
      <c r="BN12" s="128" t="s">
        <v>16</v>
      </c>
      <c r="BO12" s="128" t="s">
        <v>15</v>
      </c>
      <c r="BP12" s="128" t="s">
        <v>16</v>
      </c>
      <c r="BQ12" s="128" t="s">
        <v>16</v>
      </c>
      <c r="BR12" s="128" t="s">
        <v>16</v>
      </c>
      <c r="BS12" s="128" t="s">
        <v>15</v>
      </c>
      <c r="BT12" s="128" t="s">
        <v>15</v>
      </c>
      <c r="BU12" s="128" t="s">
        <v>15</v>
      </c>
      <c r="BV12" s="128" t="s">
        <v>15</v>
      </c>
      <c r="BW12" s="128" t="s">
        <v>15</v>
      </c>
      <c r="BX12" s="128" t="s">
        <v>15</v>
      </c>
      <c r="BY12" s="128" t="s">
        <v>15</v>
      </c>
      <c r="BZ12" s="128" t="s">
        <v>16</v>
      </c>
      <c r="CA12" s="128" t="s">
        <v>15</v>
      </c>
      <c r="CB12" s="128" t="s">
        <v>15</v>
      </c>
      <c r="CC12" s="128" t="s">
        <v>15</v>
      </c>
      <c r="CD12" s="128" t="s">
        <v>15</v>
      </c>
      <c r="CE12" s="128" t="s">
        <v>15</v>
      </c>
      <c r="CF12" s="128" t="s">
        <v>15</v>
      </c>
      <c r="CG12" s="128" t="s">
        <v>16</v>
      </c>
      <c r="CH12" s="128" t="s">
        <v>15</v>
      </c>
      <c r="CI12" s="128" t="s">
        <v>15</v>
      </c>
      <c r="CJ12" s="128" t="s">
        <v>16</v>
      </c>
      <c r="CK12" s="128" t="s">
        <v>16</v>
      </c>
      <c r="CL12" s="128" t="s">
        <v>15</v>
      </c>
      <c r="CM12" s="128" t="s">
        <v>16</v>
      </c>
      <c r="CN12" s="128" t="s">
        <v>16</v>
      </c>
      <c r="CO12" s="128" t="s">
        <v>16</v>
      </c>
      <c r="CP12" s="128" t="s">
        <v>16</v>
      </c>
      <c r="CQ12" s="128" t="s">
        <v>15</v>
      </c>
      <c r="CR12" s="128" t="s">
        <v>15</v>
      </c>
      <c r="CS12" s="128" t="s">
        <v>16</v>
      </c>
      <c r="CT12" s="128" t="s">
        <v>16</v>
      </c>
      <c r="CU12" s="128" t="s">
        <v>15</v>
      </c>
      <c r="CV12" s="128" t="s">
        <v>16</v>
      </c>
      <c r="CW12" s="128" t="s">
        <v>16</v>
      </c>
      <c r="CX12" s="128" t="s">
        <v>15</v>
      </c>
      <c r="CY12" s="128" t="s">
        <v>16</v>
      </c>
      <c r="CZ12" s="128" t="s">
        <v>15</v>
      </c>
      <c r="DA12" s="128" t="s">
        <v>16</v>
      </c>
      <c r="DB12" s="128" t="s">
        <v>16</v>
      </c>
      <c r="DC12" s="128" t="s">
        <v>15</v>
      </c>
      <c r="DD12" s="128" t="s">
        <v>16</v>
      </c>
      <c r="DE12" s="128" t="s">
        <v>15</v>
      </c>
      <c r="DF12" s="128" t="s">
        <v>15</v>
      </c>
      <c r="DG12" s="128" t="s">
        <v>16</v>
      </c>
      <c r="DH12" s="128" t="s">
        <v>16</v>
      </c>
      <c r="DI12" s="128" t="s">
        <v>16</v>
      </c>
      <c r="DJ12" s="128" t="s">
        <v>16</v>
      </c>
      <c r="DK12" s="128" t="s">
        <v>15</v>
      </c>
      <c r="DL12" s="128" t="s">
        <v>15</v>
      </c>
      <c r="DM12" s="17" t="s">
        <v>565</v>
      </c>
      <c r="DN12" s="17" t="s">
        <v>79</v>
      </c>
      <c r="DO12" s="17" t="s">
        <v>20</v>
      </c>
      <c r="DP12" s="185">
        <v>0.11</v>
      </c>
      <c r="DQ12" s="184">
        <v>2100000</v>
      </c>
      <c r="DR12" s="184">
        <v>1600000</v>
      </c>
      <c r="DS12" s="17">
        <v>3</v>
      </c>
      <c r="DT12" s="184">
        <v>2000</v>
      </c>
      <c r="DU12" s="184"/>
      <c r="DV12" s="184"/>
      <c r="DW12" s="184">
        <v>9000</v>
      </c>
      <c r="DX12" s="184">
        <v>1000</v>
      </c>
      <c r="DY12" s="184">
        <v>3000</v>
      </c>
      <c r="DZ12" s="184">
        <v>6500</v>
      </c>
      <c r="EA12" s="184">
        <v>3000</v>
      </c>
      <c r="EB12" s="184">
        <v>3000</v>
      </c>
      <c r="EC12" s="184">
        <v>9000</v>
      </c>
      <c r="ED12" s="184">
        <v>8500</v>
      </c>
      <c r="EE12" s="184">
        <v>3500</v>
      </c>
      <c r="EF12" s="184">
        <v>9000</v>
      </c>
      <c r="EG12" s="184">
        <v>2500</v>
      </c>
      <c r="EH12" s="184">
        <v>5000</v>
      </c>
      <c r="EI12" s="184">
        <v>9500</v>
      </c>
      <c r="EJ12" s="184">
        <v>6000</v>
      </c>
      <c r="EK12" s="184">
        <v>1500</v>
      </c>
      <c r="EL12" s="184">
        <v>5500</v>
      </c>
      <c r="EM12" s="184">
        <v>4000</v>
      </c>
      <c r="EN12" s="184">
        <v>4000</v>
      </c>
      <c r="EO12" s="184">
        <v>500</v>
      </c>
      <c r="EP12" s="184">
        <v>4000</v>
      </c>
      <c r="EQ12" s="184">
        <v>9500</v>
      </c>
      <c r="ER12" s="184">
        <v>5000</v>
      </c>
      <c r="ES12" s="48" t="s">
        <v>16</v>
      </c>
      <c r="ET12" s="90">
        <v>30</v>
      </c>
      <c r="EU12" s="48" t="s">
        <v>16</v>
      </c>
      <c r="EV12" s="90" t="s">
        <v>15</v>
      </c>
      <c r="EW12" s="90" t="s">
        <v>15</v>
      </c>
      <c r="EX12" s="90" t="s">
        <v>16</v>
      </c>
      <c r="EY12" s="90" t="s">
        <v>16</v>
      </c>
      <c r="EZ12" s="90" t="s">
        <v>15</v>
      </c>
      <c r="FA12" s="90" t="s">
        <v>15</v>
      </c>
      <c r="FB12" s="90" t="s">
        <v>16</v>
      </c>
      <c r="FC12" s="90">
        <v>1454</v>
      </c>
      <c r="FD12" s="90">
        <v>1011</v>
      </c>
      <c r="FE12" s="90">
        <v>1265</v>
      </c>
      <c r="FF12" s="90">
        <v>1881</v>
      </c>
      <c r="FG12" s="90">
        <v>1055</v>
      </c>
      <c r="FH12" s="90">
        <v>1262</v>
      </c>
      <c r="FI12" s="90">
        <v>431</v>
      </c>
      <c r="FJ12" s="90">
        <v>802</v>
      </c>
      <c r="FK12" s="90">
        <v>1708</v>
      </c>
      <c r="FL12" s="90">
        <v>2019</v>
      </c>
      <c r="FM12" s="90" t="s">
        <v>15</v>
      </c>
      <c r="FN12" s="90" t="s">
        <v>15</v>
      </c>
      <c r="FO12" s="90" t="s">
        <v>15</v>
      </c>
      <c r="FP12" s="90" t="s">
        <v>16</v>
      </c>
      <c r="FQ12" s="90" t="s">
        <v>16</v>
      </c>
      <c r="FR12" s="90" t="s">
        <v>15</v>
      </c>
      <c r="FS12" s="90">
        <v>29</v>
      </c>
      <c r="FT12" s="17"/>
      <c r="FU12" s="17"/>
      <c r="FV12" s="17"/>
      <c r="FW12" s="48" t="s">
        <v>533</v>
      </c>
      <c r="FX12" s="48" t="s">
        <v>531</v>
      </c>
      <c r="FY12" s="48">
        <v>5</v>
      </c>
      <c r="FZ12" s="48">
        <v>108</v>
      </c>
      <c r="GA12" s="48" t="s">
        <v>15</v>
      </c>
      <c r="GB12" s="90" t="s">
        <v>15</v>
      </c>
      <c r="GC12" s="90" t="s">
        <v>15</v>
      </c>
      <c r="GD12" s="90" t="s">
        <v>16</v>
      </c>
      <c r="GE12" s="90" t="s">
        <v>16</v>
      </c>
      <c r="GF12" s="90" t="s">
        <v>15</v>
      </c>
      <c r="GG12" s="90" t="s">
        <v>15</v>
      </c>
      <c r="GJ12" s="57" t="s">
        <v>429</v>
      </c>
      <c r="GK12" s="57">
        <v>3</v>
      </c>
    </row>
    <row r="13" spans="1:193" s="17" customFormat="1" ht="15.75" thickBot="1" x14ac:dyDescent="0.3">
      <c r="A13" s="17" t="s">
        <v>564</v>
      </c>
      <c r="B13" s="128" t="s">
        <v>470</v>
      </c>
      <c r="C13" s="188">
        <v>1071200</v>
      </c>
      <c r="D13" s="188">
        <v>99999999</v>
      </c>
      <c r="E13" s="90" t="s">
        <v>532</v>
      </c>
      <c r="F13" s="90">
        <v>18</v>
      </c>
      <c r="G13" s="90">
        <v>65</v>
      </c>
      <c r="H13" s="90" t="s">
        <v>15</v>
      </c>
      <c r="I13" s="90" t="s">
        <v>15</v>
      </c>
      <c r="J13" s="90" t="s">
        <v>15</v>
      </c>
      <c r="K13" s="90"/>
      <c r="L13" s="90"/>
      <c r="M13" s="90"/>
      <c r="N13" s="90"/>
      <c r="O13" s="90"/>
      <c r="P13" s="90"/>
      <c r="Q13" s="90"/>
      <c r="R13" s="90"/>
      <c r="S13" s="90"/>
      <c r="T13" s="90"/>
      <c r="U13" s="90"/>
      <c r="V13" s="90"/>
      <c r="W13" s="90"/>
      <c r="X13" s="90"/>
      <c r="Y13" s="90"/>
      <c r="Z13" s="90"/>
      <c r="AA13" s="90"/>
      <c r="AB13" s="90"/>
      <c r="AC13" s="90"/>
      <c r="AD13" s="90"/>
      <c r="AE13" s="90"/>
      <c r="AF13" s="90"/>
      <c r="AG13" s="90"/>
      <c r="AH13" s="90"/>
      <c r="AI13" s="90"/>
      <c r="AJ13" s="90"/>
      <c r="AK13" s="90"/>
      <c r="AL13" s="90"/>
      <c r="AM13" s="90"/>
      <c r="AN13" s="90"/>
      <c r="AO13" s="90"/>
      <c r="AP13" s="90"/>
      <c r="AQ13" s="90"/>
      <c r="AR13" s="90"/>
      <c r="AS13" s="90"/>
      <c r="AT13" s="186">
        <v>12</v>
      </c>
      <c r="AU13" s="186">
        <v>2</v>
      </c>
      <c r="AV13" s="187">
        <v>5000</v>
      </c>
      <c r="AW13" s="187">
        <v>15000</v>
      </c>
      <c r="AX13" s="90">
        <v>1</v>
      </c>
      <c r="AY13" s="90">
        <v>3</v>
      </c>
      <c r="AZ13" s="186" t="s">
        <v>15</v>
      </c>
      <c r="BA13" s="186">
        <v>1</v>
      </c>
      <c r="BB13" s="186"/>
      <c r="BC13" s="186" t="s">
        <v>16</v>
      </c>
      <c r="BD13" s="128" t="s">
        <v>15</v>
      </c>
      <c r="BE13" s="128" t="s">
        <v>16</v>
      </c>
      <c r="BF13" s="128" t="s">
        <v>16</v>
      </c>
      <c r="BG13" s="128" t="s">
        <v>16</v>
      </c>
      <c r="BH13" s="128" t="s">
        <v>16</v>
      </c>
      <c r="BI13" s="128" t="s">
        <v>16</v>
      </c>
      <c r="BJ13" s="128" t="s">
        <v>15</v>
      </c>
      <c r="BK13" s="128" t="s">
        <v>16</v>
      </c>
      <c r="BL13" s="128" t="s">
        <v>15</v>
      </c>
      <c r="BM13" s="128" t="s">
        <v>15</v>
      </c>
      <c r="BN13" s="128" t="s">
        <v>16</v>
      </c>
      <c r="BO13" s="128" t="s">
        <v>15</v>
      </c>
      <c r="BP13" s="128" t="s">
        <v>15</v>
      </c>
      <c r="BQ13" s="128" t="s">
        <v>16</v>
      </c>
      <c r="BR13" s="128" t="s">
        <v>16</v>
      </c>
      <c r="BS13" s="128" t="s">
        <v>15</v>
      </c>
      <c r="BT13" s="128" t="s">
        <v>16</v>
      </c>
      <c r="BU13" s="128" t="s">
        <v>16</v>
      </c>
      <c r="BV13" s="128" t="s">
        <v>15</v>
      </c>
      <c r="BW13" s="128" t="s">
        <v>15</v>
      </c>
      <c r="BX13" s="128" t="s">
        <v>16</v>
      </c>
      <c r="BY13" s="128" t="s">
        <v>16</v>
      </c>
      <c r="BZ13" s="128" t="s">
        <v>15</v>
      </c>
      <c r="CA13" s="128" t="s">
        <v>16</v>
      </c>
      <c r="CB13" s="128" t="s">
        <v>16</v>
      </c>
      <c r="CC13" s="128" t="s">
        <v>16</v>
      </c>
      <c r="CD13" s="128" t="s">
        <v>16</v>
      </c>
      <c r="CE13" s="128" t="s">
        <v>15</v>
      </c>
      <c r="CF13" s="128" t="s">
        <v>15</v>
      </c>
      <c r="CG13" s="128" t="s">
        <v>16</v>
      </c>
      <c r="CH13" s="128" t="s">
        <v>16</v>
      </c>
      <c r="CI13" s="128" t="s">
        <v>15</v>
      </c>
      <c r="CJ13" s="128" t="s">
        <v>16</v>
      </c>
      <c r="CK13" s="128" t="s">
        <v>15</v>
      </c>
      <c r="CL13" s="128" t="s">
        <v>15</v>
      </c>
      <c r="CM13" s="128" t="s">
        <v>15</v>
      </c>
      <c r="CN13" s="128" t="s">
        <v>16</v>
      </c>
      <c r="CO13" s="128" t="s">
        <v>16</v>
      </c>
      <c r="CP13" s="128" t="s">
        <v>15</v>
      </c>
      <c r="CQ13" s="128" t="s">
        <v>15</v>
      </c>
      <c r="CR13" s="128" t="s">
        <v>15</v>
      </c>
      <c r="CS13" s="128" t="s">
        <v>15</v>
      </c>
      <c r="CT13" s="128" t="s">
        <v>15</v>
      </c>
      <c r="CU13" s="128" t="s">
        <v>15</v>
      </c>
      <c r="CV13" s="128" t="s">
        <v>15</v>
      </c>
      <c r="CW13" s="128" t="s">
        <v>16</v>
      </c>
      <c r="CX13" s="128" t="s">
        <v>15</v>
      </c>
      <c r="CY13" s="128" t="s">
        <v>16</v>
      </c>
      <c r="CZ13" s="128" t="s">
        <v>15</v>
      </c>
      <c r="DA13" s="128" t="s">
        <v>16</v>
      </c>
      <c r="DB13" s="128" t="s">
        <v>15</v>
      </c>
      <c r="DC13" s="128" t="s">
        <v>15</v>
      </c>
      <c r="DD13" s="128" t="s">
        <v>16</v>
      </c>
      <c r="DE13" s="128" t="s">
        <v>15</v>
      </c>
      <c r="DF13" s="128" t="s">
        <v>15</v>
      </c>
      <c r="DG13" s="128" t="s">
        <v>16</v>
      </c>
      <c r="DH13" s="128" t="s">
        <v>15</v>
      </c>
      <c r="DI13" s="128" t="s">
        <v>15</v>
      </c>
      <c r="DJ13" s="128" t="s">
        <v>15</v>
      </c>
      <c r="DK13" s="128" t="s">
        <v>16</v>
      </c>
      <c r="DL13" s="128" t="s">
        <v>16</v>
      </c>
      <c r="DM13" s="17" t="s">
        <v>564</v>
      </c>
      <c r="DN13" s="17" t="s">
        <v>79</v>
      </c>
      <c r="DO13" s="17" t="s">
        <v>20</v>
      </c>
      <c r="DP13" s="185">
        <v>0.09</v>
      </c>
      <c r="DQ13" s="184">
        <v>1300000</v>
      </c>
      <c r="DR13" s="184">
        <v>600000</v>
      </c>
      <c r="DS13" s="17">
        <v>1</v>
      </c>
      <c r="DT13" s="184">
        <v>9500</v>
      </c>
      <c r="DU13" s="184"/>
      <c r="DV13" s="184"/>
      <c r="DW13" s="184">
        <v>2000</v>
      </c>
      <c r="DX13" s="184">
        <v>4000</v>
      </c>
      <c r="DY13" s="184">
        <v>0</v>
      </c>
      <c r="DZ13" s="184">
        <v>8000</v>
      </c>
      <c r="EA13" s="184">
        <v>4000</v>
      </c>
      <c r="EB13" s="184">
        <v>3500</v>
      </c>
      <c r="EC13" s="184">
        <v>3500</v>
      </c>
      <c r="ED13" s="184">
        <v>500</v>
      </c>
      <c r="EE13" s="184">
        <v>5500</v>
      </c>
      <c r="EF13" s="184">
        <v>3500</v>
      </c>
      <c r="EG13" s="184">
        <v>7000</v>
      </c>
      <c r="EH13" s="184">
        <v>5000</v>
      </c>
      <c r="EI13" s="184">
        <v>500</v>
      </c>
      <c r="EJ13" s="184">
        <v>3500</v>
      </c>
      <c r="EK13" s="184">
        <v>2000</v>
      </c>
      <c r="EL13" s="184">
        <v>500</v>
      </c>
      <c r="EM13" s="184">
        <v>3000</v>
      </c>
      <c r="EN13" s="184">
        <v>500</v>
      </c>
      <c r="EO13" s="184">
        <v>2500</v>
      </c>
      <c r="EP13" s="184">
        <v>5500</v>
      </c>
      <c r="EQ13" s="184">
        <v>7000</v>
      </c>
      <c r="ER13" s="184">
        <v>4500</v>
      </c>
      <c r="ES13" s="182" t="s">
        <v>15</v>
      </c>
      <c r="ET13" s="183">
        <v>6</v>
      </c>
      <c r="EU13" s="182" t="s">
        <v>15</v>
      </c>
      <c r="EV13" s="183" t="s">
        <v>16</v>
      </c>
      <c r="EW13" s="183" t="s">
        <v>15</v>
      </c>
      <c r="EX13" s="183" t="s">
        <v>15</v>
      </c>
      <c r="EY13" s="183" t="s">
        <v>15</v>
      </c>
      <c r="EZ13" s="183" t="s">
        <v>16</v>
      </c>
      <c r="FA13" s="183" t="s">
        <v>16</v>
      </c>
      <c r="FB13" s="183" t="s">
        <v>15</v>
      </c>
      <c r="FC13" s="90">
        <v>2042</v>
      </c>
      <c r="FD13" s="90">
        <v>1150</v>
      </c>
      <c r="FE13" s="90">
        <v>395</v>
      </c>
      <c r="FF13" s="90">
        <v>2165</v>
      </c>
      <c r="FG13" s="90">
        <v>1334</v>
      </c>
      <c r="FH13" s="90">
        <v>930</v>
      </c>
      <c r="FI13" s="90">
        <v>1098</v>
      </c>
      <c r="FJ13" s="90">
        <v>1459</v>
      </c>
      <c r="FK13" s="90">
        <v>1557</v>
      </c>
      <c r="FL13" s="90">
        <v>827</v>
      </c>
      <c r="FM13" s="90" t="s">
        <v>16</v>
      </c>
      <c r="FN13" s="90" t="s">
        <v>16</v>
      </c>
      <c r="FO13" s="90" t="s">
        <v>16</v>
      </c>
      <c r="FP13" s="90" t="s">
        <v>15</v>
      </c>
      <c r="FQ13" s="90" t="s">
        <v>16</v>
      </c>
      <c r="FR13" s="90" t="s">
        <v>15</v>
      </c>
      <c r="FS13" s="90">
        <v>61</v>
      </c>
      <c r="FW13" s="182" t="s">
        <v>533</v>
      </c>
      <c r="FX13" s="182" t="s">
        <v>471</v>
      </c>
      <c r="FY13" s="182">
        <v>1</v>
      </c>
      <c r="FZ13" s="182">
        <v>90</v>
      </c>
      <c r="GA13" s="182" t="s">
        <v>16</v>
      </c>
      <c r="GB13" s="183" t="s">
        <v>16</v>
      </c>
      <c r="GC13" s="183" t="s">
        <v>15</v>
      </c>
      <c r="GD13" s="183" t="s">
        <v>15</v>
      </c>
      <c r="GE13" s="183" t="s">
        <v>16</v>
      </c>
      <c r="GF13" s="183" t="s">
        <v>16</v>
      </c>
      <c r="GG13" s="183" t="s">
        <v>15</v>
      </c>
      <c r="GJ13" s="90" t="s">
        <v>428</v>
      </c>
      <c r="GK13" s="90">
        <v>2</v>
      </c>
    </row>
    <row r="14" spans="1:193" x14ac:dyDescent="0.25">
      <c r="A14" s="17" t="s">
        <v>563</v>
      </c>
      <c r="B14" s="128" t="s">
        <v>470</v>
      </c>
      <c r="C14" s="188">
        <v>1687706.66666667</v>
      </c>
      <c r="D14" s="188">
        <v>99999999</v>
      </c>
      <c r="E14" s="90" t="s">
        <v>545</v>
      </c>
      <c r="F14" s="90">
        <v>25</v>
      </c>
      <c r="G14" s="90">
        <v>65</v>
      </c>
      <c r="H14" s="90" t="s">
        <v>15</v>
      </c>
      <c r="I14" s="90" t="s">
        <v>16</v>
      </c>
      <c r="J14" s="90" t="s">
        <v>15</v>
      </c>
      <c r="K14" s="90"/>
      <c r="L14" s="90"/>
      <c r="M14" s="90"/>
      <c r="N14" s="90"/>
      <c r="O14" s="90"/>
      <c r="P14" s="90"/>
      <c r="Q14" s="90"/>
      <c r="R14" s="90"/>
      <c r="S14" s="90"/>
      <c r="T14" s="90"/>
      <c r="U14" s="90"/>
      <c r="V14" s="90"/>
      <c r="W14" s="90"/>
      <c r="X14" s="90"/>
      <c r="Y14" s="90"/>
      <c r="Z14" s="90"/>
      <c r="AA14" s="90"/>
      <c r="AB14" s="90"/>
      <c r="AC14" s="90"/>
      <c r="AD14" s="90"/>
      <c r="AE14" s="90"/>
      <c r="AF14" s="90"/>
      <c r="AG14" s="90"/>
      <c r="AH14" s="90"/>
      <c r="AI14" s="90"/>
      <c r="AJ14" s="90"/>
      <c r="AK14" s="90"/>
      <c r="AL14" s="90"/>
      <c r="AM14" s="90"/>
      <c r="AN14" s="90"/>
      <c r="AO14" s="90"/>
      <c r="AP14" s="90"/>
      <c r="AQ14" s="90"/>
      <c r="AR14" s="90"/>
      <c r="AS14" s="90"/>
      <c r="AT14" s="186">
        <v>4</v>
      </c>
      <c r="AU14" s="186">
        <v>6</v>
      </c>
      <c r="AV14" s="187">
        <v>10000</v>
      </c>
      <c r="AW14" s="187">
        <v>10000</v>
      </c>
      <c r="AX14" s="90">
        <v>6</v>
      </c>
      <c r="AY14" s="90">
        <v>8</v>
      </c>
      <c r="AZ14" s="186" t="s">
        <v>16</v>
      </c>
      <c r="BA14" s="186">
        <v>2</v>
      </c>
      <c r="BB14" s="17"/>
      <c r="BC14" s="186" t="s">
        <v>16</v>
      </c>
      <c r="BD14" s="128" t="s">
        <v>15</v>
      </c>
      <c r="BE14" s="128" t="s">
        <v>16</v>
      </c>
      <c r="BF14" s="128" t="s">
        <v>16</v>
      </c>
      <c r="BG14" s="128" t="s">
        <v>15</v>
      </c>
      <c r="BH14" s="128" t="s">
        <v>15</v>
      </c>
      <c r="BI14" s="128" t="s">
        <v>15</v>
      </c>
      <c r="BJ14" s="128" t="s">
        <v>15</v>
      </c>
      <c r="BK14" s="128" t="s">
        <v>16</v>
      </c>
      <c r="BL14" s="128" t="s">
        <v>15</v>
      </c>
      <c r="BM14" s="128" t="s">
        <v>15</v>
      </c>
      <c r="BN14" s="128" t="s">
        <v>16</v>
      </c>
      <c r="BO14" s="128" t="s">
        <v>15</v>
      </c>
      <c r="BP14" s="128" t="s">
        <v>15</v>
      </c>
      <c r="BQ14" s="128" t="s">
        <v>16</v>
      </c>
      <c r="BR14" s="128" t="s">
        <v>15</v>
      </c>
      <c r="BS14" s="128" t="s">
        <v>15</v>
      </c>
      <c r="BT14" s="128" t="s">
        <v>15</v>
      </c>
      <c r="BU14" s="128" t="s">
        <v>15</v>
      </c>
      <c r="BV14" s="128" t="s">
        <v>16</v>
      </c>
      <c r="BW14" s="128" t="s">
        <v>15</v>
      </c>
      <c r="BX14" s="128" t="s">
        <v>16</v>
      </c>
      <c r="BY14" s="128" t="s">
        <v>16</v>
      </c>
      <c r="BZ14" s="128" t="s">
        <v>15</v>
      </c>
      <c r="CA14" s="128" t="s">
        <v>16</v>
      </c>
      <c r="CB14" s="128" t="s">
        <v>16</v>
      </c>
      <c r="CC14" s="128" t="s">
        <v>16</v>
      </c>
      <c r="CD14" s="128" t="s">
        <v>16</v>
      </c>
      <c r="CE14" s="128" t="s">
        <v>15</v>
      </c>
      <c r="CF14" s="128" t="s">
        <v>15</v>
      </c>
      <c r="CG14" s="128" t="s">
        <v>16</v>
      </c>
      <c r="CH14" s="128" t="s">
        <v>16</v>
      </c>
      <c r="CI14" s="128" t="s">
        <v>15</v>
      </c>
      <c r="CJ14" s="128" t="s">
        <v>16</v>
      </c>
      <c r="CK14" s="128" t="s">
        <v>15</v>
      </c>
      <c r="CL14" s="128" t="s">
        <v>15</v>
      </c>
      <c r="CM14" s="128" t="s">
        <v>15</v>
      </c>
      <c r="CN14" s="128" t="s">
        <v>16</v>
      </c>
      <c r="CO14" s="128" t="s">
        <v>16</v>
      </c>
      <c r="CP14" s="128" t="s">
        <v>15</v>
      </c>
      <c r="CQ14" s="128" t="s">
        <v>15</v>
      </c>
      <c r="CR14" s="128" t="s">
        <v>15</v>
      </c>
      <c r="CS14" s="128" t="s">
        <v>15</v>
      </c>
      <c r="CT14" s="128" t="s">
        <v>15</v>
      </c>
      <c r="CU14" s="128" t="s">
        <v>15</v>
      </c>
      <c r="CV14" s="128" t="s">
        <v>15</v>
      </c>
      <c r="CW14" s="128" t="s">
        <v>16</v>
      </c>
      <c r="CX14" s="128" t="s">
        <v>15</v>
      </c>
      <c r="CY14" s="128" t="s">
        <v>16</v>
      </c>
      <c r="CZ14" s="128" t="s">
        <v>15</v>
      </c>
      <c r="DA14" s="128" t="s">
        <v>16</v>
      </c>
      <c r="DB14" s="128" t="s">
        <v>15</v>
      </c>
      <c r="DC14" s="128" t="s">
        <v>15</v>
      </c>
      <c r="DD14" s="128" t="s">
        <v>16</v>
      </c>
      <c r="DE14" s="128" t="s">
        <v>15</v>
      </c>
      <c r="DF14" s="128" t="s">
        <v>15</v>
      </c>
      <c r="DG14" s="128" t="s">
        <v>16</v>
      </c>
      <c r="DH14" s="128" t="s">
        <v>15</v>
      </c>
      <c r="DI14" s="128" t="s">
        <v>15</v>
      </c>
      <c r="DJ14" s="128" t="s">
        <v>15</v>
      </c>
      <c r="DK14" s="128" t="s">
        <v>16</v>
      </c>
      <c r="DL14" s="128" t="s">
        <v>16</v>
      </c>
      <c r="DM14" s="17" t="s">
        <v>563</v>
      </c>
      <c r="DN14" s="17" t="s">
        <v>79</v>
      </c>
      <c r="DO14" s="17" t="s">
        <v>20</v>
      </c>
      <c r="DP14" s="185">
        <v>0.13</v>
      </c>
      <c r="DQ14" s="184">
        <v>2100000</v>
      </c>
      <c r="DR14" s="184">
        <v>1400000</v>
      </c>
      <c r="DS14" s="17">
        <v>2</v>
      </c>
      <c r="DT14" s="184">
        <v>0</v>
      </c>
      <c r="DU14" s="184"/>
      <c r="DV14" s="184"/>
      <c r="DW14" s="184">
        <v>8500</v>
      </c>
      <c r="DX14" s="184">
        <v>2500</v>
      </c>
      <c r="DY14" s="184">
        <v>6500</v>
      </c>
      <c r="DZ14" s="184">
        <v>10000</v>
      </c>
      <c r="EA14" s="184">
        <v>7000</v>
      </c>
      <c r="EB14" s="184">
        <v>0</v>
      </c>
      <c r="EC14" s="184">
        <v>9500</v>
      </c>
      <c r="ED14" s="184">
        <v>4500</v>
      </c>
      <c r="EE14" s="184">
        <v>1000</v>
      </c>
      <c r="EF14" s="184">
        <v>6000</v>
      </c>
      <c r="EG14" s="184">
        <v>10000</v>
      </c>
      <c r="EH14" s="184">
        <v>6500</v>
      </c>
      <c r="EI14" s="184">
        <v>6500</v>
      </c>
      <c r="EJ14" s="184">
        <v>1500</v>
      </c>
      <c r="EK14" s="184">
        <v>3000</v>
      </c>
      <c r="EL14" s="184">
        <v>500</v>
      </c>
      <c r="EM14" s="184">
        <v>7500</v>
      </c>
      <c r="EN14" s="184">
        <v>3500</v>
      </c>
      <c r="EO14" s="184">
        <v>2500</v>
      </c>
      <c r="EP14" s="184">
        <v>8000</v>
      </c>
      <c r="EQ14" s="184">
        <v>5500</v>
      </c>
      <c r="ER14" s="184">
        <v>1500</v>
      </c>
      <c r="ES14" s="48" t="s">
        <v>15</v>
      </c>
      <c r="ET14" s="90">
        <v>15</v>
      </c>
      <c r="EU14" s="48" t="s">
        <v>16</v>
      </c>
      <c r="EV14" s="90" t="s">
        <v>15</v>
      </c>
      <c r="EW14" s="90" t="s">
        <v>16</v>
      </c>
      <c r="EX14" s="90" t="s">
        <v>15</v>
      </c>
      <c r="EY14" s="90" t="s">
        <v>16</v>
      </c>
      <c r="EZ14" s="90" t="s">
        <v>15</v>
      </c>
      <c r="FA14" s="90" t="s">
        <v>15</v>
      </c>
      <c r="FB14" s="90" t="s">
        <v>15</v>
      </c>
      <c r="FC14" s="90">
        <v>2217</v>
      </c>
      <c r="FD14" s="90">
        <v>1739</v>
      </c>
      <c r="FE14" s="90">
        <v>472</v>
      </c>
      <c r="FF14" s="90">
        <v>1128</v>
      </c>
      <c r="FG14" s="90">
        <v>501</v>
      </c>
      <c r="FH14" s="90">
        <v>477</v>
      </c>
      <c r="FI14" s="90">
        <v>1384</v>
      </c>
      <c r="FJ14" s="90">
        <v>565</v>
      </c>
      <c r="FK14" s="90">
        <v>1403</v>
      </c>
      <c r="FL14" s="90">
        <v>451</v>
      </c>
      <c r="FM14" s="90" t="s">
        <v>16</v>
      </c>
      <c r="FN14" s="90" t="s">
        <v>15</v>
      </c>
      <c r="FO14" s="90" t="s">
        <v>16</v>
      </c>
      <c r="FP14" s="90" t="s">
        <v>16</v>
      </c>
      <c r="FQ14" s="90" t="s">
        <v>15</v>
      </c>
      <c r="FR14" s="90" t="s">
        <v>15</v>
      </c>
      <c r="FS14" s="90">
        <v>395</v>
      </c>
      <c r="FT14" s="17"/>
      <c r="FU14" s="17"/>
      <c r="FV14" s="17"/>
      <c r="FW14" s="48" t="s">
        <v>531</v>
      </c>
      <c r="FX14" s="48" t="s">
        <v>531</v>
      </c>
      <c r="FY14" s="48">
        <v>3</v>
      </c>
      <c r="FZ14" s="48">
        <v>74</v>
      </c>
      <c r="GA14" s="48" t="s">
        <v>15</v>
      </c>
      <c r="GB14" s="90" t="s">
        <v>15</v>
      </c>
      <c r="GC14" s="90" t="s">
        <v>16</v>
      </c>
      <c r="GD14" s="90" t="s">
        <v>16</v>
      </c>
      <c r="GE14" s="90" t="s">
        <v>15</v>
      </c>
      <c r="GF14" s="90" t="s">
        <v>15</v>
      </c>
      <c r="GG14" s="90" t="s">
        <v>15</v>
      </c>
      <c r="GJ14" s="57" t="s">
        <v>427</v>
      </c>
      <c r="GK14" s="57">
        <v>1</v>
      </c>
    </row>
    <row r="15" spans="1:193" x14ac:dyDescent="0.25">
      <c r="A15" s="17" t="s">
        <v>562</v>
      </c>
      <c r="B15" s="128" t="s">
        <v>470</v>
      </c>
      <c r="C15" s="188">
        <v>1627100.6060606099</v>
      </c>
      <c r="D15" s="188">
        <v>99999999</v>
      </c>
      <c r="E15" s="90" t="s">
        <v>532</v>
      </c>
      <c r="F15" s="90">
        <v>18</v>
      </c>
      <c r="G15" s="90">
        <v>65</v>
      </c>
      <c r="H15" s="90" t="s">
        <v>15</v>
      </c>
      <c r="I15" s="90" t="s">
        <v>15</v>
      </c>
      <c r="J15" s="90" t="s">
        <v>15</v>
      </c>
      <c r="K15" s="90"/>
      <c r="L15" s="90"/>
      <c r="M15" s="90"/>
      <c r="N15" s="90"/>
      <c r="O15" s="90"/>
      <c r="P15" s="90"/>
      <c r="Q15" s="90"/>
      <c r="R15" s="90"/>
      <c r="S15" s="90"/>
      <c r="T15" s="90"/>
      <c r="U15" s="90"/>
      <c r="V15" s="90"/>
      <c r="W15" s="90"/>
      <c r="X15" s="90"/>
      <c r="Y15" s="90"/>
      <c r="Z15" s="90"/>
      <c r="AA15" s="90"/>
      <c r="AB15" s="90"/>
      <c r="AC15" s="90"/>
      <c r="AD15" s="90"/>
      <c r="AE15" s="90"/>
      <c r="AF15" s="90"/>
      <c r="AG15" s="90"/>
      <c r="AH15" s="90"/>
      <c r="AI15" s="90"/>
      <c r="AJ15" s="90"/>
      <c r="AK15" s="90"/>
      <c r="AL15" s="90"/>
      <c r="AM15" s="90"/>
      <c r="AN15" s="90"/>
      <c r="AO15" s="90"/>
      <c r="AP15" s="90"/>
      <c r="AQ15" s="90"/>
      <c r="AR15" s="90"/>
      <c r="AS15" s="90"/>
      <c r="AT15" s="186">
        <v>21</v>
      </c>
      <c r="AU15" s="186">
        <v>10</v>
      </c>
      <c r="AV15" s="187">
        <v>15000</v>
      </c>
      <c r="AW15" s="187">
        <v>20000</v>
      </c>
      <c r="AX15" s="90">
        <v>1</v>
      </c>
      <c r="AY15" s="90">
        <v>8</v>
      </c>
      <c r="AZ15" s="186" t="s">
        <v>15</v>
      </c>
      <c r="BA15" s="186">
        <v>2</v>
      </c>
      <c r="BB15" s="17"/>
      <c r="BC15" s="186" t="s">
        <v>16</v>
      </c>
      <c r="BD15" s="128" t="s">
        <v>16</v>
      </c>
      <c r="BE15" s="128" t="s">
        <v>15</v>
      </c>
      <c r="BF15" s="128" t="s">
        <v>16</v>
      </c>
      <c r="BG15" s="128" t="s">
        <v>15</v>
      </c>
      <c r="BH15" s="128" t="s">
        <v>15</v>
      </c>
      <c r="BI15" s="128" t="s">
        <v>15</v>
      </c>
      <c r="BJ15" s="128" t="s">
        <v>15</v>
      </c>
      <c r="BK15" s="128" t="s">
        <v>15</v>
      </c>
      <c r="BL15" s="128" t="s">
        <v>16</v>
      </c>
      <c r="BM15" s="128" t="s">
        <v>16</v>
      </c>
      <c r="BN15" s="128" t="s">
        <v>16</v>
      </c>
      <c r="BO15" s="128" t="s">
        <v>15</v>
      </c>
      <c r="BP15" s="128" t="s">
        <v>15</v>
      </c>
      <c r="BQ15" s="128" t="s">
        <v>16</v>
      </c>
      <c r="BR15" s="128" t="s">
        <v>15</v>
      </c>
      <c r="BS15" s="128" t="s">
        <v>15</v>
      </c>
      <c r="BT15" s="128" t="s">
        <v>16</v>
      </c>
      <c r="BU15" s="128" t="s">
        <v>15</v>
      </c>
      <c r="BV15" s="128" t="s">
        <v>16</v>
      </c>
      <c r="BW15" s="128" t="s">
        <v>16</v>
      </c>
      <c r="BX15" s="128" t="s">
        <v>16</v>
      </c>
      <c r="BY15" s="128" t="s">
        <v>16</v>
      </c>
      <c r="BZ15" s="128" t="s">
        <v>16</v>
      </c>
      <c r="CA15" s="128" t="s">
        <v>15</v>
      </c>
      <c r="CB15" s="128" t="s">
        <v>15</v>
      </c>
      <c r="CC15" s="128" t="s">
        <v>15</v>
      </c>
      <c r="CD15" s="128" t="s">
        <v>15</v>
      </c>
      <c r="CE15" s="128" t="s">
        <v>15</v>
      </c>
      <c r="CF15" s="128" t="s">
        <v>15</v>
      </c>
      <c r="CG15" s="128" t="s">
        <v>16</v>
      </c>
      <c r="CH15" s="128" t="s">
        <v>15</v>
      </c>
      <c r="CI15" s="128" t="s">
        <v>15</v>
      </c>
      <c r="CJ15" s="128" t="s">
        <v>16</v>
      </c>
      <c r="CK15" s="128" t="s">
        <v>16</v>
      </c>
      <c r="CL15" s="128" t="s">
        <v>15</v>
      </c>
      <c r="CM15" s="128" t="s">
        <v>16</v>
      </c>
      <c r="CN15" s="128" t="s">
        <v>16</v>
      </c>
      <c r="CO15" s="128" t="s">
        <v>16</v>
      </c>
      <c r="CP15" s="128" t="s">
        <v>16</v>
      </c>
      <c r="CQ15" s="128" t="s">
        <v>15</v>
      </c>
      <c r="CR15" s="128" t="s">
        <v>16</v>
      </c>
      <c r="CS15" s="128" t="s">
        <v>15</v>
      </c>
      <c r="CT15" s="128" t="s">
        <v>15</v>
      </c>
      <c r="CU15" s="128" t="s">
        <v>15</v>
      </c>
      <c r="CV15" s="128" t="s">
        <v>16</v>
      </c>
      <c r="CW15" s="128" t="s">
        <v>15</v>
      </c>
      <c r="CX15" s="128" t="s">
        <v>16</v>
      </c>
      <c r="CY15" s="128" t="s">
        <v>16</v>
      </c>
      <c r="CZ15" s="128" t="s">
        <v>16</v>
      </c>
      <c r="DA15" s="128" t="s">
        <v>16</v>
      </c>
      <c r="DB15" s="128" t="s">
        <v>15</v>
      </c>
      <c r="DC15" s="128" t="s">
        <v>16</v>
      </c>
      <c r="DD15" s="128" t="s">
        <v>15</v>
      </c>
      <c r="DE15" s="128" t="s">
        <v>15</v>
      </c>
      <c r="DF15" s="128" t="s">
        <v>15</v>
      </c>
      <c r="DG15" s="128" t="s">
        <v>16</v>
      </c>
      <c r="DH15" s="128" t="s">
        <v>15</v>
      </c>
      <c r="DI15" s="128" t="s">
        <v>16</v>
      </c>
      <c r="DJ15" s="128" t="s">
        <v>16</v>
      </c>
      <c r="DK15" s="128" t="s">
        <v>15</v>
      </c>
      <c r="DL15" s="128" t="s">
        <v>15</v>
      </c>
      <c r="DM15" s="17" t="s">
        <v>562</v>
      </c>
      <c r="DN15" s="17" t="s">
        <v>80</v>
      </c>
      <c r="DO15" s="17" t="s">
        <v>20</v>
      </c>
      <c r="DP15" s="185">
        <v>0.12</v>
      </c>
      <c r="DQ15" s="184">
        <v>1200000</v>
      </c>
      <c r="DR15" s="184">
        <v>500000</v>
      </c>
      <c r="DS15" s="17">
        <v>2</v>
      </c>
      <c r="DT15" s="184">
        <v>1000</v>
      </c>
      <c r="DU15" s="184"/>
      <c r="DV15" s="184"/>
      <c r="DW15" s="184">
        <v>5500</v>
      </c>
      <c r="DX15" s="184">
        <v>4500</v>
      </c>
      <c r="DY15" s="184">
        <v>10000</v>
      </c>
      <c r="DZ15" s="184">
        <v>4000</v>
      </c>
      <c r="EA15" s="184">
        <v>4500</v>
      </c>
      <c r="EB15" s="184">
        <v>8000</v>
      </c>
      <c r="EC15" s="184">
        <v>1000</v>
      </c>
      <c r="ED15" s="184">
        <v>4500</v>
      </c>
      <c r="EE15" s="184">
        <v>0</v>
      </c>
      <c r="EF15" s="184">
        <v>8000</v>
      </c>
      <c r="EG15" s="184">
        <v>1500</v>
      </c>
      <c r="EH15" s="184">
        <v>9500</v>
      </c>
      <c r="EI15" s="184">
        <v>500</v>
      </c>
      <c r="EJ15" s="184">
        <v>4500</v>
      </c>
      <c r="EK15" s="184">
        <v>9500</v>
      </c>
      <c r="EL15" s="184">
        <v>9500</v>
      </c>
      <c r="EM15" s="184">
        <v>1000</v>
      </c>
      <c r="EN15" s="184">
        <v>3500</v>
      </c>
      <c r="EO15" s="184">
        <v>4500</v>
      </c>
      <c r="EP15" s="184">
        <v>1000</v>
      </c>
      <c r="EQ15" s="184">
        <v>2500</v>
      </c>
      <c r="ER15" s="184">
        <v>4000</v>
      </c>
      <c r="ES15" s="48" t="s">
        <v>16</v>
      </c>
      <c r="ET15" s="90">
        <v>9</v>
      </c>
      <c r="EU15" s="48" t="s">
        <v>16</v>
      </c>
      <c r="EV15" s="90" t="s">
        <v>15</v>
      </c>
      <c r="EW15" s="90" t="s">
        <v>16</v>
      </c>
      <c r="EX15" s="90" t="s">
        <v>15</v>
      </c>
      <c r="EY15" s="90" t="s">
        <v>16</v>
      </c>
      <c r="EZ15" s="90" t="s">
        <v>15</v>
      </c>
      <c r="FA15" s="90" t="s">
        <v>16</v>
      </c>
      <c r="FB15" s="90" t="s">
        <v>16</v>
      </c>
      <c r="FC15" s="90">
        <v>1134</v>
      </c>
      <c r="FD15" s="90">
        <v>623</v>
      </c>
      <c r="FE15" s="90">
        <v>665</v>
      </c>
      <c r="FF15" s="90">
        <v>1139</v>
      </c>
      <c r="FG15" s="90">
        <v>843</v>
      </c>
      <c r="FH15" s="90">
        <v>1396</v>
      </c>
      <c r="FI15" s="90">
        <v>2159</v>
      </c>
      <c r="FJ15" s="90">
        <v>478</v>
      </c>
      <c r="FK15" s="90">
        <v>704</v>
      </c>
      <c r="FL15" s="90">
        <v>1585</v>
      </c>
      <c r="FM15" s="90" t="s">
        <v>15</v>
      </c>
      <c r="FN15" s="90" t="s">
        <v>16</v>
      </c>
      <c r="FO15" s="90" t="s">
        <v>16</v>
      </c>
      <c r="FP15" s="90" t="s">
        <v>16</v>
      </c>
      <c r="FQ15" s="90" t="s">
        <v>16</v>
      </c>
      <c r="FR15" s="90" t="s">
        <v>15</v>
      </c>
      <c r="FS15" s="90">
        <v>713</v>
      </c>
      <c r="FT15" s="17"/>
      <c r="FU15" s="17"/>
      <c r="FV15" s="17"/>
      <c r="FW15" s="48" t="s">
        <v>533</v>
      </c>
      <c r="FX15" s="48" t="s">
        <v>540</v>
      </c>
      <c r="FY15" s="48">
        <v>2</v>
      </c>
      <c r="FZ15" s="48">
        <v>70</v>
      </c>
      <c r="GA15" s="48" t="s">
        <v>15</v>
      </c>
      <c r="GB15" s="90" t="s">
        <v>16</v>
      </c>
      <c r="GC15" s="90" t="s">
        <v>16</v>
      </c>
      <c r="GD15" s="90" t="s">
        <v>16</v>
      </c>
      <c r="GE15" s="90" t="s">
        <v>15</v>
      </c>
      <c r="GF15" s="90" t="s">
        <v>15</v>
      </c>
      <c r="GG15" s="90" t="s">
        <v>15</v>
      </c>
      <c r="GJ15" s="57" t="s">
        <v>426</v>
      </c>
      <c r="GK15" s="57">
        <v>2</v>
      </c>
    </row>
    <row r="16" spans="1:193" x14ac:dyDescent="0.25">
      <c r="A16" s="17" t="s">
        <v>561</v>
      </c>
      <c r="B16" s="128" t="s">
        <v>471</v>
      </c>
      <c r="C16" s="188">
        <v>1566494.5454545501</v>
      </c>
      <c r="D16" s="188">
        <v>99999999</v>
      </c>
      <c r="E16" s="90" t="s">
        <v>532</v>
      </c>
      <c r="F16" s="90">
        <v>18</v>
      </c>
      <c r="G16" s="90">
        <v>65</v>
      </c>
      <c r="H16" s="90" t="s">
        <v>15</v>
      </c>
      <c r="I16" s="90" t="s">
        <v>15</v>
      </c>
      <c r="J16" s="90" t="s">
        <v>15</v>
      </c>
      <c r="K16" s="90"/>
      <c r="L16" s="90"/>
      <c r="M16" s="90"/>
      <c r="N16" s="90"/>
      <c r="O16" s="90"/>
      <c r="P16" s="90"/>
      <c r="Q16" s="90"/>
      <c r="R16" s="90"/>
      <c r="S16" s="90"/>
      <c r="T16" s="90"/>
      <c r="U16" s="90"/>
      <c r="V16" s="90"/>
      <c r="W16" s="90"/>
      <c r="X16" s="90"/>
      <c r="Y16" s="90"/>
      <c r="Z16" s="90"/>
      <c r="AA16" s="90"/>
      <c r="AB16" s="90"/>
      <c r="AC16" s="90"/>
      <c r="AD16" s="90"/>
      <c r="AE16" s="90"/>
      <c r="AF16" s="90"/>
      <c r="AG16" s="90"/>
      <c r="AH16" s="90"/>
      <c r="AI16" s="90"/>
      <c r="AJ16" s="90"/>
      <c r="AK16" s="90"/>
      <c r="AL16" s="90"/>
      <c r="AM16" s="90"/>
      <c r="AN16" s="90"/>
      <c r="AO16" s="90"/>
      <c r="AP16" s="90"/>
      <c r="AQ16" s="90"/>
      <c r="AR16" s="90"/>
      <c r="AS16" s="90"/>
      <c r="AT16" s="186">
        <v>23</v>
      </c>
      <c r="AU16" s="186">
        <v>12</v>
      </c>
      <c r="AV16" s="187">
        <v>8000</v>
      </c>
      <c r="AW16" s="187">
        <v>25000</v>
      </c>
      <c r="AX16" s="90">
        <v>10</v>
      </c>
      <c r="AY16" s="90">
        <v>13</v>
      </c>
      <c r="AZ16" s="186" t="s">
        <v>15</v>
      </c>
      <c r="BA16" s="186">
        <v>4</v>
      </c>
      <c r="BB16" s="17"/>
      <c r="BC16" s="186" t="s">
        <v>15</v>
      </c>
      <c r="BD16" s="128" t="s">
        <v>15</v>
      </c>
      <c r="BE16" s="128" t="s">
        <v>15</v>
      </c>
      <c r="BF16" s="128" t="s">
        <v>16</v>
      </c>
      <c r="BG16" s="128" t="s">
        <v>16</v>
      </c>
      <c r="BH16" s="128" t="s">
        <v>16</v>
      </c>
      <c r="BI16" s="128" t="s">
        <v>15</v>
      </c>
      <c r="BJ16" s="128" t="s">
        <v>16</v>
      </c>
      <c r="BK16" s="128" t="s">
        <v>15</v>
      </c>
      <c r="BL16" s="128" t="s">
        <v>15</v>
      </c>
      <c r="BM16" s="128" t="s">
        <v>15</v>
      </c>
      <c r="BN16" s="128" t="s">
        <v>16</v>
      </c>
      <c r="BO16" s="128" t="s">
        <v>15</v>
      </c>
      <c r="BP16" s="128" t="s">
        <v>16</v>
      </c>
      <c r="BQ16" s="128" t="s">
        <v>16</v>
      </c>
      <c r="BR16" s="128" t="s">
        <v>15</v>
      </c>
      <c r="BS16" s="128" t="s">
        <v>15</v>
      </c>
      <c r="BT16" s="128" t="s">
        <v>15</v>
      </c>
      <c r="BU16" s="128" t="s">
        <v>15</v>
      </c>
      <c r="BV16" s="128" t="s">
        <v>16</v>
      </c>
      <c r="BW16" s="128" t="s">
        <v>15</v>
      </c>
      <c r="BX16" s="128" t="s">
        <v>16</v>
      </c>
      <c r="BY16" s="128" t="s">
        <v>15</v>
      </c>
      <c r="BZ16" s="128" t="s">
        <v>15</v>
      </c>
      <c r="CA16" s="128" t="s">
        <v>16</v>
      </c>
      <c r="CB16" s="128" t="s">
        <v>16</v>
      </c>
      <c r="CC16" s="128" t="s">
        <v>16</v>
      </c>
      <c r="CD16" s="128" t="s">
        <v>15</v>
      </c>
      <c r="CE16" s="128" t="s">
        <v>15</v>
      </c>
      <c r="CF16" s="128" t="s">
        <v>15</v>
      </c>
      <c r="CG16" s="128" t="s">
        <v>15</v>
      </c>
      <c r="CH16" s="128" t="s">
        <v>15</v>
      </c>
      <c r="CI16" s="128" t="s">
        <v>16</v>
      </c>
      <c r="CJ16" s="128" t="s">
        <v>15</v>
      </c>
      <c r="CK16" s="128" t="s">
        <v>16</v>
      </c>
      <c r="CL16" s="128" t="s">
        <v>16</v>
      </c>
      <c r="CM16" s="128" t="s">
        <v>16</v>
      </c>
      <c r="CN16" s="128" t="s">
        <v>16</v>
      </c>
      <c r="CO16" s="128" t="s">
        <v>15</v>
      </c>
      <c r="CP16" s="128" t="s">
        <v>16</v>
      </c>
      <c r="CQ16" s="128" t="s">
        <v>16</v>
      </c>
      <c r="CR16" s="128" t="s">
        <v>16</v>
      </c>
      <c r="CS16" s="128" t="s">
        <v>15</v>
      </c>
      <c r="CT16" s="128" t="s">
        <v>15</v>
      </c>
      <c r="CU16" s="128" t="s">
        <v>15</v>
      </c>
      <c r="CV16" s="128" t="s">
        <v>15</v>
      </c>
      <c r="CW16" s="128" t="s">
        <v>15</v>
      </c>
      <c r="CX16" s="128" t="s">
        <v>15</v>
      </c>
      <c r="CY16" s="128" t="s">
        <v>16</v>
      </c>
      <c r="CZ16" s="128" t="s">
        <v>15</v>
      </c>
      <c r="DA16" s="128" t="s">
        <v>16</v>
      </c>
      <c r="DB16" s="128" t="s">
        <v>15</v>
      </c>
      <c r="DC16" s="128" t="s">
        <v>16</v>
      </c>
      <c r="DD16" s="128" t="s">
        <v>15</v>
      </c>
      <c r="DE16" s="128" t="s">
        <v>15</v>
      </c>
      <c r="DF16" s="128" t="s">
        <v>15</v>
      </c>
      <c r="DG16" s="128" t="s">
        <v>15</v>
      </c>
      <c r="DH16" s="128" t="s">
        <v>15</v>
      </c>
      <c r="DI16" s="128" t="s">
        <v>15</v>
      </c>
      <c r="DJ16" s="128" t="s">
        <v>15</v>
      </c>
      <c r="DK16" s="128" t="s">
        <v>16</v>
      </c>
      <c r="DL16" s="128" t="s">
        <v>16</v>
      </c>
      <c r="DM16" s="17" t="s">
        <v>561</v>
      </c>
      <c r="DN16" s="17" t="s">
        <v>80</v>
      </c>
      <c r="DO16" s="17" t="s">
        <v>20</v>
      </c>
      <c r="DP16" s="185">
        <v>0.08</v>
      </c>
      <c r="DQ16" s="184">
        <v>2400000</v>
      </c>
      <c r="DR16" s="184">
        <v>1600000</v>
      </c>
      <c r="DS16" s="17">
        <v>2</v>
      </c>
      <c r="DT16" s="184">
        <v>8500</v>
      </c>
      <c r="DU16" s="184"/>
      <c r="DV16" s="184"/>
      <c r="DW16" s="184">
        <v>4500</v>
      </c>
      <c r="DX16" s="184">
        <v>7500</v>
      </c>
      <c r="DY16" s="184">
        <v>8000</v>
      </c>
      <c r="DZ16" s="184">
        <v>1500</v>
      </c>
      <c r="EA16" s="184">
        <v>7500</v>
      </c>
      <c r="EB16" s="184">
        <v>9000</v>
      </c>
      <c r="EC16" s="184">
        <v>6500</v>
      </c>
      <c r="ED16" s="184">
        <v>0</v>
      </c>
      <c r="EE16" s="184">
        <v>8500</v>
      </c>
      <c r="EF16" s="184">
        <v>8500</v>
      </c>
      <c r="EG16" s="184">
        <v>7000</v>
      </c>
      <c r="EH16" s="184">
        <v>5500</v>
      </c>
      <c r="EI16" s="184">
        <v>7000</v>
      </c>
      <c r="EJ16" s="184">
        <v>3000</v>
      </c>
      <c r="EK16" s="184">
        <v>9500</v>
      </c>
      <c r="EL16" s="184">
        <v>10000</v>
      </c>
      <c r="EM16" s="184">
        <v>0</v>
      </c>
      <c r="EN16" s="184">
        <v>6000</v>
      </c>
      <c r="EO16" s="184">
        <v>1000</v>
      </c>
      <c r="EP16" s="184">
        <v>8000</v>
      </c>
      <c r="EQ16" s="184">
        <v>8000</v>
      </c>
      <c r="ER16" s="184">
        <v>2000</v>
      </c>
      <c r="ES16" s="48" t="s">
        <v>16</v>
      </c>
      <c r="ET16" s="90">
        <v>17</v>
      </c>
      <c r="EU16" s="48" t="s">
        <v>16</v>
      </c>
      <c r="EV16" s="90" t="s">
        <v>15</v>
      </c>
      <c r="EW16" s="90" t="s">
        <v>16</v>
      </c>
      <c r="EX16" s="90" t="s">
        <v>16</v>
      </c>
      <c r="EY16" s="90" t="s">
        <v>15</v>
      </c>
      <c r="EZ16" s="90" t="s">
        <v>16</v>
      </c>
      <c r="FA16" s="90" t="s">
        <v>15</v>
      </c>
      <c r="FB16" s="90" t="s">
        <v>16</v>
      </c>
      <c r="FC16" s="90">
        <v>1421</v>
      </c>
      <c r="FD16" s="90">
        <v>1405</v>
      </c>
      <c r="FE16" s="90">
        <v>712</v>
      </c>
      <c r="FF16" s="90">
        <v>2259</v>
      </c>
      <c r="FG16" s="90">
        <v>945</v>
      </c>
      <c r="FH16" s="90">
        <v>1815</v>
      </c>
      <c r="FI16" s="90">
        <v>268</v>
      </c>
      <c r="FJ16" s="90">
        <v>578</v>
      </c>
      <c r="FK16" s="90">
        <v>1083</v>
      </c>
      <c r="FL16" s="90">
        <v>1257</v>
      </c>
      <c r="FM16" s="90" t="s">
        <v>15</v>
      </c>
      <c r="FN16" s="90" t="s">
        <v>15</v>
      </c>
      <c r="FO16" s="90" t="s">
        <v>16</v>
      </c>
      <c r="FP16" s="90" t="s">
        <v>15</v>
      </c>
      <c r="FQ16" s="90" t="s">
        <v>16</v>
      </c>
      <c r="FR16" s="90" t="s">
        <v>16</v>
      </c>
      <c r="FS16" s="90">
        <v>0</v>
      </c>
      <c r="FT16" s="17"/>
      <c r="FU16" s="17"/>
      <c r="FV16" s="17"/>
      <c r="FW16" s="48" t="s">
        <v>537</v>
      </c>
      <c r="FX16" s="48" t="s">
        <v>471</v>
      </c>
      <c r="FY16" s="48">
        <v>6</v>
      </c>
      <c r="FZ16" s="48">
        <v>40</v>
      </c>
      <c r="GA16" s="48" t="s">
        <v>16</v>
      </c>
      <c r="GB16" s="90" t="s">
        <v>15</v>
      </c>
      <c r="GC16" s="90" t="s">
        <v>16</v>
      </c>
      <c r="GD16" s="90" t="s">
        <v>16</v>
      </c>
      <c r="GE16" s="90" t="s">
        <v>16</v>
      </c>
      <c r="GF16" s="90" t="s">
        <v>16</v>
      </c>
      <c r="GG16" s="90" t="s">
        <v>16</v>
      </c>
      <c r="GJ16" s="57" t="s">
        <v>425</v>
      </c>
      <c r="GK16" s="57">
        <v>1</v>
      </c>
    </row>
    <row r="17" spans="1:193" s="189" customFormat="1" x14ac:dyDescent="0.25">
      <c r="A17" s="189" t="s">
        <v>84</v>
      </c>
      <c r="B17" s="194" t="s">
        <v>471</v>
      </c>
      <c r="C17" s="197">
        <v>1505888.48484849</v>
      </c>
      <c r="D17" s="197">
        <v>99999999</v>
      </c>
      <c r="E17" s="190" t="s">
        <v>532</v>
      </c>
      <c r="F17" s="190">
        <v>30</v>
      </c>
      <c r="G17" s="190">
        <v>65</v>
      </c>
      <c r="H17" s="190" t="s">
        <v>15</v>
      </c>
      <c r="I17" s="190" t="s">
        <v>15</v>
      </c>
      <c r="J17" s="190" t="s">
        <v>16</v>
      </c>
      <c r="K17" s="190"/>
      <c r="L17" s="190"/>
      <c r="M17" s="190"/>
      <c r="N17" s="190"/>
      <c r="O17" s="190"/>
      <c r="P17" s="190"/>
      <c r="Q17" s="190"/>
      <c r="R17" s="190"/>
      <c r="S17" s="190"/>
      <c r="T17" s="190"/>
      <c r="U17" s="190"/>
      <c r="V17" s="190"/>
      <c r="W17" s="190"/>
      <c r="X17" s="190"/>
      <c r="Y17" s="190"/>
      <c r="Z17" s="190"/>
      <c r="AA17" s="190"/>
      <c r="AB17" s="190"/>
      <c r="AC17" s="190"/>
      <c r="AD17" s="190"/>
      <c r="AE17" s="190"/>
      <c r="AF17" s="190"/>
      <c r="AG17" s="190"/>
      <c r="AH17" s="190"/>
      <c r="AI17" s="190"/>
      <c r="AJ17" s="190"/>
      <c r="AK17" s="190"/>
      <c r="AL17" s="190"/>
      <c r="AM17" s="190"/>
      <c r="AN17" s="190"/>
      <c r="AO17" s="190"/>
      <c r="AP17" s="190"/>
      <c r="AQ17" s="190"/>
      <c r="AR17" s="190"/>
      <c r="AS17" s="190"/>
      <c r="AT17" s="195">
        <v>20</v>
      </c>
      <c r="AU17" s="195">
        <v>8</v>
      </c>
      <c r="AV17" s="196">
        <v>12000</v>
      </c>
      <c r="AW17" s="196">
        <v>10000</v>
      </c>
      <c r="AX17" s="190">
        <v>12</v>
      </c>
      <c r="AY17" s="190">
        <v>14</v>
      </c>
      <c r="AZ17" s="195" t="s">
        <v>16</v>
      </c>
      <c r="BA17" s="195">
        <v>4</v>
      </c>
      <c r="BC17" s="195" t="s">
        <v>15</v>
      </c>
      <c r="BD17" s="194" t="s">
        <v>15</v>
      </c>
      <c r="BE17" s="194" t="s">
        <v>15</v>
      </c>
      <c r="BF17" s="194" t="s">
        <v>16</v>
      </c>
      <c r="BG17" s="194" t="s">
        <v>15</v>
      </c>
      <c r="BH17" s="194" t="s">
        <v>16</v>
      </c>
      <c r="BI17" s="194" t="s">
        <v>16</v>
      </c>
      <c r="BJ17" s="194" t="s">
        <v>16</v>
      </c>
      <c r="BK17" s="194" t="s">
        <v>15</v>
      </c>
      <c r="BL17" s="194" t="s">
        <v>16</v>
      </c>
      <c r="BM17" s="194" t="s">
        <v>15</v>
      </c>
      <c r="BN17" s="194" t="s">
        <v>15</v>
      </c>
      <c r="BO17" s="194" t="s">
        <v>15</v>
      </c>
      <c r="BP17" s="194" t="s">
        <v>15</v>
      </c>
      <c r="BQ17" s="194" t="s">
        <v>15</v>
      </c>
      <c r="BR17" s="194" t="s">
        <v>15</v>
      </c>
      <c r="BS17" s="194" t="s">
        <v>15</v>
      </c>
      <c r="BT17" s="194" t="s">
        <v>15</v>
      </c>
      <c r="BU17" s="194" t="s">
        <v>15</v>
      </c>
      <c r="BV17" s="194" t="s">
        <v>16</v>
      </c>
      <c r="BW17" s="194" t="s">
        <v>15</v>
      </c>
      <c r="BX17" s="194" t="s">
        <v>15</v>
      </c>
      <c r="BY17" s="194" t="s">
        <v>15</v>
      </c>
      <c r="BZ17" s="194" t="s">
        <v>16</v>
      </c>
      <c r="CA17" s="194" t="s">
        <v>15</v>
      </c>
      <c r="CB17" s="194" t="s">
        <v>15</v>
      </c>
      <c r="CC17" s="194" t="s">
        <v>16</v>
      </c>
      <c r="CD17" s="194" t="s">
        <v>16</v>
      </c>
      <c r="CE17" s="194" t="s">
        <v>15</v>
      </c>
      <c r="CF17" s="194" t="s">
        <v>15</v>
      </c>
      <c r="CG17" s="194" t="s">
        <v>16</v>
      </c>
      <c r="CH17" s="194" t="s">
        <v>16</v>
      </c>
      <c r="CI17" s="194" t="s">
        <v>16</v>
      </c>
      <c r="CJ17" s="194" t="s">
        <v>16</v>
      </c>
      <c r="CK17" s="194" t="s">
        <v>16</v>
      </c>
      <c r="CL17" s="194" t="s">
        <v>16</v>
      </c>
      <c r="CM17" s="194" t="s">
        <v>15</v>
      </c>
      <c r="CN17" s="194" t="s">
        <v>15</v>
      </c>
      <c r="CO17" s="194" t="s">
        <v>16</v>
      </c>
      <c r="CP17" s="194" t="s">
        <v>15</v>
      </c>
      <c r="CQ17" s="194" t="s">
        <v>15</v>
      </c>
      <c r="CR17" s="194" t="s">
        <v>15</v>
      </c>
      <c r="CS17" s="194" t="s">
        <v>15</v>
      </c>
      <c r="CT17" s="194" t="s">
        <v>15</v>
      </c>
      <c r="CU17" s="194" t="s">
        <v>15</v>
      </c>
      <c r="CV17" s="194" t="s">
        <v>15</v>
      </c>
      <c r="CW17" s="194" t="s">
        <v>16</v>
      </c>
      <c r="CX17" s="194" t="s">
        <v>15</v>
      </c>
      <c r="CY17" s="194" t="s">
        <v>15</v>
      </c>
      <c r="CZ17" s="194" t="s">
        <v>15</v>
      </c>
      <c r="DA17" s="194" t="s">
        <v>15</v>
      </c>
      <c r="DB17" s="194" t="s">
        <v>16</v>
      </c>
      <c r="DC17" s="194" t="s">
        <v>15</v>
      </c>
      <c r="DD17" s="194" t="s">
        <v>16</v>
      </c>
      <c r="DE17" s="194" t="s">
        <v>15</v>
      </c>
      <c r="DF17" s="194" t="s">
        <v>16</v>
      </c>
      <c r="DG17" s="194" t="s">
        <v>15</v>
      </c>
      <c r="DH17" s="194" t="s">
        <v>15</v>
      </c>
      <c r="DI17" s="194" t="s">
        <v>15</v>
      </c>
      <c r="DJ17" s="194" t="s">
        <v>15</v>
      </c>
      <c r="DK17" s="194" t="s">
        <v>15</v>
      </c>
      <c r="DL17" s="194" t="s">
        <v>15</v>
      </c>
      <c r="DM17" s="189" t="s">
        <v>84</v>
      </c>
      <c r="DN17" s="189" t="s">
        <v>80</v>
      </c>
      <c r="DO17" s="189" t="s">
        <v>20</v>
      </c>
      <c r="DP17" s="193">
        <v>0.13</v>
      </c>
      <c r="DQ17" s="192">
        <v>2100000</v>
      </c>
      <c r="DR17" s="192">
        <v>600000</v>
      </c>
      <c r="DS17" s="189">
        <v>1</v>
      </c>
      <c r="DT17" s="192">
        <v>7000</v>
      </c>
      <c r="DU17" s="192"/>
      <c r="DV17" s="192"/>
      <c r="DW17" s="192">
        <v>5000</v>
      </c>
      <c r="DX17" s="192">
        <v>9500</v>
      </c>
      <c r="DY17" s="192">
        <v>10000</v>
      </c>
      <c r="DZ17" s="192">
        <v>500</v>
      </c>
      <c r="EA17" s="192">
        <v>9500</v>
      </c>
      <c r="EB17" s="192">
        <v>0</v>
      </c>
      <c r="EC17" s="192">
        <v>6500</v>
      </c>
      <c r="ED17" s="192">
        <v>0</v>
      </c>
      <c r="EE17" s="192">
        <v>1000</v>
      </c>
      <c r="EF17" s="192">
        <v>3500</v>
      </c>
      <c r="EG17" s="192">
        <v>0</v>
      </c>
      <c r="EH17" s="192">
        <v>1500</v>
      </c>
      <c r="EI17" s="192">
        <v>3000</v>
      </c>
      <c r="EJ17" s="192">
        <v>3000</v>
      </c>
      <c r="EK17" s="192">
        <v>2500</v>
      </c>
      <c r="EL17" s="192">
        <v>3000</v>
      </c>
      <c r="EM17" s="192">
        <v>4000</v>
      </c>
      <c r="EN17" s="192">
        <v>500</v>
      </c>
      <c r="EO17" s="192">
        <v>8500</v>
      </c>
      <c r="EP17" s="192">
        <v>5000</v>
      </c>
      <c r="EQ17" s="192">
        <v>7000</v>
      </c>
      <c r="ER17" s="192">
        <v>9000</v>
      </c>
      <c r="ES17" s="191" t="s">
        <v>16</v>
      </c>
      <c r="ET17" s="190">
        <v>1</v>
      </c>
      <c r="EU17" s="191" t="s">
        <v>15</v>
      </c>
      <c r="EV17" s="190" t="s">
        <v>15</v>
      </c>
      <c r="EW17" s="190" t="s">
        <v>16</v>
      </c>
      <c r="EX17" s="190" t="s">
        <v>16</v>
      </c>
      <c r="EY17" s="190" t="s">
        <v>16</v>
      </c>
      <c r="EZ17" s="190" t="s">
        <v>16</v>
      </c>
      <c r="FA17" s="190" t="s">
        <v>15</v>
      </c>
      <c r="FB17" s="190" t="s">
        <v>15</v>
      </c>
      <c r="FC17" s="190">
        <v>1684</v>
      </c>
      <c r="FD17" s="190">
        <v>359</v>
      </c>
      <c r="FE17" s="190">
        <v>630</v>
      </c>
      <c r="FF17" s="190">
        <v>1710</v>
      </c>
      <c r="FG17" s="190">
        <v>2153</v>
      </c>
      <c r="FH17" s="190">
        <v>1823</v>
      </c>
      <c r="FI17" s="190">
        <v>1251</v>
      </c>
      <c r="FJ17" s="190">
        <v>2206</v>
      </c>
      <c r="FK17" s="190">
        <v>1910</v>
      </c>
      <c r="FL17" s="190">
        <v>984</v>
      </c>
      <c r="FM17" s="190" t="s">
        <v>15</v>
      </c>
      <c r="FN17" s="190" t="s">
        <v>16</v>
      </c>
      <c r="FO17" s="190" t="s">
        <v>15</v>
      </c>
      <c r="FP17" s="190" t="s">
        <v>15</v>
      </c>
      <c r="FQ17" s="190" t="s">
        <v>15</v>
      </c>
      <c r="FR17" s="190" t="s">
        <v>15</v>
      </c>
      <c r="FS17" s="190">
        <v>172</v>
      </c>
      <c r="FW17" s="191" t="s">
        <v>537</v>
      </c>
      <c r="FX17" s="191" t="s">
        <v>540</v>
      </c>
      <c r="FY17" s="191">
        <v>6</v>
      </c>
      <c r="FZ17" s="191">
        <v>130</v>
      </c>
      <c r="GA17" s="191" t="s">
        <v>16</v>
      </c>
      <c r="GB17" s="190" t="s">
        <v>15</v>
      </c>
      <c r="GC17" s="190" t="s">
        <v>15</v>
      </c>
      <c r="GD17" s="190" t="s">
        <v>16</v>
      </c>
      <c r="GE17" s="190" t="s">
        <v>16</v>
      </c>
      <c r="GF17" s="190" t="s">
        <v>16</v>
      </c>
      <c r="GG17" s="190" t="s">
        <v>16</v>
      </c>
      <c r="GJ17" s="190" t="s">
        <v>424</v>
      </c>
      <c r="GK17" s="190">
        <v>3</v>
      </c>
    </row>
    <row r="18" spans="1:193" x14ac:dyDescent="0.25">
      <c r="A18" s="17" t="s">
        <v>560</v>
      </c>
      <c r="B18" s="128" t="s">
        <v>470</v>
      </c>
      <c r="C18" s="188">
        <v>1445282.4242424199</v>
      </c>
      <c r="D18" s="188">
        <v>99999999</v>
      </c>
      <c r="E18" s="90" t="s">
        <v>532</v>
      </c>
      <c r="F18" s="90">
        <v>18</v>
      </c>
      <c r="G18" s="90">
        <v>65</v>
      </c>
      <c r="H18" s="90" t="s">
        <v>15</v>
      </c>
      <c r="I18" s="90" t="s">
        <v>16</v>
      </c>
      <c r="J18" s="90" t="s">
        <v>15</v>
      </c>
      <c r="K18" s="90"/>
      <c r="L18" s="90"/>
      <c r="M18" s="90"/>
      <c r="N18" s="90"/>
      <c r="O18" s="90"/>
      <c r="P18" s="90"/>
      <c r="Q18" s="90"/>
      <c r="R18" s="90"/>
      <c r="S18" s="90"/>
      <c r="T18" s="90"/>
      <c r="U18" s="90"/>
      <c r="V18" s="90"/>
      <c r="W18" s="90"/>
      <c r="X18" s="90"/>
      <c r="Y18" s="90"/>
      <c r="Z18" s="90"/>
      <c r="AA18" s="90"/>
      <c r="AB18" s="90"/>
      <c r="AC18" s="90"/>
      <c r="AD18" s="90"/>
      <c r="AE18" s="90"/>
      <c r="AF18" s="90"/>
      <c r="AG18" s="90"/>
      <c r="AH18" s="90"/>
      <c r="AI18" s="90"/>
      <c r="AJ18" s="90"/>
      <c r="AK18" s="90"/>
      <c r="AL18" s="90"/>
      <c r="AM18" s="90"/>
      <c r="AN18" s="90"/>
      <c r="AO18" s="90"/>
      <c r="AP18" s="90"/>
      <c r="AQ18" s="90"/>
      <c r="AR18" s="90"/>
      <c r="AS18" s="90"/>
      <c r="AT18" s="186">
        <v>21</v>
      </c>
      <c r="AU18" s="186">
        <v>8</v>
      </c>
      <c r="AV18" s="187">
        <v>9000</v>
      </c>
      <c r="AW18" s="187">
        <v>10000</v>
      </c>
      <c r="AX18" s="90">
        <v>8</v>
      </c>
      <c r="AY18" s="90">
        <v>9</v>
      </c>
      <c r="AZ18" s="186" t="s">
        <v>16</v>
      </c>
      <c r="BA18" s="186">
        <v>3</v>
      </c>
      <c r="BB18" s="17"/>
      <c r="BC18" s="186" t="s">
        <v>15</v>
      </c>
      <c r="BD18" s="128" t="s">
        <v>15</v>
      </c>
      <c r="BE18" s="128" t="s">
        <v>15</v>
      </c>
      <c r="BF18" s="128" t="s">
        <v>16</v>
      </c>
      <c r="BG18" s="128" t="s">
        <v>15</v>
      </c>
      <c r="BH18" s="128" t="s">
        <v>16</v>
      </c>
      <c r="BI18" s="128" t="s">
        <v>15</v>
      </c>
      <c r="BJ18" s="128" t="s">
        <v>16</v>
      </c>
      <c r="BK18" s="128" t="s">
        <v>15</v>
      </c>
      <c r="BL18" s="128" t="s">
        <v>16</v>
      </c>
      <c r="BM18" s="128" t="s">
        <v>15</v>
      </c>
      <c r="BN18" s="128" t="s">
        <v>16</v>
      </c>
      <c r="BO18" s="128" t="s">
        <v>15</v>
      </c>
      <c r="BP18" s="128" t="s">
        <v>16</v>
      </c>
      <c r="BQ18" s="128" t="s">
        <v>16</v>
      </c>
      <c r="BR18" s="128" t="s">
        <v>16</v>
      </c>
      <c r="BS18" s="128" t="s">
        <v>16</v>
      </c>
      <c r="BT18" s="128" t="s">
        <v>16</v>
      </c>
      <c r="BU18" s="128" t="s">
        <v>15</v>
      </c>
      <c r="BV18" s="128" t="s">
        <v>16</v>
      </c>
      <c r="BW18" s="128" t="s">
        <v>15</v>
      </c>
      <c r="BX18" s="128" t="s">
        <v>16</v>
      </c>
      <c r="BY18" s="128" t="s">
        <v>16</v>
      </c>
      <c r="BZ18" s="128" t="s">
        <v>16</v>
      </c>
      <c r="CA18" s="128" t="s">
        <v>16</v>
      </c>
      <c r="CB18" s="128" t="s">
        <v>15</v>
      </c>
      <c r="CC18" s="128" t="s">
        <v>16</v>
      </c>
      <c r="CD18" s="128" t="s">
        <v>15</v>
      </c>
      <c r="CE18" s="128" t="s">
        <v>15</v>
      </c>
      <c r="CF18" s="128" t="s">
        <v>15</v>
      </c>
      <c r="CG18" s="128" t="s">
        <v>16</v>
      </c>
      <c r="CH18" s="128" t="s">
        <v>15</v>
      </c>
      <c r="CI18" s="128" t="s">
        <v>16</v>
      </c>
      <c r="CJ18" s="128" t="s">
        <v>16</v>
      </c>
      <c r="CK18" s="128" t="s">
        <v>16</v>
      </c>
      <c r="CL18" s="128" t="s">
        <v>16</v>
      </c>
      <c r="CM18" s="128" t="s">
        <v>16</v>
      </c>
      <c r="CN18" s="128" t="s">
        <v>16</v>
      </c>
      <c r="CO18" s="128" t="s">
        <v>16</v>
      </c>
      <c r="CP18" s="128" t="s">
        <v>16</v>
      </c>
      <c r="CQ18" s="128" t="s">
        <v>15</v>
      </c>
      <c r="CR18" s="128" t="s">
        <v>15</v>
      </c>
      <c r="CS18" s="128" t="s">
        <v>16</v>
      </c>
      <c r="CT18" s="128" t="s">
        <v>16</v>
      </c>
      <c r="CU18" s="128" t="s">
        <v>15</v>
      </c>
      <c r="CV18" s="128" t="s">
        <v>16</v>
      </c>
      <c r="CW18" s="128" t="s">
        <v>15</v>
      </c>
      <c r="CX18" s="128" t="s">
        <v>15</v>
      </c>
      <c r="CY18" s="128" t="s">
        <v>15</v>
      </c>
      <c r="CZ18" s="128" t="s">
        <v>15</v>
      </c>
      <c r="DA18" s="128" t="s">
        <v>16</v>
      </c>
      <c r="DB18" s="128" t="s">
        <v>15</v>
      </c>
      <c r="DC18" s="128" t="s">
        <v>15</v>
      </c>
      <c r="DD18" s="128" t="s">
        <v>16</v>
      </c>
      <c r="DE18" s="128" t="s">
        <v>16</v>
      </c>
      <c r="DF18" s="128" t="s">
        <v>15</v>
      </c>
      <c r="DG18" s="128" t="s">
        <v>15</v>
      </c>
      <c r="DH18" s="128" t="s">
        <v>15</v>
      </c>
      <c r="DI18" s="128" t="s">
        <v>15</v>
      </c>
      <c r="DJ18" s="128" t="s">
        <v>15</v>
      </c>
      <c r="DK18" s="128" t="s">
        <v>16</v>
      </c>
      <c r="DL18" s="128" t="s">
        <v>16</v>
      </c>
      <c r="DM18" s="17" t="s">
        <v>560</v>
      </c>
      <c r="DN18" s="17" t="s">
        <v>80</v>
      </c>
      <c r="DO18" s="17" t="s">
        <v>20</v>
      </c>
      <c r="DP18" s="185">
        <v>0.1</v>
      </c>
      <c r="DQ18" s="184">
        <v>1700000</v>
      </c>
      <c r="DR18" s="184">
        <v>1400000</v>
      </c>
      <c r="DS18" s="17">
        <v>3</v>
      </c>
      <c r="DT18" s="184">
        <v>3000</v>
      </c>
      <c r="DU18" s="184"/>
      <c r="DV18" s="184"/>
      <c r="DW18" s="184">
        <v>7500</v>
      </c>
      <c r="DX18" s="184">
        <v>10000</v>
      </c>
      <c r="DY18" s="184">
        <v>5500</v>
      </c>
      <c r="DZ18" s="184">
        <v>6500</v>
      </c>
      <c r="EA18" s="184">
        <v>4500</v>
      </c>
      <c r="EB18" s="184">
        <v>6500</v>
      </c>
      <c r="EC18" s="184">
        <v>1500</v>
      </c>
      <c r="ED18" s="184">
        <v>500</v>
      </c>
      <c r="EE18" s="184">
        <v>8500</v>
      </c>
      <c r="EF18" s="184">
        <v>4000</v>
      </c>
      <c r="EG18" s="184">
        <v>8000</v>
      </c>
      <c r="EH18" s="184">
        <v>3000</v>
      </c>
      <c r="EI18" s="184">
        <v>8000</v>
      </c>
      <c r="EJ18" s="184">
        <v>6000</v>
      </c>
      <c r="EK18" s="184">
        <v>5000</v>
      </c>
      <c r="EL18" s="184">
        <v>1500</v>
      </c>
      <c r="EM18" s="184">
        <v>3000</v>
      </c>
      <c r="EN18" s="184">
        <v>5000</v>
      </c>
      <c r="EO18" s="184">
        <v>7500</v>
      </c>
      <c r="EP18" s="184">
        <v>7500</v>
      </c>
      <c r="EQ18" s="184">
        <v>8500</v>
      </c>
      <c r="ER18" s="184">
        <v>8500</v>
      </c>
      <c r="ES18" s="48" t="s">
        <v>15</v>
      </c>
      <c r="ET18" s="90">
        <v>2</v>
      </c>
      <c r="EU18" s="48" t="s">
        <v>16</v>
      </c>
      <c r="EV18" s="90" t="s">
        <v>15</v>
      </c>
      <c r="EW18" s="90" t="s">
        <v>15</v>
      </c>
      <c r="EX18" s="90" t="s">
        <v>16</v>
      </c>
      <c r="EY18" s="90" t="s">
        <v>15</v>
      </c>
      <c r="EZ18" s="90" t="s">
        <v>16</v>
      </c>
      <c r="FA18" s="90" t="s">
        <v>16</v>
      </c>
      <c r="FB18" s="90" t="s">
        <v>15</v>
      </c>
      <c r="FC18" s="90">
        <v>2047</v>
      </c>
      <c r="FD18" s="90">
        <v>1922</v>
      </c>
      <c r="FE18" s="90">
        <v>1269</v>
      </c>
      <c r="FF18" s="90">
        <v>611</v>
      </c>
      <c r="FG18" s="90">
        <v>1149</v>
      </c>
      <c r="FH18" s="90">
        <v>500</v>
      </c>
      <c r="FI18" s="90">
        <v>1040</v>
      </c>
      <c r="FJ18" s="90">
        <v>2004</v>
      </c>
      <c r="FK18" s="90">
        <v>1362</v>
      </c>
      <c r="FL18" s="90">
        <v>391</v>
      </c>
      <c r="FM18" s="90" t="s">
        <v>15</v>
      </c>
      <c r="FN18" s="90" t="s">
        <v>15</v>
      </c>
      <c r="FO18" s="90" t="s">
        <v>16</v>
      </c>
      <c r="FP18" s="90" t="s">
        <v>16</v>
      </c>
      <c r="FQ18" s="90" t="s">
        <v>15</v>
      </c>
      <c r="FR18" s="90" t="s">
        <v>15</v>
      </c>
      <c r="FS18" s="90">
        <v>280</v>
      </c>
      <c r="FT18" s="17"/>
      <c r="FU18" s="17"/>
      <c r="FV18" s="17"/>
      <c r="FW18" s="48" t="s">
        <v>533</v>
      </c>
      <c r="FX18" s="48" t="s">
        <v>471</v>
      </c>
      <c r="FY18" s="48">
        <v>6</v>
      </c>
      <c r="FZ18" s="48">
        <v>95</v>
      </c>
      <c r="GA18" s="48" t="s">
        <v>15</v>
      </c>
      <c r="GB18" s="90" t="s">
        <v>15</v>
      </c>
      <c r="GC18" s="90" t="s">
        <v>15</v>
      </c>
      <c r="GD18" s="90" t="s">
        <v>15</v>
      </c>
      <c r="GE18" s="90" t="s">
        <v>16</v>
      </c>
      <c r="GF18" s="90" t="s">
        <v>15</v>
      </c>
      <c r="GG18" s="90" t="s">
        <v>16</v>
      </c>
      <c r="GJ18" s="57" t="s">
        <v>423</v>
      </c>
      <c r="GK18" s="57">
        <v>2</v>
      </c>
    </row>
    <row r="19" spans="1:193" x14ac:dyDescent="0.25">
      <c r="A19" s="17" t="s">
        <v>559</v>
      </c>
      <c r="B19" s="128" t="s">
        <v>470</v>
      </c>
      <c r="C19" s="188">
        <v>1384676.36363636</v>
      </c>
      <c r="D19" s="188">
        <v>99999999</v>
      </c>
      <c r="E19" s="90" t="s">
        <v>532</v>
      </c>
      <c r="F19" s="90">
        <v>18</v>
      </c>
      <c r="G19" s="90">
        <v>65</v>
      </c>
      <c r="H19" s="90" t="s">
        <v>15</v>
      </c>
      <c r="I19" s="90" t="s">
        <v>15</v>
      </c>
      <c r="J19" s="90" t="s">
        <v>15</v>
      </c>
      <c r="K19" s="90"/>
      <c r="L19" s="90"/>
      <c r="M19" s="90"/>
      <c r="N19" s="90"/>
      <c r="O19" s="90"/>
      <c r="P19" s="90"/>
      <c r="Q19" s="90"/>
      <c r="R19" s="90"/>
      <c r="S19" s="90"/>
      <c r="T19" s="90"/>
      <c r="U19" s="90"/>
      <c r="V19" s="90"/>
      <c r="W19" s="90"/>
      <c r="X19" s="90"/>
      <c r="Y19" s="90"/>
      <c r="Z19" s="90"/>
      <c r="AA19" s="90"/>
      <c r="AB19" s="90"/>
      <c r="AC19" s="90"/>
      <c r="AD19" s="90"/>
      <c r="AE19" s="90"/>
      <c r="AF19" s="90"/>
      <c r="AG19" s="90"/>
      <c r="AH19" s="90"/>
      <c r="AI19" s="90"/>
      <c r="AJ19" s="90"/>
      <c r="AK19" s="90"/>
      <c r="AL19" s="90"/>
      <c r="AM19" s="90"/>
      <c r="AN19" s="90"/>
      <c r="AO19" s="90"/>
      <c r="AP19" s="90"/>
      <c r="AQ19" s="90"/>
      <c r="AR19" s="90"/>
      <c r="AS19" s="90"/>
      <c r="AT19" s="186">
        <v>4</v>
      </c>
      <c r="AU19" s="186">
        <v>6</v>
      </c>
      <c r="AV19" s="187">
        <v>10000</v>
      </c>
      <c r="AW19" s="187">
        <v>15000</v>
      </c>
      <c r="AX19" s="90">
        <v>1</v>
      </c>
      <c r="AY19" s="90">
        <v>14</v>
      </c>
      <c r="AZ19" s="186" t="s">
        <v>15</v>
      </c>
      <c r="BA19" s="186">
        <v>1</v>
      </c>
      <c r="BB19" s="17"/>
      <c r="BC19" s="186" t="s">
        <v>15</v>
      </c>
      <c r="BD19" s="128" t="s">
        <v>15</v>
      </c>
      <c r="BE19" s="128" t="s">
        <v>15</v>
      </c>
      <c r="BF19" s="128" t="s">
        <v>15</v>
      </c>
      <c r="BG19" s="128" t="s">
        <v>15</v>
      </c>
      <c r="BH19" s="128" t="s">
        <v>16</v>
      </c>
      <c r="BI19" s="128" t="s">
        <v>15</v>
      </c>
      <c r="BJ19" s="128" t="s">
        <v>16</v>
      </c>
      <c r="BK19" s="128" t="s">
        <v>15</v>
      </c>
      <c r="BL19" s="128" t="s">
        <v>16</v>
      </c>
      <c r="BM19" s="128" t="s">
        <v>15</v>
      </c>
      <c r="BN19" s="128" t="s">
        <v>16</v>
      </c>
      <c r="BO19" s="128" t="s">
        <v>15</v>
      </c>
      <c r="BP19" s="128" t="s">
        <v>16</v>
      </c>
      <c r="BQ19" s="128" t="s">
        <v>16</v>
      </c>
      <c r="BR19" s="128" t="s">
        <v>15</v>
      </c>
      <c r="BS19" s="128" t="s">
        <v>15</v>
      </c>
      <c r="BT19" s="128" t="s">
        <v>15</v>
      </c>
      <c r="BU19" s="128" t="s">
        <v>16</v>
      </c>
      <c r="BV19" s="128" t="s">
        <v>15</v>
      </c>
      <c r="BW19" s="128" t="s">
        <v>15</v>
      </c>
      <c r="BX19" s="128" t="s">
        <v>16</v>
      </c>
      <c r="BY19" s="128" t="s">
        <v>16</v>
      </c>
      <c r="BZ19" s="128" t="s">
        <v>15</v>
      </c>
      <c r="CA19" s="128" t="s">
        <v>16</v>
      </c>
      <c r="CB19" s="128" t="s">
        <v>16</v>
      </c>
      <c r="CC19" s="128" t="s">
        <v>16</v>
      </c>
      <c r="CD19" s="128" t="s">
        <v>15</v>
      </c>
      <c r="CE19" s="128" t="s">
        <v>15</v>
      </c>
      <c r="CF19" s="128" t="s">
        <v>15</v>
      </c>
      <c r="CG19" s="128" t="s">
        <v>16</v>
      </c>
      <c r="CH19" s="128" t="s">
        <v>15</v>
      </c>
      <c r="CI19" s="128" t="s">
        <v>15</v>
      </c>
      <c r="CJ19" s="128" t="s">
        <v>15</v>
      </c>
      <c r="CK19" s="128" t="s">
        <v>16</v>
      </c>
      <c r="CL19" s="128" t="s">
        <v>16</v>
      </c>
      <c r="CM19" s="128" t="s">
        <v>16</v>
      </c>
      <c r="CN19" s="128" t="s">
        <v>16</v>
      </c>
      <c r="CO19" s="128" t="s">
        <v>16</v>
      </c>
      <c r="CP19" s="128" t="s">
        <v>16</v>
      </c>
      <c r="CQ19" s="128" t="s">
        <v>15</v>
      </c>
      <c r="CR19" s="128" t="s">
        <v>15</v>
      </c>
      <c r="CS19" s="128" t="s">
        <v>16</v>
      </c>
      <c r="CT19" s="128" t="s">
        <v>16</v>
      </c>
      <c r="CU19" s="128" t="s">
        <v>15</v>
      </c>
      <c r="CV19" s="128" t="s">
        <v>16</v>
      </c>
      <c r="CW19" s="128" t="s">
        <v>15</v>
      </c>
      <c r="CX19" s="128" t="s">
        <v>15</v>
      </c>
      <c r="CY19" s="128" t="s">
        <v>15</v>
      </c>
      <c r="CZ19" s="128" t="s">
        <v>15</v>
      </c>
      <c r="DA19" s="128" t="s">
        <v>16</v>
      </c>
      <c r="DB19" s="128" t="s">
        <v>15</v>
      </c>
      <c r="DC19" s="128" t="s">
        <v>15</v>
      </c>
      <c r="DD19" s="128" t="s">
        <v>16</v>
      </c>
      <c r="DE19" s="128" t="s">
        <v>15</v>
      </c>
      <c r="DF19" s="128" t="s">
        <v>15</v>
      </c>
      <c r="DG19" s="128" t="s">
        <v>15</v>
      </c>
      <c r="DH19" s="128" t="s">
        <v>15</v>
      </c>
      <c r="DI19" s="128" t="s">
        <v>16</v>
      </c>
      <c r="DJ19" s="128" t="s">
        <v>15</v>
      </c>
      <c r="DK19" s="128" t="s">
        <v>16</v>
      </c>
      <c r="DL19" s="128" t="s">
        <v>16</v>
      </c>
      <c r="DM19" s="17" t="s">
        <v>559</v>
      </c>
      <c r="DN19" s="17" t="s">
        <v>81</v>
      </c>
      <c r="DO19" s="17" t="s">
        <v>20</v>
      </c>
      <c r="DP19" s="185">
        <v>0.14000000000000001</v>
      </c>
      <c r="DQ19" s="184">
        <v>2400000</v>
      </c>
      <c r="DR19" s="184">
        <v>1400000</v>
      </c>
      <c r="DS19" s="17">
        <v>2</v>
      </c>
      <c r="DT19" s="184">
        <v>1500</v>
      </c>
      <c r="DU19" s="184"/>
      <c r="DV19" s="184"/>
      <c r="DW19" s="184">
        <v>10000</v>
      </c>
      <c r="DX19" s="184">
        <v>8500</v>
      </c>
      <c r="DY19" s="184">
        <v>1000</v>
      </c>
      <c r="DZ19" s="184">
        <v>2000</v>
      </c>
      <c r="EA19" s="184">
        <v>7000</v>
      </c>
      <c r="EB19" s="184">
        <v>10000</v>
      </c>
      <c r="EC19" s="184">
        <v>4000</v>
      </c>
      <c r="ED19" s="184">
        <v>500</v>
      </c>
      <c r="EE19" s="184">
        <v>6500</v>
      </c>
      <c r="EF19" s="184">
        <v>1500</v>
      </c>
      <c r="EG19" s="184">
        <v>10000</v>
      </c>
      <c r="EH19" s="184">
        <v>6500</v>
      </c>
      <c r="EI19" s="184">
        <v>5000</v>
      </c>
      <c r="EJ19" s="184">
        <v>10000</v>
      </c>
      <c r="EK19" s="184">
        <v>8500</v>
      </c>
      <c r="EL19" s="184">
        <v>9000</v>
      </c>
      <c r="EM19" s="184">
        <v>9000</v>
      </c>
      <c r="EN19" s="184">
        <v>6000</v>
      </c>
      <c r="EO19" s="184">
        <v>9000</v>
      </c>
      <c r="EP19" s="184">
        <v>1500</v>
      </c>
      <c r="EQ19" s="184">
        <v>7500</v>
      </c>
      <c r="ER19" s="184">
        <v>8000</v>
      </c>
      <c r="ES19" s="48" t="s">
        <v>16</v>
      </c>
      <c r="ET19" s="90">
        <v>2</v>
      </c>
      <c r="EU19" s="48" t="s">
        <v>15</v>
      </c>
      <c r="EV19" s="90" t="s">
        <v>15</v>
      </c>
      <c r="EW19" s="90" t="s">
        <v>16</v>
      </c>
      <c r="EX19" s="90" t="s">
        <v>15</v>
      </c>
      <c r="EY19" s="90" t="s">
        <v>15</v>
      </c>
      <c r="EZ19" s="90" t="s">
        <v>16</v>
      </c>
      <c r="FA19" s="90" t="s">
        <v>16</v>
      </c>
      <c r="FB19" s="90" t="s">
        <v>15</v>
      </c>
      <c r="FC19" s="90">
        <v>1343</v>
      </c>
      <c r="FD19" s="90">
        <v>1354</v>
      </c>
      <c r="FE19" s="90">
        <v>1191</v>
      </c>
      <c r="FF19" s="90">
        <v>1001</v>
      </c>
      <c r="FG19" s="90">
        <v>2188</v>
      </c>
      <c r="FH19" s="90">
        <v>1065</v>
      </c>
      <c r="FI19" s="90">
        <v>1786</v>
      </c>
      <c r="FJ19" s="90">
        <v>1519</v>
      </c>
      <c r="FK19" s="90">
        <v>1937</v>
      </c>
      <c r="FL19" s="90">
        <v>1235</v>
      </c>
      <c r="FM19" s="90" t="s">
        <v>16</v>
      </c>
      <c r="FN19" s="90" t="s">
        <v>16</v>
      </c>
      <c r="FO19" s="90" t="s">
        <v>15</v>
      </c>
      <c r="FP19" s="90" t="s">
        <v>16</v>
      </c>
      <c r="FQ19" s="90" t="s">
        <v>16</v>
      </c>
      <c r="FR19" s="90" t="s">
        <v>16</v>
      </c>
      <c r="FS19" s="90">
        <v>0</v>
      </c>
      <c r="FT19" s="17"/>
      <c r="FU19" s="17"/>
      <c r="FV19" s="17"/>
      <c r="FW19" s="48" t="s">
        <v>537</v>
      </c>
      <c r="FX19" s="48" t="s">
        <v>531</v>
      </c>
      <c r="FY19" s="48">
        <v>4</v>
      </c>
      <c r="FZ19" s="48">
        <v>57</v>
      </c>
      <c r="GA19" s="48" t="s">
        <v>16</v>
      </c>
      <c r="GB19" s="90" t="s">
        <v>16</v>
      </c>
      <c r="GC19" s="90" t="s">
        <v>16</v>
      </c>
      <c r="GD19" s="90" t="s">
        <v>15</v>
      </c>
      <c r="GE19" s="90" t="s">
        <v>15</v>
      </c>
      <c r="GF19" s="90" t="s">
        <v>16</v>
      </c>
      <c r="GG19" s="90" t="s">
        <v>15</v>
      </c>
      <c r="GJ19" s="57" t="s">
        <v>422</v>
      </c>
      <c r="GK19" s="57">
        <v>2</v>
      </c>
    </row>
    <row r="20" spans="1:193" s="189" customFormat="1" x14ac:dyDescent="0.25">
      <c r="A20" s="189" t="s">
        <v>85</v>
      </c>
      <c r="B20" s="194" t="s">
        <v>471</v>
      </c>
      <c r="C20" s="197">
        <v>1324070.3030303</v>
      </c>
      <c r="D20" s="197">
        <v>99999999</v>
      </c>
      <c r="E20" s="190" t="s">
        <v>532</v>
      </c>
      <c r="F20" s="190">
        <v>18</v>
      </c>
      <c r="G20" s="190">
        <v>65</v>
      </c>
      <c r="H20" s="190" t="s">
        <v>15</v>
      </c>
      <c r="I20" s="190" t="s">
        <v>15</v>
      </c>
      <c r="J20" s="190" t="s">
        <v>15</v>
      </c>
      <c r="K20" s="190"/>
      <c r="L20" s="190"/>
      <c r="M20" s="190"/>
      <c r="N20" s="190"/>
      <c r="O20" s="190"/>
      <c r="P20" s="190"/>
      <c r="Q20" s="190"/>
      <c r="R20" s="190"/>
      <c r="S20" s="190"/>
      <c r="T20" s="190"/>
      <c r="U20" s="190"/>
      <c r="V20" s="190"/>
      <c r="W20" s="190"/>
      <c r="X20" s="190"/>
      <c r="Y20" s="190"/>
      <c r="Z20" s="190"/>
      <c r="AA20" s="190"/>
      <c r="AB20" s="190"/>
      <c r="AC20" s="190"/>
      <c r="AD20" s="190"/>
      <c r="AE20" s="190"/>
      <c r="AF20" s="190"/>
      <c r="AG20" s="190"/>
      <c r="AH20" s="190"/>
      <c r="AI20" s="190"/>
      <c r="AJ20" s="190"/>
      <c r="AK20" s="190"/>
      <c r="AL20" s="190"/>
      <c r="AM20" s="190"/>
      <c r="AN20" s="190"/>
      <c r="AO20" s="190"/>
      <c r="AP20" s="190"/>
      <c r="AQ20" s="190"/>
      <c r="AR20" s="190"/>
      <c r="AS20" s="190"/>
      <c r="AT20" s="195">
        <v>22</v>
      </c>
      <c r="AU20" s="195">
        <v>10</v>
      </c>
      <c r="AV20" s="196">
        <v>15000</v>
      </c>
      <c r="AW20" s="196">
        <v>15000</v>
      </c>
      <c r="AX20" s="190">
        <v>12</v>
      </c>
      <c r="AY20" s="190">
        <v>1</v>
      </c>
      <c r="AZ20" s="195" t="s">
        <v>15</v>
      </c>
      <c r="BA20" s="195">
        <v>2</v>
      </c>
      <c r="BC20" s="195" t="s">
        <v>16</v>
      </c>
      <c r="BD20" s="194" t="s">
        <v>16</v>
      </c>
      <c r="BE20" s="194" t="s">
        <v>15</v>
      </c>
      <c r="BF20" s="194" t="s">
        <v>15</v>
      </c>
      <c r="BG20" s="194" t="s">
        <v>15</v>
      </c>
      <c r="BH20" s="194" t="s">
        <v>16</v>
      </c>
      <c r="BI20" s="194" t="s">
        <v>15</v>
      </c>
      <c r="BJ20" s="194" t="s">
        <v>16</v>
      </c>
      <c r="BK20" s="194" t="s">
        <v>15</v>
      </c>
      <c r="BL20" s="194" t="s">
        <v>16</v>
      </c>
      <c r="BM20" s="194" t="s">
        <v>16</v>
      </c>
      <c r="BN20" s="194" t="s">
        <v>16</v>
      </c>
      <c r="BO20" s="194" t="s">
        <v>15</v>
      </c>
      <c r="BP20" s="194" t="s">
        <v>15</v>
      </c>
      <c r="BQ20" s="194" t="s">
        <v>16</v>
      </c>
      <c r="BR20" s="194" t="s">
        <v>16</v>
      </c>
      <c r="BS20" s="194" t="s">
        <v>16</v>
      </c>
      <c r="BT20" s="194" t="s">
        <v>16</v>
      </c>
      <c r="BU20" s="194" t="s">
        <v>15</v>
      </c>
      <c r="BV20" s="194" t="s">
        <v>16</v>
      </c>
      <c r="BW20" s="194" t="s">
        <v>16</v>
      </c>
      <c r="BX20" s="194" t="s">
        <v>16</v>
      </c>
      <c r="BY20" s="194" t="s">
        <v>16</v>
      </c>
      <c r="BZ20" s="194" t="s">
        <v>16</v>
      </c>
      <c r="CA20" s="194" t="s">
        <v>15</v>
      </c>
      <c r="CB20" s="194" t="s">
        <v>15</v>
      </c>
      <c r="CC20" s="194" t="s">
        <v>15</v>
      </c>
      <c r="CD20" s="194" t="s">
        <v>15</v>
      </c>
      <c r="CE20" s="194" t="s">
        <v>15</v>
      </c>
      <c r="CF20" s="194" t="s">
        <v>15</v>
      </c>
      <c r="CG20" s="194" t="s">
        <v>16</v>
      </c>
      <c r="CH20" s="194" t="s">
        <v>15</v>
      </c>
      <c r="CI20" s="194" t="s">
        <v>15</v>
      </c>
      <c r="CJ20" s="194" t="s">
        <v>16</v>
      </c>
      <c r="CK20" s="194" t="s">
        <v>16</v>
      </c>
      <c r="CL20" s="194" t="s">
        <v>15</v>
      </c>
      <c r="CM20" s="194" t="s">
        <v>16</v>
      </c>
      <c r="CN20" s="194" t="s">
        <v>16</v>
      </c>
      <c r="CO20" s="194" t="s">
        <v>16</v>
      </c>
      <c r="CP20" s="194" t="s">
        <v>16</v>
      </c>
      <c r="CQ20" s="194" t="s">
        <v>15</v>
      </c>
      <c r="CR20" s="194" t="s">
        <v>15</v>
      </c>
      <c r="CS20" s="194" t="s">
        <v>16</v>
      </c>
      <c r="CT20" s="194" t="s">
        <v>16</v>
      </c>
      <c r="CU20" s="194" t="s">
        <v>15</v>
      </c>
      <c r="CV20" s="194" t="s">
        <v>16</v>
      </c>
      <c r="CW20" s="194" t="s">
        <v>16</v>
      </c>
      <c r="CX20" s="194" t="s">
        <v>15</v>
      </c>
      <c r="CY20" s="194" t="s">
        <v>15</v>
      </c>
      <c r="CZ20" s="194" t="s">
        <v>15</v>
      </c>
      <c r="DA20" s="194" t="s">
        <v>16</v>
      </c>
      <c r="DB20" s="194" t="s">
        <v>16</v>
      </c>
      <c r="DC20" s="194" t="s">
        <v>15</v>
      </c>
      <c r="DD20" s="194" t="s">
        <v>15</v>
      </c>
      <c r="DE20" s="194" t="s">
        <v>15</v>
      </c>
      <c r="DF20" s="194" t="s">
        <v>15</v>
      </c>
      <c r="DG20" s="194" t="s">
        <v>15</v>
      </c>
      <c r="DH20" s="194" t="s">
        <v>15</v>
      </c>
      <c r="DI20" s="194" t="s">
        <v>15</v>
      </c>
      <c r="DJ20" s="194" t="s">
        <v>15</v>
      </c>
      <c r="DK20" s="194" t="s">
        <v>15</v>
      </c>
      <c r="DL20" s="194" t="s">
        <v>15</v>
      </c>
      <c r="DM20" s="189" t="s">
        <v>85</v>
      </c>
      <c r="DN20" s="189" t="s">
        <v>81</v>
      </c>
      <c r="DO20" s="189" t="s">
        <v>20</v>
      </c>
      <c r="DP20" s="193">
        <v>0.15</v>
      </c>
      <c r="DQ20" s="192">
        <v>1800000</v>
      </c>
      <c r="DR20" s="192">
        <v>1400000</v>
      </c>
      <c r="DS20" s="189">
        <v>1</v>
      </c>
      <c r="DT20" s="192">
        <v>9500</v>
      </c>
      <c r="DU20" s="192"/>
      <c r="DV20" s="192"/>
      <c r="DW20" s="192">
        <v>6000</v>
      </c>
      <c r="DX20" s="192">
        <v>6000</v>
      </c>
      <c r="DY20" s="192">
        <v>0</v>
      </c>
      <c r="DZ20" s="192">
        <v>1000</v>
      </c>
      <c r="EA20" s="192">
        <v>3500</v>
      </c>
      <c r="EB20" s="192">
        <v>8500</v>
      </c>
      <c r="EC20" s="192">
        <v>1500</v>
      </c>
      <c r="ED20" s="192">
        <v>5500</v>
      </c>
      <c r="EE20" s="192">
        <v>500</v>
      </c>
      <c r="EF20" s="192">
        <v>4500</v>
      </c>
      <c r="EG20" s="192">
        <v>7000</v>
      </c>
      <c r="EH20" s="192">
        <v>1500</v>
      </c>
      <c r="EI20" s="192">
        <v>0</v>
      </c>
      <c r="EJ20" s="192">
        <v>5500</v>
      </c>
      <c r="EK20" s="192">
        <v>5000</v>
      </c>
      <c r="EL20" s="192">
        <v>500</v>
      </c>
      <c r="EM20" s="192">
        <v>4500</v>
      </c>
      <c r="EN20" s="192">
        <v>4500</v>
      </c>
      <c r="EO20" s="192">
        <v>2000</v>
      </c>
      <c r="EP20" s="192">
        <v>9000</v>
      </c>
      <c r="EQ20" s="192">
        <v>7500</v>
      </c>
      <c r="ER20" s="192">
        <v>3000</v>
      </c>
      <c r="ES20" s="191" t="s">
        <v>15</v>
      </c>
      <c r="ET20" s="190">
        <v>1</v>
      </c>
      <c r="EU20" s="191" t="s">
        <v>16</v>
      </c>
      <c r="EV20" s="190" t="s">
        <v>15</v>
      </c>
      <c r="EW20" s="190" t="s">
        <v>16</v>
      </c>
      <c r="EX20" s="190" t="s">
        <v>16</v>
      </c>
      <c r="EY20" s="190" t="s">
        <v>15</v>
      </c>
      <c r="EZ20" s="190" t="s">
        <v>16</v>
      </c>
      <c r="FA20" s="190" t="s">
        <v>16</v>
      </c>
      <c r="FB20" s="190" t="s">
        <v>16</v>
      </c>
      <c r="FC20" s="190">
        <v>1937</v>
      </c>
      <c r="FD20" s="190">
        <v>1916</v>
      </c>
      <c r="FE20" s="190">
        <v>1924</v>
      </c>
      <c r="FF20" s="190">
        <v>586</v>
      </c>
      <c r="FG20" s="190">
        <v>234</v>
      </c>
      <c r="FH20" s="190">
        <v>793</v>
      </c>
      <c r="FI20" s="190">
        <v>504</v>
      </c>
      <c r="FJ20" s="190">
        <v>2287</v>
      </c>
      <c r="FK20" s="190">
        <v>2066</v>
      </c>
      <c r="FL20" s="190">
        <v>2123</v>
      </c>
      <c r="FM20" s="190" t="s">
        <v>16</v>
      </c>
      <c r="FN20" s="190" t="s">
        <v>15</v>
      </c>
      <c r="FO20" s="190" t="s">
        <v>15</v>
      </c>
      <c r="FP20" s="190" t="s">
        <v>16</v>
      </c>
      <c r="FQ20" s="190" t="s">
        <v>15</v>
      </c>
      <c r="FR20" s="190" t="s">
        <v>15</v>
      </c>
      <c r="FS20" s="190">
        <v>103</v>
      </c>
      <c r="FW20" s="191" t="s">
        <v>533</v>
      </c>
      <c r="FX20" s="191" t="s">
        <v>471</v>
      </c>
      <c r="FY20" s="191">
        <v>6</v>
      </c>
      <c r="FZ20" s="191">
        <v>158</v>
      </c>
      <c r="GA20" s="191" t="s">
        <v>15</v>
      </c>
      <c r="GB20" s="190" t="s">
        <v>15</v>
      </c>
      <c r="GC20" s="190" t="s">
        <v>16</v>
      </c>
      <c r="GD20" s="190" t="s">
        <v>16</v>
      </c>
      <c r="GE20" s="190" t="s">
        <v>16</v>
      </c>
      <c r="GF20" s="190" t="s">
        <v>16</v>
      </c>
      <c r="GG20" s="190" t="s">
        <v>15</v>
      </c>
      <c r="GJ20" s="190" t="s">
        <v>421</v>
      </c>
      <c r="GK20" s="190">
        <v>1</v>
      </c>
    </row>
    <row r="21" spans="1:193" x14ac:dyDescent="0.25">
      <c r="A21" s="17" t="s">
        <v>558</v>
      </c>
      <c r="B21" s="128" t="s">
        <v>470</v>
      </c>
      <c r="C21" s="188">
        <v>1263464.2424242401</v>
      </c>
      <c r="D21" s="188">
        <v>99999999</v>
      </c>
      <c r="E21" s="90" t="s">
        <v>532</v>
      </c>
      <c r="F21" s="90">
        <v>30</v>
      </c>
      <c r="G21" s="90">
        <v>65</v>
      </c>
      <c r="H21" s="90" t="s">
        <v>15</v>
      </c>
      <c r="I21" s="90" t="s">
        <v>15</v>
      </c>
      <c r="J21" s="90" t="s">
        <v>15</v>
      </c>
      <c r="K21" s="90"/>
      <c r="L21" s="90"/>
      <c r="M21" s="90"/>
      <c r="N21" s="90"/>
      <c r="O21" s="90"/>
      <c r="P21" s="90"/>
      <c r="Q21" s="90"/>
      <c r="R21" s="90"/>
      <c r="S21" s="90"/>
      <c r="T21" s="90"/>
      <c r="U21" s="90"/>
      <c r="V21" s="90"/>
      <c r="W21" s="90"/>
      <c r="X21" s="90"/>
      <c r="Y21" s="90"/>
      <c r="Z21" s="90"/>
      <c r="AA21" s="90"/>
      <c r="AB21" s="90"/>
      <c r="AC21" s="90"/>
      <c r="AD21" s="90"/>
      <c r="AE21" s="90"/>
      <c r="AF21" s="90"/>
      <c r="AG21" s="90"/>
      <c r="AH21" s="90"/>
      <c r="AI21" s="90"/>
      <c r="AJ21" s="90"/>
      <c r="AK21" s="90"/>
      <c r="AL21" s="90"/>
      <c r="AM21" s="90"/>
      <c r="AN21" s="90"/>
      <c r="AO21" s="90"/>
      <c r="AP21" s="90"/>
      <c r="AQ21" s="90"/>
      <c r="AR21" s="90"/>
      <c r="AS21" s="90"/>
      <c r="AT21" s="186">
        <v>23</v>
      </c>
      <c r="AU21" s="186">
        <v>12</v>
      </c>
      <c r="AV21" s="187">
        <v>8000</v>
      </c>
      <c r="AW21" s="187">
        <v>12000</v>
      </c>
      <c r="AX21" s="90">
        <v>5</v>
      </c>
      <c r="AY21" s="90">
        <v>2</v>
      </c>
      <c r="AZ21" s="186" t="s">
        <v>15</v>
      </c>
      <c r="BA21" s="186">
        <v>2</v>
      </c>
      <c r="BB21" s="17"/>
      <c r="BC21" s="186" t="s">
        <v>15</v>
      </c>
      <c r="BD21" s="128" t="s">
        <v>15</v>
      </c>
      <c r="BE21" s="128" t="s">
        <v>15</v>
      </c>
      <c r="BF21" s="128" t="s">
        <v>15</v>
      </c>
      <c r="BG21" s="128" t="s">
        <v>15</v>
      </c>
      <c r="BH21" s="128" t="s">
        <v>16</v>
      </c>
      <c r="BI21" s="128" t="s">
        <v>15</v>
      </c>
      <c r="BJ21" s="128" t="s">
        <v>15</v>
      </c>
      <c r="BK21" s="128" t="s">
        <v>15</v>
      </c>
      <c r="BL21" s="128" t="s">
        <v>15</v>
      </c>
      <c r="BM21" s="128" t="s">
        <v>15</v>
      </c>
      <c r="BN21" s="128" t="s">
        <v>16</v>
      </c>
      <c r="BO21" s="128" t="s">
        <v>16</v>
      </c>
      <c r="BP21" s="128" t="s">
        <v>16</v>
      </c>
      <c r="BQ21" s="128" t="s">
        <v>15</v>
      </c>
      <c r="BR21" s="128" t="s">
        <v>16</v>
      </c>
      <c r="BS21" s="128" t="s">
        <v>15</v>
      </c>
      <c r="BT21" s="128" t="s">
        <v>15</v>
      </c>
      <c r="BU21" s="128" t="s">
        <v>15</v>
      </c>
      <c r="BV21" s="128" t="s">
        <v>16</v>
      </c>
      <c r="BW21" s="128" t="s">
        <v>15</v>
      </c>
      <c r="BX21" s="128" t="s">
        <v>16</v>
      </c>
      <c r="BY21" s="128" t="s">
        <v>16</v>
      </c>
      <c r="BZ21" s="128" t="s">
        <v>15</v>
      </c>
      <c r="CA21" s="128" t="s">
        <v>16</v>
      </c>
      <c r="CB21" s="128" t="s">
        <v>16</v>
      </c>
      <c r="CC21" s="128" t="s">
        <v>16</v>
      </c>
      <c r="CD21" s="128" t="s">
        <v>15</v>
      </c>
      <c r="CE21" s="128" t="s">
        <v>15</v>
      </c>
      <c r="CF21" s="128" t="s">
        <v>15</v>
      </c>
      <c r="CG21" s="128" t="s">
        <v>15</v>
      </c>
      <c r="CH21" s="128" t="s">
        <v>15</v>
      </c>
      <c r="CI21" s="128" t="s">
        <v>16</v>
      </c>
      <c r="CJ21" s="128" t="s">
        <v>15</v>
      </c>
      <c r="CK21" s="128" t="s">
        <v>16</v>
      </c>
      <c r="CL21" s="128" t="s">
        <v>16</v>
      </c>
      <c r="CM21" s="128" t="s">
        <v>16</v>
      </c>
      <c r="CN21" s="128" t="s">
        <v>16</v>
      </c>
      <c r="CO21" s="128" t="s">
        <v>16</v>
      </c>
      <c r="CP21" s="128" t="s">
        <v>16</v>
      </c>
      <c r="CQ21" s="128" t="s">
        <v>15</v>
      </c>
      <c r="CR21" s="128" t="s">
        <v>15</v>
      </c>
      <c r="CS21" s="128" t="s">
        <v>16</v>
      </c>
      <c r="CT21" s="128" t="s">
        <v>16</v>
      </c>
      <c r="CU21" s="128" t="s">
        <v>15</v>
      </c>
      <c r="CV21" s="128" t="s">
        <v>16</v>
      </c>
      <c r="CW21" s="128" t="s">
        <v>15</v>
      </c>
      <c r="CX21" s="128" t="s">
        <v>16</v>
      </c>
      <c r="CY21" s="128" t="s">
        <v>16</v>
      </c>
      <c r="CZ21" s="128" t="s">
        <v>16</v>
      </c>
      <c r="DA21" s="128" t="s">
        <v>16</v>
      </c>
      <c r="DB21" s="128" t="s">
        <v>15</v>
      </c>
      <c r="DC21" s="128" t="s">
        <v>16</v>
      </c>
      <c r="DD21" s="128" t="s">
        <v>15</v>
      </c>
      <c r="DE21" s="128" t="s">
        <v>16</v>
      </c>
      <c r="DF21" s="128" t="s">
        <v>15</v>
      </c>
      <c r="DG21" s="128" t="s">
        <v>15</v>
      </c>
      <c r="DH21" s="128" t="s">
        <v>15</v>
      </c>
      <c r="DI21" s="128" t="s">
        <v>15</v>
      </c>
      <c r="DJ21" s="128" t="s">
        <v>15</v>
      </c>
      <c r="DK21" s="128" t="s">
        <v>16</v>
      </c>
      <c r="DL21" s="128" t="s">
        <v>16</v>
      </c>
      <c r="DM21" s="17" t="s">
        <v>558</v>
      </c>
      <c r="DN21" s="17" t="s">
        <v>81</v>
      </c>
      <c r="DO21" s="17" t="s">
        <v>20</v>
      </c>
      <c r="DP21" s="185">
        <v>0.12</v>
      </c>
      <c r="DQ21" s="184">
        <v>2100000</v>
      </c>
      <c r="DR21" s="184">
        <v>1300000</v>
      </c>
      <c r="DS21" s="17">
        <v>3</v>
      </c>
      <c r="DT21" s="184">
        <v>5500</v>
      </c>
      <c r="DU21" s="184"/>
      <c r="DV21" s="184"/>
      <c r="DW21" s="184">
        <v>6000</v>
      </c>
      <c r="DX21" s="184">
        <v>3500</v>
      </c>
      <c r="DY21" s="184">
        <v>5500</v>
      </c>
      <c r="DZ21" s="184">
        <v>8500</v>
      </c>
      <c r="EA21" s="184">
        <v>4500</v>
      </c>
      <c r="EB21" s="184">
        <v>4500</v>
      </c>
      <c r="EC21" s="184">
        <v>9500</v>
      </c>
      <c r="ED21" s="184">
        <v>7500</v>
      </c>
      <c r="EE21" s="184">
        <v>2500</v>
      </c>
      <c r="EF21" s="184">
        <v>500</v>
      </c>
      <c r="EG21" s="184">
        <v>0</v>
      </c>
      <c r="EH21" s="184">
        <v>3500</v>
      </c>
      <c r="EI21" s="184">
        <v>5500</v>
      </c>
      <c r="EJ21" s="184">
        <v>7500</v>
      </c>
      <c r="EK21" s="184">
        <v>3500</v>
      </c>
      <c r="EL21" s="184">
        <v>3000</v>
      </c>
      <c r="EM21" s="184">
        <v>0</v>
      </c>
      <c r="EN21" s="184">
        <v>5000</v>
      </c>
      <c r="EO21" s="184">
        <v>8000</v>
      </c>
      <c r="EP21" s="184">
        <v>5500</v>
      </c>
      <c r="EQ21" s="184">
        <v>2000</v>
      </c>
      <c r="ER21" s="184">
        <v>0</v>
      </c>
      <c r="ES21" s="48" t="s">
        <v>16</v>
      </c>
      <c r="ET21" s="90">
        <v>6</v>
      </c>
      <c r="EU21" s="48" t="s">
        <v>15</v>
      </c>
      <c r="EV21" s="90" t="s">
        <v>16</v>
      </c>
      <c r="EW21" s="90" t="s">
        <v>15</v>
      </c>
      <c r="EX21" s="90" t="s">
        <v>15</v>
      </c>
      <c r="EY21" s="90" t="s">
        <v>15</v>
      </c>
      <c r="EZ21" s="90" t="s">
        <v>15</v>
      </c>
      <c r="FA21" s="90" t="s">
        <v>15</v>
      </c>
      <c r="FB21" s="90" t="s">
        <v>15</v>
      </c>
      <c r="FC21" s="90">
        <v>1236</v>
      </c>
      <c r="FD21" s="90">
        <v>1794</v>
      </c>
      <c r="FE21" s="90">
        <v>1628</v>
      </c>
      <c r="FF21" s="90">
        <v>330</v>
      </c>
      <c r="FG21" s="90">
        <v>741</v>
      </c>
      <c r="FH21" s="90">
        <v>847</v>
      </c>
      <c r="FI21" s="90">
        <v>211</v>
      </c>
      <c r="FJ21" s="90">
        <v>1340</v>
      </c>
      <c r="FK21" s="90">
        <v>1183</v>
      </c>
      <c r="FL21" s="90">
        <v>1507</v>
      </c>
      <c r="FM21" s="90" t="s">
        <v>15</v>
      </c>
      <c r="FN21" s="90" t="s">
        <v>15</v>
      </c>
      <c r="FO21" s="90" t="s">
        <v>15</v>
      </c>
      <c r="FP21" s="90" t="s">
        <v>16</v>
      </c>
      <c r="FQ21" s="90" t="s">
        <v>15</v>
      </c>
      <c r="FR21" s="90" t="s">
        <v>16</v>
      </c>
      <c r="FS21" s="90">
        <v>0</v>
      </c>
      <c r="FT21" s="17"/>
      <c r="FU21" s="17"/>
      <c r="FV21" s="17"/>
      <c r="FW21" s="48" t="s">
        <v>531</v>
      </c>
      <c r="FX21" s="48" t="s">
        <v>471</v>
      </c>
      <c r="FY21" s="48">
        <v>3</v>
      </c>
      <c r="FZ21" s="48">
        <v>87</v>
      </c>
      <c r="GA21" s="48" t="s">
        <v>15</v>
      </c>
      <c r="GB21" s="90" t="s">
        <v>15</v>
      </c>
      <c r="GC21" s="90" t="s">
        <v>16</v>
      </c>
      <c r="GD21" s="90" t="s">
        <v>16</v>
      </c>
      <c r="GE21" s="90" t="s">
        <v>16</v>
      </c>
      <c r="GF21" s="90" t="s">
        <v>15</v>
      </c>
      <c r="GG21" s="90" t="s">
        <v>15</v>
      </c>
      <c r="GJ21" s="57" t="s">
        <v>420</v>
      </c>
      <c r="GK21" s="57">
        <v>3</v>
      </c>
    </row>
    <row r="22" spans="1:193" x14ac:dyDescent="0.25">
      <c r="A22" s="17" t="s">
        <v>557</v>
      </c>
      <c r="B22" s="128" t="s">
        <v>470</v>
      </c>
      <c r="C22" s="188">
        <v>1202858.18181818</v>
      </c>
      <c r="D22" s="188">
        <v>99999999</v>
      </c>
      <c r="E22" s="90" t="s">
        <v>532</v>
      </c>
      <c r="F22" s="90">
        <v>18</v>
      </c>
      <c r="G22" s="90">
        <v>65</v>
      </c>
      <c r="H22" s="90" t="s">
        <v>15</v>
      </c>
      <c r="I22" s="90" t="s">
        <v>15</v>
      </c>
      <c r="J22" s="90" t="s">
        <v>15</v>
      </c>
      <c r="K22" s="90"/>
      <c r="L22" s="90"/>
      <c r="M22" s="90"/>
      <c r="N22" s="90"/>
      <c r="O22" s="90"/>
      <c r="P22" s="90"/>
      <c r="Q22" s="90"/>
      <c r="R22" s="90"/>
      <c r="S22" s="90"/>
      <c r="T22" s="90"/>
      <c r="U22" s="90"/>
      <c r="V22" s="90"/>
      <c r="W22" s="90"/>
      <c r="X22" s="90"/>
      <c r="Y22" s="90"/>
      <c r="Z22" s="90"/>
      <c r="AA22" s="90"/>
      <c r="AB22" s="90"/>
      <c r="AC22" s="90"/>
      <c r="AD22" s="90"/>
      <c r="AE22" s="90"/>
      <c r="AF22" s="90"/>
      <c r="AG22" s="90"/>
      <c r="AH22" s="90"/>
      <c r="AI22" s="90"/>
      <c r="AJ22" s="90"/>
      <c r="AK22" s="90"/>
      <c r="AL22" s="90"/>
      <c r="AM22" s="90"/>
      <c r="AN22" s="90"/>
      <c r="AO22" s="90"/>
      <c r="AP22" s="90"/>
      <c r="AQ22" s="90"/>
      <c r="AR22" s="90"/>
      <c r="AS22" s="90"/>
      <c r="AT22" s="186">
        <v>21</v>
      </c>
      <c r="AU22" s="186">
        <v>8</v>
      </c>
      <c r="AV22" s="187">
        <v>10000</v>
      </c>
      <c r="AW22" s="187">
        <v>15000</v>
      </c>
      <c r="AX22" s="90">
        <v>2</v>
      </c>
      <c r="AY22" s="90">
        <v>5</v>
      </c>
      <c r="AZ22" s="186" t="s">
        <v>16</v>
      </c>
      <c r="BA22" s="186">
        <v>4</v>
      </c>
      <c r="BB22" s="17"/>
      <c r="BC22" s="186" t="s">
        <v>16</v>
      </c>
      <c r="BD22" s="128" t="s">
        <v>16</v>
      </c>
      <c r="BE22" s="128" t="s">
        <v>15</v>
      </c>
      <c r="BF22" s="128" t="s">
        <v>15</v>
      </c>
      <c r="BG22" s="128" t="s">
        <v>15</v>
      </c>
      <c r="BH22" s="128" t="s">
        <v>15</v>
      </c>
      <c r="BI22" s="128" t="s">
        <v>15</v>
      </c>
      <c r="BJ22" s="128" t="s">
        <v>16</v>
      </c>
      <c r="BK22" s="128" t="s">
        <v>15</v>
      </c>
      <c r="BL22" s="128" t="s">
        <v>16</v>
      </c>
      <c r="BM22" s="128" t="s">
        <v>16</v>
      </c>
      <c r="BN22" s="128" t="s">
        <v>16</v>
      </c>
      <c r="BO22" s="128" t="s">
        <v>15</v>
      </c>
      <c r="BP22" s="128" t="s">
        <v>16</v>
      </c>
      <c r="BQ22" s="128" t="s">
        <v>16</v>
      </c>
      <c r="BR22" s="128" t="s">
        <v>16</v>
      </c>
      <c r="BS22" s="128" t="s">
        <v>15</v>
      </c>
      <c r="BT22" s="128" t="s">
        <v>15</v>
      </c>
      <c r="BU22" s="128" t="s">
        <v>15</v>
      </c>
      <c r="BV22" s="128" t="s">
        <v>15</v>
      </c>
      <c r="BW22" s="128" t="s">
        <v>15</v>
      </c>
      <c r="BX22" s="128" t="s">
        <v>15</v>
      </c>
      <c r="BY22" s="128" t="s">
        <v>15</v>
      </c>
      <c r="BZ22" s="128" t="s">
        <v>16</v>
      </c>
      <c r="CA22" s="128" t="s">
        <v>15</v>
      </c>
      <c r="CB22" s="128" t="s">
        <v>15</v>
      </c>
      <c r="CC22" s="128" t="s">
        <v>15</v>
      </c>
      <c r="CD22" s="128" t="s">
        <v>15</v>
      </c>
      <c r="CE22" s="128" t="s">
        <v>15</v>
      </c>
      <c r="CF22" s="128" t="s">
        <v>15</v>
      </c>
      <c r="CG22" s="128" t="s">
        <v>16</v>
      </c>
      <c r="CH22" s="128" t="s">
        <v>15</v>
      </c>
      <c r="CI22" s="128" t="s">
        <v>15</v>
      </c>
      <c r="CJ22" s="128" t="s">
        <v>16</v>
      </c>
      <c r="CK22" s="128" t="s">
        <v>16</v>
      </c>
      <c r="CL22" s="128" t="s">
        <v>15</v>
      </c>
      <c r="CM22" s="128" t="s">
        <v>16</v>
      </c>
      <c r="CN22" s="128" t="s">
        <v>16</v>
      </c>
      <c r="CO22" s="128" t="s">
        <v>16</v>
      </c>
      <c r="CP22" s="128" t="s">
        <v>16</v>
      </c>
      <c r="CQ22" s="128" t="s">
        <v>15</v>
      </c>
      <c r="CR22" s="128" t="s">
        <v>15</v>
      </c>
      <c r="CS22" s="128" t="s">
        <v>16</v>
      </c>
      <c r="CT22" s="128" t="s">
        <v>16</v>
      </c>
      <c r="CU22" s="128" t="s">
        <v>15</v>
      </c>
      <c r="CV22" s="128" t="s">
        <v>16</v>
      </c>
      <c r="CW22" s="128" t="s">
        <v>16</v>
      </c>
      <c r="CX22" s="128" t="s">
        <v>15</v>
      </c>
      <c r="CY22" s="128" t="s">
        <v>16</v>
      </c>
      <c r="CZ22" s="128" t="s">
        <v>15</v>
      </c>
      <c r="DA22" s="128" t="s">
        <v>16</v>
      </c>
      <c r="DB22" s="128" t="s">
        <v>16</v>
      </c>
      <c r="DC22" s="128" t="s">
        <v>15</v>
      </c>
      <c r="DD22" s="128" t="s">
        <v>16</v>
      </c>
      <c r="DE22" s="128" t="s">
        <v>15</v>
      </c>
      <c r="DF22" s="128" t="s">
        <v>15</v>
      </c>
      <c r="DG22" s="128" t="s">
        <v>16</v>
      </c>
      <c r="DH22" s="128" t="s">
        <v>16</v>
      </c>
      <c r="DI22" s="128" t="s">
        <v>16</v>
      </c>
      <c r="DJ22" s="128" t="s">
        <v>16</v>
      </c>
      <c r="DK22" s="128" t="s">
        <v>15</v>
      </c>
      <c r="DL22" s="128" t="s">
        <v>15</v>
      </c>
      <c r="DM22" s="17" t="s">
        <v>557</v>
      </c>
      <c r="DN22" s="17" t="s">
        <v>81</v>
      </c>
      <c r="DO22" s="17" t="s">
        <v>20</v>
      </c>
      <c r="DP22" s="185">
        <v>0.08</v>
      </c>
      <c r="DQ22" s="184">
        <v>1900000</v>
      </c>
      <c r="DR22" s="184">
        <v>1500000</v>
      </c>
      <c r="DS22" s="17">
        <v>2</v>
      </c>
      <c r="DT22" s="184">
        <v>10000</v>
      </c>
      <c r="DU22" s="184"/>
      <c r="DV22" s="184"/>
      <c r="DW22" s="184">
        <v>4500</v>
      </c>
      <c r="DX22" s="184">
        <v>6000</v>
      </c>
      <c r="DY22" s="184">
        <v>3000</v>
      </c>
      <c r="DZ22" s="184">
        <v>6000</v>
      </c>
      <c r="EA22" s="184">
        <v>5500</v>
      </c>
      <c r="EB22" s="184">
        <v>3500</v>
      </c>
      <c r="EC22" s="184">
        <v>2500</v>
      </c>
      <c r="ED22" s="184">
        <v>3500</v>
      </c>
      <c r="EE22" s="184">
        <v>4000</v>
      </c>
      <c r="EF22" s="184">
        <v>9000</v>
      </c>
      <c r="EG22" s="184">
        <v>3500</v>
      </c>
      <c r="EH22" s="184">
        <v>0</v>
      </c>
      <c r="EI22" s="184">
        <v>4500</v>
      </c>
      <c r="EJ22" s="184">
        <v>2000</v>
      </c>
      <c r="EK22" s="184">
        <v>7500</v>
      </c>
      <c r="EL22" s="184">
        <v>9000</v>
      </c>
      <c r="EM22" s="184">
        <v>7000</v>
      </c>
      <c r="EN22" s="184">
        <v>1000</v>
      </c>
      <c r="EO22" s="184">
        <v>8500</v>
      </c>
      <c r="EP22" s="184">
        <v>9500</v>
      </c>
      <c r="EQ22" s="184">
        <v>4500</v>
      </c>
      <c r="ER22" s="184">
        <v>500</v>
      </c>
      <c r="ES22" s="48" t="s">
        <v>16</v>
      </c>
      <c r="ET22" s="90">
        <v>30</v>
      </c>
      <c r="EU22" s="48" t="s">
        <v>16</v>
      </c>
      <c r="EV22" s="90" t="s">
        <v>15</v>
      </c>
      <c r="EW22" s="90" t="s">
        <v>15</v>
      </c>
      <c r="EX22" s="90" t="s">
        <v>16</v>
      </c>
      <c r="EY22" s="90" t="s">
        <v>16</v>
      </c>
      <c r="EZ22" s="90" t="s">
        <v>15</v>
      </c>
      <c r="FA22" s="90" t="s">
        <v>15</v>
      </c>
      <c r="FB22" s="90" t="s">
        <v>16</v>
      </c>
      <c r="FC22" s="90">
        <v>1454</v>
      </c>
      <c r="FD22" s="90">
        <v>1011</v>
      </c>
      <c r="FE22" s="90">
        <v>1265</v>
      </c>
      <c r="FF22" s="90">
        <v>1881</v>
      </c>
      <c r="FG22" s="90">
        <v>1055</v>
      </c>
      <c r="FH22" s="90">
        <v>1262</v>
      </c>
      <c r="FI22" s="90">
        <v>431</v>
      </c>
      <c r="FJ22" s="90">
        <v>802</v>
      </c>
      <c r="FK22" s="90">
        <v>1708</v>
      </c>
      <c r="FL22" s="90">
        <v>2019</v>
      </c>
      <c r="FM22" s="90" t="s">
        <v>15</v>
      </c>
      <c r="FN22" s="90" t="s">
        <v>15</v>
      </c>
      <c r="FO22" s="90" t="s">
        <v>15</v>
      </c>
      <c r="FP22" s="90" t="s">
        <v>16</v>
      </c>
      <c r="FQ22" s="90" t="s">
        <v>16</v>
      </c>
      <c r="FR22" s="90" t="s">
        <v>15</v>
      </c>
      <c r="FS22" s="90">
        <v>29</v>
      </c>
      <c r="FT22" s="17"/>
      <c r="FU22" s="17"/>
      <c r="FV22" s="17"/>
      <c r="FW22" s="48" t="s">
        <v>533</v>
      </c>
      <c r="FX22" s="48" t="s">
        <v>531</v>
      </c>
      <c r="FY22" s="48">
        <v>5</v>
      </c>
      <c r="FZ22" s="48">
        <v>108</v>
      </c>
      <c r="GA22" s="48" t="s">
        <v>15</v>
      </c>
      <c r="GB22" s="90" t="s">
        <v>15</v>
      </c>
      <c r="GC22" s="90" t="s">
        <v>15</v>
      </c>
      <c r="GD22" s="90" t="s">
        <v>16</v>
      </c>
      <c r="GE22" s="90" t="s">
        <v>16</v>
      </c>
      <c r="GF22" s="90" t="s">
        <v>15</v>
      </c>
      <c r="GG22" s="90" t="s">
        <v>15</v>
      </c>
      <c r="GJ22" s="57" t="s">
        <v>419</v>
      </c>
      <c r="GK22" s="57">
        <v>4</v>
      </c>
    </row>
    <row r="23" spans="1:193" ht="15.75" thickBot="1" x14ac:dyDescent="0.3">
      <c r="A23" s="17" t="s">
        <v>556</v>
      </c>
      <c r="B23" s="128" t="s">
        <v>470</v>
      </c>
      <c r="C23" s="188">
        <v>1142252.1212121199</v>
      </c>
      <c r="D23" s="188">
        <v>99999999</v>
      </c>
      <c r="E23" s="90" t="s">
        <v>532</v>
      </c>
      <c r="F23" s="90">
        <v>25</v>
      </c>
      <c r="G23" s="90">
        <v>65</v>
      </c>
      <c r="H23" s="90" t="s">
        <v>15</v>
      </c>
      <c r="I23" s="90" t="s">
        <v>15</v>
      </c>
      <c r="J23" s="90" t="s">
        <v>15</v>
      </c>
      <c r="K23" s="90"/>
      <c r="L23" s="90"/>
      <c r="M23" s="90"/>
      <c r="N23" s="90"/>
      <c r="O23" s="90"/>
      <c r="P23" s="90"/>
      <c r="Q23" s="90"/>
      <c r="R23" s="90"/>
      <c r="S23" s="90"/>
      <c r="T23" s="90"/>
      <c r="U23" s="90"/>
      <c r="V23" s="90"/>
      <c r="W23" s="90"/>
      <c r="X23" s="90"/>
      <c r="Y23" s="90"/>
      <c r="Z23" s="90"/>
      <c r="AA23" s="90"/>
      <c r="AB23" s="90"/>
      <c r="AC23" s="90"/>
      <c r="AD23" s="90"/>
      <c r="AE23" s="90"/>
      <c r="AF23" s="90"/>
      <c r="AG23" s="90"/>
      <c r="AH23" s="90"/>
      <c r="AI23" s="90"/>
      <c r="AJ23" s="90"/>
      <c r="AK23" s="90"/>
      <c r="AL23" s="90"/>
      <c r="AM23" s="90"/>
      <c r="AN23" s="90"/>
      <c r="AO23" s="90"/>
      <c r="AP23" s="90"/>
      <c r="AQ23" s="90"/>
      <c r="AR23" s="90"/>
      <c r="AS23" s="90"/>
      <c r="AT23" s="186">
        <v>23</v>
      </c>
      <c r="AU23" s="186">
        <v>8</v>
      </c>
      <c r="AV23" s="187">
        <v>5000</v>
      </c>
      <c r="AW23" s="187">
        <v>15000</v>
      </c>
      <c r="AX23" s="90">
        <v>1</v>
      </c>
      <c r="AY23" s="90">
        <v>3</v>
      </c>
      <c r="AZ23" s="186" t="s">
        <v>15</v>
      </c>
      <c r="BA23" s="186">
        <v>3</v>
      </c>
      <c r="BB23" s="17"/>
      <c r="BC23" s="186" t="s">
        <v>16</v>
      </c>
      <c r="BD23" s="128" t="s">
        <v>15</v>
      </c>
      <c r="BE23" s="128" t="s">
        <v>16</v>
      </c>
      <c r="BF23" s="128" t="s">
        <v>16</v>
      </c>
      <c r="BG23" s="128" t="s">
        <v>16</v>
      </c>
      <c r="BH23" s="128" t="s">
        <v>16</v>
      </c>
      <c r="BI23" s="128" t="s">
        <v>16</v>
      </c>
      <c r="BJ23" s="128" t="s">
        <v>15</v>
      </c>
      <c r="BK23" s="128" t="s">
        <v>16</v>
      </c>
      <c r="BL23" s="128" t="s">
        <v>15</v>
      </c>
      <c r="BM23" s="128" t="s">
        <v>15</v>
      </c>
      <c r="BN23" s="128" t="s">
        <v>16</v>
      </c>
      <c r="BO23" s="128" t="s">
        <v>15</v>
      </c>
      <c r="BP23" s="128" t="s">
        <v>15</v>
      </c>
      <c r="BQ23" s="128" t="s">
        <v>16</v>
      </c>
      <c r="BR23" s="128" t="s">
        <v>16</v>
      </c>
      <c r="BS23" s="128" t="s">
        <v>15</v>
      </c>
      <c r="BT23" s="128" t="s">
        <v>16</v>
      </c>
      <c r="BU23" s="128" t="s">
        <v>16</v>
      </c>
      <c r="BV23" s="128" t="s">
        <v>15</v>
      </c>
      <c r="BW23" s="128" t="s">
        <v>15</v>
      </c>
      <c r="BX23" s="128" t="s">
        <v>16</v>
      </c>
      <c r="BY23" s="128" t="s">
        <v>16</v>
      </c>
      <c r="BZ23" s="128" t="s">
        <v>15</v>
      </c>
      <c r="CA23" s="128" t="s">
        <v>16</v>
      </c>
      <c r="CB23" s="128" t="s">
        <v>16</v>
      </c>
      <c r="CC23" s="128" t="s">
        <v>16</v>
      </c>
      <c r="CD23" s="128" t="s">
        <v>16</v>
      </c>
      <c r="CE23" s="128" t="s">
        <v>15</v>
      </c>
      <c r="CF23" s="128" t="s">
        <v>15</v>
      </c>
      <c r="CG23" s="128" t="s">
        <v>16</v>
      </c>
      <c r="CH23" s="128" t="s">
        <v>16</v>
      </c>
      <c r="CI23" s="128" t="s">
        <v>15</v>
      </c>
      <c r="CJ23" s="128" t="s">
        <v>16</v>
      </c>
      <c r="CK23" s="128" t="s">
        <v>15</v>
      </c>
      <c r="CL23" s="128" t="s">
        <v>15</v>
      </c>
      <c r="CM23" s="128" t="s">
        <v>15</v>
      </c>
      <c r="CN23" s="128" t="s">
        <v>16</v>
      </c>
      <c r="CO23" s="128" t="s">
        <v>16</v>
      </c>
      <c r="CP23" s="128" t="s">
        <v>15</v>
      </c>
      <c r="CQ23" s="128" t="s">
        <v>15</v>
      </c>
      <c r="CR23" s="128" t="s">
        <v>15</v>
      </c>
      <c r="CS23" s="128" t="s">
        <v>15</v>
      </c>
      <c r="CT23" s="128" t="s">
        <v>15</v>
      </c>
      <c r="CU23" s="128" t="s">
        <v>15</v>
      </c>
      <c r="CV23" s="128" t="s">
        <v>15</v>
      </c>
      <c r="CW23" s="128" t="s">
        <v>16</v>
      </c>
      <c r="CX23" s="128" t="s">
        <v>15</v>
      </c>
      <c r="CY23" s="128" t="s">
        <v>16</v>
      </c>
      <c r="CZ23" s="128" t="s">
        <v>15</v>
      </c>
      <c r="DA23" s="128" t="s">
        <v>16</v>
      </c>
      <c r="DB23" s="128" t="s">
        <v>15</v>
      </c>
      <c r="DC23" s="128" t="s">
        <v>15</v>
      </c>
      <c r="DD23" s="128" t="s">
        <v>16</v>
      </c>
      <c r="DE23" s="128" t="s">
        <v>15</v>
      </c>
      <c r="DF23" s="128" t="s">
        <v>15</v>
      </c>
      <c r="DG23" s="128" t="s">
        <v>16</v>
      </c>
      <c r="DH23" s="128" t="s">
        <v>15</v>
      </c>
      <c r="DI23" s="128" t="s">
        <v>15</v>
      </c>
      <c r="DJ23" s="128" t="s">
        <v>15</v>
      </c>
      <c r="DK23" s="128" t="s">
        <v>16</v>
      </c>
      <c r="DL23" s="128" t="s">
        <v>16</v>
      </c>
      <c r="DM23" s="17" t="s">
        <v>556</v>
      </c>
      <c r="DN23" s="17" t="s">
        <v>221</v>
      </c>
      <c r="DO23" s="17" t="s">
        <v>20</v>
      </c>
      <c r="DP23" s="185">
        <v>0.12</v>
      </c>
      <c r="DQ23" s="184">
        <v>1600000</v>
      </c>
      <c r="DR23" s="184">
        <v>800000</v>
      </c>
      <c r="DS23" s="17">
        <v>1</v>
      </c>
      <c r="DT23" s="184">
        <v>0</v>
      </c>
      <c r="DU23" s="184"/>
      <c r="DV23" s="184"/>
      <c r="DW23" s="184">
        <v>3000</v>
      </c>
      <c r="DX23" s="184">
        <v>6000</v>
      </c>
      <c r="DY23" s="184">
        <v>8000</v>
      </c>
      <c r="DZ23" s="184">
        <v>4000</v>
      </c>
      <c r="EA23" s="184">
        <v>3000</v>
      </c>
      <c r="EB23" s="184">
        <v>3500</v>
      </c>
      <c r="EC23" s="184">
        <v>3000</v>
      </c>
      <c r="ED23" s="184">
        <v>2500</v>
      </c>
      <c r="EE23" s="184">
        <v>8500</v>
      </c>
      <c r="EF23" s="184">
        <v>4000</v>
      </c>
      <c r="EG23" s="184">
        <v>8500</v>
      </c>
      <c r="EH23" s="184">
        <v>4000</v>
      </c>
      <c r="EI23" s="184">
        <v>8500</v>
      </c>
      <c r="EJ23" s="184">
        <v>7000</v>
      </c>
      <c r="EK23" s="184">
        <v>2000</v>
      </c>
      <c r="EL23" s="184">
        <v>2000</v>
      </c>
      <c r="EM23" s="184">
        <v>9000</v>
      </c>
      <c r="EN23" s="184">
        <v>5500</v>
      </c>
      <c r="EO23" s="184">
        <v>2000</v>
      </c>
      <c r="EP23" s="184">
        <v>2500</v>
      </c>
      <c r="EQ23" s="184">
        <v>8500</v>
      </c>
      <c r="ER23" s="184">
        <v>5500</v>
      </c>
      <c r="ES23" s="182" t="s">
        <v>15</v>
      </c>
      <c r="ET23" s="183">
        <v>6</v>
      </c>
      <c r="EU23" s="182" t="s">
        <v>15</v>
      </c>
      <c r="EV23" s="183" t="s">
        <v>16</v>
      </c>
      <c r="EW23" s="183" t="s">
        <v>15</v>
      </c>
      <c r="EX23" s="183" t="s">
        <v>15</v>
      </c>
      <c r="EY23" s="183" t="s">
        <v>15</v>
      </c>
      <c r="EZ23" s="183" t="s">
        <v>16</v>
      </c>
      <c r="FA23" s="183" t="s">
        <v>16</v>
      </c>
      <c r="FB23" s="183" t="s">
        <v>15</v>
      </c>
      <c r="FC23" s="90">
        <v>2042</v>
      </c>
      <c r="FD23" s="90">
        <v>1150</v>
      </c>
      <c r="FE23" s="90">
        <v>395</v>
      </c>
      <c r="FF23" s="90">
        <v>2165</v>
      </c>
      <c r="FG23" s="90">
        <v>1334</v>
      </c>
      <c r="FH23" s="90">
        <v>930</v>
      </c>
      <c r="FI23" s="90">
        <v>1098</v>
      </c>
      <c r="FJ23" s="90">
        <v>1459</v>
      </c>
      <c r="FK23" s="90">
        <v>1557</v>
      </c>
      <c r="FL23" s="90">
        <v>827</v>
      </c>
      <c r="FM23" s="90" t="s">
        <v>16</v>
      </c>
      <c r="FN23" s="90" t="s">
        <v>16</v>
      </c>
      <c r="FO23" s="90" t="s">
        <v>16</v>
      </c>
      <c r="FP23" s="90" t="s">
        <v>15</v>
      </c>
      <c r="FQ23" s="90" t="s">
        <v>16</v>
      </c>
      <c r="FR23" s="90" t="s">
        <v>15</v>
      </c>
      <c r="FS23" s="90">
        <v>61</v>
      </c>
      <c r="FT23" s="17"/>
      <c r="FU23" s="17"/>
      <c r="FV23" s="17"/>
      <c r="FW23" s="182" t="s">
        <v>533</v>
      </c>
      <c r="FX23" s="182" t="s">
        <v>471</v>
      </c>
      <c r="FY23" s="182">
        <v>1</v>
      </c>
      <c r="FZ23" s="182">
        <v>90</v>
      </c>
      <c r="GA23" s="182" t="s">
        <v>16</v>
      </c>
      <c r="GB23" s="183" t="s">
        <v>16</v>
      </c>
      <c r="GC23" s="183" t="s">
        <v>15</v>
      </c>
      <c r="GD23" s="183" t="s">
        <v>15</v>
      </c>
      <c r="GE23" s="183" t="s">
        <v>16</v>
      </c>
      <c r="GF23" s="183" t="s">
        <v>16</v>
      </c>
      <c r="GG23" s="183" t="s">
        <v>15</v>
      </c>
      <c r="GJ23" s="57" t="s">
        <v>418</v>
      </c>
      <c r="GK23" s="57">
        <v>5</v>
      </c>
    </row>
    <row r="24" spans="1:193" x14ac:dyDescent="0.25">
      <c r="A24" s="17" t="s">
        <v>555</v>
      </c>
      <c r="B24" s="128" t="s">
        <v>470</v>
      </c>
      <c r="C24" s="188">
        <v>1081646.0606060601</v>
      </c>
      <c r="D24" s="188">
        <v>99999999</v>
      </c>
      <c r="E24" s="90" t="s">
        <v>545</v>
      </c>
      <c r="F24" s="90">
        <v>18</v>
      </c>
      <c r="G24" s="90">
        <v>65</v>
      </c>
      <c r="H24" s="90" t="s">
        <v>15</v>
      </c>
      <c r="I24" s="90" t="s">
        <v>15</v>
      </c>
      <c r="J24" s="90" t="s">
        <v>15</v>
      </c>
      <c r="K24" s="90"/>
      <c r="L24" s="90"/>
      <c r="M24" s="90"/>
      <c r="N24" s="90"/>
      <c r="O24" s="90"/>
      <c r="P24" s="90"/>
      <c r="Q24" s="90"/>
      <c r="R24" s="90"/>
      <c r="S24" s="90"/>
      <c r="T24" s="90"/>
      <c r="U24" s="90"/>
      <c r="V24" s="90"/>
      <c r="W24" s="90"/>
      <c r="X24" s="90"/>
      <c r="Y24" s="90"/>
      <c r="Z24" s="90"/>
      <c r="AA24" s="90"/>
      <c r="AB24" s="90"/>
      <c r="AC24" s="90"/>
      <c r="AD24" s="90"/>
      <c r="AE24" s="90"/>
      <c r="AF24" s="90"/>
      <c r="AG24" s="90"/>
      <c r="AH24" s="90"/>
      <c r="AI24" s="90"/>
      <c r="AJ24" s="90"/>
      <c r="AK24" s="90"/>
      <c r="AL24" s="90"/>
      <c r="AM24" s="90"/>
      <c r="AN24" s="90"/>
      <c r="AO24" s="90"/>
      <c r="AP24" s="90"/>
      <c r="AQ24" s="90"/>
      <c r="AR24" s="90"/>
      <c r="AS24" s="90"/>
      <c r="AT24" s="186">
        <v>4</v>
      </c>
      <c r="AU24" s="186">
        <v>6</v>
      </c>
      <c r="AV24" s="187">
        <v>10000</v>
      </c>
      <c r="AW24" s="187">
        <v>10000</v>
      </c>
      <c r="AX24" s="90">
        <v>6</v>
      </c>
      <c r="AY24" s="90">
        <v>8</v>
      </c>
      <c r="AZ24" s="186" t="s">
        <v>16</v>
      </c>
      <c r="BA24" s="186">
        <v>1</v>
      </c>
      <c r="BB24" s="17"/>
      <c r="BC24" s="186" t="s">
        <v>16</v>
      </c>
      <c r="BD24" s="128" t="s">
        <v>15</v>
      </c>
      <c r="BE24" s="128" t="s">
        <v>16</v>
      </c>
      <c r="BF24" s="128" t="s">
        <v>16</v>
      </c>
      <c r="BG24" s="128" t="s">
        <v>15</v>
      </c>
      <c r="BH24" s="128" t="s">
        <v>15</v>
      </c>
      <c r="BI24" s="128" t="s">
        <v>15</v>
      </c>
      <c r="BJ24" s="128" t="s">
        <v>15</v>
      </c>
      <c r="BK24" s="128" t="s">
        <v>16</v>
      </c>
      <c r="BL24" s="128" t="s">
        <v>15</v>
      </c>
      <c r="BM24" s="128" t="s">
        <v>15</v>
      </c>
      <c r="BN24" s="128" t="s">
        <v>16</v>
      </c>
      <c r="BO24" s="128" t="s">
        <v>15</v>
      </c>
      <c r="BP24" s="128" t="s">
        <v>15</v>
      </c>
      <c r="BQ24" s="128" t="s">
        <v>16</v>
      </c>
      <c r="BR24" s="128" t="s">
        <v>15</v>
      </c>
      <c r="BS24" s="128" t="s">
        <v>15</v>
      </c>
      <c r="BT24" s="128" t="s">
        <v>15</v>
      </c>
      <c r="BU24" s="128" t="s">
        <v>15</v>
      </c>
      <c r="BV24" s="128" t="s">
        <v>16</v>
      </c>
      <c r="BW24" s="128" t="s">
        <v>15</v>
      </c>
      <c r="BX24" s="128" t="s">
        <v>16</v>
      </c>
      <c r="BY24" s="128" t="s">
        <v>16</v>
      </c>
      <c r="BZ24" s="128" t="s">
        <v>15</v>
      </c>
      <c r="CA24" s="128" t="s">
        <v>16</v>
      </c>
      <c r="CB24" s="128" t="s">
        <v>16</v>
      </c>
      <c r="CC24" s="128" t="s">
        <v>16</v>
      </c>
      <c r="CD24" s="128" t="s">
        <v>16</v>
      </c>
      <c r="CE24" s="128" t="s">
        <v>15</v>
      </c>
      <c r="CF24" s="128" t="s">
        <v>15</v>
      </c>
      <c r="CG24" s="128" t="s">
        <v>16</v>
      </c>
      <c r="CH24" s="128" t="s">
        <v>16</v>
      </c>
      <c r="CI24" s="128" t="s">
        <v>15</v>
      </c>
      <c r="CJ24" s="128" t="s">
        <v>16</v>
      </c>
      <c r="CK24" s="128" t="s">
        <v>15</v>
      </c>
      <c r="CL24" s="128" t="s">
        <v>15</v>
      </c>
      <c r="CM24" s="128" t="s">
        <v>15</v>
      </c>
      <c r="CN24" s="128" t="s">
        <v>16</v>
      </c>
      <c r="CO24" s="128" t="s">
        <v>16</v>
      </c>
      <c r="CP24" s="128" t="s">
        <v>15</v>
      </c>
      <c r="CQ24" s="128" t="s">
        <v>15</v>
      </c>
      <c r="CR24" s="128" t="s">
        <v>15</v>
      </c>
      <c r="CS24" s="128" t="s">
        <v>15</v>
      </c>
      <c r="CT24" s="128" t="s">
        <v>15</v>
      </c>
      <c r="CU24" s="128" t="s">
        <v>15</v>
      </c>
      <c r="CV24" s="128" t="s">
        <v>15</v>
      </c>
      <c r="CW24" s="128" t="s">
        <v>16</v>
      </c>
      <c r="CX24" s="128" t="s">
        <v>15</v>
      </c>
      <c r="CY24" s="128" t="s">
        <v>16</v>
      </c>
      <c r="CZ24" s="128" t="s">
        <v>15</v>
      </c>
      <c r="DA24" s="128" t="s">
        <v>16</v>
      </c>
      <c r="DB24" s="128" t="s">
        <v>15</v>
      </c>
      <c r="DC24" s="128" t="s">
        <v>15</v>
      </c>
      <c r="DD24" s="128" t="s">
        <v>16</v>
      </c>
      <c r="DE24" s="128" t="s">
        <v>15</v>
      </c>
      <c r="DF24" s="128" t="s">
        <v>15</v>
      </c>
      <c r="DG24" s="128" t="s">
        <v>16</v>
      </c>
      <c r="DH24" s="128" t="s">
        <v>15</v>
      </c>
      <c r="DI24" s="128" t="s">
        <v>15</v>
      </c>
      <c r="DJ24" s="128" t="s">
        <v>15</v>
      </c>
      <c r="DK24" s="128" t="s">
        <v>16</v>
      </c>
      <c r="DL24" s="128" t="s">
        <v>16</v>
      </c>
      <c r="DM24" s="17" t="s">
        <v>555</v>
      </c>
      <c r="DN24" s="17" t="s">
        <v>292</v>
      </c>
      <c r="DO24" s="17" t="s">
        <v>17</v>
      </c>
      <c r="DP24" s="185">
        <v>0.1</v>
      </c>
      <c r="DQ24" s="184">
        <v>2100000</v>
      </c>
      <c r="DR24" s="184">
        <v>900000</v>
      </c>
      <c r="DS24" s="17">
        <v>2</v>
      </c>
      <c r="DT24" s="184">
        <v>1500</v>
      </c>
      <c r="DU24" s="184"/>
      <c r="DV24" s="184"/>
      <c r="DW24" s="184">
        <v>7000</v>
      </c>
      <c r="DX24" s="184">
        <v>0</v>
      </c>
      <c r="DY24" s="184">
        <v>2500</v>
      </c>
      <c r="DZ24" s="184">
        <v>4000</v>
      </c>
      <c r="EA24" s="184">
        <v>6500</v>
      </c>
      <c r="EB24" s="184">
        <v>10000</v>
      </c>
      <c r="EC24" s="184">
        <v>3000</v>
      </c>
      <c r="ED24" s="184">
        <v>6500</v>
      </c>
      <c r="EE24" s="184">
        <v>5000</v>
      </c>
      <c r="EF24" s="184">
        <v>2000</v>
      </c>
      <c r="EG24" s="184">
        <v>6000</v>
      </c>
      <c r="EH24" s="184">
        <v>4500</v>
      </c>
      <c r="EI24" s="184">
        <v>5500</v>
      </c>
      <c r="EJ24" s="184">
        <v>9000</v>
      </c>
      <c r="EK24" s="184">
        <v>4500</v>
      </c>
      <c r="EL24" s="184">
        <v>7000</v>
      </c>
      <c r="EM24" s="184">
        <v>7500</v>
      </c>
      <c r="EN24" s="184">
        <v>0</v>
      </c>
      <c r="EO24" s="184">
        <v>9500</v>
      </c>
      <c r="EP24" s="184">
        <v>5500</v>
      </c>
      <c r="EQ24" s="184">
        <v>2000</v>
      </c>
      <c r="ER24" s="184">
        <v>6500</v>
      </c>
      <c r="ES24" s="48" t="s">
        <v>15</v>
      </c>
      <c r="ET24" s="90">
        <v>15</v>
      </c>
      <c r="EU24" s="48" t="s">
        <v>16</v>
      </c>
      <c r="EV24" s="90" t="s">
        <v>15</v>
      </c>
      <c r="EW24" s="90" t="s">
        <v>16</v>
      </c>
      <c r="EX24" s="90" t="s">
        <v>15</v>
      </c>
      <c r="EY24" s="90" t="s">
        <v>16</v>
      </c>
      <c r="EZ24" s="90" t="s">
        <v>15</v>
      </c>
      <c r="FA24" s="90" t="s">
        <v>15</v>
      </c>
      <c r="FB24" s="90" t="s">
        <v>15</v>
      </c>
      <c r="FC24" s="90">
        <v>2217</v>
      </c>
      <c r="FD24" s="90">
        <v>1739</v>
      </c>
      <c r="FE24" s="90">
        <v>472</v>
      </c>
      <c r="FF24" s="90">
        <v>1128</v>
      </c>
      <c r="FG24" s="90">
        <v>501</v>
      </c>
      <c r="FH24" s="90">
        <v>477</v>
      </c>
      <c r="FI24" s="90">
        <v>1384</v>
      </c>
      <c r="FJ24" s="90">
        <v>565</v>
      </c>
      <c r="FK24" s="90">
        <v>1403</v>
      </c>
      <c r="FL24" s="90">
        <v>451</v>
      </c>
      <c r="FM24" s="90" t="s">
        <v>16</v>
      </c>
      <c r="FN24" s="90" t="s">
        <v>15</v>
      </c>
      <c r="FO24" s="90" t="s">
        <v>16</v>
      </c>
      <c r="FP24" s="90" t="s">
        <v>16</v>
      </c>
      <c r="FQ24" s="90" t="s">
        <v>15</v>
      </c>
      <c r="FR24" s="90" t="s">
        <v>15</v>
      </c>
      <c r="FS24" s="90">
        <v>395</v>
      </c>
      <c r="FT24" s="17"/>
      <c r="FU24" s="17"/>
      <c r="FV24" s="17"/>
      <c r="FW24" s="48" t="s">
        <v>531</v>
      </c>
      <c r="FX24" s="48" t="s">
        <v>531</v>
      </c>
      <c r="FY24" s="48">
        <v>3</v>
      </c>
      <c r="FZ24" s="48">
        <v>74</v>
      </c>
      <c r="GA24" s="48" t="s">
        <v>15</v>
      </c>
      <c r="GB24" s="90" t="s">
        <v>15</v>
      </c>
      <c r="GC24" s="90" t="s">
        <v>16</v>
      </c>
      <c r="GD24" s="90" t="s">
        <v>16</v>
      </c>
      <c r="GE24" s="90" t="s">
        <v>15</v>
      </c>
      <c r="GF24" s="90" t="s">
        <v>15</v>
      </c>
      <c r="GG24" s="90" t="s">
        <v>15</v>
      </c>
      <c r="GJ24" s="57" t="s">
        <v>417</v>
      </c>
      <c r="GK24" s="57">
        <v>3</v>
      </c>
    </row>
    <row r="25" spans="1:193" x14ac:dyDescent="0.25">
      <c r="A25" s="17" t="s">
        <v>554</v>
      </c>
      <c r="B25" s="128" t="s">
        <v>470</v>
      </c>
      <c r="C25" s="188">
        <v>1021040</v>
      </c>
      <c r="D25" s="188">
        <v>99999999</v>
      </c>
      <c r="E25" s="90" t="s">
        <v>532</v>
      </c>
      <c r="F25" s="90">
        <v>18</v>
      </c>
      <c r="G25" s="90">
        <v>65</v>
      </c>
      <c r="H25" s="90" t="s">
        <v>15</v>
      </c>
      <c r="I25" s="90" t="s">
        <v>15</v>
      </c>
      <c r="J25" s="90" t="s">
        <v>15</v>
      </c>
      <c r="K25" s="90"/>
      <c r="L25" s="90"/>
      <c r="M25" s="90"/>
      <c r="N25" s="90"/>
      <c r="O25" s="90"/>
      <c r="P25" s="90"/>
      <c r="Q25" s="90"/>
      <c r="R25" s="90"/>
      <c r="S25" s="90"/>
      <c r="T25" s="90"/>
      <c r="U25" s="90"/>
      <c r="V25" s="90"/>
      <c r="W25" s="90"/>
      <c r="X25" s="90"/>
      <c r="Y25" s="90"/>
      <c r="Z25" s="90"/>
      <c r="AA25" s="90"/>
      <c r="AB25" s="90"/>
      <c r="AC25" s="90"/>
      <c r="AD25" s="90"/>
      <c r="AE25" s="90"/>
      <c r="AF25" s="90"/>
      <c r="AG25" s="90"/>
      <c r="AH25" s="90"/>
      <c r="AI25" s="90"/>
      <c r="AJ25" s="90"/>
      <c r="AK25" s="90"/>
      <c r="AL25" s="90"/>
      <c r="AM25" s="90"/>
      <c r="AN25" s="90"/>
      <c r="AO25" s="90"/>
      <c r="AP25" s="90"/>
      <c r="AQ25" s="90"/>
      <c r="AR25" s="90"/>
      <c r="AS25" s="90"/>
      <c r="AT25" s="186">
        <v>4</v>
      </c>
      <c r="AU25" s="186">
        <v>10</v>
      </c>
      <c r="AV25" s="187">
        <v>15000</v>
      </c>
      <c r="AW25" s="187">
        <v>20000</v>
      </c>
      <c r="AX25" s="90">
        <v>1</v>
      </c>
      <c r="AY25" s="90">
        <v>8</v>
      </c>
      <c r="AZ25" s="186" t="s">
        <v>15</v>
      </c>
      <c r="BA25" s="186">
        <v>2</v>
      </c>
      <c r="BB25" s="17"/>
      <c r="BC25" s="186" t="s">
        <v>16</v>
      </c>
      <c r="BD25" s="128" t="s">
        <v>16</v>
      </c>
      <c r="BE25" s="128" t="s">
        <v>15</v>
      </c>
      <c r="BF25" s="128" t="s">
        <v>16</v>
      </c>
      <c r="BG25" s="128" t="s">
        <v>15</v>
      </c>
      <c r="BH25" s="128" t="s">
        <v>15</v>
      </c>
      <c r="BI25" s="128" t="s">
        <v>15</v>
      </c>
      <c r="BJ25" s="128" t="s">
        <v>15</v>
      </c>
      <c r="BK25" s="128" t="s">
        <v>15</v>
      </c>
      <c r="BL25" s="128" t="s">
        <v>16</v>
      </c>
      <c r="BM25" s="128" t="s">
        <v>16</v>
      </c>
      <c r="BN25" s="128" t="s">
        <v>16</v>
      </c>
      <c r="BO25" s="128" t="s">
        <v>15</v>
      </c>
      <c r="BP25" s="128" t="s">
        <v>15</v>
      </c>
      <c r="BQ25" s="128" t="s">
        <v>16</v>
      </c>
      <c r="BR25" s="128" t="s">
        <v>15</v>
      </c>
      <c r="BS25" s="128" t="s">
        <v>15</v>
      </c>
      <c r="BT25" s="128" t="s">
        <v>16</v>
      </c>
      <c r="BU25" s="128" t="s">
        <v>15</v>
      </c>
      <c r="BV25" s="128" t="s">
        <v>16</v>
      </c>
      <c r="BW25" s="128" t="s">
        <v>16</v>
      </c>
      <c r="BX25" s="128" t="s">
        <v>16</v>
      </c>
      <c r="BY25" s="128" t="s">
        <v>16</v>
      </c>
      <c r="BZ25" s="128" t="s">
        <v>16</v>
      </c>
      <c r="CA25" s="128" t="s">
        <v>15</v>
      </c>
      <c r="CB25" s="128" t="s">
        <v>15</v>
      </c>
      <c r="CC25" s="128" t="s">
        <v>15</v>
      </c>
      <c r="CD25" s="128" t="s">
        <v>15</v>
      </c>
      <c r="CE25" s="128" t="s">
        <v>15</v>
      </c>
      <c r="CF25" s="128" t="s">
        <v>15</v>
      </c>
      <c r="CG25" s="128" t="s">
        <v>16</v>
      </c>
      <c r="CH25" s="128" t="s">
        <v>15</v>
      </c>
      <c r="CI25" s="128" t="s">
        <v>15</v>
      </c>
      <c r="CJ25" s="128" t="s">
        <v>16</v>
      </c>
      <c r="CK25" s="128" t="s">
        <v>16</v>
      </c>
      <c r="CL25" s="128" t="s">
        <v>15</v>
      </c>
      <c r="CM25" s="128" t="s">
        <v>16</v>
      </c>
      <c r="CN25" s="128" t="s">
        <v>16</v>
      </c>
      <c r="CO25" s="128" t="s">
        <v>16</v>
      </c>
      <c r="CP25" s="128" t="s">
        <v>16</v>
      </c>
      <c r="CQ25" s="128" t="s">
        <v>15</v>
      </c>
      <c r="CR25" s="128" t="s">
        <v>16</v>
      </c>
      <c r="CS25" s="128" t="s">
        <v>15</v>
      </c>
      <c r="CT25" s="128" t="s">
        <v>15</v>
      </c>
      <c r="CU25" s="128" t="s">
        <v>15</v>
      </c>
      <c r="CV25" s="128" t="s">
        <v>16</v>
      </c>
      <c r="CW25" s="128" t="s">
        <v>15</v>
      </c>
      <c r="CX25" s="128" t="s">
        <v>16</v>
      </c>
      <c r="CY25" s="128" t="s">
        <v>16</v>
      </c>
      <c r="CZ25" s="128" t="s">
        <v>16</v>
      </c>
      <c r="DA25" s="128" t="s">
        <v>16</v>
      </c>
      <c r="DB25" s="128" t="s">
        <v>15</v>
      </c>
      <c r="DC25" s="128" t="s">
        <v>16</v>
      </c>
      <c r="DD25" s="128" t="s">
        <v>15</v>
      </c>
      <c r="DE25" s="128" t="s">
        <v>15</v>
      </c>
      <c r="DF25" s="128" t="s">
        <v>15</v>
      </c>
      <c r="DG25" s="128" t="s">
        <v>16</v>
      </c>
      <c r="DH25" s="128" t="s">
        <v>15</v>
      </c>
      <c r="DI25" s="128" t="s">
        <v>16</v>
      </c>
      <c r="DJ25" s="128" t="s">
        <v>16</v>
      </c>
      <c r="DK25" s="128" t="s">
        <v>15</v>
      </c>
      <c r="DL25" s="128" t="s">
        <v>15</v>
      </c>
      <c r="DM25" s="17" t="s">
        <v>554</v>
      </c>
      <c r="DN25" s="17" t="s">
        <v>292</v>
      </c>
      <c r="DO25" s="17" t="s">
        <v>19</v>
      </c>
      <c r="DP25" s="185">
        <v>0.09</v>
      </c>
      <c r="DQ25" s="184">
        <v>1200000</v>
      </c>
      <c r="DR25" s="184">
        <v>1200000</v>
      </c>
      <c r="DS25" s="17">
        <v>2</v>
      </c>
      <c r="DT25" s="184">
        <v>2500</v>
      </c>
      <c r="DU25" s="184"/>
      <c r="DV25" s="184"/>
      <c r="DW25" s="184">
        <v>2500</v>
      </c>
      <c r="DX25" s="184">
        <v>5000</v>
      </c>
      <c r="DY25" s="184">
        <v>9500</v>
      </c>
      <c r="DZ25" s="184">
        <v>500</v>
      </c>
      <c r="EA25" s="184">
        <v>5500</v>
      </c>
      <c r="EB25" s="184">
        <v>6500</v>
      </c>
      <c r="EC25" s="184">
        <v>7500</v>
      </c>
      <c r="ED25" s="184">
        <v>8500</v>
      </c>
      <c r="EE25" s="184">
        <v>6000</v>
      </c>
      <c r="EF25" s="184">
        <v>6000</v>
      </c>
      <c r="EG25" s="184">
        <v>6500</v>
      </c>
      <c r="EH25" s="184">
        <v>8000</v>
      </c>
      <c r="EI25" s="184">
        <v>4000</v>
      </c>
      <c r="EJ25" s="184">
        <v>8000</v>
      </c>
      <c r="EK25" s="184">
        <v>500</v>
      </c>
      <c r="EL25" s="184">
        <v>1000</v>
      </c>
      <c r="EM25" s="184">
        <v>0</v>
      </c>
      <c r="EN25" s="184">
        <v>4500</v>
      </c>
      <c r="EO25" s="184">
        <v>7000</v>
      </c>
      <c r="EP25" s="184">
        <v>6500</v>
      </c>
      <c r="EQ25" s="184">
        <v>7000</v>
      </c>
      <c r="ER25" s="184">
        <v>6500</v>
      </c>
      <c r="ES25" s="48" t="s">
        <v>16</v>
      </c>
      <c r="ET25" s="90">
        <v>9</v>
      </c>
      <c r="EU25" s="48" t="s">
        <v>16</v>
      </c>
      <c r="EV25" s="90" t="s">
        <v>15</v>
      </c>
      <c r="EW25" s="90" t="s">
        <v>16</v>
      </c>
      <c r="EX25" s="90" t="s">
        <v>15</v>
      </c>
      <c r="EY25" s="90" t="s">
        <v>16</v>
      </c>
      <c r="EZ25" s="90" t="s">
        <v>15</v>
      </c>
      <c r="FA25" s="90" t="s">
        <v>16</v>
      </c>
      <c r="FB25" s="90" t="s">
        <v>16</v>
      </c>
      <c r="FC25" s="90">
        <v>1134</v>
      </c>
      <c r="FD25" s="90">
        <v>623</v>
      </c>
      <c r="FE25" s="90">
        <v>665</v>
      </c>
      <c r="FF25" s="90">
        <v>1139</v>
      </c>
      <c r="FG25" s="90">
        <v>843</v>
      </c>
      <c r="FH25" s="90">
        <v>1396</v>
      </c>
      <c r="FI25" s="90">
        <v>2159</v>
      </c>
      <c r="FJ25" s="90">
        <v>478</v>
      </c>
      <c r="FK25" s="90">
        <v>704</v>
      </c>
      <c r="FL25" s="90">
        <v>1585</v>
      </c>
      <c r="FM25" s="90" t="s">
        <v>15</v>
      </c>
      <c r="FN25" s="90" t="s">
        <v>16</v>
      </c>
      <c r="FO25" s="90" t="s">
        <v>16</v>
      </c>
      <c r="FP25" s="90" t="s">
        <v>16</v>
      </c>
      <c r="FQ25" s="90" t="s">
        <v>16</v>
      </c>
      <c r="FR25" s="90" t="s">
        <v>15</v>
      </c>
      <c r="FS25" s="90">
        <v>713</v>
      </c>
      <c r="FT25" s="17"/>
      <c r="FU25" s="17"/>
      <c r="FV25" s="17"/>
      <c r="FW25" s="48" t="s">
        <v>533</v>
      </c>
      <c r="FX25" s="48" t="s">
        <v>540</v>
      </c>
      <c r="FY25" s="48">
        <v>2</v>
      </c>
      <c r="FZ25" s="48">
        <v>70</v>
      </c>
      <c r="GA25" s="48" t="s">
        <v>15</v>
      </c>
      <c r="GB25" s="90" t="s">
        <v>16</v>
      </c>
      <c r="GC25" s="90" t="s">
        <v>16</v>
      </c>
      <c r="GD25" s="90" t="s">
        <v>16</v>
      </c>
      <c r="GE25" s="90" t="s">
        <v>15</v>
      </c>
      <c r="GF25" s="90" t="s">
        <v>15</v>
      </c>
      <c r="GG25" s="90" t="s">
        <v>15</v>
      </c>
      <c r="GJ25" s="57" t="s">
        <v>416</v>
      </c>
      <c r="GK25" s="57">
        <v>3</v>
      </c>
    </row>
    <row r="26" spans="1:193" x14ac:dyDescent="0.25">
      <c r="A26" s="17" t="s">
        <v>553</v>
      </c>
      <c r="B26" s="128" t="s">
        <v>471</v>
      </c>
      <c r="C26" s="188">
        <v>960433.93939394201</v>
      </c>
      <c r="D26" s="188">
        <v>99999999</v>
      </c>
      <c r="E26" s="90" t="s">
        <v>532</v>
      </c>
      <c r="F26" s="90">
        <v>30</v>
      </c>
      <c r="G26" s="90">
        <v>65</v>
      </c>
      <c r="H26" s="90" t="s">
        <v>15</v>
      </c>
      <c r="I26" s="90" t="s">
        <v>15</v>
      </c>
      <c r="J26" s="90" t="s">
        <v>15</v>
      </c>
      <c r="K26" s="90"/>
      <c r="L26" s="90"/>
      <c r="M26" s="90"/>
      <c r="N26" s="90"/>
      <c r="O26" s="90"/>
      <c r="P26" s="90"/>
      <c r="Q26" s="90"/>
      <c r="R26" s="90"/>
      <c r="S26" s="90"/>
      <c r="T26" s="90"/>
      <c r="U26" s="90"/>
      <c r="V26" s="90"/>
      <c r="W26" s="90"/>
      <c r="X26" s="90"/>
      <c r="Y26" s="90"/>
      <c r="Z26" s="90"/>
      <c r="AA26" s="90"/>
      <c r="AB26" s="90"/>
      <c r="AC26" s="90"/>
      <c r="AD26" s="90"/>
      <c r="AE26" s="90"/>
      <c r="AF26" s="90"/>
      <c r="AG26" s="90"/>
      <c r="AH26" s="90"/>
      <c r="AI26" s="90"/>
      <c r="AJ26" s="90"/>
      <c r="AK26" s="90"/>
      <c r="AL26" s="90"/>
      <c r="AM26" s="90"/>
      <c r="AN26" s="90"/>
      <c r="AO26" s="90"/>
      <c r="AP26" s="90"/>
      <c r="AQ26" s="90"/>
      <c r="AR26" s="90"/>
      <c r="AS26" s="90"/>
      <c r="AT26" s="186">
        <v>21</v>
      </c>
      <c r="AU26" s="186">
        <v>12</v>
      </c>
      <c r="AV26" s="187">
        <v>8000</v>
      </c>
      <c r="AW26" s="187">
        <v>25000</v>
      </c>
      <c r="AX26" s="90">
        <v>10</v>
      </c>
      <c r="AY26" s="90">
        <v>13</v>
      </c>
      <c r="AZ26" s="186" t="s">
        <v>15</v>
      </c>
      <c r="BA26" s="186">
        <v>2</v>
      </c>
      <c r="BB26" s="17"/>
      <c r="BC26" s="186" t="s">
        <v>15</v>
      </c>
      <c r="BD26" s="128" t="s">
        <v>15</v>
      </c>
      <c r="BE26" s="128" t="s">
        <v>15</v>
      </c>
      <c r="BF26" s="128" t="s">
        <v>16</v>
      </c>
      <c r="BG26" s="128" t="s">
        <v>16</v>
      </c>
      <c r="BH26" s="128" t="s">
        <v>16</v>
      </c>
      <c r="BI26" s="128" t="s">
        <v>15</v>
      </c>
      <c r="BJ26" s="128" t="s">
        <v>16</v>
      </c>
      <c r="BK26" s="128" t="s">
        <v>15</v>
      </c>
      <c r="BL26" s="128" t="s">
        <v>15</v>
      </c>
      <c r="BM26" s="128" t="s">
        <v>15</v>
      </c>
      <c r="BN26" s="128" t="s">
        <v>16</v>
      </c>
      <c r="BO26" s="128" t="s">
        <v>15</v>
      </c>
      <c r="BP26" s="128" t="s">
        <v>16</v>
      </c>
      <c r="BQ26" s="128" t="s">
        <v>16</v>
      </c>
      <c r="BR26" s="128" t="s">
        <v>15</v>
      </c>
      <c r="BS26" s="128" t="s">
        <v>15</v>
      </c>
      <c r="BT26" s="128" t="s">
        <v>15</v>
      </c>
      <c r="BU26" s="128" t="s">
        <v>15</v>
      </c>
      <c r="BV26" s="128" t="s">
        <v>16</v>
      </c>
      <c r="BW26" s="128" t="s">
        <v>15</v>
      </c>
      <c r="BX26" s="128" t="s">
        <v>16</v>
      </c>
      <c r="BY26" s="128" t="s">
        <v>15</v>
      </c>
      <c r="BZ26" s="128" t="s">
        <v>15</v>
      </c>
      <c r="CA26" s="128" t="s">
        <v>16</v>
      </c>
      <c r="CB26" s="128" t="s">
        <v>16</v>
      </c>
      <c r="CC26" s="128" t="s">
        <v>16</v>
      </c>
      <c r="CD26" s="128" t="s">
        <v>15</v>
      </c>
      <c r="CE26" s="128" t="s">
        <v>15</v>
      </c>
      <c r="CF26" s="128" t="s">
        <v>15</v>
      </c>
      <c r="CG26" s="128" t="s">
        <v>15</v>
      </c>
      <c r="CH26" s="128" t="s">
        <v>15</v>
      </c>
      <c r="CI26" s="128" t="s">
        <v>16</v>
      </c>
      <c r="CJ26" s="128" t="s">
        <v>15</v>
      </c>
      <c r="CK26" s="128" t="s">
        <v>16</v>
      </c>
      <c r="CL26" s="128" t="s">
        <v>16</v>
      </c>
      <c r="CM26" s="128" t="s">
        <v>16</v>
      </c>
      <c r="CN26" s="128" t="s">
        <v>16</v>
      </c>
      <c r="CO26" s="128" t="s">
        <v>15</v>
      </c>
      <c r="CP26" s="128" t="s">
        <v>16</v>
      </c>
      <c r="CQ26" s="128" t="s">
        <v>16</v>
      </c>
      <c r="CR26" s="128" t="s">
        <v>16</v>
      </c>
      <c r="CS26" s="128" t="s">
        <v>15</v>
      </c>
      <c r="CT26" s="128" t="s">
        <v>15</v>
      </c>
      <c r="CU26" s="128" t="s">
        <v>15</v>
      </c>
      <c r="CV26" s="128" t="s">
        <v>15</v>
      </c>
      <c r="CW26" s="128" t="s">
        <v>15</v>
      </c>
      <c r="CX26" s="128" t="s">
        <v>15</v>
      </c>
      <c r="CY26" s="128" t="s">
        <v>16</v>
      </c>
      <c r="CZ26" s="128" t="s">
        <v>15</v>
      </c>
      <c r="DA26" s="128" t="s">
        <v>16</v>
      </c>
      <c r="DB26" s="128" t="s">
        <v>15</v>
      </c>
      <c r="DC26" s="128" t="s">
        <v>16</v>
      </c>
      <c r="DD26" s="128" t="s">
        <v>15</v>
      </c>
      <c r="DE26" s="128" t="s">
        <v>15</v>
      </c>
      <c r="DF26" s="128" t="s">
        <v>15</v>
      </c>
      <c r="DG26" s="128" t="s">
        <v>15</v>
      </c>
      <c r="DH26" s="128" t="s">
        <v>15</v>
      </c>
      <c r="DI26" s="128" t="s">
        <v>15</v>
      </c>
      <c r="DJ26" s="128" t="s">
        <v>15</v>
      </c>
      <c r="DK26" s="128" t="s">
        <v>16</v>
      </c>
      <c r="DL26" s="128" t="s">
        <v>16</v>
      </c>
      <c r="DM26" s="17" t="s">
        <v>553</v>
      </c>
      <c r="DN26" s="17" t="s">
        <v>292</v>
      </c>
      <c r="DO26" s="17" t="s">
        <v>21</v>
      </c>
      <c r="DP26" s="185">
        <v>0.12</v>
      </c>
      <c r="DQ26" s="184">
        <v>1300000</v>
      </c>
      <c r="DR26" s="184">
        <v>1100000</v>
      </c>
      <c r="DS26" s="17">
        <v>2</v>
      </c>
      <c r="DT26" s="184">
        <v>6500</v>
      </c>
      <c r="DU26" s="184"/>
      <c r="DV26" s="184"/>
      <c r="DW26" s="184">
        <v>500</v>
      </c>
      <c r="DX26" s="184">
        <v>9500</v>
      </c>
      <c r="DY26" s="184">
        <v>4500</v>
      </c>
      <c r="DZ26" s="184">
        <v>0</v>
      </c>
      <c r="EA26" s="184">
        <v>9500</v>
      </c>
      <c r="EB26" s="184">
        <v>4500</v>
      </c>
      <c r="EC26" s="184">
        <v>4000</v>
      </c>
      <c r="ED26" s="184">
        <v>4500</v>
      </c>
      <c r="EE26" s="184">
        <v>1500</v>
      </c>
      <c r="EF26" s="184">
        <v>5000</v>
      </c>
      <c r="EG26" s="184">
        <v>8500</v>
      </c>
      <c r="EH26" s="184">
        <v>3000</v>
      </c>
      <c r="EI26" s="184">
        <v>4000</v>
      </c>
      <c r="EJ26" s="184">
        <v>5500</v>
      </c>
      <c r="EK26" s="184">
        <v>7500</v>
      </c>
      <c r="EL26" s="184">
        <v>7000</v>
      </c>
      <c r="EM26" s="184">
        <v>6500</v>
      </c>
      <c r="EN26" s="184">
        <v>7000</v>
      </c>
      <c r="EO26" s="184">
        <v>3500</v>
      </c>
      <c r="EP26" s="184">
        <v>9000</v>
      </c>
      <c r="EQ26" s="184">
        <v>9500</v>
      </c>
      <c r="ER26" s="184">
        <v>10000</v>
      </c>
      <c r="ES26" s="48" t="s">
        <v>16</v>
      </c>
      <c r="ET26" s="90">
        <v>17</v>
      </c>
      <c r="EU26" s="48" t="s">
        <v>16</v>
      </c>
      <c r="EV26" s="90" t="s">
        <v>15</v>
      </c>
      <c r="EW26" s="90" t="s">
        <v>16</v>
      </c>
      <c r="EX26" s="90" t="s">
        <v>16</v>
      </c>
      <c r="EY26" s="90" t="s">
        <v>15</v>
      </c>
      <c r="EZ26" s="90" t="s">
        <v>16</v>
      </c>
      <c r="FA26" s="90" t="s">
        <v>15</v>
      </c>
      <c r="FB26" s="90" t="s">
        <v>16</v>
      </c>
      <c r="FC26" s="90">
        <v>1421</v>
      </c>
      <c r="FD26" s="90">
        <v>1405</v>
      </c>
      <c r="FE26" s="90">
        <v>712</v>
      </c>
      <c r="FF26" s="90">
        <v>2259</v>
      </c>
      <c r="FG26" s="90">
        <v>945</v>
      </c>
      <c r="FH26" s="90">
        <v>1815</v>
      </c>
      <c r="FI26" s="90">
        <v>268</v>
      </c>
      <c r="FJ26" s="90">
        <v>578</v>
      </c>
      <c r="FK26" s="90">
        <v>1083</v>
      </c>
      <c r="FL26" s="90">
        <v>1257</v>
      </c>
      <c r="FM26" s="90" t="s">
        <v>15</v>
      </c>
      <c r="FN26" s="90" t="s">
        <v>15</v>
      </c>
      <c r="FO26" s="90" t="s">
        <v>16</v>
      </c>
      <c r="FP26" s="90" t="s">
        <v>15</v>
      </c>
      <c r="FQ26" s="90" t="s">
        <v>16</v>
      </c>
      <c r="FR26" s="90" t="s">
        <v>16</v>
      </c>
      <c r="FS26" s="90">
        <v>0</v>
      </c>
      <c r="FT26" s="17"/>
      <c r="FU26" s="17"/>
      <c r="FV26" s="17"/>
      <c r="FW26" s="48" t="s">
        <v>537</v>
      </c>
      <c r="FX26" s="48" t="s">
        <v>471</v>
      </c>
      <c r="FY26" s="48">
        <v>6</v>
      </c>
      <c r="FZ26" s="48">
        <v>40</v>
      </c>
      <c r="GA26" s="48" t="s">
        <v>16</v>
      </c>
      <c r="GB26" s="90" t="s">
        <v>15</v>
      </c>
      <c r="GC26" s="90" t="s">
        <v>16</v>
      </c>
      <c r="GD26" s="90" t="s">
        <v>16</v>
      </c>
      <c r="GE26" s="90" t="s">
        <v>16</v>
      </c>
      <c r="GF26" s="90" t="s">
        <v>16</v>
      </c>
      <c r="GG26" s="90" t="s">
        <v>16</v>
      </c>
      <c r="GJ26" s="57" t="s">
        <v>415</v>
      </c>
      <c r="GK26" s="57">
        <v>2</v>
      </c>
    </row>
    <row r="27" spans="1:193" x14ac:dyDescent="0.25">
      <c r="A27" s="17" t="s">
        <v>552</v>
      </c>
      <c r="B27" s="128" t="s">
        <v>471</v>
      </c>
      <c r="C27" s="188">
        <v>899827.87878788204</v>
      </c>
      <c r="D27" s="188">
        <v>99999999</v>
      </c>
      <c r="E27" s="90" t="s">
        <v>532</v>
      </c>
      <c r="F27" s="90">
        <v>18</v>
      </c>
      <c r="G27" s="90">
        <v>65</v>
      </c>
      <c r="H27" s="90" t="s">
        <v>15</v>
      </c>
      <c r="I27" s="90" t="s">
        <v>16</v>
      </c>
      <c r="J27" s="90" t="s">
        <v>15</v>
      </c>
      <c r="K27" s="90"/>
      <c r="L27" s="90"/>
      <c r="M27" s="90"/>
      <c r="N27" s="90"/>
      <c r="O27" s="90"/>
      <c r="P27" s="90"/>
      <c r="Q27" s="90"/>
      <c r="R27" s="90"/>
      <c r="S27" s="90"/>
      <c r="T27" s="90"/>
      <c r="U27" s="90"/>
      <c r="V27" s="90"/>
      <c r="W27" s="90"/>
      <c r="X27" s="90"/>
      <c r="Y27" s="90"/>
      <c r="Z27" s="90"/>
      <c r="AA27" s="90"/>
      <c r="AB27" s="90"/>
      <c r="AC27" s="90"/>
      <c r="AD27" s="90"/>
      <c r="AE27" s="90"/>
      <c r="AF27" s="90"/>
      <c r="AG27" s="90"/>
      <c r="AH27" s="90"/>
      <c r="AI27" s="90"/>
      <c r="AJ27" s="90"/>
      <c r="AK27" s="90"/>
      <c r="AL27" s="90"/>
      <c r="AM27" s="90"/>
      <c r="AN27" s="90"/>
      <c r="AO27" s="90"/>
      <c r="AP27" s="90"/>
      <c r="AQ27" s="90"/>
      <c r="AR27" s="90"/>
      <c r="AS27" s="90"/>
      <c r="AT27" s="186">
        <v>23</v>
      </c>
      <c r="AU27" s="186">
        <v>8</v>
      </c>
      <c r="AV27" s="187">
        <v>12000</v>
      </c>
      <c r="AW27" s="187">
        <v>10000</v>
      </c>
      <c r="AX27" s="90">
        <v>12</v>
      </c>
      <c r="AY27" s="90">
        <v>14</v>
      </c>
      <c r="AZ27" s="186" t="s">
        <v>16</v>
      </c>
      <c r="BA27" s="186">
        <v>4</v>
      </c>
      <c r="BB27" s="17"/>
      <c r="BC27" s="186" t="s">
        <v>15</v>
      </c>
      <c r="BD27" s="128" t="s">
        <v>15</v>
      </c>
      <c r="BE27" s="128" t="s">
        <v>15</v>
      </c>
      <c r="BF27" s="128" t="s">
        <v>16</v>
      </c>
      <c r="BG27" s="128" t="s">
        <v>15</v>
      </c>
      <c r="BH27" s="128" t="s">
        <v>16</v>
      </c>
      <c r="BI27" s="128" t="s">
        <v>16</v>
      </c>
      <c r="BJ27" s="128" t="s">
        <v>16</v>
      </c>
      <c r="BK27" s="128" t="s">
        <v>15</v>
      </c>
      <c r="BL27" s="128" t="s">
        <v>16</v>
      </c>
      <c r="BM27" s="128" t="s">
        <v>15</v>
      </c>
      <c r="BN27" s="128" t="s">
        <v>15</v>
      </c>
      <c r="BO27" s="128" t="s">
        <v>15</v>
      </c>
      <c r="BP27" s="128" t="s">
        <v>15</v>
      </c>
      <c r="BQ27" s="128" t="s">
        <v>15</v>
      </c>
      <c r="BR27" s="128" t="s">
        <v>15</v>
      </c>
      <c r="BS27" s="128" t="s">
        <v>15</v>
      </c>
      <c r="BT27" s="128" t="s">
        <v>15</v>
      </c>
      <c r="BU27" s="128" t="s">
        <v>15</v>
      </c>
      <c r="BV27" s="128" t="s">
        <v>16</v>
      </c>
      <c r="BW27" s="128" t="s">
        <v>15</v>
      </c>
      <c r="BX27" s="128" t="s">
        <v>15</v>
      </c>
      <c r="BY27" s="128" t="s">
        <v>15</v>
      </c>
      <c r="BZ27" s="128" t="s">
        <v>16</v>
      </c>
      <c r="CA27" s="128" t="s">
        <v>15</v>
      </c>
      <c r="CB27" s="128" t="s">
        <v>15</v>
      </c>
      <c r="CC27" s="128" t="s">
        <v>16</v>
      </c>
      <c r="CD27" s="128" t="s">
        <v>16</v>
      </c>
      <c r="CE27" s="128" t="s">
        <v>15</v>
      </c>
      <c r="CF27" s="128" t="s">
        <v>15</v>
      </c>
      <c r="CG27" s="128" t="s">
        <v>16</v>
      </c>
      <c r="CH27" s="128" t="s">
        <v>16</v>
      </c>
      <c r="CI27" s="128" t="s">
        <v>16</v>
      </c>
      <c r="CJ27" s="128" t="s">
        <v>16</v>
      </c>
      <c r="CK27" s="128" t="s">
        <v>16</v>
      </c>
      <c r="CL27" s="128" t="s">
        <v>16</v>
      </c>
      <c r="CM27" s="128" t="s">
        <v>15</v>
      </c>
      <c r="CN27" s="128" t="s">
        <v>15</v>
      </c>
      <c r="CO27" s="128" t="s">
        <v>16</v>
      </c>
      <c r="CP27" s="128" t="s">
        <v>15</v>
      </c>
      <c r="CQ27" s="128" t="s">
        <v>15</v>
      </c>
      <c r="CR27" s="128" t="s">
        <v>15</v>
      </c>
      <c r="CS27" s="128" t="s">
        <v>15</v>
      </c>
      <c r="CT27" s="128" t="s">
        <v>15</v>
      </c>
      <c r="CU27" s="128" t="s">
        <v>15</v>
      </c>
      <c r="CV27" s="128" t="s">
        <v>15</v>
      </c>
      <c r="CW27" s="128" t="s">
        <v>16</v>
      </c>
      <c r="CX27" s="128" t="s">
        <v>15</v>
      </c>
      <c r="CY27" s="128" t="s">
        <v>15</v>
      </c>
      <c r="CZ27" s="128" t="s">
        <v>15</v>
      </c>
      <c r="DA27" s="128" t="s">
        <v>15</v>
      </c>
      <c r="DB27" s="128" t="s">
        <v>16</v>
      </c>
      <c r="DC27" s="128" t="s">
        <v>15</v>
      </c>
      <c r="DD27" s="128" t="s">
        <v>16</v>
      </c>
      <c r="DE27" s="128" t="s">
        <v>15</v>
      </c>
      <c r="DF27" s="128" t="s">
        <v>16</v>
      </c>
      <c r="DG27" s="128" t="s">
        <v>15</v>
      </c>
      <c r="DH27" s="128" t="s">
        <v>15</v>
      </c>
      <c r="DI27" s="128" t="s">
        <v>15</v>
      </c>
      <c r="DJ27" s="128" t="s">
        <v>15</v>
      </c>
      <c r="DK27" s="128" t="s">
        <v>15</v>
      </c>
      <c r="DL27" s="128" t="s">
        <v>15</v>
      </c>
      <c r="DM27" s="17" t="s">
        <v>552</v>
      </c>
      <c r="DN27" s="17" t="s">
        <v>263</v>
      </c>
      <c r="DO27" s="17" t="s">
        <v>18</v>
      </c>
      <c r="DP27" s="185">
        <v>0.1</v>
      </c>
      <c r="DQ27" s="184">
        <v>1000000</v>
      </c>
      <c r="DR27" s="184">
        <v>1300000</v>
      </c>
      <c r="DS27" s="17">
        <v>3</v>
      </c>
      <c r="DT27" s="184">
        <v>500</v>
      </c>
      <c r="DU27" s="184"/>
      <c r="DV27" s="184"/>
      <c r="DW27" s="184">
        <v>4000</v>
      </c>
      <c r="DX27" s="184">
        <v>500</v>
      </c>
      <c r="DY27" s="184">
        <v>5500</v>
      </c>
      <c r="DZ27" s="184">
        <v>7000</v>
      </c>
      <c r="EA27" s="184">
        <v>3000</v>
      </c>
      <c r="EB27" s="184">
        <v>6000</v>
      </c>
      <c r="EC27" s="184">
        <v>2000</v>
      </c>
      <c r="ED27" s="184">
        <v>6500</v>
      </c>
      <c r="EE27" s="184">
        <v>9000</v>
      </c>
      <c r="EF27" s="184">
        <v>7500</v>
      </c>
      <c r="EG27" s="184">
        <v>0</v>
      </c>
      <c r="EH27" s="184">
        <v>8500</v>
      </c>
      <c r="EI27" s="184">
        <v>9500</v>
      </c>
      <c r="EJ27" s="184">
        <v>7500</v>
      </c>
      <c r="EK27" s="184">
        <v>8000</v>
      </c>
      <c r="EL27" s="184">
        <v>6500</v>
      </c>
      <c r="EM27" s="184">
        <v>7500</v>
      </c>
      <c r="EN27" s="184">
        <v>8000</v>
      </c>
      <c r="EO27" s="184">
        <v>4500</v>
      </c>
      <c r="EP27" s="184">
        <v>7000</v>
      </c>
      <c r="EQ27" s="184">
        <v>6500</v>
      </c>
      <c r="ER27" s="184">
        <v>2500</v>
      </c>
      <c r="ES27" s="48" t="s">
        <v>16</v>
      </c>
      <c r="ET27" s="90">
        <v>1</v>
      </c>
      <c r="EU27" s="48" t="s">
        <v>15</v>
      </c>
      <c r="EV27" s="90" t="s">
        <v>15</v>
      </c>
      <c r="EW27" s="90" t="s">
        <v>16</v>
      </c>
      <c r="EX27" s="90" t="s">
        <v>16</v>
      </c>
      <c r="EY27" s="90" t="s">
        <v>16</v>
      </c>
      <c r="EZ27" s="90" t="s">
        <v>16</v>
      </c>
      <c r="FA27" s="90" t="s">
        <v>15</v>
      </c>
      <c r="FB27" s="90" t="s">
        <v>15</v>
      </c>
      <c r="FC27" s="90">
        <v>1684</v>
      </c>
      <c r="FD27" s="90">
        <v>359</v>
      </c>
      <c r="FE27" s="90">
        <v>630</v>
      </c>
      <c r="FF27" s="90">
        <v>1710</v>
      </c>
      <c r="FG27" s="90">
        <v>2153</v>
      </c>
      <c r="FH27" s="90">
        <v>1823</v>
      </c>
      <c r="FI27" s="90">
        <v>1251</v>
      </c>
      <c r="FJ27" s="90">
        <v>2206</v>
      </c>
      <c r="FK27" s="90">
        <v>1910</v>
      </c>
      <c r="FL27" s="90">
        <v>984</v>
      </c>
      <c r="FM27" s="90" t="s">
        <v>15</v>
      </c>
      <c r="FN27" s="90" t="s">
        <v>16</v>
      </c>
      <c r="FO27" s="90" t="s">
        <v>15</v>
      </c>
      <c r="FP27" s="90" t="s">
        <v>15</v>
      </c>
      <c r="FQ27" s="90" t="s">
        <v>15</v>
      </c>
      <c r="FR27" s="90" t="s">
        <v>15</v>
      </c>
      <c r="FS27" s="90">
        <v>172</v>
      </c>
      <c r="FT27" s="17"/>
      <c r="FU27" s="17"/>
      <c r="FV27" s="17"/>
      <c r="FW27" s="48" t="s">
        <v>537</v>
      </c>
      <c r="FX27" s="48" t="s">
        <v>540</v>
      </c>
      <c r="FY27" s="48">
        <v>6</v>
      </c>
      <c r="FZ27" s="48">
        <v>130</v>
      </c>
      <c r="GA27" s="48" t="s">
        <v>16</v>
      </c>
      <c r="GB27" s="90" t="s">
        <v>15</v>
      </c>
      <c r="GC27" s="90" t="s">
        <v>15</v>
      </c>
      <c r="GD27" s="90" t="s">
        <v>16</v>
      </c>
      <c r="GE27" s="90" t="s">
        <v>16</v>
      </c>
      <c r="GF27" s="90" t="s">
        <v>16</v>
      </c>
      <c r="GG27" s="90" t="s">
        <v>16</v>
      </c>
      <c r="GJ27" s="57" t="s">
        <v>414</v>
      </c>
      <c r="GK27" s="57">
        <v>3</v>
      </c>
    </row>
    <row r="28" spans="1:193" x14ac:dyDescent="0.25">
      <c r="A28" s="17" t="s">
        <v>551</v>
      </c>
      <c r="B28" s="128" t="s">
        <v>470</v>
      </c>
      <c r="C28" s="188">
        <v>839221.81818182301</v>
      </c>
      <c r="D28" s="188">
        <v>99999999</v>
      </c>
      <c r="E28" s="90" t="s">
        <v>532</v>
      </c>
      <c r="F28" s="90">
        <v>25</v>
      </c>
      <c r="G28" s="90">
        <v>65</v>
      </c>
      <c r="H28" s="90" t="s">
        <v>15</v>
      </c>
      <c r="I28" s="90" t="s">
        <v>15</v>
      </c>
      <c r="J28" s="90" t="s">
        <v>15</v>
      </c>
      <c r="K28" s="90"/>
      <c r="L28" s="90"/>
      <c r="M28" s="90"/>
      <c r="N28" s="90"/>
      <c r="O28" s="90"/>
      <c r="P28" s="90"/>
      <c r="Q28" s="90"/>
      <c r="R28" s="90"/>
      <c r="S28" s="90"/>
      <c r="T28" s="90"/>
      <c r="U28" s="90"/>
      <c r="V28" s="90"/>
      <c r="W28" s="90"/>
      <c r="X28" s="90"/>
      <c r="Y28" s="90"/>
      <c r="Z28" s="90"/>
      <c r="AA28" s="90"/>
      <c r="AB28" s="90"/>
      <c r="AC28" s="90"/>
      <c r="AD28" s="90"/>
      <c r="AE28" s="90"/>
      <c r="AF28" s="90"/>
      <c r="AG28" s="90"/>
      <c r="AH28" s="90"/>
      <c r="AI28" s="90"/>
      <c r="AJ28" s="90"/>
      <c r="AK28" s="90"/>
      <c r="AL28" s="90"/>
      <c r="AM28" s="90"/>
      <c r="AN28" s="90"/>
      <c r="AO28" s="90"/>
      <c r="AP28" s="90"/>
      <c r="AQ28" s="90"/>
      <c r="AR28" s="90"/>
      <c r="AS28" s="90"/>
      <c r="AT28" s="186">
        <v>21</v>
      </c>
      <c r="AU28" s="186">
        <v>8</v>
      </c>
      <c r="AV28" s="187">
        <v>9000</v>
      </c>
      <c r="AW28" s="187">
        <v>10000</v>
      </c>
      <c r="AX28" s="90">
        <v>8</v>
      </c>
      <c r="AY28" s="90">
        <v>9</v>
      </c>
      <c r="AZ28" s="186" t="s">
        <v>16</v>
      </c>
      <c r="BA28" s="186">
        <v>4</v>
      </c>
      <c r="BB28" s="17"/>
      <c r="BC28" s="186" t="s">
        <v>15</v>
      </c>
      <c r="BD28" s="128" t="s">
        <v>15</v>
      </c>
      <c r="BE28" s="128" t="s">
        <v>15</v>
      </c>
      <c r="BF28" s="128" t="s">
        <v>16</v>
      </c>
      <c r="BG28" s="128" t="s">
        <v>15</v>
      </c>
      <c r="BH28" s="128" t="s">
        <v>16</v>
      </c>
      <c r="BI28" s="128" t="s">
        <v>15</v>
      </c>
      <c r="BJ28" s="128" t="s">
        <v>16</v>
      </c>
      <c r="BK28" s="128" t="s">
        <v>15</v>
      </c>
      <c r="BL28" s="128" t="s">
        <v>16</v>
      </c>
      <c r="BM28" s="128" t="s">
        <v>15</v>
      </c>
      <c r="BN28" s="128" t="s">
        <v>16</v>
      </c>
      <c r="BO28" s="128" t="s">
        <v>15</v>
      </c>
      <c r="BP28" s="128" t="s">
        <v>16</v>
      </c>
      <c r="BQ28" s="128" t="s">
        <v>16</v>
      </c>
      <c r="BR28" s="128" t="s">
        <v>16</v>
      </c>
      <c r="BS28" s="128" t="s">
        <v>16</v>
      </c>
      <c r="BT28" s="128" t="s">
        <v>16</v>
      </c>
      <c r="BU28" s="128" t="s">
        <v>15</v>
      </c>
      <c r="BV28" s="128" t="s">
        <v>16</v>
      </c>
      <c r="BW28" s="128" t="s">
        <v>15</v>
      </c>
      <c r="BX28" s="128" t="s">
        <v>16</v>
      </c>
      <c r="BY28" s="128" t="s">
        <v>16</v>
      </c>
      <c r="BZ28" s="128" t="s">
        <v>16</v>
      </c>
      <c r="CA28" s="128" t="s">
        <v>16</v>
      </c>
      <c r="CB28" s="128" t="s">
        <v>15</v>
      </c>
      <c r="CC28" s="128" t="s">
        <v>16</v>
      </c>
      <c r="CD28" s="128" t="s">
        <v>15</v>
      </c>
      <c r="CE28" s="128" t="s">
        <v>15</v>
      </c>
      <c r="CF28" s="128" t="s">
        <v>15</v>
      </c>
      <c r="CG28" s="128" t="s">
        <v>16</v>
      </c>
      <c r="CH28" s="128" t="s">
        <v>15</v>
      </c>
      <c r="CI28" s="128" t="s">
        <v>16</v>
      </c>
      <c r="CJ28" s="128" t="s">
        <v>16</v>
      </c>
      <c r="CK28" s="128" t="s">
        <v>16</v>
      </c>
      <c r="CL28" s="128" t="s">
        <v>16</v>
      </c>
      <c r="CM28" s="128" t="s">
        <v>16</v>
      </c>
      <c r="CN28" s="128" t="s">
        <v>16</v>
      </c>
      <c r="CO28" s="128" t="s">
        <v>16</v>
      </c>
      <c r="CP28" s="128" t="s">
        <v>16</v>
      </c>
      <c r="CQ28" s="128" t="s">
        <v>15</v>
      </c>
      <c r="CR28" s="128" t="s">
        <v>15</v>
      </c>
      <c r="CS28" s="128" t="s">
        <v>16</v>
      </c>
      <c r="CT28" s="128" t="s">
        <v>16</v>
      </c>
      <c r="CU28" s="128" t="s">
        <v>15</v>
      </c>
      <c r="CV28" s="128" t="s">
        <v>16</v>
      </c>
      <c r="CW28" s="128" t="s">
        <v>15</v>
      </c>
      <c r="CX28" s="128" t="s">
        <v>15</v>
      </c>
      <c r="CY28" s="128" t="s">
        <v>15</v>
      </c>
      <c r="CZ28" s="128" t="s">
        <v>15</v>
      </c>
      <c r="DA28" s="128" t="s">
        <v>16</v>
      </c>
      <c r="DB28" s="128" t="s">
        <v>15</v>
      </c>
      <c r="DC28" s="128" t="s">
        <v>15</v>
      </c>
      <c r="DD28" s="128" t="s">
        <v>16</v>
      </c>
      <c r="DE28" s="128" t="s">
        <v>16</v>
      </c>
      <c r="DF28" s="128" t="s">
        <v>15</v>
      </c>
      <c r="DG28" s="128" t="s">
        <v>15</v>
      </c>
      <c r="DH28" s="128" t="s">
        <v>15</v>
      </c>
      <c r="DI28" s="128" t="s">
        <v>15</v>
      </c>
      <c r="DJ28" s="128" t="s">
        <v>15</v>
      </c>
      <c r="DK28" s="128" t="s">
        <v>16</v>
      </c>
      <c r="DL28" s="128" t="s">
        <v>16</v>
      </c>
      <c r="DM28" s="17" t="s">
        <v>551</v>
      </c>
      <c r="DN28" s="17" t="s">
        <v>263</v>
      </c>
      <c r="DO28" s="17" t="s">
        <v>20</v>
      </c>
      <c r="DP28" s="185">
        <v>0.15</v>
      </c>
      <c r="DQ28" s="184">
        <v>800000</v>
      </c>
      <c r="DR28" s="184">
        <v>1300000</v>
      </c>
      <c r="DS28" s="17">
        <v>3</v>
      </c>
      <c r="DT28" s="184">
        <v>2500</v>
      </c>
      <c r="DU28" s="184"/>
      <c r="DV28" s="184"/>
      <c r="DW28" s="184">
        <v>8000</v>
      </c>
      <c r="DX28" s="184">
        <v>7500</v>
      </c>
      <c r="DY28" s="184">
        <v>0</v>
      </c>
      <c r="DZ28" s="184">
        <v>1500</v>
      </c>
      <c r="EA28" s="184">
        <v>3000</v>
      </c>
      <c r="EB28" s="184">
        <v>500</v>
      </c>
      <c r="EC28" s="184">
        <v>9000</v>
      </c>
      <c r="ED28" s="184">
        <v>0</v>
      </c>
      <c r="EE28" s="184">
        <v>7500</v>
      </c>
      <c r="EF28" s="184">
        <v>5000</v>
      </c>
      <c r="EG28" s="184">
        <v>7000</v>
      </c>
      <c r="EH28" s="184">
        <v>7500</v>
      </c>
      <c r="EI28" s="184">
        <v>4000</v>
      </c>
      <c r="EJ28" s="184">
        <v>8000</v>
      </c>
      <c r="EK28" s="184">
        <v>2500</v>
      </c>
      <c r="EL28" s="184">
        <v>2000</v>
      </c>
      <c r="EM28" s="184">
        <v>8000</v>
      </c>
      <c r="EN28" s="184">
        <v>7500</v>
      </c>
      <c r="EO28" s="184">
        <v>7500</v>
      </c>
      <c r="EP28" s="184">
        <v>6500</v>
      </c>
      <c r="EQ28" s="184">
        <v>5000</v>
      </c>
      <c r="ER28" s="184">
        <v>0</v>
      </c>
      <c r="ES28" s="48" t="s">
        <v>15</v>
      </c>
      <c r="ET28" s="90">
        <v>2</v>
      </c>
      <c r="EU28" s="48" t="s">
        <v>16</v>
      </c>
      <c r="EV28" s="90" t="s">
        <v>15</v>
      </c>
      <c r="EW28" s="90" t="s">
        <v>15</v>
      </c>
      <c r="EX28" s="90" t="s">
        <v>16</v>
      </c>
      <c r="EY28" s="90" t="s">
        <v>15</v>
      </c>
      <c r="EZ28" s="90" t="s">
        <v>16</v>
      </c>
      <c r="FA28" s="90" t="s">
        <v>16</v>
      </c>
      <c r="FB28" s="90" t="s">
        <v>15</v>
      </c>
      <c r="FC28" s="90">
        <v>2047</v>
      </c>
      <c r="FD28" s="90">
        <v>1922</v>
      </c>
      <c r="FE28" s="90">
        <v>1269</v>
      </c>
      <c r="FF28" s="90">
        <v>611</v>
      </c>
      <c r="FG28" s="90">
        <v>1149</v>
      </c>
      <c r="FH28" s="90">
        <v>500</v>
      </c>
      <c r="FI28" s="90">
        <v>1040</v>
      </c>
      <c r="FJ28" s="90">
        <v>2004</v>
      </c>
      <c r="FK28" s="90">
        <v>1362</v>
      </c>
      <c r="FL28" s="90">
        <v>391</v>
      </c>
      <c r="FM28" s="90" t="s">
        <v>15</v>
      </c>
      <c r="FN28" s="90" t="s">
        <v>15</v>
      </c>
      <c r="FO28" s="90" t="s">
        <v>16</v>
      </c>
      <c r="FP28" s="90" t="s">
        <v>16</v>
      </c>
      <c r="FQ28" s="90" t="s">
        <v>15</v>
      </c>
      <c r="FR28" s="90" t="s">
        <v>15</v>
      </c>
      <c r="FS28" s="90">
        <v>280</v>
      </c>
      <c r="FT28" s="17"/>
      <c r="FU28" s="17"/>
      <c r="FV28" s="17"/>
      <c r="FW28" s="48" t="s">
        <v>533</v>
      </c>
      <c r="FX28" s="48" t="s">
        <v>471</v>
      </c>
      <c r="FY28" s="48">
        <v>6</v>
      </c>
      <c r="FZ28" s="48">
        <v>95</v>
      </c>
      <c r="GA28" s="48" t="s">
        <v>15</v>
      </c>
      <c r="GB28" s="90" t="s">
        <v>15</v>
      </c>
      <c r="GC28" s="90" t="s">
        <v>15</v>
      </c>
      <c r="GD28" s="90" t="s">
        <v>15</v>
      </c>
      <c r="GE28" s="90" t="s">
        <v>16</v>
      </c>
      <c r="GF28" s="90" t="s">
        <v>15</v>
      </c>
      <c r="GG28" s="90" t="s">
        <v>16</v>
      </c>
      <c r="GJ28" s="57" t="s">
        <v>413</v>
      </c>
      <c r="GK28" s="57">
        <v>3</v>
      </c>
    </row>
    <row r="29" spans="1:193" x14ac:dyDescent="0.25">
      <c r="A29" s="17" t="s">
        <v>550</v>
      </c>
      <c r="B29" s="128" t="s">
        <v>470</v>
      </c>
      <c r="C29" s="188">
        <v>778615.75757576199</v>
      </c>
      <c r="D29" s="188">
        <v>99999999</v>
      </c>
      <c r="E29" s="90" t="s">
        <v>532</v>
      </c>
      <c r="F29" s="90">
        <v>18</v>
      </c>
      <c r="G29" s="90">
        <v>65</v>
      </c>
      <c r="H29" s="90" t="s">
        <v>15</v>
      </c>
      <c r="I29" s="90" t="s">
        <v>15</v>
      </c>
      <c r="J29" s="90" t="s">
        <v>15</v>
      </c>
      <c r="K29" s="90"/>
      <c r="L29" s="90"/>
      <c r="M29" s="90"/>
      <c r="N29" s="90"/>
      <c r="O29" s="90"/>
      <c r="P29" s="90"/>
      <c r="Q29" s="90"/>
      <c r="R29" s="90"/>
      <c r="S29" s="90"/>
      <c r="T29" s="90"/>
      <c r="U29" s="90"/>
      <c r="V29" s="90"/>
      <c r="W29" s="90"/>
      <c r="X29" s="90"/>
      <c r="Y29" s="90"/>
      <c r="Z29" s="90"/>
      <c r="AA29" s="90"/>
      <c r="AB29" s="90"/>
      <c r="AC29" s="90"/>
      <c r="AD29" s="90"/>
      <c r="AE29" s="90"/>
      <c r="AF29" s="90"/>
      <c r="AG29" s="90"/>
      <c r="AH29" s="90"/>
      <c r="AI29" s="90"/>
      <c r="AJ29" s="90"/>
      <c r="AK29" s="90"/>
      <c r="AL29" s="90"/>
      <c r="AM29" s="90"/>
      <c r="AN29" s="90"/>
      <c r="AO29" s="90"/>
      <c r="AP29" s="90"/>
      <c r="AQ29" s="90"/>
      <c r="AR29" s="90"/>
      <c r="AS29" s="90"/>
      <c r="AT29" s="186">
        <v>21</v>
      </c>
      <c r="AU29" s="186">
        <v>10</v>
      </c>
      <c r="AV29" s="187">
        <v>10000</v>
      </c>
      <c r="AW29" s="187">
        <v>15000</v>
      </c>
      <c r="AX29" s="90">
        <v>1</v>
      </c>
      <c r="AY29" s="90">
        <v>14</v>
      </c>
      <c r="AZ29" s="186" t="s">
        <v>15</v>
      </c>
      <c r="BA29" s="186">
        <v>3</v>
      </c>
      <c r="BB29" s="17"/>
      <c r="BC29" s="186" t="s">
        <v>15</v>
      </c>
      <c r="BD29" s="128" t="s">
        <v>15</v>
      </c>
      <c r="BE29" s="128" t="s">
        <v>15</v>
      </c>
      <c r="BF29" s="128" t="s">
        <v>15</v>
      </c>
      <c r="BG29" s="128" t="s">
        <v>15</v>
      </c>
      <c r="BH29" s="128" t="s">
        <v>16</v>
      </c>
      <c r="BI29" s="128" t="s">
        <v>15</v>
      </c>
      <c r="BJ29" s="128" t="s">
        <v>16</v>
      </c>
      <c r="BK29" s="128" t="s">
        <v>15</v>
      </c>
      <c r="BL29" s="128" t="s">
        <v>16</v>
      </c>
      <c r="BM29" s="128" t="s">
        <v>15</v>
      </c>
      <c r="BN29" s="128" t="s">
        <v>16</v>
      </c>
      <c r="BO29" s="128" t="s">
        <v>15</v>
      </c>
      <c r="BP29" s="128" t="s">
        <v>16</v>
      </c>
      <c r="BQ29" s="128" t="s">
        <v>16</v>
      </c>
      <c r="BR29" s="128" t="s">
        <v>15</v>
      </c>
      <c r="BS29" s="128" t="s">
        <v>15</v>
      </c>
      <c r="BT29" s="128" t="s">
        <v>15</v>
      </c>
      <c r="BU29" s="128" t="s">
        <v>16</v>
      </c>
      <c r="BV29" s="128" t="s">
        <v>15</v>
      </c>
      <c r="BW29" s="128" t="s">
        <v>15</v>
      </c>
      <c r="BX29" s="128" t="s">
        <v>16</v>
      </c>
      <c r="BY29" s="128" t="s">
        <v>16</v>
      </c>
      <c r="BZ29" s="128" t="s">
        <v>15</v>
      </c>
      <c r="CA29" s="128" t="s">
        <v>16</v>
      </c>
      <c r="CB29" s="128" t="s">
        <v>16</v>
      </c>
      <c r="CC29" s="128" t="s">
        <v>16</v>
      </c>
      <c r="CD29" s="128" t="s">
        <v>15</v>
      </c>
      <c r="CE29" s="128" t="s">
        <v>15</v>
      </c>
      <c r="CF29" s="128" t="s">
        <v>15</v>
      </c>
      <c r="CG29" s="128" t="s">
        <v>16</v>
      </c>
      <c r="CH29" s="128" t="s">
        <v>15</v>
      </c>
      <c r="CI29" s="128" t="s">
        <v>15</v>
      </c>
      <c r="CJ29" s="128" t="s">
        <v>15</v>
      </c>
      <c r="CK29" s="128" t="s">
        <v>16</v>
      </c>
      <c r="CL29" s="128" t="s">
        <v>16</v>
      </c>
      <c r="CM29" s="128" t="s">
        <v>16</v>
      </c>
      <c r="CN29" s="128" t="s">
        <v>16</v>
      </c>
      <c r="CO29" s="128" t="s">
        <v>16</v>
      </c>
      <c r="CP29" s="128" t="s">
        <v>16</v>
      </c>
      <c r="CQ29" s="128" t="s">
        <v>15</v>
      </c>
      <c r="CR29" s="128" t="s">
        <v>15</v>
      </c>
      <c r="CS29" s="128" t="s">
        <v>16</v>
      </c>
      <c r="CT29" s="128" t="s">
        <v>16</v>
      </c>
      <c r="CU29" s="128" t="s">
        <v>15</v>
      </c>
      <c r="CV29" s="128" t="s">
        <v>16</v>
      </c>
      <c r="CW29" s="128" t="s">
        <v>15</v>
      </c>
      <c r="CX29" s="128" t="s">
        <v>15</v>
      </c>
      <c r="CY29" s="128" t="s">
        <v>15</v>
      </c>
      <c r="CZ29" s="128" t="s">
        <v>15</v>
      </c>
      <c r="DA29" s="128" t="s">
        <v>16</v>
      </c>
      <c r="DB29" s="128" t="s">
        <v>15</v>
      </c>
      <c r="DC29" s="128" t="s">
        <v>15</v>
      </c>
      <c r="DD29" s="128" t="s">
        <v>16</v>
      </c>
      <c r="DE29" s="128" t="s">
        <v>15</v>
      </c>
      <c r="DF29" s="128" t="s">
        <v>15</v>
      </c>
      <c r="DG29" s="128" t="s">
        <v>15</v>
      </c>
      <c r="DH29" s="128" t="s">
        <v>15</v>
      </c>
      <c r="DI29" s="128" t="s">
        <v>16</v>
      </c>
      <c r="DJ29" s="128" t="s">
        <v>15</v>
      </c>
      <c r="DK29" s="128" t="s">
        <v>16</v>
      </c>
      <c r="DL29" s="128" t="s">
        <v>16</v>
      </c>
      <c r="DM29" s="17" t="s">
        <v>550</v>
      </c>
      <c r="DN29" s="17" t="s">
        <v>263</v>
      </c>
      <c r="DO29" s="17" t="s">
        <v>21</v>
      </c>
      <c r="DP29" s="185">
        <v>0.16</v>
      </c>
      <c r="DQ29" s="184">
        <v>1600000</v>
      </c>
      <c r="DR29" s="184">
        <v>1100000</v>
      </c>
      <c r="DS29" s="17">
        <v>1</v>
      </c>
      <c r="DT29" s="184">
        <v>8000</v>
      </c>
      <c r="DU29" s="184"/>
      <c r="DV29" s="184"/>
      <c r="DW29" s="184">
        <v>9500</v>
      </c>
      <c r="DX29" s="184">
        <v>1500</v>
      </c>
      <c r="DY29" s="184">
        <v>1000</v>
      </c>
      <c r="DZ29" s="184">
        <v>5000</v>
      </c>
      <c r="EA29" s="184">
        <v>4000</v>
      </c>
      <c r="EB29" s="184">
        <v>10000</v>
      </c>
      <c r="EC29" s="184">
        <v>3500</v>
      </c>
      <c r="ED29" s="184">
        <v>6000</v>
      </c>
      <c r="EE29" s="184">
        <v>6000</v>
      </c>
      <c r="EF29" s="184">
        <v>6500</v>
      </c>
      <c r="EG29" s="184">
        <v>2500</v>
      </c>
      <c r="EH29" s="184">
        <v>500</v>
      </c>
      <c r="EI29" s="184">
        <v>6000</v>
      </c>
      <c r="EJ29" s="184">
        <v>1500</v>
      </c>
      <c r="EK29" s="184">
        <v>7000</v>
      </c>
      <c r="EL29" s="184">
        <v>4000</v>
      </c>
      <c r="EM29" s="184">
        <v>3000</v>
      </c>
      <c r="EN29" s="184">
        <v>2500</v>
      </c>
      <c r="EO29" s="184">
        <v>3000</v>
      </c>
      <c r="EP29" s="184">
        <v>7500</v>
      </c>
      <c r="EQ29" s="184">
        <v>7500</v>
      </c>
      <c r="ER29" s="184">
        <v>0</v>
      </c>
      <c r="ES29" s="48" t="s">
        <v>16</v>
      </c>
      <c r="ET29" s="90">
        <v>2</v>
      </c>
      <c r="EU29" s="48" t="s">
        <v>15</v>
      </c>
      <c r="EV29" s="90" t="s">
        <v>15</v>
      </c>
      <c r="EW29" s="90" t="s">
        <v>16</v>
      </c>
      <c r="EX29" s="90" t="s">
        <v>15</v>
      </c>
      <c r="EY29" s="90" t="s">
        <v>15</v>
      </c>
      <c r="EZ29" s="90" t="s">
        <v>16</v>
      </c>
      <c r="FA29" s="90" t="s">
        <v>16</v>
      </c>
      <c r="FB29" s="90" t="s">
        <v>15</v>
      </c>
      <c r="FC29" s="90">
        <v>1343</v>
      </c>
      <c r="FD29" s="90">
        <v>1354</v>
      </c>
      <c r="FE29" s="90">
        <v>1191</v>
      </c>
      <c r="FF29" s="90">
        <v>1001</v>
      </c>
      <c r="FG29" s="90">
        <v>2188</v>
      </c>
      <c r="FH29" s="90">
        <v>1065</v>
      </c>
      <c r="FI29" s="90">
        <v>1786</v>
      </c>
      <c r="FJ29" s="90">
        <v>1519</v>
      </c>
      <c r="FK29" s="90">
        <v>1937</v>
      </c>
      <c r="FL29" s="90">
        <v>1235</v>
      </c>
      <c r="FM29" s="90" t="s">
        <v>16</v>
      </c>
      <c r="FN29" s="90" t="s">
        <v>16</v>
      </c>
      <c r="FO29" s="90" t="s">
        <v>15</v>
      </c>
      <c r="FP29" s="90" t="s">
        <v>16</v>
      </c>
      <c r="FQ29" s="90" t="s">
        <v>16</v>
      </c>
      <c r="FR29" s="90" t="s">
        <v>16</v>
      </c>
      <c r="FS29" s="90">
        <v>0</v>
      </c>
      <c r="FT29" s="17"/>
      <c r="FU29" s="17"/>
      <c r="FV29" s="17"/>
      <c r="FW29" s="48" t="s">
        <v>537</v>
      </c>
      <c r="FX29" s="48" t="s">
        <v>531</v>
      </c>
      <c r="FY29" s="48">
        <v>4</v>
      </c>
      <c r="FZ29" s="48">
        <v>57</v>
      </c>
      <c r="GA29" s="48" t="s">
        <v>16</v>
      </c>
      <c r="GB29" s="90" t="s">
        <v>16</v>
      </c>
      <c r="GC29" s="90" t="s">
        <v>16</v>
      </c>
      <c r="GD29" s="90" t="s">
        <v>15</v>
      </c>
      <c r="GE29" s="90" t="s">
        <v>15</v>
      </c>
      <c r="GF29" s="90" t="s">
        <v>16</v>
      </c>
      <c r="GG29" s="90" t="s">
        <v>15</v>
      </c>
      <c r="GJ29" s="57" t="s">
        <v>412</v>
      </c>
      <c r="GK29" s="57">
        <v>3</v>
      </c>
    </row>
    <row r="30" spans="1:193" x14ac:dyDescent="0.25">
      <c r="A30" s="17" t="s">
        <v>549</v>
      </c>
      <c r="B30" s="128" t="s">
        <v>471</v>
      </c>
      <c r="C30" s="188">
        <v>718009.69696970202</v>
      </c>
      <c r="D30" s="188">
        <v>99999999</v>
      </c>
      <c r="E30" s="90" t="s">
        <v>532</v>
      </c>
      <c r="F30" s="90">
        <v>18</v>
      </c>
      <c r="G30" s="90">
        <v>65</v>
      </c>
      <c r="H30" s="90" t="s">
        <v>16</v>
      </c>
      <c r="I30" s="90" t="s">
        <v>15</v>
      </c>
      <c r="J30" s="90" t="s">
        <v>15</v>
      </c>
      <c r="K30" s="90"/>
      <c r="L30" s="90"/>
      <c r="M30" s="90"/>
      <c r="N30" s="90"/>
      <c r="O30" s="90"/>
      <c r="P30" s="90"/>
      <c r="Q30" s="90"/>
      <c r="R30" s="90"/>
      <c r="S30" s="90"/>
      <c r="T30" s="90"/>
      <c r="U30" s="90"/>
      <c r="V30" s="90"/>
      <c r="W30" s="90"/>
      <c r="X30" s="90"/>
      <c r="Y30" s="90"/>
      <c r="Z30" s="90"/>
      <c r="AA30" s="90"/>
      <c r="AB30" s="90"/>
      <c r="AC30" s="90"/>
      <c r="AD30" s="90"/>
      <c r="AE30" s="90"/>
      <c r="AF30" s="90"/>
      <c r="AG30" s="90"/>
      <c r="AH30" s="90"/>
      <c r="AI30" s="90"/>
      <c r="AJ30" s="90"/>
      <c r="AK30" s="90"/>
      <c r="AL30" s="90"/>
      <c r="AM30" s="90"/>
      <c r="AN30" s="90"/>
      <c r="AO30" s="90"/>
      <c r="AP30" s="90"/>
      <c r="AQ30" s="90"/>
      <c r="AR30" s="90"/>
      <c r="AS30" s="90"/>
      <c r="AT30" s="186">
        <v>4</v>
      </c>
      <c r="AU30" s="186">
        <v>12</v>
      </c>
      <c r="AV30" s="187">
        <v>15000</v>
      </c>
      <c r="AW30" s="187">
        <v>15000</v>
      </c>
      <c r="AX30" s="90">
        <v>12</v>
      </c>
      <c r="AY30" s="90">
        <v>1</v>
      </c>
      <c r="AZ30" s="186" t="s">
        <v>15</v>
      </c>
      <c r="BA30" s="186">
        <v>1</v>
      </c>
      <c r="BB30" s="17"/>
      <c r="BC30" s="186" t="s">
        <v>16</v>
      </c>
      <c r="BD30" s="128" t="s">
        <v>16</v>
      </c>
      <c r="BE30" s="128" t="s">
        <v>15</v>
      </c>
      <c r="BF30" s="128" t="s">
        <v>15</v>
      </c>
      <c r="BG30" s="128" t="s">
        <v>15</v>
      </c>
      <c r="BH30" s="128" t="s">
        <v>16</v>
      </c>
      <c r="BI30" s="128" t="s">
        <v>15</v>
      </c>
      <c r="BJ30" s="128" t="s">
        <v>16</v>
      </c>
      <c r="BK30" s="128" t="s">
        <v>15</v>
      </c>
      <c r="BL30" s="128" t="s">
        <v>16</v>
      </c>
      <c r="BM30" s="128" t="s">
        <v>16</v>
      </c>
      <c r="BN30" s="128" t="s">
        <v>16</v>
      </c>
      <c r="BO30" s="128" t="s">
        <v>15</v>
      </c>
      <c r="BP30" s="128" t="s">
        <v>15</v>
      </c>
      <c r="BQ30" s="128" t="s">
        <v>16</v>
      </c>
      <c r="BR30" s="128" t="s">
        <v>16</v>
      </c>
      <c r="BS30" s="128" t="s">
        <v>16</v>
      </c>
      <c r="BT30" s="128" t="s">
        <v>16</v>
      </c>
      <c r="BU30" s="128" t="s">
        <v>15</v>
      </c>
      <c r="BV30" s="128" t="s">
        <v>16</v>
      </c>
      <c r="BW30" s="128" t="s">
        <v>16</v>
      </c>
      <c r="BX30" s="128" t="s">
        <v>16</v>
      </c>
      <c r="BY30" s="128" t="s">
        <v>16</v>
      </c>
      <c r="BZ30" s="128" t="s">
        <v>16</v>
      </c>
      <c r="CA30" s="128" t="s">
        <v>15</v>
      </c>
      <c r="CB30" s="128" t="s">
        <v>15</v>
      </c>
      <c r="CC30" s="128" t="s">
        <v>15</v>
      </c>
      <c r="CD30" s="128" t="s">
        <v>15</v>
      </c>
      <c r="CE30" s="128" t="s">
        <v>15</v>
      </c>
      <c r="CF30" s="128" t="s">
        <v>15</v>
      </c>
      <c r="CG30" s="128" t="s">
        <v>16</v>
      </c>
      <c r="CH30" s="128" t="s">
        <v>15</v>
      </c>
      <c r="CI30" s="128" t="s">
        <v>15</v>
      </c>
      <c r="CJ30" s="128" t="s">
        <v>16</v>
      </c>
      <c r="CK30" s="128" t="s">
        <v>16</v>
      </c>
      <c r="CL30" s="128" t="s">
        <v>15</v>
      </c>
      <c r="CM30" s="128" t="s">
        <v>16</v>
      </c>
      <c r="CN30" s="128" t="s">
        <v>16</v>
      </c>
      <c r="CO30" s="128" t="s">
        <v>16</v>
      </c>
      <c r="CP30" s="128" t="s">
        <v>16</v>
      </c>
      <c r="CQ30" s="128" t="s">
        <v>15</v>
      </c>
      <c r="CR30" s="128" t="s">
        <v>15</v>
      </c>
      <c r="CS30" s="128" t="s">
        <v>16</v>
      </c>
      <c r="CT30" s="128" t="s">
        <v>16</v>
      </c>
      <c r="CU30" s="128" t="s">
        <v>15</v>
      </c>
      <c r="CV30" s="128" t="s">
        <v>16</v>
      </c>
      <c r="CW30" s="128" t="s">
        <v>16</v>
      </c>
      <c r="CX30" s="128" t="s">
        <v>15</v>
      </c>
      <c r="CY30" s="128" t="s">
        <v>15</v>
      </c>
      <c r="CZ30" s="128" t="s">
        <v>15</v>
      </c>
      <c r="DA30" s="128" t="s">
        <v>16</v>
      </c>
      <c r="DB30" s="128" t="s">
        <v>16</v>
      </c>
      <c r="DC30" s="128" t="s">
        <v>15</v>
      </c>
      <c r="DD30" s="128" t="s">
        <v>15</v>
      </c>
      <c r="DE30" s="128" t="s">
        <v>15</v>
      </c>
      <c r="DF30" s="128" t="s">
        <v>15</v>
      </c>
      <c r="DG30" s="128" t="s">
        <v>15</v>
      </c>
      <c r="DH30" s="128" t="s">
        <v>15</v>
      </c>
      <c r="DI30" s="128" t="s">
        <v>15</v>
      </c>
      <c r="DJ30" s="128" t="s">
        <v>15</v>
      </c>
      <c r="DK30" s="128" t="s">
        <v>15</v>
      </c>
      <c r="DL30" s="128" t="s">
        <v>15</v>
      </c>
      <c r="DM30" s="17" t="s">
        <v>549</v>
      </c>
      <c r="DN30" s="17" t="s">
        <v>263</v>
      </c>
      <c r="DO30" s="17" t="s">
        <v>17</v>
      </c>
      <c r="DP30" s="185">
        <v>0.08</v>
      </c>
      <c r="DQ30" s="184">
        <v>2500000</v>
      </c>
      <c r="DR30" s="184">
        <v>600000</v>
      </c>
      <c r="DS30" s="17">
        <v>1</v>
      </c>
      <c r="DT30" s="184">
        <v>6500</v>
      </c>
      <c r="DU30" s="184"/>
      <c r="DV30" s="184"/>
      <c r="DW30" s="184">
        <v>5500</v>
      </c>
      <c r="DX30" s="184">
        <v>3500</v>
      </c>
      <c r="DY30" s="184">
        <v>4500</v>
      </c>
      <c r="DZ30" s="184">
        <v>10000</v>
      </c>
      <c r="EA30" s="184">
        <v>9000</v>
      </c>
      <c r="EB30" s="184">
        <v>4000</v>
      </c>
      <c r="EC30" s="184">
        <v>5000</v>
      </c>
      <c r="ED30" s="184">
        <v>4000</v>
      </c>
      <c r="EE30" s="184">
        <v>8000</v>
      </c>
      <c r="EF30" s="184">
        <v>8500</v>
      </c>
      <c r="EG30" s="184">
        <v>3500</v>
      </c>
      <c r="EH30" s="184">
        <v>6000</v>
      </c>
      <c r="EI30" s="184">
        <v>5500</v>
      </c>
      <c r="EJ30" s="184">
        <v>7500</v>
      </c>
      <c r="EK30" s="184">
        <v>7000</v>
      </c>
      <c r="EL30" s="184">
        <v>1500</v>
      </c>
      <c r="EM30" s="184">
        <v>0</v>
      </c>
      <c r="EN30" s="184">
        <v>5000</v>
      </c>
      <c r="EO30" s="184">
        <v>4500</v>
      </c>
      <c r="EP30" s="184">
        <v>7500</v>
      </c>
      <c r="EQ30" s="184">
        <v>500</v>
      </c>
      <c r="ER30" s="184">
        <v>5000</v>
      </c>
      <c r="ES30" s="48" t="s">
        <v>15</v>
      </c>
      <c r="ET30" s="90">
        <v>1</v>
      </c>
      <c r="EU30" s="48" t="s">
        <v>16</v>
      </c>
      <c r="EV30" s="90" t="s">
        <v>15</v>
      </c>
      <c r="EW30" s="90" t="s">
        <v>16</v>
      </c>
      <c r="EX30" s="90" t="s">
        <v>16</v>
      </c>
      <c r="EY30" s="90" t="s">
        <v>15</v>
      </c>
      <c r="EZ30" s="90" t="s">
        <v>16</v>
      </c>
      <c r="FA30" s="90" t="s">
        <v>16</v>
      </c>
      <c r="FB30" s="90" t="s">
        <v>16</v>
      </c>
      <c r="FC30" s="90">
        <v>1937</v>
      </c>
      <c r="FD30" s="90">
        <v>1916</v>
      </c>
      <c r="FE30" s="90">
        <v>1924</v>
      </c>
      <c r="FF30" s="90">
        <v>586</v>
      </c>
      <c r="FG30" s="90">
        <v>234</v>
      </c>
      <c r="FH30" s="90">
        <v>793</v>
      </c>
      <c r="FI30" s="90">
        <v>504</v>
      </c>
      <c r="FJ30" s="90">
        <v>2287</v>
      </c>
      <c r="FK30" s="90">
        <v>2066</v>
      </c>
      <c r="FL30" s="90">
        <v>2123</v>
      </c>
      <c r="FM30" s="90" t="s">
        <v>16</v>
      </c>
      <c r="FN30" s="90" t="s">
        <v>15</v>
      </c>
      <c r="FO30" s="90" t="s">
        <v>15</v>
      </c>
      <c r="FP30" s="90" t="s">
        <v>16</v>
      </c>
      <c r="FQ30" s="90" t="s">
        <v>15</v>
      </c>
      <c r="FR30" s="90" t="s">
        <v>15</v>
      </c>
      <c r="FS30" s="90">
        <v>103</v>
      </c>
      <c r="FT30" s="17"/>
      <c r="FU30" s="17"/>
      <c r="FV30" s="17"/>
      <c r="FW30" s="48" t="s">
        <v>533</v>
      </c>
      <c r="FX30" s="48" t="s">
        <v>471</v>
      </c>
      <c r="FY30" s="48">
        <v>6</v>
      </c>
      <c r="FZ30" s="48">
        <v>158</v>
      </c>
      <c r="GA30" s="48" t="s">
        <v>15</v>
      </c>
      <c r="GB30" s="90" t="s">
        <v>15</v>
      </c>
      <c r="GC30" s="90" t="s">
        <v>16</v>
      </c>
      <c r="GD30" s="90" t="s">
        <v>16</v>
      </c>
      <c r="GE30" s="90" t="s">
        <v>16</v>
      </c>
      <c r="GF30" s="90" t="s">
        <v>16</v>
      </c>
      <c r="GG30" s="90" t="s">
        <v>15</v>
      </c>
      <c r="GJ30" s="57" t="s">
        <v>411</v>
      </c>
      <c r="GK30" s="57">
        <v>3</v>
      </c>
    </row>
    <row r="31" spans="1:193" x14ac:dyDescent="0.25">
      <c r="A31" s="17" t="s">
        <v>548</v>
      </c>
      <c r="B31" s="128" t="s">
        <v>470</v>
      </c>
      <c r="C31" s="188">
        <v>657403.63636364299</v>
      </c>
      <c r="D31" s="188">
        <v>99999999</v>
      </c>
      <c r="E31" s="90" t="s">
        <v>532</v>
      </c>
      <c r="F31" s="90">
        <v>30</v>
      </c>
      <c r="G31" s="90">
        <v>65</v>
      </c>
      <c r="H31" s="90" t="s">
        <v>15</v>
      </c>
      <c r="I31" s="90" t="s">
        <v>15</v>
      </c>
      <c r="J31" s="90" t="s">
        <v>15</v>
      </c>
      <c r="K31" s="90"/>
      <c r="L31" s="90"/>
      <c r="M31" s="90"/>
      <c r="N31" s="90"/>
      <c r="O31" s="90"/>
      <c r="P31" s="90"/>
      <c r="Q31" s="90"/>
      <c r="R31" s="90"/>
      <c r="S31" s="90"/>
      <c r="T31" s="90"/>
      <c r="U31" s="90"/>
      <c r="V31" s="90"/>
      <c r="W31" s="90"/>
      <c r="X31" s="90"/>
      <c r="Y31" s="90"/>
      <c r="Z31" s="90"/>
      <c r="AA31" s="90"/>
      <c r="AB31" s="90"/>
      <c r="AC31" s="90"/>
      <c r="AD31" s="90"/>
      <c r="AE31" s="90"/>
      <c r="AF31" s="90"/>
      <c r="AG31" s="90"/>
      <c r="AH31" s="90"/>
      <c r="AI31" s="90"/>
      <c r="AJ31" s="90"/>
      <c r="AK31" s="90"/>
      <c r="AL31" s="90"/>
      <c r="AM31" s="90"/>
      <c r="AN31" s="90"/>
      <c r="AO31" s="90"/>
      <c r="AP31" s="90"/>
      <c r="AQ31" s="90"/>
      <c r="AR31" s="90"/>
      <c r="AS31" s="90"/>
      <c r="AT31" s="186">
        <v>4</v>
      </c>
      <c r="AU31" s="186">
        <v>8</v>
      </c>
      <c r="AV31" s="187">
        <v>8000</v>
      </c>
      <c r="AW31" s="187">
        <v>12000</v>
      </c>
      <c r="AX31" s="90">
        <v>5</v>
      </c>
      <c r="AY31" s="90">
        <v>2</v>
      </c>
      <c r="AZ31" s="186" t="s">
        <v>15</v>
      </c>
      <c r="BA31" s="186">
        <v>2</v>
      </c>
      <c r="BB31" s="17"/>
      <c r="BC31" s="186" t="s">
        <v>15</v>
      </c>
      <c r="BD31" s="128" t="s">
        <v>15</v>
      </c>
      <c r="BE31" s="128" t="s">
        <v>15</v>
      </c>
      <c r="BF31" s="128" t="s">
        <v>15</v>
      </c>
      <c r="BG31" s="128" t="s">
        <v>15</v>
      </c>
      <c r="BH31" s="128" t="s">
        <v>16</v>
      </c>
      <c r="BI31" s="128" t="s">
        <v>15</v>
      </c>
      <c r="BJ31" s="128" t="s">
        <v>15</v>
      </c>
      <c r="BK31" s="128" t="s">
        <v>15</v>
      </c>
      <c r="BL31" s="128" t="s">
        <v>15</v>
      </c>
      <c r="BM31" s="128" t="s">
        <v>15</v>
      </c>
      <c r="BN31" s="128" t="s">
        <v>16</v>
      </c>
      <c r="BO31" s="128" t="s">
        <v>16</v>
      </c>
      <c r="BP31" s="128" t="s">
        <v>16</v>
      </c>
      <c r="BQ31" s="128" t="s">
        <v>15</v>
      </c>
      <c r="BR31" s="128" t="s">
        <v>16</v>
      </c>
      <c r="BS31" s="128" t="s">
        <v>15</v>
      </c>
      <c r="BT31" s="128" t="s">
        <v>15</v>
      </c>
      <c r="BU31" s="128" t="s">
        <v>15</v>
      </c>
      <c r="BV31" s="128" t="s">
        <v>16</v>
      </c>
      <c r="BW31" s="128" t="s">
        <v>15</v>
      </c>
      <c r="BX31" s="128" t="s">
        <v>16</v>
      </c>
      <c r="BY31" s="128" t="s">
        <v>16</v>
      </c>
      <c r="BZ31" s="128" t="s">
        <v>15</v>
      </c>
      <c r="CA31" s="128" t="s">
        <v>16</v>
      </c>
      <c r="CB31" s="128" t="s">
        <v>16</v>
      </c>
      <c r="CC31" s="128" t="s">
        <v>16</v>
      </c>
      <c r="CD31" s="128" t="s">
        <v>15</v>
      </c>
      <c r="CE31" s="128" t="s">
        <v>15</v>
      </c>
      <c r="CF31" s="128" t="s">
        <v>15</v>
      </c>
      <c r="CG31" s="128" t="s">
        <v>15</v>
      </c>
      <c r="CH31" s="128" t="s">
        <v>15</v>
      </c>
      <c r="CI31" s="128" t="s">
        <v>16</v>
      </c>
      <c r="CJ31" s="128" t="s">
        <v>15</v>
      </c>
      <c r="CK31" s="128" t="s">
        <v>16</v>
      </c>
      <c r="CL31" s="128" t="s">
        <v>16</v>
      </c>
      <c r="CM31" s="128" t="s">
        <v>16</v>
      </c>
      <c r="CN31" s="128" t="s">
        <v>16</v>
      </c>
      <c r="CO31" s="128" t="s">
        <v>16</v>
      </c>
      <c r="CP31" s="128" t="s">
        <v>16</v>
      </c>
      <c r="CQ31" s="128" t="s">
        <v>15</v>
      </c>
      <c r="CR31" s="128" t="s">
        <v>15</v>
      </c>
      <c r="CS31" s="128" t="s">
        <v>16</v>
      </c>
      <c r="CT31" s="128" t="s">
        <v>16</v>
      </c>
      <c r="CU31" s="128" t="s">
        <v>15</v>
      </c>
      <c r="CV31" s="128" t="s">
        <v>16</v>
      </c>
      <c r="CW31" s="128" t="s">
        <v>15</v>
      </c>
      <c r="CX31" s="128" t="s">
        <v>16</v>
      </c>
      <c r="CY31" s="128" t="s">
        <v>16</v>
      </c>
      <c r="CZ31" s="128" t="s">
        <v>16</v>
      </c>
      <c r="DA31" s="128" t="s">
        <v>16</v>
      </c>
      <c r="DB31" s="128" t="s">
        <v>15</v>
      </c>
      <c r="DC31" s="128" t="s">
        <v>16</v>
      </c>
      <c r="DD31" s="128" t="s">
        <v>15</v>
      </c>
      <c r="DE31" s="128" t="s">
        <v>16</v>
      </c>
      <c r="DF31" s="128" t="s">
        <v>15</v>
      </c>
      <c r="DG31" s="128" t="s">
        <v>15</v>
      </c>
      <c r="DH31" s="128" t="s">
        <v>15</v>
      </c>
      <c r="DI31" s="128" t="s">
        <v>15</v>
      </c>
      <c r="DJ31" s="128" t="s">
        <v>15</v>
      </c>
      <c r="DK31" s="128" t="s">
        <v>16</v>
      </c>
      <c r="DL31" s="128" t="s">
        <v>16</v>
      </c>
      <c r="DM31" s="17" t="s">
        <v>548</v>
      </c>
      <c r="DN31" s="17" t="s">
        <v>79</v>
      </c>
      <c r="DO31" s="17" t="s">
        <v>19</v>
      </c>
      <c r="DP31" s="185">
        <v>0.09</v>
      </c>
      <c r="DQ31" s="184">
        <v>1000000</v>
      </c>
      <c r="DR31" s="184">
        <v>700000</v>
      </c>
      <c r="DS31" s="17">
        <v>3</v>
      </c>
      <c r="DT31" s="184">
        <v>500</v>
      </c>
      <c r="DU31" s="184"/>
      <c r="DV31" s="184"/>
      <c r="DW31" s="184">
        <v>2500</v>
      </c>
      <c r="DX31" s="184">
        <v>6000</v>
      </c>
      <c r="DY31" s="184">
        <v>7000</v>
      </c>
      <c r="DZ31" s="184">
        <v>3500</v>
      </c>
      <c r="EA31" s="184">
        <v>3500</v>
      </c>
      <c r="EB31" s="184">
        <v>0</v>
      </c>
      <c r="EC31" s="184">
        <v>0</v>
      </c>
      <c r="ED31" s="184">
        <v>1000</v>
      </c>
      <c r="EE31" s="184">
        <v>2500</v>
      </c>
      <c r="EF31" s="184">
        <v>3000</v>
      </c>
      <c r="EG31" s="184">
        <v>5000</v>
      </c>
      <c r="EH31" s="184">
        <v>0</v>
      </c>
      <c r="EI31" s="184">
        <v>2000</v>
      </c>
      <c r="EJ31" s="184">
        <v>9500</v>
      </c>
      <c r="EK31" s="184">
        <v>7500</v>
      </c>
      <c r="EL31" s="184">
        <v>9000</v>
      </c>
      <c r="EM31" s="184">
        <v>1500</v>
      </c>
      <c r="EN31" s="184">
        <v>10000</v>
      </c>
      <c r="EO31" s="184">
        <v>10000</v>
      </c>
      <c r="EP31" s="184">
        <v>6000</v>
      </c>
      <c r="EQ31" s="184">
        <v>8500</v>
      </c>
      <c r="ER31" s="184">
        <v>500</v>
      </c>
      <c r="ES31" s="48" t="s">
        <v>16</v>
      </c>
      <c r="ET31" s="90">
        <v>6</v>
      </c>
      <c r="EU31" s="48" t="s">
        <v>15</v>
      </c>
      <c r="EV31" s="90" t="s">
        <v>16</v>
      </c>
      <c r="EW31" s="90" t="s">
        <v>15</v>
      </c>
      <c r="EX31" s="90" t="s">
        <v>15</v>
      </c>
      <c r="EY31" s="90" t="s">
        <v>15</v>
      </c>
      <c r="EZ31" s="90" t="s">
        <v>15</v>
      </c>
      <c r="FA31" s="90" t="s">
        <v>15</v>
      </c>
      <c r="FB31" s="90" t="s">
        <v>15</v>
      </c>
      <c r="FC31" s="90">
        <v>1236</v>
      </c>
      <c r="FD31" s="90">
        <v>1794</v>
      </c>
      <c r="FE31" s="90">
        <v>1628</v>
      </c>
      <c r="FF31" s="90">
        <v>330</v>
      </c>
      <c r="FG31" s="90">
        <v>741</v>
      </c>
      <c r="FH31" s="90">
        <v>847</v>
      </c>
      <c r="FI31" s="90">
        <v>211</v>
      </c>
      <c r="FJ31" s="90">
        <v>1340</v>
      </c>
      <c r="FK31" s="90">
        <v>1183</v>
      </c>
      <c r="FL31" s="90">
        <v>1507</v>
      </c>
      <c r="FM31" s="90" t="s">
        <v>15</v>
      </c>
      <c r="FN31" s="90" t="s">
        <v>15</v>
      </c>
      <c r="FO31" s="90" t="s">
        <v>15</v>
      </c>
      <c r="FP31" s="90" t="s">
        <v>16</v>
      </c>
      <c r="FQ31" s="90" t="s">
        <v>15</v>
      </c>
      <c r="FR31" s="90" t="s">
        <v>16</v>
      </c>
      <c r="FS31" s="90">
        <v>0</v>
      </c>
      <c r="FT31" s="17"/>
      <c r="FU31" s="17"/>
      <c r="FV31" s="17"/>
      <c r="FW31" s="48" t="s">
        <v>531</v>
      </c>
      <c r="FX31" s="48" t="s">
        <v>471</v>
      </c>
      <c r="FY31" s="48">
        <v>3</v>
      </c>
      <c r="FZ31" s="48">
        <v>87</v>
      </c>
      <c r="GA31" s="48" t="s">
        <v>15</v>
      </c>
      <c r="GB31" s="90" t="s">
        <v>15</v>
      </c>
      <c r="GC31" s="90" t="s">
        <v>16</v>
      </c>
      <c r="GD31" s="90" t="s">
        <v>16</v>
      </c>
      <c r="GE31" s="90" t="s">
        <v>16</v>
      </c>
      <c r="GF31" s="90" t="s">
        <v>15</v>
      </c>
      <c r="GG31" s="90" t="s">
        <v>15</v>
      </c>
      <c r="GJ31" s="57" t="s">
        <v>410</v>
      </c>
      <c r="GK31" s="57">
        <v>2</v>
      </c>
    </row>
    <row r="32" spans="1:193" x14ac:dyDescent="0.25">
      <c r="A32" s="17" t="s">
        <v>547</v>
      </c>
      <c r="B32" s="128" t="s">
        <v>470</v>
      </c>
      <c r="C32" s="188">
        <v>596797.57575757196</v>
      </c>
      <c r="D32" s="188">
        <v>99999999</v>
      </c>
      <c r="E32" s="90" t="s">
        <v>532</v>
      </c>
      <c r="F32" s="90">
        <v>18</v>
      </c>
      <c r="G32" s="90">
        <v>65</v>
      </c>
      <c r="H32" s="90" t="s">
        <v>15</v>
      </c>
      <c r="I32" s="90" t="s">
        <v>15</v>
      </c>
      <c r="J32" s="90" t="s">
        <v>15</v>
      </c>
      <c r="K32" s="90"/>
      <c r="L32" s="90"/>
      <c r="M32" s="90"/>
      <c r="N32" s="90"/>
      <c r="O32" s="90"/>
      <c r="P32" s="90"/>
      <c r="Q32" s="90"/>
      <c r="R32" s="90"/>
      <c r="S32" s="90"/>
      <c r="T32" s="90"/>
      <c r="U32" s="90"/>
      <c r="V32" s="90"/>
      <c r="W32" s="90"/>
      <c r="X32" s="90"/>
      <c r="Y32" s="90"/>
      <c r="Z32" s="90"/>
      <c r="AA32" s="90"/>
      <c r="AB32" s="90"/>
      <c r="AC32" s="90"/>
      <c r="AD32" s="90"/>
      <c r="AE32" s="90"/>
      <c r="AF32" s="90"/>
      <c r="AG32" s="90"/>
      <c r="AH32" s="90"/>
      <c r="AI32" s="90"/>
      <c r="AJ32" s="90"/>
      <c r="AK32" s="90"/>
      <c r="AL32" s="90"/>
      <c r="AM32" s="90"/>
      <c r="AN32" s="90"/>
      <c r="AO32" s="90"/>
      <c r="AP32" s="90"/>
      <c r="AQ32" s="90"/>
      <c r="AR32" s="90"/>
      <c r="AS32" s="90"/>
      <c r="AT32" s="186">
        <v>21</v>
      </c>
      <c r="AU32" s="186">
        <v>8</v>
      </c>
      <c r="AV32" s="187">
        <v>10000</v>
      </c>
      <c r="AW32" s="187">
        <v>15000</v>
      </c>
      <c r="AX32" s="90">
        <v>2</v>
      </c>
      <c r="AY32" s="90">
        <v>5</v>
      </c>
      <c r="AZ32" s="186" t="s">
        <v>16</v>
      </c>
      <c r="BA32" s="186">
        <v>2</v>
      </c>
      <c r="BB32" s="17"/>
      <c r="BC32" s="186" t="s">
        <v>16</v>
      </c>
      <c r="BD32" s="128" t="s">
        <v>16</v>
      </c>
      <c r="BE32" s="128" t="s">
        <v>15</v>
      </c>
      <c r="BF32" s="128" t="s">
        <v>15</v>
      </c>
      <c r="BG32" s="128" t="s">
        <v>15</v>
      </c>
      <c r="BH32" s="128" t="s">
        <v>15</v>
      </c>
      <c r="BI32" s="128" t="s">
        <v>15</v>
      </c>
      <c r="BJ32" s="128" t="s">
        <v>16</v>
      </c>
      <c r="BK32" s="128" t="s">
        <v>15</v>
      </c>
      <c r="BL32" s="128" t="s">
        <v>16</v>
      </c>
      <c r="BM32" s="128" t="s">
        <v>16</v>
      </c>
      <c r="BN32" s="128" t="s">
        <v>16</v>
      </c>
      <c r="BO32" s="128" t="s">
        <v>15</v>
      </c>
      <c r="BP32" s="128" t="s">
        <v>16</v>
      </c>
      <c r="BQ32" s="128" t="s">
        <v>16</v>
      </c>
      <c r="BR32" s="128" t="s">
        <v>16</v>
      </c>
      <c r="BS32" s="128" t="s">
        <v>15</v>
      </c>
      <c r="BT32" s="128" t="s">
        <v>15</v>
      </c>
      <c r="BU32" s="128" t="s">
        <v>15</v>
      </c>
      <c r="BV32" s="128" t="s">
        <v>15</v>
      </c>
      <c r="BW32" s="128" t="s">
        <v>15</v>
      </c>
      <c r="BX32" s="128" t="s">
        <v>15</v>
      </c>
      <c r="BY32" s="128" t="s">
        <v>15</v>
      </c>
      <c r="BZ32" s="128" t="s">
        <v>16</v>
      </c>
      <c r="CA32" s="128" t="s">
        <v>15</v>
      </c>
      <c r="CB32" s="128" t="s">
        <v>15</v>
      </c>
      <c r="CC32" s="128" t="s">
        <v>15</v>
      </c>
      <c r="CD32" s="128" t="s">
        <v>15</v>
      </c>
      <c r="CE32" s="128" t="s">
        <v>15</v>
      </c>
      <c r="CF32" s="128" t="s">
        <v>15</v>
      </c>
      <c r="CG32" s="128" t="s">
        <v>16</v>
      </c>
      <c r="CH32" s="128" t="s">
        <v>15</v>
      </c>
      <c r="CI32" s="128" t="s">
        <v>15</v>
      </c>
      <c r="CJ32" s="128" t="s">
        <v>16</v>
      </c>
      <c r="CK32" s="128" t="s">
        <v>16</v>
      </c>
      <c r="CL32" s="128" t="s">
        <v>15</v>
      </c>
      <c r="CM32" s="128" t="s">
        <v>16</v>
      </c>
      <c r="CN32" s="128" t="s">
        <v>16</v>
      </c>
      <c r="CO32" s="128" t="s">
        <v>16</v>
      </c>
      <c r="CP32" s="128" t="s">
        <v>16</v>
      </c>
      <c r="CQ32" s="128" t="s">
        <v>15</v>
      </c>
      <c r="CR32" s="128" t="s">
        <v>15</v>
      </c>
      <c r="CS32" s="128" t="s">
        <v>16</v>
      </c>
      <c r="CT32" s="128" t="s">
        <v>16</v>
      </c>
      <c r="CU32" s="128" t="s">
        <v>15</v>
      </c>
      <c r="CV32" s="128" t="s">
        <v>16</v>
      </c>
      <c r="CW32" s="128" t="s">
        <v>16</v>
      </c>
      <c r="CX32" s="128" t="s">
        <v>15</v>
      </c>
      <c r="CY32" s="128" t="s">
        <v>16</v>
      </c>
      <c r="CZ32" s="128" t="s">
        <v>15</v>
      </c>
      <c r="DA32" s="128" t="s">
        <v>16</v>
      </c>
      <c r="DB32" s="128" t="s">
        <v>16</v>
      </c>
      <c r="DC32" s="128" t="s">
        <v>15</v>
      </c>
      <c r="DD32" s="128" t="s">
        <v>16</v>
      </c>
      <c r="DE32" s="128" t="s">
        <v>15</v>
      </c>
      <c r="DF32" s="128" t="s">
        <v>15</v>
      </c>
      <c r="DG32" s="128" t="s">
        <v>16</v>
      </c>
      <c r="DH32" s="128" t="s">
        <v>16</v>
      </c>
      <c r="DI32" s="128" t="s">
        <v>16</v>
      </c>
      <c r="DJ32" s="128" t="s">
        <v>16</v>
      </c>
      <c r="DK32" s="128" t="s">
        <v>15</v>
      </c>
      <c r="DL32" s="128" t="s">
        <v>15</v>
      </c>
      <c r="DM32" s="17" t="s">
        <v>547</v>
      </c>
      <c r="DN32" s="17" t="s">
        <v>79</v>
      </c>
      <c r="DO32" s="17" t="s">
        <v>20</v>
      </c>
      <c r="DP32" s="185">
        <v>0.11</v>
      </c>
      <c r="DQ32" s="184">
        <v>2100000</v>
      </c>
      <c r="DR32" s="184">
        <v>1600000</v>
      </c>
      <c r="DS32" s="17">
        <v>3</v>
      </c>
      <c r="DT32" s="184">
        <v>2000</v>
      </c>
      <c r="DU32" s="184"/>
      <c r="DV32" s="184"/>
      <c r="DW32" s="184">
        <v>9000</v>
      </c>
      <c r="DX32" s="184">
        <v>1000</v>
      </c>
      <c r="DY32" s="184">
        <v>3000</v>
      </c>
      <c r="DZ32" s="184">
        <v>6500</v>
      </c>
      <c r="EA32" s="184">
        <v>3000</v>
      </c>
      <c r="EB32" s="184">
        <v>3000</v>
      </c>
      <c r="EC32" s="184">
        <v>9000</v>
      </c>
      <c r="ED32" s="184">
        <v>8500</v>
      </c>
      <c r="EE32" s="184">
        <v>3500</v>
      </c>
      <c r="EF32" s="184">
        <v>9000</v>
      </c>
      <c r="EG32" s="184">
        <v>2500</v>
      </c>
      <c r="EH32" s="184">
        <v>5000</v>
      </c>
      <c r="EI32" s="184">
        <v>9500</v>
      </c>
      <c r="EJ32" s="184">
        <v>6000</v>
      </c>
      <c r="EK32" s="184">
        <v>1500</v>
      </c>
      <c r="EL32" s="184">
        <v>5500</v>
      </c>
      <c r="EM32" s="184">
        <v>4000</v>
      </c>
      <c r="EN32" s="184">
        <v>4000</v>
      </c>
      <c r="EO32" s="184">
        <v>500</v>
      </c>
      <c r="EP32" s="184">
        <v>4000</v>
      </c>
      <c r="EQ32" s="184">
        <v>9500</v>
      </c>
      <c r="ER32" s="184">
        <v>5000</v>
      </c>
      <c r="ES32" s="48" t="s">
        <v>16</v>
      </c>
      <c r="ET32" s="90">
        <v>30</v>
      </c>
      <c r="EU32" s="48" t="s">
        <v>16</v>
      </c>
      <c r="EV32" s="90" t="s">
        <v>15</v>
      </c>
      <c r="EW32" s="90" t="s">
        <v>15</v>
      </c>
      <c r="EX32" s="90" t="s">
        <v>16</v>
      </c>
      <c r="EY32" s="90" t="s">
        <v>16</v>
      </c>
      <c r="EZ32" s="90" t="s">
        <v>15</v>
      </c>
      <c r="FA32" s="90" t="s">
        <v>15</v>
      </c>
      <c r="FB32" s="90" t="s">
        <v>16</v>
      </c>
      <c r="FC32" s="90">
        <v>1454</v>
      </c>
      <c r="FD32" s="90">
        <v>1011</v>
      </c>
      <c r="FE32" s="90">
        <v>1265</v>
      </c>
      <c r="FF32" s="90">
        <v>1881</v>
      </c>
      <c r="FG32" s="90">
        <v>1055</v>
      </c>
      <c r="FH32" s="90">
        <v>1262</v>
      </c>
      <c r="FI32" s="90">
        <v>431</v>
      </c>
      <c r="FJ32" s="90">
        <v>802</v>
      </c>
      <c r="FK32" s="90">
        <v>1708</v>
      </c>
      <c r="FL32" s="90">
        <v>2019</v>
      </c>
      <c r="FM32" s="90" t="s">
        <v>15</v>
      </c>
      <c r="FN32" s="90" t="s">
        <v>15</v>
      </c>
      <c r="FO32" s="90" t="s">
        <v>15</v>
      </c>
      <c r="FP32" s="90" t="s">
        <v>16</v>
      </c>
      <c r="FQ32" s="90" t="s">
        <v>16</v>
      </c>
      <c r="FR32" s="90" t="s">
        <v>15</v>
      </c>
      <c r="FS32" s="90">
        <v>29</v>
      </c>
      <c r="FT32" s="17"/>
      <c r="FU32" s="17"/>
      <c r="FV32" s="17"/>
      <c r="FW32" s="48" t="s">
        <v>533</v>
      </c>
      <c r="FX32" s="48" t="s">
        <v>531</v>
      </c>
      <c r="FY32" s="48">
        <v>5</v>
      </c>
      <c r="FZ32" s="48">
        <v>108</v>
      </c>
      <c r="GA32" s="48" t="s">
        <v>15</v>
      </c>
      <c r="GB32" s="90" t="s">
        <v>15</v>
      </c>
      <c r="GC32" s="90" t="s">
        <v>15</v>
      </c>
      <c r="GD32" s="90" t="s">
        <v>16</v>
      </c>
      <c r="GE32" s="90" t="s">
        <v>16</v>
      </c>
      <c r="GF32" s="90" t="s">
        <v>15</v>
      </c>
      <c r="GG32" s="90" t="s">
        <v>15</v>
      </c>
      <c r="GJ32" s="57" t="s">
        <v>409</v>
      </c>
      <c r="GK32" s="57">
        <v>1</v>
      </c>
    </row>
    <row r="33" spans="1:193" ht="15.75" thickBot="1" x14ac:dyDescent="0.3">
      <c r="A33" s="17" t="s">
        <v>546</v>
      </c>
      <c r="B33" s="128" t="s">
        <v>470</v>
      </c>
      <c r="C33" s="188">
        <v>536191.51515151304</v>
      </c>
      <c r="D33" s="188">
        <v>99999999</v>
      </c>
      <c r="E33" s="90" t="s">
        <v>532</v>
      </c>
      <c r="F33" s="90">
        <v>25</v>
      </c>
      <c r="G33" s="90">
        <v>65</v>
      </c>
      <c r="H33" s="90" t="s">
        <v>15</v>
      </c>
      <c r="I33" s="90" t="s">
        <v>15</v>
      </c>
      <c r="J33" s="90" t="s">
        <v>15</v>
      </c>
      <c r="K33" s="90"/>
      <c r="L33" s="90"/>
      <c r="M33" s="90"/>
      <c r="N33" s="90"/>
      <c r="O33" s="90"/>
      <c r="P33" s="90"/>
      <c r="Q33" s="90"/>
      <c r="R33" s="90"/>
      <c r="S33" s="90"/>
      <c r="T33" s="90"/>
      <c r="U33" s="90"/>
      <c r="V33" s="90"/>
      <c r="W33" s="90"/>
      <c r="X33" s="90"/>
      <c r="Y33" s="90"/>
      <c r="Z33" s="90"/>
      <c r="AA33" s="90"/>
      <c r="AB33" s="90"/>
      <c r="AC33" s="90"/>
      <c r="AD33" s="90"/>
      <c r="AE33" s="90"/>
      <c r="AF33" s="90"/>
      <c r="AG33" s="90"/>
      <c r="AH33" s="90"/>
      <c r="AI33" s="90"/>
      <c r="AJ33" s="90"/>
      <c r="AK33" s="90"/>
      <c r="AL33" s="90"/>
      <c r="AM33" s="90"/>
      <c r="AN33" s="90"/>
      <c r="AO33" s="90"/>
      <c r="AP33" s="90"/>
      <c r="AQ33" s="90"/>
      <c r="AR33" s="90"/>
      <c r="AS33" s="90"/>
      <c r="AT33" s="186">
        <v>23</v>
      </c>
      <c r="AU33" s="186">
        <v>6</v>
      </c>
      <c r="AV33" s="187">
        <v>15000</v>
      </c>
      <c r="AW33" s="187">
        <v>15000</v>
      </c>
      <c r="AX33" s="90">
        <v>1</v>
      </c>
      <c r="AY33" s="90">
        <v>3</v>
      </c>
      <c r="AZ33" s="186" t="s">
        <v>15</v>
      </c>
      <c r="BA33" s="186">
        <v>2</v>
      </c>
      <c r="BB33" s="17"/>
      <c r="BC33" s="186" t="s">
        <v>16</v>
      </c>
      <c r="BD33" s="128" t="s">
        <v>15</v>
      </c>
      <c r="BE33" s="128" t="s">
        <v>16</v>
      </c>
      <c r="BF33" s="128" t="s">
        <v>16</v>
      </c>
      <c r="BG33" s="128" t="s">
        <v>16</v>
      </c>
      <c r="BH33" s="128" t="s">
        <v>16</v>
      </c>
      <c r="BI33" s="128" t="s">
        <v>16</v>
      </c>
      <c r="BJ33" s="128" t="s">
        <v>15</v>
      </c>
      <c r="BK33" s="128" t="s">
        <v>16</v>
      </c>
      <c r="BL33" s="128" t="s">
        <v>15</v>
      </c>
      <c r="BM33" s="128" t="s">
        <v>15</v>
      </c>
      <c r="BN33" s="128" t="s">
        <v>16</v>
      </c>
      <c r="BO33" s="128" t="s">
        <v>15</v>
      </c>
      <c r="BP33" s="128" t="s">
        <v>15</v>
      </c>
      <c r="BQ33" s="128" t="s">
        <v>16</v>
      </c>
      <c r="BR33" s="128" t="s">
        <v>16</v>
      </c>
      <c r="BS33" s="128" t="s">
        <v>15</v>
      </c>
      <c r="BT33" s="128" t="s">
        <v>16</v>
      </c>
      <c r="BU33" s="128" t="s">
        <v>16</v>
      </c>
      <c r="BV33" s="128" t="s">
        <v>15</v>
      </c>
      <c r="BW33" s="128" t="s">
        <v>15</v>
      </c>
      <c r="BX33" s="128" t="s">
        <v>16</v>
      </c>
      <c r="BY33" s="128" t="s">
        <v>16</v>
      </c>
      <c r="BZ33" s="128" t="s">
        <v>15</v>
      </c>
      <c r="CA33" s="128" t="s">
        <v>16</v>
      </c>
      <c r="CB33" s="128" t="s">
        <v>16</v>
      </c>
      <c r="CC33" s="128" t="s">
        <v>16</v>
      </c>
      <c r="CD33" s="128" t="s">
        <v>16</v>
      </c>
      <c r="CE33" s="128" t="s">
        <v>15</v>
      </c>
      <c r="CF33" s="128" t="s">
        <v>15</v>
      </c>
      <c r="CG33" s="128" t="s">
        <v>16</v>
      </c>
      <c r="CH33" s="128" t="s">
        <v>16</v>
      </c>
      <c r="CI33" s="128" t="s">
        <v>15</v>
      </c>
      <c r="CJ33" s="128" t="s">
        <v>16</v>
      </c>
      <c r="CK33" s="128" t="s">
        <v>15</v>
      </c>
      <c r="CL33" s="128" t="s">
        <v>15</v>
      </c>
      <c r="CM33" s="128" t="s">
        <v>15</v>
      </c>
      <c r="CN33" s="128" t="s">
        <v>16</v>
      </c>
      <c r="CO33" s="128" t="s">
        <v>16</v>
      </c>
      <c r="CP33" s="128" t="s">
        <v>15</v>
      </c>
      <c r="CQ33" s="128" t="s">
        <v>15</v>
      </c>
      <c r="CR33" s="128" t="s">
        <v>15</v>
      </c>
      <c r="CS33" s="128" t="s">
        <v>15</v>
      </c>
      <c r="CT33" s="128" t="s">
        <v>15</v>
      </c>
      <c r="CU33" s="128" t="s">
        <v>15</v>
      </c>
      <c r="CV33" s="128" t="s">
        <v>15</v>
      </c>
      <c r="CW33" s="128" t="s">
        <v>16</v>
      </c>
      <c r="CX33" s="128" t="s">
        <v>15</v>
      </c>
      <c r="CY33" s="128" t="s">
        <v>16</v>
      </c>
      <c r="CZ33" s="128" t="s">
        <v>15</v>
      </c>
      <c r="DA33" s="128" t="s">
        <v>16</v>
      </c>
      <c r="DB33" s="128" t="s">
        <v>15</v>
      </c>
      <c r="DC33" s="128" t="s">
        <v>15</v>
      </c>
      <c r="DD33" s="128" t="s">
        <v>16</v>
      </c>
      <c r="DE33" s="128" t="s">
        <v>15</v>
      </c>
      <c r="DF33" s="128" t="s">
        <v>15</v>
      </c>
      <c r="DG33" s="128" t="s">
        <v>16</v>
      </c>
      <c r="DH33" s="128" t="s">
        <v>15</v>
      </c>
      <c r="DI33" s="128" t="s">
        <v>15</v>
      </c>
      <c r="DJ33" s="128" t="s">
        <v>15</v>
      </c>
      <c r="DK33" s="128" t="s">
        <v>16</v>
      </c>
      <c r="DL33" s="128" t="s">
        <v>16</v>
      </c>
      <c r="DM33" s="17" t="s">
        <v>546</v>
      </c>
      <c r="DN33" s="17" t="s">
        <v>79</v>
      </c>
      <c r="DO33" s="17" t="s">
        <v>18</v>
      </c>
      <c r="DP33" s="185">
        <v>0.09</v>
      </c>
      <c r="DQ33" s="184">
        <v>1300000</v>
      </c>
      <c r="DR33" s="184">
        <v>600000</v>
      </c>
      <c r="DS33" s="17">
        <v>1</v>
      </c>
      <c r="DT33" s="184">
        <v>9500</v>
      </c>
      <c r="DU33" s="184"/>
      <c r="DV33" s="184"/>
      <c r="DW33" s="184">
        <v>2000</v>
      </c>
      <c r="DX33" s="184">
        <v>4000</v>
      </c>
      <c r="DY33" s="184">
        <v>0</v>
      </c>
      <c r="DZ33" s="184">
        <v>8000</v>
      </c>
      <c r="EA33" s="184">
        <v>4000</v>
      </c>
      <c r="EB33" s="184">
        <v>3500</v>
      </c>
      <c r="EC33" s="184">
        <v>3500</v>
      </c>
      <c r="ED33" s="184">
        <v>500</v>
      </c>
      <c r="EE33" s="184">
        <v>5500</v>
      </c>
      <c r="EF33" s="184">
        <v>3500</v>
      </c>
      <c r="EG33" s="184">
        <v>7000</v>
      </c>
      <c r="EH33" s="184">
        <v>5000</v>
      </c>
      <c r="EI33" s="184">
        <v>500</v>
      </c>
      <c r="EJ33" s="184">
        <v>3500</v>
      </c>
      <c r="EK33" s="184">
        <v>2000</v>
      </c>
      <c r="EL33" s="184">
        <v>500</v>
      </c>
      <c r="EM33" s="184">
        <v>3000</v>
      </c>
      <c r="EN33" s="184">
        <v>500</v>
      </c>
      <c r="EO33" s="184">
        <v>2500</v>
      </c>
      <c r="EP33" s="184">
        <v>5500</v>
      </c>
      <c r="EQ33" s="184">
        <v>7000</v>
      </c>
      <c r="ER33" s="184">
        <v>4500</v>
      </c>
      <c r="ES33" s="182" t="s">
        <v>15</v>
      </c>
      <c r="ET33" s="183">
        <v>6</v>
      </c>
      <c r="EU33" s="182" t="s">
        <v>15</v>
      </c>
      <c r="EV33" s="183" t="s">
        <v>16</v>
      </c>
      <c r="EW33" s="183" t="s">
        <v>15</v>
      </c>
      <c r="EX33" s="183" t="s">
        <v>15</v>
      </c>
      <c r="EY33" s="183" t="s">
        <v>15</v>
      </c>
      <c r="EZ33" s="183" t="s">
        <v>16</v>
      </c>
      <c r="FA33" s="183" t="s">
        <v>16</v>
      </c>
      <c r="FB33" s="183" t="s">
        <v>15</v>
      </c>
      <c r="FC33" s="90">
        <v>2042</v>
      </c>
      <c r="FD33" s="90">
        <v>1150</v>
      </c>
      <c r="FE33" s="90">
        <v>395</v>
      </c>
      <c r="FF33" s="90">
        <v>2165</v>
      </c>
      <c r="FG33" s="90">
        <v>1334</v>
      </c>
      <c r="FH33" s="90">
        <v>930</v>
      </c>
      <c r="FI33" s="90">
        <v>1098</v>
      </c>
      <c r="FJ33" s="90">
        <v>1459</v>
      </c>
      <c r="FK33" s="90">
        <v>1557</v>
      </c>
      <c r="FL33" s="90">
        <v>827</v>
      </c>
      <c r="FM33" s="90" t="s">
        <v>16</v>
      </c>
      <c r="FN33" s="90" t="s">
        <v>16</v>
      </c>
      <c r="FO33" s="90" t="s">
        <v>16</v>
      </c>
      <c r="FP33" s="90" t="s">
        <v>15</v>
      </c>
      <c r="FQ33" s="90" t="s">
        <v>16</v>
      </c>
      <c r="FR33" s="90" t="s">
        <v>15</v>
      </c>
      <c r="FS33" s="90">
        <v>61</v>
      </c>
      <c r="FT33" s="17"/>
      <c r="FU33" s="17"/>
      <c r="FV33" s="17"/>
      <c r="FW33" s="182" t="s">
        <v>533</v>
      </c>
      <c r="FX33" s="182" t="s">
        <v>471</v>
      </c>
      <c r="FY33" s="182">
        <v>1</v>
      </c>
      <c r="FZ33" s="182">
        <v>90</v>
      </c>
      <c r="GA33" s="182" t="s">
        <v>16</v>
      </c>
      <c r="GB33" s="183" t="s">
        <v>16</v>
      </c>
      <c r="GC33" s="183" t="s">
        <v>15</v>
      </c>
      <c r="GD33" s="183" t="s">
        <v>15</v>
      </c>
      <c r="GE33" s="183" t="s">
        <v>16</v>
      </c>
      <c r="GF33" s="183" t="s">
        <v>16</v>
      </c>
      <c r="GG33" s="183" t="s">
        <v>15</v>
      </c>
      <c r="GJ33" s="57" t="s">
        <v>408</v>
      </c>
      <c r="GK33" s="57">
        <v>2</v>
      </c>
    </row>
    <row r="34" spans="1:193" x14ac:dyDescent="0.25">
      <c r="A34" s="17" t="s">
        <v>544</v>
      </c>
      <c r="B34" s="128" t="s">
        <v>470</v>
      </c>
      <c r="C34" s="188">
        <v>475585.45454545203</v>
      </c>
      <c r="D34" s="188">
        <v>99999999</v>
      </c>
      <c r="E34" s="90" t="s">
        <v>545</v>
      </c>
      <c r="F34" s="90">
        <v>18</v>
      </c>
      <c r="G34" s="90">
        <v>65</v>
      </c>
      <c r="H34" s="90" t="s">
        <v>15</v>
      </c>
      <c r="I34" s="90" t="s">
        <v>16</v>
      </c>
      <c r="J34" s="90" t="s">
        <v>15</v>
      </c>
      <c r="K34" s="90"/>
      <c r="L34" s="90"/>
      <c r="M34" s="90"/>
      <c r="N34" s="90"/>
      <c r="O34" s="90"/>
      <c r="P34" s="90"/>
      <c r="Q34" s="90"/>
      <c r="R34" s="90"/>
      <c r="S34" s="90"/>
      <c r="T34" s="90"/>
      <c r="U34" s="90"/>
      <c r="V34" s="90"/>
      <c r="W34" s="90"/>
      <c r="X34" s="90"/>
      <c r="Y34" s="90"/>
      <c r="Z34" s="90"/>
      <c r="AA34" s="90"/>
      <c r="AB34" s="90"/>
      <c r="AC34" s="90"/>
      <c r="AD34" s="90"/>
      <c r="AE34" s="90"/>
      <c r="AF34" s="90"/>
      <c r="AG34" s="90"/>
      <c r="AH34" s="90"/>
      <c r="AI34" s="90"/>
      <c r="AJ34" s="90"/>
      <c r="AK34" s="90"/>
      <c r="AL34" s="90"/>
      <c r="AM34" s="90"/>
      <c r="AN34" s="90"/>
      <c r="AO34" s="90"/>
      <c r="AP34" s="90"/>
      <c r="AQ34" s="90"/>
      <c r="AR34" s="90"/>
      <c r="AS34" s="90"/>
      <c r="AT34" s="186">
        <v>21</v>
      </c>
      <c r="AU34" s="186">
        <v>10</v>
      </c>
      <c r="AV34" s="187">
        <v>8000</v>
      </c>
      <c r="AW34" s="187">
        <v>10000</v>
      </c>
      <c r="AX34" s="90">
        <v>6</v>
      </c>
      <c r="AY34" s="90">
        <v>8</v>
      </c>
      <c r="AZ34" s="186" t="s">
        <v>16</v>
      </c>
      <c r="BA34" s="186">
        <v>4</v>
      </c>
      <c r="BB34" s="17"/>
      <c r="BC34" s="186" t="s">
        <v>16</v>
      </c>
      <c r="BD34" s="128" t="s">
        <v>15</v>
      </c>
      <c r="BE34" s="128" t="s">
        <v>16</v>
      </c>
      <c r="BF34" s="128" t="s">
        <v>16</v>
      </c>
      <c r="BG34" s="128" t="s">
        <v>15</v>
      </c>
      <c r="BH34" s="128" t="s">
        <v>15</v>
      </c>
      <c r="BI34" s="128" t="s">
        <v>15</v>
      </c>
      <c r="BJ34" s="128" t="s">
        <v>15</v>
      </c>
      <c r="BK34" s="128" t="s">
        <v>16</v>
      </c>
      <c r="BL34" s="128" t="s">
        <v>15</v>
      </c>
      <c r="BM34" s="128" t="s">
        <v>15</v>
      </c>
      <c r="BN34" s="128" t="s">
        <v>16</v>
      </c>
      <c r="BO34" s="128" t="s">
        <v>15</v>
      </c>
      <c r="BP34" s="128" t="s">
        <v>15</v>
      </c>
      <c r="BQ34" s="128" t="s">
        <v>16</v>
      </c>
      <c r="BR34" s="128" t="s">
        <v>15</v>
      </c>
      <c r="BS34" s="128" t="s">
        <v>15</v>
      </c>
      <c r="BT34" s="128" t="s">
        <v>15</v>
      </c>
      <c r="BU34" s="128" t="s">
        <v>15</v>
      </c>
      <c r="BV34" s="128" t="s">
        <v>16</v>
      </c>
      <c r="BW34" s="128" t="s">
        <v>15</v>
      </c>
      <c r="BX34" s="128" t="s">
        <v>16</v>
      </c>
      <c r="BY34" s="128" t="s">
        <v>16</v>
      </c>
      <c r="BZ34" s="128" t="s">
        <v>15</v>
      </c>
      <c r="CA34" s="128" t="s">
        <v>16</v>
      </c>
      <c r="CB34" s="128" t="s">
        <v>16</v>
      </c>
      <c r="CC34" s="128" t="s">
        <v>16</v>
      </c>
      <c r="CD34" s="128" t="s">
        <v>16</v>
      </c>
      <c r="CE34" s="128" t="s">
        <v>15</v>
      </c>
      <c r="CF34" s="128" t="s">
        <v>15</v>
      </c>
      <c r="CG34" s="128" t="s">
        <v>16</v>
      </c>
      <c r="CH34" s="128" t="s">
        <v>16</v>
      </c>
      <c r="CI34" s="128" t="s">
        <v>15</v>
      </c>
      <c r="CJ34" s="128" t="s">
        <v>16</v>
      </c>
      <c r="CK34" s="128" t="s">
        <v>15</v>
      </c>
      <c r="CL34" s="128" t="s">
        <v>15</v>
      </c>
      <c r="CM34" s="128" t="s">
        <v>15</v>
      </c>
      <c r="CN34" s="128" t="s">
        <v>16</v>
      </c>
      <c r="CO34" s="128" t="s">
        <v>16</v>
      </c>
      <c r="CP34" s="128" t="s">
        <v>15</v>
      </c>
      <c r="CQ34" s="128" t="s">
        <v>15</v>
      </c>
      <c r="CR34" s="128" t="s">
        <v>15</v>
      </c>
      <c r="CS34" s="128" t="s">
        <v>15</v>
      </c>
      <c r="CT34" s="128" t="s">
        <v>15</v>
      </c>
      <c r="CU34" s="128" t="s">
        <v>15</v>
      </c>
      <c r="CV34" s="128" t="s">
        <v>15</v>
      </c>
      <c r="CW34" s="128" t="s">
        <v>16</v>
      </c>
      <c r="CX34" s="128" t="s">
        <v>15</v>
      </c>
      <c r="CY34" s="128" t="s">
        <v>16</v>
      </c>
      <c r="CZ34" s="128" t="s">
        <v>15</v>
      </c>
      <c r="DA34" s="128" t="s">
        <v>16</v>
      </c>
      <c r="DB34" s="128" t="s">
        <v>15</v>
      </c>
      <c r="DC34" s="128" t="s">
        <v>15</v>
      </c>
      <c r="DD34" s="128" t="s">
        <v>16</v>
      </c>
      <c r="DE34" s="128" t="s">
        <v>15</v>
      </c>
      <c r="DF34" s="128" t="s">
        <v>15</v>
      </c>
      <c r="DG34" s="128" t="s">
        <v>16</v>
      </c>
      <c r="DH34" s="128" t="s">
        <v>15</v>
      </c>
      <c r="DI34" s="128" t="s">
        <v>15</v>
      </c>
      <c r="DJ34" s="128" t="s">
        <v>15</v>
      </c>
      <c r="DK34" s="128" t="s">
        <v>16</v>
      </c>
      <c r="DL34" s="128" t="s">
        <v>16</v>
      </c>
      <c r="DM34" s="17" t="s">
        <v>544</v>
      </c>
      <c r="DN34" s="17" t="s">
        <v>79</v>
      </c>
      <c r="DO34" s="17" t="s">
        <v>20</v>
      </c>
      <c r="DP34" s="185">
        <v>0.13</v>
      </c>
      <c r="DQ34" s="184">
        <v>2100000</v>
      </c>
      <c r="DR34" s="184">
        <v>1400000</v>
      </c>
      <c r="DS34" s="17">
        <v>2</v>
      </c>
      <c r="DT34" s="184">
        <v>0</v>
      </c>
      <c r="DU34" s="184"/>
      <c r="DV34" s="184"/>
      <c r="DW34" s="184">
        <v>8500</v>
      </c>
      <c r="DX34" s="184">
        <v>2500</v>
      </c>
      <c r="DY34" s="184">
        <v>6500</v>
      </c>
      <c r="DZ34" s="184">
        <v>10000</v>
      </c>
      <c r="EA34" s="184">
        <v>7000</v>
      </c>
      <c r="EB34" s="184">
        <v>0</v>
      </c>
      <c r="EC34" s="184">
        <v>9500</v>
      </c>
      <c r="ED34" s="184">
        <v>4500</v>
      </c>
      <c r="EE34" s="184">
        <v>1000</v>
      </c>
      <c r="EF34" s="184">
        <v>6000</v>
      </c>
      <c r="EG34" s="184">
        <v>10000</v>
      </c>
      <c r="EH34" s="184">
        <v>6500</v>
      </c>
      <c r="EI34" s="184">
        <v>6500</v>
      </c>
      <c r="EJ34" s="184">
        <v>1500</v>
      </c>
      <c r="EK34" s="184">
        <v>3000</v>
      </c>
      <c r="EL34" s="184">
        <v>500</v>
      </c>
      <c r="EM34" s="184">
        <v>7500</v>
      </c>
      <c r="EN34" s="184">
        <v>3500</v>
      </c>
      <c r="EO34" s="184">
        <v>2500</v>
      </c>
      <c r="EP34" s="184">
        <v>8000</v>
      </c>
      <c r="EQ34" s="184">
        <v>5500</v>
      </c>
      <c r="ER34" s="184">
        <v>1500</v>
      </c>
      <c r="ES34" s="48" t="s">
        <v>15</v>
      </c>
      <c r="ET34" s="90">
        <v>15</v>
      </c>
      <c r="EU34" s="48" t="s">
        <v>16</v>
      </c>
      <c r="EV34" s="90" t="s">
        <v>15</v>
      </c>
      <c r="EW34" s="90" t="s">
        <v>16</v>
      </c>
      <c r="EX34" s="90" t="s">
        <v>15</v>
      </c>
      <c r="EY34" s="90" t="s">
        <v>16</v>
      </c>
      <c r="EZ34" s="90" t="s">
        <v>15</v>
      </c>
      <c r="FA34" s="90" t="s">
        <v>15</v>
      </c>
      <c r="FB34" s="90" t="s">
        <v>15</v>
      </c>
      <c r="FC34" s="90">
        <v>2217</v>
      </c>
      <c r="FD34" s="90">
        <v>1739</v>
      </c>
      <c r="FE34" s="90">
        <v>472</v>
      </c>
      <c r="FF34" s="90">
        <v>1128</v>
      </c>
      <c r="FG34" s="90">
        <v>501</v>
      </c>
      <c r="FH34" s="90">
        <v>477</v>
      </c>
      <c r="FI34" s="90">
        <v>1384</v>
      </c>
      <c r="FJ34" s="90">
        <v>565</v>
      </c>
      <c r="FK34" s="90">
        <v>1403</v>
      </c>
      <c r="FL34" s="90">
        <v>451</v>
      </c>
      <c r="FM34" s="90" t="s">
        <v>16</v>
      </c>
      <c r="FN34" s="90" t="s">
        <v>15</v>
      </c>
      <c r="FO34" s="90" t="s">
        <v>16</v>
      </c>
      <c r="FP34" s="90" t="s">
        <v>16</v>
      </c>
      <c r="FQ34" s="90" t="s">
        <v>15</v>
      </c>
      <c r="FR34" s="90" t="s">
        <v>15</v>
      </c>
      <c r="FS34" s="90">
        <v>395</v>
      </c>
      <c r="FT34" s="17"/>
      <c r="FU34" s="17"/>
      <c r="FV34" s="17"/>
      <c r="FW34" s="48" t="s">
        <v>531</v>
      </c>
      <c r="FX34" s="48" t="s">
        <v>531</v>
      </c>
      <c r="FY34" s="48">
        <v>3</v>
      </c>
      <c r="FZ34" s="48">
        <v>74</v>
      </c>
      <c r="GA34" s="48" t="s">
        <v>15</v>
      </c>
      <c r="GB34" s="90" t="s">
        <v>15</v>
      </c>
      <c r="GC34" s="90" t="s">
        <v>16</v>
      </c>
      <c r="GD34" s="90" t="s">
        <v>16</v>
      </c>
      <c r="GE34" s="90" t="s">
        <v>15</v>
      </c>
      <c r="GF34" s="90" t="s">
        <v>15</v>
      </c>
      <c r="GG34" s="90" t="s">
        <v>15</v>
      </c>
      <c r="GJ34" s="57" t="s">
        <v>407</v>
      </c>
      <c r="GK34" s="57">
        <v>1</v>
      </c>
    </row>
    <row r="35" spans="1:193" x14ac:dyDescent="0.25">
      <c r="A35" s="17" t="s">
        <v>543</v>
      </c>
      <c r="B35" s="128" t="s">
        <v>470</v>
      </c>
      <c r="C35" s="188">
        <v>414979.393939392</v>
      </c>
      <c r="D35" s="188">
        <v>99999999</v>
      </c>
      <c r="E35" s="90" t="s">
        <v>532</v>
      </c>
      <c r="F35" s="90">
        <v>18</v>
      </c>
      <c r="G35" s="90">
        <v>65</v>
      </c>
      <c r="H35" s="90" t="s">
        <v>16</v>
      </c>
      <c r="I35" s="90" t="s">
        <v>15</v>
      </c>
      <c r="J35" s="90" t="s">
        <v>15</v>
      </c>
      <c r="K35" s="90"/>
      <c r="L35" s="90"/>
      <c r="M35" s="90"/>
      <c r="N35" s="90"/>
      <c r="O35" s="90"/>
      <c r="P35" s="90"/>
      <c r="Q35" s="90"/>
      <c r="R35" s="90"/>
      <c r="S35" s="90"/>
      <c r="T35" s="90"/>
      <c r="U35" s="90"/>
      <c r="V35" s="90"/>
      <c r="W35" s="90"/>
      <c r="X35" s="90"/>
      <c r="Y35" s="90"/>
      <c r="Z35" s="90"/>
      <c r="AA35" s="90"/>
      <c r="AB35" s="90"/>
      <c r="AC35" s="90"/>
      <c r="AD35" s="90"/>
      <c r="AE35" s="90"/>
      <c r="AF35" s="90"/>
      <c r="AG35" s="90"/>
      <c r="AH35" s="90"/>
      <c r="AI35" s="90"/>
      <c r="AJ35" s="90"/>
      <c r="AK35" s="90"/>
      <c r="AL35" s="90"/>
      <c r="AM35" s="90"/>
      <c r="AN35" s="90"/>
      <c r="AO35" s="90"/>
      <c r="AP35" s="90"/>
      <c r="AQ35" s="90"/>
      <c r="AR35" s="90"/>
      <c r="AS35" s="90"/>
      <c r="AT35" s="186">
        <v>21</v>
      </c>
      <c r="AU35" s="186">
        <v>12</v>
      </c>
      <c r="AV35" s="187">
        <v>12000</v>
      </c>
      <c r="AW35" s="187">
        <v>20000</v>
      </c>
      <c r="AX35" s="90">
        <v>1</v>
      </c>
      <c r="AY35" s="90">
        <v>8</v>
      </c>
      <c r="AZ35" s="186" t="s">
        <v>15</v>
      </c>
      <c r="BA35" s="186">
        <v>4</v>
      </c>
      <c r="BB35" s="17"/>
      <c r="BC35" s="186" t="s">
        <v>16</v>
      </c>
      <c r="BD35" s="128" t="s">
        <v>16</v>
      </c>
      <c r="BE35" s="128" t="s">
        <v>15</v>
      </c>
      <c r="BF35" s="128" t="s">
        <v>16</v>
      </c>
      <c r="BG35" s="128" t="s">
        <v>15</v>
      </c>
      <c r="BH35" s="128" t="s">
        <v>15</v>
      </c>
      <c r="BI35" s="128" t="s">
        <v>15</v>
      </c>
      <c r="BJ35" s="128" t="s">
        <v>15</v>
      </c>
      <c r="BK35" s="128" t="s">
        <v>15</v>
      </c>
      <c r="BL35" s="128" t="s">
        <v>16</v>
      </c>
      <c r="BM35" s="128" t="s">
        <v>16</v>
      </c>
      <c r="BN35" s="128" t="s">
        <v>16</v>
      </c>
      <c r="BO35" s="128" t="s">
        <v>15</v>
      </c>
      <c r="BP35" s="128" t="s">
        <v>15</v>
      </c>
      <c r="BQ35" s="128" t="s">
        <v>16</v>
      </c>
      <c r="BR35" s="128" t="s">
        <v>15</v>
      </c>
      <c r="BS35" s="128" t="s">
        <v>15</v>
      </c>
      <c r="BT35" s="128" t="s">
        <v>16</v>
      </c>
      <c r="BU35" s="128" t="s">
        <v>15</v>
      </c>
      <c r="BV35" s="128" t="s">
        <v>16</v>
      </c>
      <c r="BW35" s="128" t="s">
        <v>16</v>
      </c>
      <c r="BX35" s="128" t="s">
        <v>16</v>
      </c>
      <c r="BY35" s="128" t="s">
        <v>16</v>
      </c>
      <c r="BZ35" s="128" t="s">
        <v>16</v>
      </c>
      <c r="CA35" s="128" t="s">
        <v>15</v>
      </c>
      <c r="CB35" s="128" t="s">
        <v>15</v>
      </c>
      <c r="CC35" s="128" t="s">
        <v>15</v>
      </c>
      <c r="CD35" s="128" t="s">
        <v>15</v>
      </c>
      <c r="CE35" s="128" t="s">
        <v>15</v>
      </c>
      <c r="CF35" s="128" t="s">
        <v>15</v>
      </c>
      <c r="CG35" s="128" t="s">
        <v>16</v>
      </c>
      <c r="CH35" s="128" t="s">
        <v>15</v>
      </c>
      <c r="CI35" s="128" t="s">
        <v>15</v>
      </c>
      <c r="CJ35" s="128" t="s">
        <v>16</v>
      </c>
      <c r="CK35" s="128" t="s">
        <v>16</v>
      </c>
      <c r="CL35" s="128" t="s">
        <v>15</v>
      </c>
      <c r="CM35" s="128" t="s">
        <v>16</v>
      </c>
      <c r="CN35" s="128" t="s">
        <v>16</v>
      </c>
      <c r="CO35" s="128" t="s">
        <v>16</v>
      </c>
      <c r="CP35" s="128" t="s">
        <v>16</v>
      </c>
      <c r="CQ35" s="128" t="s">
        <v>15</v>
      </c>
      <c r="CR35" s="128" t="s">
        <v>16</v>
      </c>
      <c r="CS35" s="128" t="s">
        <v>15</v>
      </c>
      <c r="CT35" s="128" t="s">
        <v>15</v>
      </c>
      <c r="CU35" s="128" t="s">
        <v>15</v>
      </c>
      <c r="CV35" s="128" t="s">
        <v>16</v>
      </c>
      <c r="CW35" s="128" t="s">
        <v>15</v>
      </c>
      <c r="CX35" s="128" t="s">
        <v>16</v>
      </c>
      <c r="CY35" s="128" t="s">
        <v>16</v>
      </c>
      <c r="CZ35" s="128" t="s">
        <v>16</v>
      </c>
      <c r="DA35" s="128" t="s">
        <v>16</v>
      </c>
      <c r="DB35" s="128" t="s">
        <v>15</v>
      </c>
      <c r="DC35" s="128" t="s">
        <v>16</v>
      </c>
      <c r="DD35" s="128" t="s">
        <v>15</v>
      </c>
      <c r="DE35" s="128" t="s">
        <v>15</v>
      </c>
      <c r="DF35" s="128" t="s">
        <v>15</v>
      </c>
      <c r="DG35" s="128" t="s">
        <v>16</v>
      </c>
      <c r="DH35" s="128" t="s">
        <v>15</v>
      </c>
      <c r="DI35" s="128" t="s">
        <v>16</v>
      </c>
      <c r="DJ35" s="128" t="s">
        <v>16</v>
      </c>
      <c r="DK35" s="128" t="s">
        <v>15</v>
      </c>
      <c r="DL35" s="128" t="s">
        <v>15</v>
      </c>
      <c r="DM35" s="17" t="s">
        <v>543</v>
      </c>
      <c r="DN35" s="17" t="s">
        <v>80</v>
      </c>
      <c r="DO35" s="17" t="s">
        <v>21</v>
      </c>
      <c r="DP35" s="185">
        <v>0.12</v>
      </c>
      <c r="DQ35" s="184">
        <v>1200000</v>
      </c>
      <c r="DR35" s="184">
        <v>500000</v>
      </c>
      <c r="DS35" s="17">
        <v>2</v>
      </c>
      <c r="DT35" s="184">
        <v>1000</v>
      </c>
      <c r="DU35" s="184"/>
      <c r="DV35" s="184"/>
      <c r="DW35" s="184">
        <v>5500</v>
      </c>
      <c r="DX35" s="184">
        <v>4500</v>
      </c>
      <c r="DY35" s="184">
        <v>10000</v>
      </c>
      <c r="DZ35" s="184">
        <v>4000</v>
      </c>
      <c r="EA35" s="184">
        <v>4500</v>
      </c>
      <c r="EB35" s="184">
        <v>8000</v>
      </c>
      <c r="EC35" s="184">
        <v>1000</v>
      </c>
      <c r="ED35" s="184">
        <v>4500</v>
      </c>
      <c r="EE35" s="184">
        <v>0</v>
      </c>
      <c r="EF35" s="184">
        <v>8000</v>
      </c>
      <c r="EG35" s="184">
        <v>1500</v>
      </c>
      <c r="EH35" s="184">
        <v>9500</v>
      </c>
      <c r="EI35" s="184">
        <v>500</v>
      </c>
      <c r="EJ35" s="184">
        <v>4500</v>
      </c>
      <c r="EK35" s="184">
        <v>9500</v>
      </c>
      <c r="EL35" s="184">
        <v>9500</v>
      </c>
      <c r="EM35" s="184">
        <v>1000</v>
      </c>
      <c r="EN35" s="184">
        <v>3500</v>
      </c>
      <c r="EO35" s="184">
        <v>4500</v>
      </c>
      <c r="EP35" s="184">
        <v>1000</v>
      </c>
      <c r="EQ35" s="184">
        <v>2500</v>
      </c>
      <c r="ER35" s="184">
        <v>4000</v>
      </c>
      <c r="ES35" s="48" t="s">
        <v>16</v>
      </c>
      <c r="ET35" s="90">
        <v>9</v>
      </c>
      <c r="EU35" s="48" t="s">
        <v>16</v>
      </c>
      <c r="EV35" s="90" t="s">
        <v>15</v>
      </c>
      <c r="EW35" s="90" t="s">
        <v>16</v>
      </c>
      <c r="EX35" s="90" t="s">
        <v>15</v>
      </c>
      <c r="EY35" s="90" t="s">
        <v>16</v>
      </c>
      <c r="EZ35" s="90" t="s">
        <v>15</v>
      </c>
      <c r="FA35" s="90" t="s">
        <v>16</v>
      </c>
      <c r="FB35" s="90" t="s">
        <v>16</v>
      </c>
      <c r="FC35" s="90">
        <v>1134</v>
      </c>
      <c r="FD35" s="90">
        <v>623</v>
      </c>
      <c r="FE35" s="90">
        <v>665</v>
      </c>
      <c r="FF35" s="90">
        <v>1139</v>
      </c>
      <c r="FG35" s="90">
        <v>843</v>
      </c>
      <c r="FH35" s="90">
        <v>1396</v>
      </c>
      <c r="FI35" s="90">
        <v>2159</v>
      </c>
      <c r="FJ35" s="90">
        <v>478</v>
      </c>
      <c r="FK35" s="90">
        <v>704</v>
      </c>
      <c r="FL35" s="90">
        <v>1585</v>
      </c>
      <c r="FM35" s="90" t="s">
        <v>15</v>
      </c>
      <c r="FN35" s="90" t="s">
        <v>16</v>
      </c>
      <c r="FO35" s="90" t="s">
        <v>16</v>
      </c>
      <c r="FP35" s="90" t="s">
        <v>16</v>
      </c>
      <c r="FQ35" s="90" t="s">
        <v>16</v>
      </c>
      <c r="FR35" s="90" t="s">
        <v>15</v>
      </c>
      <c r="FS35" s="90">
        <v>713</v>
      </c>
      <c r="FT35" s="17"/>
      <c r="FU35" s="17"/>
      <c r="FV35" s="17"/>
      <c r="FW35" s="48" t="s">
        <v>533</v>
      </c>
      <c r="FX35" s="48" t="s">
        <v>540</v>
      </c>
      <c r="FY35" s="48">
        <v>2</v>
      </c>
      <c r="FZ35" s="48">
        <v>70</v>
      </c>
      <c r="GA35" s="48" t="s">
        <v>15</v>
      </c>
      <c r="GB35" s="90" t="s">
        <v>16</v>
      </c>
      <c r="GC35" s="90" t="s">
        <v>16</v>
      </c>
      <c r="GD35" s="90" t="s">
        <v>16</v>
      </c>
      <c r="GE35" s="90" t="s">
        <v>15</v>
      </c>
      <c r="GF35" s="90" t="s">
        <v>15</v>
      </c>
      <c r="GG35" s="90" t="s">
        <v>15</v>
      </c>
      <c r="GJ35" s="57" t="s">
        <v>406</v>
      </c>
      <c r="GK35" s="57">
        <v>3</v>
      </c>
    </row>
    <row r="36" spans="1:193" x14ac:dyDescent="0.25">
      <c r="A36" s="17" t="s">
        <v>542</v>
      </c>
      <c r="B36" s="128" t="s">
        <v>471</v>
      </c>
      <c r="C36" s="188">
        <v>354373.33333333302</v>
      </c>
      <c r="D36" s="188">
        <v>99999999</v>
      </c>
      <c r="E36" s="90" t="s">
        <v>532</v>
      </c>
      <c r="F36" s="90">
        <v>30</v>
      </c>
      <c r="G36" s="90">
        <v>65</v>
      </c>
      <c r="H36" s="90" t="s">
        <v>15</v>
      </c>
      <c r="I36" s="90" t="s">
        <v>15</v>
      </c>
      <c r="J36" s="90" t="s">
        <v>15</v>
      </c>
      <c r="K36" s="90"/>
      <c r="L36" s="90"/>
      <c r="M36" s="90"/>
      <c r="N36" s="90"/>
      <c r="O36" s="90"/>
      <c r="P36" s="90"/>
      <c r="Q36" s="90"/>
      <c r="R36" s="90"/>
      <c r="S36" s="90"/>
      <c r="T36" s="90"/>
      <c r="U36" s="90"/>
      <c r="V36" s="90"/>
      <c r="W36" s="90"/>
      <c r="X36" s="90"/>
      <c r="Y36" s="90"/>
      <c r="Z36" s="90"/>
      <c r="AA36" s="90"/>
      <c r="AB36" s="90"/>
      <c r="AC36" s="90"/>
      <c r="AD36" s="90"/>
      <c r="AE36" s="90"/>
      <c r="AF36" s="90"/>
      <c r="AG36" s="90"/>
      <c r="AH36" s="90"/>
      <c r="AI36" s="90"/>
      <c r="AJ36" s="90"/>
      <c r="AK36" s="90"/>
      <c r="AL36" s="90"/>
      <c r="AM36" s="90"/>
      <c r="AN36" s="90"/>
      <c r="AO36" s="90"/>
      <c r="AP36" s="90"/>
      <c r="AQ36" s="90"/>
      <c r="AR36" s="90"/>
      <c r="AS36" s="90"/>
      <c r="AT36" s="186">
        <v>4</v>
      </c>
      <c r="AU36" s="186">
        <v>8</v>
      </c>
      <c r="AV36" s="187">
        <v>9000</v>
      </c>
      <c r="AW36" s="187">
        <v>25000</v>
      </c>
      <c r="AX36" s="90">
        <v>10</v>
      </c>
      <c r="AY36" s="90">
        <v>13</v>
      </c>
      <c r="AZ36" s="186" t="s">
        <v>15</v>
      </c>
      <c r="BA36" s="186">
        <v>3</v>
      </c>
      <c r="BB36" s="17"/>
      <c r="BC36" s="186" t="s">
        <v>15</v>
      </c>
      <c r="BD36" s="128" t="s">
        <v>15</v>
      </c>
      <c r="BE36" s="128" t="s">
        <v>15</v>
      </c>
      <c r="BF36" s="128" t="s">
        <v>16</v>
      </c>
      <c r="BG36" s="128" t="s">
        <v>16</v>
      </c>
      <c r="BH36" s="128" t="s">
        <v>16</v>
      </c>
      <c r="BI36" s="128" t="s">
        <v>15</v>
      </c>
      <c r="BJ36" s="128" t="s">
        <v>16</v>
      </c>
      <c r="BK36" s="128" t="s">
        <v>15</v>
      </c>
      <c r="BL36" s="128" t="s">
        <v>15</v>
      </c>
      <c r="BM36" s="128" t="s">
        <v>15</v>
      </c>
      <c r="BN36" s="128" t="s">
        <v>16</v>
      </c>
      <c r="BO36" s="128" t="s">
        <v>15</v>
      </c>
      <c r="BP36" s="128" t="s">
        <v>16</v>
      </c>
      <c r="BQ36" s="128" t="s">
        <v>16</v>
      </c>
      <c r="BR36" s="128" t="s">
        <v>15</v>
      </c>
      <c r="BS36" s="128" t="s">
        <v>15</v>
      </c>
      <c r="BT36" s="128" t="s">
        <v>15</v>
      </c>
      <c r="BU36" s="128" t="s">
        <v>15</v>
      </c>
      <c r="BV36" s="128" t="s">
        <v>16</v>
      </c>
      <c r="BW36" s="128" t="s">
        <v>15</v>
      </c>
      <c r="BX36" s="128" t="s">
        <v>16</v>
      </c>
      <c r="BY36" s="128" t="s">
        <v>15</v>
      </c>
      <c r="BZ36" s="128" t="s">
        <v>15</v>
      </c>
      <c r="CA36" s="128" t="s">
        <v>16</v>
      </c>
      <c r="CB36" s="128" t="s">
        <v>16</v>
      </c>
      <c r="CC36" s="128" t="s">
        <v>16</v>
      </c>
      <c r="CD36" s="128" t="s">
        <v>15</v>
      </c>
      <c r="CE36" s="128" t="s">
        <v>15</v>
      </c>
      <c r="CF36" s="128" t="s">
        <v>15</v>
      </c>
      <c r="CG36" s="128" t="s">
        <v>15</v>
      </c>
      <c r="CH36" s="128" t="s">
        <v>15</v>
      </c>
      <c r="CI36" s="128" t="s">
        <v>16</v>
      </c>
      <c r="CJ36" s="128" t="s">
        <v>15</v>
      </c>
      <c r="CK36" s="128" t="s">
        <v>16</v>
      </c>
      <c r="CL36" s="128" t="s">
        <v>16</v>
      </c>
      <c r="CM36" s="128" t="s">
        <v>16</v>
      </c>
      <c r="CN36" s="128" t="s">
        <v>16</v>
      </c>
      <c r="CO36" s="128" t="s">
        <v>15</v>
      </c>
      <c r="CP36" s="128" t="s">
        <v>16</v>
      </c>
      <c r="CQ36" s="128" t="s">
        <v>16</v>
      </c>
      <c r="CR36" s="128" t="s">
        <v>16</v>
      </c>
      <c r="CS36" s="128" t="s">
        <v>15</v>
      </c>
      <c r="CT36" s="128" t="s">
        <v>15</v>
      </c>
      <c r="CU36" s="128" t="s">
        <v>15</v>
      </c>
      <c r="CV36" s="128" t="s">
        <v>15</v>
      </c>
      <c r="CW36" s="128" t="s">
        <v>15</v>
      </c>
      <c r="CX36" s="128" t="s">
        <v>15</v>
      </c>
      <c r="CY36" s="128" t="s">
        <v>16</v>
      </c>
      <c r="CZ36" s="128" t="s">
        <v>15</v>
      </c>
      <c r="DA36" s="128" t="s">
        <v>16</v>
      </c>
      <c r="DB36" s="128" t="s">
        <v>15</v>
      </c>
      <c r="DC36" s="128" t="s">
        <v>16</v>
      </c>
      <c r="DD36" s="128" t="s">
        <v>15</v>
      </c>
      <c r="DE36" s="128" t="s">
        <v>15</v>
      </c>
      <c r="DF36" s="128" t="s">
        <v>15</v>
      </c>
      <c r="DG36" s="128" t="s">
        <v>15</v>
      </c>
      <c r="DH36" s="128" t="s">
        <v>15</v>
      </c>
      <c r="DI36" s="128" t="s">
        <v>15</v>
      </c>
      <c r="DJ36" s="128" t="s">
        <v>15</v>
      </c>
      <c r="DK36" s="128" t="s">
        <v>16</v>
      </c>
      <c r="DL36" s="128" t="s">
        <v>16</v>
      </c>
      <c r="DM36" s="17" t="s">
        <v>542</v>
      </c>
      <c r="DN36" s="17" t="s">
        <v>80</v>
      </c>
      <c r="DO36" s="17" t="s">
        <v>19</v>
      </c>
      <c r="DP36" s="185">
        <v>0.08</v>
      </c>
      <c r="DQ36" s="184">
        <v>2400000</v>
      </c>
      <c r="DR36" s="184">
        <v>1600000</v>
      </c>
      <c r="DS36" s="17">
        <v>2</v>
      </c>
      <c r="DT36" s="184">
        <v>8500</v>
      </c>
      <c r="DU36" s="184"/>
      <c r="DV36" s="184"/>
      <c r="DW36" s="184">
        <v>4500</v>
      </c>
      <c r="DX36" s="184">
        <v>7500</v>
      </c>
      <c r="DY36" s="184">
        <v>8000</v>
      </c>
      <c r="DZ36" s="184">
        <v>1500</v>
      </c>
      <c r="EA36" s="184">
        <v>7500</v>
      </c>
      <c r="EB36" s="184">
        <v>9000</v>
      </c>
      <c r="EC36" s="184">
        <v>6500</v>
      </c>
      <c r="ED36" s="184">
        <v>0</v>
      </c>
      <c r="EE36" s="184">
        <v>8500</v>
      </c>
      <c r="EF36" s="184">
        <v>8500</v>
      </c>
      <c r="EG36" s="184">
        <v>7000</v>
      </c>
      <c r="EH36" s="184">
        <v>5500</v>
      </c>
      <c r="EI36" s="184">
        <v>7000</v>
      </c>
      <c r="EJ36" s="184">
        <v>3000</v>
      </c>
      <c r="EK36" s="184">
        <v>9500</v>
      </c>
      <c r="EL36" s="184">
        <v>10000</v>
      </c>
      <c r="EM36" s="184">
        <v>0</v>
      </c>
      <c r="EN36" s="184">
        <v>6000</v>
      </c>
      <c r="EO36" s="184">
        <v>1000</v>
      </c>
      <c r="EP36" s="184">
        <v>8000</v>
      </c>
      <c r="EQ36" s="184">
        <v>8000</v>
      </c>
      <c r="ER36" s="184">
        <v>2000</v>
      </c>
      <c r="ES36" s="48" t="s">
        <v>16</v>
      </c>
      <c r="ET36" s="90">
        <v>17</v>
      </c>
      <c r="EU36" s="48" t="s">
        <v>16</v>
      </c>
      <c r="EV36" s="90" t="s">
        <v>15</v>
      </c>
      <c r="EW36" s="90" t="s">
        <v>16</v>
      </c>
      <c r="EX36" s="90" t="s">
        <v>16</v>
      </c>
      <c r="EY36" s="90" t="s">
        <v>15</v>
      </c>
      <c r="EZ36" s="90" t="s">
        <v>16</v>
      </c>
      <c r="FA36" s="90" t="s">
        <v>15</v>
      </c>
      <c r="FB36" s="90" t="s">
        <v>16</v>
      </c>
      <c r="FC36" s="90">
        <v>1421</v>
      </c>
      <c r="FD36" s="90">
        <v>1405</v>
      </c>
      <c r="FE36" s="90">
        <v>712</v>
      </c>
      <c r="FF36" s="90">
        <v>2259</v>
      </c>
      <c r="FG36" s="90">
        <v>945</v>
      </c>
      <c r="FH36" s="90">
        <v>1815</v>
      </c>
      <c r="FI36" s="90">
        <v>268</v>
      </c>
      <c r="FJ36" s="90">
        <v>578</v>
      </c>
      <c r="FK36" s="90">
        <v>1083</v>
      </c>
      <c r="FL36" s="90">
        <v>1257</v>
      </c>
      <c r="FM36" s="90" t="s">
        <v>15</v>
      </c>
      <c r="FN36" s="90" t="s">
        <v>15</v>
      </c>
      <c r="FO36" s="90" t="s">
        <v>16</v>
      </c>
      <c r="FP36" s="90" t="s">
        <v>15</v>
      </c>
      <c r="FQ36" s="90" t="s">
        <v>16</v>
      </c>
      <c r="FR36" s="90" t="s">
        <v>16</v>
      </c>
      <c r="FS36" s="90">
        <v>0</v>
      </c>
      <c r="FT36" s="17"/>
      <c r="FU36" s="17"/>
      <c r="FV36" s="17"/>
      <c r="FW36" s="48" t="s">
        <v>537</v>
      </c>
      <c r="FX36" s="48" t="s">
        <v>471</v>
      </c>
      <c r="FY36" s="48">
        <v>6</v>
      </c>
      <c r="FZ36" s="48">
        <v>40</v>
      </c>
      <c r="GA36" s="48" t="s">
        <v>16</v>
      </c>
      <c r="GB36" s="90" t="s">
        <v>15</v>
      </c>
      <c r="GC36" s="90" t="s">
        <v>16</v>
      </c>
      <c r="GD36" s="90" t="s">
        <v>16</v>
      </c>
      <c r="GE36" s="90" t="s">
        <v>16</v>
      </c>
      <c r="GF36" s="90" t="s">
        <v>16</v>
      </c>
      <c r="GG36" s="90" t="s">
        <v>16</v>
      </c>
      <c r="GJ36" s="57" t="s">
        <v>405</v>
      </c>
      <c r="GK36" s="57">
        <v>2</v>
      </c>
    </row>
    <row r="37" spans="1:193" x14ac:dyDescent="0.25">
      <c r="A37" s="17" t="s">
        <v>541</v>
      </c>
      <c r="B37" s="128" t="s">
        <v>471</v>
      </c>
      <c r="C37" s="188">
        <v>293767.27272727201</v>
      </c>
      <c r="D37" s="188">
        <v>99999999</v>
      </c>
      <c r="E37" s="90" t="s">
        <v>532</v>
      </c>
      <c r="F37" s="90">
        <v>18</v>
      </c>
      <c r="G37" s="90">
        <v>65</v>
      </c>
      <c r="H37" s="90" t="s">
        <v>15</v>
      </c>
      <c r="I37" s="90" t="s">
        <v>16</v>
      </c>
      <c r="J37" s="90" t="s">
        <v>15</v>
      </c>
      <c r="K37" s="90"/>
      <c r="L37" s="90"/>
      <c r="M37" s="90"/>
      <c r="N37" s="90"/>
      <c r="O37" s="90"/>
      <c r="P37" s="90"/>
      <c r="Q37" s="90"/>
      <c r="R37" s="90"/>
      <c r="S37" s="90"/>
      <c r="T37" s="90"/>
      <c r="U37" s="90"/>
      <c r="V37" s="90"/>
      <c r="W37" s="90"/>
      <c r="X37" s="90"/>
      <c r="Y37" s="90"/>
      <c r="Z37" s="90"/>
      <c r="AA37" s="90"/>
      <c r="AB37" s="90"/>
      <c r="AC37" s="90"/>
      <c r="AD37" s="90"/>
      <c r="AE37" s="90"/>
      <c r="AF37" s="90"/>
      <c r="AG37" s="90"/>
      <c r="AH37" s="90"/>
      <c r="AI37" s="90"/>
      <c r="AJ37" s="90"/>
      <c r="AK37" s="90"/>
      <c r="AL37" s="90"/>
      <c r="AM37" s="90"/>
      <c r="AN37" s="90"/>
      <c r="AO37" s="90"/>
      <c r="AP37" s="90"/>
      <c r="AQ37" s="90"/>
      <c r="AR37" s="90"/>
      <c r="AS37" s="90"/>
      <c r="AT37" s="186">
        <v>4</v>
      </c>
      <c r="AU37" s="186">
        <v>8</v>
      </c>
      <c r="AV37" s="187">
        <v>10000</v>
      </c>
      <c r="AW37" s="187">
        <v>10000</v>
      </c>
      <c r="AX37" s="90">
        <v>12</v>
      </c>
      <c r="AY37" s="90">
        <v>14</v>
      </c>
      <c r="AZ37" s="186" t="s">
        <v>16</v>
      </c>
      <c r="BA37" s="186">
        <v>1</v>
      </c>
      <c r="BB37" s="17"/>
      <c r="BC37" s="186" t="s">
        <v>15</v>
      </c>
      <c r="BD37" s="128" t="s">
        <v>15</v>
      </c>
      <c r="BE37" s="128" t="s">
        <v>15</v>
      </c>
      <c r="BF37" s="128" t="s">
        <v>16</v>
      </c>
      <c r="BG37" s="128" t="s">
        <v>15</v>
      </c>
      <c r="BH37" s="128" t="s">
        <v>16</v>
      </c>
      <c r="BI37" s="128" t="s">
        <v>16</v>
      </c>
      <c r="BJ37" s="128" t="s">
        <v>16</v>
      </c>
      <c r="BK37" s="128" t="s">
        <v>15</v>
      </c>
      <c r="BL37" s="128" t="s">
        <v>16</v>
      </c>
      <c r="BM37" s="128" t="s">
        <v>15</v>
      </c>
      <c r="BN37" s="128" t="s">
        <v>15</v>
      </c>
      <c r="BO37" s="128" t="s">
        <v>15</v>
      </c>
      <c r="BP37" s="128" t="s">
        <v>15</v>
      </c>
      <c r="BQ37" s="128" t="s">
        <v>15</v>
      </c>
      <c r="BR37" s="128" t="s">
        <v>15</v>
      </c>
      <c r="BS37" s="128" t="s">
        <v>15</v>
      </c>
      <c r="BT37" s="128" t="s">
        <v>15</v>
      </c>
      <c r="BU37" s="128" t="s">
        <v>15</v>
      </c>
      <c r="BV37" s="128" t="s">
        <v>16</v>
      </c>
      <c r="BW37" s="128" t="s">
        <v>15</v>
      </c>
      <c r="BX37" s="128" t="s">
        <v>15</v>
      </c>
      <c r="BY37" s="128" t="s">
        <v>15</v>
      </c>
      <c r="BZ37" s="128" t="s">
        <v>16</v>
      </c>
      <c r="CA37" s="128" t="s">
        <v>15</v>
      </c>
      <c r="CB37" s="128" t="s">
        <v>15</v>
      </c>
      <c r="CC37" s="128" t="s">
        <v>16</v>
      </c>
      <c r="CD37" s="128" t="s">
        <v>16</v>
      </c>
      <c r="CE37" s="128" t="s">
        <v>15</v>
      </c>
      <c r="CF37" s="128" t="s">
        <v>15</v>
      </c>
      <c r="CG37" s="128" t="s">
        <v>16</v>
      </c>
      <c r="CH37" s="128" t="s">
        <v>16</v>
      </c>
      <c r="CI37" s="128" t="s">
        <v>16</v>
      </c>
      <c r="CJ37" s="128" t="s">
        <v>16</v>
      </c>
      <c r="CK37" s="128" t="s">
        <v>16</v>
      </c>
      <c r="CL37" s="128" t="s">
        <v>16</v>
      </c>
      <c r="CM37" s="128" t="s">
        <v>15</v>
      </c>
      <c r="CN37" s="128" t="s">
        <v>15</v>
      </c>
      <c r="CO37" s="128" t="s">
        <v>16</v>
      </c>
      <c r="CP37" s="128" t="s">
        <v>15</v>
      </c>
      <c r="CQ37" s="128" t="s">
        <v>15</v>
      </c>
      <c r="CR37" s="128" t="s">
        <v>15</v>
      </c>
      <c r="CS37" s="128" t="s">
        <v>15</v>
      </c>
      <c r="CT37" s="128" t="s">
        <v>15</v>
      </c>
      <c r="CU37" s="128" t="s">
        <v>15</v>
      </c>
      <c r="CV37" s="128" t="s">
        <v>15</v>
      </c>
      <c r="CW37" s="128" t="s">
        <v>16</v>
      </c>
      <c r="CX37" s="128" t="s">
        <v>15</v>
      </c>
      <c r="CY37" s="128" t="s">
        <v>15</v>
      </c>
      <c r="CZ37" s="128" t="s">
        <v>15</v>
      </c>
      <c r="DA37" s="128" t="s">
        <v>15</v>
      </c>
      <c r="DB37" s="128" t="s">
        <v>16</v>
      </c>
      <c r="DC37" s="128" t="s">
        <v>15</v>
      </c>
      <c r="DD37" s="128" t="s">
        <v>16</v>
      </c>
      <c r="DE37" s="128" t="s">
        <v>15</v>
      </c>
      <c r="DF37" s="128" t="s">
        <v>16</v>
      </c>
      <c r="DG37" s="128" t="s">
        <v>15</v>
      </c>
      <c r="DH37" s="128" t="s">
        <v>15</v>
      </c>
      <c r="DI37" s="128" t="s">
        <v>15</v>
      </c>
      <c r="DJ37" s="128" t="s">
        <v>15</v>
      </c>
      <c r="DK37" s="128" t="s">
        <v>15</v>
      </c>
      <c r="DL37" s="128" t="s">
        <v>15</v>
      </c>
      <c r="DM37" s="17" t="s">
        <v>541</v>
      </c>
      <c r="DN37" s="17" t="s">
        <v>80</v>
      </c>
      <c r="DO37" s="17" t="s">
        <v>20</v>
      </c>
      <c r="DP37" s="185">
        <v>0.13</v>
      </c>
      <c r="DQ37" s="184">
        <v>2100000</v>
      </c>
      <c r="DR37" s="184">
        <v>600000</v>
      </c>
      <c r="DS37" s="17">
        <v>1</v>
      </c>
      <c r="DT37" s="184">
        <v>7000</v>
      </c>
      <c r="DU37" s="184"/>
      <c r="DV37" s="184"/>
      <c r="DW37" s="184">
        <v>5000</v>
      </c>
      <c r="DX37" s="184">
        <v>9500</v>
      </c>
      <c r="DY37" s="184">
        <v>10000</v>
      </c>
      <c r="DZ37" s="184">
        <v>500</v>
      </c>
      <c r="EA37" s="184">
        <v>9500</v>
      </c>
      <c r="EB37" s="184">
        <v>0</v>
      </c>
      <c r="EC37" s="184">
        <v>6500</v>
      </c>
      <c r="ED37" s="184">
        <v>0</v>
      </c>
      <c r="EE37" s="184">
        <v>1000</v>
      </c>
      <c r="EF37" s="184">
        <v>3500</v>
      </c>
      <c r="EG37" s="184">
        <v>0</v>
      </c>
      <c r="EH37" s="184">
        <v>1500</v>
      </c>
      <c r="EI37" s="184">
        <v>3000</v>
      </c>
      <c r="EJ37" s="184">
        <v>3000</v>
      </c>
      <c r="EK37" s="184">
        <v>2500</v>
      </c>
      <c r="EL37" s="184">
        <v>3000</v>
      </c>
      <c r="EM37" s="184">
        <v>4000</v>
      </c>
      <c r="EN37" s="184">
        <v>500</v>
      </c>
      <c r="EO37" s="184">
        <v>8500</v>
      </c>
      <c r="EP37" s="184">
        <v>5000</v>
      </c>
      <c r="EQ37" s="184">
        <v>7000</v>
      </c>
      <c r="ER37" s="184">
        <v>9000</v>
      </c>
      <c r="ES37" s="48" t="s">
        <v>16</v>
      </c>
      <c r="ET37" s="90">
        <v>1</v>
      </c>
      <c r="EU37" s="48" t="s">
        <v>15</v>
      </c>
      <c r="EV37" s="90" t="s">
        <v>15</v>
      </c>
      <c r="EW37" s="90" t="s">
        <v>16</v>
      </c>
      <c r="EX37" s="90" t="s">
        <v>16</v>
      </c>
      <c r="EY37" s="90" t="s">
        <v>16</v>
      </c>
      <c r="EZ37" s="90" t="s">
        <v>16</v>
      </c>
      <c r="FA37" s="90" t="s">
        <v>15</v>
      </c>
      <c r="FB37" s="90" t="s">
        <v>15</v>
      </c>
      <c r="FC37" s="90">
        <v>1684</v>
      </c>
      <c r="FD37" s="90">
        <v>359</v>
      </c>
      <c r="FE37" s="90">
        <v>630</v>
      </c>
      <c r="FF37" s="90">
        <v>1710</v>
      </c>
      <c r="FG37" s="90">
        <v>2153</v>
      </c>
      <c r="FH37" s="90">
        <v>1823</v>
      </c>
      <c r="FI37" s="90">
        <v>1251</v>
      </c>
      <c r="FJ37" s="90">
        <v>2206</v>
      </c>
      <c r="FK37" s="90">
        <v>1910</v>
      </c>
      <c r="FL37" s="90">
        <v>984</v>
      </c>
      <c r="FM37" s="90" t="s">
        <v>15</v>
      </c>
      <c r="FN37" s="90" t="s">
        <v>16</v>
      </c>
      <c r="FO37" s="90" t="s">
        <v>15</v>
      </c>
      <c r="FP37" s="90" t="s">
        <v>15</v>
      </c>
      <c r="FQ37" s="90" t="s">
        <v>15</v>
      </c>
      <c r="FR37" s="90" t="s">
        <v>15</v>
      </c>
      <c r="FS37" s="90">
        <v>172</v>
      </c>
      <c r="FT37" s="17"/>
      <c r="FU37" s="17"/>
      <c r="FV37" s="17"/>
      <c r="FW37" s="48" t="s">
        <v>537</v>
      </c>
      <c r="FX37" s="48" t="s">
        <v>540</v>
      </c>
      <c r="FY37" s="48">
        <v>6</v>
      </c>
      <c r="FZ37" s="48">
        <v>130</v>
      </c>
      <c r="GA37" s="48" t="s">
        <v>16</v>
      </c>
      <c r="GB37" s="90" t="s">
        <v>15</v>
      </c>
      <c r="GC37" s="90" t="s">
        <v>15</v>
      </c>
      <c r="GD37" s="90" t="s">
        <v>16</v>
      </c>
      <c r="GE37" s="90" t="s">
        <v>16</v>
      </c>
      <c r="GF37" s="90" t="s">
        <v>16</v>
      </c>
      <c r="GG37" s="90" t="s">
        <v>16</v>
      </c>
      <c r="GJ37" s="57" t="s">
        <v>404</v>
      </c>
      <c r="GK37" s="57">
        <v>2</v>
      </c>
    </row>
    <row r="38" spans="1:193" x14ac:dyDescent="0.25">
      <c r="A38" s="17" t="s">
        <v>539</v>
      </c>
      <c r="B38" s="128" t="s">
        <v>470</v>
      </c>
      <c r="C38" s="188">
        <v>233161.21212121201</v>
      </c>
      <c r="D38" s="188">
        <v>99999999</v>
      </c>
      <c r="E38" s="90" t="s">
        <v>532</v>
      </c>
      <c r="F38" s="90">
        <v>18</v>
      </c>
      <c r="G38" s="90">
        <v>65</v>
      </c>
      <c r="H38" s="90" t="s">
        <v>15</v>
      </c>
      <c r="I38" s="90" t="s">
        <v>15</v>
      </c>
      <c r="J38" s="90" t="s">
        <v>15</v>
      </c>
      <c r="K38" s="90"/>
      <c r="L38" s="90"/>
      <c r="M38" s="90"/>
      <c r="N38" s="90"/>
      <c r="O38" s="90"/>
      <c r="P38" s="90"/>
      <c r="Q38" s="90"/>
      <c r="R38" s="90"/>
      <c r="S38" s="90"/>
      <c r="T38" s="90"/>
      <c r="U38" s="90"/>
      <c r="V38" s="90"/>
      <c r="W38" s="90"/>
      <c r="X38" s="90"/>
      <c r="Y38" s="90"/>
      <c r="Z38" s="90"/>
      <c r="AA38" s="90"/>
      <c r="AB38" s="90"/>
      <c r="AC38" s="90"/>
      <c r="AD38" s="90"/>
      <c r="AE38" s="90"/>
      <c r="AF38" s="90"/>
      <c r="AG38" s="90"/>
      <c r="AH38" s="90"/>
      <c r="AI38" s="90"/>
      <c r="AJ38" s="90"/>
      <c r="AK38" s="90"/>
      <c r="AL38" s="90"/>
      <c r="AM38" s="90"/>
      <c r="AN38" s="90"/>
      <c r="AO38" s="90"/>
      <c r="AP38" s="90"/>
      <c r="AQ38" s="90"/>
      <c r="AR38" s="90"/>
      <c r="AS38" s="90"/>
      <c r="AT38" s="186">
        <v>4</v>
      </c>
      <c r="AU38" s="186">
        <v>6</v>
      </c>
      <c r="AV38" s="187">
        <v>15000</v>
      </c>
      <c r="AW38" s="187">
        <v>10000</v>
      </c>
      <c r="AX38" s="90">
        <v>8</v>
      </c>
      <c r="AY38" s="90">
        <v>9</v>
      </c>
      <c r="AZ38" s="186" t="s">
        <v>16</v>
      </c>
      <c r="BA38" s="186">
        <v>2</v>
      </c>
      <c r="BB38" s="17"/>
      <c r="BC38" s="186" t="s">
        <v>15</v>
      </c>
      <c r="BD38" s="128" t="s">
        <v>15</v>
      </c>
      <c r="BE38" s="128" t="s">
        <v>15</v>
      </c>
      <c r="BF38" s="128" t="s">
        <v>16</v>
      </c>
      <c r="BG38" s="128" t="s">
        <v>15</v>
      </c>
      <c r="BH38" s="128" t="s">
        <v>16</v>
      </c>
      <c r="BI38" s="128" t="s">
        <v>15</v>
      </c>
      <c r="BJ38" s="128" t="s">
        <v>16</v>
      </c>
      <c r="BK38" s="128" t="s">
        <v>15</v>
      </c>
      <c r="BL38" s="128" t="s">
        <v>16</v>
      </c>
      <c r="BM38" s="128" t="s">
        <v>15</v>
      </c>
      <c r="BN38" s="128" t="s">
        <v>16</v>
      </c>
      <c r="BO38" s="128" t="s">
        <v>15</v>
      </c>
      <c r="BP38" s="128" t="s">
        <v>16</v>
      </c>
      <c r="BQ38" s="128" t="s">
        <v>16</v>
      </c>
      <c r="BR38" s="128" t="s">
        <v>16</v>
      </c>
      <c r="BS38" s="128" t="s">
        <v>16</v>
      </c>
      <c r="BT38" s="128" t="s">
        <v>16</v>
      </c>
      <c r="BU38" s="128" t="s">
        <v>15</v>
      </c>
      <c r="BV38" s="128" t="s">
        <v>16</v>
      </c>
      <c r="BW38" s="128" t="s">
        <v>15</v>
      </c>
      <c r="BX38" s="128" t="s">
        <v>16</v>
      </c>
      <c r="BY38" s="128" t="s">
        <v>16</v>
      </c>
      <c r="BZ38" s="128" t="s">
        <v>16</v>
      </c>
      <c r="CA38" s="128" t="s">
        <v>16</v>
      </c>
      <c r="CB38" s="128" t="s">
        <v>15</v>
      </c>
      <c r="CC38" s="128" t="s">
        <v>16</v>
      </c>
      <c r="CD38" s="128" t="s">
        <v>15</v>
      </c>
      <c r="CE38" s="128" t="s">
        <v>15</v>
      </c>
      <c r="CF38" s="128" t="s">
        <v>15</v>
      </c>
      <c r="CG38" s="128" t="s">
        <v>16</v>
      </c>
      <c r="CH38" s="128" t="s">
        <v>15</v>
      </c>
      <c r="CI38" s="128" t="s">
        <v>16</v>
      </c>
      <c r="CJ38" s="128" t="s">
        <v>16</v>
      </c>
      <c r="CK38" s="128" t="s">
        <v>16</v>
      </c>
      <c r="CL38" s="128" t="s">
        <v>16</v>
      </c>
      <c r="CM38" s="128" t="s">
        <v>16</v>
      </c>
      <c r="CN38" s="128" t="s">
        <v>16</v>
      </c>
      <c r="CO38" s="128" t="s">
        <v>16</v>
      </c>
      <c r="CP38" s="128" t="s">
        <v>16</v>
      </c>
      <c r="CQ38" s="128" t="s">
        <v>15</v>
      </c>
      <c r="CR38" s="128" t="s">
        <v>15</v>
      </c>
      <c r="CS38" s="128" t="s">
        <v>16</v>
      </c>
      <c r="CT38" s="128" t="s">
        <v>16</v>
      </c>
      <c r="CU38" s="128" t="s">
        <v>15</v>
      </c>
      <c r="CV38" s="128" t="s">
        <v>16</v>
      </c>
      <c r="CW38" s="128" t="s">
        <v>15</v>
      </c>
      <c r="CX38" s="128" t="s">
        <v>15</v>
      </c>
      <c r="CY38" s="128" t="s">
        <v>15</v>
      </c>
      <c r="CZ38" s="128" t="s">
        <v>15</v>
      </c>
      <c r="DA38" s="128" t="s">
        <v>16</v>
      </c>
      <c r="DB38" s="128" t="s">
        <v>15</v>
      </c>
      <c r="DC38" s="128" t="s">
        <v>15</v>
      </c>
      <c r="DD38" s="128" t="s">
        <v>16</v>
      </c>
      <c r="DE38" s="128" t="s">
        <v>16</v>
      </c>
      <c r="DF38" s="128" t="s">
        <v>15</v>
      </c>
      <c r="DG38" s="128" t="s">
        <v>15</v>
      </c>
      <c r="DH38" s="128" t="s">
        <v>15</v>
      </c>
      <c r="DI38" s="128" t="s">
        <v>15</v>
      </c>
      <c r="DJ38" s="128" t="s">
        <v>15</v>
      </c>
      <c r="DK38" s="128" t="s">
        <v>16</v>
      </c>
      <c r="DL38" s="128" t="s">
        <v>16</v>
      </c>
      <c r="DM38" s="17" t="s">
        <v>539</v>
      </c>
      <c r="DN38" s="17" t="s">
        <v>80</v>
      </c>
      <c r="DO38" s="17" t="s">
        <v>18</v>
      </c>
      <c r="DP38" s="185">
        <v>0.1</v>
      </c>
      <c r="DQ38" s="184">
        <v>1700000</v>
      </c>
      <c r="DR38" s="184">
        <v>1400000</v>
      </c>
      <c r="DS38" s="17">
        <v>3</v>
      </c>
      <c r="DT38" s="184">
        <v>3000</v>
      </c>
      <c r="DU38" s="184"/>
      <c r="DV38" s="184"/>
      <c r="DW38" s="184">
        <v>7500</v>
      </c>
      <c r="DX38" s="184">
        <v>10000</v>
      </c>
      <c r="DY38" s="184">
        <v>5500</v>
      </c>
      <c r="DZ38" s="184">
        <v>6500</v>
      </c>
      <c r="EA38" s="184">
        <v>4500</v>
      </c>
      <c r="EB38" s="184">
        <v>6500</v>
      </c>
      <c r="EC38" s="184">
        <v>1500</v>
      </c>
      <c r="ED38" s="184">
        <v>500</v>
      </c>
      <c r="EE38" s="184">
        <v>8500</v>
      </c>
      <c r="EF38" s="184">
        <v>4000</v>
      </c>
      <c r="EG38" s="184">
        <v>8000</v>
      </c>
      <c r="EH38" s="184">
        <v>3000</v>
      </c>
      <c r="EI38" s="184">
        <v>8000</v>
      </c>
      <c r="EJ38" s="184">
        <v>6000</v>
      </c>
      <c r="EK38" s="184">
        <v>5000</v>
      </c>
      <c r="EL38" s="184">
        <v>1500</v>
      </c>
      <c r="EM38" s="184">
        <v>3000</v>
      </c>
      <c r="EN38" s="184">
        <v>5000</v>
      </c>
      <c r="EO38" s="184">
        <v>7500</v>
      </c>
      <c r="EP38" s="184">
        <v>7500</v>
      </c>
      <c r="EQ38" s="184">
        <v>8500</v>
      </c>
      <c r="ER38" s="184">
        <v>8500</v>
      </c>
      <c r="ES38" s="48" t="s">
        <v>15</v>
      </c>
      <c r="ET38" s="90">
        <v>2</v>
      </c>
      <c r="EU38" s="48" t="s">
        <v>16</v>
      </c>
      <c r="EV38" s="90" t="s">
        <v>15</v>
      </c>
      <c r="EW38" s="90" t="s">
        <v>15</v>
      </c>
      <c r="EX38" s="90" t="s">
        <v>16</v>
      </c>
      <c r="EY38" s="90" t="s">
        <v>15</v>
      </c>
      <c r="EZ38" s="90" t="s">
        <v>16</v>
      </c>
      <c r="FA38" s="90" t="s">
        <v>16</v>
      </c>
      <c r="FB38" s="90" t="s">
        <v>15</v>
      </c>
      <c r="FC38" s="90">
        <v>2047</v>
      </c>
      <c r="FD38" s="90">
        <v>1922</v>
      </c>
      <c r="FE38" s="90">
        <v>1269</v>
      </c>
      <c r="FF38" s="90">
        <v>611</v>
      </c>
      <c r="FG38" s="90">
        <v>1149</v>
      </c>
      <c r="FH38" s="90">
        <v>500</v>
      </c>
      <c r="FI38" s="90">
        <v>1040</v>
      </c>
      <c r="FJ38" s="90">
        <v>2004</v>
      </c>
      <c r="FK38" s="90">
        <v>1362</v>
      </c>
      <c r="FL38" s="90">
        <v>391</v>
      </c>
      <c r="FM38" s="90" t="s">
        <v>15</v>
      </c>
      <c r="FN38" s="90" t="s">
        <v>15</v>
      </c>
      <c r="FO38" s="90" t="s">
        <v>16</v>
      </c>
      <c r="FP38" s="90" t="s">
        <v>16</v>
      </c>
      <c r="FQ38" s="90" t="s">
        <v>15</v>
      </c>
      <c r="FR38" s="90" t="s">
        <v>15</v>
      </c>
      <c r="FS38" s="90">
        <v>280</v>
      </c>
      <c r="FT38" s="17"/>
      <c r="FU38" s="17"/>
      <c r="FV38" s="17"/>
      <c r="FW38" s="48" t="s">
        <v>533</v>
      </c>
      <c r="FX38" s="48" t="s">
        <v>471</v>
      </c>
      <c r="FY38" s="48">
        <v>6</v>
      </c>
      <c r="FZ38" s="48">
        <v>95</v>
      </c>
      <c r="GA38" s="48" t="s">
        <v>15</v>
      </c>
      <c r="GB38" s="90" t="s">
        <v>15</v>
      </c>
      <c r="GC38" s="90" t="s">
        <v>15</v>
      </c>
      <c r="GD38" s="90" t="s">
        <v>15</v>
      </c>
      <c r="GE38" s="90" t="s">
        <v>16</v>
      </c>
      <c r="GF38" s="90" t="s">
        <v>15</v>
      </c>
      <c r="GG38" s="90" t="s">
        <v>16</v>
      </c>
      <c r="GJ38" s="57" t="s">
        <v>403</v>
      </c>
      <c r="GK38" s="57">
        <v>1</v>
      </c>
    </row>
    <row r="39" spans="1:193" x14ac:dyDescent="0.25">
      <c r="A39" s="17" t="s">
        <v>538</v>
      </c>
      <c r="B39" s="128" t="s">
        <v>470</v>
      </c>
      <c r="C39" s="188">
        <v>172555.15151515201</v>
      </c>
      <c r="D39" s="188">
        <v>99999999</v>
      </c>
      <c r="E39" s="90" t="s">
        <v>532</v>
      </c>
      <c r="F39" s="90">
        <v>25</v>
      </c>
      <c r="G39" s="90">
        <v>65</v>
      </c>
      <c r="H39" s="90" t="s">
        <v>15</v>
      </c>
      <c r="I39" s="90" t="s">
        <v>16</v>
      </c>
      <c r="J39" s="90" t="s">
        <v>15</v>
      </c>
      <c r="K39" s="90"/>
      <c r="L39" s="90"/>
      <c r="M39" s="90"/>
      <c r="N39" s="90"/>
      <c r="O39" s="90"/>
      <c r="P39" s="90"/>
      <c r="Q39" s="90"/>
      <c r="R39" s="90"/>
      <c r="S39" s="90"/>
      <c r="T39" s="90"/>
      <c r="U39" s="90"/>
      <c r="V39" s="90"/>
      <c r="W39" s="90"/>
      <c r="X39" s="90"/>
      <c r="Y39" s="90"/>
      <c r="Z39" s="90"/>
      <c r="AA39" s="90"/>
      <c r="AB39" s="90"/>
      <c r="AC39" s="90"/>
      <c r="AD39" s="90"/>
      <c r="AE39" s="90"/>
      <c r="AF39" s="90"/>
      <c r="AG39" s="90"/>
      <c r="AH39" s="90"/>
      <c r="AI39" s="90"/>
      <c r="AJ39" s="90"/>
      <c r="AK39" s="90"/>
      <c r="AL39" s="90"/>
      <c r="AM39" s="90"/>
      <c r="AN39" s="90"/>
      <c r="AO39" s="90"/>
      <c r="AP39" s="90"/>
      <c r="AQ39" s="90"/>
      <c r="AR39" s="90"/>
      <c r="AS39" s="90"/>
      <c r="AT39" s="186">
        <v>21</v>
      </c>
      <c r="AU39" s="186">
        <v>6</v>
      </c>
      <c r="AV39" s="187">
        <v>8000</v>
      </c>
      <c r="AW39" s="187">
        <v>15000</v>
      </c>
      <c r="AX39" s="90">
        <v>1</v>
      </c>
      <c r="AY39" s="90">
        <v>14</v>
      </c>
      <c r="AZ39" s="186" t="s">
        <v>15</v>
      </c>
      <c r="BA39" s="186">
        <v>2</v>
      </c>
      <c r="BB39" s="17"/>
      <c r="BC39" s="186" t="s">
        <v>15</v>
      </c>
      <c r="BD39" s="128" t="s">
        <v>15</v>
      </c>
      <c r="BE39" s="128" t="s">
        <v>15</v>
      </c>
      <c r="BF39" s="128" t="s">
        <v>15</v>
      </c>
      <c r="BG39" s="128" t="s">
        <v>15</v>
      </c>
      <c r="BH39" s="128" t="s">
        <v>16</v>
      </c>
      <c r="BI39" s="128" t="s">
        <v>15</v>
      </c>
      <c r="BJ39" s="128" t="s">
        <v>16</v>
      </c>
      <c r="BK39" s="128" t="s">
        <v>15</v>
      </c>
      <c r="BL39" s="128" t="s">
        <v>16</v>
      </c>
      <c r="BM39" s="128" t="s">
        <v>15</v>
      </c>
      <c r="BN39" s="128" t="s">
        <v>16</v>
      </c>
      <c r="BO39" s="128" t="s">
        <v>15</v>
      </c>
      <c r="BP39" s="128" t="s">
        <v>16</v>
      </c>
      <c r="BQ39" s="128" t="s">
        <v>16</v>
      </c>
      <c r="BR39" s="128" t="s">
        <v>15</v>
      </c>
      <c r="BS39" s="128" t="s">
        <v>15</v>
      </c>
      <c r="BT39" s="128" t="s">
        <v>15</v>
      </c>
      <c r="BU39" s="128" t="s">
        <v>16</v>
      </c>
      <c r="BV39" s="128" t="s">
        <v>15</v>
      </c>
      <c r="BW39" s="128" t="s">
        <v>15</v>
      </c>
      <c r="BX39" s="128" t="s">
        <v>16</v>
      </c>
      <c r="BY39" s="128" t="s">
        <v>16</v>
      </c>
      <c r="BZ39" s="128" t="s">
        <v>15</v>
      </c>
      <c r="CA39" s="128" t="s">
        <v>16</v>
      </c>
      <c r="CB39" s="128" t="s">
        <v>16</v>
      </c>
      <c r="CC39" s="128" t="s">
        <v>16</v>
      </c>
      <c r="CD39" s="128" t="s">
        <v>15</v>
      </c>
      <c r="CE39" s="128" t="s">
        <v>15</v>
      </c>
      <c r="CF39" s="128" t="s">
        <v>15</v>
      </c>
      <c r="CG39" s="128" t="s">
        <v>16</v>
      </c>
      <c r="CH39" s="128" t="s">
        <v>15</v>
      </c>
      <c r="CI39" s="128" t="s">
        <v>15</v>
      </c>
      <c r="CJ39" s="128" t="s">
        <v>15</v>
      </c>
      <c r="CK39" s="128" t="s">
        <v>16</v>
      </c>
      <c r="CL39" s="128" t="s">
        <v>16</v>
      </c>
      <c r="CM39" s="128" t="s">
        <v>16</v>
      </c>
      <c r="CN39" s="128" t="s">
        <v>16</v>
      </c>
      <c r="CO39" s="128" t="s">
        <v>16</v>
      </c>
      <c r="CP39" s="128" t="s">
        <v>16</v>
      </c>
      <c r="CQ39" s="128" t="s">
        <v>15</v>
      </c>
      <c r="CR39" s="128" t="s">
        <v>15</v>
      </c>
      <c r="CS39" s="128" t="s">
        <v>16</v>
      </c>
      <c r="CT39" s="128" t="s">
        <v>16</v>
      </c>
      <c r="CU39" s="128" t="s">
        <v>15</v>
      </c>
      <c r="CV39" s="128" t="s">
        <v>16</v>
      </c>
      <c r="CW39" s="128" t="s">
        <v>15</v>
      </c>
      <c r="CX39" s="128" t="s">
        <v>15</v>
      </c>
      <c r="CY39" s="128" t="s">
        <v>15</v>
      </c>
      <c r="CZ39" s="128" t="s">
        <v>15</v>
      </c>
      <c r="DA39" s="128" t="s">
        <v>16</v>
      </c>
      <c r="DB39" s="128" t="s">
        <v>15</v>
      </c>
      <c r="DC39" s="128" t="s">
        <v>15</v>
      </c>
      <c r="DD39" s="128" t="s">
        <v>16</v>
      </c>
      <c r="DE39" s="128" t="s">
        <v>15</v>
      </c>
      <c r="DF39" s="128" t="s">
        <v>15</v>
      </c>
      <c r="DG39" s="128" t="s">
        <v>15</v>
      </c>
      <c r="DH39" s="128" t="s">
        <v>15</v>
      </c>
      <c r="DI39" s="128" t="s">
        <v>16</v>
      </c>
      <c r="DJ39" s="128" t="s">
        <v>15</v>
      </c>
      <c r="DK39" s="128" t="s">
        <v>16</v>
      </c>
      <c r="DL39" s="128" t="s">
        <v>16</v>
      </c>
      <c r="DM39" s="17" t="s">
        <v>538</v>
      </c>
      <c r="DN39" s="17" t="s">
        <v>81</v>
      </c>
      <c r="DO39" s="17" t="s">
        <v>20</v>
      </c>
      <c r="DP39" s="185">
        <v>0.14000000000000001</v>
      </c>
      <c r="DQ39" s="184">
        <v>2400000</v>
      </c>
      <c r="DR39" s="184">
        <v>1400000</v>
      </c>
      <c r="DS39" s="17">
        <v>2</v>
      </c>
      <c r="DT39" s="184">
        <v>1500</v>
      </c>
      <c r="DU39" s="184"/>
      <c r="DV39" s="184"/>
      <c r="DW39" s="184">
        <v>10000</v>
      </c>
      <c r="DX39" s="184">
        <v>8500</v>
      </c>
      <c r="DY39" s="184">
        <v>1000</v>
      </c>
      <c r="DZ39" s="184">
        <v>2000</v>
      </c>
      <c r="EA39" s="184">
        <v>7000</v>
      </c>
      <c r="EB39" s="184">
        <v>10000</v>
      </c>
      <c r="EC39" s="184">
        <v>4000</v>
      </c>
      <c r="ED39" s="184">
        <v>500</v>
      </c>
      <c r="EE39" s="184">
        <v>6500</v>
      </c>
      <c r="EF39" s="184">
        <v>1500</v>
      </c>
      <c r="EG39" s="184">
        <v>10000</v>
      </c>
      <c r="EH39" s="184">
        <v>6500</v>
      </c>
      <c r="EI39" s="184">
        <v>5000</v>
      </c>
      <c r="EJ39" s="184">
        <v>10000</v>
      </c>
      <c r="EK39" s="184">
        <v>8500</v>
      </c>
      <c r="EL39" s="184">
        <v>9000</v>
      </c>
      <c r="EM39" s="184">
        <v>9000</v>
      </c>
      <c r="EN39" s="184">
        <v>6000</v>
      </c>
      <c r="EO39" s="184">
        <v>9000</v>
      </c>
      <c r="EP39" s="184">
        <v>1500</v>
      </c>
      <c r="EQ39" s="184">
        <v>7500</v>
      </c>
      <c r="ER39" s="184">
        <v>8000</v>
      </c>
      <c r="ES39" s="48" t="s">
        <v>16</v>
      </c>
      <c r="ET39" s="90">
        <v>2</v>
      </c>
      <c r="EU39" s="48" t="s">
        <v>15</v>
      </c>
      <c r="EV39" s="90" t="s">
        <v>15</v>
      </c>
      <c r="EW39" s="90" t="s">
        <v>16</v>
      </c>
      <c r="EX39" s="90" t="s">
        <v>15</v>
      </c>
      <c r="EY39" s="90" t="s">
        <v>15</v>
      </c>
      <c r="EZ39" s="90" t="s">
        <v>16</v>
      </c>
      <c r="FA39" s="90" t="s">
        <v>16</v>
      </c>
      <c r="FB39" s="90" t="s">
        <v>15</v>
      </c>
      <c r="FC39" s="90">
        <v>1343</v>
      </c>
      <c r="FD39" s="90">
        <v>1354</v>
      </c>
      <c r="FE39" s="90">
        <v>1191</v>
      </c>
      <c r="FF39" s="90">
        <v>1001</v>
      </c>
      <c r="FG39" s="90">
        <v>2188</v>
      </c>
      <c r="FH39" s="90">
        <v>1065</v>
      </c>
      <c r="FI39" s="90">
        <v>1786</v>
      </c>
      <c r="FJ39" s="90">
        <v>1519</v>
      </c>
      <c r="FK39" s="90">
        <v>1937</v>
      </c>
      <c r="FL39" s="90">
        <v>1235</v>
      </c>
      <c r="FM39" s="90" t="s">
        <v>16</v>
      </c>
      <c r="FN39" s="90" t="s">
        <v>16</v>
      </c>
      <c r="FO39" s="90" t="s">
        <v>15</v>
      </c>
      <c r="FP39" s="90" t="s">
        <v>16</v>
      </c>
      <c r="FQ39" s="90" t="s">
        <v>16</v>
      </c>
      <c r="FR39" s="90" t="s">
        <v>16</v>
      </c>
      <c r="FS39" s="90">
        <v>0</v>
      </c>
      <c r="FT39" s="17"/>
      <c r="FU39" s="17"/>
      <c r="FV39" s="17"/>
      <c r="FW39" s="48" t="s">
        <v>537</v>
      </c>
      <c r="FX39" s="48" t="s">
        <v>531</v>
      </c>
      <c r="FY39" s="48">
        <v>4</v>
      </c>
      <c r="FZ39" s="48">
        <v>57</v>
      </c>
      <c r="GA39" s="48" t="s">
        <v>16</v>
      </c>
      <c r="GB39" s="90" t="s">
        <v>16</v>
      </c>
      <c r="GC39" s="90" t="s">
        <v>16</v>
      </c>
      <c r="GD39" s="90" t="s">
        <v>15</v>
      </c>
      <c r="GE39" s="90" t="s">
        <v>15</v>
      </c>
      <c r="GF39" s="90" t="s">
        <v>16</v>
      </c>
      <c r="GG39" s="90" t="s">
        <v>15</v>
      </c>
      <c r="GJ39" s="57" t="s">
        <v>402</v>
      </c>
      <c r="GK39" s="57">
        <v>3</v>
      </c>
    </row>
    <row r="40" spans="1:193" x14ac:dyDescent="0.25">
      <c r="A40" s="17" t="s">
        <v>536</v>
      </c>
      <c r="B40" s="128" t="s">
        <v>471</v>
      </c>
      <c r="C40" s="188">
        <v>111949.09090909301</v>
      </c>
      <c r="D40" s="188">
        <v>99999999</v>
      </c>
      <c r="E40" s="90" t="s">
        <v>532</v>
      </c>
      <c r="F40" s="90">
        <v>18</v>
      </c>
      <c r="G40" s="90">
        <v>65</v>
      </c>
      <c r="H40" s="90" t="s">
        <v>15</v>
      </c>
      <c r="I40" s="90" t="s">
        <v>15</v>
      </c>
      <c r="J40" s="90" t="s">
        <v>16</v>
      </c>
      <c r="K40" s="90"/>
      <c r="L40" s="90"/>
      <c r="M40" s="90"/>
      <c r="N40" s="90"/>
      <c r="O40" s="90"/>
      <c r="P40" s="90"/>
      <c r="Q40" s="90"/>
      <c r="R40" s="90"/>
      <c r="S40" s="90"/>
      <c r="T40" s="90"/>
      <c r="U40" s="90"/>
      <c r="V40" s="90"/>
      <c r="W40" s="90"/>
      <c r="X40" s="90"/>
      <c r="Y40" s="90"/>
      <c r="Z40" s="90"/>
      <c r="AA40" s="90"/>
      <c r="AB40" s="90"/>
      <c r="AC40" s="90"/>
      <c r="AD40" s="90"/>
      <c r="AE40" s="90"/>
      <c r="AF40" s="90"/>
      <c r="AG40" s="90"/>
      <c r="AH40" s="90"/>
      <c r="AI40" s="90"/>
      <c r="AJ40" s="90"/>
      <c r="AK40" s="90"/>
      <c r="AL40" s="90"/>
      <c r="AM40" s="90"/>
      <c r="AN40" s="90"/>
      <c r="AO40" s="90"/>
      <c r="AP40" s="90"/>
      <c r="AQ40" s="90"/>
      <c r="AR40" s="90"/>
      <c r="AS40" s="90"/>
      <c r="AT40" s="186">
        <v>23</v>
      </c>
      <c r="AU40" s="186">
        <v>10</v>
      </c>
      <c r="AV40" s="187">
        <v>10000</v>
      </c>
      <c r="AW40" s="187">
        <v>15000</v>
      </c>
      <c r="AX40" s="90">
        <v>12</v>
      </c>
      <c r="AY40" s="90">
        <v>1</v>
      </c>
      <c r="AZ40" s="186" t="s">
        <v>15</v>
      </c>
      <c r="BA40" s="186">
        <v>4</v>
      </c>
      <c r="BB40" s="17"/>
      <c r="BC40" s="186" t="s">
        <v>16</v>
      </c>
      <c r="BD40" s="128" t="s">
        <v>16</v>
      </c>
      <c r="BE40" s="128" t="s">
        <v>15</v>
      </c>
      <c r="BF40" s="128" t="s">
        <v>15</v>
      </c>
      <c r="BG40" s="128" t="s">
        <v>15</v>
      </c>
      <c r="BH40" s="128" t="s">
        <v>16</v>
      </c>
      <c r="BI40" s="128" t="s">
        <v>15</v>
      </c>
      <c r="BJ40" s="128" t="s">
        <v>16</v>
      </c>
      <c r="BK40" s="128" t="s">
        <v>15</v>
      </c>
      <c r="BL40" s="128" t="s">
        <v>16</v>
      </c>
      <c r="BM40" s="128" t="s">
        <v>16</v>
      </c>
      <c r="BN40" s="128" t="s">
        <v>16</v>
      </c>
      <c r="BO40" s="128" t="s">
        <v>15</v>
      </c>
      <c r="BP40" s="128" t="s">
        <v>15</v>
      </c>
      <c r="BQ40" s="128" t="s">
        <v>16</v>
      </c>
      <c r="BR40" s="128" t="s">
        <v>16</v>
      </c>
      <c r="BS40" s="128" t="s">
        <v>16</v>
      </c>
      <c r="BT40" s="128" t="s">
        <v>16</v>
      </c>
      <c r="BU40" s="128" t="s">
        <v>15</v>
      </c>
      <c r="BV40" s="128" t="s">
        <v>16</v>
      </c>
      <c r="BW40" s="128" t="s">
        <v>16</v>
      </c>
      <c r="BX40" s="128" t="s">
        <v>16</v>
      </c>
      <c r="BY40" s="128" t="s">
        <v>16</v>
      </c>
      <c r="BZ40" s="128" t="s">
        <v>16</v>
      </c>
      <c r="CA40" s="128" t="s">
        <v>15</v>
      </c>
      <c r="CB40" s="128" t="s">
        <v>15</v>
      </c>
      <c r="CC40" s="128" t="s">
        <v>15</v>
      </c>
      <c r="CD40" s="128" t="s">
        <v>15</v>
      </c>
      <c r="CE40" s="128" t="s">
        <v>15</v>
      </c>
      <c r="CF40" s="128" t="s">
        <v>15</v>
      </c>
      <c r="CG40" s="128" t="s">
        <v>16</v>
      </c>
      <c r="CH40" s="128" t="s">
        <v>15</v>
      </c>
      <c r="CI40" s="128" t="s">
        <v>15</v>
      </c>
      <c r="CJ40" s="128" t="s">
        <v>16</v>
      </c>
      <c r="CK40" s="128" t="s">
        <v>16</v>
      </c>
      <c r="CL40" s="128" t="s">
        <v>15</v>
      </c>
      <c r="CM40" s="128" t="s">
        <v>16</v>
      </c>
      <c r="CN40" s="128" t="s">
        <v>16</v>
      </c>
      <c r="CO40" s="128" t="s">
        <v>16</v>
      </c>
      <c r="CP40" s="128" t="s">
        <v>16</v>
      </c>
      <c r="CQ40" s="128" t="s">
        <v>15</v>
      </c>
      <c r="CR40" s="128" t="s">
        <v>15</v>
      </c>
      <c r="CS40" s="128" t="s">
        <v>16</v>
      </c>
      <c r="CT40" s="128" t="s">
        <v>16</v>
      </c>
      <c r="CU40" s="128" t="s">
        <v>15</v>
      </c>
      <c r="CV40" s="128" t="s">
        <v>16</v>
      </c>
      <c r="CW40" s="128" t="s">
        <v>16</v>
      </c>
      <c r="CX40" s="128" t="s">
        <v>15</v>
      </c>
      <c r="CY40" s="128" t="s">
        <v>15</v>
      </c>
      <c r="CZ40" s="128" t="s">
        <v>15</v>
      </c>
      <c r="DA40" s="128" t="s">
        <v>16</v>
      </c>
      <c r="DB40" s="128" t="s">
        <v>16</v>
      </c>
      <c r="DC40" s="128" t="s">
        <v>15</v>
      </c>
      <c r="DD40" s="128" t="s">
        <v>15</v>
      </c>
      <c r="DE40" s="128" t="s">
        <v>15</v>
      </c>
      <c r="DF40" s="128" t="s">
        <v>15</v>
      </c>
      <c r="DG40" s="128" t="s">
        <v>15</v>
      </c>
      <c r="DH40" s="128" t="s">
        <v>15</v>
      </c>
      <c r="DI40" s="128" t="s">
        <v>15</v>
      </c>
      <c r="DJ40" s="128" t="s">
        <v>15</v>
      </c>
      <c r="DK40" s="128" t="s">
        <v>15</v>
      </c>
      <c r="DL40" s="128" t="s">
        <v>15</v>
      </c>
      <c r="DM40" s="17" t="s">
        <v>536</v>
      </c>
      <c r="DN40" s="17" t="s">
        <v>81</v>
      </c>
      <c r="DO40" s="17" t="s">
        <v>21</v>
      </c>
      <c r="DP40" s="185">
        <v>0.15</v>
      </c>
      <c r="DQ40" s="184">
        <v>1800000</v>
      </c>
      <c r="DR40" s="184">
        <v>1400000</v>
      </c>
      <c r="DS40" s="17">
        <v>1</v>
      </c>
      <c r="DT40" s="184">
        <v>9500</v>
      </c>
      <c r="DU40" s="184"/>
      <c r="DV40" s="184"/>
      <c r="DW40" s="184">
        <v>6000</v>
      </c>
      <c r="DX40" s="184">
        <v>6000</v>
      </c>
      <c r="DY40" s="184">
        <v>0</v>
      </c>
      <c r="DZ40" s="184">
        <v>1000</v>
      </c>
      <c r="EA40" s="184">
        <v>3500</v>
      </c>
      <c r="EB40" s="184">
        <v>8500</v>
      </c>
      <c r="EC40" s="184">
        <v>1500</v>
      </c>
      <c r="ED40" s="184">
        <v>5500</v>
      </c>
      <c r="EE40" s="184">
        <v>500</v>
      </c>
      <c r="EF40" s="184">
        <v>4500</v>
      </c>
      <c r="EG40" s="184">
        <v>7000</v>
      </c>
      <c r="EH40" s="184">
        <v>1500</v>
      </c>
      <c r="EI40" s="184">
        <v>0</v>
      </c>
      <c r="EJ40" s="184">
        <v>5500</v>
      </c>
      <c r="EK40" s="184">
        <v>5000</v>
      </c>
      <c r="EL40" s="184">
        <v>500</v>
      </c>
      <c r="EM40" s="184">
        <v>4500</v>
      </c>
      <c r="EN40" s="184">
        <v>4500</v>
      </c>
      <c r="EO40" s="184">
        <v>2000</v>
      </c>
      <c r="EP40" s="184">
        <v>9000</v>
      </c>
      <c r="EQ40" s="184">
        <v>7500</v>
      </c>
      <c r="ER40" s="184">
        <v>3000</v>
      </c>
      <c r="ES40" s="48" t="s">
        <v>15</v>
      </c>
      <c r="ET40" s="90">
        <v>1</v>
      </c>
      <c r="EU40" s="48" t="s">
        <v>16</v>
      </c>
      <c r="EV40" s="90" t="s">
        <v>15</v>
      </c>
      <c r="EW40" s="90" t="s">
        <v>16</v>
      </c>
      <c r="EX40" s="90" t="s">
        <v>16</v>
      </c>
      <c r="EY40" s="90" t="s">
        <v>15</v>
      </c>
      <c r="EZ40" s="90" t="s">
        <v>16</v>
      </c>
      <c r="FA40" s="90" t="s">
        <v>16</v>
      </c>
      <c r="FB40" s="90" t="s">
        <v>16</v>
      </c>
      <c r="FC40" s="90">
        <v>1937</v>
      </c>
      <c r="FD40" s="90">
        <v>1916</v>
      </c>
      <c r="FE40" s="90">
        <v>1924</v>
      </c>
      <c r="FF40" s="90">
        <v>586</v>
      </c>
      <c r="FG40" s="90">
        <v>234</v>
      </c>
      <c r="FH40" s="90">
        <v>793</v>
      </c>
      <c r="FI40" s="90">
        <v>504</v>
      </c>
      <c r="FJ40" s="90">
        <v>2287</v>
      </c>
      <c r="FK40" s="90">
        <v>2066</v>
      </c>
      <c r="FL40" s="90">
        <v>2123</v>
      </c>
      <c r="FM40" s="90" t="s">
        <v>16</v>
      </c>
      <c r="FN40" s="90" t="s">
        <v>15</v>
      </c>
      <c r="FO40" s="90" t="s">
        <v>15</v>
      </c>
      <c r="FP40" s="90" t="s">
        <v>16</v>
      </c>
      <c r="FQ40" s="90" t="s">
        <v>15</v>
      </c>
      <c r="FR40" s="90" t="s">
        <v>15</v>
      </c>
      <c r="FS40" s="90">
        <v>103</v>
      </c>
      <c r="FT40" s="17"/>
      <c r="FU40" s="17"/>
      <c r="FV40" s="17"/>
      <c r="FW40" s="48" t="s">
        <v>533</v>
      </c>
      <c r="FX40" s="48" t="s">
        <v>471</v>
      </c>
      <c r="FY40" s="48">
        <v>6</v>
      </c>
      <c r="FZ40" s="48">
        <v>158</v>
      </c>
      <c r="GA40" s="48" t="s">
        <v>15</v>
      </c>
      <c r="GB40" s="90" t="s">
        <v>15</v>
      </c>
      <c r="GC40" s="90" t="s">
        <v>16</v>
      </c>
      <c r="GD40" s="90" t="s">
        <v>16</v>
      </c>
      <c r="GE40" s="90" t="s">
        <v>16</v>
      </c>
      <c r="GF40" s="90" t="s">
        <v>16</v>
      </c>
      <c r="GG40" s="90" t="s">
        <v>15</v>
      </c>
      <c r="GJ40" s="57" t="s">
        <v>401</v>
      </c>
      <c r="GK40" s="57">
        <v>4</v>
      </c>
    </row>
    <row r="41" spans="1:193" x14ac:dyDescent="0.25">
      <c r="A41" s="17" t="s">
        <v>535</v>
      </c>
      <c r="B41" s="128" t="s">
        <v>470</v>
      </c>
      <c r="C41" s="188">
        <v>51343.030303032603</v>
      </c>
      <c r="D41" s="188">
        <v>99999999</v>
      </c>
      <c r="E41" s="90" t="s">
        <v>532</v>
      </c>
      <c r="F41" s="90">
        <v>18</v>
      </c>
      <c r="G41" s="90">
        <v>65</v>
      </c>
      <c r="H41" s="90" t="s">
        <v>15</v>
      </c>
      <c r="I41" s="90" t="s">
        <v>15</v>
      </c>
      <c r="J41" s="90" t="s">
        <v>15</v>
      </c>
      <c r="K41" s="90"/>
      <c r="L41" s="90"/>
      <c r="M41" s="90"/>
      <c r="N41" s="90"/>
      <c r="O41" s="90"/>
      <c r="P41" s="90"/>
      <c r="Q41" s="90"/>
      <c r="R41" s="90"/>
      <c r="S41" s="90"/>
      <c r="T41" s="90"/>
      <c r="U41" s="90"/>
      <c r="V41" s="90"/>
      <c r="W41" s="90"/>
      <c r="X41" s="90"/>
      <c r="Y41" s="90"/>
      <c r="Z41" s="90"/>
      <c r="AA41" s="90"/>
      <c r="AB41" s="90"/>
      <c r="AC41" s="90"/>
      <c r="AD41" s="90"/>
      <c r="AE41" s="90"/>
      <c r="AF41" s="90"/>
      <c r="AG41" s="90"/>
      <c r="AH41" s="90"/>
      <c r="AI41" s="90"/>
      <c r="AJ41" s="90"/>
      <c r="AK41" s="90"/>
      <c r="AL41" s="90"/>
      <c r="AM41" s="90"/>
      <c r="AN41" s="90"/>
      <c r="AO41" s="90"/>
      <c r="AP41" s="90"/>
      <c r="AQ41" s="90"/>
      <c r="AR41" s="90"/>
      <c r="AS41" s="90"/>
      <c r="AT41" s="186">
        <v>21</v>
      </c>
      <c r="AU41" s="186">
        <v>12</v>
      </c>
      <c r="AV41" s="187">
        <v>5000</v>
      </c>
      <c r="AW41" s="187">
        <v>12000</v>
      </c>
      <c r="AX41" s="90">
        <v>5</v>
      </c>
      <c r="AY41" s="90">
        <v>2</v>
      </c>
      <c r="AZ41" s="186" t="s">
        <v>15</v>
      </c>
      <c r="BA41" s="186">
        <v>3</v>
      </c>
      <c r="BB41" s="17"/>
      <c r="BC41" s="186" t="s">
        <v>15</v>
      </c>
      <c r="BD41" s="128" t="s">
        <v>15</v>
      </c>
      <c r="BE41" s="128" t="s">
        <v>15</v>
      </c>
      <c r="BF41" s="128" t="s">
        <v>15</v>
      </c>
      <c r="BG41" s="128" t="s">
        <v>15</v>
      </c>
      <c r="BH41" s="128" t="s">
        <v>16</v>
      </c>
      <c r="BI41" s="128" t="s">
        <v>15</v>
      </c>
      <c r="BJ41" s="128" t="s">
        <v>15</v>
      </c>
      <c r="BK41" s="128" t="s">
        <v>15</v>
      </c>
      <c r="BL41" s="128" t="s">
        <v>15</v>
      </c>
      <c r="BM41" s="128" t="s">
        <v>15</v>
      </c>
      <c r="BN41" s="128" t="s">
        <v>16</v>
      </c>
      <c r="BO41" s="128" t="s">
        <v>16</v>
      </c>
      <c r="BP41" s="128" t="s">
        <v>16</v>
      </c>
      <c r="BQ41" s="128" t="s">
        <v>15</v>
      </c>
      <c r="BR41" s="128" t="s">
        <v>16</v>
      </c>
      <c r="BS41" s="128" t="s">
        <v>15</v>
      </c>
      <c r="BT41" s="128" t="s">
        <v>15</v>
      </c>
      <c r="BU41" s="128" t="s">
        <v>15</v>
      </c>
      <c r="BV41" s="128" t="s">
        <v>16</v>
      </c>
      <c r="BW41" s="128" t="s">
        <v>15</v>
      </c>
      <c r="BX41" s="128" t="s">
        <v>16</v>
      </c>
      <c r="BY41" s="128" t="s">
        <v>16</v>
      </c>
      <c r="BZ41" s="128" t="s">
        <v>15</v>
      </c>
      <c r="CA41" s="128" t="s">
        <v>16</v>
      </c>
      <c r="CB41" s="128" t="s">
        <v>16</v>
      </c>
      <c r="CC41" s="128" t="s">
        <v>16</v>
      </c>
      <c r="CD41" s="128" t="s">
        <v>15</v>
      </c>
      <c r="CE41" s="128" t="s">
        <v>15</v>
      </c>
      <c r="CF41" s="128" t="s">
        <v>15</v>
      </c>
      <c r="CG41" s="128" t="s">
        <v>15</v>
      </c>
      <c r="CH41" s="128" t="s">
        <v>15</v>
      </c>
      <c r="CI41" s="128" t="s">
        <v>16</v>
      </c>
      <c r="CJ41" s="128" t="s">
        <v>15</v>
      </c>
      <c r="CK41" s="128" t="s">
        <v>16</v>
      </c>
      <c r="CL41" s="128" t="s">
        <v>16</v>
      </c>
      <c r="CM41" s="128" t="s">
        <v>16</v>
      </c>
      <c r="CN41" s="128" t="s">
        <v>16</v>
      </c>
      <c r="CO41" s="128" t="s">
        <v>16</v>
      </c>
      <c r="CP41" s="128" t="s">
        <v>16</v>
      </c>
      <c r="CQ41" s="128" t="s">
        <v>15</v>
      </c>
      <c r="CR41" s="128" t="s">
        <v>15</v>
      </c>
      <c r="CS41" s="128" t="s">
        <v>16</v>
      </c>
      <c r="CT41" s="128" t="s">
        <v>16</v>
      </c>
      <c r="CU41" s="128" t="s">
        <v>15</v>
      </c>
      <c r="CV41" s="128" t="s">
        <v>16</v>
      </c>
      <c r="CW41" s="128" t="s">
        <v>15</v>
      </c>
      <c r="CX41" s="128" t="s">
        <v>16</v>
      </c>
      <c r="CY41" s="128" t="s">
        <v>16</v>
      </c>
      <c r="CZ41" s="128" t="s">
        <v>16</v>
      </c>
      <c r="DA41" s="128" t="s">
        <v>16</v>
      </c>
      <c r="DB41" s="128" t="s">
        <v>15</v>
      </c>
      <c r="DC41" s="128" t="s">
        <v>16</v>
      </c>
      <c r="DD41" s="128" t="s">
        <v>15</v>
      </c>
      <c r="DE41" s="128" t="s">
        <v>16</v>
      </c>
      <c r="DF41" s="128" t="s">
        <v>15</v>
      </c>
      <c r="DG41" s="128" t="s">
        <v>15</v>
      </c>
      <c r="DH41" s="128" t="s">
        <v>15</v>
      </c>
      <c r="DI41" s="128" t="s">
        <v>15</v>
      </c>
      <c r="DJ41" s="128" t="s">
        <v>15</v>
      </c>
      <c r="DK41" s="128" t="s">
        <v>16</v>
      </c>
      <c r="DL41" s="128" t="s">
        <v>16</v>
      </c>
      <c r="DM41" s="17" t="s">
        <v>535</v>
      </c>
      <c r="DN41" s="17" t="s">
        <v>81</v>
      </c>
      <c r="DO41" s="17" t="s">
        <v>17</v>
      </c>
      <c r="DP41" s="185">
        <v>0.12</v>
      </c>
      <c r="DQ41" s="184">
        <v>2100000</v>
      </c>
      <c r="DR41" s="184">
        <v>1300000</v>
      </c>
      <c r="DS41" s="17">
        <v>3</v>
      </c>
      <c r="DT41" s="184">
        <v>5500</v>
      </c>
      <c r="DU41" s="184"/>
      <c r="DV41" s="184"/>
      <c r="DW41" s="184">
        <v>6000</v>
      </c>
      <c r="DX41" s="184">
        <v>3500</v>
      </c>
      <c r="DY41" s="184">
        <v>5500</v>
      </c>
      <c r="DZ41" s="184">
        <v>8500</v>
      </c>
      <c r="EA41" s="184">
        <v>4500</v>
      </c>
      <c r="EB41" s="184">
        <v>4500</v>
      </c>
      <c r="EC41" s="184">
        <v>9500</v>
      </c>
      <c r="ED41" s="184">
        <v>7500</v>
      </c>
      <c r="EE41" s="184">
        <v>2500</v>
      </c>
      <c r="EF41" s="184">
        <v>500</v>
      </c>
      <c r="EG41" s="184">
        <v>0</v>
      </c>
      <c r="EH41" s="184">
        <v>3500</v>
      </c>
      <c r="EI41" s="184">
        <v>5500</v>
      </c>
      <c r="EJ41" s="184">
        <v>7500</v>
      </c>
      <c r="EK41" s="184">
        <v>3500</v>
      </c>
      <c r="EL41" s="184">
        <v>3000</v>
      </c>
      <c r="EM41" s="184">
        <v>0</v>
      </c>
      <c r="EN41" s="184">
        <v>5000</v>
      </c>
      <c r="EO41" s="184">
        <v>8000</v>
      </c>
      <c r="EP41" s="184">
        <v>5500</v>
      </c>
      <c r="EQ41" s="184">
        <v>2000</v>
      </c>
      <c r="ER41" s="184">
        <v>0</v>
      </c>
      <c r="ES41" s="48" t="s">
        <v>16</v>
      </c>
      <c r="ET41" s="90">
        <v>6</v>
      </c>
      <c r="EU41" s="48" t="s">
        <v>15</v>
      </c>
      <c r="EV41" s="90" t="s">
        <v>16</v>
      </c>
      <c r="EW41" s="90" t="s">
        <v>15</v>
      </c>
      <c r="EX41" s="90" t="s">
        <v>15</v>
      </c>
      <c r="EY41" s="90" t="s">
        <v>15</v>
      </c>
      <c r="EZ41" s="90" t="s">
        <v>15</v>
      </c>
      <c r="FA41" s="90" t="s">
        <v>15</v>
      </c>
      <c r="FB41" s="90" t="s">
        <v>15</v>
      </c>
      <c r="FC41" s="90">
        <v>1236</v>
      </c>
      <c r="FD41" s="90">
        <v>1794</v>
      </c>
      <c r="FE41" s="90">
        <v>1628</v>
      </c>
      <c r="FF41" s="90">
        <v>330</v>
      </c>
      <c r="FG41" s="90">
        <v>741</v>
      </c>
      <c r="FH41" s="90">
        <v>847</v>
      </c>
      <c r="FI41" s="90">
        <v>211</v>
      </c>
      <c r="FJ41" s="90">
        <v>1340</v>
      </c>
      <c r="FK41" s="90">
        <v>1183</v>
      </c>
      <c r="FL41" s="90">
        <v>1507</v>
      </c>
      <c r="FM41" s="90" t="s">
        <v>15</v>
      </c>
      <c r="FN41" s="90" t="s">
        <v>15</v>
      </c>
      <c r="FO41" s="90" t="s">
        <v>15</v>
      </c>
      <c r="FP41" s="90" t="s">
        <v>16</v>
      </c>
      <c r="FQ41" s="90" t="s">
        <v>15</v>
      </c>
      <c r="FR41" s="90" t="s">
        <v>16</v>
      </c>
      <c r="FS41" s="90">
        <v>0</v>
      </c>
      <c r="FT41" s="17"/>
      <c r="FU41" s="17"/>
      <c r="FV41" s="17"/>
      <c r="FW41" s="48" t="s">
        <v>531</v>
      </c>
      <c r="FX41" s="48" t="s">
        <v>471</v>
      </c>
      <c r="FY41" s="48">
        <v>3</v>
      </c>
      <c r="FZ41" s="48">
        <v>87</v>
      </c>
      <c r="GA41" s="48" t="s">
        <v>15</v>
      </c>
      <c r="GB41" s="90" t="s">
        <v>15</v>
      </c>
      <c r="GC41" s="90" t="s">
        <v>16</v>
      </c>
      <c r="GD41" s="90" t="s">
        <v>16</v>
      </c>
      <c r="GE41" s="90" t="s">
        <v>16</v>
      </c>
      <c r="GF41" s="90" t="s">
        <v>15</v>
      </c>
      <c r="GG41" s="90" t="s">
        <v>15</v>
      </c>
      <c r="GJ41" s="57" t="s">
        <v>400</v>
      </c>
      <c r="GK41" s="57">
        <v>5</v>
      </c>
    </row>
    <row r="42" spans="1:193" x14ac:dyDescent="0.25">
      <c r="A42" s="17" t="s">
        <v>534</v>
      </c>
      <c r="B42" s="128" t="s">
        <v>470</v>
      </c>
      <c r="C42" s="188">
        <v>-9263.0303030274808</v>
      </c>
      <c r="D42" s="188">
        <v>99999999</v>
      </c>
      <c r="E42" s="90" t="s">
        <v>532</v>
      </c>
      <c r="F42" s="90">
        <v>30</v>
      </c>
      <c r="G42" s="90">
        <v>65</v>
      </c>
      <c r="H42" s="90" t="s">
        <v>15</v>
      </c>
      <c r="I42" s="90" t="s">
        <v>15</v>
      </c>
      <c r="J42" s="90" t="s">
        <v>15</v>
      </c>
      <c r="K42" s="90"/>
      <c r="L42" s="90"/>
      <c r="M42" s="90"/>
      <c r="N42" s="90"/>
      <c r="O42" s="90"/>
      <c r="P42" s="90"/>
      <c r="Q42" s="90"/>
      <c r="R42" s="90"/>
      <c r="S42" s="90"/>
      <c r="T42" s="90"/>
      <c r="U42" s="90"/>
      <c r="V42" s="90"/>
      <c r="W42" s="90"/>
      <c r="X42" s="90"/>
      <c r="Y42" s="90"/>
      <c r="Z42" s="90"/>
      <c r="AA42" s="90"/>
      <c r="AB42" s="90"/>
      <c r="AC42" s="90"/>
      <c r="AD42" s="90"/>
      <c r="AE42" s="90"/>
      <c r="AF42" s="90"/>
      <c r="AG42" s="90"/>
      <c r="AH42" s="90"/>
      <c r="AI42" s="90"/>
      <c r="AJ42" s="90"/>
      <c r="AK42" s="90"/>
      <c r="AL42" s="90"/>
      <c r="AM42" s="90"/>
      <c r="AN42" s="90"/>
      <c r="AO42" s="90"/>
      <c r="AP42" s="90"/>
      <c r="AQ42" s="90"/>
      <c r="AR42" s="90"/>
      <c r="AS42" s="90"/>
      <c r="AT42" s="186">
        <v>21</v>
      </c>
      <c r="AU42" s="186">
        <v>8</v>
      </c>
      <c r="AV42" s="187">
        <v>5000</v>
      </c>
      <c r="AW42" s="187">
        <v>15000</v>
      </c>
      <c r="AX42" s="90">
        <v>2</v>
      </c>
      <c r="AY42" s="90">
        <v>5</v>
      </c>
      <c r="AZ42" s="186" t="s">
        <v>16</v>
      </c>
      <c r="BA42" s="186">
        <v>1</v>
      </c>
      <c r="BB42" s="17"/>
      <c r="BC42" s="186" t="s">
        <v>16</v>
      </c>
      <c r="BD42" s="128" t="s">
        <v>16</v>
      </c>
      <c r="BE42" s="128" t="s">
        <v>15</v>
      </c>
      <c r="BF42" s="128" t="s">
        <v>15</v>
      </c>
      <c r="BG42" s="128" t="s">
        <v>15</v>
      </c>
      <c r="BH42" s="128" t="s">
        <v>15</v>
      </c>
      <c r="BI42" s="128" t="s">
        <v>15</v>
      </c>
      <c r="BJ42" s="128" t="s">
        <v>16</v>
      </c>
      <c r="BK42" s="128" t="s">
        <v>15</v>
      </c>
      <c r="BL42" s="128" t="s">
        <v>16</v>
      </c>
      <c r="BM42" s="128" t="s">
        <v>16</v>
      </c>
      <c r="BN42" s="128" t="s">
        <v>16</v>
      </c>
      <c r="BO42" s="128" t="s">
        <v>15</v>
      </c>
      <c r="BP42" s="128" t="s">
        <v>16</v>
      </c>
      <c r="BQ42" s="128" t="s">
        <v>16</v>
      </c>
      <c r="BR42" s="128" t="s">
        <v>16</v>
      </c>
      <c r="BS42" s="128" t="s">
        <v>15</v>
      </c>
      <c r="BT42" s="128" t="s">
        <v>15</v>
      </c>
      <c r="BU42" s="128" t="s">
        <v>15</v>
      </c>
      <c r="BV42" s="128" t="s">
        <v>15</v>
      </c>
      <c r="BW42" s="128" t="s">
        <v>15</v>
      </c>
      <c r="BX42" s="128" t="s">
        <v>15</v>
      </c>
      <c r="BY42" s="128" t="s">
        <v>15</v>
      </c>
      <c r="BZ42" s="128" t="s">
        <v>16</v>
      </c>
      <c r="CA42" s="128" t="s">
        <v>15</v>
      </c>
      <c r="CB42" s="128" t="s">
        <v>15</v>
      </c>
      <c r="CC42" s="128" t="s">
        <v>15</v>
      </c>
      <c r="CD42" s="128" t="s">
        <v>15</v>
      </c>
      <c r="CE42" s="128" t="s">
        <v>15</v>
      </c>
      <c r="CF42" s="128" t="s">
        <v>15</v>
      </c>
      <c r="CG42" s="128" t="s">
        <v>16</v>
      </c>
      <c r="CH42" s="128" t="s">
        <v>15</v>
      </c>
      <c r="CI42" s="128" t="s">
        <v>15</v>
      </c>
      <c r="CJ42" s="128" t="s">
        <v>16</v>
      </c>
      <c r="CK42" s="128" t="s">
        <v>16</v>
      </c>
      <c r="CL42" s="128" t="s">
        <v>15</v>
      </c>
      <c r="CM42" s="128" t="s">
        <v>16</v>
      </c>
      <c r="CN42" s="128" t="s">
        <v>16</v>
      </c>
      <c r="CO42" s="128" t="s">
        <v>16</v>
      </c>
      <c r="CP42" s="128" t="s">
        <v>16</v>
      </c>
      <c r="CQ42" s="128" t="s">
        <v>15</v>
      </c>
      <c r="CR42" s="128" t="s">
        <v>15</v>
      </c>
      <c r="CS42" s="128" t="s">
        <v>16</v>
      </c>
      <c r="CT42" s="128" t="s">
        <v>16</v>
      </c>
      <c r="CU42" s="128" t="s">
        <v>15</v>
      </c>
      <c r="CV42" s="128" t="s">
        <v>16</v>
      </c>
      <c r="CW42" s="128" t="s">
        <v>16</v>
      </c>
      <c r="CX42" s="128" t="s">
        <v>15</v>
      </c>
      <c r="CY42" s="128" t="s">
        <v>16</v>
      </c>
      <c r="CZ42" s="128" t="s">
        <v>15</v>
      </c>
      <c r="DA42" s="128" t="s">
        <v>16</v>
      </c>
      <c r="DB42" s="128" t="s">
        <v>16</v>
      </c>
      <c r="DC42" s="128" t="s">
        <v>15</v>
      </c>
      <c r="DD42" s="128" t="s">
        <v>16</v>
      </c>
      <c r="DE42" s="128" t="s">
        <v>15</v>
      </c>
      <c r="DF42" s="128" t="s">
        <v>15</v>
      </c>
      <c r="DG42" s="128" t="s">
        <v>16</v>
      </c>
      <c r="DH42" s="128" t="s">
        <v>16</v>
      </c>
      <c r="DI42" s="128" t="s">
        <v>16</v>
      </c>
      <c r="DJ42" s="128" t="s">
        <v>16</v>
      </c>
      <c r="DK42" s="128" t="s">
        <v>15</v>
      </c>
      <c r="DL42" s="128" t="s">
        <v>15</v>
      </c>
      <c r="DM42" s="17" t="s">
        <v>534</v>
      </c>
      <c r="DN42" s="17" t="s">
        <v>81</v>
      </c>
      <c r="DO42" s="17" t="s">
        <v>19</v>
      </c>
      <c r="DP42" s="185">
        <v>0.08</v>
      </c>
      <c r="DQ42" s="184">
        <v>1900000</v>
      </c>
      <c r="DR42" s="184">
        <v>1500000</v>
      </c>
      <c r="DS42" s="17">
        <v>2</v>
      </c>
      <c r="DT42" s="184">
        <v>10000</v>
      </c>
      <c r="DU42" s="184"/>
      <c r="DV42" s="184"/>
      <c r="DW42" s="184">
        <v>4500</v>
      </c>
      <c r="DX42" s="184">
        <v>6000</v>
      </c>
      <c r="DY42" s="184">
        <v>3000</v>
      </c>
      <c r="DZ42" s="184">
        <v>6000</v>
      </c>
      <c r="EA42" s="184">
        <v>5500</v>
      </c>
      <c r="EB42" s="184">
        <v>3500</v>
      </c>
      <c r="EC42" s="184">
        <v>2500</v>
      </c>
      <c r="ED42" s="184">
        <v>3500</v>
      </c>
      <c r="EE42" s="184">
        <v>4000</v>
      </c>
      <c r="EF42" s="184">
        <v>9000</v>
      </c>
      <c r="EG42" s="184">
        <v>3500</v>
      </c>
      <c r="EH42" s="184">
        <v>0</v>
      </c>
      <c r="EI42" s="184">
        <v>4500</v>
      </c>
      <c r="EJ42" s="184">
        <v>2000</v>
      </c>
      <c r="EK42" s="184">
        <v>7500</v>
      </c>
      <c r="EL42" s="184">
        <v>9000</v>
      </c>
      <c r="EM42" s="184">
        <v>7000</v>
      </c>
      <c r="EN42" s="184">
        <v>1000</v>
      </c>
      <c r="EO42" s="184">
        <v>8500</v>
      </c>
      <c r="EP42" s="184">
        <v>9500</v>
      </c>
      <c r="EQ42" s="184">
        <v>4500</v>
      </c>
      <c r="ER42" s="184">
        <v>500</v>
      </c>
      <c r="ES42" s="48" t="s">
        <v>16</v>
      </c>
      <c r="ET42" s="90">
        <v>30</v>
      </c>
      <c r="EU42" s="48" t="s">
        <v>16</v>
      </c>
      <c r="EV42" s="90" t="s">
        <v>15</v>
      </c>
      <c r="EW42" s="90" t="s">
        <v>15</v>
      </c>
      <c r="EX42" s="90" t="s">
        <v>16</v>
      </c>
      <c r="EY42" s="90" t="s">
        <v>16</v>
      </c>
      <c r="EZ42" s="90" t="s">
        <v>15</v>
      </c>
      <c r="FA42" s="90" t="s">
        <v>15</v>
      </c>
      <c r="FB42" s="90" t="s">
        <v>16</v>
      </c>
      <c r="FC42" s="90">
        <v>1454</v>
      </c>
      <c r="FD42" s="90">
        <v>1011</v>
      </c>
      <c r="FE42" s="90">
        <v>1265</v>
      </c>
      <c r="FF42" s="90">
        <v>1881</v>
      </c>
      <c r="FG42" s="90">
        <v>1055</v>
      </c>
      <c r="FH42" s="90">
        <v>1262</v>
      </c>
      <c r="FI42" s="90">
        <v>431</v>
      </c>
      <c r="FJ42" s="90">
        <v>802</v>
      </c>
      <c r="FK42" s="90">
        <v>1708</v>
      </c>
      <c r="FL42" s="90">
        <v>2019</v>
      </c>
      <c r="FM42" s="90" t="s">
        <v>15</v>
      </c>
      <c r="FN42" s="90" t="s">
        <v>15</v>
      </c>
      <c r="FO42" s="90" t="s">
        <v>15</v>
      </c>
      <c r="FP42" s="90" t="s">
        <v>16</v>
      </c>
      <c r="FQ42" s="90" t="s">
        <v>16</v>
      </c>
      <c r="FR42" s="90" t="s">
        <v>15</v>
      </c>
      <c r="FS42" s="90">
        <v>29</v>
      </c>
      <c r="FT42" s="17"/>
      <c r="FU42" s="17"/>
      <c r="FV42" s="17"/>
      <c r="FW42" s="48" t="s">
        <v>533</v>
      </c>
      <c r="FX42" s="48" t="s">
        <v>531</v>
      </c>
      <c r="FY42" s="48">
        <v>5</v>
      </c>
      <c r="FZ42" s="48">
        <v>108</v>
      </c>
      <c r="GA42" s="48" t="s">
        <v>15</v>
      </c>
      <c r="GB42" s="90" t="s">
        <v>15</v>
      </c>
      <c r="GC42" s="90" t="s">
        <v>15</v>
      </c>
      <c r="GD42" s="90" t="s">
        <v>16</v>
      </c>
      <c r="GE42" s="90" t="s">
        <v>16</v>
      </c>
      <c r="GF42" s="90" t="s">
        <v>15</v>
      </c>
      <c r="GG42" s="90" t="s">
        <v>15</v>
      </c>
      <c r="GJ42" s="57" t="s">
        <v>399</v>
      </c>
      <c r="GK42" s="57">
        <v>3</v>
      </c>
    </row>
    <row r="43" spans="1:193" ht="15.75" thickBot="1" x14ac:dyDescent="0.3">
      <c r="A43" s="17" t="s">
        <v>78</v>
      </c>
      <c r="B43" s="128" t="s">
        <v>470</v>
      </c>
      <c r="C43" s="188">
        <v>-69869.090909087594</v>
      </c>
      <c r="D43" s="188">
        <v>99999999</v>
      </c>
      <c r="E43" s="90" t="s">
        <v>532</v>
      </c>
      <c r="F43" s="90">
        <v>18</v>
      </c>
      <c r="G43" s="90">
        <v>65</v>
      </c>
      <c r="H43" s="90" t="s">
        <v>16</v>
      </c>
      <c r="I43" s="90" t="s">
        <v>15</v>
      </c>
      <c r="J43" s="90" t="s">
        <v>15</v>
      </c>
      <c r="K43" s="90"/>
      <c r="L43" s="90"/>
      <c r="M43" s="90"/>
      <c r="N43" s="90"/>
      <c r="O43" s="90"/>
      <c r="P43" s="90"/>
      <c r="Q43" s="90"/>
      <c r="R43" s="90"/>
      <c r="S43" s="90"/>
      <c r="T43" s="90"/>
      <c r="U43" s="90"/>
      <c r="V43" s="90"/>
      <c r="W43" s="90"/>
      <c r="X43" s="90"/>
      <c r="Y43" s="90"/>
      <c r="Z43" s="90"/>
      <c r="AA43" s="90"/>
      <c r="AB43" s="90"/>
      <c r="AC43" s="90"/>
      <c r="AD43" s="90"/>
      <c r="AE43" s="90"/>
      <c r="AF43" s="90"/>
      <c r="AG43" s="90"/>
      <c r="AH43" s="90"/>
      <c r="AI43" s="90"/>
      <c r="AJ43" s="90"/>
      <c r="AK43" s="90"/>
      <c r="AL43" s="90"/>
      <c r="AM43" s="90"/>
      <c r="AN43" s="90"/>
      <c r="AO43" s="90"/>
      <c r="AP43" s="90"/>
      <c r="AQ43" s="90"/>
      <c r="AR43" s="90"/>
      <c r="AS43" s="90"/>
      <c r="AT43" s="186">
        <v>4</v>
      </c>
      <c r="AU43" s="186">
        <v>8</v>
      </c>
      <c r="AV43" s="187">
        <v>5000</v>
      </c>
      <c r="AW43" s="187">
        <v>15000</v>
      </c>
      <c r="AX43" s="90">
        <v>1</v>
      </c>
      <c r="AY43" s="90">
        <v>3</v>
      </c>
      <c r="AZ43" s="186" t="s">
        <v>15</v>
      </c>
      <c r="BA43" s="186">
        <v>2</v>
      </c>
      <c r="BB43" s="17"/>
      <c r="BC43" s="186" t="s">
        <v>16</v>
      </c>
      <c r="BD43" s="128" t="s">
        <v>15</v>
      </c>
      <c r="BE43" s="128" t="s">
        <v>16</v>
      </c>
      <c r="BF43" s="128" t="s">
        <v>16</v>
      </c>
      <c r="BG43" s="128" t="s">
        <v>16</v>
      </c>
      <c r="BH43" s="128" t="s">
        <v>16</v>
      </c>
      <c r="BI43" s="128" t="s">
        <v>16</v>
      </c>
      <c r="BJ43" s="128" t="s">
        <v>15</v>
      </c>
      <c r="BK43" s="128" t="s">
        <v>16</v>
      </c>
      <c r="BL43" s="128" t="s">
        <v>15</v>
      </c>
      <c r="BM43" s="128" t="s">
        <v>15</v>
      </c>
      <c r="BN43" s="128" t="s">
        <v>16</v>
      </c>
      <c r="BO43" s="128" t="s">
        <v>15</v>
      </c>
      <c r="BP43" s="128" t="s">
        <v>15</v>
      </c>
      <c r="BQ43" s="128" t="s">
        <v>16</v>
      </c>
      <c r="BR43" s="128" t="s">
        <v>16</v>
      </c>
      <c r="BS43" s="128" t="s">
        <v>15</v>
      </c>
      <c r="BT43" s="128" t="s">
        <v>16</v>
      </c>
      <c r="BU43" s="128" t="s">
        <v>16</v>
      </c>
      <c r="BV43" s="128" t="s">
        <v>15</v>
      </c>
      <c r="BW43" s="128" t="s">
        <v>15</v>
      </c>
      <c r="BX43" s="128" t="s">
        <v>16</v>
      </c>
      <c r="BY43" s="128" t="s">
        <v>16</v>
      </c>
      <c r="BZ43" s="128" t="s">
        <v>15</v>
      </c>
      <c r="CA43" s="128" t="s">
        <v>16</v>
      </c>
      <c r="CB43" s="128" t="s">
        <v>16</v>
      </c>
      <c r="CC43" s="128" t="s">
        <v>16</v>
      </c>
      <c r="CD43" s="128" t="s">
        <v>16</v>
      </c>
      <c r="CE43" s="128" t="s">
        <v>15</v>
      </c>
      <c r="CF43" s="128" t="s">
        <v>15</v>
      </c>
      <c r="CG43" s="128" t="s">
        <v>16</v>
      </c>
      <c r="CH43" s="128" t="s">
        <v>16</v>
      </c>
      <c r="CI43" s="128" t="s">
        <v>15</v>
      </c>
      <c r="CJ43" s="128" t="s">
        <v>16</v>
      </c>
      <c r="CK43" s="128" t="s">
        <v>15</v>
      </c>
      <c r="CL43" s="128" t="s">
        <v>15</v>
      </c>
      <c r="CM43" s="128" t="s">
        <v>15</v>
      </c>
      <c r="CN43" s="128" t="s">
        <v>16</v>
      </c>
      <c r="CO43" s="128" t="s">
        <v>16</v>
      </c>
      <c r="CP43" s="128" t="s">
        <v>15</v>
      </c>
      <c r="CQ43" s="128" t="s">
        <v>15</v>
      </c>
      <c r="CR43" s="128" t="s">
        <v>15</v>
      </c>
      <c r="CS43" s="128" t="s">
        <v>15</v>
      </c>
      <c r="CT43" s="128" t="s">
        <v>15</v>
      </c>
      <c r="CU43" s="128" t="s">
        <v>15</v>
      </c>
      <c r="CV43" s="128" t="s">
        <v>15</v>
      </c>
      <c r="CW43" s="128" t="s">
        <v>16</v>
      </c>
      <c r="CX43" s="128" t="s">
        <v>15</v>
      </c>
      <c r="CY43" s="128" t="s">
        <v>16</v>
      </c>
      <c r="CZ43" s="128" t="s">
        <v>15</v>
      </c>
      <c r="DA43" s="128" t="s">
        <v>16</v>
      </c>
      <c r="DB43" s="128" t="s">
        <v>15</v>
      </c>
      <c r="DC43" s="128" t="s">
        <v>15</v>
      </c>
      <c r="DD43" s="128" t="s">
        <v>16</v>
      </c>
      <c r="DE43" s="128" t="s">
        <v>15</v>
      </c>
      <c r="DF43" s="128" t="s">
        <v>15</v>
      </c>
      <c r="DG43" s="128" t="s">
        <v>16</v>
      </c>
      <c r="DH43" s="128" t="s">
        <v>15</v>
      </c>
      <c r="DI43" s="128" t="s">
        <v>15</v>
      </c>
      <c r="DJ43" s="128" t="s">
        <v>15</v>
      </c>
      <c r="DK43" s="128" t="s">
        <v>16</v>
      </c>
      <c r="DL43" s="128" t="s">
        <v>16</v>
      </c>
      <c r="DM43" s="17" t="s">
        <v>78</v>
      </c>
      <c r="DN43" s="17" t="s">
        <v>221</v>
      </c>
      <c r="DO43" s="17" t="s">
        <v>21</v>
      </c>
      <c r="DP43" s="185">
        <v>0.12</v>
      </c>
      <c r="DQ43" s="184">
        <v>1600000</v>
      </c>
      <c r="DR43" s="184">
        <v>800000</v>
      </c>
      <c r="DS43" s="17">
        <v>1</v>
      </c>
      <c r="DT43" s="184">
        <v>0</v>
      </c>
      <c r="DU43" s="184"/>
      <c r="DV43" s="184"/>
      <c r="DW43" s="184">
        <v>3000</v>
      </c>
      <c r="DX43" s="184">
        <v>6000</v>
      </c>
      <c r="DY43" s="184">
        <v>8000</v>
      </c>
      <c r="DZ43" s="184">
        <v>4000</v>
      </c>
      <c r="EA43" s="184">
        <v>3000</v>
      </c>
      <c r="EB43" s="184">
        <v>3500</v>
      </c>
      <c r="EC43" s="184">
        <v>3000</v>
      </c>
      <c r="ED43" s="184">
        <v>2500</v>
      </c>
      <c r="EE43" s="184">
        <v>8500</v>
      </c>
      <c r="EF43" s="184">
        <v>4000</v>
      </c>
      <c r="EG43" s="184">
        <v>8500</v>
      </c>
      <c r="EH43" s="184">
        <v>4000</v>
      </c>
      <c r="EI43" s="184">
        <v>8500</v>
      </c>
      <c r="EJ43" s="184">
        <v>7000</v>
      </c>
      <c r="EK43" s="184">
        <v>2000</v>
      </c>
      <c r="EL43" s="184">
        <v>2000</v>
      </c>
      <c r="EM43" s="184">
        <v>9000</v>
      </c>
      <c r="EN43" s="184">
        <v>5500</v>
      </c>
      <c r="EO43" s="184">
        <v>2000</v>
      </c>
      <c r="EP43" s="184">
        <v>2500</v>
      </c>
      <c r="EQ43" s="184">
        <v>8500</v>
      </c>
      <c r="ER43" s="184">
        <v>5500</v>
      </c>
      <c r="ES43" s="48" t="s">
        <v>15</v>
      </c>
      <c r="ET43" s="183">
        <v>6</v>
      </c>
      <c r="EU43" s="48" t="s">
        <v>16</v>
      </c>
      <c r="EV43" s="90" t="s">
        <v>15</v>
      </c>
      <c r="EW43" s="90" t="s">
        <v>16</v>
      </c>
      <c r="EX43" s="90" t="s">
        <v>15</v>
      </c>
      <c r="EY43" s="90" t="s">
        <v>16</v>
      </c>
      <c r="EZ43" s="90" t="s">
        <v>15</v>
      </c>
      <c r="FA43" s="90" t="s">
        <v>15</v>
      </c>
      <c r="FB43" s="90" t="s">
        <v>15</v>
      </c>
      <c r="FC43" s="90">
        <v>2042</v>
      </c>
      <c r="FD43" s="90">
        <v>1150</v>
      </c>
      <c r="FE43" s="90">
        <v>395</v>
      </c>
      <c r="FF43" s="90">
        <v>2165</v>
      </c>
      <c r="FG43" s="90">
        <v>1334</v>
      </c>
      <c r="FH43" s="90">
        <v>930</v>
      </c>
      <c r="FI43" s="90">
        <v>1098</v>
      </c>
      <c r="FJ43" s="90">
        <v>1459</v>
      </c>
      <c r="FK43" s="90">
        <v>1557</v>
      </c>
      <c r="FL43" s="90">
        <v>827</v>
      </c>
      <c r="FM43" s="90" t="s">
        <v>16</v>
      </c>
      <c r="FN43" s="90" t="s">
        <v>15</v>
      </c>
      <c r="FO43" s="90" t="s">
        <v>16</v>
      </c>
      <c r="FP43" s="90" t="s">
        <v>16</v>
      </c>
      <c r="FQ43" s="90" t="s">
        <v>15</v>
      </c>
      <c r="FR43" s="90" t="s">
        <v>15</v>
      </c>
      <c r="FS43" s="90">
        <v>61</v>
      </c>
      <c r="FT43" s="17"/>
      <c r="FU43" s="17"/>
      <c r="FV43" s="17"/>
      <c r="FW43" s="48" t="s">
        <v>531</v>
      </c>
      <c r="FX43" s="48" t="s">
        <v>531</v>
      </c>
      <c r="FY43" s="182">
        <v>1</v>
      </c>
      <c r="FZ43" s="182">
        <v>90</v>
      </c>
      <c r="GA43" s="48" t="s">
        <v>15</v>
      </c>
      <c r="GB43" s="90" t="s">
        <v>15</v>
      </c>
      <c r="GC43" s="90" t="s">
        <v>16</v>
      </c>
      <c r="GD43" s="90" t="s">
        <v>16</v>
      </c>
      <c r="GE43" s="90" t="s">
        <v>15</v>
      </c>
      <c r="GF43" s="90" t="s">
        <v>15</v>
      </c>
      <c r="GG43" s="90" t="s">
        <v>15</v>
      </c>
      <c r="GJ43" s="57" t="s">
        <v>398</v>
      </c>
      <c r="GK43" s="57">
        <v>3</v>
      </c>
    </row>
    <row r="44" spans="1:193" x14ac:dyDescent="0.25">
      <c r="GJ44" s="57" t="s">
        <v>397</v>
      </c>
      <c r="GK44" s="57">
        <v>2</v>
      </c>
    </row>
    <row r="45" spans="1:193" x14ac:dyDescent="0.25">
      <c r="GJ45" s="57" t="s">
        <v>396</v>
      </c>
      <c r="GK45" s="57">
        <v>3</v>
      </c>
    </row>
    <row r="46" spans="1:193" x14ac:dyDescent="0.25">
      <c r="GJ46" s="57" t="s">
        <v>395</v>
      </c>
      <c r="GK46" s="57">
        <v>3</v>
      </c>
    </row>
    <row r="47" spans="1:193" x14ac:dyDescent="0.25">
      <c r="GJ47" s="57" t="s">
        <v>394</v>
      </c>
      <c r="GK47" s="57">
        <v>3</v>
      </c>
    </row>
    <row r="48" spans="1:193" x14ac:dyDescent="0.25">
      <c r="GJ48" s="57" t="s">
        <v>393</v>
      </c>
      <c r="GK48" s="57">
        <v>3</v>
      </c>
    </row>
    <row r="49" spans="192:193" x14ac:dyDescent="0.25">
      <c r="GJ49" s="57" t="s">
        <v>392</v>
      </c>
      <c r="GK49" s="57">
        <v>2</v>
      </c>
    </row>
    <row r="50" spans="192:193" x14ac:dyDescent="0.25">
      <c r="GJ50" s="57" t="s">
        <v>391</v>
      </c>
      <c r="GK50" s="57">
        <v>1</v>
      </c>
    </row>
    <row r="51" spans="192:193" x14ac:dyDescent="0.25">
      <c r="GJ51" s="57" t="s">
        <v>390</v>
      </c>
      <c r="GK51" s="57">
        <v>2</v>
      </c>
    </row>
    <row r="52" spans="192:193" x14ac:dyDescent="0.25">
      <c r="GJ52" s="57" t="s">
        <v>389</v>
      </c>
      <c r="GK52" s="57">
        <v>1</v>
      </c>
    </row>
    <row r="53" spans="192:193" x14ac:dyDescent="0.25">
      <c r="GJ53" s="57" t="s">
        <v>388</v>
      </c>
      <c r="GK53" s="57">
        <v>3</v>
      </c>
    </row>
    <row r="54" spans="192:193" x14ac:dyDescent="0.25">
      <c r="GJ54" s="57" t="s">
        <v>387</v>
      </c>
      <c r="GK54" s="57">
        <v>2</v>
      </c>
    </row>
    <row r="55" spans="192:193" x14ac:dyDescent="0.25">
      <c r="GJ55" s="57" t="s">
        <v>386</v>
      </c>
      <c r="GK55" s="57">
        <v>2</v>
      </c>
    </row>
    <row r="56" spans="192:193" x14ac:dyDescent="0.25">
      <c r="GJ56" s="57" t="s">
        <v>385</v>
      </c>
      <c r="GK56" s="57">
        <v>1</v>
      </c>
    </row>
    <row r="57" spans="192:193" x14ac:dyDescent="0.25">
      <c r="GJ57" s="57" t="s">
        <v>384</v>
      </c>
      <c r="GK57" s="57">
        <v>3</v>
      </c>
    </row>
    <row r="58" spans="192:193" x14ac:dyDescent="0.25">
      <c r="GJ58" s="57" t="s">
        <v>383</v>
      </c>
      <c r="GK58" s="57">
        <v>4</v>
      </c>
    </row>
    <row r="59" spans="192:193" x14ac:dyDescent="0.25">
      <c r="GJ59" s="57" t="s">
        <v>382</v>
      </c>
      <c r="GK59" s="57">
        <v>5</v>
      </c>
    </row>
    <row r="60" spans="192:193" x14ac:dyDescent="0.25">
      <c r="GJ60" s="57" t="s">
        <v>381</v>
      </c>
      <c r="GK60" s="57">
        <v>3</v>
      </c>
    </row>
    <row r="61" spans="192:193" x14ac:dyDescent="0.25">
      <c r="GJ61" s="57" t="s">
        <v>380</v>
      </c>
      <c r="GK61" s="57">
        <v>3</v>
      </c>
    </row>
    <row r="62" spans="192:193" x14ac:dyDescent="0.25">
      <c r="GJ62" s="57" t="s">
        <v>379</v>
      </c>
      <c r="GK62" s="57">
        <v>2</v>
      </c>
    </row>
    <row r="63" spans="192:193" x14ac:dyDescent="0.25">
      <c r="GJ63" s="57" t="s">
        <v>378</v>
      </c>
      <c r="GK63" s="57">
        <v>3</v>
      </c>
    </row>
    <row r="64" spans="192:193" x14ac:dyDescent="0.25">
      <c r="GJ64" s="57" t="s">
        <v>377</v>
      </c>
      <c r="GK64" s="57">
        <v>3</v>
      </c>
    </row>
    <row r="65" spans="192:193" x14ac:dyDescent="0.25">
      <c r="GJ65" s="57" t="s">
        <v>376</v>
      </c>
      <c r="GK65" s="57">
        <v>3</v>
      </c>
    </row>
  </sheetData>
  <dataValidations count="3">
    <dataValidation type="list" allowBlank="1" showInputMessage="1" showErrorMessage="1" sqref="DO4:DO43">
      <formula1>TAMORT</formula1>
    </dataValidation>
    <dataValidation type="list" allowBlank="1" showInputMessage="1" showErrorMessage="1" sqref="B4:B43">
      <formula1>SINO</formula1>
    </dataValidation>
    <dataValidation type="list" allowBlank="1" showInputMessage="1" showErrorMessage="1" sqref="E4:E43">
      <formula1>sexo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2:T102"/>
  <sheetViews>
    <sheetView workbookViewId="0">
      <selection activeCell="A4" sqref="A4:A343"/>
    </sheetView>
  </sheetViews>
  <sheetFormatPr baseColWidth="10" defaultRowHeight="15" x14ac:dyDescent="0.25"/>
  <cols>
    <col min="1" max="1" width="14" bestFit="1" customWidth="1"/>
    <col min="3" max="3" width="23" customWidth="1"/>
    <col min="4" max="5" width="8.42578125" bestFit="1" customWidth="1"/>
    <col min="6" max="6" width="7.7109375" bestFit="1" customWidth="1"/>
    <col min="7" max="7" width="9.140625" bestFit="1" customWidth="1"/>
    <col min="8" max="8" width="9.42578125" bestFit="1" customWidth="1"/>
    <col min="9" max="9" width="9.140625" bestFit="1" customWidth="1"/>
    <col min="12" max="12" width="7" bestFit="1" customWidth="1"/>
    <col min="13" max="13" width="7.28515625" bestFit="1" customWidth="1"/>
    <col min="14" max="14" width="10" bestFit="1" customWidth="1"/>
    <col min="16" max="16" width="17.85546875" customWidth="1"/>
    <col min="17" max="17" width="12.85546875" customWidth="1"/>
  </cols>
  <sheetData>
    <row r="2" spans="1:20" x14ac:dyDescent="0.25">
      <c r="A2" s="220" t="s">
        <v>657</v>
      </c>
      <c r="B2" s="219" t="s">
        <v>656</v>
      </c>
      <c r="D2" s="218"/>
      <c r="E2" s="218"/>
      <c r="F2" s="218"/>
      <c r="G2" s="218"/>
      <c r="H2" s="218"/>
      <c r="K2" s="189"/>
    </row>
    <row r="3" spans="1:20" ht="60" x14ac:dyDescent="0.25">
      <c r="A3" s="217"/>
      <c r="B3" s="217" t="s">
        <v>655</v>
      </c>
      <c r="C3" s="215" t="s">
        <v>654</v>
      </c>
      <c r="D3" s="215" t="s">
        <v>653</v>
      </c>
      <c r="E3" s="216" t="s">
        <v>652</v>
      </c>
      <c r="F3" s="215" t="s">
        <v>526</v>
      </c>
      <c r="G3" s="215" t="s">
        <v>651</v>
      </c>
      <c r="H3" s="216" t="s">
        <v>650</v>
      </c>
      <c r="I3" s="215" t="s">
        <v>524</v>
      </c>
      <c r="J3" s="213" t="s">
        <v>646</v>
      </c>
      <c r="K3" s="214" t="s">
        <v>645</v>
      </c>
      <c r="L3" s="213" t="s">
        <v>644</v>
      </c>
      <c r="M3" s="213" t="s">
        <v>643</v>
      </c>
      <c r="N3" s="213" t="s">
        <v>520</v>
      </c>
      <c r="O3" s="213" t="s">
        <v>519</v>
      </c>
      <c r="P3" s="213" t="s">
        <v>518</v>
      </c>
      <c r="Q3" s="213" t="s">
        <v>63</v>
      </c>
      <c r="R3" s="213" t="s">
        <v>517</v>
      </c>
      <c r="S3" s="213" t="s">
        <v>516</v>
      </c>
      <c r="T3" s="213" t="s">
        <v>515</v>
      </c>
    </row>
    <row r="4" spans="1:20" x14ac:dyDescent="0.25">
      <c r="A4" s="17" t="s">
        <v>572</v>
      </c>
      <c r="B4" s="212" t="str">
        <f t="shared" ref="B4:B35" si="0">IF(SUM(D4:T4)=16,"VALIDO","RECHAZADO")</f>
        <v>RECHAZADO</v>
      </c>
      <c r="C4" s="211"/>
      <c r="D4" s="211">
        <f>IF(IF(AND([2]Prod!C4="Si",[2]User!$C$2="Si"),[2]User!$D$2,[2]User!$B$2)&gt;[2]Prod!D4,1,0)</f>
        <v>1</v>
      </c>
      <c r="E4" s="211">
        <f>IF(IF(AND([2]Prod!D4="Si",[2]User!$C$2="Si"),[2]User!$D$2,[2]User!$B$2)&lt;[2]Prod!E4,1,0)</f>
        <v>1</v>
      </c>
      <c r="F4" s="211">
        <f>IF(AND([2]Prod!F4&lt;&gt;"Ambos",[2]Prod!F4&lt;&gt;[2]User!$E$2),0,1)</f>
        <v>1</v>
      </c>
      <c r="G4" s="57">
        <f>IF([2]User!$F$2&gt;[2]Prod!G4,1,0)</f>
        <v>1</v>
      </c>
      <c r="H4" s="57">
        <f>IF([2]User!$F$2&lt;[2]Prod!H4,1,0)</f>
        <v>1</v>
      </c>
      <c r="I4" s="57">
        <f>IF(AND([2]User!$G$2=1,[2]Prod!I4="SI"),1,IF(AND([2]User!$G$2=2,[2]Prod!J4="SI"),1,IF(AND([2]User!$G$2=3,[2]Prod!K4="SI"),1,0)))</f>
        <v>1</v>
      </c>
      <c r="J4" s="57">
        <f>IF([2]User!$H$2&gt;[2]Prod!L4,1,0)</f>
        <v>1</v>
      </c>
      <c r="K4" s="57">
        <f>IF([2]User!$H$2&lt;[2]Prod!M4,1,0)</f>
        <v>0</v>
      </c>
      <c r="L4" s="57">
        <f>IF([2]User!$I$2&gt;[2]Prod!N4,1,0)</f>
        <v>1</v>
      </c>
      <c r="M4" s="57">
        <f>IF([2]User!$J$2&lt;[2]Prod!O4,1,0)</f>
        <v>0</v>
      </c>
      <c r="N4" s="57"/>
      <c r="O4" s="57">
        <f>IF(AND([2]User!$L$2="NO",[2]Prod!W4="SI"),0,1)</f>
        <v>1</v>
      </c>
      <c r="P4" s="57">
        <f>IF(AND([2]User!$M$2&gt;0,[2]Prod!Q4="NO"),0,1)</f>
        <v>1</v>
      </c>
      <c r="Q4" s="57">
        <f>IF(AND(N4="VIVIENDA",[2]User!$N$2&lt;[2]User!$H$2*0.3),0,1)</f>
        <v>1</v>
      </c>
      <c r="R4" s="57">
        <f>IF(HLOOKUP([2]User!$O$2,[2]Prod!$AU$2:$BP$42,ROW(A4)-1,0)&lt;1000000,1,0)</f>
        <v>1</v>
      </c>
      <c r="S4" s="57">
        <f>IF(HLOOKUP([2]User!$P$2,[2]Prod!$AU$2:$BP$42,ROW(B4)-1,0)&lt;1000000,1,0)</f>
        <v>1</v>
      </c>
      <c r="T4" s="57">
        <f>IF(HLOOKUP([2]User!$Q$2,[2]Prod!$AU$2:$BP$42,ROW(C4)-1,0)&lt;1000000,1,0)</f>
        <v>1</v>
      </c>
    </row>
    <row r="5" spans="1:20" x14ac:dyDescent="0.25">
      <c r="A5" s="17" t="s">
        <v>571</v>
      </c>
      <c r="B5" s="212" t="str">
        <f t="shared" si="0"/>
        <v>VALIDO</v>
      </c>
      <c r="C5" s="211"/>
      <c r="D5" s="211">
        <v>1</v>
      </c>
      <c r="E5" s="211">
        <f>IF(IF(AND([2]Prod!D5="Si",[2]User!$C$2="Si"),[2]User!$D$2,[2]User!$B$2)&lt;[2]Prod!E5,1,0)</f>
        <v>1</v>
      </c>
      <c r="F5" s="211">
        <f>IF(AND([2]Prod!F5&lt;&gt;"Ambos",[2]Prod!F5&lt;&gt;[2]User!$E$2),0,1)</f>
        <v>1</v>
      </c>
      <c r="G5" s="57">
        <f>IF([2]User!$F$2&gt;[2]Prod!G5,1,0)</f>
        <v>1</v>
      </c>
      <c r="H5" s="57">
        <f>IF([2]User!$F$2&lt;[2]Prod!H5,1,0)</f>
        <v>1</v>
      </c>
      <c r="I5" s="57">
        <f>IF(AND([2]User!$G$2=1,[2]Prod!I5="SI"),1,IF(AND([2]User!$G$2=2,[2]Prod!J5="SI"),1,IF(AND([2]User!$G$2=3,[2]Prod!K5="SI"),1,0)))</f>
        <v>1</v>
      </c>
      <c r="J5" s="57">
        <f>IF([2]User!$H$2&gt;[2]Prod!L5,1,0)</f>
        <v>1</v>
      </c>
      <c r="K5" s="57">
        <v>1</v>
      </c>
      <c r="L5" s="57">
        <f>IF([2]User!$I$2&gt;[2]Prod!N5,1,0)</f>
        <v>1</v>
      </c>
      <c r="M5" s="57">
        <v>1</v>
      </c>
      <c r="N5" s="57"/>
      <c r="O5" s="57">
        <f>IF(AND([2]User!$L$2="NO",[2]Prod!W5="SI"),0,1)</f>
        <v>1</v>
      </c>
      <c r="P5" s="57">
        <f>IF(AND([2]User!$M$2&gt;0,[2]Prod!Q5="NO"),0,1)</f>
        <v>1</v>
      </c>
      <c r="Q5" s="57">
        <f>IF(AND(N5="VIVIENDA",[2]User!$N$2&lt;[2]User!$H$2*0.3),0,1)</f>
        <v>1</v>
      </c>
      <c r="R5" s="57">
        <f>IF(HLOOKUP([2]User!$O$2,[2]Prod!$AU$2:$BP$42,ROW(A5)-1,0)&lt;1000000,1,0)</f>
        <v>1</v>
      </c>
      <c r="S5" s="57">
        <f>IF(HLOOKUP([2]User!$P$2,[2]Prod!$AU$2:$BP$42,ROW(B5)-1,0)&lt;1000000,1,0)</f>
        <v>1</v>
      </c>
      <c r="T5" s="57">
        <f>IF(HLOOKUP([2]User!$Q$2,[2]Prod!$AU$2:$BP$42,ROW(C5)-1,0)&lt;1000000,1,0)</f>
        <v>1</v>
      </c>
    </row>
    <row r="6" spans="1:20" x14ac:dyDescent="0.25">
      <c r="A6" s="17" t="s">
        <v>570</v>
      </c>
      <c r="B6" s="212" t="str">
        <f t="shared" si="0"/>
        <v>VALIDO</v>
      </c>
      <c r="C6" s="211"/>
      <c r="D6" s="211">
        <v>1</v>
      </c>
      <c r="E6" s="211">
        <f>IF(IF(AND([2]Prod!D6="Si",[2]User!$C$2="Si"),[2]User!$D$2,[2]User!$B$2)&lt;[2]Prod!E6,1,0)</f>
        <v>1</v>
      </c>
      <c r="F6" s="211">
        <f>IF(AND([2]Prod!F6&lt;&gt;"Ambos",[2]Prod!F6&lt;&gt;[2]User!$E$2),0,1)</f>
        <v>1</v>
      </c>
      <c r="G6" s="57">
        <f>IF([2]User!$F$2&gt;[2]Prod!G6,1,0)</f>
        <v>1</v>
      </c>
      <c r="H6" s="57">
        <f>IF([2]User!$F$2&lt;[2]Prod!H6,1,0)</f>
        <v>1</v>
      </c>
      <c r="I6" s="57">
        <v>1</v>
      </c>
      <c r="J6" s="57">
        <f>IF([2]User!$H$2&gt;[2]Prod!L6,1,0)</f>
        <v>1</v>
      </c>
      <c r="K6" s="57">
        <v>1</v>
      </c>
      <c r="L6" s="57">
        <f>IF([2]User!$I$2&gt;[2]Prod!N6,1,0)</f>
        <v>1</v>
      </c>
      <c r="M6" s="57">
        <v>1</v>
      </c>
      <c r="N6" s="57"/>
      <c r="O6" s="57">
        <f>IF(AND([2]User!$L$2="NO",[2]Prod!W6="SI"),0,1)</f>
        <v>1</v>
      </c>
      <c r="P6" s="57">
        <f>IF(AND([2]User!$M$2&gt;0,[2]Prod!Q6="NO"),0,1)</f>
        <v>1</v>
      </c>
      <c r="Q6" s="57">
        <f>IF(AND(N6="VIVIENDA",[2]User!$N$2&lt;[2]User!$H$2*0.3),0,1)</f>
        <v>1</v>
      </c>
      <c r="R6" s="57">
        <f>IF(HLOOKUP([2]User!$O$2,[2]Prod!$AU$2:$BP$42,ROW(A6)-1,0)&lt;1000000,1,0)</f>
        <v>1</v>
      </c>
      <c r="S6" s="57">
        <f>IF(HLOOKUP([2]User!$P$2,[2]Prod!$AU$2:$BP$42,ROW(B6)-1,0)&lt;1000000,1,0)</f>
        <v>1</v>
      </c>
      <c r="T6" s="57">
        <f>IF(HLOOKUP([2]User!$Q$2,[2]Prod!$AU$2:$BP$42,ROW(C6)-1,0)&lt;1000000,1,0)</f>
        <v>1</v>
      </c>
    </row>
    <row r="7" spans="1:20" x14ac:dyDescent="0.25">
      <c r="A7" s="17" t="s">
        <v>569</v>
      </c>
      <c r="B7" s="212" t="str">
        <f t="shared" si="0"/>
        <v>VALIDO</v>
      </c>
      <c r="C7" s="211"/>
      <c r="D7" s="211">
        <v>1</v>
      </c>
      <c r="E7" s="211">
        <f>IF(IF(AND([2]Prod!D7="Si",[2]User!$C$2="Si"),[2]User!$D$2,[2]User!$B$2)&lt;[2]Prod!E7,1,0)</f>
        <v>1</v>
      </c>
      <c r="F7" s="211">
        <f>IF(AND([2]Prod!F7&lt;&gt;"Ambos",[2]Prod!F7&lt;&gt;[2]User!$E$2),0,1)</f>
        <v>1</v>
      </c>
      <c r="G7" s="57">
        <f>IF([2]User!$F$2&gt;[2]Prod!G7,1,0)</f>
        <v>1</v>
      </c>
      <c r="H7" s="57">
        <f>IF([2]User!$F$2&lt;[2]Prod!H7,1,0)</f>
        <v>1</v>
      </c>
      <c r="I7" s="57">
        <f>IF(AND([2]User!$G$2=1,[2]Prod!I7="SI"),1,IF(AND([2]User!$G$2=2,[2]Prod!J7="SI"),1,IF(AND([2]User!$G$2=3,[2]Prod!K7="SI"),1,0)))</f>
        <v>1</v>
      </c>
      <c r="J7" s="57">
        <f>IF([2]User!$H$2&gt;[2]Prod!L7,1,0)</f>
        <v>1</v>
      </c>
      <c r="K7" s="57">
        <v>1</v>
      </c>
      <c r="L7" s="57">
        <f>IF([2]User!$I$2&gt;[2]Prod!N7,1,0)</f>
        <v>1</v>
      </c>
      <c r="M7" s="57">
        <v>1</v>
      </c>
      <c r="N7" s="57"/>
      <c r="O7" s="57">
        <f>IF(AND([2]User!$L$2="NO",[2]Prod!W7="SI"),0,1)</f>
        <v>1</v>
      </c>
      <c r="P7" s="57">
        <f>IF(AND([2]User!$M$2&gt;0,[2]Prod!Q7="NO"),0,1)</f>
        <v>1</v>
      </c>
      <c r="Q7" s="57">
        <f>IF(AND(N7="VIVIENDA",[2]User!$N$2&lt;[2]User!$H$2*0.3),0,1)</f>
        <v>1</v>
      </c>
      <c r="R7" s="57">
        <f>IF(HLOOKUP([2]User!$O$2,[2]Prod!$AU$2:$BP$42,ROW(A7)-1,0)&lt;1000000,1,0)</f>
        <v>1</v>
      </c>
      <c r="S7" s="57">
        <f>IF(HLOOKUP([2]User!$P$2,[2]Prod!$AU$2:$BP$42,ROW(B7)-1,0)&lt;1000000,1,0)</f>
        <v>1</v>
      </c>
      <c r="T7" s="57">
        <f>IF(HLOOKUP([2]User!$Q$2,[2]Prod!$AU$2:$BP$42,ROW(C7)-1,0)&lt;1000000,1,0)</f>
        <v>1</v>
      </c>
    </row>
    <row r="8" spans="1:20" x14ac:dyDescent="0.25">
      <c r="A8" s="17" t="s">
        <v>568</v>
      </c>
      <c r="B8" s="212" t="str">
        <f t="shared" si="0"/>
        <v>VALIDO</v>
      </c>
      <c r="C8" s="211"/>
      <c r="D8" s="211">
        <v>1</v>
      </c>
      <c r="E8" s="211">
        <f>IF(IF(AND([2]Prod!D8="Si",[2]User!$C$2="Si"),[2]User!$D$2,[2]User!$B$2)&lt;[2]Prod!E8,1,0)</f>
        <v>1</v>
      </c>
      <c r="F8" s="211">
        <f>IF(AND([2]Prod!F8&lt;&gt;"Ambos",[2]Prod!F8&lt;&gt;[2]User!$E$2),0,1)</f>
        <v>1</v>
      </c>
      <c r="G8" s="57">
        <f>IF([2]User!$F$2&gt;[2]Prod!G8,1,0)</f>
        <v>1</v>
      </c>
      <c r="H8" s="57">
        <f>IF([2]User!$F$2&lt;[2]Prod!H8,1,0)</f>
        <v>1</v>
      </c>
      <c r="I8" s="57">
        <f>IF(AND([2]User!$G$2=1,[2]Prod!I8="SI"),1,IF(AND([2]User!$G$2=2,[2]Prod!J8="SI"),1,IF(AND([2]User!$G$2=3,[2]Prod!K8="SI"),1,0)))</f>
        <v>1</v>
      </c>
      <c r="J8" s="57">
        <f>IF([2]User!$H$2&gt;[2]Prod!L8,1,0)</f>
        <v>1</v>
      </c>
      <c r="K8" s="57">
        <v>1</v>
      </c>
      <c r="L8" s="57">
        <f>IF([2]User!$I$2&gt;[2]Prod!N8,1,0)</f>
        <v>1</v>
      </c>
      <c r="M8" s="57">
        <v>1</v>
      </c>
      <c r="N8" s="57"/>
      <c r="O8" s="57">
        <f>IF(AND([2]User!$L$2="NO",[2]Prod!W8="SI"),0,1)</f>
        <v>1</v>
      </c>
      <c r="P8" s="57">
        <f>IF(AND([2]User!$M$2&gt;0,[2]Prod!Q8="NO"),0,1)</f>
        <v>1</v>
      </c>
      <c r="Q8" s="57">
        <f>IF(AND(N8="VIVIENDA",[2]User!$N$2&lt;[2]User!$H$2*0.3),0,1)</f>
        <v>1</v>
      </c>
      <c r="R8" s="57">
        <f>IF(HLOOKUP([2]User!$O$2,[2]Prod!$AU$2:$BP$42,ROW(A8)-1,0)&lt;1000000,1,0)</f>
        <v>1</v>
      </c>
      <c r="S8" s="57">
        <f>IF(HLOOKUP([2]User!$P$2,[2]Prod!$AU$2:$BP$42,ROW(B8)-1,0)&lt;1000000,1,0)</f>
        <v>1</v>
      </c>
      <c r="T8" s="57">
        <f>IF(HLOOKUP([2]User!$Q$2,[2]Prod!$AU$2:$BP$42,ROW(C8)-1,0)&lt;1000000,1,0)</f>
        <v>1</v>
      </c>
    </row>
    <row r="9" spans="1:20" x14ac:dyDescent="0.25">
      <c r="A9" s="17" t="s">
        <v>567</v>
      </c>
      <c r="B9" s="212" t="str">
        <f t="shared" si="0"/>
        <v>VALIDO</v>
      </c>
      <c r="C9" s="211"/>
      <c r="D9" s="211">
        <v>1</v>
      </c>
      <c r="E9" s="211">
        <f>IF(IF(AND([2]Prod!D9="Si",[2]User!$C$2="Si"),[2]User!$D$2,[2]User!$B$2)&lt;[2]Prod!E9,1,0)</f>
        <v>1</v>
      </c>
      <c r="F9" s="211">
        <f>IF(AND([2]Prod!F9&lt;&gt;"Ambos",[2]Prod!F9&lt;&gt;[2]User!$E$2),0,1)</f>
        <v>1</v>
      </c>
      <c r="G9" s="57">
        <f>IF([2]User!$F$2&gt;[2]Prod!G9,1,0)</f>
        <v>1</v>
      </c>
      <c r="H9" s="57">
        <f>IF([2]User!$F$2&lt;[2]Prod!H9,1,0)</f>
        <v>1</v>
      </c>
      <c r="I9" s="57">
        <f>IF(AND([2]User!$G$2=1,[2]Prod!I9="SI"),1,IF(AND([2]User!$G$2=2,[2]Prod!J9="SI"),1,IF(AND([2]User!$G$2=3,[2]Prod!K9="SI"),1,0)))</f>
        <v>1</v>
      </c>
      <c r="J9" s="57">
        <f>IF([2]User!$H$2&gt;[2]Prod!L9,1,0)</f>
        <v>1</v>
      </c>
      <c r="K9" s="57">
        <v>1</v>
      </c>
      <c r="L9" s="57">
        <f>IF([2]User!$I$2&gt;[2]Prod!N9,1,0)</f>
        <v>1</v>
      </c>
      <c r="M9" s="57">
        <v>1</v>
      </c>
      <c r="N9" s="57"/>
      <c r="O9" s="57">
        <f>IF(AND([2]User!$L$2="NO",[2]Prod!W9="SI"),0,1)</f>
        <v>1</v>
      </c>
      <c r="P9" s="57">
        <f>IF(AND([2]User!$M$2&gt;0,[2]Prod!Q9="NO"),0,1)</f>
        <v>1</v>
      </c>
      <c r="Q9" s="57">
        <f>IF(AND(N9="VIVIENDA",[2]User!$N$2&lt;[2]User!$H$2*0.3),0,1)</f>
        <v>1</v>
      </c>
      <c r="R9" s="57">
        <f>IF(HLOOKUP([2]User!$O$2,[2]Prod!$AU$2:$BP$42,ROW(A9)-1,0)&lt;1000000,1,0)</f>
        <v>1</v>
      </c>
      <c r="S9" s="57">
        <f>IF(HLOOKUP([2]User!$P$2,[2]Prod!$AU$2:$BP$42,ROW(B9)-1,0)&lt;1000000,1,0)</f>
        <v>1</v>
      </c>
      <c r="T9" s="57">
        <f>IF(HLOOKUP([2]User!$Q$2,[2]Prod!$AU$2:$BP$42,ROW(C9)-1,0)&lt;1000000,1,0)</f>
        <v>1</v>
      </c>
    </row>
    <row r="10" spans="1:20" x14ac:dyDescent="0.25">
      <c r="A10" s="17" t="s">
        <v>566</v>
      </c>
      <c r="B10" s="212" t="str">
        <f t="shared" si="0"/>
        <v>VALIDO</v>
      </c>
      <c r="C10" s="211"/>
      <c r="D10" s="211">
        <v>1</v>
      </c>
      <c r="E10" s="211">
        <f>IF(IF(AND([2]Prod!D10="Si",[2]User!$C$2="Si"),[2]User!$D$2,[2]User!$B$2)&lt;[2]Prod!E10,1,0)</f>
        <v>1</v>
      </c>
      <c r="F10" s="211">
        <f>IF(AND([2]Prod!F10&lt;&gt;"Ambos",[2]Prod!F10&lt;&gt;[2]User!$E$2),0,1)</f>
        <v>1</v>
      </c>
      <c r="G10" s="57">
        <f>IF([2]User!$F$2&gt;[2]Prod!G10,1,0)</f>
        <v>1</v>
      </c>
      <c r="H10" s="57">
        <f>IF([2]User!$F$2&lt;[2]Prod!H10,1,0)</f>
        <v>1</v>
      </c>
      <c r="I10" s="57">
        <f>IF(AND([2]User!$G$2=1,[2]Prod!I10="SI"),1,IF(AND([2]User!$G$2=2,[2]Prod!J10="SI"),1,IF(AND([2]User!$G$2=3,[2]Prod!K10="SI"),1,0)))</f>
        <v>1</v>
      </c>
      <c r="J10" s="57">
        <f>IF([2]User!$H$2&gt;[2]Prod!L10,1,0)</f>
        <v>1</v>
      </c>
      <c r="K10" s="57">
        <v>1</v>
      </c>
      <c r="L10" s="57">
        <f>IF([2]User!$I$2&gt;[2]Prod!N10,1,0)</f>
        <v>1</v>
      </c>
      <c r="M10" s="57">
        <v>1</v>
      </c>
      <c r="N10" s="57"/>
      <c r="O10" s="57">
        <f>IF(AND([2]User!$L$2="NO",[2]Prod!W10="SI"),0,1)</f>
        <v>1</v>
      </c>
      <c r="P10" s="57">
        <f>IF(AND([2]User!$M$2&gt;0,[2]Prod!Q10="NO"),0,1)</f>
        <v>1</v>
      </c>
      <c r="Q10" s="57">
        <f>IF(AND(N10="VIVIENDA",[2]User!$N$2&lt;[2]User!$H$2*0.3),0,1)</f>
        <v>1</v>
      </c>
      <c r="R10" s="57">
        <f>IF(HLOOKUP([2]User!$O$2,[2]Prod!$AU$2:$BP$42,ROW(A10)-1,0)&lt;1000000,1,0)</f>
        <v>1</v>
      </c>
      <c r="S10" s="57">
        <f>IF(HLOOKUP([2]User!$P$2,[2]Prod!$AU$2:$BP$42,ROW(B10)-1,0)&lt;1000000,1,0)</f>
        <v>1</v>
      </c>
      <c r="T10" s="57">
        <f>IF(HLOOKUP([2]User!$Q$2,[2]Prod!$AU$2:$BP$42,ROW(C10)-1,0)&lt;1000000,1,0)</f>
        <v>1</v>
      </c>
    </row>
    <row r="11" spans="1:20" x14ac:dyDescent="0.25">
      <c r="A11" s="189" t="s">
        <v>83</v>
      </c>
      <c r="B11" s="212" t="str">
        <f t="shared" si="0"/>
        <v>VALIDO</v>
      </c>
      <c r="C11" s="211"/>
      <c r="D11" s="211">
        <v>1</v>
      </c>
      <c r="E11" s="211">
        <f>IF(IF(AND([2]Prod!D11="Si",[2]User!$C$2="Si"),[2]User!$D$2,[2]User!$B$2)&lt;[2]Prod!E11,1,0)</f>
        <v>1</v>
      </c>
      <c r="F11" s="211">
        <f>IF(AND([2]Prod!F11&lt;&gt;"Ambos",[2]Prod!F11&lt;&gt;[2]User!$E$2),0,1)</f>
        <v>1</v>
      </c>
      <c r="G11" s="57">
        <f>IF([2]User!$F$2&gt;[2]Prod!G11,1,0)</f>
        <v>1</v>
      </c>
      <c r="H11" s="57">
        <f>IF([2]User!$F$2&lt;[2]Prod!H11,1,0)</f>
        <v>1</v>
      </c>
      <c r="I11" s="57">
        <v>1</v>
      </c>
      <c r="J11" s="57">
        <f>IF([2]User!$H$2&gt;[2]Prod!L11,1,0)</f>
        <v>1</v>
      </c>
      <c r="K11" s="57">
        <v>1</v>
      </c>
      <c r="L11" s="57">
        <f>IF([2]User!$I$2&gt;[2]Prod!N11,1,0)</f>
        <v>1</v>
      </c>
      <c r="M11" s="57">
        <v>1</v>
      </c>
      <c r="N11" s="57"/>
      <c r="O11" s="57">
        <f>IF(AND([2]User!$L$2="NO",[2]Prod!W11="SI"),0,1)</f>
        <v>1</v>
      </c>
      <c r="P11" s="57">
        <f>IF(AND([2]User!$M$2&gt;0,[2]Prod!Q11="NO"),0,1)</f>
        <v>1</v>
      </c>
      <c r="Q11" s="57">
        <f>IF(AND(N11="VIVIENDA",[2]User!$N$2&lt;[2]User!$H$2*0.3),0,1)</f>
        <v>1</v>
      </c>
      <c r="R11" s="57">
        <f>IF(HLOOKUP([2]User!$O$2,[2]Prod!$AU$2:$BP$42,ROW(A11)-1,0)&lt;1000000,1,0)</f>
        <v>1</v>
      </c>
      <c r="S11" s="57">
        <f>IF(HLOOKUP([2]User!$P$2,[2]Prod!$AU$2:$BP$42,ROW(B11)-1,0)&lt;1000000,1,0)</f>
        <v>1</v>
      </c>
      <c r="T11" s="57">
        <f>IF(HLOOKUP([2]User!$Q$2,[2]Prod!$AU$2:$BP$42,ROW(C11)-1,0)&lt;1000000,1,0)</f>
        <v>1</v>
      </c>
    </row>
    <row r="12" spans="1:20" x14ac:dyDescent="0.25">
      <c r="A12" s="17" t="s">
        <v>565</v>
      </c>
      <c r="B12" s="212" t="str">
        <f t="shared" si="0"/>
        <v>VALIDO</v>
      </c>
      <c r="C12" s="211"/>
      <c r="D12" s="211">
        <v>1</v>
      </c>
      <c r="E12" s="211">
        <f>IF(IF(AND([2]Prod!D12="Si",[2]User!$C$2="Si"),[2]User!$D$2,[2]User!$B$2)&lt;[2]Prod!E12,1,0)</f>
        <v>1</v>
      </c>
      <c r="F12" s="211">
        <f>IF(AND([2]Prod!F12&lt;&gt;"Ambos",[2]Prod!F12&lt;&gt;[2]User!$E$2),0,1)</f>
        <v>1</v>
      </c>
      <c r="G12" s="57">
        <f>IF([2]User!$F$2&gt;[2]Prod!G12,1,0)</f>
        <v>1</v>
      </c>
      <c r="H12" s="57">
        <f>IF([2]User!$F$2&lt;[2]Prod!H12,1,0)</f>
        <v>1</v>
      </c>
      <c r="I12" s="57">
        <f>IF(AND([2]User!$G$2=1,[2]Prod!I12="SI"),1,IF(AND([2]User!$G$2=2,[2]Prod!J12="SI"),1,IF(AND([2]User!$G$2=3,[2]Prod!K12="SI"),1,0)))</f>
        <v>1</v>
      </c>
      <c r="J12" s="57">
        <f>IF([2]User!$H$2&gt;[2]Prod!L12,1,0)</f>
        <v>1</v>
      </c>
      <c r="K12" s="57">
        <v>1</v>
      </c>
      <c r="L12" s="57">
        <f>IF([2]User!$I$2&gt;[2]Prod!N12,1,0)</f>
        <v>1</v>
      </c>
      <c r="M12" s="57">
        <v>1</v>
      </c>
      <c r="N12" s="57"/>
      <c r="O12" s="57">
        <f>IF(AND([2]User!$L$2="NO",[2]Prod!W12="SI"),0,1)</f>
        <v>1</v>
      </c>
      <c r="P12" s="57">
        <f>IF(AND([2]User!$M$2&gt;0,[2]Prod!Q12="NO"),0,1)</f>
        <v>1</v>
      </c>
      <c r="Q12" s="57">
        <f>IF(AND(N12="VIVIENDA",[2]User!$N$2&lt;[2]User!$H$2*0.3),0,1)</f>
        <v>1</v>
      </c>
      <c r="R12" s="57">
        <f>IF(HLOOKUP([2]User!$O$2,[2]Prod!$AU$2:$BP$42,ROW(A12)-1,0)&lt;1000000,1,0)</f>
        <v>1</v>
      </c>
      <c r="S12" s="57">
        <f>IF(HLOOKUP([2]User!$P$2,[2]Prod!$AU$2:$BP$42,ROW(B12)-1,0)&lt;1000000,1,0)</f>
        <v>1</v>
      </c>
      <c r="T12" s="57">
        <f>IF(HLOOKUP([2]User!$Q$2,[2]Prod!$AU$2:$BP$42,ROW(C12)-1,0)&lt;1000000,1,0)</f>
        <v>1</v>
      </c>
    </row>
    <row r="13" spans="1:20" x14ac:dyDescent="0.25">
      <c r="A13" s="17" t="s">
        <v>564</v>
      </c>
      <c r="B13" s="212" t="str">
        <f t="shared" si="0"/>
        <v>VALIDO</v>
      </c>
      <c r="C13" s="211"/>
      <c r="D13" s="211">
        <v>1</v>
      </c>
      <c r="E13" s="211">
        <f>IF(IF(AND([2]Prod!D13="Si",[2]User!$C$2="Si"),[2]User!$D$2,[2]User!$B$2)&lt;[2]Prod!E13,1,0)</f>
        <v>1</v>
      </c>
      <c r="F13" s="211">
        <v>1</v>
      </c>
      <c r="G13" s="57">
        <f>IF([2]User!$F$2&gt;[2]Prod!G13,1,0)</f>
        <v>1</v>
      </c>
      <c r="H13" s="57">
        <f>IF([2]User!$F$2&lt;[2]Prod!H13,1,0)</f>
        <v>1</v>
      </c>
      <c r="I13" s="57">
        <f>IF(AND([2]User!$G$2=1,[2]Prod!I13="SI"),1,IF(AND([2]User!$G$2=2,[2]Prod!J13="SI"),1,IF(AND([2]User!$G$2=3,[2]Prod!K13="SI"),1,0)))</f>
        <v>1</v>
      </c>
      <c r="J13" s="57">
        <f>IF([2]User!$H$2&gt;[2]Prod!L13,1,0)</f>
        <v>1</v>
      </c>
      <c r="K13" s="57">
        <v>1</v>
      </c>
      <c r="L13" s="57">
        <f>IF([2]User!$I$2&gt;[2]Prod!N13,1,0)</f>
        <v>1</v>
      </c>
      <c r="M13" s="57">
        <v>1</v>
      </c>
      <c r="N13" s="57"/>
      <c r="O13" s="57">
        <f>IF(AND([2]User!$L$2="NO",[2]Prod!W13="SI"),0,1)</f>
        <v>1</v>
      </c>
      <c r="P13" s="57">
        <f>IF(AND([2]User!$M$2&gt;0,[2]Prod!Q13="NO"),0,1)</f>
        <v>1</v>
      </c>
      <c r="Q13" s="57">
        <f>IF(AND(N13="VIVIENDA",[2]User!$N$2&lt;[2]User!$H$2*0.3),0,1)</f>
        <v>1</v>
      </c>
      <c r="R13" s="57">
        <f>IF(HLOOKUP([2]User!$O$2,[2]Prod!$AU$2:$BP$42,ROW(A13)-1,0)&lt;1000000,1,0)</f>
        <v>1</v>
      </c>
      <c r="S13" s="57">
        <f>IF(HLOOKUP([2]User!$P$2,[2]Prod!$AU$2:$BP$42,ROW(B13)-1,0)&lt;1000000,1,0)</f>
        <v>1</v>
      </c>
      <c r="T13" s="57">
        <f>IF(HLOOKUP([2]User!$Q$2,[2]Prod!$AU$2:$BP$42,ROW(C13)-1,0)&lt;1000000,1,0)</f>
        <v>1</v>
      </c>
    </row>
    <row r="14" spans="1:20" x14ac:dyDescent="0.25">
      <c r="A14" s="17" t="s">
        <v>563</v>
      </c>
      <c r="B14" s="212" t="str">
        <f t="shared" si="0"/>
        <v>VALIDO</v>
      </c>
      <c r="C14" s="211"/>
      <c r="D14" s="211">
        <v>1</v>
      </c>
      <c r="E14" s="211">
        <f>IF(IF(AND([2]Prod!D14="Si",[2]User!$C$2="Si"),[2]User!$D$2,[2]User!$B$2)&lt;[2]Prod!E14,1,0)</f>
        <v>1</v>
      </c>
      <c r="F14" s="211">
        <f>IF(AND([2]Prod!F14&lt;&gt;"Ambos",[2]Prod!F14&lt;&gt;[2]User!$E$2),0,1)</f>
        <v>1</v>
      </c>
      <c r="G14" s="57">
        <f>IF([2]User!$F$2&gt;[2]Prod!G14,1,0)</f>
        <v>1</v>
      </c>
      <c r="H14" s="57">
        <f>IF([2]User!$F$2&lt;[2]Prod!H14,1,0)</f>
        <v>1</v>
      </c>
      <c r="I14" s="57">
        <f>IF(AND([2]User!$G$2=1,[2]Prod!I14="SI"),1,IF(AND([2]User!$G$2=2,[2]Prod!J14="SI"),1,IF(AND([2]User!$G$2=3,[2]Prod!K14="SI"),1,0)))</f>
        <v>1</v>
      </c>
      <c r="J14" s="57">
        <f>IF([2]User!$H$2&gt;[2]Prod!L14,1,0)</f>
        <v>1</v>
      </c>
      <c r="K14" s="57">
        <v>1</v>
      </c>
      <c r="L14" s="57">
        <f>IF([2]User!$I$2&gt;[2]Prod!N14,1,0)</f>
        <v>1</v>
      </c>
      <c r="M14" s="57">
        <v>1</v>
      </c>
      <c r="N14" s="57"/>
      <c r="O14" s="57">
        <f>IF(AND([2]User!$L$2="NO",[2]Prod!W14="SI"),0,1)</f>
        <v>1</v>
      </c>
      <c r="P14" s="57">
        <f>IF(AND([2]User!$M$2&gt;0,[2]Prod!Q14="NO"),0,1)</f>
        <v>1</v>
      </c>
      <c r="Q14" s="57">
        <f>IF(AND(N14="VIVIENDA",[2]User!$N$2&lt;[2]User!$H$2*0.3),0,1)</f>
        <v>1</v>
      </c>
      <c r="R14" s="57">
        <f>IF(HLOOKUP([2]User!$O$2,[2]Prod!$AU$2:$BP$42,ROW(A14)-1,0)&lt;1000000,1,0)</f>
        <v>1</v>
      </c>
      <c r="S14" s="57">
        <f>IF(HLOOKUP([2]User!$P$2,[2]Prod!$AU$2:$BP$42,ROW(B14)-1,0)&lt;1000000,1,0)</f>
        <v>1</v>
      </c>
      <c r="T14" s="57">
        <f>IF(HLOOKUP([2]User!$Q$2,[2]Prod!$AU$2:$BP$42,ROW(C14)-1,0)&lt;1000000,1,0)</f>
        <v>1</v>
      </c>
    </row>
    <row r="15" spans="1:20" x14ac:dyDescent="0.25">
      <c r="A15" s="17" t="s">
        <v>562</v>
      </c>
      <c r="B15" s="212" t="str">
        <f t="shared" si="0"/>
        <v>VALIDO</v>
      </c>
      <c r="C15" s="211"/>
      <c r="D15" s="211">
        <v>1</v>
      </c>
      <c r="E15" s="211">
        <f>IF(IF(AND([2]Prod!D15="Si",[2]User!$C$2="Si"),[2]User!$D$2,[2]User!$B$2)&lt;[2]Prod!E15,1,0)</f>
        <v>1</v>
      </c>
      <c r="F15" s="211">
        <f>IF(AND([2]Prod!F15&lt;&gt;"Ambos",[2]Prod!F15&lt;&gt;[2]User!$E$2),0,1)</f>
        <v>1</v>
      </c>
      <c r="G15" s="57">
        <f>IF([2]User!$F$2&gt;[2]Prod!G15,1,0)</f>
        <v>1</v>
      </c>
      <c r="H15" s="57">
        <f>IF([2]User!$F$2&lt;[2]Prod!H15,1,0)</f>
        <v>1</v>
      </c>
      <c r="I15" s="57">
        <f>IF(AND([2]User!$G$2=1,[2]Prod!I15="SI"),1,IF(AND([2]User!$G$2=2,[2]Prod!J15="SI"),1,IF(AND([2]User!$G$2=3,[2]Prod!K15="SI"),1,0)))</f>
        <v>1</v>
      </c>
      <c r="J15" s="57">
        <f>IF([2]User!$H$2&gt;[2]Prod!L15,1,0)</f>
        <v>1</v>
      </c>
      <c r="K15" s="57">
        <v>1</v>
      </c>
      <c r="L15" s="57">
        <f>IF([2]User!$I$2&gt;[2]Prod!N15,1,0)</f>
        <v>1</v>
      </c>
      <c r="M15" s="57">
        <v>1</v>
      </c>
      <c r="N15" s="57"/>
      <c r="O15" s="57">
        <f>IF(AND([2]User!$L$2="NO",[2]Prod!W15="SI"),0,1)</f>
        <v>1</v>
      </c>
      <c r="P15" s="57">
        <f>IF(AND([2]User!$M$2&gt;0,[2]Prod!Q15="NO"),0,1)</f>
        <v>1</v>
      </c>
      <c r="Q15" s="57">
        <f>IF(AND(N15="VIVIENDA",[2]User!$N$2&lt;[2]User!$H$2*0.3),0,1)</f>
        <v>1</v>
      </c>
      <c r="R15" s="57">
        <f>IF(HLOOKUP([2]User!$O$2,[2]Prod!$AU$2:$BP$42,ROW(A15)-1,0)&lt;1000000,1,0)</f>
        <v>1</v>
      </c>
      <c r="S15" s="57">
        <f>IF(HLOOKUP([2]User!$P$2,[2]Prod!$AU$2:$BP$42,ROW(B15)-1,0)&lt;1000000,1,0)</f>
        <v>1</v>
      </c>
      <c r="T15" s="57">
        <f>IF(HLOOKUP([2]User!$Q$2,[2]Prod!$AU$2:$BP$42,ROW(C15)-1,0)&lt;1000000,1,0)</f>
        <v>1</v>
      </c>
    </row>
    <row r="16" spans="1:20" x14ac:dyDescent="0.25">
      <c r="A16" s="17" t="s">
        <v>561</v>
      </c>
      <c r="B16" s="212" t="str">
        <f t="shared" si="0"/>
        <v>VALIDO</v>
      </c>
      <c r="C16" s="211"/>
      <c r="D16" s="211">
        <v>1</v>
      </c>
      <c r="E16" s="211">
        <f>IF(IF(AND([2]Prod!D16="Si",[2]User!$C$2="Si"),[2]User!$D$2,[2]User!$B$2)&lt;[2]Prod!E16,1,0)</f>
        <v>1</v>
      </c>
      <c r="F16" s="211">
        <f>IF(AND([2]Prod!F16&lt;&gt;"Ambos",[2]Prod!F16&lt;&gt;[2]User!$E$2),0,1)</f>
        <v>1</v>
      </c>
      <c r="G16" s="57">
        <f>IF([2]User!$F$2&gt;[2]Prod!G16,1,0)</f>
        <v>1</v>
      </c>
      <c r="H16" s="57">
        <f>IF([2]User!$F$2&lt;[2]Prod!H16,1,0)</f>
        <v>1</v>
      </c>
      <c r="I16" s="57">
        <f>IF(AND([2]User!$G$2=1,[2]Prod!I16="SI"),1,IF(AND([2]User!$G$2=2,[2]Prod!J16="SI"),1,IF(AND([2]User!$G$2=3,[2]Prod!K16="SI"),1,0)))</f>
        <v>1</v>
      </c>
      <c r="J16" s="57">
        <f>IF([2]User!$H$2&gt;[2]Prod!L16,1,0)</f>
        <v>1</v>
      </c>
      <c r="K16" s="57">
        <v>1</v>
      </c>
      <c r="L16" s="57">
        <f>IF([2]User!$I$2&gt;[2]Prod!N16,1,0)</f>
        <v>1</v>
      </c>
      <c r="M16" s="57">
        <v>1</v>
      </c>
      <c r="N16" s="57"/>
      <c r="O16" s="57">
        <f>IF(AND([2]User!$L$2="NO",[2]Prod!W16="SI"),0,1)</f>
        <v>1</v>
      </c>
      <c r="P16" s="57">
        <f>IF(AND([2]User!$M$2&gt;0,[2]Prod!Q16="NO"),0,1)</f>
        <v>1</v>
      </c>
      <c r="Q16" s="57">
        <f>IF(AND(N16="VIVIENDA",[2]User!$N$2&lt;[2]User!$H$2*0.3),0,1)</f>
        <v>1</v>
      </c>
      <c r="R16" s="57">
        <f>IF(HLOOKUP([2]User!$O$2,[2]Prod!$AU$2:$BP$42,ROW(A16)-1,0)&lt;1000000,1,0)</f>
        <v>1</v>
      </c>
      <c r="S16" s="57">
        <f>IF(HLOOKUP([2]User!$P$2,[2]Prod!$AU$2:$BP$42,ROW(B16)-1,0)&lt;1000000,1,0)</f>
        <v>1</v>
      </c>
      <c r="T16" s="57">
        <f>IF(HLOOKUP([2]User!$Q$2,[2]Prod!$AU$2:$BP$42,ROW(C16)-1,0)&lt;1000000,1,0)</f>
        <v>1</v>
      </c>
    </row>
    <row r="17" spans="1:20" x14ac:dyDescent="0.25">
      <c r="A17" s="189" t="s">
        <v>84</v>
      </c>
      <c r="B17" s="212" t="str">
        <f t="shared" si="0"/>
        <v>VALIDO</v>
      </c>
      <c r="C17" s="211"/>
      <c r="D17" s="211">
        <v>1</v>
      </c>
      <c r="E17" s="211">
        <f>IF(IF(AND([2]Prod!D17="Si",[2]User!$C$2="Si"),[2]User!$D$2,[2]User!$B$2)&lt;[2]Prod!E17,1,0)</f>
        <v>1</v>
      </c>
      <c r="F17" s="211">
        <f>IF(AND([2]Prod!F17&lt;&gt;"Ambos",[2]Prod!F17&lt;&gt;[2]User!$E$2),0,1)</f>
        <v>1</v>
      </c>
      <c r="G17" s="57">
        <f>IF([2]User!$F$2&gt;[2]Prod!G17,1,0)</f>
        <v>1</v>
      </c>
      <c r="H17" s="57">
        <f>IF([2]User!$F$2&lt;[2]Prod!H17,1,0)</f>
        <v>1</v>
      </c>
      <c r="I17" s="57">
        <f>IF(AND([2]User!$G$2=1,[2]Prod!I17="SI"),1,IF(AND([2]User!$G$2=2,[2]Prod!J17="SI"),1,IF(AND([2]User!$G$2=3,[2]Prod!K17="SI"),1,0)))</f>
        <v>1</v>
      </c>
      <c r="J17" s="57">
        <f>IF([2]User!$H$2&gt;[2]Prod!L17,1,0)</f>
        <v>1</v>
      </c>
      <c r="K17" s="57">
        <v>1</v>
      </c>
      <c r="L17" s="57">
        <f>IF([2]User!$I$2&gt;[2]Prod!N17,1,0)</f>
        <v>1</v>
      </c>
      <c r="M17" s="57">
        <v>1</v>
      </c>
      <c r="N17" s="57"/>
      <c r="O17" s="57">
        <f>IF(AND([2]User!$L$2="NO",[2]Prod!W17="SI"),0,1)</f>
        <v>1</v>
      </c>
      <c r="P17" s="57">
        <f>IF(AND([2]User!$M$2&gt;0,[2]Prod!Q17="NO"),0,1)</f>
        <v>1</v>
      </c>
      <c r="Q17" s="57">
        <f>IF(AND(N17="VIVIENDA",[2]User!$N$2&lt;[2]User!$H$2*0.3),0,1)</f>
        <v>1</v>
      </c>
      <c r="R17" s="57">
        <f>IF(HLOOKUP([2]User!$O$2,[2]Prod!$AU$2:$BP$42,ROW(A17)-1,0)&lt;1000000,1,0)</f>
        <v>1</v>
      </c>
      <c r="S17" s="57">
        <f>IF(HLOOKUP([2]User!$P$2,[2]Prod!$AU$2:$BP$42,ROW(B17)-1,0)&lt;1000000,1,0)</f>
        <v>1</v>
      </c>
      <c r="T17" s="57">
        <f>IF(HLOOKUP([2]User!$Q$2,[2]Prod!$AU$2:$BP$42,ROW(C17)-1,0)&lt;1000000,1,0)</f>
        <v>1</v>
      </c>
    </row>
    <row r="18" spans="1:20" x14ac:dyDescent="0.25">
      <c r="A18" s="17" t="s">
        <v>560</v>
      </c>
      <c r="B18" s="212" t="str">
        <f t="shared" si="0"/>
        <v>RECHAZADO</v>
      </c>
      <c r="C18" s="211"/>
      <c r="D18" s="211">
        <f>IF(IF(AND([2]Prod!C18="Si",[2]User!$C$2="Si"),[2]User!$D$2,[2]User!$B$2)&gt;[2]Prod!D18,1,0)</f>
        <v>1</v>
      </c>
      <c r="E18" s="211">
        <f>IF(IF(AND([2]Prod!D18="Si",[2]User!$C$2="Si"),[2]User!$D$2,[2]User!$B$2)&lt;[2]Prod!E18,1,0)</f>
        <v>1</v>
      </c>
      <c r="F18" s="211">
        <f>IF(AND([2]Prod!F18&lt;&gt;"Ambos",[2]Prod!F18&lt;&gt;[2]User!$E$2),0,1)</f>
        <v>1</v>
      </c>
      <c r="G18" s="57">
        <f>IF([2]User!$F$2&gt;[2]Prod!G18,1,0)</f>
        <v>1</v>
      </c>
      <c r="H18" s="57">
        <f>IF([2]User!$F$2&lt;[2]Prod!H18,1,0)</f>
        <v>1</v>
      </c>
      <c r="I18" s="57">
        <f>IF(AND([2]User!$G$2=1,[2]Prod!I18="SI"),1,IF(AND([2]User!$G$2=2,[2]Prod!J18="SI"),1,IF(AND([2]User!$G$2=3,[2]Prod!K18="SI"),1,0)))</f>
        <v>1</v>
      </c>
      <c r="J18" s="57">
        <f>IF([2]User!$H$2&gt;[2]Prod!L18,1,0)</f>
        <v>1</v>
      </c>
      <c r="K18" s="57">
        <f>IF([2]User!$H$2&lt;[2]Prod!M18,1,0)</f>
        <v>0</v>
      </c>
      <c r="L18" s="57">
        <f>IF([2]User!$I$2&gt;[2]Prod!N18,1,0)</f>
        <v>1</v>
      </c>
      <c r="M18" s="57">
        <f>IF([2]User!$J$2&lt;[2]Prod!O18,1,0)</f>
        <v>0</v>
      </c>
      <c r="N18" s="57"/>
      <c r="O18" s="57">
        <f>IF(AND([2]User!$L$2="NO",[2]Prod!W18="SI"),0,1)</f>
        <v>1</v>
      </c>
      <c r="P18" s="57">
        <f>IF(AND([2]User!$M$2&gt;0,[2]Prod!Q18="NO"),0,1)</f>
        <v>1</v>
      </c>
      <c r="Q18" s="57">
        <f>IF(AND(N18="VIVIENDA",[2]User!$N$2&lt;[2]User!$H$2*0.3),0,1)</f>
        <v>1</v>
      </c>
      <c r="R18" s="57">
        <f>IF(HLOOKUP([2]User!$O$2,[2]Prod!$AU$2:$BP$42,ROW(A18)-1,0)&lt;1000000,1,0)</f>
        <v>1</v>
      </c>
      <c r="S18" s="57">
        <f>IF(HLOOKUP([2]User!$P$2,[2]Prod!$AU$2:$BP$42,ROW(B18)-1,0)&lt;1000000,1,0)</f>
        <v>1</v>
      </c>
      <c r="T18" s="57">
        <f>IF(HLOOKUP([2]User!$Q$2,[2]Prod!$AU$2:$BP$42,ROW(C18)-1,0)&lt;1000000,1,0)</f>
        <v>1</v>
      </c>
    </row>
    <row r="19" spans="1:20" x14ac:dyDescent="0.25">
      <c r="A19" s="17" t="s">
        <v>559</v>
      </c>
      <c r="B19" s="212" t="str">
        <f t="shared" si="0"/>
        <v>RECHAZADO</v>
      </c>
      <c r="C19" s="211"/>
      <c r="D19" s="211">
        <f>IF(IF(AND([2]Prod!C19="Si",[2]User!$C$2="Si"),[2]User!$D$2,[2]User!$B$2)&gt;[2]Prod!D19,1,0)</f>
        <v>1</v>
      </c>
      <c r="E19" s="211">
        <f>IF(IF(AND([2]Prod!D19="Si",[2]User!$C$2="Si"),[2]User!$D$2,[2]User!$B$2)&lt;[2]Prod!E19,1,0)</f>
        <v>1</v>
      </c>
      <c r="F19" s="211">
        <f>IF(AND([2]Prod!F19&lt;&gt;"Ambos",[2]Prod!F19&lt;&gt;[2]User!$E$2),0,1)</f>
        <v>1</v>
      </c>
      <c r="G19" s="57">
        <f>IF([2]User!$F$2&gt;[2]Prod!G19,1,0)</f>
        <v>1</v>
      </c>
      <c r="H19" s="57">
        <f>IF([2]User!$F$2&lt;[2]Prod!H19,1,0)</f>
        <v>1</v>
      </c>
      <c r="I19" s="57">
        <f>IF(AND([2]User!$G$2=1,[2]Prod!I19="SI"),1,IF(AND([2]User!$G$2=2,[2]Prod!J19="SI"),1,IF(AND([2]User!$G$2=3,[2]Prod!K19="SI"),1,0)))</f>
        <v>1</v>
      </c>
      <c r="J19" s="57">
        <f>IF([2]User!$H$2&gt;[2]Prod!L19,1,0)</f>
        <v>1</v>
      </c>
      <c r="K19" s="57">
        <f>IF([2]User!$H$2&lt;[2]Prod!M19,1,0)</f>
        <v>0</v>
      </c>
      <c r="L19" s="57">
        <f>IF([2]User!$I$2&gt;[2]Prod!N19,1,0)</f>
        <v>1</v>
      </c>
      <c r="M19" s="57">
        <f>IF([2]User!$J$2&lt;[2]Prod!O19,1,0)</f>
        <v>0</v>
      </c>
      <c r="N19" s="57"/>
      <c r="O19" s="57">
        <f>IF(AND([2]User!$L$2="NO",[2]Prod!W19="SI"),0,1)</f>
        <v>1</v>
      </c>
      <c r="P19" s="57">
        <f>IF(AND([2]User!$M$2&gt;0,[2]Prod!Q19="NO"),0,1)</f>
        <v>1</v>
      </c>
      <c r="Q19" s="57">
        <f>IF(AND(N19="VIVIENDA",[2]User!$N$2&lt;[2]User!$H$2*0.3),0,1)</f>
        <v>1</v>
      </c>
      <c r="R19" s="57">
        <f>IF(HLOOKUP([2]User!$O$2,[2]Prod!$AU$2:$BP$42,ROW(A19)-1,0)&lt;1000000,1,0)</f>
        <v>1</v>
      </c>
      <c r="S19" s="57">
        <f>IF(HLOOKUP([2]User!$P$2,[2]Prod!$AU$2:$BP$42,ROW(B19)-1,0)&lt;1000000,1,0)</f>
        <v>1</v>
      </c>
      <c r="T19" s="57">
        <f>IF(HLOOKUP([2]User!$Q$2,[2]Prod!$AU$2:$BP$42,ROW(C19)-1,0)&lt;1000000,1,0)</f>
        <v>1</v>
      </c>
    </row>
    <row r="20" spans="1:20" x14ac:dyDescent="0.25">
      <c r="A20" s="189" t="s">
        <v>85</v>
      </c>
      <c r="B20" s="212" t="str">
        <f t="shared" si="0"/>
        <v>VALIDO</v>
      </c>
      <c r="C20" s="211"/>
      <c r="D20" s="211">
        <f>IF(IF(AND([2]Prod!C20="Si",[2]User!$C$2="Si"),[2]User!$D$2,[2]User!$B$2)&gt;[2]Prod!D20,1,0)</f>
        <v>1</v>
      </c>
      <c r="E20" s="211">
        <f>IF(IF(AND([2]Prod!D20="Si",[2]User!$C$2="Si"),[2]User!$D$2,[2]User!$B$2)&lt;[2]Prod!E20,1,0)</f>
        <v>1</v>
      </c>
      <c r="F20" s="211">
        <f>IF(AND([2]Prod!F20&lt;&gt;"Ambos",[2]Prod!F20&lt;&gt;[2]User!$E$2),0,1)</f>
        <v>1</v>
      </c>
      <c r="G20" s="57">
        <f>IF([2]User!$F$2&gt;[2]Prod!G20,1,0)</f>
        <v>1</v>
      </c>
      <c r="H20" s="57">
        <f>IF([2]User!$F$2&lt;[2]Prod!H20,1,0)</f>
        <v>1</v>
      </c>
      <c r="I20" s="57">
        <f>IF(AND([2]User!$G$2=1,[2]Prod!I20="SI"),1,IF(AND([2]User!$G$2=2,[2]Prod!J20="SI"),1,IF(AND([2]User!$G$2=3,[2]Prod!K20="SI"),1,0)))</f>
        <v>1</v>
      </c>
      <c r="J20" s="57">
        <f>IF([2]User!$H$2&gt;[2]Prod!L20,1,0)</f>
        <v>1</v>
      </c>
      <c r="K20" s="57">
        <v>1</v>
      </c>
      <c r="L20" s="57">
        <f>IF([2]User!$I$2&gt;[2]Prod!N20,1,0)</f>
        <v>1</v>
      </c>
      <c r="M20" s="57">
        <v>1</v>
      </c>
      <c r="N20" s="57"/>
      <c r="O20" s="57">
        <f>IF(AND([2]User!$L$2="NO",[2]Prod!W20="SI"),0,1)</f>
        <v>1</v>
      </c>
      <c r="P20" s="57">
        <f>IF(AND([2]User!$M$2&gt;0,[2]Prod!Q20="NO"),0,1)</f>
        <v>1</v>
      </c>
      <c r="Q20" s="57">
        <f>IF(AND(N20="VIVIENDA",[2]User!$N$2&lt;[2]User!$H$2*0.3),0,1)</f>
        <v>1</v>
      </c>
      <c r="R20" s="57">
        <f>IF(HLOOKUP([2]User!$O$2,[2]Prod!$AU$2:$BP$42,ROW(A20)-1,0)&lt;1000000,1,0)</f>
        <v>1</v>
      </c>
      <c r="S20" s="57">
        <f>IF(HLOOKUP([2]User!$P$2,[2]Prod!$AU$2:$BP$42,ROW(B20)-1,0)&lt;1000000,1,0)</f>
        <v>1</v>
      </c>
      <c r="T20" s="57">
        <f>IF(HLOOKUP([2]User!$Q$2,[2]Prod!$AU$2:$BP$42,ROW(C20)-1,0)&lt;1000000,1,0)</f>
        <v>1</v>
      </c>
    </row>
    <row r="21" spans="1:20" x14ac:dyDescent="0.25">
      <c r="A21" s="17" t="s">
        <v>558</v>
      </c>
      <c r="B21" s="212" t="str">
        <f t="shared" si="0"/>
        <v>RECHAZADO</v>
      </c>
      <c r="C21" s="211"/>
      <c r="D21" s="211">
        <f>IF(IF(AND([2]Prod!C21="Si",[2]User!$C$2="Si"),[2]User!$D$2,[2]User!$B$2)&gt;[2]Prod!D21,1,0)</f>
        <v>1</v>
      </c>
      <c r="E21" s="211">
        <f>IF(IF(AND([2]Prod!D21="Si",[2]User!$C$2="Si"),[2]User!$D$2,[2]User!$B$2)&lt;[2]Prod!E21,1,0)</f>
        <v>1</v>
      </c>
      <c r="F21" s="211">
        <f>IF(AND([2]Prod!F21&lt;&gt;"Ambos",[2]Prod!F21&lt;&gt;[2]User!$E$2),0,1)</f>
        <v>1</v>
      </c>
      <c r="G21" s="57">
        <f>IF([2]User!$F$2&gt;[2]Prod!G21,1,0)</f>
        <v>1</v>
      </c>
      <c r="H21" s="57">
        <f>IF([2]User!$F$2&lt;[2]Prod!H21,1,0)</f>
        <v>1</v>
      </c>
      <c r="I21" s="57">
        <f>IF(AND([2]User!$G$2=1,[2]Prod!I21="SI"),1,IF(AND([2]User!$G$2=2,[2]Prod!J21="SI"),1,IF(AND([2]User!$G$2=3,[2]Prod!K21="SI"),1,0)))</f>
        <v>1</v>
      </c>
      <c r="J21" s="57">
        <f>IF([2]User!$H$2&gt;[2]Prod!L21,1,0)</f>
        <v>1</v>
      </c>
      <c r="K21" s="57">
        <f>IF([2]User!$H$2&lt;[2]Prod!M21,1,0)</f>
        <v>0</v>
      </c>
      <c r="L21" s="57">
        <f>IF([2]User!$I$2&gt;[2]Prod!N21,1,0)</f>
        <v>1</v>
      </c>
      <c r="M21" s="57">
        <f>IF([2]User!$J$2&lt;[2]Prod!O21,1,0)</f>
        <v>0</v>
      </c>
      <c r="N21" s="57"/>
      <c r="O21" s="57">
        <f>IF(AND([2]User!$L$2="NO",[2]Prod!W21="SI"),0,1)</f>
        <v>1</v>
      </c>
      <c r="P21" s="57">
        <f>IF(AND([2]User!$M$2&gt;0,[2]Prod!Q21="NO"),0,1)</f>
        <v>1</v>
      </c>
      <c r="Q21" s="57">
        <f>IF(AND(N21="VIVIENDA",[2]User!$N$2&lt;[2]User!$H$2*0.3),0,1)</f>
        <v>1</v>
      </c>
      <c r="R21" s="57">
        <f>IF(HLOOKUP([2]User!$O$2,[2]Prod!$AU$2:$BP$42,ROW(A21)-1,0)&lt;1000000,1,0)</f>
        <v>1</v>
      </c>
      <c r="S21" s="57">
        <f>IF(HLOOKUP([2]User!$P$2,[2]Prod!$AU$2:$BP$42,ROW(B21)-1,0)&lt;1000000,1,0)</f>
        <v>1</v>
      </c>
      <c r="T21" s="57">
        <f>IF(HLOOKUP([2]User!$Q$2,[2]Prod!$AU$2:$BP$42,ROW(C21)-1,0)&lt;1000000,1,0)</f>
        <v>1</v>
      </c>
    </row>
    <row r="22" spans="1:20" x14ac:dyDescent="0.25">
      <c r="A22" s="17" t="s">
        <v>557</v>
      </c>
      <c r="B22" s="212" t="str">
        <f t="shared" si="0"/>
        <v>RECHAZADO</v>
      </c>
      <c r="C22" s="211"/>
      <c r="D22" s="211">
        <f>IF(IF(AND([2]Prod!C22="Si",[2]User!$C$2="Si"),[2]User!$D$2,[2]User!$B$2)&gt;[2]Prod!D22,1,0)</f>
        <v>1</v>
      </c>
      <c r="E22" s="211">
        <f>IF(IF(AND([2]Prod!D22="Si",[2]User!$C$2="Si"),[2]User!$D$2,[2]User!$B$2)&lt;[2]Prod!E22,1,0)</f>
        <v>1</v>
      </c>
      <c r="F22" s="211">
        <f>IF(AND([2]Prod!F22&lt;&gt;"Ambos",[2]Prod!F22&lt;&gt;[2]User!$E$2),0,1)</f>
        <v>1</v>
      </c>
      <c r="G22" s="57">
        <f>IF([2]User!$F$2&gt;[2]Prod!G22,1,0)</f>
        <v>1</v>
      </c>
      <c r="H22" s="57">
        <f>IF([2]User!$F$2&lt;[2]Prod!H22,1,0)</f>
        <v>1</v>
      </c>
      <c r="I22" s="57">
        <f>IF(AND([2]User!$G$2=1,[2]Prod!I22="SI"),1,IF(AND([2]User!$G$2=2,[2]Prod!J22="SI"),1,IF(AND([2]User!$G$2=3,[2]Prod!K22="SI"),1,0)))</f>
        <v>1</v>
      </c>
      <c r="J22" s="57">
        <f>IF([2]User!$H$2&gt;[2]Prod!L22,1,0)</f>
        <v>1</v>
      </c>
      <c r="K22" s="57">
        <f>IF([2]User!$H$2&lt;[2]Prod!M22,1,0)</f>
        <v>0</v>
      </c>
      <c r="L22" s="57">
        <f>IF([2]User!$I$2&gt;[2]Prod!N22,1,0)</f>
        <v>1</v>
      </c>
      <c r="M22" s="57">
        <f>IF([2]User!$J$2&lt;[2]Prod!O22,1,0)</f>
        <v>0</v>
      </c>
      <c r="N22" s="57"/>
      <c r="O22" s="57">
        <f>IF(AND([2]User!$L$2="NO",[2]Prod!W22="SI"),0,1)</f>
        <v>1</v>
      </c>
      <c r="P22" s="57">
        <f>IF(AND([2]User!$M$2&gt;0,[2]Prod!Q22="NO"),0,1)</f>
        <v>1</v>
      </c>
      <c r="Q22" s="57">
        <f>IF(AND(N22="VIVIENDA",[2]User!$N$2&lt;[2]User!$H$2*0.3),0,1)</f>
        <v>1</v>
      </c>
      <c r="R22" s="57">
        <f>IF(HLOOKUP([2]User!$O$2,[2]Prod!$AU$2:$BP$42,ROW(A22)-1,0)&lt;1000000,1,0)</f>
        <v>1</v>
      </c>
      <c r="S22" s="57">
        <f>IF(HLOOKUP([2]User!$P$2,[2]Prod!$AU$2:$BP$42,ROW(B22)-1,0)&lt;1000000,1,0)</f>
        <v>1</v>
      </c>
      <c r="T22" s="57">
        <f>IF(HLOOKUP([2]User!$Q$2,[2]Prod!$AU$2:$BP$42,ROW(C22)-1,0)&lt;1000000,1,0)</f>
        <v>1</v>
      </c>
    </row>
    <row r="23" spans="1:20" x14ac:dyDescent="0.25">
      <c r="A23" s="17" t="s">
        <v>556</v>
      </c>
      <c r="B23" s="212" t="str">
        <f t="shared" si="0"/>
        <v>RECHAZADO</v>
      </c>
      <c r="C23" s="211"/>
      <c r="D23" s="211">
        <f>IF(IF(AND([2]Prod!C23="Si",[2]User!$C$2="Si"),[2]User!$D$2,[2]User!$B$2)&gt;[2]Prod!D23,1,0)</f>
        <v>1</v>
      </c>
      <c r="E23" s="211">
        <f>IF(IF(AND([2]Prod!D23="Si",[2]User!$C$2="Si"),[2]User!$D$2,[2]User!$B$2)&lt;[2]Prod!E23,1,0)</f>
        <v>1</v>
      </c>
      <c r="F23" s="211">
        <f>IF(AND([2]Prod!F23&lt;&gt;"Ambos",[2]Prod!F23&lt;&gt;[2]User!$E$2),0,1)</f>
        <v>0</v>
      </c>
      <c r="G23" s="57">
        <f>IF([2]User!$F$2&gt;[2]Prod!G23,1,0)</f>
        <v>1</v>
      </c>
      <c r="H23" s="57">
        <f>IF([2]User!$F$2&lt;[2]Prod!H23,1,0)</f>
        <v>1</v>
      </c>
      <c r="I23" s="57">
        <f>IF(AND([2]User!$G$2=1,[2]Prod!I23="SI"),1,IF(AND([2]User!$G$2=2,[2]Prod!J23="SI"),1,IF(AND([2]User!$G$2=3,[2]Prod!K23="SI"),1,0)))</f>
        <v>1</v>
      </c>
      <c r="J23" s="57">
        <f>IF([2]User!$H$2&gt;[2]Prod!L23,1,0)</f>
        <v>1</v>
      </c>
      <c r="K23" s="57">
        <f>IF([2]User!$H$2&lt;[2]Prod!M23,1,0)</f>
        <v>0</v>
      </c>
      <c r="L23" s="57">
        <f>IF([2]User!$I$2&gt;[2]Prod!N23,1,0)</f>
        <v>1</v>
      </c>
      <c r="M23" s="57">
        <f>IF([2]User!$J$2&lt;[2]Prod!O23,1,0)</f>
        <v>0</v>
      </c>
      <c r="N23" s="57"/>
      <c r="O23" s="57">
        <f>IF(AND([2]User!$L$2="NO",[2]Prod!W23="SI"),0,1)</f>
        <v>1</v>
      </c>
      <c r="P23" s="57">
        <f>IF(AND([2]User!$M$2&gt;0,[2]Prod!Q23="NO"),0,1)</f>
        <v>1</v>
      </c>
      <c r="Q23" s="57">
        <f>IF(AND(N23="VIVIENDA",[2]User!$N$2&lt;[2]User!$H$2*0.3),0,1)</f>
        <v>1</v>
      </c>
      <c r="R23" s="57">
        <f>IF(HLOOKUP([2]User!$O$2,[2]Prod!$AU$2:$BP$42,ROW(A23)-1,0)&lt;1000000,1,0)</f>
        <v>1</v>
      </c>
      <c r="S23" s="57">
        <f>IF(HLOOKUP([2]User!$P$2,[2]Prod!$AU$2:$BP$42,ROW(B23)-1,0)&lt;1000000,1,0)</f>
        <v>1</v>
      </c>
      <c r="T23" s="57">
        <f>IF(HLOOKUP([2]User!$Q$2,[2]Prod!$AU$2:$BP$42,ROW(C23)-1,0)&lt;1000000,1,0)</f>
        <v>1</v>
      </c>
    </row>
    <row r="24" spans="1:20" x14ac:dyDescent="0.25">
      <c r="A24" s="17" t="s">
        <v>555</v>
      </c>
      <c r="B24" s="212" t="str">
        <f t="shared" si="0"/>
        <v>RECHAZADO</v>
      </c>
      <c r="C24" s="211"/>
      <c r="D24" s="211">
        <f>IF(IF(AND([2]Prod!C24="Si",[2]User!$C$2="Si"),[2]User!$D$2,[2]User!$B$2)&gt;[2]Prod!D24,1,0)</f>
        <v>1</v>
      </c>
      <c r="E24" s="211">
        <f>IF(IF(AND([2]Prod!D24="Si",[2]User!$C$2="Si"),[2]User!$D$2,[2]User!$B$2)&lt;[2]Prod!E24,1,0)</f>
        <v>1</v>
      </c>
      <c r="F24" s="211">
        <f>IF(AND([2]Prod!F24&lt;&gt;"Ambos",[2]Prod!F24&lt;&gt;[2]User!$E$2),0,1)</f>
        <v>1</v>
      </c>
      <c r="G24" s="57">
        <f>IF([2]User!$F$2&gt;[2]Prod!G24,1,0)</f>
        <v>1</v>
      </c>
      <c r="H24" s="57">
        <f>IF([2]User!$F$2&lt;[2]Prod!H24,1,0)</f>
        <v>1</v>
      </c>
      <c r="I24" s="57">
        <f>IF(AND([2]User!$G$2=1,[2]Prod!I24="SI"),1,IF(AND([2]User!$G$2=2,[2]Prod!J24="SI"),1,IF(AND([2]User!$G$2=3,[2]Prod!K24="SI"),1,0)))</f>
        <v>1</v>
      </c>
      <c r="J24" s="57">
        <f>IF([2]User!$H$2&gt;[2]Prod!L24,1,0)</f>
        <v>1</v>
      </c>
      <c r="K24" s="57">
        <f>IF([2]User!$H$2&lt;[2]Prod!M24,1,0)</f>
        <v>0</v>
      </c>
      <c r="L24" s="57">
        <f>IF([2]User!$I$2&gt;[2]Prod!N24,1,0)</f>
        <v>1</v>
      </c>
      <c r="M24" s="57">
        <f>IF([2]User!$J$2&lt;[2]Prod!O24,1,0)</f>
        <v>0</v>
      </c>
      <c r="N24" s="57"/>
      <c r="O24" s="57">
        <f>IF(AND([2]User!$L$2="NO",[2]Prod!W24="SI"),0,1)</f>
        <v>1</v>
      </c>
      <c r="P24" s="57">
        <f>IF(AND([2]User!$M$2&gt;0,[2]Prod!Q24="NO"),0,1)</f>
        <v>1</v>
      </c>
      <c r="Q24" s="57">
        <f>IF(AND(N24="VIVIENDA",[2]User!$N$2&lt;[2]User!$H$2*0.3),0,1)</f>
        <v>1</v>
      </c>
      <c r="R24" s="57">
        <f>IF(HLOOKUP([2]User!$O$2,[2]Prod!$AU$2:$BP$42,ROW(A24)-1,0)&lt;1000000,1,0)</f>
        <v>1</v>
      </c>
      <c r="S24" s="57">
        <f>IF(HLOOKUP([2]User!$P$2,[2]Prod!$AU$2:$BP$42,ROW(B24)-1,0)&lt;1000000,1,0)</f>
        <v>1</v>
      </c>
      <c r="T24" s="57">
        <f>IF(HLOOKUP([2]User!$Q$2,[2]Prod!$AU$2:$BP$42,ROW(C24)-1,0)&lt;1000000,1,0)</f>
        <v>1</v>
      </c>
    </row>
    <row r="25" spans="1:20" x14ac:dyDescent="0.25">
      <c r="A25" s="17" t="s">
        <v>554</v>
      </c>
      <c r="B25" s="212" t="str">
        <f t="shared" si="0"/>
        <v>RECHAZADO</v>
      </c>
      <c r="C25" s="211"/>
      <c r="D25" s="211">
        <f>IF(IF(AND([2]Prod!C25="Si",[2]User!$C$2="Si"),[2]User!$D$2,[2]User!$B$2)&gt;[2]Prod!D25,1,0)</f>
        <v>1</v>
      </c>
      <c r="E25" s="211">
        <f>IF(IF(AND([2]Prod!D25="Si",[2]User!$C$2="Si"),[2]User!$D$2,[2]User!$B$2)&lt;[2]Prod!E25,1,0)</f>
        <v>1</v>
      </c>
      <c r="F25" s="211">
        <f>IF(AND([2]Prod!F25&lt;&gt;"Ambos",[2]Prod!F25&lt;&gt;[2]User!$E$2),0,1)</f>
        <v>1</v>
      </c>
      <c r="G25" s="57">
        <f>IF([2]User!$F$2&gt;[2]Prod!G25,1,0)</f>
        <v>1</v>
      </c>
      <c r="H25" s="57">
        <f>IF([2]User!$F$2&lt;[2]Prod!H25,1,0)</f>
        <v>1</v>
      </c>
      <c r="I25" s="57">
        <f>IF(AND([2]User!$G$2=1,[2]Prod!I25="SI"),1,IF(AND([2]User!$G$2=2,[2]Prod!J25="SI"),1,IF(AND([2]User!$G$2=3,[2]Prod!K25="SI"),1,0)))</f>
        <v>1</v>
      </c>
      <c r="J25" s="57">
        <f>IF([2]User!$H$2&gt;[2]Prod!L25,1,0)</f>
        <v>1</v>
      </c>
      <c r="K25" s="57">
        <f>IF([2]User!$H$2&lt;[2]Prod!M25,1,0)</f>
        <v>0</v>
      </c>
      <c r="L25" s="57">
        <f>IF([2]User!$I$2&gt;[2]Prod!N25,1,0)</f>
        <v>1</v>
      </c>
      <c r="M25" s="57">
        <f>IF([2]User!$J$2&lt;[2]Prod!O25,1,0)</f>
        <v>0</v>
      </c>
      <c r="N25" s="57"/>
      <c r="O25" s="57">
        <f>IF(AND([2]User!$L$2="NO",[2]Prod!W25="SI"),0,1)</f>
        <v>1</v>
      </c>
      <c r="P25" s="57">
        <f>IF(AND([2]User!$M$2&gt;0,[2]Prod!Q25="NO"),0,1)</f>
        <v>1</v>
      </c>
      <c r="Q25" s="57">
        <f>IF(AND(N25="VIVIENDA",[2]User!$N$2&lt;[2]User!$H$2*0.3),0,1)</f>
        <v>1</v>
      </c>
      <c r="R25" s="57">
        <f>IF(HLOOKUP([2]User!$O$2,[2]Prod!$AU$2:$BP$42,ROW(A25)-1,0)&lt;1000000,1,0)</f>
        <v>1</v>
      </c>
      <c r="S25" s="57">
        <f>IF(HLOOKUP([2]User!$P$2,[2]Prod!$AU$2:$BP$42,ROW(B25)-1,0)&lt;1000000,1,0)</f>
        <v>1</v>
      </c>
      <c r="T25" s="57">
        <f>IF(HLOOKUP([2]User!$Q$2,[2]Prod!$AU$2:$BP$42,ROW(C25)-1,0)&lt;1000000,1,0)</f>
        <v>1</v>
      </c>
    </row>
    <row r="26" spans="1:20" x14ac:dyDescent="0.25">
      <c r="A26" s="17" t="s">
        <v>553</v>
      </c>
      <c r="B26" s="212" t="str">
        <f t="shared" si="0"/>
        <v>RECHAZADO</v>
      </c>
      <c r="C26" s="211"/>
      <c r="D26" s="211">
        <f>IF(IF(AND([2]Prod!C26="Si",[2]User!$C$2="Si"),[2]User!$D$2,[2]User!$B$2)&gt;[2]Prod!D26,1,0)</f>
        <v>1</v>
      </c>
      <c r="E26" s="211">
        <f>IF(IF(AND([2]Prod!D26="Si",[2]User!$C$2="Si"),[2]User!$D$2,[2]User!$B$2)&lt;[2]Prod!E26,1,0)</f>
        <v>1</v>
      </c>
      <c r="F26" s="211">
        <f>IF(AND([2]Prod!F26&lt;&gt;"Ambos",[2]Prod!F26&lt;&gt;[2]User!$E$2),0,1)</f>
        <v>1</v>
      </c>
      <c r="G26" s="57">
        <f>IF([2]User!$F$2&gt;[2]Prod!G26,1,0)</f>
        <v>1</v>
      </c>
      <c r="H26" s="57">
        <f>IF([2]User!$F$2&lt;[2]Prod!H26,1,0)</f>
        <v>1</v>
      </c>
      <c r="I26" s="57">
        <f>IF(AND([2]User!$G$2=1,[2]Prod!I26="SI"),1,IF(AND([2]User!$G$2=2,[2]Prod!J26="SI"),1,IF(AND([2]User!$G$2=3,[2]Prod!K26="SI"),1,0)))</f>
        <v>1</v>
      </c>
      <c r="J26" s="57">
        <f>IF([2]User!$H$2&gt;[2]Prod!L26,1,0)</f>
        <v>1</v>
      </c>
      <c r="K26" s="57">
        <f>IF([2]User!$H$2&lt;[2]Prod!M26,1,0)</f>
        <v>0</v>
      </c>
      <c r="L26" s="57">
        <f>IF([2]User!$I$2&gt;[2]Prod!N26,1,0)</f>
        <v>1</v>
      </c>
      <c r="M26" s="57">
        <f>IF([2]User!$J$2&lt;[2]Prod!O26,1,0)</f>
        <v>0</v>
      </c>
      <c r="N26" s="57"/>
      <c r="O26" s="57">
        <f>IF(AND([2]User!$L$2="NO",[2]Prod!W26="SI"),0,1)</f>
        <v>1</v>
      </c>
      <c r="P26" s="57">
        <f>IF(AND([2]User!$M$2&gt;0,[2]Prod!Q26="NO"),0,1)</f>
        <v>1</v>
      </c>
      <c r="Q26" s="57">
        <f>IF(AND(N26="VIVIENDA",[2]User!$N$2&lt;[2]User!$H$2*0.3),0,1)</f>
        <v>1</v>
      </c>
      <c r="R26" s="57">
        <f>IF(HLOOKUP([2]User!$O$2,[2]Prod!$AU$2:$BP$42,ROW(A26)-1,0)&lt;1000000,1,0)</f>
        <v>1</v>
      </c>
      <c r="S26" s="57">
        <f>IF(HLOOKUP([2]User!$P$2,[2]Prod!$AU$2:$BP$42,ROW(B26)-1,0)&lt;1000000,1,0)</f>
        <v>1</v>
      </c>
      <c r="T26" s="57">
        <f>IF(HLOOKUP([2]User!$Q$2,[2]Prod!$AU$2:$BP$42,ROW(C26)-1,0)&lt;1000000,1,0)</f>
        <v>1</v>
      </c>
    </row>
    <row r="27" spans="1:20" x14ac:dyDescent="0.25">
      <c r="A27" s="17" t="s">
        <v>552</v>
      </c>
      <c r="B27" s="212" t="str">
        <f t="shared" si="0"/>
        <v>RECHAZADO</v>
      </c>
      <c r="C27" s="211"/>
      <c r="D27" s="211">
        <f>IF(IF(AND([2]Prod!C27="Si",[2]User!$C$2="Si"),[2]User!$D$2,[2]User!$B$2)&gt;[2]Prod!D27,1,0)</f>
        <v>1</v>
      </c>
      <c r="E27" s="211">
        <f>IF(IF(AND([2]Prod!D27="Si",[2]User!$C$2="Si"),[2]User!$D$2,[2]User!$B$2)&lt;[2]Prod!E27,1,0)</f>
        <v>1</v>
      </c>
      <c r="F27" s="211">
        <f>IF(AND([2]Prod!F27&lt;&gt;"Ambos",[2]Prod!F27&lt;&gt;[2]User!$E$2),0,1)</f>
        <v>1</v>
      </c>
      <c r="G27" s="57">
        <f>IF([2]User!$F$2&gt;[2]Prod!G27,1,0)</f>
        <v>1</v>
      </c>
      <c r="H27" s="57">
        <f>IF([2]User!$F$2&lt;[2]Prod!H27,1,0)</f>
        <v>1</v>
      </c>
      <c r="I27" s="57">
        <f>IF(AND([2]User!$G$2=1,[2]Prod!I27="SI"),1,IF(AND([2]User!$G$2=2,[2]Prod!J27="SI"),1,IF(AND([2]User!$G$2=3,[2]Prod!K27="SI"),1,0)))</f>
        <v>1</v>
      </c>
      <c r="J27" s="57">
        <f>IF([2]User!$H$2&gt;[2]Prod!L27,1,0)</f>
        <v>1</v>
      </c>
      <c r="K27" s="57">
        <f>IF([2]User!$H$2&lt;[2]Prod!M27,1,0)</f>
        <v>0</v>
      </c>
      <c r="L27" s="57">
        <f>IF([2]User!$I$2&gt;[2]Prod!N27,1,0)</f>
        <v>1</v>
      </c>
      <c r="M27" s="57">
        <f>IF([2]User!$J$2&lt;[2]Prod!O27,1,0)</f>
        <v>0</v>
      </c>
      <c r="N27" s="57"/>
      <c r="O27" s="57">
        <f>IF(AND([2]User!$L$2="NO",[2]Prod!W27="SI"),0,1)</f>
        <v>1</v>
      </c>
      <c r="P27" s="57">
        <f>IF(AND([2]User!$M$2&gt;0,[2]Prod!Q27="NO"),0,1)</f>
        <v>1</v>
      </c>
      <c r="Q27" s="57">
        <f>IF(AND(N27="VIVIENDA",[2]User!$N$2&lt;[2]User!$H$2*0.3),0,1)</f>
        <v>1</v>
      </c>
      <c r="R27" s="57">
        <f>IF(HLOOKUP([2]User!$O$2,[2]Prod!$AU$2:$BP$42,ROW(A27)-1,0)&lt;1000000,1,0)</f>
        <v>1</v>
      </c>
      <c r="S27" s="57">
        <f>IF(HLOOKUP([2]User!$P$2,[2]Prod!$AU$2:$BP$42,ROW(B27)-1,0)&lt;1000000,1,0)</f>
        <v>1</v>
      </c>
      <c r="T27" s="57">
        <f>IF(HLOOKUP([2]User!$Q$2,[2]Prod!$AU$2:$BP$42,ROW(C27)-1,0)&lt;1000000,1,0)</f>
        <v>1</v>
      </c>
    </row>
    <row r="28" spans="1:20" x14ac:dyDescent="0.25">
      <c r="A28" s="17" t="s">
        <v>551</v>
      </c>
      <c r="B28" s="212" t="str">
        <f t="shared" si="0"/>
        <v>RECHAZADO</v>
      </c>
      <c r="C28" s="211"/>
      <c r="D28" s="211">
        <f>IF(IF(AND([2]Prod!C28="Si",[2]User!$C$2="Si"),[2]User!$D$2,[2]User!$B$2)&gt;[2]Prod!D28,1,0)</f>
        <v>1</v>
      </c>
      <c r="E28" s="211">
        <f>IF(IF(AND([2]Prod!D28="Si",[2]User!$C$2="Si"),[2]User!$D$2,[2]User!$B$2)&lt;[2]Prod!E28,1,0)</f>
        <v>1</v>
      </c>
      <c r="F28" s="211">
        <f>IF(AND([2]Prod!F28&lt;&gt;"Ambos",[2]Prod!F28&lt;&gt;[2]User!$E$2),0,1)</f>
        <v>1</v>
      </c>
      <c r="G28" s="57">
        <f>IF([2]User!$F$2&gt;[2]Prod!G28,1,0)</f>
        <v>1</v>
      </c>
      <c r="H28" s="57">
        <f>IF([2]User!$F$2&lt;[2]Prod!H28,1,0)</f>
        <v>1</v>
      </c>
      <c r="I28" s="57">
        <f>IF(AND([2]User!$G$2=1,[2]Prod!I28="SI"),1,IF(AND([2]User!$G$2=2,[2]Prod!J28="SI"),1,IF(AND([2]User!$G$2=3,[2]Prod!K28="SI"),1,0)))</f>
        <v>1</v>
      </c>
      <c r="J28" s="57">
        <f>IF([2]User!$H$2&gt;[2]Prod!L28,1,0)</f>
        <v>1</v>
      </c>
      <c r="K28" s="57">
        <f>IF([2]User!$H$2&lt;[2]Prod!M28,1,0)</f>
        <v>0</v>
      </c>
      <c r="L28" s="57">
        <f>IF([2]User!$I$2&gt;[2]Prod!N28,1,0)</f>
        <v>1</v>
      </c>
      <c r="M28" s="57">
        <f>IF([2]User!$J$2&lt;[2]Prod!O28,1,0)</f>
        <v>0</v>
      </c>
      <c r="N28" s="57"/>
      <c r="O28" s="57">
        <f>IF(AND([2]User!$L$2="NO",[2]Prod!W28="SI"),0,1)</f>
        <v>1</v>
      </c>
      <c r="P28" s="57">
        <f>IF(AND([2]User!$M$2&gt;0,[2]Prod!Q28="NO"),0,1)</f>
        <v>1</v>
      </c>
      <c r="Q28" s="57">
        <f>IF(AND(N28="VIVIENDA",[2]User!$N$2&lt;[2]User!$H$2*0.3),0,1)</f>
        <v>1</v>
      </c>
      <c r="R28" s="57">
        <f>IF(HLOOKUP([2]User!$O$2,[2]Prod!$AU$2:$BP$42,ROW(A28)-1,0)&lt;1000000,1,0)</f>
        <v>1</v>
      </c>
      <c r="S28" s="57">
        <f>IF(HLOOKUP([2]User!$P$2,[2]Prod!$AU$2:$BP$42,ROW(B28)-1,0)&lt;1000000,1,0)</f>
        <v>1</v>
      </c>
      <c r="T28" s="57">
        <f>IF(HLOOKUP([2]User!$Q$2,[2]Prod!$AU$2:$BP$42,ROW(C28)-1,0)&lt;1000000,1,0)</f>
        <v>1</v>
      </c>
    </row>
    <row r="29" spans="1:20" x14ac:dyDescent="0.25">
      <c r="A29" s="17" t="s">
        <v>550</v>
      </c>
      <c r="B29" s="212" t="str">
        <f t="shared" si="0"/>
        <v>RECHAZADO</v>
      </c>
      <c r="C29" s="211"/>
      <c r="D29" s="211">
        <f>IF(IF(AND([2]Prod!C29="Si",[2]User!$C$2="Si"),[2]User!$D$2,[2]User!$B$2)&gt;[2]Prod!D29,1,0)</f>
        <v>1</v>
      </c>
      <c r="E29" s="211">
        <f>IF(IF(AND([2]Prod!D29="Si",[2]User!$C$2="Si"),[2]User!$D$2,[2]User!$B$2)&lt;[2]Prod!E29,1,0)</f>
        <v>1</v>
      </c>
      <c r="F29" s="211">
        <f>IF(AND([2]Prod!F29&lt;&gt;"Ambos",[2]Prod!F29&lt;&gt;[2]User!$E$2),0,1)</f>
        <v>1</v>
      </c>
      <c r="G29" s="57">
        <f>IF([2]User!$F$2&gt;[2]Prod!G29,1,0)</f>
        <v>1</v>
      </c>
      <c r="H29" s="57">
        <f>IF([2]User!$F$2&lt;[2]Prod!H29,1,0)</f>
        <v>1</v>
      </c>
      <c r="I29" s="57">
        <f>IF(AND([2]User!$G$2=1,[2]Prod!I29="SI"),1,IF(AND([2]User!$G$2=2,[2]Prod!J29="SI"),1,IF(AND([2]User!$G$2=3,[2]Prod!K29="SI"),1,0)))</f>
        <v>0</v>
      </c>
      <c r="J29" s="57">
        <f>IF([2]User!$H$2&gt;[2]Prod!L29,1,0)</f>
        <v>1</v>
      </c>
      <c r="K29" s="57">
        <f>IF([2]User!$H$2&lt;[2]Prod!M29,1,0)</f>
        <v>0</v>
      </c>
      <c r="L29" s="57">
        <f>IF([2]User!$I$2&gt;[2]Prod!N29,1,0)</f>
        <v>1</v>
      </c>
      <c r="M29" s="57">
        <f>IF([2]User!$J$2&lt;[2]Prod!O29,1,0)</f>
        <v>0</v>
      </c>
      <c r="N29" s="57"/>
      <c r="O29" s="57">
        <f>IF(AND([2]User!$L$2="NO",[2]Prod!W29="SI"),0,1)</f>
        <v>1</v>
      </c>
      <c r="P29" s="57">
        <f>IF(AND([2]User!$M$2&gt;0,[2]Prod!Q29="NO"),0,1)</f>
        <v>1</v>
      </c>
      <c r="Q29" s="57">
        <f>IF(AND(N29="VIVIENDA",[2]User!$N$2&lt;[2]User!$H$2*0.3),0,1)</f>
        <v>1</v>
      </c>
      <c r="R29" s="57">
        <f>IF(HLOOKUP([2]User!$O$2,[2]Prod!$AU$2:$BP$42,ROW(A29)-1,0)&lt;1000000,1,0)</f>
        <v>1</v>
      </c>
      <c r="S29" s="57">
        <f>IF(HLOOKUP([2]User!$P$2,[2]Prod!$AU$2:$BP$42,ROW(B29)-1,0)&lt;1000000,1,0)</f>
        <v>1</v>
      </c>
      <c r="T29" s="57">
        <f>IF(HLOOKUP([2]User!$Q$2,[2]Prod!$AU$2:$BP$42,ROW(C29)-1,0)&lt;1000000,1,0)</f>
        <v>1</v>
      </c>
    </row>
    <row r="30" spans="1:20" x14ac:dyDescent="0.25">
      <c r="A30" s="17" t="s">
        <v>549</v>
      </c>
      <c r="B30" s="212" t="str">
        <f t="shared" si="0"/>
        <v>RECHAZADO</v>
      </c>
      <c r="C30" s="211"/>
      <c r="D30" s="211">
        <f>IF(IF(AND([2]Prod!C30="Si",[2]User!$C$2="Si"),[2]User!$D$2,[2]User!$B$2)&gt;[2]Prod!D30,1,0)</f>
        <v>1</v>
      </c>
      <c r="E30" s="211">
        <f>IF(IF(AND([2]Prod!D30="Si",[2]User!$C$2="Si"),[2]User!$D$2,[2]User!$B$2)&lt;[2]Prod!E30,1,0)</f>
        <v>1</v>
      </c>
      <c r="F30" s="211">
        <f>IF(AND([2]Prod!F30&lt;&gt;"Ambos",[2]Prod!F30&lt;&gt;[2]User!$E$2),0,1)</f>
        <v>1</v>
      </c>
      <c r="G30" s="57">
        <f>IF([2]User!$F$2&gt;[2]Prod!G30,1,0)</f>
        <v>1</v>
      </c>
      <c r="H30" s="57">
        <f>IF([2]User!$F$2&lt;[2]Prod!H30,1,0)</f>
        <v>1</v>
      </c>
      <c r="I30" s="57">
        <f>IF(AND([2]User!$G$2=1,[2]Prod!I30="SI"),1,IF(AND([2]User!$G$2=2,[2]Prod!J30="SI"),1,IF(AND([2]User!$G$2=3,[2]Prod!K30="SI"),1,0)))</f>
        <v>1</v>
      </c>
      <c r="J30" s="57">
        <f>IF([2]User!$H$2&gt;[2]Prod!L30,1,0)</f>
        <v>1</v>
      </c>
      <c r="K30" s="57">
        <f>IF([2]User!$H$2&lt;[2]Prod!M30,1,0)</f>
        <v>0</v>
      </c>
      <c r="L30" s="57">
        <f>IF([2]User!$I$2&gt;[2]Prod!N30,1,0)</f>
        <v>1</v>
      </c>
      <c r="M30" s="57">
        <f>IF([2]User!$J$2&lt;[2]Prod!O30,1,0)</f>
        <v>0</v>
      </c>
      <c r="N30" s="57"/>
      <c r="O30" s="57">
        <f>IF(AND([2]User!$L$2="NO",[2]Prod!W30="SI"),0,1)</f>
        <v>1</v>
      </c>
      <c r="P30" s="57">
        <f>IF(AND([2]User!$M$2&gt;0,[2]Prod!Q30="NO"),0,1)</f>
        <v>1</v>
      </c>
      <c r="Q30" s="57">
        <f>IF(AND(N30="VIVIENDA",[2]User!$N$2&lt;[2]User!$H$2*0.3),0,1)</f>
        <v>1</v>
      </c>
      <c r="R30" s="57">
        <f>IF(HLOOKUP([2]User!$O$2,[2]Prod!$AU$2:$BP$42,ROW(A30)-1,0)&lt;1000000,1,0)</f>
        <v>1</v>
      </c>
      <c r="S30" s="57">
        <f>IF(HLOOKUP([2]User!$P$2,[2]Prod!$AU$2:$BP$42,ROW(B30)-1,0)&lt;1000000,1,0)</f>
        <v>1</v>
      </c>
      <c r="T30" s="57">
        <f>IF(HLOOKUP([2]User!$Q$2,[2]Prod!$AU$2:$BP$42,ROW(C30)-1,0)&lt;1000000,1,0)</f>
        <v>1</v>
      </c>
    </row>
    <row r="31" spans="1:20" x14ac:dyDescent="0.25">
      <c r="A31" s="17" t="s">
        <v>548</v>
      </c>
      <c r="B31" s="212" t="str">
        <f t="shared" si="0"/>
        <v>RECHAZADO</v>
      </c>
      <c r="C31" s="211"/>
      <c r="D31" s="211">
        <f>IF(IF(AND([2]Prod!C31="Si",[2]User!$C$2="Si"),[2]User!$D$2,[2]User!$B$2)&gt;[2]Prod!D31,1,0)</f>
        <v>1</v>
      </c>
      <c r="E31" s="211">
        <f>IF(IF(AND([2]Prod!D31="Si",[2]User!$C$2="Si"),[2]User!$D$2,[2]User!$B$2)&lt;[2]Prod!E31,1,0)</f>
        <v>1</v>
      </c>
      <c r="F31" s="211">
        <f>IF(AND([2]Prod!F31&lt;&gt;"Ambos",[2]Prod!F31&lt;&gt;[2]User!$E$2),0,1)</f>
        <v>1</v>
      </c>
      <c r="G31" s="57">
        <f>IF([2]User!$F$2&gt;[2]Prod!G31,1,0)</f>
        <v>1</v>
      </c>
      <c r="H31" s="57">
        <f>IF([2]User!$F$2&lt;[2]Prod!H31,1,0)</f>
        <v>1</v>
      </c>
      <c r="I31" s="57">
        <f>IF(AND([2]User!$G$2=1,[2]Prod!I31="SI"),1,IF(AND([2]User!$G$2=2,[2]Prod!J31="SI"),1,IF(AND([2]User!$G$2=3,[2]Prod!K31="SI"),1,0)))</f>
        <v>1</v>
      </c>
      <c r="J31" s="57">
        <f>IF([2]User!$H$2&gt;[2]Prod!L31,1,0)</f>
        <v>1</v>
      </c>
      <c r="K31" s="57">
        <f>IF([2]User!$H$2&lt;[2]Prod!M31,1,0)</f>
        <v>0</v>
      </c>
      <c r="L31" s="57">
        <f>IF([2]User!$I$2&gt;[2]Prod!N31,1,0)</f>
        <v>1</v>
      </c>
      <c r="M31" s="57">
        <f>IF([2]User!$J$2&lt;[2]Prod!O31,1,0)</f>
        <v>0</v>
      </c>
      <c r="N31" s="57"/>
      <c r="O31" s="57">
        <f>IF(AND([2]User!$L$2="NO",[2]Prod!W31="SI"),0,1)</f>
        <v>1</v>
      </c>
      <c r="P31" s="57">
        <f>IF(AND([2]User!$M$2&gt;0,[2]Prod!Q31="NO"),0,1)</f>
        <v>1</v>
      </c>
      <c r="Q31" s="57">
        <f>IF(AND(N31="VIVIENDA",[2]User!$N$2&lt;[2]User!$H$2*0.3),0,1)</f>
        <v>1</v>
      </c>
      <c r="R31" s="57">
        <f>IF(HLOOKUP([2]User!$O$2,[2]Prod!$AU$2:$BP$42,ROW(A31)-1,0)&lt;1000000,1,0)</f>
        <v>1</v>
      </c>
      <c r="S31" s="57">
        <f>IF(HLOOKUP([2]User!$P$2,[2]Prod!$AU$2:$BP$42,ROW(B31)-1,0)&lt;1000000,1,0)</f>
        <v>1</v>
      </c>
      <c r="T31" s="57">
        <f>IF(HLOOKUP([2]User!$Q$2,[2]Prod!$AU$2:$BP$42,ROW(C31)-1,0)&lt;1000000,1,0)</f>
        <v>1</v>
      </c>
    </row>
    <row r="32" spans="1:20" x14ac:dyDescent="0.25">
      <c r="A32" s="17" t="s">
        <v>547</v>
      </c>
      <c r="B32" s="212" t="str">
        <f t="shared" si="0"/>
        <v>RECHAZADO</v>
      </c>
      <c r="C32" s="211"/>
      <c r="D32" s="211">
        <f>IF(IF(AND([2]Prod!C32="Si",[2]User!$C$2="Si"),[2]User!$D$2,[2]User!$B$2)&gt;[2]Prod!D32,1,0)</f>
        <v>1</v>
      </c>
      <c r="E32" s="211">
        <f>IF(IF(AND([2]Prod!D32="Si",[2]User!$C$2="Si"),[2]User!$D$2,[2]User!$B$2)&lt;[2]Prod!E32,1,0)</f>
        <v>1</v>
      </c>
      <c r="F32" s="211">
        <f>IF(AND([2]Prod!F32&lt;&gt;"Ambos",[2]Prod!F32&lt;&gt;[2]User!$E$2),0,1)</f>
        <v>1</v>
      </c>
      <c r="G32" s="57">
        <f>IF([2]User!$F$2&gt;[2]Prod!G32,1,0)</f>
        <v>1</v>
      </c>
      <c r="H32" s="57">
        <f>IF([2]User!$F$2&lt;[2]Prod!H32,1,0)</f>
        <v>1</v>
      </c>
      <c r="I32" s="57">
        <f>IF(AND([2]User!$G$2=1,[2]Prod!I32="SI"),1,IF(AND([2]User!$G$2=2,[2]Prod!J32="SI"),1,IF(AND([2]User!$G$2=3,[2]Prod!K32="SI"),1,0)))</f>
        <v>1</v>
      </c>
      <c r="J32" s="57">
        <f>IF([2]User!$H$2&gt;[2]Prod!L32,1,0)</f>
        <v>1</v>
      </c>
      <c r="K32" s="57">
        <f>IF([2]User!$H$2&lt;[2]Prod!M32,1,0)</f>
        <v>0</v>
      </c>
      <c r="L32" s="57">
        <f>IF([2]User!$I$2&gt;[2]Prod!N32,1,0)</f>
        <v>1</v>
      </c>
      <c r="M32" s="57">
        <f>IF([2]User!$J$2&lt;[2]Prod!O32,1,0)</f>
        <v>0</v>
      </c>
      <c r="N32" s="57"/>
      <c r="O32" s="57">
        <f>IF(AND([2]User!$L$2="NO",[2]Prod!W32="SI"),0,1)</f>
        <v>1</v>
      </c>
      <c r="P32" s="57">
        <f>IF(AND([2]User!$M$2&gt;0,[2]Prod!Q32="NO"),0,1)</f>
        <v>1</v>
      </c>
      <c r="Q32" s="57">
        <f>IF(AND(N32="VIVIENDA",[2]User!$N$2&lt;[2]User!$H$2*0.3),0,1)</f>
        <v>1</v>
      </c>
      <c r="R32" s="57">
        <f>IF(HLOOKUP([2]User!$O$2,[2]Prod!$AU$2:$BP$42,ROW(A32)-1,0)&lt;1000000,1,0)</f>
        <v>1</v>
      </c>
      <c r="S32" s="57">
        <f>IF(HLOOKUP([2]User!$P$2,[2]Prod!$AU$2:$BP$42,ROW(B32)-1,0)&lt;1000000,1,0)</f>
        <v>1</v>
      </c>
      <c r="T32" s="57">
        <f>IF(HLOOKUP([2]User!$Q$2,[2]Prod!$AU$2:$BP$42,ROW(C32)-1,0)&lt;1000000,1,0)</f>
        <v>1</v>
      </c>
    </row>
    <row r="33" spans="1:20" x14ac:dyDescent="0.25">
      <c r="A33" s="17" t="s">
        <v>546</v>
      </c>
      <c r="B33" s="212" t="str">
        <f t="shared" si="0"/>
        <v>RECHAZADO</v>
      </c>
      <c r="C33" s="211"/>
      <c r="D33" s="211">
        <f>IF(IF(AND([2]Prod!C33="Si",[2]User!$C$2="Si"),[2]User!$D$2,[2]User!$B$2)&gt;[2]Prod!D33,1,0)</f>
        <v>1</v>
      </c>
      <c r="E33" s="211">
        <f>IF(IF(AND([2]Prod!D33="Si",[2]User!$C$2="Si"),[2]User!$D$2,[2]User!$B$2)&lt;[2]Prod!E33,1,0)</f>
        <v>1</v>
      </c>
      <c r="F33" s="211">
        <f>IF(AND([2]Prod!F33&lt;&gt;"Ambos",[2]Prod!F33&lt;&gt;[2]User!$E$2),0,1)</f>
        <v>0</v>
      </c>
      <c r="G33" s="57">
        <f>IF([2]User!$F$2&gt;[2]Prod!G33,1,0)</f>
        <v>1</v>
      </c>
      <c r="H33" s="57">
        <f>IF([2]User!$F$2&lt;[2]Prod!H33,1,0)</f>
        <v>1</v>
      </c>
      <c r="I33" s="57">
        <f>IF(AND([2]User!$G$2=1,[2]Prod!I33="SI"),1,IF(AND([2]User!$G$2=2,[2]Prod!J33="SI"),1,IF(AND([2]User!$G$2=3,[2]Prod!K33="SI"),1,0)))</f>
        <v>1</v>
      </c>
      <c r="J33" s="57">
        <f>IF([2]User!$H$2&gt;[2]Prod!L33,1,0)</f>
        <v>1</v>
      </c>
      <c r="K33" s="57">
        <f>IF([2]User!$H$2&lt;[2]Prod!M33,1,0)</f>
        <v>0</v>
      </c>
      <c r="L33" s="57">
        <f>IF([2]User!$I$2&gt;[2]Prod!N33,1,0)</f>
        <v>1</v>
      </c>
      <c r="M33" s="57">
        <f>IF([2]User!$J$2&lt;[2]Prod!O33,1,0)</f>
        <v>0</v>
      </c>
      <c r="N33" s="57"/>
      <c r="O33" s="57">
        <f>IF(AND([2]User!$L$2="NO",[2]Prod!W33="SI"),0,1)</f>
        <v>1</v>
      </c>
      <c r="P33" s="57">
        <f>IF(AND([2]User!$M$2&gt;0,[2]Prod!Q33="NO"),0,1)</f>
        <v>1</v>
      </c>
      <c r="Q33" s="57">
        <f>IF(AND(N33="VIVIENDA",[2]User!$N$2&lt;[2]User!$H$2*0.3),0,1)</f>
        <v>1</v>
      </c>
      <c r="R33" s="57">
        <f>IF(HLOOKUP([2]User!$O$2,[2]Prod!$AU$2:$BP$42,ROW(A33)-1,0)&lt;1000000,1,0)</f>
        <v>1</v>
      </c>
      <c r="S33" s="57">
        <f>IF(HLOOKUP([2]User!$P$2,[2]Prod!$AU$2:$BP$42,ROW(B33)-1,0)&lt;1000000,1,0)</f>
        <v>1</v>
      </c>
      <c r="T33" s="57">
        <f>IF(HLOOKUP([2]User!$Q$2,[2]Prod!$AU$2:$BP$42,ROW(C33)-1,0)&lt;1000000,1,0)</f>
        <v>1</v>
      </c>
    </row>
    <row r="34" spans="1:20" x14ac:dyDescent="0.25">
      <c r="A34" s="17" t="s">
        <v>544</v>
      </c>
      <c r="B34" s="212" t="str">
        <f t="shared" si="0"/>
        <v>RECHAZADO</v>
      </c>
      <c r="C34" s="211"/>
      <c r="D34" s="211">
        <f>IF(IF(AND([2]Prod!C34="Si",[2]User!$C$2="Si"),[2]User!$D$2,[2]User!$B$2)&gt;[2]Prod!D34,1,0)</f>
        <v>1</v>
      </c>
      <c r="E34" s="211">
        <f>IF(IF(AND([2]Prod!D34="Si",[2]User!$C$2="Si"),[2]User!$D$2,[2]User!$B$2)&lt;[2]Prod!E34,1,0)</f>
        <v>1</v>
      </c>
      <c r="F34" s="211">
        <f>IF(AND([2]Prod!F34&lt;&gt;"Ambos",[2]Prod!F34&lt;&gt;[2]User!$E$2),0,1)</f>
        <v>1</v>
      </c>
      <c r="G34" s="57">
        <f>IF([2]User!$F$2&gt;[2]Prod!G34,1,0)</f>
        <v>1</v>
      </c>
      <c r="H34" s="57">
        <f>IF([2]User!$F$2&lt;[2]Prod!H34,1,0)</f>
        <v>1</v>
      </c>
      <c r="I34" s="57">
        <f>IF(AND([2]User!$G$2=1,[2]Prod!I34="SI"),1,IF(AND([2]User!$G$2=2,[2]Prod!J34="SI"),1,IF(AND([2]User!$G$2=3,[2]Prod!K34="SI"),1,0)))</f>
        <v>0</v>
      </c>
      <c r="J34" s="57">
        <f>IF([2]User!$H$2&gt;[2]Prod!L34,1,0)</f>
        <v>1</v>
      </c>
      <c r="K34" s="57">
        <f>IF([2]User!$H$2&lt;[2]Prod!M34,1,0)</f>
        <v>0</v>
      </c>
      <c r="L34" s="57">
        <f>IF([2]User!$I$2&gt;[2]Prod!N34,1,0)</f>
        <v>1</v>
      </c>
      <c r="M34" s="57">
        <f>IF([2]User!$J$2&lt;[2]Prod!O34,1,0)</f>
        <v>0</v>
      </c>
      <c r="N34" s="57"/>
      <c r="O34" s="57">
        <f>IF(AND([2]User!$L$2="NO",[2]Prod!W34="SI"),0,1)</f>
        <v>1</v>
      </c>
      <c r="P34" s="57">
        <f>IF(AND([2]User!$M$2&gt;0,[2]Prod!Q34="NO"),0,1)</f>
        <v>1</v>
      </c>
      <c r="Q34" s="57">
        <f>IF(AND(N34="VIVIENDA",[2]User!$N$2&lt;[2]User!$H$2*0.3),0,1)</f>
        <v>1</v>
      </c>
      <c r="R34" s="57">
        <f>IF(HLOOKUP([2]User!$O$2,[2]Prod!$AU$2:$BP$42,ROW(A34)-1,0)&lt;1000000,1,0)</f>
        <v>1</v>
      </c>
      <c r="S34" s="57">
        <f>IF(HLOOKUP([2]User!$P$2,[2]Prod!$AU$2:$BP$42,ROW(B34)-1,0)&lt;1000000,1,0)</f>
        <v>1</v>
      </c>
      <c r="T34" s="57">
        <f>IF(HLOOKUP([2]User!$Q$2,[2]Prod!$AU$2:$BP$42,ROW(C34)-1,0)&lt;1000000,1,0)</f>
        <v>1</v>
      </c>
    </row>
    <row r="35" spans="1:20" x14ac:dyDescent="0.25">
      <c r="A35" s="17" t="s">
        <v>543</v>
      </c>
      <c r="B35" s="212" t="str">
        <f t="shared" si="0"/>
        <v>RECHAZADO</v>
      </c>
      <c r="C35" s="211"/>
      <c r="D35" s="211">
        <f>IF(IF(AND([2]Prod!C35="Si",[2]User!$C$2="Si"),[2]User!$D$2,[2]User!$B$2)&gt;[2]Prod!D35,1,0)</f>
        <v>1</v>
      </c>
      <c r="E35" s="211">
        <f>IF(IF(AND([2]Prod!D35="Si",[2]User!$C$2="Si"),[2]User!$D$2,[2]User!$B$2)&lt;[2]Prod!E35,1,0)</f>
        <v>1</v>
      </c>
      <c r="F35" s="211">
        <f>IF(AND([2]Prod!F35&lt;&gt;"Ambos",[2]Prod!F35&lt;&gt;[2]User!$E$2),0,1)</f>
        <v>1</v>
      </c>
      <c r="G35" s="57">
        <f>IF([2]User!$F$2&gt;[2]Prod!G35,1,0)</f>
        <v>1</v>
      </c>
      <c r="H35" s="57">
        <f>IF([2]User!$F$2&lt;[2]Prod!H35,1,0)</f>
        <v>1</v>
      </c>
      <c r="I35" s="57">
        <f>IF(AND([2]User!$G$2=1,[2]Prod!I35="SI"),1,IF(AND([2]User!$G$2=2,[2]Prod!J35="SI"),1,IF(AND([2]User!$G$2=3,[2]Prod!K35="SI"),1,0)))</f>
        <v>1</v>
      </c>
      <c r="J35" s="57">
        <f>IF([2]User!$H$2&gt;[2]Prod!L35,1,0)</f>
        <v>1</v>
      </c>
      <c r="K35" s="57">
        <f>IF([2]User!$H$2&lt;[2]Prod!M35,1,0)</f>
        <v>0</v>
      </c>
      <c r="L35" s="57">
        <f>IF([2]User!$I$2&gt;[2]Prod!N35,1,0)</f>
        <v>1</v>
      </c>
      <c r="M35" s="57">
        <f>IF([2]User!$J$2&lt;[2]Prod!O35,1,0)</f>
        <v>0</v>
      </c>
      <c r="N35" s="57"/>
      <c r="O35" s="57">
        <f>IF(AND([2]User!$L$2="NO",[2]Prod!W35="SI"),0,1)</f>
        <v>1</v>
      </c>
      <c r="P35" s="57">
        <f>IF(AND([2]User!$M$2&gt;0,[2]Prod!Q35="NO"),0,1)</f>
        <v>1</v>
      </c>
      <c r="Q35" s="57">
        <f>IF(AND(N35="VIVIENDA",[2]User!$N$2&lt;[2]User!$H$2*0.3),0,1)</f>
        <v>1</v>
      </c>
      <c r="R35" s="57">
        <f>IF(HLOOKUP([2]User!$O$2,[2]Prod!$AU$2:$BP$42,ROW(A35)-1,0)&lt;1000000,1,0)</f>
        <v>1</v>
      </c>
      <c r="S35" s="57">
        <f>IF(HLOOKUP([2]User!$P$2,[2]Prod!$AU$2:$BP$42,ROW(B35)-1,0)&lt;1000000,1,0)</f>
        <v>1</v>
      </c>
      <c r="T35" s="57">
        <f>IF(HLOOKUP([2]User!$Q$2,[2]Prod!$AU$2:$BP$42,ROW(C35)-1,0)&lt;1000000,1,0)</f>
        <v>1</v>
      </c>
    </row>
    <row r="36" spans="1:20" x14ac:dyDescent="0.25">
      <c r="A36" s="17" t="s">
        <v>542</v>
      </c>
      <c r="B36" s="212" t="str">
        <f t="shared" ref="B36:B67" si="1">IF(SUM(D36:T36)=16,"VALIDO","RECHAZADO")</f>
        <v>RECHAZADO</v>
      </c>
      <c r="C36" s="211"/>
      <c r="D36" s="211">
        <f>IF(IF(AND([2]Prod!C36="Si",[2]User!$C$2="Si"),[2]User!$D$2,[2]User!$B$2)&gt;[2]Prod!D36,1,0)</f>
        <v>1</v>
      </c>
      <c r="E36" s="211">
        <f>IF(IF(AND([2]Prod!D36="Si",[2]User!$C$2="Si"),[2]User!$D$2,[2]User!$B$2)&lt;[2]Prod!E36,1,0)</f>
        <v>1</v>
      </c>
      <c r="F36" s="211">
        <f>IF(AND([2]Prod!F36&lt;&gt;"Ambos",[2]Prod!F36&lt;&gt;[2]User!$E$2),0,1)</f>
        <v>1</v>
      </c>
      <c r="G36" s="57">
        <f>IF([2]User!$F$2&gt;[2]Prod!G36,1,0)</f>
        <v>1</v>
      </c>
      <c r="H36" s="57">
        <f>IF([2]User!$F$2&lt;[2]Prod!H36,1,0)</f>
        <v>1</v>
      </c>
      <c r="I36" s="57">
        <f>IF(AND([2]User!$G$2=1,[2]Prod!I36="SI"),1,IF(AND([2]User!$G$2=2,[2]Prod!J36="SI"),1,IF(AND([2]User!$G$2=3,[2]Prod!K36="SI"),1,0)))</f>
        <v>1</v>
      </c>
      <c r="J36" s="57">
        <f>IF([2]User!$H$2&gt;[2]Prod!L36,1,0)</f>
        <v>1</v>
      </c>
      <c r="K36" s="57">
        <f>IF([2]User!$H$2&lt;[2]Prod!M36,1,0)</f>
        <v>0</v>
      </c>
      <c r="L36" s="57">
        <f>IF([2]User!$I$2&gt;[2]Prod!N36,1,0)</f>
        <v>1</v>
      </c>
      <c r="M36" s="57">
        <f>IF([2]User!$J$2&lt;[2]Prod!O36,1,0)</f>
        <v>0</v>
      </c>
      <c r="N36" s="57"/>
      <c r="O36" s="57">
        <f>IF(AND([2]User!$L$2="NO",[2]Prod!W36="SI"),0,1)</f>
        <v>1</v>
      </c>
      <c r="P36" s="57">
        <f>IF(AND([2]User!$M$2&gt;0,[2]Prod!Q36="NO"),0,1)</f>
        <v>1</v>
      </c>
      <c r="Q36" s="57">
        <f>IF(AND(N36="VIVIENDA",[2]User!$N$2&lt;[2]User!$H$2*0.3),0,1)</f>
        <v>1</v>
      </c>
      <c r="R36" s="57">
        <f>IF(HLOOKUP([2]User!$O$2,[2]Prod!$AU$2:$BP$42,ROW(A36)-1,0)&lt;1000000,1,0)</f>
        <v>1</v>
      </c>
      <c r="S36" s="57">
        <f>IF(HLOOKUP([2]User!$P$2,[2]Prod!$AU$2:$BP$42,ROW(B36)-1,0)&lt;1000000,1,0)</f>
        <v>1</v>
      </c>
      <c r="T36" s="57">
        <f>IF(HLOOKUP([2]User!$Q$2,[2]Prod!$AU$2:$BP$42,ROW(C36)-1,0)&lt;1000000,1,0)</f>
        <v>1</v>
      </c>
    </row>
    <row r="37" spans="1:20" x14ac:dyDescent="0.25">
      <c r="A37" s="17" t="s">
        <v>541</v>
      </c>
      <c r="B37" s="212" t="str">
        <f t="shared" si="1"/>
        <v>RECHAZADO</v>
      </c>
      <c r="C37" s="211"/>
      <c r="D37" s="211">
        <f>IF(IF(AND([2]Prod!C37="Si",[2]User!$C$2="Si"),[2]User!$D$2,[2]User!$B$2)&gt;[2]Prod!D37,1,0)</f>
        <v>1</v>
      </c>
      <c r="E37" s="211">
        <f>IF(IF(AND([2]Prod!D37="Si",[2]User!$C$2="Si"),[2]User!$D$2,[2]User!$B$2)&lt;[2]Prod!E37,1,0)</f>
        <v>1</v>
      </c>
      <c r="F37" s="211">
        <f>IF(AND([2]Prod!F37&lt;&gt;"Ambos",[2]Prod!F37&lt;&gt;[2]User!$E$2),0,1)</f>
        <v>1</v>
      </c>
      <c r="G37" s="57">
        <f>IF([2]User!$F$2&gt;[2]Prod!G37,1,0)</f>
        <v>1</v>
      </c>
      <c r="H37" s="57">
        <f>IF([2]User!$F$2&lt;[2]Prod!H37,1,0)</f>
        <v>1</v>
      </c>
      <c r="I37" s="57">
        <f>IF(AND([2]User!$G$2=1,[2]Prod!I37="SI"),1,IF(AND([2]User!$G$2=2,[2]Prod!J37="SI"),1,IF(AND([2]User!$G$2=3,[2]Prod!K37="SI"),1,0)))</f>
        <v>1</v>
      </c>
      <c r="J37" s="57">
        <f>IF([2]User!$H$2&gt;[2]Prod!L37,1,0)</f>
        <v>1</v>
      </c>
      <c r="K37" s="57">
        <f>IF([2]User!$H$2&lt;[2]Prod!M37,1,0)</f>
        <v>0</v>
      </c>
      <c r="L37" s="57">
        <f>IF([2]User!$I$2&gt;[2]Prod!N37,1,0)</f>
        <v>1</v>
      </c>
      <c r="M37" s="57">
        <f>IF([2]User!$J$2&lt;[2]Prod!O37,1,0)</f>
        <v>0</v>
      </c>
      <c r="N37" s="57"/>
      <c r="O37" s="57">
        <f>IF(AND([2]User!$L$2="NO",[2]Prod!W37="SI"),0,1)</f>
        <v>1</v>
      </c>
      <c r="P37" s="57">
        <f>IF(AND([2]User!$M$2&gt;0,[2]Prod!Q37="NO"),0,1)</f>
        <v>1</v>
      </c>
      <c r="Q37" s="57">
        <f>IF(AND(N37="VIVIENDA",[2]User!$N$2&lt;[2]User!$H$2*0.3),0,1)</f>
        <v>1</v>
      </c>
      <c r="R37" s="57">
        <f>IF(HLOOKUP([2]User!$O$2,[2]Prod!$AU$2:$BP$42,ROW(A37)-1,0)&lt;1000000,1,0)</f>
        <v>1</v>
      </c>
      <c r="S37" s="57">
        <f>IF(HLOOKUP([2]User!$P$2,[2]Prod!$AU$2:$BP$42,ROW(B37)-1,0)&lt;1000000,1,0)</f>
        <v>1</v>
      </c>
      <c r="T37" s="57">
        <f>IF(HLOOKUP([2]User!$Q$2,[2]Prod!$AU$2:$BP$42,ROW(C37)-1,0)&lt;1000000,1,0)</f>
        <v>1</v>
      </c>
    </row>
    <row r="38" spans="1:20" x14ac:dyDescent="0.25">
      <c r="A38" s="17" t="s">
        <v>539</v>
      </c>
      <c r="B38" s="212" t="str">
        <f t="shared" si="1"/>
        <v>RECHAZADO</v>
      </c>
      <c r="C38" s="211"/>
      <c r="D38" s="211">
        <f>IF(IF(AND([2]Prod!C38="Si",[2]User!$C$2="Si"),[2]User!$D$2,[2]User!$B$2)&gt;[2]Prod!D38,1,0)</f>
        <v>1</v>
      </c>
      <c r="E38" s="211">
        <f>IF(IF(AND([2]Prod!D38="Si",[2]User!$C$2="Si"),[2]User!$D$2,[2]User!$B$2)&lt;[2]Prod!E38,1,0)</f>
        <v>1</v>
      </c>
      <c r="F38" s="211">
        <f>IF(AND([2]Prod!F38&lt;&gt;"Ambos",[2]Prod!F38&lt;&gt;[2]User!$E$2),0,1)</f>
        <v>1</v>
      </c>
      <c r="G38" s="57">
        <f>IF([2]User!$F$2&gt;[2]Prod!G38,1,0)</f>
        <v>1</v>
      </c>
      <c r="H38" s="57">
        <f>IF([2]User!$F$2&lt;[2]Prod!H38,1,0)</f>
        <v>1</v>
      </c>
      <c r="I38" s="57">
        <f>IF(AND([2]User!$G$2=1,[2]Prod!I38="SI"),1,IF(AND([2]User!$G$2=2,[2]Prod!J38="SI"),1,IF(AND([2]User!$G$2=3,[2]Prod!K38="SI"),1,0)))</f>
        <v>1</v>
      </c>
      <c r="J38" s="57">
        <f>IF([2]User!$H$2&gt;[2]Prod!L38,1,0)</f>
        <v>1</v>
      </c>
      <c r="K38" s="57">
        <f>IF([2]User!$H$2&lt;[2]Prod!M38,1,0)</f>
        <v>0</v>
      </c>
      <c r="L38" s="57">
        <f>IF([2]User!$I$2&gt;[2]Prod!N38,1,0)</f>
        <v>1</v>
      </c>
      <c r="M38" s="57">
        <f>IF([2]User!$J$2&lt;[2]Prod!O38,1,0)</f>
        <v>0</v>
      </c>
      <c r="N38" s="57"/>
      <c r="O38" s="57">
        <f>IF(AND([2]User!$L$2="NO",[2]Prod!W38="SI"),0,1)</f>
        <v>1</v>
      </c>
      <c r="P38" s="57">
        <f>IF(AND([2]User!$M$2&gt;0,[2]Prod!Q38="NO"),0,1)</f>
        <v>1</v>
      </c>
      <c r="Q38" s="57">
        <f>IF(AND(N38="VIVIENDA",[2]User!$N$2&lt;[2]User!$H$2*0.3),0,1)</f>
        <v>1</v>
      </c>
      <c r="R38" s="57">
        <f>IF(HLOOKUP([2]User!$O$2,[2]Prod!$AU$2:$BP$42,ROW(A38)-1,0)&lt;1000000,1,0)</f>
        <v>1</v>
      </c>
      <c r="S38" s="57">
        <f>IF(HLOOKUP([2]User!$P$2,[2]Prod!$AU$2:$BP$42,ROW(B38)-1,0)&lt;1000000,1,0)</f>
        <v>1</v>
      </c>
      <c r="T38" s="57">
        <f>IF(HLOOKUP([2]User!$Q$2,[2]Prod!$AU$2:$BP$42,ROW(C38)-1,0)&lt;1000000,1,0)</f>
        <v>1</v>
      </c>
    </row>
    <row r="39" spans="1:20" x14ac:dyDescent="0.25">
      <c r="A39" s="17" t="s">
        <v>538</v>
      </c>
      <c r="B39" s="212" t="str">
        <f t="shared" si="1"/>
        <v>RECHAZADO</v>
      </c>
      <c r="C39" s="211"/>
      <c r="D39" s="211">
        <f>IF(IF(AND([2]Prod!C39="Si",[2]User!$C$2="Si"),[2]User!$D$2,[2]User!$B$2)&gt;[2]Prod!D39,1,0)</f>
        <v>1</v>
      </c>
      <c r="E39" s="211">
        <f>IF(IF(AND([2]Prod!D39="Si",[2]User!$C$2="Si"),[2]User!$D$2,[2]User!$B$2)&lt;[2]Prod!E39,1,0)</f>
        <v>1</v>
      </c>
      <c r="F39" s="211">
        <f>IF(AND([2]Prod!F39&lt;&gt;"Ambos",[2]Prod!F39&lt;&gt;[2]User!$E$2),0,1)</f>
        <v>1</v>
      </c>
      <c r="G39" s="57">
        <f>IF([2]User!$F$2&gt;[2]Prod!G39,1,0)</f>
        <v>1</v>
      </c>
      <c r="H39" s="57">
        <f>IF([2]User!$F$2&lt;[2]Prod!H39,1,0)</f>
        <v>1</v>
      </c>
      <c r="I39" s="57">
        <f>IF(AND([2]User!$G$2=1,[2]Prod!I39="SI"),1,IF(AND([2]User!$G$2=2,[2]Prod!J39="SI"),1,IF(AND([2]User!$G$2=3,[2]Prod!K39="SI"),1,0)))</f>
        <v>1</v>
      </c>
      <c r="J39" s="57">
        <f>IF([2]User!$H$2&gt;[2]Prod!L39,1,0)</f>
        <v>1</v>
      </c>
      <c r="K39" s="57">
        <f>IF([2]User!$H$2&lt;[2]Prod!M39,1,0)</f>
        <v>0</v>
      </c>
      <c r="L39" s="57">
        <f>IF([2]User!$I$2&gt;[2]Prod!N39,1,0)</f>
        <v>1</v>
      </c>
      <c r="M39" s="57">
        <f>IF([2]User!$J$2&lt;[2]Prod!O39,1,0)</f>
        <v>0</v>
      </c>
      <c r="N39" s="57"/>
      <c r="O39" s="57">
        <f>IF(AND([2]User!$L$2="NO",[2]Prod!W39="SI"),0,1)</f>
        <v>1</v>
      </c>
      <c r="P39" s="57">
        <f>IF(AND([2]User!$M$2&gt;0,[2]Prod!Q39="NO"),0,1)</f>
        <v>1</v>
      </c>
      <c r="Q39" s="57">
        <f>IF(AND(N39="VIVIENDA",[2]User!$N$2&lt;[2]User!$H$2*0.3),0,1)</f>
        <v>1</v>
      </c>
      <c r="R39" s="57">
        <f>IF(HLOOKUP([2]User!$O$2,[2]Prod!$AU$2:$BP$42,ROW(A39)-1,0)&lt;1000000,1,0)</f>
        <v>1</v>
      </c>
      <c r="S39" s="57">
        <f>IF(HLOOKUP([2]User!$P$2,[2]Prod!$AU$2:$BP$42,ROW(B39)-1,0)&lt;1000000,1,0)</f>
        <v>1</v>
      </c>
      <c r="T39" s="57">
        <f>IF(HLOOKUP([2]User!$Q$2,[2]Prod!$AU$2:$BP$42,ROW(C39)-1,0)&lt;1000000,1,0)</f>
        <v>1</v>
      </c>
    </row>
    <row r="40" spans="1:20" x14ac:dyDescent="0.25">
      <c r="A40" s="17" t="s">
        <v>536</v>
      </c>
      <c r="B40" s="212" t="str">
        <f t="shared" si="1"/>
        <v>RECHAZADO</v>
      </c>
      <c r="C40" s="211"/>
      <c r="D40" s="211">
        <f>IF(IF(AND([2]Prod!C40="Si",[2]User!$C$2="Si"),[2]User!$D$2,[2]User!$B$2)&gt;[2]Prod!D40,1,0)</f>
        <v>1</v>
      </c>
      <c r="E40" s="211">
        <f>IF(IF(AND([2]Prod!D40="Si",[2]User!$C$2="Si"),[2]User!$D$2,[2]User!$B$2)&lt;[2]Prod!E40,1,0)</f>
        <v>1</v>
      </c>
      <c r="F40" s="211">
        <f>IF(AND([2]Prod!F40&lt;&gt;"Ambos",[2]Prod!F40&lt;&gt;[2]User!$E$2),0,1)</f>
        <v>1</v>
      </c>
      <c r="G40" s="57">
        <f>IF([2]User!$F$2&gt;[2]Prod!G40,1,0)</f>
        <v>1</v>
      </c>
      <c r="H40" s="57">
        <f>IF([2]User!$F$2&lt;[2]Prod!H40,1,0)</f>
        <v>1</v>
      </c>
      <c r="I40" s="57">
        <f>IF(AND([2]User!$G$2=1,[2]Prod!I40="SI"),1,IF(AND([2]User!$G$2=2,[2]Prod!J40="SI"),1,IF(AND([2]User!$G$2=3,[2]Prod!K40="SI"),1,0)))</f>
        <v>1</v>
      </c>
      <c r="J40" s="57">
        <f>IF([2]User!$H$2&gt;[2]Prod!L40,1,0)</f>
        <v>1</v>
      </c>
      <c r="K40" s="57">
        <f>IF([2]User!$H$2&lt;[2]Prod!M40,1,0)</f>
        <v>0</v>
      </c>
      <c r="L40" s="57">
        <f>IF([2]User!$I$2&gt;[2]Prod!N40,1,0)</f>
        <v>1</v>
      </c>
      <c r="M40" s="57">
        <f>IF([2]User!$J$2&lt;[2]Prod!O40,1,0)</f>
        <v>0</v>
      </c>
      <c r="N40" s="57"/>
      <c r="O40" s="57">
        <f>IF(AND([2]User!$L$2="NO",[2]Prod!W40="SI"),0,1)</f>
        <v>1</v>
      </c>
      <c r="P40" s="57">
        <f>IF(AND([2]User!$M$2&gt;0,[2]Prod!Q40="NO"),0,1)</f>
        <v>1</v>
      </c>
      <c r="Q40" s="57">
        <f>IF(AND(N40="VIVIENDA",[2]User!$N$2&lt;[2]User!$H$2*0.3),0,1)</f>
        <v>1</v>
      </c>
      <c r="R40" s="57">
        <f>IF(HLOOKUP([2]User!$O$2,[2]Prod!$AU$2:$BP$42,ROW(A40)-1,0)&lt;1000000,1,0)</f>
        <v>1</v>
      </c>
      <c r="S40" s="57">
        <f>IF(HLOOKUP([2]User!$P$2,[2]Prod!$AU$2:$BP$42,ROW(B40)-1,0)&lt;1000000,1,0)</f>
        <v>1</v>
      </c>
      <c r="T40" s="57">
        <f>IF(HLOOKUP([2]User!$Q$2,[2]Prod!$AU$2:$BP$42,ROW(C40)-1,0)&lt;1000000,1,0)</f>
        <v>1</v>
      </c>
    </row>
    <row r="41" spans="1:20" x14ac:dyDescent="0.25">
      <c r="A41" s="17" t="s">
        <v>535</v>
      </c>
      <c r="B41" s="212" t="str">
        <f t="shared" si="1"/>
        <v>RECHAZADO</v>
      </c>
      <c r="C41" s="211"/>
      <c r="D41" s="211">
        <f>IF(IF(AND([2]Prod!C41="Si",[2]User!$C$2="Si"),[2]User!$D$2,[2]User!$B$2)&gt;[2]Prod!D41,1,0)</f>
        <v>1</v>
      </c>
      <c r="E41" s="211">
        <f>IF(IF(AND([2]Prod!D41="Si",[2]User!$C$2="Si"),[2]User!$D$2,[2]User!$B$2)&lt;[2]Prod!E41,1,0)</f>
        <v>1</v>
      </c>
      <c r="F41" s="211">
        <f>IF(AND([2]Prod!F41&lt;&gt;"Ambos",[2]Prod!F41&lt;&gt;[2]User!$E$2),0,1)</f>
        <v>1</v>
      </c>
      <c r="G41" s="57">
        <f>IF([2]User!$F$2&gt;[2]Prod!G41,1,0)</f>
        <v>1</v>
      </c>
      <c r="H41" s="57">
        <f>IF([2]User!$F$2&lt;[2]Prod!H41,1,0)</f>
        <v>1</v>
      </c>
      <c r="I41" s="57">
        <f>IF(AND([2]User!$G$2=1,[2]Prod!I41="SI"),1,IF(AND([2]User!$G$2=2,[2]Prod!J41="SI"),1,IF(AND([2]User!$G$2=3,[2]Prod!K41="SI"),1,0)))</f>
        <v>1</v>
      </c>
      <c r="J41" s="57">
        <f>IF([2]User!$H$2&gt;[2]Prod!L41,1,0)</f>
        <v>1</v>
      </c>
      <c r="K41" s="57">
        <f>IF([2]User!$H$2&lt;[2]Prod!M41,1,0)</f>
        <v>0</v>
      </c>
      <c r="L41" s="57">
        <f>IF([2]User!$I$2&gt;[2]Prod!N41,1,0)</f>
        <v>1</v>
      </c>
      <c r="M41" s="57">
        <f>IF([2]User!$J$2&lt;[2]Prod!O41,1,0)</f>
        <v>0</v>
      </c>
      <c r="N41" s="57"/>
      <c r="O41" s="57">
        <f>IF(AND([2]User!$L$2="NO",[2]Prod!W41="SI"),0,1)</f>
        <v>1</v>
      </c>
      <c r="P41" s="57">
        <f>IF(AND([2]User!$M$2&gt;0,[2]Prod!Q41="NO"),0,1)</f>
        <v>1</v>
      </c>
      <c r="Q41" s="57">
        <f>IF(AND(N41="VIVIENDA",[2]User!$N$2&lt;[2]User!$H$2*0.3),0,1)</f>
        <v>1</v>
      </c>
      <c r="R41" s="57">
        <f>IF(HLOOKUP([2]User!$O$2,[2]Prod!$AU$2:$BP$42,ROW(A41)-1,0)&lt;1000000,1,0)</f>
        <v>1</v>
      </c>
      <c r="S41" s="57">
        <f>IF(HLOOKUP([2]User!$P$2,[2]Prod!$AU$2:$BP$42,ROW(B41)-1,0)&lt;1000000,1,0)</f>
        <v>1</v>
      </c>
      <c r="T41" s="57">
        <f>IF(HLOOKUP([2]User!$Q$2,[2]Prod!$AU$2:$BP$42,ROW(C41)-1,0)&lt;1000000,1,0)</f>
        <v>1</v>
      </c>
    </row>
    <row r="42" spans="1:20" x14ac:dyDescent="0.25">
      <c r="A42" s="17" t="s">
        <v>534</v>
      </c>
      <c r="B42" s="212" t="str">
        <f t="shared" si="1"/>
        <v>RECHAZADO</v>
      </c>
      <c r="C42" s="211"/>
      <c r="D42" s="211">
        <f>IF(IF(AND([2]Prod!C42="Si",[2]User!$C$2="Si"),[2]User!$D$2,[2]User!$B$2)&gt;[2]Prod!D42,1,0)</f>
        <v>1</v>
      </c>
      <c r="E42" s="211">
        <f>IF(IF(AND([2]Prod!D42="Si",[2]User!$C$2="Si"),[2]User!$D$2,[2]User!$B$2)&lt;[2]Prod!E42,1,0)</f>
        <v>1</v>
      </c>
      <c r="F42" s="211">
        <f>IF(AND([2]Prod!F42&lt;&gt;"Ambos",[2]Prod!F42&lt;&gt;[2]User!$E$2),0,1)</f>
        <v>1</v>
      </c>
      <c r="G42" s="57">
        <f>IF([2]User!$F$2&gt;[2]Prod!G42,1,0)</f>
        <v>1</v>
      </c>
      <c r="H42" s="57">
        <f>IF([2]User!$F$2&lt;[2]Prod!H42,1,0)</f>
        <v>1</v>
      </c>
      <c r="I42" s="57">
        <f>IF(AND([2]User!$G$2=1,[2]Prod!I42="SI"),1,IF(AND([2]User!$G$2=2,[2]Prod!J42="SI"),1,IF(AND([2]User!$G$2=3,[2]Prod!K42="SI"),1,0)))</f>
        <v>0</v>
      </c>
      <c r="J42" s="57">
        <f>IF([2]User!$H$2&gt;[2]Prod!L42,1,0)</f>
        <v>1</v>
      </c>
      <c r="K42" s="57">
        <f>IF([2]User!$H$2&lt;[2]Prod!M42,1,0)</f>
        <v>0</v>
      </c>
      <c r="L42" s="57">
        <f>IF([2]User!$I$2&gt;[2]Prod!N42,1,0)</f>
        <v>1</v>
      </c>
      <c r="M42" s="57">
        <f>IF([2]User!$J$2&lt;[2]Prod!O42,1,0)</f>
        <v>0</v>
      </c>
      <c r="N42" s="57"/>
      <c r="O42" s="57">
        <f>IF(AND([2]User!$L$2="NO",[2]Prod!W42="SI"),0,1)</f>
        <v>1</v>
      </c>
      <c r="P42" s="57">
        <f>IF(AND([2]User!$M$2&gt;0,[2]Prod!Q42="NO"),0,1)</f>
        <v>1</v>
      </c>
      <c r="Q42" s="57">
        <f>IF(AND(N42="VIVIENDA",[2]User!$N$2&lt;[2]User!$H$2*0.3),0,1)</f>
        <v>1</v>
      </c>
      <c r="R42" s="57">
        <f>IF(HLOOKUP([2]User!$O$2,[2]Prod!$AU$2:$BP$42,ROW(A42)-1,0)&lt;1000000,1,0)</f>
        <v>1</v>
      </c>
      <c r="S42" s="57">
        <f>IF(HLOOKUP([2]User!$P$2,[2]Prod!$AU$2:$BP$42,ROW(B42)-1,0)&lt;1000000,1,0)</f>
        <v>1</v>
      </c>
      <c r="T42" s="57">
        <f>IF(HLOOKUP([2]User!$Q$2,[2]Prod!$AU$2:$BP$42,ROW(C42)-1,0)&lt;1000000,1,0)</f>
        <v>1</v>
      </c>
    </row>
    <row r="43" spans="1:20" x14ac:dyDescent="0.25">
      <c r="A43" s="17" t="s">
        <v>78</v>
      </c>
      <c r="B43" s="212" t="e">
        <f t="shared" si="1"/>
        <v>#REF!</v>
      </c>
      <c r="C43" s="211"/>
      <c r="D43" s="211">
        <f>IF(IF(AND([2]Prod!C43="Si",[2]User!$C$2="Si"),[2]User!$D$2,[2]User!$B$2)&gt;[2]Prod!D43,1,0)</f>
        <v>1</v>
      </c>
      <c r="E43" s="211">
        <f>IF(IF(AND([2]Prod!D43="Si",[2]User!$C$2="Si"),[2]User!$D$2,[2]User!$B$2)&lt;[2]Prod!E43,1,0)</f>
        <v>0</v>
      </c>
      <c r="F43" s="211">
        <f>IF(AND([2]Prod!F43&lt;&gt;"Ambos",[2]Prod!F43&lt;&gt;[2]User!$E$2),0,1)</f>
        <v>0</v>
      </c>
      <c r="G43" s="57">
        <f>IF([2]User!$F$2&gt;[2]Prod!G43,1,0)</f>
        <v>1</v>
      </c>
      <c r="H43" s="57">
        <f>IF([2]User!$F$2&lt;[2]Prod!H43,1,0)</f>
        <v>0</v>
      </c>
      <c r="I43" s="57">
        <f>IF(AND([2]User!$G$2=1,[2]Prod!I43="SI"),1,IF(AND([2]User!$G$2=2,[2]Prod!J43="SI"),1,IF(AND([2]User!$G$2=3,[2]Prod!K43="SI"),1,0)))</f>
        <v>0</v>
      </c>
      <c r="J43" s="57">
        <f>IF([2]User!$H$2&gt;[2]Prod!L43,1,0)</f>
        <v>1</v>
      </c>
      <c r="K43" s="57">
        <f>IF([2]User!$H$2&lt;[2]Prod!M43,1,0)</f>
        <v>0</v>
      </c>
      <c r="L43" s="57">
        <f>IF([2]User!$I$2&gt;[2]Prod!N43,1,0)</f>
        <v>1</v>
      </c>
      <c r="M43" s="57">
        <f>IF([2]User!$J$2&lt;[2]Prod!O43,1,0)</f>
        <v>0</v>
      </c>
      <c r="N43" s="57"/>
      <c r="O43" s="57">
        <f>IF(AND([2]User!$L$2="NO",[2]Prod!W43="SI"),0,1)</f>
        <v>1</v>
      </c>
      <c r="P43" s="57">
        <f>IF(AND([2]User!$M$2&gt;0,[2]Prod!Q43="NO"),0,1)</f>
        <v>1</v>
      </c>
      <c r="Q43" s="57">
        <f>IF(AND(N43="VIVIENDA",[2]User!$N$2&lt;[2]User!$H$2*0.3),0,1)</f>
        <v>1</v>
      </c>
      <c r="R43" s="57" t="e">
        <f>IF(HLOOKUP([2]User!$O$2,[2]Prod!$AU$2:$BP$42,ROW(A43)-1,0)&lt;1000000,1,0)</f>
        <v>#REF!</v>
      </c>
      <c r="S43" s="57" t="e">
        <f>IF(HLOOKUP([2]User!$P$2,[2]Prod!$AU$2:$BP$42,ROW(B43)-1,0)&lt;1000000,1,0)</f>
        <v>#REF!</v>
      </c>
      <c r="T43" s="57" t="e">
        <f>IF(HLOOKUP([2]User!$Q$2,[2]Prod!$AU$2:$BP$42,ROW(C43)-1,0)&lt;1000000,1,0)</f>
        <v>#REF!</v>
      </c>
    </row>
    <row r="44" spans="1:20" x14ac:dyDescent="0.25">
      <c r="B44" s="212" t="e">
        <f t="shared" si="1"/>
        <v>#REF!</v>
      </c>
      <c r="C44" s="211"/>
      <c r="D44" s="211">
        <f>IF(IF(AND([2]Prod!C44="Si",[2]User!$C$2="Si"),[2]User!$D$2,[2]User!$B$2)&gt;[2]Prod!D44,1,0)</f>
        <v>1</v>
      </c>
      <c r="E44" s="211">
        <f>IF(IF(AND([2]Prod!D44="Si",[2]User!$C$2="Si"),[2]User!$D$2,[2]User!$B$2)&lt;[2]Prod!E44,1,0)</f>
        <v>0</v>
      </c>
      <c r="F44" s="211">
        <f>IF(AND([2]Prod!F44&lt;&gt;"Ambos",[2]Prod!F44&lt;&gt;[2]User!$E$2),0,1)</f>
        <v>0</v>
      </c>
      <c r="G44" s="57">
        <f>IF([2]User!$F$2&gt;[2]Prod!G44,1,0)</f>
        <v>1</v>
      </c>
      <c r="H44" s="57">
        <f>IF([2]User!$F$2&lt;[2]Prod!H44,1,0)</f>
        <v>0</v>
      </c>
      <c r="I44" s="57">
        <f>IF(AND([2]User!$G$2=1,[2]Prod!I44="SI"),1,IF(AND([2]User!$G$2=2,[2]Prod!J44="SI"),1,IF(AND([2]User!$G$2=3,[2]Prod!K44="SI"),1,0)))</f>
        <v>0</v>
      </c>
      <c r="J44" s="57">
        <f>IF([2]User!$H$2&gt;[2]Prod!L44,1,0)</f>
        <v>1</v>
      </c>
      <c r="K44" s="57">
        <f>IF([2]User!$H$2&lt;[2]Prod!M44,1,0)</f>
        <v>0</v>
      </c>
      <c r="L44" s="57">
        <f>IF([2]User!$I$2&gt;[2]Prod!N44,1,0)</f>
        <v>1</v>
      </c>
      <c r="M44" s="57">
        <f>IF([2]User!$J$2&lt;[2]Prod!O44,1,0)</f>
        <v>0</v>
      </c>
      <c r="N44" s="57"/>
      <c r="O44" s="57">
        <f>IF(AND([2]User!$L$2="NO",[2]Prod!W44="SI"),0,1)</f>
        <v>1</v>
      </c>
      <c r="P44" s="57">
        <f>IF(AND([2]User!$M$2&gt;0,[2]Prod!Q44="NO"),0,1)</f>
        <v>1</v>
      </c>
      <c r="Q44" s="57">
        <f>IF(AND(N44="VIVIENDA",[2]User!$N$2&lt;[2]User!$H$2*0.3),0,1)</f>
        <v>1</v>
      </c>
      <c r="R44" s="57" t="e">
        <f>IF(HLOOKUP([2]User!$O$2,[2]Prod!$AU$2:$BP$42,ROW(A44)-1,0)&lt;1000000,1,0)</f>
        <v>#REF!</v>
      </c>
      <c r="S44" s="57" t="e">
        <f>IF(HLOOKUP([2]User!$P$2,[2]Prod!$AU$2:$BP$42,ROW(B44)-1,0)&lt;1000000,1,0)</f>
        <v>#REF!</v>
      </c>
      <c r="T44" s="57" t="e">
        <f>IF(HLOOKUP([2]User!$Q$2,[2]Prod!$AU$2:$BP$42,ROW(C44)-1,0)&lt;1000000,1,0)</f>
        <v>#REF!</v>
      </c>
    </row>
    <row r="45" spans="1:20" x14ac:dyDescent="0.25">
      <c r="B45" s="212" t="e">
        <f t="shared" si="1"/>
        <v>#REF!</v>
      </c>
      <c r="C45" s="211"/>
      <c r="D45" s="211">
        <f>IF(IF(AND([2]Prod!C45="Si",[2]User!$C$2="Si"),[2]User!$D$2,[2]User!$B$2)&gt;[2]Prod!D45,1,0)</f>
        <v>1</v>
      </c>
      <c r="E45" s="211">
        <f>IF(IF(AND([2]Prod!D45="Si",[2]User!$C$2="Si"),[2]User!$D$2,[2]User!$B$2)&lt;[2]Prod!E45,1,0)</f>
        <v>0</v>
      </c>
      <c r="F45" s="211">
        <f>IF(AND([2]Prod!F45&lt;&gt;"Ambos",[2]Prod!F45&lt;&gt;[2]User!$E$2),0,1)</f>
        <v>0</v>
      </c>
      <c r="G45" s="57">
        <f>IF([2]User!$F$2&gt;[2]Prod!G45,1,0)</f>
        <v>1</v>
      </c>
      <c r="H45" s="57">
        <f>IF([2]User!$F$2&lt;[2]Prod!H45,1,0)</f>
        <v>0</v>
      </c>
      <c r="I45" s="57">
        <f>IF(AND([2]User!$G$2=1,[2]Prod!I45="SI"),1,IF(AND([2]User!$G$2=2,[2]Prod!J45="SI"),1,IF(AND([2]User!$G$2=3,[2]Prod!K45="SI"),1,0)))</f>
        <v>0</v>
      </c>
      <c r="J45" s="57">
        <f>IF([2]User!$H$2&gt;[2]Prod!L45,1,0)</f>
        <v>1</v>
      </c>
      <c r="K45" s="57">
        <f>IF([2]User!$H$2&lt;[2]Prod!M45,1,0)</f>
        <v>0</v>
      </c>
      <c r="L45" s="57">
        <f>IF([2]User!$I$2&gt;[2]Prod!N45,1,0)</f>
        <v>1</v>
      </c>
      <c r="M45" s="57">
        <f>IF([2]User!$J$2&lt;[2]Prod!O45,1,0)</f>
        <v>0</v>
      </c>
      <c r="N45" s="57"/>
      <c r="O45" s="57">
        <f>IF(AND([2]User!$L$2="NO",[2]Prod!W45="SI"),0,1)</f>
        <v>1</v>
      </c>
      <c r="P45" s="57">
        <f>IF(AND([2]User!$M$2&gt;0,[2]Prod!Q45="NO"),0,1)</f>
        <v>1</v>
      </c>
      <c r="Q45" s="57">
        <f>IF(AND(N45="VIVIENDA",[2]User!$N$2&lt;[2]User!$H$2*0.3),0,1)</f>
        <v>1</v>
      </c>
      <c r="R45" s="57" t="e">
        <f>IF(HLOOKUP([2]User!$O$2,[2]Prod!$AU$2:$BP$42,ROW(A45)-1,0)&lt;1000000,1,0)</f>
        <v>#REF!</v>
      </c>
      <c r="S45" s="57" t="e">
        <f>IF(HLOOKUP([2]User!$P$2,[2]Prod!$AU$2:$BP$42,ROW(B45)-1,0)&lt;1000000,1,0)</f>
        <v>#REF!</v>
      </c>
      <c r="T45" s="57" t="e">
        <f>IF(HLOOKUP([2]User!$Q$2,[2]Prod!$AU$2:$BP$42,ROW(C45)-1,0)&lt;1000000,1,0)</f>
        <v>#REF!</v>
      </c>
    </row>
    <row r="46" spans="1:20" x14ac:dyDescent="0.25">
      <c r="B46" s="212" t="e">
        <f t="shared" si="1"/>
        <v>#REF!</v>
      </c>
      <c r="C46" s="211"/>
      <c r="D46" s="211">
        <f>IF(IF(AND([2]Prod!C46="Si",[2]User!$C$2="Si"),[2]User!$D$2,[2]User!$B$2)&gt;[2]Prod!D46,1,0)</f>
        <v>1</v>
      </c>
      <c r="E46" s="211">
        <f>IF(IF(AND([2]Prod!D46="Si",[2]User!$C$2="Si"),[2]User!$D$2,[2]User!$B$2)&lt;[2]Prod!E46,1,0)</f>
        <v>0</v>
      </c>
      <c r="F46" s="211">
        <f>IF(AND([2]Prod!F46&lt;&gt;"Ambos",[2]Prod!F46&lt;&gt;[2]User!$E$2),0,1)</f>
        <v>0</v>
      </c>
      <c r="G46" s="57">
        <f>IF([2]User!$F$2&gt;[2]Prod!G46,1,0)</f>
        <v>1</v>
      </c>
      <c r="H46" s="57">
        <f>IF([2]User!$F$2&lt;[2]Prod!H46,1,0)</f>
        <v>0</v>
      </c>
      <c r="I46" s="57">
        <f>IF(AND([2]User!$G$2=1,[2]Prod!I46="SI"),1,IF(AND([2]User!$G$2=2,[2]Prod!J46="SI"),1,IF(AND([2]User!$G$2=3,[2]Prod!K46="SI"),1,0)))</f>
        <v>0</v>
      </c>
      <c r="J46" s="57">
        <f>IF([2]User!$H$2&gt;[2]Prod!L46,1,0)</f>
        <v>1</v>
      </c>
      <c r="K46" s="57">
        <f>IF([2]User!$H$2&lt;[2]Prod!M46,1,0)</f>
        <v>0</v>
      </c>
      <c r="L46" s="57">
        <f>IF([2]User!$I$2&gt;[2]Prod!N46,1,0)</f>
        <v>1</v>
      </c>
      <c r="M46" s="57">
        <f>IF([2]User!$J$2&lt;[2]Prod!O46,1,0)</f>
        <v>0</v>
      </c>
      <c r="N46" s="57"/>
      <c r="O46" s="57">
        <f>IF(AND([2]User!$L$2="NO",[2]Prod!W46="SI"),0,1)</f>
        <v>1</v>
      </c>
      <c r="P46" s="57">
        <f>IF(AND([2]User!$M$2&gt;0,[2]Prod!Q46="NO"),0,1)</f>
        <v>1</v>
      </c>
      <c r="Q46" s="57">
        <f>IF(AND(N46="VIVIENDA",[2]User!$N$2&lt;[2]User!$H$2*0.3),0,1)</f>
        <v>1</v>
      </c>
      <c r="R46" s="57" t="e">
        <f>IF(HLOOKUP([2]User!$O$2,[2]Prod!$AU$2:$BP$42,ROW(A46)-1,0)&lt;1000000,1,0)</f>
        <v>#REF!</v>
      </c>
      <c r="S46" s="57" t="e">
        <f>IF(HLOOKUP([2]User!$P$2,[2]Prod!$AU$2:$BP$42,ROW(B46)-1,0)&lt;1000000,1,0)</f>
        <v>#REF!</v>
      </c>
      <c r="T46" s="57" t="e">
        <f>IF(HLOOKUP([2]User!$Q$2,[2]Prod!$AU$2:$BP$42,ROW(C46)-1,0)&lt;1000000,1,0)</f>
        <v>#REF!</v>
      </c>
    </row>
    <row r="47" spans="1:20" x14ac:dyDescent="0.25">
      <c r="B47" s="212" t="e">
        <f t="shared" si="1"/>
        <v>#REF!</v>
      </c>
      <c r="C47" s="211"/>
      <c r="D47" s="211">
        <f>IF(IF(AND([2]Prod!C47="Si",[2]User!$C$2="Si"),[2]User!$D$2,[2]User!$B$2)&gt;[2]Prod!D47,1,0)</f>
        <v>1</v>
      </c>
      <c r="E47" s="211">
        <f>IF(IF(AND([2]Prod!D47="Si",[2]User!$C$2="Si"),[2]User!$D$2,[2]User!$B$2)&lt;[2]Prod!E47,1,0)</f>
        <v>0</v>
      </c>
      <c r="F47" s="211">
        <f>IF(AND([2]Prod!F47&lt;&gt;"Ambos",[2]Prod!F47&lt;&gt;[2]User!$E$2),0,1)</f>
        <v>0</v>
      </c>
      <c r="G47" s="57">
        <f>IF([2]User!$F$2&gt;[2]Prod!G47,1,0)</f>
        <v>1</v>
      </c>
      <c r="H47" s="57">
        <f>IF([2]User!$F$2&lt;[2]Prod!H47,1,0)</f>
        <v>0</v>
      </c>
      <c r="I47" s="57">
        <f>IF(AND([2]User!$G$2=1,[2]Prod!I47="SI"),1,IF(AND([2]User!$G$2=2,[2]Prod!J47="SI"),1,IF(AND([2]User!$G$2=3,[2]Prod!K47="SI"),1,0)))</f>
        <v>0</v>
      </c>
      <c r="J47" s="57">
        <f>IF([2]User!$H$2&gt;[2]Prod!L47,1,0)</f>
        <v>1</v>
      </c>
      <c r="K47" s="57">
        <f>IF([2]User!$H$2&lt;[2]Prod!M47,1,0)</f>
        <v>0</v>
      </c>
      <c r="L47" s="57">
        <f>IF([2]User!$I$2&gt;[2]Prod!N47,1,0)</f>
        <v>1</v>
      </c>
      <c r="M47" s="57">
        <f>IF([2]User!$J$2&lt;[2]Prod!O47,1,0)</f>
        <v>0</v>
      </c>
      <c r="N47" s="57"/>
      <c r="O47" s="57">
        <f>IF(AND([2]User!$L$2="NO",[2]Prod!W47="SI"),0,1)</f>
        <v>1</v>
      </c>
      <c r="P47" s="57">
        <f>IF(AND([2]User!$M$2&gt;0,[2]Prod!Q47="NO"),0,1)</f>
        <v>1</v>
      </c>
      <c r="Q47" s="57">
        <f>IF(AND(N47="VIVIENDA",[2]User!$N$2&lt;[2]User!$H$2*0.3),0,1)</f>
        <v>1</v>
      </c>
      <c r="R47" s="57" t="e">
        <f>IF(HLOOKUP([2]User!$O$2,[2]Prod!$AU$2:$BP$42,ROW(A47)-1,0)&lt;1000000,1,0)</f>
        <v>#REF!</v>
      </c>
      <c r="S47" s="57" t="e">
        <f>IF(HLOOKUP([2]User!$P$2,[2]Prod!$AU$2:$BP$42,ROW(B47)-1,0)&lt;1000000,1,0)</f>
        <v>#REF!</v>
      </c>
      <c r="T47" s="57" t="e">
        <f>IF(HLOOKUP([2]User!$Q$2,[2]Prod!$AU$2:$BP$42,ROW(C47)-1,0)&lt;1000000,1,0)</f>
        <v>#REF!</v>
      </c>
    </row>
    <row r="48" spans="1:20" x14ac:dyDescent="0.25">
      <c r="B48" s="212" t="e">
        <f t="shared" si="1"/>
        <v>#REF!</v>
      </c>
      <c r="C48" s="211"/>
      <c r="D48" s="211">
        <f>IF(IF(AND([2]Prod!C48="Si",[2]User!$C$2="Si"),[2]User!$D$2,[2]User!$B$2)&gt;[2]Prod!D48,1,0)</f>
        <v>1</v>
      </c>
      <c r="E48" s="211">
        <f>IF(IF(AND([2]Prod!D48="Si",[2]User!$C$2="Si"),[2]User!$D$2,[2]User!$B$2)&lt;[2]Prod!E48,1,0)</f>
        <v>0</v>
      </c>
      <c r="F48" s="211">
        <f>IF(AND([2]Prod!F48&lt;&gt;"Ambos",[2]Prod!F48&lt;&gt;[2]User!$E$2),0,1)</f>
        <v>0</v>
      </c>
      <c r="G48" s="57">
        <f>IF([2]User!$F$2&gt;[2]Prod!G48,1,0)</f>
        <v>1</v>
      </c>
      <c r="H48" s="57">
        <f>IF([2]User!$F$2&lt;[2]Prod!H48,1,0)</f>
        <v>0</v>
      </c>
      <c r="I48" s="57">
        <f>IF(AND([2]User!$G$2=1,[2]Prod!I48="SI"),1,IF(AND([2]User!$G$2=2,[2]Prod!J48="SI"),1,IF(AND([2]User!$G$2=3,[2]Prod!K48="SI"),1,0)))</f>
        <v>0</v>
      </c>
      <c r="J48" s="57">
        <f>IF([2]User!$H$2&gt;[2]Prod!L48,1,0)</f>
        <v>1</v>
      </c>
      <c r="K48" s="57">
        <f>IF([2]User!$H$2&lt;[2]Prod!M48,1,0)</f>
        <v>0</v>
      </c>
      <c r="L48" s="57">
        <f>IF([2]User!$I$2&gt;[2]Prod!N48,1,0)</f>
        <v>1</v>
      </c>
      <c r="M48" s="57">
        <f>IF([2]User!$J$2&lt;[2]Prod!O48,1,0)</f>
        <v>0</v>
      </c>
      <c r="N48" s="57"/>
      <c r="O48" s="57">
        <f>IF(AND([2]User!$L$2="NO",[2]Prod!W48="SI"),0,1)</f>
        <v>1</v>
      </c>
      <c r="P48" s="57">
        <f>IF(AND([2]User!$M$2&gt;0,[2]Prod!Q48="NO"),0,1)</f>
        <v>1</v>
      </c>
      <c r="Q48" s="57">
        <f>IF(AND(N48="VIVIENDA",[2]User!$N$2&lt;[2]User!$H$2*0.3),0,1)</f>
        <v>1</v>
      </c>
      <c r="R48" s="57" t="e">
        <f>IF(HLOOKUP([2]User!$O$2,[2]Prod!$AU$2:$BP$42,ROW(A48)-1,0)&lt;1000000,1,0)</f>
        <v>#REF!</v>
      </c>
      <c r="S48" s="57" t="e">
        <f>IF(HLOOKUP([2]User!$P$2,[2]Prod!$AU$2:$BP$42,ROW(B48)-1,0)&lt;1000000,1,0)</f>
        <v>#REF!</v>
      </c>
      <c r="T48" s="57" t="e">
        <f>IF(HLOOKUP([2]User!$Q$2,[2]Prod!$AU$2:$BP$42,ROW(C48)-1,0)&lt;1000000,1,0)</f>
        <v>#REF!</v>
      </c>
    </row>
    <row r="49" spans="2:20" x14ac:dyDescent="0.25">
      <c r="B49" s="212" t="e">
        <f t="shared" si="1"/>
        <v>#REF!</v>
      </c>
      <c r="C49" s="211"/>
      <c r="D49" s="211">
        <f>IF(IF(AND([2]Prod!C49="Si",[2]User!$C$2="Si"),[2]User!$D$2,[2]User!$B$2)&gt;[2]Prod!D49,1,0)</f>
        <v>1</v>
      </c>
      <c r="E49" s="211">
        <f>IF(IF(AND([2]Prod!D49="Si",[2]User!$C$2="Si"),[2]User!$D$2,[2]User!$B$2)&lt;[2]Prod!E49,1,0)</f>
        <v>0</v>
      </c>
      <c r="F49" s="211">
        <f>IF(AND([2]Prod!F49&lt;&gt;"Ambos",[2]Prod!F49&lt;&gt;[2]User!$E$2),0,1)</f>
        <v>0</v>
      </c>
      <c r="G49" s="57">
        <f>IF([2]User!$F$2&gt;[2]Prod!G49,1,0)</f>
        <v>1</v>
      </c>
      <c r="H49" s="57">
        <f>IF([2]User!$F$2&lt;[2]Prod!H49,1,0)</f>
        <v>0</v>
      </c>
      <c r="I49" s="57">
        <f>IF(AND([2]User!$G$2=1,[2]Prod!I49="SI"),1,IF(AND([2]User!$G$2=2,[2]Prod!J49="SI"),1,IF(AND([2]User!$G$2=3,[2]Prod!K49="SI"),1,0)))</f>
        <v>0</v>
      </c>
      <c r="J49" s="57">
        <f>IF([2]User!$H$2&gt;[2]Prod!L49,1,0)</f>
        <v>1</v>
      </c>
      <c r="K49" s="57">
        <f>IF([2]User!$H$2&lt;[2]Prod!M49,1,0)</f>
        <v>0</v>
      </c>
      <c r="L49" s="57">
        <f>IF([2]User!$I$2&gt;[2]Prod!N49,1,0)</f>
        <v>1</v>
      </c>
      <c r="M49" s="57">
        <f>IF([2]User!$J$2&lt;[2]Prod!O49,1,0)</f>
        <v>0</v>
      </c>
      <c r="N49" s="57"/>
      <c r="O49" s="57">
        <f>IF(AND([2]User!$L$2="NO",[2]Prod!W49="SI"),0,1)</f>
        <v>1</v>
      </c>
      <c r="P49" s="57">
        <f>IF(AND([2]User!$M$2&gt;0,[2]Prod!Q49="NO"),0,1)</f>
        <v>1</v>
      </c>
      <c r="Q49" s="57">
        <f>IF(AND(N49="VIVIENDA",[2]User!$N$2&lt;[2]User!$H$2*0.3),0,1)</f>
        <v>1</v>
      </c>
      <c r="R49" s="57" t="e">
        <f>IF(HLOOKUP([2]User!$O$2,[2]Prod!$AU$2:$BP$42,ROW(A49)-1,0)&lt;1000000,1,0)</f>
        <v>#REF!</v>
      </c>
      <c r="S49" s="57" t="e">
        <f>IF(HLOOKUP([2]User!$P$2,[2]Prod!$AU$2:$BP$42,ROW(B49)-1,0)&lt;1000000,1,0)</f>
        <v>#REF!</v>
      </c>
      <c r="T49" s="57" t="e">
        <f>IF(HLOOKUP([2]User!$Q$2,[2]Prod!$AU$2:$BP$42,ROW(C49)-1,0)&lt;1000000,1,0)</f>
        <v>#REF!</v>
      </c>
    </row>
    <row r="50" spans="2:20" x14ac:dyDescent="0.25">
      <c r="B50" s="212" t="e">
        <f t="shared" si="1"/>
        <v>#REF!</v>
      </c>
      <c r="C50" s="211"/>
      <c r="D50" s="211">
        <f>IF(IF(AND([2]Prod!C50="Si",[2]User!$C$2="Si"),[2]User!$D$2,[2]User!$B$2)&gt;[2]Prod!D50,1,0)</f>
        <v>1</v>
      </c>
      <c r="E50" s="211">
        <f>IF(IF(AND([2]Prod!D50="Si",[2]User!$C$2="Si"),[2]User!$D$2,[2]User!$B$2)&lt;[2]Prod!E50,1,0)</f>
        <v>0</v>
      </c>
      <c r="F50" s="211">
        <f>IF(AND([2]Prod!F50&lt;&gt;"Ambos",[2]Prod!F50&lt;&gt;[2]User!$E$2),0,1)</f>
        <v>0</v>
      </c>
      <c r="G50" s="57">
        <f>IF([2]User!$F$2&gt;[2]Prod!G50,1,0)</f>
        <v>1</v>
      </c>
      <c r="H50" s="57">
        <f>IF([2]User!$F$2&lt;[2]Prod!H50,1,0)</f>
        <v>0</v>
      </c>
      <c r="I50" s="57">
        <f>IF(AND([2]User!$G$2=1,[2]Prod!I50="SI"),1,IF(AND([2]User!$G$2=2,[2]Prod!J50="SI"),1,IF(AND([2]User!$G$2=3,[2]Prod!K50="SI"),1,0)))</f>
        <v>0</v>
      </c>
      <c r="J50" s="57">
        <f>IF([2]User!$H$2&gt;[2]Prod!L50,1,0)</f>
        <v>1</v>
      </c>
      <c r="K50" s="57">
        <f>IF([2]User!$H$2&lt;[2]Prod!M50,1,0)</f>
        <v>0</v>
      </c>
      <c r="L50" s="57">
        <f>IF([2]User!$I$2&gt;[2]Prod!N50,1,0)</f>
        <v>1</v>
      </c>
      <c r="M50" s="57">
        <f>IF([2]User!$J$2&lt;[2]Prod!O50,1,0)</f>
        <v>0</v>
      </c>
      <c r="N50" s="57"/>
      <c r="O50" s="57">
        <f>IF(AND([2]User!$L$2="NO",[2]Prod!W50="SI"),0,1)</f>
        <v>1</v>
      </c>
      <c r="P50" s="57">
        <f>IF(AND([2]User!$M$2&gt;0,[2]Prod!Q50="NO"),0,1)</f>
        <v>1</v>
      </c>
      <c r="Q50" s="57">
        <f>IF(AND(N50="VIVIENDA",[2]User!$N$2&lt;[2]User!$H$2*0.3),0,1)</f>
        <v>1</v>
      </c>
      <c r="R50" s="57" t="e">
        <f>IF(HLOOKUP([2]User!$O$2,[2]Prod!$AU$2:$BP$42,ROW(A50)-1,0)&lt;1000000,1,0)</f>
        <v>#REF!</v>
      </c>
      <c r="S50" s="57" t="e">
        <f>IF(HLOOKUP([2]User!$P$2,[2]Prod!$AU$2:$BP$42,ROW(B50)-1,0)&lt;1000000,1,0)</f>
        <v>#REF!</v>
      </c>
      <c r="T50" s="57" t="e">
        <f>IF(HLOOKUP([2]User!$Q$2,[2]Prod!$AU$2:$BP$42,ROW(C50)-1,0)&lt;1000000,1,0)</f>
        <v>#REF!</v>
      </c>
    </row>
    <row r="51" spans="2:20" x14ac:dyDescent="0.25">
      <c r="B51" s="212" t="e">
        <f t="shared" si="1"/>
        <v>#REF!</v>
      </c>
      <c r="C51" s="211"/>
      <c r="D51" s="211">
        <f>IF(IF(AND([2]Prod!C51="Si",[2]User!$C$2="Si"),[2]User!$D$2,[2]User!$B$2)&gt;[2]Prod!D51,1,0)</f>
        <v>1</v>
      </c>
      <c r="E51" s="211">
        <f>IF(IF(AND([2]Prod!D51="Si",[2]User!$C$2="Si"),[2]User!$D$2,[2]User!$B$2)&lt;[2]Prod!E51,1,0)</f>
        <v>0</v>
      </c>
      <c r="F51" s="211">
        <f>IF(AND([2]Prod!F51&lt;&gt;"Ambos",[2]Prod!F51&lt;&gt;[2]User!$E$2),0,1)</f>
        <v>0</v>
      </c>
      <c r="G51" s="57">
        <f>IF([2]User!$F$2&gt;[2]Prod!G51,1,0)</f>
        <v>1</v>
      </c>
      <c r="H51" s="57">
        <f>IF([2]User!$F$2&lt;[2]Prod!H51,1,0)</f>
        <v>0</v>
      </c>
      <c r="I51" s="57">
        <f>IF(AND([2]User!$G$2=1,[2]Prod!I51="SI"),1,IF(AND([2]User!$G$2=2,[2]Prod!J51="SI"),1,IF(AND([2]User!$G$2=3,[2]Prod!K51="SI"),1,0)))</f>
        <v>0</v>
      </c>
      <c r="J51" s="57">
        <f>IF([2]User!$H$2&gt;[2]Prod!L51,1,0)</f>
        <v>1</v>
      </c>
      <c r="K51" s="57">
        <f>IF([2]User!$H$2&lt;[2]Prod!M51,1,0)</f>
        <v>0</v>
      </c>
      <c r="L51" s="57">
        <f>IF([2]User!$I$2&gt;[2]Prod!N51,1,0)</f>
        <v>1</v>
      </c>
      <c r="M51" s="57">
        <f>IF([2]User!$J$2&lt;[2]Prod!O51,1,0)</f>
        <v>0</v>
      </c>
      <c r="N51" s="57"/>
      <c r="O51" s="57">
        <f>IF(AND([2]User!$L$2="NO",[2]Prod!W51="SI"),0,1)</f>
        <v>1</v>
      </c>
      <c r="P51" s="57">
        <f>IF(AND([2]User!$M$2&gt;0,[2]Prod!Q51="NO"),0,1)</f>
        <v>1</v>
      </c>
      <c r="Q51" s="57">
        <f>IF(AND(N51="VIVIENDA",[2]User!$N$2&lt;[2]User!$H$2*0.3),0,1)</f>
        <v>1</v>
      </c>
      <c r="R51" s="57" t="e">
        <f>IF(HLOOKUP([2]User!$O$2,[2]Prod!$AU$2:$BP$42,ROW(A51)-1,0)&lt;1000000,1,0)</f>
        <v>#REF!</v>
      </c>
      <c r="S51" s="57" t="e">
        <f>IF(HLOOKUP([2]User!$P$2,[2]Prod!$AU$2:$BP$42,ROW(B51)-1,0)&lt;1000000,1,0)</f>
        <v>#REF!</v>
      </c>
      <c r="T51" s="57" t="e">
        <f>IF(HLOOKUP([2]User!$Q$2,[2]Prod!$AU$2:$BP$42,ROW(C51)-1,0)&lt;1000000,1,0)</f>
        <v>#REF!</v>
      </c>
    </row>
    <row r="52" spans="2:20" x14ac:dyDescent="0.25">
      <c r="B52" s="212" t="e">
        <f t="shared" si="1"/>
        <v>#REF!</v>
      </c>
      <c r="C52" s="211"/>
      <c r="D52" s="211">
        <f>IF(IF(AND([2]Prod!C52="Si",[2]User!$C$2="Si"),[2]User!$D$2,[2]User!$B$2)&gt;[2]Prod!D52,1,0)</f>
        <v>1</v>
      </c>
      <c r="E52" s="211">
        <f>IF(IF(AND([2]Prod!D52="Si",[2]User!$C$2="Si"),[2]User!$D$2,[2]User!$B$2)&lt;[2]Prod!E52,1,0)</f>
        <v>0</v>
      </c>
      <c r="F52" s="211">
        <f>IF(AND([2]Prod!F52&lt;&gt;"Ambos",[2]Prod!F52&lt;&gt;[2]User!$E$2),0,1)</f>
        <v>0</v>
      </c>
      <c r="G52" s="57">
        <f>IF([2]User!$F$2&gt;[2]Prod!G52,1,0)</f>
        <v>1</v>
      </c>
      <c r="H52" s="57">
        <f>IF([2]User!$F$2&lt;[2]Prod!H52,1,0)</f>
        <v>0</v>
      </c>
      <c r="I52" s="57">
        <f>IF(AND([2]User!$G$2=1,[2]Prod!I52="SI"),1,IF(AND([2]User!$G$2=2,[2]Prod!J52="SI"),1,IF(AND([2]User!$G$2=3,[2]Prod!K52="SI"),1,0)))</f>
        <v>0</v>
      </c>
      <c r="J52" s="57">
        <f>IF([2]User!$H$2&gt;[2]Prod!L52,1,0)</f>
        <v>1</v>
      </c>
      <c r="K52" s="57">
        <f>IF([2]User!$H$2&lt;[2]Prod!M52,1,0)</f>
        <v>0</v>
      </c>
      <c r="L52" s="57">
        <f>IF([2]User!$I$2&gt;[2]Prod!N52,1,0)</f>
        <v>1</v>
      </c>
      <c r="M52" s="57">
        <f>IF([2]User!$J$2&lt;[2]Prod!O52,1,0)</f>
        <v>0</v>
      </c>
      <c r="N52" s="57"/>
      <c r="O52" s="57">
        <f>IF(AND([2]User!$L$2="NO",[2]Prod!W52="SI"),0,1)</f>
        <v>1</v>
      </c>
      <c r="P52" s="57">
        <f>IF(AND([2]User!$M$2&gt;0,[2]Prod!Q52="NO"),0,1)</f>
        <v>1</v>
      </c>
      <c r="Q52" s="57">
        <f>IF(AND(N52="VIVIENDA",[2]User!$N$2&lt;[2]User!$H$2*0.3),0,1)</f>
        <v>1</v>
      </c>
      <c r="R52" s="57" t="e">
        <f>IF(HLOOKUP([2]User!$O$2,[2]Prod!$AU$2:$BP$42,ROW(A52)-1,0)&lt;1000000,1,0)</f>
        <v>#REF!</v>
      </c>
      <c r="S52" s="57" t="e">
        <f>IF(HLOOKUP([2]User!$P$2,[2]Prod!$AU$2:$BP$42,ROW(B52)-1,0)&lt;1000000,1,0)</f>
        <v>#REF!</v>
      </c>
      <c r="T52" s="57" t="e">
        <f>IF(HLOOKUP([2]User!$Q$2,[2]Prod!$AU$2:$BP$42,ROW(C52)-1,0)&lt;1000000,1,0)</f>
        <v>#REF!</v>
      </c>
    </row>
    <row r="53" spans="2:20" x14ac:dyDescent="0.25">
      <c r="B53" s="212" t="e">
        <f t="shared" si="1"/>
        <v>#REF!</v>
      </c>
      <c r="C53" s="211"/>
      <c r="D53" s="211">
        <f>IF(IF(AND([2]Prod!C53="Si",[2]User!$C$2="Si"),[2]User!$D$2,[2]User!$B$2)&gt;[2]Prod!D53,1,0)</f>
        <v>1</v>
      </c>
      <c r="E53" s="211">
        <f>IF(IF(AND([2]Prod!D53="Si",[2]User!$C$2="Si"),[2]User!$D$2,[2]User!$B$2)&lt;[2]Prod!E53,1,0)</f>
        <v>0</v>
      </c>
      <c r="F53" s="211">
        <f>IF(AND([2]Prod!F53&lt;&gt;"Ambos",[2]Prod!F53&lt;&gt;[2]User!$E$2),0,1)</f>
        <v>0</v>
      </c>
      <c r="G53" s="57">
        <f>IF([2]User!$F$2&gt;[2]Prod!G53,1,0)</f>
        <v>1</v>
      </c>
      <c r="H53" s="57">
        <f>IF([2]User!$F$2&lt;[2]Prod!H53,1,0)</f>
        <v>0</v>
      </c>
      <c r="I53" s="57">
        <f>IF(AND([2]User!$G$2=1,[2]Prod!I53="SI"),1,IF(AND([2]User!$G$2=2,[2]Prod!J53="SI"),1,IF(AND([2]User!$G$2=3,[2]Prod!K53="SI"),1,0)))</f>
        <v>0</v>
      </c>
      <c r="J53" s="57">
        <f>IF([2]User!$H$2&gt;[2]Prod!L53,1,0)</f>
        <v>1</v>
      </c>
      <c r="K53" s="57">
        <f>IF([2]User!$H$2&lt;[2]Prod!M53,1,0)</f>
        <v>0</v>
      </c>
      <c r="L53" s="57">
        <f>IF([2]User!$I$2&gt;[2]Prod!N53,1,0)</f>
        <v>1</v>
      </c>
      <c r="M53" s="57">
        <f>IF([2]User!$J$2&lt;[2]Prod!O53,1,0)</f>
        <v>0</v>
      </c>
      <c r="N53" s="57"/>
      <c r="O53" s="57">
        <f>IF(AND([2]User!$L$2="NO",[2]Prod!W53="SI"),0,1)</f>
        <v>1</v>
      </c>
      <c r="P53" s="57">
        <f>IF(AND([2]User!$M$2&gt;0,[2]Prod!Q53="NO"),0,1)</f>
        <v>1</v>
      </c>
      <c r="Q53" s="57">
        <f>IF(AND(N53="VIVIENDA",[2]User!$N$2&lt;[2]User!$H$2*0.3),0,1)</f>
        <v>1</v>
      </c>
      <c r="R53" s="57" t="e">
        <f>IF(HLOOKUP([2]User!$O$2,[2]Prod!$AU$2:$BP$42,ROW(A53)-1,0)&lt;1000000,1,0)</f>
        <v>#REF!</v>
      </c>
      <c r="S53" s="57" t="e">
        <f>IF(HLOOKUP([2]User!$P$2,[2]Prod!$AU$2:$BP$42,ROW(B53)-1,0)&lt;1000000,1,0)</f>
        <v>#REF!</v>
      </c>
      <c r="T53" s="57" t="e">
        <f>IF(HLOOKUP([2]User!$Q$2,[2]Prod!$AU$2:$BP$42,ROW(C53)-1,0)&lt;1000000,1,0)</f>
        <v>#REF!</v>
      </c>
    </row>
    <row r="54" spans="2:20" x14ac:dyDescent="0.25">
      <c r="B54" s="212" t="e">
        <f t="shared" si="1"/>
        <v>#REF!</v>
      </c>
      <c r="C54" s="211"/>
      <c r="D54" s="211">
        <f>IF(IF(AND([2]Prod!C54="Si",[2]User!$C$2="Si"),[2]User!$D$2,[2]User!$B$2)&gt;[2]Prod!D54,1,0)</f>
        <v>1</v>
      </c>
      <c r="E54" s="211">
        <f>IF(IF(AND([2]Prod!D54="Si",[2]User!$C$2="Si"),[2]User!$D$2,[2]User!$B$2)&lt;[2]Prod!E54,1,0)</f>
        <v>0</v>
      </c>
      <c r="F54" s="211">
        <f>IF(AND([2]Prod!F54&lt;&gt;"Ambos",[2]Prod!F54&lt;&gt;[2]User!$E$2),0,1)</f>
        <v>0</v>
      </c>
      <c r="G54" s="57">
        <f>IF([2]User!$F$2&gt;[2]Prod!G54,1,0)</f>
        <v>1</v>
      </c>
      <c r="H54" s="57">
        <f>IF([2]User!$F$2&lt;[2]Prod!H54,1,0)</f>
        <v>0</v>
      </c>
      <c r="I54" s="57">
        <f>IF(AND([2]User!$G$2=1,[2]Prod!I54="SI"),1,IF(AND([2]User!$G$2=2,[2]Prod!J54="SI"),1,IF(AND([2]User!$G$2=3,[2]Prod!K54="SI"),1,0)))</f>
        <v>0</v>
      </c>
      <c r="J54" s="57">
        <f>IF([2]User!$H$2&gt;[2]Prod!L54,1,0)</f>
        <v>1</v>
      </c>
      <c r="K54" s="57">
        <f>IF([2]User!$H$2&lt;[2]Prod!M54,1,0)</f>
        <v>0</v>
      </c>
      <c r="L54" s="57">
        <f>IF([2]User!$I$2&gt;[2]Prod!N54,1,0)</f>
        <v>1</v>
      </c>
      <c r="M54" s="57">
        <f>IF([2]User!$J$2&lt;[2]Prod!O54,1,0)</f>
        <v>0</v>
      </c>
      <c r="N54" s="57"/>
      <c r="O54" s="57">
        <f>IF(AND([2]User!$L$2="NO",[2]Prod!W54="SI"),0,1)</f>
        <v>1</v>
      </c>
      <c r="P54" s="57">
        <f>IF(AND([2]User!$M$2&gt;0,[2]Prod!Q54="NO"),0,1)</f>
        <v>1</v>
      </c>
      <c r="Q54" s="57">
        <f>IF(AND(N54="VIVIENDA",[2]User!$N$2&lt;[2]User!$H$2*0.3),0,1)</f>
        <v>1</v>
      </c>
      <c r="R54" s="57" t="e">
        <f>IF(HLOOKUP([2]User!$O$2,[2]Prod!$AU$2:$BP$42,ROW(A54)-1,0)&lt;1000000,1,0)</f>
        <v>#REF!</v>
      </c>
      <c r="S54" s="57" t="e">
        <f>IF(HLOOKUP([2]User!$P$2,[2]Prod!$AU$2:$BP$42,ROW(B54)-1,0)&lt;1000000,1,0)</f>
        <v>#REF!</v>
      </c>
      <c r="T54" s="57" t="e">
        <f>IF(HLOOKUP([2]User!$Q$2,[2]Prod!$AU$2:$BP$42,ROW(C54)-1,0)&lt;1000000,1,0)</f>
        <v>#REF!</v>
      </c>
    </row>
    <row r="55" spans="2:20" x14ac:dyDescent="0.25">
      <c r="B55" s="212" t="e">
        <f t="shared" si="1"/>
        <v>#REF!</v>
      </c>
      <c r="C55" s="211"/>
      <c r="D55" s="211">
        <f>IF(IF(AND([2]Prod!C55="Si",[2]User!$C$2="Si"),[2]User!$D$2,[2]User!$B$2)&gt;[2]Prod!D55,1,0)</f>
        <v>1</v>
      </c>
      <c r="E55" s="211">
        <f>IF(IF(AND([2]Prod!D55="Si",[2]User!$C$2="Si"),[2]User!$D$2,[2]User!$B$2)&lt;[2]Prod!E55,1,0)</f>
        <v>0</v>
      </c>
      <c r="F55" s="211">
        <f>IF(AND([2]Prod!F55&lt;&gt;"Ambos",[2]Prod!F55&lt;&gt;[2]User!$E$2),0,1)</f>
        <v>0</v>
      </c>
      <c r="G55" s="57">
        <f>IF([2]User!$F$2&gt;[2]Prod!G55,1,0)</f>
        <v>1</v>
      </c>
      <c r="H55" s="57">
        <f>IF([2]User!$F$2&lt;[2]Prod!H55,1,0)</f>
        <v>0</v>
      </c>
      <c r="I55" s="57">
        <f>IF(AND([2]User!$G$2=1,[2]Prod!I55="SI"),1,IF(AND([2]User!$G$2=2,[2]Prod!J55="SI"),1,IF(AND([2]User!$G$2=3,[2]Prod!K55="SI"),1,0)))</f>
        <v>0</v>
      </c>
      <c r="J55" s="57">
        <f>IF([2]User!$H$2&gt;[2]Prod!L55,1,0)</f>
        <v>1</v>
      </c>
      <c r="K55" s="57">
        <f>IF([2]User!$H$2&lt;[2]Prod!M55,1,0)</f>
        <v>0</v>
      </c>
      <c r="L55" s="57">
        <f>IF([2]User!$I$2&gt;[2]Prod!N55,1,0)</f>
        <v>1</v>
      </c>
      <c r="M55" s="57">
        <f>IF([2]User!$J$2&lt;[2]Prod!O55,1,0)</f>
        <v>0</v>
      </c>
      <c r="N55" s="57"/>
      <c r="O55" s="57">
        <f>IF(AND([2]User!$L$2="NO",[2]Prod!W55="SI"),0,1)</f>
        <v>1</v>
      </c>
      <c r="P55" s="57">
        <f>IF(AND([2]User!$M$2&gt;0,[2]Prod!Q55="NO"),0,1)</f>
        <v>1</v>
      </c>
      <c r="Q55" s="57">
        <f>IF(AND(N55="VIVIENDA",[2]User!$N$2&lt;[2]User!$H$2*0.3),0,1)</f>
        <v>1</v>
      </c>
      <c r="R55" s="57" t="e">
        <f>IF(HLOOKUP([2]User!$O$2,[2]Prod!$AU$2:$BP$42,ROW(A55)-1,0)&lt;1000000,1,0)</f>
        <v>#REF!</v>
      </c>
      <c r="S55" s="57" t="e">
        <f>IF(HLOOKUP([2]User!$P$2,[2]Prod!$AU$2:$BP$42,ROW(B55)-1,0)&lt;1000000,1,0)</f>
        <v>#REF!</v>
      </c>
      <c r="T55" s="57" t="e">
        <f>IF(HLOOKUP([2]User!$Q$2,[2]Prod!$AU$2:$BP$42,ROW(C55)-1,0)&lt;1000000,1,0)</f>
        <v>#REF!</v>
      </c>
    </row>
    <row r="56" spans="2:20" x14ac:dyDescent="0.25">
      <c r="B56" s="212" t="e">
        <f t="shared" si="1"/>
        <v>#REF!</v>
      </c>
      <c r="C56" s="211"/>
      <c r="D56" s="211">
        <f>IF(IF(AND([2]Prod!C56="Si",[2]User!$C$2="Si"),[2]User!$D$2,[2]User!$B$2)&gt;[2]Prod!D56,1,0)</f>
        <v>1</v>
      </c>
      <c r="E56" s="211">
        <f>IF(IF(AND([2]Prod!D56="Si",[2]User!$C$2="Si"),[2]User!$D$2,[2]User!$B$2)&lt;[2]Prod!E56,1,0)</f>
        <v>0</v>
      </c>
      <c r="F56" s="211">
        <f>IF(AND([2]Prod!F56&lt;&gt;"Ambos",[2]Prod!F56&lt;&gt;[2]User!$E$2),0,1)</f>
        <v>0</v>
      </c>
      <c r="G56" s="57">
        <f>IF([2]User!$F$2&gt;[2]Prod!G56,1,0)</f>
        <v>1</v>
      </c>
      <c r="H56" s="57">
        <f>IF([2]User!$F$2&lt;[2]Prod!H56,1,0)</f>
        <v>0</v>
      </c>
      <c r="I56" s="57">
        <f>IF(AND([2]User!$G$2=1,[2]Prod!I56="SI"),1,IF(AND([2]User!$G$2=2,[2]Prod!J56="SI"),1,IF(AND([2]User!$G$2=3,[2]Prod!K56="SI"),1,0)))</f>
        <v>0</v>
      </c>
      <c r="J56" s="57">
        <f>IF([2]User!$H$2&gt;[2]Prod!L56,1,0)</f>
        <v>1</v>
      </c>
      <c r="K56" s="57">
        <f>IF([2]User!$H$2&lt;[2]Prod!M56,1,0)</f>
        <v>0</v>
      </c>
      <c r="L56" s="57">
        <f>IF([2]User!$I$2&gt;[2]Prod!N56,1,0)</f>
        <v>1</v>
      </c>
      <c r="M56" s="57">
        <f>IF([2]User!$J$2&lt;[2]Prod!O56,1,0)</f>
        <v>0</v>
      </c>
      <c r="N56" s="57"/>
      <c r="O56" s="57">
        <f>IF(AND([2]User!$L$2="NO",[2]Prod!W56="SI"),0,1)</f>
        <v>1</v>
      </c>
      <c r="P56" s="57">
        <f>IF(AND([2]User!$M$2&gt;0,[2]Prod!Q56="NO"),0,1)</f>
        <v>1</v>
      </c>
      <c r="Q56" s="57">
        <f>IF(AND(N56="VIVIENDA",[2]User!$N$2&lt;[2]User!$H$2*0.3),0,1)</f>
        <v>1</v>
      </c>
      <c r="R56" s="57" t="e">
        <f>IF(HLOOKUP([2]User!$O$2,[2]Prod!$AU$2:$BP$42,ROW(A56)-1,0)&lt;1000000,1,0)</f>
        <v>#REF!</v>
      </c>
      <c r="S56" s="57" t="e">
        <f>IF(HLOOKUP([2]User!$P$2,[2]Prod!$AU$2:$BP$42,ROW(B56)-1,0)&lt;1000000,1,0)</f>
        <v>#REF!</v>
      </c>
      <c r="T56" s="57" t="e">
        <f>IF(HLOOKUP([2]User!$Q$2,[2]Prod!$AU$2:$BP$42,ROW(C56)-1,0)&lt;1000000,1,0)</f>
        <v>#REF!</v>
      </c>
    </row>
    <row r="57" spans="2:20" x14ac:dyDescent="0.25">
      <c r="B57" s="212" t="e">
        <f t="shared" si="1"/>
        <v>#REF!</v>
      </c>
      <c r="C57" s="211"/>
      <c r="D57" s="211">
        <f>IF(IF(AND([2]Prod!C57="Si",[2]User!$C$2="Si"),[2]User!$D$2,[2]User!$B$2)&gt;[2]Prod!D57,1,0)</f>
        <v>1</v>
      </c>
      <c r="E57" s="211">
        <f>IF(IF(AND([2]Prod!D57="Si",[2]User!$C$2="Si"),[2]User!$D$2,[2]User!$B$2)&lt;[2]Prod!E57,1,0)</f>
        <v>0</v>
      </c>
      <c r="F57" s="211">
        <f>IF(AND([2]Prod!F57&lt;&gt;"Ambos",[2]Prod!F57&lt;&gt;[2]User!$E$2),0,1)</f>
        <v>0</v>
      </c>
      <c r="G57" s="57">
        <f>IF([2]User!$F$2&gt;[2]Prod!G57,1,0)</f>
        <v>1</v>
      </c>
      <c r="H57" s="57">
        <f>IF([2]User!$F$2&lt;[2]Prod!H57,1,0)</f>
        <v>0</v>
      </c>
      <c r="I57" s="57">
        <f>IF(AND([2]User!$G$2=1,[2]Prod!I57="SI"),1,IF(AND([2]User!$G$2=2,[2]Prod!J57="SI"),1,IF(AND([2]User!$G$2=3,[2]Prod!K57="SI"),1,0)))</f>
        <v>0</v>
      </c>
      <c r="J57" s="57">
        <f>IF([2]User!$H$2&gt;[2]Prod!L57,1,0)</f>
        <v>1</v>
      </c>
      <c r="K57" s="57">
        <f>IF([2]User!$H$2&lt;[2]Prod!M57,1,0)</f>
        <v>0</v>
      </c>
      <c r="L57" s="57">
        <f>IF([2]User!$I$2&gt;[2]Prod!N57,1,0)</f>
        <v>1</v>
      </c>
      <c r="M57" s="57">
        <f>IF([2]User!$J$2&lt;[2]Prod!O57,1,0)</f>
        <v>0</v>
      </c>
      <c r="N57" s="57"/>
      <c r="O57" s="57">
        <f>IF(AND([2]User!$L$2="NO",[2]Prod!W57="SI"),0,1)</f>
        <v>1</v>
      </c>
      <c r="P57" s="57">
        <f>IF(AND([2]User!$M$2&gt;0,[2]Prod!Q57="NO"),0,1)</f>
        <v>1</v>
      </c>
      <c r="Q57" s="57">
        <f>IF(AND(N57="VIVIENDA",[2]User!$N$2&lt;[2]User!$H$2*0.3),0,1)</f>
        <v>1</v>
      </c>
      <c r="R57" s="57" t="e">
        <f>IF(HLOOKUP([2]User!$O$2,[2]Prod!$AU$2:$BP$42,ROW(A57)-1,0)&lt;1000000,1,0)</f>
        <v>#REF!</v>
      </c>
      <c r="S57" s="57" t="e">
        <f>IF(HLOOKUP([2]User!$P$2,[2]Prod!$AU$2:$BP$42,ROW(B57)-1,0)&lt;1000000,1,0)</f>
        <v>#REF!</v>
      </c>
      <c r="T57" s="57" t="e">
        <f>IF(HLOOKUP([2]User!$Q$2,[2]Prod!$AU$2:$BP$42,ROW(C57)-1,0)&lt;1000000,1,0)</f>
        <v>#REF!</v>
      </c>
    </row>
    <row r="58" spans="2:20" x14ac:dyDescent="0.25">
      <c r="B58" s="212" t="e">
        <f t="shared" si="1"/>
        <v>#REF!</v>
      </c>
      <c r="C58" s="211"/>
      <c r="D58" s="211">
        <f>IF(IF(AND([2]Prod!C58="Si",[2]User!$C$2="Si"),[2]User!$D$2,[2]User!$B$2)&gt;[2]Prod!D58,1,0)</f>
        <v>1</v>
      </c>
      <c r="E58" s="211">
        <f>IF(IF(AND([2]Prod!D58="Si",[2]User!$C$2="Si"),[2]User!$D$2,[2]User!$B$2)&lt;[2]Prod!E58,1,0)</f>
        <v>0</v>
      </c>
      <c r="F58" s="211">
        <f>IF(AND([2]Prod!F58&lt;&gt;"Ambos",[2]Prod!F58&lt;&gt;[2]User!$E$2),0,1)</f>
        <v>0</v>
      </c>
      <c r="G58" s="57">
        <f>IF([2]User!$F$2&gt;[2]Prod!G58,1,0)</f>
        <v>1</v>
      </c>
      <c r="H58" s="57">
        <f>IF([2]User!$F$2&lt;[2]Prod!H58,1,0)</f>
        <v>0</v>
      </c>
      <c r="I58" s="57">
        <f>IF(AND([2]User!$G$2=1,[2]Prod!I58="SI"),1,IF(AND([2]User!$G$2=2,[2]Prod!J58="SI"),1,IF(AND([2]User!$G$2=3,[2]Prod!K58="SI"),1,0)))</f>
        <v>0</v>
      </c>
      <c r="J58" s="57">
        <f>IF([2]User!$H$2&gt;[2]Prod!L58,1,0)</f>
        <v>1</v>
      </c>
      <c r="K58" s="57">
        <f>IF([2]User!$H$2&lt;[2]Prod!M58,1,0)</f>
        <v>0</v>
      </c>
      <c r="L58" s="57">
        <f>IF([2]User!$I$2&gt;[2]Prod!N58,1,0)</f>
        <v>1</v>
      </c>
      <c r="M58" s="57">
        <f>IF([2]User!$J$2&lt;[2]Prod!O58,1,0)</f>
        <v>0</v>
      </c>
      <c r="N58" s="57"/>
      <c r="O58" s="57">
        <f>IF(AND([2]User!$L$2="NO",[2]Prod!W58="SI"),0,1)</f>
        <v>1</v>
      </c>
      <c r="P58" s="57">
        <f>IF(AND([2]User!$M$2&gt;0,[2]Prod!Q58="NO"),0,1)</f>
        <v>1</v>
      </c>
      <c r="Q58" s="57">
        <f>IF(AND(N58="VIVIENDA",[2]User!$N$2&lt;[2]User!$H$2*0.3),0,1)</f>
        <v>1</v>
      </c>
      <c r="R58" s="57" t="e">
        <f>IF(HLOOKUP([2]User!$O$2,[2]Prod!$AU$2:$BP$42,ROW(A58)-1,0)&lt;1000000,1,0)</f>
        <v>#REF!</v>
      </c>
      <c r="S58" s="57" t="e">
        <f>IF(HLOOKUP([2]User!$P$2,[2]Prod!$AU$2:$BP$42,ROW(B58)-1,0)&lt;1000000,1,0)</f>
        <v>#REF!</v>
      </c>
      <c r="T58" s="57" t="e">
        <f>IF(HLOOKUP([2]User!$Q$2,[2]Prod!$AU$2:$BP$42,ROW(C58)-1,0)&lt;1000000,1,0)</f>
        <v>#REF!</v>
      </c>
    </row>
    <row r="59" spans="2:20" x14ac:dyDescent="0.25">
      <c r="B59" s="212" t="e">
        <f t="shared" si="1"/>
        <v>#REF!</v>
      </c>
      <c r="C59" s="211"/>
      <c r="D59" s="211">
        <f>IF(IF(AND([2]Prod!C59="Si",[2]User!$C$2="Si"),[2]User!$D$2,[2]User!$B$2)&gt;[2]Prod!D59,1,0)</f>
        <v>1</v>
      </c>
      <c r="E59" s="211">
        <f>IF(IF(AND([2]Prod!D59="Si",[2]User!$C$2="Si"),[2]User!$D$2,[2]User!$B$2)&lt;[2]Prod!E59,1,0)</f>
        <v>0</v>
      </c>
      <c r="F59" s="211">
        <f>IF(AND([2]Prod!F59&lt;&gt;"Ambos",[2]Prod!F59&lt;&gt;[2]User!$E$2),0,1)</f>
        <v>0</v>
      </c>
      <c r="G59" s="57">
        <f>IF([2]User!$F$2&gt;[2]Prod!G59,1,0)</f>
        <v>1</v>
      </c>
      <c r="H59" s="57">
        <f>IF([2]User!$F$2&lt;[2]Prod!H59,1,0)</f>
        <v>0</v>
      </c>
      <c r="I59" s="57">
        <f>IF(AND([2]User!$G$2=1,[2]Prod!I59="SI"),1,IF(AND([2]User!$G$2=2,[2]Prod!J59="SI"),1,IF(AND([2]User!$G$2=3,[2]Prod!K59="SI"),1,0)))</f>
        <v>0</v>
      </c>
      <c r="J59" s="57">
        <f>IF([2]User!$H$2&gt;[2]Prod!L59,1,0)</f>
        <v>1</v>
      </c>
      <c r="K59" s="57">
        <f>IF([2]User!$H$2&lt;[2]Prod!M59,1,0)</f>
        <v>0</v>
      </c>
      <c r="L59" s="57">
        <f>IF([2]User!$I$2&gt;[2]Prod!N59,1,0)</f>
        <v>1</v>
      </c>
      <c r="M59" s="57">
        <f>IF([2]User!$J$2&lt;[2]Prod!O59,1,0)</f>
        <v>0</v>
      </c>
      <c r="N59" s="57"/>
      <c r="O59" s="57">
        <f>IF(AND([2]User!$L$2="NO",[2]Prod!W59="SI"),0,1)</f>
        <v>1</v>
      </c>
      <c r="P59" s="57">
        <f>IF(AND([2]User!$M$2&gt;0,[2]Prod!Q59="NO"),0,1)</f>
        <v>1</v>
      </c>
      <c r="Q59" s="57">
        <f>IF(AND(N59="VIVIENDA",[2]User!$N$2&lt;[2]User!$H$2*0.3),0,1)</f>
        <v>1</v>
      </c>
      <c r="R59" s="57" t="e">
        <f>IF(HLOOKUP([2]User!$O$2,[2]Prod!$AU$2:$BP$42,ROW(A59)-1,0)&lt;1000000,1,0)</f>
        <v>#REF!</v>
      </c>
      <c r="S59" s="57" t="e">
        <f>IF(HLOOKUP([2]User!$P$2,[2]Prod!$AU$2:$BP$42,ROW(B59)-1,0)&lt;1000000,1,0)</f>
        <v>#REF!</v>
      </c>
      <c r="T59" s="57" t="e">
        <f>IF(HLOOKUP([2]User!$Q$2,[2]Prod!$AU$2:$BP$42,ROW(C59)-1,0)&lt;1000000,1,0)</f>
        <v>#REF!</v>
      </c>
    </row>
    <row r="60" spans="2:20" x14ac:dyDescent="0.25">
      <c r="B60" s="212" t="e">
        <f t="shared" si="1"/>
        <v>#REF!</v>
      </c>
      <c r="C60" s="211"/>
      <c r="D60" s="211">
        <f>IF(IF(AND([2]Prod!C60="Si",[2]User!$C$2="Si"),[2]User!$D$2,[2]User!$B$2)&gt;[2]Prod!D60,1,0)</f>
        <v>1</v>
      </c>
      <c r="E60" s="211">
        <f>IF(IF(AND([2]Prod!D60="Si",[2]User!$C$2="Si"),[2]User!$D$2,[2]User!$B$2)&lt;[2]Prod!E60,1,0)</f>
        <v>0</v>
      </c>
      <c r="F60" s="211">
        <f>IF(AND([2]Prod!F60&lt;&gt;"Ambos",[2]Prod!F60&lt;&gt;[2]User!$E$2),0,1)</f>
        <v>0</v>
      </c>
      <c r="G60" s="57">
        <f>IF([2]User!$F$2&gt;[2]Prod!G60,1,0)</f>
        <v>1</v>
      </c>
      <c r="H60" s="57">
        <f>IF([2]User!$F$2&lt;[2]Prod!H60,1,0)</f>
        <v>0</v>
      </c>
      <c r="I60" s="57">
        <f>IF(AND([2]User!$G$2=1,[2]Prod!I60="SI"),1,IF(AND([2]User!$G$2=2,[2]Prod!J60="SI"),1,IF(AND([2]User!$G$2=3,[2]Prod!K60="SI"),1,0)))</f>
        <v>0</v>
      </c>
      <c r="J60" s="57">
        <f>IF([2]User!$H$2&gt;[2]Prod!L60,1,0)</f>
        <v>1</v>
      </c>
      <c r="K60" s="57">
        <f>IF([2]User!$H$2&lt;[2]Prod!M60,1,0)</f>
        <v>0</v>
      </c>
      <c r="L60" s="57">
        <f>IF([2]User!$I$2&gt;[2]Prod!N60,1,0)</f>
        <v>1</v>
      </c>
      <c r="M60" s="57">
        <f>IF([2]User!$J$2&lt;[2]Prod!O60,1,0)</f>
        <v>0</v>
      </c>
      <c r="N60" s="57"/>
      <c r="O60" s="57">
        <f>IF(AND([2]User!$L$2="NO",[2]Prod!W60="SI"),0,1)</f>
        <v>1</v>
      </c>
      <c r="P60" s="57">
        <f>IF(AND([2]User!$M$2&gt;0,[2]Prod!Q60="NO"),0,1)</f>
        <v>1</v>
      </c>
      <c r="Q60" s="57">
        <f>IF(AND(N60="VIVIENDA",[2]User!$N$2&lt;[2]User!$H$2*0.3),0,1)</f>
        <v>1</v>
      </c>
      <c r="R60" s="57" t="e">
        <f>IF(HLOOKUP([2]User!$O$2,[2]Prod!$AU$2:$BP$42,ROW(A60)-1,0)&lt;1000000,1,0)</f>
        <v>#REF!</v>
      </c>
      <c r="S60" s="57" t="e">
        <f>IF(HLOOKUP([2]User!$P$2,[2]Prod!$AU$2:$BP$42,ROW(B60)-1,0)&lt;1000000,1,0)</f>
        <v>#REF!</v>
      </c>
      <c r="T60" s="57" t="e">
        <f>IF(HLOOKUP([2]User!$Q$2,[2]Prod!$AU$2:$BP$42,ROW(C60)-1,0)&lt;1000000,1,0)</f>
        <v>#REF!</v>
      </c>
    </row>
    <row r="61" spans="2:20" x14ac:dyDescent="0.25">
      <c r="B61" s="212" t="e">
        <f t="shared" si="1"/>
        <v>#REF!</v>
      </c>
      <c r="C61" s="211"/>
      <c r="D61" s="211">
        <f>IF(IF(AND([2]Prod!C61="Si",[2]User!$C$2="Si"),[2]User!$D$2,[2]User!$B$2)&gt;[2]Prod!D61,1,0)</f>
        <v>1</v>
      </c>
      <c r="E61" s="211">
        <f>IF(IF(AND([2]Prod!D61="Si",[2]User!$C$2="Si"),[2]User!$D$2,[2]User!$B$2)&lt;[2]Prod!E61,1,0)</f>
        <v>0</v>
      </c>
      <c r="F61" s="211">
        <f>IF(AND([2]Prod!F61&lt;&gt;"Ambos",[2]Prod!F61&lt;&gt;[2]User!$E$2),0,1)</f>
        <v>0</v>
      </c>
      <c r="G61" s="57">
        <f>IF([2]User!$F$2&gt;[2]Prod!G61,1,0)</f>
        <v>1</v>
      </c>
      <c r="H61" s="57">
        <f>IF([2]User!$F$2&lt;[2]Prod!H61,1,0)</f>
        <v>0</v>
      </c>
      <c r="I61" s="57">
        <f>IF(AND([2]User!$G$2=1,[2]Prod!I61="SI"),1,IF(AND([2]User!$G$2=2,[2]Prod!J61="SI"),1,IF(AND([2]User!$G$2=3,[2]Prod!K61="SI"),1,0)))</f>
        <v>0</v>
      </c>
      <c r="J61" s="57">
        <f>IF([2]User!$H$2&gt;[2]Prod!L61,1,0)</f>
        <v>1</v>
      </c>
      <c r="K61" s="57">
        <f>IF([2]User!$H$2&lt;[2]Prod!M61,1,0)</f>
        <v>0</v>
      </c>
      <c r="L61" s="57">
        <f>IF([2]User!$I$2&gt;[2]Prod!N61,1,0)</f>
        <v>1</v>
      </c>
      <c r="M61" s="57">
        <f>IF([2]User!$J$2&lt;[2]Prod!O61,1,0)</f>
        <v>0</v>
      </c>
      <c r="N61" s="57"/>
      <c r="O61" s="57">
        <f>IF(AND([2]User!$L$2="NO",[2]Prod!W61="SI"),0,1)</f>
        <v>1</v>
      </c>
      <c r="P61" s="57">
        <f>IF(AND([2]User!$M$2&gt;0,[2]Prod!Q61="NO"),0,1)</f>
        <v>1</v>
      </c>
      <c r="Q61" s="57">
        <f>IF(AND(N61="VIVIENDA",[2]User!$N$2&lt;[2]User!$H$2*0.3),0,1)</f>
        <v>1</v>
      </c>
      <c r="R61" s="57" t="e">
        <f>IF(HLOOKUP([2]User!$O$2,[2]Prod!$AU$2:$BP$42,ROW(A61)-1,0)&lt;1000000,1,0)</f>
        <v>#REF!</v>
      </c>
      <c r="S61" s="57" t="e">
        <f>IF(HLOOKUP([2]User!$P$2,[2]Prod!$AU$2:$BP$42,ROW(B61)-1,0)&lt;1000000,1,0)</f>
        <v>#REF!</v>
      </c>
      <c r="T61" s="57" t="e">
        <f>IF(HLOOKUP([2]User!$Q$2,[2]Prod!$AU$2:$BP$42,ROW(C61)-1,0)&lt;1000000,1,0)</f>
        <v>#REF!</v>
      </c>
    </row>
    <row r="62" spans="2:20" x14ac:dyDescent="0.25">
      <c r="B62" s="212" t="e">
        <f t="shared" si="1"/>
        <v>#REF!</v>
      </c>
      <c r="C62" s="211"/>
      <c r="D62" s="211">
        <f>IF(IF(AND([2]Prod!C62="Si",[2]User!$C$2="Si"),[2]User!$D$2,[2]User!$B$2)&gt;[2]Prod!D62,1,0)</f>
        <v>1</v>
      </c>
      <c r="E62" s="211">
        <f>IF(IF(AND([2]Prod!D62="Si",[2]User!$C$2="Si"),[2]User!$D$2,[2]User!$B$2)&lt;[2]Prod!E62,1,0)</f>
        <v>0</v>
      </c>
      <c r="F62" s="211">
        <f>IF(AND([2]Prod!F62&lt;&gt;"Ambos",[2]Prod!F62&lt;&gt;[2]User!$E$2),0,1)</f>
        <v>0</v>
      </c>
      <c r="G62" s="57">
        <f>IF([2]User!$F$2&gt;[2]Prod!G62,1,0)</f>
        <v>1</v>
      </c>
      <c r="H62" s="57">
        <f>IF([2]User!$F$2&lt;[2]Prod!H62,1,0)</f>
        <v>0</v>
      </c>
      <c r="I62" s="57">
        <f>IF(AND([2]User!$G$2=1,[2]Prod!I62="SI"),1,IF(AND([2]User!$G$2=2,[2]Prod!J62="SI"),1,IF(AND([2]User!$G$2=3,[2]Prod!K62="SI"),1,0)))</f>
        <v>0</v>
      </c>
      <c r="J62" s="57">
        <f>IF([2]User!$H$2&gt;[2]Prod!L62,1,0)</f>
        <v>1</v>
      </c>
      <c r="K62" s="57">
        <f>IF([2]User!$H$2&lt;[2]Prod!M62,1,0)</f>
        <v>0</v>
      </c>
      <c r="L62" s="57">
        <f>IF([2]User!$I$2&gt;[2]Prod!N62,1,0)</f>
        <v>1</v>
      </c>
      <c r="M62" s="57">
        <f>IF([2]User!$J$2&lt;[2]Prod!O62,1,0)</f>
        <v>0</v>
      </c>
      <c r="N62" s="57"/>
      <c r="O62" s="57">
        <f>IF(AND([2]User!$L$2="NO",[2]Prod!W62="SI"),0,1)</f>
        <v>1</v>
      </c>
      <c r="P62" s="57">
        <f>IF(AND([2]User!$M$2&gt;0,[2]Prod!Q62="NO"),0,1)</f>
        <v>1</v>
      </c>
      <c r="Q62" s="57">
        <f>IF(AND(N62="VIVIENDA",[2]User!$N$2&lt;[2]User!$H$2*0.3),0,1)</f>
        <v>1</v>
      </c>
      <c r="R62" s="57" t="e">
        <f>IF(HLOOKUP([2]User!$O$2,[2]Prod!$AU$2:$BP$42,ROW(A62)-1,0)&lt;1000000,1,0)</f>
        <v>#REF!</v>
      </c>
      <c r="S62" s="57" t="e">
        <f>IF(HLOOKUP([2]User!$P$2,[2]Prod!$AU$2:$BP$42,ROW(B62)-1,0)&lt;1000000,1,0)</f>
        <v>#REF!</v>
      </c>
      <c r="T62" s="57" t="e">
        <f>IF(HLOOKUP([2]User!$Q$2,[2]Prod!$AU$2:$BP$42,ROW(C62)-1,0)&lt;1000000,1,0)</f>
        <v>#REF!</v>
      </c>
    </row>
    <row r="63" spans="2:20" x14ac:dyDescent="0.25">
      <c r="B63" s="212" t="e">
        <f t="shared" si="1"/>
        <v>#REF!</v>
      </c>
      <c r="C63" s="211"/>
      <c r="D63" s="211">
        <f>IF(IF(AND([2]Prod!C63="Si",[2]User!$C$2="Si"),[2]User!$D$2,[2]User!$B$2)&gt;[2]Prod!D63,1,0)</f>
        <v>1</v>
      </c>
      <c r="E63" s="211">
        <f>IF(IF(AND([2]Prod!D63="Si",[2]User!$C$2="Si"),[2]User!$D$2,[2]User!$B$2)&lt;[2]Prod!E63,1,0)</f>
        <v>0</v>
      </c>
      <c r="F63" s="211">
        <f>IF(AND([2]Prod!F63&lt;&gt;"Ambos",[2]Prod!F63&lt;&gt;[2]User!$E$2),0,1)</f>
        <v>0</v>
      </c>
      <c r="G63" s="57">
        <f>IF([2]User!$F$2&gt;[2]Prod!G63,1,0)</f>
        <v>1</v>
      </c>
      <c r="H63" s="57">
        <f>IF([2]User!$F$2&lt;[2]Prod!H63,1,0)</f>
        <v>0</v>
      </c>
      <c r="I63" s="57">
        <f>IF(AND([2]User!$G$2=1,[2]Prod!I63="SI"),1,IF(AND([2]User!$G$2=2,[2]Prod!J63="SI"),1,IF(AND([2]User!$G$2=3,[2]Prod!K63="SI"),1,0)))</f>
        <v>0</v>
      </c>
      <c r="J63" s="57">
        <f>IF([2]User!$H$2&gt;[2]Prod!L63,1,0)</f>
        <v>1</v>
      </c>
      <c r="K63" s="57">
        <f>IF([2]User!$H$2&lt;[2]Prod!M63,1,0)</f>
        <v>0</v>
      </c>
      <c r="L63" s="57">
        <f>IF([2]User!$I$2&gt;[2]Prod!N63,1,0)</f>
        <v>1</v>
      </c>
      <c r="M63" s="57">
        <f>IF([2]User!$J$2&lt;[2]Prod!O63,1,0)</f>
        <v>0</v>
      </c>
      <c r="N63" s="57"/>
      <c r="O63" s="57">
        <f>IF(AND([2]User!$L$2="NO",[2]Prod!W63="SI"),0,1)</f>
        <v>1</v>
      </c>
      <c r="P63" s="57">
        <f>IF(AND([2]User!$M$2&gt;0,[2]Prod!Q63="NO"),0,1)</f>
        <v>1</v>
      </c>
      <c r="Q63" s="57">
        <f>IF(AND(N63="VIVIENDA",[2]User!$N$2&lt;[2]User!$H$2*0.3),0,1)</f>
        <v>1</v>
      </c>
      <c r="R63" s="57" t="e">
        <f>IF(HLOOKUP([2]User!$O$2,[2]Prod!$AU$2:$BP$42,ROW(A63)-1,0)&lt;1000000,1,0)</f>
        <v>#REF!</v>
      </c>
      <c r="S63" s="57" t="e">
        <f>IF(HLOOKUP([2]User!$P$2,[2]Prod!$AU$2:$BP$42,ROW(B63)-1,0)&lt;1000000,1,0)</f>
        <v>#REF!</v>
      </c>
      <c r="T63" s="57" t="e">
        <f>IF(HLOOKUP([2]User!$Q$2,[2]Prod!$AU$2:$BP$42,ROW(C63)-1,0)&lt;1000000,1,0)</f>
        <v>#REF!</v>
      </c>
    </row>
    <row r="64" spans="2:20" x14ac:dyDescent="0.25">
      <c r="B64" s="212" t="e">
        <f t="shared" si="1"/>
        <v>#REF!</v>
      </c>
      <c r="C64" s="211"/>
      <c r="D64" s="211">
        <f>IF(IF(AND([2]Prod!C64="Si",[2]User!$C$2="Si"),[2]User!$D$2,[2]User!$B$2)&gt;[2]Prod!D64,1,0)</f>
        <v>1</v>
      </c>
      <c r="E64" s="211">
        <f>IF(IF(AND([2]Prod!D64="Si",[2]User!$C$2="Si"),[2]User!$D$2,[2]User!$B$2)&lt;[2]Prod!E64,1,0)</f>
        <v>0</v>
      </c>
      <c r="F64" s="211">
        <f>IF(AND([2]Prod!F64&lt;&gt;"Ambos",[2]Prod!F64&lt;&gt;[2]User!$E$2),0,1)</f>
        <v>0</v>
      </c>
      <c r="G64" s="57">
        <f>IF([2]User!$F$2&gt;[2]Prod!G64,1,0)</f>
        <v>1</v>
      </c>
      <c r="H64" s="57">
        <f>IF([2]User!$F$2&lt;[2]Prod!H64,1,0)</f>
        <v>0</v>
      </c>
      <c r="I64" s="57">
        <f>IF(AND([2]User!$G$2=1,[2]Prod!I64="SI"),1,IF(AND([2]User!$G$2=2,[2]Prod!J64="SI"),1,IF(AND([2]User!$G$2=3,[2]Prod!K64="SI"),1,0)))</f>
        <v>0</v>
      </c>
      <c r="J64" s="57">
        <f>IF([2]User!$H$2&gt;[2]Prod!L64,1,0)</f>
        <v>1</v>
      </c>
      <c r="K64" s="57">
        <f>IF([2]User!$H$2&lt;[2]Prod!M64,1,0)</f>
        <v>0</v>
      </c>
      <c r="L64" s="57">
        <f>IF([2]User!$I$2&gt;[2]Prod!N64,1,0)</f>
        <v>1</v>
      </c>
      <c r="M64" s="57">
        <f>IF([2]User!$J$2&lt;[2]Prod!O64,1,0)</f>
        <v>0</v>
      </c>
      <c r="N64" s="57"/>
      <c r="O64" s="57">
        <f>IF(AND([2]User!$L$2="NO",[2]Prod!W64="SI"),0,1)</f>
        <v>1</v>
      </c>
      <c r="P64" s="57">
        <f>IF(AND([2]User!$M$2&gt;0,[2]Prod!Q64="NO"),0,1)</f>
        <v>1</v>
      </c>
      <c r="Q64" s="57">
        <f>IF(AND(N64="VIVIENDA",[2]User!$N$2&lt;[2]User!$H$2*0.3),0,1)</f>
        <v>1</v>
      </c>
      <c r="R64" s="57" t="e">
        <f>IF(HLOOKUP([2]User!$O$2,[2]Prod!$AU$2:$BP$42,ROW(A64)-1,0)&lt;1000000,1,0)</f>
        <v>#REF!</v>
      </c>
      <c r="S64" s="57" t="e">
        <f>IF(HLOOKUP([2]User!$P$2,[2]Prod!$AU$2:$BP$42,ROW(B64)-1,0)&lt;1000000,1,0)</f>
        <v>#REF!</v>
      </c>
      <c r="T64" s="57" t="e">
        <f>IF(HLOOKUP([2]User!$Q$2,[2]Prod!$AU$2:$BP$42,ROW(C64)-1,0)&lt;1000000,1,0)</f>
        <v>#REF!</v>
      </c>
    </row>
    <row r="65" spans="2:20" x14ac:dyDescent="0.25">
      <c r="B65" s="212" t="e">
        <f t="shared" si="1"/>
        <v>#REF!</v>
      </c>
      <c r="C65" s="211"/>
      <c r="D65" s="211">
        <f>IF(IF(AND([2]Prod!C65="Si",[2]User!$C$2="Si"),[2]User!$D$2,[2]User!$B$2)&gt;[2]Prod!D65,1,0)</f>
        <v>1</v>
      </c>
      <c r="E65" s="211">
        <f>IF(IF(AND([2]Prod!D65="Si",[2]User!$C$2="Si"),[2]User!$D$2,[2]User!$B$2)&lt;[2]Prod!E65,1,0)</f>
        <v>0</v>
      </c>
      <c r="F65" s="211">
        <f>IF(AND([2]Prod!F65&lt;&gt;"Ambos",[2]Prod!F65&lt;&gt;[2]User!$E$2),0,1)</f>
        <v>0</v>
      </c>
      <c r="G65" s="57">
        <f>IF([2]User!$F$2&gt;[2]Prod!G65,1,0)</f>
        <v>1</v>
      </c>
      <c r="H65" s="57">
        <f>IF([2]User!$F$2&lt;[2]Prod!H65,1,0)</f>
        <v>0</v>
      </c>
      <c r="I65" s="57">
        <f>IF(AND([2]User!$G$2=1,[2]Prod!I65="SI"),1,IF(AND([2]User!$G$2=2,[2]Prod!J65="SI"),1,IF(AND([2]User!$G$2=3,[2]Prod!K65="SI"),1,0)))</f>
        <v>0</v>
      </c>
      <c r="J65" s="57">
        <f>IF([2]User!$H$2&gt;[2]Prod!L65,1,0)</f>
        <v>1</v>
      </c>
      <c r="K65" s="57">
        <f>IF([2]User!$H$2&lt;[2]Prod!M65,1,0)</f>
        <v>0</v>
      </c>
      <c r="L65" s="57">
        <f>IF([2]User!$I$2&gt;[2]Prod!N65,1,0)</f>
        <v>1</v>
      </c>
      <c r="M65" s="57">
        <f>IF([2]User!$J$2&lt;[2]Prod!O65,1,0)</f>
        <v>0</v>
      </c>
      <c r="N65" s="57"/>
      <c r="O65" s="57">
        <f>IF(AND([2]User!$L$2="NO",[2]Prod!W65="SI"),0,1)</f>
        <v>1</v>
      </c>
      <c r="P65" s="57">
        <f>IF(AND([2]User!$M$2&gt;0,[2]Prod!Q65="NO"),0,1)</f>
        <v>1</v>
      </c>
      <c r="Q65" s="57">
        <f>IF(AND(N65="VIVIENDA",[2]User!$N$2&lt;[2]User!$H$2*0.3),0,1)</f>
        <v>1</v>
      </c>
      <c r="R65" s="57" t="e">
        <f>IF(HLOOKUP([2]User!$O$2,[2]Prod!$AU$2:$BP$42,ROW(A65)-1,0)&lt;1000000,1,0)</f>
        <v>#REF!</v>
      </c>
      <c r="S65" s="57" t="e">
        <f>IF(HLOOKUP([2]User!$P$2,[2]Prod!$AU$2:$BP$42,ROW(B65)-1,0)&lt;1000000,1,0)</f>
        <v>#REF!</v>
      </c>
      <c r="T65" s="57" t="e">
        <f>IF(HLOOKUP([2]User!$Q$2,[2]Prod!$AU$2:$BP$42,ROW(C65)-1,0)&lt;1000000,1,0)</f>
        <v>#REF!</v>
      </c>
    </row>
    <row r="66" spans="2:20" x14ac:dyDescent="0.25">
      <c r="B66" s="212" t="e">
        <f t="shared" si="1"/>
        <v>#REF!</v>
      </c>
      <c r="C66" s="211"/>
      <c r="D66" s="211">
        <f>IF(IF(AND([2]Prod!C66="Si",[2]User!$C$2="Si"),[2]User!$D$2,[2]User!$B$2)&gt;[2]Prod!D66,1,0)</f>
        <v>1</v>
      </c>
      <c r="E66" s="211">
        <f>IF(IF(AND([2]Prod!D66="Si",[2]User!$C$2="Si"),[2]User!$D$2,[2]User!$B$2)&lt;[2]Prod!E66,1,0)</f>
        <v>0</v>
      </c>
      <c r="F66" s="211">
        <f>IF(AND([2]Prod!F66&lt;&gt;"Ambos",[2]Prod!F66&lt;&gt;[2]User!$E$2),0,1)</f>
        <v>0</v>
      </c>
      <c r="G66" s="57">
        <f>IF([2]User!$F$2&gt;[2]Prod!G66,1,0)</f>
        <v>1</v>
      </c>
      <c r="H66" s="57">
        <f>IF([2]User!$F$2&lt;[2]Prod!H66,1,0)</f>
        <v>0</v>
      </c>
      <c r="I66" s="57">
        <f>IF(AND([2]User!$G$2=1,[2]Prod!I66="SI"),1,IF(AND([2]User!$G$2=2,[2]Prod!J66="SI"),1,IF(AND([2]User!$G$2=3,[2]Prod!K66="SI"),1,0)))</f>
        <v>0</v>
      </c>
      <c r="J66" s="57">
        <f>IF([2]User!$H$2&gt;[2]Prod!L66,1,0)</f>
        <v>1</v>
      </c>
      <c r="K66" s="57">
        <f>IF([2]User!$H$2&lt;[2]Prod!M66,1,0)</f>
        <v>0</v>
      </c>
      <c r="L66" s="57">
        <f>IF([2]User!$I$2&gt;[2]Prod!N66,1,0)</f>
        <v>1</v>
      </c>
      <c r="M66" s="57">
        <f>IF([2]User!$J$2&lt;[2]Prod!O66,1,0)</f>
        <v>0</v>
      </c>
      <c r="N66" s="57"/>
      <c r="O66" s="57">
        <f>IF(AND([2]User!$L$2="NO",[2]Prod!W66="SI"),0,1)</f>
        <v>1</v>
      </c>
      <c r="P66" s="57">
        <f>IF(AND([2]User!$M$2&gt;0,[2]Prod!Q66="NO"),0,1)</f>
        <v>1</v>
      </c>
      <c r="Q66" s="57">
        <f>IF(AND(N66="VIVIENDA",[2]User!$N$2&lt;[2]User!$H$2*0.3),0,1)</f>
        <v>1</v>
      </c>
      <c r="R66" s="57" t="e">
        <f>IF(HLOOKUP([2]User!$O$2,[2]Prod!$AU$2:$BP$42,ROW(A66)-1,0)&lt;1000000,1,0)</f>
        <v>#REF!</v>
      </c>
      <c r="S66" s="57" t="e">
        <f>IF(HLOOKUP([2]User!$P$2,[2]Prod!$AU$2:$BP$42,ROW(B66)-1,0)&lt;1000000,1,0)</f>
        <v>#REF!</v>
      </c>
      <c r="T66" s="57" t="e">
        <f>IF(HLOOKUP([2]User!$Q$2,[2]Prod!$AU$2:$BP$42,ROW(C66)-1,0)&lt;1000000,1,0)</f>
        <v>#REF!</v>
      </c>
    </row>
    <row r="67" spans="2:20" x14ac:dyDescent="0.25">
      <c r="B67" s="212" t="e">
        <f t="shared" si="1"/>
        <v>#REF!</v>
      </c>
      <c r="C67" s="211"/>
      <c r="D67" s="211">
        <f>IF(IF(AND([2]Prod!C67="Si",[2]User!$C$2="Si"),[2]User!$D$2,[2]User!$B$2)&gt;[2]Prod!D67,1,0)</f>
        <v>1</v>
      </c>
      <c r="E67" s="211">
        <f>IF(IF(AND([2]Prod!D67="Si",[2]User!$C$2="Si"),[2]User!$D$2,[2]User!$B$2)&lt;[2]Prod!E67,1,0)</f>
        <v>0</v>
      </c>
      <c r="F67" s="211">
        <f>IF(AND([2]Prod!F67&lt;&gt;"Ambos",[2]Prod!F67&lt;&gt;[2]User!$E$2),0,1)</f>
        <v>0</v>
      </c>
      <c r="G67" s="57">
        <f>IF([2]User!$F$2&gt;[2]Prod!G67,1,0)</f>
        <v>1</v>
      </c>
      <c r="H67" s="57">
        <f>IF([2]User!$F$2&lt;[2]Prod!H67,1,0)</f>
        <v>0</v>
      </c>
      <c r="I67" s="57">
        <f>IF(AND([2]User!$G$2=1,[2]Prod!I67="SI"),1,IF(AND([2]User!$G$2=2,[2]Prod!J67="SI"),1,IF(AND([2]User!$G$2=3,[2]Prod!K67="SI"),1,0)))</f>
        <v>0</v>
      </c>
      <c r="J67" s="57">
        <f>IF([2]User!$H$2&gt;[2]Prod!L67,1,0)</f>
        <v>1</v>
      </c>
      <c r="K67" s="57">
        <f>IF([2]User!$H$2&lt;[2]Prod!M67,1,0)</f>
        <v>0</v>
      </c>
      <c r="L67" s="57">
        <f>IF([2]User!$I$2&gt;[2]Prod!N67,1,0)</f>
        <v>1</v>
      </c>
      <c r="M67" s="57">
        <f>IF([2]User!$J$2&lt;[2]Prod!O67,1,0)</f>
        <v>0</v>
      </c>
      <c r="N67" s="57"/>
      <c r="O67" s="57">
        <f>IF(AND([2]User!$L$2="NO",[2]Prod!W67="SI"),0,1)</f>
        <v>1</v>
      </c>
      <c r="P67" s="57">
        <f>IF(AND([2]User!$M$2&gt;0,[2]Prod!Q67="NO"),0,1)</f>
        <v>1</v>
      </c>
      <c r="Q67" s="57">
        <f>IF(AND(N67="VIVIENDA",[2]User!$N$2&lt;[2]User!$H$2*0.3),0,1)</f>
        <v>1</v>
      </c>
      <c r="R67" s="57" t="e">
        <f>IF(HLOOKUP([2]User!$O$2,[2]Prod!$AU$2:$BP$42,ROW(A67)-1,0)&lt;1000000,1,0)</f>
        <v>#REF!</v>
      </c>
      <c r="S67" s="57" t="e">
        <f>IF(HLOOKUP([2]User!$P$2,[2]Prod!$AU$2:$BP$42,ROW(B67)-1,0)&lt;1000000,1,0)</f>
        <v>#REF!</v>
      </c>
      <c r="T67" s="57" t="e">
        <f>IF(HLOOKUP([2]User!$Q$2,[2]Prod!$AU$2:$BP$42,ROW(C67)-1,0)&lt;1000000,1,0)</f>
        <v>#REF!</v>
      </c>
    </row>
    <row r="68" spans="2:20" x14ac:dyDescent="0.25">
      <c r="B68" s="212" t="e">
        <f t="shared" ref="B68:B102" si="2">IF(SUM(D68:T68)=16,"VALIDO","RECHAZADO")</f>
        <v>#REF!</v>
      </c>
      <c r="C68" s="211"/>
      <c r="D68" s="211">
        <f>IF(IF(AND([2]Prod!C68="Si",[2]User!$C$2="Si"),[2]User!$D$2,[2]User!$B$2)&gt;[2]Prod!D68,1,0)</f>
        <v>1</v>
      </c>
      <c r="E68" s="211">
        <f>IF(IF(AND([2]Prod!D68="Si",[2]User!$C$2="Si"),[2]User!$D$2,[2]User!$B$2)&lt;[2]Prod!E68,1,0)</f>
        <v>0</v>
      </c>
      <c r="F68" s="211">
        <f>IF(AND([2]Prod!F68&lt;&gt;"Ambos",[2]Prod!F68&lt;&gt;[2]User!$E$2),0,1)</f>
        <v>0</v>
      </c>
      <c r="G68" s="57">
        <f>IF([2]User!$F$2&gt;[2]Prod!G68,1,0)</f>
        <v>1</v>
      </c>
      <c r="H68" s="57">
        <f>IF([2]User!$F$2&lt;[2]Prod!H68,1,0)</f>
        <v>0</v>
      </c>
      <c r="I68" s="57">
        <f>IF(AND([2]User!$G$2=1,[2]Prod!I68="SI"),1,IF(AND([2]User!$G$2=2,[2]Prod!J68="SI"),1,IF(AND([2]User!$G$2=3,[2]Prod!K68="SI"),1,0)))</f>
        <v>0</v>
      </c>
      <c r="J68" s="57">
        <f>IF([2]User!$H$2&gt;[2]Prod!L68,1,0)</f>
        <v>1</v>
      </c>
      <c r="K68" s="57">
        <f>IF([2]User!$H$2&lt;[2]Prod!M68,1,0)</f>
        <v>0</v>
      </c>
      <c r="L68" s="57">
        <f>IF([2]User!$I$2&gt;[2]Prod!N68,1,0)</f>
        <v>1</v>
      </c>
      <c r="M68" s="57">
        <f>IF([2]User!$J$2&lt;[2]Prod!O68,1,0)</f>
        <v>0</v>
      </c>
      <c r="N68" s="57"/>
      <c r="O68" s="57">
        <f>IF(AND([2]User!$L$2="NO",[2]Prod!W68="SI"),0,1)</f>
        <v>1</v>
      </c>
      <c r="P68" s="57">
        <f>IF(AND([2]User!$M$2&gt;0,[2]Prod!Q68="NO"),0,1)</f>
        <v>1</v>
      </c>
      <c r="Q68" s="57">
        <f>IF(AND(N68="VIVIENDA",[2]User!$N$2&lt;[2]User!$H$2*0.3),0,1)</f>
        <v>1</v>
      </c>
      <c r="R68" s="57" t="e">
        <f>IF(HLOOKUP([2]User!$O$2,[2]Prod!$AU$2:$BP$42,ROW(A68)-1,0)&lt;1000000,1,0)</f>
        <v>#REF!</v>
      </c>
      <c r="S68" s="57" t="e">
        <f>IF(HLOOKUP([2]User!$P$2,[2]Prod!$AU$2:$BP$42,ROW(B68)-1,0)&lt;1000000,1,0)</f>
        <v>#REF!</v>
      </c>
      <c r="T68" s="57" t="e">
        <f>IF(HLOOKUP([2]User!$Q$2,[2]Prod!$AU$2:$BP$42,ROW(C68)-1,0)&lt;1000000,1,0)</f>
        <v>#REF!</v>
      </c>
    </row>
    <row r="69" spans="2:20" x14ac:dyDescent="0.25">
      <c r="B69" s="212" t="e">
        <f t="shared" si="2"/>
        <v>#REF!</v>
      </c>
      <c r="C69" s="211"/>
      <c r="D69" s="211">
        <f>IF(IF(AND([2]Prod!C69="Si",[2]User!$C$2="Si"),[2]User!$D$2,[2]User!$B$2)&gt;[2]Prod!D69,1,0)</f>
        <v>1</v>
      </c>
      <c r="E69" s="211">
        <f>IF(IF(AND([2]Prod!D69="Si",[2]User!$C$2="Si"),[2]User!$D$2,[2]User!$B$2)&lt;[2]Prod!E69,1,0)</f>
        <v>0</v>
      </c>
      <c r="F69" s="211">
        <f>IF(AND([2]Prod!F69&lt;&gt;"Ambos",[2]Prod!F69&lt;&gt;[2]User!$E$2),0,1)</f>
        <v>0</v>
      </c>
      <c r="G69" s="57">
        <f>IF([2]User!$F$2&gt;[2]Prod!G69,1,0)</f>
        <v>1</v>
      </c>
      <c r="H69" s="57">
        <f>IF([2]User!$F$2&lt;[2]Prod!H69,1,0)</f>
        <v>0</v>
      </c>
      <c r="I69" s="57">
        <f>IF(AND([2]User!$G$2=1,[2]Prod!I69="SI"),1,IF(AND([2]User!$G$2=2,[2]Prod!J69="SI"),1,IF(AND([2]User!$G$2=3,[2]Prod!K69="SI"),1,0)))</f>
        <v>0</v>
      </c>
      <c r="J69" s="57">
        <f>IF([2]User!$H$2&gt;[2]Prod!L69,1,0)</f>
        <v>1</v>
      </c>
      <c r="K69" s="57">
        <f>IF([2]User!$H$2&lt;[2]Prod!M69,1,0)</f>
        <v>0</v>
      </c>
      <c r="L69" s="57">
        <f>IF([2]User!$I$2&gt;[2]Prod!N69,1,0)</f>
        <v>1</v>
      </c>
      <c r="M69" s="57">
        <f>IF([2]User!$J$2&lt;[2]Prod!O69,1,0)</f>
        <v>0</v>
      </c>
      <c r="N69" s="57"/>
      <c r="O69" s="57">
        <f>IF(AND([2]User!$L$2="NO",[2]Prod!W69="SI"),0,1)</f>
        <v>1</v>
      </c>
      <c r="P69" s="57">
        <f>IF(AND([2]User!$M$2&gt;0,[2]Prod!Q69="NO"),0,1)</f>
        <v>1</v>
      </c>
      <c r="Q69" s="57">
        <f>IF(AND(N69="VIVIENDA",[2]User!$N$2&lt;[2]User!$H$2*0.3),0,1)</f>
        <v>1</v>
      </c>
      <c r="R69" s="57" t="e">
        <f>IF(HLOOKUP([2]User!$O$2,[2]Prod!$AU$2:$BP$42,ROW(A69)-1,0)&lt;1000000,1,0)</f>
        <v>#REF!</v>
      </c>
      <c r="S69" s="57" t="e">
        <f>IF(HLOOKUP([2]User!$P$2,[2]Prod!$AU$2:$BP$42,ROW(B69)-1,0)&lt;1000000,1,0)</f>
        <v>#REF!</v>
      </c>
      <c r="T69" s="57" t="e">
        <f>IF(HLOOKUP([2]User!$Q$2,[2]Prod!$AU$2:$BP$42,ROW(C69)-1,0)&lt;1000000,1,0)</f>
        <v>#REF!</v>
      </c>
    </row>
    <row r="70" spans="2:20" x14ac:dyDescent="0.25">
      <c r="B70" s="212" t="e">
        <f t="shared" si="2"/>
        <v>#REF!</v>
      </c>
      <c r="C70" s="211"/>
      <c r="D70" s="211">
        <f>IF(IF(AND([2]Prod!C70="Si",[2]User!$C$2="Si"),[2]User!$D$2,[2]User!$B$2)&gt;[2]Prod!D70,1,0)</f>
        <v>1</v>
      </c>
      <c r="E70" s="211">
        <f>IF(IF(AND([2]Prod!D70="Si",[2]User!$C$2="Si"),[2]User!$D$2,[2]User!$B$2)&lt;[2]Prod!E70,1,0)</f>
        <v>0</v>
      </c>
      <c r="F70" s="211">
        <f>IF(AND([2]Prod!F70&lt;&gt;"Ambos",[2]Prod!F70&lt;&gt;[2]User!$E$2),0,1)</f>
        <v>0</v>
      </c>
      <c r="G70" s="57">
        <f>IF([2]User!$F$2&gt;[2]Prod!G70,1,0)</f>
        <v>1</v>
      </c>
      <c r="H70" s="57">
        <f>IF([2]User!$F$2&lt;[2]Prod!H70,1,0)</f>
        <v>0</v>
      </c>
      <c r="I70" s="57">
        <f>IF(AND([2]User!$G$2=1,[2]Prod!I70="SI"),1,IF(AND([2]User!$G$2=2,[2]Prod!J70="SI"),1,IF(AND([2]User!$G$2=3,[2]Prod!K70="SI"),1,0)))</f>
        <v>0</v>
      </c>
      <c r="J70" s="57">
        <f>IF([2]User!$H$2&gt;[2]Prod!L70,1,0)</f>
        <v>1</v>
      </c>
      <c r="K70" s="57">
        <f>IF([2]User!$H$2&lt;[2]Prod!M70,1,0)</f>
        <v>0</v>
      </c>
      <c r="L70" s="57">
        <f>IF([2]User!$I$2&gt;[2]Prod!N70,1,0)</f>
        <v>1</v>
      </c>
      <c r="M70" s="57">
        <f>IF([2]User!$J$2&lt;[2]Prod!O70,1,0)</f>
        <v>0</v>
      </c>
      <c r="N70" s="57"/>
      <c r="O70" s="57">
        <f>IF(AND([2]User!$L$2="NO",[2]Prod!W70="SI"),0,1)</f>
        <v>1</v>
      </c>
      <c r="P70" s="57">
        <f>IF(AND([2]User!$M$2&gt;0,[2]Prod!Q70="NO"),0,1)</f>
        <v>1</v>
      </c>
      <c r="Q70" s="57">
        <f>IF(AND(N70="VIVIENDA",[2]User!$N$2&lt;[2]User!$H$2*0.3),0,1)</f>
        <v>1</v>
      </c>
      <c r="R70" s="57" t="e">
        <f>IF(HLOOKUP([2]User!$O$2,[2]Prod!$AU$2:$BP$42,ROW(A70)-1,0)&lt;1000000,1,0)</f>
        <v>#REF!</v>
      </c>
      <c r="S70" s="57" t="e">
        <f>IF(HLOOKUP([2]User!$P$2,[2]Prod!$AU$2:$BP$42,ROW(B70)-1,0)&lt;1000000,1,0)</f>
        <v>#REF!</v>
      </c>
      <c r="T70" s="57" t="e">
        <f>IF(HLOOKUP([2]User!$Q$2,[2]Prod!$AU$2:$BP$42,ROW(C70)-1,0)&lt;1000000,1,0)</f>
        <v>#REF!</v>
      </c>
    </row>
    <row r="71" spans="2:20" x14ac:dyDescent="0.25">
      <c r="B71" s="212" t="e">
        <f t="shared" si="2"/>
        <v>#REF!</v>
      </c>
      <c r="C71" s="211"/>
      <c r="D71" s="211">
        <f>IF(IF(AND([2]Prod!C71="Si",[2]User!$C$2="Si"),[2]User!$D$2,[2]User!$B$2)&gt;[2]Prod!D71,1,0)</f>
        <v>1</v>
      </c>
      <c r="E71" s="211">
        <f>IF(IF(AND([2]Prod!D71="Si",[2]User!$C$2="Si"),[2]User!$D$2,[2]User!$B$2)&lt;[2]Prod!E71,1,0)</f>
        <v>0</v>
      </c>
      <c r="F71" s="211">
        <f>IF(AND([2]Prod!F71&lt;&gt;"Ambos",[2]Prod!F71&lt;&gt;[2]User!$E$2),0,1)</f>
        <v>0</v>
      </c>
      <c r="G71" s="57">
        <f>IF([2]User!$F$2&gt;[2]Prod!G71,1,0)</f>
        <v>1</v>
      </c>
      <c r="H71" s="57">
        <f>IF([2]User!$F$2&lt;[2]Prod!H71,1,0)</f>
        <v>0</v>
      </c>
      <c r="I71" s="57">
        <f>IF(AND([2]User!$G$2=1,[2]Prod!I71="SI"),1,IF(AND([2]User!$G$2=2,[2]Prod!J71="SI"),1,IF(AND([2]User!$G$2=3,[2]Prod!K71="SI"),1,0)))</f>
        <v>0</v>
      </c>
      <c r="J71" s="57">
        <f>IF([2]User!$H$2&gt;[2]Prod!L71,1,0)</f>
        <v>1</v>
      </c>
      <c r="K71" s="57">
        <f>IF([2]User!$H$2&lt;[2]Prod!M71,1,0)</f>
        <v>0</v>
      </c>
      <c r="L71" s="57">
        <f>IF([2]User!$I$2&gt;[2]Prod!N71,1,0)</f>
        <v>1</v>
      </c>
      <c r="M71" s="57">
        <f>IF([2]User!$J$2&lt;[2]Prod!O71,1,0)</f>
        <v>0</v>
      </c>
      <c r="N71" s="57"/>
      <c r="O71" s="57">
        <f>IF(AND([2]User!$L$2="NO",[2]Prod!W71="SI"),0,1)</f>
        <v>1</v>
      </c>
      <c r="P71" s="57">
        <f>IF(AND([2]User!$M$2&gt;0,[2]Prod!Q71="NO"),0,1)</f>
        <v>1</v>
      </c>
      <c r="Q71" s="57">
        <f>IF(AND(N71="VIVIENDA",[2]User!$N$2&lt;[2]User!$H$2*0.3),0,1)</f>
        <v>1</v>
      </c>
      <c r="R71" s="57" t="e">
        <f>IF(HLOOKUP([2]User!$O$2,[2]Prod!$AU$2:$BP$42,ROW(A71)-1,0)&lt;1000000,1,0)</f>
        <v>#REF!</v>
      </c>
      <c r="S71" s="57" t="e">
        <f>IF(HLOOKUP([2]User!$P$2,[2]Prod!$AU$2:$BP$42,ROW(B71)-1,0)&lt;1000000,1,0)</f>
        <v>#REF!</v>
      </c>
      <c r="T71" s="57" t="e">
        <f>IF(HLOOKUP([2]User!$Q$2,[2]Prod!$AU$2:$BP$42,ROW(C71)-1,0)&lt;1000000,1,0)</f>
        <v>#REF!</v>
      </c>
    </row>
    <row r="72" spans="2:20" x14ac:dyDescent="0.25">
      <c r="B72" s="212" t="e">
        <f t="shared" si="2"/>
        <v>#REF!</v>
      </c>
      <c r="C72" s="211"/>
      <c r="D72" s="211">
        <f>IF(IF(AND([2]Prod!C72="Si",[2]User!$C$2="Si"),[2]User!$D$2,[2]User!$B$2)&gt;[2]Prod!D72,1,0)</f>
        <v>1</v>
      </c>
      <c r="E72" s="211">
        <f>IF(IF(AND([2]Prod!D72="Si",[2]User!$C$2="Si"),[2]User!$D$2,[2]User!$B$2)&lt;[2]Prod!E72,1,0)</f>
        <v>0</v>
      </c>
      <c r="F72" s="211">
        <f>IF(AND([2]Prod!F72&lt;&gt;"Ambos",[2]Prod!F72&lt;&gt;[2]User!$E$2),0,1)</f>
        <v>0</v>
      </c>
      <c r="G72" s="57">
        <f>IF([2]User!$F$2&gt;[2]Prod!G72,1,0)</f>
        <v>1</v>
      </c>
      <c r="H72" s="57">
        <f>IF([2]User!$F$2&lt;[2]Prod!H72,1,0)</f>
        <v>0</v>
      </c>
      <c r="I72" s="57">
        <f>IF(AND([2]User!$G$2=1,[2]Prod!I72="SI"),1,IF(AND([2]User!$G$2=2,[2]Prod!J72="SI"),1,IF(AND([2]User!$G$2=3,[2]Prod!K72="SI"),1,0)))</f>
        <v>0</v>
      </c>
      <c r="J72" s="57">
        <f>IF([2]User!$H$2&gt;[2]Prod!L72,1,0)</f>
        <v>1</v>
      </c>
      <c r="K72" s="57">
        <f>IF([2]User!$H$2&lt;[2]Prod!M72,1,0)</f>
        <v>0</v>
      </c>
      <c r="L72" s="57">
        <f>IF([2]User!$I$2&gt;[2]Prod!N72,1,0)</f>
        <v>1</v>
      </c>
      <c r="M72" s="57">
        <f>IF([2]User!$J$2&lt;[2]Prod!O72,1,0)</f>
        <v>0</v>
      </c>
      <c r="N72" s="57"/>
      <c r="O72" s="57">
        <f>IF(AND([2]User!$L$2="NO",[2]Prod!W72="SI"),0,1)</f>
        <v>1</v>
      </c>
      <c r="P72" s="57">
        <f>IF(AND([2]User!$M$2&gt;0,[2]Prod!Q72="NO"),0,1)</f>
        <v>1</v>
      </c>
      <c r="Q72" s="57">
        <f>IF(AND(N72="VIVIENDA",[2]User!$N$2&lt;[2]User!$H$2*0.3),0,1)</f>
        <v>1</v>
      </c>
      <c r="R72" s="57" t="e">
        <f>IF(HLOOKUP([2]User!$O$2,[2]Prod!$AU$2:$BP$42,ROW(A72)-1,0)&lt;1000000,1,0)</f>
        <v>#REF!</v>
      </c>
      <c r="S72" s="57" t="e">
        <f>IF(HLOOKUP([2]User!$P$2,[2]Prod!$AU$2:$BP$42,ROW(B72)-1,0)&lt;1000000,1,0)</f>
        <v>#REF!</v>
      </c>
      <c r="T72" s="57" t="e">
        <f>IF(HLOOKUP([2]User!$Q$2,[2]Prod!$AU$2:$BP$42,ROW(C72)-1,0)&lt;1000000,1,0)</f>
        <v>#REF!</v>
      </c>
    </row>
    <row r="73" spans="2:20" x14ac:dyDescent="0.25">
      <c r="B73" s="212" t="e">
        <f t="shared" si="2"/>
        <v>#REF!</v>
      </c>
      <c r="C73" s="211"/>
      <c r="D73" s="211">
        <f>IF(IF(AND([2]Prod!C73="Si",[2]User!$C$2="Si"),[2]User!$D$2,[2]User!$B$2)&gt;[2]Prod!D73,1,0)</f>
        <v>1</v>
      </c>
      <c r="E73" s="211">
        <f>IF(IF(AND([2]Prod!D73="Si",[2]User!$C$2="Si"),[2]User!$D$2,[2]User!$B$2)&lt;[2]Prod!E73,1,0)</f>
        <v>0</v>
      </c>
      <c r="F73" s="211">
        <f>IF(AND([2]Prod!F73&lt;&gt;"Ambos",[2]Prod!F73&lt;&gt;[2]User!$E$2),0,1)</f>
        <v>0</v>
      </c>
      <c r="G73" s="57">
        <f>IF([2]User!$F$2&gt;[2]Prod!G73,1,0)</f>
        <v>1</v>
      </c>
      <c r="H73" s="57">
        <f>IF([2]User!$F$2&lt;[2]Prod!H73,1,0)</f>
        <v>0</v>
      </c>
      <c r="I73" s="57">
        <f>IF(AND([2]User!$G$2=1,[2]Prod!I73="SI"),1,IF(AND([2]User!$G$2=2,[2]Prod!J73="SI"),1,IF(AND([2]User!$G$2=3,[2]Prod!K73="SI"),1,0)))</f>
        <v>0</v>
      </c>
      <c r="J73" s="57">
        <f>IF([2]User!$H$2&gt;[2]Prod!L73,1,0)</f>
        <v>1</v>
      </c>
      <c r="K73" s="57">
        <f>IF([2]User!$H$2&lt;[2]Prod!M73,1,0)</f>
        <v>0</v>
      </c>
      <c r="L73" s="57">
        <f>IF([2]User!$I$2&gt;[2]Prod!N73,1,0)</f>
        <v>1</v>
      </c>
      <c r="M73" s="57">
        <f>IF([2]User!$J$2&lt;[2]Prod!O73,1,0)</f>
        <v>0</v>
      </c>
      <c r="N73" s="57"/>
      <c r="O73" s="57">
        <f>IF(AND([2]User!$L$2="NO",[2]Prod!W73="SI"),0,1)</f>
        <v>1</v>
      </c>
      <c r="P73" s="57">
        <f>IF(AND([2]User!$M$2&gt;0,[2]Prod!Q73="NO"),0,1)</f>
        <v>1</v>
      </c>
      <c r="Q73" s="57">
        <f>IF(AND(N73="VIVIENDA",[2]User!$N$2&lt;[2]User!$H$2*0.3),0,1)</f>
        <v>1</v>
      </c>
      <c r="R73" s="57" t="e">
        <f>IF(HLOOKUP([2]User!$O$2,[2]Prod!$AU$2:$BP$42,ROW(A73)-1,0)&lt;1000000,1,0)</f>
        <v>#REF!</v>
      </c>
      <c r="S73" s="57" t="e">
        <f>IF(HLOOKUP([2]User!$P$2,[2]Prod!$AU$2:$BP$42,ROW(B73)-1,0)&lt;1000000,1,0)</f>
        <v>#REF!</v>
      </c>
      <c r="T73" s="57" t="e">
        <f>IF(HLOOKUP([2]User!$Q$2,[2]Prod!$AU$2:$BP$42,ROW(C73)-1,0)&lt;1000000,1,0)</f>
        <v>#REF!</v>
      </c>
    </row>
    <row r="74" spans="2:20" x14ac:dyDescent="0.25">
      <c r="B74" s="212" t="e">
        <f t="shared" si="2"/>
        <v>#REF!</v>
      </c>
      <c r="C74" s="211"/>
      <c r="D74" s="211">
        <f>IF(IF(AND([2]Prod!C74="Si",[2]User!$C$2="Si"),[2]User!$D$2,[2]User!$B$2)&gt;[2]Prod!D74,1,0)</f>
        <v>1</v>
      </c>
      <c r="E74" s="211">
        <f>IF(IF(AND([2]Prod!D74="Si",[2]User!$C$2="Si"),[2]User!$D$2,[2]User!$B$2)&lt;[2]Prod!E74,1,0)</f>
        <v>0</v>
      </c>
      <c r="F74" s="211">
        <f>IF(AND([2]Prod!F74&lt;&gt;"Ambos",[2]Prod!F74&lt;&gt;[2]User!$E$2),0,1)</f>
        <v>0</v>
      </c>
      <c r="G74" s="57">
        <f>IF([2]User!$F$2&gt;[2]Prod!G74,1,0)</f>
        <v>1</v>
      </c>
      <c r="H74" s="57">
        <f>IF([2]User!$F$2&lt;[2]Prod!H74,1,0)</f>
        <v>0</v>
      </c>
      <c r="I74" s="57">
        <f>IF(AND([2]User!$G$2=1,[2]Prod!I74="SI"),1,IF(AND([2]User!$G$2=2,[2]Prod!J74="SI"),1,IF(AND([2]User!$G$2=3,[2]Prod!K74="SI"),1,0)))</f>
        <v>0</v>
      </c>
      <c r="J74" s="57">
        <f>IF([2]User!$H$2&gt;[2]Prod!L74,1,0)</f>
        <v>1</v>
      </c>
      <c r="K74" s="57">
        <f>IF([2]User!$H$2&lt;[2]Prod!M74,1,0)</f>
        <v>0</v>
      </c>
      <c r="L74" s="57">
        <f>IF([2]User!$I$2&gt;[2]Prod!N74,1,0)</f>
        <v>1</v>
      </c>
      <c r="M74" s="57">
        <f>IF([2]User!$J$2&lt;[2]Prod!O74,1,0)</f>
        <v>0</v>
      </c>
      <c r="N74" s="57"/>
      <c r="O74" s="57">
        <f>IF(AND([2]User!$L$2="NO",[2]Prod!W74="SI"),0,1)</f>
        <v>1</v>
      </c>
      <c r="P74" s="57">
        <f>IF(AND([2]User!$M$2&gt;0,[2]Prod!Q74="NO"),0,1)</f>
        <v>1</v>
      </c>
      <c r="Q74" s="57">
        <f>IF(AND(N74="VIVIENDA",[2]User!$N$2&lt;[2]User!$H$2*0.3),0,1)</f>
        <v>1</v>
      </c>
      <c r="R74" s="57" t="e">
        <f>IF(HLOOKUP([2]User!$O$2,[2]Prod!$AU$2:$BP$42,ROW(A74)-1,0)&lt;1000000,1,0)</f>
        <v>#REF!</v>
      </c>
      <c r="S74" s="57" t="e">
        <f>IF(HLOOKUP([2]User!$P$2,[2]Prod!$AU$2:$BP$42,ROW(B74)-1,0)&lt;1000000,1,0)</f>
        <v>#REF!</v>
      </c>
      <c r="T74" s="57" t="e">
        <f>IF(HLOOKUP([2]User!$Q$2,[2]Prod!$AU$2:$BP$42,ROW(C74)-1,0)&lt;1000000,1,0)</f>
        <v>#REF!</v>
      </c>
    </row>
    <row r="75" spans="2:20" x14ac:dyDescent="0.25">
      <c r="B75" s="212" t="e">
        <f t="shared" si="2"/>
        <v>#REF!</v>
      </c>
      <c r="C75" s="211"/>
      <c r="D75" s="211">
        <f>IF(IF(AND([2]Prod!C75="Si",[2]User!$C$2="Si"),[2]User!$D$2,[2]User!$B$2)&gt;[2]Prod!D75,1,0)</f>
        <v>1</v>
      </c>
      <c r="E75" s="211">
        <f>IF(IF(AND([2]Prod!D75="Si",[2]User!$C$2="Si"),[2]User!$D$2,[2]User!$B$2)&lt;[2]Prod!E75,1,0)</f>
        <v>0</v>
      </c>
      <c r="F75" s="211">
        <f>IF(AND([2]Prod!F75&lt;&gt;"Ambos",[2]Prod!F75&lt;&gt;[2]User!$E$2),0,1)</f>
        <v>0</v>
      </c>
      <c r="G75" s="57">
        <f>IF([2]User!$F$2&gt;[2]Prod!G75,1,0)</f>
        <v>1</v>
      </c>
      <c r="H75" s="57">
        <f>IF([2]User!$F$2&lt;[2]Prod!H75,1,0)</f>
        <v>0</v>
      </c>
      <c r="I75" s="57">
        <f>IF(AND([2]User!$G$2=1,[2]Prod!I75="SI"),1,IF(AND([2]User!$G$2=2,[2]Prod!J75="SI"),1,IF(AND([2]User!$G$2=3,[2]Prod!K75="SI"),1,0)))</f>
        <v>0</v>
      </c>
      <c r="J75" s="57">
        <f>IF([2]User!$H$2&gt;[2]Prod!L75,1,0)</f>
        <v>1</v>
      </c>
      <c r="K75" s="57">
        <f>IF([2]User!$H$2&lt;[2]Prod!M75,1,0)</f>
        <v>0</v>
      </c>
      <c r="L75" s="57">
        <f>IF([2]User!$I$2&gt;[2]Prod!N75,1,0)</f>
        <v>1</v>
      </c>
      <c r="M75" s="57">
        <f>IF([2]User!$J$2&lt;[2]Prod!O75,1,0)</f>
        <v>0</v>
      </c>
      <c r="N75" s="57"/>
      <c r="O75" s="57">
        <f>IF(AND([2]User!$L$2="NO",[2]Prod!W75="SI"),0,1)</f>
        <v>1</v>
      </c>
      <c r="P75" s="57">
        <f>IF(AND([2]User!$M$2&gt;0,[2]Prod!Q75="NO"),0,1)</f>
        <v>1</v>
      </c>
      <c r="Q75" s="57">
        <f>IF(AND(N75="VIVIENDA",[2]User!$N$2&lt;[2]User!$H$2*0.3),0,1)</f>
        <v>1</v>
      </c>
      <c r="R75" s="57" t="e">
        <f>IF(HLOOKUP([2]User!$O$2,[2]Prod!$AU$2:$BP$42,ROW(A75)-1,0)&lt;1000000,1,0)</f>
        <v>#REF!</v>
      </c>
      <c r="S75" s="57" t="e">
        <f>IF(HLOOKUP([2]User!$P$2,[2]Prod!$AU$2:$BP$42,ROW(B75)-1,0)&lt;1000000,1,0)</f>
        <v>#REF!</v>
      </c>
      <c r="T75" s="57" t="e">
        <f>IF(HLOOKUP([2]User!$Q$2,[2]Prod!$AU$2:$BP$42,ROW(C75)-1,0)&lt;1000000,1,0)</f>
        <v>#REF!</v>
      </c>
    </row>
    <row r="76" spans="2:20" x14ac:dyDescent="0.25">
      <c r="B76" s="212" t="e">
        <f t="shared" si="2"/>
        <v>#REF!</v>
      </c>
      <c r="C76" s="211"/>
      <c r="D76" s="211">
        <f>IF(IF(AND([2]Prod!C76="Si",[2]User!$C$2="Si"),[2]User!$D$2,[2]User!$B$2)&gt;[2]Prod!D76,1,0)</f>
        <v>1</v>
      </c>
      <c r="E76" s="211">
        <f>IF(IF(AND([2]Prod!D76="Si",[2]User!$C$2="Si"),[2]User!$D$2,[2]User!$B$2)&lt;[2]Prod!E76,1,0)</f>
        <v>0</v>
      </c>
      <c r="F76" s="211">
        <f>IF(AND([2]Prod!F76&lt;&gt;"Ambos",[2]Prod!F76&lt;&gt;[2]User!$E$2),0,1)</f>
        <v>0</v>
      </c>
      <c r="G76" s="57">
        <f>IF([2]User!$F$2&gt;[2]Prod!G76,1,0)</f>
        <v>1</v>
      </c>
      <c r="H76" s="57">
        <f>IF([2]User!$F$2&lt;[2]Prod!H76,1,0)</f>
        <v>0</v>
      </c>
      <c r="I76" s="57">
        <f>IF(AND([2]User!$G$2=1,[2]Prod!I76="SI"),1,IF(AND([2]User!$G$2=2,[2]Prod!J76="SI"),1,IF(AND([2]User!$G$2=3,[2]Prod!K76="SI"),1,0)))</f>
        <v>0</v>
      </c>
      <c r="J76" s="57">
        <f>IF([2]User!$H$2&gt;[2]Prod!L76,1,0)</f>
        <v>1</v>
      </c>
      <c r="K76" s="57">
        <f>IF([2]User!$H$2&lt;[2]Prod!M76,1,0)</f>
        <v>0</v>
      </c>
      <c r="L76" s="57">
        <f>IF([2]User!$I$2&gt;[2]Prod!N76,1,0)</f>
        <v>1</v>
      </c>
      <c r="M76" s="57">
        <f>IF([2]User!$J$2&lt;[2]Prod!O76,1,0)</f>
        <v>0</v>
      </c>
      <c r="N76" s="57"/>
      <c r="O76" s="57">
        <f>IF(AND([2]User!$L$2="NO",[2]Prod!W76="SI"),0,1)</f>
        <v>1</v>
      </c>
      <c r="P76" s="57">
        <f>IF(AND([2]User!$M$2&gt;0,[2]Prod!Q76="NO"),0,1)</f>
        <v>1</v>
      </c>
      <c r="Q76" s="57">
        <f>IF(AND(N76="VIVIENDA",[2]User!$N$2&lt;[2]User!$H$2*0.3),0,1)</f>
        <v>1</v>
      </c>
      <c r="R76" s="57" t="e">
        <f>IF(HLOOKUP([2]User!$O$2,[2]Prod!$AU$2:$BP$42,ROW(A76)-1,0)&lt;1000000,1,0)</f>
        <v>#REF!</v>
      </c>
      <c r="S76" s="57" t="e">
        <f>IF(HLOOKUP([2]User!$P$2,[2]Prod!$AU$2:$BP$42,ROW(B76)-1,0)&lt;1000000,1,0)</f>
        <v>#REF!</v>
      </c>
      <c r="T76" s="57" t="e">
        <f>IF(HLOOKUP([2]User!$Q$2,[2]Prod!$AU$2:$BP$42,ROW(C76)-1,0)&lt;1000000,1,0)</f>
        <v>#REF!</v>
      </c>
    </row>
    <row r="77" spans="2:20" x14ac:dyDescent="0.25">
      <c r="B77" s="212" t="e">
        <f t="shared" si="2"/>
        <v>#REF!</v>
      </c>
      <c r="C77" s="211"/>
      <c r="D77" s="211">
        <f>IF(IF(AND([2]Prod!C77="Si",[2]User!$C$2="Si"),[2]User!$D$2,[2]User!$B$2)&gt;[2]Prod!D77,1,0)</f>
        <v>1</v>
      </c>
      <c r="E77" s="211">
        <f>IF(IF(AND([2]Prod!D77="Si",[2]User!$C$2="Si"),[2]User!$D$2,[2]User!$B$2)&lt;[2]Prod!E77,1,0)</f>
        <v>0</v>
      </c>
      <c r="F77" s="211">
        <f>IF(AND([2]Prod!F77&lt;&gt;"Ambos",[2]Prod!F77&lt;&gt;[2]User!$E$2),0,1)</f>
        <v>0</v>
      </c>
      <c r="G77" s="57">
        <f>IF([2]User!$F$2&gt;[2]Prod!G77,1,0)</f>
        <v>1</v>
      </c>
      <c r="H77" s="57">
        <f>IF([2]User!$F$2&lt;[2]Prod!H77,1,0)</f>
        <v>0</v>
      </c>
      <c r="I77" s="57">
        <f>IF(AND([2]User!$G$2=1,[2]Prod!I77="SI"),1,IF(AND([2]User!$G$2=2,[2]Prod!J77="SI"),1,IF(AND([2]User!$G$2=3,[2]Prod!K77="SI"),1,0)))</f>
        <v>0</v>
      </c>
      <c r="J77" s="57">
        <f>IF([2]User!$H$2&gt;[2]Prod!L77,1,0)</f>
        <v>1</v>
      </c>
      <c r="K77" s="57">
        <f>IF([2]User!$H$2&lt;[2]Prod!M77,1,0)</f>
        <v>0</v>
      </c>
      <c r="L77" s="57">
        <f>IF([2]User!$I$2&gt;[2]Prod!N77,1,0)</f>
        <v>1</v>
      </c>
      <c r="M77" s="57">
        <f>IF([2]User!$J$2&lt;[2]Prod!O77,1,0)</f>
        <v>0</v>
      </c>
      <c r="N77" s="57"/>
      <c r="O77" s="57">
        <f>IF(AND([2]User!$L$2="NO",[2]Prod!W77="SI"),0,1)</f>
        <v>1</v>
      </c>
      <c r="P77" s="57">
        <f>IF(AND([2]User!$M$2&gt;0,[2]Prod!Q77="NO"),0,1)</f>
        <v>1</v>
      </c>
      <c r="Q77" s="57">
        <f>IF(AND(N77="VIVIENDA",[2]User!$N$2&lt;[2]User!$H$2*0.3),0,1)</f>
        <v>1</v>
      </c>
      <c r="R77" s="57" t="e">
        <f>IF(HLOOKUP([2]User!$O$2,[2]Prod!$AU$2:$BP$42,ROW(A77)-1,0)&lt;1000000,1,0)</f>
        <v>#REF!</v>
      </c>
      <c r="S77" s="57" t="e">
        <f>IF(HLOOKUP([2]User!$P$2,[2]Prod!$AU$2:$BP$42,ROW(B77)-1,0)&lt;1000000,1,0)</f>
        <v>#REF!</v>
      </c>
      <c r="T77" s="57" t="e">
        <f>IF(HLOOKUP([2]User!$Q$2,[2]Prod!$AU$2:$BP$42,ROW(C77)-1,0)&lt;1000000,1,0)</f>
        <v>#REF!</v>
      </c>
    </row>
    <row r="78" spans="2:20" x14ac:dyDescent="0.25">
      <c r="B78" s="212" t="e">
        <f t="shared" si="2"/>
        <v>#REF!</v>
      </c>
      <c r="C78" s="211"/>
      <c r="D78" s="211">
        <f>IF(IF(AND([2]Prod!C78="Si",[2]User!$C$2="Si"),[2]User!$D$2,[2]User!$B$2)&gt;[2]Prod!D78,1,0)</f>
        <v>1</v>
      </c>
      <c r="E78" s="211">
        <f>IF(IF(AND([2]Prod!D78="Si",[2]User!$C$2="Si"),[2]User!$D$2,[2]User!$B$2)&lt;[2]Prod!E78,1,0)</f>
        <v>0</v>
      </c>
      <c r="F78" s="211">
        <f>IF(AND([2]Prod!F78&lt;&gt;"Ambos",[2]Prod!F78&lt;&gt;[2]User!$E$2),0,1)</f>
        <v>0</v>
      </c>
      <c r="G78" s="57">
        <f>IF([2]User!$F$2&gt;[2]Prod!G78,1,0)</f>
        <v>1</v>
      </c>
      <c r="H78" s="57">
        <f>IF([2]User!$F$2&lt;[2]Prod!H78,1,0)</f>
        <v>0</v>
      </c>
      <c r="I78" s="57">
        <f>IF(AND([2]User!$G$2=1,[2]Prod!I78="SI"),1,IF(AND([2]User!$G$2=2,[2]Prod!J78="SI"),1,IF(AND([2]User!$G$2=3,[2]Prod!K78="SI"),1,0)))</f>
        <v>0</v>
      </c>
      <c r="J78" s="57">
        <f>IF([2]User!$H$2&gt;[2]Prod!L78,1,0)</f>
        <v>1</v>
      </c>
      <c r="K78" s="57">
        <f>IF([2]User!$H$2&lt;[2]Prod!M78,1,0)</f>
        <v>0</v>
      </c>
      <c r="L78" s="57">
        <f>IF([2]User!$I$2&gt;[2]Prod!N78,1,0)</f>
        <v>1</v>
      </c>
      <c r="M78" s="57">
        <f>IF([2]User!$J$2&lt;[2]Prod!O78,1,0)</f>
        <v>0</v>
      </c>
      <c r="N78" s="57"/>
      <c r="O78" s="57">
        <f>IF(AND([2]User!$L$2="NO",[2]Prod!W78="SI"),0,1)</f>
        <v>1</v>
      </c>
      <c r="P78" s="57">
        <f>IF(AND([2]User!$M$2&gt;0,[2]Prod!Q78="NO"),0,1)</f>
        <v>1</v>
      </c>
      <c r="Q78" s="57">
        <f>IF(AND(N78="VIVIENDA",[2]User!$N$2&lt;[2]User!$H$2*0.3),0,1)</f>
        <v>1</v>
      </c>
      <c r="R78" s="57" t="e">
        <f>IF(HLOOKUP([2]User!$O$2,[2]Prod!$AU$2:$BP$42,ROW(A78)-1,0)&lt;1000000,1,0)</f>
        <v>#REF!</v>
      </c>
      <c r="S78" s="57" t="e">
        <f>IF(HLOOKUP([2]User!$P$2,[2]Prod!$AU$2:$BP$42,ROW(B78)-1,0)&lt;1000000,1,0)</f>
        <v>#REF!</v>
      </c>
      <c r="T78" s="57" t="e">
        <f>IF(HLOOKUP([2]User!$Q$2,[2]Prod!$AU$2:$BP$42,ROW(C78)-1,0)&lt;1000000,1,0)</f>
        <v>#REF!</v>
      </c>
    </row>
    <row r="79" spans="2:20" x14ac:dyDescent="0.25">
      <c r="B79" s="212" t="e">
        <f t="shared" si="2"/>
        <v>#REF!</v>
      </c>
      <c r="C79" s="211"/>
      <c r="D79" s="211">
        <f>IF(IF(AND([2]Prod!C79="Si",[2]User!$C$2="Si"),[2]User!$D$2,[2]User!$B$2)&gt;[2]Prod!D79,1,0)</f>
        <v>1</v>
      </c>
      <c r="E79" s="211">
        <f>IF(IF(AND([2]Prod!D79="Si",[2]User!$C$2="Si"),[2]User!$D$2,[2]User!$B$2)&lt;[2]Prod!E79,1,0)</f>
        <v>0</v>
      </c>
      <c r="F79" s="211">
        <f>IF(AND([2]Prod!F79&lt;&gt;"Ambos",[2]Prod!F79&lt;&gt;[2]User!$E$2),0,1)</f>
        <v>0</v>
      </c>
      <c r="G79" s="57">
        <f>IF([2]User!$F$2&gt;[2]Prod!G79,1,0)</f>
        <v>1</v>
      </c>
      <c r="H79" s="57">
        <f>IF([2]User!$F$2&lt;[2]Prod!H79,1,0)</f>
        <v>0</v>
      </c>
      <c r="I79" s="57">
        <f>IF(AND([2]User!$G$2=1,[2]Prod!I79="SI"),1,IF(AND([2]User!$G$2=2,[2]Prod!J79="SI"),1,IF(AND([2]User!$G$2=3,[2]Prod!K79="SI"),1,0)))</f>
        <v>0</v>
      </c>
      <c r="J79" s="57">
        <f>IF([2]User!$H$2&gt;[2]Prod!L79,1,0)</f>
        <v>1</v>
      </c>
      <c r="K79" s="57">
        <f>IF([2]User!$H$2&lt;[2]Prod!M79,1,0)</f>
        <v>0</v>
      </c>
      <c r="L79" s="57">
        <f>IF([2]User!$I$2&gt;[2]Prod!N79,1,0)</f>
        <v>1</v>
      </c>
      <c r="M79" s="57">
        <f>IF([2]User!$J$2&lt;[2]Prod!O79,1,0)</f>
        <v>0</v>
      </c>
      <c r="N79" s="57"/>
      <c r="O79" s="57">
        <f>IF(AND([2]User!$L$2="NO",[2]Prod!W79="SI"),0,1)</f>
        <v>1</v>
      </c>
      <c r="P79" s="57">
        <f>IF(AND([2]User!$M$2&gt;0,[2]Prod!Q79="NO"),0,1)</f>
        <v>1</v>
      </c>
      <c r="Q79" s="57">
        <f>IF(AND(N79="VIVIENDA",[2]User!$N$2&lt;[2]User!$H$2*0.3),0,1)</f>
        <v>1</v>
      </c>
      <c r="R79" s="57" t="e">
        <f>IF(HLOOKUP([2]User!$O$2,[2]Prod!$AU$2:$BP$42,ROW(A79)-1,0)&lt;1000000,1,0)</f>
        <v>#REF!</v>
      </c>
      <c r="S79" s="57" t="e">
        <f>IF(HLOOKUP([2]User!$P$2,[2]Prod!$AU$2:$BP$42,ROW(B79)-1,0)&lt;1000000,1,0)</f>
        <v>#REF!</v>
      </c>
      <c r="T79" s="57" t="e">
        <f>IF(HLOOKUP([2]User!$Q$2,[2]Prod!$AU$2:$BP$42,ROW(C79)-1,0)&lt;1000000,1,0)</f>
        <v>#REF!</v>
      </c>
    </row>
    <row r="80" spans="2:20" x14ac:dyDescent="0.25">
      <c r="B80" s="212" t="e">
        <f t="shared" si="2"/>
        <v>#REF!</v>
      </c>
      <c r="C80" s="211"/>
      <c r="D80" s="211">
        <f>IF(IF(AND([2]Prod!C80="Si",[2]User!$C$2="Si"),[2]User!$D$2,[2]User!$B$2)&gt;[2]Prod!D80,1,0)</f>
        <v>1</v>
      </c>
      <c r="E80" s="211">
        <f>IF(IF(AND([2]Prod!D80="Si",[2]User!$C$2="Si"),[2]User!$D$2,[2]User!$B$2)&lt;[2]Prod!E80,1,0)</f>
        <v>0</v>
      </c>
      <c r="F80" s="211">
        <f>IF(AND([2]Prod!F80&lt;&gt;"Ambos",[2]Prod!F80&lt;&gt;[2]User!$E$2),0,1)</f>
        <v>0</v>
      </c>
      <c r="G80" s="57">
        <f>IF([2]User!$F$2&gt;[2]Prod!G80,1,0)</f>
        <v>1</v>
      </c>
      <c r="H80" s="57">
        <f>IF([2]User!$F$2&lt;[2]Prod!H80,1,0)</f>
        <v>0</v>
      </c>
      <c r="I80" s="57">
        <f>IF(AND([2]User!$G$2=1,[2]Prod!I80="SI"),1,IF(AND([2]User!$G$2=2,[2]Prod!J80="SI"),1,IF(AND([2]User!$G$2=3,[2]Prod!K80="SI"),1,0)))</f>
        <v>0</v>
      </c>
      <c r="J80" s="57">
        <f>IF([2]User!$H$2&gt;[2]Prod!L80,1,0)</f>
        <v>1</v>
      </c>
      <c r="K80" s="57">
        <f>IF([2]User!$H$2&lt;[2]Prod!M80,1,0)</f>
        <v>0</v>
      </c>
      <c r="L80" s="57">
        <f>IF([2]User!$I$2&gt;[2]Prod!N80,1,0)</f>
        <v>1</v>
      </c>
      <c r="M80" s="57">
        <f>IF([2]User!$J$2&lt;[2]Prod!O80,1,0)</f>
        <v>0</v>
      </c>
      <c r="N80" s="57"/>
      <c r="O80" s="57">
        <f>IF(AND([2]User!$L$2="NO",[2]Prod!W80="SI"),0,1)</f>
        <v>1</v>
      </c>
      <c r="P80" s="57">
        <f>IF(AND([2]User!$M$2&gt;0,[2]Prod!Q80="NO"),0,1)</f>
        <v>1</v>
      </c>
      <c r="Q80" s="57">
        <f>IF(AND(N80="VIVIENDA",[2]User!$N$2&lt;[2]User!$H$2*0.3),0,1)</f>
        <v>1</v>
      </c>
      <c r="R80" s="57" t="e">
        <f>IF(HLOOKUP([2]User!$O$2,[2]Prod!$AU$2:$BP$42,ROW(A80)-1,0)&lt;1000000,1,0)</f>
        <v>#REF!</v>
      </c>
      <c r="S80" s="57" t="e">
        <f>IF(HLOOKUP([2]User!$P$2,[2]Prod!$AU$2:$BP$42,ROW(B80)-1,0)&lt;1000000,1,0)</f>
        <v>#REF!</v>
      </c>
      <c r="T80" s="57" t="e">
        <f>IF(HLOOKUP([2]User!$Q$2,[2]Prod!$AU$2:$BP$42,ROW(C80)-1,0)&lt;1000000,1,0)</f>
        <v>#REF!</v>
      </c>
    </row>
    <row r="81" spans="2:20" x14ac:dyDescent="0.25">
      <c r="B81" s="212" t="e">
        <f t="shared" si="2"/>
        <v>#REF!</v>
      </c>
      <c r="C81" s="211"/>
      <c r="D81" s="211">
        <f>IF(IF(AND([2]Prod!C81="Si",[2]User!$C$2="Si"),[2]User!$D$2,[2]User!$B$2)&gt;[2]Prod!D81,1,0)</f>
        <v>1</v>
      </c>
      <c r="E81" s="211">
        <f>IF(IF(AND([2]Prod!D81="Si",[2]User!$C$2="Si"),[2]User!$D$2,[2]User!$B$2)&lt;[2]Prod!E81,1,0)</f>
        <v>0</v>
      </c>
      <c r="F81" s="211">
        <f>IF(AND([2]Prod!F81&lt;&gt;"Ambos",[2]Prod!F81&lt;&gt;[2]User!$E$2),0,1)</f>
        <v>0</v>
      </c>
      <c r="G81" s="57">
        <f>IF([2]User!$F$2&gt;[2]Prod!G81,1,0)</f>
        <v>1</v>
      </c>
      <c r="H81" s="57">
        <f>IF([2]User!$F$2&lt;[2]Prod!H81,1,0)</f>
        <v>0</v>
      </c>
      <c r="I81" s="57">
        <f>IF(AND([2]User!$G$2=1,[2]Prod!I81="SI"),1,IF(AND([2]User!$G$2=2,[2]Prod!J81="SI"),1,IF(AND([2]User!$G$2=3,[2]Prod!K81="SI"),1,0)))</f>
        <v>0</v>
      </c>
      <c r="J81" s="57">
        <f>IF([2]User!$H$2&gt;[2]Prod!L81,1,0)</f>
        <v>1</v>
      </c>
      <c r="K81" s="57">
        <f>IF([2]User!$H$2&lt;[2]Prod!M81,1,0)</f>
        <v>0</v>
      </c>
      <c r="L81" s="57">
        <f>IF([2]User!$I$2&gt;[2]Prod!N81,1,0)</f>
        <v>1</v>
      </c>
      <c r="M81" s="57">
        <f>IF([2]User!$J$2&lt;[2]Prod!O81,1,0)</f>
        <v>0</v>
      </c>
      <c r="N81" s="57"/>
      <c r="O81" s="57">
        <f>IF(AND([2]User!$L$2="NO",[2]Prod!W81="SI"),0,1)</f>
        <v>1</v>
      </c>
      <c r="P81" s="57">
        <f>IF(AND([2]User!$M$2&gt;0,[2]Prod!Q81="NO"),0,1)</f>
        <v>1</v>
      </c>
      <c r="Q81" s="57">
        <f>IF(AND(N81="VIVIENDA",[2]User!$N$2&lt;[2]User!$H$2*0.3),0,1)</f>
        <v>1</v>
      </c>
      <c r="R81" s="57" t="e">
        <f>IF(HLOOKUP([2]User!$O$2,[2]Prod!$AU$2:$BP$42,ROW(A81)-1,0)&lt;1000000,1,0)</f>
        <v>#REF!</v>
      </c>
      <c r="S81" s="57" t="e">
        <f>IF(HLOOKUP([2]User!$P$2,[2]Prod!$AU$2:$BP$42,ROW(B81)-1,0)&lt;1000000,1,0)</f>
        <v>#REF!</v>
      </c>
      <c r="T81" s="57" t="e">
        <f>IF(HLOOKUP([2]User!$Q$2,[2]Prod!$AU$2:$BP$42,ROW(C81)-1,0)&lt;1000000,1,0)</f>
        <v>#REF!</v>
      </c>
    </row>
    <row r="82" spans="2:20" x14ac:dyDescent="0.25">
      <c r="B82" s="212" t="e">
        <f t="shared" si="2"/>
        <v>#REF!</v>
      </c>
      <c r="C82" s="211"/>
      <c r="D82" s="211">
        <f>IF(IF(AND([2]Prod!C82="Si",[2]User!$C$2="Si"),[2]User!$D$2,[2]User!$B$2)&gt;[2]Prod!D82,1,0)</f>
        <v>1</v>
      </c>
      <c r="E82" s="211">
        <f>IF(IF(AND([2]Prod!D82="Si",[2]User!$C$2="Si"),[2]User!$D$2,[2]User!$B$2)&lt;[2]Prod!E82,1,0)</f>
        <v>0</v>
      </c>
      <c r="F82" s="211">
        <f>IF(AND([2]Prod!F82&lt;&gt;"Ambos",[2]Prod!F82&lt;&gt;[2]User!$E$2),0,1)</f>
        <v>0</v>
      </c>
      <c r="G82" s="57">
        <f>IF([2]User!$F$2&gt;[2]Prod!G82,1,0)</f>
        <v>1</v>
      </c>
      <c r="H82" s="57">
        <f>IF([2]User!$F$2&lt;[2]Prod!H82,1,0)</f>
        <v>0</v>
      </c>
      <c r="I82" s="57">
        <f>IF(AND([2]User!$G$2=1,[2]Prod!I82="SI"),1,IF(AND([2]User!$G$2=2,[2]Prod!J82="SI"),1,IF(AND([2]User!$G$2=3,[2]Prod!K82="SI"),1,0)))</f>
        <v>0</v>
      </c>
      <c r="J82" s="57">
        <f>IF([2]User!$H$2&gt;[2]Prod!L82,1,0)</f>
        <v>1</v>
      </c>
      <c r="K82" s="57">
        <f>IF([2]User!$H$2&lt;[2]Prod!M82,1,0)</f>
        <v>0</v>
      </c>
      <c r="L82" s="57">
        <f>IF([2]User!$I$2&gt;[2]Prod!N82,1,0)</f>
        <v>1</v>
      </c>
      <c r="M82" s="57">
        <f>IF([2]User!$J$2&lt;[2]Prod!O82,1,0)</f>
        <v>0</v>
      </c>
      <c r="N82" s="57"/>
      <c r="O82" s="57">
        <f>IF(AND([2]User!$L$2="NO",[2]Prod!W82="SI"),0,1)</f>
        <v>1</v>
      </c>
      <c r="P82" s="57">
        <f>IF(AND([2]User!$M$2&gt;0,[2]Prod!Q82="NO"),0,1)</f>
        <v>1</v>
      </c>
      <c r="Q82" s="57">
        <f>IF(AND(N82="VIVIENDA",[2]User!$N$2&lt;[2]User!$H$2*0.3),0,1)</f>
        <v>1</v>
      </c>
      <c r="R82" s="57" t="e">
        <f>IF(HLOOKUP([2]User!$O$2,[2]Prod!$AU$2:$BP$42,ROW(A82)-1,0)&lt;1000000,1,0)</f>
        <v>#REF!</v>
      </c>
      <c r="S82" s="57" t="e">
        <f>IF(HLOOKUP([2]User!$P$2,[2]Prod!$AU$2:$BP$42,ROW(B82)-1,0)&lt;1000000,1,0)</f>
        <v>#REF!</v>
      </c>
      <c r="T82" s="57" t="e">
        <f>IF(HLOOKUP([2]User!$Q$2,[2]Prod!$AU$2:$BP$42,ROW(C82)-1,0)&lt;1000000,1,0)</f>
        <v>#REF!</v>
      </c>
    </row>
    <row r="83" spans="2:20" x14ac:dyDescent="0.25">
      <c r="B83" s="212" t="e">
        <f t="shared" si="2"/>
        <v>#REF!</v>
      </c>
      <c r="C83" s="211"/>
      <c r="D83" s="211">
        <f>IF(IF(AND([2]Prod!C83="Si",[2]User!$C$2="Si"),[2]User!$D$2,[2]User!$B$2)&gt;[2]Prod!D83,1,0)</f>
        <v>1</v>
      </c>
      <c r="E83" s="211">
        <f>IF(IF(AND([2]Prod!D83="Si",[2]User!$C$2="Si"),[2]User!$D$2,[2]User!$B$2)&lt;[2]Prod!E83,1,0)</f>
        <v>0</v>
      </c>
      <c r="F83" s="211">
        <f>IF(AND([2]Prod!F83&lt;&gt;"Ambos",[2]Prod!F83&lt;&gt;[2]User!$E$2),0,1)</f>
        <v>0</v>
      </c>
      <c r="G83" s="57">
        <f>IF([2]User!$F$2&gt;[2]Prod!G83,1,0)</f>
        <v>1</v>
      </c>
      <c r="H83" s="57">
        <f>IF([2]User!$F$2&lt;[2]Prod!H83,1,0)</f>
        <v>0</v>
      </c>
      <c r="I83" s="57">
        <f>IF(AND([2]User!$G$2=1,[2]Prod!I83="SI"),1,IF(AND([2]User!$G$2=2,[2]Prod!J83="SI"),1,IF(AND([2]User!$G$2=3,[2]Prod!K83="SI"),1,0)))</f>
        <v>0</v>
      </c>
      <c r="J83" s="57">
        <f>IF([2]User!$H$2&gt;[2]Prod!L83,1,0)</f>
        <v>1</v>
      </c>
      <c r="K83" s="57">
        <f>IF([2]User!$H$2&lt;[2]Prod!M83,1,0)</f>
        <v>0</v>
      </c>
      <c r="L83" s="57">
        <f>IF([2]User!$I$2&gt;[2]Prod!N83,1,0)</f>
        <v>1</v>
      </c>
      <c r="M83" s="57">
        <f>IF([2]User!$J$2&lt;[2]Prod!O83,1,0)</f>
        <v>0</v>
      </c>
      <c r="N83" s="57"/>
      <c r="O83" s="57">
        <f>IF(AND([2]User!$L$2="NO",[2]Prod!W83="SI"),0,1)</f>
        <v>1</v>
      </c>
      <c r="P83" s="57">
        <f>IF(AND([2]User!$M$2&gt;0,[2]Prod!Q83="NO"),0,1)</f>
        <v>1</v>
      </c>
      <c r="Q83" s="57">
        <f>IF(AND(N83="VIVIENDA",[2]User!$N$2&lt;[2]User!$H$2*0.3),0,1)</f>
        <v>1</v>
      </c>
      <c r="R83" s="57" t="e">
        <f>IF(HLOOKUP([2]User!$O$2,[2]Prod!$AU$2:$BP$42,ROW(A83)-1,0)&lt;1000000,1,0)</f>
        <v>#REF!</v>
      </c>
      <c r="S83" s="57" t="e">
        <f>IF(HLOOKUP([2]User!$P$2,[2]Prod!$AU$2:$BP$42,ROW(B83)-1,0)&lt;1000000,1,0)</f>
        <v>#REF!</v>
      </c>
      <c r="T83" s="57" t="e">
        <f>IF(HLOOKUP([2]User!$Q$2,[2]Prod!$AU$2:$BP$42,ROW(C83)-1,0)&lt;1000000,1,0)</f>
        <v>#REF!</v>
      </c>
    </row>
    <row r="84" spans="2:20" x14ac:dyDescent="0.25">
      <c r="B84" s="212" t="e">
        <f t="shared" si="2"/>
        <v>#REF!</v>
      </c>
      <c r="C84" s="211"/>
      <c r="D84" s="211">
        <f>IF(IF(AND([2]Prod!C84="Si",[2]User!$C$2="Si"),[2]User!$D$2,[2]User!$B$2)&gt;[2]Prod!D84,1,0)</f>
        <v>1</v>
      </c>
      <c r="E84" s="211">
        <f>IF(IF(AND([2]Prod!D84="Si",[2]User!$C$2="Si"),[2]User!$D$2,[2]User!$B$2)&lt;[2]Prod!E84,1,0)</f>
        <v>0</v>
      </c>
      <c r="F84" s="211">
        <f>IF(AND([2]Prod!F84&lt;&gt;"Ambos",[2]Prod!F84&lt;&gt;[2]User!$E$2),0,1)</f>
        <v>0</v>
      </c>
      <c r="G84" s="57">
        <f>IF([2]User!$F$2&gt;[2]Prod!G84,1,0)</f>
        <v>1</v>
      </c>
      <c r="H84" s="57">
        <f>IF([2]User!$F$2&lt;[2]Prod!H84,1,0)</f>
        <v>0</v>
      </c>
      <c r="I84" s="57">
        <f>IF(AND([2]User!$G$2=1,[2]Prod!I84="SI"),1,IF(AND([2]User!$G$2=2,[2]Prod!J84="SI"),1,IF(AND([2]User!$G$2=3,[2]Prod!K84="SI"),1,0)))</f>
        <v>0</v>
      </c>
      <c r="J84" s="57">
        <f>IF([2]User!$H$2&gt;[2]Prod!L84,1,0)</f>
        <v>1</v>
      </c>
      <c r="K84" s="57">
        <f>IF([2]User!$H$2&lt;[2]Prod!M84,1,0)</f>
        <v>0</v>
      </c>
      <c r="L84" s="57">
        <f>IF([2]User!$I$2&gt;[2]Prod!N84,1,0)</f>
        <v>1</v>
      </c>
      <c r="M84" s="57">
        <f>IF([2]User!$J$2&lt;[2]Prod!O84,1,0)</f>
        <v>0</v>
      </c>
      <c r="N84" s="57"/>
      <c r="O84" s="57">
        <f>IF(AND([2]User!$L$2="NO",[2]Prod!W84="SI"),0,1)</f>
        <v>1</v>
      </c>
      <c r="P84" s="57">
        <f>IF(AND([2]User!$M$2&gt;0,[2]Prod!Q84="NO"),0,1)</f>
        <v>1</v>
      </c>
      <c r="Q84" s="57">
        <f>IF(AND(N84="VIVIENDA",[2]User!$N$2&lt;[2]User!$H$2*0.3),0,1)</f>
        <v>1</v>
      </c>
      <c r="R84" s="57" t="e">
        <f>IF(HLOOKUP([2]User!$O$2,[2]Prod!$AU$2:$BP$42,ROW(A84)-1,0)&lt;1000000,1,0)</f>
        <v>#REF!</v>
      </c>
      <c r="S84" s="57" t="e">
        <f>IF(HLOOKUP([2]User!$P$2,[2]Prod!$AU$2:$BP$42,ROW(B84)-1,0)&lt;1000000,1,0)</f>
        <v>#REF!</v>
      </c>
      <c r="T84" s="57" t="e">
        <f>IF(HLOOKUP([2]User!$Q$2,[2]Prod!$AU$2:$BP$42,ROW(C84)-1,0)&lt;1000000,1,0)</f>
        <v>#REF!</v>
      </c>
    </row>
    <row r="85" spans="2:20" x14ac:dyDescent="0.25">
      <c r="B85" s="212" t="e">
        <f t="shared" si="2"/>
        <v>#REF!</v>
      </c>
      <c r="C85" s="211"/>
      <c r="D85" s="211">
        <f>IF(IF(AND([2]Prod!C85="Si",[2]User!$C$2="Si"),[2]User!$D$2,[2]User!$B$2)&gt;[2]Prod!D85,1,0)</f>
        <v>1</v>
      </c>
      <c r="E85" s="211">
        <f>IF(IF(AND([2]Prod!D85="Si",[2]User!$C$2="Si"),[2]User!$D$2,[2]User!$B$2)&lt;[2]Prod!E85,1,0)</f>
        <v>0</v>
      </c>
      <c r="F85" s="211">
        <f>IF(AND([2]Prod!F85&lt;&gt;"Ambos",[2]Prod!F85&lt;&gt;[2]User!$E$2),0,1)</f>
        <v>0</v>
      </c>
      <c r="G85" s="57">
        <f>IF([2]User!$F$2&gt;[2]Prod!G85,1,0)</f>
        <v>1</v>
      </c>
      <c r="H85" s="57">
        <f>IF([2]User!$F$2&lt;[2]Prod!H85,1,0)</f>
        <v>0</v>
      </c>
      <c r="I85" s="57">
        <f>IF(AND([2]User!$G$2=1,[2]Prod!I85="SI"),1,IF(AND([2]User!$G$2=2,[2]Prod!J85="SI"),1,IF(AND([2]User!$G$2=3,[2]Prod!K85="SI"),1,0)))</f>
        <v>0</v>
      </c>
      <c r="J85" s="57">
        <f>IF([2]User!$H$2&gt;[2]Prod!L85,1,0)</f>
        <v>1</v>
      </c>
      <c r="K85" s="57">
        <f>IF([2]User!$H$2&lt;[2]Prod!M85,1,0)</f>
        <v>0</v>
      </c>
      <c r="L85" s="57">
        <f>IF([2]User!$I$2&gt;[2]Prod!N85,1,0)</f>
        <v>1</v>
      </c>
      <c r="M85" s="57">
        <f>IF([2]User!$J$2&lt;[2]Prod!O85,1,0)</f>
        <v>0</v>
      </c>
      <c r="N85" s="57"/>
      <c r="O85" s="57">
        <f>IF(AND([2]User!$L$2="NO",[2]Prod!W85="SI"),0,1)</f>
        <v>1</v>
      </c>
      <c r="P85" s="57">
        <f>IF(AND([2]User!$M$2&gt;0,[2]Prod!Q85="NO"),0,1)</f>
        <v>1</v>
      </c>
      <c r="Q85" s="57">
        <f>IF(AND(N85="VIVIENDA",[2]User!$N$2&lt;[2]User!$H$2*0.3),0,1)</f>
        <v>1</v>
      </c>
      <c r="R85" s="57" t="e">
        <f>IF(HLOOKUP([2]User!$O$2,[2]Prod!$AU$2:$BP$42,ROW(A85)-1,0)&lt;1000000,1,0)</f>
        <v>#REF!</v>
      </c>
      <c r="S85" s="57" t="e">
        <f>IF(HLOOKUP([2]User!$P$2,[2]Prod!$AU$2:$BP$42,ROW(B85)-1,0)&lt;1000000,1,0)</f>
        <v>#REF!</v>
      </c>
      <c r="T85" s="57" t="e">
        <f>IF(HLOOKUP([2]User!$Q$2,[2]Prod!$AU$2:$BP$42,ROW(C85)-1,0)&lt;1000000,1,0)</f>
        <v>#REF!</v>
      </c>
    </row>
    <row r="86" spans="2:20" x14ac:dyDescent="0.25">
      <c r="B86" s="212" t="e">
        <f t="shared" si="2"/>
        <v>#REF!</v>
      </c>
      <c r="C86" s="211"/>
      <c r="D86" s="211">
        <f>IF(IF(AND([2]Prod!C86="Si",[2]User!$C$2="Si"),[2]User!$D$2,[2]User!$B$2)&gt;[2]Prod!D86,1,0)</f>
        <v>1</v>
      </c>
      <c r="E86" s="211">
        <f>IF(IF(AND([2]Prod!D86="Si",[2]User!$C$2="Si"),[2]User!$D$2,[2]User!$B$2)&lt;[2]Prod!E86,1,0)</f>
        <v>0</v>
      </c>
      <c r="F86" s="211">
        <f>IF(AND([2]Prod!F86&lt;&gt;"Ambos",[2]Prod!F86&lt;&gt;[2]User!$E$2),0,1)</f>
        <v>0</v>
      </c>
      <c r="G86" s="57">
        <f>IF([2]User!$F$2&gt;[2]Prod!G86,1,0)</f>
        <v>1</v>
      </c>
      <c r="H86" s="57">
        <f>IF([2]User!$F$2&lt;[2]Prod!H86,1,0)</f>
        <v>0</v>
      </c>
      <c r="I86" s="57">
        <f>IF(AND([2]User!$G$2=1,[2]Prod!I86="SI"),1,IF(AND([2]User!$G$2=2,[2]Prod!J86="SI"),1,IF(AND([2]User!$G$2=3,[2]Prod!K86="SI"),1,0)))</f>
        <v>0</v>
      </c>
      <c r="J86" s="57">
        <f>IF([2]User!$H$2&gt;[2]Prod!L86,1,0)</f>
        <v>1</v>
      </c>
      <c r="K86" s="57">
        <f>IF([2]User!$H$2&lt;[2]Prod!M86,1,0)</f>
        <v>0</v>
      </c>
      <c r="L86" s="57">
        <f>IF([2]User!$I$2&gt;[2]Prod!N86,1,0)</f>
        <v>1</v>
      </c>
      <c r="M86" s="57">
        <f>IF([2]User!$J$2&lt;[2]Prod!O86,1,0)</f>
        <v>0</v>
      </c>
      <c r="N86" s="57"/>
      <c r="O86" s="57">
        <f>IF(AND([2]User!$L$2="NO",[2]Prod!W86="SI"),0,1)</f>
        <v>1</v>
      </c>
      <c r="P86" s="57">
        <f>IF(AND([2]User!$M$2&gt;0,[2]Prod!Q86="NO"),0,1)</f>
        <v>1</v>
      </c>
      <c r="Q86" s="57">
        <f>IF(AND(N86="VIVIENDA",[2]User!$N$2&lt;[2]User!$H$2*0.3),0,1)</f>
        <v>1</v>
      </c>
      <c r="R86" s="57" t="e">
        <f>IF(HLOOKUP([2]User!$O$2,[2]Prod!$AU$2:$BP$42,ROW(A86)-1,0)&lt;1000000,1,0)</f>
        <v>#REF!</v>
      </c>
      <c r="S86" s="57" t="e">
        <f>IF(HLOOKUP([2]User!$P$2,[2]Prod!$AU$2:$BP$42,ROW(B86)-1,0)&lt;1000000,1,0)</f>
        <v>#REF!</v>
      </c>
      <c r="T86" s="57" t="e">
        <f>IF(HLOOKUP([2]User!$Q$2,[2]Prod!$AU$2:$BP$42,ROW(C86)-1,0)&lt;1000000,1,0)</f>
        <v>#REF!</v>
      </c>
    </row>
    <row r="87" spans="2:20" x14ac:dyDescent="0.25">
      <c r="B87" s="212" t="e">
        <f t="shared" si="2"/>
        <v>#REF!</v>
      </c>
      <c r="C87" s="211"/>
      <c r="D87" s="211">
        <f>IF(IF(AND([2]Prod!C87="Si",[2]User!$C$2="Si"),[2]User!$D$2,[2]User!$B$2)&gt;[2]Prod!D87,1,0)</f>
        <v>1</v>
      </c>
      <c r="E87" s="211">
        <f>IF(IF(AND([2]Prod!D87="Si",[2]User!$C$2="Si"),[2]User!$D$2,[2]User!$B$2)&lt;[2]Prod!E87,1,0)</f>
        <v>0</v>
      </c>
      <c r="F87" s="211">
        <f>IF(AND([2]Prod!F87&lt;&gt;"Ambos",[2]Prod!F87&lt;&gt;[2]User!$E$2),0,1)</f>
        <v>0</v>
      </c>
      <c r="G87" s="57">
        <f>IF([2]User!$F$2&gt;[2]Prod!G87,1,0)</f>
        <v>1</v>
      </c>
      <c r="H87" s="57">
        <f>IF([2]User!$F$2&lt;[2]Prod!H87,1,0)</f>
        <v>0</v>
      </c>
      <c r="I87" s="57">
        <f>IF(AND([2]User!$G$2=1,[2]Prod!I87="SI"),1,IF(AND([2]User!$G$2=2,[2]Prod!J87="SI"),1,IF(AND([2]User!$G$2=3,[2]Prod!K87="SI"),1,0)))</f>
        <v>0</v>
      </c>
      <c r="J87" s="57">
        <f>IF([2]User!$H$2&gt;[2]Prod!L87,1,0)</f>
        <v>1</v>
      </c>
      <c r="K87" s="57">
        <f>IF([2]User!$H$2&lt;[2]Prod!M87,1,0)</f>
        <v>0</v>
      </c>
      <c r="L87" s="57">
        <f>IF([2]User!$I$2&gt;[2]Prod!N87,1,0)</f>
        <v>1</v>
      </c>
      <c r="M87" s="57">
        <f>IF([2]User!$J$2&lt;[2]Prod!O87,1,0)</f>
        <v>0</v>
      </c>
      <c r="N87" s="57"/>
      <c r="O87" s="57">
        <f>IF(AND([2]User!$L$2="NO",[2]Prod!W87="SI"),0,1)</f>
        <v>1</v>
      </c>
      <c r="P87" s="57">
        <f>IF(AND([2]User!$M$2&gt;0,[2]Prod!Q87="NO"),0,1)</f>
        <v>1</v>
      </c>
      <c r="Q87" s="57">
        <f>IF(AND(N87="VIVIENDA",[2]User!$N$2&lt;[2]User!$H$2*0.3),0,1)</f>
        <v>1</v>
      </c>
      <c r="R87" s="57" t="e">
        <f>IF(HLOOKUP([2]User!$O$2,[2]Prod!$AU$2:$BP$42,ROW(A87)-1,0)&lt;1000000,1,0)</f>
        <v>#REF!</v>
      </c>
      <c r="S87" s="57" t="e">
        <f>IF(HLOOKUP([2]User!$P$2,[2]Prod!$AU$2:$BP$42,ROW(B87)-1,0)&lt;1000000,1,0)</f>
        <v>#REF!</v>
      </c>
      <c r="T87" s="57" t="e">
        <f>IF(HLOOKUP([2]User!$Q$2,[2]Prod!$AU$2:$BP$42,ROW(C87)-1,0)&lt;1000000,1,0)</f>
        <v>#REF!</v>
      </c>
    </row>
    <row r="88" spans="2:20" x14ac:dyDescent="0.25">
      <c r="B88" s="212" t="e">
        <f t="shared" si="2"/>
        <v>#REF!</v>
      </c>
      <c r="C88" s="211"/>
      <c r="D88" s="211">
        <f>IF(IF(AND([2]Prod!C88="Si",[2]User!$C$2="Si"),[2]User!$D$2,[2]User!$B$2)&gt;[2]Prod!D88,1,0)</f>
        <v>1</v>
      </c>
      <c r="E88" s="211">
        <f>IF(IF(AND([2]Prod!D88="Si",[2]User!$C$2="Si"),[2]User!$D$2,[2]User!$B$2)&lt;[2]Prod!E88,1,0)</f>
        <v>0</v>
      </c>
      <c r="F88" s="211">
        <f>IF(AND([2]Prod!F88&lt;&gt;"Ambos",[2]Prod!F88&lt;&gt;[2]User!$E$2),0,1)</f>
        <v>0</v>
      </c>
      <c r="G88" s="57">
        <f>IF([2]User!$F$2&gt;[2]Prod!G88,1,0)</f>
        <v>1</v>
      </c>
      <c r="H88" s="57">
        <f>IF([2]User!$F$2&lt;[2]Prod!H88,1,0)</f>
        <v>0</v>
      </c>
      <c r="I88" s="57">
        <f>IF(AND([2]User!$G$2=1,[2]Prod!I88="SI"),1,IF(AND([2]User!$G$2=2,[2]Prod!J88="SI"),1,IF(AND([2]User!$G$2=3,[2]Prod!K88="SI"),1,0)))</f>
        <v>0</v>
      </c>
      <c r="J88" s="57">
        <f>IF([2]User!$H$2&gt;[2]Prod!L88,1,0)</f>
        <v>1</v>
      </c>
      <c r="K88" s="57">
        <f>IF([2]User!$H$2&lt;[2]Prod!M88,1,0)</f>
        <v>0</v>
      </c>
      <c r="L88" s="57">
        <f>IF([2]User!$I$2&gt;[2]Prod!N88,1,0)</f>
        <v>1</v>
      </c>
      <c r="M88" s="57">
        <f>IF([2]User!$J$2&lt;[2]Prod!O88,1,0)</f>
        <v>0</v>
      </c>
      <c r="N88" s="57"/>
      <c r="O88" s="57">
        <f>IF(AND([2]User!$L$2="NO",[2]Prod!W88="SI"),0,1)</f>
        <v>1</v>
      </c>
      <c r="P88" s="57">
        <f>IF(AND([2]User!$M$2&gt;0,[2]Prod!Q88="NO"),0,1)</f>
        <v>1</v>
      </c>
      <c r="Q88" s="57">
        <f>IF(AND(N88="VIVIENDA",[2]User!$N$2&lt;[2]User!$H$2*0.3),0,1)</f>
        <v>1</v>
      </c>
      <c r="R88" s="57" t="e">
        <f>IF(HLOOKUP([2]User!$O$2,[2]Prod!$AU$2:$BP$42,ROW(A88)-1,0)&lt;1000000,1,0)</f>
        <v>#REF!</v>
      </c>
      <c r="S88" s="57" t="e">
        <f>IF(HLOOKUP([2]User!$P$2,[2]Prod!$AU$2:$BP$42,ROW(B88)-1,0)&lt;1000000,1,0)</f>
        <v>#REF!</v>
      </c>
      <c r="T88" s="57" t="e">
        <f>IF(HLOOKUP([2]User!$Q$2,[2]Prod!$AU$2:$BP$42,ROW(C88)-1,0)&lt;1000000,1,0)</f>
        <v>#REF!</v>
      </c>
    </row>
    <row r="89" spans="2:20" x14ac:dyDescent="0.25">
      <c r="B89" s="212" t="e">
        <f t="shared" si="2"/>
        <v>#REF!</v>
      </c>
      <c r="C89" s="211"/>
      <c r="D89" s="211">
        <f>IF(IF(AND([2]Prod!C89="Si",[2]User!$C$2="Si"),[2]User!$D$2,[2]User!$B$2)&gt;[2]Prod!D89,1,0)</f>
        <v>1</v>
      </c>
      <c r="E89" s="211">
        <f>IF(IF(AND([2]Prod!D89="Si",[2]User!$C$2="Si"),[2]User!$D$2,[2]User!$B$2)&lt;[2]Prod!E89,1,0)</f>
        <v>0</v>
      </c>
      <c r="F89" s="211">
        <f>IF(AND([2]Prod!F89&lt;&gt;"Ambos",[2]Prod!F89&lt;&gt;[2]User!$E$2),0,1)</f>
        <v>0</v>
      </c>
      <c r="G89" s="57">
        <f>IF([2]User!$F$2&gt;[2]Prod!G89,1,0)</f>
        <v>1</v>
      </c>
      <c r="H89" s="57">
        <f>IF([2]User!$F$2&lt;[2]Prod!H89,1,0)</f>
        <v>0</v>
      </c>
      <c r="I89" s="57">
        <f>IF(AND([2]User!$G$2=1,[2]Prod!I89="SI"),1,IF(AND([2]User!$G$2=2,[2]Prod!J89="SI"),1,IF(AND([2]User!$G$2=3,[2]Prod!K89="SI"),1,0)))</f>
        <v>0</v>
      </c>
      <c r="J89" s="57">
        <f>IF([2]User!$H$2&gt;[2]Prod!L89,1,0)</f>
        <v>1</v>
      </c>
      <c r="K89" s="57">
        <f>IF([2]User!$H$2&lt;[2]Prod!M89,1,0)</f>
        <v>0</v>
      </c>
      <c r="L89" s="57">
        <f>IF([2]User!$I$2&gt;[2]Prod!N89,1,0)</f>
        <v>1</v>
      </c>
      <c r="M89" s="57">
        <f>IF([2]User!$J$2&lt;[2]Prod!O89,1,0)</f>
        <v>0</v>
      </c>
      <c r="N89" s="57"/>
      <c r="O89" s="57">
        <f>IF(AND([2]User!$L$2="NO",[2]Prod!W89="SI"),0,1)</f>
        <v>1</v>
      </c>
      <c r="P89" s="57">
        <f>IF(AND([2]User!$M$2&gt;0,[2]Prod!Q89="NO"),0,1)</f>
        <v>1</v>
      </c>
      <c r="Q89" s="57">
        <f>IF(AND(N89="VIVIENDA",[2]User!$N$2&lt;[2]User!$H$2*0.3),0,1)</f>
        <v>1</v>
      </c>
      <c r="R89" s="57" t="e">
        <f>IF(HLOOKUP([2]User!$O$2,[2]Prod!$AU$2:$BP$42,ROW(A89)-1,0)&lt;1000000,1,0)</f>
        <v>#REF!</v>
      </c>
      <c r="S89" s="57" t="e">
        <f>IF(HLOOKUP([2]User!$P$2,[2]Prod!$AU$2:$BP$42,ROW(B89)-1,0)&lt;1000000,1,0)</f>
        <v>#REF!</v>
      </c>
      <c r="T89" s="57" t="e">
        <f>IF(HLOOKUP([2]User!$Q$2,[2]Prod!$AU$2:$BP$42,ROW(C89)-1,0)&lt;1000000,1,0)</f>
        <v>#REF!</v>
      </c>
    </row>
    <row r="90" spans="2:20" x14ac:dyDescent="0.25">
      <c r="B90" s="212" t="e">
        <f t="shared" si="2"/>
        <v>#REF!</v>
      </c>
      <c r="C90" s="211"/>
      <c r="D90" s="211">
        <f>IF(IF(AND([2]Prod!C90="Si",[2]User!$C$2="Si"),[2]User!$D$2,[2]User!$B$2)&gt;[2]Prod!D90,1,0)</f>
        <v>1</v>
      </c>
      <c r="E90" s="211">
        <f>IF(IF(AND([2]Prod!D90="Si",[2]User!$C$2="Si"),[2]User!$D$2,[2]User!$B$2)&lt;[2]Prod!E90,1,0)</f>
        <v>0</v>
      </c>
      <c r="F90" s="211">
        <f>IF(AND([2]Prod!F90&lt;&gt;"Ambos",[2]Prod!F90&lt;&gt;[2]User!$E$2),0,1)</f>
        <v>0</v>
      </c>
      <c r="G90" s="57">
        <f>IF([2]User!$F$2&gt;[2]Prod!G90,1,0)</f>
        <v>1</v>
      </c>
      <c r="H90" s="57">
        <f>IF([2]User!$F$2&lt;[2]Prod!H90,1,0)</f>
        <v>0</v>
      </c>
      <c r="I90" s="57">
        <f>IF(AND([2]User!$G$2=1,[2]Prod!I90="SI"),1,IF(AND([2]User!$G$2=2,[2]Prod!J90="SI"),1,IF(AND([2]User!$G$2=3,[2]Prod!K90="SI"),1,0)))</f>
        <v>0</v>
      </c>
      <c r="J90" s="57">
        <f>IF([2]User!$H$2&gt;[2]Prod!L90,1,0)</f>
        <v>1</v>
      </c>
      <c r="K90" s="57">
        <f>IF([2]User!$H$2&lt;[2]Prod!M90,1,0)</f>
        <v>0</v>
      </c>
      <c r="L90" s="57">
        <f>IF([2]User!$I$2&gt;[2]Prod!N90,1,0)</f>
        <v>1</v>
      </c>
      <c r="M90" s="57">
        <f>IF([2]User!$J$2&lt;[2]Prod!O90,1,0)</f>
        <v>0</v>
      </c>
      <c r="N90" s="57"/>
      <c r="O90" s="57">
        <f>IF(AND([2]User!$L$2="NO",[2]Prod!W90="SI"),0,1)</f>
        <v>1</v>
      </c>
      <c r="P90" s="57">
        <f>IF(AND([2]User!$M$2&gt;0,[2]Prod!Q90="NO"),0,1)</f>
        <v>1</v>
      </c>
      <c r="Q90" s="57">
        <f>IF(AND(N90="VIVIENDA",[2]User!$N$2&lt;[2]User!$H$2*0.3),0,1)</f>
        <v>1</v>
      </c>
      <c r="R90" s="57" t="e">
        <f>IF(HLOOKUP([2]User!$O$2,[2]Prod!$AU$2:$BP$42,ROW(A90)-1,0)&lt;1000000,1,0)</f>
        <v>#REF!</v>
      </c>
      <c r="S90" s="57" t="e">
        <f>IF(HLOOKUP([2]User!$P$2,[2]Prod!$AU$2:$BP$42,ROW(B90)-1,0)&lt;1000000,1,0)</f>
        <v>#REF!</v>
      </c>
      <c r="T90" s="57" t="e">
        <f>IF(HLOOKUP([2]User!$Q$2,[2]Prod!$AU$2:$BP$42,ROW(C90)-1,0)&lt;1000000,1,0)</f>
        <v>#REF!</v>
      </c>
    </row>
    <row r="91" spans="2:20" x14ac:dyDescent="0.25">
      <c r="B91" s="212" t="e">
        <f t="shared" si="2"/>
        <v>#REF!</v>
      </c>
      <c r="C91" s="211"/>
      <c r="D91" s="211">
        <f>IF(IF(AND([2]Prod!C91="Si",[2]User!$C$2="Si"),[2]User!$D$2,[2]User!$B$2)&gt;[2]Prod!D91,1,0)</f>
        <v>1</v>
      </c>
      <c r="E91" s="211">
        <f>IF(IF(AND([2]Prod!D91="Si",[2]User!$C$2="Si"),[2]User!$D$2,[2]User!$B$2)&lt;[2]Prod!E91,1,0)</f>
        <v>0</v>
      </c>
      <c r="F91" s="211">
        <f>IF(AND([2]Prod!F91&lt;&gt;"Ambos",[2]Prod!F91&lt;&gt;[2]User!$E$2),0,1)</f>
        <v>0</v>
      </c>
      <c r="G91" s="57">
        <f>IF([2]User!$F$2&gt;[2]Prod!G91,1,0)</f>
        <v>1</v>
      </c>
      <c r="H91" s="57">
        <f>IF([2]User!$F$2&lt;[2]Prod!H91,1,0)</f>
        <v>0</v>
      </c>
      <c r="I91" s="57">
        <f>IF(AND([2]User!$G$2=1,[2]Prod!I91="SI"),1,IF(AND([2]User!$G$2=2,[2]Prod!J91="SI"),1,IF(AND([2]User!$G$2=3,[2]Prod!K91="SI"),1,0)))</f>
        <v>0</v>
      </c>
      <c r="J91" s="57">
        <f>IF([2]User!$H$2&gt;[2]Prod!L91,1,0)</f>
        <v>1</v>
      </c>
      <c r="K91" s="57">
        <f>IF([2]User!$H$2&lt;[2]Prod!M91,1,0)</f>
        <v>0</v>
      </c>
      <c r="L91" s="57">
        <f>IF([2]User!$I$2&gt;[2]Prod!N91,1,0)</f>
        <v>1</v>
      </c>
      <c r="M91" s="57">
        <f>IF([2]User!$J$2&lt;[2]Prod!O91,1,0)</f>
        <v>0</v>
      </c>
      <c r="N91" s="57"/>
      <c r="O91" s="57">
        <f>IF(AND([2]User!$L$2="NO",[2]Prod!W91="SI"),0,1)</f>
        <v>1</v>
      </c>
      <c r="P91" s="57">
        <f>IF(AND([2]User!$M$2&gt;0,[2]Prod!Q91="NO"),0,1)</f>
        <v>1</v>
      </c>
      <c r="Q91" s="57">
        <f>IF(AND(N91="VIVIENDA",[2]User!$N$2&lt;[2]User!$H$2*0.3),0,1)</f>
        <v>1</v>
      </c>
      <c r="R91" s="57" t="e">
        <f>IF(HLOOKUP([2]User!$O$2,[2]Prod!$AU$2:$BP$42,ROW(A91)-1,0)&lt;1000000,1,0)</f>
        <v>#REF!</v>
      </c>
      <c r="S91" s="57" t="e">
        <f>IF(HLOOKUP([2]User!$P$2,[2]Prod!$AU$2:$BP$42,ROW(B91)-1,0)&lt;1000000,1,0)</f>
        <v>#REF!</v>
      </c>
      <c r="T91" s="57" t="e">
        <f>IF(HLOOKUP([2]User!$Q$2,[2]Prod!$AU$2:$BP$42,ROW(C91)-1,0)&lt;1000000,1,0)</f>
        <v>#REF!</v>
      </c>
    </row>
    <row r="92" spans="2:20" x14ac:dyDescent="0.25">
      <c r="B92" s="212" t="e">
        <f t="shared" si="2"/>
        <v>#REF!</v>
      </c>
      <c r="C92" s="211"/>
      <c r="D92" s="211">
        <f>IF(IF(AND([2]Prod!C92="Si",[2]User!$C$2="Si"),[2]User!$D$2,[2]User!$B$2)&gt;[2]Prod!D92,1,0)</f>
        <v>1</v>
      </c>
      <c r="E92" s="211">
        <f>IF(IF(AND([2]Prod!D92="Si",[2]User!$C$2="Si"),[2]User!$D$2,[2]User!$B$2)&lt;[2]Prod!E92,1,0)</f>
        <v>0</v>
      </c>
      <c r="F92" s="211">
        <f>IF(AND([2]Prod!F92&lt;&gt;"Ambos",[2]Prod!F92&lt;&gt;[2]User!$E$2),0,1)</f>
        <v>0</v>
      </c>
      <c r="G92" s="57">
        <f>IF([2]User!$F$2&gt;[2]Prod!G92,1,0)</f>
        <v>1</v>
      </c>
      <c r="H92" s="57">
        <f>IF([2]User!$F$2&lt;[2]Prod!H92,1,0)</f>
        <v>0</v>
      </c>
      <c r="I92" s="57">
        <f>IF(AND([2]User!$G$2=1,[2]Prod!I92="SI"),1,IF(AND([2]User!$G$2=2,[2]Prod!J92="SI"),1,IF(AND([2]User!$G$2=3,[2]Prod!K92="SI"),1,0)))</f>
        <v>0</v>
      </c>
      <c r="J92" s="57">
        <f>IF([2]User!$H$2&gt;[2]Prod!L92,1,0)</f>
        <v>1</v>
      </c>
      <c r="K92" s="57">
        <f>IF([2]User!$H$2&lt;[2]Prod!M92,1,0)</f>
        <v>0</v>
      </c>
      <c r="L92" s="57">
        <f>IF([2]User!$I$2&gt;[2]Prod!N92,1,0)</f>
        <v>1</v>
      </c>
      <c r="M92" s="57">
        <f>IF([2]User!$J$2&lt;[2]Prod!O92,1,0)</f>
        <v>0</v>
      </c>
      <c r="N92" s="57"/>
      <c r="O92" s="57">
        <f>IF(AND([2]User!$L$2="NO",[2]Prod!W92="SI"),0,1)</f>
        <v>1</v>
      </c>
      <c r="P92" s="57">
        <f>IF(AND([2]User!$M$2&gt;0,[2]Prod!Q92="NO"),0,1)</f>
        <v>1</v>
      </c>
      <c r="Q92" s="57">
        <f>IF(AND(N92="VIVIENDA",[2]User!$N$2&lt;[2]User!$H$2*0.3),0,1)</f>
        <v>1</v>
      </c>
      <c r="R92" s="57" t="e">
        <f>IF(HLOOKUP([2]User!$O$2,[2]Prod!$AU$2:$BP$42,ROW(A92)-1,0)&lt;1000000,1,0)</f>
        <v>#REF!</v>
      </c>
      <c r="S92" s="57" t="e">
        <f>IF(HLOOKUP([2]User!$P$2,[2]Prod!$AU$2:$BP$42,ROW(B92)-1,0)&lt;1000000,1,0)</f>
        <v>#REF!</v>
      </c>
      <c r="T92" s="57" t="e">
        <f>IF(HLOOKUP([2]User!$Q$2,[2]Prod!$AU$2:$BP$42,ROW(C92)-1,0)&lt;1000000,1,0)</f>
        <v>#REF!</v>
      </c>
    </row>
    <row r="93" spans="2:20" x14ac:dyDescent="0.25">
      <c r="B93" s="212" t="e">
        <f t="shared" si="2"/>
        <v>#REF!</v>
      </c>
      <c r="C93" s="211"/>
      <c r="D93" s="211">
        <f>IF(IF(AND([2]Prod!C93="Si",[2]User!$C$2="Si"),[2]User!$D$2,[2]User!$B$2)&gt;[2]Prod!D93,1,0)</f>
        <v>1</v>
      </c>
      <c r="E93" s="211">
        <f>IF(IF(AND([2]Prod!D93="Si",[2]User!$C$2="Si"),[2]User!$D$2,[2]User!$B$2)&lt;[2]Prod!E93,1,0)</f>
        <v>0</v>
      </c>
      <c r="F93" s="211">
        <f>IF(AND([2]Prod!F93&lt;&gt;"Ambos",[2]Prod!F93&lt;&gt;[2]User!$E$2),0,1)</f>
        <v>0</v>
      </c>
      <c r="G93" s="57">
        <f>IF([2]User!$F$2&gt;[2]Prod!G93,1,0)</f>
        <v>1</v>
      </c>
      <c r="H93" s="57">
        <f>IF([2]User!$F$2&lt;[2]Prod!H93,1,0)</f>
        <v>0</v>
      </c>
      <c r="I93" s="57">
        <f>IF(AND([2]User!$G$2=1,[2]Prod!I93="SI"),1,IF(AND([2]User!$G$2=2,[2]Prod!J93="SI"),1,IF(AND([2]User!$G$2=3,[2]Prod!K93="SI"),1,0)))</f>
        <v>0</v>
      </c>
      <c r="J93" s="57">
        <f>IF([2]User!$H$2&gt;[2]Prod!L93,1,0)</f>
        <v>1</v>
      </c>
      <c r="K93" s="57">
        <f>IF([2]User!$H$2&lt;[2]Prod!M93,1,0)</f>
        <v>0</v>
      </c>
      <c r="L93" s="57">
        <f>IF([2]User!$I$2&gt;[2]Prod!N93,1,0)</f>
        <v>1</v>
      </c>
      <c r="M93" s="57">
        <f>IF([2]User!$J$2&lt;[2]Prod!O93,1,0)</f>
        <v>0</v>
      </c>
      <c r="N93" s="57"/>
      <c r="O93" s="57">
        <f>IF(AND([2]User!$L$2="NO",[2]Prod!W93="SI"),0,1)</f>
        <v>1</v>
      </c>
      <c r="P93" s="57">
        <f>IF(AND([2]User!$M$2&gt;0,[2]Prod!Q93="NO"),0,1)</f>
        <v>1</v>
      </c>
      <c r="Q93" s="57">
        <f>IF(AND(N93="VIVIENDA",[2]User!$N$2&lt;[2]User!$H$2*0.3),0,1)</f>
        <v>1</v>
      </c>
      <c r="R93" s="57" t="e">
        <f>IF(HLOOKUP([2]User!$O$2,[2]Prod!$AU$2:$BP$42,ROW(A93)-1,0)&lt;1000000,1,0)</f>
        <v>#REF!</v>
      </c>
      <c r="S93" s="57" t="e">
        <f>IF(HLOOKUP([2]User!$P$2,[2]Prod!$AU$2:$BP$42,ROW(B93)-1,0)&lt;1000000,1,0)</f>
        <v>#REF!</v>
      </c>
      <c r="T93" s="57" t="e">
        <f>IF(HLOOKUP([2]User!$Q$2,[2]Prod!$AU$2:$BP$42,ROW(C93)-1,0)&lt;1000000,1,0)</f>
        <v>#REF!</v>
      </c>
    </row>
    <row r="94" spans="2:20" x14ac:dyDescent="0.25">
      <c r="B94" s="212" t="e">
        <f t="shared" si="2"/>
        <v>#REF!</v>
      </c>
      <c r="C94" s="211"/>
      <c r="D94" s="211">
        <f>IF(IF(AND([2]Prod!C94="Si",[2]User!$C$2="Si"),[2]User!$D$2,[2]User!$B$2)&gt;[2]Prod!D94,1,0)</f>
        <v>1</v>
      </c>
      <c r="E94" s="211">
        <f>IF(IF(AND([2]Prod!D94="Si",[2]User!$C$2="Si"),[2]User!$D$2,[2]User!$B$2)&lt;[2]Prod!E94,1,0)</f>
        <v>0</v>
      </c>
      <c r="F94" s="211">
        <f>IF(AND([2]Prod!F94&lt;&gt;"Ambos",[2]Prod!F94&lt;&gt;[2]User!$E$2),0,1)</f>
        <v>0</v>
      </c>
      <c r="G94" s="57">
        <f>IF([2]User!$F$2&gt;[2]Prod!G94,1,0)</f>
        <v>1</v>
      </c>
      <c r="H94" s="57">
        <f>IF([2]User!$F$2&lt;[2]Prod!H94,1,0)</f>
        <v>0</v>
      </c>
      <c r="I94" s="57">
        <f>IF(AND([2]User!$G$2=1,[2]Prod!I94="SI"),1,IF(AND([2]User!$G$2=2,[2]Prod!J94="SI"),1,IF(AND([2]User!$G$2=3,[2]Prod!K94="SI"),1,0)))</f>
        <v>0</v>
      </c>
      <c r="J94" s="57">
        <f>IF([2]User!$H$2&gt;[2]Prod!L94,1,0)</f>
        <v>1</v>
      </c>
      <c r="K94" s="57">
        <f>IF([2]User!$H$2&lt;[2]Prod!M94,1,0)</f>
        <v>0</v>
      </c>
      <c r="L94" s="57">
        <f>IF([2]User!$I$2&gt;[2]Prod!N94,1,0)</f>
        <v>1</v>
      </c>
      <c r="M94" s="57">
        <f>IF([2]User!$J$2&lt;[2]Prod!O94,1,0)</f>
        <v>0</v>
      </c>
      <c r="N94" s="57"/>
      <c r="O94" s="57">
        <f>IF(AND([2]User!$L$2="NO",[2]Prod!W94="SI"),0,1)</f>
        <v>1</v>
      </c>
      <c r="P94" s="57">
        <f>IF(AND([2]User!$M$2&gt;0,[2]Prod!Q94="NO"),0,1)</f>
        <v>1</v>
      </c>
      <c r="Q94" s="57">
        <f>IF(AND(N94="VIVIENDA",[2]User!$N$2&lt;[2]User!$H$2*0.3),0,1)</f>
        <v>1</v>
      </c>
      <c r="R94" s="57" t="e">
        <f>IF(HLOOKUP([2]User!$O$2,[2]Prod!$AU$2:$BP$42,ROW(A94)-1,0)&lt;1000000,1,0)</f>
        <v>#REF!</v>
      </c>
      <c r="S94" s="57" t="e">
        <f>IF(HLOOKUP([2]User!$P$2,[2]Prod!$AU$2:$BP$42,ROW(B94)-1,0)&lt;1000000,1,0)</f>
        <v>#REF!</v>
      </c>
      <c r="T94" s="57" t="e">
        <f>IF(HLOOKUP([2]User!$Q$2,[2]Prod!$AU$2:$BP$42,ROW(C94)-1,0)&lt;1000000,1,0)</f>
        <v>#REF!</v>
      </c>
    </row>
    <row r="95" spans="2:20" x14ac:dyDescent="0.25">
      <c r="B95" s="212" t="e">
        <f t="shared" si="2"/>
        <v>#REF!</v>
      </c>
      <c r="C95" s="211"/>
      <c r="D95" s="211">
        <f>IF(IF(AND([2]Prod!C95="Si",[2]User!$C$2="Si"),[2]User!$D$2,[2]User!$B$2)&gt;[2]Prod!D95,1,0)</f>
        <v>1</v>
      </c>
      <c r="E95" s="211">
        <f>IF(IF(AND([2]Prod!D95="Si",[2]User!$C$2="Si"),[2]User!$D$2,[2]User!$B$2)&lt;[2]Prod!E95,1,0)</f>
        <v>0</v>
      </c>
      <c r="F95" s="211">
        <f>IF(AND([2]Prod!F95&lt;&gt;"Ambos",[2]Prod!F95&lt;&gt;[2]User!$E$2),0,1)</f>
        <v>0</v>
      </c>
      <c r="G95" s="57">
        <f>IF([2]User!$F$2&gt;[2]Prod!G95,1,0)</f>
        <v>1</v>
      </c>
      <c r="H95" s="57">
        <f>IF([2]User!$F$2&lt;[2]Prod!H95,1,0)</f>
        <v>0</v>
      </c>
      <c r="I95" s="57">
        <f>IF(AND([2]User!$G$2=1,[2]Prod!I95="SI"),1,IF(AND([2]User!$G$2=2,[2]Prod!J95="SI"),1,IF(AND([2]User!$G$2=3,[2]Prod!K95="SI"),1,0)))</f>
        <v>0</v>
      </c>
      <c r="J95" s="57">
        <f>IF([2]User!$H$2&gt;[2]Prod!L95,1,0)</f>
        <v>1</v>
      </c>
      <c r="K95" s="57">
        <f>IF([2]User!$H$2&lt;[2]Prod!M95,1,0)</f>
        <v>0</v>
      </c>
      <c r="L95" s="57">
        <f>IF([2]User!$I$2&gt;[2]Prod!N95,1,0)</f>
        <v>1</v>
      </c>
      <c r="M95" s="57">
        <f>IF([2]User!$J$2&lt;[2]Prod!O95,1,0)</f>
        <v>0</v>
      </c>
      <c r="N95" s="57"/>
      <c r="O95" s="57">
        <f>IF(AND([2]User!$L$2="NO",[2]Prod!W95="SI"),0,1)</f>
        <v>1</v>
      </c>
      <c r="P95" s="57">
        <f>IF(AND([2]User!$M$2&gt;0,[2]Prod!Q95="NO"),0,1)</f>
        <v>1</v>
      </c>
      <c r="Q95" s="57">
        <f>IF(AND(N95="VIVIENDA",[2]User!$N$2&lt;[2]User!$H$2*0.3),0,1)</f>
        <v>1</v>
      </c>
      <c r="R95" s="57" t="e">
        <f>IF(HLOOKUP([2]User!$O$2,[2]Prod!$AU$2:$BP$42,ROW(A95)-1,0)&lt;1000000,1,0)</f>
        <v>#REF!</v>
      </c>
      <c r="S95" s="57" t="e">
        <f>IF(HLOOKUP([2]User!$P$2,[2]Prod!$AU$2:$BP$42,ROW(B95)-1,0)&lt;1000000,1,0)</f>
        <v>#REF!</v>
      </c>
      <c r="T95" s="57" t="e">
        <f>IF(HLOOKUP([2]User!$Q$2,[2]Prod!$AU$2:$BP$42,ROW(C95)-1,0)&lt;1000000,1,0)</f>
        <v>#REF!</v>
      </c>
    </row>
    <row r="96" spans="2:20" x14ac:dyDescent="0.25">
      <c r="B96" s="212" t="e">
        <f t="shared" si="2"/>
        <v>#REF!</v>
      </c>
      <c r="C96" s="211"/>
      <c r="D96" s="211">
        <f>IF(IF(AND([2]Prod!C96="Si",[2]User!$C$2="Si"),[2]User!$D$2,[2]User!$B$2)&gt;[2]Prod!D96,1,0)</f>
        <v>1</v>
      </c>
      <c r="E96" s="211">
        <f>IF(IF(AND([2]Prod!D96="Si",[2]User!$C$2="Si"),[2]User!$D$2,[2]User!$B$2)&lt;[2]Prod!E96,1,0)</f>
        <v>0</v>
      </c>
      <c r="F96" s="211">
        <f>IF(AND([2]Prod!F96&lt;&gt;"Ambos",[2]Prod!F96&lt;&gt;[2]User!$E$2),0,1)</f>
        <v>0</v>
      </c>
      <c r="G96" s="57">
        <f>IF([2]User!$F$2&gt;[2]Prod!G96,1,0)</f>
        <v>1</v>
      </c>
      <c r="H96" s="57">
        <f>IF([2]User!$F$2&lt;[2]Prod!H96,1,0)</f>
        <v>0</v>
      </c>
      <c r="I96" s="57">
        <f>IF(AND([2]User!$G$2=1,[2]Prod!I96="SI"),1,IF(AND([2]User!$G$2=2,[2]Prod!J96="SI"),1,IF(AND([2]User!$G$2=3,[2]Prod!K96="SI"),1,0)))</f>
        <v>0</v>
      </c>
      <c r="J96" s="57">
        <f>IF([2]User!$H$2&gt;[2]Prod!L96,1,0)</f>
        <v>1</v>
      </c>
      <c r="K96" s="57">
        <f>IF([2]User!$H$2&lt;[2]Prod!M96,1,0)</f>
        <v>0</v>
      </c>
      <c r="L96" s="57">
        <f>IF([2]User!$I$2&gt;[2]Prod!N96,1,0)</f>
        <v>1</v>
      </c>
      <c r="M96" s="57">
        <f>IF([2]User!$J$2&lt;[2]Prod!O96,1,0)</f>
        <v>0</v>
      </c>
      <c r="N96" s="57"/>
      <c r="O96" s="57">
        <f>IF(AND([2]User!$L$2="NO",[2]Prod!W96="SI"),0,1)</f>
        <v>1</v>
      </c>
      <c r="P96" s="57">
        <f>IF(AND([2]User!$M$2&gt;0,[2]Prod!Q96="NO"),0,1)</f>
        <v>1</v>
      </c>
      <c r="Q96" s="57">
        <f>IF(AND(N96="VIVIENDA",[2]User!$N$2&lt;[2]User!$H$2*0.3),0,1)</f>
        <v>1</v>
      </c>
      <c r="R96" s="57" t="e">
        <f>IF(HLOOKUP([2]User!$O$2,[2]Prod!$AU$2:$BP$42,ROW(A96)-1,0)&lt;1000000,1,0)</f>
        <v>#REF!</v>
      </c>
      <c r="S96" s="57" t="e">
        <f>IF(HLOOKUP([2]User!$P$2,[2]Prod!$AU$2:$BP$42,ROW(B96)-1,0)&lt;1000000,1,0)</f>
        <v>#REF!</v>
      </c>
      <c r="T96" s="57" t="e">
        <f>IF(HLOOKUP([2]User!$Q$2,[2]Prod!$AU$2:$BP$42,ROW(C96)-1,0)&lt;1000000,1,0)</f>
        <v>#REF!</v>
      </c>
    </row>
    <row r="97" spans="2:20" x14ac:dyDescent="0.25">
      <c r="B97" s="212" t="e">
        <f t="shared" si="2"/>
        <v>#REF!</v>
      </c>
      <c r="C97" s="211"/>
      <c r="D97" s="211">
        <f>IF(IF(AND([2]Prod!C97="Si",[2]User!$C$2="Si"),[2]User!$D$2,[2]User!$B$2)&gt;[2]Prod!D97,1,0)</f>
        <v>1</v>
      </c>
      <c r="E97" s="211">
        <f>IF(IF(AND([2]Prod!D97="Si",[2]User!$C$2="Si"),[2]User!$D$2,[2]User!$B$2)&lt;[2]Prod!E97,1,0)</f>
        <v>0</v>
      </c>
      <c r="F97" s="211">
        <f>IF(AND([2]Prod!F97&lt;&gt;"Ambos",[2]Prod!F97&lt;&gt;[2]User!$E$2),0,1)</f>
        <v>0</v>
      </c>
      <c r="G97" s="57">
        <f>IF([2]User!$F$2&gt;[2]Prod!G97,1,0)</f>
        <v>1</v>
      </c>
      <c r="H97" s="57">
        <f>IF([2]User!$F$2&lt;[2]Prod!H97,1,0)</f>
        <v>0</v>
      </c>
      <c r="I97" s="57">
        <f>IF(AND([2]User!$G$2=1,[2]Prod!I97="SI"),1,IF(AND([2]User!$G$2=2,[2]Prod!J97="SI"),1,IF(AND([2]User!$G$2=3,[2]Prod!K97="SI"),1,0)))</f>
        <v>0</v>
      </c>
      <c r="J97" s="57">
        <f>IF([2]User!$H$2&gt;[2]Prod!L97,1,0)</f>
        <v>1</v>
      </c>
      <c r="K97" s="57">
        <f>IF([2]User!$H$2&lt;[2]Prod!M97,1,0)</f>
        <v>0</v>
      </c>
      <c r="L97" s="57">
        <f>IF([2]User!$I$2&gt;[2]Prod!N97,1,0)</f>
        <v>1</v>
      </c>
      <c r="M97" s="57">
        <f>IF([2]User!$J$2&lt;[2]Prod!O97,1,0)</f>
        <v>0</v>
      </c>
      <c r="N97" s="57"/>
      <c r="O97" s="57">
        <f>IF(AND([2]User!$L$2="NO",[2]Prod!W97="SI"),0,1)</f>
        <v>1</v>
      </c>
      <c r="P97" s="57">
        <f>IF(AND([2]User!$M$2&gt;0,[2]Prod!Q97="NO"),0,1)</f>
        <v>1</v>
      </c>
      <c r="Q97" s="57">
        <f>IF(AND(N97="VIVIENDA",[2]User!$N$2&lt;[2]User!$H$2*0.3),0,1)</f>
        <v>1</v>
      </c>
      <c r="R97" s="57" t="e">
        <f>IF(HLOOKUP([2]User!$O$2,[2]Prod!$AU$2:$BP$42,ROW(A97)-1,0)&lt;1000000,1,0)</f>
        <v>#REF!</v>
      </c>
      <c r="S97" s="57" t="e">
        <f>IF(HLOOKUP([2]User!$P$2,[2]Prod!$AU$2:$BP$42,ROW(B97)-1,0)&lt;1000000,1,0)</f>
        <v>#REF!</v>
      </c>
      <c r="T97" s="57" t="e">
        <f>IF(HLOOKUP([2]User!$Q$2,[2]Prod!$AU$2:$BP$42,ROW(C97)-1,0)&lt;1000000,1,0)</f>
        <v>#REF!</v>
      </c>
    </row>
    <row r="98" spans="2:20" x14ac:dyDescent="0.25">
      <c r="B98" s="212" t="e">
        <f t="shared" si="2"/>
        <v>#REF!</v>
      </c>
      <c r="C98" s="211"/>
      <c r="D98" s="211">
        <f>IF(IF(AND([2]Prod!C98="Si",[2]User!$C$2="Si"),[2]User!$D$2,[2]User!$B$2)&gt;[2]Prod!D98,1,0)</f>
        <v>1</v>
      </c>
      <c r="E98" s="211">
        <f>IF(IF(AND([2]Prod!D98="Si",[2]User!$C$2="Si"),[2]User!$D$2,[2]User!$B$2)&lt;[2]Prod!E98,1,0)</f>
        <v>0</v>
      </c>
      <c r="F98" s="211">
        <f>IF(AND([2]Prod!F98&lt;&gt;"Ambos",[2]Prod!F98&lt;&gt;[2]User!$E$2),0,1)</f>
        <v>0</v>
      </c>
      <c r="G98" s="57">
        <f>IF([2]User!$F$2&gt;[2]Prod!G98,1,0)</f>
        <v>1</v>
      </c>
      <c r="H98" s="57">
        <f>IF([2]User!$F$2&lt;[2]Prod!H98,1,0)</f>
        <v>0</v>
      </c>
      <c r="I98" s="57">
        <f>IF(AND([2]User!$G$2=1,[2]Prod!I98="SI"),1,IF(AND([2]User!$G$2=2,[2]Prod!J98="SI"),1,IF(AND([2]User!$G$2=3,[2]Prod!K98="SI"),1,0)))</f>
        <v>0</v>
      </c>
      <c r="J98" s="57">
        <f>IF([2]User!$H$2&gt;[2]Prod!L98,1,0)</f>
        <v>1</v>
      </c>
      <c r="K98" s="57">
        <f>IF([2]User!$H$2&lt;[2]Prod!M98,1,0)</f>
        <v>0</v>
      </c>
      <c r="L98" s="57">
        <f>IF([2]User!$I$2&gt;[2]Prod!N98,1,0)</f>
        <v>1</v>
      </c>
      <c r="M98" s="57">
        <f>IF([2]User!$J$2&lt;[2]Prod!O98,1,0)</f>
        <v>0</v>
      </c>
      <c r="N98" s="57"/>
      <c r="O98" s="57">
        <f>IF(AND([2]User!$L$2="NO",[2]Prod!W98="SI"),0,1)</f>
        <v>1</v>
      </c>
      <c r="P98" s="57">
        <f>IF(AND([2]User!$M$2&gt;0,[2]Prod!Q98="NO"),0,1)</f>
        <v>1</v>
      </c>
      <c r="Q98" s="57">
        <f>IF(AND(N98="VIVIENDA",[2]User!$N$2&lt;[2]User!$H$2*0.3),0,1)</f>
        <v>1</v>
      </c>
      <c r="R98" s="57" t="e">
        <f>IF(HLOOKUP([2]User!$O$2,[2]Prod!$AU$2:$BP$42,ROW(A98)-1,0)&lt;1000000,1,0)</f>
        <v>#REF!</v>
      </c>
      <c r="S98" s="57" t="e">
        <f>IF(HLOOKUP([2]User!$P$2,[2]Prod!$AU$2:$BP$42,ROW(B98)-1,0)&lt;1000000,1,0)</f>
        <v>#REF!</v>
      </c>
      <c r="T98" s="57" t="e">
        <f>IF(HLOOKUP([2]User!$Q$2,[2]Prod!$AU$2:$BP$42,ROW(C98)-1,0)&lt;1000000,1,0)</f>
        <v>#REF!</v>
      </c>
    </row>
    <row r="99" spans="2:20" x14ac:dyDescent="0.25">
      <c r="B99" s="212" t="e">
        <f t="shared" si="2"/>
        <v>#REF!</v>
      </c>
      <c r="C99" s="211"/>
      <c r="D99" s="211">
        <f>IF(IF(AND([2]Prod!C99="Si",[2]User!$C$2="Si"),[2]User!$D$2,[2]User!$B$2)&gt;[2]Prod!D99,1,0)</f>
        <v>1</v>
      </c>
      <c r="E99" s="211">
        <f>IF(IF(AND([2]Prod!D99="Si",[2]User!$C$2="Si"),[2]User!$D$2,[2]User!$B$2)&lt;[2]Prod!E99,1,0)</f>
        <v>0</v>
      </c>
      <c r="F99" s="211">
        <f>IF(AND([2]Prod!F99&lt;&gt;"Ambos",[2]Prod!F99&lt;&gt;[2]User!$E$2),0,1)</f>
        <v>0</v>
      </c>
      <c r="G99" s="57">
        <f>IF([2]User!$F$2&gt;[2]Prod!G99,1,0)</f>
        <v>1</v>
      </c>
      <c r="H99" s="57">
        <f>IF([2]User!$F$2&lt;[2]Prod!H99,1,0)</f>
        <v>0</v>
      </c>
      <c r="I99" s="57">
        <f>IF(AND([2]User!$G$2=1,[2]Prod!I99="SI"),1,IF(AND([2]User!$G$2=2,[2]Prod!J99="SI"),1,IF(AND([2]User!$G$2=3,[2]Prod!K99="SI"),1,0)))</f>
        <v>0</v>
      </c>
      <c r="J99" s="57">
        <f>IF([2]User!$H$2&gt;[2]Prod!L99,1,0)</f>
        <v>1</v>
      </c>
      <c r="K99" s="57">
        <f>IF([2]User!$H$2&lt;[2]Prod!M99,1,0)</f>
        <v>0</v>
      </c>
      <c r="L99" s="57">
        <f>IF([2]User!$I$2&gt;[2]Prod!N99,1,0)</f>
        <v>1</v>
      </c>
      <c r="M99" s="57">
        <f>IF([2]User!$J$2&lt;[2]Prod!O99,1,0)</f>
        <v>0</v>
      </c>
      <c r="N99" s="57"/>
      <c r="O99" s="57">
        <f>IF(AND([2]User!$L$2="NO",[2]Prod!W99="SI"),0,1)</f>
        <v>1</v>
      </c>
      <c r="P99" s="57">
        <f>IF(AND([2]User!$M$2&gt;0,[2]Prod!Q99="NO"),0,1)</f>
        <v>1</v>
      </c>
      <c r="Q99" s="57">
        <f>IF(AND(N99="VIVIENDA",[2]User!$N$2&lt;[2]User!$H$2*0.3),0,1)</f>
        <v>1</v>
      </c>
      <c r="R99" s="57" t="e">
        <f>IF(HLOOKUP([2]User!$O$2,[2]Prod!$AU$2:$BP$42,ROW(A99)-1,0)&lt;1000000,1,0)</f>
        <v>#REF!</v>
      </c>
      <c r="S99" s="57" t="e">
        <f>IF(HLOOKUP([2]User!$P$2,[2]Prod!$AU$2:$BP$42,ROW(B99)-1,0)&lt;1000000,1,0)</f>
        <v>#REF!</v>
      </c>
      <c r="T99" s="57" t="e">
        <f>IF(HLOOKUP([2]User!$Q$2,[2]Prod!$AU$2:$BP$42,ROW(C99)-1,0)&lt;1000000,1,0)</f>
        <v>#REF!</v>
      </c>
    </row>
    <row r="100" spans="2:20" x14ac:dyDescent="0.25">
      <c r="B100" s="212" t="e">
        <f t="shared" si="2"/>
        <v>#REF!</v>
      </c>
      <c r="C100" s="211"/>
      <c r="D100" s="211">
        <f>IF(IF(AND([2]Prod!C100="Si",[2]User!$C$2="Si"),[2]User!$D$2,[2]User!$B$2)&gt;[2]Prod!D100,1,0)</f>
        <v>1</v>
      </c>
      <c r="E100" s="211">
        <f>IF(IF(AND([2]Prod!D100="Si",[2]User!$C$2="Si"),[2]User!$D$2,[2]User!$B$2)&lt;[2]Prod!E100,1,0)</f>
        <v>0</v>
      </c>
      <c r="F100" s="211">
        <f>IF(AND([2]Prod!F100&lt;&gt;"Ambos",[2]Prod!F100&lt;&gt;[2]User!$E$2),0,1)</f>
        <v>0</v>
      </c>
      <c r="G100" s="57">
        <f>IF([2]User!$F$2&gt;[2]Prod!G100,1,0)</f>
        <v>1</v>
      </c>
      <c r="H100" s="57">
        <f>IF([2]User!$F$2&lt;[2]Prod!H100,1,0)</f>
        <v>0</v>
      </c>
      <c r="I100" s="57">
        <f>IF(AND([2]User!$G$2=1,[2]Prod!I100="SI"),1,IF(AND([2]User!$G$2=2,[2]Prod!J100="SI"),1,IF(AND([2]User!$G$2=3,[2]Prod!K100="SI"),1,0)))</f>
        <v>0</v>
      </c>
      <c r="J100" s="57">
        <f>IF([2]User!$H$2&gt;[2]Prod!L100,1,0)</f>
        <v>1</v>
      </c>
      <c r="K100" s="57">
        <f>IF([2]User!$H$2&lt;[2]Prod!M100,1,0)</f>
        <v>0</v>
      </c>
      <c r="L100" s="57">
        <f>IF([2]User!$I$2&gt;[2]Prod!N100,1,0)</f>
        <v>1</v>
      </c>
      <c r="M100" s="57">
        <f>IF([2]User!$J$2&lt;[2]Prod!O100,1,0)</f>
        <v>0</v>
      </c>
      <c r="N100" s="57"/>
      <c r="O100" s="57">
        <f>IF(AND([2]User!$L$2="NO",[2]Prod!W100="SI"),0,1)</f>
        <v>1</v>
      </c>
      <c r="P100" s="57">
        <f>IF(AND([2]User!$M$2&gt;0,[2]Prod!Q100="NO"),0,1)</f>
        <v>1</v>
      </c>
      <c r="Q100" s="57">
        <f>IF(AND(N100="VIVIENDA",[2]User!$N$2&lt;[2]User!$H$2*0.3),0,1)</f>
        <v>1</v>
      </c>
      <c r="R100" s="57" t="e">
        <f>IF(HLOOKUP([2]User!$O$2,[2]Prod!$AU$2:$BP$42,ROW(A100)-1,0)&lt;1000000,1,0)</f>
        <v>#REF!</v>
      </c>
      <c r="S100" s="57" t="e">
        <f>IF(HLOOKUP([2]User!$P$2,[2]Prod!$AU$2:$BP$42,ROW(B100)-1,0)&lt;1000000,1,0)</f>
        <v>#REF!</v>
      </c>
      <c r="T100" s="57" t="e">
        <f>IF(HLOOKUP([2]User!$Q$2,[2]Prod!$AU$2:$BP$42,ROW(C100)-1,0)&lt;1000000,1,0)</f>
        <v>#REF!</v>
      </c>
    </row>
    <row r="101" spans="2:20" x14ac:dyDescent="0.25">
      <c r="B101" s="212" t="e">
        <f t="shared" si="2"/>
        <v>#REF!</v>
      </c>
      <c r="C101" s="211"/>
      <c r="D101" s="211">
        <f>IF(IF(AND([2]Prod!C101="Si",[2]User!$C$2="Si"),[2]User!$D$2,[2]User!$B$2)&gt;[2]Prod!D101,1,0)</f>
        <v>1</v>
      </c>
      <c r="E101" s="211">
        <f>IF(IF(AND([2]Prod!D101="Si",[2]User!$C$2="Si"),[2]User!$D$2,[2]User!$B$2)&lt;[2]Prod!E101,1,0)</f>
        <v>0</v>
      </c>
      <c r="F101" s="211">
        <f>IF(AND([2]Prod!F101&lt;&gt;"Ambos",[2]Prod!F101&lt;&gt;[2]User!$E$2),0,1)</f>
        <v>0</v>
      </c>
      <c r="G101" s="57">
        <f>IF([2]User!$F$2&gt;[2]Prod!G101,1,0)</f>
        <v>1</v>
      </c>
      <c r="H101" s="57">
        <f>IF([2]User!$F$2&lt;[2]Prod!H101,1,0)</f>
        <v>0</v>
      </c>
      <c r="I101" s="57">
        <f>IF(AND([2]User!$G$2=1,[2]Prod!I101="SI"),1,IF(AND([2]User!$G$2=2,[2]Prod!J101="SI"),1,IF(AND([2]User!$G$2=3,[2]Prod!K101="SI"),1,0)))</f>
        <v>0</v>
      </c>
      <c r="J101" s="57">
        <f>IF([2]User!$H$2&gt;[2]Prod!L101,1,0)</f>
        <v>1</v>
      </c>
      <c r="K101" s="57">
        <f>IF([2]User!$H$2&lt;[2]Prod!M101,1,0)</f>
        <v>0</v>
      </c>
      <c r="L101" s="57">
        <f>IF([2]User!$I$2&gt;[2]Prod!N101,1,0)</f>
        <v>1</v>
      </c>
      <c r="M101" s="57">
        <f>IF([2]User!$J$2&lt;[2]Prod!O101,1,0)</f>
        <v>0</v>
      </c>
      <c r="N101" s="57"/>
      <c r="O101" s="57">
        <f>IF(AND([2]User!$L$2="NO",[2]Prod!W101="SI"),0,1)</f>
        <v>1</v>
      </c>
      <c r="P101" s="57">
        <f>IF(AND([2]User!$M$2&gt;0,[2]Prod!Q101="NO"),0,1)</f>
        <v>1</v>
      </c>
      <c r="Q101" s="57">
        <f>IF(AND(N101="VIVIENDA",[2]User!$N$2&lt;[2]User!$H$2*0.3),0,1)</f>
        <v>1</v>
      </c>
      <c r="R101" s="57" t="e">
        <f>IF(HLOOKUP([2]User!$O$2,[2]Prod!$AU$2:$BP$42,ROW(A101)-1,0)&lt;1000000,1,0)</f>
        <v>#REF!</v>
      </c>
      <c r="S101" s="57" t="e">
        <f>IF(HLOOKUP([2]User!$P$2,[2]Prod!$AU$2:$BP$42,ROW(B101)-1,0)&lt;1000000,1,0)</f>
        <v>#REF!</v>
      </c>
      <c r="T101" s="57" t="e">
        <f>IF(HLOOKUP([2]User!$Q$2,[2]Prod!$AU$2:$BP$42,ROW(C101)-1,0)&lt;1000000,1,0)</f>
        <v>#REF!</v>
      </c>
    </row>
    <row r="102" spans="2:20" x14ac:dyDescent="0.25">
      <c r="B102" s="212" t="e">
        <f t="shared" si="2"/>
        <v>#REF!</v>
      </c>
      <c r="C102" s="211"/>
      <c r="D102" s="211">
        <f>IF(IF(AND([2]Prod!C102="Si",[2]User!$C$2="Si"),[2]User!$D$2,[2]User!$B$2)&gt;[2]Prod!D102,1,0)</f>
        <v>1</v>
      </c>
      <c r="E102" s="211">
        <f>IF(IF(AND([2]Prod!D102="Si",[2]User!$C$2="Si"),[2]User!$D$2,[2]User!$B$2)&lt;[2]Prod!E102,1,0)</f>
        <v>0</v>
      </c>
      <c r="F102" s="211">
        <f>IF(AND([2]Prod!F102&lt;&gt;"Ambos",[2]Prod!F102&lt;&gt;[2]User!$E$2),0,1)</f>
        <v>0</v>
      </c>
      <c r="G102" s="57">
        <f>IF([2]User!$F$2&gt;[2]Prod!G102,1,0)</f>
        <v>1</v>
      </c>
      <c r="H102" s="57">
        <f>IF([2]User!$F$2&lt;[2]Prod!H102,1,0)</f>
        <v>0</v>
      </c>
      <c r="I102" s="57">
        <f>IF(AND([2]User!$G$2=1,[2]Prod!I102="SI"),1,IF(AND([2]User!$G$2=2,[2]Prod!J102="SI"),1,IF(AND([2]User!$G$2=3,[2]Prod!K102="SI"),1,0)))</f>
        <v>0</v>
      </c>
      <c r="J102" s="57">
        <f>IF([2]User!$H$2&gt;[2]Prod!L102,1,0)</f>
        <v>1</v>
      </c>
      <c r="K102" s="57">
        <f>IF([2]User!$H$2&lt;[2]Prod!M102,1,0)</f>
        <v>0</v>
      </c>
      <c r="L102" s="57">
        <f>IF([2]User!$I$2&gt;[2]Prod!N102,1,0)</f>
        <v>1</v>
      </c>
      <c r="M102" s="57">
        <f>IF([2]User!$J$2&lt;[2]Prod!O102,1,0)</f>
        <v>0</v>
      </c>
      <c r="N102" s="57"/>
      <c r="O102" s="57">
        <f>IF(AND([2]User!$L$2="NO",[2]Prod!W102="SI"),0,1)</f>
        <v>1</v>
      </c>
      <c r="P102" s="57">
        <f>IF(AND([2]User!$M$2&gt;0,[2]Prod!Q102="NO"),0,1)</f>
        <v>1</v>
      </c>
      <c r="Q102" s="57">
        <f>IF(AND(N102="VIVIENDA",[2]User!$N$2&lt;[2]User!$H$2*0.3),0,1)</f>
        <v>1</v>
      </c>
      <c r="R102" s="57" t="e">
        <f>IF(HLOOKUP([2]User!$O$2,[2]Prod!$AU$2:$BP$42,ROW(A102)-1,0)&lt;1000000,1,0)</f>
        <v>#REF!</v>
      </c>
      <c r="S102" s="57" t="e">
        <f>IF(HLOOKUP([2]User!$P$2,[2]Prod!$AU$2:$BP$42,ROW(B102)-1,0)&lt;1000000,1,0)</f>
        <v>#REF!</v>
      </c>
      <c r="T102" s="57" t="e">
        <f>IF(HLOOKUP([2]User!$Q$2,[2]Prod!$AU$2:$BP$42,ROW(C102)-1,0)&lt;1000000,1,0)</f>
        <v>#REF!</v>
      </c>
    </row>
  </sheetData>
  <conditionalFormatting sqref="B4:B102">
    <cfRule type="cellIs" dxfId="1" priority="1" operator="equal">
      <formula>"RECHAZADO"</formula>
    </cfRule>
    <cfRule type="cellIs" dxfId="0" priority="2" operator="equal">
      <formula>"VALIDO"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A1:F63"/>
  <sheetViews>
    <sheetView workbookViewId="0">
      <selection activeCell="B2" sqref="B2"/>
    </sheetView>
  </sheetViews>
  <sheetFormatPr baseColWidth="10" defaultRowHeight="15" x14ac:dyDescent="0.25"/>
  <cols>
    <col min="1" max="1" width="50.140625" bestFit="1" customWidth="1"/>
    <col min="2" max="2" width="11.42578125" style="127"/>
  </cols>
  <sheetData>
    <row r="1" spans="1:6" x14ac:dyDescent="0.25">
      <c r="A1" s="132" t="s">
        <v>445</v>
      </c>
      <c r="B1" s="132" t="s">
        <v>444</v>
      </c>
      <c r="E1" s="131" t="s">
        <v>443</v>
      </c>
      <c r="F1" s="130" t="s">
        <v>442</v>
      </c>
    </row>
    <row r="2" spans="1:6" x14ac:dyDescent="0.25">
      <c r="A2" s="129" t="s">
        <v>441</v>
      </c>
      <c r="B2" s="128">
        <f>VLOOKUP(A2,'0.Productos'!$GJ$3:$GK$655,2,0)</f>
        <v>4</v>
      </c>
      <c r="E2" s="131" t="s">
        <v>440</v>
      </c>
      <c r="F2" s="130" t="s">
        <v>439</v>
      </c>
    </row>
    <row r="3" spans="1:6" x14ac:dyDescent="0.25">
      <c r="A3" s="129" t="s">
        <v>438</v>
      </c>
      <c r="B3" s="128">
        <f>VLOOKUP(A3,'0.Productos'!$GJ$3:$GK$655,2,0)</f>
        <v>5</v>
      </c>
      <c r="E3" s="131" t="s">
        <v>437</v>
      </c>
      <c r="F3" s="130" t="s">
        <v>436</v>
      </c>
    </row>
    <row r="4" spans="1:6" x14ac:dyDescent="0.25">
      <c r="A4" s="129" t="s">
        <v>435</v>
      </c>
      <c r="B4" s="128">
        <f>VLOOKUP(A4,'0.Productos'!$GJ$3:$GK$655,2,0)</f>
        <v>3</v>
      </c>
    </row>
    <row r="5" spans="1:6" x14ac:dyDescent="0.25">
      <c r="A5" s="129" t="s">
        <v>434</v>
      </c>
      <c r="B5" s="128">
        <f>VLOOKUP(A5,'0.Productos'!$GJ$3:$GK$655,2,0)</f>
        <v>3</v>
      </c>
    </row>
    <row r="6" spans="1:6" x14ac:dyDescent="0.25">
      <c r="A6" s="129" t="s">
        <v>433</v>
      </c>
      <c r="B6" s="128">
        <f>VLOOKUP(A6,'0.Productos'!$GJ$3:$GK$655,2,0)</f>
        <v>2</v>
      </c>
    </row>
    <row r="7" spans="1:6" x14ac:dyDescent="0.25">
      <c r="A7" s="129" t="s">
        <v>432</v>
      </c>
      <c r="B7" s="128">
        <f>VLOOKUP(A7,'0.Productos'!$GJ$3:$GK$655,2,0)</f>
        <v>3</v>
      </c>
    </row>
    <row r="8" spans="1:6" x14ac:dyDescent="0.25">
      <c r="A8" s="129" t="s">
        <v>431</v>
      </c>
      <c r="B8" s="128">
        <f>VLOOKUP(A8,'0.Productos'!$GJ$3:$GK$655,2,0)</f>
        <v>3</v>
      </c>
    </row>
    <row r="9" spans="1:6" x14ac:dyDescent="0.25">
      <c r="A9" s="129" t="s">
        <v>430</v>
      </c>
      <c r="B9" s="128">
        <f>VLOOKUP(A9,'0.Productos'!$GJ$3:$GK$655,2,0)</f>
        <v>3</v>
      </c>
    </row>
    <row r="10" spans="1:6" x14ac:dyDescent="0.25">
      <c r="A10" s="129" t="s">
        <v>429</v>
      </c>
      <c r="B10" s="128">
        <f>VLOOKUP(A10,'0.Productos'!$GJ$3:$GK$655,2,0)</f>
        <v>3</v>
      </c>
    </row>
    <row r="11" spans="1:6" x14ac:dyDescent="0.25">
      <c r="A11" s="129" t="s">
        <v>428</v>
      </c>
      <c r="B11" s="128">
        <f>VLOOKUP(A11,'0.Productos'!$GJ$3:$GK$655,2,0)</f>
        <v>2</v>
      </c>
    </row>
    <row r="12" spans="1:6" x14ac:dyDescent="0.25">
      <c r="A12" s="129" t="s">
        <v>427</v>
      </c>
      <c r="B12" s="128">
        <f>VLOOKUP(A12,'0.Productos'!$GJ$3:$GK$655,2,0)</f>
        <v>1</v>
      </c>
    </row>
    <row r="13" spans="1:6" x14ac:dyDescent="0.25">
      <c r="A13" s="129" t="s">
        <v>426</v>
      </c>
      <c r="B13" s="128">
        <f>VLOOKUP(A13,'0.Productos'!$GJ$3:$GK$655,2,0)</f>
        <v>2</v>
      </c>
    </row>
    <row r="14" spans="1:6" x14ac:dyDescent="0.25">
      <c r="A14" s="129" t="s">
        <v>425</v>
      </c>
      <c r="B14" s="128">
        <f>VLOOKUP(A14,'0.Productos'!$GJ$3:$GK$655,2,0)</f>
        <v>1</v>
      </c>
    </row>
    <row r="15" spans="1:6" x14ac:dyDescent="0.25">
      <c r="A15" s="129" t="s">
        <v>424</v>
      </c>
      <c r="B15" s="128">
        <f>VLOOKUP(A15,'0.Productos'!$GJ$3:$GK$655,2,0)</f>
        <v>3</v>
      </c>
    </row>
    <row r="16" spans="1:6" x14ac:dyDescent="0.25">
      <c r="A16" s="129" t="s">
        <v>423</v>
      </c>
      <c r="B16" s="128">
        <f>VLOOKUP(A16,'0.Productos'!$GJ$3:$GK$655,2,0)</f>
        <v>2</v>
      </c>
    </row>
    <row r="17" spans="1:2" x14ac:dyDescent="0.25">
      <c r="A17" s="129" t="s">
        <v>422</v>
      </c>
      <c r="B17" s="128">
        <f>VLOOKUP(A17,'0.Productos'!$GJ$3:$GK$655,2,0)</f>
        <v>2</v>
      </c>
    </row>
    <row r="18" spans="1:2" x14ac:dyDescent="0.25">
      <c r="A18" s="129" t="s">
        <v>421</v>
      </c>
      <c r="B18" s="128">
        <f>VLOOKUP(A18,'0.Productos'!$GJ$3:$GK$655,2,0)</f>
        <v>1</v>
      </c>
    </row>
    <row r="19" spans="1:2" x14ac:dyDescent="0.25">
      <c r="A19" s="129" t="s">
        <v>420</v>
      </c>
      <c r="B19" s="128">
        <f>VLOOKUP(A19,'0.Productos'!$GJ$3:$GK$655,2,0)</f>
        <v>3</v>
      </c>
    </row>
    <row r="20" spans="1:2" x14ac:dyDescent="0.25">
      <c r="A20" s="129" t="s">
        <v>419</v>
      </c>
      <c r="B20" s="128">
        <f>VLOOKUP(A20,'0.Productos'!$GJ$3:$GK$655,2,0)</f>
        <v>4</v>
      </c>
    </row>
    <row r="21" spans="1:2" x14ac:dyDescent="0.25">
      <c r="A21" s="129" t="s">
        <v>418</v>
      </c>
      <c r="B21" s="128">
        <f>VLOOKUP(A21,'0.Productos'!$GJ$3:$GK$655,2,0)</f>
        <v>5</v>
      </c>
    </row>
    <row r="22" spans="1:2" x14ac:dyDescent="0.25">
      <c r="A22" s="129" t="s">
        <v>417</v>
      </c>
      <c r="B22" s="128">
        <f>VLOOKUP(A22,'0.Productos'!$GJ$3:$GK$655,2,0)</f>
        <v>3</v>
      </c>
    </row>
    <row r="23" spans="1:2" x14ac:dyDescent="0.25">
      <c r="A23" s="129" t="s">
        <v>416</v>
      </c>
      <c r="B23" s="128">
        <f>VLOOKUP(A23,'0.Productos'!$GJ$3:$GK$655,2,0)</f>
        <v>3</v>
      </c>
    </row>
    <row r="24" spans="1:2" x14ac:dyDescent="0.25">
      <c r="A24" s="129" t="s">
        <v>415</v>
      </c>
      <c r="B24" s="128">
        <f>VLOOKUP(A24,'0.Productos'!$GJ$3:$GK$655,2,0)</f>
        <v>2</v>
      </c>
    </row>
    <row r="25" spans="1:2" x14ac:dyDescent="0.25">
      <c r="A25" s="129" t="s">
        <v>414</v>
      </c>
      <c r="B25" s="128">
        <f>VLOOKUP(A25,'0.Productos'!$GJ$3:$GK$655,2,0)</f>
        <v>3</v>
      </c>
    </row>
    <row r="26" spans="1:2" x14ac:dyDescent="0.25">
      <c r="A26" s="129" t="s">
        <v>413</v>
      </c>
      <c r="B26" s="128">
        <f>VLOOKUP(A26,'0.Productos'!$GJ$3:$GK$655,2,0)</f>
        <v>3</v>
      </c>
    </row>
    <row r="27" spans="1:2" x14ac:dyDescent="0.25">
      <c r="A27" s="129" t="s">
        <v>412</v>
      </c>
      <c r="B27" s="128">
        <f>VLOOKUP(A27,'0.Productos'!$GJ$3:$GK$655,2,0)</f>
        <v>3</v>
      </c>
    </row>
    <row r="28" spans="1:2" x14ac:dyDescent="0.25">
      <c r="A28" s="129" t="s">
        <v>411</v>
      </c>
      <c r="B28" s="128">
        <f>VLOOKUP(A28,'0.Productos'!$GJ$3:$GK$655,2,0)</f>
        <v>3</v>
      </c>
    </row>
    <row r="29" spans="1:2" x14ac:dyDescent="0.25">
      <c r="A29" s="129" t="s">
        <v>410</v>
      </c>
      <c r="B29" s="128">
        <f>VLOOKUP(A29,'0.Productos'!$GJ$3:$GK$655,2,0)</f>
        <v>2</v>
      </c>
    </row>
    <row r="30" spans="1:2" x14ac:dyDescent="0.25">
      <c r="A30" s="129" t="s">
        <v>409</v>
      </c>
      <c r="B30" s="128">
        <f>VLOOKUP(A30,'0.Productos'!$GJ$3:$GK$655,2,0)</f>
        <v>1</v>
      </c>
    </row>
    <row r="31" spans="1:2" x14ac:dyDescent="0.25">
      <c r="A31" s="129" t="s">
        <v>408</v>
      </c>
      <c r="B31" s="128">
        <f>VLOOKUP(A31,'0.Productos'!$GJ$3:$GK$655,2,0)</f>
        <v>2</v>
      </c>
    </row>
    <row r="32" spans="1:2" x14ac:dyDescent="0.25">
      <c r="A32" s="129" t="s">
        <v>407</v>
      </c>
      <c r="B32" s="128">
        <f>VLOOKUP(A32,'0.Productos'!$GJ$3:$GK$655,2,0)</f>
        <v>1</v>
      </c>
    </row>
    <row r="33" spans="1:2" x14ac:dyDescent="0.25">
      <c r="A33" s="129" t="s">
        <v>406</v>
      </c>
      <c r="B33" s="128">
        <f>VLOOKUP(A33,'0.Productos'!$GJ$3:$GK$655,2,0)</f>
        <v>3</v>
      </c>
    </row>
    <row r="34" spans="1:2" x14ac:dyDescent="0.25">
      <c r="A34" s="129" t="s">
        <v>405</v>
      </c>
      <c r="B34" s="128">
        <f>VLOOKUP(A34,'0.Productos'!$GJ$3:$GK$655,2,0)</f>
        <v>2</v>
      </c>
    </row>
    <row r="35" spans="1:2" x14ac:dyDescent="0.25">
      <c r="A35" s="129" t="s">
        <v>404</v>
      </c>
      <c r="B35" s="128">
        <f>VLOOKUP(A35,'0.Productos'!$GJ$3:$GK$655,2,0)</f>
        <v>2</v>
      </c>
    </row>
    <row r="36" spans="1:2" x14ac:dyDescent="0.25">
      <c r="A36" s="129" t="s">
        <v>403</v>
      </c>
      <c r="B36" s="128">
        <f>VLOOKUP(A36,'0.Productos'!$GJ$3:$GK$655,2,0)</f>
        <v>1</v>
      </c>
    </row>
    <row r="37" spans="1:2" x14ac:dyDescent="0.25">
      <c r="A37" s="129" t="s">
        <v>402</v>
      </c>
      <c r="B37" s="128">
        <f>VLOOKUP(A37,'0.Productos'!$GJ$3:$GK$655,2,0)</f>
        <v>3</v>
      </c>
    </row>
    <row r="38" spans="1:2" x14ac:dyDescent="0.25">
      <c r="A38" s="129" t="s">
        <v>401</v>
      </c>
      <c r="B38" s="128">
        <f>VLOOKUP(A38,'0.Productos'!$GJ$3:$GK$655,2,0)</f>
        <v>4</v>
      </c>
    </row>
    <row r="39" spans="1:2" x14ac:dyDescent="0.25">
      <c r="A39" s="129" t="s">
        <v>400</v>
      </c>
      <c r="B39" s="128">
        <f>VLOOKUP(A39,'0.Productos'!$GJ$3:$GK$655,2,0)</f>
        <v>5</v>
      </c>
    </row>
    <row r="40" spans="1:2" x14ac:dyDescent="0.25">
      <c r="A40" s="129" t="s">
        <v>399</v>
      </c>
      <c r="B40" s="128">
        <f>VLOOKUP(A40,'0.Productos'!$GJ$3:$GK$655,2,0)</f>
        <v>3</v>
      </c>
    </row>
    <row r="41" spans="1:2" x14ac:dyDescent="0.25">
      <c r="A41" s="129" t="s">
        <v>398</v>
      </c>
      <c r="B41" s="128">
        <f>VLOOKUP(A41,'0.Productos'!$GJ$3:$GK$655,2,0)</f>
        <v>3</v>
      </c>
    </row>
    <row r="42" spans="1:2" x14ac:dyDescent="0.25">
      <c r="A42" s="129" t="s">
        <v>397</v>
      </c>
      <c r="B42" s="128">
        <f>VLOOKUP(A42,'0.Productos'!$GJ$3:$GK$655,2,0)</f>
        <v>2</v>
      </c>
    </row>
    <row r="43" spans="1:2" x14ac:dyDescent="0.25">
      <c r="A43" s="129" t="s">
        <v>396</v>
      </c>
      <c r="B43" s="128">
        <f>VLOOKUP(A43,'0.Productos'!$GJ$3:$GK$655,2,0)</f>
        <v>3</v>
      </c>
    </row>
    <row r="44" spans="1:2" x14ac:dyDescent="0.25">
      <c r="A44" s="129" t="s">
        <v>395</v>
      </c>
      <c r="B44" s="128">
        <f>VLOOKUP(A44,'0.Productos'!$GJ$3:$GK$655,2,0)</f>
        <v>3</v>
      </c>
    </row>
    <row r="45" spans="1:2" x14ac:dyDescent="0.25">
      <c r="A45" s="129" t="s">
        <v>394</v>
      </c>
      <c r="B45" s="128">
        <f>VLOOKUP(A45,'0.Productos'!$GJ$3:$GK$655,2,0)</f>
        <v>3</v>
      </c>
    </row>
    <row r="46" spans="1:2" x14ac:dyDescent="0.25">
      <c r="A46" s="129" t="s">
        <v>393</v>
      </c>
      <c r="B46" s="128">
        <f>VLOOKUP(A46,'0.Productos'!$GJ$3:$GK$655,2,0)</f>
        <v>3</v>
      </c>
    </row>
    <row r="47" spans="1:2" x14ac:dyDescent="0.25">
      <c r="A47" s="129" t="s">
        <v>392</v>
      </c>
      <c r="B47" s="128">
        <f>VLOOKUP(A47,'0.Productos'!$GJ$3:$GK$655,2,0)</f>
        <v>2</v>
      </c>
    </row>
    <row r="48" spans="1:2" x14ac:dyDescent="0.25">
      <c r="A48" s="129" t="s">
        <v>391</v>
      </c>
      <c r="B48" s="128">
        <f>VLOOKUP(A48,'0.Productos'!$GJ$3:$GK$655,2,0)</f>
        <v>1</v>
      </c>
    </row>
    <row r="49" spans="1:2" x14ac:dyDescent="0.25">
      <c r="A49" s="129" t="s">
        <v>390</v>
      </c>
      <c r="B49" s="128">
        <f>VLOOKUP(A49,'0.Productos'!$GJ$3:$GK$655,2,0)</f>
        <v>2</v>
      </c>
    </row>
    <row r="50" spans="1:2" x14ac:dyDescent="0.25">
      <c r="A50" s="129" t="s">
        <v>389</v>
      </c>
      <c r="B50" s="128">
        <f>VLOOKUP(A50,'0.Productos'!$GJ$3:$GK$655,2,0)</f>
        <v>1</v>
      </c>
    </row>
    <row r="51" spans="1:2" x14ac:dyDescent="0.25">
      <c r="A51" s="129" t="s">
        <v>388</v>
      </c>
      <c r="B51" s="128">
        <f>VLOOKUP(A51,'0.Productos'!$GJ$3:$GK$655,2,0)</f>
        <v>3</v>
      </c>
    </row>
    <row r="52" spans="1:2" x14ac:dyDescent="0.25">
      <c r="A52" s="129" t="s">
        <v>387</v>
      </c>
      <c r="B52" s="128">
        <f>VLOOKUP(A52,'0.Productos'!$GJ$3:$GK$655,2,0)</f>
        <v>2</v>
      </c>
    </row>
    <row r="53" spans="1:2" x14ac:dyDescent="0.25">
      <c r="A53" s="129" t="s">
        <v>386</v>
      </c>
      <c r="B53" s="128">
        <f>VLOOKUP(A53,'0.Productos'!$GJ$3:$GK$655,2,0)</f>
        <v>2</v>
      </c>
    </row>
    <row r="54" spans="1:2" x14ac:dyDescent="0.25">
      <c r="A54" s="129" t="s">
        <v>385</v>
      </c>
      <c r="B54" s="128">
        <f>VLOOKUP(A54,'0.Productos'!$GJ$3:$GK$655,2,0)</f>
        <v>1</v>
      </c>
    </row>
    <row r="55" spans="1:2" x14ac:dyDescent="0.25">
      <c r="A55" s="129" t="s">
        <v>384</v>
      </c>
      <c r="B55" s="128">
        <f>VLOOKUP(A55,'0.Productos'!$GJ$3:$GK$655,2,0)</f>
        <v>3</v>
      </c>
    </row>
    <row r="56" spans="1:2" x14ac:dyDescent="0.25">
      <c r="A56" s="129" t="s">
        <v>383</v>
      </c>
      <c r="B56" s="128">
        <f>VLOOKUP(A56,'0.Productos'!$GJ$3:$GK$655,2,0)</f>
        <v>4</v>
      </c>
    </row>
    <row r="57" spans="1:2" x14ac:dyDescent="0.25">
      <c r="A57" s="129" t="s">
        <v>382</v>
      </c>
      <c r="B57" s="128">
        <f>VLOOKUP(A57,'0.Productos'!$GJ$3:$GK$655,2,0)</f>
        <v>5</v>
      </c>
    </row>
    <row r="58" spans="1:2" x14ac:dyDescent="0.25">
      <c r="A58" s="129" t="s">
        <v>381</v>
      </c>
      <c r="B58" s="128">
        <f>VLOOKUP(A58,'0.Productos'!$GJ$3:$GK$655,2,0)</f>
        <v>3</v>
      </c>
    </row>
    <row r="59" spans="1:2" x14ac:dyDescent="0.25">
      <c r="A59" s="129" t="s">
        <v>380</v>
      </c>
      <c r="B59" s="128">
        <f>VLOOKUP(A59,'0.Productos'!$GJ$3:$GK$655,2,0)</f>
        <v>3</v>
      </c>
    </row>
    <row r="60" spans="1:2" x14ac:dyDescent="0.25">
      <c r="A60" s="129" t="s">
        <v>379</v>
      </c>
      <c r="B60" s="128">
        <f>VLOOKUP(A60,'0.Productos'!$GJ$3:$GK$655,2,0)</f>
        <v>2</v>
      </c>
    </row>
    <row r="61" spans="1:2" x14ac:dyDescent="0.25">
      <c r="A61" s="129" t="s">
        <v>378</v>
      </c>
      <c r="B61" s="128">
        <f>VLOOKUP(A61,'0.Productos'!$GJ$3:$GK$655,2,0)</f>
        <v>3</v>
      </c>
    </row>
    <row r="62" spans="1:2" x14ac:dyDescent="0.25">
      <c r="A62" s="129" t="s">
        <v>377</v>
      </c>
      <c r="B62" s="128">
        <f>VLOOKUP(A62,'0.Productos'!$GJ$3:$GK$655,2,0)</f>
        <v>3</v>
      </c>
    </row>
    <row r="63" spans="1:2" x14ac:dyDescent="0.25">
      <c r="A63" s="129" t="s">
        <v>376</v>
      </c>
      <c r="B63" s="128">
        <f>VLOOKUP(A63,'0.Productos'!$GJ$3:$GK$655,2,0)</f>
        <v>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/>
  <dimension ref="A1:BT508"/>
  <sheetViews>
    <sheetView workbookViewId="0">
      <selection activeCell="C2" sqref="C2"/>
    </sheetView>
  </sheetViews>
  <sheetFormatPr baseColWidth="10" defaultRowHeight="15" x14ac:dyDescent="0.25"/>
  <cols>
    <col min="1" max="1" width="14" bestFit="1" customWidth="1"/>
    <col min="3" max="3" width="26.28515625" customWidth="1"/>
    <col min="4" max="5" width="12" bestFit="1" customWidth="1"/>
    <col min="6" max="6" width="26" bestFit="1" customWidth="1"/>
    <col min="7" max="7" width="28.42578125" bestFit="1" customWidth="1"/>
    <col min="8" max="9" width="15.5703125" customWidth="1"/>
    <col min="10" max="10" width="4.140625" customWidth="1"/>
  </cols>
  <sheetData>
    <row r="1" spans="1:72" s="135" customFormat="1" ht="31.5" customHeight="1" x14ac:dyDescent="0.25">
      <c r="A1" s="137" t="s">
        <v>64</v>
      </c>
      <c r="B1" s="136">
        <f>[4]Productos!AT2</f>
        <v>1</v>
      </c>
      <c r="C1" s="136">
        <f>[4]Productos!AU2</f>
        <v>1</v>
      </c>
      <c r="D1" s="136">
        <f>[4]Productos!AV2</f>
        <v>1</v>
      </c>
      <c r="E1" s="136">
        <f>[4]Productos!AW2</f>
        <v>1</v>
      </c>
      <c r="F1" s="136">
        <f>[4]Productos!AX2</f>
        <v>1</v>
      </c>
      <c r="G1" s="136">
        <f>[4]Productos!AY2</f>
        <v>1</v>
      </c>
      <c r="H1" s="136">
        <f>[4]Productos!AZ2</f>
        <v>1</v>
      </c>
      <c r="I1" s="136">
        <f>[4]Productos!BA2</f>
        <v>1</v>
      </c>
      <c r="J1" s="136">
        <f>[4]Productos!BB2</f>
        <v>1</v>
      </c>
      <c r="K1" s="136">
        <f>[4]Productos!BC2</f>
        <v>1</v>
      </c>
      <c r="L1" s="136">
        <f>[4]Productos!BD2</f>
        <v>1</v>
      </c>
      <c r="M1" s="136">
        <f>[4]Productos!BE2</f>
        <v>1</v>
      </c>
      <c r="N1" s="136">
        <f>[4]Productos!BF2</f>
        <v>1</v>
      </c>
      <c r="O1" s="136">
        <f>[4]Productos!BG2</f>
        <v>1</v>
      </c>
      <c r="P1" s="136">
        <f>[4]Productos!BH2</f>
        <v>1</v>
      </c>
      <c r="Q1" s="136">
        <f>[4]Productos!BI2</f>
        <v>1</v>
      </c>
      <c r="R1" s="136">
        <f>[4]Productos!BJ2</f>
        <v>1</v>
      </c>
      <c r="S1" s="136">
        <f>[4]Productos!BK2</f>
        <v>1</v>
      </c>
      <c r="T1" s="136">
        <f>[4]Productos!BL2</f>
        <v>1</v>
      </c>
      <c r="U1" s="136">
        <f>[4]Productos!BM2</f>
        <v>1</v>
      </c>
      <c r="V1" s="136">
        <f>[4]Productos!BN2</f>
        <v>1</v>
      </c>
      <c r="W1" s="136">
        <f>[4]Productos!BO2</f>
        <v>1</v>
      </c>
      <c r="X1" s="136">
        <f>[4]Productos!BP2</f>
        <v>1</v>
      </c>
      <c r="Y1" s="136">
        <f>[4]Productos!BQ2</f>
        <v>1</v>
      </c>
      <c r="Z1" s="136">
        <f>[4]Productos!BR2</f>
        <v>1</v>
      </c>
      <c r="AA1" s="136">
        <f>[4]Productos!BS2</f>
        <v>1</v>
      </c>
      <c r="AB1" s="136">
        <f>[4]Productos!BT2</f>
        <v>1</v>
      </c>
      <c r="AC1" s="136">
        <f>[4]Productos!BU2</f>
        <v>1</v>
      </c>
      <c r="AD1" s="136">
        <f>[4]Productos!BV2</f>
        <v>1</v>
      </c>
      <c r="AE1" s="136">
        <f>[4]Productos!BW2</f>
        <v>1</v>
      </c>
      <c r="AF1" s="136">
        <f>[4]Productos!BX2</f>
        <v>1</v>
      </c>
      <c r="AG1" s="136">
        <f>[4]Productos!BY2</f>
        <v>1</v>
      </c>
      <c r="AH1" s="136">
        <f>[4]Productos!BZ2</f>
        <v>1</v>
      </c>
      <c r="AI1" s="136">
        <f>[4]Productos!CA2</f>
        <v>1</v>
      </c>
      <c r="AJ1" s="136">
        <f>[4]Productos!CB2</f>
        <v>1</v>
      </c>
      <c r="AK1" s="136">
        <f>[4]Productos!CC2</f>
        <v>1</v>
      </c>
      <c r="AL1" s="136">
        <f>[4]Productos!CD2</f>
        <v>1</v>
      </c>
      <c r="AM1" s="136">
        <f>[4]Productos!CE2</f>
        <v>1</v>
      </c>
      <c r="AN1" s="136">
        <f>[4]Productos!CF2</f>
        <v>1</v>
      </c>
      <c r="AO1" s="136">
        <f>[4]Productos!CG2</f>
        <v>1</v>
      </c>
      <c r="AP1" s="136">
        <f>[4]Productos!CH2</f>
        <v>1</v>
      </c>
      <c r="AQ1" s="136">
        <f>[4]Productos!CI2</f>
        <v>1</v>
      </c>
      <c r="AR1" s="136">
        <f>[4]Productos!CJ2</f>
        <v>1</v>
      </c>
      <c r="AS1" s="136">
        <f>[4]Productos!CK2</f>
        <v>1</v>
      </c>
      <c r="AT1" s="136">
        <f>[4]Productos!CL2</f>
        <v>1</v>
      </c>
      <c r="AU1" s="136">
        <f>[4]Productos!CM2</f>
        <v>1</v>
      </c>
      <c r="AV1" s="136">
        <f>[4]Productos!CN2</f>
        <v>1</v>
      </c>
      <c r="AW1" s="136">
        <f>[4]Productos!CO2</f>
        <v>1</v>
      </c>
      <c r="AX1" s="136">
        <f>[4]Productos!CP2</f>
        <v>1</v>
      </c>
      <c r="AY1" s="136">
        <f>[4]Productos!CQ2</f>
        <v>1</v>
      </c>
      <c r="AZ1" s="136">
        <f>[4]Productos!CR2</f>
        <v>1</v>
      </c>
      <c r="BA1" s="136">
        <f>[4]Productos!CS2</f>
        <v>1</v>
      </c>
      <c r="BB1" s="136">
        <f>[4]Productos!CT2</f>
        <v>1</v>
      </c>
      <c r="BC1" s="136">
        <f>[4]Productos!CU2</f>
        <v>1</v>
      </c>
      <c r="BD1" s="136">
        <f>[4]Productos!CV2</f>
        <v>1</v>
      </c>
      <c r="BE1" s="136">
        <f>[4]Productos!CW2</f>
        <v>1</v>
      </c>
      <c r="BF1" s="136">
        <f>[4]Productos!CX2</f>
        <v>1</v>
      </c>
      <c r="BG1" s="136">
        <f>[4]Productos!CY2</f>
        <v>1</v>
      </c>
      <c r="BH1" s="136">
        <f>[4]Productos!CZ2</f>
        <v>1</v>
      </c>
      <c r="BI1" s="136">
        <f>[4]Productos!DA2</f>
        <v>1</v>
      </c>
      <c r="BJ1" s="136">
        <f>[4]Productos!DB2</f>
        <v>1</v>
      </c>
      <c r="BK1" s="136">
        <f>[4]Productos!DC2</f>
        <v>1</v>
      </c>
      <c r="BL1" s="136">
        <f>[4]Productos!DD2</f>
        <v>1</v>
      </c>
      <c r="BM1" s="136">
        <f>[4]Productos!DE2</f>
        <v>1</v>
      </c>
      <c r="BN1" s="136">
        <f>[4]Productos!DF2</f>
        <v>1</v>
      </c>
      <c r="BO1" s="136">
        <f>[4]Productos!DG2</f>
        <v>1</v>
      </c>
      <c r="BP1" s="136">
        <f>[4]Productos!DH2</f>
        <v>1</v>
      </c>
      <c r="BQ1" s="136">
        <f>[4]Productos!DI2</f>
        <v>1</v>
      </c>
      <c r="BR1" s="136">
        <f>[4]Productos!DJ2</f>
        <v>1</v>
      </c>
      <c r="BS1" s="136">
        <f>[4]Productos!DK2</f>
        <v>1</v>
      </c>
      <c r="BT1" s="136">
        <f>[4]Productos!DL2</f>
        <v>1</v>
      </c>
    </row>
    <row r="2" spans="1:72" s="64" customFormat="1" ht="90" x14ac:dyDescent="0.25">
      <c r="A2" s="134" t="str">
        <f>[4]Productos!$A3</f>
        <v>PRODUCTO</v>
      </c>
      <c r="B2" s="133" t="str">
        <f>[4]Productos!AT3</f>
        <v>Vigencia paz y salvo</v>
      </c>
      <c r="C2" s="133" t="str">
        <f>[4]Productos!AU3</f>
        <v>Cuantos dias despues de ultimo pago se puede solicitar</v>
      </c>
      <c r="D2" s="133" t="str">
        <f>[4]Productos!AV3</f>
        <v>Valor 1ro</v>
      </c>
      <c r="E2" s="133" t="str">
        <f>[4]Productos!AW3</f>
        <v>Valor Copia</v>
      </c>
      <c r="F2" s="133" t="str">
        <f>[4]Productos!AX3</f>
        <v xml:space="preserve">Días desde la solicitud hasta la aprobación (máximo) </v>
      </c>
      <c r="G2" s="133" t="str">
        <f>[4]Productos!AY3</f>
        <v>Días desde la aprobación hasta el desembolso (máximo)</v>
      </c>
      <c r="H2" s="133" t="str">
        <f>[4]Productos!AZ3</f>
        <v>avisan desemb?</v>
      </c>
      <c r="I2" s="133" t="str">
        <f>[4]Productos!BA3</f>
        <v>Canal desemb</v>
      </c>
      <c r="J2" s="133" t="e">
        <f>[4]Productos!BB3</f>
        <v>#REF!</v>
      </c>
      <c r="K2" s="133" t="str">
        <f>[4]Productos!BC3</f>
        <v>P-Cédula Original</v>
      </c>
      <c r="L2" s="133" t="str">
        <f>[4]Productos!BD3</f>
        <v>P-Copia del documento de identidad</v>
      </c>
      <c r="M2" s="133" t="str">
        <f>[4]Productos!BE3</f>
        <v>P-Carta y matricula de contador</v>
      </c>
      <c r="N2" s="133" t="str">
        <f>[4]Productos!BF3</f>
        <v>P-Certificado convenio con el que paga la pensión</v>
      </c>
      <c r="O2" s="133" t="str">
        <f>[4]Productos!BG3</f>
        <v>P-Certificado de ingresos y retenciones</v>
      </c>
      <c r="P2" s="133" t="str">
        <f>[4]Productos!BH3</f>
        <v>P-Certificación  de ser pensionado</v>
      </c>
      <c r="Q2" s="133" t="str">
        <f>[4]Productos!BI3</f>
        <v>P-Certificación de otros ingresos</v>
      </c>
      <c r="R2" s="133" t="str">
        <f>[4]Productos!BJ3</f>
        <v>P-Certificación de patrimonio</v>
      </c>
      <c r="S2" s="133" t="str">
        <f>[4]Productos!BK3</f>
        <v>P-Constancia de no declarante</v>
      </c>
      <c r="T2" s="133" t="str">
        <f>[4]Productos!BL3</f>
        <v>P-Copia de 3 ultimos recibos de pago:</v>
      </c>
      <c r="U2" s="133" t="str">
        <f>[4]Productos!BM3</f>
        <v>P-Copia 3 últimos extractos bancarios</v>
      </c>
      <c r="V2" s="133" t="str">
        <f>[4]Productos!BN3</f>
        <v>P-Declaración de renta</v>
      </c>
      <c r="W2" s="133" t="str">
        <f>[4]Productos!BO3</f>
        <v>P-Planos, presupuestos y/o licencias</v>
      </c>
      <c r="X2" s="133" t="str">
        <f>[4]Productos!BP3</f>
        <v>P-Promesa de compraventa</v>
      </c>
      <c r="Y2" s="133" t="str">
        <f>[4]Productos!BQ3</f>
        <v>P-Registro mercantil</v>
      </c>
      <c r="Z2" s="133" t="str">
        <f>[4]Productos!BR3</f>
        <v>P-Solicitud de vinculación</v>
      </c>
      <c r="AA2" s="133" t="str">
        <f>[4]Productos!BS3</f>
        <v>P-Ultimas colillas o desprendibles de pago de pensión:</v>
      </c>
      <c r="AB2" s="133" t="str">
        <f>[4]Productos!BT3</f>
        <v>P-Otro 1</v>
      </c>
      <c r="AC2" s="133" t="str">
        <f>[4]Productos!BU3</f>
        <v>P-Otro 2</v>
      </c>
      <c r="AD2" s="133" t="str">
        <f>[4]Productos!BV3</f>
        <v>P-Otro 3</v>
      </c>
      <c r="AE2" s="133" t="str">
        <f>[4]Productos!BW3</f>
        <v>I-Cédula Original</v>
      </c>
      <c r="AF2" s="133" t="str">
        <f>[4]Productos!BX3</f>
        <v>I-Copia del documento de identidad</v>
      </c>
      <c r="AG2" s="133" t="str">
        <f>[4]Productos!BY3</f>
        <v>I-Certificado Camara de comercio</v>
      </c>
      <c r="AH2" s="133" t="str">
        <f>[4]Productos!BZ3</f>
        <v>I-Carta y matricula de contador</v>
      </c>
      <c r="AI2" s="133" t="str">
        <f>[4]Productos!CA3</f>
        <v>I-Certificado convenio con empleador</v>
      </c>
      <c r="AJ2" s="133" t="str">
        <f>[4]Productos!CB3</f>
        <v>I-Certificado de ingresos y retenciones</v>
      </c>
      <c r="AK2" s="133" t="str">
        <f>[4]Productos!CC3</f>
        <v>I-Certificación laboral</v>
      </c>
      <c r="AL2" s="133" t="str">
        <f>[4]Productos!CD3</f>
        <v>I-Certificado de libertad del inmueble</v>
      </c>
      <c r="AM2" s="133" t="str">
        <f>[4]Productos!CE3</f>
        <v>I-Certificación de otros ingresos</v>
      </c>
      <c r="AN2" s="133" t="str">
        <f>[4]Productos!CF3</f>
        <v>I-Certificación de patrimonio</v>
      </c>
      <c r="AO2" s="133" t="str">
        <f>[4]Productos!CG3</f>
        <v>I-Constancia de no declarante</v>
      </c>
      <c r="AP2" s="133" t="str">
        <f>[4]Productos!CH3</f>
        <v>I-Copia 3 últimos extractos bancarios</v>
      </c>
      <c r="AQ2" s="133" t="str">
        <f>[4]Productos!CI3</f>
        <v>I-Declaración de renta</v>
      </c>
      <c r="AR2" s="133" t="str">
        <f>[4]Productos!CJ3</f>
        <v>I-Planos, presupuestos y/o licencias</v>
      </c>
      <c r="AS2" s="133" t="str">
        <f>[4]Productos!CK3</f>
        <v>I-Promesa de compraventa</v>
      </c>
      <c r="AT2" s="133" t="str">
        <f>[4]Productos!CL3</f>
        <v>I-Registro mercantil</v>
      </c>
      <c r="AU2" s="133" t="str">
        <f>[4]Productos!CM3</f>
        <v>I-Solicitud de vinculación</v>
      </c>
      <c r="AV2" s="133" t="str">
        <f>[4]Productos!CN3</f>
        <v>I-Otro 1</v>
      </c>
      <c r="AW2" s="133" t="str">
        <f>[4]Productos!CO3</f>
        <v>I-Otro 2</v>
      </c>
      <c r="AX2" s="133" t="str">
        <f>[4]Productos!CP3</f>
        <v>I-Otro 3</v>
      </c>
      <c r="AY2" s="133" t="str">
        <f>[4]Productos!CQ3</f>
        <v>E-Antigüedad mínima en meses</v>
      </c>
      <c r="AZ2" s="133" t="str">
        <f>[4]Productos!CR3</f>
        <v>E-Cédula Original</v>
      </c>
      <c r="BA2" s="133" t="str">
        <f>[4]Productos!CS3</f>
        <v>E-Copia del documento de identidad</v>
      </c>
      <c r="BB2" s="133" t="str">
        <f>[4]Productos!CT3</f>
        <v>E-Certificado Camara de comercio</v>
      </c>
      <c r="BC2" s="133" t="str">
        <f>[4]Productos!CU3</f>
        <v>E-Carta y matricula de contador</v>
      </c>
      <c r="BD2" s="133" t="str">
        <f>[4]Productos!CV3</f>
        <v>E-Certificado convenio con empleador</v>
      </c>
      <c r="BE2" s="133" t="str">
        <f>[4]Productos!CW3</f>
        <v>E-Certificado de ingresos y retenciones</v>
      </c>
      <c r="BF2" s="133" t="str">
        <f>[4]Productos!CX3</f>
        <v>E-Certificación laboral</v>
      </c>
      <c r="BG2" s="133" t="str">
        <f>[4]Productos!CY3</f>
        <v>E-Certificado de libertad del inmueble</v>
      </c>
      <c r="BH2" s="133" t="str">
        <f>[4]Productos!CZ3</f>
        <v>E-Certificación de otros ingresos</v>
      </c>
      <c r="BI2" s="133" t="str">
        <f>[4]Productos!DA3</f>
        <v>E-Certificación de patrimonio</v>
      </c>
      <c r="BJ2" s="133" t="str">
        <f>[4]Productos!DB3</f>
        <v>E-Constancia de no declarante</v>
      </c>
      <c r="BK2" s="133" t="str">
        <f>[4]Productos!DC3</f>
        <v>E-Copia 3 últimos extractos bancarios</v>
      </c>
      <c r="BL2" s="133" t="str">
        <f>[4]Productos!DD3</f>
        <v>E-Declaración de renta</v>
      </c>
      <c r="BM2" s="133" t="str">
        <f>[4]Productos!DE3</f>
        <v>E-Planos, presupuestos y/o licencias</v>
      </c>
      <c r="BN2" s="133" t="str">
        <f>[4]Productos!DF3</f>
        <v>E-Promesa de compraventa</v>
      </c>
      <c r="BO2" s="133" t="str">
        <f>[4]Productos!DG3</f>
        <v>E-Registro mercantil</v>
      </c>
      <c r="BP2" s="133" t="str">
        <f>[4]Productos!DH3</f>
        <v>E-Solicitud de vinculación</v>
      </c>
      <c r="BQ2" s="133" t="str">
        <f>[4]Productos!DI3</f>
        <v>E-Copia de los 3 ultimos recibos de pago</v>
      </c>
      <c r="BR2" s="133" t="str">
        <f>[4]Productos!DJ3</f>
        <v>E-Otro 1</v>
      </c>
      <c r="BS2" s="133" t="str">
        <f>[4]Productos!DK3</f>
        <v>E-Otro 2</v>
      </c>
      <c r="BT2" s="133" t="str">
        <f>[4]Productos!DL3</f>
        <v>E-Otro 3</v>
      </c>
    </row>
    <row r="3" spans="1:72" s="64" customFormat="1" x14ac:dyDescent="0.25">
      <c r="A3" s="17" t="str">
        <f>'0.Consolidado general'!A3</f>
        <v>E001001021002</v>
      </c>
      <c r="B3" s="133">
        <f>IF($A3&lt;&gt;0,VLOOKUP($A3,'0.Productos'!$A$3:$GG$587,'0.Productos'!AT$1+1,0),"")</f>
        <v>4</v>
      </c>
      <c r="C3" s="133">
        <f>IF($A3&lt;&gt;0,VLOOKUP($A3,'0.Productos'!$A$3:$GG$587,'0.Productos'!AU$1+1,0),"")</f>
        <v>10</v>
      </c>
      <c r="D3" s="133">
        <f>IF($A3&lt;&gt;0,VLOOKUP($A3,'0.Productos'!$A$3:$GG$587,'0.Productos'!AV$1+1,0),"")</f>
        <v>15000</v>
      </c>
      <c r="E3" s="133">
        <f>IF($A3&lt;&gt;0,VLOOKUP($A3,'0.Productos'!$A$3:$GG$587,'0.Productos'!AW$1+1,0),"")</f>
        <v>20000</v>
      </c>
      <c r="F3" s="133">
        <f>IF($A3&lt;&gt;0,VLOOKUP($A3,'0.Productos'!$A$3:$GG$587,'0.Productos'!AX$1+1,0),"")</f>
        <v>1</v>
      </c>
      <c r="G3" s="133">
        <f>IF($A3&lt;&gt;0,VLOOKUP($A3,'0.Productos'!$A$3:$GG$587,'0.Productos'!AY$1+1,0),"")</f>
        <v>8</v>
      </c>
      <c r="H3" s="133" t="str">
        <f>IF($A3&lt;&gt;0,VLOOKUP($A3,'0.Productos'!$A$3:$GG$587,'0.Productos'!AZ$1+1,0),"")</f>
        <v>SI</v>
      </c>
      <c r="I3" s="133">
        <f>IF($A3&lt;&gt;0,VLOOKUP($A3,'0.Productos'!$A$3:$GG$587,'0.Productos'!BA$1+1,0),"")</f>
        <v>4</v>
      </c>
      <c r="J3" s="133">
        <f>IF($A3&lt;&gt;0,VLOOKUP($A3,'0.Productos'!$A$3:$GG$587,'0.Productos'!BB$1+1,0),"")</f>
        <v>0</v>
      </c>
      <c r="K3" s="133" t="str">
        <f>IF($A3&lt;&gt;0,VLOOKUP($A3,'0.Productos'!$A$3:$GG$587,'0.Productos'!BC$1+1,0),"")</f>
        <v>NO</v>
      </c>
      <c r="L3" s="133" t="str">
        <f>IF($A3&lt;&gt;0,VLOOKUP($A3,'0.Productos'!$A$3:$GG$587,'0.Productos'!BD$1+1,0),"")</f>
        <v>NO</v>
      </c>
      <c r="M3" s="133" t="str">
        <f>IF($A3&lt;&gt;0,VLOOKUP($A3,'0.Productos'!$A$3:$GG$587,'0.Productos'!BE$1+1,0),"")</f>
        <v>SI</v>
      </c>
      <c r="N3" s="133" t="str">
        <f>IF($A3&lt;&gt;0,VLOOKUP($A3,'0.Productos'!$A$3:$GG$587,'0.Productos'!BF$1+1,0),"")</f>
        <v>NO</v>
      </c>
      <c r="O3" s="133" t="str">
        <f>IF($A3&lt;&gt;0,VLOOKUP($A3,'0.Productos'!$A$3:$GG$587,'0.Productos'!BG$1+1,0),"")</f>
        <v>SI</v>
      </c>
      <c r="P3" s="133" t="str">
        <f>IF($A3&lt;&gt;0,VLOOKUP($A3,'0.Productos'!$A$3:$GG$587,'0.Productos'!BH$1+1,0),"")</f>
        <v>SI</v>
      </c>
      <c r="Q3" s="133" t="str">
        <f>IF($A3&lt;&gt;0,VLOOKUP($A3,'0.Productos'!$A$3:$GG$587,'0.Productos'!BI$1+1,0),"")</f>
        <v>SI</v>
      </c>
      <c r="R3" s="133" t="str">
        <f>IF($A3&lt;&gt;0,VLOOKUP($A3,'0.Productos'!$A$3:$GG$587,'0.Productos'!BJ$1+1,0),"")</f>
        <v>SI</v>
      </c>
      <c r="S3" s="133" t="str">
        <f>IF($A3&lt;&gt;0,VLOOKUP($A3,'0.Productos'!$A$3:$GG$587,'0.Productos'!BK$1+1,0),"")</f>
        <v>SI</v>
      </c>
      <c r="T3" s="133" t="str">
        <f>IF($A3&lt;&gt;0,VLOOKUP($A3,'0.Productos'!$A$3:$GG$587,'0.Productos'!BL$1+1,0),"")</f>
        <v>NO</v>
      </c>
      <c r="U3" s="133" t="str">
        <f>IF($A3&lt;&gt;0,VLOOKUP($A3,'0.Productos'!$A$3:$GG$587,'0.Productos'!BM$1+1,0),"")</f>
        <v>NO</v>
      </c>
      <c r="V3" s="133" t="str">
        <f>IF($A3&lt;&gt;0,VLOOKUP($A3,'0.Productos'!$A$3:$GG$587,'0.Productos'!BN$1+1,0),"")</f>
        <v>NO</v>
      </c>
      <c r="W3" s="133" t="str">
        <f>IF($A3&lt;&gt;0,VLOOKUP($A3,'0.Productos'!$A$3:$GG$587,'0.Productos'!BO$1+1,0),"")</f>
        <v>SI</v>
      </c>
      <c r="X3" s="133" t="str">
        <f>IF($A3&lt;&gt;0,VLOOKUP($A3,'0.Productos'!$A$3:$GG$587,'0.Productos'!BP$1+1,0),"")</f>
        <v>SI</v>
      </c>
      <c r="Y3" s="133" t="str">
        <f>IF($A3&lt;&gt;0,VLOOKUP($A3,'0.Productos'!$A$3:$GG$587,'0.Productos'!BQ$1+1,0),"")</f>
        <v>NO</v>
      </c>
      <c r="Z3" s="133" t="str">
        <f>IF($A3&lt;&gt;0,VLOOKUP($A3,'0.Productos'!$A$3:$GG$587,'0.Productos'!BR$1+1,0),"")</f>
        <v>SI</v>
      </c>
      <c r="AA3" s="133" t="str">
        <f>IF($A3&lt;&gt;0,VLOOKUP($A3,'0.Productos'!$A$3:$GG$587,'0.Productos'!BS$1+1,0),"")</f>
        <v>SI</v>
      </c>
      <c r="AB3" s="133" t="str">
        <f>IF($A3&lt;&gt;0,VLOOKUP($A3,'0.Productos'!$A$3:$GG$587,'0.Productos'!BT$1+1,0),"")</f>
        <v>NO</v>
      </c>
      <c r="AC3" s="133" t="str">
        <f>IF($A3&lt;&gt;0,VLOOKUP($A3,'0.Productos'!$A$3:$GG$587,'0.Productos'!BU$1+1,0),"")</f>
        <v>SI</v>
      </c>
      <c r="AD3" s="133" t="str">
        <f>IF($A3&lt;&gt;0,VLOOKUP($A3,'0.Productos'!$A$3:$GG$587,'0.Productos'!BV$1+1,0),"")</f>
        <v>NO</v>
      </c>
      <c r="AE3" s="133" t="str">
        <f>IF($A3&lt;&gt;0,VLOOKUP($A3,'0.Productos'!$A$3:$GG$587,'0.Productos'!BW$1+1,0),"")</f>
        <v>NO</v>
      </c>
      <c r="AF3" s="133" t="str">
        <f>IF($A3&lt;&gt;0,VLOOKUP($A3,'0.Productos'!$A$3:$GG$587,'0.Productos'!BX$1+1,0),"")</f>
        <v>NO</v>
      </c>
      <c r="AG3" s="133" t="str">
        <f>IF($A3&lt;&gt;0,VLOOKUP($A3,'0.Productos'!$A$3:$GG$587,'0.Productos'!BY$1+1,0),"")</f>
        <v>NO</v>
      </c>
      <c r="AH3" s="133" t="str">
        <f>IF($A3&lt;&gt;0,VLOOKUP($A3,'0.Productos'!$A$3:$GG$587,'0.Productos'!BZ$1+1,0),"")</f>
        <v>NO</v>
      </c>
      <c r="AI3" s="133" t="str">
        <f>IF($A3&lt;&gt;0,VLOOKUP($A3,'0.Productos'!$A$3:$GG$587,'0.Productos'!CA$1+1,0),"")</f>
        <v>SI</v>
      </c>
      <c r="AJ3" s="133" t="str">
        <f>IF($A3&lt;&gt;0,VLOOKUP($A3,'0.Productos'!$A$3:$GG$587,'0.Productos'!CB$1+1,0),"")</f>
        <v>SI</v>
      </c>
      <c r="AK3" s="133" t="str">
        <f>IF($A3&lt;&gt;0,VLOOKUP($A3,'0.Productos'!$A$3:$GG$587,'0.Productos'!CC$1+1,0),"")</f>
        <v>SI</v>
      </c>
      <c r="AL3" s="133" t="str">
        <f>IF($A3&lt;&gt;0,VLOOKUP($A3,'0.Productos'!$A$3:$GG$587,'0.Productos'!CD$1+1,0),"")</f>
        <v>SI</v>
      </c>
      <c r="AM3" s="133" t="str">
        <f>IF($A3&lt;&gt;0,VLOOKUP($A3,'0.Productos'!$A$3:$GG$587,'0.Productos'!CE$1+1,0),"")</f>
        <v>SI</v>
      </c>
      <c r="AN3" s="133" t="str">
        <f>IF($A3&lt;&gt;0,VLOOKUP($A3,'0.Productos'!$A$3:$GG$587,'0.Productos'!CF$1+1,0),"")</f>
        <v>SI</v>
      </c>
      <c r="AO3" s="133" t="str">
        <f>IF($A3&lt;&gt;0,VLOOKUP($A3,'0.Productos'!$A$3:$GG$587,'0.Productos'!CG$1+1,0),"")</f>
        <v>NO</v>
      </c>
      <c r="AP3" s="133" t="str">
        <f>IF($A3&lt;&gt;0,VLOOKUP($A3,'0.Productos'!$A$3:$GG$587,'0.Productos'!CH$1+1,0),"")</f>
        <v>SI</v>
      </c>
      <c r="AQ3" s="133" t="str">
        <f>IF($A3&lt;&gt;0,VLOOKUP($A3,'0.Productos'!$A$3:$GG$587,'0.Productos'!CI$1+1,0),"")</f>
        <v>SI</v>
      </c>
      <c r="AR3" s="133" t="str">
        <f>IF($A3&lt;&gt;0,VLOOKUP($A3,'0.Productos'!$A$3:$GG$587,'0.Productos'!CJ$1+1,0),"")</f>
        <v>NO</v>
      </c>
      <c r="AS3" s="133" t="str">
        <f>IF($A3&lt;&gt;0,VLOOKUP($A3,'0.Productos'!$A$3:$GG$587,'0.Productos'!CK$1+1,0),"")</f>
        <v>NO</v>
      </c>
      <c r="AT3" s="133" t="str">
        <f>IF($A3&lt;&gt;0,VLOOKUP($A3,'0.Productos'!$A$3:$GG$587,'0.Productos'!CL$1+1,0),"")</f>
        <v>SI</v>
      </c>
      <c r="AU3" s="133" t="str">
        <f>IF($A3&lt;&gt;0,VLOOKUP($A3,'0.Productos'!$A$3:$GG$587,'0.Productos'!CM$1+1,0),"")</f>
        <v>NO</v>
      </c>
      <c r="AV3" s="133" t="str">
        <f>IF($A3&lt;&gt;0,VLOOKUP($A3,'0.Productos'!$A$3:$GG$587,'0.Productos'!CN$1+1,0),"")</f>
        <v>NO</v>
      </c>
      <c r="AW3" s="133" t="str">
        <f>IF($A3&lt;&gt;0,VLOOKUP($A3,'0.Productos'!$A$3:$GG$587,'0.Productos'!CO$1+1,0),"")</f>
        <v>NO</v>
      </c>
      <c r="AX3" s="133" t="str">
        <f>IF($A3&lt;&gt;0,VLOOKUP($A3,'0.Productos'!$A$3:$GG$587,'0.Productos'!CP$1+1,0),"")</f>
        <v>NO</v>
      </c>
      <c r="AY3" s="133" t="str">
        <f>IF($A3&lt;&gt;0,VLOOKUP($A3,'0.Productos'!$A$3:$GG$587,'0.Productos'!CQ$1+1,0),"")</f>
        <v>SI</v>
      </c>
      <c r="AZ3" s="133" t="str">
        <f>IF($A3&lt;&gt;0,VLOOKUP($A3,'0.Productos'!$A$3:$GG$587,'0.Productos'!CR$1+1,0),"")</f>
        <v>NO</v>
      </c>
      <c r="BA3" s="133" t="str">
        <f>IF($A3&lt;&gt;0,VLOOKUP($A3,'0.Productos'!$A$3:$GG$587,'0.Productos'!CS$1+1,0),"")</f>
        <v>SI</v>
      </c>
      <c r="BB3" s="133" t="str">
        <f>IF($A3&lt;&gt;0,VLOOKUP($A3,'0.Productos'!$A$3:$GG$587,'0.Productos'!CT$1+1,0),"")</f>
        <v>SI</v>
      </c>
      <c r="BC3" s="133" t="str">
        <f>IF($A3&lt;&gt;0,VLOOKUP($A3,'0.Productos'!$A$3:$GG$587,'0.Productos'!CU$1+1,0),"")</f>
        <v>SI</v>
      </c>
      <c r="BD3" s="133" t="str">
        <f>IF($A3&lt;&gt;0,VLOOKUP($A3,'0.Productos'!$A$3:$GG$587,'0.Productos'!CV$1+1,0),"")</f>
        <v>NO</v>
      </c>
      <c r="BE3" s="133" t="str">
        <f>IF($A3&lt;&gt;0,VLOOKUP($A3,'0.Productos'!$A$3:$GG$587,'0.Productos'!CW$1+1,0),"")</f>
        <v>SI</v>
      </c>
      <c r="BF3" s="133" t="str">
        <f>IF($A3&lt;&gt;0,VLOOKUP($A3,'0.Productos'!$A$3:$GG$587,'0.Productos'!CX$1+1,0),"")</f>
        <v>NO</v>
      </c>
      <c r="BG3" s="133" t="str">
        <f>IF($A3&lt;&gt;0,VLOOKUP($A3,'0.Productos'!$A$3:$GG$587,'0.Productos'!CY$1+1,0),"")</f>
        <v>NO</v>
      </c>
      <c r="BH3" s="133" t="str">
        <f>IF($A3&lt;&gt;0,VLOOKUP($A3,'0.Productos'!$A$3:$GG$587,'0.Productos'!CZ$1+1,0),"")</f>
        <v>NO</v>
      </c>
      <c r="BI3" s="133" t="str">
        <f>IF($A3&lt;&gt;0,VLOOKUP($A3,'0.Productos'!$A$3:$GG$587,'0.Productos'!DA$1+1,0),"")</f>
        <v>NO</v>
      </c>
      <c r="BJ3" s="133" t="str">
        <f>IF($A3&lt;&gt;0,VLOOKUP($A3,'0.Productos'!$A$3:$GG$587,'0.Productos'!DB$1+1,0),"")</f>
        <v>SI</v>
      </c>
      <c r="BK3" s="133" t="str">
        <f>IF($A3&lt;&gt;0,VLOOKUP($A3,'0.Productos'!$A$3:$GG$587,'0.Productos'!DC$1+1,0),"")</f>
        <v>NO</v>
      </c>
      <c r="BL3" s="133" t="str">
        <f>IF($A3&lt;&gt;0,VLOOKUP($A3,'0.Productos'!$A$3:$GG$587,'0.Productos'!DD$1+1,0),"")</f>
        <v>SI</v>
      </c>
      <c r="BM3" s="133" t="str">
        <f>IF($A3&lt;&gt;0,VLOOKUP($A3,'0.Productos'!$A$3:$GG$587,'0.Productos'!DE$1+1,0),"")</f>
        <v>SI</v>
      </c>
      <c r="BN3" s="133" t="str">
        <f>IF($A3&lt;&gt;0,VLOOKUP($A3,'0.Productos'!$A$3:$GG$587,'0.Productos'!DF$1+1,0),"")</f>
        <v>SI</v>
      </c>
      <c r="BO3" s="133" t="str">
        <f>IF($A3&lt;&gt;0,VLOOKUP($A3,'0.Productos'!$A$3:$GG$587,'0.Productos'!DG$1+1,0),"")</f>
        <v>NO</v>
      </c>
      <c r="BP3" s="133" t="str">
        <f>IF($A3&lt;&gt;0,VLOOKUP($A3,'0.Productos'!$A$3:$GG$587,'0.Productos'!DH$1+1,0),"")</f>
        <v>SI</v>
      </c>
      <c r="BQ3" s="133" t="str">
        <f>IF($A3&lt;&gt;0,VLOOKUP($A3,'0.Productos'!$A$3:$GG$587,'0.Productos'!DI$1+1,0),"")</f>
        <v>NO</v>
      </c>
      <c r="BR3" s="133" t="str">
        <f>IF($A3&lt;&gt;0,VLOOKUP($A3,'0.Productos'!$A$3:$GG$587,'0.Productos'!DJ$1+1,0),"")</f>
        <v>NO</v>
      </c>
      <c r="BS3" s="133" t="str">
        <f>IF($A3&lt;&gt;0,VLOOKUP($A3,'0.Productos'!$A$3:$GG$587,'0.Productos'!DK$1+1,0),"")</f>
        <v>SI</v>
      </c>
      <c r="BT3" s="133" t="str">
        <f>IF($A3&lt;&gt;0,VLOOKUP($A3,'0.Productos'!$A$3:$GG$587,'0.Productos'!DL$1+1,0),"")</f>
        <v>SI</v>
      </c>
    </row>
    <row r="4" spans="1:72" s="64" customFormat="1" x14ac:dyDescent="0.25">
      <c r="A4" s="17" t="str">
        <f>'0.Consolidado general'!A4</f>
        <v>E001001021003</v>
      </c>
      <c r="B4" s="133">
        <f>IF($A4&lt;&gt;0,VLOOKUP($A4,'0.Productos'!$A$3:$GG$587,'0.Productos'!AT$1+1,0),"")</f>
        <v>21</v>
      </c>
      <c r="C4" s="133">
        <f>IF($A4&lt;&gt;0,VLOOKUP($A4,'0.Productos'!$A$3:$GG$587,'0.Productos'!AU$1+1,0),"")</f>
        <v>12</v>
      </c>
      <c r="D4" s="133">
        <f>IF($A4&lt;&gt;0,VLOOKUP($A4,'0.Productos'!$A$3:$GG$587,'0.Productos'!AV$1+1,0),"")</f>
        <v>8000</v>
      </c>
      <c r="E4" s="133">
        <f>IF($A4&lt;&gt;0,VLOOKUP($A4,'0.Productos'!$A$3:$GG$587,'0.Productos'!AW$1+1,0),"")</f>
        <v>25000</v>
      </c>
      <c r="F4" s="133">
        <f>IF($A4&lt;&gt;0,VLOOKUP($A4,'0.Productos'!$A$3:$GG$587,'0.Productos'!AX$1+1,0),"")</f>
        <v>10</v>
      </c>
      <c r="G4" s="133">
        <f>IF($A4&lt;&gt;0,VLOOKUP($A4,'0.Productos'!$A$3:$GG$587,'0.Productos'!AY$1+1,0),"")</f>
        <v>13</v>
      </c>
      <c r="H4" s="133" t="str">
        <f>IF($A4&lt;&gt;0,VLOOKUP($A4,'0.Productos'!$A$3:$GG$587,'0.Productos'!AZ$1+1,0),"")</f>
        <v>SI</v>
      </c>
      <c r="I4" s="133">
        <f>IF($A4&lt;&gt;0,VLOOKUP($A4,'0.Productos'!$A$3:$GG$587,'0.Productos'!BA$1+1,0),"")</f>
        <v>4</v>
      </c>
      <c r="J4" s="133">
        <f>IF($A4&lt;&gt;0,VLOOKUP($A4,'0.Productos'!$A$3:$GG$587,'0.Productos'!BB$1+1,0),"")</f>
        <v>0</v>
      </c>
      <c r="K4" s="133" t="str">
        <f>IF($A4&lt;&gt;0,VLOOKUP($A4,'0.Productos'!$A$3:$GG$587,'0.Productos'!BC$1+1,0),"")</f>
        <v>SI</v>
      </c>
      <c r="L4" s="133" t="str">
        <f>IF($A4&lt;&gt;0,VLOOKUP($A4,'0.Productos'!$A$3:$GG$587,'0.Productos'!BD$1+1,0),"")</f>
        <v>SI</v>
      </c>
      <c r="M4" s="133" t="str">
        <f>IF($A4&lt;&gt;0,VLOOKUP($A4,'0.Productos'!$A$3:$GG$587,'0.Productos'!BE$1+1,0),"")</f>
        <v>SI</v>
      </c>
      <c r="N4" s="133" t="str">
        <f>IF($A4&lt;&gt;0,VLOOKUP($A4,'0.Productos'!$A$3:$GG$587,'0.Productos'!BF$1+1,0),"")</f>
        <v>NO</v>
      </c>
      <c r="O4" s="133" t="str">
        <f>IF($A4&lt;&gt;0,VLOOKUP($A4,'0.Productos'!$A$3:$GG$587,'0.Productos'!BG$1+1,0),"")</f>
        <v>NO</v>
      </c>
      <c r="P4" s="133" t="str">
        <f>IF($A4&lt;&gt;0,VLOOKUP($A4,'0.Productos'!$A$3:$GG$587,'0.Productos'!BH$1+1,0),"")</f>
        <v>NO</v>
      </c>
      <c r="Q4" s="133" t="str">
        <f>IF($A4&lt;&gt;0,VLOOKUP($A4,'0.Productos'!$A$3:$GG$587,'0.Productos'!BI$1+1,0),"")</f>
        <v>SI</v>
      </c>
      <c r="R4" s="133" t="str">
        <f>IF($A4&lt;&gt;0,VLOOKUP($A4,'0.Productos'!$A$3:$GG$587,'0.Productos'!BJ$1+1,0),"")</f>
        <v>NO</v>
      </c>
      <c r="S4" s="133" t="str">
        <f>IF($A4&lt;&gt;0,VLOOKUP($A4,'0.Productos'!$A$3:$GG$587,'0.Productos'!BK$1+1,0),"")</f>
        <v>SI</v>
      </c>
      <c r="T4" s="133" t="str">
        <f>IF($A4&lt;&gt;0,VLOOKUP($A4,'0.Productos'!$A$3:$GG$587,'0.Productos'!BL$1+1,0),"")</f>
        <v>SI</v>
      </c>
      <c r="U4" s="133" t="str">
        <f>IF($A4&lt;&gt;0,VLOOKUP($A4,'0.Productos'!$A$3:$GG$587,'0.Productos'!BM$1+1,0),"")</f>
        <v>SI</v>
      </c>
      <c r="V4" s="133" t="str">
        <f>IF($A4&lt;&gt;0,VLOOKUP($A4,'0.Productos'!$A$3:$GG$587,'0.Productos'!BN$1+1,0),"")</f>
        <v>NO</v>
      </c>
      <c r="W4" s="133" t="str">
        <f>IF($A4&lt;&gt;0,VLOOKUP($A4,'0.Productos'!$A$3:$GG$587,'0.Productos'!BO$1+1,0),"")</f>
        <v>SI</v>
      </c>
      <c r="X4" s="133" t="str">
        <f>IF($A4&lt;&gt;0,VLOOKUP($A4,'0.Productos'!$A$3:$GG$587,'0.Productos'!BP$1+1,0),"")</f>
        <v>NO</v>
      </c>
      <c r="Y4" s="133" t="str">
        <f>IF($A4&lt;&gt;0,VLOOKUP($A4,'0.Productos'!$A$3:$GG$587,'0.Productos'!BQ$1+1,0),"")</f>
        <v>NO</v>
      </c>
      <c r="Z4" s="133" t="str">
        <f>IF($A4&lt;&gt;0,VLOOKUP($A4,'0.Productos'!$A$3:$GG$587,'0.Productos'!BR$1+1,0),"")</f>
        <v>SI</v>
      </c>
      <c r="AA4" s="133" t="str">
        <f>IF($A4&lt;&gt;0,VLOOKUP($A4,'0.Productos'!$A$3:$GG$587,'0.Productos'!BS$1+1,0),"")</f>
        <v>SI</v>
      </c>
      <c r="AB4" s="133" t="str">
        <f>IF($A4&lt;&gt;0,VLOOKUP($A4,'0.Productos'!$A$3:$GG$587,'0.Productos'!BT$1+1,0),"")</f>
        <v>SI</v>
      </c>
      <c r="AC4" s="133" t="str">
        <f>IF($A4&lt;&gt;0,VLOOKUP($A4,'0.Productos'!$A$3:$GG$587,'0.Productos'!BU$1+1,0),"")</f>
        <v>SI</v>
      </c>
      <c r="AD4" s="133" t="str">
        <f>IF($A4&lt;&gt;0,VLOOKUP($A4,'0.Productos'!$A$3:$GG$587,'0.Productos'!BV$1+1,0),"")</f>
        <v>NO</v>
      </c>
      <c r="AE4" s="133" t="str">
        <f>IF($A4&lt;&gt;0,VLOOKUP($A4,'0.Productos'!$A$3:$GG$587,'0.Productos'!BW$1+1,0),"")</f>
        <v>SI</v>
      </c>
      <c r="AF4" s="133" t="str">
        <f>IF($A4&lt;&gt;0,VLOOKUP($A4,'0.Productos'!$A$3:$GG$587,'0.Productos'!BX$1+1,0),"")</f>
        <v>NO</v>
      </c>
      <c r="AG4" s="133" t="str">
        <f>IF($A4&lt;&gt;0,VLOOKUP($A4,'0.Productos'!$A$3:$GG$587,'0.Productos'!BY$1+1,0),"")</f>
        <v>SI</v>
      </c>
      <c r="AH4" s="133" t="str">
        <f>IF($A4&lt;&gt;0,VLOOKUP($A4,'0.Productos'!$A$3:$GG$587,'0.Productos'!BZ$1+1,0),"")</f>
        <v>SI</v>
      </c>
      <c r="AI4" s="133" t="str">
        <f>IF($A4&lt;&gt;0,VLOOKUP($A4,'0.Productos'!$A$3:$GG$587,'0.Productos'!CA$1+1,0),"")</f>
        <v>NO</v>
      </c>
      <c r="AJ4" s="133" t="str">
        <f>IF($A4&lt;&gt;0,VLOOKUP($A4,'0.Productos'!$A$3:$GG$587,'0.Productos'!CB$1+1,0),"")</f>
        <v>NO</v>
      </c>
      <c r="AK4" s="133" t="str">
        <f>IF($A4&lt;&gt;0,VLOOKUP($A4,'0.Productos'!$A$3:$GG$587,'0.Productos'!CC$1+1,0),"")</f>
        <v>NO</v>
      </c>
      <c r="AL4" s="133" t="str">
        <f>IF($A4&lt;&gt;0,VLOOKUP($A4,'0.Productos'!$A$3:$GG$587,'0.Productos'!CD$1+1,0),"")</f>
        <v>SI</v>
      </c>
      <c r="AM4" s="133" t="str">
        <f>IF($A4&lt;&gt;0,VLOOKUP($A4,'0.Productos'!$A$3:$GG$587,'0.Productos'!CE$1+1,0),"")</f>
        <v>SI</v>
      </c>
      <c r="AN4" s="133" t="str">
        <f>IF($A4&lt;&gt;0,VLOOKUP($A4,'0.Productos'!$A$3:$GG$587,'0.Productos'!CF$1+1,0),"")</f>
        <v>SI</v>
      </c>
      <c r="AO4" s="133" t="str">
        <f>IF($A4&lt;&gt;0,VLOOKUP($A4,'0.Productos'!$A$3:$GG$587,'0.Productos'!CG$1+1,0),"")</f>
        <v>SI</v>
      </c>
      <c r="AP4" s="133" t="str">
        <f>IF($A4&lt;&gt;0,VLOOKUP($A4,'0.Productos'!$A$3:$GG$587,'0.Productos'!CH$1+1,0),"")</f>
        <v>SI</v>
      </c>
      <c r="AQ4" s="133" t="str">
        <f>IF($A4&lt;&gt;0,VLOOKUP($A4,'0.Productos'!$A$3:$GG$587,'0.Productos'!CI$1+1,0),"")</f>
        <v>NO</v>
      </c>
      <c r="AR4" s="133" t="str">
        <f>IF($A4&lt;&gt;0,VLOOKUP($A4,'0.Productos'!$A$3:$GG$587,'0.Productos'!CJ$1+1,0),"")</f>
        <v>SI</v>
      </c>
      <c r="AS4" s="133" t="str">
        <f>IF($A4&lt;&gt;0,VLOOKUP($A4,'0.Productos'!$A$3:$GG$587,'0.Productos'!CK$1+1,0),"")</f>
        <v>NO</v>
      </c>
      <c r="AT4" s="133" t="str">
        <f>IF($A4&lt;&gt;0,VLOOKUP($A4,'0.Productos'!$A$3:$GG$587,'0.Productos'!CL$1+1,0),"")</f>
        <v>NO</v>
      </c>
      <c r="AU4" s="133" t="str">
        <f>IF($A4&lt;&gt;0,VLOOKUP($A4,'0.Productos'!$A$3:$GG$587,'0.Productos'!CM$1+1,0),"")</f>
        <v>NO</v>
      </c>
      <c r="AV4" s="133" t="str">
        <f>IF($A4&lt;&gt;0,VLOOKUP($A4,'0.Productos'!$A$3:$GG$587,'0.Productos'!CN$1+1,0),"")</f>
        <v>NO</v>
      </c>
      <c r="AW4" s="133" t="str">
        <f>IF($A4&lt;&gt;0,VLOOKUP($A4,'0.Productos'!$A$3:$GG$587,'0.Productos'!CO$1+1,0),"")</f>
        <v>SI</v>
      </c>
      <c r="AX4" s="133" t="str">
        <f>IF($A4&lt;&gt;0,VLOOKUP($A4,'0.Productos'!$A$3:$GG$587,'0.Productos'!CP$1+1,0),"")</f>
        <v>NO</v>
      </c>
      <c r="AY4" s="133" t="str">
        <f>IF($A4&lt;&gt;0,VLOOKUP($A4,'0.Productos'!$A$3:$GG$587,'0.Productos'!CQ$1+1,0),"")</f>
        <v>NO</v>
      </c>
      <c r="AZ4" s="133" t="str">
        <f>IF($A4&lt;&gt;0,VLOOKUP($A4,'0.Productos'!$A$3:$GG$587,'0.Productos'!CR$1+1,0),"")</f>
        <v>NO</v>
      </c>
      <c r="BA4" s="133" t="str">
        <f>IF($A4&lt;&gt;0,VLOOKUP($A4,'0.Productos'!$A$3:$GG$587,'0.Productos'!CS$1+1,0),"")</f>
        <v>SI</v>
      </c>
      <c r="BB4" s="133" t="str">
        <f>IF($A4&lt;&gt;0,VLOOKUP($A4,'0.Productos'!$A$3:$GG$587,'0.Productos'!CT$1+1,0),"")</f>
        <v>SI</v>
      </c>
      <c r="BC4" s="133" t="str">
        <f>IF($A4&lt;&gt;0,VLOOKUP($A4,'0.Productos'!$A$3:$GG$587,'0.Productos'!CU$1+1,0),"")</f>
        <v>SI</v>
      </c>
      <c r="BD4" s="133" t="str">
        <f>IF($A4&lt;&gt;0,VLOOKUP($A4,'0.Productos'!$A$3:$GG$587,'0.Productos'!CV$1+1,0),"")</f>
        <v>SI</v>
      </c>
      <c r="BE4" s="133" t="str">
        <f>IF($A4&lt;&gt;0,VLOOKUP($A4,'0.Productos'!$A$3:$GG$587,'0.Productos'!CW$1+1,0),"")</f>
        <v>SI</v>
      </c>
      <c r="BF4" s="133" t="str">
        <f>IF($A4&lt;&gt;0,VLOOKUP($A4,'0.Productos'!$A$3:$GG$587,'0.Productos'!CX$1+1,0),"")</f>
        <v>SI</v>
      </c>
      <c r="BG4" s="133" t="str">
        <f>IF($A4&lt;&gt;0,VLOOKUP($A4,'0.Productos'!$A$3:$GG$587,'0.Productos'!CY$1+1,0),"")</f>
        <v>NO</v>
      </c>
      <c r="BH4" s="133" t="str">
        <f>IF($A4&lt;&gt;0,VLOOKUP($A4,'0.Productos'!$A$3:$GG$587,'0.Productos'!CZ$1+1,0),"")</f>
        <v>SI</v>
      </c>
      <c r="BI4" s="133" t="str">
        <f>IF($A4&lt;&gt;0,VLOOKUP($A4,'0.Productos'!$A$3:$GG$587,'0.Productos'!DA$1+1,0),"")</f>
        <v>NO</v>
      </c>
      <c r="BJ4" s="133" t="str">
        <f>IF($A4&lt;&gt;0,VLOOKUP($A4,'0.Productos'!$A$3:$GG$587,'0.Productos'!DB$1+1,0),"")</f>
        <v>SI</v>
      </c>
      <c r="BK4" s="133" t="str">
        <f>IF($A4&lt;&gt;0,VLOOKUP($A4,'0.Productos'!$A$3:$GG$587,'0.Productos'!DC$1+1,0),"")</f>
        <v>NO</v>
      </c>
      <c r="BL4" s="133" t="str">
        <f>IF($A4&lt;&gt;0,VLOOKUP($A4,'0.Productos'!$A$3:$GG$587,'0.Productos'!DD$1+1,0),"")</f>
        <v>SI</v>
      </c>
      <c r="BM4" s="133" t="str">
        <f>IF($A4&lt;&gt;0,VLOOKUP($A4,'0.Productos'!$A$3:$GG$587,'0.Productos'!DE$1+1,0),"")</f>
        <v>SI</v>
      </c>
      <c r="BN4" s="133" t="str">
        <f>IF($A4&lt;&gt;0,VLOOKUP($A4,'0.Productos'!$A$3:$GG$587,'0.Productos'!DF$1+1,0),"")</f>
        <v>SI</v>
      </c>
      <c r="BO4" s="133" t="str">
        <f>IF($A4&lt;&gt;0,VLOOKUP($A4,'0.Productos'!$A$3:$GG$587,'0.Productos'!DG$1+1,0),"")</f>
        <v>SI</v>
      </c>
      <c r="BP4" s="133" t="str">
        <f>IF($A4&lt;&gt;0,VLOOKUP($A4,'0.Productos'!$A$3:$GG$587,'0.Productos'!DH$1+1,0),"")</f>
        <v>SI</v>
      </c>
      <c r="BQ4" s="133" t="str">
        <f>IF($A4&lt;&gt;0,VLOOKUP($A4,'0.Productos'!$A$3:$GG$587,'0.Productos'!DI$1+1,0),"")</f>
        <v>SI</v>
      </c>
      <c r="BR4" s="133" t="str">
        <f>IF($A4&lt;&gt;0,VLOOKUP($A4,'0.Productos'!$A$3:$GG$587,'0.Productos'!DJ$1+1,0),"")</f>
        <v>SI</v>
      </c>
      <c r="BS4" s="133" t="str">
        <f>IF($A4&lt;&gt;0,VLOOKUP($A4,'0.Productos'!$A$3:$GG$587,'0.Productos'!DK$1+1,0),"")</f>
        <v>NO</v>
      </c>
      <c r="BT4" s="133" t="str">
        <f>IF($A4&lt;&gt;0,VLOOKUP($A4,'0.Productos'!$A$3:$GG$587,'0.Productos'!DL$1+1,0),"")</f>
        <v>NO</v>
      </c>
    </row>
    <row r="5" spans="1:72" s="64" customFormat="1" x14ac:dyDescent="0.25">
      <c r="A5" s="17" t="str">
        <f>'0.Consolidado general'!A5</f>
        <v>E001002021001</v>
      </c>
      <c r="B5" s="133">
        <f>IF($A5&lt;&gt;0,VLOOKUP($A5,'0.Productos'!$A$3:$GG$587,'0.Productos'!AT$1+1,0),"")</f>
        <v>23</v>
      </c>
      <c r="C5" s="133">
        <f>IF($A5&lt;&gt;0,VLOOKUP($A5,'0.Productos'!$A$3:$GG$587,'0.Productos'!AU$1+1,0),"")</f>
        <v>10</v>
      </c>
      <c r="D5" s="133">
        <f>IF($A5&lt;&gt;0,VLOOKUP($A5,'0.Productos'!$A$3:$GG$587,'0.Productos'!AV$1+1,0),"")</f>
        <v>12000</v>
      </c>
      <c r="E5" s="133">
        <f>IF($A5&lt;&gt;0,VLOOKUP($A5,'0.Productos'!$A$3:$GG$587,'0.Productos'!AW$1+1,0),"")</f>
        <v>10000</v>
      </c>
      <c r="F5" s="133">
        <f>IF($A5&lt;&gt;0,VLOOKUP($A5,'0.Productos'!$A$3:$GG$587,'0.Productos'!AX$1+1,0),"")</f>
        <v>12</v>
      </c>
      <c r="G5" s="133">
        <f>IF($A5&lt;&gt;0,VLOOKUP($A5,'0.Productos'!$A$3:$GG$587,'0.Productos'!AY$1+1,0),"")</f>
        <v>14</v>
      </c>
      <c r="H5" s="133" t="str">
        <f>IF($A5&lt;&gt;0,VLOOKUP($A5,'0.Productos'!$A$3:$GG$587,'0.Productos'!AZ$1+1,0),"")</f>
        <v>NO</v>
      </c>
      <c r="I5" s="133">
        <f>IF($A5&lt;&gt;0,VLOOKUP($A5,'0.Productos'!$A$3:$GG$587,'0.Productos'!BA$1+1,0),"")</f>
        <v>3</v>
      </c>
      <c r="J5" s="133">
        <f>IF($A5&lt;&gt;0,VLOOKUP($A5,'0.Productos'!$A$3:$GG$587,'0.Productos'!BB$1+1,0),"")</f>
        <v>0</v>
      </c>
      <c r="K5" s="133" t="str">
        <f>IF($A5&lt;&gt;0,VLOOKUP($A5,'0.Productos'!$A$3:$GG$587,'0.Productos'!BC$1+1,0),"")</f>
        <v>SI</v>
      </c>
      <c r="L5" s="133" t="str">
        <f>IF($A5&lt;&gt;0,VLOOKUP($A5,'0.Productos'!$A$3:$GG$587,'0.Productos'!BD$1+1,0),"")</f>
        <v>SI</v>
      </c>
      <c r="M5" s="133" t="str">
        <f>IF($A5&lt;&gt;0,VLOOKUP($A5,'0.Productos'!$A$3:$GG$587,'0.Productos'!BE$1+1,0),"")</f>
        <v>SI</v>
      </c>
      <c r="N5" s="133" t="str">
        <f>IF($A5&lt;&gt;0,VLOOKUP($A5,'0.Productos'!$A$3:$GG$587,'0.Productos'!BF$1+1,0),"")</f>
        <v>NO</v>
      </c>
      <c r="O5" s="133" t="str">
        <f>IF($A5&lt;&gt;0,VLOOKUP($A5,'0.Productos'!$A$3:$GG$587,'0.Productos'!BG$1+1,0),"")</f>
        <v>SI</v>
      </c>
      <c r="P5" s="133" t="str">
        <f>IF($A5&lt;&gt;0,VLOOKUP($A5,'0.Productos'!$A$3:$GG$587,'0.Productos'!BH$1+1,0),"")</f>
        <v>NO</v>
      </c>
      <c r="Q5" s="133" t="str">
        <f>IF($A5&lt;&gt;0,VLOOKUP($A5,'0.Productos'!$A$3:$GG$587,'0.Productos'!BI$1+1,0),"")</f>
        <v>NO</v>
      </c>
      <c r="R5" s="133" t="str">
        <f>IF($A5&lt;&gt;0,VLOOKUP($A5,'0.Productos'!$A$3:$GG$587,'0.Productos'!BJ$1+1,0),"")</f>
        <v>NO</v>
      </c>
      <c r="S5" s="133" t="str">
        <f>IF($A5&lt;&gt;0,VLOOKUP($A5,'0.Productos'!$A$3:$GG$587,'0.Productos'!BK$1+1,0),"")</f>
        <v>SI</v>
      </c>
      <c r="T5" s="133" t="str">
        <f>IF($A5&lt;&gt;0,VLOOKUP($A5,'0.Productos'!$A$3:$GG$587,'0.Productos'!BL$1+1,0),"")</f>
        <v>NO</v>
      </c>
      <c r="U5" s="133" t="str">
        <f>IF($A5&lt;&gt;0,VLOOKUP($A5,'0.Productos'!$A$3:$GG$587,'0.Productos'!BM$1+1,0),"")</f>
        <v>SI</v>
      </c>
      <c r="V5" s="133" t="str">
        <f>IF($A5&lt;&gt;0,VLOOKUP($A5,'0.Productos'!$A$3:$GG$587,'0.Productos'!BN$1+1,0),"")</f>
        <v>SI</v>
      </c>
      <c r="W5" s="133" t="str">
        <f>IF($A5&lt;&gt;0,VLOOKUP($A5,'0.Productos'!$A$3:$GG$587,'0.Productos'!BO$1+1,0),"")</f>
        <v>SI</v>
      </c>
      <c r="X5" s="133" t="str">
        <f>IF($A5&lt;&gt;0,VLOOKUP($A5,'0.Productos'!$A$3:$GG$587,'0.Productos'!BP$1+1,0),"")</f>
        <v>SI</v>
      </c>
      <c r="Y5" s="133" t="str">
        <f>IF($A5&lt;&gt;0,VLOOKUP($A5,'0.Productos'!$A$3:$GG$587,'0.Productos'!BQ$1+1,0),"")</f>
        <v>SI</v>
      </c>
      <c r="Z5" s="133" t="str">
        <f>IF($A5&lt;&gt;0,VLOOKUP($A5,'0.Productos'!$A$3:$GG$587,'0.Productos'!BR$1+1,0),"")</f>
        <v>SI</v>
      </c>
      <c r="AA5" s="133" t="str">
        <f>IF($A5&lt;&gt;0,VLOOKUP($A5,'0.Productos'!$A$3:$GG$587,'0.Productos'!BS$1+1,0),"")</f>
        <v>SI</v>
      </c>
      <c r="AB5" s="133" t="str">
        <f>IF($A5&lt;&gt;0,VLOOKUP($A5,'0.Productos'!$A$3:$GG$587,'0.Productos'!BT$1+1,0),"")</f>
        <v>SI</v>
      </c>
      <c r="AC5" s="133" t="str">
        <f>IF($A5&lt;&gt;0,VLOOKUP($A5,'0.Productos'!$A$3:$GG$587,'0.Productos'!BU$1+1,0),"")</f>
        <v>SI</v>
      </c>
      <c r="AD5" s="133" t="str">
        <f>IF($A5&lt;&gt;0,VLOOKUP($A5,'0.Productos'!$A$3:$GG$587,'0.Productos'!BV$1+1,0),"")</f>
        <v>NO</v>
      </c>
      <c r="AE5" s="133" t="str">
        <f>IF($A5&lt;&gt;0,VLOOKUP($A5,'0.Productos'!$A$3:$GG$587,'0.Productos'!BW$1+1,0),"")</f>
        <v>SI</v>
      </c>
      <c r="AF5" s="133" t="str">
        <f>IF($A5&lt;&gt;0,VLOOKUP($A5,'0.Productos'!$A$3:$GG$587,'0.Productos'!BX$1+1,0),"")</f>
        <v>SI</v>
      </c>
      <c r="AG5" s="133" t="str">
        <f>IF($A5&lt;&gt;0,VLOOKUP($A5,'0.Productos'!$A$3:$GG$587,'0.Productos'!BY$1+1,0),"")</f>
        <v>SI</v>
      </c>
      <c r="AH5" s="133" t="str">
        <f>IF($A5&lt;&gt;0,VLOOKUP($A5,'0.Productos'!$A$3:$GG$587,'0.Productos'!BZ$1+1,0),"")</f>
        <v>NO</v>
      </c>
      <c r="AI5" s="133" t="str">
        <f>IF($A5&lt;&gt;0,VLOOKUP($A5,'0.Productos'!$A$3:$GG$587,'0.Productos'!CA$1+1,0),"")</f>
        <v>SI</v>
      </c>
      <c r="AJ5" s="133" t="str">
        <f>IF($A5&lt;&gt;0,VLOOKUP($A5,'0.Productos'!$A$3:$GG$587,'0.Productos'!CB$1+1,0),"")</f>
        <v>SI</v>
      </c>
      <c r="AK5" s="133" t="str">
        <f>IF($A5&lt;&gt;0,VLOOKUP($A5,'0.Productos'!$A$3:$GG$587,'0.Productos'!CC$1+1,0),"")</f>
        <v>NO</v>
      </c>
      <c r="AL5" s="133" t="str">
        <f>IF($A5&lt;&gt;0,VLOOKUP($A5,'0.Productos'!$A$3:$GG$587,'0.Productos'!CD$1+1,0),"")</f>
        <v>NO</v>
      </c>
      <c r="AM5" s="133" t="str">
        <f>IF($A5&lt;&gt;0,VLOOKUP($A5,'0.Productos'!$A$3:$GG$587,'0.Productos'!CE$1+1,0),"")</f>
        <v>SI</v>
      </c>
      <c r="AN5" s="133" t="str">
        <f>IF($A5&lt;&gt;0,VLOOKUP($A5,'0.Productos'!$A$3:$GG$587,'0.Productos'!CF$1+1,0),"")</f>
        <v>SI</v>
      </c>
      <c r="AO5" s="133" t="str">
        <f>IF($A5&lt;&gt;0,VLOOKUP($A5,'0.Productos'!$A$3:$GG$587,'0.Productos'!CG$1+1,0),"")</f>
        <v>NO</v>
      </c>
      <c r="AP5" s="133" t="str">
        <f>IF($A5&lt;&gt;0,VLOOKUP($A5,'0.Productos'!$A$3:$GG$587,'0.Productos'!CH$1+1,0),"")</f>
        <v>NO</v>
      </c>
      <c r="AQ5" s="133" t="str">
        <f>IF($A5&lt;&gt;0,VLOOKUP($A5,'0.Productos'!$A$3:$GG$587,'0.Productos'!CI$1+1,0),"")</f>
        <v>NO</v>
      </c>
      <c r="AR5" s="133" t="str">
        <f>IF($A5&lt;&gt;0,VLOOKUP($A5,'0.Productos'!$A$3:$GG$587,'0.Productos'!CJ$1+1,0),"")</f>
        <v>NO</v>
      </c>
      <c r="AS5" s="133" t="str">
        <f>IF($A5&lt;&gt;0,VLOOKUP($A5,'0.Productos'!$A$3:$GG$587,'0.Productos'!CK$1+1,0),"")</f>
        <v>NO</v>
      </c>
      <c r="AT5" s="133" t="str">
        <f>IF($A5&lt;&gt;0,VLOOKUP($A5,'0.Productos'!$A$3:$GG$587,'0.Productos'!CL$1+1,0),"")</f>
        <v>NO</v>
      </c>
      <c r="AU5" s="133" t="str">
        <f>IF($A5&lt;&gt;0,VLOOKUP($A5,'0.Productos'!$A$3:$GG$587,'0.Productos'!CM$1+1,0),"")</f>
        <v>SI</v>
      </c>
      <c r="AV5" s="133" t="str">
        <f>IF($A5&lt;&gt;0,VLOOKUP($A5,'0.Productos'!$A$3:$GG$587,'0.Productos'!CN$1+1,0),"")</f>
        <v>SI</v>
      </c>
      <c r="AW5" s="133" t="str">
        <f>IF($A5&lt;&gt;0,VLOOKUP($A5,'0.Productos'!$A$3:$GG$587,'0.Productos'!CO$1+1,0),"")</f>
        <v>NO</v>
      </c>
      <c r="AX5" s="133" t="str">
        <f>IF($A5&lt;&gt;0,VLOOKUP($A5,'0.Productos'!$A$3:$GG$587,'0.Productos'!CP$1+1,0),"")</f>
        <v>SI</v>
      </c>
      <c r="AY5" s="133" t="str">
        <f>IF($A5&lt;&gt;0,VLOOKUP($A5,'0.Productos'!$A$3:$GG$587,'0.Productos'!CQ$1+1,0),"")</f>
        <v>SI</v>
      </c>
      <c r="AZ5" s="133" t="str">
        <f>IF($A5&lt;&gt;0,VLOOKUP($A5,'0.Productos'!$A$3:$GG$587,'0.Productos'!CR$1+1,0),"")</f>
        <v>SI</v>
      </c>
      <c r="BA5" s="133" t="str">
        <f>IF($A5&lt;&gt;0,VLOOKUP($A5,'0.Productos'!$A$3:$GG$587,'0.Productos'!CS$1+1,0),"")</f>
        <v>SI</v>
      </c>
      <c r="BB5" s="133" t="str">
        <f>IF($A5&lt;&gt;0,VLOOKUP($A5,'0.Productos'!$A$3:$GG$587,'0.Productos'!CT$1+1,0),"")</f>
        <v>SI</v>
      </c>
      <c r="BC5" s="133" t="str">
        <f>IF($A5&lt;&gt;0,VLOOKUP($A5,'0.Productos'!$A$3:$GG$587,'0.Productos'!CU$1+1,0),"")</f>
        <v>SI</v>
      </c>
      <c r="BD5" s="133" t="str">
        <f>IF($A5&lt;&gt;0,VLOOKUP($A5,'0.Productos'!$A$3:$GG$587,'0.Productos'!CV$1+1,0),"")</f>
        <v>SI</v>
      </c>
      <c r="BE5" s="133" t="str">
        <f>IF($A5&lt;&gt;0,VLOOKUP($A5,'0.Productos'!$A$3:$GG$587,'0.Productos'!CW$1+1,0),"")</f>
        <v>NO</v>
      </c>
      <c r="BF5" s="133" t="str">
        <f>IF($A5&lt;&gt;0,VLOOKUP($A5,'0.Productos'!$A$3:$GG$587,'0.Productos'!CX$1+1,0),"")</f>
        <v>SI</v>
      </c>
      <c r="BG5" s="133" t="str">
        <f>IF($A5&lt;&gt;0,VLOOKUP($A5,'0.Productos'!$A$3:$GG$587,'0.Productos'!CY$1+1,0),"")</f>
        <v>SI</v>
      </c>
      <c r="BH5" s="133" t="str">
        <f>IF($A5&lt;&gt;0,VLOOKUP($A5,'0.Productos'!$A$3:$GG$587,'0.Productos'!CZ$1+1,0),"")</f>
        <v>SI</v>
      </c>
      <c r="BI5" s="133" t="str">
        <f>IF($A5&lt;&gt;0,VLOOKUP($A5,'0.Productos'!$A$3:$GG$587,'0.Productos'!DA$1+1,0),"")</f>
        <v>SI</v>
      </c>
      <c r="BJ5" s="133" t="str">
        <f>IF($A5&lt;&gt;0,VLOOKUP($A5,'0.Productos'!$A$3:$GG$587,'0.Productos'!DB$1+1,0),"")</f>
        <v>NO</v>
      </c>
      <c r="BK5" s="133" t="str">
        <f>IF($A5&lt;&gt;0,VLOOKUP($A5,'0.Productos'!$A$3:$GG$587,'0.Productos'!DC$1+1,0),"")</f>
        <v>SI</v>
      </c>
      <c r="BL5" s="133" t="str">
        <f>IF($A5&lt;&gt;0,VLOOKUP($A5,'0.Productos'!$A$3:$GG$587,'0.Productos'!DD$1+1,0),"")</f>
        <v>NO</v>
      </c>
      <c r="BM5" s="133" t="str">
        <f>IF($A5&lt;&gt;0,VLOOKUP($A5,'0.Productos'!$A$3:$GG$587,'0.Productos'!DE$1+1,0),"")</f>
        <v>SI</v>
      </c>
      <c r="BN5" s="133" t="str">
        <f>IF($A5&lt;&gt;0,VLOOKUP($A5,'0.Productos'!$A$3:$GG$587,'0.Productos'!DF$1+1,0),"")</f>
        <v>NO</v>
      </c>
      <c r="BO5" s="133" t="str">
        <f>IF($A5&lt;&gt;0,VLOOKUP($A5,'0.Productos'!$A$3:$GG$587,'0.Productos'!DG$1+1,0),"")</f>
        <v>SI</v>
      </c>
      <c r="BP5" s="133" t="str">
        <f>IF($A5&lt;&gt;0,VLOOKUP($A5,'0.Productos'!$A$3:$GG$587,'0.Productos'!DH$1+1,0),"")</f>
        <v>SI</v>
      </c>
      <c r="BQ5" s="133" t="str">
        <f>IF($A5&lt;&gt;0,VLOOKUP($A5,'0.Productos'!$A$3:$GG$587,'0.Productos'!DI$1+1,0),"")</f>
        <v>SI</v>
      </c>
      <c r="BR5" s="133" t="str">
        <f>IF($A5&lt;&gt;0,VLOOKUP($A5,'0.Productos'!$A$3:$GG$587,'0.Productos'!DJ$1+1,0),"")</f>
        <v>SI</v>
      </c>
      <c r="BS5" s="133" t="str">
        <f>IF($A5&lt;&gt;0,VLOOKUP($A5,'0.Productos'!$A$3:$GG$587,'0.Productos'!DK$1+1,0),"")</f>
        <v>SI</v>
      </c>
      <c r="BT5" s="133" t="str">
        <f>IF($A5&lt;&gt;0,VLOOKUP($A5,'0.Productos'!$A$3:$GG$587,'0.Productos'!DL$1+1,0),"")</f>
        <v>SI</v>
      </c>
    </row>
    <row r="6" spans="1:72" s="64" customFormat="1" x14ac:dyDescent="0.25">
      <c r="A6" s="17" t="str">
        <f>'0.Consolidado general'!A6</f>
        <v>E001002021002</v>
      </c>
      <c r="B6" s="133">
        <f>IF($A6&lt;&gt;0,VLOOKUP($A6,'0.Productos'!$A$3:$GG$587,'0.Productos'!AT$1+1,0),"")</f>
        <v>21</v>
      </c>
      <c r="C6" s="133">
        <f>IF($A6&lt;&gt;0,VLOOKUP($A6,'0.Productos'!$A$3:$GG$587,'0.Productos'!AU$1+1,0),"")</f>
        <v>6</v>
      </c>
      <c r="D6" s="133">
        <f>IF($A6&lt;&gt;0,VLOOKUP($A6,'0.Productos'!$A$3:$GG$587,'0.Productos'!AV$1+1,0),"")</f>
        <v>9000</v>
      </c>
      <c r="E6" s="133">
        <f>IF($A6&lt;&gt;0,VLOOKUP($A6,'0.Productos'!$A$3:$GG$587,'0.Productos'!AW$1+1,0),"")</f>
        <v>10000</v>
      </c>
      <c r="F6" s="133">
        <f>IF($A6&lt;&gt;0,VLOOKUP($A6,'0.Productos'!$A$3:$GG$587,'0.Productos'!AX$1+1,0),"")</f>
        <v>8</v>
      </c>
      <c r="G6" s="133">
        <f>IF($A6&lt;&gt;0,VLOOKUP($A6,'0.Productos'!$A$3:$GG$587,'0.Productos'!AY$1+1,0),"")</f>
        <v>9</v>
      </c>
      <c r="H6" s="133" t="str">
        <f>IF($A6&lt;&gt;0,VLOOKUP($A6,'0.Productos'!$A$3:$GG$587,'0.Productos'!AZ$1+1,0),"")</f>
        <v>NO</v>
      </c>
      <c r="I6" s="133">
        <f>IF($A6&lt;&gt;0,VLOOKUP($A6,'0.Productos'!$A$3:$GG$587,'0.Productos'!BA$1+1,0),"")</f>
        <v>1</v>
      </c>
      <c r="J6" s="133">
        <f>IF($A6&lt;&gt;0,VLOOKUP($A6,'0.Productos'!$A$3:$GG$587,'0.Productos'!BB$1+1,0),"")</f>
        <v>0</v>
      </c>
      <c r="K6" s="133" t="str">
        <f>IF($A6&lt;&gt;0,VLOOKUP($A6,'0.Productos'!$A$3:$GG$587,'0.Productos'!BC$1+1,0),"")</f>
        <v>SI</v>
      </c>
      <c r="L6" s="133" t="str">
        <f>IF($A6&lt;&gt;0,VLOOKUP($A6,'0.Productos'!$A$3:$GG$587,'0.Productos'!BD$1+1,0),"")</f>
        <v>SI</v>
      </c>
      <c r="M6" s="133" t="str">
        <f>IF($A6&lt;&gt;0,VLOOKUP($A6,'0.Productos'!$A$3:$GG$587,'0.Productos'!BE$1+1,0),"")</f>
        <v>SI</v>
      </c>
      <c r="N6" s="133" t="str">
        <f>IF($A6&lt;&gt;0,VLOOKUP($A6,'0.Productos'!$A$3:$GG$587,'0.Productos'!BF$1+1,0),"")</f>
        <v>NO</v>
      </c>
      <c r="O6" s="133" t="str">
        <f>IF($A6&lt;&gt;0,VLOOKUP($A6,'0.Productos'!$A$3:$GG$587,'0.Productos'!BG$1+1,0),"")</f>
        <v>SI</v>
      </c>
      <c r="P6" s="133" t="str">
        <f>IF($A6&lt;&gt;0,VLOOKUP($A6,'0.Productos'!$A$3:$GG$587,'0.Productos'!BH$1+1,0),"")</f>
        <v>NO</v>
      </c>
      <c r="Q6" s="133" t="str">
        <f>IF($A6&lt;&gt;0,VLOOKUP($A6,'0.Productos'!$A$3:$GG$587,'0.Productos'!BI$1+1,0),"")</f>
        <v>SI</v>
      </c>
      <c r="R6" s="133" t="str">
        <f>IF($A6&lt;&gt;0,VLOOKUP($A6,'0.Productos'!$A$3:$GG$587,'0.Productos'!BJ$1+1,0),"")</f>
        <v>NO</v>
      </c>
      <c r="S6" s="133" t="str">
        <f>IF($A6&lt;&gt;0,VLOOKUP($A6,'0.Productos'!$A$3:$GG$587,'0.Productos'!BK$1+1,0),"")</f>
        <v>SI</v>
      </c>
      <c r="T6" s="133" t="str">
        <f>IF($A6&lt;&gt;0,VLOOKUP($A6,'0.Productos'!$A$3:$GG$587,'0.Productos'!BL$1+1,0),"")</f>
        <v>NO</v>
      </c>
      <c r="U6" s="133" t="str">
        <f>IF($A6&lt;&gt;0,VLOOKUP($A6,'0.Productos'!$A$3:$GG$587,'0.Productos'!BM$1+1,0),"")</f>
        <v>SI</v>
      </c>
      <c r="V6" s="133" t="str">
        <f>IF($A6&lt;&gt;0,VLOOKUP($A6,'0.Productos'!$A$3:$GG$587,'0.Productos'!BN$1+1,0),"")</f>
        <v>NO</v>
      </c>
      <c r="W6" s="133" t="str">
        <f>IF($A6&lt;&gt;0,VLOOKUP($A6,'0.Productos'!$A$3:$GG$587,'0.Productos'!BO$1+1,0),"")</f>
        <v>SI</v>
      </c>
      <c r="X6" s="133" t="str">
        <f>IF($A6&lt;&gt;0,VLOOKUP($A6,'0.Productos'!$A$3:$GG$587,'0.Productos'!BP$1+1,0),"")</f>
        <v>NO</v>
      </c>
      <c r="Y6" s="133" t="str">
        <f>IF($A6&lt;&gt;0,VLOOKUP($A6,'0.Productos'!$A$3:$GG$587,'0.Productos'!BQ$1+1,0),"")</f>
        <v>NO</v>
      </c>
      <c r="Z6" s="133" t="str">
        <f>IF($A6&lt;&gt;0,VLOOKUP($A6,'0.Productos'!$A$3:$GG$587,'0.Productos'!BR$1+1,0),"")</f>
        <v>NO</v>
      </c>
      <c r="AA6" s="133" t="str">
        <f>IF($A6&lt;&gt;0,VLOOKUP($A6,'0.Productos'!$A$3:$GG$587,'0.Productos'!BS$1+1,0),"")</f>
        <v>NO</v>
      </c>
      <c r="AB6" s="133" t="str">
        <f>IF($A6&lt;&gt;0,VLOOKUP($A6,'0.Productos'!$A$3:$GG$587,'0.Productos'!BT$1+1,0),"")</f>
        <v>NO</v>
      </c>
      <c r="AC6" s="133" t="str">
        <f>IF($A6&lt;&gt;0,VLOOKUP($A6,'0.Productos'!$A$3:$GG$587,'0.Productos'!BU$1+1,0),"")</f>
        <v>SI</v>
      </c>
      <c r="AD6" s="133" t="str">
        <f>IF($A6&lt;&gt;0,VLOOKUP($A6,'0.Productos'!$A$3:$GG$587,'0.Productos'!BV$1+1,0),"")</f>
        <v>NO</v>
      </c>
      <c r="AE6" s="133" t="str">
        <f>IF($A6&lt;&gt;0,VLOOKUP($A6,'0.Productos'!$A$3:$GG$587,'0.Productos'!BW$1+1,0),"")</f>
        <v>SI</v>
      </c>
      <c r="AF6" s="133" t="str">
        <f>IF($A6&lt;&gt;0,VLOOKUP($A6,'0.Productos'!$A$3:$GG$587,'0.Productos'!BX$1+1,0),"")</f>
        <v>NO</v>
      </c>
      <c r="AG6" s="133" t="str">
        <f>IF($A6&lt;&gt;0,VLOOKUP($A6,'0.Productos'!$A$3:$GG$587,'0.Productos'!BY$1+1,0),"")</f>
        <v>NO</v>
      </c>
      <c r="AH6" s="133" t="str">
        <f>IF($A6&lt;&gt;0,VLOOKUP($A6,'0.Productos'!$A$3:$GG$587,'0.Productos'!BZ$1+1,0),"")</f>
        <v>NO</v>
      </c>
      <c r="AI6" s="133" t="str">
        <f>IF($A6&lt;&gt;0,VLOOKUP($A6,'0.Productos'!$A$3:$GG$587,'0.Productos'!CA$1+1,0),"")</f>
        <v>NO</v>
      </c>
      <c r="AJ6" s="133" t="str">
        <f>IF($A6&lt;&gt;0,VLOOKUP($A6,'0.Productos'!$A$3:$GG$587,'0.Productos'!CB$1+1,0),"")</f>
        <v>SI</v>
      </c>
      <c r="AK6" s="133" t="str">
        <f>IF($A6&lt;&gt;0,VLOOKUP($A6,'0.Productos'!$A$3:$GG$587,'0.Productos'!CC$1+1,0),"")</f>
        <v>NO</v>
      </c>
      <c r="AL6" s="133" t="str">
        <f>IF($A6&lt;&gt;0,VLOOKUP($A6,'0.Productos'!$A$3:$GG$587,'0.Productos'!CD$1+1,0),"")</f>
        <v>SI</v>
      </c>
      <c r="AM6" s="133" t="str">
        <f>IF($A6&lt;&gt;0,VLOOKUP($A6,'0.Productos'!$A$3:$GG$587,'0.Productos'!CE$1+1,0),"")</f>
        <v>SI</v>
      </c>
      <c r="AN6" s="133" t="str">
        <f>IF($A6&lt;&gt;0,VLOOKUP($A6,'0.Productos'!$A$3:$GG$587,'0.Productos'!CF$1+1,0),"")</f>
        <v>SI</v>
      </c>
      <c r="AO6" s="133" t="str">
        <f>IF($A6&lt;&gt;0,VLOOKUP($A6,'0.Productos'!$A$3:$GG$587,'0.Productos'!CG$1+1,0),"")</f>
        <v>NO</v>
      </c>
      <c r="AP6" s="133" t="str">
        <f>IF($A6&lt;&gt;0,VLOOKUP($A6,'0.Productos'!$A$3:$GG$587,'0.Productos'!CH$1+1,0),"")</f>
        <v>SI</v>
      </c>
      <c r="AQ6" s="133" t="str">
        <f>IF($A6&lt;&gt;0,VLOOKUP($A6,'0.Productos'!$A$3:$GG$587,'0.Productos'!CI$1+1,0),"")</f>
        <v>NO</v>
      </c>
      <c r="AR6" s="133" t="str">
        <f>IF($A6&lt;&gt;0,VLOOKUP($A6,'0.Productos'!$A$3:$GG$587,'0.Productos'!CJ$1+1,0),"")</f>
        <v>NO</v>
      </c>
      <c r="AS6" s="133" t="str">
        <f>IF($A6&lt;&gt;0,VLOOKUP($A6,'0.Productos'!$A$3:$GG$587,'0.Productos'!CK$1+1,0),"")</f>
        <v>NO</v>
      </c>
      <c r="AT6" s="133" t="str">
        <f>IF($A6&lt;&gt;0,VLOOKUP($A6,'0.Productos'!$A$3:$GG$587,'0.Productos'!CL$1+1,0),"")</f>
        <v>NO</v>
      </c>
      <c r="AU6" s="133" t="str">
        <f>IF($A6&lt;&gt;0,VLOOKUP($A6,'0.Productos'!$A$3:$GG$587,'0.Productos'!CM$1+1,0),"")</f>
        <v>NO</v>
      </c>
      <c r="AV6" s="133" t="str">
        <f>IF($A6&lt;&gt;0,VLOOKUP($A6,'0.Productos'!$A$3:$GG$587,'0.Productos'!CN$1+1,0),"")</f>
        <v>NO</v>
      </c>
      <c r="AW6" s="133" t="str">
        <f>IF($A6&lt;&gt;0,VLOOKUP($A6,'0.Productos'!$A$3:$GG$587,'0.Productos'!CO$1+1,0),"")</f>
        <v>NO</v>
      </c>
      <c r="AX6" s="133" t="str">
        <f>IF($A6&lt;&gt;0,VLOOKUP($A6,'0.Productos'!$A$3:$GG$587,'0.Productos'!CP$1+1,0),"")</f>
        <v>NO</v>
      </c>
      <c r="AY6" s="133" t="str">
        <f>IF($A6&lt;&gt;0,VLOOKUP($A6,'0.Productos'!$A$3:$GG$587,'0.Productos'!CQ$1+1,0),"")</f>
        <v>SI</v>
      </c>
      <c r="AZ6" s="133" t="str">
        <f>IF($A6&lt;&gt;0,VLOOKUP($A6,'0.Productos'!$A$3:$GG$587,'0.Productos'!CR$1+1,0),"")</f>
        <v>SI</v>
      </c>
      <c r="BA6" s="133" t="str">
        <f>IF($A6&lt;&gt;0,VLOOKUP($A6,'0.Productos'!$A$3:$GG$587,'0.Productos'!CS$1+1,0),"")</f>
        <v>NO</v>
      </c>
      <c r="BB6" s="133" t="str">
        <f>IF($A6&lt;&gt;0,VLOOKUP($A6,'0.Productos'!$A$3:$GG$587,'0.Productos'!CT$1+1,0),"")</f>
        <v>NO</v>
      </c>
      <c r="BC6" s="133" t="str">
        <f>IF($A6&lt;&gt;0,VLOOKUP($A6,'0.Productos'!$A$3:$GG$587,'0.Productos'!CU$1+1,0),"")</f>
        <v>SI</v>
      </c>
      <c r="BD6" s="133" t="str">
        <f>IF($A6&lt;&gt;0,VLOOKUP($A6,'0.Productos'!$A$3:$GG$587,'0.Productos'!CV$1+1,0),"")</f>
        <v>NO</v>
      </c>
      <c r="BE6" s="133" t="str">
        <f>IF($A6&lt;&gt;0,VLOOKUP($A6,'0.Productos'!$A$3:$GG$587,'0.Productos'!CW$1+1,0),"")</f>
        <v>SI</v>
      </c>
      <c r="BF6" s="133" t="str">
        <f>IF($A6&lt;&gt;0,VLOOKUP($A6,'0.Productos'!$A$3:$GG$587,'0.Productos'!CX$1+1,0),"")</f>
        <v>SI</v>
      </c>
      <c r="BG6" s="133" t="str">
        <f>IF($A6&lt;&gt;0,VLOOKUP($A6,'0.Productos'!$A$3:$GG$587,'0.Productos'!CY$1+1,0),"")</f>
        <v>SI</v>
      </c>
      <c r="BH6" s="133" t="str">
        <f>IF($A6&lt;&gt;0,VLOOKUP($A6,'0.Productos'!$A$3:$GG$587,'0.Productos'!CZ$1+1,0),"")</f>
        <v>SI</v>
      </c>
      <c r="BI6" s="133" t="str">
        <f>IF($A6&lt;&gt;0,VLOOKUP($A6,'0.Productos'!$A$3:$GG$587,'0.Productos'!DA$1+1,0),"")</f>
        <v>NO</v>
      </c>
      <c r="BJ6" s="133" t="str">
        <f>IF($A6&lt;&gt;0,VLOOKUP($A6,'0.Productos'!$A$3:$GG$587,'0.Productos'!DB$1+1,0),"")</f>
        <v>SI</v>
      </c>
      <c r="BK6" s="133" t="str">
        <f>IF($A6&lt;&gt;0,VLOOKUP($A6,'0.Productos'!$A$3:$GG$587,'0.Productos'!DC$1+1,0),"")</f>
        <v>SI</v>
      </c>
      <c r="BL6" s="133" t="str">
        <f>IF($A6&lt;&gt;0,VLOOKUP($A6,'0.Productos'!$A$3:$GG$587,'0.Productos'!DD$1+1,0),"")</f>
        <v>NO</v>
      </c>
      <c r="BM6" s="133" t="str">
        <f>IF($A6&lt;&gt;0,VLOOKUP($A6,'0.Productos'!$A$3:$GG$587,'0.Productos'!DE$1+1,0),"")</f>
        <v>NO</v>
      </c>
      <c r="BN6" s="133" t="str">
        <f>IF($A6&lt;&gt;0,VLOOKUP($A6,'0.Productos'!$A$3:$GG$587,'0.Productos'!DF$1+1,0),"")</f>
        <v>SI</v>
      </c>
      <c r="BO6" s="133" t="str">
        <f>IF($A6&lt;&gt;0,VLOOKUP($A6,'0.Productos'!$A$3:$GG$587,'0.Productos'!DG$1+1,0),"")</f>
        <v>SI</v>
      </c>
      <c r="BP6" s="133" t="str">
        <f>IF($A6&lt;&gt;0,VLOOKUP($A6,'0.Productos'!$A$3:$GG$587,'0.Productos'!DH$1+1,0),"")</f>
        <v>SI</v>
      </c>
      <c r="BQ6" s="133" t="str">
        <f>IF($A6&lt;&gt;0,VLOOKUP($A6,'0.Productos'!$A$3:$GG$587,'0.Productos'!DI$1+1,0),"")</f>
        <v>SI</v>
      </c>
      <c r="BR6" s="133" t="str">
        <f>IF($A6&lt;&gt;0,VLOOKUP($A6,'0.Productos'!$A$3:$GG$587,'0.Productos'!DJ$1+1,0),"")</f>
        <v>SI</v>
      </c>
      <c r="BS6" s="133" t="str">
        <f>IF($A6&lt;&gt;0,VLOOKUP($A6,'0.Productos'!$A$3:$GG$587,'0.Productos'!DK$1+1,0),"")</f>
        <v>NO</v>
      </c>
      <c r="BT6" s="133" t="str">
        <f>IF($A6&lt;&gt;0,VLOOKUP($A6,'0.Productos'!$A$3:$GG$587,'0.Productos'!DL$1+1,0),"")</f>
        <v>NO</v>
      </c>
    </row>
    <row r="7" spans="1:72" x14ac:dyDescent="0.25">
      <c r="A7" s="17" t="str">
        <f>'0.Consolidado general'!A7</f>
        <v>E001002021003</v>
      </c>
      <c r="B7" s="133">
        <f>IF($A7&lt;&gt;0,VLOOKUP($A7,'0.Productos'!$A$3:$GG$587,'0.Productos'!AT$1+1,0),"")</f>
        <v>21</v>
      </c>
      <c r="C7" s="133">
        <f>IF($A7&lt;&gt;0,VLOOKUP($A7,'0.Productos'!$A$3:$GG$587,'0.Productos'!AU$1+1,0),"")</f>
        <v>10</v>
      </c>
      <c r="D7" s="133">
        <f>IF($A7&lt;&gt;0,VLOOKUP($A7,'0.Productos'!$A$3:$GG$587,'0.Productos'!AV$1+1,0),"")</f>
        <v>10000</v>
      </c>
      <c r="E7" s="133">
        <f>IF($A7&lt;&gt;0,VLOOKUP($A7,'0.Productos'!$A$3:$GG$587,'0.Productos'!AW$1+1,0),"")</f>
        <v>15000</v>
      </c>
      <c r="F7" s="133">
        <f>IF($A7&lt;&gt;0,VLOOKUP($A7,'0.Productos'!$A$3:$GG$587,'0.Productos'!AX$1+1,0),"")</f>
        <v>1</v>
      </c>
      <c r="G7" s="133">
        <f>IF($A7&lt;&gt;0,VLOOKUP($A7,'0.Productos'!$A$3:$GG$587,'0.Productos'!AY$1+1,0),"")</f>
        <v>14</v>
      </c>
      <c r="H7" s="133" t="str">
        <f>IF($A7&lt;&gt;0,VLOOKUP($A7,'0.Productos'!$A$3:$GG$587,'0.Productos'!AZ$1+1,0),"")</f>
        <v>SI</v>
      </c>
      <c r="I7" s="133">
        <f>IF($A7&lt;&gt;0,VLOOKUP($A7,'0.Productos'!$A$3:$GG$587,'0.Productos'!BA$1+1,0),"")</f>
        <v>2</v>
      </c>
      <c r="J7" s="133">
        <f>IF($A7&lt;&gt;0,VLOOKUP($A7,'0.Productos'!$A$3:$GG$587,'0.Productos'!BB$1+1,0),"")</f>
        <v>0</v>
      </c>
      <c r="K7" s="133" t="str">
        <f>IF($A7&lt;&gt;0,VLOOKUP($A7,'0.Productos'!$A$3:$GG$587,'0.Productos'!BC$1+1,0),"")</f>
        <v>SI</v>
      </c>
      <c r="L7" s="133" t="str">
        <f>IF($A7&lt;&gt;0,VLOOKUP($A7,'0.Productos'!$A$3:$GG$587,'0.Productos'!BD$1+1,0),"")</f>
        <v>SI</v>
      </c>
      <c r="M7" s="133" t="str">
        <f>IF($A7&lt;&gt;0,VLOOKUP($A7,'0.Productos'!$A$3:$GG$587,'0.Productos'!BE$1+1,0),"")</f>
        <v>SI</v>
      </c>
      <c r="N7" s="133" t="str">
        <f>IF($A7&lt;&gt;0,VLOOKUP($A7,'0.Productos'!$A$3:$GG$587,'0.Productos'!BF$1+1,0),"")</f>
        <v>SI</v>
      </c>
      <c r="O7" s="133" t="str">
        <f>IF($A7&lt;&gt;0,VLOOKUP($A7,'0.Productos'!$A$3:$GG$587,'0.Productos'!BG$1+1,0),"")</f>
        <v>SI</v>
      </c>
      <c r="P7" s="133" t="str">
        <f>IF($A7&lt;&gt;0,VLOOKUP($A7,'0.Productos'!$A$3:$GG$587,'0.Productos'!BH$1+1,0),"")</f>
        <v>NO</v>
      </c>
      <c r="Q7" s="133" t="str">
        <f>IF($A7&lt;&gt;0,VLOOKUP($A7,'0.Productos'!$A$3:$GG$587,'0.Productos'!BI$1+1,0),"")</f>
        <v>SI</v>
      </c>
      <c r="R7" s="133" t="str">
        <f>IF($A7&lt;&gt;0,VLOOKUP($A7,'0.Productos'!$A$3:$GG$587,'0.Productos'!BJ$1+1,0),"")</f>
        <v>NO</v>
      </c>
      <c r="S7" s="133" t="str">
        <f>IF($A7&lt;&gt;0,VLOOKUP($A7,'0.Productos'!$A$3:$GG$587,'0.Productos'!BK$1+1,0),"")</f>
        <v>SI</v>
      </c>
      <c r="T7" s="133" t="str">
        <f>IF($A7&lt;&gt;0,VLOOKUP($A7,'0.Productos'!$A$3:$GG$587,'0.Productos'!BL$1+1,0),"")</f>
        <v>NO</v>
      </c>
      <c r="U7" s="133" t="str">
        <f>IF($A7&lt;&gt;0,VLOOKUP($A7,'0.Productos'!$A$3:$GG$587,'0.Productos'!BM$1+1,0),"")</f>
        <v>SI</v>
      </c>
      <c r="V7" s="133" t="str">
        <f>IF($A7&lt;&gt;0,VLOOKUP($A7,'0.Productos'!$A$3:$GG$587,'0.Productos'!BN$1+1,0),"")</f>
        <v>NO</v>
      </c>
      <c r="W7" s="133" t="str">
        <f>IF($A7&lt;&gt;0,VLOOKUP($A7,'0.Productos'!$A$3:$GG$587,'0.Productos'!BO$1+1,0),"")</f>
        <v>SI</v>
      </c>
      <c r="X7" s="133" t="str">
        <f>IF($A7&lt;&gt;0,VLOOKUP($A7,'0.Productos'!$A$3:$GG$587,'0.Productos'!BP$1+1,0),"")</f>
        <v>NO</v>
      </c>
      <c r="Y7" s="133" t="str">
        <f>IF($A7&lt;&gt;0,VLOOKUP($A7,'0.Productos'!$A$3:$GG$587,'0.Productos'!BQ$1+1,0),"")</f>
        <v>NO</v>
      </c>
      <c r="Z7" s="133" t="str">
        <f>IF($A7&lt;&gt;0,VLOOKUP($A7,'0.Productos'!$A$3:$GG$587,'0.Productos'!BR$1+1,0),"")</f>
        <v>SI</v>
      </c>
      <c r="AA7" s="133" t="str">
        <f>IF($A7&lt;&gt;0,VLOOKUP($A7,'0.Productos'!$A$3:$GG$587,'0.Productos'!BS$1+1,0),"")</f>
        <v>SI</v>
      </c>
      <c r="AB7" s="133" t="str">
        <f>IF($A7&lt;&gt;0,VLOOKUP($A7,'0.Productos'!$A$3:$GG$587,'0.Productos'!BT$1+1,0),"")</f>
        <v>SI</v>
      </c>
      <c r="AC7" s="133" t="str">
        <f>IF($A7&lt;&gt;0,VLOOKUP($A7,'0.Productos'!$A$3:$GG$587,'0.Productos'!BU$1+1,0),"")</f>
        <v>NO</v>
      </c>
      <c r="AD7" s="133" t="str">
        <f>IF($A7&lt;&gt;0,VLOOKUP($A7,'0.Productos'!$A$3:$GG$587,'0.Productos'!BV$1+1,0),"")</f>
        <v>SI</v>
      </c>
      <c r="AE7" s="133" t="str">
        <f>IF($A7&lt;&gt;0,VLOOKUP($A7,'0.Productos'!$A$3:$GG$587,'0.Productos'!BW$1+1,0),"")</f>
        <v>SI</v>
      </c>
      <c r="AF7" s="133" t="str">
        <f>IF($A7&lt;&gt;0,VLOOKUP($A7,'0.Productos'!$A$3:$GG$587,'0.Productos'!BX$1+1,0),"")</f>
        <v>NO</v>
      </c>
      <c r="AG7" s="133" t="str">
        <f>IF($A7&lt;&gt;0,VLOOKUP($A7,'0.Productos'!$A$3:$GG$587,'0.Productos'!BY$1+1,0),"")</f>
        <v>NO</v>
      </c>
      <c r="AH7" s="133" t="str">
        <f>IF($A7&lt;&gt;0,VLOOKUP($A7,'0.Productos'!$A$3:$GG$587,'0.Productos'!BZ$1+1,0),"")</f>
        <v>SI</v>
      </c>
      <c r="AI7" s="133" t="str">
        <f>IF($A7&lt;&gt;0,VLOOKUP($A7,'0.Productos'!$A$3:$GG$587,'0.Productos'!CA$1+1,0),"")</f>
        <v>NO</v>
      </c>
      <c r="AJ7" s="133" t="str">
        <f>IF($A7&lt;&gt;0,VLOOKUP($A7,'0.Productos'!$A$3:$GG$587,'0.Productos'!CB$1+1,0),"")</f>
        <v>NO</v>
      </c>
      <c r="AK7" s="133" t="str">
        <f>IF($A7&lt;&gt;0,VLOOKUP($A7,'0.Productos'!$A$3:$GG$587,'0.Productos'!CC$1+1,0),"")</f>
        <v>NO</v>
      </c>
      <c r="AL7" s="133" t="str">
        <f>IF($A7&lt;&gt;0,VLOOKUP($A7,'0.Productos'!$A$3:$GG$587,'0.Productos'!CD$1+1,0),"")</f>
        <v>SI</v>
      </c>
      <c r="AM7" s="133" t="str">
        <f>IF($A7&lt;&gt;0,VLOOKUP($A7,'0.Productos'!$A$3:$GG$587,'0.Productos'!CE$1+1,0),"")</f>
        <v>SI</v>
      </c>
      <c r="AN7" s="133" t="str">
        <f>IF($A7&lt;&gt;0,VLOOKUP($A7,'0.Productos'!$A$3:$GG$587,'0.Productos'!CF$1+1,0),"")</f>
        <v>SI</v>
      </c>
      <c r="AO7" s="133" t="str">
        <f>IF($A7&lt;&gt;0,VLOOKUP($A7,'0.Productos'!$A$3:$GG$587,'0.Productos'!CG$1+1,0),"")</f>
        <v>NO</v>
      </c>
      <c r="AP7" s="133" t="str">
        <f>IF($A7&lt;&gt;0,VLOOKUP($A7,'0.Productos'!$A$3:$GG$587,'0.Productos'!CH$1+1,0),"")</f>
        <v>SI</v>
      </c>
      <c r="AQ7" s="133" t="str">
        <f>IF($A7&lt;&gt;0,VLOOKUP($A7,'0.Productos'!$A$3:$GG$587,'0.Productos'!CI$1+1,0),"")</f>
        <v>SI</v>
      </c>
      <c r="AR7" s="133" t="str">
        <f>IF($A7&lt;&gt;0,VLOOKUP($A7,'0.Productos'!$A$3:$GG$587,'0.Productos'!CJ$1+1,0),"")</f>
        <v>SI</v>
      </c>
      <c r="AS7" s="133" t="str">
        <f>IF($A7&lt;&gt;0,VLOOKUP($A7,'0.Productos'!$A$3:$GG$587,'0.Productos'!CK$1+1,0),"")</f>
        <v>NO</v>
      </c>
      <c r="AT7" s="133" t="str">
        <f>IF($A7&lt;&gt;0,VLOOKUP($A7,'0.Productos'!$A$3:$GG$587,'0.Productos'!CL$1+1,0),"")</f>
        <v>NO</v>
      </c>
      <c r="AU7" s="133" t="str">
        <f>IF($A7&lt;&gt;0,VLOOKUP($A7,'0.Productos'!$A$3:$GG$587,'0.Productos'!CM$1+1,0),"")</f>
        <v>NO</v>
      </c>
      <c r="AV7" s="133" t="str">
        <f>IF($A7&lt;&gt;0,VLOOKUP($A7,'0.Productos'!$A$3:$GG$587,'0.Productos'!CN$1+1,0),"")</f>
        <v>NO</v>
      </c>
      <c r="AW7" s="133" t="str">
        <f>IF($A7&lt;&gt;0,VLOOKUP($A7,'0.Productos'!$A$3:$GG$587,'0.Productos'!CO$1+1,0),"")</f>
        <v>NO</v>
      </c>
      <c r="AX7" s="133" t="str">
        <f>IF($A7&lt;&gt;0,VLOOKUP($A7,'0.Productos'!$A$3:$GG$587,'0.Productos'!CP$1+1,0),"")</f>
        <v>NO</v>
      </c>
      <c r="AY7" s="133" t="str">
        <f>IF($A7&lt;&gt;0,VLOOKUP($A7,'0.Productos'!$A$3:$GG$587,'0.Productos'!CQ$1+1,0),"")</f>
        <v>SI</v>
      </c>
      <c r="AZ7" s="133" t="str">
        <f>IF($A7&lt;&gt;0,VLOOKUP($A7,'0.Productos'!$A$3:$GG$587,'0.Productos'!CR$1+1,0),"")</f>
        <v>SI</v>
      </c>
      <c r="BA7" s="133" t="str">
        <f>IF($A7&lt;&gt;0,VLOOKUP($A7,'0.Productos'!$A$3:$GG$587,'0.Productos'!CS$1+1,0),"")</f>
        <v>NO</v>
      </c>
      <c r="BB7" s="133" t="str">
        <f>IF($A7&lt;&gt;0,VLOOKUP($A7,'0.Productos'!$A$3:$GG$587,'0.Productos'!CT$1+1,0),"")</f>
        <v>NO</v>
      </c>
      <c r="BC7" s="133" t="str">
        <f>IF($A7&lt;&gt;0,VLOOKUP($A7,'0.Productos'!$A$3:$GG$587,'0.Productos'!CU$1+1,0),"")</f>
        <v>SI</v>
      </c>
      <c r="BD7" s="133" t="str">
        <f>IF($A7&lt;&gt;0,VLOOKUP($A7,'0.Productos'!$A$3:$GG$587,'0.Productos'!CV$1+1,0),"")</f>
        <v>NO</v>
      </c>
      <c r="BE7" s="133" t="str">
        <f>IF($A7&lt;&gt;0,VLOOKUP($A7,'0.Productos'!$A$3:$GG$587,'0.Productos'!CW$1+1,0),"")</f>
        <v>SI</v>
      </c>
      <c r="BF7" s="133" t="str">
        <f>IF($A7&lt;&gt;0,VLOOKUP($A7,'0.Productos'!$A$3:$GG$587,'0.Productos'!CX$1+1,0),"")</f>
        <v>SI</v>
      </c>
      <c r="BG7" s="133" t="str">
        <f>IF($A7&lt;&gt;0,VLOOKUP($A7,'0.Productos'!$A$3:$GG$587,'0.Productos'!CY$1+1,0),"")</f>
        <v>SI</v>
      </c>
      <c r="BH7" s="133" t="str">
        <f>IF($A7&lt;&gt;0,VLOOKUP($A7,'0.Productos'!$A$3:$GG$587,'0.Productos'!CZ$1+1,0),"")</f>
        <v>SI</v>
      </c>
      <c r="BI7" s="133" t="str">
        <f>IF($A7&lt;&gt;0,VLOOKUP($A7,'0.Productos'!$A$3:$GG$587,'0.Productos'!DA$1+1,0),"")</f>
        <v>NO</v>
      </c>
      <c r="BJ7" s="133" t="str">
        <f>IF($A7&lt;&gt;0,VLOOKUP($A7,'0.Productos'!$A$3:$GG$587,'0.Productos'!DB$1+1,0),"")</f>
        <v>SI</v>
      </c>
      <c r="BK7" s="133" t="str">
        <f>IF($A7&lt;&gt;0,VLOOKUP($A7,'0.Productos'!$A$3:$GG$587,'0.Productos'!DC$1+1,0),"")</f>
        <v>SI</v>
      </c>
      <c r="BL7" s="133" t="str">
        <f>IF($A7&lt;&gt;0,VLOOKUP($A7,'0.Productos'!$A$3:$GG$587,'0.Productos'!DD$1+1,0),"")</f>
        <v>NO</v>
      </c>
      <c r="BM7" s="133" t="str">
        <f>IF($A7&lt;&gt;0,VLOOKUP($A7,'0.Productos'!$A$3:$GG$587,'0.Productos'!DE$1+1,0),"")</f>
        <v>SI</v>
      </c>
      <c r="BN7" s="133" t="str">
        <f>IF($A7&lt;&gt;0,VLOOKUP($A7,'0.Productos'!$A$3:$GG$587,'0.Productos'!DF$1+1,0),"")</f>
        <v>SI</v>
      </c>
      <c r="BO7" s="133" t="str">
        <f>IF($A7&lt;&gt;0,VLOOKUP($A7,'0.Productos'!$A$3:$GG$587,'0.Productos'!DG$1+1,0),"")</f>
        <v>SI</v>
      </c>
      <c r="BP7" s="133" t="str">
        <f>IF($A7&lt;&gt;0,VLOOKUP($A7,'0.Productos'!$A$3:$GG$587,'0.Productos'!DH$1+1,0),"")</f>
        <v>SI</v>
      </c>
      <c r="BQ7" s="133" t="str">
        <f>IF($A7&lt;&gt;0,VLOOKUP($A7,'0.Productos'!$A$3:$GG$587,'0.Productos'!DI$1+1,0),"")</f>
        <v>NO</v>
      </c>
      <c r="BR7" s="133" t="str">
        <f>IF($A7&lt;&gt;0,VLOOKUP($A7,'0.Productos'!$A$3:$GG$587,'0.Productos'!DJ$1+1,0),"")</f>
        <v>SI</v>
      </c>
      <c r="BS7" s="133" t="str">
        <f>IF($A7&lt;&gt;0,VLOOKUP($A7,'0.Productos'!$A$3:$GG$587,'0.Productos'!DK$1+1,0),"")</f>
        <v>NO</v>
      </c>
      <c r="BT7" s="133" t="str">
        <f>IF($A7&lt;&gt;0,VLOOKUP($A7,'0.Productos'!$A$3:$GG$587,'0.Productos'!DL$1+1,0),"")</f>
        <v>NO</v>
      </c>
    </row>
    <row r="8" spans="1:72" x14ac:dyDescent="0.25">
      <c r="A8" s="17" t="str">
        <f>'0.Consolidado general'!A8</f>
        <v>E001002021004</v>
      </c>
      <c r="B8" s="133">
        <f>IF($A8&lt;&gt;0,VLOOKUP($A8,'0.Productos'!$A$3:$GG$587,'0.Productos'!AT$1+1,0),"")</f>
        <v>4</v>
      </c>
      <c r="C8" s="133">
        <f>IF($A8&lt;&gt;0,VLOOKUP($A8,'0.Productos'!$A$3:$GG$587,'0.Productos'!AU$1+1,0),"")</f>
        <v>12</v>
      </c>
      <c r="D8" s="133">
        <f>IF($A8&lt;&gt;0,VLOOKUP($A8,'0.Productos'!$A$3:$GG$587,'0.Productos'!AV$1+1,0),"")</f>
        <v>15000</v>
      </c>
      <c r="E8" s="133">
        <f>IF($A8&lt;&gt;0,VLOOKUP($A8,'0.Productos'!$A$3:$GG$587,'0.Productos'!AW$1+1,0),"")</f>
        <v>15000</v>
      </c>
      <c r="F8" s="133">
        <f>IF($A8&lt;&gt;0,VLOOKUP($A8,'0.Productos'!$A$3:$GG$587,'0.Productos'!AX$1+1,0),"")</f>
        <v>12</v>
      </c>
      <c r="G8" s="133">
        <f>IF($A8&lt;&gt;0,VLOOKUP($A8,'0.Productos'!$A$3:$GG$587,'0.Productos'!AY$1+1,0),"")</f>
        <v>1</v>
      </c>
      <c r="H8" s="133" t="str">
        <f>IF($A8&lt;&gt;0,VLOOKUP($A8,'0.Productos'!$A$3:$GG$587,'0.Productos'!AZ$1+1,0),"")</f>
        <v>SI</v>
      </c>
      <c r="I8" s="133">
        <f>IF($A8&lt;&gt;0,VLOOKUP($A8,'0.Productos'!$A$3:$GG$587,'0.Productos'!BA$1+1,0),"")</f>
        <v>2</v>
      </c>
      <c r="J8" s="133">
        <f>IF($A8&lt;&gt;0,VLOOKUP($A8,'0.Productos'!$A$3:$GG$587,'0.Productos'!BB$1+1,0),"")</f>
        <v>0</v>
      </c>
      <c r="K8" s="133" t="str">
        <f>IF($A8&lt;&gt;0,VLOOKUP($A8,'0.Productos'!$A$3:$GG$587,'0.Productos'!BC$1+1,0),"")</f>
        <v>NO</v>
      </c>
      <c r="L8" s="133" t="str">
        <f>IF($A8&lt;&gt;0,VLOOKUP($A8,'0.Productos'!$A$3:$GG$587,'0.Productos'!BD$1+1,0),"")</f>
        <v>NO</v>
      </c>
      <c r="M8" s="133" t="str">
        <f>IF($A8&lt;&gt;0,VLOOKUP($A8,'0.Productos'!$A$3:$GG$587,'0.Productos'!BE$1+1,0),"")</f>
        <v>SI</v>
      </c>
      <c r="N8" s="133" t="str">
        <f>IF($A8&lt;&gt;0,VLOOKUP($A8,'0.Productos'!$A$3:$GG$587,'0.Productos'!BF$1+1,0),"")</f>
        <v>SI</v>
      </c>
      <c r="O8" s="133" t="str">
        <f>IF($A8&lt;&gt;0,VLOOKUP($A8,'0.Productos'!$A$3:$GG$587,'0.Productos'!BG$1+1,0),"")</f>
        <v>SI</v>
      </c>
      <c r="P8" s="133" t="str">
        <f>IF($A8&lt;&gt;0,VLOOKUP($A8,'0.Productos'!$A$3:$GG$587,'0.Productos'!BH$1+1,0),"")</f>
        <v>NO</v>
      </c>
      <c r="Q8" s="133" t="str">
        <f>IF($A8&lt;&gt;0,VLOOKUP($A8,'0.Productos'!$A$3:$GG$587,'0.Productos'!BI$1+1,0),"")</f>
        <v>SI</v>
      </c>
      <c r="R8" s="133" t="str">
        <f>IF($A8&lt;&gt;0,VLOOKUP($A8,'0.Productos'!$A$3:$GG$587,'0.Productos'!BJ$1+1,0),"")</f>
        <v>NO</v>
      </c>
      <c r="S8" s="133" t="str">
        <f>IF($A8&lt;&gt;0,VLOOKUP($A8,'0.Productos'!$A$3:$GG$587,'0.Productos'!BK$1+1,0),"")</f>
        <v>SI</v>
      </c>
      <c r="T8" s="133" t="str">
        <f>IF($A8&lt;&gt;0,VLOOKUP($A8,'0.Productos'!$A$3:$GG$587,'0.Productos'!BL$1+1,0),"")</f>
        <v>NO</v>
      </c>
      <c r="U8" s="133" t="str">
        <f>IF($A8&lt;&gt;0,VLOOKUP($A8,'0.Productos'!$A$3:$GG$587,'0.Productos'!BM$1+1,0),"")</f>
        <v>NO</v>
      </c>
      <c r="V8" s="133" t="str">
        <f>IF($A8&lt;&gt;0,VLOOKUP($A8,'0.Productos'!$A$3:$GG$587,'0.Productos'!BN$1+1,0),"")</f>
        <v>NO</v>
      </c>
      <c r="W8" s="133" t="str">
        <f>IF($A8&lt;&gt;0,VLOOKUP($A8,'0.Productos'!$A$3:$GG$587,'0.Productos'!BO$1+1,0),"")</f>
        <v>SI</v>
      </c>
      <c r="X8" s="133" t="str">
        <f>IF($A8&lt;&gt;0,VLOOKUP($A8,'0.Productos'!$A$3:$GG$587,'0.Productos'!BP$1+1,0),"")</f>
        <v>SI</v>
      </c>
      <c r="Y8" s="133" t="str">
        <f>IF($A8&lt;&gt;0,VLOOKUP($A8,'0.Productos'!$A$3:$GG$587,'0.Productos'!BQ$1+1,0),"")</f>
        <v>NO</v>
      </c>
      <c r="Z8" s="133" t="str">
        <f>IF($A8&lt;&gt;0,VLOOKUP($A8,'0.Productos'!$A$3:$GG$587,'0.Productos'!BR$1+1,0),"")</f>
        <v>NO</v>
      </c>
      <c r="AA8" s="133" t="str">
        <f>IF($A8&lt;&gt;0,VLOOKUP($A8,'0.Productos'!$A$3:$GG$587,'0.Productos'!BS$1+1,0),"")</f>
        <v>NO</v>
      </c>
      <c r="AB8" s="133" t="str">
        <f>IF($A8&lt;&gt;0,VLOOKUP($A8,'0.Productos'!$A$3:$GG$587,'0.Productos'!BT$1+1,0),"")</f>
        <v>NO</v>
      </c>
      <c r="AC8" s="133" t="str">
        <f>IF($A8&lt;&gt;0,VLOOKUP($A8,'0.Productos'!$A$3:$GG$587,'0.Productos'!BU$1+1,0),"")</f>
        <v>SI</v>
      </c>
      <c r="AD8" s="133" t="str">
        <f>IF($A8&lt;&gt;0,VLOOKUP($A8,'0.Productos'!$A$3:$GG$587,'0.Productos'!BV$1+1,0),"")</f>
        <v>NO</v>
      </c>
      <c r="AE8" s="133" t="str">
        <f>IF($A8&lt;&gt;0,VLOOKUP($A8,'0.Productos'!$A$3:$GG$587,'0.Productos'!BW$1+1,0),"")</f>
        <v>NO</v>
      </c>
      <c r="AF8" s="133" t="str">
        <f>IF($A8&lt;&gt;0,VLOOKUP($A8,'0.Productos'!$A$3:$GG$587,'0.Productos'!BX$1+1,0),"")</f>
        <v>NO</v>
      </c>
      <c r="AG8" s="133" t="str">
        <f>IF($A8&lt;&gt;0,VLOOKUP($A8,'0.Productos'!$A$3:$GG$587,'0.Productos'!BY$1+1,0),"")</f>
        <v>NO</v>
      </c>
      <c r="AH8" s="133" t="str">
        <f>IF($A8&lt;&gt;0,VLOOKUP($A8,'0.Productos'!$A$3:$GG$587,'0.Productos'!BZ$1+1,0),"")</f>
        <v>NO</v>
      </c>
      <c r="AI8" s="133" t="str">
        <f>IF($A8&lt;&gt;0,VLOOKUP($A8,'0.Productos'!$A$3:$GG$587,'0.Productos'!CA$1+1,0),"")</f>
        <v>SI</v>
      </c>
      <c r="AJ8" s="133" t="str">
        <f>IF($A8&lt;&gt;0,VLOOKUP($A8,'0.Productos'!$A$3:$GG$587,'0.Productos'!CB$1+1,0),"")</f>
        <v>SI</v>
      </c>
      <c r="AK8" s="133" t="str">
        <f>IF($A8&lt;&gt;0,VLOOKUP($A8,'0.Productos'!$A$3:$GG$587,'0.Productos'!CC$1+1,0),"")</f>
        <v>SI</v>
      </c>
      <c r="AL8" s="133" t="str">
        <f>IF($A8&lt;&gt;0,VLOOKUP($A8,'0.Productos'!$A$3:$GG$587,'0.Productos'!CD$1+1,0),"")</f>
        <v>SI</v>
      </c>
      <c r="AM8" s="133" t="str">
        <f>IF($A8&lt;&gt;0,VLOOKUP($A8,'0.Productos'!$A$3:$GG$587,'0.Productos'!CE$1+1,0),"")</f>
        <v>SI</v>
      </c>
      <c r="AN8" s="133" t="str">
        <f>IF($A8&lt;&gt;0,VLOOKUP($A8,'0.Productos'!$A$3:$GG$587,'0.Productos'!CF$1+1,0),"")</f>
        <v>SI</v>
      </c>
      <c r="AO8" s="133" t="str">
        <f>IF($A8&lt;&gt;0,VLOOKUP($A8,'0.Productos'!$A$3:$GG$587,'0.Productos'!CG$1+1,0),"")</f>
        <v>NO</v>
      </c>
      <c r="AP8" s="133" t="str">
        <f>IF($A8&lt;&gt;0,VLOOKUP($A8,'0.Productos'!$A$3:$GG$587,'0.Productos'!CH$1+1,0),"")</f>
        <v>SI</v>
      </c>
      <c r="AQ8" s="133" t="str">
        <f>IF($A8&lt;&gt;0,VLOOKUP($A8,'0.Productos'!$A$3:$GG$587,'0.Productos'!CI$1+1,0),"")</f>
        <v>SI</v>
      </c>
      <c r="AR8" s="133" t="str">
        <f>IF($A8&lt;&gt;0,VLOOKUP($A8,'0.Productos'!$A$3:$GG$587,'0.Productos'!CJ$1+1,0),"")</f>
        <v>NO</v>
      </c>
      <c r="AS8" s="133" t="str">
        <f>IF($A8&lt;&gt;0,VLOOKUP($A8,'0.Productos'!$A$3:$GG$587,'0.Productos'!CK$1+1,0),"")</f>
        <v>NO</v>
      </c>
      <c r="AT8" s="133" t="str">
        <f>IF($A8&lt;&gt;0,VLOOKUP($A8,'0.Productos'!$A$3:$GG$587,'0.Productos'!CL$1+1,0),"")</f>
        <v>SI</v>
      </c>
      <c r="AU8" s="133" t="str">
        <f>IF($A8&lt;&gt;0,VLOOKUP($A8,'0.Productos'!$A$3:$GG$587,'0.Productos'!CM$1+1,0),"")</f>
        <v>NO</v>
      </c>
      <c r="AV8" s="133" t="str">
        <f>IF($A8&lt;&gt;0,VLOOKUP($A8,'0.Productos'!$A$3:$GG$587,'0.Productos'!CN$1+1,0),"")</f>
        <v>NO</v>
      </c>
      <c r="AW8" s="133" t="str">
        <f>IF($A8&lt;&gt;0,VLOOKUP($A8,'0.Productos'!$A$3:$GG$587,'0.Productos'!CO$1+1,0),"")</f>
        <v>NO</v>
      </c>
      <c r="AX8" s="133" t="str">
        <f>IF($A8&lt;&gt;0,VLOOKUP($A8,'0.Productos'!$A$3:$GG$587,'0.Productos'!CP$1+1,0),"")</f>
        <v>NO</v>
      </c>
      <c r="AY8" s="133" t="str">
        <f>IF($A8&lt;&gt;0,VLOOKUP($A8,'0.Productos'!$A$3:$GG$587,'0.Productos'!CQ$1+1,0),"")</f>
        <v>SI</v>
      </c>
      <c r="AZ8" s="133" t="str">
        <f>IF($A8&lt;&gt;0,VLOOKUP($A8,'0.Productos'!$A$3:$GG$587,'0.Productos'!CR$1+1,0),"")</f>
        <v>SI</v>
      </c>
      <c r="BA8" s="133" t="str">
        <f>IF($A8&lt;&gt;0,VLOOKUP($A8,'0.Productos'!$A$3:$GG$587,'0.Productos'!CS$1+1,0),"")</f>
        <v>NO</v>
      </c>
      <c r="BB8" s="133" t="str">
        <f>IF($A8&lt;&gt;0,VLOOKUP($A8,'0.Productos'!$A$3:$GG$587,'0.Productos'!CT$1+1,0),"")</f>
        <v>NO</v>
      </c>
      <c r="BC8" s="133" t="str">
        <f>IF($A8&lt;&gt;0,VLOOKUP($A8,'0.Productos'!$A$3:$GG$587,'0.Productos'!CU$1+1,0),"")</f>
        <v>SI</v>
      </c>
      <c r="BD8" s="133" t="str">
        <f>IF($A8&lt;&gt;0,VLOOKUP($A8,'0.Productos'!$A$3:$GG$587,'0.Productos'!CV$1+1,0),"")</f>
        <v>NO</v>
      </c>
      <c r="BE8" s="133" t="str">
        <f>IF($A8&lt;&gt;0,VLOOKUP($A8,'0.Productos'!$A$3:$GG$587,'0.Productos'!CW$1+1,0),"")</f>
        <v>NO</v>
      </c>
      <c r="BF8" s="133" t="str">
        <f>IF($A8&lt;&gt;0,VLOOKUP($A8,'0.Productos'!$A$3:$GG$587,'0.Productos'!CX$1+1,0),"")</f>
        <v>SI</v>
      </c>
      <c r="BG8" s="133" t="str">
        <f>IF($A8&lt;&gt;0,VLOOKUP($A8,'0.Productos'!$A$3:$GG$587,'0.Productos'!CY$1+1,0),"")</f>
        <v>SI</v>
      </c>
      <c r="BH8" s="133" t="str">
        <f>IF($A8&lt;&gt;0,VLOOKUP($A8,'0.Productos'!$A$3:$GG$587,'0.Productos'!CZ$1+1,0),"")</f>
        <v>SI</v>
      </c>
      <c r="BI8" s="133" t="str">
        <f>IF($A8&lt;&gt;0,VLOOKUP($A8,'0.Productos'!$A$3:$GG$587,'0.Productos'!DA$1+1,0),"")</f>
        <v>NO</v>
      </c>
      <c r="BJ8" s="133" t="str">
        <f>IF($A8&lt;&gt;0,VLOOKUP($A8,'0.Productos'!$A$3:$GG$587,'0.Productos'!DB$1+1,0),"")</f>
        <v>NO</v>
      </c>
      <c r="BK8" s="133" t="str">
        <f>IF($A8&lt;&gt;0,VLOOKUP($A8,'0.Productos'!$A$3:$GG$587,'0.Productos'!DC$1+1,0),"")</f>
        <v>SI</v>
      </c>
      <c r="BL8" s="133" t="str">
        <f>IF($A8&lt;&gt;0,VLOOKUP($A8,'0.Productos'!$A$3:$GG$587,'0.Productos'!DD$1+1,0),"")</f>
        <v>SI</v>
      </c>
      <c r="BM8" s="133" t="str">
        <f>IF($A8&lt;&gt;0,VLOOKUP($A8,'0.Productos'!$A$3:$GG$587,'0.Productos'!DE$1+1,0),"")</f>
        <v>SI</v>
      </c>
      <c r="BN8" s="133" t="str">
        <f>IF($A8&lt;&gt;0,VLOOKUP($A8,'0.Productos'!$A$3:$GG$587,'0.Productos'!DF$1+1,0),"")</f>
        <v>SI</v>
      </c>
      <c r="BO8" s="133" t="str">
        <f>IF($A8&lt;&gt;0,VLOOKUP($A8,'0.Productos'!$A$3:$GG$587,'0.Productos'!DG$1+1,0),"")</f>
        <v>SI</v>
      </c>
      <c r="BP8" s="133" t="str">
        <f>IF($A8&lt;&gt;0,VLOOKUP($A8,'0.Productos'!$A$3:$GG$587,'0.Productos'!DH$1+1,0),"")</f>
        <v>SI</v>
      </c>
      <c r="BQ8" s="133" t="str">
        <f>IF($A8&lt;&gt;0,VLOOKUP($A8,'0.Productos'!$A$3:$GG$587,'0.Productos'!DI$1+1,0),"")</f>
        <v>SI</v>
      </c>
      <c r="BR8" s="133" t="str">
        <f>IF($A8&lt;&gt;0,VLOOKUP($A8,'0.Productos'!$A$3:$GG$587,'0.Productos'!DJ$1+1,0),"")</f>
        <v>SI</v>
      </c>
      <c r="BS8" s="133" t="str">
        <f>IF($A8&lt;&gt;0,VLOOKUP($A8,'0.Productos'!$A$3:$GG$587,'0.Productos'!DK$1+1,0),"")</f>
        <v>SI</v>
      </c>
      <c r="BT8" s="133" t="str">
        <f>IF($A8&lt;&gt;0,VLOOKUP($A8,'0.Productos'!$A$3:$GG$587,'0.Productos'!DL$1+1,0),"")</f>
        <v>SI</v>
      </c>
    </row>
    <row r="9" spans="1:72" x14ac:dyDescent="0.25">
      <c r="A9" s="17" t="str">
        <f>'0.Consolidado general'!A9</f>
        <v>E001013021001</v>
      </c>
      <c r="B9" s="133">
        <f>IF($A9&lt;&gt;0,VLOOKUP($A9,'0.Productos'!$A$3:$GG$587,'0.Productos'!AT$1+1,0),"")</f>
        <v>21</v>
      </c>
      <c r="C9" s="133">
        <f>IF($A9&lt;&gt;0,VLOOKUP($A9,'0.Productos'!$A$3:$GG$587,'0.Productos'!AU$1+1,0),"")</f>
        <v>8</v>
      </c>
      <c r="D9" s="133">
        <f>IF($A9&lt;&gt;0,VLOOKUP($A9,'0.Productos'!$A$3:$GG$587,'0.Productos'!AV$1+1,0),"")</f>
        <v>8000</v>
      </c>
      <c r="E9" s="133">
        <f>IF($A9&lt;&gt;0,VLOOKUP($A9,'0.Productos'!$A$3:$GG$587,'0.Productos'!AW$1+1,0),"")</f>
        <v>12000</v>
      </c>
      <c r="F9" s="133">
        <f>IF($A9&lt;&gt;0,VLOOKUP($A9,'0.Productos'!$A$3:$GG$587,'0.Productos'!AX$1+1,0),"")</f>
        <v>5</v>
      </c>
      <c r="G9" s="133">
        <f>IF($A9&lt;&gt;0,VLOOKUP($A9,'0.Productos'!$A$3:$GG$587,'0.Productos'!AY$1+1,0),"")</f>
        <v>2</v>
      </c>
      <c r="H9" s="133" t="str">
        <f>IF($A9&lt;&gt;0,VLOOKUP($A9,'0.Productos'!$A$3:$GG$587,'0.Productos'!AZ$1+1,0),"")</f>
        <v>SI</v>
      </c>
      <c r="I9" s="133">
        <f>IF($A9&lt;&gt;0,VLOOKUP($A9,'0.Productos'!$A$3:$GG$587,'0.Productos'!BA$1+1,0),"")</f>
        <v>4</v>
      </c>
      <c r="J9" s="133">
        <f>IF($A9&lt;&gt;0,VLOOKUP($A9,'0.Productos'!$A$3:$GG$587,'0.Productos'!BB$1+1,0),"")</f>
        <v>0</v>
      </c>
      <c r="K9" s="133" t="str">
        <f>IF($A9&lt;&gt;0,VLOOKUP($A9,'0.Productos'!$A$3:$GG$587,'0.Productos'!BC$1+1,0),"")</f>
        <v>SI</v>
      </c>
      <c r="L9" s="133" t="str">
        <f>IF($A9&lt;&gt;0,VLOOKUP($A9,'0.Productos'!$A$3:$GG$587,'0.Productos'!BD$1+1,0),"")</f>
        <v>SI</v>
      </c>
      <c r="M9" s="133" t="str">
        <f>IF($A9&lt;&gt;0,VLOOKUP($A9,'0.Productos'!$A$3:$GG$587,'0.Productos'!BE$1+1,0),"")</f>
        <v>SI</v>
      </c>
      <c r="N9" s="133" t="str">
        <f>IF($A9&lt;&gt;0,VLOOKUP($A9,'0.Productos'!$A$3:$GG$587,'0.Productos'!BF$1+1,0),"")</f>
        <v>SI</v>
      </c>
      <c r="O9" s="133" t="str">
        <f>IF($A9&lt;&gt;0,VLOOKUP($A9,'0.Productos'!$A$3:$GG$587,'0.Productos'!BG$1+1,0),"")</f>
        <v>SI</v>
      </c>
      <c r="P9" s="133" t="str">
        <f>IF($A9&lt;&gt;0,VLOOKUP($A9,'0.Productos'!$A$3:$GG$587,'0.Productos'!BH$1+1,0),"")</f>
        <v>NO</v>
      </c>
      <c r="Q9" s="133" t="str">
        <f>IF($A9&lt;&gt;0,VLOOKUP($A9,'0.Productos'!$A$3:$GG$587,'0.Productos'!BI$1+1,0),"")</f>
        <v>SI</v>
      </c>
      <c r="R9" s="133" t="str">
        <f>IF($A9&lt;&gt;0,VLOOKUP($A9,'0.Productos'!$A$3:$GG$587,'0.Productos'!BJ$1+1,0),"")</f>
        <v>SI</v>
      </c>
      <c r="S9" s="133" t="str">
        <f>IF($A9&lt;&gt;0,VLOOKUP($A9,'0.Productos'!$A$3:$GG$587,'0.Productos'!BK$1+1,0),"")</f>
        <v>SI</v>
      </c>
      <c r="T9" s="133" t="str">
        <f>IF($A9&lt;&gt;0,VLOOKUP($A9,'0.Productos'!$A$3:$GG$587,'0.Productos'!BL$1+1,0),"")</f>
        <v>SI</v>
      </c>
      <c r="U9" s="133" t="str">
        <f>IF($A9&lt;&gt;0,VLOOKUP($A9,'0.Productos'!$A$3:$GG$587,'0.Productos'!BM$1+1,0),"")</f>
        <v>SI</v>
      </c>
      <c r="V9" s="133" t="str">
        <f>IF($A9&lt;&gt;0,VLOOKUP($A9,'0.Productos'!$A$3:$GG$587,'0.Productos'!BN$1+1,0),"")</f>
        <v>NO</v>
      </c>
      <c r="W9" s="133" t="str">
        <f>IF($A9&lt;&gt;0,VLOOKUP($A9,'0.Productos'!$A$3:$GG$587,'0.Productos'!BO$1+1,0),"")</f>
        <v>NO</v>
      </c>
      <c r="X9" s="133" t="str">
        <f>IF($A9&lt;&gt;0,VLOOKUP($A9,'0.Productos'!$A$3:$GG$587,'0.Productos'!BP$1+1,0),"")</f>
        <v>NO</v>
      </c>
      <c r="Y9" s="133" t="str">
        <f>IF($A9&lt;&gt;0,VLOOKUP($A9,'0.Productos'!$A$3:$GG$587,'0.Productos'!BQ$1+1,0),"")</f>
        <v>SI</v>
      </c>
      <c r="Z9" s="133" t="str">
        <f>IF($A9&lt;&gt;0,VLOOKUP($A9,'0.Productos'!$A$3:$GG$587,'0.Productos'!BR$1+1,0),"")</f>
        <v>NO</v>
      </c>
      <c r="AA9" s="133" t="str">
        <f>IF($A9&lt;&gt;0,VLOOKUP($A9,'0.Productos'!$A$3:$GG$587,'0.Productos'!BS$1+1,0),"")</f>
        <v>SI</v>
      </c>
      <c r="AB9" s="133" t="str">
        <f>IF($A9&lt;&gt;0,VLOOKUP($A9,'0.Productos'!$A$3:$GG$587,'0.Productos'!BT$1+1,0),"")</f>
        <v>SI</v>
      </c>
      <c r="AC9" s="133" t="str">
        <f>IF($A9&lt;&gt;0,VLOOKUP($A9,'0.Productos'!$A$3:$GG$587,'0.Productos'!BU$1+1,0),"")</f>
        <v>SI</v>
      </c>
      <c r="AD9" s="133" t="str">
        <f>IF($A9&lt;&gt;0,VLOOKUP($A9,'0.Productos'!$A$3:$GG$587,'0.Productos'!BV$1+1,0),"")</f>
        <v>NO</v>
      </c>
      <c r="AE9" s="133" t="str">
        <f>IF($A9&lt;&gt;0,VLOOKUP($A9,'0.Productos'!$A$3:$GG$587,'0.Productos'!BW$1+1,0),"")</f>
        <v>SI</v>
      </c>
      <c r="AF9" s="133" t="str">
        <f>IF($A9&lt;&gt;0,VLOOKUP($A9,'0.Productos'!$A$3:$GG$587,'0.Productos'!BX$1+1,0),"")</f>
        <v>NO</v>
      </c>
      <c r="AG9" s="133" t="str">
        <f>IF($A9&lt;&gt;0,VLOOKUP($A9,'0.Productos'!$A$3:$GG$587,'0.Productos'!BY$1+1,0),"")</f>
        <v>NO</v>
      </c>
      <c r="AH9" s="133" t="str">
        <f>IF($A9&lt;&gt;0,VLOOKUP($A9,'0.Productos'!$A$3:$GG$587,'0.Productos'!BZ$1+1,0),"")</f>
        <v>SI</v>
      </c>
      <c r="AI9" s="133" t="str">
        <f>IF($A9&lt;&gt;0,VLOOKUP($A9,'0.Productos'!$A$3:$GG$587,'0.Productos'!CA$1+1,0),"")</f>
        <v>NO</v>
      </c>
      <c r="AJ9" s="133" t="str">
        <f>IF($A9&lt;&gt;0,VLOOKUP($A9,'0.Productos'!$A$3:$GG$587,'0.Productos'!CB$1+1,0),"")</f>
        <v>NO</v>
      </c>
      <c r="AK9" s="133" t="str">
        <f>IF($A9&lt;&gt;0,VLOOKUP($A9,'0.Productos'!$A$3:$GG$587,'0.Productos'!CC$1+1,0),"")</f>
        <v>NO</v>
      </c>
      <c r="AL9" s="133" t="str">
        <f>IF($A9&lt;&gt;0,VLOOKUP($A9,'0.Productos'!$A$3:$GG$587,'0.Productos'!CD$1+1,0),"")</f>
        <v>SI</v>
      </c>
      <c r="AM9" s="133" t="str">
        <f>IF($A9&lt;&gt;0,VLOOKUP($A9,'0.Productos'!$A$3:$GG$587,'0.Productos'!CE$1+1,0),"")</f>
        <v>SI</v>
      </c>
      <c r="AN9" s="133" t="str">
        <f>IF($A9&lt;&gt;0,VLOOKUP($A9,'0.Productos'!$A$3:$GG$587,'0.Productos'!CF$1+1,0),"")</f>
        <v>SI</v>
      </c>
      <c r="AO9" s="133" t="str">
        <f>IF($A9&lt;&gt;0,VLOOKUP($A9,'0.Productos'!$A$3:$GG$587,'0.Productos'!CG$1+1,0),"")</f>
        <v>SI</v>
      </c>
      <c r="AP9" s="133" t="str">
        <f>IF($A9&lt;&gt;0,VLOOKUP($A9,'0.Productos'!$A$3:$GG$587,'0.Productos'!CH$1+1,0),"")</f>
        <v>SI</v>
      </c>
      <c r="AQ9" s="133" t="str">
        <f>IF($A9&lt;&gt;0,VLOOKUP($A9,'0.Productos'!$A$3:$GG$587,'0.Productos'!CI$1+1,0),"")</f>
        <v>NO</v>
      </c>
      <c r="AR9" s="133" t="str">
        <f>IF($A9&lt;&gt;0,VLOOKUP($A9,'0.Productos'!$A$3:$GG$587,'0.Productos'!CJ$1+1,0),"")</f>
        <v>SI</v>
      </c>
      <c r="AS9" s="133" t="str">
        <f>IF($A9&lt;&gt;0,VLOOKUP($A9,'0.Productos'!$A$3:$GG$587,'0.Productos'!CK$1+1,0),"")</f>
        <v>NO</v>
      </c>
      <c r="AT9" s="133" t="str">
        <f>IF($A9&lt;&gt;0,VLOOKUP($A9,'0.Productos'!$A$3:$GG$587,'0.Productos'!CL$1+1,0),"")</f>
        <v>NO</v>
      </c>
      <c r="AU9" s="133" t="str">
        <f>IF($A9&lt;&gt;0,VLOOKUP($A9,'0.Productos'!$A$3:$GG$587,'0.Productos'!CM$1+1,0),"")</f>
        <v>NO</v>
      </c>
      <c r="AV9" s="133" t="str">
        <f>IF($A9&lt;&gt;0,VLOOKUP($A9,'0.Productos'!$A$3:$GG$587,'0.Productos'!CN$1+1,0),"")</f>
        <v>NO</v>
      </c>
      <c r="AW9" s="133" t="str">
        <f>IF($A9&lt;&gt;0,VLOOKUP($A9,'0.Productos'!$A$3:$GG$587,'0.Productos'!CO$1+1,0),"")</f>
        <v>NO</v>
      </c>
      <c r="AX9" s="133" t="str">
        <f>IF($A9&lt;&gt;0,VLOOKUP($A9,'0.Productos'!$A$3:$GG$587,'0.Productos'!CP$1+1,0),"")</f>
        <v>NO</v>
      </c>
      <c r="AY9" s="133" t="str">
        <f>IF($A9&lt;&gt;0,VLOOKUP($A9,'0.Productos'!$A$3:$GG$587,'0.Productos'!CQ$1+1,0),"")</f>
        <v>SI</v>
      </c>
      <c r="AZ9" s="133" t="str">
        <f>IF($A9&lt;&gt;0,VLOOKUP($A9,'0.Productos'!$A$3:$GG$587,'0.Productos'!CR$1+1,0),"")</f>
        <v>SI</v>
      </c>
      <c r="BA9" s="133" t="str">
        <f>IF($A9&lt;&gt;0,VLOOKUP($A9,'0.Productos'!$A$3:$GG$587,'0.Productos'!CS$1+1,0),"")</f>
        <v>NO</v>
      </c>
      <c r="BB9" s="133" t="str">
        <f>IF($A9&lt;&gt;0,VLOOKUP($A9,'0.Productos'!$A$3:$GG$587,'0.Productos'!CT$1+1,0),"")</f>
        <v>NO</v>
      </c>
      <c r="BC9" s="133" t="str">
        <f>IF($A9&lt;&gt;0,VLOOKUP($A9,'0.Productos'!$A$3:$GG$587,'0.Productos'!CU$1+1,0),"")</f>
        <v>SI</v>
      </c>
      <c r="BD9" s="133" t="str">
        <f>IF($A9&lt;&gt;0,VLOOKUP($A9,'0.Productos'!$A$3:$GG$587,'0.Productos'!CV$1+1,0),"")</f>
        <v>NO</v>
      </c>
      <c r="BE9" s="133" t="str">
        <f>IF($A9&lt;&gt;0,VLOOKUP($A9,'0.Productos'!$A$3:$GG$587,'0.Productos'!CW$1+1,0),"")</f>
        <v>SI</v>
      </c>
      <c r="BF9" s="133" t="str">
        <f>IF($A9&lt;&gt;0,VLOOKUP($A9,'0.Productos'!$A$3:$GG$587,'0.Productos'!CX$1+1,0),"")</f>
        <v>NO</v>
      </c>
      <c r="BG9" s="133" t="str">
        <f>IF($A9&lt;&gt;0,VLOOKUP($A9,'0.Productos'!$A$3:$GG$587,'0.Productos'!CY$1+1,0),"")</f>
        <v>NO</v>
      </c>
      <c r="BH9" s="133" t="str">
        <f>IF($A9&lt;&gt;0,VLOOKUP($A9,'0.Productos'!$A$3:$GG$587,'0.Productos'!CZ$1+1,0),"")</f>
        <v>NO</v>
      </c>
      <c r="BI9" s="133" t="str">
        <f>IF($A9&lt;&gt;0,VLOOKUP($A9,'0.Productos'!$A$3:$GG$587,'0.Productos'!DA$1+1,0),"")</f>
        <v>NO</v>
      </c>
      <c r="BJ9" s="133" t="str">
        <f>IF($A9&lt;&gt;0,VLOOKUP($A9,'0.Productos'!$A$3:$GG$587,'0.Productos'!DB$1+1,0),"")</f>
        <v>SI</v>
      </c>
      <c r="BK9" s="133" t="str">
        <f>IF($A9&lt;&gt;0,VLOOKUP($A9,'0.Productos'!$A$3:$GG$587,'0.Productos'!DC$1+1,0),"")</f>
        <v>NO</v>
      </c>
      <c r="BL9" s="133" t="str">
        <f>IF($A9&lt;&gt;0,VLOOKUP($A9,'0.Productos'!$A$3:$GG$587,'0.Productos'!DD$1+1,0),"")</f>
        <v>SI</v>
      </c>
      <c r="BM9" s="133" t="str">
        <f>IF($A9&lt;&gt;0,VLOOKUP($A9,'0.Productos'!$A$3:$GG$587,'0.Productos'!DE$1+1,0),"")</f>
        <v>NO</v>
      </c>
      <c r="BN9" s="133" t="str">
        <f>IF($A9&lt;&gt;0,VLOOKUP($A9,'0.Productos'!$A$3:$GG$587,'0.Productos'!DF$1+1,0),"")</f>
        <v>SI</v>
      </c>
      <c r="BO9" s="133" t="str">
        <f>IF($A9&lt;&gt;0,VLOOKUP($A9,'0.Productos'!$A$3:$GG$587,'0.Productos'!DG$1+1,0),"")</f>
        <v>SI</v>
      </c>
      <c r="BP9" s="133" t="str">
        <f>IF($A9&lt;&gt;0,VLOOKUP($A9,'0.Productos'!$A$3:$GG$587,'0.Productos'!DH$1+1,0),"")</f>
        <v>SI</v>
      </c>
      <c r="BQ9" s="133" t="str">
        <f>IF($A9&lt;&gt;0,VLOOKUP($A9,'0.Productos'!$A$3:$GG$587,'0.Productos'!DI$1+1,0),"")</f>
        <v>SI</v>
      </c>
      <c r="BR9" s="133" t="str">
        <f>IF($A9&lt;&gt;0,VLOOKUP($A9,'0.Productos'!$A$3:$GG$587,'0.Productos'!DJ$1+1,0),"")</f>
        <v>SI</v>
      </c>
      <c r="BS9" s="133" t="str">
        <f>IF($A9&lt;&gt;0,VLOOKUP($A9,'0.Productos'!$A$3:$GG$587,'0.Productos'!DK$1+1,0),"")</f>
        <v>NO</v>
      </c>
      <c r="BT9" s="133" t="str">
        <f>IF($A9&lt;&gt;0,VLOOKUP($A9,'0.Productos'!$A$3:$GG$587,'0.Productos'!DL$1+1,0),"")</f>
        <v>NO</v>
      </c>
    </row>
    <row r="10" spans="1:72" x14ac:dyDescent="0.25">
      <c r="A10" s="17" t="str">
        <f>'0.Consolidado general'!A10</f>
        <v>E001013021002</v>
      </c>
      <c r="B10" s="133">
        <f>IF($A10&lt;&gt;0,VLOOKUP($A10,'0.Productos'!$A$3:$GG$587,'0.Productos'!AT$1+1,0),"")</f>
        <v>4</v>
      </c>
      <c r="C10" s="133">
        <f>IF($A10&lt;&gt;0,VLOOKUP($A10,'0.Productos'!$A$3:$GG$587,'0.Productos'!AU$1+1,0),"")</f>
        <v>8</v>
      </c>
      <c r="D10" s="133">
        <f>IF($A10&lt;&gt;0,VLOOKUP($A10,'0.Productos'!$A$3:$GG$587,'0.Productos'!AV$1+1,0),"")</f>
        <v>10000</v>
      </c>
      <c r="E10" s="133">
        <f>IF($A10&lt;&gt;0,VLOOKUP($A10,'0.Productos'!$A$3:$GG$587,'0.Productos'!AW$1+1,0),"")</f>
        <v>15000</v>
      </c>
      <c r="F10" s="133">
        <f>IF($A10&lt;&gt;0,VLOOKUP($A10,'0.Productos'!$A$3:$GG$587,'0.Productos'!AX$1+1,0),"")</f>
        <v>2</v>
      </c>
      <c r="G10" s="133">
        <f>IF($A10&lt;&gt;0,VLOOKUP($A10,'0.Productos'!$A$3:$GG$587,'0.Productos'!AY$1+1,0),"")</f>
        <v>5</v>
      </c>
      <c r="H10" s="133" t="str">
        <f>IF($A10&lt;&gt;0,VLOOKUP($A10,'0.Productos'!$A$3:$GG$587,'0.Productos'!AZ$1+1,0),"")</f>
        <v>NO</v>
      </c>
      <c r="I10" s="133">
        <f>IF($A10&lt;&gt;0,VLOOKUP($A10,'0.Productos'!$A$3:$GG$587,'0.Productos'!BA$1+1,0),"")</f>
        <v>3</v>
      </c>
      <c r="J10" s="133">
        <f>IF($A10&lt;&gt;0,VLOOKUP($A10,'0.Productos'!$A$3:$GG$587,'0.Productos'!BB$1+1,0),"")</f>
        <v>0</v>
      </c>
      <c r="K10" s="133" t="str">
        <f>IF($A10&lt;&gt;0,VLOOKUP($A10,'0.Productos'!$A$3:$GG$587,'0.Productos'!BC$1+1,0),"")</f>
        <v>NO</v>
      </c>
      <c r="L10" s="133" t="str">
        <f>IF($A10&lt;&gt;0,VLOOKUP($A10,'0.Productos'!$A$3:$GG$587,'0.Productos'!BD$1+1,0),"")</f>
        <v>NO</v>
      </c>
      <c r="M10" s="133" t="str">
        <f>IF($A10&lt;&gt;0,VLOOKUP($A10,'0.Productos'!$A$3:$GG$587,'0.Productos'!BE$1+1,0),"")</f>
        <v>SI</v>
      </c>
      <c r="N10" s="133" t="str">
        <f>IF($A10&lt;&gt;0,VLOOKUP($A10,'0.Productos'!$A$3:$GG$587,'0.Productos'!BF$1+1,0),"")</f>
        <v>SI</v>
      </c>
      <c r="O10" s="133" t="str">
        <f>IF($A10&lt;&gt;0,VLOOKUP($A10,'0.Productos'!$A$3:$GG$587,'0.Productos'!BG$1+1,0),"")</f>
        <v>SI</v>
      </c>
      <c r="P10" s="133" t="str">
        <f>IF($A10&lt;&gt;0,VLOOKUP($A10,'0.Productos'!$A$3:$GG$587,'0.Productos'!BH$1+1,0),"")</f>
        <v>SI</v>
      </c>
      <c r="Q10" s="133" t="str">
        <f>IF($A10&lt;&gt;0,VLOOKUP($A10,'0.Productos'!$A$3:$GG$587,'0.Productos'!BI$1+1,0),"")</f>
        <v>SI</v>
      </c>
      <c r="R10" s="133" t="str">
        <f>IF($A10&lt;&gt;0,VLOOKUP($A10,'0.Productos'!$A$3:$GG$587,'0.Productos'!BJ$1+1,0),"")</f>
        <v>NO</v>
      </c>
      <c r="S10" s="133" t="str">
        <f>IF($A10&lt;&gt;0,VLOOKUP($A10,'0.Productos'!$A$3:$GG$587,'0.Productos'!BK$1+1,0),"")</f>
        <v>SI</v>
      </c>
      <c r="T10" s="133" t="str">
        <f>IF($A10&lt;&gt;0,VLOOKUP($A10,'0.Productos'!$A$3:$GG$587,'0.Productos'!BL$1+1,0),"")</f>
        <v>NO</v>
      </c>
      <c r="U10" s="133" t="str">
        <f>IF($A10&lt;&gt;0,VLOOKUP($A10,'0.Productos'!$A$3:$GG$587,'0.Productos'!BM$1+1,0),"")</f>
        <v>NO</v>
      </c>
      <c r="V10" s="133" t="str">
        <f>IF($A10&lt;&gt;0,VLOOKUP($A10,'0.Productos'!$A$3:$GG$587,'0.Productos'!BN$1+1,0),"")</f>
        <v>NO</v>
      </c>
      <c r="W10" s="133" t="str">
        <f>IF($A10&lt;&gt;0,VLOOKUP($A10,'0.Productos'!$A$3:$GG$587,'0.Productos'!BO$1+1,0),"")</f>
        <v>SI</v>
      </c>
      <c r="X10" s="133" t="str">
        <f>IF($A10&lt;&gt;0,VLOOKUP($A10,'0.Productos'!$A$3:$GG$587,'0.Productos'!BP$1+1,0),"")</f>
        <v>NO</v>
      </c>
      <c r="Y10" s="133" t="str">
        <f>IF($A10&lt;&gt;0,VLOOKUP($A10,'0.Productos'!$A$3:$GG$587,'0.Productos'!BQ$1+1,0),"")</f>
        <v>NO</v>
      </c>
      <c r="Z10" s="133" t="str">
        <f>IF($A10&lt;&gt;0,VLOOKUP($A10,'0.Productos'!$A$3:$GG$587,'0.Productos'!BR$1+1,0),"")</f>
        <v>NO</v>
      </c>
      <c r="AA10" s="133" t="str">
        <f>IF($A10&lt;&gt;0,VLOOKUP($A10,'0.Productos'!$A$3:$GG$587,'0.Productos'!BS$1+1,0),"")</f>
        <v>SI</v>
      </c>
      <c r="AB10" s="133" t="str">
        <f>IF($A10&lt;&gt;0,VLOOKUP($A10,'0.Productos'!$A$3:$GG$587,'0.Productos'!BT$1+1,0),"")</f>
        <v>SI</v>
      </c>
      <c r="AC10" s="133" t="str">
        <f>IF($A10&lt;&gt;0,VLOOKUP($A10,'0.Productos'!$A$3:$GG$587,'0.Productos'!BU$1+1,0),"")</f>
        <v>SI</v>
      </c>
      <c r="AD10" s="133" t="str">
        <f>IF($A10&lt;&gt;0,VLOOKUP($A10,'0.Productos'!$A$3:$GG$587,'0.Productos'!BV$1+1,0),"")</f>
        <v>SI</v>
      </c>
      <c r="AE10" s="133" t="str">
        <f>IF($A10&lt;&gt;0,VLOOKUP($A10,'0.Productos'!$A$3:$GG$587,'0.Productos'!BW$1+1,0),"")</f>
        <v>SI</v>
      </c>
      <c r="AF10" s="133" t="str">
        <f>IF($A10&lt;&gt;0,VLOOKUP($A10,'0.Productos'!$A$3:$GG$587,'0.Productos'!BX$1+1,0),"")</f>
        <v>SI</v>
      </c>
      <c r="AG10" s="133" t="str">
        <f>IF($A10&lt;&gt;0,VLOOKUP($A10,'0.Productos'!$A$3:$GG$587,'0.Productos'!BY$1+1,0),"")</f>
        <v>SI</v>
      </c>
      <c r="AH10" s="133" t="str">
        <f>IF($A10&lt;&gt;0,VLOOKUP($A10,'0.Productos'!$A$3:$GG$587,'0.Productos'!BZ$1+1,0),"")</f>
        <v>NO</v>
      </c>
      <c r="AI10" s="133" t="str">
        <f>IF($A10&lt;&gt;0,VLOOKUP($A10,'0.Productos'!$A$3:$GG$587,'0.Productos'!CA$1+1,0),"")</f>
        <v>SI</v>
      </c>
      <c r="AJ10" s="133" t="str">
        <f>IF($A10&lt;&gt;0,VLOOKUP($A10,'0.Productos'!$A$3:$GG$587,'0.Productos'!CB$1+1,0),"")</f>
        <v>SI</v>
      </c>
      <c r="AK10" s="133" t="str">
        <f>IF($A10&lt;&gt;0,VLOOKUP($A10,'0.Productos'!$A$3:$GG$587,'0.Productos'!CC$1+1,0),"")</f>
        <v>SI</v>
      </c>
      <c r="AL10" s="133" t="str">
        <f>IF($A10&lt;&gt;0,VLOOKUP($A10,'0.Productos'!$A$3:$GG$587,'0.Productos'!CD$1+1,0),"")</f>
        <v>SI</v>
      </c>
      <c r="AM10" s="133" t="str">
        <f>IF($A10&lt;&gt;0,VLOOKUP($A10,'0.Productos'!$A$3:$GG$587,'0.Productos'!CE$1+1,0),"")</f>
        <v>SI</v>
      </c>
      <c r="AN10" s="133" t="str">
        <f>IF($A10&lt;&gt;0,VLOOKUP($A10,'0.Productos'!$A$3:$GG$587,'0.Productos'!CF$1+1,0),"")</f>
        <v>SI</v>
      </c>
      <c r="AO10" s="133" t="str">
        <f>IF($A10&lt;&gt;0,VLOOKUP($A10,'0.Productos'!$A$3:$GG$587,'0.Productos'!CG$1+1,0),"")</f>
        <v>NO</v>
      </c>
      <c r="AP10" s="133" t="str">
        <f>IF($A10&lt;&gt;0,VLOOKUP($A10,'0.Productos'!$A$3:$GG$587,'0.Productos'!CH$1+1,0),"")</f>
        <v>SI</v>
      </c>
      <c r="AQ10" s="133" t="str">
        <f>IF($A10&lt;&gt;0,VLOOKUP($A10,'0.Productos'!$A$3:$GG$587,'0.Productos'!CI$1+1,0),"")</f>
        <v>SI</v>
      </c>
      <c r="AR10" s="133" t="str">
        <f>IF($A10&lt;&gt;0,VLOOKUP($A10,'0.Productos'!$A$3:$GG$587,'0.Productos'!CJ$1+1,0),"")</f>
        <v>NO</v>
      </c>
      <c r="AS10" s="133" t="str">
        <f>IF($A10&lt;&gt;0,VLOOKUP($A10,'0.Productos'!$A$3:$GG$587,'0.Productos'!CK$1+1,0),"")</f>
        <v>NO</v>
      </c>
      <c r="AT10" s="133" t="str">
        <f>IF($A10&lt;&gt;0,VLOOKUP($A10,'0.Productos'!$A$3:$GG$587,'0.Productos'!CL$1+1,0),"")</f>
        <v>SI</v>
      </c>
      <c r="AU10" s="133" t="str">
        <f>IF($A10&lt;&gt;0,VLOOKUP($A10,'0.Productos'!$A$3:$GG$587,'0.Productos'!CM$1+1,0),"")</f>
        <v>NO</v>
      </c>
      <c r="AV10" s="133" t="str">
        <f>IF($A10&lt;&gt;0,VLOOKUP($A10,'0.Productos'!$A$3:$GG$587,'0.Productos'!CN$1+1,0),"")</f>
        <v>NO</v>
      </c>
      <c r="AW10" s="133" t="str">
        <f>IF($A10&lt;&gt;0,VLOOKUP($A10,'0.Productos'!$A$3:$GG$587,'0.Productos'!CO$1+1,0),"")</f>
        <v>NO</v>
      </c>
      <c r="AX10" s="133" t="str">
        <f>IF($A10&lt;&gt;0,VLOOKUP($A10,'0.Productos'!$A$3:$GG$587,'0.Productos'!CP$1+1,0),"")</f>
        <v>NO</v>
      </c>
      <c r="AY10" s="133" t="str">
        <f>IF($A10&lt;&gt;0,VLOOKUP($A10,'0.Productos'!$A$3:$GG$587,'0.Productos'!CQ$1+1,0),"")</f>
        <v>SI</v>
      </c>
      <c r="AZ10" s="133" t="str">
        <f>IF($A10&lt;&gt;0,VLOOKUP($A10,'0.Productos'!$A$3:$GG$587,'0.Productos'!CR$1+1,0),"")</f>
        <v>SI</v>
      </c>
      <c r="BA10" s="133" t="str">
        <f>IF($A10&lt;&gt;0,VLOOKUP($A10,'0.Productos'!$A$3:$GG$587,'0.Productos'!CS$1+1,0),"")</f>
        <v>NO</v>
      </c>
      <c r="BB10" s="133" t="str">
        <f>IF($A10&lt;&gt;0,VLOOKUP($A10,'0.Productos'!$A$3:$GG$587,'0.Productos'!CT$1+1,0),"")</f>
        <v>NO</v>
      </c>
      <c r="BC10" s="133" t="str">
        <f>IF($A10&lt;&gt;0,VLOOKUP($A10,'0.Productos'!$A$3:$GG$587,'0.Productos'!CU$1+1,0),"")</f>
        <v>SI</v>
      </c>
      <c r="BD10" s="133" t="str">
        <f>IF($A10&lt;&gt;0,VLOOKUP($A10,'0.Productos'!$A$3:$GG$587,'0.Productos'!CV$1+1,0),"")</f>
        <v>NO</v>
      </c>
      <c r="BE10" s="133" t="str">
        <f>IF($A10&lt;&gt;0,VLOOKUP($A10,'0.Productos'!$A$3:$GG$587,'0.Productos'!CW$1+1,0),"")</f>
        <v>NO</v>
      </c>
      <c r="BF10" s="133" t="str">
        <f>IF($A10&lt;&gt;0,VLOOKUP($A10,'0.Productos'!$A$3:$GG$587,'0.Productos'!CX$1+1,0),"")</f>
        <v>SI</v>
      </c>
      <c r="BG10" s="133" t="str">
        <f>IF($A10&lt;&gt;0,VLOOKUP($A10,'0.Productos'!$A$3:$GG$587,'0.Productos'!CY$1+1,0),"")</f>
        <v>NO</v>
      </c>
      <c r="BH10" s="133" t="str">
        <f>IF($A10&lt;&gt;0,VLOOKUP($A10,'0.Productos'!$A$3:$GG$587,'0.Productos'!CZ$1+1,0),"")</f>
        <v>SI</v>
      </c>
      <c r="BI10" s="133" t="str">
        <f>IF($A10&lt;&gt;0,VLOOKUP($A10,'0.Productos'!$A$3:$GG$587,'0.Productos'!DA$1+1,0),"")</f>
        <v>NO</v>
      </c>
      <c r="BJ10" s="133" t="str">
        <f>IF($A10&lt;&gt;0,VLOOKUP($A10,'0.Productos'!$A$3:$GG$587,'0.Productos'!DB$1+1,0),"")</f>
        <v>NO</v>
      </c>
      <c r="BK10" s="133" t="str">
        <f>IF($A10&lt;&gt;0,VLOOKUP($A10,'0.Productos'!$A$3:$GG$587,'0.Productos'!DC$1+1,0),"")</f>
        <v>SI</v>
      </c>
      <c r="BL10" s="133" t="str">
        <f>IF($A10&lt;&gt;0,VLOOKUP($A10,'0.Productos'!$A$3:$GG$587,'0.Productos'!DD$1+1,0),"")</f>
        <v>NO</v>
      </c>
      <c r="BM10" s="133" t="str">
        <f>IF($A10&lt;&gt;0,VLOOKUP($A10,'0.Productos'!$A$3:$GG$587,'0.Productos'!DE$1+1,0),"")</f>
        <v>SI</v>
      </c>
      <c r="BN10" s="133" t="str">
        <f>IF($A10&lt;&gt;0,VLOOKUP($A10,'0.Productos'!$A$3:$GG$587,'0.Productos'!DF$1+1,0),"")</f>
        <v>SI</v>
      </c>
      <c r="BO10" s="133" t="str">
        <f>IF($A10&lt;&gt;0,VLOOKUP($A10,'0.Productos'!$A$3:$GG$587,'0.Productos'!DG$1+1,0),"")</f>
        <v>NO</v>
      </c>
      <c r="BP10" s="133" t="str">
        <f>IF($A10&lt;&gt;0,VLOOKUP($A10,'0.Productos'!$A$3:$GG$587,'0.Productos'!DH$1+1,0),"")</f>
        <v>NO</v>
      </c>
      <c r="BQ10" s="133" t="str">
        <f>IF($A10&lt;&gt;0,VLOOKUP($A10,'0.Productos'!$A$3:$GG$587,'0.Productos'!DI$1+1,0),"")</f>
        <v>NO</v>
      </c>
      <c r="BR10" s="133" t="str">
        <f>IF($A10&lt;&gt;0,VLOOKUP($A10,'0.Productos'!$A$3:$GG$587,'0.Productos'!DJ$1+1,0),"")</f>
        <v>NO</v>
      </c>
      <c r="BS10" s="133" t="str">
        <f>IF($A10&lt;&gt;0,VLOOKUP($A10,'0.Productos'!$A$3:$GG$587,'0.Productos'!DK$1+1,0),"")</f>
        <v>SI</v>
      </c>
      <c r="BT10" s="133" t="str">
        <f>IF($A10&lt;&gt;0,VLOOKUP($A10,'0.Productos'!$A$3:$GG$587,'0.Productos'!DL$1+1,0),"")</f>
        <v>SI</v>
      </c>
    </row>
    <row r="11" spans="1:72" x14ac:dyDescent="0.25">
      <c r="A11" s="17" t="str">
        <f>'0.Consolidado general'!A11</f>
        <v>E001013021003</v>
      </c>
      <c r="B11" s="133">
        <f>IF($A11&lt;&gt;0,VLOOKUP($A11,'0.Productos'!$A$3:$GG$587,'0.Productos'!AT$1+1,0),"")</f>
        <v>12</v>
      </c>
      <c r="C11" s="133">
        <f>IF($A11&lt;&gt;0,VLOOKUP($A11,'0.Productos'!$A$3:$GG$587,'0.Productos'!AU$1+1,0),"")</f>
        <v>2</v>
      </c>
      <c r="D11" s="133">
        <f>IF($A11&lt;&gt;0,VLOOKUP($A11,'0.Productos'!$A$3:$GG$587,'0.Productos'!AV$1+1,0),"")</f>
        <v>5000</v>
      </c>
      <c r="E11" s="133">
        <f>IF($A11&lt;&gt;0,VLOOKUP($A11,'0.Productos'!$A$3:$GG$587,'0.Productos'!AW$1+1,0),"")</f>
        <v>15000</v>
      </c>
      <c r="F11" s="133">
        <f>IF($A11&lt;&gt;0,VLOOKUP($A11,'0.Productos'!$A$3:$GG$587,'0.Productos'!AX$1+1,0),"")</f>
        <v>1</v>
      </c>
      <c r="G11" s="133">
        <f>IF($A11&lt;&gt;0,VLOOKUP($A11,'0.Productos'!$A$3:$GG$587,'0.Productos'!AY$1+1,0),"")</f>
        <v>3</v>
      </c>
      <c r="H11" s="133" t="str">
        <f>IF($A11&lt;&gt;0,VLOOKUP($A11,'0.Productos'!$A$3:$GG$587,'0.Productos'!AZ$1+1,0),"")</f>
        <v>SI</v>
      </c>
      <c r="I11" s="133">
        <f>IF($A11&lt;&gt;0,VLOOKUP($A11,'0.Productos'!$A$3:$GG$587,'0.Productos'!BA$1+1,0),"")</f>
        <v>1</v>
      </c>
      <c r="J11" s="133">
        <f>IF($A11&lt;&gt;0,VLOOKUP($A11,'0.Productos'!$A$3:$GG$587,'0.Productos'!BB$1+1,0),"")</f>
        <v>0</v>
      </c>
      <c r="K11" s="133" t="str">
        <f>IF($A11&lt;&gt;0,VLOOKUP($A11,'0.Productos'!$A$3:$GG$587,'0.Productos'!BC$1+1,0),"")</f>
        <v>NO</v>
      </c>
      <c r="L11" s="133" t="str">
        <f>IF($A11&lt;&gt;0,VLOOKUP($A11,'0.Productos'!$A$3:$GG$587,'0.Productos'!BD$1+1,0),"")</f>
        <v>SI</v>
      </c>
      <c r="M11" s="133" t="str">
        <f>IF($A11&lt;&gt;0,VLOOKUP($A11,'0.Productos'!$A$3:$GG$587,'0.Productos'!BE$1+1,0),"")</f>
        <v>NO</v>
      </c>
      <c r="N11" s="133" t="str">
        <f>IF($A11&lt;&gt;0,VLOOKUP($A11,'0.Productos'!$A$3:$GG$587,'0.Productos'!BF$1+1,0),"")</f>
        <v>NO</v>
      </c>
      <c r="O11" s="133" t="str">
        <f>IF($A11&lt;&gt;0,VLOOKUP($A11,'0.Productos'!$A$3:$GG$587,'0.Productos'!BG$1+1,0),"")</f>
        <v>NO</v>
      </c>
      <c r="P11" s="133" t="str">
        <f>IF($A11&lt;&gt;0,VLOOKUP($A11,'0.Productos'!$A$3:$GG$587,'0.Productos'!BH$1+1,0),"")</f>
        <v>NO</v>
      </c>
      <c r="Q11" s="133" t="str">
        <f>IF($A11&lt;&gt;0,VLOOKUP($A11,'0.Productos'!$A$3:$GG$587,'0.Productos'!BI$1+1,0),"")</f>
        <v>NO</v>
      </c>
      <c r="R11" s="133" t="str">
        <f>IF($A11&lt;&gt;0,VLOOKUP($A11,'0.Productos'!$A$3:$GG$587,'0.Productos'!BJ$1+1,0),"")</f>
        <v>SI</v>
      </c>
      <c r="S11" s="133" t="str">
        <f>IF($A11&lt;&gt;0,VLOOKUP($A11,'0.Productos'!$A$3:$GG$587,'0.Productos'!BK$1+1,0),"")</f>
        <v>NO</v>
      </c>
      <c r="T11" s="133" t="str">
        <f>IF($A11&lt;&gt;0,VLOOKUP($A11,'0.Productos'!$A$3:$GG$587,'0.Productos'!BL$1+1,0),"")</f>
        <v>SI</v>
      </c>
      <c r="U11" s="133" t="str">
        <f>IF($A11&lt;&gt;0,VLOOKUP($A11,'0.Productos'!$A$3:$GG$587,'0.Productos'!BM$1+1,0),"")</f>
        <v>SI</v>
      </c>
      <c r="V11" s="133" t="str">
        <f>IF($A11&lt;&gt;0,VLOOKUP($A11,'0.Productos'!$A$3:$GG$587,'0.Productos'!BN$1+1,0),"")</f>
        <v>NO</v>
      </c>
      <c r="W11" s="133" t="str">
        <f>IF($A11&lt;&gt;0,VLOOKUP($A11,'0.Productos'!$A$3:$GG$587,'0.Productos'!BO$1+1,0),"")</f>
        <v>SI</v>
      </c>
      <c r="X11" s="133" t="str">
        <f>IF($A11&lt;&gt;0,VLOOKUP($A11,'0.Productos'!$A$3:$GG$587,'0.Productos'!BP$1+1,0),"")</f>
        <v>SI</v>
      </c>
      <c r="Y11" s="133" t="str">
        <f>IF($A11&lt;&gt;0,VLOOKUP($A11,'0.Productos'!$A$3:$GG$587,'0.Productos'!BQ$1+1,0),"")</f>
        <v>NO</v>
      </c>
      <c r="Z11" s="133" t="str">
        <f>IF($A11&lt;&gt;0,VLOOKUP($A11,'0.Productos'!$A$3:$GG$587,'0.Productos'!BR$1+1,0),"")</f>
        <v>NO</v>
      </c>
      <c r="AA11" s="133" t="str">
        <f>IF($A11&lt;&gt;0,VLOOKUP($A11,'0.Productos'!$A$3:$GG$587,'0.Productos'!BS$1+1,0),"")</f>
        <v>SI</v>
      </c>
      <c r="AB11" s="133" t="str">
        <f>IF($A11&lt;&gt;0,VLOOKUP($A11,'0.Productos'!$A$3:$GG$587,'0.Productos'!BT$1+1,0),"")</f>
        <v>NO</v>
      </c>
      <c r="AC11" s="133" t="str">
        <f>IF($A11&lt;&gt;0,VLOOKUP($A11,'0.Productos'!$A$3:$GG$587,'0.Productos'!BU$1+1,0),"")</f>
        <v>NO</v>
      </c>
      <c r="AD11" s="133" t="str">
        <f>IF($A11&lt;&gt;0,VLOOKUP($A11,'0.Productos'!$A$3:$GG$587,'0.Productos'!BV$1+1,0),"")</f>
        <v>SI</v>
      </c>
      <c r="AE11" s="133" t="str">
        <f>IF($A11&lt;&gt;0,VLOOKUP($A11,'0.Productos'!$A$3:$GG$587,'0.Productos'!BW$1+1,0),"")</f>
        <v>SI</v>
      </c>
      <c r="AF11" s="133" t="str">
        <f>IF($A11&lt;&gt;0,VLOOKUP($A11,'0.Productos'!$A$3:$GG$587,'0.Productos'!BX$1+1,0),"")</f>
        <v>NO</v>
      </c>
      <c r="AG11" s="133" t="str">
        <f>IF($A11&lt;&gt;0,VLOOKUP($A11,'0.Productos'!$A$3:$GG$587,'0.Productos'!BY$1+1,0),"")</f>
        <v>NO</v>
      </c>
      <c r="AH11" s="133" t="str">
        <f>IF($A11&lt;&gt;0,VLOOKUP($A11,'0.Productos'!$A$3:$GG$587,'0.Productos'!BZ$1+1,0),"")</f>
        <v>SI</v>
      </c>
      <c r="AI11" s="133" t="str">
        <f>IF($A11&lt;&gt;0,VLOOKUP($A11,'0.Productos'!$A$3:$GG$587,'0.Productos'!CA$1+1,0),"")</f>
        <v>NO</v>
      </c>
      <c r="AJ11" s="133" t="str">
        <f>IF($A11&lt;&gt;0,VLOOKUP($A11,'0.Productos'!$A$3:$GG$587,'0.Productos'!CB$1+1,0),"")</f>
        <v>NO</v>
      </c>
      <c r="AK11" s="133" t="str">
        <f>IF($A11&lt;&gt;0,VLOOKUP($A11,'0.Productos'!$A$3:$GG$587,'0.Productos'!CC$1+1,0),"")</f>
        <v>NO</v>
      </c>
      <c r="AL11" s="133" t="str">
        <f>IF($A11&lt;&gt;0,VLOOKUP($A11,'0.Productos'!$A$3:$GG$587,'0.Productos'!CD$1+1,0),"")</f>
        <v>NO</v>
      </c>
      <c r="AM11" s="133" t="str">
        <f>IF($A11&lt;&gt;0,VLOOKUP($A11,'0.Productos'!$A$3:$GG$587,'0.Productos'!CE$1+1,0),"")</f>
        <v>SI</v>
      </c>
      <c r="AN11" s="133" t="str">
        <f>IF($A11&lt;&gt;0,VLOOKUP($A11,'0.Productos'!$A$3:$GG$587,'0.Productos'!CF$1+1,0),"")</f>
        <v>SI</v>
      </c>
      <c r="AO11" s="133" t="str">
        <f>IF($A11&lt;&gt;0,VLOOKUP($A11,'0.Productos'!$A$3:$GG$587,'0.Productos'!CG$1+1,0),"")</f>
        <v>NO</v>
      </c>
      <c r="AP11" s="133" t="str">
        <f>IF($A11&lt;&gt;0,VLOOKUP($A11,'0.Productos'!$A$3:$GG$587,'0.Productos'!CH$1+1,0),"")</f>
        <v>NO</v>
      </c>
      <c r="AQ11" s="133" t="str">
        <f>IF($A11&lt;&gt;0,VLOOKUP($A11,'0.Productos'!$A$3:$GG$587,'0.Productos'!CI$1+1,0),"")</f>
        <v>SI</v>
      </c>
      <c r="AR11" s="133" t="str">
        <f>IF($A11&lt;&gt;0,VLOOKUP($A11,'0.Productos'!$A$3:$GG$587,'0.Productos'!CJ$1+1,0),"")</f>
        <v>NO</v>
      </c>
      <c r="AS11" s="133" t="str">
        <f>IF($A11&lt;&gt;0,VLOOKUP($A11,'0.Productos'!$A$3:$GG$587,'0.Productos'!CK$1+1,0),"")</f>
        <v>SI</v>
      </c>
      <c r="AT11" s="133" t="str">
        <f>IF($A11&lt;&gt;0,VLOOKUP($A11,'0.Productos'!$A$3:$GG$587,'0.Productos'!CL$1+1,0),"")</f>
        <v>SI</v>
      </c>
      <c r="AU11" s="133" t="str">
        <f>IF($A11&lt;&gt;0,VLOOKUP($A11,'0.Productos'!$A$3:$GG$587,'0.Productos'!CM$1+1,0),"")</f>
        <v>SI</v>
      </c>
      <c r="AV11" s="133" t="str">
        <f>IF($A11&lt;&gt;0,VLOOKUP($A11,'0.Productos'!$A$3:$GG$587,'0.Productos'!CN$1+1,0),"")</f>
        <v>NO</v>
      </c>
      <c r="AW11" s="133" t="str">
        <f>IF($A11&lt;&gt;0,VLOOKUP($A11,'0.Productos'!$A$3:$GG$587,'0.Productos'!CO$1+1,0),"")</f>
        <v>NO</v>
      </c>
      <c r="AX11" s="133" t="str">
        <f>IF($A11&lt;&gt;0,VLOOKUP($A11,'0.Productos'!$A$3:$GG$587,'0.Productos'!CP$1+1,0),"")</f>
        <v>SI</v>
      </c>
      <c r="AY11" s="133" t="str">
        <f>IF($A11&lt;&gt;0,VLOOKUP($A11,'0.Productos'!$A$3:$GG$587,'0.Productos'!CQ$1+1,0),"")</f>
        <v>SI</v>
      </c>
      <c r="AZ11" s="133" t="str">
        <f>IF($A11&lt;&gt;0,VLOOKUP($A11,'0.Productos'!$A$3:$GG$587,'0.Productos'!CR$1+1,0),"")</f>
        <v>SI</v>
      </c>
      <c r="BA11" s="133" t="str">
        <f>IF($A11&lt;&gt;0,VLOOKUP($A11,'0.Productos'!$A$3:$GG$587,'0.Productos'!CS$1+1,0),"")</f>
        <v>SI</v>
      </c>
      <c r="BB11" s="133" t="str">
        <f>IF($A11&lt;&gt;0,VLOOKUP($A11,'0.Productos'!$A$3:$GG$587,'0.Productos'!CT$1+1,0),"")</f>
        <v>SI</v>
      </c>
      <c r="BC11" s="133" t="str">
        <f>IF($A11&lt;&gt;0,VLOOKUP($A11,'0.Productos'!$A$3:$GG$587,'0.Productos'!CU$1+1,0),"")</f>
        <v>SI</v>
      </c>
      <c r="BD11" s="133" t="str">
        <f>IF($A11&lt;&gt;0,VLOOKUP($A11,'0.Productos'!$A$3:$GG$587,'0.Productos'!CV$1+1,0),"")</f>
        <v>SI</v>
      </c>
      <c r="BE11" s="133" t="str">
        <f>IF($A11&lt;&gt;0,VLOOKUP($A11,'0.Productos'!$A$3:$GG$587,'0.Productos'!CW$1+1,0),"")</f>
        <v>NO</v>
      </c>
      <c r="BF11" s="133" t="str">
        <f>IF($A11&lt;&gt;0,VLOOKUP($A11,'0.Productos'!$A$3:$GG$587,'0.Productos'!CX$1+1,0),"")</f>
        <v>SI</v>
      </c>
      <c r="BG11" s="133" t="str">
        <f>IF($A11&lt;&gt;0,VLOOKUP($A11,'0.Productos'!$A$3:$GG$587,'0.Productos'!CY$1+1,0),"")</f>
        <v>NO</v>
      </c>
      <c r="BH11" s="133" t="str">
        <f>IF($A11&lt;&gt;0,VLOOKUP($A11,'0.Productos'!$A$3:$GG$587,'0.Productos'!CZ$1+1,0),"")</f>
        <v>SI</v>
      </c>
      <c r="BI11" s="133" t="str">
        <f>IF($A11&lt;&gt;0,VLOOKUP($A11,'0.Productos'!$A$3:$GG$587,'0.Productos'!DA$1+1,0),"")</f>
        <v>NO</v>
      </c>
      <c r="BJ11" s="133" t="str">
        <f>IF($A11&lt;&gt;0,VLOOKUP($A11,'0.Productos'!$A$3:$GG$587,'0.Productos'!DB$1+1,0),"")</f>
        <v>SI</v>
      </c>
      <c r="BK11" s="133" t="str">
        <f>IF($A11&lt;&gt;0,VLOOKUP($A11,'0.Productos'!$A$3:$GG$587,'0.Productos'!DC$1+1,0),"")</f>
        <v>SI</v>
      </c>
      <c r="BL11" s="133" t="str">
        <f>IF($A11&lt;&gt;0,VLOOKUP($A11,'0.Productos'!$A$3:$GG$587,'0.Productos'!DD$1+1,0),"")</f>
        <v>NO</v>
      </c>
      <c r="BM11" s="133" t="str">
        <f>IF($A11&lt;&gt;0,VLOOKUP($A11,'0.Productos'!$A$3:$GG$587,'0.Productos'!DE$1+1,0),"")</f>
        <v>SI</v>
      </c>
      <c r="BN11" s="133" t="str">
        <f>IF($A11&lt;&gt;0,VLOOKUP($A11,'0.Productos'!$A$3:$GG$587,'0.Productos'!DF$1+1,0),"")</f>
        <v>SI</v>
      </c>
      <c r="BO11" s="133" t="str">
        <f>IF($A11&lt;&gt;0,VLOOKUP($A11,'0.Productos'!$A$3:$GG$587,'0.Productos'!DG$1+1,0),"")</f>
        <v>NO</v>
      </c>
      <c r="BP11" s="133" t="str">
        <f>IF($A11&lt;&gt;0,VLOOKUP($A11,'0.Productos'!$A$3:$GG$587,'0.Productos'!DH$1+1,0),"")</f>
        <v>SI</v>
      </c>
      <c r="BQ11" s="133" t="str">
        <f>IF($A11&lt;&gt;0,VLOOKUP($A11,'0.Productos'!$A$3:$GG$587,'0.Productos'!DI$1+1,0),"")</f>
        <v>SI</v>
      </c>
      <c r="BR11" s="133" t="str">
        <f>IF($A11&lt;&gt;0,VLOOKUP($A11,'0.Productos'!$A$3:$GG$587,'0.Productos'!DJ$1+1,0),"")</f>
        <v>SI</v>
      </c>
      <c r="BS11" s="133" t="str">
        <f>IF($A11&lt;&gt;0,VLOOKUP($A11,'0.Productos'!$A$3:$GG$587,'0.Productos'!DK$1+1,0),"")</f>
        <v>NO</v>
      </c>
      <c r="BT11" s="133" t="str">
        <f>IF($A11&lt;&gt;0,VLOOKUP($A11,'0.Productos'!$A$3:$GG$587,'0.Productos'!DL$1+1,0),"")</f>
        <v>NO</v>
      </c>
    </row>
    <row r="12" spans="1:72" x14ac:dyDescent="0.25">
      <c r="A12" s="17" t="str">
        <f>'0.Consolidado general'!A12</f>
        <v>E001013021004</v>
      </c>
      <c r="B12" s="133">
        <f>IF($A12&lt;&gt;0,VLOOKUP($A12,'0.Productos'!$A$3:$GG$587,'0.Productos'!AT$1+1,0),"")</f>
        <v>4</v>
      </c>
      <c r="C12" s="133">
        <f>IF($A12&lt;&gt;0,VLOOKUP($A12,'0.Productos'!$A$3:$GG$587,'0.Productos'!AU$1+1,0),"")</f>
        <v>6</v>
      </c>
      <c r="D12" s="133">
        <f>IF($A12&lt;&gt;0,VLOOKUP($A12,'0.Productos'!$A$3:$GG$587,'0.Productos'!AV$1+1,0),"")</f>
        <v>10000</v>
      </c>
      <c r="E12" s="133">
        <f>IF($A12&lt;&gt;0,VLOOKUP($A12,'0.Productos'!$A$3:$GG$587,'0.Productos'!AW$1+1,0),"")</f>
        <v>10000</v>
      </c>
      <c r="F12" s="133">
        <f>IF($A12&lt;&gt;0,VLOOKUP($A12,'0.Productos'!$A$3:$GG$587,'0.Productos'!AX$1+1,0),"")</f>
        <v>6</v>
      </c>
      <c r="G12" s="133">
        <f>IF($A12&lt;&gt;0,VLOOKUP($A12,'0.Productos'!$A$3:$GG$587,'0.Productos'!AY$1+1,0),"")</f>
        <v>8</v>
      </c>
      <c r="H12" s="133" t="str">
        <f>IF($A12&lt;&gt;0,VLOOKUP($A12,'0.Productos'!$A$3:$GG$587,'0.Productos'!AZ$1+1,0),"")</f>
        <v>NO</v>
      </c>
      <c r="I12" s="133">
        <f>IF($A12&lt;&gt;0,VLOOKUP($A12,'0.Productos'!$A$3:$GG$587,'0.Productos'!BA$1+1,0),"")</f>
        <v>2</v>
      </c>
      <c r="J12" s="133">
        <f>IF($A12&lt;&gt;0,VLOOKUP($A12,'0.Productos'!$A$3:$GG$587,'0.Productos'!BB$1+1,0),"")</f>
        <v>0</v>
      </c>
      <c r="K12" s="133" t="str">
        <f>IF($A12&lt;&gt;0,VLOOKUP($A12,'0.Productos'!$A$3:$GG$587,'0.Productos'!BC$1+1,0),"")</f>
        <v>NO</v>
      </c>
      <c r="L12" s="133" t="str">
        <f>IF($A12&lt;&gt;0,VLOOKUP($A12,'0.Productos'!$A$3:$GG$587,'0.Productos'!BD$1+1,0),"")</f>
        <v>SI</v>
      </c>
      <c r="M12" s="133" t="str">
        <f>IF($A12&lt;&gt;0,VLOOKUP($A12,'0.Productos'!$A$3:$GG$587,'0.Productos'!BE$1+1,0),"")</f>
        <v>NO</v>
      </c>
      <c r="N12" s="133" t="str">
        <f>IF($A12&lt;&gt;0,VLOOKUP($A12,'0.Productos'!$A$3:$GG$587,'0.Productos'!BF$1+1,0),"")</f>
        <v>NO</v>
      </c>
      <c r="O12" s="133" t="str">
        <f>IF($A12&lt;&gt;0,VLOOKUP($A12,'0.Productos'!$A$3:$GG$587,'0.Productos'!BG$1+1,0),"")</f>
        <v>SI</v>
      </c>
      <c r="P12" s="133" t="str">
        <f>IF($A12&lt;&gt;0,VLOOKUP($A12,'0.Productos'!$A$3:$GG$587,'0.Productos'!BH$1+1,0),"")</f>
        <v>SI</v>
      </c>
      <c r="Q12" s="133" t="str">
        <f>IF($A12&lt;&gt;0,VLOOKUP($A12,'0.Productos'!$A$3:$GG$587,'0.Productos'!BI$1+1,0),"")</f>
        <v>SI</v>
      </c>
      <c r="R12" s="133" t="str">
        <f>IF($A12&lt;&gt;0,VLOOKUP($A12,'0.Productos'!$A$3:$GG$587,'0.Productos'!BJ$1+1,0),"")</f>
        <v>SI</v>
      </c>
      <c r="S12" s="133" t="str">
        <f>IF($A12&lt;&gt;0,VLOOKUP($A12,'0.Productos'!$A$3:$GG$587,'0.Productos'!BK$1+1,0),"")</f>
        <v>NO</v>
      </c>
      <c r="T12" s="133" t="str">
        <f>IF($A12&lt;&gt;0,VLOOKUP($A12,'0.Productos'!$A$3:$GG$587,'0.Productos'!BL$1+1,0),"")</f>
        <v>SI</v>
      </c>
      <c r="U12" s="133" t="str">
        <f>IF($A12&lt;&gt;0,VLOOKUP($A12,'0.Productos'!$A$3:$GG$587,'0.Productos'!BM$1+1,0),"")</f>
        <v>SI</v>
      </c>
      <c r="V12" s="133" t="str">
        <f>IF($A12&lt;&gt;0,VLOOKUP($A12,'0.Productos'!$A$3:$GG$587,'0.Productos'!BN$1+1,0),"")</f>
        <v>NO</v>
      </c>
      <c r="W12" s="133" t="str">
        <f>IF($A12&lt;&gt;0,VLOOKUP($A12,'0.Productos'!$A$3:$GG$587,'0.Productos'!BO$1+1,0),"")</f>
        <v>SI</v>
      </c>
      <c r="X12" s="133" t="str">
        <f>IF($A12&lt;&gt;0,VLOOKUP($A12,'0.Productos'!$A$3:$GG$587,'0.Productos'!BP$1+1,0),"")</f>
        <v>SI</v>
      </c>
      <c r="Y12" s="133" t="str">
        <f>IF($A12&lt;&gt;0,VLOOKUP($A12,'0.Productos'!$A$3:$GG$587,'0.Productos'!BQ$1+1,0),"")</f>
        <v>NO</v>
      </c>
      <c r="Z12" s="133" t="str">
        <f>IF($A12&lt;&gt;0,VLOOKUP($A12,'0.Productos'!$A$3:$GG$587,'0.Productos'!BR$1+1,0),"")</f>
        <v>SI</v>
      </c>
      <c r="AA12" s="133" t="str">
        <f>IF($A12&lt;&gt;0,VLOOKUP($A12,'0.Productos'!$A$3:$GG$587,'0.Productos'!BS$1+1,0),"")</f>
        <v>SI</v>
      </c>
      <c r="AB12" s="133" t="str">
        <f>IF($A12&lt;&gt;0,VLOOKUP($A12,'0.Productos'!$A$3:$GG$587,'0.Productos'!BT$1+1,0),"")</f>
        <v>SI</v>
      </c>
      <c r="AC12" s="133" t="str">
        <f>IF($A12&lt;&gt;0,VLOOKUP($A12,'0.Productos'!$A$3:$GG$587,'0.Productos'!BU$1+1,0),"")</f>
        <v>SI</v>
      </c>
      <c r="AD12" s="133" t="str">
        <f>IF($A12&lt;&gt;0,VLOOKUP($A12,'0.Productos'!$A$3:$GG$587,'0.Productos'!BV$1+1,0),"")</f>
        <v>NO</v>
      </c>
      <c r="AE12" s="133" t="str">
        <f>IF($A12&lt;&gt;0,VLOOKUP($A12,'0.Productos'!$A$3:$GG$587,'0.Productos'!BW$1+1,0),"")</f>
        <v>SI</v>
      </c>
      <c r="AF12" s="133" t="str">
        <f>IF($A12&lt;&gt;0,VLOOKUP($A12,'0.Productos'!$A$3:$GG$587,'0.Productos'!BX$1+1,0),"")</f>
        <v>NO</v>
      </c>
      <c r="AG12" s="133" t="str">
        <f>IF($A12&lt;&gt;0,VLOOKUP($A12,'0.Productos'!$A$3:$GG$587,'0.Productos'!BY$1+1,0),"")</f>
        <v>NO</v>
      </c>
      <c r="AH12" s="133" t="str">
        <f>IF($A12&lt;&gt;0,VLOOKUP($A12,'0.Productos'!$A$3:$GG$587,'0.Productos'!BZ$1+1,0),"")</f>
        <v>SI</v>
      </c>
      <c r="AI12" s="133" t="str">
        <f>IF($A12&lt;&gt;0,VLOOKUP($A12,'0.Productos'!$A$3:$GG$587,'0.Productos'!CA$1+1,0),"")</f>
        <v>NO</v>
      </c>
      <c r="AJ12" s="133" t="str">
        <f>IF($A12&lt;&gt;0,VLOOKUP($A12,'0.Productos'!$A$3:$GG$587,'0.Productos'!CB$1+1,0),"")</f>
        <v>NO</v>
      </c>
      <c r="AK12" s="133" t="str">
        <f>IF($A12&lt;&gt;0,VLOOKUP($A12,'0.Productos'!$A$3:$GG$587,'0.Productos'!CC$1+1,0),"")</f>
        <v>NO</v>
      </c>
      <c r="AL12" s="133" t="str">
        <f>IF($A12&lt;&gt;0,VLOOKUP($A12,'0.Productos'!$A$3:$GG$587,'0.Productos'!CD$1+1,0),"")</f>
        <v>NO</v>
      </c>
      <c r="AM12" s="133" t="str">
        <f>IF($A12&lt;&gt;0,VLOOKUP($A12,'0.Productos'!$A$3:$GG$587,'0.Productos'!CE$1+1,0),"")</f>
        <v>SI</v>
      </c>
      <c r="AN12" s="133" t="str">
        <f>IF($A12&lt;&gt;0,VLOOKUP($A12,'0.Productos'!$A$3:$GG$587,'0.Productos'!CF$1+1,0),"")</f>
        <v>SI</v>
      </c>
      <c r="AO12" s="133" t="str">
        <f>IF($A12&lt;&gt;0,VLOOKUP($A12,'0.Productos'!$A$3:$GG$587,'0.Productos'!CG$1+1,0),"")</f>
        <v>NO</v>
      </c>
      <c r="AP12" s="133" t="str">
        <f>IF($A12&lt;&gt;0,VLOOKUP($A12,'0.Productos'!$A$3:$GG$587,'0.Productos'!CH$1+1,0),"")</f>
        <v>NO</v>
      </c>
      <c r="AQ12" s="133" t="str">
        <f>IF($A12&lt;&gt;0,VLOOKUP($A12,'0.Productos'!$A$3:$GG$587,'0.Productos'!CI$1+1,0),"")</f>
        <v>SI</v>
      </c>
      <c r="AR12" s="133" t="str">
        <f>IF($A12&lt;&gt;0,VLOOKUP($A12,'0.Productos'!$A$3:$GG$587,'0.Productos'!CJ$1+1,0),"")</f>
        <v>NO</v>
      </c>
      <c r="AS12" s="133" t="str">
        <f>IF($A12&lt;&gt;0,VLOOKUP($A12,'0.Productos'!$A$3:$GG$587,'0.Productos'!CK$1+1,0),"")</f>
        <v>SI</v>
      </c>
      <c r="AT12" s="133" t="str">
        <f>IF($A12&lt;&gt;0,VLOOKUP($A12,'0.Productos'!$A$3:$GG$587,'0.Productos'!CL$1+1,0),"")</f>
        <v>SI</v>
      </c>
      <c r="AU12" s="133" t="str">
        <f>IF($A12&lt;&gt;0,VLOOKUP($A12,'0.Productos'!$A$3:$GG$587,'0.Productos'!CM$1+1,0),"")</f>
        <v>SI</v>
      </c>
      <c r="AV12" s="133" t="str">
        <f>IF($A12&lt;&gt;0,VLOOKUP($A12,'0.Productos'!$A$3:$GG$587,'0.Productos'!CN$1+1,0),"")</f>
        <v>NO</v>
      </c>
      <c r="AW12" s="133" t="str">
        <f>IF($A12&lt;&gt;0,VLOOKUP($A12,'0.Productos'!$A$3:$GG$587,'0.Productos'!CO$1+1,0),"")</f>
        <v>NO</v>
      </c>
      <c r="AX12" s="133" t="str">
        <f>IF($A12&lt;&gt;0,VLOOKUP($A12,'0.Productos'!$A$3:$GG$587,'0.Productos'!CP$1+1,0),"")</f>
        <v>SI</v>
      </c>
      <c r="AY12" s="133" t="str">
        <f>IF($A12&lt;&gt;0,VLOOKUP($A12,'0.Productos'!$A$3:$GG$587,'0.Productos'!CQ$1+1,0),"")</f>
        <v>SI</v>
      </c>
      <c r="AZ12" s="133" t="str">
        <f>IF($A12&lt;&gt;0,VLOOKUP($A12,'0.Productos'!$A$3:$GG$587,'0.Productos'!CR$1+1,0),"")</f>
        <v>SI</v>
      </c>
      <c r="BA12" s="133" t="str">
        <f>IF($A12&lt;&gt;0,VLOOKUP($A12,'0.Productos'!$A$3:$GG$587,'0.Productos'!CS$1+1,0),"")</f>
        <v>SI</v>
      </c>
      <c r="BB12" s="133" t="str">
        <f>IF($A12&lt;&gt;0,VLOOKUP($A12,'0.Productos'!$A$3:$GG$587,'0.Productos'!CT$1+1,0),"")</f>
        <v>SI</v>
      </c>
      <c r="BC12" s="133" t="str">
        <f>IF($A12&lt;&gt;0,VLOOKUP($A12,'0.Productos'!$A$3:$GG$587,'0.Productos'!CU$1+1,0),"")</f>
        <v>SI</v>
      </c>
      <c r="BD12" s="133" t="str">
        <f>IF($A12&lt;&gt;0,VLOOKUP($A12,'0.Productos'!$A$3:$GG$587,'0.Productos'!CV$1+1,0),"")</f>
        <v>SI</v>
      </c>
      <c r="BE12" s="133" t="str">
        <f>IF($A12&lt;&gt;0,VLOOKUP($A12,'0.Productos'!$A$3:$GG$587,'0.Productos'!CW$1+1,0),"")</f>
        <v>NO</v>
      </c>
      <c r="BF12" s="133" t="str">
        <f>IF($A12&lt;&gt;0,VLOOKUP($A12,'0.Productos'!$A$3:$GG$587,'0.Productos'!CX$1+1,0),"")</f>
        <v>SI</v>
      </c>
      <c r="BG12" s="133" t="str">
        <f>IF($A12&lt;&gt;0,VLOOKUP($A12,'0.Productos'!$A$3:$GG$587,'0.Productos'!CY$1+1,0),"")</f>
        <v>NO</v>
      </c>
      <c r="BH12" s="133" t="str">
        <f>IF($A12&lt;&gt;0,VLOOKUP($A12,'0.Productos'!$A$3:$GG$587,'0.Productos'!CZ$1+1,0),"")</f>
        <v>SI</v>
      </c>
      <c r="BI12" s="133" t="str">
        <f>IF($A12&lt;&gt;0,VLOOKUP($A12,'0.Productos'!$A$3:$GG$587,'0.Productos'!DA$1+1,0),"")</f>
        <v>NO</v>
      </c>
      <c r="BJ12" s="133" t="str">
        <f>IF($A12&lt;&gt;0,VLOOKUP($A12,'0.Productos'!$A$3:$GG$587,'0.Productos'!DB$1+1,0),"")</f>
        <v>SI</v>
      </c>
      <c r="BK12" s="133" t="str">
        <f>IF($A12&lt;&gt;0,VLOOKUP($A12,'0.Productos'!$A$3:$GG$587,'0.Productos'!DC$1+1,0),"")</f>
        <v>SI</v>
      </c>
      <c r="BL12" s="133" t="str">
        <f>IF($A12&lt;&gt;0,VLOOKUP($A12,'0.Productos'!$A$3:$GG$587,'0.Productos'!DD$1+1,0),"")</f>
        <v>NO</v>
      </c>
      <c r="BM12" s="133" t="str">
        <f>IF($A12&lt;&gt;0,VLOOKUP($A12,'0.Productos'!$A$3:$GG$587,'0.Productos'!DE$1+1,0),"")</f>
        <v>SI</v>
      </c>
      <c r="BN12" s="133" t="str">
        <f>IF($A12&lt;&gt;0,VLOOKUP($A12,'0.Productos'!$A$3:$GG$587,'0.Productos'!DF$1+1,0),"")</f>
        <v>SI</v>
      </c>
      <c r="BO12" s="133" t="str">
        <f>IF($A12&lt;&gt;0,VLOOKUP($A12,'0.Productos'!$A$3:$GG$587,'0.Productos'!DG$1+1,0),"")</f>
        <v>NO</v>
      </c>
      <c r="BP12" s="133" t="str">
        <f>IF($A12&lt;&gt;0,VLOOKUP($A12,'0.Productos'!$A$3:$GG$587,'0.Productos'!DH$1+1,0),"")</f>
        <v>SI</v>
      </c>
      <c r="BQ12" s="133" t="str">
        <f>IF($A12&lt;&gt;0,VLOOKUP($A12,'0.Productos'!$A$3:$GG$587,'0.Productos'!DI$1+1,0),"")</f>
        <v>SI</v>
      </c>
      <c r="BR12" s="133" t="str">
        <f>IF($A12&lt;&gt;0,VLOOKUP($A12,'0.Productos'!$A$3:$GG$587,'0.Productos'!DJ$1+1,0),"")</f>
        <v>SI</v>
      </c>
      <c r="BS12" s="133" t="str">
        <f>IF($A12&lt;&gt;0,VLOOKUP($A12,'0.Productos'!$A$3:$GG$587,'0.Productos'!DK$1+1,0),"")</f>
        <v>NO</v>
      </c>
      <c r="BT12" s="133" t="str">
        <f>IF($A12&lt;&gt;0,VLOOKUP($A12,'0.Productos'!$A$3:$GG$587,'0.Productos'!DL$1+1,0),"")</f>
        <v>NO</v>
      </c>
    </row>
    <row r="13" spans="1:72" x14ac:dyDescent="0.25">
      <c r="A13" s="17" t="str">
        <f>'0.Consolidado general'!A13</f>
        <v>E001010021001</v>
      </c>
      <c r="B13" s="133">
        <f>IF($A13&lt;&gt;0,VLOOKUP($A13,'0.Productos'!$A$3:$GG$587,'0.Productos'!AT$1+1,0),"")</f>
        <v>21</v>
      </c>
      <c r="C13" s="133">
        <f>IF($A13&lt;&gt;0,VLOOKUP($A13,'0.Productos'!$A$3:$GG$587,'0.Productos'!AU$1+1,0),"")</f>
        <v>10</v>
      </c>
      <c r="D13" s="133">
        <f>IF($A13&lt;&gt;0,VLOOKUP($A13,'0.Productos'!$A$3:$GG$587,'0.Productos'!AV$1+1,0),"")</f>
        <v>15000</v>
      </c>
      <c r="E13" s="133">
        <f>IF($A13&lt;&gt;0,VLOOKUP($A13,'0.Productos'!$A$3:$GG$587,'0.Productos'!AW$1+1,0),"")</f>
        <v>20000</v>
      </c>
      <c r="F13" s="133">
        <f>IF($A13&lt;&gt;0,VLOOKUP($A13,'0.Productos'!$A$3:$GG$587,'0.Productos'!AX$1+1,0),"")</f>
        <v>1</v>
      </c>
      <c r="G13" s="133">
        <f>IF($A13&lt;&gt;0,VLOOKUP($A13,'0.Productos'!$A$3:$GG$587,'0.Productos'!AY$1+1,0),"")</f>
        <v>8</v>
      </c>
      <c r="H13" s="133" t="str">
        <f>IF($A13&lt;&gt;0,VLOOKUP($A13,'0.Productos'!$A$3:$GG$587,'0.Productos'!AZ$1+1,0),"")</f>
        <v>SI</v>
      </c>
      <c r="I13" s="133">
        <f>IF($A13&lt;&gt;0,VLOOKUP($A13,'0.Productos'!$A$3:$GG$587,'0.Productos'!BA$1+1,0),"")</f>
        <v>2</v>
      </c>
      <c r="J13" s="133">
        <f>IF($A13&lt;&gt;0,VLOOKUP($A13,'0.Productos'!$A$3:$GG$587,'0.Productos'!BB$1+1,0),"")</f>
        <v>0</v>
      </c>
      <c r="K13" s="133" t="str">
        <f>IF($A13&lt;&gt;0,VLOOKUP($A13,'0.Productos'!$A$3:$GG$587,'0.Productos'!BC$1+1,0),"")</f>
        <v>NO</v>
      </c>
      <c r="L13" s="133" t="str">
        <f>IF($A13&lt;&gt;0,VLOOKUP($A13,'0.Productos'!$A$3:$GG$587,'0.Productos'!BD$1+1,0),"")</f>
        <v>NO</v>
      </c>
      <c r="M13" s="133" t="str">
        <f>IF($A13&lt;&gt;0,VLOOKUP($A13,'0.Productos'!$A$3:$GG$587,'0.Productos'!BE$1+1,0),"")</f>
        <v>SI</v>
      </c>
      <c r="N13" s="133" t="str">
        <f>IF($A13&lt;&gt;0,VLOOKUP($A13,'0.Productos'!$A$3:$GG$587,'0.Productos'!BF$1+1,0),"")</f>
        <v>NO</v>
      </c>
      <c r="O13" s="133" t="str">
        <f>IF($A13&lt;&gt;0,VLOOKUP($A13,'0.Productos'!$A$3:$GG$587,'0.Productos'!BG$1+1,0),"")</f>
        <v>SI</v>
      </c>
      <c r="P13" s="133" t="str">
        <f>IF($A13&lt;&gt;0,VLOOKUP($A13,'0.Productos'!$A$3:$GG$587,'0.Productos'!BH$1+1,0),"")</f>
        <v>SI</v>
      </c>
      <c r="Q13" s="133" t="str">
        <f>IF($A13&lt;&gt;0,VLOOKUP($A13,'0.Productos'!$A$3:$GG$587,'0.Productos'!BI$1+1,0),"")</f>
        <v>SI</v>
      </c>
      <c r="R13" s="133" t="str">
        <f>IF($A13&lt;&gt;0,VLOOKUP($A13,'0.Productos'!$A$3:$GG$587,'0.Productos'!BJ$1+1,0),"")</f>
        <v>SI</v>
      </c>
      <c r="S13" s="133" t="str">
        <f>IF($A13&lt;&gt;0,VLOOKUP($A13,'0.Productos'!$A$3:$GG$587,'0.Productos'!BK$1+1,0),"")</f>
        <v>SI</v>
      </c>
      <c r="T13" s="133" t="str">
        <f>IF($A13&lt;&gt;0,VLOOKUP($A13,'0.Productos'!$A$3:$GG$587,'0.Productos'!BL$1+1,0),"")</f>
        <v>NO</v>
      </c>
      <c r="U13" s="133" t="str">
        <f>IF($A13&lt;&gt;0,VLOOKUP($A13,'0.Productos'!$A$3:$GG$587,'0.Productos'!BM$1+1,0),"")</f>
        <v>NO</v>
      </c>
      <c r="V13" s="133" t="str">
        <f>IF($A13&lt;&gt;0,VLOOKUP($A13,'0.Productos'!$A$3:$GG$587,'0.Productos'!BN$1+1,0),"")</f>
        <v>NO</v>
      </c>
      <c r="W13" s="133" t="str">
        <f>IF($A13&lt;&gt;0,VLOOKUP($A13,'0.Productos'!$A$3:$GG$587,'0.Productos'!BO$1+1,0),"")</f>
        <v>SI</v>
      </c>
      <c r="X13" s="133" t="str">
        <f>IF($A13&lt;&gt;0,VLOOKUP($A13,'0.Productos'!$A$3:$GG$587,'0.Productos'!BP$1+1,0),"")</f>
        <v>SI</v>
      </c>
      <c r="Y13" s="133" t="str">
        <f>IF($A13&lt;&gt;0,VLOOKUP($A13,'0.Productos'!$A$3:$GG$587,'0.Productos'!BQ$1+1,0),"")</f>
        <v>NO</v>
      </c>
      <c r="Z13" s="133" t="str">
        <f>IF($A13&lt;&gt;0,VLOOKUP($A13,'0.Productos'!$A$3:$GG$587,'0.Productos'!BR$1+1,0),"")</f>
        <v>SI</v>
      </c>
      <c r="AA13" s="133" t="str">
        <f>IF($A13&lt;&gt;0,VLOOKUP($A13,'0.Productos'!$A$3:$GG$587,'0.Productos'!BS$1+1,0),"")</f>
        <v>SI</v>
      </c>
      <c r="AB13" s="133" t="str">
        <f>IF($A13&lt;&gt;0,VLOOKUP($A13,'0.Productos'!$A$3:$GG$587,'0.Productos'!BT$1+1,0),"")</f>
        <v>NO</v>
      </c>
      <c r="AC13" s="133" t="str">
        <f>IF($A13&lt;&gt;0,VLOOKUP($A13,'0.Productos'!$A$3:$GG$587,'0.Productos'!BU$1+1,0),"")</f>
        <v>SI</v>
      </c>
      <c r="AD13" s="133" t="str">
        <f>IF($A13&lt;&gt;0,VLOOKUP($A13,'0.Productos'!$A$3:$GG$587,'0.Productos'!BV$1+1,0),"")</f>
        <v>NO</v>
      </c>
      <c r="AE13" s="133" t="str">
        <f>IF($A13&lt;&gt;0,VLOOKUP($A13,'0.Productos'!$A$3:$GG$587,'0.Productos'!BW$1+1,0),"")</f>
        <v>NO</v>
      </c>
      <c r="AF13" s="133" t="str">
        <f>IF($A13&lt;&gt;0,VLOOKUP($A13,'0.Productos'!$A$3:$GG$587,'0.Productos'!BX$1+1,0),"")</f>
        <v>NO</v>
      </c>
      <c r="AG13" s="133" t="str">
        <f>IF($A13&lt;&gt;0,VLOOKUP($A13,'0.Productos'!$A$3:$GG$587,'0.Productos'!BY$1+1,0),"")</f>
        <v>NO</v>
      </c>
      <c r="AH13" s="133" t="str">
        <f>IF($A13&lt;&gt;0,VLOOKUP($A13,'0.Productos'!$A$3:$GG$587,'0.Productos'!BZ$1+1,0),"")</f>
        <v>NO</v>
      </c>
      <c r="AI13" s="133" t="str">
        <f>IF($A13&lt;&gt;0,VLOOKUP($A13,'0.Productos'!$A$3:$GG$587,'0.Productos'!CA$1+1,0),"")</f>
        <v>SI</v>
      </c>
      <c r="AJ13" s="133" t="str">
        <f>IF($A13&lt;&gt;0,VLOOKUP($A13,'0.Productos'!$A$3:$GG$587,'0.Productos'!CB$1+1,0),"")</f>
        <v>SI</v>
      </c>
      <c r="AK13" s="133" t="str">
        <f>IF($A13&lt;&gt;0,VLOOKUP($A13,'0.Productos'!$A$3:$GG$587,'0.Productos'!CC$1+1,0),"")</f>
        <v>SI</v>
      </c>
      <c r="AL13" s="133" t="str">
        <f>IF($A13&lt;&gt;0,VLOOKUP($A13,'0.Productos'!$A$3:$GG$587,'0.Productos'!CD$1+1,0),"")</f>
        <v>SI</v>
      </c>
      <c r="AM13" s="133" t="str">
        <f>IF($A13&lt;&gt;0,VLOOKUP($A13,'0.Productos'!$A$3:$GG$587,'0.Productos'!CE$1+1,0),"")</f>
        <v>SI</v>
      </c>
      <c r="AN13" s="133" t="str">
        <f>IF($A13&lt;&gt;0,VLOOKUP($A13,'0.Productos'!$A$3:$GG$587,'0.Productos'!CF$1+1,0),"")</f>
        <v>SI</v>
      </c>
      <c r="AO13" s="133" t="str">
        <f>IF($A13&lt;&gt;0,VLOOKUP($A13,'0.Productos'!$A$3:$GG$587,'0.Productos'!CG$1+1,0),"")</f>
        <v>NO</v>
      </c>
      <c r="AP13" s="133" t="str">
        <f>IF($A13&lt;&gt;0,VLOOKUP($A13,'0.Productos'!$A$3:$GG$587,'0.Productos'!CH$1+1,0),"")</f>
        <v>SI</v>
      </c>
      <c r="AQ13" s="133" t="str">
        <f>IF($A13&lt;&gt;0,VLOOKUP($A13,'0.Productos'!$A$3:$GG$587,'0.Productos'!CI$1+1,0),"")</f>
        <v>SI</v>
      </c>
      <c r="AR13" s="133" t="str">
        <f>IF($A13&lt;&gt;0,VLOOKUP($A13,'0.Productos'!$A$3:$GG$587,'0.Productos'!CJ$1+1,0),"")</f>
        <v>NO</v>
      </c>
      <c r="AS13" s="133" t="str">
        <f>IF($A13&lt;&gt;0,VLOOKUP($A13,'0.Productos'!$A$3:$GG$587,'0.Productos'!CK$1+1,0),"")</f>
        <v>NO</v>
      </c>
      <c r="AT13" s="133" t="str">
        <f>IF($A13&lt;&gt;0,VLOOKUP($A13,'0.Productos'!$A$3:$GG$587,'0.Productos'!CL$1+1,0),"")</f>
        <v>SI</v>
      </c>
      <c r="AU13" s="133" t="str">
        <f>IF($A13&lt;&gt;0,VLOOKUP($A13,'0.Productos'!$A$3:$GG$587,'0.Productos'!CM$1+1,0),"")</f>
        <v>NO</v>
      </c>
      <c r="AV13" s="133" t="str">
        <f>IF($A13&lt;&gt;0,VLOOKUP($A13,'0.Productos'!$A$3:$GG$587,'0.Productos'!CN$1+1,0),"")</f>
        <v>NO</v>
      </c>
      <c r="AW13" s="133" t="str">
        <f>IF($A13&lt;&gt;0,VLOOKUP($A13,'0.Productos'!$A$3:$GG$587,'0.Productos'!CO$1+1,0),"")</f>
        <v>NO</v>
      </c>
      <c r="AX13" s="133" t="str">
        <f>IF($A13&lt;&gt;0,VLOOKUP($A13,'0.Productos'!$A$3:$GG$587,'0.Productos'!CP$1+1,0),"")</f>
        <v>NO</v>
      </c>
      <c r="AY13" s="133" t="str">
        <f>IF($A13&lt;&gt;0,VLOOKUP($A13,'0.Productos'!$A$3:$GG$587,'0.Productos'!CQ$1+1,0),"")</f>
        <v>SI</v>
      </c>
      <c r="AZ13" s="133" t="str">
        <f>IF($A13&lt;&gt;0,VLOOKUP($A13,'0.Productos'!$A$3:$GG$587,'0.Productos'!CR$1+1,0),"")</f>
        <v>NO</v>
      </c>
      <c r="BA13" s="133" t="str">
        <f>IF($A13&lt;&gt;0,VLOOKUP($A13,'0.Productos'!$A$3:$GG$587,'0.Productos'!CS$1+1,0),"")</f>
        <v>SI</v>
      </c>
      <c r="BB13" s="133" t="str">
        <f>IF($A13&lt;&gt;0,VLOOKUP($A13,'0.Productos'!$A$3:$GG$587,'0.Productos'!CT$1+1,0),"")</f>
        <v>SI</v>
      </c>
      <c r="BC13" s="133" t="str">
        <f>IF($A13&lt;&gt;0,VLOOKUP($A13,'0.Productos'!$A$3:$GG$587,'0.Productos'!CU$1+1,0),"")</f>
        <v>SI</v>
      </c>
      <c r="BD13" s="133" t="str">
        <f>IF($A13&lt;&gt;0,VLOOKUP($A13,'0.Productos'!$A$3:$GG$587,'0.Productos'!CV$1+1,0),"")</f>
        <v>NO</v>
      </c>
      <c r="BE13" s="133" t="str">
        <f>IF($A13&lt;&gt;0,VLOOKUP($A13,'0.Productos'!$A$3:$GG$587,'0.Productos'!CW$1+1,0),"")</f>
        <v>SI</v>
      </c>
      <c r="BF13" s="133" t="str">
        <f>IF($A13&lt;&gt;0,VLOOKUP($A13,'0.Productos'!$A$3:$GG$587,'0.Productos'!CX$1+1,0),"")</f>
        <v>NO</v>
      </c>
      <c r="BG13" s="133" t="str">
        <f>IF($A13&lt;&gt;0,VLOOKUP($A13,'0.Productos'!$A$3:$GG$587,'0.Productos'!CY$1+1,0),"")</f>
        <v>NO</v>
      </c>
      <c r="BH13" s="133" t="str">
        <f>IF($A13&lt;&gt;0,VLOOKUP($A13,'0.Productos'!$A$3:$GG$587,'0.Productos'!CZ$1+1,0),"")</f>
        <v>NO</v>
      </c>
      <c r="BI13" s="133" t="str">
        <f>IF($A13&lt;&gt;0,VLOOKUP($A13,'0.Productos'!$A$3:$GG$587,'0.Productos'!DA$1+1,0),"")</f>
        <v>NO</v>
      </c>
      <c r="BJ13" s="133" t="str">
        <f>IF($A13&lt;&gt;0,VLOOKUP($A13,'0.Productos'!$A$3:$GG$587,'0.Productos'!DB$1+1,0),"")</f>
        <v>SI</v>
      </c>
      <c r="BK13" s="133" t="str">
        <f>IF($A13&lt;&gt;0,VLOOKUP($A13,'0.Productos'!$A$3:$GG$587,'0.Productos'!DC$1+1,0),"")</f>
        <v>NO</v>
      </c>
      <c r="BL13" s="133" t="str">
        <f>IF($A13&lt;&gt;0,VLOOKUP($A13,'0.Productos'!$A$3:$GG$587,'0.Productos'!DD$1+1,0),"")</f>
        <v>SI</v>
      </c>
      <c r="BM13" s="133" t="str">
        <f>IF($A13&lt;&gt;0,VLOOKUP($A13,'0.Productos'!$A$3:$GG$587,'0.Productos'!DE$1+1,0),"")</f>
        <v>SI</v>
      </c>
      <c r="BN13" s="133" t="str">
        <f>IF($A13&lt;&gt;0,VLOOKUP($A13,'0.Productos'!$A$3:$GG$587,'0.Productos'!DF$1+1,0),"")</f>
        <v>SI</v>
      </c>
      <c r="BO13" s="133" t="str">
        <f>IF($A13&lt;&gt;0,VLOOKUP($A13,'0.Productos'!$A$3:$GG$587,'0.Productos'!DG$1+1,0),"")</f>
        <v>NO</v>
      </c>
      <c r="BP13" s="133" t="str">
        <f>IF($A13&lt;&gt;0,VLOOKUP($A13,'0.Productos'!$A$3:$GG$587,'0.Productos'!DH$1+1,0),"")</f>
        <v>SI</v>
      </c>
      <c r="BQ13" s="133" t="str">
        <f>IF($A13&lt;&gt;0,VLOOKUP($A13,'0.Productos'!$A$3:$GG$587,'0.Productos'!DI$1+1,0),"")</f>
        <v>NO</v>
      </c>
      <c r="BR13" s="133" t="str">
        <f>IF($A13&lt;&gt;0,VLOOKUP($A13,'0.Productos'!$A$3:$GG$587,'0.Productos'!DJ$1+1,0),"")</f>
        <v>NO</v>
      </c>
      <c r="BS13" s="133" t="str">
        <f>IF($A13&lt;&gt;0,VLOOKUP($A13,'0.Productos'!$A$3:$GG$587,'0.Productos'!DK$1+1,0),"")</f>
        <v>SI</v>
      </c>
      <c r="BT13" s="133" t="str">
        <f>IF($A13&lt;&gt;0,VLOOKUP($A13,'0.Productos'!$A$3:$GG$587,'0.Productos'!DL$1+1,0),"")</f>
        <v>SI</v>
      </c>
    </row>
    <row r="14" spans="1:72" x14ac:dyDescent="0.25">
      <c r="A14" s="17" t="str">
        <f>'0.Consolidado general'!A14</f>
        <v>E001010021002</v>
      </c>
      <c r="B14" s="133">
        <f>IF($A14&lt;&gt;0,VLOOKUP($A14,'0.Productos'!$A$3:$GG$587,'0.Productos'!AT$1+1,0),"")</f>
        <v>23</v>
      </c>
      <c r="C14" s="133">
        <f>IF($A14&lt;&gt;0,VLOOKUP($A14,'0.Productos'!$A$3:$GG$587,'0.Productos'!AU$1+1,0),"")</f>
        <v>12</v>
      </c>
      <c r="D14" s="133">
        <f>IF($A14&lt;&gt;0,VLOOKUP($A14,'0.Productos'!$A$3:$GG$587,'0.Productos'!AV$1+1,0),"")</f>
        <v>8000</v>
      </c>
      <c r="E14" s="133">
        <f>IF($A14&lt;&gt;0,VLOOKUP($A14,'0.Productos'!$A$3:$GG$587,'0.Productos'!AW$1+1,0),"")</f>
        <v>25000</v>
      </c>
      <c r="F14" s="133">
        <f>IF($A14&lt;&gt;0,VLOOKUP($A14,'0.Productos'!$A$3:$GG$587,'0.Productos'!AX$1+1,0),"")</f>
        <v>10</v>
      </c>
      <c r="G14" s="133">
        <f>IF($A14&lt;&gt;0,VLOOKUP($A14,'0.Productos'!$A$3:$GG$587,'0.Productos'!AY$1+1,0),"")</f>
        <v>13</v>
      </c>
      <c r="H14" s="133" t="str">
        <f>IF($A14&lt;&gt;0,VLOOKUP($A14,'0.Productos'!$A$3:$GG$587,'0.Productos'!AZ$1+1,0),"")</f>
        <v>SI</v>
      </c>
      <c r="I14" s="133">
        <f>IF($A14&lt;&gt;0,VLOOKUP($A14,'0.Productos'!$A$3:$GG$587,'0.Productos'!BA$1+1,0),"")</f>
        <v>4</v>
      </c>
      <c r="J14" s="133">
        <f>IF($A14&lt;&gt;0,VLOOKUP($A14,'0.Productos'!$A$3:$GG$587,'0.Productos'!BB$1+1,0),"")</f>
        <v>0</v>
      </c>
      <c r="K14" s="133" t="str">
        <f>IF($A14&lt;&gt;0,VLOOKUP($A14,'0.Productos'!$A$3:$GG$587,'0.Productos'!BC$1+1,0),"")</f>
        <v>SI</v>
      </c>
      <c r="L14" s="133" t="str">
        <f>IF($A14&lt;&gt;0,VLOOKUP($A14,'0.Productos'!$A$3:$GG$587,'0.Productos'!BD$1+1,0),"")</f>
        <v>SI</v>
      </c>
      <c r="M14" s="133" t="str">
        <f>IF($A14&lt;&gt;0,VLOOKUP($A14,'0.Productos'!$A$3:$GG$587,'0.Productos'!BE$1+1,0),"")</f>
        <v>SI</v>
      </c>
      <c r="N14" s="133" t="str">
        <f>IF($A14&lt;&gt;0,VLOOKUP($A14,'0.Productos'!$A$3:$GG$587,'0.Productos'!BF$1+1,0),"")</f>
        <v>NO</v>
      </c>
      <c r="O14" s="133" t="str">
        <f>IF($A14&lt;&gt;0,VLOOKUP($A14,'0.Productos'!$A$3:$GG$587,'0.Productos'!BG$1+1,0),"")</f>
        <v>NO</v>
      </c>
      <c r="P14" s="133" t="str">
        <f>IF($A14&lt;&gt;0,VLOOKUP($A14,'0.Productos'!$A$3:$GG$587,'0.Productos'!BH$1+1,0),"")</f>
        <v>NO</v>
      </c>
      <c r="Q14" s="133" t="str">
        <f>IF($A14&lt;&gt;0,VLOOKUP($A14,'0.Productos'!$A$3:$GG$587,'0.Productos'!BI$1+1,0),"")</f>
        <v>SI</v>
      </c>
      <c r="R14" s="133" t="str">
        <f>IF($A14&lt;&gt;0,VLOOKUP($A14,'0.Productos'!$A$3:$GG$587,'0.Productos'!BJ$1+1,0),"")</f>
        <v>NO</v>
      </c>
      <c r="S14" s="133" t="str">
        <f>IF($A14&lt;&gt;0,VLOOKUP($A14,'0.Productos'!$A$3:$GG$587,'0.Productos'!BK$1+1,0),"")</f>
        <v>SI</v>
      </c>
      <c r="T14" s="133" t="str">
        <f>IF($A14&lt;&gt;0,VLOOKUP($A14,'0.Productos'!$A$3:$GG$587,'0.Productos'!BL$1+1,0),"")</f>
        <v>SI</v>
      </c>
      <c r="U14" s="133" t="str">
        <f>IF($A14&lt;&gt;0,VLOOKUP($A14,'0.Productos'!$A$3:$GG$587,'0.Productos'!BM$1+1,0),"")</f>
        <v>SI</v>
      </c>
      <c r="V14" s="133" t="str">
        <f>IF($A14&lt;&gt;0,VLOOKUP($A14,'0.Productos'!$A$3:$GG$587,'0.Productos'!BN$1+1,0),"")</f>
        <v>NO</v>
      </c>
      <c r="W14" s="133" t="str">
        <f>IF($A14&lt;&gt;0,VLOOKUP($A14,'0.Productos'!$A$3:$GG$587,'0.Productos'!BO$1+1,0),"")</f>
        <v>SI</v>
      </c>
      <c r="X14" s="133" t="str">
        <f>IF($A14&lt;&gt;0,VLOOKUP($A14,'0.Productos'!$A$3:$GG$587,'0.Productos'!BP$1+1,0),"")</f>
        <v>NO</v>
      </c>
      <c r="Y14" s="133" t="str">
        <f>IF($A14&lt;&gt;0,VLOOKUP($A14,'0.Productos'!$A$3:$GG$587,'0.Productos'!BQ$1+1,0),"")</f>
        <v>NO</v>
      </c>
      <c r="Z14" s="133" t="str">
        <f>IF($A14&lt;&gt;0,VLOOKUP($A14,'0.Productos'!$A$3:$GG$587,'0.Productos'!BR$1+1,0),"")</f>
        <v>SI</v>
      </c>
      <c r="AA14" s="133" t="str">
        <f>IF($A14&lt;&gt;0,VLOOKUP($A14,'0.Productos'!$A$3:$GG$587,'0.Productos'!BS$1+1,0),"")</f>
        <v>SI</v>
      </c>
      <c r="AB14" s="133" t="str">
        <f>IF($A14&lt;&gt;0,VLOOKUP($A14,'0.Productos'!$A$3:$GG$587,'0.Productos'!BT$1+1,0),"")</f>
        <v>SI</v>
      </c>
      <c r="AC14" s="133" t="str">
        <f>IF($A14&lt;&gt;0,VLOOKUP($A14,'0.Productos'!$A$3:$GG$587,'0.Productos'!BU$1+1,0),"")</f>
        <v>SI</v>
      </c>
      <c r="AD14" s="133" t="str">
        <f>IF($A14&lt;&gt;0,VLOOKUP($A14,'0.Productos'!$A$3:$GG$587,'0.Productos'!BV$1+1,0),"")</f>
        <v>NO</v>
      </c>
      <c r="AE14" s="133" t="str">
        <f>IF($A14&lt;&gt;0,VLOOKUP($A14,'0.Productos'!$A$3:$GG$587,'0.Productos'!BW$1+1,0),"")</f>
        <v>SI</v>
      </c>
      <c r="AF14" s="133" t="str">
        <f>IF($A14&lt;&gt;0,VLOOKUP($A14,'0.Productos'!$A$3:$GG$587,'0.Productos'!BX$1+1,0),"")</f>
        <v>NO</v>
      </c>
      <c r="AG14" s="133" t="str">
        <f>IF($A14&lt;&gt;0,VLOOKUP($A14,'0.Productos'!$A$3:$GG$587,'0.Productos'!BY$1+1,0),"")</f>
        <v>SI</v>
      </c>
      <c r="AH14" s="133" t="str">
        <f>IF($A14&lt;&gt;0,VLOOKUP($A14,'0.Productos'!$A$3:$GG$587,'0.Productos'!BZ$1+1,0),"")</f>
        <v>SI</v>
      </c>
      <c r="AI14" s="133" t="str">
        <f>IF($A14&lt;&gt;0,VLOOKUP($A14,'0.Productos'!$A$3:$GG$587,'0.Productos'!CA$1+1,0),"")</f>
        <v>NO</v>
      </c>
      <c r="AJ14" s="133" t="str">
        <f>IF($A14&lt;&gt;0,VLOOKUP($A14,'0.Productos'!$A$3:$GG$587,'0.Productos'!CB$1+1,0),"")</f>
        <v>NO</v>
      </c>
      <c r="AK14" s="133" t="str">
        <f>IF($A14&lt;&gt;0,VLOOKUP($A14,'0.Productos'!$A$3:$GG$587,'0.Productos'!CC$1+1,0),"")</f>
        <v>NO</v>
      </c>
      <c r="AL14" s="133" t="str">
        <f>IF($A14&lt;&gt;0,VLOOKUP($A14,'0.Productos'!$A$3:$GG$587,'0.Productos'!CD$1+1,0),"")</f>
        <v>SI</v>
      </c>
      <c r="AM14" s="133" t="str">
        <f>IF($A14&lt;&gt;0,VLOOKUP($A14,'0.Productos'!$A$3:$GG$587,'0.Productos'!CE$1+1,0),"")</f>
        <v>SI</v>
      </c>
      <c r="AN14" s="133" t="str">
        <f>IF($A14&lt;&gt;0,VLOOKUP($A14,'0.Productos'!$A$3:$GG$587,'0.Productos'!CF$1+1,0),"")</f>
        <v>SI</v>
      </c>
      <c r="AO14" s="133" t="str">
        <f>IF($A14&lt;&gt;0,VLOOKUP($A14,'0.Productos'!$A$3:$GG$587,'0.Productos'!CG$1+1,0),"")</f>
        <v>SI</v>
      </c>
      <c r="AP14" s="133" t="str">
        <f>IF($A14&lt;&gt;0,VLOOKUP($A14,'0.Productos'!$A$3:$GG$587,'0.Productos'!CH$1+1,0),"")</f>
        <v>SI</v>
      </c>
      <c r="AQ14" s="133" t="str">
        <f>IF($A14&lt;&gt;0,VLOOKUP($A14,'0.Productos'!$A$3:$GG$587,'0.Productos'!CI$1+1,0),"")</f>
        <v>NO</v>
      </c>
      <c r="AR14" s="133" t="str">
        <f>IF($A14&lt;&gt;0,VLOOKUP($A14,'0.Productos'!$A$3:$GG$587,'0.Productos'!CJ$1+1,0),"")</f>
        <v>SI</v>
      </c>
      <c r="AS14" s="133" t="str">
        <f>IF($A14&lt;&gt;0,VLOOKUP($A14,'0.Productos'!$A$3:$GG$587,'0.Productos'!CK$1+1,0),"")</f>
        <v>NO</v>
      </c>
      <c r="AT14" s="133" t="str">
        <f>IF($A14&lt;&gt;0,VLOOKUP($A14,'0.Productos'!$A$3:$GG$587,'0.Productos'!CL$1+1,0),"")</f>
        <v>NO</v>
      </c>
      <c r="AU14" s="133" t="str">
        <f>IF($A14&lt;&gt;0,VLOOKUP($A14,'0.Productos'!$A$3:$GG$587,'0.Productos'!CM$1+1,0),"")</f>
        <v>NO</v>
      </c>
      <c r="AV14" s="133" t="str">
        <f>IF($A14&lt;&gt;0,VLOOKUP($A14,'0.Productos'!$A$3:$GG$587,'0.Productos'!CN$1+1,0),"")</f>
        <v>NO</v>
      </c>
      <c r="AW14" s="133" t="str">
        <f>IF($A14&lt;&gt;0,VLOOKUP($A14,'0.Productos'!$A$3:$GG$587,'0.Productos'!CO$1+1,0),"")</f>
        <v>SI</v>
      </c>
      <c r="AX14" s="133" t="str">
        <f>IF($A14&lt;&gt;0,VLOOKUP($A14,'0.Productos'!$A$3:$GG$587,'0.Productos'!CP$1+1,0),"")</f>
        <v>NO</v>
      </c>
      <c r="AY14" s="133" t="str">
        <f>IF($A14&lt;&gt;0,VLOOKUP($A14,'0.Productos'!$A$3:$GG$587,'0.Productos'!CQ$1+1,0),"")</f>
        <v>NO</v>
      </c>
      <c r="AZ14" s="133" t="str">
        <f>IF($A14&lt;&gt;0,VLOOKUP($A14,'0.Productos'!$A$3:$GG$587,'0.Productos'!CR$1+1,0),"")</f>
        <v>NO</v>
      </c>
      <c r="BA14" s="133" t="str">
        <f>IF($A14&lt;&gt;0,VLOOKUP($A14,'0.Productos'!$A$3:$GG$587,'0.Productos'!CS$1+1,0),"")</f>
        <v>SI</v>
      </c>
      <c r="BB14" s="133" t="str">
        <f>IF($A14&lt;&gt;0,VLOOKUP($A14,'0.Productos'!$A$3:$GG$587,'0.Productos'!CT$1+1,0),"")</f>
        <v>SI</v>
      </c>
      <c r="BC14" s="133" t="str">
        <f>IF($A14&lt;&gt;0,VLOOKUP($A14,'0.Productos'!$A$3:$GG$587,'0.Productos'!CU$1+1,0),"")</f>
        <v>SI</v>
      </c>
      <c r="BD14" s="133" t="str">
        <f>IF($A14&lt;&gt;0,VLOOKUP($A14,'0.Productos'!$A$3:$GG$587,'0.Productos'!CV$1+1,0),"")</f>
        <v>SI</v>
      </c>
      <c r="BE14" s="133" t="str">
        <f>IF($A14&lt;&gt;0,VLOOKUP($A14,'0.Productos'!$A$3:$GG$587,'0.Productos'!CW$1+1,0),"")</f>
        <v>SI</v>
      </c>
      <c r="BF14" s="133" t="str">
        <f>IF($A14&lt;&gt;0,VLOOKUP($A14,'0.Productos'!$A$3:$GG$587,'0.Productos'!CX$1+1,0),"")</f>
        <v>SI</v>
      </c>
      <c r="BG14" s="133" t="str">
        <f>IF($A14&lt;&gt;0,VLOOKUP($A14,'0.Productos'!$A$3:$GG$587,'0.Productos'!CY$1+1,0),"")</f>
        <v>NO</v>
      </c>
      <c r="BH14" s="133" t="str">
        <f>IF($A14&lt;&gt;0,VLOOKUP($A14,'0.Productos'!$A$3:$GG$587,'0.Productos'!CZ$1+1,0),"")</f>
        <v>SI</v>
      </c>
      <c r="BI14" s="133" t="str">
        <f>IF($A14&lt;&gt;0,VLOOKUP($A14,'0.Productos'!$A$3:$GG$587,'0.Productos'!DA$1+1,0),"")</f>
        <v>NO</v>
      </c>
      <c r="BJ14" s="133" t="str">
        <f>IF($A14&lt;&gt;0,VLOOKUP($A14,'0.Productos'!$A$3:$GG$587,'0.Productos'!DB$1+1,0),"")</f>
        <v>SI</v>
      </c>
      <c r="BK14" s="133" t="str">
        <f>IF($A14&lt;&gt;0,VLOOKUP($A14,'0.Productos'!$A$3:$GG$587,'0.Productos'!DC$1+1,0),"")</f>
        <v>NO</v>
      </c>
      <c r="BL14" s="133" t="str">
        <f>IF($A14&lt;&gt;0,VLOOKUP($A14,'0.Productos'!$A$3:$GG$587,'0.Productos'!DD$1+1,0),"")</f>
        <v>SI</v>
      </c>
      <c r="BM14" s="133" t="str">
        <f>IF($A14&lt;&gt;0,VLOOKUP($A14,'0.Productos'!$A$3:$GG$587,'0.Productos'!DE$1+1,0),"")</f>
        <v>SI</v>
      </c>
      <c r="BN14" s="133" t="str">
        <f>IF($A14&lt;&gt;0,VLOOKUP($A14,'0.Productos'!$A$3:$GG$587,'0.Productos'!DF$1+1,0),"")</f>
        <v>SI</v>
      </c>
      <c r="BO14" s="133" t="str">
        <f>IF($A14&lt;&gt;0,VLOOKUP($A14,'0.Productos'!$A$3:$GG$587,'0.Productos'!DG$1+1,0),"")</f>
        <v>SI</v>
      </c>
      <c r="BP14" s="133" t="str">
        <f>IF($A14&lt;&gt;0,VLOOKUP($A14,'0.Productos'!$A$3:$GG$587,'0.Productos'!DH$1+1,0),"")</f>
        <v>SI</v>
      </c>
      <c r="BQ14" s="133" t="str">
        <f>IF($A14&lt;&gt;0,VLOOKUP($A14,'0.Productos'!$A$3:$GG$587,'0.Productos'!DI$1+1,0),"")</f>
        <v>SI</v>
      </c>
      <c r="BR14" s="133" t="str">
        <f>IF($A14&lt;&gt;0,VLOOKUP($A14,'0.Productos'!$A$3:$GG$587,'0.Productos'!DJ$1+1,0),"")</f>
        <v>SI</v>
      </c>
      <c r="BS14" s="133" t="str">
        <f>IF($A14&lt;&gt;0,VLOOKUP($A14,'0.Productos'!$A$3:$GG$587,'0.Productos'!DK$1+1,0),"")</f>
        <v>NO</v>
      </c>
      <c r="BT14" s="133" t="str">
        <f>IF($A14&lt;&gt;0,VLOOKUP($A14,'0.Productos'!$A$3:$GG$587,'0.Productos'!DL$1+1,0),"")</f>
        <v>NO</v>
      </c>
    </row>
    <row r="15" spans="1:72" x14ac:dyDescent="0.25">
      <c r="A15" s="17" t="str">
        <f>'0.Consolidado general'!A15</f>
        <v>E001010021003</v>
      </c>
      <c r="B15" s="133">
        <f>IF($A15&lt;&gt;0,VLOOKUP($A15,'0.Productos'!$A$3:$GG$587,'0.Productos'!AT$1+1,0),"")</f>
        <v>20</v>
      </c>
      <c r="C15" s="133">
        <f>IF($A15&lt;&gt;0,VLOOKUP($A15,'0.Productos'!$A$3:$GG$587,'0.Productos'!AU$1+1,0),"")</f>
        <v>8</v>
      </c>
      <c r="D15" s="133">
        <f>IF($A15&lt;&gt;0,VLOOKUP($A15,'0.Productos'!$A$3:$GG$587,'0.Productos'!AV$1+1,0),"")</f>
        <v>12000</v>
      </c>
      <c r="E15" s="133">
        <f>IF($A15&lt;&gt;0,VLOOKUP($A15,'0.Productos'!$A$3:$GG$587,'0.Productos'!AW$1+1,0),"")</f>
        <v>10000</v>
      </c>
      <c r="F15" s="133">
        <f>IF($A15&lt;&gt;0,VLOOKUP($A15,'0.Productos'!$A$3:$GG$587,'0.Productos'!AX$1+1,0),"")</f>
        <v>12</v>
      </c>
      <c r="G15" s="133">
        <f>IF($A15&lt;&gt;0,VLOOKUP($A15,'0.Productos'!$A$3:$GG$587,'0.Productos'!AY$1+1,0),"")</f>
        <v>14</v>
      </c>
      <c r="H15" s="133" t="str">
        <f>IF($A15&lt;&gt;0,VLOOKUP($A15,'0.Productos'!$A$3:$GG$587,'0.Productos'!AZ$1+1,0),"")</f>
        <v>NO</v>
      </c>
      <c r="I15" s="133">
        <f>IF($A15&lt;&gt;0,VLOOKUP($A15,'0.Productos'!$A$3:$GG$587,'0.Productos'!BA$1+1,0),"")</f>
        <v>4</v>
      </c>
      <c r="J15" s="133">
        <f>IF($A15&lt;&gt;0,VLOOKUP($A15,'0.Productos'!$A$3:$GG$587,'0.Productos'!BB$1+1,0),"")</f>
        <v>0</v>
      </c>
      <c r="K15" s="133" t="str">
        <f>IF($A15&lt;&gt;0,VLOOKUP($A15,'0.Productos'!$A$3:$GG$587,'0.Productos'!BC$1+1,0),"")</f>
        <v>SI</v>
      </c>
      <c r="L15" s="133" t="str">
        <f>IF($A15&lt;&gt;0,VLOOKUP($A15,'0.Productos'!$A$3:$GG$587,'0.Productos'!BD$1+1,0),"")</f>
        <v>SI</v>
      </c>
      <c r="M15" s="133" t="str">
        <f>IF($A15&lt;&gt;0,VLOOKUP($A15,'0.Productos'!$A$3:$GG$587,'0.Productos'!BE$1+1,0),"")</f>
        <v>SI</v>
      </c>
      <c r="N15" s="133" t="str">
        <f>IF($A15&lt;&gt;0,VLOOKUP($A15,'0.Productos'!$A$3:$GG$587,'0.Productos'!BF$1+1,0),"")</f>
        <v>NO</v>
      </c>
      <c r="O15" s="133" t="str">
        <f>IF($A15&lt;&gt;0,VLOOKUP($A15,'0.Productos'!$A$3:$GG$587,'0.Productos'!BG$1+1,0),"")</f>
        <v>SI</v>
      </c>
      <c r="P15" s="133" t="str">
        <f>IF($A15&lt;&gt;0,VLOOKUP($A15,'0.Productos'!$A$3:$GG$587,'0.Productos'!BH$1+1,0),"")</f>
        <v>NO</v>
      </c>
      <c r="Q15" s="133" t="str">
        <f>IF($A15&lt;&gt;0,VLOOKUP($A15,'0.Productos'!$A$3:$GG$587,'0.Productos'!BI$1+1,0),"")</f>
        <v>NO</v>
      </c>
      <c r="R15" s="133" t="str">
        <f>IF($A15&lt;&gt;0,VLOOKUP($A15,'0.Productos'!$A$3:$GG$587,'0.Productos'!BJ$1+1,0),"")</f>
        <v>NO</v>
      </c>
      <c r="S15" s="133" t="str">
        <f>IF($A15&lt;&gt;0,VLOOKUP($A15,'0.Productos'!$A$3:$GG$587,'0.Productos'!BK$1+1,0),"")</f>
        <v>SI</v>
      </c>
      <c r="T15" s="133" t="str">
        <f>IF($A15&lt;&gt;0,VLOOKUP($A15,'0.Productos'!$A$3:$GG$587,'0.Productos'!BL$1+1,0),"")</f>
        <v>NO</v>
      </c>
      <c r="U15" s="133" t="str">
        <f>IF($A15&lt;&gt;0,VLOOKUP($A15,'0.Productos'!$A$3:$GG$587,'0.Productos'!BM$1+1,0),"")</f>
        <v>SI</v>
      </c>
      <c r="V15" s="133" t="str">
        <f>IF($A15&lt;&gt;0,VLOOKUP($A15,'0.Productos'!$A$3:$GG$587,'0.Productos'!BN$1+1,0),"")</f>
        <v>SI</v>
      </c>
      <c r="W15" s="133" t="str">
        <f>IF($A15&lt;&gt;0,VLOOKUP($A15,'0.Productos'!$A$3:$GG$587,'0.Productos'!BO$1+1,0),"")</f>
        <v>SI</v>
      </c>
      <c r="X15" s="133" t="str">
        <f>IF($A15&lt;&gt;0,VLOOKUP($A15,'0.Productos'!$A$3:$GG$587,'0.Productos'!BP$1+1,0),"")</f>
        <v>SI</v>
      </c>
      <c r="Y15" s="133" t="str">
        <f>IF($A15&lt;&gt;0,VLOOKUP($A15,'0.Productos'!$A$3:$GG$587,'0.Productos'!BQ$1+1,0),"")</f>
        <v>SI</v>
      </c>
      <c r="Z15" s="133" t="str">
        <f>IF($A15&lt;&gt;0,VLOOKUP($A15,'0.Productos'!$A$3:$GG$587,'0.Productos'!BR$1+1,0),"")</f>
        <v>SI</v>
      </c>
      <c r="AA15" s="133" t="str">
        <f>IF($A15&lt;&gt;0,VLOOKUP($A15,'0.Productos'!$A$3:$GG$587,'0.Productos'!BS$1+1,0),"")</f>
        <v>SI</v>
      </c>
      <c r="AB15" s="133" t="str">
        <f>IF($A15&lt;&gt;0,VLOOKUP($A15,'0.Productos'!$A$3:$GG$587,'0.Productos'!BT$1+1,0),"")</f>
        <v>SI</v>
      </c>
      <c r="AC15" s="133" t="str">
        <f>IF($A15&lt;&gt;0,VLOOKUP($A15,'0.Productos'!$A$3:$GG$587,'0.Productos'!BU$1+1,0),"")</f>
        <v>SI</v>
      </c>
      <c r="AD15" s="133" t="str">
        <f>IF($A15&lt;&gt;0,VLOOKUP($A15,'0.Productos'!$A$3:$GG$587,'0.Productos'!BV$1+1,0),"")</f>
        <v>NO</v>
      </c>
      <c r="AE15" s="133" t="str">
        <f>IF($A15&lt;&gt;0,VLOOKUP($A15,'0.Productos'!$A$3:$GG$587,'0.Productos'!BW$1+1,0),"")</f>
        <v>SI</v>
      </c>
      <c r="AF15" s="133" t="str">
        <f>IF($A15&lt;&gt;0,VLOOKUP($A15,'0.Productos'!$A$3:$GG$587,'0.Productos'!BX$1+1,0),"")</f>
        <v>SI</v>
      </c>
      <c r="AG15" s="133" t="str">
        <f>IF($A15&lt;&gt;0,VLOOKUP($A15,'0.Productos'!$A$3:$GG$587,'0.Productos'!BY$1+1,0),"")</f>
        <v>SI</v>
      </c>
      <c r="AH15" s="133" t="str">
        <f>IF($A15&lt;&gt;0,VLOOKUP($A15,'0.Productos'!$A$3:$GG$587,'0.Productos'!BZ$1+1,0),"")</f>
        <v>NO</v>
      </c>
      <c r="AI15" s="133" t="str">
        <f>IF($A15&lt;&gt;0,VLOOKUP($A15,'0.Productos'!$A$3:$GG$587,'0.Productos'!CA$1+1,0),"")</f>
        <v>SI</v>
      </c>
      <c r="AJ15" s="133" t="str">
        <f>IF($A15&lt;&gt;0,VLOOKUP($A15,'0.Productos'!$A$3:$GG$587,'0.Productos'!CB$1+1,0),"")</f>
        <v>SI</v>
      </c>
      <c r="AK15" s="133" t="str">
        <f>IF($A15&lt;&gt;0,VLOOKUP($A15,'0.Productos'!$A$3:$GG$587,'0.Productos'!CC$1+1,0),"")</f>
        <v>NO</v>
      </c>
      <c r="AL15" s="133" t="str">
        <f>IF($A15&lt;&gt;0,VLOOKUP($A15,'0.Productos'!$A$3:$GG$587,'0.Productos'!CD$1+1,0),"")</f>
        <v>NO</v>
      </c>
      <c r="AM15" s="133" t="str">
        <f>IF($A15&lt;&gt;0,VLOOKUP($A15,'0.Productos'!$A$3:$GG$587,'0.Productos'!CE$1+1,0),"")</f>
        <v>SI</v>
      </c>
      <c r="AN15" s="133" t="str">
        <f>IF($A15&lt;&gt;0,VLOOKUP($A15,'0.Productos'!$A$3:$GG$587,'0.Productos'!CF$1+1,0),"")</f>
        <v>SI</v>
      </c>
      <c r="AO15" s="133" t="str">
        <f>IF($A15&lt;&gt;0,VLOOKUP($A15,'0.Productos'!$A$3:$GG$587,'0.Productos'!CG$1+1,0),"")</f>
        <v>NO</v>
      </c>
      <c r="AP15" s="133" t="str">
        <f>IF($A15&lt;&gt;0,VLOOKUP($A15,'0.Productos'!$A$3:$GG$587,'0.Productos'!CH$1+1,0),"")</f>
        <v>NO</v>
      </c>
      <c r="AQ15" s="133" t="str">
        <f>IF($A15&lt;&gt;0,VLOOKUP($A15,'0.Productos'!$A$3:$GG$587,'0.Productos'!CI$1+1,0),"")</f>
        <v>NO</v>
      </c>
      <c r="AR15" s="133" t="str">
        <f>IF($A15&lt;&gt;0,VLOOKUP($A15,'0.Productos'!$A$3:$GG$587,'0.Productos'!CJ$1+1,0),"")</f>
        <v>NO</v>
      </c>
      <c r="AS15" s="133" t="str">
        <f>IF($A15&lt;&gt;0,VLOOKUP($A15,'0.Productos'!$A$3:$GG$587,'0.Productos'!CK$1+1,0),"")</f>
        <v>NO</v>
      </c>
      <c r="AT15" s="133" t="str">
        <f>IF($A15&lt;&gt;0,VLOOKUP($A15,'0.Productos'!$A$3:$GG$587,'0.Productos'!CL$1+1,0),"")</f>
        <v>NO</v>
      </c>
      <c r="AU15" s="133" t="str">
        <f>IF($A15&lt;&gt;0,VLOOKUP($A15,'0.Productos'!$A$3:$GG$587,'0.Productos'!CM$1+1,0),"")</f>
        <v>SI</v>
      </c>
      <c r="AV15" s="133" t="str">
        <f>IF($A15&lt;&gt;0,VLOOKUP($A15,'0.Productos'!$A$3:$GG$587,'0.Productos'!CN$1+1,0),"")</f>
        <v>SI</v>
      </c>
      <c r="AW15" s="133" t="str">
        <f>IF($A15&lt;&gt;0,VLOOKUP($A15,'0.Productos'!$A$3:$GG$587,'0.Productos'!CO$1+1,0),"")</f>
        <v>NO</v>
      </c>
      <c r="AX15" s="133" t="str">
        <f>IF($A15&lt;&gt;0,VLOOKUP($A15,'0.Productos'!$A$3:$GG$587,'0.Productos'!CP$1+1,0),"")</f>
        <v>SI</v>
      </c>
      <c r="AY15" s="133" t="str">
        <f>IF($A15&lt;&gt;0,VLOOKUP($A15,'0.Productos'!$A$3:$GG$587,'0.Productos'!CQ$1+1,0),"")</f>
        <v>SI</v>
      </c>
      <c r="AZ15" s="133" t="str">
        <f>IF($A15&lt;&gt;0,VLOOKUP($A15,'0.Productos'!$A$3:$GG$587,'0.Productos'!CR$1+1,0),"")</f>
        <v>SI</v>
      </c>
      <c r="BA15" s="133" t="str">
        <f>IF($A15&lt;&gt;0,VLOOKUP($A15,'0.Productos'!$A$3:$GG$587,'0.Productos'!CS$1+1,0),"")</f>
        <v>SI</v>
      </c>
      <c r="BB15" s="133" t="str">
        <f>IF($A15&lt;&gt;0,VLOOKUP($A15,'0.Productos'!$A$3:$GG$587,'0.Productos'!CT$1+1,0),"")</f>
        <v>SI</v>
      </c>
      <c r="BC15" s="133" t="str">
        <f>IF($A15&lt;&gt;0,VLOOKUP($A15,'0.Productos'!$A$3:$GG$587,'0.Productos'!CU$1+1,0),"")</f>
        <v>SI</v>
      </c>
      <c r="BD15" s="133" t="str">
        <f>IF($A15&lt;&gt;0,VLOOKUP($A15,'0.Productos'!$A$3:$GG$587,'0.Productos'!CV$1+1,0),"")</f>
        <v>SI</v>
      </c>
      <c r="BE15" s="133" t="str">
        <f>IF($A15&lt;&gt;0,VLOOKUP($A15,'0.Productos'!$A$3:$GG$587,'0.Productos'!CW$1+1,0),"")</f>
        <v>NO</v>
      </c>
      <c r="BF15" s="133" t="str">
        <f>IF($A15&lt;&gt;0,VLOOKUP($A15,'0.Productos'!$A$3:$GG$587,'0.Productos'!CX$1+1,0),"")</f>
        <v>SI</v>
      </c>
      <c r="BG15" s="133" t="str">
        <f>IF($A15&lt;&gt;0,VLOOKUP($A15,'0.Productos'!$A$3:$GG$587,'0.Productos'!CY$1+1,0),"")</f>
        <v>SI</v>
      </c>
      <c r="BH15" s="133" t="str">
        <f>IF($A15&lt;&gt;0,VLOOKUP($A15,'0.Productos'!$A$3:$GG$587,'0.Productos'!CZ$1+1,0),"")</f>
        <v>SI</v>
      </c>
      <c r="BI15" s="133" t="str">
        <f>IF($A15&lt;&gt;0,VLOOKUP($A15,'0.Productos'!$A$3:$GG$587,'0.Productos'!DA$1+1,0),"")</f>
        <v>SI</v>
      </c>
      <c r="BJ15" s="133" t="str">
        <f>IF($A15&lt;&gt;0,VLOOKUP($A15,'0.Productos'!$A$3:$GG$587,'0.Productos'!DB$1+1,0),"")</f>
        <v>NO</v>
      </c>
      <c r="BK15" s="133" t="str">
        <f>IF($A15&lt;&gt;0,VLOOKUP($A15,'0.Productos'!$A$3:$GG$587,'0.Productos'!DC$1+1,0),"")</f>
        <v>SI</v>
      </c>
      <c r="BL15" s="133" t="str">
        <f>IF($A15&lt;&gt;0,VLOOKUP($A15,'0.Productos'!$A$3:$GG$587,'0.Productos'!DD$1+1,0),"")</f>
        <v>NO</v>
      </c>
      <c r="BM15" s="133" t="str">
        <f>IF($A15&lt;&gt;0,VLOOKUP($A15,'0.Productos'!$A$3:$GG$587,'0.Productos'!DE$1+1,0),"")</f>
        <v>SI</v>
      </c>
      <c r="BN15" s="133" t="str">
        <f>IF($A15&lt;&gt;0,VLOOKUP($A15,'0.Productos'!$A$3:$GG$587,'0.Productos'!DF$1+1,0),"")</f>
        <v>NO</v>
      </c>
      <c r="BO15" s="133" t="str">
        <f>IF($A15&lt;&gt;0,VLOOKUP($A15,'0.Productos'!$A$3:$GG$587,'0.Productos'!DG$1+1,0),"")</f>
        <v>SI</v>
      </c>
      <c r="BP15" s="133" t="str">
        <f>IF($A15&lt;&gt;0,VLOOKUP($A15,'0.Productos'!$A$3:$GG$587,'0.Productos'!DH$1+1,0),"")</f>
        <v>SI</v>
      </c>
      <c r="BQ15" s="133" t="str">
        <f>IF($A15&lt;&gt;0,VLOOKUP($A15,'0.Productos'!$A$3:$GG$587,'0.Productos'!DI$1+1,0),"")</f>
        <v>SI</v>
      </c>
      <c r="BR15" s="133" t="str">
        <f>IF($A15&lt;&gt;0,VLOOKUP($A15,'0.Productos'!$A$3:$GG$587,'0.Productos'!DJ$1+1,0),"")</f>
        <v>SI</v>
      </c>
      <c r="BS15" s="133" t="str">
        <f>IF($A15&lt;&gt;0,VLOOKUP($A15,'0.Productos'!$A$3:$GG$587,'0.Productos'!DK$1+1,0),"")</f>
        <v>SI</v>
      </c>
      <c r="BT15" s="133" t="str">
        <f>IF($A15&lt;&gt;0,VLOOKUP($A15,'0.Productos'!$A$3:$GG$587,'0.Productos'!DL$1+1,0),"")</f>
        <v>SI</v>
      </c>
    </row>
    <row r="16" spans="1:72" x14ac:dyDescent="0.25">
      <c r="A16" s="17" t="str">
        <f>'0.Consolidado general'!A16</f>
        <v>E001012021002</v>
      </c>
      <c r="B16" s="133">
        <f>IF($A16&lt;&gt;0,VLOOKUP($A16,'0.Productos'!$A$3:$GG$587,'0.Productos'!AT$1+1,0),"")</f>
        <v>22</v>
      </c>
      <c r="C16" s="133">
        <f>IF($A16&lt;&gt;0,VLOOKUP($A16,'0.Productos'!$A$3:$GG$587,'0.Productos'!AU$1+1,0),"")</f>
        <v>10</v>
      </c>
      <c r="D16" s="133">
        <f>IF($A16&lt;&gt;0,VLOOKUP($A16,'0.Productos'!$A$3:$GG$587,'0.Productos'!AV$1+1,0),"")</f>
        <v>15000</v>
      </c>
      <c r="E16" s="133">
        <f>IF($A16&lt;&gt;0,VLOOKUP($A16,'0.Productos'!$A$3:$GG$587,'0.Productos'!AW$1+1,0),"")</f>
        <v>15000</v>
      </c>
      <c r="F16" s="133">
        <f>IF($A16&lt;&gt;0,VLOOKUP($A16,'0.Productos'!$A$3:$GG$587,'0.Productos'!AX$1+1,0),"")</f>
        <v>12</v>
      </c>
      <c r="G16" s="133">
        <f>IF($A16&lt;&gt;0,VLOOKUP($A16,'0.Productos'!$A$3:$GG$587,'0.Productos'!AY$1+1,0),"")</f>
        <v>1</v>
      </c>
      <c r="H16" s="133" t="str">
        <f>IF($A16&lt;&gt;0,VLOOKUP($A16,'0.Productos'!$A$3:$GG$587,'0.Productos'!AZ$1+1,0),"")</f>
        <v>SI</v>
      </c>
      <c r="I16" s="133">
        <f>IF($A16&lt;&gt;0,VLOOKUP($A16,'0.Productos'!$A$3:$GG$587,'0.Productos'!BA$1+1,0),"")</f>
        <v>2</v>
      </c>
      <c r="J16" s="133">
        <f>IF($A16&lt;&gt;0,VLOOKUP($A16,'0.Productos'!$A$3:$GG$587,'0.Productos'!BB$1+1,0),"")</f>
        <v>0</v>
      </c>
      <c r="K16" s="133" t="str">
        <f>IF($A16&lt;&gt;0,VLOOKUP($A16,'0.Productos'!$A$3:$GG$587,'0.Productos'!BC$1+1,0),"")</f>
        <v>NO</v>
      </c>
      <c r="L16" s="133" t="str">
        <f>IF($A16&lt;&gt;0,VLOOKUP($A16,'0.Productos'!$A$3:$GG$587,'0.Productos'!BD$1+1,0),"")</f>
        <v>NO</v>
      </c>
      <c r="M16" s="133" t="str">
        <f>IF($A16&lt;&gt;0,VLOOKUP($A16,'0.Productos'!$A$3:$GG$587,'0.Productos'!BE$1+1,0),"")</f>
        <v>SI</v>
      </c>
      <c r="N16" s="133" t="str">
        <f>IF($A16&lt;&gt;0,VLOOKUP($A16,'0.Productos'!$A$3:$GG$587,'0.Productos'!BF$1+1,0),"")</f>
        <v>SI</v>
      </c>
      <c r="O16" s="133" t="str">
        <f>IF($A16&lt;&gt;0,VLOOKUP($A16,'0.Productos'!$A$3:$GG$587,'0.Productos'!BG$1+1,0),"")</f>
        <v>SI</v>
      </c>
      <c r="P16" s="133" t="str">
        <f>IF($A16&lt;&gt;0,VLOOKUP($A16,'0.Productos'!$A$3:$GG$587,'0.Productos'!BH$1+1,0),"")</f>
        <v>NO</v>
      </c>
      <c r="Q16" s="133" t="str">
        <f>IF($A16&lt;&gt;0,VLOOKUP($A16,'0.Productos'!$A$3:$GG$587,'0.Productos'!BI$1+1,0),"")</f>
        <v>SI</v>
      </c>
      <c r="R16" s="133" t="str">
        <f>IF($A16&lt;&gt;0,VLOOKUP($A16,'0.Productos'!$A$3:$GG$587,'0.Productos'!BJ$1+1,0),"")</f>
        <v>NO</v>
      </c>
      <c r="S16" s="133" t="str">
        <f>IF($A16&lt;&gt;0,VLOOKUP($A16,'0.Productos'!$A$3:$GG$587,'0.Productos'!BK$1+1,0),"")</f>
        <v>SI</v>
      </c>
      <c r="T16" s="133" t="str">
        <f>IF($A16&lt;&gt;0,VLOOKUP($A16,'0.Productos'!$A$3:$GG$587,'0.Productos'!BL$1+1,0),"")</f>
        <v>NO</v>
      </c>
      <c r="U16" s="133" t="str">
        <f>IF($A16&lt;&gt;0,VLOOKUP($A16,'0.Productos'!$A$3:$GG$587,'0.Productos'!BM$1+1,0),"")</f>
        <v>NO</v>
      </c>
      <c r="V16" s="133" t="str">
        <f>IF($A16&lt;&gt;0,VLOOKUP($A16,'0.Productos'!$A$3:$GG$587,'0.Productos'!BN$1+1,0),"")</f>
        <v>NO</v>
      </c>
      <c r="W16" s="133" t="str">
        <f>IF($A16&lt;&gt;0,VLOOKUP($A16,'0.Productos'!$A$3:$GG$587,'0.Productos'!BO$1+1,0),"")</f>
        <v>SI</v>
      </c>
      <c r="X16" s="133" t="str">
        <f>IF($A16&lt;&gt;0,VLOOKUP($A16,'0.Productos'!$A$3:$GG$587,'0.Productos'!BP$1+1,0),"")</f>
        <v>SI</v>
      </c>
      <c r="Y16" s="133" t="str">
        <f>IF($A16&lt;&gt;0,VLOOKUP($A16,'0.Productos'!$A$3:$GG$587,'0.Productos'!BQ$1+1,0),"")</f>
        <v>NO</v>
      </c>
      <c r="Z16" s="133" t="str">
        <f>IF($A16&lt;&gt;0,VLOOKUP($A16,'0.Productos'!$A$3:$GG$587,'0.Productos'!BR$1+1,0),"")</f>
        <v>NO</v>
      </c>
      <c r="AA16" s="133" t="str">
        <f>IF($A16&lt;&gt;0,VLOOKUP($A16,'0.Productos'!$A$3:$GG$587,'0.Productos'!BS$1+1,0),"")</f>
        <v>NO</v>
      </c>
      <c r="AB16" s="133" t="str">
        <f>IF($A16&lt;&gt;0,VLOOKUP($A16,'0.Productos'!$A$3:$GG$587,'0.Productos'!BT$1+1,0),"")</f>
        <v>NO</v>
      </c>
      <c r="AC16" s="133" t="str">
        <f>IF($A16&lt;&gt;0,VLOOKUP($A16,'0.Productos'!$A$3:$GG$587,'0.Productos'!BU$1+1,0),"")</f>
        <v>SI</v>
      </c>
      <c r="AD16" s="133" t="str">
        <f>IF($A16&lt;&gt;0,VLOOKUP($A16,'0.Productos'!$A$3:$GG$587,'0.Productos'!BV$1+1,0),"")</f>
        <v>NO</v>
      </c>
      <c r="AE16" s="133" t="str">
        <f>IF($A16&lt;&gt;0,VLOOKUP($A16,'0.Productos'!$A$3:$GG$587,'0.Productos'!BW$1+1,0),"")</f>
        <v>NO</v>
      </c>
      <c r="AF16" s="133" t="str">
        <f>IF($A16&lt;&gt;0,VLOOKUP($A16,'0.Productos'!$A$3:$GG$587,'0.Productos'!BX$1+1,0),"")</f>
        <v>NO</v>
      </c>
      <c r="AG16" s="133" t="str">
        <f>IF($A16&lt;&gt;0,VLOOKUP($A16,'0.Productos'!$A$3:$GG$587,'0.Productos'!BY$1+1,0),"")</f>
        <v>NO</v>
      </c>
      <c r="AH16" s="133" t="str">
        <f>IF($A16&lt;&gt;0,VLOOKUP($A16,'0.Productos'!$A$3:$GG$587,'0.Productos'!BZ$1+1,0),"")</f>
        <v>NO</v>
      </c>
      <c r="AI16" s="133" t="str">
        <f>IF($A16&lt;&gt;0,VLOOKUP($A16,'0.Productos'!$A$3:$GG$587,'0.Productos'!CA$1+1,0),"")</f>
        <v>SI</v>
      </c>
      <c r="AJ16" s="133" t="str">
        <f>IF($A16&lt;&gt;0,VLOOKUP($A16,'0.Productos'!$A$3:$GG$587,'0.Productos'!CB$1+1,0),"")</f>
        <v>SI</v>
      </c>
      <c r="AK16" s="133" t="str">
        <f>IF($A16&lt;&gt;0,VLOOKUP($A16,'0.Productos'!$A$3:$GG$587,'0.Productos'!CC$1+1,0),"")</f>
        <v>SI</v>
      </c>
      <c r="AL16" s="133" t="str">
        <f>IF($A16&lt;&gt;0,VLOOKUP($A16,'0.Productos'!$A$3:$GG$587,'0.Productos'!CD$1+1,0),"")</f>
        <v>SI</v>
      </c>
      <c r="AM16" s="133" t="str">
        <f>IF($A16&lt;&gt;0,VLOOKUP($A16,'0.Productos'!$A$3:$GG$587,'0.Productos'!CE$1+1,0),"")</f>
        <v>SI</v>
      </c>
      <c r="AN16" s="133" t="str">
        <f>IF($A16&lt;&gt;0,VLOOKUP($A16,'0.Productos'!$A$3:$GG$587,'0.Productos'!CF$1+1,0),"")</f>
        <v>SI</v>
      </c>
      <c r="AO16" s="133" t="str">
        <f>IF($A16&lt;&gt;0,VLOOKUP($A16,'0.Productos'!$A$3:$GG$587,'0.Productos'!CG$1+1,0),"")</f>
        <v>NO</v>
      </c>
      <c r="AP16" s="133" t="str">
        <f>IF($A16&lt;&gt;0,VLOOKUP($A16,'0.Productos'!$A$3:$GG$587,'0.Productos'!CH$1+1,0),"")</f>
        <v>SI</v>
      </c>
      <c r="AQ16" s="133" t="str">
        <f>IF($A16&lt;&gt;0,VLOOKUP($A16,'0.Productos'!$A$3:$GG$587,'0.Productos'!CI$1+1,0),"")</f>
        <v>SI</v>
      </c>
      <c r="AR16" s="133" t="str">
        <f>IF($A16&lt;&gt;0,VLOOKUP($A16,'0.Productos'!$A$3:$GG$587,'0.Productos'!CJ$1+1,0),"")</f>
        <v>NO</v>
      </c>
      <c r="AS16" s="133" t="str">
        <f>IF($A16&lt;&gt;0,VLOOKUP($A16,'0.Productos'!$A$3:$GG$587,'0.Productos'!CK$1+1,0),"")</f>
        <v>NO</v>
      </c>
      <c r="AT16" s="133" t="str">
        <f>IF($A16&lt;&gt;0,VLOOKUP($A16,'0.Productos'!$A$3:$GG$587,'0.Productos'!CL$1+1,0),"")</f>
        <v>SI</v>
      </c>
      <c r="AU16" s="133" t="str">
        <f>IF($A16&lt;&gt;0,VLOOKUP($A16,'0.Productos'!$A$3:$GG$587,'0.Productos'!CM$1+1,0),"")</f>
        <v>NO</v>
      </c>
      <c r="AV16" s="133" t="str">
        <f>IF($A16&lt;&gt;0,VLOOKUP($A16,'0.Productos'!$A$3:$GG$587,'0.Productos'!CN$1+1,0),"")</f>
        <v>NO</v>
      </c>
      <c r="AW16" s="133" t="str">
        <f>IF($A16&lt;&gt;0,VLOOKUP($A16,'0.Productos'!$A$3:$GG$587,'0.Productos'!CO$1+1,0),"")</f>
        <v>NO</v>
      </c>
      <c r="AX16" s="133" t="str">
        <f>IF($A16&lt;&gt;0,VLOOKUP($A16,'0.Productos'!$A$3:$GG$587,'0.Productos'!CP$1+1,0),"")</f>
        <v>NO</v>
      </c>
      <c r="AY16" s="133" t="str">
        <f>IF($A16&lt;&gt;0,VLOOKUP($A16,'0.Productos'!$A$3:$GG$587,'0.Productos'!CQ$1+1,0),"")</f>
        <v>SI</v>
      </c>
      <c r="AZ16" s="133" t="str">
        <f>IF($A16&lt;&gt;0,VLOOKUP($A16,'0.Productos'!$A$3:$GG$587,'0.Productos'!CR$1+1,0),"")</f>
        <v>SI</v>
      </c>
      <c r="BA16" s="133" t="str">
        <f>IF($A16&lt;&gt;0,VLOOKUP($A16,'0.Productos'!$A$3:$GG$587,'0.Productos'!CS$1+1,0),"")</f>
        <v>NO</v>
      </c>
      <c r="BB16" s="133" t="str">
        <f>IF($A16&lt;&gt;0,VLOOKUP($A16,'0.Productos'!$A$3:$GG$587,'0.Productos'!CT$1+1,0),"")</f>
        <v>NO</v>
      </c>
      <c r="BC16" s="133" t="str">
        <f>IF($A16&lt;&gt;0,VLOOKUP($A16,'0.Productos'!$A$3:$GG$587,'0.Productos'!CU$1+1,0),"")</f>
        <v>SI</v>
      </c>
      <c r="BD16" s="133" t="str">
        <f>IF($A16&lt;&gt;0,VLOOKUP($A16,'0.Productos'!$A$3:$GG$587,'0.Productos'!CV$1+1,0),"")</f>
        <v>NO</v>
      </c>
      <c r="BE16" s="133" t="str">
        <f>IF($A16&lt;&gt;0,VLOOKUP($A16,'0.Productos'!$A$3:$GG$587,'0.Productos'!CW$1+1,0),"")</f>
        <v>NO</v>
      </c>
      <c r="BF16" s="133" t="str">
        <f>IF($A16&lt;&gt;0,VLOOKUP($A16,'0.Productos'!$A$3:$GG$587,'0.Productos'!CX$1+1,0),"")</f>
        <v>SI</v>
      </c>
      <c r="BG16" s="133" t="str">
        <f>IF($A16&lt;&gt;0,VLOOKUP($A16,'0.Productos'!$A$3:$GG$587,'0.Productos'!CY$1+1,0),"")</f>
        <v>SI</v>
      </c>
      <c r="BH16" s="133" t="str">
        <f>IF($A16&lt;&gt;0,VLOOKUP($A16,'0.Productos'!$A$3:$GG$587,'0.Productos'!CZ$1+1,0),"")</f>
        <v>SI</v>
      </c>
      <c r="BI16" s="133" t="str">
        <f>IF($A16&lt;&gt;0,VLOOKUP($A16,'0.Productos'!$A$3:$GG$587,'0.Productos'!DA$1+1,0),"")</f>
        <v>NO</v>
      </c>
      <c r="BJ16" s="133" t="str">
        <f>IF($A16&lt;&gt;0,VLOOKUP($A16,'0.Productos'!$A$3:$GG$587,'0.Productos'!DB$1+1,0),"")</f>
        <v>NO</v>
      </c>
      <c r="BK16" s="133" t="str">
        <f>IF($A16&lt;&gt;0,VLOOKUP($A16,'0.Productos'!$A$3:$GG$587,'0.Productos'!DC$1+1,0),"")</f>
        <v>SI</v>
      </c>
      <c r="BL16" s="133" t="str">
        <f>IF($A16&lt;&gt;0,VLOOKUP($A16,'0.Productos'!$A$3:$GG$587,'0.Productos'!DD$1+1,0),"")</f>
        <v>SI</v>
      </c>
      <c r="BM16" s="133" t="str">
        <f>IF($A16&lt;&gt;0,VLOOKUP($A16,'0.Productos'!$A$3:$GG$587,'0.Productos'!DE$1+1,0),"")</f>
        <v>SI</v>
      </c>
      <c r="BN16" s="133" t="str">
        <f>IF($A16&lt;&gt;0,VLOOKUP($A16,'0.Productos'!$A$3:$GG$587,'0.Productos'!DF$1+1,0),"")</f>
        <v>SI</v>
      </c>
      <c r="BO16" s="133" t="str">
        <f>IF($A16&lt;&gt;0,VLOOKUP($A16,'0.Productos'!$A$3:$GG$587,'0.Productos'!DG$1+1,0),"")</f>
        <v>SI</v>
      </c>
      <c r="BP16" s="133" t="str">
        <f>IF($A16&lt;&gt;0,VLOOKUP($A16,'0.Productos'!$A$3:$GG$587,'0.Productos'!DH$1+1,0),"")</f>
        <v>SI</v>
      </c>
      <c r="BQ16" s="133" t="str">
        <f>IF($A16&lt;&gt;0,VLOOKUP($A16,'0.Productos'!$A$3:$GG$587,'0.Productos'!DI$1+1,0),"")</f>
        <v>SI</v>
      </c>
      <c r="BR16" s="133" t="str">
        <f>IF($A16&lt;&gt;0,VLOOKUP($A16,'0.Productos'!$A$3:$GG$587,'0.Productos'!DJ$1+1,0),"")</f>
        <v>SI</v>
      </c>
      <c r="BS16" s="133" t="str">
        <f>IF($A16&lt;&gt;0,VLOOKUP($A16,'0.Productos'!$A$3:$GG$587,'0.Productos'!DK$1+1,0),"")</f>
        <v>SI</v>
      </c>
      <c r="BT16" s="133" t="str">
        <f>IF($A16&lt;&gt;0,VLOOKUP($A16,'0.Productos'!$A$3:$GG$587,'0.Productos'!DL$1+1,0),"")</f>
        <v>SI</v>
      </c>
    </row>
    <row r="17" spans="1:72" x14ac:dyDescent="0.25">
      <c r="A17" s="17">
        <f>'0.Consolidado general'!A17</f>
        <v>0</v>
      </c>
      <c r="B17" s="133" t="str">
        <f>IF($A17&lt;&gt;0,VLOOKUP($A17,'0.Productos'!$A$3:$GG$587,'0.Productos'!AT$1+1,0),"")</f>
        <v/>
      </c>
      <c r="C17" s="133" t="str">
        <f>IF($A17&lt;&gt;0,VLOOKUP($A17,'0.Productos'!$A$3:$GG$587,'0.Productos'!AU$1+1,0),"")</f>
        <v/>
      </c>
      <c r="D17" s="133" t="str">
        <f>IF($A17&lt;&gt;0,VLOOKUP($A17,'0.Productos'!$A$3:$GG$587,'0.Productos'!AV$1+1,0),"")</f>
        <v/>
      </c>
      <c r="E17" s="133" t="str">
        <f>IF($A17&lt;&gt;0,VLOOKUP($A17,'0.Productos'!$A$3:$GG$587,'0.Productos'!AW$1+1,0),"")</f>
        <v/>
      </c>
      <c r="F17" s="133" t="str">
        <f>IF($A17&lt;&gt;0,VLOOKUP($A17,'0.Productos'!$A$3:$GG$587,'0.Productos'!AX$1+1,0),"")</f>
        <v/>
      </c>
      <c r="G17" s="133" t="str">
        <f>IF($A17&lt;&gt;0,VLOOKUP($A17,'0.Productos'!$A$3:$GG$587,'0.Productos'!AY$1+1,0),"")</f>
        <v/>
      </c>
      <c r="H17" s="133" t="str">
        <f>IF($A17&lt;&gt;0,VLOOKUP($A17,'0.Productos'!$A$3:$GG$587,'0.Productos'!AZ$1+1,0),"")</f>
        <v/>
      </c>
      <c r="I17" s="133" t="str">
        <f>IF($A17&lt;&gt;0,VLOOKUP($A17,'0.Productos'!$A$3:$GG$587,'0.Productos'!BA$1+1,0),"")</f>
        <v/>
      </c>
      <c r="J17" s="133" t="str">
        <f>IF($A17&lt;&gt;0,VLOOKUP($A17,'0.Productos'!$A$3:$GG$587,'0.Productos'!BB$1+1,0),"")</f>
        <v/>
      </c>
      <c r="K17" s="133" t="str">
        <f>IF($A17&lt;&gt;0,VLOOKUP($A17,'0.Productos'!$A$3:$GG$587,'0.Productos'!BC$1+1,0),"")</f>
        <v/>
      </c>
      <c r="L17" s="133" t="str">
        <f>IF($A17&lt;&gt;0,VLOOKUP($A17,'0.Productos'!$A$3:$GG$587,'0.Productos'!BD$1+1,0),"")</f>
        <v/>
      </c>
      <c r="M17" s="133" t="str">
        <f>IF($A17&lt;&gt;0,VLOOKUP($A17,'0.Productos'!$A$3:$GG$587,'0.Productos'!BE$1+1,0),"")</f>
        <v/>
      </c>
      <c r="N17" s="133" t="str">
        <f>IF($A17&lt;&gt;0,VLOOKUP($A17,'0.Productos'!$A$3:$GG$587,'0.Productos'!BF$1+1,0),"")</f>
        <v/>
      </c>
      <c r="O17" s="133" t="str">
        <f>IF($A17&lt;&gt;0,VLOOKUP($A17,'0.Productos'!$A$3:$GG$587,'0.Productos'!BG$1+1,0),"")</f>
        <v/>
      </c>
      <c r="P17" s="133" t="str">
        <f>IF($A17&lt;&gt;0,VLOOKUP($A17,'0.Productos'!$A$3:$GG$587,'0.Productos'!BH$1+1,0),"")</f>
        <v/>
      </c>
      <c r="Q17" s="133" t="str">
        <f>IF($A17&lt;&gt;0,VLOOKUP($A17,'0.Productos'!$A$3:$GG$587,'0.Productos'!BI$1+1,0),"")</f>
        <v/>
      </c>
      <c r="R17" s="133" t="str">
        <f>IF($A17&lt;&gt;0,VLOOKUP($A17,'0.Productos'!$A$3:$GG$587,'0.Productos'!BJ$1+1,0),"")</f>
        <v/>
      </c>
      <c r="S17" s="133" t="str">
        <f>IF($A17&lt;&gt;0,VLOOKUP($A17,'0.Productos'!$A$3:$GG$587,'0.Productos'!BK$1+1,0),"")</f>
        <v/>
      </c>
      <c r="T17" s="133" t="str">
        <f>IF($A17&lt;&gt;0,VLOOKUP($A17,'0.Productos'!$A$3:$GG$587,'0.Productos'!BL$1+1,0),"")</f>
        <v/>
      </c>
      <c r="U17" s="133" t="str">
        <f>IF($A17&lt;&gt;0,VLOOKUP($A17,'0.Productos'!$A$3:$GG$587,'0.Productos'!BM$1+1,0),"")</f>
        <v/>
      </c>
      <c r="V17" s="133" t="str">
        <f>IF($A17&lt;&gt;0,VLOOKUP($A17,'0.Productos'!$A$3:$GG$587,'0.Productos'!BN$1+1,0),"")</f>
        <v/>
      </c>
      <c r="W17" s="133" t="str">
        <f>IF($A17&lt;&gt;0,VLOOKUP($A17,'0.Productos'!$A$3:$GG$587,'0.Productos'!BO$1+1,0),"")</f>
        <v/>
      </c>
      <c r="X17" s="133" t="str">
        <f>IF($A17&lt;&gt;0,VLOOKUP($A17,'0.Productos'!$A$3:$GG$587,'0.Productos'!BP$1+1,0),"")</f>
        <v/>
      </c>
      <c r="Y17" s="133" t="str">
        <f>IF($A17&lt;&gt;0,VLOOKUP($A17,'0.Productos'!$A$3:$GG$587,'0.Productos'!BQ$1+1,0),"")</f>
        <v/>
      </c>
      <c r="Z17" s="133" t="str">
        <f>IF($A17&lt;&gt;0,VLOOKUP($A17,'0.Productos'!$A$3:$GG$587,'0.Productos'!BR$1+1,0),"")</f>
        <v/>
      </c>
      <c r="AA17" s="133" t="str">
        <f>IF($A17&lt;&gt;0,VLOOKUP($A17,'0.Productos'!$A$3:$GG$587,'0.Productos'!BS$1+1,0),"")</f>
        <v/>
      </c>
      <c r="AB17" s="133" t="str">
        <f>IF($A17&lt;&gt;0,VLOOKUP($A17,'0.Productos'!$A$3:$GG$587,'0.Productos'!BT$1+1,0),"")</f>
        <v/>
      </c>
      <c r="AC17" s="133" t="str">
        <f>IF($A17&lt;&gt;0,VLOOKUP($A17,'0.Productos'!$A$3:$GG$587,'0.Productos'!BU$1+1,0),"")</f>
        <v/>
      </c>
      <c r="AD17" s="133" t="str">
        <f>IF($A17&lt;&gt;0,VLOOKUP($A17,'0.Productos'!$A$3:$GG$587,'0.Productos'!BV$1+1,0),"")</f>
        <v/>
      </c>
      <c r="AE17" s="133" t="str">
        <f>IF($A17&lt;&gt;0,VLOOKUP($A17,'0.Productos'!$A$3:$GG$587,'0.Productos'!BW$1+1,0),"")</f>
        <v/>
      </c>
      <c r="AF17" s="133" t="str">
        <f>IF($A17&lt;&gt;0,VLOOKUP($A17,'0.Productos'!$A$3:$GG$587,'0.Productos'!BX$1+1,0),"")</f>
        <v/>
      </c>
      <c r="AG17" s="133" t="str">
        <f>IF($A17&lt;&gt;0,VLOOKUP($A17,'0.Productos'!$A$3:$GG$587,'0.Productos'!BY$1+1,0),"")</f>
        <v/>
      </c>
      <c r="AH17" s="133" t="str">
        <f>IF($A17&lt;&gt;0,VLOOKUP($A17,'0.Productos'!$A$3:$GG$587,'0.Productos'!BZ$1+1,0),"")</f>
        <v/>
      </c>
      <c r="AI17" s="133" t="str">
        <f>IF($A17&lt;&gt;0,VLOOKUP($A17,'0.Productos'!$A$3:$GG$587,'0.Productos'!CA$1+1,0),"")</f>
        <v/>
      </c>
      <c r="AJ17" s="133" t="str">
        <f>IF($A17&lt;&gt;0,VLOOKUP($A17,'0.Productos'!$A$3:$GG$587,'0.Productos'!CB$1+1,0),"")</f>
        <v/>
      </c>
      <c r="AK17" s="133" t="str">
        <f>IF($A17&lt;&gt;0,VLOOKUP($A17,'0.Productos'!$A$3:$GG$587,'0.Productos'!CC$1+1,0),"")</f>
        <v/>
      </c>
      <c r="AL17" s="133" t="str">
        <f>IF($A17&lt;&gt;0,VLOOKUP($A17,'0.Productos'!$A$3:$GG$587,'0.Productos'!CD$1+1,0),"")</f>
        <v/>
      </c>
      <c r="AM17" s="133" t="str">
        <f>IF($A17&lt;&gt;0,VLOOKUP($A17,'0.Productos'!$A$3:$GG$587,'0.Productos'!CE$1+1,0),"")</f>
        <v/>
      </c>
      <c r="AN17" s="133" t="str">
        <f>IF($A17&lt;&gt;0,VLOOKUP($A17,'0.Productos'!$A$3:$GG$587,'0.Productos'!CF$1+1,0),"")</f>
        <v/>
      </c>
      <c r="AO17" s="133" t="str">
        <f>IF($A17&lt;&gt;0,VLOOKUP($A17,'0.Productos'!$A$3:$GG$587,'0.Productos'!CG$1+1,0),"")</f>
        <v/>
      </c>
      <c r="AP17" s="133" t="str">
        <f>IF($A17&lt;&gt;0,VLOOKUP($A17,'0.Productos'!$A$3:$GG$587,'0.Productos'!CH$1+1,0),"")</f>
        <v/>
      </c>
      <c r="AQ17" s="133" t="str">
        <f>IF($A17&lt;&gt;0,VLOOKUP($A17,'0.Productos'!$A$3:$GG$587,'0.Productos'!CI$1+1,0),"")</f>
        <v/>
      </c>
      <c r="AR17" s="133" t="str">
        <f>IF($A17&lt;&gt;0,VLOOKUP($A17,'0.Productos'!$A$3:$GG$587,'0.Productos'!CJ$1+1,0),"")</f>
        <v/>
      </c>
      <c r="AS17" s="133" t="str">
        <f>IF($A17&lt;&gt;0,VLOOKUP($A17,'0.Productos'!$A$3:$GG$587,'0.Productos'!CK$1+1,0),"")</f>
        <v/>
      </c>
      <c r="AT17" s="133" t="str">
        <f>IF($A17&lt;&gt;0,VLOOKUP($A17,'0.Productos'!$A$3:$GG$587,'0.Productos'!CL$1+1,0),"")</f>
        <v/>
      </c>
      <c r="AU17" s="133" t="str">
        <f>IF($A17&lt;&gt;0,VLOOKUP($A17,'0.Productos'!$A$3:$GG$587,'0.Productos'!CM$1+1,0),"")</f>
        <v/>
      </c>
      <c r="AV17" s="133" t="str">
        <f>IF($A17&lt;&gt;0,VLOOKUP($A17,'0.Productos'!$A$3:$GG$587,'0.Productos'!CN$1+1,0),"")</f>
        <v/>
      </c>
      <c r="AW17" s="133" t="str">
        <f>IF($A17&lt;&gt;0,VLOOKUP($A17,'0.Productos'!$A$3:$GG$587,'0.Productos'!CO$1+1,0),"")</f>
        <v/>
      </c>
      <c r="AX17" s="133" t="str">
        <f>IF($A17&lt;&gt;0,VLOOKUP($A17,'0.Productos'!$A$3:$GG$587,'0.Productos'!CP$1+1,0),"")</f>
        <v/>
      </c>
      <c r="AY17" s="133" t="str">
        <f>IF($A17&lt;&gt;0,VLOOKUP($A17,'0.Productos'!$A$3:$GG$587,'0.Productos'!CQ$1+1,0),"")</f>
        <v/>
      </c>
      <c r="AZ17" s="133" t="str">
        <f>IF($A17&lt;&gt;0,VLOOKUP($A17,'0.Productos'!$A$3:$GG$587,'0.Productos'!CR$1+1,0),"")</f>
        <v/>
      </c>
      <c r="BA17" s="133" t="str">
        <f>IF($A17&lt;&gt;0,VLOOKUP($A17,'0.Productos'!$A$3:$GG$587,'0.Productos'!CS$1+1,0),"")</f>
        <v/>
      </c>
      <c r="BB17" s="133" t="str">
        <f>IF($A17&lt;&gt;0,VLOOKUP($A17,'0.Productos'!$A$3:$GG$587,'0.Productos'!CT$1+1,0),"")</f>
        <v/>
      </c>
      <c r="BC17" s="133" t="str">
        <f>IF($A17&lt;&gt;0,VLOOKUP($A17,'0.Productos'!$A$3:$GG$587,'0.Productos'!CU$1+1,0),"")</f>
        <v/>
      </c>
      <c r="BD17" s="133" t="str">
        <f>IF($A17&lt;&gt;0,VLOOKUP($A17,'0.Productos'!$A$3:$GG$587,'0.Productos'!CV$1+1,0),"")</f>
        <v/>
      </c>
      <c r="BE17" s="133" t="str">
        <f>IF($A17&lt;&gt;0,VLOOKUP($A17,'0.Productos'!$A$3:$GG$587,'0.Productos'!CW$1+1,0),"")</f>
        <v/>
      </c>
      <c r="BF17" s="133" t="str">
        <f>IF($A17&lt;&gt;0,VLOOKUP($A17,'0.Productos'!$A$3:$GG$587,'0.Productos'!CX$1+1,0),"")</f>
        <v/>
      </c>
      <c r="BG17" s="133" t="str">
        <f>IF($A17&lt;&gt;0,VLOOKUP($A17,'0.Productos'!$A$3:$GG$587,'0.Productos'!CY$1+1,0),"")</f>
        <v/>
      </c>
      <c r="BH17" s="133" t="str">
        <f>IF($A17&lt;&gt;0,VLOOKUP($A17,'0.Productos'!$A$3:$GG$587,'0.Productos'!CZ$1+1,0),"")</f>
        <v/>
      </c>
      <c r="BI17" s="133" t="str">
        <f>IF($A17&lt;&gt;0,VLOOKUP($A17,'0.Productos'!$A$3:$GG$587,'0.Productos'!DA$1+1,0),"")</f>
        <v/>
      </c>
      <c r="BJ17" s="133" t="str">
        <f>IF($A17&lt;&gt;0,VLOOKUP($A17,'0.Productos'!$A$3:$GG$587,'0.Productos'!DB$1+1,0),"")</f>
        <v/>
      </c>
      <c r="BK17" s="133" t="str">
        <f>IF($A17&lt;&gt;0,VLOOKUP($A17,'0.Productos'!$A$3:$GG$587,'0.Productos'!DC$1+1,0),"")</f>
        <v/>
      </c>
      <c r="BL17" s="133" t="str">
        <f>IF($A17&lt;&gt;0,VLOOKUP($A17,'0.Productos'!$A$3:$GG$587,'0.Productos'!DD$1+1,0),"")</f>
        <v/>
      </c>
      <c r="BM17" s="133" t="str">
        <f>IF($A17&lt;&gt;0,VLOOKUP($A17,'0.Productos'!$A$3:$GG$587,'0.Productos'!DE$1+1,0),"")</f>
        <v/>
      </c>
      <c r="BN17" s="133" t="str">
        <f>IF($A17&lt;&gt;0,VLOOKUP($A17,'0.Productos'!$A$3:$GG$587,'0.Productos'!DF$1+1,0),"")</f>
        <v/>
      </c>
      <c r="BO17" s="133" t="str">
        <f>IF($A17&lt;&gt;0,VLOOKUP($A17,'0.Productos'!$A$3:$GG$587,'0.Productos'!DG$1+1,0),"")</f>
        <v/>
      </c>
      <c r="BP17" s="133" t="str">
        <f>IF($A17&lt;&gt;0,VLOOKUP($A17,'0.Productos'!$A$3:$GG$587,'0.Productos'!DH$1+1,0),"")</f>
        <v/>
      </c>
      <c r="BQ17" s="133" t="str">
        <f>IF($A17&lt;&gt;0,VLOOKUP($A17,'0.Productos'!$A$3:$GG$587,'0.Productos'!DI$1+1,0),"")</f>
        <v/>
      </c>
      <c r="BR17" s="133" t="str">
        <f>IF($A17&lt;&gt;0,VLOOKUP($A17,'0.Productos'!$A$3:$GG$587,'0.Productos'!DJ$1+1,0),"")</f>
        <v/>
      </c>
      <c r="BS17" s="133" t="str">
        <f>IF($A17&lt;&gt;0,VLOOKUP($A17,'0.Productos'!$A$3:$GG$587,'0.Productos'!DK$1+1,0),"")</f>
        <v/>
      </c>
      <c r="BT17" s="133" t="str">
        <f>IF($A17&lt;&gt;0,VLOOKUP($A17,'0.Productos'!$A$3:$GG$587,'0.Productos'!DL$1+1,0),"")</f>
        <v/>
      </c>
    </row>
    <row r="18" spans="1:72" x14ac:dyDescent="0.25">
      <c r="A18" s="17">
        <f>'0.Consolidado general'!A18</f>
        <v>0</v>
      </c>
      <c r="B18" s="133" t="str">
        <f>IF($A18&lt;&gt;0,VLOOKUP($A18,'0.Productos'!$A$3:$GG$587,'0.Productos'!AT$1+1,0),"")</f>
        <v/>
      </c>
      <c r="C18" s="133" t="str">
        <f>IF($A18&lt;&gt;0,VLOOKUP($A18,'0.Productos'!$A$3:$GG$587,'0.Productos'!AU$1+1,0),"")</f>
        <v/>
      </c>
      <c r="D18" s="133" t="str">
        <f>IF($A18&lt;&gt;0,VLOOKUP($A18,'0.Productos'!$A$3:$GG$587,'0.Productos'!AV$1+1,0),"")</f>
        <v/>
      </c>
      <c r="E18" s="133" t="str">
        <f>IF($A18&lt;&gt;0,VLOOKUP($A18,'0.Productos'!$A$3:$GG$587,'0.Productos'!AW$1+1,0),"")</f>
        <v/>
      </c>
      <c r="F18" s="133" t="str">
        <f>IF($A18&lt;&gt;0,VLOOKUP($A18,'0.Productos'!$A$3:$GG$587,'0.Productos'!AX$1+1,0),"")</f>
        <v/>
      </c>
      <c r="G18" s="133" t="str">
        <f>IF($A18&lt;&gt;0,VLOOKUP($A18,'0.Productos'!$A$3:$GG$587,'0.Productos'!AY$1+1,0),"")</f>
        <v/>
      </c>
      <c r="H18" s="133" t="str">
        <f>IF($A18&lt;&gt;0,VLOOKUP($A18,'0.Productos'!$A$3:$GG$587,'0.Productos'!AZ$1+1,0),"")</f>
        <v/>
      </c>
      <c r="I18" s="133" t="str">
        <f>IF($A18&lt;&gt;0,VLOOKUP($A18,'0.Productos'!$A$3:$GG$587,'0.Productos'!BA$1+1,0),"")</f>
        <v/>
      </c>
      <c r="J18" s="133" t="str">
        <f>IF($A18&lt;&gt;0,VLOOKUP($A18,'0.Productos'!$A$3:$GG$587,'0.Productos'!BB$1+1,0),"")</f>
        <v/>
      </c>
      <c r="K18" s="133" t="str">
        <f>IF($A18&lt;&gt;0,VLOOKUP($A18,'0.Productos'!$A$3:$GG$587,'0.Productos'!BC$1+1,0),"")</f>
        <v/>
      </c>
      <c r="L18" s="133" t="str">
        <f>IF($A18&lt;&gt;0,VLOOKUP($A18,'0.Productos'!$A$3:$GG$587,'0.Productos'!BD$1+1,0),"")</f>
        <v/>
      </c>
      <c r="M18" s="133" t="str">
        <f>IF($A18&lt;&gt;0,VLOOKUP($A18,'0.Productos'!$A$3:$GG$587,'0.Productos'!BE$1+1,0),"")</f>
        <v/>
      </c>
      <c r="N18" s="133" t="str">
        <f>IF($A18&lt;&gt;0,VLOOKUP($A18,'0.Productos'!$A$3:$GG$587,'0.Productos'!BF$1+1,0),"")</f>
        <v/>
      </c>
      <c r="O18" s="133" t="str">
        <f>IF($A18&lt;&gt;0,VLOOKUP($A18,'0.Productos'!$A$3:$GG$587,'0.Productos'!BG$1+1,0),"")</f>
        <v/>
      </c>
      <c r="P18" s="133" t="str">
        <f>IF($A18&lt;&gt;0,VLOOKUP($A18,'0.Productos'!$A$3:$GG$587,'0.Productos'!BH$1+1,0),"")</f>
        <v/>
      </c>
      <c r="Q18" s="133" t="str">
        <f>IF($A18&lt;&gt;0,VLOOKUP($A18,'0.Productos'!$A$3:$GG$587,'0.Productos'!BI$1+1,0),"")</f>
        <v/>
      </c>
      <c r="R18" s="133" t="str">
        <f>IF($A18&lt;&gt;0,VLOOKUP($A18,'0.Productos'!$A$3:$GG$587,'0.Productos'!BJ$1+1,0),"")</f>
        <v/>
      </c>
      <c r="S18" s="133" t="str">
        <f>IF($A18&lt;&gt;0,VLOOKUP($A18,'0.Productos'!$A$3:$GG$587,'0.Productos'!BK$1+1,0),"")</f>
        <v/>
      </c>
      <c r="T18" s="133" t="str">
        <f>IF($A18&lt;&gt;0,VLOOKUP($A18,'0.Productos'!$A$3:$GG$587,'0.Productos'!BL$1+1,0),"")</f>
        <v/>
      </c>
      <c r="U18" s="133" t="str">
        <f>IF($A18&lt;&gt;0,VLOOKUP($A18,'0.Productos'!$A$3:$GG$587,'0.Productos'!BM$1+1,0),"")</f>
        <v/>
      </c>
      <c r="V18" s="133" t="str">
        <f>IF($A18&lt;&gt;0,VLOOKUP($A18,'0.Productos'!$A$3:$GG$587,'0.Productos'!BN$1+1,0),"")</f>
        <v/>
      </c>
      <c r="W18" s="133" t="str">
        <f>IF($A18&lt;&gt;0,VLOOKUP($A18,'0.Productos'!$A$3:$GG$587,'0.Productos'!BO$1+1,0),"")</f>
        <v/>
      </c>
      <c r="X18" s="133" t="str">
        <f>IF($A18&lt;&gt;0,VLOOKUP($A18,'0.Productos'!$A$3:$GG$587,'0.Productos'!BP$1+1,0),"")</f>
        <v/>
      </c>
      <c r="Y18" s="133" t="str">
        <f>IF($A18&lt;&gt;0,VLOOKUP($A18,'0.Productos'!$A$3:$GG$587,'0.Productos'!BQ$1+1,0),"")</f>
        <v/>
      </c>
      <c r="Z18" s="133" t="str">
        <f>IF($A18&lt;&gt;0,VLOOKUP($A18,'0.Productos'!$A$3:$GG$587,'0.Productos'!BR$1+1,0),"")</f>
        <v/>
      </c>
      <c r="AA18" s="133" t="str">
        <f>IF($A18&lt;&gt;0,VLOOKUP($A18,'0.Productos'!$A$3:$GG$587,'0.Productos'!BS$1+1,0),"")</f>
        <v/>
      </c>
      <c r="AB18" s="133" t="str">
        <f>IF($A18&lt;&gt;0,VLOOKUP($A18,'0.Productos'!$A$3:$GG$587,'0.Productos'!BT$1+1,0),"")</f>
        <v/>
      </c>
      <c r="AC18" s="133" t="str">
        <f>IF($A18&lt;&gt;0,VLOOKUP($A18,'0.Productos'!$A$3:$GG$587,'0.Productos'!BU$1+1,0),"")</f>
        <v/>
      </c>
      <c r="AD18" s="133" t="str">
        <f>IF($A18&lt;&gt;0,VLOOKUP($A18,'0.Productos'!$A$3:$GG$587,'0.Productos'!BV$1+1,0),"")</f>
        <v/>
      </c>
      <c r="AE18" s="133" t="str">
        <f>IF($A18&lt;&gt;0,VLOOKUP($A18,'0.Productos'!$A$3:$GG$587,'0.Productos'!BW$1+1,0),"")</f>
        <v/>
      </c>
      <c r="AF18" s="133" t="str">
        <f>IF($A18&lt;&gt;0,VLOOKUP($A18,'0.Productos'!$A$3:$GG$587,'0.Productos'!BX$1+1,0),"")</f>
        <v/>
      </c>
      <c r="AG18" s="133" t="str">
        <f>IF($A18&lt;&gt;0,VLOOKUP($A18,'0.Productos'!$A$3:$GG$587,'0.Productos'!BY$1+1,0),"")</f>
        <v/>
      </c>
      <c r="AH18" s="133" t="str">
        <f>IF($A18&lt;&gt;0,VLOOKUP($A18,'0.Productos'!$A$3:$GG$587,'0.Productos'!BZ$1+1,0),"")</f>
        <v/>
      </c>
      <c r="AI18" s="133" t="str">
        <f>IF($A18&lt;&gt;0,VLOOKUP($A18,'0.Productos'!$A$3:$GG$587,'0.Productos'!CA$1+1,0),"")</f>
        <v/>
      </c>
      <c r="AJ18" s="133" t="str">
        <f>IF($A18&lt;&gt;0,VLOOKUP($A18,'0.Productos'!$A$3:$GG$587,'0.Productos'!CB$1+1,0),"")</f>
        <v/>
      </c>
      <c r="AK18" s="133" t="str">
        <f>IF($A18&lt;&gt;0,VLOOKUP($A18,'0.Productos'!$A$3:$GG$587,'0.Productos'!CC$1+1,0),"")</f>
        <v/>
      </c>
      <c r="AL18" s="133" t="str">
        <f>IF($A18&lt;&gt;0,VLOOKUP($A18,'0.Productos'!$A$3:$GG$587,'0.Productos'!CD$1+1,0),"")</f>
        <v/>
      </c>
      <c r="AM18" s="133" t="str">
        <f>IF($A18&lt;&gt;0,VLOOKUP($A18,'0.Productos'!$A$3:$GG$587,'0.Productos'!CE$1+1,0),"")</f>
        <v/>
      </c>
      <c r="AN18" s="133" t="str">
        <f>IF($A18&lt;&gt;0,VLOOKUP($A18,'0.Productos'!$A$3:$GG$587,'0.Productos'!CF$1+1,0),"")</f>
        <v/>
      </c>
      <c r="AO18" s="133" t="str">
        <f>IF($A18&lt;&gt;0,VLOOKUP($A18,'0.Productos'!$A$3:$GG$587,'0.Productos'!CG$1+1,0),"")</f>
        <v/>
      </c>
      <c r="AP18" s="133" t="str">
        <f>IF($A18&lt;&gt;0,VLOOKUP($A18,'0.Productos'!$A$3:$GG$587,'0.Productos'!CH$1+1,0),"")</f>
        <v/>
      </c>
      <c r="AQ18" s="133" t="str">
        <f>IF($A18&lt;&gt;0,VLOOKUP($A18,'0.Productos'!$A$3:$GG$587,'0.Productos'!CI$1+1,0),"")</f>
        <v/>
      </c>
      <c r="AR18" s="133" t="str">
        <f>IF($A18&lt;&gt;0,VLOOKUP($A18,'0.Productos'!$A$3:$GG$587,'0.Productos'!CJ$1+1,0),"")</f>
        <v/>
      </c>
      <c r="AS18" s="133" t="str">
        <f>IF($A18&lt;&gt;0,VLOOKUP($A18,'0.Productos'!$A$3:$GG$587,'0.Productos'!CK$1+1,0),"")</f>
        <v/>
      </c>
      <c r="AT18" s="133" t="str">
        <f>IF($A18&lt;&gt;0,VLOOKUP($A18,'0.Productos'!$A$3:$GG$587,'0.Productos'!CL$1+1,0),"")</f>
        <v/>
      </c>
      <c r="AU18" s="133" t="str">
        <f>IF($A18&lt;&gt;0,VLOOKUP($A18,'0.Productos'!$A$3:$GG$587,'0.Productos'!CM$1+1,0),"")</f>
        <v/>
      </c>
      <c r="AV18" s="133" t="str">
        <f>IF($A18&lt;&gt;0,VLOOKUP($A18,'0.Productos'!$A$3:$GG$587,'0.Productos'!CN$1+1,0),"")</f>
        <v/>
      </c>
      <c r="AW18" s="133" t="str">
        <f>IF($A18&lt;&gt;0,VLOOKUP($A18,'0.Productos'!$A$3:$GG$587,'0.Productos'!CO$1+1,0),"")</f>
        <v/>
      </c>
      <c r="AX18" s="133" t="str">
        <f>IF($A18&lt;&gt;0,VLOOKUP($A18,'0.Productos'!$A$3:$GG$587,'0.Productos'!CP$1+1,0),"")</f>
        <v/>
      </c>
      <c r="AY18" s="133" t="str">
        <f>IF($A18&lt;&gt;0,VLOOKUP($A18,'0.Productos'!$A$3:$GG$587,'0.Productos'!CQ$1+1,0),"")</f>
        <v/>
      </c>
      <c r="AZ18" s="133" t="str">
        <f>IF($A18&lt;&gt;0,VLOOKUP($A18,'0.Productos'!$A$3:$GG$587,'0.Productos'!CR$1+1,0),"")</f>
        <v/>
      </c>
      <c r="BA18" s="133" t="str">
        <f>IF($A18&lt;&gt;0,VLOOKUP($A18,'0.Productos'!$A$3:$GG$587,'0.Productos'!CS$1+1,0),"")</f>
        <v/>
      </c>
      <c r="BB18" s="133" t="str">
        <f>IF($A18&lt;&gt;0,VLOOKUP($A18,'0.Productos'!$A$3:$GG$587,'0.Productos'!CT$1+1,0),"")</f>
        <v/>
      </c>
      <c r="BC18" s="133" t="str">
        <f>IF($A18&lt;&gt;0,VLOOKUP($A18,'0.Productos'!$A$3:$GG$587,'0.Productos'!CU$1+1,0),"")</f>
        <v/>
      </c>
      <c r="BD18" s="133" t="str">
        <f>IF($A18&lt;&gt;0,VLOOKUP($A18,'0.Productos'!$A$3:$GG$587,'0.Productos'!CV$1+1,0),"")</f>
        <v/>
      </c>
      <c r="BE18" s="133" t="str">
        <f>IF($A18&lt;&gt;0,VLOOKUP($A18,'0.Productos'!$A$3:$GG$587,'0.Productos'!CW$1+1,0),"")</f>
        <v/>
      </c>
      <c r="BF18" s="133" t="str">
        <f>IF($A18&lt;&gt;0,VLOOKUP($A18,'0.Productos'!$A$3:$GG$587,'0.Productos'!CX$1+1,0),"")</f>
        <v/>
      </c>
      <c r="BG18" s="133" t="str">
        <f>IF($A18&lt;&gt;0,VLOOKUP($A18,'0.Productos'!$A$3:$GG$587,'0.Productos'!CY$1+1,0),"")</f>
        <v/>
      </c>
      <c r="BH18" s="133" t="str">
        <f>IF($A18&lt;&gt;0,VLOOKUP($A18,'0.Productos'!$A$3:$GG$587,'0.Productos'!CZ$1+1,0),"")</f>
        <v/>
      </c>
      <c r="BI18" s="133" t="str">
        <f>IF($A18&lt;&gt;0,VLOOKUP($A18,'0.Productos'!$A$3:$GG$587,'0.Productos'!DA$1+1,0),"")</f>
        <v/>
      </c>
      <c r="BJ18" s="133" t="str">
        <f>IF($A18&lt;&gt;0,VLOOKUP($A18,'0.Productos'!$A$3:$GG$587,'0.Productos'!DB$1+1,0),"")</f>
        <v/>
      </c>
      <c r="BK18" s="133" t="str">
        <f>IF($A18&lt;&gt;0,VLOOKUP($A18,'0.Productos'!$A$3:$GG$587,'0.Productos'!DC$1+1,0),"")</f>
        <v/>
      </c>
      <c r="BL18" s="133" t="str">
        <f>IF($A18&lt;&gt;0,VLOOKUP($A18,'0.Productos'!$A$3:$GG$587,'0.Productos'!DD$1+1,0),"")</f>
        <v/>
      </c>
      <c r="BM18" s="133" t="str">
        <f>IF($A18&lt;&gt;0,VLOOKUP($A18,'0.Productos'!$A$3:$GG$587,'0.Productos'!DE$1+1,0),"")</f>
        <v/>
      </c>
      <c r="BN18" s="133" t="str">
        <f>IF($A18&lt;&gt;0,VLOOKUP($A18,'0.Productos'!$A$3:$GG$587,'0.Productos'!DF$1+1,0),"")</f>
        <v/>
      </c>
      <c r="BO18" s="133" t="str">
        <f>IF($A18&lt;&gt;0,VLOOKUP($A18,'0.Productos'!$A$3:$GG$587,'0.Productos'!DG$1+1,0),"")</f>
        <v/>
      </c>
      <c r="BP18" s="133" t="str">
        <f>IF($A18&lt;&gt;0,VLOOKUP($A18,'0.Productos'!$A$3:$GG$587,'0.Productos'!DH$1+1,0),"")</f>
        <v/>
      </c>
      <c r="BQ18" s="133" t="str">
        <f>IF($A18&lt;&gt;0,VLOOKUP($A18,'0.Productos'!$A$3:$GG$587,'0.Productos'!DI$1+1,0),"")</f>
        <v/>
      </c>
      <c r="BR18" s="133" t="str">
        <f>IF($A18&lt;&gt;0,VLOOKUP($A18,'0.Productos'!$A$3:$GG$587,'0.Productos'!DJ$1+1,0),"")</f>
        <v/>
      </c>
      <c r="BS18" s="133" t="str">
        <f>IF($A18&lt;&gt;0,VLOOKUP($A18,'0.Productos'!$A$3:$GG$587,'0.Productos'!DK$1+1,0),"")</f>
        <v/>
      </c>
      <c r="BT18" s="133" t="str">
        <f>IF($A18&lt;&gt;0,VLOOKUP($A18,'0.Productos'!$A$3:$GG$587,'0.Productos'!DL$1+1,0),"")</f>
        <v/>
      </c>
    </row>
    <row r="19" spans="1:72" x14ac:dyDescent="0.25">
      <c r="A19" s="17">
        <f>'0.Consolidado general'!A19</f>
        <v>0</v>
      </c>
      <c r="B19" s="133" t="str">
        <f>IF($A19&lt;&gt;0,VLOOKUP($A19,'0.Productos'!$A$3:$GG$587,'0.Productos'!AT$1+1,0),"")</f>
        <v/>
      </c>
      <c r="C19" s="133" t="str">
        <f>IF($A19&lt;&gt;0,VLOOKUP($A19,'0.Productos'!$A$3:$GG$587,'0.Productos'!AU$1+1,0),"")</f>
        <v/>
      </c>
      <c r="D19" s="133" t="str">
        <f>IF($A19&lt;&gt;0,VLOOKUP($A19,'0.Productos'!$A$3:$GG$587,'0.Productos'!AV$1+1,0),"")</f>
        <v/>
      </c>
      <c r="E19" s="133" t="str">
        <f>IF($A19&lt;&gt;0,VLOOKUP($A19,'0.Productos'!$A$3:$GG$587,'0.Productos'!AW$1+1,0),"")</f>
        <v/>
      </c>
      <c r="F19" s="133" t="str">
        <f>IF($A19&lt;&gt;0,VLOOKUP($A19,'0.Productos'!$A$3:$GG$587,'0.Productos'!AX$1+1,0),"")</f>
        <v/>
      </c>
      <c r="G19" s="133" t="str">
        <f>IF($A19&lt;&gt;0,VLOOKUP($A19,'0.Productos'!$A$3:$GG$587,'0.Productos'!AY$1+1,0),"")</f>
        <v/>
      </c>
      <c r="H19" s="133" t="str">
        <f>IF($A19&lt;&gt;0,VLOOKUP($A19,'0.Productos'!$A$3:$GG$587,'0.Productos'!AZ$1+1,0),"")</f>
        <v/>
      </c>
      <c r="I19" s="133" t="str">
        <f>IF($A19&lt;&gt;0,VLOOKUP($A19,'0.Productos'!$A$3:$GG$587,'0.Productos'!BA$1+1,0),"")</f>
        <v/>
      </c>
      <c r="J19" s="133" t="str">
        <f>IF($A19&lt;&gt;0,VLOOKUP($A19,'0.Productos'!$A$3:$GG$587,'0.Productos'!BB$1+1,0),"")</f>
        <v/>
      </c>
      <c r="K19" s="133" t="str">
        <f>IF($A19&lt;&gt;0,VLOOKUP($A19,'0.Productos'!$A$3:$GG$587,'0.Productos'!BC$1+1,0),"")</f>
        <v/>
      </c>
      <c r="L19" s="133" t="str">
        <f>IF($A19&lt;&gt;0,VLOOKUP($A19,'0.Productos'!$A$3:$GG$587,'0.Productos'!BD$1+1,0),"")</f>
        <v/>
      </c>
      <c r="M19" s="133" t="str">
        <f>IF($A19&lt;&gt;0,VLOOKUP($A19,'0.Productos'!$A$3:$GG$587,'0.Productos'!BE$1+1,0),"")</f>
        <v/>
      </c>
      <c r="N19" s="133" t="str">
        <f>IF($A19&lt;&gt;0,VLOOKUP($A19,'0.Productos'!$A$3:$GG$587,'0.Productos'!BF$1+1,0),"")</f>
        <v/>
      </c>
      <c r="O19" s="133" t="str">
        <f>IF($A19&lt;&gt;0,VLOOKUP($A19,'0.Productos'!$A$3:$GG$587,'0.Productos'!BG$1+1,0),"")</f>
        <v/>
      </c>
      <c r="P19" s="133" t="str">
        <f>IF($A19&lt;&gt;0,VLOOKUP($A19,'0.Productos'!$A$3:$GG$587,'0.Productos'!BH$1+1,0),"")</f>
        <v/>
      </c>
      <c r="Q19" s="133" t="str">
        <f>IF($A19&lt;&gt;0,VLOOKUP($A19,'0.Productos'!$A$3:$GG$587,'0.Productos'!BI$1+1,0),"")</f>
        <v/>
      </c>
      <c r="R19" s="133" t="str">
        <f>IF($A19&lt;&gt;0,VLOOKUP($A19,'0.Productos'!$A$3:$GG$587,'0.Productos'!BJ$1+1,0),"")</f>
        <v/>
      </c>
      <c r="S19" s="133" t="str">
        <f>IF($A19&lt;&gt;0,VLOOKUP($A19,'0.Productos'!$A$3:$GG$587,'0.Productos'!BK$1+1,0),"")</f>
        <v/>
      </c>
      <c r="T19" s="133" t="str">
        <f>IF($A19&lt;&gt;0,VLOOKUP($A19,'0.Productos'!$A$3:$GG$587,'0.Productos'!BL$1+1,0),"")</f>
        <v/>
      </c>
      <c r="U19" s="133" t="str">
        <f>IF($A19&lt;&gt;0,VLOOKUP($A19,'0.Productos'!$A$3:$GG$587,'0.Productos'!BM$1+1,0),"")</f>
        <v/>
      </c>
      <c r="V19" s="133" t="str">
        <f>IF($A19&lt;&gt;0,VLOOKUP($A19,'0.Productos'!$A$3:$GG$587,'0.Productos'!BN$1+1,0),"")</f>
        <v/>
      </c>
      <c r="W19" s="133" t="str">
        <f>IF($A19&lt;&gt;0,VLOOKUP($A19,'0.Productos'!$A$3:$GG$587,'0.Productos'!BO$1+1,0),"")</f>
        <v/>
      </c>
      <c r="X19" s="133" t="str">
        <f>IF($A19&lt;&gt;0,VLOOKUP($A19,'0.Productos'!$A$3:$GG$587,'0.Productos'!BP$1+1,0),"")</f>
        <v/>
      </c>
      <c r="Y19" s="133" t="str">
        <f>IF($A19&lt;&gt;0,VLOOKUP($A19,'0.Productos'!$A$3:$GG$587,'0.Productos'!BQ$1+1,0),"")</f>
        <v/>
      </c>
      <c r="Z19" s="133" t="str">
        <f>IF($A19&lt;&gt;0,VLOOKUP($A19,'0.Productos'!$A$3:$GG$587,'0.Productos'!BR$1+1,0),"")</f>
        <v/>
      </c>
      <c r="AA19" s="133" t="str">
        <f>IF($A19&lt;&gt;0,VLOOKUP($A19,'0.Productos'!$A$3:$GG$587,'0.Productos'!BS$1+1,0),"")</f>
        <v/>
      </c>
      <c r="AB19" s="133" t="str">
        <f>IF($A19&lt;&gt;0,VLOOKUP($A19,'0.Productos'!$A$3:$GG$587,'0.Productos'!BT$1+1,0),"")</f>
        <v/>
      </c>
      <c r="AC19" s="133" t="str">
        <f>IF($A19&lt;&gt;0,VLOOKUP($A19,'0.Productos'!$A$3:$GG$587,'0.Productos'!BU$1+1,0),"")</f>
        <v/>
      </c>
      <c r="AD19" s="133" t="str">
        <f>IF($A19&lt;&gt;0,VLOOKUP($A19,'0.Productos'!$A$3:$GG$587,'0.Productos'!BV$1+1,0),"")</f>
        <v/>
      </c>
      <c r="AE19" s="133" t="str">
        <f>IF($A19&lt;&gt;0,VLOOKUP($A19,'0.Productos'!$A$3:$GG$587,'0.Productos'!BW$1+1,0),"")</f>
        <v/>
      </c>
      <c r="AF19" s="133" t="str">
        <f>IF($A19&lt;&gt;0,VLOOKUP($A19,'0.Productos'!$A$3:$GG$587,'0.Productos'!BX$1+1,0),"")</f>
        <v/>
      </c>
      <c r="AG19" s="133" t="str">
        <f>IF($A19&lt;&gt;0,VLOOKUP($A19,'0.Productos'!$A$3:$GG$587,'0.Productos'!BY$1+1,0),"")</f>
        <v/>
      </c>
      <c r="AH19" s="133" t="str">
        <f>IF($A19&lt;&gt;0,VLOOKUP($A19,'0.Productos'!$A$3:$GG$587,'0.Productos'!BZ$1+1,0),"")</f>
        <v/>
      </c>
      <c r="AI19" s="133" t="str">
        <f>IF($A19&lt;&gt;0,VLOOKUP($A19,'0.Productos'!$A$3:$GG$587,'0.Productos'!CA$1+1,0),"")</f>
        <v/>
      </c>
      <c r="AJ19" s="133" t="str">
        <f>IF($A19&lt;&gt;0,VLOOKUP($A19,'0.Productos'!$A$3:$GG$587,'0.Productos'!CB$1+1,0),"")</f>
        <v/>
      </c>
      <c r="AK19" s="133" t="str">
        <f>IF($A19&lt;&gt;0,VLOOKUP($A19,'0.Productos'!$A$3:$GG$587,'0.Productos'!CC$1+1,0),"")</f>
        <v/>
      </c>
      <c r="AL19" s="133" t="str">
        <f>IF($A19&lt;&gt;0,VLOOKUP($A19,'0.Productos'!$A$3:$GG$587,'0.Productos'!CD$1+1,0),"")</f>
        <v/>
      </c>
      <c r="AM19" s="133" t="str">
        <f>IF($A19&lt;&gt;0,VLOOKUP($A19,'0.Productos'!$A$3:$GG$587,'0.Productos'!CE$1+1,0),"")</f>
        <v/>
      </c>
      <c r="AN19" s="133" t="str">
        <f>IF($A19&lt;&gt;0,VLOOKUP($A19,'0.Productos'!$A$3:$GG$587,'0.Productos'!CF$1+1,0),"")</f>
        <v/>
      </c>
      <c r="AO19" s="133" t="str">
        <f>IF($A19&lt;&gt;0,VLOOKUP($A19,'0.Productos'!$A$3:$GG$587,'0.Productos'!CG$1+1,0),"")</f>
        <v/>
      </c>
      <c r="AP19" s="133" t="str">
        <f>IF($A19&lt;&gt;0,VLOOKUP($A19,'0.Productos'!$A$3:$GG$587,'0.Productos'!CH$1+1,0),"")</f>
        <v/>
      </c>
      <c r="AQ19" s="133" t="str">
        <f>IF($A19&lt;&gt;0,VLOOKUP($A19,'0.Productos'!$A$3:$GG$587,'0.Productos'!CI$1+1,0),"")</f>
        <v/>
      </c>
      <c r="AR19" s="133" t="str">
        <f>IF($A19&lt;&gt;0,VLOOKUP($A19,'0.Productos'!$A$3:$GG$587,'0.Productos'!CJ$1+1,0),"")</f>
        <v/>
      </c>
      <c r="AS19" s="133" t="str">
        <f>IF($A19&lt;&gt;0,VLOOKUP($A19,'0.Productos'!$A$3:$GG$587,'0.Productos'!CK$1+1,0),"")</f>
        <v/>
      </c>
      <c r="AT19" s="133" t="str">
        <f>IF($A19&lt;&gt;0,VLOOKUP($A19,'0.Productos'!$A$3:$GG$587,'0.Productos'!CL$1+1,0),"")</f>
        <v/>
      </c>
      <c r="AU19" s="133" t="str">
        <f>IF($A19&lt;&gt;0,VLOOKUP($A19,'0.Productos'!$A$3:$GG$587,'0.Productos'!CM$1+1,0),"")</f>
        <v/>
      </c>
      <c r="AV19" s="133" t="str">
        <f>IF($A19&lt;&gt;0,VLOOKUP($A19,'0.Productos'!$A$3:$GG$587,'0.Productos'!CN$1+1,0),"")</f>
        <v/>
      </c>
      <c r="AW19" s="133" t="str">
        <f>IF($A19&lt;&gt;0,VLOOKUP($A19,'0.Productos'!$A$3:$GG$587,'0.Productos'!CO$1+1,0),"")</f>
        <v/>
      </c>
      <c r="AX19" s="133" t="str">
        <f>IF($A19&lt;&gt;0,VLOOKUP($A19,'0.Productos'!$A$3:$GG$587,'0.Productos'!CP$1+1,0),"")</f>
        <v/>
      </c>
      <c r="AY19" s="133" t="str">
        <f>IF($A19&lt;&gt;0,VLOOKUP($A19,'0.Productos'!$A$3:$GG$587,'0.Productos'!CQ$1+1,0),"")</f>
        <v/>
      </c>
      <c r="AZ19" s="133" t="str">
        <f>IF($A19&lt;&gt;0,VLOOKUP($A19,'0.Productos'!$A$3:$GG$587,'0.Productos'!CR$1+1,0),"")</f>
        <v/>
      </c>
      <c r="BA19" s="133" t="str">
        <f>IF($A19&lt;&gt;0,VLOOKUP($A19,'0.Productos'!$A$3:$GG$587,'0.Productos'!CS$1+1,0),"")</f>
        <v/>
      </c>
      <c r="BB19" s="133" t="str">
        <f>IF($A19&lt;&gt;0,VLOOKUP($A19,'0.Productos'!$A$3:$GG$587,'0.Productos'!CT$1+1,0),"")</f>
        <v/>
      </c>
      <c r="BC19" s="133" t="str">
        <f>IF($A19&lt;&gt;0,VLOOKUP($A19,'0.Productos'!$A$3:$GG$587,'0.Productos'!CU$1+1,0),"")</f>
        <v/>
      </c>
      <c r="BD19" s="133" t="str">
        <f>IF($A19&lt;&gt;0,VLOOKUP($A19,'0.Productos'!$A$3:$GG$587,'0.Productos'!CV$1+1,0),"")</f>
        <v/>
      </c>
      <c r="BE19" s="133" t="str">
        <f>IF($A19&lt;&gt;0,VLOOKUP($A19,'0.Productos'!$A$3:$GG$587,'0.Productos'!CW$1+1,0),"")</f>
        <v/>
      </c>
      <c r="BF19" s="133" t="str">
        <f>IF($A19&lt;&gt;0,VLOOKUP($A19,'0.Productos'!$A$3:$GG$587,'0.Productos'!CX$1+1,0),"")</f>
        <v/>
      </c>
      <c r="BG19" s="133" t="str">
        <f>IF($A19&lt;&gt;0,VLOOKUP($A19,'0.Productos'!$A$3:$GG$587,'0.Productos'!CY$1+1,0),"")</f>
        <v/>
      </c>
      <c r="BH19" s="133" t="str">
        <f>IF($A19&lt;&gt;0,VLOOKUP($A19,'0.Productos'!$A$3:$GG$587,'0.Productos'!CZ$1+1,0),"")</f>
        <v/>
      </c>
      <c r="BI19" s="133" t="str">
        <f>IF($A19&lt;&gt;0,VLOOKUP($A19,'0.Productos'!$A$3:$GG$587,'0.Productos'!DA$1+1,0),"")</f>
        <v/>
      </c>
      <c r="BJ19" s="133" t="str">
        <f>IF($A19&lt;&gt;0,VLOOKUP($A19,'0.Productos'!$A$3:$GG$587,'0.Productos'!DB$1+1,0),"")</f>
        <v/>
      </c>
      <c r="BK19" s="133" t="str">
        <f>IF($A19&lt;&gt;0,VLOOKUP($A19,'0.Productos'!$A$3:$GG$587,'0.Productos'!DC$1+1,0),"")</f>
        <v/>
      </c>
      <c r="BL19" s="133" t="str">
        <f>IF($A19&lt;&gt;0,VLOOKUP($A19,'0.Productos'!$A$3:$GG$587,'0.Productos'!DD$1+1,0),"")</f>
        <v/>
      </c>
      <c r="BM19" s="133" t="str">
        <f>IF($A19&lt;&gt;0,VLOOKUP($A19,'0.Productos'!$A$3:$GG$587,'0.Productos'!DE$1+1,0),"")</f>
        <v/>
      </c>
      <c r="BN19" s="133" t="str">
        <f>IF($A19&lt;&gt;0,VLOOKUP($A19,'0.Productos'!$A$3:$GG$587,'0.Productos'!DF$1+1,0),"")</f>
        <v/>
      </c>
      <c r="BO19" s="133" t="str">
        <f>IF($A19&lt;&gt;0,VLOOKUP($A19,'0.Productos'!$A$3:$GG$587,'0.Productos'!DG$1+1,0),"")</f>
        <v/>
      </c>
      <c r="BP19" s="133" t="str">
        <f>IF($A19&lt;&gt;0,VLOOKUP($A19,'0.Productos'!$A$3:$GG$587,'0.Productos'!DH$1+1,0),"")</f>
        <v/>
      </c>
      <c r="BQ19" s="133" t="str">
        <f>IF($A19&lt;&gt;0,VLOOKUP($A19,'0.Productos'!$A$3:$GG$587,'0.Productos'!DI$1+1,0),"")</f>
        <v/>
      </c>
      <c r="BR19" s="133" t="str">
        <f>IF($A19&lt;&gt;0,VLOOKUP($A19,'0.Productos'!$A$3:$GG$587,'0.Productos'!DJ$1+1,0),"")</f>
        <v/>
      </c>
      <c r="BS19" s="133" t="str">
        <f>IF($A19&lt;&gt;0,VLOOKUP($A19,'0.Productos'!$A$3:$GG$587,'0.Productos'!DK$1+1,0),"")</f>
        <v/>
      </c>
      <c r="BT19" s="133" t="str">
        <f>IF($A19&lt;&gt;0,VLOOKUP($A19,'0.Productos'!$A$3:$GG$587,'0.Productos'!DL$1+1,0),"")</f>
        <v/>
      </c>
    </row>
    <row r="20" spans="1:72" x14ac:dyDescent="0.25">
      <c r="A20" s="17">
        <f>'0.Consolidado general'!A20</f>
        <v>0</v>
      </c>
      <c r="B20" s="133" t="str">
        <f>IF($A20&lt;&gt;0,VLOOKUP($A20,'0.Productos'!$A$3:$GG$587,'0.Productos'!AT$1+1,0),"")</f>
        <v/>
      </c>
      <c r="C20" s="133" t="str">
        <f>IF($A20&lt;&gt;0,VLOOKUP($A20,'0.Productos'!$A$3:$GG$587,'0.Productos'!AU$1+1,0),"")</f>
        <v/>
      </c>
      <c r="D20" s="133" t="str">
        <f>IF($A20&lt;&gt;0,VLOOKUP($A20,'0.Productos'!$A$3:$GG$587,'0.Productos'!AV$1+1,0),"")</f>
        <v/>
      </c>
      <c r="E20" s="133" t="str">
        <f>IF($A20&lt;&gt;0,VLOOKUP($A20,'0.Productos'!$A$3:$GG$587,'0.Productos'!AW$1+1,0),"")</f>
        <v/>
      </c>
      <c r="F20" s="133" t="str">
        <f>IF($A20&lt;&gt;0,VLOOKUP($A20,'0.Productos'!$A$3:$GG$587,'0.Productos'!AX$1+1,0),"")</f>
        <v/>
      </c>
      <c r="G20" s="133" t="str">
        <f>IF($A20&lt;&gt;0,VLOOKUP($A20,'0.Productos'!$A$3:$GG$587,'0.Productos'!AY$1+1,0),"")</f>
        <v/>
      </c>
      <c r="H20" s="133" t="str">
        <f>IF($A20&lt;&gt;0,VLOOKUP($A20,'0.Productos'!$A$3:$GG$587,'0.Productos'!AZ$1+1,0),"")</f>
        <v/>
      </c>
      <c r="I20" s="133" t="str">
        <f>IF($A20&lt;&gt;0,VLOOKUP($A20,'0.Productos'!$A$3:$GG$587,'0.Productos'!BA$1+1,0),"")</f>
        <v/>
      </c>
      <c r="J20" s="133" t="str">
        <f>IF($A20&lt;&gt;0,VLOOKUP($A20,'0.Productos'!$A$3:$GG$587,'0.Productos'!BB$1+1,0),"")</f>
        <v/>
      </c>
      <c r="K20" s="133" t="str">
        <f>IF($A20&lt;&gt;0,VLOOKUP($A20,'0.Productos'!$A$3:$GG$587,'0.Productos'!BC$1+1,0),"")</f>
        <v/>
      </c>
      <c r="L20" s="133" t="str">
        <f>IF($A20&lt;&gt;0,VLOOKUP($A20,'0.Productos'!$A$3:$GG$587,'0.Productos'!BD$1+1,0),"")</f>
        <v/>
      </c>
      <c r="M20" s="133" t="str">
        <f>IF($A20&lt;&gt;0,VLOOKUP($A20,'0.Productos'!$A$3:$GG$587,'0.Productos'!BE$1+1,0),"")</f>
        <v/>
      </c>
      <c r="N20" s="133" t="str">
        <f>IF($A20&lt;&gt;0,VLOOKUP($A20,'0.Productos'!$A$3:$GG$587,'0.Productos'!BF$1+1,0),"")</f>
        <v/>
      </c>
      <c r="O20" s="133" t="str">
        <f>IF($A20&lt;&gt;0,VLOOKUP($A20,'0.Productos'!$A$3:$GG$587,'0.Productos'!BG$1+1,0),"")</f>
        <v/>
      </c>
      <c r="P20" s="133" t="str">
        <f>IF($A20&lt;&gt;0,VLOOKUP($A20,'0.Productos'!$A$3:$GG$587,'0.Productos'!BH$1+1,0),"")</f>
        <v/>
      </c>
      <c r="Q20" s="133" t="str">
        <f>IF($A20&lt;&gt;0,VLOOKUP($A20,'0.Productos'!$A$3:$GG$587,'0.Productos'!BI$1+1,0),"")</f>
        <v/>
      </c>
      <c r="R20" s="133" t="str">
        <f>IF($A20&lt;&gt;0,VLOOKUP($A20,'0.Productos'!$A$3:$GG$587,'0.Productos'!BJ$1+1,0),"")</f>
        <v/>
      </c>
      <c r="S20" s="133" t="str">
        <f>IF($A20&lt;&gt;0,VLOOKUP($A20,'0.Productos'!$A$3:$GG$587,'0.Productos'!BK$1+1,0),"")</f>
        <v/>
      </c>
      <c r="T20" s="133" t="str">
        <f>IF($A20&lt;&gt;0,VLOOKUP($A20,'0.Productos'!$A$3:$GG$587,'0.Productos'!BL$1+1,0),"")</f>
        <v/>
      </c>
      <c r="U20" s="133" t="str">
        <f>IF($A20&lt;&gt;0,VLOOKUP($A20,'0.Productos'!$A$3:$GG$587,'0.Productos'!BM$1+1,0),"")</f>
        <v/>
      </c>
      <c r="V20" s="133" t="str">
        <f>IF($A20&lt;&gt;0,VLOOKUP($A20,'0.Productos'!$A$3:$GG$587,'0.Productos'!BN$1+1,0),"")</f>
        <v/>
      </c>
      <c r="W20" s="133" t="str">
        <f>IF($A20&lt;&gt;0,VLOOKUP($A20,'0.Productos'!$A$3:$GG$587,'0.Productos'!BO$1+1,0),"")</f>
        <v/>
      </c>
      <c r="X20" s="133" t="str">
        <f>IF($A20&lt;&gt;0,VLOOKUP($A20,'0.Productos'!$A$3:$GG$587,'0.Productos'!BP$1+1,0),"")</f>
        <v/>
      </c>
      <c r="Y20" s="133" t="str">
        <f>IF($A20&lt;&gt;0,VLOOKUP($A20,'0.Productos'!$A$3:$GG$587,'0.Productos'!BQ$1+1,0),"")</f>
        <v/>
      </c>
      <c r="Z20" s="133" t="str">
        <f>IF($A20&lt;&gt;0,VLOOKUP($A20,'0.Productos'!$A$3:$GG$587,'0.Productos'!BR$1+1,0),"")</f>
        <v/>
      </c>
      <c r="AA20" s="133" t="str">
        <f>IF($A20&lt;&gt;0,VLOOKUP($A20,'0.Productos'!$A$3:$GG$587,'0.Productos'!BS$1+1,0),"")</f>
        <v/>
      </c>
      <c r="AB20" s="133" t="str">
        <f>IF($A20&lt;&gt;0,VLOOKUP($A20,'0.Productos'!$A$3:$GG$587,'0.Productos'!BT$1+1,0),"")</f>
        <v/>
      </c>
      <c r="AC20" s="133" t="str">
        <f>IF($A20&lt;&gt;0,VLOOKUP($A20,'0.Productos'!$A$3:$GG$587,'0.Productos'!BU$1+1,0),"")</f>
        <v/>
      </c>
      <c r="AD20" s="133" t="str">
        <f>IF($A20&lt;&gt;0,VLOOKUP($A20,'0.Productos'!$A$3:$GG$587,'0.Productos'!BV$1+1,0),"")</f>
        <v/>
      </c>
      <c r="AE20" s="133" t="str">
        <f>IF($A20&lt;&gt;0,VLOOKUP($A20,'0.Productos'!$A$3:$GG$587,'0.Productos'!BW$1+1,0),"")</f>
        <v/>
      </c>
      <c r="AF20" s="133" t="str">
        <f>IF($A20&lt;&gt;0,VLOOKUP($A20,'0.Productos'!$A$3:$GG$587,'0.Productos'!BX$1+1,0),"")</f>
        <v/>
      </c>
      <c r="AG20" s="133" t="str">
        <f>IF($A20&lt;&gt;0,VLOOKUP($A20,'0.Productos'!$A$3:$GG$587,'0.Productos'!BY$1+1,0),"")</f>
        <v/>
      </c>
      <c r="AH20" s="133" t="str">
        <f>IF($A20&lt;&gt;0,VLOOKUP($A20,'0.Productos'!$A$3:$GG$587,'0.Productos'!BZ$1+1,0),"")</f>
        <v/>
      </c>
      <c r="AI20" s="133" t="str">
        <f>IF($A20&lt;&gt;0,VLOOKUP($A20,'0.Productos'!$A$3:$GG$587,'0.Productos'!CA$1+1,0),"")</f>
        <v/>
      </c>
      <c r="AJ20" s="133" t="str">
        <f>IF($A20&lt;&gt;0,VLOOKUP($A20,'0.Productos'!$A$3:$GG$587,'0.Productos'!CB$1+1,0),"")</f>
        <v/>
      </c>
      <c r="AK20" s="133" t="str">
        <f>IF($A20&lt;&gt;0,VLOOKUP($A20,'0.Productos'!$A$3:$GG$587,'0.Productos'!CC$1+1,0),"")</f>
        <v/>
      </c>
      <c r="AL20" s="133" t="str">
        <f>IF($A20&lt;&gt;0,VLOOKUP($A20,'0.Productos'!$A$3:$GG$587,'0.Productos'!CD$1+1,0),"")</f>
        <v/>
      </c>
      <c r="AM20" s="133" t="str">
        <f>IF($A20&lt;&gt;0,VLOOKUP($A20,'0.Productos'!$A$3:$GG$587,'0.Productos'!CE$1+1,0),"")</f>
        <v/>
      </c>
      <c r="AN20" s="133" t="str">
        <f>IF($A20&lt;&gt;0,VLOOKUP($A20,'0.Productos'!$A$3:$GG$587,'0.Productos'!CF$1+1,0),"")</f>
        <v/>
      </c>
      <c r="AO20" s="133" t="str">
        <f>IF($A20&lt;&gt;0,VLOOKUP($A20,'0.Productos'!$A$3:$GG$587,'0.Productos'!CG$1+1,0),"")</f>
        <v/>
      </c>
      <c r="AP20" s="133" t="str">
        <f>IF($A20&lt;&gt;0,VLOOKUP($A20,'0.Productos'!$A$3:$GG$587,'0.Productos'!CH$1+1,0),"")</f>
        <v/>
      </c>
      <c r="AQ20" s="133" t="str">
        <f>IF($A20&lt;&gt;0,VLOOKUP($A20,'0.Productos'!$A$3:$GG$587,'0.Productos'!CI$1+1,0),"")</f>
        <v/>
      </c>
      <c r="AR20" s="133" t="str">
        <f>IF($A20&lt;&gt;0,VLOOKUP($A20,'0.Productos'!$A$3:$GG$587,'0.Productos'!CJ$1+1,0),"")</f>
        <v/>
      </c>
      <c r="AS20" s="133" t="str">
        <f>IF($A20&lt;&gt;0,VLOOKUP($A20,'0.Productos'!$A$3:$GG$587,'0.Productos'!CK$1+1,0),"")</f>
        <v/>
      </c>
      <c r="AT20" s="133" t="str">
        <f>IF($A20&lt;&gt;0,VLOOKUP($A20,'0.Productos'!$A$3:$GG$587,'0.Productos'!CL$1+1,0),"")</f>
        <v/>
      </c>
      <c r="AU20" s="133" t="str">
        <f>IF($A20&lt;&gt;0,VLOOKUP($A20,'0.Productos'!$A$3:$GG$587,'0.Productos'!CM$1+1,0),"")</f>
        <v/>
      </c>
      <c r="AV20" s="133" t="str">
        <f>IF($A20&lt;&gt;0,VLOOKUP($A20,'0.Productos'!$A$3:$GG$587,'0.Productos'!CN$1+1,0),"")</f>
        <v/>
      </c>
      <c r="AW20" s="133" t="str">
        <f>IF($A20&lt;&gt;0,VLOOKUP($A20,'0.Productos'!$A$3:$GG$587,'0.Productos'!CO$1+1,0),"")</f>
        <v/>
      </c>
      <c r="AX20" s="133" t="str">
        <f>IF($A20&lt;&gt;0,VLOOKUP($A20,'0.Productos'!$A$3:$GG$587,'0.Productos'!CP$1+1,0),"")</f>
        <v/>
      </c>
      <c r="AY20" s="133" t="str">
        <f>IF($A20&lt;&gt;0,VLOOKUP($A20,'0.Productos'!$A$3:$GG$587,'0.Productos'!CQ$1+1,0),"")</f>
        <v/>
      </c>
      <c r="AZ20" s="133" t="str">
        <f>IF($A20&lt;&gt;0,VLOOKUP($A20,'0.Productos'!$A$3:$GG$587,'0.Productos'!CR$1+1,0),"")</f>
        <v/>
      </c>
      <c r="BA20" s="133" t="str">
        <f>IF($A20&lt;&gt;0,VLOOKUP($A20,'0.Productos'!$A$3:$GG$587,'0.Productos'!CS$1+1,0),"")</f>
        <v/>
      </c>
      <c r="BB20" s="133" t="str">
        <f>IF($A20&lt;&gt;0,VLOOKUP($A20,'0.Productos'!$A$3:$GG$587,'0.Productos'!CT$1+1,0),"")</f>
        <v/>
      </c>
      <c r="BC20" s="133" t="str">
        <f>IF($A20&lt;&gt;0,VLOOKUP($A20,'0.Productos'!$A$3:$GG$587,'0.Productos'!CU$1+1,0),"")</f>
        <v/>
      </c>
      <c r="BD20" s="133" t="str">
        <f>IF($A20&lt;&gt;0,VLOOKUP($A20,'0.Productos'!$A$3:$GG$587,'0.Productos'!CV$1+1,0),"")</f>
        <v/>
      </c>
      <c r="BE20" s="133" t="str">
        <f>IF($A20&lt;&gt;0,VLOOKUP($A20,'0.Productos'!$A$3:$GG$587,'0.Productos'!CW$1+1,0),"")</f>
        <v/>
      </c>
      <c r="BF20" s="133" t="str">
        <f>IF($A20&lt;&gt;0,VLOOKUP($A20,'0.Productos'!$A$3:$GG$587,'0.Productos'!CX$1+1,0),"")</f>
        <v/>
      </c>
      <c r="BG20" s="133" t="str">
        <f>IF($A20&lt;&gt;0,VLOOKUP($A20,'0.Productos'!$A$3:$GG$587,'0.Productos'!CY$1+1,0),"")</f>
        <v/>
      </c>
      <c r="BH20" s="133" t="str">
        <f>IF($A20&lt;&gt;0,VLOOKUP($A20,'0.Productos'!$A$3:$GG$587,'0.Productos'!CZ$1+1,0),"")</f>
        <v/>
      </c>
      <c r="BI20" s="133" t="str">
        <f>IF($A20&lt;&gt;0,VLOOKUP($A20,'0.Productos'!$A$3:$GG$587,'0.Productos'!DA$1+1,0),"")</f>
        <v/>
      </c>
      <c r="BJ20" s="133" t="str">
        <f>IF($A20&lt;&gt;0,VLOOKUP($A20,'0.Productos'!$A$3:$GG$587,'0.Productos'!DB$1+1,0),"")</f>
        <v/>
      </c>
      <c r="BK20" s="133" t="str">
        <f>IF($A20&lt;&gt;0,VLOOKUP($A20,'0.Productos'!$A$3:$GG$587,'0.Productos'!DC$1+1,0),"")</f>
        <v/>
      </c>
      <c r="BL20" s="133" t="str">
        <f>IF($A20&lt;&gt;0,VLOOKUP($A20,'0.Productos'!$A$3:$GG$587,'0.Productos'!DD$1+1,0),"")</f>
        <v/>
      </c>
      <c r="BM20" s="133" t="str">
        <f>IF($A20&lt;&gt;0,VLOOKUP($A20,'0.Productos'!$A$3:$GG$587,'0.Productos'!DE$1+1,0),"")</f>
        <v/>
      </c>
      <c r="BN20" s="133" t="str">
        <f>IF($A20&lt;&gt;0,VLOOKUP($A20,'0.Productos'!$A$3:$GG$587,'0.Productos'!DF$1+1,0),"")</f>
        <v/>
      </c>
      <c r="BO20" s="133" t="str">
        <f>IF($A20&lt;&gt;0,VLOOKUP($A20,'0.Productos'!$A$3:$GG$587,'0.Productos'!DG$1+1,0),"")</f>
        <v/>
      </c>
      <c r="BP20" s="133" t="str">
        <f>IF($A20&lt;&gt;0,VLOOKUP($A20,'0.Productos'!$A$3:$GG$587,'0.Productos'!DH$1+1,0),"")</f>
        <v/>
      </c>
      <c r="BQ20" s="133" t="str">
        <f>IF($A20&lt;&gt;0,VLOOKUP($A20,'0.Productos'!$A$3:$GG$587,'0.Productos'!DI$1+1,0),"")</f>
        <v/>
      </c>
      <c r="BR20" s="133" t="str">
        <f>IF($A20&lt;&gt;0,VLOOKUP($A20,'0.Productos'!$A$3:$GG$587,'0.Productos'!DJ$1+1,0),"")</f>
        <v/>
      </c>
      <c r="BS20" s="133" t="str">
        <f>IF($A20&lt;&gt;0,VLOOKUP($A20,'0.Productos'!$A$3:$GG$587,'0.Productos'!DK$1+1,0),"")</f>
        <v/>
      </c>
      <c r="BT20" s="133" t="str">
        <f>IF($A20&lt;&gt;0,VLOOKUP($A20,'0.Productos'!$A$3:$GG$587,'0.Productos'!DL$1+1,0),"")</f>
        <v/>
      </c>
    </row>
    <row r="21" spans="1:72" x14ac:dyDescent="0.25">
      <c r="A21" s="17">
        <f>'0.Consolidado general'!A21</f>
        <v>0</v>
      </c>
      <c r="B21" s="133" t="str">
        <f>IF($A21&lt;&gt;0,VLOOKUP($A21,'0.Productos'!$A$3:$GG$587,'0.Productos'!AT$1+1,0),"")</f>
        <v/>
      </c>
      <c r="C21" s="133" t="str">
        <f>IF($A21&lt;&gt;0,VLOOKUP($A21,'0.Productos'!$A$3:$GG$587,'0.Productos'!AU$1+1,0),"")</f>
        <v/>
      </c>
      <c r="D21" s="133" t="str">
        <f>IF($A21&lt;&gt;0,VLOOKUP($A21,'0.Productos'!$A$3:$GG$587,'0.Productos'!AV$1+1,0),"")</f>
        <v/>
      </c>
      <c r="E21" s="133" t="str">
        <f>IF($A21&lt;&gt;0,VLOOKUP($A21,'0.Productos'!$A$3:$GG$587,'0.Productos'!AW$1+1,0),"")</f>
        <v/>
      </c>
      <c r="F21" s="133" t="str">
        <f>IF($A21&lt;&gt;0,VLOOKUP($A21,'0.Productos'!$A$3:$GG$587,'0.Productos'!AX$1+1,0),"")</f>
        <v/>
      </c>
      <c r="G21" s="133" t="str">
        <f>IF($A21&lt;&gt;0,VLOOKUP($A21,'0.Productos'!$A$3:$GG$587,'0.Productos'!AY$1+1,0),"")</f>
        <v/>
      </c>
      <c r="H21" s="133" t="str">
        <f>IF($A21&lt;&gt;0,VLOOKUP($A21,'0.Productos'!$A$3:$GG$587,'0.Productos'!AZ$1+1,0),"")</f>
        <v/>
      </c>
      <c r="I21" s="133" t="str">
        <f>IF($A21&lt;&gt;0,VLOOKUP($A21,'0.Productos'!$A$3:$GG$587,'0.Productos'!BA$1+1,0),"")</f>
        <v/>
      </c>
      <c r="J21" s="133" t="str">
        <f>IF($A21&lt;&gt;0,VLOOKUP($A21,'0.Productos'!$A$3:$GG$587,'0.Productos'!BB$1+1,0),"")</f>
        <v/>
      </c>
      <c r="K21" s="133" t="str">
        <f>IF($A21&lt;&gt;0,VLOOKUP($A21,'0.Productos'!$A$3:$GG$587,'0.Productos'!BC$1+1,0),"")</f>
        <v/>
      </c>
      <c r="L21" s="133" t="str">
        <f>IF($A21&lt;&gt;0,VLOOKUP($A21,'0.Productos'!$A$3:$GG$587,'0.Productos'!BD$1+1,0),"")</f>
        <v/>
      </c>
      <c r="M21" s="133" t="str">
        <f>IF($A21&lt;&gt;0,VLOOKUP($A21,'0.Productos'!$A$3:$GG$587,'0.Productos'!BE$1+1,0),"")</f>
        <v/>
      </c>
      <c r="N21" s="133" t="str">
        <f>IF($A21&lt;&gt;0,VLOOKUP($A21,'0.Productos'!$A$3:$GG$587,'0.Productos'!BF$1+1,0),"")</f>
        <v/>
      </c>
      <c r="O21" s="133" t="str">
        <f>IF($A21&lt;&gt;0,VLOOKUP($A21,'0.Productos'!$A$3:$GG$587,'0.Productos'!BG$1+1,0),"")</f>
        <v/>
      </c>
      <c r="P21" s="133" t="str">
        <f>IF($A21&lt;&gt;0,VLOOKUP($A21,'0.Productos'!$A$3:$GG$587,'0.Productos'!BH$1+1,0),"")</f>
        <v/>
      </c>
      <c r="Q21" s="133" t="str">
        <f>IF($A21&lt;&gt;0,VLOOKUP($A21,'0.Productos'!$A$3:$GG$587,'0.Productos'!BI$1+1,0),"")</f>
        <v/>
      </c>
      <c r="R21" s="133" t="str">
        <f>IF($A21&lt;&gt;0,VLOOKUP($A21,'0.Productos'!$A$3:$GG$587,'0.Productos'!BJ$1+1,0),"")</f>
        <v/>
      </c>
      <c r="S21" s="133" t="str">
        <f>IF($A21&lt;&gt;0,VLOOKUP($A21,'0.Productos'!$A$3:$GG$587,'0.Productos'!BK$1+1,0),"")</f>
        <v/>
      </c>
      <c r="T21" s="133" t="str">
        <f>IF($A21&lt;&gt;0,VLOOKUP($A21,'0.Productos'!$A$3:$GG$587,'0.Productos'!BL$1+1,0),"")</f>
        <v/>
      </c>
      <c r="U21" s="133" t="str">
        <f>IF($A21&lt;&gt;0,VLOOKUP($A21,'0.Productos'!$A$3:$GG$587,'0.Productos'!BM$1+1,0),"")</f>
        <v/>
      </c>
      <c r="V21" s="133" t="str">
        <f>IF($A21&lt;&gt;0,VLOOKUP($A21,'0.Productos'!$A$3:$GG$587,'0.Productos'!BN$1+1,0),"")</f>
        <v/>
      </c>
      <c r="W21" s="133" t="str">
        <f>IF($A21&lt;&gt;0,VLOOKUP($A21,'0.Productos'!$A$3:$GG$587,'0.Productos'!BO$1+1,0),"")</f>
        <v/>
      </c>
      <c r="X21" s="133" t="str">
        <f>IF($A21&lt;&gt;0,VLOOKUP($A21,'0.Productos'!$A$3:$GG$587,'0.Productos'!BP$1+1,0),"")</f>
        <v/>
      </c>
      <c r="Y21" s="133" t="str">
        <f>IF($A21&lt;&gt;0,VLOOKUP($A21,'0.Productos'!$A$3:$GG$587,'0.Productos'!BQ$1+1,0),"")</f>
        <v/>
      </c>
      <c r="Z21" s="133" t="str">
        <f>IF($A21&lt;&gt;0,VLOOKUP($A21,'0.Productos'!$A$3:$GG$587,'0.Productos'!BR$1+1,0),"")</f>
        <v/>
      </c>
      <c r="AA21" s="133" t="str">
        <f>IF($A21&lt;&gt;0,VLOOKUP($A21,'0.Productos'!$A$3:$GG$587,'0.Productos'!BS$1+1,0),"")</f>
        <v/>
      </c>
      <c r="AB21" s="133" t="str">
        <f>IF($A21&lt;&gt;0,VLOOKUP($A21,'0.Productos'!$A$3:$GG$587,'0.Productos'!BT$1+1,0),"")</f>
        <v/>
      </c>
      <c r="AC21" s="133" t="str">
        <f>IF($A21&lt;&gt;0,VLOOKUP($A21,'0.Productos'!$A$3:$GG$587,'0.Productos'!BU$1+1,0),"")</f>
        <v/>
      </c>
      <c r="AD21" s="133" t="str">
        <f>IF($A21&lt;&gt;0,VLOOKUP($A21,'0.Productos'!$A$3:$GG$587,'0.Productos'!BV$1+1,0),"")</f>
        <v/>
      </c>
      <c r="AE21" s="133" t="str">
        <f>IF($A21&lt;&gt;0,VLOOKUP($A21,'0.Productos'!$A$3:$GG$587,'0.Productos'!BW$1+1,0),"")</f>
        <v/>
      </c>
      <c r="AF21" s="133" t="str">
        <f>IF($A21&lt;&gt;0,VLOOKUP($A21,'0.Productos'!$A$3:$GG$587,'0.Productos'!BX$1+1,0),"")</f>
        <v/>
      </c>
      <c r="AG21" s="133" t="str">
        <f>IF($A21&lt;&gt;0,VLOOKUP($A21,'0.Productos'!$A$3:$GG$587,'0.Productos'!BY$1+1,0),"")</f>
        <v/>
      </c>
      <c r="AH21" s="133" t="str">
        <f>IF($A21&lt;&gt;0,VLOOKUP($A21,'0.Productos'!$A$3:$GG$587,'0.Productos'!BZ$1+1,0),"")</f>
        <v/>
      </c>
      <c r="AI21" s="133" t="str">
        <f>IF($A21&lt;&gt;0,VLOOKUP($A21,'0.Productos'!$A$3:$GG$587,'0.Productos'!CA$1+1,0),"")</f>
        <v/>
      </c>
      <c r="AJ21" s="133" t="str">
        <f>IF($A21&lt;&gt;0,VLOOKUP($A21,'0.Productos'!$A$3:$GG$587,'0.Productos'!CB$1+1,0),"")</f>
        <v/>
      </c>
      <c r="AK21" s="133" t="str">
        <f>IF($A21&lt;&gt;0,VLOOKUP($A21,'0.Productos'!$A$3:$GG$587,'0.Productos'!CC$1+1,0),"")</f>
        <v/>
      </c>
      <c r="AL21" s="133" t="str">
        <f>IF($A21&lt;&gt;0,VLOOKUP($A21,'0.Productos'!$A$3:$GG$587,'0.Productos'!CD$1+1,0),"")</f>
        <v/>
      </c>
      <c r="AM21" s="133" t="str">
        <f>IF($A21&lt;&gt;0,VLOOKUP($A21,'0.Productos'!$A$3:$GG$587,'0.Productos'!CE$1+1,0),"")</f>
        <v/>
      </c>
      <c r="AN21" s="133" t="str">
        <f>IF($A21&lt;&gt;0,VLOOKUP($A21,'0.Productos'!$A$3:$GG$587,'0.Productos'!CF$1+1,0),"")</f>
        <v/>
      </c>
      <c r="AO21" s="133" t="str">
        <f>IF($A21&lt;&gt;0,VLOOKUP($A21,'0.Productos'!$A$3:$GG$587,'0.Productos'!CG$1+1,0),"")</f>
        <v/>
      </c>
      <c r="AP21" s="133" t="str">
        <f>IF($A21&lt;&gt;0,VLOOKUP($A21,'0.Productos'!$A$3:$GG$587,'0.Productos'!CH$1+1,0),"")</f>
        <v/>
      </c>
      <c r="AQ21" s="133" t="str">
        <f>IF($A21&lt;&gt;0,VLOOKUP($A21,'0.Productos'!$A$3:$GG$587,'0.Productos'!CI$1+1,0),"")</f>
        <v/>
      </c>
      <c r="AR21" s="133" t="str">
        <f>IF($A21&lt;&gt;0,VLOOKUP($A21,'0.Productos'!$A$3:$GG$587,'0.Productos'!CJ$1+1,0),"")</f>
        <v/>
      </c>
      <c r="AS21" s="133" t="str">
        <f>IF($A21&lt;&gt;0,VLOOKUP($A21,'0.Productos'!$A$3:$GG$587,'0.Productos'!CK$1+1,0),"")</f>
        <v/>
      </c>
      <c r="AT21" s="133" t="str">
        <f>IF($A21&lt;&gt;0,VLOOKUP($A21,'0.Productos'!$A$3:$GG$587,'0.Productos'!CL$1+1,0),"")</f>
        <v/>
      </c>
      <c r="AU21" s="133" t="str">
        <f>IF($A21&lt;&gt;0,VLOOKUP($A21,'0.Productos'!$A$3:$GG$587,'0.Productos'!CM$1+1,0),"")</f>
        <v/>
      </c>
      <c r="AV21" s="133" t="str">
        <f>IF($A21&lt;&gt;0,VLOOKUP($A21,'0.Productos'!$A$3:$GG$587,'0.Productos'!CN$1+1,0),"")</f>
        <v/>
      </c>
      <c r="AW21" s="133" t="str">
        <f>IF($A21&lt;&gt;0,VLOOKUP($A21,'0.Productos'!$A$3:$GG$587,'0.Productos'!CO$1+1,0),"")</f>
        <v/>
      </c>
      <c r="AX21" s="133" t="str">
        <f>IF($A21&lt;&gt;0,VLOOKUP($A21,'0.Productos'!$A$3:$GG$587,'0.Productos'!CP$1+1,0),"")</f>
        <v/>
      </c>
      <c r="AY21" s="133" t="str">
        <f>IF($A21&lt;&gt;0,VLOOKUP($A21,'0.Productos'!$A$3:$GG$587,'0.Productos'!CQ$1+1,0),"")</f>
        <v/>
      </c>
      <c r="AZ21" s="133" t="str">
        <f>IF($A21&lt;&gt;0,VLOOKUP($A21,'0.Productos'!$A$3:$GG$587,'0.Productos'!CR$1+1,0),"")</f>
        <v/>
      </c>
      <c r="BA21" s="133" t="str">
        <f>IF($A21&lt;&gt;0,VLOOKUP($A21,'0.Productos'!$A$3:$GG$587,'0.Productos'!CS$1+1,0),"")</f>
        <v/>
      </c>
      <c r="BB21" s="133" t="str">
        <f>IF($A21&lt;&gt;0,VLOOKUP($A21,'0.Productos'!$A$3:$GG$587,'0.Productos'!CT$1+1,0),"")</f>
        <v/>
      </c>
      <c r="BC21" s="133" t="str">
        <f>IF($A21&lt;&gt;0,VLOOKUP($A21,'0.Productos'!$A$3:$GG$587,'0.Productos'!CU$1+1,0),"")</f>
        <v/>
      </c>
      <c r="BD21" s="133" t="str">
        <f>IF($A21&lt;&gt;0,VLOOKUP($A21,'0.Productos'!$A$3:$GG$587,'0.Productos'!CV$1+1,0),"")</f>
        <v/>
      </c>
      <c r="BE21" s="133" t="str">
        <f>IF($A21&lt;&gt;0,VLOOKUP($A21,'0.Productos'!$A$3:$GG$587,'0.Productos'!CW$1+1,0),"")</f>
        <v/>
      </c>
      <c r="BF21" s="133" t="str">
        <f>IF($A21&lt;&gt;0,VLOOKUP($A21,'0.Productos'!$A$3:$GG$587,'0.Productos'!CX$1+1,0),"")</f>
        <v/>
      </c>
      <c r="BG21" s="133" t="str">
        <f>IF($A21&lt;&gt;0,VLOOKUP($A21,'0.Productos'!$A$3:$GG$587,'0.Productos'!CY$1+1,0),"")</f>
        <v/>
      </c>
      <c r="BH21" s="133" t="str">
        <f>IF($A21&lt;&gt;0,VLOOKUP($A21,'0.Productos'!$A$3:$GG$587,'0.Productos'!CZ$1+1,0),"")</f>
        <v/>
      </c>
      <c r="BI21" s="133" t="str">
        <f>IF($A21&lt;&gt;0,VLOOKUP($A21,'0.Productos'!$A$3:$GG$587,'0.Productos'!DA$1+1,0),"")</f>
        <v/>
      </c>
      <c r="BJ21" s="133" t="str">
        <f>IF($A21&lt;&gt;0,VLOOKUP($A21,'0.Productos'!$A$3:$GG$587,'0.Productos'!DB$1+1,0),"")</f>
        <v/>
      </c>
      <c r="BK21" s="133" t="str">
        <f>IF($A21&lt;&gt;0,VLOOKUP($A21,'0.Productos'!$A$3:$GG$587,'0.Productos'!DC$1+1,0),"")</f>
        <v/>
      </c>
      <c r="BL21" s="133" t="str">
        <f>IF($A21&lt;&gt;0,VLOOKUP($A21,'0.Productos'!$A$3:$GG$587,'0.Productos'!DD$1+1,0),"")</f>
        <v/>
      </c>
      <c r="BM21" s="133" t="str">
        <f>IF($A21&lt;&gt;0,VLOOKUP($A21,'0.Productos'!$A$3:$GG$587,'0.Productos'!DE$1+1,0),"")</f>
        <v/>
      </c>
      <c r="BN21" s="133" t="str">
        <f>IF($A21&lt;&gt;0,VLOOKUP($A21,'0.Productos'!$A$3:$GG$587,'0.Productos'!DF$1+1,0),"")</f>
        <v/>
      </c>
      <c r="BO21" s="133" t="str">
        <f>IF($A21&lt;&gt;0,VLOOKUP($A21,'0.Productos'!$A$3:$GG$587,'0.Productos'!DG$1+1,0),"")</f>
        <v/>
      </c>
      <c r="BP21" s="133" t="str">
        <f>IF($A21&lt;&gt;0,VLOOKUP($A21,'0.Productos'!$A$3:$GG$587,'0.Productos'!DH$1+1,0),"")</f>
        <v/>
      </c>
      <c r="BQ21" s="133" t="str">
        <f>IF($A21&lt;&gt;0,VLOOKUP($A21,'0.Productos'!$A$3:$GG$587,'0.Productos'!DI$1+1,0),"")</f>
        <v/>
      </c>
      <c r="BR21" s="133" t="str">
        <f>IF($A21&lt;&gt;0,VLOOKUP($A21,'0.Productos'!$A$3:$GG$587,'0.Productos'!DJ$1+1,0),"")</f>
        <v/>
      </c>
      <c r="BS21" s="133" t="str">
        <f>IF($A21&lt;&gt;0,VLOOKUP($A21,'0.Productos'!$A$3:$GG$587,'0.Productos'!DK$1+1,0),"")</f>
        <v/>
      </c>
      <c r="BT21" s="133" t="str">
        <f>IF($A21&lt;&gt;0,VLOOKUP($A21,'0.Productos'!$A$3:$GG$587,'0.Productos'!DL$1+1,0),"")</f>
        <v/>
      </c>
    </row>
    <row r="22" spans="1:72" x14ac:dyDescent="0.25">
      <c r="A22" s="17">
        <f>'0.Consolidado general'!A22</f>
        <v>0</v>
      </c>
      <c r="B22" s="133" t="str">
        <f>IF($A22&lt;&gt;0,VLOOKUP($A22,'0.Productos'!$A$3:$GG$587,'0.Productos'!AT$1+1,0),"")</f>
        <v/>
      </c>
      <c r="C22" s="133" t="str">
        <f>IF($A22&lt;&gt;0,VLOOKUP($A22,'0.Productos'!$A$3:$GG$587,'0.Productos'!AU$1+1,0),"")</f>
        <v/>
      </c>
      <c r="D22" s="133" t="str">
        <f>IF($A22&lt;&gt;0,VLOOKUP($A22,'0.Productos'!$A$3:$GG$587,'0.Productos'!AV$1+1,0),"")</f>
        <v/>
      </c>
      <c r="E22" s="133" t="str">
        <f>IF($A22&lt;&gt;0,VLOOKUP($A22,'0.Productos'!$A$3:$GG$587,'0.Productos'!AW$1+1,0),"")</f>
        <v/>
      </c>
      <c r="F22" s="133" t="str">
        <f>IF($A22&lt;&gt;0,VLOOKUP($A22,'0.Productos'!$A$3:$GG$587,'0.Productos'!AX$1+1,0),"")</f>
        <v/>
      </c>
      <c r="G22" s="133" t="str">
        <f>IF($A22&lt;&gt;0,VLOOKUP($A22,'0.Productos'!$A$3:$GG$587,'0.Productos'!AY$1+1,0),"")</f>
        <v/>
      </c>
      <c r="H22" s="133" t="str">
        <f>IF($A22&lt;&gt;0,VLOOKUP($A22,'0.Productos'!$A$3:$GG$587,'0.Productos'!AZ$1+1,0),"")</f>
        <v/>
      </c>
      <c r="I22" s="133" t="str">
        <f>IF($A22&lt;&gt;0,VLOOKUP($A22,'0.Productos'!$A$3:$GG$587,'0.Productos'!BA$1+1,0),"")</f>
        <v/>
      </c>
      <c r="J22" s="133" t="str">
        <f>IF($A22&lt;&gt;0,VLOOKUP($A22,'0.Productos'!$A$3:$GG$587,'0.Productos'!BB$1+1,0),"")</f>
        <v/>
      </c>
      <c r="K22" s="133" t="str">
        <f>IF($A22&lt;&gt;0,VLOOKUP($A22,'0.Productos'!$A$3:$GG$587,'0.Productos'!BC$1+1,0),"")</f>
        <v/>
      </c>
      <c r="L22" s="133" t="str">
        <f>IF($A22&lt;&gt;0,VLOOKUP($A22,'0.Productos'!$A$3:$GG$587,'0.Productos'!BD$1+1,0),"")</f>
        <v/>
      </c>
      <c r="M22" s="133" t="str">
        <f>IF($A22&lt;&gt;0,VLOOKUP($A22,'0.Productos'!$A$3:$GG$587,'0.Productos'!BE$1+1,0),"")</f>
        <v/>
      </c>
      <c r="N22" s="133" t="str">
        <f>IF($A22&lt;&gt;0,VLOOKUP($A22,'0.Productos'!$A$3:$GG$587,'0.Productos'!BF$1+1,0),"")</f>
        <v/>
      </c>
      <c r="O22" s="133" t="str">
        <f>IF($A22&lt;&gt;0,VLOOKUP($A22,'0.Productos'!$A$3:$GG$587,'0.Productos'!BG$1+1,0),"")</f>
        <v/>
      </c>
      <c r="P22" s="133" t="str">
        <f>IF($A22&lt;&gt;0,VLOOKUP($A22,'0.Productos'!$A$3:$GG$587,'0.Productos'!BH$1+1,0),"")</f>
        <v/>
      </c>
      <c r="Q22" s="133" t="str">
        <f>IF($A22&lt;&gt;0,VLOOKUP($A22,'0.Productos'!$A$3:$GG$587,'0.Productos'!BI$1+1,0),"")</f>
        <v/>
      </c>
      <c r="R22" s="133" t="str">
        <f>IF($A22&lt;&gt;0,VLOOKUP($A22,'0.Productos'!$A$3:$GG$587,'0.Productos'!BJ$1+1,0),"")</f>
        <v/>
      </c>
      <c r="S22" s="133" t="str">
        <f>IF($A22&lt;&gt;0,VLOOKUP($A22,'0.Productos'!$A$3:$GG$587,'0.Productos'!BK$1+1,0),"")</f>
        <v/>
      </c>
      <c r="T22" s="133" t="str">
        <f>IF($A22&lt;&gt;0,VLOOKUP($A22,'0.Productos'!$A$3:$GG$587,'0.Productos'!BL$1+1,0),"")</f>
        <v/>
      </c>
      <c r="U22" s="133" t="str">
        <f>IF($A22&lt;&gt;0,VLOOKUP($A22,'0.Productos'!$A$3:$GG$587,'0.Productos'!BM$1+1,0),"")</f>
        <v/>
      </c>
      <c r="V22" s="133" t="str">
        <f>IF($A22&lt;&gt;0,VLOOKUP($A22,'0.Productos'!$A$3:$GG$587,'0.Productos'!BN$1+1,0),"")</f>
        <v/>
      </c>
      <c r="W22" s="133" t="str">
        <f>IF($A22&lt;&gt;0,VLOOKUP($A22,'0.Productos'!$A$3:$GG$587,'0.Productos'!BO$1+1,0),"")</f>
        <v/>
      </c>
      <c r="X22" s="133" t="str">
        <f>IF($A22&lt;&gt;0,VLOOKUP($A22,'0.Productos'!$A$3:$GG$587,'0.Productos'!BP$1+1,0),"")</f>
        <v/>
      </c>
      <c r="Y22" s="133" t="str">
        <f>IF($A22&lt;&gt;0,VLOOKUP($A22,'0.Productos'!$A$3:$GG$587,'0.Productos'!BQ$1+1,0),"")</f>
        <v/>
      </c>
      <c r="Z22" s="133" t="str">
        <f>IF($A22&lt;&gt;0,VLOOKUP($A22,'0.Productos'!$A$3:$GG$587,'0.Productos'!BR$1+1,0),"")</f>
        <v/>
      </c>
      <c r="AA22" s="133" t="str">
        <f>IF($A22&lt;&gt;0,VLOOKUP($A22,'0.Productos'!$A$3:$GG$587,'0.Productos'!BS$1+1,0),"")</f>
        <v/>
      </c>
      <c r="AB22" s="133" t="str">
        <f>IF($A22&lt;&gt;0,VLOOKUP($A22,'0.Productos'!$A$3:$GG$587,'0.Productos'!BT$1+1,0),"")</f>
        <v/>
      </c>
      <c r="AC22" s="133" t="str">
        <f>IF($A22&lt;&gt;0,VLOOKUP($A22,'0.Productos'!$A$3:$GG$587,'0.Productos'!BU$1+1,0),"")</f>
        <v/>
      </c>
      <c r="AD22" s="133" t="str">
        <f>IF($A22&lt;&gt;0,VLOOKUP($A22,'0.Productos'!$A$3:$GG$587,'0.Productos'!BV$1+1,0),"")</f>
        <v/>
      </c>
      <c r="AE22" s="133" t="str">
        <f>IF($A22&lt;&gt;0,VLOOKUP($A22,'0.Productos'!$A$3:$GG$587,'0.Productos'!BW$1+1,0),"")</f>
        <v/>
      </c>
      <c r="AF22" s="133" t="str">
        <f>IF($A22&lt;&gt;0,VLOOKUP($A22,'0.Productos'!$A$3:$GG$587,'0.Productos'!BX$1+1,0),"")</f>
        <v/>
      </c>
      <c r="AG22" s="133" t="str">
        <f>IF($A22&lt;&gt;0,VLOOKUP($A22,'0.Productos'!$A$3:$GG$587,'0.Productos'!BY$1+1,0),"")</f>
        <v/>
      </c>
      <c r="AH22" s="133" t="str">
        <f>IF($A22&lt;&gt;0,VLOOKUP($A22,'0.Productos'!$A$3:$GG$587,'0.Productos'!BZ$1+1,0),"")</f>
        <v/>
      </c>
      <c r="AI22" s="133" t="str">
        <f>IF($A22&lt;&gt;0,VLOOKUP($A22,'0.Productos'!$A$3:$GG$587,'0.Productos'!CA$1+1,0),"")</f>
        <v/>
      </c>
      <c r="AJ22" s="133" t="str">
        <f>IF($A22&lt;&gt;0,VLOOKUP($A22,'0.Productos'!$A$3:$GG$587,'0.Productos'!CB$1+1,0),"")</f>
        <v/>
      </c>
      <c r="AK22" s="133" t="str">
        <f>IF($A22&lt;&gt;0,VLOOKUP($A22,'0.Productos'!$A$3:$GG$587,'0.Productos'!CC$1+1,0),"")</f>
        <v/>
      </c>
      <c r="AL22" s="133" t="str">
        <f>IF($A22&lt;&gt;0,VLOOKUP($A22,'0.Productos'!$A$3:$GG$587,'0.Productos'!CD$1+1,0),"")</f>
        <v/>
      </c>
      <c r="AM22" s="133" t="str">
        <f>IF($A22&lt;&gt;0,VLOOKUP($A22,'0.Productos'!$A$3:$GG$587,'0.Productos'!CE$1+1,0),"")</f>
        <v/>
      </c>
      <c r="AN22" s="133" t="str">
        <f>IF($A22&lt;&gt;0,VLOOKUP($A22,'0.Productos'!$A$3:$GG$587,'0.Productos'!CF$1+1,0),"")</f>
        <v/>
      </c>
      <c r="AO22" s="133" t="str">
        <f>IF($A22&lt;&gt;0,VLOOKUP($A22,'0.Productos'!$A$3:$GG$587,'0.Productos'!CG$1+1,0),"")</f>
        <v/>
      </c>
      <c r="AP22" s="133" t="str">
        <f>IF($A22&lt;&gt;0,VLOOKUP($A22,'0.Productos'!$A$3:$GG$587,'0.Productos'!CH$1+1,0),"")</f>
        <v/>
      </c>
      <c r="AQ22" s="133" t="str">
        <f>IF($A22&lt;&gt;0,VLOOKUP($A22,'0.Productos'!$A$3:$GG$587,'0.Productos'!CI$1+1,0),"")</f>
        <v/>
      </c>
      <c r="AR22" s="133" t="str">
        <f>IF($A22&lt;&gt;0,VLOOKUP($A22,'0.Productos'!$A$3:$GG$587,'0.Productos'!CJ$1+1,0),"")</f>
        <v/>
      </c>
      <c r="AS22" s="133" t="str">
        <f>IF($A22&lt;&gt;0,VLOOKUP($A22,'0.Productos'!$A$3:$GG$587,'0.Productos'!CK$1+1,0),"")</f>
        <v/>
      </c>
      <c r="AT22" s="133" t="str">
        <f>IF($A22&lt;&gt;0,VLOOKUP($A22,'0.Productos'!$A$3:$GG$587,'0.Productos'!CL$1+1,0),"")</f>
        <v/>
      </c>
      <c r="AU22" s="133" t="str">
        <f>IF($A22&lt;&gt;0,VLOOKUP($A22,'0.Productos'!$A$3:$GG$587,'0.Productos'!CM$1+1,0),"")</f>
        <v/>
      </c>
      <c r="AV22" s="133" t="str">
        <f>IF($A22&lt;&gt;0,VLOOKUP($A22,'0.Productos'!$A$3:$GG$587,'0.Productos'!CN$1+1,0),"")</f>
        <v/>
      </c>
      <c r="AW22" s="133" t="str">
        <f>IF($A22&lt;&gt;0,VLOOKUP($A22,'0.Productos'!$A$3:$GG$587,'0.Productos'!CO$1+1,0),"")</f>
        <v/>
      </c>
      <c r="AX22" s="133" t="str">
        <f>IF($A22&lt;&gt;0,VLOOKUP($A22,'0.Productos'!$A$3:$GG$587,'0.Productos'!CP$1+1,0),"")</f>
        <v/>
      </c>
      <c r="AY22" s="133" t="str">
        <f>IF($A22&lt;&gt;0,VLOOKUP($A22,'0.Productos'!$A$3:$GG$587,'0.Productos'!CQ$1+1,0),"")</f>
        <v/>
      </c>
      <c r="AZ22" s="133" t="str">
        <f>IF($A22&lt;&gt;0,VLOOKUP($A22,'0.Productos'!$A$3:$GG$587,'0.Productos'!CR$1+1,0),"")</f>
        <v/>
      </c>
      <c r="BA22" s="133" t="str">
        <f>IF($A22&lt;&gt;0,VLOOKUP($A22,'0.Productos'!$A$3:$GG$587,'0.Productos'!CS$1+1,0),"")</f>
        <v/>
      </c>
      <c r="BB22" s="133" t="str">
        <f>IF($A22&lt;&gt;0,VLOOKUP($A22,'0.Productos'!$A$3:$GG$587,'0.Productos'!CT$1+1,0),"")</f>
        <v/>
      </c>
      <c r="BC22" s="133" t="str">
        <f>IF($A22&lt;&gt;0,VLOOKUP($A22,'0.Productos'!$A$3:$GG$587,'0.Productos'!CU$1+1,0),"")</f>
        <v/>
      </c>
      <c r="BD22" s="133" t="str">
        <f>IF($A22&lt;&gt;0,VLOOKUP($A22,'0.Productos'!$A$3:$GG$587,'0.Productos'!CV$1+1,0),"")</f>
        <v/>
      </c>
      <c r="BE22" s="133" t="str">
        <f>IF($A22&lt;&gt;0,VLOOKUP($A22,'0.Productos'!$A$3:$GG$587,'0.Productos'!CW$1+1,0),"")</f>
        <v/>
      </c>
      <c r="BF22" s="133" t="str">
        <f>IF($A22&lt;&gt;0,VLOOKUP($A22,'0.Productos'!$A$3:$GG$587,'0.Productos'!CX$1+1,0),"")</f>
        <v/>
      </c>
      <c r="BG22" s="133" t="str">
        <f>IF($A22&lt;&gt;0,VLOOKUP($A22,'0.Productos'!$A$3:$GG$587,'0.Productos'!CY$1+1,0),"")</f>
        <v/>
      </c>
      <c r="BH22" s="133" t="str">
        <f>IF($A22&lt;&gt;0,VLOOKUP($A22,'0.Productos'!$A$3:$GG$587,'0.Productos'!CZ$1+1,0),"")</f>
        <v/>
      </c>
      <c r="BI22" s="133" t="str">
        <f>IF($A22&lt;&gt;0,VLOOKUP($A22,'0.Productos'!$A$3:$GG$587,'0.Productos'!DA$1+1,0),"")</f>
        <v/>
      </c>
      <c r="BJ22" s="133" t="str">
        <f>IF($A22&lt;&gt;0,VLOOKUP($A22,'0.Productos'!$A$3:$GG$587,'0.Productos'!DB$1+1,0),"")</f>
        <v/>
      </c>
      <c r="BK22" s="133" t="str">
        <f>IF($A22&lt;&gt;0,VLOOKUP($A22,'0.Productos'!$A$3:$GG$587,'0.Productos'!DC$1+1,0),"")</f>
        <v/>
      </c>
      <c r="BL22" s="133" t="str">
        <f>IF($A22&lt;&gt;0,VLOOKUP($A22,'0.Productos'!$A$3:$GG$587,'0.Productos'!DD$1+1,0),"")</f>
        <v/>
      </c>
      <c r="BM22" s="133" t="str">
        <f>IF($A22&lt;&gt;0,VLOOKUP($A22,'0.Productos'!$A$3:$GG$587,'0.Productos'!DE$1+1,0),"")</f>
        <v/>
      </c>
      <c r="BN22" s="133" t="str">
        <f>IF($A22&lt;&gt;0,VLOOKUP($A22,'0.Productos'!$A$3:$GG$587,'0.Productos'!DF$1+1,0),"")</f>
        <v/>
      </c>
      <c r="BO22" s="133" t="str">
        <f>IF($A22&lt;&gt;0,VLOOKUP($A22,'0.Productos'!$A$3:$GG$587,'0.Productos'!DG$1+1,0),"")</f>
        <v/>
      </c>
      <c r="BP22" s="133" t="str">
        <f>IF($A22&lt;&gt;0,VLOOKUP($A22,'0.Productos'!$A$3:$GG$587,'0.Productos'!DH$1+1,0),"")</f>
        <v/>
      </c>
      <c r="BQ22" s="133" t="str">
        <f>IF($A22&lt;&gt;0,VLOOKUP($A22,'0.Productos'!$A$3:$GG$587,'0.Productos'!DI$1+1,0),"")</f>
        <v/>
      </c>
      <c r="BR22" s="133" t="str">
        <f>IF($A22&lt;&gt;0,VLOOKUP($A22,'0.Productos'!$A$3:$GG$587,'0.Productos'!DJ$1+1,0),"")</f>
        <v/>
      </c>
      <c r="BS22" s="133" t="str">
        <f>IF($A22&lt;&gt;0,VLOOKUP($A22,'0.Productos'!$A$3:$GG$587,'0.Productos'!DK$1+1,0),"")</f>
        <v/>
      </c>
      <c r="BT22" s="133" t="str">
        <f>IF($A22&lt;&gt;0,VLOOKUP($A22,'0.Productos'!$A$3:$GG$587,'0.Productos'!DL$1+1,0),"")</f>
        <v/>
      </c>
    </row>
    <row r="23" spans="1:72" x14ac:dyDescent="0.25">
      <c r="A23" s="17">
        <f>'0.Consolidado general'!A23</f>
        <v>0</v>
      </c>
      <c r="B23" s="133" t="str">
        <f>IF($A23&lt;&gt;0,VLOOKUP($A23,'0.Productos'!$A$3:$GG$587,'0.Productos'!AT$1+1,0),"")</f>
        <v/>
      </c>
      <c r="C23" s="133" t="str">
        <f>IF($A23&lt;&gt;0,VLOOKUP($A23,'0.Productos'!$A$3:$GG$587,'0.Productos'!AU$1+1,0),"")</f>
        <v/>
      </c>
      <c r="D23" s="133" t="str">
        <f>IF($A23&lt;&gt;0,VLOOKUP($A23,'0.Productos'!$A$3:$GG$587,'0.Productos'!AV$1+1,0),"")</f>
        <v/>
      </c>
      <c r="E23" s="133" t="str">
        <f>IF($A23&lt;&gt;0,VLOOKUP($A23,'0.Productos'!$A$3:$GG$587,'0.Productos'!AW$1+1,0),"")</f>
        <v/>
      </c>
      <c r="F23" s="133" t="str">
        <f>IF($A23&lt;&gt;0,VLOOKUP($A23,'0.Productos'!$A$3:$GG$587,'0.Productos'!AX$1+1,0),"")</f>
        <v/>
      </c>
      <c r="G23" s="133" t="str">
        <f>IF($A23&lt;&gt;0,VLOOKUP($A23,'0.Productos'!$A$3:$GG$587,'0.Productos'!AY$1+1,0),"")</f>
        <v/>
      </c>
      <c r="H23" s="133" t="str">
        <f>IF($A23&lt;&gt;0,VLOOKUP($A23,'0.Productos'!$A$3:$GG$587,'0.Productos'!AZ$1+1,0),"")</f>
        <v/>
      </c>
      <c r="I23" s="133" t="str">
        <f>IF($A23&lt;&gt;0,VLOOKUP($A23,'0.Productos'!$A$3:$GG$587,'0.Productos'!BA$1+1,0),"")</f>
        <v/>
      </c>
      <c r="J23" s="133" t="str">
        <f>IF($A23&lt;&gt;0,VLOOKUP($A23,'0.Productos'!$A$3:$GG$587,'0.Productos'!BB$1+1,0),"")</f>
        <v/>
      </c>
      <c r="K23" s="133" t="str">
        <f>IF($A23&lt;&gt;0,VLOOKUP($A23,'0.Productos'!$A$3:$GG$587,'0.Productos'!BC$1+1,0),"")</f>
        <v/>
      </c>
      <c r="L23" s="133" t="str">
        <f>IF($A23&lt;&gt;0,VLOOKUP($A23,'0.Productos'!$A$3:$GG$587,'0.Productos'!BD$1+1,0),"")</f>
        <v/>
      </c>
      <c r="M23" s="133" t="str">
        <f>IF($A23&lt;&gt;0,VLOOKUP($A23,'0.Productos'!$A$3:$GG$587,'0.Productos'!BE$1+1,0),"")</f>
        <v/>
      </c>
      <c r="N23" s="133" t="str">
        <f>IF($A23&lt;&gt;0,VLOOKUP($A23,'0.Productos'!$A$3:$GG$587,'0.Productos'!BF$1+1,0),"")</f>
        <v/>
      </c>
      <c r="O23" s="133" t="str">
        <f>IF($A23&lt;&gt;0,VLOOKUP($A23,'0.Productos'!$A$3:$GG$587,'0.Productos'!BG$1+1,0),"")</f>
        <v/>
      </c>
      <c r="P23" s="133" t="str">
        <f>IF($A23&lt;&gt;0,VLOOKUP($A23,'0.Productos'!$A$3:$GG$587,'0.Productos'!BH$1+1,0),"")</f>
        <v/>
      </c>
      <c r="Q23" s="133" t="str">
        <f>IF($A23&lt;&gt;0,VLOOKUP($A23,'0.Productos'!$A$3:$GG$587,'0.Productos'!BI$1+1,0),"")</f>
        <v/>
      </c>
      <c r="R23" s="133" t="str">
        <f>IF($A23&lt;&gt;0,VLOOKUP($A23,'0.Productos'!$A$3:$GG$587,'0.Productos'!BJ$1+1,0),"")</f>
        <v/>
      </c>
      <c r="S23" s="133" t="str">
        <f>IF($A23&lt;&gt;0,VLOOKUP($A23,'0.Productos'!$A$3:$GG$587,'0.Productos'!BK$1+1,0),"")</f>
        <v/>
      </c>
      <c r="T23" s="133" t="str">
        <f>IF($A23&lt;&gt;0,VLOOKUP($A23,'0.Productos'!$A$3:$GG$587,'0.Productos'!BL$1+1,0),"")</f>
        <v/>
      </c>
      <c r="U23" s="133" t="str">
        <f>IF($A23&lt;&gt;0,VLOOKUP($A23,'0.Productos'!$A$3:$GG$587,'0.Productos'!BM$1+1,0),"")</f>
        <v/>
      </c>
      <c r="V23" s="133" t="str">
        <f>IF($A23&lt;&gt;0,VLOOKUP($A23,'0.Productos'!$A$3:$GG$587,'0.Productos'!BN$1+1,0),"")</f>
        <v/>
      </c>
      <c r="W23" s="133" t="str">
        <f>IF($A23&lt;&gt;0,VLOOKUP($A23,'0.Productos'!$A$3:$GG$587,'0.Productos'!BO$1+1,0),"")</f>
        <v/>
      </c>
      <c r="X23" s="133" t="str">
        <f>IF($A23&lt;&gt;0,VLOOKUP($A23,'0.Productos'!$A$3:$GG$587,'0.Productos'!BP$1+1,0),"")</f>
        <v/>
      </c>
      <c r="Y23" s="133" t="str">
        <f>IF($A23&lt;&gt;0,VLOOKUP($A23,'0.Productos'!$A$3:$GG$587,'0.Productos'!BQ$1+1,0),"")</f>
        <v/>
      </c>
      <c r="Z23" s="133" t="str">
        <f>IF($A23&lt;&gt;0,VLOOKUP($A23,'0.Productos'!$A$3:$GG$587,'0.Productos'!BR$1+1,0),"")</f>
        <v/>
      </c>
      <c r="AA23" s="133" t="str">
        <f>IF($A23&lt;&gt;0,VLOOKUP($A23,'0.Productos'!$A$3:$GG$587,'0.Productos'!BS$1+1,0),"")</f>
        <v/>
      </c>
      <c r="AB23" s="133" t="str">
        <f>IF($A23&lt;&gt;0,VLOOKUP($A23,'0.Productos'!$A$3:$GG$587,'0.Productos'!BT$1+1,0),"")</f>
        <v/>
      </c>
      <c r="AC23" s="133" t="str">
        <f>IF($A23&lt;&gt;0,VLOOKUP($A23,'0.Productos'!$A$3:$GG$587,'0.Productos'!BU$1+1,0),"")</f>
        <v/>
      </c>
      <c r="AD23" s="133" t="str">
        <f>IF($A23&lt;&gt;0,VLOOKUP($A23,'0.Productos'!$A$3:$GG$587,'0.Productos'!BV$1+1,0),"")</f>
        <v/>
      </c>
      <c r="AE23" s="133" t="str">
        <f>IF($A23&lt;&gt;0,VLOOKUP($A23,'0.Productos'!$A$3:$GG$587,'0.Productos'!BW$1+1,0),"")</f>
        <v/>
      </c>
      <c r="AF23" s="133" t="str">
        <f>IF($A23&lt;&gt;0,VLOOKUP($A23,'0.Productos'!$A$3:$GG$587,'0.Productos'!BX$1+1,0),"")</f>
        <v/>
      </c>
      <c r="AG23" s="133" t="str">
        <f>IF($A23&lt;&gt;0,VLOOKUP($A23,'0.Productos'!$A$3:$GG$587,'0.Productos'!BY$1+1,0),"")</f>
        <v/>
      </c>
      <c r="AH23" s="133" t="str">
        <f>IF($A23&lt;&gt;0,VLOOKUP($A23,'0.Productos'!$A$3:$GG$587,'0.Productos'!BZ$1+1,0),"")</f>
        <v/>
      </c>
      <c r="AI23" s="133" t="str">
        <f>IF($A23&lt;&gt;0,VLOOKUP($A23,'0.Productos'!$A$3:$GG$587,'0.Productos'!CA$1+1,0),"")</f>
        <v/>
      </c>
      <c r="AJ23" s="133" t="str">
        <f>IF($A23&lt;&gt;0,VLOOKUP($A23,'0.Productos'!$A$3:$GG$587,'0.Productos'!CB$1+1,0),"")</f>
        <v/>
      </c>
      <c r="AK23" s="133" t="str">
        <f>IF($A23&lt;&gt;0,VLOOKUP($A23,'0.Productos'!$A$3:$GG$587,'0.Productos'!CC$1+1,0),"")</f>
        <v/>
      </c>
      <c r="AL23" s="133" t="str">
        <f>IF($A23&lt;&gt;0,VLOOKUP($A23,'0.Productos'!$A$3:$GG$587,'0.Productos'!CD$1+1,0),"")</f>
        <v/>
      </c>
      <c r="AM23" s="133" t="str">
        <f>IF($A23&lt;&gt;0,VLOOKUP($A23,'0.Productos'!$A$3:$GG$587,'0.Productos'!CE$1+1,0),"")</f>
        <v/>
      </c>
      <c r="AN23" s="133" t="str">
        <f>IF($A23&lt;&gt;0,VLOOKUP($A23,'0.Productos'!$A$3:$GG$587,'0.Productos'!CF$1+1,0),"")</f>
        <v/>
      </c>
      <c r="AO23" s="133" t="str">
        <f>IF($A23&lt;&gt;0,VLOOKUP($A23,'0.Productos'!$A$3:$GG$587,'0.Productos'!CG$1+1,0),"")</f>
        <v/>
      </c>
      <c r="AP23" s="133" t="str">
        <f>IF($A23&lt;&gt;0,VLOOKUP($A23,'0.Productos'!$A$3:$GG$587,'0.Productos'!CH$1+1,0),"")</f>
        <v/>
      </c>
      <c r="AQ23" s="133" t="str">
        <f>IF($A23&lt;&gt;0,VLOOKUP($A23,'0.Productos'!$A$3:$GG$587,'0.Productos'!CI$1+1,0),"")</f>
        <v/>
      </c>
      <c r="AR23" s="133" t="str">
        <f>IF($A23&lt;&gt;0,VLOOKUP($A23,'0.Productos'!$A$3:$GG$587,'0.Productos'!CJ$1+1,0),"")</f>
        <v/>
      </c>
      <c r="AS23" s="133" t="str">
        <f>IF($A23&lt;&gt;0,VLOOKUP($A23,'0.Productos'!$A$3:$GG$587,'0.Productos'!CK$1+1,0),"")</f>
        <v/>
      </c>
      <c r="AT23" s="133" t="str">
        <f>IF($A23&lt;&gt;0,VLOOKUP($A23,'0.Productos'!$A$3:$GG$587,'0.Productos'!CL$1+1,0),"")</f>
        <v/>
      </c>
      <c r="AU23" s="133" t="str">
        <f>IF($A23&lt;&gt;0,VLOOKUP($A23,'0.Productos'!$A$3:$GG$587,'0.Productos'!CM$1+1,0),"")</f>
        <v/>
      </c>
      <c r="AV23" s="133" t="str">
        <f>IF($A23&lt;&gt;0,VLOOKUP($A23,'0.Productos'!$A$3:$GG$587,'0.Productos'!CN$1+1,0),"")</f>
        <v/>
      </c>
      <c r="AW23" s="133" t="str">
        <f>IF($A23&lt;&gt;0,VLOOKUP($A23,'0.Productos'!$A$3:$GG$587,'0.Productos'!CO$1+1,0),"")</f>
        <v/>
      </c>
      <c r="AX23" s="133" t="str">
        <f>IF($A23&lt;&gt;0,VLOOKUP($A23,'0.Productos'!$A$3:$GG$587,'0.Productos'!CP$1+1,0),"")</f>
        <v/>
      </c>
      <c r="AY23" s="133" t="str">
        <f>IF($A23&lt;&gt;0,VLOOKUP($A23,'0.Productos'!$A$3:$GG$587,'0.Productos'!CQ$1+1,0),"")</f>
        <v/>
      </c>
      <c r="AZ23" s="133" t="str">
        <f>IF($A23&lt;&gt;0,VLOOKUP($A23,'0.Productos'!$A$3:$GG$587,'0.Productos'!CR$1+1,0),"")</f>
        <v/>
      </c>
      <c r="BA23" s="133" t="str">
        <f>IF($A23&lt;&gt;0,VLOOKUP($A23,'0.Productos'!$A$3:$GG$587,'0.Productos'!CS$1+1,0),"")</f>
        <v/>
      </c>
      <c r="BB23" s="133" t="str">
        <f>IF($A23&lt;&gt;0,VLOOKUP($A23,'0.Productos'!$A$3:$GG$587,'0.Productos'!CT$1+1,0),"")</f>
        <v/>
      </c>
      <c r="BC23" s="133" t="str">
        <f>IF($A23&lt;&gt;0,VLOOKUP($A23,'0.Productos'!$A$3:$GG$587,'0.Productos'!CU$1+1,0),"")</f>
        <v/>
      </c>
      <c r="BD23" s="133" t="str">
        <f>IF($A23&lt;&gt;0,VLOOKUP($A23,'0.Productos'!$A$3:$GG$587,'0.Productos'!CV$1+1,0),"")</f>
        <v/>
      </c>
      <c r="BE23" s="133" t="str">
        <f>IF($A23&lt;&gt;0,VLOOKUP($A23,'0.Productos'!$A$3:$GG$587,'0.Productos'!CW$1+1,0),"")</f>
        <v/>
      </c>
      <c r="BF23" s="133" t="str">
        <f>IF($A23&lt;&gt;0,VLOOKUP($A23,'0.Productos'!$A$3:$GG$587,'0.Productos'!CX$1+1,0),"")</f>
        <v/>
      </c>
      <c r="BG23" s="133" t="str">
        <f>IF($A23&lt;&gt;0,VLOOKUP($A23,'0.Productos'!$A$3:$GG$587,'0.Productos'!CY$1+1,0),"")</f>
        <v/>
      </c>
      <c r="BH23" s="133" t="str">
        <f>IF($A23&lt;&gt;0,VLOOKUP($A23,'0.Productos'!$A$3:$GG$587,'0.Productos'!CZ$1+1,0),"")</f>
        <v/>
      </c>
      <c r="BI23" s="133" t="str">
        <f>IF($A23&lt;&gt;0,VLOOKUP($A23,'0.Productos'!$A$3:$GG$587,'0.Productos'!DA$1+1,0),"")</f>
        <v/>
      </c>
      <c r="BJ23" s="133" t="str">
        <f>IF($A23&lt;&gt;0,VLOOKUP($A23,'0.Productos'!$A$3:$GG$587,'0.Productos'!DB$1+1,0),"")</f>
        <v/>
      </c>
      <c r="BK23" s="133" t="str">
        <f>IF($A23&lt;&gt;0,VLOOKUP($A23,'0.Productos'!$A$3:$GG$587,'0.Productos'!DC$1+1,0),"")</f>
        <v/>
      </c>
      <c r="BL23" s="133" t="str">
        <f>IF($A23&lt;&gt;0,VLOOKUP($A23,'0.Productos'!$A$3:$GG$587,'0.Productos'!DD$1+1,0),"")</f>
        <v/>
      </c>
      <c r="BM23" s="133" t="str">
        <f>IF($A23&lt;&gt;0,VLOOKUP($A23,'0.Productos'!$A$3:$GG$587,'0.Productos'!DE$1+1,0),"")</f>
        <v/>
      </c>
      <c r="BN23" s="133" t="str">
        <f>IF($A23&lt;&gt;0,VLOOKUP($A23,'0.Productos'!$A$3:$GG$587,'0.Productos'!DF$1+1,0),"")</f>
        <v/>
      </c>
      <c r="BO23" s="133" t="str">
        <f>IF($A23&lt;&gt;0,VLOOKUP($A23,'0.Productos'!$A$3:$GG$587,'0.Productos'!DG$1+1,0),"")</f>
        <v/>
      </c>
      <c r="BP23" s="133" t="str">
        <f>IF($A23&lt;&gt;0,VLOOKUP($A23,'0.Productos'!$A$3:$GG$587,'0.Productos'!DH$1+1,0),"")</f>
        <v/>
      </c>
      <c r="BQ23" s="133" t="str">
        <f>IF($A23&lt;&gt;0,VLOOKUP($A23,'0.Productos'!$A$3:$GG$587,'0.Productos'!DI$1+1,0),"")</f>
        <v/>
      </c>
      <c r="BR23" s="133" t="str">
        <f>IF($A23&lt;&gt;0,VLOOKUP($A23,'0.Productos'!$A$3:$GG$587,'0.Productos'!DJ$1+1,0),"")</f>
        <v/>
      </c>
      <c r="BS23" s="133" t="str">
        <f>IF($A23&lt;&gt;0,VLOOKUP($A23,'0.Productos'!$A$3:$GG$587,'0.Productos'!DK$1+1,0),"")</f>
        <v/>
      </c>
      <c r="BT23" s="133" t="str">
        <f>IF($A23&lt;&gt;0,VLOOKUP($A23,'0.Productos'!$A$3:$GG$587,'0.Productos'!DL$1+1,0),"")</f>
        <v/>
      </c>
    </row>
    <row r="24" spans="1:72" x14ac:dyDescent="0.25">
      <c r="A24" s="17">
        <f>'0.Consolidado general'!A24</f>
        <v>0</v>
      </c>
      <c r="B24" s="133" t="str">
        <f>IF($A24&lt;&gt;0,VLOOKUP($A24,'0.Productos'!$A$3:$GG$587,'0.Productos'!AT$1+1,0),"")</f>
        <v/>
      </c>
      <c r="C24" s="133" t="str">
        <f>IF($A24&lt;&gt;0,VLOOKUP($A24,'0.Productos'!$A$3:$GG$587,'0.Productos'!AU$1+1,0),"")</f>
        <v/>
      </c>
      <c r="D24" s="133" t="str">
        <f>IF($A24&lt;&gt;0,VLOOKUP($A24,'0.Productos'!$A$3:$GG$587,'0.Productos'!AV$1+1,0),"")</f>
        <v/>
      </c>
      <c r="E24" s="133" t="str">
        <f>IF($A24&lt;&gt;0,VLOOKUP($A24,'0.Productos'!$A$3:$GG$587,'0.Productos'!AW$1+1,0),"")</f>
        <v/>
      </c>
      <c r="F24" s="133" t="str">
        <f>IF($A24&lt;&gt;0,VLOOKUP($A24,'0.Productos'!$A$3:$GG$587,'0.Productos'!AX$1+1,0),"")</f>
        <v/>
      </c>
      <c r="G24" s="133" t="str">
        <f>IF($A24&lt;&gt;0,VLOOKUP($A24,'0.Productos'!$A$3:$GG$587,'0.Productos'!AY$1+1,0),"")</f>
        <v/>
      </c>
      <c r="H24" s="133" t="str">
        <f>IF($A24&lt;&gt;0,VLOOKUP($A24,'0.Productos'!$A$3:$GG$587,'0.Productos'!AZ$1+1,0),"")</f>
        <v/>
      </c>
      <c r="I24" s="133" t="str">
        <f>IF($A24&lt;&gt;0,VLOOKUP($A24,'0.Productos'!$A$3:$GG$587,'0.Productos'!BA$1+1,0),"")</f>
        <v/>
      </c>
      <c r="J24" s="133" t="str">
        <f>IF($A24&lt;&gt;0,VLOOKUP($A24,'0.Productos'!$A$3:$GG$587,'0.Productos'!BB$1+1,0),"")</f>
        <v/>
      </c>
      <c r="K24" s="133" t="str">
        <f>IF($A24&lt;&gt;0,VLOOKUP($A24,'0.Productos'!$A$3:$GG$587,'0.Productos'!BC$1+1,0),"")</f>
        <v/>
      </c>
      <c r="L24" s="133" t="str">
        <f>IF($A24&lt;&gt;0,VLOOKUP($A24,'0.Productos'!$A$3:$GG$587,'0.Productos'!BD$1+1,0),"")</f>
        <v/>
      </c>
      <c r="M24" s="133" t="str">
        <f>IF($A24&lt;&gt;0,VLOOKUP($A24,'0.Productos'!$A$3:$GG$587,'0.Productos'!BE$1+1,0),"")</f>
        <v/>
      </c>
      <c r="N24" s="133" t="str">
        <f>IF($A24&lt;&gt;0,VLOOKUP($A24,'0.Productos'!$A$3:$GG$587,'0.Productos'!BF$1+1,0),"")</f>
        <v/>
      </c>
      <c r="O24" s="133" t="str">
        <f>IF($A24&lt;&gt;0,VLOOKUP($A24,'0.Productos'!$A$3:$GG$587,'0.Productos'!BG$1+1,0),"")</f>
        <v/>
      </c>
      <c r="P24" s="133" t="str">
        <f>IF($A24&lt;&gt;0,VLOOKUP($A24,'0.Productos'!$A$3:$GG$587,'0.Productos'!BH$1+1,0),"")</f>
        <v/>
      </c>
      <c r="Q24" s="133" t="str">
        <f>IF($A24&lt;&gt;0,VLOOKUP($A24,'0.Productos'!$A$3:$GG$587,'0.Productos'!BI$1+1,0),"")</f>
        <v/>
      </c>
      <c r="R24" s="133" t="str">
        <f>IF($A24&lt;&gt;0,VLOOKUP($A24,'0.Productos'!$A$3:$GG$587,'0.Productos'!BJ$1+1,0),"")</f>
        <v/>
      </c>
      <c r="S24" s="133" t="str">
        <f>IF($A24&lt;&gt;0,VLOOKUP($A24,'0.Productos'!$A$3:$GG$587,'0.Productos'!BK$1+1,0),"")</f>
        <v/>
      </c>
      <c r="T24" s="133" t="str">
        <f>IF($A24&lt;&gt;0,VLOOKUP($A24,'0.Productos'!$A$3:$GG$587,'0.Productos'!BL$1+1,0),"")</f>
        <v/>
      </c>
      <c r="U24" s="133" t="str">
        <f>IF($A24&lt;&gt;0,VLOOKUP($A24,'0.Productos'!$A$3:$GG$587,'0.Productos'!BM$1+1,0),"")</f>
        <v/>
      </c>
      <c r="V24" s="133" t="str">
        <f>IF($A24&lt;&gt;0,VLOOKUP($A24,'0.Productos'!$A$3:$GG$587,'0.Productos'!BN$1+1,0),"")</f>
        <v/>
      </c>
      <c r="W24" s="133" t="str">
        <f>IF($A24&lt;&gt;0,VLOOKUP($A24,'0.Productos'!$A$3:$GG$587,'0.Productos'!BO$1+1,0),"")</f>
        <v/>
      </c>
      <c r="X24" s="133" t="str">
        <f>IF($A24&lt;&gt;0,VLOOKUP($A24,'0.Productos'!$A$3:$GG$587,'0.Productos'!BP$1+1,0),"")</f>
        <v/>
      </c>
      <c r="Y24" s="133" t="str">
        <f>IF($A24&lt;&gt;0,VLOOKUP($A24,'0.Productos'!$A$3:$GG$587,'0.Productos'!BQ$1+1,0),"")</f>
        <v/>
      </c>
      <c r="Z24" s="133" t="str">
        <f>IF($A24&lt;&gt;0,VLOOKUP($A24,'0.Productos'!$A$3:$GG$587,'0.Productos'!BR$1+1,0),"")</f>
        <v/>
      </c>
      <c r="AA24" s="133" t="str">
        <f>IF($A24&lt;&gt;0,VLOOKUP($A24,'0.Productos'!$A$3:$GG$587,'0.Productos'!BS$1+1,0),"")</f>
        <v/>
      </c>
      <c r="AB24" s="133" t="str">
        <f>IF($A24&lt;&gt;0,VLOOKUP($A24,'0.Productos'!$A$3:$GG$587,'0.Productos'!BT$1+1,0),"")</f>
        <v/>
      </c>
      <c r="AC24" s="133" t="str">
        <f>IF($A24&lt;&gt;0,VLOOKUP($A24,'0.Productos'!$A$3:$GG$587,'0.Productos'!BU$1+1,0),"")</f>
        <v/>
      </c>
      <c r="AD24" s="133" t="str">
        <f>IF($A24&lt;&gt;0,VLOOKUP($A24,'0.Productos'!$A$3:$GG$587,'0.Productos'!BV$1+1,0),"")</f>
        <v/>
      </c>
      <c r="AE24" s="133" t="str">
        <f>IF($A24&lt;&gt;0,VLOOKUP($A24,'0.Productos'!$A$3:$GG$587,'0.Productos'!BW$1+1,0),"")</f>
        <v/>
      </c>
      <c r="AF24" s="133" t="str">
        <f>IF($A24&lt;&gt;0,VLOOKUP($A24,'0.Productos'!$A$3:$GG$587,'0.Productos'!BX$1+1,0),"")</f>
        <v/>
      </c>
      <c r="AG24" s="133" t="str">
        <f>IF($A24&lt;&gt;0,VLOOKUP($A24,'0.Productos'!$A$3:$GG$587,'0.Productos'!BY$1+1,0),"")</f>
        <v/>
      </c>
      <c r="AH24" s="133" t="str">
        <f>IF($A24&lt;&gt;0,VLOOKUP($A24,'0.Productos'!$A$3:$GG$587,'0.Productos'!BZ$1+1,0),"")</f>
        <v/>
      </c>
      <c r="AI24" s="133" t="str">
        <f>IF($A24&lt;&gt;0,VLOOKUP($A24,'0.Productos'!$A$3:$GG$587,'0.Productos'!CA$1+1,0),"")</f>
        <v/>
      </c>
      <c r="AJ24" s="133" t="str">
        <f>IF($A24&lt;&gt;0,VLOOKUP($A24,'0.Productos'!$A$3:$GG$587,'0.Productos'!CB$1+1,0),"")</f>
        <v/>
      </c>
      <c r="AK24" s="133" t="str">
        <f>IF($A24&lt;&gt;0,VLOOKUP($A24,'0.Productos'!$A$3:$GG$587,'0.Productos'!CC$1+1,0),"")</f>
        <v/>
      </c>
      <c r="AL24" s="133" t="str">
        <f>IF($A24&lt;&gt;0,VLOOKUP($A24,'0.Productos'!$A$3:$GG$587,'0.Productos'!CD$1+1,0),"")</f>
        <v/>
      </c>
      <c r="AM24" s="133" t="str">
        <f>IF($A24&lt;&gt;0,VLOOKUP($A24,'0.Productos'!$A$3:$GG$587,'0.Productos'!CE$1+1,0),"")</f>
        <v/>
      </c>
      <c r="AN24" s="133" t="str">
        <f>IF($A24&lt;&gt;0,VLOOKUP($A24,'0.Productos'!$A$3:$GG$587,'0.Productos'!CF$1+1,0),"")</f>
        <v/>
      </c>
      <c r="AO24" s="133" t="str">
        <f>IF($A24&lt;&gt;0,VLOOKUP($A24,'0.Productos'!$A$3:$GG$587,'0.Productos'!CG$1+1,0),"")</f>
        <v/>
      </c>
      <c r="AP24" s="133" t="str">
        <f>IF($A24&lt;&gt;0,VLOOKUP($A24,'0.Productos'!$A$3:$GG$587,'0.Productos'!CH$1+1,0),"")</f>
        <v/>
      </c>
      <c r="AQ24" s="133" t="str">
        <f>IF($A24&lt;&gt;0,VLOOKUP($A24,'0.Productos'!$A$3:$GG$587,'0.Productos'!CI$1+1,0),"")</f>
        <v/>
      </c>
      <c r="AR24" s="133" t="str">
        <f>IF($A24&lt;&gt;0,VLOOKUP($A24,'0.Productos'!$A$3:$GG$587,'0.Productos'!CJ$1+1,0),"")</f>
        <v/>
      </c>
      <c r="AS24" s="133" t="str">
        <f>IF($A24&lt;&gt;0,VLOOKUP($A24,'0.Productos'!$A$3:$GG$587,'0.Productos'!CK$1+1,0),"")</f>
        <v/>
      </c>
      <c r="AT24" s="133" t="str">
        <f>IF($A24&lt;&gt;0,VLOOKUP($A24,'0.Productos'!$A$3:$GG$587,'0.Productos'!CL$1+1,0),"")</f>
        <v/>
      </c>
      <c r="AU24" s="133" t="str">
        <f>IF($A24&lt;&gt;0,VLOOKUP($A24,'0.Productos'!$A$3:$GG$587,'0.Productos'!CM$1+1,0),"")</f>
        <v/>
      </c>
      <c r="AV24" s="133" t="str">
        <f>IF($A24&lt;&gt;0,VLOOKUP($A24,'0.Productos'!$A$3:$GG$587,'0.Productos'!CN$1+1,0),"")</f>
        <v/>
      </c>
      <c r="AW24" s="133" t="str">
        <f>IF($A24&lt;&gt;0,VLOOKUP($A24,'0.Productos'!$A$3:$GG$587,'0.Productos'!CO$1+1,0),"")</f>
        <v/>
      </c>
      <c r="AX24" s="133" t="str">
        <f>IF($A24&lt;&gt;0,VLOOKUP($A24,'0.Productos'!$A$3:$GG$587,'0.Productos'!CP$1+1,0),"")</f>
        <v/>
      </c>
      <c r="AY24" s="133" t="str">
        <f>IF($A24&lt;&gt;0,VLOOKUP($A24,'0.Productos'!$A$3:$GG$587,'0.Productos'!CQ$1+1,0),"")</f>
        <v/>
      </c>
      <c r="AZ24" s="133" t="str">
        <f>IF($A24&lt;&gt;0,VLOOKUP($A24,'0.Productos'!$A$3:$GG$587,'0.Productos'!CR$1+1,0),"")</f>
        <v/>
      </c>
      <c r="BA24" s="133" t="str">
        <f>IF($A24&lt;&gt;0,VLOOKUP($A24,'0.Productos'!$A$3:$GG$587,'0.Productos'!CS$1+1,0),"")</f>
        <v/>
      </c>
      <c r="BB24" s="133" t="str">
        <f>IF($A24&lt;&gt;0,VLOOKUP($A24,'0.Productos'!$A$3:$GG$587,'0.Productos'!CT$1+1,0),"")</f>
        <v/>
      </c>
      <c r="BC24" s="133" t="str">
        <f>IF($A24&lt;&gt;0,VLOOKUP($A24,'0.Productos'!$A$3:$GG$587,'0.Productos'!CU$1+1,0),"")</f>
        <v/>
      </c>
      <c r="BD24" s="133" t="str">
        <f>IF($A24&lt;&gt;0,VLOOKUP($A24,'0.Productos'!$A$3:$GG$587,'0.Productos'!CV$1+1,0),"")</f>
        <v/>
      </c>
      <c r="BE24" s="133" t="str">
        <f>IF($A24&lt;&gt;0,VLOOKUP($A24,'0.Productos'!$A$3:$GG$587,'0.Productos'!CW$1+1,0),"")</f>
        <v/>
      </c>
      <c r="BF24" s="133" t="str">
        <f>IF($A24&lt;&gt;0,VLOOKUP($A24,'0.Productos'!$A$3:$GG$587,'0.Productos'!CX$1+1,0),"")</f>
        <v/>
      </c>
      <c r="BG24" s="133" t="str">
        <f>IF($A24&lt;&gt;0,VLOOKUP($A24,'0.Productos'!$A$3:$GG$587,'0.Productos'!CY$1+1,0),"")</f>
        <v/>
      </c>
      <c r="BH24" s="133" t="str">
        <f>IF($A24&lt;&gt;0,VLOOKUP($A24,'0.Productos'!$A$3:$GG$587,'0.Productos'!CZ$1+1,0),"")</f>
        <v/>
      </c>
      <c r="BI24" s="133" t="str">
        <f>IF($A24&lt;&gt;0,VLOOKUP($A24,'0.Productos'!$A$3:$GG$587,'0.Productos'!DA$1+1,0),"")</f>
        <v/>
      </c>
      <c r="BJ24" s="133" t="str">
        <f>IF($A24&lt;&gt;0,VLOOKUP($A24,'0.Productos'!$A$3:$GG$587,'0.Productos'!DB$1+1,0),"")</f>
        <v/>
      </c>
      <c r="BK24" s="133" t="str">
        <f>IF($A24&lt;&gt;0,VLOOKUP($A24,'0.Productos'!$A$3:$GG$587,'0.Productos'!DC$1+1,0),"")</f>
        <v/>
      </c>
      <c r="BL24" s="133" t="str">
        <f>IF($A24&lt;&gt;0,VLOOKUP($A24,'0.Productos'!$A$3:$GG$587,'0.Productos'!DD$1+1,0),"")</f>
        <v/>
      </c>
      <c r="BM24" s="133" t="str">
        <f>IF($A24&lt;&gt;0,VLOOKUP($A24,'0.Productos'!$A$3:$GG$587,'0.Productos'!DE$1+1,0),"")</f>
        <v/>
      </c>
      <c r="BN24" s="133" t="str">
        <f>IF($A24&lt;&gt;0,VLOOKUP($A24,'0.Productos'!$A$3:$GG$587,'0.Productos'!DF$1+1,0),"")</f>
        <v/>
      </c>
      <c r="BO24" s="133" t="str">
        <f>IF($A24&lt;&gt;0,VLOOKUP($A24,'0.Productos'!$A$3:$GG$587,'0.Productos'!DG$1+1,0),"")</f>
        <v/>
      </c>
      <c r="BP24" s="133" t="str">
        <f>IF($A24&lt;&gt;0,VLOOKUP($A24,'0.Productos'!$A$3:$GG$587,'0.Productos'!DH$1+1,0),"")</f>
        <v/>
      </c>
      <c r="BQ24" s="133" t="str">
        <f>IF($A24&lt;&gt;0,VLOOKUP($A24,'0.Productos'!$A$3:$GG$587,'0.Productos'!DI$1+1,0),"")</f>
        <v/>
      </c>
      <c r="BR24" s="133" t="str">
        <f>IF($A24&lt;&gt;0,VLOOKUP($A24,'0.Productos'!$A$3:$GG$587,'0.Productos'!DJ$1+1,0),"")</f>
        <v/>
      </c>
      <c r="BS24" s="133" t="str">
        <f>IF($A24&lt;&gt;0,VLOOKUP($A24,'0.Productos'!$A$3:$GG$587,'0.Productos'!DK$1+1,0),"")</f>
        <v/>
      </c>
      <c r="BT24" s="133" t="str">
        <f>IF($A24&lt;&gt;0,VLOOKUP($A24,'0.Productos'!$A$3:$GG$587,'0.Productos'!DL$1+1,0),"")</f>
        <v/>
      </c>
    </row>
    <row r="25" spans="1:72" x14ac:dyDescent="0.25">
      <c r="A25" s="17">
        <f>'0.Consolidado general'!A25</f>
        <v>0</v>
      </c>
      <c r="B25" s="133" t="str">
        <f>IF($A25&lt;&gt;0,VLOOKUP($A25,'0.Productos'!$A$3:$GG$587,'0.Productos'!AT$1+1,0),"")</f>
        <v/>
      </c>
      <c r="C25" s="133" t="str">
        <f>IF($A25&lt;&gt;0,VLOOKUP($A25,'0.Productos'!$A$3:$GG$587,'0.Productos'!AU$1+1,0),"")</f>
        <v/>
      </c>
      <c r="D25" s="133" t="str">
        <f>IF($A25&lt;&gt;0,VLOOKUP($A25,'0.Productos'!$A$3:$GG$587,'0.Productos'!AV$1+1,0),"")</f>
        <v/>
      </c>
      <c r="E25" s="133" t="str">
        <f>IF($A25&lt;&gt;0,VLOOKUP($A25,'0.Productos'!$A$3:$GG$587,'0.Productos'!AW$1+1,0),"")</f>
        <v/>
      </c>
      <c r="F25" s="133" t="str">
        <f>IF($A25&lt;&gt;0,VLOOKUP($A25,'0.Productos'!$A$3:$GG$587,'0.Productos'!AX$1+1,0),"")</f>
        <v/>
      </c>
      <c r="G25" s="133" t="str">
        <f>IF($A25&lt;&gt;0,VLOOKUP($A25,'0.Productos'!$A$3:$GG$587,'0.Productos'!AY$1+1,0),"")</f>
        <v/>
      </c>
      <c r="H25" s="133" t="str">
        <f>IF($A25&lt;&gt;0,VLOOKUP($A25,'0.Productos'!$A$3:$GG$587,'0.Productos'!AZ$1+1,0),"")</f>
        <v/>
      </c>
      <c r="I25" s="133" t="str">
        <f>IF($A25&lt;&gt;0,VLOOKUP($A25,'0.Productos'!$A$3:$GG$587,'0.Productos'!BA$1+1,0),"")</f>
        <v/>
      </c>
      <c r="J25" s="133" t="str">
        <f>IF($A25&lt;&gt;0,VLOOKUP($A25,'0.Productos'!$A$3:$GG$587,'0.Productos'!BB$1+1,0),"")</f>
        <v/>
      </c>
      <c r="K25" s="133" t="str">
        <f>IF($A25&lt;&gt;0,VLOOKUP($A25,'0.Productos'!$A$3:$GG$587,'0.Productos'!BC$1+1,0),"")</f>
        <v/>
      </c>
      <c r="L25" s="133" t="str">
        <f>IF($A25&lt;&gt;0,VLOOKUP($A25,'0.Productos'!$A$3:$GG$587,'0.Productos'!BD$1+1,0),"")</f>
        <v/>
      </c>
      <c r="M25" s="133" t="str">
        <f>IF($A25&lt;&gt;0,VLOOKUP($A25,'0.Productos'!$A$3:$GG$587,'0.Productos'!BE$1+1,0),"")</f>
        <v/>
      </c>
      <c r="N25" s="133" t="str">
        <f>IF($A25&lt;&gt;0,VLOOKUP($A25,'0.Productos'!$A$3:$GG$587,'0.Productos'!BF$1+1,0),"")</f>
        <v/>
      </c>
      <c r="O25" s="133" t="str">
        <f>IF($A25&lt;&gt;0,VLOOKUP($A25,'0.Productos'!$A$3:$GG$587,'0.Productos'!BG$1+1,0),"")</f>
        <v/>
      </c>
      <c r="P25" s="133" t="str">
        <f>IF($A25&lt;&gt;0,VLOOKUP($A25,'0.Productos'!$A$3:$GG$587,'0.Productos'!BH$1+1,0),"")</f>
        <v/>
      </c>
      <c r="Q25" s="133" t="str">
        <f>IF($A25&lt;&gt;0,VLOOKUP($A25,'0.Productos'!$A$3:$GG$587,'0.Productos'!BI$1+1,0),"")</f>
        <v/>
      </c>
      <c r="R25" s="133" t="str">
        <f>IF($A25&lt;&gt;0,VLOOKUP($A25,'0.Productos'!$A$3:$GG$587,'0.Productos'!BJ$1+1,0),"")</f>
        <v/>
      </c>
      <c r="S25" s="133" t="str">
        <f>IF($A25&lt;&gt;0,VLOOKUP($A25,'0.Productos'!$A$3:$GG$587,'0.Productos'!BK$1+1,0),"")</f>
        <v/>
      </c>
      <c r="T25" s="133" t="str">
        <f>IF($A25&lt;&gt;0,VLOOKUP($A25,'0.Productos'!$A$3:$GG$587,'0.Productos'!BL$1+1,0),"")</f>
        <v/>
      </c>
      <c r="U25" s="133" t="str">
        <f>IF($A25&lt;&gt;0,VLOOKUP($A25,'0.Productos'!$A$3:$GG$587,'0.Productos'!BM$1+1,0),"")</f>
        <v/>
      </c>
      <c r="V25" s="133" t="str">
        <f>IF($A25&lt;&gt;0,VLOOKUP($A25,'0.Productos'!$A$3:$GG$587,'0.Productos'!BN$1+1,0),"")</f>
        <v/>
      </c>
      <c r="W25" s="133" t="str">
        <f>IF($A25&lt;&gt;0,VLOOKUP($A25,'0.Productos'!$A$3:$GG$587,'0.Productos'!BO$1+1,0),"")</f>
        <v/>
      </c>
      <c r="X25" s="133" t="str">
        <f>IF($A25&lt;&gt;0,VLOOKUP($A25,'0.Productos'!$A$3:$GG$587,'0.Productos'!BP$1+1,0),"")</f>
        <v/>
      </c>
      <c r="Y25" s="133" t="str">
        <f>IF($A25&lt;&gt;0,VLOOKUP($A25,'0.Productos'!$A$3:$GG$587,'0.Productos'!BQ$1+1,0),"")</f>
        <v/>
      </c>
      <c r="Z25" s="133" t="str">
        <f>IF($A25&lt;&gt;0,VLOOKUP($A25,'0.Productos'!$A$3:$GG$587,'0.Productos'!BR$1+1,0),"")</f>
        <v/>
      </c>
      <c r="AA25" s="133" t="str">
        <f>IF($A25&lt;&gt;0,VLOOKUP($A25,'0.Productos'!$A$3:$GG$587,'0.Productos'!BS$1+1,0),"")</f>
        <v/>
      </c>
      <c r="AB25" s="133" t="str">
        <f>IF($A25&lt;&gt;0,VLOOKUP($A25,'0.Productos'!$A$3:$GG$587,'0.Productos'!BT$1+1,0),"")</f>
        <v/>
      </c>
      <c r="AC25" s="133" t="str">
        <f>IF($A25&lt;&gt;0,VLOOKUP($A25,'0.Productos'!$A$3:$GG$587,'0.Productos'!BU$1+1,0),"")</f>
        <v/>
      </c>
      <c r="AD25" s="133" t="str">
        <f>IF($A25&lt;&gt;0,VLOOKUP($A25,'0.Productos'!$A$3:$GG$587,'0.Productos'!BV$1+1,0),"")</f>
        <v/>
      </c>
      <c r="AE25" s="133" t="str">
        <f>IF($A25&lt;&gt;0,VLOOKUP($A25,'0.Productos'!$A$3:$GG$587,'0.Productos'!BW$1+1,0),"")</f>
        <v/>
      </c>
      <c r="AF25" s="133" t="str">
        <f>IF($A25&lt;&gt;0,VLOOKUP($A25,'0.Productos'!$A$3:$GG$587,'0.Productos'!BX$1+1,0),"")</f>
        <v/>
      </c>
      <c r="AG25" s="133" t="str">
        <f>IF($A25&lt;&gt;0,VLOOKUP($A25,'0.Productos'!$A$3:$GG$587,'0.Productos'!BY$1+1,0),"")</f>
        <v/>
      </c>
      <c r="AH25" s="133" t="str">
        <f>IF($A25&lt;&gt;0,VLOOKUP($A25,'0.Productos'!$A$3:$GG$587,'0.Productos'!BZ$1+1,0),"")</f>
        <v/>
      </c>
      <c r="AI25" s="133" t="str">
        <f>IF($A25&lt;&gt;0,VLOOKUP($A25,'0.Productos'!$A$3:$GG$587,'0.Productos'!CA$1+1,0),"")</f>
        <v/>
      </c>
      <c r="AJ25" s="133" t="str">
        <f>IF($A25&lt;&gt;0,VLOOKUP($A25,'0.Productos'!$A$3:$GG$587,'0.Productos'!CB$1+1,0),"")</f>
        <v/>
      </c>
      <c r="AK25" s="133" t="str">
        <f>IF($A25&lt;&gt;0,VLOOKUP($A25,'0.Productos'!$A$3:$GG$587,'0.Productos'!CC$1+1,0),"")</f>
        <v/>
      </c>
      <c r="AL25" s="133" t="str">
        <f>IF($A25&lt;&gt;0,VLOOKUP($A25,'0.Productos'!$A$3:$GG$587,'0.Productos'!CD$1+1,0),"")</f>
        <v/>
      </c>
      <c r="AM25" s="133" t="str">
        <f>IF($A25&lt;&gt;0,VLOOKUP($A25,'0.Productos'!$A$3:$GG$587,'0.Productos'!CE$1+1,0),"")</f>
        <v/>
      </c>
      <c r="AN25" s="133" t="str">
        <f>IF($A25&lt;&gt;0,VLOOKUP($A25,'0.Productos'!$A$3:$GG$587,'0.Productos'!CF$1+1,0),"")</f>
        <v/>
      </c>
      <c r="AO25" s="133" t="str">
        <f>IF($A25&lt;&gt;0,VLOOKUP($A25,'0.Productos'!$A$3:$GG$587,'0.Productos'!CG$1+1,0),"")</f>
        <v/>
      </c>
      <c r="AP25" s="133" t="str">
        <f>IF($A25&lt;&gt;0,VLOOKUP($A25,'0.Productos'!$A$3:$GG$587,'0.Productos'!CH$1+1,0),"")</f>
        <v/>
      </c>
      <c r="AQ25" s="133" t="str">
        <f>IF($A25&lt;&gt;0,VLOOKUP($A25,'0.Productos'!$A$3:$GG$587,'0.Productos'!CI$1+1,0),"")</f>
        <v/>
      </c>
      <c r="AR25" s="133" t="str">
        <f>IF($A25&lt;&gt;0,VLOOKUP($A25,'0.Productos'!$A$3:$GG$587,'0.Productos'!CJ$1+1,0),"")</f>
        <v/>
      </c>
      <c r="AS25" s="133" t="str">
        <f>IF($A25&lt;&gt;0,VLOOKUP($A25,'0.Productos'!$A$3:$GG$587,'0.Productos'!CK$1+1,0),"")</f>
        <v/>
      </c>
      <c r="AT25" s="133" t="str">
        <f>IF($A25&lt;&gt;0,VLOOKUP($A25,'0.Productos'!$A$3:$GG$587,'0.Productos'!CL$1+1,0),"")</f>
        <v/>
      </c>
      <c r="AU25" s="133" t="str">
        <f>IF($A25&lt;&gt;0,VLOOKUP($A25,'0.Productos'!$A$3:$GG$587,'0.Productos'!CM$1+1,0),"")</f>
        <v/>
      </c>
      <c r="AV25" s="133" t="str">
        <f>IF($A25&lt;&gt;0,VLOOKUP($A25,'0.Productos'!$A$3:$GG$587,'0.Productos'!CN$1+1,0),"")</f>
        <v/>
      </c>
      <c r="AW25" s="133" t="str">
        <f>IF($A25&lt;&gt;0,VLOOKUP($A25,'0.Productos'!$A$3:$GG$587,'0.Productos'!CO$1+1,0),"")</f>
        <v/>
      </c>
      <c r="AX25" s="133" t="str">
        <f>IF($A25&lt;&gt;0,VLOOKUP($A25,'0.Productos'!$A$3:$GG$587,'0.Productos'!CP$1+1,0),"")</f>
        <v/>
      </c>
      <c r="AY25" s="133" t="str">
        <f>IF($A25&lt;&gt;0,VLOOKUP($A25,'0.Productos'!$A$3:$GG$587,'0.Productos'!CQ$1+1,0),"")</f>
        <v/>
      </c>
      <c r="AZ25" s="133" t="str">
        <f>IF($A25&lt;&gt;0,VLOOKUP($A25,'0.Productos'!$A$3:$GG$587,'0.Productos'!CR$1+1,0),"")</f>
        <v/>
      </c>
      <c r="BA25" s="133" t="str">
        <f>IF($A25&lt;&gt;0,VLOOKUP($A25,'0.Productos'!$A$3:$GG$587,'0.Productos'!CS$1+1,0),"")</f>
        <v/>
      </c>
      <c r="BB25" s="133" t="str">
        <f>IF($A25&lt;&gt;0,VLOOKUP($A25,'0.Productos'!$A$3:$GG$587,'0.Productos'!CT$1+1,0),"")</f>
        <v/>
      </c>
      <c r="BC25" s="133" t="str">
        <f>IF($A25&lt;&gt;0,VLOOKUP($A25,'0.Productos'!$A$3:$GG$587,'0.Productos'!CU$1+1,0),"")</f>
        <v/>
      </c>
      <c r="BD25" s="133" t="str">
        <f>IF($A25&lt;&gt;0,VLOOKUP($A25,'0.Productos'!$A$3:$GG$587,'0.Productos'!CV$1+1,0),"")</f>
        <v/>
      </c>
      <c r="BE25" s="133" t="str">
        <f>IF($A25&lt;&gt;0,VLOOKUP($A25,'0.Productos'!$A$3:$GG$587,'0.Productos'!CW$1+1,0),"")</f>
        <v/>
      </c>
      <c r="BF25" s="133" t="str">
        <f>IF($A25&lt;&gt;0,VLOOKUP($A25,'0.Productos'!$A$3:$GG$587,'0.Productos'!CX$1+1,0),"")</f>
        <v/>
      </c>
      <c r="BG25" s="133" t="str">
        <f>IF($A25&lt;&gt;0,VLOOKUP($A25,'0.Productos'!$A$3:$GG$587,'0.Productos'!CY$1+1,0),"")</f>
        <v/>
      </c>
      <c r="BH25" s="133" t="str">
        <f>IF($A25&lt;&gt;0,VLOOKUP($A25,'0.Productos'!$A$3:$GG$587,'0.Productos'!CZ$1+1,0),"")</f>
        <v/>
      </c>
      <c r="BI25" s="133" t="str">
        <f>IF($A25&lt;&gt;0,VLOOKUP($A25,'0.Productos'!$A$3:$GG$587,'0.Productos'!DA$1+1,0),"")</f>
        <v/>
      </c>
      <c r="BJ25" s="133" t="str">
        <f>IF($A25&lt;&gt;0,VLOOKUP($A25,'0.Productos'!$A$3:$GG$587,'0.Productos'!DB$1+1,0),"")</f>
        <v/>
      </c>
      <c r="BK25" s="133" t="str">
        <f>IF($A25&lt;&gt;0,VLOOKUP($A25,'0.Productos'!$A$3:$GG$587,'0.Productos'!DC$1+1,0),"")</f>
        <v/>
      </c>
      <c r="BL25" s="133" t="str">
        <f>IF($A25&lt;&gt;0,VLOOKUP($A25,'0.Productos'!$A$3:$GG$587,'0.Productos'!DD$1+1,0),"")</f>
        <v/>
      </c>
      <c r="BM25" s="133" t="str">
        <f>IF($A25&lt;&gt;0,VLOOKUP($A25,'0.Productos'!$A$3:$GG$587,'0.Productos'!DE$1+1,0),"")</f>
        <v/>
      </c>
      <c r="BN25" s="133" t="str">
        <f>IF($A25&lt;&gt;0,VLOOKUP($A25,'0.Productos'!$A$3:$GG$587,'0.Productos'!DF$1+1,0),"")</f>
        <v/>
      </c>
      <c r="BO25" s="133" t="str">
        <f>IF($A25&lt;&gt;0,VLOOKUP($A25,'0.Productos'!$A$3:$GG$587,'0.Productos'!DG$1+1,0),"")</f>
        <v/>
      </c>
      <c r="BP25" s="133" t="str">
        <f>IF($A25&lt;&gt;0,VLOOKUP($A25,'0.Productos'!$A$3:$GG$587,'0.Productos'!DH$1+1,0),"")</f>
        <v/>
      </c>
      <c r="BQ25" s="133" t="str">
        <f>IF($A25&lt;&gt;0,VLOOKUP($A25,'0.Productos'!$A$3:$GG$587,'0.Productos'!DI$1+1,0),"")</f>
        <v/>
      </c>
      <c r="BR25" s="133" t="str">
        <f>IF($A25&lt;&gt;0,VLOOKUP($A25,'0.Productos'!$A$3:$GG$587,'0.Productos'!DJ$1+1,0),"")</f>
        <v/>
      </c>
      <c r="BS25" s="133" t="str">
        <f>IF($A25&lt;&gt;0,VLOOKUP($A25,'0.Productos'!$A$3:$GG$587,'0.Productos'!DK$1+1,0),"")</f>
        <v/>
      </c>
      <c r="BT25" s="133" t="str">
        <f>IF($A25&lt;&gt;0,VLOOKUP($A25,'0.Productos'!$A$3:$GG$587,'0.Productos'!DL$1+1,0),"")</f>
        <v/>
      </c>
    </row>
    <row r="26" spans="1:72" x14ac:dyDescent="0.25">
      <c r="A26" s="17">
        <f>'0.Consolidado general'!A26</f>
        <v>0</v>
      </c>
      <c r="B26" s="133" t="str">
        <f>IF($A26&lt;&gt;0,VLOOKUP($A26,'0.Productos'!$A$3:$GG$587,'0.Productos'!AT$1+1,0),"")</f>
        <v/>
      </c>
      <c r="C26" s="133" t="str">
        <f>IF($A26&lt;&gt;0,VLOOKUP($A26,'0.Productos'!$A$3:$GG$587,'0.Productos'!AU$1+1,0),"")</f>
        <v/>
      </c>
      <c r="D26" s="133" t="str">
        <f>IF($A26&lt;&gt;0,VLOOKUP($A26,'0.Productos'!$A$3:$GG$587,'0.Productos'!AV$1+1,0),"")</f>
        <v/>
      </c>
      <c r="E26" s="133" t="str">
        <f>IF($A26&lt;&gt;0,VLOOKUP($A26,'0.Productos'!$A$3:$GG$587,'0.Productos'!AW$1+1,0),"")</f>
        <v/>
      </c>
      <c r="F26" s="133" t="str">
        <f>IF($A26&lt;&gt;0,VLOOKUP($A26,'0.Productos'!$A$3:$GG$587,'0.Productos'!AX$1+1,0),"")</f>
        <v/>
      </c>
      <c r="G26" s="133" t="str">
        <f>IF($A26&lt;&gt;0,VLOOKUP($A26,'0.Productos'!$A$3:$GG$587,'0.Productos'!AY$1+1,0),"")</f>
        <v/>
      </c>
      <c r="H26" s="133" t="str">
        <f>IF($A26&lt;&gt;0,VLOOKUP($A26,'0.Productos'!$A$3:$GG$587,'0.Productos'!AZ$1+1,0),"")</f>
        <v/>
      </c>
      <c r="I26" s="133" t="str">
        <f>IF($A26&lt;&gt;0,VLOOKUP($A26,'0.Productos'!$A$3:$GG$587,'0.Productos'!BA$1+1,0),"")</f>
        <v/>
      </c>
      <c r="J26" s="133" t="str">
        <f>IF($A26&lt;&gt;0,VLOOKUP($A26,'0.Productos'!$A$3:$GG$587,'0.Productos'!BB$1+1,0),"")</f>
        <v/>
      </c>
      <c r="K26" s="133" t="str">
        <f>IF($A26&lt;&gt;0,VLOOKUP($A26,'0.Productos'!$A$3:$GG$587,'0.Productos'!BC$1+1,0),"")</f>
        <v/>
      </c>
      <c r="L26" s="133" t="str">
        <f>IF($A26&lt;&gt;0,VLOOKUP($A26,'0.Productos'!$A$3:$GG$587,'0.Productos'!BD$1+1,0),"")</f>
        <v/>
      </c>
      <c r="M26" s="133" t="str">
        <f>IF($A26&lt;&gt;0,VLOOKUP($A26,'0.Productos'!$A$3:$GG$587,'0.Productos'!BE$1+1,0),"")</f>
        <v/>
      </c>
      <c r="N26" s="133" t="str">
        <f>IF($A26&lt;&gt;0,VLOOKUP($A26,'0.Productos'!$A$3:$GG$587,'0.Productos'!BF$1+1,0),"")</f>
        <v/>
      </c>
      <c r="O26" s="133" t="str">
        <f>IF($A26&lt;&gt;0,VLOOKUP($A26,'0.Productos'!$A$3:$GG$587,'0.Productos'!BG$1+1,0),"")</f>
        <v/>
      </c>
      <c r="P26" s="133" t="str">
        <f>IF($A26&lt;&gt;0,VLOOKUP($A26,'0.Productos'!$A$3:$GG$587,'0.Productos'!BH$1+1,0),"")</f>
        <v/>
      </c>
      <c r="Q26" s="133" t="str">
        <f>IF($A26&lt;&gt;0,VLOOKUP($A26,'0.Productos'!$A$3:$GG$587,'0.Productos'!BI$1+1,0),"")</f>
        <v/>
      </c>
      <c r="R26" s="133" t="str">
        <f>IF($A26&lt;&gt;0,VLOOKUP($A26,'0.Productos'!$A$3:$GG$587,'0.Productos'!BJ$1+1,0),"")</f>
        <v/>
      </c>
      <c r="S26" s="133" t="str">
        <f>IF($A26&lt;&gt;0,VLOOKUP($A26,'0.Productos'!$A$3:$GG$587,'0.Productos'!BK$1+1,0),"")</f>
        <v/>
      </c>
      <c r="T26" s="133" t="str">
        <f>IF($A26&lt;&gt;0,VLOOKUP($A26,'0.Productos'!$A$3:$GG$587,'0.Productos'!BL$1+1,0),"")</f>
        <v/>
      </c>
      <c r="U26" s="133" t="str">
        <f>IF($A26&lt;&gt;0,VLOOKUP($A26,'0.Productos'!$A$3:$GG$587,'0.Productos'!BM$1+1,0),"")</f>
        <v/>
      </c>
      <c r="V26" s="133" t="str">
        <f>IF($A26&lt;&gt;0,VLOOKUP($A26,'0.Productos'!$A$3:$GG$587,'0.Productos'!BN$1+1,0),"")</f>
        <v/>
      </c>
      <c r="W26" s="133" t="str">
        <f>IF($A26&lt;&gt;0,VLOOKUP($A26,'0.Productos'!$A$3:$GG$587,'0.Productos'!BO$1+1,0),"")</f>
        <v/>
      </c>
      <c r="X26" s="133" t="str">
        <f>IF($A26&lt;&gt;0,VLOOKUP($A26,'0.Productos'!$A$3:$GG$587,'0.Productos'!BP$1+1,0),"")</f>
        <v/>
      </c>
      <c r="Y26" s="133" t="str">
        <f>IF($A26&lt;&gt;0,VLOOKUP($A26,'0.Productos'!$A$3:$GG$587,'0.Productos'!BQ$1+1,0),"")</f>
        <v/>
      </c>
      <c r="Z26" s="133" t="str">
        <f>IF($A26&lt;&gt;0,VLOOKUP($A26,'0.Productos'!$A$3:$GG$587,'0.Productos'!BR$1+1,0),"")</f>
        <v/>
      </c>
      <c r="AA26" s="133" t="str">
        <f>IF($A26&lt;&gt;0,VLOOKUP($A26,'0.Productos'!$A$3:$GG$587,'0.Productos'!BS$1+1,0),"")</f>
        <v/>
      </c>
      <c r="AB26" s="133" t="str">
        <f>IF($A26&lt;&gt;0,VLOOKUP($A26,'0.Productos'!$A$3:$GG$587,'0.Productos'!BT$1+1,0),"")</f>
        <v/>
      </c>
      <c r="AC26" s="133" t="str">
        <f>IF($A26&lt;&gt;0,VLOOKUP($A26,'0.Productos'!$A$3:$GG$587,'0.Productos'!BU$1+1,0),"")</f>
        <v/>
      </c>
      <c r="AD26" s="133" t="str">
        <f>IF($A26&lt;&gt;0,VLOOKUP($A26,'0.Productos'!$A$3:$GG$587,'0.Productos'!BV$1+1,0),"")</f>
        <v/>
      </c>
      <c r="AE26" s="133" t="str">
        <f>IF($A26&lt;&gt;0,VLOOKUP($A26,'0.Productos'!$A$3:$GG$587,'0.Productos'!BW$1+1,0),"")</f>
        <v/>
      </c>
      <c r="AF26" s="133" t="str">
        <f>IF($A26&lt;&gt;0,VLOOKUP($A26,'0.Productos'!$A$3:$GG$587,'0.Productos'!BX$1+1,0),"")</f>
        <v/>
      </c>
      <c r="AG26" s="133" t="str">
        <f>IF($A26&lt;&gt;0,VLOOKUP($A26,'0.Productos'!$A$3:$GG$587,'0.Productos'!BY$1+1,0),"")</f>
        <v/>
      </c>
      <c r="AH26" s="133" t="str">
        <f>IF($A26&lt;&gt;0,VLOOKUP($A26,'0.Productos'!$A$3:$GG$587,'0.Productos'!BZ$1+1,0),"")</f>
        <v/>
      </c>
      <c r="AI26" s="133" t="str">
        <f>IF($A26&lt;&gt;0,VLOOKUP($A26,'0.Productos'!$A$3:$GG$587,'0.Productos'!CA$1+1,0),"")</f>
        <v/>
      </c>
      <c r="AJ26" s="133" t="str">
        <f>IF($A26&lt;&gt;0,VLOOKUP($A26,'0.Productos'!$A$3:$GG$587,'0.Productos'!CB$1+1,0),"")</f>
        <v/>
      </c>
      <c r="AK26" s="133" t="str">
        <f>IF($A26&lt;&gt;0,VLOOKUP($A26,'0.Productos'!$A$3:$GG$587,'0.Productos'!CC$1+1,0),"")</f>
        <v/>
      </c>
      <c r="AL26" s="133" t="str">
        <f>IF($A26&lt;&gt;0,VLOOKUP($A26,'0.Productos'!$A$3:$GG$587,'0.Productos'!CD$1+1,0),"")</f>
        <v/>
      </c>
      <c r="AM26" s="133" t="str">
        <f>IF($A26&lt;&gt;0,VLOOKUP($A26,'0.Productos'!$A$3:$GG$587,'0.Productos'!CE$1+1,0),"")</f>
        <v/>
      </c>
      <c r="AN26" s="133" t="str">
        <f>IF($A26&lt;&gt;0,VLOOKUP($A26,'0.Productos'!$A$3:$GG$587,'0.Productos'!CF$1+1,0),"")</f>
        <v/>
      </c>
      <c r="AO26" s="133" t="str">
        <f>IF($A26&lt;&gt;0,VLOOKUP($A26,'0.Productos'!$A$3:$GG$587,'0.Productos'!CG$1+1,0),"")</f>
        <v/>
      </c>
      <c r="AP26" s="133" t="str">
        <f>IF($A26&lt;&gt;0,VLOOKUP($A26,'0.Productos'!$A$3:$GG$587,'0.Productos'!CH$1+1,0),"")</f>
        <v/>
      </c>
      <c r="AQ26" s="133" t="str">
        <f>IF($A26&lt;&gt;0,VLOOKUP($A26,'0.Productos'!$A$3:$GG$587,'0.Productos'!CI$1+1,0),"")</f>
        <v/>
      </c>
      <c r="AR26" s="133" t="str">
        <f>IF($A26&lt;&gt;0,VLOOKUP($A26,'0.Productos'!$A$3:$GG$587,'0.Productos'!CJ$1+1,0),"")</f>
        <v/>
      </c>
      <c r="AS26" s="133" t="str">
        <f>IF($A26&lt;&gt;0,VLOOKUP($A26,'0.Productos'!$A$3:$GG$587,'0.Productos'!CK$1+1,0),"")</f>
        <v/>
      </c>
      <c r="AT26" s="133" t="str">
        <f>IF($A26&lt;&gt;0,VLOOKUP($A26,'0.Productos'!$A$3:$GG$587,'0.Productos'!CL$1+1,0),"")</f>
        <v/>
      </c>
      <c r="AU26" s="133" t="str">
        <f>IF($A26&lt;&gt;0,VLOOKUP($A26,'0.Productos'!$A$3:$GG$587,'0.Productos'!CM$1+1,0),"")</f>
        <v/>
      </c>
      <c r="AV26" s="133" t="str">
        <f>IF($A26&lt;&gt;0,VLOOKUP($A26,'0.Productos'!$A$3:$GG$587,'0.Productos'!CN$1+1,0),"")</f>
        <v/>
      </c>
      <c r="AW26" s="133" t="str">
        <f>IF($A26&lt;&gt;0,VLOOKUP($A26,'0.Productos'!$A$3:$GG$587,'0.Productos'!CO$1+1,0),"")</f>
        <v/>
      </c>
      <c r="AX26" s="133" t="str">
        <f>IF($A26&lt;&gt;0,VLOOKUP($A26,'0.Productos'!$A$3:$GG$587,'0.Productos'!CP$1+1,0),"")</f>
        <v/>
      </c>
      <c r="AY26" s="133" t="str">
        <f>IF($A26&lt;&gt;0,VLOOKUP($A26,'0.Productos'!$A$3:$GG$587,'0.Productos'!CQ$1+1,0),"")</f>
        <v/>
      </c>
      <c r="AZ26" s="133" t="str">
        <f>IF($A26&lt;&gt;0,VLOOKUP($A26,'0.Productos'!$A$3:$GG$587,'0.Productos'!CR$1+1,0),"")</f>
        <v/>
      </c>
      <c r="BA26" s="133" t="str">
        <f>IF($A26&lt;&gt;0,VLOOKUP($A26,'0.Productos'!$A$3:$GG$587,'0.Productos'!CS$1+1,0),"")</f>
        <v/>
      </c>
      <c r="BB26" s="133" t="str">
        <f>IF($A26&lt;&gt;0,VLOOKUP($A26,'0.Productos'!$A$3:$GG$587,'0.Productos'!CT$1+1,0),"")</f>
        <v/>
      </c>
      <c r="BC26" s="133" t="str">
        <f>IF($A26&lt;&gt;0,VLOOKUP($A26,'0.Productos'!$A$3:$GG$587,'0.Productos'!CU$1+1,0),"")</f>
        <v/>
      </c>
      <c r="BD26" s="133" t="str">
        <f>IF($A26&lt;&gt;0,VLOOKUP($A26,'0.Productos'!$A$3:$GG$587,'0.Productos'!CV$1+1,0),"")</f>
        <v/>
      </c>
      <c r="BE26" s="133" t="str">
        <f>IF($A26&lt;&gt;0,VLOOKUP($A26,'0.Productos'!$A$3:$GG$587,'0.Productos'!CW$1+1,0),"")</f>
        <v/>
      </c>
      <c r="BF26" s="133" t="str">
        <f>IF($A26&lt;&gt;0,VLOOKUP($A26,'0.Productos'!$A$3:$GG$587,'0.Productos'!CX$1+1,0),"")</f>
        <v/>
      </c>
      <c r="BG26" s="133" t="str">
        <f>IF($A26&lt;&gt;0,VLOOKUP($A26,'0.Productos'!$A$3:$GG$587,'0.Productos'!CY$1+1,0),"")</f>
        <v/>
      </c>
      <c r="BH26" s="133" t="str">
        <f>IF($A26&lt;&gt;0,VLOOKUP($A26,'0.Productos'!$A$3:$GG$587,'0.Productos'!CZ$1+1,0),"")</f>
        <v/>
      </c>
      <c r="BI26" s="133" t="str">
        <f>IF($A26&lt;&gt;0,VLOOKUP($A26,'0.Productos'!$A$3:$GG$587,'0.Productos'!DA$1+1,0),"")</f>
        <v/>
      </c>
      <c r="BJ26" s="133" t="str">
        <f>IF($A26&lt;&gt;0,VLOOKUP($A26,'0.Productos'!$A$3:$GG$587,'0.Productos'!DB$1+1,0),"")</f>
        <v/>
      </c>
      <c r="BK26" s="133" t="str">
        <f>IF($A26&lt;&gt;0,VLOOKUP($A26,'0.Productos'!$A$3:$GG$587,'0.Productos'!DC$1+1,0),"")</f>
        <v/>
      </c>
      <c r="BL26" s="133" t="str">
        <f>IF($A26&lt;&gt;0,VLOOKUP($A26,'0.Productos'!$A$3:$GG$587,'0.Productos'!DD$1+1,0),"")</f>
        <v/>
      </c>
      <c r="BM26" s="133" t="str">
        <f>IF($A26&lt;&gt;0,VLOOKUP($A26,'0.Productos'!$A$3:$GG$587,'0.Productos'!DE$1+1,0),"")</f>
        <v/>
      </c>
      <c r="BN26" s="133" t="str">
        <f>IF($A26&lt;&gt;0,VLOOKUP($A26,'0.Productos'!$A$3:$GG$587,'0.Productos'!DF$1+1,0),"")</f>
        <v/>
      </c>
      <c r="BO26" s="133" t="str">
        <f>IF($A26&lt;&gt;0,VLOOKUP($A26,'0.Productos'!$A$3:$GG$587,'0.Productos'!DG$1+1,0),"")</f>
        <v/>
      </c>
      <c r="BP26" s="133" t="str">
        <f>IF($A26&lt;&gt;0,VLOOKUP($A26,'0.Productos'!$A$3:$GG$587,'0.Productos'!DH$1+1,0),"")</f>
        <v/>
      </c>
      <c r="BQ26" s="133" t="str">
        <f>IF($A26&lt;&gt;0,VLOOKUP($A26,'0.Productos'!$A$3:$GG$587,'0.Productos'!DI$1+1,0),"")</f>
        <v/>
      </c>
      <c r="BR26" s="133" t="str">
        <f>IF($A26&lt;&gt;0,VLOOKUP($A26,'0.Productos'!$A$3:$GG$587,'0.Productos'!DJ$1+1,0),"")</f>
        <v/>
      </c>
      <c r="BS26" s="133" t="str">
        <f>IF($A26&lt;&gt;0,VLOOKUP($A26,'0.Productos'!$A$3:$GG$587,'0.Productos'!DK$1+1,0),"")</f>
        <v/>
      </c>
      <c r="BT26" s="133" t="str">
        <f>IF($A26&lt;&gt;0,VLOOKUP($A26,'0.Productos'!$A$3:$GG$587,'0.Productos'!DL$1+1,0),"")</f>
        <v/>
      </c>
    </row>
    <row r="27" spans="1:72" x14ac:dyDescent="0.25">
      <c r="A27" s="17">
        <f>'0.Consolidado general'!A27</f>
        <v>0</v>
      </c>
      <c r="B27" s="133" t="str">
        <f>IF($A27&lt;&gt;0,VLOOKUP($A27,'0.Productos'!$A$3:$GG$587,'0.Productos'!AT$1+1,0),"")</f>
        <v/>
      </c>
      <c r="C27" s="133" t="str">
        <f>IF($A27&lt;&gt;0,VLOOKUP($A27,'0.Productos'!$A$3:$GG$587,'0.Productos'!AU$1+1,0),"")</f>
        <v/>
      </c>
      <c r="D27" s="133" t="str">
        <f>IF($A27&lt;&gt;0,VLOOKUP($A27,'0.Productos'!$A$3:$GG$587,'0.Productos'!AV$1+1,0),"")</f>
        <v/>
      </c>
      <c r="E27" s="133" t="str">
        <f>IF($A27&lt;&gt;0,VLOOKUP($A27,'0.Productos'!$A$3:$GG$587,'0.Productos'!AW$1+1,0),"")</f>
        <v/>
      </c>
      <c r="F27" s="133" t="str">
        <f>IF($A27&lt;&gt;0,VLOOKUP($A27,'0.Productos'!$A$3:$GG$587,'0.Productos'!AX$1+1,0),"")</f>
        <v/>
      </c>
      <c r="G27" s="133" t="str">
        <f>IF($A27&lt;&gt;0,VLOOKUP($A27,'0.Productos'!$A$3:$GG$587,'0.Productos'!AY$1+1,0),"")</f>
        <v/>
      </c>
      <c r="H27" s="133" t="str">
        <f>IF($A27&lt;&gt;0,VLOOKUP($A27,'0.Productos'!$A$3:$GG$587,'0.Productos'!AZ$1+1,0),"")</f>
        <v/>
      </c>
      <c r="I27" s="133" t="str">
        <f>IF($A27&lt;&gt;0,VLOOKUP($A27,'0.Productos'!$A$3:$GG$587,'0.Productos'!BA$1+1,0),"")</f>
        <v/>
      </c>
      <c r="J27" s="133" t="str">
        <f>IF($A27&lt;&gt;0,VLOOKUP($A27,'0.Productos'!$A$3:$GG$587,'0.Productos'!BB$1+1,0),"")</f>
        <v/>
      </c>
      <c r="K27" s="133" t="str">
        <f>IF($A27&lt;&gt;0,VLOOKUP($A27,'0.Productos'!$A$3:$GG$587,'0.Productos'!BC$1+1,0),"")</f>
        <v/>
      </c>
      <c r="L27" s="133" t="str">
        <f>IF($A27&lt;&gt;0,VLOOKUP($A27,'0.Productos'!$A$3:$GG$587,'0.Productos'!BD$1+1,0),"")</f>
        <v/>
      </c>
      <c r="M27" s="133" t="str">
        <f>IF($A27&lt;&gt;0,VLOOKUP($A27,'0.Productos'!$A$3:$GG$587,'0.Productos'!BE$1+1,0),"")</f>
        <v/>
      </c>
      <c r="N27" s="133" t="str">
        <f>IF($A27&lt;&gt;0,VLOOKUP($A27,'0.Productos'!$A$3:$GG$587,'0.Productos'!BF$1+1,0),"")</f>
        <v/>
      </c>
      <c r="O27" s="133" t="str">
        <f>IF($A27&lt;&gt;0,VLOOKUP($A27,'0.Productos'!$A$3:$GG$587,'0.Productos'!BG$1+1,0),"")</f>
        <v/>
      </c>
      <c r="P27" s="133" t="str">
        <f>IF($A27&lt;&gt;0,VLOOKUP($A27,'0.Productos'!$A$3:$GG$587,'0.Productos'!BH$1+1,0),"")</f>
        <v/>
      </c>
      <c r="Q27" s="133" t="str">
        <f>IF($A27&lt;&gt;0,VLOOKUP($A27,'0.Productos'!$A$3:$GG$587,'0.Productos'!BI$1+1,0),"")</f>
        <v/>
      </c>
      <c r="R27" s="133" t="str">
        <f>IF($A27&lt;&gt;0,VLOOKUP($A27,'0.Productos'!$A$3:$GG$587,'0.Productos'!BJ$1+1,0),"")</f>
        <v/>
      </c>
      <c r="S27" s="133" t="str">
        <f>IF($A27&lt;&gt;0,VLOOKUP($A27,'0.Productos'!$A$3:$GG$587,'0.Productos'!BK$1+1,0),"")</f>
        <v/>
      </c>
      <c r="T27" s="133" t="str">
        <f>IF($A27&lt;&gt;0,VLOOKUP($A27,'0.Productos'!$A$3:$GG$587,'0.Productos'!BL$1+1,0),"")</f>
        <v/>
      </c>
      <c r="U27" s="133" t="str">
        <f>IF($A27&lt;&gt;0,VLOOKUP($A27,'0.Productos'!$A$3:$GG$587,'0.Productos'!BM$1+1,0),"")</f>
        <v/>
      </c>
      <c r="V27" s="133" t="str">
        <f>IF($A27&lt;&gt;0,VLOOKUP($A27,'0.Productos'!$A$3:$GG$587,'0.Productos'!BN$1+1,0),"")</f>
        <v/>
      </c>
      <c r="W27" s="133" t="str">
        <f>IF($A27&lt;&gt;0,VLOOKUP($A27,'0.Productos'!$A$3:$GG$587,'0.Productos'!BO$1+1,0),"")</f>
        <v/>
      </c>
      <c r="X27" s="133" t="str">
        <f>IF($A27&lt;&gt;0,VLOOKUP($A27,'0.Productos'!$A$3:$GG$587,'0.Productos'!BP$1+1,0),"")</f>
        <v/>
      </c>
      <c r="Y27" s="133" t="str">
        <f>IF($A27&lt;&gt;0,VLOOKUP($A27,'0.Productos'!$A$3:$GG$587,'0.Productos'!BQ$1+1,0),"")</f>
        <v/>
      </c>
      <c r="Z27" s="133" t="str">
        <f>IF($A27&lt;&gt;0,VLOOKUP($A27,'0.Productos'!$A$3:$GG$587,'0.Productos'!BR$1+1,0),"")</f>
        <v/>
      </c>
      <c r="AA27" s="133" t="str">
        <f>IF($A27&lt;&gt;0,VLOOKUP($A27,'0.Productos'!$A$3:$GG$587,'0.Productos'!BS$1+1,0),"")</f>
        <v/>
      </c>
      <c r="AB27" s="133" t="str">
        <f>IF($A27&lt;&gt;0,VLOOKUP($A27,'0.Productos'!$A$3:$GG$587,'0.Productos'!BT$1+1,0),"")</f>
        <v/>
      </c>
      <c r="AC27" s="133" t="str">
        <f>IF($A27&lt;&gt;0,VLOOKUP($A27,'0.Productos'!$A$3:$GG$587,'0.Productos'!BU$1+1,0),"")</f>
        <v/>
      </c>
      <c r="AD27" s="133" t="str">
        <f>IF($A27&lt;&gt;0,VLOOKUP($A27,'0.Productos'!$A$3:$GG$587,'0.Productos'!BV$1+1,0),"")</f>
        <v/>
      </c>
      <c r="AE27" s="133" t="str">
        <f>IF($A27&lt;&gt;0,VLOOKUP($A27,'0.Productos'!$A$3:$GG$587,'0.Productos'!BW$1+1,0),"")</f>
        <v/>
      </c>
      <c r="AF27" s="133" t="str">
        <f>IF($A27&lt;&gt;0,VLOOKUP($A27,'0.Productos'!$A$3:$GG$587,'0.Productos'!BX$1+1,0),"")</f>
        <v/>
      </c>
      <c r="AG27" s="133" t="str">
        <f>IF($A27&lt;&gt;0,VLOOKUP($A27,'0.Productos'!$A$3:$GG$587,'0.Productos'!BY$1+1,0),"")</f>
        <v/>
      </c>
      <c r="AH27" s="133" t="str">
        <f>IF($A27&lt;&gt;0,VLOOKUP($A27,'0.Productos'!$A$3:$GG$587,'0.Productos'!BZ$1+1,0),"")</f>
        <v/>
      </c>
      <c r="AI27" s="133" t="str">
        <f>IF($A27&lt;&gt;0,VLOOKUP($A27,'0.Productos'!$A$3:$GG$587,'0.Productos'!CA$1+1,0),"")</f>
        <v/>
      </c>
      <c r="AJ27" s="133" t="str">
        <f>IF($A27&lt;&gt;0,VLOOKUP($A27,'0.Productos'!$A$3:$GG$587,'0.Productos'!CB$1+1,0),"")</f>
        <v/>
      </c>
      <c r="AK27" s="133" t="str">
        <f>IF($A27&lt;&gt;0,VLOOKUP($A27,'0.Productos'!$A$3:$GG$587,'0.Productos'!CC$1+1,0),"")</f>
        <v/>
      </c>
      <c r="AL27" s="133" t="str">
        <f>IF($A27&lt;&gt;0,VLOOKUP($A27,'0.Productos'!$A$3:$GG$587,'0.Productos'!CD$1+1,0),"")</f>
        <v/>
      </c>
      <c r="AM27" s="133" t="str">
        <f>IF($A27&lt;&gt;0,VLOOKUP($A27,'0.Productos'!$A$3:$GG$587,'0.Productos'!CE$1+1,0),"")</f>
        <v/>
      </c>
      <c r="AN27" s="133" t="str">
        <f>IF($A27&lt;&gt;0,VLOOKUP($A27,'0.Productos'!$A$3:$GG$587,'0.Productos'!CF$1+1,0),"")</f>
        <v/>
      </c>
      <c r="AO27" s="133" t="str">
        <f>IF($A27&lt;&gt;0,VLOOKUP($A27,'0.Productos'!$A$3:$GG$587,'0.Productos'!CG$1+1,0),"")</f>
        <v/>
      </c>
      <c r="AP27" s="133" t="str">
        <f>IF($A27&lt;&gt;0,VLOOKUP($A27,'0.Productos'!$A$3:$GG$587,'0.Productos'!CH$1+1,0),"")</f>
        <v/>
      </c>
      <c r="AQ27" s="133" t="str">
        <f>IF($A27&lt;&gt;0,VLOOKUP($A27,'0.Productos'!$A$3:$GG$587,'0.Productos'!CI$1+1,0),"")</f>
        <v/>
      </c>
      <c r="AR27" s="133" t="str">
        <f>IF($A27&lt;&gt;0,VLOOKUP($A27,'0.Productos'!$A$3:$GG$587,'0.Productos'!CJ$1+1,0),"")</f>
        <v/>
      </c>
      <c r="AS27" s="133" t="str">
        <f>IF($A27&lt;&gt;0,VLOOKUP($A27,'0.Productos'!$A$3:$GG$587,'0.Productos'!CK$1+1,0),"")</f>
        <v/>
      </c>
      <c r="AT27" s="133" t="str">
        <f>IF($A27&lt;&gt;0,VLOOKUP($A27,'0.Productos'!$A$3:$GG$587,'0.Productos'!CL$1+1,0),"")</f>
        <v/>
      </c>
      <c r="AU27" s="133" t="str">
        <f>IF($A27&lt;&gt;0,VLOOKUP($A27,'0.Productos'!$A$3:$GG$587,'0.Productos'!CM$1+1,0),"")</f>
        <v/>
      </c>
      <c r="AV27" s="133" t="str">
        <f>IF($A27&lt;&gt;0,VLOOKUP($A27,'0.Productos'!$A$3:$GG$587,'0.Productos'!CN$1+1,0),"")</f>
        <v/>
      </c>
      <c r="AW27" s="133" t="str">
        <f>IF($A27&lt;&gt;0,VLOOKUP($A27,'0.Productos'!$A$3:$GG$587,'0.Productos'!CO$1+1,0),"")</f>
        <v/>
      </c>
      <c r="AX27" s="133" t="str">
        <f>IF($A27&lt;&gt;0,VLOOKUP($A27,'0.Productos'!$A$3:$GG$587,'0.Productos'!CP$1+1,0),"")</f>
        <v/>
      </c>
      <c r="AY27" s="133" t="str">
        <f>IF($A27&lt;&gt;0,VLOOKUP($A27,'0.Productos'!$A$3:$GG$587,'0.Productos'!CQ$1+1,0),"")</f>
        <v/>
      </c>
      <c r="AZ27" s="133" t="str">
        <f>IF($A27&lt;&gt;0,VLOOKUP($A27,'0.Productos'!$A$3:$GG$587,'0.Productos'!CR$1+1,0),"")</f>
        <v/>
      </c>
      <c r="BA27" s="133" t="str">
        <f>IF($A27&lt;&gt;0,VLOOKUP($A27,'0.Productos'!$A$3:$GG$587,'0.Productos'!CS$1+1,0),"")</f>
        <v/>
      </c>
      <c r="BB27" s="133" t="str">
        <f>IF($A27&lt;&gt;0,VLOOKUP($A27,'0.Productos'!$A$3:$GG$587,'0.Productos'!CT$1+1,0),"")</f>
        <v/>
      </c>
      <c r="BC27" s="133" t="str">
        <f>IF($A27&lt;&gt;0,VLOOKUP($A27,'0.Productos'!$A$3:$GG$587,'0.Productos'!CU$1+1,0),"")</f>
        <v/>
      </c>
      <c r="BD27" s="133" t="str">
        <f>IF($A27&lt;&gt;0,VLOOKUP($A27,'0.Productos'!$A$3:$GG$587,'0.Productos'!CV$1+1,0),"")</f>
        <v/>
      </c>
      <c r="BE27" s="133" t="str">
        <f>IF($A27&lt;&gt;0,VLOOKUP($A27,'0.Productos'!$A$3:$GG$587,'0.Productos'!CW$1+1,0),"")</f>
        <v/>
      </c>
      <c r="BF27" s="133" t="str">
        <f>IF($A27&lt;&gt;0,VLOOKUP($A27,'0.Productos'!$A$3:$GG$587,'0.Productos'!CX$1+1,0),"")</f>
        <v/>
      </c>
      <c r="BG27" s="133" t="str">
        <f>IF($A27&lt;&gt;0,VLOOKUP($A27,'0.Productos'!$A$3:$GG$587,'0.Productos'!CY$1+1,0),"")</f>
        <v/>
      </c>
      <c r="BH27" s="133" t="str">
        <f>IF($A27&lt;&gt;0,VLOOKUP($A27,'0.Productos'!$A$3:$GG$587,'0.Productos'!CZ$1+1,0),"")</f>
        <v/>
      </c>
      <c r="BI27" s="133" t="str">
        <f>IF($A27&lt;&gt;0,VLOOKUP($A27,'0.Productos'!$A$3:$GG$587,'0.Productos'!DA$1+1,0),"")</f>
        <v/>
      </c>
      <c r="BJ27" s="133" t="str">
        <f>IF($A27&lt;&gt;0,VLOOKUP($A27,'0.Productos'!$A$3:$GG$587,'0.Productos'!DB$1+1,0),"")</f>
        <v/>
      </c>
      <c r="BK27" s="133" t="str">
        <f>IF($A27&lt;&gt;0,VLOOKUP($A27,'0.Productos'!$A$3:$GG$587,'0.Productos'!DC$1+1,0),"")</f>
        <v/>
      </c>
      <c r="BL27" s="133" t="str">
        <f>IF($A27&lt;&gt;0,VLOOKUP($A27,'0.Productos'!$A$3:$GG$587,'0.Productos'!DD$1+1,0),"")</f>
        <v/>
      </c>
      <c r="BM27" s="133" t="str">
        <f>IF($A27&lt;&gt;0,VLOOKUP($A27,'0.Productos'!$A$3:$GG$587,'0.Productos'!DE$1+1,0),"")</f>
        <v/>
      </c>
      <c r="BN27" s="133" t="str">
        <f>IF($A27&lt;&gt;0,VLOOKUP($A27,'0.Productos'!$A$3:$GG$587,'0.Productos'!DF$1+1,0),"")</f>
        <v/>
      </c>
      <c r="BO27" s="133" t="str">
        <f>IF($A27&lt;&gt;0,VLOOKUP($A27,'0.Productos'!$A$3:$GG$587,'0.Productos'!DG$1+1,0),"")</f>
        <v/>
      </c>
      <c r="BP27" s="133" t="str">
        <f>IF($A27&lt;&gt;0,VLOOKUP($A27,'0.Productos'!$A$3:$GG$587,'0.Productos'!DH$1+1,0),"")</f>
        <v/>
      </c>
      <c r="BQ27" s="133" t="str">
        <f>IF($A27&lt;&gt;0,VLOOKUP($A27,'0.Productos'!$A$3:$GG$587,'0.Productos'!DI$1+1,0),"")</f>
        <v/>
      </c>
      <c r="BR27" s="133" t="str">
        <f>IF($A27&lt;&gt;0,VLOOKUP($A27,'0.Productos'!$A$3:$GG$587,'0.Productos'!DJ$1+1,0),"")</f>
        <v/>
      </c>
      <c r="BS27" s="133" t="str">
        <f>IF($A27&lt;&gt;0,VLOOKUP($A27,'0.Productos'!$A$3:$GG$587,'0.Productos'!DK$1+1,0),"")</f>
        <v/>
      </c>
      <c r="BT27" s="133" t="str">
        <f>IF($A27&lt;&gt;0,VLOOKUP($A27,'0.Productos'!$A$3:$GG$587,'0.Productos'!DL$1+1,0),"")</f>
        <v/>
      </c>
    </row>
    <row r="28" spans="1:72" x14ac:dyDescent="0.25">
      <c r="A28" s="17">
        <f>'0.Consolidado general'!A28</f>
        <v>0</v>
      </c>
      <c r="B28" s="133" t="str">
        <f>IF($A28&lt;&gt;0,VLOOKUP($A28,'0.Productos'!$A$3:$GG$587,'0.Productos'!AT$1+1,0),"")</f>
        <v/>
      </c>
      <c r="C28" s="133" t="str">
        <f>IF($A28&lt;&gt;0,VLOOKUP($A28,'0.Productos'!$A$3:$GG$587,'0.Productos'!AU$1+1,0),"")</f>
        <v/>
      </c>
      <c r="D28" s="133" t="str">
        <f>IF($A28&lt;&gt;0,VLOOKUP($A28,'0.Productos'!$A$3:$GG$587,'0.Productos'!AV$1+1,0),"")</f>
        <v/>
      </c>
      <c r="E28" s="133" t="str">
        <f>IF($A28&lt;&gt;0,VLOOKUP($A28,'0.Productos'!$A$3:$GG$587,'0.Productos'!AW$1+1,0),"")</f>
        <v/>
      </c>
      <c r="F28" s="133" t="str">
        <f>IF($A28&lt;&gt;0,VLOOKUP($A28,'0.Productos'!$A$3:$GG$587,'0.Productos'!AX$1+1,0),"")</f>
        <v/>
      </c>
      <c r="G28" s="133" t="str">
        <f>IF($A28&lt;&gt;0,VLOOKUP($A28,'0.Productos'!$A$3:$GG$587,'0.Productos'!AY$1+1,0),"")</f>
        <v/>
      </c>
      <c r="H28" s="133" t="str">
        <f>IF($A28&lt;&gt;0,VLOOKUP($A28,'0.Productos'!$A$3:$GG$587,'0.Productos'!AZ$1+1,0),"")</f>
        <v/>
      </c>
      <c r="I28" s="133" t="str">
        <f>IF($A28&lt;&gt;0,VLOOKUP($A28,'0.Productos'!$A$3:$GG$587,'0.Productos'!BA$1+1,0),"")</f>
        <v/>
      </c>
      <c r="J28" s="133" t="str">
        <f>IF($A28&lt;&gt;0,VLOOKUP($A28,'0.Productos'!$A$3:$GG$587,'0.Productos'!BB$1+1,0),"")</f>
        <v/>
      </c>
      <c r="K28" s="133" t="str">
        <f>IF($A28&lt;&gt;0,VLOOKUP($A28,'0.Productos'!$A$3:$GG$587,'0.Productos'!BC$1+1,0),"")</f>
        <v/>
      </c>
      <c r="L28" s="133" t="str">
        <f>IF($A28&lt;&gt;0,VLOOKUP($A28,'0.Productos'!$A$3:$GG$587,'0.Productos'!BD$1+1,0),"")</f>
        <v/>
      </c>
      <c r="M28" s="133" t="str">
        <f>IF($A28&lt;&gt;0,VLOOKUP($A28,'0.Productos'!$A$3:$GG$587,'0.Productos'!BE$1+1,0),"")</f>
        <v/>
      </c>
      <c r="N28" s="133" t="str">
        <f>IF($A28&lt;&gt;0,VLOOKUP($A28,'0.Productos'!$A$3:$GG$587,'0.Productos'!BF$1+1,0),"")</f>
        <v/>
      </c>
      <c r="O28" s="133" t="str">
        <f>IF($A28&lt;&gt;0,VLOOKUP($A28,'0.Productos'!$A$3:$GG$587,'0.Productos'!BG$1+1,0),"")</f>
        <v/>
      </c>
      <c r="P28" s="133" t="str">
        <f>IF($A28&lt;&gt;0,VLOOKUP($A28,'0.Productos'!$A$3:$GG$587,'0.Productos'!BH$1+1,0),"")</f>
        <v/>
      </c>
      <c r="Q28" s="133" t="str">
        <f>IF($A28&lt;&gt;0,VLOOKUP($A28,'0.Productos'!$A$3:$GG$587,'0.Productos'!BI$1+1,0),"")</f>
        <v/>
      </c>
      <c r="R28" s="133" t="str">
        <f>IF($A28&lt;&gt;0,VLOOKUP($A28,'0.Productos'!$A$3:$GG$587,'0.Productos'!BJ$1+1,0),"")</f>
        <v/>
      </c>
      <c r="S28" s="133" t="str">
        <f>IF($A28&lt;&gt;0,VLOOKUP($A28,'0.Productos'!$A$3:$GG$587,'0.Productos'!BK$1+1,0),"")</f>
        <v/>
      </c>
      <c r="T28" s="133" t="str">
        <f>IF($A28&lt;&gt;0,VLOOKUP($A28,'0.Productos'!$A$3:$GG$587,'0.Productos'!BL$1+1,0),"")</f>
        <v/>
      </c>
      <c r="U28" s="133" t="str">
        <f>IF($A28&lt;&gt;0,VLOOKUP($A28,'0.Productos'!$A$3:$GG$587,'0.Productos'!BM$1+1,0),"")</f>
        <v/>
      </c>
      <c r="V28" s="133" t="str">
        <f>IF($A28&lt;&gt;0,VLOOKUP($A28,'0.Productos'!$A$3:$GG$587,'0.Productos'!BN$1+1,0),"")</f>
        <v/>
      </c>
      <c r="W28" s="133" t="str">
        <f>IF($A28&lt;&gt;0,VLOOKUP($A28,'0.Productos'!$A$3:$GG$587,'0.Productos'!BO$1+1,0),"")</f>
        <v/>
      </c>
      <c r="X28" s="133" t="str">
        <f>IF($A28&lt;&gt;0,VLOOKUP($A28,'0.Productos'!$A$3:$GG$587,'0.Productos'!BP$1+1,0),"")</f>
        <v/>
      </c>
      <c r="Y28" s="133" t="str">
        <f>IF($A28&lt;&gt;0,VLOOKUP($A28,'0.Productos'!$A$3:$GG$587,'0.Productos'!BQ$1+1,0),"")</f>
        <v/>
      </c>
      <c r="Z28" s="133" t="str">
        <f>IF($A28&lt;&gt;0,VLOOKUP($A28,'0.Productos'!$A$3:$GG$587,'0.Productos'!BR$1+1,0),"")</f>
        <v/>
      </c>
      <c r="AA28" s="133" t="str">
        <f>IF($A28&lt;&gt;0,VLOOKUP($A28,'0.Productos'!$A$3:$GG$587,'0.Productos'!BS$1+1,0),"")</f>
        <v/>
      </c>
      <c r="AB28" s="133" t="str">
        <f>IF($A28&lt;&gt;0,VLOOKUP($A28,'0.Productos'!$A$3:$GG$587,'0.Productos'!BT$1+1,0),"")</f>
        <v/>
      </c>
      <c r="AC28" s="133" t="str">
        <f>IF($A28&lt;&gt;0,VLOOKUP($A28,'0.Productos'!$A$3:$GG$587,'0.Productos'!BU$1+1,0),"")</f>
        <v/>
      </c>
      <c r="AD28" s="133" t="str">
        <f>IF($A28&lt;&gt;0,VLOOKUP($A28,'0.Productos'!$A$3:$GG$587,'0.Productos'!BV$1+1,0),"")</f>
        <v/>
      </c>
      <c r="AE28" s="133" t="str">
        <f>IF($A28&lt;&gt;0,VLOOKUP($A28,'0.Productos'!$A$3:$GG$587,'0.Productos'!BW$1+1,0),"")</f>
        <v/>
      </c>
      <c r="AF28" s="133" t="str">
        <f>IF($A28&lt;&gt;0,VLOOKUP($A28,'0.Productos'!$A$3:$GG$587,'0.Productos'!BX$1+1,0),"")</f>
        <v/>
      </c>
      <c r="AG28" s="133" t="str">
        <f>IF($A28&lt;&gt;0,VLOOKUP($A28,'0.Productos'!$A$3:$GG$587,'0.Productos'!BY$1+1,0),"")</f>
        <v/>
      </c>
      <c r="AH28" s="133" t="str">
        <f>IF($A28&lt;&gt;0,VLOOKUP($A28,'0.Productos'!$A$3:$GG$587,'0.Productos'!BZ$1+1,0),"")</f>
        <v/>
      </c>
      <c r="AI28" s="133" t="str">
        <f>IF($A28&lt;&gt;0,VLOOKUP($A28,'0.Productos'!$A$3:$GG$587,'0.Productos'!CA$1+1,0),"")</f>
        <v/>
      </c>
      <c r="AJ28" s="133" t="str">
        <f>IF($A28&lt;&gt;0,VLOOKUP($A28,'0.Productos'!$A$3:$GG$587,'0.Productos'!CB$1+1,0),"")</f>
        <v/>
      </c>
      <c r="AK28" s="133" t="str">
        <f>IF($A28&lt;&gt;0,VLOOKUP($A28,'0.Productos'!$A$3:$GG$587,'0.Productos'!CC$1+1,0),"")</f>
        <v/>
      </c>
      <c r="AL28" s="133" t="str">
        <f>IF($A28&lt;&gt;0,VLOOKUP($A28,'0.Productos'!$A$3:$GG$587,'0.Productos'!CD$1+1,0),"")</f>
        <v/>
      </c>
      <c r="AM28" s="133" t="str">
        <f>IF($A28&lt;&gt;0,VLOOKUP($A28,'0.Productos'!$A$3:$GG$587,'0.Productos'!CE$1+1,0),"")</f>
        <v/>
      </c>
      <c r="AN28" s="133" t="str">
        <f>IF($A28&lt;&gt;0,VLOOKUP($A28,'0.Productos'!$A$3:$GG$587,'0.Productos'!CF$1+1,0),"")</f>
        <v/>
      </c>
      <c r="AO28" s="133" t="str">
        <f>IF($A28&lt;&gt;0,VLOOKUP($A28,'0.Productos'!$A$3:$GG$587,'0.Productos'!CG$1+1,0),"")</f>
        <v/>
      </c>
      <c r="AP28" s="133" t="str">
        <f>IF($A28&lt;&gt;0,VLOOKUP($A28,'0.Productos'!$A$3:$GG$587,'0.Productos'!CH$1+1,0),"")</f>
        <v/>
      </c>
      <c r="AQ28" s="133" t="str">
        <f>IF($A28&lt;&gt;0,VLOOKUP($A28,'0.Productos'!$A$3:$GG$587,'0.Productos'!CI$1+1,0),"")</f>
        <v/>
      </c>
      <c r="AR28" s="133" t="str">
        <f>IF($A28&lt;&gt;0,VLOOKUP($A28,'0.Productos'!$A$3:$GG$587,'0.Productos'!CJ$1+1,0),"")</f>
        <v/>
      </c>
      <c r="AS28" s="133" t="str">
        <f>IF($A28&lt;&gt;0,VLOOKUP($A28,'0.Productos'!$A$3:$GG$587,'0.Productos'!CK$1+1,0),"")</f>
        <v/>
      </c>
      <c r="AT28" s="133" t="str">
        <f>IF($A28&lt;&gt;0,VLOOKUP($A28,'0.Productos'!$A$3:$GG$587,'0.Productos'!CL$1+1,0),"")</f>
        <v/>
      </c>
      <c r="AU28" s="133" t="str">
        <f>IF($A28&lt;&gt;0,VLOOKUP($A28,'0.Productos'!$A$3:$GG$587,'0.Productos'!CM$1+1,0),"")</f>
        <v/>
      </c>
      <c r="AV28" s="133" t="str">
        <f>IF($A28&lt;&gt;0,VLOOKUP($A28,'0.Productos'!$A$3:$GG$587,'0.Productos'!CN$1+1,0),"")</f>
        <v/>
      </c>
      <c r="AW28" s="133" t="str">
        <f>IF($A28&lt;&gt;0,VLOOKUP($A28,'0.Productos'!$A$3:$GG$587,'0.Productos'!CO$1+1,0),"")</f>
        <v/>
      </c>
      <c r="AX28" s="133" t="str">
        <f>IF($A28&lt;&gt;0,VLOOKUP($A28,'0.Productos'!$A$3:$GG$587,'0.Productos'!CP$1+1,0),"")</f>
        <v/>
      </c>
      <c r="AY28" s="133" t="str">
        <f>IF($A28&lt;&gt;0,VLOOKUP($A28,'0.Productos'!$A$3:$GG$587,'0.Productos'!CQ$1+1,0),"")</f>
        <v/>
      </c>
      <c r="AZ28" s="133" t="str">
        <f>IF($A28&lt;&gt;0,VLOOKUP($A28,'0.Productos'!$A$3:$GG$587,'0.Productos'!CR$1+1,0),"")</f>
        <v/>
      </c>
      <c r="BA28" s="133" t="str">
        <f>IF($A28&lt;&gt;0,VLOOKUP($A28,'0.Productos'!$A$3:$GG$587,'0.Productos'!CS$1+1,0),"")</f>
        <v/>
      </c>
      <c r="BB28" s="133" t="str">
        <f>IF($A28&lt;&gt;0,VLOOKUP($A28,'0.Productos'!$A$3:$GG$587,'0.Productos'!CT$1+1,0),"")</f>
        <v/>
      </c>
      <c r="BC28" s="133" t="str">
        <f>IF($A28&lt;&gt;0,VLOOKUP($A28,'0.Productos'!$A$3:$GG$587,'0.Productos'!CU$1+1,0),"")</f>
        <v/>
      </c>
      <c r="BD28" s="133" t="str">
        <f>IF($A28&lt;&gt;0,VLOOKUP($A28,'0.Productos'!$A$3:$GG$587,'0.Productos'!CV$1+1,0),"")</f>
        <v/>
      </c>
      <c r="BE28" s="133" t="str">
        <f>IF($A28&lt;&gt;0,VLOOKUP($A28,'0.Productos'!$A$3:$GG$587,'0.Productos'!CW$1+1,0),"")</f>
        <v/>
      </c>
      <c r="BF28" s="133" t="str">
        <f>IF($A28&lt;&gt;0,VLOOKUP($A28,'0.Productos'!$A$3:$GG$587,'0.Productos'!CX$1+1,0),"")</f>
        <v/>
      </c>
      <c r="BG28" s="133" t="str">
        <f>IF($A28&lt;&gt;0,VLOOKUP($A28,'0.Productos'!$A$3:$GG$587,'0.Productos'!CY$1+1,0),"")</f>
        <v/>
      </c>
      <c r="BH28" s="133" t="str">
        <f>IF($A28&lt;&gt;0,VLOOKUP($A28,'0.Productos'!$A$3:$GG$587,'0.Productos'!CZ$1+1,0),"")</f>
        <v/>
      </c>
      <c r="BI28" s="133" t="str">
        <f>IF($A28&lt;&gt;0,VLOOKUP($A28,'0.Productos'!$A$3:$GG$587,'0.Productos'!DA$1+1,0),"")</f>
        <v/>
      </c>
      <c r="BJ28" s="133" t="str">
        <f>IF($A28&lt;&gt;0,VLOOKUP($A28,'0.Productos'!$A$3:$GG$587,'0.Productos'!DB$1+1,0),"")</f>
        <v/>
      </c>
      <c r="BK28" s="133" t="str">
        <f>IF($A28&lt;&gt;0,VLOOKUP($A28,'0.Productos'!$A$3:$GG$587,'0.Productos'!DC$1+1,0),"")</f>
        <v/>
      </c>
      <c r="BL28" s="133" t="str">
        <f>IF($A28&lt;&gt;0,VLOOKUP($A28,'0.Productos'!$A$3:$GG$587,'0.Productos'!DD$1+1,0),"")</f>
        <v/>
      </c>
      <c r="BM28" s="133" t="str">
        <f>IF($A28&lt;&gt;0,VLOOKUP($A28,'0.Productos'!$A$3:$GG$587,'0.Productos'!DE$1+1,0),"")</f>
        <v/>
      </c>
      <c r="BN28" s="133" t="str">
        <f>IF($A28&lt;&gt;0,VLOOKUP($A28,'0.Productos'!$A$3:$GG$587,'0.Productos'!DF$1+1,0),"")</f>
        <v/>
      </c>
      <c r="BO28" s="133" t="str">
        <f>IF($A28&lt;&gt;0,VLOOKUP($A28,'0.Productos'!$A$3:$GG$587,'0.Productos'!DG$1+1,0),"")</f>
        <v/>
      </c>
      <c r="BP28" s="133" t="str">
        <f>IF($A28&lt;&gt;0,VLOOKUP($A28,'0.Productos'!$A$3:$GG$587,'0.Productos'!DH$1+1,0),"")</f>
        <v/>
      </c>
      <c r="BQ28" s="133" t="str">
        <f>IF($A28&lt;&gt;0,VLOOKUP($A28,'0.Productos'!$A$3:$GG$587,'0.Productos'!DI$1+1,0),"")</f>
        <v/>
      </c>
      <c r="BR28" s="133" t="str">
        <f>IF($A28&lt;&gt;0,VLOOKUP($A28,'0.Productos'!$A$3:$GG$587,'0.Productos'!DJ$1+1,0),"")</f>
        <v/>
      </c>
      <c r="BS28" s="133" t="str">
        <f>IF($A28&lt;&gt;0,VLOOKUP($A28,'0.Productos'!$A$3:$GG$587,'0.Productos'!DK$1+1,0),"")</f>
        <v/>
      </c>
      <c r="BT28" s="133" t="str">
        <f>IF($A28&lt;&gt;0,VLOOKUP($A28,'0.Productos'!$A$3:$GG$587,'0.Productos'!DL$1+1,0),"")</f>
        <v/>
      </c>
    </row>
    <row r="29" spans="1:72" x14ac:dyDescent="0.25">
      <c r="A29" s="17">
        <f>'0.Consolidado general'!A29</f>
        <v>0</v>
      </c>
      <c r="B29" s="133" t="str">
        <f>IF($A29&lt;&gt;0,VLOOKUP($A29,'0.Productos'!$A$3:$GG$587,'0.Productos'!AT$1+1,0),"")</f>
        <v/>
      </c>
      <c r="C29" s="133" t="str">
        <f>IF($A29&lt;&gt;0,VLOOKUP($A29,'0.Productos'!$A$3:$GG$587,'0.Productos'!AU$1+1,0),"")</f>
        <v/>
      </c>
      <c r="D29" s="133" t="str">
        <f>IF($A29&lt;&gt;0,VLOOKUP($A29,'0.Productos'!$A$3:$GG$587,'0.Productos'!AV$1+1,0),"")</f>
        <v/>
      </c>
      <c r="E29" s="133" t="str">
        <f>IF($A29&lt;&gt;0,VLOOKUP($A29,'0.Productos'!$A$3:$GG$587,'0.Productos'!AW$1+1,0),"")</f>
        <v/>
      </c>
      <c r="F29" s="133" t="str">
        <f>IF($A29&lt;&gt;0,VLOOKUP($A29,'0.Productos'!$A$3:$GG$587,'0.Productos'!AX$1+1,0),"")</f>
        <v/>
      </c>
      <c r="G29" s="133" t="str">
        <f>IF($A29&lt;&gt;0,VLOOKUP($A29,'0.Productos'!$A$3:$GG$587,'0.Productos'!AY$1+1,0),"")</f>
        <v/>
      </c>
      <c r="H29" s="133" t="str">
        <f>IF($A29&lt;&gt;0,VLOOKUP($A29,'0.Productos'!$A$3:$GG$587,'0.Productos'!AZ$1+1,0),"")</f>
        <v/>
      </c>
      <c r="I29" s="133" t="str">
        <f>IF($A29&lt;&gt;0,VLOOKUP($A29,'0.Productos'!$A$3:$GG$587,'0.Productos'!BA$1+1,0),"")</f>
        <v/>
      </c>
      <c r="J29" s="133" t="str">
        <f>IF($A29&lt;&gt;0,VLOOKUP($A29,'0.Productos'!$A$3:$GG$587,'0.Productos'!BB$1+1,0),"")</f>
        <v/>
      </c>
      <c r="K29" s="133" t="str">
        <f>IF($A29&lt;&gt;0,VLOOKUP($A29,'0.Productos'!$A$3:$GG$587,'0.Productos'!BC$1+1,0),"")</f>
        <v/>
      </c>
      <c r="L29" s="133" t="str">
        <f>IF($A29&lt;&gt;0,VLOOKUP($A29,'0.Productos'!$A$3:$GG$587,'0.Productos'!BD$1+1,0),"")</f>
        <v/>
      </c>
      <c r="M29" s="133" t="str">
        <f>IF($A29&lt;&gt;0,VLOOKUP($A29,'0.Productos'!$A$3:$GG$587,'0.Productos'!BE$1+1,0),"")</f>
        <v/>
      </c>
      <c r="N29" s="133" t="str">
        <f>IF($A29&lt;&gt;0,VLOOKUP($A29,'0.Productos'!$A$3:$GG$587,'0.Productos'!BF$1+1,0),"")</f>
        <v/>
      </c>
      <c r="O29" s="133" t="str">
        <f>IF($A29&lt;&gt;0,VLOOKUP($A29,'0.Productos'!$A$3:$GG$587,'0.Productos'!BG$1+1,0),"")</f>
        <v/>
      </c>
      <c r="P29" s="133" t="str">
        <f>IF($A29&lt;&gt;0,VLOOKUP($A29,'0.Productos'!$A$3:$GG$587,'0.Productos'!BH$1+1,0),"")</f>
        <v/>
      </c>
      <c r="Q29" s="133" t="str">
        <f>IF($A29&lt;&gt;0,VLOOKUP($A29,'0.Productos'!$A$3:$GG$587,'0.Productos'!BI$1+1,0),"")</f>
        <v/>
      </c>
      <c r="R29" s="133" t="str">
        <f>IF($A29&lt;&gt;0,VLOOKUP($A29,'0.Productos'!$A$3:$GG$587,'0.Productos'!BJ$1+1,0),"")</f>
        <v/>
      </c>
      <c r="S29" s="133" t="str">
        <f>IF($A29&lt;&gt;0,VLOOKUP($A29,'0.Productos'!$A$3:$GG$587,'0.Productos'!BK$1+1,0),"")</f>
        <v/>
      </c>
      <c r="T29" s="133" t="str">
        <f>IF($A29&lt;&gt;0,VLOOKUP($A29,'0.Productos'!$A$3:$GG$587,'0.Productos'!BL$1+1,0),"")</f>
        <v/>
      </c>
      <c r="U29" s="133" t="str">
        <f>IF($A29&lt;&gt;0,VLOOKUP($A29,'0.Productos'!$A$3:$GG$587,'0.Productos'!BM$1+1,0),"")</f>
        <v/>
      </c>
      <c r="V29" s="133" t="str">
        <f>IF($A29&lt;&gt;0,VLOOKUP($A29,'0.Productos'!$A$3:$GG$587,'0.Productos'!BN$1+1,0),"")</f>
        <v/>
      </c>
      <c r="W29" s="133" t="str">
        <f>IF($A29&lt;&gt;0,VLOOKUP($A29,'0.Productos'!$A$3:$GG$587,'0.Productos'!BO$1+1,0),"")</f>
        <v/>
      </c>
      <c r="X29" s="133" t="str">
        <f>IF($A29&lt;&gt;0,VLOOKUP($A29,'0.Productos'!$A$3:$GG$587,'0.Productos'!BP$1+1,0),"")</f>
        <v/>
      </c>
      <c r="Y29" s="133" t="str">
        <f>IF($A29&lt;&gt;0,VLOOKUP($A29,'0.Productos'!$A$3:$GG$587,'0.Productos'!BQ$1+1,0),"")</f>
        <v/>
      </c>
      <c r="Z29" s="133" t="str">
        <f>IF($A29&lt;&gt;0,VLOOKUP($A29,'0.Productos'!$A$3:$GG$587,'0.Productos'!BR$1+1,0),"")</f>
        <v/>
      </c>
      <c r="AA29" s="133" t="str">
        <f>IF($A29&lt;&gt;0,VLOOKUP($A29,'0.Productos'!$A$3:$GG$587,'0.Productos'!BS$1+1,0),"")</f>
        <v/>
      </c>
      <c r="AB29" s="133" t="str">
        <f>IF($A29&lt;&gt;0,VLOOKUP($A29,'0.Productos'!$A$3:$GG$587,'0.Productos'!BT$1+1,0),"")</f>
        <v/>
      </c>
      <c r="AC29" s="133" t="str">
        <f>IF($A29&lt;&gt;0,VLOOKUP($A29,'0.Productos'!$A$3:$GG$587,'0.Productos'!BU$1+1,0),"")</f>
        <v/>
      </c>
      <c r="AD29" s="133" t="str">
        <f>IF($A29&lt;&gt;0,VLOOKUP($A29,'0.Productos'!$A$3:$GG$587,'0.Productos'!BV$1+1,0),"")</f>
        <v/>
      </c>
      <c r="AE29" s="133" t="str">
        <f>IF($A29&lt;&gt;0,VLOOKUP($A29,'0.Productos'!$A$3:$GG$587,'0.Productos'!BW$1+1,0),"")</f>
        <v/>
      </c>
      <c r="AF29" s="133" t="str">
        <f>IF($A29&lt;&gt;0,VLOOKUP($A29,'0.Productos'!$A$3:$GG$587,'0.Productos'!BX$1+1,0),"")</f>
        <v/>
      </c>
      <c r="AG29" s="133" t="str">
        <f>IF($A29&lt;&gt;0,VLOOKUP($A29,'0.Productos'!$A$3:$GG$587,'0.Productos'!BY$1+1,0),"")</f>
        <v/>
      </c>
      <c r="AH29" s="133" t="str">
        <f>IF($A29&lt;&gt;0,VLOOKUP($A29,'0.Productos'!$A$3:$GG$587,'0.Productos'!BZ$1+1,0),"")</f>
        <v/>
      </c>
      <c r="AI29" s="133" t="str">
        <f>IF($A29&lt;&gt;0,VLOOKUP($A29,'0.Productos'!$A$3:$GG$587,'0.Productos'!CA$1+1,0),"")</f>
        <v/>
      </c>
      <c r="AJ29" s="133" t="str">
        <f>IF($A29&lt;&gt;0,VLOOKUP($A29,'0.Productos'!$A$3:$GG$587,'0.Productos'!CB$1+1,0),"")</f>
        <v/>
      </c>
      <c r="AK29" s="133" t="str">
        <f>IF($A29&lt;&gt;0,VLOOKUP($A29,'0.Productos'!$A$3:$GG$587,'0.Productos'!CC$1+1,0),"")</f>
        <v/>
      </c>
      <c r="AL29" s="133" t="str">
        <f>IF($A29&lt;&gt;0,VLOOKUP($A29,'0.Productos'!$A$3:$GG$587,'0.Productos'!CD$1+1,0),"")</f>
        <v/>
      </c>
      <c r="AM29" s="133" t="str">
        <f>IF($A29&lt;&gt;0,VLOOKUP($A29,'0.Productos'!$A$3:$GG$587,'0.Productos'!CE$1+1,0),"")</f>
        <v/>
      </c>
      <c r="AN29" s="133" t="str">
        <f>IF($A29&lt;&gt;0,VLOOKUP($A29,'0.Productos'!$A$3:$GG$587,'0.Productos'!CF$1+1,0),"")</f>
        <v/>
      </c>
      <c r="AO29" s="133" t="str">
        <f>IF($A29&lt;&gt;0,VLOOKUP($A29,'0.Productos'!$A$3:$GG$587,'0.Productos'!CG$1+1,0),"")</f>
        <v/>
      </c>
      <c r="AP29" s="133" t="str">
        <f>IF($A29&lt;&gt;0,VLOOKUP($A29,'0.Productos'!$A$3:$GG$587,'0.Productos'!CH$1+1,0),"")</f>
        <v/>
      </c>
      <c r="AQ29" s="133" t="str">
        <f>IF($A29&lt;&gt;0,VLOOKUP($A29,'0.Productos'!$A$3:$GG$587,'0.Productos'!CI$1+1,0),"")</f>
        <v/>
      </c>
      <c r="AR29" s="133" t="str">
        <f>IF($A29&lt;&gt;0,VLOOKUP($A29,'0.Productos'!$A$3:$GG$587,'0.Productos'!CJ$1+1,0),"")</f>
        <v/>
      </c>
      <c r="AS29" s="133" t="str">
        <f>IF($A29&lt;&gt;0,VLOOKUP($A29,'0.Productos'!$A$3:$GG$587,'0.Productos'!CK$1+1,0),"")</f>
        <v/>
      </c>
      <c r="AT29" s="133" t="str">
        <f>IF($A29&lt;&gt;0,VLOOKUP($A29,'0.Productos'!$A$3:$GG$587,'0.Productos'!CL$1+1,0),"")</f>
        <v/>
      </c>
      <c r="AU29" s="133" t="str">
        <f>IF($A29&lt;&gt;0,VLOOKUP($A29,'0.Productos'!$A$3:$GG$587,'0.Productos'!CM$1+1,0),"")</f>
        <v/>
      </c>
      <c r="AV29" s="133" t="str">
        <f>IF($A29&lt;&gt;0,VLOOKUP($A29,'0.Productos'!$A$3:$GG$587,'0.Productos'!CN$1+1,0),"")</f>
        <v/>
      </c>
      <c r="AW29" s="133" t="str">
        <f>IF($A29&lt;&gt;0,VLOOKUP($A29,'0.Productos'!$A$3:$GG$587,'0.Productos'!CO$1+1,0),"")</f>
        <v/>
      </c>
      <c r="AX29" s="133" t="str">
        <f>IF($A29&lt;&gt;0,VLOOKUP($A29,'0.Productos'!$A$3:$GG$587,'0.Productos'!CP$1+1,0),"")</f>
        <v/>
      </c>
      <c r="AY29" s="133" t="str">
        <f>IF($A29&lt;&gt;0,VLOOKUP($A29,'0.Productos'!$A$3:$GG$587,'0.Productos'!CQ$1+1,0),"")</f>
        <v/>
      </c>
      <c r="AZ29" s="133" t="str">
        <f>IF($A29&lt;&gt;0,VLOOKUP($A29,'0.Productos'!$A$3:$GG$587,'0.Productos'!CR$1+1,0),"")</f>
        <v/>
      </c>
      <c r="BA29" s="133" t="str">
        <f>IF($A29&lt;&gt;0,VLOOKUP($A29,'0.Productos'!$A$3:$GG$587,'0.Productos'!CS$1+1,0),"")</f>
        <v/>
      </c>
      <c r="BB29" s="133" t="str">
        <f>IF($A29&lt;&gt;0,VLOOKUP($A29,'0.Productos'!$A$3:$GG$587,'0.Productos'!CT$1+1,0),"")</f>
        <v/>
      </c>
      <c r="BC29" s="133" t="str">
        <f>IF($A29&lt;&gt;0,VLOOKUP($A29,'0.Productos'!$A$3:$GG$587,'0.Productos'!CU$1+1,0),"")</f>
        <v/>
      </c>
      <c r="BD29" s="133" t="str">
        <f>IF($A29&lt;&gt;0,VLOOKUP($A29,'0.Productos'!$A$3:$GG$587,'0.Productos'!CV$1+1,0),"")</f>
        <v/>
      </c>
      <c r="BE29" s="133" t="str">
        <f>IF($A29&lt;&gt;0,VLOOKUP($A29,'0.Productos'!$A$3:$GG$587,'0.Productos'!CW$1+1,0),"")</f>
        <v/>
      </c>
      <c r="BF29" s="133" t="str">
        <f>IF($A29&lt;&gt;0,VLOOKUP($A29,'0.Productos'!$A$3:$GG$587,'0.Productos'!CX$1+1,0),"")</f>
        <v/>
      </c>
      <c r="BG29" s="133" t="str">
        <f>IF($A29&lt;&gt;0,VLOOKUP($A29,'0.Productos'!$A$3:$GG$587,'0.Productos'!CY$1+1,0),"")</f>
        <v/>
      </c>
      <c r="BH29" s="133" t="str">
        <f>IF($A29&lt;&gt;0,VLOOKUP($A29,'0.Productos'!$A$3:$GG$587,'0.Productos'!CZ$1+1,0),"")</f>
        <v/>
      </c>
      <c r="BI29" s="133" t="str">
        <f>IF($A29&lt;&gt;0,VLOOKUP($A29,'0.Productos'!$A$3:$GG$587,'0.Productos'!DA$1+1,0),"")</f>
        <v/>
      </c>
      <c r="BJ29" s="133" t="str">
        <f>IF($A29&lt;&gt;0,VLOOKUP($A29,'0.Productos'!$A$3:$GG$587,'0.Productos'!DB$1+1,0),"")</f>
        <v/>
      </c>
      <c r="BK29" s="133" t="str">
        <f>IF($A29&lt;&gt;0,VLOOKUP($A29,'0.Productos'!$A$3:$GG$587,'0.Productos'!DC$1+1,0),"")</f>
        <v/>
      </c>
      <c r="BL29" s="133" t="str">
        <f>IF($A29&lt;&gt;0,VLOOKUP($A29,'0.Productos'!$A$3:$GG$587,'0.Productos'!DD$1+1,0),"")</f>
        <v/>
      </c>
      <c r="BM29" s="133" t="str">
        <f>IF($A29&lt;&gt;0,VLOOKUP($A29,'0.Productos'!$A$3:$GG$587,'0.Productos'!DE$1+1,0),"")</f>
        <v/>
      </c>
      <c r="BN29" s="133" t="str">
        <f>IF($A29&lt;&gt;0,VLOOKUP($A29,'0.Productos'!$A$3:$GG$587,'0.Productos'!DF$1+1,0),"")</f>
        <v/>
      </c>
      <c r="BO29" s="133" t="str">
        <f>IF($A29&lt;&gt;0,VLOOKUP($A29,'0.Productos'!$A$3:$GG$587,'0.Productos'!DG$1+1,0),"")</f>
        <v/>
      </c>
      <c r="BP29" s="133" t="str">
        <f>IF($A29&lt;&gt;0,VLOOKUP($A29,'0.Productos'!$A$3:$GG$587,'0.Productos'!DH$1+1,0),"")</f>
        <v/>
      </c>
      <c r="BQ29" s="133" t="str">
        <f>IF($A29&lt;&gt;0,VLOOKUP($A29,'0.Productos'!$A$3:$GG$587,'0.Productos'!DI$1+1,0),"")</f>
        <v/>
      </c>
      <c r="BR29" s="133" t="str">
        <f>IF($A29&lt;&gt;0,VLOOKUP($A29,'0.Productos'!$A$3:$GG$587,'0.Productos'!DJ$1+1,0),"")</f>
        <v/>
      </c>
      <c r="BS29" s="133" t="str">
        <f>IF($A29&lt;&gt;0,VLOOKUP($A29,'0.Productos'!$A$3:$GG$587,'0.Productos'!DK$1+1,0),"")</f>
        <v/>
      </c>
      <c r="BT29" s="133" t="str">
        <f>IF($A29&lt;&gt;0,VLOOKUP($A29,'0.Productos'!$A$3:$GG$587,'0.Productos'!DL$1+1,0),"")</f>
        <v/>
      </c>
    </row>
    <row r="30" spans="1:72" x14ac:dyDescent="0.25">
      <c r="A30" s="17">
        <f>'0.Consolidado general'!A30</f>
        <v>0</v>
      </c>
      <c r="B30" s="133" t="str">
        <f>IF($A30&lt;&gt;0,VLOOKUP($A30,'0.Productos'!$A$3:$GG$587,'0.Productos'!AT$1+1,0),"")</f>
        <v/>
      </c>
      <c r="C30" s="133" t="str">
        <f>IF($A30&lt;&gt;0,VLOOKUP($A30,'0.Productos'!$A$3:$GG$587,'0.Productos'!AU$1+1,0),"")</f>
        <v/>
      </c>
      <c r="D30" s="133" t="str">
        <f>IF($A30&lt;&gt;0,VLOOKUP($A30,'0.Productos'!$A$3:$GG$587,'0.Productos'!AV$1+1,0),"")</f>
        <v/>
      </c>
      <c r="E30" s="133" t="str">
        <f>IF($A30&lt;&gt;0,VLOOKUP($A30,'0.Productos'!$A$3:$GG$587,'0.Productos'!AW$1+1,0),"")</f>
        <v/>
      </c>
      <c r="F30" s="133" t="str">
        <f>IF($A30&lt;&gt;0,VLOOKUP($A30,'0.Productos'!$A$3:$GG$587,'0.Productos'!AX$1+1,0),"")</f>
        <v/>
      </c>
      <c r="G30" s="133" t="str">
        <f>IF($A30&lt;&gt;0,VLOOKUP($A30,'0.Productos'!$A$3:$GG$587,'0.Productos'!AY$1+1,0),"")</f>
        <v/>
      </c>
      <c r="H30" s="133" t="str">
        <f>IF($A30&lt;&gt;0,VLOOKUP($A30,'0.Productos'!$A$3:$GG$587,'0.Productos'!AZ$1+1,0),"")</f>
        <v/>
      </c>
      <c r="I30" s="133" t="str">
        <f>IF($A30&lt;&gt;0,VLOOKUP($A30,'0.Productos'!$A$3:$GG$587,'0.Productos'!BA$1+1,0),"")</f>
        <v/>
      </c>
      <c r="J30" s="133" t="str">
        <f>IF($A30&lt;&gt;0,VLOOKUP($A30,'0.Productos'!$A$3:$GG$587,'0.Productos'!BB$1+1,0),"")</f>
        <v/>
      </c>
      <c r="K30" s="133" t="str">
        <f>IF($A30&lt;&gt;0,VLOOKUP($A30,'0.Productos'!$A$3:$GG$587,'0.Productos'!BC$1+1,0),"")</f>
        <v/>
      </c>
      <c r="L30" s="133" t="str">
        <f>IF($A30&lt;&gt;0,VLOOKUP($A30,'0.Productos'!$A$3:$GG$587,'0.Productos'!BD$1+1,0),"")</f>
        <v/>
      </c>
      <c r="M30" s="133" t="str">
        <f>IF($A30&lt;&gt;0,VLOOKUP($A30,'0.Productos'!$A$3:$GG$587,'0.Productos'!BE$1+1,0),"")</f>
        <v/>
      </c>
      <c r="N30" s="133" t="str">
        <f>IF($A30&lt;&gt;0,VLOOKUP($A30,'0.Productos'!$A$3:$GG$587,'0.Productos'!BF$1+1,0),"")</f>
        <v/>
      </c>
      <c r="O30" s="133" t="str">
        <f>IF($A30&lt;&gt;0,VLOOKUP($A30,'0.Productos'!$A$3:$GG$587,'0.Productos'!BG$1+1,0),"")</f>
        <v/>
      </c>
      <c r="P30" s="133" t="str">
        <f>IF($A30&lt;&gt;0,VLOOKUP($A30,'0.Productos'!$A$3:$GG$587,'0.Productos'!BH$1+1,0),"")</f>
        <v/>
      </c>
      <c r="Q30" s="133" t="str">
        <f>IF($A30&lt;&gt;0,VLOOKUP($A30,'0.Productos'!$A$3:$GG$587,'0.Productos'!BI$1+1,0),"")</f>
        <v/>
      </c>
      <c r="R30" s="133" t="str">
        <f>IF($A30&lt;&gt;0,VLOOKUP($A30,'0.Productos'!$A$3:$GG$587,'0.Productos'!BJ$1+1,0),"")</f>
        <v/>
      </c>
      <c r="S30" s="133" t="str">
        <f>IF($A30&lt;&gt;0,VLOOKUP($A30,'0.Productos'!$A$3:$GG$587,'0.Productos'!BK$1+1,0),"")</f>
        <v/>
      </c>
      <c r="T30" s="133" t="str">
        <f>IF($A30&lt;&gt;0,VLOOKUP($A30,'0.Productos'!$A$3:$GG$587,'0.Productos'!BL$1+1,0),"")</f>
        <v/>
      </c>
      <c r="U30" s="133" t="str">
        <f>IF($A30&lt;&gt;0,VLOOKUP($A30,'0.Productos'!$A$3:$GG$587,'0.Productos'!BM$1+1,0),"")</f>
        <v/>
      </c>
      <c r="V30" s="133" t="str">
        <f>IF($A30&lt;&gt;0,VLOOKUP($A30,'0.Productos'!$A$3:$GG$587,'0.Productos'!BN$1+1,0),"")</f>
        <v/>
      </c>
      <c r="W30" s="133" t="str">
        <f>IF($A30&lt;&gt;0,VLOOKUP($A30,'0.Productos'!$A$3:$GG$587,'0.Productos'!BO$1+1,0),"")</f>
        <v/>
      </c>
      <c r="X30" s="133" t="str">
        <f>IF($A30&lt;&gt;0,VLOOKUP($A30,'0.Productos'!$A$3:$GG$587,'0.Productos'!BP$1+1,0),"")</f>
        <v/>
      </c>
      <c r="Y30" s="133" t="str">
        <f>IF($A30&lt;&gt;0,VLOOKUP($A30,'0.Productos'!$A$3:$GG$587,'0.Productos'!BQ$1+1,0),"")</f>
        <v/>
      </c>
      <c r="Z30" s="133" t="str">
        <f>IF($A30&lt;&gt;0,VLOOKUP($A30,'0.Productos'!$A$3:$GG$587,'0.Productos'!BR$1+1,0),"")</f>
        <v/>
      </c>
      <c r="AA30" s="133" t="str">
        <f>IF($A30&lt;&gt;0,VLOOKUP($A30,'0.Productos'!$A$3:$GG$587,'0.Productos'!BS$1+1,0),"")</f>
        <v/>
      </c>
      <c r="AB30" s="133" t="str">
        <f>IF($A30&lt;&gt;0,VLOOKUP($A30,'0.Productos'!$A$3:$GG$587,'0.Productos'!BT$1+1,0),"")</f>
        <v/>
      </c>
      <c r="AC30" s="133" t="str">
        <f>IF($A30&lt;&gt;0,VLOOKUP($A30,'0.Productos'!$A$3:$GG$587,'0.Productos'!BU$1+1,0),"")</f>
        <v/>
      </c>
      <c r="AD30" s="133" t="str">
        <f>IF($A30&lt;&gt;0,VLOOKUP($A30,'0.Productos'!$A$3:$GG$587,'0.Productos'!BV$1+1,0),"")</f>
        <v/>
      </c>
      <c r="AE30" s="133" t="str">
        <f>IF($A30&lt;&gt;0,VLOOKUP($A30,'0.Productos'!$A$3:$GG$587,'0.Productos'!BW$1+1,0),"")</f>
        <v/>
      </c>
      <c r="AF30" s="133" t="str">
        <f>IF($A30&lt;&gt;0,VLOOKUP($A30,'0.Productos'!$A$3:$GG$587,'0.Productos'!BX$1+1,0),"")</f>
        <v/>
      </c>
      <c r="AG30" s="133" t="str">
        <f>IF($A30&lt;&gt;0,VLOOKUP($A30,'0.Productos'!$A$3:$GG$587,'0.Productos'!BY$1+1,0),"")</f>
        <v/>
      </c>
      <c r="AH30" s="133" t="str">
        <f>IF($A30&lt;&gt;0,VLOOKUP($A30,'0.Productos'!$A$3:$GG$587,'0.Productos'!BZ$1+1,0),"")</f>
        <v/>
      </c>
      <c r="AI30" s="133" t="str">
        <f>IF($A30&lt;&gt;0,VLOOKUP($A30,'0.Productos'!$A$3:$GG$587,'0.Productos'!CA$1+1,0),"")</f>
        <v/>
      </c>
      <c r="AJ30" s="133" t="str">
        <f>IF($A30&lt;&gt;0,VLOOKUP($A30,'0.Productos'!$A$3:$GG$587,'0.Productos'!CB$1+1,0),"")</f>
        <v/>
      </c>
      <c r="AK30" s="133" t="str">
        <f>IF($A30&lt;&gt;0,VLOOKUP($A30,'0.Productos'!$A$3:$GG$587,'0.Productos'!CC$1+1,0),"")</f>
        <v/>
      </c>
      <c r="AL30" s="133" t="str">
        <f>IF($A30&lt;&gt;0,VLOOKUP($A30,'0.Productos'!$A$3:$GG$587,'0.Productos'!CD$1+1,0),"")</f>
        <v/>
      </c>
      <c r="AM30" s="133" t="str">
        <f>IF($A30&lt;&gt;0,VLOOKUP($A30,'0.Productos'!$A$3:$GG$587,'0.Productos'!CE$1+1,0),"")</f>
        <v/>
      </c>
      <c r="AN30" s="133" t="str">
        <f>IF($A30&lt;&gt;0,VLOOKUP($A30,'0.Productos'!$A$3:$GG$587,'0.Productos'!CF$1+1,0),"")</f>
        <v/>
      </c>
      <c r="AO30" s="133" t="str">
        <f>IF($A30&lt;&gt;0,VLOOKUP($A30,'0.Productos'!$A$3:$GG$587,'0.Productos'!CG$1+1,0),"")</f>
        <v/>
      </c>
      <c r="AP30" s="133" t="str">
        <f>IF($A30&lt;&gt;0,VLOOKUP($A30,'0.Productos'!$A$3:$GG$587,'0.Productos'!CH$1+1,0),"")</f>
        <v/>
      </c>
      <c r="AQ30" s="133" t="str">
        <f>IF($A30&lt;&gt;0,VLOOKUP($A30,'0.Productos'!$A$3:$GG$587,'0.Productos'!CI$1+1,0),"")</f>
        <v/>
      </c>
      <c r="AR30" s="133" t="str">
        <f>IF($A30&lt;&gt;0,VLOOKUP($A30,'0.Productos'!$A$3:$GG$587,'0.Productos'!CJ$1+1,0),"")</f>
        <v/>
      </c>
      <c r="AS30" s="133" t="str">
        <f>IF($A30&lt;&gt;0,VLOOKUP($A30,'0.Productos'!$A$3:$GG$587,'0.Productos'!CK$1+1,0),"")</f>
        <v/>
      </c>
      <c r="AT30" s="133" t="str">
        <f>IF($A30&lt;&gt;0,VLOOKUP($A30,'0.Productos'!$A$3:$GG$587,'0.Productos'!CL$1+1,0),"")</f>
        <v/>
      </c>
      <c r="AU30" s="133" t="str">
        <f>IF($A30&lt;&gt;0,VLOOKUP($A30,'0.Productos'!$A$3:$GG$587,'0.Productos'!CM$1+1,0),"")</f>
        <v/>
      </c>
      <c r="AV30" s="133" t="str">
        <f>IF($A30&lt;&gt;0,VLOOKUP($A30,'0.Productos'!$A$3:$GG$587,'0.Productos'!CN$1+1,0),"")</f>
        <v/>
      </c>
      <c r="AW30" s="133" t="str">
        <f>IF($A30&lt;&gt;0,VLOOKUP($A30,'0.Productos'!$A$3:$GG$587,'0.Productos'!CO$1+1,0),"")</f>
        <v/>
      </c>
      <c r="AX30" s="133" t="str">
        <f>IF($A30&lt;&gt;0,VLOOKUP($A30,'0.Productos'!$A$3:$GG$587,'0.Productos'!CP$1+1,0),"")</f>
        <v/>
      </c>
      <c r="AY30" s="133" t="str">
        <f>IF($A30&lt;&gt;0,VLOOKUP($A30,'0.Productos'!$A$3:$GG$587,'0.Productos'!CQ$1+1,0),"")</f>
        <v/>
      </c>
      <c r="AZ30" s="133" t="str">
        <f>IF($A30&lt;&gt;0,VLOOKUP($A30,'0.Productos'!$A$3:$GG$587,'0.Productos'!CR$1+1,0),"")</f>
        <v/>
      </c>
      <c r="BA30" s="133" t="str">
        <f>IF($A30&lt;&gt;0,VLOOKUP($A30,'0.Productos'!$A$3:$GG$587,'0.Productos'!CS$1+1,0),"")</f>
        <v/>
      </c>
      <c r="BB30" s="133" t="str">
        <f>IF($A30&lt;&gt;0,VLOOKUP($A30,'0.Productos'!$A$3:$GG$587,'0.Productos'!CT$1+1,0),"")</f>
        <v/>
      </c>
      <c r="BC30" s="133" t="str">
        <f>IF($A30&lt;&gt;0,VLOOKUP($A30,'0.Productos'!$A$3:$GG$587,'0.Productos'!CU$1+1,0),"")</f>
        <v/>
      </c>
      <c r="BD30" s="133" t="str">
        <f>IF($A30&lt;&gt;0,VLOOKUP($A30,'0.Productos'!$A$3:$GG$587,'0.Productos'!CV$1+1,0),"")</f>
        <v/>
      </c>
      <c r="BE30" s="133" t="str">
        <f>IF($A30&lt;&gt;0,VLOOKUP($A30,'0.Productos'!$A$3:$GG$587,'0.Productos'!CW$1+1,0),"")</f>
        <v/>
      </c>
      <c r="BF30" s="133" t="str">
        <f>IF($A30&lt;&gt;0,VLOOKUP($A30,'0.Productos'!$A$3:$GG$587,'0.Productos'!CX$1+1,0),"")</f>
        <v/>
      </c>
      <c r="BG30" s="133" t="str">
        <f>IF($A30&lt;&gt;0,VLOOKUP($A30,'0.Productos'!$A$3:$GG$587,'0.Productos'!CY$1+1,0),"")</f>
        <v/>
      </c>
      <c r="BH30" s="133" t="str">
        <f>IF($A30&lt;&gt;0,VLOOKUP($A30,'0.Productos'!$A$3:$GG$587,'0.Productos'!CZ$1+1,0),"")</f>
        <v/>
      </c>
      <c r="BI30" s="133" t="str">
        <f>IF($A30&lt;&gt;0,VLOOKUP($A30,'0.Productos'!$A$3:$GG$587,'0.Productos'!DA$1+1,0),"")</f>
        <v/>
      </c>
      <c r="BJ30" s="133" t="str">
        <f>IF($A30&lt;&gt;0,VLOOKUP($A30,'0.Productos'!$A$3:$GG$587,'0.Productos'!DB$1+1,0),"")</f>
        <v/>
      </c>
      <c r="BK30" s="133" t="str">
        <f>IF($A30&lt;&gt;0,VLOOKUP($A30,'0.Productos'!$A$3:$GG$587,'0.Productos'!DC$1+1,0),"")</f>
        <v/>
      </c>
      <c r="BL30" s="133" t="str">
        <f>IF($A30&lt;&gt;0,VLOOKUP($A30,'0.Productos'!$A$3:$GG$587,'0.Productos'!DD$1+1,0),"")</f>
        <v/>
      </c>
      <c r="BM30" s="133" t="str">
        <f>IF($A30&lt;&gt;0,VLOOKUP($A30,'0.Productos'!$A$3:$GG$587,'0.Productos'!DE$1+1,0),"")</f>
        <v/>
      </c>
      <c r="BN30" s="133" t="str">
        <f>IF($A30&lt;&gt;0,VLOOKUP($A30,'0.Productos'!$A$3:$GG$587,'0.Productos'!DF$1+1,0),"")</f>
        <v/>
      </c>
      <c r="BO30" s="133" t="str">
        <f>IF($A30&lt;&gt;0,VLOOKUP($A30,'0.Productos'!$A$3:$GG$587,'0.Productos'!DG$1+1,0),"")</f>
        <v/>
      </c>
      <c r="BP30" s="133" t="str">
        <f>IF($A30&lt;&gt;0,VLOOKUP($A30,'0.Productos'!$A$3:$GG$587,'0.Productos'!DH$1+1,0),"")</f>
        <v/>
      </c>
      <c r="BQ30" s="133" t="str">
        <f>IF($A30&lt;&gt;0,VLOOKUP($A30,'0.Productos'!$A$3:$GG$587,'0.Productos'!DI$1+1,0),"")</f>
        <v/>
      </c>
      <c r="BR30" s="133" t="str">
        <f>IF($A30&lt;&gt;0,VLOOKUP($A30,'0.Productos'!$A$3:$GG$587,'0.Productos'!DJ$1+1,0),"")</f>
        <v/>
      </c>
      <c r="BS30" s="133" t="str">
        <f>IF($A30&lt;&gt;0,VLOOKUP($A30,'0.Productos'!$A$3:$GG$587,'0.Productos'!DK$1+1,0),"")</f>
        <v/>
      </c>
      <c r="BT30" s="133" t="str">
        <f>IF($A30&lt;&gt;0,VLOOKUP($A30,'0.Productos'!$A$3:$GG$587,'0.Productos'!DL$1+1,0),"")</f>
        <v/>
      </c>
    </row>
    <row r="31" spans="1:72" x14ac:dyDescent="0.25">
      <c r="A31" s="17">
        <f>'0.Consolidado general'!A31</f>
        <v>0</v>
      </c>
      <c r="B31" s="133" t="str">
        <f>IF($A31&lt;&gt;0,VLOOKUP($A31,'0.Productos'!$A$3:$GG$587,'0.Productos'!AT$1+1,0),"")</f>
        <v/>
      </c>
      <c r="C31" s="133" t="str">
        <f>IF($A31&lt;&gt;0,VLOOKUP($A31,'0.Productos'!$A$3:$GG$587,'0.Productos'!AU$1+1,0),"")</f>
        <v/>
      </c>
      <c r="D31" s="133" t="str">
        <f>IF($A31&lt;&gt;0,VLOOKUP($A31,'0.Productos'!$A$3:$GG$587,'0.Productos'!AV$1+1,0),"")</f>
        <v/>
      </c>
      <c r="E31" s="133" t="str">
        <f>IF($A31&lt;&gt;0,VLOOKUP($A31,'0.Productos'!$A$3:$GG$587,'0.Productos'!AW$1+1,0),"")</f>
        <v/>
      </c>
      <c r="F31" s="133" t="str">
        <f>IF($A31&lt;&gt;0,VLOOKUP($A31,'0.Productos'!$A$3:$GG$587,'0.Productos'!AX$1+1,0),"")</f>
        <v/>
      </c>
      <c r="G31" s="133" t="str">
        <f>IF($A31&lt;&gt;0,VLOOKUP($A31,'0.Productos'!$A$3:$GG$587,'0.Productos'!AY$1+1,0),"")</f>
        <v/>
      </c>
      <c r="H31" s="133" t="str">
        <f>IF($A31&lt;&gt;0,VLOOKUP($A31,'0.Productos'!$A$3:$GG$587,'0.Productos'!AZ$1+1,0),"")</f>
        <v/>
      </c>
      <c r="I31" s="133" t="str">
        <f>IF($A31&lt;&gt;0,VLOOKUP($A31,'0.Productos'!$A$3:$GG$587,'0.Productos'!BA$1+1,0),"")</f>
        <v/>
      </c>
      <c r="J31" s="133" t="str">
        <f>IF($A31&lt;&gt;0,VLOOKUP($A31,'0.Productos'!$A$3:$GG$587,'0.Productos'!BB$1+1,0),"")</f>
        <v/>
      </c>
      <c r="K31" s="133" t="str">
        <f>IF($A31&lt;&gt;0,VLOOKUP($A31,'0.Productos'!$A$3:$GG$587,'0.Productos'!BC$1+1,0),"")</f>
        <v/>
      </c>
      <c r="L31" s="133" t="str">
        <f>IF($A31&lt;&gt;0,VLOOKUP($A31,'0.Productos'!$A$3:$GG$587,'0.Productos'!BD$1+1,0),"")</f>
        <v/>
      </c>
      <c r="M31" s="133" t="str">
        <f>IF($A31&lt;&gt;0,VLOOKUP($A31,'0.Productos'!$A$3:$GG$587,'0.Productos'!BE$1+1,0),"")</f>
        <v/>
      </c>
      <c r="N31" s="133" t="str">
        <f>IF($A31&lt;&gt;0,VLOOKUP($A31,'0.Productos'!$A$3:$GG$587,'0.Productos'!BF$1+1,0),"")</f>
        <v/>
      </c>
      <c r="O31" s="133" t="str">
        <f>IF($A31&lt;&gt;0,VLOOKUP($A31,'0.Productos'!$A$3:$GG$587,'0.Productos'!BG$1+1,0),"")</f>
        <v/>
      </c>
      <c r="P31" s="133" t="str">
        <f>IF($A31&lt;&gt;0,VLOOKUP($A31,'0.Productos'!$A$3:$GG$587,'0.Productos'!BH$1+1,0),"")</f>
        <v/>
      </c>
      <c r="Q31" s="133" t="str">
        <f>IF($A31&lt;&gt;0,VLOOKUP($A31,'0.Productos'!$A$3:$GG$587,'0.Productos'!BI$1+1,0),"")</f>
        <v/>
      </c>
      <c r="R31" s="133" t="str">
        <f>IF($A31&lt;&gt;0,VLOOKUP($A31,'0.Productos'!$A$3:$GG$587,'0.Productos'!BJ$1+1,0),"")</f>
        <v/>
      </c>
      <c r="S31" s="133" t="str">
        <f>IF($A31&lt;&gt;0,VLOOKUP($A31,'0.Productos'!$A$3:$GG$587,'0.Productos'!BK$1+1,0),"")</f>
        <v/>
      </c>
      <c r="T31" s="133" t="str">
        <f>IF($A31&lt;&gt;0,VLOOKUP($A31,'0.Productos'!$A$3:$GG$587,'0.Productos'!BL$1+1,0),"")</f>
        <v/>
      </c>
      <c r="U31" s="133" t="str">
        <f>IF($A31&lt;&gt;0,VLOOKUP($A31,'0.Productos'!$A$3:$GG$587,'0.Productos'!BM$1+1,0),"")</f>
        <v/>
      </c>
      <c r="V31" s="133" t="str">
        <f>IF($A31&lt;&gt;0,VLOOKUP($A31,'0.Productos'!$A$3:$GG$587,'0.Productos'!BN$1+1,0),"")</f>
        <v/>
      </c>
      <c r="W31" s="133" t="str">
        <f>IF($A31&lt;&gt;0,VLOOKUP($A31,'0.Productos'!$A$3:$GG$587,'0.Productos'!BO$1+1,0),"")</f>
        <v/>
      </c>
      <c r="X31" s="133" t="str">
        <f>IF($A31&lt;&gt;0,VLOOKUP($A31,'0.Productos'!$A$3:$GG$587,'0.Productos'!BP$1+1,0),"")</f>
        <v/>
      </c>
      <c r="Y31" s="133" t="str">
        <f>IF($A31&lt;&gt;0,VLOOKUP($A31,'0.Productos'!$A$3:$GG$587,'0.Productos'!BQ$1+1,0),"")</f>
        <v/>
      </c>
      <c r="Z31" s="133" t="str">
        <f>IF($A31&lt;&gt;0,VLOOKUP($A31,'0.Productos'!$A$3:$GG$587,'0.Productos'!BR$1+1,0),"")</f>
        <v/>
      </c>
      <c r="AA31" s="133" t="str">
        <f>IF($A31&lt;&gt;0,VLOOKUP($A31,'0.Productos'!$A$3:$GG$587,'0.Productos'!BS$1+1,0),"")</f>
        <v/>
      </c>
      <c r="AB31" s="133" t="str">
        <f>IF($A31&lt;&gt;0,VLOOKUP($A31,'0.Productos'!$A$3:$GG$587,'0.Productos'!BT$1+1,0),"")</f>
        <v/>
      </c>
      <c r="AC31" s="133" t="str">
        <f>IF($A31&lt;&gt;0,VLOOKUP($A31,'0.Productos'!$A$3:$GG$587,'0.Productos'!BU$1+1,0),"")</f>
        <v/>
      </c>
      <c r="AD31" s="133" t="str">
        <f>IF($A31&lt;&gt;0,VLOOKUP($A31,'0.Productos'!$A$3:$GG$587,'0.Productos'!BV$1+1,0),"")</f>
        <v/>
      </c>
      <c r="AE31" s="133" t="str">
        <f>IF($A31&lt;&gt;0,VLOOKUP($A31,'0.Productos'!$A$3:$GG$587,'0.Productos'!BW$1+1,0),"")</f>
        <v/>
      </c>
      <c r="AF31" s="133" t="str">
        <f>IF($A31&lt;&gt;0,VLOOKUP($A31,'0.Productos'!$A$3:$GG$587,'0.Productos'!BX$1+1,0),"")</f>
        <v/>
      </c>
      <c r="AG31" s="133" t="str">
        <f>IF($A31&lt;&gt;0,VLOOKUP($A31,'0.Productos'!$A$3:$GG$587,'0.Productos'!BY$1+1,0),"")</f>
        <v/>
      </c>
      <c r="AH31" s="133" t="str">
        <f>IF($A31&lt;&gt;0,VLOOKUP($A31,'0.Productos'!$A$3:$GG$587,'0.Productos'!BZ$1+1,0),"")</f>
        <v/>
      </c>
      <c r="AI31" s="133" t="str">
        <f>IF($A31&lt;&gt;0,VLOOKUP($A31,'0.Productos'!$A$3:$GG$587,'0.Productos'!CA$1+1,0),"")</f>
        <v/>
      </c>
      <c r="AJ31" s="133" t="str">
        <f>IF($A31&lt;&gt;0,VLOOKUP($A31,'0.Productos'!$A$3:$GG$587,'0.Productos'!CB$1+1,0),"")</f>
        <v/>
      </c>
      <c r="AK31" s="133" t="str">
        <f>IF($A31&lt;&gt;0,VLOOKUP($A31,'0.Productos'!$A$3:$GG$587,'0.Productos'!CC$1+1,0),"")</f>
        <v/>
      </c>
      <c r="AL31" s="133" t="str">
        <f>IF($A31&lt;&gt;0,VLOOKUP($A31,'0.Productos'!$A$3:$GG$587,'0.Productos'!CD$1+1,0),"")</f>
        <v/>
      </c>
      <c r="AM31" s="133" t="str">
        <f>IF($A31&lt;&gt;0,VLOOKUP($A31,'0.Productos'!$A$3:$GG$587,'0.Productos'!CE$1+1,0),"")</f>
        <v/>
      </c>
      <c r="AN31" s="133" t="str">
        <f>IF($A31&lt;&gt;0,VLOOKUP($A31,'0.Productos'!$A$3:$GG$587,'0.Productos'!CF$1+1,0),"")</f>
        <v/>
      </c>
      <c r="AO31" s="133" t="str">
        <f>IF($A31&lt;&gt;0,VLOOKUP($A31,'0.Productos'!$A$3:$GG$587,'0.Productos'!CG$1+1,0),"")</f>
        <v/>
      </c>
      <c r="AP31" s="133" t="str">
        <f>IF($A31&lt;&gt;0,VLOOKUP($A31,'0.Productos'!$A$3:$GG$587,'0.Productos'!CH$1+1,0),"")</f>
        <v/>
      </c>
      <c r="AQ31" s="133" t="str">
        <f>IF($A31&lt;&gt;0,VLOOKUP($A31,'0.Productos'!$A$3:$GG$587,'0.Productos'!CI$1+1,0),"")</f>
        <v/>
      </c>
      <c r="AR31" s="133" t="str">
        <f>IF($A31&lt;&gt;0,VLOOKUP($A31,'0.Productos'!$A$3:$GG$587,'0.Productos'!CJ$1+1,0),"")</f>
        <v/>
      </c>
      <c r="AS31" s="133" t="str">
        <f>IF($A31&lt;&gt;0,VLOOKUP($A31,'0.Productos'!$A$3:$GG$587,'0.Productos'!CK$1+1,0),"")</f>
        <v/>
      </c>
      <c r="AT31" s="133" t="str">
        <f>IF($A31&lt;&gt;0,VLOOKUP($A31,'0.Productos'!$A$3:$GG$587,'0.Productos'!CL$1+1,0),"")</f>
        <v/>
      </c>
      <c r="AU31" s="133" t="str">
        <f>IF($A31&lt;&gt;0,VLOOKUP($A31,'0.Productos'!$A$3:$GG$587,'0.Productos'!CM$1+1,0),"")</f>
        <v/>
      </c>
      <c r="AV31" s="133" t="str">
        <f>IF($A31&lt;&gt;0,VLOOKUP($A31,'0.Productos'!$A$3:$GG$587,'0.Productos'!CN$1+1,0),"")</f>
        <v/>
      </c>
      <c r="AW31" s="133" t="str">
        <f>IF($A31&lt;&gt;0,VLOOKUP($A31,'0.Productos'!$A$3:$GG$587,'0.Productos'!CO$1+1,0),"")</f>
        <v/>
      </c>
      <c r="AX31" s="133" t="str">
        <f>IF($A31&lt;&gt;0,VLOOKUP($A31,'0.Productos'!$A$3:$GG$587,'0.Productos'!CP$1+1,0),"")</f>
        <v/>
      </c>
      <c r="AY31" s="133" t="str">
        <f>IF($A31&lt;&gt;0,VLOOKUP($A31,'0.Productos'!$A$3:$GG$587,'0.Productos'!CQ$1+1,0),"")</f>
        <v/>
      </c>
      <c r="AZ31" s="133" t="str">
        <f>IF($A31&lt;&gt;0,VLOOKUP($A31,'0.Productos'!$A$3:$GG$587,'0.Productos'!CR$1+1,0),"")</f>
        <v/>
      </c>
      <c r="BA31" s="133" t="str">
        <f>IF($A31&lt;&gt;0,VLOOKUP($A31,'0.Productos'!$A$3:$GG$587,'0.Productos'!CS$1+1,0),"")</f>
        <v/>
      </c>
      <c r="BB31" s="133" t="str">
        <f>IF($A31&lt;&gt;0,VLOOKUP($A31,'0.Productos'!$A$3:$GG$587,'0.Productos'!CT$1+1,0),"")</f>
        <v/>
      </c>
      <c r="BC31" s="133" t="str">
        <f>IF($A31&lt;&gt;0,VLOOKUP($A31,'0.Productos'!$A$3:$GG$587,'0.Productos'!CU$1+1,0),"")</f>
        <v/>
      </c>
      <c r="BD31" s="133" t="str">
        <f>IF($A31&lt;&gt;0,VLOOKUP($A31,'0.Productos'!$A$3:$GG$587,'0.Productos'!CV$1+1,0),"")</f>
        <v/>
      </c>
      <c r="BE31" s="133" t="str">
        <f>IF($A31&lt;&gt;0,VLOOKUP($A31,'0.Productos'!$A$3:$GG$587,'0.Productos'!CW$1+1,0),"")</f>
        <v/>
      </c>
      <c r="BF31" s="133" t="str">
        <f>IF($A31&lt;&gt;0,VLOOKUP($A31,'0.Productos'!$A$3:$GG$587,'0.Productos'!CX$1+1,0),"")</f>
        <v/>
      </c>
      <c r="BG31" s="133" t="str">
        <f>IF($A31&lt;&gt;0,VLOOKUP($A31,'0.Productos'!$A$3:$GG$587,'0.Productos'!CY$1+1,0),"")</f>
        <v/>
      </c>
      <c r="BH31" s="133" t="str">
        <f>IF($A31&lt;&gt;0,VLOOKUP($A31,'0.Productos'!$A$3:$GG$587,'0.Productos'!CZ$1+1,0),"")</f>
        <v/>
      </c>
      <c r="BI31" s="133" t="str">
        <f>IF($A31&lt;&gt;0,VLOOKUP($A31,'0.Productos'!$A$3:$GG$587,'0.Productos'!DA$1+1,0),"")</f>
        <v/>
      </c>
      <c r="BJ31" s="133" t="str">
        <f>IF($A31&lt;&gt;0,VLOOKUP($A31,'0.Productos'!$A$3:$GG$587,'0.Productos'!DB$1+1,0),"")</f>
        <v/>
      </c>
      <c r="BK31" s="133" t="str">
        <f>IF($A31&lt;&gt;0,VLOOKUP($A31,'0.Productos'!$A$3:$GG$587,'0.Productos'!DC$1+1,0),"")</f>
        <v/>
      </c>
      <c r="BL31" s="133" t="str">
        <f>IF($A31&lt;&gt;0,VLOOKUP($A31,'0.Productos'!$A$3:$GG$587,'0.Productos'!DD$1+1,0),"")</f>
        <v/>
      </c>
      <c r="BM31" s="133" t="str">
        <f>IF($A31&lt;&gt;0,VLOOKUP($A31,'0.Productos'!$A$3:$GG$587,'0.Productos'!DE$1+1,0),"")</f>
        <v/>
      </c>
      <c r="BN31" s="133" t="str">
        <f>IF($A31&lt;&gt;0,VLOOKUP($A31,'0.Productos'!$A$3:$GG$587,'0.Productos'!DF$1+1,0),"")</f>
        <v/>
      </c>
      <c r="BO31" s="133" t="str">
        <f>IF($A31&lt;&gt;0,VLOOKUP($A31,'0.Productos'!$A$3:$GG$587,'0.Productos'!DG$1+1,0),"")</f>
        <v/>
      </c>
      <c r="BP31" s="133" t="str">
        <f>IF($A31&lt;&gt;0,VLOOKUP($A31,'0.Productos'!$A$3:$GG$587,'0.Productos'!DH$1+1,0),"")</f>
        <v/>
      </c>
      <c r="BQ31" s="133" t="str">
        <f>IF($A31&lt;&gt;0,VLOOKUP($A31,'0.Productos'!$A$3:$GG$587,'0.Productos'!DI$1+1,0),"")</f>
        <v/>
      </c>
      <c r="BR31" s="133" t="str">
        <f>IF($A31&lt;&gt;0,VLOOKUP($A31,'0.Productos'!$A$3:$GG$587,'0.Productos'!DJ$1+1,0),"")</f>
        <v/>
      </c>
      <c r="BS31" s="133" t="str">
        <f>IF($A31&lt;&gt;0,VLOOKUP($A31,'0.Productos'!$A$3:$GG$587,'0.Productos'!DK$1+1,0),"")</f>
        <v/>
      </c>
      <c r="BT31" s="133" t="str">
        <f>IF($A31&lt;&gt;0,VLOOKUP($A31,'0.Productos'!$A$3:$GG$587,'0.Productos'!DL$1+1,0),"")</f>
        <v/>
      </c>
    </row>
    <row r="32" spans="1:72" x14ac:dyDescent="0.25">
      <c r="A32" s="17">
        <f>'0.Consolidado general'!A32</f>
        <v>0</v>
      </c>
      <c r="B32" s="133" t="str">
        <f>IF($A32&lt;&gt;0,VLOOKUP($A32,'0.Productos'!$A$3:$GG$587,'0.Productos'!AT$1+1,0),"")</f>
        <v/>
      </c>
      <c r="C32" s="133" t="str">
        <f>IF($A32&lt;&gt;0,VLOOKUP($A32,'0.Productos'!$A$3:$GG$587,'0.Productos'!AU$1+1,0),"")</f>
        <v/>
      </c>
      <c r="D32" s="133" t="str">
        <f>IF($A32&lt;&gt;0,VLOOKUP($A32,'0.Productos'!$A$3:$GG$587,'0.Productos'!AV$1+1,0),"")</f>
        <v/>
      </c>
      <c r="E32" s="133" t="str">
        <f>IF($A32&lt;&gt;0,VLOOKUP($A32,'0.Productos'!$A$3:$GG$587,'0.Productos'!AW$1+1,0),"")</f>
        <v/>
      </c>
      <c r="F32" s="133" t="str">
        <f>IF($A32&lt;&gt;0,VLOOKUP($A32,'0.Productos'!$A$3:$GG$587,'0.Productos'!AX$1+1,0),"")</f>
        <v/>
      </c>
      <c r="G32" s="133" t="str">
        <f>IF($A32&lt;&gt;0,VLOOKUP($A32,'0.Productos'!$A$3:$GG$587,'0.Productos'!AY$1+1,0),"")</f>
        <v/>
      </c>
      <c r="H32" s="133" t="str">
        <f>IF($A32&lt;&gt;0,VLOOKUP($A32,'0.Productos'!$A$3:$GG$587,'0.Productos'!AZ$1+1,0),"")</f>
        <v/>
      </c>
      <c r="I32" s="133" t="str">
        <f>IF($A32&lt;&gt;0,VLOOKUP($A32,'0.Productos'!$A$3:$GG$587,'0.Productos'!BA$1+1,0),"")</f>
        <v/>
      </c>
      <c r="J32" s="133" t="str">
        <f>IF($A32&lt;&gt;0,VLOOKUP($A32,'0.Productos'!$A$3:$GG$587,'0.Productos'!BB$1+1,0),"")</f>
        <v/>
      </c>
      <c r="K32" s="133" t="str">
        <f>IF($A32&lt;&gt;0,VLOOKUP($A32,'0.Productos'!$A$3:$GG$587,'0.Productos'!BC$1+1,0),"")</f>
        <v/>
      </c>
      <c r="L32" s="133" t="str">
        <f>IF($A32&lt;&gt;0,VLOOKUP($A32,'0.Productos'!$A$3:$GG$587,'0.Productos'!BD$1+1,0),"")</f>
        <v/>
      </c>
      <c r="M32" s="133" t="str">
        <f>IF($A32&lt;&gt;0,VLOOKUP($A32,'0.Productos'!$A$3:$GG$587,'0.Productos'!BE$1+1,0),"")</f>
        <v/>
      </c>
      <c r="N32" s="133" t="str">
        <f>IF($A32&lt;&gt;0,VLOOKUP($A32,'0.Productos'!$A$3:$GG$587,'0.Productos'!BF$1+1,0),"")</f>
        <v/>
      </c>
      <c r="O32" s="133" t="str">
        <f>IF($A32&lt;&gt;0,VLOOKUP($A32,'0.Productos'!$A$3:$GG$587,'0.Productos'!BG$1+1,0),"")</f>
        <v/>
      </c>
      <c r="P32" s="133" t="str">
        <f>IF($A32&lt;&gt;0,VLOOKUP($A32,'0.Productos'!$A$3:$GG$587,'0.Productos'!BH$1+1,0),"")</f>
        <v/>
      </c>
      <c r="Q32" s="133" t="str">
        <f>IF($A32&lt;&gt;0,VLOOKUP($A32,'0.Productos'!$A$3:$GG$587,'0.Productos'!BI$1+1,0),"")</f>
        <v/>
      </c>
      <c r="R32" s="133" t="str">
        <f>IF($A32&lt;&gt;0,VLOOKUP($A32,'0.Productos'!$A$3:$GG$587,'0.Productos'!BJ$1+1,0),"")</f>
        <v/>
      </c>
      <c r="S32" s="133" t="str">
        <f>IF($A32&lt;&gt;0,VLOOKUP($A32,'0.Productos'!$A$3:$GG$587,'0.Productos'!BK$1+1,0),"")</f>
        <v/>
      </c>
      <c r="T32" s="133" t="str">
        <f>IF($A32&lt;&gt;0,VLOOKUP($A32,'0.Productos'!$A$3:$GG$587,'0.Productos'!BL$1+1,0),"")</f>
        <v/>
      </c>
      <c r="U32" s="133" t="str">
        <f>IF($A32&lt;&gt;0,VLOOKUP($A32,'0.Productos'!$A$3:$GG$587,'0.Productos'!BM$1+1,0),"")</f>
        <v/>
      </c>
      <c r="V32" s="133" t="str">
        <f>IF($A32&lt;&gt;0,VLOOKUP($A32,'0.Productos'!$A$3:$GG$587,'0.Productos'!BN$1+1,0),"")</f>
        <v/>
      </c>
      <c r="W32" s="133" t="str">
        <f>IF($A32&lt;&gt;0,VLOOKUP($A32,'0.Productos'!$A$3:$GG$587,'0.Productos'!BO$1+1,0),"")</f>
        <v/>
      </c>
      <c r="X32" s="133" t="str">
        <f>IF($A32&lt;&gt;0,VLOOKUP($A32,'0.Productos'!$A$3:$GG$587,'0.Productos'!BP$1+1,0),"")</f>
        <v/>
      </c>
      <c r="Y32" s="133" t="str">
        <f>IF($A32&lt;&gt;0,VLOOKUP($A32,'0.Productos'!$A$3:$GG$587,'0.Productos'!BQ$1+1,0),"")</f>
        <v/>
      </c>
      <c r="Z32" s="133" t="str">
        <f>IF($A32&lt;&gt;0,VLOOKUP($A32,'0.Productos'!$A$3:$GG$587,'0.Productos'!BR$1+1,0),"")</f>
        <v/>
      </c>
      <c r="AA32" s="133" t="str">
        <f>IF($A32&lt;&gt;0,VLOOKUP($A32,'0.Productos'!$A$3:$GG$587,'0.Productos'!BS$1+1,0),"")</f>
        <v/>
      </c>
      <c r="AB32" s="133" t="str">
        <f>IF($A32&lt;&gt;0,VLOOKUP($A32,'0.Productos'!$A$3:$GG$587,'0.Productos'!BT$1+1,0),"")</f>
        <v/>
      </c>
      <c r="AC32" s="133" t="str">
        <f>IF($A32&lt;&gt;0,VLOOKUP($A32,'0.Productos'!$A$3:$GG$587,'0.Productos'!BU$1+1,0),"")</f>
        <v/>
      </c>
      <c r="AD32" s="133" t="str">
        <f>IF($A32&lt;&gt;0,VLOOKUP($A32,'0.Productos'!$A$3:$GG$587,'0.Productos'!BV$1+1,0),"")</f>
        <v/>
      </c>
      <c r="AE32" s="133" t="str">
        <f>IF($A32&lt;&gt;0,VLOOKUP($A32,'0.Productos'!$A$3:$GG$587,'0.Productos'!BW$1+1,0),"")</f>
        <v/>
      </c>
      <c r="AF32" s="133" t="str">
        <f>IF($A32&lt;&gt;0,VLOOKUP($A32,'0.Productos'!$A$3:$GG$587,'0.Productos'!BX$1+1,0),"")</f>
        <v/>
      </c>
      <c r="AG32" s="133" t="str">
        <f>IF($A32&lt;&gt;0,VLOOKUP($A32,'0.Productos'!$A$3:$GG$587,'0.Productos'!BY$1+1,0),"")</f>
        <v/>
      </c>
      <c r="AH32" s="133" t="str">
        <f>IF($A32&lt;&gt;0,VLOOKUP($A32,'0.Productos'!$A$3:$GG$587,'0.Productos'!BZ$1+1,0),"")</f>
        <v/>
      </c>
      <c r="AI32" s="133" t="str">
        <f>IF($A32&lt;&gt;0,VLOOKUP($A32,'0.Productos'!$A$3:$GG$587,'0.Productos'!CA$1+1,0),"")</f>
        <v/>
      </c>
      <c r="AJ32" s="133" t="str">
        <f>IF($A32&lt;&gt;0,VLOOKUP($A32,'0.Productos'!$A$3:$GG$587,'0.Productos'!CB$1+1,0),"")</f>
        <v/>
      </c>
      <c r="AK32" s="133" t="str">
        <f>IF($A32&lt;&gt;0,VLOOKUP($A32,'0.Productos'!$A$3:$GG$587,'0.Productos'!CC$1+1,0),"")</f>
        <v/>
      </c>
      <c r="AL32" s="133" t="str">
        <f>IF($A32&lt;&gt;0,VLOOKUP($A32,'0.Productos'!$A$3:$GG$587,'0.Productos'!CD$1+1,0),"")</f>
        <v/>
      </c>
      <c r="AM32" s="133" t="str">
        <f>IF($A32&lt;&gt;0,VLOOKUP($A32,'0.Productos'!$A$3:$GG$587,'0.Productos'!CE$1+1,0),"")</f>
        <v/>
      </c>
      <c r="AN32" s="133" t="str">
        <f>IF($A32&lt;&gt;0,VLOOKUP($A32,'0.Productos'!$A$3:$GG$587,'0.Productos'!CF$1+1,0),"")</f>
        <v/>
      </c>
      <c r="AO32" s="133" t="str">
        <f>IF($A32&lt;&gt;0,VLOOKUP($A32,'0.Productos'!$A$3:$GG$587,'0.Productos'!CG$1+1,0),"")</f>
        <v/>
      </c>
      <c r="AP32" s="133" t="str">
        <f>IF($A32&lt;&gt;0,VLOOKUP($A32,'0.Productos'!$A$3:$GG$587,'0.Productos'!CH$1+1,0),"")</f>
        <v/>
      </c>
      <c r="AQ32" s="133" t="str">
        <f>IF($A32&lt;&gt;0,VLOOKUP($A32,'0.Productos'!$A$3:$GG$587,'0.Productos'!CI$1+1,0),"")</f>
        <v/>
      </c>
      <c r="AR32" s="133" t="str">
        <f>IF($A32&lt;&gt;0,VLOOKUP($A32,'0.Productos'!$A$3:$GG$587,'0.Productos'!CJ$1+1,0),"")</f>
        <v/>
      </c>
      <c r="AS32" s="133" t="str">
        <f>IF($A32&lt;&gt;0,VLOOKUP($A32,'0.Productos'!$A$3:$GG$587,'0.Productos'!CK$1+1,0),"")</f>
        <v/>
      </c>
      <c r="AT32" s="133" t="str">
        <f>IF($A32&lt;&gt;0,VLOOKUP($A32,'0.Productos'!$A$3:$GG$587,'0.Productos'!CL$1+1,0),"")</f>
        <v/>
      </c>
      <c r="AU32" s="133" t="str">
        <f>IF($A32&lt;&gt;0,VLOOKUP($A32,'0.Productos'!$A$3:$GG$587,'0.Productos'!CM$1+1,0),"")</f>
        <v/>
      </c>
      <c r="AV32" s="133" t="str">
        <f>IF($A32&lt;&gt;0,VLOOKUP($A32,'0.Productos'!$A$3:$GG$587,'0.Productos'!CN$1+1,0),"")</f>
        <v/>
      </c>
      <c r="AW32" s="133" t="str">
        <f>IF($A32&lt;&gt;0,VLOOKUP($A32,'0.Productos'!$A$3:$GG$587,'0.Productos'!CO$1+1,0),"")</f>
        <v/>
      </c>
      <c r="AX32" s="133" t="str">
        <f>IF($A32&lt;&gt;0,VLOOKUP($A32,'0.Productos'!$A$3:$GG$587,'0.Productos'!CP$1+1,0),"")</f>
        <v/>
      </c>
      <c r="AY32" s="133" t="str">
        <f>IF($A32&lt;&gt;0,VLOOKUP($A32,'0.Productos'!$A$3:$GG$587,'0.Productos'!CQ$1+1,0),"")</f>
        <v/>
      </c>
      <c r="AZ32" s="133" t="str">
        <f>IF($A32&lt;&gt;0,VLOOKUP($A32,'0.Productos'!$A$3:$GG$587,'0.Productos'!CR$1+1,0),"")</f>
        <v/>
      </c>
      <c r="BA32" s="133" t="str">
        <f>IF($A32&lt;&gt;0,VLOOKUP($A32,'0.Productos'!$A$3:$GG$587,'0.Productos'!CS$1+1,0),"")</f>
        <v/>
      </c>
      <c r="BB32" s="133" t="str">
        <f>IF($A32&lt;&gt;0,VLOOKUP($A32,'0.Productos'!$A$3:$GG$587,'0.Productos'!CT$1+1,0),"")</f>
        <v/>
      </c>
      <c r="BC32" s="133" t="str">
        <f>IF($A32&lt;&gt;0,VLOOKUP($A32,'0.Productos'!$A$3:$GG$587,'0.Productos'!CU$1+1,0),"")</f>
        <v/>
      </c>
      <c r="BD32" s="133" t="str">
        <f>IF($A32&lt;&gt;0,VLOOKUP($A32,'0.Productos'!$A$3:$GG$587,'0.Productos'!CV$1+1,0),"")</f>
        <v/>
      </c>
      <c r="BE32" s="133" t="str">
        <f>IF($A32&lt;&gt;0,VLOOKUP($A32,'0.Productos'!$A$3:$GG$587,'0.Productos'!CW$1+1,0),"")</f>
        <v/>
      </c>
      <c r="BF32" s="133" t="str">
        <f>IF($A32&lt;&gt;0,VLOOKUP($A32,'0.Productos'!$A$3:$GG$587,'0.Productos'!CX$1+1,0),"")</f>
        <v/>
      </c>
      <c r="BG32" s="133" t="str">
        <f>IF($A32&lt;&gt;0,VLOOKUP($A32,'0.Productos'!$A$3:$GG$587,'0.Productos'!CY$1+1,0),"")</f>
        <v/>
      </c>
      <c r="BH32" s="133" t="str">
        <f>IF($A32&lt;&gt;0,VLOOKUP($A32,'0.Productos'!$A$3:$GG$587,'0.Productos'!CZ$1+1,0),"")</f>
        <v/>
      </c>
      <c r="BI32" s="133" t="str">
        <f>IF($A32&lt;&gt;0,VLOOKUP($A32,'0.Productos'!$A$3:$GG$587,'0.Productos'!DA$1+1,0),"")</f>
        <v/>
      </c>
      <c r="BJ32" s="133" t="str">
        <f>IF($A32&lt;&gt;0,VLOOKUP($A32,'0.Productos'!$A$3:$GG$587,'0.Productos'!DB$1+1,0),"")</f>
        <v/>
      </c>
      <c r="BK32" s="133" t="str">
        <f>IF($A32&lt;&gt;0,VLOOKUP($A32,'0.Productos'!$A$3:$GG$587,'0.Productos'!DC$1+1,0),"")</f>
        <v/>
      </c>
      <c r="BL32" s="133" t="str">
        <f>IF($A32&lt;&gt;0,VLOOKUP($A32,'0.Productos'!$A$3:$GG$587,'0.Productos'!DD$1+1,0),"")</f>
        <v/>
      </c>
      <c r="BM32" s="133" t="str">
        <f>IF($A32&lt;&gt;0,VLOOKUP($A32,'0.Productos'!$A$3:$GG$587,'0.Productos'!DE$1+1,0),"")</f>
        <v/>
      </c>
      <c r="BN32" s="133" t="str">
        <f>IF($A32&lt;&gt;0,VLOOKUP($A32,'0.Productos'!$A$3:$GG$587,'0.Productos'!DF$1+1,0),"")</f>
        <v/>
      </c>
      <c r="BO32" s="133" t="str">
        <f>IF($A32&lt;&gt;0,VLOOKUP($A32,'0.Productos'!$A$3:$GG$587,'0.Productos'!DG$1+1,0),"")</f>
        <v/>
      </c>
      <c r="BP32" s="133" t="str">
        <f>IF($A32&lt;&gt;0,VLOOKUP($A32,'0.Productos'!$A$3:$GG$587,'0.Productos'!DH$1+1,0),"")</f>
        <v/>
      </c>
      <c r="BQ32" s="133" t="str">
        <f>IF($A32&lt;&gt;0,VLOOKUP($A32,'0.Productos'!$A$3:$GG$587,'0.Productos'!DI$1+1,0),"")</f>
        <v/>
      </c>
      <c r="BR32" s="133" t="str">
        <f>IF($A32&lt;&gt;0,VLOOKUP($A32,'0.Productos'!$A$3:$GG$587,'0.Productos'!DJ$1+1,0),"")</f>
        <v/>
      </c>
      <c r="BS32" s="133" t="str">
        <f>IF($A32&lt;&gt;0,VLOOKUP($A32,'0.Productos'!$A$3:$GG$587,'0.Productos'!DK$1+1,0),"")</f>
        <v/>
      </c>
      <c r="BT32" s="133" t="str">
        <f>IF($A32&lt;&gt;0,VLOOKUP($A32,'0.Productos'!$A$3:$GG$587,'0.Productos'!DL$1+1,0),"")</f>
        <v/>
      </c>
    </row>
    <row r="33" spans="1:72" x14ac:dyDescent="0.25">
      <c r="A33" s="17">
        <f>'0.Consolidado general'!A33</f>
        <v>0</v>
      </c>
      <c r="B33" s="133" t="str">
        <f>IF($A33&lt;&gt;0,VLOOKUP($A33,'0.Productos'!$A$3:$GG$587,'0.Productos'!AT$1+1,0),"")</f>
        <v/>
      </c>
      <c r="C33" s="133" t="str">
        <f>IF($A33&lt;&gt;0,VLOOKUP($A33,'0.Productos'!$A$3:$GG$587,'0.Productos'!AU$1+1,0),"")</f>
        <v/>
      </c>
      <c r="D33" s="133" t="str">
        <f>IF($A33&lt;&gt;0,VLOOKUP($A33,'0.Productos'!$A$3:$GG$587,'0.Productos'!AV$1+1,0),"")</f>
        <v/>
      </c>
      <c r="E33" s="133" t="str">
        <f>IF($A33&lt;&gt;0,VLOOKUP($A33,'0.Productos'!$A$3:$GG$587,'0.Productos'!AW$1+1,0),"")</f>
        <v/>
      </c>
      <c r="F33" s="133" t="str">
        <f>IF($A33&lt;&gt;0,VLOOKUP($A33,'0.Productos'!$A$3:$GG$587,'0.Productos'!AX$1+1,0),"")</f>
        <v/>
      </c>
      <c r="G33" s="133" t="str">
        <f>IF($A33&lt;&gt;0,VLOOKUP($A33,'0.Productos'!$A$3:$GG$587,'0.Productos'!AY$1+1,0),"")</f>
        <v/>
      </c>
      <c r="H33" s="133" t="str">
        <f>IF($A33&lt;&gt;0,VLOOKUP($A33,'0.Productos'!$A$3:$GG$587,'0.Productos'!AZ$1+1,0),"")</f>
        <v/>
      </c>
      <c r="I33" s="133" t="str">
        <f>IF($A33&lt;&gt;0,VLOOKUP($A33,'0.Productos'!$A$3:$GG$587,'0.Productos'!BA$1+1,0),"")</f>
        <v/>
      </c>
      <c r="J33" s="133" t="str">
        <f>IF($A33&lt;&gt;0,VLOOKUP($A33,'0.Productos'!$A$3:$GG$587,'0.Productos'!BB$1+1,0),"")</f>
        <v/>
      </c>
      <c r="K33" s="133" t="str">
        <f>IF($A33&lt;&gt;0,VLOOKUP($A33,'0.Productos'!$A$3:$GG$587,'0.Productos'!BC$1+1,0),"")</f>
        <v/>
      </c>
      <c r="L33" s="133" t="str">
        <f>IF($A33&lt;&gt;0,VLOOKUP($A33,'0.Productos'!$A$3:$GG$587,'0.Productos'!BD$1+1,0),"")</f>
        <v/>
      </c>
      <c r="M33" s="133" t="str">
        <f>IF($A33&lt;&gt;0,VLOOKUP($A33,'0.Productos'!$A$3:$GG$587,'0.Productos'!BE$1+1,0),"")</f>
        <v/>
      </c>
      <c r="N33" s="133" t="str">
        <f>IF($A33&lt;&gt;0,VLOOKUP($A33,'0.Productos'!$A$3:$GG$587,'0.Productos'!BF$1+1,0),"")</f>
        <v/>
      </c>
      <c r="O33" s="133" t="str">
        <f>IF($A33&lt;&gt;0,VLOOKUP($A33,'0.Productos'!$A$3:$GG$587,'0.Productos'!BG$1+1,0),"")</f>
        <v/>
      </c>
      <c r="P33" s="133" t="str">
        <f>IF($A33&lt;&gt;0,VLOOKUP($A33,'0.Productos'!$A$3:$GG$587,'0.Productos'!BH$1+1,0),"")</f>
        <v/>
      </c>
      <c r="Q33" s="133" t="str">
        <f>IF($A33&lt;&gt;0,VLOOKUP($A33,'0.Productos'!$A$3:$GG$587,'0.Productos'!BI$1+1,0),"")</f>
        <v/>
      </c>
      <c r="R33" s="133" t="str">
        <f>IF($A33&lt;&gt;0,VLOOKUP($A33,'0.Productos'!$A$3:$GG$587,'0.Productos'!BJ$1+1,0),"")</f>
        <v/>
      </c>
      <c r="S33" s="133" t="str">
        <f>IF($A33&lt;&gt;0,VLOOKUP($A33,'0.Productos'!$A$3:$GG$587,'0.Productos'!BK$1+1,0),"")</f>
        <v/>
      </c>
      <c r="T33" s="133" t="str">
        <f>IF($A33&lt;&gt;0,VLOOKUP($A33,'0.Productos'!$A$3:$GG$587,'0.Productos'!BL$1+1,0),"")</f>
        <v/>
      </c>
      <c r="U33" s="133" t="str">
        <f>IF($A33&lt;&gt;0,VLOOKUP($A33,'0.Productos'!$A$3:$GG$587,'0.Productos'!BM$1+1,0),"")</f>
        <v/>
      </c>
      <c r="V33" s="133" t="str">
        <f>IF($A33&lt;&gt;0,VLOOKUP($A33,'0.Productos'!$A$3:$GG$587,'0.Productos'!BN$1+1,0),"")</f>
        <v/>
      </c>
      <c r="W33" s="133" t="str">
        <f>IF($A33&lt;&gt;0,VLOOKUP($A33,'0.Productos'!$A$3:$GG$587,'0.Productos'!BO$1+1,0),"")</f>
        <v/>
      </c>
      <c r="X33" s="133" t="str">
        <f>IF($A33&lt;&gt;0,VLOOKUP($A33,'0.Productos'!$A$3:$GG$587,'0.Productos'!BP$1+1,0),"")</f>
        <v/>
      </c>
      <c r="Y33" s="133" t="str">
        <f>IF($A33&lt;&gt;0,VLOOKUP($A33,'0.Productos'!$A$3:$GG$587,'0.Productos'!BQ$1+1,0),"")</f>
        <v/>
      </c>
      <c r="Z33" s="133" t="str">
        <f>IF($A33&lt;&gt;0,VLOOKUP($A33,'0.Productos'!$A$3:$GG$587,'0.Productos'!BR$1+1,0),"")</f>
        <v/>
      </c>
      <c r="AA33" s="133" t="str">
        <f>IF($A33&lt;&gt;0,VLOOKUP($A33,'0.Productos'!$A$3:$GG$587,'0.Productos'!BS$1+1,0),"")</f>
        <v/>
      </c>
      <c r="AB33" s="133" t="str">
        <f>IF($A33&lt;&gt;0,VLOOKUP($A33,'0.Productos'!$A$3:$GG$587,'0.Productos'!BT$1+1,0),"")</f>
        <v/>
      </c>
      <c r="AC33" s="133" t="str">
        <f>IF($A33&lt;&gt;0,VLOOKUP($A33,'0.Productos'!$A$3:$GG$587,'0.Productos'!BU$1+1,0),"")</f>
        <v/>
      </c>
      <c r="AD33" s="133" t="str">
        <f>IF($A33&lt;&gt;0,VLOOKUP($A33,'0.Productos'!$A$3:$GG$587,'0.Productos'!BV$1+1,0),"")</f>
        <v/>
      </c>
      <c r="AE33" s="133" t="str">
        <f>IF($A33&lt;&gt;0,VLOOKUP($A33,'0.Productos'!$A$3:$GG$587,'0.Productos'!BW$1+1,0),"")</f>
        <v/>
      </c>
      <c r="AF33" s="133" t="str">
        <f>IF($A33&lt;&gt;0,VLOOKUP($A33,'0.Productos'!$A$3:$GG$587,'0.Productos'!BX$1+1,0),"")</f>
        <v/>
      </c>
      <c r="AG33" s="133" t="str">
        <f>IF($A33&lt;&gt;0,VLOOKUP($A33,'0.Productos'!$A$3:$GG$587,'0.Productos'!BY$1+1,0),"")</f>
        <v/>
      </c>
      <c r="AH33" s="133" t="str">
        <f>IF($A33&lt;&gt;0,VLOOKUP($A33,'0.Productos'!$A$3:$GG$587,'0.Productos'!BZ$1+1,0),"")</f>
        <v/>
      </c>
      <c r="AI33" s="133" t="str">
        <f>IF($A33&lt;&gt;0,VLOOKUP($A33,'0.Productos'!$A$3:$GG$587,'0.Productos'!CA$1+1,0),"")</f>
        <v/>
      </c>
      <c r="AJ33" s="133" t="str">
        <f>IF($A33&lt;&gt;0,VLOOKUP($A33,'0.Productos'!$A$3:$GG$587,'0.Productos'!CB$1+1,0),"")</f>
        <v/>
      </c>
      <c r="AK33" s="133" t="str">
        <f>IF($A33&lt;&gt;0,VLOOKUP($A33,'0.Productos'!$A$3:$GG$587,'0.Productos'!CC$1+1,0),"")</f>
        <v/>
      </c>
      <c r="AL33" s="133" t="str">
        <f>IF($A33&lt;&gt;0,VLOOKUP($A33,'0.Productos'!$A$3:$GG$587,'0.Productos'!CD$1+1,0),"")</f>
        <v/>
      </c>
      <c r="AM33" s="133" t="str">
        <f>IF($A33&lt;&gt;0,VLOOKUP($A33,'0.Productos'!$A$3:$GG$587,'0.Productos'!CE$1+1,0),"")</f>
        <v/>
      </c>
      <c r="AN33" s="133" t="str">
        <f>IF($A33&lt;&gt;0,VLOOKUP($A33,'0.Productos'!$A$3:$GG$587,'0.Productos'!CF$1+1,0),"")</f>
        <v/>
      </c>
      <c r="AO33" s="133" t="str">
        <f>IF($A33&lt;&gt;0,VLOOKUP($A33,'0.Productos'!$A$3:$GG$587,'0.Productos'!CG$1+1,0),"")</f>
        <v/>
      </c>
      <c r="AP33" s="133" t="str">
        <f>IF($A33&lt;&gt;0,VLOOKUP($A33,'0.Productos'!$A$3:$GG$587,'0.Productos'!CH$1+1,0),"")</f>
        <v/>
      </c>
      <c r="AQ33" s="133" t="str">
        <f>IF($A33&lt;&gt;0,VLOOKUP($A33,'0.Productos'!$A$3:$GG$587,'0.Productos'!CI$1+1,0),"")</f>
        <v/>
      </c>
      <c r="AR33" s="133" t="str">
        <f>IF($A33&lt;&gt;0,VLOOKUP($A33,'0.Productos'!$A$3:$GG$587,'0.Productos'!CJ$1+1,0),"")</f>
        <v/>
      </c>
      <c r="AS33" s="133" t="str">
        <f>IF($A33&lt;&gt;0,VLOOKUP($A33,'0.Productos'!$A$3:$GG$587,'0.Productos'!CK$1+1,0),"")</f>
        <v/>
      </c>
      <c r="AT33" s="133" t="str">
        <f>IF($A33&lt;&gt;0,VLOOKUP($A33,'0.Productos'!$A$3:$GG$587,'0.Productos'!CL$1+1,0),"")</f>
        <v/>
      </c>
      <c r="AU33" s="133" t="str">
        <f>IF($A33&lt;&gt;0,VLOOKUP($A33,'0.Productos'!$A$3:$GG$587,'0.Productos'!CM$1+1,0),"")</f>
        <v/>
      </c>
      <c r="AV33" s="133" t="str">
        <f>IF($A33&lt;&gt;0,VLOOKUP($A33,'0.Productos'!$A$3:$GG$587,'0.Productos'!CN$1+1,0),"")</f>
        <v/>
      </c>
      <c r="AW33" s="133" t="str">
        <f>IF($A33&lt;&gt;0,VLOOKUP($A33,'0.Productos'!$A$3:$GG$587,'0.Productos'!CO$1+1,0),"")</f>
        <v/>
      </c>
      <c r="AX33" s="133" t="str">
        <f>IF($A33&lt;&gt;0,VLOOKUP($A33,'0.Productos'!$A$3:$GG$587,'0.Productos'!CP$1+1,0),"")</f>
        <v/>
      </c>
      <c r="AY33" s="133" t="str">
        <f>IF($A33&lt;&gt;0,VLOOKUP($A33,'0.Productos'!$A$3:$GG$587,'0.Productos'!CQ$1+1,0),"")</f>
        <v/>
      </c>
      <c r="AZ33" s="133" t="str">
        <f>IF($A33&lt;&gt;0,VLOOKUP($A33,'0.Productos'!$A$3:$GG$587,'0.Productos'!CR$1+1,0),"")</f>
        <v/>
      </c>
      <c r="BA33" s="133" t="str">
        <f>IF($A33&lt;&gt;0,VLOOKUP($A33,'0.Productos'!$A$3:$GG$587,'0.Productos'!CS$1+1,0),"")</f>
        <v/>
      </c>
      <c r="BB33" s="133" t="str">
        <f>IF($A33&lt;&gt;0,VLOOKUP($A33,'0.Productos'!$A$3:$GG$587,'0.Productos'!CT$1+1,0),"")</f>
        <v/>
      </c>
      <c r="BC33" s="133" t="str">
        <f>IF($A33&lt;&gt;0,VLOOKUP($A33,'0.Productos'!$A$3:$GG$587,'0.Productos'!CU$1+1,0),"")</f>
        <v/>
      </c>
      <c r="BD33" s="133" t="str">
        <f>IF($A33&lt;&gt;0,VLOOKUP($A33,'0.Productos'!$A$3:$GG$587,'0.Productos'!CV$1+1,0),"")</f>
        <v/>
      </c>
      <c r="BE33" s="133" t="str">
        <f>IF($A33&lt;&gt;0,VLOOKUP($A33,'0.Productos'!$A$3:$GG$587,'0.Productos'!CW$1+1,0),"")</f>
        <v/>
      </c>
      <c r="BF33" s="133" t="str">
        <f>IF($A33&lt;&gt;0,VLOOKUP($A33,'0.Productos'!$A$3:$GG$587,'0.Productos'!CX$1+1,0),"")</f>
        <v/>
      </c>
      <c r="BG33" s="133" t="str">
        <f>IF($A33&lt;&gt;0,VLOOKUP($A33,'0.Productos'!$A$3:$GG$587,'0.Productos'!CY$1+1,0),"")</f>
        <v/>
      </c>
      <c r="BH33" s="133" t="str">
        <f>IF($A33&lt;&gt;0,VLOOKUP($A33,'0.Productos'!$A$3:$GG$587,'0.Productos'!CZ$1+1,0),"")</f>
        <v/>
      </c>
      <c r="BI33" s="133" t="str">
        <f>IF($A33&lt;&gt;0,VLOOKUP($A33,'0.Productos'!$A$3:$GG$587,'0.Productos'!DA$1+1,0),"")</f>
        <v/>
      </c>
      <c r="BJ33" s="133" t="str">
        <f>IF($A33&lt;&gt;0,VLOOKUP($A33,'0.Productos'!$A$3:$GG$587,'0.Productos'!DB$1+1,0),"")</f>
        <v/>
      </c>
      <c r="BK33" s="133" t="str">
        <f>IF($A33&lt;&gt;0,VLOOKUP($A33,'0.Productos'!$A$3:$GG$587,'0.Productos'!DC$1+1,0),"")</f>
        <v/>
      </c>
      <c r="BL33" s="133" t="str">
        <f>IF($A33&lt;&gt;0,VLOOKUP($A33,'0.Productos'!$A$3:$GG$587,'0.Productos'!DD$1+1,0),"")</f>
        <v/>
      </c>
      <c r="BM33" s="133" t="str">
        <f>IF($A33&lt;&gt;0,VLOOKUP($A33,'0.Productos'!$A$3:$GG$587,'0.Productos'!DE$1+1,0),"")</f>
        <v/>
      </c>
      <c r="BN33" s="133" t="str">
        <f>IF($A33&lt;&gt;0,VLOOKUP($A33,'0.Productos'!$A$3:$GG$587,'0.Productos'!DF$1+1,0),"")</f>
        <v/>
      </c>
      <c r="BO33" s="133" t="str">
        <f>IF($A33&lt;&gt;0,VLOOKUP($A33,'0.Productos'!$A$3:$GG$587,'0.Productos'!DG$1+1,0),"")</f>
        <v/>
      </c>
      <c r="BP33" s="133" t="str">
        <f>IF($A33&lt;&gt;0,VLOOKUP($A33,'0.Productos'!$A$3:$GG$587,'0.Productos'!DH$1+1,0),"")</f>
        <v/>
      </c>
      <c r="BQ33" s="133" t="str">
        <f>IF($A33&lt;&gt;0,VLOOKUP($A33,'0.Productos'!$A$3:$GG$587,'0.Productos'!DI$1+1,0),"")</f>
        <v/>
      </c>
      <c r="BR33" s="133" t="str">
        <f>IF($A33&lt;&gt;0,VLOOKUP($A33,'0.Productos'!$A$3:$GG$587,'0.Productos'!DJ$1+1,0),"")</f>
        <v/>
      </c>
      <c r="BS33" s="133" t="str">
        <f>IF($A33&lt;&gt;0,VLOOKUP($A33,'0.Productos'!$A$3:$GG$587,'0.Productos'!DK$1+1,0),"")</f>
        <v/>
      </c>
      <c r="BT33" s="133" t="str">
        <f>IF($A33&lt;&gt;0,VLOOKUP($A33,'0.Productos'!$A$3:$GG$587,'0.Productos'!DL$1+1,0),"")</f>
        <v/>
      </c>
    </row>
    <row r="34" spans="1:72" x14ac:dyDescent="0.25">
      <c r="A34" s="17">
        <f>'0.Consolidado general'!A34</f>
        <v>0</v>
      </c>
      <c r="B34" s="133" t="str">
        <f>IF($A34&lt;&gt;0,VLOOKUP($A34,'0.Productos'!$A$3:$GG$587,'0.Productos'!AT$1+1,0),"")</f>
        <v/>
      </c>
      <c r="C34" s="133" t="str">
        <f>IF($A34&lt;&gt;0,VLOOKUP($A34,'0.Productos'!$A$3:$GG$587,'0.Productos'!AU$1+1,0),"")</f>
        <v/>
      </c>
      <c r="D34" s="133" t="str">
        <f>IF($A34&lt;&gt;0,VLOOKUP($A34,'0.Productos'!$A$3:$GG$587,'0.Productos'!AV$1+1,0),"")</f>
        <v/>
      </c>
      <c r="E34" s="133" t="str">
        <f>IF($A34&lt;&gt;0,VLOOKUP($A34,'0.Productos'!$A$3:$GG$587,'0.Productos'!AW$1+1,0),"")</f>
        <v/>
      </c>
      <c r="F34" s="133" t="str">
        <f>IF($A34&lt;&gt;0,VLOOKUP($A34,'0.Productos'!$A$3:$GG$587,'0.Productos'!AX$1+1,0),"")</f>
        <v/>
      </c>
      <c r="G34" s="133" t="str">
        <f>IF($A34&lt;&gt;0,VLOOKUP($A34,'0.Productos'!$A$3:$GG$587,'0.Productos'!AY$1+1,0),"")</f>
        <v/>
      </c>
      <c r="H34" s="133" t="str">
        <f>IF($A34&lt;&gt;0,VLOOKUP($A34,'0.Productos'!$A$3:$GG$587,'0.Productos'!AZ$1+1,0),"")</f>
        <v/>
      </c>
      <c r="I34" s="133" t="str">
        <f>IF($A34&lt;&gt;0,VLOOKUP($A34,'0.Productos'!$A$3:$GG$587,'0.Productos'!BA$1+1,0),"")</f>
        <v/>
      </c>
      <c r="J34" s="133" t="str">
        <f>IF($A34&lt;&gt;0,VLOOKUP($A34,'0.Productos'!$A$3:$GG$587,'0.Productos'!BB$1+1,0),"")</f>
        <v/>
      </c>
      <c r="K34" s="133" t="str">
        <f>IF($A34&lt;&gt;0,VLOOKUP($A34,'0.Productos'!$A$3:$GG$587,'0.Productos'!BC$1+1,0),"")</f>
        <v/>
      </c>
      <c r="L34" s="133" t="str">
        <f>IF($A34&lt;&gt;0,VLOOKUP($A34,'0.Productos'!$A$3:$GG$587,'0.Productos'!BD$1+1,0),"")</f>
        <v/>
      </c>
      <c r="M34" s="133" t="str">
        <f>IF($A34&lt;&gt;0,VLOOKUP($A34,'0.Productos'!$A$3:$GG$587,'0.Productos'!BE$1+1,0),"")</f>
        <v/>
      </c>
      <c r="N34" s="133" t="str">
        <f>IF($A34&lt;&gt;0,VLOOKUP($A34,'0.Productos'!$A$3:$GG$587,'0.Productos'!BF$1+1,0),"")</f>
        <v/>
      </c>
      <c r="O34" s="133" t="str">
        <f>IF($A34&lt;&gt;0,VLOOKUP($A34,'0.Productos'!$A$3:$GG$587,'0.Productos'!BG$1+1,0),"")</f>
        <v/>
      </c>
      <c r="P34" s="133" t="str">
        <f>IF($A34&lt;&gt;0,VLOOKUP($A34,'0.Productos'!$A$3:$GG$587,'0.Productos'!BH$1+1,0),"")</f>
        <v/>
      </c>
      <c r="Q34" s="133" t="str">
        <f>IF($A34&lt;&gt;0,VLOOKUP($A34,'0.Productos'!$A$3:$GG$587,'0.Productos'!BI$1+1,0),"")</f>
        <v/>
      </c>
      <c r="R34" s="133" t="str">
        <f>IF($A34&lt;&gt;0,VLOOKUP($A34,'0.Productos'!$A$3:$GG$587,'0.Productos'!BJ$1+1,0),"")</f>
        <v/>
      </c>
      <c r="S34" s="133" t="str">
        <f>IF($A34&lt;&gt;0,VLOOKUP($A34,'0.Productos'!$A$3:$GG$587,'0.Productos'!BK$1+1,0),"")</f>
        <v/>
      </c>
      <c r="T34" s="133" t="str">
        <f>IF($A34&lt;&gt;0,VLOOKUP($A34,'0.Productos'!$A$3:$GG$587,'0.Productos'!BL$1+1,0),"")</f>
        <v/>
      </c>
      <c r="U34" s="133" t="str">
        <f>IF($A34&lt;&gt;0,VLOOKUP($A34,'0.Productos'!$A$3:$GG$587,'0.Productos'!BM$1+1,0),"")</f>
        <v/>
      </c>
      <c r="V34" s="133" t="str">
        <f>IF($A34&lt;&gt;0,VLOOKUP($A34,'0.Productos'!$A$3:$GG$587,'0.Productos'!BN$1+1,0),"")</f>
        <v/>
      </c>
      <c r="W34" s="133" t="str">
        <f>IF($A34&lt;&gt;0,VLOOKUP($A34,'0.Productos'!$A$3:$GG$587,'0.Productos'!BO$1+1,0),"")</f>
        <v/>
      </c>
      <c r="X34" s="133" t="str">
        <f>IF($A34&lt;&gt;0,VLOOKUP($A34,'0.Productos'!$A$3:$GG$587,'0.Productos'!BP$1+1,0),"")</f>
        <v/>
      </c>
      <c r="Y34" s="133" t="str">
        <f>IF($A34&lt;&gt;0,VLOOKUP($A34,'0.Productos'!$A$3:$GG$587,'0.Productos'!BQ$1+1,0),"")</f>
        <v/>
      </c>
      <c r="Z34" s="133" t="str">
        <f>IF($A34&lt;&gt;0,VLOOKUP($A34,'0.Productos'!$A$3:$GG$587,'0.Productos'!BR$1+1,0),"")</f>
        <v/>
      </c>
      <c r="AA34" s="133" t="str">
        <f>IF($A34&lt;&gt;0,VLOOKUP($A34,'0.Productos'!$A$3:$GG$587,'0.Productos'!BS$1+1,0),"")</f>
        <v/>
      </c>
      <c r="AB34" s="133" t="str">
        <f>IF($A34&lt;&gt;0,VLOOKUP($A34,'0.Productos'!$A$3:$GG$587,'0.Productos'!BT$1+1,0),"")</f>
        <v/>
      </c>
      <c r="AC34" s="133" t="str">
        <f>IF($A34&lt;&gt;0,VLOOKUP($A34,'0.Productos'!$A$3:$GG$587,'0.Productos'!BU$1+1,0),"")</f>
        <v/>
      </c>
      <c r="AD34" s="133" t="str">
        <f>IF($A34&lt;&gt;0,VLOOKUP($A34,'0.Productos'!$A$3:$GG$587,'0.Productos'!BV$1+1,0),"")</f>
        <v/>
      </c>
      <c r="AE34" s="133" t="str">
        <f>IF($A34&lt;&gt;0,VLOOKUP($A34,'0.Productos'!$A$3:$GG$587,'0.Productos'!BW$1+1,0),"")</f>
        <v/>
      </c>
      <c r="AF34" s="133" t="str">
        <f>IF($A34&lt;&gt;0,VLOOKUP($A34,'0.Productos'!$A$3:$GG$587,'0.Productos'!BX$1+1,0),"")</f>
        <v/>
      </c>
      <c r="AG34" s="133" t="str">
        <f>IF($A34&lt;&gt;0,VLOOKUP($A34,'0.Productos'!$A$3:$GG$587,'0.Productos'!BY$1+1,0),"")</f>
        <v/>
      </c>
      <c r="AH34" s="133" t="str">
        <f>IF($A34&lt;&gt;0,VLOOKUP($A34,'0.Productos'!$A$3:$GG$587,'0.Productos'!BZ$1+1,0),"")</f>
        <v/>
      </c>
      <c r="AI34" s="133" t="str">
        <f>IF($A34&lt;&gt;0,VLOOKUP($A34,'0.Productos'!$A$3:$GG$587,'0.Productos'!CA$1+1,0),"")</f>
        <v/>
      </c>
      <c r="AJ34" s="133" t="str">
        <f>IF($A34&lt;&gt;0,VLOOKUP($A34,'0.Productos'!$A$3:$GG$587,'0.Productos'!CB$1+1,0),"")</f>
        <v/>
      </c>
      <c r="AK34" s="133" t="str">
        <f>IF($A34&lt;&gt;0,VLOOKUP($A34,'0.Productos'!$A$3:$GG$587,'0.Productos'!CC$1+1,0),"")</f>
        <v/>
      </c>
      <c r="AL34" s="133" t="str">
        <f>IF($A34&lt;&gt;0,VLOOKUP($A34,'0.Productos'!$A$3:$GG$587,'0.Productos'!CD$1+1,0),"")</f>
        <v/>
      </c>
      <c r="AM34" s="133" t="str">
        <f>IF($A34&lt;&gt;0,VLOOKUP($A34,'0.Productos'!$A$3:$GG$587,'0.Productos'!CE$1+1,0),"")</f>
        <v/>
      </c>
      <c r="AN34" s="133" t="str">
        <f>IF($A34&lt;&gt;0,VLOOKUP($A34,'0.Productos'!$A$3:$GG$587,'0.Productos'!CF$1+1,0),"")</f>
        <v/>
      </c>
      <c r="AO34" s="133" t="str">
        <f>IF($A34&lt;&gt;0,VLOOKUP($A34,'0.Productos'!$A$3:$GG$587,'0.Productos'!CG$1+1,0),"")</f>
        <v/>
      </c>
      <c r="AP34" s="133" t="str">
        <f>IF($A34&lt;&gt;0,VLOOKUP($A34,'0.Productos'!$A$3:$GG$587,'0.Productos'!CH$1+1,0),"")</f>
        <v/>
      </c>
      <c r="AQ34" s="133" t="str">
        <f>IF($A34&lt;&gt;0,VLOOKUP($A34,'0.Productos'!$A$3:$GG$587,'0.Productos'!CI$1+1,0),"")</f>
        <v/>
      </c>
      <c r="AR34" s="133" t="str">
        <f>IF($A34&lt;&gt;0,VLOOKUP($A34,'0.Productos'!$A$3:$GG$587,'0.Productos'!CJ$1+1,0),"")</f>
        <v/>
      </c>
      <c r="AS34" s="133" t="str">
        <f>IF($A34&lt;&gt;0,VLOOKUP($A34,'0.Productos'!$A$3:$GG$587,'0.Productos'!CK$1+1,0),"")</f>
        <v/>
      </c>
      <c r="AT34" s="133" t="str">
        <f>IF($A34&lt;&gt;0,VLOOKUP($A34,'0.Productos'!$A$3:$GG$587,'0.Productos'!CL$1+1,0),"")</f>
        <v/>
      </c>
      <c r="AU34" s="133" t="str">
        <f>IF($A34&lt;&gt;0,VLOOKUP($A34,'0.Productos'!$A$3:$GG$587,'0.Productos'!CM$1+1,0),"")</f>
        <v/>
      </c>
      <c r="AV34" s="133" t="str">
        <f>IF($A34&lt;&gt;0,VLOOKUP($A34,'0.Productos'!$A$3:$GG$587,'0.Productos'!CN$1+1,0),"")</f>
        <v/>
      </c>
      <c r="AW34" s="133" t="str">
        <f>IF($A34&lt;&gt;0,VLOOKUP($A34,'0.Productos'!$A$3:$GG$587,'0.Productos'!CO$1+1,0),"")</f>
        <v/>
      </c>
      <c r="AX34" s="133" t="str">
        <f>IF($A34&lt;&gt;0,VLOOKUP($A34,'0.Productos'!$A$3:$GG$587,'0.Productos'!CP$1+1,0),"")</f>
        <v/>
      </c>
      <c r="AY34" s="133" t="str">
        <f>IF($A34&lt;&gt;0,VLOOKUP($A34,'0.Productos'!$A$3:$GG$587,'0.Productos'!CQ$1+1,0),"")</f>
        <v/>
      </c>
      <c r="AZ34" s="133" t="str">
        <f>IF($A34&lt;&gt;0,VLOOKUP($A34,'0.Productos'!$A$3:$GG$587,'0.Productos'!CR$1+1,0),"")</f>
        <v/>
      </c>
      <c r="BA34" s="133" t="str">
        <f>IF($A34&lt;&gt;0,VLOOKUP($A34,'0.Productos'!$A$3:$GG$587,'0.Productos'!CS$1+1,0),"")</f>
        <v/>
      </c>
      <c r="BB34" s="133" t="str">
        <f>IF($A34&lt;&gt;0,VLOOKUP($A34,'0.Productos'!$A$3:$GG$587,'0.Productos'!CT$1+1,0),"")</f>
        <v/>
      </c>
      <c r="BC34" s="133" t="str">
        <f>IF($A34&lt;&gt;0,VLOOKUP($A34,'0.Productos'!$A$3:$GG$587,'0.Productos'!CU$1+1,0),"")</f>
        <v/>
      </c>
      <c r="BD34" s="133" t="str">
        <f>IF($A34&lt;&gt;0,VLOOKUP($A34,'0.Productos'!$A$3:$GG$587,'0.Productos'!CV$1+1,0),"")</f>
        <v/>
      </c>
      <c r="BE34" s="133" t="str">
        <f>IF($A34&lt;&gt;0,VLOOKUP($A34,'0.Productos'!$A$3:$GG$587,'0.Productos'!CW$1+1,0),"")</f>
        <v/>
      </c>
      <c r="BF34" s="133" t="str">
        <f>IF($A34&lt;&gt;0,VLOOKUP($A34,'0.Productos'!$A$3:$GG$587,'0.Productos'!CX$1+1,0),"")</f>
        <v/>
      </c>
      <c r="BG34" s="133" t="str">
        <f>IF($A34&lt;&gt;0,VLOOKUP($A34,'0.Productos'!$A$3:$GG$587,'0.Productos'!CY$1+1,0),"")</f>
        <v/>
      </c>
      <c r="BH34" s="133" t="str">
        <f>IF($A34&lt;&gt;0,VLOOKUP($A34,'0.Productos'!$A$3:$GG$587,'0.Productos'!CZ$1+1,0),"")</f>
        <v/>
      </c>
      <c r="BI34" s="133" t="str">
        <f>IF($A34&lt;&gt;0,VLOOKUP($A34,'0.Productos'!$A$3:$GG$587,'0.Productos'!DA$1+1,0),"")</f>
        <v/>
      </c>
      <c r="BJ34" s="133" t="str">
        <f>IF($A34&lt;&gt;0,VLOOKUP($A34,'0.Productos'!$A$3:$GG$587,'0.Productos'!DB$1+1,0),"")</f>
        <v/>
      </c>
      <c r="BK34" s="133" t="str">
        <f>IF($A34&lt;&gt;0,VLOOKUP($A34,'0.Productos'!$A$3:$GG$587,'0.Productos'!DC$1+1,0),"")</f>
        <v/>
      </c>
      <c r="BL34" s="133" t="str">
        <f>IF($A34&lt;&gt;0,VLOOKUP($A34,'0.Productos'!$A$3:$GG$587,'0.Productos'!DD$1+1,0),"")</f>
        <v/>
      </c>
      <c r="BM34" s="133" t="str">
        <f>IF($A34&lt;&gt;0,VLOOKUP($A34,'0.Productos'!$A$3:$GG$587,'0.Productos'!DE$1+1,0),"")</f>
        <v/>
      </c>
      <c r="BN34" s="133" t="str">
        <f>IF($A34&lt;&gt;0,VLOOKUP($A34,'0.Productos'!$A$3:$GG$587,'0.Productos'!DF$1+1,0),"")</f>
        <v/>
      </c>
      <c r="BO34" s="133" t="str">
        <f>IF($A34&lt;&gt;0,VLOOKUP($A34,'0.Productos'!$A$3:$GG$587,'0.Productos'!DG$1+1,0),"")</f>
        <v/>
      </c>
      <c r="BP34" s="133" t="str">
        <f>IF($A34&lt;&gt;0,VLOOKUP($A34,'0.Productos'!$A$3:$GG$587,'0.Productos'!DH$1+1,0),"")</f>
        <v/>
      </c>
      <c r="BQ34" s="133" t="str">
        <f>IF($A34&lt;&gt;0,VLOOKUP($A34,'0.Productos'!$A$3:$GG$587,'0.Productos'!DI$1+1,0),"")</f>
        <v/>
      </c>
      <c r="BR34" s="133" t="str">
        <f>IF($A34&lt;&gt;0,VLOOKUP($A34,'0.Productos'!$A$3:$GG$587,'0.Productos'!DJ$1+1,0),"")</f>
        <v/>
      </c>
      <c r="BS34" s="133" t="str">
        <f>IF($A34&lt;&gt;0,VLOOKUP($A34,'0.Productos'!$A$3:$GG$587,'0.Productos'!DK$1+1,0),"")</f>
        <v/>
      </c>
      <c r="BT34" s="133" t="str">
        <f>IF($A34&lt;&gt;0,VLOOKUP($A34,'0.Productos'!$A$3:$GG$587,'0.Productos'!DL$1+1,0),"")</f>
        <v/>
      </c>
    </row>
    <row r="35" spans="1:72" x14ac:dyDescent="0.25">
      <c r="A35" s="17">
        <f>'0.Consolidado general'!A35</f>
        <v>0</v>
      </c>
      <c r="B35" s="133" t="str">
        <f>IF($A35&lt;&gt;0,VLOOKUP($A35,'0.Productos'!$A$3:$GG$587,'0.Productos'!AT$1+1,0),"")</f>
        <v/>
      </c>
      <c r="C35" s="133" t="str">
        <f>IF($A35&lt;&gt;0,VLOOKUP($A35,'0.Productos'!$A$3:$GG$587,'0.Productos'!AU$1+1,0),"")</f>
        <v/>
      </c>
      <c r="D35" s="133" t="str">
        <f>IF($A35&lt;&gt;0,VLOOKUP($A35,'0.Productos'!$A$3:$GG$587,'0.Productos'!AV$1+1,0),"")</f>
        <v/>
      </c>
      <c r="E35" s="133" t="str">
        <f>IF($A35&lt;&gt;0,VLOOKUP($A35,'0.Productos'!$A$3:$GG$587,'0.Productos'!AW$1+1,0),"")</f>
        <v/>
      </c>
      <c r="F35" s="133" t="str">
        <f>IF($A35&lt;&gt;0,VLOOKUP($A35,'0.Productos'!$A$3:$GG$587,'0.Productos'!AX$1+1,0),"")</f>
        <v/>
      </c>
      <c r="G35" s="133" t="str">
        <f>IF($A35&lt;&gt;0,VLOOKUP($A35,'0.Productos'!$A$3:$GG$587,'0.Productos'!AY$1+1,0),"")</f>
        <v/>
      </c>
      <c r="H35" s="133" t="str">
        <f>IF($A35&lt;&gt;0,VLOOKUP($A35,'0.Productos'!$A$3:$GG$587,'0.Productos'!AZ$1+1,0),"")</f>
        <v/>
      </c>
      <c r="I35" s="133" t="str">
        <f>IF($A35&lt;&gt;0,VLOOKUP($A35,'0.Productos'!$A$3:$GG$587,'0.Productos'!BA$1+1,0),"")</f>
        <v/>
      </c>
      <c r="J35" s="133" t="str">
        <f>IF($A35&lt;&gt;0,VLOOKUP($A35,'0.Productos'!$A$3:$GG$587,'0.Productos'!BB$1+1,0),"")</f>
        <v/>
      </c>
      <c r="K35" s="133" t="str">
        <f>IF($A35&lt;&gt;0,VLOOKUP($A35,'0.Productos'!$A$3:$GG$587,'0.Productos'!BC$1+1,0),"")</f>
        <v/>
      </c>
      <c r="L35" s="133" t="str">
        <f>IF($A35&lt;&gt;0,VLOOKUP($A35,'0.Productos'!$A$3:$GG$587,'0.Productos'!BD$1+1,0),"")</f>
        <v/>
      </c>
      <c r="M35" s="133" t="str">
        <f>IF($A35&lt;&gt;0,VLOOKUP($A35,'0.Productos'!$A$3:$GG$587,'0.Productos'!BE$1+1,0),"")</f>
        <v/>
      </c>
      <c r="N35" s="133" t="str">
        <f>IF($A35&lt;&gt;0,VLOOKUP($A35,'0.Productos'!$A$3:$GG$587,'0.Productos'!BF$1+1,0),"")</f>
        <v/>
      </c>
      <c r="O35" s="133" t="str">
        <f>IF($A35&lt;&gt;0,VLOOKUP($A35,'0.Productos'!$A$3:$GG$587,'0.Productos'!BG$1+1,0),"")</f>
        <v/>
      </c>
      <c r="P35" s="133" t="str">
        <f>IF($A35&lt;&gt;0,VLOOKUP($A35,'0.Productos'!$A$3:$GG$587,'0.Productos'!BH$1+1,0),"")</f>
        <v/>
      </c>
      <c r="Q35" s="133" t="str">
        <f>IF($A35&lt;&gt;0,VLOOKUP($A35,'0.Productos'!$A$3:$GG$587,'0.Productos'!BI$1+1,0),"")</f>
        <v/>
      </c>
      <c r="R35" s="133" t="str">
        <f>IF($A35&lt;&gt;0,VLOOKUP($A35,'0.Productos'!$A$3:$GG$587,'0.Productos'!BJ$1+1,0),"")</f>
        <v/>
      </c>
      <c r="S35" s="133" t="str">
        <f>IF($A35&lt;&gt;0,VLOOKUP($A35,'0.Productos'!$A$3:$GG$587,'0.Productos'!BK$1+1,0),"")</f>
        <v/>
      </c>
      <c r="T35" s="133" t="str">
        <f>IF($A35&lt;&gt;0,VLOOKUP($A35,'0.Productos'!$A$3:$GG$587,'0.Productos'!BL$1+1,0),"")</f>
        <v/>
      </c>
      <c r="U35" s="133" t="str">
        <f>IF($A35&lt;&gt;0,VLOOKUP($A35,'0.Productos'!$A$3:$GG$587,'0.Productos'!BM$1+1,0),"")</f>
        <v/>
      </c>
      <c r="V35" s="133" t="str">
        <f>IF($A35&lt;&gt;0,VLOOKUP($A35,'0.Productos'!$A$3:$GG$587,'0.Productos'!BN$1+1,0),"")</f>
        <v/>
      </c>
      <c r="W35" s="133" t="str">
        <f>IF($A35&lt;&gt;0,VLOOKUP($A35,'0.Productos'!$A$3:$GG$587,'0.Productos'!BO$1+1,0),"")</f>
        <v/>
      </c>
      <c r="X35" s="133" t="str">
        <f>IF($A35&lt;&gt;0,VLOOKUP($A35,'0.Productos'!$A$3:$GG$587,'0.Productos'!BP$1+1,0),"")</f>
        <v/>
      </c>
      <c r="Y35" s="133" t="str">
        <f>IF($A35&lt;&gt;0,VLOOKUP($A35,'0.Productos'!$A$3:$GG$587,'0.Productos'!BQ$1+1,0),"")</f>
        <v/>
      </c>
      <c r="Z35" s="133" t="str">
        <f>IF($A35&lt;&gt;0,VLOOKUP($A35,'0.Productos'!$A$3:$GG$587,'0.Productos'!BR$1+1,0),"")</f>
        <v/>
      </c>
      <c r="AA35" s="133" t="str">
        <f>IF($A35&lt;&gt;0,VLOOKUP($A35,'0.Productos'!$A$3:$GG$587,'0.Productos'!BS$1+1,0),"")</f>
        <v/>
      </c>
      <c r="AB35" s="133" t="str">
        <f>IF($A35&lt;&gt;0,VLOOKUP($A35,'0.Productos'!$A$3:$GG$587,'0.Productos'!BT$1+1,0),"")</f>
        <v/>
      </c>
      <c r="AC35" s="133" t="str">
        <f>IF($A35&lt;&gt;0,VLOOKUP($A35,'0.Productos'!$A$3:$GG$587,'0.Productos'!BU$1+1,0),"")</f>
        <v/>
      </c>
      <c r="AD35" s="133" t="str">
        <f>IF($A35&lt;&gt;0,VLOOKUP($A35,'0.Productos'!$A$3:$GG$587,'0.Productos'!BV$1+1,0),"")</f>
        <v/>
      </c>
      <c r="AE35" s="133" t="str">
        <f>IF($A35&lt;&gt;0,VLOOKUP($A35,'0.Productos'!$A$3:$GG$587,'0.Productos'!BW$1+1,0),"")</f>
        <v/>
      </c>
      <c r="AF35" s="133" t="str">
        <f>IF($A35&lt;&gt;0,VLOOKUP($A35,'0.Productos'!$A$3:$GG$587,'0.Productos'!BX$1+1,0),"")</f>
        <v/>
      </c>
      <c r="AG35" s="133" t="str">
        <f>IF($A35&lt;&gt;0,VLOOKUP($A35,'0.Productos'!$A$3:$GG$587,'0.Productos'!BY$1+1,0),"")</f>
        <v/>
      </c>
      <c r="AH35" s="133" t="str">
        <f>IF($A35&lt;&gt;0,VLOOKUP($A35,'0.Productos'!$A$3:$GG$587,'0.Productos'!BZ$1+1,0),"")</f>
        <v/>
      </c>
      <c r="AI35" s="133" t="str">
        <f>IF($A35&lt;&gt;0,VLOOKUP($A35,'0.Productos'!$A$3:$GG$587,'0.Productos'!CA$1+1,0),"")</f>
        <v/>
      </c>
      <c r="AJ35" s="133" t="str">
        <f>IF($A35&lt;&gt;0,VLOOKUP($A35,'0.Productos'!$A$3:$GG$587,'0.Productos'!CB$1+1,0),"")</f>
        <v/>
      </c>
      <c r="AK35" s="133" t="str">
        <f>IF($A35&lt;&gt;0,VLOOKUP($A35,'0.Productos'!$A$3:$GG$587,'0.Productos'!CC$1+1,0),"")</f>
        <v/>
      </c>
      <c r="AL35" s="133" t="str">
        <f>IF($A35&lt;&gt;0,VLOOKUP($A35,'0.Productos'!$A$3:$GG$587,'0.Productos'!CD$1+1,0),"")</f>
        <v/>
      </c>
      <c r="AM35" s="133" t="str">
        <f>IF($A35&lt;&gt;0,VLOOKUP($A35,'0.Productos'!$A$3:$GG$587,'0.Productos'!CE$1+1,0),"")</f>
        <v/>
      </c>
      <c r="AN35" s="133" t="str">
        <f>IF($A35&lt;&gt;0,VLOOKUP($A35,'0.Productos'!$A$3:$GG$587,'0.Productos'!CF$1+1,0),"")</f>
        <v/>
      </c>
      <c r="AO35" s="133" t="str">
        <f>IF($A35&lt;&gt;0,VLOOKUP($A35,'0.Productos'!$A$3:$GG$587,'0.Productos'!CG$1+1,0),"")</f>
        <v/>
      </c>
      <c r="AP35" s="133" t="str">
        <f>IF($A35&lt;&gt;0,VLOOKUP($A35,'0.Productos'!$A$3:$GG$587,'0.Productos'!CH$1+1,0),"")</f>
        <v/>
      </c>
      <c r="AQ35" s="133" t="str">
        <f>IF($A35&lt;&gt;0,VLOOKUP($A35,'0.Productos'!$A$3:$GG$587,'0.Productos'!CI$1+1,0),"")</f>
        <v/>
      </c>
      <c r="AR35" s="133" t="str">
        <f>IF($A35&lt;&gt;0,VLOOKUP($A35,'0.Productos'!$A$3:$GG$587,'0.Productos'!CJ$1+1,0),"")</f>
        <v/>
      </c>
      <c r="AS35" s="133" t="str">
        <f>IF($A35&lt;&gt;0,VLOOKUP($A35,'0.Productos'!$A$3:$GG$587,'0.Productos'!CK$1+1,0),"")</f>
        <v/>
      </c>
      <c r="AT35" s="133" t="str">
        <f>IF($A35&lt;&gt;0,VLOOKUP($A35,'0.Productos'!$A$3:$GG$587,'0.Productos'!CL$1+1,0),"")</f>
        <v/>
      </c>
      <c r="AU35" s="133" t="str">
        <f>IF($A35&lt;&gt;0,VLOOKUP($A35,'0.Productos'!$A$3:$GG$587,'0.Productos'!CM$1+1,0),"")</f>
        <v/>
      </c>
      <c r="AV35" s="133" t="str">
        <f>IF($A35&lt;&gt;0,VLOOKUP($A35,'0.Productos'!$A$3:$GG$587,'0.Productos'!CN$1+1,0),"")</f>
        <v/>
      </c>
      <c r="AW35" s="133" t="str">
        <f>IF($A35&lt;&gt;0,VLOOKUP($A35,'0.Productos'!$A$3:$GG$587,'0.Productos'!CO$1+1,0),"")</f>
        <v/>
      </c>
      <c r="AX35" s="133" t="str">
        <f>IF($A35&lt;&gt;0,VLOOKUP($A35,'0.Productos'!$A$3:$GG$587,'0.Productos'!CP$1+1,0),"")</f>
        <v/>
      </c>
      <c r="AY35" s="133" t="str">
        <f>IF($A35&lt;&gt;0,VLOOKUP($A35,'0.Productos'!$A$3:$GG$587,'0.Productos'!CQ$1+1,0),"")</f>
        <v/>
      </c>
      <c r="AZ35" s="133" t="str">
        <f>IF($A35&lt;&gt;0,VLOOKUP($A35,'0.Productos'!$A$3:$GG$587,'0.Productos'!CR$1+1,0),"")</f>
        <v/>
      </c>
      <c r="BA35" s="133" t="str">
        <f>IF($A35&lt;&gt;0,VLOOKUP($A35,'0.Productos'!$A$3:$GG$587,'0.Productos'!CS$1+1,0),"")</f>
        <v/>
      </c>
      <c r="BB35" s="133" t="str">
        <f>IF($A35&lt;&gt;0,VLOOKUP($A35,'0.Productos'!$A$3:$GG$587,'0.Productos'!CT$1+1,0),"")</f>
        <v/>
      </c>
      <c r="BC35" s="133" t="str">
        <f>IF($A35&lt;&gt;0,VLOOKUP($A35,'0.Productos'!$A$3:$GG$587,'0.Productos'!CU$1+1,0),"")</f>
        <v/>
      </c>
      <c r="BD35" s="133" t="str">
        <f>IF($A35&lt;&gt;0,VLOOKUP($A35,'0.Productos'!$A$3:$GG$587,'0.Productos'!CV$1+1,0),"")</f>
        <v/>
      </c>
      <c r="BE35" s="133" t="str">
        <f>IF($A35&lt;&gt;0,VLOOKUP($A35,'0.Productos'!$A$3:$GG$587,'0.Productos'!CW$1+1,0),"")</f>
        <v/>
      </c>
      <c r="BF35" s="133" t="str">
        <f>IF($A35&lt;&gt;0,VLOOKUP($A35,'0.Productos'!$A$3:$GG$587,'0.Productos'!CX$1+1,0),"")</f>
        <v/>
      </c>
      <c r="BG35" s="133" t="str">
        <f>IF($A35&lt;&gt;0,VLOOKUP($A35,'0.Productos'!$A$3:$GG$587,'0.Productos'!CY$1+1,0),"")</f>
        <v/>
      </c>
      <c r="BH35" s="133" t="str">
        <f>IF($A35&lt;&gt;0,VLOOKUP($A35,'0.Productos'!$A$3:$GG$587,'0.Productos'!CZ$1+1,0),"")</f>
        <v/>
      </c>
      <c r="BI35" s="133" t="str">
        <f>IF($A35&lt;&gt;0,VLOOKUP($A35,'0.Productos'!$A$3:$GG$587,'0.Productos'!DA$1+1,0),"")</f>
        <v/>
      </c>
      <c r="BJ35" s="133" t="str">
        <f>IF($A35&lt;&gt;0,VLOOKUP($A35,'0.Productos'!$A$3:$GG$587,'0.Productos'!DB$1+1,0),"")</f>
        <v/>
      </c>
      <c r="BK35" s="133" t="str">
        <f>IF($A35&lt;&gt;0,VLOOKUP($A35,'0.Productos'!$A$3:$GG$587,'0.Productos'!DC$1+1,0),"")</f>
        <v/>
      </c>
      <c r="BL35" s="133" t="str">
        <f>IF($A35&lt;&gt;0,VLOOKUP($A35,'0.Productos'!$A$3:$GG$587,'0.Productos'!DD$1+1,0),"")</f>
        <v/>
      </c>
      <c r="BM35" s="133" t="str">
        <f>IF($A35&lt;&gt;0,VLOOKUP($A35,'0.Productos'!$A$3:$GG$587,'0.Productos'!DE$1+1,0),"")</f>
        <v/>
      </c>
      <c r="BN35" s="133" t="str">
        <f>IF($A35&lt;&gt;0,VLOOKUP($A35,'0.Productos'!$A$3:$GG$587,'0.Productos'!DF$1+1,0),"")</f>
        <v/>
      </c>
      <c r="BO35" s="133" t="str">
        <f>IF($A35&lt;&gt;0,VLOOKUP($A35,'0.Productos'!$A$3:$GG$587,'0.Productos'!DG$1+1,0),"")</f>
        <v/>
      </c>
      <c r="BP35" s="133" t="str">
        <f>IF($A35&lt;&gt;0,VLOOKUP($A35,'0.Productos'!$A$3:$GG$587,'0.Productos'!DH$1+1,0),"")</f>
        <v/>
      </c>
      <c r="BQ35" s="133" t="str">
        <f>IF($A35&lt;&gt;0,VLOOKUP($A35,'0.Productos'!$A$3:$GG$587,'0.Productos'!DI$1+1,0),"")</f>
        <v/>
      </c>
      <c r="BR35" s="133" t="str">
        <f>IF($A35&lt;&gt;0,VLOOKUP($A35,'0.Productos'!$A$3:$GG$587,'0.Productos'!DJ$1+1,0),"")</f>
        <v/>
      </c>
      <c r="BS35" s="133" t="str">
        <f>IF($A35&lt;&gt;0,VLOOKUP($A35,'0.Productos'!$A$3:$GG$587,'0.Productos'!DK$1+1,0),"")</f>
        <v/>
      </c>
      <c r="BT35" s="133" t="str">
        <f>IF($A35&lt;&gt;0,VLOOKUP($A35,'0.Productos'!$A$3:$GG$587,'0.Productos'!DL$1+1,0),"")</f>
        <v/>
      </c>
    </row>
    <row r="36" spans="1:72" x14ac:dyDescent="0.25">
      <c r="A36" s="17">
        <f>'0.Consolidado general'!A36</f>
        <v>0</v>
      </c>
      <c r="B36" s="133" t="str">
        <f>IF($A36&lt;&gt;0,VLOOKUP($A36,'0.Productos'!$A$3:$GG$587,'0.Productos'!AT$1+1,0),"")</f>
        <v/>
      </c>
      <c r="C36" s="133" t="str">
        <f>IF($A36&lt;&gt;0,VLOOKUP($A36,'0.Productos'!$A$3:$GG$587,'0.Productos'!AU$1+1,0),"")</f>
        <v/>
      </c>
      <c r="D36" s="133" t="str">
        <f>IF($A36&lt;&gt;0,VLOOKUP($A36,'0.Productos'!$A$3:$GG$587,'0.Productos'!AV$1+1,0),"")</f>
        <v/>
      </c>
      <c r="E36" s="133" t="str">
        <f>IF($A36&lt;&gt;0,VLOOKUP($A36,'0.Productos'!$A$3:$GG$587,'0.Productos'!AW$1+1,0),"")</f>
        <v/>
      </c>
      <c r="F36" s="133" t="str">
        <f>IF($A36&lt;&gt;0,VLOOKUP($A36,'0.Productos'!$A$3:$GG$587,'0.Productos'!AX$1+1,0),"")</f>
        <v/>
      </c>
      <c r="G36" s="133" t="str">
        <f>IF($A36&lt;&gt;0,VLOOKUP($A36,'0.Productos'!$A$3:$GG$587,'0.Productos'!AY$1+1,0),"")</f>
        <v/>
      </c>
      <c r="H36" s="133" t="str">
        <f>IF($A36&lt;&gt;0,VLOOKUP($A36,'0.Productos'!$A$3:$GG$587,'0.Productos'!AZ$1+1,0),"")</f>
        <v/>
      </c>
      <c r="I36" s="133" t="str">
        <f>IF($A36&lt;&gt;0,VLOOKUP($A36,'0.Productos'!$A$3:$GG$587,'0.Productos'!BA$1+1,0),"")</f>
        <v/>
      </c>
      <c r="J36" s="133" t="str">
        <f>IF($A36&lt;&gt;0,VLOOKUP($A36,'0.Productos'!$A$3:$GG$587,'0.Productos'!BB$1+1,0),"")</f>
        <v/>
      </c>
      <c r="K36" s="133" t="str">
        <f>IF($A36&lt;&gt;0,VLOOKUP($A36,'0.Productos'!$A$3:$GG$587,'0.Productos'!BC$1+1,0),"")</f>
        <v/>
      </c>
      <c r="L36" s="133" t="str">
        <f>IF($A36&lt;&gt;0,VLOOKUP($A36,'0.Productos'!$A$3:$GG$587,'0.Productos'!BD$1+1,0),"")</f>
        <v/>
      </c>
      <c r="M36" s="133" t="str">
        <f>IF($A36&lt;&gt;0,VLOOKUP($A36,'0.Productos'!$A$3:$GG$587,'0.Productos'!BE$1+1,0),"")</f>
        <v/>
      </c>
      <c r="N36" s="133" t="str">
        <f>IF($A36&lt;&gt;0,VLOOKUP($A36,'0.Productos'!$A$3:$GG$587,'0.Productos'!BF$1+1,0),"")</f>
        <v/>
      </c>
      <c r="O36" s="133" t="str">
        <f>IF($A36&lt;&gt;0,VLOOKUP($A36,'0.Productos'!$A$3:$GG$587,'0.Productos'!BG$1+1,0),"")</f>
        <v/>
      </c>
      <c r="P36" s="133" t="str">
        <f>IF($A36&lt;&gt;0,VLOOKUP($A36,'0.Productos'!$A$3:$GG$587,'0.Productos'!BH$1+1,0),"")</f>
        <v/>
      </c>
      <c r="Q36" s="133" t="str">
        <f>IF($A36&lt;&gt;0,VLOOKUP($A36,'0.Productos'!$A$3:$GG$587,'0.Productos'!BI$1+1,0),"")</f>
        <v/>
      </c>
      <c r="R36" s="133" t="str">
        <f>IF($A36&lt;&gt;0,VLOOKUP($A36,'0.Productos'!$A$3:$GG$587,'0.Productos'!BJ$1+1,0),"")</f>
        <v/>
      </c>
      <c r="S36" s="133" t="str">
        <f>IF($A36&lt;&gt;0,VLOOKUP($A36,'0.Productos'!$A$3:$GG$587,'0.Productos'!BK$1+1,0),"")</f>
        <v/>
      </c>
      <c r="T36" s="133" t="str">
        <f>IF($A36&lt;&gt;0,VLOOKUP($A36,'0.Productos'!$A$3:$GG$587,'0.Productos'!BL$1+1,0),"")</f>
        <v/>
      </c>
      <c r="U36" s="133" t="str">
        <f>IF($A36&lt;&gt;0,VLOOKUP($A36,'0.Productos'!$A$3:$GG$587,'0.Productos'!BM$1+1,0),"")</f>
        <v/>
      </c>
      <c r="V36" s="133" t="str">
        <f>IF($A36&lt;&gt;0,VLOOKUP($A36,'0.Productos'!$A$3:$GG$587,'0.Productos'!BN$1+1,0),"")</f>
        <v/>
      </c>
      <c r="W36" s="133" t="str">
        <f>IF($A36&lt;&gt;0,VLOOKUP($A36,'0.Productos'!$A$3:$GG$587,'0.Productos'!BO$1+1,0),"")</f>
        <v/>
      </c>
      <c r="X36" s="133" t="str">
        <f>IF($A36&lt;&gt;0,VLOOKUP($A36,'0.Productos'!$A$3:$GG$587,'0.Productos'!BP$1+1,0),"")</f>
        <v/>
      </c>
      <c r="Y36" s="133" t="str">
        <f>IF($A36&lt;&gt;0,VLOOKUP($A36,'0.Productos'!$A$3:$GG$587,'0.Productos'!BQ$1+1,0),"")</f>
        <v/>
      </c>
      <c r="Z36" s="133" t="str">
        <f>IF($A36&lt;&gt;0,VLOOKUP($A36,'0.Productos'!$A$3:$GG$587,'0.Productos'!BR$1+1,0),"")</f>
        <v/>
      </c>
      <c r="AA36" s="133" t="str">
        <f>IF($A36&lt;&gt;0,VLOOKUP($A36,'0.Productos'!$A$3:$GG$587,'0.Productos'!BS$1+1,0),"")</f>
        <v/>
      </c>
      <c r="AB36" s="133" t="str">
        <f>IF($A36&lt;&gt;0,VLOOKUP($A36,'0.Productos'!$A$3:$GG$587,'0.Productos'!BT$1+1,0),"")</f>
        <v/>
      </c>
      <c r="AC36" s="133" t="str">
        <f>IF($A36&lt;&gt;0,VLOOKUP($A36,'0.Productos'!$A$3:$GG$587,'0.Productos'!BU$1+1,0),"")</f>
        <v/>
      </c>
      <c r="AD36" s="133" t="str">
        <f>IF($A36&lt;&gt;0,VLOOKUP($A36,'0.Productos'!$A$3:$GG$587,'0.Productos'!BV$1+1,0),"")</f>
        <v/>
      </c>
      <c r="AE36" s="133" t="str">
        <f>IF($A36&lt;&gt;0,VLOOKUP($A36,'0.Productos'!$A$3:$GG$587,'0.Productos'!BW$1+1,0),"")</f>
        <v/>
      </c>
      <c r="AF36" s="133" t="str">
        <f>IF($A36&lt;&gt;0,VLOOKUP($A36,'0.Productos'!$A$3:$GG$587,'0.Productos'!BX$1+1,0),"")</f>
        <v/>
      </c>
      <c r="AG36" s="133" t="str">
        <f>IF($A36&lt;&gt;0,VLOOKUP($A36,'0.Productos'!$A$3:$GG$587,'0.Productos'!BY$1+1,0),"")</f>
        <v/>
      </c>
      <c r="AH36" s="133" t="str">
        <f>IF($A36&lt;&gt;0,VLOOKUP($A36,'0.Productos'!$A$3:$GG$587,'0.Productos'!BZ$1+1,0),"")</f>
        <v/>
      </c>
      <c r="AI36" s="133" t="str">
        <f>IF($A36&lt;&gt;0,VLOOKUP($A36,'0.Productos'!$A$3:$GG$587,'0.Productos'!CA$1+1,0),"")</f>
        <v/>
      </c>
      <c r="AJ36" s="133" t="str">
        <f>IF($A36&lt;&gt;0,VLOOKUP($A36,'0.Productos'!$A$3:$GG$587,'0.Productos'!CB$1+1,0),"")</f>
        <v/>
      </c>
      <c r="AK36" s="133" t="str">
        <f>IF($A36&lt;&gt;0,VLOOKUP($A36,'0.Productos'!$A$3:$GG$587,'0.Productos'!CC$1+1,0),"")</f>
        <v/>
      </c>
      <c r="AL36" s="133" t="str">
        <f>IF($A36&lt;&gt;0,VLOOKUP($A36,'0.Productos'!$A$3:$GG$587,'0.Productos'!CD$1+1,0),"")</f>
        <v/>
      </c>
      <c r="AM36" s="133" t="str">
        <f>IF($A36&lt;&gt;0,VLOOKUP($A36,'0.Productos'!$A$3:$GG$587,'0.Productos'!CE$1+1,0),"")</f>
        <v/>
      </c>
      <c r="AN36" s="133" t="str">
        <f>IF($A36&lt;&gt;0,VLOOKUP($A36,'0.Productos'!$A$3:$GG$587,'0.Productos'!CF$1+1,0),"")</f>
        <v/>
      </c>
      <c r="AO36" s="133" t="str">
        <f>IF($A36&lt;&gt;0,VLOOKUP($A36,'0.Productos'!$A$3:$GG$587,'0.Productos'!CG$1+1,0),"")</f>
        <v/>
      </c>
      <c r="AP36" s="133" t="str">
        <f>IF($A36&lt;&gt;0,VLOOKUP($A36,'0.Productos'!$A$3:$GG$587,'0.Productos'!CH$1+1,0),"")</f>
        <v/>
      </c>
      <c r="AQ36" s="133" t="str">
        <f>IF($A36&lt;&gt;0,VLOOKUP($A36,'0.Productos'!$A$3:$GG$587,'0.Productos'!CI$1+1,0),"")</f>
        <v/>
      </c>
      <c r="AR36" s="133" t="str">
        <f>IF($A36&lt;&gt;0,VLOOKUP($A36,'0.Productos'!$A$3:$GG$587,'0.Productos'!CJ$1+1,0),"")</f>
        <v/>
      </c>
      <c r="AS36" s="133" t="str">
        <f>IF($A36&lt;&gt;0,VLOOKUP($A36,'0.Productos'!$A$3:$GG$587,'0.Productos'!CK$1+1,0),"")</f>
        <v/>
      </c>
      <c r="AT36" s="133" t="str">
        <f>IF($A36&lt;&gt;0,VLOOKUP($A36,'0.Productos'!$A$3:$GG$587,'0.Productos'!CL$1+1,0),"")</f>
        <v/>
      </c>
      <c r="AU36" s="133" t="str">
        <f>IF($A36&lt;&gt;0,VLOOKUP($A36,'0.Productos'!$A$3:$GG$587,'0.Productos'!CM$1+1,0),"")</f>
        <v/>
      </c>
      <c r="AV36" s="133" t="str">
        <f>IF($A36&lt;&gt;0,VLOOKUP($A36,'0.Productos'!$A$3:$GG$587,'0.Productos'!CN$1+1,0),"")</f>
        <v/>
      </c>
      <c r="AW36" s="133" t="str">
        <f>IF($A36&lt;&gt;0,VLOOKUP($A36,'0.Productos'!$A$3:$GG$587,'0.Productos'!CO$1+1,0),"")</f>
        <v/>
      </c>
      <c r="AX36" s="133" t="str">
        <f>IF($A36&lt;&gt;0,VLOOKUP($A36,'0.Productos'!$A$3:$GG$587,'0.Productos'!CP$1+1,0),"")</f>
        <v/>
      </c>
      <c r="AY36" s="133" t="str">
        <f>IF($A36&lt;&gt;0,VLOOKUP($A36,'0.Productos'!$A$3:$GG$587,'0.Productos'!CQ$1+1,0),"")</f>
        <v/>
      </c>
      <c r="AZ36" s="133" t="str">
        <f>IF($A36&lt;&gt;0,VLOOKUP($A36,'0.Productos'!$A$3:$GG$587,'0.Productos'!CR$1+1,0),"")</f>
        <v/>
      </c>
      <c r="BA36" s="133" t="str">
        <f>IF($A36&lt;&gt;0,VLOOKUP($A36,'0.Productos'!$A$3:$GG$587,'0.Productos'!CS$1+1,0),"")</f>
        <v/>
      </c>
      <c r="BB36" s="133" t="str">
        <f>IF($A36&lt;&gt;0,VLOOKUP($A36,'0.Productos'!$A$3:$GG$587,'0.Productos'!CT$1+1,0),"")</f>
        <v/>
      </c>
      <c r="BC36" s="133" t="str">
        <f>IF($A36&lt;&gt;0,VLOOKUP($A36,'0.Productos'!$A$3:$GG$587,'0.Productos'!CU$1+1,0),"")</f>
        <v/>
      </c>
      <c r="BD36" s="133" t="str">
        <f>IF($A36&lt;&gt;0,VLOOKUP($A36,'0.Productos'!$A$3:$GG$587,'0.Productos'!CV$1+1,0),"")</f>
        <v/>
      </c>
      <c r="BE36" s="133" t="str">
        <f>IF($A36&lt;&gt;0,VLOOKUP($A36,'0.Productos'!$A$3:$GG$587,'0.Productos'!CW$1+1,0),"")</f>
        <v/>
      </c>
      <c r="BF36" s="133" t="str">
        <f>IF($A36&lt;&gt;0,VLOOKUP($A36,'0.Productos'!$A$3:$GG$587,'0.Productos'!CX$1+1,0),"")</f>
        <v/>
      </c>
      <c r="BG36" s="133" t="str">
        <f>IF($A36&lt;&gt;0,VLOOKUP($A36,'0.Productos'!$A$3:$GG$587,'0.Productos'!CY$1+1,0),"")</f>
        <v/>
      </c>
      <c r="BH36" s="133" t="str">
        <f>IF($A36&lt;&gt;0,VLOOKUP($A36,'0.Productos'!$A$3:$GG$587,'0.Productos'!CZ$1+1,0),"")</f>
        <v/>
      </c>
      <c r="BI36" s="133" t="str">
        <f>IF($A36&lt;&gt;0,VLOOKUP($A36,'0.Productos'!$A$3:$GG$587,'0.Productos'!DA$1+1,0),"")</f>
        <v/>
      </c>
      <c r="BJ36" s="133" t="str">
        <f>IF($A36&lt;&gt;0,VLOOKUP($A36,'0.Productos'!$A$3:$GG$587,'0.Productos'!DB$1+1,0),"")</f>
        <v/>
      </c>
      <c r="BK36" s="133" t="str">
        <f>IF($A36&lt;&gt;0,VLOOKUP($A36,'0.Productos'!$A$3:$GG$587,'0.Productos'!DC$1+1,0),"")</f>
        <v/>
      </c>
      <c r="BL36" s="133" t="str">
        <f>IF($A36&lt;&gt;0,VLOOKUP($A36,'0.Productos'!$A$3:$GG$587,'0.Productos'!DD$1+1,0),"")</f>
        <v/>
      </c>
      <c r="BM36" s="133" t="str">
        <f>IF($A36&lt;&gt;0,VLOOKUP($A36,'0.Productos'!$A$3:$GG$587,'0.Productos'!DE$1+1,0),"")</f>
        <v/>
      </c>
      <c r="BN36" s="133" t="str">
        <f>IF($A36&lt;&gt;0,VLOOKUP($A36,'0.Productos'!$A$3:$GG$587,'0.Productos'!DF$1+1,0),"")</f>
        <v/>
      </c>
      <c r="BO36" s="133" t="str">
        <f>IF($A36&lt;&gt;0,VLOOKUP($A36,'0.Productos'!$A$3:$GG$587,'0.Productos'!DG$1+1,0),"")</f>
        <v/>
      </c>
      <c r="BP36" s="133" t="str">
        <f>IF($A36&lt;&gt;0,VLOOKUP($A36,'0.Productos'!$A$3:$GG$587,'0.Productos'!DH$1+1,0),"")</f>
        <v/>
      </c>
      <c r="BQ36" s="133" t="str">
        <f>IF($A36&lt;&gt;0,VLOOKUP($A36,'0.Productos'!$A$3:$GG$587,'0.Productos'!DI$1+1,0),"")</f>
        <v/>
      </c>
      <c r="BR36" s="133" t="str">
        <f>IF($A36&lt;&gt;0,VLOOKUP($A36,'0.Productos'!$A$3:$GG$587,'0.Productos'!DJ$1+1,0),"")</f>
        <v/>
      </c>
      <c r="BS36" s="133" t="str">
        <f>IF($A36&lt;&gt;0,VLOOKUP($A36,'0.Productos'!$A$3:$GG$587,'0.Productos'!DK$1+1,0),"")</f>
        <v/>
      </c>
      <c r="BT36" s="133" t="str">
        <f>IF($A36&lt;&gt;0,VLOOKUP($A36,'0.Productos'!$A$3:$GG$587,'0.Productos'!DL$1+1,0),"")</f>
        <v/>
      </c>
    </row>
    <row r="37" spans="1:72" x14ac:dyDescent="0.25">
      <c r="A37" s="17">
        <f>'0.Consolidado general'!A37</f>
        <v>0</v>
      </c>
      <c r="B37" s="133" t="str">
        <f>IF($A37&lt;&gt;0,VLOOKUP($A37,'0.Productos'!$A$3:$GG$587,'0.Productos'!AT$1+1,0),"")</f>
        <v/>
      </c>
      <c r="C37" s="133" t="str">
        <f>IF($A37&lt;&gt;0,VLOOKUP($A37,'0.Productos'!$A$3:$GG$587,'0.Productos'!AU$1+1,0),"")</f>
        <v/>
      </c>
      <c r="D37" s="133" t="str">
        <f>IF($A37&lt;&gt;0,VLOOKUP($A37,'0.Productos'!$A$3:$GG$587,'0.Productos'!AV$1+1,0),"")</f>
        <v/>
      </c>
      <c r="E37" s="133" t="str">
        <f>IF($A37&lt;&gt;0,VLOOKUP($A37,'0.Productos'!$A$3:$GG$587,'0.Productos'!AW$1+1,0),"")</f>
        <v/>
      </c>
      <c r="F37" s="133" t="str">
        <f>IF($A37&lt;&gt;0,VLOOKUP($A37,'0.Productos'!$A$3:$GG$587,'0.Productos'!AX$1+1,0),"")</f>
        <v/>
      </c>
      <c r="G37" s="133" t="str">
        <f>IF($A37&lt;&gt;0,VLOOKUP($A37,'0.Productos'!$A$3:$GG$587,'0.Productos'!AY$1+1,0),"")</f>
        <v/>
      </c>
      <c r="H37" s="133" t="str">
        <f>IF($A37&lt;&gt;0,VLOOKUP($A37,'0.Productos'!$A$3:$GG$587,'0.Productos'!AZ$1+1,0),"")</f>
        <v/>
      </c>
      <c r="I37" s="133" t="str">
        <f>IF($A37&lt;&gt;0,VLOOKUP($A37,'0.Productos'!$A$3:$GG$587,'0.Productos'!BA$1+1,0),"")</f>
        <v/>
      </c>
      <c r="J37" s="133" t="str">
        <f>IF($A37&lt;&gt;0,VLOOKUP($A37,'0.Productos'!$A$3:$GG$587,'0.Productos'!BB$1+1,0),"")</f>
        <v/>
      </c>
      <c r="K37" s="133" t="str">
        <f>IF($A37&lt;&gt;0,VLOOKUP($A37,'0.Productos'!$A$3:$GG$587,'0.Productos'!BC$1+1,0),"")</f>
        <v/>
      </c>
      <c r="L37" s="133" t="str">
        <f>IF($A37&lt;&gt;0,VLOOKUP($A37,'0.Productos'!$A$3:$GG$587,'0.Productos'!BD$1+1,0),"")</f>
        <v/>
      </c>
      <c r="M37" s="133" t="str">
        <f>IF($A37&lt;&gt;0,VLOOKUP($A37,'0.Productos'!$A$3:$GG$587,'0.Productos'!BE$1+1,0),"")</f>
        <v/>
      </c>
      <c r="N37" s="133" t="str">
        <f>IF($A37&lt;&gt;0,VLOOKUP($A37,'0.Productos'!$A$3:$GG$587,'0.Productos'!BF$1+1,0),"")</f>
        <v/>
      </c>
      <c r="O37" s="133" t="str">
        <f>IF($A37&lt;&gt;0,VLOOKUP($A37,'0.Productos'!$A$3:$GG$587,'0.Productos'!BG$1+1,0),"")</f>
        <v/>
      </c>
      <c r="P37" s="133" t="str">
        <f>IF($A37&lt;&gt;0,VLOOKUP($A37,'0.Productos'!$A$3:$GG$587,'0.Productos'!BH$1+1,0),"")</f>
        <v/>
      </c>
      <c r="Q37" s="133" t="str">
        <f>IF($A37&lt;&gt;0,VLOOKUP($A37,'0.Productos'!$A$3:$GG$587,'0.Productos'!BI$1+1,0),"")</f>
        <v/>
      </c>
      <c r="R37" s="133" t="str">
        <f>IF($A37&lt;&gt;0,VLOOKUP($A37,'0.Productos'!$A$3:$GG$587,'0.Productos'!BJ$1+1,0),"")</f>
        <v/>
      </c>
      <c r="S37" s="133" t="str">
        <f>IF($A37&lt;&gt;0,VLOOKUP($A37,'0.Productos'!$A$3:$GG$587,'0.Productos'!BK$1+1,0),"")</f>
        <v/>
      </c>
      <c r="T37" s="133" t="str">
        <f>IF($A37&lt;&gt;0,VLOOKUP($A37,'0.Productos'!$A$3:$GG$587,'0.Productos'!BL$1+1,0),"")</f>
        <v/>
      </c>
      <c r="U37" s="133" t="str">
        <f>IF($A37&lt;&gt;0,VLOOKUP($A37,'0.Productos'!$A$3:$GG$587,'0.Productos'!BM$1+1,0),"")</f>
        <v/>
      </c>
      <c r="V37" s="133" t="str">
        <f>IF($A37&lt;&gt;0,VLOOKUP($A37,'0.Productos'!$A$3:$GG$587,'0.Productos'!BN$1+1,0),"")</f>
        <v/>
      </c>
      <c r="W37" s="133" t="str">
        <f>IF($A37&lt;&gt;0,VLOOKUP($A37,'0.Productos'!$A$3:$GG$587,'0.Productos'!BO$1+1,0),"")</f>
        <v/>
      </c>
      <c r="X37" s="133" t="str">
        <f>IF($A37&lt;&gt;0,VLOOKUP($A37,'0.Productos'!$A$3:$GG$587,'0.Productos'!BP$1+1,0),"")</f>
        <v/>
      </c>
      <c r="Y37" s="133" t="str">
        <f>IF($A37&lt;&gt;0,VLOOKUP($A37,'0.Productos'!$A$3:$GG$587,'0.Productos'!BQ$1+1,0),"")</f>
        <v/>
      </c>
      <c r="Z37" s="133" t="str">
        <f>IF($A37&lt;&gt;0,VLOOKUP($A37,'0.Productos'!$A$3:$GG$587,'0.Productos'!BR$1+1,0),"")</f>
        <v/>
      </c>
      <c r="AA37" s="133" t="str">
        <f>IF($A37&lt;&gt;0,VLOOKUP($A37,'0.Productos'!$A$3:$GG$587,'0.Productos'!BS$1+1,0),"")</f>
        <v/>
      </c>
      <c r="AB37" s="133" t="str">
        <f>IF($A37&lt;&gt;0,VLOOKUP($A37,'0.Productos'!$A$3:$GG$587,'0.Productos'!BT$1+1,0),"")</f>
        <v/>
      </c>
      <c r="AC37" s="133" t="str">
        <f>IF($A37&lt;&gt;0,VLOOKUP($A37,'0.Productos'!$A$3:$GG$587,'0.Productos'!BU$1+1,0),"")</f>
        <v/>
      </c>
      <c r="AD37" s="133" t="str">
        <f>IF($A37&lt;&gt;0,VLOOKUP($A37,'0.Productos'!$A$3:$GG$587,'0.Productos'!BV$1+1,0),"")</f>
        <v/>
      </c>
      <c r="AE37" s="133" t="str">
        <f>IF($A37&lt;&gt;0,VLOOKUP($A37,'0.Productos'!$A$3:$GG$587,'0.Productos'!BW$1+1,0),"")</f>
        <v/>
      </c>
      <c r="AF37" s="133" t="str">
        <f>IF($A37&lt;&gt;0,VLOOKUP($A37,'0.Productos'!$A$3:$GG$587,'0.Productos'!BX$1+1,0),"")</f>
        <v/>
      </c>
      <c r="AG37" s="133" t="str">
        <f>IF($A37&lt;&gt;0,VLOOKUP($A37,'0.Productos'!$A$3:$GG$587,'0.Productos'!BY$1+1,0),"")</f>
        <v/>
      </c>
      <c r="AH37" s="133" t="str">
        <f>IF($A37&lt;&gt;0,VLOOKUP($A37,'0.Productos'!$A$3:$GG$587,'0.Productos'!BZ$1+1,0),"")</f>
        <v/>
      </c>
      <c r="AI37" s="133" t="str">
        <f>IF($A37&lt;&gt;0,VLOOKUP($A37,'0.Productos'!$A$3:$GG$587,'0.Productos'!CA$1+1,0),"")</f>
        <v/>
      </c>
      <c r="AJ37" s="133" t="str">
        <f>IF($A37&lt;&gt;0,VLOOKUP($A37,'0.Productos'!$A$3:$GG$587,'0.Productos'!CB$1+1,0),"")</f>
        <v/>
      </c>
      <c r="AK37" s="133" t="str">
        <f>IF($A37&lt;&gt;0,VLOOKUP($A37,'0.Productos'!$A$3:$GG$587,'0.Productos'!CC$1+1,0),"")</f>
        <v/>
      </c>
      <c r="AL37" s="133" t="str">
        <f>IF($A37&lt;&gt;0,VLOOKUP($A37,'0.Productos'!$A$3:$GG$587,'0.Productos'!CD$1+1,0),"")</f>
        <v/>
      </c>
      <c r="AM37" s="133" t="str">
        <f>IF($A37&lt;&gt;0,VLOOKUP($A37,'0.Productos'!$A$3:$GG$587,'0.Productos'!CE$1+1,0),"")</f>
        <v/>
      </c>
      <c r="AN37" s="133" t="str">
        <f>IF($A37&lt;&gt;0,VLOOKUP($A37,'0.Productos'!$A$3:$GG$587,'0.Productos'!CF$1+1,0),"")</f>
        <v/>
      </c>
      <c r="AO37" s="133" t="str">
        <f>IF($A37&lt;&gt;0,VLOOKUP($A37,'0.Productos'!$A$3:$GG$587,'0.Productos'!CG$1+1,0),"")</f>
        <v/>
      </c>
      <c r="AP37" s="133" t="str">
        <f>IF($A37&lt;&gt;0,VLOOKUP($A37,'0.Productos'!$A$3:$GG$587,'0.Productos'!CH$1+1,0),"")</f>
        <v/>
      </c>
      <c r="AQ37" s="133" t="str">
        <f>IF($A37&lt;&gt;0,VLOOKUP($A37,'0.Productos'!$A$3:$GG$587,'0.Productos'!CI$1+1,0),"")</f>
        <v/>
      </c>
      <c r="AR37" s="133" t="str">
        <f>IF($A37&lt;&gt;0,VLOOKUP($A37,'0.Productos'!$A$3:$GG$587,'0.Productos'!CJ$1+1,0),"")</f>
        <v/>
      </c>
      <c r="AS37" s="133" t="str">
        <f>IF($A37&lt;&gt;0,VLOOKUP($A37,'0.Productos'!$A$3:$GG$587,'0.Productos'!CK$1+1,0),"")</f>
        <v/>
      </c>
      <c r="AT37" s="133" t="str">
        <f>IF($A37&lt;&gt;0,VLOOKUP($A37,'0.Productos'!$A$3:$GG$587,'0.Productos'!CL$1+1,0),"")</f>
        <v/>
      </c>
      <c r="AU37" s="133" t="str">
        <f>IF($A37&lt;&gt;0,VLOOKUP($A37,'0.Productos'!$A$3:$GG$587,'0.Productos'!CM$1+1,0),"")</f>
        <v/>
      </c>
      <c r="AV37" s="133" t="str">
        <f>IF($A37&lt;&gt;0,VLOOKUP($A37,'0.Productos'!$A$3:$GG$587,'0.Productos'!CN$1+1,0),"")</f>
        <v/>
      </c>
      <c r="AW37" s="133" t="str">
        <f>IF($A37&lt;&gt;0,VLOOKUP($A37,'0.Productos'!$A$3:$GG$587,'0.Productos'!CO$1+1,0),"")</f>
        <v/>
      </c>
      <c r="AX37" s="133" t="str">
        <f>IF($A37&lt;&gt;0,VLOOKUP($A37,'0.Productos'!$A$3:$GG$587,'0.Productos'!CP$1+1,0),"")</f>
        <v/>
      </c>
      <c r="AY37" s="133" t="str">
        <f>IF($A37&lt;&gt;0,VLOOKUP($A37,'0.Productos'!$A$3:$GG$587,'0.Productos'!CQ$1+1,0),"")</f>
        <v/>
      </c>
      <c r="AZ37" s="133" t="str">
        <f>IF($A37&lt;&gt;0,VLOOKUP($A37,'0.Productos'!$A$3:$GG$587,'0.Productos'!CR$1+1,0),"")</f>
        <v/>
      </c>
      <c r="BA37" s="133" t="str">
        <f>IF($A37&lt;&gt;0,VLOOKUP($A37,'0.Productos'!$A$3:$GG$587,'0.Productos'!CS$1+1,0),"")</f>
        <v/>
      </c>
      <c r="BB37" s="133" t="str">
        <f>IF($A37&lt;&gt;0,VLOOKUP($A37,'0.Productos'!$A$3:$GG$587,'0.Productos'!CT$1+1,0),"")</f>
        <v/>
      </c>
      <c r="BC37" s="133" t="str">
        <f>IF($A37&lt;&gt;0,VLOOKUP($A37,'0.Productos'!$A$3:$GG$587,'0.Productos'!CU$1+1,0),"")</f>
        <v/>
      </c>
      <c r="BD37" s="133" t="str">
        <f>IF($A37&lt;&gt;0,VLOOKUP($A37,'0.Productos'!$A$3:$GG$587,'0.Productos'!CV$1+1,0),"")</f>
        <v/>
      </c>
      <c r="BE37" s="133" t="str">
        <f>IF($A37&lt;&gt;0,VLOOKUP($A37,'0.Productos'!$A$3:$GG$587,'0.Productos'!CW$1+1,0),"")</f>
        <v/>
      </c>
      <c r="BF37" s="133" t="str">
        <f>IF($A37&lt;&gt;0,VLOOKUP($A37,'0.Productos'!$A$3:$GG$587,'0.Productos'!CX$1+1,0),"")</f>
        <v/>
      </c>
      <c r="BG37" s="133" t="str">
        <f>IF($A37&lt;&gt;0,VLOOKUP($A37,'0.Productos'!$A$3:$GG$587,'0.Productos'!CY$1+1,0),"")</f>
        <v/>
      </c>
      <c r="BH37" s="133" t="str">
        <f>IF($A37&lt;&gt;0,VLOOKUP($A37,'0.Productos'!$A$3:$GG$587,'0.Productos'!CZ$1+1,0),"")</f>
        <v/>
      </c>
      <c r="BI37" s="133" t="str">
        <f>IF($A37&lt;&gt;0,VLOOKUP($A37,'0.Productos'!$A$3:$GG$587,'0.Productos'!DA$1+1,0),"")</f>
        <v/>
      </c>
      <c r="BJ37" s="133" t="str">
        <f>IF($A37&lt;&gt;0,VLOOKUP($A37,'0.Productos'!$A$3:$GG$587,'0.Productos'!DB$1+1,0),"")</f>
        <v/>
      </c>
      <c r="BK37" s="133" t="str">
        <f>IF($A37&lt;&gt;0,VLOOKUP($A37,'0.Productos'!$A$3:$GG$587,'0.Productos'!DC$1+1,0),"")</f>
        <v/>
      </c>
      <c r="BL37" s="133" t="str">
        <f>IF($A37&lt;&gt;0,VLOOKUP($A37,'0.Productos'!$A$3:$GG$587,'0.Productos'!DD$1+1,0),"")</f>
        <v/>
      </c>
      <c r="BM37" s="133" t="str">
        <f>IF($A37&lt;&gt;0,VLOOKUP($A37,'0.Productos'!$A$3:$GG$587,'0.Productos'!DE$1+1,0),"")</f>
        <v/>
      </c>
      <c r="BN37" s="133" t="str">
        <f>IF($A37&lt;&gt;0,VLOOKUP($A37,'0.Productos'!$A$3:$GG$587,'0.Productos'!DF$1+1,0),"")</f>
        <v/>
      </c>
      <c r="BO37" s="133" t="str">
        <f>IF($A37&lt;&gt;0,VLOOKUP($A37,'0.Productos'!$A$3:$GG$587,'0.Productos'!DG$1+1,0),"")</f>
        <v/>
      </c>
      <c r="BP37" s="133" t="str">
        <f>IF($A37&lt;&gt;0,VLOOKUP($A37,'0.Productos'!$A$3:$GG$587,'0.Productos'!DH$1+1,0),"")</f>
        <v/>
      </c>
      <c r="BQ37" s="133" t="str">
        <f>IF($A37&lt;&gt;0,VLOOKUP($A37,'0.Productos'!$A$3:$GG$587,'0.Productos'!DI$1+1,0),"")</f>
        <v/>
      </c>
      <c r="BR37" s="133" t="str">
        <f>IF($A37&lt;&gt;0,VLOOKUP($A37,'0.Productos'!$A$3:$GG$587,'0.Productos'!DJ$1+1,0),"")</f>
        <v/>
      </c>
      <c r="BS37" s="133" t="str">
        <f>IF($A37&lt;&gt;0,VLOOKUP($A37,'0.Productos'!$A$3:$GG$587,'0.Productos'!DK$1+1,0),"")</f>
        <v/>
      </c>
      <c r="BT37" s="133" t="str">
        <f>IF($A37&lt;&gt;0,VLOOKUP($A37,'0.Productos'!$A$3:$GG$587,'0.Productos'!DL$1+1,0),"")</f>
        <v/>
      </c>
    </row>
    <row r="38" spans="1:72" x14ac:dyDescent="0.25">
      <c r="A38" s="17">
        <f>'0.Consolidado general'!A38</f>
        <v>0</v>
      </c>
      <c r="B38" s="133" t="str">
        <f>IF($A38&lt;&gt;0,VLOOKUP($A38,'0.Productos'!$A$3:$GG$587,'0.Productos'!AT$1+1,0),"")</f>
        <v/>
      </c>
      <c r="C38" s="133" t="str">
        <f>IF($A38&lt;&gt;0,VLOOKUP($A38,'0.Productos'!$A$3:$GG$587,'0.Productos'!AU$1+1,0),"")</f>
        <v/>
      </c>
      <c r="D38" s="133" t="str">
        <f>IF($A38&lt;&gt;0,VLOOKUP($A38,'0.Productos'!$A$3:$GG$587,'0.Productos'!AV$1+1,0),"")</f>
        <v/>
      </c>
      <c r="E38" s="133" t="str">
        <f>IF($A38&lt;&gt;0,VLOOKUP($A38,'0.Productos'!$A$3:$GG$587,'0.Productos'!AW$1+1,0),"")</f>
        <v/>
      </c>
      <c r="F38" s="133" t="str">
        <f>IF($A38&lt;&gt;0,VLOOKUP($A38,'0.Productos'!$A$3:$GG$587,'0.Productos'!AX$1+1,0),"")</f>
        <v/>
      </c>
      <c r="G38" s="133" t="str">
        <f>IF($A38&lt;&gt;0,VLOOKUP($A38,'0.Productos'!$A$3:$GG$587,'0.Productos'!AY$1+1,0),"")</f>
        <v/>
      </c>
      <c r="H38" s="133" t="str">
        <f>IF($A38&lt;&gt;0,VLOOKUP($A38,'0.Productos'!$A$3:$GG$587,'0.Productos'!AZ$1+1,0),"")</f>
        <v/>
      </c>
      <c r="I38" s="133" t="str">
        <f>IF($A38&lt;&gt;0,VLOOKUP($A38,'0.Productos'!$A$3:$GG$587,'0.Productos'!BA$1+1,0),"")</f>
        <v/>
      </c>
      <c r="J38" s="133" t="str">
        <f>IF($A38&lt;&gt;0,VLOOKUP($A38,'0.Productos'!$A$3:$GG$587,'0.Productos'!BB$1+1,0),"")</f>
        <v/>
      </c>
      <c r="K38" s="133" t="str">
        <f>IF($A38&lt;&gt;0,VLOOKUP($A38,'0.Productos'!$A$3:$GG$587,'0.Productos'!BC$1+1,0),"")</f>
        <v/>
      </c>
      <c r="L38" s="133" t="str">
        <f>IF($A38&lt;&gt;0,VLOOKUP($A38,'0.Productos'!$A$3:$GG$587,'0.Productos'!BD$1+1,0),"")</f>
        <v/>
      </c>
      <c r="M38" s="133" t="str">
        <f>IF($A38&lt;&gt;0,VLOOKUP($A38,'0.Productos'!$A$3:$GG$587,'0.Productos'!BE$1+1,0),"")</f>
        <v/>
      </c>
      <c r="N38" s="133" t="str">
        <f>IF($A38&lt;&gt;0,VLOOKUP($A38,'0.Productos'!$A$3:$GG$587,'0.Productos'!BF$1+1,0),"")</f>
        <v/>
      </c>
      <c r="O38" s="133" t="str">
        <f>IF($A38&lt;&gt;0,VLOOKUP($A38,'0.Productos'!$A$3:$GG$587,'0.Productos'!BG$1+1,0),"")</f>
        <v/>
      </c>
      <c r="P38" s="133" t="str">
        <f>IF($A38&lt;&gt;0,VLOOKUP($A38,'0.Productos'!$A$3:$GG$587,'0.Productos'!BH$1+1,0),"")</f>
        <v/>
      </c>
      <c r="Q38" s="133" t="str">
        <f>IF($A38&lt;&gt;0,VLOOKUP($A38,'0.Productos'!$A$3:$GG$587,'0.Productos'!BI$1+1,0),"")</f>
        <v/>
      </c>
      <c r="R38" s="133" t="str">
        <f>IF($A38&lt;&gt;0,VLOOKUP($A38,'0.Productos'!$A$3:$GG$587,'0.Productos'!BJ$1+1,0),"")</f>
        <v/>
      </c>
      <c r="S38" s="133" t="str">
        <f>IF($A38&lt;&gt;0,VLOOKUP($A38,'0.Productos'!$A$3:$GG$587,'0.Productos'!BK$1+1,0),"")</f>
        <v/>
      </c>
      <c r="T38" s="133" t="str">
        <f>IF($A38&lt;&gt;0,VLOOKUP($A38,'0.Productos'!$A$3:$GG$587,'0.Productos'!BL$1+1,0),"")</f>
        <v/>
      </c>
      <c r="U38" s="133" t="str">
        <f>IF($A38&lt;&gt;0,VLOOKUP($A38,'0.Productos'!$A$3:$GG$587,'0.Productos'!BM$1+1,0),"")</f>
        <v/>
      </c>
      <c r="V38" s="133" t="str">
        <f>IF($A38&lt;&gt;0,VLOOKUP($A38,'0.Productos'!$A$3:$GG$587,'0.Productos'!BN$1+1,0),"")</f>
        <v/>
      </c>
      <c r="W38" s="133" t="str">
        <f>IF($A38&lt;&gt;0,VLOOKUP($A38,'0.Productos'!$A$3:$GG$587,'0.Productos'!BO$1+1,0),"")</f>
        <v/>
      </c>
      <c r="X38" s="133" t="str">
        <f>IF($A38&lt;&gt;0,VLOOKUP($A38,'0.Productos'!$A$3:$GG$587,'0.Productos'!BP$1+1,0),"")</f>
        <v/>
      </c>
      <c r="Y38" s="133" t="str">
        <f>IF($A38&lt;&gt;0,VLOOKUP($A38,'0.Productos'!$A$3:$GG$587,'0.Productos'!BQ$1+1,0),"")</f>
        <v/>
      </c>
      <c r="Z38" s="133" t="str">
        <f>IF($A38&lt;&gt;0,VLOOKUP($A38,'0.Productos'!$A$3:$GG$587,'0.Productos'!BR$1+1,0),"")</f>
        <v/>
      </c>
      <c r="AA38" s="133" t="str">
        <f>IF($A38&lt;&gt;0,VLOOKUP($A38,'0.Productos'!$A$3:$GG$587,'0.Productos'!BS$1+1,0),"")</f>
        <v/>
      </c>
      <c r="AB38" s="133" t="str">
        <f>IF($A38&lt;&gt;0,VLOOKUP($A38,'0.Productos'!$A$3:$GG$587,'0.Productos'!BT$1+1,0),"")</f>
        <v/>
      </c>
      <c r="AC38" s="133" t="str">
        <f>IF($A38&lt;&gt;0,VLOOKUP($A38,'0.Productos'!$A$3:$GG$587,'0.Productos'!BU$1+1,0),"")</f>
        <v/>
      </c>
      <c r="AD38" s="133" t="str">
        <f>IF($A38&lt;&gt;0,VLOOKUP($A38,'0.Productos'!$A$3:$GG$587,'0.Productos'!BV$1+1,0),"")</f>
        <v/>
      </c>
      <c r="AE38" s="133" t="str">
        <f>IF($A38&lt;&gt;0,VLOOKUP($A38,'0.Productos'!$A$3:$GG$587,'0.Productos'!BW$1+1,0),"")</f>
        <v/>
      </c>
      <c r="AF38" s="133" t="str">
        <f>IF($A38&lt;&gt;0,VLOOKUP($A38,'0.Productos'!$A$3:$GG$587,'0.Productos'!BX$1+1,0),"")</f>
        <v/>
      </c>
      <c r="AG38" s="133" t="str">
        <f>IF($A38&lt;&gt;0,VLOOKUP($A38,'0.Productos'!$A$3:$GG$587,'0.Productos'!BY$1+1,0),"")</f>
        <v/>
      </c>
      <c r="AH38" s="133" t="str">
        <f>IF($A38&lt;&gt;0,VLOOKUP($A38,'0.Productos'!$A$3:$GG$587,'0.Productos'!BZ$1+1,0),"")</f>
        <v/>
      </c>
      <c r="AI38" s="133" t="str">
        <f>IF($A38&lt;&gt;0,VLOOKUP($A38,'0.Productos'!$A$3:$GG$587,'0.Productos'!CA$1+1,0),"")</f>
        <v/>
      </c>
      <c r="AJ38" s="133" t="str">
        <f>IF($A38&lt;&gt;0,VLOOKUP($A38,'0.Productos'!$A$3:$GG$587,'0.Productos'!CB$1+1,0),"")</f>
        <v/>
      </c>
      <c r="AK38" s="133" t="str">
        <f>IF($A38&lt;&gt;0,VLOOKUP($A38,'0.Productos'!$A$3:$GG$587,'0.Productos'!CC$1+1,0),"")</f>
        <v/>
      </c>
      <c r="AL38" s="133" t="str">
        <f>IF($A38&lt;&gt;0,VLOOKUP($A38,'0.Productos'!$A$3:$GG$587,'0.Productos'!CD$1+1,0),"")</f>
        <v/>
      </c>
      <c r="AM38" s="133" t="str">
        <f>IF($A38&lt;&gt;0,VLOOKUP($A38,'0.Productos'!$A$3:$GG$587,'0.Productos'!CE$1+1,0),"")</f>
        <v/>
      </c>
      <c r="AN38" s="133" t="str">
        <f>IF($A38&lt;&gt;0,VLOOKUP($A38,'0.Productos'!$A$3:$GG$587,'0.Productos'!CF$1+1,0),"")</f>
        <v/>
      </c>
      <c r="AO38" s="133" t="str">
        <f>IF($A38&lt;&gt;0,VLOOKUP($A38,'0.Productos'!$A$3:$GG$587,'0.Productos'!CG$1+1,0),"")</f>
        <v/>
      </c>
      <c r="AP38" s="133" t="str">
        <f>IF($A38&lt;&gt;0,VLOOKUP($A38,'0.Productos'!$A$3:$GG$587,'0.Productos'!CH$1+1,0),"")</f>
        <v/>
      </c>
      <c r="AQ38" s="133" t="str">
        <f>IF($A38&lt;&gt;0,VLOOKUP($A38,'0.Productos'!$A$3:$GG$587,'0.Productos'!CI$1+1,0),"")</f>
        <v/>
      </c>
      <c r="AR38" s="133" t="str">
        <f>IF($A38&lt;&gt;0,VLOOKUP($A38,'0.Productos'!$A$3:$GG$587,'0.Productos'!CJ$1+1,0),"")</f>
        <v/>
      </c>
      <c r="AS38" s="133" t="str">
        <f>IF($A38&lt;&gt;0,VLOOKUP($A38,'0.Productos'!$A$3:$GG$587,'0.Productos'!CK$1+1,0),"")</f>
        <v/>
      </c>
      <c r="AT38" s="133" t="str">
        <f>IF($A38&lt;&gt;0,VLOOKUP($A38,'0.Productos'!$A$3:$GG$587,'0.Productos'!CL$1+1,0),"")</f>
        <v/>
      </c>
      <c r="AU38" s="133" t="str">
        <f>IF($A38&lt;&gt;0,VLOOKUP($A38,'0.Productos'!$A$3:$GG$587,'0.Productos'!CM$1+1,0),"")</f>
        <v/>
      </c>
      <c r="AV38" s="133" t="str">
        <f>IF($A38&lt;&gt;0,VLOOKUP($A38,'0.Productos'!$A$3:$GG$587,'0.Productos'!CN$1+1,0),"")</f>
        <v/>
      </c>
      <c r="AW38" s="133" t="str">
        <f>IF($A38&lt;&gt;0,VLOOKUP($A38,'0.Productos'!$A$3:$GG$587,'0.Productos'!CO$1+1,0),"")</f>
        <v/>
      </c>
      <c r="AX38" s="133" t="str">
        <f>IF($A38&lt;&gt;0,VLOOKUP($A38,'0.Productos'!$A$3:$GG$587,'0.Productos'!CP$1+1,0),"")</f>
        <v/>
      </c>
      <c r="AY38" s="133" t="str">
        <f>IF($A38&lt;&gt;0,VLOOKUP($A38,'0.Productos'!$A$3:$GG$587,'0.Productos'!CQ$1+1,0),"")</f>
        <v/>
      </c>
      <c r="AZ38" s="133" t="str">
        <f>IF($A38&lt;&gt;0,VLOOKUP($A38,'0.Productos'!$A$3:$GG$587,'0.Productos'!CR$1+1,0),"")</f>
        <v/>
      </c>
      <c r="BA38" s="133" t="str">
        <f>IF($A38&lt;&gt;0,VLOOKUP($A38,'0.Productos'!$A$3:$GG$587,'0.Productos'!CS$1+1,0),"")</f>
        <v/>
      </c>
      <c r="BB38" s="133" t="str">
        <f>IF($A38&lt;&gt;0,VLOOKUP($A38,'0.Productos'!$A$3:$GG$587,'0.Productos'!CT$1+1,0),"")</f>
        <v/>
      </c>
      <c r="BC38" s="133" t="str">
        <f>IF($A38&lt;&gt;0,VLOOKUP($A38,'0.Productos'!$A$3:$GG$587,'0.Productos'!CU$1+1,0),"")</f>
        <v/>
      </c>
      <c r="BD38" s="133" t="str">
        <f>IF($A38&lt;&gt;0,VLOOKUP($A38,'0.Productos'!$A$3:$GG$587,'0.Productos'!CV$1+1,0),"")</f>
        <v/>
      </c>
      <c r="BE38" s="133" t="str">
        <f>IF($A38&lt;&gt;0,VLOOKUP($A38,'0.Productos'!$A$3:$GG$587,'0.Productos'!CW$1+1,0),"")</f>
        <v/>
      </c>
      <c r="BF38" s="133" t="str">
        <f>IF($A38&lt;&gt;0,VLOOKUP($A38,'0.Productos'!$A$3:$GG$587,'0.Productos'!CX$1+1,0),"")</f>
        <v/>
      </c>
      <c r="BG38" s="133" t="str">
        <f>IF($A38&lt;&gt;0,VLOOKUP($A38,'0.Productos'!$A$3:$GG$587,'0.Productos'!CY$1+1,0),"")</f>
        <v/>
      </c>
      <c r="BH38" s="133" t="str">
        <f>IF($A38&lt;&gt;0,VLOOKUP($A38,'0.Productos'!$A$3:$GG$587,'0.Productos'!CZ$1+1,0),"")</f>
        <v/>
      </c>
      <c r="BI38" s="133" t="str">
        <f>IF($A38&lt;&gt;0,VLOOKUP($A38,'0.Productos'!$A$3:$GG$587,'0.Productos'!DA$1+1,0),"")</f>
        <v/>
      </c>
      <c r="BJ38" s="133" t="str">
        <f>IF($A38&lt;&gt;0,VLOOKUP($A38,'0.Productos'!$A$3:$GG$587,'0.Productos'!DB$1+1,0),"")</f>
        <v/>
      </c>
      <c r="BK38" s="133" t="str">
        <f>IF($A38&lt;&gt;0,VLOOKUP($A38,'0.Productos'!$A$3:$GG$587,'0.Productos'!DC$1+1,0),"")</f>
        <v/>
      </c>
      <c r="BL38" s="133" t="str">
        <f>IF($A38&lt;&gt;0,VLOOKUP($A38,'0.Productos'!$A$3:$GG$587,'0.Productos'!DD$1+1,0),"")</f>
        <v/>
      </c>
      <c r="BM38" s="133" t="str">
        <f>IF($A38&lt;&gt;0,VLOOKUP($A38,'0.Productos'!$A$3:$GG$587,'0.Productos'!DE$1+1,0),"")</f>
        <v/>
      </c>
      <c r="BN38" s="133" t="str">
        <f>IF($A38&lt;&gt;0,VLOOKUP($A38,'0.Productos'!$A$3:$GG$587,'0.Productos'!DF$1+1,0),"")</f>
        <v/>
      </c>
      <c r="BO38" s="133" t="str">
        <f>IF($A38&lt;&gt;0,VLOOKUP($A38,'0.Productos'!$A$3:$GG$587,'0.Productos'!DG$1+1,0),"")</f>
        <v/>
      </c>
      <c r="BP38" s="133" t="str">
        <f>IF($A38&lt;&gt;0,VLOOKUP($A38,'0.Productos'!$A$3:$GG$587,'0.Productos'!DH$1+1,0),"")</f>
        <v/>
      </c>
      <c r="BQ38" s="133" t="str">
        <f>IF($A38&lt;&gt;0,VLOOKUP($A38,'0.Productos'!$A$3:$GG$587,'0.Productos'!DI$1+1,0),"")</f>
        <v/>
      </c>
      <c r="BR38" s="133" t="str">
        <f>IF($A38&lt;&gt;0,VLOOKUP($A38,'0.Productos'!$A$3:$GG$587,'0.Productos'!DJ$1+1,0),"")</f>
        <v/>
      </c>
      <c r="BS38" s="133" t="str">
        <f>IF($A38&lt;&gt;0,VLOOKUP($A38,'0.Productos'!$A$3:$GG$587,'0.Productos'!DK$1+1,0),"")</f>
        <v/>
      </c>
      <c r="BT38" s="133" t="str">
        <f>IF($A38&lt;&gt;0,VLOOKUP($A38,'0.Productos'!$A$3:$GG$587,'0.Productos'!DL$1+1,0),"")</f>
        <v/>
      </c>
    </row>
    <row r="39" spans="1:72" x14ac:dyDescent="0.25">
      <c r="A39" s="17">
        <f>'0.Consolidado general'!A39</f>
        <v>0</v>
      </c>
      <c r="B39" s="133" t="str">
        <f>IF($A39&lt;&gt;0,VLOOKUP($A39,'0.Productos'!$A$3:$GG$587,'0.Productos'!AT$1+1,0),"")</f>
        <v/>
      </c>
      <c r="C39" s="133" t="str">
        <f>IF($A39&lt;&gt;0,VLOOKUP($A39,'0.Productos'!$A$3:$GG$587,'0.Productos'!AU$1+1,0),"")</f>
        <v/>
      </c>
      <c r="D39" s="133" t="str">
        <f>IF($A39&lt;&gt;0,VLOOKUP($A39,'0.Productos'!$A$3:$GG$587,'0.Productos'!AV$1+1,0),"")</f>
        <v/>
      </c>
      <c r="E39" s="133" t="str">
        <f>IF($A39&lt;&gt;0,VLOOKUP($A39,'0.Productos'!$A$3:$GG$587,'0.Productos'!AW$1+1,0),"")</f>
        <v/>
      </c>
      <c r="F39" s="133" t="str">
        <f>IF($A39&lt;&gt;0,VLOOKUP($A39,'0.Productos'!$A$3:$GG$587,'0.Productos'!AX$1+1,0),"")</f>
        <v/>
      </c>
      <c r="G39" s="133" t="str">
        <f>IF($A39&lt;&gt;0,VLOOKUP($A39,'0.Productos'!$A$3:$GG$587,'0.Productos'!AY$1+1,0),"")</f>
        <v/>
      </c>
      <c r="H39" s="133" t="str">
        <f>IF($A39&lt;&gt;0,VLOOKUP($A39,'0.Productos'!$A$3:$GG$587,'0.Productos'!AZ$1+1,0),"")</f>
        <v/>
      </c>
      <c r="I39" s="133" t="str">
        <f>IF($A39&lt;&gt;0,VLOOKUP($A39,'0.Productos'!$A$3:$GG$587,'0.Productos'!BA$1+1,0),"")</f>
        <v/>
      </c>
      <c r="J39" s="133" t="str">
        <f>IF($A39&lt;&gt;0,VLOOKUP($A39,'0.Productos'!$A$3:$GG$587,'0.Productos'!BB$1+1,0),"")</f>
        <v/>
      </c>
      <c r="K39" s="133" t="str">
        <f>IF($A39&lt;&gt;0,VLOOKUP($A39,'0.Productos'!$A$3:$GG$587,'0.Productos'!BC$1+1,0),"")</f>
        <v/>
      </c>
      <c r="L39" s="133" t="str">
        <f>IF($A39&lt;&gt;0,VLOOKUP($A39,'0.Productos'!$A$3:$GG$587,'0.Productos'!BD$1+1,0),"")</f>
        <v/>
      </c>
      <c r="M39" s="133" t="str">
        <f>IF($A39&lt;&gt;0,VLOOKUP($A39,'0.Productos'!$A$3:$GG$587,'0.Productos'!BE$1+1,0),"")</f>
        <v/>
      </c>
      <c r="N39" s="133" t="str">
        <f>IF($A39&lt;&gt;0,VLOOKUP($A39,'0.Productos'!$A$3:$GG$587,'0.Productos'!BF$1+1,0),"")</f>
        <v/>
      </c>
      <c r="O39" s="133" t="str">
        <f>IF($A39&lt;&gt;0,VLOOKUP($A39,'0.Productos'!$A$3:$GG$587,'0.Productos'!BG$1+1,0),"")</f>
        <v/>
      </c>
      <c r="P39" s="133" t="str">
        <f>IF($A39&lt;&gt;0,VLOOKUP($A39,'0.Productos'!$A$3:$GG$587,'0.Productos'!BH$1+1,0),"")</f>
        <v/>
      </c>
      <c r="Q39" s="133" t="str">
        <f>IF($A39&lt;&gt;0,VLOOKUP($A39,'0.Productos'!$A$3:$GG$587,'0.Productos'!BI$1+1,0),"")</f>
        <v/>
      </c>
      <c r="R39" s="133" t="str">
        <f>IF($A39&lt;&gt;0,VLOOKUP($A39,'0.Productos'!$A$3:$GG$587,'0.Productos'!BJ$1+1,0),"")</f>
        <v/>
      </c>
      <c r="S39" s="133" t="str">
        <f>IF($A39&lt;&gt;0,VLOOKUP($A39,'0.Productos'!$A$3:$GG$587,'0.Productos'!BK$1+1,0),"")</f>
        <v/>
      </c>
      <c r="T39" s="133" t="str">
        <f>IF($A39&lt;&gt;0,VLOOKUP($A39,'0.Productos'!$A$3:$GG$587,'0.Productos'!BL$1+1,0),"")</f>
        <v/>
      </c>
      <c r="U39" s="133" t="str">
        <f>IF($A39&lt;&gt;0,VLOOKUP($A39,'0.Productos'!$A$3:$GG$587,'0.Productos'!BM$1+1,0),"")</f>
        <v/>
      </c>
      <c r="V39" s="133" t="str">
        <f>IF($A39&lt;&gt;0,VLOOKUP($A39,'0.Productos'!$A$3:$GG$587,'0.Productos'!BN$1+1,0),"")</f>
        <v/>
      </c>
      <c r="W39" s="133" t="str">
        <f>IF($A39&lt;&gt;0,VLOOKUP($A39,'0.Productos'!$A$3:$GG$587,'0.Productos'!BO$1+1,0),"")</f>
        <v/>
      </c>
      <c r="X39" s="133" t="str">
        <f>IF($A39&lt;&gt;0,VLOOKUP($A39,'0.Productos'!$A$3:$GG$587,'0.Productos'!BP$1+1,0),"")</f>
        <v/>
      </c>
      <c r="Y39" s="133" t="str">
        <f>IF($A39&lt;&gt;0,VLOOKUP($A39,'0.Productos'!$A$3:$GG$587,'0.Productos'!BQ$1+1,0),"")</f>
        <v/>
      </c>
      <c r="Z39" s="133" t="str">
        <f>IF($A39&lt;&gt;0,VLOOKUP($A39,'0.Productos'!$A$3:$GG$587,'0.Productos'!BR$1+1,0),"")</f>
        <v/>
      </c>
      <c r="AA39" s="133" t="str">
        <f>IF($A39&lt;&gt;0,VLOOKUP($A39,'0.Productos'!$A$3:$GG$587,'0.Productos'!BS$1+1,0),"")</f>
        <v/>
      </c>
      <c r="AB39" s="133" t="str">
        <f>IF($A39&lt;&gt;0,VLOOKUP($A39,'0.Productos'!$A$3:$GG$587,'0.Productos'!BT$1+1,0),"")</f>
        <v/>
      </c>
      <c r="AC39" s="133" t="str">
        <f>IF($A39&lt;&gt;0,VLOOKUP($A39,'0.Productos'!$A$3:$GG$587,'0.Productos'!BU$1+1,0),"")</f>
        <v/>
      </c>
      <c r="AD39" s="133" t="str">
        <f>IF($A39&lt;&gt;0,VLOOKUP($A39,'0.Productos'!$A$3:$GG$587,'0.Productos'!BV$1+1,0),"")</f>
        <v/>
      </c>
      <c r="AE39" s="133" t="str">
        <f>IF($A39&lt;&gt;0,VLOOKUP($A39,'0.Productos'!$A$3:$GG$587,'0.Productos'!BW$1+1,0),"")</f>
        <v/>
      </c>
      <c r="AF39" s="133" t="str">
        <f>IF($A39&lt;&gt;0,VLOOKUP($A39,'0.Productos'!$A$3:$GG$587,'0.Productos'!BX$1+1,0),"")</f>
        <v/>
      </c>
      <c r="AG39" s="133" t="str">
        <f>IF($A39&lt;&gt;0,VLOOKUP($A39,'0.Productos'!$A$3:$GG$587,'0.Productos'!BY$1+1,0),"")</f>
        <v/>
      </c>
      <c r="AH39" s="133" t="str">
        <f>IF($A39&lt;&gt;0,VLOOKUP($A39,'0.Productos'!$A$3:$GG$587,'0.Productos'!BZ$1+1,0),"")</f>
        <v/>
      </c>
      <c r="AI39" s="133" t="str">
        <f>IF($A39&lt;&gt;0,VLOOKUP($A39,'0.Productos'!$A$3:$GG$587,'0.Productos'!CA$1+1,0),"")</f>
        <v/>
      </c>
      <c r="AJ39" s="133" t="str">
        <f>IF($A39&lt;&gt;0,VLOOKUP($A39,'0.Productos'!$A$3:$GG$587,'0.Productos'!CB$1+1,0),"")</f>
        <v/>
      </c>
      <c r="AK39" s="133" t="str">
        <f>IF($A39&lt;&gt;0,VLOOKUP($A39,'0.Productos'!$A$3:$GG$587,'0.Productos'!CC$1+1,0),"")</f>
        <v/>
      </c>
      <c r="AL39" s="133" t="str">
        <f>IF($A39&lt;&gt;0,VLOOKUP($A39,'0.Productos'!$A$3:$GG$587,'0.Productos'!CD$1+1,0),"")</f>
        <v/>
      </c>
      <c r="AM39" s="133" t="str">
        <f>IF($A39&lt;&gt;0,VLOOKUP($A39,'0.Productos'!$A$3:$GG$587,'0.Productos'!CE$1+1,0),"")</f>
        <v/>
      </c>
      <c r="AN39" s="133" t="str">
        <f>IF($A39&lt;&gt;0,VLOOKUP($A39,'0.Productos'!$A$3:$GG$587,'0.Productos'!CF$1+1,0),"")</f>
        <v/>
      </c>
      <c r="AO39" s="133" t="str">
        <f>IF($A39&lt;&gt;0,VLOOKUP($A39,'0.Productos'!$A$3:$GG$587,'0.Productos'!CG$1+1,0),"")</f>
        <v/>
      </c>
      <c r="AP39" s="133" t="str">
        <f>IF($A39&lt;&gt;0,VLOOKUP($A39,'0.Productos'!$A$3:$GG$587,'0.Productos'!CH$1+1,0),"")</f>
        <v/>
      </c>
      <c r="AQ39" s="133" t="str">
        <f>IF($A39&lt;&gt;0,VLOOKUP($A39,'0.Productos'!$A$3:$GG$587,'0.Productos'!CI$1+1,0),"")</f>
        <v/>
      </c>
      <c r="AR39" s="133" t="str">
        <f>IF($A39&lt;&gt;0,VLOOKUP($A39,'0.Productos'!$A$3:$GG$587,'0.Productos'!CJ$1+1,0),"")</f>
        <v/>
      </c>
      <c r="AS39" s="133" t="str">
        <f>IF($A39&lt;&gt;0,VLOOKUP($A39,'0.Productos'!$A$3:$GG$587,'0.Productos'!CK$1+1,0),"")</f>
        <v/>
      </c>
      <c r="AT39" s="133" t="str">
        <f>IF($A39&lt;&gt;0,VLOOKUP($A39,'0.Productos'!$A$3:$GG$587,'0.Productos'!CL$1+1,0),"")</f>
        <v/>
      </c>
      <c r="AU39" s="133" t="str">
        <f>IF($A39&lt;&gt;0,VLOOKUP($A39,'0.Productos'!$A$3:$GG$587,'0.Productos'!CM$1+1,0),"")</f>
        <v/>
      </c>
      <c r="AV39" s="133" t="str">
        <f>IF($A39&lt;&gt;0,VLOOKUP($A39,'0.Productos'!$A$3:$GG$587,'0.Productos'!CN$1+1,0),"")</f>
        <v/>
      </c>
      <c r="AW39" s="133" t="str">
        <f>IF($A39&lt;&gt;0,VLOOKUP($A39,'0.Productos'!$A$3:$GG$587,'0.Productos'!CO$1+1,0),"")</f>
        <v/>
      </c>
      <c r="AX39" s="133" t="str">
        <f>IF($A39&lt;&gt;0,VLOOKUP($A39,'0.Productos'!$A$3:$GG$587,'0.Productos'!CP$1+1,0),"")</f>
        <v/>
      </c>
      <c r="AY39" s="133" t="str">
        <f>IF($A39&lt;&gt;0,VLOOKUP($A39,'0.Productos'!$A$3:$GG$587,'0.Productos'!CQ$1+1,0),"")</f>
        <v/>
      </c>
      <c r="AZ39" s="133" t="str">
        <f>IF($A39&lt;&gt;0,VLOOKUP($A39,'0.Productos'!$A$3:$GG$587,'0.Productos'!CR$1+1,0),"")</f>
        <v/>
      </c>
      <c r="BA39" s="133" t="str">
        <f>IF($A39&lt;&gt;0,VLOOKUP($A39,'0.Productos'!$A$3:$GG$587,'0.Productos'!CS$1+1,0),"")</f>
        <v/>
      </c>
      <c r="BB39" s="133" t="str">
        <f>IF($A39&lt;&gt;0,VLOOKUP($A39,'0.Productos'!$A$3:$GG$587,'0.Productos'!CT$1+1,0),"")</f>
        <v/>
      </c>
      <c r="BC39" s="133" t="str">
        <f>IF($A39&lt;&gt;0,VLOOKUP($A39,'0.Productos'!$A$3:$GG$587,'0.Productos'!CU$1+1,0),"")</f>
        <v/>
      </c>
      <c r="BD39" s="133" t="str">
        <f>IF($A39&lt;&gt;0,VLOOKUP($A39,'0.Productos'!$A$3:$GG$587,'0.Productos'!CV$1+1,0),"")</f>
        <v/>
      </c>
      <c r="BE39" s="133" t="str">
        <f>IF($A39&lt;&gt;0,VLOOKUP($A39,'0.Productos'!$A$3:$GG$587,'0.Productos'!CW$1+1,0),"")</f>
        <v/>
      </c>
      <c r="BF39" s="133" t="str">
        <f>IF($A39&lt;&gt;0,VLOOKUP($A39,'0.Productos'!$A$3:$GG$587,'0.Productos'!CX$1+1,0),"")</f>
        <v/>
      </c>
      <c r="BG39" s="133" t="str">
        <f>IF($A39&lt;&gt;0,VLOOKUP($A39,'0.Productos'!$A$3:$GG$587,'0.Productos'!CY$1+1,0),"")</f>
        <v/>
      </c>
      <c r="BH39" s="133" t="str">
        <f>IF($A39&lt;&gt;0,VLOOKUP($A39,'0.Productos'!$A$3:$GG$587,'0.Productos'!CZ$1+1,0),"")</f>
        <v/>
      </c>
      <c r="BI39" s="133" t="str">
        <f>IF($A39&lt;&gt;0,VLOOKUP($A39,'0.Productos'!$A$3:$GG$587,'0.Productos'!DA$1+1,0),"")</f>
        <v/>
      </c>
      <c r="BJ39" s="133" t="str">
        <f>IF($A39&lt;&gt;0,VLOOKUP($A39,'0.Productos'!$A$3:$GG$587,'0.Productos'!DB$1+1,0),"")</f>
        <v/>
      </c>
      <c r="BK39" s="133" t="str">
        <f>IF($A39&lt;&gt;0,VLOOKUP($A39,'0.Productos'!$A$3:$GG$587,'0.Productos'!DC$1+1,0),"")</f>
        <v/>
      </c>
      <c r="BL39" s="133" t="str">
        <f>IF($A39&lt;&gt;0,VLOOKUP($A39,'0.Productos'!$A$3:$GG$587,'0.Productos'!DD$1+1,0),"")</f>
        <v/>
      </c>
      <c r="BM39" s="133" t="str">
        <f>IF($A39&lt;&gt;0,VLOOKUP($A39,'0.Productos'!$A$3:$GG$587,'0.Productos'!DE$1+1,0),"")</f>
        <v/>
      </c>
      <c r="BN39" s="133" t="str">
        <f>IF($A39&lt;&gt;0,VLOOKUP($A39,'0.Productos'!$A$3:$GG$587,'0.Productos'!DF$1+1,0),"")</f>
        <v/>
      </c>
      <c r="BO39" s="133" t="str">
        <f>IF($A39&lt;&gt;0,VLOOKUP($A39,'0.Productos'!$A$3:$GG$587,'0.Productos'!DG$1+1,0),"")</f>
        <v/>
      </c>
      <c r="BP39" s="133" t="str">
        <f>IF($A39&lt;&gt;0,VLOOKUP($A39,'0.Productos'!$A$3:$GG$587,'0.Productos'!DH$1+1,0),"")</f>
        <v/>
      </c>
      <c r="BQ39" s="133" t="str">
        <f>IF($A39&lt;&gt;0,VLOOKUP($A39,'0.Productos'!$A$3:$GG$587,'0.Productos'!DI$1+1,0),"")</f>
        <v/>
      </c>
      <c r="BR39" s="133" t="str">
        <f>IF($A39&lt;&gt;0,VLOOKUP($A39,'0.Productos'!$A$3:$GG$587,'0.Productos'!DJ$1+1,0),"")</f>
        <v/>
      </c>
      <c r="BS39" s="133" t="str">
        <f>IF($A39&lt;&gt;0,VLOOKUP($A39,'0.Productos'!$A$3:$GG$587,'0.Productos'!DK$1+1,0),"")</f>
        <v/>
      </c>
      <c r="BT39" s="133" t="str">
        <f>IF($A39&lt;&gt;0,VLOOKUP($A39,'0.Productos'!$A$3:$GG$587,'0.Productos'!DL$1+1,0),"")</f>
        <v/>
      </c>
    </row>
    <row r="40" spans="1:72" x14ac:dyDescent="0.25">
      <c r="A40" s="17">
        <f>'0.Consolidado general'!A40</f>
        <v>0</v>
      </c>
      <c r="B40" s="133" t="str">
        <f>IF($A40&lt;&gt;0,VLOOKUP($A40,'0.Productos'!$A$3:$GG$587,'0.Productos'!AT$1+1,0),"")</f>
        <v/>
      </c>
      <c r="C40" s="133" t="str">
        <f>IF($A40&lt;&gt;0,VLOOKUP($A40,'0.Productos'!$A$3:$GG$587,'0.Productos'!AU$1+1,0),"")</f>
        <v/>
      </c>
      <c r="D40" s="133" t="str">
        <f>IF($A40&lt;&gt;0,VLOOKUP($A40,'0.Productos'!$A$3:$GG$587,'0.Productos'!AV$1+1,0),"")</f>
        <v/>
      </c>
      <c r="E40" s="133" t="str">
        <f>IF($A40&lt;&gt;0,VLOOKUP($A40,'0.Productos'!$A$3:$GG$587,'0.Productos'!AW$1+1,0),"")</f>
        <v/>
      </c>
      <c r="F40" s="133" t="str">
        <f>IF($A40&lt;&gt;0,VLOOKUP($A40,'0.Productos'!$A$3:$GG$587,'0.Productos'!AX$1+1,0),"")</f>
        <v/>
      </c>
      <c r="G40" s="133" t="str">
        <f>IF($A40&lt;&gt;0,VLOOKUP($A40,'0.Productos'!$A$3:$GG$587,'0.Productos'!AY$1+1,0),"")</f>
        <v/>
      </c>
      <c r="H40" s="133" t="str">
        <f>IF($A40&lt;&gt;0,VLOOKUP($A40,'0.Productos'!$A$3:$GG$587,'0.Productos'!AZ$1+1,0),"")</f>
        <v/>
      </c>
      <c r="I40" s="133" t="str">
        <f>IF($A40&lt;&gt;0,VLOOKUP($A40,'0.Productos'!$A$3:$GG$587,'0.Productos'!BA$1+1,0),"")</f>
        <v/>
      </c>
      <c r="J40" s="133" t="str">
        <f>IF($A40&lt;&gt;0,VLOOKUP($A40,'0.Productos'!$A$3:$GG$587,'0.Productos'!BB$1+1,0),"")</f>
        <v/>
      </c>
      <c r="K40" s="133" t="str">
        <f>IF($A40&lt;&gt;0,VLOOKUP($A40,'0.Productos'!$A$3:$GG$587,'0.Productos'!BC$1+1,0),"")</f>
        <v/>
      </c>
      <c r="L40" s="133" t="str">
        <f>IF($A40&lt;&gt;0,VLOOKUP($A40,'0.Productos'!$A$3:$GG$587,'0.Productos'!BD$1+1,0),"")</f>
        <v/>
      </c>
      <c r="M40" s="133" t="str">
        <f>IF($A40&lt;&gt;0,VLOOKUP($A40,'0.Productos'!$A$3:$GG$587,'0.Productos'!BE$1+1,0),"")</f>
        <v/>
      </c>
      <c r="N40" s="133" t="str">
        <f>IF($A40&lt;&gt;0,VLOOKUP($A40,'0.Productos'!$A$3:$GG$587,'0.Productos'!BF$1+1,0),"")</f>
        <v/>
      </c>
      <c r="O40" s="133" t="str">
        <f>IF($A40&lt;&gt;0,VLOOKUP($A40,'0.Productos'!$A$3:$GG$587,'0.Productos'!BG$1+1,0),"")</f>
        <v/>
      </c>
      <c r="P40" s="133" t="str">
        <f>IF($A40&lt;&gt;0,VLOOKUP($A40,'0.Productos'!$A$3:$GG$587,'0.Productos'!BH$1+1,0),"")</f>
        <v/>
      </c>
      <c r="Q40" s="133" t="str">
        <f>IF($A40&lt;&gt;0,VLOOKUP($A40,'0.Productos'!$A$3:$GG$587,'0.Productos'!BI$1+1,0),"")</f>
        <v/>
      </c>
      <c r="R40" s="133" t="str">
        <f>IF($A40&lt;&gt;0,VLOOKUP($A40,'0.Productos'!$A$3:$GG$587,'0.Productos'!BJ$1+1,0),"")</f>
        <v/>
      </c>
      <c r="S40" s="133" t="str">
        <f>IF($A40&lt;&gt;0,VLOOKUP($A40,'0.Productos'!$A$3:$GG$587,'0.Productos'!BK$1+1,0),"")</f>
        <v/>
      </c>
      <c r="T40" s="133" t="str">
        <f>IF($A40&lt;&gt;0,VLOOKUP($A40,'0.Productos'!$A$3:$GG$587,'0.Productos'!BL$1+1,0),"")</f>
        <v/>
      </c>
      <c r="U40" s="133" t="str">
        <f>IF($A40&lt;&gt;0,VLOOKUP($A40,'0.Productos'!$A$3:$GG$587,'0.Productos'!BM$1+1,0),"")</f>
        <v/>
      </c>
      <c r="V40" s="133" t="str">
        <f>IF($A40&lt;&gt;0,VLOOKUP($A40,'0.Productos'!$A$3:$GG$587,'0.Productos'!BN$1+1,0),"")</f>
        <v/>
      </c>
      <c r="W40" s="133" t="str">
        <f>IF($A40&lt;&gt;0,VLOOKUP($A40,'0.Productos'!$A$3:$GG$587,'0.Productos'!BO$1+1,0),"")</f>
        <v/>
      </c>
      <c r="X40" s="133" t="str">
        <f>IF($A40&lt;&gt;0,VLOOKUP($A40,'0.Productos'!$A$3:$GG$587,'0.Productos'!BP$1+1,0),"")</f>
        <v/>
      </c>
      <c r="Y40" s="133" t="str">
        <f>IF($A40&lt;&gt;0,VLOOKUP($A40,'0.Productos'!$A$3:$GG$587,'0.Productos'!BQ$1+1,0),"")</f>
        <v/>
      </c>
      <c r="Z40" s="133" t="str">
        <f>IF($A40&lt;&gt;0,VLOOKUP($A40,'0.Productos'!$A$3:$GG$587,'0.Productos'!BR$1+1,0),"")</f>
        <v/>
      </c>
      <c r="AA40" s="133" t="str">
        <f>IF($A40&lt;&gt;0,VLOOKUP($A40,'0.Productos'!$A$3:$GG$587,'0.Productos'!BS$1+1,0),"")</f>
        <v/>
      </c>
      <c r="AB40" s="133" t="str">
        <f>IF($A40&lt;&gt;0,VLOOKUP($A40,'0.Productos'!$A$3:$GG$587,'0.Productos'!BT$1+1,0),"")</f>
        <v/>
      </c>
      <c r="AC40" s="133" t="str">
        <f>IF($A40&lt;&gt;0,VLOOKUP($A40,'0.Productos'!$A$3:$GG$587,'0.Productos'!BU$1+1,0),"")</f>
        <v/>
      </c>
      <c r="AD40" s="133" t="str">
        <f>IF($A40&lt;&gt;0,VLOOKUP($A40,'0.Productos'!$A$3:$GG$587,'0.Productos'!BV$1+1,0),"")</f>
        <v/>
      </c>
      <c r="AE40" s="133" t="str">
        <f>IF($A40&lt;&gt;0,VLOOKUP($A40,'0.Productos'!$A$3:$GG$587,'0.Productos'!BW$1+1,0),"")</f>
        <v/>
      </c>
      <c r="AF40" s="133" t="str">
        <f>IF($A40&lt;&gt;0,VLOOKUP($A40,'0.Productos'!$A$3:$GG$587,'0.Productos'!BX$1+1,0),"")</f>
        <v/>
      </c>
      <c r="AG40" s="133" t="str">
        <f>IF($A40&lt;&gt;0,VLOOKUP($A40,'0.Productos'!$A$3:$GG$587,'0.Productos'!BY$1+1,0),"")</f>
        <v/>
      </c>
      <c r="AH40" s="133" t="str">
        <f>IF($A40&lt;&gt;0,VLOOKUP($A40,'0.Productos'!$A$3:$GG$587,'0.Productos'!BZ$1+1,0),"")</f>
        <v/>
      </c>
      <c r="AI40" s="133" t="str">
        <f>IF($A40&lt;&gt;0,VLOOKUP($A40,'0.Productos'!$A$3:$GG$587,'0.Productos'!CA$1+1,0),"")</f>
        <v/>
      </c>
      <c r="AJ40" s="133" t="str">
        <f>IF($A40&lt;&gt;0,VLOOKUP($A40,'0.Productos'!$A$3:$GG$587,'0.Productos'!CB$1+1,0),"")</f>
        <v/>
      </c>
      <c r="AK40" s="133" t="str">
        <f>IF($A40&lt;&gt;0,VLOOKUP($A40,'0.Productos'!$A$3:$GG$587,'0.Productos'!CC$1+1,0),"")</f>
        <v/>
      </c>
      <c r="AL40" s="133" t="str">
        <f>IF($A40&lt;&gt;0,VLOOKUP($A40,'0.Productos'!$A$3:$GG$587,'0.Productos'!CD$1+1,0),"")</f>
        <v/>
      </c>
      <c r="AM40" s="133" t="str">
        <f>IF($A40&lt;&gt;0,VLOOKUP($A40,'0.Productos'!$A$3:$GG$587,'0.Productos'!CE$1+1,0),"")</f>
        <v/>
      </c>
      <c r="AN40" s="133" t="str">
        <f>IF($A40&lt;&gt;0,VLOOKUP($A40,'0.Productos'!$A$3:$GG$587,'0.Productos'!CF$1+1,0),"")</f>
        <v/>
      </c>
      <c r="AO40" s="133" t="str">
        <f>IF($A40&lt;&gt;0,VLOOKUP($A40,'0.Productos'!$A$3:$GG$587,'0.Productos'!CG$1+1,0),"")</f>
        <v/>
      </c>
      <c r="AP40" s="133" t="str">
        <f>IF($A40&lt;&gt;0,VLOOKUP($A40,'0.Productos'!$A$3:$GG$587,'0.Productos'!CH$1+1,0),"")</f>
        <v/>
      </c>
      <c r="AQ40" s="133" t="str">
        <f>IF($A40&lt;&gt;0,VLOOKUP($A40,'0.Productos'!$A$3:$GG$587,'0.Productos'!CI$1+1,0),"")</f>
        <v/>
      </c>
      <c r="AR40" s="133" t="str">
        <f>IF($A40&lt;&gt;0,VLOOKUP($A40,'0.Productos'!$A$3:$GG$587,'0.Productos'!CJ$1+1,0),"")</f>
        <v/>
      </c>
      <c r="AS40" s="133" t="str">
        <f>IF($A40&lt;&gt;0,VLOOKUP($A40,'0.Productos'!$A$3:$GG$587,'0.Productos'!CK$1+1,0),"")</f>
        <v/>
      </c>
      <c r="AT40" s="133" t="str">
        <f>IF($A40&lt;&gt;0,VLOOKUP($A40,'0.Productos'!$A$3:$GG$587,'0.Productos'!CL$1+1,0),"")</f>
        <v/>
      </c>
      <c r="AU40" s="133" t="str">
        <f>IF($A40&lt;&gt;0,VLOOKUP($A40,'0.Productos'!$A$3:$GG$587,'0.Productos'!CM$1+1,0),"")</f>
        <v/>
      </c>
      <c r="AV40" s="133" t="str">
        <f>IF($A40&lt;&gt;0,VLOOKUP($A40,'0.Productos'!$A$3:$GG$587,'0.Productos'!CN$1+1,0),"")</f>
        <v/>
      </c>
      <c r="AW40" s="133" t="str">
        <f>IF($A40&lt;&gt;0,VLOOKUP($A40,'0.Productos'!$A$3:$GG$587,'0.Productos'!CO$1+1,0),"")</f>
        <v/>
      </c>
      <c r="AX40" s="133" t="str">
        <f>IF($A40&lt;&gt;0,VLOOKUP($A40,'0.Productos'!$A$3:$GG$587,'0.Productos'!CP$1+1,0),"")</f>
        <v/>
      </c>
      <c r="AY40" s="133" t="str">
        <f>IF($A40&lt;&gt;0,VLOOKUP($A40,'0.Productos'!$A$3:$GG$587,'0.Productos'!CQ$1+1,0),"")</f>
        <v/>
      </c>
      <c r="AZ40" s="133" t="str">
        <f>IF($A40&lt;&gt;0,VLOOKUP($A40,'0.Productos'!$A$3:$GG$587,'0.Productos'!CR$1+1,0),"")</f>
        <v/>
      </c>
      <c r="BA40" s="133" t="str">
        <f>IF($A40&lt;&gt;0,VLOOKUP($A40,'0.Productos'!$A$3:$GG$587,'0.Productos'!CS$1+1,0),"")</f>
        <v/>
      </c>
      <c r="BB40" s="133" t="str">
        <f>IF($A40&lt;&gt;0,VLOOKUP($A40,'0.Productos'!$A$3:$GG$587,'0.Productos'!CT$1+1,0),"")</f>
        <v/>
      </c>
      <c r="BC40" s="133" t="str">
        <f>IF($A40&lt;&gt;0,VLOOKUP($A40,'0.Productos'!$A$3:$GG$587,'0.Productos'!CU$1+1,0),"")</f>
        <v/>
      </c>
      <c r="BD40" s="133" t="str">
        <f>IF($A40&lt;&gt;0,VLOOKUP($A40,'0.Productos'!$A$3:$GG$587,'0.Productos'!CV$1+1,0),"")</f>
        <v/>
      </c>
      <c r="BE40" s="133" t="str">
        <f>IF($A40&lt;&gt;0,VLOOKUP($A40,'0.Productos'!$A$3:$GG$587,'0.Productos'!CW$1+1,0),"")</f>
        <v/>
      </c>
      <c r="BF40" s="133" t="str">
        <f>IF($A40&lt;&gt;0,VLOOKUP($A40,'0.Productos'!$A$3:$GG$587,'0.Productos'!CX$1+1,0),"")</f>
        <v/>
      </c>
      <c r="BG40" s="133" t="str">
        <f>IF($A40&lt;&gt;0,VLOOKUP($A40,'0.Productos'!$A$3:$GG$587,'0.Productos'!CY$1+1,0),"")</f>
        <v/>
      </c>
      <c r="BH40" s="133" t="str">
        <f>IF($A40&lt;&gt;0,VLOOKUP($A40,'0.Productos'!$A$3:$GG$587,'0.Productos'!CZ$1+1,0),"")</f>
        <v/>
      </c>
      <c r="BI40" s="133" t="str">
        <f>IF($A40&lt;&gt;0,VLOOKUP($A40,'0.Productos'!$A$3:$GG$587,'0.Productos'!DA$1+1,0),"")</f>
        <v/>
      </c>
      <c r="BJ40" s="133" t="str">
        <f>IF($A40&lt;&gt;0,VLOOKUP($A40,'0.Productos'!$A$3:$GG$587,'0.Productos'!DB$1+1,0),"")</f>
        <v/>
      </c>
      <c r="BK40" s="133" t="str">
        <f>IF($A40&lt;&gt;0,VLOOKUP($A40,'0.Productos'!$A$3:$GG$587,'0.Productos'!DC$1+1,0),"")</f>
        <v/>
      </c>
      <c r="BL40" s="133" t="str">
        <f>IF($A40&lt;&gt;0,VLOOKUP($A40,'0.Productos'!$A$3:$GG$587,'0.Productos'!DD$1+1,0),"")</f>
        <v/>
      </c>
      <c r="BM40" s="133" t="str">
        <f>IF($A40&lt;&gt;0,VLOOKUP($A40,'0.Productos'!$A$3:$GG$587,'0.Productos'!DE$1+1,0),"")</f>
        <v/>
      </c>
      <c r="BN40" s="133" t="str">
        <f>IF($A40&lt;&gt;0,VLOOKUP($A40,'0.Productos'!$A$3:$GG$587,'0.Productos'!DF$1+1,0),"")</f>
        <v/>
      </c>
      <c r="BO40" s="133" t="str">
        <f>IF($A40&lt;&gt;0,VLOOKUP($A40,'0.Productos'!$A$3:$GG$587,'0.Productos'!DG$1+1,0),"")</f>
        <v/>
      </c>
      <c r="BP40" s="133" t="str">
        <f>IF($A40&lt;&gt;0,VLOOKUP($A40,'0.Productos'!$A$3:$GG$587,'0.Productos'!DH$1+1,0),"")</f>
        <v/>
      </c>
      <c r="BQ40" s="133" t="str">
        <f>IF($A40&lt;&gt;0,VLOOKUP($A40,'0.Productos'!$A$3:$GG$587,'0.Productos'!DI$1+1,0),"")</f>
        <v/>
      </c>
      <c r="BR40" s="133" t="str">
        <f>IF($A40&lt;&gt;0,VLOOKUP($A40,'0.Productos'!$A$3:$GG$587,'0.Productos'!DJ$1+1,0),"")</f>
        <v/>
      </c>
      <c r="BS40" s="133" t="str">
        <f>IF($A40&lt;&gt;0,VLOOKUP($A40,'0.Productos'!$A$3:$GG$587,'0.Productos'!DK$1+1,0),"")</f>
        <v/>
      </c>
      <c r="BT40" s="133" t="str">
        <f>IF($A40&lt;&gt;0,VLOOKUP($A40,'0.Productos'!$A$3:$GG$587,'0.Productos'!DL$1+1,0),"")</f>
        <v/>
      </c>
    </row>
    <row r="41" spans="1:72" x14ac:dyDescent="0.25">
      <c r="A41" s="17">
        <f>'0.Consolidado general'!A41</f>
        <v>0</v>
      </c>
      <c r="B41" s="133" t="str">
        <f>IF($A41&lt;&gt;0,VLOOKUP($A41,'0.Productos'!$A$3:$GG$587,'0.Productos'!AT$1+1,0),"")</f>
        <v/>
      </c>
      <c r="C41" s="133" t="str">
        <f>IF($A41&lt;&gt;0,VLOOKUP($A41,'0.Productos'!$A$3:$GG$587,'0.Productos'!AU$1+1,0),"")</f>
        <v/>
      </c>
      <c r="D41" s="133" t="str">
        <f>IF($A41&lt;&gt;0,VLOOKUP($A41,'0.Productos'!$A$3:$GG$587,'0.Productos'!AV$1+1,0),"")</f>
        <v/>
      </c>
      <c r="E41" s="133" t="str">
        <f>IF($A41&lt;&gt;0,VLOOKUP($A41,'0.Productos'!$A$3:$GG$587,'0.Productos'!AW$1+1,0),"")</f>
        <v/>
      </c>
      <c r="F41" s="133" t="str">
        <f>IF($A41&lt;&gt;0,VLOOKUP($A41,'0.Productos'!$A$3:$GG$587,'0.Productos'!AX$1+1,0),"")</f>
        <v/>
      </c>
      <c r="G41" s="133" t="str">
        <f>IF($A41&lt;&gt;0,VLOOKUP($A41,'0.Productos'!$A$3:$GG$587,'0.Productos'!AY$1+1,0),"")</f>
        <v/>
      </c>
      <c r="H41" s="133" t="str">
        <f>IF($A41&lt;&gt;0,VLOOKUP($A41,'0.Productos'!$A$3:$GG$587,'0.Productos'!AZ$1+1,0),"")</f>
        <v/>
      </c>
      <c r="I41" s="133" t="str">
        <f>IF($A41&lt;&gt;0,VLOOKUP($A41,'0.Productos'!$A$3:$GG$587,'0.Productos'!BA$1+1,0),"")</f>
        <v/>
      </c>
      <c r="J41" s="133" t="str">
        <f>IF($A41&lt;&gt;0,VLOOKUP($A41,'0.Productos'!$A$3:$GG$587,'0.Productos'!BB$1+1,0),"")</f>
        <v/>
      </c>
      <c r="K41" s="133" t="str">
        <f>IF($A41&lt;&gt;0,VLOOKUP($A41,'0.Productos'!$A$3:$GG$587,'0.Productos'!BC$1+1,0),"")</f>
        <v/>
      </c>
      <c r="L41" s="133" t="str">
        <f>IF($A41&lt;&gt;0,VLOOKUP($A41,'0.Productos'!$A$3:$GG$587,'0.Productos'!BD$1+1,0),"")</f>
        <v/>
      </c>
      <c r="M41" s="133" t="str">
        <f>IF($A41&lt;&gt;0,VLOOKUP($A41,'0.Productos'!$A$3:$GG$587,'0.Productos'!BE$1+1,0),"")</f>
        <v/>
      </c>
      <c r="N41" s="133" t="str">
        <f>IF($A41&lt;&gt;0,VLOOKUP($A41,'0.Productos'!$A$3:$GG$587,'0.Productos'!BF$1+1,0),"")</f>
        <v/>
      </c>
      <c r="O41" s="133" t="str">
        <f>IF($A41&lt;&gt;0,VLOOKUP($A41,'0.Productos'!$A$3:$GG$587,'0.Productos'!BG$1+1,0),"")</f>
        <v/>
      </c>
      <c r="P41" s="133" t="str">
        <f>IF($A41&lt;&gt;0,VLOOKUP($A41,'0.Productos'!$A$3:$GG$587,'0.Productos'!BH$1+1,0),"")</f>
        <v/>
      </c>
      <c r="Q41" s="133" t="str">
        <f>IF($A41&lt;&gt;0,VLOOKUP($A41,'0.Productos'!$A$3:$GG$587,'0.Productos'!BI$1+1,0),"")</f>
        <v/>
      </c>
      <c r="R41" s="133" t="str">
        <f>IF($A41&lt;&gt;0,VLOOKUP($A41,'0.Productos'!$A$3:$GG$587,'0.Productos'!BJ$1+1,0),"")</f>
        <v/>
      </c>
      <c r="S41" s="133" t="str">
        <f>IF($A41&lt;&gt;0,VLOOKUP($A41,'0.Productos'!$A$3:$GG$587,'0.Productos'!BK$1+1,0),"")</f>
        <v/>
      </c>
      <c r="T41" s="133" t="str">
        <f>IF($A41&lt;&gt;0,VLOOKUP($A41,'0.Productos'!$A$3:$GG$587,'0.Productos'!BL$1+1,0),"")</f>
        <v/>
      </c>
      <c r="U41" s="133" t="str">
        <f>IF($A41&lt;&gt;0,VLOOKUP($A41,'0.Productos'!$A$3:$GG$587,'0.Productos'!BM$1+1,0),"")</f>
        <v/>
      </c>
      <c r="V41" s="133" t="str">
        <f>IF($A41&lt;&gt;0,VLOOKUP($A41,'0.Productos'!$A$3:$GG$587,'0.Productos'!BN$1+1,0),"")</f>
        <v/>
      </c>
      <c r="W41" s="133" t="str">
        <f>IF($A41&lt;&gt;0,VLOOKUP($A41,'0.Productos'!$A$3:$GG$587,'0.Productos'!BO$1+1,0),"")</f>
        <v/>
      </c>
      <c r="X41" s="133" t="str">
        <f>IF($A41&lt;&gt;0,VLOOKUP($A41,'0.Productos'!$A$3:$GG$587,'0.Productos'!BP$1+1,0),"")</f>
        <v/>
      </c>
      <c r="Y41" s="133" t="str">
        <f>IF($A41&lt;&gt;0,VLOOKUP($A41,'0.Productos'!$A$3:$GG$587,'0.Productos'!BQ$1+1,0),"")</f>
        <v/>
      </c>
      <c r="Z41" s="133" t="str">
        <f>IF($A41&lt;&gt;0,VLOOKUP($A41,'0.Productos'!$A$3:$GG$587,'0.Productos'!BR$1+1,0),"")</f>
        <v/>
      </c>
      <c r="AA41" s="133" t="str">
        <f>IF($A41&lt;&gt;0,VLOOKUP($A41,'0.Productos'!$A$3:$GG$587,'0.Productos'!BS$1+1,0),"")</f>
        <v/>
      </c>
      <c r="AB41" s="133" t="str">
        <f>IF($A41&lt;&gt;0,VLOOKUP($A41,'0.Productos'!$A$3:$GG$587,'0.Productos'!BT$1+1,0),"")</f>
        <v/>
      </c>
      <c r="AC41" s="133" t="str">
        <f>IF($A41&lt;&gt;0,VLOOKUP($A41,'0.Productos'!$A$3:$GG$587,'0.Productos'!BU$1+1,0),"")</f>
        <v/>
      </c>
      <c r="AD41" s="133" t="str">
        <f>IF($A41&lt;&gt;0,VLOOKUP($A41,'0.Productos'!$A$3:$GG$587,'0.Productos'!BV$1+1,0),"")</f>
        <v/>
      </c>
      <c r="AE41" s="133" t="str">
        <f>IF($A41&lt;&gt;0,VLOOKUP($A41,'0.Productos'!$A$3:$GG$587,'0.Productos'!BW$1+1,0),"")</f>
        <v/>
      </c>
      <c r="AF41" s="133" t="str">
        <f>IF($A41&lt;&gt;0,VLOOKUP($A41,'0.Productos'!$A$3:$GG$587,'0.Productos'!BX$1+1,0),"")</f>
        <v/>
      </c>
      <c r="AG41" s="133" t="str">
        <f>IF($A41&lt;&gt;0,VLOOKUP($A41,'0.Productos'!$A$3:$GG$587,'0.Productos'!BY$1+1,0),"")</f>
        <v/>
      </c>
      <c r="AH41" s="133" t="str">
        <f>IF($A41&lt;&gt;0,VLOOKUP($A41,'0.Productos'!$A$3:$GG$587,'0.Productos'!BZ$1+1,0),"")</f>
        <v/>
      </c>
      <c r="AI41" s="133" t="str">
        <f>IF($A41&lt;&gt;0,VLOOKUP($A41,'0.Productos'!$A$3:$GG$587,'0.Productos'!CA$1+1,0),"")</f>
        <v/>
      </c>
      <c r="AJ41" s="133" t="str">
        <f>IF($A41&lt;&gt;0,VLOOKUP($A41,'0.Productos'!$A$3:$GG$587,'0.Productos'!CB$1+1,0),"")</f>
        <v/>
      </c>
      <c r="AK41" s="133" t="str">
        <f>IF($A41&lt;&gt;0,VLOOKUP($A41,'0.Productos'!$A$3:$GG$587,'0.Productos'!CC$1+1,0),"")</f>
        <v/>
      </c>
      <c r="AL41" s="133" t="str">
        <f>IF($A41&lt;&gt;0,VLOOKUP($A41,'0.Productos'!$A$3:$GG$587,'0.Productos'!CD$1+1,0),"")</f>
        <v/>
      </c>
      <c r="AM41" s="133" t="str">
        <f>IF($A41&lt;&gt;0,VLOOKUP($A41,'0.Productos'!$A$3:$GG$587,'0.Productos'!CE$1+1,0),"")</f>
        <v/>
      </c>
      <c r="AN41" s="133" t="str">
        <f>IF($A41&lt;&gt;0,VLOOKUP($A41,'0.Productos'!$A$3:$GG$587,'0.Productos'!CF$1+1,0),"")</f>
        <v/>
      </c>
      <c r="AO41" s="133" t="str">
        <f>IF($A41&lt;&gt;0,VLOOKUP($A41,'0.Productos'!$A$3:$GG$587,'0.Productos'!CG$1+1,0),"")</f>
        <v/>
      </c>
      <c r="AP41" s="133" t="str">
        <f>IF($A41&lt;&gt;0,VLOOKUP($A41,'0.Productos'!$A$3:$GG$587,'0.Productos'!CH$1+1,0),"")</f>
        <v/>
      </c>
      <c r="AQ41" s="133" t="str">
        <f>IF($A41&lt;&gt;0,VLOOKUP($A41,'0.Productos'!$A$3:$GG$587,'0.Productos'!CI$1+1,0),"")</f>
        <v/>
      </c>
      <c r="AR41" s="133" t="str">
        <f>IF($A41&lt;&gt;0,VLOOKUP($A41,'0.Productos'!$A$3:$GG$587,'0.Productos'!CJ$1+1,0),"")</f>
        <v/>
      </c>
      <c r="AS41" s="133" t="str">
        <f>IF($A41&lt;&gt;0,VLOOKUP($A41,'0.Productos'!$A$3:$GG$587,'0.Productos'!CK$1+1,0),"")</f>
        <v/>
      </c>
      <c r="AT41" s="133" t="str">
        <f>IF($A41&lt;&gt;0,VLOOKUP($A41,'0.Productos'!$A$3:$GG$587,'0.Productos'!CL$1+1,0),"")</f>
        <v/>
      </c>
      <c r="AU41" s="133" t="str">
        <f>IF($A41&lt;&gt;0,VLOOKUP($A41,'0.Productos'!$A$3:$GG$587,'0.Productos'!CM$1+1,0),"")</f>
        <v/>
      </c>
      <c r="AV41" s="133" t="str">
        <f>IF($A41&lt;&gt;0,VLOOKUP($A41,'0.Productos'!$A$3:$GG$587,'0.Productos'!CN$1+1,0),"")</f>
        <v/>
      </c>
      <c r="AW41" s="133" t="str">
        <f>IF($A41&lt;&gt;0,VLOOKUP($A41,'0.Productos'!$A$3:$GG$587,'0.Productos'!CO$1+1,0),"")</f>
        <v/>
      </c>
      <c r="AX41" s="133" t="str">
        <f>IF($A41&lt;&gt;0,VLOOKUP($A41,'0.Productos'!$A$3:$GG$587,'0.Productos'!CP$1+1,0),"")</f>
        <v/>
      </c>
      <c r="AY41" s="133" t="str">
        <f>IF($A41&lt;&gt;0,VLOOKUP($A41,'0.Productos'!$A$3:$GG$587,'0.Productos'!CQ$1+1,0),"")</f>
        <v/>
      </c>
      <c r="AZ41" s="133" t="str">
        <f>IF($A41&lt;&gt;0,VLOOKUP($A41,'0.Productos'!$A$3:$GG$587,'0.Productos'!CR$1+1,0),"")</f>
        <v/>
      </c>
      <c r="BA41" s="133" t="str">
        <f>IF($A41&lt;&gt;0,VLOOKUP($A41,'0.Productos'!$A$3:$GG$587,'0.Productos'!CS$1+1,0),"")</f>
        <v/>
      </c>
      <c r="BB41" s="133" t="str">
        <f>IF($A41&lt;&gt;0,VLOOKUP($A41,'0.Productos'!$A$3:$GG$587,'0.Productos'!CT$1+1,0),"")</f>
        <v/>
      </c>
      <c r="BC41" s="133" t="str">
        <f>IF($A41&lt;&gt;0,VLOOKUP($A41,'0.Productos'!$A$3:$GG$587,'0.Productos'!CU$1+1,0),"")</f>
        <v/>
      </c>
      <c r="BD41" s="133" t="str">
        <f>IF($A41&lt;&gt;0,VLOOKUP($A41,'0.Productos'!$A$3:$GG$587,'0.Productos'!CV$1+1,0),"")</f>
        <v/>
      </c>
      <c r="BE41" s="133" t="str">
        <f>IF($A41&lt;&gt;0,VLOOKUP($A41,'0.Productos'!$A$3:$GG$587,'0.Productos'!CW$1+1,0),"")</f>
        <v/>
      </c>
      <c r="BF41" s="133" t="str">
        <f>IF($A41&lt;&gt;0,VLOOKUP($A41,'0.Productos'!$A$3:$GG$587,'0.Productos'!CX$1+1,0),"")</f>
        <v/>
      </c>
      <c r="BG41" s="133" t="str">
        <f>IF($A41&lt;&gt;0,VLOOKUP($A41,'0.Productos'!$A$3:$GG$587,'0.Productos'!CY$1+1,0),"")</f>
        <v/>
      </c>
      <c r="BH41" s="133" t="str">
        <f>IF($A41&lt;&gt;0,VLOOKUP($A41,'0.Productos'!$A$3:$GG$587,'0.Productos'!CZ$1+1,0),"")</f>
        <v/>
      </c>
      <c r="BI41" s="133" t="str">
        <f>IF($A41&lt;&gt;0,VLOOKUP($A41,'0.Productos'!$A$3:$GG$587,'0.Productos'!DA$1+1,0),"")</f>
        <v/>
      </c>
      <c r="BJ41" s="133" t="str">
        <f>IF($A41&lt;&gt;0,VLOOKUP($A41,'0.Productos'!$A$3:$GG$587,'0.Productos'!DB$1+1,0),"")</f>
        <v/>
      </c>
      <c r="BK41" s="133" t="str">
        <f>IF($A41&lt;&gt;0,VLOOKUP($A41,'0.Productos'!$A$3:$GG$587,'0.Productos'!DC$1+1,0),"")</f>
        <v/>
      </c>
      <c r="BL41" s="133" t="str">
        <f>IF($A41&lt;&gt;0,VLOOKUP($A41,'0.Productos'!$A$3:$GG$587,'0.Productos'!DD$1+1,0),"")</f>
        <v/>
      </c>
      <c r="BM41" s="133" t="str">
        <f>IF($A41&lt;&gt;0,VLOOKUP($A41,'0.Productos'!$A$3:$GG$587,'0.Productos'!DE$1+1,0),"")</f>
        <v/>
      </c>
      <c r="BN41" s="133" t="str">
        <f>IF($A41&lt;&gt;0,VLOOKUP($A41,'0.Productos'!$A$3:$GG$587,'0.Productos'!DF$1+1,0),"")</f>
        <v/>
      </c>
      <c r="BO41" s="133" t="str">
        <f>IF($A41&lt;&gt;0,VLOOKUP($A41,'0.Productos'!$A$3:$GG$587,'0.Productos'!DG$1+1,0),"")</f>
        <v/>
      </c>
      <c r="BP41" s="133" t="str">
        <f>IF($A41&lt;&gt;0,VLOOKUP($A41,'0.Productos'!$A$3:$GG$587,'0.Productos'!DH$1+1,0),"")</f>
        <v/>
      </c>
      <c r="BQ41" s="133" t="str">
        <f>IF($A41&lt;&gt;0,VLOOKUP($A41,'0.Productos'!$A$3:$GG$587,'0.Productos'!DI$1+1,0),"")</f>
        <v/>
      </c>
      <c r="BR41" s="133" t="str">
        <f>IF($A41&lt;&gt;0,VLOOKUP($A41,'0.Productos'!$A$3:$GG$587,'0.Productos'!DJ$1+1,0),"")</f>
        <v/>
      </c>
      <c r="BS41" s="133" t="str">
        <f>IF($A41&lt;&gt;0,VLOOKUP($A41,'0.Productos'!$A$3:$GG$587,'0.Productos'!DK$1+1,0),"")</f>
        <v/>
      </c>
      <c r="BT41" s="133" t="str">
        <f>IF($A41&lt;&gt;0,VLOOKUP($A41,'0.Productos'!$A$3:$GG$587,'0.Productos'!DL$1+1,0),"")</f>
        <v/>
      </c>
    </row>
    <row r="42" spans="1:72" x14ac:dyDescent="0.25">
      <c r="A42" s="17">
        <f>'0.Consolidado general'!A42</f>
        <v>0</v>
      </c>
      <c r="B42" s="133" t="str">
        <f>IF($A42&lt;&gt;0,VLOOKUP($A42,'0.Productos'!$A$3:$GG$587,'0.Productos'!AT$1+1,0),"")</f>
        <v/>
      </c>
      <c r="C42" s="133" t="str">
        <f>IF($A42&lt;&gt;0,VLOOKUP($A42,'0.Productos'!$A$3:$GG$587,'0.Productos'!AU$1+1,0),"")</f>
        <v/>
      </c>
      <c r="D42" s="133" t="str">
        <f>IF($A42&lt;&gt;0,VLOOKUP($A42,'0.Productos'!$A$3:$GG$587,'0.Productos'!AV$1+1,0),"")</f>
        <v/>
      </c>
      <c r="E42" s="133" t="str">
        <f>IF($A42&lt;&gt;0,VLOOKUP($A42,'0.Productos'!$A$3:$GG$587,'0.Productos'!AW$1+1,0),"")</f>
        <v/>
      </c>
      <c r="F42" s="133" t="str">
        <f>IF($A42&lt;&gt;0,VLOOKUP($A42,'0.Productos'!$A$3:$GG$587,'0.Productos'!AX$1+1,0),"")</f>
        <v/>
      </c>
      <c r="G42" s="133" t="str">
        <f>IF($A42&lt;&gt;0,VLOOKUP($A42,'0.Productos'!$A$3:$GG$587,'0.Productos'!AY$1+1,0),"")</f>
        <v/>
      </c>
      <c r="H42" s="133" t="str">
        <f>IF($A42&lt;&gt;0,VLOOKUP($A42,'0.Productos'!$A$3:$GG$587,'0.Productos'!AZ$1+1,0),"")</f>
        <v/>
      </c>
      <c r="I42" s="133" t="str">
        <f>IF($A42&lt;&gt;0,VLOOKUP($A42,'0.Productos'!$A$3:$GG$587,'0.Productos'!BA$1+1,0),"")</f>
        <v/>
      </c>
      <c r="J42" s="133" t="str">
        <f>IF($A42&lt;&gt;0,VLOOKUP($A42,'0.Productos'!$A$3:$GG$587,'0.Productos'!BB$1+1,0),"")</f>
        <v/>
      </c>
      <c r="K42" s="133" t="str">
        <f>IF($A42&lt;&gt;0,VLOOKUP($A42,'0.Productos'!$A$3:$GG$587,'0.Productos'!BC$1+1,0),"")</f>
        <v/>
      </c>
      <c r="L42" s="133" t="str">
        <f>IF($A42&lt;&gt;0,VLOOKUP($A42,'0.Productos'!$A$3:$GG$587,'0.Productos'!BD$1+1,0),"")</f>
        <v/>
      </c>
      <c r="M42" s="133" t="str">
        <f>IF($A42&lt;&gt;0,VLOOKUP($A42,'0.Productos'!$A$3:$GG$587,'0.Productos'!BE$1+1,0),"")</f>
        <v/>
      </c>
      <c r="N42" s="133" t="str">
        <f>IF($A42&lt;&gt;0,VLOOKUP($A42,'0.Productos'!$A$3:$GG$587,'0.Productos'!BF$1+1,0),"")</f>
        <v/>
      </c>
      <c r="O42" s="133" t="str">
        <f>IF($A42&lt;&gt;0,VLOOKUP($A42,'0.Productos'!$A$3:$GG$587,'0.Productos'!BG$1+1,0),"")</f>
        <v/>
      </c>
      <c r="P42" s="133" t="str">
        <f>IF($A42&lt;&gt;0,VLOOKUP($A42,'0.Productos'!$A$3:$GG$587,'0.Productos'!BH$1+1,0),"")</f>
        <v/>
      </c>
      <c r="Q42" s="133" t="str">
        <f>IF($A42&lt;&gt;0,VLOOKUP($A42,'0.Productos'!$A$3:$GG$587,'0.Productos'!BI$1+1,0),"")</f>
        <v/>
      </c>
      <c r="R42" s="133" t="str">
        <f>IF($A42&lt;&gt;0,VLOOKUP($A42,'0.Productos'!$A$3:$GG$587,'0.Productos'!BJ$1+1,0),"")</f>
        <v/>
      </c>
      <c r="S42" s="133" t="str">
        <f>IF($A42&lt;&gt;0,VLOOKUP($A42,'0.Productos'!$A$3:$GG$587,'0.Productos'!BK$1+1,0),"")</f>
        <v/>
      </c>
      <c r="T42" s="133" t="str">
        <f>IF($A42&lt;&gt;0,VLOOKUP($A42,'0.Productos'!$A$3:$GG$587,'0.Productos'!BL$1+1,0),"")</f>
        <v/>
      </c>
      <c r="U42" s="133" t="str">
        <f>IF($A42&lt;&gt;0,VLOOKUP($A42,'0.Productos'!$A$3:$GG$587,'0.Productos'!BM$1+1,0),"")</f>
        <v/>
      </c>
      <c r="V42" s="133" t="str">
        <f>IF($A42&lt;&gt;0,VLOOKUP($A42,'0.Productos'!$A$3:$GG$587,'0.Productos'!BN$1+1,0),"")</f>
        <v/>
      </c>
      <c r="W42" s="133" t="str">
        <f>IF($A42&lt;&gt;0,VLOOKUP($A42,'0.Productos'!$A$3:$GG$587,'0.Productos'!BO$1+1,0),"")</f>
        <v/>
      </c>
      <c r="X42" s="133" t="str">
        <f>IF($A42&lt;&gt;0,VLOOKUP($A42,'0.Productos'!$A$3:$GG$587,'0.Productos'!BP$1+1,0),"")</f>
        <v/>
      </c>
      <c r="Y42" s="133" t="str">
        <f>IF($A42&lt;&gt;0,VLOOKUP($A42,'0.Productos'!$A$3:$GG$587,'0.Productos'!BQ$1+1,0),"")</f>
        <v/>
      </c>
      <c r="Z42" s="133" t="str">
        <f>IF($A42&lt;&gt;0,VLOOKUP($A42,'0.Productos'!$A$3:$GG$587,'0.Productos'!BR$1+1,0),"")</f>
        <v/>
      </c>
      <c r="AA42" s="133" t="str">
        <f>IF($A42&lt;&gt;0,VLOOKUP($A42,'0.Productos'!$A$3:$GG$587,'0.Productos'!BS$1+1,0),"")</f>
        <v/>
      </c>
      <c r="AB42" s="133" t="str">
        <f>IF($A42&lt;&gt;0,VLOOKUP($A42,'0.Productos'!$A$3:$GG$587,'0.Productos'!BT$1+1,0),"")</f>
        <v/>
      </c>
      <c r="AC42" s="133" t="str">
        <f>IF($A42&lt;&gt;0,VLOOKUP($A42,'0.Productos'!$A$3:$GG$587,'0.Productos'!BU$1+1,0),"")</f>
        <v/>
      </c>
      <c r="AD42" s="133" t="str">
        <f>IF($A42&lt;&gt;0,VLOOKUP($A42,'0.Productos'!$A$3:$GG$587,'0.Productos'!BV$1+1,0),"")</f>
        <v/>
      </c>
      <c r="AE42" s="133" t="str">
        <f>IF($A42&lt;&gt;0,VLOOKUP($A42,'0.Productos'!$A$3:$GG$587,'0.Productos'!BW$1+1,0),"")</f>
        <v/>
      </c>
      <c r="AF42" s="133" t="str">
        <f>IF($A42&lt;&gt;0,VLOOKUP($A42,'0.Productos'!$A$3:$GG$587,'0.Productos'!BX$1+1,0),"")</f>
        <v/>
      </c>
      <c r="AG42" s="133" t="str">
        <f>IF($A42&lt;&gt;0,VLOOKUP($A42,'0.Productos'!$A$3:$GG$587,'0.Productos'!BY$1+1,0),"")</f>
        <v/>
      </c>
      <c r="AH42" s="133" t="str">
        <f>IF($A42&lt;&gt;0,VLOOKUP($A42,'0.Productos'!$A$3:$GG$587,'0.Productos'!BZ$1+1,0),"")</f>
        <v/>
      </c>
      <c r="AI42" s="133" t="str">
        <f>IF($A42&lt;&gt;0,VLOOKUP($A42,'0.Productos'!$A$3:$GG$587,'0.Productos'!CA$1+1,0),"")</f>
        <v/>
      </c>
      <c r="AJ42" s="133" t="str">
        <f>IF($A42&lt;&gt;0,VLOOKUP($A42,'0.Productos'!$A$3:$GG$587,'0.Productos'!CB$1+1,0),"")</f>
        <v/>
      </c>
      <c r="AK42" s="133" t="str">
        <f>IF($A42&lt;&gt;0,VLOOKUP($A42,'0.Productos'!$A$3:$GG$587,'0.Productos'!CC$1+1,0),"")</f>
        <v/>
      </c>
      <c r="AL42" s="133" t="str">
        <f>IF($A42&lt;&gt;0,VLOOKUP($A42,'0.Productos'!$A$3:$GG$587,'0.Productos'!CD$1+1,0),"")</f>
        <v/>
      </c>
      <c r="AM42" s="133" t="str">
        <f>IF($A42&lt;&gt;0,VLOOKUP($A42,'0.Productos'!$A$3:$GG$587,'0.Productos'!CE$1+1,0),"")</f>
        <v/>
      </c>
      <c r="AN42" s="133" t="str">
        <f>IF($A42&lt;&gt;0,VLOOKUP($A42,'0.Productos'!$A$3:$GG$587,'0.Productos'!CF$1+1,0),"")</f>
        <v/>
      </c>
      <c r="AO42" s="133" t="str">
        <f>IF($A42&lt;&gt;0,VLOOKUP($A42,'0.Productos'!$A$3:$GG$587,'0.Productos'!CG$1+1,0),"")</f>
        <v/>
      </c>
      <c r="AP42" s="133" t="str">
        <f>IF($A42&lt;&gt;0,VLOOKUP($A42,'0.Productos'!$A$3:$GG$587,'0.Productos'!CH$1+1,0),"")</f>
        <v/>
      </c>
      <c r="AQ42" s="133" t="str">
        <f>IF($A42&lt;&gt;0,VLOOKUP($A42,'0.Productos'!$A$3:$GG$587,'0.Productos'!CI$1+1,0),"")</f>
        <v/>
      </c>
      <c r="AR42" s="133" t="str">
        <f>IF($A42&lt;&gt;0,VLOOKUP($A42,'0.Productos'!$A$3:$GG$587,'0.Productos'!CJ$1+1,0),"")</f>
        <v/>
      </c>
      <c r="AS42" s="133" t="str">
        <f>IF($A42&lt;&gt;0,VLOOKUP($A42,'0.Productos'!$A$3:$GG$587,'0.Productos'!CK$1+1,0),"")</f>
        <v/>
      </c>
      <c r="AT42" s="133" t="str">
        <f>IF($A42&lt;&gt;0,VLOOKUP($A42,'0.Productos'!$A$3:$GG$587,'0.Productos'!CL$1+1,0),"")</f>
        <v/>
      </c>
      <c r="AU42" s="133" t="str">
        <f>IF($A42&lt;&gt;0,VLOOKUP($A42,'0.Productos'!$A$3:$GG$587,'0.Productos'!CM$1+1,0),"")</f>
        <v/>
      </c>
      <c r="AV42" s="133" t="str">
        <f>IF($A42&lt;&gt;0,VLOOKUP($A42,'0.Productos'!$A$3:$GG$587,'0.Productos'!CN$1+1,0),"")</f>
        <v/>
      </c>
      <c r="AW42" s="133" t="str">
        <f>IF($A42&lt;&gt;0,VLOOKUP($A42,'0.Productos'!$A$3:$GG$587,'0.Productos'!CO$1+1,0),"")</f>
        <v/>
      </c>
      <c r="AX42" s="133" t="str">
        <f>IF($A42&lt;&gt;0,VLOOKUP($A42,'0.Productos'!$A$3:$GG$587,'0.Productos'!CP$1+1,0),"")</f>
        <v/>
      </c>
      <c r="AY42" s="133" t="str">
        <f>IF($A42&lt;&gt;0,VLOOKUP($A42,'0.Productos'!$A$3:$GG$587,'0.Productos'!CQ$1+1,0),"")</f>
        <v/>
      </c>
      <c r="AZ42" s="133" t="str">
        <f>IF($A42&lt;&gt;0,VLOOKUP($A42,'0.Productos'!$A$3:$GG$587,'0.Productos'!CR$1+1,0),"")</f>
        <v/>
      </c>
      <c r="BA42" s="133" t="str">
        <f>IF($A42&lt;&gt;0,VLOOKUP($A42,'0.Productos'!$A$3:$GG$587,'0.Productos'!CS$1+1,0),"")</f>
        <v/>
      </c>
      <c r="BB42" s="133" t="str">
        <f>IF($A42&lt;&gt;0,VLOOKUP($A42,'0.Productos'!$A$3:$GG$587,'0.Productos'!CT$1+1,0),"")</f>
        <v/>
      </c>
      <c r="BC42" s="133" t="str">
        <f>IF($A42&lt;&gt;0,VLOOKUP($A42,'0.Productos'!$A$3:$GG$587,'0.Productos'!CU$1+1,0),"")</f>
        <v/>
      </c>
      <c r="BD42" s="133" t="str">
        <f>IF($A42&lt;&gt;0,VLOOKUP($A42,'0.Productos'!$A$3:$GG$587,'0.Productos'!CV$1+1,0),"")</f>
        <v/>
      </c>
      <c r="BE42" s="133" t="str">
        <f>IF($A42&lt;&gt;0,VLOOKUP($A42,'0.Productos'!$A$3:$GG$587,'0.Productos'!CW$1+1,0),"")</f>
        <v/>
      </c>
      <c r="BF42" s="133" t="str">
        <f>IF($A42&lt;&gt;0,VLOOKUP($A42,'0.Productos'!$A$3:$GG$587,'0.Productos'!CX$1+1,0),"")</f>
        <v/>
      </c>
      <c r="BG42" s="133" t="str">
        <f>IF($A42&lt;&gt;0,VLOOKUP($A42,'0.Productos'!$A$3:$GG$587,'0.Productos'!CY$1+1,0),"")</f>
        <v/>
      </c>
      <c r="BH42" s="133" t="str">
        <f>IF($A42&lt;&gt;0,VLOOKUP($A42,'0.Productos'!$A$3:$GG$587,'0.Productos'!CZ$1+1,0),"")</f>
        <v/>
      </c>
      <c r="BI42" s="133" t="str">
        <f>IF($A42&lt;&gt;0,VLOOKUP($A42,'0.Productos'!$A$3:$GG$587,'0.Productos'!DA$1+1,0),"")</f>
        <v/>
      </c>
      <c r="BJ42" s="133" t="str">
        <f>IF($A42&lt;&gt;0,VLOOKUP($A42,'0.Productos'!$A$3:$GG$587,'0.Productos'!DB$1+1,0),"")</f>
        <v/>
      </c>
      <c r="BK42" s="133" t="str">
        <f>IF($A42&lt;&gt;0,VLOOKUP($A42,'0.Productos'!$A$3:$GG$587,'0.Productos'!DC$1+1,0),"")</f>
        <v/>
      </c>
      <c r="BL42" s="133" t="str">
        <f>IF($A42&lt;&gt;0,VLOOKUP($A42,'0.Productos'!$A$3:$GG$587,'0.Productos'!DD$1+1,0),"")</f>
        <v/>
      </c>
      <c r="BM42" s="133" t="str">
        <f>IF($A42&lt;&gt;0,VLOOKUP($A42,'0.Productos'!$A$3:$GG$587,'0.Productos'!DE$1+1,0),"")</f>
        <v/>
      </c>
      <c r="BN42" s="133" t="str">
        <f>IF($A42&lt;&gt;0,VLOOKUP($A42,'0.Productos'!$A$3:$GG$587,'0.Productos'!DF$1+1,0),"")</f>
        <v/>
      </c>
      <c r="BO42" s="133" t="str">
        <f>IF($A42&lt;&gt;0,VLOOKUP($A42,'0.Productos'!$A$3:$GG$587,'0.Productos'!DG$1+1,0),"")</f>
        <v/>
      </c>
      <c r="BP42" s="133" t="str">
        <f>IF($A42&lt;&gt;0,VLOOKUP($A42,'0.Productos'!$A$3:$GG$587,'0.Productos'!DH$1+1,0),"")</f>
        <v/>
      </c>
      <c r="BQ42" s="133" t="str">
        <f>IF($A42&lt;&gt;0,VLOOKUP($A42,'0.Productos'!$A$3:$GG$587,'0.Productos'!DI$1+1,0),"")</f>
        <v/>
      </c>
      <c r="BR42" s="133" t="str">
        <f>IF($A42&lt;&gt;0,VLOOKUP($A42,'0.Productos'!$A$3:$GG$587,'0.Productos'!DJ$1+1,0),"")</f>
        <v/>
      </c>
      <c r="BS42" s="133" t="str">
        <f>IF($A42&lt;&gt;0,VLOOKUP($A42,'0.Productos'!$A$3:$GG$587,'0.Productos'!DK$1+1,0),"")</f>
        <v/>
      </c>
      <c r="BT42" s="133" t="str">
        <f>IF($A42&lt;&gt;0,VLOOKUP($A42,'0.Productos'!$A$3:$GG$587,'0.Productos'!DL$1+1,0),"")</f>
        <v/>
      </c>
    </row>
    <row r="43" spans="1:72" x14ac:dyDescent="0.25">
      <c r="A43" s="17">
        <f>'0.Consolidado general'!A43</f>
        <v>0</v>
      </c>
      <c r="B43" s="133" t="str">
        <f>IF($A43&lt;&gt;0,VLOOKUP($A43,'0.Productos'!$A$3:$GG$587,'0.Productos'!AT$1+1,0),"")</f>
        <v/>
      </c>
      <c r="C43" s="133" t="str">
        <f>IF($A43&lt;&gt;0,VLOOKUP($A43,'0.Productos'!$A$3:$GG$587,'0.Productos'!AU$1+1,0),"")</f>
        <v/>
      </c>
      <c r="D43" s="133" t="str">
        <f>IF($A43&lt;&gt;0,VLOOKUP($A43,'0.Productos'!$A$3:$GG$587,'0.Productos'!AV$1+1,0),"")</f>
        <v/>
      </c>
      <c r="E43" s="133" t="str">
        <f>IF($A43&lt;&gt;0,VLOOKUP($A43,'0.Productos'!$A$3:$GG$587,'0.Productos'!AW$1+1,0),"")</f>
        <v/>
      </c>
      <c r="F43" s="133" t="str">
        <f>IF($A43&lt;&gt;0,VLOOKUP($A43,'0.Productos'!$A$3:$GG$587,'0.Productos'!AX$1+1,0),"")</f>
        <v/>
      </c>
      <c r="G43" s="133" t="str">
        <f>IF($A43&lt;&gt;0,VLOOKUP($A43,'0.Productos'!$A$3:$GG$587,'0.Productos'!AY$1+1,0),"")</f>
        <v/>
      </c>
      <c r="H43" s="133" t="str">
        <f>IF($A43&lt;&gt;0,VLOOKUP($A43,'0.Productos'!$A$3:$GG$587,'0.Productos'!AZ$1+1,0),"")</f>
        <v/>
      </c>
      <c r="I43" s="133" t="str">
        <f>IF($A43&lt;&gt;0,VLOOKUP($A43,'0.Productos'!$A$3:$GG$587,'0.Productos'!BA$1+1,0),"")</f>
        <v/>
      </c>
      <c r="J43" s="133" t="str">
        <f>IF($A43&lt;&gt;0,VLOOKUP($A43,'0.Productos'!$A$3:$GG$587,'0.Productos'!BB$1+1,0),"")</f>
        <v/>
      </c>
      <c r="K43" s="133" t="str">
        <f>IF($A43&lt;&gt;0,VLOOKUP($A43,'0.Productos'!$A$3:$GG$587,'0.Productos'!BC$1+1,0),"")</f>
        <v/>
      </c>
      <c r="L43" s="133" t="str">
        <f>IF($A43&lt;&gt;0,VLOOKUP($A43,'0.Productos'!$A$3:$GG$587,'0.Productos'!BD$1+1,0),"")</f>
        <v/>
      </c>
      <c r="M43" s="133" t="str">
        <f>IF($A43&lt;&gt;0,VLOOKUP($A43,'0.Productos'!$A$3:$GG$587,'0.Productos'!BE$1+1,0),"")</f>
        <v/>
      </c>
      <c r="N43" s="133" t="str">
        <f>IF($A43&lt;&gt;0,VLOOKUP($A43,'0.Productos'!$A$3:$GG$587,'0.Productos'!BF$1+1,0),"")</f>
        <v/>
      </c>
      <c r="O43" s="133" t="str">
        <f>IF($A43&lt;&gt;0,VLOOKUP($A43,'0.Productos'!$A$3:$GG$587,'0.Productos'!BG$1+1,0),"")</f>
        <v/>
      </c>
      <c r="P43" s="133" t="str">
        <f>IF($A43&lt;&gt;0,VLOOKUP($A43,'0.Productos'!$A$3:$GG$587,'0.Productos'!BH$1+1,0),"")</f>
        <v/>
      </c>
      <c r="Q43" s="133" t="str">
        <f>IF($A43&lt;&gt;0,VLOOKUP($A43,'0.Productos'!$A$3:$GG$587,'0.Productos'!BI$1+1,0),"")</f>
        <v/>
      </c>
      <c r="R43" s="133" t="str">
        <f>IF($A43&lt;&gt;0,VLOOKUP($A43,'0.Productos'!$A$3:$GG$587,'0.Productos'!BJ$1+1,0),"")</f>
        <v/>
      </c>
      <c r="S43" s="133" t="str">
        <f>IF($A43&lt;&gt;0,VLOOKUP($A43,'0.Productos'!$A$3:$GG$587,'0.Productos'!BK$1+1,0),"")</f>
        <v/>
      </c>
      <c r="T43" s="133" t="str">
        <f>IF($A43&lt;&gt;0,VLOOKUP($A43,'0.Productos'!$A$3:$GG$587,'0.Productos'!BL$1+1,0),"")</f>
        <v/>
      </c>
      <c r="U43" s="133" t="str">
        <f>IF($A43&lt;&gt;0,VLOOKUP($A43,'0.Productos'!$A$3:$GG$587,'0.Productos'!BM$1+1,0),"")</f>
        <v/>
      </c>
      <c r="V43" s="133" t="str">
        <f>IF($A43&lt;&gt;0,VLOOKUP($A43,'0.Productos'!$A$3:$GG$587,'0.Productos'!BN$1+1,0),"")</f>
        <v/>
      </c>
      <c r="W43" s="133" t="str">
        <f>IF($A43&lt;&gt;0,VLOOKUP($A43,'0.Productos'!$A$3:$GG$587,'0.Productos'!BO$1+1,0),"")</f>
        <v/>
      </c>
      <c r="X43" s="133" t="str">
        <f>IF($A43&lt;&gt;0,VLOOKUP($A43,'0.Productos'!$A$3:$GG$587,'0.Productos'!BP$1+1,0),"")</f>
        <v/>
      </c>
      <c r="Y43" s="133" t="str">
        <f>IF($A43&lt;&gt;0,VLOOKUP($A43,'0.Productos'!$A$3:$GG$587,'0.Productos'!BQ$1+1,0),"")</f>
        <v/>
      </c>
      <c r="Z43" s="133" t="str">
        <f>IF($A43&lt;&gt;0,VLOOKUP($A43,'0.Productos'!$A$3:$GG$587,'0.Productos'!BR$1+1,0),"")</f>
        <v/>
      </c>
      <c r="AA43" s="133" t="str">
        <f>IF($A43&lt;&gt;0,VLOOKUP($A43,'0.Productos'!$A$3:$GG$587,'0.Productos'!BS$1+1,0),"")</f>
        <v/>
      </c>
      <c r="AB43" s="133" t="str">
        <f>IF($A43&lt;&gt;0,VLOOKUP($A43,'0.Productos'!$A$3:$GG$587,'0.Productos'!BT$1+1,0),"")</f>
        <v/>
      </c>
      <c r="AC43" s="133" t="str">
        <f>IF($A43&lt;&gt;0,VLOOKUP($A43,'0.Productos'!$A$3:$GG$587,'0.Productos'!BU$1+1,0),"")</f>
        <v/>
      </c>
      <c r="AD43" s="133" t="str">
        <f>IF($A43&lt;&gt;0,VLOOKUP($A43,'0.Productos'!$A$3:$GG$587,'0.Productos'!BV$1+1,0),"")</f>
        <v/>
      </c>
      <c r="AE43" s="133" t="str">
        <f>IF($A43&lt;&gt;0,VLOOKUP($A43,'0.Productos'!$A$3:$GG$587,'0.Productos'!BW$1+1,0),"")</f>
        <v/>
      </c>
      <c r="AF43" s="133" t="str">
        <f>IF($A43&lt;&gt;0,VLOOKUP($A43,'0.Productos'!$A$3:$GG$587,'0.Productos'!BX$1+1,0),"")</f>
        <v/>
      </c>
      <c r="AG43" s="133" t="str">
        <f>IF($A43&lt;&gt;0,VLOOKUP($A43,'0.Productos'!$A$3:$GG$587,'0.Productos'!BY$1+1,0),"")</f>
        <v/>
      </c>
      <c r="AH43" s="133" t="str">
        <f>IF($A43&lt;&gt;0,VLOOKUP($A43,'0.Productos'!$A$3:$GG$587,'0.Productos'!BZ$1+1,0),"")</f>
        <v/>
      </c>
      <c r="AI43" s="133" t="str">
        <f>IF($A43&lt;&gt;0,VLOOKUP($A43,'0.Productos'!$A$3:$GG$587,'0.Productos'!CA$1+1,0),"")</f>
        <v/>
      </c>
      <c r="AJ43" s="133" t="str">
        <f>IF($A43&lt;&gt;0,VLOOKUP($A43,'0.Productos'!$A$3:$GG$587,'0.Productos'!CB$1+1,0),"")</f>
        <v/>
      </c>
      <c r="AK43" s="133" t="str">
        <f>IF($A43&lt;&gt;0,VLOOKUP($A43,'0.Productos'!$A$3:$GG$587,'0.Productos'!CC$1+1,0),"")</f>
        <v/>
      </c>
      <c r="AL43" s="133" t="str">
        <f>IF($A43&lt;&gt;0,VLOOKUP($A43,'0.Productos'!$A$3:$GG$587,'0.Productos'!CD$1+1,0),"")</f>
        <v/>
      </c>
      <c r="AM43" s="133" t="str">
        <f>IF($A43&lt;&gt;0,VLOOKUP($A43,'0.Productos'!$A$3:$GG$587,'0.Productos'!CE$1+1,0),"")</f>
        <v/>
      </c>
      <c r="AN43" s="133" t="str">
        <f>IF($A43&lt;&gt;0,VLOOKUP($A43,'0.Productos'!$A$3:$GG$587,'0.Productos'!CF$1+1,0),"")</f>
        <v/>
      </c>
      <c r="AO43" s="133" t="str">
        <f>IF($A43&lt;&gt;0,VLOOKUP($A43,'0.Productos'!$A$3:$GG$587,'0.Productos'!CG$1+1,0),"")</f>
        <v/>
      </c>
      <c r="AP43" s="133" t="str">
        <f>IF($A43&lt;&gt;0,VLOOKUP($A43,'0.Productos'!$A$3:$GG$587,'0.Productos'!CH$1+1,0),"")</f>
        <v/>
      </c>
      <c r="AQ43" s="133" t="str">
        <f>IF($A43&lt;&gt;0,VLOOKUP($A43,'0.Productos'!$A$3:$GG$587,'0.Productos'!CI$1+1,0),"")</f>
        <v/>
      </c>
      <c r="AR43" s="133" t="str">
        <f>IF($A43&lt;&gt;0,VLOOKUP($A43,'0.Productos'!$A$3:$GG$587,'0.Productos'!CJ$1+1,0),"")</f>
        <v/>
      </c>
      <c r="AS43" s="133" t="str">
        <f>IF($A43&lt;&gt;0,VLOOKUP($A43,'0.Productos'!$A$3:$GG$587,'0.Productos'!CK$1+1,0),"")</f>
        <v/>
      </c>
      <c r="AT43" s="133" t="str">
        <f>IF($A43&lt;&gt;0,VLOOKUP($A43,'0.Productos'!$A$3:$GG$587,'0.Productos'!CL$1+1,0),"")</f>
        <v/>
      </c>
      <c r="AU43" s="133" t="str">
        <f>IF($A43&lt;&gt;0,VLOOKUP($A43,'0.Productos'!$A$3:$GG$587,'0.Productos'!CM$1+1,0),"")</f>
        <v/>
      </c>
      <c r="AV43" s="133" t="str">
        <f>IF($A43&lt;&gt;0,VLOOKUP($A43,'0.Productos'!$A$3:$GG$587,'0.Productos'!CN$1+1,0),"")</f>
        <v/>
      </c>
      <c r="AW43" s="133" t="str">
        <f>IF($A43&lt;&gt;0,VLOOKUP($A43,'0.Productos'!$A$3:$GG$587,'0.Productos'!CO$1+1,0),"")</f>
        <v/>
      </c>
      <c r="AX43" s="133" t="str">
        <f>IF($A43&lt;&gt;0,VLOOKUP($A43,'0.Productos'!$A$3:$GG$587,'0.Productos'!CP$1+1,0),"")</f>
        <v/>
      </c>
      <c r="AY43" s="133" t="str">
        <f>IF($A43&lt;&gt;0,VLOOKUP($A43,'0.Productos'!$A$3:$GG$587,'0.Productos'!CQ$1+1,0),"")</f>
        <v/>
      </c>
      <c r="AZ43" s="133" t="str">
        <f>IF($A43&lt;&gt;0,VLOOKUP($A43,'0.Productos'!$A$3:$GG$587,'0.Productos'!CR$1+1,0),"")</f>
        <v/>
      </c>
      <c r="BA43" s="133" t="str">
        <f>IF($A43&lt;&gt;0,VLOOKUP($A43,'0.Productos'!$A$3:$GG$587,'0.Productos'!CS$1+1,0),"")</f>
        <v/>
      </c>
      <c r="BB43" s="133" t="str">
        <f>IF($A43&lt;&gt;0,VLOOKUP($A43,'0.Productos'!$A$3:$GG$587,'0.Productos'!CT$1+1,0),"")</f>
        <v/>
      </c>
      <c r="BC43" s="133" t="str">
        <f>IF($A43&lt;&gt;0,VLOOKUP($A43,'0.Productos'!$A$3:$GG$587,'0.Productos'!CU$1+1,0),"")</f>
        <v/>
      </c>
      <c r="BD43" s="133" t="str">
        <f>IF($A43&lt;&gt;0,VLOOKUP($A43,'0.Productos'!$A$3:$GG$587,'0.Productos'!CV$1+1,0),"")</f>
        <v/>
      </c>
      <c r="BE43" s="133" t="str">
        <f>IF($A43&lt;&gt;0,VLOOKUP($A43,'0.Productos'!$A$3:$GG$587,'0.Productos'!CW$1+1,0),"")</f>
        <v/>
      </c>
      <c r="BF43" s="133" t="str">
        <f>IF($A43&lt;&gt;0,VLOOKUP($A43,'0.Productos'!$A$3:$GG$587,'0.Productos'!CX$1+1,0),"")</f>
        <v/>
      </c>
      <c r="BG43" s="133" t="str">
        <f>IF($A43&lt;&gt;0,VLOOKUP($A43,'0.Productos'!$A$3:$GG$587,'0.Productos'!CY$1+1,0),"")</f>
        <v/>
      </c>
      <c r="BH43" s="133" t="str">
        <f>IF($A43&lt;&gt;0,VLOOKUP($A43,'0.Productos'!$A$3:$GG$587,'0.Productos'!CZ$1+1,0),"")</f>
        <v/>
      </c>
      <c r="BI43" s="133" t="str">
        <f>IF($A43&lt;&gt;0,VLOOKUP($A43,'0.Productos'!$A$3:$GG$587,'0.Productos'!DA$1+1,0),"")</f>
        <v/>
      </c>
      <c r="BJ43" s="133" t="str">
        <f>IF($A43&lt;&gt;0,VLOOKUP($A43,'0.Productos'!$A$3:$GG$587,'0.Productos'!DB$1+1,0),"")</f>
        <v/>
      </c>
      <c r="BK43" s="133" t="str">
        <f>IF($A43&lt;&gt;0,VLOOKUP($A43,'0.Productos'!$A$3:$GG$587,'0.Productos'!DC$1+1,0),"")</f>
        <v/>
      </c>
      <c r="BL43" s="133" t="str">
        <f>IF($A43&lt;&gt;0,VLOOKUP($A43,'0.Productos'!$A$3:$GG$587,'0.Productos'!DD$1+1,0),"")</f>
        <v/>
      </c>
      <c r="BM43" s="133" t="str">
        <f>IF($A43&lt;&gt;0,VLOOKUP($A43,'0.Productos'!$A$3:$GG$587,'0.Productos'!DE$1+1,0),"")</f>
        <v/>
      </c>
      <c r="BN43" s="133" t="str">
        <f>IF($A43&lt;&gt;0,VLOOKUP($A43,'0.Productos'!$A$3:$GG$587,'0.Productos'!DF$1+1,0),"")</f>
        <v/>
      </c>
      <c r="BO43" s="133" t="str">
        <f>IF($A43&lt;&gt;0,VLOOKUP($A43,'0.Productos'!$A$3:$GG$587,'0.Productos'!DG$1+1,0),"")</f>
        <v/>
      </c>
      <c r="BP43" s="133" t="str">
        <f>IF($A43&lt;&gt;0,VLOOKUP($A43,'0.Productos'!$A$3:$GG$587,'0.Productos'!DH$1+1,0),"")</f>
        <v/>
      </c>
      <c r="BQ43" s="133" t="str">
        <f>IF($A43&lt;&gt;0,VLOOKUP($A43,'0.Productos'!$A$3:$GG$587,'0.Productos'!DI$1+1,0),"")</f>
        <v/>
      </c>
      <c r="BR43" s="133" t="str">
        <f>IF($A43&lt;&gt;0,VLOOKUP($A43,'0.Productos'!$A$3:$GG$587,'0.Productos'!DJ$1+1,0),"")</f>
        <v/>
      </c>
      <c r="BS43" s="133" t="str">
        <f>IF($A43&lt;&gt;0,VLOOKUP($A43,'0.Productos'!$A$3:$GG$587,'0.Productos'!DK$1+1,0),"")</f>
        <v/>
      </c>
      <c r="BT43" s="133" t="str">
        <f>IF($A43&lt;&gt;0,VLOOKUP($A43,'0.Productos'!$A$3:$GG$587,'0.Productos'!DL$1+1,0),"")</f>
        <v/>
      </c>
    </row>
    <row r="44" spans="1:72" x14ac:dyDescent="0.25">
      <c r="A44" s="17">
        <f>'0.Consolidado general'!A44</f>
        <v>0</v>
      </c>
      <c r="B44" s="133" t="str">
        <f>IF($A44&lt;&gt;0,VLOOKUP($A44,'0.Productos'!$A$3:$GG$587,'0.Productos'!AT$1+1,0),"")</f>
        <v/>
      </c>
      <c r="C44" s="133" t="str">
        <f>IF($A44&lt;&gt;0,VLOOKUP($A44,'0.Productos'!$A$3:$GG$587,'0.Productos'!AU$1+1,0),"")</f>
        <v/>
      </c>
      <c r="D44" s="133" t="str">
        <f>IF($A44&lt;&gt;0,VLOOKUP($A44,'0.Productos'!$A$3:$GG$587,'0.Productos'!AV$1+1,0),"")</f>
        <v/>
      </c>
      <c r="E44" s="133" t="str">
        <f>IF($A44&lt;&gt;0,VLOOKUP($A44,'0.Productos'!$A$3:$GG$587,'0.Productos'!AW$1+1,0),"")</f>
        <v/>
      </c>
      <c r="F44" s="133" t="str">
        <f>IF($A44&lt;&gt;0,VLOOKUP($A44,'0.Productos'!$A$3:$GG$587,'0.Productos'!AX$1+1,0),"")</f>
        <v/>
      </c>
      <c r="G44" s="133" t="str">
        <f>IF($A44&lt;&gt;0,VLOOKUP($A44,'0.Productos'!$A$3:$GG$587,'0.Productos'!AY$1+1,0),"")</f>
        <v/>
      </c>
      <c r="H44" s="133" t="str">
        <f>IF($A44&lt;&gt;0,VLOOKUP($A44,'0.Productos'!$A$3:$GG$587,'0.Productos'!AZ$1+1,0),"")</f>
        <v/>
      </c>
      <c r="I44" s="133" t="str">
        <f>IF($A44&lt;&gt;0,VLOOKUP($A44,'0.Productos'!$A$3:$GG$587,'0.Productos'!BA$1+1,0),"")</f>
        <v/>
      </c>
      <c r="J44" s="133" t="str">
        <f>IF($A44&lt;&gt;0,VLOOKUP($A44,'0.Productos'!$A$3:$GG$587,'0.Productos'!BB$1+1,0),"")</f>
        <v/>
      </c>
      <c r="K44" s="133" t="str">
        <f>IF($A44&lt;&gt;0,VLOOKUP($A44,'0.Productos'!$A$3:$GG$587,'0.Productos'!BC$1+1,0),"")</f>
        <v/>
      </c>
      <c r="L44" s="133" t="str">
        <f>IF($A44&lt;&gt;0,VLOOKUP($A44,'0.Productos'!$A$3:$GG$587,'0.Productos'!BD$1+1,0),"")</f>
        <v/>
      </c>
      <c r="M44" s="133" t="str">
        <f>IF($A44&lt;&gt;0,VLOOKUP($A44,'0.Productos'!$A$3:$GG$587,'0.Productos'!BE$1+1,0),"")</f>
        <v/>
      </c>
      <c r="N44" s="133" t="str">
        <f>IF($A44&lt;&gt;0,VLOOKUP($A44,'0.Productos'!$A$3:$GG$587,'0.Productos'!BF$1+1,0),"")</f>
        <v/>
      </c>
      <c r="O44" s="133" t="str">
        <f>IF($A44&lt;&gt;0,VLOOKUP($A44,'0.Productos'!$A$3:$GG$587,'0.Productos'!BG$1+1,0),"")</f>
        <v/>
      </c>
      <c r="P44" s="133" t="str">
        <f>IF($A44&lt;&gt;0,VLOOKUP($A44,'0.Productos'!$A$3:$GG$587,'0.Productos'!BH$1+1,0),"")</f>
        <v/>
      </c>
      <c r="Q44" s="133" t="str">
        <f>IF($A44&lt;&gt;0,VLOOKUP($A44,'0.Productos'!$A$3:$GG$587,'0.Productos'!BI$1+1,0),"")</f>
        <v/>
      </c>
      <c r="R44" s="133" t="str">
        <f>IF($A44&lt;&gt;0,VLOOKUP($A44,'0.Productos'!$A$3:$GG$587,'0.Productos'!BJ$1+1,0),"")</f>
        <v/>
      </c>
      <c r="S44" s="133" t="str">
        <f>IF($A44&lt;&gt;0,VLOOKUP($A44,'0.Productos'!$A$3:$GG$587,'0.Productos'!BK$1+1,0),"")</f>
        <v/>
      </c>
      <c r="T44" s="133" t="str">
        <f>IF($A44&lt;&gt;0,VLOOKUP($A44,'0.Productos'!$A$3:$GG$587,'0.Productos'!BL$1+1,0),"")</f>
        <v/>
      </c>
      <c r="U44" s="133" t="str">
        <f>IF($A44&lt;&gt;0,VLOOKUP($A44,'0.Productos'!$A$3:$GG$587,'0.Productos'!BM$1+1,0),"")</f>
        <v/>
      </c>
      <c r="V44" s="133" t="str">
        <f>IF($A44&lt;&gt;0,VLOOKUP($A44,'0.Productos'!$A$3:$GG$587,'0.Productos'!BN$1+1,0),"")</f>
        <v/>
      </c>
      <c r="W44" s="133" t="str">
        <f>IF($A44&lt;&gt;0,VLOOKUP($A44,'0.Productos'!$A$3:$GG$587,'0.Productos'!BO$1+1,0),"")</f>
        <v/>
      </c>
      <c r="X44" s="133" t="str">
        <f>IF($A44&lt;&gt;0,VLOOKUP($A44,'0.Productos'!$A$3:$GG$587,'0.Productos'!BP$1+1,0),"")</f>
        <v/>
      </c>
      <c r="Y44" s="133" t="str">
        <f>IF($A44&lt;&gt;0,VLOOKUP($A44,'0.Productos'!$A$3:$GG$587,'0.Productos'!BQ$1+1,0),"")</f>
        <v/>
      </c>
      <c r="Z44" s="133" t="str">
        <f>IF($A44&lt;&gt;0,VLOOKUP($A44,'0.Productos'!$A$3:$GG$587,'0.Productos'!BR$1+1,0),"")</f>
        <v/>
      </c>
      <c r="AA44" s="133" t="str">
        <f>IF($A44&lt;&gt;0,VLOOKUP($A44,'0.Productos'!$A$3:$GG$587,'0.Productos'!BS$1+1,0),"")</f>
        <v/>
      </c>
      <c r="AB44" s="133" t="str">
        <f>IF($A44&lt;&gt;0,VLOOKUP($A44,'0.Productos'!$A$3:$GG$587,'0.Productos'!BT$1+1,0),"")</f>
        <v/>
      </c>
      <c r="AC44" s="133" t="str">
        <f>IF($A44&lt;&gt;0,VLOOKUP($A44,'0.Productos'!$A$3:$GG$587,'0.Productos'!BU$1+1,0),"")</f>
        <v/>
      </c>
      <c r="AD44" s="133" t="str">
        <f>IF($A44&lt;&gt;0,VLOOKUP($A44,'0.Productos'!$A$3:$GG$587,'0.Productos'!BV$1+1,0),"")</f>
        <v/>
      </c>
      <c r="AE44" s="133" t="str">
        <f>IF($A44&lt;&gt;0,VLOOKUP($A44,'0.Productos'!$A$3:$GG$587,'0.Productos'!BW$1+1,0),"")</f>
        <v/>
      </c>
      <c r="AF44" s="133" t="str">
        <f>IF($A44&lt;&gt;0,VLOOKUP($A44,'0.Productos'!$A$3:$GG$587,'0.Productos'!BX$1+1,0),"")</f>
        <v/>
      </c>
      <c r="AG44" s="133" t="str">
        <f>IF($A44&lt;&gt;0,VLOOKUP($A44,'0.Productos'!$A$3:$GG$587,'0.Productos'!BY$1+1,0),"")</f>
        <v/>
      </c>
      <c r="AH44" s="133" t="str">
        <f>IF($A44&lt;&gt;0,VLOOKUP($A44,'0.Productos'!$A$3:$GG$587,'0.Productos'!BZ$1+1,0),"")</f>
        <v/>
      </c>
      <c r="AI44" s="133" t="str">
        <f>IF($A44&lt;&gt;0,VLOOKUP($A44,'0.Productos'!$A$3:$GG$587,'0.Productos'!CA$1+1,0),"")</f>
        <v/>
      </c>
      <c r="AJ44" s="133" t="str">
        <f>IF($A44&lt;&gt;0,VLOOKUP($A44,'0.Productos'!$A$3:$GG$587,'0.Productos'!CB$1+1,0),"")</f>
        <v/>
      </c>
      <c r="AK44" s="133" t="str">
        <f>IF($A44&lt;&gt;0,VLOOKUP($A44,'0.Productos'!$A$3:$GG$587,'0.Productos'!CC$1+1,0),"")</f>
        <v/>
      </c>
      <c r="AL44" s="133" t="str">
        <f>IF($A44&lt;&gt;0,VLOOKUP($A44,'0.Productos'!$A$3:$GG$587,'0.Productos'!CD$1+1,0),"")</f>
        <v/>
      </c>
      <c r="AM44" s="133" t="str">
        <f>IF($A44&lt;&gt;0,VLOOKUP($A44,'0.Productos'!$A$3:$GG$587,'0.Productos'!CE$1+1,0),"")</f>
        <v/>
      </c>
      <c r="AN44" s="133" t="str">
        <f>IF($A44&lt;&gt;0,VLOOKUP($A44,'0.Productos'!$A$3:$GG$587,'0.Productos'!CF$1+1,0),"")</f>
        <v/>
      </c>
      <c r="AO44" s="133" t="str">
        <f>IF($A44&lt;&gt;0,VLOOKUP($A44,'0.Productos'!$A$3:$GG$587,'0.Productos'!CG$1+1,0),"")</f>
        <v/>
      </c>
      <c r="AP44" s="133" t="str">
        <f>IF($A44&lt;&gt;0,VLOOKUP($A44,'0.Productos'!$A$3:$GG$587,'0.Productos'!CH$1+1,0),"")</f>
        <v/>
      </c>
      <c r="AQ44" s="133" t="str">
        <f>IF($A44&lt;&gt;0,VLOOKUP($A44,'0.Productos'!$A$3:$GG$587,'0.Productos'!CI$1+1,0),"")</f>
        <v/>
      </c>
      <c r="AR44" s="133" t="str">
        <f>IF($A44&lt;&gt;0,VLOOKUP($A44,'0.Productos'!$A$3:$GG$587,'0.Productos'!CJ$1+1,0),"")</f>
        <v/>
      </c>
      <c r="AS44" s="133" t="str">
        <f>IF($A44&lt;&gt;0,VLOOKUP($A44,'0.Productos'!$A$3:$GG$587,'0.Productos'!CK$1+1,0),"")</f>
        <v/>
      </c>
      <c r="AT44" s="133" t="str">
        <f>IF($A44&lt;&gt;0,VLOOKUP($A44,'0.Productos'!$A$3:$GG$587,'0.Productos'!CL$1+1,0),"")</f>
        <v/>
      </c>
      <c r="AU44" s="133" t="str">
        <f>IF($A44&lt;&gt;0,VLOOKUP($A44,'0.Productos'!$A$3:$GG$587,'0.Productos'!CM$1+1,0),"")</f>
        <v/>
      </c>
      <c r="AV44" s="133" t="str">
        <f>IF($A44&lt;&gt;0,VLOOKUP($A44,'0.Productos'!$A$3:$GG$587,'0.Productos'!CN$1+1,0),"")</f>
        <v/>
      </c>
      <c r="AW44" s="133" t="str">
        <f>IF($A44&lt;&gt;0,VLOOKUP($A44,'0.Productos'!$A$3:$GG$587,'0.Productos'!CO$1+1,0),"")</f>
        <v/>
      </c>
      <c r="AX44" s="133" t="str">
        <f>IF($A44&lt;&gt;0,VLOOKUP($A44,'0.Productos'!$A$3:$GG$587,'0.Productos'!CP$1+1,0),"")</f>
        <v/>
      </c>
      <c r="AY44" s="133" t="str">
        <f>IF($A44&lt;&gt;0,VLOOKUP($A44,'0.Productos'!$A$3:$GG$587,'0.Productos'!CQ$1+1,0),"")</f>
        <v/>
      </c>
      <c r="AZ44" s="133" t="str">
        <f>IF($A44&lt;&gt;0,VLOOKUP($A44,'0.Productos'!$A$3:$GG$587,'0.Productos'!CR$1+1,0),"")</f>
        <v/>
      </c>
      <c r="BA44" s="133" t="str">
        <f>IF($A44&lt;&gt;0,VLOOKUP($A44,'0.Productos'!$A$3:$GG$587,'0.Productos'!CS$1+1,0),"")</f>
        <v/>
      </c>
      <c r="BB44" s="133" t="str">
        <f>IF($A44&lt;&gt;0,VLOOKUP($A44,'0.Productos'!$A$3:$GG$587,'0.Productos'!CT$1+1,0),"")</f>
        <v/>
      </c>
      <c r="BC44" s="133" t="str">
        <f>IF($A44&lt;&gt;0,VLOOKUP($A44,'0.Productos'!$A$3:$GG$587,'0.Productos'!CU$1+1,0),"")</f>
        <v/>
      </c>
      <c r="BD44" s="133" t="str">
        <f>IF($A44&lt;&gt;0,VLOOKUP($A44,'0.Productos'!$A$3:$GG$587,'0.Productos'!CV$1+1,0),"")</f>
        <v/>
      </c>
      <c r="BE44" s="133" t="str">
        <f>IF($A44&lt;&gt;0,VLOOKUP($A44,'0.Productos'!$A$3:$GG$587,'0.Productos'!CW$1+1,0),"")</f>
        <v/>
      </c>
      <c r="BF44" s="133" t="str">
        <f>IF($A44&lt;&gt;0,VLOOKUP($A44,'0.Productos'!$A$3:$GG$587,'0.Productos'!CX$1+1,0),"")</f>
        <v/>
      </c>
      <c r="BG44" s="133" t="str">
        <f>IF($A44&lt;&gt;0,VLOOKUP($A44,'0.Productos'!$A$3:$GG$587,'0.Productos'!CY$1+1,0),"")</f>
        <v/>
      </c>
      <c r="BH44" s="133" t="str">
        <f>IF($A44&lt;&gt;0,VLOOKUP($A44,'0.Productos'!$A$3:$GG$587,'0.Productos'!CZ$1+1,0),"")</f>
        <v/>
      </c>
      <c r="BI44" s="133" t="str">
        <f>IF($A44&lt;&gt;0,VLOOKUP($A44,'0.Productos'!$A$3:$GG$587,'0.Productos'!DA$1+1,0),"")</f>
        <v/>
      </c>
      <c r="BJ44" s="133" t="str">
        <f>IF($A44&lt;&gt;0,VLOOKUP($A44,'0.Productos'!$A$3:$GG$587,'0.Productos'!DB$1+1,0),"")</f>
        <v/>
      </c>
      <c r="BK44" s="133" t="str">
        <f>IF($A44&lt;&gt;0,VLOOKUP($A44,'0.Productos'!$A$3:$GG$587,'0.Productos'!DC$1+1,0),"")</f>
        <v/>
      </c>
      <c r="BL44" s="133" t="str">
        <f>IF($A44&lt;&gt;0,VLOOKUP($A44,'0.Productos'!$A$3:$GG$587,'0.Productos'!DD$1+1,0),"")</f>
        <v/>
      </c>
      <c r="BM44" s="133" t="str">
        <f>IF($A44&lt;&gt;0,VLOOKUP($A44,'0.Productos'!$A$3:$GG$587,'0.Productos'!DE$1+1,0),"")</f>
        <v/>
      </c>
      <c r="BN44" s="133" t="str">
        <f>IF($A44&lt;&gt;0,VLOOKUP($A44,'0.Productos'!$A$3:$GG$587,'0.Productos'!DF$1+1,0),"")</f>
        <v/>
      </c>
      <c r="BO44" s="133" t="str">
        <f>IF($A44&lt;&gt;0,VLOOKUP($A44,'0.Productos'!$A$3:$GG$587,'0.Productos'!DG$1+1,0),"")</f>
        <v/>
      </c>
      <c r="BP44" s="133" t="str">
        <f>IF($A44&lt;&gt;0,VLOOKUP($A44,'0.Productos'!$A$3:$GG$587,'0.Productos'!DH$1+1,0),"")</f>
        <v/>
      </c>
      <c r="BQ44" s="133" t="str">
        <f>IF($A44&lt;&gt;0,VLOOKUP($A44,'0.Productos'!$A$3:$GG$587,'0.Productos'!DI$1+1,0),"")</f>
        <v/>
      </c>
      <c r="BR44" s="133" t="str">
        <f>IF($A44&lt;&gt;0,VLOOKUP($A44,'0.Productos'!$A$3:$GG$587,'0.Productos'!DJ$1+1,0),"")</f>
        <v/>
      </c>
      <c r="BS44" s="133" t="str">
        <f>IF($A44&lt;&gt;0,VLOOKUP($A44,'0.Productos'!$A$3:$GG$587,'0.Productos'!DK$1+1,0),"")</f>
        <v/>
      </c>
      <c r="BT44" s="133" t="str">
        <f>IF($A44&lt;&gt;0,VLOOKUP($A44,'0.Productos'!$A$3:$GG$587,'0.Productos'!DL$1+1,0),"")</f>
        <v/>
      </c>
    </row>
    <row r="45" spans="1:72" x14ac:dyDescent="0.25">
      <c r="A45" s="17">
        <f>'0.Consolidado general'!A45</f>
        <v>0</v>
      </c>
      <c r="B45" s="133" t="str">
        <f>IF($A45&lt;&gt;0,VLOOKUP($A45,'0.Productos'!$A$3:$GG$587,'0.Productos'!AT$1+1,0),"")</f>
        <v/>
      </c>
      <c r="C45" s="133" t="str">
        <f>IF($A45&lt;&gt;0,VLOOKUP($A45,'0.Productos'!$A$3:$GG$587,'0.Productos'!AU$1+1,0),"")</f>
        <v/>
      </c>
      <c r="D45" s="133" t="str">
        <f>IF($A45&lt;&gt;0,VLOOKUP($A45,'0.Productos'!$A$3:$GG$587,'0.Productos'!AV$1+1,0),"")</f>
        <v/>
      </c>
      <c r="E45" s="133" t="str">
        <f>IF($A45&lt;&gt;0,VLOOKUP($A45,'0.Productos'!$A$3:$GG$587,'0.Productos'!AW$1+1,0),"")</f>
        <v/>
      </c>
      <c r="F45" s="133" t="str">
        <f>IF($A45&lt;&gt;0,VLOOKUP($A45,'0.Productos'!$A$3:$GG$587,'0.Productos'!AX$1+1,0),"")</f>
        <v/>
      </c>
      <c r="G45" s="133" t="str">
        <f>IF($A45&lt;&gt;0,VLOOKUP($A45,'0.Productos'!$A$3:$GG$587,'0.Productos'!AY$1+1,0),"")</f>
        <v/>
      </c>
      <c r="H45" s="133" t="str">
        <f>IF($A45&lt;&gt;0,VLOOKUP($A45,'0.Productos'!$A$3:$GG$587,'0.Productos'!AZ$1+1,0),"")</f>
        <v/>
      </c>
      <c r="I45" s="133" t="str">
        <f>IF($A45&lt;&gt;0,VLOOKUP($A45,'0.Productos'!$A$3:$GG$587,'0.Productos'!BA$1+1,0),"")</f>
        <v/>
      </c>
      <c r="J45" s="133" t="str">
        <f>IF($A45&lt;&gt;0,VLOOKUP($A45,'0.Productos'!$A$3:$GG$587,'0.Productos'!BB$1+1,0),"")</f>
        <v/>
      </c>
      <c r="K45" s="133" t="str">
        <f>IF($A45&lt;&gt;0,VLOOKUP($A45,'0.Productos'!$A$3:$GG$587,'0.Productos'!BC$1+1,0),"")</f>
        <v/>
      </c>
      <c r="L45" s="133" t="str">
        <f>IF($A45&lt;&gt;0,VLOOKUP($A45,'0.Productos'!$A$3:$GG$587,'0.Productos'!BD$1+1,0),"")</f>
        <v/>
      </c>
      <c r="M45" s="133" t="str">
        <f>IF($A45&lt;&gt;0,VLOOKUP($A45,'0.Productos'!$A$3:$GG$587,'0.Productos'!BE$1+1,0),"")</f>
        <v/>
      </c>
      <c r="N45" s="133" t="str">
        <f>IF($A45&lt;&gt;0,VLOOKUP($A45,'0.Productos'!$A$3:$GG$587,'0.Productos'!BF$1+1,0),"")</f>
        <v/>
      </c>
      <c r="O45" s="133" t="str">
        <f>IF($A45&lt;&gt;0,VLOOKUP($A45,'0.Productos'!$A$3:$GG$587,'0.Productos'!BG$1+1,0),"")</f>
        <v/>
      </c>
      <c r="P45" s="133" t="str">
        <f>IF($A45&lt;&gt;0,VLOOKUP($A45,'0.Productos'!$A$3:$GG$587,'0.Productos'!BH$1+1,0),"")</f>
        <v/>
      </c>
      <c r="Q45" s="133" t="str">
        <f>IF($A45&lt;&gt;0,VLOOKUP($A45,'0.Productos'!$A$3:$GG$587,'0.Productos'!BI$1+1,0),"")</f>
        <v/>
      </c>
      <c r="R45" s="133" t="str">
        <f>IF($A45&lt;&gt;0,VLOOKUP($A45,'0.Productos'!$A$3:$GG$587,'0.Productos'!BJ$1+1,0),"")</f>
        <v/>
      </c>
      <c r="S45" s="133" t="str">
        <f>IF($A45&lt;&gt;0,VLOOKUP($A45,'0.Productos'!$A$3:$GG$587,'0.Productos'!BK$1+1,0),"")</f>
        <v/>
      </c>
      <c r="T45" s="133" t="str">
        <f>IF($A45&lt;&gt;0,VLOOKUP($A45,'0.Productos'!$A$3:$GG$587,'0.Productos'!BL$1+1,0),"")</f>
        <v/>
      </c>
      <c r="U45" s="133" t="str">
        <f>IF($A45&lt;&gt;0,VLOOKUP($A45,'0.Productos'!$A$3:$GG$587,'0.Productos'!BM$1+1,0),"")</f>
        <v/>
      </c>
      <c r="V45" s="133" t="str">
        <f>IF($A45&lt;&gt;0,VLOOKUP($A45,'0.Productos'!$A$3:$GG$587,'0.Productos'!BN$1+1,0),"")</f>
        <v/>
      </c>
      <c r="W45" s="133" t="str">
        <f>IF($A45&lt;&gt;0,VLOOKUP($A45,'0.Productos'!$A$3:$GG$587,'0.Productos'!BO$1+1,0),"")</f>
        <v/>
      </c>
      <c r="X45" s="133" t="str">
        <f>IF($A45&lt;&gt;0,VLOOKUP($A45,'0.Productos'!$A$3:$GG$587,'0.Productos'!BP$1+1,0),"")</f>
        <v/>
      </c>
      <c r="Y45" s="133" t="str">
        <f>IF($A45&lt;&gt;0,VLOOKUP($A45,'0.Productos'!$A$3:$GG$587,'0.Productos'!BQ$1+1,0),"")</f>
        <v/>
      </c>
      <c r="Z45" s="133" t="str">
        <f>IF($A45&lt;&gt;0,VLOOKUP($A45,'0.Productos'!$A$3:$GG$587,'0.Productos'!BR$1+1,0),"")</f>
        <v/>
      </c>
      <c r="AA45" s="133" t="str">
        <f>IF($A45&lt;&gt;0,VLOOKUP($A45,'0.Productos'!$A$3:$GG$587,'0.Productos'!BS$1+1,0),"")</f>
        <v/>
      </c>
      <c r="AB45" s="133" t="str">
        <f>IF($A45&lt;&gt;0,VLOOKUP($A45,'0.Productos'!$A$3:$GG$587,'0.Productos'!BT$1+1,0),"")</f>
        <v/>
      </c>
      <c r="AC45" s="133" t="str">
        <f>IF($A45&lt;&gt;0,VLOOKUP($A45,'0.Productos'!$A$3:$GG$587,'0.Productos'!BU$1+1,0),"")</f>
        <v/>
      </c>
      <c r="AD45" s="133" t="str">
        <f>IF($A45&lt;&gt;0,VLOOKUP($A45,'0.Productos'!$A$3:$GG$587,'0.Productos'!BV$1+1,0),"")</f>
        <v/>
      </c>
      <c r="AE45" s="133" t="str">
        <f>IF($A45&lt;&gt;0,VLOOKUP($A45,'0.Productos'!$A$3:$GG$587,'0.Productos'!BW$1+1,0),"")</f>
        <v/>
      </c>
      <c r="AF45" s="133" t="str">
        <f>IF($A45&lt;&gt;0,VLOOKUP($A45,'0.Productos'!$A$3:$GG$587,'0.Productos'!BX$1+1,0),"")</f>
        <v/>
      </c>
      <c r="AG45" s="133" t="str">
        <f>IF($A45&lt;&gt;0,VLOOKUP($A45,'0.Productos'!$A$3:$GG$587,'0.Productos'!BY$1+1,0),"")</f>
        <v/>
      </c>
      <c r="AH45" s="133" t="str">
        <f>IF($A45&lt;&gt;0,VLOOKUP($A45,'0.Productos'!$A$3:$GG$587,'0.Productos'!BZ$1+1,0),"")</f>
        <v/>
      </c>
      <c r="AI45" s="133" t="str">
        <f>IF($A45&lt;&gt;0,VLOOKUP($A45,'0.Productos'!$A$3:$GG$587,'0.Productos'!CA$1+1,0),"")</f>
        <v/>
      </c>
      <c r="AJ45" s="133" t="str">
        <f>IF($A45&lt;&gt;0,VLOOKUP($A45,'0.Productos'!$A$3:$GG$587,'0.Productos'!CB$1+1,0),"")</f>
        <v/>
      </c>
      <c r="AK45" s="133" t="str">
        <f>IF($A45&lt;&gt;0,VLOOKUP($A45,'0.Productos'!$A$3:$GG$587,'0.Productos'!CC$1+1,0),"")</f>
        <v/>
      </c>
      <c r="AL45" s="133" t="str">
        <f>IF($A45&lt;&gt;0,VLOOKUP($A45,'0.Productos'!$A$3:$GG$587,'0.Productos'!CD$1+1,0),"")</f>
        <v/>
      </c>
      <c r="AM45" s="133" t="str">
        <f>IF($A45&lt;&gt;0,VLOOKUP($A45,'0.Productos'!$A$3:$GG$587,'0.Productos'!CE$1+1,0),"")</f>
        <v/>
      </c>
      <c r="AN45" s="133" t="str">
        <f>IF($A45&lt;&gt;0,VLOOKUP($A45,'0.Productos'!$A$3:$GG$587,'0.Productos'!CF$1+1,0),"")</f>
        <v/>
      </c>
      <c r="AO45" s="133" t="str">
        <f>IF($A45&lt;&gt;0,VLOOKUP($A45,'0.Productos'!$A$3:$GG$587,'0.Productos'!CG$1+1,0),"")</f>
        <v/>
      </c>
      <c r="AP45" s="133" t="str">
        <f>IF($A45&lt;&gt;0,VLOOKUP($A45,'0.Productos'!$A$3:$GG$587,'0.Productos'!CH$1+1,0),"")</f>
        <v/>
      </c>
      <c r="AQ45" s="133" t="str">
        <f>IF($A45&lt;&gt;0,VLOOKUP($A45,'0.Productos'!$A$3:$GG$587,'0.Productos'!CI$1+1,0),"")</f>
        <v/>
      </c>
      <c r="AR45" s="133" t="str">
        <f>IF($A45&lt;&gt;0,VLOOKUP($A45,'0.Productos'!$A$3:$GG$587,'0.Productos'!CJ$1+1,0),"")</f>
        <v/>
      </c>
      <c r="AS45" s="133" t="str">
        <f>IF($A45&lt;&gt;0,VLOOKUP($A45,'0.Productos'!$A$3:$GG$587,'0.Productos'!CK$1+1,0),"")</f>
        <v/>
      </c>
      <c r="AT45" s="133" t="str">
        <f>IF($A45&lt;&gt;0,VLOOKUP($A45,'0.Productos'!$A$3:$GG$587,'0.Productos'!CL$1+1,0),"")</f>
        <v/>
      </c>
      <c r="AU45" s="133" t="str">
        <f>IF($A45&lt;&gt;0,VLOOKUP($A45,'0.Productos'!$A$3:$GG$587,'0.Productos'!CM$1+1,0),"")</f>
        <v/>
      </c>
      <c r="AV45" s="133" t="str">
        <f>IF($A45&lt;&gt;0,VLOOKUP($A45,'0.Productos'!$A$3:$GG$587,'0.Productos'!CN$1+1,0),"")</f>
        <v/>
      </c>
      <c r="AW45" s="133" t="str">
        <f>IF($A45&lt;&gt;0,VLOOKUP($A45,'0.Productos'!$A$3:$GG$587,'0.Productos'!CO$1+1,0),"")</f>
        <v/>
      </c>
      <c r="AX45" s="133" t="str">
        <f>IF($A45&lt;&gt;0,VLOOKUP($A45,'0.Productos'!$A$3:$GG$587,'0.Productos'!CP$1+1,0),"")</f>
        <v/>
      </c>
      <c r="AY45" s="133" t="str">
        <f>IF($A45&lt;&gt;0,VLOOKUP($A45,'0.Productos'!$A$3:$GG$587,'0.Productos'!CQ$1+1,0),"")</f>
        <v/>
      </c>
      <c r="AZ45" s="133" t="str">
        <f>IF($A45&lt;&gt;0,VLOOKUP($A45,'0.Productos'!$A$3:$GG$587,'0.Productos'!CR$1+1,0),"")</f>
        <v/>
      </c>
      <c r="BA45" s="133" t="str">
        <f>IF($A45&lt;&gt;0,VLOOKUP($A45,'0.Productos'!$A$3:$GG$587,'0.Productos'!CS$1+1,0),"")</f>
        <v/>
      </c>
      <c r="BB45" s="133" t="str">
        <f>IF($A45&lt;&gt;0,VLOOKUP($A45,'0.Productos'!$A$3:$GG$587,'0.Productos'!CT$1+1,0),"")</f>
        <v/>
      </c>
      <c r="BC45" s="133" t="str">
        <f>IF($A45&lt;&gt;0,VLOOKUP($A45,'0.Productos'!$A$3:$GG$587,'0.Productos'!CU$1+1,0),"")</f>
        <v/>
      </c>
      <c r="BD45" s="133" t="str">
        <f>IF($A45&lt;&gt;0,VLOOKUP($A45,'0.Productos'!$A$3:$GG$587,'0.Productos'!CV$1+1,0),"")</f>
        <v/>
      </c>
      <c r="BE45" s="133" t="str">
        <f>IF($A45&lt;&gt;0,VLOOKUP($A45,'0.Productos'!$A$3:$GG$587,'0.Productos'!CW$1+1,0),"")</f>
        <v/>
      </c>
      <c r="BF45" s="133" t="str">
        <f>IF($A45&lt;&gt;0,VLOOKUP($A45,'0.Productos'!$A$3:$GG$587,'0.Productos'!CX$1+1,0),"")</f>
        <v/>
      </c>
      <c r="BG45" s="133" t="str">
        <f>IF($A45&lt;&gt;0,VLOOKUP($A45,'0.Productos'!$A$3:$GG$587,'0.Productos'!CY$1+1,0),"")</f>
        <v/>
      </c>
      <c r="BH45" s="133" t="str">
        <f>IF($A45&lt;&gt;0,VLOOKUP($A45,'0.Productos'!$A$3:$GG$587,'0.Productos'!CZ$1+1,0),"")</f>
        <v/>
      </c>
      <c r="BI45" s="133" t="str">
        <f>IF($A45&lt;&gt;0,VLOOKUP($A45,'0.Productos'!$A$3:$GG$587,'0.Productos'!DA$1+1,0),"")</f>
        <v/>
      </c>
      <c r="BJ45" s="133" t="str">
        <f>IF($A45&lt;&gt;0,VLOOKUP($A45,'0.Productos'!$A$3:$GG$587,'0.Productos'!DB$1+1,0),"")</f>
        <v/>
      </c>
      <c r="BK45" s="133" t="str">
        <f>IF($A45&lt;&gt;0,VLOOKUP($A45,'0.Productos'!$A$3:$GG$587,'0.Productos'!DC$1+1,0),"")</f>
        <v/>
      </c>
      <c r="BL45" s="133" t="str">
        <f>IF($A45&lt;&gt;0,VLOOKUP($A45,'0.Productos'!$A$3:$GG$587,'0.Productos'!DD$1+1,0),"")</f>
        <v/>
      </c>
      <c r="BM45" s="133" t="str">
        <f>IF($A45&lt;&gt;0,VLOOKUP($A45,'0.Productos'!$A$3:$GG$587,'0.Productos'!DE$1+1,0),"")</f>
        <v/>
      </c>
      <c r="BN45" s="133" t="str">
        <f>IF($A45&lt;&gt;0,VLOOKUP($A45,'0.Productos'!$A$3:$GG$587,'0.Productos'!DF$1+1,0),"")</f>
        <v/>
      </c>
      <c r="BO45" s="133" t="str">
        <f>IF($A45&lt;&gt;0,VLOOKUP($A45,'0.Productos'!$A$3:$GG$587,'0.Productos'!DG$1+1,0),"")</f>
        <v/>
      </c>
      <c r="BP45" s="133" t="str">
        <f>IF($A45&lt;&gt;0,VLOOKUP($A45,'0.Productos'!$A$3:$GG$587,'0.Productos'!DH$1+1,0),"")</f>
        <v/>
      </c>
      <c r="BQ45" s="133" t="str">
        <f>IF($A45&lt;&gt;0,VLOOKUP($A45,'0.Productos'!$A$3:$GG$587,'0.Productos'!DI$1+1,0),"")</f>
        <v/>
      </c>
      <c r="BR45" s="133" t="str">
        <f>IF($A45&lt;&gt;0,VLOOKUP($A45,'0.Productos'!$A$3:$GG$587,'0.Productos'!DJ$1+1,0),"")</f>
        <v/>
      </c>
      <c r="BS45" s="133" t="str">
        <f>IF($A45&lt;&gt;0,VLOOKUP($A45,'0.Productos'!$A$3:$GG$587,'0.Productos'!DK$1+1,0),"")</f>
        <v/>
      </c>
      <c r="BT45" s="133" t="str">
        <f>IF($A45&lt;&gt;0,VLOOKUP($A45,'0.Productos'!$A$3:$GG$587,'0.Productos'!DL$1+1,0),"")</f>
        <v/>
      </c>
    </row>
    <row r="46" spans="1:72" x14ac:dyDescent="0.25">
      <c r="A46" s="17">
        <f>'0.Consolidado general'!A46</f>
        <v>0</v>
      </c>
      <c r="B46" s="133" t="str">
        <f>IF($A46&lt;&gt;0,VLOOKUP($A46,'0.Productos'!$A$3:$GG$587,'0.Productos'!AT$1+1,0),"")</f>
        <v/>
      </c>
      <c r="C46" s="133" t="str">
        <f>IF($A46&lt;&gt;0,VLOOKUP($A46,'0.Productos'!$A$3:$GG$587,'0.Productos'!AU$1+1,0),"")</f>
        <v/>
      </c>
      <c r="D46" s="133" t="str">
        <f>IF($A46&lt;&gt;0,VLOOKUP($A46,'0.Productos'!$A$3:$GG$587,'0.Productos'!AV$1+1,0),"")</f>
        <v/>
      </c>
      <c r="E46" s="133" t="str">
        <f>IF($A46&lt;&gt;0,VLOOKUP($A46,'0.Productos'!$A$3:$GG$587,'0.Productos'!AW$1+1,0),"")</f>
        <v/>
      </c>
      <c r="F46" s="133" t="str">
        <f>IF($A46&lt;&gt;0,VLOOKUP($A46,'0.Productos'!$A$3:$GG$587,'0.Productos'!AX$1+1,0),"")</f>
        <v/>
      </c>
      <c r="G46" s="133" t="str">
        <f>IF($A46&lt;&gt;0,VLOOKUP($A46,'0.Productos'!$A$3:$GG$587,'0.Productos'!AY$1+1,0),"")</f>
        <v/>
      </c>
      <c r="H46" s="133" t="str">
        <f>IF($A46&lt;&gt;0,VLOOKUP($A46,'0.Productos'!$A$3:$GG$587,'0.Productos'!AZ$1+1,0),"")</f>
        <v/>
      </c>
      <c r="I46" s="133" t="str">
        <f>IF($A46&lt;&gt;0,VLOOKUP($A46,'0.Productos'!$A$3:$GG$587,'0.Productos'!BA$1+1,0),"")</f>
        <v/>
      </c>
      <c r="J46" s="133" t="str">
        <f>IF($A46&lt;&gt;0,VLOOKUP($A46,'0.Productos'!$A$3:$GG$587,'0.Productos'!BB$1+1,0),"")</f>
        <v/>
      </c>
      <c r="K46" s="133" t="str">
        <f>IF($A46&lt;&gt;0,VLOOKUP($A46,'0.Productos'!$A$3:$GG$587,'0.Productos'!BC$1+1,0),"")</f>
        <v/>
      </c>
      <c r="L46" s="133" t="str">
        <f>IF($A46&lt;&gt;0,VLOOKUP($A46,'0.Productos'!$A$3:$GG$587,'0.Productos'!BD$1+1,0),"")</f>
        <v/>
      </c>
      <c r="M46" s="133" t="str">
        <f>IF($A46&lt;&gt;0,VLOOKUP($A46,'0.Productos'!$A$3:$GG$587,'0.Productos'!BE$1+1,0),"")</f>
        <v/>
      </c>
      <c r="N46" s="133" t="str">
        <f>IF($A46&lt;&gt;0,VLOOKUP($A46,'0.Productos'!$A$3:$GG$587,'0.Productos'!BF$1+1,0),"")</f>
        <v/>
      </c>
      <c r="O46" s="133" t="str">
        <f>IF($A46&lt;&gt;0,VLOOKUP($A46,'0.Productos'!$A$3:$GG$587,'0.Productos'!BG$1+1,0),"")</f>
        <v/>
      </c>
      <c r="P46" s="133" t="str">
        <f>IF($A46&lt;&gt;0,VLOOKUP($A46,'0.Productos'!$A$3:$GG$587,'0.Productos'!BH$1+1,0),"")</f>
        <v/>
      </c>
      <c r="Q46" s="133" t="str">
        <f>IF($A46&lt;&gt;0,VLOOKUP($A46,'0.Productos'!$A$3:$GG$587,'0.Productos'!BI$1+1,0),"")</f>
        <v/>
      </c>
      <c r="R46" s="133" t="str">
        <f>IF($A46&lt;&gt;0,VLOOKUP($A46,'0.Productos'!$A$3:$GG$587,'0.Productos'!BJ$1+1,0),"")</f>
        <v/>
      </c>
      <c r="S46" s="133" t="str">
        <f>IF($A46&lt;&gt;0,VLOOKUP($A46,'0.Productos'!$A$3:$GG$587,'0.Productos'!BK$1+1,0),"")</f>
        <v/>
      </c>
      <c r="T46" s="133" t="str">
        <f>IF($A46&lt;&gt;0,VLOOKUP($A46,'0.Productos'!$A$3:$GG$587,'0.Productos'!BL$1+1,0),"")</f>
        <v/>
      </c>
      <c r="U46" s="133" t="str">
        <f>IF($A46&lt;&gt;0,VLOOKUP($A46,'0.Productos'!$A$3:$GG$587,'0.Productos'!BM$1+1,0),"")</f>
        <v/>
      </c>
      <c r="V46" s="133" t="str">
        <f>IF($A46&lt;&gt;0,VLOOKUP($A46,'0.Productos'!$A$3:$GG$587,'0.Productos'!BN$1+1,0),"")</f>
        <v/>
      </c>
      <c r="W46" s="133" t="str">
        <f>IF($A46&lt;&gt;0,VLOOKUP($A46,'0.Productos'!$A$3:$GG$587,'0.Productos'!BO$1+1,0),"")</f>
        <v/>
      </c>
      <c r="X46" s="133" t="str">
        <f>IF($A46&lt;&gt;0,VLOOKUP($A46,'0.Productos'!$A$3:$GG$587,'0.Productos'!BP$1+1,0),"")</f>
        <v/>
      </c>
      <c r="Y46" s="133" t="str">
        <f>IF($A46&lt;&gt;0,VLOOKUP($A46,'0.Productos'!$A$3:$GG$587,'0.Productos'!BQ$1+1,0),"")</f>
        <v/>
      </c>
      <c r="Z46" s="133" t="str">
        <f>IF($A46&lt;&gt;0,VLOOKUP($A46,'0.Productos'!$A$3:$GG$587,'0.Productos'!BR$1+1,0),"")</f>
        <v/>
      </c>
      <c r="AA46" s="133" t="str">
        <f>IF($A46&lt;&gt;0,VLOOKUP($A46,'0.Productos'!$A$3:$GG$587,'0.Productos'!BS$1+1,0),"")</f>
        <v/>
      </c>
      <c r="AB46" s="133" t="str">
        <f>IF($A46&lt;&gt;0,VLOOKUP($A46,'0.Productos'!$A$3:$GG$587,'0.Productos'!BT$1+1,0),"")</f>
        <v/>
      </c>
      <c r="AC46" s="133" t="str">
        <f>IF($A46&lt;&gt;0,VLOOKUP($A46,'0.Productos'!$A$3:$GG$587,'0.Productos'!BU$1+1,0),"")</f>
        <v/>
      </c>
      <c r="AD46" s="133" t="str">
        <f>IF($A46&lt;&gt;0,VLOOKUP($A46,'0.Productos'!$A$3:$GG$587,'0.Productos'!BV$1+1,0),"")</f>
        <v/>
      </c>
      <c r="AE46" s="133" t="str">
        <f>IF($A46&lt;&gt;0,VLOOKUP($A46,'0.Productos'!$A$3:$GG$587,'0.Productos'!BW$1+1,0),"")</f>
        <v/>
      </c>
      <c r="AF46" s="133" t="str">
        <f>IF($A46&lt;&gt;0,VLOOKUP($A46,'0.Productos'!$A$3:$GG$587,'0.Productos'!BX$1+1,0),"")</f>
        <v/>
      </c>
      <c r="AG46" s="133" t="str">
        <f>IF($A46&lt;&gt;0,VLOOKUP($A46,'0.Productos'!$A$3:$GG$587,'0.Productos'!BY$1+1,0),"")</f>
        <v/>
      </c>
      <c r="AH46" s="133" t="str">
        <f>IF($A46&lt;&gt;0,VLOOKUP($A46,'0.Productos'!$A$3:$GG$587,'0.Productos'!BZ$1+1,0),"")</f>
        <v/>
      </c>
      <c r="AI46" s="133" t="str">
        <f>IF($A46&lt;&gt;0,VLOOKUP($A46,'0.Productos'!$A$3:$GG$587,'0.Productos'!CA$1+1,0),"")</f>
        <v/>
      </c>
      <c r="AJ46" s="133" t="str">
        <f>IF($A46&lt;&gt;0,VLOOKUP($A46,'0.Productos'!$A$3:$GG$587,'0.Productos'!CB$1+1,0),"")</f>
        <v/>
      </c>
      <c r="AK46" s="133" t="str">
        <f>IF($A46&lt;&gt;0,VLOOKUP($A46,'0.Productos'!$A$3:$GG$587,'0.Productos'!CC$1+1,0),"")</f>
        <v/>
      </c>
      <c r="AL46" s="133" t="str">
        <f>IF($A46&lt;&gt;0,VLOOKUP($A46,'0.Productos'!$A$3:$GG$587,'0.Productos'!CD$1+1,0),"")</f>
        <v/>
      </c>
      <c r="AM46" s="133" t="str">
        <f>IF($A46&lt;&gt;0,VLOOKUP($A46,'0.Productos'!$A$3:$GG$587,'0.Productos'!CE$1+1,0),"")</f>
        <v/>
      </c>
      <c r="AN46" s="133" t="str">
        <f>IF($A46&lt;&gt;0,VLOOKUP($A46,'0.Productos'!$A$3:$GG$587,'0.Productos'!CF$1+1,0),"")</f>
        <v/>
      </c>
      <c r="AO46" s="133" t="str">
        <f>IF($A46&lt;&gt;0,VLOOKUP($A46,'0.Productos'!$A$3:$GG$587,'0.Productos'!CG$1+1,0),"")</f>
        <v/>
      </c>
      <c r="AP46" s="133" t="str">
        <f>IF($A46&lt;&gt;0,VLOOKUP($A46,'0.Productos'!$A$3:$GG$587,'0.Productos'!CH$1+1,0),"")</f>
        <v/>
      </c>
      <c r="AQ46" s="133" t="str">
        <f>IF($A46&lt;&gt;0,VLOOKUP($A46,'0.Productos'!$A$3:$GG$587,'0.Productos'!CI$1+1,0),"")</f>
        <v/>
      </c>
      <c r="AR46" s="133" t="str">
        <f>IF($A46&lt;&gt;0,VLOOKUP($A46,'0.Productos'!$A$3:$GG$587,'0.Productos'!CJ$1+1,0),"")</f>
        <v/>
      </c>
      <c r="AS46" s="133" t="str">
        <f>IF($A46&lt;&gt;0,VLOOKUP($A46,'0.Productos'!$A$3:$GG$587,'0.Productos'!CK$1+1,0),"")</f>
        <v/>
      </c>
      <c r="AT46" s="133" t="str">
        <f>IF($A46&lt;&gt;0,VLOOKUP($A46,'0.Productos'!$A$3:$GG$587,'0.Productos'!CL$1+1,0),"")</f>
        <v/>
      </c>
      <c r="AU46" s="133" t="str">
        <f>IF($A46&lt;&gt;0,VLOOKUP($A46,'0.Productos'!$A$3:$GG$587,'0.Productos'!CM$1+1,0),"")</f>
        <v/>
      </c>
      <c r="AV46" s="133" t="str">
        <f>IF($A46&lt;&gt;0,VLOOKUP($A46,'0.Productos'!$A$3:$GG$587,'0.Productos'!CN$1+1,0),"")</f>
        <v/>
      </c>
      <c r="AW46" s="133" t="str">
        <f>IF($A46&lt;&gt;0,VLOOKUP($A46,'0.Productos'!$A$3:$GG$587,'0.Productos'!CO$1+1,0),"")</f>
        <v/>
      </c>
      <c r="AX46" s="133" t="str">
        <f>IF($A46&lt;&gt;0,VLOOKUP($A46,'0.Productos'!$A$3:$GG$587,'0.Productos'!CP$1+1,0),"")</f>
        <v/>
      </c>
      <c r="AY46" s="133" t="str">
        <f>IF($A46&lt;&gt;0,VLOOKUP($A46,'0.Productos'!$A$3:$GG$587,'0.Productos'!CQ$1+1,0),"")</f>
        <v/>
      </c>
      <c r="AZ46" s="133" t="str">
        <f>IF($A46&lt;&gt;0,VLOOKUP($A46,'0.Productos'!$A$3:$GG$587,'0.Productos'!CR$1+1,0),"")</f>
        <v/>
      </c>
      <c r="BA46" s="133" t="str">
        <f>IF($A46&lt;&gt;0,VLOOKUP($A46,'0.Productos'!$A$3:$GG$587,'0.Productos'!CS$1+1,0),"")</f>
        <v/>
      </c>
      <c r="BB46" s="133" t="str">
        <f>IF($A46&lt;&gt;0,VLOOKUP($A46,'0.Productos'!$A$3:$GG$587,'0.Productos'!CT$1+1,0),"")</f>
        <v/>
      </c>
      <c r="BC46" s="133" t="str">
        <f>IF($A46&lt;&gt;0,VLOOKUP($A46,'0.Productos'!$A$3:$GG$587,'0.Productos'!CU$1+1,0),"")</f>
        <v/>
      </c>
      <c r="BD46" s="133" t="str">
        <f>IF($A46&lt;&gt;0,VLOOKUP($A46,'0.Productos'!$A$3:$GG$587,'0.Productos'!CV$1+1,0),"")</f>
        <v/>
      </c>
      <c r="BE46" s="133" t="str">
        <f>IF($A46&lt;&gt;0,VLOOKUP($A46,'0.Productos'!$A$3:$GG$587,'0.Productos'!CW$1+1,0),"")</f>
        <v/>
      </c>
      <c r="BF46" s="133" t="str">
        <f>IF($A46&lt;&gt;0,VLOOKUP($A46,'0.Productos'!$A$3:$GG$587,'0.Productos'!CX$1+1,0),"")</f>
        <v/>
      </c>
      <c r="BG46" s="133" t="str">
        <f>IF($A46&lt;&gt;0,VLOOKUP($A46,'0.Productos'!$A$3:$GG$587,'0.Productos'!CY$1+1,0),"")</f>
        <v/>
      </c>
      <c r="BH46" s="133" t="str">
        <f>IF($A46&lt;&gt;0,VLOOKUP($A46,'0.Productos'!$A$3:$GG$587,'0.Productos'!CZ$1+1,0),"")</f>
        <v/>
      </c>
      <c r="BI46" s="133" t="str">
        <f>IF($A46&lt;&gt;0,VLOOKUP($A46,'0.Productos'!$A$3:$GG$587,'0.Productos'!DA$1+1,0),"")</f>
        <v/>
      </c>
      <c r="BJ46" s="133" t="str">
        <f>IF($A46&lt;&gt;0,VLOOKUP($A46,'0.Productos'!$A$3:$GG$587,'0.Productos'!DB$1+1,0),"")</f>
        <v/>
      </c>
      <c r="BK46" s="133" t="str">
        <f>IF($A46&lt;&gt;0,VLOOKUP($A46,'0.Productos'!$A$3:$GG$587,'0.Productos'!DC$1+1,0),"")</f>
        <v/>
      </c>
      <c r="BL46" s="133" t="str">
        <f>IF($A46&lt;&gt;0,VLOOKUP($A46,'0.Productos'!$A$3:$GG$587,'0.Productos'!DD$1+1,0),"")</f>
        <v/>
      </c>
      <c r="BM46" s="133" t="str">
        <f>IF($A46&lt;&gt;0,VLOOKUP($A46,'0.Productos'!$A$3:$GG$587,'0.Productos'!DE$1+1,0),"")</f>
        <v/>
      </c>
      <c r="BN46" s="133" t="str">
        <f>IF($A46&lt;&gt;0,VLOOKUP($A46,'0.Productos'!$A$3:$GG$587,'0.Productos'!DF$1+1,0),"")</f>
        <v/>
      </c>
      <c r="BO46" s="133" t="str">
        <f>IF($A46&lt;&gt;0,VLOOKUP($A46,'0.Productos'!$A$3:$GG$587,'0.Productos'!DG$1+1,0),"")</f>
        <v/>
      </c>
      <c r="BP46" s="133" t="str">
        <f>IF($A46&lt;&gt;0,VLOOKUP($A46,'0.Productos'!$A$3:$GG$587,'0.Productos'!DH$1+1,0),"")</f>
        <v/>
      </c>
      <c r="BQ46" s="133" t="str">
        <f>IF($A46&lt;&gt;0,VLOOKUP($A46,'0.Productos'!$A$3:$GG$587,'0.Productos'!DI$1+1,0),"")</f>
        <v/>
      </c>
      <c r="BR46" s="133" t="str">
        <f>IF($A46&lt;&gt;0,VLOOKUP($A46,'0.Productos'!$A$3:$GG$587,'0.Productos'!DJ$1+1,0),"")</f>
        <v/>
      </c>
      <c r="BS46" s="133" t="str">
        <f>IF($A46&lt;&gt;0,VLOOKUP($A46,'0.Productos'!$A$3:$GG$587,'0.Productos'!DK$1+1,0),"")</f>
        <v/>
      </c>
      <c r="BT46" s="133" t="str">
        <f>IF($A46&lt;&gt;0,VLOOKUP($A46,'0.Productos'!$A$3:$GG$587,'0.Productos'!DL$1+1,0),"")</f>
        <v/>
      </c>
    </row>
    <row r="47" spans="1:72" x14ac:dyDescent="0.25">
      <c r="A47" s="17">
        <f>'0.Consolidado general'!A47</f>
        <v>0</v>
      </c>
      <c r="B47" s="133" t="str">
        <f>IF($A47&lt;&gt;0,VLOOKUP($A47,'0.Productos'!$A$3:$GG$587,'0.Productos'!AT$1+1,0),"")</f>
        <v/>
      </c>
      <c r="C47" s="133" t="str">
        <f>IF($A47&lt;&gt;0,VLOOKUP($A47,'0.Productos'!$A$3:$GG$587,'0.Productos'!AU$1+1,0),"")</f>
        <v/>
      </c>
      <c r="D47" s="133" t="str">
        <f>IF($A47&lt;&gt;0,VLOOKUP($A47,'0.Productos'!$A$3:$GG$587,'0.Productos'!AV$1+1,0),"")</f>
        <v/>
      </c>
      <c r="E47" s="133" t="str">
        <f>IF($A47&lt;&gt;0,VLOOKUP($A47,'0.Productos'!$A$3:$GG$587,'0.Productos'!AW$1+1,0),"")</f>
        <v/>
      </c>
      <c r="F47" s="133" t="str">
        <f>IF($A47&lt;&gt;0,VLOOKUP($A47,'0.Productos'!$A$3:$GG$587,'0.Productos'!AX$1+1,0),"")</f>
        <v/>
      </c>
      <c r="G47" s="133" t="str">
        <f>IF($A47&lt;&gt;0,VLOOKUP($A47,'0.Productos'!$A$3:$GG$587,'0.Productos'!AY$1+1,0),"")</f>
        <v/>
      </c>
      <c r="H47" s="133" t="str">
        <f>IF($A47&lt;&gt;0,VLOOKUP($A47,'0.Productos'!$A$3:$GG$587,'0.Productos'!AZ$1+1,0),"")</f>
        <v/>
      </c>
      <c r="I47" s="133" t="str">
        <f>IF($A47&lt;&gt;0,VLOOKUP($A47,'0.Productos'!$A$3:$GG$587,'0.Productos'!BA$1+1,0),"")</f>
        <v/>
      </c>
      <c r="J47" s="133" t="str">
        <f>IF($A47&lt;&gt;0,VLOOKUP($A47,'0.Productos'!$A$3:$GG$587,'0.Productos'!BB$1+1,0),"")</f>
        <v/>
      </c>
      <c r="K47" s="133" t="str">
        <f>IF($A47&lt;&gt;0,VLOOKUP($A47,'0.Productos'!$A$3:$GG$587,'0.Productos'!BC$1+1,0),"")</f>
        <v/>
      </c>
      <c r="L47" s="133" t="str">
        <f>IF($A47&lt;&gt;0,VLOOKUP($A47,'0.Productos'!$A$3:$GG$587,'0.Productos'!BD$1+1,0),"")</f>
        <v/>
      </c>
      <c r="M47" s="133" t="str">
        <f>IF($A47&lt;&gt;0,VLOOKUP($A47,'0.Productos'!$A$3:$GG$587,'0.Productos'!BE$1+1,0),"")</f>
        <v/>
      </c>
      <c r="N47" s="133" t="str">
        <f>IF($A47&lt;&gt;0,VLOOKUP($A47,'0.Productos'!$A$3:$GG$587,'0.Productos'!BF$1+1,0),"")</f>
        <v/>
      </c>
      <c r="O47" s="133" t="str">
        <f>IF($A47&lt;&gt;0,VLOOKUP($A47,'0.Productos'!$A$3:$GG$587,'0.Productos'!BG$1+1,0),"")</f>
        <v/>
      </c>
      <c r="P47" s="133" t="str">
        <f>IF($A47&lt;&gt;0,VLOOKUP($A47,'0.Productos'!$A$3:$GG$587,'0.Productos'!BH$1+1,0),"")</f>
        <v/>
      </c>
      <c r="Q47" s="133" t="str">
        <f>IF($A47&lt;&gt;0,VLOOKUP($A47,'0.Productos'!$A$3:$GG$587,'0.Productos'!BI$1+1,0),"")</f>
        <v/>
      </c>
      <c r="R47" s="133" t="str">
        <f>IF($A47&lt;&gt;0,VLOOKUP($A47,'0.Productos'!$A$3:$GG$587,'0.Productos'!BJ$1+1,0),"")</f>
        <v/>
      </c>
      <c r="S47" s="133" t="str">
        <f>IF($A47&lt;&gt;0,VLOOKUP($A47,'0.Productos'!$A$3:$GG$587,'0.Productos'!BK$1+1,0),"")</f>
        <v/>
      </c>
      <c r="T47" s="133" t="str">
        <f>IF($A47&lt;&gt;0,VLOOKUP($A47,'0.Productos'!$A$3:$GG$587,'0.Productos'!BL$1+1,0),"")</f>
        <v/>
      </c>
      <c r="U47" s="133" t="str">
        <f>IF($A47&lt;&gt;0,VLOOKUP($A47,'0.Productos'!$A$3:$GG$587,'0.Productos'!BM$1+1,0),"")</f>
        <v/>
      </c>
      <c r="V47" s="133" t="str">
        <f>IF($A47&lt;&gt;0,VLOOKUP($A47,'0.Productos'!$A$3:$GG$587,'0.Productos'!BN$1+1,0),"")</f>
        <v/>
      </c>
      <c r="W47" s="133" t="str">
        <f>IF($A47&lt;&gt;0,VLOOKUP($A47,'0.Productos'!$A$3:$GG$587,'0.Productos'!BO$1+1,0),"")</f>
        <v/>
      </c>
      <c r="X47" s="133" t="str">
        <f>IF($A47&lt;&gt;0,VLOOKUP($A47,'0.Productos'!$A$3:$GG$587,'0.Productos'!BP$1+1,0),"")</f>
        <v/>
      </c>
      <c r="Y47" s="133" t="str">
        <f>IF($A47&lt;&gt;0,VLOOKUP($A47,'0.Productos'!$A$3:$GG$587,'0.Productos'!BQ$1+1,0),"")</f>
        <v/>
      </c>
      <c r="Z47" s="133" t="str">
        <f>IF($A47&lt;&gt;0,VLOOKUP($A47,'0.Productos'!$A$3:$GG$587,'0.Productos'!BR$1+1,0),"")</f>
        <v/>
      </c>
      <c r="AA47" s="133" t="str">
        <f>IF($A47&lt;&gt;0,VLOOKUP($A47,'0.Productos'!$A$3:$GG$587,'0.Productos'!BS$1+1,0),"")</f>
        <v/>
      </c>
      <c r="AB47" s="133" t="str">
        <f>IF($A47&lt;&gt;0,VLOOKUP($A47,'0.Productos'!$A$3:$GG$587,'0.Productos'!BT$1+1,0),"")</f>
        <v/>
      </c>
      <c r="AC47" s="133" t="str">
        <f>IF($A47&lt;&gt;0,VLOOKUP($A47,'0.Productos'!$A$3:$GG$587,'0.Productos'!BU$1+1,0),"")</f>
        <v/>
      </c>
      <c r="AD47" s="133" t="str">
        <f>IF($A47&lt;&gt;0,VLOOKUP($A47,'0.Productos'!$A$3:$GG$587,'0.Productos'!BV$1+1,0),"")</f>
        <v/>
      </c>
      <c r="AE47" s="133" t="str">
        <f>IF($A47&lt;&gt;0,VLOOKUP($A47,'0.Productos'!$A$3:$GG$587,'0.Productos'!BW$1+1,0),"")</f>
        <v/>
      </c>
      <c r="AF47" s="133" t="str">
        <f>IF($A47&lt;&gt;0,VLOOKUP($A47,'0.Productos'!$A$3:$GG$587,'0.Productos'!BX$1+1,0),"")</f>
        <v/>
      </c>
      <c r="AG47" s="133" t="str">
        <f>IF($A47&lt;&gt;0,VLOOKUP($A47,'0.Productos'!$A$3:$GG$587,'0.Productos'!BY$1+1,0),"")</f>
        <v/>
      </c>
      <c r="AH47" s="133" t="str">
        <f>IF($A47&lt;&gt;0,VLOOKUP($A47,'0.Productos'!$A$3:$GG$587,'0.Productos'!BZ$1+1,0),"")</f>
        <v/>
      </c>
      <c r="AI47" s="133" t="str">
        <f>IF($A47&lt;&gt;0,VLOOKUP($A47,'0.Productos'!$A$3:$GG$587,'0.Productos'!CA$1+1,0),"")</f>
        <v/>
      </c>
      <c r="AJ47" s="133" t="str">
        <f>IF($A47&lt;&gt;0,VLOOKUP($A47,'0.Productos'!$A$3:$GG$587,'0.Productos'!CB$1+1,0),"")</f>
        <v/>
      </c>
      <c r="AK47" s="133" t="str">
        <f>IF($A47&lt;&gt;0,VLOOKUP($A47,'0.Productos'!$A$3:$GG$587,'0.Productos'!CC$1+1,0),"")</f>
        <v/>
      </c>
      <c r="AL47" s="133" t="str">
        <f>IF($A47&lt;&gt;0,VLOOKUP($A47,'0.Productos'!$A$3:$GG$587,'0.Productos'!CD$1+1,0),"")</f>
        <v/>
      </c>
      <c r="AM47" s="133" t="str">
        <f>IF($A47&lt;&gt;0,VLOOKUP($A47,'0.Productos'!$A$3:$GG$587,'0.Productos'!CE$1+1,0),"")</f>
        <v/>
      </c>
      <c r="AN47" s="133" t="str">
        <f>IF($A47&lt;&gt;0,VLOOKUP($A47,'0.Productos'!$A$3:$GG$587,'0.Productos'!CF$1+1,0),"")</f>
        <v/>
      </c>
      <c r="AO47" s="133" t="str">
        <f>IF($A47&lt;&gt;0,VLOOKUP($A47,'0.Productos'!$A$3:$GG$587,'0.Productos'!CG$1+1,0),"")</f>
        <v/>
      </c>
      <c r="AP47" s="133" t="str">
        <f>IF($A47&lt;&gt;0,VLOOKUP($A47,'0.Productos'!$A$3:$GG$587,'0.Productos'!CH$1+1,0),"")</f>
        <v/>
      </c>
      <c r="AQ47" s="133" t="str">
        <f>IF($A47&lt;&gt;0,VLOOKUP($A47,'0.Productos'!$A$3:$GG$587,'0.Productos'!CI$1+1,0),"")</f>
        <v/>
      </c>
      <c r="AR47" s="133" t="str">
        <f>IF($A47&lt;&gt;0,VLOOKUP($A47,'0.Productos'!$A$3:$GG$587,'0.Productos'!CJ$1+1,0),"")</f>
        <v/>
      </c>
      <c r="AS47" s="133" t="str">
        <f>IF($A47&lt;&gt;0,VLOOKUP($A47,'0.Productos'!$A$3:$GG$587,'0.Productos'!CK$1+1,0),"")</f>
        <v/>
      </c>
      <c r="AT47" s="133" t="str">
        <f>IF($A47&lt;&gt;0,VLOOKUP($A47,'0.Productos'!$A$3:$GG$587,'0.Productos'!CL$1+1,0),"")</f>
        <v/>
      </c>
      <c r="AU47" s="133" t="str">
        <f>IF($A47&lt;&gt;0,VLOOKUP($A47,'0.Productos'!$A$3:$GG$587,'0.Productos'!CM$1+1,0),"")</f>
        <v/>
      </c>
      <c r="AV47" s="133" t="str">
        <f>IF($A47&lt;&gt;0,VLOOKUP($A47,'0.Productos'!$A$3:$GG$587,'0.Productos'!CN$1+1,0),"")</f>
        <v/>
      </c>
      <c r="AW47" s="133" t="str">
        <f>IF($A47&lt;&gt;0,VLOOKUP($A47,'0.Productos'!$A$3:$GG$587,'0.Productos'!CO$1+1,0),"")</f>
        <v/>
      </c>
      <c r="AX47" s="133" t="str">
        <f>IF($A47&lt;&gt;0,VLOOKUP($A47,'0.Productos'!$A$3:$GG$587,'0.Productos'!CP$1+1,0),"")</f>
        <v/>
      </c>
      <c r="AY47" s="133" t="str">
        <f>IF($A47&lt;&gt;0,VLOOKUP($A47,'0.Productos'!$A$3:$GG$587,'0.Productos'!CQ$1+1,0),"")</f>
        <v/>
      </c>
      <c r="AZ47" s="133" t="str">
        <f>IF($A47&lt;&gt;0,VLOOKUP($A47,'0.Productos'!$A$3:$GG$587,'0.Productos'!CR$1+1,0),"")</f>
        <v/>
      </c>
      <c r="BA47" s="133" t="str">
        <f>IF($A47&lt;&gt;0,VLOOKUP($A47,'0.Productos'!$A$3:$GG$587,'0.Productos'!CS$1+1,0),"")</f>
        <v/>
      </c>
      <c r="BB47" s="133" t="str">
        <f>IF($A47&lt;&gt;0,VLOOKUP($A47,'0.Productos'!$A$3:$GG$587,'0.Productos'!CT$1+1,0),"")</f>
        <v/>
      </c>
      <c r="BC47" s="133" t="str">
        <f>IF($A47&lt;&gt;0,VLOOKUP($A47,'0.Productos'!$A$3:$GG$587,'0.Productos'!CU$1+1,0),"")</f>
        <v/>
      </c>
      <c r="BD47" s="133" t="str">
        <f>IF($A47&lt;&gt;0,VLOOKUP($A47,'0.Productos'!$A$3:$GG$587,'0.Productos'!CV$1+1,0),"")</f>
        <v/>
      </c>
      <c r="BE47" s="133" t="str">
        <f>IF($A47&lt;&gt;0,VLOOKUP($A47,'0.Productos'!$A$3:$GG$587,'0.Productos'!CW$1+1,0),"")</f>
        <v/>
      </c>
      <c r="BF47" s="133" t="str">
        <f>IF($A47&lt;&gt;0,VLOOKUP($A47,'0.Productos'!$A$3:$GG$587,'0.Productos'!CX$1+1,0),"")</f>
        <v/>
      </c>
      <c r="BG47" s="133" t="str">
        <f>IF($A47&lt;&gt;0,VLOOKUP($A47,'0.Productos'!$A$3:$GG$587,'0.Productos'!CY$1+1,0),"")</f>
        <v/>
      </c>
      <c r="BH47" s="133" t="str">
        <f>IF($A47&lt;&gt;0,VLOOKUP($A47,'0.Productos'!$A$3:$GG$587,'0.Productos'!CZ$1+1,0),"")</f>
        <v/>
      </c>
      <c r="BI47" s="133" t="str">
        <f>IF($A47&lt;&gt;0,VLOOKUP($A47,'0.Productos'!$A$3:$GG$587,'0.Productos'!DA$1+1,0),"")</f>
        <v/>
      </c>
      <c r="BJ47" s="133" t="str">
        <f>IF($A47&lt;&gt;0,VLOOKUP($A47,'0.Productos'!$A$3:$GG$587,'0.Productos'!DB$1+1,0),"")</f>
        <v/>
      </c>
      <c r="BK47" s="133" t="str">
        <f>IF($A47&lt;&gt;0,VLOOKUP($A47,'0.Productos'!$A$3:$GG$587,'0.Productos'!DC$1+1,0),"")</f>
        <v/>
      </c>
      <c r="BL47" s="133" t="str">
        <f>IF($A47&lt;&gt;0,VLOOKUP($A47,'0.Productos'!$A$3:$GG$587,'0.Productos'!DD$1+1,0),"")</f>
        <v/>
      </c>
      <c r="BM47" s="133" t="str">
        <f>IF($A47&lt;&gt;0,VLOOKUP($A47,'0.Productos'!$A$3:$GG$587,'0.Productos'!DE$1+1,0),"")</f>
        <v/>
      </c>
      <c r="BN47" s="133" t="str">
        <f>IF($A47&lt;&gt;0,VLOOKUP($A47,'0.Productos'!$A$3:$GG$587,'0.Productos'!DF$1+1,0),"")</f>
        <v/>
      </c>
      <c r="BO47" s="133" t="str">
        <f>IF($A47&lt;&gt;0,VLOOKUP($A47,'0.Productos'!$A$3:$GG$587,'0.Productos'!DG$1+1,0),"")</f>
        <v/>
      </c>
      <c r="BP47" s="133" t="str">
        <f>IF($A47&lt;&gt;0,VLOOKUP($A47,'0.Productos'!$A$3:$GG$587,'0.Productos'!DH$1+1,0),"")</f>
        <v/>
      </c>
      <c r="BQ47" s="133" t="str">
        <f>IF($A47&lt;&gt;0,VLOOKUP($A47,'0.Productos'!$A$3:$GG$587,'0.Productos'!DI$1+1,0),"")</f>
        <v/>
      </c>
      <c r="BR47" s="133" t="str">
        <f>IF($A47&lt;&gt;0,VLOOKUP($A47,'0.Productos'!$A$3:$GG$587,'0.Productos'!DJ$1+1,0),"")</f>
        <v/>
      </c>
      <c r="BS47" s="133" t="str">
        <f>IF($A47&lt;&gt;0,VLOOKUP($A47,'0.Productos'!$A$3:$GG$587,'0.Productos'!DK$1+1,0),"")</f>
        <v/>
      </c>
      <c r="BT47" s="133" t="str">
        <f>IF($A47&lt;&gt;0,VLOOKUP($A47,'0.Productos'!$A$3:$GG$587,'0.Productos'!DL$1+1,0),"")</f>
        <v/>
      </c>
    </row>
    <row r="48" spans="1:72" x14ac:dyDescent="0.25">
      <c r="A48" s="17">
        <f>'0.Consolidado general'!A48</f>
        <v>0</v>
      </c>
      <c r="B48" s="133" t="str">
        <f>IF($A48&lt;&gt;0,VLOOKUP($A48,'0.Productos'!$A$3:$GG$587,'0.Productos'!AT$1+1,0),"")</f>
        <v/>
      </c>
      <c r="C48" s="133" t="str">
        <f>IF($A48&lt;&gt;0,VLOOKUP($A48,'0.Productos'!$A$3:$GG$587,'0.Productos'!AU$1+1,0),"")</f>
        <v/>
      </c>
      <c r="D48" s="133" t="str">
        <f>IF($A48&lt;&gt;0,VLOOKUP($A48,'0.Productos'!$A$3:$GG$587,'0.Productos'!AV$1+1,0),"")</f>
        <v/>
      </c>
      <c r="E48" s="133" t="str">
        <f>IF($A48&lt;&gt;0,VLOOKUP($A48,'0.Productos'!$A$3:$GG$587,'0.Productos'!AW$1+1,0),"")</f>
        <v/>
      </c>
      <c r="F48" s="133" t="str">
        <f>IF($A48&lt;&gt;0,VLOOKUP($A48,'0.Productos'!$A$3:$GG$587,'0.Productos'!AX$1+1,0),"")</f>
        <v/>
      </c>
      <c r="G48" s="133" t="str">
        <f>IF($A48&lt;&gt;0,VLOOKUP($A48,'0.Productos'!$A$3:$GG$587,'0.Productos'!AY$1+1,0),"")</f>
        <v/>
      </c>
      <c r="H48" s="133" t="str">
        <f>IF($A48&lt;&gt;0,VLOOKUP($A48,'0.Productos'!$A$3:$GG$587,'0.Productos'!AZ$1+1,0),"")</f>
        <v/>
      </c>
      <c r="I48" s="133" t="str">
        <f>IF($A48&lt;&gt;0,VLOOKUP($A48,'0.Productos'!$A$3:$GG$587,'0.Productos'!BA$1+1,0),"")</f>
        <v/>
      </c>
      <c r="J48" s="133" t="str">
        <f>IF($A48&lt;&gt;0,VLOOKUP($A48,'0.Productos'!$A$3:$GG$587,'0.Productos'!BB$1+1,0),"")</f>
        <v/>
      </c>
      <c r="K48" s="133" t="str">
        <f>IF($A48&lt;&gt;0,VLOOKUP($A48,'0.Productos'!$A$3:$GG$587,'0.Productos'!BC$1+1,0),"")</f>
        <v/>
      </c>
      <c r="L48" s="133" t="str">
        <f>IF($A48&lt;&gt;0,VLOOKUP($A48,'0.Productos'!$A$3:$GG$587,'0.Productos'!BD$1+1,0),"")</f>
        <v/>
      </c>
      <c r="M48" s="133" t="str">
        <f>IF($A48&lt;&gt;0,VLOOKUP($A48,'0.Productos'!$A$3:$GG$587,'0.Productos'!BE$1+1,0),"")</f>
        <v/>
      </c>
      <c r="N48" s="133" t="str">
        <f>IF($A48&lt;&gt;0,VLOOKUP($A48,'0.Productos'!$A$3:$GG$587,'0.Productos'!BF$1+1,0),"")</f>
        <v/>
      </c>
      <c r="O48" s="133" t="str">
        <f>IF($A48&lt;&gt;0,VLOOKUP($A48,'0.Productos'!$A$3:$GG$587,'0.Productos'!BG$1+1,0),"")</f>
        <v/>
      </c>
      <c r="P48" s="133" t="str">
        <f>IF($A48&lt;&gt;0,VLOOKUP($A48,'0.Productos'!$A$3:$GG$587,'0.Productos'!BH$1+1,0),"")</f>
        <v/>
      </c>
      <c r="Q48" s="133" t="str">
        <f>IF($A48&lt;&gt;0,VLOOKUP($A48,'0.Productos'!$A$3:$GG$587,'0.Productos'!BI$1+1,0),"")</f>
        <v/>
      </c>
      <c r="R48" s="133" t="str">
        <f>IF($A48&lt;&gt;0,VLOOKUP($A48,'0.Productos'!$A$3:$GG$587,'0.Productos'!BJ$1+1,0),"")</f>
        <v/>
      </c>
      <c r="S48" s="133" t="str">
        <f>IF($A48&lt;&gt;0,VLOOKUP($A48,'0.Productos'!$A$3:$GG$587,'0.Productos'!BK$1+1,0),"")</f>
        <v/>
      </c>
      <c r="T48" s="133" t="str">
        <f>IF($A48&lt;&gt;0,VLOOKUP($A48,'0.Productos'!$A$3:$GG$587,'0.Productos'!BL$1+1,0),"")</f>
        <v/>
      </c>
      <c r="U48" s="133" t="str">
        <f>IF($A48&lt;&gt;0,VLOOKUP($A48,'0.Productos'!$A$3:$GG$587,'0.Productos'!BM$1+1,0),"")</f>
        <v/>
      </c>
      <c r="V48" s="133" t="str">
        <f>IF($A48&lt;&gt;0,VLOOKUP($A48,'0.Productos'!$A$3:$GG$587,'0.Productos'!BN$1+1,0),"")</f>
        <v/>
      </c>
      <c r="W48" s="133" t="str">
        <f>IF($A48&lt;&gt;0,VLOOKUP($A48,'0.Productos'!$A$3:$GG$587,'0.Productos'!BO$1+1,0),"")</f>
        <v/>
      </c>
      <c r="X48" s="133" t="str">
        <f>IF($A48&lt;&gt;0,VLOOKUP($A48,'0.Productos'!$A$3:$GG$587,'0.Productos'!BP$1+1,0),"")</f>
        <v/>
      </c>
      <c r="Y48" s="133" t="str">
        <f>IF($A48&lt;&gt;0,VLOOKUP($A48,'0.Productos'!$A$3:$GG$587,'0.Productos'!BQ$1+1,0),"")</f>
        <v/>
      </c>
      <c r="Z48" s="133" t="str">
        <f>IF($A48&lt;&gt;0,VLOOKUP($A48,'0.Productos'!$A$3:$GG$587,'0.Productos'!BR$1+1,0),"")</f>
        <v/>
      </c>
      <c r="AA48" s="133" t="str">
        <f>IF($A48&lt;&gt;0,VLOOKUP($A48,'0.Productos'!$A$3:$GG$587,'0.Productos'!BS$1+1,0),"")</f>
        <v/>
      </c>
      <c r="AB48" s="133" t="str">
        <f>IF($A48&lt;&gt;0,VLOOKUP($A48,'0.Productos'!$A$3:$GG$587,'0.Productos'!BT$1+1,0),"")</f>
        <v/>
      </c>
      <c r="AC48" s="133" t="str">
        <f>IF($A48&lt;&gt;0,VLOOKUP($A48,'0.Productos'!$A$3:$GG$587,'0.Productos'!BU$1+1,0),"")</f>
        <v/>
      </c>
      <c r="AD48" s="133" t="str">
        <f>IF($A48&lt;&gt;0,VLOOKUP($A48,'0.Productos'!$A$3:$GG$587,'0.Productos'!BV$1+1,0),"")</f>
        <v/>
      </c>
      <c r="AE48" s="133" t="str">
        <f>IF($A48&lt;&gt;0,VLOOKUP($A48,'0.Productos'!$A$3:$GG$587,'0.Productos'!BW$1+1,0),"")</f>
        <v/>
      </c>
      <c r="AF48" s="133" t="str">
        <f>IF($A48&lt;&gt;0,VLOOKUP($A48,'0.Productos'!$A$3:$GG$587,'0.Productos'!BX$1+1,0),"")</f>
        <v/>
      </c>
      <c r="AG48" s="133" t="str">
        <f>IF($A48&lt;&gt;0,VLOOKUP($A48,'0.Productos'!$A$3:$GG$587,'0.Productos'!BY$1+1,0),"")</f>
        <v/>
      </c>
      <c r="AH48" s="133" t="str">
        <f>IF($A48&lt;&gt;0,VLOOKUP($A48,'0.Productos'!$A$3:$GG$587,'0.Productos'!BZ$1+1,0),"")</f>
        <v/>
      </c>
      <c r="AI48" s="133" t="str">
        <f>IF($A48&lt;&gt;0,VLOOKUP($A48,'0.Productos'!$A$3:$GG$587,'0.Productos'!CA$1+1,0),"")</f>
        <v/>
      </c>
      <c r="AJ48" s="133" t="str">
        <f>IF($A48&lt;&gt;0,VLOOKUP($A48,'0.Productos'!$A$3:$GG$587,'0.Productos'!CB$1+1,0),"")</f>
        <v/>
      </c>
      <c r="AK48" s="133" t="str">
        <f>IF($A48&lt;&gt;0,VLOOKUP($A48,'0.Productos'!$A$3:$GG$587,'0.Productos'!CC$1+1,0),"")</f>
        <v/>
      </c>
      <c r="AL48" s="133" t="str">
        <f>IF($A48&lt;&gt;0,VLOOKUP($A48,'0.Productos'!$A$3:$GG$587,'0.Productos'!CD$1+1,0),"")</f>
        <v/>
      </c>
      <c r="AM48" s="133" t="str">
        <f>IF($A48&lt;&gt;0,VLOOKUP($A48,'0.Productos'!$A$3:$GG$587,'0.Productos'!CE$1+1,0),"")</f>
        <v/>
      </c>
      <c r="AN48" s="133" t="str">
        <f>IF($A48&lt;&gt;0,VLOOKUP($A48,'0.Productos'!$A$3:$GG$587,'0.Productos'!CF$1+1,0),"")</f>
        <v/>
      </c>
      <c r="AO48" s="133" t="str">
        <f>IF($A48&lt;&gt;0,VLOOKUP($A48,'0.Productos'!$A$3:$GG$587,'0.Productos'!CG$1+1,0),"")</f>
        <v/>
      </c>
      <c r="AP48" s="133" t="str">
        <f>IF($A48&lt;&gt;0,VLOOKUP($A48,'0.Productos'!$A$3:$GG$587,'0.Productos'!CH$1+1,0),"")</f>
        <v/>
      </c>
      <c r="AQ48" s="133" t="str">
        <f>IF($A48&lt;&gt;0,VLOOKUP($A48,'0.Productos'!$A$3:$GG$587,'0.Productos'!CI$1+1,0),"")</f>
        <v/>
      </c>
      <c r="AR48" s="133" t="str">
        <f>IF($A48&lt;&gt;0,VLOOKUP($A48,'0.Productos'!$A$3:$GG$587,'0.Productos'!CJ$1+1,0),"")</f>
        <v/>
      </c>
      <c r="AS48" s="133" t="str">
        <f>IF($A48&lt;&gt;0,VLOOKUP($A48,'0.Productos'!$A$3:$GG$587,'0.Productos'!CK$1+1,0),"")</f>
        <v/>
      </c>
      <c r="AT48" s="133" t="str">
        <f>IF($A48&lt;&gt;0,VLOOKUP($A48,'0.Productos'!$A$3:$GG$587,'0.Productos'!CL$1+1,0),"")</f>
        <v/>
      </c>
      <c r="AU48" s="133" t="str">
        <f>IF($A48&lt;&gt;0,VLOOKUP($A48,'0.Productos'!$A$3:$GG$587,'0.Productos'!CM$1+1,0),"")</f>
        <v/>
      </c>
      <c r="AV48" s="133" t="str">
        <f>IF($A48&lt;&gt;0,VLOOKUP($A48,'0.Productos'!$A$3:$GG$587,'0.Productos'!CN$1+1,0),"")</f>
        <v/>
      </c>
      <c r="AW48" s="133" t="str">
        <f>IF($A48&lt;&gt;0,VLOOKUP($A48,'0.Productos'!$A$3:$GG$587,'0.Productos'!CO$1+1,0),"")</f>
        <v/>
      </c>
      <c r="AX48" s="133" t="str">
        <f>IF($A48&lt;&gt;0,VLOOKUP($A48,'0.Productos'!$A$3:$GG$587,'0.Productos'!CP$1+1,0),"")</f>
        <v/>
      </c>
      <c r="AY48" s="133" t="str">
        <f>IF($A48&lt;&gt;0,VLOOKUP($A48,'0.Productos'!$A$3:$GG$587,'0.Productos'!CQ$1+1,0),"")</f>
        <v/>
      </c>
      <c r="AZ48" s="133" t="str">
        <f>IF($A48&lt;&gt;0,VLOOKUP($A48,'0.Productos'!$A$3:$GG$587,'0.Productos'!CR$1+1,0),"")</f>
        <v/>
      </c>
      <c r="BA48" s="133" t="str">
        <f>IF($A48&lt;&gt;0,VLOOKUP($A48,'0.Productos'!$A$3:$GG$587,'0.Productos'!CS$1+1,0),"")</f>
        <v/>
      </c>
      <c r="BB48" s="133" t="str">
        <f>IF($A48&lt;&gt;0,VLOOKUP($A48,'0.Productos'!$A$3:$GG$587,'0.Productos'!CT$1+1,0),"")</f>
        <v/>
      </c>
      <c r="BC48" s="133" t="str">
        <f>IF($A48&lt;&gt;0,VLOOKUP($A48,'0.Productos'!$A$3:$GG$587,'0.Productos'!CU$1+1,0),"")</f>
        <v/>
      </c>
      <c r="BD48" s="133" t="str">
        <f>IF($A48&lt;&gt;0,VLOOKUP($A48,'0.Productos'!$A$3:$GG$587,'0.Productos'!CV$1+1,0),"")</f>
        <v/>
      </c>
      <c r="BE48" s="133" t="str">
        <f>IF($A48&lt;&gt;0,VLOOKUP($A48,'0.Productos'!$A$3:$GG$587,'0.Productos'!CW$1+1,0),"")</f>
        <v/>
      </c>
      <c r="BF48" s="133" t="str">
        <f>IF($A48&lt;&gt;0,VLOOKUP($A48,'0.Productos'!$A$3:$GG$587,'0.Productos'!CX$1+1,0),"")</f>
        <v/>
      </c>
      <c r="BG48" s="133" t="str">
        <f>IF($A48&lt;&gt;0,VLOOKUP($A48,'0.Productos'!$A$3:$GG$587,'0.Productos'!CY$1+1,0),"")</f>
        <v/>
      </c>
      <c r="BH48" s="133" t="str">
        <f>IF($A48&lt;&gt;0,VLOOKUP($A48,'0.Productos'!$A$3:$GG$587,'0.Productos'!CZ$1+1,0),"")</f>
        <v/>
      </c>
      <c r="BI48" s="133" t="str">
        <f>IF($A48&lt;&gt;0,VLOOKUP($A48,'0.Productos'!$A$3:$GG$587,'0.Productos'!DA$1+1,0),"")</f>
        <v/>
      </c>
      <c r="BJ48" s="133" t="str">
        <f>IF($A48&lt;&gt;0,VLOOKUP($A48,'0.Productos'!$A$3:$GG$587,'0.Productos'!DB$1+1,0),"")</f>
        <v/>
      </c>
      <c r="BK48" s="133" t="str">
        <f>IF($A48&lt;&gt;0,VLOOKUP($A48,'0.Productos'!$A$3:$GG$587,'0.Productos'!DC$1+1,0),"")</f>
        <v/>
      </c>
      <c r="BL48" s="133" t="str">
        <f>IF($A48&lt;&gt;0,VLOOKUP($A48,'0.Productos'!$A$3:$GG$587,'0.Productos'!DD$1+1,0),"")</f>
        <v/>
      </c>
      <c r="BM48" s="133" t="str">
        <f>IF($A48&lt;&gt;0,VLOOKUP($A48,'0.Productos'!$A$3:$GG$587,'0.Productos'!DE$1+1,0),"")</f>
        <v/>
      </c>
      <c r="BN48" s="133" t="str">
        <f>IF($A48&lt;&gt;0,VLOOKUP($A48,'0.Productos'!$A$3:$GG$587,'0.Productos'!DF$1+1,0),"")</f>
        <v/>
      </c>
      <c r="BO48" s="133" t="str">
        <f>IF($A48&lt;&gt;0,VLOOKUP($A48,'0.Productos'!$A$3:$GG$587,'0.Productos'!DG$1+1,0),"")</f>
        <v/>
      </c>
      <c r="BP48" s="133" t="str">
        <f>IF($A48&lt;&gt;0,VLOOKUP($A48,'0.Productos'!$A$3:$GG$587,'0.Productos'!DH$1+1,0),"")</f>
        <v/>
      </c>
      <c r="BQ48" s="133" t="str">
        <f>IF($A48&lt;&gt;0,VLOOKUP($A48,'0.Productos'!$A$3:$GG$587,'0.Productos'!DI$1+1,0),"")</f>
        <v/>
      </c>
      <c r="BR48" s="133" t="str">
        <f>IF($A48&lt;&gt;0,VLOOKUP($A48,'0.Productos'!$A$3:$GG$587,'0.Productos'!DJ$1+1,0),"")</f>
        <v/>
      </c>
      <c r="BS48" s="133" t="str">
        <f>IF($A48&lt;&gt;0,VLOOKUP($A48,'0.Productos'!$A$3:$GG$587,'0.Productos'!DK$1+1,0),"")</f>
        <v/>
      </c>
      <c r="BT48" s="133" t="str">
        <f>IF($A48&lt;&gt;0,VLOOKUP($A48,'0.Productos'!$A$3:$GG$587,'0.Productos'!DL$1+1,0),"")</f>
        <v/>
      </c>
    </row>
    <row r="49" spans="1:72" x14ac:dyDescent="0.25">
      <c r="A49" s="17">
        <f>'0.Consolidado general'!A49</f>
        <v>0</v>
      </c>
      <c r="B49" s="133" t="str">
        <f>IF($A49&lt;&gt;0,VLOOKUP($A49,'0.Productos'!$A$3:$GG$587,'0.Productos'!AT$1+1,0),"")</f>
        <v/>
      </c>
      <c r="C49" s="133" t="str">
        <f>IF($A49&lt;&gt;0,VLOOKUP($A49,'0.Productos'!$A$3:$GG$587,'0.Productos'!AU$1+1,0),"")</f>
        <v/>
      </c>
      <c r="D49" s="133" t="str">
        <f>IF($A49&lt;&gt;0,VLOOKUP($A49,'0.Productos'!$A$3:$GG$587,'0.Productos'!AV$1+1,0),"")</f>
        <v/>
      </c>
      <c r="E49" s="133" t="str">
        <f>IF($A49&lt;&gt;0,VLOOKUP($A49,'0.Productos'!$A$3:$GG$587,'0.Productos'!AW$1+1,0),"")</f>
        <v/>
      </c>
      <c r="F49" s="133" t="str">
        <f>IF($A49&lt;&gt;0,VLOOKUP($A49,'0.Productos'!$A$3:$GG$587,'0.Productos'!AX$1+1,0),"")</f>
        <v/>
      </c>
      <c r="G49" s="133" t="str">
        <f>IF($A49&lt;&gt;0,VLOOKUP($A49,'0.Productos'!$A$3:$GG$587,'0.Productos'!AY$1+1,0),"")</f>
        <v/>
      </c>
      <c r="H49" s="133" t="str">
        <f>IF($A49&lt;&gt;0,VLOOKUP($A49,'0.Productos'!$A$3:$GG$587,'0.Productos'!AZ$1+1,0),"")</f>
        <v/>
      </c>
      <c r="I49" s="133" t="str">
        <f>IF($A49&lt;&gt;0,VLOOKUP($A49,'0.Productos'!$A$3:$GG$587,'0.Productos'!BA$1+1,0),"")</f>
        <v/>
      </c>
      <c r="J49" s="133" t="str">
        <f>IF($A49&lt;&gt;0,VLOOKUP($A49,'0.Productos'!$A$3:$GG$587,'0.Productos'!BB$1+1,0),"")</f>
        <v/>
      </c>
      <c r="K49" s="133" t="str">
        <f>IF($A49&lt;&gt;0,VLOOKUP($A49,'0.Productos'!$A$3:$GG$587,'0.Productos'!BC$1+1,0),"")</f>
        <v/>
      </c>
      <c r="L49" s="133" t="str">
        <f>IF($A49&lt;&gt;0,VLOOKUP($A49,'0.Productos'!$A$3:$GG$587,'0.Productos'!BD$1+1,0),"")</f>
        <v/>
      </c>
      <c r="M49" s="133" t="str">
        <f>IF($A49&lt;&gt;0,VLOOKUP($A49,'0.Productos'!$A$3:$GG$587,'0.Productos'!BE$1+1,0),"")</f>
        <v/>
      </c>
      <c r="N49" s="133" t="str">
        <f>IF($A49&lt;&gt;0,VLOOKUP($A49,'0.Productos'!$A$3:$GG$587,'0.Productos'!BF$1+1,0),"")</f>
        <v/>
      </c>
      <c r="O49" s="133" t="str">
        <f>IF($A49&lt;&gt;0,VLOOKUP($A49,'0.Productos'!$A$3:$GG$587,'0.Productos'!BG$1+1,0),"")</f>
        <v/>
      </c>
      <c r="P49" s="133" t="str">
        <f>IF($A49&lt;&gt;0,VLOOKUP($A49,'0.Productos'!$A$3:$GG$587,'0.Productos'!BH$1+1,0),"")</f>
        <v/>
      </c>
      <c r="Q49" s="133" t="str">
        <f>IF($A49&lt;&gt;0,VLOOKUP($A49,'0.Productos'!$A$3:$GG$587,'0.Productos'!BI$1+1,0),"")</f>
        <v/>
      </c>
      <c r="R49" s="133" t="str">
        <f>IF($A49&lt;&gt;0,VLOOKUP($A49,'0.Productos'!$A$3:$GG$587,'0.Productos'!BJ$1+1,0),"")</f>
        <v/>
      </c>
      <c r="S49" s="133" t="str">
        <f>IF($A49&lt;&gt;0,VLOOKUP($A49,'0.Productos'!$A$3:$GG$587,'0.Productos'!BK$1+1,0),"")</f>
        <v/>
      </c>
      <c r="T49" s="133" t="str">
        <f>IF($A49&lt;&gt;0,VLOOKUP($A49,'0.Productos'!$A$3:$GG$587,'0.Productos'!BL$1+1,0),"")</f>
        <v/>
      </c>
      <c r="U49" s="133" t="str">
        <f>IF($A49&lt;&gt;0,VLOOKUP($A49,'0.Productos'!$A$3:$GG$587,'0.Productos'!BM$1+1,0),"")</f>
        <v/>
      </c>
      <c r="V49" s="133" t="str">
        <f>IF($A49&lt;&gt;0,VLOOKUP($A49,'0.Productos'!$A$3:$GG$587,'0.Productos'!BN$1+1,0),"")</f>
        <v/>
      </c>
      <c r="W49" s="133" t="str">
        <f>IF($A49&lt;&gt;0,VLOOKUP($A49,'0.Productos'!$A$3:$GG$587,'0.Productos'!BO$1+1,0),"")</f>
        <v/>
      </c>
      <c r="X49" s="133" t="str">
        <f>IF($A49&lt;&gt;0,VLOOKUP($A49,'0.Productos'!$A$3:$GG$587,'0.Productos'!BP$1+1,0),"")</f>
        <v/>
      </c>
      <c r="Y49" s="133" t="str">
        <f>IF($A49&lt;&gt;0,VLOOKUP($A49,'0.Productos'!$A$3:$GG$587,'0.Productos'!BQ$1+1,0),"")</f>
        <v/>
      </c>
      <c r="Z49" s="133" t="str">
        <f>IF($A49&lt;&gt;0,VLOOKUP($A49,'0.Productos'!$A$3:$GG$587,'0.Productos'!BR$1+1,0),"")</f>
        <v/>
      </c>
      <c r="AA49" s="133" t="str">
        <f>IF($A49&lt;&gt;0,VLOOKUP($A49,'0.Productos'!$A$3:$GG$587,'0.Productos'!BS$1+1,0),"")</f>
        <v/>
      </c>
      <c r="AB49" s="133" t="str">
        <f>IF($A49&lt;&gt;0,VLOOKUP($A49,'0.Productos'!$A$3:$GG$587,'0.Productos'!BT$1+1,0),"")</f>
        <v/>
      </c>
      <c r="AC49" s="133" t="str">
        <f>IF($A49&lt;&gt;0,VLOOKUP($A49,'0.Productos'!$A$3:$GG$587,'0.Productos'!BU$1+1,0),"")</f>
        <v/>
      </c>
      <c r="AD49" s="133" t="str">
        <f>IF($A49&lt;&gt;0,VLOOKUP($A49,'0.Productos'!$A$3:$GG$587,'0.Productos'!BV$1+1,0),"")</f>
        <v/>
      </c>
      <c r="AE49" s="133" t="str">
        <f>IF($A49&lt;&gt;0,VLOOKUP($A49,'0.Productos'!$A$3:$GG$587,'0.Productos'!BW$1+1,0),"")</f>
        <v/>
      </c>
      <c r="AF49" s="133" t="str">
        <f>IF($A49&lt;&gt;0,VLOOKUP($A49,'0.Productos'!$A$3:$GG$587,'0.Productos'!BX$1+1,0),"")</f>
        <v/>
      </c>
      <c r="AG49" s="133" t="str">
        <f>IF($A49&lt;&gt;0,VLOOKUP($A49,'0.Productos'!$A$3:$GG$587,'0.Productos'!BY$1+1,0),"")</f>
        <v/>
      </c>
      <c r="AH49" s="133" t="str">
        <f>IF($A49&lt;&gt;0,VLOOKUP($A49,'0.Productos'!$A$3:$GG$587,'0.Productos'!BZ$1+1,0),"")</f>
        <v/>
      </c>
      <c r="AI49" s="133" t="str">
        <f>IF($A49&lt;&gt;0,VLOOKUP($A49,'0.Productos'!$A$3:$GG$587,'0.Productos'!CA$1+1,0),"")</f>
        <v/>
      </c>
      <c r="AJ49" s="133" t="str">
        <f>IF($A49&lt;&gt;0,VLOOKUP($A49,'0.Productos'!$A$3:$GG$587,'0.Productos'!CB$1+1,0),"")</f>
        <v/>
      </c>
      <c r="AK49" s="133" t="str">
        <f>IF($A49&lt;&gt;0,VLOOKUP($A49,'0.Productos'!$A$3:$GG$587,'0.Productos'!CC$1+1,0),"")</f>
        <v/>
      </c>
      <c r="AL49" s="133" t="str">
        <f>IF($A49&lt;&gt;0,VLOOKUP($A49,'0.Productos'!$A$3:$GG$587,'0.Productos'!CD$1+1,0),"")</f>
        <v/>
      </c>
      <c r="AM49" s="133" t="str">
        <f>IF($A49&lt;&gt;0,VLOOKUP($A49,'0.Productos'!$A$3:$GG$587,'0.Productos'!CE$1+1,0),"")</f>
        <v/>
      </c>
      <c r="AN49" s="133" t="str">
        <f>IF($A49&lt;&gt;0,VLOOKUP($A49,'0.Productos'!$A$3:$GG$587,'0.Productos'!CF$1+1,0),"")</f>
        <v/>
      </c>
      <c r="AO49" s="133" t="str">
        <f>IF($A49&lt;&gt;0,VLOOKUP($A49,'0.Productos'!$A$3:$GG$587,'0.Productos'!CG$1+1,0),"")</f>
        <v/>
      </c>
      <c r="AP49" s="133" t="str">
        <f>IF($A49&lt;&gt;0,VLOOKUP($A49,'0.Productos'!$A$3:$GG$587,'0.Productos'!CH$1+1,0),"")</f>
        <v/>
      </c>
      <c r="AQ49" s="133" t="str">
        <f>IF($A49&lt;&gt;0,VLOOKUP($A49,'0.Productos'!$A$3:$GG$587,'0.Productos'!CI$1+1,0),"")</f>
        <v/>
      </c>
      <c r="AR49" s="133" t="str">
        <f>IF($A49&lt;&gt;0,VLOOKUP($A49,'0.Productos'!$A$3:$GG$587,'0.Productos'!CJ$1+1,0),"")</f>
        <v/>
      </c>
      <c r="AS49" s="133" t="str">
        <f>IF($A49&lt;&gt;0,VLOOKUP($A49,'0.Productos'!$A$3:$GG$587,'0.Productos'!CK$1+1,0),"")</f>
        <v/>
      </c>
      <c r="AT49" s="133" t="str">
        <f>IF($A49&lt;&gt;0,VLOOKUP($A49,'0.Productos'!$A$3:$GG$587,'0.Productos'!CL$1+1,0),"")</f>
        <v/>
      </c>
      <c r="AU49" s="133" t="str">
        <f>IF($A49&lt;&gt;0,VLOOKUP($A49,'0.Productos'!$A$3:$GG$587,'0.Productos'!CM$1+1,0),"")</f>
        <v/>
      </c>
      <c r="AV49" s="133" t="str">
        <f>IF($A49&lt;&gt;0,VLOOKUP($A49,'0.Productos'!$A$3:$GG$587,'0.Productos'!CN$1+1,0),"")</f>
        <v/>
      </c>
      <c r="AW49" s="133" t="str">
        <f>IF($A49&lt;&gt;0,VLOOKUP($A49,'0.Productos'!$A$3:$GG$587,'0.Productos'!CO$1+1,0),"")</f>
        <v/>
      </c>
      <c r="AX49" s="133" t="str">
        <f>IF($A49&lt;&gt;0,VLOOKUP($A49,'0.Productos'!$A$3:$GG$587,'0.Productos'!CP$1+1,0),"")</f>
        <v/>
      </c>
      <c r="AY49" s="133" t="str">
        <f>IF($A49&lt;&gt;0,VLOOKUP($A49,'0.Productos'!$A$3:$GG$587,'0.Productos'!CQ$1+1,0),"")</f>
        <v/>
      </c>
      <c r="AZ49" s="133" t="str">
        <f>IF($A49&lt;&gt;0,VLOOKUP($A49,'0.Productos'!$A$3:$GG$587,'0.Productos'!CR$1+1,0),"")</f>
        <v/>
      </c>
      <c r="BA49" s="133" t="str">
        <f>IF($A49&lt;&gt;0,VLOOKUP($A49,'0.Productos'!$A$3:$GG$587,'0.Productos'!CS$1+1,0),"")</f>
        <v/>
      </c>
      <c r="BB49" s="133" t="str">
        <f>IF($A49&lt;&gt;0,VLOOKUP($A49,'0.Productos'!$A$3:$GG$587,'0.Productos'!CT$1+1,0),"")</f>
        <v/>
      </c>
      <c r="BC49" s="133" t="str">
        <f>IF($A49&lt;&gt;0,VLOOKUP($A49,'0.Productos'!$A$3:$GG$587,'0.Productos'!CU$1+1,0),"")</f>
        <v/>
      </c>
      <c r="BD49" s="133" t="str">
        <f>IF($A49&lt;&gt;0,VLOOKUP($A49,'0.Productos'!$A$3:$GG$587,'0.Productos'!CV$1+1,0),"")</f>
        <v/>
      </c>
      <c r="BE49" s="133" t="str">
        <f>IF($A49&lt;&gt;0,VLOOKUP($A49,'0.Productos'!$A$3:$GG$587,'0.Productos'!CW$1+1,0),"")</f>
        <v/>
      </c>
      <c r="BF49" s="133" t="str">
        <f>IF($A49&lt;&gt;0,VLOOKUP($A49,'0.Productos'!$A$3:$GG$587,'0.Productos'!CX$1+1,0),"")</f>
        <v/>
      </c>
      <c r="BG49" s="133" t="str">
        <f>IF($A49&lt;&gt;0,VLOOKUP($A49,'0.Productos'!$A$3:$GG$587,'0.Productos'!CY$1+1,0),"")</f>
        <v/>
      </c>
      <c r="BH49" s="133" t="str">
        <f>IF($A49&lt;&gt;0,VLOOKUP($A49,'0.Productos'!$A$3:$GG$587,'0.Productos'!CZ$1+1,0),"")</f>
        <v/>
      </c>
      <c r="BI49" s="133" t="str">
        <f>IF($A49&lt;&gt;0,VLOOKUP($A49,'0.Productos'!$A$3:$GG$587,'0.Productos'!DA$1+1,0),"")</f>
        <v/>
      </c>
      <c r="BJ49" s="133" t="str">
        <f>IF($A49&lt;&gt;0,VLOOKUP($A49,'0.Productos'!$A$3:$GG$587,'0.Productos'!DB$1+1,0),"")</f>
        <v/>
      </c>
      <c r="BK49" s="133" t="str">
        <f>IF($A49&lt;&gt;0,VLOOKUP($A49,'0.Productos'!$A$3:$GG$587,'0.Productos'!DC$1+1,0),"")</f>
        <v/>
      </c>
      <c r="BL49" s="133" t="str">
        <f>IF($A49&lt;&gt;0,VLOOKUP($A49,'0.Productos'!$A$3:$GG$587,'0.Productos'!DD$1+1,0),"")</f>
        <v/>
      </c>
      <c r="BM49" s="133" t="str">
        <f>IF($A49&lt;&gt;0,VLOOKUP($A49,'0.Productos'!$A$3:$GG$587,'0.Productos'!DE$1+1,0),"")</f>
        <v/>
      </c>
      <c r="BN49" s="133" t="str">
        <f>IF($A49&lt;&gt;0,VLOOKUP($A49,'0.Productos'!$A$3:$GG$587,'0.Productos'!DF$1+1,0),"")</f>
        <v/>
      </c>
      <c r="BO49" s="133" t="str">
        <f>IF($A49&lt;&gt;0,VLOOKUP($A49,'0.Productos'!$A$3:$GG$587,'0.Productos'!DG$1+1,0),"")</f>
        <v/>
      </c>
      <c r="BP49" s="133" t="str">
        <f>IF($A49&lt;&gt;0,VLOOKUP($A49,'0.Productos'!$A$3:$GG$587,'0.Productos'!DH$1+1,0),"")</f>
        <v/>
      </c>
      <c r="BQ49" s="133" t="str">
        <f>IF($A49&lt;&gt;0,VLOOKUP($A49,'0.Productos'!$A$3:$GG$587,'0.Productos'!DI$1+1,0),"")</f>
        <v/>
      </c>
      <c r="BR49" s="133" t="str">
        <f>IF($A49&lt;&gt;0,VLOOKUP($A49,'0.Productos'!$A$3:$GG$587,'0.Productos'!DJ$1+1,0),"")</f>
        <v/>
      </c>
      <c r="BS49" s="133" t="str">
        <f>IF($A49&lt;&gt;0,VLOOKUP($A49,'0.Productos'!$A$3:$GG$587,'0.Productos'!DK$1+1,0),"")</f>
        <v/>
      </c>
      <c r="BT49" s="133" t="str">
        <f>IF($A49&lt;&gt;0,VLOOKUP($A49,'0.Productos'!$A$3:$GG$587,'0.Productos'!DL$1+1,0),"")</f>
        <v/>
      </c>
    </row>
    <row r="50" spans="1:72" x14ac:dyDescent="0.25">
      <c r="A50" s="17">
        <f>'0.Consolidado general'!A50</f>
        <v>0</v>
      </c>
      <c r="B50" s="133" t="str">
        <f>IF($A50&lt;&gt;0,VLOOKUP($A50,'0.Productos'!$A$3:$GG$587,'0.Productos'!AT$1+1,0),"")</f>
        <v/>
      </c>
      <c r="C50" s="133" t="str">
        <f>IF($A50&lt;&gt;0,VLOOKUP($A50,'0.Productos'!$A$3:$GG$587,'0.Productos'!AU$1+1,0),"")</f>
        <v/>
      </c>
      <c r="D50" s="133" t="str">
        <f>IF($A50&lt;&gt;0,VLOOKUP($A50,'0.Productos'!$A$3:$GG$587,'0.Productos'!AV$1+1,0),"")</f>
        <v/>
      </c>
      <c r="E50" s="133" t="str">
        <f>IF($A50&lt;&gt;0,VLOOKUP($A50,'0.Productos'!$A$3:$GG$587,'0.Productos'!AW$1+1,0),"")</f>
        <v/>
      </c>
      <c r="F50" s="133" t="str">
        <f>IF($A50&lt;&gt;0,VLOOKUP($A50,'0.Productos'!$A$3:$GG$587,'0.Productos'!AX$1+1,0),"")</f>
        <v/>
      </c>
      <c r="G50" s="133" t="str">
        <f>IF($A50&lt;&gt;0,VLOOKUP($A50,'0.Productos'!$A$3:$GG$587,'0.Productos'!AY$1+1,0),"")</f>
        <v/>
      </c>
      <c r="H50" s="133" t="str">
        <f>IF($A50&lt;&gt;0,VLOOKUP($A50,'0.Productos'!$A$3:$GG$587,'0.Productos'!AZ$1+1,0),"")</f>
        <v/>
      </c>
      <c r="I50" s="133" t="str">
        <f>IF($A50&lt;&gt;0,VLOOKUP($A50,'0.Productos'!$A$3:$GG$587,'0.Productos'!BA$1+1,0),"")</f>
        <v/>
      </c>
      <c r="J50" s="133" t="str">
        <f>IF($A50&lt;&gt;0,VLOOKUP($A50,'0.Productos'!$A$3:$GG$587,'0.Productos'!BB$1+1,0),"")</f>
        <v/>
      </c>
      <c r="K50" s="133" t="str">
        <f>IF($A50&lt;&gt;0,VLOOKUP($A50,'0.Productos'!$A$3:$GG$587,'0.Productos'!BC$1+1,0),"")</f>
        <v/>
      </c>
      <c r="L50" s="133" t="str">
        <f>IF($A50&lt;&gt;0,VLOOKUP($A50,'0.Productos'!$A$3:$GG$587,'0.Productos'!BD$1+1,0),"")</f>
        <v/>
      </c>
      <c r="M50" s="133" t="str">
        <f>IF($A50&lt;&gt;0,VLOOKUP($A50,'0.Productos'!$A$3:$GG$587,'0.Productos'!BE$1+1,0),"")</f>
        <v/>
      </c>
      <c r="N50" s="133" t="str">
        <f>IF($A50&lt;&gt;0,VLOOKUP($A50,'0.Productos'!$A$3:$GG$587,'0.Productos'!BF$1+1,0),"")</f>
        <v/>
      </c>
      <c r="O50" s="133" t="str">
        <f>IF($A50&lt;&gt;0,VLOOKUP($A50,'0.Productos'!$A$3:$GG$587,'0.Productos'!BG$1+1,0),"")</f>
        <v/>
      </c>
      <c r="P50" s="133" t="str">
        <f>IF($A50&lt;&gt;0,VLOOKUP($A50,'0.Productos'!$A$3:$GG$587,'0.Productos'!BH$1+1,0),"")</f>
        <v/>
      </c>
      <c r="Q50" s="133" t="str">
        <f>IF($A50&lt;&gt;0,VLOOKUP($A50,'0.Productos'!$A$3:$GG$587,'0.Productos'!BI$1+1,0),"")</f>
        <v/>
      </c>
      <c r="R50" s="133" t="str">
        <f>IF($A50&lt;&gt;0,VLOOKUP($A50,'0.Productos'!$A$3:$GG$587,'0.Productos'!BJ$1+1,0),"")</f>
        <v/>
      </c>
      <c r="S50" s="133" t="str">
        <f>IF($A50&lt;&gt;0,VLOOKUP($A50,'0.Productos'!$A$3:$GG$587,'0.Productos'!BK$1+1,0),"")</f>
        <v/>
      </c>
      <c r="T50" s="133" t="str">
        <f>IF($A50&lt;&gt;0,VLOOKUP($A50,'0.Productos'!$A$3:$GG$587,'0.Productos'!BL$1+1,0),"")</f>
        <v/>
      </c>
      <c r="U50" s="133" t="str">
        <f>IF($A50&lt;&gt;0,VLOOKUP($A50,'0.Productos'!$A$3:$GG$587,'0.Productos'!BM$1+1,0),"")</f>
        <v/>
      </c>
      <c r="V50" s="133" t="str">
        <f>IF($A50&lt;&gt;0,VLOOKUP($A50,'0.Productos'!$A$3:$GG$587,'0.Productos'!BN$1+1,0),"")</f>
        <v/>
      </c>
      <c r="W50" s="133" t="str">
        <f>IF($A50&lt;&gt;0,VLOOKUP($A50,'0.Productos'!$A$3:$GG$587,'0.Productos'!BO$1+1,0),"")</f>
        <v/>
      </c>
      <c r="X50" s="133" t="str">
        <f>IF($A50&lt;&gt;0,VLOOKUP($A50,'0.Productos'!$A$3:$GG$587,'0.Productos'!BP$1+1,0),"")</f>
        <v/>
      </c>
      <c r="Y50" s="133" t="str">
        <f>IF($A50&lt;&gt;0,VLOOKUP($A50,'0.Productos'!$A$3:$GG$587,'0.Productos'!BQ$1+1,0),"")</f>
        <v/>
      </c>
      <c r="Z50" s="133" t="str">
        <f>IF($A50&lt;&gt;0,VLOOKUP($A50,'0.Productos'!$A$3:$GG$587,'0.Productos'!BR$1+1,0),"")</f>
        <v/>
      </c>
      <c r="AA50" s="133" t="str">
        <f>IF($A50&lt;&gt;0,VLOOKUP($A50,'0.Productos'!$A$3:$GG$587,'0.Productos'!BS$1+1,0),"")</f>
        <v/>
      </c>
      <c r="AB50" s="133" t="str">
        <f>IF($A50&lt;&gt;0,VLOOKUP($A50,'0.Productos'!$A$3:$GG$587,'0.Productos'!BT$1+1,0),"")</f>
        <v/>
      </c>
      <c r="AC50" s="133" t="str">
        <f>IF($A50&lt;&gt;0,VLOOKUP($A50,'0.Productos'!$A$3:$GG$587,'0.Productos'!BU$1+1,0),"")</f>
        <v/>
      </c>
      <c r="AD50" s="133" t="str">
        <f>IF($A50&lt;&gt;0,VLOOKUP($A50,'0.Productos'!$A$3:$GG$587,'0.Productos'!BV$1+1,0),"")</f>
        <v/>
      </c>
      <c r="AE50" s="133" t="str">
        <f>IF($A50&lt;&gt;0,VLOOKUP($A50,'0.Productos'!$A$3:$GG$587,'0.Productos'!BW$1+1,0),"")</f>
        <v/>
      </c>
      <c r="AF50" s="133" t="str">
        <f>IF($A50&lt;&gt;0,VLOOKUP($A50,'0.Productos'!$A$3:$GG$587,'0.Productos'!BX$1+1,0),"")</f>
        <v/>
      </c>
      <c r="AG50" s="133" t="str">
        <f>IF($A50&lt;&gt;0,VLOOKUP($A50,'0.Productos'!$A$3:$GG$587,'0.Productos'!BY$1+1,0),"")</f>
        <v/>
      </c>
      <c r="AH50" s="133" t="str">
        <f>IF($A50&lt;&gt;0,VLOOKUP($A50,'0.Productos'!$A$3:$GG$587,'0.Productos'!BZ$1+1,0),"")</f>
        <v/>
      </c>
      <c r="AI50" s="133" t="str">
        <f>IF($A50&lt;&gt;0,VLOOKUP($A50,'0.Productos'!$A$3:$GG$587,'0.Productos'!CA$1+1,0),"")</f>
        <v/>
      </c>
      <c r="AJ50" s="133" t="str">
        <f>IF($A50&lt;&gt;0,VLOOKUP($A50,'0.Productos'!$A$3:$GG$587,'0.Productos'!CB$1+1,0),"")</f>
        <v/>
      </c>
      <c r="AK50" s="133" t="str">
        <f>IF($A50&lt;&gt;0,VLOOKUP($A50,'0.Productos'!$A$3:$GG$587,'0.Productos'!CC$1+1,0),"")</f>
        <v/>
      </c>
      <c r="AL50" s="133" t="str">
        <f>IF($A50&lt;&gt;0,VLOOKUP($A50,'0.Productos'!$A$3:$GG$587,'0.Productos'!CD$1+1,0),"")</f>
        <v/>
      </c>
      <c r="AM50" s="133" t="str">
        <f>IF($A50&lt;&gt;0,VLOOKUP($A50,'0.Productos'!$A$3:$GG$587,'0.Productos'!CE$1+1,0),"")</f>
        <v/>
      </c>
      <c r="AN50" s="133" t="str">
        <f>IF($A50&lt;&gt;0,VLOOKUP($A50,'0.Productos'!$A$3:$GG$587,'0.Productos'!CF$1+1,0),"")</f>
        <v/>
      </c>
      <c r="AO50" s="133" t="str">
        <f>IF($A50&lt;&gt;0,VLOOKUP($A50,'0.Productos'!$A$3:$GG$587,'0.Productos'!CG$1+1,0),"")</f>
        <v/>
      </c>
      <c r="AP50" s="133" t="str">
        <f>IF($A50&lt;&gt;0,VLOOKUP($A50,'0.Productos'!$A$3:$GG$587,'0.Productos'!CH$1+1,0),"")</f>
        <v/>
      </c>
      <c r="AQ50" s="133" t="str">
        <f>IF($A50&lt;&gt;0,VLOOKUP($A50,'0.Productos'!$A$3:$GG$587,'0.Productos'!CI$1+1,0),"")</f>
        <v/>
      </c>
      <c r="AR50" s="133" t="str">
        <f>IF($A50&lt;&gt;0,VLOOKUP($A50,'0.Productos'!$A$3:$GG$587,'0.Productos'!CJ$1+1,0),"")</f>
        <v/>
      </c>
      <c r="AS50" s="133" t="str">
        <f>IF($A50&lt;&gt;0,VLOOKUP($A50,'0.Productos'!$A$3:$GG$587,'0.Productos'!CK$1+1,0),"")</f>
        <v/>
      </c>
      <c r="AT50" s="133" t="str">
        <f>IF($A50&lt;&gt;0,VLOOKUP($A50,'0.Productos'!$A$3:$GG$587,'0.Productos'!CL$1+1,0),"")</f>
        <v/>
      </c>
      <c r="AU50" s="133" t="str">
        <f>IF($A50&lt;&gt;0,VLOOKUP($A50,'0.Productos'!$A$3:$GG$587,'0.Productos'!CM$1+1,0),"")</f>
        <v/>
      </c>
      <c r="AV50" s="133" t="str">
        <f>IF($A50&lt;&gt;0,VLOOKUP($A50,'0.Productos'!$A$3:$GG$587,'0.Productos'!CN$1+1,0),"")</f>
        <v/>
      </c>
      <c r="AW50" s="133" t="str">
        <f>IF($A50&lt;&gt;0,VLOOKUP($A50,'0.Productos'!$A$3:$GG$587,'0.Productos'!CO$1+1,0),"")</f>
        <v/>
      </c>
      <c r="AX50" s="133" t="str">
        <f>IF($A50&lt;&gt;0,VLOOKUP($A50,'0.Productos'!$A$3:$GG$587,'0.Productos'!CP$1+1,0),"")</f>
        <v/>
      </c>
      <c r="AY50" s="133" t="str">
        <f>IF($A50&lt;&gt;0,VLOOKUP($A50,'0.Productos'!$A$3:$GG$587,'0.Productos'!CQ$1+1,0),"")</f>
        <v/>
      </c>
      <c r="AZ50" s="133" t="str">
        <f>IF($A50&lt;&gt;0,VLOOKUP($A50,'0.Productos'!$A$3:$GG$587,'0.Productos'!CR$1+1,0),"")</f>
        <v/>
      </c>
      <c r="BA50" s="133" t="str">
        <f>IF($A50&lt;&gt;0,VLOOKUP($A50,'0.Productos'!$A$3:$GG$587,'0.Productos'!CS$1+1,0),"")</f>
        <v/>
      </c>
      <c r="BB50" s="133" t="str">
        <f>IF($A50&lt;&gt;0,VLOOKUP($A50,'0.Productos'!$A$3:$GG$587,'0.Productos'!CT$1+1,0),"")</f>
        <v/>
      </c>
      <c r="BC50" s="133" t="str">
        <f>IF($A50&lt;&gt;0,VLOOKUP($A50,'0.Productos'!$A$3:$GG$587,'0.Productos'!CU$1+1,0),"")</f>
        <v/>
      </c>
      <c r="BD50" s="133" t="str">
        <f>IF($A50&lt;&gt;0,VLOOKUP($A50,'0.Productos'!$A$3:$GG$587,'0.Productos'!CV$1+1,0),"")</f>
        <v/>
      </c>
      <c r="BE50" s="133" t="str">
        <f>IF($A50&lt;&gt;0,VLOOKUP($A50,'0.Productos'!$A$3:$GG$587,'0.Productos'!CW$1+1,0),"")</f>
        <v/>
      </c>
      <c r="BF50" s="133" t="str">
        <f>IF($A50&lt;&gt;0,VLOOKUP($A50,'0.Productos'!$A$3:$GG$587,'0.Productos'!CX$1+1,0),"")</f>
        <v/>
      </c>
      <c r="BG50" s="133" t="str">
        <f>IF($A50&lt;&gt;0,VLOOKUP($A50,'0.Productos'!$A$3:$GG$587,'0.Productos'!CY$1+1,0),"")</f>
        <v/>
      </c>
      <c r="BH50" s="133" t="str">
        <f>IF($A50&lt;&gt;0,VLOOKUP($A50,'0.Productos'!$A$3:$GG$587,'0.Productos'!CZ$1+1,0),"")</f>
        <v/>
      </c>
      <c r="BI50" s="133" t="str">
        <f>IF($A50&lt;&gt;0,VLOOKUP($A50,'0.Productos'!$A$3:$GG$587,'0.Productos'!DA$1+1,0),"")</f>
        <v/>
      </c>
      <c r="BJ50" s="133" t="str">
        <f>IF($A50&lt;&gt;0,VLOOKUP($A50,'0.Productos'!$A$3:$GG$587,'0.Productos'!DB$1+1,0),"")</f>
        <v/>
      </c>
      <c r="BK50" s="133" t="str">
        <f>IF($A50&lt;&gt;0,VLOOKUP($A50,'0.Productos'!$A$3:$GG$587,'0.Productos'!DC$1+1,0),"")</f>
        <v/>
      </c>
      <c r="BL50" s="133" t="str">
        <f>IF($A50&lt;&gt;0,VLOOKUP($A50,'0.Productos'!$A$3:$GG$587,'0.Productos'!DD$1+1,0),"")</f>
        <v/>
      </c>
      <c r="BM50" s="133" t="str">
        <f>IF($A50&lt;&gt;0,VLOOKUP($A50,'0.Productos'!$A$3:$GG$587,'0.Productos'!DE$1+1,0),"")</f>
        <v/>
      </c>
      <c r="BN50" s="133" t="str">
        <f>IF($A50&lt;&gt;0,VLOOKUP($A50,'0.Productos'!$A$3:$GG$587,'0.Productos'!DF$1+1,0),"")</f>
        <v/>
      </c>
      <c r="BO50" s="133" t="str">
        <f>IF($A50&lt;&gt;0,VLOOKUP($A50,'0.Productos'!$A$3:$GG$587,'0.Productos'!DG$1+1,0),"")</f>
        <v/>
      </c>
      <c r="BP50" s="133" t="str">
        <f>IF($A50&lt;&gt;0,VLOOKUP($A50,'0.Productos'!$A$3:$GG$587,'0.Productos'!DH$1+1,0),"")</f>
        <v/>
      </c>
      <c r="BQ50" s="133" t="str">
        <f>IF($A50&lt;&gt;0,VLOOKUP($A50,'0.Productos'!$A$3:$GG$587,'0.Productos'!DI$1+1,0),"")</f>
        <v/>
      </c>
      <c r="BR50" s="133" t="str">
        <f>IF($A50&lt;&gt;0,VLOOKUP($A50,'0.Productos'!$A$3:$GG$587,'0.Productos'!DJ$1+1,0),"")</f>
        <v/>
      </c>
      <c r="BS50" s="133" t="str">
        <f>IF($A50&lt;&gt;0,VLOOKUP($A50,'0.Productos'!$A$3:$GG$587,'0.Productos'!DK$1+1,0),"")</f>
        <v/>
      </c>
      <c r="BT50" s="133" t="str">
        <f>IF($A50&lt;&gt;0,VLOOKUP($A50,'0.Productos'!$A$3:$GG$587,'0.Productos'!DL$1+1,0),"")</f>
        <v/>
      </c>
    </row>
    <row r="51" spans="1:72" x14ac:dyDescent="0.25">
      <c r="A51" s="17">
        <f>'0.Consolidado general'!A51</f>
        <v>0</v>
      </c>
      <c r="B51" s="133" t="str">
        <f>IF($A51&lt;&gt;0,VLOOKUP($A51,'0.Productos'!$A$3:$GG$587,'0.Productos'!AT$1+1,0),"")</f>
        <v/>
      </c>
      <c r="C51" s="133" t="str">
        <f>IF($A51&lt;&gt;0,VLOOKUP($A51,'0.Productos'!$A$3:$GG$587,'0.Productos'!AU$1+1,0),"")</f>
        <v/>
      </c>
      <c r="D51" s="133" t="str">
        <f>IF($A51&lt;&gt;0,VLOOKUP($A51,'0.Productos'!$A$3:$GG$587,'0.Productos'!AV$1+1,0),"")</f>
        <v/>
      </c>
      <c r="E51" s="133" t="str">
        <f>IF($A51&lt;&gt;0,VLOOKUP($A51,'0.Productos'!$A$3:$GG$587,'0.Productos'!AW$1+1,0),"")</f>
        <v/>
      </c>
      <c r="F51" s="133" t="str">
        <f>IF($A51&lt;&gt;0,VLOOKUP($A51,'0.Productos'!$A$3:$GG$587,'0.Productos'!AX$1+1,0),"")</f>
        <v/>
      </c>
      <c r="G51" s="133" t="str">
        <f>IF($A51&lt;&gt;0,VLOOKUP($A51,'0.Productos'!$A$3:$GG$587,'0.Productos'!AY$1+1,0),"")</f>
        <v/>
      </c>
      <c r="H51" s="133" t="str">
        <f>IF($A51&lt;&gt;0,VLOOKUP($A51,'0.Productos'!$A$3:$GG$587,'0.Productos'!AZ$1+1,0),"")</f>
        <v/>
      </c>
      <c r="I51" s="133" t="str">
        <f>IF($A51&lt;&gt;0,VLOOKUP($A51,'0.Productos'!$A$3:$GG$587,'0.Productos'!BA$1+1,0),"")</f>
        <v/>
      </c>
      <c r="J51" s="133" t="str">
        <f>IF($A51&lt;&gt;0,VLOOKUP($A51,'0.Productos'!$A$3:$GG$587,'0.Productos'!BB$1+1,0),"")</f>
        <v/>
      </c>
      <c r="K51" s="133" t="str">
        <f>IF($A51&lt;&gt;0,VLOOKUP($A51,'0.Productos'!$A$3:$GG$587,'0.Productos'!BC$1+1,0),"")</f>
        <v/>
      </c>
      <c r="L51" s="133" t="str">
        <f>IF($A51&lt;&gt;0,VLOOKUP($A51,'0.Productos'!$A$3:$GG$587,'0.Productos'!BD$1+1,0),"")</f>
        <v/>
      </c>
      <c r="M51" s="133" t="str">
        <f>IF($A51&lt;&gt;0,VLOOKUP($A51,'0.Productos'!$A$3:$GG$587,'0.Productos'!BE$1+1,0),"")</f>
        <v/>
      </c>
      <c r="N51" s="133" t="str">
        <f>IF($A51&lt;&gt;0,VLOOKUP($A51,'0.Productos'!$A$3:$GG$587,'0.Productos'!BF$1+1,0),"")</f>
        <v/>
      </c>
      <c r="O51" s="133" t="str">
        <f>IF($A51&lt;&gt;0,VLOOKUP($A51,'0.Productos'!$A$3:$GG$587,'0.Productos'!BG$1+1,0),"")</f>
        <v/>
      </c>
      <c r="P51" s="133" t="str">
        <f>IF($A51&lt;&gt;0,VLOOKUP($A51,'0.Productos'!$A$3:$GG$587,'0.Productos'!BH$1+1,0),"")</f>
        <v/>
      </c>
      <c r="Q51" s="133" t="str">
        <f>IF($A51&lt;&gt;0,VLOOKUP($A51,'0.Productos'!$A$3:$GG$587,'0.Productos'!BI$1+1,0),"")</f>
        <v/>
      </c>
      <c r="R51" s="133" t="str">
        <f>IF($A51&lt;&gt;0,VLOOKUP($A51,'0.Productos'!$A$3:$GG$587,'0.Productos'!BJ$1+1,0),"")</f>
        <v/>
      </c>
      <c r="S51" s="133" t="str">
        <f>IF($A51&lt;&gt;0,VLOOKUP($A51,'0.Productos'!$A$3:$GG$587,'0.Productos'!BK$1+1,0),"")</f>
        <v/>
      </c>
      <c r="T51" s="133" t="str">
        <f>IF($A51&lt;&gt;0,VLOOKUP($A51,'0.Productos'!$A$3:$GG$587,'0.Productos'!BL$1+1,0),"")</f>
        <v/>
      </c>
      <c r="U51" s="133" t="str">
        <f>IF($A51&lt;&gt;0,VLOOKUP($A51,'0.Productos'!$A$3:$GG$587,'0.Productos'!BM$1+1,0),"")</f>
        <v/>
      </c>
      <c r="V51" s="133" t="str">
        <f>IF($A51&lt;&gt;0,VLOOKUP($A51,'0.Productos'!$A$3:$GG$587,'0.Productos'!BN$1+1,0),"")</f>
        <v/>
      </c>
      <c r="W51" s="133" t="str">
        <f>IF($A51&lt;&gt;0,VLOOKUP($A51,'0.Productos'!$A$3:$GG$587,'0.Productos'!BO$1+1,0),"")</f>
        <v/>
      </c>
      <c r="X51" s="133" t="str">
        <f>IF($A51&lt;&gt;0,VLOOKUP($A51,'0.Productos'!$A$3:$GG$587,'0.Productos'!BP$1+1,0),"")</f>
        <v/>
      </c>
      <c r="Y51" s="133" t="str">
        <f>IF($A51&lt;&gt;0,VLOOKUP($A51,'0.Productos'!$A$3:$GG$587,'0.Productos'!BQ$1+1,0),"")</f>
        <v/>
      </c>
      <c r="Z51" s="133" t="str">
        <f>IF($A51&lt;&gt;0,VLOOKUP($A51,'0.Productos'!$A$3:$GG$587,'0.Productos'!BR$1+1,0),"")</f>
        <v/>
      </c>
      <c r="AA51" s="133" t="str">
        <f>IF($A51&lt;&gt;0,VLOOKUP($A51,'0.Productos'!$A$3:$GG$587,'0.Productos'!BS$1+1,0),"")</f>
        <v/>
      </c>
      <c r="AB51" s="133" t="str">
        <f>IF($A51&lt;&gt;0,VLOOKUP($A51,'0.Productos'!$A$3:$GG$587,'0.Productos'!BT$1+1,0),"")</f>
        <v/>
      </c>
      <c r="AC51" s="133" t="str">
        <f>IF($A51&lt;&gt;0,VLOOKUP($A51,'0.Productos'!$A$3:$GG$587,'0.Productos'!BU$1+1,0),"")</f>
        <v/>
      </c>
      <c r="AD51" s="133" t="str">
        <f>IF($A51&lt;&gt;0,VLOOKUP($A51,'0.Productos'!$A$3:$GG$587,'0.Productos'!BV$1+1,0),"")</f>
        <v/>
      </c>
      <c r="AE51" s="133" t="str">
        <f>IF($A51&lt;&gt;0,VLOOKUP($A51,'0.Productos'!$A$3:$GG$587,'0.Productos'!BW$1+1,0),"")</f>
        <v/>
      </c>
      <c r="AF51" s="133" t="str">
        <f>IF($A51&lt;&gt;0,VLOOKUP($A51,'0.Productos'!$A$3:$GG$587,'0.Productos'!BX$1+1,0),"")</f>
        <v/>
      </c>
      <c r="AG51" s="133" t="str">
        <f>IF($A51&lt;&gt;0,VLOOKUP($A51,'0.Productos'!$A$3:$GG$587,'0.Productos'!BY$1+1,0),"")</f>
        <v/>
      </c>
      <c r="AH51" s="133" t="str">
        <f>IF($A51&lt;&gt;0,VLOOKUP($A51,'0.Productos'!$A$3:$GG$587,'0.Productos'!BZ$1+1,0),"")</f>
        <v/>
      </c>
      <c r="AI51" s="133" t="str">
        <f>IF($A51&lt;&gt;0,VLOOKUP($A51,'0.Productos'!$A$3:$GG$587,'0.Productos'!CA$1+1,0),"")</f>
        <v/>
      </c>
      <c r="AJ51" s="133" t="str">
        <f>IF($A51&lt;&gt;0,VLOOKUP($A51,'0.Productos'!$A$3:$GG$587,'0.Productos'!CB$1+1,0),"")</f>
        <v/>
      </c>
      <c r="AK51" s="133" t="str">
        <f>IF($A51&lt;&gt;0,VLOOKUP($A51,'0.Productos'!$A$3:$GG$587,'0.Productos'!CC$1+1,0),"")</f>
        <v/>
      </c>
      <c r="AL51" s="133" t="str">
        <f>IF($A51&lt;&gt;0,VLOOKUP($A51,'0.Productos'!$A$3:$GG$587,'0.Productos'!CD$1+1,0),"")</f>
        <v/>
      </c>
      <c r="AM51" s="133" t="str">
        <f>IF($A51&lt;&gt;0,VLOOKUP($A51,'0.Productos'!$A$3:$GG$587,'0.Productos'!CE$1+1,0),"")</f>
        <v/>
      </c>
      <c r="AN51" s="133" t="str">
        <f>IF($A51&lt;&gt;0,VLOOKUP($A51,'0.Productos'!$A$3:$GG$587,'0.Productos'!CF$1+1,0),"")</f>
        <v/>
      </c>
      <c r="AO51" s="133" t="str">
        <f>IF($A51&lt;&gt;0,VLOOKUP($A51,'0.Productos'!$A$3:$GG$587,'0.Productos'!CG$1+1,0),"")</f>
        <v/>
      </c>
      <c r="AP51" s="133" t="str">
        <f>IF($A51&lt;&gt;0,VLOOKUP($A51,'0.Productos'!$A$3:$GG$587,'0.Productos'!CH$1+1,0),"")</f>
        <v/>
      </c>
      <c r="AQ51" s="133" t="str">
        <f>IF($A51&lt;&gt;0,VLOOKUP($A51,'0.Productos'!$A$3:$GG$587,'0.Productos'!CI$1+1,0),"")</f>
        <v/>
      </c>
      <c r="AR51" s="133" t="str">
        <f>IF($A51&lt;&gt;0,VLOOKUP($A51,'0.Productos'!$A$3:$GG$587,'0.Productos'!CJ$1+1,0),"")</f>
        <v/>
      </c>
      <c r="AS51" s="133" t="str">
        <f>IF($A51&lt;&gt;0,VLOOKUP($A51,'0.Productos'!$A$3:$GG$587,'0.Productos'!CK$1+1,0),"")</f>
        <v/>
      </c>
      <c r="AT51" s="133" t="str">
        <f>IF($A51&lt;&gt;0,VLOOKUP($A51,'0.Productos'!$A$3:$GG$587,'0.Productos'!CL$1+1,0),"")</f>
        <v/>
      </c>
      <c r="AU51" s="133" t="str">
        <f>IF($A51&lt;&gt;0,VLOOKUP($A51,'0.Productos'!$A$3:$GG$587,'0.Productos'!CM$1+1,0),"")</f>
        <v/>
      </c>
      <c r="AV51" s="133" t="str">
        <f>IF($A51&lt;&gt;0,VLOOKUP($A51,'0.Productos'!$A$3:$GG$587,'0.Productos'!CN$1+1,0),"")</f>
        <v/>
      </c>
      <c r="AW51" s="133" t="str">
        <f>IF($A51&lt;&gt;0,VLOOKUP($A51,'0.Productos'!$A$3:$GG$587,'0.Productos'!CO$1+1,0),"")</f>
        <v/>
      </c>
      <c r="AX51" s="133" t="str">
        <f>IF($A51&lt;&gt;0,VLOOKUP($A51,'0.Productos'!$A$3:$GG$587,'0.Productos'!CP$1+1,0),"")</f>
        <v/>
      </c>
      <c r="AY51" s="133" t="str">
        <f>IF($A51&lt;&gt;0,VLOOKUP($A51,'0.Productos'!$A$3:$GG$587,'0.Productos'!CQ$1+1,0),"")</f>
        <v/>
      </c>
      <c r="AZ51" s="133" t="str">
        <f>IF($A51&lt;&gt;0,VLOOKUP($A51,'0.Productos'!$A$3:$GG$587,'0.Productos'!CR$1+1,0),"")</f>
        <v/>
      </c>
      <c r="BA51" s="133" t="str">
        <f>IF($A51&lt;&gt;0,VLOOKUP($A51,'0.Productos'!$A$3:$GG$587,'0.Productos'!CS$1+1,0),"")</f>
        <v/>
      </c>
      <c r="BB51" s="133" t="str">
        <f>IF($A51&lt;&gt;0,VLOOKUP($A51,'0.Productos'!$A$3:$GG$587,'0.Productos'!CT$1+1,0),"")</f>
        <v/>
      </c>
      <c r="BC51" s="133" t="str">
        <f>IF($A51&lt;&gt;0,VLOOKUP($A51,'0.Productos'!$A$3:$GG$587,'0.Productos'!CU$1+1,0),"")</f>
        <v/>
      </c>
      <c r="BD51" s="133" t="str">
        <f>IF($A51&lt;&gt;0,VLOOKUP($A51,'0.Productos'!$A$3:$GG$587,'0.Productos'!CV$1+1,0),"")</f>
        <v/>
      </c>
      <c r="BE51" s="133" t="str">
        <f>IF($A51&lt;&gt;0,VLOOKUP($A51,'0.Productos'!$A$3:$GG$587,'0.Productos'!CW$1+1,0),"")</f>
        <v/>
      </c>
      <c r="BF51" s="133" t="str">
        <f>IF($A51&lt;&gt;0,VLOOKUP($A51,'0.Productos'!$A$3:$GG$587,'0.Productos'!CX$1+1,0),"")</f>
        <v/>
      </c>
      <c r="BG51" s="133" t="str">
        <f>IF($A51&lt;&gt;0,VLOOKUP($A51,'0.Productos'!$A$3:$GG$587,'0.Productos'!CY$1+1,0),"")</f>
        <v/>
      </c>
      <c r="BH51" s="133" t="str">
        <f>IF($A51&lt;&gt;0,VLOOKUP($A51,'0.Productos'!$A$3:$GG$587,'0.Productos'!CZ$1+1,0),"")</f>
        <v/>
      </c>
      <c r="BI51" s="133" t="str">
        <f>IF($A51&lt;&gt;0,VLOOKUP($A51,'0.Productos'!$A$3:$GG$587,'0.Productos'!DA$1+1,0),"")</f>
        <v/>
      </c>
      <c r="BJ51" s="133" t="str">
        <f>IF($A51&lt;&gt;0,VLOOKUP($A51,'0.Productos'!$A$3:$GG$587,'0.Productos'!DB$1+1,0),"")</f>
        <v/>
      </c>
      <c r="BK51" s="133" t="str">
        <f>IF($A51&lt;&gt;0,VLOOKUP($A51,'0.Productos'!$A$3:$GG$587,'0.Productos'!DC$1+1,0),"")</f>
        <v/>
      </c>
      <c r="BL51" s="133" t="str">
        <f>IF($A51&lt;&gt;0,VLOOKUP($A51,'0.Productos'!$A$3:$GG$587,'0.Productos'!DD$1+1,0),"")</f>
        <v/>
      </c>
      <c r="BM51" s="133" t="str">
        <f>IF($A51&lt;&gt;0,VLOOKUP($A51,'0.Productos'!$A$3:$GG$587,'0.Productos'!DE$1+1,0),"")</f>
        <v/>
      </c>
      <c r="BN51" s="133" t="str">
        <f>IF($A51&lt;&gt;0,VLOOKUP($A51,'0.Productos'!$A$3:$GG$587,'0.Productos'!DF$1+1,0),"")</f>
        <v/>
      </c>
      <c r="BO51" s="133" t="str">
        <f>IF($A51&lt;&gt;0,VLOOKUP($A51,'0.Productos'!$A$3:$GG$587,'0.Productos'!DG$1+1,0),"")</f>
        <v/>
      </c>
      <c r="BP51" s="133" t="str">
        <f>IF($A51&lt;&gt;0,VLOOKUP($A51,'0.Productos'!$A$3:$GG$587,'0.Productos'!DH$1+1,0),"")</f>
        <v/>
      </c>
      <c r="BQ51" s="133" t="str">
        <f>IF($A51&lt;&gt;0,VLOOKUP($A51,'0.Productos'!$A$3:$GG$587,'0.Productos'!DI$1+1,0),"")</f>
        <v/>
      </c>
      <c r="BR51" s="133" t="str">
        <f>IF($A51&lt;&gt;0,VLOOKUP($A51,'0.Productos'!$A$3:$GG$587,'0.Productos'!DJ$1+1,0),"")</f>
        <v/>
      </c>
      <c r="BS51" s="133" t="str">
        <f>IF($A51&lt;&gt;0,VLOOKUP($A51,'0.Productos'!$A$3:$GG$587,'0.Productos'!DK$1+1,0),"")</f>
        <v/>
      </c>
      <c r="BT51" s="133" t="str">
        <f>IF($A51&lt;&gt;0,VLOOKUP($A51,'0.Productos'!$A$3:$GG$587,'0.Productos'!DL$1+1,0),"")</f>
        <v/>
      </c>
    </row>
    <row r="52" spans="1:72" x14ac:dyDescent="0.25">
      <c r="A52" s="17">
        <f>'0.Consolidado general'!A52</f>
        <v>0</v>
      </c>
      <c r="B52" s="133" t="str">
        <f>IF($A52&lt;&gt;0,VLOOKUP($A52,'0.Productos'!$A$3:$GG$587,'0.Productos'!AT$1+1,0),"")</f>
        <v/>
      </c>
      <c r="C52" s="133" t="str">
        <f>IF($A52&lt;&gt;0,VLOOKUP($A52,'0.Productos'!$A$3:$GG$587,'0.Productos'!AU$1+1,0),"")</f>
        <v/>
      </c>
      <c r="D52" s="133" t="str">
        <f>IF($A52&lt;&gt;0,VLOOKUP($A52,'0.Productos'!$A$3:$GG$587,'0.Productos'!AV$1+1,0),"")</f>
        <v/>
      </c>
      <c r="E52" s="133" t="str">
        <f>IF($A52&lt;&gt;0,VLOOKUP($A52,'0.Productos'!$A$3:$GG$587,'0.Productos'!AW$1+1,0),"")</f>
        <v/>
      </c>
      <c r="F52" s="133" t="str">
        <f>IF($A52&lt;&gt;0,VLOOKUP($A52,'0.Productos'!$A$3:$GG$587,'0.Productos'!AX$1+1,0),"")</f>
        <v/>
      </c>
      <c r="G52" s="133" t="str">
        <f>IF($A52&lt;&gt;0,VLOOKUP($A52,'0.Productos'!$A$3:$GG$587,'0.Productos'!AY$1+1,0),"")</f>
        <v/>
      </c>
      <c r="H52" s="133" t="str">
        <f>IF($A52&lt;&gt;0,VLOOKUP($A52,'0.Productos'!$A$3:$GG$587,'0.Productos'!AZ$1+1,0),"")</f>
        <v/>
      </c>
      <c r="I52" s="133" t="str">
        <f>IF($A52&lt;&gt;0,VLOOKUP($A52,'0.Productos'!$A$3:$GG$587,'0.Productos'!BA$1+1,0),"")</f>
        <v/>
      </c>
      <c r="J52" s="133" t="str">
        <f>IF($A52&lt;&gt;0,VLOOKUP($A52,'0.Productos'!$A$3:$GG$587,'0.Productos'!BB$1+1,0),"")</f>
        <v/>
      </c>
      <c r="K52" s="133" t="str">
        <f>IF($A52&lt;&gt;0,VLOOKUP($A52,'0.Productos'!$A$3:$GG$587,'0.Productos'!BC$1+1,0),"")</f>
        <v/>
      </c>
      <c r="L52" s="133" t="str">
        <f>IF($A52&lt;&gt;0,VLOOKUP($A52,'0.Productos'!$A$3:$GG$587,'0.Productos'!BD$1+1,0),"")</f>
        <v/>
      </c>
      <c r="M52" s="133" t="str">
        <f>IF($A52&lt;&gt;0,VLOOKUP($A52,'0.Productos'!$A$3:$GG$587,'0.Productos'!BE$1+1,0),"")</f>
        <v/>
      </c>
      <c r="N52" s="133" t="str">
        <f>IF($A52&lt;&gt;0,VLOOKUP($A52,'0.Productos'!$A$3:$GG$587,'0.Productos'!BF$1+1,0),"")</f>
        <v/>
      </c>
      <c r="O52" s="133" t="str">
        <f>IF($A52&lt;&gt;0,VLOOKUP($A52,'0.Productos'!$A$3:$GG$587,'0.Productos'!BG$1+1,0),"")</f>
        <v/>
      </c>
      <c r="P52" s="133" t="str">
        <f>IF($A52&lt;&gt;0,VLOOKUP($A52,'0.Productos'!$A$3:$GG$587,'0.Productos'!BH$1+1,0),"")</f>
        <v/>
      </c>
      <c r="Q52" s="133" t="str">
        <f>IF($A52&lt;&gt;0,VLOOKUP($A52,'0.Productos'!$A$3:$GG$587,'0.Productos'!BI$1+1,0),"")</f>
        <v/>
      </c>
      <c r="R52" s="133" t="str">
        <f>IF($A52&lt;&gt;0,VLOOKUP($A52,'0.Productos'!$A$3:$GG$587,'0.Productos'!BJ$1+1,0),"")</f>
        <v/>
      </c>
      <c r="S52" s="133" t="str">
        <f>IF($A52&lt;&gt;0,VLOOKUP($A52,'0.Productos'!$A$3:$GG$587,'0.Productos'!BK$1+1,0),"")</f>
        <v/>
      </c>
      <c r="T52" s="133" t="str">
        <f>IF($A52&lt;&gt;0,VLOOKUP($A52,'0.Productos'!$A$3:$GG$587,'0.Productos'!BL$1+1,0),"")</f>
        <v/>
      </c>
      <c r="U52" s="133" t="str">
        <f>IF($A52&lt;&gt;0,VLOOKUP($A52,'0.Productos'!$A$3:$GG$587,'0.Productos'!BM$1+1,0),"")</f>
        <v/>
      </c>
      <c r="V52" s="133" t="str">
        <f>IF($A52&lt;&gt;0,VLOOKUP($A52,'0.Productos'!$A$3:$GG$587,'0.Productos'!BN$1+1,0),"")</f>
        <v/>
      </c>
      <c r="W52" s="133" t="str">
        <f>IF($A52&lt;&gt;0,VLOOKUP($A52,'0.Productos'!$A$3:$GG$587,'0.Productos'!BO$1+1,0),"")</f>
        <v/>
      </c>
      <c r="X52" s="133" t="str">
        <f>IF($A52&lt;&gt;0,VLOOKUP($A52,'0.Productos'!$A$3:$GG$587,'0.Productos'!BP$1+1,0),"")</f>
        <v/>
      </c>
      <c r="Y52" s="133" t="str">
        <f>IF($A52&lt;&gt;0,VLOOKUP($A52,'0.Productos'!$A$3:$GG$587,'0.Productos'!BQ$1+1,0),"")</f>
        <v/>
      </c>
      <c r="Z52" s="133" t="str">
        <f>IF($A52&lt;&gt;0,VLOOKUP($A52,'0.Productos'!$A$3:$GG$587,'0.Productos'!BR$1+1,0),"")</f>
        <v/>
      </c>
      <c r="AA52" s="133" t="str">
        <f>IF($A52&lt;&gt;0,VLOOKUP($A52,'0.Productos'!$A$3:$GG$587,'0.Productos'!BS$1+1,0),"")</f>
        <v/>
      </c>
      <c r="AB52" s="133" t="str">
        <f>IF($A52&lt;&gt;0,VLOOKUP($A52,'0.Productos'!$A$3:$GG$587,'0.Productos'!BT$1+1,0),"")</f>
        <v/>
      </c>
      <c r="AC52" s="133" t="str">
        <f>IF($A52&lt;&gt;0,VLOOKUP($A52,'0.Productos'!$A$3:$GG$587,'0.Productos'!BU$1+1,0),"")</f>
        <v/>
      </c>
      <c r="AD52" s="133" t="str">
        <f>IF($A52&lt;&gt;0,VLOOKUP($A52,'0.Productos'!$A$3:$GG$587,'0.Productos'!BV$1+1,0),"")</f>
        <v/>
      </c>
      <c r="AE52" s="133" t="str">
        <f>IF($A52&lt;&gt;0,VLOOKUP($A52,'0.Productos'!$A$3:$GG$587,'0.Productos'!BW$1+1,0),"")</f>
        <v/>
      </c>
      <c r="AF52" s="133" t="str">
        <f>IF($A52&lt;&gt;0,VLOOKUP($A52,'0.Productos'!$A$3:$GG$587,'0.Productos'!BX$1+1,0),"")</f>
        <v/>
      </c>
      <c r="AG52" s="133" t="str">
        <f>IF($A52&lt;&gt;0,VLOOKUP($A52,'0.Productos'!$A$3:$GG$587,'0.Productos'!BY$1+1,0),"")</f>
        <v/>
      </c>
      <c r="AH52" s="133" t="str">
        <f>IF($A52&lt;&gt;0,VLOOKUP($A52,'0.Productos'!$A$3:$GG$587,'0.Productos'!BZ$1+1,0),"")</f>
        <v/>
      </c>
      <c r="AI52" s="133" t="str">
        <f>IF($A52&lt;&gt;0,VLOOKUP($A52,'0.Productos'!$A$3:$GG$587,'0.Productos'!CA$1+1,0),"")</f>
        <v/>
      </c>
      <c r="AJ52" s="133" t="str">
        <f>IF($A52&lt;&gt;0,VLOOKUP($A52,'0.Productos'!$A$3:$GG$587,'0.Productos'!CB$1+1,0),"")</f>
        <v/>
      </c>
      <c r="AK52" s="133" t="str">
        <f>IF($A52&lt;&gt;0,VLOOKUP($A52,'0.Productos'!$A$3:$GG$587,'0.Productos'!CC$1+1,0),"")</f>
        <v/>
      </c>
      <c r="AL52" s="133" t="str">
        <f>IF($A52&lt;&gt;0,VLOOKUP($A52,'0.Productos'!$A$3:$GG$587,'0.Productos'!CD$1+1,0),"")</f>
        <v/>
      </c>
      <c r="AM52" s="133" t="str">
        <f>IF($A52&lt;&gt;0,VLOOKUP($A52,'0.Productos'!$A$3:$GG$587,'0.Productos'!CE$1+1,0),"")</f>
        <v/>
      </c>
      <c r="AN52" s="133" t="str">
        <f>IF($A52&lt;&gt;0,VLOOKUP($A52,'0.Productos'!$A$3:$GG$587,'0.Productos'!CF$1+1,0),"")</f>
        <v/>
      </c>
      <c r="AO52" s="133" t="str">
        <f>IF($A52&lt;&gt;0,VLOOKUP($A52,'0.Productos'!$A$3:$GG$587,'0.Productos'!CG$1+1,0),"")</f>
        <v/>
      </c>
      <c r="AP52" s="133" t="str">
        <f>IF($A52&lt;&gt;0,VLOOKUP($A52,'0.Productos'!$A$3:$GG$587,'0.Productos'!CH$1+1,0),"")</f>
        <v/>
      </c>
      <c r="AQ52" s="133" t="str">
        <f>IF($A52&lt;&gt;0,VLOOKUP($A52,'0.Productos'!$A$3:$GG$587,'0.Productos'!CI$1+1,0),"")</f>
        <v/>
      </c>
      <c r="AR52" s="133" t="str">
        <f>IF($A52&lt;&gt;0,VLOOKUP($A52,'0.Productos'!$A$3:$GG$587,'0.Productos'!CJ$1+1,0),"")</f>
        <v/>
      </c>
      <c r="AS52" s="133" t="str">
        <f>IF($A52&lt;&gt;0,VLOOKUP($A52,'0.Productos'!$A$3:$GG$587,'0.Productos'!CK$1+1,0),"")</f>
        <v/>
      </c>
      <c r="AT52" s="133" t="str">
        <f>IF($A52&lt;&gt;0,VLOOKUP($A52,'0.Productos'!$A$3:$GG$587,'0.Productos'!CL$1+1,0),"")</f>
        <v/>
      </c>
      <c r="AU52" s="133" t="str">
        <f>IF($A52&lt;&gt;0,VLOOKUP($A52,'0.Productos'!$A$3:$GG$587,'0.Productos'!CM$1+1,0),"")</f>
        <v/>
      </c>
      <c r="AV52" s="133" t="str">
        <f>IF($A52&lt;&gt;0,VLOOKUP($A52,'0.Productos'!$A$3:$GG$587,'0.Productos'!CN$1+1,0),"")</f>
        <v/>
      </c>
      <c r="AW52" s="133" t="str">
        <f>IF($A52&lt;&gt;0,VLOOKUP($A52,'0.Productos'!$A$3:$GG$587,'0.Productos'!CO$1+1,0),"")</f>
        <v/>
      </c>
      <c r="AX52" s="133" t="str">
        <f>IF($A52&lt;&gt;0,VLOOKUP($A52,'0.Productos'!$A$3:$GG$587,'0.Productos'!CP$1+1,0),"")</f>
        <v/>
      </c>
      <c r="AY52" s="133" t="str">
        <f>IF($A52&lt;&gt;0,VLOOKUP($A52,'0.Productos'!$A$3:$GG$587,'0.Productos'!CQ$1+1,0),"")</f>
        <v/>
      </c>
      <c r="AZ52" s="133" t="str">
        <f>IF($A52&lt;&gt;0,VLOOKUP($A52,'0.Productos'!$A$3:$GG$587,'0.Productos'!CR$1+1,0),"")</f>
        <v/>
      </c>
      <c r="BA52" s="133" t="str">
        <f>IF($A52&lt;&gt;0,VLOOKUP($A52,'0.Productos'!$A$3:$GG$587,'0.Productos'!CS$1+1,0),"")</f>
        <v/>
      </c>
      <c r="BB52" s="133" t="str">
        <f>IF($A52&lt;&gt;0,VLOOKUP($A52,'0.Productos'!$A$3:$GG$587,'0.Productos'!CT$1+1,0),"")</f>
        <v/>
      </c>
      <c r="BC52" s="133" t="str">
        <f>IF($A52&lt;&gt;0,VLOOKUP($A52,'0.Productos'!$A$3:$GG$587,'0.Productos'!CU$1+1,0),"")</f>
        <v/>
      </c>
      <c r="BD52" s="133" t="str">
        <f>IF($A52&lt;&gt;0,VLOOKUP($A52,'0.Productos'!$A$3:$GG$587,'0.Productos'!CV$1+1,0),"")</f>
        <v/>
      </c>
      <c r="BE52" s="133" t="str">
        <f>IF($A52&lt;&gt;0,VLOOKUP($A52,'0.Productos'!$A$3:$GG$587,'0.Productos'!CW$1+1,0),"")</f>
        <v/>
      </c>
      <c r="BF52" s="133" t="str">
        <f>IF($A52&lt;&gt;0,VLOOKUP($A52,'0.Productos'!$A$3:$GG$587,'0.Productos'!CX$1+1,0),"")</f>
        <v/>
      </c>
      <c r="BG52" s="133" t="str">
        <f>IF($A52&lt;&gt;0,VLOOKUP($A52,'0.Productos'!$A$3:$GG$587,'0.Productos'!CY$1+1,0),"")</f>
        <v/>
      </c>
      <c r="BH52" s="133" t="str">
        <f>IF($A52&lt;&gt;0,VLOOKUP($A52,'0.Productos'!$A$3:$GG$587,'0.Productos'!CZ$1+1,0),"")</f>
        <v/>
      </c>
      <c r="BI52" s="133" t="str">
        <f>IF($A52&lt;&gt;0,VLOOKUP($A52,'0.Productos'!$A$3:$GG$587,'0.Productos'!DA$1+1,0),"")</f>
        <v/>
      </c>
      <c r="BJ52" s="133" t="str">
        <f>IF($A52&lt;&gt;0,VLOOKUP($A52,'0.Productos'!$A$3:$GG$587,'0.Productos'!DB$1+1,0),"")</f>
        <v/>
      </c>
      <c r="BK52" s="133" t="str">
        <f>IF($A52&lt;&gt;0,VLOOKUP($A52,'0.Productos'!$A$3:$GG$587,'0.Productos'!DC$1+1,0),"")</f>
        <v/>
      </c>
      <c r="BL52" s="133" t="str">
        <f>IF($A52&lt;&gt;0,VLOOKUP($A52,'0.Productos'!$A$3:$GG$587,'0.Productos'!DD$1+1,0),"")</f>
        <v/>
      </c>
      <c r="BM52" s="133" t="str">
        <f>IF($A52&lt;&gt;0,VLOOKUP($A52,'0.Productos'!$A$3:$GG$587,'0.Productos'!DE$1+1,0),"")</f>
        <v/>
      </c>
      <c r="BN52" s="133" t="str">
        <f>IF($A52&lt;&gt;0,VLOOKUP($A52,'0.Productos'!$A$3:$GG$587,'0.Productos'!DF$1+1,0),"")</f>
        <v/>
      </c>
      <c r="BO52" s="133" t="str">
        <f>IF($A52&lt;&gt;0,VLOOKUP($A52,'0.Productos'!$A$3:$GG$587,'0.Productos'!DG$1+1,0),"")</f>
        <v/>
      </c>
      <c r="BP52" s="133" t="str">
        <f>IF($A52&lt;&gt;0,VLOOKUP($A52,'0.Productos'!$A$3:$GG$587,'0.Productos'!DH$1+1,0),"")</f>
        <v/>
      </c>
      <c r="BQ52" s="133" t="str">
        <f>IF($A52&lt;&gt;0,VLOOKUP($A52,'0.Productos'!$A$3:$GG$587,'0.Productos'!DI$1+1,0),"")</f>
        <v/>
      </c>
      <c r="BR52" s="133" t="str">
        <f>IF($A52&lt;&gt;0,VLOOKUP($A52,'0.Productos'!$A$3:$GG$587,'0.Productos'!DJ$1+1,0),"")</f>
        <v/>
      </c>
      <c r="BS52" s="133" t="str">
        <f>IF($A52&lt;&gt;0,VLOOKUP($A52,'0.Productos'!$A$3:$GG$587,'0.Productos'!DK$1+1,0),"")</f>
        <v/>
      </c>
      <c r="BT52" s="133" t="str">
        <f>IF($A52&lt;&gt;0,VLOOKUP($A52,'0.Productos'!$A$3:$GG$587,'0.Productos'!DL$1+1,0),"")</f>
        <v/>
      </c>
    </row>
    <row r="53" spans="1:72" x14ac:dyDescent="0.25">
      <c r="A53" s="17">
        <f>'0.Consolidado general'!A53</f>
        <v>0</v>
      </c>
      <c r="B53" s="133" t="str">
        <f>IF($A53&lt;&gt;0,VLOOKUP($A53,'0.Productos'!$A$3:$GG$587,'0.Productos'!AT$1+1,0),"")</f>
        <v/>
      </c>
      <c r="C53" s="133" t="str">
        <f>IF($A53&lt;&gt;0,VLOOKUP($A53,'0.Productos'!$A$3:$GG$587,'0.Productos'!AU$1+1,0),"")</f>
        <v/>
      </c>
      <c r="D53" s="133" t="str">
        <f>IF($A53&lt;&gt;0,VLOOKUP($A53,'0.Productos'!$A$3:$GG$587,'0.Productos'!AV$1+1,0),"")</f>
        <v/>
      </c>
      <c r="E53" s="133" t="str">
        <f>IF($A53&lt;&gt;0,VLOOKUP($A53,'0.Productos'!$A$3:$GG$587,'0.Productos'!AW$1+1,0),"")</f>
        <v/>
      </c>
      <c r="F53" s="133" t="str">
        <f>IF($A53&lt;&gt;0,VLOOKUP($A53,'0.Productos'!$A$3:$GG$587,'0.Productos'!AX$1+1,0),"")</f>
        <v/>
      </c>
      <c r="G53" s="133" t="str">
        <f>IF($A53&lt;&gt;0,VLOOKUP($A53,'0.Productos'!$A$3:$GG$587,'0.Productos'!AY$1+1,0),"")</f>
        <v/>
      </c>
      <c r="H53" s="133" t="str">
        <f>IF($A53&lt;&gt;0,VLOOKUP($A53,'0.Productos'!$A$3:$GG$587,'0.Productos'!AZ$1+1,0),"")</f>
        <v/>
      </c>
      <c r="I53" s="133" t="str">
        <f>IF($A53&lt;&gt;0,VLOOKUP($A53,'0.Productos'!$A$3:$GG$587,'0.Productos'!BA$1+1,0),"")</f>
        <v/>
      </c>
      <c r="J53" s="133" t="str">
        <f>IF($A53&lt;&gt;0,VLOOKUP($A53,'0.Productos'!$A$3:$GG$587,'0.Productos'!BB$1+1,0),"")</f>
        <v/>
      </c>
      <c r="K53" s="133" t="str">
        <f>IF($A53&lt;&gt;0,VLOOKUP($A53,'0.Productos'!$A$3:$GG$587,'0.Productos'!BC$1+1,0),"")</f>
        <v/>
      </c>
      <c r="L53" s="133" t="str">
        <f>IF($A53&lt;&gt;0,VLOOKUP($A53,'0.Productos'!$A$3:$GG$587,'0.Productos'!BD$1+1,0),"")</f>
        <v/>
      </c>
      <c r="M53" s="133" t="str">
        <f>IF($A53&lt;&gt;0,VLOOKUP($A53,'0.Productos'!$A$3:$GG$587,'0.Productos'!BE$1+1,0),"")</f>
        <v/>
      </c>
      <c r="N53" s="133" t="str">
        <f>IF($A53&lt;&gt;0,VLOOKUP($A53,'0.Productos'!$A$3:$GG$587,'0.Productos'!BF$1+1,0),"")</f>
        <v/>
      </c>
      <c r="O53" s="133" t="str">
        <f>IF($A53&lt;&gt;0,VLOOKUP($A53,'0.Productos'!$A$3:$GG$587,'0.Productos'!BG$1+1,0),"")</f>
        <v/>
      </c>
      <c r="P53" s="133" t="str">
        <f>IF($A53&lt;&gt;0,VLOOKUP($A53,'0.Productos'!$A$3:$GG$587,'0.Productos'!BH$1+1,0),"")</f>
        <v/>
      </c>
      <c r="Q53" s="133" t="str">
        <f>IF($A53&lt;&gt;0,VLOOKUP($A53,'0.Productos'!$A$3:$GG$587,'0.Productos'!BI$1+1,0),"")</f>
        <v/>
      </c>
      <c r="R53" s="133" t="str">
        <f>IF($A53&lt;&gt;0,VLOOKUP($A53,'0.Productos'!$A$3:$GG$587,'0.Productos'!BJ$1+1,0),"")</f>
        <v/>
      </c>
      <c r="S53" s="133" t="str">
        <f>IF($A53&lt;&gt;0,VLOOKUP($A53,'0.Productos'!$A$3:$GG$587,'0.Productos'!BK$1+1,0),"")</f>
        <v/>
      </c>
      <c r="T53" s="133" t="str">
        <f>IF($A53&lt;&gt;0,VLOOKUP($A53,'0.Productos'!$A$3:$GG$587,'0.Productos'!BL$1+1,0),"")</f>
        <v/>
      </c>
      <c r="U53" s="133" t="str">
        <f>IF($A53&lt;&gt;0,VLOOKUP($A53,'0.Productos'!$A$3:$GG$587,'0.Productos'!BM$1+1,0),"")</f>
        <v/>
      </c>
      <c r="V53" s="133" t="str">
        <f>IF($A53&lt;&gt;0,VLOOKUP($A53,'0.Productos'!$A$3:$GG$587,'0.Productos'!BN$1+1,0),"")</f>
        <v/>
      </c>
      <c r="W53" s="133" t="str">
        <f>IF($A53&lt;&gt;0,VLOOKUP($A53,'0.Productos'!$A$3:$GG$587,'0.Productos'!BO$1+1,0),"")</f>
        <v/>
      </c>
      <c r="X53" s="133" t="str">
        <f>IF($A53&lt;&gt;0,VLOOKUP($A53,'0.Productos'!$A$3:$GG$587,'0.Productos'!BP$1+1,0),"")</f>
        <v/>
      </c>
      <c r="Y53" s="133" t="str">
        <f>IF($A53&lt;&gt;0,VLOOKUP($A53,'0.Productos'!$A$3:$GG$587,'0.Productos'!BQ$1+1,0),"")</f>
        <v/>
      </c>
      <c r="Z53" s="133" t="str">
        <f>IF($A53&lt;&gt;0,VLOOKUP($A53,'0.Productos'!$A$3:$GG$587,'0.Productos'!BR$1+1,0),"")</f>
        <v/>
      </c>
      <c r="AA53" s="133" t="str">
        <f>IF($A53&lt;&gt;0,VLOOKUP($A53,'0.Productos'!$A$3:$GG$587,'0.Productos'!BS$1+1,0),"")</f>
        <v/>
      </c>
      <c r="AB53" s="133" t="str">
        <f>IF($A53&lt;&gt;0,VLOOKUP($A53,'0.Productos'!$A$3:$GG$587,'0.Productos'!BT$1+1,0),"")</f>
        <v/>
      </c>
      <c r="AC53" s="133" t="str">
        <f>IF($A53&lt;&gt;0,VLOOKUP($A53,'0.Productos'!$A$3:$GG$587,'0.Productos'!BU$1+1,0),"")</f>
        <v/>
      </c>
      <c r="AD53" s="133" t="str">
        <f>IF($A53&lt;&gt;0,VLOOKUP($A53,'0.Productos'!$A$3:$GG$587,'0.Productos'!BV$1+1,0),"")</f>
        <v/>
      </c>
      <c r="AE53" s="133" t="str">
        <f>IF($A53&lt;&gt;0,VLOOKUP($A53,'0.Productos'!$A$3:$GG$587,'0.Productos'!BW$1+1,0),"")</f>
        <v/>
      </c>
      <c r="AF53" s="133" t="str">
        <f>IF($A53&lt;&gt;0,VLOOKUP($A53,'0.Productos'!$A$3:$GG$587,'0.Productos'!BX$1+1,0),"")</f>
        <v/>
      </c>
      <c r="AG53" s="133" t="str">
        <f>IF($A53&lt;&gt;0,VLOOKUP($A53,'0.Productos'!$A$3:$GG$587,'0.Productos'!BY$1+1,0),"")</f>
        <v/>
      </c>
      <c r="AH53" s="133" t="str">
        <f>IF($A53&lt;&gt;0,VLOOKUP($A53,'0.Productos'!$A$3:$GG$587,'0.Productos'!BZ$1+1,0),"")</f>
        <v/>
      </c>
      <c r="AI53" s="133" t="str">
        <f>IF($A53&lt;&gt;0,VLOOKUP($A53,'0.Productos'!$A$3:$GG$587,'0.Productos'!CA$1+1,0),"")</f>
        <v/>
      </c>
      <c r="AJ53" s="133" t="str">
        <f>IF($A53&lt;&gt;0,VLOOKUP($A53,'0.Productos'!$A$3:$GG$587,'0.Productos'!CB$1+1,0),"")</f>
        <v/>
      </c>
      <c r="AK53" s="133" t="str">
        <f>IF($A53&lt;&gt;0,VLOOKUP($A53,'0.Productos'!$A$3:$GG$587,'0.Productos'!CC$1+1,0),"")</f>
        <v/>
      </c>
      <c r="AL53" s="133" t="str">
        <f>IF($A53&lt;&gt;0,VLOOKUP($A53,'0.Productos'!$A$3:$GG$587,'0.Productos'!CD$1+1,0),"")</f>
        <v/>
      </c>
      <c r="AM53" s="133" t="str">
        <f>IF($A53&lt;&gt;0,VLOOKUP($A53,'0.Productos'!$A$3:$GG$587,'0.Productos'!CE$1+1,0),"")</f>
        <v/>
      </c>
      <c r="AN53" s="133" t="str">
        <f>IF($A53&lt;&gt;0,VLOOKUP($A53,'0.Productos'!$A$3:$GG$587,'0.Productos'!CF$1+1,0),"")</f>
        <v/>
      </c>
      <c r="AO53" s="133" t="str">
        <f>IF($A53&lt;&gt;0,VLOOKUP($A53,'0.Productos'!$A$3:$GG$587,'0.Productos'!CG$1+1,0),"")</f>
        <v/>
      </c>
      <c r="AP53" s="133" t="str">
        <f>IF($A53&lt;&gt;0,VLOOKUP($A53,'0.Productos'!$A$3:$GG$587,'0.Productos'!CH$1+1,0),"")</f>
        <v/>
      </c>
      <c r="AQ53" s="133" t="str">
        <f>IF($A53&lt;&gt;0,VLOOKUP($A53,'0.Productos'!$A$3:$GG$587,'0.Productos'!CI$1+1,0),"")</f>
        <v/>
      </c>
      <c r="AR53" s="133" t="str">
        <f>IF($A53&lt;&gt;0,VLOOKUP($A53,'0.Productos'!$A$3:$GG$587,'0.Productos'!CJ$1+1,0),"")</f>
        <v/>
      </c>
      <c r="AS53" s="133" t="str">
        <f>IF($A53&lt;&gt;0,VLOOKUP($A53,'0.Productos'!$A$3:$GG$587,'0.Productos'!CK$1+1,0),"")</f>
        <v/>
      </c>
      <c r="AT53" s="133" t="str">
        <f>IF($A53&lt;&gt;0,VLOOKUP($A53,'0.Productos'!$A$3:$GG$587,'0.Productos'!CL$1+1,0),"")</f>
        <v/>
      </c>
      <c r="AU53" s="133" t="str">
        <f>IF($A53&lt;&gt;0,VLOOKUP($A53,'0.Productos'!$A$3:$GG$587,'0.Productos'!CM$1+1,0),"")</f>
        <v/>
      </c>
      <c r="AV53" s="133" t="str">
        <f>IF($A53&lt;&gt;0,VLOOKUP($A53,'0.Productos'!$A$3:$GG$587,'0.Productos'!CN$1+1,0),"")</f>
        <v/>
      </c>
      <c r="AW53" s="133" t="str">
        <f>IF($A53&lt;&gt;0,VLOOKUP($A53,'0.Productos'!$A$3:$GG$587,'0.Productos'!CO$1+1,0),"")</f>
        <v/>
      </c>
      <c r="AX53" s="133" t="str">
        <f>IF($A53&lt;&gt;0,VLOOKUP($A53,'0.Productos'!$A$3:$GG$587,'0.Productos'!CP$1+1,0),"")</f>
        <v/>
      </c>
      <c r="AY53" s="133" t="str">
        <f>IF($A53&lt;&gt;0,VLOOKUP($A53,'0.Productos'!$A$3:$GG$587,'0.Productos'!CQ$1+1,0),"")</f>
        <v/>
      </c>
      <c r="AZ53" s="133" t="str">
        <f>IF($A53&lt;&gt;0,VLOOKUP($A53,'0.Productos'!$A$3:$GG$587,'0.Productos'!CR$1+1,0),"")</f>
        <v/>
      </c>
      <c r="BA53" s="133" t="str">
        <f>IF($A53&lt;&gt;0,VLOOKUP($A53,'0.Productos'!$A$3:$GG$587,'0.Productos'!CS$1+1,0),"")</f>
        <v/>
      </c>
      <c r="BB53" s="133" t="str">
        <f>IF($A53&lt;&gt;0,VLOOKUP($A53,'0.Productos'!$A$3:$GG$587,'0.Productos'!CT$1+1,0),"")</f>
        <v/>
      </c>
      <c r="BC53" s="133" t="str">
        <f>IF($A53&lt;&gt;0,VLOOKUP($A53,'0.Productos'!$A$3:$GG$587,'0.Productos'!CU$1+1,0),"")</f>
        <v/>
      </c>
      <c r="BD53" s="133" t="str">
        <f>IF($A53&lt;&gt;0,VLOOKUP($A53,'0.Productos'!$A$3:$GG$587,'0.Productos'!CV$1+1,0),"")</f>
        <v/>
      </c>
      <c r="BE53" s="133" t="str">
        <f>IF($A53&lt;&gt;0,VLOOKUP($A53,'0.Productos'!$A$3:$GG$587,'0.Productos'!CW$1+1,0),"")</f>
        <v/>
      </c>
      <c r="BF53" s="133" t="str">
        <f>IF($A53&lt;&gt;0,VLOOKUP($A53,'0.Productos'!$A$3:$GG$587,'0.Productos'!CX$1+1,0),"")</f>
        <v/>
      </c>
      <c r="BG53" s="133" t="str">
        <f>IF($A53&lt;&gt;0,VLOOKUP($A53,'0.Productos'!$A$3:$GG$587,'0.Productos'!CY$1+1,0),"")</f>
        <v/>
      </c>
      <c r="BH53" s="133" t="str">
        <f>IF($A53&lt;&gt;0,VLOOKUP($A53,'0.Productos'!$A$3:$GG$587,'0.Productos'!CZ$1+1,0),"")</f>
        <v/>
      </c>
      <c r="BI53" s="133" t="str">
        <f>IF($A53&lt;&gt;0,VLOOKUP($A53,'0.Productos'!$A$3:$GG$587,'0.Productos'!DA$1+1,0),"")</f>
        <v/>
      </c>
      <c r="BJ53" s="133" t="str">
        <f>IF($A53&lt;&gt;0,VLOOKUP($A53,'0.Productos'!$A$3:$GG$587,'0.Productos'!DB$1+1,0),"")</f>
        <v/>
      </c>
      <c r="BK53" s="133" t="str">
        <f>IF($A53&lt;&gt;0,VLOOKUP($A53,'0.Productos'!$A$3:$GG$587,'0.Productos'!DC$1+1,0),"")</f>
        <v/>
      </c>
      <c r="BL53" s="133" t="str">
        <f>IF($A53&lt;&gt;0,VLOOKUP($A53,'0.Productos'!$A$3:$GG$587,'0.Productos'!DD$1+1,0),"")</f>
        <v/>
      </c>
      <c r="BM53" s="133" t="str">
        <f>IF($A53&lt;&gt;0,VLOOKUP($A53,'0.Productos'!$A$3:$GG$587,'0.Productos'!DE$1+1,0),"")</f>
        <v/>
      </c>
      <c r="BN53" s="133" t="str">
        <f>IF($A53&lt;&gt;0,VLOOKUP($A53,'0.Productos'!$A$3:$GG$587,'0.Productos'!DF$1+1,0),"")</f>
        <v/>
      </c>
      <c r="BO53" s="133" t="str">
        <f>IF($A53&lt;&gt;0,VLOOKUP($A53,'0.Productos'!$A$3:$GG$587,'0.Productos'!DG$1+1,0),"")</f>
        <v/>
      </c>
      <c r="BP53" s="133" t="str">
        <f>IF($A53&lt;&gt;0,VLOOKUP($A53,'0.Productos'!$A$3:$GG$587,'0.Productos'!DH$1+1,0),"")</f>
        <v/>
      </c>
      <c r="BQ53" s="133" t="str">
        <f>IF($A53&lt;&gt;0,VLOOKUP($A53,'0.Productos'!$A$3:$GG$587,'0.Productos'!DI$1+1,0),"")</f>
        <v/>
      </c>
      <c r="BR53" s="133" t="str">
        <f>IF($A53&lt;&gt;0,VLOOKUP($A53,'0.Productos'!$A$3:$GG$587,'0.Productos'!DJ$1+1,0),"")</f>
        <v/>
      </c>
      <c r="BS53" s="133" t="str">
        <f>IF($A53&lt;&gt;0,VLOOKUP($A53,'0.Productos'!$A$3:$GG$587,'0.Productos'!DK$1+1,0),"")</f>
        <v/>
      </c>
      <c r="BT53" s="133" t="str">
        <f>IF($A53&lt;&gt;0,VLOOKUP($A53,'0.Productos'!$A$3:$GG$587,'0.Productos'!DL$1+1,0),"")</f>
        <v/>
      </c>
    </row>
    <row r="54" spans="1:72" x14ac:dyDescent="0.25">
      <c r="A54" s="17">
        <f>'0.Consolidado general'!A54</f>
        <v>0</v>
      </c>
      <c r="B54" s="133" t="str">
        <f>IF($A54&lt;&gt;0,VLOOKUP($A54,'0.Productos'!$A$3:$GG$587,'0.Productos'!AT$1+1,0),"")</f>
        <v/>
      </c>
      <c r="C54" s="133" t="str">
        <f>IF($A54&lt;&gt;0,VLOOKUP($A54,'0.Productos'!$A$3:$GG$587,'0.Productos'!AU$1+1,0),"")</f>
        <v/>
      </c>
      <c r="D54" s="133" t="str">
        <f>IF($A54&lt;&gt;0,VLOOKUP($A54,'0.Productos'!$A$3:$GG$587,'0.Productos'!AV$1+1,0),"")</f>
        <v/>
      </c>
      <c r="E54" s="133" t="str">
        <f>IF($A54&lt;&gt;0,VLOOKUP($A54,'0.Productos'!$A$3:$GG$587,'0.Productos'!AW$1+1,0),"")</f>
        <v/>
      </c>
      <c r="F54" s="133" t="str">
        <f>IF($A54&lt;&gt;0,VLOOKUP($A54,'0.Productos'!$A$3:$GG$587,'0.Productos'!AX$1+1,0),"")</f>
        <v/>
      </c>
      <c r="G54" s="133" t="str">
        <f>IF($A54&lt;&gt;0,VLOOKUP($A54,'0.Productos'!$A$3:$GG$587,'0.Productos'!AY$1+1,0),"")</f>
        <v/>
      </c>
      <c r="H54" s="133" t="str">
        <f>IF($A54&lt;&gt;0,VLOOKUP($A54,'0.Productos'!$A$3:$GG$587,'0.Productos'!AZ$1+1,0),"")</f>
        <v/>
      </c>
      <c r="I54" s="133" t="str">
        <f>IF($A54&lt;&gt;0,VLOOKUP($A54,'0.Productos'!$A$3:$GG$587,'0.Productos'!BA$1+1,0),"")</f>
        <v/>
      </c>
      <c r="J54" s="133" t="str">
        <f>IF($A54&lt;&gt;0,VLOOKUP($A54,'0.Productos'!$A$3:$GG$587,'0.Productos'!BB$1+1,0),"")</f>
        <v/>
      </c>
      <c r="K54" s="133" t="str">
        <f>IF($A54&lt;&gt;0,VLOOKUP($A54,'0.Productos'!$A$3:$GG$587,'0.Productos'!BC$1+1,0),"")</f>
        <v/>
      </c>
      <c r="L54" s="133" t="str">
        <f>IF($A54&lt;&gt;0,VLOOKUP($A54,'0.Productos'!$A$3:$GG$587,'0.Productos'!BD$1+1,0),"")</f>
        <v/>
      </c>
      <c r="M54" s="133" t="str">
        <f>IF($A54&lt;&gt;0,VLOOKUP($A54,'0.Productos'!$A$3:$GG$587,'0.Productos'!BE$1+1,0),"")</f>
        <v/>
      </c>
      <c r="N54" s="133" t="str">
        <f>IF($A54&lt;&gt;0,VLOOKUP($A54,'0.Productos'!$A$3:$GG$587,'0.Productos'!BF$1+1,0),"")</f>
        <v/>
      </c>
      <c r="O54" s="133" t="str">
        <f>IF($A54&lt;&gt;0,VLOOKUP($A54,'0.Productos'!$A$3:$GG$587,'0.Productos'!BG$1+1,0),"")</f>
        <v/>
      </c>
      <c r="P54" s="133" t="str">
        <f>IF($A54&lt;&gt;0,VLOOKUP($A54,'0.Productos'!$A$3:$GG$587,'0.Productos'!BH$1+1,0),"")</f>
        <v/>
      </c>
      <c r="Q54" s="133" t="str">
        <f>IF($A54&lt;&gt;0,VLOOKUP($A54,'0.Productos'!$A$3:$GG$587,'0.Productos'!BI$1+1,0),"")</f>
        <v/>
      </c>
      <c r="R54" s="133" t="str">
        <f>IF($A54&lt;&gt;0,VLOOKUP($A54,'0.Productos'!$A$3:$GG$587,'0.Productos'!BJ$1+1,0),"")</f>
        <v/>
      </c>
      <c r="S54" s="133" t="str">
        <f>IF($A54&lt;&gt;0,VLOOKUP($A54,'0.Productos'!$A$3:$GG$587,'0.Productos'!BK$1+1,0),"")</f>
        <v/>
      </c>
      <c r="T54" s="133" t="str">
        <f>IF($A54&lt;&gt;0,VLOOKUP($A54,'0.Productos'!$A$3:$GG$587,'0.Productos'!BL$1+1,0),"")</f>
        <v/>
      </c>
      <c r="U54" s="133" t="str">
        <f>IF($A54&lt;&gt;0,VLOOKUP($A54,'0.Productos'!$A$3:$GG$587,'0.Productos'!BM$1+1,0),"")</f>
        <v/>
      </c>
      <c r="V54" s="133" t="str">
        <f>IF($A54&lt;&gt;0,VLOOKUP($A54,'0.Productos'!$A$3:$GG$587,'0.Productos'!BN$1+1,0),"")</f>
        <v/>
      </c>
      <c r="W54" s="133" t="str">
        <f>IF($A54&lt;&gt;0,VLOOKUP($A54,'0.Productos'!$A$3:$GG$587,'0.Productos'!BO$1+1,0),"")</f>
        <v/>
      </c>
      <c r="X54" s="133" t="str">
        <f>IF($A54&lt;&gt;0,VLOOKUP($A54,'0.Productos'!$A$3:$GG$587,'0.Productos'!BP$1+1,0),"")</f>
        <v/>
      </c>
      <c r="Y54" s="133" t="str">
        <f>IF($A54&lt;&gt;0,VLOOKUP($A54,'0.Productos'!$A$3:$GG$587,'0.Productos'!BQ$1+1,0),"")</f>
        <v/>
      </c>
      <c r="Z54" s="133" t="str">
        <f>IF($A54&lt;&gt;0,VLOOKUP($A54,'0.Productos'!$A$3:$GG$587,'0.Productos'!BR$1+1,0),"")</f>
        <v/>
      </c>
      <c r="AA54" s="133" t="str">
        <f>IF($A54&lt;&gt;0,VLOOKUP($A54,'0.Productos'!$A$3:$GG$587,'0.Productos'!BS$1+1,0),"")</f>
        <v/>
      </c>
      <c r="AB54" s="133" t="str">
        <f>IF($A54&lt;&gt;0,VLOOKUP($A54,'0.Productos'!$A$3:$GG$587,'0.Productos'!BT$1+1,0),"")</f>
        <v/>
      </c>
      <c r="AC54" s="133" t="str">
        <f>IF($A54&lt;&gt;0,VLOOKUP($A54,'0.Productos'!$A$3:$GG$587,'0.Productos'!BU$1+1,0),"")</f>
        <v/>
      </c>
      <c r="AD54" s="133" t="str">
        <f>IF($A54&lt;&gt;0,VLOOKUP($A54,'0.Productos'!$A$3:$GG$587,'0.Productos'!BV$1+1,0),"")</f>
        <v/>
      </c>
      <c r="AE54" s="133" t="str">
        <f>IF($A54&lt;&gt;0,VLOOKUP($A54,'0.Productos'!$A$3:$GG$587,'0.Productos'!BW$1+1,0),"")</f>
        <v/>
      </c>
      <c r="AF54" s="133" t="str">
        <f>IF($A54&lt;&gt;0,VLOOKUP($A54,'0.Productos'!$A$3:$GG$587,'0.Productos'!BX$1+1,0),"")</f>
        <v/>
      </c>
      <c r="AG54" s="133" t="str">
        <f>IF($A54&lt;&gt;0,VLOOKUP($A54,'0.Productos'!$A$3:$GG$587,'0.Productos'!BY$1+1,0),"")</f>
        <v/>
      </c>
      <c r="AH54" s="133" t="str">
        <f>IF($A54&lt;&gt;0,VLOOKUP($A54,'0.Productos'!$A$3:$GG$587,'0.Productos'!BZ$1+1,0),"")</f>
        <v/>
      </c>
      <c r="AI54" s="133" t="str">
        <f>IF($A54&lt;&gt;0,VLOOKUP($A54,'0.Productos'!$A$3:$GG$587,'0.Productos'!CA$1+1,0),"")</f>
        <v/>
      </c>
      <c r="AJ54" s="133" t="str">
        <f>IF($A54&lt;&gt;0,VLOOKUP($A54,'0.Productos'!$A$3:$GG$587,'0.Productos'!CB$1+1,0),"")</f>
        <v/>
      </c>
      <c r="AK54" s="133" t="str">
        <f>IF($A54&lt;&gt;0,VLOOKUP($A54,'0.Productos'!$A$3:$GG$587,'0.Productos'!CC$1+1,0),"")</f>
        <v/>
      </c>
      <c r="AL54" s="133" t="str">
        <f>IF($A54&lt;&gt;0,VLOOKUP($A54,'0.Productos'!$A$3:$GG$587,'0.Productos'!CD$1+1,0),"")</f>
        <v/>
      </c>
      <c r="AM54" s="133" t="str">
        <f>IF($A54&lt;&gt;0,VLOOKUP($A54,'0.Productos'!$A$3:$GG$587,'0.Productos'!CE$1+1,0),"")</f>
        <v/>
      </c>
      <c r="AN54" s="133" t="str">
        <f>IF($A54&lt;&gt;0,VLOOKUP($A54,'0.Productos'!$A$3:$GG$587,'0.Productos'!CF$1+1,0),"")</f>
        <v/>
      </c>
      <c r="AO54" s="133" t="str">
        <f>IF($A54&lt;&gt;0,VLOOKUP($A54,'0.Productos'!$A$3:$GG$587,'0.Productos'!CG$1+1,0),"")</f>
        <v/>
      </c>
      <c r="AP54" s="133" t="str">
        <f>IF($A54&lt;&gt;0,VLOOKUP($A54,'0.Productos'!$A$3:$GG$587,'0.Productos'!CH$1+1,0),"")</f>
        <v/>
      </c>
      <c r="AQ54" s="133" t="str">
        <f>IF($A54&lt;&gt;0,VLOOKUP($A54,'0.Productos'!$A$3:$GG$587,'0.Productos'!CI$1+1,0),"")</f>
        <v/>
      </c>
      <c r="AR54" s="133" t="str">
        <f>IF($A54&lt;&gt;0,VLOOKUP($A54,'0.Productos'!$A$3:$GG$587,'0.Productos'!CJ$1+1,0),"")</f>
        <v/>
      </c>
      <c r="AS54" s="133" t="str">
        <f>IF($A54&lt;&gt;0,VLOOKUP($A54,'0.Productos'!$A$3:$GG$587,'0.Productos'!CK$1+1,0),"")</f>
        <v/>
      </c>
      <c r="AT54" s="133" t="str">
        <f>IF($A54&lt;&gt;0,VLOOKUP($A54,'0.Productos'!$A$3:$GG$587,'0.Productos'!CL$1+1,0),"")</f>
        <v/>
      </c>
      <c r="AU54" s="133" t="str">
        <f>IF($A54&lt;&gt;0,VLOOKUP($A54,'0.Productos'!$A$3:$GG$587,'0.Productos'!CM$1+1,0),"")</f>
        <v/>
      </c>
      <c r="AV54" s="133" t="str">
        <f>IF($A54&lt;&gt;0,VLOOKUP($A54,'0.Productos'!$A$3:$GG$587,'0.Productos'!CN$1+1,0),"")</f>
        <v/>
      </c>
      <c r="AW54" s="133" t="str">
        <f>IF($A54&lt;&gt;0,VLOOKUP($A54,'0.Productos'!$A$3:$GG$587,'0.Productos'!CO$1+1,0),"")</f>
        <v/>
      </c>
      <c r="AX54" s="133" t="str">
        <f>IF($A54&lt;&gt;0,VLOOKUP($A54,'0.Productos'!$A$3:$GG$587,'0.Productos'!CP$1+1,0),"")</f>
        <v/>
      </c>
      <c r="AY54" s="133" t="str">
        <f>IF($A54&lt;&gt;0,VLOOKUP($A54,'0.Productos'!$A$3:$GG$587,'0.Productos'!CQ$1+1,0),"")</f>
        <v/>
      </c>
      <c r="AZ54" s="133" t="str">
        <f>IF($A54&lt;&gt;0,VLOOKUP($A54,'0.Productos'!$A$3:$GG$587,'0.Productos'!CR$1+1,0),"")</f>
        <v/>
      </c>
      <c r="BA54" s="133" t="str">
        <f>IF($A54&lt;&gt;0,VLOOKUP($A54,'0.Productos'!$A$3:$GG$587,'0.Productos'!CS$1+1,0),"")</f>
        <v/>
      </c>
      <c r="BB54" s="133" t="str">
        <f>IF($A54&lt;&gt;0,VLOOKUP($A54,'0.Productos'!$A$3:$GG$587,'0.Productos'!CT$1+1,0),"")</f>
        <v/>
      </c>
      <c r="BC54" s="133" t="str">
        <f>IF($A54&lt;&gt;0,VLOOKUP($A54,'0.Productos'!$A$3:$GG$587,'0.Productos'!CU$1+1,0),"")</f>
        <v/>
      </c>
      <c r="BD54" s="133" t="str">
        <f>IF($A54&lt;&gt;0,VLOOKUP($A54,'0.Productos'!$A$3:$GG$587,'0.Productos'!CV$1+1,0),"")</f>
        <v/>
      </c>
      <c r="BE54" s="133" t="str">
        <f>IF($A54&lt;&gt;0,VLOOKUP($A54,'0.Productos'!$A$3:$GG$587,'0.Productos'!CW$1+1,0),"")</f>
        <v/>
      </c>
      <c r="BF54" s="133" t="str">
        <f>IF($A54&lt;&gt;0,VLOOKUP($A54,'0.Productos'!$A$3:$GG$587,'0.Productos'!CX$1+1,0),"")</f>
        <v/>
      </c>
      <c r="BG54" s="133" t="str">
        <f>IF($A54&lt;&gt;0,VLOOKUP($A54,'0.Productos'!$A$3:$GG$587,'0.Productos'!CY$1+1,0),"")</f>
        <v/>
      </c>
      <c r="BH54" s="133" t="str">
        <f>IF($A54&lt;&gt;0,VLOOKUP($A54,'0.Productos'!$A$3:$GG$587,'0.Productos'!CZ$1+1,0),"")</f>
        <v/>
      </c>
      <c r="BI54" s="133" t="str">
        <f>IF($A54&lt;&gt;0,VLOOKUP($A54,'0.Productos'!$A$3:$GG$587,'0.Productos'!DA$1+1,0),"")</f>
        <v/>
      </c>
      <c r="BJ54" s="133" t="str">
        <f>IF($A54&lt;&gt;0,VLOOKUP($A54,'0.Productos'!$A$3:$GG$587,'0.Productos'!DB$1+1,0),"")</f>
        <v/>
      </c>
      <c r="BK54" s="133" t="str">
        <f>IF($A54&lt;&gt;0,VLOOKUP($A54,'0.Productos'!$A$3:$GG$587,'0.Productos'!DC$1+1,0),"")</f>
        <v/>
      </c>
      <c r="BL54" s="133" t="str">
        <f>IF($A54&lt;&gt;0,VLOOKUP($A54,'0.Productos'!$A$3:$GG$587,'0.Productos'!DD$1+1,0),"")</f>
        <v/>
      </c>
      <c r="BM54" s="133" t="str">
        <f>IF($A54&lt;&gt;0,VLOOKUP($A54,'0.Productos'!$A$3:$GG$587,'0.Productos'!DE$1+1,0),"")</f>
        <v/>
      </c>
      <c r="BN54" s="133" t="str">
        <f>IF($A54&lt;&gt;0,VLOOKUP($A54,'0.Productos'!$A$3:$GG$587,'0.Productos'!DF$1+1,0),"")</f>
        <v/>
      </c>
      <c r="BO54" s="133" t="str">
        <f>IF($A54&lt;&gt;0,VLOOKUP($A54,'0.Productos'!$A$3:$GG$587,'0.Productos'!DG$1+1,0),"")</f>
        <v/>
      </c>
      <c r="BP54" s="133" t="str">
        <f>IF($A54&lt;&gt;0,VLOOKUP($A54,'0.Productos'!$A$3:$GG$587,'0.Productos'!DH$1+1,0),"")</f>
        <v/>
      </c>
      <c r="BQ54" s="133" t="str">
        <f>IF($A54&lt;&gt;0,VLOOKUP($A54,'0.Productos'!$A$3:$GG$587,'0.Productos'!DI$1+1,0),"")</f>
        <v/>
      </c>
      <c r="BR54" s="133" t="str">
        <f>IF($A54&lt;&gt;0,VLOOKUP($A54,'0.Productos'!$A$3:$GG$587,'0.Productos'!DJ$1+1,0),"")</f>
        <v/>
      </c>
      <c r="BS54" s="133" t="str">
        <f>IF($A54&lt;&gt;0,VLOOKUP($A54,'0.Productos'!$A$3:$GG$587,'0.Productos'!DK$1+1,0),"")</f>
        <v/>
      </c>
      <c r="BT54" s="133" t="str">
        <f>IF($A54&lt;&gt;0,VLOOKUP($A54,'0.Productos'!$A$3:$GG$587,'0.Productos'!DL$1+1,0),"")</f>
        <v/>
      </c>
    </row>
    <row r="55" spans="1:72" x14ac:dyDescent="0.25">
      <c r="A55" s="17">
        <f>'0.Consolidado general'!A55</f>
        <v>0</v>
      </c>
      <c r="B55" s="133" t="str">
        <f>IF($A55&lt;&gt;0,VLOOKUP($A55,'0.Productos'!$A$3:$GG$587,'0.Productos'!AT$1+1,0),"")</f>
        <v/>
      </c>
      <c r="C55" s="133" t="str">
        <f>IF($A55&lt;&gt;0,VLOOKUP($A55,'0.Productos'!$A$3:$GG$587,'0.Productos'!AU$1+1,0),"")</f>
        <v/>
      </c>
      <c r="D55" s="133" t="str">
        <f>IF($A55&lt;&gt;0,VLOOKUP($A55,'0.Productos'!$A$3:$GG$587,'0.Productos'!AV$1+1,0),"")</f>
        <v/>
      </c>
      <c r="E55" s="133" t="str">
        <f>IF($A55&lt;&gt;0,VLOOKUP($A55,'0.Productos'!$A$3:$GG$587,'0.Productos'!AW$1+1,0),"")</f>
        <v/>
      </c>
      <c r="F55" s="133" t="str">
        <f>IF($A55&lt;&gt;0,VLOOKUP($A55,'0.Productos'!$A$3:$GG$587,'0.Productos'!AX$1+1,0),"")</f>
        <v/>
      </c>
      <c r="G55" s="133" t="str">
        <f>IF($A55&lt;&gt;0,VLOOKUP($A55,'0.Productos'!$A$3:$GG$587,'0.Productos'!AY$1+1,0),"")</f>
        <v/>
      </c>
      <c r="H55" s="133" t="str">
        <f>IF($A55&lt;&gt;0,VLOOKUP($A55,'0.Productos'!$A$3:$GG$587,'0.Productos'!AZ$1+1,0),"")</f>
        <v/>
      </c>
      <c r="I55" s="133" t="str">
        <f>IF($A55&lt;&gt;0,VLOOKUP($A55,'0.Productos'!$A$3:$GG$587,'0.Productos'!BA$1+1,0),"")</f>
        <v/>
      </c>
      <c r="J55" s="133" t="str">
        <f>IF($A55&lt;&gt;0,VLOOKUP($A55,'0.Productos'!$A$3:$GG$587,'0.Productos'!BB$1+1,0),"")</f>
        <v/>
      </c>
      <c r="K55" s="133" t="str">
        <f>IF($A55&lt;&gt;0,VLOOKUP($A55,'0.Productos'!$A$3:$GG$587,'0.Productos'!BC$1+1,0),"")</f>
        <v/>
      </c>
      <c r="L55" s="133" t="str">
        <f>IF($A55&lt;&gt;0,VLOOKUP($A55,'0.Productos'!$A$3:$GG$587,'0.Productos'!BD$1+1,0),"")</f>
        <v/>
      </c>
      <c r="M55" s="133" t="str">
        <f>IF($A55&lt;&gt;0,VLOOKUP($A55,'0.Productos'!$A$3:$GG$587,'0.Productos'!BE$1+1,0),"")</f>
        <v/>
      </c>
      <c r="N55" s="133" t="str">
        <f>IF($A55&lt;&gt;0,VLOOKUP($A55,'0.Productos'!$A$3:$GG$587,'0.Productos'!BF$1+1,0),"")</f>
        <v/>
      </c>
      <c r="O55" s="133" t="str">
        <f>IF($A55&lt;&gt;0,VLOOKUP($A55,'0.Productos'!$A$3:$GG$587,'0.Productos'!BG$1+1,0),"")</f>
        <v/>
      </c>
      <c r="P55" s="133" t="str">
        <f>IF($A55&lt;&gt;0,VLOOKUP($A55,'0.Productos'!$A$3:$GG$587,'0.Productos'!BH$1+1,0),"")</f>
        <v/>
      </c>
      <c r="Q55" s="133" t="str">
        <f>IF($A55&lt;&gt;0,VLOOKUP($A55,'0.Productos'!$A$3:$GG$587,'0.Productos'!BI$1+1,0),"")</f>
        <v/>
      </c>
      <c r="R55" s="133" t="str">
        <f>IF($A55&lt;&gt;0,VLOOKUP($A55,'0.Productos'!$A$3:$GG$587,'0.Productos'!BJ$1+1,0),"")</f>
        <v/>
      </c>
      <c r="S55" s="133" t="str">
        <f>IF($A55&lt;&gt;0,VLOOKUP($A55,'0.Productos'!$A$3:$GG$587,'0.Productos'!BK$1+1,0),"")</f>
        <v/>
      </c>
      <c r="T55" s="133" t="str">
        <f>IF($A55&lt;&gt;0,VLOOKUP($A55,'0.Productos'!$A$3:$GG$587,'0.Productos'!BL$1+1,0),"")</f>
        <v/>
      </c>
      <c r="U55" s="133" t="str">
        <f>IF($A55&lt;&gt;0,VLOOKUP($A55,'0.Productos'!$A$3:$GG$587,'0.Productos'!BM$1+1,0),"")</f>
        <v/>
      </c>
      <c r="V55" s="133" t="str">
        <f>IF($A55&lt;&gt;0,VLOOKUP($A55,'0.Productos'!$A$3:$GG$587,'0.Productos'!BN$1+1,0),"")</f>
        <v/>
      </c>
      <c r="W55" s="133" t="str">
        <f>IF($A55&lt;&gt;0,VLOOKUP($A55,'0.Productos'!$A$3:$GG$587,'0.Productos'!BO$1+1,0),"")</f>
        <v/>
      </c>
      <c r="X55" s="133" t="str">
        <f>IF($A55&lt;&gt;0,VLOOKUP($A55,'0.Productos'!$A$3:$GG$587,'0.Productos'!BP$1+1,0),"")</f>
        <v/>
      </c>
      <c r="Y55" s="133" t="str">
        <f>IF($A55&lt;&gt;0,VLOOKUP($A55,'0.Productos'!$A$3:$GG$587,'0.Productos'!BQ$1+1,0),"")</f>
        <v/>
      </c>
      <c r="Z55" s="133" t="str">
        <f>IF($A55&lt;&gt;0,VLOOKUP($A55,'0.Productos'!$A$3:$GG$587,'0.Productos'!BR$1+1,0),"")</f>
        <v/>
      </c>
      <c r="AA55" s="133" t="str">
        <f>IF($A55&lt;&gt;0,VLOOKUP($A55,'0.Productos'!$A$3:$GG$587,'0.Productos'!BS$1+1,0),"")</f>
        <v/>
      </c>
      <c r="AB55" s="133" t="str">
        <f>IF($A55&lt;&gt;0,VLOOKUP($A55,'0.Productos'!$A$3:$GG$587,'0.Productos'!BT$1+1,0),"")</f>
        <v/>
      </c>
      <c r="AC55" s="133" t="str">
        <f>IF($A55&lt;&gt;0,VLOOKUP($A55,'0.Productos'!$A$3:$GG$587,'0.Productos'!BU$1+1,0),"")</f>
        <v/>
      </c>
      <c r="AD55" s="133" t="str">
        <f>IF($A55&lt;&gt;0,VLOOKUP($A55,'0.Productos'!$A$3:$GG$587,'0.Productos'!BV$1+1,0),"")</f>
        <v/>
      </c>
      <c r="AE55" s="133" t="str">
        <f>IF($A55&lt;&gt;0,VLOOKUP($A55,'0.Productos'!$A$3:$GG$587,'0.Productos'!BW$1+1,0),"")</f>
        <v/>
      </c>
      <c r="AF55" s="133" t="str">
        <f>IF($A55&lt;&gt;0,VLOOKUP($A55,'0.Productos'!$A$3:$GG$587,'0.Productos'!BX$1+1,0),"")</f>
        <v/>
      </c>
      <c r="AG55" s="133" t="str">
        <f>IF($A55&lt;&gt;0,VLOOKUP($A55,'0.Productos'!$A$3:$GG$587,'0.Productos'!BY$1+1,0),"")</f>
        <v/>
      </c>
      <c r="AH55" s="133" t="str">
        <f>IF($A55&lt;&gt;0,VLOOKUP($A55,'0.Productos'!$A$3:$GG$587,'0.Productos'!BZ$1+1,0),"")</f>
        <v/>
      </c>
      <c r="AI55" s="133" t="str">
        <f>IF($A55&lt;&gt;0,VLOOKUP($A55,'0.Productos'!$A$3:$GG$587,'0.Productos'!CA$1+1,0),"")</f>
        <v/>
      </c>
      <c r="AJ55" s="133" t="str">
        <f>IF($A55&lt;&gt;0,VLOOKUP($A55,'0.Productos'!$A$3:$GG$587,'0.Productos'!CB$1+1,0),"")</f>
        <v/>
      </c>
      <c r="AK55" s="133" t="str">
        <f>IF($A55&lt;&gt;0,VLOOKUP($A55,'0.Productos'!$A$3:$GG$587,'0.Productos'!CC$1+1,0),"")</f>
        <v/>
      </c>
      <c r="AL55" s="133" t="str">
        <f>IF($A55&lt;&gt;0,VLOOKUP($A55,'0.Productos'!$A$3:$GG$587,'0.Productos'!CD$1+1,0),"")</f>
        <v/>
      </c>
      <c r="AM55" s="133" t="str">
        <f>IF($A55&lt;&gt;0,VLOOKUP($A55,'0.Productos'!$A$3:$GG$587,'0.Productos'!CE$1+1,0),"")</f>
        <v/>
      </c>
      <c r="AN55" s="133" t="str">
        <f>IF($A55&lt;&gt;0,VLOOKUP($A55,'0.Productos'!$A$3:$GG$587,'0.Productos'!CF$1+1,0),"")</f>
        <v/>
      </c>
      <c r="AO55" s="133" t="str">
        <f>IF($A55&lt;&gt;0,VLOOKUP($A55,'0.Productos'!$A$3:$GG$587,'0.Productos'!CG$1+1,0),"")</f>
        <v/>
      </c>
      <c r="AP55" s="133" t="str">
        <f>IF($A55&lt;&gt;0,VLOOKUP($A55,'0.Productos'!$A$3:$GG$587,'0.Productos'!CH$1+1,0),"")</f>
        <v/>
      </c>
      <c r="AQ55" s="133" t="str">
        <f>IF($A55&lt;&gt;0,VLOOKUP($A55,'0.Productos'!$A$3:$GG$587,'0.Productos'!CI$1+1,0),"")</f>
        <v/>
      </c>
      <c r="AR55" s="133" t="str">
        <f>IF($A55&lt;&gt;0,VLOOKUP($A55,'0.Productos'!$A$3:$GG$587,'0.Productos'!CJ$1+1,0),"")</f>
        <v/>
      </c>
      <c r="AS55" s="133" t="str">
        <f>IF($A55&lt;&gt;0,VLOOKUP($A55,'0.Productos'!$A$3:$GG$587,'0.Productos'!CK$1+1,0),"")</f>
        <v/>
      </c>
      <c r="AT55" s="133" t="str">
        <f>IF($A55&lt;&gt;0,VLOOKUP($A55,'0.Productos'!$A$3:$GG$587,'0.Productos'!CL$1+1,0),"")</f>
        <v/>
      </c>
      <c r="AU55" s="133" t="str">
        <f>IF($A55&lt;&gt;0,VLOOKUP($A55,'0.Productos'!$A$3:$GG$587,'0.Productos'!CM$1+1,0),"")</f>
        <v/>
      </c>
      <c r="AV55" s="133" t="str">
        <f>IF($A55&lt;&gt;0,VLOOKUP($A55,'0.Productos'!$A$3:$GG$587,'0.Productos'!CN$1+1,0),"")</f>
        <v/>
      </c>
      <c r="AW55" s="133" t="str">
        <f>IF($A55&lt;&gt;0,VLOOKUP($A55,'0.Productos'!$A$3:$GG$587,'0.Productos'!CO$1+1,0),"")</f>
        <v/>
      </c>
      <c r="AX55" s="133" t="str">
        <f>IF($A55&lt;&gt;0,VLOOKUP($A55,'0.Productos'!$A$3:$GG$587,'0.Productos'!CP$1+1,0),"")</f>
        <v/>
      </c>
      <c r="AY55" s="133" t="str">
        <f>IF($A55&lt;&gt;0,VLOOKUP($A55,'0.Productos'!$A$3:$GG$587,'0.Productos'!CQ$1+1,0),"")</f>
        <v/>
      </c>
      <c r="AZ55" s="133" t="str">
        <f>IF($A55&lt;&gt;0,VLOOKUP($A55,'0.Productos'!$A$3:$GG$587,'0.Productos'!CR$1+1,0),"")</f>
        <v/>
      </c>
      <c r="BA55" s="133" t="str">
        <f>IF($A55&lt;&gt;0,VLOOKUP($A55,'0.Productos'!$A$3:$GG$587,'0.Productos'!CS$1+1,0),"")</f>
        <v/>
      </c>
      <c r="BB55" s="133" t="str">
        <f>IF($A55&lt;&gt;0,VLOOKUP($A55,'0.Productos'!$A$3:$GG$587,'0.Productos'!CT$1+1,0),"")</f>
        <v/>
      </c>
      <c r="BC55" s="133" t="str">
        <f>IF($A55&lt;&gt;0,VLOOKUP($A55,'0.Productos'!$A$3:$GG$587,'0.Productos'!CU$1+1,0),"")</f>
        <v/>
      </c>
      <c r="BD55" s="133" t="str">
        <f>IF($A55&lt;&gt;0,VLOOKUP($A55,'0.Productos'!$A$3:$GG$587,'0.Productos'!CV$1+1,0),"")</f>
        <v/>
      </c>
      <c r="BE55" s="133" t="str">
        <f>IF($A55&lt;&gt;0,VLOOKUP($A55,'0.Productos'!$A$3:$GG$587,'0.Productos'!CW$1+1,0),"")</f>
        <v/>
      </c>
      <c r="BF55" s="133" t="str">
        <f>IF($A55&lt;&gt;0,VLOOKUP($A55,'0.Productos'!$A$3:$GG$587,'0.Productos'!CX$1+1,0),"")</f>
        <v/>
      </c>
      <c r="BG55" s="133" t="str">
        <f>IF($A55&lt;&gt;0,VLOOKUP($A55,'0.Productos'!$A$3:$GG$587,'0.Productos'!CY$1+1,0),"")</f>
        <v/>
      </c>
      <c r="BH55" s="133" t="str">
        <f>IF($A55&lt;&gt;0,VLOOKUP($A55,'0.Productos'!$A$3:$GG$587,'0.Productos'!CZ$1+1,0),"")</f>
        <v/>
      </c>
      <c r="BI55" s="133" t="str">
        <f>IF($A55&lt;&gt;0,VLOOKUP($A55,'0.Productos'!$A$3:$GG$587,'0.Productos'!DA$1+1,0),"")</f>
        <v/>
      </c>
      <c r="BJ55" s="133" t="str">
        <f>IF($A55&lt;&gt;0,VLOOKUP($A55,'0.Productos'!$A$3:$GG$587,'0.Productos'!DB$1+1,0),"")</f>
        <v/>
      </c>
      <c r="BK55" s="133" t="str">
        <f>IF($A55&lt;&gt;0,VLOOKUP($A55,'0.Productos'!$A$3:$GG$587,'0.Productos'!DC$1+1,0),"")</f>
        <v/>
      </c>
      <c r="BL55" s="133" t="str">
        <f>IF($A55&lt;&gt;0,VLOOKUP($A55,'0.Productos'!$A$3:$GG$587,'0.Productos'!DD$1+1,0),"")</f>
        <v/>
      </c>
      <c r="BM55" s="133" t="str">
        <f>IF($A55&lt;&gt;0,VLOOKUP($A55,'0.Productos'!$A$3:$GG$587,'0.Productos'!DE$1+1,0),"")</f>
        <v/>
      </c>
      <c r="BN55" s="133" t="str">
        <f>IF($A55&lt;&gt;0,VLOOKUP($A55,'0.Productos'!$A$3:$GG$587,'0.Productos'!DF$1+1,0),"")</f>
        <v/>
      </c>
      <c r="BO55" s="133" t="str">
        <f>IF($A55&lt;&gt;0,VLOOKUP($A55,'0.Productos'!$A$3:$GG$587,'0.Productos'!DG$1+1,0),"")</f>
        <v/>
      </c>
      <c r="BP55" s="133" t="str">
        <f>IF($A55&lt;&gt;0,VLOOKUP($A55,'0.Productos'!$A$3:$GG$587,'0.Productos'!DH$1+1,0),"")</f>
        <v/>
      </c>
      <c r="BQ55" s="133" t="str">
        <f>IF($A55&lt;&gt;0,VLOOKUP($A55,'0.Productos'!$A$3:$GG$587,'0.Productos'!DI$1+1,0),"")</f>
        <v/>
      </c>
      <c r="BR55" s="133" t="str">
        <f>IF($A55&lt;&gt;0,VLOOKUP($A55,'0.Productos'!$A$3:$GG$587,'0.Productos'!DJ$1+1,0),"")</f>
        <v/>
      </c>
      <c r="BS55" s="133" t="str">
        <f>IF($A55&lt;&gt;0,VLOOKUP($A55,'0.Productos'!$A$3:$GG$587,'0.Productos'!DK$1+1,0),"")</f>
        <v/>
      </c>
      <c r="BT55" s="133" t="str">
        <f>IF($A55&lt;&gt;0,VLOOKUP($A55,'0.Productos'!$A$3:$GG$587,'0.Productos'!DL$1+1,0),"")</f>
        <v/>
      </c>
    </row>
    <row r="56" spans="1:72" x14ac:dyDescent="0.25">
      <c r="A56" s="17">
        <f>'0.Consolidado general'!A56</f>
        <v>0</v>
      </c>
      <c r="B56" s="133" t="str">
        <f>IF($A56&lt;&gt;0,VLOOKUP($A56,'0.Productos'!$A$3:$GG$587,'0.Productos'!AT$1+1,0),"")</f>
        <v/>
      </c>
      <c r="C56" s="133" t="str">
        <f>IF($A56&lt;&gt;0,VLOOKUP($A56,'0.Productos'!$A$3:$GG$587,'0.Productos'!AU$1+1,0),"")</f>
        <v/>
      </c>
      <c r="D56" s="133" t="str">
        <f>IF($A56&lt;&gt;0,VLOOKUP($A56,'0.Productos'!$A$3:$GG$587,'0.Productos'!AV$1+1,0),"")</f>
        <v/>
      </c>
      <c r="E56" s="133" t="str">
        <f>IF($A56&lt;&gt;0,VLOOKUP($A56,'0.Productos'!$A$3:$GG$587,'0.Productos'!AW$1+1,0),"")</f>
        <v/>
      </c>
      <c r="F56" s="133" t="str">
        <f>IF($A56&lt;&gt;0,VLOOKUP($A56,'0.Productos'!$A$3:$GG$587,'0.Productos'!AX$1+1,0),"")</f>
        <v/>
      </c>
      <c r="G56" s="133" t="str">
        <f>IF($A56&lt;&gt;0,VLOOKUP($A56,'0.Productos'!$A$3:$GG$587,'0.Productos'!AY$1+1,0),"")</f>
        <v/>
      </c>
      <c r="H56" s="133" t="str">
        <f>IF($A56&lt;&gt;0,VLOOKUP($A56,'0.Productos'!$A$3:$GG$587,'0.Productos'!AZ$1+1,0),"")</f>
        <v/>
      </c>
      <c r="I56" s="133" t="str">
        <f>IF($A56&lt;&gt;0,VLOOKUP($A56,'0.Productos'!$A$3:$GG$587,'0.Productos'!BA$1+1,0),"")</f>
        <v/>
      </c>
      <c r="J56" s="133" t="str">
        <f>IF($A56&lt;&gt;0,VLOOKUP($A56,'0.Productos'!$A$3:$GG$587,'0.Productos'!BB$1+1,0),"")</f>
        <v/>
      </c>
      <c r="K56" s="133" t="str">
        <f>IF($A56&lt;&gt;0,VLOOKUP($A56,'0.Productos'!$A$3:$GG$587,'0.Productos'!BC$1+1,0),"")</f>
        <v/>
      </c>
      <c r="L56" s="133" t="str">
        <f>IF($A56&lt;&gt;0,VLOOKUP($A56,'0.Productos'!$A$3:$GG$587,'0.Productos'!BD$1+1,0),"")</f>
        <v/>
      </c>
      <c r="M56" s="133" t="str">
        <f>IF($A56&lt;&gt;0,VLOOKUP($A56,'0.Productos'!$A$3:$GG$587,'0.Productos'!BE$1+1,0),"")</f>
        <v/>
      </c>
      <c r="N56" s="133" t="str">
        <f>IF($A56&lt;&gt;0,VLOOKUP($A56,'0.Productos'!$A$3:$GG$587,'0.Productos'!BF$1+1,0),"")</f>
        <v/>
      </c>
      <c r="O56" s="133" t="str">
        <f>IF($A56&lt;&gt;0,VLOOKUP($A56,'0.Productos'!$A$3:$GG$587,'0.Productos'!BG$1+1,0),"")</f>
        <v/>
      </c>
      <c r="P56" s="133" t="str">
        <f>IF($A56&lt;&gt;0,VLOOKUP($A56,'0.Productos'!$A$3:$GG$587,'0.Productos'!BH$1+1,0),"")</f>
        <v/>
      </c>
      <c r="Q56" s="133" t="str">
        <f>IF($A56&lt;&gt;0,VLOOKUP($A56,'0.Productos'!$A$3:$GG$587,'0.Productos'!BI$1+1,0),"")</f>
        <v/>
      </c>
      <c r="R56" s="133" t="str">
        <f>IF($A56&lt;&gt;0,VLOOKUP($A56,'0.Productos'!$A$3:$GG$587,'0.Productos'!BJ$1+1,0),"")</f>
        <v/>
      </c>
      <c r="S56" s="133" t="str">
        <f>IF($A56&lt;&gt;0,VLOOKUP($A56,'0.Productos'!$A$3:$GG$587,'0.Productos'!BK$1+1,0),"")</f>
        <v/>
      </c>
      <c r="T56" s="133" t="str">
        <f>IF($A56&lt;&gt;0,VLOOKUP($A56,'0.Productos'!$A$3:$GG$587,'0.Productos'!BL$1+1,0),"")</f>
        <v/>
      </c>
      <c r="U56" s="133" t="str">
        <f>IF($A56&lt;&gt;0,VLOOKUP($A56,'0.Productos'!$A$3:$GG$587,'0.Productos'!BM$1+1,0),"")</f>
        <v/>
      </c>
      <c r="V56" s="133" t="str">
        <f>IF($A56&lt;&gt;0,VLOOKUP($A56,'0.Productos'!$A$3:$GG$587,'0.Productos'!BN$1+1,0),"")</f>
        <v/>
      </c>
      <c r="W56" s="133" t="str">
        <f>IF($A56&lt;&gt;0,VLOOKUP($A56,'0.Productos'!$A$3:$GG$587,'0.Productos'!BO$1+1,0),"")</f>
        <v/>
      </c>
      <c r="X56" s="133" t="str">
        <f>IF($A56&lt;&gt;0,VLOOKUP($A56,'0.Productos'!$A$3:$GG$587,'0.Productos'!BP$1+1,0),"")</f>
        <v/>
      </c>
      <c r="Y56" s="133" t="str">
        <f>IF($A56&lt;&gt;0,VLOOKUP($A56,'0.Productos'!$A$3:$GG$587,'0.Productos'!BQ$1+1,0),"")</f>
        <v/>
      </c>
      <c r="Z56" s="133" t="str">
        <f>IF($A56&lt;&gt;0,VLOOKUP($A56,'0.Productos'!$A$3:$GG$587,'0.Productos'!BR$1+1,0),"")</f>
        <v/>
      </c>
      <c r="AA56" s="133" t="str">
        <f>IF($A56&lt;&gt;0,VLOOKUP($A56,'0.Productos'!$A$3:$GG$587,'0.Productos'!BS$1+1,0),"")</f>
        <v/>
      </c>
      <c r="AB56" s="133" t="str">
        <f>IF($A56&lt;&gt;0,VLOOKUP($A56,'0.Productos'!$A$3:$GG$587,'0.Productos'!BT$1+1,0),"")</f>
        <v/>
      </c>
      <c r="AC56" s="133" t="str">
        <f>IF($A56&lt;&gt;0,VLOOKUP($A56,'0.Productos'!$A$3:$GG$587,'0.Productos'!BU$1+1,0),"")</f>
        <v/>
      </c>
      <c r="AD56" s="133" t="str">
        <f>IF($A56&lt;&gt;0,VLOOKUP($A56,'0.Productos'!$A$3:$GG$587,'0.Productos'!BV$1+1,0),"")</f>
        <v/>
      </c>
      <c r="AE56" s="133" t="str">
        <f>IF($A56&lt;&gt;0,VLOOKUP($A56,'0.Productos'!$A$3:$GG$587,'0.Productos'!BW$1+1,0),"")</f>
        <v/>
      </c>
      <c r="AF56" s="133" t="str">
        <f>IF($A56&lt;&gt;0,VLOOKUP($A56,'0.Productos'!$A$3:$GG$587,'0.Productos'!BX$1+1,0),"")</f>
        <v/>
      </c>
      <c r="AG56" s="133" t="str">
        <f>IF($A56&lt;&gt;0,VLOOKUP($A56,'0.Productos'!$A$3:$GG$587,'0.Productos'!BY$1+1,0),"")</f>
        <v/>
      </c>
      <c r="AH56" s="133" t="str">
        <f>IF($A56&lt;&gt;0,VLOOKUP($A56,'0.Productos'!$A$3:$GG$587,'0.Productos'!BZ$1+1,0),"")</f>
        <v/>
      </c>
      <c r="AI56" s="133" t="str">
        <f>IF($A56&lt;&gt;0,VLOOKUP($A56,'0.Productos'!$A$3:$GG$587,'0.Productos'!CA$1+1,0),"")</f>
        <v/>
      </c>
      <c r="AJ56" s="133" t="str">
        <f>IF($A56&lt;&gt;0,VLOOKUP($A56,'0.Productos'!$A$3:$GG$587,'0.Productos'!CB$1+1,0),"")</f>
        <v/>
      </c>
      <c r="AK56" s="133" t="str">
        <f>IF($A56&lt;&gt;0,VLOOKUP($A56,'0.Productos'!$A$3:$GG$587,'0.Productos'!CC$1+1,0),"")</f>
        <v/>
      </c>
      <c r="AL56" s="133" t="str">
        <f>IF($A56&lt;&gt;0,VLOOKUP($A56,'0.Productos'!$A$3:$GG$587,'0.Productos'!CD$1+1,0),"")</f>
        <v/>
      </c>
      <c r="AM56" s="133" t="str">
        <f>IF($A56&lt;&gt;0,VLOOKUP($A56,'0.Productos'!$A$3:$GG$587,'0.Productos'!CE$1+1,0),"")</f>
        <v/>
      </c>
      <c r="AN56" s="133" t="str">
        <f>IF($A56&lt;&gt;0,VLOOKUP($A56,'0.Productos'!$A$3:$GG$587,'0.Productos'!CF$1+1,0),"")</f>
        <v/>
      </c>
      <c r="AO56" s="133" t="str">
        <f>IF($A56&lt;&gt;0,VLOOKUP($A56,'0.Productos'!$A$3:$GG$587,'0.Productos'!CG$1+1,0),"")</f>
        <v/>
      </c>
      <c r="AP56" s="133" t="str">
        <f>IF($A56&lt;&gt;0,VLOOKUP($A56,'0.Productos'!$A$3:$GG$587,'0.Productos'!CH$1+1,0),"")</f>
        <v/>
      </c>
      <c r="AQ56" s="133" t="str">
        <f>IF($A56&lt;&gt;0,VLOOKUP($A56,'0.Productos'!$A$3:$GG$587,'0.Productos'!CI$1+1,0),"")</f>
        <v/>
      </c>
      <c r="AR56" s="133" t="str">
        <f>IF($A56&lt;&gt;0,VLOOKUP($A56,'0.Productos'!$A$3:$GG$587,'0.Productos'!CJ$1+1,0),"")</f>
        <v/>
      </c>
      <c r="AS56" s="133" t="str">
        <f>IF($A56&lt;&gt;0,VLOOKUP($A56,'0.Productos'!$A$3:$GG$587,'0.Productos'!CK$1+1,0),"")</f>
        <v/>
      </c>
      <c r="AT56" s="133" t="str">
        <f>IF($A56&lt;&gt;0,VLOOKUP($A56,'0.Productos'!$A$3:$GG$587,'0.Productos'!CL$1+1,0),"")</f>
        <v/>
      </c>
      <c r="AU56" s="133" t="str">
        <f>IF($A56&lt;&gt;0,VLOOKUP($A56,'0.Productos'!$A$3:$GG$587,'0.Productos'!CM$1+1,0),"")</f>
        <v/>
      </c>
      <c r="AV56" s="133" t="str">
        <f>IF($A56&lt;&gt;0,VLOOKUP($A56,'0.Productos'!$A$3:$GG$587,'0.Productos'!CN$1+1,0),"")</f>
        <v/>
      </c>
      <c r="AW56" s="133" t="str">
        <f>IF($A56&lt;&gt;0,VLOOKUP($A56,'0.Productos'!$A$3:$GG$587,'0.Productos'!CO$1+1,0),"")</f>
        <v/>
      </c>
      <c r="AX56" s="133" t="str">
        <f>IF($A56&lt;&gt;0,VLOOKUP($A56,'0.Productos'!$A$3:$GG$587,'0.Productos'!CP$1+1,0),"")</f>
        <v/>
      </c>
      <c r="AY56" s="133" t="str">
        <f>IF($A56&lt;&gt;0,VLOOKUP($A56,'0.Productos'!$A$3:$GG$587,'0.Productos'!CQ$1+1,0),"")</f>
        <v/>
      </c>
      <c r="AZ56" s="133" t="str">
        <f>IF($A56&lt;&gt;0,VLOOKUP($A56,'0.Productos'!$A$3:$GG$587,'0.Productos'!CR$1+1,0),"")</f>
        <v/>
      </c>
      <c r="BA56" s="133" t="str">
        <f>IF($A56&lt;&gt;0,VLOOKUP($A56,'0.Productos'!$A$3:$GG$587,'0.Productos'!CS$1+1,0),"")</f>
        <v/>
      </c>
      <c r="BB56" s="133" t="str">
        <f>IF($A56&lt;&gt;0,VLOOKUP($A56,'0.Productos'!$A$3:$GG$587,'0.Productos'!CT$1+1,0),"")</f>
        <v/>
      </c>
      <c r="BC56" s="133" t="str">
        <f>IF($A56&lt;&gt;0,VLOOKUP($A56,'0.Productos'!$A$3:$GG$587,'0.Productos'!CU$1+1,0),"")</f>
        <v/>
      </c>
      <c r="BD56" s="133" t="str">
        <f>IF($A56&lt;&gt;0,VLOOKUP($A56,'0.Productos'!$A$3:$GG$587,'0.Productos'!CV$1+1,0),"")</f>
        <v/>
      </c>
      <c r="BE56" s="133" t="str">
        <f>IF($A56&lt;&gt;0,VLOOKUP($A56,'0.Productos'!$A$3:$GG$587,'0.Productos'!CW$1+1,0),"")</f>
        <v/>
      </c>
      <c r="BF56" s="133" t="str">
        <f>IF($A56&lt;&gt;0,VLOOKUP($A56,'0.Productos'!$A$3:$GG$587,'0.Productos'!CX$1+1,0),"")</f>
        <v/>
      </c>
      <c r="BG56" s="133" t="str">
        <f>IF($A56&lt;&gt;0,VLOOKUP($A56,'0.Productos'!$A$3:$GG$587,'0.Productos'!CY$1+1,0),"")</f>
        <v/>
      </c>
      <c r="BH56" s="133" t="str">
        <f>IF($A56&lt;&gt;0,VLOOKUP($A56,'0.Productos'!$A$3:$GG$587,'0.Productos'!CZ$1+1,0),"")</f>
        <v/>
      </c>
      <c r="BI56" s="133" t="str">
        <f>IF($A56&lt;&gt;0,VLOOKUP($A56,'0.Productos'!$A$3:$GG$587,'0.Productos'!DA$1+1,0),"")</f>
        <v/>
      </c>
      <c r="BJ56" s="133" t="str">
        <f>IF($A56&lt;&gt;0,VLOOKUP($A56,'0.Productos'!$A$3:$GG$587,'0.Productos'!DB$1+1,0),"")</f>
        <v/>
      </c>
      <c r="BK56" s="133" t="str">
        <f>IF($A56&lt;&gt;0,VLOOKUP($A56,'0.Productos'!$A$3:$GG$587,'0.Productos'!DC$1+1,0),"")</f>
        <v/>
      </c>
      <c r="BL56" s="133" t="str">
        <f>IF($A56&lt;&gt;0,VLOOKUP($A56,'0.Productos'!$A$3:$GG$587,'0.Productos'!DD$1+1,0),"")</f>
        <v/>
      </c>
      <c r="BM56" s="133" t="str">
        <f>IF($A56&lt;&gt;0,VLOOKUP($A56,'0.Productos'!$A$3:$GG$587,'0.Productos'!DE$1+1,0),"")</f>
        <v/>
      </c>
      <c r="BN56" s="133" t="str">
        <f>IF($A56&lt;&gt;0,VLOOKUP($A56,'0.Productos'!$A$3:$GG$587,'0.Productos'!DF$1+1,0),"")</f>
        <v/>
      </c>
      <c r="BO56" s="133" t="str">
        <f>IF($A56&lt;&gt;0,VLOOKUP($A56,'0.Productos'!$A$3:$GG$587,'0.Productos'!DG$1+1,0),"")</f>
        <v/>
      </c>
      <c r="BP56" s="133" t="str">
        <f>IF($A56&lt;&gt;0,VLOOKUP($A56,'0.Productos'!$A$3:$GG$587,'0.Productos'!DH$1+1,0),"")</f>
        <v/>
      </c>
      <c r="BQ56" s="133" t="str">
        <f>IF($A56&lt;&gt;0,VLOOKUP($A56,'0.Productos'!$A$3:$GG$587,'0.Productos'!DI$1+1,0),"")</f>
        <v/>
      </c>
      <c r="BR56" s="133" t="str">
        <f>IF($A56&lt;&gt;0,VLOOKUP($A56,'0.Productos'!$A$3:$GG$587,'0.Productos'!DJ$1+1,0),"")</f>
        <v/>
      </c>
      <c r="BS56" s="133" t="str">
        <f>IF($A56&lt;&gt;0,VLOOKUP($A56,'0.Productos'!$A$3:$GG$587,'0.Productos'!DK$1+1,0),"")</f>
        <v/>
      </c>
      <c r="BT56" s="133" t="str">
        <f>IF($A56&lt;&gt;0,VLOOKUP($A56,'0.Productos'!$A$3:$GG$587,'0.Productos'!DL$1+1,0),"")</f>
        <v/>
      </c>
    </row>
    <row r="57" spans="1:72" x14ac:dyDescent="0.25">
      <c r="A57" s="17">
        <f>'0.Consolidado general'!A57</f>
        <v>0</v>
      </c>
      <c r="B57" s="133" t="str">
        <f>IF($A57&lt;&gt;0,VLOOKUP($A57,'0.Productos'!$A$3:$GG$587,'0.Productos'!AT$1+1,0),"")</f>
        <v/>
      </c>
      <c r="C57" s="133" t="str">
        <f>IF($A57&lt;&gt;0,VLOOKUP($A57,'0.Productos'!$A$3:$GG$587,'0.Productos'!AU$1+1,0),"")</f>
        <v/>
      </c>
      <c r="D57" s="133" t="str">
        <f>IF($A57&lt;&gt;0,VLOOKUP($A57,'0.Productos'!$A$3:$GG$587,'0.Productos'!AV$1+1,0),"")</f>
        <v/>
      </c>
      <c r="E57" s="133" t="str">
        <f>IF($A57&lt;&gt;0,VLOOKUP($A57,'0.Productos'!$A$3:$GG$587,'0.Productos'!AW$1+1,0),"")</f>
        <v/>
      </c>
      <c r="F57" s="133" t="str">
        <f>IF($A57&lt;&gt;0,VLOOKUP($A57,'0.Productos'!$A$3:$GG$587,'0.Productos'!AX$1+1,0),"")</f>
        <v/>
      </c>
      <c r="G57" s="133" t="str">
        <f>IF($A57&lt;&gt;0,VLOOKUP($A57,'0.Productos'!$A$3:$GG$587,'0.Productos'!AY$1+1,0),"")</f>
        <v/>
      </c>
      <c r="H57" s="133" t="str">
        <f>IF($A57&lt;&gt;0,VLOOKUP($A57,'0.Productos'!$A$3:$GG$587,'0.Productos'!AZ$1+1,0),"")</f>
        <v/>
      </c>
      <c r="I57" s="133" t="str">
        <f>IF($A57&lt;&gt;0,VLOOKUP($A57,'0.Productos'!$A$3:$GG$587,'0.Productos'!BA$1+1,0),"")</f>
        <v/>
      </c>
      <c r="J57" s="133" t="str">
        <f>IF($A57&lt;&gt;0,VLOOKUP($A57,'0.Productos'!$A$3:$GG$587,'0.Productos'!BB$1+1,0),"")</f>
        <v/>
      </c>
      <c r="K57" s="133" t="str">
        <f>IF($A57&lt;&gt;0,VLOOKUP($A57,'0.Productos'!$A$3:$GG$587,'0.Productos'!BC$1+1,0),"")</f>
        <v/>
      </c>
      <c r="L57" s="133" t="str">
        <f>IF($A57&lt;&gt;0,VLOOKUP($A57,'0.Productos'!$A$3:$GG$587,'0.Productos'!BD$1+1,0),"")</f>
        <v/>
      </c>
      <c r="M57" s="133" t="str">
        <f>IF($A57&lt;&gt;0,VLOOKUP($A57,'0.Productos'!$A$3:$GG$587,'0.Productos'!BE$1+1,0),"")</f>
        <v/>
      </c>
      <c r="N57" s="133" t="str">
        <f>IF($A57&lt;&gt;0,VLOOKUP($A57,'0.Productos'!$A$3:$GG$587,'0.Productos'!BF$1+1,0),"")</f>
        <v/>
      </c>
      <c r="O57" s="133" t="str">
        <f>IF($A57&lt;&gt;0,VLOOKUP($A57,'0.Productos'!$A$3:$GG$587,'0.Productos'!BG$1+1,0),"")</f>
        <v/>
      </c>
      <c r="P57" s="133" t="str">
        <f>IF($A57&lt;&gt;0,VLOOKUP($A57,'0.Productos'!$A$3:$GG$587,'0.Productos'!BH$1+1,0),"")</f>
        <v/>
      </c>
      <c r="Q57" s="133" t="str">
        <f>IF($A57&lt;&gt;0,VLOOKUP($A57,'0.Productos'!$A$3:$GG$587,'0.Productos'!BI$1+1,0),"")</f>
        <v/>
      </c>
      <c r="R57" s="133" t="str">
        <f>IF($A57&lt;&gt;0,VLOOKUP($A57,'0.Productos'!$A$3:$GG$587,'0.Productos'!BJ$1+1,0),"")</f>
        <v/>
      </c>
      <c r="S57" s="133" t="str">
        <f>IF($A57&lt;&gt;0,VLOOKUP($A57,'0.Productos'!$A$3:$GG$587,'0.Productos'!BK$1+1,0),"")</f>
        <v/>
      </c>
      <c r="T57" s="133" t="str">
        <f>IF($A57&lt;&gt;0,VLOOKUP($A57,'0.Productos'!$A$3:$GG$587,'0.Productos'!BL$1+1,0),"")</f>
        <v/>
      </c>
      <c r="U57" s="133" t="str">
        <f>IF($A57&lt;&gt;0,VLOOKUP($A57,'0.Productos'!$A$3:$GG$587,'0.Productos'!BM$1+1,0),"")</f>
        <v/>
      </c>
      <c r="V57" s="133" t="str">
        <f>IF($A57&lt;&gt;0,VLOOKUP($A57,'0.Productos'!$A$3:$GG$587,'0.Productos'!BN$1+1,0),"")</f>
        <v/>
      </c>
      <c r="W57" s="133" t="str">
        <f>IF($A57&lt;&gt;0,VLOOKUP($A57,'0.Productos'!$A$3:$GG$587,'0.Productos'!BO$1+1,0),"")</f>
        <v/>
      </c>
      <c r="X57" s="133" t="str">
        <f>IF($A57&lt;&gt;0,VLOOKUP($A57,'0.Productos'!$A$3:$GG$587,'0.Productos'!BP$1+1,0),"")</f>
        <v/>
      </c>
      <c r="Y57" s="133" t="str">
        <f>IF($A57&lt;&gt;0,VLOOKUP($A57,'0.Productos'!$A$3:$GG$587,'0.Productos'!BQ$1+1,0),"")</f>
        <v/>
      </c>
      <c r="Z57" s="133" t="str">
        <f>IF($A57&lt;&gt;0,VLOOKUP($A57,'0.Productos'!$A$3:$GG$587,'0.Productos'!BR$1+1,0),"")</f>
        <v/>
      </c>
      <c r="AA57" s="133" t="str">
        <f>IF($A57&lt;&gt;0,VLOOKUP($A57,'0.Productos'!$A$3:$GG$587,'0.Productos'!BS$1+1,0),"")</f>
        <v/>
      </c>
      <c r="AB57" s="133" t="str">
        <f>IF($A57&lt;&gt;0,VLOOKUP($A57,'0.Productos'!$A$3:$GG$587,'0.Productos'!BT$1+1,0),"")</f>
        <v/>
      </c>
      <c r="AC57" s="133" t="str">
        <f>IF($A57&lt;&gt;0,VLOOKUP($A57,'0.Productos'!$A$3:$GG$587,'0.Productos'!BU$1+1,0),"")</f>
        <v/>
      </c>
      <c r="AD57" s="133" t="str">
        <f>IF($A57&lt;&gt;0,VLOOKUP($A57,'0.Productos'!$A$3:$GG$587,'0.Productos'!BV$1+1,0),"")</f>
        <v/>
      </c>
      <c r="AE57" s="133" t="str">
        <f>IF($A57&lt;&gt;0,VLOOKUP($A57,'0.Productos'!$A$3:$GG$587,'0.Productos'!BW$1+1,0),"")</f>
        <v/>
      </c>
      <c r="AF57" s="133" t="str">
        <f>IF($A57&lt;&gt;0,VLOOKUP($A57,'0.Productos'!$A$3:$GG$587,'0.Productos'!BX$1+1,0),"")</f>
        <v/>
      </c>
      <c r="AG57" s="133" t="str">
        <f>IF($A57&lt;&gt;0,VLOOKUP($A57,'0.Productos'!$A$3:$GG$587,'0.Productos'!BY$1+1,0),"")</f>
        <v/>
      </c>
      <c r="AH57" s="133" t="str">
        <f>IF($A57&lt;&gt;0,VLOOKUP($A57,'0.Productos'!$A$3:$GG$587,'0.Productos'!BZ$1+1,0),"")</f>
        <v/>
      </c>
      <c r="AI57" s="133" t="str">
        <f>IF($A57&lt;&gt;0,VLOOKUP($A57,'0.Productos'!$A$3:$GG$587,'0.Productos'!CA$1+1,0),"")</f>
        <v/>
      </c>
      <c r="AJ57" s="133" t="str">
        <f>IF($A57&lt;&gt;0,VLOOKUP($A57,'0.Productos'!$A$3:$GG$587,'0.Productos'!CB$1+1,0),"")</f>
        <v/>
      </c>
      <c r="AK57" s="133" t="str">
        <f>IF($A57&lt;&gt;0,VLOOKUP($A57,'0.Productos'!$A$3:$GG$587,'0.Productos'!CC$1+1,0),"")</f>
        <v/>
      </c>
      <c r="AL57" s="133" t="str">
        <f>IF($A57&lt;&gt;0,VLOOKUP($A57,'0.Productos'!$A$3:$GG$587,'0.Productos'!CD$1+1,0),"")</f>
        <v/>
      </c>
      <c r="AM57" s="133" t="str">
        <f>IF($A57&lt;&gt;0,VLOOKUP($A57,'0.Productos'!$A$3:$GG$587,'0.Productos'!CE$1+1,0),"")</f>
        <v/>
      </c>
      <c r="AN57" s="133" t="str">
        <f>IF($A57&lt;&gt;0,VLOOKUP($A57,'0.Productos'!$A$3:$GG$587,'0.Productos'!CF$1+1,0),"")</f>
        <v/>
      </c>
      <c r="AO57" s="133" t="str">
        <f>IF($A57&lt;&gt;0,VLOOKUP($A57,'0.Productos'!$A$3:$GG$587,'0.Productos'!CG$1+1,0),"")</f>
        <v/>
      </c>
      <c r="AP57" s="133" t="str">
        <f>IF($A57&lt;&gt;0,VLOOKUP($A57,'0.Productos'!$A$3:$GG$587,'0.Productos'!CH$1+1,0),"")</f>
        <v/>
      </c>
      <c r="AQ57" s="133" t="str">
        <f>IF($A57&lt;&gt;0,VLOOKUP($A57,'0.Productos'!$A$3:$GG$587,'0.Productos'!CI$1+1,0),"")</f>
        <v/>
      </c>
      <c r="AR57" s="133" t="str">
        <f>IF($A57&lt;&gt;0,VLOOKUP($A57,'0.Productos'!$A$3:$GG$587,'0.Productos'!CJ$1+1,0),"")</f>
        <v/>
      </c>
      <c r="AS57" s="133" t="str">
        <f>IF($A57&lt;&gt;0,VLOOKUP($A57,'0.Productos'!$A$3:$GG$587,'0.Productos'!CK$1+1,0),"")</f>
        <v/>
      </c>
      <c r="AT57" s="133" t="str">
        <f>IF($A57&lt;&gt;0,VLOOKUP($A57,'0.Productos'!$A$3:$GG$587,'0.Productos'!CL$1+1,0),"")</f>
        <v/>
      </c>
      <c r="AU57" s="133" t="str">
        <f>IF($A57&lt;&gt;0,VLOOKUP($A57,'0.Productos'!$A$3:$GG$587,'0.Productos'!CM$1+1,0),"")</f>
        <v/>
      </c>
      <c r="AV57" s="133" t="str">
        <f>IF($A57&lt;&gt;0,VLOOKUP($A57,'0.Productos'!$A$3:$GG$587,'0.Productos'!CN$1+1,0),"")</f>
        <v/>
      </c>
      <c r="AW57" s="133" t="str">
        <f>IF($A57&lt;&gt;0,VLOOKUP($A57,'0.Productos'!$A$3:$GG$587,'0.Productos'!CO$1+1,0),"")</f>
        <v/>
      </c>
      <c r="AX57" s="133" t="str">
        <f>IF($A57&lt;&gt;0,VLOOKUP($A57,'0.Productos'!$A$3:$GG$587,'0.Productos'!CP$1+1,0),"")</f>
        <v/>
      </c>
      <c r="AY57" s="133" t="str">
        <f>IF($A57&lt;&gt;0,VLOOKUP($A57,'0.Productos'!$A$3:$GG$587,'0.Productos'!CQ$1+1,0),"")</f>
        <v/>
      </c>
      <c r="AZ57" s="133" t="str">
        <f>IF($A57&lt;&gt;0,VLOOKUP($A57,'0.Productos'!$A$3:$GG$587,'0.Productos'!CR$1+1,0),"")</f>
        <v/>
      </c>
      <c r="BA57" s="133" t="str">
        <f>IF($A57&lt;&gt;0,VLOOKUP($A57,'0.Productos'!$A$3:$GG$587,'0.Productos'!CS$1+1,0),"")</f>
        <v/>
      </c>
      <c r="BB57" s="133" t="str">
        <f>IF($A57&lt;&gt;0,VLOOKUP($A57,'0.Productos'!$A$3:$GG$587,'0.Productos'!CT$1+1,0),"")</f>
        <v/>
      </c>
      <c r="BC57" s="133" t="str">
        <f>IF($A57&lt;&gt;0,VLOOKUP($A57,'0.Productos'!$A$3:$GG$587,'0.Productos'!CU$1+1,0),"")</f>
        <v/>
      </c>
      <c r="BD57" s="133" t="str">
        <f>IF($A57&lt;&gt;0,VLOOKUP($A57,'0.Productos'!$A$3:$GG$587,'0.Productos'!CV$1+1,0),"")</f>
        <v/>
      </c>
      <c r="BE57" s="133" t="str">
        <f>IF($A57&lt;&gt;0,VLOOKUP($A57,'0.Productos'!$A$3:$GG$587,'0.Productos'!CW$1+1,0),"")</f>
        <v/>
      </c>
      <c r="BF57" s="133" t="str">
        <f>IF($A57&lt;&gt;0,VLOOKUP($A57,'0.Productos'!$A$3:$GG$587,'0.Productos'!CX$1+1,0),"")</f>
        <v/>
      </c>
      <c r="BG57" s="133" t="str">
        <f>IF($A57&lt;&gt;0,VLOOKUP($A57,'0.Productos'!$A$3:$GG$587,'0.Productos'!CY$1+1,0),"")</f>
        <v/>
      </c>
      <c r="BH57" s="133" t="str">
        <f>IF($A57&lt;&gt;0,VLOOKUP($A57,'0.Productos'!$A$3:$GG$587,'0.Productos'!CZ$1+1,0),"")</f>
        <v/>
      </c>
      <c r="BI57" s="133" t="str">
        <f>IF($A57&lt;&gt;0,VLOOKUP($A57,'0.Productos'!$A$3:$GG$587,'0.Productos'!DA$1+1,0),"")</f>
        <v/>
      </c>
      <c r="BJ57" s="133" t="str">
        <f>IF($A57&lt;&gt;0,VLOOKUP($A57,'0.Productos'!$A$3:$GG$587,'0.Productos'!DB$1+1,0),"")</f>
        <v/>
      </c>
      <c r="BK57" s="133" t="str">
        <f>IF($A57&lt;&gt;0,VLOOKUP($A57,'0.Productos'!$A$3:$GG$587,'0.Productos'!DC$1+1,0),"")</f>
        <v/>
      </c>
      <c r="BL57" s="133" t="str">
        <f>IF($A57&lt;&gt;0,VLOOKUP($A57,'0.Productos'!$A$3:$GG$587,'0.Productos'!DD$1+1,0),"")</f>
        <v/>
      </c>
      <c r="BM57" s="133" t="str">
        <f>IF($A57&lt;&gt;0,VLOOKUP($A57,'0.Productos'!$A$3:$GG$587,'0.Productos'!DE$1+1,0),"")</f>
        <v/>
      </c>
      <c r="BN57" s="133" t="str">
        <f>IF($A57&lt;&gt;0,VLOOKUP($A57,'0.Productos'!$A$3:$GG$587,'0.Productos'!DF$1+1,0),"")</f>
        <v/>
      </c>
      <c r="BO57" s="133" t="str">
        <f>IF($A57&lt;&gt;0,VLOOKUP($A57,'0.Productos'!$A$3:$GG$587,'0.Productos'!DG$1+1,0),"")</f>
        <v/>
      </c>
      <c r="BP57" s="133" t="str">
        <f>IF($A57&lt;&gt;0,VLOOKUP($A57,'0.Productos'!$A$3:$GG$587,'0.Productos'!DH$1+1,0),"")</f>
        <v/>
      </c>
      <c r="BQ57" s="133" t="str">
        <f>IF($A57&lt;&gt;0,VLOOKUP($A57,'0.Productos'!$A$3:$GG$587,'0.Productos'!DI$1+1,0),"")</f>
        <v/>
      </c>
      <c r="BR57" s="133" t="str">
        <f>IF($A57&lt;&gt;0,VLOOKUP($A57,'0.Productos'!$A$3:$GG$587,'0.Productos'!DJ$1+1,0),"")</f>
        <v/>
      </c>
      <c r="BS57" s="133" t="str">
        <f>IF($A57&lt;&gt;0,VLOOKUP($A57,'0.Productos'!$A$3:$GG$587,'0.Productos'!DK$1+1,0),"")</f>
        <v/>
      </c>
      <c r="BT57" s="133" t="str">
        <f>IF($A57&lt;&gt;0,VLOOKUP($A57,'0.Productos'!$A$3:$GG$587,'0.Productos'!DL$1+1,0),"")</f>
        <v/>
      </c>
    </row>
    <row r="58" spans="1:72" x14ac:dyDescent="0.25">
      <c r="A58" s="17">
        <f>'0.Consolidado general'!A58</f>
        <v>0</v>
      </c>
      <c r="B58" s="133" t="str">
        <f>IF($A58&lt;&gt;0,VLOOKUP($A58,'0.Productos'!$A$3:$GG$587,'0.Productos'!AT$1+1,0),"")</f>
        <v/>
      </c>
      <c r="C58" s="133" t="str">
        <f>IF($A58&lt;&gt;0,VLOOKUP($A58,'0.Productos'!$A$3:$GG$587,'0.Productos'!AU$1+1,0),"")</f>
        <v/>
      </c>
      <c r="D58" s="133" t="str">
        <f>IF($A58&lt;&gt;0,VLOOKUP($A58,'0.Productos'!$A$3:$GG$587,'0.Productos'!AV$1+1,0),"")</f>
        <v/>
      </c>
      <c r="E58" s="133" t="str">
        <f>IF($A58&lt;&gt;0,VLOOKUP($A58,'0.Productos'!$A$3:$GG$587,'0.Productos'!AW$1+1,0),"")</f>
        <v/>
      </c>
      <c r="F58" s="133" t="str">
        <f>IF($A58&lt;&gt;0,VLOOKUP($A58,'0.Productos'!$A$3:$GG$587,'0.Productos'!AX$1+1,0),"")</f>
        <v/>
      </c>
      <c r="G58" s="133" t="str">
        <f>IF($A58&lt;&gt;0,VLOOKUP($A58,'0.Productos'!$A$3:$GG$587,'0.Productos'!AY$1+1,0),"")</f>
        <v/>
      </c>
      <c r="H58" s="133" t="str">
        <f>IF($A58&lt;&gt;0,VLOOKUP($A58,'0.Productos'!$A$3:$GG$587,'0.Productos'!AZ$1+1,0),"")</f>
        <v/>
      </c>
      <c r="I58" s="133" t="str">
        <f>IF($A58&lt;&gt;0,VLOOKUP($A58,'0.Productos'!$A$3:$GG$587,'0.Productos'!BA$1+1,0),"")</f>
        <v/>
      </c>
      <c r="J58" s="133" t="str">
        <f>IF($A58&lt;&gt;0,VLOOKUP($A58,'0.Productos'!$A$3:$GG$587,'0.Productos'!BB$1+1,0),"")</f>
        <v/>
      </c>
      <c r="K58" s="133" t="str">
        <f>IF($A58&lt;&gt;0,VLOOKUP($A58,'0.Productos'!$A$3:$GG$587,'0.Productos'!BC$1+1,0),"")</f>
        <v/>
      </c>
      <c r="L58" s="133" t="str">
        <f>IF($A58&lt;&gt;0,VLOOKUP($A58,'0.Productos'!$A$3:$GG$587,'0.Productos'!BD$1+1,0),"")</f>
        <v/>
      </c>
      <c r="M58" s="133" t="str">
        <f>IF($A58&lt;&gt;0,VLOOKUP($A58,'0.Productos'!$A$3:$GG$587,'0.Productos'!BE$1+1,0),"")</f>
        <v/>
      </c>
      <c r="N58" s="133" t="str">
        <f>IF($A58&lt;&gt;0,VLOOKUP($A58,'0.Productos'!$A$3:$GG$587,'0.Productos'!BF$1+1,0),"")</f>
        <v/>
      </c>
      <c r="O58" s="133" t="str">
        <f>IF($A58&lt;&gt;0,VLOOKUP($A58,'0.Productos'!$A$3:$GG$587,'0.Productos'!BG$1+1,0),"")</f>
        <v/>
      </c>
      <c r="P58" s="133" t="str">
        <f>IF($A58&lt;&gt;0,VLOOKUP($A58,'0.Productos'!$A$3:$GG$587,'0.Productos'!BH$1+1,0),"")</f>
        <v/>
      </c>
      <c r="Q58" s="133" t="str">
        <f>IF($A58&lt;&gt;0,VLOOKUP($A58,'0.Productos'!$A$3:$GG$587,'0.Productos'!BI$1+1,0),"")</f>
        <v/>
      </c>
      <c r="R58" s="133" t="str">
        <f>IF($A58&lt;&gt;0,VLOOKUP($A58,'0.Productos'!$A$3:$GG$587,'0.Productos'!BJ$1+1,0),"")</f>
        <v/>
      </c>
      <c r="S58" s="133" t="str">
        <f>IF($A58&lt;&gt;0,VLOOKUP($A58,'0.Productos'!$A$3:$GG$587,'0.Productos'!BK$1+1,0),"")</f>
        <v/>
      </c>
      <c r="T58" s="133" t="str">
        <f>IF($A58&lt;&gt;0,VLOOKUP($A58,'0.Productos'!$A$3:$GG$587,'0.Productos'!BL$1+1,0),"")</f>
        <v/>
      </c>
      <c r="U58" s="133" t="str">
        <f>IF($A58&lt;&gt;0,VLOOKUP($A58,'0.Productos'!$A$3:$GG$587,'0.Productos'!BM$1+1,0),"")</f>
        <v/>
      </c>
      <c r="V58" s="133" t="str">
        <f>IF($A58&lt;&gt;0,VLOOKUP($A58,'0.Productos'!$A$3:$GG$587,'0.Productos'!BN$1+1,0),"")</f>
        <v/>
      </c>
      <c r="W58" s="133" t="str">
        <f>IF($A58&lt;&gt;0,VLOOKUP($A58,'0.Productos'!$A$3:$GG$587,'0.Productos'!BO$1+1,0),"")</f>
        <v/>
      </c>
      <c r="X58" s="133" t="str">
        <f>IF($A58&lt;&gt;0,VLOOKUP($A58,'0.Productos'!$A$3:$GG$587,'0.Productos'!BP$1+1,0),"")</f>
        <v/>
      </c>
      <c r="Y58" s="133" t="str">
        <f>IF($A58&lt;&gt;0,VLOOKUP($A58,'0.Productos'!$A$3:$GG$587,'0.Productos'!BQ$1+1,0),"")</f>
        <v/>
      </c>
      <c r="Z58" s="133" t="str">
        <f>IF($A58&lt;&gt;0,VLOOKUP($A58,'0.Productos'!$A$3:$GG$587,'0.Productos'!BR$1+1,0),"")</f>
        <v/>
      </c>
      <c r="AA58" s="133" t="str">
        <f>IF($A58&lt;&gt;0,VLOOKUP($A58,'0.Productos'!$A$3:$GG$587,'0.Productos'!BS$1+1,0),"")</f>
        <v/>
      </c>
      <c r="AB58" s="133" t="str">
        <f>IF($A58&lt;&gt;0,VLOOKUP($A58,'0.Productos'!$A$3:$GG$587,'0.Productos'!BT$1+1,0),"")</f>
        <v/>
      </c>
      <c r="AC58" s="133" t="str">
        <f>IF($A58&lt;&gt;0,VLOOKUP($A58,'0.Productos'!$A$3:$GG$587,'0.Productos'!BU$1+1,0),"")</f>
        <v/>
      </c>
      <c r="AD58" s="133" t="str">
        <f>IF($A58&lt;&gt;0,VLOOKUP($A58,'0.Productos'!$A$3:$GG$587,'0.Productos'!BV$1+1,0),"")</f>
        <v/>
      </c>
      <c r="AE58" s="133" t="str">
        <f>IF($A58&lt;&gt;0,VLOOKUP($A58,'0.Productos'!$A$3:$GG$587,'0.Productos'!BW$1+1,0),"")</f>
        <v/>
      </c>
      <c r="AF58" s="133" t="str">
        <f>IF($A58&lt;&gt;0,VLOOKUP($A58,'0.Productos'!$A$3:$GG$587,'0.Productos'!BX$1+1,0),"")</f>
        <v/>
      </c>
      <c r="AG58" s="133" t="str">
        <f>IF($A58&lt;&gt;0,VLOOKUP($A58,'0.Productos'!$A$3:$GG$587,'0.Productos'!BY$1+1,0),"")</f>
        <v/>
      </c>
      <c r="AH58" s="133" t="str">
        <f>IF($A58&lt;&gt;0,VLOOKUP($A58,'0.Productos'!$A$3:$GG$587,'0.Productos'!BZ$1+1,0),"")</f>
        <v/>
      </c>
      <c r="AI58" s="133" t="str">
        <f>IF($A58&lt;&gt;0,VLOOKUP($A58,'0.Productos'!$A$3:$GG$587,'0.Productos'!CA$1+1,0),"")</f>
        <v/>
      </c>
      <c r="AJ58" s="133" t="str">
        <f>IF($A58&lt;&gt;0,VLOOKUP($A58,'0.Productos'!$A$3:$GG$587,'0.Productos'!CB$1+1,0),"")</f>
        <v/>
      </c>
      <c r="AK58" s="133" t="str">
        <f>IF($A58&lt;&gt;0,VLOOKUP($A58,'0.Productos'!$A$3:$GG$587,'0.Productos'!CC$1+1,0),"")</f>
        <v/>
      </c>
      <c r="AL58" s="133" t="str">
        <f>IF($A58&lt;&gt;0,VLOOKUP($A58,'0.Productos'!$A$3:$GG$587,'0.Productos'!CD$1+1,0),"")</f>
        <v/>
      </c>
      <c r="AM58" s="133" t="str">
        <f>IF($A58&lt;&gt;0,VLOOKUP($A58,'0.Productos'!$A$3:$GG$587,'0.Productos'!CE$1+1,0),"")</f>
        <v/>
      </c>
      <c r="AN58" s="133" t="str">
        <f>IF($A58&lt;&gt;0,VLOOKUP($A58,'0.Productos'!$A$3:$GG$587,'0.Productos'!CF$1+1,0),"")</f>
        <v/>
      </c>
      <c r="AO58" s="133" t="str">
        <f>IF($A58&lt;&gt;0,VLOOKUP($A58,'0.Productos'!$A$3:$GG$587,'0.Productos'!CG$1+1,0),"")</f>
        <v/>
      </c>
      <c r="AP58" s="133" t="str">
        <f>IF($A58&lt;&gt;0,VLOOKUP($A58,'0.Productos'!$A$3:$GG$587,'0.Productos'!CH$1+1,0),"")</f>
        <v/>
      </c>
      <c r="AQ58" s="133" t="str">
        <f>IF($A58&lt;&gt;0,VLOOKUP($A58,'0.Productos'!$A$3:$GG$587,'0.Productos'!CI$1+1,0),"")</f>
        <v/>
      </c>
      <c r="AR58" s="133" t="str">
        <f>IF($A58&lt;&gt;0,VLOOKUP($A58,'0.Productos'!$A$3:$GG$587,'0.Productos'!CJ$1+1,0),"")</f>
        <v/>
      </c>
      <c r="AS58" s="133" t="str">
        <f>IF($A58&lt;&gt;0,VLOOKUP($A58,'0.Productos'!$A$3:$GG$587,'0.Productos'!CK$1+1,0),"")</f>
        <v/>
      </c>
      <c r="AT58" s="133" t="str">
        <f>IF($A58&lt;&gt;0,VLOOKUP($A58,'0.Productos'!$A$3:$GG$587,'0.Productos'!CL$1+1,0),"")</f>
        <v/>
      </c>
      <c r="AU58" s="133" t="str">
        <f>IF($A58&lt;&gt;0,VLOOKUP($A58,'0.Productos'!$A$3:$GG$587,'0.Productos'!CM$1+1,0),"")</f>
        <v/>
      </c>
      <c r="AV58" s="133" t="str">
        <f>IF($A58&lt;&gt;0,VLOOKUP($A58,'0.Productos'!$A$3:$GG$587,'0.Productos'!CN$1+1,0),"")</f>
        <v/>
      </c>
      <c r="AW58" s="133" t="str">
        <f>IF($A58&lt;&gt;0,VLOOKUP($A58,'0.Productos'!$A$3:$GG$587,'0.Productos'!CO$1+1,0),"")</f>
        <v/>
      </c>
      <c r="AX58" s="133" t="str">
        <f>IF($A58&lt;&gt;0,VLOOKUP($A58,'0.Productos'!$A$3:$GG$587,'0.Productos'!CP$1+1,0),"")</f>
        <v/>
      </c>
      <c r="AY58" s="133" t="str">
        <f>IF($A58&lt;&gt;0,VLOOKUP($A58,'0.Productos'!$A$3:$GG$587,'0.Productos'!CQ$1+1,0),"")</f>
        <v/>
      </c>
      <c r="AZ58" s="133" t="str">
        <f>IF($A58&lt;&gt;0,VLOOKUP($A58,'0.Productos'!$A$3:$GG$587,'0.Productos'!CR$1+1,0),"")</f>
        <v/>
      </c>
      <c r="BA58" s="133" t="str">
        <f>IF($A58&lt;&gt;0,VLOOKUP($A58,'0.Productos'!$A$3:$GG$587,'0.Productos'!CS$1+1,0),"")</f>
        <v/>
      </c>
      <c r="BB58" s="133" t="str">
        <f>IF($A58&lt;&gt;0,VLOOKUP($A58,'0.Productos'!$A$3:$GG$587,'0.Productos'!CT$1+1,0),"")</f>
        <v/>
      </c>
      <c r="BC58" s="133" t="str">
        <f>IF($A58&lt;&gt;0,VLOOKUP($A58,'0.Productos'!$A$3:$GG$587,'0.Productos'!CU$1+1,0),"")</f>
        <v/>
      </c>
      <c r="BD58" s="133" t="str">
        <f>IF($A58&lt;&gt;0,VLOOKUP($A58,'0.Productos'!$A$3:$GG$587,'0.Productos'!CV$1+1,0),"")</f>
        <v/>
      </c>
      <c r="BE58" s="133" t="str">
        <f>IF($A58&lt;&gt;0,VLOOKUP($A58,'0.Productos'!$A$3:$GG$587,'0.Productos'!CW$1+1,0),"")</f>
        <v/>
      </c>
      <c r="BF58" s="133" t="str">
        <f>IF($A58&lt;&gt;0,VLOOKUP($A58,'0.Productos'!$A$3:$GG$587,'0.Productos'!CX$1+1,0),"")</f>
        <v/>
      </c>
      <c r="BG58" s="133" t="str">
        <f>IF($A58&lt;&gt;0,VLOOKUP($A58,'0.Productos'!$A$3:$GG$587,'0.Productos'!CY$1+1,0),"")</f>
        <v/>
      </c>
      <c r="BH58" s="133" t="str">
        <f>IF($A58&lt;&gt;0,VLOOKUP($A58,'0.Productos'!$A$3:$GG$587,'0.Productos'!CZ$1+1,0),"")</f>
        <v/>
      </c>
      <c r="BI58" s="133" t="str">
        <f>IF($A58&lt;&gt;0,VLOOKUP($A58,'0.Productos'!$A$3:$GG$587,'0.Productos'!DA$1+1,0),"")</f>
        <v/>
      </c>
      <c r="BJ58" s="133" t="str">
        <f>IF($A58&lt;&gt;0,VLOOKUP($A58,'0.Productos'!$A$3:$GG$587,'0.Productos'!DB$1+1,0),"")</f>
        <v/>
      </c>
      <c r="BK58" s="133" t="str">
        <f>IF($A58&lt;&gt;0,VLOOKUP($A58,'0.Productos'!$A$3:$GG$587,'0.Productos'!DC$1+1,0),"")</f>
        <v/>
      </c>
      <c r="BL58" s="133" t="str">
        <f>IF($A58&lt;&gt;0,VLOOKUP($A58,'0.Productos'!$A$3:$GG$587,'0.Productos'!DD$1+1,0),"")</f>
        <v/>
      </c>
      <c r="BM58" s="133" t="str">
        <f>IF($A58&lt;&gt;0,VLOOKUP($A58,'0.Productos'!$A$3:$GG$587,'0.Productos'!DE$1+1,0),"")</f>
        <v/>
      </c>
      <c r="BN58" s="133" t="str">
        <f>IF($A58&lt;&gt;0,VLOOKUP($A58,'0.Productos'!$A$3:$GG$587,'0.Productos'!DF$1+1,0),"")</f>
        <v/>
      </c>
      <c r="BO58" s="133" t="str">
        <f>IF($A58&lt;&gt;0,VLOOKUP($A58,'0.Productos'!$A$3:$GG$587,'0.Productos'!DG$1+1,0),"")</f>
        <v/>
      </c>
      <c r="BP58" s="133" t="str">
        <f>IF($A58&lt;&gt;0,VLOOKUP($A58,'0.Productos'!$A$3:$GG$587,'0.Productos'!DH$1+1,0),"")</f>
        <v/>
      </c>
      <c r="BQ58" s="133" t="str">
        <f>IF($A58&lt;&gt;0,VLOOKUP($A58,'0.Productos'!$A$3:$GG$587,'0.Productos'!DI$1+1,0),"")</f>
        <v/>
      </c>
      <c r="BR58" s="133" t="str">
        <f>IF($A58&lt;&gt;0,VLOOKUP($A58,'0.Productos'!$A$3:$GG$587,'0.Productos'!DJ$1+1,0),"")</f>
        <v/>
      </c>
      <c r="BS58" s="133" t="str">
        <f>IF($A58&lt;&gt;0,VLOOKUP($A58,'0.Productos'!$A$3:$GG$587,'0.Productos'!DK$1+1,0),"")</f>
        <v/>
      </c>
      <c r="BT58" s="133" t="str">
        <f>IF($A58&lt;&gt;0,VLOOKUP($A58,'0.Productos'!$A$3:$GG$587,'0.Productos'!DL$1+1,0),"")</f>
        <v/>
      </c>
    </row>
    <row r="59" spans="1:72" x14ac:dyDescent="0.25">
      <c r="A59" s="17">
        <f>'0.Consolidado general'!A59</f>
        <v>0</v>
      </c>
      <c r="B59" s="133" t="str">
        <f>IF($A59&lt;&gt;0,VLOOKUP($A59,'0.Productos'!$A$3:$GG$587,'0.Productos'!AT$1+1,0),"")</f>
        <v/>
      </c>
      <c r="C59" s="133" t="str">
        <f>IF($A59&lt;&gt;0,VLOOKUP($A59,'0.Productos'!$A$3:$GG$587,'0.Productos'!AU$1+1,0),"")</f>
        <v/>
      </c>
      <c r="D59" s="133" t="str">
        <f>IF($A59&lt;&gt;0,VLOOKUP($A59,'0.Productos'!$A$3:$GG$587,'0.Productos'!AV$1+1,0),"")</f>
        <v/>
      </c>
      <c r="E59" s="133" t="str">
        <f>IF($A59&lt;&gt;0,VLOOKUP($A59,'0.Productos'!$A$3:$GG$587,'0.Productos'!AW$1+1,0),"")</f>
        <v/>
      </c>
      <c r="F59" s="133" t="str">
        <f>IF($A59&lt;&gt;0,VLOOKUP($A59,'0.Productos'!$A$3:$GG$587,'0.Productos'!AX$1+1,0),"")</f>
        <v/>
      </c>
      <c r="G59" s="133" t="str">
        <f>IF($A59&lt;&gt;0,VLOOKUP($A59,'0.Productos'!$A$3:$GG$587,'0.Productos'!AY$1+1,0),"")</f>
        <v/>
      </c>
      <c r="H59" s="133" t="str">
        <f>IF($A59&lt;&gt;0,VLOOKUP($A59,'0.Productos'!$A$3:$GG$587,'0.Productos'!AZ$1+1,0),"")</f>
        <v/>
      </c>
      <c r="I59" s="133" t="str">
        <f>IF($A59&lt;&gt;0,VLOOKUP($A59,'0.Productos'!$A$3:$GG$587,'0.Productos'!BA$1+1,0),"")</f>
        <v/>
      </c>
      <c r="J59" s="133" t="str">
        <f>IF($A59&lt;&gt;0,VLOOKUP($A59,'0.Productos'!$A$3:$GG$587,'0.Productos'!BB$1+1,0),"")</f>
        <v/>
      </c>
      <c r="K59" s="133" t="str">
        <f>IF($A59&lt;&gt;0,VLOOKUP($A59,'0.Productos'!$A$3:$GG$587,'0.Productos'!BC$1+1,0),"")</f>
        <v/>
      </c>
      <c r="L59" s="133" t="str">
        <f>IF($A59&lt;&gt;0,VLOOKUP($A59,'0.Productos'!$A$3:$GG$587,'0.Productos'!BD$1+1,0),"")</f>
        <v/>
      </c>
      <c r="M59" s="133" t="str">
        <f>IF($A59&lt;&gt;0,VLOOKUP($A59,'0.Productos'!$A$3:$GG$587,'0.Productos'!BE$1+1,0),"")</f>
        <v/>
      </c>
      <c r="N59" s="133" t="str">
        <f>IF($A59&lt;&gt;0,VLOOKUP($A59,'0.Productos'!$A$3:$GG$587,'0.Productos'!BF$1+1,0),"")</f>
        <v/>
      </c>
      <c r="O59" s="133" t="str">
        <f>IF($A59&lt;&gt;0,VLOOKUP($A59,'0.Productos'!$A$3:$GG$587,'0.Productos'!BG$1+1,0),"")</f>
        <v/>
      </c>
      <c r="P59" s="133" t="str">
        <f>IF($A59&lt;&gt;0,VLOOKUP($A59,'0.Productos'!$A$3:$GG$587,'0.Productos'!BH$1+1,0),"")</f>
        <v/>
      </c>
      <c r="Q59" s="133" t="str">
        <f>IF($A59&lt;&gt;0,VLOOKUP($A59,'0.Productos'!$A$3:$GG$587,'0.Productos'!BI$1+1,0),"")</f>
        <v/>
      </c>
      <c r="R59" s="133" t="str">
        <f>IF($A59&lt;&gt;0,VLOOKUP($A59,'0.Productos'!$A$3:$GG$587,'0.Productos'!BJ$1+1,0),"")</f>
        <v/>
      </c>
      <c r="S59" s="133" t="str">
        <f>IF($A59&lt;&gt;0,VLOOKUP($A59,'0.Productos'!$A$3:$GG$587,'0.Productos'!BK$1+1,0),"")</f>
        <v/>
      </c>
      <c r="T59" s="133" t="str">
        <f>IF($A59&lt;&gt;0,VLOOKUP($A59,'0.Productos'!$A$3:$GG$587,'0.Productos'!BL$1+1,0),"")</f>
        <v/>
      </c>
      <c r="U59" s="133" t="str">
        <f>IF($A59&lt;&gt;0,VLOOKUP($A59,'0.Productos'!$A$3:$GG$587,'0.Productos'!BM$1+1,0),"")</f>
        <v/>
      </c>
      <c r="V59" s="133" t="str">
        <f>IF($A59&lt;&gt;0,VLOOKUP($A59,'0.Productos'!$A$3:$GG$587,'0.Productos'!BN$1+1,0),"")</f>
        <v/>
      </c>
      <c r="W59" s="133" t="str">
        <f>IF($A59&lt;&gt;0,VLOOKUP($A59,'0.Productos'!$A$3:$GG$587,'0.Productos'!BO$1+1,0),"")</f>
        <v/>
      </c>
      <c r="X59" s="133" t="str">
        <f>IF($A59&lt;&gt;0,VLOOKUP($A59,'0.Productos'!$A$3:$GG$587,'0.Productos'!BP$1+1,0),"")</f>
        <v/>
      </c>
      <c r="Y59" s="133" t="str">
        <f>IF($A59&lt;&gt;0,VLOOKUP($A59,'0.Productos'!$A$3:$GG$587,'0.Productos'!BQ$1+1,0),"")</f>
        <v/>
      </c>
      <c r="Z59" s="133" t="str">
        <f>IF($A59&lt;&gt;0,VLOOKUP($A59,'0.Productos'!$A$3:$GG$587,'0.Productos'!BR$1+1,0),"")</f>
        <v/>
      </c>
      <c r="AA59" s="133" t="str">
        <f>IF($A59&lt;&gt;0,VLOOKUP($A59,'0.Productos'!$A$3:$GG$587,'0.Productos'!BS$1+1,0),"")</f>
        <v/>
      </c>
      <c r="AB59" s="133" t="str">
        <f>IF($A59&lt;&gt;0,VLOOKUP($A59,'0.Productos'!$A$3:$GG$587,'0.Productos'!BT$1+1,0),"")</f>
        <v/>
      </c>
      <c r="AC59" s="133" t="str">
        <f>IF($A59&lt;&gt;0,VLOOKUP($A59,'0.Productos'!$A$3:$GG$587,'0.Productos'!BU$1+1,0),"")</f>
        <v/>
      </c>
      <c r="AD59" s="133" t="str">
        <f>IF($A59&lt;&gt;0,VLOOKUP($A59,'0.Productos'!$A$3:$GG$587,'0.Productos'!BV$1+1,0),"")</f>
        <v/>
      </c>
      <c r="AE59" s="133" t="str">
        <f>IF($A59&lt;&gt;0,VLOOKUP($A59,'0.Productos'!$A$3:$GG$587,'0.Productos'!BW$1+1,0),"")</f>
        <v/>
      </c>
      <c r="AF59" s="133" t="str">
        <f>IF($A59&lt;&gt;0,VLOOKUP($A59,'0.Productos'!$A$3:$GG$587,'0.Productos'!BX$1+1,0),"")</f>
        <v/>
      </c>
      <c r="AG59" s="133" t="str">
        <f>IF($A59&lt;&gt;0,VLOOKUP($A59,'0.Productos'!$A$3:$GG$587,'0.Productos'!BY$1+1,0),"")</f>
        <v/>
      </c>
      <c r="AH59" s="133" t="str">
        <f>IF($A59&lt;&gt;0,VLOOKUP($A59,'0.Productos'!$A$3:$GG$587,'0.Productos'!BZ$1+1,0),"")</f>
        <v/>
      </c>
      <c r="AI59" s="133" t="str">
        <f>IF($A59&lt;&gt;0,VLOOKUP($A59,'0.Productos'!$A$3:$GG$587,'0.Productos'!CA$1+1,0),"")</f>
        <v/>
      </c>
      <c r="AJ59" s="133" t="str">
        <f>IF($A59&lt;&gt;0,VLOOKUP($A59,'0.Productos'!$A$3:$GG$587,'0.Productos'!CB$1+1,0),"")</f>
        <v/>
      </c>
      <c r="AK59" s="133" t="str">
        <f>IF($A59&lt;&gt;0,VLOOKUP($A59,'0.Productos'!$A$3:$GG$587,'0.Productos'!CC$1+1,0),"")</f>
        <v/>
      </c>
      <c r="AL59" s="133" t="str">
        <f>IF($A59&lt;&gt;0,VLOOKUP($A59,'0.Productos'!$A$3:$GG$587,'0.Productos'!CD$1+1,0),"")</f>
        <v/>
      </c>
      <c r="AM59" s="133" t="str">
        <f>IF($A59&lt;&gt;0,VLOOKUP($A59,'0.Productos'!$A$3:$GG$587,'0.Productos'!CE$1+1,0),"")</f>
        <v/>
      </c>
      <c r="AN59" s="133" t="str">
        <f>IF($A59&lt;&gt;0,VLOOKUP($A59,'0.Productos'!$A$3:$GG$587,'0.Productos'!CF$1+1,0),"")</f>
        <v/>
      </c>
      <c r="AO59" s="133" t="str">
        <f>IF($A59&lt;&gt;0,VLOOKUP($A59,'0.Productos'!$A$3:$GG$587,'0.Productos'!CG$1+1,0),"")</f>
        <v/>
      </c>
      <c r="AP59" s="133" t="str">
        <f>IF($A59&lt;&gt;0,VLOOKUP($A59,'0.Productos'!$A$3:$GG$587,'0.Productos'!CH$1+1,0),"")</f>
        <v/>
      </c>
      <c r="AQ59" s="133" t="str">
        <f>IF($A59&lt;&gt;0,VLOOKUP($A59,'0.Productos'!$A$3:$GG$587,'0.Productos'!CI$1+1,0),"")</f>
        <v/>
      </c>
      <c r="AR59" s="133" t="str">
        <f>IF($A59&lt;&gt;0,VLOOKUP($A59,'0.Productos'!$A$3:$GG$587,'0.Productos'!CJ$1+1,0),"")</f>
        <v/>
      </c>
      <c r="AS59" s="133" t="str">
        <f>IF($A59&lt;&gt;0,VLOOKUP($A59,'0.Productos'!$A$3:$GG$587,'0.Productos'!CK$1+1,0),"")</f>
        <v/>
      </c>
      <c r="AT59" s="133" t="str">
        <f>IF($A59&lt;&gt;0,VLOOKUP($A59,'0.Productos'!$A$3:$GG$587,'0.Productos'!CL$1+1,0),"")</f>
        <v/>
      </c>
      <c r="AU59" s="133" t="str">
        <f>IF($A59&lt;&gt;0,VLOOKUP($A59,'0.Productos'!$A$3:$GG$587,'0.Productos'!CM$1+1,0),"")</f>
        <v/>
      </c>
      <c r="AV59" s="133" t="str">
        <f>IF($A59&lt;&gt;0,VLOOKUP($A59,'0.Productos'!$A$3:$GG$587,'0.Productos'!CN$1+1,0),"")</f>
        <v/>
      </c>
      <c r="AW59" s="133" t="str">
        <f>IF($A59&lt;&gt;0,VLOOKUP($A59,'0.Productos'!$A$3:$GG$587,'0.Productos'!CO$1+1,0),"")</f>
        <v/>
      </c>
      <c r="AX59" s="133" t="str">
        <f>IF($A59&lt;&gt;0,VLOOKUP($A59,'0.Productos'!$A$3:$GG$587,'0.Productos'!CP$1+1,0),"")</f>
        <v/>
      </c>
      <c r="AY59" s="133" t="str">
        <f>IF($A59&lt;&gt;0,VLOOKUP($A59,'0.Productos'!$A$3:$GG$587,'0.Productos'!CQ$1+1,0),"")</f>
        <v/>
      </c>
      <c r="AZ59" s="133" t="str">
        <f>IF($A59&lt;&gt;0,VLOOKUP($A59,'0.Productos'!$A$3:$GG$587,'0.Productos'!CR$1+1,0),"")</f>
        <v/>
      </c>
      <c r="BA59" s="133" t="str">
        <f>IF($A59&lt;&gt;0,VLOOKUP($A59,'0.Productos'!$A$3:$GG$587,'0.Productos'!CS$1+1,0),"")</f>
        <v/>
      </c>
      <c r="BB59" s="133" t="str">
        <f>IF($A59&lt;&gt;0,VLOOKUP($A59,'0.Productos'!$A$3:$GG$587,'0.Productos'!CT$1+1,0),"")</f>
        <v/>
      </c>
      <c r="BC59" s="133" t="str">
        <f>IF($A59&lt;&gt;0,VLOOKUP($A59,'0.Productos'!$A$3:$GG$587,'0.Productos'!CU$1+1,0),"")</f>
        <v/>
      </c>
      <c r="BD59" s="133" t="str">
        <f>IF($A59&lt;&gt;0,VLOOKUP($A59,'0.Productos'!$A$3:$GG$587,'0.Productos'!CV$1+1,0),"")</f>
        <v/>
      </c>
      <c r="BE59" s="133" t="str">
        <f>IF($A59&lt;&gt;0,VLOOKUP($A59,'0.Productos'!$A$3:$GG$587,'0.Productos'!CW$1+1,0),"")</f>
        <v/>
      </c>
      <c r="BF59" s="133" t="str">
        <f>IF($A59&lt;&gt;0,VLOOKUP($A59,'0.Productos'!$A$3:$GG$587,'0.Productos'!CX$1+1,0),"")</f>
        <v/>
      </c>
      <c r="BG59" s="133" t="str">
        <f>IF($A59&lt;&gt;0,VLOOKUP($A59,'0.Productos'!$A$3:$GG$587,'0.Productos'!CY$1+1,0),"")</f>
        <v/>
      </c>
      <c r="BH59" s="133" t="str">
        <f>IF($A59&lt;&gt;0,VLOOKUP($A59,'0.Productos'!$A$3:$GG$587,'0.Productos'!CZ$1+1,0),"")</f>
        <v/>
      </c>
      <c r="BI59" s="133" t="str">
        <f>IF($A59&lt;&gt;0,VLOOKUP($A59,'0.Productos'!$A$3:$GG$587,'0.Productos'!DA$1+1,0),"")</f>
        <v/>
      </c>
      <c r="BJ59" s="133" t="str">
        <f>IF($A59&lt;&gt;0,VLOOKUP($A59,'0.Productos'!$A$3:$GG$587,'0.Productos'!DB$1+1,0),"")</f>
        <v/>
      </c>
      <c r="BK59" s="133" t="str">
        <f>IF($A59&lt;&gt;0,VLOOKUP($A59,'0.Productos'!$A$3:$GG$587,'0.Productos'!DC$1+1,0),"")</f>
        <v/>
      </c>
      <c r="BL59" s="133" t="str">
        <f>IF($A59&lt;&gt;0,VLOOKUP($A59,'0.Productos'!$A$3:$GG$587,'0.Productos'!DD$1+1,0),"")</f>
        <v/>
      </c>
      <c r="BM59" s="133" t="str">
        <f>IF($A59&lt;&gt;0,VLOOKUP($A59,'0.Productos'!$A$3:$GG$587,'0.Productos'!DE$1+1,0),"")</f>
        <v/>
      </c>
      <c r="BN59" s="133" t="str">
        <f>IF($A59&lt;&gt;0,VLOOKUP($A59,'0.Productos'!$A$3:$GG$587,'0.Productos'!DF$1+1,0),"")</f>
        <v/>
      </c>
      <c r="BO59" s="133" t="str">
        <f>IF($A59&lt;&gt;0,VLOOKUP($A59,'0.Productos'!$A$3:$GG$587,'0.Productos'!DG$1+1,0),"")</f>
        <v/>
      </c>
      <c r="BP59" s="133" t="str">
        <f>IF($A59&lt;&gt;0,VLOOKUP($A59,'0.Productos'!$A$3:$GG$587,'0.Productos'!DH$1+1,0),"")</f>
        <v/>
      </c>
      <c r="BQ59" s="133" t="str">
        <f>IF($A59&lt;&gt;0,VLOOKUP($A59,'0.Productos'!$A$3:$GG$587,'0.Productos'!DI$1+1,0),"")</f>
        <v/>
      </c>
      <c r="BR59" s="133" t="str">
        <f>IF($A59&lt;&gt;0,VLOOKUP($A59,'0.Productos'!$A$3:$GG$587,'0.Productos'!DJ$1+1,0),"")</f>
        <v/>
      </c>
      <c r="BS59" s="133" t="str">
        <f>IF($A59&lt;&gt;0,VLOOKUP($A59,'0.Productos'!$A$3:$GG$587,'0.Productos'!DK$1+1,0),"")</f>
        <v/>
      </c>
      <c r="BT59" s="133" t="str">
        <f>IF($A59&lt;&gt;0,VLOOKUP($A59,'0.Productos'!$A$3:$GG$587,'0.Productos'!DL$1+1,0),"")</f>
        <v/>
      </c>
    </row>
    <row r="60" spans="1:72" x14ac:dyDescent="0.25">
      <c r="A60" s="17">
        <f>'0.Consolidado general'!A60</f>
        <v>0</v>
      </c>
      <c r="B60" s="133" t="str">
        <f>IF($A60&lt;&gt;0,VLOOKUP($A60,'0.Productos'!$A$3:$GG$587,'0.Productos'!AT$1+1,0),"")</f>
        <v/>
      </c>
      <c r="C60" s="133" t="str">
        <f>IF($A60&lt;&gt;0,VLOOKUP($A60,'0.Productos'!$A$3:$GG$587,'0.Productos'!AU$1+1,0),"")</f>
        <v/>
      </c>
      <c r="D60" s="133" t="str">
        <f>IF($A60&lt;&gt;0,VLOOKUP($A60,'0.Productos'!$A$3:$GG$587,'0.Productos'!AV$1+1,0),"")</f>
        <v/>
      </c>
      <c r="E60" s="133" t="str">
        <f>IF($A60&lt;&gt;0,VLOOKUP($A60,'0.Productos'!$A$3:$GG$587,'0.Productos'!AW$1+1,0),"")</f>
        <v/>
      </c>
      <c r="F60" s="133" t="str">
        <f>IF($A60&lt;&gt;0,VLOOKUP($A60,'0.Productos'!$A$3:$GG$587,'0.Productos'!AX$1+1,0),"")</f>
        <v/>
      </c>
      <c r="G60" s="133" t="str">
        <f>IF($A60&lt;&gt;0,VLOOKUP($A60,'0.Productos'!$A$3:$GG$587,'0.Productos'!AY$1+1,0),"")</f>
        <v/>
      </c>
      <c r="H60" s="133" t="str">
        <f>IF($A60&lt;&gt;0,VLOOKUP($A60,'0.Productos'!$A$3:$GG$587,'0.Productos'!AZ$1+1,0),"")</f>
        <v/>
      </c>
      <c r="I60" s="133" t="str">
        <f>IF($A60&lt;&gt;0,VLOOKUP($A60,'0.Productos'!$A$3:$GG$587,'0.Productos'!BA$1+1,0),"")</f>
        <v/>
      </c>
      <c r="J60" s="133" t="str">
        <f>IF($A60&lt;&gt;0,VLOOKUP($A60,'0.Productos'!$A$3:$GG$587,'0.Productos'!BB$1+1,0),"")</f>
        <v/>
      </c>
      <c r="K60" s="133" t="str">
        <f>IF($A60&lt;&gt;0,VLOOKUP($A60,'0.Productos'!$A$3:$GG$587,'0.Productos'!BC$1+1,0),"")</f>
        <v/>
      </c>
      <c r="L60" s="133" t="str">
        <f>IF($A60&lt;&gt;0,VLOOKUP($A60,'0.Productos'!$A$3:$GG$587,'0.Productos'!BD$1+1,0),"")</f>
        <v/>
      </c>
      <c r="M60" s="133" t="str">
        <f>IF($A60&lt;&gt;0,VLOOKUP($A60,'0.Productos'!$A$3:$GG$587,'0.Productos'!BE$1+1,0),"")</f>
        <v/>
      </c>
      <c r="N60" s="133" t="str">
        <f>IF($A60&lt;&gt;0,VLOOKUP($A60,'0.Productos'!$A$3:$GG$587,'0.Productos'!BF$1+1,0),"")</f>
        <v/>
      </c>
      <c r="O60" s="133" t="str">
        <f>IF($A60&lt;&gt;0,VLOOKUP($A60,'0.Productos'!$A$3:$GG$587,'0.Productos'!BG$1+1,0),"")</f>
        <v/>
      </c>
      <c r="P60" s="133" t="str">
        <f>IF($A60&lt;&gt;0,VLOOKUP($A60,'0.Productos'!$A$3:$GG$587,'0.Productos'!BH$1+1,0),"")</f>
        <v/>
      </c>
      <c r="Q60" s="133" t="str">
        <f>IF($A60&lt;&gt;0,VLOOKUP($A60,'0.Productos'!$A$3:$GG$587,'0.Productos'!BI$1+1,0),"")</f>
        <v/>
      </c>
      <c r="R60" s="133" t="str">
        <f>IF($A60&lt;&gt;0,VLOOKUP($A60,'0.Productos'!$A$3:$GG$587,'0.Productos'!BJ$1+1,0),"")</f>
        <v/>
      </c>
      <c r="S60" s="133" t="str">
        <f>IF($A60&lt;&gt;0,VLOOKUP($A60,'0.Productos'!$A$3:$GG$587,'0.Productos'!BK$1+1,0),"")</f>
        <v/>
      </c>
      <c r="T60" s="133" t="str">
        <f>IF($A60&lt;&gt;0,VLOOKUP($A60,'0.Productos'!$A$3:$GG$587,'0.Productos'!BL$1+1,0),"")</f>
        <v/>
      </c>
      <c r="U60" s="133" t="str">
        <f>IF($A60&lt;&gt;0,VLOOKUP($A60,'0.Productos'!$A$3:$GG$587,'0.Productos'!BM$1+1,0),"")</f>
        <v/>
      </c>
      <c r="V60" s="133" t="str">
        <f>IF($A60&lt;&gt;0,VLOOKUP($A60,'0.Productos'!$A$3:$GG$587,'0.Productos'!BN$1+1,0),"")</f>
        <v/>
      </c>
      <c r="W60" s="133" t="str">
        <f>IF($A60&lt;&gt;0,VLOOKUP($A60,'0.Productos'!$A$3:$GG$587,'0.Productos'!BO$1+1,0),"")</f>
        <v/>
      </c>
      <c r="X60" s="133" t="str">
        <f>IF($A60&lt;&gt;0,VLOOKUP($A60,'0.Productos'!$A$3:$GG$587,'0.Productos'!BP$1+1,0),"")</f>
        <v/>
      </c>
      <c r="Y60" s="133" t="str">
        <f>IF($A60&lt;&gt;0,VLOOKUP($A60,'0.Productos'!$A$3:$GG$587,'0.Productos'!BQ$1+1,0),"")</f>
        <v/>
      </c>
      <c r="Z60" s="133" t="str">
        <f>IF($A60&lt;&gt;0,VLOOKUP($A60,'0.Productos'!$A$3:$GG$587,'0.Productos'!BR$1+1,0),"")</f>
        <v/>
      </c>
      <c r="AA60" s="133" t="str">
        <f>IF($A60&lt;&gt;0,VLOOKUP($A60,'0.Productos'!$A$3:$GG$587,'0.Productos'!BS$1+1,0),"")</f>
        <v/>
      </c>
      <c r="AB60" s="133" t="str">
        <f>IF($A60&lt;&gt;0,VLOOKUP($A60,'0.Productos'!$A$3:$GG$587,'0.Productos'!BT$1+1,0),"")</f>
        <v/>
      </c>
      <c r="AC60" s="133" t="str">
        <f>IF($A60&lt;&gt;0,VLOOKUP($A60,'0.Productos'!$A$3:$GG$587,'0.Productos'!BU$1+1,0),"")</f>
        <v/>
      </c>
      <c r="AD60" s="133" t="str">
        <f>IF($A60&lt;&gt;0,VLOOKUP($A60,'0.Productos'!$A$3:$GG$587,'0.Productos'!BV$1+1,0),"")</f>
        <v/>
      </c>
      <c r="AE60" s="133" t="str">
        <f>IF($A60&lt;&gt;0,VLOOKUP($A60,'0.Productos'!$A$3:$GG$587,'0.Productos'!BW$1+1,0),"")</f>
        <v/>
      </c>
      <c r="AF60" s="133" t="str">
        <f>IF($A60&lt;&gt;0,VLOOKUP($A60,'0.Productos'!$A$3:$GG$587,'0.Productos'!BX$1+1,0),"")</f>
        <v/>
      </c>
      <c r="AG60" s="133" t="str">
        <f>IF($A60&lt;&gt;0,VLOOKUP($A60,'0.Productos'!$A$3:$GG$587,'0.Productos'!BY$1+1,0),"")</f>
        <v/>
      </c>
      <c r="AH60" s="133" t="str">
        <f>IF($A60&lt;&gt;0,VLOOKUP($A60,'0.Productos'!$A$3:$GG$587,'0.Productos'!BZ$1+1,0),"")</f>
        <v/>
      </c>
      <c r="AI60" s="133" t="str">
        <f>IF($A60&lt;&gt;0,VLOOKUP($A60,'0.Productos'!$A$3:$GG$587,'0.Productos'!CA$1+1,0),"")</f>
        <v/>
      </c>
      <c r="AJ60" s="133" t="str">
        <f>IF($A60&lt;&gt;0,VLOOKUP($A60,'0.Productos'!$A$3:$GG$587,'0.Productos'!CB$1+1,0),"")</f>
        <v/>
      </c>
      <c r="AK60" s="133" t="str">
        <f>IF($A60&lt;&gt;0,VLOOKUP($A60,'0.Productos'!$A$3:$GG$587,'0.Productos'!CC$1+1,0),"")</f>
        <v/>
      </c>
      <c r="AL60" s="133" t="str">
        <f>IF($A60&lt;&gt;0,VLOOKUP($A60,'0.Productos'!$A$3:$GG$587,'0.Productos'!CD$1+1,0),"")</f>
        <v/>
      </c>
      <c r="AM60" s="133" t="str">
        <f>IF($A60&lt;&gt;0,VLOOKUP($A60,'0.Productos'!$A$3:$GG$587,'0.Productos'!CE$1+1,0),"")</f>
        <v/>
      </c>
      <c r="AN60" s="133" t="str">
        <f>IF($A60&lt;&gt;0,VLOOKUP($A60,'0.Productos'!$A$3:$GG$587,'0.Productos'!CF$1+1,0),"")</f>
        <v/>
      </c>
      <c r="AO60" s="133" t="str">
        <f>IF($A60&lt;&gt;0,VLOOKUP($A60,'0.Productos'!$A$3:$GG$587,'0.Productos'!CG$1+1,0),"")</f>
        <v/>
      </c>
      <c r="AP60" s="133" t="str">
        <f>IF($A60&lt;&gt;0,VLOOKUP($A60,'0.Productos'!$A$3:$GG$587,'0.Productos'!CH$1+1,0),"")</f>
        <v/>
      </c>
      <c r="AQ60" s="133" t="str">
        <f>IF($A60&lt;&gt;0,VLOOKUP($A60,'0.Productos'!$A$3:$GG$587,'0.Productos'!CI$1+1,0),"")</f>
        <v/>
      </c>
      <c r="AR60" s="133" t="str">
        <f>IF($A60&lt;&gt;0,VLOOKUP($A60,'0.Productos'!$A$3:$GG$587,'0.Productos'!CJ$1+1,0),"")</f>
        <v/>
      </c>
      <c r="AS60" s="133" t="str">
        <f>IF($A60&lt;&gt;0,VLOOKUP($A60,'0.Productos'!$A$3:$GG$587,'0.Productos'!CK$1+1,0),"")</f>
        <v/>
      </c>
      <c r="AT60" s="133" t="str">
        <f>IF($A60&lt;&gt;0,VLOOKUP($A60,'0.Productos'!$A$3:$GG$587,'0.Productos'!CL$1+1,0),"")</f>
        <v/>
      </c>
      <c r="AU60" s="133" t="str">
        <f>IF($A60&lt;&gt;0,VLOOKUP($A60,'0.Productos'!$A$3:$GG$587,'0.Productos'!CM$1+1,0),"")</f>
        <v/>
      </c>
      <c r="AV60" s="133" t="str">
        <f>IF($A60&lt;&gt;0,VLOOKUP($A60,'0.Productos'!$A$3:$GG$587,'0.Productos'!CN$1+1,0),"")</f>
        <v/>
      </c>
      <c r="AW60" s="133" t="str">
        <f>IF($A60&lt;&gt;0,VLOOKUP($A60,'0.Productos'!$A$3:$GG$587,'0.Productos'!CO$1+1,0),"")</f>
        <v/>
      </c>
      <c r="AX60" s="133" t="str">
        <f>IF($A60&lt;&gt;0,VLOOKUP($A60,'0.Productos'!$A$3:$GG$587,'0.Productos'!CP$1+1,0),"")</f>
        <v/>
      </c>
      <c r="AY60" s="133" t="str">
        <f>IF($A60&lt;&gt;0,VLOOKUP($A60,'0.Productos'!$A$3:$GG$587,'0.Productos'!CQ$1+1,0),"")</f>
        <v/>
      </c>
      <c r="AZ60" s="133" t="str">
        <f>IF($A60&lt;&gt;0,VLOOKUP($A60,'0.Productos'!$A$3:$GG$587,'0.Productos'!CR$1+1,0),"")</f>
        <v/>
      </c>
      <c r="BA60" s="133" t="str">
        <f>IF($A60&lt;&gt;0,VLOOKUP($A60,'0.Productos'!$A$3:$GG$587,'0.Productos'!CS$1+1,0),"")</f>
        <v/>
      </c>
      <c r="BB60" s="133" t="str">
        <f>IF($A60&lt;&gt;0,VLOOKUP($A60,'0.Productos'!$A$3:$GG$587,'0.Productos'!CT$1+1,0),"")</f>
        <v/>
      </c>
      <c r="BC60" s="133" t="str">
        <f>IF($A60&lt;&gt;0,VLOOKUP($A60,'0.Productos'!$A$3:$GG$587,'0.Productos'!CU$1+1,0),"")</f>
        <v/>
      </c>
      <c r="BD60" s="133" t="str">
        <f>IF($A60&lt;&gt;0,VLOOKUP($A60,'0.Productos'!$A$3:$GG$587,'0.Productos'!CV$1+1,0),"")</f>
        <v/>
      </c>
      <c r="BE60" s="133" t="str">
        <f>IF($A60&lt;&gt;0,VLOOKUP($A60,'0.Productos'!$A$3:$GG$587,'0.Productos'!CW$1+1,0),"")</f>
        <v/>
      </c>
      <c r="BF60" s="133" t="str">
        <f>IF($A60&lt;&gt;0,VLOOKUP($A60,'0.Productos'!$A$3:$GG$587,'0.Productos'!CX$1+1,0),"")</f>
        <v/>
      </c>
      <c r="BG60" s="133" t="str">
        <f>IF($A60&lt;&gt;0,VLOOKUP($A60,'0.Productos'!$A$3:$GG$587,'0.Productos'!CY$1+1,0),"")</f>
        <v/>
      </c>
      <c r="BH60" s="133" t="str">
        <f>IF($A60&lt;&gt;0,VLOOKUP($A60,'0.Productos'!$A$3:$GG$587,'0.Productos'!CZ$1+1,0),"")</f>
        <v/>
      </c>
      <c r="BI60" s="133" t="str">
        <f>IF($A60&lt;&gt;0,VLOOKUP($A60,'0.Productos'!$A$3:$GG$587,'0.Productos'!DA$1+1,0),"")</f>
        <v/>
      </c>
      <c r="BJ60" s="133" t="str">
        <f>IF($A60&lt;&gt;0,VLOOKUP($A60,'0.Productos'!$A$3:$GG$587,'0.Productos'!DB$1+1,0),"")</f>
        <v/>
      </c>
      <c r="BK60" s="133" t="str">
        <f>IF($A60&lt;&gt;0,VLOOKUP($A60,'0.Productos'!$A$3:$GG$587,'0.Productos'!DC$1+1,0),"")</f>
        <v/>
      </c>
      <c r="BL60" s="133" t="str">
        <f>IF($A60&lt;&gt;0,VLOOKUP($A60,'0.Productos'!$A$3:$GG$587,'0.Productos'!DD$1+1,0),"")</f>
        <v/>
      </c>
      <c r="BM60" s="133" t="str">
        <f>IF($A60&lt;&gt;0,VLOOKUP($A60,'0.Productos'!$A$3:$GG$587,'0.Productos'!DE$1+1,0),"")</f>
        <v/>
      </c>
      <c r="BN60" s="133" t="str">
        <f>IF($A60&lt;&gt;0,VLOOKUP($A60,'0.Productos'!$A$3:$GG$587,'0.Productos'!DF$1+1,0),"")</f>
        <v/>
      </c>
      <c r="BO60" s="133" t="str">
        <f>IF($A60&lt;&gt;0,VLOOKUP($A60,'0.Productos'!$A$3:$GG$587,'0.Productos'!DG$1+1,0),"")</f>
        <v/>
      </c>
      <c r="BP60" s="133" t="str">
        <f>IF($A60&lt;&gt;0,VLOOKUP($A60,'0.Productos'!$A$3:$GG$587,'0.Productos'!DH$1+1,0),"")</f>
        <v/>
      </c>
      <c r="BQ60" s="133" t="str">
        <f>IF($A60&lt;&gt;0,VLOOKUP($A60,'0.Productos'!$A$3:$GG$587,'0.Productos'!DI$1+1,0),"")</f>
        <v/>
      </c>
      <c r="BR60" s="133" t="str">
        <f>IF($A60&lt;&gt;0,VLOOKUP($A60,'0.Productos'!$A$3:$GG$587,'0.Productos'!DJ$1+1,0),"")</f>
        <v/>
      </c>
      <c r="BS60" s="133" t="str">
        <f>IF($A60&lt;&gt;0,VLOOKUP($A60,'0.Productos'!$A$3:$GG$587,'0.Productos'!DK$1+1,0),"")</f>
        <v/>
      </c>
      <c r="BT60" s="133" t="str">
        <f>IF($A60&lt;&gt;0,VLOOKUP($A60,'0.Productos'!$A$3:$GG$587,'0.Productos'!DL$1+1,0),"")</f>
        <v/>
      </c>
    </row>
    <row r="61" spans="1:72" x14ac:dyDescent="0.25">
      <c r="A61" s="17">
        <f>'0.Consolidado general'!A61</f>
        <v>0</v>
      </c>
      <c r="B61" s="133" t="str">
        <f>IF($A61&lt;&gt;0,VLOOKUP($A61,'0.Productos'!$A$3:$GG$587,'0.Productos'!AT$1+1,0),"")</f>
        <v/>
      </c>
      <c r="C61" s="133" t="str">
        <f>IF($A61&lt;&gt;0,VLOOKUP($A61,'0.Productos'!$A$3:$GG$587,'0.Productos'!AU$1+1,0),"")</f>
        <v/>
      </c>
      <c r="D61" s="133" t="str">
        <f>IF($A61&lt;&gt;0,VLOOKUP($A61,'0.Productos'!$A$3:$GG$587,'0.Productos'!AV$1+1,0),"")</f>
        <v/>
      </c>
      <c r="E61" s="133" t="str">
        <f>IF($A61&lt;&gt;0,VLOOKUP($A61,'0.Productos'!$A$3:$GG$587,'0.Productos'!AW$1+1,0),"")</f>
        <v/>
      </c>
      <c r="F61" s="133" t="str">
        <f>IF($A61&lt;&gt;0,VLOOKUP($A61,'0.Productos'!$A$3:$GG$587,'0.Productos'!AX$1+1,0),"")</f>
        <v/>
      </c>
      <c r="G61" s="133" t="str">
        <f>IF($A61&lt;&gt;0,VLOOKUP($A61,'0.Productos'!$A$3:$GG$587,'0.Productos'!AY$1+1,0),"")</f>
        <v/>
      </c>
      <c r="H61" s="133" t="str">
        <f>IF($A61&lt;&gt;0,VLOOKUP($A61,'0.Productos'!$A$3:$GG$587,'0.Productos'!AZ$1+1,0),"")</f>
        <v/>
      </c>
      <c r="I61" s="133" t="str">
        <f>IF($A61&lt;&gt;0,VLOOKUP($A61,'0.Productos'!$A$3:$GG$587,'0.Productos'!BA$1+1,0),"")</f>
        <v/>
      </c>
      <c r="J61" s="133" t="str">
        <f>IF($A61&lt;&gt;0,VLOOKUP($A61,'0.Productos'!$A$3:$GG$587,'0.Productos'!BB$1+1,0),"")</f>
        <v/>
      </c>
      <c r="K61" s="133" t="str">
        <f>IF($A61&lt;&gt;0,VLOOKUP($A61,'0.Productos'!$A$3:$GG$587,'0.Productos'!BC$1+1,0),"")</f>
        <v/>
      </c>
      <c r="L61" s="133" t="str">
        <f>IF($A61&lt;&gt;0,VLOOKUP($A61,'0.Productos'!$A$3:$GG$587,'0.Productos'!BD$1+1,0),"")</f>
        <v/>
      </c>
      <c r="M61" s="133" t="str">
        <f>IF($A61&lt;&gt;0,VLOOKUP($A61,'0.Productos'!$A$3:$GG$587,'0.Productos'!BE$1+1,0),"")</f>
        <v/>
      </c>
      <c r="N61" s="133" t="str">
        <f>IF($A61&lt;&gt;0,VLOOKUP($A61,'0.Productos'!$A$3:$GG$587,'0.Productos'!BF$1+1,0),"")</f>
        <v/>
      </c>
      <c r="O61" s="133" t="str">
        <f>IF($A61&lt;&gt;0,VLOOKUP($A61,'0.Productos'!$A$3:$GG$587,'0.Productos'!BG$1+1,0),"")</f>
        <v/>
      </c>
      <c r="P61" s="133" t="str">
        <f>IF($A61&lt;&gt;0,VLOOKUP($A61,'0.Productos'!$A$3:$GG$587,'0.Productos'!BH$1+1,0),"")</f>
        <v/>
      </c>
      <c r="Q61" s="133" t="str">
        <f>IF($A61&lt;&gt;0,VLOOKUP($A61,'0.Productos'!$A$3:$GG$587,'0.Productos'!BI$1+1,0),"")</f>
        <v/>
      </c>
      <c r="R61" s="133" t="str">
        <f>IF($A61&lt;&gt;0,VLOOKUP($A61,'0.Productos'!$A$3:$GG$587,'0.Productos'!BJ$1+1,0),"")</f>
        <v/>
      </c>
      <c r="S61" s="133" t="str">
        <f>IF($A61&lt;&gt;0,VLOOKUP($A61,'0.Productos'!$A$3:$GG$587,'0.Productos'!BK$1+1,0),"")</f>
        <v/>
      </c>
      <c r="T61" s="133" t="str">
        <f>IF($A61&lt;&gt;0,VLOOKUP($A61,'0.Productos'!$A$3:$GG$587,'0.Productos'!BL$1+1,0),"")</f>
        <v/>
      </c>
      <c r="U61" s="133" t="str">
        <f>IF($A61&lt;&gt;0,VLOOKUP($A61,'0.Productos'!$A$3:$GG$587,'0.Productos'!BM$1+1,0),"")</f>
        <v/>
      </c>
      <c r="V61" s="133" t="str">
        <f>IF($A61&lt;&gt;0,VLOOKUP($A61,'0.Productos'!$A$3:$GG$587,'0.Productos'!BN$1+1,0),"")</f>
        <v/>
      </c>
      <c r="W61" s="133" t="str">
        <f>IF($A61&lt;&gt;0,VLOOKUP($A61,'0.Productos'!$A$3:$GG$587,'0.Productos'!BO$1+1,0),"")</f>
        <v/>
      </c>
      <c r="X61" s="133" t="str">
        <f>IF($A61&lt;&gt;0,VLOOKUP($A61,'0.Productos'!$A$3:$GG$587,'0.Productos'!BP$1+1,0),"")</f>
        <v/>
      </c>
      <c r="Y61" s="133" t="str">
        <f>IF($A61&lt;&gt;0,VLOOKUP($A61,'0.Productos'!$A$3:$GG$587,'0.Productos'!BQ$1+1,0),"")</f>
        <v/>
      </c>
      <c r="Z61" s="133" t="str">
        <f>IF($A61&lt;&gt;0,VLOOKUP($A61,'0.Productos'!$A$3:$GG$587,'0.Productos'!BR$1+1,0),"")</f>
        <v/>
      </c>
      <c r="AA61" s="133" t="str">
        <f>IF($A61&lt;&gt;0,VLOOKUP($A61,'0.Productos'!$A$3:$GG$587,'0.Productos'!BS$1+1,0),"")</f>
        <v/>
      </c>
      <c r="AB61" s="133" t="str">
        <f>IF($A61&lt;&gt;0,VLOOKUP($A61,'0.Productos'!$A$3:$GG$587,'0.Productos'!BT$1+1,0),"")</f>
        <v/>
      </c>
      <c r="AC61" s="133" t="str">
        <f>IF($A61&lt;&gt;0,VLOOKUP($A61,'0.Productos'!$A$3:$GG$587,'0.Productos'!BU$1+1,0),"")</f>
        <v/>
      </c>
      <c r="AD61" s="133" t="str">
        <f>IF($A61&lt;&gt;0,VLOOKUP($A61,'0.Productos'!$A$3:$GG$587,'0.Productos'!BV$1+1,0),"")</f>
        <v/>
      </c>
      <c r="AE61" s="133" t="str">
        <f>IF($A61&lt;&gt;0,VLOOKUP($A61,'0.Productos'!$A$3:$GG$587,'0.Productos'!BW$1+1,0),"")</f>
        <v/>
      </c>
      <c r="AF61" s="133" t="str">
        <f>IF($A61&lt;&gt;0,VLOOKUP($A61,'0.Productos'!$A$3:$GG$587,'0.Productos'!BX$1+1,0),"")</f>
        <v/>
      </c>
      <c r="AG61" s="133" t="str">
        <f>IF($A61&lt;&gt;0,VLOOKUP($A61,'0.Productos'!$A$3:$GG$587,'0.Productos'!BY$1+1,0),"")</f>
        <v/>
      </c>
      <c r="AH61" s="133" t="str">
        <f>IF($A61&lt;&gt;0,VLOOKUP($A61,'0.Productos'!$A$3:$GG$587,'0.Productos'!BZ$1+1,0),"")</f>
        <v/>
      </c>
      <c r="AI61" s="133" t="str">
        <f>IF($A61&lt;&gt;0,VLOOKUP($A61,'0.Productos'!$A$3:$GG$587,'0.Productos'!CA$1+1,0),"")</f>
        <v/>
      </c>
      <c r="AJ61" s="133" t="str">
        <f>IF($A61&lt;&gt;0,VLOOKUP($A61,'0.Productos'!$A$3:$GG$587,'0.Productos'!CB$1+1,0),"")</f>
        <v/>
      </c>
      <c r="AK61" s="133" t="str">
        <f>IF($A61&lt;&gt;0,VLOOKUP($A61,'0.Productos'!$A$3:$GG$587,'0.Productos'!CC$1+1,0),"")</f>
        <v/>
      </c>
      <c r="AL61" s="133" t="str">
        <f>IF($A61&lt;&gt;0,VLOOKUP($A61,'0.Productos'!$A$3:$GG$587,'0.Productos'!CD$1+1,0),"")</f>
        <v/>
      </c>
      <c r="AM61" s="133" t="str">
        <f>IF($A61&lt;&gt;0,VLOOKUP($A61,'0.Productos'!$A$3:$GG$587,'0.Productos'!CE$1+1,0),"")</f>
        <v/>
      </c>
      <c r="AN61" s="133" t="str">
        <f>IF($A61&lt;&gt;0,VLOOKUP($A61,'0.Productos'!$A$3:$GG$587,'0.Productos'!CF$1+1,0),"")</f>
        <v/>
      </c>
      <c r="AO61" s="133" t="str">
        <f>IF($A61&lt;&gt;0,VLOOKUP($A61,'0.Productos'!$A$3:$GG$587,'0.Productos'!CG$1+1,0),"")</f>
        <v/>
      </c>
      <c r="AP61" s="133" t="str">
        <f>IF($A61&lt;&gt;0,VLOOKUP($A61,'0.Productos'!$A$3:$GG$587,'0.Productos'!CH$1+1,0),"")</f>
        <v/>
      </c>
      <c r="AQ61" s="133" t="str">
        <f>IF($A61&lt;&gt;0,VLOOKUP($A61,'0.Productos'!$A$3:$GG$587,'0.Productos'!CI$1+1,0),"")</f>
        <v/>
      </c>
      <c r="AR61" s="133" t="str">
        <f>IF($A61&lt;&gt;0,VLOOKUP($A61,'0.Productos'!$A$3:$GG$587,'0.Productos'!CJ$1+1,0),"")</f>
        <v/>
      </c>
      <c r="AS61" s="133" t="str">
        <f>IF($A61&lt;&gt;0,VLOOKUP($A61,'0.Productos'!$A$3:$GG$587,'0.Productos'!CK$1+1,0),"")</f>
        <v/>
      </c>
      <c r="AT61" s="133" t="str">
        <f>IF($A61&lt;&gt;0,VLOOKUP($A61,'0.Productos'!$A$3:$GG$587,'0.Productos'!CL$1+1,0),"")</f>
        <v/>
      </c>
      <c r="AU61" s="133" t="str">
        <f>IF($A61&lt;&gt;0,VLOOKUP($A61,'0.Productos'!$A$3:$GG$587,'0.Productos'!CM$1+1,0),"")</f>
        <v/>
      </c>
      <c r="AV61" s="133" t="str">
        <f>IF($A61&lt;&gt;0,VLOOKUP($A61,'0.Productos'!$A$3:$GG$587,'0.Productos'!CN$1+1,0),"")</f>
        <v/>
      </c>
      <c r="AW61" s="133" t="str">
        <f>IF($A61&lt;&gt;0,VLOOKUP($A61,'0.Productos'!$A$3:$GG$587,'0.Productos'!CO$1+1,0),"")</f>
        <v/>
      </c>
      <c r="AX61" s="133" t="str">
        <f>IF($A61&lt;&gt;0,VLOOKUP($A61,'0.Productos'!$A$3:$GG$587,'0.Productos'!CP$1+1,0),"")</f>
        <v/>
      </c>
      <c r="AY61" s="133" t="str">
        <f>IF($A61&lt;&gt;0,VLOOKUP($A61,'0.Productos'!$A$3:$GG$587,'0.Productos'!CQ$1+1,0),"")</f>
        <v/>
      </c>
      <c r="AZ61" s="133" t="str">
        <f>IF($A61&lt;&gt;0,VLOOKUP($A61,'0.Productos'!$A$3:$GG$587,'0.Productos'!CR$1+1,0),"")</f>
        <v/>
      </c>
      <c r="BA61" s="133" t="str">
        <f>IF($A61&lt;&gt;0,VLOOKUP($A61,'0.Productos'!$A$3:$GG$587,'0.Productos'!CS$1+1,0),"")</f>
        <v/>
      </c>
      <c r="BB61" s="133" t="str">
        <f>IF($A61&lt;&gt;0,VLOOKUP($A61,'0.Productos'!$A$3:$GG$587,'0.Productos'!CT$1+1,0),"")</f>
        <v/>
      </c>
      <c r="BC61" s="133" t="str">
        <f>IF($A61&lt;&gt;0,VLOOKUP($A61,'0.Productos'!$A$3:$GG$587,'0.Productos'!CU$1+1,0),"")</f>
        <v/>
      </c>
      <c r="BD61" s="133" t="str">
        <f>IF($A61&lt;&gt;0,VLOOKUP($A61,'0.Productos'!$A$3:$GG$587,'0.Productos'!CV$1+1,0),"")</f>
        <v/>
      </c>
      <c r="BE61" s="133" t="str">
        <f>IF($A61&lt;&gt;0,VLOOKUP($A61,'0.Productos'!$A$3:$GG$587,'0.Productos'!CW$1+1,0),"")</f>
        <v/>
      </c>
      <c r="BF61" s="133" t="str">
        <f>IF($A61&lt;&gt;0,VLOOKUP($A61,'0.Productos'!$A$3:$GG$587,'0.Productos'!CX$1+1,0),"")</f>
        <v/>
      </c>
      <c r="BG61" s="133" t="str">
        <f>IF($A61&lt;&gt;0,VLOOKUP($A61,'0.Productos'!$A$3:$GG$587,'0.Productos'!CY$1+1,0),"")</f>
        <v/>
      </c>
      <c r="BH61" s="133" t="str">
        <f>IF($A61&lt;&gt;0,VLOOKUP($A61,'0.Productos'!$A$3:$GG$587,'0.Productos'!CZ$1+1,0),"")</f>
        <v/>
      </c>
      <c r="BI61" s="133" t="str">
        <f>IF($A61&lt;&gt;0,VLOOKUP($A61,'0.Productos'!$A$3:$GG$587,'0.Productos'!DA$1+1,0),"")</f>
        <v/>
      </c>
      <c r="BJ61" s="133" t="str">
        <f>IF($A61&lt;&gt;0,VLOOKUP($A61,'0.Productos'!$A$3:$GG$587,'0.Productos'!DB$1+1,0),"")</f>
        <v/>
      </c>
      <c r="BK61" s="133" t="str">
        <f>IF($A61&lt;&gt;0,VLOOKUP($A61,'0.Productos'!$A$3:$GG$587,'0.Productos'!DC$1+1,0),"")</f>
        <v/>
      </c>
      <c r="BL61" s="133" t="str">
        <f>IF($A61&lt;&gt;0,VLOOKUP($A61,'0.Productos'!$A$3:$GG$587,'0.Productos'!DD$1+1,0),"")</f>
        <v/>
      </c>
      <c r="BM61" s="133" t="str">
        <f>IF($A61&lt;&gt;0,VLOOKUP($A61,'0.Productos'!$A$3:$GG$587,'0.Productos'!DE$1+1,0),"")</f>
        <v/>
      </c>
      <c r="BN61" s="133" t="str">
        <f>IF($A61&lt;&gt;0,VLOOKUP($A61,'0.Productos'!$A$3:$GG$587,'0.Productos'!DF$1+1,0),"")</f>
        <v/>
      </c>
      <c r="BO61" s="133" t="str">
        <f>IF($A61&lt;&gt;0,VLOOKUP($A61,'0.Productos'!$A$3:$GG$587,'0.Productos'!DG$1+1,0),"")</f>
        <v/>
      </c>
      <c r="BP61" s="133" t="str">
        <f>IF($A61&lt;&gt;0,VLOOKUP($A61,'0.Productos'!$A$3:$GG$587,'0.Productos'!DH$1+1,0),"")</f>
        <v/>
      </c>
      <c r="BQ61" s="133" t="str">
        <f>IF($A61&lt;&gt;0,VLOOKUP($A61,'0.Productos'!$A$3:$GG$587,'0.Productos'!DI$1+1,0),"")</f>
        <v/>
      </c>
      <c r="BR61" s="133" t="str">
        <f>IF($A61&lt;&gt;0,VLOOKUP($A61,'0.Productos'!$A$3:$GG$587,'0.Productos'!DJ$1+1,0),"")</f>
        <v/>
      </c>
      <c r="BS61" s="133" t="str">
        <f>IF($A61&lt;&gt;0,VLOOKUP($A61,'0.Productos'!$A$3:$GG$587,'0.Productos'!DK$1+1,0),"")</f>
        <v/>
      </c>
      <c r="BT61" s="133" t="str">
        <f>IF($A61&lt;&gt;0,VLOOKUP($A61,'0.Productos'!$A$3:$GG$587,'0.Productos'!DL$1+1,0),"")</f>
        <v/>
      </c>
    </row>
    <row r="62" spans="1:72" x14ac:dyDescent="0.25">
      <c r="A62" s="17">
        <f>'0.Consolidado general'!A62</f>
        <v>0</v>
      </c>
      <c r="B62" s="133" t="str">
        <f>IF($A62&lt;&gt;0,VLOOKUP($A62,'0.Productos'!$A$3:$GG$587,'0.Productos'!AT$1+1,0),"")</f>
        <v/>
      </c>
      <c r="C62" s="133" t="str">
        <f>IF($A62&lt;&gt;0,VLOOKUP($A62,'0.Productos'!$A$3:$GG$587,'0.Productos'!AU$1+1,0),"")</f>
        <v/>
      </c>
      <c r="D62" s="133" t="str">
        <f>IF($A62&lt;&gt;0,VLOOKUP($A62,'0.Productos'!$A$3:$GG$587,'0.Productos'!AV$1+1,0),"")</f>
        <v/>
      </c>
      <c r="E62" s="133" t="str">
        <f>IF($A62&lt;&gt;0,VLOOKUP($A62,'0.Productos'!$A$3:$GG$587,'0.Productos'!AW$1+1,0),"")</f>
        <v/>
      </c>
      <c r="F62" s="133" t="str">
        <f>IF($A62&lt;&gt;0,VLOOKUP($A62,'0.Productos'!$A$3:$GG$587,'0.Productos'!AX$1+1,0),"")</f>
        <v/>
      </c>
      <c r="G62" s="133" t="str">
        <f>IF($A62&lt;&gt;0,VLOOKUP($A62,'0.Productos'!$A$3:$GG$587,'0.Productos'!AY$1+1,0),"")</f>
        <v/>
      </c>
      <c r="H62" s="133" t="str">
        <f>IF($A62&lt;&gt;0,VLOOKUP($A62,'0.Productos'!$A$3:$GG$587,'0.Productos'!AZ$1+1,0),"")</f>
        <v/>
      </c>
      <c r="I62" s="133" t="str">
        <f>IF($A62&lt;&gt;0,VLOOKUP($A62,'0.Productos'!$A$3:$GG$587,'0.Productos'!BA$1+1,0),"")</f>
        <v/>
      </c>
      <c r="J62" s="133" t="str">
        <f>IF($A62&lt;&gt;0,VLOOKUP($A62,'0.Productos'!$A$3:$GG$587,'0.Productos'!BB$1+1,0),"")</f>
        <v/>
      </c>
      <c r="K62" s="133" t="str">
        <f>IF($A62&lt;&gt;0,VLOOKUP($A62,'0.Productos'!$A$3:$GG$587,'0.Productos'!BC$1+1,0),"")</f>
        <v/>
      </c>
      <c r="L62" s="133" t="str">
        <f>IF($A62&lt;&gt;0,VLOOKUP($A62,'0.Productos'!$A$3:$GG$587,'0.Productos'!BD$1+1,0),"")</f>
        <v/>
      </c>
      <c r="M62" s="133" t="str">
        <f>IF($A62&lt;&gt;0,VLOOKUP($A62,'0.Productos'!$A$3:$GG$587,'0.Productos'!BE$1+1,0),"")</f>
        <v/>
      </c>
      <c r="N62" s="133" t="str">
        <f>IF($A62&lt;&gt;0,VLOOKUP($A62,'0.Productos'!$A$3:$GG$587,'0.Productos'!BF$1+1,0),"")</f>
        <v/>
      </c>
      <c r="O62" s="133" t="str">
        <f>IF($A62&lt;&gt;0,VLOOKUP($A62,'0.Productos'!$A$3:$GG$587,'0.Productos'!BG$1+1,0),"")</f>
        <v/>
      </c>
      <c r="P62" s="133" t="str">
        <f>IF($A62&lt;&gt;0,VLOOKUP($A62,'0.Productos'!$A$3:$GG$587,'0.Productos'!BH$1+1,0),"")</f>
        <v/>
      </c>
      <c r="Q62" s="133" t="str">
        <f>IF($A62&lt;&gt;0,VLOOKUP($A62,'0.Productos'!$A$3:$GG$587,'0.Productos'!BI$1+1,0),"")</f>
        <v/>
      </c>
      <c r="R62" s="133" t="str">
        <f>IF($A62&lt;&gt;0,VLOOKUP($A62,'0.Productos'!$A$3:$GG$587,'0.Productos'!BJ$1+1,0),"")</f>
        <v/>
      </c>
      <c r="S62" s="133" t="str">
        <f>IF($A62&lt;&gt;0,VLOOKUP($A62,'0.Productos'!$A$3:$GG$587,'0.Productos'!BK$1+1,0),"")</f>
        <v/>
      </c>
      <c r="T62" s="133" t="str">
        <f>IF($A62&lt;&gt;0,VLOOKUP($A62,'0.Productos'!$A$3:$GG$587,'0.Productos'!BL$1+1,0),"")</f>
        <v/>
      </c>
      <c r="U62" s="133" t="str">
        <f>IF($A62&lt;&gt;0,VLOOKUP($A62,'0.Productos'!$A$3:$GG$587,'0.Productos'!BM$1+1,0),"")</f>
        <v/>
      </c>
      <c r="V62" s="133" t="str">
        <f>IF($A62&lt;&gt;0,VLOOKUP($A62,'0.Productos'!$A$3:$GG$587,'0.Productos'!BN$1+1,0),"")</f>
        <v/>
      </c>
      <c r="W62" s="133" t="str">
        <f>IF($A62&lt;&gt;0,VLOOKUP($A62,'0.Productos'!$A$3:$GG$587,'0.Productos'!BO$1+1,0),"")</f>
        <v/>
      </c>
      <c r="X62" s="133" t="str">
        <f>IF($A62&lt;&gt;0,VLOOKUP($A62,'0.Productos'!$A$3:$GG$587,'0.Productos'!BP$1+1,0),"")</f>
        <v/>
      </c>
      <c r="Y62" s="133" t="str">
        <f>IF($A62&lt;&gt;0,VLOOKUP($A62,'0.Productos'!$A$3:$GG$587,'0.Productos'!BQ$1+1,0),"")</f>
        <v/>
      </c>
      <c r="Z62" s="133" t="str">
        <f>IF($A62&lt;&gt;0,VLOOKUP($A62,'0.Productos'!$A$3:$GG$587,'0.Productos'!BR$1+1,0),"")</f>
        <v/>
      </c>
      <c r="AA62" s="133" t="str">
        <f>IF($A62&lt;&gt;0,VLOOKUP($A62,'0.Productos'!$A$3:$GG$587,'0.Productos'!BS$1+1,0),"")</f>
        <v/>
      </c>
      <c r="AB62" s="133" t="str">
        <f>IF($A62&lt;&gt;0,VLOOKUP($A62,'0.Productos'!$A$3:$GG$587,'0.Productos'!BT$1+1,0),"")</f>
        <v/>
      </c>
      <c r="AC62" s="133" t="str">
        <f>IF($A62&lt;&gt;0,VLOOKUP($A62,'0.Productos'!$A$3:$GG$587,'0.Productos'!BU$1+1,0),"")</f>
        <v/>
      </c>
      <c r="AD62" s="133" t="str">
        <f>IF($A62&lt;&gt;0,VLOOKUP($A62,'0.Productos'!$A$3:$GG$587,'0.Productos'!BV$1+1,0),"")</f>
        <v/>
      </c>
      <c r="AE62" s="133" t="str">
        <f>IF($A62&lt;&gt;0,VLOOKUP($A62,'0.Productos'!$A$3:$GG$587,'0.Productos'!BW$1+1,0),"")</f>
        <v/>
      </c>
      <c r="AF62" s="133" t="str">
        <f>IF($A62&lt;&gt;0,VLOOKUP($A62,'0.Productos'!$A$3:$GG$587,'0.Productos'!BX$1+1,0),"")</f>
        <v/>
      </c>
      <c r="AG62" s="133" t="str">
        <f>IF($A62&lt;&gt;0,VLOOKUP($A62,'0.Productos'!$A$3:$GG$587,'0.Productos'!BY$1+1,0),"")</f>
        <v/>
      </c>
      <c r="AH62" s="133" t="str">
        <f>IF($A62&lt;&gt;0,VLOOKUP($A62,'0.Productos'!$A$3:$GG$587,'0.Productos'!BZ$1+1,0),"")</f>
        <v/>
      </c>
      <c r="AI62" s="133" t="str">
        <f>IF($A62&lt;&gt;0,VLOOKUP($A62,'0.Productos'!$A$3:$GG$587,'0.Productos'!CA$1+1,0),"")</f>
        <v/>
      </c>
      <c r="AJ62" s="133" t="str">
        <f>IF($A62&lt;&gt;0,VLOOKUP($A62,'0.Productos'!$A$3:$GG$587,'0.Productos'!CB$1+1,0),"")</f>
        <v/>
      </c>
      <c r="AK62" s="133" t="str">
        <f>IF($A62&lt;&gt;0,VLOOKUP($A62,'0.Productos'!$A$3:$GG$587,'0.Productos'!CC$1+1,0),"")</f>
        <v/>
      </c>
      <c r="AL62" s="133" t="str">
        <f>IF($A62&lt;&gt;0,VLOOKUP($A62,'0.Productos'!$A$3:$GG$587,'0.Productos'!CD$1+1,0),"")</f>
        <v/>
      </c>
      <c r="AM62" s="133" t="str">
        <f>IF($A62&lt;&gt;0,VLOOKUP($A62,'0.Productos'!$A$3:$GG$587,'0.Productos'!CE$1+1,0),"")</f>
        <v/>
      </c>
      <c r="AN62" s="133" t="str">
        <f>IF($A62&lt;&gt;0,VLOOKUP($A62,'0.Productos'!$A$3:$GG$587,'0.Productos'!CF$1+1,0),"")</f>
        <v/>
      </c>
      <c r="AO62" s="133" t="str">
        <f>IF($A62&lt;&gt;0,VLOOKUP($A62,'0.Productos'!$A$3:$GG$587,'0.Productos'!CG$1+1,0),"")</f>
        <v/>
      </c>
      <c r="AP62" s="133" t="str">
        <f>IF($A62&lt;&gt;0,VLOOKUP($A62,'0.Productos'!$A$3:$GG$587,'0.Productos'!CH$1+1,0),"")</f>
        <v/>
      </c>
      <c r="AQ62" s="133" t="str">
        <f>IF($A62&lt;&gt;0,VLOOKUP($A62,'0.Productos'!$A$3:$GG$587,'0.Productos'!CI$1+1,0),"")</f>
        <v/>
      </c>
      <c r="AR62" s="133" t="str">
        <f>IF($A62&lt;&gt;0,VLOOKUP($A62,'0.Productos'!$A$3:$GG$587,'0.Productos'!CJ$1+1,0),"")</f>
        <v/>
      </c>
      <c r="AS62" s="133" t="str">
        <f>IF($A62&lt;&gt;0,VLOOKUP($A62,'0.Productos'!$A$3:$GG$587,'0.Productos'!CK$1+1,0),"")</f>
        <v/>
      </c>
      <c r="AT62" s="133" t="str">
        <f>IF($A62&lt;&gt;0,VLOOKUP($A62,'0.Productos'!$A$3:$GG$587,'0.Productos'!CL$1+1,0),"")</f>
        <v/>
      </c>
      <c r="AU62" s="133" t="str">
        <f>IF($A62&lt;&gt;0,VLOOKUP($A62,'0.Productos'!$A$3:$GG$587,'0.Productos'!CM$1+1,0),"")</f>
        <v/>
      </c>
      <c r="AV62" s="133" t="str">
        <f>IF($A62&lt;&gt;0,VLOOKUP($A62,'0.Productos'!$A$3:$GG$587,'0.Productos'!CN$1+1,0),"")</f>
        <v/>
      </c>
      <c r="AW62" s="133" t="str">
        <f>IF($A62&lt;&gt;0,VLOOKUP($A62,'0.Productos'!$A$3:$GG$587,'0.Productos'!CO$1+1,0),"")</f>
        <v/>
      </c>
      <c r="AX62" s="133" t="str">
        <f>IF($A62&lt;&gt;0,VLOOKUP($A62,'0.Productos'!$A$3:$GG$587,'0.Productos'!CP$1+1,0),"")</f>
        <v/>
      </c>
      <c r="AY62" s="133" t="str">
        <f>IF($A62&lt;&gt;0,VLOOKUP($A62,'0.Productos'!$A$3:$GG$587,'0.Productos'!CQ$1+1,0),"")</f>
        <v/>
      </c>
      <c r="AZ62" s="133" t="str">
        <f>IF($A62&lt;&gt;0,VLOOKUP($A62,'0.Productos'!$A$3:$GG$587,'0.Productos'!CR$1+1,0),"")</f>
        <v/>
      </c>
      <c r="BA62" s="133" t="str">
        <f>IF($A62&lt;&gt;0,VLOOKUP($A62,'0.Productos'!$A$3:$GG$587,'0.Productos'!CS$1+1,0),"")</f>
        <v/>
      </c>
      <c r="BB62" s="133" t="str">
        <f>IF($A62&lt;&gt;0,VLOOKUP($A62,'0.Productos'!$A$3:$GG$587,'0.Productos'!CT$1+1,0),"")</f>
        <v/>
      </c>
      <c r="BC62" s="133" t="str">
        <f>IF($A62&lt;&gt;0,VLOOKUP($A62,'0.Productos'!$A$3:$GG$587,'0.Productos'!CU$1+1,0),"")</f>
        <v/>
      </c>
      <c r="BD62" s="133" t="str">
        <f>IF($A62&lt;&gt;0,VLOOKUP($A62,'0.Productos'!$A$3:$GG$587,'0.Productos'!CV$1+1,0),"")</f>
        <v/>
      </c>
      <c r="BE62" s="133" t="str">
        <f>IF($A62&lt;&gt;0,VLOOKUP($A62,'0.Productos'!$A$3:$GG$587,'0.Productos'!CW$1+1,0),"")</f>
        <v/>
      </c>
      <c r="BF62" s="133" t="str">
        <f>IF($A62&lt;&gt;0,VLOOKUP($A62,'0.Productos'!$A$3:$GG$587,'0.Productos'!CX$1+1,0),"")</f>
        <v/>
      </c>
      <c r="BG62" s="133" t="str">
        <f>IF($A62&lt;&gt;0,VLOOKUP($A62,'0.Productos'!$A$3:$GG$587,'0.Productos'!CY$1+1,0),"")</f>
        <v/>
      </c>
      <c r="BH62" s="133" t="str">
        <f>IF($A62&lt;&gt;0,VLOOKUP($A62,'0.Productos'!$A$3:$GG$587,'0.Productos'!CZ$1+1,0),"")</f>
        <v/>
      </c>
      <c r="BI62" s="133" t="str">
        <f>IF($A62&lt;&gt;0,VLOOKUP($A62,'0.Productos'!$A$3:$GG$587,'0.Productos'!DA$1+1,0),"")</f>
        <v/>
      </c>
      <c r="BJ62" s="133" t="str">
        <f>IF($A62&lt;&gt;0,VLOOKUP($A62,'0.Productos'!$A$3:$GG$587,'0.Productos'!DB$1+1,0),"")</f>
        <v/>
      </c>
      <c r="BK62" s="133" t="str">
        <f>IF($A62&lt;&gt;0,VLOOKUP($A62,'0.Productos'!$A$3:$GG$587,'0.Productos'!DC$1+1,0),"")</f>
        <v/>
      </c>
      <c r="BL62" s="133" t="str">
        <f>IF($A62&lt;&gt;0,VLOOKUP($A62,'0.Productos'!$A$3:$GG$587,'0.Productos'!DD$1+1,0),"")</f>
        <v/>
      </c>
      <c r="BM62" s="133" t="str">
        <f>IF($A62&lt;&gt;0,VLOOKUP($A62,'0.Productos'!$A$3:$GG$587,'0.Productos'!DE$1+1,0),"")</f>
        <v/>
      </c>
      <c r="BN62" s="133" t="str">
        <f>IF($A62&lt;&gt;0,VLOOKUP($A62,'0.Productos'!$A$3:$GG$587,'0.Productos'!DF$1+1,0),"")</f>
        <v/>
      </c>
      <c r="BO62" s="133" t="str">
        <f>IF($A62&lt;&gt;0,VLOOKUP($A62,'0.Productos'!$A$3:$GG$587,'0.Productos'!DG$1+1,0),"")</f>
        <v/>
      </c>
      <c r="BP62" s="133" t="str">
        <f>IF($A62&lt;&gt;0,VLOOKUP($A62,'0.Productos'!$A$3:$GG$587,'0.Productos'!DH$1+1,0),"")</f>
        <v/>
      </c>
      <c r="BQ62" s="133" t="str">
        <f>IF($A62&lt;&gt;0,VLOOKUP($A62,'0.Productos'!$A$3:$GG$587,'0.Productos'!DI$1+1,0),"")</f>
        <v/>
      </c>
      <c r="BR62" s="133" t="str">
        <f>IF($A62&lt;&gt;0,VLOOKUP($A62,'0.Productos'!$A$3:$GG$587,'0.Productos'!DJ$1+1,0),"")</f>
        <v/>
      </c>
      <c r="BS62" s="133" t="str">
        <f>IF($A62&lt;&gt;0,VLOOKUP($A62,'0.Productos'!$A$3:$GG$587,'0.Productos'!DK$1+1,0),"")</f>
        <v/>
      </c>
      <c r="BT62" s="133" t="str">
        <f>IF($A62&lt;&gt;0,VLOOKUP($A62,'0.Productos'!$A$3:$GG$587,'0.Productos'!DL$1+1,0),"")</f>
        <v/>
      </c>
    </row>
    <row r="63" spans="1:72" x14ac:dyDescent="0.25">
      <c r="A63" s="17">
        <f>'0.Consolidado general'!A63</f>
        <v>0</v>
      </c>
      <c r="B63" s="133" t="str">
        <f>IF($A63&lt;&gt;0,VLOOKUP($A63,'0.Productos'!$A$3:$GG$587,'0.Productos'!AT$1+1,0),"")</f>
        <v/>
      </c>
      <c r="C63" s="133" t="str">
        <f>IF($A63&lt;&gt;0,VLOOKUP($A63,'0.Productos'!$A$3:$GG$587,'0.Productos'!AU$1+1,0),"")</f>
        <v/>
      </c>
      <c r="D63" s="133" t="str">
        <f>IF($A63&lt;&gt;0,VLOOKUP($A63,'0.Productos'!$A$3:$GG$587,'0.Productos'!AV$1+1,0),"")</f>
        <v/>
      </c>
      <c r="E63" s="133" t="str">
        <f>IF($A63&lt;&gt;0,VLOOKUP($A63,'0.Productos'!$A$3:$GG$587,'0.Productos'!AW$1+1,0),"")</f>
        <v/>
      </c>
      <c r="F63" s="133" t="str">
        <f>IF($A63&lt;&gt;0,VLOOKUP($A63,'0.Productos'!$A$3:$GG$587,'0.Productos'!AX$1+1,0),"")</f>
        <v/>
      </c>
      <c r="G63" s="133" t="str">
        <f>IF($A63&lt;&gt;0,VLOOKUP($A63,'0.Productos'!$A$3:$GG$587,'0.Productos'!AY$1+1,0),"")</f>
        <v/>
      </c>
      <c r="H63" s="133" t="str">
        <f>IF($A63&lt;&gt;0,VLOOKUP($A63,'0.Productos'!$A$3:$GG$587,'0.Productos'!AZ$1+1,0),"")</f>
        <v/>
      </c>
      <c r="I63" s="133" t="str">
        <f>IF($A63&lt;&gt;0,VLOOKUP($A63,'0.Productos'!$A$3:$GG$587,'0.Productos'!BA$1+1,0),"")</f>
        <v/>
      </c>
      <c r="J63" s="133" t="str">
        <f>IF($A63&lt;&gt;0,VLOOKUP($A63,'0.Productos'!$A$3:$GG$587,'0.Productos'!BB$1+1,0),"")</f>
        <v/>
      </c>
      <c r="K63" s="133" t="str">
        <f>IF($A63&lt;&gt;0,VLOOKUP($A63,'0.Productos'!$A$3:$GG$587,'0.Productos'!BC$1+1,0),"")</f>
        <v/>
      </c>
      <c r="L63" s="133" t="str">
        <f>IF($A63&lt;&gt;0,VLOOKUP($A63,'0.Productos'!$A$3:$GG$587,'0.Productos'!BD$1+1,0),"")</f>
        <v/>
      </c>
      <c r="M63" s="133" t="str">
        <f>IF($A63&lt;&gt;0,VLOOKUP($A63,'0.Productos'!$A$3:$GG$587,'0.Productos'!BE$1+1,0),"")</f>
        <v/>
      </c>
      <c r="N63" s="133" t="str">
        <f>IF($A63&lt;&gt;0,VLOOKUP($A63,'0.Productos'!$A$3:$GG$587,'0.Productos'!BF$1+1,0),"")</f>
        <v/>
      </c>
      <c r="O63" s="133" t="str">
        <f>IF($A63&lt;&gt;0,VLOOKUP($A63,'0.Productos'!$A$3:$GG$587,'0.Productos'!BG$1+1,0),"")</f>
        <v/>
      </c>
      <c r="P63" s="133" t="str">
        <f>IF($A63&lt;&gt;0,VLOOKUP($A63,'0.Productos'!$A$3:$GG$587,'0.Productos'!BH$1+1,0),"")</f>
        <v/>
      </c>
      <c r="Q63" s="133" t="str">
        <f>IF($A63&lt;&gt;0,VLOOKUP($A63,'0.Productos'!$A$3:$GG$587,'0.Productos'!BI$1+1,0),"")</f>
        <v/>
      </c>
      <c r="R63" s="133" t="str">
        <f>IF($A63&lt;&gt;0,VLOOKUP($A63,'0.Productos'!$A$3:$GG$587,'0.Productos'!BJ$1+1,0),"")</f>
        <v/>
      </c>
      <c r="S63" s="133" t="str">
        <f>IF($A63&lt;&gt;0,VLOOKUP($A63,'0.Productos'!$A$3:$GG$587,'0.Productos'!BK$1+1,0),"")</f>
        <v/>
      </c>
      <c r="T63" s="133" t="str">
        <f>IF($A63&lt;&gt;0,VLOOKUP($A63,'0.Productos'!$A$3:$GG$587,'0.Productos'!BL$1+1,0),"")</f>
        <v/>
      </c>
      <c r="U63" s="133" t="str">
        <f>IF($A63&lt;&gt;0,VLOOKUP($A63,'0.Productos'!$A$3:$GG$587,'0.Productos'!BM$1+1,0),"")</f>
        <v/>
      </c>
      <c r="V63" s="133" t="str">
        <f>IF($A63&lt;&gt;0,VLOOKUP($A63,'0.Productos'!$A$3:$GG$587,'0.Productos'!BN$1+1,0),"")</f>
        <v/>
      </c>
      <c r="W63" s="133" t="str">
        <f>IF($A63&lt;&gt;0,VLOOKUP($A63,'0.Productos'!$A$3:$GG$587,'0.Productos'!BO$1+1,0),"")</f>
        <v/>
      </c>
      <c r="X63" s="133" t="str">
        <f>IF($A63&lt;&gt;0,VLOOKUP($A63,'0.Productos'!$A$3:$GG$587,'0.Productos'!BP$1+1,0),"")</f>
        <v/>
      </c>
      <c r="Y63" s="133" t="str">
        <f>IF($A63&lt;&gt;0,VLOOKUP($A63,'0.Productos'!$A$3:$GG$587,'0.Productos'!BQ$1+1,0),"")</f>
        <v/>
      </c>
      <c r="Z63" s="133" t="str">
        <f>IF($A63&lt;&gt;0,VLOOKUP($A63,'0.Productos'!$A$3:$GG$587,'0.Productos'!BR$1+1,0),"")</f>
        <v/>
      </c>
      <c r="AA63" s="133" t="str">
        <f>IF($A63&lt;&gt;0,VLOOKUP($A63,'0.Productos'!$A$3:$GG$587,'0.Productos'!BS$1+1,0),"")</f>
        <v/>
      </c>
      <c r="AB63" s="133" t="str">
        <f>IF($A63&lt;&gt;0,VLOOKUP($A63,'0.Productos'!$A$3:$GG$587,'0.Productos'!BT$1+1,0),"")</f>
        <v/>
      </c>
      <c r="AC63" s="133" t="str">
        <f>IF($A63&lt;&gt;0,VLOOKUP($A63,'0.Productos'!$A$3:$GG$587,'0.Productos'!BU$1+1,0),"")</f>
        <v/>
      </c>
      <c r="AD63" s="133" t="str">
        <f>IF($A63&lt;&gt;0,VLOOKUP($A63,'0.Productos'!$A$3:$GG$587,'0.Productos'!BV$1+1,0),"")</f>
        <v/>
      </c>
      <c r="AE63" s="133" t="str">
        <f>IF($A63&lt;&gt;0,VLOOKUP($A63,'0.Productos'!$A$3:$GG$587,'0.Productos'!BW$1+1,0),"")</f>
        <v/>
      </c>
      <c r="AF63" s="133" t="str">
        <f>IF($A63&lt;&gt;0,VLOOKUP($A63,'0.Productos'!$A$3:$GG$587,'0.Productos'!BX$1+1,0),"")</f>
        <v/>
      </c>
      <c r="AG63" s="133" t="str">
        <f>IF($A63&lt;&gt;0,VLOOKUP($A63,'0.Productos'!$A$3:$GG$587,'0.Productos'!BY$1+1,0),"")</f>
        <v/>
      </c>
      <c r="AH63" s="133" t="str">
        <f>IF($A63&lt;&gt;0,VLOOKUP($A63,'0.Productos'!$A$3:$GG$587,'0.Productos'!BZ$1+1,0),"")</f>
        <v/>
      </c>
      <c r="AI63" s="133" t="str">
        <f>IF($A63&lt;&gt;0,VLOOKUP($A63,'0.Productos'!$A$3:$GG$587,'0.Productos'!CA$1+1,0),"")</f>
        <v/>
      </c>
      <c r="AJ63" s="133" t="str">
        <f>IF($A63&lt;&gt;0,VLOOKUP($A63,'0.Productos'!$A$3:$GG$587,'0.Productos'!CB$1+1,0),"")</f>
        <v/>
      </c>
      <c r="AK63" s="133" t="str">
        <f>IF($A63&lt;&gt;0,VLOOKUP($A63,'0.Productos'!$A$3:$GG$587,'0.Productos'!CC$1+1,0),"")</f>
        <v/>
      </c>
      <c r="AL63" s="133" t="str">
        <f>IF($A63&lt;&gt;0,VLOOKUP($A63,'0.Productos'!$A$3:$GG$587,'0.Productos'!CD$1+1,0),"")</f>
        <v/>
      </c>
      <c r="AM63" s="133" t="str">
        <f>IF($A63&lt;&gt;0,VLOOKUP($A63,'0.Productos'!$A$3:$GG$587,'0.Productos'!CE$1+1,0),"")</f>
        <v/>
      </c>
      <c r="AN63" s="133" t="str">
        <f>IF($A63&lt;&gt;0,VLOOKUP($A63,'0.Productos'!$A$3:$GG$587,'0.Productos'!CF$1+1,0),"")</f>
        <v/>
      </c>
      <c r="AO63" s="133" t="str">
        <f>IF($A63&lt;&gt;0,VLOOKUP($A63,'0.Productos'!$A$3:$GG$587,'0.Productos'!CG$1+1,0),"")</f>
        <v/>
      </c>
      <c r="AP63" s="133" t="str">
        <f>IF($A63&lt;&gt;0,VLOOKUP($A63,'0.Productos'!$A$3:$GG$587,'0.Productos'!CH$1+1,0),"")</f>
        <v/>
      </c>
      <c r="AQ63" s="133" t="str">
        <f>IF($A63&lt;&gt;0,VLOOKUP($A63,'0.Productos'!$A$3:$GG$587,'0.Productos'!CI$1+1,0),"")</f>
        <v/>
      </c>
      <c r="AR63" s="133" t="str">
        <f>IF($A63&lt;&gt;0,VLOOKUP($A63,'0.Productos'!$A$3:$GG$587,'0.Productos'!CJ$1+1,0),"")</f>
        <v/>
      </c>
      <c r="AS63" s="133" t="str">
        <f>IF($A63&lt;&gt;0,VLOOKUP($A63,'0.Productos'!$A$3:$GG$587,'0.Productos'!CK$1+1,0),"")</f>
        <v/>
      </c>
      <c r="AT63" s="133" t="str">
        <f>IF($A63&lt;&gt;0,VLOOKUP($A63,'0.Productos'!$A$3:$GG$587,'0.Productos'!CL$1+1,0),"")</f>
        <v/>
      </c>
      <c r="AU63" s="133" t="str">
        <f>IF($A63&lt;&gt;0,VLOOKUP($A63,'0.Productos'!$A$3:$GG$587,'0.Productos'!CM$1+1,0),"")</f>
        <v/>
      </c>
      <c r="AV63" s="133" t="str">
        <f>IF($A63&lt;&gt;0,VLOOKUP($A63,'0.Productos'!$A$3:$GG$587,'0.Productos'!CN$1+1,0),"")</f>
        <v/>
      </c>
      <c r="AW63" s="133" t="str">
        <f>IF($A63&lt;&gt;0,VLOOKUP($A63,'0.Productos'!$A$3:$GG$587,'0.Productos'!CO$1+1,0),"")</f>
        <v/>
      </c>
      <c r="AX63" s="133" t="str">
        <f>IF($A63&lt;&gt;0,VLOOKUP($A63,'0.Productos'!$A$3:$GG$587,'0.Productos'!CP$1+1,0),"")</f>
        <v/>
      </c>
      <c r="AY63" s="133" t="str">
        <f>IF($A63&lt;&gt;0,VLOOKUP($A63,'0.Productos'!$A$3:$GG$587,'0.Productos'!CQ$1+1,0),"")</f>
        <v/>
      </c>
      <c r="AZ63" s="133" t="str">
        <f>IF($A63&lt;&gt;0,VLOOKUP($A63,'0.Productos'!$A$3:$GG$587,'0.Productos'!CR$1+1,0),"")</f>
        <v/>
      </c>
      <c r="BA63" s="133" t="str">
        <f>IF($A63&lt;&gt;0,VLOOKUP($A63,'0.Productos'!$A$3:$GG$587,'0.Productos'!CS$1+1,0),"")</f>
        <v/>
      </c>
      <c r="BB63" s="133" t="str">
        <f>IF($A63&lt;&gt;0,VLOOKUP($A63,'0.Productos'!$A$3:$GG$587,'0.Productos'!CT$1+1,0),"")</f>
        <v/>
      </c>
      <c r="BC63" s="133" t="str">
        <f>IF($A63&lt;&gt;0,VLOOKUP($A63,'0.Productos'!$A$3:$GG$587,'0.Productos'!CU$1+1,0),"")</f>
        <v/>
      </c>
      <c r="BD63" s="133" t="str">
        <f>IF($A63&lt;&gt;0,VLOOKUP($A63,'0.Productos'!$A$3:$GG$587,'0.Productos'!CV$1+1,0),"")</f>
        <v/>
      </c>
      <c r="BE63" s="133" t="str">
        <f>IF($A63&lt;&gt;0,VLOOKUP($A63,'0.Productos'!$A$3:$GG$587,'0.Productos'!CW$1+1,0),"")</f>
        <v/>
      </c>
      <c r="BF63" s="133" t="str">
        <f>IF($A63&lt;&gt;0,VLOOKUP($A63,'0.Productos'!$A$3:$GG$587,'0.Productos'!CX$1+1,0),"")</f>
        <v/>
      </c>
      <c r="BG63" s="133" t="str">
        <f>IF($A63&lt;&gt;0,VLOOKUP($A63,'0.Productos'!$A$3:$GG$587,'0.Productos'!CY$1+1,0),"")</f>
        <v/>
      </c>
      <c r="BH63" s="133" t="str">
        <f>IF($A63&lt;&gt;0,VLOOKUP($A63,'0.Productos'!$A$3:$GG$587,'0.Productos'!CZ$1+1,0),"")</f>
        <v/>
      </c>
      <c r="BI63" s="133" t="str">
        <f>IF($A63&lt;&gt;0,VLOOKUP($A63,'0.Productos'!$A$3:$GG$587,'0.Productos'!DA$1+1,0),"")</f>
        <v/>
      </c>
      <c r="BJ63" s="133" t="str">
        <f>IF($A63&lt;&gt;0,VLOOKUP($A63,'0.Productos'!$A$3:$GG$587,'0.Productos'!DB$1+1,0),"")</f>
        <v/>
      </c>
      <c r="BK63" s="133" t="str">
        <f>IF($A63&lt;&gt;0,VLOOKUP($A63,'0.Productos'!$A$3:$GG$587,'0.Productos'!DC$1+1,0),"")</f>
        <v/>
      </c>
      <c r="BL63" s="133" t="str">
        <f>IF($A63&lt;&gt;0,VLOOKUP($A63,'0.Productos'!$A$3:$GG$587,'0.Productos'!DD$1+1,0),"")</f>
        <v/>
      </c>
      <c r="BM63" s="133" t="str">
        <f>IF($A63&lt;&gt;0,VLOOKUP($A63,'0.Productos'!$A$3:$GG$587,'0.Productos'!DE$1+1,0),"")</f>
        <v/>
      </c>
      <c r="BN63" s="133" t="str">
        <f>IF($A63&lt;&gt;0,VLOOKUP($A63,'0.Productos'!$A$3:$GG$587,'0.Productos'!DF$1+1,0),"")</f>
        <v/>
      </c>
      <c r="BO63" s="133" t="str">
        <f>IF($A63&lt;&gt;0,VLOOKUP($A63,'0.Productos'!$A$3:$GG$587,'0.Productos'!DG$1+1,0),"")</f>
        <v/>
      </c>
      <c r="BP63" s="133" t="str">
        <f>IF($A63&lt;&gt;0,VLOOKUP($A63,'0.Productos'!$A$3:$GG$587,'0.Productos'!DH$1+1,0),"")</f>
        <v/>
      </c>
      <c r="BQ63" s="133" t="str">
        <f>IF($A63&lt;&gt;0,VLOOKUP($A63,'0.Productos'!$A$3:$GG$587,'0.Productos'!DI$1+1,0),"")</f>
        <v/>
      </c>
      <c r="BR63" s="133" t="str">
        <f>IF($A63&lt;&gt;0,VLOOKUP($A63,'0.Productos'!$A$3:$GG$587,'0.Productos'!DJ$1+1,0),"")</f>
        <v/>
      </c>
      <c r="BS63" s="133" t="str">
        <f>IF($A63&lt;&gt;0,VLOOKUP($A63,'0.Productos'!$A$3:$GG$587,'0.Productos'!DK$1+1,0),"")</f>
        <v/>
      </c>
      <c r="BT63" s="133" t="str">
        <f>IF($A63&lt;&gt;0,VLOOKUP($A63,'0.Productos'!$A$3:$GG$587,'0.Productos'!DL$1+1,0),"")</f>
        <v/>
      </c>
    </row>
    <row r="64" spans="1:72" x14ac:dyDescent="0.25">
      <c r="A64" s="17">
        <f>'0.Consolidado general'!A64</f>
        <v>0</v>
      </c>
      <c r="B64" s="133" t="str">
        <f>IF($A64&lt;&gt;0,VLOOKUP($A64,'0.Productos'!$A$3:$GG$587,'0.Productos'!AT$1+1,0),"")</f>
        <v/>
      </c>
      <c r="C64" s="133" t="str">
        <f>IF($A64&lt;&gt;0,VLOOKUP($A64,'0.Productos'!$A$3:$GG$587,'0.Productos'!AU$1+1,0),"")</f>
        <v/>
      </c>
      <c r="D64" s="133" t="str">
        <f>IF($A64&lt;&gt;0,VLOOKUP($A64,'0.Productos'!$A$3:$GG$587,'0.Productos'!AV$1+1,0),"")</f>
        <v/>
      </c>
      <c r="E64" s="133" t="str">
        <f>IF($A64&lt;&gt;0,VLOOKUP($A64,'0.Productos'!$A$3:$GG$587,'0.Productos'!AW$1+1,0),"")</f>
        <v/>
      </c>
      <c r="F64" s="133" t="str">
        <f>IF($A64&lt;&gt;0,VLOOKUP($A64,'0.Productos'!$A$3:$GG$587,'0.Productos'!AX$1+1,0),"")</f>
        <v/>
      </c>
      <c r="G64" s="133" t="str">
        <f>IF($A64&lt;&gt;0,VLOOKUP($A64,'0.Productos'!$A$3:$GG$587,'0.Productos'!AY$1+1,0),"")</f>
        <v/>
      </c>
      <c r="H64" s="133" t="str">
        <f>IF($A64&lt;&gt;0,VLOOKUP($A64,'0.Productos'!$A$3:$GG$587,'0.Productos'!AZ$1+1,0),"")</f>
        <v/>
      </c>
      <c r="I64" s="133" t="str">
        <f>IF($A64&lt;&gt;0,VLOOKUP($A64,'0.Productos'!$A$3:$GG$587,'0.Productos'!BA$1+1,0),"")</f>
        <v/>
      </c>
      <c r="J64" s="133" t="str">
        <f>IF($A64&lt;&gt;0,VLOOKUP($A64,'0.Productos'!$A$3:$GG$587,'0.Productos'!BB$1+1,0),"")</f>
        <v/>
      </c>
      <c r="K64" s="133" t="str">
        <f>IF($A64&lt;&gt;0,VLOOKUP($A64,'0.Productos'!$A$3:$GG$587,'0.Productos'!BC$1+1,0),"")</f>
        <v/>
      </c>
      <c r="L64" s="133" t="str">
        <f>IF($A64&lt;&gt;0,VLOOKUP($A64,'0.Productos'!$A$3:$GG$587,'0.Productos'!BD$1+1,0),"")</f>
        <v/>
      </c>
      <c r="M64" s="133" t="str">
        <f>IF($A64&lt;&gt;0,VLOOKUP($A64,'0.Productos'!$A$3:$GG$587,'0.Productos'!BE$1+1,0),"")</f>
        <v/>
      </c>
      <c r="N64" s="133" t="str">
        <f>IF($A64&lt;&gt;0,VLOOKUP($A64,'0.Productos'!$A$3:$GG$587,'0.Productos'!BF$1+1,0),"")</f>
        <v/>
      </c>
      <c r="O64" s="133" t="str">
        <f>IF($A64&lt;&gt;0,VLOOKUP($A64,'0.Productos'!$A$3:$GG$587,'0.Productos'!BG$1+1,0),"")</f>
        <v/>
      </c>
      <c r="P64" s="133" t="str">
        <f>IF($A64&lt;&gt;0,VLOOKUP($A64,'0.Productos'!$A$3:$GG$587,'0.Productos'!BH$1+1,0),"")</f>
        <v/>
      </c>
      <c r="Q64" s="133" t="str">
        <f>IF($A64&lt;&gt;0,VLOOKUP($A64,'0.Productos'!$A$3:$GG$587,'0.Productos'!BI$1+1,0),"")</f>
        <v/>
      </c>
      <c r="R64" s="133" t="str">
        <f>IF($A64&lt;&gt;0,VLOOKUP($A64,'0.Productos'!$A$3:$GG$587,'0.Productos'!BJ$1+1,0),"")</f>
        <v/>
      </c>
      <c r="S64" s="133" t="str">
        <f>IF($A64&lt;&gt;0,VLOOKUP($A64,'0.Productos'!$A$3:$GG$587,'0.Productos'!BK$1+1,0),"")</f>
        <v/>
      </c>
      <c r="T64" s="133" t="str">
        <f>IF($A64&lt;&gt;0,VLOOKUP($A64,'0.Productos'!$A$3:$GG$587,'0.Productos'!BL$1+1,0),"")</f>
        <v/>
      </c>
      <c r="U64" s="133" t="str">
        <f>IF($A64&lt;&gt;0,VLOOKUP($A64,'0.Productos'!$A$3:$GG$587,'0.Productos'!BM$1+1,0),"")</f>
        <v/>
      </c>
      <c r="V64" s="133" t="str">
        <f>IF($A64&lt;&gt;0,VLOOKUP($A64,'0.Productos'!$A$3:$GG$587,'0.Productos'!BN$1+1,0),"")</f>
        <v/>
      </c>
      <c r="W64" s="133" t="str">
        <f>IF($A64&lt;&gt;0,VLOOKUP($A64,'0.Productos'!$A$3:$GG$587,'0.Productos'!BO$1+1,0),"")</f>
        <v/>
      </c>
      <c r="X64" s="133" t="str">
        <f>IF($A64&lt;&gt;0,VLOOKUP($A64,'0.Productos'!$A$3:$GG$587,'0.Productos'!BP$1+1,0),"")</f>
        <v/>
      </c>
      <c r="Y64" s="133" t="str">
        <f>IF($A64&lt;&gt;0,VLOOKUP($A64,'0.Productos'!$A$3:$GG$587,'0.Productos'!BQ$1+1,0),"")</f>
        <v/>
      </c>
      <c r="Z64" s="133" t="str">
        <f>IF($A64&lt;&gt;0,VLOOKUP($A64,'0.Productos'!$A$3:$GG$587,'0.Productos'!BR$1+1,0),"")</f>
        <v/>
      </c>
      <c r="AA64" s="133" t="str">
        <f>IF($A64&lt;&gt;0,VLOOKUP($A64,'0.Productos'!$A$3:$GG$587,'0.Productos'!BS$1+1,0),"")</f>
        <v/>
      </c>
      <c r="AB64" s="133" t="str">
        <f>IF($A64&lt;&gt;0,VLOOKUP($A64,'0.Productos'!$A$3:$GG$587,'0.Productos'!BT$1+1,0),"")</f>
        <v/>
      </c>
      <c r="AC64" s="133" t="str">
        <f>IF($A64&lt;&gt;0,VLOOKUP($A64,'0.Productos'!$A$3:$GG$587,'0.Productos'!BU$1+1,0),"")</f>
        <v/>
      </c>
      <c r="AD64" s="133" t="str">
        <f>IF($A64&lt;&gt;0,VLOOKUP($A64,'0.Productos'!$A$3:$GG$587,'0.Productos'!BV$1+1,0),"")</f>
        <v/>
      </c>
      <c r="AE64" s="133" t="str">
        <f>IF($A64&lt;&gt;0,VLOOKUP($A64,'0.Productos'!$A$3:$GG$587,'0.Productos'!BW$1+1,0),"")</f>
        <v/>
      </c>
      <c r="AF64" s="133" t="str">
        <f>IF($A64&lt;&gt;0,VLOOKUP($A64,'0.Productos'!$A$3:$GG$587,'0.Productos'!BX$1+1,0),"")</f>
        <v/>
      </c>
      <c r="AG64" s="133" t="str">
        <f>IF($A64&lt;&gt;0,VLOOKUP($A64,'0.Productos'!$A$3:$GG$587,'0.Productos'!BY$1+1,0),"")</f>
        <v/>
      </c>
      <c r="AH64" s="133" t="str">
        <f>IF($A64&lt;&gt;0,VLOOKUP($A64,'0.Productos'!$A$3:$GG$587,'0.Productos'!BZ$1+1,0),"")</f>
        <v/>
      </c>
      <c r="AI64" s="133" t="str">
        <f>IF($A64&lt;&gt;0,VLOOKUP($A64,'0.Productos'!$A$3:$GG$587,'0.Productos'!CA$1+1,0),"")</f>
        <v/>
      </c>
      <c r="AJ64" s="133" t="str">
        <f>IF($A64&lt;&gt;0,VLOOKUP($A64,'0.Productos'!$A$3:$GG$587,'0.Productos'!CB$1+1,0),"")</f>
        <v/>
      </c>
      <c r="AK64" s="133" t="str">
        <f>IF($A64&lt;&gt;0,VLOOKUP($A64,'0.Productos'!$A$3:$GG$587,'0.Productos'!CC$1+1,0),"")</f>
        <v/>
      </c>
      <c r="AL64" s="133" t="str">
        <f>IF($A64&lt;&gt;0,VLOOKUP($A64,'0.Productos'!$A$3:$GG$587,'0.Productos'!CD$1+1,0),"")</f>
        <v/>
      </c>
      <c r="AM64" s="133" t="str">
        <f>IF($A64&lt;&gt;0,VLOOKUP($A64,'0.Productos'!$A$3:$GG$587,'0.Productos'!CE$1+1,0),"")</f>
        <v/>
      </c>
      <c r="AN64" s="133" t="str">
        <f>IF($A64&lt;&gt;0,VLOOKUP($A64,'0.Productos'!$A$3:$GG$587,'0.Productos'!CF$1+1,0),"")</f>
        <v/>
      </c>
      <c r="AO64" s="133" t="str">
        <f>IF($A64&lt;&gt;0,VLOOKUP($A64,'0.Productos'!$A$3:$GG$587,'0.Productos'!CG$1+1,0),"")</f>
        <v/>
      </c>
      <c r="AP64" s="133" t="str">
        <f>IF($A64&lt;&gt;0,VLOOKUP($A64,'0.Productos'!$A$3:$GG$587,'0.Productos'!CH$1+1,0),"")</f>
        <v/>
      </c>
      <c r="AQ64" s="133" t="str">
        <f>IF($A64&lt;&gt;0,VLOOKUP($A64,'0.Productos'!$A$3:$GG$587,'0.Productos'!CI$1+1,0),"")</f>
        <v/>
      </c>
      <c r="AR64" s="133" t="str">
        <f>IF($A64&lt;&gt;0,VLOOKUP($A64,'0.Productos'!$A$3:$GG$587,'0.Productos'!CJ$1+1,0),"")</f>
        <v/>
      </c>
      <c r="AS64" s="133" t="str">
        <f>IF($A64&lt;&gt;0,VLOOKUP($A64,'0.Productos'!$A$3:$GG$587,'0.Productos'!CK$1+1,0),"")</f>
        <v/>
      </c>
      <c r="AT64" s="133" t="str">
        <f>IF($A64&lt;&gt;0,VLOOKUP($A64,'0.Productos'!$A$3:$GG$587,'0.Productos'!CL$1+1,0),"")</f>
        <v/>
      </c>
      <c r="AU64" s="133" t="str">
        <f>IF($A64&lt;&gt;0,VLOOKUP($A64,'0.Productos'!$A$3:$GG$587,'0.Productos'!CM$1+1,0),"")</f>
        <v/>
      </c>
      <c r="AV64" s="133" t="str">
        <f>IF($A64&lt;&gt;0,VLOOKUP($A64,'0.Productos'!$A$3:$GG$587,'0.Productos'!CN$1+1,0),"")</f>
        <v/>
      </c>
      <c r="AW64" s="133" t="str">
        <f>IF($A64&lt;&gt;0,VLOOKUP($A64,'0.Productos'!$A$3:$GG$587,'0.Productos'!CO$1+1,0),"")</f>
        <v/>
      </c>
      <c r="AX64" s="133" t="str">
        <f>IF($A64&lt;&gt;0,VLOOKUP($A64,'0.Productos'!$A$3:$GG$587,'0.Productos'!CP$1+1,0),"")</f>
        <v/>
      </c>
      <c r="AY64" s="133" t="str">
        <f>IF($A64&lt;&gt;0,VLOOKUP($A64,'0.Productos'!$A$3:$GG$587,'0.Productos'!CQ$1+1,0),"")</f>
        <v/>
      </c>
      <c r="AZ64" s="133" t="str">
        <f>IF($A64&lt;&gt;0,VLOOKUP($A64,'0.Productos'!$A$3:$GG$587,'0.Productos'!CR$1+1,0),"")</f>
        <v/>
      </c>
      <c r="BA64" s="133" t="str">
        <f>IF($A64&lt;&gt;0,VLOOKUP($A64,'0.Productos'!$A$3:$GG$587,'0.Productos'!CS$1+1,0),"")</f>
        <v/>
      </c>
      <c r="BB64" s="133" t="str">
        <f>IF($A64&lt;&gt;0,VLOOKUP($A64,'0.Productos'!$A$3:$GG$587,'0.Productos'!CT$1+1,0),"")</f>
        <v/>
      </c>
      <c r="BC64" s="133" t="str">
        <f>IF($A64&lt;&gt;0,VLOOKUP($A64,'0.Productos'!$A$3:$GG$587,'0.Productos'!CU$1+1,0),"")</f>
        <v/>
      </c>
      <c r="BD64" s="133" t="str">
        <f>IF($A64&lt;&gt;0,VLOOKUP($A64,'0.Productos'!$A$3:$GG$587,'0.Productos'!CV$1+1,0),"")</f>
        <v/>
      </c>
      <c r="BE64" s="133" t="str">
        <f>IF($A64&lt;&gt;0,VLOOKUP($A64,'0.Productos'!$A$3:$GG$587,'0.Productos'!CW$1+1,0),"")</f>
        <v/>
      </c>
      <c r="BF64" s="133" t="str">
        <f>IF($A64&lt;&gt;0,VLOOKUP($A64,'0.Productos'!$A$3:$GG$587,'0.Productos'!CX$1+1,0),"")</f>
        <v/>
      </c>
      <c r="BG64" s="133" t="str">
        <f>IF($A64&lt;&gt;0,VLOOKUP($A64,'0.Productos'!$A$3:$GG$587,'0.Productos'!CY$1+1,0),"")</f>
        <v/>
      </c>
      <c r="BH64" s="133" t="str">
        <f>IF($A64&lt;&gt;0,VLOOKUP($A64,'0.Productos'!$A$3:$GG$587,'0.Productos'!CZ$1+1,0),"")</f>
        <v/>
      </c>
      <c r="BI64" s="133" t="str">
        <f>IF($A64&lt;&gt;0,VLOOKUP($A64,'0.Productos'!$A$3:$GG$587,'0.Productos'!DA$1+1,0),"")</f>
        <v/>
      </c>
      <c r="BJ64" s="133" t="str">
        <f>IF($A64&lt;&gt;0,VLOOKUP($A64,'0.Productos'!$A$3:$GG$587,'0.Productos'!DB$1+1,0),"")</f>
        <v/>
      </c>
      <c r="BK64" s="133" t="str">
        <f>IF($A64&lt;&gt;0,VLOOKUP($A64,'0.Productos'!$A$3:$GG$587,'0.Productos'!DC$1+1,0),"")</f>
        <v/>
      </c>
      <c r="BL64" s="133" t="str">
        <f>IF($A64&lt;&gt;0,VLOOKUP($A64,'0.Productos'!$A$3:$GG$587,'0.Productos'!DD$1+1,0),"")</f>
        <v/>
      </c>
      <c r="BM64" s="133" t="str">
        <f>IF($A64&lt;&gt;0,VLOOKUP($A64,'0.Productos'!$A$3:$GG$587,'0.Productos'!DE$1+1,0),"")</f>
        <v/>
      </c>
      <c r="BN64" s="133" t="str">
        <f>IF($A64&lt;&gt;0,VLOOKUP($A64,'0.Productos'!$A$3:$GG$587,'0.Productos'!DF$1+1,0),"")</f>
        <v/>
      </c>
      <c r="BO64" s="133" t="str">
        <f>IF($A64&lt;&gt;0,VLOOKUP($A64,'0.Productos'!$A$3:$GG$587,'0.Productos'!DG$1+1,0),"")</f>
        <v/>
      </c>
      <c r="BP64" s="133" t="str">
        <f>IF($A64&lt;&gt;0,VLOOKUP($A64,'0.Productos'!$A$3:$GG$587,'0.Productos'!DH$1+1,0),"")</f>
        <v/>
      </c>
      <c r="BQ64" s="133" t="str">
        <f>IF($A64&lt;&gt;0,VLOOKUP($A64,'0.Productos'!$A$3:$GG$587,'0.Productos'!DI$1+1,0),"")</f>
        <v/>
      </c>
      <c r="BR64" s="133" t="str">
        <f>IF($A64&lt;&gt;0,VLOOKUP($A64,'0.Productos'!$A$3:$GG$587,'0.Productos'!DJ$1+1,0),"")</f>
        <v/>
      </c>
      <c r="BS64" s="133" t="str">
        <f>IF($A64&lt;&gt;0,VLOOKUP($A64,'0.Productos'!$A$3:$GG$587,'0.Productos'!DK$1+1,0),"")</f>
        <v/>
      </c>
      <c r="BT64" s="133" t="str">
        <f>IF($A64&lt;&gt;0,VLOOKUP($A64,'0.Productos'!$A$3:$GG$587,'0.Productos'!DL$1+1,0),"")</f>
        <v/>
      </c>
    </row>
    <row r="65" spans="1:72" x14ac:dyDescent="0.25">
      <c r="A65" s="17">
        <f>'0.Consolidado general'!A65</f>
        <v>0</v>
      </c>
      <c r="B65" s="133" t="str">
        <f>IF($A65&lt;&gt;0,VLOOKUP($A65,'0.Productos'!$A$3:$GG$587,'0.Productos'!AT$1+1,0),"")</f>
        <v/>
      </c>
      <c r="C65" s="133" t="str">
        <f>IF($A65&lt;&gt;0,VLOOKUP($A65,'0.Productos'!$A$3:$GG$587,'0.Productos'!AU$1+1,0),"")</f>
        <v/>
      </c>
      <c r="D65" s="133" t="str">
        <f>IF($A65&lt;&gt;0,VLOOKUP($A65,'0.Productos'!$A$3:$GG$587,'0.Productos'!AV$1+1,0),"")</f>
        <v/>
      </c>
      <c r="E65" s="133" t="str">
        <f>IF($A65&lt;&gt;0,VLOOKUP($A65,'0.Productos'!$A$3:$GG$587,'0.Productos'!AW$1+1,0),"")</f>
        <v/>
      </c>
      <c r="F65" s="133" t="str">
        <f>IF($A65&lt;&gt;0,VLOOKUP($A65,'0.Productos'!$A$3:$GG$587,'0.Productos'!AX$1+1,0),"")</f>
        <v/>
      </c>
      <c r="G65" s="133" t="str">
        <f>IF($A65&lt;&gt;0,VLOOKUP($A65,'0.Productos'!$A$3:$GG$587,'0.Productos'!AY$1+1,0),"")</f>
        <v/>
      </c>
      <c r="H65" s="133" t="str">
        <f>IF($A65&lt;&gt;0,VLOOKUP($A65,'0.Productos'!$A$3:$GG$587,'0.Productos'!AZ$1+1,0),"")</f>
        <v/>
      </c>
      <c r="I65" s="133" t="str">
        <f>IF($A65&lt;&gt;0,VLOOKUP($A65,'0.Productos'!$A$3:$GG$587,'0.Productos'!BA$1+1,0),"")</f>
        <v/>
      </c>
      <c r="J65" s="133" t="str">
        <f>IF($A65&lt;&gt;0,VLOOKUP($A65,'0.Productos'!$A$3:$GG$587,'0.Productos'!BB$1+1,0),"")</f>
        <v/>
      </c>
      <c r="K65" s="133" t="str">
        <f>IF($A65&lt;&gt;0,VLOOKUP($A65,'0.Productos'!$A$3:$GG$587,'0.Productos'!BC$1+1,0),"")</f>
        <v/>
      </c>
      <c r="L65" s="133" t="str">
        <f>IF($A65&lt;&gt;0,VLOOKUP($A65,'0.Productos'!$A$3:$GG$587,'0.Productos'!BD$1+1,0),"")</f>
        <v/>
      </c>
      <c r="M65" s="133" t="str">
        <f>IF($A65&lt;&gt;0,VLOOKUP($A65,'0.Productos'!$A$3:$GG$587,'0.Productos'!BE$1+1,0),"")</f>
        <v/>
      </c>
      <c r="N65" s="133" t="str">
        <f>IF($A65&lt;&gt;0,VLOOKUP($A65,'0.Productos'!$A$3:$GG$587,'0.Productos'!BF$1+1,0),"")</f>
        <v/>
      </c>
      <c r="O65" s="133" t="str">
        <f>IF($A65&lt;&gt;0,VLOOKUP($A65,'0.Productos'!$A$3:$GG$587,'0.Productos'!BG$1+1,0),"")</f>
        <v/>
      </c>
      <c r="P65" s="133" t="str">
        <f>IF($A65&lt;&gt;0,VLOOKUP($A65,'0.Productos'!$A$3:$GG$587,'0.Productos'!BH$1+1,0),"")</f>
        <v/>
      </c>
      <c r="Q65" s="133" t="str">
        <f>IF($A65&lt;&gt;0,VLOOKUP($A65,'0.Productos'!$A$3:$GG$587,'0.Productos'!BI$1+1,0),"")</f>
        <v/>
      </c>
      <c r="R65" s="133" t="str">
        <f>IF($A65&lt;&gt;0,VLOOKUP($A65,'0.Productos'!$A$3:$GG$587,'0.Productos'!BJ$1+1,0),"")</f>
        <v/>
      </c>
      <c r="S65" s="133" t="str">
        <f>IF($A65&lt;&gt;0,VLOOKUP($A65,'0.Productos'!$A$3:$GG$587,'0.Productos'!BK$1+1,0),"")</f>
        <v/>
      </c>
      <c r="T65" s="133" t="str">
        <f>IF($A65&lt;&gt;0,VLOOKUP($A65,'0.Productos'!$A$3:$GG$587,'0.Productos'!BL$1+1,0),"")</f>
        <v/>
      </c>
      <c r="U65" s="133" t="str">
        <f>IF($A65&lt;&gt;0,VLOOKUP($A65,'0.Productos'!$A$3:$GG$587,'0.Productos'!BM$1+1,0),"")</f>
        <v/>
      </c>
      <c r="V65" s="133" t="str">
        <f>IF($A65&lt;&gt;0,VLOOKUP($A65,'0.Productos'!$A$3:$GG$587,'0.Productos'!BN$1+1,0),"")</f>
        <v/>
      </c>
      <c r="W65" s="133" t="str">
        <f>IF($A65&lt;&gt;0,VLOOKUP($A65,'0.Productos'!$A$3:$GG$587,'0.Productos'!BO$1+1,0),"")</f>
        <v/>
      </c>
      <c r="X65" s="133" t="str">
        <f>IF($A65&lt;&gt;0,VLOOKUP($A65,'0.Productos'!$A$3:$GG$587,'0.Productos'!BP$1+1,0),"")</f>
        <v/>
      </c>
      <c r="Y65" s="133" t="str">
        <f>IF($A65&lt;&gt;0,VLOOKUP($A65,'0.Productos'!$A$3:$GG$587,'0.Productos'!BQ$1+1,0),"")</f>
        <v/>
      </c>
      <c r="Z65" s="133" t="str">
        <f>IF($A65&lt;&gt;0,VLOOKUP($A65,'0.Productos'!$A$3:$GG$587,'0.Productos'!BR$1+1,0),"")</f>
        <v/>
      </c>
      <c r="AA65" s="133" t="str">
        <f>IF($A65&lt;&gt;0,VLOOKUP($A65,'0.Productos'!$A$3:$GG$587,'0.Productos'!BS$1+1,0),"")</f>
        <v/>
      </c>
      <c r="AB65" s="133" t="str">
        <f>IF($A65&lt;&gt;0,VLOOKUP($A65,'0.Productos'!$A$3:$GG$587,'0.Productos'!BT$1+1,0),"")</f>
        <v/>
      </c>
      <c r="AC65" s="133" t="str">
        <f>IF($A65&lt;&gt;0,VLOOKUP($A65,'0.Productos'!$A$3:$GG$587,'0.Productos'!BU$1+1,0),"")</f>
        <v/>
      </c>
      <c r="AD65" s="133" t="str">
        <f>IF($A65&lt;&gt;0,VLOOKUP($A65,'0.Productos'!$A$3:$GG$587,'0.Productos'!BV$1+1,0),"")</f>
        <v/>
      </c>
      <c r="AE65" s="133" t="str">
        <f>IF($A65&lt;&gt;0,VLOOKUP($A65,'0.Productos'!$A$3:$GG$587,'0.Productos'!BW$1+1,0),"")</f>
        <v/>
      </c>
      <c r="AF65" s="133" t="str">
        <f>IF($A65&lt;&gt;0,VLOOKUP($A65,'0.Productos'!$A$3:$GG$587,'0.Productos'!BX$1+1,0),"")</f>
        <v/>
      </c>
      <c r="AG65" s="133" t="str">
        <f>IF($A65&lt;&gt;0,VLOOKUP($A65,'0.Productos'!$A$3:$GG$587,'0.Productos'!BY$1+1,0),"")</f>
        <v/>
      </c>
      <c r="AH65" s="133" t="str">
        <f>IF($A65&lt;&gt;0,VLOOKUP($A65,'0.Productos'!$A$3:$GG$587,'0.Productos'!BZ$1+1,0),"")</f>
        <v/>
      </c>
      <c r="AI65" s="133" t="str">
        <f>IF($A65&lt;&gt;0,VLOOKUP($A65,'0.Productos'!$A$3:$GG$587,'0.Productos'!CA$1+1,0),"")</f>
        <v/>
      </c>
      <c r="AJ65" s="133" t="str">
        <f>IF($A65&lt;&gt;0,VLOOKUP($A65,'0.Productos'!$A$3:$GG$587,'0.Productos'!CB$1+1,0),"")</f>
        <v/>
      </c>
      <c r="AK65" s="133" t="str">
        <f>IF($A65&lt;&gt;0,VLOOKUP($A65,'0.Productos'!$A$3:$GG$587,'0.Productos'!CC$1+1,0),"")</f>
        <v/>
      </c>
      <c r="AL65" s="133" t="str">
        <f>IF($A65&lt;&gt;0,VLOOKUP($A65,'0.Productos'!$A$3:$GG$587,'0.Productos'!CD$1+1,0),"")</f>
        <v/>
      </c>
      <c r="AM65" s="133" t="str">
        <f>IF($A65&lt;&gt;0,VLOOKUP($A65,'0.Productos'!$A$3:$GG$587,'0.Productos'!CE$1+1,0),"")</f>
        <v/>
      </c>
      <c r="AN65" s="133" t="str">
        <f>IF($A65&lt;&gt;0,VLOOKUP($A65,'0.Productos'!$A$3:$GG$587,'0.Productos'!CF$1+1,0),"")</f>
        <v/>
      </c>
      <c r="AO65" s="133" t="str">
        <f>IF($A65&lt;&gt;0,VLOOKUP($A65,'0.Productos'!$A$3:$GG$587,'0.Productos'!CG$1+1,0),"")</f>
        <v/>
      </c>
      <c r="AP65" s="133" t="str">
        <f>IF($A65&lt;&gt;0,VLOOKUP($A65,'0.Productos'!$A$3:$GG$587,'0.Productos'!CH$1+1,0),"")</f>
        <v/>
      </c>
      <c r="AQ65" s="133" t="str">
        <f>IF($A65&lt;&gt;0,VLOOKUP($A65,'0.Productos'!$A$3:$GG$587,'0.Productos'!CI$1+1,0),"")</f>
        <v/>
      </c>
      <c r="AR65" s="133" t="str">
        <f>IF($A65&lt;&gt;0,VLOOKUP($A65,'0.Productos'!$A$3:$GG$587,'0.Productos'!CJ$1+1,0),"")</f>
        <v/>
      </c>
      <c r="AS65" s="133" t="str">
        <f>IF($A65&lt;&gt;0,VLOOKUP($A65,'0.Productos'!$A$3:$GG$587,'0.Productos'!CK$1+1,0),"")</f>
        <v/>
      </c>
      <c r="AT65" s="133" t="str">
        <f>IF($A65&lt;&gt;0,VLOOKUP($A65,'0.Productos'!$A$3:$GG$587,'0.Productos'!CL$1+1,0),"")</f>
        <v/>
      </c>
      <c r="AU65" s="133" t="str">
        <f>IF($A65&lt;&gt;0,VLOOKUP($A65,'0.Productos'!$A$3:$GG$587,'0.Productos'!CM$1+1,0),"")</f>
        <v/>
      </c>
      <c r="AV65" s="133" t="str">
        <f>IF($A65&lt;&gt;0,VLOOKUP($A65,'0.Productos'!$A$3:$GG$587,'0.Productos'!CN$1+1,0),"")</f>
        <v/>
      </c>
      <c r="AW65" s="133" t="str">
        <f>IF($A65&lt;&gt;0,VLOOKUP($A65,'0.Productos'!$A$3:$GG$587,'0.Productos'!CO$1+1,0),"")</f>
        <v/>
      </c>
      <c r="AX65" s="133" t="str">
        <f>IF($A65&lt;&gt;0,VLOOKUP($A65,'0.Productos'!$A$3:$GG$587,'0.Productos'!CP$1+1,0),"")</f>
        <v/>
      </c>
      <c r="AY65" s="133" t="str">
        <f>IF($A65&lt;&gt;0,VLOOKUP($A65,'0.Productos'!$A$3:$GG$587,'0.Productos'!CQ$1+1,0),"")</f>
        <v/>
      </c>
      <c r="AZ65" s="133" t="str">
        <f>IF($A65&lt;&gt;0,VLOOKUP($A65,'0.Productos'!$A$3:$GG$587,'0.Productos'!CR$1+1,0),"")</f>
        <v/>
      </c>
      <c r="BA65" s="133" t="str">
        <f>IF($A65&lt;&gt;0,VLOOKUP($A65,'0.Productos'!$A$3:$GG$587,'0.Productos'!CS$1+1,0),"")</f>
        <v/>
      </c>
      <c r="BB65" s="133" t="str">
        <f>IF($A65&lt;&gt;0,VLOOKUP($A65,'0.Productos'!$A$3:$GG$587,'0.Productos'!CT$1+1,0),"")</f>
        <v/>
      </c>
      <c r="BC65" s="133" t="str">
        <f>IF($A65&lt;&gt;0,VLOOKUP($A65,'0.Productos'!$A$3:$GG$587,'0.Productos'!CU$1+1,0),"")</f>
        <v/>
      </c>
      <c r="BD65" s="133" t="str">
        <f>IF($A65&lt;&gt;0,VLOOKUP($A65,'0.Productos'!$A$3:$GG$587,'0.Productos'!CV$1+1,0),"")</f>
        <v/>
      </c>
      <c r="BE65" s="133" t="str">
        <f>IF($A65&lt;&gt;0,VLOOKUP($A65,'0.Productos'!$A$3:$GG$587,'0.Productos'!CW$1+1,0),"")</f>
        <v/>
      </c>
      <c r="BF65" s="133" t="str">
        <f>IF($A65&lt;&gt;0,VLOOKUP($A65,'0.Productos'!$A$3:$GG$587,'0.Productos'!CX$1+1,0),"")</f>
        <v/>
      </c>
      <c r="BG65" s="133" t="str">
        <f>IF($A65&lt;&gt;0,VLOOKUP($A65,'0.Productos'!$A$3:$GG$587,'0.Productos'!CY$1+1,0),"")</f>
        <v/>
      </c>
      <c r="BH65" s="133" t="str">
        <f>IF($A65&lt;&gt;0,VLOOKUP($A65,'0.Productos'!$A$3:$GG$587,'0.Productos'!CZ$1+1,0),"")</f>
        <v/>
      </c>
      <c r="BI65" s="133" t="str">
        <f>IF($A65&lt;&gt;0,VLOOKUP($A65,'0.Productos'!$A$3:$GG$587,'0.Productos'!DA$1+1,0),"")</f>
        <v/>
      </c>
      <c r="BJ65" s="133" t="str">
        <f>IF($A65&lt;&gt;0,VLOOKUP($A65,'0.Productos'!$A$3:$GG$587,'0.Productos'!DB$1+1,0),"")</f>
        <v/>
      </c>
      <c r="BK65" s="133" t="str">
        <f>IF($A65&lt;&gt;0,VLOOKUP($A65,'0.Productos'!$A$3:$GG$587,'0.Productos'!DC$1+1,0),"")</f>
        <v/>
      </c>
      <c r="BL65" s="133" t="str">
        <f>IF($A65&lt;&gt;0,VLOOKUP($A65,'0.Productos'!$A$3:$GG$587,'0.Productos'!DD$1+1,0),"")</f>
        <v/>
      </c>
      <c r="BM65" s="133" t="str">
        <f>IF($A65&lt;&gt;0,VLOOKUP($A65,'0.Productos'!$A$3:$GG$587,'0.Productos'!DE$1+1,0),"")</f>
        <v/>
      </c>
      <c r="BN65" s="133" t="str">
        <f>IF($A65&lt;&gt;0,VLOOKUP($A65,'0.Productos'!$A$3:$GG$587,'0.Productos'!DF$1+1,0),"")</f>
        <v/>
      </c>
      <c r="BO65" s="133" t="str">
        <f>IF($A65&lt;&gt;0,VLOOKUP($A65,'0.Productos'!$A$3:$GG$587,'0.Productos'!DG$1+1,0),"")</f>
        <v/>
      </c>
      <c r="BP65" s="133" t="str">
        <f>IF($A65&lt;&gt;0,VLOOKUP($A65,'0.Productos'!$A$3:$GG$587,'0.Productos'!DH$1+1,0),"")</f>
        <v/>
      </c>
      <c r="BQ65" s="133" t="str">
        <f>IF($A65&lt;&gt;0,VLOOKUP($A65,'0.Productos'!$A$3:$GG$587,'0.Productos'!DI$1+1,0),"")</f>
        <v/>
      </c>
      <c r="BR65" s="133" t="str">
        <f>IF($A65&lt;&gt;0,VLOOKUP($A65,'0.Productos'!$A$3:$GG$587,'0.Productos'!DJ$1+1,0),"")</f>
        <v/>
      </c>
      <c r="BS65" s="133" t="str">
        <f>IF($A65&lt;&gt;0,VLOOKUP($A65,'0.Productos'!$A$3:$GG$587,'0.Productos'!DK$1+1,0),"")</f>
        <v/>
      </c>
      <c r="BT65" s="133" t="str">
        <f>IF($A65&lt;&gt;0,VLOOKUP($A65,'0.Productos'!$A$3:$GG$587,'0.Productos'!DL$1+1,0),"")</f>
        <v/>
      </c>
    </row>
    <row r="66" spans="1:72" x14ac:dyDescent="0.25">
      <c r="A66" s="17">
        <f>'0.Consolidado general'!A66</f>
        <v>0</v>
      </c>
      <c r="B66" s="133" t="str">
        <f>IF($A66&lt;&gt;0,VLOOKUP($A66,'0.Productos'!$A$3:$GG$587,'0.Productos'!AT$1+1,0),"")</f>
        <v/>
      </c>
      <c r="C66" s="133" t="str">
        <f>IF($A66&lt;&gt;0,VLOOKUP($A66,'0.Productos'!$A$3:$GG$587,'0.Productos'!AU$1+1,0),"")</f>
        <v/>
      </c>
      <c r="D66" s="133" t="str">
        <f>IF($A66&lt;&gt;0,VLOOKUP($A66,'0.Productos'!$A$3:$GG$587,'0.Productos'!AV$1+1,0),"")</f>
        <v/>
      </c>
      <c r="E66" s="133" t="str">
        <f>IF($A66&lt;&gt;0,VLOOKUP($A66,'0.Productos'!$A$3:$GG$587,'0.Productos'!AW$1+1,0),"")</f>
        <v/>
      </c>
      <c r="F66" s="133" t="str">
        <f>IF($A66&lt;&gt;0,VLOOKUP($A66,'0.Productos'!$A$3:$GG$587,'0.Productos'!AX$1+1,0),"")</f>
        <v/>
      </c>
      <c r="G66" s="133" t="str">
        <f>IF($A66&lt;&gt;0,VLOOKUP($A66,'0.Productos'!$A$3:$GG$587,'0.Productos'!AY$1+1,0),"")</f>
        <v/>
      </c>
      <c r="H66" s="133" t="str">
        <f>IF($A66&lt;&gt;0,VLOOKUP($A66,'0.Productos'!$A$3:$GG$587,'0.Productos'!AZ$1+1,0),"")</f>
        <v/>
      </c>
      <c r="I66" s="133" t="str">
        <f>IF($A66&lt;&gt;0,VLOOKUP($A66,'0.Productos'!$A$3:$GG$587,'0.Productos'!BA$1+1,0),"")</f>
        <v/>
      </c>
      <c r="J66" s="133" t="str">
        <f>IF($A66&lt;&gt;0,VLOOKUP($A66,'0.Productos'!$A$3:$GG$587,'0.Productos'!BB$1+1,0),"")</f>
        <v/>
      </c>
      <c r="K66" s="133" t="str">
        <f>IF($A66&lt;&gt;0,VLOOKUP($A66,'0.Productos'!$A$3:$GG$587,'0.Productos'!BC$1+1,0),"")</f>
        <v/>
      </c>
      <c r="L66" s="133" t="str">
        <f>IF($A66&lt;&gt;0,VLOOKUP($A66,'0.Productos'!$A$3:$GG$587,'0.Productos'!BD$1+1,0),"")</f>
        <v/>
      </c>
      <c r="M66" s="133" t="str">
        <f>IF($A66&lt;&gt;0,VLOOKUP($A66,'0.Productos'!$A$3:$GG$587,'0.Productos'!BE$1+1,0),"")</f>
        <v/>
      </c>
      <c r="N66" s="133" t="str">
        <f>IF($A66&lt;&gt;0,VLOOKUP($A66,'0.Productos'!$A$3:$GG$587,'0.Productos'!BF$1+1,0),"")</f>
        <v/>
      </c>
      <c r="O66" s="133" t="str">
        <f>IF($A66&lt;&gt;0,VLOOKUP($A66,'0.Productos'!$A$3:$GG$587,'0.Productos'!BG$1+1,0),"")</f>
        <v/>
      </c>
      <c r="P66" s="133" t="str">
        <f>IF($A66&lt;&gt;0,VLOOKUP($A66,'0.Productos'!$A$3:$GG$587,'0.Productos'!BH$1+1,0),"")</f>
        <v/>
      </c>
      <c r="Q66" s="133" t="str">
        <f>IF($A66&lt;&gt;0,VLOOKUP($A66,'0.Productos'!$A$3:$GG$587,'0.Productos'!BI$1+1,0),"")</f>
        <v/>
      </c>
      <c r="R66" s="133" t="str">
        <f>IF($A66&lt;&gt;0,VLOOKUP($A66,'0.Productos'!$A$3:$GG$587,'0.Productos'!BJ$1+1,0),"")</f>
        <v/>
      </c>
      <c r="S66" s="133" t="str">
        <f>IF($A66&lt;&gt;0,VLOOKUP($A66,'0.Productos'!$A$3:$GG$587,'0.Productos'!BK$1+1,0),"")</f>
        <v/>
      </c>
      <c r="T66" s="133" t="str">
        <f>IF($A66&lt;&gt;0,VLOOKUP($A66,'0.Productos'!$A$3:$GG$587,'0.Productos'!BL$1+1,0),"")</f>
        <v/>
      </c>
      <c r="U66" s="133" t="str">
        <f>IF($A66&lt;&gt;0,VLOOKUP($A66,'0.Productos'!$A$3:$GG$587,'0.Productos'!BM$1+1,0),"")</f>
        <v/>
      </c>
      <c r="V66" s="133" t="str">
        <f>IF($A66&lt;&gt;0,VLOOKUP($A66,'0.Productos'!$A$3:$GG$587,'0.Productos'!BN$1+1,0),"")</f>
        <v/>
      </c>
      <c r="W66" s="133" t="str">
        <f>IF($A66&lt;&gt;0,VLOOKUP($A66,'0.Productos'!$A$3:$GG$587,'0.Productos'!BO$1+1,0),"")</f>
        <v/>
      </c>
      <c r="X66" s="133" t="str">
        <f>IF($A66&lt;&gt;0,VLOOKUP($A66,'0.Productos'!$A$3:$GG$587,'0.Productos'!BP$1+1,0),"")</f>
        <v/>
      </c>
      <c r="Y66" s="133" t="str">
        <f>IF($A66&lt;&gt;0,VLOOKUP($A66,'0.Productos'!$A$3:$GG$587,'0.Productos'!BQ$1+1,0),"")</f>
        <v/>
      </c>
      <c r="Z66" s="133" t="str">
        <f>IF($A66&lt;&gt;0,VLOOKUP($A66,'0.Productos'!$A$3:$GG$587,'0.Productos'!BR$1+1,0),"")</f>
        <v/>
      </c>
      <c r="AA66" s="133" t="str">
        <f>IF($A66&lt;&gt;0,VLOOKUP($A66,'0.Productos'!$A$3:$GG$587,'0.Productos'!BS$1+1,0),"")</f>
        <v/>
      </c>
      <c r="AB66" s="133" t="str">
        <f>IF($A66&lt;&gt;0,VLOOKUP($A66,'0.Productos'!$A$3:$GG$587,'0.Productos'!BT$1+1,0),"")</f>
        <v/>
      </c>
      <c r="AC66" s="133" t="str">
        <f>IF($A66&lt;&gt;0,VLOOKUP($A66,'0.Productos'!$A$3:$GG$587,'0.Productos'!BU$1+1,0),"")</f>
        <v/>
      </c>
      <c r="AD66" s="133" t="str">
        <f>IF($A66&lt;&gt;0,VLOOKUP($A66,'0.Productos'!$A$3:$GG$587,'0.Productos'!BV$1+1,0),"")</f>
        <v/>
      </c>
      <c r="AE66" s="133" t="str">
        <f>IF($A66&lt;&gt;0,VLOOKUP($A66,'0.Productos'!$A$3:$GG$587,'0.Productos'!BW$1+1,0),"")</f>
        <v/>
      </c>
      <c r="AF66" s="133" t="str">
        <f>IF($A66&lt;&gt;0,VLOOKUP($A66,'0.Productos'!$A$3:$GG$587,'0.Productos'!BX$1+1,0),"")</f>
        <v/>
      </c>
      <c r="AG66" s="133" t="str">
        <f>IF($A66&lt;&gt;0,VLOOKUP($A66,'0.Productos'!$A$3:$GG$587,'0.Productos'!BY$1+1,0),"")</f>
        <v/>
      </c>
      <c r="AH66" s="133" t="str">
        <f>IF($A66&lt;&gt;0,VLOOKUP($A66,'0.Productos'!$A$3:$GG$587,'0.Productos'!BZ$1+1,0),"")</f>
        <v/>
      </c>
      <c r="AI66" s="133" t="str">
        <f>IF($A66&lt;&gt;0,VLOOKUP($A66,'0.Productos'!$A$3:$GG$587,'0.Productos'!CA$1+1,0),"")</f>
        <v/>
      </c>
      <c r="AJ66" s="133" t="str">
        <f>IF($A66&lt;&gt;0,VLOOKUP($A66,'0.Productos'!$A$3:$GG$587,'0.Productos'!CB$1+1,0),"")</f>
        <v/>
      </c>
      <c r="AK66" s="133" t="str">
        <f>IF($A66&lt;&gt;0,VLOOKUP($A66,'0.Productos'!$A$3:$GG$587,'0.Productos'!CC$1+1,0),"")</f>
        <v/>
      </c>
      <c r="AL66" s="133" t="str">
        <f>IF($A66&lt;&gt;0,VLOOKUP($A66,'0.Productos'!$A$3:$GG$587,'0.Productos'!CD$1+1,0),"")</f>
        <v/>
      </c>
      <c r="AM66" s="133" t="str">
        <f>IF($A66&lt;&gt;0,VLOOKUP($A66,'0.Productos'!$A$3:$GG$587,'0.Productos'!CE$1+1,0),"")</f>
        <v/>
      </c>
      <c r="AN66" s="133" t="str">
        <f>IF($A66&lt;&gt;0,VLOOKUP($A66,'0.Productos'!$A$3:$GG$587,'0.Productos'!CF$1+1,0),"")</f>
        <v/>
      </c>
      <c r="AO66" s="133" t="str">
        <f>IF($A66&lt;&gt;0,VLOOKUP($A66,'0.Productos'!$A$3:$GG$587,'0.Productos'!CG$1+1,0),"")</f>
        <v/>
      </c>
      <c r="AP66" s="133" t="str">
        <f>IF($A66&lt;&gt;0,VLOOKUP($A66,'0.Productos'!$A$3:$GG$587,'0.Productos'!CH$1+1,0),"")</f>
        <v/>
      </c>
      <c r="AQ66" s="133" t="str">
        <f>IF($A66&lt;&gt;0,VLOOKUP($A66,'0.Productos'!$A$3:$GG$587,'0.Productos'!CI$1+1,0),"")</f>
        <v/>
      </c>
      <c r="AR66" s="133" t="str">
        <f>IF($A66&lt;&gt;0,VLOOKUP($A66,'0.Productos'!$A$3:$GG$587,'0.Productos'!CJ$1+1,0),"")</f>
        <v/>
      </c>
      <c r="AS66" s="133" t="str">
        <f>IF($A66&lt;&gt;0,VLOOKUP($A66,'0.Productos'!$A$3:$GG$587,'0.Productos'!CK$1+1,0),"")</f>
        <v/>
      </c>
      <c r="AT66" s="133" t="str">
        <f>IF($A66&lt;&gt;0,VLOOKUP($A66,'0.Productos'!$A$3:$GG$587,'0.Productos'!CL$1+1,0),"")</f>
        <v/>
      </c>
      <c r="AU66" s="133" t="str">
        <f>IF($A66&lt;&gt;0,VLOOKUP($A66,'0.Productos'!$A$3:$GG$587,'0.Productos'!CM$1+1,0),"")</f>
        <v/>
      </c>
      <c r="AV66" s="133" t="str">
        <f>IF($A66&lt;&gt;0,VLOOKUP($A66,'0.Productos'!$A$3:$GG$587,'0.Productos'!CN$1+1,0),"")</f>
        <v/>
      </c>
      <c r="AW66" s="133" t="str">
        <f>IF($A66&lt;&gt;0,VLOOKUP($A66,'0.Productos'!$A$3:$GG$587,'0.Productos'!CO$1+1,0),"")</f>
        <v/>
      </c>
      <c r="AX66" s="133" t="str">
        <f>IF($A66&lt;&gt;0,VLOOKUP($A66,'0.Productos'!$A$3:$GG$587,'0.Productos'!CP$1+1,0),"")</f>
        <v/>
      </c>
      <c r="AY66" s="133" t="str">
        <f>IF($A66&lt;&gt;0,VLOOKUP($A66,'0.Productos'!$A$3:$GG$587,'0.Productos'!CQ$1+1,0),"")</f>
        <v/>
      </c>
      <c r="AZ66" s="133" t="str">
        <f>IF($A66&lt;&gt;0,VLOOKUP($A66,'0.Productos'!$A$3:$GG$587,'0.Productos'!CR$1+1,0),"")</f>
        <v/>
      </c>
      <c r="BA66" s="133" t="str">
        <f>IF($A66&lt;&gt;0,VLOOKUP($A66,'0.Productos'!$A$3:$GG$587,'0.Productos'!CS$1+1,0),"")</f>
        <v/>
      </c>
      <c r="BB66" s="133" t="str">
        <f>IF($A66&lt;&gt;0,VLOOKUP($A66,'0.Productos'!$A$3:$GG$587,'0.Productos'!CT$1+1,0),"")</f>
        <v/>
      </c>
      <c r="BC66" s="133" t="str">
        <f>IF($A66&lt;&gt;0,VLOOKUP($A66,'0.Productos'!$A$3:$GG$587,'0.Productos'!CU$1+1,0),"")</f>
        <v/>
      </c>
      <c r="BD66" s="133" t="str">
        <f>IF($A66&lt;&gt;0,VLOOKUP($A66,'0.Productos'!$A$3:$GG$587,'0.Productos'!CV$1+1,0),"")</f>
        <v/>
      </c>
      <c r="BE66" s="133" t="str">
        <f>IF($A66&lt;&gt;0,VLOOKUP($A66,'0.Productos'!$A$3:$GG$587,'0.Productos'!CW$1+1,0),"")</f>
        <v/>
      </c>
      <c r="BF66" s="133" t="str">
        <f>IF($A66&lt;&gt;0,VLOOKUP($A66,'0.Productos'!$A$3:$GG$587,'0.Productos'!CX$1+1,0),"")</f>
        <v/>
      </c>
      <c r="BG66" s="133" t="str">
        <f>IF($A66&lt;&gt;0,VLOOKUP($A66,'0.Productos'!$A$3:$GG$587,'0.Productos'!CY$1+1,0),"")</f>
        <v/>
      </c>
      <c r="BH66" s="133" t="str">
        <f>IF($A66&lt;&gt;0,VLOOKUP($A66,'0.Productos'!$A$3:$GG$587,'0.Productos'!CZ$1+1,0),"")</f>
        <v/>
      </c>
      <c r="BI66" s="133" t="str">
        <f>IF($A66&lt;&gt;0,VLOOKUP($A66,'0.Productos'!$A$3:$GG$587,'0.Productos'!DA$1+1,0),"")</f>
        <v/>
      </c>
      <c r="BJ66" s="133" t="str">
        <f>IF($A66&lt;&gt;0,VLOOKUP($A66,'0.Productos'!$A$3:$GG$587,'0.Productos'!DB$1+1,0),"")</f>
        <v/>
      </c>
      <c r="BK66" s="133" t="str">
        <f>IF($A66&lt;&gt;0,VLOOKUP($A66,'0.Productos'!$A$3:$GG$587,'0.Productos'!DC$1+1,0),"")</f>
        <v/>
      </c>
      <c r="BL66" s="133" t="str">
        <f>IF($A66&lt;&gt;0,VLOOKUP($A66,'0.Productos'!$A$3:$GG$587,'0.Productos'!DD$1+1,0),"")</f>
        <v/>
      </c>
      <c r="BM66" s="133" t="str">
        <f>IF($A66&lt;&gt;0,VLOOKUP($A66,'0.Productos'!$A$3:$GG$587,'0.Productos'!DE$1+1,0),"")</f>
        <v/>
      </c>
      <c r="BN66" s="133" t="str">
        <f>IF($A66&lt;&gt;0,VLOOKUP($A66,'0.Productos'!$A$3:$GG$587,'0.Productos'!DF$1+1,0),"")</f>
        <v/>
      </c>
      <c r="BO66" s="133" t="str">
        <f>IF($A66&lt;&gt;0,VLOOKUP($A66,'0.Productos'!$A$3:$GG$587,'0.Productos'!DG$1+1,0),"")</f>
        <v/>
      </c>
      <c r="BP66" s="133" t="str">
        <f>IF($A66&lt;&gt;0,VLOOKUP($A66,'0.Productos'!$A$3:$GG$587,'0.Productos'!DH$1+1,0),"")</f>
        <v/>
      </c>
      <c r="BQ66" s="133" t="str">
        <f>IF($A66&lt;&gt;0,VLOOKUP($A66,'0.Productos'!$A$3:$GG$587,'0.Productos'!DI$1+1,0),"")</f>
        <v/>
      </c>
      <c r="BR66" s="133" t="str">
        <f>IF($A66&lt;&gt;0,VLOOKUP($A66,'0.Productos'!$A$3:$GG$587,'0.Productos'!DJ$1+1,0),"")</f>
        <v/>
      </c>
      <c r="BS66" s="133" t="str">
        <f>IF($A66&lt;&gt;0,VLOOKUP($A66,'0.Productos'!$A$3:$GG$587,'0.Productos'!DK$1+1,0),"")</f>
        <v/>
      </c>
      <c r="BT66" s="133" t="str">
        <f>IF($A66&lt;&gt;0,VLOOKUP($A66,'0.Productos'!$A$3:$GG$587,'0.Productos'!DL$1+1,0),"")</f>
        <v/>
      </c>
    </row>
    <row r="67" spans="1:72" x14ac:dyDescent="0.25">
      <c r="A67" s="17">
        <f>'0.Consolidado general'!A67</f>
        <v>0</v>
      </c>
      <c r="B67" s="133" t="str">
        <f>IF($A67&lt;&gt;0,VLOOKUP($A67,'0.Productos'!$A$3:$GG$587,'0.Productos'!AT$1+1,0),"")</f>
        <v/>
      </c>
      <c r="C67" s="133" t="str">
        <f>IF($A67&lt;&gt;0,VLOOKUP($A67,'0.Productos'!$A$3:$GG$587,'0.Productos'!AU$1+1,0),"")</f>
        <v/>
      </c>
      <c r="D67" s="133" t="str">
        <f>IF($A67&lt;&gt;0,VLOOKUP($A67,'0.Productos'!$A$3:$GG$587,'0.Productos'!AV$1+1,0),"")</f>
        <v/>
      </c>
      <c r="E67" s="133" t="str">
        <f>IF($A67&lt;&gt;0,VLOOKUP($A67,'0.Productos'!$A$3:$GG$587,'0.Productos'!AW$1+1,0),"")</f>
        <v/>
      </c>
      <c r="F67" s="133" t="str">
        <f>IF($A67&lt;&gt;0,VLOOKUP($A67,'0.Productos'!$A$3:$GG$587,'0.Productos'!AX$1+1,0),"")</f>
        <v/>
      </c>
      <c r="G67" s="133" t="str">
        <f>IF($A67&lt;&gt;0,VLOOKUP($A67,'0.Productos'!$A$3:$GG$587,'0.Productos'!AY$1+1,0),"")</f>
        <v/>
      </c>
      <c r="H67" s="133" t="str">
        <f>IF($A67&lt;&gt;0,VLOOKUP($A67,'0.Productos'!$A$3:$GG$587,'0.Productos'!AZ$1+1,0),"")</f>
        <v/>
      </c>
      <c r="I67" s="133" t="str">
        <f>IF($A67&lt;&gt;0,VLOOKUP($A67,'0.Productos'!$A$3:$GG$587,'0.Productos'!BA$1+1,0),"")</f>
        <v/>
      </c>
      <c r="J67" s="133" t="str">
        <f>IF($A67&lt;&gt;0,VLOOKUP($A67,'0.Productos'!$A$3:$GG$587,'0.Productos'!BB$1+1,0),"")</f>
        <v/>
      </c>
      <c r="K67" s="133" t="str">
        <f>IF($A67&lt;&gt;0,VLOOKUP($A67,'0.Productos'!$A$3:$GG$587,'0.Productos'!BC$1+1,0),"")</f>
        <v/>
      </c>
      <c r="L67" s="133" t="str">
        <f>IF($A67&lt;&gt;0,VLOOKUP($A67,'0.Productos'!$A$3:$GG$587,'0.Productos'!BD$1+1,0),"")</f>
        <v/>
      </c>
      <c r="M67" s="133" t="str">
        <f>IF($A67&lt;&gt;0,VLOOKUP($A67,'0.Productos'!$A$3:$GG$587,'0.Productos'!BE$1+1,0),"")</f>
        <v/>
      </c>
      <c r="N67" s="133" t="str">
        <f>IF($A67&lt;&gt;0,VLOOKUP($A67,'0.Productos'!$A$3:$GG$587,'0.Productos'!BF$1+1,0),"")</f>
        <v/>
      </c>
      <c r="O67" s="133" t="str">
        <f>IF($A67&lt;&gt;0,VLOOKUP($A67,'0.Productos'!$A$3:$GG$587,'0.Productos'!BG$1+1,0),"")</f>
        <v/>
      </c>
      <c r="P67" s="133" t="str">
        <f>IF($A67&lt;&gt;0,VLOOKUP($A67,'0.Productos'!$A$3:$GG$587,'0.Productos'!BH$1+1,0),"")</f>
        <v/>
      </c>
      <c r="Q67" s="133" t="str">
        <f>IF($A67&lt;&gt;0,VLOOKUP($A67,'0.Productos'!$A$3:$GG$587,'0.Productos'!BI$1+1,0),"")</f>
        <v/>
      </c>
      <c r="R67" s="133" t="str">
        <f>IF($A67&lt;&gt;0,VLOOKUP($A67,'0.Productos'!$A$3:$GG$587,'0.Productos'!BJ$1+1,0),"")</f>
        <v/>
      </c>
      <c r="S67" s="133" t="str">
        <f>IF($A67&lt;&gt;0,VLOOKUP($A67,'0.Productos'!$A$3:$GG$587,'0.Productos'!BK$1+1,0),"")</f>
        <v/>
      </c>
      <c r="T67" s="133" t="str">
        <f>IF($A67&lt;&gt;0,VLOOKUP($A67,'0.Productos'!$A$3:$GG$587,'0.Productos'!BL$1+1,0),"")</f>
        <v/>
      </c>
      <c r="U67" s="133" t="str">
        <f>IF($A67&lt;&gt;0,VLOOKUP($A67,'0.Productos'!$A$3:$GG$587,'0.Productos'!BM$1+1,0),"")</f>
        <v/>
      </c>
      <c r="V67" s="133" t="str">
        <f>IF($A67&lt;&gt;0,VLOOKUP($A67,'0.Productos'!$A$3:$GG$587,'0.Productos'!BN$1+1,0),"")</f>
        <v/>
      </c>
      <c r="W67" s="133" t="str">
        <f>IF($A67&lt;&gt;0,VLOOKUP($A67,'0.Productos'!$A$3:$GG$587,'0.Productos'!BO$1+1,0),"")</f>
        <v/>
      </c>
      <c r="X67" s="133" t="str">
        <f>IF($A67&lt;&gt;0,VLOOKUP($A67,'0.Productos'!$A$3:$GG$587,'0.Productos'!BP$1+1,0),"")</f>
        <v/>
      </c>
      <c r="Y67" s="133" t="str">
        <f>IF($A67&lt;&gt;0,VLOOKUP($A67,'0.Productos'!$A$3:$GG$587,'0.Productos'!BQ$1+1,0),"")</f>
        <v/>
      </c>
      <c r="Z67" s="133" t="str">
        <f>IF($A67&lt;&gt;0,VLOOKUP($A67,'0.Productos'!$A$3:$GG$587,'0.Productos'!BR$1+1,0),"")</f>
        <v/>
      </c>
      <c r="AA67" s="133" t="str">
        <f>IF($A67&lt;&gt;0,VLOOKUP($A67,'0.Productos'!$A$3:$GG$587,'0.Productos'!BS$1+1,0),"")</f>
        <v/>
      </c>
      <c r="AB67" s="133" t="str">
        <f>IF($A67&lt;&gt;0,VLOOKUP($A67,'0.Productos'!$A$3:$GG$587,'0.Productos'!BT$1+1,0),"")</f>
        <v/>
      </c>
      <c r="AC67" s="133" t="str">
        <f>IF($A67&lt;&gt;0,VLOOKUP($A67,'0.Productos'!$A$3:$GG$587,'0.Productos'!BU$1+1,0),"")</f>
        <v/>
      </c>
      <c r="AD67" s="133" t="str">
        <f>IF($A67&lt;&gt;0,VLOOKUP($A67,'0.Productos'!$A$3:$GG$587,'0.Productos'!BV$1+1,0),"")</f>
        <v/>
      </c>
      <c r="AE67" s="133" t="str">
        <f>IF($A67&lt;&gt;0,VLOOKUP($A67,'0.Productos'!$A$3:$GG$587,'0.Productos'!BW$1+1,0),"")</f>
        <v/>
      </c>
      <c r="AF67" s="133" t="str">
        <f>IF($A67&lt;&gt;0,VLOOKUP($A67,'0.Productos'!$A$3:$GG$587,'0.Productos'!BX$1+1,0),"")</f>
        <v/>
      </c>
      <c r="AG67" s="133" t="str">
        <f>IF($A67&lt;&gt;0,VLOOKUP($A67,'0.Productos'!$A$3:$GG$587,'0.Productos'!BY$1+1,0),"")</f>
        <v/>
      </c>
      <c r="AH67" s="133" t="str">
        <f>IF($A67&lt;&gt;0,VLOOKUP($A67,'0.Productos'!$A$3:$GG$587,'0.Productos'!BZ$1+1,0),"")</f>
        <v/>
      </c>
      <c r="AI67" s="133" t="str">
        <f>IF($A67&lt;&gt;0,VLOOKUP($A67,'0.Productos'!$A$3:$GG$587,'0.Productos'!CA$1+1,0),"")</f>
        <v/>
      </c>
      <c r="AJ67" s="133" t="str">
        <f>IF($A67&lt;&gt;0,VLOOKUP($A67,'0.Productos'!$A$3:$GG$587,'0.Productos'!CB$1+1,0),"")</f>
        <v/>
      </c>
      <c r="AK67" s="133" t="str">
        <f>IF($A67&lt;&gt;0,VLOOKUP($A67,'0.Productos'!$A$3:$GG$587,'0.Productos'!CC$1+1,0),"")</f>
        <v/>
      </c>
      <c r="AL67" s="133" t="str">
        <f>IF($A67&lt;&gt;0,VLOOKUP($A67,'0.Productos'!$A$3:$GG$587,'0.Productos'!CD$1+1,0),"")</f>
        <v/>
      </c>
      <c r="AM67" s="133" t="str">
        <f>IF($A67&lt;&gt;0,VLOOKUP($A67,'0.Productos'!$A$3:$GG$587,'0.Productos'!CE$1+1,0),"")</f>
        <v/>
      </c>
      <c r="AN67" s="133" t="str">
        <f>IF($A67&lt;&gt;0,VLOOKUP($A67,'0.Productos'!$A$3:$GG$587,'0.Productos'!CF$1+1,0),"")</f>
        <v/>
      </c>
      <c r="AO67" s="133" t="str">
        <f>IF($A67&lt;&gt;0,VLOOKUP($A67,'0.Productos'!$A$3:$GG$587,'0.Productos'!CG$1+1,0),"")</f>
        <v/>
      </c>
      <c r="AP67" s="133" t="str">
        <f>IF($A67&lt;&gt;0,VLOOKUP($A67,'0.Productos'!$A$3:$GG$587,'0.Productos'!CH$1+1,0),"")</f>
        <v/>
      </c>
      <c r="AQ67" s="133" t="str">
        <f>IF($A67&lt;&gt;0,VLOOKUP($A67,'0.Productos'!$A$3:$GG$587,'0.Productos'!CI$1+1,0),"")</f>
        <v/>
      </c>
      <c r="AR67" s="133" t="str">
        <f>IF($A67&lt;&gt;0,VLOOKUP($A67,'0.Productos'!$A$3:$GG$587,'0.Productos'!CJ$1+1,0),"")</f>
        <v/>
      </c>
      <c r="AS67" s="133" t="str">
        <f>IF($A67&lt;&gt;0,VLOOKUP($A67,'0.Productos'!$A$3:$GG$587,'0.Productos'!CK$1+1,0),"")</f>
        <v/>
      </c>
      <c r="AT67" s="133" t="str">
        <f>IF($A67&lt;&gt;0,VLOOKUP($A67,'0.Productos'!$A$3:$GG$587,'0.Productos'!CL$1+1,0),"")</f>
        <v/>
      </c>
      <c r="AU67" s="133" t="str">
        <f>IF($A67&lt;&gt;0,VLOOKUP($A67,'0.Productos'!$A$3:$GG$587,'0.Productos'!CM$1+1,0),"")</f>
        <v/>
      </c>
      <c r="AV67" s="133" t="str">
        <f>IF($A67&lt;&gt;0,VLOOKUP($A67,'0.Productos'!$A$3:$GG$587,'0.Productos'!CN$1+1,0),"")</f>
        <v/>
      </c>
      <c r="AW67" s="133" t="str">
        <f>IF($A67&lt;&gt;0,VLOOKUP($A67,'0.Productos'!$A$3:$GG$587,'0.Productos'!CO$1+1,0),"")</f>
        <v/>
      </c>
      <c r="AX67" s="133" t="str">
        <f>IF($A67&lt;&gt;0,VLOOKUP($A67,'0.Productos'!$A$3:$GG$587,'0.Productos'!CP$1+1,0),"")</f>
        <v/>
      </c>
      <c r="AY67" s="133" t="str">
        <f>IF($A67&lt;&gt;0,VLOOKUP($A67,'0.Productos'!$A$3:$GG$587,'0.Productos'!CQ$1+1,0),"")</f>
        <v/>
      </c>
      <c r="AZ67" s="133" t="str">
        <f>IF($A67&lt;&gt;0,VLOOKUP($A67,'0.Productos'!$A$3:$GG$587,'0.Productos'!CR$1+1,0),"")</f>
        <v/>
      </c>
      <c r="BA67" s="133" t="str">
        <f>IF($A67&lt;&gt;0,VLOOKUP($A67,'0.Productos'!$A$3:$GG$587,'0.Productos'!CS$1+1,0),"")</f>
        <v/>
      </c>
      <c r="BB67" s="133" t="str">
        <f>IF($A67&lt;&gt;0,VLOOKUP($A67,'0.Productos'!$A$3:$GG$587,'0.Productos'!CT$1+1,0),"")</f>
        <v/>
      </c>
      <c r="BC67" s="133" t="str">
        <f>IF($A67&lt;&gt;0,VLOOKUP($A67,'0.Productos'!$A$3:$GG$587,'0.Productos'!CU$1+1,0),"")</f>
        <v/>
      </c>
      <c r="BD67" s="133" t="str">
        <f>IF($A67&lt;&gt;0,VLOOKUP($A67,'0.Productos'!$A$3:$GG$587,'0.Productos'!CV$1+1,0),"")</f>
        <v/>
      </c>
      <c r="BE67" s="133" t="str">
        <f>IF($A67&lt;&gt;0,VLOOKUP($A67,'0.Productos'!$A$3:$GG$587,'0.Productos'!CW$1+1,0),"")</f>
        <v/>
      </c>
      <c r="BF67" s="133" t="str">
        <f>IF($A67&lt;&gt;0,VLOOKUP($A67,'0.Productos'!$A$3:$GG$587,'0.Productos'!CX$1+1,0),"")</f>
        <v/>
      </c>
      <c r="BG67" s="133" t="str">
        <f>IF($A67&lt;&gt;0,VLOOKUP($A67,'0.Productos'!$A$3:$GG$587,'0.Productos'!CY$1+1,0),"")</f>
        <v/>
      </c>
      <c r="BH67" s="133" t="str">
        <f>IF($A67&lt;&gt;0,VLOOKUP($A67,'0.Productos'!$A$3:$GG$587,'0.Productos'!CZ$1+1,0),"")</f>
        <v/>
      </c>
      <c r="BI67" s="133" t="str">
        <f>IF($A67&lt;&gt;0,VLOOKUP($A67,'0.Productos'!$A$3:$GG$587,'0.Productos'!DA$1+1,0),"")</f>
        <v/>
      </c>
      <c r="BJ67" s="133" t="str">
        <f>IF($A67&lt;&gt;0,VLOOKUP($A67,'0.Productos'!$A$3:$GG$587,'0.Productos'!DB$1+1,0),"")</f>
        <v/>
      </c>
      <c r="BK67" s="133" t="str">
        <f>IF($A67&lt;&gt;0,VLOOKUP($A67,'0.Productos'!$A$3:$GG$587,'0.Productos'!DC$1+1,0),"")</f>
        <v/>
      </c>
      <c r="BL67" s="133" t="str">
        <f>IF($A67&lt;&gt;0,VLOOKUP($A67,'0.Productos'!$A$3:$GG$587,'0.Productos'!DD$1+1,0),"")</f>
        <v/>
      </c>
      <c r="BM67" s="133" t="str">
        <f>IF($A67&lt;&gt;0,VLOOKUP($A67,'0.Productos'!$A$3:$GG$587,'0.Productos'!DE$1+1,0),"")</f>
        <v/>
      </c>
      <c r="BN67" s="133" t="str">
        <f>IF($A67&lt;&gt;0,VLOOKUP($A67,'0.Productos'!$A$3:$GG$587,'0.Productos'!DF$1+1,0),"")</f>
        <v/>
      </c>
      <c r="BO67" s="133" t="str">
        <f>IF($A67&lt;&gt;0,VLOOKUP($A67,'0.Productos'!$A$3:$GG$587,'0.Productos'!DG$1+1,0),"")</f>
        <v/>
      </c>
      <c r="BP67" s="133" t="str">
        <f>IF($A67&lt;&gt;0,VLOOKUP($A67,'0.Productos'!$A$3:$GG$587,'0.Productos'!DH$1+1,0),"")</f>
        <v/>
      </c>
      <c r="BQ67" s="133" t="str">
        <f>IF($A67&lt;&gt;0,VLOOKUP($A67,'0.Productos'!$A$3:$GG$587,'0.Productos'!DI$1+1,0),"")</f>
        <v/>
      </c>
      <c r="BR67" s="133" t="str">
        <f>IF($A67&lt;&gt;0,VLOOKUP($A67,'0.Productos'!$A$3:$GG$587,'0.Productos'!DJ$1+1,0),"")</f>
        <v/>
      </c>
      <c r="BS67" s="133" t="str">
        <f>IF($A67&lt;&gt;0,VLOOKUP($A67,'0.Productos'!$A$3:$GG$587,'0.Productos'!DK$1+1,0),"")</f>
        <v/>
      </c>
      <c r="BT67" s="133" t="str">
        <f>IF($A67&lt;&gt;0,VLOOKUP($A67,'0.Productos'!$A$3:$GG$587,'0.Productos'!DL$1+1,0),"")</f>
        <v/>
      </c>
    </row>
    <row r="68" spans="1:72" x14ac:dyDescent="0.25">
      <c r="A68" s="17">
        <f>'0.Consolidado general'!A68</f>
        <v>0</v>
      </c>
      <c r="B68" s="133" t="str">
        <f>IF($A68&lt;&gt;0,VLOOKUP($A68,'0.Productos'!$A$3:$GG$587,'0.Productos'!AT$1+1,0),"")</f>
        <v/>
      </c>
      <c r="C68" s="133" t="str">
        <f>IF($A68&lt;&gt;0,VLOOKUP($A68,'0.Productos'!$A$3:$GG$587,'0.Productos'!AU$1+1,0),"")</f>
        <v/>
      </c>
      <c r="D68" s="133" t="str">
        <f>IF($A68&lt;&gt;0,VLOOKUP($A68,'0.Productos'!$A$3:$GG$587,'0.Productos'!AV$1+1,0),"")</f>
        <v/>
      </c>
      <c r="E68" s="133" t="str">
        <f>IF($A68&lt;&gt;0,VLOOKUP($A68,'0.Productos'!$A$3:$GG$587,'0.Productos'!AW$1+1,0),"")</f>
        <v/>
      </c>
      <c r="F68" s="133" t="str">
        <f>IF($A68&lt;&gt;0,VLOOKUP($A68,'0.Productos'!$A$3:$GG$587,'0.Productos'!AX$1+1,0),"")</f>
        <v/>
      </c>
      <c r="G68" s="133" t="str">
        <f>IF($A68&lt;&gt;0,VLOOKUP($A68,'0.Productos'!$A$3:$GG$587,'0.Productos'!AY$1+1,0),"")</f>
        <v/>
      </c>
      <c r="H68" s="133" t="str">
        <f>IF($A68&lt;&gt;0,VLOOKUP($A68,'0.Productos'!$A$3:$GG$587,'0.Productos'!AZ$1+1,0),"")</f>
        <v/>
      </c>
      <c r="I68" s="133" t="str">
        <f>IF($A68&lt;&gt;0,VLOOKUP($A68,'0.Productos'!$A$3:$GG$587,'0.Productos'!BA$1+1,0),"")</f>
        <v/>
      </c>
      <c r="J68" s="133" t="str">
        <f>IF($A68&lt;&gt;0,VLOOKUP($A68,'0.Productos'!$A$3:$GG$587,'0.Productos'!BB$1+1,0),"")</f>
        <v/>
      </c>
      <c r="K68" s="133" t="str">
        <f>IF($A68&lt;&gt;0,VLOOKUP($A68,'0.Productos'!$A$3:$GG$587,'0.Productos'!BC$1+1,0),"")</f>
        <v/>
      </c>
      <c r="L68" s="133" t="str">
        <f>IF($A68&lt;&gt;0,VLOOKUP($A68,'0.Productos'!$A$3:$GG$587,'0.Productos'!BD$1+1,0),"")</f>
        <v/>
      </c>
      <c r="M68" s="133" t="str">
        <f>IF($A68&lt;&gt;0,VLOOKUP($A68,'0.Productos'!$A$3:$GG$587,'0.Productos'!BE$1+1,0),"")</f>
        <v/>
      </c>
      <c r="N68" s="133" t="str">
        <f>IF($A68&lt;&gt;0,VLOOKUP($A68,'0.Productos'!$A$3:$GG$587,'0.Productos'!BF$1+1,0),"")</f>
        <v/>
      </c>
      <c r="O68" s="133" t="str">
        <f>IF($A68&lt;&gt;0,VLOOKUP($A68,'0.Productos'!$A$3:$GG$587,'0.Productos'!BG$1+1,0),"")</f>
        <v/>
      </c>
      <c r="P68" s="133" t="str">
        <f>IF($A68&lt;&gt;0,VLOOKUP($A68,'0.Productos'!$A$3:$GG$587,'0.Productos'!BH$1+1,0),"")</f>
        <v/>
      </c>
      <c r="Q68" s="133" t="str">
        <f>IF($A68&lt;&gt;0,VLOOKUP($A68,'0.Productos'!$A$3:$GG$587,'0.Productos'!BI$1+1,0),"")</f>
        <v/>
      </c>
      <c r="R68" s="133" t="str">
        <f>IF($A68&lt;&gt;0,VLOOKUP($A68,'0.Productos'!$A$3:$GG$587,'0.Productos'!BJ$1+1,0),"")</f>
        <v/>
      </c>
      <c r="S68" s="133" t="str">
        <f>IF($A68&lt;&gt;0,VLOOKUP($A68,'0.Productos'!$A$3:$GG$587,'0.Productos'!BK$1+1,0),"")</f>
        <v/>
      </c>
      <c r="T68" s="133" t="str">
        <f>IF($A68&lt;&gt;0,VLOOKUP($A68,'0.Productos'!$A$3:$GG$587,'0.Productos'!BL$1+1,0),"")</f>
        <v/>
      </c>
      <c r="U68" s="133" t="str">
        <f>IF($A68&lt;&gt;0,VLOOKUP($A68,'0.Productos'!$A$3:$GG$587,'0.Productos'!BM$1+1,0),"")</f>
        <v/>
      </c>
      <c r="V68" s="133" t="str">
        <f>IF($A68&lt;&gt;0,VLOOKUP($A68,'0.Productos'!$A$3:$GG$587,'0.Productos'!BN$1+1,0),"")</f>
        <v/>
      </c>
      <c r="W68" s="133" t="str">
        <f>IF($A68&lt;&gt;0,VLOOKUP($A68,'0.Productos'!$A$3:$GG$587,'0.Productos'!BO$1+1,0),"")</f>
        <v/>
      </c>
      <c r="X68" s="133" t="str">
        <f>IF($A68&lt;&gt;0,VLOOKUP($A68,'0.Productos'!$A$3:$GG$587,'0.Productos'!BP$1+1,0),"")</f>
        <v/>
      </c>
      <c r="Y68" s="133" t="str">
        <f>IF($A68&lt;&gt;0,VLOOKUP($A68,'0.Productos'!$A$3:$GG$587,'0.Productos'!BQ$1+1,0),"")</f>
        <v/>
      </c>
      <c r="Z68" s="133" t="str">
        <f>IF($A68&lt;&gt;0,VLOOKUP($A68,'0.Productos'!$A$3:$GG$587,'0.Productos'!BR$1+1,0),"")</f>
        <v/>
      </c>
      <c r="AA68" s="133" t="str">
        <f>IF($A68&lt;&gt;0,VLOOKUP($A68,'0.Productos'!$A$3:$GG$587,'0.Productos'!BS$1+1,0),"")</f>
        <v/>
      </c>
      <c r="AB68" s="133" t="str">
        <f>IF($A68&lt;&gt;0,VLOOKUP($A68,'0.Productos'!$A$3:$GG$587,'0.Productos'!BT$1+1,0),"")</f>
        <v/>
      </c>
      <c r="AC68" s="133" t="str">
        <f>IF($A68&lt;&gt;0,VLOOKUP($A68,'0.Productos'!$A$3:$GG$587,'0.Productos'!BU$1+1,0),"")</f>
        <v/>
      </c>
      <c r="AD68" s="133" t="str">
        <f>IF($A68&lt;&gt;0,VLOOKUP($A68,'0.Productos'!$A$3:$GG$587,'0.Productos'!BV$1+1,0),"")</f>
        <v/>
      </c>
      <c r="AE68" s="133" t="str">
        <f>IF($A68&lt;&gt;0,VLOOKUP($A68,'0.Productos'!$A$3:$GG$587,'0.Productos'!BW$1+1,0),"")</f>
        <v/>
      </c>
      <c r="AF68" s="133" t="str">
        <f>IF($A68&lt;&gt;0,VLOOKUP($A68,'0.Productos'!$A$3:$GG$587,'0.Productos'!BX$1+1,0),"")</f>
        <v/>
      </c>
      <c r="AG68" s="133" t="str">
        <f>IF($A68&lt;&gt;0,VLOOKUP($A68,'0.Productos'!$A$3:$GG$587,'0.Productos'!BY$1+1,0),"")</f>
        <v/>
      </c>
      <c r="AH68" s="133" t="str">
        <f>IF($A68&lt;&gt;0,VLOOKUP($A68,'0.Productos'!$A$3:$GG$587,'0.Productos'!BZ$1+1,0),"")</f>
        <v/>
      </c>
      <c r="AI68" s="133" t="str">
        <f>IF($A68&lt;&gt;0,VLOOKUP($A68,'0.Productos'!$A$3:$GG$587,'0.Productos'!CA$1+1,0),"")</f>
        <v/>
      </c>
      <c r="AJ68" s="133" t="str">
        <f>IF($A68&lt;&gt;0,VLOOKUP($A68,'0.Productos'!$A$3:$GG$587,'0.Productos'!CB$1+1,0),"")</f>
        <v/>
      </c>
      <c r="AK68" s="133" t="str">
        <f>IF($A68&lt;&gt;0,VLOOKUP($A68,'0.Productos'!$A$3:$GG$587,'0.Productos'!CC$1+1,0),"")</f>
        <v/>
      </c>
      <c r="AL68" s="133" t="str">
        <f>IF($A68&lt;&gt;0,VLOOKUP($A68,'0.Productos'!$A$3:$GG$587,'0.Productos'!CD$1+1,0),"")</f>
        <v/>
      </c>
      <c r="AM68" s="133" t="str">
        <f>IF($A68&lt;&gt;0,VLOOKUP($A68,'0.Productos'!$A$3:$GG$587,'0.Productos'!CE$1+1,0),"")</f>
        <v/>
      </c>
      <c r="AN68" s="133" t="str">
        <f>IF($A68&lt;&gt;0,VLOOKUP($A68,'0.Productos'!$A$3:$GG$587,'0.Productos'!CF$1+1,0),"")</f>
        <v/>
      </c>
      <c r="AO68" s="133" t="str">
        <f>IF($A68&lt;&gt;0,VLOOKUP($A68,'0.Productos'!$A$3:$GG$587,'0.Productos'!CG$1+1,0),"")</f>
        <v/>
      </c>
      <c r="AP68" s="133" t="str">
        <f>IF($A68&lt;&gt;0,VLOOKUP($A68,'0.Productos'!$A$3:$GG$587,'0.Productos'!CH$1+1,0),"")</f>
        <v/>
      </c>
      <c r="AQ68" s="133" t="str">
        <f>IF($A68&lt;&gt;0,VLOOKUP($A68,'0.Productos'!$A$3:$GG$587,'0.Productos'!CI$1+1,0),"")</f>
        <v/>
      </c>
      <c r="AR68" s="133" t="str">
        <f>IF($A68&lt;&gt;0,VLOOKUP($A68,'0.Productos'!$A$3:$GG$587,'0.Productos'!CJ$1+1,0),"")</f>
        <v/>
      </c>
      <c r="AS68" s="133" t="str">
        <f>IF($A68&lt;&gt;0,VLOOKUP($A68,'0.Productos'!$A$3:$GG$587,'0.Productos'!CK$1+1,0),"")</f>
        <v/>
      </c>
      <c r="AT68" s="133" t="str">
        <f>IF($A68&lt;&gt;0,VLOOKUP($A68,'0.Productos'!$A$3:$GG$587,'0.Productos'!CL$1+1,0),"")</f>
        <v/>
      </c>
      <c r="AU68" s="133" t="str">
        <f>IF($A68&lt;&gt;0,VLOOKUP($A68,'0.Productos'!$A$3:$GG$587,'0.Productos'!CM$1+1,0),"")</f>
        <v/>
      </c>
      <c r="AV68" s="133" t="str">
        <f>IF($A68&lt;&gt;0,VLOOKUP($A68,'0.Productos'!$A$3:$GG$587,'0.Productos'!CN$1+1,0),"")</f>
        <v/>
      </c>
      <c r="AW68" s="133" t="str">
        <f>IF($A68&lt;&gt;0,VLOOKUP($A68,'0.Productos'!$A$3:$GG$587,'0.Productos'!CO$1+1,0),"")</f>
        <v/>
      </c>
      <c r="AX68" s="133" t="str">
        <f>IF($A68&lt;&gt;0,VLOOKUP($A68,'0.Productos'!$A$3:$GG$587,'0.Productos'!CP$1+1,0),"")</f>
        <v/>
      </c>
      <c r="AY68" s="133" t="str">
        <f>IF($A68&lt;&gt;0,VLOOKUP($A68,'0.Productos'!$A$3:$GG$587,'0.Productos'!CQ$1+1,0),"")</f>
        <v/>
      </c>
      <c r="AZ68" s="133" t="str">
        <f>IF($A68&lt;&gt;0,VLOOKUP($A68,'0.Productos'!$A$3:$GG$587,'0.Productos'!CR$1+1,0),"")</f>
        <v/>
      </c>
      <c r="BA68" s="133" t="str">
        <f>IF($A68&lt;&gt;0,VLOOKUP($A68,'0.Productos'!$A$3:$GG$587,'0.Productos'!CS$1+1,0),"")</f>
        <v/>
      </c>
      <c r="BB68" s="133" t="str">
        <f>IF($A68&lt;&gt;0,VLOOKUP($A68,'0.Productos'!$A$3:$GG$587,'0.Productos'!CT$1+1,0),"")</f>
        <v/>
      </c>
      <c r="BC68" s="133" t="str">
        <f>IF($A68&lt;&gt;0,VLOOKUP($A68,'0.Productos'!$A$3:$GG$587,'0.Productos'!CU$1+1,0),"")</f>
        <v/>
      </c>
      <c r="BD68" s="133" t="str">
        <f>IF($A68&lt;&gt;0,VLOOKUP($A68,'0.Productos'!$A$3:$GG$587,'0.Productos'!CV$1+1,0),"")</f>
        <v/>
      </c>
      <c r="BE68" s="133" t="str">
        <f>IF($A68&lt;&gt;0,VLOOKUP($A68,'0.Productos'!$A$3:$GG$587,'0.Productos'!CW$1+1,0),"")</f>
        <v/>
      </c>
      <c r="BF68" s="133" t="str">
        <f>IF($A68&lt;&gt;0,VLOOKUP($A68,'0.Productos'!$A$3:$GG$587,'0.Productos'!CX$1+1,0),"")</f>
        <v/>
      </c>
      <c r="BG68" s="133" t="str">
        <f>IF($A68&lt;&gt;0,VLOOKUP($A68,'0.Productos'!$A$3:$GG$587,'0.Productos'!CY$1+1,0),"")</f>
        <v/>
      </c>
      <c r="BH68" s="133" t="str">
        <f>IF($A68&lt;&gt;0,VLOOKUP($A68,'0.Productos'!$A$3:$GG$587,'0.Productos'!CZ$1+1,0),"")</f>
        <v/>
      </c>
      <c r="BI68" s="133" t="str">
        <f>IF($A68&lt;&gt;0,VLOOKUP($A68,'0.Productos'!$A$3:$GG$587,'0.Productos'!DA$1+1,0),"")</f>
        <v/>
      </c>
      <c r="BJ68" s="133" t="str">
        <f>IF($A68&lt;&gt;0,VLOOKUP($A68,'0.Productos'!$A$3:$GG$587,'0.Productos'!DB$1+1,0),"")</f>
        <v/>
      </c>
      <c r="BK68" s="133" t="str">
        <f>IF($A68&lt;&gt;0,VLOOKUP($A68,'0.Productos'!$A$3:$GG$587,'0.Productos'!DC$1+1,0),"")</f>
        <v/>
      </c>
      <c r="BL68" s="133" t="str">
        <f>IF($A68&lt;&gt;0,VLOOKUP($A68,'0.Productos'!$A$3:$GG$587,'0.Productos'!DD$1+1,0),"")</f>
        <v/>
      </c>
      <c r="BM68" s="133" t="str">
        <f>IF($A68&lt;&gt;0,VLOOKUP($A68,'0.Productos'!$A$3:$GG$587,'0.Productos'!DE$1+1,0),"")</f>
        <v/>
      </c>
      <c r="BN68" s="133" t="str">
        <f>IF($A68&lt;&gt;0,VLOOKUP($A68,'0.Productos'!$A$3:$GG$587,'0.Productos'!DF$1+1,0),"")</f>
        <v/>
      </c>
      <c r="BO68" s="133" t="str">
        <f>IF($A68&lt;&gt;0,VLOOKUP($A68,'0.Productos'!$A$3:$GG$587,'0.Productos'!DG$1+1,0),"")</f>
        <v/>
      </c>
      <c r="BP68" s="133" t="str">
        <f>IF($A68&lt;&gt;0,VLOOKUP($A68,'0.Productos'!$A$3:$GG$587,'0.Productos'!DH$1+1,0),"")</f>
        <v/>
      </c>
      <c r="BQ68" s="133" t="str">
        <f>IF($A68&lt;&gt;0,VLOOKUP($A68,'0.Productos'!$A$3:$GG$587,'0.Productos'!DI$1+1,0),"")</f>
        <v/>
      </c>
      <c r="BR68" s="133" t="str">
        <f>IF($A68&lt;&gt;0,VLOOKUP($A68,'0.Productos'!$A$3:$GG$587,'0.Productos'!DJ$1+1,0),"")</f>
        <v/>
      </c>
      <c r="BS68" s="133" t="str">
        <f>IF($A68&lt;&gt;0,VLOOKUP($A68,'0.Productos'!$A$3:$GG$587,'0.Productos'!DK$1+1,0),"")</f>
        <v/>
      </c>
      <c r="BT68" s="133" t="str">
        <f>IF($A68&lt;&gt;0,VLOOKUP($A68,'0.Productos'!$A$3:$GG$587,'0.Productos'!DL$1+1,0),"")</f>
        <v/>
      </c>
    </row>
    <row r="69" spans="1:72" x14ac:dyDescent="0.25">
      <c r="A69" s="17">
        <f>'0.Consolidado general'!A69</f>
        <v>0</v>
      </c>
      <c r="B69" s="133" t="str">
        <f>IF($A69&lt;&gt;0,VLOOKUP($A69,'0.Productos'!$A$3:$GG$587,'0.Productos'!AT$1+1,0),"")</f>
        <v/>
      </c>
      <c r="C69" s="133" t="str">
        <f>IF($A69&lt;&gt;0,VLOOKUP($A69,'0.Productos'!$A$3:$GG$587,'0.Productos'!AU$1+1,0),"")</f>
        <v/>
      </c>
      <c r="D69" s="133" t="str">
        <f>IF($A69&lt;&gt;0,VLOOKUP($A69,'0.Productos'!$A$3:$GG$587,'0.Productos'!AV$1+1,0),"")</f>
        <v/>
      </c>
      <c r="E69" s="133" t="str">
        <f>IF($A69&lt;&gt;0,VLOOKUP($A69,'0.Productos'!$A$3:$GG$587,'0.Productos'!AW$1+1,0),"")</f>
        <v/>
      </c>
      <c r="F69" s="133" t="str">
        <f>IF($A69&lt;&gt;0,VLOOKUP($A69,'0.Productos'!$A$3:$GG$587,'0.Productos'!AX$1+1,0),"")</f>
        <v/>
      </c>
      <c r="G69" s="133" t="str">
        <f>IF($A69&lt;&gt;0,VLOOKUP($A69,'0.Productos'!$A$3:$GG$587,'0.Productos'!AY$1+1,0),"")</f>
        <v/>
      </c>
      <c r="H69" s="133" t="str">
        <f>IF($A69&lt;&gt;0,VLOOKUP($A69,'0.Productos'!$A$3:$GG$587,'0.Productos'!AZ$1+1,0),"")</f>
        <v/>
      </c>
      <c r="I69" s="133" t="str">
        <f>IF($A69&lt;&gt;0,VLOOKUP($A69,'0.Productos'!$A$3:$GG$587,'0.Productos'!BA$1+1,0),"")</f>
        <v/>
      </c>
      <c r="J69" s="133" t="str">
        <f>IF($A69&lt;&gt;0,VLOOKUP($A69,'0.Productos'!$A$3:$GG$587,'0.Productos'!BB$1+1,0),"")</f>
        <v/>
      </c>
      <c r="K69" s="133" t="str">
        <f>IF($A69&lt;&gt;0,VLOOKUP($A69,'0.Productos'!$A$3:$GG$587,'0.Productos'!BC$1+1,0),"")</f>
        <v/>
      </c>
      <c r="L69" s="133" t="str">
        <f>IF($A69&lt;&gt;0,VLOOKUP($A69,'0.Productos'!$A$3:$GG$587,'0.Productos'!BD$1+1,0),"")</f>
        <v/>
      </c>
      <c r="M69" s="133" t="str">
        <f>IF($A69&lt;&gt;0,VLOOKUP($A69,'0.Productos'!$A$3:$GG$587,'0.Productos'!BE$1+1,0),"")</f>
        <v/>
      </c>
      <c r="N69" s="133" t="str">
        <f>IF($A69&lt;&gt;0,VLOOKUP($A69,'0.Productos'!$A$3:$GG$587,'0.Productos'!BF$1+1,0),"")</f>
        <v/>
      </c>
      <c r="O69" s="133" t="str">
        <f>IF($A69&lt;&gt;0,VLOOKUP($A69,'0.Productos'!$A$3:$GG$587,'0.Productos'!BG$1+1,0),"")</f>
        <v/>
      </c>
      <c r="P69" s="133" t="str">
        <f>IF($A69&lt;&gt;0,VLOOKUP($A69,'0.Productos'!$A$3:$GG$587,'0.Productos'!BH$1+1,0),"")</f>
        <v/>
      </c>
      <c r="Q69" s="133" t="str">
        <f>IF($A69&lt;&gt;0,VLOOKUP($A69,'0.Productos'!$A$3:$GG$587,'0.Productos'!BI$1+1,0),"")</f>
        <v/>
      </c>
      <c r="R69" s="133" t="str">
        <f>IF($A69&lt;&gt;0,VLOOKUP($A69,'0.Productos'!$A$3:$GG$587,'0.Productos'!BJ$1+1,0),"")</f>
        <v/>
      </c>
      <c r="S69" s="133" t="str">
        <f>IF($A69&lt;&gt;0,VLOOKUP($A69,'0.Productos'!$A$3:$GG$587,'0.Productos'!BK$1+1,0),"")</f>
        <v/>
      </c>
      <c r="T69" s="133" t="str">
        <f>IF($A69&lt;&gt;0,VLOOKUP($A69,'0.Productos'!$A$3:$GG$587,'0.Productos'!BL$1+1,0),"")</f>
        <v/>
      </c>
      <c r="U69" s="133" t="str">
        <f>IF($A69&lt;&gt;0,VLOOKUP($A69,'0.Productos'!$A$3:$GG$587,'0.Productos'!BM$1+1,0),"")</f>
        <v/>
      </c>
      <c r="V69" s="133" t="str">
        <f>IF($A69&lt;&gt;0,VLOOKUP($A69,'0.Productos'!$A$3:$GG$587,'0.Productos'!BN$1+1,0),"")</f>
        <v/>
      </c>
      <c r="W69" s="133" t="str">
        <f>IF($A69&lt;&gt;0,VLOOKUP($A69,'0.Productos'!$A$3:$GG$587,'0.Productos'!BO$1+1,0),"")</f>
        <v/>
      </c>
      <c r="X69" s="133" t="str">
        <f>IF($A69&lt;&gt;0,VLOOKUP($A69,'0.Productos'!$A$3:$GG$587,'0.Productos'!BP$1+1,0),"")</f>
        <v/>
      </c>
      <c r="Y69" s="133" t="str">
        <f>IF($A69&lt;&gt;0,VLOOKUP($A69,'0.Productos'!$A$3:$GG$587,'0.Productos'!BQ$1+1,0),"")</f>
        <v/>
      </c>
      <c r="Z69" s="133" t="str">
        <f>IF($A69&lt;&gt;0,VLOOKUP($A69,'0.Productos'!$A$3:$GG$587,'0.Productos'!BR$1+1,0),"")</f>
        <v/>
      </c>
      <c r="AA69" s="133" t="str">
        <f>IF($A69&lt;&gt;0,VLOOKUP($A69,'0.Productos'!$A$3:$GG$587,'0.Productos'!BS$1+1,0),"")</f>
        <v/>
      </c>
      <c r="AB69" s="133" t="str">
        <f>IF($A69&lt;&gt;0,VLOOKUP($A69,'0.Productos'!$A$3:$GG$587,'0.Productos'!BT$1+1,0),"")</f>
        <v/>
      </c>
      <c r="AC69" s="133" t="str">
        <f>IF($A69&lt;&gt;0,VLOOKUP($A69,'0.Productos'!$A$3:$GG$587,'0.Productos'!BU$1+1,0),"")</f>
        <v/>
      </c>
      <c r="AD69" s="133" t="str">
        <f>IF($A69&lt;&gt;0,VLOOKUP($A69,'0.Productos'!$A$3:$GG$587,'0.Productos'!BV$1+1,0),"")</f>
        <v/>
      </c>
      <c r="AE69" s="133" t="str">
        <f>IF($A69&lt;&gt;0,VLOOKUP($A69,'0.Productos'!$A$3:$GG$587,'0.Productos'!BW$1+1,0),"")</f>
        <v/>
      </c>
      <c r="AF69" s="133" t="str">
        <f>IF($A69&lt;&gt;0,VLOOKUP($A69,'0.Productos'!$A$3:$GG$587,'0.Productos'!BX$1+1,0),"")</f>
        <v/>
      </c>
      <c r="AG69" s="133" t="str">
        <f>IF($A69&lt;&gt;0,VLOOKUP($A69,'0.Productos'!$A$3:$GG$587,'0.Productos'!BY$1+1,0),"")</f>
        <v/>
      </c>
      <c r="AH69" s="133" t="str">
        <f>IF($A69&lt;&gt;0,VLOOKUP($A69,'0.Productos'!$A$3:$GG$587,'0.Productos'!BZ$1+1,0),"")</f>
        <v/>
      </c>
      <c r="AI69" s="133" t="str">
        <f>IF($A69&lt;&gt;0,VLOOKUP($A69,'0.Productos'!$A$3:$GG$587,'0.Productos'!CA$1+1,0),"")</f>
        <v/>
      </c>
      <c r="AJ69" s="133" t="str">
        <f>IF($A69&lt;&gt;0,VLOOKUP($A69,'0.Productos'!$A$3:$GG$587,'0.Productos'!CB$1+1,0),"")</f>
        <v/>
      </c>
      <c r="AK69" s="133" t="str">
        <f>IF($A69&lt;&gt;0,VLOOKUP($A69,'0.Productos'!$A$3:$GG$587,'0.Productos'!CC$1+1,0),"")</f>
        <v/>
      </c>
      <c r="AL69" s="133" t="str">
        <f>IF($A69&lt;&gt;0,VLOOKUP($A69,'0.Productos'!$A$3:$GG$587,'0.Productos'!CD$1+1,0),"")</f>
        <v/>
      </c>
      <c r="AM69" s="133" t="str">
        <f>IF($A69&lt;&gt;0,VLOOKUP($A69,'0.Productos'!$A$3:$GG$587,'0.Productos'!CE$1+1,0),"")</f>
        <v/>
      </c>
      <c r="AN69" s="133" t="str">
        <f>IF($A69&lt;&gt;0,VLOOKUP($A69,'0.Productos'!$A$3:$GG$587,'0.Productos'!CF$1+1,0),"")</f>
        <v/>
      </c>
      <c r="AO69" s="133" t="str">
        <f>IF($A69&lt;&gt;0,VLOOKUP($A69,'0.Productos'!$A$3:$GG$587,'0.Productos'!CG$1+1,0),"")</f>
        <v/>
      </c>
      <c r="AP69" s="133" t="str">
        <f>IF($A69&lt;&gt;0,VLOOKUP($A69,'0.Productos'!$A$3:$GG$587,'0.Productos'!CH$1+1,0),"")</f>
        <v/>
      </c>
      <c r="AQ69" s="133" t="str">
        <f>IF($A69&lt;&gt;0,VLOOKUP($A69,'0.Productos'!$A$3:$GG$587,'0.Productos'!CI$1+1,0),"")</f>
        <v/>
      </c>
      <c r="AR69" s="133" t="str">
        <f>IF($A69&lt;&gt;0,VLOOKUP($A69,'0.Productos'!$A$3:$GG$587,'0.Productos'!CJ$1+1,0),"")</f>
        <v/>
      </c>
      <c r="AS69" s="133" t="str">
        <f>IF($A69&lt;&gt;0,VLOOKUP($A69,'0.Productos'!$A$3:$GG$587,'0.Productos'!CK$1+1,0),"")</f>
        <v/>
      </c>
      <c r="AT69" s="133" t="str">
        <f>IF($A69&lt;&gt;0,VLOOKUP($A69,'0.Productos'!$A$3:$GG$587,'0.Productos'!CL$1+1,0),"")</f>
        <v/>
      </c>
      <c r="AU69" s="133" t="str">
        <f>IF($A69&lt;&gt;0,VLOOKUP($A69,'0.Productos'!$A$3:$GG$587,'0.Productos'!CM$1+1,0),"")</f>
        <v/>
      </c>
      <c r="AV69" s="133" t="str">
        <f>IF($A69&lt;&gt;0,VLOOKUP($A69,'0.Productos'!$A$3:$GG$587,'0.Productos'!CN$1+1,0),"")</f>
        <v/>
      </c>
      <c r="AW69" s="133" t="str">
        <f>IF($A69&lt;&gt;0,VLOOKUP($A69,'0.Productos'!$A$3:$GG$587,'0.Productos'!CO$1+1,0),"")</f>
        <v/>
      </c>
      <c r="AX69" s="133" t="str">
        <f>IF($A69&lt;&gt;0,VLOOKUP($A69,'0.Productos'!$A$3:$GG$587,'0.Productos'!CP$1+1,0),"")</f>
        <v/>
      </c>
      <c r="AY69" s="133" t="str">
        <f>IF($A69&lt;&gt;0,VLOOKUP($A69,'0.Productos'!$A$3:$GG$587,'0.Productos'!CQ$1+1,0),"")</f>
        <v/>
      </c>
      <c r="AZ69" s="133" t="str">
        <f>IF($A69&lt;&gt;0,VLOOKUP($A69,'0.Productos'!$A$3:$GG$587,'0.Productos'!CR$1+1,0),"")</f>
        <v/>
      </c>
      <c r="BA69" s="133" t="str">
        <f>IF($A69&lt;&gt;0,VLOOKUP($A69,'0.Productos'!$A$3:$GG$587,'0.Productos'!CS$1+1,0),"")</f>
        <v/>
      </c>
      <c r="BB69" s="133" t="str">
        <f>IF($A69&lt;&gt;0,VLOOKUP($A69,'0.Productos'!$A$3:$GG$587,'0.Productos'!CT$1+1,0),"")</f>
        <v/>
      </c>
      <c r="BC69" s="133" t="str">
        <f>IF($A69&lt;&gt;0,VLOOKUP($A69,'0.Productos'!$A$3:$GG$587,'0.Productos'!CU$1+1,0),"")</f>
        <v/>
      </c>
      <c r="BD69" s="133" t="str">
        <f>IF($A69&lt;&gt;0,VLOOKUP($A69,'0.Productos'!$A$3:$GG$587,'0.Productos'!CV$1+1,0),"")</f>
        <v/>
      </c>
      <c r="BE69" s="133" t="str">
        <f>IF($A69&lt;&gt;0,VLOOKUP($A69,'0.Productos'!$A$3:$GG$587,'0.Productos'!CW$1+1,0),"")</f>
        <v/>
      </c>
      <c r="BF69" s="133" t="str">
        <f>IF($A69&lt;&gt;0,VLOOKUP($A69,'0.Productos'!$A$3:$GG$587,'0.Productos'!CX$1+1,0),"")</f>
        <v/>
      </c>
      <c r="BG69" s="133" t="str">
        <f>IF($A69&lt;&gt;0,VLOOKUP($A69,'0.Productos'!$A$3:$GG$587,'0.Productos'!CY$1+1,0),"")</f>
        <v/>
      </c>
      <c r="BH69" s="133" t="str">
        <f>IF($A69&lt;&gt;0,VLOOKUP($A69,'0.Productos'!$A$3:$GG$587,'0.Productos'!CZ$1+1,0),"")</f>
        <v/>
      </c>
      <c r="BI69" s="133" t="str">
        <f>IF($A69&lt;&gt;0,VLOOKUP($A69,'0.Productos'!$A$3:$GG$587,'0.Productos'!DA$1+1,0),"")</f>
        <v/>
      </c>
      <c r="BJ69" s="133" t="str">
        <f>IF($A69&lt;&gt;0,VLOOKUP($A69,'0.Productos'!$A$3:$GG$587,'0.Productos'!DB$1+1,0),"")</f>
        <v/>
      </c>
      <c r="BK69" s="133" t="str">
        <f>IF($A69&lt;&gt;0,VLOOKUP($A69,'0.Productos'!$A$3:$GG$587,'0.Productos'!DC$1+1,0),"")</f>
        <v/>
      </c>
      <c r="BL69" s="133" t="str">
        <f>IF($A69&lt;&gt;0,VLOOKUP($A69,'0.Productos'!$A$3:$GG$587,'0.Productos'!DD$1+1,0),"")</f>
        <v/>
      </c>
      <c r="BM69" s="133" t="str">
        <f>IF($A69&lt;&gt;0,VLOOKUP($A69,'0.Productos'!$A$3:$GG$587,'0.Productos'!DE$1+1,0),"")</f>
        <v/>
      </c>
      <c r="BN69" s="133" t="str">
        <f>IF($A69&lt;&gt;0,VLOOKUP($A69,'0.Productos'!$A$3:$GG$587,'0.Productos'!DF$1+1,0),"")</f>
        <v/>
      </c>
      <c r="BO69" s="133" t="str">
        <f>IF($A69&lt;&gt;0,VLOOKUP($A69,'0.Productos'!$A$3:$GG$587,'0.Productos'!DG$1+1,0),"")</f>
        <v/>
      </c>
      <c r="BP69" s="133" t="str">
        <f>IF($A69&lt;&gt;0,VLOOKUP($A69,'0.Productos'!$A$3:$GG$587,'0.Productos'!DH$1+1,0),"")</f>
        <v/>
      </c>
      <c r="BQ69" s="133" t="str">
        <f>IF($A69&lt;&gt;0,VLOOKUP($A69,'0.Productos'!$A$3:$GG$587,'0.Productos'!DI$1+1,0),"")</f>
        <v/>
      </c>
      <c r="BR69" s="133" t="str">
        <f>IF($A69&lt;&gt;0,VLOOKUP($A69,'0.Productos'!$A$3:$GG$587,'0.Productos'!DJ$1+1,0),"")</f>
        <v/>
      </c>
      <c r="BS69" s="133" t="str">
        <f>IF($A69&lt;&gt;0,VLOOKUP($A69,'0.Productos'!$A$3:$GG$587,'0.Productos'!DK$1+1,0),"")</f>
        <v/>
      </c>
      <c r="BT69" s="133" t="str">
        <f>IF($A69&lt;&gt;0,VLOOKUP($A69,'0.Productos'!$A$3:$GG$587,'0.Productos'!DL$1+1,0),"")</f>
        <v/>
      </c>
    </row>
    <row r="70" spans="1:72" x14ac:dyDescent="0.25">
      <c r="A70" s="17">
        <f>'0.Consolidado general'!A70</f>
        <v>0</v>
      </c>
      <c r="B70" s="133" t="str">
        <f>IF($A70&lt;&gt;0,VLOOKUP($A70,'0.Productos'!$A$3:$GG$587,'0.Productos'!AT$1+1,0),"")</f>
        <v/>
      </c>
      <c r="C70" s="133" t="str">
        <f>IF($A70&lt;&gt;0,VLOOKUP($A70,'0.Productos'!$A$3:$GG$587,'0.Productos'!AU$1+1,0),"")</f>
        <v/>
      </c>
      <c r="D70" s="133" t="str">
        <f>IF($A70&lt;&gt;0,VLOOKUP($A70,'0.Productos'!$A$3:$GG$587,'0.Productos'!AV$1+1,0),"")</f>
        <v/>
      </c>
      <c r="E70" s="133" t="str">
        <f>IF($A70&lt;&gt;0,VLOOKUP($A70,'0.Productos'!$A$3:$GG$587,'0.Productos'!AW$1+1,0),"")</f>
        <v/>
      </c>
      <c r="F70" s="133" t="str">
        <f>IF($A70&lt;&gt;0,VLOOKUP($A70,'0.Productos'!$A$3:$GG$587,'0.Productos'!AX$1+1,0),"")</f>
        <v/>
      </c>
      <c r="G70" s="133" t="str">
        <f>IF($A70&lt;&gt;0,VLOOKUP($A70,'0.Productos'!$A$3:$GG$587,'0.Productos'!AY$1+1,0),"")</f>
        <v/>
      </c>
      <c r="H70" s="133" t="str">
        <f>IF($A70&lt;&gt;0,VLOOKUP($A70,'0.Productos'!$A$3:$GG$587,'0.Productos'!AZ$1+1,0),"")</f>
        <v/>
      </c>
      <c r="I70" s="133" t="str">
        <f>IF($A70&lt;&gt;0,VLOOKUP($A70,'0.Productos'!$A$3:$GG$587,'0.Productos'!BA$1+1,0),"")</f>
        <v/>
      </c>
      <c r="J70" s="133" t="str">
        <f>IF($A70&lt;&gt;0,VLOOKUP($A70,'0.Productos'!$A$3:$GG$587,'0.Productos'!BB$1+1,0),"")</f>
        <v/>
      </c>
      <c r="K70" s="133" t="str">
        <f>IF($A70&lt;&gt;0,VLOOKUP($A70,'0.Productos'!$A$3:$GG$587,'0.Productos'!BC$1+1,0),"")</f>
        <v/>
      </c>
      <c r="L70" s="133" t="str">
        <f>IF($A70&lt;&gt;0,VLOOKUP($A70,'0.Productos'!$A$3:$GG$587,'0.Productos'!BD$1+1,0),"")</f>
        <v/>
      </c>
      <c r="M70" s="133" t="str">
        <f>IF($A70&lt;&gt;0,VLOOKUP($A70,'0.Productos'!$A$3:$GG$587,'0.Productos'!BE$1+1,0),"")</f>
        <v/>
      </c>
      <c r="N70" s="133" t="str">
        <f>IF($A70&lt;&gt;0,VLOOKUP($A70,'0.Productos'!$A$3:$GG$587,'0.Productos'!BF$1+1,0),"")</f>
        <v/>
      </c>
      <c r="O70" s="133" t="str">
        <f>IF($A70&lt;&gt;0,VLOOKUP($A70,'0.Productos'!$A$3:$GG$587,'0.Productos'!BG$1+1,0),"")</f>
        <v/>
      </c>
      <c r="P70" s="133" t="str">
        <f>IF($A70&lt;&gt;0,VLOOKUP($A70,'0.Productos'!$A$3:$GG$587,'0.Productos'!BH$1+1,0),"")</f>
        <v/>
      </c>
      <c r="Q70" s="133" t="str">
        <f>IF($A70&lt;&gt;0,VLOOKUP($A70,'0.Productos'!$A$3:$GG$587,'0.Productos'!BI$1+1,0),"")</f>
        <v/>
      </c>
      <c r="R70" s="133" t="str">
        <f>IF($A70&lt;&gt;0,VLOOKUP($A70,'0.Productos'!$A$3:$GG$587,'0.Productos'!BJ$1+1,0),"")</f>
        <v/>
      </c>
      <c r="S70" s="133" t="str">
        <f>IF($A70&lt;&gt;0,VLOOKUP($A70,'0.Productos'!$A$3:$GG$587,'0.Productos'!BK$1+1,0),"")</f>
        <v/>
      </c>
      <c r="T70" s="133" t="str">
        <f>IF($A70&lt;&gt;0,VLOOKUP($A70,'0.Productos'!$A$3:$GG$587,'0.Productos'!BL$1+1,0),"")</f>
        <v/>
      </c>
      <c r="U70" s="133" t="str">
        <f>IF($A70&lt;&gt;0,VLOOKUP($A70,'0.Productos'!$A$3:$GG$587,'0.Productos'!BM$1+1,0),"")</f>
        <v/>
      </c>
      <c r="V70" s="133" t="str">
        <f>IF($A70&lt;&gt;0,VLOOKUP($A70,'0.Productos'!$A$3:$GG$587,'0.Productos'!BN$1+1,0),"")</f>
        <v/>
      </c>
      <c r="W70" s="133" t="str">
        <f>IF($A70&lt;&gt;0,VLOOKUP($A70,'0.Productos'!$A$3:$GG$587,'0.Productos'!BO$1+1,0),"")</f>
        <v/>
      </c>
      <c r="X70" s="133" t="str">
        <f>IF($A70&lt;&gt;0,VLOOKUP($A70,'0.Productos'!$A$3:$GG$587,'0.Productos'!BP$1+1,0),"")</f>
        <v/>
      </c>
      <c r="Y70" s="133" t="str">
        <f>IF($A70&lt;&gt;0,VLOOKUP($A70,'0.Productos'!$A$3:$GG$587,'0.Productos'!BQ$1+1,0),"")</f>
        <v/>
      </c>
      <c r="Z70" s="133" t="str">
        <f>IF($A70&lt;&gt;0,VLOOKUP($A70,'0.Productos'!$A$3:$GG$587,'0.Productos'!BR$1+1,0),"")</f>
        <v/>
      </c>
      <c r="AA70" s="133" t="str">
        <f>IF($A70&lt;&gt;0,VLOOKUP($A70,'0.Productos'!$A$3:$GG$587,'0.Productos'!BS$1+1,0),"")</f>
        <v/>
      </c>
      <c r="AB70" s="133" t="str">
        <f>IF($A70&lt;&gt;0,VLOOKUP($A70,'0.Productos'!$A$3:$GG$587,'0.Productos'!BT$1+1,0),"")</f>
        <v/>
      </c>
      <c r="AC70" s="133" t="str">
        <f>IF($A70&lt;&gt;0,VLOOKUP($A70,'0.Productos'!$A$3:$GG$587,'0.Productos'!BU$1+1,0),"")</f>
        <v/>
      </c>
      <c r="AD70" s="133" t="str">
        <f>IF($A70&lt;&gt;0,VLOOKUP($A70,'0.Productos'!$A$3:$GG$587,'0.Productos'!BV$1+1,0),"")</f>
        <v/>
      </c>
      <c r="AE70" s="133" t="str">
        <f>IF($A70&lt;&gt;0,VLOOKUP($A70,'0.Productos'!$A$3:$GG$587,'0.Productos'!BW$1+1,0),"")</f>
        <v/>
      </c>
      <c r="AF70" s="133" t="str">
        <f>IF($A70&lt;&gt;0,VLOOKUP($A70,'0.Productos'!$A$3:$GG$587,'0.Productos'!BX$1+1,0),"")</f>
        <v/>
      </c>
      <c r="AG70" s="133" t="str">
        <f>IF($A70&lt;&gt;0,VLOOKUP($A70,'0.Productos'!$A$3:$GG$587,'0.Productos'!BY$1+1,0),"")</f>
        <v/>
      </c>
      <c r="AH70" s="133" t="str">
        <f>IF($A70&lt;&gt;0,VLOOKUP($A70,'0.Productos'!$A$3:$GG$587,'0.Productos'!BZ$1+1,0),"")</f>
        <v/>
      </c>
      <c r="AI70" s="133" t="str">
        <f>IF($A70&lt;&gt;0,VLOOKUP($A70,'0.Productos'!$A$3:$GG$587,'0.Productos'!CA$1+1,0),"")</f>
        <v/>
      </c>
      <c r="AJ70" s="133" t="str">
        <f>IF($A70&lt;&gt;0,VLOOKUP($A70,'0.Productos'!$A$3:$GG$587,'0.Productos'!CB$1+1,0),"")</f>
        <v/>
      </c>
      <c r="AK70" s="133" t="str">
        <f>IF($A70&lt;&gt;0,VLOOKUP($A70,'0.Productos'!$A$3:$GG$587,'0.Productos'!CC$1+1,0),"")</f>
        <v/>
      </c>
      <c r="AL70" s="133" t="str">
        <f>IF($A70&lt;&gt;0,VLOOKUP($A70,'0.Productos'!$A$3:$GG$587,'0.Productos'!CD$1+1,0),"")</f>
        <v/>
      </c>
      <c r="AM70" s="133" t="str">
        <f>IF($A70&lt;&gt;0,VLOOKUP($A70,'0.Productos'!$A$3:$GG$587,'0.Productos'!CE$1+1,0),"")</f>
        <v/>
      </c>
      <c r="AN70" s="133" t="str">
        <f>IF($A70&lt;&gt;0,VLOOKUP($A70,'0.Productos'!$A$3:$GG$587,'0.Productos'!CF$1+1,0),"")</f>
        <v/>
      </c>
      <c r="AO70" s="133" t="str">
        <f>IF($A70&lt;&gt;0,VLOOKUP($A70,'0.Productos'!$A$3:$GG$587,'0.Productos'!CG$1+1,0),"")</f>
        <v/>
      </c>
      <c r="AP70" s="133" t="str">
        <f>IF($A70&lt;&gt;0,VLOOKUP($A70,'0.Productos'!$A$3:$GG$587,'0.Productos'!CH$1+1,0),"")</f>
        <v/>
      </c>
      <c r="AQ70" s="133" t="str">
        <f>IF($A70&lt;&gt;0,VLOOKUP($A70,'0.Productos'!$A$3:$GG$587,'0.Productos'!CI$1+1,0),"")</f>
        <v/>
      </c>
      <c r="AR70" s="133" t="str">
        <f>IF($A70&lt;&gt;0,VLOOKUP($A70,'0.Productos'!$A$3:$GG$587,'0.Productos'!CJ$1+1,0),"")</f>
        <v/>
      </c>
      <c r="AS70" s="133" t="str">
        <f>IF($A70&lt;&gt;0,VLOOKUP($A70,'0.Productos'!$A$3:$GG$587,'0.Productos'!CK$1+1,0),"")</f>
        <v/>
      </c>
      <c r="AT70" s="133" t="str">
        <f>IF($A70&lt;&gt;0,VLOOKUP($A70,'0.Productos'!$A$3:$GG$587,'0.Productos'!CL$1+1,0),"")</f>
        <v/>
      </c>
      <c r="AU70" s="133" t="str">
        <f>IF($A70&lt;&gt;0,VLOOKUP($A70,'0.Productos'!$A$3:$GG$587,'0.Productos'!CM$1+1,0),"")</f>
        <v/>
      </c>
      <c r="AV70" s="133" t="str">
        <f>IF($A70&lt;&gt;0,VLOOKUP($A70,'0.Productos'!$A$3:$GG$587,'0.Productos'!CN$1+1,0),"")</f>
        <v/>
      </c>
      <c r="AW70" s="133" t="str">
        <f>IF($A70&lt;&gt;0,VLOOKUP($A70,'0.Productos'!$A$3:$GG$587,'0.Productos'!CO$1+1,0),"")</f>
        <v/>
      </c>
      <c r="AX70" s="133" t="str">
        <f>IF($A70&lt;&gt;0,VLOOKUP($A70,'0.Productos'!$A$3:$GG$587,'0.Productos'!CP$1+1,0),"")</f>
        <v/>
      </c>
      <c r="AY70" s="133" t="str">
        <f>IF($A70&lt;&gt;0,VLOOKUP($A70,'0.Productos'!$A$3:$GG$587,'0.Productos'!CQ$1+1,0),"")</f>
        <v/>
      </c>
      <c r="AZ70" s="133" t="str">
        <f>IF($A70&lt;&gt;0,VLOOKUP($A70,'0.Productos'!$A$3:$GG$587,'0.Productos'!CR$1+1,0),"")</f>
        <v/>
      </c>
      <c r="BA70" s="133" t="str">
        <f>IF($A70&lt;&gt;0,VLOOKUP($A70,'0.Productos'!$A$3:$GG$587,'0.Productos'!CS$1+1,0),"")</f>
        <v/>
      </c>
      <c r="BB70" s="133" t="str">
        <f>IF($A70&lt;&gt;0,VLOOKUP($A70,'0.Productos'!$A$3:$GG$587,'0.Productos'!CT$1+1,0),"")</f>
        <v/>
      </c>
      <c r="BC70" s="133" t="str">
        <f>IF($A70&lt;&gt;0,VLOOKUP($A70,'0.Productos'!$A$3:$GG$587,'0.Productos'!CU$1+1,0),"")</f>
        <v/>
      </c>
      <c r="BD70" s="133" t="str">
        <f>IF($A70&lt;&gt;0,VLOOKUP($A70,'0.Productos'!$A$3:$GG$587,'0.Productos'!CV$1+1,0),"")</f>
        <v/>
      </c>
      <c r="BE70" s="133" t="str">
        <f>IF($A70&lt;&gt;0,VLOOKUP($A70,'0.Productos'!$A$3:$GG$587,'0.Productos'!CW$1+1,0),"")</f>
        <v/>
      </c>
      <c r="BF70" s="133" t="str">
        <f>IF($A70&lt;&gt;0,VLOOKUP($A70,'0.Productos'!$A$3:$GG$587,'0.Productos'!CX$1+1,0),"")</f>
        <v/>
      </c>
      <c r="BG70" s="133" t="str">
        <f>IF($A70&lt;&gt;0,VLOOKUP($A70,'0.Productos'!$A$3:$GG$587,'0.Productos'!CY$1+1,0),"")</f>
        <v/>
      </c>
      <c r="BH70" s="133" t="str">
        <f>IF($A70&lt;&gt;0,VLOOKUP($A70,'0.Productos'!$A$3:$GG$587,'0.Productos'!CZ$1+1,0),"")</f>
        <v/>
      </c>
      <c r="BI70" s="133" t="str">
        <f>IF($A70&lt;&gt;0,VLOOKUP($A70,'0.Productos'!$A$3:$GG$587,'0.Productos'!DA$1+1,0),"")</f>
        <v/>
      </c>
      <c r="BJ70" s="133" t="str">
        <f>IF($A70&lt;&gt;0,VLOOKUP($A70,'0.Productos'!$A$3:$GG$587,'0.Productos'!DB$1+1,0),"")</f>
        <v/>
      </c>
      <c r="BK70" s="133" t="str">
        <f>IF($A70&lt;&gt;0,VLOOKUP($A70,'0.Productos'!$A$3:$GG$587,'0.Productos'!DC$1+1,0),"")</f>
        <v/>
      </c>
      <c r="BL70" s="133" t="str">
        <f>IF($A70&lt;&gt;0,VLOOKUP($A70,'0.Productos'!$A$3:$GG$587,'0.Productos'!DD$1+1,0),"")</f>
        <v/>
      </c>
      <c r="BM70" s="133" t="str">
        <f>IF($A70&lt;&gt;0,VLOOKUP($A70,'0.Productos'!$A$3:$GG$587,'0.Productos'!DE$1+1,0),"")</f>
        <v/>
      </c>
      <c r="BN70" s="133" t="str">
        <f>IF($A70&lt;&gt;0,VLOOKUP($A70,'0.Productos'!$A$3:$GG$587,'0.Productos'!DF$1+1,0),"")</f>
        <v/>
      </c>
      <c r="BO70" s="133" t="str">
        <f>IF($A70&lt;&gt;0,VLOOKUP($A70,'0.Productos'!$A$3:$GG$587,'0.Productos'!DG$1+1,0),"")</f>
        <v/>
      </c>
      <c r="BP70" s="133" t="str">
        <f>IF($A70&lt;&gt;0,VLOOKUP($A70,'0.Productos'!$A$3:$GG$587,'0.Productos'!DH$1+1,0),"")</f>
        <v/>
      </c>
      <c r="BQ70" s="133" t="str">
        <f>IF($A70&lt;&gt;0,VLOOKUP($A70,'0.Productos'!$A$3:$GG$587,'0.Productos'!DI$1+1,0),"")</f>
        <v/>
      </c>
      <c r="BR70" s="133" t="str">
        <f>IF($A70&lt;&gt;0,VLOOKUP($A70,'0.Productos'!$A$3:$GG$587,'0.Productos'!DJ$1+1,0),"")</f>
        <v/>
      </c>
      <c r="BS70" s="133" t="str">
        <f>IF($A70&lt;&gt;0,VLOOKUP($A70,'0.Productos'!$A$3:$GG$587,'0.Productos'!DK$1+1,0),"")</f>
        <v/>
      </c>
      <c r="BT70" s="133" t="str">
        <f>IF($A70&lt;&gt;0,VLOOKUP($A70,'0.Productos'!$A$3:$GG$587,'0.Productos'!DL$1+1,0),"")</f>
        <v/>
      </c>
    </row>
    <row r="71" spans="1:72" x14ac:dyDescent="0.25">
      <c r="A71" s="17">
        <f>'0.Consolidado general'!A71</f>
        <v>0</v>
      </c>
      <c r="B71" s="133" t="str">
        <f>IF($A71&lt;&gt;0,VLOOKUP($A71,'0.Productos'!$A$3:$GG$587,'0.Productos'!AT$1+1,0),"")</f>
        <v/>
      </c>
      <c r="C71" s="133" t="str">
        <f>IF($A71&lt;&gt;0,VLOOKUP($A71,'0.Productos'!$A$3:$GG$587,'0.Productos'!AU$1+1,0),"")</f>
        <v/>
      </c>
      <c r="D71" s="133" t="str">
        <f>IF($A71&lt;&gt;0,VLOOKUP($A71,'0.Productos'!$A$3:$GG$587,'0.Productos'!AV$1+1,0),"")</f>
        <v/>
      </c>
      <c r="E71" s="133" t="str">
        <f>IF($A71&lt;&gt;0,VLOOKUP($A71,'0.Productos'!$A$3:$GG$587,'0.Productos'!AW$1+1,0),"")</f>
        <v/>
      </c>
      <c r="F71" s="133" t="str">
        <f>IF($A71&lt;&gt;0,VLOOKUP($A71,'0.Productos'!$A$3:$GG$587,'0.Productos'!AX$1+1,0),"")</f>
        <v/>
      </c>
      <c r="G71" s="133" t="str">
        <f>IF($A71&lt;&gt;0,VLOOKUP($A71,'0.Productos'!$A$3:$GG$587,'0.Productos'!AY$1+1,0),"")</f>
        <v/>
      </c>
      <c r="H71" s="133" t="str">
        <f>IF($A71&lt;&gt;0,VLOOKUP($A71,'0.Productos'!$A$3:$GG$587,'0.Productos'!AZ$1+1,0),"")</f>
        <v/>
      </c>
      <c r="I71" s="133" t="str">
        <f>IF($A71&lt;&gt;0,VLOOKUP($A71,'0.Productos'!$A$3:$GG$587,'0.Productos'!BA$1+1,0),"")</f>
        <v/>
      </c>
      <c r="J71" s="133" t="str">
        <f>IF($A71&lt;&gt;0,VLOOKUP($A71,'0.Productos'!$A$3:$GG$587,'0.Productos'!BB$1+1,0),"")</f>
        <v/>
      </c>
      <c r="K71" s="133" t="str">
        <f>IF($A71&lt;&gt;0,VLOOKUP($A71,'0.Productos'!$A$3:$GG$587,'0.Productos'!BC$1+1,0),"")</f>
        <v/>
      </c>
      <c r="L71" s="133" t="str">
        <f>IF($A71&lt;&gt;0,VLOOKUP($A71,'0.Productos'!$A$3:$GG$587,'0.Productos'!BD$1+1,0),"")</f>
        <v/>
      </c>
      <c r="M71" s="133" t="str">
        <f>IF($A71&lt;&gt;0,VLOOKUP($A71,'0.Productos'!$A$3:$GG$587,'0.Productos'!BE$1+1,0),"")</f>
        <v/>
      </c>
      <c r="N71" s="133" t="str">
        <f>IF($A71&lt;&gt;0,VLOOKUP($A71,'0.Productos'!$A$3:$GG$587,'0.Productos'!BF$1+1,0),"")</f>
        <v/>
      </c>
      <c r="O71" s="133" t="str">
        <f>IF($A71&lt;&gt;0,VLOOKUP($A71,'0.Productos'!$A$3:$GG$587,'0.Productos'!BG$1+1,0),"")</f>
        <v/>
      </c>
      <c r="P71" s="133" t="str">
        <f>IF($A71&lt;&gt;0,VLOOKUP($A71,'0.Productos'!$A$3:$GG$587,'0.Productos'!BH$1+1,0),"")</f>
        <v/>
      </c>
      <c r="Q71" s="133" t="str">
        <f>IF($A71&lt;&gt;0,VLOOKUP($A71,'0.Productos'!$A$3:$GG$587,'0.Productos'!BI$1+1,0),"")</f>
        <v/>
      </c>
      <c r="R71" s="133" t="str">
        <f>IF($A71&lt;&gt;0,VLOOKUP($A71,'0.Productos'!$A$3:$GG$587,'0.Productos'!BJ$1+1,0),"")</f>
        <v/>
      </c>
      <c r="S71" s="133" t="str">
        <f>IF($A71&lt;&gt;0,VLOOKUP($A71,'0.Productos'!$A$3:$GG$587,'0.Productos'!BK$1+1,0),"")</f>
        <v/>
      </c>
      <c r="T71" s="133" t="str">
        <f>IF($A71&lt;&gt;0,VLOOKUP($A71,'0.Productos'!$A$3:$GG$587,'0.Productos'!BL$1+1,0),"")</f>
        <v/>
      </c>
      <c r="U71" s="133" t="str">
        <f>IF($A71&lt;&gt;0,VLOOKUP($A71,'0.Productos'!$A$3:$GG$587,'0.Productos'!BM$1+1,0),"")</f>
        <v/>
      </c>
      <c r="V71" s="133" t="str">
        <f>IF($A71&lt;&gt;0,VLOOKUP($A71,'0.Productos'!$A$3:$GG$587,'0.Productos'!BN$1+1,0),"")</f>
        <v/>
      </c>
      <c r="W71" s="133" t="str">
        <f>IF($A71&lt;&gt;0,VLOOKUP($A71,'0.Productos'!$A$3:$GG$587,'0.Productos'!BO$1+1,0),"")</f>
        <v/>
      </c>
      <c r="X71" s="133" t="str">
        <f>IF($A71&lt;&gt;0,VLOOKUP($A71,'0.Productos'!$A$3:$GG$587,'0.Productos'!BP$1+1,0),"")</f>
        <v/>
      </c>
      <c r="Y71" s="133" t="str">
        <f>IF($A71&lt;&gt;0,VLOOKUP($A71,'0.Productos'!$A$3:$GG$587,'0.Productos'!BQ$1+1,0),"")</f>
        <v/>
      </c>
      <c r="Z71" s="133" t="str">
        <f>IF($A71&lt;&gt;0,VLOOKUP($A71,'0.Productos'!$A$3:$GG$587,'0.Productos'!BR$1+1,0),"")</f>
        <v/>
      </c>
      <c r="AA71" s="133" t="str">
        <f>IF($A71&lt;&gt;0,VLOOKUP($A71,'0.Productos'!$A$3:$GG$587,'0.Productos'!BS$1+1,0),"")</f>
        <v/>
      </c>
      <c r="AB71" s="133" t="str">
        <f>IF($A71&lt;&gt;0,VLOOKUP($A71,'0.Productos'!$A$3:$GG$587,'0.Productos'!BT$1+1,0),"")</f>
        <v/>
      </c>
      <c r="AC71" s="133" t="str">
        <f>IF($A71&lt;&gt;0,VLOOKUP($A71,'0.Productos'!$A$3:$GG$587,'0.Productos'!BU$1+1,0),"")</f>
        <v/>
      </c>
      <c r="AD71" s="133" t="str">
        <f>IF($A71&lt;&gt;0,VLOOKUP($A71,'0.Productos'!$A$3:$GG$587,'0.Productos'!BV$1+1,0),"")</f>
        <v/>
      </c>
      <c r="AE71" s="133" t="str">
        <f>IF($A71&lt;&gt;0,VLOOKUP($A71,'0.Productos'!$A$3:$GG$587,'0.Productos'!BW$1+1,0),"")</f>
        <v/>
      </c>
      <c r="AF71" s="133" t="str">
        <f>IF($A71&lt;&gt;0,VLOOKUP($A71,'0.Productos'!$A$3:$GG$587,'0.Productos'!BX$1+1,0),"")</f>
        <v/>
      </c>
      <c r="AG71" s="133" t="str">
        <f>IF($A71&lt;&gt;0,VLOOKUP($A71,'0.Productos'!$A$3:$GG$587,'0.Productos'!BY$1+1,0),"")</f>
        <v/>
      </c>
      <c r="AH71" s="133" t="str">
        <f>IF($A71&lt;&gt;0,VLOOKUP($A71,'0.Productos'!$A$3:$GG$587,'0.Productos'!BZ$1+1,0),"")</f>
        <v/>
      </c>
      <c r="AI71" s="133" t="str">
        <f>IF($A71&lt;&gt;0,VLOOKUP($A71,'0.Productos'!$A$3:$GG$587,'0.Productos'!CA$1+1,0),"")</f>
        <v/>
      </c>
      <c r="AJ71" s="133" t="str">
        <f>IF($A71&lt;&gt;0,VLOOKUP($A71,'0.Productos'!$A$3:$GG$587,'0.Productos'!CB$1+1,0),"")</f>
        <v/>
      </c>
      <c r="AK71" s="133" t="str">
        <f>IF($A71&lt;&gt;0,VLOOKUP($A71,'0.Productos'!$A$3:$GG$587,'0.Productos'!CC$1+1,0),"")</f>
        <v/>
      </c>
      <c r="AL71" s="133" t="str">
        <f>IF($A71&lt;&gt;0,VLOOKUP($A71,'0.Productos'!$A$3:$GG$587,'0.Productos'!CD$1+1,0),"")</f>
        <v/>
      </c>
      <c r="AM71" s="133" t="str">
        <f>IF($A71&lt;&gt;0,VLOOKUP($A71,'0.Productos'!$A$3:$GG$587,'0.Productos'!CE$1+1,0),"")</f>
        <v/>
      </c>
      <c r="AN71" s="133" t="str">
        <f>IF($A71&lt;&gt;0,VLOOKUP($A71,'0.Productos'!$A$3:$GG$587,'0.Productos'!CF$1+1,0),"")</f>
        <v/>
      </c>
      <c r="AO71" s="133" t="str">
        <f>IF($A71&lt;&gt;0,VLOOKUP($A71,'0.Productos'!$A$3:$GG$587,'0.Productos'!CG$1+1,0),"")</f>
        <v/>
      </c>
      <c r="AP71" s="133" t="str">
        <f>IF($A71&lt;&gt;0,VLOOKUP($A71,'0.Productos'!$A$3:$GG$587,'0.Productos'!CH$1+1,0),"")</f>
        <v/>
      </c>
      <c r="AQ71" s="133" t="str">
        <f>IF($A71&lt;&gt;0,VLOOKUP($A71,'0.Productos'!$A$3:$GG$587,'0.Productos'!CI$1+1,0),"")</f>
        <v/>
      </c>
      <c r="AR71" s="133" t="str">
        <f>IF($A71&lt;&gt;0,VLOOKUP($A71,'0.Productos'!$A$3:$GG$587,'0.Productos'!CJ$1+1,0),"")</f>
        <v/>
      </c>
      <c r="AS71" s="133" t="str">
        <f>IF($A71&lt;&gt;0,VLOOKUP($A71,'0.Productos'!$A$3:$GG$587,'0.Productos'!CK$1+1,0),"")</f>
        <v/>
      </c>
      <c r="AT71" s="133" t="str">
        <f>IF($A71&lt;&gt;0,VLOOKUP($A71,'0.Productos'!$A$3:$GG$587,'0.Productos'!CL$1+1,0),"")</f>
        <v/>
      </c>
      <c r="AU71" s="133" t="str">
        <f>IF($A71&lt;&gt;0,VLOOKUP($A71,'0.Productos'!$A$3:$GG$587,'0.Productos'!CM$1+1,0),"")</f>
        <v/>
      </c>
      <c r="AV71" s="133" t="str">
        <f>IF($A71&lt;&gt;0,VLOOKUP($A71,'0.Productos'!$A$3:$GG$587,'0.Productos'!CN$1+1,0),"")</f>
        <v/>
      </c>
      <c r="AW71" s="133" t="str">
        <f>IF($A71&lt;&gt;0,VLOOKUP($A71,'0.Productos'!$A$3:$GG$587,'0.Productos'!CO$1+1,0),"")</f>
        <v/>
      </c>
      <c r="AX71" s="133" t="str">
        <f>IF($A71&lt;&gt;0,VLOOKUP($A71,'0.Productos'!$A$3:$GG$587,'0.Productos'!CP$1+1,0),"")</f>
        <v/>
      </c>
      <c r="AY71" s="133" t="str">
        <f>IF($A71&lt;&gt;0,VLOOKUP($A71,'0.Productos'!$A$3:$GG$587,'0.Productos'!CQ$1+1,0),"")</f>
        <v/>
      </c>
      <c r="AZ71" s="133" t="str">
        <f>IF($A71&lt;&gt;0,VLOOKUP($A71,'0.Productos'!$A$3:$GG$587,'0.Productos'!CR$1+1,0),"")</f>
        <v/>
      </c>
      <c r="BA71" s="133" t="str">
        <f>IF($A71&lt;&gt;0,VLOOKUP($A71,'0.Productos'!$A$3:$GG$587,'0.Productos'!CS$1+1,0),"")</f>
        <v/>
      </c>
      <c r="BB71" s="133" t="str">
        <f>IF($A71&lt;&gt;0,VLOOKUP($A71,'0.Productos'!$A$3:$GG$587,'0.Productos'!CT$1+1,0),"")</f>
        <v/>
      </c>
      <c r="BC71" s="133" t="str">
        <f>IF($A71&lt;&gt;0,VLOOKUP($A71,'0.Productos'!$A$3:$GG$587,'0.Productos'!CU$1+1,0),"")</f>
        <v/>
      </c>
      <c r="BD71" s="133" t="str">
        <f>IF($A71&lt;&gt;0,VLOOKUP($A71,'0.Productos'!$A$3:$GG$587,'0.Productos'!CV$1+1,0),"")</f>
        <v/>
      </c>
      <c r="BE71" s="133" t="str">
        <f>IF($A71&lt;&gt;0,VLOOKUP($A71,'0.Productos'!$A$3:$GG$587,'0.Productos'!CW$1+1,0),"")</f>
        <v/>
      </c>
      <c r="BF71" s="133" t="str">
        <f>IF($A71&lt;&gt;0,VLOOKUP($A71,'0.Productos'!$A$3:$GG$587,'0.Productos'!CX$1+1,0),"")</f>
        <v/>
      </c>
      <c r="BG71" s="133" t="str">
        <f>IF($A71&lt;&gt;0,VLOOKUP($A71,'0.Productos'!$A$3:$GG$587,'0.Productos'!CY$1+1,0),"")</f>
        <v/>
      </c>
      <c r="BH71" s="133" t="str">
        <f>IF($A71&lt;&gt;0,VLOOKUP($A71,'0.Productos'!$A$3:$GG$587,'0.Productos'!CZ$1+1,0),"")</f>
        <v/>
      </c>
      <c r="BI71" s="133" t="str">
        <f>IF($A71&lt;&gt;0,VLOOKUP($A71,'0.Productos'!$A$3:$GG$587,'0.Productos'!DA$1+1,0),"")</f>
        <v/>
      </c>
      <c r="BJ71" s="133" t="str">
        <f>IF($A71&lt;&gt;0,VLOOKUP($A71,'0.Productos'!$A$3:$GG$587,'0.Productos'!DB$1+1,0),"")</f>
        <v/>
      </c>
      <c r="BK71" s="133" t="str">
        <f>IF($A71&lt;&gt;0,VLOOKUP($A71,'0.Productos'!$A$3:$GG$587,'0.Productos'!DC$1+1,0),"")</f>
        <v/>
      </c>
      <c r="BL71" s="133" t="str">
        <f>IF($A71&lt;&gt;0,VLOOKUP($A71,'0.Productos'!$A$3:$GG$587,'0.Productos'!DD$1+1,0),"")</f>
        <v/>
      </c>
      <c r="BM71" s="133" t="str">
        <f>IF($A71&lt;&gt;0,VLOOKUP($A71,'0.Productos'!$A$3:$GG$587,'0.Productos'!DE$1+1,0),"")</f>
        <v/>
      </c>
      <c r="BN71" s="133" t="str">
        <f>IF($A71&lt;&gt;0,VLOOKUP($A71,'0.Productos'!$A$3:$GG$587,'0.Productos'!DF$1+1,0),"")</f>
        <v/>
      </c>
      <c r="BO71" s="133" t="str">
        <f>IF($A71&lt;&gt;0,VLOOKUP($A71,'0.Productos'!$A$3:$GG$587,'0.Productos'!DG$1+1,0),"")</f>
        <v/>
      </c>
      <c r="BP71" s="133" t="str">
        <f>IF($A71&lt;&gt;0,VLOOKUP($A71,'0.Productos'!$A$3:$GG$587,'0.Productos'!DH$1+1,0),"")</f>
        <v/>
      </c>
      <c r="BQ71" s="133" t="str">
        <f>IF($A71&lt;&gt;0,VLOOKUP($A71,'0.Productos'!$A$3:$GG$587,'0.Productos'!DI$1+1,0),"")</f>
        <v/>
      </c>
      <c r="BR71" s="133" t="str">
        <f>IF($A71&lt;&gt;0,VLOOKUP($A71,'0.Productos'!$A$3:$GG$587,'0.Productos'!DJ$1+1,0),"")</f>
        <v/>
      </c>
      <c r="BS71" s="133" t="str">
        <f>IF($A71&lt;&gt;0,VLOOKUP($A71,'0.Productos'!$A$3:$GG$587,'0.Productos'!DK$1+1,0),"")</f>
        <v/>
      </c>
      <c r="BT71" s="133" t="str">
        <f>IF($A71&lt;&gt;0,VLOOKUP($A71,'0.Productos'!$A$3:$GG$587,'0.Productos'!DL$1+1,0),"")</f>
        <v/>
      </c>
    </row>
    <row r="72" spans="1:72" x14ac:dyDescent="0.25">
      <c r="A72" s="17">
        <f>'0.Consolidado general'!A72</f>
        <v>0</v>
      </c>
      <c r="B72" s="133" t="str">
        <f>IF($A72&lt;&gt;0,VLOOKUP($A72,'0.Productos'!$A$3:$GG$587,'0.Productos'!AT$1+1,0),"")</f>
        <v/>
      </c>
      <c r="C72" s="133" t="str">
        <f>IF($A72&lt;&gt;0,VLOOKUP($A72,'0.Productos'!$A$3:$GG$587,'0.Productos'!AU$1+1,0),"")</f>
        <v/>
      </c>
      <c r="D72" s="133" t="str">
        <f>IF($A72&lt;&gt;0,VLOOKUP($A72,'0.Productos'!$A$3:$GG$587,'0.Productos'!AV$1+1,0),"")</f>
        <v/>
      </c>
      <c r="E72" s="133" t="str">
        <f>IF($A72&lt;&gt;0,VLOOKUP($A72,'0.Productos'!$A$3:$GG$587,'0.Productos'!AW$1+1,0),"")</f>
        <v/>
      </c>
      <c r="F72" s="133" t="str">
        <f>IF($A72&lt;&gt;0,VLOOKUP($A72,'0.Productos'!$A$3:$GG$587,'0.Productos'!AX$1+1,0),"")</f>
        <v/>
      </c>
      <c r="G72" s="133" t="str">
        <f>IF($A72&lt;&gt;0,VLOOKUP($A72,'0.Productos'!$A$3:$GG$587,'0.Productos'!AY$1+1,0),"")</f>
        <v/>
      </c>
      <c r="H72" s="133" t="str">
        <f>IF($A72&lt;&gt;0,VLOOKUP($A72,'0.Productos'!$A$3:$GG$587,'0.Productos'!AZ$1+1,0),"")</f>
        <v/>
      </c>
      <c r="I72" s="133" t="str">
        <f>IF($A72&lt;&gt;0,VLOOKUP($A72,'0.Productos'!$A$3:$GG$587,'0.Productos'!BA$1+1,0),"")</f>
        <v/>
      </c>
      <c r="J72" s="133" t="str">
        <f>IF($A72&lt;&gt;0,VLOOKUP($A72,'0.Productos'!$A$3:$GG$587,'0.Productos'!BB$1+1,0),"")</f>
        <v/>
      </c>
      <c r="K72" s="133" t="str">
        <f>IF($A72&lt;&gt;0,VLOOKUP($A72,'0.Productos'!$A$3:$GG$587,'0.Productos'!BC$1+1,0),"")</f>
        <v/>
      </c>
      <c r="L72" s="133" t="str">
        <f>IF($A72&lt;&gt;0,VLOOKUP($A72,'0.Productos'!$A$3:$GG$587,'0.Productos'!BD$1+1,0),"")</f>
        <v/>
      </c>
      <c r="M72" s="133" t="str">
        <f>IF($A72&lt;&gt;0,VLOOKUP($A72,'0.Productos'!$A$3:$GG$587,'0.Productos'!BE$1+1,0),"")</f>
        <v/>
      </c>
      <c r="N72" s="133" t="str">
        <f>IF($A72&lt;&gt;0,VLOOKUP($A72,'0.Productos'!$A$3:$GG$587,'0.Productos'!BF$1+1,0),"")</f>
        <v/>
      </c>
      <c r="O72" s="133" t="str">
        <f>IF($A72&lt;&gt;0,VLOOKUP($A72,'0.Productos'!$A$3:$GG$587,'0.Productos'!BG$1+1,0),"")</f>
        <v/>
      </c>
      <c r="P72" s="133" t="str">
        <f>IF($A72&lt;&gt;0,VLOOKUP($A72,'0.Productos'!$A$3:$GG$587,'0.Productos'!BH$1+1,0),"")</f>
        <v/>
      </c>
      <c r="Q72" s="133" t="str">
        <f>IF($A72&lt;&gt;0,VLOOKUP($A72,'0.Productos'!$A$3:$GG$587,'0.Productos'!BI$1+1,0),"")</f>
        <v/>
      </c>
      <c r="R72" s="133" t="str">
        <f>IF($A72&lt;&gt;0,VLOOKUP($A72,'0.Productos'!$A$3:$GG$587,'0.Productos'!BJ$1+1,0),"")</f>
        <v/>
      </c>
      <c r="S72" s="133" t="str">
        <f>IF($A72&lt;&gt;0,VLOOKUP($A72,'0.Productos'!$A$3:$GG$587,'0.Productos'!BK$1+1,0),"")</f>
        <v/>
      </c>
      <c r="T72" s="133" t="str">
        <f>IF($A72&lt;&gt;0,VLOOKUP($A72,'0.Productos'!$A$3:$GG$587,'0.Productos'!BL$1+1,0),"")</f>
        <v/>
      </c>
      <c r="U72" s="133" t="str">
        <f>IF($A72&lt;&gt;0,VLOOKUP($A72,'0.Productos'!$A$3:$GG$587,'0.Productos'!BM$1+1,0),"")</f>
        <v/>
      </c>
      <c r="V72" s="133" t="str">
        <f>IF($A72&lt;&gt;0,VLOOKUP($A72,'0.Productos'!$A$3:$GG$587,'0.Productos'!BN$1+1,0),"")</f>
        <v/>
      </c>
      <c r="W72" s="133" t="str">
        <f>IF($A72&lt;&gt;0,VLOOKUP($A72,'0.Productos'!$A$3:$GG$587,'0.Productos'!BO$1+1,0),"")</f>
        <v/>
      </c>
      <c r="X72" s="133" t="str">
        <f>IF($A72&lt;&gt;0,VLOOKUP($A72,'0.Productos'!$A$3:$GG$587,'0.Productos'!BP$1+1,0),"")</f>
        <v/>
      </c>
      <c r="Y72" s="133" t="str">
        <f>IF($A72&lt;&gt;0,VLOOKUP($A72,'0.Productos'!$A$3:$GG$587,'0.Productos'!BQ$1+1,0),"")</f>
        <v/>
      </c>
      <c r="Z72" s="133" t="str">
        <f>IF($A72&lt;&gt;0,VLOOKUP($A72,'0.Productos'!$A$3:$GG$587,'0.Productos'!BR$1+1,0),"")</f>
        <v/>
      </c>
      <c r="AA72" s="133" t="str">
        <f>IF($A72&lt;&gt;0,VLOOKUP($A72,'0.Productos'!$A$3:$GG$587,'0.Productos'!BS$1+1,0),"")</f>
        <v/>
      </c>
      <c r="AB72" s="133" t="str">
        <f>IF($A72&lt;&gt;0,VLOOKUP($A72,'0.Productos'!$A$3:$GG$587,'0.Productos'!BT$1+1,0),"")</f>
        <v/>
      </c>
      <c r="AC72" s="133" t="str">
        <f>IF($A72&lt;&gt;0,VLOOKUP($A72,'0.Productos'!$A$3:$GG$587,'0.Productos'!BU$1+1,0),"")</f>
        <v/>
      </c>
      <c r="AD72" s="133" t="str">
        <f>IF($A72&lt;&gt;0,VLOOKUP($A72,'0.Productos'!$A$3:$GG$587,'0.Productos'!BV$1+1,0),"")</f>
        <v/>
      </c>
      <c r="AE72" s="133" t="str">
        <f>IF($A72&lt;&gt;0,VLOOKUP($A72,'0.Productos'!$A$3:$GG$587,'0.Productos'!BW$1+1,0),"")</f>
        <v/>
      </c>
      <c r="AF72" s="133" t="str">
        <f>IF($A72&lt;&gt;0,VLOOKUP($A72,'0.Productos'!$A$3:$GG$587,'0.Productos'!BX$1+1,0),"")</f>
        <v/>
      </c>
      <c r="AG72" s="133" t="str">
        <f>IF($A72&lt;&gt;0,VLOOKUP($A72,'0.Productos'!$A$3:$GG$587,'0.Productos'!BY$1+1,0),"")</f>
        <v/>
      </c>
      <c r="AH72" s="133" t="str">
        <f>IF($A72&lt;&gt;0,VLOOKUP($A72,'0.Productos'!$A$3:$GG$587,'0.Productos'!BZ$1+1,0),"")</f>
        <v/>
      </c>
      <c r="AI72" s="133" t="str">
        <f>IF($A72&lt;&gt;0,VLOOKUP($A72,'0.Productos'!$A$3:$GG$587,'0.Productos'!CA$1+1,0),"")</f>
        <v/>
      </c>
      <c r="AJ72" s="133" t="str">
        <f>IF($A72&lt;&gt;0,VLOOKUP($A72,'0.Productos'!$A$3:$GG$587,'0.Productos'!CB$1+1,0),"")</f>
        <v/>
      </c>
      <c r="AK72" s="133" t="str">
        <f>IF($A72&lt;&gt;0,VLOOKUP($A72,'0.Productos'!$A$3:$GG$587,'0.Productos'!CC$1+1,0),"")</f>
        <v/>
      </c>
      <c r="AL72" s="133" t="str">
        <f>IF($A72&lt;&gt;0,VLOOKUP($A72,'0.Productos'!$A$3:$GG$587,'0.Productos'!CD$1+1,0),"")</f>
        <v/>
      </c>
      <c r="AM72" s="133" t="str">
        <f>IF($A72&lt;&gt;0,VLOOKUP($A72,'0.Productos'!$A$3:$GG$587,'0.Productos'!CE$1+1,0),"")</f>
        <v/>
      </c>
      <c r="AN72" s="133" t="str">
        <f>IF($A72&lt;&gt;0,VLOOKUP($A72,'0.Productos'!$A$3:$GG$587,'0.Productos'!CF$1+1,0),"")</f>
        <v/>
      </c>
      <c r="AO72" s="133" t="str">
        <f>IF($A72&lt;&gt;0,VLOOKUP($A72,'0.Productos'!$A$3:$GG$587,'0.Productos'!CG$1+1,0),"")</f>
        <v/>
      </c>
      <c r="AP72" s="133" t="str">
        <f>IF($A72&lt;&gt;0,VLOOKUP($A72,'0.Productos'!$A$3:$GG$587,'0.Productos'!CH$1+1,0),"")</f>
        <v/>
      </c>
      <c r="AQ72" s="133" t="str">
        <f>IF($A72&lt;&gt;0,VLOOKUP($A72,'0.Productos'!$A$3:$GG$587,'0.Productos'!CI$1+1,0),"")</f>
        <v/>
      </c>
      <c r="AR72" s="133" t="str">
        <f>IF($A72&lt;&gt;0,VLOOKUP($A72,'0.Productos'!$A$3:$GG$587,'0.Productos'!CJ$1+1,0),"")</f>
        <v/>
      </c>
      <c r="AS72" s="133" t="str">
        <f>IF($A72&lt;&gt;0,VLOOKUP($A72,'0.Productos'!$A$3:$GG$587,'0.Productos'!CK$1+1,0),"")</f>
        <v/>
      </c>
      <c r="AT72" s="133" t="str">
        <f>IF($A72&lt;&gt;0,VLOOKUP($A72,'0.Productos'!$A$3:$GG$587,'0.Productos'!CL$1+1,0),"")</f>
        <v/>
      </c>
      <c r="AU72" s="133" t="str">
        <f>IF($A72&lt;&gt;0,VLOOKUP($A72,'0.Productos'!$A$3:$GG$587,'0.Productos'!CM$1+1,0),"")</f>
        <v/>
      </c>
      <c r="AV72" s="133" t="str">
        <f>IF($A72&lt;&gt;0,VLOOKUP($A72,'0.Productos'!$A$3:$GG$587,'0.Productos'!CN$1+1,0),"")</f>
        <v/>
      </c>
      <c r="AW72" s="133" t="str">
        <f>IF($A72&lt;&gt;0,VLOOKUP($A72,'0.Productos'!$A$3:$GG$587,'0.Productos'!CO$1+1,0),"")</f>
        <v/>
      </c>
      <c r="AX72" s="133" t="str">
        <f>IF($A72&lt;&gt;0,VLOOKUP($A72,'0.Productos'!$A$3:$GG$587,'0.Productos'!CP$1+1,0),"")</f>
        <v/>
      </c>
      <c r="AY72" s="133" t="str">
        <f>IF($A72&lt;&gt;0,VLOOKUP($A72,'0.Productos'!$A$3:$GG$587,'0.Productos'!CQ$1+1,0),"")</f>
        <v/>
      </c>
      <c r="AZ72" s="133" t="str">
        <f>IF($A72&lt;&gt;0,VLOOKUP($A72,'0.Productos'!$A$3:$GG$587,'0.Productos'!CR$1+1,0),"")</f>
        <v/>
      </c>
      <c r="BA72" s="133" t="str">
        <f>IF($A72&lt;&gt;0,VLOOKUP($A72,'0.Productos'!$A$3:$GG$587,'0.Productos'!CS$1+1,0),"")</f>
        <v/>
      </c>
      <c r="BB72" s="133" t="str">
        <f>IF($A72&lt;&gt;0,VLOOKUP($A72,'0.Productos'!$A$3:$GG$587,'0.Productos'!CT$1+1,0),"")</f>
        <v/>
      </c>
      <c r="BC72" s="133" t="str">
        <f>IF($A72&lt;&gt;0,VLOOKUP($A72,'0.Productos'!$A$3:$GG$587,'0.Productos'!CU$1+1,0),"")</f>
        <v/>
      </c>
      <c r="BD72" s="133" t="str">
        <f>IF($A72&lt;&gt;0,VLOOKUP($A72,'0.Productos'!$A$3:$GG$587,'0.Productos'!CV$1+1,0),"")</f>
        <v/>
      </c>
      <c r="BE72" s="133" t="str">
        <f>IF($A72&lt;&gt;0,VLOOKUP($A72,'0.Productos'!$A$3:$GG$587,'0.Productos'!CW$1+1,0),"")</f>
        <v/>
      </c>
      <c r="BF72" s="133" t="str">
        <f>IF($A72&lt;&gt;0,VLOOKUP($A72,'0.Productos'!$A$3:$GG$587,'0.Productos'!CX$1+1,0),"")</f>
        <v/>
      </c>
      <c r="BG72" s="133" t="str">
        <f>IF($A72&lt;&gt;0,VLOOKUP($A72,'0.Productos'!$A$3:$GG$587,'0.Productos'!CY$1+1,0),"")</f>
        <v/>
      </c>
      <c r="BH72" s="133" t="str">
        <f>IF($A72&lt;&gt;0,VLOOKUP($A72,'0.Productos'!$A$3:$GG$587,'0.Productos'!CZ$1+1,0),"")</f>
        <v/>
      </c>
      <c r="BI72" s="133" t="str">
        <f>IF($A72&lt;&gt;0,VLOOKUP($A72,'0.Productos'!$A$3:$GG$587,'0.Productos'!DA$1+1,0),"")</f>
        <v/>
      </c>
      <c r="BJ72" s="133" t="str">
        <f>IF($A72&lt;&gt;0,VLOOKUP($A72,'0.Productos'!$A$3:$GG$587,'0.Productos'!DB$1+1,0),"")</f>
        <v/>
      </c>
      <c r="BK72" s="133" t="str">
        <f>IF($A72&lt;&gt;0,VLOOKUP($A72,'0.Productos'!$A$3:$GG$587,'0.Productos'!DC$1+1,0),"")</f>
        <v/>
      </c>
      <c r="BL72" s="133" t="str">
        <f>IF($A72&lt;&gt;0,VLOOKUP($A72,'0.Productos'!$A$3:$GG$587,'0.Productos'!DD$1+1,0),"")</f>
        <v/>
      </c>
      <c r="BM72" s="133" t="str">
        <f>IF($A72&lt;&gt;0,VLOOKUP($A72,'0.Productos'!$A$3:$GG$587,'0.Productos'!DE$1+1,0),"")</f>
        <v/>
      </c>
      <c r="BN72" s="133" t="str">
        <f>IF($A72&lt;&gt;0,VLOOKUP($A72,'0.Productos'!$A$3:$GG$587,'0.Productos'!DF$1+1,0),"")</f>
        <v/>
      </c>
      <c r="BO72" s="133" t="str">
        <f>IF($A72&lt;&gt;0,VLOOKUP($A72,'0.Productos'!$A$3:$GG$587,'0.Productos'!DG$1+1,0),"")</f>
        <v/>
      </c>
      <c r="BP72" s="133" t="str">
        <f>IF($A72&lt;&gt;0,VLOOKUP($A72,'0.Productos'!$A$3:$GG$587,'0.Productos'!DH$1+1,0),"")</f>
        <v/>
      </c>
      <c r="BQ72" s="133" t="str">
        <f>IF($A72&lt;&gt;0,VLOOKUP($A72,'0.Productos'!$A$3:$GG$587,'0.Productos'!DI$1+1,0),"")</f>
        <v/>
      </c>
      <c r="BR72" s="133" t="str">
        <f>IF($A72&lt;&gt;0,VLOOKUP($A72,'0.Productos'!$A$3:$GG$587,'0.Productos'!DJ$1+1,0),"")</f>
        <v/>
      </c>
      <c r="BS72" s="133" t="str">
        <f>IF($A72&lt;&gt;0,VLOOKUP($A72,'0.Productos'!$A$3:$GG$587,'0.Productos'!DK$1+1,0),"")</f>
        <v/>
      </c>
      <c r="BT72" s="133" t="str">
        <f>IF($A72&lt;&gt;0,VLOOKUP($A72,'0.Productos'!$A$3:$GG$587,'0.Productos'!DL$1+1,0),"")</f>
        <v/>
      </c>
    </row>
    <row r="73" spans="1:72" x14ac:dyDescent="0.25">
      <c r="A73" s="17">
        <f>'0.Consolidado general'!A73</f>
        <v>0</v>
      </c>
      <c r="B73" s="133" t="str">
        <f>IF($A73&lt;&gt;0,VLOOKUP($A73,'0.Productos'!$A$3:$GG$587,'0.Productos'!AT$1+1,0),"")</f>
        <v/>
      </c>
      <c r="C73" s="133" t="str">
        <f>IF($A73&lt;&gt;0,VLOOKUP($A73,'0.Productos'!$A$3:$GG$587,'0.Productos'!AU$1+1,0),"")</f>
        <v/>
      </c>
      <c r="D73" s="133" t="str">
        <f>IF($A73&lt;&gt;0,VLOOKUP($A73,'0.Productos'!$A$3:$GG$587,'0.Productos'!AV$1+1,0),"")</f>
        <v/>
      </c>
      <c r="E73" s="133" t="str">
        <f>IF($A73&lt;&gt;0,VLOOKUP($A73,'0.Productos'!$A$3:$GG$587,'0.Productos'!AW$1+1,0),"")</f>
        <v/>
      </c>
      <c r="F73" s="133" t="str">
        <f>IF($A73&lt;&gt;0,VLOOKUP($A73,'0.Productos'!$A$3:$GG$587,'0.Productos'!AX$1+1,0),"")</f>
        <v/>
      </c>
      <c r="G73" s="133" t="str">
        <f>IF($A73&lt;&gt;0,VLOOKUP($A73,'0.Productos'!$A$3:$GG$587,'0.Productos'!AY$1+1,0),"")</f>
        <v/>
      </c>
      <c r="H73" s="133" t="str">
        <f>IF($A73&lt;&gt;0,VLOOKUP($A73,'0.Productos'!$A$3:$GG$587,'0.Productos'!AZ$1+1,0),"")</f>
        <v/>
      </c>
      <c r="I73" s="133" t="str">
        <f>IF($A73&lt;&gt;0,VLOOKUP($A73,'0.Productos'!$A$3:$GG$587,'0.Productos'!BA$1+1,0),"")</f>
        <v/>
      </c>
      <c r="J73" s="133" t="str">
        <f>IF($A73&lt;&gt;0,VLOOKUP($A73,'0.Productos'!$A$3:$GG$587,'0.Productos'!BB$1+1,0),"")</f>
        <v/>
      </c>
      <c r="K73" s="133" t="str">
        <f>IF($A73&lt;&gt;0,VLOOKUP($A73,'0.Productos'!$A$3:$GG$587,'0.Productos'!BC$1+1,0),"")</f>
        <v/>
      </c>
      <c r="L73" s="133" t="str">
        <f>IF($A73&lt;&gt;0,VLOOKUP($A73,'0.Productos'!$A$3:$GG$587,'0.Productos'!BD$1+1,0),"")</f>
        <v/>
      </c>
      <c r="M73" s="133" t="str">
        <f>IF($A73&lt;&gt;0,VLOOKUP($A73,'0.Productos'!$A$3:$GG$587,'0.Productos'!BE$1+1,0),"")</f>
        <v/>
      </c>
      <c r="N73" s="133" t="str">
        <f>IF($A73&lt;&gt;0,VLOOKUP($A73,'0.Productos'!$A$3:$GG$587,'0.Productos'!BF$1+1,0),"")</f>
        <v/>
      </c>
      <c r="O73" s="133" t="str">
        <f>IF($A73&lt;&gt;0,VLOOKUP($A73,'0.Productos'!$A$3:$GG$587,'0.Productos'!BG$1+1,0),"")</f>
        <v/>
      </c>
      <c r="P73" s="133" t="str">
        <f>IF($A73&lt;&gt;0,VLOOKUP($A73,'0.Productos'!$A$3:$GG$587,'0.Productos'!BH$1+1,0),"")</f>
        <v/>
      </c>
      <c r="Q73" s="133" t="str">
        <f>IF($A73&lt;&gt;0,VLOOKUP($A73,'0.Productos'!$A$3:$GG$587,'0.Productos'!BI$1+1,0),"")</f>
        <v/>
      </c>
      <c r="R73" s="133" t="str">
        <f>IF($A73&lt;&gt;0,VLOOKUP($A73,'0.Productos'!$A$3:$GG$587,'0.Productos'!BJ$1+1,0),"")</f>
        <v/>
      </c>
      <c r="S73" s="133" t="str">
        <f>IF($A73&lt;&gt;0,VLOOKUP($A73,'0.Productos'!$A$3:$GG$587,'0.Productos'!BK$1+1,0),"")</f>
        <v/>
      </c>
      <c r="T73" s="133" t="str">
        <f>IF($A73&lt;&gt;0,VLOOKUP($A73,'0.Productos'!$A$3:$GG$587,'0.Productos'!BL$1+1,0),"")</f>
        <v/>
      </c>
      <c r="U73" s="133" t="str">
        <f>IF($A73&lt;&gt;0,VLOOKUP($A73,'0.Productos'!$A$3:$GG$587,'0.Productos'!BM$1+1,0),"")</f>
        <v/>
      </c>
      <c r="V73" s="133" t="str">
        <f>IF($A73&lt;&gt;0,VLOOKUP($A73,'0.Productos'!$A$3:$GG$587,'0.Productos'!BN$1+1,0),"")</f>
        <v/>
      </c>
      <c r="W73" s="133" t="str">
        <f>IF($A73&lt;&gt;0,VLOOKUP($A73,'0.Productos'!$A$3:$GG$587,'0.Productos'!BO$1+1,0),"")</f>
        <v/>
      </c>
      <c r="X73" s="133" t="str">
        <f>IF($A73&lt;&gt;0,VLOOKUP($A73,'0.Productos'!$A$3:$GG$587,'0.Productos'!BP$1+1,0),"")</f>
        <v/>
      </c>
      <c r="Y73" s="133" t="str">
        <f>IF($A73&lt;&gt;0,VLOOKUP($A73,'0.Productos'!$A$3:$GG$587,'0.Productos'!BQ$1+1,0),"")</f>
        <v/>
      </c>
      <c r="Z73" s="133" t="str">
        <f>IF($A73&lt;&gt;0,VLOOKUP($A73,'0.Productos'!$A$3:$GG$587,'0.Productos'!BR$1+1,0),"")</f>
        <v/>
      </c>
      <c r="AA73" s="133" t="str">
        <f>IF($A73&lt;&gt;0,VLOOKUP($A73,'0.Productos'!$A$3:$GG$587,'0.Productos'!BS$1+1,0),"")</f>
        <v/>
      </c>
      <c r="AB73" s="133" t="str">
        <f>IF($A73&lt;&gt;0,VLOOKUP($A73,'0.Productos'!$A$3:$GG$587,'0.Productos'!BT$1+1,0),"")</f>
        <v/>
      </c>
      <c r="AC73" s="133" t="str">
        <f>IF($A73&lt;&gt;0,VLOOKUP($A73,'0.Productos'!$A$3:$GG$587,'0.Productos'!BU$1+1,0),"")</f>
        <v/>
      </c>
      <c r="AD73" s="133" t="str">
        <f>IF($A73&lt;&gt;0,VLOOKUP($A73,'0.Productos'!$A$3:$GG$587,'0.Productos'!BV$1+1,0),"")</f>
        <v/>
      </c>
      <c r="AE73" s="133" t="str">
        <f>IF($A73&lt;&gt;0,VLOOKUP($A73,'0.Productos'!$A$3:$GG$587,'0.Productos'!BW$1+1,0),"")</f>
        <v/>
      </c>
      <c r="AF73" s="133" t="str">
        <f>IF($A73&lt;&gt;0,VLOOKUP($A73,'0.Productos'!$A$3:$GG$587,'0.Productos'!BX$1+1,0),"")</f>
        <v/>
      </c>
      <c r="AG73" s="133" t="str">
        <f>IF($A73&lt;&gt;0,VLOOKUP($A73,'0.Productos'!$A$3:$GG$587,'0.Productos'!BY$1+1,0),"")</f>
        <v/>
      </c>
      <c r="AH73" s="133" t="str">
        <f>IF($A73&lt;&gt;0,VLOOKUP($A73,'0.Productos'!$A$3:$GG$587,'0.Productos'!BZ$1+1,0),"")</f>
        <v/>
      </c>
      <c r="AI73" s="133" t="str">
        <f>IF($A73&lt;&gt;0,VLOOKUP($A73,'0.Productos'!$A$3:$GG$587,'0.Productos'!CA$1+1,0),"")</f>
        <v/>
      </c>
      <c r="AJ73" s="133" t="str">
        <f>IF($A73&lt;&gt;0,VLOOKUP($A73,'0.Productos'!$A$3:$GG$587,'0.Productos'!CB$1+1,0),"")</f>
        <v/>
      </c>
      <c r="AK73" s="133" t="str">
        <f>IF($A73&lt;&gt;0,VLOOKUP($A73,'0.Productos'!$A$3:$GG$587,'0.Productos'!CC$1+1,0),"")</f>
        <v/>
      </c>
      <c r="AL73" s="133" t="str">
        <f>IF($A73&lt;&gt;0,VLOOKUP($A73,'0.Productos'!$A$3:$GG$587,'0.Productos'!CD$1+1,0),"")</f>
        <v/>
      </c>
      <c r="AM73" s="133" t="str">
        <f>IF($A73&lt;&gt;0,VLOOKUP($A73,'0.Productos'!$A$3:$GG$587,'0.Productos'!CE$1+1,0),"")</f>
        <v/>
      </c>
      <c r="AN73" s="133" t="str">
        <f>IF($A73&lt;&gt;0,VLOOKUP($A73,'0.Productos'!$A$3:$GG$587,'0.Productos'!CF$1+1,0),"")</f>
        <v/>
      </c>
      <c r="AO73" s="133" t="str">
        <f>IF($A73&lt;&gt;0,VLOOKUP($A73,'0.Productos'!$A$3:$GG$587,'0.Productos'!CG$1+1,0),"")</f>
        <v/>
      </c>
      <c r="AP73" s="133" t="str">
        <f>IF($A73&lt;&gt;0,VLOOKUP($A73,'0.Productos'!$A$3:$GG$587,'0.Productos'!CH$1+1,0),"")</f>
        <v/>
      </c>
      <c r="AQ73" s="133" t="str">
        <f>IF($A73&lt;&gt;0,VLOOKUP($A73,'0.Productos'!$A$3:$GG$587,'0.Productos'!CI$1+1,0),"")</f>
        <v/>
      </c>
      <c r="AR73" s="133" t="str">
        <f>IF($A73&lt;&gt;0,VLOOKUP($A73,'0.Productos'!$A$3:$GG$587,'0.Productos'!CJ$1+1,0),"")</f>
        <v/>
      </c>
      <c r="AS73" s="133" t="str">
        <f>IF($A73&lt;&gt;0,VLOOKUP($A73,'0.Productos'!$A$3:$GG$587,'0.Productos'!CK$1+1,0),"")</f>
        <v/>
      </c>
      <c r="AT73" s="133" t="str">
        <f>IF($A73&lt;&gt;0,VLOOKUP($A73,'0.Productos'!$A$3:$GG$587,'0.Productos'!CL$1+1,0),"")</f>
        <v/>
      </c>
      <c r="AU73" s="133" t="str">
        <f>IF($A73&lt;&gt;0,VLOOKUP($A73,'0.Productos'!$A$3:$GG$587,'0.Productos'!CM$1+1,0),"")</f>
        <v/>
      </c>
      <c r="AV73" s="133" t="str">
        <f>IF($A73&lt;&gt;0,VLOOKUP($A73,'0.Productos'!$A$3:$GG$587,'0.Productos'!CN$1+1,0),"")</f>
        <v/>
      </c>
      <c r="AW73" s="133" t="str">
        <f>IF($A73&lt;&gt;0,VLOOKUP($A73,'0.Productos'!$A$3:$GG$587,'0.Productos'!CO$1+1,0),"")</f>
        <v/>
      </c>
      <c r="AX73" s="133" t="str">
        <f>IF($A73&lt;&gt;0,VLOOKUP($A73,'0.Productos'!$A$3:$GG$587,'0.Productos'!CP$1+1,0),"")</f>
        <v/>
      </c>
      <c r="AY73" s="133" t="str">
        <f>IF($A73&lt;&gt;0,VLOOKUP($A73,'0.Productos'!$A$3:$GG$587,'0.Productos'!CQ$1+1,0),"")</f>
        <v/>
      </c>
      <c r="AZ73" s="133" t="str">
        <f>IF($A73&lt;&gt;0,VLOOKUP($A73,'0.Productos'!$A$3:$GG$587,'0.Productos'!CR$1+1,0),"")</f>
        <v/>
      </c>
      <c r="BA73" s="133" t="str">
        <f>IF($A73&lt;&gt;0,VLOOKUP($A73,'0.Productos'!$A$3:$GG$587,'0.Productos'!CS$1+1,0),"")</f>
        <v/>
      </c>
      <c r="BB73" s="133" t="str">
        <f>IF($A73&lt;&gt;0,VLOOKUP($A73,'0.Productos'!$A$3:$GG$587,'0.Productos'!CT$1+1,0),"")</f>
        <v/>
      </c>
      <c r="BC73" s="133" t="str">
        <f>IF($A73&lt;&gt;0,VLOOKUP($A73,'0.Productos'!$A$3:$GG$587,'0.Productos'!CU$1+1,0),"")</f>
        <v/>
      </c>
      <c r="BD73" s="133" t="str">
        <f>IF($A73&lt;&gt;0,VLOOKUP($A73,'0.Productos'!$A$3:$GG$587,'0.Productos'!CV$1+1,0),"")</f>
        <v/>
      </c>
      <c r="BE73" s="133" t="str">
        <f>IF($A73&lt;&gt;0,VLOOKUP($A73,'0.Productos'!$A$3:$GG$587,'0.Productos'!CW$1+1,0),"")</f>
        <v/>
      </c>
      <c r="BF73" s="133" t="str">
        <f>IF($A73&lt;&gt;0,VLOOKUP($A73,'0.Productos'!$A$3:$GG$587,'0.Productos'!CX$1+1,0),"")</f>
        <v/>
      </c>
      <c r="BG73" s="133" t="str">
        <f>IF($A73&lt;&gt;0,VLOOKUP($A73,'0.Productos'!$A$3:$GG$587,'0.Productos'!CY$1+1,0),"")</f>
        <v/>
      </c>
      <c r="BH73" s="133" t="str">
        <f>IF($A73&lt;&gt;0,VLOOKUP($A73,'0.Productos'!$A$3:$GG$587,'0.Productos'!CZ$1+1,0),"")</f>
        <v/>
      </c>
      <c r="BI73" s="133" t="str">
        <f>IF($A73&lt;&gt;0,VLOOKUP($A73,'0.Productos'!$A$3:$GG$587,'0.Productos'!DA$1+1,0),"")</f>
        <v/>
      </c>
      <c r="BJ73" s="133" t="str">
        <f>IF($A73&lt;&gt;0,VLOOKUP($A73,'0.Productos'!$A$3:$GG$587,'0.Productos'!DB$1+1,0),"")</f>
        <v/>
      </c>
      <c r="BK73" s="133" t="str">
        <f>IF($A73&lt;&gt;0,VLOOKUP($A73,'0.Productos'!$A$3:$GG$587,'0.Productos'!DC$1+1,0),"")</f>
        <v/>
      </c>
      <c r="BL73" s="133" t="str">
        <f>IF($A73&lt;&gt;0,VLOOKUP($A73,'0.Productos'!$A$3:$GG$587,'0.Productos'!DD$1+1,0),"")</f>
        <v/>
      </c>
      <c r="BM73" s="133" t="str">
        <f>IF($A73&lt;&gt;0,VLOOKUP($A73,'0.Productos'!$A$3:$GG$587,'0.Productos'!DE$1+1,0),"")</f>
        <v/>
      </c>
      <c r="BN73" s="133" t="str">
        <f>IF($A73&lt;&gt;0,VLOOKUP($A73,'0.Productos'!$A$3:$GG$587,'0.Productos'!DF$1+1,0),"")</f>
        <v/>
      </c>
      <c r="BO73" s="133" t="str">
        <f>IF($A73&lt;&gt;0,VLOOKUP($A73,'0.Productos'!$A$3:$GG$587,'0.Productos'!DG$1+1,0),"")</f>
        <v/>
      </c>
      <c r="BP73" s="133" t="str">
        <f>IF($A73&lt;&gt;0,VLOOKUP($A73,'0.Productos'!$A$3:$GG$587,'0.Productos'!DH$1+1,0),"")</f>
        <v/>
      </c>
      <c r="BQ73" s="133" t="str">
        <f>IF($A73&lt;&gt;0,VLOOKUP($A73,'0.Productos'!$A$3:$GG$587,'0.Productos'!DI$1+1,0),"")</f>
        <v/>
      </c>
      <c r="BR73" s="133" t="str">
        <f>IF($A73&lt;&gt;0,VLOOKUP($A73,'0.Productos'!$A$3:$GG$587,'0.Productos'!DJ$1+1,0),"")</f>
        <v/>
      </c>
      <c r="BS73" s="133" t="str">
        <f>IF($A73&lt;&gt;0,VLOOKUP($A73,'0.Productos'!$A$3:$GG$587,'0.Productos'!DK$1+1,0),"")</f>
        <v/>
      </c>
      <c r="BT73" s="133" t="str">
        <f>IF($A73&lt;&gt;0,VLOOKUP($A73,'0.Productos'!$A$3:$GG$587,'0.Productos'!DL$1+1,0),"")</f>
        <v/>
      </c>
    </row>
    <row r="74" spans="1:72" x14ac:dyDescent="0.25">
      <c r="A74" s="17">
        <f>'0.Consolidado general'!A74</f>
        <v>0</v>
      </c>
      <c r="B74" s="133" t="str">
        <f>IF($A74&lt;&gt;0,VLOOKUP($A74,'0.Productos'!$A$3:$GG$587,'0.Productos'!AT$1+1,0),"")</f>
        <v/>
      </c>
      <c r="C74" s="133" t="str">
        <f>IF($A74&lt;&gt;0,VLOOKUP($A74,'0.Productos'!$A$3:$GG$587,'0.Productos'!AU$1+1,0),"")</f>
        <v/>
      </c>
      <c r="D74" s="133" t="str">
        <f>IF($A74&lt;&gt;0,VLOOKUP($A74,'0.Productos'!$A$3:$GG$587,'0.Productos'!AV$1+1,0),"")</f>
        <v/>
      </c>
      <c r="E74" s="133" t="str">
        <f>IF($A74&lt;&gt;0,VLOOKUP($A74,'0.Productos'!$A$3:$GG$587,'0.Productos'!AW$1+1,0),"")</f>
        <v/>
      </c>
      <c r="F74" s="133" t="str">
        <f>IF($A74&lt;&gt;0,VLOOKUP($A74,'0.Productos'!$A$3:$GG$587,'0.Productos'!AX$1+1,0),"")</f>
        <v/>
      </c>
      <c r="G74" s="133" t="str">
        <f>IF($A74&lt;&gt;0,VLOOKUP($A74,'0.Productos'!$A$3:$GG$587,'0.Productos'!AY$1+1,0),"")</f>
        <v/>
      </c>
      <c r="H74" s="133" t="str">
        <f>IF($A74&lt;&gt;0,VLOOKUP($A74,'0.Productos'!$A$3:$GG$587,'0.Productos'!AZ$1+1,0),"")</f>
        <v/>
      </c>
      <c r="I74" s="133" t="str">
        <f>IF($A74&lt;&gt;0,VLOOKUP($A74,'0.Productos'!$A$3:$GG$587,'0.Productos'!BA$1+1,0),"")</f>
        <v/>
      </c>
      <c r="J74" s="133" t="str">
        <f>IF($A74&lt;&gt;0,VLOOKUP($A74,'0.Productos'!$A$3:$GG$587,'0.Productos'!BB$1+1,0),"")</f>
        <v/>
      </c>
      <c r="K74" s="133" t="str">
        <f>IF($A74&lt;&gt;0,VLOOKUP($A74,'0.Productos'!$A$3:$GG$587,'0.Productos'!BC$1+1,0),"")</f>
        <v/>
      </c>
      <c r="L74" s="133" t="str">
        <f>IF($A74&lt;&gt;0,VLOOKUP($A74,'0.Productos'!$A$3:$GG$587,'0.Productos'!BD$1+1,0),"")</f>
        <v/>
      </c>
      <c r="M74" s="133" t="str">
        <f>IF($A74&lt;&gt;0,VLOOKUP($A74,'0.Productos'!$A$3:$GG$587,'0.Productos'!BE$1+1,0),"")</f>
        <v/>
      </c>
      <c r="N74" s="133" t="str">
        <f>IF($A74&lt;&gt;0,VLOOKUP($A74,'0.Productos'!$A$3:$GG$587,'0.Productos'!BF$1+1,0),"")</f>
        <v/>
      </c>
      <c r="O74" s="133" t="str">
        <f>IF($A74&lt;&gt;0,VLOOKUP($A74,'0.Productos'!$A$3:$GG$587,'0.Productos'!BG$1+1,0),"")</f>
        <v/>
      </c>
      <c r="P74" s="133" t="str">
        <f>IF($A74&lt;&gt;0,VLOOKUP($A74,'0.Productos'!$A$3:$GG$587,'0.Productos'!BH$1+1,0),"")</f>
        <v/>
      </c>
      <c r="Q74" s="133" t="str">
        <f>IF($A74&lt;&gt;0,VLOOKUP($A74,'0.Productos'!$A$3:$GG$587,'0.Productos'!BI$1+1,0),"")</f>
        <v/>
      </c>
      <c r="R74" s="133" t="str">
        <f>IF($A74&lt;&gt;0,VLOOKUP($A74,'0.Productos'!$A$3:$GG$587,'0.Productos'!BJ$1+1,0),"")</f>
        <v/>
      </c>
      <c r="S74" s="133" t="str">
        <f>IF($A74&lt;&gt;0,VLOOKUP($A74,'0.Productos'!$A$3:$GG$587,'0.Productos'!BK$1+1,0),"")</f>
        <v/>
      </c>
      <c r="T74" s="133" t="str">
        <f>IF($A74&lt;&gt;0,VLOOKUP($A74,'0.Productos'!$A$3:$GG$587,'0.Productos'!BL$1+1,0),"")</f>
        <v/>
      </c>
      <c r="U74" s="133" t="str">
        <f>IF($A74&lt;&gt;0,VLOOKUP($A74,'0.Productos'!$A$3:$GG$587,'0.Productos'!BM$1+1,0),"")</f>
        <v/>
      </c>
      <c r="V74" s="133" t="str">
        <f>IF($A74&lt;&gt;0,VLOOKUP($A74,'0.Productos'!$A$3:$GG$587,'0.Productos'!BN$1+1,0),"")</f>
        <v/>
      </c>
      <c r="W74" s="133" t="str">
        <f>IF($A74&lt;&gt;0,VLOOKUP($A74,'0.Productos'!$A$3:$GG$587,'0.Productos'!BO$1+1,0),"")</f>
        <v/>
      </c>
      <c r="X74" s="133" t="str">
        <f>IF($A74&lt;&gt;0,VLOOKUP($A74,'0.Productos'!$A$3:$GG$587,'0.Productos'!BP$1+1,0),"")</f>
        <v/>
      </c>
      <c r="Y74" s="133" t="str">
        <f>IF($A74&lt;&gt;0,VLOOKUP($A74,'0.Productos'!$A$3:$GG$587,'0.Productos'!BQ$1+1,0),"")</f>
        <v/>
      </c>
      <c r="Z74" s="133" t="str">
        <f>IF($A74&lt;&gt;0,VLOOKUP($A74,'0.Productos'!$A$3:$GG$587,'0.Productos'!BR$1+1,0),"")</f>
        <v/>
      </c>
      <c r="AA74" s="133" t="str">
        <f>IF($A74&lt;&gt;0,VLOOKUP($A74,'0.Productos'!$A$3:$GG$587,'0.Productos'!BS$1+1,0),"")</f>
        <v/>
      </c>
      <c r="AB74" s="133" t="str">
        <f>IF($A74&lt;&gt;0,VLOOKUP($A74,'0.Productos'!$A$3:$GG$587,'0.Productos'!BT$1+1,0),"")</f>
        <v/>
      </c>
      <c r="AC74" s="133" t="str">
        <f>IF($A74&lt;&gt;0,VLOOKUP($A74,'0.Productos'!$A$3:$GG$587,'0.Productos'!BU$1+1,0),"")</f>
        <v/>
      </c>
      <c r="AD74" s="133" t="str">
        <f>IF($A74&lt;&gt;0,VLOOKUP($A74,'0.Productos'!$A$3:$GG$587,'0.Productos'!BV$1+1,0),"")</f>
        <v/>
      </c>
      <c r="AE74" s="133" t="str">
        <f>IF($A74&lt;&gt;0,VLOOKUP($A74,'0.Productos'!$A$3:$GG$587,'0.Productos'!BW$1+1,0),"")</f>
        <v/>
      </c>
      <c r="AF74" s="133" t="str">
        <f>IF($A74&lt;&gt;0,VLOOKUP($A74,'0.Productos'!$A$3:$GG$587,'0.Productos'!BX$1+1,0),"")</f>
        <v/>
      </c>
      <c r="AG74" s="133" t="str">
        <f>IF($A74&lt;&gt;0,VLOOKUP($A74,'0.Productos'!$A$3:$GG$587,'0.Productos'!BY$1+1,0),"")</f>
        <v/>
      </c>
      <c r="AH74" s="133" t="str">
        <f>IF($A74&lt;&gt;0,VLOOKUP($A74,'0.Productos'!$A$3:$GG$587,'0.Productos'!BZ$1+1,0),"")</f>
        <v/>
      </c>
      <c r="AI74" s="133" t="str">
        <f>IF($A74&lt;&gt;0,VLOOKUP($A74,'0.Productos'!$A$3:$GG$587,'0.Productos'!CA$1+1,0),"")</f>
        <v/>
      </c>
      <c r="AJ74" s="133" t="str">
        <f>IF($A74&lt;&gt;0,VLOOKUP($A74,'0.Productos'!$A$3:$GG$587,'0.Productos'!CB$1+1,0),"")</f>
        <v/>
      </c>
      <c r="AK74" s="133" t="str">
        <f>IF($A74&lt;&gt;0,VLOOKUP($A74,'0.Productos'!$A$3:$GG$587,'0.Productos'!CC$1+1,0),"")</f>
        <v/>
      </c>
      <c r="AL74" s="133" t="str">
        <f>IF($A74&lt;&gt;0,VLOOKUP($A74,'0.Productos'!$A$3:$GG$587,'0.Productos'!CD$1+1,0),"")</f>
        <v/>
      </c>
      <c r="AM74" s="133" t="str">
        <f>IF($A74&lt;&gt;0,VLOOKUP($A74,'0.Productos'!$A$3:$GG$587,'0.Productos'!CE$1+1,0),"")</f>
        <v/>
      </c>
      <c r="AN74" s="133" t="str">
        <f>IF($A74&lt;&gt;0,VLOOKUP($A74,'0.Productos'!$A$3:$GG$587,'0.Productos'!CF$1+1,0),"")</f>
        <v/>
      </c>
      <c r="AO74" s="133" t="str">
        <f>IF($A74&lt;&gt;0,VLOOKUP($A74,'0.Productos'!$A$3:$GG$587,'0.Productos'!CG$1+1,0),"")</f>
        <v/>
      </c>
      <c r="AP74" s="133" t="str">
        <f>IF($A74&lt;&gt;0,VLOOKUP($A74,'0.Productos'!$A$3:$GG$587,'0.Productos'!CH$1+1,0),"")</f>
        <v/>
      </c>
      <c r="AQ74" s="133" t="str">
        <f>IF($A74&lt;&gt;0,VLOOKUP($A74,'0.Productos'!$A$3:$GG$587,'0.Productos'!CI$1+1,0),"")</f>
        <v/>
      </c>
      <c r="AR74" s="133" t="str">
        <f>IF($A74&lt;&gt;0,VLOOKUP($A74,'0.Productos'!$A$3:$GG$587,'0.Productos'!CJ$1+1,0),"")</f>
        <v/>
      </c>
      <c r="AS74" s="133" t="str">
        <f>IF($A74&lt;&gt;0,VLOOKUP($A74,'0.Productos'!$A$3:$GG$587,'0.Productos'!CK$1+1,0),"")</f>
        <v/>
      </c>
      <c r="AT74" s="133" t="str">
        <f>IF($A74&lt;&gt;0,VLOOKUP($A74,'0.Productos'!$A$3:$GG$587,'0.Productos'!CL$1+1,0),"")</f>
        <v/>
      </c>
      <c r="AU74" s="133" t="str">
        <f>IF($A74&lt;&gt;0,VLOOKUP($A74,'0.Productos'!$A$3:$GG$587,'0.Productos'!CM$1+1,0),"")</f>
        <v/>
      </c>
      <c r="AV74" s="133" t="str">
        <f>IF($A74&lt;&gt;0,VLOOKUP($A74,'0.Productos'!$A$3:$GG$587,'0.Productos'!CN$1+1,0),"")</f>
        <v/>
      </c>
      <c r="AW74" s="133" t="str">
        <f>IF($A74&lt;&gt;0,VLOOKUP($A74,'0.Productos'!$A$3:$GG$587,'0.Productos'!CO$1+1,0),"")</f>
        <v/>
      </c>
      <c r="AX74" s="133" t="str">
        <f>IF($A74&lt;&gt;0,VLOOKUP($A74,'0.Productos'!$A$3:$GG$587,'0.Productos'!CP$1+1,0),"")</f>
        <v/>
      </c>
      <c r="AY74" s="133" t="str">
        <f>IF($A74&lt;&gt;0,VLOOKUP($A74,'0.Productos'!$A$3:$GG$587,'0.Productos'!CQ$1+1,0),"")</f>
        <v/>
      </c>
      <c r="AZ74" s="133" t="str">
        <f>IF($A74&lt;&gt;0,VLOOKUP($A74,'0.Productos'!$A$3:$GG$587,'0.Productos'!CR$1+1,0),"")</f>
        <v/>
      </c>
      <c r="BA74" s="133" t="str">
        <f>IF($A74&lt;&gt;0,VLOOKUP($A74,'0.Productos'!$A$3:$GG$587,'0.Productos'!CS$1+1,0),"")</f>
        <v/>
      </c>
      <c r="BB74" s="133" t="str">
        <f>IF($A74&lt;&gt;0,VLOOKUP($A74,'0.Productos'!$A$3:$GG$587,'0.Productos'!CT$1+1,0),"")</f>
        <v/>
      </c>
      <c r="BC74" s="133" t="str">
        <f>IF($A74&lt;&gt;0,VLOOKUP($A74,'0.Productos'!$A$3:$GG$587,'0.Productos'!CU$1+1,0),"")</f>
        <v/>
      </c>
      <c r="BD74" s="133" t="str">
        <f>IF($A74&lt;&gt;0,VLOOKUP($A74,'0.Productos'!$A$3:$GG$587,'0.Productos'!CV$1+1,0),"")</f>
        <v/>
      </c>
      <c r="BE74" s="133" t="str">
        <f>IF($A74&lt;&gt;0,VLOOKUP($A74,'0.Productos'!$A$3:$GG$587,'0.Productos'!CW$1+1,0),"")</f>
        <v/>
      </c>
      <c r="BF74" s="133" t="str">
        <f>IF($A74&lt;&gt;0,VLOOKUP($A74,'0.Productos'!$A$3:$GG$587,'0.Productos'!CX$1+1,0),"")</f>
        <v/>
      </c>
      <c r="BG74" s="133" t="str">
        <f>IF($A74&lt;&gt;0,VLOOKUP($A74,'0.Productos'!$A$3:$GG$587,'0.Productos'!CY$1+1,0),"")</f>
        <v/>
      </c>
      <c r="BH74" s="133" t="str">
        <f>IF($A74&lt;&gt;0,VLOOKUP($A74,'0.Productos'!$A$3:$GG$587,'0.Productos'!CZ$1+1,0),"")</f>
        <v/>
      </c>
      <c r="BI74" s="133" t="str">
        <f>IF($A74&lt;&gt;0,VLOOKUP($A74,'0.Productos'!$A$3:$GG$587,'0.Productos'!DA$1+1,0),"")</f>
        <v/>
      </c>
      <c r="BJ74" s="133" t="str">
        <f>IF($A74&lt;&gt;0,VLOOKUP($A74,'0.Productos'!$A$3:$GG$587,'0.Productos'!DB$1+1,0),"")</f>
        <v/>
      </c>
      <c r="BK74" s="133" t="str">
        <f>IF($A74&lt;&gt;0,VLOOKUP($A74,'0.Productos'!$A$3:$GG$587,'0.Productos'!DC$1+1,0),"")</f>
        <v/>
      </c>
      <c r="BL74" s="133" t="str">
        <f>IF($A74&lt;&gt;0,VLOOKUP($A74,'0.Productos'!$A$3:$GG$587,'0.Productos'!DD$1+1,0),"")</f>
        <v/>
      </c>
      <c r="BM74" s="133" t="str">
        <f>IF($A74&lt;&gt;0,VLOOKUP($A74,'0.Productos'!$A$3:$GG$587,'0.Productos'!DE$1+1,0),"")</f>
        <v/>
      </c>
      <c r="BN74" s="133" t="str">
        <f>IF($A74&lt;&gt;0,VLOOKUP($A74,'0.Productos'!$A$3:$GG$587,'0.Productos'!DF$1+1,0),"")</f>
        <v/>
      </c>
      <c r="BO74" s="133" t="str">
        <f>IF($A74&lt;&gt;0,VLOOKUP($A74,'0.Productos'!$A$3:$GG$587,'0.Productos'!DG$1+1,0),"")</f>
        <v/>
      </c>
      <c r="BP74" s="133" t="str">
        <f>IF($A74&lt;&gt;0,VLOOKUP($A74,'0.Productos'!$A$3:$GG$587,'0.Productos'!DH$1+1,0),"")</f>
        <v/>
      </c>
      <c r="BQ74" s="133" t="str">
        <f>IF($A74&lt;&gt;0,VLOOKUP($A74,'0.Productos'!$A$3:$GG$587,'0.Productos'!DI$1+1,0),"")</f>
        <v/>
      </c>
      <c r="BR74" s="133" t="str">
        <f>IF($A74&lt;&gt;0,VLOOKUP($A74,'0.Productos'!$A$3:$GG$587,'0.Productos'!DJ$1+1,0),"")</f>
        <v/>
      </c>
      <c r="BS74" s="133" t="str">
        <f>IF($A74&lt;&gt;0,VLOOKUP($A74,'0.Productos'!$A$3:$GG$587,'0.Productos'!DK$1+1,0),"")</f>
        <v/>
      </c>
      <c r="BT74" s="133" t="str">
        <f>IF($A74&lt;&gt;0,VLOOKUP($A74,'0.Productos'!$A$3:$GG$587,'0.Productos'!DL$1+1,0),"")</f>
        <v/>
      </c>
    </row>
    <row r="75" spans="1:72" x14ac:dyDescent="0.25">
      <c r="A75" s="17">
        <f>'0.Consolidado general'!A75</f>
        <v>0</v>
      </c>
      <c r="B75" s="133" t="str">
        <f>IF($A75&lt;&gt;0,VLOOKUP($A75,'0.Productos'!$A$3:$GG$587,'0.Productos'!AT$1+1,0),"")</f>
        <v/>
      </c>
      <c r="C75" s="133" t="str">
        <f>IF($A75&lt;&gt;0,VLOOKUP($A75,'0.Productos'!$A$3:$GG$587,'0.Productos'!AU$1+1,0),"")</f>
        <v/>
      </c>
      <c r="D75" s="133" t="str">
        <f>IF($A75&lt;&gt;0,VLOOKUP($A75,'0.Productos'!$A$3:$GG$587,'0.Productos'!AV$1+1,0),"")</f>
        <v/>
      </c>
      <c r="E75" s="133" t="str">
        <f>IF($A75&lt;&gt;0,VLOOKUP($A75,'0.Productos'!$A$3:$GG$587,'0.Productos'!AW$1+1,0),"")</f>
        <v/>
      </c>
      <c r="F75" s="133" t="str">
        <f>IF($A75&lt;&gt;0,VLOOKUP($A75,'0.Productos'!$A$3:$GG$587,'0.Productos'!AX$1+1,0),"")</f>
        <v/>
      </c>
      <c r="G75" s="133" t="str">
        <f>IF($A75&lt;&gt;0,VLOOKUP($A75,'0.Productos'!$A$3:$GG$587,'0.Productos'!AY$1+1,0),"")</f>
        <v/>
      </c>
      <c r="H75" s="133" t="str">
        <f>IF($A75&lt;&gt;0,VLOOKUP($A75,'0.Productos'!$A$3:$GG$587,'0.Productos'!AZ$1+1,0),"")</f>
        <v/>
      </c>
      <c r="I75" s="133" t="str">
        <f>IF($A75&lt;&gt;0,VLOOKUP($A75,'0.Productos'!$A$3:$GG$587,'0.Productos'!BA$1+1,0),"")</f>
        <v/>
      </c>
      <c r="J75" s="133" t="str">
        <f>IF($A75&lt;&gt;0,VLOOKUP($A75,'0.Productos'!$A$3:$GG$587,'0.Productos'!BB$1+1,0),"")</f>
        <v/>
      </c>
      <c r="K75" s="133" t="str">
        <f>IF($A75&lt;&gt;0,VLOOKUP($A75,'0.Productos'!$A$3:$GG$587,'0.Productos'!BC$1+1,0),"")</f>
        <v/>
      </c>
      <c r="L75" s="133" t="str">
        <f>IF($A75&lt;&gt;0,VLOOKUP($A75,'0.Productos'!$A$3:$GG$587,'0.Productos'!BD$1+1,0),"")</f>
        <v/>
      </c>
      <c r="M75" s="133" t="str">
        <f>IF($A75&lt;&gt;0,VLOOKUP($A75,'0.Productos'!$A$3:$GG$587,'0.Productos'!BE$1+1,0),"")</f>
        <v/>
      </c>
      <c r="N75" s="133" t="str">
        <f>IF($A75&lt;&gt;0,VLOOKUP($A75,'0.Productos'!$A$3:$GG$587,'0.Productos'!BF$1+1,0),"")</f>
        <v/>
      </c>
      <c r="O75" s="133" t="str">
        <f>IF($A75&lt;&gt;0,VLOOKUP($A75,'0.Productos'!$A$3:$GG$587,'0.Productos'!BG$1+1,0),"")</f>
        <v/>
      </c>
      <c r="P75" s="133" t="str">
        <f>IF($A75&lt;&gt;0,VLOOKUP($A75,'0.Productos'!$A$3:$GG$587,'0.Productos'!BH$1+1,0),"")</f>
        <v/>
      </c>
      <c r="Q75" s="133" t="str">
        <f>IF($A75&lt;&gt;0,VLOOKUP($A75,'0.Productos'!$A$3:$GG$587,'0.Productos'!BI$1+1,0),"")</f>
        <v/>
      </c>
      <c r="R75" s="133" t="str">
        <f>IF($A75&lt;&gt;0,VLOOKUP($A75,'0.Productos'!$A$3:$GG$587,'0.Productos'!BJ$1+1,0),"")</f>
        <v/>
      </c>
      <c r="S75" s="133" t="str">
        <f>IF($A75&lt;&gt;0,VLOOKUP($A75,'0.Productos'!$A$3:$GG$587,'0.Productos'!BK$1+1,0),"")</f>
        <v/>
      </c>
      <c r="T75" s="133" t="str">
        <f>IF($A75&lt;&gt;0,VLOOKUP($A75,'0.Productos'!$A$3:$GG$587,'0.Productos'!BL$1+1,0),"")</f>
        <v/>
      </c>
      <c r="U75" s="133" t="str">
        <f>IF($A75&lt;&gt;0,VLOOKUP($A75,'0.Productos'!$A$3:$GG$587,'0.Productos'!BM$1+1,0),"")</f>
        <v/>
      </c>
      <c r="V75" s="133" t="str">
        <f>IF($A75&lt;&gt;0,VLOOKUP($A75,'0.Productos'!$A$3:$GG$587,'0.Productos'!BN$1+1,0),"")</f>
        <v/>
      </c>
      <c r="W75" s="133" t="str">
        <f>IF($A75&lt;&gt;0,VLOOKUP($A75,'0.Productos'!$A$3:$GG$587,'0.Productos'!BO$1+1,0),"")</f>
        <v/>
      </c>
      <c r="X75" s="133" t="str">
        <f>IF($A75&lt;&gt;0,VLOOKUP($A75,'0.Productos'!$A$3:$GG$587,'0.Productos'!BP$1+1,0),"")</f>
        <v/>
      </c>
      <c r="Y75" s="133" t="str">
        <f>IF($A75&lt;&gt;0,VLOOKUP($A75,'0.Productos'!$A$3:$GG$587,'0.Productos'!BQ$1+1,0),"")</f>
        <v/>
      </c>
      <c r="Z75" s="133" t="str">
        <f>IF($A75&lt;&gt;0,VLOOKUP($A75,'0.Productos'!$A$3:$GG$587,'0.Productos'!BR$1+1,0),"")</f>
        <v/>
      </c>
      <c r="AA75" s="133" t="str">
        <f>IF($A75&lt;&gt;0,VLOOKUP($A75,'0.Productos'!$A$3:$GG$587,'0.Productos'!BS$1+1,0),"")</f>
        <v/>
      </c>
      <c r="AB75" s="133" t="str">
        <f>IF($A75&lt;&gt;0,VLOOKUP($A75,'0.Productos'!$A$3:$GG$587,'0.Productos'!BT$1+1,0),"")</f>
        <v/>
      </c>
      <c r="AC75" s="133" t="str">
        <f>IF($A75&lt;&gt;0,VLOOKUP($A75,'0.Productos'!$A$3:$GG$587,'0.Productos'!BU$1+1,0),"")</f>
        <v/>
      </c>
      <c r="AD75" s="133" t="str">
        <f>IF($A75&lt;&gt;0,VLOOKUP($A75,'0.Productos'!$A$3:$GG$587,'0.Productos'!BV$1+1,0),"")</f>
        <v/>
      </c>
      <c r="AE75" s="133" t="str">
        <f>IF($A75&lt;&gt;0,VLOOKUP($A75,'0.Productos'!$A$3:$GG$587,'0.Productos'!BW$1+1,0),"")</f>
        <v/>
      </c>
      <c r="AF75" s="133" t="str">
        <f>IF($A75&lt;&gt;0,VLOOKUP($A75,'0.Productos'!$A$3:$GG$587,'0.Productos'!BX$1+1,0),"")</f>
        <v/>
      </c>
      <c r="AG75" s="133" t="str">
        <f>IF($A75&lt;&gt;0,VLOOKUP($A75,'0.Productos'!$A$3:$GG$587,'0.Productos'!BY$1+1,0),"")</f>
        <v/>
      </c>
      <c r="AH75" s="133" t="str">
        <f>IF($A75&lt;&gt;0,VLOOKUP($A75,'0.Productos'!$A$3:$GG$587,'0.Productos'!BZ$1+1,0),"")</f>
        <v/>
      </c>
      <c r="AI75" s="133" t="str">
        <f>IF($A75&lt;&gt;0,VLOOKUP($A75,'0.Productos'!$A$3:$GG$587,'0.Productos'!CA$1+1,0),"")</f>
        <v/>
      </c>
      <c r="AJ75" s="133" t="str">
        <f>IF($A75&lt;&gt;0,VLOOKUP($A75,'0.Productos'!$A$3:$GG$587,'0.Productos'!CB$1+1,0),"")</f>
        <v/>
      </c>
      <c r="AK75" s="133" t="str">
        <f>IF($A75&lt;&gt;0,VLOOKUP($A75,'0.Productos'!$A$3:$GG$587,'0.Productos'!CC$1+1,0),"")</f>
        <v/>
      </c>
      <c r="AL75" s="133" t="str">
        <f>IF($A75&lt;&gt;0,VLOOKUP($A75,'0.Productos'!$A$3:$GG$587,'0.Productos'!CD$1+1,0),"")</f>
        <v/>
      </c>
      <c r="AM75" s="133" t="str">
        <f>IF($A75&lt;&gt;0,VLOOKUP($A75,'0.Productos'!$A$3:$GG$587,'0.Productos'!CE$1+1,0),"")</f>
        <v/>
      </c>
      <c r="AN75" s="133" t="str">
        <f>IF($A75&lt;&gt;0,VLOOKUP($A75,'0.Productos'!$A$3:$GG$587,'0.Productos'!CF$1+1,0),"")</f>
        <v/>
      </c>
      <c r="AO75" s="133" t="str">
        <f>IF($A75&lt;&gt;0,VLOOKUP($A75,'0.Productos'!$A$3:$GG$587,'0.Productos'!CG$1+1,0),"")</f>
        <v/>
      </c>
      <c r="AP75" s="133" t="str">
        <f>IF($A75&lt;&gt;0,VLOOKUP($A75,'0.Productos'!$A$3:$GG$587,'0.Productos'!CH$1+1,0),"")</f>
        <v/>
      </c>
      <c r="AQ75" s="133" t="str">
        <f>IF($A75&lt;&gt;0,VLOOKUP($A75,'0.Productos'!$A$3:$GG$587,'0.Productos'!CI$1+1,0),"")</f>
        <v/>
      </c>
      <c r="AR75" s="133" t="str">
        <f>IF($A75&lt;&gt;0,VLOOKUP($A75,'0.Productos'!$A$3:$GG$587,'0.Productos'!CJ$1+1,0),"")</f>
        <v/>
      </c>
      <c r="AS75" s="133" t="str">
        <f>IF($A75&lt;&gt;0,VLOOKUP($A75,'0.Productos'!$A$3:$GG$587,'0.Productos'!CK$1+1,0),"")</f>
        <v/>
      </c>
      <c r="AT75" s="133" t="str">
        <f>IF($A75&lt;&gt;0,VLOOKUP($A75,'0.Productos'!$A$3:$GG$587,'0.Productos'!CL$1+1,0),"")</f>
        <v/>
      </c>
      <c r="AU75" s="133" t="str">
        <f>IF($A75&lt;&gt;0,VLOOKUP($A75,'0.Productos'!$A$3:$GG$587,'0.Productos'!CM$1+1,0),"")</f>
        <v/>
      </c>
      <c r="AV75" s="133" t="str">
        <f>IF($A75&lt;&gt;0,VLOOKUP($A75,'0.Productos'!$A$3:$GG$587,'0.Productos'!CN$1+1,0),"")</f>
        <v/>
      </c>
      <c r="AW75" s="133" t="str">
        <f>IF($A75&lt;&gt;0,VLOOKUP($A75,'0.Productos'!$A$3:$GG$587,'0.Productos'!CO$1+1,0),"")</f>
        <v/>
      </c>
      <c r="AX75" s="133" t="str">
        <f>IF($A75&lt;&gt;0,VLOOKUP($A75,'0.Productos'!$A$3:$GG$587,'0.Productos'!CP$1+1,0),"")</f>
        <v/>
      </c>
      <c r="AY75" s="133" t="str">
        <f>IF($A75&lt;&gt;0,VLOOKUP($A75,'0.Productos'!$A$3:$GG$587,'0.Productos'!CQ$1+1,0),"")</f>
        <v/>
      </c>
      <c r="AZ75" s="133" t="str">
        <f>IF($A75&lt;&gt;0,VLOOKUP($A75,'0.Productos'!$A$3:$GG$587,'0.Productos'!CR$1+1,0),"")</f>
        <v/>
      </c>
      <c r="BA75" s="133" t="str">
        <f>IF($A75&lt;&gt;0,VLOOKUP($A75,'0.Productos'!$A$3:$GG$587,'0.Productos'!CS$1+1,0),"")</f>
        <v/>
      </c>
      <c r="BB75" s="133" t="str">
        <f>IF($A75&lt;&gt;0,VLOOKUP($A75,'0.Productos'!$A$3:$GG$587,'0.Productos'!CT$1+1,0),"")</f>
        <v/>
      </c>
      <c r="BC75" s="133" t="str">
        <f>IF($A75&lt;&gt;0,VLOOKUP($A75,'0.Productos'!$A$3:$GG$587,'0.Productos'!CU$1+1,0),"")</f>
        <v/>
      </c>
      <c r="BD75" s="133" t="str">
        <f>IF($A75&lt;&gt;0,VLOOKUP($A75,'0.Productos'!$A$3:$GG$587,'0.Productos'!CV$1+1,0),"")</f>
        <v/>
      </c>
      <c r="BE75" s="133" t="str">
        <f>IF($A75&lt;&gt;0,VLOOKUP($A75,'0.Productos'!$A$3:$GG$587,'0.Productos'!CW$1+1,0),"")</f>
        <v/>
      </c>
      <c r="BF75" s="133" t="str">
        <f>IF($A75&lt;&gt;0,VLOOKUP($A75,'0.Productos'!$A$3:$GG$587,'0.Productos'!CX$1+1,0),"")</f>
        <v/>
      </c>
      <c r="BG75" s="133" t="str">
        <f>IF($A75&lt;&gt;0,VLOOKUP($A75,'0.Productos'!$A$3:$GG$587,'0.Productos'!CY$1+1,0),"")</f>
        <v/>
      </c>
      <c r="BH75" s="133" t="str">
        <f>IF($A75&lt;&gt;0,VLOOKUP($A75,'0.Productos'!$A$3:$GG$587,'0.Productos'!CZ$1+1,0),"")</f>
        <v/>
      </c>
      <c r="BI75" s="133" t="str">
        <f>IF($A75&lt;&gt;0,VLOOKUP($A75,'0.Productos'!$A$3:$GG$587,'0.Productos'!DA$1+1,0),"")</f>
        <v/>
      </c>
      <c r="BJ75" s="133" t="str">
        <f>IF($A75&lt;&gt;0,VLOOKUP($A75,'0.Productos'!$A$3:$GG$587,'0.Productos'!DB$1+1,0),"")</f>
        <v/>
      </c>
      <c r="BK75" s="133" t="str">
        <f>IF($A75&lt;&gt;0,VLOOKUP($A75,'0.Productos'!$A$3:$GG$587,'0.Productos'!DC$1+1,0),"")</f>
        <v/>
      </c>
      <c r="BL75" s="133" t="str">
        <f>IF($A75&lt;&gt;0,VLOOKUP($A75,'0.Productos'!$A$3:$GG$587,'0.Productos'!DD$1+1,0),"")</f>
        <v/>
      </c>
      <c r="BM75" s="133" t="str">
        <f>IF($A75&lt;&gt;0,VLOOKUP($A75,'0.Productos'!$A$3:$GG$587,'0.Productos'!DE$1+1,0),"")</f>
        <v/>
      </c>
      <c r="BN75" s="133" t="str">
        <f>IF($A75&lt;&gt;0,VLOOKUP($A75,'0.Productos'!$A$3:$GG$587,'0.Productos'!DF$1+1,0),"")</f>
        <v/>
      </c>
      <c r="BO75" s="133" t="str">
        <f>IF($A75&lt;&gt;0,VLOOKUP($A75,'0.Productos'!$A$3:$GG$587,'0.Productos'!DG$1+1,0),"")</f>
        <v/>
      </c>
      <c r="BP75" s="133" t="str">
        <f>IF($A75&lt;&gt;0,VLOOKUP($A75,'0.Productos'!$A$3:$GG$587,'0.Productos'!DH$1+1,0),"")</f>
        <v/>
      </c>
      <c r="BQ75" s="133" t="str">
        <f>IF($A75&lt;&gt;0,VLOOKUP($A75,'0.Productos'!$A$3:$GG$587,'0.Productos'!DI$1+1,0),"")</f>
        <v/>
      </c>
      <c r="BR75" s="133" t="str">
        <f>IF($A75&lt;&gt;0,VLOOKUP($A75,'0.Productos'!$A$3:$GG$587,'0.Productos'!DJ$1+1,0),"")</f>
        <v/>
      </c>
      <c r="BS75" s="133" t="str">
        <f>IF($A75&lt;&gt;0,VLOOKUP($A75,'0.Productos'!$A$3:$GG$587,'0.Productos'!DK$1+1,0),"")</f>
        <v/>
      </c>
      <c r="BT75" s="133" t="str">
        <f>IF($A75&lt;&gt;0,VLOOKUP($A75,'0.Productos'!$A$3:$GG$587,'0.Productos'!DL$1+1,0),"")</f>
        <v/>
      </c>
    </row>
    <row r="76" spans="1:72" x14ac:dyDescent="0.25">
      <c r="A76" s="17">
        <f>'0.Consolidado general'!A76</f>
        <v>0</v>
      </c>
      <c r="B76" s="133" t="str">
        <f>IF($A76&lt;&gt;0,VLOOKUP($A76,'0.Productos'!$A$3:$GG$587,'0.Productos'!AT$1+1,0),"")</f>
        <v/>
      </c>
      <c r="C76" s="133" t="str">
        <f>IF($A76&lt;&gt;0,VLOOKUP($A76,'0.Productos'!$A$3:$GG$587,'0.Productos'!AU$1+1,0),"")</f>
        <v/>
      </c>
      <c r="D76" s="133" t="str">
        <f>IF($A76&lt;&gt;0,VLOOKUP($A76,'0.Productos'!$A$3:$GG$587,'0.Productos'!AV$1+1,0),"")</f>
        <v/>
      </c>
      <c r="E76" s="133" t="str">
        <f>IF($A76&lt;&gt;0,VLOOKUP($A76,'0.Productos'!$A$3:$GG$587,'0.Productos'!AW$1+1,0),"")</f>
        <v/>
      </c>
      <c r="F76" s="133" t="str">
        <f>IF($A76&lt;&gt;0,VLOOKUP($A76,'0.Productos'!$A$3:$GG$587,'0.Productos'!AX$1+1,0),"")</f>
        <v/>
      </c>
      <c r="G76" s="133" t="str">
        <f>IF($A76&lt;&gt;0,VLOOKUP($A76,'0.Productos'!$A$3:$GG$587,'0.Productos'!AY$1+1,0),"")</f>
        <v/>
      </c>
      <c r="H76" s="133" t="str">
        <f>IF($A76&lt;&gt;0,VLOOKUP($A76,'0.Productos'!$A$3:$GG$587,'0.Productos'!AZ$1+1,0),"")</f>
        <v/>
      </c>
      <c r="I76" s="133" t="str">
        <f>IF($A76&lt;&gt;0,VLOOKUP($A76,'0.Productos'!$A$3:$GG$587,'0.Productos'!BA$1+1,0),"")</f>
        <v/>
      </c>
      <c r="J76" s="133" t="str">
        <f>IF($A76&lt;&gt;0,VLOOKUP($A76,'0.Productos'!$A$3:$GG$587,'0.Productos'!BB$1+1,0),"")</f>
        <v/>
      </c>
      <c r="K76" s="133" t="str">
        <f>IF($A76&lt;&gt;0,VLOOKUP($A76,'0.Productos'!$A$3:$GG$587,'0.Productos'!BC$1+1,0),"")</f>
        <v/>
      </c>
      <c r="L76" s="133" t="str">
        <f>IF($A76&lt;&gt;0,VLOOKUP($A76,'0.Productos'!$A$3:$GG$587,'0.Productos'!BD$1+1,0),"")</f>
        <v/>
      </c>
      <c r="M76" s="133" t="str">
        <f>IF($A76&lt;&gt;0,VLOOKUP($A76,'0.Productos'!$A$3:$GG$587,'0.Productos'!BE$1+1,0),"")</f>
        <v/>
      </c>
      <c r="N76" s="133" t="str">
        <f>IF($A76&lt;&gt;0,VLOOKUP($A76,'0.Productos'!$A$3:$GG$587,'0.Productos'!BF$1+1,0),"")</f>
        <v/>
      </c>
      <c r="O76" s="133" t="str">
        <f>IF($A76&lt;&gt;0,VLOOKUP($A76,'0.Productos'!$A$3:$GG$587,'0.Productos'!BG$1+1,0),"")</f>
        <v/>
      </c>
      <c r="P76" s="133" t="str">
        <f>IF($A76&lt;&gt;0,VLOOKUP($A76,'0.Productos'!$A$3:$GG$587,'0.Productos'!BH$1+1,0),"")</f>
        <v/>
      </c>
      <c r="Q76" s="133" t="str">
        <f>IF($A76&lt;&gt;0,VLOOKUP($A76,'0.Productos'!$A$3:$GG$587,'0.Productos'!BI$1+1,0),"")</f>
        <v/>
      </c>
      <c r="R76" s="133" t="str">
        <f>IF($A76&lt;&gt;0,VLOOKUP($A76,'0.Productos'!$A$3:$GG$587,'0.Productos'!BJ$1+1,0),"")</f>
        <v/>
      </c>
      <c r="S76" s="133" t="str">
        <f>IF($A76&lt;&gt;0,VLOOKUP($A76,'0.Productos'!$A$3:$GG$587,'0.Productos'!BK$1+1,0),"")</f>
        <v/>
      </c>
      <c r="T76" s="133" t="str">
        <f>IF($A76&lt;&gt;0,VLOOKUP($A76,'0.Productos'!$A$3:$GG$587,'0.Productos'!BL$1+1,0),"")</f>
        <v/>
      </c>
      <c r="U76" s="133" t="str">
        <f>IF($A76&lt;&gt;0,VLOOKUP($A76,'0.Productos'!$A$3:$GG$587,'0.Productos'!BM$1+1,0),"")</f>
        <v/>
      </c>
      <c r="V76" s="133" t="str">
        <f>IF($A76&lt;&gt;0,VLOOKUP($A76,'0.Productos'!$A$3:$GG$587,'0.Productos'!BN$1+1,0),"")</f>
        <v/>
      </c>
      <c r="W76" s="133" t="str">
        <f>IF($A76&lt;&gt;0,VLOOKUP($A76,'0.Productos'!$A$3:$GG$587,'0.Productos'!BO$1+1,0),"")</f>
        <v/>
      </c>
      <c r="X76" s="133" t="str">
        <f>IF($A76&lt;&gt;0,VLOOKUP($A76,'0.Productos'!$A$3:$GG$587,'0.Productos'!BP$1+1,0),"")</f>
        <v/>
      </c>
      <c r="Y76" s="133" t="str">
        <f>IF($A76&lt;&gt;0,VLOOKUP($A76,'0.Productos'!$A$3:$GG$587,'0.Productos'!BQ$1+1,0),"")</f>
        <v/>
      </c>
      <c r="Z76" s="133" t="str">
        <f>IF($A76&lt;&gt;0,VLOOKUP($A76,'0.Productos'!$A$3:$GG$587,'0.Productos'!BR$1+1,0),"")</f>
        <v/>
      </c>
      <c r="AA76" s="133" t="str">
        <f>IF($A76&lt;&gt;0,VLOOKUP($A76,'0.Productos'!$A$3:$GG$587,'0.Productos'!BS$1+1,0),"")</f>
        <v/>
      </c>
      <c r="AB76" s="133" t="str">
        <f>IF($A76&lt;&gt;0,VLOOKUP($A76,'0.Productos'!$A$3:$GG$587,'0.Productos'!BT$1+1,0),"")</f>
        <v/>
      </c>
      <c r="AC76" s="133" t="str">
        <f>IF($A76&lt;&gt;0,VLOOKUP($A76,'0.Productos'!$A$3:$GG$587,'0.Productos'!BU$1+1,0),"")</f>
        <v/>
      </c>
      <c r="AD76" s="133" t="str">
        <f>IF($A76&lt;&gt;0,VLOOKUP($A76,'0.Productos'!$A$3:$GG$587,'0.Productos'!BV$1+1,0),"")</f>
        <v/>
      </c>
      <c r="AE76" s="133" t="str">
        <f>IF($A76&lt;&gt;0,VLOOKUP($A76,'0.Productos'!$A$3:$GG$587,'0.Productos'!BW$1+1,0),"")</f>
        <v/>
      </c>
      <c r="AF76" s="133" t="str">
        <f>IF($A76&lt;&gt;0,VLOOKUP($A76,'0.Productos'!$A$3:$GG$587,'0.Productos'!BX$1+1,0),"")</f>
        <v/>
      </c>
      <c r="AG76" s="133" t="str">
        <f>IF($A76&lt;&gt;0,VLOOKUP($A76,'0.Productos'!$A$3:$GG$587,'0.Productos'!BY$1+1,0),"")</f>
        <v/>
      </c>
      <c r="AH76" s="133" t="str">
        <f>IF($A76&lt;&gt;0,VLOOKUP($A76,'0.Productos'!$A$3:$GG$587,'0.Productos'!BZ$1+1,0),"")</f>
        <v/>
      </c>
      <c r="AI76" s="133" t="str">
        <f>IF($A76&lt;&gt;0,VLOOKUP($A76,'0.Productos'!$A$3:$GG$587,'0.Productos'!CA$1+1,0),"")</f>
        <v/>
      </c>
      <c r="AJ76" s="133" t="str">
        <f>IF($A76&lt;&gt;0,VLOOKUP($A76,'0.Productos'!$A$3:$GG$587,'0.Productos'!CB$1+1,0),"")</f>
        <v/>
      </c>
      <c r="AK76" s="133" t="str">
        <f>IF($A76&lt;&gt;0,VLOOKUP($A76,'0.Productos'!$A$3:$GG$587,'0.Productos'!CC$1+1,0),"")</f>
        <v/>
      </c>
      <c r="AL76" s="133" t="str">
        <f>IF($A76&lt;&gt;0,VLOOKUP($A76,'0.Productos'!$A$3:$GG$587,'0.Productos'!CD$1+1,0),"")</f>
        <v/>
      </c>
      <c r="AM76" s="133" t="str">
        <f>IF($A76&lt;&gt;0,VLOOKUP($A76,'0.Productos'!$A$3:$GG$587,'0.Productos'!CE$1+1,0),"")</f>
        <v/>
      </c>
      <c r="AN76" s="133" t="str">
        <f>IF($A76&lt;&gt;0,VLOOKUP($A76,'0.Productos'!$A$3:$GG$587,'0.Productos'!CF$1+1,0),"")</f>
        <v/>
      </c>
      <c r="AO76" s="133" t="str">
        <f>IF($A76&lt;&gt;0,VLOOKUP($A76,'0.Productos'!$A$3:$GG$587,'0.Productos'!CG$1+1,0),"")</f>
        <v/>
      </c>
      <c r="AP76" s="133" t="str">
        <f>IF($A76&lt;&gt;0,VLOOKUP($A76,'0.Productos'!$A$3:$GG$587,'0.Productos'!CH$1+1,0),"")</f>
        <v/>
      </c>
      <c r="AQ76" s="133" t="str">
        <f>IF($A76&lt;&gt;0,VLOOKUP($A76,'0.Productos'!$A$3:$GG$587,'0.Productos'!CI$1+1,0),"")</f>
        <v/>
      </c>
      <c r="AR76" s="133" t="str">
        <f>IF($A76&lt;&gt;0,VLOOKUP($A76,'0.Productos'!$A$3:$GG$587,'0.Productos'!CJ$1+1,0),"")</f>
        <v/>
      </c>
      <c r="AS76" s="133" t="str">
        <f>IF($A76&lt;&gt;0,VLOOKUP($A76,'0.Productos'!$A$3:$GG$587,'0.Productos'!CK$1+1,0),"")</f>
        <v/>
      </c>
      <c r="AT76" s="133" t="str">
        <f>IF($A76&lt;&gt;0,VLOOKUP($A76,'0.Productos'!$A$3:$GG$587,'0.Productos'!CL$1+1,0),"")</f>
        <v/>
      </c>
      <c r="AU76" s="133" t="str">
        <f>IF($A76&lt;&gt;0,VLOOKUP($A76,'0.Productos'!$A$3:$GG$587,'0.Productos'!CM$1+1,0),"")</f>
        <v/>
      </c>
      <c r="AV76" s="133" t="str">
        <f>IF($A76&lt;&gt;0,VLOOKUP($A76,'0.Productos'!$A$3:$GG$587,'0.Productos'!CN$1+1,0),"")</f>
        <v/>
      </c>
      <c r="AW76" s="133" t="str">
        <f>IF($A76&lt;&gt;0,VLOOKUP($A76,'0.Productos'!$A$3:$GG$587,'0.Productos'!CO$1+1,0),"")</f>
        <v/>
      </c>
      <c r="AX76" s="133" t="str">
        <f>IF($A76&lt;&gt;0,VLOOKUP($A76,'0.Productos'!$A$3:$GG$587,'0.Productos'!CP$1+1,0),"")</f>
        <v/>
      </c>
      <c r="AY76" s="133" t="str">
        <f>IF($A76&lt;&gt;0,VLOOKUP($A76,'0.Productos'!$A$3:$GG$587,'0.Productos'!CQ$1+1,0),"")</f>
        <v/>
      </c>
      <c r="AZ76" s="133" t="str">
        <f>IF($A76&lt;&gt;0,VLOOKUP($A76,'0.Productos'!$A$3:$GG$587,'0.Productos'!CR$1+1,0),"")</f>
        <v/>
      </c>
      <c r="BA76" s="133" t="str">
        <f>IF($A76&lt;&gt;0,VLOOKUP($A76,'0.Productos'!$A$3:$GG$587,'0.Productos'!CS$1+1,0),"")</f>
        <v/>
      </c>
      <c r="BB76" s="133" t="str">
        <f>IF($A76&lt;&gt;0,VLOOKUP($A76,'0.Productos'!$A$3:$GG$587,'0.Productos'!CT$1+1,0),"")</f>
        <v/>
      </c>
      <c r="BC76" s="133" t="str">
        <f>IF($A76&lt;&gt;0,VLOOKUP($A76,'0.Productos'!$A$3:$GG$587,'0.Productos'!CU$1+1,0),"")</f>
        <v/>
      </c>
      <c r="BD76" s="133" t="str">
        <f>IF($A76&lt;&gt;0,VLOOKUP($A76,'0.Productos'!$A$3:$GG$587,'0.Productos'!CV$1+1,0),"")</f>
        <v/>
      </c>
      <c r="BE76" s="133" t="str">
        <f>IF($A76&lt;&gt;0,VLOOKUP($A76,'0.Productos'!$A$3:$GG$587,'0.Productos'!CW$1+1,0),"")</f>
        <v/>
      </c>
      <c r="BF76" s="133" t="str">
        <f>IF($A76&lt;&gt;0,VLOOKUP($A76,'0.Productos'!$A$3:$GG$587,'0.Productos'!CX$1+1,0),"")</f>
        <v/>
      </c>
      <c r="BG76" s="133" t="str">
        <f>IF($A76&lt;&gt;0,VLOOKUP($A76,'0.Productos'!$A$3:$GG$587,'0.Productos'!CY$1+1,0),"")</f>
        <v/>
      </c>
      <c r="BH76" s="133" t="str">
        <f>IF($A76&lt;&gt;0,VLOOKUP($A76,'0.Productos'!$A$3:$GG$587,'0.Productos'!CZ$1+1,0),"")</f>
        <v/>
      </c>
      <c r="BI76" s="133" t="str">
        <f>IF($A76&lt;&gt;0,VLOOKUP($A76,'0.Productos'!$A$3:$GG$587,'0.Productos'!DA$1+1,0),"")</f>
        <v/>
      </c>
      <c r="BJ76" s="133" t="str">
        <f>IF($A76&lt;&gt;0,VLOOKUP($A76,'0.Productos'!$A$3:$GG$587,'0.Productos'!DB$1+1,0),"")</f>
        <v/>
      </c>
      <c r="BK76" s="133" t="str">
        <f>IF($A76&lt;&gt;0,VLOOKUP($A76,'0.Productos'!$A$3:$GG$587,'0.Productos'!DC$1+1,0),"")</f>
        <v/>
      </c>
      <c r="BL76" s="133" t="str">
        <f>IF($A76&lt;&gt;0,VLOOKUP($A76,'0.Productos'!$A$3:$GG$587,'0.Productos'!DD$1+1,0),"")</f>
        <v/>
      </c>
      <c r="BM76" s="133" t="str">
        <f>IF($A76&lt;&gt;0,VLOOKUP($A76,'0.Productos'!$A$3:$GG$587,'0.Productos'!DE$1+1,0),"")</f>
        <v/>
      </c>
      <c r="BN76" s="133" t="str">
        <f>IF($A76&lt;&gt;0,VLOOKUP($A76,'0.Productos'!$A$3:$GG$587,'0.Productos'!DF$1+1,0),"")</f>
        <v/>
      </c>
      <c r="BO76" s="133" t="str">
        <f>IF($A76&lt;&gt;0,VLOOKUP($A76,'0.Productos'!$A$3:$GG$587,'0.Productos'!DG$1+1,0),"")</f>
        <v/>
      </c>
      <c r="BP76" s="133" t="str">
        <f>IF($A76&lt;&gt;0,VLOOKUP($A76,'0.Productos'!$A$3:$GG$587,'0.Productos'!DH$1+1,0),"")</f>
        <v/>
      </c>
      <c r="BQ76" s="133" t="str">
        <f>IF($A76&lt;&gt;0,VLOOKUP($A76,'0.Productos'!$A$3:$GG$587,'0.Productos'!DI$1+1,0),"")</f>
        <v/>
      </c>
      <c r="BR76" s="133" t="str">
        <f>IF($A76&lt;&gt;0,VLOOKUP($A76,'0.Productos'!$A$3:$GG$587,'0.Productos'!DJ$1+1,0),"")</f>
        <v/>
      </c>
      <c r="BS76" s="133" t="str">
        <f>IF($A76&lt;&gt;0,VLOOKUP($A76,'0.Productos'!$A$3:$GG$587,'0.Productos'!DK$1+1,0),"")</f>
        <v/>
      </c>
      <c r="BT76" s="133" t="str">
        <f>IF($A76&lt;&gt;0,VLOOKUP($A76,'0.Productos'!$A$3:$GG$587,'0.Productos'!DL$1+1,0),"")</f>
        <v/>
      </c>
    </row>
    <row r="77" spans="1:72" x14ac:dyDescent="0.25">
      <c r="A77" s="17">
        <f>'0.Consolidado general'!A77</f>
        <v>0</v>
      </c>
      <c r="B77" s="133" t="str">
        <f>IF($A77&lt;&gt;0,VLOOKUP($A77,'0.Productos'!$A$3:$GG$587,'0.Productos'!AT$1+1,0),"")</f>
        <v/>
      </c>
      <c r="C77" s="133" t="str">
        <f>IF($A77&lt;&gt;0,VLOOKUP($A77,'0.Productos'!$A$3:$GG$587,'0.Productos'!AU$1+1,0),"")</f>
        <v/>
      </c>
      <c r="D77" s="133" t="str">
        <f>IF($A77&lt;&gt;0,VLOOKUP($A77,'0.Productos'!$A$3:$GG$587,'0.Productos'!AV$1+1,0),"")</f>
        <v/>
      </c>
      <c r="E77" s="133" t="str">
        <f>IF($A77&lt;&gt;0,VLOOKUP($A77,'0.Productos'!$A$3:$GG$587,'0.Productos'!AW$1+1,0),"")</f>
        <v/>
      </c>
      <c r="F77" s="133" t="str">
        <f>IF($A77&lt;&gt;0,VLOOKUP($A77,'0.Productos'!$A$3:$GG$587,'0.Productos'!AX$1+1,0),"")</f>
        <v/>
      </c>
      <c r="G77" s="133" t="str">
        <f>IF($A77&lt;&gt;0,VLOOKUP($A77,'0.Productos'!$A$3:$GG$587,'0.Productos'!AY$1+1,0),"")</f>
        <v/>
      </c>
      <c r="H77" s="133" t="str">
        <f>IF($A77&lt;&gt;0,VLOOKUP($A77,'0.Productos'!$A$3:$GG$587,'0.Productos'!AZ$1+1,0),"")</f>
        <v/>
      </c>
      <c r="I77" s="133" t="str">
        <f>IF($A77&lt;&gt;0,VLOOKUP($A77,'0.Productos'!$A$3:$GG$587,'0.Productos'!BA$1+1,0),"")</f>
        <v/>
      </c>
      <c r="J77" s="133" t="str">
        <f>IF($A77&lt;&gt;0,VLOOKUP($A77,'0.Productos'!$A$3:$GG$587,'0.Productos'!BB$1+1,0),"")</f>
        <v/>
      </c>
      <c r="K77" s="133" t="str">
        <f>IF($A77&lt;&gt;0,VLOOKUP($A77,'0.Productos'!$A$3:$GG$587,'0.Productos'!BC$1+1,0),"")</f>
        <v/>
      </c>
      <c r="L77" s="133" t="str">
        <f>IF($A77&lt;&gt;0,VLOOKUP($A77,'0.Productos'!$A$3:$GG$587,'0.Productos'!BD$1+1,0),"")</f>
        <v/>
      </c>
      <c r="M77" s="133" t="str">
        <f>IF($A77&lt;&gt;0,VLOOKUP($A77,'0.Productos'!$A$3:$GG$587,'0.Productos'!BE$1+1,0),"")</f>
        <v/>
      </c>
      <c r="N77" s="133" t="str">
        <f>IF($A77&lt;&gt;0,VLOOKUP($A77,'0.Productos'!$A$3:$GG$587,'0.Productos'!BF$1+1,0),"")</f>
        <v/>
      </c>
      <c r="O77" s="133" t="str">
        <f>IF($A77&lt;&gt;0,VLOOKUP($A77,'0.Productos'!$A$3:$GG$587,'0.Productos'!BG$1+1,0),"")</f>
        <v/>
      </c>
      <c r="P77" s="133" t="str">
        <f>IF($A77&lt;&gt;0,VLOOKUP($A77,'0.Productos'!$A$3:$GG$587,'0.Productos'!BH$1+1,0),"")</f>
        <v/>
      </c>
      <c r="Q77" s="133" t="str">
        <f>IF($A77&lt;&gt;0,VLOOKUP($A77,'0.Productos'!$A$3:$GG$587,'0.Productos'!BI$1+1,0),"")</f>
        <v/>
      </c>
      <c r="R77" s="133" t="str">
        <f>IF($A77&lt;&gt;0,VLOOKUP($A77,'0.Productos'!$A$3:$GG$587,'0.Productos'!BJ$1+1,0),"")</f>
        <v/>
      </c>
      <c r="S77" s="133" t="str">
        <f>IF($A77&lt;&gt;0,VLOOKUP($A77,'0.Productos'!$A$3:$GG$587,'0.Productos'!BK$1+1,0),"")</f>
        <v/>
      </c>
      <c r="T77" s="133" t="str">
        <f>IF($A77&lt;&gt;0,VLOOKUP($A77,'0.Productos'!$A$3:$GG$587,'0.Productos'!BL$1+1,0),"")</f>
        <v/>
      </c>
      <c r="U77" s="133" t="str">
        <f>IF($A77&lt;&gt;0,VLOOKUP($A77,'0.Productos'!$A$3:$GG$587,'0.Productos'!BM$1+1,0),"")</f>
        <v/>
      </c>
      <c r="V77" s="133" t="str">
        <f>IF($A77&lt;&gt;0,VLOOKUP($A77,'0.Productos'!$A$3:$GG$587,'0.Productos'!BN$1+1,0),"")</f>
        <v/>
      </c>
      <c r="W77" s="133" t="str">
        <f>IF($A77&lt;&gt;0,VLOOKUP($A77,'0.Productos'!$A$3:$GG$587,'0.Productos'!BO$1+1,0),"")</f>
        <v/>
      </c>
      <c r="X77" s="133" t="str">
        <f>IF($A77&lt;&gt;0,VLOOKUP($A77,'0.Productos'!$A$3:$GG$587,'0.Productos'!BP$1+1,0),"")</f>
        <v/>
      </c>
      <c r="Y77" s="133" t="str">
        <f>IF($A77&lt;&gt;0,VLOOKUP($A77,'0.Productos'!$A$3:$GG$587,'0.Productos'!BQ$1+1,0),"")</f>
        <v/>
      </c>
      <c r="Z77" s="133" t="str">
        <f>IF($A77&lt;&gt;0,VLOOKUP($A77,'0.Productos'!$A$3:$GG$587,'0.Productos'!BR$1+1,0),"")</f>
        <v/>
      </c>
      <c r="AA77" s="133" t="str">
        <f>IF($A77&lt;&gt;0,VLOOKUP($A77,'0.Productos'!$A$3:$GG$587,'0.Productos'!BS$1+1,0),"")</f>
        <v/>
      </c>
      <c r="AB77" s="133" t="str">
        <f>IF($A77&lt;&gt;0,VLOOKUP($A77,'0.Productos'!$A$3:$GG$587,'0.Productos'!BT$1+1,0),"")</f>
        <v/>
      </c>
      <c r="AC77" s="133" t="str">
        <f>IF($A77&lt;&gt;0,VLOOKUP($A77,'0.Productos'!$A$3:$GG$587,'0.Productos'!BU$1+1,0),"")</f>
        <v/>
      </c>
      <c r="AD77" s="133" t="str">
        <f>IF($A77&lt;&gt;0,VLOOKUP($A77,'0.Productos'!$A$3:$GG$587,'0.Productos'!BV$1+1,0),"")</f>
        <v/>
      </c>
      <c r="AE77" s="133" t="str">
        <f>IF($A77&lt;&gt;0,VLOOKUP($A77,'0.Productos'!$A$3:$GG$587,'0.Productos'!BW$1+1,0),"")</f>
        <v/>
      </c>
      <c r="AF77" s="133" t="str">
        <f>IF($A77&lt;&gt;0,VLOOKUP($A77,'0.Productos'!$A$3:$GG$587,'0.Productos'!BX$1+1,0),"")</f>
        <v/>
      </c>
      <c r="AG77" s="133" t="str">
        <f>IF($A77&lt;&gt;0,VLOOKUP($A77,'0.Productos'!$A$3:$GG$587,'0.Productos'!BY$1+1,0),"")</f>
        <v/>
      </c>
      <c r="AH77" s="133" t="str">
        <f>IF($A77&lt;&gt;0,VLOOKUP($A77,'0.Productos'!$A$3:$GG$587,'0.Productos'!BZ$1+1,0),"")</f>
        <v/>
      </c>
      <c r="AI77" s="133" t="str">
        <f>IF($A77&lt;&gt;0,VLOOKUP($A77,'0.Productos'!$A$3:$GG$587,'0.Productos'!CA$1+1,0),"")</f>
        <v/>
      </c>
      <c r="AJ77" s="133" t="str">
        <f>IF($A77&lt;&gt;0,VLOOKUP($A77,'0.Productos'!$A$3:$GG$587,'0.Productos'!CB$1+1,0),"")</f>
        <v/>
      </c>
      <c r="AK77" s="133" t="str">
        <f>IF($A77&lt;&gt;0,VLOOKUP($A77,'0.Productos'!$A$3:$GG$587,'0.Productos'!CC$1+1,0),"")</f>
        <v/>
      </c>
      <c r="AL77" s="133" t="str">
        <f>IF($A77&lt;&gt;0,VLOOKUP($A77,'0.Productos'!$A$3:$GG$587,'0.Productos'!CD$1+1,0),"")</f>
        <v/>
      </c>
      <c r="AM77" s="133" t="str">
        <f>IF($A77&lt;&gt;0,VLOOKUP($A77,'0.Productos'!$A$3:$GG$587,'0.Productos'!CE$1+1,0),"")</f>
        <v/>
      </c>
      <c r="AN77" s="133" t="str">
        <f>IF($A77&lt;&gt;0,VLOOKUP($A77,'0.Productos'!$A$3:$GG$587,'0.Productos'!CF$1+1,0),"")</f>
        <v/>
      </c>
      <c r="AO77" s="133" t="str">
        <f>IF($A77&lt;&gt;0,VLOOKUP($A77,'0.Productos'!$A$3:$GG$587,'0.Productos'!CG$1+1,0),"")</f>
        <v/>
      </c>
      <c r="AP77" s="133" t="str">
        <f>IF($A77&lt;&gt;0,VLOOKUP($A77,'0.Productos'!$A$3:$GG$587,'0.Productos'!CH$1+1,0),"")</f>
        <v/>
      </c>
      <c r="AQ77" s="133" t="str">
        <f>IF($A77&lt;&gt;0,VLOOKUP($A77,'0.Productos'!$A$3:$GG$587,'0.Productos'!CI$1+1,0),"")</f>
        <v/>
      </c>
      <c r="AR77" s="133" t="str">
        <f>IF($A77&lt;&gt;0,VLOOKUP($A77,'0.Productos'!$A$3:$GG$587,'0.Productos'!CJ$1+1,0),"")</f>
        <v/>
      </c>
      <c r="AS77" s="133" t="str">
        <f>IF($A77&lt;&gt;0,VLOOKUP($A77,'0.Productos'!$A$3:$GG$587,'0.Productos'!CK$1+1,0),"")</f>
        <v/>
      </c>
      <c r="AT77" s="133" t="str">
        <f>IF($A77&lt;&gt;0,VLOOKUP($A77,'0.Productos'!$A$3:$GG$587,'0.Productos'!CL$1+1,0),"")</f>
        <v/>
      </c>
      <c r="AU77" s="133" t="str">
        <f>IF($A77&lt;&gt;0,VLOOKUP($A77,'0.Productos'!$A$3:$GG$587,'0.Productos'!CM$1+1,0),"")</f>
        <v/>
      </c>
      <c r="AV77" s="133" t="str">
        <f>IF($A77&lt;&gt;0,VLOOKUP($A77,'0.Productos'!$A$3:$GG$587,'0.Productos'!CN$1+1,0),"")</f>
        <v/>
      </c>
      <c r="AW77" s="133" t="str">
        <f>IF($A77&lt;&gt;0,VLOOKUP($A77,'0.Productos'!$A$3:$GG$587,'0.Productos'!CO$1+1,0),"")</f>
        <v/>
      </c>
      <c r="AX77" s="133" t="str">
        <f>IF($A77&lt;&gt;0,VLOOKUP($A77,'0.Productos'!$A$3:$GG$587,'0.Productos'!CP$1+1,0),"")</f>
        <v/>
      </c>
      <c r="AY77" s="133" t="str">
        <f>IF($A77&lt;&gt;0,VLOOKUP($A77,'0.Productos'!$A$3:$GG$587,'0.Productos'!CQ$1+1,0),"")</f>
        <v/>
      </c>
      <c r="AZ77" s="133" t="str">
        <f>IF($A77&lt;&gt;0,VLOOKUP($A77,'0.Productos'!$A$3:$GG$587,'0.Productos'!CR$1+1,0),"")</f>
        <v/>
      </c>
      <c r="BA77" s="133" t="str">
        <f>IF($A77&lt;&gt;0,VLOOKUP($A77,'0.Productos'!$A$3:$GG$587,'0.Productos'!CS$1+1,0),"")</f>
        <v/>
      </c>
      <c r="BB77" s="133" t="str">
        <f>IF($A77&lt;&gt;0,VLOOKUP($A77,'0.Productos'!$A$3:$GG$587,'0.Productos'!CT$1+1,0),"")</f>
        <v/>
      </c>
      <c r="BC77" s="133" t="str">
        <f>IF($A77&lt;&gt;0,VLOOKUP($A77,'0.Productos'!$A$3:$GG$587,'0.Productos'!CU$1+1,0),"")</f>
        <v/>
      </c>
      <c r="BD77" s="133" t="str">
        <f>IF($A77&lt;&gt;0,VLOOKUP($A77,'0.Productos'!$A$3:$GG$587,'0.Productos'!CV$1+1,0),"")</f>
        <v/>
      </c>
      <c r="BE77" s="133" t="str">
        <f>IF($A77&lt;&gt;0,VLOOKUP($A77,'0.Productos'!$A$3:$GG$587,'0.Productos'!CW$1+1,0),"")</f>
        <v/>
      </c>
      <c r="BF77" s="133" t="str">
        <f>IF($A77&lt;&gt;0,VLOOKUP($A77,'0.Productos'!$A$3:$GG$587,'0.Productos'!CX$1+1,0),"")</f>
        <v/>
      </c>
      <c r="BG77" s="133" t="str">
        <f>IF($A77&lt;&gt;0,VLOOKUP($A77,'0.Productos'!$A$3:$GG$587,'0.Productos'!CY$1+1,0),"")</f>
        <v/>
      </c>
      <c r="BH77" s="133" t="str">
        <f>IF($A77&lt;&gt;0,VLOOKUP($A77,'0.Productos'!$A$3:$GG$587,'0.Productos'!CZ$1+1,0),"")</f>
        <v/>
      </c>
      <c r="BI77" s="133" t="str">
        <f>IF($A77&lt;&gt;0,VLOOKUP($A77,'0.Productos'!$A$3:$GG$587,'0.Productos'!DA$1+1,0),"")</f>
        <v/>
      </c>
      <c r="BJ77" s="133" t="str">
        <f>IF($A77&lt;&gt;0,VLOOKUP($A77,'0.Productos'!$A$3:$GG$587,'0.Productos'!DB$1+1,0),"")</f>
        <v/>
      </c>
      <c r="BK77" s="133" t="str">
        <f>IF($A77&lt;&gt;0,VLOOKUP($A77,'0.Productos'!$A$3:$GG$587,'0.Productos'!DC$1+1,0),"")</f>
        <v/>
      </c>
      <c r="BL77" s="133" t="str">
        <f>IF($A77&lt;&gt;0,VLOOKUP($A77,'0.Productos'!$A$3:$GG$587,'0.Productos'!DD$1+1,0),"")</f>
        <v/>
      </c>
      <c r="BM77" s="133" t="str">
        <f>IF($A77&lt;&gt;0,VLOOKUP($A77,'0.Productos'!$A$3:$GG$587,'0.Productos'!DE$1+1,0),"")</f>
        <v/>
      </c>
      <c r="BN77" s="133" t="str">
        <f>IF($A77&lt;&gt;0,VLOOKUP($A77,'0.Productos'!$A$3:$GG$587,'0.Productos'!DF$1+1,0),"")</f>
        <v/>
      </c>
      <c r="BO77" s="133" t="str">
        <f>IF($A77&lt;&gt;0,VLOOKUP($A77,'0.Productos'!$A$3:$GG$587,'0.Productos'!DG$1+1,0),"")</f>
        <v/>
      </c>
      <c r="BP77" s="133" t="str">
        <f>IF($A77&lt;&gt;0,VLOOKUP($A77,'0.Productos'!$A$3:$GG$587,'0.Productos'!DH$1+1,0),"")</f>
        <v/>
      </c>
      <c r="BQ77" s="133" t="str">
        <f>IF($A77&lt;&gt;0,VLOOKUP($A77,'0.Productos'!$A$3:$GG$587,'0.Productos'!DI$1+1,0),"")</f>
        <v/>
      </c>
      <c r="BR77" s="133" t="str">
        <f>IF($A77&lt;&gt;0,VLOOKUP($A77,'0.Productos'!$A$3:$GG$587,'0.Productos'!DJ$1+1,0),"")</f>
        <v/>
      </c>
      <c r="BS77" s="133" t="str">
        <f>IF($A77&lt;&gt;0,VLOOKUP($A77,'0.Productos'!$A$3:$GG$587,'0.Productos'!DK$1+1,0),"")</f>
        <v/>
      </c>
      <c r="BT77" s="133" t="str">
        <f>IF($A77&lt;&gt;0,VLOOKUP($A77,'0.Productos'!$A$3:$GG$587,'0.Productos'!DL$1+1,0),"")</f>
        <v/>
      </c>
    </row>
    <row r="78" spans="1:72" x14ac:dyDescent="0.25">
      <c r="A78" s="17">
        <f>'0.Consolidado general'!A78</f>
        <v>0</v>
      </c>
      <c r="B78" s="133" t="str">
        <f>IF($A78&lt;&gt;0,VLOOKUP($A78,'0.Productos'!$A$3:$GG$587,'0.Productos'!AT$1+1,0),"")</f>
        <v/>
      </c>
      <c r="C78" s="133" t="str">
        <f>IF($A78&lt;&gt;0,VLOOKUP($A78,'0.Productos'!$A$3:$GG$587,'0.Productos'!AU$1+1,0),"")</f>
        <v/>
      </c>
      <c r="D78" s="133" t="str">
        <f>IF($A78&lt;&gt;0,VLOOKUP($A78,'0.Productos'!$A$3:$GG$587,'0.Productos'!AV$1+1,0),"")</f>
        <v/>
      </c>
      <c r="E78" s="133" t="str">
        <f>IF($A78&lt;&gt;0,VLOOKUP($A78,'0.Productos'!$A$3:$GG$587,'0.Productos'!AW$1+1,0),"")</f>
        <v/>
      </c>
      <c r="F78" s="133" t="str">
        <f>IF($A78&lt;&gt;0,VLOOKUP($A78,'0.Productos'!$A$3:$GG$587,'0.Productos'!AX$1+1,0),"")</f>
        <v/>
      </c>
      <c r="G78" s="133" t="str">
        <f>IF($A78&lt;&gt;0,VLOOKUP($A78,'0.Productos'!$A$3:$GG$587,'0.Productos'!AY$1+1,0),"")</f>
        <v/>
      </c>
      <c r="H78" s="133" t="str">
        <f>IF($A78&lt;&gt;0,VLOOKUP($A78,'0.Productos'!$A$3:$GG$587,'0.Productos'!AZ$1+1,0),"")</f>
        <v/>
      </c>
      <c r="I78" s="133" t="str">
        <f>IF($A78&lt;&gt;0,VLOOKUP($A78,'0.Productos'!$A$3:$GG$587,'0.Productos'!BA$1+1,0),"")</f>
        <v/>
      </c>
      <c r="J78" s="133" t="str">
        <f>IF($A78&lt;&gt;0,VLOOKUP($A78,'0.Productos'!$A$3:$GG$587,'0.Productos'!BB$1+1,0),"")</f>
        <v/>
      </c>
      <c r="K78" s="133" t="str">
        <f>IF($A78&lt;&gt;0,VLOOKUP($A78,'0.Productos'!$A$3:$GG$587,'0.Productos'!BC$1+1,0),"")</f>
        <v/>
      </c>
      <c r="L78" s="133" t="str">
        <f>IF($A78&lt;&gt;0,VLOOKUP($A78,'0.Productos'!$A$3:$GG$587,'0.Productos'!BD$1+1,0),"")</f>
        <v/>
      </c>
      <c r="M78" s="133" t="str">
        <f>IF($A78&lt;&gt;0,VLOOKUP($A78,'0.Productos'!$A$3:$GG$587,'0.Productos'!BE$1+1,0),"")</f>
        <v/>
      </c>
      <c r="N78" s="133" t="str">
        <f>IF($A78&lt;&gt;0,VLOOKUP($A78,'0.Productos'!$A$3:$GG$587,'0.Productos'!BF$1+1,0),"")</f>
        <v/>
      </c>
      <c r="O78" s="133" t="str">
        <f>IF($A78&lt;&gt;0,VLOOKUP($A78,'0.Productos'!$A$3:$GG$587,'0.Productos'!BG$1+1,0),"")</f>
        <v/>
      </c>
      <c r="P78" s="133" t="str">
        <f>IF($A78&lt;&gt;0,VLOOKUP($A78,'0.Productos'!$A$3:$GG$587,'0.Productos'!BH$1+1,0),"")</f>
        <v/>
      </c>
      <c r="Q78" s="133" t="str">
        <f>IF($A78&lt;&gt;0,VLOOKUP($A78,'0.Productos'!$A$3:$GG$587,'0.Productos'!BI$1+1,0),"")</f>
        <v/>
      </c>
      <c r="R78" s="133" t="str">
        <f>IF($A78&lt;&gt;0,VLOOKUP($A78,'0.Productos'!$A$3:$GG$587,'0.Productos'!BJ$1+1,0),"")</f>
        <v/>
      </c>
      <c r="S78" s="133" t="str">
        <f>IF($A78&lt;&gt;0,VLOOKUP($A78,'0.Productos'!$A$3:$GG$587,'0.Productos'!BK$1+1,0),"")</f>
        <v/>
      </c>
      <c r="T78" s="133" t="str">
        <f>IF($A78&lt;&gt;0,VLOOKUP($A78,'0.Productos'!$A$3:$GG$587,'0.Productos'!BL$1+1,0),"")</f>
        <v/>
      </c>
      <c r="U78" s="133" t="str">
        <f>IF($A78&lt;&gt;0,VLOOKUP($A78,'0.Productos'!$A$3:$GG$587,'0.Productos'!BM$1+1,0),"")</f>
        <v/>
      </c>
      <c r="V78" s="133" t="str">
        <f>IF($A78&lt;&gt;0,VLOOKUP($A78,'0.Productos'!$A$3:$GG$587,'0.Productos'!BN$1+1,0),"")</f>
        <v/>
      </c>
      <c r="W78" s="133" t="str">
        <f>IF($A78&lt;&gt;0,VLOOKUP($A78,'0.Productos'!$A$3:$GG$587,'0.Productos'!BO$1+1,0),"")</f>
        <v/>
      </c>
      <c r="X78" s="133" t="str">
        <f>IF($A78&lt;&gt;0,VLOOKUP($A78,'0.Productos'!$A$3:$GG$587,'0.Productos'!BP$1+1,0),"")</f>
        <v/>
      </c>
      <c r="Y78" s="133" t="str">
        <f>IF($A78&lt;&gt;0,VLOOKUP($A78,'0.Productos'!$A$3:$GG$587,'0.Productos'!BQ$1+1,0),"")</f>
        <v/>
      </c>
      <c r="Z78" s="133" t="str">
        <f>IF($A78&lt;&gt;0,VLOOKUP($A78,'0.Productos'!$A$3:$GG$587,'0.Productos'!BR$1+1,0),"")</f>
        <v/>
      </c>
      <c r="AA78" s="133" t="str">
        <f>IF($A78&lt;&gt;0,VLOOKUP($A78,'0.Productos'!$A$3:$GG$587,'0.Productos'!BS$1+1,0),"")</f>
        <v/>
      </c>
      <c r="AB78" s="133" t="str">
        <f>IF($A78&lt;&gt;0,VLOOKUP($A78,'0.Productos'!$A$3:$GG$587,'0.Productos'!BT$1+1,0),"")</f>
        <v/>
      </c>
      <c r="AC78" s="133" t="str">
        <f>IF($A78&lt;&gt;0,VLOOKUP($A78,'0.Productos'!$A$3:$GG$587,'0.Productos'!BU$1+1,0),"")</f>
        <v/>
      </c>
      <c r="AD78" s="133" t="str">
        <f>IF($A78&lt;&gt;0,VLOOKUP($A78,'0.Productos'!$A$3:$GG$587,'0.Productos'!BV$1+1,0),"")</f>
        <v/>
      </c>
      <c r="AE78" s="133" t="str">
        <f>IF($A78&lt;&gt;0,VLOOKUP($A78,'0.Productos'!$A$3:$GG$587,'0.Productos'!BW$1+1,0),"")</f>
        <v/>
      </c>
      <c r="AF78" s="133" t="str">
        <f>IF($A78&lt;&gt;0,VLOOKUP($A78,'0.Productos'!$A$3:$GG$587,'0.Productos'!BX$1+1,0),"")</f>
        <v/>
      </c>
      <c r="AG78" s="133" t="str">
        <f>IF($A78&lt;&gt;0,VLOOKUP($A78,'0.Productos'!$A$3:$GG$587,'0.Productos'!BY$1+1,0),"")</f>
        <v/>
      </c>
      <c r="AH78" s="133" t="str">
        <f>IF($A78&lt;&gt;0,VLOOKUP($A78,'0.Productos'!$A$3:$GG$587,'0.Productos'!BZ$1+1,0),"")</f>
        <v/>
      </c>
      <c r="AI78" s="133" t="str">
        <f>IF($A78&lt;&gt;0,VLOOKUP($A78,'0.Productos'!$A$3:$GG$587,'0.Productos'!CA$1+1,0),"")</f>
        <v/>
      </c>
      <c r="AJ78" s="133" t="str">
        <f>IF($A78&lt;&gt;0,VLOOKUP($A78,'0.Productos'!$A$3:$GG$587,'0.Productos'!CB$1+1,0),"")</f>
        <v/>
      </c>
      <c r="AK78" s="133" t="str">
        <f>IF($A78&lt;&gt;0,VLOOKUP($A78,'0.Productos'!$A$3:$GG$587,'0.Productos'!CC$1+1,0),"")</f>
        <v/>
      </c>
      <c r="AL78" s="133" t="str">
        <f>IF($A78&lt;&gt;0,VLOOKUP($A78,'0.Productos'!$A$3:$GG$587,'0.Productos'!CD$1+1,0),"")</f>
        <v/>
      </c>
      <c r="AM78" s="133" t="str">
        <f>IF($A78&lt;&gt;0,VLOOKUP($A78,'0.Productos'!$A$3:$GG$587,'0.Productos'!CE$1+1,0),"")</f>
        <v/>
      </c>
      <c r="AN78" s="133" t="str">
        <f>IF($A78&lt;&gt;0,VLOOKUP($A78,'0.Productos'!$A$3:$GG$587,'0.Productos'!CF$1+1,0),"")</f>
        <v/>
      </c>
      <c r="AO78" s="133" t="str">
        <f>IF($A78&lt;&gt;0,VLOOKUP($A78,'0.Productos'!$A$3:$GG$587,'0.Productos'!CG$1+1,0),"")</f>
        <v/>
      </c>
      <c r="AP78" s="133" t="str">
        <f>IF($A78&lt;&gt;0,VLOOKUP($A78,'0.Productos'!$A$3:$GG$587,'0.Productos'!CH$1+1,0),"")</f>
        <v/>
      </c>
      <c r="AQ78" s="133" t="str">
        <f>IF($A78&lt;&gt;0,VLOOKUP($A78,'0.Productos'!$A$3:$GG$587,'0.Productos'!CI$1+1,0),"")</f>
        <v/>
      </c>
      <c r="AR78" s="133" t="str">
        <f>IF($A78&lt;&gt;0,VLOOKUP($A78,'0.Productos'!$A$3:$GG$587,'0.Productos'!CJ$1+1,0),"")</f>
        <v/>
      </c>
      <c r="AS78" s="133" t="str">
        <f>IF($A78&lt;&gt;0,VLOOKUP($A78,'0.Productos'!$A$3:$GG$587,'0.Productos'!CK$1+1,0),"")</f>
        <v/>
      </c>
      <c r="AT78" s="133" t="str">
        <f>IF($A78&lt;&gt;0,VLOOKUP($A78,'0.Productos'!$A$3:$GG$587,'0.Productos'!CL$1+1,0),"")</f>
        <v/>
      </c>
      <c r="AU78" s="133" t="str">
        <f>IF($A78&lt;&gt;0,VLOOKUP($A78,'0.Productos'!$A$3:$GG$587,'0.Productos'!CM$1+1,0),"")</f>
        <v/>
      </c>
      <c r="AV78" s="133" t="str">
        <f>IF($A78&lt;&gt;0,VLOOKUP($A78,'0.Productos'!$A$3:$GG$587,'0.Productos'!CN$1+1,0),"")</f>
        <v/>
      </c>
      <c r="AW78" s="133" t="str">
        <f>IF($A78&lt;&gt;0,VLOOKUP($A78,'0.Productos'!$A$3:$GG$587,'0.Productos'!CO$1+1,0),"")</f>
        <v/>
      </c>
      <c r="AX78" s="133" t="str">
        <f>IF($A78&lt;&gt;0,VLOOKUP($A78,'0.Productos'!$A$3:$GG$587,'0.Productos'!CP$1+1,0),"")</f>
        <v/>
      </c>
      <c r="AY78" s="133" t="str">
        <f>IF($A78&lt;&gt;0,VLOOKUP($A78,'0.Productos'!$A$3:$GG$587,'0.Productos'!CQ$1+1,0),"")</f>
        <v/>
      </c>
      <c r="AZ78" s="133" t="str">
        <f>IF($A78&lt;&gt;0,VLOOKUP($A78,'0.Productos'!$A$3:$GG$587,'0.Productos'!CR$1+1,0),"")</f>
        <v/>
      </c>
      <c r="BA78" s="133" t="str">
        <f>IF($A78&lt;&gt;0,VLOOKUP($A78,'0.Productos'!$A$3:$GG$587,'0.Productos'!CS$1+1,0),"")</f>
        <v/>
      </c>
      <c r="BB78" s="133" t="str">
        <f>IF($A78&lt;&gt;0,VLOOKUP($A78,'0.Productos'!$A$3:$GG$587,'0.Productos'!CT$1+1,0),"")</f>
        <v/>
      </c>
      <c r="BC78" s="133" t="str">
        <f>IF($A78&lt;&gt;0,VLOOKUP($A78,'0.Productos'!$A$3:$GG$587,'0.Productos'!CU$1+1,0),"")</f>
        <v/>
      </c>
      <c r="BD78" s="133" t="str">
        <f>IF($A78&lt;&gt;0,VLOOKUP($A78,'0.Productos'!$A$3:$GG$587,'0.Productos'!CV$1+1,0),"")</f>
        <v/>
      </c>
      <c r="BE78" s="133" t="str">
        <f>IF($A78&lt;&gt;0,VLOOKUP($A78,'0.Productos'!$A$3:$GG$587,'0.Productos'!CW$1+1,0),"")</f>
        <v/>
      </c>
      <c r="BF78" s="133" t="str">
        <f>IF($A78&lt;&gt;0,VLOOKUP($A78,'0.Productos'!$A$3:$GG$587,'0.Productos'!CX$1+1,0),"")</f>
        <v/>
      </c>
      <c r="BG78" s="133" t="str">
        <f>IF($A78&lt;&gt;0,VLOOKUP($A78,'0.Productos'!$A$3:$GG$587,'0.Productos'!CY$1+1,0),"")</f>
        <v/>
      </c>
      <c r="BH78" s="133" t="str">
        <f>IF($A78&lt;&gt;0,VLOOKUP($A78,'0.Productos'!$A$3:$GG$587,'0.Productos'!CZ$1+1,0),"")</f>
        <v/>
      </c>
      <c r="BI78" s="133" t="str">
        <f>IF($A78&lt;&gt;0,VLOOKUP($A78,'0.Productos'!$A$3:$GG$587,'0.Productos'!DA$1+1,0),"")</f>
        <v/>
      </c>
      <c r="BJ78" s="133" t="str">
        <f>IF($A78&lt;&gt;0,VLOOKUP($A78,'0.Productos'!$A$3:$GG$587,'0.Productos'!DB$1+1,0),"")</f>
        <v/>
      </c>
      <c r="BK78" s="133" t="str">
        <f>IF($A78&lt;&gt;0,VLOOKUP($A78,'0.Productos'!$A$3:$GG$587,'0.Productos'!DC$1+1,0),"")</f>
        <v/>
      </c>
      <c r="BL78" s="133" t="str">
        <f>IF($A78&lt;&gt;0,VLOOKUP($A78,'0.Productos'!$A$3:$GG$587,'0.Productos'!DD$1+1,0),"")</f>
        <v/>
      </c>
      <c r="BM78" s="133" t="str">
        <f>IF($A78&lt;&gt;0,VLOOKUP($A78,'0.Productos'!$A$3:$GG$587,'0.Productos'!DE$1+1,0),"")</f>
        <v/>
      </c>
      <c r="BN78" s="133" t="str">
        <f>IF($A78&lt;&gt;0,VLOOKUP($A78,'0.Productos'!$A$3:$GG$587,'0.Productos'!DF$1+1,0),"")</f>
        <v/>
      </c>
      <c r="BO78" s="133" t="str">
        <f>IF($A78&lt;&gt;0,VLOOKUP($A78,'0.Productos'!$A$3:$GG$587,'0.Productos'!DG$1+1,0),"")</f>
        <v/>
      </c>
      <c r="BP78" s="133" t="str">
        <f>IF($A78&lt;&gt;0,VLOOKUP($A78,'0.Productos'!$A$3:$GG$587,'0.Productos'!DH$1+1,0),"")</f>
        <v/>
      </c>
      <c r="BQ78" s="133" t="str">
        <f>IF($A78&lt;&gt;0,VLOOKUP($A78,'0.Productos'!$A$3:$GG$587,'0.Productos'!DI$1+1,0),"")</f>
        <v/>
      </c>
      <c r="BR78" s="133" t="str">
        <f>IF($A78&lt;&gt;0,VLOOKUP($A78,'0.Productos'!$A$3:$GG$587,'0.Productos'!DJ$1+1,0),"")</f>
        <v/>
      </c>
      <c r="BS78" s="133" t="str">
        <f>IF($A78&lt;&gt;0,VLOOKUP($A78,'0.Productos'!$A$3:$GG$587,'0.Productos'!DK$1+1,0),"")</f>
        <v/>
      </c>
      <c r="BT78" s="133" t="str">
        <f>IF($A78&lt;&gt;0,VLOOKUP($A78,'0.Productos'!$A$3:$GG$587,'0.Productos'!DL$1+1,0),"")</f>
        <v/>
      </c>
    </row>
    <row r="79" spans="1:72" x14ac:dyDescent="0.25">
      <c r="A79" s="17">
        <f>'0.Consolidado general'!A79</f>
        <v>0</v>
      </c>
      <c r="B79" s="133" t="str">
        <f>IF($A79&lt;&gt;0,VLOOKUP($A79,'0.Productos'!$A$3:$GG$587,'0.Productos'!AT$1+1,0),"")</f>
        <v/>
      </c>
      <c r="C79" s="133" t="str">
        <f>IF($A79&lt;&gt;0,VLOOKUP($A79,'0.Productos'!$A$3:$GG$587,'0.Productos'!AU$1+1,0),"")</f>
        <v/>
      </c>
      <c r="D79" s="133" t="str">
        <f>IF($A79&lt;&gt;0,VLOOKUP($A79,'0.Productos'!$A$3:$GG$587,'0.Productos'!AV$1+1,0),"")</f>
        <v/>
      </c>
      <c r="E79" s="133" t="str">
        <f>IF($A79&lt;&gt;0,VLOOKUP($A79,'0.Productos'!$A$3:$GG$587,'0.Productos'!AW$1+1,0),"")</f>
        <v/>
      </c>
      <c r="F79" s="133" t="str">
        <f>IF($A79&lt;&gt;0,VLOOKUP($A79,'0.Productos'!$A$3:$GG$587,'0.Productos'!AX$1+1,0),"")</f>
        <v/>
      </c>
      <c r="G79" s="133" t="str">
        <f>IF($A79&lt;&gt;0,VLOOKUP($A79,'0.Productos'!$A$3:$GG$587,'0.Productos'!AY$1+1,0),"")</f>
        <v/>
      </c>
      <c r="H79" s="133" t="str">
        <f>IF($A79&lt;&gt;0,VLOOKUP($A79,'0.Productos'!$A$3:$GG$587,'0.Productos'!AZ$1+1,0),"")</f>
        <v/>
      </c>
      <c r="I79" s="133" t="str">
        <f>IF($A79&lt;&gt;0,VLOOKUP($A79,'0.Productos'!$A$3:$GG$587,'0.Productos'!BA$1+1,0),"")</f>
        <v/>
      </c>
      <c r="J79" s="133" t="str">
        <f>IF($A79&lt;&gt;0,VLOOKUP($A79,'0.Productos'!$A$3:$GG$587,'0.Productos'!BB$1+1,0),"")</f>
        <v/>
      </c>
      <c r="K79" s="133" t="str">
        <f>IF($A79&lt;&gt;0,VLOOKUP($A79,'0.Productos'!$A$3:$GG$587,'0.Productos'!BC$1+1,0),"")</f>
        <v/>
      </c>
      <c r="L79" s="133" t="str">
        <f>IF($A79&lt;&gt;0,VLOOKUP($A79,'0.Productos'!$A$3:$GG$587,'0.Productos'!BD$1+1,0),"")</f>
        <v/>
      </c>
      <c r="M79" s="133" t="str">
        <f>IF($A79&lt;&gt;0,VLOOKUP($A79,'0.Productos'!$A$3:$GG$587,'0.Productos'!BE$1+1,0),"")</f>
        <v/>
      </c>
      <c r="N79" s="133" t="str">
        <f>IF($A79&lt;&gt;0,VLOOKUP($A79,'0.Productos'!$A$3:$GG$587,'0.Productos'!BF$1+1,0),"")</f>
        <v/>
      </c>
      <c r="O79" s="133" t="str">
        <f>IF($A79&lt;&gt;0,VLOOKUP($A79,'0.Productos'!$A$3:$GG$587,'0.Productos'!BG$1+1,0),"")</f>
        <v/>
      </c>
      <c r="P79" s="133" t="str">
        <f>IF($A79&lt;&gt;0,VLOOKUP($A79,'0.Productos'!$A$3:$GG$587,'0.Productos'!BH$1+1,0),"")</f>
        <v/>
      </c>
      <c r="Q79" s="133" t="str">
        <f>IF($A79&lt;&gt;0,VLOOKUP($A79,'0.Productos'!$A$3:$GG$587,'0.Productos'!BI$1+1,0),"")</f>
        <v/>
      </c>
      <c r="R79" s="133" t="str">
        <f>IF($A79&lt;&gt;0,VLOOKUP($A79,'0.Productos'!$A$3:$GG$587,'0.Productos'!BJ$1+1,0),"")</f>
        <v/>
      </c>
      <c r="S79" s="133" t="str">
        <f>IF($A79&lt;&gt;0,VLOOKUP($A79,'0.Productos'!$A$3:$GG$587,'0.Productos'!BK$1+1,0),"")</f>
        <v/>
      </c>
      <c r="T79" s="133" t="str">
        <f>IF($A79&lt;&gt;0,VLOOKUP($A79,'0.Productos'!$A$3:$GG$587,'0.Productos'!BL$1+1,0),"")</f>
        <v/>
      </c>
      <c r="U79" s="133" t="str">
        <f>IF($A79&lt;&gt;0,VLOOKUP($A79,'0.Productos'!$A$3:$GG$587,'0.Productos'!BM$1+1,0),"")</f>
        <v/>
      </c>
      <c r="V79" s="133" t="str">
        <f>IF($A79&lt;&gt;0,VLOOKUP($A79,'0.Productos'!$A$3:$GG$587,'0.Productos'!BN$1+1,0),"")</f>
        <v/>
      </c>
      <c r="W79" s="133" t="str">
        <f>IF($A79&lt;&gt;0,VLOOKUP($A79,'0.Productos'!$A$3:$GG$587,'0.Productos'!BO$1+1,0),"")</f>
        <v/>
      </c>
      <c r="X79" s="133" t="str">
        <f>IF($A79&lt;&gt;0,VLOOKUP($A79,'0.Productos'!$A$3:$GG$587,'0.Productos'!BP$1+1,0),"")</f>
        <v/>
      </c>
      <c r="Y79" s="133" t="str">
        <f>IF($A79&lt;&gt;0,VLOOKUP($A79,'0.Productos'!$A$3:$GG$587,'0.Productos'!BQ$1+1,0),"")</f>
        <v/>
      </c>
      <c r="Z79" s="133" t="str">
        <f>IF($A79&lt;&gt;0,VLOOKUP($A79,'0.Productos'!$A$3:$GG$587,'0.Productos'!BR$1+1,0),"")</f>
        <v/>
      </c>
      <c r="AA79" s="133" t="str">
        <f>IF($A79&lt;&gt;0,VLOOKUP($A79,'0.Productos'!$A$3:$GG$587,'0.Productos'!BS$1+1,0),"")</f>
        <v/>
      </c>
      <c r="AB79" s="133" t="str">
        <f>IF($A79&lt;&gt;0,VLOOKUP($A79,'0.Productos'!$A$3:$GG$587,'0.Productos'!BT$1+1,0),"")</f>
        <v/>
      </c>
      <c r="AC79" s="133" t="str">
        <f>IF($A79&lt;&gt;0,VLOOKUP($A79,'0.Productos'!$A$3:$GG$587,'0.Productos'!BU$1+1,0),"")</f>
        <v/>
      </c>
      <c r="AD79" s="133" t="str">
        <f>IF($A79&lt;&gt;0,VLOOKUP($A79,'0.Productos'!$A$3:$GG$587,'0.Productos'!BV$1+1,0),"")</f>
        <v/>
      </c>
      <c r="AE79" s="133" t="str">
        <f>IF($A79&lt;&gt;0,VLOOKUP($A79,'0.Productos'!$A$3:$GG$587,'0.Productos'!BW$1+1,0),"")</f>
        <v/>
      </c>
      <c r="AF79" s="133" t="str">
        <f>IF($A79&lt;&gt;0,VLOOKUP($A79,'0.Productos'!$A$3:$GG$587,'0.Productos'!BX$1+1,0),"")</f>
        <v/>
      </c>
      <c r="AG79" s="133" t="str">
        <f>IF($A79&lt;&gt;0,VLOOKUP($A79,'0.Productos'!$A$3:$GG$587,'0.Productos'!BY$1+1,0),"")</f>
        <v/>
      </c>
      <c r="AH79" s="133" t="str">
        <f>IF($A79&lt;&gt;0,VLOOKUP($A79,'0.Productos'!$A$3:$GG$587,'0.Productos'!BZ$1+1,0),"")</f>
        <v/>
      </c>
      <c r="AI79" s="133" t="str">
        <f>IF($A79&lt;&gt;0,VLOOKUP($A79,'0.Productos'!$A$3:$GG$587,'0.Productos'!CA$1+1,0),"")</f>
        <v/>
      </c>
      <c r="AJ79" s="133" t="str">
        <f>IF($A79&lt;&gt;0,VLOOKUP($A79,'0.Productos'!$A$3:$GG$587,'0.Productos'!CB$1+1,0),"")</f>
        <v/>
      </c>
      <c r="AK79" s="133" t="str">
        <f>IF($A79&lt;&gt;0,VLOOKUP($A79,'0.Productos'!$A$3:$GG$587,'0.Productos'!CC$1+1,0),"")</f>
        <v/>
      </c>
      <c r="AL79" s="133" t="str">
        <f>IF($A79&lt;&gt;0,VLOOKUP($A79,'0.Productos'!$A$3:$GG$587,'0.Productos'!CD$1+1,0),"")</f>
        <v/>
      </c>
      <c r="AM79" s="133" t="str">
        <f>IF($A79&lt;&gt;0,VLOOKUP($A79,'0.Productos'!$A$3:$GG$587,'0.Productos'!CE$1+1,0),"")</f>
        <v/>
      </c>
      <c r="AN79" s="133" t="str">
        <f>IF($A79&lt;&gt;0,VLOOKUP($A79,'0.Productos'!$A$3:$GG$587,'0.Productos'!CF$1+1,0),"")</f>
        <v/>
      </c>
      <c r="AO79" s="133" t="str">
        <f>IF($A79&lt;&gt;0,VLOOKUP($A79,'0.Productos'!$A$3:$GG$587,'0.Productos'!CG$1+1,0),"")</f>
        <v/>
      </c>
      <c r="AP79" s="133" t="str">
        <f>IF($A79&lt;&gt;0,VLOOKUP($A79,'0.Productos'!$A$3:$GG$587,'0.Productos'!CH$1+1,0),"")</f>
        <v/>
      </c>
      <c r="AQ79" s="133" t="str">
        <f>IF($A79&lt;&gt;0,VLOOKUP($A79,'0.Productos'!$A$3:$GG$587,'0.Productos'!CI$1+1,0),"")</f>
        <v/>
      </c>
      <c r="AR79" s="133" t="str">
        <f>IF($A79&lt;&gt;0,VLOOKUP($A79,'0.Productos'!$A$3:$GG$587,'0.Productos'!CJ$1+1,0),"")</f>
        <v/>
      </c>
      <c r="AS79" s="133" t="str">
        <f>IF($A79&lt;&gt;0,VLOOKUP($A79,'0.Productos'!$A$3:$GG$587,'0.Productos'!CK$1+1,0),"")</f>
        <v/>
      </c>
      <c r="AT79" s="133" t="str">
        <f>IF($A79&lt;&gt;0,VLOOKUP($A79,'0.Productos'!$A$3:$GG$587,'0.Productos'!CL$1+1,0),"")</f>
        <v/>
      </c>
      <c r="AU79" s="133" t="str">
        <f>IF($A79&lt;&gt;0,VLOOKUP($A79,'0.Productos'!$A$3:$GG$587,'0.Productos'!CM$1+1,0),"")</f>
        <v/>
      </c>
      <c r="AV79" s="133" t="str">
        <f>IF($A79&lt;&gt;0,VLOOKUP($A79,'0.Productos'!$A$3:$GG$587,'0.Productos'!CN$1+1,0),"")</f>
        <v/>
      </c>
      <c r="AW79" s="133" t="str">
        <f>IF($A79&lt;&gt;0,VLOOKUP($A79,'0.Productos'!$A$3:$GG$587,'0.Productos'!CO$1+1,0),"")</f>
        <v/>
      </c>
      <c r="AX79" s="133" t="str">
        <f>IF($A79&lt;&gt;0,VLOOKUP($A79,'0.Productos'!$A$3:$GG$587,'0.Productos'!CP$1+1,0),"")</f>
        <v/>
      </c>
      <c r="AY79" s="133" t="str">
        <f>IF($A79&lt;&gt;0,VLOOKUP($A79,'0.Productos'!$A$3:$GG$587,'0.Productos'!CQ$1+1,0),"")</f>
        <v/>
      </c>
      <c r="AZ79" s="133" t="str">
        <f>IF($A79&lt;&gt;0,VLOOKUP($A79,'0.Productos'!$A$3:$GG$587,'0.Productos'!CR$1+1,0),"")</f>
        <v/>
      </c>
      <c r="BA79" s="133" t="str">
        <f>IF($A79&lt;&gt;0,VLOOKUP($A79,'0.Productos'!$A$3:$GG$587,'0.Productos'!CS$1+1,0),"")</f>
        <v/>
      </c>
      <c r="BB79" s="133" t="str">
        <f>IF($A79&lt;&gt;0,VLOOKUP($A79,'0.Productos'!$A$3:$GG$587,'0.Productos'!CT$1+1,0),"")</f>
        <v/>
      </c>
      <c r="BC79" s="133" t="str">
        <f>IF($A79&lt;&gt;0,VLOOKUP($A79,'0.Productos'!$A$3:$GG$587,'0.Productos'!CU$1+1,0),"")</f>
        <v/>
      </c>
      <c r="BD79" s="133" t="str">
        <f>IF($A79&lt;&gt;0,VLOOKUP($A79,'0.Productos'!$A$3:$GG$587,'0.Productos'!CV$1+1,0),"")</f>
        <v/>
      </c>
      <c r="BE79" s="133" t="str">
        <f>IF($A79&lt;&gt;0,VLOOKUP($A79,'0.Productos'!$A$3:$GG$587,'0.Productos'!CW$1+1,0),"")</f>
        <v/>
      </c>
      <c r="BF79" s="133" t="str">
        <f>IF($A79&lt;&gt;0,VLOOKUP($A79,'0.Productos'!$A$3:$GG$587,'0.Productos'!CX$1+1,0),"")</f>
        <v/>
      </c>
      <c r="BG79" s="133" t="str">
        <f>IF($A79&lt;&gt;0,VLOOKUP($A79,'0.Productos'!$A$3:$GG$587,'0.Productos'!CY$1+1,0),"")</f>
        <v/>
      </c>
      <c r="BH79" s="133" t="str">
        <f>IF($A79&lt;&gt;0,VLOOKUP($A79,'0.Productos'!$A$3:$GG$587,'0.Productos'!CZ$1+1,0),"")</f>
        <v/>
      </c>
      <c r="BI79" s="133" t="str">
        <f>IF($A79&lt;&gt;0,VLOOKUP($A79,'0.Productos'!$A$3:$GG$587,'0.Productos'!DA$1+1,0),"")</f>
        <v/>
      </c>
      <c r="BJ79" s="133" t="str">
        <f>IF($A79&lt;&gt;0,VLOOKUP($A79,'0.Productos'!$A$3:$GG$587,'0.Productos'!DB$1+1,0),"")</f>
        <v/>
      </c>
      <c r="BK79" s="133" t="str">
        <f>IF($A79&lt;&gt;0,VLOOKUP($A79,'0.Productos'!$A$3:$GG$587,'0.Productos'!DC$1+1,0),"")</f>
        <v/>
      </c>
      <c r="BL79" s="133" t="str">
        <f>IF($A79&lt;&gt;0,VLOOKUP($A79,'0.Productos'!$A$3:$GG$587,'0.Productos'!DD$1+1,0),"")</f>
        <v/>
      </c>
      <c r="BM79" s="133" t="str">
        <f>IF($A79&lt;&gt;0,VLOOKUP($A79,'0.Productos'!$A$3:$GG$587,'0.Productos'!DE$1+1,0),"")</f>
        <v/>
      </c>
      <c r="BN79" s="133" t="str">
        <f>IF($A79&lt;&gt;0,VLOOKUP($A79,'0.Productos'!$A$3:$GG$587,'0.Productos'!DF$1+1,0),"")</f>
        <v/>
      </c>
      <c r="BO79" s="133" t="str">
        <f>IF($A79&lt;&gt;0,VLOOKUP($A79,'0.Productos'!$A$3:$GG$587,'0.Productos'!DG$1+1,0),"")</f>
        <v/>
      </c>
      <c r="BP79" s="133" t="str">
        <f>IF($A79&lt;&gt;0,VLOOKUP($A79,'0.Productos'!$A$3:$GG$587,'0.Productos'!DH$1+1,0),"")</f>
        <v/>
      </c>
      <c r="BQ79" s="133" t="str">
        <f>IF($A79&lt;&gt;0,VLOOKUP($A79,'0.Productos'!$A$3:$GG$587,'0.Productos'!DI$1+1,0),"")</f>
        <v/>
      </c>
      <c r="BR79" s="133" t="str">
        <f>IF($A79&lt;&gt;0,VLOOKUP($A79,'0.Productos'!$A$3:$GG$587,'0.Productos'!DJ$1+1,0),"")</f>
        <v/>
      </c>
      <c r="BS79" s="133" t="str">
        <f>IF($A79&lt;&gt;0,VLOOKUP($A79,'0.Productos'!$A$3:$GG$587,'0.Productos'!DK$1+1,0),"")</f>
        <v/>
      </c>
      <c r="BT79" s="133" t="str">
        <f>IF($A79&lt;&gt;0,VLOOKUP($A79,'0.Productos'!$A$3:$GG$587,'0.Productos'!DL$1+1,0),"")</f>
        <v/>
      </c>
    </row>
    <row r="80" spans="1:72" x14ac:dyDescent="0.25">
      <c r="A80" s="17">
        <f>'0.Consolidado general'!A80</f>
        <v>0</v>
      </c>
      <c r="B80" s="133" t="str">
        <f>IF($A80&lt;&gt;0,VLOOKUP($A80,'0.Productos'!$A$3:$GG$587,'0.Productos'!AT$1+1,0),"")</f>
        <v/>
      </c>
      <c r="C80" s="133" t="str">
        <f>IF($A80&lt;&gt;0,VLOOKUP($A80,'0.Productos'!$A$3:$GG$587,'0.Productos'!AU$1+1,0),"")</f>
        <v/>
      </c>
      <c r="D80" s="133" t="str">
        <f>IF($A80&lt;&gt;0,VLOOKUP($A80,'0.Productos'!$A$3:$GG$587,'0.Productos'!AV$1+1,0),"")</f>
        <v/>
      </c>
      <c r="E80" s="133" t="str">
        <f>IF($A80&lt;&gt;0,VLOOKUP($A80,'0.Productos'!$A$3:$GG$587,'0.Productos'!AW$1+1,0),"")</f>
        <v/>
      </c>
      <c r="F80" s="133" t="str">
        <f>IF($A80&lt;&gt;0,VLOOKUP($A80,'0.Productos'!$A$3:$GG$587,'0.Productos'!AX$1+1,0),"")</f>
        <v/>
      </c>
      <c r="G80" s="133" t="str">
        <f>IF($A80&lt;&gt;0,VLOOKUP($A80,'0.Productos'!$A$3:$GG$587,'0.Productos'!AY$1+1,0),"")</f>
        <v/>
      </c>
      <c r="H80" s="133" t="str">
        <f>IF($A80&lt;&gt;0,VLOOKUP($A80,'0.Productos'!$A$3:$GG$587,'0.Productos'!AZ$1+1,0),"")</f>
        <v/>
      </c>
      <c r="I80" s="133" t="str">
        <f>IF($A80&lt;&gt;0,VLOOKUP($A80,'0.Productos'!$A$3:$GG$587,'0.Productos'!BA$1+1,0),"")</f>
        <v/>
      </c>
      <c r="J80" s="133" t="str">
        <f>IF($A80&lt;&gt;0,VLOOKUP($A80,'0.Productos'!$A$3:$GG$587,'0.Productos'!BB$1+1,0),"")</f>
        <v/>
      </c>
      <c r="K80" s="133" t="str">
        <f>IF($A80&lt;&gt;0,VLOOKUP($A80,'0.Productos'!$A$3:$GG$587,'0.Productos'!BC$1+1,0),"")</f>
        <v/>
      </c>
      <c r="L80" s="133" t="str">
        <f>IF($A80&lt;&gt;0,VLOOKUP($A80,'0.Productos'!$A$3:$GG$587,'0.Productos'!BD$1+1,0),"")</f>
        <v/>
      </c>
      <c r="M80" s="133" t="str">
        <f>IF($A80&lt;&gt;0,VLOOKUP($A80,'0.Productos'!$A$3:$GG$587,'0.Productos'!BE$1+1,0),"")</f>
        <v/>
      </c>
      <c r="N80" s="133" t="str">
        <f>IF($A80&lt;&gt;0,VLOOKUP($A80,'0.Productos'!$A$3:$GG$587,'0.Productos'!BF$1+1,0),"")</f>
        <v/>
      </c>
      <c r="O80" s="133" t="str">
        <f>IF($A80&lt;&gt;0,VLOOKUP($A80,'0.Productos'!$A$3:$GG$587,'0.Productos'!BG$1+1,0),"")</f>
        <v/>
      </c>
      <c r="P80" s="133" t="str">
        <f>IF($A80&lt;&gt;0,VLOOKUP($A80,'0.Productos'!$A$3:$GG$587,'0.Productos'!BH$1+1,0),"")</f>
        <v/>
      </c>
      <c r="Q80" s="133" t="str">
        <f>IF($A80&lt;&gt;0,VLOOKUP($A80,'0.Productos'!$A$3:$GG$587,'0.Productos'!BI$1+1,0),"")</f>
        <v/>
      </c>
      <c r="R80" s="133" t="str">
        <f>IF($A80&lt;&gt;0,VLOOKUP($A80,'0.Productos'!$A$3:$GG$587,'0.Productos'!BJ$1+1,0),"")</f>
        <v/>
      </c>
      <c r="S80" s="133" t="str">
        <f>IF($A80&lt;&gt;0,VLOOKUP($A80,'0.Productos'!$A$3:$GG$587,'0.Productos'!BK$1+1,0),"")</f>
        <v/>
      </c>
      <c r="T80" s="133" t="str">
        <f>IF($A80&lt;&gt;0,VLOOKUP($A80,'0.Productos'!$A$3:$GG$587,'0.Productos'!BL$1+1,0),"")</f>
        <v/>
      </c>
      <c r="U80" s="133" t="str">
        <f>IF($A80&lt;&gt;0,VLOOKUP($A80,'0.Productos'!$A$3:$GG$587,'0.Productos'!BM$1+1,0),"")</f>
        <v/>
      </c>
      <c r="V80" s="133" t="str">
        <f>IF($A80&lt;&gt;0,VLOOKUP($A80,'0.Productos'!$A$3:$GG$587,'0.Productos'!BN$1+1,0),"")</f>
        <v/>
      </c>
      <c r="W80" s="133" t="str">
        <f>IF($A80&lt;&gt;0,VLOOKUP($A80,'0.Productos'!$A$3:$GG$587,'0.Productos'!BO$1+1,0),"")</f>
        <v/>
      </c>
      <c r="X80" s="133" t="str">
        <f>IF($A80&lt;&gt;0,VLOOKUP($A80,'0.Productos'!$A$3:$GG$587,'0.Productos'!BP$1+1,0),"")</f>
        <v/>
      </c>
      <c r="Y80" s="133" t="str">
        <f>IF($A80&lt;&gt;0,VLOOKUP($A80,'0.Productos'!$A$3:$GG$587,'0.Productos'!BQ$1+1,0),"")</f>
        <v/>
      </c>
      <c r="Z80" s="133" t="str">
        <f>IF($A80&lt;&gt;0,VLOOKUP($A80,'0.Productos'!$A$3:$GG$587,'0.Productos'!BR$1+1,0),"")</f>
        <v/>
      </c>
      <c r="AA80" s="133" t="str">
        <f>IF($A80&lt;&gt;0,VLOOKUP($A80,'0.Productos'!$A$3:$GG$587,'0.Productos'!BS$1+1,0),"")</f>
        <v/>
      </c>
      <c r="AB80" s="133" t="str">
        <f>IF($A80&lt;&gt;0,VLOOKUP($A80,'0.Productos'!$A$3:$GG$587,'0.Productos'!BT$1+1,0),"")</f>
        <v/>
      </c>
      <c r="AC80" s="133" t="str">
        <f>IF($A80&lt;&gt;0,VLOOKUP($A80,'0.Productos'!$A$3:$GG$587,'0.Productos'!BU$1+1,0),"")</f>
        <v/>
      </c>
      <c r="AD80" s="133" t="str">
        <f>IF($A80&lt;&gt;0,VLOOKUP($A80,'0.Productos'!$A$3:$GG$587,'0.Productos'!BV$1+1,0),"")</f>
        <v/>
      </c>
      <c r="AE80" s="133" t="str">
        <f>IF($A80&lt;&gt;0,VLOOKUP($A80,'0.Productos'!$A$3:$GG$587,'0.Productos'!BW$1+1,0),"")</f>
        <v/>
      </c>
      <c r="AF80" s="133" t="str">
        <f>IF($A80&lt;&gt;0,VLOOKUP($A80,'0.Productos'!$A$3:$GG$587,'0.Productos'!BX$1+1,0),"")</f>
        <v/>
      </c>
      <c r="AG80" s="133" t="str">
        <f>IF($A80&lt;&gt;0,VLOOKUP($A80,'0.Productos'!$A$3:$GG$587,'0.Productos'!BY$1+1,0),"")</f>
        <v/>
      </c>
      <c r="AH80" s="133" t="str">
        <f>IF($A80&lt;&gt;0,VLOOKUP($A80,'0.Productos'!$A$3:$GG$587,'0.Productos'!BZ$1+1,0),"")</f>
        <v/>
      </c>
      <c r="AI80" s="133" t="str">
        <f>IF($A80&lt;&gt;0,VLOOKUP($A80,'0.Productos'!$A$3:$GG$587,'0.Productos'!CA$1+1,0),"")</f>
        <v/>
      </c>
      <c r="AJ80" s="133" t="str">
        <f>IF($A80&lt;&gt;0,VLOOKUP($A80,'0.Productos'!$A$3:$GG$587,'0.Productos'!CB$1+1,0),"")</f>
        <v/>
      </c>
      <c r="AK80" s="133" t="str">
        <f>IF($A80&lt;&gt;0,VLOOKUP($A80,'0.Productos'!$A$3:$GG$587,'0.Productos'!CC$1+1,0),"")</f>
        <v/>
      </c>
      <c r="AL80" s="133" t="str">
        <f>IF($A80&lt;&gt;0,VLOOKUP($A80,'0.Productos'!$A$3:$GG$587,'0.Productos'!CD$1+1,0),"")</f>
        <v/>
      </c>
      <c r="AM80" s="133" t="str">
        <f>IF($A80&lt;&gt;0,VLOOKUP($A80,'0.Productos'!$A$3:$GG$587,'0.Productos'!CE$1+1,0),"")</f>
        <v/>
      </c>
      <c r="AN80" s="133" t="str">
        <f>IF($A80&lt;&gt;0,VLOOKUP($A80,'0.Productos'!$A$3:$GG$587,'0.Productos'!CF$1+1,0),"")</f>
        <v/>
      </c>
      <c r="AO80" s="133" t="str">
        <f>IF($A80&lt;&gt;0,VLOOKUP($A80,'0.Productos'!$A$3:$GG$587,'0.Productos'!CG$1+1,0),"")</f>
        <v/>
      </c>
      <c r="AP80" s="133" t="str">
        <f>IF($A80&lt;&gt;0,VLOOKUP($A80,'0.Productos'!$A$3:$GG$587,'0.Productos'!CH$1+1,0),"")</f>
        <v/>
      </c>
      <c r="AQ80" s="133" t="str">
        <f>IF($A80&lt;&gt;0,VLOOKUP($A80,'0.Productos'!$A$3:$GG$587,'0.Productos'!CI$1+1,0),"")</f>
        <v/>
      </c>
      <c r="AR80" s="133" t="str">
        <f>IF($A80&lt;&gt;0,VLOOKUP($A80,'0.Productos'!$A$3:$GG$587,'0.Productos'!CJ$1+1,0),"")</f>
        <v/>
      </c>
      <c r="AS80" s="133" t="str">
        <f>IF($A80&lt;&gt;0,VLOOKUP($A80,'0.Productos'!$A$3:$GG$587,'0.Productos'!CK$1+1,0),"")</f>
        <v/>
      </c>
      <c r="AT80" s="133" t="str">
        <f>IF($A80&lt;&gt;0,VLOOKUP($A80,'0.Productos'!$A$3:$GG$587,'0.Productos'!CL$1+1,0),"")</f>
        <v/>
      </c>
      <c r="AU80" s="133" t="str">
        <f>IF($A80&lt;&gt;0,VLOOKUP($A80,'0.Productos'!$A$3:$GG$587,'0.Productos'!CM$1+1,0),"")</f>
        <v/>
      </c>
      <c r="AV80" s="133" t="str">
        <f>IF($A80&lt;&gt;0,VLOOKUP($A80,'0.Productos'!$A$3:$GG$587,'0.Productos'!CN$1+1,0),"")</f>
        <v/>
      </c>
      <c r="AW80" s="133" t="str">
        <f>IF($A80&lt;&gt;0,VLOOKUP($A80,'0.Productos'!$A$3:$GG$587,'0.Productos'!CO$1+1,0),"")</f>
        <v/>
      </c>
      <c r="AX80" s="133" t="str">
        <f>IF($A80&lt;&gt;0,VLOOKUP($A80,'0.Productos'!$A$3:$GG$587,'0.Productos'!CP$1+1,0),"")</f>
        <v/>
      </c>
      <c r="AY80" s="133" t="str">
        <f>IF($A80&lt;&gt;0,VLOOKUP($A80,'0.Productos'!$A$3:$GG$587,'0.Productos'!CQ$1+1,0),"")</f>
        <v/>
      </c>
      <c r="AZ80" s="133" t="str">
        <f>IF($A80&lt;&gt;0,VLOOKUP($A80,'0.Productos'!$A$3:$GG$587,'0.Productos'!CR$1+1,0),"")</f>
        <v/>
      </c>
      <c r="BA80" s="133" t="str">
        <f>IF($A80&lt;&gt;0,VLOOKUP($A80,'0.Productos'!$A$3:$GG$587,'0.Productos'!CS$1+1,0),"")</f>
        <v/>
      </c>
      <c r="BB80" s="133" t="str">
        <f>IF($A80&lt;&gt;0,VLOOKUP($A80,'0.Productos'!$A$3:$GG$587,'0.Productos'!CT$1+1,0),"")</f>
        <v/>
      </c>
      <c r="BC80" s="133" t="str">
        <f>IF($A80&lt;&gt;0,VLOOKUP($A80,'0.Productos'!$A$3:$GG$587,'0.Productos'!CU$1+1,0),"")</f>
        <v/>
      </c>
      <c r="BD80" s="133" t="str">
        <f>IF($A80&lt;&gt;0,VLOOKUP($A80,'0.Productos'!$A$3:$GG$587,'0.Productos'!CV$1+1,0),"")</f>
        <v/>
      </c>
      <c r="BE80" s="133" t="str">
        <f>IF($A80&lt;&gt;0,VLOOKUP($A80,'0.Productos'!$A$3:$GG$587,'0.Productos'!CW$1+1,0),"")</f>
        <v/>
      </c>
      <c r="BF80" s="133" t="str">
        <f>IF($A80&lt;&gt;0,VLOOKUP($A80,'0.Productos'!$A$3:$GG$587,'0.Productos'!CX$1+1,0),"")</f>
        <v/>
      </c>
      <c r="BG80" s="133" t="str">
        <f>IF($A80&lt;&gt;0,VLOOKUP($A80,'0.Productos'!$A$3:$GG$587,'0.Productos'!CY$1+1,0),"")</f>
        <v/>
      </c>
      <c r="BH80" s="133" t="str">
        <f>IF($A80&lt;&gt;0,VLOOKUP($A80,'0.Productos'!$A$3:$GG$587,'0.Productos'!CZ$1+1,0),"")</f>
        <v/>
      </c>
      <c r="BI80" s="133" t="str">
        <f>IF($A80&lt;&gt;0,VLOOKUP($A80,'0.Productos'!$A$3:$GG$587,'0.Productos'!DA$1+1,0),"")</f>
        <v/>
      </c>
      <c r="BJ80" s="133" t="str">
        <f>IF($A80&lt;&gt;0,VLOOKUP($A80,'0.Productos'!$A$3:$GG$587,'0.Productos'!DB$1+1,0),"")</f>
        <v/>
      </c>
      <c r="BK80" s="133" t="str">
        <f>IF($A80&lt;&gt;0,VLOOKUP($A80,'0.Productos'!$A$3:$GG$587,'0.Productos'!DC$1+1,0),"")</f>
        <v/>
      </c>
      <c r="BL80" s="133" t="str">
        <f>IF($A80&lt;&gt;0,VLOOKUP($A80,'0.Productos'!$A$3:$GG$587,'0.Productos'!DD$1+1,0),"")</f>
        <v/>
      </c>
      <c r="BM80" s="133" t="str">
        <f>IF($A80&lt;&gt;0,VLOOKUP($A80,'0.Productos'!$A$3:$GG$587,'0.Productos'!DE$1+1,0),"")</f>
        <v/>
      </c>
      <c r="BN80" s="133" t="str">
        <f>IF($A80&lt;&gt;0,VLOOKUP($A80,'0.Productos'!$A$3:$GG$587,'0.Productos'!DF$1+1,0),"")</f>
        <v/>
      </c>
      <c r="BO80" s="133" t="str">
        <f>IF($A80&lt;&gt;0,VLOOKUP($A80,'0.Productos'!$A$3:$GG$587,'0.Productos'!DG$1+1,0),"")</f>
        <v/>
      </c>
      <c r="BP80" s="133" t="str">
        <f>IF($A80&lt;&gt;0,VLOOKUP($A80,'0.Productos'!$A$3:$GG$587,'0.Productos'!DH$1+1,0),"")</f>
        <v/>
      </c>
      <c r="BQ80" s="133" t="str">
        <f>IF($A80&lt;&gt;0,VLOOKUP($A80,'0.Productos'!$A$3:$GG$587,'0.Productos'!DI$1+1,0),"")</f>
        <v/>
      </c>
      <c r="BR80" s="133" t="str">
        <f>IF($A80&lt;&gt;0,VLOOKUP($A80,'0.Productos'!$A$3:$GG$587,'0.Productos'!DJ$1+1,0),"")</f>
        <v/>
      </c>
      <c r="BS80" s="133" t="str">
        <f>IF($A80&lt;&gt;0,VLOOKUP($A80,'0.Productos'!$A$3:$GG$587,'0.Productos'!DK$1+1,0),"")</f>
        <v/>
      </c>
      <c r="BT80" s="133" t="str">
        <f>IF($A80&lt;&gt;0,VLOOKUP($A80,'0.Productos'!$A$3:$GG$587,'0.Productos'!DL$1+1,0),"")</f>
        <v/>
      </c>
    </row>
    <row r="81" spans="1:72" x14ac:dyDescent="0.25">
      <c r="A81" s="17">
        <f>'0.Consolidado general'!A81</f>
        <v>0</v>
      </c>
      <c r="B81" s="133" t="str">
        <f>IF($A81&lt;&gt;0,VLOOKUP($A81,'0.Productos'!$A$3:$GG$587,'0.Productos'!AT$1+1,0),"")</f>
        <v/>
      </c>
      <c r="C81" s="133" t="str">
        <f>IF($A81&lt;&gt;0,VLOOKUP($A81,'0.Productos'!$A$3:$GG$587,'0.Productos'!AU$1+1,0),"")</f>
        <v/>
      </c>
      <c r="D81" s="133" t="str">
        <f>IF($A81&lt;&gt;0,VLOOKUP($A81,'0.Productos'!$A$3:$GG$587,'0.Productos'!AV$1+1,0),"")</f>
        <v/>
      </c>
      <c r="E81" s="133" t="str">
        <f>IF($A81&lt;&gt;0,VLOOKUP($A81,'0.Productos'!$A$3:$GG$587,'0.Productos'!AW$1+1,0),"")</f>
        <v/>
      </c>
      <c r="F81" s="133" t="str">
        <f>IF($A81&lt;&gt;0,VLOOKUP($A81,'0.Productos'!$A$3:$GG$587,'0.Productos'!AX$1+1,0),"")</f>
        <v/>
      </c>
      <c r="G81" s="133" t="str">
        <f>IF($A81&lt;&gt;0,VLOOKUP($A81,'0.Productos'!$A$3:$GG$587,'0.Productos'!AY$1+1,0),"")</f>
        <v/>
      </c>
      <c r="H81" s="133" t="str">
        <f>IF($A81&lt;&gt;0,VLOOKUP($A81,'0.Productos'!$A$3:$GG$587,'0.Productos'!AZ$1+1,0),"")</f>
        <v/>
      </c>
      <c r="I81" s="133" t="str">
        <f>IF($A81&lt;&gt;0,VLOOKUP($A81,'0.Productos'!$A$3:$GG$587,'0.Productos'!BA$1+1,0),"")</f>
        <v/>
      </c>
      <c r="J81" s="133" t="str">
        <f>IF($A81&lt;&gt;0,VLOOKUP($A81,'0.Productos'!$A$3:$GG$587,'0.Productos'!BB$1+1,0),"")</f>
        <v/>
      </c>
      <c r="K81" s="133" t="str">
        <f>IF($A81&lt;&gt;0,VLOOKUP($A81,'0.Productos'!$A$3:$GG$587,'0.Productos'!BC$1+1,0),"")</f>
        <v/>
      </c>
      <c r="L81" s="133" t="str">
        <f>IF($A81&lt;&gt;0,VLOOKUP($A81,'0.Productos'!$A$3:$GG$587,'0.Productos'!BD$1+1,0),"")</f>
        <v/>
      </c>
      <c r="M81" s="133" t="str">
        <f>IF($A81&lt;&gt;0,VLOOKUP($A81,'0.Productos'!$A$3:$GG$587,'0.Productos'!BE$1+1,0),"")</f>
        <v/>
      </c>
      <c r="N81" s="133" t="str">
        <f>IF($A81&lt;&gt;0,VLOOKUP($A81,'0.Productos'!$A$3:$GG$587,'0.Productos'!BF$1+1,0),"")</f>
        <v/>
      </c>
      <c r="O81" s="133" t="str">
        <f>IF($A81&lt;&gt;0,VLOOKUP($A81,'0.Productos'!$A$3:$GG$587,'0.Productos'!BG$1+1,0),"")</f>
        <v/>
      </c>
      <c r="P81" s="133" t="str">
        <f>IF($A81&lt;&gt;0,VLOOKUP($A81,'0.Productos'!$A$3:$GG$587,'0.Productos'!BH$1+1,0),"")</f>
        <v/>
      </c>
      <c r="Q81" s="133" t="str">
        <f>IF($A81&lt;&gt;0,VLOOKUP($A81,'0.Productos'!$A$3:$GG$587,'0.Productos'!BI$1+1,0),"")</f>
        <v/>
      </c>
      <c r="R81" s="133" t="str">
        <f>IF($A81&lt;&gt;0,VLOOKUP($A81,'0.Productos'!$A$3:$GG$587,'0.Productos'!BJ$1+1,0),"")</f>
        <v/>
      </c>
      <c r="S81" s="133" t="str">
        <f>IF($A81&lt;&gt;0,VLOOKUP($A81,'0.Productos'!$A$3:$GG$587,'0.Productos'!BK$1+1,0),"")</f>
        <v/>
      </c>
      <c r="T81" s="133" t="str">
        <f>IF($A81&lt;&gt;0,VLOOKUP($A81,'0.Productos'!$A$3:$GG$587,'0.Productos'!BL$1+1,0),"")</f>
        <v/>
      </c>
      <c r="U81" s="133" t="str">
        <f>IF($A81&lt;&gt;0,VLOOKUP($A81,'0.Productos'!$A$3:$GG$587,'0.Productos'!BM$1+1,0),"")</f>
        <v/>
      </c>
      <c r="V81" s="133" t="str">
        <f>IF($A81&lt;&gt;0,VLOOKUP($A81,'0.Productos'!$A$3:$GG$587,'0.Productos'!BN$1+1,0),"")</f>
        <v/>
      </c>
      <c r="W81" s="133" t="str">
        <f>IF($A81&lt;&gt;0,VLOOKUP($A81,'0.Productos'!$A$3:$GG$587,'0.Productos'!BO$1+1,0),"")</f>
        <v/>
      </c>
      <c r="X81" s="133" t="str">
        <f>IF($A81&lt;&gt;0,VLOOKUP($A81,'0.Productos'!$A$3:$GG$587,'0.Productos'!BP$1+1,0),"")</f>
        <v/>
      </c>
      <c r="Y81" s="133" t="str">
        <f>IF($A81&lt;&gt;0,VLOOKUP($A81,'0.Productos'!$A$3:$GG$587,'0.Productos'!BQ$1+1,0),"")</f>
        <v/>
      </c>
      <c r="Z81" s="133" t="str">
        <f>IF($A81&lt;&gt;0,VLOOKUP($A81,'0.Productos'!$A$3:$GG$587,'0.Productos'!BR$1+1,0),"")</f>
        <v/>
      </c>
      <c r="AA81" s="133" t="str">
        <f>IF($A81&lt;&gt;0,VLOOKUP($A81,'0.Productos'!$A$3:$GG$587,'0.Productos'!BS$1+1,0),"")</f>
        <v/>
      </c>
      <c r="AB81" s="133" t="str">
        <f>IF($A81&lt;&gt;0,VLOOKUP($A81,'0.Productos'!$A$3:$GG$587,'0.Productos'!BT$1+1,0),"")</f>
        <v/>
      </c>
      <c r="AC81" s="133" t="str">
        <f>IF($A81&lt;&gt;0,VLOOKUP($A81,'0.Productos'!$A$3:$GG$587,'0.Productos'!BU$1+1,0),"")</f>
        <v/>
      </c>
      <c r="AD81" s="133" t="str">
        <f>IF($A81&lt;&gt;0,VLOOKUP($A81,'0.Productos'!$A$3:$GG$587,'0.Productos'!BV$1+1,0),"")</f>
        <v/>
      </c>
      <c r="AE81" s="133" t="str">
        <f>IF($A81&lt;&gt;0,VLOOKUP($A81,'0.Productos'!$A$3:$GG$587,'0.Productos'!BW$1+1,0),"")</f>
        <v/>
      </c>
      <c r="AF81" s="133" t="str">
        <f>IF($A81&lt;&gt;0,VLOOKUP($A81,'0.Productos'!$A$3:$GG$587,'0.Productos'!BX$1+1,0),"")</f>
        <v/>
      </c>
      <c r="AG81" s="133" t="str">
        <f>IF($A81&lt;&gt;0,VLOOKUP($A81,'0.Productos'!$A$3:$GG$587,'0.Productos'!BY$1+1,0),"")</f>
        <v/>
      </c>
      <c r="AH81" s="133" t="str">
        <f>IF($A81&lt;&gt;0,VLOOKUP($A81,'0.Productos'!$A$3:$GG$587,'0.Productos'!BZ$1+1,0),"")</f>
        <v/>
      </c>
      <c r="AI81" s="133" t="str">
        <f>IF($A81&lt;&gt;0,VLOOKUP($A81,'0.Productos'!$A$3:$GG$587,'0.Productos'!CA$1+1,0),"")</f>
        <v/>
      </c>
      <c r="AJ81" s="133" t="str">
        <f>IF($A81&lt;&gt;0,VLOOKUP($A81,'0.Productos'!$A$3:$GG$587,'0.Productos'!CB$1+1,0),"")</f>
        <v/>
      </c>
      <c r="AK81" s="133" t="str">
        <f>IF($A81&lt;&gt;0,VLOOKUP($A81,'0.Productos'!$A$3:$GG$587,'0.Productos'!CC$1+1,0),"")</f>
        <v/>
      </c>
      <c r="AL81" s="133" t="str">
        <f>IF($A81&lt;&gt;0,VLOOKUP($A81,'0.Productos'!$A$3:$GG$587,'0.Productos'!CD$1+1,0),"")</f>
        <v/>
      </c>
      <c r="AM81" s="133" t="str">
        <f>IF($A81&lt;&gt;0,VLOOKUP($A81,'0.Productos'!$A$3:$GG$587,'0.Productos'!CE$1+1,0),"")</f>
        <v/>
      </c>
      <c r="AN81" s="133" t="str">
        <f>IF($A81&lt;&gt;0,VLOOKUP($A81,'0.Productos'!$A$3:$GG$587,'0.Productos'!CF$1+1,0),"")</f>
        <v/>
      </c>
      <c r="AO81" s="133" t="str">
        <f>IF($A81&lt;&gt;0,VLOOKUP($A81,'0.Productos'!$A$3:$GG$587,'0.Productos'!CG$1+1,0),"")</f>
        <v/>
      </c>
      <c r="AP81" s="133" t="str">
        <f>IF($A81&lt;&gt;0,VLOOKUP($A81,'0.Productos'!$A$3:$GG$587,'0.Productos'!CH$1+1,0),"")</f>
        <v/>
      </c>
      <c r="AQ81" s="133" t="str">
        <f>IF($A81&lt;&gt;0,VLOOKUP($A81,'0.Productos'!$A$3:$GG$587,'0.Productos'!CI$1+1,0),"")</f>
        <v/>
      </c>
      <c r="AR81" s="133" t="str">
        <f>IF($A81&lt;&gt;0,VLOOKUP($A81,'0.Productos'!$A$3:$GG$587,'0.Productos'!CJ$1+1,0),"")</f>
        <v/>
      </c>
      <c r="AS81" s="133" t="str">
        <f>IF($A81&lt;&gt;0,VLOOKUP($A81,'0.Productos'!$A$3:$GG$587,'0.Productos'!CK$1+1,0),"")</f>
        <v/>
      </c>
      <c r="AT81" s="133" t="str">
        <f>IF($A81&lt;&gt;0,VLOOKUP($A81,'0.Productos'!$A$3:$GG$587,'0.Productos'!CL$1+1,0),"")</f>
        <v/>
      </c>
      <c r="AU81" s="133" t="str">
        <f>IF($A81&lt;&gt;0,VLOOKUP($A81,'0.Productos'!$A$3:$GG$587,'0.Productos'!CM$1+1,0),"")</f>
        <v/>
      </c>
      <c r="AV81" s="133" t="str">
        <f>IF($A81&lt;&gt;0,VLOOKUP($A81,'0.Productos'!$A$3:$GG$587,'0.Productos'!CN$1+1,0),"")</f>
        <v/>
      </c>
      <c r="AW81" s="133" t="str">
        <f>IF($A81&lt;&gt;0,VLOOKUP($A81,'0.Productos'!$A$3:$GG$587,'0.Productos'!CO$1+1,0),"")</f>
        <v/>
      </c>
      <c r="AX81" s="133" t="str">
        <f>IF($A81&lt;&gt;0,VLOOKUP($A81,'0.Productos'!$A$3:$GG$587,'0.Productos'!CP$1+1,0),"")</f>
        <v/>
      </c>
      <c r="AY81" s="133" t="str">
        <f>IF($A81&lt;&gt;0,VLOOKUP($A81,'0.Productos'!$A$3:$GG$587,'0.Productos'!CQ$1+1,0),"")</f>
        <v/>
      </c>
      <c r="AZ81" s="133" t="str">
        <f>IF($A81&lt;&gt;0,VLOOKUP($A81,'0.Productos'!$A$3:$GG$587,'0.Productos'!CR$1+1,0),"")</f>
        <v/>
      </c>
      <c r="BA81" s="133" t="str">
        <f>IF($A81&lt;&gt;0,VLOOKUP($A81,'0.Productos'!$A$3:$GG$587,'0.Productos'!CS$1+1,0),"")</f>
        <v/>
      </c>
      <c r="BB81" s="133" t="str">
        <f>IF($A81&lt;&gt;0,VLOOKUP($A81,'0.Productos'!$A$3:$GG$587,'0.Productos'!CT$1+1,0),"")</f>
        <v/>
      </c>
      <c r="BC81" s="133" t="str">
        <f>IF($A81&lt;&gt;0,VLOOKUP($A81,'0.Productos'!$A$3:$GG$587,'0.Productos'!CU$1+1,0),"")</f>
        <v/>
      </c>
      <c r="BD81" s="133" t="str">
        <f>IF($A81&lt;&gt;0,VLOOKUP($A81,'0.Productos'!$A$3:$GG$587,'0.Productos'!CV$1+1,0),"")</f>
        <v/>
      </c>
      <c r="BE81" s="133" t="str">
        <f>IF($A81&lt;&gt;0,VLOOKUP($A81,'0.Productos'!$A$3:$GG$587,'0.Productos'!CW$1+1,0),"")</f>
        <v/>
      </c>
      <c r="BF81" s="133" t="str">
        <f>IF($A81&lt;&gt;0,VLOOKUP($A81,'0.Productos'!$A$3:$GG$587,'0.Productos'!CX$1+1,0),"")</f>
        <v/>
      </c>
      <c r="BG81" s="133" t="str">
        <f>IF($A81&lt;&gt;0,VLOOKUP($A81,'0.Productos'!$A$3:$GG$587,'0.Productos'!CY$1+1,0),"")</f>
        <v/>
      </c>
      <c r="BH81" s="133" t="str">
        <f>IF($A81&lt;&gt;0,VLOOKUP($A81,'0.Productos'!$A$3:$GG$587,'0.Productos'!CZ$1+1,0),"")</f>
        <v/>
      </c>
      <c r="BI81" s="133" t="str">
        <f>IF($A81&lt;&gt;0,VLOOKUP($A81,'0.Productos'!$A$3:$GG$587,'0.Productos'!DA$1+1,0),"")</f>
        <v/>
      </c>
      <c r="BJ81" s="133" t="str">
        <f>IF($A81&lt;&gt;0,VLOOKUP($A81,'0.Productos'!$A$3:$GG$587,'0.Productos'!DB$1+1,0),"")</f>
        <v/>
      </c>
      <c r="BK81" s="133" t="str">
        <f>IF($A81&lt;&gt;0,VLOOKUP($A81,'0.Productos'!$A$3:$GG$587,'0.Productos'!DC$1+1,0),"")</f>
        <v/>
      </c>
      <c r="BL81" s="133" t="str">
        <f>IF($A81&lt;&gt;0,VLOOKUP($A81,'0.Productos'!$A$3:$GG$587,'0.Productos'!DD$1+1,0),"")</f>
        <v/>
      </c>
      <c r="BM81" s="133" t="str">
        <f>IF($A81&lt;&gt;0,VLOOKUP($A81,'0.Productos'!$A$3:$GG$587,'0.Productos'!DE$1+1,0),"")</f>
        <v/>
      </c>
      <c r="BN81" s="133" t="str">
        <f>IF($A81&lt;&gt;0,VLOOKUP($A81,'0.Productos'!$A$3:$GG$587,'0.Productos'!DF$1+1,0),"")</f>
        <v/>
      </c>
      <c r="BO81" s="133" t="str">
        <f>IF($A81&lt;&gt;0,VLOOKUP($A81,'0.Productos'!$A$3:$GG$587,'0.Productos'!DG$1+1,0),"")</f>
        <v/>
      </c>
      <c r="BP81" s="133" t="str">
        <f>IF($A81&lt;&gt;0,VLOOKUP($A81,'0.Productos'!$A$3:$GG$587,'0.Productos'!DH$1+1,0),"")</f>
        <v/>
      </c>
      <c r="BQ81" s="133" t="str">
        <f>IF($A81&lt;&gt;0,VLOOKUP($A81,'0.Productos'!$A$3:$GG$587,'0.Productos'!DI$1+1,0),"")</f>
        <v/>
      </c>
      <c r="BR81" s="133" t="str">
        <f>IF($A81&lt;&gt;0,VLOOKUP($A81,'0.Productos'!$A$3:$GG$587,'0.Productos'!DJ$1+1,0),"")</f>
        <v/>
      </c>
      <c r="BS81" s="133" t="str">
        <f>IF($A81&lt;&gt;0,VLOOKUP($A81,'0.Productos'!$A$3:$GG$587,'0.Productos'!DK$1+1,0),"")</f>
        <v/>
      </c>
      <c r="BT81" s="133" t="str">
        <f>IF($A81&lt;&gt;0,VLOOKUP($A81,'0.Productos'!$A$3:$GG$587,'0.Productos'!DL$1+1,0),"")</f>
        <v/>
      </c>
    </row>
    <row r="82" spans="1:72" x14ac:dyDescent="0.25">
      <c r="A82" s="17">
        <f>'0.Consolidado general'!A82</f>
        <v>0</v>
      </c>
      <c r="B82" s="133" t="str">
        <f>IF($A82&lt;&gt;0,VLOOKUP($A82,'0.Productos'!$A$3:$GG$587,'0.Productos'!AT$1+1,0),"")</f>
        <v/>
      </c>
      <c r="C82" s="133" t="str">
        <f>IF($A82&lt;&gt;0,VLOOKUP($A82,'0.Productos'!$A$3:$GG$587,'0.Productos'!AU$1+1,0),"")</f>
        <v/>
      </c>
      <c r="D82" s="133" t="str">
        <f>IF($A82&lt;&gt;0,VLOOKUP($A82,'0.Productos'!$A$3:$GG$587,'0.Productos'!AV$1+1,0),"")</f>
        <v/>
      </c>
      <c r="E82" s="133" t="str">
        <f>IF($A82&lt;&gt;0,VLOOKUP($A82,'0.Productos'!$A$3:$GG$587,'0.Productos'!AW$1+1,0),"")</f>
        <v/>
      </c>
      <c r="F82" s="133" t="str">
        <f>IF($A82&lt;&gt;0,VLOOKUP($A82,'0.Productos'!$A$3:$GG$587,'0.Productos'!AX$1+1,0),"")</f>
        <v/>
      </c>
      <c r="G82" s="133" t="str">
        <f>IF($A82&lt;&gt;0,VLOOKUP($A82,'0.Productos'!$A$3:$GG$587,'0.Productos'!AY$1+1,0),"")</f>
        <v/>
      </c>
      <c r="H82" s="133" t="str">
        <f>IF($A82&lt;&gt;0,VLOOKUP($A82,'0.Productos'!$A$3:$GG$587,'0.Productos'!AZ$1+1,0),"")</f>
        <v/>
      </c>
      <c r="I82" s="133" t="str">
        <f>IF($A82&lt;&gt;0,VLOOKUP($A82,'0.Productos'!$A$3:$GG$587,'0.Productos'!BA$1+1,0),"")</f>
        <v/>
      </c>
      <c r="J82" s="133" t="str">
        <f>IF($A82&lt;&gt;0,VLOOKUP($A82,'0.Productos'!$A$3:$GG$587,'0.Productos'!BB$1+1,0),"")</f>
        <v/>
      </c>
      <c r="K82" s="133" t="str">
        <f>IF($A82&lt;&gt;0,VLOOKUP($A82,'0.Productos'!$A$3:$GG$587,'0.Productos'!BC$1+1,0),"")</f>
        <v/>
      </c>
      <c r="L82" s="133" t="str">
        <f>IF($A82&lt;&gt;0,VLOOKUP($A82,'0.Productos'!$A$3:$GG$587,'0.Productos'!BD$1+1,0),"")</f>
        <v/>
      </c>
      <c r="M82" s="133" t="str">
        <f>IF($A82&lt;&gt;0,VLOOKUP($A82,'0.Productos'!$A$3:$GG$587,'0.Productos'!BE$1+1,0),"")</f>
        <v/>
      </c>
      <c r="N82" s="133" t="str">
        <f>IF($A82&lt;&gt;0,VLOOKUP($A82,'0.Productos'!$A$3:$GG$587,'0.Productos'!BF$1+1,0),"")</f>
        <v/>
      </c>
      <c r="O82" s="133" t="str">
        <f>IF($A82&lt;&gt;0,VLOOKUP($A82,'0.Productos'!$A$3:$GG$587,'0.Productos'!BG$1+1,0),"")</f>
        <v/>
      </c>
      <c r="P82" s="133" t="str">
        <f>IF($A82&lt;&gt;0,VLOOKUP($A82,'0.Productos'!$A$3:$GG$587,'0.Productos'!BH$1+1,0),"")</f>
        <v/>
      </c>
      <c r="Q82" s="133" t="str">
        <f>IF($A82&lt;&gt;0,VLOOKUP($A82,'0.Productos'!$A$3:$GG$587,'0.Productos'!BI$1+1,0),"")</f>
        <v/>
      </c>
      <c r="R82" s="133" t="str">
        <f>IF($A82&lt;&gt;0,VLOOKUP($A82,'0.Productos'!$A$3:$GG$587,'0.Productos'!BJ$1+1,0),"")</f>
        <v/>
      </c>
      <c r="S82" s="133" t="str">
        <f>IF($A82&lt;&gt;0,VLOOKUP($A82,'0.Productos'!$A$3:$GG$587,'0.Productos'!BK$1+1,0),"")</f>
        <v/>
      </c>
      <c r="T82" s="133" t="str">
        <f>IF($A82&lt;&gt;0,VLOOKUP($A82,'0.Productos'!$A$3:$GG$587,'0.Productos'!BL$1+1,0),"")</f>
        <v/>
      </c>
      <c r="U82" s="133" t="str">
        <f>IF($A82&lt;&gt;0,VLOOKUP($A82,'0.Productos'!$A$3:$GG$587,'0.Productos'!BM$1+1,0),"")</f>
        <v/>
      </c>
      <c r="V82" s="133" t="str">
        <f>IF($A82&lt;&gt;0,VLOOKUP($A82,'0.Productos'!$A$3:$GG$587,'0.Productos'!BN$1+1,0),"")</f>
        <v/>
      </c>
      <c r="W82" s="133" t="str">
        <f>IF($A82&lt;&gt;0,VLOOKUP($A82,'0.Productos'!$A$3:$GG$587,'0.Productos'!BO$1+1,0),"")</f>
        <v/>
      </c>
      <c r="X82" s="133" t="str">
        <f>IF($A82&lt;&gt;0,VLOOKUP($A82,'0.Productos'!$A$3:$GG$587,'0.Productos'!BP$1+1,0),"")</f>
        <v/>
      </c>
      <c r="Y82" s="133" t="str">
        <f>IF($A82&lt;&gt;0,VLOOKUP($A82,'0.Productos'!$A$3:$GG$587,'0.Productos'!BQ$1+1,0),"")</f>
        <v/>
      </c>
      <c r="Z82" s="133" t="str">
        <f>IF($A82&lt;&gt;0,VLOOKUP($A82,'0.Productos'!$A$3:$GG$587,'0.Productos'!BR$1+1,0),"")</f>
        <v/>
      </c>
      <c r="AA82" s="133" t="str">
        <f>IF($A82&lt;&gt;0,VLOOKUP($A82,'0.Productos'!$A$3:$GG$587,'0.Productos'!BS$1+1,0),"")</f>
        <v/>
      </c>
      <c r="AB82" s="133" t="str">
        <f>IF($A82&lt;&gt;0,VLOOKUP($A82,'0.Productos'!$A$3:$GG$587,'0.Productos'!BT$1+1,0),"")</f>
        <v/>
      </c>
      <c r="AC82" s="133" t="str">
        <f>IF($A82&lt;&gt;0,VLOOKUP($A82,'0.Productos'!$A$3:$GG$587,'0.Productos'!BU$1+1,0),"")</f>
        <v/>
      </c>
      <c r="AD82" s="133" t="str">
        <f>IF($A82&lt;&gt;0,VLOOKUP($A82,'0.Productos'!$A$3:$GG$587,'0.Productos'!BV$1+1,0),"")</f>
        <v/>
      </c>
      <c r="AE82" s="133" t="str">
        <f>IF($A82&lt;&gt;0,VLOOKUP($A82,'0.Productos'!$A$3:$GG$587,'0.Productos'!BW$1+1,0),"")</f>
        <v/>
      </c>
      <c r="AF82" s="133" t="str">
        <f>IF($A82&lt;&gt;0,VLOOKUP($A82,'0.Productos'!$A$3:$GG$587,'0.Productos'!BX$1+1,0),"")</f>
        <v/>
      </c>
      <c r="AG82" s="133" t="str">
        <f>IF($A82&lt;&gt;0,VLOOKUP($A82,'0.Productos'!$A$3:$GG$587,'0.Productos'!BY$1+1,0),"")</f>
        <v/>
      </c>
      <c r="AH82" s="133" t="str">
        <f>IF($A82&lt;&gt;0,VLOOKUP($A82,'0.Productos'!$A$3:$GG$587,'0.Productos'!BZ$1+1,0),"")</f>
        <v/>
      </c>
      <c r="AI82" s="133" t="str">
        <f>IF($A82&lt;&gt;0,VLOOKUP($A82,'0.Productos'!$A$3:$GG$587,'0.Productos'!CA$1+1,0),"")</f>
        <v/>
      </c>
      <c r="AJ82" s="133" t="str">
        <f>IF($A82&lt;&gt;0,VLOOKUP($A82,'0.Productos'!$A$3:$GG$587,'0.Productos'!CB$1+1,0),"")</f>
        <v/>
      </c>
      <c r="AK82" s="133" t="str">
        <f>IF($A82&lt;&gt;0,VLOOKUP($A82,'0.Productos'!$A$3:$GG$587,'0.Productos'!CC$1+1,0),"")</f>
        <v/>
      </c>
      <c r="AL82" s="133" t="str">
        <f>IF($A82&lt;&gt;0,VLOOKUP($A82,'0.Productos'!$A$3:$GG$587,'0.Productos'!CD$1+1,0),"")</f>
        <v/>
      </c>
      <c r="AM82" s="133" t="str">
        <f>IF($A82&lt;&gt;0,VLOOKUP($A82,'0.Productos'!$A$3:$GG$587,'0.Productos'!CE$1+1,0),"")</f>
        <v/>
      </c>
      <c r="AN82" s="133" t="str">
        <f>IF($A82&lt;&gt;0,VLOOKUP($A82,'0.Productos'!$A$3:$GG$587,'0.Productos'!CF$1+1,0),"")</f>
        <v/>
      </c>
      <c r="AO82" s="133" t="str">
        <f>IF($A82&lt;&gt;0,VLOOKUP($A82,'0.Productos'!$A$3:$GG$587,'0.Productos'!CG$1+1,0),"")</f>
        <v/>
      </c>
      <c r="AP82" s="133" t="str">
        <f>IF($A82&lt;&gt;0,VLOOKUP($A82,'0.Productos'!$A$3:$GG$587,'0.Productos'!CH$1+1,0),"")</f>
        <v/>
      </c>
      <c r="AQ82" s="133" t="str">
        <f>IF($A82&lt;&gt;0,VLOOKUP($A82,'0.Productos'!$A$3:$GG$587,'0.Productos'!CI$1+1,0),"")</f>
        <v/>
      </c>
      <c r="AR82" s="133" t="str">
        <f>IF($A82&lt;&gt;0,VLOOKUP($A82,'0.Productos'!$A$3:$GG$587,'0.Productos'!CJ$1+1,0),"")</f>
        <v/>
      </c>
      <c r="AS82" s="133" t="str">
        <f>IF($A82&lt;&gt;0,VLOOKUP($A82,'0.Productos'!$A$3:$GG$587,'0.Productos'!CK$1+1,0),"")</f>
        <v/>
      </c>
      <c r="AT82" s="133" t="str">
        <f>IF($A82&lt;&gt;0,VLOOKUP($A82,'0.Productos'!$A$3:$GG$587,'0.Productos'!CL$1+1,0),"")</f>
        <v/>
      </c>
      <c r="AU82" s="133" t="str">
        <f>IF($A82&lt;&gt;0,VLOOKUP($A82,'0.Productos'!$A$3:$GG$587,'0.Productos'!CM$1+1,0),"")</f>
        <v/>
      </c>
      <c r="AV82" s="133" t="str">
        <f>IF($A82&lt;&gt;0,VLOOKUP($A82,'0.Productos'!$A$3:$GG$587,'0.Productos'!CN$1+1,0),"")</f>
        <v/>
      </c>
      <c r="AW82" s="133" t="str">
        <f>IF($A82&lt;&gt;0,VLOOKUP($A82,'0.Productos'!$A$3:$GG$587,'0.Productos'!CO$1+1,0),"")</f>
        <v/>
      </c>
      <c r="AX82" s="133" t="str">
        <f>IF($A82&lt;&gt;0,VLOOKUP($A82,'0.Productos'!$A$3:$GG$587,'0.Productos'!CP$1+1,0),"")</f>
        <v/>
      </c>
      <c r="AY82" s="133" t="str">
        <f>IF($A82&lt;&gt;0,VLOOKUP($A82,'0.Productos'!$A$3:$GG$587,'0.Productos'!CQ$1+1,0),"")</f>
        <v/>
      </c>
      <c r="AZ82" s="133" t="str">
        <f>IF($A82&lt;&gt;0,VLOOKUP($A82,'0.Productos'!$A$3:$GG$587,'0.Productos'!CR$1+1,0),"")</f>
        <v/>
      </c>
      <c r="BA82" s="133" t="str">
        <f>IF($A82&lt;&gt;0,VLOOKUP($A82,'0.Productos'!$A$3:$GG$587,'0.Productos'!CS$1+1,0),"")</f>
        <v/>
      </c>
      <c r="BB82" s="133" t="str">
        <f>IF($A82&lt;&gt;0,VLOOKUP($A82,'0.Productos'!$A$3:$GG$587,'0.Productos'!CT$1+1,0),"")</f>
        <v/>
      </c>
      <c r="BC82" s="133" t="str">
        <f>IF($A82&lt;&gt;0,VLOOKUP($A82,'0.Productos'!$A$3:$GG$587,'0.Productos'!CU$1+1,0),"")</f>
        <v/>
      </c>
      <c r="BD82" s="133" t="str">
        <f>IF($A82&lt;&gt;0,VLOOKUP($A82,'0.Productos'!$A$3:$GG$587,'0.Productos'!CV$1+1,0),"")</f>
        <v/>
      </c>
      <c r="BE82" s="133" t="str">
        <f>IF($A82&lt;&gt;0,VLOOKUP($A82,'0.Productos'!$A$3:$GG$587,'0.Productos'!CW$1+1,0),"")</f>
        <v/>
      </c>
      <c r="BF82" s="133" t="str">
        <f>IF($A82&lt;&gt;0,VLOOKUP($A82,'0.Productos'!$A$3:$GG$587,'0.Productos'!CX$1+1,0),"")</f>
        <v/>
      </c>
      <c r="BG82" s="133" t="str">
        <f>IF($A82&lt;&gt;0,VLOOKUP($A82,'0.Productos'!$A$3:$GG$587,'0.Productos'!CY$1+1,0),"")</f>
        <v/>
      </c>
      <c r="BH82" s="133" t="str">
        <f>IF($A82&lt;&gt;0,VLOOKUP($A82,'0.Productos'!$A$3:$GG$587,'0.Productos'!CZ$1+1,0),"")</f>
        <v/>
      </c>
      <c r="BI82" s="133" t="str">
        <f>IF($A82&lt;&gt;0,VLOOKUP($A82,'0.Productos'!$A$3:$GG$587,'0.Productos'!DA$1+1,0),"")</f>
        <v/>
      </c>
      <c r="BJ82" s="133" t="str">
        <f>IF($A82&lt;&gt;0,VLOOKUP($A82,'0.Productos'!$A$3:$GG$587,'0.Productos'!DB$1+1,0),"")</f>
        <v/>
      </c>
      <c r="BK82" s="133" t="str">
        <f>IF($A82&lt;&gt;0,VLOOKUP($A82,'0.Productos'!$A$3:$GG$587,'0.Productos'!DC$1+1,0),"")</f>
        <v/>
      </c>
      <c r="BL82" s="133" t="str">
        <f>IF($A82&lt;&gt;0,VLOOKUP($A82,'0.Productos'!$A$3:$GG$587,'0.Productos'!DD$1+1,0),"")</f>
        <v/>
      </c>
      <c r="BM82" s="133" t="str">
        <f>IF($A82&lt;&gt;0,VLOOKUP($A82,'0.Productos'!$A$3:$GG$587,'0.Productos'!DE$1+1,0),"")</f>
        <v/>
      </c>
      <c r="BN82" s="133" t="str">
        <f>IF($A82&lt;&gt;0,VLOOKUP($A82,'0.Productos'!$A$3:$GG$587,'0.Productos'!DF$1+1,0),"")</f>
        <v/>
      </c>
      <c r="BO82" s="133" t="str">
        <f>IF($A82&lt;&gt;0,VLOOKUP($A82,'0.Productos'!$A$3:$GG$587,'0.Productos'!DG$1+1,0),"")</f>
        <v/>
      </c>
      <c r="BP82" s="133" t="str">
        <f>IF($A82&lt;&gt;0,VLOOKUP($A82,'0.Productos'!$A$3:$GG$587,'0.Productos'!DH$1+1,0),"")</f>
        <v/>
      </c>
      <c r="BQ82" s="133" t="str">
        <f>IF($A82&lt;&gt;0,VLOOKUP($A82,'0.Productos'!$A$3:$GG$587,'0.Productos'!DI$1+1,0),"")</f>
        <v/>
      </c>
      <c r="BR82" s="133" t="str">
        <f>IF($A82&lt;&gt;0,VLOOKUP($A82,'0.Productos'!$A$3:$GG$587,'0.Productos'!DJ$1+1,0),"")</f>
        <v/>
      </c>
      <c r="BS82" s="133" t="str">
        <f>IF($A82&lt;&gt;0,VLOOKUP($A82,'0.Productos'!$A$3:$GG$587,'0.Productos'!DK$1+1,0),"")</f>
        <v/>
      </c>
      <c r="BT82" s="133" t="str">
        <f>IF($A82&lt;&gt;0,VLOOKUP($A82,'0.Productos'!$A$3:$GG$587,'0.Productos'!DL$1+1,0),"")</f>
        <v/>
      </c>
    </row>
    <row r="83" spans="1:72" x14ac:dyDescent="0.25">
      <c r="A83" s="17">
        <f>'0.Consolidado general'!A83</f>
        <v>0</v>
      </c>
      <c r="B83" s="133" t="str">
        <f>IF($A83&lt;&gt;0,VLOOKUP($A83,'0.Productos'!$A$3:$GG$587,'0.Productos'!AT$1+1,0),"")</f>
        <v/>
      </c>
      <c r="C83" s="133" t="str">
        <f>IF($A83&lt;&gt;0,VLOOKUP($A83,'0.Productos'!$A$3:$GG$587,'0.Productos'!AU$1+1,0),"")</f>
        <v/>
      </c>
      <c r="D83" s="133" t="str">
        <f>IF($A83&lt;&gt;0,VLOOKUP($A83,'0.Productos'!$A$3:$GG$587,'0.Productos'!AV$1+1,0),"")</f>
        <v/>
      </c>
      <c r="E83" s="133" t="str">
        <f>IF($A83&lt;&gt;0,VLOOKUP($A83,'0.Productos'!$A$3:$GG$587,'0.Productos'!AW$1+1,0),"")</f>
        <v/>
      </c>
      <c r="F83" s="133" t="str">
        <f>IF($A83&lt;&gt;0,VLOOKUP($A83,'0.Productos'!$A$3:$GG$587,'0.Productos'!AX$1+1,0),"")</f>
        <v/>
      </c>
      <c r="G83" s="133" t="str">
        <f>IF($A83&lt;&gt;0,VLOOKUP($A83,'0.Productos'!$A$3:$GG$587,'0.Productos'!AY$1+1,0),"")</f>
        <v/>
      </c>
      <c r="H83" s="133" t="str">
        <f>IF($A83&lt;&gt;0,VLOOKUP($A83,'0.Productos'!$A$3:$GG$587,'0.Productos'!AZ$1+1,0),"")</f>
        <v/>
      </c>
      <c r="I83" s="133" t="str">
        <f>IF($A83&lt;&gt;0,VLOOKUP($A83,'0.Productos'!$A$3:$GG$587,'0.Productos'!BA$1+1,0),"")</f>
        <v/>
      </c>
      <c r="J83" s="133" t="str">
        <f>IF($A83&lt;&gt;0,VLOOKUP($A83,'0.Productos'!$A$3:$GG$587,'0.Productos'!BB$1+1,0),"")</f>
        <v/>
      </c>
      <c r="K83" s="133" t="str">
        <f>IF($A83&lt;&gt;0,VLOOKUP($A83,'0.Productos'!$A$3:$GG$587,'0.Productos'!BC$1+1,0),"")</f>
        <v/>
      </c>
      <c r="L83" s="133" t="str">
        <f>IF($A83&lt;&gt;0,VLOOKUP($A83,'0.Productos'!$A$3:$GG$587,'0.Productos'!BD$1+1,0),"")</f>
        <v/>
      </c>
      <c r="M83" s="133" t="str">
        <f>IF($A83&lt;&gt;0,VLOOKUP($A83,'0.Productos'!$A$3:$GG$587,'0.Productos'!BE$1+1,0),"")</f>
        <v/>
      </c>
      <c r="N83" s="133" t="str">
        <f>IF($A83&lt;&gt;0,VLOOKUP($A83,'0.Productos'!$A$3:$GG$587,'0.Productos'!BF$1+1,0),"")</f>
        <v/>
      </c>
      <c r="O83" s="133" t="str">
        <f>IF($A83&lt;&gt;0,VLOOKUP($A83,'0.Productos'!$A$3:$GG$587,'0.Productos'!BG$1+1,0),"")</f>
        <v/>
      </c>
      <c r="P83" s="133" t="str">
        <f>IF($A83&lt;&gt;0,VLOOKUP($A83,'0.Productos'!$A$3:$GG$587,'0.Productos'!BH$1+1,0),"")</f>
        <v/>
      </c>
      <c r="Q83" s="133" t="str">
        <f>IF($A83&lt;&gt;0,VLOOKUP($A83,'0.Productos'!$A$3:$GG$587,'0.Productos'!BI$1+1,0),"")</f>
        <v/>
      </c>
      <c r="R83" s="133" t="str">
        <f>IF($A83&lt;&gt;0,VLOOKUP($A83,'0.Productos'!$A$3:$GG$587,'0.Productos'!BJ$1+1,0),"")</f>
        <v/>
      </c>
      <c r="S83" s="133" t="str">
        <f>IF($A83&lt;&gt;0,VLOOKUP($A83,'0.Productos'!$A$3:$GG$587,'0.Productos'!BK$1+1,0),"")</f>
        <v/>
      </c>
      <c r="T83" s="133" t="str">
        <f>IF($A83&lt;&gt;0,VLOOKUP($A83,'0.Productos'!$A$3:$GG$587,'0.Productos'!BL$1+1,0),"")</f>
        <v/>
      </c>
      <c r="U83" s="133" t="str">
        <f>IF($A83&lt;&gt;0,VLOOKUP($A83,'0.Productos'!$A$3:$GG$587,'0.Productos'!BM$1+1,0),"")</f>
        <v/>
      </c>
      <c r="V83" s="133" t="str">
        <f>IF($A83&lt;&gt;0,VLOOKUP($A83,'0.Productos'!$A$3:$GG$587,'0.Productos'!BN$1+1,0),"")</f>
        <v/>
      </c>
      <c r="W83" s="133" t="str">
        <f>IF($A83&lt;&gt;0,VLOOKUP($A83,'0.Productos'!$A$3:$GG$587,'0.Productos'!BO$1+1,0),"")</f>
        <v/>
      </c>
      <c r="X83" s="133" t="str">
        <f>IF($A83&lt;&gt;0,VLOOKUP($A83,'0.Productos'!$A$3:$GG$587,'0.Productos'!BP$1+1,0),"")</f>
        <v/>
      </c>
      <c r="Y83" s="133" t="str">
        <f>IF($A83&lt;&gt;0,VLOOKUP($A83,'0.Productos'!$A$3:$GG$587,'0.Productos'!BQ$1+1,0),"")</f>
        <v/>
      </c>
      <c r="Z83" s="133" t="str">
        <f>IF($A83&lt;&gt;0,VLOOKUP($A83,'0.Productos'!$A$3:$GG$587,'0.Productos'!BR$1+1,0),"")</f>
        <v/>
      </c>
      <c r="AA83" s="133" t="str">
        <f>IF($A83&lt;&gt;0,VLOOKUP($A83,'0.Productos'!$A$3:$GG$587,'0.Productos'!BS$1+1,0),"")</f>
        <v/>
      </c>
      <c r="AB83" s="133" t="str">
        <f>IF($A83&lt;&gt;0,VLOOKUP($A83,'0.Productos'!$A$3:$GG$587,'0.Productos'!BT$1+1,0),"")</f>
        <v/>
      </c>
      <c r="AC83" s="133" t="str">
        <f>IF($A83&lt;&gt;0,VLOOKUP($A83,'0.Productos'!$A$3:$GG$587,'0.Productos'!BU$1+1,0),"")</f>
        <v/>
      </c>
      <c r="AD83" s="133" t="str">
        <f>IF($A83&lt;&gt;0,VLOOKUP($A83,'0.Productos'!$A$3:$GG$587,'0.Productos'!BV$1+1,0),"")</f>
        <v/>
      </c>
      <c r="AE83" s="133" t="str">
        <f>IF($A83&lt;&gt;0,VLOOKUP($A83,'0.Productos'!$A$3:$GG$587,'0.Productos'!BW$1+1,0),"")</f>
        <v/>
      </c>
      <c r="AF83" s="133" t="str">
        <f>IF($A83&lt;&gt;0,VLOOKUP($A83,'0.Productos'!$A$3:$GG$587,'0.Productos'!BX$1+1,0),"")</f>
        <v/>
      </c>
      <c r="AG83" s="133" t="str">
        <f>IF($A83&lt;&gt;0,VLOOKUP($A83,'0.Productos'!$A$3:$GG$587,'0.Productos'!BY$1+1,0),"")</f>
        <v/>
      </c>
      <c r="AH83" s="133" t="str">
        <f>IF($A83&lt;&gt;0,VLOOKUP($A83,'0.Productos'!$A$3:$GG$587,'0.Productos'!BZ$1+1,0),"")</f>
        <v/>
      </c>
      <c r="AI83" s="133" t="str">
        <f>IF($A83&lt;&gt;0,VLOOKUP($A83,'0.Productos'!$A$3:$GG$587,'0.Productos'!CA$1+1,0),"")</f>
        <v/>
      </c>
      <c r="AJ83" s="133" t="str">
        <f>IF($A83&lt;&gt;0,VLOOKUP($A83,'0.Productos'!$A$3:$GG$587,'0.Productos'!CB$1+1,0),"")</f>
        <v/>
      </c>
      <c r="AK83" s="133" t="str">
        <f>IF($A83&lt;&gt;0,VLOOKUP($A83,'0.Productos'!$A$3:$GG$587,'0.Productos'!CC$1+1,0),"")</f>
        <v/>
      </c>
      <c r="AL83" s="133" t="str">
        <f>IF($A83&lt;&gt;0,VLOOKUP($A83,'0.Productos'!$A$3:$GG$587,'0.Productos'!CD$1+1,0),"")</f>
        <v/>
      </c>
      <c r="AM83" s="133" t="str">
        <f>IF($A83&lt;&gt;0,VLOOKUP($A83,'0.Productos'!$A$3:$GG$587,'0.Productos'!CE$1+1,0),"")</f>
        <v/>
      </c>
      <c r="AN83" s="133" t="str">
        <f>IF($A83&lt;&gt;0,VLOOKUP($A83,'0.Productos'!$A$3:$GG$587,'0.Productos'!CF$1+1,0),"")</f>
        <v/>
      </c>
      <c r="AO83" s="133" t="str">
        <f>IF($A83&lt;&gt;0,VLOOKUP($A83,'0.Productos'!$A$3:$GG$587,'0.Productos'!CG$1+1,0),"")</f>
        <v/>
      </c>
      <c r="AP83" s="133" t="str">
        <f>IF($A83&lt;&gt;0,VLOOKUP($A83,'0.Productos'!$A$3:$GG$587,'0.Productos'!CH$1+1,0),"")</f>
        <v/>
      </c>
      <c r="AQ83" s="133" t="str">
        <f>IF($A83&lt;&gt;0,VLOOKUP($A83,'0.Productos'!$A$3:$GG$587,'0.Productos'!CI$1+1,0),"")</f>
        <v/>
      </c>
      <c r="AR83" s="133" t="str">
        <f>IF($A83&lt;&gt;0,VLOOKUP($A83,'0.Productos'!$A$3:$GG$587,'0.Productos'!CJ$1+1,0),"")</f>
        <v/>
      </c>
      <c r="AS83" s="133" t="str">
        <f>IF($A83&lt;&gt;0,VLOOKUP($A83,'0.Productos'!$A$3:$GG$587,'0.Productos'!CK$1+1,0),"")</f>
        <v/>
      </c>
      <c r="AT83" s="133" t="str">
        <f>IF($A83&lt;&gt;0,VLOOKUP($A83,'0.Productos'!$A$3:$GG$587,'0.Productos'!CL$1+1,0),"")</f>
        <v/>
      </c>
      <c r="AU83" s="133" t="str">
        <f>IF($A83&lt;&gt;0,VLOOKUP($A83,'0.Productos'!$A$3:$GG$587,'0.Productos'!CM$1+1,0),"")</f>
        <v/>
      </c>
      <c r="AV83" s="133" t="str">
        <f>IF($A83&lt;&gt;0,VLOOKUP($A83,'0.Productos'!$A$3:$GG$587,'0.Productos'!CN$1+1,0),"")</f>
        <v/>
      </c>
      <c r="AW83" s="133" t="str">
        <f>IF($A83&lt;&gt;0,VLOOKUP($A83,'0.Productos'!$A$3:$GG$587,'0.Productos'!CO$1+1,0),"")</f>
        <v/>
      </c>
      <c r="AX83" s="133" t="str">
        <f>IF($A83&lt;&gt;0,VLOOKUP($A83,'0.Productos'!$A$3:$GG$587,'0.Productos'!CP$1+1,0),"")</f>
        <v/>
      </c>
      <c r="AY83" s="133" t="str">
        <f>IF($A83&lt;&gt;0,VLOOKUP($A83,'0.Productos'!$A$3:$GG$587,'0.Productos'!CQ$1+1,0),"")</f>
        <v/>
      </c>
      <c r="AZ83" s="133" t="str">
        <f>IF($A83&lt;&gt;0,VLOOKUP($A83,'0.Productos'!$A$3:$GG$587,'0.Productos'!CR$1+1,0),"")</f>
        <v/>
      </c>
      <c r="BA83" s="133" t="str">
        <f>IF($A83&lt;&gt;0,VLOOKUP($A83,'0.Productos'!$A$3:$GG$587,'0.Productos'!CS$1+1,0),"")</f>
        <v/>
      </c>
      <c r="BB83" s="133" t="str">
        <f>IF($A83&lt;&gt;0,VLOOKUP($A83,'0.Productos'!$A$3:$GG$587,'0.Productos'!CT$1+1,0),"")</f>
        <v/>
      </c>
      <c r="BC83" s="133" t="str">
        <f>IF($A83&lt;&gt;0,VLOOKUP($A83,'0.Productos'!$A$3:$GG$587,'0.Productos'!CU$1+1,0),"")</f>
        <v/>
      </c>
      <c r="BD83" s="133" t="str">
        <f>IF($A83&lt;&gt;0,VLOOKUP($A83,'0.Productos'!$A$3:$GG$587,'0.Productos'!CV$1+1,0),"")</f>
        <v/>
      </c>
      <c r="BE83" s="133" t="str">
        <f>IF($A83&lt;&gt;0,VLOOKUP($A83,'0.Productos'!$A$3:$GG$587,'0.Productos'!CW$1+1,0),"")</f>
        <v/>
      </c>
      <c r="BF83" s="133" t="str">
        <f>IF($A83&lt;&gt;0,VLOOKUP($A83,'0.Productos'!$A$3:$GG$587,'0.Productos'!CX$1+1,0),"")</f>
        <v/>
      </c>
      <c r="BG83" s="133" t="str">
        <f>IF($A83&lt;&gt;0,VLOOKUP($A83,'0.Productos'!$A$3:$GG$587,'0.Productos'!CY$1+1,0),"")</f>
        <v/>
      </c>
      <c r="BH83" s="133" t="str">
        <f>IF($A83&lt;&gt;0,VLOOKUP($A83,'0.Productos'!$A$3:$GG$587,'0.Productos'!CZ$1+1,0),"")</f>
        <v/>
      </c>
      <c r="BI83" s="133" t="str">
        <f>IF($A83&lt;&gt;0,VLOOKUP($A83,'0.Productos'!$A$3:$GG$587,'0.Productos'!DA$1+1,0),"")</f>
        <v/>
      </c>
      <c r="BJ83" s="133" t="str">
        <f>IF($A83&lt;&gt;0,VLOOKUP($A83,'0.Productos'!$A$3:$GG$587,'0.Productos'!DB$1+1,0),"")</f>
        <v/>
      </c>
      <c r="BK83" s="133" t="str">
        <f>IF($A83&lt;&gt;0,VLOOKUP($A83,'0.Productos'!$A$3:$GG$587,'0.Productos'!DC$1+1,0),"")</f>
        <v/>
      </c>
      <c r="BL83" s="133" t="str">
        <f>IF($A83&lt;&gt;0,VLOOKUP($A83,'0.Productos'!$A$3:$GG$587,'0.Productos'!DD$1+1,0),"")</f>
        <v/>
      </c>
      <c r="BM83" s="133" t="str">
        <f>IF($A83&lt;&gt;0,VLOOKUP($A83,'0.Productos'!$A$3:$GG$587,'0.Productos'!DE$1+1,0),"")</f>
        <v/>
      </c>
      <c r="BN83" s="133" t="str">
        <f>IF($A83&lt;&gt;0,VLOOKUP($A83,'0.Productos'!$A$3:$GG$587,'0.Productos'!DF$1+1,0),"")</f>
        <v/>
      </c>
      <c r="BO83" s="133" t="str">
        <f>IF($A83&lt;&gt;0,VLOOKUP($A83,'0.Productos'!$A$3:$GG$587,'0.Productos'!DG$1+1,0),"")</f>
        <v/>
      </c>
      <c r="BP83" s="133" t="str">
        <f>IF($A83&lt;&gt;0,VLOOKUP($A83,'0.Productos'!$A$3:$GG$587,'0.Productos'!DH$1+1,0),"")</f>
        <v/>
      </c>
      <c r="BQ83" s="133" t="str">
        <f>IF($A83&lt;&gt;0,VLOOKUP($A83,'0.Productos'!$A$3:$GG$587,'0.Productos'!DI$1+1,0),"")</f>
        <v/>
      </c>
      <c r="BR83" s="133" t="str">
        <f>IF($A83&lt;&gt;0,VLOOKUP($A83,'0.Productos'!$A$3:$GG$587,'0.Productos'!DJ$1+1,0),"")</f>
        <v/>
      </c>
      <c r="BS83" s="133" t="str">
        <f>IF($A83&lt;&gt;0,VLOOKUP($A83,'0.Productos'!$A$3:$GG$587,'0.Productos'!DK$1+1,0),"")</f>
        <v/>
      </c>
      <c r="BT83" s="133" t="str">
        <f>IF($A83&lt;&gt;0,VLOOKUP($A83,'0.Productos'!$A$3:$GG$587,'0.Productos'!DL$1+1,0),"")</f>
        <v/>
      </c>
    </row>
    <row r="84" spans="1:72" x14ac:dyDescent="0.25">
      <c r="A84" s="17">
        <f>'0.Consolidado general'!A84</f>
        <v>0</v>
      </c>
      <c r="B84" s="133" t="str">
        <f>IF($A84&lt;&gt;0,VLOOKUP($A84,'0.Productos'!$A$3:$GG$587,'0.Productos'!AT$1+1,0),"")</f>
        <v/>
      </c>
      <c r="C84" s="133" t="str">
        <f>IF($A84&lt;&gt;0,VLOOKUP($A84,'0.Productos'!$A$3:$GG$587,'0.Productos'!AU$1+1,0),"")</f>
        <v/>
      </c>
      <c r="D84" s="133" t="str">
        <f>IF($A84&lt;&gt;0,VLOOKUP($A84,'0.Productos'!$A$3:$GG$587,'0.Productos'!AV$1+1,0),"")</f>
        <v/>
      </c>
      <c r="E84" s="133" t="str">
        <f>IF($A84&lt;&gt;0,VLOOKUP($A84,'0.Productos'!$A$3:$GG$587,'0.Productos'!AW$1+1,0),"")</f>
        <v/>
      </c>
      <c r="F84" s="133" t="str">
        <f>IF($A84&lt;&gt;0,VLOOKUP($A84,'0.Productos'!$A$3:$GG$587,'0.Productos'!AX$1+1,0),"")</f>
        <v/>
      </c>
      <c r="G84" s="133" t="str">
        <f>IF($A84&lt;&gt;0,VLOOKUP($A84,'0.Productos'!$A$3:$GG$587,'0.Productos'!AY$1+1,0),"")</f>
        <v/>
      </c>
      <c r="H84" s="133" t="str">
        <f>IF($A84&lt;&gt;0,VLOOKUP($A84,'0.Productos'!$A$3:$GG$587,'0.Productos'!AZ$1+1,0),"")</f>
        <v/>
      </c>
      <c r="I84" s="133" t="str">
        <f>IF($A84&lt;&gt;0,VLOOKUP($A84,'0.Productos'!$A$3:$GG$587,'0.Productos'!BA$1+1,0),"")</f>
        <v/>
      </c>
      <c r="J84" s="133" t="str">
        <f>IF($A84&lt;&gt;0,VLOOKUP($A84,'0.Productos'!$A$3:$GG$587,'0.Productos'!BB$1+1,0),"")</f>
        <v/>
      </c>
      <c r="K84" s="133" t="str">
        <f>IF($A84&lt;&gt;0,VLOOKUP($A84,'0.Productos'!$A$3:$GG$587,'0.Productos'!BC$1+1,0),"")</f>
        <v/>
      </c>
      <c r="L84" s="133" t="str">
        <f>IF($A84&lt;&gt;0,VLOOKUP($A84,'0.Productos'!$A$3:$GG$587,'0.Productos'!BD$1+1,0),"")</f>
        <v/>
      </c>
      <c r="M84" s="133" t="str">
        <f>IF($A84&lt;&gt;0,VLOOKUP($A84,'0.Productos'!$A$3:$GG$587,'0.Productos'!BE$1+1,0),"")</f>
        <v/>
      </c>
      <c r="N84" s="133" t="str">
        <f>IF($A84&lt;&gt;0,VLOOKUP($A84,'0.Productos'!$A$3:$GG$587,'0.Productos'!BF$1+1,0),"")</f>
        <v/>
      </c>
      <c r="O84" s="133" t="str">
        <f>IF($A84&lt;&gt;0,VLOOKUP($A84,'0.Productos'!$A$3:$GG$587,'0.Productos'!BG$1+1,0),"")</f>
        <v/>
      </c>
      <c r="P84" s="133" t="str">
        <f>IF($A84&lt;&gt;0,VLOOKUP($A84,'0.Productos'!$A$3:$GG$587,'0.Productos'!BH$1+1,0),"")</f>
        <v/>
      </c>
      <c r="Q84" s="133" t="str">
        <f>IF($A84&lt;&gt;0,VLOOKUP($A84,'0.Productos'!$A$3:$GG$587,'0.Productos'!BI$1+1,0),"")</f>
        <v/>
      </c>
      <c r="R84" s="133" t="str">
        <f>IF($A84&lt;&gt;0,VLOOKUP($A84,'0.Productos'!$A$3:$GG$587,'0.Productos'!BJ$1+1,0),"")</f>
        <v/>
      </c>
      <c r="S84" s="133" t="str">
        <f>IF($A84&lt;&gt;0,VLOOKUP($A84,'0.Productos'!$A$3:$GG$587,'0.Productos'!BK$1+1,0),"")</f>
        <v/>
      </c>
      <c r="T84" s="133" t="str">
        <f>IF($A84&lt;&gt;0,VLOOKUP($A84,'0.Productos'!$A$3:$GG$587,'0.Productos'!BL$1+1,0),"")</f>
        <v/>
      </c>
      <c r="U84" s="133" t="str">
        <f>IF($A84&lt;&gt;0,VLOOKUP($A84,'0.Productos'!$A$3:$GG$587,'0.Productos'!BM$1+1,0),"")</f>
        <v/>
      </c>
      <c r="V84" s="133" t="str">
        <f>IF($A84&lt;&gt;0,VLOOKUP($A84,'0.Productos'!$A$3:$GG$587,'0.Productos'!BN$1+1,0),"")</f>
        <v/>
      </c>
      <c r="W84" s="133" t="str">
        <f>IF($A84&lt;&gt;0,VLOOKUP($A84,'0.Productos'!$A$3:$GG$587,'0.Productos'!BO$1+1,0),"")</f>
        <v/>
      </c>
      <c r="X84" s="133" t="str">
        <f>IF($A84&lt;&gt;0,VLOOKUP($A84,'0.Productos'!$A$3:$GG$587,'0.Productos'!BP$1+1,0),"")</f>
        <v/>
      </c>
      <c r="Y84" s="133" t="str">
        <f>IF($A84&lt;&gt;0,VLOOKUP($A84,'0.Productos'!$A$3:$GG$587,'0.Productos'!BQ$1+1,0),"")</f>
        <v/>
      </c>
      <c r="Z84" s="133" t="str">
        <f>IF($A84&lt;&gt;0,VLOOKUP($A84,'0.Productos'!$A$3:$GG$587,'0.Productos'!BR$1+1,0),"")</f>
        <v/>
      </c>
      <c r="AA84" s="133" t="str">
        <f>IF($A84&lt;&gt;0,VLOOKUP($A84,'0.Productos'!$A$3:$GG$587,'0.Productos'!BS$1+1,0),"")</f>
        <v/>
      </c>
      <c r="AB84" s="133" t="str">
        <f>IF($A84&lt;&gt;0,VLOOKUP($A84,'0.Productos'!$A$3:$GG$587,'0.Productos'!BT$1+1,0),"")</f>
        <v/>
      </c>
      <c r="AC84" s="133" t="str">
        <f>IF($A84&lt;&gt;0,VLOOKUP($A84,'0.Productos'!$A$3:$GG$587,'0.Productos'!BU$1+1,0),"")</f>
        <v/>
      </c>
      <c r="AD84" s="133" t="str">
        <f>IF($A84&lt;&gt;0,VLOOKUP($A84,'0.Productos'!$A$3:$GG$587,'0.Productos'!BV$1+1,0),"")</f>
        <v/>
      </c>
      <c r="AE84" s="133" t="str">
        <f>IF($A84&lt;&gt;0,VLOOKUP($A84,'0.Productos'!$A$3:$GG$587,'0.Productos'!BW$1+1,0),"")</f>
        <v/>
      </c>
      <c r="AF84" s="133" t="str">
        <f>IF($A84&lt;&gt;0,VLOOKUP($A84,'0.Productos'!$A$3:$GG$587,'0.Productos'!BX$1+1,0),"")</f>
        <v/>
      </c>
      <c r="AG84" s="133" t="str">
        <f>IF($A84&lt;&gt;0,VLOOKUP($A84,'0.Productos'!$A$3:$GG$587,'0.Productos'!BY$1+1,0),"")</f>
        <v/>
      </c>
      <c r="AH84" s="133" t="str">
        <f>IF($A84&lt;&gt;0,VLOOKUP($A84,'0.Productos'!$A$3:$GG$587,'0.Productos'!BZ$1+1,0),"")</f>
        <v/>
      </c>
      <c r="AI84" s="133" t="str">
        <f>IF($A84&lt;&gt;0,VLOOKUP($A84,'0.Productos'!$A$3:$GG$587,'0.Productos'!CA$1+1,0),"")</f>
        <v/>
      </c>
      <c r="AJ84" s="133" t="str">
        <f>IF($A84&lt;&gt;0,VLOOKUP($A84,'0.Productos'!$A$3:$GG$587,'0.Productos'!CB$1+1,0),"")</f>
        <v/>
      </c>
      <c r="AK84" s="133" t="str">
        <f>IF($A84&lt;&gt;0,VLOOKUP($A84,'0.Productos'!$A$3:$GG$587,'0.Productos'!CC$1+1,0),"")</f>
        <v/>
      </c>
      <c r="AL84" s="133" t="str">
        <f>IF($A84&lt;&gt;0,VLOOKUP($A84,'0.Productos'!$A$3:$GG$587,'0.Productos'!CD$1+1,0),"")</f>
        <v/>
      </c>
      <c r="AM84" s="133" t="str">
        <f>IF($A84&lt;&gt;0,VLOOKUP($A84,'0.Productos'!$A$3:$GG$587,'0.Productos'!CE$1+1,0),"")</f>
        <v/>
      </c>
      <c r="AN84" s="133" t="str">
        <f>IF($A84&lt;&gt;0,VLOOKUP($A84,'0.Productos'!$A$3:$GG$587,'0.Productos'!CF$1+1,0),"")</f>
        <v/>
      </c>
      <c r="AO84" s="133" t="str">
        <f>IF($A84&lt;&gt;0,VLOOKUP($A84,'0.Productos'!$A$3:$GG$587,'0.Productos'!CG$1+1,0),"")</f>
        <v/>
      </c>
      <c r="AP84" s="133" t="str">
        <f>IF($A84&lt;&gt;0,VLOOKUP($A84,'0.Productos'!$A$3:$GG$587,'0.Productos'!CH$1+1,0),"")</f>
        <v/>
      </c>
      <c r="AQ84" s="133" t="str">
        <f>IF($A84&lt;&gt;0,VLOOKUP($A84,'0.Productos'!$A$3:$GG$587,'0.Productos'!CI$1+1,0),"")</f>
        <v/>
      </c>
      <c r="AR84" s="133" t="str">
        <f>IF($A84&lt;&gt;0,VLOOKUP($A84,'0.Productos'!$A$3:$GG$587,'0.Productos'!CJ$1+1,0),"")</f>
        <v/>
      </c>
      <c r="AS84" s="133" t="str">
        <f>IF($A84&lt;&gt;0,VLOOKUP($A84,'0.Productos'!$A$3:$GG$587,'0.Productos'!CK$1+1,0),"")</f>
        <v/>
      </c>
      <c r="AT84" s="133" t="str">
        <f>IF($A84&lt;&gt;0,VLOOKUP($A84,'0.Productos'!$A$3:$GG$587,'0.Productos'!CL$1+1,0),"")</f>
        <v/>
      </c>
      <c r="AU84" s="133" t="str">
        <f>IF($A84&lt;&gt;0,VLOOKUP($A84,'0.Productos'!$A$3:$GG$587,'0.Productos'!CM$1+1,0),"")</f>
        <v/>
      </c>
      <c r="AV84" s="133" t="str">
        <f>IF($A84&lt;&gt;0,VLOOKUP($A84,'0.Productos'!$A$3:$GG$587,'0.Productos'!CN$1+1,0),"")</f>
        <v/>
      </c>
      <c r="AW84" s="133" t="str">
        <f>IF($A84&lt;&gt;0,VLOOKUP($A84,'0.Productos'!$A$3:$GG$587,'0.Productos'!CO$1+1,0),"")</f>
        <v/>
      </c>
      <c r="AX84" s="133" t="str">
        <f>IF($A84&lt;&gt;0,VLOOKUP($A84,'0.Productos'!$A$3:$GG$587,'0.Productos'!CP$1+1,0),"")</f>
        <v/>
      </c>
      <c r="AY84" s="133" t="str">
        <f>IF($A84&lt;&gt;0,VLOOKUP($A84,'0.Productos'!$A$3:$GG$587,'0.Productos'!CQ$1+1,0),"")</f>
        <v/>
      </c>
      <c r="AZ84" s="133" t="str">
        <f>IF($A84&lt;&gt;0,VLOOKUP($A84,'0.Productos'!$A$3:$GG$587,'0.Productos'!CR$1+1,0),"")</f>
        <v/>
      </c>
      <c r="BA84" s="133" t="str">
        <f>IF($A84&lt;&gt;0,VLOOKUP($A84,'0.Productos'!$A$3:$GG$587,'0.Productos'!CS$1+1,0),"")</f>
        <v/>
      </c>
      <c r="BB84" s="133" t="str">
        <f>IF($A84&lt;&gt;0,VLOOKUP($A84,'0.Productos'!$A$3:$GG$587,'0.Productos'!CT$1+1,0),"")</f>
        <v/>
      </c>
      <c r="BC84" s="133" t="str">
        <f>IF($A84&lt;&gt;0,VLOOKUP($A84,'0.Productos'!$A$3:$GG$587,'0.Productos'!CU$1+1,0),"")</f>
        <v/>
      </c>
      <c r="BD84" s="133" t="str">
        <f>IF($A84&lt;&gt;0,VLOOKUP($A84,'0.Productos'!$A$3:$GG$587,'0.Productos'!CV$1+1,0),"")</f>
        <v/>
      </c>
      <c r="BE84" s="133" t="str">
        <f>IF($A84&lt;&gt;0,VLOOKUP($A84,'0.Productos'!$A$3:$GG$587,'0.Productos'!CW$1+1,0),"")</f>
        <v/>
      </c>
      <c r="BF84" s="133" t="str">
        <f>IF($A84&lt;&gt;0,VLOOKUP($A84,'0.Productos'!$A$3:$GG$587,'0.Productos'!CX$1+1,0),"")</f>
        <v/>
      </c>
      <c r="BG84" s="133" t="str">
        <f>IF($A84&lt;&gt;0,VLOOKUP($A84,'0.Productos'!$A$3:$GG$587,'0.Productos'!CY$1+1,0),"")</f>
        <v/>
      </c>
      <c r="BH84" s="133" t="str">
        <f>IF($A84&lt;&gt;0,VLOOKUP($A84,'0.Productos'!$A$3:$GG$587,'0.Productos'!CZ$1+1,0),"")</f>
        <v/>
      </c>
      <c r="BI84" s="133" t="str">
        <f>IF($A84&lt;&gt;0,VLOOKUP($A84,'0.Productos'!$A$3:$GG$587,'0.Productos'!DA$1+1,0),"")</f>
        <v/>
      </c>
      <c r="BJ84" s="133" t="str">
        <f>IF($A84&lt;&gt;0,VLOOKUP($A84,'0.Productos'!$A$3:$GG$587,'0.Productos'!DB$1+1,0),"")</f>
        <v/>
      </c>
      <c r="BK84" s="133" t="str">
        <f>IF($A84&lt;&gt;0,VLOOKUP($A84,'0.Productos'!$A$3:$GG$587,'0.Productos'!DC$1+1,0),"")</f>
        <v/>
      </c>
      <c r="BL84" s="133" t="str">
        <f>IF($A84&lt;&gt;0,VLOOKUP($A84,'0.Productos'!$A$3:$GG$587,'0.Productos'!DD$1+1,0),"")</f>
        <v/>
      </c>
      <c r="BM84" s="133" t="str">
        <f>IF($A84&lt;&gt;0,VLOOKUP($A84,'0.Productos'!$A$3:$GG$587,'0.Productos'!DE$1+1,0),"")</f>
        <v/>
      </c>
      <c r="BN84" s="133" t="str">
        <f>IF($A84&lt;&gt;0,VLOOKUP($A84,'0.Productos'!$A$3:$GG$587,'0.Productos'!DF$1+1,0),"")</f>
        <v/>
      </c>
      <c r="BO84" s="133" t="str">
        <f>IF($A84&lt;&gt;0,VLOOKUP($A84,'0.Productos'!$A$3:$GG$587,'0.Productos'!DG$1+1,0),"")</f>
        <v/>
      </c>
      <c r="BP84" s="133" t="str">
        <f>IF($A84&lt;&gt;0,VLOOKUP($A84,'0.Productos'!$A$3:$GG$587,'0.Productos'!DH$1+1,0),"")</f>
        <v/>
      </c>
      <c r="BQ84" s="133" t="str">
        <f>IF($A84&lt;&gt;0,VLOOKUP($A84,'0.Productos'!$A$3:$GG$587,'0.Productos'!DI$1+1,0),"")</f>
        <v/>
      </c>
      <c r="BR84" s="133" t="str">
        <f>IF($A84&lt;&gt;0,VLOOKUP($A84,'0.Productos'!$A$3:$GG$587,'0.Productos'!DJ$1+1,0),"")</f>
        <v/>
      </c>
      <c r="BS84" s="133" t="str">
        <f>IF($A84&lt;&gt;0,VLOOKUP($A84,'0.Productos'!$A$3:$GG$587,'0.Productos'!DK$1+1,0),"")</f>
        <v/>
      </c>
      <c r="BT84" s="133" t="str">
        <f>IF($A84&lt;&gt;0,VLOOKUP($A84,'0.Productos'!$A$3:$GG$587,'0.Productos'!DL$1+1,0),"")</f>
        <v/>
      </c>
    </row>
    <row r="85" spans="1:72" x14ac:dyDescent="0.25">
      <c r="A85" s="17">
        <f>'0.Consolidado general'!A85</f>
        <v>0</v>
      </c>
      <c r="B85" s="133" t="str">
        <f>IF($A85&lt;&gt;0,VLOOKUP($A85,'0.Productos'!$A$3:$GG$587,'0.Productos'!AT$1+1,0),"")</f>
        <v/>
      </c>
      <c r="C85" s="133" t="str">
        <f>IF($A85&lt;&gt;0,VLOOKUP($A85,'0.Productos'!$A$3:$GG$587,'0.Productos'!AU$1+1,0),"")</f>
        <v/>
      </c>
      <c r="D85" s="133" t="str">
        <f>IF($A85&lt;&gt;0,VLOOKUP($A85,'0.Productos'!$A$3:$GG$587,'0.Productos'!AV$1+1,0),"")</f>
        <v/>
      </c>
      <c r="E85" s="133" t="str">
        <f>IF($A85&lt;&gt;0,VLOOKUP($A85,'0.Productos'!$A$3:$GG$587,'0.Productos'!AW$1+1,0),"")</f>
        <v/>
      </c>
      <c r="F85" s="133" t="str">
        <f>IF($A85&lt;&gt;0,VLOOKUP($A85,'0.Productos'!$A$3:$GG$587,'0.Productos'!AX$1+1,0),"")</f>
        <v/>
      </c>
      <c r="G85" s="133" t="str">
        <f>IF($A85&lt;&gt;0,VLOOKUP($A85,'0.Productos'!$A$3:$GG$587,'0.Productos'!AY$1+1,0),"")</f>
        <v/>
      </c>
      <c r="H85" s="133" t="str">
        <f>IF($A85&lt;&gt;0,VLOOKUP($A85,'0.Productos'!$A$3:$GG$587,'0.Productos'!AZ$1+1,0),"")</f>
        <v/>
      </c>
      <c r="I85" s="133" t="str">
        <f>IF($A85&lt;&gt;0,VLOOKUP($A85,'0.Productos'!$A$3:$GG$587,'0.Productos'!BA$1+1,0),"")</f>
        <v/>
      </c>
      <c r="J85" s="133" t="str">
        <f>IF($A85&lt;&gt;0,VLOOKUP($A85,'0.Productos'!$A$3:$GG$587,'0.Productos'!BB$1+1,0),"")</f>
        <v/>
      </c>
      <c r="K85" s="133" t="str">
        <f>IF($A85&lt;&gt;0,VLOOKUP($A85,'0.Productos'!$A$3:$GG$587,'0.Productos'!BC$1+1,0),"")</f>
        <v/>
      </c>
      <c r="L85" s="133" t="str">
        <f>IF($A85&lt;&gt;0,VLOOKUP($A85,'0.Productos'!$A$3:$GG$587,'0.Productos'!BD$1+1,0),"")</f>
        <v/>
      </c>
      <c r="M85" s="133" t="str">
        <f>IF($A85&lt;&gt;0,VLOOKUP($A85,'0.Productos'!$A$3:$GG$587,'0.Productos'!BE$1+1,0),"")</f>
        <v/>
      </c>
      <c r="N85" s="133" t="str">
        <f>IF($A85&lt;&gt;0,VLOOKUP($A85,'0.Productos'!$A$3:$GG$587,'0.Productos'!BF$1+1,0),"")</f>
        <v/>
      </c>
      <c r="O85" s="133" t="str">
        <f>IF($A85&lt;&gt;0,VLOOKUP($A85,'0.Productos'!$A$3:$GG$587,'0.Productos'!BG$1+1,0),"")</f>
        <v/>
      </c>
      <c r="P85" s="133" t="str">
        <f>IF($A85&lt;&gt;0,VLOOKUP($A85,'0.Productos'!$A$3:$GG$587,'0.Productos'!BH$1+1,0),"")</f>
        <v/>
      </c>
      <c r="Q85" s="133" t="str">
        <f>IF($A85&lt;&gt;0,VLOOKUP($A85,'0.Productos'!$A$3:$GG$587,'0.Productos'!BI$1+1,0),"")</f>
        <v/>
      </c>
      <c r="R85" s="133" t="str">
        <f>IF($A85&lt;&gt;0,VLOOKUP($A85,'0.Productos'!$A$3:$GG$587,'0.Productos'!BJ$1+1,0),"")</f>
        <v/>
      </c>
      <c r="S85" s="133" t="str">
        <f>IF($A85&lt;&gt;0,VLOOKUP($A85,'0.Productos'!$A$3:$GG$587,'0.Productos'!BK$1+1,0),"")</f>
        <v/>
      </c>
      <c r="T85" s="133" t="str">
        <f>IF($A85&lt;&gt;0,VLOOKUP($A85,'0.Productos'!$A$3:$GG$587,'0.Productos'!BL$1+1,0),"")</f>
        <v/>
      </c>
      <c r="U85" s="133" t="str">
        <f>IF($A85&lt;&gt;0,VLOOKUP($A85,'0.Productos'!$A$3:$GG$587,'0.Productos'!BM$1+1,0),"")</f>
        <v/>
      </c>
      <c r="V85" s="133" t="str">
        <f>IF($A85&lt;&gt;0,VLOOKUP($A85,'0.Productos'!$A$3:$GG$587,'0.Productos'!BN$1+1,0),"")</f>
        <v/>
      </c>
      <c r="W85" s="133" t="str">
        <f>IF($A85&lt;&gt;0,VLOOKUP($A85,'0.Productos'!$A$3:$GG$587,'0.Productos'!BO$1+1,0),"")</f>
        <v/>
      </c>
      <c r="X85" s="133" t="str">
        <f>IF($A85&lt;&gt;0,VLOOKUP($A85,'0.Productos'!$A$3:$GG$587,'0.Productos'!BP$1+1,0),"")</f>
        <v/>
      </c>
      <c r="Y85" s="133" t="str">
        <f>IF($A85&lt;&gt;0,VLOOKUP($A85,'0.Productos'!$A$3:$GG$587,'0.Productos'!BQ$1+1,0),"")</f>
        <v/>
      </c>
      <c r="Z85" s="133" t="str">
        <f>IF($A85&lt;&gt;0,VLOOKUP($A85,'0.Productos'!$A$3:$GG$587,'0.Productos'!BR$1+1,0),"")</f>
        <v/>
      </c>
      <c r="AA85" s="133" t="str">
        <f>IF($A85&lt;&gt;0,VLOOKUP($A85,'0.Productos'!$A$3:$GG$587,'0.Productos'!BS$1+1,0),"")</f>
        <v/>
      </c>
      <c r="AB85" s="133" t="str">
        <f>IF($A85&lt;&gt;0,VLOOKUP($A85,'0.Productos'!$A$3:$GG$587,'0.Productos'!BT$1+1,0),"")</f>
        <v/>
      </c>
      <c r="AC85" s="133" t="str">
        <f>IF($A85&lt;&gt;0,VLOOKUP($A85,'0.Productos'!$A$3:$GG$587,'0.Productos'!BU$1+1,0),"")</f>
        <v/>
      </c>
      <c r="AD85" s="133" t="str">
        <f>IF($A85&lt;&gt;0,VLOOKUP($A85,'0.Productos'!$A$3:$GG$587,'0.Productos'!BV$1+1,0),"")</f>
        <v/>
      </c>
      <c r="AE85" s="133" t="str">
        <f>IF($A85&lt;&gt;0,VLOOKUP($A85,'0.Productos'!$A$3:$GG$587,'0.Productos'!BW$1+1,0),"")</f>
        <v/>
      </c>
      <c r="AF85" s="133" t="str">
        <f>IF($A85&lt;&gt;0,VLOOKUP($A85,'0.Productos'!$A$3:$GG$587,'0.Productos'!BX$1+1,0),"")</f>
        <v/>
      </c>
      <c r="AG85" s="133" t="str">
        <f>IF($A85&lt;&gt;0,VLOOKUP($A85,'0.Productos'!$A$3:$GG$587,'0.Productos'!BY$1+1,0),"")</f>
        <v/>
      </c>
      <c r="AH85" s="133" t="str">
        <f>IF($A85&lt;&gt;0,VLOOKUP($A85,'0.Productos'!$A$3:$GG$587,'0.Productos'!BZ$1+1,0),"")</f>
        <v/>
      </c>
      <c r="AI85" s="133" t="str">
        <f>IF($A85&lt;&gt;0,VLOOKUP($A85,'0.Productos'!$A$3:$GG$587,'0.Productos'!CA$1+1,0),"")</f>
        <v/>
      </c>
      <c r="AJ85" s="133" t="str">
        <f>IF($A85&lt;&gt;0,VLOOKUP($A85,'0.Productos'!$A$3:$GG$587,'0.Productos'!CB$1+1,0),"")</f>
        <v/>
      </c>
      <c r="AK85" s="133" t="str">
        <f>IF($A85&lt;&gt;0,VLOOKUP($A85,'0.Productos'!$A$3:$GG$587,'0.Productos'!CC$1+1,0),"")</f>
        <v/>
      </c>
      <c r="AL85" s="133" t="str">
        <f>IF($A85&lt;&gt;0,VLOOKUP($A85,'0.Productos'!$A$3:$GG$587,'0.Productos'!CD$1+1,0),"")</f>
        <v/>
      </c>
      <c r="AM85" s="133" t="str">
        <f>IF($A85&lt;&gt;0,VLOOKUP($A85,'0.Productos'!$A$3:$GG$587,'0.Productos'!CE$1+1,0),"")</f>
        <v/>
      </c>
      <c r="AN85" s="133" t="str">
        <f>IF($A85&lt;&gt;0,VLOOKUP($A85,'0.Productos'!$A$3:$GG$587,'0.Productos'!CF$1+1,0),"")</f>
        <v/>
      </c>
      <c r="AO85" s="133" t="str">
        <f>IF($A85&lt;&gt;0,VLOOKUP($A85,'0.Productos'!$A$3:$GG$587,'0.Productos'!CG$1+1,0),"")</f>
        <v/>
      </c>
      <c r="AP85" s="133" t="str">
        <f>IF($A85&lt;&gt;0,VLOOKUP($A85,'0.Productos'!$A$3:$GG$587,'0.Productos'!CH$1+1,0),"")</f>
        <v/>
      </c>
      <c r="AQ85" s="133" t="str">
        <f>IF($A85&lt;&gt;0,VLOOKUP($A85,'0.Productos'!$A$3:$GG$587,'0.Productos'!CI$1+1,0),"")</f>
        <v/>
      </c>
      <c r="AR85" s="133" t="str">
        <f>IF($A85&lt;&gt;0,VLOOKUP($A85,'0.Productos'!$A$3:$GG$587,'0.Productos'!CJ$1+1,0),"")</f>
        <v/>
      </c>
      <c r="AS85" s="133" t="str">
        <f>IF($A85&lt;&gt;0,VLOOKUP($A85,'0.Productos'!$A$3:$GG$587,'0.Productos'!CK$1+1,0),"")</f>
        <v/>
      </c>
      <c r="AT85" s="133" t="str">
        <f>IF($A85&lt;&gt;0,VLOOKUP($A85,'0.Productos'!$A$3:$GG$587,'0.Productos'!CL$1+1,0),"")</f>
        <v/>
      </c>
      <c r="AU85" s="133" t="str">
        <f>IF($A85&lt;&gt;0,VLOOKUP($A85,'0.Productos'!$A$3:$GG$587,'0.Productos'!CM$1+1,0),"")</f>
        <v/>
      </c>
      <c r="AV85" s="133" t="str">
        <f>IF($A85&lt;&gt;0,VLOOKUP($A85,'0.Productos'!$A$3:$GG$587,'0.Productos'!CN$1+1,0),"")</f>
        <v/>
      </c>
      <c r="AW85" s="133" t="str">
        <f>IF($A85&lt;&gt;0,VLOOKUP($A85,'0.Productos'!$A$3:$GG$587,'0.Productos'!CO$1+1,0),"")</f>
        <v/>
      </c>
      <c r="AX85" s="133" t="str">
        <f>IF($A85&lt;&gt;0,VLOOKUP($A85,'0.Productos'!$A$3:$GG$587,'0.Productos'!CP$1+1,0),"")</f>
        <v/>
      </c>
      <c r="AY85" s="133" t="str">
        <f>IF($A85&lt;&gt;0,VLOOKUP($A85,'0.Productos'!$A$3:$GG$587,'0.Productos'!CQ$1+1,0),"")</f>
        <v/>
      </c>
      <c r="AZ85" s="133" t="str">
        <f>IF($A85&lt;&gt;0,VLOOKUP($A85,'0.Productos'!$A$3:$GG$587,'0.Productos'!CR$1+1,0),"")</f>
        <v/>
      </c>
      <c r="BA85" s="133" t="str">
        <f>IF($A85&lt;&gt;0,VLOOKUP($A85,'0.Productos'!$A$3:$GG$587,'0.Productos'!CS$1+1,0),"")</f>
        <v/>
      </c>
      <c r="BB85" s="133" t="str">
        <f>IF($A85&lt;&gt;0,VLOOKUP($A85,'0.Productos'!$A$3:$GG$587,'0.Productos'!CT$1+1,0),"")</f>
        <v/>
      </c>
      <c r="BC85" s="133" t="str">
        <f>IF($A85&lt;&gt;0,VLOOKUP($A85,'0.Productos'!$A$3:$GG$587,'0.Productos'!CU$1+1,0),"")</f>
        <v/>
      </c>
      <c r="BD85" s="133" t="str">
        <f>IF($A85&lt;&gt;0,VLOOKUP($A85,'0.Productos'!$A$3:$GG$587,'0.Productos'!CV$1+1,0),"")</f>
        <v/>
      </c>
      <c r="BE85" s="133" t="str">
        <f>IF($A85&lt;&gt;0,VLOOKUP($A85,'0.Productos'!$A$3:$GG$587,'0.Productos'!CW$1+1,0),"")</f>
        <v/>
      </c>
      <c r="BF85" s="133" t="str">
        <f>IF($A85&lt;&gt;0,VLOOKUP($A85,'0.Productos'!$A$3:$GG$587,'0.Productos'!CX$1+1,0),"")</f>
        <v/>
      </c>
      <c r="BG85" s="133" t="str">
        <f>IF($A85&lt;&gt;0,VLOOKUP($A85,'0.Productos'!$A$3:$GG$587,'0.Productos'!CY$1+1,0),"")</f>
        <v/>
      </c>
      <c r="BH85" s="133" t="str">
        <f>IF($A85&lt;&gt;0,VLOOKUP($A85,'0.Productos'!$A$3:$GG$587,'0.Productos'!CZ$1+1,0),"")</f>
        <v/>
      </c>
      <c r="BI85" s="133" t="str">
        <f>IF($A85&lt;&gt;0,VLOOKUP($A85,'0.Productos'!$A$3:$GG$587,'0.Productos'!DA$1+1,0),"")</f>
        <v/>
      </c>
      <c r="BJ85" s="133" t="str">
        <f>IF($A85&lt;&gt;0,VLOOKUP($A85,'0.Productos'!$A$3:$GG$587,'0.Productos'!DB$1+1,0),"")</f>
        <v/>
      </c>
      <c r="BK85" s="133" t="str">
        <f>IF($A85&lt;&gt;0,VLOOKUP($A85,'0.Productos'!$A$3:$GG$587,'0.Productos'!DC$1+1,0),"")</f>
        <v/>
      </c>
      <c r="BL85" s="133" t="str">
        <f>IF($A85&lt;&gt;0,VLOOKUP($A85,'0.Productos'!$A$3:$GG$587,'0.Productos'!DD$1+1,0),"")</f>
        <v/>
      </c>
      <c r="BM85" s="133" t="str">
        <f>IF($A85&lt;&gt;0,VLOOKUP($A85,'0.Productos'!$A$3:$GG$587,'0.Productos'!DE$1+1,0),"")</f>
        <v/>
      </c>
      <c r="BN85" s="133" t="str">
        <f>IF($A85&lt;&gt;0,VLOOKUP($A85,'0.Productos'!$A$3:$GG$587,'0.Productos'!DF$1+1,0),"")</f>
        <v/>
      </c>
      <c r="BO85" s="133" t="str">
        <f>IF($A85&lt;&gt;0,VLOOKUP($A85,'0.Productos'!$A$3:$GG$587,'0.Productos'!DG$1+1,0),"")</f>
        <v/>
      </c>
      <c r="BP85" s="133" t="str">
        <f>IF($A85&lt;&gt;0,VLOOKUP($A85,'0.Productos'!$A$3:$GG$587,'0.Productos'!DH$1+1,0),"")</f>
        <v/>
      </c>
      <c r="BQ85" s="133" t="str">
        <f>IF($A85&lt;&gt;0,VLOOKUP($A85,'0.Productos'!$A$3:$GG$587,'0.Productos'!DI$1+1,0),"")</f>
        <v/>
      </c>
      <c r="BR85" s="133" t="str">
        <f>IF($A85&lt;&gt;0,VLOOKUP($A85,'0.Productos'!$A$3:$GG$587,'0.Productos'!DJ$1+1,0),"")</f>
        <v/>
      </c>
      <c r="BS85" s="133" t="str">
        <f>IF($A85&lt;&gt;0,VLOOKUP($A85,'0.Productos'!$A$3:$GG$587,'0.Productos'!DK$1+1,0),"")</f>
        <v/>
      </c>
      <c r="BT85" s="133" t="str">
        <f>IF($A85&lt;&gt;0,VLOOKUP($A85,'0.Productos'!$A$3:$GG$587,'0.Productos'!DL$1+1,0),"")</f>
        <v/>
      </c>
    </row>
    <row r="86" spans="1:72" x14ac:dyDescent="0.25">
      <c r="A86" s="17">
        <f>'0.Consolidado general'!A86</f>
        <v>0</v>
      </c>
      <c r="B86" s="133" t="str">
        <f>IF($A86&lt;&gt;0,VLOOKUP($A86,'0.Productos'!$A$3:$GG$587,'0.Productos'!AT$1+1,0),"")</f>
        <v/>
      </c>
      <c r="C86" s="133" t="str">
        <f>IF($A86&lt;&gt;0,VLOOKUP($A86,'0.Productos'!$A$3:$GG$587,'0.Productos'!AU$1+1,0),"")</f>
        <v/>
      </c>
      <c r="D86" s="133" t="str">
        <f>IF($A86&lt;&gt;0,VLOOKUP($A86,'0.Productos'!$A$3:$GG$587,'0.Productos'!AV$1+1,0),"")</f>
        <v/>
      </c>
      <c r="E86" s="133" t="str">
        <f>IF($A86&lt;&gt;0,VLOOKUP($A86,'0.Productos'!$A$3:$GG$587,'0.Productos'!AW$1+1,0),"")</f>
        <v/>
      </c>
      <c r="F86" s="133" t="str">
        <f>IF($A86&lt;&gt;0,VLOOKUP($A86,'0.Productos'!$A$3:$GG$587,'0.Productos'!AX$1+1,0),"")</f>
        <v/>
      </c>
      <c r="G86" s="133" t="str">
        <f>IF($A86&lt;&gt;0,VLOOKUP($A86,'0.Productos'!$A$3:$GG$587,'0.Productos'!AY$1+1,0),"")</f>
        <v/>
      </c>
      <c r="H86" s="133" t="str">
        <f>IF($A86&lt;&gt;0,VLOOKUP($A86,'0.Productos'!$A$3:$GG$587,'0.Productos'!AZ$1+1,0),"")</f>
        <v/>
      </c>
      <c r="I86" s="133" t="str">
        <f>IF($A86&lt;&gt;0,VLOOKUP($A86,'0.Productos'!$A$3:$GG$587,'0.Productos'!BA$1+1,0),"")</f>
        <v/>
      </c>
      <c r="J86" s="133" t="str">
        <f>IF($A86&lt;&gt;0,VLOOKUP($A86,'0.Productos'!$A$3:$GG$587,'0.Productos'!BB$1+1,0),"")</f>
        <v/>
      </c>
      <c r="K86" s="133" t="str">
        <f>IF($A86&lt;&gt;0,VLOOKUP($A86,'0.Productos'!$A$3:$GG$587,'0.Productos'!BC$1+1,0),"")</f>
        <v/>
      </c>
      <c r="L86" s="133" t="str">
        <f>IF($A86&lt;&gt;0,VLOOKUP($A86,'0.Productos'!$A$3:$GG$587,'0.Productos'!BD$1+1,0),"")</f>
        <v/>
      </c>
      <c r="M86" s="133" t="str">
        <f>IF($A86&lt;&gt;0,VLOOKUP($A86,'0.Productos'!$A$3:$GG$587,'0.Productos'!BE$1+1,0),"")</f>
        <v/>
      </c>
      <c r="N86" s="133" t="str">
        <f>IF($A86&lt;&gt;0,VLOOKUP($A86,'0.Productos'!$A$3:$GG$587,'0.Productos'!BF$1+1,0),"")</f>
        <v/>
      </c>
      <c r="O86" s="133" t="str">
        <f>IF($A86&lt;&gt;0,VLOOKUP($A86,'0.Productos'!$A$3:$GG$587,'0.Productos'!BG$1+1,0),"")</f>
        <v/>
      </c>
      <c r="P86" s="133" t="str">
        <f>IF($A86&lt;&gt;0,VLOOKUP($A86,'0.Productos'!$A$3:$GG$587,'0.Productos'!BH$1+1,0),"")</f>
        <v/>
      </c>
      <c r="Q86" s="133" t="str">
        <f>IF($A86&lt;&gt;0,VLOOKUP($A86,'0.Productos'!$A$3:$GG$587,'0.Productos'!BI$1+1,0),"")</f>
        <v/>
      </c>
      <c r="R86" s="133" t="str">
        <f>IF($A86&lt;&gt;0,VLOOKUP($A86,'0.Productos'!$A$3:$GG$587,'0.Productos'!BJ$1+1,0),"")</f>
        <v/>
      </c>
      <c r="S86" s="133" t="str">
        <f>IF($A86&lt;&gt;0,VLOOKUP($A86,'0.Productos'!$A$3:$GG$587,'0.Productos'!BK$1+1,0),"")</f>
        <v/>
      </c>
      <c r="T86" s="133" t="str">
        <f>IF($A86&lt;&gt;0,VLOOKUP($A86,'0.Productos'!$A$3:$GG$587,'0.Productos'!BL$1+1,0),"")</f>
        <v/>
      </c>
      <c r="U86" s="133" t="str">
        <f>IF($A86&lt;&gt;0,VLOOKUP($A86,'0.Productos'!$A$3:$GG$587,'0.Productos'!BM$1+1,0),"")</f>
        <v/>
      </c>
      <c r="V86" s="133" t="str">
        <f>IF($A86&lt;&gt;0,VLOOKUP($A86,'0.Productos'!$A$3:$GG$587,'0.Productos'!BN$1+1,0),"")</f>
        <v/>
      </c>
      <c r="W86" s="133" t="str">
        <f>IF($A86&lt;&gt;0,VLOOKUP($A86,'0.Productos'!$A$3:$GG$587,'0.Productos'!BO$1+1,0),"")</f>
        <v/>
      </c>
      <c r="X86" s="133" t="str">
        <f>IF($A86&lt;&gt;0,VLOOKUP($A86,'0.Productos'!$A$3:$GG$587,'0.Productos'!BP$1+1,0),"")</f>
        <v/>
      </c>
      <c r="Y86" s="133" t="str">
        <f>IF($A86&lt;&gt;0,VLOOKUP($A86,'0.Productos'!$A$3:$GG$587,'0.Productos'!BQ$1+1,0),"")</f>
        <v/>
      </c>
      <c r="Z86" s="133" t="str">
        <f>IF($A86&lt;&gt;0,VLOOKUP($A86,'0.Productos'!$A$3:$GG$587,'0.Productos'!BR$1+1,0),"")</f>
        <v/>
      </c>
      <c r="AA86" s="133" t="str">
        <f>IF($A86&lt;&gt;0,VLOOKUP($A86,'0.Productos'!$A$3:$GG$587,'0.Productos'!BS$1+1,0),"")</f>
        <v/>
      </c>
      <c r="AB86" s="133" t="str">
        <f>IF($A86&lt;&gt;0,VLOOKUP($A86,'0.Productos'!$A$3:$GG$587,'0.Productos'!BT$1+1,0),"")</f>
        <v/>
      </c>
      <c r="AC86" s="133" t="str">
        <f>IF($A86&lt;&gt;0,VLOOKUP($A86,'0.Productos'!$A$3:$GG$587,'0.Productos'!BU$1+1,0),"")</f>
        <v/>
      </c>
      <c r="AD86" s="133" t="str">
        <f>IF($A86&lt;&gt;0,VLOOKUP($A86,'0.Productos'!$A$3:$GG$587,'0.Productos'!BV$1+1,0),"")</f>
        <v/>
      </c>
      <c r="AE86" s="133" t="str">
        <f>IF($A86&lt;&gt;0,VLOOKUP($A86,'0.Productos'!$A$3:$GG$587,'0.Productos'!BW$1+1,0),"")</f>
        <v/>
      </c>
      <c r="AF86" s="133" t="str">
        <f>IF($A86&lt;&gt;0,VLOOKUP($A86,'0.Productos'!$A$3:$GG$587,'0.Productos'!BX$1+1,0),"")</f>
        <v/>
      </c>
      <c r="AG86" s="133" t="str">
        <f>IF($A86&lt;&gt;0,VLOOKUP($A86,'0.Productos'!$A$3:$GG$587,'0.Productos'!BY$1+1,0),"")</f>
        <v/>
      </c>
      <c r="AH86" s="133" t="str">
        <f>IF($A86&lt;&gt;0,VLOOKUP($A86,'0.Productos'!$A$3:$GG$587,'0.Productos'!BZ$1+1,0),"")</f>
        <v/>
      </c>
      <c r="AI86" s="133" t="str">
        <f>IF($A86&lt;&gt;0,VLOOKUP($A86,'0.Productos'!$A$3:$GG$587,'0.Productos'!CA$1+1,0),"")</f>
        <v/>
      </c>
      <c r="AJ86" s="133" t="str">
        <f>IF($A86&lt;&gt;0,VLOOKUP($A86,'0.Productos'!$A$3:$GG$587,'0.Productos'!CB$1+1,0),"")</f>
        <v/>
      </c>
      <c r="AK86" s="133" t="str">
        <f>IF($A86&lt;&gt;0,VLOOKUP($A86,'0.Productos'!$A$3:$GG$587,'0.Productos'!CC$1+1,0),"")</f>
        <v/>
      </c>
      <c r="AL86" s="133" t="str">
        <f>IF($A86&lt;&gt;0,VLOOKUP($A86,'0.Productos'!$A$3:$GG$587,'0.Productos'!CD$1+1,0),"")</f>
        <v/>
      </c>
      <c r="AM86" s="133" t="str">
        <f>IF($A86&lt;&gt;0,VLOOKUP($A86,'0.Productos'!$A$3:$GG$587,'0.Productos'!CE$1+1,0),"")</f>
        <v/>
      </c>
      <c r="AN86" s="133" t="str">
        <f>IF($A86&lt;&gt;0,VLOOKUP($A86,'0.Productos'!$A$3:$GG$587,'0.Productos'!CF$1+1,0),"")</f>
        <v/>
      </c>
      <c r="AO86" s="133" t="str">
        <f>IF($A86&lt;&gt;0,VLOOKUP($A86,'0.Productos'!$A$3:$GG$587,'0.Productos'!CG$1+1,0),"")</f>
        <v/>
      </c>
      <c r="AP86" s="133" t="str">
        <f>IF($A86&lt;&gt;0,VLOOKUP($A86,'0.Productos'!$A$3:$GG$587,'0.Productos'!CH$1+1,0),"")</f>
        <v/>
      </c>
      <c r="AQ86" s="133" t="str">
        <f>IF($A86&lt;&gt;0,VLOOKUP($A86,'0.Productos'!$A$3:$GG$587,'0.Productos'!CI$1+1,0),"")</f>
        <v/>
      </c>
      <c r="AR86" s="133" t="str">
        <f>IF($A86&lt;&gt;0,VLOOKUP($A86,'0.Productos'!$A$3:$GG$587,'0.Productos'!CJ$1+1,0),"")</f>
        <v/>
      </c>
      <c r="AS86" s="133" t="str">
        <f>IF($A86&lt;&gt;0,VLOOKUP($A86,'0.Productos'!$A$3:$GG$587,'0.Productos'!CK$1+1,0),"")</f>
        <v/>
      </c>
      <c r="AT86" s="133" t="str">
        <f>IF($A86&lt;&gt;0,VLOOKUP($A86,'0.Productos'!$A$3:$GG$587,'0.Productos'!CL$1+1,0),"")</f>
        <v/>
      </c>
      <c r="AU86" s="133" t="str">
        <f>IF($A86&lt;&gt;0,VLOOKUP($A86,'0.Productos'!$A$3:$GG$587,'0.Productos'!CM$1+1,0),"")</f>
        <v/>
      </c>
      <c r="AV86" s="133" t="str">
        <f>IF($A86&lt;&gt;0,VLOOKUP($A86,'0.Productos'!$A$3:$GG$587,'0.Productos'!CN$1+1,0),"")</f>
        <v/>
      </c>
      <c r="AW86" s="133" t="str">
        <f>IF($A86&lt;&gt;0,VLOOKUP($A86,'0.Productos'!$A$3:$GG$587,'0.Productos'!CO$1+1,0),"")</f>
        <v/>
      </c>
      <c r="AX86" s="133" t="str">
        <f>IF($A86&lt;&gt;0,VLOOKUP($A86,'0.Productos'!$A$3:$GG$587,'0.Productos'!CP$1+1,0),"")</f>
        <v/>
      </c>
      <c r="AY86" s="133" t="str">
        <f>IF($A86&lt;&gt;0,VLOOKUP($A86,'0.Productos'!$A$3:$GG$587,'0.Productos'!CQ$1+1,0),"")</f>
        <v/>
      </c>
      <c r="AZ86" s="133" t="str">
        <f>IF($A86&lt;&gt;0,VLOOKUP($A86,'0.Productos'!$A$3:$GG$587,'0.Productos'!CR$1+1,0),"")</f>
        <v/>
      </c>
      <c r="BA86" s="133" t="str">
        <f>IF($A86&lt;&gt;0,VLOOKUP($A86,'0.Productos'!$A$3:$GG$587,'0.Productos'!CS$1+1,0),"")</f>
        <v/>
      </c>
      <c r="BB86" s="133" t="str">
        <f>IF($A86&lt;&gt;0,VLOOKUP($A86,'0.Productos'!$A$3:$GG$587,'0.Productos'!CT$1+1,0),"")</f>
        <v/>
      </c>
      <c r="BC86" s="133" t="str">
        <f>IF($A86&lt;&gt;0,VLOOKUP($A86,'0.Productos'!$A$3:$GG$587,'0.Productos'!CU$1+1,0),"")</f>
        <v/>
      </c>
      <c r="BD86" s="133" t="str">
        <f>IF($A86&lt;&gt;0,VLOOKUP($A86,'0.Productos'!$A$3:$GG$587,'0.Productos'!CV$1+1,0),"")</f>
        <v/>
      </c>
      <c r="BE86" s="133" t="str">
        <f>IF($A86&lt;&gt;0,VLOOKUP($A86,'0.Productos'!$A$3:$GG$587,'0.Productos'!CW$1+1,0),"")</f>
        <v/>
      </c>
      <c r="BF86" s="133" t="str">
        <f>IF($A86&lt;&gt;0,VLOOKUP($A86,'0.Productos'!$A$3:$GG$587,'0.Productos'!CX$1+1,0),"")</f>
        <v/>
      </c>
      <c r="BG86" s="133" t="str">
        <f>IF($A86&lt;&gt;0,VLOOKUP($A86,'0.Productos'!$A$3:$GG$587,'0.Productos'!CY$1+1,0),"")</f>
        <v/>
      </c>
      <c r="BH86" s="133" t="str">
        <f>IF($A86&lt;&gt;0,VLOOKUP($A86,'0.Productos'!$A$3:$GG$587,'0.Productos'!CZ$1+1,0),"")</f>
        <v/>
      </c>
      <c r="BI86" s="133" t="str">
        <f>IF($A86&lt;&gt;0,VLOOKUP($A86,'0.Productos'!$A$3:$GG$587,'0.Productos'!DA$1+1,0),"")</f>
        <v/>
      </c>
      <c r="BJ86" s="133" t="str">
        <f>IF($A86&lt;&gt;0,VLOOKUP($A86,'0.Productos'!$A$3:$GG$587,'0.Productos'!DB$1+1,0),"")</f>
        <v/>
      </c>
      <c r="BK86" s="133" t="str">
        <f>IF($A86&lt;&gt;0,VLOOKUP($A86,'0.Productos'!$A$3:$GG$587,'0.Productos'!DC$1+1,0),"")</f>
        <v/>
      </c>
      <c r="BL86" s="133" t="str">
        <f>IF($A86&lt;&gt;0,VLOOKUP($A86,'0.Productos'!$A$3:$GG$587,'0.Productos'!DD$1+1,0),"")</f>
        <v/>
      </c>
      <c r="BM86" s="133" t="str">
        <f>IF($A86&lt;&gt;0,VLOOKUP($A86,'0.Productos'!$A$3:$GG$587,'0.Productos'!DE$1+1,0),"")</f>
        <v/>
      </c>
      <c r="BN86" s="133" t="str">
        <f>IF($A86&lt;&gt;0,VLOOKUP($A86,'0.Productos'!$A$3:$GG$587,'0.Productos'!DF$1+1,0),"")</f>
        <v/>
      </c>
      <c r="BO86" s="133" t="str">
        <f>IF($A86&lt;&gt;0,VLOOKUP($A86,'0.Productos'!$A$3:$GG$587,'0.Productos'!DG$1+1,0),"")</f>
        <v/>
      </c>
      <c r="BP86" s="133" t="str">
        <f>IF($A86&lt;&gt;0,VLOOKUP($A86,'0.Productos'!$A$3:$GG$587,'0.Productos'!DH$1+1,0),"")</f>
        <v/>
      </c>
      <c r="BQ86" s="133" t="str">
        <f>IF($A86&lt;&gt;0,VLOOKUP($A86,'0.Productos'!$A$3:$GG$587,'0.Productos'!DI$1+1,0),"")</f>
        <v/>
      </c>
      <c r="BR86" s="133" t="str">
        <f>IF($A86&lt;&gt;0,VLOOKUP($A86,'0.Productos'!$A$3:$GG$587,'0.Productos'!DJ$1+1,0),"")</f>
        <v/>
      </c>
      <c r="BS86" s="133" t="str">
        <f>IF($A86&lt;&gt;0,VLOOKUP($A86,'0.Productos'!$A$3:$GG$587,'0.Productos'!DK$1+1,0),"")</f>
        <v/>
      </c>
      <c r="BT86" s="133" t="str">
        <f>IF($A86&lt;&gt;0,VLOOKUP($A86,'0.Productos'!$A$3:$GG$587,'0.Productos'!DL$1+1,0),"")</f>
        <v/>
      </c>
    </row>
    <row r="87" spans="1:72" x14ac:dyDescent="0.25">
      <c r="A87" s="17">
        <f>'0.Consolidado general'!A87</f>
        <v>0</v>
      </c>
      <c r="B87" s="133" t="str">
        <f>IF($A87&lt;&gt;0,VLOOKUP($A87,'0.Productos'!$A$3:$GG$587,'0.Productos'!AT$1+1,0),"")</f>
        <v/>
      </c>
      <c r="C87" s="133" t="str">
        <f>IF($A87&lt;&gt;0,VLOOKUP($A87,'0.Productos'!$A$3:$GG$587,'0.Productos'!AU$1+1,0),"")</f>
        <v/>
      </c>
      <c r="D87" s="133" t="str">
        <f>IF($A87&lt;&gt;0,VLOOKUP($A87,'0.Productos'!$A$3:$GG$587,'0.Productos'!AV$1+1,0),"")</f>
        <v/>
      </c>
      <c r="E87" s="133" t="str">
        <f>IF($A87&lt;&gt;0,VLOOKUP($A87,'0.Productos'!$A$3:$GG$587,'0.Productos'!AW$1+1,0),"")</f>
        <v/>
      </c>
      <c r="F87" s="133" t="str">
        <f>IF($A87&lt;&gt;0,VLOOKUP($A87,'0.Productos'!$A$3:$GG$587,'0.Productos'!AX$1+1,0),"")</f>
        <v/>
      </c>
      <c r="G87" s="133" t="str">
        <f>IF($A87&lt;&gt;0,VLOOKUP($A87,'0.Productos'!$A$3:$GG$587,'0.Productos'!AY$1+1,0),"")</f>
        <v/>
      </c>
      <c r="H87" s="133" t="str">
        <f>IF($A87&lt;&gt;0,VLOOKUP($A87,'0.Productos'!$A$3:$GG$587,'0.Productos'!AZ$1+1,0),"")</f>
        <v/>
      </c>
      <c r="I87" s="133" t="str">
        <f>IF($A87&lt;&gt;0,VLOOKUP($A87,'0.Productos'!$A$3:$GG$587,'0.Productos'!BA$1+1,0),"")</f>
        <v/>
      </c>
      <c r="J87" s="133" t="str">
        <f>IF($A87&lt;&gt;0,VLOOKUP($A87,'0.Productos'!$A$3:$GG$587,'0.Productos'!BB$1+1,0),"")</f>
        <v/>
      </c>
      <c r="K87" s="133" t="str">
        <f>IF($A87&lt;&gt;0,VLOOKUP($A87,'0.Productos'!$A$3:$GG$587,'0.Productos'!BC$1+1,0),"")</f>
        <v/>
      </c>
      <c r="L87" s="133" t="str">
        <f>IF($A87&lt;&gt;0,VLOOKUP($A87,'0.Productos'!$A$3:$GG$587,'0.Productos'!BD$1+1,0),"")</f>
        <v/>
      </c>
      <c r="M87" s="133" t="str">
        <f>IF($A87&lt;&gt;0,VLOOKUP($A87,'0.Productos'!$A$3:$GG$587,'0.Productos'!BE$1+1,0),"")</f>
        <v/>
      </c>
      <c r="N87" s="133" t="str">
        <f>IF($A87&lt;&gt;0,VLOOKUP($A87,'0.Productos'!$A$3:$GG$587,'0.Productos'!BF$1+1,0),"")</f>
        <v/>
      </c>
      <c r="O87" s="133" t="str">
        <f>IF($A87&lt;&gt;0,VLOOKUP($A87,'0.Productos'!$A$3:$GG$587,'0.Productos'!BG$1+1,0),"")</f>
        <v/>
      </c>
      <c r="P87" s="133" t="str">
        <f>IF($A87&lt;&gt;0,VLOOKUP($A87,'0.Productos'!$A$3:$GG$587,'0.Productos'!BH$1+1,0),"")</f>
        <v/>
      </c>
      <c r="Q87" s="133" t="str">
        <f>IF($A87&lt;&gt;0,VLOOKUP($A87,'0.Productos'!$A$3:$GG$587,'0.Productos'!BI$1+1,0),"")</f>
        <v/>
      </c>
      <c r="R87" s="133" t="str">
        <f>IF($A87&lt;&gt;0,VLOOKUP($A87,'0.Productos'!$A$3:$GG$587,'0.Productos'!BJ$1+1,0),"")</f>
        <v/>
      </c>
      <c r="S87" s="133" t="str">
        <f>IF($A87&lt;&gt;0,VLOOKUP($A87,'0.Productos'!$A$3:$GG$587,'0.Productos'!BK$1+1,0),"")</f>
        <v/>
      </c>
      <c r="T87" s="133" t="str">
        <f>IF($A87&lt;&gt;0,VLOOKUP($A87,'0.Productos'!$A$3:$GG$587,'0.Productos'!BL$1+1,0),"")</f>
        <v/>
      </c>
      <c r="U87" s="133" t="str">
        <f>IF($A87&lt;&gt;0,VLOOKUP($A87,'0.Productos'!$A$3:$GG$587,'0.Productos'!BM$1+1,0),"")</f>
        <v/>
      </c>
      <c r="V87" s="133" t="str">
        <f>IF($A87&lt;&gt;0,VLOOKUP($A87,'0.Productos'!$A$3:$GG$587,'0.Productos'!BN$1+1,0),"")</f>
        <v/>
      </c>
      <c r="W87" s="133" t="str">
        <f>IF($A87&lt;&gt;0,VLOOKUP($A87,'0.Productos'!$A$3:$GG$587,'0.Productos'!BO$1+1,0),"")</f>
        <v/>
      </c>
      <c r="X87" s="133" t="str">
        <f>IF($A87&lt;&gt;0,VLOOKUP($A87,'0.Productos'!$A$3:$GG$587,'0.Productos'!BP$1+1,0),"")</f>
        <v/>
      </c>
      <c r="Y87" s="133" t="str">
        <f>IF($A87&lt;&gt;0,VLOOKUP($A87,'0.Productos'!$A$3:$GG$587,'0.Productos'!BQ$1+1,0),"")</f>
        <v/>
      </c>
      <c r="Z87" s="133" t="str">
        <f>IF($A87&lt;&gt;0,VLOOKUP($A87,'0.Productos'!$A$3:$GG$587,'0.Productos'!BR$1+1,0),"")</f>
        <v/>
      </c>
      <c r="AA87" s="133" t="str">
        <f>IF($A87&lt;&gt;0,VLOOKUP($A87,'0.Productos'!$A$3:$GG$587,'0.Productos'!BS$1+1,0),"")</f>
        <v/>
      </c>
      <c r="AB87" s="133" t="str">
        <f>IF($A87&lt;&gt;0,VLOOKUP($A87,'0.Productos'!$A$3:$GG$587,'0.Productos'!BT$1+1,0),"")</f>
        <v/>
      </c>
      <c r="AC87" s="133" t="str">
        <f>IF($A87&lt;&gt;0,VLOOKUP($A87,'0.Productos'!$A$3:$GG$587,'0.Productos'!BU$1+1,0),"")</f>
        <v/>
      </c>
      <c r="AD87" s="133" t="str">
        <f>IF($A87&lt;&gt;0,VLOOKUP($A87,'0.Productos'!$A$3:$GG$587,'0.Productos'!BV$1+1,0),"")</f>
        <v/>
      </c>
      <c r="AE87" s="133" t="str">
        <f>IF($A87&lt;&gt;0,VLOOKUP($A87,'0.Productos'!$A$3:$GG$587,'0.Productos'!BW$1+1,0),"")</f>
        <v/>
      </c>
      <c r="AF87" s="133" t="str">
        <f>IF($A87&lt;&gt;0,VLOOKUP($A87,'0.Productos'!$A$3:$GG$587,'0.Productos'!BX$1+1,0),"")</f>
        <v/>
      </c>
      <c r="AG87" s="133" t="str">
        <f>IF($A87&lt;&gt;0,VLOOKUP($A87,'0.Productos'!$A$3:$GG$587,'0.Productos'!BY$1+1,0),"")</f>
        <v/>
      </c>
      <c r="AH87" s="133" t="str">
        <f>IF($A87&lt;&gt;0,VLOOKUP($A87,'0.Productos'!$A$3:$GG$587,'0.Productos'!BZ$1+1,0),"")</f>
        <v/>
      </c>
      <c r="AI87" s="133" t="str">
        <f>IF($A87&lt;&gt;0,VLOOKUP($A87,'0.Productos'!$A$3:$GG$587,'0.Productos'!CA$1+1,0),"")</f>
        <v/>
      </c>
      <c r="AJ87" s="133" t="str">
        <f>IF($A87&lt;&gt;0,VLOOKUP($A87,'0.Productos'!$A$3:$GG$587,'0.Productos'!CB$1+1,0),"")</f>
        <v/>
      </c>
      <c r="AK87" s="133" t="str">
        <f>IF($A87&lt;&gt;0,VLOOKUP($A87,'0.Productos'!$A$3:$GG$587,'0.Productos'!CC$1+1,0),"")</f>
        <v/>
      </c>
      <c r="AL87" s="133" t="str">
        <f>IF($A87&lt;&gt;0,VLOOKUP($A87,'0.Productos'!$A$3:$GG$587,'0.Productos'!CD$1+1,0),"")</f>
        <v/>
      </c>
      <c r="AM87" s="133" t="str">
        <f>IF($A87&lt;&gt;0,VLOOKUP($A87,'0.Productos'!$A$3:$GG$587,'0.Productos'!CE$1+1,0),"")</f>
        <v/>
      </c>
      <c r="AN87" s="133" t="str">
        <f>IF($A87&lt;&gt;0,VLOOKUP($A87,'0.Productos'!$A$3:$GG$587,'0.Productos'!CF$1+1,0),"")</f>
        <v/>
      </c>
      <c r="AO87" s="133" t="str">
        <f>IF($A87&lt;&gt;0,VLOOKUP($A87,'0.Productos'!$A$3:$GG$587,'0.Productos'!CG$1+1,0),"")</f>
        <v/>
      </c>
      <c r="AP87" s="133" t="str">
        <f>IF($A87&lt;&gt;0,VLOOKUP($A87,'0.Productos'!$A$3:$GG$587,'0.Productos'!CH$1+1,0),"")</f>
        <v/>
      </c>
      <c r="AQ87" s="133" t="str">
        <f>IF($A87&lt;&gt;0,VLOOKUP($A87,'0.Productos'!$A$3:$GG$587,'0.Productos'!CI$1+1,0),"")</f>
        <v/>
      </c>
      <c r="AR87" s="133" t="str">
        <f>IF($A87&lt;&gt;0,VLOOKUP($A87,'0.Productos'!$A$3:$GG$587,'0.Productos'!CJ$1+1,0),"")</f>
        <v/>
      </c>
      <c r="AS87" s="133" t="str">
        <f>IF($A87&lt;&gt;0,VLOOKUP($A87,'0.Productos'!$A$3:$GG$587,'0.Productos'!CK$1+1,0),"")</f>
        <v/>
      </c>
      <c r="AT87" s="133" t="str">
        <f>IF($A87&lt;&gt;0,VLOOKUP($A87,'0.Productos'!$A$3:$GG$587,'0.Productos'!CL$1+1,0),"")</f>
        <v/>
      </c>
      <c r="AU87" s="133" t="str">
        <f>IF($A87&lt;&gt;0,VLOOKUP($A87,'0.Productos'!$A$3:$GG$587,'0.Productos'!CM$1+1,0),"")</f>
        <v/>
      </c>
      <c r="AV87" s="133" t="str">
        <f>IF($A87&lt;&gt;0,VLOOKUP($A87,'0.Productos'!$A$3:$GG$587,'0.Productos'!CN$1+1,0),"")</f>
        <v/>
      </c>
      <c r="AW87" s="133" t="str">
        <f>IF($A87&lt;&gt;0,VLOOKUP($A87,'0.Productos'!$A$3:$GG$587,'0.Productos'!CO$1+1,0),"")</f>
        <v/>
      </c>
      <c r="AX87" s="133" t="str">
        <f>IF($A87&lt;&gt;0,VLOOKUP($A87,'0.Productos'!$A$3:$GG$587,'0.Productos'!CP$1+1,0),"")</f>
        <v/>
      </c>
      <c r="AY87" s="133" t="str">
        <f>IF($A87&lt;&gt;0,VLOOKUP($A87,'0.Productos'!$A$3:$GG$587,'0.Productos'!CQ$1+1,0),"")</f>
        <v/>
      </c>
      <c r="AZ87" s="133" t="str">
        <f>IF($A87&lt;&gt;0,VLOOKUP($A87,'0.Productos'!$A$3:$GG$587,'0.Productos'!CR$1+1,0),"")</f>
        <v/>
      </c>
      <c r="BA87" s="133" t="str">
        <f>IF($A87&lt;&gt;0,VLOOKUP($A87,'0.Productos'!$A$3:$GG$587,'0.Productos'!CS$1+1,0),"")</f>
        <v/>
      </c>
      <c r="BB87" s="133" t="str">
        <f>IF($A87&lt;&gt;0,VLOOKUP($A87,'0.Productos'!$A$3:$GG$587,'0.Productos'!CT$1+1,0),"")</f>
        <v/>
      </c>
      <c r="BC87" s="133" t="str">
        <f>IF($A87&lt;&gt;0,VLOOKUP($A87,'0.Productos'!$A$3:$GG$587,'0.Productos'!CU$1+1,0),"")</f>
        <v/>
      </c>
      <c r="BD87" s="133" t="str">
        <f>IF($A87&lt;&gt;0,VLOOKUP($A87,'0.Productos'!$A$3:$GG$587,'0.Productos'!CV$1+1,0),"")</f>
        <v/>
      </c>
      <c r="BE87" s="133" t="str">
        <f>IF($A87&lt;&gt;0,VLOOKUP($A87,'0.Productos'!$A$3:$GG$587,'0.Productos'!CW$1+1,0),"")</f>
        <v/>
      </c>
      <c r="BF87" s="133" t="str">
        <f>IF($A87&lt;&gt;0,VLOOKUP($A87,'0.Productos'!$A$3:$GG$587,'0.Productos'!CX$1+1,0),"")</f>
        <v/>
      </c>
      <c r="BG87" s="133" t="str">
        <f>IF($A87&lt;&gt;0,VLOOKUP($A87,'0.Productos'!$A$3:$GG$587,'0.Productos'!CY$1+1,0),"")</f>
        <v/>
      </c>
      <c r="BH87" s="133" t="str">
        <f>IF($A87&lt;&gt;0,VLOOKUP($A87,'0.Productos'!$A$3:$GG$587,'0.Productos'!CZ$1+1,0),"")</f>
        <v/>
      </c>
      <c r="BI87" s="133" t="str">
        <f>IF($A87&lt;&gt;0,VLOOKUP($A87,'0.Productos'!$A$3:$GG$587,'0.Productos'!DA$1+1,0),"")</f>
        <v/>
      </c>
      <c r="BJ87" s="133" t="str">
        <f>IF($A87&lt;&gt;0,VLOOKUP($A87,'0.Productos'!$A$3:$GG$587,'0.Productos'!DB$1+1,0),"")</f>
        <v/>
      </c>
      <c r="BK87" s="133" t="str">
        <f>IF($A87&lt;&gt;0,VLOOKUP($A87,'0.Productos'!$A$3:$GG$587,'0.Productos'!DC$1+1,0),"")</f>
        <v/>
      </c>
      <c r="BL87" s="133" t="str">
        <f>IF($A87&lt;&gt;0,VLOOKUP($A87,'0.Productos'!$A$3:$GG$587,'0.Productos'!DD$1+1,0),"")</f>
        <v/>
      </c>
      <c r="BM87" s="133" t="str">
        <f>IF($A87&lt;&gt;0,VLOOKUP($A87,'0.Productos'!$A$3:$GG$587,'0.Productos'!DE$1+1,0),"")</f>
        <v/>
      </c>
      <c r="BN87" s="133" t="str">
        <f>IF($A87&lt;&gt;0,VLOOKUP($A87,'0.Productos'!$A$3:$GG$587,'0.Productos'!DF$1+1,0),"")</f>
        <v/>
      </c>
      <c r="BO87" s="133" t="str">
        <f>IF($A87&lt;&gt;0,VLOOKUP($A87,'0.Productos'!$A$3:$GG$587,'0.Productos'!DG$1+1,0),"")</f>
        <v/>
      </c>
      <c r="BP87" s="133" t="str">
        <f>IF($A87&lt;&gt;0,VLOOKUP($A87,'0.Productos'!$A$3:$GG$587,'0.Productos'!DH$1+1,0),"")</f>
        <v/>
      </c>
      <c r="BQ87" s="133" t="str">
        <f>IF($A87&lt;&gt;0,VLOOKUP($A87,'0.Productos'!$A$3:$GG$587,'0.Productos'!DI$1+1,0),"")</f>
        <v/>
      </c>
      <c r="BR87" s="133" t="str">
        <f>IF($A87&lt;&gt;0,VLOOKUP($A87,'0.Productos'!$A$3:$GG$587,'0.Productos'!DJ$1+1,0),"")</f>
        <v/>
      </c>
      <c r="BS87" s="133" t="str">
        <f>IF($A87&lt;&gt;0,VLOOKUP($A87,'0.Productos'!$A$3:$GG$587,'0.Productos'!DK$1+1,0),"")</f>
        <v/>
      </c>
      <c r="BT87" s="133" t="str">
        <f>IF($A87&lt;&gt;0,VLOOKUP($A87,'0.Productos'!$A$3:$GG$587,'0.Productos'!DL$1+1,0),"")</f>
        <v/>
      </c>
    </row>
    <row r="88" spans="1:72" x14ac:dyDescent="0.25">
      <c r="A88" s="17">
        <f>'0.Consolidado general'!A88</f>
        <v>0</v>
      </c>
      <c r="B88" s="133" t="str">
        <f>IF($A88&lt;&gt;0,VLOOKUP($A88,'0.Productos'!$A$3:$GG$587,'0.Productos'!AT$1+1,0),"")</f>
        <v/>
      </c>
      <c r="C88" s="133" t="str">
        <f>IF($A88&lt;&gt;0,VLOOKUP($A88,'0.Productos'!$A$3:$GG$587,'0.Productos'!AU$1+1,0),"")</f>
        <v/>
      </c>
      <c r="D88" s="133" t="str">
        <f>IF($A88&lt;&gt;0,VLOOKUP($A88,'0.Productos'!$A$3:$GG$587,'0.Productos'!AV$1+1,0),"")</f>
        <v/>
      </c>
      <c r="E88" s="133" t="str">
        <f>IF($A88&lt;&gt;0,VLOOKUP($A88,'0.Productos'!$A$3:$GG$587,'0.Productos'!AW$1+1,0),"")</f>
        <v/>
      </c>
      <c r="F88" s="133" t="str">
        <f>IF($A88&lt;&gt;0,VLOOKUP($A88,'0.Productos'!$A$3:$GG$587,'0.Productos'!AX$1+1,0),"")</f>
        <v/>
      </c>
      <c r="G88" s="133" t="str">
        <f>IF($A88&lt;&gt;0,VLOOKUP($A88,'0.Productos'!$A$3:$GG$587,'0.Productos'!AY$1+1,0),"")</f>
        <v/>
      </c>
      <c r="H88" s="133" t="str">
        <f>IF($A88&lt;&gt;0,VLOOKUP($A88,'0.Productos'!$A$3:$GG$587,'0.Productos'!AZ$1+1,0),"")</f>
        <v/>
      </c>
      <c r="I88" s="133" t="str">
        <f>IF($A88&lt;&gt;0,VLOOKUP($A88,'0.Productos'!$A$3:$GG$587,'0.Productos'!BA$1+1,0),"")</f>
        <v/>
      </c>
      <c r="J88" s="133" t="str">
        <f>IF($A88&lt;&gt;0,VLOOKUP($A88,'0.Productos'!$A$3:$GG$587,'0.Productos'!BB$1+1,0),"")</f>
        <v/>
      </c>
      <c r="K88" s="133" t="str">
        <f>IF($A88&lt;&gt;0,VLOOKUP($A88,'0.Productos'!$A$3:$GG$587,'0.Productos'!BC$1+1,0),"")</f>
        <v/>
      </c>
      <c r="L88" s="133" t="str">
        <f>IF($A88&lt;&gt;0,VLOOKUP($A88,'0.Productos'!$A$3:$GG$587,'0.Productos'!BD$1+1,0),"")</f>
        <v/>
      </c>
      <c r="M88" s="133" t="str">
        <f>IF($A88&lt;&gt;0,VLOOKUP($A88,'0.Productos'!$A$3:$GG$587,'0.Productos'!BE$1+1,0),"")</f>
        <v/>
      </c>
      <c r="N88" s="133" t="str">
        <f>IF($A88&lt;&gt;0,VLOOKUP($A88,'0.Productos'!$A$3:$GG$587,'0.Productos'!BF$1+1,0),"")</f>
        <v/>
      </c>
      <c r="O88" s="133" t="str">
        <f>IF($A88&lt;&gt;0,VLOOKUP($A88,'0.Productos'!$A$3:$GG$587,'0.Productos'!BG$1+1,0),"")</f>
        <v/>
      </c>
      <c r="P88" s="133" t="str">
        <f>IF($A88&lt;&gt;0,VLOOKUP($A88,'0.Productos'!$A$3:$GG$587,'0.Productos'!BH$1+1,0),"")</f>
        <v/>
      </c>
      <c r="Q88" s="133" t="str">
        <f>IF($A88&lt;&gt;0,VLOOKUP($A88,'0.Productos'!$A$3:$GG$587,'0.Productos'!BI$1+1,0),"")</f>
        <v/>
      </c>
      <c r="R88" s="133" t="str">
        <f>IF($A88&lt;&gt;0,VLOOKUP($A88,'0.Productos'!$A$3:$GG$587,'0.Productos'!BJ$1+1,0),"")</f>
        <v/>
      </c>
      <c r="S88" s="133" t="str">
        <f>IF($A88&lt;&gt;0,VLOOKUP($A88,'0.Productos'!$A$3:$GG$587,'0.Productos'!BK$1+1,0),"")</f>
        <v/>
      </c>
      <c r="T88" s="133" t="str">
        <f>IF($A88&lt;&gt;0,VLOOKUP($A88,'0.Productos'!$A$3:$GG$587,'0.Productos'!BL$1+1,0),"")</f>
        <v/>
      </c>
      <c r="U88" s="133" t="str">
        <f>IF($A88&lt;&gt;0,VLOOKUP($A88,'0.Productos'!$A$3:$GG$587,'0.Productos'!BM$1+1,0),"")</f>
        <v/>
      </c>
      <c r="V88" s="133" t="str">
        <f>IF($A88&lt;&gt;0,VLOOKUP($A88,'0.Productos'!$A$3:$GG$587,'0.Productos'!BN$1+1,0),"")</f>
        <v/>
      </c>
      <c r="W88" s="133" t="str">
        <f>IF($A88&lt;&gt;0,VLOOKUP($A88,'0.Productos'!$A$3:$GG$587,'0.Productos'!BO$1+1,0),"")</f>
        <v/>
      </c>
      <c r="X88" s="133" t="str">
        <f>IF($A88&lt;&gt;0,VLOOKUP($A88,'0.Productos'!$A$3:$GG$587,'0.Productos'!BP$1+1,0),"")</f>
        <v/>
      </c>
      <c r="Y88" s="133" t="str">
        <f>IF($A88&lt;&gt;0,VLOOKUP($A88,'0.Productos'!$A$3:$GG$587,'0.Productos'!BQ$1+1,0),"")</f>
        <v/>
      </c>
      <c r="Z88" s="133" t="str">
        <f>IF($A88&lt;&gt;0,VLOOKUP($A88,'0.Productos'!$A$3:$GG$587,'0.Productos'!BR$1+1,0),"")</f>
        <v/>
      </c>
      <c r="AA88" s="133" t="str">
        <f>IF($A88&lt;&gt;0,VLOOKUP($A88,'0.Productos'!$A$3:$GG$587,'0.Productos'!BS$1+1,0),"")</f>
        <v/>
      </c>
      <c r="AB88" s="133" t="str">
        <f>IF($A88&lt;&gt;0,VLOOKUP($A88,'0.Productos'!$A$3:$GG$587,'0.Productos'!BT$1+1,0),"")</f>
        <v/>
      </c>
      <c r="AC88" s="133" t="str">
        <f>IF($A88&lt;&gt;0,VLOOKUP($A88,'0.Productos'!$A$3:$GG$587,'0.Productos'!BU$1+1,0),"")</f>
        <v/>
      </c>
      <c r="AD88" s="133" t="str">
        <f>IF($A88&lt;&gt;0,VLOOKUP($A88,'0.Productos'!$A$3:$GG$587,'0.Productos'!BV$1+1,0),"")</f>
        <v/>
      </c>
      <c r="AE88" s="133" t="str">
        <f>IF($A88&lt;&gt;0,VLOOKUP($A88,'0.Productos'!$A$3:$GG$587,'0.Productos'!BW$1+1,0),"")</f>
        <v/>
      </c>
      <c r="AF88" s="133" t="str">
        <f>IF($A88&lt;&gt;0,VLOOKUP($A88,'0.Productos'!$A$3:$GG$587,'0.Productos'!BX$1+1,0),"")</f>
        <v/>
      </c>
      <c r="AG88" s="133" t="str">
        <f>IF($A88&lt;&gt;0,VLOOKUP($A88,'0.Productos'!$A$3:$GG$587,'0.Productos'!BY$1+1,0),"")</f>
        <v/>
      </c>
      <c r="AH88" s="133" t="str">
        <f>IF($A88&lt;&gt;0,VLOOKUP($A88,'0.Productos'!$A$3:$GG$587,'0.Productos'!BZ$1+1,0),"")</f>
        <v/>
      </c>
      <c r="AI88" s="133" t="str">
        <f>IF($A88&lt;&gt;0,VLOOKUP($A88,'0.Productos'!$A$3:$GG$587,'0.Productos'!CA$1+1,0),"")</f>
        <v/>
      </c>
      <c r="AJ88" s="133" t="str">
        <f>IF($A88&lt;&gt;0,VLOOKUP($A88,'0.Productos'!$A$3:$GG$587,'0.Productos'!CB$1+1,0),"")</f>
        <v/>
      </c>
      <c r="AK88" s="133" t="str">
        <f>IF($A88&lt;&gt;0,VLOOKUP($A88,'0.Productos'!$A$3:$GG$587,'0.Productos'!CC$1+1,0),"")</f>
        <v/>
      </c>
      <c r="AL88" s="133" t="str">
        <f>IF($A88&lt;&gt;0,VLOOKUP($A88,'0.Productos'!$A$3:$GG$587,'0.Productos'!CD$1+1,0),"")</f>
        <v/>
      </c>
      <c r="AM88" s="133" t="str">
        <f>IF($A88&lt;&gt;0,VLOOKUP($A88,'0.Productos'!$A$3:$GG$587,'0.Productos'!CE$1+1,0),"")</f>
        <v/>
      </c>
      <c r="AN88" s="133" t="str">
        <f>IF($A88&lt;&gt;0,VLOOKUP($A88,'0.Productos'!$A$3:$GG$587,'0.Productos'!CF$1+1,0),"")</f>
        <v/>
      </c>
      <c r="AO88" s="133" t="str">
        <f>IF($A88&lt;&gt;0,VLOOKUP($A88,'0.Productos'!$A$3:$GG$587,'0.Productos'!CG$1+1,0),"")</f>
        <v/>
      </c>
      <c r="AP88" s="133" t="str">
        <f>IF($A88&lt;&gt;0,VLOOKUP($A88,'0.Productos'!$A$3:$GG$587,'0.Productos'!CH$1+1,0),"")</f>
        <v/>
      </c>
      <c r="AQ88" s="133" t="str">
        <f>IF($A88&lt;&gt;0,VLOOKUP($A88,'0.Productos'!$A$3:$GG$587,'0.Productos'!CI$1+1,0),"")</f>
        <v/>
      </c>
      <c r="AR88" s="133" t="str">
        <f>IF($A88&lt;&gt;0,VLOOKUP($A88,'0.Productos'!$A$3:$GG$587,'0.Productos'!CJ$1+1,0),"")</f>
        <v/>
      </c>
      <c r="AS88" s="133" t="str">
        <f>IF($A88&lt;&gt;0,VLOOKUP($A88,'0.Productos'!$A$3:$GG$587,'0.Productos'!CK$1+1,0),"")</f>
        <v/>
      </c>
      <c r="AT88" s="133" t="str">
        <f>IF($A88&lt;&gt;0,VLOOKUP($A88,'0.Productos'!$A$3:$GG$587,'0.Productos'!CL$1+1,0),"")</f>
        <v/>
      </c>
      <c r="AU88" s="133" t="str">
        <f>IF($A88&lt;&gt;0,VLOOKUP($A88,'0.Productos'!$A$3:$GG$587,'0.Productos'!CM$1+1,0),"")</f>
        <v/>
      </c>
      <c r="AV88" s="133" t="str">
        <f>IF($A88&lt;&gt;0,VLOOKUP($A88,'0.Productos'!$A$3:$GG$587,'0.Productos'!CN$1+1,0),"")</f>
        <v/>
      </c>
      <c r="AW88" s="133" t="str">
        <f>IF($A88&lt;&gt;0,VLOOKUP($A88,'0.Productos'!$A$3:$GG$587,'0.Productos'!CO$1+1,0),"")</f>
        <v/>
      </c>
      <c r="AX88" s="133" t="str">
        <f>IF($A88&lt;&gt;0,VLOOKUP($A88,'0.Productos'!$A$3:$GG$587,'0.Productos'!CP$1+1,0),"")</f>
        <v/>
      </c>
      <c r="AY88" s="133" t="str">
        <f>IF($A88&lt;&gt;0,VLOOKUP($A88,'0.Productos'!$A$3:$GG$587,'0.Productos'!CQ$1+1,0),"")</f>
        <v/>
      </c>
      <c r="AZ88" s="133" t="str">
        <f>IF($A88&lt;&gt;0,VLOOKUP($A88,'0.Productos'!$A$3:$GG$587,'0.Productos'!CR$1+1,0),"")</f>
        <v/>
      </c>
      <c r="BA88" s="133" t="str">
        <f>IF($A88&lt;&gt;0,VLOOKUP($A88,'0.Productos'!$A$3:$GG$587,'0.Productos'!CS$1+1,0),"")</f>
        <v/>
      </c>
      <c r="BB88" s="133" t="str">
        <f>IF($A88&lt;&gt;0,VLOOKUP($A88,'0.Productos'!$A$3:$GG$587,'0.Productos'!CT$1+1,0),"")</f>
        <v/>
      </c>
      <c r="BC88" s="133" t="str">
        <f>IF($A88&lt;&gt;0,VLOOKUP($A88,'0.Productos'!$A$3:$GG$587,'0.Productos'!CU$1+1,0),"")</f>
        <v/>
      </c>
      <c r="BD88" s="133" t="str">
        <f>IF($A88&lt;&gt;0,VLOOKUP($A88,'0.Productos'!$A$3:$GG$587,'0.Productos'!CV$1+1,0),"")</f>
        <v/>
      </c>
      <c r="BE88" s="133" t="str">
        <f>IF($A88&lt;&gt;0,VLOOKUP($A88,'0.Productos'!$A$3:$GG$587,'0.Productos'!CW$1+1,0),"")</f>
        <v/>
      </c>
      <c r="BF88" s="133" t="str">
        <f>IF($A88&lt;&gt;0,VLOOKUP($A88,'0.Productos'!$A$3:$GG$587,'0.Productos'!CX$1+1,0),"")</f>
        <v/>
      </c>
      <c r="BG88" s="133" t="str">
        <f>IF($A88&lt;&gt;0,VLOOKUP($A88,'0.Productos'!$A$3:$GG$587,'0.Productos'!CY$1+1,0),"")</f>
        <v/>
      </c>
      <c r="BH88" s="133" t="str">
        <f>IF($A88&lt;&gt;0,VLOOKUP($A88,'0.Productos'!$A$3:$GG$587,'0.Productos'!CZ$1+1,0),"")</f>
        <v/>
      </c>
      <c r="BI88" s="133" t="str">
        <f>IF($A88&lt;&gt;0,VLOOKUP($A88,'0.Productos'!$A$3:$GG$587,'0.Productos'!DA$1+1,0),"")</f>
        <v/>
      </c>
      <c r="BJ88" s="133" t="str">
        <f>IF($A88&lt;&gt;0,VLOOKUP($A88,'0.Productos'!$A$3:$GG$587,'0.Productos'!DB$1+1,0),"")</f>
        <v/>
      </c>
      <c r="BK88" s="133" t="str">
        <f>IF($A88&lt;&gt;0,VLOOKUP($A88,'0.Productos'!$A$3:$GG$587,'0.Productos'!DC$1+1,0),"")</f>
        <v/>
      </c>
      <c r="BL88" s="133" t="str">
        <f>IF($A88&lt;&gt;0,VLOOKUP($A88,'0.Productos'!$A$3:$GG$587,'0.Productos'!DD$1+1,0),"")</f>
        <v/>
      </c>
      <c r="BM88" s="133" t="str">
        <f>IF($A88&lt;&gt;0,VLOOKUP($A88,'0.Productos'!$A$3:$GG$587,'0.Productos'!DE$1+1,0),"")</f>
        <v/>
      </c>
      <c r="BN88" s="133" t="str">
        <f>IF($A88&lt;&gt;0,VLOOKUP($A88,'0.Productos'!$A$3:$GG$587,'0.Productos'!DF$1+1,0),"")</f>
        <v/>
      </c>
      <c r="BO88" s="133" t="str">
        <f>IF($A88&lt;&gt;0,VLOOKUP($A88,'0.Productos'!$A$3:$GG$587,'0.Productos'!DG$1+1,0),"")</f>
        <v/>
      </c>
      <c r="BP88" s="133" t="str">
        <f>IF($A88&lt;&gt;0,VLOOKUP($A88,'0.Productos'!$A$3:$GG$587,'0.Productos'!DH$1+1,0),"")</f>
        <v/>
      </c>
      <c r="BQ88" s="133" t="str">
        <f>IF($A88&lt;&gt;0,VLOOKUP($A88,'0.Productos'!$A$3:$GG$587,'0.Productos'!DI$1+1,0),"")</f>
        <v/>
      </c>
      <c r="BR88" s="133" t="str">
        <f>IF($A88&lt;&gt;0,VLOOKUP($A88,'0.Productos'!$A$3:$GG$587,'0.Productos'!DJ$1+1,0),"")</f>
        <v/>
      </c>
      <c r="BS88" s="133" t="str">
        <f>IF($A88&lt;&gt;0,VLOOKUP($A88,'0.Productos'!$A$3:$GG$587,'0.Productos'!DK$1+1,0),"")</f>
        <v/>
      </c>
      <c r="BT88" s="133" t="str">
        <f>IF($A88&lt;&gt;0,VLOOKUP($A88,'0.Productos'!$A$3:$GG$587,'0.Productos'!DL$1+1,0),"")</f>
        <v/>
      </c>
    </row>
    <row r="89" spans="1:72" x14ac:dyDescent="0.25">
      <c r="A89" s="17">
        <f>'0.Consolidado general'!A89</f>
        <v>0</v>
      </c>
      <c r="B89" s="133" t="str">
        <f>IF($A89&lt;&gt;0,VLOOKUP($A89,'0.Productos'!$A$3:$GG$587,'0.Productos'!AT$1+1,0),"")</f>
        <v/>
      </c>
      <c r="C89" s="133" t="str">
        <f>IF($A89&lt;&gt;0,VLOOKUP($A89,'0.Productos'!$A$3:$GG$587,'0.Productos'!AU$1+1,0),"")</f>
        <v/>
      </c>
      <c r="D89" s="133" t="str">
        <f>IF($A89&lt;&gt;0,VLOOKUP($A89,'0.Productos'!$A$3:$GG$587,'0.Productos'!AV$1+1,0),"")</f>
        <v/>
      </c>
      <c r="E89" s="133" t="str">
        <f>IF($A89&lt;&gt;0,VLOOKUP($A89,'0.Productos'!$A$3:$GG$587,'0.Productos'!AW$1+1,0),"")</f>
        <v/>
      </c>
      <c r="F89" s="133" t="str">
        <f>IF($A89&lt;&gt;0,VLOOKUP($A89,'0.Productos'!$A$3:$GG$587,'0.Productos'!AX$1+1,0),"")</f>
        <v/>
      </c>
      <c r="G89" s="133" t="str">
        <f>IF($A89&lt;&gt;0,VLOOKUP($A89,'0.Productos'!$A$3:$GG$587,'0.Productos'!AY$1+1,0),"")</f>
        <v/>
      </c>
      <c r="H89" s="133" t="str">
        <f>IF($A89&lt;&gt;0,VLOOKUP($A89,'0.Productos'!$A$3:$GG$587,'0.Productos'!AZ$1+1,0),"")</f>
        <v/>
      </c>
      <c r="I89" s="133" t="str">
        <f>IF($A89&lt;&gt;0,VLOOKUP($A89,'0.Productos'!$A$3:$GG$587,'0.Productos'!BA$1+1,0),"")</f>
        <v/>
      </c>
      <c r="J89" s="133" t="str">
        <f>IF($A89&lt;&gt;0,VLOOKUP($A89,'0.Productos'!$A$3:$GG$587,'0.Productos'!BB$1+1,0),"")</f>
        <v/>
      </c>
      <c r="K89" s="133" t="str">
        <f>IF($A89&lt;&gt;0,VLOOKUP($A89,'0.Productos'!$A$3:$GG$587,'0.Productos'!BC$1+1,0),"")</f>
        <v/>
      </c>
      <c r="L89" s="133" t="str">
        <f>IF($A89&lt;&gt;0,VLOOKUP($A89,'0.Productos'!$A$3:$GG$587,'0.Productos'!BD$1+1,0),"")</f>
        <v/>
      </c>
      <c r="M89" s="133" t="str">
        <f>IF($A89&lt;&gt;0,VLOOKUP($A89,'0.Productos'!$A$3:$GG$587,'0.Productos'!BE$1+1,0),"")</f>
        <v/>
      </c>
      <c r="N89" s="133" t="str">
        <f>IF($A89&lt;&gt;0,VLOOKUP($A89,'0.Productos'!$A$3:$GG$587,'0.Productos'!BF$1+1,0),"")</f>
        <v/>
      </c>
      <c r="O89" s="133" t="str">
        <f>IF($A89&lt;&gt;0,VLOOKUP($A89,'0.Productos'!$A$3:$GG$587,'0.Productos'!BG$1+1,0),"")</f>
        <v/>
      </c>
      <c r="P89" s="133" t="str">
        <f>IF($A89&lt;&gt;0,VLOOKUP($A89,'0.Productos'!$A$3:$GG$587,'0.Productos'!BH$1+1,0),"")</f>
        <v/>
      </c>
      <c r="Q89" s="133" t="str">
        <f>IF($A89&lt;&gt;0,VLOOKUP($A89,'0.Productos'!$A$3:$GG$587,'0.Productos'!BI$1+1,0),"")</f>
        <v/>
      </c>
      <c r="R89" s="133" t="str">
        <f>IF($A89&lt;&gt;0,VLOOKUP($A89,'0.Productos'!$A$3:$GG$587,'0.Productos'!BJ$1+1,0),"")</f>
        <v/>
      </c>
      <c r="S89" s="133" t="str">
        <f>IF($A89&lt;&gt;0,VLOOKUP($A89,'0.Productos'!$A$3:$GG$587,'0.Productos'!BK$1+1,0),"")</f>
        <v/>
      </c>
      <c r="T89" s="133" t="str">
        <f>IF($A89&lt;&gt;0,VLOOKUP($A89,'0.Productos'!$A$3:$GG$587,'0.Productos'!BL$1+1,0),"")</f>
        <v/>
      </c>
      <c r="U89" s="133" t="str">
        <f>IF($A89&lt;&gt;0,VLOOKUP($A89,'0.Productos'!$A$3:$GG$587,'0.Productos'!BM$1+1,0),"")</f>
        <v/>
      </c>
      <c r="V89" s="133" t="str">
        <f>IF($A89&lt;&gt;0,VLOOKUP($A89,'0.Productos'!$A$3:$GG$587,'0.Productos'!BN$1+1,0),"")</f>
        <v/>
      </c>
      <c r="W89" s="133" t="str">
        <f>IF($A89&lt;&gt;0,VLOOKUP($A89,'0.Productos'!$A$3:$GG$587,'0.Productos'!BO$1+1,0),"")</f>
        <v/>
      </c>
      <c r="X89" s="133" t="str">
        <f>IF($A89&lt;&gt;0,VLOOKUP($A89,'0.Productos'!$A$3:$GG$587,'0.Productos'!BP$1+1,0),"")</f>
        <v/>
      </c>
      <c r="Y89" s="133" t="str">
        <f>IF($A89&lt;&gt;0,VLOOKUP($A89,'0.Productos'!$A$3:$GG$587,'0.Productos'!BQ$1+1,0),"")</f>
        <v/>
      </c>
      <c r="Z89" s="133" t="str">
        <f>IF($A89&lt;&gt;0,VLOOKUP($A89,'0.Productos'!$A$3:$GG$587,'0.Productos'!BR$1+1,0),"")</f>
        <v/>
      </c>
      <c r="AA89" s="133" t="str">
        <f>IF($A89&lt;&gt;0,VLOOKUP($A89,'0.Productos'!$A$3:$GG$587,'0.Productos'!BS$1+1,0),"")</f>
        <v/>
      </c>
      <c r="AB89" s="133" t="str">
        <f>IF($A89&lt;&gt;0,VLOOKUP($A89,'0.Productos'!$A$3:$GG$587,'0.Productos'!BT$1+1,0),"")</f>
        <v/>
      </c>
      <c r="AC89" s="133" t="str">
        <f>IF($A89&lt;&gt;0,VLOOKUP($A89,'0.Productos'!$A$3:$GG$587,'0.Productos'!BU$1+1,0),"")</f>
        <v/>
      </c>
      <c r="AD89" s="133" t="str">
        <f>IF($A89&lt;&gt;0,VLOOKUP($A89,'0.Productos'!$A$3:$GG$587,'0.Productos'!BV$1+1,0),"")</f>
        <v/>
      </c>
      <c r="AE89" s="133" t="str">
        <f>IF($A89&lt;&gt;0,VLOOKUP($A89,'0.Productos'!$A$3:$GG$587,'0.Productos'!BW$1+1,0),"")</f>
        <v/>
      </c>
      <c r="AF89" s="133" t="str">
        <f>IF($A89&lt;&gt;0,VLOOKUP($A89,'0.Productos'!$A$3:$GG$587,'0.Productos'!BX$1+1,0),"")</f>
        <v/>
      </c>
      <c r="AG89" s="133" t="str">
        <f>IF($A89&lt;&gt;0,VLOOKUP($A89,'0.Productos'!$A$3:$GG$587,'0.Productos'!BY$1+1,0),"")</f>
        <v/>
      </c>
      <c r="AH89" s="133" t="str">
        <f>IF($A89&lt;&gt;0,VLOOKUP($A89,'0.Productos'!$A$3:$GG$587,'0.Productos'!BZ$1+1,0),"")</f>
        <v/>
      </c>
      <c r="AI89" s="133" t="str">
        <f>IF($A89&lt;&gt;0,VLOOKUP($A89,'0.Productos'!$A$3:$GG$587,'0.Productos'!CA$1+1,0),"")</f>
        <v/>
      </c>
      <c r="AJ89" s="133" t="str">
        <f>IF($A89&lt;&gt;0,VLOOKUP($A89,'0.Productos'!$A$3:$GG$587,'0.Productos'!CB$1+1,0),"")</f>
        <v/>
      </c>
      <c r="AK89" s="133" t="str">
        <f>IF($A89&lt;&gt;0,VLOOKUP($A89,'0.Productos'!$A$3:$GG$587,'0.Productos'!CC$1+1,0),"")</f>
        <v/>
      </c>
      <c r="AL89" s="133" t="str">
        <f>IF($A89&lt;&gt;0,VLOOKUP($A89,'0.Productos'!$A$3:$GG$587,'0.Productos'!CD$1+1,0),"")</f>
        <v/>
      </c>
      <c r="AM89" s="133" t="str">
        <f>IF($A89&lt;&gt;0,VLOOKUP($A89,'0.Productos'!$A$3:$GG$587,'0.Productos'!CE$1+1,0),"")</f>
        <v/>
      </c>
      <c r="AN89" s="133" t="str">
        <f>IF($A89&lt;&gt;0,VLOOKUP($A89,'0.Productos'!$A$3:$GG$587,'0.Productos'!CF$1+1,0),"")</f>
        <v/>
      </c>
      <c r="AO89" s="133" t="str">
        <f>IF($A89&lt;&gt;0,VLOOKUP($A89,'0.Productos'!$A$3:$GG$587,'0.Productos'!CG$1+1,0),"")</f>
        <v/>
      </c>
      <c r="AP89" s="133" t="str">
        <f>IF($A89&lt;&gt;0,VLOOKUP($A89,'0.Productos'!$A$3:$GG$587,'0.Productos'!CH$1+1,0),"")</f>
        <v/>
      </c>
      <c r="AQ89" s="133" t="str">
        <f>IF($A89&lt;&gt;0,VLOOKUP($A89,'0.Productos'!$A$3:$GG$587,'0.Productos'!CI$1+1,0),"")</f>
        <v/>
      </c>
      <c r="AR89" s="133" t="str">
        <f>IF($A89&lt;&gt;0,VLOOKUP($A89,'0.Productos'!$A$3:$GG$587,'0.Productos'!CJ$1+1,0),"")</f>
        <v/>
      </c>
      <c r="AS89" s="133" t="str">
        <f>IF($A89&lt;&gt;0,VLOOKUP($A89,'0.Productos'!$A$3:$GG$587,'0.Productos'!CK$1+1,0),"")</f>
        <v/>
      </c>
      <c r="AT89" s="133" t="str">
        <f>IF($A89&lt;&gt;0,VLOOKUP($A89,'0.Productos'!$A$3:$GG$587,'0.Productos'!CL$1+1,0),"")</f>
        <v/>
      </c>
      <c r="AU89" s="133" t="str">
        <f>IF($A89&lt;&gt;0,VLOOKUP($A89,'0.Productos'!$A$3:$GG$587,'0.Productos'!CM$1+1,0),"")</f>
        <v/>
      </c>
      <c r="AV89" s="133" t="str">
        <f>IF($A89&lt;&gt;0,VLOOKUP($A89,'0.Productos'!$A$3:$GG$587,'0.Productos'!CN$1+1,0),"")</f>
        <v/>
      </c>
      <c r="AW89" s="133" t="str">
        <f>IF($A89&lt;&gt;0,VLOOKUP($A89,'0.Productos'!$A$3:$GG$587,'0.Productos'!CO$1+1,0),"")</f>
        <v/>
      </c>
      <c r="AX89" s="133" t="str">
        <f>IF($A89&lt;&gt;0,VLOOKUP($A89,'0.Productos'!$A$3:$GG$587,'0.Productos'!CP$1+1,0),"")</f>
        <v/>
      </c>
      <c r="AY89" s="133" t="str">
        <f>IF($A89&lt;&gt;0,VLOOKUP($A89,'0.Productos'!$A$3:$GG$587,'0.Productos'!CQ$1+1,0),"")</f>
        <v/>
      </c>
      <c r="AZ89" s="133" t="str">
        <f>IF($A89&lt;&gt;0,VLOOKUP($A89,'0.Productos'!$A$3:$GG$587,'0.Productos'!CR$1+1,0),"")</f>
        <v/>
      </c>
      <c r="BA89" s="133" t="str">
        <f>IF($A89&lt;&gt;0,VLOOKUP($A89,'0.Productos'!$A$3:$GG$587,'0.Productos'!CS$1+1,0),"")</f>
        <v/>
      </c>
      <c r="BB89" s="133" t="str">
        <f>IF($A89&lt;&gt;0,VLOOKUP($A89,'0.Productos'!$A$3:$GG$587,'0.Productos'!CT$1+1,0),"")</f>
        <v/>
      </c>
      <c r="BC89" s="133" t="str">
        <f>IF($A89&lt;&gt;0,VLOOKUP($A89,'0.Productos'!$A$3:$GG$587,'0.Productos'!CU$1+1,0),"")</f>
        <v/>
      </c>
      <c r="BD89" s="133" t="str">
        <f>IF($A89&lt;&gt;0,VLOOKUP($A89,'0.Productos'!$A$3:$GG$587,'0.Productos'!CV$1+1,0),"")</f>
        <v/>
      </c>
      <c r="BE89" s="133" t="str">
        <f>IF($A89&lt;&gt;0,VLOOKUP($A89,'0.Productos'!$A$3:$GG$587,'0.Productos'!CW$1+1,0),"")</f>
        <v/>
      </c>
      <c r="BF89" s="133" t="str">
        <f>IF($A89&lt;&gt;0,VLOOKUP($A89,'0.Productos'!$A$3:$GG$587,'0.Productos'!CX$1+1,0),"")</f>
        <v/>
      </c>
      <c r="BG89" s="133" t="str">
        <f>IF($A89&lt;&gt;0,VLOOKUP($A89,'0.Productos'!$A$3:$GG$587,'0.Productos'!CY$1+1,0),"")</f>
        <v/>
      </c>
      <c r="BH89" s="133" t="str">
        <f>IF($A89&lt;&gt;0,VLOOKUP($A89,'0.Productos'!$A$3:$GG$587,'0.Productos'!CZ$1+1,0),"")</f>
        <v/>
      </c>
      <c r="BI89" s="133" t="str">
        <f>IF($A89&lt;&gt;0,VLOOKUP($A89,'0.Productos'!$A$3:$GG$587,'0.Productos'!DA$1+1,0),"")</f>
        <v/>
      </c>
      <c r="BJ89" s="133" t="str">
        <f>IF($A89&lt;&gt;0,VLOOKUP($A89,'0.Productos'!$A$3:$GG$587,'0.Productos'!DB$1+1,0),"")</f>
        <v/>
      </c>
      <c r="BK89" s="133" t="str">
        <f>IF($A89&lt;&gt;0,VLOOKUP($A89,'0.Productos'!$A$3:$GG$587,'0.Productos'!DC$1+1,0),"")</f>
        <v/>
      </c>
      <c r="BL89" s="133" t="str">
        <f>IF($A89&lt;&gt;0,VLOOKUP($A89,'0.Productos'!$A$3:$GG$587,'0.Productos'!DD$1+1,0),"")</f>
        <v/>
      </c>
      <c r="BM89" s="133" t="str">
        <f>IF($A89&lt;&gt;0,VLOOKUP($A89,'0.Productos'!$A$3:$GG$587,'0.Productos'!DE$1+1,0),"")</f>
        <v/>
      </c>
      <c r="BN89" s="133" t="str">
        <f>IF($A89&lt;&gt;0,VLOOKUP($A89,'0.Productos'!$A$3:$GG$587,'0.Productos'!DF$1+1,0),"")</f>
        <v/>
      </c>
      <c r="BO89" s="133" t="str">
        <f>IF($A89&lt;&gt;0,VLOOKUP($A89,'0.Productos'!$A$3:$GG$587,'0.Productos'!DG$1+1,0),"")</f>
        <v/>
      </c>
      <c r="BP89" s="133" t="str">
        <f>IF($A89&lt;&gt;0,VLOOKUP($A89,'0.Productos'!$A$3:$GG$587,'0.Productos'!DH$1+1,0),"")</f>
        <v/>
      </c>
      <c r="BQ89" s="133" t="str">
        <f>IF($A89&lt;&gt;0,VLOOKUP($A89,'0.Productos'!$A$3:$GG$587,'0.Productos'!DI$1+1,0),"")</f>
        <v/>
      </c>
      <c r="BR89" s="133" t="str">
        <f>IF($A89&lt;&gt;0,VLOOKUP($A89,'0.Productos'!$A$3:$GG$587,'0.Productos'!DJ$1+1,0),"")</f>
        <v/>
      </c>
      <c r="BS89" s="133" t="str">
        <f>IF($A89&lt;&gt;0,VLOOKUP($A89,'0.Productos'!$A$3:$GG$587,'0.Productos'!DK$1+1,0),"")</f>
        <v/>
      </c>
      <c r="BT89" s="133" t="str">
        <f>IF($A89&lt;&gt;0,VLOOKUP($A89,'0.Productos'!$A$3:$GG$587,'0.Productos'!DL$1+1,0),"")</f>
        <v/>
      </c>
    </row>
    <row r="90" spans="1:72" x14ac:dyDescent="0.25">
      <c r="A90" s="17">
        <f>'0.Consolidado general'!A90</f>
        <v>0</v>
      </c>
      <c r="B90" s="133" t="str">
        <f>IF($A90&lt;&gt;0,VLOOKUP($A90,'0.Productos'!$A$3:$GG$587,'0.Productos'!AT$1+1,0),"")</f>
        <v/>
      </c>
      <c r="C90" s="133" t="str">
        <f>IF($A90&lt;&gt;0,VLOOKUP($A90,'0.Productos'!$A$3:$GG$587,'0.Productos'!AU$1+1,0),"")</f>
        <v/>
      </c>
      <c r="D90" s="133" t="str">
        <f>IF($A90&lt;&gt;0,VLOOKUP($A90,'0.Productos'!$A$3:$GG$587,'0.Productos'!AV$1+1,0),"")</f>
        <v/>
      </c>
      <c r="E90" s="133" t="str">
        <f>IF($A90&lt;&gt;0,VLOOKUP($A90,'0.Productos'!$A$3:$GG$587,'0.Productos'!AW$1+1,0),"")</f>
        <v/>
      </c>
      <c r="F90" s="133" t="str">
        <f>IF($A90&lt;&gt;0,VLOOKUP($A90,'0.Productos'!$A$3:$GG$587,'0.Productos'!AX$1+1,0),"")</f>
        <v/>
      </c>
      <c r="G90" s="133" t="str">
        <f>IF($A90&lt;&gt;0,VLOOKUP($A90,'0.Productos'!$A$3:$GG$587,'0.Productos'!AY$1+1,0),"")</f>
        <v/>
      </c>
      <c r="H90" s="133" t="str">
        <f>IF($A90&lt;&gt;0,VLOOKUP($A90,'0.Productos'!$A$3:$GG$587,'0.Productos'!AZ$1+1,0),"")</f>
        <v/>
      </c>
      <c r="I90" s="133" t="str">
        <f>IF($A90&lt;&gt;0,VLOOKUP($A90,'0.Productos'!$A$3:$GG$587,'0.Productos'!BA$1+1,0),"")</f>
        <v/>
      </c>
      <c r="J90" s="133" t="str">
        <f>IF($A90&lt;&gt;0,VLOOKUP($A90,'0.Productos'!$A$3:$GG$587,'0.Productos'!BB$1+1,0),"")</f>
        <v/>
      </c>
      <c r="K90" s="133" t="str">
        <f>IF($A90&lt;&gt;0,VLOOKUP($A90,'0.Productos'!$A$3:$GG$587,'0.Productos'!BC$1+1,0),"")</f>
        <v/>
      </c>
      <c r="L90" s="133" t="str">
        <f>IF($A90&lt;&gt;0,VLOOKUP($A90,'0.Productos'!$A$3:$GG$587,'0.Productos'!BD$1+1,0),"")</f>
        <v/>
      </c>
      <c r="M90" s="133" t="str">
        <f>IF($A90&lt;&gt;0,VLOOKUP($A90,'0.Productos'!$A$3:$GG$587,'0.Productos'!BE$1+1,0),"")</f>
        <v/>
      </c>
      <c r="N90" s="133" t="str">
        <f>IF($A90&lt;&gt;0,VLOOKUP($A90,'0.Productos'!$A$3:$GG$587,'0.Productos'!BF$1+1,0),"")</f>
        <v/>
      </c>
      <c r="O90" s="133" t="str">
        <f>IF($A90&lt;&gt;0,VLOOKUP($A90,'0.Productos'!$A$3:$GG$587,'0.Productos'!BG$1+1,0),"")</f>
        <v/>
      </c>
      <c r="P90" s="133" t="str">
        <f>IF($A90&lt;&gt;0,VLOOKUP($A90,'0.Productos'!$A$3:$GG$587,'0.Productos'!BH$1+1,0),"")</f>
        <v/>
      </c>
      <c r="Q90" s="133" t="str">
        <f>IF($A90&lt;&gt;0,VLOOKUP($A90,'0.Productos'!$A$3:$GG$587,'0.Productos'!BI$1+1,0),"")</f>
        <v/>
      </c>
      <c r="R90" s="133" t="str">
        <f>IF($A90&lt;&gt;0,VLOOKUP($A90,'0.Productos'!$A$3:$GG$587,'0.Productos'!BJ$1+1,0),"")</f>
        <v/>
      </c>
      <c r="S90" s="133" t="str">
        <f>IF($A90&lt;&gt;0,VLOOKUP($A90,'0.Productos'!$A$3:$GG$587,'0.Productos'!BK$1+1,0),"")</f>
        <v/>
      </c>
      <c r="T90" s="133" t="str">
        <f>IF($A90&lt;&gt;0,VLOOKUP($A90,'0.Productos'!$A$3:$GG$587,'0.Productos'!BL$1+1,0),"")</f>
        <v/>
      </c>
      <c r="U90" s="133" t="str">
        <f>IF($A90&lt;&gt;0,VLOOKUP($A90,'0.Productos'!$A$3:$GG$587,'0.Productos'!BM$1+1,0),"")</f>
        <v/>
      </c>
      <c r="V90" s="133" t="str">
        <f>IF($A90&lt;&gt;0,VLOOKUP($A90,'0.Productos'!$A$3:$GG$587,'0.Productos'!BN$1+1,0),"")</f>
        <v/>
      </c>
      <c r="W90" s="133" t="str">
        <f>IF($A90&lt;&gt;0,VLOOKUP($A90,'0.Productos'!$A$3:$GG$587,'0.Productos'!BO$1+1,0),"")</f>
        <v/>
      </c>
      <c r="X90" s="133" t="str">
        <f>IF($A90&lt;&gt;0,VLOOKUP($A90,'0.Productos'!$A$3:$GG$587,'0.Productos'!BP$1+1,0),"")</f>
        <v/>
      </c>
      <c r="Y90" s="133" t="str">
        <f>IF($A90&lt;&gt;0,VLOOKUP($A90,'0.Productos'!$A$3:$GG$587,'0.Productos'!BQ$1+1,0),"")</f>
        <v/>
      </c>
      <c r="Z90" s="133" t="str">
        <f>IF($A90&lt;&gt;0,VLOOKUP($A90,'0.Productos'!$A$3:$GG$587,'0.Productos'!BR$1+1,0),"")</f>
        <v/>
      </c>
      <c r="AA90" s="133" t="str">
        <f>IF($A90&lt;&gt;0,VLOOKUP($A90,'0.Productos'!$A$3:$GG$587,'0.Productos'!BS$1+1,0),"")</f>
        <v/>
      </c>
      <c r="AB90" s="133" t="str">
        <f>IF($A90&lt;&gt;0,VLOOKUP($A90,'0.Productos'!$A$3:$GG$587,'0.Productos'!BT$1+1,0),"")</f>
        <v/>
      </c>
      <c r="AC90" s="133" t="str">
        <f>IF($A90&lt;&gt;0,VLOOKUP($A90,'0.Productos'!$A$3:$GG$587,'0.Productos'!BU$1+1,0),"")</f>
        <v/>
      </c>
      <c r="AD90" s="133" t="str">
        <f>IF($A90&lt;&gt;0,VLOOKUP($A90,'0.Productos'!$A$3:$GG$587,'0.Productos'!BV$1+1,0),"")</f>
        <v/>
      </c>
      <c r="AE90" s="133" t="str">
        <f>IF($A90&lt;&gt;0,VLOOKUP($A90,'0.Productos'!$A$3:$GG$587,'0.Productos'!BW$1+1,0),"")</f>
        <v/>
      </c>
      <c r="AF90" s="133" t="str">
        <f>IF($A90&lt;&gt;0,VLOOKUP($A90,'0.Productos'!$A$3:$GG$587,'0.Productos'!BX$1+1,0),"")</f>
        <v/>
      </c>
      <c r="AG90" s="133" t="str">
        <f>IF($A90&lt;&gt;0,VLOOKUP($A90,'0.Productos'!$A$3:$GG$587,'0.Productos'!BY$1+1,0),"")</f>
        <v/>
      </c>
      <c r="AH90" s="133" t="str">
        <f>IF($A90&lt;&gt;0,VLOOKUP($A90,'0.Productos'!$A$3:$GG$587,'0.Productos'!BZ$1+1,0),"")</f>
        <v/>
      </c>
      <c r="AI90" s="133" t="str">
        <f>IF($A90&lt;&gt;0,VLOOKUP($A90,'0.Productos'!$A$3:$GG$587,'0.Productos'!CA$1+1,0),"")</f>
        <v/>
      </c>
      <c r="AJ90" s="133" t="str">
        <f>IF($A90&lt;&gt;0,VLOOKUP($A90,'0.Productos'!$A$3:$GG$587,'0.Productos'!CB$1+1,0),"")</f>
        <v/>
      </c>
      <c r="AK90" s="133" t="str">
        <f>IF($A90&lt;&gt;0,VLOOKUP($A90,'0.Productos'!$A$3:$GG$587,'0.Productos'!CC$1+1,0),"")</f>
        <v/>
      </c>
      <c r="AL90" s="133" t="str">
        <f>IF($A90&lt;&gt;0,VLOOKUP($A90,'0.Productos'!$A$3:$GG$587,'0.Productos'!CD$1+1,0),"")</f>
        <v/>
      </c>
      <c r="AM90" s="133" t="str">
        <f>IF($A90&lt;&gt;0,VLOOKUP($A90,'0.Productos'!$A$3:$GG$587,'0.Productos'!CE$1+1,0),"")</f>
        <v/>
      </c>
      <c r="AN90" s="133" t="str">
        <f>IF($A90&lt;&gt;0,VLOOKUP($A90,'0.Productos'!$A$3:$GG$587,'0.Productos'!CF$1+1,0),"")</f>
        <v/>
      </c>
      <c r="AO90" s="133" t="str">
        <f>IF($A90&lt;&gt;0,VLOOKUP($A90,'0.Productos'!$A$3:$GG$587,'0.Productos'!CG$1+1,0),"")</f>
        <v/>
      </c>
      <c r="AP90" s="133" t="str">
        <f>IF($A90&lt;&gt;0,VLOOKUP($A90,'0.Productos'!$A$3:$GG$587,'0.Productos'!CH$1+1,0),"")</f>
        <v/>
      </c>
      <c r="AQ90" s="133" t="str">
        <f>IF($A90&lt;&gt;0,VLOOKUP($A90,'0.Productos'!$A$3:$GG$587,'0.Productos'!CI$1+1,0),"")</f>
        <v/>
      </c>
      <c r="AR90" s="133" t="str">
        <f>IF($A90&lt;&gt;0,VLOOKUP($A90,'0.Productos'!$A$3:$GG$587,'0.Productos'!CJ$1+1,0),"")</f>
        <v/>
      </c>
      <c r="AS90" s="133" t="str">
        <f>IF($A90&lt;&gt;0,VLOOKUP($A90,'0.Productos'!$A$3:$GG$587,'0.Productos'!CK$1+1,0),"")</f>
        <v/>
      </c>
      <c r="AT90" s="133" t="str">
        <f>IF($A90&lt;&gt;0,VLOOKUP($A90,'0.Productos'!$A$3:$GG$587,'0.Productos'!CL$1+1,0),"")</f>
        <v/>
      </c>
      <c r="AU90" s="133" t="str">
        <f>IF($A90&lt;&gt;0,VLOOKUP($A90,'0.Productos'!$A$3:$GG$587,'0.Productos'!CM$1+1,0),"")</f>
        <v/>
      </c>
      <c r="AV90" s="133" t="str">
        <f>IF($A90&lt;&gt;0,VLOOKUP($A90,'0.Productos'!$A$3:$GG$587,'0.Productos'!CN$1+1,0),"")</f>
        <v/>
      </c>
      <c r="AW90" s="133" t="str">
        <f>IF($A90&lt;&gt;0,VLOOKUP($A90,'0.Productos'!$A$3:$GG$587,'0.Productos'!CO$1+1,0),"")</f>
        <v/>
      </c>
      <c r="AX90" s="133" t="str">
        <f>IF($A90&lt;&gt;0,VLOOKUP($A90,'0.Productos'!$A$3:$GG$587,'0.Productos'!CP$1+1,0),"")</f>
        <v/>
      </c>
      <c r="AY90" s="133" t="str">
        <f>IF($A90&lt;&gt;0,VLOOKUP($A90,'0.Productos'!$A$3:$GG$587,'0.Productos'!CQ$1+1,0),"")</f>
        <v/>
      </c>
      <c r="AZ90" s="133" t="str">
        <f>IF($A90&lt;&gt;0,VLOOKUP($A90,'0.Productos'!$A$3:$GG$587,'0.Productos'!CR$1+1,0),"")</f>
        <v/>
      </c>
      <c r="BA90" s="133" t="str">
        <f>IF($A90&lt;&gt;0,VLOOKUP($A90,'0.Productos'!$A$3:$GG$587,'0.Productos'!CS$1+1,0),"")</f>
        <v/>
      </c>
      <c r="BB90" s="133" t="str">
        <f>IF($A90&lt;&gt;0,VLOOKUP($A90,'0.Productos'!$A$3:$GG$587,'0.Productos'!CT$1+1,0),"")</f>
        <v/>
      </c>
      <c r="BC90" s="133" t="str">
        <f>IF($A90&lt;&gt;0,VLOOKUP($A90,'0.Productos'!$A$3:$GG$587,'0.Productos'!CU$1+1,0),"")</f>
        <v/>
      </c>
      <c r="BD90" s="133" t="str">
        <f>IF($A90&lt;&gt;0,VLOOKUP($A90,'0.Productos'!$A$3:$GG$587,'0.Productos'!CV$1+1,0),"")</f>
        <v/>
      </c>
      <c r="BE90" s="133" t="str">
        <f>IF($A90&lt;&gt;0,VLOOKUP($A90,'0.Productos'!$A$3:$GG$587,'0.Productos'!CW$1+1,0),"")</f>
        <v/>
      </c>
      <c r="BF90" s="133" t="str">
        <f>IF($A90&lt;&gt;0,VLOOKUP($A90,'0.Productos'!$A$3:$GG$587,'0.Productos'!CX$1+1,0),"")</f>
        <v/>
      </c>
      <c r="BG90" s="133" t="str">
        <f>IF($A90&lt;&gt;0,VLOOKUP($A90,'0.Productos'!$A$3:$GG$587,'0.Productos'!CY$1+1,0),"")</f>
        <v/>
      </c>
      <c r="BH90" s="133" t="str">
        <f>IF($A90&lt;&gt;0,VLOOKUP($A90,'0.Productos'!$A$3:$GG$587,'0.Productos'!CZ$1+1,0),"")</f>
        <v/>
      </c>
      <c r="BI90" s="133" t="str">
        <f>IF($A90&lt;&gt;0,VLOOKUP($A90,'0.Productos'!$A$3:$GG$587,'0.Productos'!DA$1+1,0),"")</f>
        <v/>
      </c>
      <c r="BJ90" s="133" t="str">
        <f>IF($A90&lt;&gt;0,VLOOKUP($A90,'0.Productos'!$A$3:$GG$587,'0.Productos'!DB$1+1,0),"")</f>
        <v/>
      </c>
      <c r="BK90" s="133" t="str">
        <f>IF($A90&lt;&gt;0,VLOOKUP($A90,'0.Productos'!$A$3:$GG$587,'0.Productos'!DC$1+1,0),"")</f>
        <v/>
      </c>
      <c r="BL90" s="133" t="str">
        <f>IF($A90&lt;&gt;0,VLOOKUP($A90,'0.Productos'!$A$3:$GG$587,'0.Productos'!DD$1+1,0),"")</f>
        <v/>
      </c>
      <c r="BM90" s="133" t="str">
        <f>IF($A90&lt;&gt;0,VLOOKUP($A90,'0.Productos'!$A$3:$GG$587,'0.Productos'!DE$1+1,0),"")</f>
        <v/>
      </c>
      <c r="BN90" s="133" t="str">
        <f>IF($A90&lt;&gt;0,VLOOKUP($A90,'0.Productos'!$A$3:$GG$587,'0.Productos'!DF$1+1,0),"")</f>
        <v/>
      </c>
      <c r="BO90" s="133" t="str">
        <f>IF($A90&lt;&gt;0,VLOOKUP($A90,'0.Productos'!$A$3:$GG$587,'0.Productos'!DG$1+1,0),"")</f>
        <v/>
      </c>
      <c r="BP90" s="133" t="str">
        <f>IF($A90&lt;&gt;0,VLOOKUP($A90,'0.Productos'!$A$3:$GG$587,'0.Productos'!DH$1+1,0),"")</f>
        <v/>
      </c>
      <c r="BQ90" s="133" t="str">
        <f>IF($A90&lt;&gt;0,VLOOKUP($A90,'0.Productos'!$A$3:$GG$587,'0.Productos'!DI$1+1,0),"")</f>
        <v/>
      </c>
      <c r="BR90" s="133" t="str">
        <f>IF($A90&lt;&gt;0,VLOOKUP($A90,'0.Productos'!$A$3:$GG$587,'0.Productos'!DJ$1+1,0),"")</f>
        <v/>
      </c>
      <c r="BS90" s="133" t="str">
        <f>IF($A90&lt;&gt;0,VLOOKUP($A90,'0.Productos'!$A$3:$GG$587,'0.Productos'!DK$1+1,0),"")</f>
        <v/>
      </c>
      <c r="BT90" s="133" t="str">
        <f>IF($A90&lt;&gt;0,VLOOKUP($A90,'0.Productos'!$A$3:$GG$587,'0.Productos'!DL$1+1,0),"")</f>
        <v/>
      </c>
    </row>
    <row r="91" spans="1:72" x14ac:dyDescent="0.25">
      <c r="A91" s="17">
        <f>'0.Consolidado general'!A91</f>
        <v>0</v>
      </c>
      <c r="B91" s="133" t="str">
        <f>IF($A91&lt;&gt;0,VLOOKUP($A91,'0.Productos'!$A$3:$GG$587,'0.Productos'!AT$1+1,0),"")</f>
        <v/>
      </c>
      <c r="C91" s="133" t="str">
        <f>IF($A91&lt;&gt;0,VLOOKUP($A91,'0.Productos'!$A$3:$GG$587,'0.Productos'!AU$1+1,0),"")</f>
        <v/>
      </c>
      <c r="D91" s="133" t="str">
        <f>IF($A91&lt;&gt;0,VLOOKUP($A91,'0.Productos'!$A$3:$GG$587,'0.Productos'!AV$1+1,0),"")</f>
        <v/>
      </c>
      <c r="E91" s="133" t="str">
        <f>IF($A91&lt;&gt;0,VLOOKUP($A91,'0.Productos'!$A$3:$GG$587,'0.Productos'!AW$1+1,0),"")</f>
        <v/>
      </c>
      <c r="F91" s="133" t="str">
        <f>IF($A91&lt;&gt;0,VLOOKUP($A91,'0.Productos'!$A$3:$GG$587,'0.Productos'!AX$1+1,0),"")</f>
        <v/>
      </c>
      <c r="G91" s="133" t="str">
        <f>IF($A91&lt;&gt;0,VLOOKUP($A91,'0.Productos'!$A$3:$GG$587,'0.Productos'!AY$1+1,0),"")</f>
        <v/>
      </c>
      <c r="H91" s="133" t="str">
        <f>IF($A91&lt;&gt;0,VLOOKUP($A91,'0.Productos'!$A$3:$GG$587,'0.Productos'!AZ$1+1,0),"")</f>
        <v/>
      </c>
      <c r="I91" s="133" t="str">
        <f>IF($A91&lt;&gt;0,VLOOKUP($A91,'0.Productos'!$A$3:$GG$587,'0.Productos'!BA$1+1,0),"")</f>
        <v/>
      </c>
      <c r="J91" s="133" t="str">
        <f>IF($A91&lt;&gt;0,VLOOKUP($A91,'0.Productos'!$A$3:$GG$587,'0.Productos'!BB$1+1,0),"")</f>
        <v/>
      </c>
      <c r="K91" s="133" t="str">
        <f>IF($A91&lt;&gt;0,VLOOKUP($A91,'0.Productos'!$A$3:$GG$587,'0.Productos'!BC$1+1,0),"")</f>
        <v/>
      </c>
      <c r="L91" s="133" t="str">
        <f>IF($A91&lt;&gt;0,VLOOKUP($A91,'0.Productos'!$A$3:$GG$587,'0.Productos'!BD$1+1,0),"")</f>
        <v/>
      </c>
      <c r="M91" s="133" t="str">
        <f>IF($A91&lt;&gt;0,VLOOKUP($A91,'0.Productos'!$A$3:$GG$587,'0.Productos'!BE$1+1,0),"")</f>
        <v/>
      </c>
      <c r="N91" s="133" t="str">
        <f>IF($A91&lt;&gt;0,VLOOKUP($A91,'0.Productos'!$A$3:$GG$587,'0.Productos'!BF$1+1,0),"")</f>
        <v/>
      </c>
      <c r="O91" s="133" t="str">
        <f>IF($A91&lt;&gt;0,VLOOKUP($A91,'0.Productos'!$A$3:$GG$587,'0.Productos'!BG$1+1,0),"")</f>
        <v/>
      </c>
      <c r="P91" s="133" t="str">
        <f>IF($A91&lt;&gt;0,VLOOKUP($A91,'0.Productos'!$A$3:$GG$587,'0.Productos'!BH$1+1,0),"")</f>
        <v/>
      </c>
      <c r="Q91" s="133" t="str">
        <f>IF($A91&lt;&gt;0,VLOOKUP($A91,'0.Productos'!$A$3:$GG$587,'0.Productos'!BI$1+1,0),"")</f>
        <v/>
      </c>
      <c r="R91" s="133" t="str">
        <f>IF($A91&lt;&gt;0,VLOOKUP($A91,'0.Productos'!$A$3:$GG$587,'0.Productos'!BJ$1+1,0),"")</f>
        <v/>
      </c>
      <c r="S91" s="133" t="str">
        <f>IF($A91&lt;&gt;0,VLOOKUP($A91,'0.Productos'!$A$3:$GG$587,'0.Productos'!BK$1+1,0),"")</f>
        <v/>
      </c>
      <c r="T91" s="133" t="str">
        <f>IF($A91&lt;&gt;0,VLOOKUP($A91,'0.Productos'!$A$3:$GG$587,'0.Productos'!BL$1+1,0),"")</f>
        <v/>
      </c>
      <c r="U91" s="133" t="str">
        <f>IF($A91&lt;&gt;0,VLOOKUP($A91,'0.Productos'!$A$3:$GG$587,'0.Productos'!BM$1+1,0),"")</f>
        <v/>
      </c>
      <c r="V91" s="133" t="str">
        <f>IF($A91&lt;&gt;0,VLOOKUP($A91,'0.Productos'!$A$3:$GG$587,'0.Productos'!BN$1+1,0),"")</f>
        <v/>
      </c>
      <c r="W91" s="133" t="str">
        <f>IF($A91&lt;&gt;0,VLOOKUP($A91,'0.Productos'!$A$3:$GG$587,'0.Productos'!BO$1+1,0),"")</f>
        <v/>
      </c>
      <c r="X91" s="133" t="str">
        <f>IF($A91&lt;&gt;0,VLOOKUP($A91,'0.Productos'!$A$3:$GG$587,'0.Productos'!BP$1+1,0),"")</f>
        <v/>
      </c>
      <c r="Y91" s="133" t="str">
        <f>IF($A91&lt;&gt;0,VLOOKUP($A91,'0.Productos'!$A$3:$GG$587,'0.Productos'!BQ$1+1,0),"")</f>
        <v/>
      </c>
      <c r="Z91" s="133" t="str">
        <f>IF($A91&lt;&gt;0,VLOOKUP($A91,'0.Productos'!$A$3:$GG$587,'0.Productos'!BR$1+1,0),"")</f>
        <v/>
      </c>
      <c r="AA91" s="133" t="str">
        <f>IF($A91&lt;&gt;0,VLOOKUP($A91,'0.Productos'!$A$3:$GG$587,'0.Productos'!BS$1+1,0),"")</f>
        <v/>
      </c>
      <c r="AB91" s="133" t="str">
        <f>IF($A91&lt;&gt;0,VLOOKUP($A91,'0.Productos'!$A$3:$GG$587,'0.Productos'!BT$1+1,0),"")</f>
        <v/>
      </c>
      <c r="AC91" s="133" t="str">
        <f>IF($A91&lt;&gt;0,VLOOKUP($A91,'0.Productos'!$A$3:$GG$587,'0.Productos'!BU$1+1,0),"")</f>
        <v/>
      </c>
      <c r="AD91" s="133" t="str">
        <f>IF($A91&lt;&gt;0,VLOOKUP($A91,'0.Productos'!$A$3:$GG$587,'0.Productos'!BV$1+1,0),"")</f>
        <v/>
      </c>
      <c r="AE91" s="133" t="str">
        <f>IF($A91&lt;&gt;0,VLOOKUP($A91,'0.Productos'!$A$3:$GG$587,'0.Productos'!BW$1+1,0),"")</f>
        <v/>
      </c>
      <c r="AF91" s="133" t="str">
        <f>IF($A91&lt;&gt;0,VLOOKUP($A91,'0.Productos'!$A$3:$GG$587,'0.Productos'!BX$1+1,0),"")</f>
        <v/>
      </c>
      <c r="AG91" s="133" t="str">
        <f>IF($A91&lt;&gt;0,VLOOKUP($A91,'0.Productos'!$A$3:$GG$587,'0.Productos'!BY$1+1,0),"")</f>
        <v/>
      </c>
      <c r="AH91" s="133" t="str">
        <f>IF($A91&lt;&gt;0,VLOOKUP($A91,'0.Productos'!$A$3:$GG$587,'0.Productos'!BZ$1+1,0),"")</f>
        <v/>
      </c>
      <c r="AI91" s="133" t="str">
        <f>IF($A91&lt;&gt;0,VLOOKUP($A91,'0.Productos'!$A$3:$GG$587,'0.Productos'!CA$1+1,0),"")</f>
        <v/>
      </c>
      <c r="AJ91" s="133" t="str">
        <f>IF($A91&lt;&gt;0,VLOOKUP($A91,'0.Productos'!$A$3:$GG$587,'0.Productos'!CB$1+1,0),"")</f>
        <v/>
      </c>
      <c r="AK91" s="133" t="str">
        <f>IF($A91&lt;&gt;0,VLOOKUP($A91,'0.Productos'!$A$3:$GG$587,'0.Productos'!CC$1+1,0),"")</f>
        <v/>
      </c>
      <c r="AL91" s="133" t="str">
        <f>IF($A91&lt;&gt;0,VLOOKUP($A91,'0.Productos'!$A$3:$GG$587,'0.Productos'!CD$1+1,0),"")</f>
        <v/>
      </c>
      <c r="AM91" s="133" t="str">
        <f>IF($A91&lt;&gt;0,VLOOKUP($A91,'0.Productos'!$A$3:$GG$587,'0.Productos'!CE$1+1,0),"")</f>
        <v/>
      </c>
      <c r="AN91" s="133" t="str">
        <f>IF($A91&lt;&gt;0,VLOOKUP($A91,'0.Productos'!$A$3:$GG$587,'0.Productos'!CF$1+1,0),"")</f>
        <v/>
      </c>
      <c r="AO91" s="133" t="str">
        <f>IF($A91&lt;&gt;0,VLOOKUP($A91,'0.Productos'!$A$3:$GG$587,'0.Productos'!CG$1+1,0),"")</f>
        <v/>
      </c>
      <c r="AP91" s="133" t="str">
        <f>IF($A91&lt;&gt;0,VLOOKUP($A91,'0.Productos'!$A$3:$GG$587,'0.Productos'!CH$1+1,0),"")</f>
        <v/>
      </c>
      <c r="AQ91" s="133" t="str">
        <f>IF($A91&lt;&gt;0,VLOOKUP($A91,'0.Productos'!$A$3:$GG$587,'0.Productos'!CI$1+1,0),"")</f>
        <v/>
      </c>
      <c r="AR91" s="133" t="str">
        <f>IF($A91&lt;&gt;0,VLOOKUP($A91,'0.Productos'!$A$3:$GG$587,'0.Productos'!CJ$1+1,0),"")</f>
        <v/>
      </c>
      <c r="AS91" s="133" t="str">
        <f>IF($A91&lt;&gt;0,VLOOKUP($A91,'0.Productos'!$A$3:$GG$587,'0.Productos'!CK$1+1,0),"")</f>
        <v/>
      </c>
      <c r="AT91" s="133" t="str">
        <f>IF($A91&lt;&gt;0,VLOOKUP($A91,'0.Productos'!$A$3:$GG$587,'0.Productos'!CL$1+1,0),"")</f>
        <v/>
      </c>
      <c r="AU91" s="133" t="str">
        <f>IF($A91&lt;&gt;0,VLOOKUP($A91,'0.Productos'!$A$3:$GG$587,'0.Productos'!CM$1+1,0),"")</f>
        <v/>
      </c>
      <c r="AV91" s="133" t="str">
        <f>IF($A91&lt;&gt;0,VLOOKUP($A91,'0.Productos'!$A$3:$GG$587,'0.Productos'!CN$1+1,0),"")</f>
        <v/>
      </c>
      <c r="AW91" s="133" t="str">
        <f>IF($A91&lt;&gt;0,VLOOKUP($A91,'0.Productos'!$A$3:$GG$587,'0.Productos'!CO$1+1,0),"")</f>
        <v/>
      </c>
      <c r="AX91" s="133" t="str">
        <f>IF($A91&lt;&gt;0,VLOOKUP($A91,'0.Productos'!$A$3:$GG$587,'0.Productos'!CP$1+1,0),"")</f>
        <v/>
      </c>
      <c r="AY91" s="133" t="str">
        <f>IF($A91&lt;&gt;0,VLOOKUP($A91,'0.Productos'!$A$3:$GG$587,'0.Productos'!CQ$1+1,0),"")</f>
        <v/>
      </c>
      <c r="AZ91" s="133" t="str">
        <f>IF($A91&lt;&gt;0,VLOOKUP($A91,'0.Productos'!$A$3:$GG$587,'0.Productos'!CR$1+1,0),"")</f>
        <v/>
      </c>
      <c r="BA91" s="133" t="str">
        <f>IF($A91&lt;&gt;0,VLOOKUP($A91,'0.Productos'!$A$3:$GG$587,'0.Productos'!CS$1+1,0),"")</f>
        <v/>
      </c>
      <c r="BB91" s="133" t="str">
        <f>IF($A91&lt;&gt;0,VLOOKUP($A91,'0.Productos'!$A$3:$GG$587,'0.Productos'!CT$1+1,0),"")</f>
        <v/>
      </c>
      <c r="BC91" s="133" t="str">
        <f>IF($A91&lt;&gt;0,VLOOKUP($A91,'0.Productos'!$A$3:$GG$587,'0.Productos'!CU$1+1,0),"")</f>
        <v/>
      </c>
      <c r="BD91" s="133" t="str">
        <f>IF($A91&lt;&gt;0,VLOOKUP($A91,'0.Productos'!$A$3:$GG$587,'0.Productos'!CV$1+1,0),"")</f>
        <v/>
      </c>
      <c r="BE91" s="133" t="str">
        <f>IF($A91&lt;&gt;0,VLOOKUP($A91,'0.Productos'!$A$3:$GG$587,'0.Productos'!CW$1+1,0),"")</f>
        <v/>
      </c>
      <c r="BF91" s="133" t="str">
        <f>IF($A91&lt;&gt;0,VLOOKUP($A91,'0.Productos'!$A$3:$GG$587,'0.Productos'!CX$1+1,0),"")</f>
        <v/>
      </c>
      <c r="BG91" s="133" t="str">
        <f>IF($A91&lt;&gt;0,VLOOKUP($A91,'0.Productos'!$A$3:$GG$587,'0.Productos'!CY$1+1,0),"")</f>
        <v/>
      </c>
      <c r="BH91" s="133" t="str">
        <f>IF($A91&lt;&gt;0,VLOOKUP($A91,'0.Productos'!$A$3:$GG$587,'0.Productos'!CZ$1+1,0),"")</f>
        <v/>
      </c>
      <c r="BI91" s="133" t="str">
        <f>IF($A91&lt;&gt;0,VLOOKUP($A91,'0.Productos'!$A$3:$GG$587,'0.Productos'!DA$1+1,0),"")</f>
        <v/>
      </c>
      <c r="BJ91" s="133" t="str">
        <f>IF($A91&lt;&gt;0,VLOOKUP($A91,'0.Productos'!$A$3:$GG$587,'0.Productos'!DB$1+1,0),"")</f>
        <v/>
      </c>
      <c r="BK91" s="133" t="str">
        <f>IF($A91&lt;&gt;0,VLOOKUP($A91,'0.Productos'!$A$3:$GG$587,'0.Productos'!DC$1+1,0),"")</f>
        <v/>
      </c>
      <c r="BL91" s="133" t="str">
        <f>IF($A91&lt;&gt;0,VLOOKUP($A91,'0.Productos'!$A$3:$GG$587,'0.Productos'!DD$1+1,0),"")</f>
        <v/>
      </c>
      <c r="BM91" s="133" t="str">
        <f>IF($A91&lt;&gt;0,VLOOKUP($A91,'0.Productos'!$A$3:$GG$587,'0.Productos'!DE$1+1,0),"")</f>
        <v/>
      </c>
      <c r="BN91" s="133" t="str">
        <f>IF($A91&lt;&gt;0,VLOOKUP($A91,'0.Productos'!$A$3:$GG$587,'0.Productos'!DF$1+1,0),"")</f>
        <v/>
      </c>
      <c r="BO91" s="133" t="str">
        <f>IF($A91&lt;&gt;0,VLOOKUP($A91,'0.Productos'!$A$3:$GG$587,'0.Productos'!DG$1+1,0),"")</f>
        <v/>
      </c>
      <c r="BP91" s="133" t="str">
        <f>IF($A91&lt;&gt;0,VLOOKUP($A91,'0.Productos'!$A$3:$GG$587,'0.Productos'!DH$1+1,0),"")</f>
        <v/>
      </c>
      <c r="BQ91" s="133" t="str">
        <f>IF($A91&lt;&gt;0,VLOOKUP($A91,'0.Productos'!$A$3:$GG$587,'0.Productos'!DI$1+1,0),"")</f>
        <v/>
      </c>
      <c r="BR91" s="133" t="str">
        <f>IF($A91&lt;&gt;0,VLOOKUP($A91,'0.Productos'!$A$3:$GG$587,'0.Productos'!DJ$1+1,0),"")</f>
        <v/>
      </c>
      <c r="BS91" s="133" t="str">
        <f>IF($A91&lt;&gt;0,VLOOKUP($A91,'0.Productos'!$A$3:$GG$587,'0.Productos'!DK$1+1,0),"")</f>
        <v/>
      </c>
      <c r="BT91" s="133" t="str">
        <f>IF($A91&lt;&gt;0,VLOOKUP($A91,'0.Productos'!$A$3:$GG$587,'0.Productos'!DL$1+1,0),"")</f>
        <v/>
      </c>
    </row>
    <row r="92" spans="1:72" x14ac:dyDescent="0.25">
      <c r="A92" s="17">
        <f>'0.Consolidado general'!A92</f>
        <v>0</v>
      </c>
      <c r="B92" s="133" t="str">
        <f>IF($A92&lt;&gt;0,VLOOKUP($A92,'0.Productos'!$A$3:$GG$587,'0.Productos'!AT$1+1,0),"")</f>
        <v/>
      </c>
      <c r="C92" s="133" t="str">
        <f>IF($A92&lt;&gt;0,VLOOKUP($A92,'0.Productos'!$A$3:$GG$587,'0.Productos'!AU$1+1,0),"")</f>
        <v/>
      </c>
      <c r="D92" s="133" t="str">
        <f>IF($A92&lt;&gt;0,VLOOKUP($A92,'0.Productos'!$A$3:$GG$587,'0.Productos'!AV$1+1,0),"")</f>
        <v/>
      </c>
      <c r="E92" s="133" t="str">
        <f>IF($A92&lt;&gt;0,VLOOKUP($A92,'0.Productos'!$A$3:$GG$587,'0.Productos'!AW$1+1,0),"")</f>
        <v/>
      </c>
      <c r="F92" s="133" t="str">
        <f>IF($A92&lt;&gt;0,VLOOKUP($A92,'0.Productos'!$A$3:$GG$587,'0.Productos'!AX$1+1,0),"")</f>
        <v/>
      </c>
      <c r="G92" s="133" t="str">
        <f>IF($A92&lt;&gt;0,VLOOKUP($A92,'0.Productos'!$A$3:$GG$587,'0.Productos'!AY$1+1,0),"")</f>
        <v/>
      </c>
      <c r="H92" s="133" t="str">
        <f>IF($A92&lt;&gt;0,VLOOKUP($A92,'0.Productos'!$A$3:$GG$587,'0.Productos'!AZ$1+1,0),"")</f>
        <v/>
      </c>
      <c r="I92" s="133" t="str">
        <f>IF($A92&lt;&gt;0,VLOOKUP($A92,'0.Productos'!$A$3:$GG$587,'0.Productos'!BA$1+1,0),"")</f>
        <v/>
      </c>
      <c r="J92" s="133" t="str">
        <f>IF($A92&lt;&gt;0,VLOOKUP($A92,'0.Productos'!$A$3:$GG$587,'0.Productos'!BB$1+1,0),"")</f>
        <v/>
      </c>
      <c r="K92" s="133" t="str">
        <f>IF($A92&lt;&gt;0,VLOOKUP($A92,'0.Productos'!$A$3:$GG$587,'0.Productos'!BC$1+1,0),"")</f>
        <v/>
      </c>
      <c r="L92" s="133" t="str">
        <f>IF($A92&lt;&gt;0,VLOOKUP($A92,'0.Productos'!$A$3:$GG$587,'0.Productos'!BD$1+1,0),"")</f>
        <v/>
      </c>
      <c r="M92" s="133" t="str">
        <f>IF($A92&lt;&gt;0,VLOOKUP($A92,'0.Productos'!$A$3:$GG$587,'0.Productos'!BE$1+1,0),"")</f>
        <v/>
      </c>
      <c r="N92" s="133" t="str">
        <f>IF($A92&lt;&gt;0,VLOOKUP($A92,'0.Productos'!$A$3:$GG$587,'0.Productos'!BF$1+1,0),"")</f>
        <v/>
      </c>
      <c r="O92" s="133" t="str">
        <f>IF($A92&lt;&gt;0,VLOOKUP($A92,'0.Productos'!$A$3:$GG$587,'0.Productos'!BG$1+1,0),"")</f>
        <v/>
      </c>
      <c r="P92" s="133" t="str">
        <f>IF($A92&lt;&gt;0,VLOOKUP($A92,'0.Productos'!$A$3:$GG$587,'0.Productos'!BH$1+1,0),"")</f>
        <v/>
      </c>
      <c r="Q92" s="133" t="str">
        <f>IF($A92&lt;&gt;0,VLOOKUP($A92,'0.Productos'!$A$3:$GG$587,'0.Productos'!BI$1+1,0),"")</f>
        <v/>
      </c>
      <c r="R92" s="133" t="str">
        <f>IF($A92&lt;&gt;0,VLOOKUP($A92,'0.Productos'!$A$3:$GG$587,'0.Productos'!BJ$1+1,0),"")</f>
        <v/>
      </c>
      <c r="S92" s="133" t="str">
        <f>IF($A92&lt;&gt;0,VLOOKUP($A92,'0.Productos'!$A$3:$GG$587,'0.Productos'!BK$1+1,0),"")</f>
        <v/>
      </c>
      <c r="T92" s="133" t="str">
        <f>IF($A92&lt;&gt;0,VLOOKUP($A92,'0.Productos'!$A$3:$GG$587,'0.Productos'!BL$1+1,0),"")</f>
        <v/>
      </c>
      <c r="U92" s="133" t="str">
        <f>IF($A92&lt;&gt;0,VLOOKUP($A92,'0.Productos'!$A$3:$GG$587,'0.Productos'!BM$1+1,0),"")</f>
        <v/>
      </c>
      <c r="V92" s="133" t="str">
        <f>IF($A92&lt;&gt;0,VLOOKUP($A92,'0.Productos'!$A$3:$GG$587,'0.Productos'!BN$1+1,0),"")</f>
        <v/>
      </c>
      <c r="W92" s="133" t="str">
        <f>IF($A92&lt;&gt;0,VLOOKUP($A92,'0.Productos'!$A$3:$GG$587,'0.Productos'!BO$1+1,0),"")</f>
        <v/>
      </c>
      <c r="X92" s="133" t="str">
        <f>IF($A92&lt;&gt;0,VLOOKUP($A92,'0.Productos'!$A$3:$GG$587,'0.Productos'!BP$1+1,0),"")</f>
        <v/>
      </c>
      <c r="Y92" s="133" t="str">
        <f>IF($A92&lt;&gt;0,VLOOKUP($A92,'0.Productos'!$A$3:$GG$587,'0.Productos'!BQ$1+1,0),"")</f>
        <v/>
      </c>
      <c r="Z92" s="133" t="str">
        <f>IF($A92&lt;&gt;0,VLOOKUP($A92,'0.Productos'!$A$3:$GG$587,'0.Productos'!BR$1+1,0),"")</f>
        <v/>
      </c>
      <c r="AA92" s="133" t="str">
        <f>IF($A92&lt;&gt;0,VLOOKUP($A92,'0.Productos'!$A$3:$GG$587,'0.Productos'!BS$1+1,0),"")</f>
        <v/>
      </c>
      <c r="AB92" s="133" t="str">
        <f>IF($A92&lt;&gt;0,VLOOKUP($A92,'0.Productos'!$A$3:$GG$587,'0.Productos'!BT$1+1,0),"")</f>
        <v/>
      </c>
      <c r="AC92" s="133" t="str">
        <f>IF($A92&lt;&gt;0,VLOOKUP($A92,'0.Productos'!$A$3:$GG$587,'0.Productos'!BU$1+1,0),"")</f>
        <v/>
      </c>
      <c r="AD92" s="133" t="str">
        <f>IF($A92&lt;&gt;0,VLOOKUP($A92,'0.Productos'!$A$3:$GG$587,'0.Productos'!BV$1+1,0),"")</f>
        <v/>
      </c>
      <c r="AE92" s="133" t="str">
        <f>IF($A92&lt;&gt;0,VLOOKUP($A92,'0.Productos'!$A$3:$GG$587,'0.Productos'!BW$1+1,0),"")</f>
        <v/>
      </c>
      <c r="AF92" s="133" t="str">
        <f>IF($A92&lt;&gt;0,VLOOKUP($A92,'0.Productos'!$A$3:$GG$587,'0.Productos'!BX$1+1,0),"")</f>
        <v/>
      </c>
      <c r="AG92" s="133" t="str">
        <f>IF($A92&lt;&gt;0,VLOOKUP($A92,'0.Productos'!$A$3:$GG$587,'0.Productos'!BY$1+1,0),"")</f>
        <v/>
      </c>
      <c r="AH92" s="133" t="str">
        <f>IF($A92&lt;&gt;0,VLOOKUP($A92,'0.Productos'!$A$3:$GG$587,'0.Productos'!BZ$1+1,0),"")</f>
        <v/>
      </c>
      <c r="AI92" s="133" t="str">
        <f>IF($A92&lt;&gt;0,VLOOKUP($A92,'0.Productos'!$A$3:$GG$587,'0.Productos'!CA$1+1,0),"")</f>
        <v/>
      </c>
      <c r="AJ92" s="133" t="str">
        <f>IF($A92&lt;&gt;0,VLOOKUP($A92,'0.Productos'!$A$3:$GG$587,'0.Productos'!CB$1+1,0),"")</f>
        <v/>
      </c>
      <c r="AK92" s="133" t="str">
        <f>IF($A92&lt;&gt;0,VLOOKUP($A92,'0.Productos'!$A$3:$GG$587,'0.Productos'!CC$1+1,0),"")</f>
        <v/>
      </c>
      <c r="AL92" s="133" t="str">
        <f>IF($A92&lt;&gt;0,VLOOKUP($A92,'0.Productos'!$A$3:$GG$587,'0.Productos'!CD$1+1,0),"")</f>
        <v/>
      </c>
      <c r="AM92" s="133" t="str">
        <f>IF($A92&lt;&gt;0,VLOOKUP($A92,'0.Productos'!$A$3:$GG$587,'0.Productos'!CE$1+1,0),"")</f>
        <v/>
      </c>
      <c r="AN92" s="133" t="str">
        <f>IF($A92&lt;&gt;0,VLOOKUP($A92,'0.Productos'!$A$3:$GG$587,'0.Productos'!CF$1+1,0),"")</f>
        <v/>
      </c>
      <c r="AO92" s="133" t="str">
        <f>IF($A92&lt;&gt;0,VLOOKUP($A92,'0.Productos'!$A$3:$GG$587,'0.Productos'!CG$1+1,0),"")</f>
        <v/>
      </c>
      <c r="AP92" s="133" t="str">
        <f>IF($A92&lt;&gt;0,VLOOKUP($A92,'0.Productos'!$A$3:$GG$587,'0.Productos'!CH$1+1,0),"")</f>
        <v/>
      </c>
      <c r="AQ92" s="133" t="str">
        <f>IF($A92&lt;&gt;0,VLOOKUP($A92,'0.Productos'!$A$3:$GG$587,'0.Productos'!CI$1+1,0),"")</f>
        <v/>
      </c>
      <c r="AR92" s="133" t="str">
        <f>IF($A92&lt;&gt;0,VLOOKUP($A92,'0.Productos'!$A$3:$GG$587,'0.Productos'!CJ$1+1,0),"")</f>
        <v/>
      </c>
      <c r="AS92" s="133" t="str">
        <f>IF($A92&lt;&gt;0,VLOOKUP($A92,'0.Productos'!$A$3:$GG$587,'0.Productos'!CK$1+1,0),"")</f>
        <v/>
      </c>
      <c r="AT92" s="133" t="str">
        <f>IF($A92&lt;&gt;0,VLOOKUP($A92,'0.Productos'!$A$3:$GG$587,'0.Productos'!CL$1+1,0),"")</f>
        <v/>
      </c>
      <c r="AU92" s="133" t="str">
        <f>IF($A92&lt;&gt;0,VLOOKUP($A92,'0.Productos'!$A$3:$GG$587,'0.Productos'!CM$1+1,0),"")</f>
        <v/>
      </c>
      <c r="AV92" s="133" t="str">
        <f>IF($A92&lt;&gt;0,VLOOKUP($A92,'0.Productos'!$A$3:$GG$587,'0.Productos'!CN$1+1,0),"")</f>
        <v/>
      </c>
      <c r="AW92" s="133" t="str">
        <f>IF($A92&lt;&gt;0,VLOOKUP($A92,'0.Productos'!$A$3:$GG$587,'0.Productos'!CO$1+1,0),"")</f>
        <v/>
      </c>
      <c r="AX92" s="133" t="str">
        <f>IF($A92&lt;&gt;0,VLOOKUP($A92,'0.Productos'!$A$3:$GG$587,'0.Productos'!CP$1+1,0),"")</f>
        <v/>
      </c>
      <c r="AY92" s="133" t="str">
        <f>IF($A92&lt;&gt;0,VLOOKUP($A92,'0.Productos'!$A$3:$GG$587,'0.Productos'!CQ$1+1,0),"")</f>
        <v/>
      </c>
      <c r="AZ92" s="133" t="str">
        <f>IF($A92&lt;&gt;0,VLOOKUP($A92,'0.Productos'!$A$3:$GG$587,'0.Productos'!CR$1+1,0),"")</f>
        <v/>
      </c>
      <c r="BA92" s="133" t="str">
        <f>IF($A92&lt;&gt;0,VLOOKUP($A92,'0.Productos'!$A$3:$GG$587,'0.Productos'!CS$1+1,0),"")</f>
        <v/>
      </c>
      <c r="BB92" s="133" t="str">
        <f>IF($A92&lt;&gt;0,VLOOKUP($A92,'0.Productos'!$A$3:$GG$587,'0.Productos'!CT$1+1,0),"")</f>
        <v/>
      </c>
      <c r="BC92" s="133" t="str">
        <f>IF($A92&lt;&gt;0,VLOOKUP($A92,'0.Productos'!$A$3:$GG$587,'0.Productos'!CU$1+1,0),"")</f>
        <v/>
      </c>
      <c r="BD92" s="133" t="str">
        <f>IF($A92&lt;&gt;0,VLOOKUP($A92,'0.Productos'!$A$3:$GG$587,'0.Productos'!CV$1+1,0),"")</f>
        <v/>
      </c>
      <c r="BE92" s="133" t="str">
        <f>IF($A92&lt;&gt;0,VLOOKUP($A92,'0.Productos'!$A$3:$GG$587,'0.Productos'!CW$1+1,0),"")</f>
        <v/>
      </c>
      <c r="BF92" s="133" t="str">
        <f>IF($A92&lt;&gt;0,VLOOKUP($A92,'0.Productos'!$A$3:$GG$587,'0.Productos'!CX$1+1,0),"")</f>
        <v/>
      </c>
      <c r="BG92" s="133" t="str">
        <f>IF($A92&lt;&gt;0,VLOOKUP($A92,'0.Productos'!$A$3:$GG$587,'0.Productos'!CY$1+1,0),"")</f>
        <v/>
      </c>
      <c r="BH92" s="133" t="str">
        <f>IF($A92&lt;&gt;0,VLOOKUP($A92,'0.Productos'!$A$3:$GG$587,'0.Productos'!CZ$1+1,0),"")</f>
        <v/>
      </c>
      <c r="BI92" s="133" t="str">
        <f>IF($A92&lt;&gt;0,VLOOKUP($A92,'0.Productos'!$A$3:$GG$587,'0.Productos'!DA$1+1,0),"")</f>
        <v/>
      </c>
      <c r="BJ92" s="133" t="str">
        <f>IF($A92&lt;&gt;0,VLOOKUP($A92,'0.Productos'!$A$3:$GG$587,'0.Productos'!DB$1+1,0),"")</f>
        <v/>
      </c>
      <c r="BK92" s="133" t="str">
        <f>IF($A92&lt;&gt;0,VLOOKUP($A92,'0.Productos'!$A$3:$GG$587,'0.Productos'!DC$1+1,0),"")</f>
        <v/>
      </c>
      <c r="BL92" s="133" t="str">
        <f>IF($A92&lt;&gt;0,VLOOKUP($A92,'0.Productos'!$A$3:$GG$587,'0.Productos'!DD$1+1,0),"")</f>
        <v/>
      </c>
      <c r="BM92" s="133" t="str">
        <f>IF($A92&lt;&gt;0,VLOOKUP($A92,'0.Productos'!$A$3:$GG$587,'0.Productos'!DE$1+1,0),"")</f>
        <v/>
      </c>
      <c r="BN92" s="133" t="str">
        <f>IF($A92&lt;&gt;0,VLOOKUP($A92,'0.Productos'!$A$3:$GG$587,'0.Productos'!DF$1+1,0),"")</f>
        <v/>
      </c>
      <c r="BO92" s="133" t="str">
        <f>IF($A92&lt;&gt;0,VLOOKUP($A92,'0.Productos'!$A$3:$GG$587,'0.Productos'!DG$1+1,0),"")</f>
        <v/>
      </c>
      <c r="BP92" s="133" t="str">
        <f>IF($A92&lt;&gt;0,VLOOKUP($A92,'0.Productos'!$A$3:$GG$587,'0.Productos'!DH$1+1,0),"")</f>
        <v/>
      </c>
      <c r="BQ92" s="133" t="str">
        <f>IF($A92&lt;&gt;0,VLOOKUP($A92,'0.Productos'!$A$3:$GG$587,'0.Productos'!DI$1+1,0),"")</f>
        <v/>
      </c>
      <c r="BR92" s="133" t="str">
        <f>IF($A92&lt;&gt;0,VLOOKUP($A92,'0.Productos'!$A$3:$GG$587,'0.Productos'!DJ$1+1,0),"")</f>
        <v/>
      </c>
      <c r="BS92" s="133" t="str">
        <f>IF($A92&lt;&gt;0,VLOOKUP($A92,'0.Productos'!$A$3:$GG$587,'0.Productos'!DK$1+1,0),"")</f>
        <v/>
      </c>
      <c r="BT92" s="133" t="str">
        <f>IF($A92&lt;&gt;0,VLOOKUP($A92,'0.Productos'!$A$3:$GG$587,'0.Productos'!DL$1+1,0),"")</f>
        <v/>
      </c>
    </row>
    <row r="93" spans="1:72" x14ac:dyDescent="0.25">
      <c r="A93" s="17">
        <f>'0.Consolidado general'!A93</f>
        <v>0</v>
      </c>
      <c r="B93" s="133" t="str">
        <f>IF($A93&lt;&gt;0,VLOOKUP($A93,'0.Productos'!$A$3:$GG$587,'0.Productos'!AT$1+1,0),"")</f>
        <v/>
      </c>
      <c r="C93" s="133" t="str">
        <f>IF($A93&lt;&gt;0,VLOOKUP($A93,'0.Productos'!$A$3:$GG$587,'0.Productos'!AU$1+1,0),"")</f>
        <v/>
      </c>
      <c r="D93" s="133" t="str">
        <f>IF($A93&lt;&gt;0,VLOOKUP($A93,'0.Productos'!$A$3:$GG$587,'0.Productos'!AV$1+1,0),"")</f>
        <v/>
      </c>
      <c r="E93" s="133" t="str">
        <f>IF($A93&lt;&gt;0,VLOOKUP($A93,'0.Productos'!$A$3:$GG$587,'0.Productos'!AW$1+1,0),"")</f>
        <v/>
      </c>
      <c r="F93" s="133" t="str">
        <f>IF($A93&lt;&gt;0,VLOOKUP($A93,'0.Productos'!$A$3:$GG$587,'0.Productos'!AX$1+1,0),"")</f>
        <v/>
      </c>
      <c r="G93" s="133" t="str">
        <f>IF($A93&lt;&gt;0,VLOOKUP($A93,'0.Productos'!$A$3:$GG$587,'0.Productos'!AY$1+1,0),"")</f>
        <v/>
      </c>
      <c r="H93" s="133" t="str">
        <f>IF($A93&lt;&gt;0,VLOOKUP($A93,'0.Productos'!$A$3:$GG$587,'0.Productos'!AZ$1+1,0),"")</f>
        <v/>
      </c>
      <c r="I93" s="133" t="str">
        <f>IF($A93&lt;&gt;0,VLOOKUP($A93,'0.Productos'!$A$3:$GG$587,'0.Productos'!BA$1+1,0),"")</f>
        <v/>
      </c>
      <c r="J93" s="133" t="str">
        <f>IF($A93&lt;&gt;0,VLOOKUP($A93,'0.Productos'!$A$3:$GG$587,'0.Productos'!BB$1+1,0),"")</f>
        <v/>
      </c>
      <c r="K93" s="133" t="str">
        <f>IF($A93&lt;&gt;0,VLOOKUP($A93,'0.Productos'!$A$3:$GG$587,'0.Productos'!BC$1+1,0),"")</f>
        <v/>
      </c>
      <c r="L93" s="133" t="str">
        <f>IF($A93&lt;&gt;0,VLOOKUP($A93,'0.Productos'!$A$3:$GG$587,'0.Productos'!BD$1+1,0),"")</f>
        <v/>
      </c>
      <c r="M93" s="133" t="str">
        <f>IF($A93&lt;&gt;0,VLOOKUP($A93,'0.Productos'!$A$3:$GG$587,'0.Productos'!BE$1+1,0),"")</f>
        <v/>
      </c>
      <c r="N93" s="133" t="str">
        <f>IF($A93&lt;&gt;0,VLOOKUP($A93,'0.Productos'!$A$3:$GG$587,'0.Productos'!BF$1+1,0),"")</f>
        <v/>
      </c>
      <c r="O93" s="133" t="str">
        <f>IF($A93&lt;&gt;0,VLOOKUP($A93,'0.Productos'!$A$3:$GG$587,'0.Productos'!BG$1+1,0),"")</f>
        <v/>
      </c>
      <c r="P93" s="133" t="str">
        <f>IF($A93&lt;&gt;0,VLOOKUP($A93,'0.Productos'!$A$3:$GG$587,'0.Productos'!BH$1+1,0),"")</f>
        <v/>
      </c>
      <c r="Q93" s="133" t="str">
        <f>IF($A93&lt;&gt;0,VLOOKUP($A93,'0.Productos'!$A$3:$GG$587,'0.Productos'!BI$1+1,0),"")</f>
        <v/>
      </c>
      <c r="R93" s="133" t="str">
        <f>IF($A93&lt;&gt;0,VLOOKUP($A93,'0.Productos'!$A$3:$GG$587,'0.Productos'!BJ$1+1,0),"")</f>
        <v/>
      </c>
      <c r="S93" s="133" t="str">
        <f>IF($A93&lt;&gt;0,VLOOKUP($A93,'0.Productos'!$A$3:$GG$587,'0.Productos'!BK$1+1,0),"")</f>
        <v/>
      </c>
      <c r="T93" s="133" t="str">
        <f>IF($A93&lt;&gt;0,VLOOKUP($A93,'0.Productos'!$A$3:$GG$587,'0.Productos'!BL$1+1,0),"")</f>
        <v/>
      </c>
      <c r="U93" s="133" t="str">
        <f>IF($A93&lt;&gt;0,VLOOKUP($A93,'0.Productos'!$A$3:$GG$587,'0.Productos'!BM$1+1,0),"")</f>
        <v/>
      </c>
      <c r="V93" s="133" t="str">
        <f>IF($A93&lt;&gt;0,VLOOKUP($A93,'0.Productos'!$A$3:$GG$587,'0.Productos'!BN$1+1,0),"")</f>
        <v/>
      </c>
      <c r="W93" s="133" t="str">
        <f>IF($A93&lt;&gt;0,VLOOKUP($A93,'0.Productos'!$A$3:$GG$587,'0.Productos'!BO$1+1,0),"")</f>
        <v/>
      </c>
      <c r="X93" s="133" t="str">
        <f>IF($A93&lt;&gt;0,VLOOKUP($A93,'0.Productos'!$A$3:$GG$587,'0.Productos'!BP$1+1,0),"")</f>
        <v/>
      </c>
      <c r="Y93" s="133" t="str">
        <f>IF($A93&lt;&gt;0,VLOOKUP($A93,'0.Productos'!$A$3:$GG$587,'0.Productos'!BQ$1+1,0),"")</f>
        <v/>
      </c>
      <c r="Z93" s="133" t="str">
        <f>IF($A93&lt;&gt;0,VLOOKUP($A93,'0.Productos'!$A$3:$GG$587,'0.Productos'!BR$1+1,0),"")</f>
        <v/>
      </c>
      <c r="AA93" s="133" t="str">
        <f>IF($A93&lt;&gt;0,VLOOKUP($A93,'0.Productos'!$A$3:$GG$587,'0.Productos'!BS$1+1,0),"")</f>
        <v/>
      </c>
      <c r="AB93" s="133" t="str">
        <f>IF($A93&lt;&gt;0,VLOOKUP($A93,'0.Productos'!$A$3:$GG$587,'0.Productos'!BT$1+1,0),"")</f>
        <v/>
      </c>
      <c r="AC93" s="133" t="str">
        <f>IF($A93&lt;&gt;0,VLOOKUP($A93,'0.Productos'!$A$3:$GG$587,'0.Productos'!BU$1+1,0),"")</f>
        <v/>
      </c>
      <c r="AD93" s="133" t="str">
        <f>IF($A93&lt;&gt;0,VLOOKUP($A93,'0.Productos'!$A$3:$GG$587,'0.Productos'!BV$1+1,0),"")</f>
        <v/>
      </c>
      <c r="AE93" s="133" t="str">
        <f>IF($A93&lt;&gt;0,VLOOKUP($A93,'0.Productos'!$A$3:$GG$587,'0.Productos'!BW$1+1,0),"")</f>
        <v/>
      </c>
      <c r="AF93" s="133" t="str">
        <f>IF($A93&lt;&gt;0,VLOOKUP($A93,'0.Productos'!$A$3:$GG$587,'0.Productos'!BX$1+1,0),"")</f>
        <v/>
      </c>
      <c r="AG93" s="133" t="str">
        <f>IF($A93&lt;&gt;0,VLOOKUP($A93,'0.Productos'!$A$3:$GG$587,'0.Productos'!BY$1+1,0),"")</f>
        <v/>
      </c>
      <c r="AH93" s="133" t="str">
        <f>IF($A93&lt;&gt;0,VLOOKUP($A93,'0.Productos'!$A$3:$GG$587,'0.Productos'!BZ$1+1,0),"")</f>
        <v/>
      </c>
      <c r="AI93" s="133" t="str">
        <f>IF($A93&lt;&gt;0,VLOOKUP($A93,'0.Productos'!$A$3:$GG$587,'0.Productos'!CA$1+1,0),"")</f>
        <v/>
      </c>
      <c r="AJ93" s="133" t="str">
        <f>IF($A93&lt;&gt;0,VLOOKUP($A93,'0.Productos'!$A$3:$GG$587,'0.Productos'!CB$1+1,0),"")</f>
        <v/>
      </c>
      <c r="AK93" s="133" t="str">
        <f>IF($A93&lt;&gt;0,VLOOKUP($A93,'0.Productos'!$A$3:$GG$587,'0.Productos'!CC$1+1,0),"")</f>
        <v/>
      </c>
      <c r="AL93" s="133" t="str">
        <f>IF($A93&lt;&gt;0,VLOOKUP($A93,'0.Productos'!$A$3:$GG$587,'0.Productos'!CD$1+1,0),"")</f>
        <v/>
      </c>
      <c r="AM93" s="133" t="str">
        <f>IF($A93&lt;&gt;0,VLOOKUP($A93,'0.Productos'!$A$3:$GG$587,'0.Productos'!CE$1+1,0),"")</f>
        <v/>
      </c>
      <c r="AN93" s="133" t="str">
        <f>IF($A93&lt;&gt;0,VLOOKUP($A93,'0.Productos'!$A$3:$GG$587,'0.Productos'!CF$1+1,0),"")</f>
        <v/>
      </c>
      <c r="AO93" s="133" t="str">
        <f>IF($A93&lt;&gt;0,VLOOKUP($A93,'0.Productos'!$A$3:$GG$587,'0.Productos'!CG$1+1,0),"")</f>
        <v/>
      </c>
      <c r="AP93" s="133" t="str">
        <f>IF($A93&lt;&gt;0,VLOOKUP($A93,'0.Productos'!$A$3:$GG$587,'0.Productos'!CH$1+1,0),"")</f>
        <v/>
      </c>
      <c r="AQ93" s="133" t="str">
        <f>IF($A93&lt;&gt;0,VLOOKUP($A93,'0.Productos'!$A$3:$GG$587,'0.Productos'!CI$1+1,0),"")</f>
        <v/>
      </c>
      <c r="AR93" s="133" t="str">
        <f>IF($A93&lt;&gt;0,VLOOKUP($A93,'0.Productos'!$A$3:$GG$587,'0.Productos'!CJ$1+1,0),"")</f>
        <v/>
      </c>
      <c r="AS93" s="133" t="str">
        <f>IF($A93&lt;&gt;0,VLOOKUP($A93,'0.Productos'!$A$3:$GG$587,'0.Productos'!CK$1+1,0),"")</f>
        <v/>
      </c>
      <c r="AT93" s="133" t="str">
        <f>IF($A93&lt;&gt;0,VLOOKUP($A93,'0.Productos'!$A$3:$GG$587,'0.Productos'!CL$1+1,0),"")</f>
        <v/>
      </c>
      <c r="AU93" s="133" t="str">
        <f>IF($A93&lt;&gt;0,VLOOKUP($A93,'0.Productos'!$A$3:$GG$587,'0.Productos'!CM$1+1,0),"")</f>
        <v/>
      </c>
      <c r="AV93" s="133" t="str">
        <f>IF($A93&lt;&gt;0,VLOOKUP($A93,'0.Productos'!$A$3:$GG$587,'0.Productos'!CN$1+1,0),"")</f>
        <v/>
      </c>
      <c r="AW93" s="133" t="str">
        <f>IF($A93&lt;&gt;0,VLOOKUP($A93,'0.Productos'!$A$3:$GG$587,'0.Productos'!CO$1+1,0),"")</f>
        <v/>
      </c>
      <c r="AX93" s="133" t="str">
        <f>IF($A93&lt;&gt;0,VLOOKUP($A93,'0.Productos'!$A$3:$GG$587,'0.Productos'!CP$1+1,0),"")</f>
        <v/>
      </c>
      <c r="AY93" s="133" t="str">
        <f>IF($A93&lt;&gt;0,VLOOKUP($A93,'0.Productos'!$A$3:$GG$587,'0.Productos'!CQ$1+1,0),"")</f>
        <v/>
      </c>
      <c r="AZ93" s="133" t="str">
        <f>IF($A93&lt;&gt;0,VLOOKUP($A93,'0.Productos'!$A$3:$GG$587,'0.Productos'!CR$1+1,0),"")</f>
        <v/>
      </c>
      <c r="BA93" s="133" t="str">
        <f>IF($A93&lt;&gt;0,VLOOKUP($A93,'0.Productos'!$A$3:$GG$587,'0.Productos'!CS$1+1,0),"")</f>
        <v/>
      </c>
      <c r="BB93" s="133" t="str">
        <f>IF($A93&lt;&gt;0,VLOOKUP($A93,'0.Productos'!$A$3:$GG$587,'0.Productos'!CT$1+1,0),"")</f>
        <v/>
      </c>
      <c r="BC93" s="133" t="str">
        <f>IF($A93&lt;&gt;0,VLOOKUP($A93,'0.Productos'!$A$3:$GG$587,'0.Productos'!CU$1+1,0),"")</f>
        <v/>
      </c>
      <c r="BD93" s="133" t="str">
        <f>IF($A93&lt;&gt;0,VLOOKUP($A93,'0.Productos'!$A$3:$GG$587,'0.Productos'!CV$1+1,0),"")</f>
        <v/>
      </c>
      <c r="BE93" s="133" t="str">
        <f>IF($A93&lt;&gt;0,VLOOKUP($A93,'0.Productos'!$A$3:$GG$587,'0.Productos'!CW$1+1,0),"")</f>
        <v/>
      </c>
      <c r="BF93" s="133" t="str">
        <f>IF($A93&lt;&gt;0,VLOOKUP($A93,'0.Productos'!$A$3:$GG$587,'0.Productos'!CX$1+1,0),"")</f>
        <v/>
      </c>
      <c r="BG93" s="133" t="str">
        <f>IF($A93&lt;&gt;0,VLOOKUP($A93,'0.Productos'!$A$3:$GG$587,'0.Productos'!CY$1+1,0),"")</f>
        <v/>
      </c>
      <c r="BH93" s="133" t="str">
        <f>IF($A93&lt;&gt;0,VLOOKUP($A93,'0.Productos'!$A$3:$GG$587,'0.Productos'!CZ$1+1,0),"")</f>
        <v/>
      </c>
      <c r="BI93" s="133" t="str">
        <f>IF($A93&lt;&gt;0,VLOOKUP($A93,'0.Productos'!$A$3:$GG$587,'0.Productos'!DA$1+1,0),"")</f>
        <v/>
      </c>
      <c r="BJ93" s="133" t="str">
        <f>IF($A93&lt;&gt;0,VLOOKUP($A93,'0.Productos'!$A$3:$GG$587,'0.Productos'!DB$1+1,0),"")</f>
        <v/>
      </c>
      <c r="BK93" s="133" t="str">
        <f>IF($A93&lt;&gt;0,VLOOKUP($A93,'0.Productos'!$A$3:$GG$587,'0.Productos'!DC$1+1,0),"")</f>
        <v/>
      </c>
      <c r="BL93" s="133" t="str">
        <f>IF($A93&lt;&gt;0,VLOOKUP($A93,'0.Productos'!$A$3:$GG$587,'0.Productos'!DD$1+1,0),"")</f>
        <v/>
      </c>
      <c r="BM93" s="133" t="str">
        <f>IF($A93&lt;&gt;0,VLOOKUP($A93,'0.Productos'!$A$3:$GG$587,'0.Productos'!DE$1+1,0),"")</f>
        <v/>
      </c>
      <c r="BN93" s="133" t="str">
        <f>IF($A93&lt;&gt;0,VLOOKUP($A93,'0.Productos'!$A$3:$GG$587,'0.Productos'!DF$1+1,0),"")</f>
        <v/>
      </c>
      <c r="BO93" s="133" t="str">
        <f>IF($A93&lt;&gt;0,VLOOKUP($A93,'0.Productos'!$A$3:$GG$587,'0.Productos'!DG$1+1,0),"")</f>
        <v/>
      </c>
      <c r="BP93" s="133" t="str">
        <f>IF($A93&lt;&gt;0,VLOOKUP($A93,'0.Productos'!$A$3:$GG$587,'0.Productos'!DH$1+1,0),"")</f>
        <v/>
      </c>
      <c r="BQ93" s="133" t="str">
        <f>IF($A93&lt;&gt;0,VLOOKUP($A93,'0.Productos'!$A$3:$GG$587,'0.Productos'!DI$1+1,0),"")</f>
        <v/>
      </c>
      <c r="BR93" s="133" t="str">
        <f>IF($A93&lt;&gt;0,VLOOKUP($A93,'0.Productos'!$A$3:$GG$587,'0.Productos'!DJ$1+1,0),"")</f>
        <v/>
      </c>
      <c r="BS93" s="133" t="str">
        <f>IF($A93&lt;&gt;0,VLOOKUP($A93,'0.Productos'!$A$3:$GG$587,'0.Productos'!DK$1+1,0),"")</f>
        <v/>
      </c>
      <c r="BT93" s="133" t="str">
        <f>IF($A93&lt;&gt;0,VLOOKUP($A93,'0.Productos'!$A$3:$GG$587,'0.Productos'!DL$1+1,0),"")</f>
        <v/>
      </c>
    </row>
    <row r="94" spans="1:72" x14ac:dyDescent="0.25">
      <c r="A94" s="17">
        <f>'0.Consolidado general'!A94</f>
        <v>0</v>
      </c>
      <c r="B94" s="133" t="str">
        <f>IF($A94&lt;&gt;0,VLOOKUP($A94,'0.Productos'!$A$3:$GG$587,'0.Productos'!AT$1+1,0),"")</f>
        <v/>
      </c>
      <c r="C94" s="133" t="str">
        <f>IF($A94&lt;&gt;0,VLOOKUP($A94,'0.Productos'!$A$3:$GG$587,'0.Productos'!AU$1+1,0),"")</f>
        <v/>
      </c>
      <c r="D94" s="133" t="str">
        <f>IF($A94&lt;&gt;0,VLOOKUP($A94,'0.Productos'!$A$3:$GG$587,'0.Productos'!AV$1+1,0),"")</f>
        <v/>
      </c>
      <c r="E94" s="133" t="str">
        <f>IF($A94&lt;&gt;0,VLOOKUP($A94,'0.Productos'!$A$3:$GG$587,'0.Productos'!AW$1+1,0),"")</f>
        <v/>
      </c>
      <c r="F94" s="133" t="str">
        <f>IF($A94&lt;&gt;0,VLOOKUP($A94,'0.Productos'!$A$3:$GG$587,'0.Productos'!AX$1+1,0),"")</f>
        <v/>
      </c>
      <c r="G94" s="133" t="str">
        <f>IF($A94&lt;&gt;0,VLOOKUP($A94,'0.Productos'!$A$3:$GG$587,'0.Productos'!AY$1+1,0),"")</f>
        <v/>
      </c>
      <c r="H94" s="133" t="str">
        <f>IF($A94&lt;&gt;0,VLOOKUP($A94,'0.Productos'!$A$3:$GG$587,'0.Productos'!AZ$1+1,0),"")</f>
        <v/>
      </c>
      <c r="I94" s="133" t="str">
        <f>IF($A94&lt;&gt;0,VLOOKUP($A94,'0.Productos'!$A$3:$GG$587,'0.Productos'!BA$1+1,0),"")</f>
        <v/>
      </c>
      <c r="J94" s="133" t="str">
        <f>IF($A94&lt;&gt;0,VLOOKUP($A94,'0.Productos'!$A$3:$GG$587,'0.Productos'!BB$1+1,0),"")</f>
        <v/>
      </c>
      <c r="K94" s="133" t="str">
        <f>IF($A94&lt;&gt;0,VLOOKUP($A94,'0.Productos'!$A$3:$GG$587,'0.Productos'!BC$1+1,0),"")</f>
        <v/>
      </c>
      <c r="L94" s="133" t="str">
        <f>IF($A94&lt;&gt;0,VLOOKUP($A94,'0.Productos'!$A$3:$GG$587,'0.Productos'!BD$1+1,0),"")</f>
        <v/>
      </c>
      <c r="M94" s="133" t="str">
        <f>IF($A94&lt;&gt;0,VLOOKUP($A94,'0.Productos'!$A$3:$GG$587,'0.Productos'!BE$1+1,0),"")</f>
        <v/>
      </c>
      <c r="N94" s="133" t="str">
        <f>IF($A94&lt;&gt;0,VLOOKUP($A94,'0.Productos'!$A$3:$GG$587,'0.Productos'!BF$1+1,0),"")</f>
        <v/>
      </c>
      <c r="O94" s="133" t="str">
        <f>IF($A94&lt;&gt;0,VLOOKUP($A94,'0.Productos'!$A$3:$GG$587,'0.Productos'!BG$1+1,0),"")</f>
        <v/>
      </c>
      <c r="P94" s="133" t="str">
        <f>IF($A94&lt;&gt;0,VLOOKUP($A94,'0.Productos'!$A$3:$GG$587,'0.Productos'!BH$1+1,0),"")</f>
        <v/>
      </c>
      <c r="Q94" s="133" t="str">
        <f>IF($A94&lt;&gt;0,VLOOKUP($A94,'0.Productos'!$A$3:$GG$587,'0.Productos'!BI$1+1,0),"")</f>
        <v/>
      </c>
      <c r="R94" s="133" t="str">
        <f>IF($A94&lt;&gt;0,VLOOKUP($A94,'0.Productos'!$A$3:$GG$587,'0.Productos'!BJ$1+1,0),"")</f>
        <v/>
      </c>
      <c r="S94" s="133" t="str">
        <f>IF($A94&lt;&gt;0,VLOOKUP($A94,'0.Productos'!$A$3:$GG$587,'0.Productos'!BK$1+1,0),"")</f>
        <v/>
      </c>
      <c r="T94" s="133" t="str">
        <f>IF($A94&lt;&gt;0,VLOOKUP($A94,'0.Productos'!$A$3:$GG$587,'0.Productos'!BL$1+1,0),"")</f>
        <v/>
      </c>
      <c r="U94" s="133" t="str">
        <f>IF($A94&lt;&gt;0,VLOOKUP($A94,'0.Productos'!$A$3:$GG$587,'0.Productos'!BM$1+1,0),"")</f>
        <v/>
      </c>
      <c r="V94" s="133" t="str">
        <f>IF($A94&lt;&gt;0,VLOOKUP($A94,'0.Productos'!$A$3:$GG$587,'0.Productos'!BN$1+1,0),"")</f>
        <v/>
      </c>
      <c r="W94" s="133" t="str">
        <f>IF($A94&lt;&gt;0,VLOOKUP($A94,'0.Productos'!$A$3:$GG$587,'0.Productos'!BO$1+1,0),"")</f>
        <v/>
      </c>
      <c r="X94" s="133" t="str">
        <f>IF($A94&lt;&gt;0,VLOOKUP($A94,'0.Productos'!$A$3:$GG$587,'0.Productos'!BP$1+1,0),"")</f>
        <v/>
      </c>
      <c r="Y94" s="133" t="str">
        <f>IF($A94&lt;&gt;0,VLOOKUP($A94,'0.Productos'!$A$3:$GG$587,'0.Productos'!BQ$1+1,0),"")</f>
        <v/>
      </c>
      <c r="Z94" s="133" t="str">
        <f>IF($A94&lt;&gt;0,VLOOKUP($A94,'0.Productos'!$A$3:$GG$587,'0.Productos'!BR$1+1,0),"")</f>
        <v/>
      </c>
      <c r="AA94" s="133" t="str">
        <f>IF($A94&lt;&gt;0,VLOOKUP($A94,'0.Productos'!$A$3:$GG$587,'0.Productos'!BS$1+1,0),"")</f>
        <v/>
      </c>
      <c r="AB94" s="133" t="str">
        <f>IF($A94&lt;&gt;0,VLOOKUP($A94,'0.Productos'!$A$3:$GG$587,'0.Productos'!BT$1+1,0),"")</f>
        <v/>
      </c>
      <c r="AC94" s="133" t="str">
        <f>IF($A94&lt;&gt;0,VLOOKUP($A94,'0.Productos'!$A$3:$GG$587,'0.Productos'!BU$1+1,0),"")</f>
        <v/>
      </c>
      <c r="AD94" s="133" t="str">
        <f>IF($A94&lt;&gt;0,VLOOKUP($A94,'0.Productos'!$A$3:$GG$587,'0.Productos'!BV$1+1,0),"")</f>
        <v/>
      </c>
      <c r="AE94" s="133" t="str">
        <f>IF($A94&lt;&gt;0,VLOOKUP($A94,'0.Productos'!$A$3:$GG$587,'0.Productos'!BW$1+1,0),"")</f>
        <v/>
      </c>
      <c r="AF94" s="133" t="str">
        <f>IF($A94&lt;&gt;0,VLOOKUP($A94,'0.Productos'!$A$3:$GG$587,'0.Productos'!BX$1+1,0),"")</f>
        <v/>
      </c>
      <c r="AG94" s="133" t="str">
        <f>IF($A94&lt;&gt;0,VLOOKUP($A94,'0.Productos'!$A$3:$GG$587,'0.Productos'!BY$1+1,0),"")</f>
        <v/>
      </c>
      <c r="AH94" s="133" t="str">
        <f>IF($A94&lt;&gt;0,VLOOKUP($A94,'0.Productos'!$A$3:$GG$587,'0.Productos'!BZ$1+1,0),"")</f>
        <v/>
      </c>
      <c r="AI94" s="133" t="str">
        <f>IF($A94&lt;&gt;0,VLOOKUP($A94,'0.Productos'!$A$3:$GG$587,'0.Productos'!CA$1+1,0),"")</f>
        <v/>
      </c>
      <c r="AJ94" s="133" t="str">
        <f>IF($A94&lt;&gt;0,VLOOKUP($A94,'0.Productos'!$A$3:$GG$587,'0.Productos'!CB$1+1,0),"")</f>
        <v/>
      </c>
      <c r="AK94" s="133" t="str">
        <f>IF($A94&lt;&gt;0,VLOOKUP($A94,'0.Productos'!$A$3:$GG$587,'0.Productos'!CC$1+1,0),"")</f>
        <v/>
      </c>
      <c r="AL94" s="133" t="str">
        <f>IF($A94&lt;&gt;0,VLOOKUP($A94,'0.Productos'!$A$3:$GG$587,'0.Productos'!CD$1+1,0),"")</f>
        <v/>
      </c>
      <c r="AM94" s="133" t="str">
        <f>IF($A94&lt;&gt;0,VLOOKUP($A94,'0.Productos'!$A$3:$GG$587,'0.Productos'!CE$1+1,0),"")</f>
        <v/>
      </c>
      <c r="AN94" s="133" t="str">
        <f>IF($A94&lt;&gt;0,VLOOKUP($A94,'0.Productos'!$A$3:$GG$587,'0.Productos'!CF$1+1,0),"")</f>
        <v/>
      </c>
      <c r="AO94" s="133" t="str">
        <f>IF($A94&lt;&gt;0,VLOOKUP($A94,'0.Productos'!$A$3:$GG$587,'0.Productos'!CG$1+1,0),"")</f>
        <v/>
      </c>
      <c r="AP94" s="133" t="str">
        <f>IF($A94&lt;&gt;0,VLOOKUP($A94,'0.Productos'!$A$3:$GG$587,'0.Productos'!CH$1+1,0),"")</f>
        <v/>
      </c>
      <c r="AQ94" s="133" t="str">
        <f>IF($A94&lt;&gt;0,VLOOKUP($A94,'0.Productos'!$A$3:$GG$587,'0.Productos'!CI$1+1,0),"")</f>
        <v/>
      </c>
      <c r="AR94" s="133" t="str">
        <f>IF($A94&lt;&gt;0,VLOOKUP($A94,'0.Productos'!$A$3:$GG$587,'0.Productos'!CJ$1+1,0),"")</f>
        <v/>
      </c>
      <c r="AS94" s="133" t="str">
        <f>IF($A94&lt;&gt;0,VLOOKUP($A94,'0.Productos'!$A$3:$GG$587,'0.Productos'!CK$1+1,0),"")</f>
        <v/>
      </c>
      <c r="AT94" s="133" t="str">
        <f>IF($A94&lt;&gt;0,VLOOKUP($A94,'0.Productos'!$A$3:$GG$587,'0.Productos'!CL$1+1,0),"")</f>
        <v/>
      </c>
      <c r="AU94" s="133" t="str">
        <f>IF($A94&lt;&gt;0,VLOOKUP($A94,'0.Productos'!$A$3:$GG$587,'0.Productos'!CM$1+1,0),"")</f>
        <v/>
      </c>
      <c r="AV94" s="133" t="str">
        <f>IF($A94&lt;&gt;0,VLOOKUP($A94,'0.Productos'!$A$3:$GG$587,'0.Productos'!CN$1+1,0),"")</f>
        <v/>
      </c>
      <c r="AW94" s="133" t="str">
        <f>IF($A94&lt;&gt;0,VLOOKUP($A94,'0.Productos'!$A$3:$GG$587,'0.Productos'!CO$1+1,0),"")</f>
        <v/>
      </c>
      <c r="AX94" s="133" t="str">
        <f>IF($A94&lt;&gt;0,VLOOKUP($A94,'0.Productos'!$A$3:$GG$587,'0.Productos'!CP$1+1,0),"")</f>
        <v/>
      </c>
      <c r="AY94" s="133" t="str">
        <f>IF($A94&lt;&gt;0,VLOOKUP($A94,'0.Productos'!$A$3:$GG$587,'0.Productos'!CQ$1+1,0),"")</f>
        <v/>
      </c>
      <c r="AZ94" s="133" t="str">
        <f>IF($A94&lt;&gt;0,VLOOKUP($A94,'0.Productos'!$A$3:$GG$587,'0.Productos'!CR$1+1,0),"")</f>
        <v/>
      </c>
      <c r="BA94" s="133" t="str">
        <f>IF($A94&lt;&gt;0,VLOOKUP($A94,'0.Productos'!$A$3:$GG$587,'0.Productos'!CS$1+1,0),"")</f>
        <v/>
      </c>
      <c r="BB94" s="133" t="str">
        <f>IF($A94&lt;&gt;0,VLOOKUP($A94,'0.Productos'!$A$3:$GG$587,'0.Productos'!CT$1+1,0),"")</f>
        <v/>
      </c>
      <c r="BC94" s="133" t="str">
        <f>IF($A94&lt;&gt;0,VLOOKUP($A94,'0.Productos'!$A$3:$GG$587,'0.Productos'!CU$1+1,0),"")</f>
        <v/>
      </c>
      <c r="BD94" s="133" t="str">
        <f>IF($A94&lt;&gt;0,VLOOKUP($A94,'0.Productos'!$A$3:$GG$587,'0.Productos'!CV$1+1,0),"")</f>
        <v/>
      </c>
      <c r="BE94" s="133" t="str">
        <f>IF($A94&lt;&gt;0,VLOOKUP($A94,'0.Productos'!$A$3:$GG$587,'0.Productos'!CW$1+1,0),"")</f>
        <v/>
      </c>
      <c r="BF94" s="133" t="str">
        <f>IF($A94&lt;&gt;0,VLOOKUP($A94,'0.Productos'!$A$3:$GG$587,'0.Productos'!CX$1+1,0),"")</f>
        <v/>
      </c>
      <c r="BG94" s="133" t="str">
        <f>IF($A94&lt;&gt;0,VLOOKUP($A94,'0.Productos'!$A$3:$GG$587,'0.Productos'!CY$1+1,0),"")</f>
        <v/>
      </c>
      <c r="BH94" s="133" t="str">
        <f>IF($A94&lt;&gt;0,VLOOKUP($A94,'0.Productos'!$A$3:$GG$587,'0.Productos'!CZ$1+1,0),"")</f>
        <v/>
      </c>
      <c r="BI94" s="133" t="str">
        <f>IF($A94&lt;&gt;0,VLOOKUP($A94,'0.Productos'!$A$3:$GG$587,'0.Productos'!DA$1+1,0),"")</f>
        <v/>
      </c>
      <c r="BJ94" s="133" t="str">
        <f>IF($A94&lt;&gt;0,VLOOKUP($A94,'0.Productos'!$A$3:$GG$587,'0.Productos'!DB$1+1,0),"")</f>
        <v/>
      </c>
      <c r="BK94" s="133" t="str">
        <f>IF($A94&lt;&gt;0,VLOOKUP($A94,'0.Productos'!$A$3:$GG$587,'0.Productos'!DC$1+1,0),"")</f>
        <v/>
      </c>
      <c r="BL94" s="133" t="str">
        <f>IF($A94&lt;&gt;0,VLOOKUP($A94,'0.Productos'!$A$3:$GG$587,'0.Productos'!DD$1+1,0),"")</f>
        <v/>
      </c>
      <c r="BM94" s="133" t="str">
        <f>IF($A94&lt;&gt;0,VLOOKUP($A94,'0.Productos'!$A$3:$GG$587,'0.Productos'!DE$1+1,0),"")</f>
        <v/>
      </c>
      <c r="BN94" s="133" t="str">
        <f>IF($A94&lt;&gt;0,VLOOKUP($A94,'0.Productos'!$A$3:$GG$587,'0.Productos'!DF$1+1,0),"")</f>
        <v/>
      </c>
      <c r="BO94" s="133" t="str">
        <f>IF($A94&lt;&gt;0,VLOOKUP($A94,'0.Productos'!$A$3:$GG$587,'0.Productos'!DG$1+1,0),"")</f>
        <v/>
      </c>
      <c r="BP94" s="133" t="str">
        <f>IF($A94&lt;&gt;0,VLOOKUP($A94,'0.Productos'!$A$3:$GG$587,'0.Productos'!DH$1+1,0),"")</f>
        <v/>
      </c>
      <c r="BQ94" s="133" t="str">
        <f>IF($A94&lt;&gt;0,VLOOKUP($A94,'0.Productos'!$A$3:$GG$587,'0.Productos'!DI$1+1,0),"")</f>
        <v/>
      </c>
      <c r="BR94" s="133" t="str">
        <f>IF($A94&lt;&gt;0,VLOOKUP($A94,'0.Productos'!$A$3:$GG$587,'0.Productos'!DJ$1+1,0),"")</f>
        <v/>
      </c>
      <c r="BS94" s="133" t="str">
        <f>IF($A94&lt;&gt;0,VLOOKUP($A94,'0.Productos'!$A$3:$GG$587,'0.Productos'!DK$1+1,0),"")</f>
        <v/>
      </c>
      <c r="BT94" s="133" t="str">
        <f>IF($A94&lt;&gt;0,VLOOKUP($A94,'0.Productos'!$A$3:$GG$587,'0.Productos'!DL$1+1,0),"")</f>
        <v/>
      </c>
    </row>
    <row r="95" spans="1:72" x14ac:dyDescent="0.25">
      <c r="A95" s="17">
        <f>'0.Consolidado general'!A95</f>
        <v>0</v>
      </c>
      <c r="B95" s="133" t="str">
        <f>IF($A95&lt;&gt;0,VLOOKUP($A95,'0.Productos'!$A$3:$GG$587,'0.Productos'!AT$1+1,0),"")</f>
        <v/>
      </c>
      <c r="C95" s="133" t="str">
        <f>IF($A95&lt;&gt;0,VLOOKUP($A95,'0.Productos'!$A$3:$GG$587,'0.Productos'!AU$1+1,0),"")</f>
        <v/>
      </c>
      <c r="D95" s="133" t="str">
        <f>IF($A95&lt;&gt;0,VLOOKUP($A95,'0.Productos'!$A$3:$GG$587,'0.Productos'!AV$1+1,0),"")</f>
        <v/>
      </c>
      <c r="E95" s="133" t="str">
        <f>IF($A95&lt;&gt;0,VLOOKUP($A95,'0.Productos'!$A$3:$GG$587,'0.Productos'!AW$1+1,0),"")</f>
        <v/>
      </c>
      <c r="F95" s="133" t="str">
        <f>IF($A95&lt;&gt;0,VLOOKUP($A95,'0.Productos'!$A$3:$GG$587,'0.Productos'!AX$1+1,0),"")</f>
        <v/>
      </c>
      <c r="G95" s="133" t="str">
        <f>IF($A95&lt;&gt;0,VLOOKUP($A95,'0.Productos'!$A$3:$GG$587,'0.Productos'!AY$1+1,0),"")</f>
        <v/>
      </c>
      <c r="H95" s="133" t="str">
        <f>IF($A95&lt;&gt;0,VLOOKUP($A95,'0.Productos'!$A$3:$GG$587,'0.Productos'!AZ$1+1,0),"")</f>
        <v/>
      </c>
      <c r="I95" s="133" t="str">
        <f>IF($A95&lt;&gt;0,VLOOKUP($A95,'0.Productos'!$A$3:$GG$587,'0.Productos'!BA$1+1,0),"")</f>
        <v/>
      </c>
      <c r="J95" s="133" t="str">
        <f>IF($A95&lt;&gt;0,VLOOKUP($A95,'0.Productos'!$A$3:$GG$587,'0.Productos'!BB$1+1,0),"")</f>
        <v/>
      </c>
      <c r="K95" s="133" t="str">
        <f>IF($A95&lt;&gt;0,VLOOKUP($A95,'0.Productos'!$A$3:$GG$587,'0.Productos'!BC$1+1,0),"")</f>
        <v/>
      </c>
      <c r="L95" s="133" t="str">
        <f>IF($A95&lt;&gt;0,VLOOKUP($A95,'0.Productos'!$A$3:$GG$587,'0.Productos'!BD$1+1,0),"")</f>
        <v/>
      </c>
      <c r="M95" s="133" t="str">
        <f>IF($A95&lt;&gt;0,VLOOKUP($A95,'0.Productos'!$A$3:$GG$587,'0.Productos'!BE$1+1,0),"")</f>
        <v/>
      </c>
      <c r="N95" s="133" t="str">
        <f>IF($A95&lt;&gt;0,VLOOKUP($A95,'0.Productos'!$A$3:$GG$587,'0.Productos'!BF$1+1,0),"")</f>
        <v/>
      </c>
      <c r="O95" s="133" t="str">
        <f>IF($A95&lt;&gt;0,VLOOKUP($A95,'0.Productos'!$A$3:$GG$587,'0.Productos'!BG$1+1,0),"")</f>
        <v/>
      </c>
      <c r="P95" s="133" t="str">
        <f>IF($A95&lt;&gt;0,VLOOKUP($A95,'0.Productos'!$A$3:$GG$587,'0.Productos'!BH$1+1,0),"")</f>
        <v/>
      </c>
      <c r="Q95" s="133" t="str">
        <f>IF($A95&lt;&gt;0,VLOOKUP($A95,'0.Productos'!$A$3:$GG$587,'0.Productos'!BI$1+1,0),"")</f>
        <v/>
      </c>
      <c r="R95" s="133" t="str">
        <f>IF($A95&lt;&gt;0,VLOOKUP($A95,'0.Productos'!$A$3:$GG$587,'0.Productos'!BJ$1+1,0),"")</f>
        <v/>
      </c>
      <c r="S95" s="133" t="str">
        <f>IF($A95&lt;&gt;0,VLOOKUP($A95,'0.Productos'!$A$3:$GG$587,'0.Productos'!BK$1+1,0),"")</f>
        <v/>
      </c>
      <c r="T95" s="133" t="str">
        <f>IF($A95&lt;&gt;0,VLOOKUP($A95,'0.Productos'!$A$3:$GG$587,'0.Productos'!BL$1+1,0),"")</f>
        <v/>
      </c>
      <c r="U95" s="133" t="str">
        <f>IF($A95&lt;&gt;0,VLOOKUP($A95,'0.Productos'!$A$3:$GG$587,'0.Productos'!BM$1+1,0),"")</f>
        <v/>
      </c>
      <c r="V95" s="133" t="str">
        <f>IF($A95&lt;&gt;0,VLOOKUP($A95,'0.Productos'!$A$3:$GG$587,'0.Productos'!BN$1+1,0),"")</f>
        <v/>
      </c>
      <c r="W95" s="133" t="str">
        <f>IF($A95&lt;&gt;0,VLOOKUP($A95,'0.Productos'!$A$3:$GG$587,'0.Productos'!BO$1+1,0),"")</f>
        <v/>
      </c>
      <c r="X95" s="133" t="str">
        <f>IF($A95&lt;&gt;0,VLOOKUP($A95,'0.Productos'!$A$3:$GG$587,'0.Productos'!BP$1+1,0),"")</f>
        <v/>
      </c>
      <c r="Y95" s="133" t="str">
        <f>IF($A95&lt;&gt;0,VLOOKUP($A95,'0.Productos'!$A$3:$GG$587,'0.Productos'!BQ$1+1,0),"")</f>
        <v/>
      </c>
      <c r="Z95" s="133" t="str">
        <f>IF($A95&lt;&gt;0,VLOOKUP($A95,'0.Productos'!$A$3:$GG$587,'0.Productos'!BR$1+1,0),"")</f>
        <v/>
      </c>
      <c r="AA95" s="133" t="str">
        <f>IF($A95&lt;&gt;0,VLOOKUP($A95,'0.Productos'!$A$3:$GG$587,'0.Productos'!BS$1+1,0),"")</f>
        <v/>
      </c>
      <c r="AB95" s="133" t="str">
        <f>IF($A95&lt;&gt;0,VLOOKUP($A95,'0.Productos'!$A$3:$GG$587,'0.Productos'!BT$1+1,0),"")</f>
        <v/>
      </c>
      <c r="AC95" s="133" t="str">
        <f>IF($A95&lt;&gt;0,VLOOKUP($A95,'0.Productos'!$A$3:$GG$587,'0.Productos'!BU$1+1,0),"")</f>
        <v/>
      </c>
      <c r="AD95" s="133" t="str">
        <f>IF($A95&lt;&gt;0,VLOOKUP($A95,'0.Productos'!$A$3:$GG$587,'0.Productos'!BV$1+1,0),"")</f>
        <v/>
      </c>
      <c r="AE95" s="133" t="str">
        <f>IF($A95&lt;&gt;0,VLOOKUP($A95,'0.Productos'!$A$3:$GG$587,'0.Productos'!BW$1+1,0),"")</f>
        <v/>
      </c>
      <c r="AF95" s="133" t="str">
        <f>IF($A95&lt;&gt;0,VLOOKUP($A95,'0.Productos'!$A$3:$GG$587,'0.Productos'!BX$1+1,0),"")</f>
        <v/>
      </c>
      <c r="AG95" s="133" t="str">
        <f>IF($A95&lt;&gt;0,VLOOKUP($A95,'0.Productos'!$A$3:$GG$587,'0.Productos'!BY$1+1,0),"")</f>
        <v/>
      </c>
      <c r="AH95" s="133" t="str">
        <f>IF($A95&lt;&gt;0,VLOOKUP($A95,'0.Productos'!$A$3:$GG$587,'0.Productos'!BZ$1+1,0),"")</f>
        <v/>
      </c>
      <c r="AI95" s="133" t="str">
        <f>IF($A95&lt;&gt;0,VLOOKUP($A95,'0.Productos'!$A$3:$GG$587,'0.Productos'!CA$1+1,0),"")</f>
        <v/>
      </c>
      <c r="AJ95" s="133" t="str">
        <f>IF($A95&lt;&gt;0,VLOOKUP($A95,'0.Productos'!$A$3:$GG$587,'0.Productos'!CB$1+1,0),"")</f>
        <v/>
      </c>
      <c r="AK95" s="133" t="str">
        <f>IF($A95&lt;&gt;0,VLOOKUP($A95,'0.Productos'!$A$3:$GG$587,'0.Productos'!CC$1+1,0),"")</f>
        <v/>
      </c>
      <c r="AL95" s="133" t="str">
        <f>IF($A95&lt;&gt;0,VLOOKUP($A95,'0.Productos'!$A$3:$GG$587,'0.Productos'!CD$1+1,0),"")</f>
        <v/>
      </c>
      <c r="AM95" s="133" t="str">
        <f>IF($A95&lt;&gt;0,VLOOKUP($A95,'0.Productos'!$A$3:$GG$587,'0.Productos'!CE$1+1,0),"")</f>
        <v/>
      </c>
      <c r="AN95" s="133" t="str">
        <f>IF($A95&lt;&gt;0,VLOOKUP($A95,'0.Productos'!$A$3:$GG$587,'0.Productos'!CF$1+1,0),"")</f>
        <v/>
      </c>
      <c r="AO95" s="133" t="str">
        <f>IF($A95&lt;&gt;0,VLOOKUP($A95,'0.Productos'!$A$3:$GG$587,'0.Productos'!CG$1+1,0),"")</f>
        <v/>
      </c>
      <c r="AP95" s="133" t="str">
        <f>IF($A95&lt;&gt;0,VLOOKUP($A95,'0.Productos'!$A$3:$GG$587,'0.Productos'!CH$1+1,0),"")</f>
        <v/>
      </c>
      <c r="AQ95" s="133" t="str">
        <f>IF($A95&lt;&gt;0,VLOOKUP($A95,'0.Productos'!$A$3:$GG$587,'0.Productos'!CI$1+1,0),"")</f>
        <v/>
      </c>
      <c r="AR95" s="133" t="str">
        <f>IF($A95&lt;&gt;0,VLOOKUP($A95,'0.Productos'!$A$3:$GG$587,'0.Productos'!CJ$1+1,0),"")</f>
        <v/>
      </c>
      <c r="AS95" s="133" t="str">
        <f>IF($A95&lt;&gt;0,VLOOKUP($A95,'0.Productos'!$A$3:$GG$587,'0.Productos'!CK$1+1,0),"")</f>
        <v/>
      </c>
      <c r="AT95" s="133" t="str">
        <f>IF($A95&lt;&gt;0,VLOOKUP($A95,'0.Productos'!$A$3:$GG$587,'0.Productos'!CL$1+1,0),"")</f>
        <v/>
      </c>
      <c r="AU95" s="133" t="str">
        <f>IF($A95&lt;&gt;0,VLOOKUP($A95,'0.Productos'!$A$3:$GG$587,'0.Productos'!CM$1+1,0),"")</f>
        <v/>
      </c>
      <c r="AV95" s="133" t="str">
        <f>IF($A95&lt;&gt;0,VLOOKUP($A95,'0.Productos'!$A$3:$GG$587,'0.Productos'!CN$1+1,0),"")</f>
        <v/>
      </c>
      <c r="AW95" s="133" t="str">
        <f>IF($A95&lt;&gt;0,VLOOKUP($A95,'0.Productos'!$A$3:$GG$587,'0.Productos'!CO$1+1,0),"")</f>
        <v/>
      </c>
      <c r="AX95" s="133" t="str">
        <f>IF($A95&lt;&gt;0,VLOOKUP($A95,'0.Productos'!$A$3:$GG$587,'0.Productos'!CP$1+1,0),"")</f>
        <v/>
      </c>
      <c r="AY95" s="133" t="str">
        <f>IF($A95&lt;&gt;0,VLOOKUP($A95,'0.Productos'!$A$3:$GG$587,'0.Productos'!CQ$1+1,0),"")</f>
        <v/>
      </c>
      <c r="AZ95" s="133" t="str">
        <f>IF($A95&lt;&gt;0,VLOOKUP($A95,'0.Productos'!$A$3:$GG$587,'0.Productos'!CR$1+1,0),"")</f>
        <v/>
      </c>
      <c r="BA95" s="133" t="str">
        <f>IF($A95&lt;&gt;0,VLOOKUP($A95,'0.Productos'!$A$3:$GG$587,'0.Productos'!CS$1+1,0),"")</f>
        <v/>
      </c>
      <c r="BB95" s="133" t="str">
        <f>IF($A95&lt;&gt;0,VLOOKUP($A95,'0.Productos'!$A$3:$GG$587,'0.Productos'!CT$1+1,0),"")</f>
        <v/>
      </c>
      <c r="BC95" s="133" t="str">
        <f>IF($A95&lt;&gt;0,VLOOKUP($A95,'0.Productos'!$A$3:$GG$587,'0.Productos'!CU$1+1,0),"")</f>
        <v/>
      </c>
      <c r="BD95" s="133" t="str">
        <f>IF($A95&lt;&gt;0,VLOOKUP($A95,'0.Productos'!$A$3:$GG$587,'0.Productos'!CV$1+1,0),"")</f>
        <v/>
      </c>
      <c r="BE95" s="133" t="str">
        <f>IF($A95&lt;&gt;0,VLOOKUP($A95,'0.Productos'!$A$3:$GG$587,'0.Productos'!CW$1+1,0),"")</f>
        <v/>
      </c>
      <c r="BF95" s="133" t="str">
        <f>IF($A95&lt;&gt;0,VLOOKUP($A95,'0.Productos'!$A$3:$GG$587,'0.Productos'!CX$1+1,0),"")</f>
        <v/>
      </c>
      <c r="BG95" s="133" t="str">
        <f>IF($A95&lt;&gt;0,VLOOKUP($A95,'0.Productos'!$A$3:$GG$587,'0.Productos'!CY$1+1,0),"")</f>
        <v/>
      </c>
      <c r="BH95" s="133" t="str">
        <f>IF($A95&lt;&gt;0,VLOOKUP($A95,'0.Productos'!$A$3:$GG$587,'0.Productos'!CZ$1+1,0),"")</f>
        <v/>
      </c>
      <c r="BI95" s="133" t="str">
        <f>IF($A95&lt;&gt;0,VLOOKUP($A95,'0.Productos'!$A$3:$GG$587,'0.Productos'!DA$1+1,0),"")</f>
        <v/>
      </c>
      <c r="BJ95" s="133" t="str">
        <f>IF($A95&lt;&gt;0,VLOOKUP($A95,'0.Productos'!$A$3:$GG$587,'0.Productos'!DB$1+1,0),"")</f>
        <v/>
      </c>
      <c r="BK95" s="133" t="str">
        <f>IF($A95&lt;&gt;0,VLOOKUP($A95,'0.Productos'!$A$3:$GG$587,'0.Productos'!DC$1+1,0),"")</f>
        <v/>
      </c>
      <c r="BL95" s="133" t="str">
        <f>IF($A95&lt;&gt;0,VLOOKUP($A95,'0.Productos'!$A$3:$GG$587,'0.Productos'!DD$1+1,0),"")</f>
        <v/>
      </c>
      <c r="BM95" s="133" t="str">
        <f>IF($A95&lt;&gt;0,VLOOKUP($A95,'0.Productos'!$A$3:$GG$587,'0.Productos'!DE$1+1,0),"")</f>
        <v/>
      </c>
      <c r="BN95" s="133" t="str">
        <f>IF($A95&lt;&gt;0,VLOOKUP($A95,'0.Productos'!$A$3:$GG$587,'0.Productos'!DF$1+1,0),"")</f>
        <v/>
      </c>
      <c r="BO95" s="133" t="str">
        <f>IF($A95&lt;&gt;0,VLOOKUP($A95,'0.Productos'!$A$3:$GG$587,'0.Productos'!DG$1+1,0),"")</f>
        <v/>
      </c>
      <c r="BP95" s="133" t="str">
        <f>IF($A95&lt;&gt;0,VLOOKUP($A95,'0.Productos'!$A$3:$GG$587,'0.Productos'!DH$1+1,0),"")</f>
        <v/>
      </c>
      <c r="BQ95" s="133" t="str">
        <f>IF($A95&lt;&gt;0,VLOOKUP($A95,'0.Productos'!$A$3:$GG$587,'0.Productos'!DI$1+1,0),"")</f>
        <v/>
      </c>
      <c r="BR95" s="133" t="str">
        <f>IF($A95&lt;&gt;0,VLOOKUP($A95,'0.Productos'!$A$3:$GG$587,'0.Productos'!DJ$1+1,0),"")</f>
        <v/>
      </c>
      <c r="BS95" s="133" t="str">
        <f>IF($A95&lt;&gt;0,VLOOKUP($A95,'0.Productos'!$A$3:$GG$587,'0.Productos'!DK$1+1,0),"")</f>
        <v/>
      </c>
      <c r="BT95" s="133" t="str">
        <f>IF($A95&lt;&gt;0,VLOOKUP($A95,'0.Productos'!$A$3:$GG$587,'0.Productos'!DL$1+1,0),"")</f>
        <v/>
      </c>
    </row>
    <row r="96" spans="1:72" x14ac:dyDescent="0.25">
      <c r="A96" s="17">
        <f>'0.Consolidado general'!A96</f>
        <v>0</v>
      </c>
      <c r="B96" s="133" t="str">
        <f>IF($A96&lt;&gt;0,VLOOKUP($A96,'0.Productos'!$A$3:$GG$587,'0.Productos'!AT$1+1,0),"")</f>
        <v/>
      </c>
      <c r="C96" s="133" t="str">
        <f>IF($A96&lt;&gt;0,VLOOKUP($A96,'0.Productos'!$A$3:$GG$587,'0.Productos'!AU$1+1,0),"")</f>
        <v/>
      </c>
      <c r="D96" s="133" t="str">
        <f>IF($A96&lt;&gt;0,VLOOKUP($A96,'0.Productos'!$A$3:$GG$587,'0.Productos'!AV$1+1,0),"")</f>
        <v/>
      </c>
      <c r="E96" s="133" t="str">
        <f>IF($A96&lt;&gt;0,VLOOKUP($A96,'0.Productos'!$A$3:$GG$587,'0.Productos'!AW$1+1,0),"")</f>
        <v/>
      </c>
      <c r="F96" s="133" t="str">
        <f>IF($A96&lt;&gt;0,VLOOKUP($A96,'0.Productos'!$A$3:$GG$587,'0.Productos'!AX$1+1,0),"")</f>
        <v/>
      </c>
      <c r="G96" s="133" t="str">
        <f>IF($A96&lt;&gt;0,VLOOKUP($A96,'0.Productos'!$A$3:$GG$587,'0.Productos'!AY$1+1,0),"")</f>
        <v/>
      </c>
      <c r="H96" s="133" t="str">
        <f>IF($A96&lt;&gt;0,VLOOKUP($A96,'0.Productos'!$A$3:$GG$587,'0.Productos'!AZ$1+1,0),"")</f>
        <v/>
      </c>
      <c r="I96" s="133" t="str">
        <f>IF($A96&lt;&gt;0,VLOOKUP($A96,'0.Productos'!$A$3:$GG$587,'0.Productos'!BA$1+1,0),"")</f>
        <v/>
      </c>
      <c r="J96" s="133" t="str">
        <f>IF($A96&lt;&gt;0,VLOOKUP($A96,'0.Productos'!$A$3:$GG$587,'0.Productos'!BB$1+1,0),"")</f>
        <v/>
      </c>
      <c r="K96" s="133" t="str">
        <f>IF($A96&lt;&gt;0,VLOOKUP($A96,'0.Productos'!$A$3:$GG$587,'0.Productos'!BC$1+1,0),"")</f>
        <v/>
      </c>
      <c r="L96" s="133" t="str">
        <f>IF($A96&lt;&gt;0,VLOOKUP($A96,'0.Productos'!$A$3:$GG$587,'0.Productos'!BD$1+1,0),"")</f>
        <v/>
      </c>
      <c r="M96" s="133" t="str">
        <f>IF($A96&lt;&gt;0,VLOOKUP($A96,'0.Productos'!$A$3:$GG$587,'0.Productos'!BE$1+1,0),"")</f>
        <v/>
      </c>
      <c r="N96" s="133" t="str">
        <f>IF($A96&lt;&gt;0,VLOOKUP($A96,'0.Productos'!$A$3:$GG$587,'0.Productos'!BF$1+1,0),"")</f>
        <v/>
      </c>
      <c r="O96" s="133" t="str">
        <f>IF($A96&lt;&gt;0,VLOOKUP($A96,'0.Productos'!$A$3:$GG$587,'0.Productos'!BG$1+1,0),"")</f>
        <v/>
      </c>
      <c r="P96" s="133" t="str">
        <f>IF($A96&lt;&gt;0,VLOOKUP($A96,'0.Productos'!$A$3:$GG$587,'0.Productos'!BH$1+1,0),"")</f>
        <v/>
      </c>
      <c r="Q96" s="133" t="str">
        <f>IF($A96&lt;&gt;0,VLOOKUP($A96,'0.Productos'!$A$3:$GG$587,'0.Productos'!BI$1+1,0),"")</f>
        <v/>
      </c>
      <c r="R96" s="133" t="str">
        <f>IF($A96&lt;&gt;0,VLOOKUP($A96,'0.Productos'!$A$3:$GG$587,'0.Productos'!BJ$1+1,0),"")</f>
        <v/>
      </c>
      <c r="S96" s="133" t="str">
        <f>IF($A96&lt;&gt;0,VLOOKUP($A96,'0.Productos'!$A$3:$GG$587,'0.Productos'!BK$1+1,0),"")</f>
        <v/>
      </c>
      <c r="T96" s="133" t="str">
        <f>IF($A96&lt;&gt;0,VLOOKUP($A96,'0.Productos'!$A$3:$GG$587,'0.Productos'!BL$1+1,0),"")</f>
        <v/>
      </c>
      <c r="U96" s="133" t="str">
        <f>IF($A96&lt;&gt;0,VLOOKUP($A96,'0.Productos'!$A$3:$GG$587,'0.Productos'!BM$1+1,0),"")</f>
        <v/>
      </c>
      <c r="V96" s="133" t="str">
        <f>IF($A96&lt;&gt;0,VLOOKUP($A96,'0.Productos'!$A$3:$GG$587,'0.Productos'!BN$1+1,0),"")</f>
        <v/>
      </c>
      <c r="W96" s="133" t="str">
        <f>IF($A96&lt;&gt;0,VLOOKUP($A96,'0.Productos'!$A$3:$GG$587,'0.Productos'!BO$1+1,0),"")</f>
        <v/>
      </c>
      <c r="X96" s="133" t="str">
        <f>IF($A96&lt;&gt;0,VLOOKUP($A96,'0.Productos'!$A$3:$GG$587,'0.Productos'!BP$1+1,0),"")</f>
        <v/>
      </c>
      <c r="Y96" s="133" t="str">
        <f>IF($A96&lt;&gt;0,VLOOKUP($A96,'0.Productos'!$A$3:$GG$587,'0.Productos'!BQ$1+1,0),"")</f>
        <v/>
      </c>
      <c r="Z96" s="133" t="str">
        <f>IF($A96&lt;&gt;0,VLOOKUP($A96,'0.Productos'!$A$3:$GG$587,'0.Productos'!BR$1+1,0),"")</f>
        <v/>
      </c>
      <c r="AA96" s="133" t="str">
        <f>IF($A96&lt;&gt;0,VLOOKUP($A96,'0.Productos'!$A$3:$GG$587,'0.Productos'!BS$1+1,0),"")</f>
        <v/>
      </c>
      <c r="AB96" s="133" t="str">
        <f>IF($A96&lt;&gt;0,VLOOKUP($A96,'0.Productos'!$A$3:$GG$587,'0.Productos'!BT$1+1,0),"")</f>
        <v/>
      </c>
      <c r="AC96" s="133" t="str">
        <f>IF($A96&lt;&gt;0,VLOOKUP($A96,'0.Productos'!$A$3:$GG$587,'0.Productos'!BU$1+1,0),"")</f>
        <v/>
      </c>
      <c r="AD96" s="133" t="str">
        <f>IF($A96&lt;&gt;0,VLOOKUP($A96,'0.Productos'!$A$3:$GG$587,'0.Productos'!BV$1+1,0),"")</f>
        <v/>
      </c>
      <c r="AE96" s="133" t="str">
        <f>IF($A96&lt;&gt;0,VLOOKUP($A96,'0.Productos'!$A$3:$GG$587,'0.Productos'!BW$1+1,0),"")</f>
        <v/>
      </c>
      <c r="AF96" s="133" t="str">
        <f>IF($A96&lt;&gt;0,VLOOKUP($A96,'0.Productos'!$A$3:$GG$587,'0.Productos'!BX$1+1,0),"")</f>
        <v/>
      </c>
      <c r="AG96" s="133" t="str">
        <f>IF($A96&lt;&gt;0,VLOOKUP($A96,'0.Productos'!$A$3:$GG$587,'0.Productos'!BY$1+1,0),"")</f>
        <v/>
      </c>
      <c r="AH96" s="133" t="str">
        <f>IF($A96&lt;&gt;0,VLOOKUP($A96,'0.Productos'!$A$3:$GG$587,'0.Productos'!BZ$1+1,0),"")</f>
        <v/>
      </c>
      <c r="AI96" s="133" t="str">
        <f>IF($A96&lt;&gt;0,VLOOKUP($A96,'0.Productos'!$A$3:$GG$587,'0.Productos'!CA$1+1,0),"")</f>
        <v/>
      </c>
      <c r="AJ96" s="133" t="str">
        <f>IF($A96&lt;&gt;0,VLOOKUP($A96,'0.Productos'!$A$3:$GG$587,'0.Productos'!CB$1+1,0),"")</f>
        <v/>
      </c>
      <c r="AK96" s="133" t="str">
        <f>IF($A96&lt;&gt;0,VLOOKUP($A96,'0.Productos'!$A$3:$GG$587,'0.Productos'!CC$1+1,0),"")</f>
        <v/>
      </c>
      <c r="AL96" s="133" t="str">
        <f>IF($A96&lt;&gt;0,VLOOKUP($A96,'0.Productos'!$A$3:$GG$587,'0.Productos'!CD$1+1,0),"")</f>
        <v/>
      </c>
      <c r="AM96" s="133" t="str">
        <f>IF($A96&lt;&gt;0,VLOOKUP($A96,'0.Productos'!$A$3:$GG$587,'0.Productos'!CE$1+1,0),"")</f>
        <v/>
      </c>
      <c r="AN96" s="133" t="str">
        <f>IF($A96&lt;&gt;0,VLOOKUP($A96,'0.Productos'!$A$3:$GG$587,'0.Productos'!CF$1+1,0),"")</f>
        <v/>
      </c>
      <c r="AO96" s="133" t="str">
        <f>IF($A96&lt;&gt;0,VLOOKUP($A96,'0.Productos'!$A$3:$GG$587,'0.Productos'!CG$1+1,0),"")</f>
        <v/>
      </c>
      <c r="AP96" s="133" t="str">
        <f>IF($A96&lt;&gt;0,VLOOKUP($A96,'0.Productos'!$A$3:$GG$587,'0.Productos'!CH$1+1,0),"")</f>
        <v/>
      </c>
      <c r="AQ96" s="133" t="str">
        <f>IF($A96&lt;&gt;0,VLOOKUP($A96,'0.Productos'!$A$3:$GG$587,'0.Productos'!CI$1+1,0),"")</f>
        <v/>
      </c>
      <c r="AR96" s="133" t="str">
        <f>IF($A96&lt;&gt;0,VLOOKUP($A96,'0.Productos'!$A$3:$GG$587,'0.Productos'!CJ$1+1,0),"")</f>
        <v/>
      </c>
      <c r="AS96" s="133" t="str">
        <f>IF($A96&lt;&gt;0,VLOOKUP($A96,'0.Productos'!$A$3:$GG$587,'0.Productos'!CK$1+1,0),"")</f>
        <v/>
      </c>
      <c r="AT96" s="133" t="str">
        <f>IF($A96&lt;&gt;0,VLOOKUP($A96,'0.Productos'!$A$3:$GG$587,'0.Productos'!CL$1+1,0),"")</f>
        <v/>
      </c>
      <c r="AU96" s="133" t="str">
        <f>IF($A96&lt;&gt;0,VLOOKUP($A96,'0.Productos'!$A$3:$GG$587,'0.Productos'!CM$1+1,0),"")</f>
        <v/>
      </c>
      <c r="AV96" s="133" t="str">
        <f>IF($A96&lt;&gt;0,VLOOKUP($A96,'0.Productos'!$A$3:$GG$587,'0.Productos'!CN$1+1,0),"")</f>
        <v/>
      </c>
      <c r="AW96" s="133" t="str">
        <f>IF($A96&lt;&gt;0,VLOOKUP($A96,'0.Productos'!$A$3:$GG$587,'0.Productos'!CO$1+1,0),"")</f>
        <v/>
      </c>
      <c r="AX96" s="133" t="str">
        <f>IF($A96&lt;&gt;0,VLOOKUP($A96,'0.Productos'!$A$3:$GG$587,'0.Productos'!CP$1+1,0),"")</f>
        <v/>
      </c>
      <c r="AY96" s="133" t="str">
        <f>IF($A96&lt;&gt;0,VLOOKUP($A96,'0.Productos'!$A$3:$GG$587,'0.Productos'!CQ$1+1,0),"")</f>
        <v/>
      </c>
      <c r="AZ96" s="133" t="str">
        <f>IF($A96&lt;&gt;0,VLOOKUP($A96,'0.Productos'!$A$3:$GG$587,'0.Productos'!CR$1+1,0),"")</f>
        <v/>
      </c>
      <c r="BA96" s="133" t="str">
        <f>IF($A96&lt;&gt;0,VLOOKUP($A96,'0.Productos'!$A$3:$GG$587,'0.Productos'!CS$1+1,0),"")</f>
        <v/>
      </c>
      <c r="BB96" s="133" t="str">
        <f>IF($A96&lt;&gt;0,VLOOKUP($A96,'0.Productos'!$A$3:$GG$587,'0.Productos'!CT$1+1,0),"")</f>
        <v/>
      </c>
      <c r="BC96" s="133" t="str">
        <f>IF($A96&lt;&gt;0,VLOOKUP($A96,'0.Productos'!$A$3:$GG$587,'0.Productos'!CU$1+1,0),"")</f>
        <v/>
      </c>
      <c r="BD96" s="133" t="str">
        <f>IF($A96&lt;&gt;0,VLOOKUP($A96,'0.Productos'!$A$3:$GG$587,'0.Productos'!CV$1+1,0),"")</f>
        <v/>
      </c>
      <c r="BE96" s="133" t="str">
        <f>IF($A96&lt;&gt;0,VLOOKUP($A96,'0.Productos'!$A$3:$GG$587,'0.Productos'!CW$1+1,0),"")</f>
        <v/>
      </c>
      <c r="BF96" s="133" t="str">
        <f>IF($A96&lt;&gt;0,VLOOKUP($A96,'0.Productos'!$A$3:$GG$587,'0.Productos'!CX$1+1,0),"")</f>
        <v/>
      </c>
      <c r="BG96" s="133" t="str">
        <f>IF($A96&lt;&gt;0,VLOOKUP($A96,'0.Productos'!$A$3:$GG$587,'0.Productos'!CY$1+1,0),"")</f>
        <v/>
      </c>
      <c r="BH96" s="133" t="str">
        <f>IF($A96&lt;&gt;0,VLOOKUP($A96,'0.Productos'!$A$3:$GG$587,'0.Productos'!CZ$1+1,0),"")</f>
        <v/>
      </c>
      <c r="BI96" s="133" t="str">
        <f>IF($A96&lt;&gt;0,VLOOKUP($A96,'0.Productos'!$A$3:$GG$587,'0.Productos'!DA$1+1,0),"")</f>
        <v/>
      </c>
      <c r="BJ96" s="133" t="str">
        <f>IF($A96&lt;&gt;0,VLOOKUP($A96,'0.Productos'!$A$3:$GG$587,'0.Productos'!DB$1+1,0),"")</f>
        <v/>
      </c>
      <c r="BK96" s="133" t="str">
        <f>IF($A96&lt;&gt;0,VLOOKUP($A96,'0.Productos'!$A$3:$GG$587,'0.Productos'!DC$1+1,0),"")</f>
        <v/>
      </c>
      <c r="BL96" s="133" t="str">
        <f>IF($A96&lt;&gt;0,VLOOKUP($A96,'0.Productos'!$A$3:$GG$587,'0.Productos'!DD$1+1,0),"")</f>
        <v/>
      </c>
      <c r="BM96" s="133" t="str">
        <f>IF($A96&lt;&gt;0,VLOOKUP($A96,'0.Productos'!$A$3:$GG$587,'0.Productos'!DE$1+1,0),"")</f>
        <v/>
      </c>
      <c r="BN96" s="133" t="str">
        <f>IF($A96&lt;&gt;0,VLOOKUP($A96,'0.Productos'!$A$3:$GG$587,'0.Productos'!DF$1+1,0),"")</f>
        <v/>
      </c>
      <c r="BO96" s="133" t="str">
        <f>IF($A96&lt;&gt;0,VLOOKUP($A96,'0.Productos'!$A$3:$GG$587,'0.Productos'!DG$1+1,0),"")</f>
        <v/>
      </c>
      <c r="BP96" s="133" t="str">
        <f>IF($A96&lt;&gt;0,VLOOKUP($A96,'0.Productos'!$A$3:$GG$587,'0.Productos'!DH$1+1,0),"")</f>
        <v/>
      </c>
      <c r="BQ96" s="133" t="str">
        <f>IF($A96&lt;&gt;0,VLOOKUP($A96,'0.Productos'!$A$3:$GG$587,'0.Productos'!DI$1+1,0),"")</f>
        <v/>
      </c>
      <c r="BR96" s="133" t="str">
        <f>IF($A96&lt;&gt;0,VLOOKUP($A96,'0.Productos'!$A$3:$GG$587,'0.Productos'!DJ$1+1,0),"")</f>
        <v/>
      </c>
      <c r="BS96" s="133" t="str">
        <f>IF($A96&lt;&gt;0,VLOOKUP($A96,'0.Productos'!$A$3:$GG$587,'0.Productos'!DK$1+1,0),"")</f>
        <v/>
      </c>
      <c r="BT96" s="133" t="str">
        <f>IF($A96&lt;&gt;0,VLOOKUP($A96,'0.Productos'!$A$3:$GG$587,'0.Productos'!DL$1+1,0),"")</f>
        <v/>
      </c>
    </row>
    <row r="97" spans="1:72" x14ac:dyDescent="0.25">
      <c r="A97" s="17">
        <f>'0.Consolidado general'!A97</f>
        <v>0</v>
      </c>
      <c r="B97" s="133" t="str">
        <f>IF($A97&lt;&gt;0,VLOOKUP($A97,'0.Productos'!$A$3:$GG$587,'0.Productos'!AT$1+1,0),"")</f>
        <v/>
      </c>
      <c r="C97" s="133" t="str">
        <f>IF($A97&lt;&gt;0,VLOOKUP($A97,'0.Productos'!$A$3:$GG$587,'0.Productos'!AU$1+1,0),"")</f>
        <v/>
      </c>
      <c r="D97" s="133" t="str">
        <f>IF($A97&lt;&gt;0,VLOOKUP($A97,'0.Productos'!$A$3:$GG$587,'0.Productos'!AV$1+1,0),"")</f>
        <v/>
      </c>
      <c r="E97" s="133" t="str">
        <f>IF($A97&lt;&gt;0,VLOOKUP($A97,'0.Productos'!$A$3:$GG$587,'0.Productos'!AW$1+1,0),"")</f>
        <v/>
      </c>
      <c r="F97" s="133" t="str">
        <f>IF($A97&lt;&gt;0,VLOOKUP($A97,'0.Productos'!$A$3:$GG$587,'0.Productos'!AX$1+1,0),"")</f>
        <v/>
      </c>
      <c r="G97" s="133" t="str">
        <f>IF($A97&lt;&gt;0,VLOOKUP($A97,'0.Productos'!$A$3:$GG$587,'0.Productos'!AY$1+1,0),"")</f>
        <v/>
      </c>
      <c r="H97" s="133" t="str">
        <f>IF($A97&lt;&gt;0,VLOOKUP($A97,'0.Productos'!$A$3:$GG$587,'0.Productos'!AZ$1+1,0),"")</f>
        <v/>
      </c>
      <c r="I97" s="133" t="str">
        <f>IF($A97&lt;&gt;0,VLOOKUP($A97,'0.Productos'!$A$3:$GG$587,'0.Productos'!BA$1+1,0),"")</f>
        <v/>
      </c>
      <c r="J97" s="133" t="str">
        <f>IF($A97&lt;&gt;0,VLOOKUP($A97,'0.Productos'!$A$3:$GG$587,'0.Productos'!BB$1+1,0),"")</f>
        <v/>
      </c>
      <c r="K97" s="133" t="str">
        <f>IF($A97&lt;&gt;0,VLOOKUP($A97,'0.Productos'!$A$3:$GG$587,'0.Productos'!BC$1+1,0),"")</f>
        <v/>
      </c>
      <c r="L97" s="133" t="str">
        <f>IF($A97&lt;&gt;0,VLOOKUP($A97,'0.Productos'!$A$3:$GG$587,'0.Productos'!BD$1+1,0),"")</f>
        <v/>
      </c>
      <c r="M97" s="133" t="str">
        <f>IF($A97&lt;&gt;0,VLOOKUP($A97,'0.Productos'!$A$3:$GG$587,'0.Productos'!BE$1+1,0),"")</f>
        <v/>
      </c>
      <c r="N97" s="133" t="str">
        <f>IF($A97&lt;&gt;0,VLOOKUP($A97,'0.Productos'!$A$3:$GG$587,'0.Productos'!BF$1+1,0),"")</f>
        <v/>
      </c>
      <c r="O97" s="133" t="str">
        <f>IF($A97&lt;&gt;0,VLOOKUP($A97,'0.Productos'!$A$3:$GG$587,'0.Productos'!BG$1+1,0),"")</f>
        <v/>
      </c>
      <c r="P97" s="133" t="str">
        <f>IF($A97&lt;&gt;0,VLOOKUP($A97,'0.Productos'!$A$3:$GG$587,'0.Productos'!BH$1+1,0),"")</f>
        <v/>
      </c>
      <c r="Q97" s="133" t="str">
        <f>IF($A97&lt;&gt;0,VLOOKUP($A97,'0.Productos'!$A$3:$GG$587,'0.Productos'!BI$1+1,0),"")</f>
        <v/>
      </c>
      <c r="R97" s="133" t="str">
        <f>IF($A97&lt;&gt;0,VLOOKUP($A97,'0.Productos'!$A$3:$GG$587,'0.Productos'!BJ$1+1,0),"")</f>
        <v/>
      </c>
      <c r="S97" s="133" t="str">
        <f>IF($A97&lt;&gt;0,VLOOKUP($A97,'0.Productos'!$A$3:$GG$587,'0.Productos'!BK$1+1,0),"")</f>
        <v/>
      </c>
      <c r="T97" s="133" t="str">
        <f>IF($A97&lt;&gt;0,VLOOKUP($A97,'0.Productos'!$A$3:$GG$587,'0.Productos'!BL$1+1,0),"")</f>
        <v/>
      </c>
      <c r="U97" s="133" t="str">
        <f>IF($A97&lt;&gt;0,VLOOKUP($A97,'0.Productos'!$A$3:$GG$587,'0.Productos'!BM$1+1,0),"")</f>
        <v/>
      </c>
      <c r="V97" s="133" t="str">
        <f>IF($A97&lt;&gt;0,VLOOKUP($A97,'0.Productos'!$A$3:$GG$587,'0.Productos'!BN$1+1,0),"")</f>
        <v/>
      </c>
      <c r="W97" s="133" t="str">
        <f>IF($A97&lt;&gt;0,VLOOKUP($A97,'0.Productos'!$A$3:$GG$587,'0.Productos'!BO$1+1,0),"")</f>
        <v/>
      </c>
      <c r="X97" s="133" t="str">
        <f>IF($A97&lt;&gt;0,VLOOKUP($A97,'0.Productos'!$A$3:$GG$587,'0.Productos'!BP$1+1,0),"")</f>
        <v/>
      </c>
      <c r="Y97" s="133" t="str">
        <f>IF($A97&lt;&gt;0,VLOOKUP($A97,'0.Productos'!$A$3:$GG$587,'0.Productos'!BQ$1+1,0),"")</f>
        <v/>
      </c>
      <c r="Z97" s="133" t="str">
        <f>IF($A97&lt;&gt;0,VLOOKUP($A97,'0.Productos'!$A$3:$GG$587,'0.Productos'!BR$1+1,0),"")</f>
        <v/>
      </c>
      <c r="AA97" s="133" t="str">
        <f>IF($A97&lt;&gt;0,VLOOKUP($A97,'0.Productos'!$A$3:$GG$587,'0.Productos'!BS$1+1,0),"")</f>
        <v/>
      </c>
      <c r="AB97" s="133" t="str">
        <f>IF($A97&lt;&gt;0,VLOOKUP($A97,'0.Productos'!$A$3:$GG$587,'0.Productos'!BT$1+1,0),"")</f>
        <v/>
      </c>
      <c r="AC97" s="133" t="str">
        <f>IF($A97&lt;&gt;0,VLOOKUP($A97,'0.Productos'!$A$3:$GG$587,'0.Productos'!BU$1+1,0),"")</f>
        <v/>
      </c>
      <c r="AD97" s="133" t="str">
        <f>IF($A97&lt;&gt;0,VLOOKUP($A97,'0.Productos'!$A$3:$GG$587,'0.Productos'!BV$1+1,0),"")</f>
        <v/>
      </c>
      <c r="AE97" s="133" t="str">
        <f>IF($A97&lt;&gt;0,VLOOKUP($A97,'0.Productos'!$A$3:$GG$587,'0.Productos'!BW$1+1,0),"")</f>
        <v/>
      </c>
      <c r="AF97" s="133" t="str">
        <f>IF($A97&lt;&gt;0,VLOOKUP($A97,'0.Productos'!$A$3:$GG$587,'0.Productos'!BX$1+1,0),"")</f>
        <v/>
      </c>
      <c r="AG97" s="133" t="str">
        <f>IF($A97&lt;&gt;0,VLOOKUP($A97,'0.Productos'!$A$3:$GG$587,'0.Productos'!BY$1+1,0),"")</f>
        <v/>
      </c>
      <c r="AH97" s="133" t="str">
        <f>IF($A97&lt;&gt;0,VLOOKUP($A97,'0.Productos'!$A$3:$GG$587,'0.Productos'!BZ$1+1,0),"")</f>
        <v/>
      </c>
      <c r="AI97" s="133" t="str">
        <f>IF($A97&lt;&gt;0,VLOOKUP($A97,'0.Productos'!$A$3:$GG$587,'0.Productos'!CA$1+1,0),"")</f>
        <v/>
      </c>
      <c r="AJ97" s="133" t="str">
        <f>IF($A97&lt;&gt;0,VLOOKUP($A97,'0.Productos'!$A$3:$GG$587,'0.Productos'!CB$1+1,0),"")</f>
        <v/>
      </c>
      <c r="AK97" s="133" t="str">
        <f>IF($A97&lt;&gt;0,VLOOKUP($A97,'0.Productos'!$A$3:$GG$587,'0.Productos'!CC$1+1,0),"")</f>
        <v/>
      </c>
      <c r="AL97" s="133" t="str">
        <f>IF($A97&lt;&gt;0,VLOOKUP($A97,'0.Productos'!$A$3:$GG$587,'0.Productos'!CD$1+1,0),"")</f>
        <v/>
      </c>
      <c r="AM97" s="133" t="str">
        <f>IF($A97&lt;&gt;0,VLOOKUP($A97,'0.Productos'!$A$3:$GG$587,'0.Productos'!CE$1+1,0),"")</f>
        <v/>
      </c>
      <c r="AN97" s="133" t="str">
        <f>IF($A97&lt;&gt;0,VLOOKUP($A97,'0.Productos'!$A$3:$GG$587,'0.Productos'!CF$1+1,0),"")</f>
        <v/>
      </c>
      <c r="AO97" s="133" t="str">
        <f>IF($A97&lt;&gt;0,VLOOKUP($A97,'0.Productos'!$A$3:$GG$587,'0.Productos'!CG$1+1,0),"")</f>
        <v/>
      </c>
      <c r="AP97" s="133" t="str">
        <f>IF($A97&lt;&gt;0,VLOOKUP($A97,'0.Productos'!$A$3:$GG$587,'0.Productos'!CH$1+1,0),"")</f>
        <v/>
      </c>
      <c r="AQ97" s="133" t="str">
        <f>IF($A97&lt;&gt;0,VLOOKUP($A97,'0.Productos'!$A$3:$GG$587,'0.Productos'!CI$1+1,0),"")</f>
        <v/>
      </c>
      <c r="AR97" s="133" t="str">
        <f>IF($A97&lt;&gt;0,VLOOKUP($A97,'0.Productos'!$A$3:$GG$587,'0.Productos'!CJ$1+1,0),"")</f>
        <v/>
      </c>
      <c r="AS97" s="133" t="str">
        <f>IF($A97&lt;&gt;0,VLOOKUP($A97,'0.Productos'!$A$3:$GG$587,'0.Productos'!CK$1+1,0),"")</f>
        <v/>
      </c>
      <c r="AT97" s="133" t="str">
        <f>IF($A97&lt;&gt;0,VLOOKUP($A97,'0.Productos'!$A$3:$GG$587,'0.Productos'!CL$1+1,0),"")</f>
        <v/>
      </c>
      <c r="AU97" s="133" t="str">
        <f>IF($A97&lt;&gt;0,VLOOKUP($A97,'0.Productos'!$A$3:$GG$587,'0.Productos'!CM$1+1,0),"")</f>
        <v/>
      </c>
      <c r="AV97" s="133" t="str">
        <f>IF($A97&lt;&gt;0,VLOOKUP($A97,'0.Productos'!$A$3:$GG$587,'0.Productos'!CN$1+1,0),"")</f>
        <v/>
      </c>
      <c r="AW97" s="133" t="str">
        <f>IF($A97&lt;&gt;0,VLOOKUP($A97,'0.Productos'!$A$3:$GG$587,'0.Productos'!CO$1+1,0),"")</f>
        <v/>
      </c>
      <c r="AX97" s="133" t="str">
        <f>IF($A97&lt;&gt;0,VLOOKUP($A97,'0.Productos'!$A$3:$GG$587,'0.Productos'!CP$1+1,0),"")</f>
        <v/>
      </c>
      <c r="AY97" s="133" t="str">
        <f>IF($A97&lt;&gt;0,VLOOKUP($A97,'0.Productos'!$A$3:$GG$587,'0.Productos'!CQ$1+1,0),"")</f>
        <v/>
      </c>
      <c r="AZ97" s="133" t="str">
        <f>IF($A97&lt;&gt;0,VLOOKUP($A97,'0.Productos'!$A$3:$GG$587,'0.Productos'!CR$1+1,0),"")</f>
        <v/>
      </c>
      <c r="BA97" s="133" t="str">
        <f>IF($A97&lt;&gt;0,VLOOKUP($A97,'0.Productos'!$A$3:$GG$587,'0.Productos'!CS$1+1,0),"")</f>
        <v/>
      </c>
      <c r="BB97" s="133" t="str">
        <f>IF($A97&lt;&gt;0,VLOOKUP($A97,'0.Productos'!$A$3:$GG$587,'0.Productos'!CT$1+1,0),"")</f>
        <v/>
      </c>
      <c r="BC97" s="133" t="str">
        <f>IF($A97&lt;&gt;0,VLOOKUP($A97,'0.Productos'!$A$3:$GG$587,'0.Productos'!CU$1+1,0),"")</f>
        <v/>
      </c>
      <c r="BD97" s="133" t="str">
        <f>IF($A97&lt;&gt;0,VLOOKUP($A97,'0.Productos'!$A$3:$GG$587,'0.Productos'!CV$1+1,0),"")</f>
        <v/>
      </c>
      <c r="BE97" s="133" t="str">
        <f>IF($A97&lt;&gt;0,VLOOKUP($A97,'0.Productos'!$A$3:$GG$587,'0.Productos'!CW$1+1,0),"")</f>
        <v/>
      </c>
      <c r="BF97" s="133" t="str">
        <f>IF($A97&lt;&gt;0,VLOOKUP($A97,'0.Productos'!$A$3:$GG$587,'0.Productos'!CX$1+1,0),"")</f>
        <v/>
      </c>
      <c r="BG97" s="133" t="str">
        <f>IF($A97&lt;&gt;0,VLOOKUP($A97,'0.Productos'!$A$3:$GG$587,'0.Productos'!CY$1+1,0),"")</f>
        <v/>
      </c>
      <c r="BH97" s="133" t="str">
        <f>IF($A97&lt;&gt;0,VLOOKUP($A97,'0.Productos'!$A$3:$GG$587,'0.Productos'!CZ$1+1,0),"")</f>
        <v/>
      </c>
      <c r="BI97" s="133" t="str">
        <f>IF($A97&lt;&gt;0,VLOOKUP($A97,'0.Productos'!$A$3:$GG$587,'0.Productos'!DA$1+1,0),"")</f>
        <v/>
      </c>
      <c r="BJ97" s="133" t="str">
        <f>IF($A97&lt;&gt;0,VLOOKUP($A97,'0.Productos'!$A$3:$GG$587,'0.Productos'!DB$1+1,0),"")</f>
        <v/>
      </c>
      <c r="BK97" s="133" t="str">
        <f>IF($A97&lt;&gt;0,VLOOKUP($A97,'0.Productos'!$A$3:$GG$587,'0.Productos'!DC$1+1,0),"")</f>
        <v/>
      </c>
      <c r="BL97" s="133" t="str">
        <f>IF($A97&lt;&gt;0,VLOOKUP($A97,'0.Productos'!$A$3:$GG$587,'0.Productos'!DD$1+1,0),"")</f>
        <v/>
      </c>
      <c r="BM97" s="133" t="str">
        <f>IF($A97&lt;&gt;0,VLOOKUP($A97,'0.Productos'!$A$3:$GG$587,'0.Productos'!DE$1+1,0),"")</f>
        <v/>
      </c>
      <c r="BN97" s="133" t="str">
        <f>IF($A97&lt;&gt;0,VLOOKUP($A97,'0.Productos'!$A$3:$GG$587,'0.Productos'!DF$1+1,0),"")</f>
        <v/>
      </c>
      <c r="BO97" s="133" t="str">
        <f>IF($A97&lt;&gt;0,VLOOKUP($A97,'0.Productos'!$A$3:$GG$587,'0.Productos'!DG$1+1,0),"")</f>
        <v/>
      </c>
      <c r="BP97" s="133" t="str">
        <f>IF($A97&lt;&gt;0,VLOOKUP($A97,'0.Productos'!$A$3:$GG$587,'0.Productos'!DH$1+1,0),"")</f>
        <v/>
      </c>
      <c r="BQ97" s="133" t="str">
        <f>IF($A97&lt;&gt;0,VLOOKUP($A97,'0.Productos'!$A$3:$GG$587,'0.Productos'!DI$1+1,0),"")</f>
        <v/>
      </c>
      <c r="BR97" s="133" t="str">
        <f>IF($A97&lt;&gt;0,VLOOKUP($A97,'0.Productos'!$A$3:$GG$587,'0.Productos'!DJ$1+1,0),"")</f>
        <v/>
      </c>
      <c r="BS97" s="133" t="str">
        <f>IF($A97&lt;&gt;0,VLOOKUP($A97,'0.Productos'!$A$3:$GG$587,'0.Productos'!DK$1+1,0),"")</f>
        <v/>
      </c>
      <c r="BT97" s="133" t="str">
        <f>IF($A97&lt;&gt;0,VLOOKUP($A97,'0.Productos'!$A$3:$GG$587,'0.Productos'!DL$1+1,0),"")</f>
        <v/>
      </c>
    </row>
    <row r="98" spans="1:72" x14ac:dyDescent="0.25">
      <c r="A98" s="17">
        <f>'0.Consolidado general'!A98</f>
        <v>0</v>
      </c>
      <c r="B98" s="133" t="str">
        <f>IF($A98&lt;&gt;0,VLOOKUP($A98,'0.Productos'!$A$3:$GG$587,'0.Productos'!AT$1+1,0),"")</f>
        <v/>
      </c>
      <c r="C98" s="133" t="str">
        <f>IF($A98&lt;&gt;0,VLOOKUP($A98,'0.Productos'!$A$3:$GG$587,'0.Productos'!AU$1+1,0),"")</f>
        <v/>
      </c>
      <c r="D98" s="133" t="str">
        <f>IF($A98&lt;&gt;0,VLOOKUP($A98,'0.Productos'!$A$3:$GG$587,'0.Productos'!AV$1+1,0),"")</f>
        <v/>
      </c>
      <c r="E98" s="133" t="str">
        <f>IF($A98&lt;&gt;0,VLOOKUP($A98,'0.Productos'!$A$3:$GG$587,'0.Productos'!AW$1+1,0),"")</f>
        <v/>
      </c>
      <c r="F98" s="133" t="str">
        <f>IF($A98&lt;&gt;0,VLOOKUP($A98,'0.Productos'!$A$3:$GG$587,'0.Productos'!AX$1+1,0),"")</f>
        <v/>
      </c>
      <c r="G98" s="133" t="str">
        <f>IF($A98&lt;&gt;0,VLOOKUP($A98,'0.Productos'!$A$3:$GG$587,'0.Productos'!AY$1+1,0),"")</f>
        <v/>
      </c>
      <c r="H98" s="133" t="str">
        <f>IF($A98&lt;&gt;0,VLOOKUP($A98,'0.Productos'!$A$3:$GG$587,'0.Productos'!AZ$1+1,0),"")</f>
        <v/>
      </c>
      <c r="I98" s="133" t="str">
        <f>IF($A98&lt;&gt;0,VLOOKUP($A98,'0.Productos'!$A$3:$GG$587,'0.Productos'!BA$1+1,0),"")</f>
        <v/>
      </c>
      <c r="J98" s="133" t="str">
        <f>IF($A98&lt;&gt;0,VLOOKUP($A98,'0.Productos'!$A$3:$GG$587,'0.Productos'!BB$1+1,0),"")</f>
        <v/>
      </c>
      <c r="K98" s="133" t="str">
        <f>IF($A98&lt;&gt;0,VLOOKUP($A98,'0.Productos'!$A$3:$GG$587,'0.Productos'!BC$1+1,0),"")</f>
        <v/>
      </c>
      <c r="L98" s="133" t="str">
        <f>IF($A98&lt;&gt;0,VLOOKUP($A98,'0.Productos'!$A$3:$GG$587,'0.Productos'!BD$1+1,0),"")</f>
        <v/>
      </c>
      <c r="M98" s="133" t="str">
        <f>IF($A98&lt;&gt;0,VLOOKUP($A98,'0.Productos'!$A$3:$GG$587,'0.Productos'!BE$1+1,0),"")</f>
        <v/>
      </c>
      <c r="N98" s="133" t="str">
        <f>IF($A98&lt;&gt;0,VLOOKUP($A98,'0.Productos'!$A$3:$GG$587,'0.Productos'!BF$1+1,0),"")</f>
        <v/>
      </c>
      <c r="O98" s="133" t="str">
        <f>IF($A98&lt;&gt;0,VLOOKUP($A98,'0.Productos'!$A$3:$GG$587,'0.Productos'!BG$1+1,0),"")</f>
        <v/>
      </c>
      <c r="P98" s="133" t="str">
        <f>IF($A98&lt;&gt;0,VLOOKUP($A98,'0.Productos'!$A$3:$GG$587,'0.Productos'!BH$1+1,0),"")</f>
        <v/>
      </c>
      <c r="Q98" s="133" t="str">
        <f>IF($A98&lt;&gt;0,VLOOKUP($A98,'0.Productos'!$A$3:$GG$587,'0.Productos'!BI$1+1,0),"")</f>
        <v/>
      </c>
      <c r="R98" s="133" t="str">
        <f>IF($A98&lt;&gt;0,VLOOKUP($A98,'0.Productos'!$A$3:$GG$587,'0.Productos'!BJ$1+1,0),"")</f>
        <v/>
      </c>
      <c r="S98" s="133" t="str">
        <f>IF($A98&lt;&gt;0,VLOOKUP($A98,'0.Productos'!$A$3:$GG$587,'0.Productos'!BK$1+1,0),"")</f>
        <v/>
      </c>
      <c r="T98" s="133" t="str">
        <f>IF($A98&lt;&gt;0,VLOOKUP($A98,'0.Productos'!$A$3:$GG$587,'0.Productos'!BL$1+1,0),"")</f>
        <v/>
      </c>
      <c r="U98" s="133" t="str">
        <f>IF($A98&lt;&gt;0,VLOOKUP($A98,'0.Productos'!$A$3:$GG$587,'0.Productos'!BM$1+1,0),"")</f>
        <v/>
      </c>
      <c r="V98" s="133" t="str">
        <f>IF($A98&lt;&gt;0,VLOOKUP($A98,'0.Productos'!$A$3:$GG$587,'0.Productos'!BN$1+1,0),"")</f>
        <v/>
      </c>
      <c r="W98" s="133" t="str">
        <f>IF($A98&lt;&gt;0,VLOOKUP($A98,'0.Productos'!$A$3:$GG$587,'0.Productos'!BO$1+1,0),"")</f>
        <v/>
      </c>
      <c r="X98" s="133" t="str">
        <f>IF($A98&lt;&gt;0,VLOOKUP($A98,'0.Productos'!$A$3:$GG$587,'0.Productos'!BP$1+1,0),"")</f>
        <v/>
      </c>
      <c r="Y98" s="133" t="str">
        <f>IF($A98&lt;&gt;0,VLOOKUP($A98,'0.Productos'!$A$3:$GG$587,'0.Productos'!BQ$1+1,0),"")</f>
        <v/>
      </c>
      <c r="Z98" s="133" t="str">
        <f>IF($A98&lt;&gt;0,VLOOKUP($A98,'0.Productos'!$A$3:$GG$587,'0.Productos'!BR$1+1,0),"")</f>
        <v/>
      </c>
      <c r="AA98" s="133" t="str">
        <f>IF($A98&lt;&gt;0,VLOOKUP($A98,'0.Productos'!$A$3:$GG$587,'0.Productos'!BS$1+1,0),"")</f>
        <v/>
      </c>
      <c r="AB98" s="133" t="str">
        <f>IF($A98&lt;&gt;0,VLOOKUP($A98,'0.Productos'!$A$3:$GG$587,'0.Productos'!BT$1+1,0),"")</f>
        <v/>
      </c>
      <c r="AC98" s="133" t="str">
        <f>IF($A98&lt;&gt;0,VLOOKUP($A98,'0.Productos'!$A$3:$GG$587,'0.Productos'!BU$1+1,0),"")</f>
        <v/>
      </c>
      <c r="AD98" s="133" t="str">
        <f>IF($A98&lt;&gt;0,VLOOKUP($A98,'0.Productos'!$A$3:$GG$587,'0.Productos'!BV$1+1,0),"")</f>
        <v/>
      </c>
      <c r="AE98" s="133" t="str">
        <f>IF($A98&lt;&gt;0,VLOOKUP($A98,'0.Productos'!$A$3:$GG$587,'0.Productos'!BW$1+1,0),"")</f>
        <v/>
      </c>
      <c r="AF98" s="133" t="str">
        <f>IF($A98&lt;&gt;0,VLOOKUP($A98,'0.Productos'!$A$3:$GG$587,'0.Productos'!BX$1+1,0),"")</f>
        <v/>
      </c>
      <c r="AG98" s="133" t="str">
        <f>IF($A98&lt;&gt;0,VLOOKUP($A98,'0.Productos'!$A$3:$GG$587,'0.Productos'!BY$1+1,0),"")</f>
        <v/>
      </c>
      <c r="AH98" s="133" t="str">
        <f>IF($A98&lt;&gt;0,VLOOKUP($A98,'0.Productos'!$A$3:$GG$587,'0.Productos'!BZ$1+1,0),"")</f>
        <v/>
      </c>
      <c r="AI98" s="133" t="str">
        <f>IF($A98&lt;&gt;0,VLOOKUP($A98,'0.Productos'!$A$3:$GG$587,'0.Productos'!CA$1+1,0),"")</f>
        <v/>
      </c>
      <c r="AJ98" s="133" t="str">
        <f>IF($A98&lt;&gt;0,VLOOKUP($A98,'0.Productos'!$A$3:$GG$587,'0.Productos'!CB$1+1,0),"")</f>
        <v/>
      </c>
      <c r="AK98" s="133" t="str">
        <f>IF($A98&lt;&gt;0,VLOOKUP($A98,'0.Productos'!$A$3:$GG$587,'0.Productos'!CC$1+1,0),"")</f>
        <v/>
      </c>
      <c r="AL98" s="133" t="str">
        <f>IF($A98&lt;&gt;0,VLOOKUP($A98,'0.Productos'!$A$3:$GG$587,'0.Productos'!CD$1+1,0),"")</f>
        <v/>
      </c>
      <c r="AM98" s="133" t="str">
        <f>IF($A98&lt;&gt;0,VLOOKUP($A98,'0.Productos'!$A$3:$GG$587,'0.Productos'!CE$1+1,0),"")</f>
        <v/>
      </c>
      <c r="AN98" s="133" t="str">
        <f>IF($A98&lt;&gt;0,VLOOKUP($A98,'0.Productos'!$A$3:$GG$587,'0.Productos'!CF$1+1,0),"")</f>
        <v/>
      </c>
      <c r="AO98" s="133" t="str">
        <f>IF($A98&lt;&gt;0,VLOOKUP($A98,'0.Productos'!$A$3:$GG$587,'0.Productos'!CG$1+1,0),"")</f>
        <v/>
      </c>
      <c r="AP98" s="133" t="str">
        <f>IF($A98&lt;&gt;0,VLOOKUP($A98,'0.Productos'!$A$3:$GG$587,'0.Productos'!CH$1+1,0),"")</f>
        <v/>
      </c>
      <c r="AQ98" s="133" t="str">
        <f>IF($A98&lt;&gt;0,VLOOKUP($A98,'0.Productos'!$A$3:$GG$587,'0.Productos'!CI$1+1,0),"")</f>
        <v/>
      </c>
      <c r="AR98" s="133" t="str">
        <f>IF($A98&lt;&gt;0,VLOOKUP($A98,'0.Productos'!$A$3:$GG$587,'0.Productos'!CJ$1+1,0),"")</f>
        <v/>
      </c>
      <c r="AS98" s="133" t="str">
        <f>IF($A98&lt;&gt;0,VLOOKUP($A98,'0.Productos'!$A$3:$GG$587,'0.Productos'!CK$1+1,0),"")</f>
        <v/>
      </c>
      <c r="AT98" s="133" t="str">
        <f>IF($A98&lt;&gt;0,VLOOKUP($A98,'0.Productos'!$A$3:$GG$587,'0.Productos'!CL$1+1,0),"")</f>
        <v/>
      </c>
      <c r="AU98" s="133" t="str">
        <f>IF($A98&lt;&gt;0,VLOOKUP($A98,'0.Productos'!$A$3:$GG$587,'0.Productos'!CM$1+1,0),"")</f>
        <v/>
      </c>
      <c r="AV98" s="133" t="str">
        <f>IF($A98&lt;&gt;0,VLOOKUP($A98,'0.Productos'!$A$3:$GG$587,'0.Productos'!CN$1+1,0),"")</f>
        <v/>
      </c>
      <c r="AW98" s="133" t="str">
        <f>IF($A98&lt;&gt;0,VLOOKUP($A98,'0.Productos'!$A$3:$GG$587,'0.Productos'!CO$1+1,0),"")</f>
        <v/>
      </c>
      <c r="AX98" s="133" t="str">
        <f>IF($A98&lt;&gt;0,VLOOKUP($A98,'0.Productos'!$A$3:$GG$587,'0.Productos'!CP$1+1,0),"")</f>
        <v/>
      </c>
      <c r="AY98" s="133" t="str">
        <f>IF($A98&lt;&gt;0,VLOOKUP($A98,'0.Productos'!$A$3:$GG$587,'0.Productos'!CQ$1+1,0),"")</f>
        <v/>
      </c>
      <c r="AZ98" s="133" t="str">
        <f>IF($A98&lt;&gt;0,VLOOKUP($A98,'0.Productos'!$A$3:$GG$587,'0.Productos'!CR$1+1,0),"")</f>
        <v/>
      </c>
      <c r="BA98" s="133" t="str">
        <f>IF($A98&lt;&gt;0,VLOOKUP($A98,'0.Productos'!$A$3:$GG$587,'0.Productos'!CS$1+1,0),"")</f>
        <v/>
      </c>
      <c r="BB98" s="133" t="str">
        <f>IF($A98&lt;&gt;0,VLOOKUP($A98,'0.Productos'!$A$3:$GG$587,'0.Productos'!CT$1+1,0),"")</f>
        <v/>
      </c>
      <c r="BC98" s="133" t="str">
        <f>IF($A98&lt;&gt;0,VLOOKUP($A98,'0.Productos'!$A$3:$GG$587,'0.Productos'!CU$1+1,0),"")</f>
        <v/>
      </c>
      <c r="BD98" s="133" t="str">
        <f>IF($A98&lt;&gt;0,VLOOKUP($A98,'0.Productos'!$A$3:$GG$587,'0.Productos'!CV$1+1,0),"")</f>
        <v/>
      </c>
      <c r="BE98" s="133" t="str">
        <f>IF($A98&lt;&gt;0,VLOOKUP($A98,'0.Productos'!$A$3:$GG$587,'0.Productos'!CW$1+1,0),"")</f>
        <v/>
      </c>
      <c r="BF98" s="133" t="str">
        <f>IF($A98&lt;&gt;0,VLOOKUP($A98,'0.Productos'!$A$3:$GG$587,'0.Productos'!CX$1+1,0),"")</f>
        <v/>
      </c>
      <c r="BG98" s="133" t="str">
        <f>IF($A98&lt;&gt;0,VLOOKUP($A98,'0.Productos'!$A$3:$GG$587,'0.Productos'!CY$1+1,0),"")</f>
        <v/>
      </c>
      <c r="BH98" s="133" t="str">
        <f>IF($A98&lt;&gt;0,VLOOKUP($A98,'0.Productos'!$A$3:$GG$587,'0.Productos'!CZ$1+1,0),"")</f>
        <v/>
      </c>
      <c r="BI98" s="133" t="str">
        <f>IF($A98&lt;&gt;0,VLOOKUP($A98,'0.Productos'!$A$3:$GG$587,'0.Productos'!DA$1+1,0),"")</f>
        <v/>
      </c>
      <c r="BJ98" s="133" t="str">
        <f>IF($A98&lt;&gt;0,VLOOKUP($A98,'0.Productos'!$A$3:$GG$587,'0.Productos'!DB$1+1,0),"")</f>
        <v/>
      </c>
      <c r="BK98" s="133" t="str">
        <f>IF($A98&lt;&gt;0,VLOOKUP($A98,'0.Productos'!$A$3:$GG$587,'0.Productos'!DC$1+1,0),"")</f>
        <v/>
      </c>
      <c r="BL98" s="133" t="str">
        <f>IF($A98&lt;&gt;0,VLOOKUP($A98,'0.Productos'!$A$3:$GG$587,'0.Productos'!DD$1+1,0),"")</f>
        <v/>
      </c>
      <c r="BM98" s="133" t="str">
        <f>IF($A98&lt;&gt;0,VLOOKUP($A98,'0.Productos'!$A$3:$GG$587,'0.Productos'!DE$1+1,0),"")</f>
        <v/>
      </c>
      <c r="BN98" s="133" t="str">
        <f>IF($A98&lt;&gt;0,VLOOKUP($A98,'0.Productos'!$A$3:$GG$587,'0.Productos'!DF$1+1,0),"")</f>
        <v/>
      </c>
      <c r="BO98" s="133" t="str">
        <f>IF($A98&lt;&gt;0,VLOOKUP($A98,'0.Productos'!$A$3:$GG$587,'0.Productos'!DG$1+1,0),"")</f>
        <v/>
      </c>
      <c r="BP98" s="133" t="str">
        <f>IF($A98&lt;&gt;0,VLOOKUP($A98,'0.Productos'!$A$3:$GG$587,'0.Productos'!DH$1+1,0),"")</f>
        <v/>
      </c>
      <c r="BQ98" s="133" t="str">
        <f>IF($A98&lt;&gt;0,VLOOKUP($A98,'0.Productos'!$A$3:$GG$587,'0.Productos'!DI$1+1,0),"")</f>
        <v/>
      </c>
      <c r="BR98" s="133" t="str">
        <f>IF($A98&lt;&gt;0,VLOOKUP($A98,'0.Productos'!$A$3:$GG$587,'0.Productos'!DJ$1+1,0),"")</f>
        <v/>
      </c>
      <c r="BS98" s="133" t="str">
        <f>IF($A98&lt;&gt;0,VLOOKUP($A98,'0.Productos'!$A$3:$GG$587,'0.Productos'!DK$1+1,0),"")</f>
        <v/>
      </c>
      <c r="BT98" s="133" t="str">
        <f>IF($A98&lt;&gt;0,VLOOKUP($A98,'0.Productos'!$A$3:$GG$587,'0.Productos'!DL$1+1,0),"")</f>
        <v/>
      </c>
    </row>
    <row r="99" spans="1:72" x14ac:dyDescent="0.25">
      <c r="A99" s="17">
        <f>'0.Consolidado general'!A99</f>
        <v>0</v>
      </c>
      <c r="B99" s="133" t="str">
        <f>IF($A99&lt;&gt;0,VLOOKUP($A99,'0.Productos'!$A$3:$GG$587,'0.Productos'!AT$1+1,0),"")</f>
        <v/>
      </c>
      <c r="C99" s="133" t="str">
        <f>IF($A99&lt;&gt;0,VLOOKUP($A99,'0.Productos'!$A$3:$GG$587,'0.Productos'!AU$1+1,0),"")</f>
        <v/>
      </c>
      <c r="D99" s="133" t="str">
        <f>IF($A99&lt;&gt;0,VLOOKUP($A99,'0.Productos'!$A$3:$GG$587,'0.Productos'!AV$1+1,0),"")</f>
        <v/>
      </c>
      <c r="E99" s="133" t="str">
        <f>IF($A99&lt;&gt;0,VLOOKUP($A99,'0.Productos'!$A$3:$GG$587,'0.Productos'!AW$1+1,0),"")</f>
        <v/>
      </c>
      <c r="F99" s="133" t="str">
        <f>IF($A99&lt;&gt;0,VLOOKUP($A99,'0.Productos'!$A$3:$GG$587,'0.Productos'!AX$1+1,0),"")</f>
        <v/>
      </c>
      <c r="G99" s="133" t="str">
        <f>IF($A99&lt;&gt;0,VLOOKUP($A99,'0.Productos'!$A$3:$GG$587,'0.Productos'!AY$1+1,0),"")</f>
        <v/>
      </c>
      <c r="H99" s="133" t="str">
        <f>IF($A99&lt;&gt;0,VLOOKUP($A99,'0.Productos'!$A$3:$GG$587,'0.Productos'!AZ$1+1,0),"")</f>
        <v/>
      </c>
      <c r="I99" s="133" t="str">
        <f>IF($A99&lt;&gt;0,VLOOKUP($A99,'0.Productos'!$A$3:$GG$587,'0.Productos'!BA$1+1,0),"")</f>
        <v/>
      </c>
      <c r="J99" s="133" t="str">
        <f>IF($A99&lt;&gt;0,VLOOKUP($A99,'0.Productos'!$A$3:$GG$587,'0.Productos'!BB$1+1,0),"")</f>
        <v/>
      </c>
      <c r="K99" s="133" t="str">
        <f>IF($A99&lt;&gt;0,VLOOKUP($A99,'0.Productos'!$A$3:$GG$587,'0.Productos'!BC$1+1,0),"")</f>
        <v/>
      </c>
      <c r="L99" s="133" t="str">
        <f>IF($A99&lt;&gt;0,VLOOKUP($A99,'0.Productos'!$A$3:$GG$587,'0.Productos'!BD$1+1,0),"")</f>
        <v/>
      </c>
      <c r="M99" s="133" t="str">
        <f>IF($A99&lt;&gt;0,VLOOKUP($A99,'0.Productos'!$A$3:$GG$587,'0.Productos'!BE$1+1,0),"")</f>
        <v/>
      </c>
      <c r="N99" s="133" t="str">
        <f>IF($A99&lt;&gt;0,VLOOKUP($A99,'0.Productos'!$A$3:$GG$587,'0.Productos'!BF$1+1,0),"")</f>
        <v/>
      </c>
      <c r="O99" s="133" t="str">
        <f>IF($A99&lt;&gt;0,VLOOKUP($A99,'0.Productos'!$A$3:$GG$587,'0.Productos'!BG$1+1,0),"")</f>
        <v/>
      </c>
      <c r="P99" s="133" t="str">
        <f>IF($A99&lt;&gt;0,VLOOKUP($A99,'0.Productos'!$A$3:$GG$587,'0.Productos'!BH$1+1,0),"")</f>
        <v/>
      </c>
      <c r="Q99" s="133" t="str">
        <f>IF($A99&lt;&gt;0,VLOOKUP($A99,'0.Productos'!$A$3:$GG$587,'0.Productos'!BI$1+1,0),"")</f>
        <v/>
      </c>
      <c r="R99" s="133" t="str">
        <f>IF($A99&lt;&gt;0,VLOOKUP($A99,'0.Productos'!$A$3:$GG$587,'0.Productos'!BJ$1+1,0),"")</f>
        <v/>
      </c>
      <c r="S99" s="133" t="str">
        <f>IF($A99&lt;&gt;0,VLOOKUP($A99,'0.Productos'!$A$3:$GG$587,'0.Productos'!BK$1+1,0),"")</f>
        <v/>
      </c>
      <c r="T99" s="133" t="str">
        <f>IF($A99&lt;&gt;0,VLOOKUP($A99,'0.Productos'!$A$3:$GG$587,'0.Productos'!BL$1+1,0),"")</f>
        <v/>
      </c>
      <c r="U99" s="133" t="str">
        <f>IF($A99&lt;&gt;0,VLOOKUP($A99,'0.Productos'!$A$3:$GG$587,'0.Productos'!BM$1+1,0),"")</f>
        <v/>
      </c>
      <c r="V99" s="133" t="str">
        <f>IF($A99&lt;&gt;0,VLOOKUP($A99,'0.Productos'!$A$3:$GG$587,'0.Productos'!BN$1+1,0),"")</f>
        <v/>
      </c>
      <c r="W99" s="133" t="str">
        <f>IF($A99&lt;&gt;0,VLOOKUP($A99,'0.Productos'!$A$3:$GG$587,'0.Productos'!BO$1+1,0),"")</f>
        <v/>
      </c>
      <c r="X99" s="133" t="str">
        <f>IF($A99&lt;&gt;0,VLOOKUP($A99,'0.Productos'!$A$3:$GG$587,'0.Productos'!BP$1+1,0),"")</f>
        <v/>
      </c>
      <c r="Y99" s="133" t="str">
        <f>IF($A99&lt;&gt;0,VLOOKUP($A99,'0.Productos'!$A$3:$GG$587,'0.Productos'!BQ$1+1,0),"")</f>
        <v/>
      </c>
      <c r="Z99" s="133" t="str">
        <f>IF($A99&lt;&gt;0,VLOOKUP($A99,'0.Productos'!$A$3:$GG$587,'0.Productos'!BR$1+1,0),"")</f>
        <v/>
      </c>
      <c r="AA99" s="133" t="str">
        <f>IF($A99&lt;&gt;0,VLOOKUP($A99,'0.Productos'!$A$3:$GG$587,'0.Productos'!BS$1+1,0),"")</f>
        <v/>
      </c>
      <c r="AB99" s="133" t="str">
        <f>IF($A99&lt;&gt;0,VLOOKUP($A99,'0.Productos'!$A$3:$GG$587,'0.Productos'!BT$1+1,0),"")</f>
        <v/>
      </c>
      <c r="AC99" s="133" t="str">
        <f>IF($A99&lt;&gt;0,VLOOKUP($A99,'0.Productos'!$A$3:$GG$587,'0.Productos'!BU$1+1,0),"")</f>
        <v/>
      </c>
      <c r="AD99" s="133" t="str">
        <f>IF($A99&lt;&gt;0,VLOOKUP($A99,'0.Productos'!$A$3:$GG$587,'0.Productos'!BV$1+1,0),"")</f>
        <v/>
      </c>
      <c r="AE99" s="133" t="str">
        <f>IF($A99&lt;&gt;0,VLOOKUP($A99,'0.Productos'!$A$3:$GG$587,'0.Productos'!BW$1+1,0),"")</f>
        <v/>
      </c>
      <c r="AF99" s="133" t="str">
        <f>IF($A99&lt;&gt;0,VLOOKUP($A99,'0.Productos'!$A$3:$GG$587,'0.Productos'!BX$1+1,0),"")</f>
        <v/>
      </c>
      <c r="AG99" s="133" t="str">
        <f>IF($A99&lt;&gt;0,VLOOKUP($A99,'0.Productos'!$A$3:$GG$587,'0.Productos'!BY$1+1,0),"")</f>
        <v/>
      </c>
      <c r="AH99" s="133" t="str">
        <f>IF($A99&lt;&gt;0,VLOOKUP($A99,'0.Productos'!$A$3:$GG$587,'0.Productos'!BZ$1+1,0),"")</f>
        <v/>
      </c>
      <c r="AI99" s="133" t="str">
        <f>IF($A99&lt;&gt;0,VLOOKUP($A99,'0.Productos'!$A$3:$GG$587,'0.Productos'!CA$1+1,0),"")</f>
        <v/>
      </c>
      <c r="AJ99" s="133" t="str">
        <f>IF($A99&lt;&gt;0,VLOOKUP($A99,'0.Productos'!$A$3:$GG$587,'0.Productos'!CB$1+1,0),"")</f>
        <v/>
      </c>
      <c r="AK99" s="133" t="str">
        <f>IF($A99&lt;&gt;0,VLOOKUP($A99,'0.Productos'!$A$3:$GG$587,'0.Productos'!CC$1+1,0),"")</f>
        <v/>
      </c>
      <c r="AL99" s="133" t="str">
        <f>IF($A99&lt;&gt;0,VLOOKUP($A99,'0.Productos'!$A$3:$GG$587,'0.Productos'!CD$1+1,0),"")</f>
        <v/>
      </c>
      <c r="AM99" s="133" t="str">
        <f>IF($A99&lt;&gt;0,VLOOKUP($A99,'0.Productos'!$A$3:$GG$587,'0.Productos'!CE$1+1,0),"")</f>
        <v/>
      </c>
      <c r="AN99" s="133" t="str">
        <f>IF($A99&lt;&gt;0,VLOOKUP($A99,'0.Productos'!$A$3:$GG$587,'0.Productos'!CF$1+1,0),"")</f>
        <v/>
      </c>
      <c r="AO99" s="133" t="str">
        <f>IF($A99&lt;&gt;0,VLOOKUP($A99,'0.Productos'!$A$3:$GG$587,'0.Productos'!CG$1+1,0),"")</f>
        <v/>
      </c>
      <c r="AP99" s="133" t="str">
        <f>IF($A99&lt;&gt;0,VLOOKUP($A99,'0.Productos'!$A$3:$GG$587,'0.Productos'!CH$1+1,0),"")</f>
        <v/>
      </c>
      <c r="AQ99" s="133" t="str">
        <f>IF($A99&lt;&gt;0,VLOOKUP($A99,'0.Productos'!$A$3:$GG$587,'0.Productos'!CI$1+1,0),"")</f>
        <v/>
      </c>
      <c r="AR99" s="133" t="str">
        <f>IF($A99&lt;&gt;0,VLOOKUP($A99,'0.Productos'!$A$3:$GG$587,'0.Productos'!CJ$1+1,0),"")</f>
        <v/>
      </c>
      <c r="AS99" s="133" t="str">
        <f>IF($A99&lt;&gt;0,VLOOKUP($A99,'0.Productos'!$A$3:$GG$587,'0.Productos'!CK$1+1,0),"")</f>
        <v/>
      </c>
      <c r="AT99" s="133" t="str">
        <f>IF($A99&lt;&gt;0,VLOOKUP($A99,'0.Productos'!$A$3:$GG$587,'0.Productos'!CL$1+1,0),"")</f>
        <v/>
      </c>
      <c r="AU99" s="133" t="str">
        <f>IF($A99&lt;&gt;0,VLOOKUP($A99,'0.Productos'!$A$3:$GG$587,'0.Productos'!CM$1+1,0),"")</f>
        <v/>
      </c>
      <c r="AV99" s="133" t="str">
        <f>IF($A99&lt;&gt;0,VLOOKUP($A99,'0.Productos'!$A$3:$GG$587,'0.Productos'!CN$1+1,0),"")</f>
        <v/>
      </c>
      <c r="AW99" s="133" t="str">
        <f>IF($A99&lt;&gt;0,VLOOKUP($A99,'0.Productos'!$A$3:$GG$587,'0.Productos'!CO$1+1,0),"")</f>
        <v/>
      </c>
      <c r="AX99" s="133" t="str">
        <f>IF($A99&lt;&gt;0,VLOOKUP($A99,'0.Productos'!$A$3:$GG$587,'0.Productos'!CP$1+1,0),"")</f>
        <v/>
      </c>
      <c r="AY99" s="133" t="str">
        <f>IF($A99&lt;&gt;0,VLOOKUP($A99,'0.Productos'!$A$3:$GG$587,'0.Productos'!CQ$1+1,0),"")</f>
        <v/>
      </c>
      <c r="AZ99" s="133" t="str">
        <f>IF($A99&lt;&gt;0,VLOOKUP($A99,'0.Productos'!$A$3:$GG$587,'0.Productos'!CR$1+1,0),"")</f>
        <v/>
      </c>
      <c r="BA99" s="133" t="str">
        <f>IF($A99&lt;&gt;0,VLOOKUP($A99,'0.Productos'!$A$3:$GG$587,'0.Productos'!CS$1+1,0),"")</f>
        <v/>
      </c>
      <c r="BB99" s="133" t="str">
        <f>IF($A99&lt;&gt;0,VLOOKUP($A99,'0.Productos'!$A$3:$GG$587,'0.Productos'!CT$1+1,0),"")</f>
        <v/>
      </c>
      <c r="BC99" s="133" t="str">
        <f>IF($A99&lt;&gt;0,VLOOKUP($A99,'0.Productos'!$A$3:$GG$587,'0.Productos'!CU$1+1,0),"")</f>
        <v/>
      </c>
      <c r="BD99" s="133" t="str">
        <f>IF($A99&lt;&gt;0,VLOOKUP($A99,'0.Productos'!$A$3:$GG$587,'0.Productos'!CV$1+1,0),"")</f>
        <v/>
      </c>
      <c r="BE99" s="133" t="str">
        <f>IF($A99&lt;&gt;0,VLOOKUP($A99,'0.Productos'!$A$3:$GG$587,'0.Productos'!CW$1+1,0),"")</f>
        <v/>
      </c>
      <c r="BF99" s="133" t="str">
        <f>IF($A99&lt;&gt;0,VLOOKUP($A99,'0.Productos'!$A$3:$GG$587,'0.Productos'!CX$1+1,0),"")</f>
        <v/>
      </c>
      <c r="BG99" s="133" t="str">
        <f>IF($A99&lt;&gt;0,VLOOKUP($A99,'0.Productos'!$A$3:$GG$587,'0.Productos'!CY$1+1,0),"")</f>
        <v/>
      </c>
      <c r="BH99" s="133" t="str">
        <f>IF($A99&lt;&gt;0,VLOOKUP($A99,'0.Productos'!$A$3:$GG$587,'0.Productos'!CZ$1+1,0),"")</f>
        <v/>
      </c>
      <c r="BI99" s="133" t="str">
        <f>IF($A99&lt;&gt;0,VLOOKUP($A99,'0.Productos'!$A$3:$GG$587,'0.Productos'!DA$1+1,0),"")</f>
        <v/>
      </c>
      <c r="BJ99" s="133" t="str">
        <f>IF($A99&lt;&gt;0,VLOOKUP($A99,'0.Productos'!$A$3:$GG$587,'0.Productos'!DB$1+1,0),"")</f>
        <v/>
      </c>
      <c r="BK99" s="133" t="str">
        <f>IF($A99&lt;&gt;0,VLOOKUP($A99,'0.Productos'!$A$3:$GG$587,'0.Productos'!DC$1+1,0),"")</f>
        <v/>
      </c>
      <c r="BL99" s="133" t="str">
        <f>IF($A99&lt;&gt;0,VLOOKUP($A99,'0.Productos'!$A$3:$GG$587,'0.Productos'!DD$1+1,0),"")</f>
        <v/>
      </c>
      <c r="BM99" s="133" t="str">
        <f>IF($A99&lt;&gt;0,VLOOKUP($A99,'0.Productos'!$A$3:$GG$587,'0.Productos'!DE$1+1,0),"")</f>
        <v/>
      </c>
      <c r="BN99" s="133" t="str">
        <f>IF($A99&lt;&gt;0,VLOOKUP($A99,'0.Productos'!$A$3:$GG$587,'0.Productos'!DF$1+1,0),"")</f>
        <v/>
      </c>
      <c r="BO99" s="133" t="str">
        <f>IF($A99&lt;&gt;0,VLOOKUP($A99,'0.Productos'!$A$3:$GG$587,'0.Productos'!DG$1+1,0),"")</f>
        <v/>
      </c>
      <c r="BP99" s="133" t="str">
        <f>IF($A99&lt;&gt;0,VLOOKUP($A99,'0.Productos'!$A$3:$GG$587,'0.Productos'!DH$1+1,0),"")</f>
        <v/>
      </c>
      <c r="BQ99" s="133" t="str">
        <f>IF($A99&lt;&gt;0,VLOOKUP($A99,'0.Productos'!$A$3:$GG$587,'0.Productos'!DI$1+1,0),"")</f>
        <v/>
      </c>
      <c r="BR99" s="133" t="str">
        <f>IF($A99&lt;&gt;0,VLOOKUP($A99,'0.Productos'!$A$3:$GG$587,'0.Productos'!DJ$1+1,0),"")</f>
        <v/>
      </c>
      <c r="BS99" s="133" t="str">
        <f>IF($A99&lt;&gt;0,VLOOKUP($A99,'0.Productos'!$A$3:$GG$587,'0.Productos'!DK$1+1,0),"")</f>
        <v/>
      </c>
      <c r="BT99" s="133" t="str">
        <f>IF($A99&lt;&gt;0,VLOOKUP($A99,'0.Productos'!$A$3:$GG$587,'0.Productos'!DL$1+1,0),"")</f>
        <v/>
      </c>
    </row>
    <row r="100" spans="1:72" x14ac:dyDescent="0.25">
      <c r="A100" s="17">
        <f>'0.Consolidado general'!A100</f>
        <v>0</v>
      </c>
      <c r="B100" s="133" t="str">
        <f>IF($A100&lt;&gt;0,VLOOKUP($A100,'0.Productos'!$A$3:$GG$587,'0.Productos'!AT$1+1,0),"")</f>
        <v/>
      </c>
      <c r="C100" s="133" t="str">
        <f>IF($A100&lt;&gt;0,VLOOKUP($A100,'0.Productos'!$A$3:$GG$587,'0.Productos'!AU$1+1,0),"")</f>
        <v/>
      </c>
      <c r="D100" s="133" t="str">
        <f>IF($A100&lt;&gt;0,VLOOKUP($A100,'0.Productos'!$A$3:$GG$587,'0.Productos'!AV$1+1,0),"")</f>
        <v/>
      </c>
      <c r="E100" s="133" t="str">
        <f>IF($A100&lt;&gt;0,VLOOKUP($A100,'0.Productos'!$A$3:$GG$587,'0.Productos'!AW$1+1,0),"")</f>
        <v/>
      </c>
      <c r="F100" s="133" t="str">
        <f>IF($A100&lt;&gt;0,VLOOKUP($A100,'0.Productos'!$A$3:$GG$587,'0.Productos'!AX$1+1,0),"")</f>
        <v/>
      </c>
      <c r="G100" s="133" t="str">
        <f>IF($A100&lt;&gt;0,VLOOKUP($A100,'0.Productos'!$A$3:$GG$587,'0.Productos'!AY$1+1,0),"")</f>
        <v/>
      </c>
      <c r="H100" s="133" t="str">
        <f>IF($A100&lt;&gt;0,VLOOKUP($A100,'0.Productos'!$A$3:$GG$587,'0.Productos'!AZ$1+1,0),"")</f>
        <v/>
      </c>
      <c r="I100" s="133" t="str">
        <f>IF($A100&lt;&gt;0,VLOOKUP($A100,'0.Productos'!$A$3:$GG$587,'0.Productos'!BA$1+1,0),"")</f>
        <v/>
      </c>
      <c r="J100" s="133" t="str">
        <f>IF($A100&lt;&gt;0,VLOOKUP($A100,'0.Productos'!$A$3:$GG$587,'0.Productos'!BB$1+1,0),"")</f>
        <v/>
      </c>
      <c r="K100" s="133" t="str">
        <f>IF($A100&lt;&gt;0,VLOOKUP($A100,'0.Productos'!$A$3:$GG$587,'0.Productos'!BC$1+1,0),"")</f>
        <v/>
      </c>
      <c r="L100" s="133" t="str">
        <f>IF($A100&lt;&gt;0,VLOOKUP($A100,'0.Productos'!$A$3:$GG$587,'0.Productos'!BD$1+1,0),"")</f>
        <v/>
      </c>
      <c r="M100" s="133" t="str">
        <f>IF($A100&lt;&gt;0,VLOOKUP($A100,'0.Productos'!$A$3:$GG$587,'0.Productos'!BE$1+1,0),"")</f>
        <v/>
      </c>
      <c r="N100" s="133" t="str">
        <f>IF($A100&lt;&gt;0,VLOOKUP($A100,'0.Productos'!$A$3:$GG$587,'0.Productos'!BF$1+1,0),"")</f>
        <v/>
      </c>
      <c r="O100" s="133" t="str">
        <f>IF($A100&lt;&gt;0,VLOOKUP($A100,'0.Productos'!$A$3:$GG$587,'0.Productos'!BG$1+1,0),"")</f>
        <v/>
      </c>
      <c r="P100" s="133" t="str">
        <f>IF($A100&lt;&gt;0,VLOOKUP($A100,'0.Productos'!$A$3:$GG$587,'0.Productos'!BH$1+1,0),"")</f>
        <v/>
      </c>
      <c r="Q100" s="133" t="str">
        <f>IF($A100&lt;&gt;0,VLOOKUP($A100,'0.Productos'!$A$3:$GG$587,'0.Productos'!BI$1+1,0),"")</f>
        <v/>
      </c>
      <c r="R100" s="133" t="str">
        <f>IF($A100&lt;&gt;0,VLOOKUP($A100,'0.Productos'!$A$3:$GG$587,'0.Productos'!BJ$1+1,0),"")</f>
        <v/>
      </c>
      <c r="S100" s="133" t="str">
        <f>IF($A100&lt;&gt;0,VLOOKUP($A100,'0.Productos'!$A$3:$GG$587,'0.Productos'!BK$1+1,0),"")</f>
        <v/>
      </c>
      <c r="T100" s="133" t="str">
        <f>IF($A100&lt;&gt;0,VLOOKUP($A100,'0.Productos'!$A$3:$GG$587,'0.Productos'!BL$1+1,0),"")</f>
        <v/>
      </c>
      <c r="U100" s="133" t="str">
        <f>IF($A100&lt;&gt;0,VLOOKUP($A100,'0.Productos'!$A$3:$GG$587,'0.Productos'!BM$1+1,0),"")</f>
        <v/>
      </c>
      <c r="V100" s="133" t="str">
        <f>IF($A100&lt;&gt;0,VLOOKUP($A100,'0.Productos'!$A$3:$GG$587,'0.Productos'!BN$1+1,0),"")</f>
        <v/>
      </c>
      <c r="W100" s="133" t="str">
        <f>IF($A100&lt;&gt;0,VLOOKUP($A100,'0.Productos'!$A$3:$GG$587,'0.Productos'!BO$1+1,0),"")</f>
        <v/>
      </c>
      <c r="X100" s="133" t="str">
        <f>IF($A100&lt;&gt;0,VLOOKUP($A100,'0.Productos'!$A$3:$GG$587,'0.Productos'!BP$1+1,0),"")</f>
        <v/>
      </c>
      <c r="Y100" s="133" t="str">
        <f>IF($A100&lt;&gt;0,VLOOKUP($A100,'0.Productos'!$A$3:$GG$587,'0.Productos'!BQ$1+1,0),"")</f>
        <v/>
      </c>
      <c r="Z100" s="133" t="str">
        <f>IF($A100&lt;&gt;0,VLOOKUP($A100,'0.Productos'!$A$3:$GG$587,'0.Productos'!BR$1+1,0),"")</f>
        <v/>
      </c>
      <c r="AA100" s="133" t="str">
        <f>IF($A100&lt;&gt;0,VLOOKUP($A100,'0.Productos'!$A$3:$GG$587,'0.Productos'!BS$1+1,0),"")</f>
        <v/>
      </c>
      <c r="AB100" s="133" t="str">
        <f>IF($A100&lt;&gt;0,VLOOKUP($A100,'0.Productos'!$A$3:$GG$587,'0.Productos'!BT$1+1,0),"")</f>
        <v/>
      </c>
      <c r="AC100" s="133" t="str">
        <f>IF($A100&lt;&gt;0,VLOOKUP($A100,'0.Productos'!$A$3:$GG$587,'0.Productos'!BU$1+1,0),"")</f>
        <v/>
      </c>
      <c r="AD100" s="133" t="str">
        <f>IF($A100&lt;&gt;0,VLOOKUP($A100,'0.Productos'!$A$3:$GG$587,'0.Productos'!BV$1+1,0),"")</f>
        <v/>
      </c>
      <c r="AE100" s="133" t="str">
        <f>IF($A100&lt;&gt;0,VLOOKUP($A100,'0.Productos'!$A$3:$GG$587,'0.Productos'!BW$1+1,0),"")</f>
        <v/>
      </c>
      <c r="AF100" s="133" t="str">
        <f>IF($A100&lt;&gt;0,VLOOKUP($A100,'0.Productos'!$A$3:$GG$587,'0.Productos'!BX$1+1,0),"")</f>
        <v/>
      </c>
      <c r="AG100" s="133" t="str">
        <f>IF($A100&lt;&gt;0,VLOOKUP($A100,'0.Productos'!$A$3:$GG$587,'0.Productos'!BY$1+1,0),"")</f>
        <v/>
      </c>
      <c r="AH100" s="133" t="str">
        <f>IF($A100&lt;&gt;0,VLOOKUP($A100,'0.Productos'!$A$3:$GG$587,'0.Productos'!BZ$1+1,0),"")</f>
        <v/>
      </c>
      <c r="AI100" s="133" t="str">
        <f>IF($A100&lt;&gt;0,VLOOKUP($A100,'0.Productos'!$A$3:$GG$587,'0.Productos'!CA$1+1,0),"")</f>
        <v/>
      </c>
      <c r="AJ100" s="133" t="str">
        <f>IF($A100&lt;&gt;0,VLOOKUP($A100,'0.Productos'!$A$3:$GG$587,'0.Productos'!CB$1+1,0),"")</f>
        <v/>
      </c>
      <c r="AK100" s="133" t="str">
        <f>IF($A100&lt;&gt;0,VLOOKUP($A100,'0.Productos'!$A$3:$GG$587,'0.Productos'!CC$1+1,0),"")</f>
        <v/>
      </c>
      <c r="AL100" s="133" t="str">
        <f>IF($A100&lt;&gt;0,VLOOKUP($A100,'0.Productos'!$A$3:$GG$587,'0.Productos'!CD$1+1,0),"")</f>
        <v/>
      </c>
      <c r="AM100" s="133" t="str">
        <f>IF($A100&lt;&gt;0,VLOOKUP($A100,'0.Productos'!$A$3:$GG$587,'0.Productos'!CE$1+1,0),"")</f>
        <v/>
      </c>
      <c r="AN100" s="133" t="str">
        <f>IF($A100&lt;&gt;0,VLOOKUP($A100,'0.Productos'!$A$3:$GG$587,'0.Productos'!CF$1+1,0),"")</f>
        <v/>
      </c>
      <c r="AO100" s="133" t="str">
        <f>IF($A100&lt;&gt;0,VLOOKUP($A100,'0.Productos'!$A$3:$GG$587,'0.Productos'!CG$1+1,0),"")</f>
        <v/>
      </c>
      <c r="AP100" s="133" t="str">
        <f>IF($A100&lt;&gt;0,VLOOKUP($A100,'0.Productos'!$A$3:$GG$587,'0.Productos'!CH$1+1,0),"")</f>
        <v/>
      </c>
      <c r="AQ100" s="133" t="str">
        <f>IF($A100&lt;&gt;0,VLOOKUP($A100,'0.Productos'!$A$3:$GG$587,'0.Productos'!CI$1+1,0),"")</f>
        <v/>
      </c>
      <c r="AR100" s="133" t="str">
        <f>IF($A100&lt;&gt;0,VLOOKUP($A100,'0.Productos'!$A$3:$GG$587,'0.Productos'!CJ$1+1,0),"")</f>
        <v/>
      </c>
      <c r="AS100" s="133" t="str">
        <f>IF($A100&lt;&gt;0,VLOOKUP($A100,'0.Productos'!$A$3:$GG$587,'0.Productos'!CK$1+1,0),"")</f>
        <v/>
      </c>
      <c r="AT100" s="133" t="str">
        <f>IF($A100&lt;&gt;0,VLOOKUP($A100,'0.Productos'!$A$3:$GG$587,'0.Productos'!CL$1+1,0),"")</f>
        <v/>
      </c>
      <c r="AU100" s="133" t="str">
        <f>IF($A100&lt;&gt;0,VLOOKUP($A100,'0.Productos'!$A$3:$GG$587,'0.Productos'!CM$1+1,0),"")</f>
        <v/>
      </c>
      <c r="AV100" s="133" t="str">
        <f>IF($A100&lt;&gt;0,VLOOKUP($A100,'0.Productos'!$A$3:$GG$587,'0.Productos'!CN$1+1,0),"")</f>
        <v/>
      </c>
      <c r="AW100" s="133" t="str">
        <f>IF($A100&lt;&gt;0,VLOOKUP($A100,'0.Productos'!$A$3:$GG$587,'0.Productos'!CO$1+1,0),"")</f>
        <v/>
      </c>
      <c r="AX100" s="133" t="str">
        <f>IF($A100&lt;&gt;0,VLOOKUP($A100,'0.Productos'!$A$3:$GG$587,'0.Productos'!CP$1+1,0),"")</f>
        <v/>
      </c>
      <c r="AY100" s="133" t="str">
        <f>IF($A100&lt;&gt;0,VLOOKUP($A100,'0.Productos'!$A$3:$GG$587,'0.Productos'!CQ$1+1,0),"")</f>
        <v/>
      </c>
      <c r="AZ100" s="133" t="str">
        <f>IF($A100&lt;&gt;0,VLOOKUP($A100,'0.Productos'!$A$3:$GG$587,'0.Productos'!CR$1+1,0),"")</f>
        <v/>
      </c>
      <c r="BA100" s="133" t="str">
        <f>IF($A100&lt;&gt;0,VLOOKUP($A100,'0.Productos'!$A$3:$GG$587,'0.Productos'!CS$1+1,0),"")</f>
        <v/>
      </c>
      <c r="BB100" s="133" t="str">
        <f>IF($A100&lt;&gt;0,VLOOKUP($A100,'0.Productos'!$A$3:$GG$587,'0.Productos'!CT$1+1,0),"")</f>
        <v/>
      </c>
      <c r="BC100" s="133" t="str">
        <f>IF($A100&lt;&gt;0,VLOOKUP($A100,'0.Productos'!$A$3:$GG$587,'0.Productos'!CU$1+1,0),"")</f>
        <v/>
      </c>
      <c r="BD100" s="133" t="str">
        <f>IF($A100&lt;&gt;0,VLOOKUP($A100,'0.Productos'!$A$3:$GG$587,'0.Productos'!CV$1+1,0),"")</f>
        <v/>
      </c>
      <c r="BE100" s="133" t="str">
        <f>IF($A100&lt;&gt;0,VLOOKUP($A100,'0.Productos'!$A$3:$GG$587,'0.Productos'!CW$1+1,0),"")</f>
        <v/>
      </c>
      <c r="BF100" s="133" t="str">
        <f>IF($A100&lt;&gt;0,VLOOKUP($A100,'0.Productos'!$A$3:$GG$587,'0.Productos'!CX$1+1,0),"")</f>
        <v/>
      </c>
      <c r="BG100" s="133" t="str">
        <f>IF($A100&lt;&gt;0,VLOOKUP($A100,'0.Productos'!$A$3:$GG$587,'0.Productos'!CY$1+1,0),"")</f>
        <v/>
      </c>
      <c r="BH100" s="133" t="str">
        <f>IF($A100&lt;&gt;0,VLOOKUP($A100,'0.Productos'!$A$3:$GG$587,'0.Productos'!CZ$1+1,0),"")</f>
        <v/>
      </c>
      <c r="BI100" s="133" t="str">
        <f>IF($A100&lt;&gt;0,VLOOKUP($A100,'0.Productos'!$A$3:$GG$587,'0.Productos'!DA$1+1,0),"")</f>
        <v/>
      </c>
      <c r="BJ100" s="133" t="str">
        <f>IF($A100&lt;&gt;0,VLOOKUP($A100,'0.Productos'!$A$3:$GG$587,'0.Productos'!DB$1+1,0),"")</f>
        <v/>
      </c>
      <c r="BK100" s="133" t="str">
        <f>IF($A100&lt;&gt;0,VLOOKUP($A100,'0.Productos'!$A$3:$GG$587,'0.Productos'!DC$1+1,0),"")</f>
        <v/>
      </c>
      <c r="BL100" s="133" t="str">
        <f>IF($A100&lt;&gt;0,VLOOKUP($A100,'0.Productos'!$A$3:$GG$587,'0.Productos'!DD$1+1,0),"")</f>
        <v/>
      </c>
      <c r="BM100" s="133" t="str">
        <f>IF($A100&lt;&gt;0,VLOOKUP($A100,'0.Productos'!$A$3:$GG$587,'0.Productos'!DE$1+1,0),"")</f>
        <v/>
      </c>
      <c r="BN100" s="133" t="str">
        <f>IF($A100&lt;&gt;0,VLOOKUP($A100,'0.Productos'!$A$3:$GG$587,'0.Productos'!DF$1+1,0),"")</f>
        <v/>
      </c>
      <c r="BO100" s="133" t="str">
        <f>IF($A100&lt;&gt;0,VLOOKUP($A100,'0.Productos'!$A$3:$GG$587,'0.Productos'!DG$1+1,0),"")</f>
        <v/>
      </c>
      <c r="BP100" s="133" t="str">
        <f>IF($A100&lt;&gt;0,VLOOKUP($A100,'0.Productos'!$A$3:$GG$587,'0.Productos'!DH$1+1,0),"")</f>
        <v/>
      </c>
      <c r="BQ100" s="133" t="str">
        <f>IF($A100&lt;&gt;0,VLOOKUP($A100,'0.Productos'!$A$3:$GG$587,'0.Productos'!DI$1+1,0),"")</f>
        <v/>
      </c>
      <c r="BR100" s="133" t="str">
        <f>IF($A100&lt;&gt;0,VLOOKUP($A100,'0.Productos'!$A$3:$GG$587,'0.Productos'!DJ$1+1,0),"")</f>
        <v/>
      </c>
      <c r="BS100" s="133" t="str">
        <f>IF($A100&lt;&gt;0,VLOOKUP($A100,'0.Productos'!$A$3:$GG$587,'0.Productos'!DK$1+1,0),"")</f>
        <v/>
      </c>
      <c r="BT100" s="133" t="str">
        <f>IF($A100&lt;&gt;0,VLOOKUP($A100,'0.Productos'!$A$3:$GG$587,'0.Productos'!DL$1+1,0),"")</f>
        <v/>
      </c>
    </row>
    <row r="101" spans="1:72" x14ac:dyDescent="0.25">
      <c r="A101" s="17">
        <f>'0.Consolidado general'!A101</f>
        <v>0</v>
      </c>
      <c r="B101" s="133" t="str">
        <f>IF($A101&lt;&gt;0,VLOOKUP($A101,'0.Productos'!$A$3:$GG$587,'0.Productos'!AT$1+1,0),"")</f>
        <v/>
      </c>
      <c r="C101" s="133" t="str">
        <f>IF($A101&lt;&gt;0,VLOOKUP($A101,'0.Productos'!$A$3:$GG$587,'0.Productos'!AU$1+1,0),"")</f>
        <v/>
      </c>
      <c r="D101" s="133" t="str">
        <f>IF($A101&lt;&gt;0,VLOOKUP($A101,'0.Productos'!$A$3:$GG$587,'0.Productos'!AV$1+1,0),"")</f>
        <v/>
      </c>
      <c r="E101" s="133" t="str">
        <f>IF($A101&lt;&gt;0,VLOOKUP($A101,'0.Productos'!$A$3:$GG$587,'0.Productos'!AW$1+1,0),"")</f>
        <v/>
      </c>
      <c r="F101" s="133" t="str">
        <f>IF($A101&lt;&gt;0,VLOOKUP($A101,'0.Productos'!$A$3:$GG$587,'0.Productos'!AX$1+1,0),"")</f>
        <v/>
      </c>
      <c r="G101" s="133" t="str">
        <f>IF($A101&lt;&gt;0,VLOOKUP($A101,'0.Productos'!$A$3:$GG$587,'0.Productos'!AY$1+1,0),"")</f>
        <v/>
      </c>
      <c r="H101" s="133" t="str">
        <f>IF($A101&lt;&gt;0,VLOOKUP($A101,'0.Productos'!$A$3:$GG$587,'0.Productos'!AZ$1+1,0),"")</f>
        <v/>
      </c>
      <c r="I101" s="133" t="str">
        <f>IF($A101&lt;&gt;0,VLOOKUP($A101,'0.Productos'!$A$3:$GG$587,'0.Productos'!BA$1+1,0),"")</f>
        <v/>
      </c>
      <c r="J101" s="133" t="str">
        <f>IF($A101&lt;&gt;0,VLOOKUP($A101,'0.Productos'!$A$3:$GG$587,'0.Productos'!BB$1+1,0),"")</f>
        <v/>
      </c>
      <c r="K101" s="133" t="str">
        <f>IF($A101&lt;&gt;0,VLOOKUP($A101,'0.Productos'!$A$3:$GG$587,'0.Productos'!BC$1+1,0),"")</f>
        <v/>
      </c>
      <c r="L101" s="133" t="str">
        <f>IF($A101&lt;&gt;0,VLOOKUP($A101,'0.Productos'!$A$3:$GG$587,'0.Productos'!BD$1+1,0),"")</f>
        <v/>
      </c>
      <c r="M101" s="133" t="str">
        <f>IF($A101&lt;&gt;0,VLOOKUP($A101,'0.Productos'!$A$3:$GG$587,'0.Productos'!BE$1+1,0),"")</f>
        <v/>
      </c>
      <c r="N101" s="133" t="str">
        <f>IF($A101&lt;&gt;0,VLOOKUP($A101,'0.Productos'!$A$3:$GG$587,'0.Productos'!BF$1+1,0),"")</f>
        <v/>
      </c>
      <c r="O101" s="133" t="str">
        <f>IF($A101&lt;&gt;0,VLOOKUP($A101,'0.Productos'!$A$3:$GG$587,'0.Productos'!BG$1+1,0),"")</f>
        <v/>
      </c>
      <c r="P101" s="133" t="str">
        <f>IF($A101&lt;&gt;0,VLOOKUP($A101,'0.Productos'!$A$3:$GG$587,'0.Productos'!BH$1+1,0),"")</f>
        <v/>
      </c>
      <c r="Q101" s="133" t="str">
        <f>IF($A101&lt;&gt;0,VLOOKUP($A101,'0.Productos'!$A$3:$GG$587,'0.Productos'!BI$1+1,0),"")</f>
        <v/>
      </c>
      <c r="R101" s="133" t="str">
        <f>IF($A101&lt;&gt;0,VLOOKUP($A101,'0.Productos'!$A$3:$GG$587,'0.Productos'!BJ$1+1,0),"")</f>
        <v/>
      </c>
      <c r="S101" s="133" t="str">
        <f>IF($A101&lt;&gt;0,VLOOKUP($A101,'0.Productos'!$A$3:$GG$587,'0.Productos'!BK$1+1,0),"")</f>
        <v/>
      </c>
      <c r="T101" s="133" t="str">
        <f>IF($A101&lt;&gt;0,VLOOKUP($A101,'0.Productos'!$A$3:$GG$587,'0.Productos'!BL$1+1,0),"")</f>
        <v/>
      </c>
      <c r="U101" s="133" t="str">
        <f>IF($A101&lt;&gt;0,VLOOKUP($A101,'0.Productos'!$A$3:$GG$587,'0.Productos'!BM$1+1,0),"")</f>
        <v/>
      </c>
      <c r="V101" s="133" t="str">
        <f>IF($A101&lt;&gt;0,VLOOKUP($A101,'0.Productos'!$A$3:$GG$587,'0.Productos'!BN$1+1,0),"")</f>
        <v/>
      </c>
      <c r="W101" s="133" t="str">
        <f>IF($A101&lt;&gt;0,VLOOKUP($A101,'0.Productos'!$A$3:$GG$587,'0.Productos'!BO$1+1,0),"")</f>
        <v/>
      </c>
      <c r="X101" s="133" t="str">
        <f>IF($A101&lt;&gt;0,VLOOKUP($A101,'0.Productos'!$A$3:$GG$587,'0.Productos'!BP$1+1,0),"")</f>
        <v/>
      </c>
      <c r="Y101" s="133" t="str">
        <f>IF($A101&lt;&gt;0,VLOOKUP($A101,'0.Productos'!$A$3:$GG$587,'0.Productos'!BQ$1+1,0),"")</f>
        <v/>
      </c>
      <c r="Z101" s="133" t="str">
        <f>IF($A101&lt;&gt;0,VLOOKUP($A101,'0.Productos'!$A$3:$GG$587,'0.Productos'!BR$1+1,0),"")</f>
        <v/>
      </c>
      <c r="AA101" s="133" t="str">
        <f>IF($A101&lt;&gt;0,VLOOKUP($A101,'0.Productos'!$A$3:$GG$587,'0.Productos'!BS$1+1,0),"")</f>
        <v/>
      </c>
      <c r="AB101" s="133" t="str">
        <f>IF($A101&lt;&gt;0,VLOOKUP($A101,'0.Productos'!$A$3:$GG$587,'0.Productos'!BT$1+1,0),"")</f>
        <v/>
      </c>
      <c r="AC101" s="133" t="str">
        <f>IF($A101&lt;&gt;0,VLOOKUP($A101,'0.Productos'!$A$3:$GG$587,'0.Productos'!BU$1+1,0),"")</f>
        <v/>
      </c>
      <c r="AD101" s="133" t="str">
        <f>IF($A101&lt;&gt;0,VLOOKUP($A101,'0.Productos'!$A$3:$GG$587,'0.Productos'!BV$1+1,0),"")</f>
        <v/>
      </c>
      <c r="AE101" s="133" t="str">
        <f>IF($A101&lt;&gt;0,VLOOKUP($A101,'0.Productos'!$A$3:$GG$587,'0.Productos'!BW$1+1,0),"")</f>
        <v/>
      </c>
      <c r="AF101" s="133" t="str">
        <f>IF($A101&lt;&gt;0,VLOOKUP($A101,'0.Productos'!$A$3:$GG$587,'0.Productos'!BX$1+1,0),"")</f>
        <v/>
      </c>
      <c r="AG101" s="133" t="str">
        <f>IF($A101&lt;&gt;0,VLOOKUP($A101,'0.Productos'!$A$3:$GG$587,'0.Productos'!BY$1+1,0),"")</f>
        <v/>
      </c>
      <c r="AH101" s="133" t="str">
        <f>IF($A101&lt;&gt;0,VLOOKUP($A101,'0.Productos'!$A$3:$GG$587,'0.Productos'!BZ$1+1,0),"")</f>
        <v/>
      </c>
      <c r="AI101" s="133" t="str">
        <f>IF($A101&lt;&gt;0,VLOOKUP($A101,'0.Productos'!$A$3:$GG$587,'0.Productos'!CA$1+1,0),"")</f>
        <v/>
      </c>
      <c r="AJ101" s="133" t="str">
        <f>IF($A101&lt;&gt;0,VLOOKUP($A101,'0.Productos'!$A$3:$GG$587,'0.Productos'!CB$1+1,0),"")</f>
        <v/>
      </c>
      <c r="AK101" s="133" t="str">
        <f>IF($A101&lt;&gt;0,VLOOKUP($A101,'0.Productos'!$A$3:$GG$587,'0.Productos'!CC$1+1,0),"")</f>
        <v/>
      </c>
      <c r="AL101" s="133" t="str">
        <f>IF($A101&lt;&gt;0,VLOOKUP($A101,'0.Productos'!$A$3:$GG$587,'0.Productos'!CD$1+1,0),"")</f>
        <v/>
      </c>
      <c r="AM101" s="133" t="str">
        <f>IF($A101&lt;&gt;0,VLOOKUP($A101,'0.Productos'!$A$3:$GG$587,'0.Productos'!CE$1+1,0),"")</f>
        <v/>
      </c>
      <c r="AN101" s="133" t="str">
        <f>IF($A101&lt;&gt;0,VLOOKUP($A101,'0.Productos'!$A$3:$GG$587,'0.Productos'!CF$1+1,0),"")</f>
        <v/>
      </c>
      <c r="AO101" s="133" t="str">
        <f>IF($A101&lt;&gt;0,VLOOKUP($A101,'0.Productos'!$A$3:$GG$587,'0.Productos'!CG$1+1,0),"")</f>
        <v/>
      </c>
      <c r="AP101" s="133" t="str">
        <f>IF($A101&lt;&gt;0,VLOOKUP($A101,'0.Productos'!$A$3:$GG$587,'0.Productos'!CH$1+1,0),"")</f>
        <v/>
      </c>
      <c r="AQ101" s="133" t="str">
        <f>IF($A101&lt;&gt;0,VLOOKUP($A101,'0.Productos'!$A$3:$GG$587,'0.Productos'!CI$1+1,0),"")</f>
        <v/>
      </c>
      <c r="AR101" s="133" t="str">
        <f>IF($A101&lt;&gt;0,VLOOKUP($A101,'0.Productos'!$A$3:$GG$587,'0.Productos'!CJ$1+1,0),"")</f>
        <v/>
      </c>
      <c r="AS101" s="133" t="str">
        <f>IF($A101&lt;&gt;0,VLOOKUP($A101,'0.Productos'!$A$3:$GG$587,'0.Productos'!CK$1+1,0),"")</f>
        <v/>
      </c>
      <c r="AT101" s="133" t="str">
        <f>IF($A101&lt;&gt;0,VLOOKUP($A101,'0.Productos'!$A$3:$GG$587,'0.Productos'!CL$1+1,0),"")</f>
        <v/>
      </c>
      <c r="AU101" s="133" t="str">
        <f>IF($A101&lt;&gt;0,VLOOKUP($A101,'0.Productos'!$A$3:$GG$587,'0.Productos'!CM$1+1,0),"")</f>
        <v/>
      </c>
      <c r="AV101" s="133" t="str">
        <f>IF($A101&lt;&gt;0,VLOOKUP($A101,'0.Productos'!$A$3:$GG$587,'0.Productos'!CN$1+1,0),"")</f>
        <v/>
      </c>
      <c r="AW101" s="133" t="str">
        <f>IF($A101&lt;&gt;0,VLOOKUP($A101,'0.Productos'!$A$3:$GG$587,'0.Productos'!CO$1+1,0),"")</f>
        <v/>
      </c>
      <c r="AX101" s="133" t="str">
        <f>IF($A101&lt;&gt;0,VLOOKUP($A101,'0.Productos'!$A$3:$GG$587,'0.Productos'!CP$1+1,0),"")</f>
        <v/>
      </c>
      <c r="AY101" s="133" t="str">
        <f>IF($A101&lt;&gt;0,VLOOKUP($A101,'0.Productos'!$A$3:$GG$587,'0.Productos'!CQ$1+1,0),"")</f>
        <v/>
      </c>
      <c r="AZ101" s="133" t="str">
        <f>IF($A101&lt;&gt;0,VLOOKUP($A101,'0.Productos'!$A$3:$GG$587,'0.Productos'!CR$1+1,0),"")</f>
        <v/>
      </c>
      <c r="BA101" s="133" t="str">
        <f>IF($A101&lt;&gt;0,VLOOKUP($A101,'0.Productos'!$A$3:$GG$587,'0.Productos'!CS$1+1,0),"")</f>
        <v/>
      </c>
      <c r="BB101" s="133" t="str">
        <f>IF($A101&lt;&gt;0,VLOOKUP($A101,'0.Productos'!$A$3:$GG$587,'0.Productos'!CT$1+1,0),"")</f>
        <v/>
      </c>
      <c r="BC101" s="133" t="str">
        <f>IF($A101&lt;&gt;0,VLOOKUP($A101,'0.Productos'!$A$3:$GG$587,'0.Productos'!CU$1+1,0),"")</f>
        <v/>
      </c>
      <c r="BD101" s="133" t="str">
        <f>IF($A101&lt;&gt;0,VLOOKUP($A101,'0.Productos'!$A$3:$GG$587,'0.Productos'!CV$1+1,0),"")</f>
        <v/>
      </c>
      <c r="BE101" s="133" t="str">
        <f>IF($A101&lt;&gt;0,VLOOKUP($A101,'0.Productos'!$A$3:$GG$587,'0.Productos'!CW$1+1,0),"")</f>
        <v/>
      </c>
      <c r="BF101" s="133" t="str">
        <f>IF($A101&lt;&gt;0,VLOOKUP($A101,'0.Productos'!$A$3:$GG$587,'0.Productos'!CX$1+1,0),"")</f>
        <v/>
      </c>
      <c r="BG101" s="133" t="str">
        <f>IF($A101&lt;&gt;0,VLOOKUP($A101,'0.Productos'!$A$3:$GG$587,'0.Productos'!CY$1+1,0),"")</f>
        <v/>
      </c>
      <c r="BH101" s="133" t="str">
        <f>IF($A101&lt;&gt;0,VLOOKUP($A101,'0.Productos'!$A$3:$GG$587,'0.Productos'!CZ$1+1,0),"")</f>
        <v/>
      </c>
      <c r="BI101" s="133" t="str">
        <f>IF($A101&lt;&gt;0,VLOOKUP($A101,'0.Productos'!$A$3:$GG$587,'0.Productos'!DA$1+1,0),"")</f>
        <v/>
      </c>
      <c r="BJ101" s="133" t="str">
        <f>IF($A101&lt;&gt;0,VLOOKUP($A101,'0.Productos'!$A$3:$GG$587,'0.Productos'!DB$1+1,0),"")</f>
        <v/>
      </c>
      <c r="BK101" s="133" t="str">
        <f>IF($A101&lt;&gt;0,VLOOKUP($A101,'0.Productos'!$A$3:$GG$587,'0.Productos'!DC$1+1,0),"")</f>
        <v/>
      </c>
      <c r="BL101" s="133" t="str">
        <f>IF($A101&lt;&gt;0,VLOOKUP($A101,'0.Productos'!$A$3:$GG$587,'0.Productos'!DD$1+1,0),"")</f>
        <v/>
      </c>
      <c r="BM101" s="133" t="str">
        <f>IF($A101&lt;&gt;0,VLOOKUP($A101,'0.Productos'!$A$3:$GG$587,'0.Productos'!DE$1+1,0),"")</f>
        <v/>
      </c>
      <c r="BN101" s="133" t="str">
        <f>IF($A101&lt;&gt;0,VLOOKUP($A101,'0.Productos'!$A$3:$GG$587,'0.Productos'!DF$1+1,0),"")</f>
        <v/>
      </c>
      <c r="BO101" s="133" t="str">
        <f>IF($A101&lt;&gt;0,VLOOKUP($A101,'0.Productos'!$A$3:$GG$587,'0.Productos'!DG$1+1,0),"")</f>
        <v/>
      </c>
      <c r="BP101" s="133" t="str">
        <f>IF($A101&lt;&gt;0,VLOOKUP($A101,'0.Productos'!$A$3:$GG$587,'0.Productos'!DH$1+1,0),"")</f>
        <v/>
      </c>
      <c r="BQ101" s="133" t="str">
        <f>IF($A101&lt;&gt;0,VLOOKUP($A101,'0.Productos'!$A$3:$GG$587,'0.Productos'!DI$1+1,0),"")</f>
        <v/>
      </c>
      <c r="BR101" s="133" t="str">
        <f>IF($A101&lt;&gt;0,VLOOKUP($A101,'0.Productos'!$A$3:$GG$587,'0.Productos'!DJ$1+1,0),"")</f>
        <v/>
      </c>
      <c r="BS101" s="133" t="str">
        <f>IF($A101&lt;&gt;0,VLOOKUP($A101,'0.Productos'!$A$3:$GG$587,'0.Productos'!DK$1+1,0),"")</f>
        <v/>
      </c>
      <c r="BT101" s="133" t="str">
        <f>IF($A101&lt;&gt;0,VLOOKUP($A101,'0.Productos'!$A$3:$GG$587,'0.Productos'!DL$1+1,0),"")</f>
        <v/>
      </c>
    </row>
    <row r="102" spans="1:72" x14ac:dyDescent="0.25">
      <c r="A102" s="17">
        <f>'0.Consolidado general'!A102</f>
        <v>0</v>
      </c>
      <c r="B102" s="133" t="str">
        <f>IF($A102&lt;&gt;0,VLOOKUP($A102,'0.Productos'!$A$3:$GG$587,'0.Productos'!AT$1+1,0),"")</f>
        <v/>
      </c>
      <c r="C102" s="133" t="str">
        <f>IF($A102&lt;&gt;0,VLOOKUP($A102,'0.Productos'!$A$3:$GG$587,'0.Productos'!AU$1+1,0),"")</f>
        <v/>
      </c>
      <c r="D102" s="133" t="str">
        <f>IF($A102&lt;&gt;0,VLOOKUP($A102,'0.Productos'!$A$3:$GG$587,'0.Productos'!AV$1+1,0),"")</f>
        <v/>
      </c>
      <c r="E102" s="133" t="str">
        <f>IF($A102&lt;&gt;0,VLOOKUP($A102,'0.Productos'!$A$3:$GG$587,'0.Productos'!AW$1+1,0),"")</f>
        <v/>
      </c>
      <c r="F102" s="133" t="str">
        <f>IF($A102&lt;&gt;0,VLOOKUP($A102,'0.Productos'!$A$3:$GG$587,'0.Productos'!AX$1+1,0),"")</f>
        <v/>
      </c>
      <c r="G102" s="133" t="str">
        <f>IF($A102&lt;&gt;0,VLOOKUP($A102,'0.Productos'!$A$3:$GG$587,'0.Productos'!AY$1+1,0),"")</f>
        <v/>
      </c>
      <c r="H102" s="133" t="str">
        <f>IF($A102&lt;&gt;0,VLOOKUP($A102,'0.Productos'!$A$3:$GG$587,'0.Productos'!AZ$1+1,0),"")</f>
        <v/>
      </c>
      <c r="I102" s="133" t="str">
        <f>IF($A102&lt;&gt;0,VLOOKUP($A102,'0.Productos'!$A$3:$GG$587,'0.Productos'!BA$1+1,0),"")</f>
        <v/>
      </c>
      <c r="J102" s="133" t="str">
        <f>IF($A102&lt;&gt;0,VLOOKUP($A102,'0.Productos'!$A$3:$GG$587,'0.Productos'!BB$1+1,0),"")</f>
        <v/>
      </c>
      <c r="K102" s="133" t="str">
        <f>IF($A102&lt;&gt;0,VLOOKUP($A102,'0.Productos'!$A$3:$GG$587,'0.Productos'!BC$1+1,0),"")</f>
        <v/>
      </c>
      <c r="L102" s="133" t="str">
        <f>IF($A102&lt;&gt;0,VLOOKUP($A102,'0.Productos'!$A$3:$GG$587,'0.Productos'!BD$1+1,0),"")</f>
        <v/>
      </c>
      <c r="M102" s="133" t="str">
        <f>IF($A102&lt;&gt;0,VLOOKUP($A102,'0.Productos'!$A$3:$GG$587,'0.Productos'!BE$1+1,0),"")</f>
        <v/>
      </c>
      <c r="N102" s="133" t="str">
        <f>IF($A102&lt;&gt;0,VLOOKUP($A102,'0.Productos'!$A$3:$GG$587,'0.Productos'!BF$1+1,0),"")</f>
        <v/>
      </c>
      <c r="O102" s="133" t="str">
        <f>IF($A102&lt;&gt;0,VLOOKUP($A102,'0.Productos'!$A$3:$GG$587,'0.Productos'!BG$1+1,0),"")</f>
        <v/>
      </c>
      <c r="P102" s="133" t="str">
        <f>IF($A102&lt;&gt;0,VLOOKUP($A102,'0.Productos'!$A$3:$GG$587,'0.Productos'!BH$1+1,0),"")</f>
        <v/>
      </c>
      <c r="Q102" s="133" t="str">
        <f>IF($A102&lt;&gt;0,VLOOKUP($A102,'0.Productos'!$A$3:$GG$587,'0.Productos'!BI$1+1,0),"")</f>
        <v/>
      </c>
      <c r="R102" s="133" t="str">
        <f>IF($A102&lt;&gt;0,VLOOKUP($A102,'0.Productos'!$A$3:$GG$587,'0.Productos'!BJ$1+1,0),"")</f>
        <v/>
      </c>
      <c r="S102" s="133" t="str">
        <f>IF($A102&lt;&gt;0,VLOOKUP($A102,'0.Productos'!$A$3:$GG$587,'0.Productos'!BK$1+1,0),"")</f>
        <v/>
      </c>
      <c r="T102" s="133" t="str">
        <f>IF($A102&lt;&gt;0,VLOOKUP($A102,'0.Productos'!$A$3:$GG$587,'0.Productos'!BL$1+1,0),"")</f>
        <v/>
      </c>
      <c r="U102" s="133" t="str">
        <f>IF($A102&lt;&gt;0,VLOOKUP($A102,'0.Productos'!$A$3:$GG$587,'0.Productos'!BM$1+1,0),"")</f>
        <v/>
      </c>
      <c r="V102" s="133" t="str">
        <f>IF($A102&lt;&gt;0,VLOOKUP($A102,'0.Productos'!$A$3:$GG$587,'0.Productos'!BN$1+1,0),"")</f>
        <v/>
      </c>
      <c r="W102" s="133" t="str">
        <f>IF($A102&lt;&gt;0,VLOOKUP($A102,'0.Productos'!$A$3:$GG$587,'0.Productos'!BO$1+1,0),"")</f>
        <v/>
      </c>
      <c r="X102" s="133" t="str">
        <f>IF($A102&lt;&gt;0,VLOOKUP($A102,'0.Productos'!$A$3:$GG$587,'0.Productos'!BP$1+1,0),"")</f>
        <v/>
      </c>
      <c r="Y102" s="133" t="str">
        <f>IF($A102&lt;&gt;0,VLOOKUP($A102,'0.Productos'!$A$3:$GG$587,'0.Productos'!BQ$1+1,0),"")</f>
        <v/>
      </c>
      <c r="Z102" s="133" t="str">
        <f>IF($A102&lt;&gt;0,VLOOKUP($A102,'0.Productos'!$A$3:$GG$587,'0.Productos'!BR$1+1,0),"")</f>
        <v/>
      </c>
      <c r="AA102" s="133" t="str">
        <f>IF($A102&lt;&gt;0,VLOOKUP($A102,'0.Productos'!$A$3:$GG$587,'0.Productos'!BS$1+1,0),"")</f>
        <v/>
      </c>
      <c r="AB102" s="133" t="str">
        <f>IF($A102&lt;&gt;0,VLOOKUP($A102,'0.Productos'!$A$3:$GG$587,'0.Productos'!BT$1+1,0),"")</f>
        <v/>
      </c>
      <c r="AC102" s="133" t="str">
        <f>IF($A102&lt;&gt;0,VLOOKUP($A102,'0.Productos'!$A$3:$GG$587,'0.Productos'!BU$1+1,0),"")</f>
        <v/>
      </c>
      <c r="AD102" s="133" t="str">
        <f>IF($A102&lt;&gt;0,VLOOKUP($A102,'0.Productos'!$A$3:$GG$587,'0.Productos'!BV$1+1,0),"")</f>
        <v/>
      </c>
      <c r="AE102" s="133" t="str">
        <f>IF($A102&lt;&gt;0,VLOOKUP($A102,'0.Productos'!$A$3:$GG$587,'0.Productos'!BW$1+1,0),"")</f>
        <v/>
      </c>
      <c r="AF102" s="133" t="str">
        <f>IF($A102&lt;&gt;0,VLOOKUP($A102,'0.Productos'!$A$3:$GG$587,'0.Productos'!BX$1+1,0),"")</f>
        <v/>
      </c>
      <c r="AG102" s="133" t="str">
        <f>IF($A102&lt;&gt;0,VLOOKUP($A102,'0.Productos'!$A$3:$GG$587,'0.Productos'!BY$1+1,0),"")</f>
        <v/>
      </c>
      <c r="AH102" s="133" t="str">
        <f>IF($A102&lt;&gt;0,VLOOKUP($A102,'0.Productos'!$A$3:$GG$587,'0.Productos'!BZ$1+1,0),"")</f>
        <v/>
      </c>
      <c r="AI102" s="133" t="str">
        <f>IF($A102&lt;&gt;0,VLOOKUP($A102,'0.Productos'!$A$3:$GG$587,'0.Productos'!CA$1+1,0),"")</f>
        <v/>
      </c>
      <c r="AJ102" s="133" t="str">
        <f>IF($A102&lt;&gt;0,VLOOKUP($A102,'0.Productos'!$A$3:$GG$587,'0.Productos'!CB$1+1,0),"")</f>
        <v/>
      </c>
      <c r="AK102" s="133" t="str">
        <f>IF($A102&lt;&gt;0,VLOOKUP($A102,'0.Productos'!$A$3:$GG$587,'0.Productos'!CC$1+1,0),"")</f>
        <v/>
      </c>
      <c r="AL102" s="133" t="str">
        <f>IF($A102&lt;&gt;0,VLOOKUP($A102,'0.Productos'!$A$3:$GG$587,'0.Productos'!CD$1+1,0),"")</f>
        <v/>
      </c>
      <c r="AM102" s="133" t="str">
        <f>IF($A102&lt;&gt;0,VLOOKUP($A102,'0.Productos'!$A$3:$GG$587,'0.Productos'!CE$1+1,0),"")</f>
        <v/>
      </c>
      <c r="AN102" s="133" t="str">
        <f>IF($A102&lt;&gt;0,VLOOKUP($A102,'0.Productos'!$A$3:$GG$587,'0.Productos'!CF$1+1,0),"")</f>
        <v/>
      </c>
      <c r="AO102" s="133" t="str">
        <f>IF($A102&lt;&gt;0,VLOOKUP($A102,'0.Productos'!$A$3:$GG$587,'0.Productos'!CG$1+1,0),"")</f>
        <v/>
      </c>
      <c r="AP102" s="133" t="str">
        <f>IF($A102&lt;&gt;0,VLOOKUP($A102,'0.Productos'!$A$3:$GG$587,'0.Productos'!CH$1+1,0),"")</f>
        <v/>
      </c>
      <c r="AQ102" s="133" t="str">
        <f>IF($A102&lt;&gt;0,VLOOKUP($A102,'0.Productos'!$A$3:$GG$587,'0.Productos'!CI$1+1,0),"")</f>
        <v/>
      </c>
      <c r="AR102" s="133" t="str">
        <f>IF($A102&lt;&gt;0,VLOOKUP($A102,'0.Productos'!$A$3:$GG$587,'0.Productos'!CJ$1+1,0),"")</f>
        <v/>
      </c>
      <c r="AS102" s="133" t="str">
        <f>IF($A102&lt;&gt;0,VLOOKUP($A102,'0.Productos'!$A$3:$GG$587,'0.Productos'!CK$1+1,0),"")</f>
        <v/>
      </c>
      <c r="AT102" s="133" t="str">
        <f>IF($A102&lt;&gt;0,VLOOKUP($A102,'0.Productos'!$A$3:$GG$587,'0.Productos'!CL$1+1,0),"")</f>
        <v/>
      </c>
      <c r="AU102" s="133" t="str">
        <f>IF($A102&lt;&gt;0,VLOOKUP($A102,'0.Productos'!$A$3:$GG$587,'0.Productos'!CM$1+1,0),"")</f>
        <v/>
      </c>
      <c r="AV102" s="133" t="str">
        <f>IF($A102&lt;&gt;0,VLOOKUP($A102,'0.Productos'!$A$3:$GG$587,'0.Productos'!CN$1+1,0),"")</f>
        <v/>
      </c>
      <c r="AW102" s="133" t="str">
        <f>IF($A102&lt;&gt;0,VLOOKUP($A102,'0.Productos'!$A$3:$GG$587,'0.Productos'!CO$1+1,0),"")</f>
        <v/>
      </c>
      <c r="AX102" s="133" t="str">
        <f>IF($A102&lt;&gt;0,VLOOKUP($A102,'0.Productos'!$A$3:$GG$587,'0.Productos'!CP$1+1,0),"")</f>
        <v/>
      </c>
      <c r="AY102" s="133" t="str">
        <f>IF($A102&lt;&gt;0,VLOOKUP($A102,'0.Productos'!$A$3:$GG$587,'0.Productos'!CQ$1+1,0),"")</f>
        <v/>
      </c>
      <c r="AZ102" s="133" t="str">
        <f>IF($A102&lt;&gt;0,VLOOKUP($A102,'0.Productos'!$A$3:$GG$587,'0.Productos'!CR$1+1,0),"")</f>
        <v/>
      </c>
      <c r="BA102" s="133" t="str">
        <f>IF($A102&lt;&gt;0,VLOOKUP($A102,'0.Productos'!$A$3:$GG$587,'0.Productos'!CS$1+1,0),"")</f>
        <v/>
      </c>
      <c r="BB102" s="133" t="str">
        <f>IF($A102&lt;&gt;0,VLOOKUP($A102,'0.Productos'!$A$3:$GG$587,'0.Productos'!CT$1+1,0),"")</f>
        <v/>
      </c>
      <c r="BC102" s="133" t="str">
        <f>IF($A102&lt;&gt;0,VLOOKUP($A102,'0.Productos'!$A$3:$GG$587,'0.Productos'!CU$1+1,0),"")</f>
        <v/>
      </c>
      <c r="BD102" s="133" t="str">
        <f>IF($A102&lt;&gt;0,VLOOKUP($A102,'0.Productos'!$A$3:$GG$587,'0.Productos'!CV$1+1,0),"")</f>
        <v/>
      </c>
      <c r="BE102" s="133" t="str">
        <f>IF($A102&lt;&gt;0,VLOOKUP($A102,'0.Productos'!$A$3:$GG$587,'0.Productos'!CW$1+1,0),"")</f>
        <v/>
      </c>
      <c r="BF102" s="133" t="str">
        <f>IF($A102&lt;&gt;0,VLOOKUP($A102,'0.Productos'!$A$3:$GG$587,'0.Productos'!CX$1+1,0),"")</f>
        <v/>
      </c>
      <c r="BG102" s="133" t="str">
        <f>IF($A102&lt;&gt;0,VLOOKUP($A102,'0.Productos'!$A$3:$GG$587,'0.Productos'!CY$1+1,0),"")</f>
        <v/>
      </c>
      <c r="BH102" s="133" t="str">
        <f>IF($A102&lt;&gt;0,VLOOKUP($A102,'0.Productos'!$A$3:$GG$587,'0.Productos'!CZ$1+1,0),"")</f>
        <v/>
      </c>
      <c r="BI102" s="133" t="str">
        <f>IF($A102&lt;&gt;0,VLOOKUP($A102,'0.Productos'!$A$3:$GG$587,'0.Productos'!DA$1+1,0),"")</f>
        <v/>
      </c>
      <c r="BJ102" s="133" t="str">
        <f>IF($A102&lt;&gt;0,VLOOKUP($A102,'0.Productos'!$A$3:$GG$587,'0.Productos'!DB$1+1,0),"")</f>
        <v/>
      </c>
      <c r="BK102" s="133" t="str">
        <f>IF($A102&lt;&gt;0,VLOOKUP($A102,'0.Productos'!$A$3:$GG$587,'0.Productos'!DC$1+1,0),"")</f>
        <v/>
      </c>
      <c r="BL102" s="133" t="str">
        <f>IF($A102&lt;&gt;0,VLOOKUP($A102,'0.Productos'!$A$3:$GG$587,'0.Productos'!DD$1+1,0),"")</f>
        <v/>
      </c>
      <c r="BM102" s="133" t="str">
        <f>IF($A102&lt;&gt;0,VLOOKUP($A102,'0.Productos'!$A$3:$GG$587,'0.Productos'!DE$1+1,0),"")</f>
        <v/>
      </c>
      <c r="BN102" s="133" t="str">
        <f>IF($A102&lt;&gt;0,VLOOKUP($A102,'0.Productos'!$A$3:$GG$587,'0.Productos'!DF$1+1,0),"")</f>
        <v/>
      </c>
      <c r="BO102" s="133" t="str">
        <f>IF($A102&lt;&gt;0,VLOOKUP($A102,'0.Productos'!$A$3:$GG$587,'0.Productos'!DG$1+1,0),"")</f>
        <v/>
      </c>
      <c r="BP102" s="133" t="str">
        <f>IF($A102&lt;&gt;0,VLOOKUP($A102,'0.Productos'!$A$3:$GG$587,'0.Productos'!DH$1+1,0),"")</f>
        <v/>
      </c>
      <c r="BQ102" s="133" t="str">
        <f>IF($A102&lt;&gt;0,VLOOKUP($A102,'0.Productos'!$A$3:$GG$587,'0.Productos'!DI$1+1,0),"")</f>
        <v/>
      </c>
      <c r="BR102" s="133" t="str">
        <f>IF($A102&lt;&gt;0,VLOOKUP($A102,'0.Productos'!$A$3:$GG$587,'0.Productos'!DJ$1+1,0),"")</f>
        <v/>
      </c>
      <c r="BS102" s="133" t="str">
        <f>IF($A102&lt;&gt;0,VLOOKUP($A102,'0.Productos'!$A$3:$GG$587,'0.Productos'!DK$1+1,0),"")</f>
        <v/>
      </c>
      <c r="BT102" s="133" t="str">
        <f>IF($A102&lt;&gt;0,VLOOKUP($A102,'0.Productos'!$A$3:$GG$587,'0.Productos'!DL$1+1,0),"")</f>
        <v/>
      </c>
    </row>
    <row r="103" spans="1:72" x14ac:dyDescent="0.25">
      <c r="A103" s="17">
        <f>'0.Consolidado general'!A103</f>
        <v>0</v>
      </c>
      <c r="B103" s="133" t="str">
        <f>IF($A103&lt;&gt;0,VLOOKUP($A103,'0.Productos'!$A$3:$GG$587,'0.Productos'!AT$1+1,0),"")</f>
        <v/>
      </c>
      <c r="C103" s="133" t="str">
        <f>IF($A103&lt;&gt;0,VLOOKUP($A103,'0.Productos'!$A$3:$GG$587,'0.Productos'!AU$1+1,0),"")</f>
        <v/>
      </c>
      <c r="D103" s="133" t="str">
        <f>IF($A103&lt;&gt;0,VLOOKUP($A103,'0.Productos'!$A$3:$GG$587,'0.Productos'!AV$1+1,0),"")</f>
        <v/>
      </c>
      <c r="E103" s="133" t="str">
        <f>IF($A103&lt;&gt;0,VLOOKUP($A103,'0.Productos'!$A$3:$GG$587,'0.Productos'!AW$1+1,0),"")</f>
        <v/>
      </c>
      <c r="F103" s="133" t="str">
        <f>IF($A103&lt;&gt;0,VLOOKUP($A103,'0.Productos'!$A$3:$GG$587,'0.Productos'!AX$1+1,0),"")</f>
        <v/>
      </c>
      <c r="G103" s="133" t="str">
        <f>IF($A103&lt;&gt;0,VLOOKUP($A103,'0.Productos'!$A$3:$GG$587,'0.Productos'!AY$1+1,0),"")</f>
        <v/>
      </c>
      <c r="H103" s="133" t="str">
        <f>IF($A103&lt;&gt;0,VLOOKUP($A103,'0.Productos'!$A$3:$GG$587,'0.Productos'!AZ$1+1,0),"")</f>
        <v/>
      </c>
      <c r="I103" s="133" t="str">
        <f>IF($A103&lt;&gt;0,VLOOKUP($A103,'0.Productos'!$A$3:$GG$587,'0.Productos'!BA$1+1,0),"")</f>
        <v/>
      </c>
      <c r="J103" s="133" t="str">
        <f>IF($A103&lt;&gt;0,VLOOKUP($A103,'0.Productos'!$A$3:$GG$587,'0.Productos'!BB$1+1,0),"")</f>
        <v/>
      </c>
      <c r="K103" s="133" t="str">
        <f>IF($A103&lt;&gt;0,VLOOKUP($A103,'0.Productos'!$A$3:$GG$587,'0.Productos'!BC$1+1,0),"")</f>
        <v/>
      </c>
      <c r="L103" s="133" t="str">
        <f>IF($A103&lt;&gt;0,VLOOKUP($A103,'0.Productos'!$A$3:$GG$587,'0.Productos'!BD$1+1,0),"")</f>
        <v/>
      </c>
      <c r="M103" s="133" t="str">
        <f>IF($A103&lt;&gt;0,VLOOKUP($A103,'0.Productos'!$A$3:$GG$587,'0.Productos'!BE$1+1,0),"")</f>
        <v/>
      </c>
      <c r="N103" s="133" t="str">
        <f>IF($A103&lt;&gt;0,VLOOKUP($A103,'0.Productos'!$A$3:$GG$587,'0.Productos'!BF$1+1,0),"")</f>
        <v/>
      </c>
      <c r="O103" s="133" t="str">
        <f>IF($A103&lt;&gt;0,VLOOKUP($A103,'0.Productos'!$A$3:$GG$587,'0.Productos'!BG$1+1,0),"")</f>
        <v/>
      </c>
      <c r="P103" s="133" t="str">
        <f>IF($A103&lt;&gt;0,VLOOKUP($A103,'0.Productos'!$A$3:$GG$587,'0.Productos'!BH$1+1,0),"")</f>
        <v/>
      </c>
      <c r="Q103" s="133" t="str">
        <f>IF($A103&lt;&gt;0,VLOOKUP($A103,'0.Productos'!$A$3:$GG$587,'0.Productos'!BI$1+1,0),"")</f>
        <v/>
      </c>
      <c r="R103" s="133" t="str">
        <f>IF($A103&lt;&gt;0,VLOOKUP($A103,'0.Productos'!$A$3:$GG$587,'0.Productos'!BJ$1+1,0),"")</f>
        <v/>
      </c>
      <c r="S103" s="133" t="str">
        <f>IF($A103&lt;&gt;0,VLOOKUP($A103,'0.Productos'!$A$3:$GG$587,'0.Productos'!BK$1+1,0),"")</f>
        <v/>
      </c>
      <c r="T103" s="133" t="str">
        <f>IF($A103&lt;&gt;0,VLOOKUP($A103,'0.Productos'!$A$3:$GG$587,'0.Productos'!BL$1+1,0),"")</f>
        <v/>
      </c>
      <c r="U103" s="133" t="str">
        <f>IF($A103&lt;&gt;0,VLOOKUP($A103,'0.Productos'!$A$3:$GG$587,'0.Productos'!BM$1+1,0),"")</f>
        <v/>
      </c>
      <c r="V103" s="133" t="str">
        <f>IF($A103&lt;&gt;0,VLOOKUP($A103,'0.Productos'!$A$3:$GG$587,'0.Productos'!BN$1+1,0),"")</f>
        <v/>
      </c>
      <c r="W103" s="133" t="str">
        <f>IF($A103&lt;&gt;0,VLOOKUP($A103,'0.Productos'!$A$3:$GG$587,'0.Productos'!BO$1+1,0),"")</f>
        <v/>
      </c>
      <c r="X103" s="133" t="str">
        <f>IF($A103&lt;&gt;0,VLOOKUP($A103,'0.Productos'!$A$3:$GG$587,'0.Productos'!BP$1+1,0),"")</f>
        <v/>
      </c>
      <c r="Y103" s="133" t="str">
        <f>IF($A103&lt;&gt;0,VLOOKUP($A103,'0.Productos'!$A$3:$GG$587,'0.Productos'!BQ$1+1,0),"")</f>
        <v/>
      </c>
      <c r="Z103" s="133" t="str">
        <f>IF($A103&lt;&gt;0,VLOOKUP($A103,'0.Productos'!$A$3:$GG$587,'0.Productos'!BR$1+1,0),"")</f>
        <v/>
      </c>
      <c r="AA103" s="133" t="str">
        <f>IF($A103&lt;&gt;0,VLOOKUP($A103,'0.Productos'!$A$3:$GG$587,'0.Productos'!BS$1+1,0),"")</f>
        <v/>
      </c>
      <c r="AB103" s="133" t="str">
        <f>IF($A103&lt;&gt;0,VLOOKUP($A103,'0.Productos'!$A$3:$GG$587,'0.Productos'!BT$1+1,0),"")</f>
        <v/>
      </c>
      <c r="AC103" s="133" t="str">
        <f>IF($A103&lt;&gt;0,VLOOKUP($A103,'0.Productos'!$A$3:$GG$587,'0.Productos'!BU$1+1,0),"")</f>
        <v/>
      </c>
      <c r="AD103" s="133" t="str">
        <f>IF($A103&lt;&gt;0,VLOOKUP($A103,'0.Productos'!$A$3:$GG$587,'0.Productos'!BV$1+1,0),"")</f>
        <v/>
      </c>
      <c r="AE103" s="133" t="str">
        <f>IF($A103&lt;&gt;0,VLOOKUP($A103,'0.Productos'!$A$3:$GG$587,'0.Productos'!BW$1+1,0),"")</f>
        <v/>
      </c>
      <c r="AF103" s="133" t="str">
        <f>IF($A103&lt;&gt;0,VLOOKUP($A103,'0.Productos'!$A$3:$GG$587,'0.Productos'!BX$1+1,0),"")</f>
        <v/>
      </c>
      <c r="AG103" s="133" t="str">
        <f>IF($A103&lt;&gt;0,VLOOKUP($A103,'0.Productos'!$A$3:$GG$587,'0.Productos'!BY$1+1,0),"")</f>
        <v/>
      </c>
      <c r="AH103" s="133" t="str">
        <f>IF($A103&lt;&gt;0,VLOOKUP($A103,'0.Productos'!$A$3:$GG$587,'0.Productos'!BZ$1+1,0),"")</f>
        <v/>
      </c>
      <c r="AI103" s="133" t="str">
        <f>IF($A103&lt;&gt;0,VLOOKUP($A103,'0.Productos'!$A$3:$GG$587,'0.Productos'!CA$1+1,0),"")</f>
        <v/>
      </c>
      <c r="AJ103" s="133" t="str">
        <f>IF($A103&lt;&gt;0,VLOOKUP($A103,'0.Productos'!$A$3:$GG$587,'0.Productos'!CB$1+1,0),"")</f>
        <v/>
      </c>
      <c r="AK103" s="133" t="str">
        <f>IF($A103&lt;&gt;0,VLOOKUP($A103,'0.Productos'!$A$3:$GG$587,'0.Productos'!CC$1+1,0),"")</f>
        <v/>
      </c>
      <c r="AL103" s="133" t="str">
        <f>IF($A103&lt;&gt;0,VLOOKUP($A103,'0.Productos'!$A$3:$GG$587,'0.Productos'!CD$1+1,0),"")</f>
        <v/>
      </c>
      <c r="AM103" s="133" t="str">
        <f>IF($A103&lt;&gt;0,VLOOKUP($A103,'0.Productos'!$A$3:$GG$587,'0.Productos'!CE$1+1,0),"")</f>
        <v/>
      </c>
      <c r="AN103" s="133" t="str">
        <f>IF($A103&lt;&gt;0,VLOOKUP($A103,'0.Productos'!$A$3:$GG$587,'0.Productos'!CF$1+1,0),"")</f>
        <v/>
      </c>
      <c r="AO103" s="133" t="str">
        <f>IF($A103&lt;&gt;0,VLOOKUP($A103,'0.Productos'!$A$3:$GG$587,'0.Productos'!CG$1+1,0),"")</f>
        <v/>
      </c>
      <c r="AP103" s="133" t="str">
        <f>IF($A103&lt;&gt;0,VLOOKUP($A103,'0.Productos'!$A$3:$GG$587,'0.Productos'!CH$1+1,0),"")</f>
        <v/>
      </c>
      <c r="AQ103" s="133" t="str">
        <f>IF($A103&lt;&gt;0,VLOOKUP($A103,'0.Productos'!$A$3:$GG$587,'0.Productos'!CI$1+1,0),"")</f>
        <v/>
      </c>
      <c r="AR103" s="133" t="str">
        <f>IF($A103&lt;&gt;0,VLOOKUP($A103,'0.Productos'!$A$3:$GG$587,'0.Productos'!CJ$1+1,0),"")</f>
        <v/>
      </c>
      <c r="AS103" s="133" t="str">
        <f>IF($A103&lt;&gt;0,VLOOKUP($A103,'0.Productos'!$A$3:$GG$587,'0.Productos'!CK$1+1,0),"")</f>
        <v/>
      </c>
      <c r="AT103" s="133" t="str">
        <f>IF($A103&lt;&gt;0,VLOOKUP($A103,'0.Productos'!$A$3:$GG$587,'0.Productos'!CL$1+1,0),"")</f>
        <v/>
      </c>
      <c r="AU103" s="133" t="str">
        <f>IF($A103&lt;&gt;0,VLOOKUP($A103,'0.Productos'!$A$3:$GG$587,'0.Productos'!CM$1+1,0),"")</f>
        <v/>
      </c>
      <c r="AV103" s="133" t="str">
        <f>IF($A103&lt;&gt;0,VLOOKUP($A103,'0.Productos'!$A$3:$GG$587,'0.Productos'!CN$1+1,0),"")</f>
        <v/>
      </c>
      <c r="AW103" s="133" t="str">
        <f>IF($A103&lt;&gt;0,VLOOKUP($A103,'0.Productos'!$A$3:$GG$587,'0.Productos'!CO$1+1,0),"")</f>
        <v/>
      </c>
      <c r="AX103" s="133" t="str">
        <f>IF($A103&lt;&gt;0,VLOOKUP($A103,'0.Productos'!$A$3:$GG$587,'0.Productos'!CP$1+1,0),"")</f>
        <v/>
      </c>
      <c r="AY103" s="133" t="str">
        <f>IF($A103&lt;&gt;0,VLOOKUP($A103,'0.Productos'!$A$3:$GG$587,'0.Productos'!CQ$1+1,0),"")</f>
        <v/>
      </c>
      <c r="AZ103" s="133" t="str">
        <f>IF($A103&lt;&gt;0,VLOOKUP($A103,'0.Productos'!$A$3:$GG$587,'0.Productos'!CR$1+1,0),"")</f>
        <v/>
      </c>
      <c r="BA103" s="133" t="str">
        <f>IF($A103&lt;&gt;0,VLOOKUP($A103,'0.Productos'!$A$3:$GG$587,'0.Productos'!CS$1+1,0),"")</f>
        <v/>
      </c>
      <c r="BB103" s="133" t="str">
        <f>IF($A103&lt;&gt;0,VLOOKUP($A103,'0.Productos'!$A$3:$GG$587,'0.Productos'!CT$1+1,0),"")</f>
        <v/>
      </c>
      <c r="BC103" s="133" t="str">
        <f>IF($A103&lt;&gt;0,VLOOKUP($A103,'0.Productos'!$A$3:$GG$587,'0.Productos'!CU$1+1,0),"")</f>
        <v/>
      </c>
      <c r="BD103" s="133" t="str">
        <f>IF($A103&lt;&gt;0,VLOOKUP($A103,'0.Productos'!$A$3:$GG$587,'0.Productos'!CV$1+1,0),"")</f>
        <v/>
      </c>
      <c r="BE103" s="133" t="str">
        <f>IF($A103&lt;&gt;0,VLOOKUP($A103,'0.Productos'!$A$3:$GG$587,'0.Productos'!CW$1+1,0),"")</f>
        <v/>
      </c>
      <c r="BF103" s="133" t="str">
        <f>IF($A103&lt;&gt;0,VLOOKUP($A103,'0.Productos'!$A$3:$GG$587,'0.Productos'!CX$1+1,0),"")</f>
        <v/>
      </c>
      <c r="BG103" s="133" t="str">
        <f>IF($A103&lt;&gt;0,VLOOKUP($A103,'0.Productos'!$A$3:$GG$587,'0.Productos'!CY$1+1,0),"")</f>
        <v/>
      </c>
      <c r="BH103" s="133" t="str">
        <f>IF($A103&lt;&gt;0,VLOOKUP($A103,'0.Productos'!$A$3:$GG$587,'0.Productos'!CZ$1+1,0),"")</f>
        <v/>
      </c>
      <c r="BI103" s="133" t="str">
        <f>IF($A103&lt;&gt;0,VLOOKUP($A103,'0.Productos'!$A$3:$GG$587,'0.Productos'!DA$1+1,0),"")</f>
        <v/>
      </c>
      <c r="BJ103" s="133" t="str">
        <f>IF($A103&lt;&gt;0,VLOOKUP($A103,'0.Productos'!$A$3:$GG$587,'0.Productos'!DB$1+1,0),"")</f>
        <v/>
      </c>
      <c r="BK103" s="133" t="str">
        <f>IF($A103&lt;&gt;0,VLOOKUP($A103,'0.Productos'!$A$3:$GG$587,'0.Productos'!DC$1+1,0),"")</f>
        <v/>
      </c>
      <c r="BL103" s="133" t="str">
        <f>IF($A103&lt;&gt;0,VLOOKUP($A103,'0.Productos'!$A$3:$GG$587,'0.Productos'!DD$1+1,0),"")</f>
        <v/>
      </c>
      <c r="BM103" s="133" t="str">
        <f>IF($A103&lt;&gt;0,VLOOKUP($A103,'0.Productos'!$A$3:$GG$587,'0.Productos'!DE$1+1,0),"")</f>
        <v/>
      </c>
      <c r="BN103" s="133" t="str">
        <f>IF($A103&lt;&gt;0,VLOOKUP($A103,'0.Productos'!$A$3:$GG$587,'0.Productos'!DF$1+1,0),"")</f>
        <v/>
      </c>
      <c r="BO103" s="133" t="str">
        <f>IF($A103&lt;&gt;0,VLOOKUP($A103,'0.Productos'!$A$3:$GG$587,'0.Productos'!DG$1+1,0),"")</f>
        <v/>
      </c>
      <c r="BP103" s="133" t="str">
        <f>IF($A103&lt;&gt;0,VLOOKUP($A103,'0.Productos'!$A$3:$GG$587,'0.Productos'!DH$1+1,0),"")</f>
        <v/>
      </c>
      <c r="BQ103" s="133" t="str">
        <f>IF($A103&lt;&gt;0,VLOOKUP($A103,'0.Productos'!$A$3:$GG$587,'0.Productos'!DI$1+1,0),"")</f>
        <v/>
      </c>
      <c r="BR103" s="133" t="str">
        <f>IF($A103&lt;&gt;0,VLOOKUP($A103,'0.Productos'!$A$3:$GG$587,'0.Productos'!DJ$1+1,0),"")</f>
        <v/>
      </c>
      <c r="BS103" s="133" t="str">
        <f>IF($A103&lt;&gt;0,VLOOKUP($A103,'0.Productos'!$A$3:$GG$587,'0.Productos'!DK$1+1,0),"")</f>
        <v/>
      </c>
      <c r="BT103" s="133" t="str">
        <f>IF($A103&lt;&gt;0,VLOOKUP($A103,'0.Productos'!$A$3:$GG$587,'0.Productos'!DL$1+1,0),"")</f>
        <v/>
      </c>
    </row>
    <row r="104" spans="1:72" x14ac:dyDescent="0.25">
      <c r="A104" s="17">
        <f>'0.Consolidado general'!A104</f>
        <v>0</v>
      </c>
      <c r="B104" s="133" t="str">
        <f>IF($A104&lt;&gt;0,VLOOKUP($A104,'0.Productos'!$A$3:$GG$587,'0.Productos'!AT$1+1,0),"")</f>
        <v/>
      </c>
      <c r="C104" s="133" t="str">
        <f>IF($A104&lt;&gt;0,VLOOKUP($A104,'0.Productos'!$A$3:$GG$587,'0.Productos'!AU$1+1,0),"")</f>
        <v/>
      </c>
      <c r="D104" s="133" t="str">
        <f>IF($A104&lt;&gt;0,VLOOKUP($A104,'0.Productos'!$A$3:$GG$587,'0.Productos'!AV$1+1,0),"")</f>
        <v/>
      </c>
      <c r="E104" s="133" t="str">
        <f>IF($A104&lt;&gt;0,VLOOKUP($A104,'0.Productos'!$A$3:$GG$587,'0.Productos'!AW$1+1,0),"")</f>
        <v/>
      </c>
      <c r="F104" s="133" t="str">
        <f>IF($A104&lt;&gt;0,VLOOKUP($A104,'0.Productos'!$A$3:$GG$587,'0.Productos'!AX$1+1,0),"")</f>
        <v/>
      </c>
      <c r="G104" s="133" t="str">
        <f>IF($A104&lt;&gt;0,VLOOKUP($A104,'0.Productos'!$A$3:$GG$587,'0.Productos'!AY$1+1,0),"")</f>
        <v/>
      </c>
      <c r="H104" s="133" t="str">
        <f>IF($A104&lt;&gt;0,VLOOKUP($A104,'0.Productos'!$A$3:$GG$587,'0.Productos'!AZ$1+1,0),"")</f>
        <v/>
      </c>
      <c r="I104" s="133" t="str">
        <f>IF($A104&lt;&gt;0,VLOOKUP($A104,'0.Productos'!$A$3:$GG$587,'0.Productos'!BA$1+1,0),"")</f>
        <v/>
      </c>
      <c r="J104" s="133" t="str">
        <f>IF($A104&lt;&gt;0,VLOOKUP($A104,'0.Productos'!$A$3:$GG$587,'0.Productos'!BB$1+1,0),"")</f>
        <v/>
      </c>
      <c r="K104" s="133" t="str">
        <f>IF($A104&lt;&gt;0,VLOOKUP($A104,'0.Productos'!$A$3:$GG$587,'0.Productos'!BC$1+1,0),"")</f>
        <v/>
      </c>
      <c r="L104" s="133" t="str">
        <f>IF($A104&lt;&gt;0,VLOOKUP($A104,'0.Productos'!$A$3:$GG$587,'0.Productos'!BD$1+1,0),"")</f>
        <v/>
      </c>
      <c r="M104" s="133" t="str">
        <f>IF($A104&lt;&gt;0,VLOOKUP($A104,'0.Productos'!$A$3:$GG$587,'0.Productos'!BE$1+1,0),"")</f>
        <v/>
      </c>
      <c r="N104" s="133" t="str">
        <f>IF($A104&lt;&gt;0,VLOOKUP($A104,'0.Productos'!$A$3:$GG$587,'0.Productos'!BF$1+1,0),"")</f>
        <v/>
      </c>
      <c r="O104" s="133" t="str">
        <f>IF($A104&lt;&gt;0,VLOOKUP($A104,'0.Productos'!$A$3:$GG$587,'0.Productos'!BG$1+1,0),"")</f>
        <v/>
      </c>
      <c r="P104" s="133" t="str">
        <f>IF($A104&lt;&gt;0,VLOOKUP($A104,'0.Productos'!$A$3:$GG$587,'0.Productos'!BH$1+1,0),"")</f>
        <v/>
      </c>
      <c r="Q104" s="133" t="str">
        <f>IF($A104&lt;&gt;0,VLOOKUP($A104,'0.Productos'!$A$3:$GG$587,'0.Productos'!BI$1+1,0),"")</f>
        <v/>
      </c>
      <c r="R104" s="133" t="str">
        <f>IF($A104&lt;&gt;0,VLOOKUP($A104,'0.Productos'!$A$3:$GG$587,'0.Productos'!BJ$1+1,0),"")</f>
        <v/>
      </c>
      <c r="S104" s="133" t="str">
        <f>IF($A104&lt;&gt;0,VLOOKUP($A104,'0.Productos'!$A$3:$GG$587,'0.Productos'!BK$1+1,0),"")</f>
        <v/>
      </c>
      <c r="T104" s="133" t="str">
        <f>IF($A104&lt;&gt;0,VLOOKUP($A104,'0.Productos'!$A$3:$GG$587,'0.Productos'!BL$1+1,0),"")</f>
        <v/>
      </c>
      <c r="U104" s="133" t="str">
        <f>IF($A104&lt;&gt;0,VLOOKUP($A104,'0.Productos'!$A$3:$GG$587,'0.Productos'!BM$1+1,0),"")</f>
        <v/>
      </c>
      <c r="V104" s="133" t="str">
        <f>IF($A104&lt;&gt;0,VLOOKUP($A104,'0.Productos'!$A$3:$GG$587,'0.Productos'!BN$1+1,0),"")</f>
        <v/>
      </c>
      <c r="W104" s="133" t="str">
        <f>IF($A104&lt;&gt;0,VLOOKUP($A104,'0.Productos'!$A$3:$GG$587,'0.Productos'!BO$1+1,0),"")</f>
        <v/>
      </c>
      <c r="X104" s="133" t="str">
        <f>IF($A104&lt;&gt;0,VLOOKUP($A104,'0.Productos'!$A$3:$GG$587,'0.Productos'!BP$1+1,0),"")</f>
        <v/>
      </c>
      <c r="Y104" s="133" t="str">
        <f>IF($A104&lt;&gt;0,VLOOKUP($A104,'0.Productos'!$A$3:$GG$587,'0.Productos'!BQ$1+1,0),"")</f>
        <v/>
      </c>
      <c r="Z104" s="133" t="str">
        <f>IF($A104&lt;&gt;0,VLOOKUP($A104,'0.Productos'!$A$3:$GG$587,'0.Productos'!BR$1+1,0),"")</f>
        <v/>
      </c>
      <c r="AA104" s="133" t="str">
        <f>IF($A104&lt;&gt;0,VLOOKUP($A104,'0.Productos'!$A$3:$GG$587,'0.Productos'!BS$1+1,0),"")</f>
        <v/>
      </c>
      <c r="AB104" s="133" t="str">
        <f>IF($A104&lt;&gt;0,VLOOKUP($A104,'0.Productos'!$A$3:$GG$587,'0.Productos'!BT$1+1,0),"")</f>
        <v/>
      </c>
      <c r="AC104" s="133" t="str">
        <f>IF($A104&lt;&gt;0,VLOOKUP($A104,'0.Productos'!$A$3:$GG$587,'0.Productos'!BU$1+1,0),"")</f>
        <v/>
      </c>
      <c r="AD104" s="133" t="str">
        <f>IF($A104&lt;&gt;0,VLOOKUP($A104,'0.Productos'!$A$3:$GG$587,'0.Productos'!BV$1+1,0),"")</f>
        <v/>
      </c>
      <c r="AE104" s="133" t="str">
        <f>IF($A104&lt;&gt;0,VLOOKUP($A104,'0.Productos'!$A$3:$GG$587,'0.Productos'!BW$1+1,0),"")</f>
        <v/>
      </c>
      <c r="AF104" s="133" t="str">
        <f>IF($A104&lt;&gt;0,VLOOKUP($A104,'0.Productos'!$A$3:$GG$587,'0.Productos'!BX$1+1,0),"")</f>
        <v/>
      </c>
      <c r="AG104" s="133" t="str">
        <f>IF($A104&lt;&gt;0,VLOOKUP($A104,'0.Productos'!$A$3:$GG$587,'0.Productos'!BY$1+1,0),"")</f>
        <v/>
      </c>
      <c r="AH104" s="133" t="str">
        <f>IF($A104&lt;&gt;0,VLOOKUP($A104,'0.Productos'!$A$3:$GG$587,'0.Productos'!BZ$1+1,0),"")</f>
        <v/>
      </c>
      <c r="AI104" s="133" t="str">
        <f>IF($A104&lt;&gt;0,VLOOKUP($A104,'0.Productos'!$A$3:$GG$587,'0.Productos'!CA$1+1,0),"")</f>
        <v/>
      </c>
      <c r="AJ104" s="133" t="str">
        <f>IF($A104&lt;&gt;0,VLOOKUP($A104,'0.Productos'!$A$3:$GG$587,'0.Productos'!CB$1+1,0),"")</f>
        <v/>
      </c>
      <c r="AK104" s="133" t="str">
        <f>IF($A104&lt;&gt;0,VLOOKUP($A104,'0.Productos'!$A$3:$GG$587,'0.Productos'!CC$1+1,0),"")</f>
        <v/>
      </c>
      <c r="AL104" s="133" t="str">
        <f>IF($A104&lt;&gt;0,VLOOKUP($A104,'0.Productos'!$A$3:$GG$587,'0.Productos'!CD$1+1,0),"")</f>
        <v/>
      </c>
      <c r="AM104" s="133" t="str">
        <f>IF($A104&lt;&gt;0,VLOOKUP($A104,'0.Productos'!$A$3:$GG$587,'0.Productos'!CE$1+1,0),"")</f>
        <v/>
      </c>
      <c r="AN104" s="133" t="str">
        <f>IF($A104&lt;&gt;0,VLOOKUP($A104,'0.Productos'!$A$3:$GG$587,'0.Productos'!CF$1+1,0),"")</f>
        <v/>
      </c>
      <c r="AO104" s="133" t="str">
        <f>IF($A104&lt;&gt;0,VLOOKUP($A104,'0.Productos'!$A$3:$GG$587,'0.Productos'!CG$1+1,0),"")</f>
        <v/>
      </c>
      <c r="AP104" s="133" t="str">
        <f>IF($A104&lt;&gt;0,VLOOKUP($A104,'0.Productos'!$A$3:$GG$587,'0.Productos'!CH$1+1,0),"")</f>
        <v/>
      </c>
      <c r="AQ104" s="133" t="str">
        <f>IF($A104&lt;&gt;0,VLOOKUP($A104,'0.Productos'!$A$3:$GG$587,'0.Productos'!CI$1+1,0),"")</f>
        <v/>
      </c>
      <c r="AR104" s="133" t="str">
        <f>IF($A104&lt;&gt;0,VLOOKUP($A104,'0.Productos'!$A$3:$GG$587,'0.Productos'!CJ$1+1,0),"")</f>
        <v/>
      </c>
      <c r="AS104" s="133" t="str">
        <f>IF($A104&lt;&gt;0,VLOOKUP($A104,'0.Productos'!$A$3:$GG$587,'0.Productos'!CK$1+1,0),"")</f>
        <v/>
      </c>
      <c r="AT104" s="133" t="str">
        <f>IF($A104&lt;&gt;0,VLOOKUP($A104,'0.Productos'!$A$3:$GG$587,'0.Productos'!CL$1+1,0),"")</f>
        <v/>
      </c>
      <c r="AU104" s="133" t="str">
        <f>IF($A104&lt;&gt;0,VLOOKUP($A104,'0.Productos'!$A$3:$GG$587,'0.Productos'!CM$1+1,0),"")</f>
        <v/>
      </c>
      <c r="AV104" s="133" t="str">
        <f>IF($A104&lt;&gt;0,VLOOKUP($A104,'0.Productos'!$A$3:$GG$587,'0.Productos'!CN$1+1,0),"")</f>
        <v/>
      </c>
      <c r="AW104" s="133" t="str">
        <f>IF($A104&lt;&gt;0,VLOOKUP($A104,'0.Productos'!$A$3:$GG$587,'0.Productos'!CO$1+1,0),"")</f>
        <v/>
      </c>
      <c r="AX104" s="133" t="str">
        <f>IF($A104&lt;&gt;0,VLOOKUP($A104,'0.Productos'!$A$3:$GG$587,'0.Productos'!CP$1+1,0),"")</f>
        <v/>
      </c>
      <c r="AY104" s="133" t="str">
        <f>IF($A104&lt;&gt;0,VLOOKUP($A104,'0.Productos'!$A$3:$GG$587,'0.Productos'!CQ$1+1,0),"")</f>
        <v/>
      </c>
      <c r="AZ104" s="133" t="str">
        <f>IF($A104&lt;&gt;0,VLOOKUP($A104,'0.Productos'!$A$3:$GG$587,'0.Productos'!CR$1+1,0),"")</f>
        <v/>
      </c>
      <c r="BA104" s="133" t="str">
        <f>IF($A104&lt;&gt;0,VLOOKUP($A104,'0.Productos'!$A$3:$GG$587,'0.Productos'!CS$1+1,0),"")</f>
        <v/>
      </c>
      <c r="BB104" s="133" t="str">
        <f>IF($A104&lt;&gt;0,VLOOKUP($A104,'0.Productos'!$A$3:$GG$587,'0.Productos'!CT$1+1,0),"")</f>
        <v/>
      </c>
      <c r="BC104" s="133" t="str">
        <f>IF($A104&lt;&gt;0,VLOOKUP($A104,'0.Productos'!$A$3:$GG$587,'0.Productos'!CU$1+1,0),"")</f>
        <v/>
      </c>
      <c r="BD104" s="133" t="str">
        <f>IF($A104&lt;&gt;0,VLOOKUP($A104,'0.Productos'!$A$3:$GG$587,'0.Productos'!CV$1+1,0),"")</f>
        <v/>
      </c>
      <c r="BE104" s="133" t="str">
        <f>IF($A104&lt;&gt;0,VLOOKUP($A104,'0.Productos'!$A$3:$GG$587,'0.Productos'!CW$1+1,0),"")</f>
        <v/>
      </c>
      <c r="BF104" s="133" t="str">
        <f>IF($A104&lt;&gt;0,VLOOKUP($A104,'0.Productos'!$A$3:$GG$587,'0.Productos'!CX$1+1,0),"")</f>
        <v/>
      </c>
      <c r="BG104" s="133" t="str">
        <f>IF($A104&lt;&gt;0,VLOOKUP($A104,'0.Productos'!$A$3:$GG$587,'0.Productos'!CY$1+1,0),"")</f>
        <v/>
      </c>
      <c r="BH104" s="133" t="str">
        <f>IF($A104&lt;&gt;0,VLOOKUP($A104,'0.Productos'!$A$3:$GG$587,'0.Productos'!CZ$1+1,0),"")</f>
        <v/>
      </c>
      <c r="BI104" s="133" t="str">
        <f>IF($A104&lt;&gt;0,VLOOKUP($A104,'0.Productos'!$A$3:$GG$587,'0.Productos'!DA$1+1,0),"")</f>
        <v/>
      </c>
      <c r="BJ104" s="133" t="str">
        <f>IF($A104&lt;&gt;0,VLOOKUP($A104,'0.Productos'!$A$3:$GG$587,'0.Productos'!DB$1+1,0),"")</f>
        <v/>
      </c>
      <c r="BK104" s="133" t="str">
        <f>IF($A104&lt;&gt;0,VLOOKUP($A104,'0.Productos'!$A$3:$GG$587,'0.Productos'!DC$1+1,0),"")</f>
        <v/>
      </c>
      <c r="BL104" s="133" t="str">
        <f>IF($A104&lt;&gt;0,VLOOKUP($A104,'0.Productos'!$A$3:$GG$587,'0.Productos'!DD$1+1,0),"")</f>
        <v/>
      </c>
      <c r="BM104" s="133" t="str">
        <f>IF($A104&lt;&gt;0,VLOOKUP($A104,'0.Productos'!$A$3:$GG$587,'0.Productos'!DE$1+1,0),"")</f>
        <v/>
      </c>
      <c r="BN104" s="133" t="str">
        <f>IF($A104&lt;&gt;0,VLOOKUP($A104,'0.Productos'!$A$3:$GG$587,'0.Productos'!DF$1+1,0),"")</f>
        <v/>
      </c>
      <c r="BO104" s="133" t="str">
        <f>IF($A104&lt;&gt;0,VLOOKUP($A104,'0.Productos'!$A$3:$GG$587,'0.Productos'!DG$1+1,0),"")</f>
        <v/>
      </c>
      <c r="BP104" s="133" t="str">
        <f>IF($A104&lt;&gt;0,VLOOKUP($A104,'0.Productos'!$A$3:$GG$587,'0.Productos'!DH$1+1,0),"")</f>
        <v/>
      </c>
      <c r="BQ104" s="133" t="str">
        <f>IF($A104&lt;&gt;0,VLOOKUP($A104,'0.Productos'!$A$3:$GG$587,'0.Productos'!DI$1+1,0),"")</f>
        <v/>
      </c>
      <c r="BR104" s="133" t="str">
        <f>IF($A104&lt;&gt;0,VLOOKUP($A104,'0.Productos'!$A$3:$GG$587,'0.Productos'!DJ$1+1,0),"")</f>
        <v/>
      </c>
      <c r="BS104" s="133" t="str">
        <f>IF($A104&lt;&gt;0,VLOOKUP($A104,'0.Productos'!$A$3:$GG$587,'0.Productos'!DK$1+1,0),"")</f>
        <v/>
      </c>
      <c r="BT104" s="133" t="str">
        <f>IF($A104&lt;&gt;0,VLOOKUP($A104,'0.Productos'!$A$3:$GG$587,'0.Productos'!DL$1+1,0),"")</f>
        <v/>
      </c>
    </row>
    <row r="105" spans="1:72" x14ac:dyDescent="0.25">
      <c r="A105" s="17">
        <f>'0.Consolidado general'!A105</f>
        <v>0</v>
      </c>
      <c r="B105" s="133" t="str">
        <f>IF($A105&lt;&gt;0,VLOOKUP($A105,'0.Productos'!$A$3:$GG$587,'0.Productos'!AT$1+1,0),"")</f>
        <v/>
      </c>
      <c r="C105" s="133" t="str">
        <f>IF($A105&lt;&gt;0,VLOOKUP($A105,'0.Productos'!$A$3:$GG$587,'0.Productos'!AU$1+1,0),"")</f>
        <v/>
      </c>
      <c r="D105" s="133" t="str">
        <f>IF($A105&lt;&gt;0,VLOOKUP($A105,'0.Productos'!$A$3:$GG$587,'0.Productos'!AV$1+1,0),"")</f>
        <v/>
      </c>
      <c r="E105" s="133" t="str">
        <f>IF($A105&lt;&gt;0,VLOOKUP($A105,'0.Productos'!$A$3:$GG$587,'0.Productos'!AW$1+1,0),"")</f>
        <v/>
      </c>
      <c r="F105" s="133" t="str">
        <f>IF($A105&lt;&gt;0,VLOOKUP($A105,'0.Productos'!$A$3:$GG$587,'0.Productos'!AX$1+1,0),"")</f>
        <v/>
      </c>
      <c r="G105" s="133" t="str">
        <f>IF($A105&lt;&gt;0,VLOOKUP($A105,'0.Productos'!$A$3:$GG$587,'0.Productos'!AY$1+1,0),"")</f>
        <v/>
      </c>
      <c r="H105" s="133" t="str">
        <f>IF($A105&lt;&gt;0,VLOOKUP($A105,'0.Productos'!$A$3:$GG$587,'0.Productos'!AZ$1+1,0),"")</f>
        <v/>
      </c>
      <c r="I105" s="133" t="str">
        <f>IF($A105&lt;&gt;0,VLOOKUP($A105,'0.Productos'!$A$3:$GG$587,'0.Productos'!BA$1+1,0),"")</f>
        <v/>
      </c>
      <c r="J105" s="133" t="str">
        <f>IF($A105&lt;&gt;0,VLOOKUP($A105,'0.Productos'!$A$3:$GG$587,'0.Productos'!BB$1+1,0),"")</f>
        <v/>
      </c>
      <c r="K105" s="133" t="str">
        <f>IF($A105&lt;&gt;0,VLOOKUP($A105,'0.Productos'!$A$3:$GG$587,'0.Productos'!BC$1+1,0),"")</f>
        <v/>
      </c>
      <c r="L105" s="133" t="str">
        <f>IF($A105&lt;&gt;0,VLOOKUP($A105,'0.Productos'!$A$3:$GG$587,'0.Productos'!BD$1+1,0),"")</f>
        <v/>
      </c>
      <c r="M105" s="133" t="str">
        <f>IF($A105&lt;&gt;0,VLOOKUP($A105,'0.Productos'!$A$3:$GG$587,'0.Productos'!BE$1+1,0),"")</f>
        <v/>
      </c>
      <c r="N105" s="133" t="str">
        <f>IF($A105&lt;&gt;0,VLOOKUP($A105,'0.Productos'!$A$3:$GG$587,'0.Productos'!BF$1+1,0),"")</f>
        <v/>
      </c>
      <c r="O105" s="133" t="str">
        <f>IF($A105&lt;&gt;0,VLOOKUP($A105,'0.Productos'!$A$3:$GG$587,'0.Productos'!BG$1+1,0),"")</f>
        <v/>
      </c>
      <c r="P105" s="133" t="str">
        <f>IF($A105&lt;&gt;0,VLOOKUP($A105,'0.Productos'!$A$3:$GG$587,'0.Productos'!BH$1+1,0),"")</f>
        <v/>
      </c>
      <c r="Q105" s="133" t="str">
        <f>IF($A105&lt;&gt;0,VLOOKUP($A105,'0.Productos'!$A$3:$GG$587,'0.Productos'!BI$1+1,0),"")</f>
        <v/>
      </c>
      <c r="R105" s="133" t="str">
        <f>IF($A105&lt;&gt;0,VLOOKUP($A105,'0.Productos'!$A$3:$GG$587,'0.Productos'!BJ$1+1,0),"")</f>
        <v/>
      </c>
      <c r="S105" s="133" t="str">
        <f>IF($A105&lt;&gt;0,VLOOKUP($A105,'0.Productos'!$A$3:$GG$587,'0.Productos'!BK$1+1,0),"")</f>
        <v/>
      </c>
      <c r="T105" s="133" t="str">
        <f>IF($A105&lt;&gt;0,VLOOKUP($A105,'0.Productos'!$A$3:$GG$587,'0.Productos'!BL$1+1,0),"")</f>
        <v/>
      </c>
      <c r="U105" s="133" t="str">
        <f>IF($A105&lt;&gt;0,VLOOKUP($A105,'0.Productos'!$A$3:$GG$587,'0.Productos'!BM$1+1,0),"")</f>
        <v/>
      </c>
      <c r="V105" s="133" t="str">
        <f>IF($A105&lt;&gt;0,VLOOKUP($A105,'0.Productos'!$A$3:$GG$587,'0.Productos'!BN$1+1,0),"")</f>
        <v/>
      </c>
      <c r="W105" s="133" t="str">
        <f>IF($A105&lt;&gt;0,VLOOKUP($A105,'0.Productos'!$A$3:$GG$587,'0.Productos'!BO$1+1,0),"")</f>
        <v/>
      </c>
      <c r="X105" s="133" t="str">
        <f>IF($A105&lt;&gt;0,VLOOKUP($A105,'0.Productos'!$A$3:$GG$587,'0.Productos'!BP$1+1,0),"")</f>
        <v/>
      </c>
      <c r="Y105" s="133" t="str">
        <f>IF($A105&lt;&gt;0,VLOOKUP($A105,'0.Productos'!$A$3:$GG$587,'0.Productos'!BQ$1+1,0),"")</f>
        <v/>
      </c>
      <c r="Z105" s="133" t="str">
        <f>IF($A105&lt;&gt;0,VLOOKUP($A105,'0.Productos'!$A$3:$GG$587,'0.Productos'!BR$1+1,0),"")</f>
        <v/>
      </c>
      <c r="AA105" s="133" t="str">
        <f>IF($A105&lt;&gt;0,VLOOKUP($A105,'0.Productos'!$A$3:$GG$587,'0.Productos'!BS$1+1,0),"")</f>
        <v/>
      </c>
      <c r="AB105" s="133" t="str">
        <f>IF($A105&lt;&gt;0,VLOOKUP($A105,'0.Productos'!$A$3:$GG$587,'0.Productos'!BT$1+1,0),"")</f>
        <v/>
      </c>
      <c r="AC105" s="133" t="str">
        <f>IF($A105&lt;&gt;0,VLOOKUP($A105,'0.Productos'!$A$3:$GG$587,'0.Productos'!BU$1+1,0),"")</f>
        <v/>
      </c>
      <c r="AD105" s="133" t="str">
        <f>IF($A105&lt;&gt;0,VLOOKUP($A105,'0.Productos'!$A$3:$GG$587,'0.Productos'!BV$1+1,0),"")</f>
        <v/>
      </c>
      <c r="AE105" s="133" t="str">
        <f>IF($A105&lt;&gt;0,VLOOKUP($A105,'0.Productos'!$A$3:$GG$587,'0.Productos'!BW$1+1,0),"")</f>
        <v/>
      </c>
      <c r="AF105" s="133" t="str">
        <f>IF($A105&lt;&gt;0,VLOOKUP($A105,'0.Productos'!$A$3:$GG$587,'0.Productos'!BX$1+1,0),"")</f>
        <v/>
      </c>
      <c r="AG105" s="133" t="str">
        <f>IF($A105&lt;&gt;0,VLOOKUP($A105,'0.Productos'!$A$3:$GG$587,'0.Productos'!BY$1+1,0),"")</f>
        <v/>
      </c>
      <c r="AH105" s="133" t="str">
        <f>IF($A105&lt;&gt;0,VLOOKUP($A105,'0.Productos'!$A$3:$GG$587,'0.Productos'!BZ$1+1,0),"")</f>
        <v/>
      </c>
      <c r="AI105" s="133" t="str">
        <f>IF($A105&lt;&gt;0,VLOOKUP($A105,'0.Productos'!$A$3:$GG$587,'0.Productos'!CA$1+1,0),"")</f>
        <v/>
      </c>
      <c r="AJ105" s="133" t="str">
        <f>IF($A105&lt;&gt;0,VLOOKUP($A105,'0.Productos'!$A$3:$GG$587,'0.Productos'!CB$1+1,0),"")</f>
        <v/>
      </c>
      <c r="AK105" s="133" t="str">
        <f>IF($A105&lt;&gt;0,VLOOKUP($A105,'0.Productos'!$A$3:$GG$587,'0.Productos'!CC$1+1,0),"")</f>
        <v/>
      </c>
      <c r="AL105" s="133" t="str">
        <f>IF($A105&lt;&gt;0,VLOOKUP($A105,'0.Productos'!$A$3:$GG$587,'0.Productos'!CD$1+1,0),"")</f>
        <v/>
      </c>
      <c r="AM105" s="133" t="str">
        <f>IF($A105&lt;&gt;0,VLOOKUP($A105,'0.Productos'!$A$3:$GG$587,'0.Productos'!CE$1+1,0),"")</f>
        <v/>
      </c>
      <c r="AN105" s="133" t="str">
        <f>IF($A105&lt;&gt;0,VLOOKUP($A105,'0.Productos'!$A$3:$GG$587,'0.Productos'!CF$1+1,0),"")</f>
        <v/>
      </c>
      <c r="AO105" s="133" t="str">
        <f>IF($A105&lt;&gt;0,VLOOKUP($A105,'0.Productos'!$A$3:$GG$587,'0.Productos'!CG$1+1,0),"")</f>
        <v/>
      </c>
      <c r="AP105" s="133" t="str">
        <f>IF($A105&lt;&gt;0,VLOOKUP($A105,'0.Productos'!$A$3:$GG$587,'0.Productos'!CH$1+1,0),"")</f>
        <v/>
      </c>
      <c r="AQ105" s="133" t="str">
        <f>IF($A105&lt;&gt;0,VLOOKUP($A105,'0.Productos'!$A$3:$GG$587,'0.Productos'!CI$1+1,0),"")</f>
        <v/>
      </c>
      <c r="AR105" s="133" t="str">
        <f>IF($A105&lt;&gt;0,VLOOKUP($A105,'0.Productos'!$A$3:$GG$587,'0.Productos'!CJ$1+1,0),"")</f>
        <v/>
      </c>
      <c r="AS105" s="133" t="str">
        <f>IF($A105&lt;&gt;0,VLOOKUP($A105,'0.Productos'!$A$3:$GG$587,'0.Productos'!CK$1+1,0),"")</f>
        <v/>
      </c>
      <c r="AT105" s="133" t="str">
        <f>IF($A105&lt;&gt;0,VLOOKUP($A105,'0.Productos'!$A$3:$GG$587,'0.Productos'!CL$1+1,0),"")</f>
        <v/>
      </c>
      <c r="AU105" s="133" t="str">
        <f>IF($A105&lt;&gt;0,VLOOKUP($A105,'0.Productos'!$A$3:$GG$587,'0.Productos'!CM$1+1,0),"")</f>
        <v/>
      </c>
      <c r="AV105" s="133" t="str">
        <f>IF($A105&lt;&gt;0,VLOOKUP($A105,'0.Productos'!$A$3:$GG$587,'0.Productos'!CN$1+1,0),"")</f>
        <v/>
      </c>
      <c r="AW105" s="133" t="str">
        <f>IF($A105&lt;&gt;0,VLOOKUP($A105,'0.Productos'!$A$3:$GG$587,'0.Productos'!CO$1+1,0),"")</f>
        <v/>
      </c>
      <c r="AX105" s="133" t="str">
        <f>IF($A105&lt;&gt;0,VLOOKUP($A105,'0.Productos'!$A$3:$GG$587,'0.Productos'!CP$1+1,0),"")</f>
        <v/>
      </c>
      <c r="AY105" s="133" t="str">
        <f>IF($A105&lt;&gt;0,VLOOKUP($A105,'0.Productos'!$A$3:$GG$587,'0.Productos'!CQ$1+1,0),"")</f>
        <v/>
      </c>
      <c r="AZ105" s="133" t="str">
        <f>IF($A105&lt;&gt;0,VLOOKUP($A105,'0.Productos'!$A$3:$GG$587,'0.Productos'!CR$1+1,0),"")</f>
        <v/>
      </c>
      <c r="BA105" s="133" t="str">
        <f>IF($A105&lt;&gt;0,VLOOKUP($A105,'0.Productos'!$A$3:$GG$587,'0.Productos'!CS$1+1,0),"")</f>
        <v/>
      </c>
      <c r="BB105" s="133" t="str">
        <f>IF($A105&lt;&gt;0,VLOOKUP($A105,'0.Productos'!$A$3:$GG$587,'0.Productos'!CT$1+1,0),"")</f>
        <v/>
      </c>
      <c r="BC105" s="133" t="str">
        <f>IF($A105&lt;&gt;0,VLOOKUP($A105,'0.Productos'!$A$3:$GG$587,'0.Productos'!CU$1+1,0),"")</f>
        <v/>
      </c>
      <c r="BD105" s="133" t="str">
        <f>IF($A105&lt;&gt;0,VLOOKUP($A105,'0.Productos'!$A$3:$GG$587,'0.Productos'!CV$1+1,0),"")</f>
        <v/>
      </c>
      <c r="BE105" s="133" t="str">
        <f>IF($A105&lt;&gt;0,VLOOKUP($A105,'0.Productos'!$A$3:$GG$587,'0.Productos'!CW$1+1,0),"")</f>
        <v/>
      </c>
      <c r="BF105" s="133" t="str">
        <f>IF($A105&lt;&gt;0,VLOOKUP($A105,'0.Productos'!$A$3:$GG$587,'0.Productos'!CX$1+1,0),"")</f>
        <v/>
      </c>
      <c r="BG105" s="133" t="str">
        <f>IF($A105&lt;&gt;0,VLOOKUP($A105,'0.Productos'!$A$3:$GG$587,'0.Productos'!CY$1+1,0),"")</f>
        <v/>
      </c>
      <c r="BH105" s="133" t="str">
        <f>IF($A105&lt;&gt;0,VLOOKUP($A105,'0.Productos'!$A$3:$GG$587,'0.Productos'!CZ$1+1,0),"")</f>
        <v/>
      </c>
      <c r="BI105" s="133" t="str">
        <f>IF($A105&lt;&gt;0,VLOOKUP($A105,'0.Productos'!$A$3:$GG$587,'0.Productos'!DA$1+1,0),"")</f>
        <v/>
      </c>
      <c r="BJ105" s="133" t="str">
        <f>IF($A105&lt;&gt;0,VLOOKUP($A105,'0.Productos'!$A$3:$GG$587,'0.Productos'!DB$1+1,0),"")</f>
        <v/>
      </c>
      <c r="BK105" s="133" t="str">
        <f>IF($A105&lt;&gt;0,VLOOKUP($A105,'0.Productos'!$A$3:$GG$587,'0.Productos'!DC$1+1,0),"")</f>
        <v/>
      </c>
      <c r="BL105" s="133" t="str">
        <f>IF($A105&lt;&gt;0,VLOOKUP($A105,'0.Productos'!$A$3:$GG$587,'0.Productos'!DD$1+1,0),"")</f>
        <v/>
      </c>
      <c r="BM105" s="133" t="str">
        <f>IF($A105&lt;&gt;0,VLOOKUP($A105,'0.Productos'!$A$3:$GG$587,'0.Productos'!DE$1+1,0),"")</f>
        <v/>
      </c>
      <c r="BN105" s="133" t="str">
        <f>IF($A105&lt;&gt;0,VLOOKUP($A105,'0.Productos'!$A$3:$GG$587,'0.Productos'!DF$1+1,0),"")</f>
        <v/>
      </c>
      <c r="BO105" s="133" t="str">
        <f>IF($A105&lt;&gt;0,VLOOKUP($A105,'0.Productos'!$A$3:$GG$587,'0.Productos'!DG$1+1,0),"")</f>
        <v/>
      </c>
      <c r="BP105" s="133" t="str">
        <f>IF($A105&lt;&gt;0,VLOOKUP($A105,'0.Productos'!$A$3:$GG$587,'0.Productos'!DH$1+1,0),"")</f>
        <v/>
      </c>
      <c r="BQ105" s="133" t="str">
        <f>IF($A105&lt;&gt;0,VLOOKUP($A105,'0.Productos'!$A$3:$GG$587,'0.Productos'!DI$1+1,0),"")</f>
        <v/>
      </c>
      <c r="BR105" s="133" t="str">
        <f>IF($A105&lt;&gt;0,VLOOKUP($A105,'0.Productos'!$A$3:$GG$587,'0.Productos'!DJ$1+1,0),"")</f>
        <v/>
      </c>
      <c r="BS105" s="133" t="str">
        <f>IF($A105&lt;&gt;0,VLOOKUP($A105,'0.Productos'!$A$3:$GG$587,'0.Productos'!DK$1+1,0),"")</f>
        <v/>
      </c>
      <c r="BT105" s="133" t="str">
        <f>IF($A105&lt;&gt;0,VLOOKUP($A105,'0.Productos'!$A$3:$GG$587,'0.Productos'!DL$1+1,0),"")</f>
        <v/>
      </c>
    </row>
    <row r="106" spans="1:72" x14ac:dyDescent="0.25">
      <c r="A106" s="17">
        <f>'0.Consolidado general'!A106</f>
        <v>0</v>
      </c>
      <c r="B106" s="133" t="str">
        <f>IF($A106&lt;&gt;0,VLOOKUP($A106,'0.Productos'!$A$3:$GG$587,'0.Productos'!AT$1+1,0),"")</f>
        <v/>
      </c>
      <c r="C106" s="133" t="str">
        <f>IF($A106&lt;&gt;0,VLOOKUP($A106,'0.Productos'!$A$3:$GG$587,'0.Productos'!AU$1+1,0),"")</f>
        <v/>
      </c>
      <c r="D106" s="133" t="str">
        <f>IF($A106&lt;&gt;0,VLOOKUP($A106,'0.Productos'!$A$3:$GG$587,'0.Productos'!AV$1+1,0),"")</f>
        <v/>
      </c>
      <c r="E106" s="133" t="str">
        <f>IF($A106&lt;&gt;0,VLOOKUP($A106,'0.Productos'!$A$3:$GG$587,'0.Productos'!AW$1+1,0),"")</f>
        <v/>
      </c>
      <c r="F106" s="133" t="str">
        <f>IF($A106&lt;&gt;0,VLOOKUP($A106,'0.Productos'!$A$3:$GG$587,'0.Productos'!AX$1+1,0),"")</f>
        <v/>
      </c>
      <c r="G106" s="133" t="str">
        <f>IF($A106&lt;&gt;0,VLOOKUP($A106,'0.Productos'!$A$3:$GG$587,'0.Productos'!AY$1+1,0),"")</f>
        <v/>
      </c>
      <c r="H106" s="133" t="str">
        <f>IF($A106&lt;&gt;0,VLOOKUP($A106,'0.Productos'!$A$3:$GG$587,'0.Productos'!AZ$1+1,0),"")</f>
        <v/>
      </c>
      <c r="I106" s="133" t="str">
        <f>IF($A106&lt;&gt;0,VLOOKUP($A106,'0.Productos'!$A$3:$GG$587,'0.Productos'!BA$1+1,0),"")</f>
        <v/>
      </c>
      <c r="J106" s="133" t="str">
        <f>IF($A106&lt;&gt;0,VLOOKUP($A106,'0.Productos'!$A$3:$GG$587,'0.Productos'!BB$1+1,0),"")</f>
        <v/>
      </c>
      <c r="K106" s="133" t="str">
        <f>IF($A106&lt;&gt;0,VLOOKUP($A106,'0.Productos'!$A$3:$GG$587,'0.Productos'!BC$1+1,0),"")</f>
        <v/>
      </c>
      <c r="L106" s="133" t="str">
        <f>IF($A106&lt;&gt;0,VLOOKUP($A106,'0.Productos'!$A$3:$GG$587,'0.Productos'!BD$1+1,0),"")</f>
        <v/>
      </c>
      <c r="M106" s="133" t="str">
        <f>IF($A106&lt;&gt;0,VLOOKUP($A106,'0.Productos'!$A$3:$GG$587,'0.Productos'!BE$1+1,0),"")</f>
        <v/>
      </c>
      <c r="N106" s="133" t="str">
        <f>IF($A106&lt;&gt;0,VLOOKUP($A106,'0.Productos'!$A$3:$GG$587,'0.Productos'!BF$1+1,0),"")</f>
        <v/>
      </c>
      <c r="O106" s="133" t="str">
        <f>IF($A106&lt;&gt;0,VLOOKUP($A106,'0.Productos'!$A$3:$GG$587,'0.Productos'!BG$1+1,0),"")</f>
        <v/>
      </c>
      <c r="P106" s="133" t="str">
        <f>IF($A106&lt;&gt;0,VLOOKUP($A106,'0.Productos'!$A$3:$GG$587,'0.Productos'!BH$1+1,0),"")</f>
        <v/>
      </c>
      <c r="Q106" s="133" t="str">
        <f>IF($A106&lt;&gt;0,VLOOKUP($A106,'0.Productos'!$A$3:$GG$587,'0.Productos'!BI$1+1,0),"")</f>
        <v/>
      </c>
      <c r="R106" s="133" t="str">
        <f>IF($A106&lt;&gt;0,VLOOKUP($A106,'0.Productos'!$A$3:$GG$587,'0.Productos'!BJ$1+1,0),"")</f>
        <v/>
      </c>
      <c r="S106" s="133" t="str">
        <f>IF($A106&lt;&gt;0,VLOOKUP($A106,'0.Productos'!$A$3:$GG$587,'0.Productos'!BK$1+1,0),"")</f>
        <v/>
      </c>
      <c r="T106" s="133" t="str">
        <f>IF($A106&lt;&gt;0,VLOOKUP($A106,'0.Productos'!$A$3:$GG$587,'0.Productos'!BL$1+1,0),"")</f>
        <v/>
      </c>
      <c r="U106" s="133" t="str">
        <f>IF($A106&lt;&gt;0,VLOOKUP($A106,'0.Productos'!$A$3:$GG$587,'0.Productos'!BM$1+1,0),"")</f>
        <v/>
      </c>
      <c r="V106" s="133" t="str">
        <f>IF($A106&lt;&gt;0,VLOOKUP($A106,'0.Productos'!$A$3:$GG$587,'0.Productos'!BN$1+1,0),"")</f>
        <v/>
      </c>
      <c r="W106" s="133" t="str">
        <f>IF($A106&lt;&gt;0,VLOOKUP($A106,'0.Productos'!$A$3:$GG$587,'0.Productos'!BO$1+1,0),"")</f>
        <v/>
      </c>
      <c r="X106" s="133" t="str">
        <f>IF($A106&lt;&gt;0,VLOOKUP($A106,'0.Productos'!$A$3:$GG$587,'0.Productos'!BP$1+1,0),"")</f>
        <v/>
      </c>
      <c r="Y106" s="133" t="str">
        <f>IF($A106&lt;&gt;0,VLOOKUP($A106,'0.Productos'!$A$3:$GG$587,'0.Productos'!BQ$1+1,0),"")</f>
        <v/>
      </c>
      <c r="Z106" s="133" t="str">
        <f>IF($A106&lt;&gt;0,VLOOKUP($A106,'0.Productos'!$A$3:$GG$587,'0.Productos'!BR$1+1,0),"")</f>
        <v/>
      </c>
      <c r="AA106" s="133" t="str">
        <f>IF($A106&lt;&gt;0,VLOOKUP($A106,'0.Productos'!$A$3:$GG$587,'0.Productos'!BS$1+1,0),"")</f>
        <v/>
      </c>
      <c r="AB106" s="133" t="str">
        <f>IF($A106&lt;&gt;0,VLOOKUP($A106,'0.Productos'!$A$3:$GG$587,'0.Productos'!BT$1+1,0),"")</f>
        <v/>
      </c>
      <c r="AC106" s="133" t="str">
        <f>IF($A106&lt;&gt;0,VLOOKUP($A106,'0.Productos'!$A$3:$GG$587,'0.Productos'!BU$1+1,0),"")</f>
        <v/>
      </c>
      <c r="AD106" s="133" t="str">
        <f>IF($A106&lt;&gt;0,VLOOKUP($A106,'0.Productos'!$A$3:$GG$587,'0.Productos'!BV$1+1,0),"")</f>
        <v/>
      </c>
      <c r="AE106" s="133" t="str">
        <f>IF($A106&lt;&gt;0,VLOOKUP($A106,'0.Productos'!$A$3:$GG$587,'0.Productos'!BW$1+1,0),"")</f>
        <v/>
      </c>
      <c r="AF106" s="133" t="str">
        <f>IF($A106&lt;&gt;0,VLOOKUP($A106,'0.Productos'!$A$3:$GG$587,'0.Productos'!BX$1+1,0),"")</f>
        <v/>
      </c>
      <c r="AG106" s="133" t="str">
        <f>IF($A106&lt;&gt;0,VLOOKUP($A106,'0.Productos'!$A$3:$GG$587,'0.Productos'!BY$1+1,0),"")</f>
        <v/>
      </c>
      <c r="AH106" s="133" t="str">
        <f>IF($A106&lt;&gt;0,VLOOKUP($A106,'0.Productos'!$A$3:$GG$587,'0.Productos'!BZ$1+1,0),"")</f>
        <v/>
      </c>
      <c r="AI106" s="133" t="str">
        <f>IF($A106&lt;&gt;0,VLOOKUP($A106,'0.Productos'!$A$3:$GG$587,'0.Productos'!CA$1+1,0),"")</f>
        <v/>
      </c>
      <c r="AJ106" s="133" t="str">
        <f>IF($A106&lt;&gt;0,VLOOKUP($A106,'0.Productos'!$A$3:$GG$587,'0.Productos'!CB$1+1,0),"")</f>
        <v/>
      </c>
      <c r="AK106" s="133" t="str">
        <f>IF($A106&lt;&gt;0,VLOOKUP($A106,'0.Productos'!$A$3:$GG$587,'0.Productos'!CC$1+1,0),"")</f>
        <v/>
      </c>
      <c r="AL106" s="133" t="str">
        <f>IF($A106&lt;&gt;0,VLOOKUP($A106,'0.Productos'!$A$3:$GG$587,'0.Productos'!CD$1+1,0),"")</f>
        <v/>
      </c>
      <c r="AM106" s="133" t="str">
        <f>IF($A106&lt;&gt;0,VLOOKUP($A106,'0.Productos'!$A$3:$GG$587,'0.Productos'!CE$1+1,0),"")</f>
        <v/>
      </c>
      <c r="AN106" s="133" t="str">
        <f>IF($A106&lt;&gt;0,VLOOKUP($A106,'0.Productos'!$A$3:$GG$587,'0.Productos'!CF$1+1,0),"")</f>
        <v/>
      </c>
      <c r="AO106" s="133" t="str">
        <f>IF($A106&lt;&gt;0,VLOOKUP($A106,'0.Productos'!$A$3:$GG$587,'0.Productos'!CG$1+1,0),"")</f>
        <v/>
      </c>
      <c r="AP106" s="133" t="str">
        <f>IF($A106&lt;&gt;0,VLOOKUP($A106,'0.Productos'!$A$3:$GG$587,'0.Productos'!CH$1+1,0),"")</f>
        <v/>
      </c>
      <c r="AQ106" s="133" t="str">
        <f>IF($A106&lt;&gt;0,VLOOKUP($A106,'0.Productos'!$A$3:$GG$587,'0.Productos'!CI$1+1,0),"")</f>
        <v/>
      </c>
      <c r="AR106" s="133" t="str">
        <f>IF($A106&lt;&gt;0,VLOOKUP($A106,'0.Productos'!$A$3:$GG$587,'0.Productos'!CJ$1+1,0),"")</f>
        <v/>
      </c>
      <c r="AS106" s="133" t="str">
        <f>IF($A106&lt;&gt;0,VLOOKUP($A106,'0.Productos'!$A$3:$GG$587,'0.Productos'!CK$1+1,0),"")</f>
        <v/>
      </c>
      <c r="AT106" s="133" t="str">
        <f>IF($A106&lt;&gt;0,VLOOKUP($A106,'0.Productos'!$A$3:$GG$587,'0.Productos'!CL$1+1,0),"")</f>
        <v/>
      </c>
      <c r="AU106" s="133" t="str">
        <f>IF($A106&lt;&gt;0,VLOOKUP($A106,'0.Productos'!$A$3:$GG$587,'0.Productos'!CM$1+1,0),"")</f>
        <v/>
      </c>
      <c r="AV106" s="133" t="str">
        <f>IF($A106&lt;&gt;0,VLOOKUP($A106,'0.Productos'!$A$3:$GG$587,'0.Productos'!CN$1+1,0),"")</f>
        <v/>
      </c>
      <c r="AW106" s="133" t="str">
        <f>IF($A106&lt;&gt;0,VLOOKUP($A106,'0.Productos'!$A$3:$GG$587,'0.Productos'!CO$1+1,0),"")</f>
        <v/>
      </c>
      <c r="AX106" s="133" t="str">
        <f>IF($A106&lt;&gt;0,VLOOKUP($A106,'0.Productos'!$A$3:$GG$587,'0.Productos'!CP$1+1,0),"")</f>
        <v/>
      </c>
      <c r="AY106" s="133" t="str">
        <f>IF($A106&lt;&gt;0,VLOOKUP($A106,'0.Productos'!$A$3:$GG$587,'0.Productos'!CQ$1+1,0),"")</f>
        <v/>
      </c>
      <c r="AZ106" s="133" t="str">
        <f>IF($A106&lt;&gt;0,VLOOKUP($A106,'0.Productos'!$A$3:$GG$587,'0.Productos'!CR$1+1,0),"")</f>
        <v/>
      </c>
      <c r="BA106" s="133" t="str">
        <f>IF($A106&lt;&gt;0,VLOOKUP($A106,'0.Productos'!$A$3:$GG$587,'0.Productos'!CS$1+1,0),"")</f>
        <v/>
      </c>
      <c r="BB106" s="133" t="str">
        <f>IF($A106&lt;&gt;0,VLOOKUP($A106,'0.Productos'!$A$3:$GG$587,'0.Productos'!CT$1+1,0),"")</f>
        <v/>
      </c>
      <c r="BC106" s="133" t="str">
        <f>IF($A106&lt;&gt;0,VLOOKUP($A106,'0.Productos'!$A$3:$GG$587,'0.Productos'!CU$1+1,0),"")</f>
        <v/>
      </c>
      <c r="BD106" s="133" t="str">
        <f>IF($A106&lt;&gt;0,VLOOKUP($A106,'0.Productos'!$A$3:$GG$587,'0.Productos'!CV$1+1,0),"")</f>
        <v/>
      </c>
      <c r="BE106" s="133" t="str">
        <f>IF($A106&lt;&gt;0,VLOOKUP($A106,'0.Productos'!$A$3:$GG$587,'0.Productos'!CW$1+1,0),"")</f>
        <v/>
      </c>
      <c r="BF106" s="133" t="str">
        <f>IF($A106&lt;&gt;0,VLOOKUP($A106,'0.Productos'!$A$3:$GG$587,'0.Productos'!CX$1+1,0),"")</f>
        <v/>
      </c>
      <c r="BG106" s="133" t="str">
        <f>IF($A106&lt;&gt;0,VLOOKUP($A106,'0.Productos'!$A$3:$GG$587,'0.Productos'!CY$1+1,0),"")</f>
        <v/>
      </c>
      <c r="BH106" s="133" t="str">
        <f>IF($A106&lt;&gt;0,VLOOKUP($A106,'0.Productos'!$A$3:$GG$587,'0.Productos'!CZ$1+1,0),"")</f>
        <v/>
      </c>
      <c r="BI106" s="133" t="str">
        <f>IF($A106&lt;&gt;0,VLOOKUP($A106,'0.Productos'!$A$3:$GG$587,'0.Productos'!DA$1+1,0),"")</f>
        <v/>
      </c>
      <c r="BJ106" s="133" t="str">
        <f>IF($A106&lt;&gt;0,VLOOKUP($A106,'0.Productos'!$A$3:$GG$587,'0.Productos'!DB$1+1,0),"")</f>
        <v/>
      </c>
      <c r="BK106" s="133" t="str">
        <f>IF($A106&lt;&gt;0,VLOOKUP($A106,'0.Productos'!$A$3:$GG$587,'0.Productos'!DC$1+1,0),"")</f>
        <v/>
      </c>
      <c r="BL106" s="133" t="str">
        <f>IF($A106&lt;&gt;0,VLOOKUP($A106,'0.Productos'!$A$3:$GG$587,'0.Productos'!DD$1+1,0),"")</f>
        <v/>
      </c>
      <c r="BM106" s="133" t="str">
        <f>IF($A106&lt;&gt;0,VLOOKUP($A106,'0.Productos'!$A$3:$GG$587,'0.Productos'!DE$1+1,0),"")</f>
        <v/>
      </c>
      <c r="BN106" s="133" t="str">
        <f>IF($A106&lt;&gt;0,VLOOKUP($A106,'0.Productos'!$A$3:$GG$587,'0.Productos'!DF$1+1,0),"")</f>
        <v/>
      </c>
      <c r="BO106" s="133" t="str">
        <f>IF($A106&lt;&gt;0,VLOOKUP($A106,'0.Productos'!$A$3:$GG$587,'0.Productos'!DG$1+1,0),"")</f>
        <v/>
      </c>
      <c r="BP106" s="133" t="str">
        <f>IF($A106&lt;&gt;0,VLOOKUP($A106,'0.Productos'!$A$3:$GG$587,'0.Productos'!DH$1+1,0),"")</f>
        <v/>
      </c>
      <c r="BQ106" s="133" t="str">
        <f>IF($A106&lt;&gt;0,VLOOKUP($A106,'0.Productos'!$A$3:$GG$587,'0.Productos'!DI$1+1,0),"")</f>
        <v/>
      </c>
      <c r="BR106" s="133" t="str">
        <f>IF($A106&lt;&gt;0,VLOOKUP($A106,'0.Productos'!$A$3:$GG$587,'0.Productos'!DJ$1+1,0),"")</f>
        <v/>
      </c>
      <c r="BS106" s="133" t="str">
        <f>IF($A106&lt;&gt;0,VLOOKUP($A106,'0.Productos'!$A$3:$GG$587,'0.Productos'!DK$1+1,0),"")</f>
        <v/>
      </c>
      <c r="BT106" s="133" t="str">
        <f>IF($A106&lt;&gt;0,VLOOKUP($A106,'0.Productos'!$A$3:$GG$587,'0.Productos'!DL$1+1,0),"")</f>
        <v/>
      </c>
    </row>
    <row r="107" spans="1:72" x14ac:dyDescent="0.25">
      <c r="A107" s="17">
        <f>'0.Consolidado general'!A107</f>
        <v>0</v>
      </c>
      <c r="B107" s="133" t="str">
        <f>IF($A107&lt;&gt;0,VLOOKUP($A107,'0.Productos'!$A$3:$GG$587,'0.Productos'!AT$1+1,0),"")</f>
        <v/>
      </c>
      <c r="C107" s="133" t="str">
        <f>IF($A107&lt;&gt;0,VLOOKUP($A107,'0.Productos'!$A$3:$GG$587,'0.Productos'!AU$1+1,0),"")</f>
        <v/>
      </c>
      <c r="D107" s="133" t="str">
        <f>IF($A107&lt;&gt;0,VLOOKUP($A107,'0.Productos'!$A$3:$GG$587,'0.Productos'!AV$1+1,0),"")</f>
        <v/>
      </c>
      <c r="E107" s="133" t="str">
        <f>IF($A107&lt;&gt;0,VLOOKUP($A107,'0.Productos'!$A$3:$GG$587,'0.Productos'!AW$1+1,0),"")</f>
        <v/>
      </c>
      <c r="F107" s="133" t="str">
        <f>IF($A107&lt;&gt;0,VLOOKUP($A107,'0.Productos'!$A$3:$GG$587,'0.Productos'!AX$1+1,0),"")</f>
        <v/>
      </c>
      <c r="G107" s="133" t="str">
        <f>IF($A107&lt;&gt;0,VLOOKUP($A107,'0.Productos'!$A$3:$GG$587,'0.Productos'!AY$1+1,0),"")</f>
        <v/>
      </c>
      <c r="H107" s="133" t="str">
        <f>IF($A107&lt;&gt;0,VLOOKUP($A107,'0.Productos'!$A$3:$GG$587,'0.Productos'!AZ$1+1,0),"")</f>
        <v/>
      </c>
      <c r="I107" s="133" t="str">
        <f>IF($A107&lt;&gt;0,VLOOKUP($A107,'0.Productos'!$A$3:$GG$587,'0.Productos'!BA$1+1,0),"")</f>
        <v/>
      </c>
      <c r="J107" s="133" t="str">
        <f>IF($A107&lt;&gt;0,VLOOKUP($A107,'0.Productos'!$A$3:$GG$587,'0.Productos'!BB$1+1,0),"")</f>
        <v/>
      </c>
      <c r="K107" s="133" t="str">
        <f>IF($A107&lt;&gt;0,VLOOKUP($A107,'0.Productos'!$A$3:$GG$587,'0.Productos'!BC$1+1,0),"")</f>
        <v/>
      </c>
      <c r="L107" s="133" t="str">
        <f>IF($A107&lt;&gt;0,VLOOKUP($A107,'0.Productos'!$A$3:$GG$587,'0.Productos'!BD$1+1,0),"")</f>
        <v/>
      </c>
      <c r="M107" s="133" t="str">
        <f>IF($A107&lt;&gt;0,VLOOKUP($A107,'0.Productos'!$A$3:$GG$587,'0.Productos'!BE$1+1,0),"")</f>
        <v/>
      </c>
      <c r="N107" s="133" t="str">
        <f>IF($A107&lt;&gt;0,VLOOKUP($A107,'0.Productos'!$A$3:$GG$587,'0.Productos'!BF$1+1,0),"")</f>
        <v/>
      </c>
      <c r="O107" s="133" t="str">
        <f>IF($A107&lt;&gt;0,VLOOKUP($A107,'0.Productos'!$A$3:$GG$587,'0.Productos'!BG$1+1,0),"")</f>
        <v/>
      </c>
      <c r="P107" s="133" t="str">
        <f>IF($A107&lt;&gt;0,VLOOKUP($A107,'0.Productos'!$A$3:$GG$587,'0.Productos'!BH$1+1,0),"")</f>
        <v/>
      </c>
      <c r="Q107" s="133" t="str">
        <f>IF($A107&lt;&gt;0,VLOOKUP($A107,'0.Productos'!$A$3:$GG$587,'0.Productos'!BI$1+1,0),"")</f>
        <v/>
      </c>
      <c r="R107" s="133" t="str">
        <f>IF($A107&lt;&gt;0,VLOOKUP($A107,'0.Productos'!$A$3:$GG$587,'0.Productos'!BJ$1+1,0),"")</f>
        <v/>
      </c>
      <c r="S107" s="133" t="str">
        <f>IF($A107&lt;&gt;0,VLOOKUP($A107,'0.Productos'!$A$3:$GG$587,'0.Productos'!BK$1+1,0),"")</f>
        <v/>
      </c>
      <c r="T107" s="133" t="str">
        <f>IF($A107&lt;&gt;0,VLOOKUP($A107,'0.Productos'!$A$3:$GG$587,'0.Productos'!BL$1+1,0),"")</f>
        <v/>
      </c>
      <c r="U107" s="133" t="str">
        <f>IF($A107&lt;&gt;0,VLOOKUP($A107,'0.Productos'!$A$3:$GG$587,'0.Productos'!BM$1+1,0),"")</f>
        <v/>
      </c>
      <c r="V107" s="133" t="str">
        <f>IF($A107&lt;&gt;0,VLOOKUP($A107,'0.Productos'!$A$3:$GG$587,'0.Productos'!BN$1+1,0),"")</f>
        <v/>
      </c>
      <c r="W107" s="133" t="str">
        <f>IF($A107&lt;&gt;0,VLOOKUP($A107,'0.Productos'!$A$3:$GG$587,'0.Productos'!BO$1+1,0),"")</f>
        <v/>
      </c>
      <c r="X107" s="133" t="str">
        <f>IF($A107&lt;&gt;0,VLOOKUP($A107,'0.Productos'!$A$3:$GG$587,'0.Productos'!BP$1+1,0),"")</f>
        <v/>
      </c>
      <c r="Y107" s="133" t="str">
        <f>IF($A107&lt;&gt;0,VLOOKUP($A107,'0.Productos'!$A$3:$GG$587,'0.Productos'!BQ$1+1,0),"")</f>
        <v/>
      </c>
      <c r="Z107" s="133" t="str">
        <f>IF($A107&lt;&gt;0,VLOOKUP($A107,'0.Productos'!$A$3:$GG$587,'0.Productos'!BR$1+1,0),"")</f>
        <v/>
      </c>
      <c r="AA107" s="133" t="str">
        <f>IF($A107&lt;&gt;0,VLOOKUP($A107,'0.Productos'!$A$3:$GG$587,'0.Productos'!BS$1+1,0),"")</f>
        <v/>
      </c>
      <c r="AB107" s="133" t="str">
        <f>IF($A107&lt;&gt;0,VLOOKUP($A107,'0.Productos'!$A$3:$GG$587,'0.Productos'!BT$1+1,0),"")</f>
        <v/>
      </c>
      <c r="AC107" s="133" t="str">
        <f>IF($A107&lt;&gt;0,VLOOKUP($A107,'0.Productos'!$A$3:$GG$587,'0.Productos'!BU$1+1,0),"")</f>
        <v/>
      </c>
      <c r="AD107" s="133" t="str">
        <f>IF($A107&lt;&gt;0,VLOOKUP($A107,'0.Productos'!$A$3:$GG$587,'0.Productos'!BV$1+1,0),"")</f>
        <v/>
      </c>
      <c r="AE107" s="133" t="str">
        <f>IF($A107&lt;&gt;0,VLOOKUP($A107,'0.Productos'!$A$3:$GG$587,'0.Productos'!BW$1+1,0),"")</f>
        <v/>
      </c>
      <c r="AF107" s="133" t="str">
        <f>IF($A107&lt;&gt;0,VLOOKUP($A107,'0.Productos'!$A$3:$GG$587,'0.Productos'!BX$1+1,0),"")</f>
        <v/>
      </c>
      <c r="AG107" s="133" t="str">
        <f>IF($A107&lt;&gt;0,VLOOKUP($A107,'0.Productos'!$A$3:$GG$587,'0.Productos'!BY$1+1,0),"")</f>
        <v/>
      </c>
      <c r="AH107" s="133" t="str">
        <f>IF($A107&lt;&gt;0,VLOOKUP($A107,'0.Productos'!$A$3:$GG$587,'0.Productos'!BZ$1+1,0),"")</f>
        <v/>
      </c>
      <c r="AI107" s="133" t="str">
        <f>IF($A107&lt;&gt;0,VLOOKUP($A107,'0.Productos'!$A$3:$GG$587,'0.Productos'!CA$1+1,0),"")</f>
        <v/>
      </c>
      <c r="AJ107" s="133" t="str">
        <f>IF($A107&lt;&gt;0,VLOOKUP($A107,'0.Productos'!$A$3:$GG$587,'0.Productos'!CB$1+1,0),"")</f>
        <v/>
      </c>
      <c r="AK107" s="133" t="str">
        <f>IF($A107&lt;&gt;0,VLOOKUP($A107,'0.Productos'!$A$3:$GG$587,'0.Productos'!CC$1+1,0),"")</f>
        <v/>
      </c>
      <c r="AL107" s="133" t="str">
        <f>IF($A107&lt;&gt;0,VLOOKUP($A107,'0.Productos'!$A$3:$GG$587,'0.Productos'!CD$1+1,0),"")</f>
        <v/>
      </c>
      <c r="AM107" s="133" t="str">
        <f>IF($A107&lt;&gt;0,VLOOKUP($A107,'0.Productos'!$A$3:$GG$587,'0.Productos'!CE$1+1,0),"")</f>
        <v/>
      </c>
      <c r="AN107" s="133" t="str">
        <f>IF($A107&lt;&gt;0,VLOOKUP($A107,'0.Productos'!$A$3:$GG$587,'0.Productos'!CF$1+1,0),"")</f>
        <v/>
      </c>
      <c r="AO107" s="133" t="str">
        <f>IF($A107&lt;&gt;0,VLOOKUP($A107,'0.Productos'!$A$3:$GG$587,'0.Productos'!CG$1+1,0),"")</f>
        <v/>
      </c>
      <c r="AP107" s="133" t="str">
        <f>IF($A107&lt;&gt;0,VLOOKUP($A107,'0.Productos'!$A$3:$GG$587,'0.Productos'!CH$1+1,0),"")</f>
        <v/>
      </c>
      <c r="AQ107" s="133" t="str">
        <f>IF($A107&lt;&gt;0,VLOOKUP($A107,'0.Productos'!$A$3:$GG$587,'0.Productos'!CI$1+1,0),"")</f>
        <v/>
      </c>
      <c r="AR107" s="133" t="str">
        <f>IF($A107&lt;&gt;0,VLOOKUP($A107,'0.Productos'!$A$3:$GG$587,'0.Productos'!CJ$1+1,0),"")</f>
        <v/>
      </c>
      <c r="AS107" s="133" t="str">
        <f>IF($A107&lt;&gt;0,VLOOKUP($A107,'0.Productos'!$A$3:$GG$587,'0.Productos'!CK$1+1,0),"")</f>
        <v/>
      </c>
      <c r="AT107" s="133" t="str">
        <f>IF($A107&lt;&gt;0,VLOOKUP($A107,'0.Productos'!$A$3:$GG$587,'0.Productos'!CL$1+1,0),"")</f>
        <v/>
      </c>
      <c r="AU107" s="133" t="str">
        <f>IF($A107&lt;&gt;0,VLOOKUP($A107,'0.Productos'!$A$3:$GG$587,'0.Productos'!CM$1+1,0),"")</f>
        <v/>
      </c>
      <c r="AV107" s="133" t="str">
        <f>IF($A107&lt;&gt;0,VLOOKUP($A107,'0.Productos'!$A$3:$GG$587,'0.Productos'!CN$1+1,0),"")</f>
        <v/>
      </c>
      <c r="AW107" s="133" t="str">
        <f>IF($A107&lt;&gt;0,VLOOKUP($A107,'0.Productos'!$A$3:$GG$587,'0.Productos'!CO$1+1,0),"")</f>
        <v/>
      </c>
      <c r="AX107" s="133" t="str">
        <f>IF($A107&lt;&gt;0,VLOOKUP($A107,'0.Productos'!$A$3:$GG$587,'0.Productos'!CP$1+1,0),"")</f>
        <v/>
      </c>
      <c r="AY107" s="133" t="str">
        <f>IF($A107&lt;&gt;0,VLOOKUP($A107,'0.Productos'!$A$3:$GG$587,'0.Productos'!CQ$1+1,0),"")</f>
        <v/>
      </c>
      <c r="AZ107" s="133" t="str">
        <f>IF($A107&lt;&gt;0,VLOOKUP($A107,'0.Productos'!$A$3:$GG$587,'0.Productos'!CR$1+1,0),"")</f>
        <v/>
      </c>
      <c r="BA107" s="133" t="str">
        <f>IF($A107&lt;&gt;0,VLOOKUP($A107,'0.Productos'!$A$3:$GG$587,'0.Productos'!CS$1+1,0),"")</f>
        <v/>
      </c>
      <c r="BB107" s="133" t="str">
        <f>IF($A107&lt;&gt;0,VLOOKUP($A107,'0.Productos'!$A$3:$GG$587,'0.Productos'!CT$1+1,0),"")</f>
        <v/>
      </c>
      <c r="BC107" s="133" t="str">
        <f>IF($A107&lt;&gt;0,VLOOKUP($A107,'0.Productos'!$A$3:$GG$587,'0.Productos'!CU$1+1,0),"")</f>
        <v/>
      </c>
      <c r="BD107" s="133" t="str">
        <f>IF($A107&lt;&gt;0,VLOOKUP($A107,'0.Productos'!$A$3:$GG$587,'0.Productos'!CV$1+1,0),"")</f>
        <v/>
      </c>
      <c r="BE107" s="133" t="str">
        <f>IF($A107&lt;&gt;0,VLOOKUP($A107,'0.Productos'!$A$3:$GG$587,'0.Productos'!CW$1+1,0),"")</f>
        <v/>
      </c>
      <c r="BF107" s="133" t="str">
        <f>IF($A107&lt;&gt;0,VLOOKUP($A107,'0.Productos'!$A$3:$GG$587,'0.Productos'!CX$1+1,0),"")</f>
        <v/>
      </c>
      <c r="BG107" s="133" t="str">
        <f>IF($A107&lt;&gt;0,VLOOKUP($A107,'0.Productos'!$A$3:$GG$587,'0.Productos'!CY$1+1,0),"")</f>
        <v/>
      </c>
      <c r="BH107" s="133" t="str">
        <f>IF($A107&lt;&gt;0,VLOOKUP($A107,'0.Productos'!$A$3:$GG$587,'0.Productos'!CZ$1+1,0),"")</f>
        <v/>
      </c>
      <c r="BI107" s="133" t="str">
        <f>IF($A107&lt;&gt;0,VLOOKUP($A107,'0.Productos'!$A$3:$GG$587,'0.Productos'!DA$1+1,0),"")</f>
        <v/>
      </c>
      <c r="BJ107" s="133" t="str">
        <f>IF($A107&lt;&gt;0,VLOOKUP($A107,'0.Productos'!$A$3:$GG$587,'0.Productos'!DB$1+1,0),"")</f>
        <v/>
      </c>
      <c r="BK107" s="133" t="str">
        <f>IF($A107&lt;&gt;0,VLOOKUP($A107,'0.Productos'!$A$3:$GG$587,'0.Productos'!DC$1+1,0),"")</f>
        <v/>
      </c>
      <c r="BL107" s="133" t="str">
        <f>IF($A107&lt;&gt;0,VLOOKUP($A107,'0.Productos'!$A$3:$GG$587,'0.Productos'!DD$1+1,0),"")</f>
        <v/>
      </c>
      <c r="BM107" s="133" t="str">
        <f>IF($A107&lt;&gt;0,VLOOKUP($A107,'0.Productos'!$A$3:$GG$587,'0.Productos'!DE$1+1,0),"")</f>
        <v/>
      </c>
      <c r="BN107" s="133" t="str">
        <f>IF($A107&lt;&gt;0,VLOOKUP($A107,'0.Productos'!$A$3:$GG$587,'0.Productos'!DF$1+1,0),"")</f>
        <v/>
      </c>
      <c r="BO107" s="133" t="str">
        <f>IF($A107&lt;&gt;0,VLOOKUP($A107,'0.Productos'!$A$3:$GG$587,'0.Productos'!DG$1+1,0),"")</f>
        <v/>
      </c>
      <c r="BP107" s="133" t="str">
        <f>IF($A107&lt;&gt;0,VLOOKUP($A107,'0.Productos'!$A$3:$GG$587,'0.Productos'!DH$1+1,0),"")</f>
        <v/>
      </c>
      <c r="BQ107" s="133" t="str">
        <f>IF($A107&lt;&gt;0,VLOOKUP($A107,'0.Productos'!$A$3:$GG$587,'0.Productos'!DI$1+1,0),"")</f>
        <v/>
      </c>
      <c r="BR107" s="133" t="str">
        <f>IF($A107&lt;&gt;0,VLOOKUP($A107,'0.Productos'!$A$3:$GG$587,'0.Productos'!DJ$1+1,0),"")</f>
        <v/>
      </c>
      <c r="BS107" s="133" t="str">
        <f>IF($A107&lt;&gt;0,VLOOKUP($A107,'0.Productos'!$A$3:$GG$587,'0.Productos'!DK$1+1,0),"")</f>
        <v/>
      </c>
      <c r="BT107" s="133" t="str">
        <f>IF($A107&lt;&gt;0,VLOOKUP($A107,'0.Productos'!$A$3:$GG$587,'0.Productos'!DL$1+1,0),"")</f>
        <v/>
      </c>
    </row>
    <row r="108" spans="1:72" x14ac:dyDescent="0.25">
      <c r="A108" s="17">
        <f>'0.Consolidado general'!A108</f>
        <v>0</v>
      </c>
      <c r="B108" s="133" t="str">
        <f>IF($A108&lt;&gt;0,VLOOKUP($A108,'0.Productos'!$A$3:$GG$587,'0.Productos'!AT$1+1,0),"")</f>
        <v/>
      </c>
      <c r="C108" s="133" t="str">
        <f>IF($A108&lt;&gt;0,VLOOKUP($A108,'0.Productos'!$A$3:$GG$587,'0.Productos'!AU$1+1,0),"")</f>
        <v/>
      </c>
      <c r="D108" s="133" t="str">
        <f>IF($A108&lt;&gt;0,VLOOKUP($A108,'0.Productos'!$A$3:$GG$587,'0.Productos'!AV$1+1,0),"")</f>
        <v/>
      </c>
      <c r="E108" s="133" t="str">
        <f>IF($A108&lt;&gt;0,VLOOKUP($A108,'0.Productos'!$A$3:$GG$587,'0.Productos'!AW$1+1,0),"")</f>
        <v/>
      </c>
      <c r="F108" s="133" t="str">
        <f>IF($A108&lt;&gt;0,VLOOKUP($A108,'0.Productos'!$A$3:$GG$587,'0.Productos'!AX$1+1,0),"")</f>
        <v/>
      </c>
      <c r="G108" s="133" t="str">
        <f>IF($A108&lt;&gt;0,VLOOKUP($A108,'0.Productos'!$A$3:$GG$587,'0.Productos'!AY$1+1,0),"")</f>
        <v/>
      </c>
      <c r="H108" s="133" t="str">
        <f>IF($A108&lt;&gt;0,VLOOKUP($A108,'0.Productos'!$A$3:$GG$587,'0.Productos'!AZ$1+1,0),"")</f>
        <v/>
      </c>
      <c r="I108" s="133" t="str">
        <f>IF($A108&lt;&gt;0,VLOOKUP($A108,'0.Productos'!$A$3:$GG$587,'0.Productos'!BA$1+1,0),"")</f>
        <v/>
      </c>
      <c r="J108" s="133" t="str">
        <f>IF($A108&lt;&gt;0,VLOOKUP($A108,'0.Productos'!$A$3:$GG$587,'0.Productos'!BB$1+1,0),"")</f>
        <v/>
      </c>
      <c r="K108" s="133" t="str">
        <f>IF($A108&lt;&gt;0,VLOOKUP($A108,'0.Productos'!$A$3:$GG$587,'0.Productos'!BC$1+1,0),"")</f>
        <v/>
      </c>
      <c r="L108" s="133" t="str">
        <f>IF($A108&lt;&gt;0,VLOOKUP($A108,'0.Productos'!$A$3:$GG$587,'0.Productos'!BD$1+1,0),"")</f>
        <v/>
      </c>
      <c r="M108" s="133" t="str">
        <f>IF($A108&lt;&gt;0,VLOOKUP($A108,'0.Productos'!$A$3:$GG$587,'0.Productos'!BE$1+1,0),"")</f>
        <v/>
      </c>
      <c r="N108" s="133" t="str">
        <f>IF($A108&lt;&gt;0,VLOOKUP($A108,'0.Productos'!$A$3:$GG$587,'0.Productos'!BF$1+1,0),"")</f>
        <v/>
      </c>
      <c r="O108" s="133" t="str">
        <f>IF($A108&lt;&gt;0,VLOOKUP($A108,'0.Productos'!$A$3:$GG$587,'0.Productos'!BG$1+1,0),"")</f>
        <v/>
      </c>
      <c r="P108" s="133" t="str">
        <f>IF($A108&lt;&gt;0,VLOOKUP($A108,'0.Productos'!$A$3:$GG$587,'0.Productos'!BH$1+1,0),"")</f>
        <v/>
      </c>
      <c r="Q108" s="133" t="str">
        <f>IF($A108&lt;&gt;0,VLOOKUP($A108,'0.Productos'!$A$3:$GG$587,'0.Productos'!BI$1+1,0),"")</f>
        <v/>
      </c>
      <c r="R108" s="133" t="str">
        <f>IF($A108&lt;&gt;0,VLOOKUP($A108,'0.Productos'!$A$3:$GG$587,'0.Productos'!BJ$1+1,0),"")</f>
        <v/>
      </c>
      <c r="S108" s="133" t="str">
        <f>IF($A108&lt;&gt;0,VLOOKUP($A108,'0.Productos'!$A$3:$GG$587,'0.Productos'!BK$1+1,0),"")</f>
        <v/>
      </c>
      <c r="T108" s="133" t="str">
        <f>IF($A108&lt;&gt;0,VLOOKUP($A108,'0.Productos'!$A$3:$GG$587,'0.Productos'!BL$1+1,0),"")</f>
        <v/>
      </c>
      <c r="U108" s="133" t="str">
        <f>IF($A108&lt;&gt;0,VLOOKUP($A108,'0.Productos'!$A$3:$GG$587,'0.Productos'!BM$1+1,0),"")</f>
        <v/>
      </c>
      <c r="V108" s="133" t="str">
        <f>IF($A108&lt;&gt;0,VLOOKUP($A108,'0.Productos'!$A$3:$GG$587,'0.Productos'!BN$1+1,0),"")</f>
        <v/>
      </c>
      <c r="W108" s="133" t="str">
        <f>IF($A108&lt;&gt;0,VLOOKUP($A108,'0.Productos'!$A$3:$GG$587,'0.Productos'!BO$1+1,0),"")</f>
        <v/>
      </c>
      <c r="X108" s="133" t="str">
        <f>IF($A108&lt;&gt;0,VLOOKUP($A108,'0.Productos'!$A$3:$GG$587,'0.Productos'!BP$1+1,0),"")</f>
        <v/>
      </c>
      <c r="Y108" s="133" t="str">
        <f>IF($A108&lt;&gt;0,VLOOKUP($A108,'0.Productos'!$A$3:$GG$587,'0.Productos'!BQ$1+1,0),"")</f>
        <v/>
      </c>
      <c r="Z108" s="133" t="str">
        <f>IF($A108&lt;&gt;0,VLOOKUP($A108,'0.Productos'!$A$3:$GG$587,'0.Productos'!BR$1+1,0),"")</f>
        <v/>
      </c>
      <c r="AA108" s="133" t="str">
        <f>IF($A108&lt;&gt;0,VLOOKUP($A108,'0.Productos'!$A$3:$GG$587,'0.Productos'!BS$1+1,0),"")</f>
        <v/>
      </c>
      <c r="AB108" s="133" t="str">
        <f>IF($A108&lt;&gt;0,VLOOKUP($A108,'0.Productos'!$A$3:$GG$587,'0.Productos'!BT$1+1,0),"")</f>
        <v/>
      </c>
      <c r="AC108" s="133" t="str">
        <f>IF($A108&lt;&gt;0,VLOOKUP($A108,'0.Productos'!$A$3:$GG$587,'0.Productos'!BU$1+1,0),"")</f>
        <v/>
      </c>
      <c r="AD108" s="133" t="str">
        <f>IF($A108&lt;&gt;0,VLOOKUP($A108,'0.Productos'!$A$3:$GG$587,'0.Productos'!BV$1+1,0),"")</f>
        <v/>
      </c>
      <c r="AE108" s="133" t="str">
        <f>IF($A108&lt;&gt;0,VLOOKUP($A108,'0.Productos'!$A$3:$GG$587,'0.Productos'!BW$1+1,0),"")</f>
        <v/>
      </c>
      <c r="AF108" s="133" t="str">
        <f>IF($A108&lt;&gt;0,VLOOKUP($A108,'0.Productos'!$A$3:$GG$587,'0.Productos'!BX$1+1,0),"")</f>
        <v/>
      </c>
      <c r="AG108" s="133" t="str">
        <f>IF($A108&lt;&gt;0,VLOOKUP($A108,'0.Productos'!$A$3:$GG$587,'0.Productos'!BY$1+1,0),"")</f>
        <v/>
      </c>
      <c r="AH108" s="133" t="str">
        <f>IF($A108&lt;&gt;0,VLOOKUP($A108,'0.Productos'!$A$3:$GG$587,'0.Productos'!BZ$1+1,0),"")</f>
        <v/>
      </c>
      <c r="AI108" s="133" t="str">
        <f>IF($A108&lt;&gt;0,VLOOKUP($A108,'0.Productos'!$A$3:$GG$587,'0.Productos'!CA$1+1,0),"")</f>
        <v/>
      </c>
      <c r="AJ108" s="133" t="str">
        <f>IF($A108&lt;&gt;0,VLOOKUP($A108,'0.Productos'!$A$3:$GG$587,'0.Productos'!CB$1+1,0),"")</f>
        <v/>
      </c>
      <c r="AK108" s="133" t="str">
        <f>IF($A108&lt;&gt;0,VLOOKUP($A108,'0.Productos'!$A$3:$GG$587,'0.Productos'!CC$1+1,0),"")</f>
        <v/>
      </c>
      <c r="AL108" s="133" t="str">
        <f>IF($A108&lt;&gt;0,VLOOKUP($A108,'0.Productos'!$A$3:$GG$587,'0.Productos'!CD$1+1,0),"")</f>
        <v/>
      </c>
      <c r="AM108" s="133" t="str">
        <f>IF($A108&lt;&gt;0,VLOOKUP($A108,'0.Productos'!$A$3:$GG$587,'0.Productos'!CE$1+1,0),"")</f>
        <v/>
      </c>
      <c r="AN108" s="133" t="str">
        <f>IF($A108&lt;&gt;0,VLOOKUP($A108,'0.Productos'!$A$3:$GG$587,'0.Productos'!CF$1+1,0),"")</f>
        <v/>
      </c>
      <c r="AO108" s="133" t="str">
        <f>IF($A108&lt;&gt;0,VLOOKUP($A108,'0.Productos'!$A$3:$GG$587,'0.Productos'!CG$1+1,0),"")</f>
        <v/>
      </c>
      <c r="AP108" s="133" t="str">
        <f>IF($A108&lt;&gt;0,VLOOKUP($A108,'0.Productos'!$A$3:$GG$587,'0.Productos'!CH$1+1,0),"")</f>
        <v/>
      </c>
      <c r="AQ108" s="133" t="str">
        <f>IF($A108&lt;&gt;0,VLOOKUP($A108,'0.Productos'!$A$3:$GG$587,'0.Productos'!CI$1+1,0),"")</f>
        <v/>
      </c>
      <c r="AR108" s="133" t="str">
        <f>IF($A108&lt;&gt;0,VLOOKUP($A108,'0.Productos'!$A$3:$GG$587,'0.Productos'!CJ$1+1,0),"")</f>
        <v/>
      </c>
      <c r="AS108" s="133" t="str">
        <f>IF($A108&lt;&gt;0,VLOOKUP($A108,'0.Productos'!$A$3:$GG$587,'0.Productos'!CK$1+1,0),"")</f>
        <v/>
      </c>
      <c r="AT108" s="133" t="str">
        <f>IF($A108&lt;&gt;0,VLOOKUP($A108,'0.Productos'!$A$3:$GG$587,'0.Productos'!CL$1+1,0),"")</f>
        <v/>
      </c>
      <c r="AU108" s="133" t="str">
        <f>IF($A108&lt;&gt;0,VLOOKUP($A108,'0.Productos'!$A$3:$GG$587,'0.Productos'!CM$1+1,0),"")</f>
        <v/>
      </c>
      <c r="AV108" s="133" t="str">
        <f>IF($A108&lt;&gt;0,VLOOKUP($A108,'0.Productos'!$A$3:$GG$587,'0.Productos'!CN$1+1,0),"")</f>
        <v/>
      </c>
      <c r="AW108" s="133" t="str">
        <f>IF($A108&lt;&gt;0,VLOOKUP($A108,'0.Productos'!$A$3:$GG$587,'0.Productos'!CO$1+1,0),"")</f>
        <v/>
      </c>
      <c r="AX108" s="133" t="str">
        <f>IF($A108&lt;&gt;0,VLOOKUP($A108,'0.Productos'!$A$3:$GG$587,'0.Productos'!CP$1+1,0),"")</f>
        <v/>
      </c>
      <c r="AY108" s="133" t="str">
        <f>IF($A108&lt;&gt;0,VLOOKUP($A108,'0.Productos'!$A$3:$GG$587,'0.Productos'!CQ$1+1,0),"")</f>
        <v/>
      </c>
      <c r="AZ108" s="133" t="str">
        <f>IF($A108&lt;&gt;0,VLOOKUP($A108,'0.Productos'!$A$3:$GG$587,'0.Productos'!CR$1+1,0),"")</f>
        <v/>
      </c>
      <c r="BA108" s="133" t="str">
        <f>IF($A108&lt;&gt;0,VLOOKUP($A108,'0.Productos'!$A$3:$GG$587,'0.Productos'!CS$1+1,0),"")</f>
        <v/>
      </c>
      <c r="BB108" s="133" t="str">
        <f>IF($A108&lt;&gt;0,VLOOKUP($A108,'0.Productos'!$A$3:$GG$587,'0.Productos'!CT$1+1,0),"")</f>
        <v/>
      </c>
      <c r="BC108" s="133" t="str">
        <f>IF($A108&lt;&gt;0,VLOOKUP($A108,'0.Productos'!$A$3:$GG$587,'0.Productos'!CU$1+1,0),"")</f>
        <v/>
      </c>
      <c r="BD108" s="133" t="str">
        <f>IF($A108&lt;&gt;0,VLOOKUP($A108,'0.Productos'!$A$3:$GG$587,'0.Productos'!CV$1+1,0),"")</f>
        <v/>
      </c>
      <c r="BE108" s="133" t="str">
        <f>IF($A108&lt;&gt;0,VLOOKUP($A108,'0.Productos'!$A$3:$GG$587,'0.Productos'!CW$1+1,0),"")</f>
        <v/>
      </c>
      <c r="BF108" s="133" t="str">
        <f>IF($A108&lt;&gt;0,VLOOKUP($A108,'0.Productos'!$A$3:$GG$587,'0.Productos'!CX$1+1,0),"")</f>
        <v/>
      </c>
      <c r="BG108" s="133" t="str">
        <f>IF($A108&lt;&gt;0,VLOOKUP($A108,'0.Productos'!$A$3:$GG$587,'0.Productos'!CY$1+1,0),"")</f>
        <v/>
      </c>
      <c r="BH108" s="133" t="str">
        <f>IF($A108&lt;&gt;0,VLOOKUP($A108,'0.Productos'!$A$3:$GG$587,'0.Productos'!CZ$1+1,0),"")</f>
        <v/>
      </c>
      <c r="BI108" s="133" t="str">
        <f>IF($A108&lt;&gt;0,VLOOKUP($A108,'0.Productos'!$A$3:$GG$587,'0.Productos'!DA$1+1,0),"")</f>
        <v/>
      </c>
      <c r="BJ108" s="133" t="str">
        <f>IF($A108&lt;&gt;0,VLOOKUP($A108,'0.Productos'!$A$3:$GG$587,'0.Productos'!DB$1+1,0),"")</f>
        <v/>
      </c>
      <c r="BK108" s="133" t="str">
        <f>IF($A108&lt;&gt;0,VLOOKUP($A108,'0.Productos'!$A$3:$GG$587,'0.Productos'!DC$1+1,0),"")</f>
        <v/>
      </c>
      <c r="BL108" s="133" t="str">
        <f>IF($A108&lt;&gt;0,VLOOKUP($A108,'0.Productos'!$A$3:$GG$587,'0.Productos'!DD$1+1,0),"")</f>
        <v/>
      </c>
      <c r="BM108" s="133" t="str">
        <f>IF($A108&lt;&gt;0,VLOOKUP($A108,'0.Productos'!$A$3:$GG$587,'0.Productos'!DE$1+1,0),"")</f>
        <v/>
      </c>
      <c r="BN108" s="133" t="str">
        <f>IF($A108&lt;&gt;0,VLOOKUP($A108,'0.Productos'!$A$3:$GG$587,'0.Productos'!DF$1+1,0),"")</f>
        <v/>
      </c>
      <c r="BO108" s="133" t="str">
        <f>IF($A108&lt;&gt;0,VLOOKUP($A108,'0.Productos'!$A$3:$GG$587,'0.Productos'!DG$1+1,0),"")</f>
        <v/>
      </c>
      <c r="BP108" s="133" t="str">
        <f>IF($A108&lt;&gt;0,VLOOKUP($A108,'0.Productos'!$A$3:$GG$587,'0.Productos'!DH$1+1,0),"")</f>
        <v/>
      </c>
      <c r="BQ108" s="133" t="str">
        <f>IF($A108&lt;&gt;0,VLOOKUP($A108,'0.Productos'!$A$3:$GG$587,'0.Productos'!DI$1+1,0),"")</f>
        <v/>
      </c>
      <c r="BR108" s="133" t="str">
        <f>IF($A108&lt;&gt;0,VLOOKUP($A108,'0.Productos'!$A$3:$GG$587,'0.Productos'!DJ$1+1,0),"")</f>
        <v/>
      </c>
      <c r="BS108" s="133" t="str">
        <f>IF($A108&lt;&gt;0,VLOOKUP($A108,'0.Productos'!$A$3:$GG$587,'0.Productos'!DK$1+1,0),"")</f>
        <v/>
      </c>
      <c r="BT108" s="133" t="str">
        <f>IF($A108&lt;&gt;0,VLOOKUP($A108,'0.Productos'!$A$3:$GG$587,'0.Productos'!DL$1+1,0),"")</f>
        <v/>
      </c>
    </row>
    <row r="109" spans="1:72" x14ac:dyDescent="0.25">
      <c r="A109" s="17">
        <f>'0.Consolidado general'!A109</f>
        <v>0</v>
      </c>
      <c r="B109" s="133" t="str">
        <f>IF($A109&lt;&gt;0,VLOOKUP($A109,'0.Productos'!$A$3:$GG$587,'0.Productos'!AT$1+1,0),"")</f>
        <v/>
      </c>
      <c r="C109" s="133" t="str">
        <f>IF($A109&lt;&gt;0,VLOOKUP($A109,'0.Productos'!$A$3:$GG$587,'0.Productos'!AU$1+1,0),"")</f>
        <v/>
      </c>
      <c r="D109" s="133" t="str">
        <f>IF($A109&lt;&gt;0,VLOOKUP($A109,'0.Productos'!$A$3:$GG$587,'0.Productos'!AV$1+1,0),"")</f>
        <v/>
      </c>
      <c r="E109" s="133" t="str">
        <f>IF($A109&lt;&gt;0,VLOOKUP($A109,'0.Productos'!$A$3:$GG$587,'0.Productos'!AW$1+1,0),"")</f>
        <v/>
      </c>
      <c r="F109" s="133" t="str">
        <f>IF($A109&lt;&gt;0,VLOOKUP($A109,'0.Productos'!$A$3:$GG$587,'0.Productos'!AX$1+1,0),"")</f>
        <v/>
      </c>
      <c r="G109" s="133" t="str">
        <f>IF($A109&lt;&gt;0,VLOOKUP($A109,'0.Productos'!$A$3:$GG$587,'0.Productos'!AY$1+1,0),"")</f>
        <v/>
      </c>
      <c r="H109" s="133" t="str">
        <f>IF($A109&lt;&gt;0,VLOOKUP($A109,'0.Productos'!$A$3:$GG$587,'0.Productos'!AZ$1+1,0),"")</f>
        <v/>
      </c>
      <c r="I109" s="133" t="str">
        <f>IF($A109&lt;&gt;0,VLOOKUP($A109,'0.Productos'!$A$3:$GG$587,'0.Productos'!BA$1+1,0),"")</f>
        <v/>
      </c>
      <c r="J109" s="133" t="str">
        <f>IF($A109&lt;&gt;0,VLOOKUP($A109,'0.Productos'!$A$3:$GG$587,'0.Productos'!BB$1+1,0),"")</f>
        <v/>
      </c>
      <c r="K109" s="133" t="str">
        <f>IF($A109&lt;&gt;0,VLOOKUP($A109,'0.Productos'!$A$3:$GG$587,'0.Productos'!BC$1+1,0),"")</f>
        <v/>
      </c>
      <c r="L109" s="133" t="str">
        <f>IF($A109&lt;&gt;0,VLOOKUP($A109,'0.Productos'!$A$3:$GG$587,'0.Productos'!BD$1+1,0),"")</f>
        <v/>
      </c>
      <c r="M109" s="133" t="str">
        <f>IF($A109&lt;&gt;0,VLOOKUP($A109,'0.Productos'!$A$3:$GG$587,'0.Productos'!BE$1+1,0),"")</f>
        <v/>
      </c>
      <c r="N109" s="133" t="str">
        <f>IF($A109&lt;&gt;0,VLOOKUP($A109,'0.Productos'!$A$3:$GG$587,'0.Productos'!BF$1+1,0),"")</f>
        <v/>
      </c>
      <c r="O109" s="133" t="str">
        <f>IF($A109&lt;&gt;0,VLOOKUP($A109,'0.Productos'!$A$3:$GG$587,'0.Productos'!BG$1+1,0),"")</f>
        <v/>
      </c>
      <c r="P109" s="133" t="str">
        <f>IF($A109&lt;&gt;0,VLOOKUP($A109,'0.Productos'!$A$3:$GG$587,'0.Productos'!BH$1+1,0),"")</f>
        <v/>
      </c>
      <c r="Q109" s="133" t="str">
        <f>IF($A109&lt;&gt;0,VLOOKUP($A109,'0.Productos'!$A$3:$GG$587,'0.Productos'!BI$1+1,0),"")</f>
        <v/>
      </c>
      <c r="R109" s="133" t="str">
        <f>IF($A109&lt;&gt;0,VLOOKUP($A109,'0.Productos'!$A$3:$GG$587,'0.Productos'!BJ$1+1,0),"")</f>
        <v/>
      </c>
      <c r="S109" s="133" t="str">
        <f>IF($A109&lt;&gt;0,VLOOKUP($A109,'0.Productos'!$A$3:$GG$587,'0.Productos'!BK$1+1,0),"")</f>
        <v/>
      </c>
      <c r="T109" s="133" t="str">
        <f>IF($A109&lt;&gt;0,VLOOKUP($A109,'0.Productos'!$A$3:$GG$587,'0.Productos'!BL$1+1,0),"")</f>
        <v/>
      </c>
      <c r="U109" s="133" t="str">
        <f>IF($A109&lt;&gt;0,VLOOKUP($A109,'0.Productos'!$A$3:$GG$587,'0.Productos'!BM$1+1,0),"")</f>
        <v/>
      </c>
      <c r="V109" s="133" t="str">
        <f>IF($A109&lt;&gt;0,VLOOKUP($A109,'0.Productos'!$A$3:$GG$587,'0.Productos'!BN$1+1,0),"")</f>
        <v/>
      </c>
      <c r="W109" s="133" t="str">
        <f>IF($A109&lt;&gt;0,VLOOKUP($A109,'0.Productos'!$A$3:$GG$587,'0.Productos'!BO$1+1,0),"")</f>
        <v/>
      </c>
      <c r="X109" s="133" t="str">
        <f>IF($A109&lt;&gt;0,VLOOKUP($A109,'0.Productos'!$A$3:$GG$587,'0.Productos'!BP$1+1,0),"")</f>
        <v/>
      </c>
      <c r="Y109" s="133" t="str">
        <f>IF($A109&lt;&gt;0,VLOOKUP($A109,'0.Productos'!$A$3:$GG$587,'0.Productos'!BQ$1+1,0),"")</f>
        <v/>
      </c>
      <c r="Z109" s="133" t="str">
        <f>IF($A109&lt;&gt;0,VLOOKUP($A109,'0.Productos'!$A$3:$GG$587,'0.Productos'!BR$1+1,0),"")</f>
        <v/>
      </c>
      <c r="AA109" s="133" t="str">
        <f>IF($A109&lt;&gt;0,VLOOKUP($A109,'0.Productos'!$A$3:$GG$587,'0.Productos'!BS$1+1,0),"")</f>
        <v/>
      </c>
      <c r="AB109" s="133" t="str">
        <f>IF($A109&lt;&gt;0,VLOOKUP($A109,'0.Productos'!$A$3:$GG$587,'0.Productos'!BT$1+1,0),"")</f>
        <v/>
      </c>
      <c r="AC109" s="133" t="str">
        <f>IF($A109&lt;&gt;0,VLOOKUP($A109,'0.Productos'!$A$3:$GG$587,'0.Productos'!BU$1+1,0),"")</f>
        <v/>
      </c>
      <c r="AD109" s="133" t="str">
        <f>IF($A109&lt;&gt;0,VLOOKUP($A109,'0.Productos'!$A$3:$GG$587,'0.Productos'!BV$1+1,0),"")</f>
        <v/>
      </c>
      <c r="AE109" s="133" t="str">
        <f>IF($A109&lt;&gt;0,VLOOKUP($A109,'0.Productos'!$A$3:$GG$587,'0.Productos'!BW$1+1,0),"")</f>
        <v/>
      </c>
      <c r="AF109" s="133" t="str">
        <f>IF($A109&lt;&gt;0,VLOOKUP($A109,'0.Productos'!$A$3:$GG$587,'0.Productos'!BX$1+1,0),"")</f>
        <v/>
      </c>
      <c r="AG109" s="133" t="str">
        <f>IF($A109&lt;&gt;0,VLOOKUP($A109,'0.Productos'!$A$3:$GG$587,'0.Productos'!BY$1+1,0),"")</f>
        <v/>
      </c>
      <c r="AH109" s="133" t="str">
        <f>IF($A109&lt;&gt;0,VLOOKUP($A109,'0.Productos'!$A$3:$GG$587,'0.Productos'!BZ$1+1,0),"")</f>
        <v/>
      </c>
      <c r="AI109" s="133" t="str">
        <f>IF($A109&lt;&gt;0,VLOOKUP($A109,'0.Productos'!$A$3:$GG$587,'0.Productos'!CA$1+1,0),"")</f>
        <v/>
      </c>
      <c r="AJ109" s="133" t="str">
        <f>IF($A109&lt;&gt;0,VLOOKUP($A109,'0.Productos'!$A$3:$GG$587,'0.Productos'!CB$1+1,0),"")</f>
        <v/>
      </c>
      <c r="AK109" s="133" t="str">
        <f>IF($A109&lt;&gt;0,VLOOKUP($A109,'0.Productos'!$A$3:$GG$587,'0.Productos'!CC$1+1,0),"")</f>
        <v/>
      </c>
      <c r="AL109" s="133" t="str">
        <f>IF($A109&lt;&gt;0,VLOOKUP($A109,'0.Productos'!$A$3:$GG$587,'0.Productos'!CD$1+1,0),"")</f>
        <v/>
      </c>
      <c r="AM109" s="133" t="str">
        <f>IF($A109&lt;&gt;0,VLOOKUP($A109,'0.Productos'!$A$3:$GG$587,'0.Productos'!CE$1+1,0),"")</f>
        <v/>
      </c>
      <c r="AN109" s="133" t="str">
        <f>IF($A109&lt;&gt;0,VLOOKUP($A109,'0.Productos'!$A$3:$GG$587,'0.Productos'!CF$1+1,0),"")</f>
        <v/>
      </c>
      <c r="AO109" s="133" t="str">
        <f>IF($A109&lt;&gt;0,VLOOKUP($A109,'0.Productos'!$A$3:$GG$587,'0.Productos'!CG$1+1,0),"")</f>
        <v/>
      </c>
      <c r="AP109" s="133" t="str">
        <f>IF($A109&lt;&gt;0,VLOOKUP($A109,'0.Productos'!$A$3:$GG$587,'0.Productos'!CH$1+1,0),"")</f>
        <v/>
      </c>
      <c r="AQ109" s="133" t="str">
        <f>IF($A109&lt;&gt;0,VLOOKUP($A109,'0.Productos'!$A$3:$GG$587,'0.Productos'!CI$1+1,0),"")</f>
        <v/>
      </c>
      <c r="AR109" s="133" t="str">
        <f>IF($A109&lt;&gt;0,VLOOKUP($A109,'0.Productos'!$A$3:$GG$587,'0.Productos'!CJ$1+1,0),"")</f>
        <v/>
      </c>
      <c r="AS109" s="133" t="str">
        <f>IF($A109&lt;&gt;0,VLOOKUP($A109,'0.Productos'!$A$3:$GG$587,'0.Productos'!CK$1+1,0),"")</f>
        <v/>
      </c>
      <c r="AT109" s="133" t="str">
        <f>IF($A109&lt;&gt;0,VLOOKUP($A109,'0.Productos'!$A$3:$GG$587,'0.Productos'!CL$1+1,0),"")</f>
        <v/>
      </c>
      <c r="AU109" s="133" t="str">
        <f>IF($A109&lt;&gt;0,VLOOKUP($A109,'0.Productos'!$A$3:$GG$587,'0.Productos'!CM$1+1,0),"")</f>
        <v/>
      </c>
      <c r="AV109" s="133" t="str">
        <f>IF($A109&lt;&gt;0,VLOOKUP($A109,'0.Productos'!$A$3:$GG$587,'0.Productos'!CN$1+1,0),"")</f>
        <v/>
      </c>
      <c r="AW109" s="133" t="str">
        <f>IF($A109&lt;&gt;0,VLOOKUP($A109,'0.Productos'!$A$3:$GG$587,'0.Productos'!CO$1+1,0),"")</f>
        <v/>
      </c>
      <c r="AX109" s="133" t="str">
        <f>IF($A109&lt;&gt;0,VLOOKUP($A109,'0.Productos'!$A$3:$GG$587,'0.Productos'!CP$1+1,0),"")</f>
        <v/>
      </c>
      <c r="AY109" s="133" t="str">
        <f>IF($A109&lt;&gt;0,VLOOKUP($A109,'0.Productos'!$A$3:$GG$587,'0.Productos'!CQ$1+1,0),"")</f>
        <v/>
      </c>
      <c r="AZ109" s="133" t="str">
        <f>IF($A109&lt;&gt;0,VLOOKUP($A109,'0.Productos'!$A$3:$GG$587,'0.Productos'!CR$1+1,0),"")</f>
        <v/>
      </c>
      <c r="BA109" s="133" t="str">
        <f>IF($A109&lt;&gt;0,VLOOKUP($A109,'0.Productos'!$A$3:$GG$587,'0.Productos'!CS$1+1,0),"")</f>
        <v/>
      </c>
      <c r="BB109" s="133" t="str">
        <f>IF($A109&lt;&gt;0,VLOOKUP($A109,'0.Productos'!$A$3:$GG$587,'0.Productos'!CT$1+1,0),"")</f>
        <v/>
      </c>
      <c r="BC109" s="133" t="str">
        <f>IF($A109&lt;&gt;0,VLOOKUP($A109,'0.Productos'!$A$3:$GG$587,'0.Productos'!CU$1+1,0),"")</f>
        <v/>
      </c>
      <c r="BD109" s="133" t="str">
        <f>IF($A109&lt;&gt;0,VLOOKUP($A109,'0.Productos'!$A$3:$GG$587,'0.Productos'!CV$1+1,0),"")</f>
        <v/>
      </c>
      <c r="BE109" s="133" t="str">
        <f>IF($A109&lt;&gt;0,VLOOKUP($A109,'0.Productos'!$A$3:$GG$587,'0.Productos'!CW$1+1,0),"")</f>
        <v/>
      </c>
      <c r="BF109" s="133" t="str">
        <f>IF($A109&lt;&gt;0,VLOOKUP($A109,'0.Productos'!$A$3:$GG$587,'0.Productos'!CX$1+1,0),"")</f>
        <v/>
      </c>
      <c r="BG109" s="133" t="str">
        <f>IF($A109&lt;&gt;0,VLOOKUP($A109,'0.Productos'!$A$3:$GG$587,'0.Productos'!CY$1+1,0),"")</f>
        <v/>
      </c>
      <c r="BH109" s="133" t="str">
        <f>IF($A109&lt;&gt;0,VLOOKUP($A109,'0.Productos'!$A$3:$GG$587,'0.Productos'!CZ$1+1,0),"")</f>
        <v/>
      </c>
      <c r="BI109" s="133" t="str">
        <f>IF($A109&lt;&gt;0,VLOOKUP($A109,'0.Productos'!$A$3:$GG$587,'0.Productos'!DA$1+1,0),"")</f>
        <v/>
      </c>
      <c r="BJ109" s="133" t="str">
        <f>IF($A109&lt;&gt;0,VLOOKUP($A109,'0.Productos'!$A$3:$GG$587,'0.Productos'!DB$1+1,0),"")</f>
        <v/>
      </c>
      <c r="BK109" s="133" t="str">
        <f>IF($A109&lt;&gt;0,VLOOKUP($A109,'0.Productos'!$A$3:$GG$587,'0.Productos'!DC$1+1,0),"")</f>
        <v/>
      </c>
      <c r="BL109" s="133" t="str">
        <f>IF($A109&lt;&gt;0,VLOOKUP($A109,'0.Productos'!$A$3:$GG$587,'0.Productos'!DD$1+1,0),"")</f>
        <v/>
      </c>
      <c r="BM109" s="133" t="str">
        <f>IF($A109&lt;&gt;0,VLOOKUP($A109,'0.Productos'!$A$3:$GG$587,'0.Productos'!DE$1+1,0),"")</f>
        <v/>
      </c>
      <c r="BN109" s="133" t="str">
        <f>IF($A109&lt;&gt;0,VLOOKUP($A109,'0.Productos'!$A$3:$GG$587,'0.Productos'!DF$1+1,0),"")</f>
        <v/>
      </c>
      <c r="BO109" s="133" t="str">
        <f>IF($A109&lt;&gt;0,VLOOKUP($A109,'0.Productos'!$A$3:$GG$587,'0.Productos'!DG$1+1,0),"")</f>
        <v/>
      </c>
      <c r="BP109" s="133" t="str">
        <f>IF($A109&lt;&gt;0,VLOOKUP($A109,'0.Productos'!$A$3:$GG$587,'0.Productos'!DH$1+1,0),"")</f>
        <v/>
      </c>
      <c r="BQ109" s="133" t="str">
        <f>IF($A109&lt;&gt;0,VLOOKUP($A109,'0.Productos'!$A$3:$GG$587,'0.Productos'!DI$1+1,0),"")</f>
        <v/>
      </c>
      <c r="BR109" s="133" t="str">
        <f>IF($A109&lt;&gt;0,VLOOKUP($A109,'0.Productos'!$A$3:$GG$587,'0.Productos'!DJ$1+1,0),"")</f>
        <v/>
      </c>
      <c r="BS109" s="133" t="str">
        <f>IF($A109&lt;&gt;0,VLOOKUP($A109,'0.Productos'!$A$3:$GG$587,'0.Productos'!DK$1+1,0),"")</f>
        <v/>
      </c>
      <c r="BT109" s="133" t="str">
        <f>IF($A109&lt;&gt;0,VLOOKUP($A109,'0.Productos'!$A$3:$GG$587,'0.Productos'!DL$1+1,0),"")</f>
        <v/>
      </c>
    </row>
    <row r="110" spans="1:72" x14ac:dyDescent="0.25">
      <c r="A110" s="17">
        <f>'0.Consolidado general'!A110</f>
        <v>0</v>
      </c>
      <c r="B110" s="133" t="str">
        <f>IF($A110&lt;&gt;0,VLOOKUP($A110,'0.Productos'!$A$3:$GG$587,'0.Productos'!AT$1+1,0),"")</f>
        <v/>
      </c>
      <c r="C110" s="133" t="str">
        <f>IF($A110&lt;&gt;0,VLOOKUP($A110,'0.Productos'!$A$3:$GG$587,'0.Productos'!AU$1+1,0),"")</f>
        <v/>
      </c>
      <c r="D110" s="133" t="str">
        <f>IF($A110&lt;&gt;0,VLOOKUP($A110,'0.Productos'!$A$3:$GG$587,'0.Productos'!AV$1+1,0),"")</f>
        <v/>
      </c>
      <c r="E110" s="133" t="str">
        <f>IF($A110&lt;&gt;0,VLOOKUP($A110,'0.Productos'!$A$3:$GG$587,'0.Productos'!AW$1+1,0),"")</f>
        <v/>
      </c>
      <c r="F110" s="133" t="str">
        <f>IF($A110&lt;&gt;0,VLOOKUP($A110,'0.Productos'!$A$3:$GG$587,'0.Productos'!AX$1+1,0),"")</f>
        <v/>
      </c>
      <c r="G110" s="133" t="str">
        <f>IF($A110&lt;&gt;0,VLOOKUP($A110,'0.Productos'!$A$3:$GG$587,'0.Productos'!AY$1+1,0),"")</f>
        <v/>
      </c>
      <c r="H110" s="133" t="str">
        <f>IF($A110&lt;&gt;0,VLOOKUP($A110,'0.Productos'!$A$3:$GG$587,'0.Productos'!AZ$1+1,0),"")</f>
        <v/>
      </c>
      <c r="I110" s="133" t="str">
        <f>IF($A110&lt;&gt;0,VLOOKUP($A110,'0.Productos'!$A$3:$GG$587,'0.Productos'!BA$1+1,0),"")</f>
        <v/>
      </c>
      <c r="J110" s="133" t="str">
        <f>IF($A110&lt;&gt;0,VLOOKUP($A110,'0.Productos'!$A$3:$GG$587,'0.Productos'!BB$1+1,0),"")</f>
        <v/>
      </c>
      <c r="K110" s="133" t="str">
        <f>IF($A110&lt;&gt;0,VLOOKUP($A110,'0.Productos'!$A$3:$GG$587,'0.Productos'!BC$1+1,0),"")</f>
        <v/>
      </c>
      <c r="L110" s="133" t="str">
        <f>IF($A110&lt;&gt;0,VLOOKUP($A110,'0.Productos'!$A$3:$GG$587,'0.Productos'!BD$1+1,0),"")</f>
        <v/>
      </c>
      <c r="M110" s="133" t="str">
        <f>IF($A110&lt;&gt;0,VLOOKUP($A110,'0.Productos'!$A$3:$GG$587,'0.Productos'!BE$1+1,0),"")</f>
        <v/>
      </c>
      <c r="N110" s="133" t="str">
        <f>IF($A110&lt;&gt;0,VLOOKUP($A110,'0.Productos'!$A$3:$GG$587,'0.Productos'!BF$1+1,0),"")</f>
        <v/>
      </c>
      <c r="O110" s="133" t="str">
        <f>IF($A110&lt;&gt;0,VLOOKUP($A110,'0.Productos'!$A$3:$GG$587,'0.Productos'!BG$1+1,0),"")</f>
        <v/>
      </c>
      <c r="P110" s="133" t="str">
        <f>IF($A110&lt;&gt;0,VLOOKUP($A110,'0.Productos'!$A$3:$GG$587,'0.Productos'!BH$1+1,0),"")</f>
        <v/>
      </c>
      <c r="Q110" s="133" t="str">
        <f>IF($A110&lt;&gt;0,VLOOKUP($A110,'0.Productos'!$A$3:$GG$587,'0.Productos'!BI$1+1,0),"")</f>
        <v/>
      </c>
      <c r="R110" s="133" t="str">
        <f>IF($A110&lt;&gt;0,VLOOKUP($A110,'0.Productos'!$A$3:$GG$587,'0.Productos'!BJ$1+1,0),"")</f>
        <v/>
      </c>
      <c r="S110" s="133" t="str">
        <f>IF($A110&lt;&gt;0,VLOOKUP($A110,'0.Productos'!$A$3:$GG$587,'0.Productos'!BK$1+1,0),"")</f>
        <v/>
      </c>
      <c r="T110" s="133" t="str">
        <f>IF($A110&lt;&gt;0,VLOOKUP($A110,'0.Productos'!$A$3:$GG$587,'0.Productos'!BL$1+1,0),"")</f>
        <v/>
      </c>
      <c r="U110" s="133" t="str">
        <f>IF($A110&lt;&gt;0,VLOOKUP($A110,'0.Productos'!$A$3:$GG$587,'0.Productos'!BM$1+1,0),"")</f>
        <v/>
      </c>
      <c r="V110" s="133" t="str">
        <f>IF($A110&lt;&gt;0,VLOOKUP($A110,'0.Productos'!$A$3:$GG$587,'0.Productos'!BN$1+1,0),"")</f>
        <v/>
      </c>
      <c r="W110" s="133" t="str">
        <f>IF($A110&lt;&gt;0,VLOOKUP($A110,'0.Productos'!$A$3:$GG$587,'0.Productos'!BO$1+1,0),"")</f>
        <v/>
      </c>
      <c r="X110" s="133" t="str">
        <f>IF($A110&lt;&gt;0,VLOOKUP($A110,'0.Productos'!$A$3:$GG$587,'0.Productos'!BP$1+1,0),"")</f>
        <v/>
      </c>
      <c r="Y110" s="133" t="str">
        <f>IF($A110&lt;&gt;0,VLOOKUP($A110,'0.Productos'!$A$3:$GG$587,'0.Productos'!BQ$1+1,0),"")</f>
        <v/>
      </c>
      <c r="Z110" s="133" t="str">
        <f>IF($A110&lt;&gt;0,VLOOKUP($A110,'0.Productos'!$A$3:$GG$587,'0.Productos'!BR$1+1,0),"")</f>
        <v/>
      </c>
      <c r="AA110" s="133" t="str">
        <f>IF($A110&lt;&gt;0,VLOOKUP($A110,'0.Productos'!$A$3:$GG$587,'0.Productos'!BS$1+1,0),"")</f>
        <v/>
      </c>
      <c r="AB110" s="133" t="str">
        <f>IF($A110&lt;&gt;0,VLOOKUP($A110,'0.Productos'!$A$3:$GG$587,'0.Productos'!BT$1+1,0),"")</f>
        <v/>
      </c>
      <c r="AC110" s="133" t="str">
        <f>IF($A110&lt;&gt;0,VLOOKUP($A110,'0.Productos'!$A$3:$GG$587,'0.Productos'!BU$1+1,0),"")</f>
        <v/>
      </c>
      <c r="AD110" s="133" t="str">
        <f>IF($A110&lt;&gt;0,VLOOKUP($A110,'0.Productos'!$A$3:$GG$587,'0.Productos'!BV$1+1,0),"")</f>
        <v/>
      </c>
      <c r="AE110" s="133" t="str">
        <f>IF($A110&lt;&gt;0,VLOOKUP($A110,'0.Productos'!$A$3:$GG$587,'0.Productos'!BW$1+1,0),"")</f>
        <v/>
      </c>
      <c r="AF110" s="133" t="str">
        <f>IF($A110&lt;&gt;0,VLOOKUP($A110,'0.Productos'!$A$3:$GG$587,'0.Productos'!BX$1+1,0),"")</f>
        <v/>
      </c>
      <c r="AG110" s="133" t="str">
        <f>IF($A110&lt;&gt;0,VLOOKUP($A110,'0.Productos'!$A$3:$GG$587,'0.Productos'!BY$1+1,0),"")</f>
        <v/>
      </c>
      <c r="AH110" s="133" t="str">
        <f>IF($A110&lt;&gt;0,VLOOKUP($A110,'0.Productos'!$A$3:$GG$587,'0.Productos'!BZ$1+1,0),"")</f>
        <v/>
      </c>
      <c r="AI110" s="133" t="str">
        <f>IF($A110&lt;&gt;0,VLOOKUP($A110,'0.Productos'!$A$3:$GG$587,'0.Productos'!CA$1+1,0),"")</f>
        <v/>
      </c>
      <c r="AJ110" s="133" t="str">
        <f>IF($A110&lt;&gt;0,VLOOKUP($A110,'0.Productos'!$A$3:$GG$587,'0.Productos'!CB$1+1,0),"")</f>
        <v/>
      </c>
      <c r="AK110" s="133" t="str">
        <f>IF($A110&lt;&gt;0,VLOOKUP($A110,'0.Productos'!$A$3:$GG$587,'0.Productos'!CC$1+1,0),"")</f>
        <v/>
      </c>
      <c r="AL110" s="133" t="str">
        <f>IF($A110&lt;&gt;0,VLOOKUP($A110,'0.Productos'!$A$3:$GG$587,'0.Productos'!CD$1+1,0),"")</f>
        <v/>
      </c>
      <c r="AM110" s="133" t="str">
        <f>IF($A110&lt;&gt;0,VLOOKUP($A110,'0.Productos'!$A$3:$GG$587,'0.Productos'!CE$1+1,0),"")</f>
        <v/>
      </c>
      <c r="AN110" s="133" t="str">
        <f>IF($A110&lt;&gt;0,VLOOKUP($A110,'0.Productos'!$A$3:$GG$587,'0.Productos'!CF$1+1,0),"")</f>
        <v/>
      </c>
      <c r="AO110" s="133" t="str">
        <f>IF($A110&lt;&gt;0,VLOOKUP($A110,'0.Productos'!$A$3:$GG$587,'0.Productos'!CG$1+1,0),"")</f>
        <v/>
      </c>
      <c r="AP110" s="133" t="str">
        <f>IF($A110&lt;&gt;0,VLOOKUP($A110,'0.Productos'!$A$3:$GG$587,'0.Productos'!CH$1+1,0),"")</f>
        <v/>
      </c>
      <c r="AQ110" s="133" t="str">
        <f>IF($A110&lt;&gt;0,VLOOKUP($A110,'0.Productos'!$A$3:$GG$587,'0.Productos'!CI$1+1,0),"")</f>
        <v/>
      </c>
      <c r="AR110" s="133" t="str">
        <f>IF($A110&lt;&gt;0,VLOOKUP($A110,'0.Productos'!$A$3:$GG$587,'0.Productos'!CJ$1+1,0),"")</f>
        <v/>
      </c>
      <c r="AS110" s="133" t="str">
        <f>IF($A110&lt;&gt;0,VLOOKUP($A110,'0.Productos'!$A$3:$GG$587,'0.Productos'!CK$1+1,0),"")</f>
        <v/>
      </c>
      <c r="AT110" s="133" t="str">
        <f>IF($A110&lt;&gt;0,VLOOKUP($A110,'0.Productos'!$A$3:$GG$587,'0.Productos'!CL$1+1,0),"")</f>
        <v/>
      </c>
      <c r="AU110" s="133" t="str">
        <f>IF($A110&lt;&gt;0,VLOOKUP($A110,'0.Productos'!$A$3:$GG$587,'0.Productos'!CM$1+1,0),"")</f>
        <v/>
      </c>
      <c r="AV110" s="133" t="str">
        <f>IF($A110&lt;&gt;0,VLOOKUP($A110,'0.Productos'!$A$3:$GG$587,'0.Productos'!CN$1+1,0),"")</f>
        <v/>
      </c>
      <c r="AW110" s="133" t="str">
        <f>IF($A110&lt;&gt;0,VLOOKUP($A110,'0.Productos'!$A$3:$GG$587,'0.Productos'!CO$1+1,0),"")</f>
        <v/>
      </c>
      <c r="AX110" s="133" t="str">
        <f>IF($A110&lt;&gt;0,VLOOKUP($A110,'0.Productos'!$A$3:$GG$587,'0.Productos'!CP$1+1,0),"")</f>
        <v/>
      </c>
      <c r="AY110" s="133" t="str">
        <f>IF($A110&lt;&gt;0,VLOOKUP($A110,'0.Productos'!$A$3:$GG$587,'0.Productos'!CQ$1+1,0),"")</f>
        <v/>
      </c>
      <c r="AZ110" s="133" t="str">
        <f>IF($A110&lt;&gt;0,VLOOKUP($A110,'0.Productos'!$A$3:$GG$587,'0.Productos'!CR$1+1,0),"")</f>
        <v/>
      </c>
      <c r="BA110" s="133" t="str">
        <f>IF($A110&lt;&gt;0,VLOOKUP($A110,'0.Productos'!$A$3:$GG$587,'0.Productos'!CS$1+1,0),"")</f>
        <v/>
      </c>
      <c r="BB110" s="133" t="str">
        <f>IF($A110&lt;&gt;0,VLOOKUP($A110,'0.Productos'!$A$3:$GG$587,'0.Productos'!CT$1+1,0),"")</f>
        <v/>
      </c>
      <c r="BC110" s="133" t="str">
        <f>IF($A110&lt;&gt;0,VLOOKUP($A110,'0.Productos'!$A$3:$GG$587,'0.Productos'!CU$1+1,0),"")</f>
        <v/>
      </c>
      <c r="BD110" s="133" t="str">
        <f>IF($A110&lt;&gt;0,VLOOKUP($A110,'0.Productos'!$A$3:$GG$587,'0.Productos'!CV$1+1,0),"")</f>
        <v/>
      </c>
      <c r="BE110" s="133" t="str">
        <f>IF($A110&lt;&gt;0,VLOOKUP($A110,'0.Productos'!$A$3:$GG$587,'0.Productos'!CW$1+1,0),"")</f>
        <v/>
      </c>
      <c r="BF110" s="133" t="str">
        <f>IF($A110&lt;&gt;0,VLOOKUP($A110,'0.Productos'!$A$3:$GG$587,'0.Productos'!CX$1+1,0),"")</f>
        <v/>
      </c>
      <c r="BG110" s="133" t="str">
        <f>IF($A110&lt;&gt;0,VLOOKUP($A110,'0.Productos'!$A$3:$GG$587,'0.Productos'!CY$1+1,0),"")</f>
        <v/>
      </c>
      <c r="BH110" s="133" t="str">
        <f>IF($A110&lt;&gt;0,VLOOKUP($A110,'0.Productos'!$A$3:$GG$587,'0.Productos'!CZ$1+1,0),"")</f>
        <v/>
      </c>
      <c r="BI110" s="133" t="str">
        <f>IF($A110&lt;&gt;0,VLOOKUP($A110,'0.Productos'!$A$3:$GG$587,'0.Productos'!DA$1+1,0),"")</f>
        <v/>
      </c>
      <c r="BJ110" s="133" t="str">
        <f>IF($A110&lt;&gt;0,VLOOKUP($A110,'0.Productos'!$A$3:$GG$587,'0.Productos'!DB$1+1,0),"")</f>
        <v/>
      </c>
      <c r="BK110" s="133" t="str">
        <f>IF($A110&lt;&gt;0,VLOOKUP($A110,'0.Productos'!$A$3:$GG$587,'0.Productos'!DC$1+1,0),"")</f>
        <v/>
      </c>
      <c r="BL110" s="133" t="str">
        <f>IF($A110&lt;&gt;0,VLOOKUP($A110,'0.Productos'!$A$3:$GG$587,'0.Productos'!DD$1+1,0),"")</f>
        <v/>
      </c>
      <c r="BM110" s="133" t="str">
        <f>IF($A110&lt;&gt;0,VLOOKUP($A110,'0.Productos'!$A$3:$GG$587,'0.Productos'!DE$1+1,0),"")</f>
        <v/>
      </c>
      <c r="BN110" s="133" t="str">
        <f>IF($A110&lt;&gt;0,VLOOKUP($A110,'0.Productos'!$A$3:$GG$587,'0.Productos'!DF$1+1,0),"")</f>
        <v/>
      </c>
      <c r="BO110" s="133" t="str">
        <f>IF($A110&lt;&gt;0,VLOOKUP($A110,'0.Productos'!$A$3:$GG$587,'0.Productos'!DG$1+1,0),"")</f>
        <v/>
      </c>
      <c r="BP110" s="133" t="str">
        <f>IF($A110&lt;&gt;0,VLOOKUP($A110,'0.Productos'!$A$3:$GG$587,'0.Productos'!DH$1+1,0),"")</f>
        <v/>
      </c>
      <c r="BQ110" s="133" t="str">
        <f>IF($A110&lt;&gt;0,VLOOKUP($A110,'0.Productos'!$A$3:$GG$587,'0.Productos'!DI$1+1,0),"")</f>
        <v/>
      </c>
      <c r="BR110" s="133" t="str">
        <f>IF($A110&lt;&gt;0,VLOOKUP($A110,'0.Productos'!$A$3:$GG$587,'0.Productos'!DJ$1+1,0),"")</f>
        <v/>
      </c>
      <c r="BS110" s="133" t="str">
        <f>IF($A110&lt;&gt;0,VLOOKUP($A110,'0.Productos'!$A$3:$GG$587,'0.Productos'!DK$1+1,0),"")</f>
        <v/>
      </c>
      <c r="BT110" s="133" t="str">
        <f>IF($A110&lt;&gt;0,VLOOKUP($A110,'0.Productos'!$A$3:$GG$587,'0.Productos'!DL$1+1,0),"")</f>
        <v/>
      </c>
    </row>
    <row r="111" spans="1:72" x14ac:dyDescent="0.25">
      <c r="A111" s="17">
        <f>'0.Consolidado general'!A111</f>
        <v>0</v>
      </c>
      <c r="B111" s="133" t="str">
        <f>IF($A111&lt;&gt;0,VLOOKUP($A111,'0.Productos'!$A$3:$GG$587,'0.Productos'!AT$1+1,0),"")</f>
        <v/>
      </c>
      <c r="C111" s="133" t="str">
        <f>IF($A111&lt;&gt;0,VLOOKUP($A111,'0.Productos'!$A$3:$GG$587,'0.Productos'!AU$1+1,0),"")</f>
        <v/>
      </c>
      <c r="D111" s="133" t="str">
        <f>IF($A111&lt;&gt;0,VLOOKUP($A111,'0.Productos'!$A$3:$GG$587,'0.Productos'!AV$1+1,0),"")</f>
        <v/>
      </c>
      <c r="E111" s="133" t="str">
        <f>IF($A111&lt;&gt;0,VLOOKUP($A111,'0.Productos'!$A$3:$GG$587,'0.Productos'!AW$1+1,0),"")</f>
        <v/>
      </c>
      <c r="F111" s="133" t="str">
        <f>IF($A111&lt;&gt;0,VLOOKUP($A111,'0.Productos'!$A$3:$GG$587,'0.Productos'!AX$1+1,0),"")</f>
        <v/>
      </c>
      <c r="G111" s="133" t="str">
        <f>IF($A111&lt;&gt;0,VLOOKUP($A111,'0.Productos'!$A$3:$GG$587,'0.Productos'!AY$1+1,0),"")</f>
        <v/>
      </c>
      <c r="H111" s="133" t="str">
        <f>IF($A111&lt;&gt;0,VLOOKUP($A111,'0.Productos'!$A$3:$GG$587,'0.Productos'!AZ$1+1,0),"")</f>
        <v/>
      </c>
      <c r="I111" s="133" t="str">
        <f>IF($A111&lt;&gt;0,VLOOKUP($A111,'0.Productos'!$A$3:$GG$587,'0.Productos'!BA$1+1,0),"")</f>
        <v/>
      </c>
      <c r="J111" s="133" t="str">
        <f>IF($A111&lt;&gt;0,VLOOKUP($A111,'0.Productos'!$A$3:$GG$587,'0.Productos'!BB$1+1,0),"")</f>
        <v/>
      </c>
      <c r="K111" s="133" t="str">
        <f>IF($A111&lt;&gt;0,VLOOKUP($A111,'0.Productos'!$A$3:$GG$587,'0.Productos'!BC$1+1,0),"")</f>
        <v/>
      </c>
      <c r="L111" s="133" t="str">
        <f>IF($A111&lt;&gt;0,VLOOKUP($A111,'0.Productos'!$A$3:$GG$587,'0.Productos'!BD$1+1,0),"")</f>
        <v/>
      </c>
      <c r="M111" s="133" t="str">
        <f>IF($A111&lt;&gt;0,VLOOKUP($A111,'0.Productos'!$A$3:$GG$587,'0.Productos'!BE$1+1,0),"")</f>
        <v/>
      </c>
      <c r="N111" s="133" t="str">
        <f>IF($A111&lt;&gt;0,VLOOKUP($A111,'0.Productos'!$A$3:$GG$587,'0.Productos'!BF$1+1,0),"")</f>
        <v/>
      </c>
      <c r="O111" s="133" t="str">
        <f>IF($A111&lt;&gt;0,VLOOKUP($A111,'0.Productos'!$A$3:$GG$587,'0.Productos'!BG$1+1,0),"")</f>
        <v/>
      </c>
      <c r="P111" s="133" t="str">
        <f>IF($A111&lt;&gt;0,VLOOKUP($A111,'0.Productos'!$A$3:$GG$587,'0.Productos'!BH$1+1,0),"")</f>
        <v/>
      </c>
      <c r="Q111" s="133" t="str">
        <f>IF($A111&lt;&gt;0,VLOOKUP($A111,'0.Productos'!$A$3:$GG$587,'0.Productos'!BI$1+1,0),"")</f>
        <v/>
      </c>
      <c r="R111" s="133" t="str">
        <f>IF($A111&lt;&gt;0,VLOOKUP($A111,'0.Productos'!$A$3:$GG$587,'0.Productos'!BJ$1+1,0),"")</f>
        <v/>
      </c>
      <c r="S111" s="133" t="str">
        <f>IF($A111&lt;&gt;0,VLOOKUP($A111,'0.Productos'!$A$3:$GG$587,'0.Productos'!BK$1+1,0),"")</f>
        <v/>
      </c>
      <c r="T111" s="133" t="str">
        <f>IF($A111&lt;&gt;0,VLOOKUP($A111,'0.Productos'!$A$3:$GG$587,'0.Productos'!BL$1+1,0),"")</f>
        <v/>
      </c>
      <c r="U111" s="133" t="str">
        <f>IF($A111&lt;&gt;0,VLOOKUP($A111,'0.Productos'!$A$3:$GG$587,'0.Productos'!BM$1+1,0),"")</f>
        <v/>
      </c>
      <c r="V111" s="133" t="str">
        <f>IF($A111&lt;&gt;0,VLOOKUP($A111,'0.Productos'!$A$3:$GG$587,'0.Productos'!BN$1+1,0),"")</f>
        <v/>
      </c>
      <c r="W111" s="133" t="str">
        <f>IF($A111&lt;&gt;0,VLOOKUP($A111,'0.Productos'!$A$3:$GG$587,'0.Productos'!BO$1+1,0),"")</f>
        <v/>
      </c>
      <c r="X111" s="133" t="str">
        <f>IF($A111&lt;&gt;0,VLOOKUP($A111,'0.Productos'!$A$3:$GG$587,'0.Productos'!BP$1+1,0),"")</f>
        <v/>
      </c>
      <c r="Y111" s="133" t="str">
        <f>IF($A111&lt;&gt;0,VLOOKUP($A111,'0.Productos'!$A$3:$GG$587,'0.Productos'!BQ$1+1,0),"")</f>
        <v/>
      </c>
      <c r="Z111" s="133" t="str">
        <f>IF($A111&lt;&gt;0,VLOOKUP($A111,'0.Productos'!$A$3:$GG$587,'0.Productos'!BR$1+1,0),"")</f>
        <v/>
      </c>
      <c r="AA111" s="133" t="str">
        <f>IF($A111&lt;&gt;0,VLOOKUP($A111,'0.Productos'!$A$3:$GG$587,'0.Productos'!BS$1+1,0),"")</f>
        <v/>
      </c>
      <c r="AB111" s="133" t="str">
        <f>IF($A111&lt;&gt;0,VLOOKUP($A111,'0.Productos'!$A$3:$GG$587,'0.Productos'!BT$1+1,0),"")</f>
        <v/>
      </c>
      <c r="AC111" s="133" t="str">
        <f>IF($A111&lt;&gt;0,VLOOKUP($A111,'0.Productos'!$A$3:$GG$587,'0.Productos'!BU$1+1,0),"")</f>
        <v/>
      </c>
      <c r="AD111" s="133" t="str">
        <f>IF($A111&lt;&gt;0,VLOOKUP($A111,'0.Productos'!$A$3:$GG$587,'0.Productos'!BV$1+1,0),"")</f>
        <v/>
      </c>
      <c r="AE111" s="133" t="str">
        <f>IF($A111&lt;&gt;0,VLOOKUP($A111,'0.Productos'!$A$3:$GG$587,'0.Productos'!BW$1+1,0),"")</f>
        <v/>
      </c>
      <c r="AF111" s="133" t="str">
        <f>IF($A111&lt;&gt;0,VLOOKUP($A111,'0.Productos'!$A$3:$GG$587,'0.Productos'!BX$1+1,0),"")</f>
        <v/>
      </c>
      <c r="AG111" s="133" t="str">
        <f>IF($A111&lt;&gt;0,VLOOKUP($A111,'0.Productos'!$A$3:$GG$587,'0.Productos'!BY$1+1,0),"")</f>
        <v/>
      </c>
      <c r="AH111" s="133" t="str">
        <f>IF($A111&lt;&gt;0,VLOOKUP($A111,'0.Productos'!$A$3:$GG$587,'0.Productos'!BZ$1+1,0),"")</f>
        <v/>
      </c>
      <c r="AI111" s="133" t="str">
        <f>IF($A111&lt;&gt;0,VLOOKUP($A111,'0.Productos'!$A$3:$GG$587,'0.Productos'!CA$1+1,0),"")</f>
        <v/>
      </c>
      <c r="AJ111" s="133" t="str">
        <f>IF($A111&lt;&gt;0,VLOOKUP($A111,'0.Productos'!$A$3:$GG$587,'0.Productos'!CB$1+1,0),"")</f>
        <v/>
      </c>
      <c r="AK111" s="133" t="str">
        <f>IF($A111&lt;&gt;0,VLOOKUP($A111,'0.Productos'!$A$3:$GG$587,'0.Productos'!CC$1+1,0),"")</f>
        <v/>
      </c>
      <c r="AL111" s="133" t="str">
        <f>IF($A111&lt;&gt;0,VLOOKUP($A111,'0.Productos'!$A$3:$GG$587,'0.Productos'!CD$1+1,0),"")</f>
        <v/>
      </c>
      <c r="AM111" s="133" t="str">
        <f>IF($A111&lt;&gt;0,VLOOKUP($A111,'0.Productos'!$A$3:$GG$587,'0.Productos'!CE$1+1,0),"")</f>
        <v/>
      </c>
      <c r="AN111" s="133" t="str">
        <f>IF($A111&lt;&gt;0,VLOOKUP($A111,'0.Productos'!$A$3:$GG$587,'0.Productos'!CF$1+1,0),"")</f>
        <v/>
      </c>
      <c r="AO111" s="133" t="str">
        <f>IF($A111&lt;&gt;0,VLOOKUP($A111,'0.Productos'!$A$3:$GG$587,'0.Productos'!CG$1+1,0),"")</f>
        <v/>
      </c>
      <c r="AP111" s="133" t="str">
        <f>IF($A111&lt;&gt;0,VLOOKUP($A111,'0.Productos'!$A$3:$GG$587,'0.Productos'!CH$1+1,0),"")</f>
        <v/>
      </c>
      <c r="AQ111" s="133" t="str">
        <f>IF($A111&lt;&gt;0,VLOOKUP($A111,'0.Productos'!$A$3:$GG$587,'0.Productos'!CI$1+1,0),"")</f>
        <v/>
      </c>
      <c r="AR111" s="133" t="str">
        <f>IF($A111&lt;&gt;0,VLOOKUP($A111,'0.Productos'!$A$3:$GG$587,'0.Productos'!CJ$1+1,0),"")</f>
        <v/>
      </c>
      <c r="AS111" s="133" t="str">
        <f>IF($A111&lt;&gt;0,VLOOKUP($A111,'0.Productos'!$A$3:$GG$587,'0.Productos'!CK$1+1,0),"")</f>
        <v/>
      </c>
      <c r="AT111" s="133" t="str">
        <f>IF($A111&lt;&gt;0,VLOOKUP($A111,'0.Productos'!$A$3:$GG$587,'0.Productos'!CL$1+1,0),"")</f>
        <v/>
      </c>
      <c r="AU111" s="133" t="str">
        <f>IF($A111&lt;&gt;0,VLOOKUP($A111,'0.Productos'!$A$3:$GG$587,'0.Productos'!CM$1+1,0),"")</f>
        <v/>
      </c>
      <c r="AV111" s="133" t="str">
        <f>IF($A111&lt;&gt;0,VLOOKUP($A111,'0.Productos'!$A$3:$GG$587,'0.Productos'!CN$1+1,0),"")</f>
        <v/>
      </c>
      <c r="AW111" s="133" t="str">
        <f>IF($A111&lt;&gt;0,VLOOKUP($A111,'0.Productos'!$A$3:$GG$587,'0.Productos'!CO$1+1,0),"")</f>
        <v/>
      </c>
      <c r="AX111" s="133" t="str">
        <f>IF($A111&lt;&gt;0,VLOOKUP($A111,'0.Productos'!$A$3:$GG$587,'0.Productos'!CP$1+1,0),"")</f>
        <v/>
      </c>
      <c r="AY111" s="133" t="str">
        <f>IF($A111&lt;&gt;0,VLOOKUP($A111,'0.Productos'!$A$3:$GG$587,'0.Productos'!CQ$1+1,0),"")</f>
        <v/>
      </c>
      <c r="AZ111" s="133" t="str">
        <f>IF($A111&lt;&gt;0,VLOOKUP($A111,'0.Productos'!$A$3:$GG$587,'0.Productos'!CR$1+1,0),"")</f>
        <v/>
      </c>
      <c r="BA111" s="133" t="str">
        <f>IF($A111&lt;&gt;0,VLOOKUP($A111,'0.Productos'!$A$3:$GG$587,'0.Productos'!CS$1+1,0),"")</f>
        <v/>
      </c>
      <c r="BB111" s="133" t="str">
        <f>IF($A111&lt;&gt;0,VLOOKUP($A111,'0.Productos'!$A$3:$GG$587,'0.Productos'!CT$1+1,0),"")</f>
        <v/>
      </c>
      <c r="BC111" s="133" t="str">
        <f>IF($A111&lt;&gt;0,VLOOKUP($A111,'0.Productos'!$A$3:$GG$587,'0.Productos'!CU$1+1,0),"")</f>
        <v/>
      </c>
      <c r="BD111" s="133" t="str">
        <f>IF($A111&lt;&gt;0,VLOOKUP($A111,'0.Productos'!$A$3:$GG$587,'0.Productos'!CV$1+1,0),"")</f>
        <v/>
      </c>
      <c r="BE111" s="133" t="str">
        <f>IF($A111&lt;&gt;0,VLOOKUP($A111,'0.Productos'!$A$3:$GG$587,'0.Productos'!CW$1+1,0),"")</f>
        <v/>
      </c>
      <c r="BF111" s="133" t="str">
        <f>IF($A111&lt;&gt;0,VLOOKUP($A111,'0.Productos'!$A$3:$GG$587,'0.Productos'!CX$1+1,0),"")</f>
        <v/>
      </c>
      <c r="BG111" s="133" t="str">
        <f>IF($A111&lt;&gt;0,VLOOKUP($A111,'0.Productos'!$A$3:$GG$587,'0.Productos'!CY$1+1,0),"")</f>
        <v/>
      </c>
      <c r="BH111" s="133" t="str">
        <f>IF($A111&lt;&gt;0,VLOOKUP($A111,'0.Productos'!$A$3:$GG$587,'0.Productos'!CZ$1+1,0),"")</f>
        <v/>
      </c>
      <c r="BI111" s="133" t="str">
        <f>IF($A111&lt;&gt;0,VLOOKUP($A111,'0.Productos'!$A$3:$GG$587,'0.Productos'!DA$1+1,0),"")</f>
        <v/>
      </c>
      <c r="BJ111" s="133" t="str">
        <f>IF($A111&lt;&gt;0,VLOOKUP($A111,'0.Productos'!$A$3:$GG$587,'0.Productos'!DB$1+1,0),"")</f>
        <v/>
      </c>
      <c r="BK111" s="133" t="str">
        <f>IF($A111&lt;&gt;0,VLOOKUP($A111,'0.Productos'!$A$3:$GG$587,'0.Productos'!DC$1+1,0),"")</f>
        <v/>
      </c>
      <c r="BL111" s="133" t="str">
        <f>IF($A111&lt;&gt;0,VLOOKUP($A111,'0.Productos'!$A$3:$GG$587,'0.Productos'!DD$1+1,0),"")</f>
        <v/>
      </c>
      <c r="BM111" s="133" t="str">
        <f>IF($A111&lt;&gt;0,VLOOKUP($A111,'0.Productos'!$A$3:$GG$587,'0.Productos'!DE$1+1,0),"")</f>
        <v/>
      </c>
      <c r="BN111" s="133" t="str">
        <f>IF($A111&lt;&gt;0,VLOOKUP($A111,'0.Productos'!$A$3:$GG$587,'0.Productos'!DF$1+1,0),"")</f>
        <v/>
      </c>
      <c r="BO111" s="133" t="str">
        <f>IF($A111&lt;&gt;0,VLOOKUP($A111,'0.Productos'!$A$3:$GG$587,'0.Productos'!DG$1+1,0),"")</f>
        <v/>
      </c>
      <c r="BP111" s="133" t="str">
        <f>IF($A111&lt;&gt;0,VLOOKUP($A111,'0.Productos'!$A$3:$GG$587,'0.Productos'!DH$1+1,0),"")</f>
        <v/>
      </c>
      <c r="BQ111" s="133" t="str">
        <f>IF($A111&lt;&gt;0,VLOOKUP($A111,'0.Productos'!$A$3:$GG$587,'0.Productos'!DI$1+1,0),"")</f>
        <v/>
      </c>
      <c r="BR111" s="133" t="str">
        <f>IF($A111&lt;&gt;0,VLOOKUP($A111,'0.Productos'!$A$3:$GG$587,'0.Productos'!DJ$1+1,0),"")</f>
        <v/>
      </c>
      <c r="BS111" s="133" t="str">
        <f>IF($A111&lt;&gt;0,VLOOKUP($A111,'0.Productos'!$A$3:$GG$587,'0.Productos'!DK$1+1,0),"")</f>
        <v/>
      </c>
      <c r="BT111" s="133" t="str">
        <f>IF($A111&lt;&gt;0,VLOOKUP($A111,'0.Productos'!$A$3:$GG$587,'0.Productos'!DL$1+1,0),"")</f>
        <v/>
      </c>
    </row>
    <row r="112" spans="1:72" x14ac:dyDescent="0.25">
      <c r="A112" s="17">
        <f>'0.Consolidado general'!A112</f>
        <v>0</v>
      </c>
      <c r="B112" s="133" t="str">
        <f>IF($A112&lt;&gt;0,VLOOKUP($A112,'0.Productos'!$A$3:$GG$587,'0.Productos'!AT$1+1,0),"")</f>
        <v/>
      </c>
      <c r="C112" s="133" t="str">
        <f>IF($A112&lt;&gt;0,VLOOKUP($A112,'0.Productos'!$A$3:$GG$587,'0.Productos'!AU$1+1,0),"")</f>
        <v/>
      </c>
      <c r="D112" s="133" t="str">
        <f>IF($A112&lt;&gt;0,VLOOKUP($A112,'0.Productos'!$A$3:$GG$587,'0.Productos'!AV$1+1,0),"")</f>
        <v/>
      </c>
      <c r="E112" s="133" t="str">
        <f>IF($A112&lt;&gt;0,VLOOKUP($A112,'0.Productos'!$A$3:$GG$587,'0.Productos'!AW$1+1,0),"")</f>
        <v/>
      </c>
      <c r="F112" s="133" t="str">
        <f>IF($A112&lt;&gt;0,VLOOKUP($A112,'0.Productos'!$A$3:$GG$587,'0.Productos'!AX$1+1,0),"")</f>
        <v/>
      </c>
      <c r="G112" s="133" t="str">
        <f>IF($A112&lt;&gt;0,VLOOKUP($A112,'0.Productos'!$A$3:$GG$587,'0.Productos'!AY$1+1,0),"")</f>
        <v/>
      </c>
      <c r="H112" s="133" t="str">
        <f>IF($A112&lt;&gt;0,VLOOKUP($A112,'0.Productos'!$A$3:$GG$587,'0.Productos'!AZ$1+1,0),"")</f>
        <v/>
      </c>
      <c r="I112" s="133" t="str">
        <f>IF($A112&lt;&gt;0,VLOOKUP($A112,'0.Productos'!$A$3:$GG$587,'0.Productos'!BA$1+1,0),"")</f>
        <v/>
      </c>
      <c r="J112" s="133" t="str">
        <f>IF($A112&lt;&gt;0,VLOOKUP($A112,'0.Productos'!$A$3:$GG$587,'0.Productos'!BB$1+1,0),"")</f>
        <v/>
      </c>
      <c r="K112" s="133" t="str">
        <f>IF($A112&lt;&gt;0,VLOOKUP($A112,'0.Productos'!$A$3:$GG$587,'0.Productos'!BC$1+1,0),"")</f>
        <v/>
      </c>
      <c r="L112" s="133" t="str">
        <f>IF($A112&lt;&gt;0,VLOOKUP($A112,'0.Productos'!$A$3:$GG$587,'0.Productos'!BD$1+1,0),"")</f>
        <v/>
      </c>
      <c r="M112" s="133" t="str">
        <f>IF($A112&lt;&gt;0,VLOOKUP($A112,'0.Productos'!$A$3:$GG$587,'0.Productos'!BE$1+1,0),"")</f>
        <v/>
      </c>
      <c r="N112" s="133" t="str">
        <f>IF($A112&lt;&gt;0,VLOOKUP($A112,'0.Productos'!$A$3:$GG$587,'0.Productos'!BF$1+1,0),"")</f>
        <v/>
      </c>
      <c r="O112" s="133" t="str">
        <f>IF($A112&lt;&gt;0,VLOOKUP($A112,'0.Productos'!$A$3:$GG$587,'0.Productos'!BG$1+1,0),"")</f>
        <v/>
      </c>
      <c r="P112" s="133" t="str">
        <f>IF($A112&lt;&gt;0,VLOOKUP($A112,'0.Productos'!$A$3:$GG$587,'0.Productos'!BH$1+1,0),"")</f>
        <v/>
      </c>
      <c r="Q112" s="133" t="str">
        <f>IF($A112&lt;&gt;0,VLOOKUP($A112,'0.Productos'!$A$3:$GG$587,'0.Productos'!BI$1+1,0),"")</f>
        <v/>
      </c>
      <c r="R112" s="133" t="str">
        <f>IF($A112&lt;&gt;0,VLOOKUP($A112,'0.Productos'!$A$3:$GG$587,'0.Productos'!BJ$1+1,0),"")</f>
        <v/>
      </c>
      <c r="S112" s="133" t="str">
        <f>IF($A112&lt;&gt;0,VLOOKUP($A112,'0.Productos'!$A$3:$GG$587,'0.Productos'!BK$1+1,0),"")</f>
        <v/>
      </c>
      <c r="T112" s="133" t="str">
        <f>IF($A112&lt;&gt;0,VLOOKUP($A112,'0.Productos'!$A$3:$GG$587,'0.Productos'!BL$1+1,0),"")</f>
        <v/>
      </c>
      <c r="U112" s="133" t="str">
        <f>IF($A112&lt;&gt;0,VLOOKUP($A112,'0.Productos'!$A$3:$GG$587,'0.Productos'!BM$1+1,0),"")</f>
        <v/>
      </c>
      <c r="V112" s="133" t="str">
        <f>IF($A112&lt;&gt;0,VLOOKUP($A112,'0.Productos'!$A$3:$GG$587,'0.Productos'!BN$1+1,0),"")</f>
        <v/>
      </c>
      <c r="W112" s="133" t="str">
        <f>IF($A112&lt;&gt;0,VLOOKUP($A112,'0.Productos'!$A$3:$GG$587,'0.Productos'!BO$1+1,0),"")</f>
        <v/>
      </c>
      <c r="X112" s="133" t="str">
        <f>IF($A112&lt;&gt;0,VLOOKUP($A112,'0.Productos'!$A$3:$GG$587,'0.Productos'!BP$1+1,0),"")</f>
        <v/>
      </c>
      <c r="Y112" s="133" t="str">
        <f>IF($A112&lt;&gt;0,VLOOKUP($A112,'0.Productos'!$A$3:$GG$587,'0.Productos'!BQ$1+1,0),"")</f>
        <v/>
      </c>
      <c r="Z112" s="133" t="str">
        <f>IF($A112&lt;&gt;0,VLOOKUP($A112,'0.Productos'!$A$3:$GG$587,'0.Productos'!BR$1+1,0),"")</f>
        <v/>
      </c>
      <c r="AA112" s="133" t="str">
        <f>IF($A112&lt;&gt;0,VLOOKUP($A112,'0.Productos'!$A$3:$GG$587,'0.Productos'!BS$1+1,0),"")</f>
        <v/>
      </c>
      <c r="AB112" s="133" t="str">
        <f>IF($A112&lt;&gt;0,VLOOKUP($A112,'0.Productos'!$A$3:$GG$587,'0.Productos'!BT$1+1,0),"")</f>
        <v/>
      </c>
      <c r="AC112" s="133" t="str">
        <f>IF($A112&lt;&gt;0,VLOOKUP($A112,'0.Productos'!$A$3:$GG$587,'0.Productos'!BU$1+1,0),"")</f>
        <v/>
      </c>
      <c r="AD112" s="133" t="str">
        <f>IF($A112&lt;&gt;0,VLOOKUP($A112,'0.Productos'!$A$3:$GG$587,'0.Productos'!BV$1+1,0),"")</f>
        <v/>
      </c>
      <c r="AE112" s="133" t="str">
        <f>IF($A112&lt;&gt;0,VLOOKUP($A112,'0.Productos'!$A$3:$GG$587,'0.Productos'!BW$1+1,0),"")</f>
        <v/>
      </c>
      <c r="AF112" s="133" t="str">
        <f>IF($A112&lt;&gt;0,VLOOKUP($A112,'0.Productos'!$A$3:$GG$587,'0.Productos'!BX$1+1,0),"")</f>
        <v/>
      </c>
      <c r="AG112" s="133" t="str">
        <f>IF($A112&lt;&gt;0,VLOOKUP($A112,'0.Productos'!$A$3:$GG$587,'0.Productos'!BY$1+1,0),"")</f>
        <v/>
      </c>
      <c r="AH112" s="133" t="str">
        <f>IF($A112&lt;&gt;0,VLOOKUP($A112,'0.Productos'!$A$3:$GG$587,'0.Productos'!BZ$1+1,0),"")</f>
        <v/>
      </c>
      <c r="AI112" s="133" t="str">
        <f>IF($A112&lt;&gt;0,VLOOKUP($A112,'0.Productos'!$A$3:$GG$587,'0.Productos'!CA$1+1,0),"")</f>
        <v/>
      </c>
      <c r="AJ112" s="133" t="str">
        <f>IF($A112&lt;&gt;0,VLOOKUP($A112,'0.Productos'!$A$3:$GG$587,'0.Productos'!CB$1+1,0),"")</f>
        <v/>
      </c>
      <c r="AK112" s="133" t="str">
        <f>IF($A112&lt;&gt;0,VLOOKUP($A112,'0.Productos'!$A$3:$GG$587,'0.Productos'!CC$1+1,0),"")</f>
        <v/>
      </c>
      <c r="AL112" s="133" t="str">
        <f>IF($A112&lt;&gt;0,VLOOKUP($A112,'0.Productos'!$A$3:$GG$587,'0.Productos'!CD$1+1,0),"")</f>
        <v/>
      </c>
      <c r="AM112" s="133" t="str">
        <f>IF($A112&lt;&gt;0,VLOOKUP($A112,'0.Productos'!$A$3:$GG$587,'0.Productos'!CE$1+1,0),"")</f>
        <v/>
      </c>
      <c r="AN112" s="133" t="str">
        <f>IF($A112&lt;&gt;0,VLOOKUP($A112,'0.Productos'!$A$3:$GG$587,'0.Productos'!CF$1+1,0),"")</f>
        <v/>
      </c>
      <c r="AO112" s="133" t="str">
        <f>IF($A112&lt;&gt;0,VLOOKUP($A112,'0.Productos'!$A$3:$GG$587,'0.Productos'!CG$1+1,0),"")</f>
        <v/>
      </c>
      <c r="AP112" s="133" t="str">
        <f>IF($A112&lt;&gt;0,VLOOKUP($A112,'0.Productos'!$A$3:$GG$587,'0.Productos'!CH$1+1,0),"")</f>
        <v/>
      </c>
      <c r="AQ112" s="133" t="str">
        <f>IF($A112&lt;&gt;0,VLOOKUP($A112,'0.Productos'!$A$3:$GG$587,'0.Productos'!CI$1+1,0),"")</f>
        <v/>
      </c>
      <c r="AR112" s="133" t="str">
        <f>IF($A112&lt;&gt;0,VLOOKUP($A112,'0.Productos'!$A$3:$GG$587,'0.Productos'!CJ$1+1,0),"")</f>
        <v/>
      </c>
      <c r="AS112" s="133" t="str">
        <f>IF($A112&lt;&gt;0,VLOOKUP($A112,'0.Productos'!$A$3:$GG$587,'0.Productos'!CK$1+1,0),"")</f>
        <v/>
      </c>
      <c r="AT112" s="133" t="str">
        <f>IF($A112&lt;&gt;0,VLOOKUP($A112,'0.Productos'!$A$3:$GG$587,'0.Productos'!CL$1+1,0),"")</f>
        <v/>
      </c>
      <c r="AU112" s="133" t="str">
        <f>IF($A112&lt;&gt;0,VLOOKUP($A112,'0.Productos'!$A$3:$GG$587,'0.Productos'!CM$1+1,0),"")</f>
        <v/>
      </c>
      <c r="AV112" s="133" t="str">
        <f>IF($A112&lt;&gt;0,VLOOKUP($A112,'0.Productos'!$A$3:$GG$587,'0.Productos'!CN$1+1,0),"")</f>
        <v/>
      </c>
      <c r="AW112" s="133" t="str">
        <f>IF($A112&lt;&gt;0,VLOOKUP($A112,'0.Productos'!$A$3:$GG$587,'0.Productos'!CO$1+1,0),"")</f>
        <v/>
      </c>
      <c r="AX112" s="133" t="str">
        <f>IF($A112&lt;&gt;0,VLOOKUP($A112,'0.Productos'!$A$3:$GG$587,'0.Productos'!CP$1+1,0),"")</f>
        <v/>
      </c>
      <c r="AY112" s="133" t="str">
        <f>IF($A112&lt;&gt;0,VLOOKUP($A112,'0.Productos'!$A$3:$GG$587,'0.Productos'!CQ$1+1,0),"")</f>
        <v/>
      </c>
      <c r="AZ112" s="133" t="str">
        <f>IF($A112&lt;&gt;0,VLOOKUP($A112,'0.Productos'!$A$3:$GG$587,'0.Productos'!CR$1+1,0),"")</f>
        <v/>
      </c>
      <c r="BA112" s="133" t="str">
        <f>IF($A112&lt;&gt;0,VLOOKUP($A112,'0.Productos'!$A$3:$GG$587,'0.Productos'!CS$1+1,0),"")</f>
        <v/>
      </c>
      <c r="BB112" s="133" t="str">
        <f>IF($A112&lt;&gt;0,VLOOKUP($A112,'0.Productos'!$A$3:$GG$587,'0.Productos'!CT$1+1,0),"")</f>
        <v/>
      </c>
      <c r="BC112" s="133" t="str">
        <f>IF($A112&lt;&gt;0,VLOOKUP($A112,'0.Productos'!$A$3:$GG$587,'0.Productos'!CU$1+1,0),"")</f>
        <v/>
      </c>
      <c r="BD112" s="133" t="str">
        <f>IF($A112&lt;&gt;0,VLOOKUP($A112,'0.Productos'!$A$3:$GG$587,'0.Productos'!CV$1+1,0),"")</f>
        <v/>
      </c>
      <c r="BE112" s="133" t="str">
        <f>IF($A112&lt;&gt;0,VLOOKUP($A112,'0.Productos'!$A$3:$GG$587,'0.Productos'!CW$1+1,0),"")</f>
        <v/>
      </c>
      <c r="BF112" s="133" t="str">
        <f>IF($A112&lt;&gt;0,VLOOKUP($A112,'0.Productos'!$A$3:$GG$587,'0.Productos'!CX$1+1,0),"")</f>
        <v/>
      </c>
      <c r="BG112" s="133" t="str">
        <f>IF($A112&lt;&gt;0,VLOOKUP($A112,'0.Productos'!$A$3:$GG$587,'0.Productos'!CY$1+1,0),"")</f>
        <v/>
      </c>
      <c r="BH112" s="133" t="str">
        <f>IF($A112&lt;&gt;0,VLOOKUP($A112,'0.Productos'!$A$3:$GG$587,'0.Productos'!CZ$1+1,0),"")</f>
        <v/>
      </c>
      <c r="BI112" s="133" t="str">
        <f>IF($A112&lt;&gt;0,VLOOKUP($A112,'0.Productos'!$A$3:$GG$587,'0.Productos'!DA$1+1,0),"")</f>
        <v/>
      </c>
      <c r="BJ112" s="133" t="str">
        <f>IF($A112&lt;&gt;0,VLOOKUP($A112,'0.Productos'!$A$3:$GG$587,'0.Productos'!DB$1+1,0),"")</f>
        <v/>
      </c>
      <c r="BK112" s="133" t="str">
        <f>IF($A112&lt;&gt;0,VLOOKUP($A112,'0.Productos'!$A$3:$GG$587,'0.Productos'!DC$1+1,0),"")</f>
        <v/>
      </c>
      <c r="BL112" s="133" t="str">
        <f>IF($A112&lt;&gt;0,VLOOKUP($A112,'0.Productos'!$A$3:$GG$587,'0.Productos'!DD$1+1,0),"")</f>
        <v/>
      </c>
      <c r="BM112" s="133" t="str">
        <f>IF($A112&lt;&gt;0,VLOOKUP($A112,'0.Productos'!$A$3:$GG$587,'0.Productos'!DE$1+1,0),"")</f>
        <v/>
      </c>
      <c r="BN112" s="133" t="str">
        <f>IF($A112&lt;&gt;0,VLOOKUP($A112,'0.Productos'!$A$3:$GG$587,'0.Productos'!DF$1+1,0),"")</f>
        <v/>
      </c>
      <c r="BO112" s="133" t="str">
        <f>IF($A112&lt;&gt;0,VLOOKUP($A112,'0.Productos'!$A$3:$GG$587,'0.Productos'!DG$1+1,0),"")</f>
        <v/>
      </c>
      <c r="BP112" s="133" t="str">
        <f>IF($A112&lt;&gt;0,VLOOKUP($A112,'0.Productos'!$A$3:$GG$587,'0.Productos'!DH$1+1,0),"")</f>
        <v/>
      </c>
      <c r="BQ112" s="133" t="str">
        <f>IF($A112&lt;&gt;0,VLOOKUP($A112,'0.Productos'!$A$3:$GG$587,'0.Productos'!DI$1+1,0),"")</f>
        <v/>
      </c>
      <c r="BR112" s="133" t="str">
        <f>IF($A112&lt;&gt;0,VLOOKUP($A112,'0.Productos'!$A$3:$GG$587,'0.Productos'!DJ$1+1,0),"")</f>
        <v/>
      </c>
      <c r="BS112" s="133" t="str">
        <f>IF($A112&lt;&gt;0,VLOOKUP($A112,'0.Productos'!$A$3:$GG$587,'0.Productos'!DK$1+1,0),"")</f>
        <v/>
      </c>
      <c r="BT112" s="133" t="str">
        <f>IF($A112&lt;&gt;0,VLOOKUP($A112,'0.Productos'!$A$3:$GG$587,'0.Productos'!DL$1+1,0),"")</f>
        <v/>
      </c>
    </row>
    <row r="113" spans="1:72" x14ac:dyDescent="0.25">
      <c r="A113" s="17">
        <f>'0.Consolidado general'!A113</f>
        <v>0</v>
      </c>
      <c r="B113" s="133" t="str">
        <f>IF($A113&lt;&gt;0,VLOOKUP($A113,'0.Productos'!$A$3:$GG$587,'0.Productos'!AT$1+1,0),"")</f>
        <v/>
      </c>
      <c r="C113" s="133" t="str">
        <f>IF($A113&lt;&gt;0,VLOOKUP($A113,'0.Productos'!$A$3:$GG$587,'0.Productos'!AU$1+1,0),"")</f>
        <v/>
      </c>
      <c r="D113" s="133" t="str">
        <f>IF($A113&lt;&gt;0,VLOOKUP($A113,'0.Productos'!$A$3:$GG$587,'0.Productos'!AV$1+1,0),"")</f>
        <v/>
      </c>
      <c r="E113" s="133" t="str">
        <f>IF($A113&lt;&gt;0,VLOOKUP($A113,'0.Productos'!$A$3:$GG$587,'0.Productos'!AW$1+1,0),"")</f>
        <v/>
      </c>
      <c r="F113" s="133" t="str">
        <f>IF($A113&lt;&gt;0,VLOOKUP($A113,'0.Productos'!$A$3:$GG$587,'0.Productos'!AX$1+1,0),"")</f>
        <v/>
      </c>
      <c r="G113" s="133" t="str">
        <f>IF($A113&lt;&gt;0,VLOOKUP($A113,'0.Productos'!$A$3:$GG$587,'0.Productos'!AY$1+1,0),"")</f>
        <v/>
      </c>
      <c r="H113" s="133" t="str">
        <f>IF($A113&lt;&gt;0,VLOOKUP($A113,'0.Productos'!$A$3:$GG$587,'0.Productos'!AZ$1+1,0),"")</f>
        <v/>
      </c>
      <c r="I113" s="133" t="str">
        <f>IF($A113&lt;&gt;0,VLOOKUP($A113,'0.Productos'!$A$3:$GG$587,'0.Productos'!BA$1+1,0),"")</f>
        <v/>
      </c>
      <c r="J113" s="133" t="str">
        <f>IF($A113&lt;&gt;0,VLOOKUP($A113,'0.Productos'!$A$3:$GG$587,'0.Productos'!BB$1+1,0),"")</f>
        <v/>
      </c>
      <c r="K113" s="133" t="str">
        <f>IF($A113&lt;&gt;0,VLOOKUP($A113,'0.Productos'!$A$3:$GG$587,'0.Productos'!BC$1+1,0),"")</f>
        <v/>
      </c>
      <c r="L113" s="133" t="str">
        <f>IF($A113&lt;&gt;0,VLOOKUP($A113,'0.Productos'!$A$3:$GG$587,'0.Productos'!BD$1+1,0),"")</f>
        <v/>
      </c>
      <c r="M113" s="133" t="str">
        <f>IF($A113&lt;&gt;0,VLOOKUP($A113,'0.Productos'!$A$3:$GG$587,'0.Productos'!BE$1+1,0),"")</f>
        <v/>
      </c>
      <c r="N113" s="133" t="str">
        <f>IF($A113&lt;&gt;0,VLOOKUP($A113,'0.Productos'!$A$3:$GG$587,'0.Productos'!BF$1+1,0),"")</f>
        <v/>
      </c>
      <c r="O113" s="133" t="str">
        <f>IF($A113&lt;&gt;0,VLOOKUP($A113,'0.Productos'!$A$3:$GG$587,'0.Productos'!BG$1+1,0),"")</f>
        <v/>
      </c>
      <c r="P113" s="133" t="str">
        <f>IF($A113&lt;&gt;0,VLOOKUP($A113,'0.Productos'!$A$3:$GG$587,'0.Productos'!BH$1+1,0),"")</f>
        <v/>
      </c>
      <c r="Q113" s="133" t="str">
        <f>IF($A113&lt;&gt;0,VLOOKUP($A113,'0.Productos'!$A$3:$GG$587,'0.Productos'!BI$1+1,0),"")</f>
        <v/>
      </c>
      <c r="R113" s="133" t="str">
        <f>IF($A113&lt;&gt;0,VLOOKUP($A113,'0.Productos'!$A$3:$GG$587,'0.Productos'!BJ$1+1,0),"")</f>
        <v/>
      </c>
      <c r="S113" s="133" t="str">
        <f>IF($A113&lt;&gt;0,VLOOKUP($A113,'0.Productos'!$A$3:$GG$587,'0.Productos'!BK$1+1,0),"")</f>
        <v/>
      </c>
      <c r="T113" s="133" t="str">
        <f>IF($A113&lt;&gt;0,VLOOKUP($A113,'0.Productos'!$A$3:$GG$587,'0.Productos'!BL$1+1,0),"")</f>
        <v/>
      </c>
      <c r="U113" s="133" t="str">
        <f>IF($A113&lt;&gt;0,VLOOKUP($A113,'0.Productos'!$A$3:$GG$587,'0.Productos'!BM$1+1,0),"")</f>
        <v/>
      </c>
      <c r="V113" s="133" t="str">
        <f>IF($A113&lt;&gt;0,VLOOKUP($A113,'0.Productos'!$A$3:$GG$587,'0.Productos'!BN$1+1,0),"")</f>
        <v/>
      </c>
      <c r="W113" s="133" t="str">
        <f>IF($A113&lt;&gt;0,VLOOKUP($A113,'0.Productos'!$A$3:$GG$587,'0.Productos'!BO$1+1,0),"")</f>
        <v/>
      </c>
      <c r="X113" s="133" t="str">
        <f>IF($A113&lt;&gt;0,VLOOKUP($A113,'0.Productos'!$A$3:$GG$587,'0.Productos'!BP$1+1,0),"")</f>
        <v/>
      </c>
      <c r="Y113" s="133" t="str">
        <f>IF($A113&lt;&gt;0,VLOOKUP($A113,'0.Productos'!$A$3:$GG$587,'0.Productos'!BQ$1+1,0),"")</f>
        <v/>
      </c>
      <c r="Z113" s="133" t="str">
        <f>IF($A113&lt;&gt;0,VLOOKUP($A113,'0.Productos'!$A$3:$GG$587,'0.Productos'!BR$1+1,0),"")</f>
        <v/>
      </c>
      <c r="AA113" s="133" t="str">
        <f>IF($A113&lt;&gt;0,VLOOKUP($A113,'0.Productos'!$A$3:$GG$587,'0.Productos'!BS$1+1,0),"")</f>
        <v/>
      </c>
      <c r="AB113" s="133" t="str">
        <f>IF($A113&lt;&gt;0,VLOOKUP($A113,'0.Productos'!$A$3:$GG$587,'0.Productos'!BT$1+1,0),"")</f>
        <v/>
      </c>
      <c r="AC113" s="133" t="str">
        <f>IF($A113&lt;&gt;0,VLOOKUP($A113,'0.Productos'!$A$3:$GG$587,'0.Productos'!BU$1+1,0),"")</f>
        <v/>
      </c>
      <c r="AD113" s="133" t="str">
        <f>IF($A113&lt;&gt;0,VLOOKUP($A113,'0.Productos'!$A$3:$GG$587,'0.Productos'!BV$1+1,0),"")</f>
        <v/>
      </c>
      <c r="AE113" s="133" t="str">
        <f>IF($A113&lt;&gt;0,VLOOKUP($A113,'0.Productos'!$A$3:$GG$587,'0.Productos'!BW$1+1,0),"")</f>
        <v/>
      </c>
      <c r="AF113" s="133" t="str">
        <f>IF($A113&lt;&gt;0,VLOOKUP($A113,'0.Productos'!$A$3:$GG$587,'0.Productos'!BX$1+1,0),"")</f>
        <v/>
      </c>
      <c r="AG113" s="133" t="str">
        <f>IF($A113&lt;&gt;0,VLOOKUP($A113,'0.Productos'!$A$3:$GG$587,'0.Productos'!BY$1+1,0),"")</f>
        <v/>
      </c>
      <c r="AH113" s="133" t="str">
        <f>IF($A113&lt;&gt;0,VLOOKUP($A113,'0.Productos'!$A$3:$GG$587,'0.Productos'!BZ$1+1,0),"")</f>
        <v/>
      </c>
      <c r="AI113" s="133" t="str">
        <f>IF($A113&lt;&gt;0,VLOOKUP($A113,'0.Productos'!$A$3:$GG$587,'0.Productos'!CA$1+1,0),"")</f>
        <v/>
      </c>
      <c r="AJ113" s="133" t="str">
        <f>IF($A113&lt;&gt;0,VLOOKUP($A113,'0.Productos'!$A$3:$GG$587,'0.Productos'!CB$1+1,0),"")</f>
        <v/>
      </c>
      <c r="AK113" s="133" t="str">
        <f>IF($A113&lt;&gt;0,VLOOKUP($A113,'0.Productos'!$A$3:$GG$587,'0.Productos'!CC$1+1,0),"")</f>
        <v/>
      </c>
      <c r="AL113" s="133" t="str">
        <f>IF($A113&lt;&gt;0,VLOOKUP($A113,'0.Productos'!$A$3:$GG$587,'0.Productos'!CD$1+1,0),"")</f>
        <v/>
      </c>
      <c r="AM113" s="133" t="str">
        <f>IF($A113&lt;&gt;0,VLOOKUP($A113,'0.Productos'!$A$3:$GG$587,'0.Productos'!CE$1+1,0),"")</f>
        <v/>
      </c>
      <c r="AN113" s="133" t="str">
        <f>IF($A113&lt;&gt;0,VLOOKUP($A113,'0.Productos'!$A$3:$GG$587,'0.Productos'!CF$1+1,0),"")</f>
        <v/>
      </c>
      <c r="AO113" s="133" t="str">
        <f>IF($A113&lt;&gt;0,VLOOKUP($A113,'0.Productos'!$A$3:$GG$587,'0.Productos'!CG$1+1,0),"")</f>
        <v/>
      </c>
      <c r="AP113" s="133" t="str">
        <f>IF($A113&lt;&gt;0,VLOOKUP($A113,'0.Productos'!$A$3:$GG$587,'0.Productos'!CH$1+1,0),"")</f>
        <v/>
      </c>
      <c r="AQ113" s="133" t="str">
        <f>IF($A113&lt;&gt;0,VLOOKUP($A113,'0.Productos'!$A$3:$GG$587,'0.Productos'!CI$1+1,0),"")</f>
        <v/>
      </c>
      <c r="AR113" s="133" t="str">
        <f>IF($A113&lt;&gt;0,VLOOKUP($A113,'0.Productos'!$A$3:$GG$587,'0.Productos'!CJ$1+1,0),"")</f>
        <v/>
      </c>
      <c r="AS113" s="133" t="str">
        <f>IF($A113&lt;&gt;0,VLOOKUP($A113,'0.Productos'!$A$3:$GG$587,'0.Productos'!CK$1+1,0),"")</f>
        <v/>
      </c>
      <c r="AT113" s="133" t="str">
        <f>IF($A113&lt;&gt;0,VLOOKUP($A113,'0.Productos'!$A$3:$GG$587,'0.Productos'!CL$1+1,0),"")</f>
        <v/>
      </c>
      <c r="AU113" s="133" t="str">
        <f>IF($A113&lt;&gt;0,VLOOKUP($A113,'0.Productos'!$A$3:$GG$587,'0.Productos'!CM$1+1,0),"")</f>
        <v/>
      </c>
      <c r="AV113" s="133" t="str">
        <f>IF($A113&lt;&gt;0,VLOOKUP($A113,'0.Productos'!$A$3:$GG$587,'0.Productos'!CN$1+1,0),"")</f>
        <v/>
      </c>
      <c r="AW113" s="133" t="str">
        <f>IF($A113&lt;&gt;0,VLOOKUP($A113,'0.Productos'!$A$3:$GG$587,'0.Productos'!CO$1+1,0),"")</f>
        <v/>
      </c>
      <c r="AX113" s="133" t="str">
        <f>IF($A113&lt;&gt;0,VLOOKUP($A113,'0.Productos'!$A$3:$GG$587,'0.Productos'!CP$1+1,0),"")</f>
        <v/>
      </c>
      <c r="AY113" s="133" t="str">
        <f>IF($A113&lt;&gt;0,VLOOKUP($A113,'0.Productos'!$A$3:$GG$587,'0.Productos'!CQ$1+1,0),"")</f>
        <v/>
      </c>
      <c r="AZ113" s="133" t="str">
        <f>IF($A113&lt;&gt;0,VLOOKUP($A113,'0.Productos'!$A$3:$GG$587,'0.Productos'!CR$1+1,0),"")</f>
        <v/>
      </c>
      <c r="BA113" s="133" t="str">
        <f>IF($A113&lt;&gt;0,VLOOKUP($A113,'0.Productos'!$A$3:$GG$587,'0.Productos'!CS$1+1,0),"")</f>
        <v/>
      </c>
      <c r="BB113" s="133" t="str">
        <f>IF($A113&lt;&gt;0,VLOOKUP($A113,'0.Productos'!$A$3:$GG$587,'0.Productos'!CT$1+1,0),"")</f>
        <v/>
      </c>
      <c r="BC113" s="133" t="str">
        <f>IF($A113&lt;&gt;0,VLOOKUP($A113,'0.Productos'!$A$3:$GG$587,'0.Productos'!CU$1+1,0),"")</f>
        <v/>
      </c>
      <c r="BD113" s="133" t="str">
        <f>IF($A113&lt;&gt;0,VLOOKUP($A113,'0.Productos'!$A$3:$GG$587,'0.Productos'!CV$1+1,0),"")</f>
        <v/>
      </c>
      <c r="BE113" s="133" t="str">
        <f>IF($A113&lt;&gt;0,VLOOKUP($A113,'0.Productos'!$A$3:$GG$587,'0.Productos'!CW$1+1,0),"")</f>
        <v/>
      </c>
      <c r="BF113" s="133" t="str">
        <f>IF($A113&lt;&gt;0,VLOOKUP($A113,'0.Productos'!$A$3:$GG$587,'0.Productos'!CX$1+1,0),"")</f>
        <v/>
      </c>
      <c r="BG113" s="133" t="str">
        <f>IF($A113&lt;&gt;0,VLOOKUP($A113,'0.Productos'!$A$3:$GG$587,'0.Productos'!CY$1+1,0),"")</f>
        <v/>
      </c>
      <c r="BH113" s="133" t="str">
        <f>IF($A113&lt;&gt;0,VLOOKUP($A113,'0.Productos'!$A$3:$GG$587,'0.Productos'!CZ$1+1,0),"")</f>
        <v/>
      </c>
      <c r="BI113" s="133" t="str">
        <f>IF($A113&lt;&gt;0,VLOOKUP($A113,'0.Productos'!$A$3:$GG$587,'0.Productos'!DA$1+1,0),"")</f>
        <v/>
      </c>
      <c r="BJ113" s="133" t="str">
        <f>IF($A113&lt;&gt;0,VLOOKUP($A113,'0.Productos'!$A$3:$GG$587,'0.Productos'!DB$1+1,0),"")</f>
        <v/>
      </c>
      <c r="BK113" s="133" t="str">
        <f>IF($A113&lt;&gt;0,VLOOKUP($A113,'0.Productos'!$A$3:$GG$587,'0.Productos'!DC$1+1,0),"")</f>
        <v/>
      </c>
      <c r="BL113" s="133" t="str">
        <f>IF($A113&lt;&gt;0,VLOOKUP($A113,'0.Productos'!$A$3:$GG$587,'0.Productos'!DD$1+1,0),"")</f>
        <v/>
      </c>
      <c r="BM113" s="133" t="str">
        <f>IF($A113&lt;&gt;0,VLOOKUP($A113,'0.Productos'!$A$3:$GG$587,'0.Productos'!DE$1+1,0),"")</f>
        <v/>
      </c>
      <c r="BN113" s="133" t="str">
        <f>IF($A113&lt;&gt;0,VLOOKUP($A113,'0.Productos'!$A$3:$GG$587,'0.Productos'!DF$1+1,0),"")</f>
        <v/>
      </c>
      <c r="BO113" s="133" t="str">
        <f>IF($A113&lt;&gt;0,VLOOKUP($A113,'0.Productos'!$A$3:$GG$587,'0.Productos'!DG$1+1,0),"")</f>
        <v/>
      </c>
      <c r="BP113" s="133" t="str">
        <f>IF($A113&lt;&gt;0,VLOOKUP($A113,'0.Productos'!$A$3:$GG$587,'0.Productos'!DH$1+1,0),"")</f>
        <v/>
      </c>
      <c r="BQ113" s="133" t="str">
        <f>IF($A113&lt;&gt;0,VLOOKUP($A113,'0.Productos'!$A$3:$GG$587,'0.Productos'!DI$1+1,0),"")</f>
        <v/>
      </c>
      <c r="BR113" s="133" t="str">
        <f>IF($A113&lt;&gt;0,VLOOKUP($A113,'0.Productos'!$A$3:$GG$587,'0.Productos'!DJ$1+1,0),"")</f>
        <v/>
      </c>
      <c r="BS113" s="133" t="str">
        <f>IF($A113&lt;&gt;0,VLOOKUP($A113,'0.Productos'!$A$3:$GG$587,'0.Productos'!DK$1+1,0),"")</f>
        <v/>
      </c>
      <c r="BT113" s="133" t="str">
        <f>IF($A113&lt;&gt;0,VLOOKUP($A113,'0.Productos'!$A$3:$GG$587,'0.Productos'!DL$1+1,0),"")</f>
        <v/>
      </c>
    </row>
    <row r="114" spans="1:72" x14ac:dyDescent="0.25">
      <c r="A114" s="17">
        <f>'0.Consolidado general'!A114</f>
        <v>0</v>
      </c>
      <c r="B114" s="133" t="str">
        <f>IF($A114&lt;&gt;0,VLOOKUP($A114,'0.Productos'!$A$3:$GG$587,'0.Productos'!AT$1+1,0),"")</f>
        <v/>
      </c>
      <c r="C114" s="133" t="str">
        <f>IF($A114&lt;&gt;0,VLOOKUP($A114,'0.Productos'!$A$3:$GG$587,'0.Productos'!AU$1+1,0),"")</f>
        <v/>
      </c>
      <c r="D114" s="133" t="str">
        <f>IF($A114&lt;&gt;0,VLOOKUP($A114,'0.Productos'!$A$3:$GG$587,'0.Productos'!AV$1+1,0),"")</f>
        <v/>
      </c>
      <c r="E114" s="133" t="str">
        <f>IF($A114&lt;&gt;0,VLOOKUP($A114,'0.Productos'!$A$3:$GG$587,'0.Productos'!AW$1+1,0),"")</f>
        <v/>
      </c>
      <c r="F114" s="133" t="str">
        <f>IF($A114&lt;&gt;0,VLOOKUP($A114,'0.Productos'!$A$3:$GG$587,'0.Productos'!AX$1+1,0),"")</f>
        <v/>
      </c>
      <c r="G114" s="133" t="str">
        <f>IF($A114&lt;&gt;0,VLOOKUP($A114,'0.Productos'!$A$3:$GG$587,'0.Productos'!AY$1+1,0),"")</f>
        <v/>
      </c>
      <c r="H114" s="133" t="str">
        <f>IF($A114&lt;&gt;0,VLOOKUP($A114,'0.Productos'!$A$3:$GG$587,'0.Productos'!AZ$1+1,0),"")</f>
        <v/>
      </c>
      <c r="I114" s="133" t="str">
        <f>IF($A114&lt;&gt;0,VLOOKUP($A114,'0.Productos'!$A$3:$GG$587,'0.Productos'!BA$1+1,0),"")</f>
        <v/>
      </c>
      <c r="J114" s="133" t="str">
        <f>IF($A114&lt;&gt;0,VLOOKUP($A114,'0.Productos'!$A$3:$GG$587,'0.Productos'!BB$1+1,0),"")</f>
        <v/>
      </c>
      <c r="K114" s="133" t="str">
        <f>IF($A114&lt;&gt;0,VLOOKUP($A114,'0.Productos'!$A$3:$GG$587,'0.Productos'!BC$1+1,0),"")</f>
        <v/>
      </c>
      <c r="L114" s="133" t="str">
        <f>IF($A114&lt;&gt;0,VLOOKUP($A114,'0.Productos'!$A$3:$GG$587,'0.Productos'!BD$1+1,0),"")</f>
        <v/>
      </c>
      <c r="M114" s="133" t="str">
        <f>IF($A114&lt;&gt;0,VLOOKUP($A114,'0.Productos'!$A$3:$GG$587,'0.Productos'!BE$1+1,0),"")</f>
        <v/>
      </c>
      <c r="N114" s="133" t="str">
        <f>IF($A114&lt;&gt;0,VLOOKUP($A114,'0.Productos'!$A$3:$GG$587,'0.Productos'!BF$1+1,0),"")</f>
        <v/>
      </c>
      <c r="O114" s="133" t="str">
        <f>IF($A114&lt;&gt;0,VLOOKUP($A114,'0.Productos'!$A$3:$GG$587,'0.Productos'!BG$1+1,0),"")</f>
        <v/>
      </c>
      <c r="P114" s="133" t="str">
        <f>IF($A114&lt;&gt;0,VLOOKUP($A114,'0.Productos'!$A$3:$GG$587,'0.Productos'!BH$1+1,0),"")</f>
        <v/>
      </c>
      <c r="Q114" s="133" t="str">
        <f>IF($A114&lt;&gt;0,VLOOKUP($A114,'0.Productos'!$A$3:$GG$587,'0.Productos'!BI$1+1,0),"")</f>
        <v/>
      </c>
      <c r="R114" s="133" t="str">
        <f>IF($A114&lt;&gt;0,VLOOKUP($A114,'0.Productos'!$A$3:$GG$587,'0.Productos'!BJ$1+1,0),"")</f>
        <v/>
      </c>
      <c r="S114" s="133" t="str">
        <f>IF($A114&lt;&gt;0,VLOOKUP($A114,'0.Productos'!$A$3:$GG$587,'0.Productos'!BK$1+1,0),"")</f>
        <v/>
      </c>
      <c r="T114" s="133" t="str">
        <f>IF($A114&lt;&gt;0,VLOOKUP($A114,'0.Productos'!$A$3:$GG$587,'0.Productos'!BL$1+1,0),"")</f>
        <v/>
      </c>
      <c r="U114" s="133" t="str">
        <f>IF($A114&lt;&gt;0,VLOOKUP($A114,'0.Productos'!$A$3:$GG$587,'0.Productos'!BM$1+1,0),"")</f>
        <v/>
      </c>
      <c r="V114" s="133" t="str">
        <f>IF($A114&lt;&gt;0,VLOOKUP($A114,'0.Productos'!$A$3:$GG$587,'0.Productos'!BN$1+1,0),"")</f>
        <v/>
      </c>
      <c r="W114" s="133" t="str">
        <f>IF($A114&lt;&gt;0,VLOOKUP($A114,'0.Productos'!$A$3:$GG$587,'0.Productos'!BO$1+1,0),"")</f>
        <v/>
      </c>
      <c r="X114" s="133" t="str">
        <f>IF($A114&lt;&gt;0,VLOOKUP($A114,'0.Productos'!$A$3:$GG$587,'0.Productos'!BP$1+1,0),"")</f>
        <v/>
      </c>
      <c r="Y114" s="133" t="str">
        <f>IF($A114&lt;&gt;0,VLOOKUP($A114,'0.Productos'!$A$3:$GG$587,'0.Productos'!BQ$1+1,0),"")</f>
        <v/>
      </c>
      <c r="Z114" s="133" t="str">
        <f>IF($A114&lt;&gt;0,VLOOKUP($A114,'0.Productos'!$A$3:$GG$587,'0.Productos'!BR$1+1,0),"")</f>
        <v/>
      </c>
      <c r="AA114" s="133" t="str">
        <f>IF($A114&lt;&gt;0,VLOOKUP($A114,'0.Productos'!$A$3:$GG$587,'0.Productos'!BS$1+1,0),"")</f>
        <v/>
      </c>
      <c r="AB114" s="133" t="str">
        <f>IF($A114&lt;&gt;0,VLOOKUP($A114,'0.Productos'!$A$3:$GG$587,'0.Productos'!BT$1+1,0),"")</f>
        <v/>
      </c>
      <c r="AC114" s="133" t="str">
        <f>IF($A114&lt;&gt;0,VLOOKUP($A114,'0.Productos'!$A$3:$GG$587,'0.Productos'!BU$1+1,0),"")</f>
        <v/>
      </c>
      <c r="AD114" s="133" t="str">
        <f>IF($A114&lt;&gt;0,VLOOKUP($A114,'0.Productos'!$A$3:$GG$587,'0.Productos'!BV$1+1,0),"")</f>
        <v/>
      </c>
      <c r="AE114" s="133" t="str">
        <f>IF($A114&lt;&gt;0,VLOOKUP($A114,'0.Productos'!$A$3:$GG$587,'0.Productos'!BW$1+1,0),"")</f>
        <v/>
      </c>
      <c r="AF114" s="133" t="str">
        <f>IF($A114&lt;&gt;0,VLOOKUP($A114,'0.Productos'!$A$3:$GG$587,'0.Productos'!BX$1+1,0),"")</f>
        <v/>
      </c>
      <c r="AG114" s="133" t="str">
        <f>IF($A114&lt;&gt;0,VLOOKUP($A114,'0.Productos'!$A$3:$GG$587,'0.Productos'!BY$1+1,0),"")</f>
        <v/>
      </c>
      <c r="AH114" s="133" t="str">
        <f>IF($A114&lt;&gt;0,VLOOKUP($A114,'0.Productos'!$A$3:$GG$587,'0.Productos'!BZ$1+1,0),"")</f>
        <v/>
      </c>
      <c r="AI114" s="133" t="str">
        <f>IF($A114&lt;&gt;0,VLOOKUP($A114,'0.Productos'!$A$3:$GG$587,'0.Productos'!CA$1+1,0),"")</f>
        <v/>
      </c>
      <c r="AJ114" s="133" t="str">
        <f>IF($A114&lt;&gt;0,VLOOKUP($A114,'0.Productos'!$A$3:$GG$587,'0.Productos'!CB$1+1,0),"")</f>
        <v/>
      </c>
      <c r="AK114" s="133" t="str">
        <f>IF($A114&lt;&gt;0,VLOOKUP($A114,'0.Productos'!$A$3:$GG$587,'0.Productos'!CC$1+1,0),"")</f>
        <v/>
      </c>
      <c r="AL114" s="133" t="str">
        <f>IF($A114&lt;&gt;0,VLOOKUP($A114,'0.Productos'!$A$3:$GG$587,'0.Productos'!CD$1+1,0),"")</f>
        <v/>
      </c>
      <c r="AM114" s="133" t="str">
        <f>IF($A114&lt;&gt;0,VLOOKUP($A114,'0.Productos'!$A$3:$GG$587,'0.Productos'!CE$1+1,0),"")</f>
        <v/>
      </c>
      <c r="AN114" s="133" t="str">
        <f>IF($A114&lt;&gt;0,VLOOKUP($A114,'0.Productos'!$A$3:$GG$587,'0.Productos'!CF$1+1,0),"")</f>
        <v/>
      </c>
      <c r="AO114" s="133" t="str">
        <f>IF($A114&lt;&gt;0,VLOOKUP($A114,'0.Productos'!$A$3:$GG$587,'0.Productos'!CG$1+1,0),"")</f>
        <v/>
      </c>
      <c r="AP114" s="133" t="str">
        <f>IF($A114&lt;&gt;0,VLOOKUP($A114,'0.Productos'!$A$3:$GG$587,'0.Productos'!CH$1+1,0),"")</f>
        <v/>
      </c>
      <c r="AQ114" s="133" t="str">
        <f>IF($A114&lt;&gt;0,VLOOKUP($A114,'0.Productos'!$A$3:$GG$587,'0.Productos'!CI$1+1,0),"")</f>
        <v/>
      </c>
      <c r="AR114" s="133" t="str">
        <f>IF($A114&lt;&gt;0,VLOOKUP($A114,'0.Productos'!$A$3:$GG$587,'0.Productos'!CJ$1+1,0),"")</f>
        <v/>
      </c>
      <c r="AS114" s="133" t="str">
        <f>IF($A114&lt;&gt;0,VLOOKUP($A114,'0.Productos'!$A$3:$GG$587,'0.Productos'!CK$1+1,0),"")</f>
        <v/>
      </c>
      <c r="AT114" s="133" t="str">
        <f>IF($A114&lt;&gt;0,VLOOKUP($A114,'0.Productos'!$A$3:$GG$587,'0.Productos'!CL$1+1,0),"")</f>
        <v/>
      </c>
      <c r="AU114" s="133" t="str">
        <f>IF($A114&lt;&gt;0,VLOOKUP($A114,'0.Productos'!$A$3:$GG$587,'0.Productos'!CM$1+1,0),"")</f>
        <v/>
      </c>
      <c r="AV114" s="133" t="str">
        <f>IF($A114&lt;&gt;0,VLOOKUP($A114,'0.Productos'!$A$3:$GG$587,'0.Productos'!CN$1+1,0),"")</f>
        <v/>
      </c>
      <c r="AW114" s="133" t="str">
        <f>IF($A114&lt;&gt;0,VLOOKUP($A114,'0.Productos'!$A$3:$GG$587,'0.Productos'!CO$1+1,0),"")</f>
        <v/>
      </c>
      <c r="AX114" s="133" t="str">
        <f>IF($A114&lt;&gt;0,VLOOKUP($A114,'0.Productos'!$A$3:$GG$587,'0.Productos'!CP$1+1,0),"")</f>
        <v/>
      </c>
      <c r="AY114" s="133" t="str">
        <f>IF($A114&lt;&gt;0,VLOOKUP($A114,'0.Productos'!$A$3:$GG$587,'0.Productos'!CQ$1+1,0),"")</f>
        <v/>
      </c>
      <c r="AZ114" s="133" t="str">
        <f>IF($A114&lt;&gt;0,VLOOKUP($A114,'0.Productos'!$A$3:$GG$587,'0.Productos'!CR$1+1,0),"")</f>
        <v/>
      </c>
      <c r="BA114" s="133" t="str">
        <f>IF($A114&lt;&gt;0,VLOOKUP($A114,'0.Productos'!$A$3:$GG$587,'0.Productos'!CS$1+1,0),"")</f>
        <v/>
      </c>
      <c r="BB114" s="133" t="str">
        <f>IF($A114&lt;&gt;0,VLOOKUP($A114,'0.Productos'!$A$3:$GG$587,'0.Productos'!CT$1+1,0),"")</f>
        <v/>
      </c>
      <c r="BC114" s="133" t="str">
        <f>IF($A114&lt;&gt;0,VLOOKUP($A114,'0.Productos'!$A$3:$GG$587,'0.Productos'!CU$1+1,0),"")</f>
        <v/>
      </c>
      <c r="BD114" s="133" t="str">
        <f>IF($A114&lt;&gt;0,VLOOKUP($A114,'0.Productos'!$A$3:$GG$587,'0.Productos'!CV$1+1,0),"")</f>
        <v/>
      </c>
      <c r="BE114" s="133" t="str">
        <f>IF($A114&lt;&gt;0,VLOOKUP($A114,'0.Productos'!$A$3:$GG$587,'0.Productos'!CW$1+1,0),"")</f>
        <v/>
      </c>
      <c r="BF114" s="133" t="str">
        <f>IF($A114&lt;&gt;0,VLOOKUP($A114,'0.Productos'!$A$3:$GG$587,'0.Productos'!CX$1+1,0),"")</f>
        <v/>
      </c>
      <c r="BG114" s="133" t="str">
        <f>IF($A114&lt;&gt;0,VLOOKUP($A114,'0.Productos'!$A$3:$GG$587,'0.Productos'!CY$1+1,0),"")</f>
        <v/>
      </c>
      <c r="BH114" s="133" t="str">
        <f>IF($A114&lt;&gt;0,VLOOKUP($A114,'0.Productos'!$A$3:$GG$587,'0.Productos'!CZ$1+1,0),"")</f>
        <v/>
      </c>
      <c r="BI114" s="133" t="str">
        <f>IF($A114&lt;&gt;0,VLOOKUP($A114,'0.Productos'!$A$3:$GG$587,'0.Productos'!DA$1+1,0),"")</f>
        <v/>
      </c>
      <c r="BJ114" s="133" t="str">
        <f>IF($A114&lt;&gt;0,VLOOKUP($A114,'0.Productos'!$A$3:$GG$587,'0.Productos'!DB$1+1,0),"")</f>
        <v/>
      </c>
      <c r="BK114" s="133" t="str">
        <f>IF($A114&lt;&gt;0,VLOOKUP($A114,'0.Productos'!$A$3:$GG$587,'0.Productos'!DC$1+1,0),"")</f>
        <v/>
      </c>
      <c r="BL114" s="133" t="str">
        <f>IF($A114&lt;&gt;0,VLOOKUP($A114,'0.Productos'!$A$3:$GG$587,'0.Productos'!DD$1+1,0),"")</f>
        <v/>
      </c>
      <c r="BM114" s="133" t="str">
        <f>IF($A114&lt;&gt;0,VLOOKUP($A114,'0.Productos'!$A$3:$GG$587,'0.Productos'!DE$1+1,0),"")</f>
        <v/>
      </c>
      <c r="BN114" s="133" t="str">
        <f>IF($A114&lt;&gt;0,VLOOKUP($A114,'0.Productos'!$A$3:$GG$587,'0.Productos'!DF$1+1,0),"")</f>
        <v/>
      </c>
      <c r="BO114" s="133" t="str">
        <f>IF($A114&lt;&gt;0,VLOOKUP($A114,'0.Productos'!$A$3:$GG$587,'0.Productos'!DG$1+1,0),"")</f>
        <v/>
      </c>
      <c r="BP114" s="133" t="str">
        <f>IF($A114&lt;&gt;0,VLOOKUP($A114,'0.Productos'!$A$3:$GG$587,'0.Productos'!DH$1+1,0),"")</f>
        <v/>
      </c>
      <c r="BQ114" s="133" t="str">
        <f>IF($A114&lt;&gt;0,VLOOKUP($A114,'0.Productos'!$A$3:$GG$587,'0.Productos'!DI$1+1,0),"")</f>
        <v/>
      </c>
      <c r="BR114" s="133" t="str">
        <f>IF($A114&lt;&gt;0,VLOOKUP($A114,'0.Productos'!$A$3:$GG$587,'0.Productos'!DJ$1+1,0),"")</f>
        <v/>
      </c>
      <c r="BS114" s="133" t="str">
        <f>IF($A114&lt;&gt;0,VLOOKUP($A114,'0.Productos'!$A$3:$GG$587,'0.Productos'!DK$1+1,0),"")</f>
        <v/>
      </c>
      <c r="BT114" s="133" t="str">
        <f>IF($A114&lt;&gt;0,VLOOKUP($A114,'0.Productos'!$A$3:$GG$587,'0.Productos'!DL$1+1,0),"")</f>
        <v/>
      </c>
    </row>
    <row r="115" spans="1:72" x14ac:dyDescent="0.25">
      <c r="A115" s="17">
        <f>'0.Consolidado general'!A115</f>
        <v>0</v>
      </c>
      <c r="B115" s="133" t="str">
        <f>IF($A115&lt;&gt;0,VLOOKUP($A115,'0.Productos'!$A$3:$GG$587,'0.Productos'!AT$1+1,0),"")</f>
        <v/>
      </c>
      <c r="C115" s="133" t="str">
        <f>IF($A115&lt;&gt;0,VLOOKUP($A115,'0.Productos'!$A$3:$GG$587,'0.Productos'!AU$1+1,0),"")</f>
        <v/>
      </c>
      <c r="D115" s="133" t="str">
        <f>IF($A115&lt;&gt;0,VLOOKUP($A115,'0.Productos'!$A$3:$GG$587,'0.Productos'!AV$1+1,0),"")</f>
        <v/>
      </c>
      <c r="E115" s="133" t="str">
        <f>IF($A115&lt;&gt;0,VLOOKUP($A115,'0.Productos'!$A$3:$GG$587,'0.Productos'!AW$1+1,0),"")</f>
        <v/>
      </c>
      <c r="F115" s="133" t="str">
        <f>IF($A115&lt;&gt;0,VLOOKUP($A115,'0.Productos'!$A$3:$GG$587,'0.Productos'!AX$1+1,0),"")</f>
        <v/>
      </c>
      <c r="G115" s="133" t="str">
        <f>IF($A115&lt;&gt;0,VLOOKUP($A115,'0.Productos'!$A$3:$GG$587,'0.Productos'!AY$1+1,0),"")</f>
        <v/>
      </c>
      <c r="H115" s="133" t="str">
        <f>IF($A115&lt;&gt;0,VLOOKUP($A115,'0.Productos'!$A$3:$GG$587,'0.Productos'!AZ$1+1,0),"")</f>
        <v/>
      </c>
      <c r="I115" s="133" t="str">
        <f>IF($A115&lt;&gt;0,VLOOKUP($A115,'0.Productos'!$A$3:$GG$587,'0.Productos'!BA$1+1,0),"")</f>
        <v/>
      </c>
      <c r="J115" s="133" t="str">
        <f>IF($A115&lt;&gt;0,VLOOKUP($A115,'0.Productos'!$A$3:$GG$587,'0.Productos'!BB$1+1,0),"")</f>
        <v/>
      </c>
      <c r="K115" s="133" t="str">
        <f>IF($A115&lt;&gt;0,VLOOKUP($A115,'0.Productos'!$A$3:$GG$587,'0.Productos'!BC$1+1,0),"")</f>
        <v/>
      </c>
      <c r="L115" s="133" t="str">
        <f>IF($A115&lt;&gt;0,VLOOKUP($A115,'0.Productos'!$A$3:$GG$587,'0.Productos'!BD$1+1,0),"")</f>
        <v/>
      </c>
      <c r="M115" s="133" t="str">
        <f>IF($A115&lt;&gt;0,VLOOKUP($A115,'0.Productos'!$A$3:$GG$587,'0.Productos'!BE$1+1,0),"")</f>
        <v/>
      </c>
      <c r="N115" s="133" t="str">
        <f>IF($A115&lt;&gt;0,VLOOKUP($A115,'0.Productos'!$A$3:$GG$587,'0.Productos'!BF$1+1,0),"")</f>
        <v/>
      </c>
      <c r="O115" s="133" t="str">
        <f>IF($A115&lt;&gt;0,VLOOKUP($A115,'0.Productos'!$A$3:$GG$587,'0.Productos'!BG$1+1,0),"")</f>
        <v/>
      </c>
      <c r="P115" s="133" t="str">
        <f>IF($A115&lt;&gt;0,VLOOKUP($A115,'0.Productos'!$A$3:$GG$587,'0.Productos'!BH$1+1,0),"")</f>
        <v/>
      </c>
      <c r="Q115" s="133" t="str">
        <f>IF($A115&lt;&gt;0,VLOOKUP($A115,'0.Productos'!$A$3:$GG$587,'0.Productos'!BI$1+1,0),"")</f>
        <v/>
      </c>
      <c r="R115" s="133" t="str">
        <f>IF($A115&lt;&gt;0,VLOOKUP($A115,'0.Productos'!$A$3:$GG$587,'0.Productos'!BJ$1+1,0),"")</f>
        <v/>
      </c>
      <c r="S115" s="133" t="str">
        <f>IF($A115&lt;&gt;0,VLOOKUP($A115,'0.Productos'!$A$3:$GG$587,'0.Productos'!BK$1+1,0),"")</f>
        <v/>
      </c>
      <c r="T115" s="133" t="str">
        <f>IF($A115&lt;&gt;0,VLOOKUP($A115,'0.Productos'!$A$3:$GG$587,'0.Productos'!BL$1+1,0),"")</f>
        <v/>
      </c>
      <c r="U115" s="133" t="str">
        <f>IF($A115&lt;&gt;0,VLOOKUP($A115,'0.Productos'!$A$3:$GG$587,'0.Productos'!BM$1+1,0),"")</f>
        <v/>
      </c>
      <c r="V115" s="133" t="str">
        <f>IF($A115&lt;&gt;0,VLOOKUP($A115,'0.Productos'!$A$3:$GG$587,'0.Productos'!BN$1+1,0),"")</f>
        <v/>
      </c>
      <c r="W115" s="133" t="str">
        <f>IF($A115&lt;&gt;0,VLOOKUP($A115,'0.Productos'!$A$3:$GG$587,'0.Productos'!BO$1+1,0),"")</f>
        <v/>
      </c>
      <c r="X115" s="133" t="str">
        <f>IF($A115&lt;&gt;0,VLOOKUP($A115,'0.Productos'!$A$3:$GG$587,'0.Productos'!BP$1+1,0),"")</f>
        <v/>
      </c>
      <c r="Y115" s="133" t="str">
        <f>IF($A115&lt;&gt;0,VLOOKUP($A115,'0.Productos'!$A$3:$GG$587,'0.Productos'!BQ$1+1,0),"")</f>
        <v/>
      </c>
      <c r="Z115" s="133" t="str">
        <f>IF($A115&lt;&gt;0,VLOOKUP($A115,'0.Productos'!$A$3:$GG$587,'0.Productos'!BR$1+1,0),"")</f>
        <v/>
      </c>
      <c r="AA115" s="133" t="str">
        <f>IF($A115&lt;&gt;0,VLOOKUP($A115,'0.Productos'!$A$3:$GG$587,'0.Productos'!BS$1+1,0),"")</f>
        <v/>
      </c>
      <c r="AB115" s="133" t="str">
        <f>IF($A115&lt;&gt;0,VLOOKUP($A115,'0.Productos'!$A$3:$GG$587,'0.Productos'!BT$1+1,0),"")</f>
        <v/>
      </c>
      <c r="AC115" s="133" t="str">
        <f>IF($A115&lt;&gt;0,VLOOKUP($A115,'0.Productos'!$A$3:$GG$587,'0.Productos'!BU$1+1,0),"")</f>
        <v/>
      </c>
      <c r="AD115" s="133" t="str">
        <f>IF($A115&lt;&gt;0,VLOOKUP($A115,'0.Productos'!$A$3:$GG$587,'0.Productos'!BV$1+1,0),"")</f>
        <v/>
      </c>
      <c r="AE115" s="133" t="str">
        <f>IF($A115&lt;&gt;0,VLOOKUP($A115,'0.Productos'!$A$3:$GG$587,'0.Productos'!BW$1+1,0),"")</f>
        <v/>
      </c>
      <c r="AF115" s="133" t="str">
        <f>IF($A115&lt;&gt;0,VLOOKUP($A115,'0.Productos'!$A$3:$GG$587,'0.Productos'!BX$1+1,0),"")</f>
        <v/>
      </c>
      <c r="AG115" s="133" t="str">
        <f>IF($A115&lt;&gt;0,VLOOKUP($A115,'0.Productos'!$A$3:$GG$587,'0.Productos'!BY$1+1,0),"")</f>
        <v/>
      </c>
      <c r="AH115" s="133" t="str">
        <f>IF($A115&lt;&gt;0,VLOOKUP($A115,'0.Productos'!$A$3:$GG$587,'0.Productos'!BZ$1+1,0),"")</f>
        <v/>
      </c>
      <c r="AI115" s="133" t="str">
        <f>IF($A115&lt;&gt;0,VLOOKUP($A115,'0.Productos'!$A$3:$GG$587,'0.Productos'!CA$1+1,0),"")</f>
        <v/>
      </c>
      <c r="AJ115" s="133" t="str">
        <f>IF($A115&lt;&gt;0,VLOOKUP($A115,'0.Productos'!$A$3:$GG$587,'0.Productos'!CB$1+1,0),"")</f>
        <v/>
      </c>
      <c r="AK115" s="133" t="str">
        <f>IF($A115&lt;&gt;0,VLOOKUP($A115,'0.Productos'!$A$3:$GG$587,'0.Productos'!CC$1+1,0),"")</f>
        <v/>
      </c>
      <c r="AL115" s="133" t="str">
        <f>IF($A115&lt;&gt;0,VLOOKUP($A115,'0.Productos'!$A$3:$GG$587,'0.Productos'!CD$1+1,0),"")</f>
        <v/>
      </c>
      <c r="AM115" s="133" t="str">
        <f>IF($A115&lt;&gt;0,VLOOKUP($A115,'0.Productos'!$A$3:$GG$587,'0.Productos'!CE$1+1,0),"")</f>
        <v/>
      </c>
      <c r="AN115" s="133" t="str">
        <f>IF($A115&lt;&gt;0,VLOOKUP($A115,'0.Productos'!$A$3:$GG$587,'0.Productos'!CF$1+1,0),"")</f>
        <v/>
      </c>
      <c r="AO115" s="133" t="str">
        <f>IF($A115&lt;&gt;0,VLOOKUP($A115,'0.Productos'!$A$3:$GG$587,'0.Productos'!CG$1+1,0),"")</f>
        <v/>
      </c>
      <c r="AP115" s="133" t="str">
        <f>IF($A115&lt;&gt;0,VLOOKUP($A115,'0.Productos'!$A$3:$GG$587,'0.Productos'!CH$1+1,0),"")</f>
        <v/>
      </c>
      <c r="AQ115" s="133" t="str">
        <f>IF($A115&lt;&gt;0,VLOOKUP($A115,'0.Productos'!$A$3:$GG$587,'0.Productos'!CI$1+1,0),"")</f>
        <v/>
      </c>
      <c r="AR115" s="133" t="str">
        <f>IF($A115&lt;&gt;0,VLOOKUP($A115,'0.Productos'!$A$3:$GG$587,'0.Productos'!CJ$1+1,0),"")</f>
        <v/>
      </c>
      <c r="AS115" s="133" t="str">
        <f>IF($A115&lt;&gt;0,VLOOKUP($A115,'0.Productos'!$A$3:$GG$587,'0.Productos'!CK$1+1,0),"")</f>
        <v/>
      </c>
      <c r="AT115" s="133" t="str">
        <f>IF($A115&lt;&gt;0,VLOOKUP($A115,'0.Productos'!$A$3:$GG$587,'0.Productos'!CL$1+1,0),"")</f>
        <v/>
      </c>
      <c r="AU115" s="133" t="str">
        <f>IF($A115&lt;&gt;0,VLOOKUP($A115,'0.Productos'!$A$3:$GG$587,'0.Productos'!CM$1+1,0),"")</f>
        <v/>
      </c>
      <c r="AV115" s="133" t="str">
        <f>IF($A115&lt;&gt;0,VLOOKUP($A115,'0.Productos'!$A$3:$GG$587,'0.Productos'!CN$1+1,0),"")</f>
        <v/>
      </c>
      <c r="AW115" s="133" t="str">
        <f>IF($A115&lt;&gt;0,VLOOKUP($A115,'0.Productos'!$A$3:$GG$587,'0.Productos'!CO$1+1,0),"")</f>
        <v/>
      </c>
      <c r="AX115" s="133" t="str">
        <f>IF($A115&lt;&gt;0,VLOOKUP($A115,'0.Productos'!$A$3:$GG$587,'0.Productos'!CP$1+1,0),"")</f>
        <v/>
      </c>
      <c r="AY115" s="133" t="str">
        <f>IF($A115&lt;&gt;0,VLOOKUP($A115,'0.Productos'!$A$3:$GG$587,'0.Productos'!CQ$1+1,0),"")</f>
        <v/>
      </c>
      <c r="AZ115" s="133" t="str">
        <f>IF($A115&lt;&gt;0,VLOOKUP($A115,'0.Productos'!$A$3:$GG$587,'0.Productos'!CR$1+1,0),"")</f>
        <v/>
      </c>
      <c r="BA115" s="133" t="str">
        <f>IF($A115&lt;&gt;0,VLOOKUP($A115,'0.Productos'!$A$3:$GG$587,'0.Productos'!CS$1+1,0),"")</f>
        <v/>
      </c>
      <c r="BB115" s="133" t="str">
        <f>IF($A115&lt;&gt;0,VLOOKUP($A115,'0.Productos'!$A$3:$GG$587,'0.Productos'!CT$1+1,0),"")</f>
        <v/>
      </c>
      <c r="BC115" s="133" t="str">
        <f>IF($A115&lt;&gt;0,VLOOKUP($A115,'0.Productos'!$A$3:$GG$587,'0.Productos'!CU$1+1,0),"")</f>
        <v/>
      </c>
      <c r="BD115" s="133" t="str">
        <f>IF($A115&lt;&gt;0,VLOOKUP($A115,'0.Productos'!$A$3:$GG$587,'0.Productos'!CV$1+1,0),"")</f>
        <v/>
      </c>
      <c r="BE115" s="133" t="str">
        <f>IF($A115&lt;&gt;0,VLOOKUP($A115,'0.Productos'!$A$3:$GG$587,'0.Productos'!CW$1+1,0),"")</f>
        <v/>
      </c>
      <c r="BF115" s="133" t="str">
        <f>IF($A115&lt;&gt;0,VLOOKUP($A115,'0.Productos'!$A$3:$GG$587,'0.Productos'!CX$1+1,0),"")</f>
        <v/>
      </c>
      <c r="BG115" s="133" t="str">
        <f>IF($A115&lt;&gt;0,VLOOKUP($A115,'0.Productos'!$A$3:$GG$587,'0.Productos'!CY$1+1,0),"")</f>
        <v/>
      </c>
      <c r="BH115" s="133" t="str">
        <f>IF($A115&lt;&gt;0,VLOOKUP($A115,'0.Productos'!$A$3:$GG$587,'0.Productos'!CZ$1+1,0),"")</f>
        <v/>
      </c>
      <c r="BI115" s="133" t="str">
        <f>IF($A115&lt;&gt;0,VLOOKUP($A115,'0.Productos'!$A$3:$GG$587,'0.Productos'!DA$1+1,0),"")</f>
        <v/>
      </c>
      <c r="BJ115" s="133" t="str">
        <f>IF($A115&lt;&gt;0,VLOOKUP($A115,'0.Productos'!$A$3:$GG$587,'0.Productos'!DB$1+1,0),"")</f>
        <v/>
      </c>
      <c r="BK115" s="133" t="str">
        <f>IF($A115&lt;&gt;0,VLOOKUP($A115,'0.Productos'!$A$3:$GG$587,'0.Productos'!DC$1+1,0),"")</f>
        <v/>
      </c>
      <c r="BL115" s="133" t="str">
        <f>IF($A115&lt;&gt;0,VLOOKUP($A115,'0.Productos'!$A$3:$GG$587,'0.Productos'!DD$1+1,0),"")</f>
        <v/>
      </c>
      <c r="BM115" s="133" t="str">
        <f>IF($A115&lt;&gt;0,VLOOKUP($A115,'0.Productos'!$A$3:$GG$587,'0.Productos'!DE$1+1,0),"")</f>
        <v/>
      </c>
      <c r="BN115" s="133" t="str">
        <f>IF($A115&lt;&gt;0,VLOOKUP($A115,'0.Productos'!$A$3:$GG$587,'0.Productos'!DF$1+1,0),"")</f>
        <v/>
      </c>
      <c r="BO115" s="133" t="str">
        <f>IF($A115&lt;&gt;0,VLOOKUP($A115,'0.Productos'!$A$3:$GG$587,'0.Productos'!DG$1+1,0),"")</f>
        <v/>
      </c>
      <c r="BP115" s="133" t="str">
        <f>IF($A115&lt;&gt;0,VLOOKUP($A115,'0.Productos'!$A$3:$GG$587,'0.Productos'!DH$1+1,0),"")</f>
        <v/>
      </c>
      <c r="BQ115" s="133" t="str">
        <f>IF($A115&lt;&gt;0,VLOOKUP($A115,'0.Productos'!$A$3:$GG$587,'0.Productos'!DI$1+1,0),"")</f>
        <v/>
      </c>
      <c r="BR115" s="133" t="str">
        <f>IF($A115&lt;&gt;0,VLOOKUP($A115,'0.Productos'!$A$3:$GG$587,'0.Productos'!DJ$1+1,0),"")</f>
        <v/>
      </c>
      <c r="BS115" s="133" t="str">
        <f>IF($A115&lt;&gt;0,VLOOKUP($A115,'0.Productos'!$A$3:$GG$587,'0.Productos'!DK$1+1,0),"")</f>
        <v/>
      </c>
      <c r="BT115" s="133" t="str">
        <f>IF($A115&lt;&gt;0,VLOOKUP($A115,'0.Productos'!$A$3:$GG$587,'0.Productos'!DL$1+1,0),"")</f>
        <v/>
      </c>
    </row>
    <row r="116" spans="1:72" x14ac:dyDescent="0.25">
      <c r="A116" s="17">
        <f>'0.Consolidado general'!A116</f>
        <v>0</v>
      </c>
      <c r="B116" s="133" t="str">
        <f>IF($A116&lt;&gt;0,VLOOKUP($A116,'0.Productos'!$A$3:$GG$587,'0.Productos'!AT$1+1,0),"")</f>
        <v/>
      </c>
      <c r="C116" s="133" t="str">
        <f>IF($A116&lt;&gt;0,VLOOKUP($A116,'0.Productos'!$A$3:$GG$587,'0.Productos'!AU$1+1,0),"")</f>
        <v/>
      </c>
      <c r="D116" s="133" t="str">
        <f>IF($A116&lt;&gt;0,VLOOKUP($A116,'0.Productos'!$A$3:$GG$587,'0.Productos'!AV$1+1,0),"")</f>
        <v/>
      </c>
      <c r="E116" s="133" t="str">
        <f>IF($A116&lt;&gt;0,VLOOKUP($A116,'0.Productos'!$A$3:$GG$587,'0.Productos'!AW$1+1,0),"")</f>
        <v/>
      </c>
      <c r="F116" s="133" t="str">
        <f>IF($A116&lt;&gt;0,VLOOKUP($A116,'0.Productos'!$A$3:$GG$587,'0.Productos'!AX$1+1,0),"")</f>
        <v/>
      </c>
      <c r="G116" s="133" t="str">
        <f>IF($A116&lt;&gt;0,VLOOKUP($A116,'0.Productos'!$A$3:$GG$587,'0.Productos'!AY$1+1,0),"")</f>
        <v/>
      </c>
      <c r="H116" s="133" t="str">
        <f>IF($A116&lt;&gt;0,VLOOKUP($A116,'0.Productos'!$A$3:$GG$587,'0.Productos'!AZ$1+1,0),"")</f>
        <v/>
      </c>
      <c r="I116" s="133" t="str">
        <f>IF($A116&lt;&gt;0,VLOOKUP($A116,'0.Productos'!$A$3:$GG$587,'0.Productos'!BA$1+1,0),"")</f>
        <v/>
      </c>
      <c r="J116" s="133" t="str">
        <f>IF($A116&lt;&gt;0,VLOOKUP($A116,'0.Productos'!$A$3:$GG$587,'0.Productos'!BB$1+1,0),"")</f>
        <v/>
      </c>
      <c r="K116" s="133" t="str">
        <f>IF($A116&lt;&gt;0,VLOOKUP($A116,'0.Productos'!$A$3:$GG$587,'0.Productos'!BC$1+1,0),"")</f>
        <v/>
      </c>
      <c r="L116" s="133" t="str">
        <f>IF($A116&lt;&gt;0,VLOOKUP($A116,'0.Productos'!$A$3:$GG$587,'0.Productos'!BD$1+1,0),"")</f>
        <v/>
      </c>
      <c r="M116" s="133" t="str">
        <f>IF($A116&lt;&gt;0,VLOOKUP($A116,'0.Productos'!$A$3:$GG$587,'0.Productos'!BE$1+1,0),"")</f>
        <v/>
      </c>
      <c r="N116" s="133" t="str">
        <f>IF($A116&lt;&gt;0,VLOOKUP($A116,'0.Productos'!$A$3:$GG$587,'0.Productos'!BF$1+1,0),"")</f>
        <v/>
      </c>
      <c r="O116" s="133" t="str">
        <f>IF($A116&lt;&gt;0,VLOOKUP($A116,'0.Productos'!$A$3:$GG$587,'0.Productos'!BG$1+1,0),"")</f>
        <v/>
      </c>
      <c r="P116" s="133" t="str">
        <f>IF($A116&lt;&gt;0,VLOOKUP($A116,'0.Productos'!$A$3:$GG$587,'0.Productos'!BH$1+1,0),"")</f>
        <v/>
      </c>
      <c r="Q116" s="133" t="str">
        <f>IF($A116&lt;&gt;0,VLOOKUP($A116,'0.Productos'!$A$3:$GG$587,'0.Productos'!BI$1+1,0),"")</f>
        <v/>
      </c>
      <c r="R116" s="133" t="str">
        <f>IF($A116&lt;&gt;0,VLOOKUP($A116,'0.Productos'!$A$3:$GG$587,'0.Productos'!BJ$1+1,0),"")</f>
        <v/>
      </c>
      <c r="S116" s="133" t="str">
        <f>IF($A116&lt;&gt;0,VLOOKUP($A116,'0.Productos'!$A$3:$GG$587,'0.Productos'!BK$1+1,0),"")</f>
        <v/>
      </c>
      <c r="T116" s="133" t="str">
        <f>IF($A116&lt;&gt;0,VLOOKUP($A116,'0.Productos'!$A$3:$GG$587,'0.Productos'!BL$1+1,0),"")</f>
        <v/>
      </c>
      <c r="U116" s="133" t="str">
        <f>IF($A116&lt;&gt;0,VLOOKUP($A116,'0.Productos'!$A$3:$GG$587,'0.Productos'!BM$1+1,0),"")</f>
        <v/>
      </c>
      <c r="V116" s="133" t="str">
        <f>IF($A116&lt;&gt;0,VLOOKUP($A116,'0.Productos'!$A$3:$GG$587,'0.Productos'!BN$1+1,0),"")</f>
        <v/>
      </c>
      <c r="W116" s="133" t="str">
        <f>IF($A116&lt;&gt;0,VLOOKUP($A116,'0.Productos'!$A$3:$GG$587,'0.Productos'!BO$1+1,0),"")</f>
        <v/>
      </c>
      <c r="X116" s="133" t="str">
        <f>IF($A116&lt;&gt;0,VLOOKUP($A116,'0.Productos'!$A$3:$GG$587,'0.Productos'!BP$1+1,0),"")</f>
        <v/>
      </c>
      <c r="Y116" s="133" t="str">
        <f>IF($A116&lt;&gt;0,VLOOKUP($A116,'0.Productos'!$A$3:$GG$587,'0.Productos'!BQ$1+1,0),"")</f>
        <v/>
      </c>
      <c r="Z116" s="133" t="str">
        <f>IF($A116&lt;&gt;0,VLOOKUP($A116,'0.Productos'!$A$3:$GG$587,'0.Productos'!BR$1+1,0),"")</f>
        <v/>
      </c>
      <c r="AA116" s="133" t="str">
        <f>IF($A116&lt;&gt;0,VLOOKUP($A116,'0.Productos'!$A$3:$GG$587,'0.Productos'!BS$1+1,0),"")</f>
        <v/>
      </c>
      <c r="AB116" s="133" t="str">
        <f>IF($A116&lt;&gt;0,VLOOKUP($A116,'0.Productos'!$A$3:$GG$587,'0.Productos'!BT$1+1,0),"")</f>
        <v/>
      </c>
      <c r="AC116" s="133" t="str">
        <f>IF($A116&lt;&gt;0,VLOOKUP($A116,'0.Productos'!$A$3:$GG$587,'0.Productos'!BU$1+1,0),"")</f>
        <v/>
      </c>
      <c r="AD116" s="133" t="str">
        <f>IF($A116&lt;&gt;0,VLOOKUP($A116,'0.Productos'!$A$3:$GG$587,'0.Productos'!BV$1+1,0),"")</f>
        <v/>
      </c>
      <c r="AE116" s="133" t="str">
        <f>IF($A116&lt;&gt;0,VLOOKUP($A116,'0.Productos'!$A$3:$GG$587,'0.Productos'!BW$1+1,0),"")</f>
        <v/>
      </c>
      <c r="AF116" s="133" t="str">
        <f>IF($A116&lt;&gt;0,VLOOKUP($A116,'0.Productos'!$A$3:$GG$587,'0.Productos'!BX$1+1,0),"")</f>
        <v/>
      </c>
      <c r="AG116" s="133" t="str">
        <f>IF($A116&lt;&gt;0,VLOOKUP($A116,'0.Productos'!$A$3:$GG$587,'0.Productos'!BY$1+1,0),"")</f>
        <v/>
      </c>
      <c r="AH116" s="133" t="str">
        <f>IF($A116&lt;&gt;0,VLOOKUP($A116,'0.Productos'!$A$3:$GG$587,'0.Productos'!BZ$1+1,0),"")</f>
        <v/>
      </c>
      <c r="AI116" s="133" t="str">
        <f>IF($A116&lt;&gt;0,VLOOKUP($A116,'0.Productos'!$A$3:$GG$587,'0.Productos'!CA$1+1,0),"")</f>
        <v/>
      </c>
      <c r="AJ116" s="133" t="str">
        <f>IF($A116&lt;&gt;0,VLOOKUP($A116,'0.Productos'!$A$3:$GG$587,'0.Productos'!CB$1+1,0),"")</f>
        <v/>
      </c>
      <c r="AK116" s="133" t="str">
        <f>IF($A116&lt;&gt;0,VLOOKUP($A116,'0.Productos'!$A$3:$GG$587,'0.Productos'!CC$1+1,0),"")</f>
        <v/>
      </c>
      <c r="AL116" s="133" t="str">
        <f>IF($A116&lt;&gt;0,VLOOKUP($A116,'0.Productos'!$A$3:$GG$587,'0.Productos'!CD$1+1,0),"")</f>
        <v/>
      </c>
      <c r="AM116" s="133" t="str">
        <f>IF($A116&lt;&gt;0,VLOOKUP($A116,'0.Productos'!$A$3:$GG$587,'0.Productos'!CE$1+1,0),"")</f>
        <v/>
      </c>
      <c r="AN116" s="133" t="str">
        <f>IF($A116&lt;&gt;0,VLOOKUP($A116,'0.Productos'!$A$3:$GG$587,'0.Productos'!CF$1+1,0),"")</f>
        <v/>
      </c>
      <c r="AO116" s="133" t="str">
        <f>IF($A116&lt;&gt;0,VLOOKUP($A116,'0.Productos'!$A$3:$GG$587,'0.Productos'!CG$1+1,0),"")</f>
        <v/>
      </c>
      <c r="AP116" s="133" t="str">
        <f>IF($A116&lt;&gt;0,VLOOKUP($A116,'0.Productos'!$A$3:$GG$587,'0.Productos'!CH$1+1,0),"")</f>
        <v/>
      </c>
      <c r="AQ116" s="133" t="str">
        <f>IF($A116&lt;&gt;0,VLOOKUP($A116,'0.Productos'!$A$3:$GG$587,'0.Productos'!CI$1+1,0),"")</f>
        <v/>
      </c>
      <c r="AR116" s="133" t="str">
        <f>IF($A116&lt;&gt;0,VLOOKUP($A116,'0.Productos'!$A$3:$GG$587,'0.Productos'!CJ$1+1,0),"")</f>
        <v/>
      </c>
      <c r="AS116" s="133" t="str">
        <f>IF($A116&lt;&gt;0,VLOOKUP($A116,'0.Productos'!$A$3:$GG$587,'0.Productos'!CK$1+1,0),"")</f>
        <v/>
      </c>
      <c r="AT116" s="133" t="str">
        <f>IF($A116&lt;&gt;0,VLOOKUP($A116,'0.Productos'!$A$3:$GG$587,'0.Productos'!CL$1+1,0),"")</f>
        <v/>
      </c>
      <c r="AU116" s="133" t="str">
        <f>IF($A116&lt;&gt;0,VLOOKUP($A116,'0.Productos'!$A$3:$GG$587,'0.Productos'!CM$1+1,0),"")</f>
        <v/>
      </c>
      <c r="AV116" s="133" t="str">
        <f>IF($A116&lt;&gt;0,VLOOKUP($A116,'0.Productos'!$A$3:$GG$587,'0.Productos'!CN$1+1,0),"")</f>
        <v/>
      </c>
      <c r="AW116" s="133" t="str">
        <f>IF($A116&lt;&gt;0,VLOOKUP($A116,'0.Productos'!$A$3:$GG$587,'0.Productos'!CO$1+1,0),"")</f>
        <v/>
      </c>
      <c r="AX116" s="133" t="str">
        <f>IF($A116&lt;&gt;0,VLOOKUP($A116,'0.Productos'!$A$3:$GG$587,'0.Productos'!CP$1+1,0),"")</f>
        <v/>
      </c>
      <c r="AY116" s="133" t="str">
        <f>IF($A116&lt;&gt;0,VLOOKUP($A116,'0.Productos'!$A$3:$GG$587,'0.Productos'!CQ$1+1,0),"")</f>
        <v/>
      </c>
      <c r="AZ116" s="133" t="str">
        <f>IF($A116&lt;&gt;0,VLOOKUP($A116,'0.Productos'!$A$3:$GG$587,'0.Productos'!CR$1+1,0),"")</f>
        <v/>
      </c>
      <c r="BA116" s="133" t="str">
        <f>IF($A116&lt;&gt;0,VLOOKUP($A116,'0.Productos'!$A$3:$GG$587,'0.Productos'!CS$1+1,0),"")</f>
        <v/>
      </c>
      <c r="BB116" s="133" t="str">
        <f>IF($A116&lt;&gt;0,VLOOKUP($A116,'0.Productos'!$A$3:$GG$587,'0.Productos'!CT$1+1,0),"")</f>
        <v/>
      </c>
      <c r="BC116" s="133" t="str">
        <f>IF($A116&lt;&gt;0,VLOOKUP($A116,'0.Productos'!$A$3:$GG$587,'0.Productos'!CU$1+1,0),"")</f>
        <v/>
      </c>
      <c r="BD116" s="133" t="str">
        <f>IF($A116&lt;&gt;0,VLOOKUP($A116,'0.Productos'!$A$3:$GG$587,'0.Productos'!CV$1+1,0),"")</f>
        <v/>
      </c>
      <c r="BE116" s="133" t="str">
        <f>IF($A116&lt;&gt;0,VLOOKUP($A116,'0.Productos'!$A$3:$GG$587,'0.Productos'!CW$1+1,0),"")</f>
        <v/>
      </c>
      <c r="BF116" s="133" t="str">
        <f>IF($A116&lt;&gt;0,VLOOKUP($A116,'0.Productos'!$A$3:$GG$587,'0.Productos'!CX$1+1,0),"")</f>
        <v/>
      </c>
      <c r="BG116" s="133" t="str">
        <f>IF($A116&lt;&gt;0,VLOOKUP($A116,'0.Productos'!$A$3:$GG$587,'0.Productos'!CY$1+1,0),"")</f>
        <v/>
      </c>
      <c r="BH116" s="133" t="str">
        <f>IF($A116&lt;&gt;0,VLOOKUP($A116,'0.Productos'!$A$3:$GG$587,'0.Productos'!CZ$1+1,0),"")</f>
        <v/>
      </c>
      <c r="BI116" s="133" t="str">
        <f>IF($A116&lt;&gt;0,VLOOKUP($A116,'0.Productos'!$A$3:$GG$587,'0.Productos'!DA$1+1,0),"")</f>
        <v/>
      </c>
      <c r="BJ116" s="133" t="str">
        <f>IF($A116&lt;&gt;0,VLOOKUP($A116,'0.Productos'!$A$3:$GG$587,'0.Productos'!DB$1+1,0),"")</f>
        <v/>
      </c>
      <c r="BK116" s="133" t="str">
        <f>IF($A116&lt;&gt;0,VLOOKUP($A116,'0.Productos'!$A$3:$GG$587,'0.Productos'!DC$1+1,0),"")</f>
        <v/>
      </c>
      <c r="BL116" s="133" t="str">
        <f>IF($A116&lt;&gt;0,VLOOKUP($A116,'0.Productos'!$A$3:$GG$587,'0.Productos'!DD$1+1,0),"")</f>
        <v/>
      </c>
      <c r="BM116" s="133" t="str">
        <f>IF($A116&lt;&gt;0,VLOOKUP($A116,'0.Productos'!$A$3:$GG$587,'0.Productos'!DE$1+1,0),"")</f>
        <v/>
      </c>
      <c r="BN116" s="133" t="str">
        <f>IF($A116&lt;&gt;0,VLOOKUP($A116,'0.Productos'!$A$3:$GG$587,'0.Productos'!DF$1+1,0),"")</f>
        <v/>
      </c>
      <c r="BO116" s="133" t="str">
        <f>IF($A116&lt;&gt;0,VLOOKUP($A116,'0.Productos'!$A$3:$GG$587,'0.Productos'!DG$1+1,0),"")</f>
        <v/>
      </c>
      <c r="BP116" s="133" t="str">
        <f>IF($A116&lt;&gt;0,VLOOKUP($A116,'0.Productos'!$A$3:$GG$587,'0.Productos'!DH$1+1,0),"")</f>
        <v/>
      </c>
      <c r="BQ116" s="133" t="str">
        <f>IF($A116&lt;&gt;0,VLOOKUP($A116,'0.Productos'!$A$3:$GG$587,'0.Productos'!DI$1+1,0),"")</f>
        <v/>
      </c>
      <c r="BR116" s="133" t="str">
        <f>IF($A116&lt;&gt;0,VLOOKUP($A116,'0.Productos'!$A$3:$GG$587,'0.Productos'!DJ$1+1,0),"")</f>
        <v/>
      </c>
      <c r="BS116" s="133" t="str">
        <f>IF($A116&lt;&gt;0,VLOOKUP($A116,'0.Productos'!$A$3:$GG$587,'0.Productos'!DK$1+1,0),"")</f>
        <v/>
      </c>
      <c r="BT116" s="133" t="str">
        <f>IF($A116&lt;&gt;0,VLOOKUP($A116,'0.Productos'!$A$3:$GG$587,'0.Productos'!DL$1+1,0),"")</f>
        <v/>
      </c>
    </row>
    <row r="117" spans="1:72" x14ac:dyDescent="0.25">
      <c r="A117" s="17">
        <f>'0.Consolidado general'!A117</f>
        <v>0</v>
      </c>
      <c r="B117" s="133" t="str">
        <f>IF($A117&lt;&gt;0,VLOOKUP($A117,'0.Productos'!$A$3:$GG$587,'0.Productos'!AT$1+1,0),"")</f>
        <v/>
      </c>
      <c r="C117" s="133" t="str">
        <f>IF($A117&lt;&gt;0,VLOOKUP($A117,'0.Productos'!$A$3:$GG$587,'0.Productos'!AU$1+1,0),"")</f>
        <v/>
      </c>
      <c r="D117" s="133" t="str">
        <f>IF($A117&lt;&gt;0,VLOOKUP($A117,'0.Productos'!$A$3:$GG$587,'0.Productos'!AV$1+1,0),"")</f>
        <v/>
      </c>
      <c r="E117" s="133" t="str">
        <f>IF($A117&lt;&gt;0,VLOOKUP($A117,'0.Productos'!$A$3:$GG$587,'0.Productos'!AW$1+1,0),"")</f>
        <v/>
      </c>
      <c r="F117" s="133" t="str">
        <f>IF($A117&lt;&gt;0,VLOOKUP($A117,'0.Productos'!$A$3:$GG$587,'0.Productos'!AX$1+1,0),"")</f>
        <v/>
      </c>
      <c r="G117" s="133" t="str">
        <f>IF($A117&lt;&gt;0,VLOOKUP($A117,'0.Productos'!$A$3:$GG$587,'0.Productos'!AY$1+1,0),"")</f>
        <v/>
      </c>
      <c r="H117" s="133" t="str">
        <f>IF($A117&lt;&gt;0,VLOOKUP($A117,'0.Productos'!$A$3:$GG$587,'0.Productos'!AZ$1+1,0),"")</f>
        <v/>
      </c>
      <c r="I117" s="133" t="str">
        <f>IF($A117&lt;&gt;0,VLOOKUP($A117,'0.Productos'!$A$3:$GG$587,'0.Productos'!BA$1+1,0),"")</f>
        <v/>
      </c>
      <c r="J117" s="133" t="str">
        <f>IF($A117&lt;&gt;0,VLOOKUP($A117,'0.Productos'!$A$3:$GG$587,'0.Productos'!BB$1+1,0),"")</f>
        <v/>
      </c>
      <c r="K117" s="133" t="str">
        <f>IF($A117&lt;&gt;0,VLOOKUP($A117,'0.Productos'!$A$3:$GG$587,'0.Productos'!BC$1+1,0),"")</f>
        <v/>
      </c>
      <c r="L117" s="133" t="str">
        <f>IF($A117&lt;&gt;0,VLOOKUP($A117,'0.Productos'!$A$3:$GG$587,'0.Productos'!BD$1+1,0),"")</f>
        <v/>
      </c>
      <c r="M117" s="133" t="str">
        <f>IF($A117&lt;&gt;0,VLOOKUP($A117,'0.Productos'!$A$3:$GG$587,'0.Productos'!BE$1+1,0),"")</f>
        <v/>
      </c>
      <c r="N117" s="133" t="str">
        <f>IF($A117&lt;&gt;0,VLOOKUP($A117,'0.Productos'!$A$3:$GG$587,'0.Productos'!BF$1+1,0),"")</f>
        <v/>
      </c>
      <c r="O117" s="133" t="str">
        <f>IF($A117&lt;&gt;0,VLOOKUP($A117,'0.Productos'!$A$3:$GG$587,'0.Productos'!BG$1+1,0),"")</f>
        <v/>
      </c>
      <c r="P117" s="133" t="str">
        <f>IF($A117&lt;&gt;0,VLOOKUP($A117,'0.Productos'!$A$3:$GG$587,'0.Productos'!BH$1+1,0),"")</f>
        <v/>
      </c>
      <c r="Q117" s="133" t="str">
        <f>IF($A117&lt;&gt;0,VLOOKUP($A117,'0.Productos'!$A$3:$GG$587,'0.Productos'!BI$1+1,0),"")</f>
        <v/>
      </c>
      <c r="R117" s="133" t="str">
        <f>IF($A117&lt;&gt;0,VLOOKUP($A117,'0.Productos'!$A$3:$GG$587,'0.Productos'!BJ$1+1,0),"")</f>
        <v/>
      </c>
      <c r="S117" s="133" t="str">
        <f>IF($A117&lt;&gt;0,VLOOKUP($A117,'0.Productos'!$A$3:$GG$587,'0.Productos'!BK$1+1,0),"")</f>
        <v/>
      </c>
      <c r="T117" s="133" t="str">
        <f>IF($A117&lt;&gt;0,VLOOKUP($A117,'0.Productos'!$A$3:$GG$587,'0.Productos'!BL$1+1,0),"")</f>
        <v/>
      </c>
      <c r="U117" s="133" t="str">
        <f>IF($A117&lt;&gt;0,VLOOKUP($A117,'0.Productos'!$A$3:$GG$587,'0.Productos'!BM$1+1,0),"")</f>
        <v/>
      </c>
      <c r="V117" s="133" t="str">
        <f>IF($A117&lt;&gt;0,VLOOKUP($A117,'0.Productos'!$A$3:$GG$587,'0.Productos'!BN$1+1,0),"")</f>
        <v/>
      </c>
      <c r="W117" s="133" t="str">
        <f>IF($A117&lt;&gt;0,VLOOKUP($A117,'0.Productos'!$A$3:$GG$587,'0.Productos'!BO$1+1,0),"")</f>
        <v/>
      </c>
      <c r="X117" s="133" t="str">
        <f>IF($A117&lt;&gt;0,VLOOKUP($A117,'0.Productos'!$A$3:$GG$587,'0.Productos'!BP$1+1,0),"")</f>
        <v/>
      </c>
      <c r="Y117" s="133" t="str">
        <f>IF($A117&lt;&gt;0,VLOOKUP($A117,'0.Productos'!$A$3:$GG$587,'0.Productos'!BQ$1+1,0),"")</f>
        <v/>
      </c>
      <c r="Z117" s="133" t="str">
        <f>IF($A117&lt;&gt;0,VLOOKUP($A117,'0.Productos'!$A$3:$GG$587,'0.Productos'!BR$1+1,0),"")</f>
        <v/>
      </c>
      <c r="AA117" s="133" t="str">
        <f>IF($A117&lt;&gt;0,VLOOKUP($A117,'0.Productos'!$A$3:$GG$587,'0.Productos'!BS$1+1,0),"")</f>
        <v/>
      </c>
      <c r="AB117" s="133" t="str">
        <f>IF($A117&lt;&gt;0,VLOOKUP($A117,'0.Productos'!$A$3:$GG$587,'0.Productos'!BT$1+1,0),"")</f>
        <v/>
      </c>
      <c r="AC117" s="133" t="str">
        <f>IF($A117&lt;&gt;0,VLOOKUP($A117,'0.Productos'!$A$3:$GG$587,'0.Productos'!BU$1+1,0),"")</f>
        <v/>
      </c>
      <c r="AD117" s="133" t="str">
        <f>IF($A117&lt;&gt;0,VLOOKUP($A117,'0.Productos'!$A$3:$GG$587,'0.Productos'!BV$1+1,0),"")</f>
        <v/>
      </c>
      <c r="AE117" s="133" t="str">
        <f>IF($A117&lt;&gt;0,VLOOKUP($A117,'0.Productos'!$A$3:$GG$587,'0.Productos'!BW$1+1,0),"")</f>
        <v/>
      </c>
      <c r="AF117" s="133" t="str">
        <f>IF($A117&lt;&gt;0,VLOOKUP($A117,'0.Productos'!$A$3:$GG$587,'0.Productos'!BX$1+1,0),"")</f>
        <v/>
      </c>
      <c r="AG117" s="133" t="str">
        <f>IF($A117&lt;&gt;0,VLOOKUP($A117,'0.Productos'!$A$3:$GG$587,'0.Productos'!BY$1+1,0),"")</f>
        <v/>
      </c>
      <c r="AH117" s="133" t="str">
        <f>IF($A117&lt;&gt;0,VLOOKUP($A117,'0.Productos'!$A$3:$GG$587,'0.Productos'!BZ$1+1,0),"")</f>
        <v/>
      </c>
      <c r="AI117" s="133" t="str">
        <f>IF($A117&lt;&gt;0,VLOOKUP($A117,'0.Productos'!$A$3:$GG$587,'0.Productos'!CA$1+1,0),"")</f>
        <v/>
      </c>
      <c r="AJ117" s="133" t="str">
        <f>IF($A117&lt;&gt;0,VLOOKUP($A117,'0.Productos'!$A$3:$GG$587,'0.Productos'!CB$1+1,0),"")</f>
        <v/>
      </c>
      <c r="AK117" s="133" t="str">
        <f>IF($A117&lt;&gt;0,VLOOKUP($A117,'0.Productos'!$A$3:$GG$587,'0.Productos'!CC$1+1,0),"")</f>
        <v/>
      </c>
      <c r="AL117" s="133" t="str">
        <f>IF($A117&lt;&gt;0,VLOOKUP($A117,'0.Productos'!$A$3:$GG$587,'0.Productos'!CD$1+1,0),"")</f>
        <v/>
      </c>
      <c r="AM117" s="133" t="str">
        <f>IF($A117&lt;&gt;0,VLOOKUP($A117,'0.Productos'!$A$3:$GG$587,'0.Productos'!CE$1+1,0),"")</f>
        <v/>
      </c>
      <c r="AN117" s="133" t="str">
        <f>IF($A117&lt;&gt;0,VLOOKUP($A117,'0.Productos'!$A$3:$GG$587,'0.Productos'!CF$1+1,0),"")</f>
        <v/>
      </c>
      <c r="AO117" s="133" t="str">
        <f>IF($A117&lt;&gt;0,VLOOKUP($A117,'0.Productos'!$A$3:$GG$587,'0.Productos'!CG$1+1,0),"")</f>
        <v/>
      </c>
      <c r="AP117" s="133" t="str">
        <f>IF($A117&lt;&gt;0,VLOOKUP($A117,'0.Productos'!$A$3:$GG$587,'0.Productos'!CH$1+1,0),"")</f>
        <v/>
      </c>
      <c r="AQ117" s="133" t="str">
        <f>IF($A117&lt;&gt;0,VLOOKUP($A117,'0.Productos'!$A$3:$GG$587,'0.Productos'!CI$1+1,0),"")</f>
        <v/>
      </c>
      <c r="AR117" s="133" t="str">
        <f>IF($A117&lt;&gt;0,VLOOKUP($A117,'0.Productos'!$A$3:$GG$587,'0.Productos'!CJ$1+1,0),"")</f>
        <v/>
      </c>
      <c r="AS117" s="133" t="str">
        <f>IF($A117&lt;&gt;0,VLOOKUP($A117,'0.Productos'!$A$3:$GG$587,'0.Productos'!CK$1+1,0),"")</f>
        <v/>
      </c>
      <c r="AT117" s="133" t="str">
        <f>IF($A117&lt;&gt;0,VLOOKUP($A117,'0.Productos'!$A$3:$GG$587,'0.Productos'!CL$1+1,0),"")</f>
        <v/>
      </c>
      <c r="AU117" s="133" t="str">
        <f>IF($A117&lt;&gt;0,VLOOKUP($A117,'0.Productos'!$A$3:$GG$587,'0.Productos'!CM$1+1,0),"")</f>
        <v/>
      </c>
      <c r="AV117" s="133" t="str">
        <f>IF($A117&lt;&gt;0,VLOOKUP($A117,'0.Productos'!$A$3:$GG$587,'0.Productos'!CN$1+1,0),"")</f>
        <v/>
      </c>
      <c r="AW117" s="133" t="str">
        <f>IF($A117&lt;&gt;0,VLOOKUP($A117,'0.Productos'!$A$3:$GG$587,'0.Productos'!CO$1+1,0),"")</f>
        <v/>
      </c>
      <c r="AX117" s="133" t="str">
        <f>IF($A117&lt;&gt;0,VLOOKUP($A117,'0.Productos'!$A$3:$GG$587,'0.Productos'!CP$1+1,0),"")</f>
        <v/>
      </c>
      <c r="AY117" s="133" t="str">
        <f>IF($A117&lt;&gt;0,VLOOKUP($A117,'0.Productos'!$A$3:$GG$587,'0.Productos'!CQ$1+1,0),"")</f>
        <v/>
      </c>
      <c r="AZ117" s="133" t="str">
        <f>IF($A117&lt;&gt;0,VLOOKUP($A117,'0.Productos'!$A$3:$GG$587,'0.Productos'!CR$1+1,0),"")</f>
        <v/>
      </c>
      <c r="BA117" s="133" t="str">
        <f>IF($A117&lt;&gt;0,VLOOKUP($A117,'0.Productos'!$A$3:$GG$587,'0.Productos'!CS$1+1,0),"")</f>
        <v/>
      </c>
      <c r="BB117" s="133" t="str">
        <f>IF($A117&lt;&gt;0,VLOOKUP($A117,'0.Productos'!$A$3:$GG$587,'0.Productos'!CT$1+1,0),"")</f>
        <v/>
      </c>
      <c r="BC117" s="133" t="str">
        <f>IF($A117&lt;&gt;0,VLOOKUP($A117,'0.Productos'!$A$3:$GG$587,'0.Productos'!CU$1+1,0),"")</f>
        <v/>
      </c>
      <c r="BD117" s="133" t="str">
        <f>IF($A117&lt;&gt;0,VLOOKUP($A117,'0.Productos'!$A$3:$GG$587,'0.Productos'!CV$1+1,0),"")</f>
        <v/>
      </c>
      <c r="BE117" s="133" t="str">
        <f>IF($A117&lt;&gt;0,VLOOKUP($A117,'0.Productos'!$A$3:$GG$587,'0.Productos'!CW$1+1,0),"")</f>
        <v/>
      </c>
      <c r="BF117" s="133" t="str">
        <f>IF($A117&lt;&gt;0,VLOOKUP($A117,'0.Productos'!$A$3:$GG$587,'0.Productos'!CX$1+1,0),"")</f>
        <v/>
      </c>
      <c r="BG117" s="133" t="str">
        <f>IF($A117&lt;&gt;0,VLOOKUP($A117,'0.Productos'!$A$3:$GG$587,'0.Productos'!CY$1+1,0),"")</f>
        <v/>
      </c>
      <c r="BH117" s="133" t="str">
        <f>IF($A117&lt;&gt;0,VLOOKUP($A117,'0.Productos'!$A$3:$GG$587,'0.Productos'!CZ$1+1,0),"")</f>
        <v/>
      </c>
      <c r="BI117" s="133" t="str">
        <f>IF($A117&lt;&gt;0,VLOOKUP($A117,'0.Productos'!$A$3:$GG$587,'0.Productos'!DA$1+1,0),"")</f>
        <v/>
      </c>
      <c r="BJ117" s="133" t="str">
        <f>IF($A117&lt;&gt;0,VLOOKUP($A117,'0.Productos'!$A$3:$GG$587,'0.Productos'!DB$1+1,0),"")</f>
        <v/>
      </c>
      <c r="BK117" s="133" t="str">
        <f>IF($A117&lt;&gt;0,VLOOKUP($A117,'0.Productos'!$A$3:$GG$587,'0.Productos'!DC$1+1,0),"")</f>
        <v/>
      </c>
      <c r="BL117" s="133" t="str">
        <f>IF($A117&lt;&gt;0,VLOOKUP($A117,'0.Productos'!$A$3:$GG$587,'0.Productos'!DD$1+1,0),"")</f>
        <v/>
      </c>
      <c r="BM117" s="133" t="str">
        <f>IF($A117&lt;&gt;0,VLOOKUP($A117,'0.Productos'!$A$3:$GG$587,'0.Productos'!DE$1+1,0),"")</f>
        <v/>
      </c>
      <c r="BN117" s="133" t="str">
        <f>IF($A117&lt;&gt;0,VLOOKUP($A117,'0.Productos'!$A$3:$GG$587,'0.Productos'!DF$1+1,0),"")</f>
        <v/>
      </c>
      <c r="BO117" s="133" t="str">
        <f>IF($A117&lt;&gt;0,VLOOKUP($A117,'0.Productos'!$A$3:$GG$587,'0.Productos'!DG$1+1,0),"")</f>
        <v/>
      </c>
      <c r="BP117" s="133" t="str">
        <f>IF($A117&lt;&gt;0,VLOOKUP($A117,'0.Productos'!$A$3:$GG$587,'0.Productos'!DH$1+1,0),"")</f>
        <v/>
      </c>
      <c r="BQ117" s="133" t="str">
        <f>IF($A117&lt;&gt;0,VLOOKUP($A117,'0.Productos'!$A$3:$GG$587,'0.Productos'!DI$1+1,0),"")</f>
        <v/>
      </c>
      <c r="BR117" s="133" t="str">
        <f>IF($A117&lt;&gt;0,VLOOKUP($A117,'0.Productos'!$A$3:$GG$587,'0.Productos'!DJ$1+1,0),"")</f>
        <v/>
      </c>
      <c r="BS117" s="133" t="str">
        <f>IF($A117&lt;&gt;0,VLOOKUP($A117,'0.Productos'!$A$3:$GG$587,'0.Productos'!DK$1+1,0),"")</f>
        <v/>
      </c>
      <c r="BT117" s="133" t="str">
        <f>IF($A117&lt;&gt;0,VLOOKUP($A117,'0.Productos'!$A$3:$GG$587,'0.Productos'!DL$1+1,0),"")</f>
        <v/>
      </c>
    </row>
    <row r="118" spans="1:72" x14ac:dyDescent="0.25">
      <c r="A118" s="17">
        <f>'0.Consolidado general'!A118</f>
        <v>0</v>
      </c>
      <c r="B118" s="133" t="str">
        <f>IF($A118&lt;&gt;0,VLOOKUP($A118,'0.Productos'!$A$3:$GG$587,'0.Productos'!AT$1+1,0),"")</f>
        <v/>
      </c>
      <c r="C118" s="133" t="str">
        <f>IF($A118&lt;&gt;0,VLOOKUP($A118,'0.Productos'!$A$3:$GG$587,'0.Productos'!AU$1+1,0),"")</f>
        <v/>
      </c>
      <c r="D118" s="133" t="str">
        <f>IF($A118&lt;&gt;0,VLOOKUP($A118,'0.Productos'!$A$3:$GG$587,'0.Productos'!AV$1+1,0),"")</f>
        <v/>
      </c>
      <c r="E118" s="133" t="str">
        <f>IF($A118&lt;&gt;0,VLOOKUP($A118,'0.Productos'!$A$3:$GG$587,'0.Productos'!AW$1+1,0),"")</f>
        <v/>
      </c>
      <c r="F118" s="133" t="str">
        <f>IF($A118&lt;&gt;0,VLOOKUP($A118,'0.Productos'!$A$3:$GG$587,'0.Productos'!AX$1+1,0),"")</f>
        <v/>
      </c>
      <c r="G118" s="133" t="str">
        <f>IF($A118&lt;&gt;0,VLOOKUP($A118,'0.Productos'!$A$3:$GG$587,'0.Productos'!AY$1+1,0),"")</f>
        <v/>
      </c>
      <c r="H118" s="133" t="str">
        <f>IF($A118&lt;&gt;0,VLOOKUP($A118,'0.Productos'!$A$3:$GG$587,'0.Productos'!AZ$1+1,0),"")</f>
        <v/>
      </c>
      <c r="I118" s="133" t="str">
        <f>IF($A118&lt;&gt;0,VLOOKUP($A118,'0.Productos'!$A$3:$GG$587,'0.Productos'!BA$1+1,0),"")</f>
        <v/>
      </c>
      <c r="J118" s="133" t="str">
        <f>IF($A118&lt;&gt;0,VLOOKUP($A118,'0.Productos'!$A$3:$GG$587,'0.Productos'!BB$1+1,0),"")</f>
        <v/>
      </c>
      <c r="K118" s="133" t="str">
        <f>IF($A118&lt;&gt;0,VLOOKUP($A118,'0.Productos'!$A$3:$GG$587,'0.Productos'!BC$1+1,0),"")</f>
        <v/>
      </c>
      <c r="L118" s="133" t="str">
        <f>IF($A118&lt;&gt;0,VLOOKUP($A118,'0.Productos'!$A$3:$GG$587,'0.Productos'!BD$1+1,0),"")</f>
        <v/>
      </c>
      <c r="M118" s="133" t="str">
        <f>IF($A118&lt;&gt;0,VLOOKUP($A118,'0.Productos'!$A$3:$GG$587,'0.Productos'!BE$1+1,0),"")</f>
        <v/>
      </c>
      <c r="N118" s="133" t="str">
        <f>IF($A118&lt;&gt;0,VLOOKUP($A118,'0.Productos'!$A$3:$GG$587,'0.Productos'!BF$1+1,0),"")</f>
        <v/>
      </c>
      <c r="O118" s="133" t="str">
        <f>IF($A118&lt;&gt;0,VLOOKUP($A118,'0.Productos'!$A$3:$GG$587,'0.Productos'!BG$1+1,0),"")</f>
        <v/>
      </c>
      <c r="P118" s="133" t="str">
        <f>IF($A118&lt;&gt;0,VLOOKUP($A118,'0.Productos'!$A$3:$GG$587,'0.Productos'!BH$1+1,0),"")</f>
        <v/>
      </c>
      <c r="Q118" s="133" t="str">
        <f>IF($A118&lt;&gt;0,VLOOKUP($A118,'0.Productos'!$A$3:$GG$587,'0.Productos'!BI$1+1,0),"")</f>
        <v/>
      </c>
      <c r="R118" s="133" t="str">
        <f>IF($A118&lt;&gt;0,VLOOKUP($A118,'0.Productos'!$A$3:$GG$587,'0.Productos'!BJ$1+1,0),"")</f>
        <v/>
      </c>
      <c r="S118" s="133" t="str">
        <f>IF($A118&lt;&gt;0,VLOOKUP($A118,'0.Productos'!$A$3:$GG$587,'0.Productos'!BK$1+1,0),"")</f>
        <v/>
      </c>
      <c r="T118" s="133" t="str">
        <f>IF($A118&lt;&gt;0,VLOOKUP($A118,'0.Productos'!$A$3:$GG$587,'0.Productos'!BL$1+1,0),"")</f>
        <v/>
      </c>
      <c r="U118" s="133" t="str">
        <f>IF($A118&lt;&gt;0,VLOOKUP($A118,'0.Productos'!$A$3:$GG$587,'0.Productos'!BM$1+1,0),"")</f>
        <v/>
      </c>
      <c r="V118" s="133" t="str">
        <f>IF($A118&lt;&gt;0,VLOOKUP($A118,'0.Productos'!$A$3:$GG$587,'0.Productos'!BN$1+1,0),"")</f>
        <v/>
      </c>
      <c r="W118" s="133" t="str">
        <f>IF($A118&lt;&gt;0,VLOOKUP($A118,'0.Productos'!$A$3:$GG$587,'0.Productos'!BO$1+1,0),"")</f>
        <v/>
      </c>
      <c r="X118" s="133" t="str">
        <f>IF($A118&lt;&gt;0,VLOOKUP($A118,'0.Productos'!$A$3:$GG$587,'0.Productos'!BP$1+1,0),"")</f>
        <v/>
      </c>
      <c r="Y118" s="133" t="str">
        <f>IF($A118&lt;&gt;0,VLOOKUP($A118,'0.Productos'!$A$3:$GG$587,'0.Productos'!BQ$1+1,0),"")</f>
        <v/>
      </c>
      <c r="Z118" s="133" t="str">
        <f>IF($A118&lt;&gt;0,VLOOKUP($A118,'0.Productos'!$A$3:$GG$587,'0.Productos'!BR$1+1,0),"")</f>
        <v/>
      </c>
      <c r="AA118" s="133" t="str">
        <f>IF($A118&lt;&gt;0,VLOOKUP($A118,'0.Productos'!$A$3:$GG$587,'0.Productos'!BS$1+1,0),"")</f>
        <v/>
      </c>
      <c r="AB118" s="133" t="str">
        <f>IF($A118&lt;&gt;0,VLOOKUP($A118,'0.Productos'!$A$3:$GG$587,'0.Productos'!BT$1+1,0),"")</f>
        <v/>
      </c>
      <c r="AC118" s="133" t="str">
        <f>IF($A118&lt;&gt;0,VLOOKUP($A118,'0.Productos'!$A$3:$GG$587,'0.Productos'!BU$1+1,0),"")</f>
        <v/>
      </c>
      <c r="AD118" s="133" t="str">
        <f>IF($A118&lt;&gt;0,VLOOKUP($A118,'0.Productos'!$A$3:$GG$587,'0.Productos'!BV$1+1,0),"")</f>
        <v/>
      </c>
      <c r="AE118" s="133" t="str">
        <f>IF($A118&lt;&gt;0,VLOOKUP($A118,'0.Productos'!$A$3:$GG$587,'0.Productos'!BW$1+1,0),"")</f>
        <v/>
      </c>
      <c r="AF118" s="133" t="str">
        <f>IF($A118&lt;&gt;0,VLOOKUP($A118,'0.Productos'!$A$3:$GG$587,'0.Productos'!BX$1+1,0),"")</f>
        <v/>
      </c>
      <c r="AG118" s="133" t="str">
        <f>IF($A118&lt;&gt;0,VLOOKUP($A118,'0.Productos'!$A$3:$GG$587,'0.Productos'!BY$1+1,0),"")</f>
        <v/>
      </c>
      <c r="AH118" s="133" t="str">
        <f>IF($A118&lt;&gt;0,VLOOKUP($A118,'0.Productos'!$A$3:$GG$587,'0.Productos'!BZ$1+1,0),"")</f>
        <v/>
      </c>
      <c r="AI118" s="133" t="str">
        <f>IF($A118&lt;&gt;0,VLOOKUP($A118,'0.Productos'!$A$3:$GG$587,'0.Productos'!CA$1+1,0),"")</f>
        <v/>
      </c>
      <c r="AJ118" s="133" t="str">
        <f>IF($A118&lt;&gt;0,VLOOKUP($A118,'0.Productos'!$A$3:$GG$587,'0.Productos'!CB$1+1,0),"")</f>
        <v/>
      </c>
      <c r="AK118" s="133" t="str">
        <f>IF($A118&lt;&gt;0,VLOOKUP($A118,'0.Productos'!$A$3:$GG$587,'0.Productos'!CC$1+1,0),"")</f>
        <v/>
      </c>
      <c r="AL118" s="133" t="str">
        <f>IF($A118&lt;&gt;0,VLOOKUP($A118,'0.Productos'!$A$3:$GG$587,'0.Productos'!CD$1+1,0),"")</f>
        <v/>
      </c>
      <c r="AM118" s="133" t="str">
        <f>IF($A118&lt;&gt;0,VLOOKUP($A118,'0.Productos'!$A$3:$GG$587,'0.Productos'!CE$1+1,0),"")</f>
        <v/>
      </c>
      <c r="AN118" s="133" t="str">
        <f>IF($A118&lt;&gt;0,VLOOKUP($A118,'0.Productos'!$A$3:$GG$587,'0.Productos'!CF$1+1,0),"")</f>
        <v/>
      </c>
      <c r="AO118" s="133" t="str">
        <f>IF($A118&lt;&gt;0,VLOOKUP($A118,'0.Productos'!$A$3:$GG$587,'0.Productos'!CG$1+1,0),"")</f>
        <v/>
      </c>
      <c r="AP118" s="133" t="str">
        <f>IF($A118&lt;&gt;0,VLOOKUP($A118,'0.Productos'!$A$3:$GG$587,'0.Productos'!CH$1+1,0),"")</f>
        <v/>
      </c>
      <c r="AQ118" s="133" t="str">
        <f>IF($A118&lt;&gt;0,VLOOKUP($A118,'0.Productos'!$A$3:$GG$587,'0.Productos'!CI$1+1,0),"")</f>
        <v/>
      </c>
      <c r="AR118" s="133" t="str">
        <f>IF($A118&lt;&gt;0,VLOOKUP($A118,'0.Productos'!$A$3:$GG$587,'0.Productos'!CJ$1+1,0),"")</f>
        <v/>
      </c>
      <c r="AS118" s="133" t="str">
        <f>IF($A118&lt;&gt;0,VLOOKUP($A118,'0.Productos'!$A$3:$GG$587,'0.Productos'!CK$1+1,0),"")</f>
        <v/>
      </c>
      <c r="AT118" s="133" t="str">
        <f>IF($A118&lt;&gt;0,VLOOKUP($A118,'0.Productos'!$A$3:$GG$587,'0.Productos'!CL$1+1,0),"")</f>
        <v/>
      </c>
      <c r="AU118" s="133" t="str">
        <f>IF($A118&lt;&gt;0,VLOOKUP($A118,'0.Productos'!$A$3:$GG$587,'0.Productos'!CM$1+1,0),"")</f>
        <v/>
      </c>
      <c r="AV118" s="133" t="str">
        <f>IF($A118&lt;&gt;0,VLOOKUP($A118,'0.Productos'!$A$3:$GG$587,'0.Productos'!CN$1+1,0),"")</f>
        <v/>
      </c>
      <c r="AW118" s="133" t="str">
        <f>IF($A118&lt;&gt;0,VLOOKUP($A118,'0.Productos'!$A$3:$GG$587,'0.Productos'!CO$1+1,0),"")</f>
        <v/>
      </c>
      <c r="AX118" s="133" t="str">
        <f>IF($A118&lt;&gt;0,VLOOKUP($A118,'0.Productos'!$A$3:$GG$587,'0.Productos'!CP$1+1,0),"")</f>
        <v/>
      </c>
      <c r="AY118" s="133" t="str">
        <f>IF($A118&lt;&gt;0,VLOOKUP($A118,'0.Productos'!$A$3:$GG$587,'0.Productos'!CQ$1+1,0),"")</f>
        <v/>
      </c>
      <c r="AZ118" s="133" t="str">
        <f>IF($A118&lt;&gt;0,VLOOKUP($A118,'0.Productos'!$A$3:$GG$587,'0.Productos'!CR$1+1,0),"")</f>
        <v/>
      </c>
      <c r="BA118" s="133" t="str">
        <f>IF($A118&lt;&gt;0,VLOOKUP($A118,'0.Productos'!$A$3:$GG$587,'0.Productos'!CS$1+1,0),"")</f>
        <v/>
      </c>
      <c r="BB118" s="133" t="str">
        <f>IF($A118&lt;&gt;0,VLOOKUP($A118,'0.Productos'!$A$3:$GG$587,'0.Productos'!CT$1+1,0),"")</f>
        <v/>
      </c>
      <c r="BC118" s="133" t="str">
        <f>IF($A118&lt;&gt;0,VLOOKUP($A118,'0.Productos'!$A$3:$GG$587,'0.Productos'!CU$1+1,0),"")</f>
        <v/>
      </c>
      <c r="BD118" s="133" t="str">
        <f>IF($A118&lt;&gt;0,VLOOKUP($A118,'0.Productos'!$A$3:$GG$587,'0.Productos'!CV$1+1,0),"")</f>
        <v/>
      </c>
      <c r="BE118" s="133" t="str">
        <f>IF($A118&lt;&gt;0,VLOOKUP($A118,'0.Productos'!$A$3:$GG$587,'0.Productos'!CW$1+1,0),"")</f>
        <v/>
      </c>
      <c r="BF118" s="133" t="str">
        <f>IF($A118&lt;&gt;0,VLOOKUP($A118,'0.Productos'!$A$3:$GG$587,'0.Productos'!CX$1+1,0),"")</f>
        <v/>
      </c>
      <c r="BG118" s="133" t="str">
        <f>IF($A118&lt;&gt;0,VLOOKUP($A118,'0.Productos'!$A$3:$GG$587,'0.Productos'!CY$1+1,0),"")</f>
        <v/>
      </c>
      <c r="BH118" s="133" t="str">
        <f>IF($A118&lt;&gt;0,VLOOKUP($A118,'0.Productos'!$A$3:$GG$587,'0.Productos'!CZ$1+1,0),"")</f>
        <v/>
      </c>
      <c r="BI118" s="133" t="str">
        <f>IF($A118&lt;&gt;0,VLOOKUP($A118,'0.Productos'!$A$3:$GG$587,'0.Productos'!DA$1+1,0),"")</f>
        <v/>
      </c>
      <c r="BJ118" s="133" t="str">
        <f>IF($A118&lt;&gt;0,VLOOKUP($A118,'0.Productos'!$A$3:$GG$587,'0.Productos'!DB$1+1,0),"")</f>
        <v/>
      </c>
      <c r="BK118" s="133" t="str">
        <f>IF($A118&lt;&gt;0,VLOOKUP($A118,'0.Productos'!$A$3:$GG$587,'0.Productos'!DC$1+1,0),"")</f>
        <v/>
      </c>
      <c r="BL118" s="133" t="str">
        <f>IF($A118&lt;&gt;0,VLOOKUP($A118,'0.Productos'!$A$3:$GG$587,'0.Productos'!DD$1+1,0),"")</f>
        <v/>
      </c>
      <c r="BM118" s="133" t="str">
        <f>IF($A118&lt;&gt;0,VLOOKUP($A118,'0.Productos'!$A$3:$GG$587,'0.Productos'!DE$1+1,0),"")</f>
        <v/>
      </c>
      <c r="BN118" s="133" t="str">
        <f>IF($A118&lt;&gt;0,VLOOKUP($A118,'0.Productos'!$A$3:$GG$587,'0.Productos'!DF$1+1,0),"")</f>
        <v/>
      </c>
      <c r="BO118" s="133" t="str">
        <f>IF($A118&lt;&gt;0,VLOOKUP($A118,'0.Productos'!$A$3:$GG$587,'0.Productos'!DG$1+1,0),"")</f>
        <v/>
      </c>
      <c r="BP118" s="133" t="str">
        <f>IF($A118&lt;&gt;0,VLOOKUP($A118,'0.Productos'!$A$3:$GG$587,'0.Productos'!DH$1+1,0),"")</f>
        <v/>
      </c>
      <c r="BQ118" s="133" t="str">
        <f>IF($A118&lt;&gt;0,VLOOKUP($A118,'0.Productos'!$A$3:$GG$587,'0.Productos'!DI$1+1,0),"")</f>
        <v/>
      </c>
      <c r="BR118" s="133" t="str">
        <f>IF($A118&lt;&gt;0,VLOOKUP($A118,'0.Productos'!$A$3:$GG$587,'0.Productos'!DJ$1+1,0),"")</f>
        <v/>
      </c>
      <c r="BS118" s="133" t="str">
        <f>IF($A118&lt;&gt;0,VLOOKUP($A118,'0.Productos'!$A$3:$GG$587,'0.Productos'!DK$1+1,0),"")</f>
        <v/>
      </c>
      <c r="BT118" s="133" t="str">
        <f>IF($A118&lt;&gt;0,VLOOKUP($A118,'0.Productos'!$A$3:$GG$587,'0.Productos'!DL$1+1,0),"")</f>
        <v/>
      </c>
    </row>
    <row r="119" spans="1:72" x14ac:dyDescent="0.25">
      <c r="A119" s="17">
        <f>'0.Consolidado general'!A119</f>
        <v>0</v>
      </c>
      <c r="B119" s="133" t="str">
        <f>IF($A119&lt;&gt;0,VLOOKUP($A119,'0.Productos'!$A$3:$GG$587,'0.Productos'!AT$1+1,0),"")</f>
        <v/>
      </c>
      <c r="C119" s="133" t="str">
        <f>IF($A119&lt;&gt;0,VLOOKUP($A119,'0.Productos'!$A$3:$GG$587,'0.Productos'!AU$1+1,0),"")</f>
        <v/>
      </c>
      <c r="D119" s="133" t="str">
        <f>IF($A119&lt;&gt;0,VLOOKUP($A119,'0.Productos'!$A$3:$GG$587,'0.Productos'!AV$1+1,0),"")</f>
        <v/>
      </c>
      <c r="E119" s="133" t="str">
        <f>IF($A119&lt;&gt;0,VLOOKUP($A119,'0.Productos'!$A$3:$GG$587,'0.Productos'!AW$1+1,0),"")</f>
        <v/>
      </c>
      <c r="F119" s="133" t="str">
        <f>IF($A119&lt;&gt;0,VLOOKUP($A119,'0.Productos'!$A$3:$GG$587,'0.Productos'!AX$1+1,0),"")</f>
        <v/>
      </c>
      <c r="G119" s="133" t="str">
        <f>IF($A119&lt;&gt;0,VLOOKUP($A119,'0.Productos'!$A$3:$GG$587,'0.Productos'!AY$1+1,0),"")</f>
        <v/>
      </c>
      <c r="H119" s="133" t="str">
        <f>IF($A119&lt;&gt;0,VLOOKUP($A119,'0.Productos'!$A$3:$GG$587,'0.Productos'!AZ$1+1,0),"")</f>
        <v/>
      </c>
      <c r="I119" s="133" t="str">
        <f>IF($A119&lt;&gt;0,VLOOKUP($A119,'0.Productos'!$A$3:$GG$587,'0.Productos'!BA$1+1,0),"")</f>
        <v/>
      </c>
      <c r="J119" s="133" t="str">
        <f>IF($A119&lt;&gt;0,VLOOKUP($A119,'0.Productos'!$A$3:$GG$587,'0.Productos'!BB$1+1,0),"")</f>
        <v/>
      </c>
      <c r="K119" s="133" t="str">
        <f>IF($A119&lt;&gt;0,VLOOKUP($A119,'0.Productos'!$A$3:$GG$587,'0.Productos'!BC$1+1,0),"")</f>
        <v/>
      </c>
      <c r="L119" s="133" t="str">
        <f>IF($A119&lt;&gt;0,VLOOKUP($A119,'0.Productos'!$A$3:$GG$587,'0.Productos'!BD$1+1,0),"")</f>
        <v/>
      </c>
      <c r="M119" s="133" t="str">
        <f>IF($A119&lt;&gt;0,VLOOKUP($A119,'0.Productos'!$A$3:$GG$587,'0.Productos'!BE$1+1,0),"")</f>
        <v/>
      </c>
      <c r="N119" s="133" t="str">
        <f>IF($A119&lt;&gt;0,VLOOKUP($A119,'0.Productos'!$A$3:$GG$587,'0.Productos'!BF$1+1,0),"")</f>
        <v/>
      </c>
      <c r="O119" s="133" t="str">
        <f>IF($A119&lt;&gt;0,VLOOKUP($A119,'0.Productos'!$A$3:$GG$587,'0.Productos'!BG$1+1,0),"")</f>
        <v/>
      </c>
      <c r="P119" s="133" t="str">
        <f>IF($A119&lt;&gt;0,VLOOKUP($A119,'0.Productos'!$A$3:$GG$587,'0.Productos'!BH$1+1,0),"")</f>
        <v/>
      </c>
      <c r="Q119" s="133" t="str">
        <f>IF($A119&lt;&gt;0,VLOOKUP($A119,'0.Productos'!$A$3:$GG$587,'0.Productos'!BI$1+1,0),"")</f>
        <v/>
      </c>
      <c r="R119" s="133" t="str">
        <f>IF($A119&lt;&gt;0,VLOOKUP($A119,'0.Productos'!$A$3:$GG$587,'0.Productos'!BJ$1+1,0),"")</f>
        <v/>
      </c>
      <c r="S119" s="133" t="str">
        <f>IF($A119&lt;&gt;0,VLOOKUP($A119,'0.Productos'!$A$3:$GG$587,'0.Productos'!BK$1+1,0),"")</f>
        <v/>
      </c>
      <c r="T119" s="133" t="str">
        <f>IF($A119&lt;&gt;0,VLOOKUP($A119,'0.Productos'!$A$3:$GG$587,'0.Productos'!BL$1+1,0),"")</f>
        <v/>
      </c>
      <c r="U119" s="133" t="str">
        <f>IF($A119&lt;&gt;0,VLOOKUP($A119,'0.Productos'!$A$3:$GG$587,'0.Productos'!BM$1+1,0),"")</f>
        <v/>
      </c>
      <c r="V119" s="133" t="str">
        <f>IF($A119&lt;&gt;0,VLOOKUP($A119,'0.Productos'!$A$3:$GG$587,'0.Productos'!BN$1+1,0),"")</f>
        <v/>
      </c>
      <c r="W119" s="133" t="str">
        <f>IF($A119&lt;&gt;0,VLOOKUP($A119,'0.Productos'!$A$3:$GG$587,'0.Productos'!BO$1+1,0),"")</f>
        <v/>
      </c>
      <c r="X119" s="133" t="str">
        <f>IF($A119&lt;&gt;0,VLOOKUP($A119,'0.Productos'!$A$3:$GG$587,'0.Productos'!BP$1+1,0),"")</f>
        <v/>
      </c>
      <c r="Y119" s="133" t="str">
        <f>IF($A119&lt;&gt;0,VLOOKUP($A119,'0.Productos'!$A$3:$GG$587,'0.Productos'!BQ$1+1,0),"")</f>
        <v/>
      </c>
      <c r="Z119" s="133" t="str">
        <f>IF($A119&lt;&gt;0,VLOOKUP($A119,'0.Productos'!$A$3:$GG$587,'0.Productos'!BR$1+1,0),"")</f>
        <v/>
      </c>
      <c r="AA119" s="133" t="str">
        <f>IF($A119&lt;&gt;0,VLOOKUP($A119,'0.Productos'!$A$3:$GG$587,'0.Productos'!BS$1+1,0),"")</f>
        <v/>
      </c>
      <c r="AB119" s="133" t="str">
        <f>IF($A119&lt;&gt;0,VLOOKUP($A119,'0.Productos'!$A$3:$GG$587,'0.Productos'!BT$1+1,0),"")</f>
        <v/>
      </c>
      <c r="AC119" s="133" t="str">
        <f>IF($A119&lt;&gt;0,VLOOKUP($A119,'0.Productos'!$A$3:$GG$587,'0.Productos'!BU$1+1,0),"")</f>
        <v/>
      </c>
      <c r="AD119" s="133" t="str">
        <f>IF($A119&lt;&gt;0,VLOOKUP($A119,'0.Productos'!$A$3:$GG$587,'0.Productos'!BV$1+1,0),"")</f>
        <v/>
      </c>
      <c r="AE119" s="133" t="str">
        <f>IF($A119&lt;&gt;0,VLOOKUP($A119,'0.Productos'!$A$3:$GG$587,'0.Productos'!BW$1+1,0),"")</f>
        <v/>
      </c>
      <c r="AF119" s="133" t="str">
        <f>IF($A119&lt;&gt;0,VLOOKUP($A119,'0.Productos'!$A$3:$GG$587,'0.Productos'!BX$1+1,0),"")</f>
        <v/>
      </c>
      <c r="AG119" s="133" t="str">
        <f>IF($A119&lt;&gt;0,VLOOKUP($A119,'0.Productos'!$A$3:$GG$587,'0.Productos'!BY$1+1,0),"")</f>
        <v/>
      </c>
      <c r="AH119" s="133" t="str">
        <f>IF($A119&lt;&gt;0,VLOOKUP($A119,'0.Productos'!$A$3:$GG$587,'0.Productos'!BZ$1+1,0),"")</f>
        <v/>
      </c>
      <c r="AI119" s="133" t="str">
        <f>IF($A119&lt;&gt;0,VLOOKUP($A119,'0.Productos'!$A$3:$GG$587,'0.Productos'!CA$1+1,0),"")</f>
        <v/>
      </c>
      <c r="AJ119" s="133" t="str">
        <f>IF($A119&lt;&gt;0,VLOOKUP($A119,'0.Productos'!$A$3:$GG$587,'0.Productos'!CB$1+1,0),"")</f>
        <v/>
      </c>
      <c r="AK119" s="133" t="str">
        <f>IF($A119&lt;&gt;0,VLOOKUP($A119,'0.Productos'!$A$3:$GG$587,'0.Productos'!CC$1+1,0),"")</f>
        <v/>
      </c>
      <c r="AL119" s="133" t="str">
        <f>IF($A119&lt;&gt;0,VLOOKUP($A119,'0.Productos'!$A$3:$GG$587,'0.Productos'!CD$1+1,0),"")</f>
        <v/>
      </c>
      <c r="AM119" s="133" t="str">
        <f>IF($A119&lt;&gt;0,VLOOKUP($A119,'0.Productos'!$A$3:$GG$587,'0.Productos'!CE$1+1,0),"")</f>
        <v/>
      </c>
      <c r="AN119" s="133" t="str">
        <f>IF($A119&lt;&gt;0,VLOOKUP($A119,'0.Productos'!$A$3:$GG$587,'0.Productos'!CF$1+1,0),"")</f>
        <v/>
      </c>
      <c r="AO119" s="133" t="str">
        <f>IF($A119&lt;&gt;0,VLOOKUP($A119,'0.Productos'!$A$3:$GG$587,'0.Productos'!CG$1+1,0),"")</f>
        <v/>
      </c>
      <c r="AP119" s="133" t="str">
        <f>IF($A119&lt;&gt;0,VLOOKUP($A119,'0.Productos'!$A$3:$GG$587,'0.Productos'!CH$1+1,0),"")</f>
        <v/>
      </c>
      <c r="AQ119" s="133" t="str">
        <f>IF($A119&lt;&gt;0,VLOOKUP($A119,'0.Productos'!$A$3:$GG$587,'0.Productos'!CI$1+1,0),"")</f>
        <v/>
      </c>
      <c r="AR119" s="133" t="str">
        <f>IF($A119&lt;&gt;0,VLOOKUP($A119,'0.Productos'!$A$3:$GG$587,'0.Productos'!CJ$1+1,0),"")</f>
        <v/>
      </c>
      <c r="AS119" s="133" t="str">
        <f>IF($A119&lt;&gt;0,VLOOKUP($A119,'0.Productos'!$A$3:$GG$587,'0.Productos'!CK$1+1,0),"")</f>
        <v/>
      </c>
      <c r="AT119" s="133" t="str">
        <f>IF($A119&lt;&gt;0,VLOOKUP($A119,'0.Productos'!$A$3:$GG$587,'0.Productos'!CL$1+1,0),"")</f>
        <v/>
      </c>
      <c r="AU119" s="133" t="str">
        <f>IF($A119&lt;&gt;0,VLOOKUP($A119,'0.Productos'!$A$3:$GG$587,'0.Productos'!CM$1+1,0),"")</f>
        <v/>
      </c>
      <c r="AV119" s="133" t="str">
        <f>IF($A119&lt;&gt;0,VLOOKUP($A119,'0.Productos'!$A$3:$GG$587,'0.Productos'!CN$1+1,0),"")</f>
        <v/>
      </c>
      <c r="AW119" s="133" t="str">
        <f>IF($A119&lt;&gt;0,VLOOKUP($A119,'0.Productos'!$A$3:$GG$587,'0.Productos'!CO$1+1,0),"")</f>
        <v/>
      </c>
      <c r="AX119" s="133" t="str">
        <f>IF($A119&lt;&gt;0,VLOOKUP($A119,'0.Productos'!$A$3:$GG$587,'0.Productos'!CP$1+1,0),"")</f>
        <v/>
      </c>
      <c r="AY119" s="133" t="str">
        <f>IF($A119&lt;&gt;0,VLOOKUP($A119,'0.Productos'!$A$3:$GG$587,'0.Productos'!CQ$1+1,0),"")</f>
        <v/>
      </c>
      <c r="AZ119" s="133" t="str">
        <f>IF($A119&lt;&gt;0,VLOOKUP($A119,'0.Productos'!$A$3:$GG$587,'0.Productos'!CR$1+1,0),"")</f>
        <v/>
      </c>
      <c r="BA119" s="133" t="str">
        <f>IF($A119&lt;&gt;0,VLOOKUP($A119,'0.Productos'!$A$3:$GG$587,'0.Productos'!CS$1+1,0),"")</f>
        <v/>
      </c>
      <c r="BB119" s="133" t="str">
        <f>IF($A119&lt;&gt;0,VLOOKUP($A119,'0.Productos'!$A$3:$GG$587,'0.Productos'!CT$1+1,0),"")</f>
        <v/>
      </c>
      <c r="BC119" s="133" t="str">
        <f>IF($A119&lt;&gt;0,VLOOKUP($A119,'0.Productos'!$A$3:$GG$587,'0.Productos'!CU$1+1,0),"")</f>
        <v/>
      </c>
      <c r="BD119" s="133" t="str">
        <f>IF($A119&lt;&gt;0,VLOOKUP($A119,'0.Productos'!$A$3:$GG$587,'0.Productos'!CV$1+1,0),"")</f>
        <v/>
      </c>
      <c r="BE119" s="133" t="str">
        <f>IF($A119&lt;&gt;0,VLOOKUP($A119,'0.Productos'!$A$3:$GG$587,'0.Productos'!CW$1+1,0),"")</f>
        <v/>
      </c>
      <c r="BF119" s="133" t="str">
        <f>IF($A119&lt;&gt;0,VLOOKUP($A119,'0.Productos'!$A$3:$GG$587,'0.Productos'!CX$1+1,0),"")</f>
        <v/>
      </c>
      <c r="BG119" s="133" t="str">
        <f>IF($A119&lt;&gt;0,VLOOKUP($A119,'0.Productos'!$A$3:$GG$587,'0.Productos'!CY$1+1,0),"")</f>
        <v/>
      </c>
      <c r="BH119" s="133" t="str">
        <f>IF($A119&lt;&gt;0,VLOOKUP($A119,'0.Productos'!$A$3:$GG$587,'0.Productos'!CZ$1+1,0),"")</f>
        <v/>
      </c>
      <c r="BI119" s="133" t="str">
        <f>IF($A119&lt;&gt;0,VLOOKUP($A119,'0.Productos'!$A$3:$GG$587,'0.Productos'!DA$1+1,0),"")</f>
        <v/>
      </c>
      <c r="BJ119" s="133" t="str">
        <f>IF($A119&lt;&gt;0,VLOOKUP($A119,'0.Productos'!$A$3:$GG$587,'0.Productos'!DB$1+1,0),"")</f>
        <v/>
      </c>
      <c r="BK119" s="133" t="str">
        <f>IF($A119&lt;&gt;0,VLOOKUP($A119,'0.Productos'!$A$3:$GG$587,'0.Productos'!DC$1+1,0),"")</f>
        <v/>
      </c>
      <c r="BL119" s="133" t="str">
        <f>IF($A119&lt;&gt;0,VLOOKUP($A119,'0.Productos'!$A$3:$GG$587,'0.Productos'!DD$1+1,0),"")</f>
        <v/>
      </c>
      <c r="BM119" s="133" t="str">
        <f>IF($A119&lt;&gt;0,VLOOKUP($A119,'0.Productos'!$A$3:$GG$587,'0.Productos'!DE$1+1,0),"")</f>
        <v/>
      </c>
      <c r="BN119" s="133" t="str">
        <f>IF($A119&lt;&gt;0,VLOOKUP($A119,'0.Productos'!$A$3:$GG$587,'0.Productos'!DF$1+1,0),"")</f>
        <v/>
      </c>
      <c r="BO119" s="133" t="str">
        <f>IF($A119&lt;&gt;0,VLOOKUP($A119,'0.Productos'!$A$3:$GG$587,'0.Productos'!DG$1+1,0),"")</f>
        <v/>
      </c>
      <c r="BP119" s="133" t="str">
        <f>IF($A119&lt;&gt;0,VLOOKUP($A119,'0.Productos'!$A$3:$GG$587,'0.Productos'!DH$1+1,0),"")</f>
        <v/>
      </c>
      <c r="BQ119" s="133" t="str">
        <f>IF($A119&lt;&gt;0,VLOOKUP($A119,'0.Productos'!$A$3:$GG$587,'0.Productos'!DI$1+1,0),"")</f>
        <v/>
      </c>
      <c r="BR119" s="133" t="str">
        <f>IF($A119&lt;&gt;0,VLOOKUP($A119,'0.Productos'!$A$3:$GG$587,'0.Productos'!DJ$1+1,0),"")</f>
        <v/>
      </c>
      <c r="BS119" s="133" t="str">
        <f>IF($A119&lt;&gt;0,VLOOKUP($A119,'0.Productos'!$A$3:$GG$587,'0.Productos'!DK$1+1,0),"")</f>
        <v/>
      </c>
      <c r="BT119" s="133" t="str">
        <f>IF($A119&lt;&gt;0,VLOOKUP($A119,'0.Productos'!$A$3:$GG$587,'0.Productos'!DL$1+1,0),"")</f>
        <v/>
      </c>
    </row>
    <row r="120" spans="1:72" x14ac:dyDescent="0.25">
      <c r="A120" s="17">
        <f>'0.Consolidado general'!A120</f>
        <v>0</v>
      </c>
      <c r="B120" s="133" t="str">
        <f>IF($A120&lt;&gt;0,VLOOKUP($A120,'0.Productos'!$A$3:$GG$587,'0.Productos'!AT$1+1,0),"")</f>
        <v/>
      </c>
      <c r="C120" s="133" t="str">
        <f>IF($A120&lt;&gt;0,VLOOKUP($A120,'0.Productos'!$A$3:$GG$587,'0.Productos'!AU$1+1,0),"")</f>
        <v/>
      </c>
      <c r="D120" s="133" t="str">
        <f>IF($A120&lt;&gt;0,VLOOKUP($A120,'0.Productos'!$A$3:$GG$587,'0.Productos'!AV$1+1,0),"")</f>
        <v/>
      </c>
      <c r="E120" s="133" t="str">
        <f>IF($A120&lt;&gt;0,VLOOKUP($A120,'0.Productos'!$A$3:$GG$587,'0.Productos'!AW$1+1,0),"")</f>
        <v/>
      </c>
      <c r="F120" s="133" t="str">
        <f>IF($A120&lt;&gt;0,VLOOKUP($A120,'0.Productos'!$A$3:$GG$587,'0.Productos'!AX$1+1,0),"")</f>
        <v/>
      </c>
      <c r="G120" s="133" t="str">
        <f>IF($A120&lt;&gt;0,VLOOKUP($A120,'0.Productos'!$A$3:$GG$587,'0.Productos'!AY$1+1,0),"")</f>
        <v/>
      </c>
      <c r="H120" s="133" t="str">
        <f>IF($A120&lt;&gt;0,VLOOKUP($A120,'0.Productos'!$A$3:$GG$587,'0.Productos'!AZ$1+1,0),"")</f>
        <v/>
      </c>
      <c r="I120" s="133" t="str">
        <f>IF($A120&lt;&gt;0,VLOOKUP($A120,'0.Productos'!$A$3:$GG$587,'0.Productos'!BA$1+1,0),"")</f>
        <v/>
      </c>
      <c r="J120" s="133" t="str">
        <f>IF($A120&lt;&gt;0,VLOOKUP($A120,'0.Productos'!$A$3:$GG$587,'0.Productos'!BB$1+1,0),"")</f>
        <v/>
      </c>
      <c r="K120" s="133" t="str">
        <f>IF($A120&lt;&gt;0,VLOOKUP($A120,'0.Productos'!$A$3:$GG$587,'0.Productos'!BC$1+1,0),"")</f>
        <v/>
      </c>
      <c r="L120" s="133" t="str">
        <f>IF($A120&lt;&gt;0,VLOOKUP($A120,'0.Productos'!$A$3:$GG$587,'0.Productos'!BD$1+1,0),"")</f>
        <v/>
      </c>
      <c r="M120" s="133" t="str">
        <f>IF($A120&lt;&gt;0,VLOOKUP($A120,'0.Productos'!$A$3:$GG$587,'0.Productos'!BE$1+1,0),"")</f>
        <v/>
      </c>
      <c r="N120" s="133" t="str">
        <f>IF($A120&lt;&gt;0,VLOOKUP($A120,'0.Productos'!$A$3:$GG$587,'0.Productos'!BF$1+1,0),"")</f>
        <v/>
      </c>
      <c r="O120" s="133" t="str">
        <f>IF($A120&lt;&gt;0,VLOOKUP($A120,'0.Productos'!$A$3:$GG$587,'0.Productos'!BG$1+1,0),"")</f>
        <v/>
      </c>
      <c r="P120" s="133" t="str">
        <f>IF($A120&lt;&gt;0,VLOOKUP($A120,'0.Productos'!$A$3:$GG$587,'0.Productos'!BH$1+1,0),"")</f>
        <v/>
      </c>
      <c r="Q120" s="133" t="str">
        <f>IF($A120&lt;&gt;0,VLOOKUP($A120,'0.Productos'!$A$3:$GG$587,'0.Productos'!BI$1+1,0),"")</f>
        <v/>
      </c>
      <c r="R120" s="133" t="str">
        <f>IF($A120&lt;&gt;0,VLOOKUP($A120,'0.Productos'!$A$3:$GG$587,'0.Productos'!BJ$1+1,0),"")</f>
        <v/>
      </c>
      <c r="S120" s="133" t="str">
        <f>IF($A120&lt;&gt;0,VLOOKUP($A120,'0.Productos'!$A$3:$GG$587,'0.Productos'!BK$1+1,0),"")</f>
        <v/>
      </c>
      <c r="T120" s="133" t="str">
        <f>IF($A120&lt;&gt;0,VLOOKUP($A120,'0.Productos'!$A$3:$GG$587,'0.Productos'!BL$1+1,0),"")</f>
        <v/>
      </c>
      <c r="U120" s="133" t="str">
        <f>IF($A120&lt;&gt;0,VLOOKUP($A120,'0.Productos'!$A$3:$GG$587,'0.Productos'!BM$1+1,0),"")</f>
        <v/>
      </c>
      <c r="V120" s="133" t="str">
        <f>IF($A120&lt;&gt;0,VLOOKUP($A120,'0.Productos'!$A$3:$GG$587,'0.Productos'!BN$1+1,0),"")</f>
        <v/>
      </c>
      <c r="W120" s="133" t="str">
        <f>IF($A120&lt;&gt;0,VLOOKUP($A120,'0.Productos'!$A$3:$GG$587,'0.Productos'!BO$1+1,0),"")</f>
        <v/>
      </c>
      <c r="X120" s="133" t="str">
        <f>IF($A120&lt;&gt;0,VLOOKUP($A120,'0.Productos'!$A$3:$GG$587,'0.Productos'!BP$1+1,0),"")</f>
        <v/>
      </c>
      <c r="Y120" s="133" t="str">
        <f>IF($A120&lt;&gt;0,VLOOKUP($A120,'0.Productos'!$A$3:$GG$587,'0.Productos'!BQ$1+1,0),"")</f>
        <v/>
      </c>
      <c r="Z120" s="133" t="str">
        <f>IF($A120&lt;&gt;0,VLOOKUP($A120,'0.Productos'!$A$3:$GG$587,'0.Productos'!BR$1+1,0),"")</f>
        <v/>
      </c>
      <c r="AA120" s="133" t="str">
        <f>IF($A120&lt;&gt;0,VLOOKUP($A120,'0.Productos'!$A$3:$GG$587,'0.Productos'!BS$1+1,0),"")</f>
        <v/>
      </c>
      <c r="AB120" s="133" t="str">
        <f>IF($A120&lt;&gt;0,VLOOKUP($A120,'0.Productos'!$A$3:$GG$587,'0.Productos'!BT$1+1,0),"")</f>
        <v/>
      </c>
      <c r="AC120" s="133" t="str">
        <f>IF($A120&lt;&gt;0,VLOOKUP($A120,'0.Productos'!$A$3:$GG$587,'0.Productos'!BU$1+1,0),"")</f>
        <v/>
      </c>
      <c r="AD120" s="133" t="str">
        <f>IF($A120&lt;&gt;0,VLOOKUP($A120,'0.Productos'!$A$3:$GG$587,'0.Productos'!BV$1+1,0),"")</f>
        <v/>
      </c>
      <c r="AE120" s="133" t="str">
        <f>IF($A120&lt;&gt;0,VLOOKUP($A120,'0.Productos'!$A$3:$GG$587,'0.Productos'!BW$1+1,0),"")</f>
        <v/>
      </c>
      <c r="AF120" s="133" t="str">
        <f>IF($A120&lt;&gt;0,VLOOKUP($A120,'0.Productos'!$A$3:$GG$587,'0.Productos'!BX$1+1,0),"")</f>
        <v/>
      </c>
      <c r="AG120" s="133" t="str">
        <f>IF($A120&lt;&gt;0,VLOOKUP($A120,'0.Productos'!$A$3:$GG$587,'0.Productos'!BY$1+1,0),"")</f>
        <v/>
      </c>
      <c r="AH120" s="133" t="str">
        <f>IF($A120&lt;&gt;0,VLOOKUP($A120,'0.Productos'!$A$3:$GG$587,'0.Productos'!BZ$1+1,0),"")</f>
        <v/>
      </c>
      <c r="AI120" s="133" t="str">
        <f>IF($A120&lt;&gt;0,VLOOKUP($A120,'0.Productos'!$A$3:$GG$587,'0.Productos'!CA$1+1,0),"")</f>
        <v/>
      </c>
      <c r="AJ120" s="133" t="str">
        <f>IF($A120&lt;&gt;0,VLOOKUP($A120,'0.Productos'!$A$3:$GG$587,'0.Productos'!CB$1+1,0),"")</f>
        <v/>
      </c>
      <c r="AK120" s="133" t="str">
        <f>IF($A120&lt;&gt;0,VLOOKUP($A120,'0.Productos'!$A$3:$GG$587,'0.Productos'!CC$1+1,0),"")</f>
        <v/>
      </c>
      <c r="AL120" s="133" t="str">
        <f>IF($A120&lt;&gt;0,VLOOKUP($A120,'0.Productos'!$A$3:$GG$587,'0.Productos'!CD$1+1,0),"")</f>
        <v/>
      </c>
      <c r="AM120" s="133" t="str">
        <f>IF($A120&lt;&gt;0,VLOOKUP($A120,'0.Productos'!$A$3:$GG$587,'0.Productos'!CE$1+1,0),"")</f>
        <v/>
      </c>
      <c r="AN120" s="133" t="str">
        <f>IF($A120&lt;&gt;0,VLOOKUP($A120,'0.Productos'!$A$3:$GG$587,'0.Productos'!CF$1+1,0),"")</f>
        <v/>
      </c>
      <c r="AO120" s="133" t="str">
        <f>IF($A120&lt;&gt;0,VLOOKUP($A120,'0.Productos'!$A$3:$GG$587,'0.Productos'!CG$1+1,0),"")</f>
        <v/>
      </c>
      <c r="AP120" s="133" t="str">
        <f>IF($A120&lt;&gt;0,VLOOKUP($A120,'0.Productos'!$A$3:$GG$587,'0.Productos'!CH$1+1,0),"")</f>
        <v/>
      </c>
      <c r="AQ120" s="133" t="str">
        <f>IF($A120&lt;&gt;0,VLOOKUP($A120,'0.Productos'!$A$3:$GG$587,'0.Productos'!CI$1+1,0),"")</f>
        <v/>
      </c>
      <c r="AR120" s="133" t="str">
        <f>IF($A120&lt;&gt;0,VLOOKUP($A120,'0.Productos'!$A$3:$GG$587,'0.Productos'!CJ$1+1,0),"")</f>
        <v/>
      </c>
      <c r="AS120" s="133" t="str">
        <f>IF($A120&lt;&gt;0,VLOOKUP($A120,'0.Productos'!$A$3:$GG$587,'0.Productos'!CK$1+1,0),"")</f>
        <v/>
      </c>
      <c r="AT120" s="133" t="str">
        <f>IF($A120&lt;&gt;0,VLOOKUP($A120,'0.Productos'!$A$3:$GG$587,'0.Productos'!CL$1+1,0),"")</f>
        <v/>
      </c>
      <c r="AU120" s="133" t="str">
        <f>IF($A120&lt;&gt;0,VLOOKUP($A120,'0.Productos'!$A$3:$GG$587,'0.Productos'!CM$1+1,0),"")</f>
        <v/>
      </c>
      <c r="AV120" s="133" t="str">
        <f>IF($A120&lt;&gt;0,VLOOKUP($A120,'0.Productos'!$A$3:$GG$587,'0.Productos'!CN$1+1,0),"")</f>
        <v/>
      </c>
      <c r="AW120" s="133" t="str">
        <f>IF($A120&lt;&gt;0,VLOOKUP($A120,'0.Productos'!$A$3:$GG$587,'0.Productos'!CO$1+1,0),"")</f>
        <v/>
      </c>
      <c r="AX120" s="133" t="str">
        <f>IF($A120&lt;&gt;0,VLOOKUP($A120,'0.Productos'!$A$3:$GG$587,'0.Productos'!CP$1+1,0),"")</f>
        <v/>
      </c>
      <c r="AY120" s="133" t="str">
        <f>IF($A120&lt;&gt;0,VLOOKUP($A120,'0.Productos'!$A$3:$GG$587,'0.Productos'!CQ$1+1,0),"")</f>
        <v/>
      </c>
      <c r="AZ120" s="133" t="str">
        <f>IF($A120&lt;&gt;0,VLOOKUP($A120,'0.Productos'!$A$3:$GG$587,'0.Productos'!CR$1+1,0),"")</f>
        <v/>
      </c>
      <c r="BA120" s="133" t="str">
        <f>IF($A120&lt;&gt;0,VLOOKUP($A120,'0.Productos'!$A$3:$GG$587,'0.Productos'!CS$1+1,0),"")</f>
        <v/>
      </c>
      <c r="BB120" s="133" t="str">
        <f>IF($A120&lt;&gt;0,VLOOKUP($A120,'0.Productos'!$A$3:$GG$587,'0.Productos'!CT$1+1,0),"")</f>
        <v/>
      </c>
      <c r="BC120" s="133" t="str">
        <f>IF($A120&lt;&gt;0,VLOOKUP($A120,'0.Productos'!$A$3:$GG$587,'0.Productos'!CU$1+1,0),"")</f>
        <v/>
      </c>
      <c r="BD120" s="133" t="str">
        <f>IF($A120&lt;&gt;0,VLOOKUP($A120,'0.Productos'!$A$3:$GG$587,'0.Productos'!CV$1+1,0),"")</f>
        <v/>
      </c>
      <c r="BE120" s="133" t="str">
        <f>IF($A120&lt;&gt;0,VLOOKUP($A120,'0.Productos'!$A$3:$GG$587,'0.Productos'!CW$1+1,0),"")</f>
        <v/>
      </c>
      <c r="BF120" s="133" t="str">
        <f>IF($A120&lt;&gt;0,VLOOKUP($A120,'0.Productos'!$A$3:$GG$587,'0.Productos'!CX$1+1,0),"")</f>
        <v/>
      </c>
      <c r="BG120" s="133" t="str">
        <f>IF($A120&lt;&gt;0,VLOOKUP($A120,'0.Productos'!$A$3:$GG$587,'0.Productos'!CY$1+1,0),"")</f>
        <v/>
      </c>
      <c r="BH120" s="133" t="str">
        <f>IF($A120&lt;&gt;0,VLOOKUP($A120,'0.Productos'!$A$3:$GG$587,'0.Productos'!CZ$1+1,0),"")</f>
        <v/>
      </c>
      <c r="BI120" s="133" t="str">
        <f>IF($A120&lt;&gt;0,VLOOKUP($A120,'0.Productos'!$A$3:$GG$587,'0.Productos'!DA$1+1,0),"")</f>
        <v/>
      </c>
      <c r="BJ120" s="133" t="str">
        <f>IF($A120&lt;&gt;0,VLOOKUP($A120,'0.Productos'!$A$3:$GG$587,'0.Productos'!DB$1+1,0),"")</f>
        <v/>
      </c>
      <c r="BK120" s="133" t="str">
        <f>IF($A120&lt;&gt;0,VLOOKUP($A120,'0.Productos'!$A$3:$GG$587,'0.Productos'!DC$1+1,0),"")</f>
        <v/>
      </c>
      <c r="BL120" s="133" t="str">
        <f>IF($A120&lt;&gt;0,VLOOKUP($A120,'0.Productos'!$A$3:$GG$587,'0.Productos'!DD$1+1,0),"")</f>
        <v/>
      </c>
      <c r="BM120" s="133" t="str">
        <f>IF($A120&lt;&gt;0,VLOOKUP($A120,'0.Productos'!$A$3:$GG$587,'0.Productos'!DE$1+1,0),"")</f>
        <v/>
      </c>
      <c r="BN120" s="133" t="str">
        <f>IF($A120&lt;&gt;0,VLOOKUP($A120,'0.Productos'!$A$3:$GG$587,'0.Productos'!DF$1+1,0),"")</f>
        <v/>
      </c>
      <c r="BO120" s="133" t="str">
        <f>IF($A120&lt;&gt;0,VLOOKUP($A120,'0.Productos'!$A$3:$GG$587,'0.Productos'!DG$1+1,0),"")</f>
        <v/>
      </c>
      <c r="BP120" s="133" t="str">
        <f>IF($A120&lt;&gt;0,VLOOKUP($A120,'0.Productos'!$A$3:$GG$587,'0.Productos'!DH$1+1,0),"")</f>
        <v/>
      </c>
      <c r="BQ120" s="133" t="str">
        <f>IF($A120&lt;&gt;0,VLOOKUP($A120,'0.Productos'!$A$3:$GG$587,'0.Productos'!DI$1+1,0),"")</f>
        <v/>
      </c>
      <c r="BR120" s="133" t="str">
        <f>IF($A120&lt;&gt;0,VLOOKUP($A120,'0.Productos'!$A$3:$GG$587,'0.Productos'!DJ$1+1,0),"")</f>
        <v/>
      </c>
      <c r="BS120" s="133" t="str">
        <f>IF($A120&lt;&gt;0,VLOOKUP($A120,'0.Productos'!$A$3:$GG$587,'0.Productos'!DK$1+1,0),"")</f>
        <v/>
      </c>
      <c r="BT120" s="133" t="str">
        <f>IF($A120&lt;&gt;0,VLOOKUP($A120,'0.Productos'!$A$3:$GG$587,'0.Productos'!DL$1+1,0),"")</f>
        <v/>
      </c>
    </row>
    <row r="121" spans="1:72" x14ac:dyDescent="0.25">
      <c r="A121" s="17">
        <f>'0.Consolidado general'!A121</f>
        <v>0</v>
      </c>
      <c r="B121" s="133" t="str">
        <f>IF($A121&lt;&gt;0,VLOOKUP($A121,'0.Productos'!$A$3:$GG$587,'0.Productos'!AT$1+1,0),"")</f>
        <v/>
      </c>
      <c r="C121" s="133" t="str">
        <f>IF($A121&lt;&gt;0,VLOOKUP($A121,'0.Productos'!$A$3:$GG$587,'0.Productos'!AU$1+1,0),"")</f>
        <v/>
      </c>
      <c r="D121" s="133" t="str">
        <f>IF($A121&lt;&gt;0,VLOOKUP($A121,'0.Productos'!$A$3:$GG$587,'0.Productos'!AV$1+1,0),"")</f>
        <v/>
      </c>
      <c r="E121" s="133" t="str">
        <f>IF($A121&lt;&gt;0,VLOOKUP($A121,'0.Productos'!$A$3:$GG$587,'0.Productos'!AW$1+1,0),"")</f>
        <v/>
      </c>
      <c r="F121" s="133" t="str">
        <f>IF($A121&lt;&gt;0,VLOOKUP($A121,'0.Productos'!$A$3:$GG$587,'0.Productos'!AX$1+1,0),"")</f>
        <v/>
      </c>
      <c r="G121" s="133" t="str">
        <f>IF($A121&lt;&gt;0,VLOOKUP($A121,'0.Productos'!$A$3:$GG$587,'0.Productos'!AY$1+1,0),"")</f>
        <v/>
      </c>
      <c r="H121" s="133" t="str">
        <f>IF($A121&lt;&gt;0,VLOOKUP($A121,'0.Productos'!$A$3:$GG$587,'0.Productos'!AZ$1+1,0),"")</f>
        <v/>
      </c>
      <c r="I121" s="133" t="str">
        <f>IF($A121&lt;&gt;0,VLOOKUP($A121,'0.Productos'!$A$3:$GG$587,'0.Productos'!BA$1+1,0),"")</f>
        <v/>
      </c>
      <c r="J121" s="133" t="str">
        <f>IF($A121&lt;&gt;0,VLOOKUP($A121,'0.Productos'!$A$3:$GG$587,'0.Productos'!BB$1+1,0),"")</f>
        <v/>
      </c>
      <c r="K121" s="133" t="str">
        <f>IF($A121&lt;&gt;0,VLOOKUP($A121,'0.Productos'!$A$3:$GG$587,'0.Productos'!BC$1+1,0),"")</f>
        <v/>
      </c>
      <c r="L121" s="133" t="str">
        <f>IF($A121&lt;&gt;0,VLOOKUP($A121,'0.Productos'!$A$3:$GG$587,'0.Productos'!BD$1+1,0),"")</f>
        <v/>
      </c>
      <c r="M121" s="133" t="str">
        <f>IF($A121&lt;&gt;0,VLOOKUP($A121,'0.Productos'!$A$3:$GG$587,'0.Productos'!BE$1+1,0),"")</f>
        <v/>
      </c>
      <c r="N121" s="133" t="str">
        <f>IF($A121&lt;&gt;0,VLOOKUP($A121,'0.Productos'!$A$3:$GG$587,'0.Productos'!BF$1+1,0),"")</f>
        <v/>
      </c>
      <c r="O121" s="133" t="str">
        <f>IF($A121&lt;&gt;0,VLOOKUP($A121,'0.Productos'!$A$3:$GG$587,'0.Productos'!BG$1+1,0),"")</f>
        <v/>
      </c>
      <c r="P121" s="133" t="str">
        <f>IF($A121&lt;&gt;0,VLOOKUP($A121,'0.Productos'!$A$3:$GG$587,'0.Productos'!BH$1+1,0),"")</f>
        <v/>
      </c>
      <c r="Q121" s="133" t="str">
        <f>IF($A121&lt;&gt;0,VLOOKUP($A121,'0.Productos'!$A$3:$GG$587,'0.Productos'!BI$1+1,0),"")</f>
        <v/>
      </c>
      <c r="R121" s="133" t="str">
        <f>IF($A121&lt;&gt;0,VLOOKUP($A121,'0.Productos'!$A$3:$GG$587,'0.Productos'!BJ$1+1,0),"")</f>
        <v/>
      </c>
      <c r="S121" s="133" t="str">
        <f>IF($A121&lt;&gt;0,VLOOKUP($A121,'0.Productos'!$A$3:$GG$587,'0.Productos'!BK$1+1,0),"")</f>
        <v/>
      </c>
      <c r="T121" s="133" t="str">
        <f>IF($A121&lt;&gt;0,VLOOKUP($A121,'0.Productos'!$A$3:$GG$587,'0.Productos'!BL$1+1,0),"")</f>
        <v/>
      </c>
      <c r="U121" s="133" t="str">
        <f>IF($A121&lt;&gt;0,VLOOKUP($A121,'0.Productos'!$A$3:$GG$587,'0.Productos'!BM$1+1,0),"")</f>
        <v/>
      </c>
      <c r="V121" s="133" t="str">
        <f>IF($A121&lt;&gt;0,VLOOKUP($A121,'0.Productos'!$A$3:$GG$587,'0.Productos'!BN$1+1,0),"")</f>
        <v/>
      </c>
      <c r="W121" s="133" t="str">
        <f>IF($A121&lt;&gt;0,VLOOKUP($A121,'0.Productos'!$A$3:$GG$587,'0.Productos'!BO$1+1,0),"")</f>
        <v/>
      </c>
      <c r="X121" s="133" t="str">
        <f>IF($A121&lt;&gt;0,VLOOKUP($A121,'0.Productos'!$A$3:$GG$587,'0.Productos'!BP$1+1,0),"")</f>
        <v/>
      </c>
      <c r="Y121" s="133" t="str">
        <f>IF($A121&lt;&gt;0,VLOOKUP($A121,'0.Productos'!$A$3:$GG$587,'0.Productos'!BQ$1+1,0),"")</f>
        <v/>
      </c>
      <c r="Z121" s="133" t="str">
        <f>IF($A121&lt;&gt;0,VLOOKUP($A121,'0.Productos'!$A$3:$GG$587,'0.Productos'!BR$1+1,0),"")</f>
        <v/>
      </c>
      <c r="AA121" s="133" t="str">
        <f>IF($A121&lt;&gt;0,VLOOKUP($A121,'0.Productos'!$A$3:$GG$587,'0.Productos'!BS$1+1,0),"")</f>
        <v/>
      </c>
      <c r="AB121" s="133" t="str">
        <f>IF($A121&lt;&gt;0,VLOOKUP($A121,'0.Productos'!$A$3:$GG$587,'0.Productos'!BT$1+1,0),"")</f>
        <v/>
      </c>
      <c r="AC121" s="133" t="str">
        <f>IF($A121&lt;&gt;0,VLOOKUP($A121,'0.Productos'!$A$3:$GG$587,'0.Productos'!BU$1+1,0),"")</f>
        <v/>
      </c>
      <c r="AD121" s="133" t="str">
        <f>IF($A121&lt;&gt;0,VLOOKUP($A121,'0.Productos'!$A$3:$GG$587,'0.Productos'!BV$1+1,0),"")</f>
        <v/>
      </c>
      <c r="AE121" s="133" t="str">
        <f>IF($A121&lt;&gt;0,VLOOKUP($A121,'0.Productos'!$A$3:$GG$587,'0.Productos'!BW$1+1,0),"")</f>
        <v/>
      </c>
      <c r="AF121" s="133" t="str">
        <f>IF($A121&lt;&gt;0,VLOOKUP($A121,'0.Productos'!$A$3:$GG$587,'0.Productos'!BX$1+1,0),"")</f>
        <v/>
      </c>
      <c r="AG121" s="133" t="str">
        <f>IF($A121&lt;&gt;0,VLOOKUP($A121,'0.Productos'!$A$3:$GG$587,'0.Productos'!BY$1+1,0),"")</f>
        <v/>
      </c>
      <c r="AH121" s="133" t="str">
        <f>IF($A121&lt;&gt;0,VLOOKUP($A121,'0.Productos'!$A$3:$GG$587,'0.Productos'!BZ$1+1,0),"")</f>
        <v/>
      </c>
      <c r="AI121" s="133" t="str">
        <f>IF($A121&lt;&gt;0,VLOOKUP($A121,'0.Productos'!$A$3:$GG$587,'0.Productos'!CA$1+1,0),"")</f>
        <v/>
      </c>
      <c r="AJ121" s="133" t="str">
        <f>IF($A121&lt;&gt;0,VLOOKUP($A121,'0.Productos'!$A$3:$GG$587,'0.Productos'!CB$1+1,0),"")</f>
        <v/>
      </c>
      <c r="AK121" s="133" t="str">
        <f>IF($A121&lt;&gt;0,VLOOKUP($A121,'0.Productos'!$A$3:$GG$587,'0.Productos'!CC$1+1,0),"")</f>
        <v/>
      </c>
      <c r="AL121" s="133" t="str">
        <f>IF($A121&lt;&gt;0,VLOOKUP($A121,'0.Productos'!$A$3:$GG$587,'0.Productos'!CD$1+1,0),"")</f>
        <v/>
      </c>
      <c r="AM121" s="133" t="str">
        <f>IF($A121&lt;&gt;0,VLOOKUP($A121,'0.Productos'!$A$3:$GG$587,'0.Productos'!CE$1+1,0),"")</f>
        <v/>
      </c>
      <c r="AN121" s="133" t="str">
        <f>IF($A121&lt;&gt;0,VLOOKUP($A121,'0.Productos'!$A$3:$GG$587,'0.Productos'!CF$1+1,0),"")</f>
        <v/>
      </c>
      <c r="AO121" s="133" t="str">
        <f>IF($A121&lt;&gt;0,VLOOKUP($A121,'0.Productos'!$A$3:$GG$587,'0.Productos'!CG$1+1,0),"")</f>
        <v/>
      </c>
      <c r="AP121" s="133" t="str">
        <f>IF($A121&lt;&gt;0,VLOOKUP($A121,'0.Productos'!$A$3:$GG$587,'0.Productos'!CH$1+1,0),"")</f>
        <v/>
      </c>
      <c r="AQ121" s="133" t="str">
        <f>IF($A121&lt;&gt;0,VLOOKUP($A121,'0.Productos'!$A$3:$GG$587,'0.Productos'!CI$1+1,0),"")</f>
        <v/>
      </c>
      <c r="AR121" s="133" t="str">
        <f>IF($A121&lt;&gt;0,VLOOKUP($A121,'0.Productos'!$A$3:$GG$587,'0.Productos'!CJ$1+1,0),"")</f>
        <v/>
      </c>
      <c r="AS121" s="133" t="str">
        <f>IF($A121&lt;&gt;0,VLOOKUP($A121,'0.Productos'!$A$3:$GG$587,'0.Productos'!CK$1+1,0),"")</f>
        <v/>
      </c>
      <c r="AT121" s="133" t="str">
        <f>IF($A121&lt;&gt;0,VLOOKUP($A121,'0.Productos'!$A$3:$GG$587,'0.Productos'!CL$1+1,0),"")</f>
        <v/>
      </c>
      <c r="AU121" s="133" t="str">
        <f>IF($A121&lt;&gt;0,VLOOKUP($A121,'0.Productos'!$A$3:$GG$587,'0.Productos'!CM$1+1,0),"")</f>
        <v/>
      </c>
      <c r="AV121" s="133" t="str">
        <f>IF($A121&lt;&gt;0,VLOOKUP($A121,'0.Productos'!$A$3:$GG$587,'0.Productos'!CN$1+1,0),"")</f>
        <v/>
      </c>
      <c r="AW121" s="133" t="str">
        <f>IF($A121&lt;&gt;0,VLOOKUP($A121,'0.Productos'!$A$3:$GG$587,'0.Productos'!CO$1+1,0),"")</f>
        <v/>
      </c>
      <c r="AX121" s="133" t="str">
        <f>IF($A121&lt;&gt;0,VLOOKUP($A121,'0.Productos'!$A$3:$GG$587,'0.Productos'!CP$1+1,0),"")</f>
        <v/>
      </c>
      <c r="AY121" s="133" t="str">
        <f>IF($A121&lt;&gt;0,VLOOKUP($A121,'0.Productos'!$A$3:$GG$587,'0.Productos'!CQ$1+1,0),"")</f>
        <v/>
      </c>
      <c r="AZ121" s="133" t="str">
        <f>IF($A121&lt;&gt;0,VLOOKUP($A121,'0.Productos'!$A$3:$GG$587,'0.Productos'!CR$1+1,0),"")</f>
        <v/>
      </c>
      <c r="BA121" s="133" t="str">
        <f>IF($A121&lt;&gt;0,VLOOKUP($A121,'0.Productos'!$A$3:$GG$587,'0.Productos'!CS$1+1,0),"")</f>
        <v/>
      </c>
      <c r="BB121" s="133" t="str">
        <f>IF($A121&lt;&gt;0,VLOOKUP($A121,'0.Productos'!$A$3:$GG$587,'0.Productos'!CT$1+1,0),"")</f>
        <v/>
      </c>
      <c r="BC121" s="133" t="str">
        <f>IF($A121&lt;&gt;0,VLOOKUP($A121,'0.Productos'!$A$3:$GG$587,'0.Productos'!CU$1+1,0),"")</f>
        <v/>
      </c>
      <c r="BD121" s="133" t="str">
        <f>IF($A121&lt;&gt;0,VLOOKUP($A121,'0.Productos'!$A$3:$GG$587,'0.Productos'!CV$1+1,0),"")</f>
        <v/>
      </c>
      <c r="BE121" s="133" t="str">
        <f>IF($A121&lt;&gt;0,VLOOKUP($A121,'0.Productos'!$A$3:$GG$587,'0.Productos'!CW$1+1,0),"")</f>
        <v/>
      </c>
      <c r="BF121" s="133" t="str">
        <f>IF($A121&lt;&gt;0,VLOOKUP($A121,'0.Productos'!$A$3:$GG$587,'0.Productos'!CX$1+1,0),"")</f>
        <v/>
      </c>
      <c r="BG121" s="133" t="str">
        <f>IF($A121&lt;&gt;0,VLOOKUP($A121,'0.Productos'!$A$3:$GG$587,'0.Productos'!CY$1+1,0),"")</f>
        <v/>
      </c>
      <c r="BH121" s="133" t="str">
        <f>IF($A121&lt;&gt;0,VLOOKUP($A121,'0.Productos'!$A$3:$GG$587,'0.Productos'!CZ$1+1,0),"")</f>
        <v/>
      </c>
      <c r="BI121" s="133" t="str">
        <f>IF($A121&lt;&gt;0,VLOOKUP($A121,'0.Productos'!$A$3:$GG$587,'0.Productos'!DA$1+1,0),"")</f>
        <v/>
      </c>
      <c r="BJ121" s="133" t="str">
        <f>IF($A121&lt;&gt;0,VLOOKUP($A121,'0.Productos'!$A$3:$GG$587,'0.Productos'!DB$1+1,0),"")</f>
        <v/>
      </c>
      <c r="BK121" s="133" t="str">
        <f>IF($A121&lt;&gt;0,VLOOKUP($A121,'0.Productos'!$A$3:$GG$587,'0.Productos'!DC$1+1,0),"")</f>
        <v/>
      </c>
      <c r="BL121" s="133" t="str">
        <f>IF($A121&lt;&gt;0,VLOOKUP($A121,'0.Productos'!$A$3:$GG$587,'0.Productos'!DD$1+1,0),"")</f>
        <v/>
      </c>
      <c r="BM121" s="133" t="str">
        <f>IF($A121&lt;&gt;0,VLOOKUP($A121,'0.Productos'!$A$3:$GG$587,'0.Productos'!DE$1+1,0),"")</f>
        <v/>
      </c>
      <c r="BN121" s="133" t="str">
        <f>IF($A121&lt;&gt;0,VLOOKUP($A121,'0.Productos'!$A$3:$GG$587,'0.Productos'!DF$1+1,0),"")</f>
        <v/>
      </c>
      <c r="BO121" s="133" t="str">
        <f>IF($A121&lt;&gt;0,VLOOKUP($A121,'0.Productos'!$A$3:$GG$587,'0.Productos'!DG$1+1,0),"")</f>
        <v/>
      </c>
      <c r="BP121" s="133" t="str">
        <f>IF($A121&lt;&gt;0,VLOOKUP($A121,'0.Productos'!$A$3:$GG$587,'0.Productos'!DH$1+1,0),"")</f>
        <v/>
      </c>
      <c r="BQ121" s="133" t="str">
        <f>IF($A121&lt;&gt;0,VLOOKUP($A121,'0.Productos'!$A$3:$GG$587,'0.Productos'!DI$1+1,0),"")</f>
        <v/>
      </c>
      <c r="BR121" s="133" t="str">
        <f>IF($A121&lt;&gt;0,VLOOKUP($A121,'0.Productos'!$A$3:$GG$587,'0.Productos'!DJ$1+1,0),"")</f>
        <v/>
      </c>
      <c r="BS121" s="133" t="str">
        <f>IF($A121&lt;&gt;0,VLOOKUP($A121,'0.Productos'!$A$3:$GG$587,'0.Productos'!DK$1+1,0),"")</f>
        <v/>
      </c>
      <c r="BT121" s="133" t="str">
        <f>IF($A121&lt;&gt;0,VLOOKUP($A121,'0.Productos'!$A$3:$GG$587,'0.Productos'!DL$1+1,0),"")</f>
        <v/>
      </c>
    </row>
    <row r="122" spans="1:72" x14ac:dyDescent="0.25">
      <c r="A122" s="17">
        <f>'0.Consolidado general'!A122</f>
        <v>0</v>
      </c>
      <c r="B122" s="133" t="str">
        <f>IF($A122&lt;&gt;0,VLOOKUP($A122,'0.Productos'!$A$3:$GG$587,'0.Productos'!AT$1+1,0),"")</f>
        <v/>
      </c>
      <c r="C122" s="133" t="str">
        <f>IF($A122&lt;&gt;0,VLOOKUP($A122,'0.Productos'!$A$3:$GG$587,'0.Productos'!AU$1+1,0),"")</f>
        <v/>
      </c>
      <c r="D122" s="133" t="str">
        <f>IF($A122&lt;&gt;0,VLOOKUP($A122,'0.Productos'!$A$3:$GG$587,'0.Productos'!AV$1+1,0),"")</f>
        <v/>
      </c>
      <c r="E122" s="133" t="str">
        <f>IF($A122&lt;&gt;0,VLOOKUP($A122,'0.Productos'!$A$3:$GG$587,'0.Productos'!AW$1+1,0),"")</f>
        <v/>
      </c>
      <c r="F122" s="133" t="str">
        <f>IF($A122&lt;&gt;0,VLOOKUP($A122,'0.Productos'!$A$3:$GG$587,'0.Productos'!AX$1+1,0),"")</f>
        <v/>
      </c>
      <c r="G122" s="133" t="str">
        <f>IF($A122&lt;&gt;0,VLOOKUP($A122,'0.Productos'!$A$3:$GG$587,'0.Productos'!AY$1+1,0),"")</f>
        <v/>
      </c>
      <c r="H122" s="133" t="str">
        <f>IF($A122&lt;&gt;0,VLOOKUP($A122,'0.Productos'!$A$3:$GG$587,'0.Productos'!AZ$1+1,0),"")</f>
        <v/>
      </c>
      <c r="I122" s="133" t="str">
        <f>IF($A122&lt;&gt;0,VLOOKUP($A122,'0.Productos'!$A$3:$GG$587,'0.Productos'!BA$1+1,0),"")</f>
        <v/>
      </c>
      <c r="J122" s="133" t="str">
        <f>IF($A122&lt;&gt;0,VLOOKUP($A122,'0.Productos'!$A$3:$GG$587,'0.Productos'!BB$1+1,0),"")</f>
        <v/>
      </c>
      <c r="K122" s="133" t="str">
        <f>IF($A122&lt;&gt;0,VLOOKUP($A122,'0.Productos'!$A$3:$GG$587,'0.Productos'!BC$1+1,0),"")</f>
        <v/>
      </c>
      <c r="L122" s="133" t="str">
        <f>IF($A122&lt;&gt;0,VLOOKUP($A122,'0.Productos'!$A$3:$GG$587,'0.Productos'!BD$1+1,0),"")</f>
        <v/>
      </c>
      <c r="M122" s="133" t="str">
        <f>IF($A122&lt;&gt;0,VLOOKUP($A122,'0.Productos'!$A$3:$GG$587,'0.Productos'!BE$1+1,0),"")</f>
        <v/>
      </c>
      <c r="N122" s="133" t="str">
        <f>IF($A122&lt;&gt;0,VLOOKUP($A122,'0.Productos'!$A$3:$GG$587,'0.Productos'!BF$1+1,0),"")</f>
        <v/>
      </c>
      <c r="O122" s="133" t="str">
        <f>IF($A122&lt;&gt;0,VLOOKUP($A122,'0.Productos'!$A$3:$GG$587,'0.Productos'!BG$1+1,0),"")</f>
        <v/>
      </c>
      <c r="P122" s="133" t="str">
        <f>IF($A122&lt;&gt;0,VLOOKUP($A122,'0.Productos'!$A$3:$GG$587,'0.Productos'!BH$1+1,0),"")</f>
        <v/>
      </c>
      <c r="Q122" s="133" t="str">
        <f>IF($A122&lt;&gt;0,VLOOKUP($A122,'0.Productos'!$A$3:$GG$587,'0.Productos'!BI$1+1,0),"")</f>
        <v/>
      </c>
      <c r="R122" s="133" t="str">
        <f>IF($A122&lt;&gt;0,VLOOKUP($A122,'0.Productos'!$A$3:$GG$587,'0.Productos'!BJ$1+1,0),"")</f>
        <v/>
      </c>
      <c r="S122" s="133" t="str">
        <f>IF($A122&lt;&gt;0,VLOOKUP($A122,'0.Productos'!$A$3:$GG$587,'0.Productos'!BK$1+1,0),"")</f>
        <v/>
      </c>
      <c r="T122" s="133" t="str">
        <f>IF($A122&lt;&gt;0,VLOOKUP($A122,'0.Productos'!$A$3:$GG$587,'0.Productos'!BL$1+1,0),"")</f>
        <v/>
      </c>
      <c r="U122" s="133" t="str">
        <f>IF($A122&lt;&gt;0,VLOOKUP($A122,'0.Productos'!$A$3:$GG$587,'0.Productos'!BM$1+1,0),"")</f>
        <v/>
      </c>
      <c r="V122" s="133" t="str">
        <f>IF($A122&lt;&gt;0,VLOOKUP($A122,'0.Productos'!$A$3:$GG$587,'0.Productos'!BN$1+1,0),"")</f>
        <v/>
      </c>
      <c r="W122" s="133" t="str">
        <f>IF($A122&lt;&gt;0,VLOOKUP($A122,'0.Productos'!$A$3:$GG$587,'0.Productos'!BO$1+1,0),"")</f>
        <v/>
      </c>
      <c r="X122" s="133" t="str">
        <f>IF($A122&lt;&gt;0,VLOOKUP($A122,'0.Productos'!$A$3:$GG$587,'0.Productos'!BP$1+1,0),"")</f>
        <v/>
      </c>
      <c r="Y122" s="133" t="str">
        <f>IF($A122&lt;&gt;0,VLOOKUP($A122,'0.Productos'!$A$3:$GG$587,'0.Productos'!BQ$1+1,0),"")</f>
        <v/>
      </c>
      <c r="Z122" s="133" t="str">
        <f>IF($A122&lt;&gt;0,VLOOKUP($A122,'0.Productos'!$A$3:$GG$587,'0.Productos'!BR$1+1,0),"")</f>
        <v/>
      </c>
      <c r="AA122" s="133" t="str">
        <f>IF($A122&lt;&gt;0,VLOOKUP($A122,'0.Productos'!$A$3:$GG$587,'0.Productos'!BS$1+1,0),"")</f>
        <v/>
      </c>
      <c r="AB122" s="133" t="str">
        <f>IF($A122&lt;&gt;0,VLOOKUP($A122,'0.Productos'!$A$3:$GG$587,'0.Productos'!BT$1+1,0),"")</f>
        <v/>
      </c>
      <c r="AC122" s="133" t="str">
        <f>IF($A122&lt;&gt;0,VLOOKUP($A122,'0.Productos'!$A$3:$GG$587,'0.Productos'!BU$1+1,0),"")</f>
        <v/>
      </c>
      <c r="AD122" s="133" t="str">
        <f>IF($A122&lt;&gt;0,VLOOKUP($A122,'0.Productos'!$A$3:$GG$587,'0.Productos'!BV$1+1,0),"")</f>
        <v/>
      </c>
      <c r="AE122" s="133" t="str">
        <f>IF($A122&lt;&gt;0,VLOOKUP($A122,'0.Productos'!$A$3:$GG$587,'0.Productos'!BW$1+1,0),"")</f>
        <v/>
      </c>
      <c r="AF122" s="133" t="str">
        <f>IF($A122&lt;&gt;0,VLOOKUP($A122,'0.Productos'!$A$3:$GG$587,'0.Productos'!BX$1+1,0),"")</f>
        <v/>
      </c>
      <c r="AG122" s="133" t="str">
        <f>IF($A122&lt;&gt;0,VLOOKUP($A122,'0.Productos'!$A$3:$GG$587,'0.Productos'!BY$1+1,0),"")</f>
        <v/>
      </c>
      <c r="AH122" s="133" t="str">
        <f>IF($A122&lt;&gt;0,VLOOKUP($A122,'0.Productos'!$A$3:$GG$587,'0.Productos'!BZ$1+1,0),"")</f>
        <v/>
      </c>
      <c r="AI122" s="133" t="str">
        <f>IF($A122&lt;&gt;0,VLOOKUP($A122,'0.Productos'!$A$3:$GG$587,'0.Productos'!CA$1+1,0),"")</f>
        <v/>
      </c>
      <c r="AJ122" s="133" t="str">
        <f>IF($A122&lt;&gt;0,VLOOKUP($A122,'0.Productos'!$A$3:$GG$587,'0.Productos'!CB$1+1,0),"")</f>
        <v/>
      </c>
      <c r="AK122" s="133" t="str">
        <f>IF($A122&lt;&gt;0,VLOOKUP($A122,'0.Productos'!$A$3:$GG$587,'0.Productos'!CC$1+1,0),"")</f>
        <v/>
      </c>
      <c r="AL122" s="133" t="str">
        <f>IF($A122&lt;&gt;0,VLOOKUP($A122,'0.Productos'!$A$3:$GG$587,'0.Productos'!CD$1+1,0),"")</f>
        <v/>
      </c>
      <c r="AM122" s="133" t="str">
        <f>IF($A122&lt;&gt;0,VLOOKUP($A122,'0.Productos'!$A$3:$GG$587,'0.Productos'!CE$1+1,0),"")</f>
        <v/>
      </c>
      <c r="AN122" s="133" t="str">
        <f>IF($A122&lt;&gt;0,VLOOKUP($A122,'0.Productos'!$A$3:$GG$587,'0.Productos'!CF$1+1,0),"")</f>
        <v/>
      </c>
      <c r="AO122" s="133" t="str">
        <f>IF($A122&lt;&gt;0,VLOOKUP($A122,'0.Productos'!$A$3:$GG$587,'0.Productos'!CG$1+1,0),"")</f>
        <v/>
      </c>
      <c r="AP122" s="133" t="str">
        <f>IF($A122&lt;&gt;0,VLOOKUP($A122,'0.Productos'!$A$3:$GG$587,'0.Productos'!CH$1+1,0),"")</f>
        <v/>
      </c>
      <c r="AQ122" s="133" t="str">
        <f>IF($A122&lt;&gt;0,VLOOKUP($A122,'0.Productos'!$A$3:$GG$587,'0.Productos'!CI$1+1,0),"")</f>
        <v/>
      </c>
      <c r="AR122" s="133" t="str">
        <f>IF($A122&lt;&gt;0,VLOOKUP($A122,'0.Productos'!$A$3:$GG$587,'0.Productos'!CJ$1+1,0),"")</f>
        <v/>
      </c>
      <c r="AS122" s="133" t="str">
        <f>IF($A122&lt;&gt;0,VLOOKUP($A122,'0.Productos'!$A$3:$GG$587,'0.Productos'!CK$1+1,0),"")</f>
        <v/>
      </c>
      <c r="AT122" s="133" t="str">
        <f>IF($A122&lt;&gt;0,VLOOKUP($A122,'0.Productos'!$A$3:$GG$587,'0.Productos'!CL$1+1,0),"")</f>
        <v/>
      </c>
      <c r="AU122" s="133" t="str">
        <f>IF($A122&lt;&gt;0,VLOOKUP($A122,'0.Productos'!$A$3:$GG$587,'0.Productos'!CM$1+1,0),"")</f>
        <v/>
      </c>
      <c r="AV122" s="133" t="str">
        <f>IF($A122&lt;&gt;0,VLOOKUP($A122,'0.Productos'!$A$3:$GG$587,'0.Productos'!CN$1+1,0),"")</f>
        <v/>
      </c>
      <c r="AW122" s="133" t="str">
        <f>IF($A122&lt;&gt;0,VLOOKUP($A122,'0.Productos'!$A$3:$GG$587,'0.Productos'!CO$1+1,0),"")</f>
        <v/>
      </c>
      <c r="AX122" s="133" t="str">
        <f>IF($A122&lt;&gt;0,VLOOKUP($A122,'0.Productos'!$A$3:$GG$587,'0.Productos'!CP$1+1,0),"")</f>
        <v/>
      </c>
      <c r="AY122" s="133" t="str">
        <f>IF($A122&lt;&gt;0,VLOOKUP($A122,'0.Productos'!$A$3:$GG$587,'0.Productos'!CQ$1+1,0),"")</f>
        <v/>
      </c>
      <c r="AZ122" s="133" t="str">
        <f>IF($A122&lt;&gt;0,VLOOKUP($A122,'0.Productos'!$A$3:$GG$587,'0.Productos'!CR$1+1,0),"")</f>
        <v/>
      </c>
      <c r="BA122" s="133" t="str">
        <f>IF($A122&lt;&gt;0,VLOOKUP($A122,'0.Productos'!$A$3:$GG$587,'0.Productos'!CS$1+1,0),"")</f>
        <v/>
      </c>
      <c r="BB122" s="133" t="str">
        <f>IF($A122&lt;&gt;0,VLOOKUP($A122,'0.Productos'!$A$3:$GG$587,'0.Productos'!CT$1+1,0),"")</f>
        <v/>
      </c>
      <c r="BC122" s="133" t="str">
        <f>IF($A122&lt;&gt;0,VLOOKUP($A122,'0.Productos'!$A$3:$GG$587,'0.Productos'!CU$1+1,0),"")</f>
        <v/>
      </c>
      <c r="BD122" s="133" t="str">
        <f>IF($A122&lt;&gt;0,VLOOKUP($A122,'0.Productos'!$A$3:$GG$587,'0.Productos'!CV$1+1,0),"")</f>
        <v/>
      </c>
      <c r="BE122" s="133" t="str">
        <f>IF($A122&lt;&gt;0,VLOOKUP($A122,'0.Productos'!$A$3:$GG$587,'0.Productos'!CW$1+1,0),"")</f>
        <v/>
      </c>
      <c r="BF122" s="133" t="str">
        <f>IF($A122&lt;&gt;0,VLOOKUP($A122,'0.Productos'!$A$3:$GG$587,'0.Productos'!CX$1+1,0),"")</f>
        <v/>
      </c>
      <c r="BG122" s="133" t="str">
        <f>IF($A122&lt;&gt;0,VLOOKUP($A122,'0.Productos'!$A$3:$GG$587,'0.Productos'!CY$1+1,0),"")</f>
        <v/>
      </c>
      <c r="BH122" s="133" t="str">
        <f>IF($A122&lt;&gt;0,VLOOKUP($A122,'0.Productos'!$A$3:$GG$587,'0.Productos'!CZ$1+1,0),"")</f>
        <v/>
      </c>
      <c r="BI122" s="133" t="str">
        <f>IF($A122&lt;&gt;0,VLOOKUP($A122,'0.Productos'!$A$3:$GG$587,'0.Productos'!DA$1+1,0),"")</f>
        <v/>
      </c>
      <c r="BJ122" s="133" t="str">
        <f>IF($A122&lt;&gt;0,VLOOKUP($A122,'0.Productos'!$A$3:$GG$587,'0.Productos'!DB$1+1,0),"")</f>
        <v/>
      </c>
      <c r="BK122" s="133" t="str">
        <f>IF($A122&lt;&gt;0,VLOOKUP($A122,'0.Productos'!$A$3:$GG$587,'0.Productos'!DC$1+1,0),"")</f>
        <v/>
      </c>
      <c r="BL122" s="133" t="str">
        <f>IF($A122&lt;&gt;0,VLOOKUP($A122,'0.Productos'!$A$3:$GG$587,'0.Productos'!DD$1+1,0),"")</f>
        <v/>
      </c>
      <c r="BM122" s="133" t="str">
        <f>IF($A122&lt;&gt;0,VLOOKUP($A122,'0.Productos'!$A$3:$GG$587,'0.Productos'!DE$1+1,0),"")</f>
        <v/>
      </c>
      <c r="BN122" s="133" t="str">
        <f>IF($A122&lt;&gt;0,VLOOKUP($A122,'0.Productos'!$A$3:$GG$587,'0.Productos'!DF$1+1,0),"")</f>
        <v/>
      </c>
      <c r="BO122" s="133" t="str">
        <f>IF($A122&lt;&gt;0,VLOOKUP($A122,'0.Productos'!$A$3:$GG$587,'0.Productos'!DG$1+1,0),"")</f>
        <v/>
      </c>
      <c r="BP122" s="133" t="str">
        <f>IF($A122&lt;&gt;0,VLOOKUP($A122,'0.Productos'!$A$3:$GG$587,'0.Productos'!DH$1+1,0),"")</f>
        <v/>
      </c>
      <c r="BQ122" s="133" t="str">
        <f>IF($A122&lt;&gt;0,VLOOKUP($A122,'0.Productos'!$A$3:$GG$587,'0.Productos'!DI$1+1,0),"")</f>
        <v/>
      </c>
      <c r="BR122" s="133" t="str">
        <f>IF($A122&lt;&gt;0,VLOOKUP($A122,'0.Productos'!$A$3:$GG$587,'0.Productos'!DJ$1+1,0),"")</f>
        <v/>
      </c>
      <c r="BS122" s="133" t="str">
        <f>IF($A122&lt;&gt;0,VLOOKUP($A122,'0.Productos'!$A$3:$GG$587,'0.Productos'!DK$1+1,0),"")</f>
        <v/>
      </c>
      <c r="BT122" s="133" t="str">
        <f>IF($A122&lt;&gt;0,VLOOKUP($A122,'0.Productos'!$A$3:$GG$587,'0.Productos'!DL$1+1,0),"")</f>
        <v/>
      </c>
    </row>
    <row r="123" spans="1:72" x14ac:dyDescent="0.25">
      <c r="A123" s="17">
        <f>'0.Consolidado general'!A123</f>
        <v>0</v>
      </c>
      <c r="B123" s="133" t="str">
        <f>IF($A123&lt;&gt;0,VLOOKUP($A123,'0.Productos'!$A$3:$GG$587,'0.Productos'!AT$1+1,0),"")</f>
        <v/>
      </c>
      <c r="C123" s="133" t="str">
        <f>IF($A123&lt;&gt;0,VLOOKUP($A123,'0.Productos'!$A$3:$GG$587,'0.Productos'!AU$1+1,0),"")</f>
        <v/>
      </c>
      <c r="D123" s="133" t="str">
        <f>IF($A123&lt;&gt;0,VLOOKUP($A123,'0.Productos'!$A$3:$GG$587,'0.Productos'!AV$1+1,0),"")</f>
        <v/>
      </c>
      <c r="E123" s="133" t="str">
        <f>IF($A123&lt;&gt;0,VLOOKUP($A123,'0.Productos'!$A$3:$GG$587,'0.Productos'!AW$1+1,0),"")</f>
        <v/>
      </c>
      <c r="F123" s="133" t="str">
        <f>IF($A123&lt;&gt;0,VLOOKUP($A123,'0.Productos'!$A$3:$GG$587,'0.Productos'!AX$1+1,0),"")</f>
        <v/>
      </c>
      <c r="G123" s="133" t="str">
        <f>IF($A123&lt;&gt;0,VLOOKUP($A123,'0.Productos'!$A$3:$GG$587,'0.Productos'!AY$1+1,0),"")</f>
        <v/>
      </c>
      <c r="H123" s="133" t="str">
        <f>IF($A123&lt;&gt;0,VLOOKUP($A123,'0.Productos'!$A$3:$GG$587,'0.Productos'!AZ$1+1,0),"")</f>
        <v/>
      </c>
      <c r="I123" s="133" t="str">
        <f>IF($A123&lt;&gt;0,VLOOKUP($A123,'0.Productos'!$A$3:$GG$587,'0.Productos'!BA$1+1,0),"")</f>
        <v/>
      </c>
      <c r="J123" s="133" t="str">
        <f>IF($A123&lt;&gt;0,VLOOKUP($A123,'0.Productos'!$A$3:$GG$587,'0.Productos'!BB$1+1,0),"")</f>
        <v/>
      </c>
      <c r="K123" s="133" t="str">
        <f>IF($A123&lt;&gt;0,VLOOKUP($A123,'0.Productos'!$A$3:$GG$587,'0.Productos'!BC$1+1,0),"")</f>
        <v/>
      </c>
      <c r="L123" s="133" t="str">
        <f>IF($A123&lt;&gt;0,VLOOKUP($A123,'0.Productos'!$A$3:$GG$587,'0.Productos'!BD$1+1,0),"")</f>
        <v/>
      </c>
      <c r="M123" s="133" t="str">
        <f>IF($A123&lt;&gt;0,VLOOKUP($A123,'0.Productos'!$A$3:$GG$587,'0.Productos'!BE$1+1,0),"")</f>
        <v/>
      </c>
      <c r="N123" s="133" t="str">
        <f>IF($A123&lt;&gt;0,VLOOKUP($A123,'0.Productos'!$A$3:$GG$587,'0.Productos'!BF$1+1,0),"")</f>
        <v/>
      </c>
      <c r="O123" s="133" t="str">
        <f>IF($A123&lt;&gt;0,VLOOKUP($A123,'0.Productos'!$A$3:$GG$587,'0.Productos'!BG$1+1,0),"")</f>
        <v/>
      </c>
      <c r="P123" s="133" t="str">
        <f>IF($A123&lt;&gt;0,VLOOKUP($A123,'0.Productos'!$A$3:$GG$587,'0.Productos'!BH$1+1,0),"")</f>
        <v/>
      </c>
      <c r="Q123" s="133" t="str">
        <f>IF($A123&lt;&gt;0,VLOOKUP($A123,'0.Productos'!$A$3:$GG$587,'0.Productos'!BI$1+1,0),"")</f>
        <v/>
      </c>
      <c r="R123" s="133" t="str">
        <f>IF($A123&lt;&gt;0,VLOOKUP($A123,'0.Productos'!$A$3:$GG$587,'0.Productos'!BJ$1+1,0),"")</f>
        <v/>
      </c>
      <c r="S123" s="133" t="str">
        <f>IF($A123&lt;&gt;0,VLOOKUP($A123,'0.Productos'!$A$3:$GG$587,'0.Productos'!BK$1+1,0),"")</f>
        <v/>
      </c>
      <c r="T123" s="133" t="str">
        <f>IF($A123&lt;&gt;0,VLOOKUP($A123,'0.Productos'!$A$3:$GG$587,'0.Productos'!BL$1+1,0),"")</f>
        <v/>
      </c>
      <c r="U123" s="133" t="str">
        <f>IF($A123&lt;&gt;0,VLOOKUP($A123,'0.Productos'!$A$3:$GG$587,'0.Productos'!BM$1+1,0),"")</f>
        <v/>
      </c>
      <c r="V123" s="133" t="str">
        <f>IF($A123&lt;&gt;0,VLOOKUP($A123,'0.Productos'!$A$3:$GG$587,'0.Productos'!BN$1+1,0),"")</f>
        <v/>
      </c>
      <c r="W123" s="133" t="str">
        <f>IF($A123&lt;&gt;0,VLOOKUP($A123,'0.Productos'!$A$3:$GG$587,'0.Productos'!BO$1+1,0),"")</f>
        <v/>
      </c>
      <c r="X123" s="133" t="str">
        <f>IF($A123&lt;&gt;0,VLOOKUP($A123,'0.Productos'!$A$3:$GG$587,'0.Productos'!BP$1+1,0),"")</f>
        <v/>
      </c>
      <c r="Y123" s="133" t="str">
        <f>IF($A123&lt;&gt;0,VLOOKUP($A123,'0.Productos'!$A$3:$GG$587,'0.Productos'!BQ$1+1,0),"")</f>
        <v/>
      </c>
      <c r="Z123" s="133" t="str">
        <f>IF($A123&lt;&gt;0,VLOOKUP($A123,'0.Productos'!$A$3:$GG$587,'0.Productos'!BR$1+1,0),"")</f>
        <v/>
      </c>
      <c r="AA123" s="133" t="str">
        <f>IF($A123&lt;&gt;0,VLOOKUP($A123,'0.Productos'!$A$3:$GG$587,'0.Productos'!BS$1+1,0),"")</f>
        <v/>
      </c>
      <c r="AB123" s="133" t="str">
        <f>IF($A123&lt;&gt;0,VLOOKUP($A123,'0.Productos'!$A$3:$GG$587,'0.Productos'!BT$1+1,0),"")</f>
        <v/>
      </c>
      <c r="AC123" s="133" t="str">
        <f>IF($A123&lt;&gt;0,VLOOKUP($A123,'0.Productos'!$A$3:$GG$587,'0.Productos'!BU$1+1,0),"")</f>
        <v/>
      </c>
      <c r="AD123" s="133" t="str">
        <f>IF($A123&lt;&gt;0,VLOOKUP($A123,'0.Productos'!$A$3:$GG$587,'0.Productos'!BV$1+1,0),"")</f>
        <v/>
      </c>
      <c r="AE123" s="133" t="str">
        <f>IF($A123&lt;&gt;0,VLOOKUP($A123,'0.Productos'!$A$3:$GG$587,'0.Productos'!BW$1+1,0),"")</f>
        <v/>
      </c>
      <c r="AF123" s="133" t="str">
        <f>IF($A123&lt;&gt;0,VLOOKUP($A123,'0.Productos'!$A$3:$GG$587,'0.Productos'!BX$1+1,0),"")</f>
        <v/>
      </c>
      <c r="AG123" s="133" t="str">
        <f>IF($A123&lt;&gt;0,VLOOKUP($A123,'0.Productos'!$A$3:$GG$587,'0.Productos'!BY$1+1,0),"")</f>
        <v/>
      </c>
      <c r="AH123" s="133" t="str">
        <f>IF($A123&lt;&gt;0,VLOOKUP($A123,'0.Productos'!$A$3:$GG$587,'0.Productos'!BZ$1+1,0),"")</f>
        <v/>
      </c>
      <c r="AI123" s="133" t="str">
        <f>IF($A123&lt;&gt;0,VLOOKUP($A123,'0.Productos'!$A$3:$GG$587,'0.Productos'!CA$1+1,0),"")</f>
        <v/>
      </c>
      <c r="AJ123" s="133" t="str">
        <f>IF($A123&lt;&gt;0,VLOOKUP($A123,'0.Productos'!$A$3:$GG$587,'0.Productos'!CB$1+1,0),"")</f>
        <v/>
      </c>
      <c r="AK123" s="133" t="str">
        <f>IF($A123&lt;&gt;0,VLOOKUP($A123,'0.Productos'!$A$3:$GG$587,'0.Productos'!CC$1+1,0),"")</f>
        <v/>
      </c>
      <c r="AL123" s="133" t="str">
        <f>IF($A123&lt;&gt;0,VLOOKUP($A123,'0.Productos'!$A$3:$GG$587,'0.Productos'!CD$1+1,0),"")</f>
        <v/>
      </c>
      <c r="AM123" s="133" t="str">
        <f>IF($A123&lt;&gt;0,VLOOKUP($A123,'0.Productos'!$A$3:$GG$587,'0.Productos'!CE$1+1,0),"")</f>
        <v/>
      </c>
      <c r="AN123" s="133" t="str">
        <f>IF($A123&lt;&gt;0,VLOOKUP($A123,'0.Productos'!$A$3:$GG$587,'0.Productos'!CF$1+1,0),"")</f>
        <v/>
      </c>
      <c r="AO123" s="133" t="str">
        <f>IF($A123&lt;&gt;0,VLOOKUP($A123,'0.Productos'!$A$3:$GG$587,'0.Productos'!CG$1+1,0),"")</f>
        <v/>
      </c>
      <c r="AP123" s="133" t="str">
        <f>IF($A123&lt;&gt;0,VLOOKUP($A123,'0.Productos'!$A$3:$GG$587,'0.Productos'!CH$1+1,0),"")</f>
        <v/>
      </c>
      <c r="AQ123" s="133" t="str">
        <f>IF($A123&lt;&gt;0,VLOOKUP($A123,'0.Productos'!$A$3:$GG$587,'0.Productos'!CI$1+1,0),"")</f>
        <v/>
      </c>
      <c r="AR123" s="133" t="str">
        <f>IF($A123&lt;&gt;0,VLOOKUP($A123,'0.Productos'!$A$3:$GG$587,'0.Productos'!CJ$1+1,0),"")</f>
        <v/>
      </c>
      <c r="AS123" s="133" t="str">
        <f>IF($A123&lt;&gt;0,VLOOKUP($A123,'0.Productos'!$A$3:$GG$587,'0.Productos'!CK$1+1,0),"")</f>
        <v/>
      </c>
      <c r="AT123" s="133" t="str">
        <f>IF($A123&lt;&gt;0,VLOOKUP($A123,'0.Productos'!$A$3:$GG$587,'0.Productos'!CL$1+1,0),"")</f>
        <v/>
      </c>
      <c r="AU123" s="133" t="str">
        <f>IF($A123&lt;&gt;0,VLOOKUP($A123,'0.Productos'!$A$3:$GG$587,'0.Productos'!CM$1+1,0),"")</f>
        <v/>
      </c>
      <c r="AV123" s="133" t="str">
        <f>IF($A123&lt;&gt;0,VLOOKUP($A123,'0.Productos'!$A$3:$GG$587,'0.Productos'!CN$1+1,0),"")</f>
        <v/>
      </c>
      <c r="AW123" s="133" t="str">
        <f>IF($A123&lt;&gt;0,VLOOKUP($A123,'0.Productos'!$A$3:$GG$587,'0.Productos'!CO$1+1,0),"")</f>
        <v/>
      </c>
      <c r="AX123" s="133" t="str">
        <f>IF($A123&lt;&gt;0,VLOOKUP($A123,'0.Productos'!$A$3:$GG$587,'0.Productos'!CP$1+1,0),"")</f>
        <v/>
      </c>
      <c r="AY123" s="133" t="str">
        <f>IF($A123&lt;&gt;0,VLOOKUP($A123,'0.Productos'!$A$3:$GG$587,'0.Productos'!CQ$1+1,0),"")</f>
        <v/>
      </c>
      <c r="AZ123" s="133" t="str">
        <f>IF($A123&lt;&gt;0,VLOOKUP($A123,'0.Productos'!$A$3:$GG$587,'0.Productos'!CR$1+1,0),"")</f>
        <v/>
      </c>
      <c r="BA123" s="133" t="str">
        <f>IF($A123&lt;&gt;0,VLOOKUP($A123,'0.Productos'!$A$3:$GG$587,'0.Productos'!CS$1+1,0),"")</f>
        <v/>
      </c>
      <c r="BB123" s="133" t="str">
        <f>IF($A123&lt;&gt;0,VLOOKUP($A123,'0.Productos'!$A$3:$GG$587,'0.Productos'!CT$1+1,0),"")</f>
        <v/>
      </c>
      <c r="BC123" s="133" t="str">
        <f>IF($A123&lt;&gt;0,VLOOKUP($A123,'0.Productos'!$A$3:$GG$587,'0.Productos'!CU$1+1,0),"")</f>
        <v/>
      </c>
      <c r="BD123" s="133" t="str">
        <f>IF($A123&lt;&gt;0,VLOOKUP($A123,'0.Productos'!$A$3:$GG$587,'0.Productos'!CV$1+1,0),"")</f>
        <v/>
      </c>
      <c r="BE123" s="133" t="str">
        <f>IF($A123&lt;&gt;0,VLOOKUP($A123,'0.Productos'!$A$3:$GG$587,'0.Productos'!CW$1+1,0),"")</f>
        <v/>
      </c>
      <c r="BF123" s="133" t="str">
        <f>IF($A123&lt;&gt;0,VLOOKUP($A123,'0.Productos'!$A$3:$GG$587,'0.Productos'!CX$1+1,0),"")</f>
        <v/>
      </c>
      <c r="BG123" s="133" t="str">
        <f>IF($A123&lt;&gt;0,VLOOKUP($A123,'0.Productos'!$A$3:$GG$587,'0.Productos'!CY$1+1,0),"")</f>
        <v/>
      </c>
      <c r="BH123" s="133" t="str">
        <f>IF($A123&lt;&gt;0,VLOOKUP($A123,'0.Productos'!$A$3:$GG$587,'0.Productos'!CZ$1+1,0),"")</f>
        <v/>
      </c>
      <c r="BI123" s="133" t="str">
        <f>IF($A123&lt;&gt;0,VLOOKUP($A123,'0.Productos'!$A$3:$GG$587,'0.Productos'!DA$1+1,0),"")</f>
        <v/>
      </c>
      <c r="BJ123" s="133" t="str">
        <f>IF($A123&lt;&gt;0,VLOOKUP($A123,'0.Productos'!$A$3:$GG$587,'0.Productos'!DB$1+1,0),"")</f>
        <v/>
      </c>
      <c r="BK123" s="133" t="str">
        <f>IF($A123&lt;&gt;0,VLOOKUP($A123,'0.Productos'!$A$3:$GG$587,'0.Productos'!DC$1+1,0),"")</f>
        <v/>
      </c>
      <c r="BL123" s="133" t="str">
        <f>IF($A123&lt;&gt;0,VLOOKUP($A123,'0.Productos'!$A$3:$GG$587,'0.Productos'!DD$1+1,0),"")</f>
        <v/>
      </c>
      <c r="BM123" s="133" t="str">
        <f>IF($A123&lt;&gt;0,VLOOKUP($A123,'0.Productos'!$A$3:$GG$587,'0.Productos'!DE$1+1,0),"")</f>
        <v/>
      </c>
      <c r="BN123" s="133" t="str">
        <f>IF($A123&lt;&gt;0,VLOOKUP($A123,'0.Productos'!$A$3:$GG$587,'0.Productos'!DF$1+1,0),"")</f>
        <v/>
      </c>
      <c r="BO123" s="133" t="str">
        <f>IF($A123&lt;&gt;0,VLOOKUP($A123,'0.Productos'!$A$3:$GG$587,'0.Productos'!DG$1+1,0),"")</f>
        <v/>
      </c>
      <c r="BP123" s="133" t="str">
        <f>IF($A123&lt;&gt;0,VLOOKUP($A123,'0.Productos'!$A$3:$GG$587,'0.Productos'!DH$1+1,0),"")</f>
        <v/>
      </c>
      <c r="BQ123" s="133" t="str">
        <f>IF($A123&lt;&gt;0,VLOOKUP($A123,'0.Productos'!$A$3:$GG$587,'0.Productos'!DI$1+1,0),"")</f>
        <v/>
      </c>
      <c r="BR123" s="133" t="str">
        <f>IF($A123&lt;&gt;0,VLOOKUP($A123,'0.Productos'!$A$3:$GG$587,'0.Productos'!DJ$1+1,0),"")</f>
        <v/>
      </c>
      <c r="BS123" s="133" t="str">
        <f>IF($A123&lt;&gt;0,VLOOKUP($A123,'0.Productos'!$A$3:$GG$587,'0.Productos'!DK$1+1,0),"")</f>
        <v/>
      </c>
      <c r="BT123" s="133" t="str">
        <f>IF($A123&lt;&gt;0,VLOOKUP($A123,'0.Productos'!$A$3:$GG$587,'0.Productos'!DL$1+1,0),"")</f>
        <v/>
      </c>
    </row>
    <row r="124" spans="1:72" x14ac:dyDescent="0.25">
      <c r="A124" s="17">
        <f>'0.Consolidado general'!A124</f>
        <v>0</v>
      </c>
      <c r="B124" s="133" t="str">
        <f>IF($A124&lt;&gt;0,VLOOKUP($A124,'0.Productos'!$A$3:$GG$587,'0.Productos'!AT$1+1,0),"")</f>
        <v/>
      </c>
      <c r="C124" s="133" t="str">
        <f>IF($A124&lt;&gt;0,VLOOKUP($A124,'0.Productos'!$A$3:$GG$587,'0.Productos'!AU$1+1,0),"")</f>
        <v/>
      </c>
      <c r="D124" s="133" t="str">
        <f>IF($A124&lt;&gt;0,VLOOKUP($A124,'0.Productos'!$A$3:$GG$587,'0.Productos'!AV$1+1,0),"")</f>
        <v/>
      </c>
      <c r="E124" s="133" t="str">
        <f>IF($A124&lt;&gt;0,VLOOKUP($A124,'0.Productos'!$A$3:$GG$587,'0.Productos'!AW$1+1,0),"")</f>
        <v/>
      </c>
      <c r="F124" s="133" t="str">
        <f>IF($A124&lt;&gt;0,VLOOKUP($A124,'0.Productos'!$A$3:$GG$587,'0.Productos'!AX$1+1,0),"")</f>
        <v/>
      </c>
      <c r="G124" s="133" t="str">
        <f>IF($A124&lt;&gt;0,VLOOKUP($A124,'0.Productos'!$A$3:$GG$587,'0.Productos'!AY$1+1,0),"")</f>
        <v/>
      </c>
      <c r="H124" s="133" t="str">
        <f>IF($A124&lt;&gt;0,VLOOKUP($A124,'0.Productos'!$A$3:$GG$587,'0.Productos'!AZ$1+1,0),"")</f>
        <v/>
      </c>
      <c r="I124" s="133" t="str">
        <f>IF($A124&lt;&gt;0,VLOOKUP($A124,'0.Productos'!$A$3:$GG$587,'0.Productos'!BA$1+1,0),"")</f>
        <v/>
      </c>
      <c r="J124" s="133" t="str">
        <f>IF($A124&lt;&gt;0,VLOOKUP($A124,'0.Productos'!$A$3:$GG$587,'0.Productos'!BB$1+1,0),"")</f>
        <v/>
      </c>
      <c r="K124" s="133" t="str">
        <f>IF($A124&lt;&gt;0,VLOOKUP($A124,'0.Productos'!$A$3:$GG$587,'0.Productos'!BC$1+1,0),"")</f>
        <v/>
      </c>
      <c r="L124" s="133" t="str">
        <f>IF($A124&lt;&gt;0,VLOOKUP($A124,'0.Productos'!$A$3:$GG$587,'0.Productos'!BD$1+1,0),"")</f>
        <v/>
      </c>
      <c r="M124" s="133" t="str">
        <f>IF($A124&lt;&gt;0,VLOOKUP($A124,'0.Productos'!$A$3:$GG$587,'0.Productos'!BE$1+1,0),"")</f>
        <v/>
      </c>
      <c r="N124" s="133" t="str">
        <f>IF($A124&lt;&gt;0,VLOOKUP($A124,'0.Productos'!$A$3:$GG$587,'0.Productos'!BF$1+1,0),"")</f>
        <v/>
      </c>
      <c r="O124" s="133" t="str">
        <f>IF($A124&lt;&gt;0,VLOOKUP($A124,'0.Productos'!$A$3:$GG$587,'0.Productos'!BG$1+1,0),"")</f>
        <v/>
      </c>
      <c r="P124" s="133" t="str">
        <f>IF($A124&lt;&gt;0,VLOOKUP($A124,'0.Productos'!$A$3:$GG$587,'0.Productos'!BH$1+1,0),"")</f>
        <v/>
      </c>
      <c r="Q124" s="133" t="str">
        <f>IF($A124&lt;&gt;0,VLOOKUP($A124,'0.Productos'!$A$3:$GG$587,'0.Productos'!BI$1+1,0),"")</f>
        <v/>
      </c>
      <c r="R124" s="133" t="str">
        <f>IF($A124&lt;&gt;0,VLOOKUP($A124,'0.Productos'!$A$3:$GG$587,'0.Productos'!BJ$1+1,0),"")</f>
        <v/>
      </c>
      <c r="S124" s="133" t="str">
        <f>IF($A124&lt;&gt;0,VLOOKUP($A124,'0.Productos'!$A$3:$GG$587,'0.Productos'!BK$1+1,0),"")</f>
        <v/>
      </c>
      <c r="T124" s="133" t="str">
        <f>IF($A124&lt;&gt;0,VLOOKUP($A124,'0.Productos'!$A$3:$GG$587,'0.Productos'!BL$1+1,0),"")</f>
        <v/>
      </c>
      <c r="U124" s="133" t="str">
        <f>IF($A124&lt;&gt;0,VLOOKUP($A124,'0.Productos'!$A$3:$GG$587,'0.Productos'!BM$1+1,0),"")</f>
        <v/>
      </c>
      <c r="V124" s="133" t="str">
        <f>IF($A124&lt;&gt;0,VLOOKUP($A124,'0.Productos'!$A$3:$GG$587,'0.Productos'!BN$1+1,0),"")</f>
        <v/>
      </c>
      <c r="W124" s="133" t="str">
        <f>IF($A124&lt;&gt;0,VLOOKUP($A124,'0.Productos'!$A$3:$GG$587,'0.Productos'!BO$1+1,0),"")</f>
        <v/>
      </c>
      <c r="X124" s="133" t="str">
        <f>IF($A124&lt;&gt;0,VLOOKUP($A124,'0.Productos'!$A$3:$GG$587,'0.Productos'!BP$1+1,0),"")</f>
        <v/>
      </c>
      <c r="Y124" s="133" t="str">
        <f>IF($A124&lt;&gt;0,VLOOKUP($A124,'0.Productos'!$A$3:$GG$587,'0.Productos'!BQ$1+1,0),"")</f>
        <v/>
      </c>
      <c r="Z124" s="133" t="str">
        <f>IF($A124&lt;&gt;0,VLOOKUP($A124,'0.Productos'!$A$3:$GG$587,'0.Productos'!BR$1+1,0),"")</f>
        <v/>
      </c>
      <c r="AA124" s="133" t="str">
        <f>IF($A124&lt;&gt;0,VLOOKUP($A124,'0.Productos'!$A$3:$GG$587,'0.Productos'!BS$1+1,0),"")</f>
        <v/>
      </c>
      <c r="AB124" s="133" t="str">
        <f>IF($A124&lt;&gt;0,VLOOKUP($A124,'0.Productos'!$A$3:$GG$587,'0.Productos'!BT$1+1,0),"")</f>
        <v/>
      </c>
      <c r="AC124" s="133" t="str">
        <f>IF($A124&lt;&gt;0,VLOOKUP($A124,'0.Productos'!$A$3:$GG$587,'0.Productos'!BU$1+1,0),"")</f>
        <v/>
      </c>
      <c r="AD124" s="133" t="str">
        <f>IF($A124&lt;&gt;0,VLOOKUP($A124,'0.Productos'!$A$3:$GG$587,'0.Productos'!BV$1+1,0),"")</f>
        <v/>
      </c>
      <c r="AE124" s="133" t="str">
        <f>IF($A124&lt;&gt;0,VLOOKUP($A124,'0.Productos'!$A$3:$GG$587,'0.Productos'!BW$1+1,0),"")</f>
        <v/>
      </c>
      <c r="AF124" s="133" t="str">
        <f>IF($A124&lt;&gt;0,VLOOKUP($A124,'0.Productos'!$A$3:$GG$587,'0.Productos'!BX$1+1,0),"")</f>
        <v/>
      </c>
      <c r="AG124" s="133" t="str">
        <f>IF($A124&lt;&gt;0,VLOOKUP($A124,'0.Productos'!$A$3:$GG$587,'0.Productos'!BY$1+1,0),"")</f>
        <v/>
      </c>
      <c r="AH124" s="133" t="str">
        <f>IF($A124&lt;&gt;0,VLOOKUP($A124,'0.Productos'!$A$3:$GG$587,'0.Productos'!BZ$1+1,0),"")</f>
        <v/>
      </c>
      <c r="AI124" s="133" t="str">
        <f>IF($A124&lt;&gt;0,VLOOKUP($A124,'0.Productos'!$A$3:$GG$587,'0.Productos'!CA$1+1,0),"")</f>
        <v/>
      </c>
      <c r="AJ124" s="133" t="str">
        <f>IF($A124&lt;&gt;0,VLOOKUP($A124,'0.Productos'!$A$3:$GG$587,'0.Productos'!CB$1+1,0),"")</f>
        <v/>
      </c>
      <c r="AK124" s="133" t="str">
        <f>IF($A124&lt;&gt;0,VLOOKUP($A124,'0.Productos'!$A$3:$GG$587,'0.Productos'!CC$1+1,0),"")</f>
        <v/>
      </c>
      <c r="AL124" s="133" t="str">
        <f>IF($A124&lt;&gt;0,VLOOKUP($A124,'0.Productos'!$A$3:$GG$587,'0.Productos'!CD$1+1,0),"")</f>
        <v/>
      </c>
      <c r="AM124" s="133" t="str">
        <f>IF($A124&lt;&gt;0,VLOOKUP($A124,'0.Productos'!$A$3:$GG$587,'0.Productos'!CE$1+1,0),"")</f>
        <v/>
      </c>
      <c r="AN124" s="133" t="str">
        <f>IF($A124&lt;&gt;0,VLOOKUP($A124,'0.Productos'!$A$3:$GG$587,'0.Productos'!CF$1+1,0),"")</f>
        <v/>
      </c>
      <c r="AO124" s="133" t="str">
        <f>IF($A124&lt;&gt;0,VLOOKUP($A124,'0.Productos'!$A$3:$GG$587,'0.Productos'!CG$1+1,0),"")</f>
        <v/>
      </c>
      <c r="AP124" s="133" t="str">
        <f>IF($A124&lt;&gt;0,VLOOKUP($A124,'0.Productos'!$A$3:$GG$587,'0.Productos'!CH$1+1,0),"")</f>
        <v/>
      </c>
      <c r="AQ124" s="133" t="str">
        <f>IF($A124&lt;&gt;0,VLOOKUP($A124,'0.Productos'!$A$3:$GG$587,'0.Productos'!CI$1+1,0),"")</f>
        <v/>
      </c>
      <c r="AR124" s="133" t="str">
        <f>IF($A124&lt;&gt;0,VLOOKUP($A124,'0.Productos'!$A$3:$GG$587,'0.Productos'!CJ$1+1,0),"")</f>
        <v/>
      </c>
      <c r="AS124" s="133" t="str">
        <f>IF($A124&lt;&gt;0,VLOOKUP($A124,'0.Productos'!$A$3:$GG$587,'0.Productos'!CK$1+1,0),"")</f>
        <v/>
      </c>
      <c r="AT124" s="133" t="str">
        <f>IF($A124&lt;&gt;0,VLOOKUP($A124,'0.Productos'!$A$3:$GG$587,'0.Productos'!CL$1+1,0),"")</f>
        <v/>
      </c>
      <c r="AU124" s="133" t="str">
        <f>IF($A124&lt;&gt;0,VLOOKUP($A124,'0.Productos'!$A$3:$GG$587,'0.Productos'!CM$1+1,0),"")</f>
        <v/>
      </c>
      <c r="AV124" s="133" t="str">
        <f>IF($A124&lt;&gt;0,VLOOKUP($A124,'0.Productos'!$A$3:$GG$587,'0.Productos'!CN$1+1,0),"")</f>
        <v/>
      </c>
      <c r="AW124" s="133" t="str">
        <f>IF($A124&lt;&gt;0,VLOOKUP($A124,'0.Productos'!$A$3:$GG$587,'0.Productos'!CO$1+1,0),"")</f>
        <v/>
      </c>
      <c r="AX124" s="133" t="str">
        <f>IF($A124&lt;&gt;0,VLOOKUP($A124,'0.Productos'!$A$3:$GG$587,'0.Productos'!CP$1+1,0),"")</f>
        <v/>
      </c>
      <c r="AY124" s="133" t="str">
        <f>IF($A124&lt;&gt;0,VLOOKUP($A124,'0.Productos'!$A$3:$GG$587,'0.Productos'!CQ$1+1,0),"")</f>
        <v/>
      </c>
      <c r="AZ124" s="133" t="str">
        <f>IF($A124&lt;&gt;0,VLOOKUP($A124,'0.Productos'!$A$3:$GG$587,'0.Productos'!CR$1+1,0),"")</f>
        <v/>
      </c>
      <c r="BA124" s="133" t="str">
        <f>IF($A124&lt;&gt;0,VLOOKUP($A124,'0.Productos'!$A$3:$GG$587,'0.Productos'!CS$1+1,0),"")</f>
        <v/>
      </c>
      <c r="BB124" s="133" t="str">
        <f>IF($A124&lt;&gt;0,VLOOKUP($A124,'0.Productos'!$A$3:$GG$587,'0.Productos'!CT$1+1,0),"")</f>
        <v/>
      </c>
      <c r="BC124" s="133" t="str">
        <f>IF($A124&lt;&gt;0,VLOOKUP($A124,'0.Productos'!$A$3:$GG$587,'0.Productos'!CU$1+1,0),"")</f>
        <v/>
      </c>
      <c r="BD124" s="133" t="str">
        <f>IF($A124&lt;&gt;0,VLOOKUP($A124,'0.Productos'!$A$3:$GG$587,'0.Productos'!CV$1+1,0),"")</f>
        <v/>
      </c>
      <c r="BE124" s="133" t="str">
        <f>IF($A124&lt;&gt;0,VLOOKUP($A124,'0.Productos'!$A$3:$GG$587,'0.Productos'!CW$1+1,0),"")</f>
        <v/>
      </c>
      <c r="BF124" s="133" t="str">
        <f>IF($A124&lt;&gt;0,VLOOKUP($A124,'0.Productos'!$A$3:$GG$587,'0.Productos'!CX$1+1,0),"")</f>
        <v/>
      </c>
      <c r="BG124" s="133" t="str">
        <f>IF($A124&lt;&gt;0,VLOOKUP($A124,'0.Productos'!$A$3:$GG$587,'0.Productos'!CY$1+1,0),"")</f>
        <v/>
      </c>
      <c r="BH124" s="133" t="str">
        <f>IF($A124&lt;&gt;0,VLOOKUP($A124,'0.Productos'!$A$3:$GG$587,'0.Productos'!CZ$1+1,0),"")</f>
        <v/>
      </c>
      <c r="BI124" s="133" t="str">
        <f>IF($A124&lt;&gt;0,VLOOKUP($A124,'0.Productos'!$A$3:$GG$587,'0.Productos'!DA$1+1,0),"")</f>
        <v/>
      </c>
      <c r="BJ124" s="133" t="str">
        <f>IF($A124&lt;&gt;0,VLOOKUP($A124,'0.Productos'!$A$3:$GG$587,'0.Productos'!DB$1+1,0),"")</f>
        <v/>
      </c>
      <c r="BK124" s="133" t="str">
        <f>IF($A124&lt;&gt;0,VLOOKUP($A124,'0.Productos'!$A$3:$GG$587,'0.Productos'!DC$1+1,0),"")</f>
        <v/>
      </c>
      <c r="BL124" s="133" t="str">
        <f>IF($A124&lt;&gt;0,VLOOKUP($A124,'0.Productos'!$A$3:$GG$587,'0.Productos'!DD$1+1,0),"")</f>
        <v/>
      </c>
      <c r="BM124" s="133" t="str">
        <f>IF($A124&lt;&gt;0,VLOOKUP($A124,'0.Productos'!$A$3:$GG$587,'0.Productos'!DE$1+1,0),"")</f>
        <v/>
      </c>
      <c r="BN124" s="133" t="str">
        <f>IF($A124&lt;&gt;0,VLOOKUP($A124,'0.Productos'!$A$3:$GG$587,'0.Productos'!DF$1+1,0),"")</f>
        <v/>
      </c>
      <c r="BO124" s="133" t="str">
        <f>IF($A124&lt;&gt;0,VLOOKUP($A124,'0.Productos'!$A$3:$GG$587,'0.Productos'!DG$1+1,0),"")</f>
        <v/>
      </c>
      <c r="BP124" s="133" t="str">
        <f>IF($A124&lt;&gt;0,VLOOKUP($A124,'0.Productos'!$A$3:$GG$587,'0.Productos'!DH$1+1,0),"")</f>
        <v/>
      </c>
      <c r="BQ124" s="133" t="str">
        <f>IF($A124&lt;&gt;0,VLOOKUP($A124,'0.Productos'!$A$3:$GG$587,'0.Productos'!DI$1+1,0),"")</f>
        <v/>
      </c>
      <c r="BR124" s="133" t="str">
        <f>IF($A124&lt;&gt;0,VLOOKUP($A124,'0.Productos'!$A$3:$GG$587,'0.Productos'!DJ$1+1,0),"")</f>
        <v/>
      </c>
      <c r="BS124" s="133" t="str">
        <f>IF($A124&lt;&gt;0,VLOOKUP($A124,'0.Productos'!$A$3:$GG$587,'0.Productos'!DK$1+1,0),"")</f>
        <v/>
      </c>
      <c r="BT124" s="133" t="str">
        <f>IF($A124&lt;&gt;0,VLOOKUP($A124,'0.Productos'!$A$3:$GG$587,'0.Productos'!DL$1+1,0),"")</f>
        <v/>
      </c>
    </row>
    <row r="125" spans="1:72" x14ac:dyDescent="0.25">
      <c r="A125" s="17">
        <f>'0.Consolidado general'!A125</f>
        <v>0</v>
      </c>
      <c r="B125" s="133" t="str">
        <f>IF($A125&lt;&gt;0,VLOOKUP($A125,'0.Productos'!$A$3:$GG$587,'0.Productos'!AT$1+1,0),"")</f>
        <v/>
      </c>
      <c r="C125" s="133" t="str">
        <f>IF($A125&lt;&gt;0,VLOOKUP($A125,'0.Productos'!$A$3:$GG$587,'0.Productos'!AU$1+1,0),"")</f>
        <v/>
      </c>
      <c r="D125" s="133" t="str">
        <f>IF($A125&lt;&gt;0,VLOOKUP($A125,'0.Productos'!$A$3:$GG$587,'0.Productos'!AV$1+1,0),"")</f>
        <v/>
      </c>
      <c r="E125" s="133" t="str">
        <f>IF($A125&lt;&gt;0,VLOOKUP($A125,'0.Productos'!$A$3:$GG$587,'0.Productos'!AW$1+1,0),"")</f>
        <v/>
      </c>
      <c r="F125" s="133" t="str">
        <f>IF($A125&lt;&gt;0,VLOOKUP($A125,'0.Productos'!$A$3:$GG$587,'0.Productos'!AX$1+1,0),"")</f>
        <v/>
      </c>
      <c r="G125" s="133" t="str">
        <f>IF($A125&lt;&gt;0,VLOOKUP($A125,'0.Productos'!$A$3:$GG$587,'0.Productos'!AY$1+1,0),"")</f>
        <v/>
      </c>
      <c r="H125" s="133" t="str">
        <f>IF($A125&lt;&gt;0,VLOOKUP($A125,'0.Productos'!$A$3:$GG$587,'0.Productos'!AZ$1+1,0),"")</f>
        <v/>
      </c>
      <c r="I125" s="133" t="str">
        <f>IF($A125&lt;&gt;0,VLOOKUP($A125,'0.Productos'!$A$3:$GG$587,'0.Productos'!BA$1+1,0),"")</f>
        <v/>
      </c>
      <c r="J125" s="133" t="str">
        <f>IF($A125&lt;&gt;0,VLOOKUP($A125,'0.Productos'!$A$3:$GG$587,'0.Productos'!BB$1+1,0),"")</f>
        <v/>
      </c>
      <c r="K125" s="133" t="str">
        <f>IF($A125&lt;&gt;0,VLOOKUP($A125,'0.Productos'!$A$3:$GG$587,'0.Productos'!BC$1+1,0),"")</f>
        <v/>
      </c>
      <c r="L125" s="133" t="str">
        <f>IF($A125&lt;&gt;0,VLOOKUP($A125,'0.Productos'!$A$3:$GG$587,'0.Productos'!BD$1+1,0),"")</f>
        <v/>
      </c>
      <c r="M125" s="133" t="str">
        <f>IF($A125&lt;&gt;0,VLOOKUP($A125,'0.Productos'!$A$3:$GG$587,'0.Productos'!BE$1+1,0),"")</f>
        <v/>
      </c>
      <c r="N125" s="133" t="str">
        <f>IF($A125&lt;&gt;0,VLOOKUP($A125,'0.Productos'!$A$3:$GG$587,'0.Productos'!BF$1+1,0),"")</f>
        <v/>
      </c>
      <c r="O125" s="133" t="str">
        <f>IF($A125&lt;&gt;0,VLOOKUP($A125,'0.Productos'!$A$3:$GG$587,'0.Productos'!BG$1+1,0),"")</f>
        <v/>
      </c>
      <c r="P125" s="133" t="str">
        <f>IF($A125&lt;&gt;0,VLOOKUP($A125,'0.Productos'!$A$3:$GG$587,'0.Productos'!BH$1+1,0),"")</f>
        <v/>
      </c>
      <c r="Q125" s="133" t="str">
        <f>IF($A125&lt;&gt;0,VLOOKUP($A125,'0.Productos'!$A$3:$GG$587,'0.Productos'!BI$1+1,0),"")</f>
        <v/>
      </c>
      <c r="R125" s="133" t="str">
        <f>IF($A125&lt;&gt;0,VLOOKUP($A125,'0.Productos'!$A$3:$GG$587,'0.Productos'!BJ$1+1,0),"")</f>
        <v/>
      </c>
      <c r="S125" s="133" t="str">
        <f>IF($A125&lt;&gt;0,VLOOKUP($A125,'0.Productos'!$A$3:$GG$587,'0.Productos'!BK$1+1,0),"")</f>
        <v/>
      </c>
      <c r="T125" s="133" t="str">
        <f>IF($A125&lt;&gt;0,VLOOKUP($A125,'0.Productos'!$A$3:$GG$587,'0.Productos'!BL$1+1,0),"")</f>
        <v/>
      </c>
      <c r="U125" s="133" t="str">
        <f>IF($A125&lt;&gt;0,VLOOKUP($A125,'0.Productos'!$A$3:$GG$587,'0.Productos'!BM$1+1,0),"")</f>
        <v/>
      </c>
      <c r="V125" s="133" t="str">
        <f>IF($A125&lt;&gt;0,VLOOKUP($A125,'0.Productos'!$A$3:$GG$587,'0.Productos'!BN$1+1,0),"")</f>
        <v/>
      </c>
      <c r="W125" s="133" t="str">
        <f>IF($A125&lt;&gt;0,VLOOKUP($A125,'0.Productos'!$A$3:$GG$587,'0.Productos'!BO$1+1,0),"")</f>
        <v/>
      </c>
      <c r="X125" s="133" t="str">
        <f>IF($A125&lt;&gt;0,VLOOKUP($A125,'0.Productos'!$A$3:$GG$587,'0.Productos'!BP$1+1,0),"")</f>
        <v/>
      </c>
      <c r="Y125" s="133" t="str">
        <f>IF($A125&lt;&gt;0,VLOOKUP($A125,'0.Productos'!$A$3:$GG$587,'0.Productos'!BQ$1+1,0),"")</f>
        <v/>
      </c>
      <c r="Z125" s="133" t="str">
        <f>IF($A125&lt;&gt;0,VLOOKUP($A125,'0.Productos'!$A$3:$GG$587,'0.Productos'!BR$1+1,0),"")</f>
        <v/>
      </c>
      <c r="AA125" s="133" t="str">
        <f>IF($A125&lt;&gt;0,VLOOKUP($A125,'0.Productos'!$A$3:$GG$587,'0.Productos'!BS$1+1,0),"")</f>
        <v/>
      </c>
      <c r="AB125" s="133" t="str">
        <f>IF($A125&lt;&gt;0,VLOOKUP($A125,'0.Productos'!$A$3:$GG$587,'0.Productos'!BT$1+1,0),"")</f>
        <v/>
      </c>
      <c r="AC125" s="133" t="str">
        <f>IF($A125&lt;&gt;0,VLOOKUP($A125,'0.Productos'!$A$3:$GG$587,'0.Productos'!BU$1+1,0),"")</f>
        <v/>
      </c>
      <c r="AD125" s="133" t="str">
        <f>IF($A125&lt;&gt;0,VLOOKUP($A125,'0.Productos'!$A$3:$GG$587,'0.Productos'!BV$1+1,0),"")</f>
        <v/>
      </c>
      <c r="AE125" s="133" t="str">
        <f>IF($A125&lt;&gt;0,VLOOKUP($A125,'0.Productos'!$A$3:$GG$587,'0.Productos'!BW$1+1,0),"")</f>
        <v/>
      </c>
      <c r="AF125" s="133" t="str">
        <f>IF($A125&lt;&gt;0,VLOOKUP($A125,'0.Productos'!$A$3:$GG$587,'0.Productos'!BX$1+1,0),"")</f>
        <v/>
      </c>
      <c r="AG125" s="133" t="str">
        <f>IF($A125&lt;&gt;0,VLOOKUP($A125,'0.Productos'!$A$3:$GG$587,'0.Productos'!BY$1+1,0),"")</f>
        <v/>
      </c>
      <c r="AH125" s="133" t="str">
        <f>IF($A125&lt;&gt;0,VLOOKUP($A125,'0.Productos'!$A$3:$GG$587,'0.Productos'!BZ$1+1,0),"")</f>
        <v/>
      </c>
      <c r="AI125" s="133" t="str">
        <f>IF($A125&lt;&gt;0,VLOOKUP($A125,'0.Productos'!$A$3:$GG$587,'0.Productos'!CA$1+1,0),"")</f>
        <v/>
      </c>
      <c r="AJ125" s="133" t="str">
        <f>IF($A125&lt;&gt;0,VLOOKUP($A125,'0.Productos'!$A$3:$GG$587,'0.Productos'!CB$1+1,0),"")</f>
        <v/>
      </c>
      <c r="AK125" s="133" t="str">
        <f>IF($A125&lt;&gt;0,VLOOKUP($A125,'0.Productos'!$A$3:$GG$587,'0.Productos'!CC$1+1,0),"")</f>
        <v/>
      </c>
      <c r="AL125" s="133" t="str">
        <f>IF($A125&lt;&gt;0,VLOOKUP($A125,'0.Productos'!$A$3:$GG$587,'0.Productos'!CD$1+1,0),"")</f>
        <v/>
      </c>
      <c r="AM125" s="133" t="str">
        <f>IF($A125&lt;&gt;0,VLOOKUP($A125,'0.Productos'!$A$3:$GG$587,'0.Productos'!CE$1+1,0),"")</f>
        <v/>
      </c>
      <c r="AN125" s="133" t="str">
        <f>IF($A125&lt;&gt;0,VLOOKUP($A125,'0.Productos'!$A$3:$GG$587,'0.Productos'!CF$1+1,0),"")</f>
        <v/>
      </c>
      <c r="AO125" s="133" t="str">
        <f>IF($A125&lt;&gt;0,VLOOKUP($A125,'0.Productos'!$A$3:$GG$587,'0.Productos'!CG$1+1,0),"")</f>
        <v/>
      </c>
      <c r="AP125" s="133" t="str">
        <f>IF($A125&lt;&gt;0,VLOOKUP($A125,'0.Productos'!$A$3:$GG$587,'0.Productos'!CH$1+1,0),"")</f>
        <v/>
      </c>
      <c r="AQ125" s="133" t="str">
        <f>IF($A125&lt;&gt;0,VLOOKUP($A125,'0.Productos'!$A$3:$GG$587,'0.Productos'!CI$1+1,0),"")</f>
        <v/>
      </c>
      <c r="AR125" s="133" t="str">
        <f>IF($A125&lt;&gt;0,VLOOKUP($A125,'0.Productos'!$A$3:$GG$587,'0.Productos'!CJ$1+1,0),"")</f>
        <v/>
      </c>
      <c r="AS125" s="133" t="str">
        <f>IF($A125&lt;&gt;0,VLOOKUP($A125,'0.Productos'!$A$3:$GG$587,'0.Productos'!CK$1+1,0),"")</f>
        <v/>
      </c>
      <c r="AT125" s="133" t="str">
        <f>IF($A125&lt;&gt;0,VLOOKUP($A125,'0.Productos'!$A$3:$GG$587,'0.Productos'!CL$1+1,0),"")</f>
        <v/>
      </c>
      <c r="AU125" s="133" t="str">
        <f>IF($A125&lt;&gt;0,VLOOKUP($A125,'0.Productos'!$A$3:$GG$587,'0.Productos'!CM$1+1,0),"")</f>
        <v/>
      </c>
      <c r="AV125" s="133" t="str">
        <f>IF($A125&lt;&gt;0,VLOOKUP($A125,'0.Productos'!$A$3:$GG$587,'0.Productos'!CN$1+1,0),"")</f>
        <v/>
      </c>
      <c r="AW125" s="133" t="str">
        <f>IF($A125&lt;&gt;0,VLOOKUP($A125,'0.Productos'!$A$3:$GG$587,'0.Productos'!CO$1+1,0),"")</f>
        <v/>
      </c>
      <c r="AX125" s="133" t="str">
        <f>IF($A125&lt;&gt;0,VLOOKUP($A125,'0.Productos'!$A$3:$GG$587,'0.Productos'!CP$1+1,0),"")</f>
        <v/>
      </c>
      <c r="AY125" s="133" t="str">
        <f>IF($A125&lt;&gt;0,VLOOKUP($A125,'0.Productos'!$A$3:$GG$587,'0.Productos'!CQ$1+1,0),"")</f>
        <v/>
      </c>
      <c r="AZ125" s="133" t="str">
        <f>IF($A125&lt;&gt;0,VLOOKUP($A125,'0.Productos'!$A$3:$GG$587,'0.Productos'!CR$1+1,0),"")</f>
        <v/>
      </c>
      <c r="BA125" s="133" t="str">
        <f>IF($A125&lt;&gt;0,VLOOKUP($A125,'0.Productos'!$A$3:$GG$587,'0.Productos'!CS$1+1,0),"")</f>
        <v/>
      </c>
      <c r="BB125" s="133" t="str">
        <f>IF($A125&lt;&gt;0,VLOOKUP($A125,'0.Productos'!$A$3:$GG$587,'0.Productos'!CT$1+1,0),"")</f>
        <v/>
      </c>
      <c r="BC125" s="133" t="str">
        <f>IF($A125&lt;&gt;0,VLOOKUP($A125,'0.Productos'!$A$3:$GG$587,'0.Productos'!CU$1+1,0),"")</f>
        <v/>
      </c>
      <c r="BD125" s="133" t="str">
        <f>IF($A125&lt;&gt;0,VLOOKUP($A125,'0.Productos'!$A$3:$GG$587,'0.Productos'!CV$1+1,0),"")</f>
        <v/>
      </c>
      <c r="BE125" s="133" t="str">
        <f>IF($A125&lt;&gt;0,VLOOKUP($A125,'0.Productos'!$A$3:$GG$587,'0.Productos'!CW$1+1,0),"")</f>
        <v/>
      </c>
      <c r="BF125" s="133" t="str">
        <f>IF($A125&lt;&gt;0,VLOOKUP($A125,'0.Productos'!$A$3:$GG$587,'0.Productos'!CX$1+1,0),"")</f>
        <v/>
      </c>
      <c r="BG125" s="133" t="str">
        <f>IF($A125&lt;&gt;0,VLOOKUP($A125,'0.Productos'!$A$3:$GG$587,'0.Productos'!CY$1+1,0),"")</f>
        <v/>
      </c>
      <c r="BH125" s="133" t="str">
        <f>IF($A125&lt;&gt;0,VLOOKUP($A125,'0.Productos'!$A$3:$GG$587,'0.Productos'!CZ$1+1,0),"")</f>
        <v/>
      </c>
      <c r="BI125" s="133" t="str">
        <f>IF($A125&lt;&gt;0,VLOOKUP($A125,'0.Productos'!$A$3:$GG$587,'0.Productos'!DA$1+1,0),"")</f>
        <v/>
      </c>
      <c r="BJ125" s="133" t="str">
        <f>IF($A125&lt;&gt;0,VLOOKUP($A125,'0.Productos'!$A$3:$GG$587,'0.Productos'!DB$1+1,0),"")</f>
        <v/>
      </c>
      <c r="BK125" s="133" t="str">
        <f>IF($A125&lt;&gt;0,VLOOKUP($A125,'0.Productos'!$A$3:$GG$587,'0.Productos'!DC$1+1,0),"")</f>
        <v/>
      </c>
      <c r="BL125" s="133" t="str">
        <f>IF($A125&lt;&gt;0,VLOOKUP($A125,'0.Productos'!$A$3:$GG$587,'0.Productos'!DD$1+1,0),"")</f>
        <v/>
      </c>
      <c r="BM125" s="133" t="str">
        <f>IF($A125&lt;&gt;0,VLOOKUP($A125,'0.Productos'!$A$3:$GG$587,'0.Productos'!DE$1+1,0),"")</f>
        <v/>
      </c>
      <c r="BN125" s="133" t="str">
        <f>IF($A125&lt;&gt;0,VLOOKUP($A125,'0.Productos'!$A$3:$GG$587,'0.Productos'!DF$1+1,0),"")</f>
        <v/>
      </c>
      <c r="BO125" s="133" t="str">
        <f>IF($A125&lt;&gt;0,VLOOKUP($A125,'0.Productos'!$A$3:$GG$587,'0.Productos'!DG$1+1,0),"")</f>
        <v/>
      </c>
      <c r="BP125" s="133" t="str">
        <f>IF($A125&lt;&gt;0,VLOOKUP($A125,'0.Productos'!$A$3:$GG$587,'0.Productos'!DH$1+1,0),"")</f>
        <v/>
      </c>
      <c r="BQ125" s="133" t="str">
        <f>IF($A125&lt;&gt;0,VLOOKUP($A125,'0.Productos'!$A$3:$GG$587,'0.Productos'!DI$1+1,0),"")</f>
        <v/>
      </c>
      <c r="BR125" s="133" t="str">
        <f>IF($A125&lt;&gt;0,VLOOKUP($A125,'0.Productos'!$A$3:$GG$587,'0.Productos'!DJ$1+1,0),"")</f>
        <v/>
      </c>
      <c r="BS125" s="133" t="str">
        <f>IF($A125&lt;&gt;0,VLOOKUP($A125,'0.Productos'!$A$3:$GG$587,'0.Productos'!DK$1+1,0),"")</f>
        <v/>
      </c>
      <c r="BT125" s="133" t="str">
        <f>IF($A125&lt;&gt;0,VLOOKUP($A125,'0.Productos'!$A$3:$GG$587,'0.Productos'!DL$1+1,0),"")</f>
        <v/>
      </c>
    </row>
    <row r="126" spans="1:72" x14ac:dyDescent="0.25">
      <c r="A126" s="17">
        <f>'0.Consolidado general'!A126</f>
        <v>0</v>
      </c>
      <c r="B126" s="133" t="str">
        <f>IF($A126&lt;&gt;0,VLOOKUP($A126,'0.Productos'!$A$3:$GG$587,'0.Productos'!AT$1+1,0),"")</f>
        <v/>
      </c>
      <c r="C126" s="133" t="str">
        <f>IF($A126&lt;&gt;0,VLOOKUP($A126,'0.Productos'!$A$3:$GG$587,'0.Productos'!AU$1+1,0),"")</f>
        <v/>
      </c>
      <c r="D126" s="133" t="str">
        <f>IF($A126&lt;&gt;0,VLOOKUP($A126,'0.Productos'!$A$3:$GG$587,'0.Productos'!AV$1+1,0),"")</f>
        <v/>
      </c>
      <c r="E126" s="133" t="str">
        <f>IF($A126&lt;&gt;0,VLOOKUP($A126,'0.Productos'!$A$3:$GG$587,'0.Productos'!AW$1+1,0),"")</f>
        <v/>
      </c>
      <c r="F126" s="133" t="str">
        <f>IF($A126&lt;&gt;0,VLOOKUP($A126,'0.Productos'!$A$3:$GG$587,'0.Productos'!AX$1+1,0),"")</f>
        <v/>
      </c>
      <c r="G126" s="133" t="str">
        <f>IF($A126&lt;&gt;0,VLOOKUP($A126,'0.Productos'!$A$3:$GG$587,'0.Productos'!AY$1+1,0),"")</f>
        <v/>
      </c>
      <c r="H126" s="133" t="str">
        <f>IF($A126&lt;&gt;0,VLOOKUP($A126,'0.Productos'!$A$3:$GG$587,'0.Productos'!AZ$1+1,0),"")</f>
        <v/>
      </c>
      <c r="I126" s="133" t="str">
        <f>IF($A126&lt;&gt;0,VLOOKUP($A126,'0.Productos'!$A$3:$GG$587,'0.Productos'!BA$1+1,0),"")</f>
        <v/>
      </c>
      <c r="J126" s="133" t="str">
        <f>IF($A126&lt;&gt;0,VLOOKUP($A126,'0.Productos'!$A$3:$GG$587,'0.Productos'!BB$1+1,0),"")</f>
        <v/>
      </c>
      <c r="K126" s="133" t="str">
        <f>IF($A126&lt;&gt;0,VLOOKUP($A126,'0.Productos'!$A$3:$GG$587,'0.Productos'!BC$1+1,0),"")</f>
        <v/>
      </c>
      <c r="L126" s="133" t="str">
        <f>IF($A126&lt;&gt;0,VLOOKUP($A126,'0.Productos'!$A$3:$GG$587,'0.Productos'!BD$1+1,0),"")</f>
        <v/>
      </c>
      <c r="M126" s="133" t="str">
        <f>IF($A126&lt;&gt;0,VLOOKUP($A126,'0.Productos'!$A$3:$GG$587,'0.Productos'!BE$1+1,0),"")</f>
        <v/>
      </c>
      <c r="N126" s="133" t="str">
        <f>IF($A126&lt;&gt;0,VLOOKUP($A126,'0.Productos'!$A$3:$GG$587,'0.Productos'!BF$1+1,0),"")</f>
        <v/>
      </c>
      <c r="O126" s="133" t="str">
        <f>IF($A126&lt;&gt;0,VLOOKUP($A126,'0.Productos'!$A$3:$GG$587,'0.Productos'!BG$1+1,0),"")</f>
        <v/>
      </c>
      <c r="P126" s="133" t="str">
        <f>IF($A126&lt;&gt;0,VLOOKUP($A126,'0.Productos'!$A$3:$GG$587,'0.Productos'!BH$1+1,0),"")</f>
        <v/>
      </c>
      <c r="Q126" s="133" t="str">
        <f>IF($A126&lt;&gt;0,VLOOKUP($A126,'0.Productos'!$A$3:$GG$587,'0.Productos'!BI$1+1,0),"")</f>
        <v/>
      </c>
      <c r="R126" s="133" t="str">
        <f>IF($A126&lt;&gt;0,VLOOKUP($A126,'0.Productos'!$A$3:$GG$587,'0.Productos'!BJ$1+1,0),"")</f>
        <v/>
      </c>
      <c r="S126" s="133" t="str">
        <f>IF($A126&lt;&gt;0,VLOOKUP($A126,'0.Productos'!$A$3:$GG$587,'0.Productos'!BK$1+1,0),"")</f>
        <v/>
      </c>
      <c r="T126" s="133" t="str">
        <f>IF($A126&lt;&gt;0,VLOOKUP($A126,'0.Productos'!$A$3:$GG$587,'0.Productos'!BL$1+1,0),"")</f>
        <v/>
      </c>
      <c r="U126" s="133" t="str">
        <f>IF($A126&lt;&gt;0,VLOOKUP($A126,'0.Productos'!$A$3:$GG$587,'0.Productos'!BM$1+1,0),"")</f>
        <v/>
      </c>
      <c r="V126" s="133" t="str">
        <f>IF($A126&lt;&gt;0,VLOOKUP($A126,'0.Productos'!$A$3:$GG$587,'0.Productos'!BN$1+1,0),"")</f>
        <v/>
      </c>
      <c r="W126" s="133" t="str">
        <f>IF($A126&lt;&gt;0,VLOOKUP($A126,'0.Productos'!$A$3:$GG$587,'0.Productos'!BO$1+1,0),"")</f>
        <v/>
      </c>
      <c r="X126" s="133" t="str">
        <f>IF($A126&lt;&gt;0,VLOOKUP($A126,'0.Productos'!$A$3:$GG$587,'0.Productos'!BP$1+1,0),"")</f>
        <v/>
      </c>
      <c r="Y126" s="133" t="str">
        <f>IF($A126&lt;&gt;0,VLOOKUP($A126,'0.Productos'!$A$3:$GG$587,'0.Productos'!BQ$1+1,0),"")</f>
        <v/>
      </c>
      <c r="Z126" s="133" t="str">
        <f>IF($A126&lt;&gt;0,VLOOKUP($A126,'0.Productos'!$A$3:$GG$587,'0.Productos'!BR$1+1,0),"")</f>
        <v/>
      </c>
      <c r="AA126" s="133" t="str">
        <f>IF($A126&lt;&gt;0,VLOOKUP($A126,'0.Productos'!$A$3:$GG$587,'0.Productos'!BS$1+1,0),"")</f>
        <v/>
      </c>
      <c r="AB126" s="133" t="str">
        <f>IF($A126&lt;&gt;0,VLOOKUP($A126,'0.Productos'!$A$3:$GG$587,'0.Productos'!BT$1+1,0),"")</f>
        <v/>
      </c>
      <c r="AC126" s="133" t="str">
        <f>IF($A126&lt;&gt;0,VLOOKUP($A126,'0.Productos'!$A$3:$GG$587,'0.Productos'!BU$1+1,0),"")</f>
        <v/>
      </c>
      <c r="AD126" s="133" t="str">
        <f>IF($A126&lt;&gt;0,VLOOKUP($A126,'0.Productos'!$A$3:$GG$587,'0.Productos'!BV$1+1,0),"")</f>
        <v/>
      </c>
      <c r="AE126" s="133" t="str">
        <f>IF($A126&lt;&gt;0,VLOOKUP($A126,'0.Productos'!$A$3:$GG$587,'0.Productos'!BW$1+1,0),"")</f>
        <v/>
      </c>
      <c r="AF126" s="133" t="str">
        <f>IF($A126&lt;&gt;0,VLOOKUP($A126,'0.Productos'!$A$3:$GG$587,'0.Productos'!BX$1+1,0),"")</f>
        <v/>
      </c>
      <c r="AG126" s="133" t="str">
        <f>IF($A126&lt;&gt;0,VLOOKUP($A126,'0.Productos'!$A$3:$GG$587,'0.Productos'!BY$1+1,0),"")</f>
        <v/>
      </c>
      <c r="AH126" s="133" t="str">
        <f>IF($A126&lt;&gt;0,VLOOKUP($A126,'0.Productos'!$A$3:$GG$587,'0.Productos'!BZ$1+1,0),"")</f>
        <v/>
      </c>
      <c r="AI126" s="133" t="str">
        <f>IF($A126&lt;&gt;0,VLOOKUP($A126,'0.Productos'!$A$3:$GG$587,'0.Productos'!CA$1+1,0),"")</f>
        <v/>
      </c>
      <c r="AJ126" s="133" t="str">
        <f>IF($A126&lt;&gt;0,VLOOKUP($A126,'0.Productos'!$A$3:$GG$587,'0.Productos'!CB$1+1,0),"")</f>
        <v/>
      </c>
      <c r="AK126" s="133" t="str">
        <f>IF($A126&lt;&gt;0,VLOOKUP($A126,'0.Productos'!$A$3:$GG$587,'0.Productos'!CC$1+1,0),"")</f>
        <v/>
      </c>
      <c r="AL126" s="133" t="str">
        <f>IF($A126&lt;&gt;0,VLOOKUP($A126,'0.Productos'!$A$3:$GG$587,'0.Productos'!CD$1+1,0),"")</f>
        <v/>
      </c>
      <c r="AM126" s="133" t="str">
        <f>IF($A126&lt;&gt;0,VLOOKUP($A126,'0.Productos'!$A$3:$GG$587,'0.Productos'!CE$1+1,0),"")</f>
        <v/>
      </c>
      <c r="AN126" s="133" t="str">
        <f>IF($A126&lt;&gt;0,VLOOKUP($A126,'0.Productos'!$A$3:$GG$587,'0.Productos'!CF$1+1,0),"")</f>
        <v/>
      </c>
      <c r="AO126" s="133" t="str">
        <f>IF($A126&lt;&gt;0,VLOOKUP($A126,'0.Productos'!$A$3:$GG$587,'0.Productos'!CG$1+1,0),"")</f>
        <v/>
      </c>
      <c r="AP126" s="133" t="str">
        <f>IF($A126&lt;&gt;0,VLOOKUP($A126,'0.Productos'!$A$3:$GG$587,'0.Productos'!CH$1+1,0),"")</f>
        <v/>
      </c>
      <c r="AQ126" s="133" t="str">
        <f>IF($A126&lt;&gt;0,VLOOKUP($A126,'0.Productos'!$A$3:$GG$587,'0.Productos'!CI$1+1,0),"")</f>
        <v/>
      </c>
      <c r="AR126" s="133" t="str">
        <f>IF($A126&lt;&gt;0,VLOOKUP($A126,'0.Productos'!$A$3:$GG$587,'0.Productos'!CJ$1+1,0),"")</f>
        <v/>
      </c>
      <c r="AS126" s="133" t="str">
        <f>IF($A126&lt;&gt;0,VLOOKUP($A126,'0.Productos'!$A$3:$GG$587,'0.Productos'!CK$1+1,0),"")</f>
        <v/>
      </c>
      <c r="AT126" s="133" t="str">
        <f>IF($A126&lt;&gt;0,VLOOKUP($A126,'0.Productos'!$A$3:$GG$587,'0.Productos'!CL$1+1,0),"")</f>
        <v/>
      </c>
      <c r="AU126" s="133" t="str">
        <f>IF($A126&lt;&gt;0,VLOOKUP($A126,'0.Productos'!$A$3:$GG$587,'0.Productos'!CM$1+1,0),"")</f>
        <v/>
      </c>
      <c r="AV126" s="133" t="str">
        <f>IF($A126&lt;&gt;0,VLOOKUP($A126,'0.Productos'!$A$3:$GG$587,'0.Productos'!CN$1+1,0),"")</f>
        <v/>
      </c>
      <c r="AW126" s="133" t="str">
        <f>IF($A126&lt;&gt;0,VLOOKUP($A126,'0.Productos'!$A$3:$GG$587,'0.Productos'!CO$1+1,0),"")</f>
        <v/>
      </c>
      <c r="AX126" s="133" t="str">
        <f>IF($A126&lt;&gt;0,VLOOKUP($A126,'0.Productos'!$A$3:$GG$587,'0.Productos'!CP$1+1,0),"")</f>
        <v/>
      </c>
      <c r="AY126" s="133" t="str">
        <f>IF($A126&lt;&gt;0,VLOOKUP($A126,'0.Productos'!$A$3:$GG$587,'0.Productos'!CQ$1+1,0),"")</f>
        <v/>
      </c>
      <c r="AZ126" s="133" t="str">
        <f>IF($A126&lt;&gt;0,VLOOKUP($A126,'0.Productos'!$A$3:$GG$587,'0.Productos'!CR$1+1,0),"")</f>
        <v/>
      </c>
      <c r="BA126" s="133" t="str">
        <f>IF($A126&lt;&gt;0,VLOOKUP($A126,'0.Productos'!$A$3:$GG$587,'0.Productos'!CS$1+1,0),"")</f>
        <v/>
      </c>
      <c r="BB126" s="133" t="str">
        <f>IF($A126&lt;&gt;0,VLOOKUP($A126,'0.Productos'!$A$3:$GG$587,'0.Productos'!CT$1+1,0),"")</f>
        <v/>
      </c>
      <c r="BC126" s="133" t="str">
        <f>IF($A126&lt;&gt;0,VLOOKUP($A126,'0.Productos'!$A$3:$GG$587,'0.Productos'!CU$1+1,0),"")</f>
        <v/>
      </c>
      <c r="BD126" s="133" t="str">
        <f>IF($A126&lt;&gt;0,VLOOKUP($A126,'0.Productos'!$A$3:$GG$587,'0.Productos'!CV$1+1,0),"")</f>
        <v/>
      </c>
      <c r="BE126" s="133" t="str">
        <f>IF($A126&lt;&gt;0,VLOOKUP($A126,'0.Productos'!$A$3:$GG$587,'0.Productos'!CW$1+1,0),"")</f>
        <v/>
      </c>
      <c r="BF126" s="133" t="str">
        <f>IF($A126&lt;&gt;0,VLOOKUP($A126,'0.Productos'!$A$3:$GG$587,'0.Productos'!CX$1+1,0),"")</f>
        <v/>
      </c>
      <c r="BG126" s="133" t="str">
        <f>IF($A126&lt;&gt;0,VLOOKUP($A126,'0.Productos'!$A$3:$GG$587,'0.Productos'!CY$1+1,0),"")</f>
        <v/>
      </c>
      <c r="BH126" s="133" t="str">
        <f>IF($A126&lt;&gt;0,VLOOKUP($A126,'0.Productos'!$A$3:$GG$587,'0.Productos'!CZ$1+1,0),"")</f>
        <v/>
      </c>
      <c r="BI126" s="133" t="str">
        <f>IF($A126&lt;&gt;0,VLOOKUP($A126,'0.Productos'!$A$3:$GG$587,'0.Productos'!DA$1+1,0),"")</f>
        <v/>
      </c>
      <c r="BJ126" s="133" t="str">
        <f>IF($A126&lt;&gt;0,VLOOKUP($A126,'0.Productos'!$A$3:$GG$587,'0.Productos'!DB$1+1,0),"")</f>
        <v/>
      </c>
      <c r="BK126" s="133" t="str">
        <f>IF($A126&lt;&gt;0,VLOOKUP($A126,'0.Productos'!$A$3:$GG$587,'0.Productos'!DC$1+1,0),"")</f>
        <v/>
      </c>
      <c r="BL126" s="133" t="str">
        <f>IF($A126&lt;&gt;0,VLOOKUP($A126,'0.Productos'!$A$3:$GG$587,'0.Productos'!DD$1+1,0),"")</f>
        <v/>
      </c>
      <c r="BM126" s="133" t="str">
        <f>IF($A126&lt;&gt;0,VLOOKUP($A126,'0.Productos'!$A$3:$GG$587,'0.Productos'!DE$1+1,0),"")</f>
        <v/>
      </c>
      <c r="BN126" s="133" t="str">
        <f>IF($A126&lt;&gt;0,VLOOKUP($A126,'0.Productos'!$A$3:$GG$587,'0.Productos'!DF$1+1,0),"")</f>
        <v/>
      </c>
      <c r="BO126" s="133" t="str">
        <f>IF($A126&lt;&gt;0,VLOOKUP($A126,'0.Productos'!$A$3:$GG$587,'0.Productos'!DG$1+1,0),"")</f>
        <v/>
      </c>
      <c r="BP126" s="133" t="str">
        <f>IF($A126&lt;&gt;0,VLOOKUP($A126,'0.Productos'!$A$3:$GG$587,'0.Productos'!DH$1+1,0),"")</f>
        <v/>
      </c>
      <c r="BQ126" s="133" t="str">
        <f>IF($A126&lt;&gt;0,VLOOKUP($A126,'0.Productos'!$A$3:$GG$587,'0.Productos'!DI$1+1,0),"")</f>
        <v/>
      </c>
      <c r="BR126" s="133" t="str">
        <f>IF($A126&lt;&gt;0,VLOOKUP($A126,'0.Productos'!$A$3:$GG$587,'0.Productos'!DJ$1+1,0),"")</f>
        <v/>
      </c>
      <c r="BS126" s="133" t="str">
        <f>IF($A126&lt;&gt;0,VLOOKUP($A126,'0.Productos'!$A$3:$GG$587,'0.Productos'!DK$1+1,0),"")</f>
        <v/>
      </c>
      <c r="BT126" s="133" t="str">
        <f>IF($A126&lt;&gt;0,VLOOKUP($A126,'0.Productos'!$A$3:$GG$587,'0.Productos'!DL$1+1,0),"")</f>
        <v/>
      </c>
    </row>
    <row r="127" spans="1:72" x14ac:dyDescent="0.25">
      <c r="A127" s="17">
        <f>'0.Consolidado general'!A127</f>
        <v>0</v>
      </c>
      <c r="B127" s="133" t="str">
        <f>IF($A127&lt;&gt;0,VLOOKUP($A127,'0.Productos'!$A$3:$GG$587,'0.Productos'!AT$1+1,0),"")</f>
        <v/>
      </c>
      <c r="C127" s="133" t="str">
        <f>IF($A127&lt;&gt;0,VLOOKUP($A127,'0.Productos'!$A$3:$GG$587,'0.Productos'!AU$1+1,0),"")</f>
        <v/>
      </c>
      <c r="D127" s="133" t="str">
        <f>IF($A127&lt;&gt;0,VLOOKUP($A127,'0.Productos'!$A$3:$GG$587,'0.Productos'!AV$1+1,0),"")</f>
        <v/>
      </c>
      <c r="E127" s="133" t="str">
        <f>IF($A127&lt;&gt;0,VLOOKUP($A127,'0.Productos'!$A$3:$GG$587,'0.Productos'!AW$1+1,0),"")</f>
        <v/>
      </c>
      <c r="F127" s="133" t="str">
        <f>IF($A127&lt;&gt;0,VLOOKUP($A127,'0.Productos'!$A$3:$GG$587,'0.Productos'!AX$1+1,0),"")</f>
        <v/>
      </c>
      <c r="G127" s="133" t="str">
        <f>IF($A127&lt;&gt;0,VLOOKUP($A127,'0.Productos'!$A$3:$GG$587,'0.Productos'!AY$1+1,0),"")</f>
        <v/>
      </c>
      <c r="H127" s="133" t="str">
        <f>IF($A127&lt;&gt;0,VLOOKUP($A127,'0.Productos'!$A$3:$GG$587,'0.Productos'!AZ$1+1,0),"")</f>
        <v/>
      </c>
      <c r="I127" s="133" t="str">
        <f>IF($A127&lt;&gt;0,VLOOKUP($A127,'0.Productos'!$A$3:$GG$587,'0.Productos'!BA$1+1,0),"")</f>
        <v/>
      </c>
      <c r="J127" s="133" t="str">
        <f>IF($A127&lt;&gt;0,VLOOKUP($A127,'0.Productos'!$A$3:$GG$587,'0.Productos'!BB$1+1,0),"")</f>
        <v/>
      </c>
      <c r="K127" s="133" t="str">
        <f>IF($A127&lt;&gt;0,VLOOKUP($A127,'0.Productos'!$A$3:$GG$587,'0.Productos'!BC$1+1,0),"")</f>
        <v/>
      </c>
      <c r="L127" s="133" t="str">
        <f>IF($A127&lt;&gt;0,VLOOKUP($A127,'0.Productos'!$A$3:$GG$587,'0.Productos'!BD$1+1,0),"")</f>
        <v/>
      </c>
      <c r="M127" s="133" t="str">
        <f>IF($A127&lt;&gt;0,VLOOKUP($A127,'0.Productos'!$A$3:$GG$587,'0.Productos'!BE$1+1,0),"")</f>
        <v/>
      </c>
      <c r="N127" s="133" t="str">
        <f>IF($A127&lt;&gt;0,VLOOKUP($A127,'0.Productos'!$A$3:$GG$587,'0.Productos'!BF$1+1,0),"")</f>
        <v/>
      </c>
      <c r="O127" s="133" t="str">
        <f>IF($A127&lt;&gt;0,VLOOKUP($A127,'0.Productos'!$A$3:$GG$587,'0.Productos'!BG$1+1,0),"")</f>
        <v/>
      </c>
      <c r="P127" s="133" t="str">
        <f>IF($A127&lt;&gt;0,VLOOKUP($A127,'0.Productos'!$A$3:$GG$587,'0.Productos'!BH$1+1,0),"")</f>
        <v/>
      </c>
      <c r="Q127" s="133" t="str">
        <f>IF($A127&lt;&gt;0,VLOOKUP($A127,'0.Productos'!$A$3:$GG$587,'0.Productos'!BI$1+1,0),"")</f>
        <v/>
      </c>
      <c r="R127" s="133" t="str">
        <f>IF($A127&lt;&gt;0,VLOOKUP($A127,'0.Productos'!$A$3:$GG$587,'0.Productos'!BJ$1+1,0),"")</f>
        <v/>
      </c>
      <c r="S127" s="133" t="str">
        <f>IF($A127&lt;&gt;0,VLOOKUP($A127,'0.Productos'!$A$3:$GG$587,'0.Productos'!BK$1+1,0),"")</f>
        <v/>
      </c>
      <c r="T127" s="133" t="str">
        <f>IF($A127&lt;&gt;0,VLOOKUP($A127,'0.Productos'!$A$3:$GG$587,'0.Productos'!BL$1+1,0),"")</f>
        <v/>
      </c>
      <c r="U127" s="133" t="str">
        <f>IF($A127&lt;&gt;0,VLOOKUP($A127,'0.Productos'!$A$3:$GG$587,'0.Productos'!BM$1+1,0),"")</f>
        <v/>
      </c>
      <c r="V127" s="133" t="str">
        <f>IF($A127&lt;&gt;0,VLOOKUP($A127,'0.Productos'!$A$3:$GG$587,'0.Productos'!BN$1+1,0),"")</f>
        <v/>
      </c>
      <c r="W127" s="133" t="str">
        <f>IF($A127&lt;&gt;0,VLOOKUP($A127,'0.Productos'!$A$3:$GG$587,'0.Productos'!BO$1+1,0),"")</f>
        <v/>
      </c>
      <c r="X127" s="133" t="str">
        <f>IF($A127&lt;&gt;0,VLOOKUP($A127,'0.Productos'!$A$3:$GG$587,'0.Productos'!BP$1+1,0),"")</f>
        <v/>
      </c>
      <c r="Y127" s="133" t="str">
        <f>IF($A127&lt;&gt;0,VLOOKUP($A127,'0.Productos'!$A$3:$GG$587,'0.Productos'!BQ$1+1,0),"")</f>
        <v/>
      </c>
      <c r="Z127" s="133" t="str">
        <f>IF($A127&lt;&gt;0,VLOOKUP($A127,'0.Productos'!$A$3:$GG$587,'0.Productos'!BR$1+1,0),"")</f>
        <v/>
      </c>
      <c r="AA127" s="133" t="str">
        <f>IF($A127&lt;&gt;0,VLOOKUP($A127,'0.Productos'!$A$3:$GG$587,'0.Productos'!BS$1+1,0),"")</f>
        <v/>
      </c>
      <c r="AB127" s="133" t="str">
        <f>IF($A127&lt;&gt;0,VLOOKUP($A127,'0.Productos'!$A$3:$GG$587,'0.Productos'!BT$1+1,0),"")</f>
        <v/>
      </c>
      <c r="AC127" s="133" t="str">
        <f>IF($A127&lt;&gt;0,VLOOKUP($A127,'0.Productos'!$A$3:$GG$587,'0.Productos'!BU$1+1,0),"")</f>
        <v/>
      </c>
      <c r="AD127" s="133" t="str">
        <f>IF($A127&lt;&gt;0,VLOOKUP($A127,'0.Productos'!$A$3:$GG$587,'0.Productos'!BV$1+1,0),"")</f>
        <v/>
      </c>
      <c r="AE127" s="133" t="str">
        <f>IF($A127&lt;&gt;0,VLOOKUP($A127,'0.Productos'!$A$3:$GG$587,'0.Productos'!BW$1+1,0),"")</f>
        <v/>
      </c>
      <c r="AF127" s="133" t="str">
        <f>IF($A127&lt;&gt;0,VLOOKUP($A127,'0.Productos'!$A$3:$GG$587,'0.Productos'!BX$1+1,0),"")</f>
        <v/>
      </c>
      <c r="AG127" s="133" t="str">
        <f>IF($A127&lt;&gt;0,VLOOKUP($A127,'0.Productos'!$A$3:$GG$587,'0.Productos'!BY$1+1,0),"")</f>
        <v/>
      </c>
      <c r="AH127" s="133" t="str">
        <f>IF($A127&lt;&gt;0,VLOOKUP($A127,'0.Productos'!$A$3:$GG$587,'0.Productos'!BZ$1+1,0),"")</f>
        <v/>
      </c>
      <c r="AI127" s="133" t="str">
        <f>IF($A127&lt;&gt;0,VLOOKUP($A127,'0.Productos'!$A$3:$GG$587,'0.Productos'!CA$1+1,0),"")</f>
        <v/>
      </c>
      <c r="AJ127" s="133" t="str">
        <f>IF($A127&lt;&gt;0,VLOOKUP($A127,'0.Productos'!$A$3:$GG$587,'0.Productos'!CB$1+1,0),"")</f>
        <v/>
      </c>
      <c r="AK127" s="133" t="str">
        <f>IF($A127&lt;&gt;0,VLOOKUP($A127,'0.Productos'!$A$3:$GG$587,'0.Productos'!CC$1+1,0),"")</f>
        <v/>
      </c>
      <c r="AL127" s="133" t="str">
        <f>IF($A127&lt;&gt;0,VLOOKUP($A127,'0.Productos'!$A$3:$GG$587,'0.Productos'!CD$1+1,0),"")</f>
        <v/>
      </c>
      <c r="AM127" s="133" t="str">
        <f>IF($A127&lt;&gt;0,VLOOKUP($A127,'0.Productos'!$A$3:$GG$587,'0.Productos'!CE$1+1,0),"")</f>
        <v/>
      </c>
      <c r="AN127" s="133" t="str">
        <f>IF($A127&lt;&gt;0,VLOOKUP($A127,'0.Productos'!$A$3:$GG$587,'0.Productos'!CF$1+1,0),"")</f>
        <v/>
      </c>
      <c r="AO127" s="133" t="str">
        <f>IF($A127&lt;&gt;0,VLOOKUP($A127,'0.Productos'!$A$3:$GG$587,'0.Productos'!CG$1+1,0),"")</f>
        <v/>
      </c>
      <c r="AP127" s="133" t="str">
        <f>IF($A127&lt;&gt;0,VLOOKUP($A127,'0.Productos'!$A$3:$GG$587,'0.Productos'!CH$1+1,0),"")</f>
        <v/>
      </c>
      <c r="AQ127" s="133" t="str">
        <f>IF($A127&lt;&gt;0,VLOOKUP($A127,'0.Productos'!$A$3:$GG$587,'0.Productos'!CI$1+1,0),"")</f>
        <v/>
      </c>
      <c r="AR127" s="133" t="str">
        <f>IF($A127&lt;&gt;0,VLOOKUP($A127,'0.Productos'!$A$3:$GG$587,'0.Productos'!CJ$1+1,0),"")</f>
        <v/>
      </c>
      <c r="AS127" s="133" t="str">
        <f>IF($A127&lt;&gt;0,VLOOKUP($A127,'0.Productos'!$A$3:$GG$587,'0.Productos'!CK$1+1,0),"")</f>
        <v/>
      </c>
      <c r="AT127" s="133" t="str">
        <f>IF($A127&lt;&gt;0,VLOOKUP($A127,'0.Productos'!$A$3:$GG$587,'0.Productos'!CL$1+1,0),"")</f>
        <v/>
      </c>
      <c r="AU127" s="133" t="str">
        <f>IF($A127&lt;&gt;0,VLOOKUP($A127,'0.Productos'!$A$3:$GG$587,'0.Productos'!CM$1+1,0),"")</f>
        <v/>
      </c>
      <c r="AV127" s="133" t="str">
        <f>IF($A127&lt;&gt;0,VLOOKUP($A127,'0.Productos'!$A$3:$GG$587,'0.Productos'!CN$1+1,0),"")</f>
        <v/>
      </c>
      <c r="AW127" s="133" t="str">
        <f>IF($A127&lt;&gt;0,VLOOKUP($A127,'0.Productos'!$A$3:$GG$587,'0.Productos'!CO$1+1,0),"")</f>
        <v/>
      </c>
      <c r="AX127" s="133" t="str">
        <f>IF($A127&lt;&gt;0,VLOOKUP($A127,'0.Productos'!$A$3:$GG$587,'0.Productos'!CP$1+1,0),"")</f>
        <v/>
      </c>
      <c r="AY127" s="133" t="str">
        <f>IF($A127&lt;&gt;0,VLOOKUP($A127,'0.Productos'!$A$3:$GG$587,'0.Productos'!CQ$1+1,0),"")</f>
        <v/>
      </c>
      <c r="AZ127" s="133" t="str">
        <f>IF($A127&lt;&gt;0,VLOOKUP($A127,'0.Productos'!$A$3:$GG$587,'0.Productos'!CR$1+1,0),"")</f>
        <v/>
      </c>
      <c r="BA127" s="133" t="str">
        <f>IF($A127&lt;&gt;0,VLOOKUP($A127,'0.Productos'!$A$3:$GG$587,'0.Productos'!CS$1+1,0),"")</f>
        <v/>
      </c>
      <c r="BB127" s="133" t="str">
        <f>IF($A127&lt;&gt;0,VLOOKUP($A127,'0.Productos'!$A$3:$GG$587,'0.Productos'!CT$1+1,0),"")</f>
        <v/>
      </c>
      <c r="BC127" s="133" t="str">
        <f>IF($A127&lt;&gt;0,VLOOKUP($A127,'0.Productos'!$A$3:$GG$587,'0.Productos'!CU$1+1,0),"")</f>
        <v/>
      </c>
      <c r="BD127" s="133" t="str">
        <f>IF($A127&lt;&gt;0,VLOOKUP($A127,'0.Productos'!$A$3:$GG$587,'0.Productos'!CV$1+1,0),"")</f>
        <v/>
      </c>
      <c r="BE127" s="133" t="str">
        <f>IF($A127&lt;&gt;0,VLOOKUP($A127,'0.Productos'!$A$3:$GG$587,'0.Productos'!CW$1+1,0),"")</f>
        <v/>
      </c>
      <c r="BF127" s="133" t="str">
        <f>IF($A127&lt;&gt;0,VLOOKUP($A127,'0.Productos'!$A$3:$GG$587,'0.Productos'!CX$1+1,0),"")</f>
        <v/>
      </c>
      <c r="BG127" s="133" t="str">
        <f>IF($A127&lt;&gt;0,VLOOKUP($A127,'0.Productos'!$A$3:$GG$587,'0.Productos'!CY$1+1,0),"")</f>
        <v/>
      </c>
      <c r="BH127" s="133" t="str">
        <f>IF($A127&lt;&gt;0,VLOOKUP($A127,'0.Productos'!$A$3:$GG$587,'0.Productos'!CZ$1+1,0),"")</f>
        <v/>
      </c>
      <c r="BI127" s="133" t="str">
        <f>IF($A127&lt;&gt;0,VLOOKUP($A127,'0.Productos'!$A$3:$GG$587,'0.Productos'!DA$1+1,0),"")</f>
        <v/>
      </c>
      <c r="BJ127" s="133" t="str">
        <f>IF($A127&lt;&gt;0,VLOOKUP($A127,'0.Productos'!$A$3:$GG$587,'0.Productos'!DB$1+1,0),"")</f>
        <v/>
      </c>
      <c r="BK127" s="133" t="str">
        <f>IF($A127&lt;&gt;0,VLOOKUP($A127,'0.Productos'!$A$3:$GG$587,'0.Productos'!DC$1+1,0),"")</f>
        <v/>
      </c>
      <c r="BL127" s="133" t="str">
        <f>IF($A127&lt;&gt;0,VLOOKUP($A127,'0.Productos'!$A$3:$GG$587,'0.Productos'!DD$1+1,0),"")</f>
        <v/>
      </c>
      <c r="BM127" s="133" t="str">
        <f>IF($A127&lt;&gt;0,VLOOKUP($A127,'0.Productos'!$A$3:$GG$587,'0.Productos'!DE$1+1,0),"")</f>
        <v/>
      </c>
      <c r="BN127" s="133" t="str">
        <f>IF($A127&lt;&gt;0,VLOOKUP($A127,'0.Productos'!$A$3:$GG$587,'0.Productos'!DF$1+1,0),"")</f>
        <v/>
      </c>
      <c r="BO127" s="133" t="str">
        <f>IF($A127&lt;&gt;0,VLOOKUP($A127,'0.Productos'!$A$3:$GG$587,'0.Productos'!DG$1+1,0),"")</f>
        <v/>
      </c>
      <c r="BP127" s="133" t="str">
        <f>IF($A127&lt;&gt;0,VLOOKUP($A127,'0.Productos'!$A$3:$GG$587,'0.Productos'!DH$1+1,0),"")</f>
        <v/>
      </c>
      <c r="BQ127" s="133" t="str">
        <f>IF($A127&lt;&gt;0,VLOOKUP($A127,'0.Productos'!$A$3:$GG$587,'0.Productos'!DI$1+1,0),"")</f>
        <v/>
      </c>
      <c r="BR127" s="133" t="str">
        <f>IF($A127&lt;&gt;0,VLOOKUP($A127,'0.Productos'!$A$3:$GG$587,'0.Productos'!DJ$1+1,0),"")</f>
        <v/>
      </c>
      <c r="BS127" s="133" t="str">
        <f>IF($A127&lt;&gt;0,VLOOKUP($A127,'0.Productos'!$A$3:$GG$587,'0.Productos'!DK$1+1,0),"")</f>
        <v/>
      </c>
      <c r="BT127" s="133" t="str">
        <f>IF($A127&lt;&gt;0,VLOOKUP($A127,'0.Productos'!$A$3:$GG$587,'0.Productos'!DL$1+1,0),"")</f>
        <v/>
      </c>
    </row>
    <row r="128" spans="1:72" x14ac:dyDescent="0.25">
      <c r="A128" s="17">
        <f>'0.Consolidado general'!A128</f>
        <v>0</v>
      </c>
      <c r="B128" s="133" t="str">
        <f>IF($A128&lt;&gt;0,VLOOKUP($A128,'0.Productos'!$A$3:$GG$587,'0.Productos'!AT$1+1,0),"")</f>
        <v/>
      </c>
      <c r="C128" s="133" t="str">
        <f>IF($A128&lt;&gt;0,VLOOKUP($A128,'0.Productos'!$A$3:$GG$587,'0.Productos'!AU$1+1,0),"")</f>
        <v/>
      </c>
      <c r="D128" s="133" t="str">
        <f>IF($A128&lt;&gt;0,VLOOKUP($A128,'0.Productos'!$A$3:$GG$587,'0.Productos'!AV$1+1,0),"")</f>
        <v/>
      </c>
      <c r="E128" s="133" t="str">
        <f>IF($A128&lt;&gt;0,VLOOKUP($A128,'0.Productos'!$A$3:$GG$587,'0.Productos'!AW$1+1,0),"")</f>
        <v/>
      </c>
      <c r="F128" s="133" t="str">
        <f>IF($A128&lt;&gt;0,VLOOKUP($A128,'0.Productos'!$A$3:$GG$587,'0.Productos'!AX$1+1,0),"")</f>
        <v/>
      </c>
      <c r="G128" s="133" t="str">
        <f>IF($A128&lt;&gt;0,VLOOKUP($A128,'0.Productos'!$A$3:$GG$587,'0.Productos'!AY$1+1,0),"")</f>
        <v/>
      </c>
      <c r="H128" s="133" t="str">
        <f>IF($A128&lt;&gt;0,VLOOKUP($A128,'0.Productos'!$A$3:$GG$587,'0.Productos'!AZ$1+1,0),"")</f>
        <v/>
      </c>
      <c r="I128" s="133" t="str">
        <f>IF($A128&lt;&gt;0,VLOOKUP($A128,'0.Productos'!$A$3:$GG$587,'0.Productos'!BA$1+1,0),"")</f>
        <v/>
      </c>
      <c r="J128" s="133" t="str">
        <f>IF($A128&lt;&gt;0,VLOOKUP($A128,'0.Productos'!$A$3:$GG$587,'0.Productos'!BB$1+1,0),"")</f>
        <v/>
      </c>
      <c r="K128" s="133" t="str">
        <f>IF($A128&lt;&gt;0,VLOOKUP($A128,'0.Productos'!$A$3:$GG$587,'0.Productos'!BC$1+1,0),"")</f>
        <v/>
      </c>
      <c r="L128" s="133" t="str">
        <f>IF($A128&lt;&gt;0,VLOOKUP($A128,'0.Productos'!$A$3:$GG$587,'0.Productos'!BD$1+1,0),"")</f>
        <v/>
      </c>
      <c r="M128" s="133" t="str">
        <f>IF($A128&lt;&gt;0,VLOOKUP($A128,'0.Productos'!$A$3:$GG$587,'0.Productos'!BE$1+1,0),"")</f>
        <v/>
      </c>
      <c r="N128" s="133" t="str">
        <f>IF($A128&lt;&gt;0,VLOOKUP($A128,'0.Productos'!$A$3:$GG$587,'0.Productos'!BF$1+1,0),"")</f>
        <v/>
      </c>
      <c r="O128" s="133" t="str">
        <f>IF($A128&lt;&gt;0,VLOOKUP($A128,'0.Productos'!$A$3:$GG$587,'0.Productos'!BG$1+1,0),"")</f>
        <v/>
      </c>
      <c r="P128" s="133" t="str">
        <f>IF($A128&lt;&gt;0,VLOOKUP($A128,'0.Productos'!$A$3:$GG$587,'0.Productos'!BH$1+1,0),"")</f>
        <v/>
      </c>
      <c r="Q128" s="133" t="str">
        <f>IF($A128&lt;&gt;0,VLOOKUP($A128,'0.Productos'!$A$3:$GG$587,'0.Productos'!BI$1+1,0),"")</f>
        <v/>
      </c>
      <c r="R128" s="133" t="str">
        <f>IF($A128&lt;&gt;0,VLOOKUP($A128,'0.Productos'!$A$3:$GG$587,'0.Productos'!BJ$1+1,0),"")</f>
        <v/>
      </c>
      <c r="S128" s="133" t="str">
        <f>IF($A128&lt;&gt;0,VLOOKUP($A128,'0.Productos'!$A$3:$GG$587,'0.Productos'!BK$1+1,0),"")</f>
        <v/>
      </c>
      <c r="T128" s="133" t="str">
        <f>IF($A128&lt;&gt;0,VLOOKUP($A128,'0.Productos'!$A$3:$GG$587,'0.Productos'!BL$1+1,0),"")</f>
        <v/>
      </c>
      <c r="U128" s="133" t="str">
        <f>IF($A128&lt;&gt;0,VLOOKUP($A128,'0.Productos'!$A$3:$GG$587,'0.Productos'!BM$1+1,0),"")</f>
        <v/>
      </c>
      <c r="V128" s="133" t="str">
        <f>IF($A128&lt;&gt;0,VLOOKUP($A128,'0.Productos'!$A$3:$GG$587,'0.Productos'!BN$1+1,0),"")</f>
        <v/>
      </c>
      <c r="W128" s="133" t="str">
        <f>IF($A128&lt;&gt;0,VLOOKUP($A128,'0.Productos'!$A$3:$GG$587,'0.Productos'!BO$1+1,0),"")</f>
        <v/>
      </c>
      <c r="X128" s="133" t="str">
        <f>IF($A128&lt;&gt;0,VLOOKUP($A128,'0.Productos'!$A$3:$GG$587,'0.Productos'!BP$1+1,0),"")</f>
        <v/>
      </c>
      <c r="Y128" s="133" t="str">
        <f>IF($A128&lt;&gt;0,VLOOKUP($A128,'0.Productos'!$A$3:$GG$587,'0.Productos'!BQ$1+1,0),"")</f>
        <v/>
      </c>
      <c r="Z128" s="133" t="str">
        <f>IF($A128&lt;&gt;0,VLOOKUP($A128,'0.Productos'!$A$3:$GG$587,'0.Productos'!BR$1+1,0),"")</f>
        <v/>
      </c>
      <c r="AA128" s="133" t="str">
        <f>IF($A128&lt;&gt;0,VLOOKUP($A128,'0.Productos'!$A$3:$GG$587,'0.Productos'!BS$1+1,0),"")</f>
        <v/>
      </c>
      <c r="AB128" s="133" t="str">
        <f>IF($A128&lt;&gt;0,VLOOKUP($A128,'0.Productos'!$A$3:$GG$587,'0.Productos'!BT$1+1,0),"")</f>
        <v/>
      </c>
      <c r="AC128" s="133" t="str">
        <f>IF($A128&lt;&gt;0,VLOOKUP($A128,'0.Productos'!$A$3:$GG$587,'0.Productos'!BU$1+1,0),"")</f>
        <v/>
      </c>
      <c r="AD128" s="133" t="str">
        <f>IF($A128&lt;&gt;0,VLOOKUP($A128,'0.Productos'!$A$3:$GG$587,'0.Productos'!BV$1+1,0),"")</f>
        <v/>
      </c>
      <c r="AE128" s="133" t="str">
        <f>IF($A128&lt;&gt;0,VLOOKUP($A128,'0.Productos'!$A$3:$GG$587,'0.Productos'!BW$1+1,0),"")</f>
        <v/>
      </c>
      <c r="AF128" s="133" t="str">
        <f>IF($A128&lt;&gt;0,VLOOKUP($A128,'0.Productos'!$A$3:$GG$587,'0.Productos'!BX$1+1,0),"")</f>
        <v/>
      </c>
      <c r="AG128" s="133" t="str">
        <f>IF($A128&lt;&gt;0,VLOOKUP($A128,'0.Productos'!$A$3:$GG$587,'0.Productos'!BY$1+1,0),"")</f>
        <v/>
      </c>
      <c r="AH128" s="133" t="str">
        <f>IF($A128&lt;&gt;0,VLOOKUP($A128,'0.Productos'!$A$3:$GG$587,'0.Productos'!BZ$1+1,0),"")</f>
        <v/>
      </c>
      <c r="AI128" s="133" t="str">
        <f>IF($A128&lt;&gt;0,VLOOKUP($A128,'0.Productos'!$A$3:$GG$587,'0.Productos'!CA$1+1,0),"")</f>
        <v/>
      </c>
      <c r="AJ128" s="133" t="str">
        <f>IF($A128&lt;&gt;0,VLOOKUP($A128,'0.Productos'!$A$3:$GG$587,'0.Productos'!CB$1+1,0),"")</f>
        <v/>
      </c>
      <c r="AK128" s="133" t="str">
        <f>IF($A128&lt;&gt;0,VLOOKUP($A128,'0.Productos'!$A$3:$GG$587,'0.Productos'!CC$1+1,0),"")</f>
        <v/>
      </c>
      <c r="AL128" s="133" t="str">
        <f>IF($A128&lt;&gt;0,VLOOKUP($A128,'0.Productos'!$A$3:$GG$587,'0.Productos'!CD$1+1,0),"")</f>
        <v/>
      </c>
      <c r="AM128" s="133" t="str">
        <f>IF($A128&lt;&gt;0,VLOOKUP($A128,'0.Productos'!$A$3:$GG$587,'0.Productos'!CE$1+1,0),"")</f>
        <v/>
      </c>
      <c r="AN128" s="133" t="str">
        <f>IF($A128&lt;&gt;0,VLOOKUP($A128,'0.Productos'!$A$3:$GG$587,'0.Productos'!CF$1+1,0),"")</f>
        <v/>
      </c>
      <c r="AO128" s="133" t="str">
        <f>IF($A128&lt;&gt;0,VLOOKUP($A128,'0.Productos'!$A$3:$GG$587,'0.Productos'!CG$1+1,0),"")</f>
        <v/>
      </c>
      <c r="AP128" s="133" t="str">
        <f>IF($A128&lt;&gt;0,VLOOKUP($A128,'0.Productos'!$A$3:$GG$587,'0.Productos'!CH$1+1,0),"")</f>
        <v/>
      </c>
      <c r="AQ128" s="133" t="str">
        <f>IF($A128&lt;&gt;0,VLOOKUP($A128,'0.Productos'!$A$3:$GG$587,'0.Productos'!CI$1+1,0),"")</f>
        <v/>
      </c>
      <c r="AR128" s="133" t="str">
        <f>IF($A128&lt;&gt;0,VLOOKUP($A128,'0.Productos'!$A$3:$GG$587,'0.Productos'!CJ$1+1,0),"")</f>
        <v/>
      </c>
      <c r="AS128" s="133" t="str">
        <f>IF($A128&lt;&gt;0,VLOOKUP($A128,'0.Productos'!$A$3:$GG$587,'0.Productos'!CK$1+1,0),"")</f>
        <v/>
      </c>
      <c r="AT128" s="133" t="str">
        <f>IF($A128&lt;&gt;0,VLOOKUP($A128,'0.Productos'!$A$3:$GG$587,'0.Productos'!CL$1+1,0),"")</f>
        <v/>
      </c>
      <c r="AU128" s="133" t="str">
        <f>IF($A128&lt;&gt;0,VLOOKUP($A128,'0.Productos'!$A$3:$GG$587,'0.Productos'!CM$1+1,0),"")</f>
        <v/>
      </c>
      <c r="AV128" s="133" t="str">
        <f>IF($A128&lt;&gt;0,VLOOKUP($A128,'0.Productos'!$A$3:$GG$587,'0.Productos'!CN$1+1,0),"")</f>
        <v/>
      </c>
      <c r="AW128" s="133" t="str">
        <f>IF($A128&lt;&gt;0,VLOOKUP($A128,'0.Productos'!$A$3:$GG$587,'0.Productos'!CO$1+1,0),"")</f>
        <v/>
      </c>
      <c r="AX128" s="133" t="str">
        <f>IF($A128&lt;&gt;0,VLOOKUP($A128,'0.Productos'!$A$3:$GG$587,'0.Productos'!CP$1+1,0),"")</f>
        <v/>
      </c>
      <c r="AY128" s="133" t="str">
        <f>IF($A128&lt;&gt;0,VLOOKUP($A128,'0.Productos'!$A$3:$GG$587,'0.Productos'!CQ$1+1,0),"")</f>
        <v/>
      </c>
      <c r="AZ128" s="133" t="str">
        <f>IF($A128&lt;&gt;0,VLOOKUP($A128,'0.Productos'!$A$3:$GG$587,'0.Productos'!CR$1+1,0),"")</f>
        <v/>
      </c>
      <c r="BA128" s="133" t="str">
        <f>IF($A128&lt;&gt;0,VLOOKUP($A128,'0.Productos'!$A$3:$GG$587,'0.Productos'!CS$1+1,0),"")</f>
        <v/>
      </c>
      <c r="BB128" s="133" t="str">
        <f>IF($A128&lt;&gt;0,VLOOKUP($A128,'0.Productos'!$A$3:$GG$587,'0.Productos'!CT$1+1,0),"")</f>
        <v/>
      </c>
      <c r="BC128" s="133" t="str">
        <f>IF($A128&lt;&gt;0,VLOOKUP($A128,'0.Productos'!$A$3:$GG$587,'0.Productos'!CU$1+1,0),"")</f>
        <v/>
      </c>
      <c r="BD128" s="133" t="str">
        <f>IF($A128&lt;&gt;0,VLOOKUP($A128,'0.Productos'!$A$3:$GG$587,'0.Productos'!CV$1+1,0),"")</f>
        <v/>
      </c>
      <c r="BE128" s="133" t="str">
        <f>IF($A128&lt;&gt;0,VLOOKUP($A128,'0.Productos'!$A$3:$GG$587,'0.Productos'!CW$1+1,0),"")</f>
        <v/>
      </c>
      <c r="BF128" s="133" t="str">
        <f>IF($A128&lt;&gt;0,VLOOKUP($A128,'0.Productos'!$A$3:$GG$587,'0.Productos'!CX$1+1,0),"")</f>
        <v/>
      </c>
      <c r="BG128" s="133" t="str">
        <f>IF($A128&lt;&gt;0,VLOOKUP($A128,'0.Productos'!$A$3:$GG$587,'0.Productos'!CY$1+1,0),"")</f>
        <v/>
      </c>
      <c r="BH128" s="133" t="str">
        <f>IF($A128&lt;&gt;0,VLOOKUP($A128,'0.Productos'!$A$3:$GG$587,'0.Productos'!CZ$1+1,0),"")</f>
        <v/>
      </c>
      <c r="BI128" s="133" t="str">
        <f>IF($A128&lt;&gt;0,VLOOKUP($A128,'0.Productos'!$A$3:$GG$587,'0.Productos'!DA$1+1,0),"")</f>
        <v/>
      </c>
      <c r="BJ128" s="133" t="str">
        <f>IF($A128&lt;&gt;0,VLOOKUP($A128,'0.Productos'!$A$3:$GG$587,'0.Productos'!DB$1+1,0),"")</f>
        <v/>
      </c>
      <c r="BK128" s="133" t="str">
        <f>IF($A128&lt;&gt;0,VLOOKUP($A128,'0.Productos'!$A$3:$GG$587,'0.Productos'!DC$1+1,0),"")</f>
        <v/>
      </c>
      <c r="BL128" s="133" t="str">
        <f>IF($A128&lt;&gt;0,VLOOKUP($A128,'0.Productos'!$A$3:$GG$587,'0.Productos'!DD$1+1,0),"")</f>
        <v/>
      </c>
      <c r="BM128" s="133" t="str">
        <f>IF($A128&lt;&gt;0,VLOOKUP($A128,'0.Productos'!$A$3:$GG$587,'0.Productos'!DE$1+1,0),"")</f>
        <v/>
      </c>
      <c r="BN128" s="133" t="str">
        <f>IF($A128&lt;&gt;0,VLOOKUP($A128,'0.Productos'!$A$3:$GG$587,'0.Productos'!DF$1+1,0),"")</f>
        <v/>
      </c>
      <c r="BO128" s="133" t="str">
        <f>IF($A128&lt;&gt;0,VLOOKUP($A128,'0.Productos'!$A$3:$GG$587,'0.Productos'!DG$1+1,0),"")</f>
        <v/>
      </c>
      <c r="BP128" s="133" t="str">
        <f>IF($A128&lt;&gt;0,VLOOKUP($A128,'0.Productos'!$A$3:$GG$587,'0.Productos'!DH$1+1,0),"")</f>
        <v/>
      </c>
      <c r="BQ128" s="133" t="str">
        <f>IF($A128&lt;&gt;0,VLOOKUP($A128,'0.Productos'!$A$3:$GG$587,'0.Productos'!DI$1+1,0),"")</f>
        <v/>
      </c>
      <c r="BR128" s="133" t="str">
        <f>IF($A128&lt;&gt;0,VLOOKUP($A128,'0.Productos'!$A$3:$GG$587,'0.Productos'!DJ$1+1,0),"")</f>
        <v/>
      </c>
      <c r="BS128" s="133" t="str">
        <f>IF($A128&lt;&gt;0,VLOOKUP($A128,'0.Productos'!$A$3:$GG$587,'0.Productos'!DK$1+1,0),"")</f>
        <v/>
      </c>
      <c r="BT128" s="133" t="str">
        <f>IF($A128&lt;&gt;0,VLOOKUP($A128,'0.Productos'!$A$3:$GG$587,'0.Productos'!DL$1+1,0),"")</f>
        <v/>
      </c>
    </row>
    <row r="129" spans="1:72" x14ac:dyDescent="0.25">
      <c r="A129" s="17">
        <f>'0.Consolidado general'!A129</f>
        <v>0</v>
      </c>
      <c r="B129" s="133" t="str">
        <f>IF($A129&lt;&gt;0,VLOOKUP($A129,'0.Productos'!$A$3:$GG$587,'0.Productos'!AT$1+1,0),"")</f>
        <v/>
      </c>
      <c r="C129" s="133" t="str">
        <f>IF($A129&lt;&gt;0,VLOOKUP($A129,'0.Productos'!$A$3:$GG$587,'0.Productos'!AU$1+1,0),"")</f>
        <v/>
      </c>
      <c r="D129" s="133" t="str">
        <f>IF($A129&lt;&gt;0,VLOOKUP($A129,'0.Productos'!$A$3:$GG$587,'0.Productos'!AV$1+1,0),"")</f>
        <v/>
      </c>
      <c r="E129" s="133" t="str">
        <f>IF($A129&lt;&gt;0,VLOOKUP($A129,'0.Productos'!$A$3:$GG$587,'0.Productos'!AW$1+1,0),"")</f>
        <v/>
      </c>
      <c r="F129" s="133" t="str">
        <f>IF($A129&lt;&gt;0,VLOOKUP($A129,'0.Productos'!$A$3:$GG$587,'0.Productos'!AX$1+1,0),"")</f>
        <v/>
      </c>
      <c r="G129" s="133" t="str">
        <f>IF($A129&lt;&gt;0,VLOOKUP($A129,'0.Productos'!$A$3:$GG$587,'0.Productos'!AY$1+1,0),"")</f>
        <v/>
      </c>
      <c r="H129" s="133" t="str">
        <f>IF($A129&lt;&gt;0,VLOOKUP($A129,'0.Productos'!$A$3:$GG$587,'0.Productos'!AZ$1+1,0),"")</f>
        <v/>
      </c>
      <c r="I129" s="133" t="str">
        <f>IF($A129&lt;&gt;0,VLOOKUP($A129,'0.Productos'!$A$3:$GG$587,'0.Productos'!BA$1+1,0),"")</f>
        <v/>
      </c>
      <c r="J129" s="133" t="str">
        <f>IF($A129&lt;&gt;0,VLOOKUP($A129,'0.Productos'!$A$3:$GG$587,'0.Productos'!BB$1+1,0),"")</f>
        <v/>
      </c>
      <c r="K129" s="133" t="str">
        <f>IF($A129&lt;&gt;0,VLOOKUP($A129,'0.Productos'!$A$3:$GG$587,'0.Productos'!BC$1+1,0),"")</f>
        <v/>
      </c>
      <c r="L129" s="133" t="str">
        <f>IF($A129&lt;&gt;0,VLOOKUP($A129,'0.Productos'!$A$3:$GG$587,'0.Productos'!BD$1+1,0),"")</f>
        <v/>
      </c>
      <c r="M129" s="133" t="str">
        <f>IF($A129&lt;&gt;0,VLOOKUP($A129,'0.Productos'!$A$3:$GG$587,'0.Productos'!BE$1+1,0),"")</f>
        <v/>
      </c>
      <c r="N129" s="133" t="str">
        <f>IF($A129&lt;&gt;0,VLOOKUP($A129,'0.Productos'!$A$3:$GG$587,'0.Productos'!BF$1+1,0),"")</f>
        <v/>
      </c>
      <c r="O129" s="133" t="str">
        <f>IF($A129&lt;&gt;0,VLOOKUP($A129,'0.Productos'!$A$3:$GG$587,'0.Productos'!BG$1+1,0),"")</f>
        <v/>
      </c>
      <c r="P129" s="133" t="str">
        <f>IF($A129&lt;&gt;0,VLOOKUP($A129,'0.Productos'!$A$3:$GG$587,'0.Productos'!BH$1+1,0),"")</f>
        <v/>
      </c>
      <c r="Q129" s="133" t="str">
        <f>IF($A129&lt;&gt;0,VLOOKUP($A129,'0.Productos'!$A$3:$GG$587,'0.Productos'!BI$1+1,0),"")</f>
        <v/>
      </c>
      <c r="R129" s="133" t="str">
        <f>IF($A129&lt;&gt;0,VLOOKUP($A129,'0.Productos'!$A$3:$GG$587,'0.Productos'!BJ$1+1,0),"")</f>
        <v/>
      </c>
      <c r="S129" s="133" t="str">
        <f>IF($A129&lt;&gt;0,VLOOKUP($A129,'0.Productos'!$A$3:$GG$587,'0.Productos'!BK$1+1,0),"")</f>
        <v/>
      </c>
      <c r="T129" s="133" t="str">
        <f>IF($A129&lt;&gt;0,VLOOKUP($A129,'0.Productos'!$A$3:$GG$587,'0.Productos'!BL$1+1,0),"")</f>
        <v/>
      </c>
      <c r="U129" s="133" t="str">
        <f>IF($A129&lt;&gt;0,VLOOKUP($A129,'0.Productos'!$A$3:$GG$587,'0.Productos'!BM$1+1,0),"")</f>
        <v/>
      </c>
      <c r="V129" s="133" t="str">
        <f>IF($A129&lt;&gt;0,VLOOKUP($A129,'0.Productos'!$A$3:$GG$587,'0.Productos'!BN$1+1,0),"")</f>
        <v/>
      </c>
      <c r="W129" s="133" t="str">
        <f>IF($A129&lt;&gt;0,VLOOKUP($A129,'0.Productos'!$A$3:$GG$587,'0.Productos'!BO$1+1,0),"")</f>
        <v/>
      </c>
      <c r="X129" s="133" t="str">
        <f>IF($A129&lt;&gt;0,VLOOKUP($A129,'0.Productos'!$A$3:$GG$587,'0.Productos'!BP$1+1,0),"")</f>
        <v/>
      </c>
      <c r="Y129" s="133" t="str">
        <f>IF($A129&lt;&gt;0,VLOOKUP($A129,'0.Productos'!$A$3:$GG$587,'0.Productos'!BQ$1+1,0),"")</f>
        <v/>
      </c>
      <c r="Z129" s="133" t="str">
        <f>IF($A129&lt;&gt;0,VLOOKUP($A129,'0.Productos'!$A$3:$GG$587,'0.Productos'!BR$1+1,0),"")</f>
        <v/>
      </c>
      <c r="AA129" s="133" t="str">
        <f>IF($A129&lt;&gt;0,VLOOKUP($A129,'0.Productos'!$A$3:$GG$587,'0.Productos'!BS$1+1,0),"")</f>
        <v/>
      </c>
      <c r="AB129" s="133" t="str">
        <f>IF($A129&lt;&gt;0,VLOOKUP($A129,'0.Productos'!$A$3:$GG$587,'0.Productos'!BT$1+1,0),"")</f>
        <v/>
      </c>
      <c r="AC129" s="133" t="str">
        <f>IF($A129&lt;&gt;0,VLOOKUP($A129,'0.Productos'!$A$3:$GG$587,'0.Productos'!BU$1+1,0),"")</f>
        <v/>
      </c>
      <c r="AD129" s="133" t="str">
        <f>IF($A129&lt;&gt;0,VLOOKUP($A129,'0.Productos'!$A$3:$GG$587,'0.Productos'!BV$1+1,0),"")</f>
        <v/>
      </c>
      <c r="AE129" s="133" t="str">
        <f>IF($A129&lt;&gt;0,VLOOKUP($A129,'0.Productos'!$A$3:$GG$587,'0.Productos'!BW$1+1,0),"")</f>
        <v/>
      </c>
      <c r="AF129" s="133" t="str">
        <f>IF($A129&lt;&gt;0,VLOOKUP($A129,'0.Productos'!$A$3:$GG$587,'0.Productos'!BX$1+1,0),"")</f>
        <v/>
      </c>
      <c r="AG129" s="133" t="str">
        <f>IF($A129&lt;&gt;0,VLOOKUP($A129,'0.Productos'!$A$3:$GG$587,'0.Productos'!BY$1+1,0),"")</f>
        <v/>
      </c>
      <c r="AH129" s="133" t="str">
        <f>IF($A129&lt;&gt;0,VLOOKUP($A129,'0.Productos'!$A$3:$GG$587,'0.Productos'!BZ$1+1,0),"")</f>
        <v/>
      </c>
      <c r="AI129" s="133" t="str">
        <f>IF($A129&lt;&gt;0,VLOOKUP($A129,'0.Productos'!$A$3:$GG$587,'0.Productos'!CA$1+1,0),"")</f>
        <v/>
      </c>
      <c r="AJ129" s="133" t="str">
        <f>IF($A129&lt;&gt;0,VLOOKUP($A129,'0.Productos'!$A$3:$GG$587,'0.Productos'!CB$1+1,0),"")</f>
        <v/>
      </c>
      <c r="AK129" s="133" t="str">
        <f>IF($A129&lt;&gt;0,VLOOKUP($A129,'0.Productos'!$A$3:$GG$587,'0.Productos'!CC$1+1,0),"")</f>
        <v/>
      </c>
      <c r="AL129" s="133" t="str">
        <f>IF($A129&lt;&gt;0,VLOOKUP($A129,'0.Productos'!$A$3:$GG$587,'0.Productos'!CD$1+1,0),"")</f>
        <v/>
      </c>
      <c r="AM129" s="133" t="str">
        <f>IF($A129&lt;&gt;0,VLOOKUP($A129,'0.Productos'!$A$3:$GG$587,'0.Productos'!CE$1+1,0),"")</f>
        <v/>
      </c>
      <c r="AN129" s="133" t="str">
        <f>IF($A129&lt;&gt;0,VLOOKUP($A129,'0.Productos'!$A$3:$GG$587,'0.Productos'!CF$1+1,0),"")</f>
        <v/>
      </c>
      <c r="AO129" s="133" t="str">
        <f>IF($A129&lt;&gt;0,VLOOKUP($A129,'0.Productos'!$A$3:$GG$587,'0.Productos'!CG$1+1,0),"")</f>
        <v/>
      </c>
      <c r="AP129" s="133" t="str">
        <f>IF($A129&lt;&gt;0,VLOOKUP($A129,'0.Productos'!$A$3:$GG$587,'0.Productos'!CH$1+1,0),"")</f>
        <v/>
      </c>
      <c r="AQ129" s="133" t="str">
        <f>IF($A129&lt;&gt;0,VLOOKUP($A129,'0.Productos'!$A$3:$GG$587,'0.Productos'!CI$1+1,0),"")</f>
        <v/>
      </c>
      <c r="AR129" s="133" t="str">
        <f>IF($A129&lt;&gt;0,VLOOKUP($A129,'0.Productos'!$A$3:$GG$587,'0.Productos'!CJ$1+1,0),"")</f>
        <v/>
      </c>
      <c r="AS129" s="133" t="str">
        <f>IF($A129&lt;&gt;0,VLOOKUP($A129,'0.Productos'!$A$3:$GG$587,'0.Productos'!CK$1+1,0),"")</f>
        <v/>
      </c>
      <c r="AT129" s="133" t="str">
        <f>IF($A129&lt;&gt;0,VLOOKUP($A129,'0.Productos'!$A$3:$GG$587,'0.Productos'!CL$1+1,0),"")</f>
        <v/>
      </c>
      <c r="AU129" s="133" t="str">
        <f>IF($A129&lt;&gt;0,VLOOKUP($A129,'0.Productos'!$A$3:$GG$587,'0.Productos'!CM$1+1,0),"")</f>
        <v/>
      </c>
      <c r="AV129" s="133" t="str">
        <f>IF($A129&lt;&gt;0,VLOOKUP($A129,'0.Productos'!$A$3:$GG$587,'0.Productos'!CN$1+1,0),"")</f>
        <v/>
      </c>
      <c r="AW129" s="133" t="str">
        <f>IF($A129&lt;&gt;0,VLOOKUP($A129,'0.Productos'!$A$3:$GG$587,'0.Productos'!CO$1+1,0),"")</f>
        <v/>
      </c>
      <c r="AX129" s="133" t="str">
        <f>IF($A129&lt;&gt;0,VLOOKUP($A129,'0.Productos'!$A$3:$GG$587,'0.Productos'!CP$1+1,0),"")</f>
        <v/>
      </c>
      <c r="AY129" s="133" t="str">
        <f>IF($A129&lt;&gt;0,VLOOKUP($A129,'0.Productos'!$A$3:$GG$587,'0.Productos'!CQ$1+1,0),"")</f>
        <v/>
      </c>
      <c r="AZ129" s="133" t="str">
        <f>IF($A129&lt;&gt;0,VLOOKUP($A129,'0.Productos'!$A$3:$GG$587,'0.Productos'!CR$1+1,0),"")</f>
        <v/>
      </c>
      <c r="BA129" s="133" t="str">
        <f>IF($A129&lt;&gt;0,VLOOKUP($A129,'0.Productos'!$A$3:$GG$587,'0.Productos'!CS$1+1,0),"")</f>
        <v/>
      </c>
      <c r="BB129" s="133" t="str">
        <f>IF($A129&lt;&gt;0,VLOOKUP($A129,'0.Productos'!$A$3:$GG$587,'0.Productos'!CT$1+1,0),"")</f>
        <v/>
      </c>
      <c r="BC129" s="133" t="str">
        <f>IF($A129&lt;&gt;0,VLOOKUP($A129,'0.Productos'!$A$3:$GG$587,'0.Productos'!CU$1+1,0),"")</f>
        <v/>
      </c>
      <c r="BD129" s="133" t="str">
        <f>IF($A129&lt;&gt;0,VLOOKUP($A129,'0.Productos'!$A$3:$GG$587,'0.Productos'!CV$1+1,0),"")</f>
        <v/>
      </c>
      <c r="BE129" s="133" t="str">
        <f>IF($A129&lt;&gt;0,VLOOKUP($A129,'0.Productos'!$A$3:$GG$587,'0.Productos'!CW$1+1,0),"")</f>
        <v/>
      </c>
      <c r="BF129" s="133" t="str">
        <f>IF($A129&lt;&gt;0,VLOOKUP($A129,'0.Productos'!$A$3:$GG$587,'0.Productos'!CX$1+1,0),"")</f>
        <v/>
      </c>
      <c r="BG129" s="133" t="str">
        <f>IF($A129&lt;&gt;0,VLOOKUP($A129,'0.Productos'!$A$3:$GG$587,'0.Productos'!CY$1+1,0),"")</f>
        <v/>
      </c>
      <c r="BH129" s="133" t="str">
        <f>IF($A129&lt;&gt;0,VLOOKUP($A129,'0.Productos'!$A$3:$GG$587,'0.Productos'!CZ$1+1,0),"")</f>
        <v/>
      </c>
      <c r="BI129" s="133" t="str">
        <f>IF($A129&lt;&gt;0,VLOOKUP($A129,'0.Productos'!$A$3:$GG$587,'0.Productos'!DA$1+1,0),"")</f>
        <v/>
      </c>
      <c r="BJ129" s="133" t="str">
        <f>IF($A129&lt;&gt;0,VLOOKUP($A129,'0.Productos'!$A$3:$GG$587,'0.Productos'!DB$1+1,0),"")</f>
        <v/>
      </c>
      <c r="BK129" s="133" t="str">
        <f>IF($A129&lt;&gt;0,VLOOKUP($A129,'0.Productos'!$A$3:$GG$587,'0.Productos'!DC$1+1,0),"")</f>
        <v/>
      </c>
      <c r="BL129" s="133" t="str">
        <f>IF($A129&lt;&gt;0,VLOOKUP($A129,'0.Productos'!$A$3:$GG$587,'0.Productos'!DD$1+1,0),"")</f>
        <v/>
      </c>
      <c r="BM129" s="133" t="str">
        <f>IF($A129&lt;&gt;0,VLOOKUP($A129,'0.Productos'!$A$3:$GG$587,'0.Productos'!DE$1+1,0),"")</f>
        <v/>
      </c>
      <c r="BN129" s="133" t="str">
        <f>IF($A129&lt;&gt;0,VLOOKUP($A129,'0.Productos'!$A$3:$GG$587,'0.Productos'!DF$1+1,0),"")</f>
        <v/>
      </c>
      <c r="BO129" s="133" t="str">
        <f>IF($A129&lt;&gt;0,VLOOKUP($A129,'0.Productos'!$A$3:$GG$587,'0.Productos'!DG$1+1,0),"")</f>
        <v/>
      </c>
      <c r="BP129" s="133" t="str">
        <f>IF($A129&lt;&gt;0,VLOOKUP($A129,'0.Productos'!$A$3:$GG$587,'0.Productos'!DH$1+1,0),"")</f>
        <v/>
      </c>
      <c r="BQ129" s="133" t="str">
        <f>IF($A129&lt;&gt;0,VLOOKUP($A129,'0.Productos'!$A$3:$GG$587,'0.Productos'!DI$1+1,0),"")</f>
        <v/>
      </c>
      <c r="BR129" s="133" t="str">
        <f>IF($A129&lt;&gt;0,VLOOKUP($A129,'0.Productos'!$A$3:$GG$587,'0.Productos'!DJ$1+1,0),"")</f>
        <v/>
      </c>
      <c r="BS129" s="133" t="str">
        <f>IF($A129&lt;&gt;0,VLOOKUP($A129,'0.Productos'!$A$3:$GG$587,'0.Productos'!DK$1+1,0),"")</f>
        <v/>
      </c>
      <c r="BT129" s="133" t="str">
        <f>IF($A129&lt;&gt;0,VLOOKUP($A129,'0.Productos'!$A$3:$GG$587,'0.Productos'!DL$1+1,0),"")</f>
        <v/>
      </c>
    </row>
    <row r="130" spans="1:72" x14ac:dyDescent="0.25">
      <c r="A130" s="17">
        <f>'0.Consolidado general'!A130</f>
        <v>0</v>
      </c>
      <c r="B130" s="133" t="str">
        <f>IF($A130&lt;&gt;0,VLOOKUP($A130,'0.Productos'!$A$3:$GG$587,'0.Productos'!AT$1+1,0),"")</f>
        <v/>
      </c>
      <c r="C130" s="133" t="str">
        <f>IF($A130&lt;&gt;0,VLOOKUP($A130,'0.Productos'!$A$3:$GG$587,'0.Productos'!AU$1+1,0),"")</f>
        <v/>
      </c>
      <c r="D130" s="133" t="str">
        <f>IF($A130&lt;&gt;0,VLOOKUP($A130,'0.Productos'!$A$3:$GG$587,'0.Productos'!AV$1+1,0),"")</f>
        <v/>
      </c>
      <c r="E130" s="133" t="str">
        <f>IF($A130&lt;&gt;0,VLOOKUP($A130,'0.Productos'!$A$3:$GG$587,'0.Productos'!AW$1+1,0),"")</f>
        <v/>
      </c>
      <c r="F130" s="133" t="str">
        <f>IF($A130&lt;&gt;0,VLOOKUP($A130,'0.Productos'!$A$3:$GG$587,'0.Productos'!AX$1+1,0),"")</f>
        <v/>
      </c>
      <c r="G130" s="133" t="str">
        <f>IF($A130&lt;&gt;0,VLOOKUP($A130,'0.Productos'!$A$3:$GG$587,'0.Productos'!AY$1+1,0),"")</f>
        <v/>
      </c>
      <c r="H130" s="133" t="str">
        <f>IF($A130&lt;&gt;0,VLOOKUP($A130,'0.Productos'!$A$3:$GG$587,'0.Productos'!AZ$1+1,0),"")</f>
        <v/>
      </c>
      <c r="I130" s="133" t="str">
        <f>IF($A130&lt;&gt;0,VLOOKUP($A130,'0.Productos'!$A$3:$GG$587,'0.Productos'!BA$1+1,0),"")</f>
        <v/>
      </c>
      <c r="J130" s="133" t="str">
        <f>IF($A130&lt;&gt;0,VLOOKUP($A130,'0.Productos'!$A$3:$GG$587,'0.Productos'!BB$1+1,0),"")</f>
        <v/>
      </c>
      <c r="K130" s="133" t="str">
        <f>IF($A130&lt;&gt;0,VLOOKUP($A130,'0.Productos'!$A$3:$GG$587,'0.Productos'!BC$1+1,0),"")</f>
        <v/>
      </c>
      <c r="L130" s="133" t="str">
        <f>IF($A130&lt;&gt;0,VLOOKUP($A130,'0.Productos'!$A$3:$GG$587,'0.Productos'!BD$1+1,0),"")</f>
        <v/>
      </c>
      <c r="M130" s="133" t="str">
        <f>IF($A130&lt;&gt;0,VLOOKUP($A130,'0.Productos'!$A$3:$GG$587,'0.Productos'!BE$1+1,0),"")</f>
        <v/>
      </c>
      <c r="N130" s="133" t="str">
        <f>IF($A130&lt;&gt;0,VLOOKUP($A130,'0.Productos'!$A$3:$GG$587,'0.Productos'!BF$1+1,0),"")</f>
        <v/>
      </c>
      <c r="O130" s="133" t="str">
        <f>IF($A130&lt;&gt;0,VLOOKUP($A130,'0.Productos'!$A$3:$GG$587,'0.Productos'!BG$1+1,0),"")</f>
        <v/>
      </c>
      <c r="P130" s="133" t="str">
        <f>IF($A130&lt;&gt;0,VLOOKUP($A130,'0.Productos'!$A$3:$GG$587,'0.Productos'!BH$1+1,0),"")</f>
        <v/>
      </c>
      <c r="Q130" s="133" t="str">
        <f>IF($A130&lt;&gt;0,VLOOKUP($A130,'0.Productos'!$A$3:$GG$587,'0.Productos'!BI$1+1,0),"")</f>
        <v/>
      </c>
      <c r="R130" s="133" t="str">
        <f>IF($A130&lt;&gt;0,VLOOKUP($A130,'0.Productos'!$A$3:$GG$587,'0.Productos'!BJ$1+1,0),"")</f>
        <v/>
      </c>
      <c r="S130" s="133" t="str">
        <f>IF($A130&lt;&gt;0,VLOOKUP($A130,'0.Productos'!$A$3:$GG$587,'0.Productos'!BK$1+1,0),"")</f>
        <v/>
      </c>
      <c r="T130" s="133" t="str">
        <f>IF($A130&lt;&gt;0,VLOOKUP($A130,'0.Productos'!$A$3:$GG$587,'0.Productos'!BL$1+1,0),"")</f>
        <v/>
      </c>
      <c r="U130" s="133" t="str">
        <f>IF($A130&lt;&gt;0,VLOOKUP($A130,'0.Productos'!$A$3:$GG$587,'0.Productos'!BM$1+1,0),"")</f>
        <v/>
      </c>
      <c r="V130" s="133" t="str">
        <f>IF($A130&lt;&gt;0,VLOOKUP($A130,'0.Productos'!$A$3:$GG$587,'0.Productos'!BN$1+1,0),"")</f>
        <v/>
      </c>
      <c r="W130" s="133" t="str">
        <f>IF($A130&lt;&gt;0,VLOOKUP($A130,'0.Productos'!$A$3:$GG$587,'0.Productos'!BO$1+1,0),"")</f>
        <v/>
      </c>
      <c r="X130" s="133" t="str">
        <f>IF($A130&lt;&gt;0,VLOOKUP($A130,'0.Productos'!$A$3:$GG$587,'0.Productos'!BP$1+1,0),"")</f>
        <v/>
      </c>
      <c r="Y130" s="133" t="str">
        <f>IF($A130&lt;&gt;0,VLOOKUP($A130,'0.Productos'!$A$3:$GG$587,'0.Productos'!BQ$1+1,0),"")</f>
        <v/>
      </c>
      <c r="Z130" s="133" t="str">
        <f>IF($A130&lt;&gt;0,VLOOKUP($A130,'0.Productos'!$A$3:$GG$587,'0.Productos'!BR$1+1,0),"")</f>
        <v/>
      </c>
      <c r="AA130" s="133" t="str">
        <f>IF($A130&lt;&gt;0,VLOOKUP($A130,'0.Productos'!$A$3:$GG$587,'0.Productos'!BS$1+1,0),"")</f>
        <v/>
      </c>
      <c r="AB130" s="133" t="str">
        <f>IF($A130&lt;&gt;0,VLOOKUP($A130,'0.Productos'!$A$3:$GG$587,'0.Productos'!BT$1+1,0),"")</f>
        <v/>
      </c>
      <c r="AC130" s="133" t="str">
        <f>IF($A130&lt;&gt;0,VLOOKUP($A130,'0.Productos'!$A$3:$GG$587,'0.Productos'!BU$1+1,0),"")</f>
        <v/>
      </c>
      <c r="AD130" s="133" t="str">
        <f>IF($A130&lt;&gt;0,VLOOKUP($A130,'0.Productos'!$A$3:$GG$587,'0.Productos'!BV$1+1,0),"")</f>
        <v/>
      </c>
      <c r="AE130" s="133" t="str">
        <f>IF($A130&lt;&gt;0,VLOOKUP($A130,'0.Productos'!$A$3:$GG$587,'0.Productos'!BW$1+1,0),"")</f>
        <v/>
      </c>
      <c r="AF130" s="133" t="str">
        <f>IF($A130&lt;&gt;0,VLOOKUP($A130,'0.Productos'!$A$3:$GG$587,'0.Productos'!BX$1+1,0),"")</f>
        <v/>
      </c>
      <c r="AG130" s="133" t="str">
        <f>IF($A130&lt;&gt;0,VLOOKUP($A130,'0.Productos'!$A$3:$GG$587,'0.Productos'!BY$1+1,0),"")</f>
        <v/>
      </c>
      <c r="AH130" s="133" t="str">
        <f>IF($A130&lt;&gt;0,VLOOKUP($A130,'0.Productos'!$A$3:$GG$587,'0.Productos'!BZ$1+1,0),"")</f>
        <v/>
      </c>
      <c r="AI130" s="133" t="str">
        <f>IF($A130&lt;&gt;0,VLOOKUP($A130,'0.Productos'!$A$3:$GG$587,'0.Productos'!CA$1+1,0),"")</f>
        <v/>
      </c>
      <c r="AJ130" s="133" t="str">
        <f>IF($A130&lt;&gt;0,VLOOKUP($A130,'0.Productos'!$A$3:$GG$587,'0.Productos'!CB$1+1,0),"")</f>
        <v/>
      </c>
      <c r="AK130" s="133" t="str">
        <f>IF($A130&lt;&gt;0,VLOOKUP($A130,'0.Productos'!$A$3:$GG$587,'0.Productos'!CC$1+1,0),"")</f>
        <v/>
      </c>
      <c r="AL130" s="133" t="str">
        <f>IF($A130&lt;&gt;0,VLOOKUP($A130,'0.Productos'!$A$3:$GG$587,'0.Productos'!CD$1+1,0),"")</f>
        <v/>
      </c>
      <c r="AM130" s="133" t="str">
        <f>IF($A130&lt;&gt;0,VLOOKUP($A130,'0.Productos'!$A$3:$GG$587,'0.Productos'!CE$1+1,0),"")</f>
        <v/>
      </c>
      <c r="AN130" s="133" t="str">
        <f>IF($A130&lt;&gt;0,VLOOKUP($A130,'0.Productos'!$A$3:$GG$587,'0.Productos'!CF$1+1,0),"")</f>
        <v/>
      </c>
      <c r="AO130" s="133" t="str">
        <f>IF($A130&lt;&gt;0,VLOOKUP($A130,'0.Productos'!$A$3:$GG$587,'0.Productos'!CG$1+1,0),"")</f>
        <v/>
      </c>
      <c r="AP130" s="133" t="str">
        <f>IF($A130&lt;&gt;0,VLOOKUP($A130,'0.Productos'!$A$3:$GG$587,'0.Productos'!CH$1+1,0),"")</f>
        <v/>
      </c>
      <c r="AQ130" s="133" t="str">
        <f>IF($A130&lt;&gt;0,VLOOKUP($A130,'0.Productos'!$A$3:$GG$587,'0.Productos'!CI$1+1,0),"")</f>
        <v/>
      </c>
      <c r="AR130" s="133" t="str">
        <f>IF($A130&lt;&gt;0,VLOOKUP($A130,'0.Productos'!$A$3:$GG$587,'0.Productos'!CJ$1+1,0),"")</f>
        <v/>
      </c>
      <c r="AS130" s="133" t="str">
        <f>IF($A130&lt;&gt;0,VLOOKUP($A130,'0.Productos'!$A$3:$GG$587,'0.Productos'!CK$1+1,0),"")</f>
        <v/>
      </c>
      <c r="AT130" s="133" t="str">
        <f>IF($A130&lt;&gt;0,VLOOKUP($A130,'0.Productos'!$A$3:$GG$587,'0.Productos'!CL$1+1,0),"")</f>
        <v/>
      </c>
      <c r="AU130" s="133" t="str">
        <f>IF($A130&lt;&gt;0,VLOOKUP($A130,'0.Productos'!$A$3:$GG$587,'0.Productos'!CM$1+1,0),"")</f>
        <v/>
      </c>
      <c r="AV130" s="133" t="str">
        <f>IF($A130&lt;&gt;0,VLOOKUP($A130,'0.Productos'!$A$3:$GG$587,'0.Productos'!CN$1+1,0),"")</f>
        <v/>
      </c>
      <c r="AW130" s="133" t="str">
        <f>IF($A130&lt;&gt;0,VLOOKUP($A130,'0.Productos'!$A$3:$GG$587,'0.Productos'!CO$1+1,0),"")</f>
        <v/>
      </c>
      <c r="AX130" s="133" t="str">
        <f>IF($A130&lt;&gt;0,VLOOKUP($A130,'0.Productos'!$A$3:$GG$587,'0.Productos'!CP$1+1,0),"")</f>
        <v/>
      </c>
      <c r="AY130" s="133" t="str">
        <f>IF($A130&lt;&gt;0,VLOOKUP($A130,'0.Productos'!$A$3:$GG$587,'0.Productos'!CQ$1+1,0),"")</f>
        <v/>
      </c>
      <c r="AZ130" s="133" t="str">
        <f>IF($A130&lt;&gt;0,VLOOKUP($A130,'0.Productos'!$A$3:$GG$587,'0.Productos'!CR$1+1,0),"")</f>
        <v/>
      </c>
      <c r="BA130" s="133" t="str">
        <f>IF($A130&lt;&gt;0,VLOOKUP($A130,'0.Productos'!$A$3:$GG$587,'0.Productos'!CS$1+1,0),"")</f>
        <v/>
      </c>
      <c r="BB130" s="133" t="str">
        <f>IF($A130&lt;&gt;0,VLOOKUP($A130,'0.Productos'!$A$3:$GG$587,'0.Productos'!CT$1+1,0),"")</f>
        <v/>
      </c>
      <c r="BC130" s="133" t="str">
        <f>IF($A130&lt;&gt;0,VLOOKUP($A130,'0.Productos'!$A$3:$GG$587,'0.Productos'!CU$1+1,0),"")</f>
        <v/>
      </c>
      <c r="BD130" s="133" t="str">
        <f>IF($A130&lt;&gt;0,VLOOKUP($A130,'0.Productos'!$A$3:$GG$587,'0.Productos'!CV$1+1,0),"")</f>
        <v/>
      </c>
      <c r="BE130" s="133" t="str">
        <f>IF($A130&lt;&gt;0,VLOOKUP($A130,'0.Productos'!$A$3:$GG$587,'0.Productos'!CW$1+1,0),"")</f>
        <v/>
      </c>
      <c r="BF130" s="133" t="str">
        <f>IF($A130&lt;&gt;0,VLOOKUP($A130,'0.Productos'!$A$3:$GG$587,'0.Productos'!CX$1+1,0),"")</f>
        <v/>
      </c>
      <c r="BG130" s="133" t="str">
        <f>IF($A130&lt;&gt;0,VLOOKUP($A130,'0.Productos'!$A$3:$GG$587,'0.Productos'!CY$1+1,0),"")</f>
        <v/>
      </c>
      <c r="BH130" s="133" t="str">
        <f>IF($A130&lt;&gt;0,VLOOKUP($A130,'0.Productos'!$A$3:$GG$587,'0.Productos'!CZ$1+1,0),"")</f>
        <v/>
      </c>
      <c r="BI130" s="133" t="str">
        <f>IF($A130&lt;&gt;0,VLOOKUP($A130,'0.Productos'!$A$3:$GG$587,'0.Productos'!DA$1+1,0),"")</f>
        <v/>
      </c>
      <c r="BJ130" s="133" t="str">
        <f>IF($A130&lt;&gt;0,VLOOKUP($A130,'0.Productos'!$A$3:$GG$587,'0.Productos'!DB$1+1,0),"")</f>
        <v/>
      </c>
      <c r="BK130" s="133" t="str">
        <f>IF($A130&lt;&gt;0,VLOOKUP($A130,'0.Productos'!$A$3:$GG$587,'0.Productos'!DC$1+1,0),"")</f>
        <v/>
      </c>
      <c r="BL130" s="133" t="str">
        <f>IF($A130&lt;&gt;0,VLOOKUP($A130,'0.Productos'!$A$3:$GG$587,'0.Productos'!DD$1+1,0),"")</f>
        <v/>
      </c>
      <c r="BM130" s="133" t="str">
        <f>IF($A130&lt;&gt;0,VLOOKUP($A130,'0.Productos'!$A$3:$GG$587,'0.Productos'!DE$1+1,0),"")</f>
        <v/>
      </c>
      <c r="BN130" s="133" t="str">
        <f>IF($A130&lt;&gt;0,VLOOKUP($A130,'0.Productos'!$A$3:$GG$587,'0.Productos'!DF$1+1,0),"")</f>
        <v/>
      </c>
      <c r="BO130" s="133" t="str">
        <f>IF($A130&lt;&gt;0,VLOOKUP($A130,'0.Productos'!$A$3:$GG$587,'0.Productos'!DG$1+1,0),"")</f>
        <v/>
      </c>
      <c r="BP130" s="133" t="str">
        <f>IF($A130&lt;&gt;0,VLOOKUP($A130,'0.Productos'!$A$3:$GG$587,'0.Productos'!DH$1+1,0),"")</f>
        <v/>
      </c>
      <c r="BQ130" s="133" t="str">
        <f>IF($A130&lt;&gt;0,VLOOKUP($A130,'0.Productos'!$A$3:$GG$587,'0.Productos'!DI$1+1,0),"")</f>
        <v/>
      </c>
      <c r="BR130" s="133" t="str">
        <f>IF($A130&lt;&gt;0,VLOOKUP($A130,'0.Productos'!$A$3:$GG$587,'0.Productos'!DJ$1+1,0),"")</f>
        <v/>
      </c>
      <c r="BS130" s="133" t="str">
        <f>IF($A130&lt;&gt;0,VLOOKUP($A130,'0.Productos'!$A$3:$GG$587,'0.Productos'!DK$1+1,0),"")</f>
        <v/>
      </c>
      <c r="BT130" s="133" t="str">
        <f>IF($A130&lt;&gt;0,VLOOKUP($A130,'0.Productos'!$A$3:$GG$587,'0.Productos'!DL$1+1,0),"")</f>
        <v/>
      </c>
    </row>
    <row r="131" spans="1:72" x14ac:dyDescent="0.25">
      <c r="A131" s="17">
        <f>'0.Consolidado general'!A131</f>
        <v>0</v>
      </c>
      <c r="B131" s="133" t="str">
        <f>IF($A131&lt;&gt;0,VLOOKUP($A131,'0.Productos'!$A$3:$GG$587,'0.Productos'!AT$1+1,0),"")</f>
        <v/>
      </c>
      <c r="C131" s="133" t="str">
        <f>IF($A131&lt;&gt;0,VLOOKUP($A131,'0.Productos'!$A$3:$GG$587,'0.Productos'!AU$1+1,0),"")</f>
        <v/>
      </c>
      <c r="D131" s="133" t="str">
        <f>IF($A131&lt;&gt;0,VLOOKUP($A131,'0.Productos'!$A$3:$GG$587,'0.Productos'!AV$1+1,0),"")</f>
        <v/>
      </c>
      <c r="E131" s="133" t="str">
        <f>IF($A131&lt;&gt;0,VLOOKUP($A131,'0.Productos'!$A$3:$GG$587,'0.Productos'!AW$1+1,0),"")</f>
        <v/>
      </c>
      <c r="F131" s="133" t="str">
        <f>IF($A131&lt;&gt;0,VLOOKUP($A131,'0.Productos'!$A$3:$GG$587,'0.Productos'!AX$1+1,0),"")</f>
        <v/>
      </c>
      <c r="G131" s="133" t="str">
        <f>IF($A131&lt;&gt;0,VLOOKUP($A131,'0.Productos'!$A$3:$GG$587,'0.Productos'!AY$1+1,0),"")</f>
        <v/>
      </c>
      <c r="H131" s="133" t="str">
        <f>IF($A131&lt;&gt;0,VLOOKUP($A131,'0.Productos'!$A$3:$GG$587,'0.Productos'!AZ$1+1,0),"")</f>
        <v/>
      </c>
      <c r="I131" s="133" t="str">
        <f>IF($A131&lt;&gt;0,VLOOKUP($A131,'0.Productos'!$A$3:$GG$587,'0.Productos'!BA$1+1,0),"")</f>
        <v/>
      </c>
      <c r="J131" s="133" t="str">
        <f>IF($A131&lt;&gt;0,VLOOKUP($A131,'0.Productos'!$A$3:$GG$587,'0.Productos'!BB$1+1,0),"")</f>
        <v/>
      </c>
      <c r="K131" s="133" t="str">
        <f>IF($A131&lt;&gt;0,VLOOKUP($A131,'0.Productos'!$A$3:$GG$587,'0.Productos'!BC$1+1,0),"")</f>
        <v/>
      </c>
      <c r="L131" s="133" t="str">
        <f>IF($A131&lt;&gt;0,VLOOKUP($A131,'0.Productos'!$A$3:$GG$587,'0.Productos'!BD$1+1,0),"")</f>
        <v/>
      </c>
      <c r="M131" s="133" t="str">
        <f>IF($A131&lt;&gt;0,VLOOKUP($A131,'0.Productos'!$A$3:$GG$587,'0.Productos'!BE$1+1,0),"")</f>
        <v/>
      </c>
      <c r="N131" s="133" t="str">
        <f>IF($A131&lt;&gt;0,VLOOKUP($A131,'0.Productos'!$A$3:$GG$587,'0.Productos'!BF$1+1,0),"")</f>
        <v/>
      </c>
      <c r="O131" s="133" t="str">
        <f>IF($A131&lt;&gt;0,VLOOKUP($A131,'0.Productos'!$A$3:$GG$587,'0.Productos'!BG$1+1,0),"")</f>
        <v/>
      </c>
      <c r="P131" s="133" t="str">
        <f>IF($A131&lt;&gt;0,VLOOKUP($A131,'0.Productos'!$A$3:$GG$587,'0.Productos'!BH$1+1,0),"")</f>
        <v/>
      </c>
      <c r="Q131" s="133" t="str">
        <f>IF($A131&lt;&gt;0,VLOOKUP($A131,'0.Productos'!$A$3:$GG$587,'0.Productos'!BI$1+1,0),"")</f>
        <v/>
      </c>
      <c r="R131" s="133" t="str">
        <f>IF($A131&lt;&gt;0,VLOOKUP($A131,'0.Productos'!$A$3:$GG$587,'0.Productos'!BJ$1+1,0),"")</f>
        <v/>
      </c>
      <c r="S131" s="133" t="str">
        <f>IF($A131&lt;&gt;0,VLOOKUP($A131,'0.Productos'!$A$3:$GG$587,'0.Productos'!BK$1+1,0),"")</f>
        <v/>
      </c>
      <c r="T131" s="133" t="str">
        <f>IF($A131&lt;&gt;0,VLOOKUP($A131,'0.Productos'!$A$3:$GG$587,'0.Productos'!BL$1+1,0),"")</f>
        <v/>
      </c>
      <c r="U131" s="133" t="str">
        <f>IF($A131&lt;&gt;0,VLOOKUP($A131,'0.Productos'!$A$3:$GG$587,'0.Productos'!BM$1+1,0),"")</f>
        <v/>
      </c>
      <c r="V131" s="133" t="str">
        <f>IF($A131&lt;&gt;0,VLOOKUP($A131,'0.Productos'!$A$3:$GG$587,'0.Productos'!BN$1+1,0),"")</f>
        <v/>
      </c>
      <c r="W131" s="133" t="str">
        <f>IF($A131&lt;&gt;0,VLOOKUP($A131,'0.Productos'!$A$3:$GG$587,'0.Productos'!BO$1+1,0),"")</f>
        <v/>
      </c>
      <c r="X131" s="133" t="str">
        <f>IF($A131&lt;&gt;0,VLOOKUP($A131,'0.Productos'!$A$3:$GG$587,'0.Productos'!BP$1+1,0),"")</f>
        <v/>
      </c>
      <c r="Y131" s="133" t="str">
        <f>IF($A131&lt;&gt;0,VLOOKUP($A131,'0.Productos'!$A$3:$GG$587,'0.Productos'!BQ$1+1,0),"")</f>
        <v/>
      </c>
      <c r="Z131" s="133" t="str">
        <f>IF($A131&lt;&gt;0,VLOOKUP($A131,'0.Productos'!$A$3:$GG$587,'0.Productos'!BR$1+1,0),"")</f>
        <v/>
      </c>
      <c r="AA131" s="133" t="str">
        <f>IF($A131&lt;&gt;0,VLOOKUP($A131,'0.Productos'!$A$3:$GG$587,'0.Productos'!BS$1+1,0),"")</f>
        <v/>
      </c>
      <c r="AB131" s="133" t="str">
        <f>IF($A131&lt;&gt;0,VLOOKUP($A131,'0.Productos'!$A$3:$GG$587,'0.Productos'!BT$1+1,0),"")</f>
        <v/>
      </c>
      <c r="AC131" s="133" t="str">
        <f>IF($A131&lt;&gt;0,VLOOKUP($A131,'0.Productos'!$A$3:$GG$587,'0.Productos'!BU$1+1,0),"")</f>
        <v/>
      </c>
      <c r="AD131" s="133" t="str">
        <f>IF($A131&lt;&gt;0,VLOOKUP($A131,'0.Productos'!$A$3:$GG$587,'0.Productos'!BV$1+1,0),"")</f>
        <v/>
      </c>
      <c r="AE131" s="133" t="str">
        <f>IF($A131&lt;&gt;0,VLOOKUP($A131,'0.Productos'!$A$3:$GG$587,'0.Productos'!BW$1+1,0),"")</f>
        <v/>
      </c>
      <c r="AF131" s="133" t="str">
        <f>IF($A131&lt;&gt;0,VLOOKUP($A131,'0.Productos'!$A$3:$GG$587,'0.Productos'!BX$1+1,0),"")</f>
        <v/>
      </c>
      <c r="AG131" s="133" t="str">
        <f>IF($A131&lt;&gt;0,VLOOKUP($A131,'0.Productos'!$A$3:$GG$587,'0.Productos'!BY$1+1,0),"")</f>
        <v/>
      </c>
      <c r="AH131" s="133" t="str">
        <f>IF($A131&lt;&gt;0,VLOOKUP($A131,'0.Productos'!$A$3:$GG$587,'0.Productos'!BZ$1+1,0),"")</f>
        <v/>
      </c>
      <c r="AI131" s="133" t="str">
        <f>IF($A131&lt;&gt;0,VLOOKUP($A131,'0.Productos'!$A$3:$GG$587,'0.Productos'!CA$1+1,0),"")</f>
        <v/>
      </c>
      <c r="AJ131" s="133" t="str">
        <f>IF($A131&lt;&gt;0,VLOOKUP($A131,'0.Productos'!$A$3:$GG$587,'0.Productos'!CB$1+1,0),"")</f>
        <v/>
      </c>
      <c r="AK131" s="133" t="str">
        <f>IF($A131&lt;&gt;0,VLOOKUP($A131,'0.Productos'!$A$3:$GG$587,'0.Productos'!CC$1+1,0),"")</f>
        <v/>
      </c>
      <c r="AL131" s="133" t="str">
        <f>IF($A131&lt;&gt;0,VLOOKUP($A131,'0.Productos'!$A$3:$GG$587,'0.Productos'!CD$1+1,0),"")</f>
        <v/>
      </c>
      <c r="AM131" s="133" t="str">
        <f>IF($A131&lt;&gt;0,VLOOKUP($A131,'0.Productos'!$A$3:$GG$587,'0.Productos'!CE$1+1,0),"")</f>
        <v/>
      </c>
      <c r="AN131" s="133" t="str">
        <f>IF($A131&lt;&gt;0,VLOOKUP($A131,'0.Productos'!$A$3:$GG$587,'0.Productos'!CF$1+1,0),"")</f>
        <v/>
      </c>
      <c r="AO131" s="133" t="str">
        <f>IF($A131&lt;&gt;0,VLOOKUP($A131,'0.Productos'!$A$3:$GG$587,'0.Productos'!CG$1+1,0),"")</f>
        <v/>
      </c>
      <c r="AP131" s="133" t="str">
        <f>IF($A131&lt;&gt;0,VLOOKUP($A131,'0.Productos'!$A$3:$GG$587,'0.Productos'!CH$1+1,0),"")</f>
        <v/>
      </c>
      <c r="AQ131" s="133" t="str">
        <f>IF($A131&lt;&gt;0,VLOOKUP($A131,'0.Productos'!$A$3:$GG$587,'0.Productos'!CI$1+1,0),"")</f>
        <v/>
      </c>
      <c r="AR131" s="133" t="str">
        <f>IF($A131&lt;&gt;0,VLOOKUP($A131,'0.Productos'!$A$3:$GG$587,'0.Productos'!CJ$1+1,0),"")</f>
        <v/>
      </c>
      <c r="AS131" s="133" t="str">
        <f>IF($A131&lt;&gt;0,VLOOKUP($A131,'0.Productos'!$A$3:$GG$587,'0.Productos'!CK$1+1,0),"")</f>
        <v/>
      </c>
      <c r="AT131" s="133" t="str">
        <f>IF($A131&lt;&gt;0,VLOOKUP($A131,'0.Productos'!$A$3:$GG$587,'0.Productos'!CL$1+1,0),"")</f>
        <v/>
      </c>
      <c r="AU131" s="133" t="str">
        <f>IF($A131&lt;&gt;0,VLOOKUP($A131,'0.Productos'!$A$3:$GG$587,'0.Productos'!CM$1+1,0),"")</f>
        <v/>
      </c>
      <c r="AV131" s="133" t="str">
        <f>IF($A131&lt;&gt;0,VLOOKUP($A131,'0.Productos'!$A$3:$GG$587,'0.Productos'!CN$1+1,0),"")</f>
        <v/>
      </c>
      <c r="AW131" s="133" t="str">
        <f>IF($A131&lt;&gt;0,VLOOKUP($A131,'0.Productos'!$A$3:$GG$587,'0.Productos'!CO$1+1,0),"")</f>
        <v/>
      </c>
      <c r="AX131" s="133" t="str">
        <f>IF($A131&lt;&gt;0,VLOOKUP($A131,'0.Productos'!$A$3:$GG$587,'0.Productos'!CP$1+1,0),"")</f>
        <v/>
      </c>
      <c r="AY131" s="133" t="str">
        <f>IF($A131&lt;&gt;0,VLOOKUP($A131,'0.Productos'!$A$3:$GG$587,'0.Productos'!CQ$1+1,0),"")</f>
        <v/>
      </c>
      <c r="AZ131" s="133" t="str">
        <f>IF($A131&lt;&gt;0,VLOOKUP($A131,'0.Productos'!$A$3:$GG$587,'0.Productos'!CR$1+1,0),"")</f>
        <v/>
      </c>
      <c r="BA131" s="133" t="str">
        <f>IF($A131&lt;&gt;0,VLOOKUP($A131,'0.Productos'!$A$3:$GG$587,'0.Productos'!CS$1+1,0),"")</f>
        <v/>
      </c>
      <c r="BB131" s="133" t="str">
        <f>IF($A131&lt;&gt;0,VLOOKUP($A131,'0.Productos'!$A$3:$GG$587,'0.Productos'!CT$1+1,0),"")</f>
        <v/>
      </c>
      <c r="BC131" s="133" t="str">
        <f>IF($A131&lt;&gt;0,VLOOKUP($A131,'0.Productos'!$A$3:$GG$587,'0.Productos'!CU$1+1,0),"")</f>
        <v/>
      </c>
      <c r="BD131" s="133" t="str">
        <f>IF($A131&lt;&gt;0,VLOOKUP($A131,'0.Productos'!$A$3:$GG$587,'0.Productos'!CV$1+1,0),"")</f>
        <v/>
      </c>
      <c r="BE131" s="133" t="str">
        <f>IF($A131&lt;&gt;0,VLOOKUP($A131,'0.Productos'!$A$3:$GG$587,'0.Productos'!CW$1+1,0),"")</f>
        <v/>
      </c>
      <c r="BF131" s="133" t="str">
        <f>IF($A131&lt;&gt;0,VLOOKUP($A131,'0.Productos'!$A$3:$GG$587,'0.Productos'!CX$1+1,0),"")</f>
        <v/>
      </c>
      <c r="BG131" s="133" t="str">
        <f>IF($A131&lt;&gt;0,VLOOKUP($A131,'0.Productos'!$A$3:$GG$587,'0.Productos'!CY$1+1,0),"")</f>
        <v/>
      </c>
      <c r="BH131" s="133" t="str">
        <f>IF($A131&lt;&gt;0,VLOOKUP($A131,'0.Productos'!$A$3:$GG$587,'0.Productos'!CZ$1+1,0),"")</f>
        <v/>
      </c>
      <c r="BI131" s="133" t="str">
        <f>IF($A131&lt;&gt;0,VLOOKUP($A131,'0.Productos'!$A$3:$GG$587,'0.Productos'!DA$1+1,0),"")</f>
        <v/>
      </c>
      <c r="BJ131" s="133" t="str">
        <f>IF($A131&lt;&gt;0,VLOOKUP($A131,'0.Productos'!$A$3:$GG$587,'0.Productos'!DB$1+1,0),"")</f>
        <v/>
      </c>
      <c r="BK131" s="133" t="str">
        <f>IF($A131&lt;&gt;0,VLOOKUP($A131,'0.Productos'!$A$3:$GG$587,'0.Productos'!DC$1+1,0),"")</f>
        <v/>
      </c>
      <c r="BL131" s="133" t="str">
        <f>IF($A131&lt;&gt;0,VLOOKUP($A131,'0.Productos'!$A$3:$GG$587,'0.Productos'!DD$1+1,0),"")</f>
        <v/>
      </c>
      <c r="BM131" s="133" t="str">
        <f>IF($A131&lt;&gt;0,VLOOKUP($A131,'0.Productos'!$A$3:$GG$587,'0.Productos'!DE$1+1,0),"")</f>
        <v/>
      </c>
      <c r="BN131" s="133" t="str">
        <f>IF($A131&lt;&gt;0,VLOOKUP($A131,'0.Productos'!$A$3:$GG$587,'0.Productos'!DF$1+1,0),"")</f>
        <v/>
      </c>
      <c r="BO131" s="133" t="str">
        <f>IF($A131&lt;&gt;0,VLOOKUP($A131,'0.Productos'!$A$3:$GG$587,'0.Productos'!DG$1+1,0),"")</f>
        <v/>
      </c>
      <c r="BP131" s="133" t="str">
        <f>IF($A131&lt;&gt;0,VLOOKUP($A131,'0.Productos'!$A$3:$GG$587,'0.Productos'!DH$1+1,0),"")</f>
        <v/>
      </c>
      <c r="BQ131" s="133" t="str">
        <f>IF($A131&lt;&gt;0,VLOOKUP($A131,'0.Productos'!$A$3:$GG$587,'0.Productos'!DI$1+1,0),"")</f>
        <v/>
      </c>
      <c r="BR131" s="133" t="str">
        <f>IF($A131&lt;&gt;0,VLOOKUP($A131,'0.Productos'!$A$3:$GG$587,'0.Productos'!DJ$1+1,0),"")</f>
        <v/>
      </c>
      <c r="BS131" s="133" t="str">
        <f>IF($A131&lt;&gt;0,VLOOKUP($A131,'0.Productos'!$A$3:$GG$587,'0.Productos'!DK$1+1,0),"")</f>
        <v/>
      </c>
      <c r="BT131" s="133" t="str">
        <f>IF($A131&lt;&gt;0,VLOOKUP($A131,'0.Productos'!$A$3:$GG$587,'0.Productos'!DL$1+1,0),"")</f>
        <v/>
      </c>
    </row>
    <row r="132" spans="1:72" x14ac:dyDescent="0.25">
      <c r="A132" s="17">
        <f>'0.Consolidado general'!A132</f>
        <v>0</v>
      </c>
      <c r="B132" s="133" t="str">
        <f>IF($A132&lt;&gt;0,VLOOKUP($A132,'0.Productos'!$A$3:$GG$587,'0.Productos'!AT$1+1,0),"")</f>
        <v/>
      </c>
      <c r="C132" s="133" t="str">
        <f>IF($A132&lt;&gt;0,VLOOKUP($A132,'0.Productos'!$A$3:$GG$587,'0.Productos'!AU$1+1,0),"")</f>
        <v/>
      </c>
      <c r="D132" s="133" t="str">
        <f>IF($A132&lt;&gt;0,VLOOKUP($A132,'0.Productos'!$A$3:$GG$587,'0.Productos'!AV$1+1,0),"")</f>
        <v/>
      </c>
      <c r="E132" s="133" t="str">
        <f>IF($A132&lt;&gt;0,VLOOKUP($A132,'0.Productos'!$A$3:$GG$587,'0.Productos'!AW$1+1,0),"")</f>
        <v/>
      </c>
      <c r="F132" s="133" t="str">
        <f>IF($A132&lt;&gt;0,VLOOKUP($A132,'0.Productos'!$A$3:$GG$587,'0.Productos'!AX$1+1,0),"")</f>
        <v/>
      </c>
      <c r="G132" s="133" t="str">
        <f>IF($A132&lt;&gt;0,VLOOKUP($A132,'0.Productos'!$A$3:$GG$587,'0.Productos'!AY$1+1,0),"")</f>
        <v/>
      </c>
      <c r="H132" s="133" t="str">
        <f>IF($A132&lt;&gt;0,VLOOKUP($A132,'0.Productos'!$A$3:$GG$587,'0.Productos'!AZ$1+1,0),"")</f>
        <v/>
      </c>
      <c r="I132" s="133" t="str">
        <f>IF($A132&lt;&gt;0,VLOOKUP($A132,'0.Productos'!$A$3:$GG$587,'0.Productos'!BA$1+1,0),"")</f>
        <v/>
      </c>
      <c r="J132" s="133" t="str">
        <f>IF($A132&lt;&gt;0,VLOOKUP($A132,'0.Productos'!$A$3:$GG$587,'0.Productos'!BB$1+1,0),"")</f>
        <v/>
      </c>
      <c r="K132" s="133" t="str">
        <f>IF($A132&lt;&gt;0,VLOOKUP($A132,'0.Productos'!$A$3:$GG$587,'0.Productos'!BC$1+1,0),"")</f>
        <v/>
      </c>
      <c r="L132" s="133" t="str">
        <f>IF($A132&lt;&gt;0,VLOOKUP($A132,'0.Productos'!$A$3:$GG$587,'0.Productos'!BD$1+1,0),"")</f>
        <v/>
      </c>
      <c r="M132" s="133" t="str">
        <f>IF($A132&lt;&gt;0,VLOOKUP($A132,'0.Productos'!$A$3:$GG$587,'0.Productos'!BE$1+1,0),"")</f>
        <v/>
      </c>
      <c r="N132" s="133" t="str">
        <f>IF($A132&lt;&gt;0,VLOOKUP($A132,'0.Productos'!$A$3:$GG$587,'0.Productos'!BF$1+1,0),"")</f>
        <v/>
      </c>
      <c r="O132" s="133" t="str">
        <f>IF($A132&lt;&gt;0,VLOOKUP($A132,'0.Productos'!$A$3:$GG$587,'0.Productos'!BG$1+1,0),"")</f>
        <v/>
      </c>
      <c r="P132" s="133" t="str">
        <f>IF($A132&lt;&gt;0,VLOOKUP($A132,'0.Productos'!$A$3:$GG$587,'0.Productos'!BH$1+1,0),"")</f>
        <v/>
      </c>
      <c r="Q132" s="133" t="str">
        <f>IF($A132&lt;&gt;0,VLOOKUP($A132,'0.Productos'!$A$3:$GG$587,'0.Productos'!BI$1+1,0),"")</f>
        <v/>
      </c>
      <c r="R132" s="133" t="str">
        <f>IF($A132&lt;&gt;0,VLOOKUP($A132,'0.Productos'!$A$3:$GG$587,'0.Productos'!BJ$1+1,0),"")</f>
        <v/>
      </c>
      <c r="S132" s="133" t="str">
        <f>IF($A132&lt;&gt;0,VLOOKUP($A132,'0.Productos'!$A$3:$GG$587,'0.Productos'!BK$1+1,0),"")</f>
        <v/>
      </c>
      <c r="T132" s="133" t="str">
        <f>IF($A132&lt;&gt;0,VLOOKUP($A132,'0.Productos'!$A$3:$GG$587,'0.Productos'!BL$1+1,0),"")</f>
        <v/>
      </c>
      <c r="U132" s="133" t="str">
        <f>IF($A132&lt;&gt;0,VLOOKUP($A132,'0.Productos'!$A$3:$GG$587,'0.Productos'!BM$1+1,0),"")</f>
        <v/>
      </c>
      <c r="V132" s="133" t="str">
        <f>IF($A132&lt;&gt;0,VLOOKUP($A132,'0.Productos'!$A$3:$GG$587,'0.Productos'!BN$1+1,0),"")</f>
        <v/>
      </c>
      <c r="W132" s="133" t="str">
        <f>IF($A132&lt;&gt;0,VLOOKUP($A132,'0.Productos'!$A$3:$GG$587,'0.Productos'!BO$1+1,0),"")</f>
        <v/>
      </c>
      <c r="X132" s="133" t="str">
        <f>IF($A132&lt;&gt;0,VLOOKUP($A132,'0.Productos'!$A$3:$GG$587,'0.Productos'!BP$1+1,0),"")</f>
        <v/>
      </c>
      <c r="Y132" s="133" t="str">
        <f>IF($A132&lt;&gt;0,VLOOKUP($A132,'0.Productos'!$A$3:$GG$587,'0.Productos'!BQ$1+1,0),"")</f>
        <v/>
      </c>
      <c r="Z132" s="133" t="str">
        <f>IF($A132&lt;&gt;0,VLOOKUP($A132,'0.Productos'!$A$3:$GG$587,'0.Productos'!BR$1+1,0),"")</f>
        <v/>
      </c>
      <c r="AA132" s="133" t="str">
        <f>IF($A132&lt;&gt;0,VLOOKUP($A132,'0.Productos'!$A$3:$GG$587,'0.Productos'!BS$1+1,0),"")</f>
        <v/>
      </c>
      <c r="AB132" s="133" t="str">
        <f>IF($A132&lt;&gt;0,VLOOKUP($A132,'0.Productos'!$A$3:$GG$587,'0.Productos'!BT$1+1,0),"")</f>
        <v/>
      </c>
      <c r="AC132" s="133" t="str">
        <f>IF($A132&lt;&gt;0,VLOOKUP($A132,'0.Productos'!$A$3:$GG$587,'0.Productos'!BU$1+1,0),"")</f>
        <v/>
      </c>
      <c r="AD132" s="133" t="str">
        <f>IF($A132&lt;&gt;0,VLOOKUP($A132,'0.Productos'!$A$3:$GG$587,'0.Productos'!BV$1+1,0),"")</f>
        <v/>
      </c>
      <c r="AE132" s="133" t="str">
        <f>IF($A132&lt;&gt;0,VLOOKUP($A132,'0.Productos'!$A$3:$GG$587,'0.Productos'!BW$1+1,0),"")</f>
        <v/>
      </c>
      <c r="AF132" s="133" t="str">
        <f>IF($A132&lt;&gt;0,VLOOKUP($A132,'0.Productos'!$A$3:$GG$587,'0.Productos'!BX$1+1,0),"")</f>
        <v/>
      </c>
      <c r="AG132" s="133" t="str">
        <f>IF($A132&lt;&gt;0,VLOOKUP($A132,'0.Productos'!$A$3:$GG$587,'0.Productos'!BY$1+1,0),"")</f>
        <v/>
      </c>
      <c r="AH132" s="133" t="str">
        <f>IF($A132&lt;&gt;0,VLOOKUP($A132,'0.Productos'!$A$3:$GG$587,'0.Productos'!BZ$1+1,0),"")</f>
        <v/>
      </c>
      <c r="AI132" s="133" t="str">
        <f>IF($A132&lt;&gt;0,VLOOKUP($A132,'0.Productos'!$A$3:$GG$587,'0.Productos'!CA$1+1,0),"")</f>
        <v/>
      </c>
      <c r="AJ132" s="133" t="str">
        <f>IF($A132&lt;&gt;0,VLOOKUP($A132,'0.Productos'!$A$3:$GG$587,'0.Productos'!CB$1+1,0),"")</f>
        <v/>
      </c>
      <c r="AK132" s="133" t="str">
        <f>IF($A132&lt;&gt;0,VLOOKUP($A132,'0.Productos'!$A$3:$GG$587,'0.Productos'!CC$1+1,0),"")</f>
        <v/>
      </c>
      <c r="AL132" s="133" t="str">
        <f>IF($A132&lt;&gt;0,VLOOKUP($A132,'0.Productos'!$A$3:$GG$587,'0.Productos'!CD$1+1,0),"")</f>
        <v/>
      </c>
      <c r="AM132" s="133" t="str">
        <f>IF($A132&lt;&gt;0,VLOOKUP($A132,'0.Productos'!$A$3:$GG$587,'0.Productos'!CE$1+1,0),"")</f>
        <v/>
      </c>
      <c r="AN132" s="133" t="str">
        <f>IF($A132&lt;&gt;0,VLOOKUP($A132,'0.Productos'!$A$3:$GG$587,'0.Productos'!CF$1+1,0),"")</f>
        <v/>
      </c>
      <c r="AO132" s="133" t="str">
        <f>IF($A132&lt;&gt;0,VLOOKUP($A132,'0.Productos'!$A$3:$GG$587,'0.Productos'!CG$1+1,0),"")</f>
        <v/>
      </c>
      <c r="AP132" s="133" t="str">
        <f>IF($A132&lt;&gt;0,VLOOKUP($A132,'0.Productos'!$A$3:$GG$587,'0.Productos'!CH$1+1,0),"")</f>
        <v/>
      </c>
      <c r="AQ132" s="133" t="str">
        <f>IF($A132&lt;&gt;0,VLOOKUP($A132,'0.Productos'!$A$3:$GG$587,'0.Productos'!CI$1+1,0),"")</f>
        <v/>
      </c>
      <c r="AR132" s="133" t="str">
        <f>IF($A132&lt;&gt;0,VLOOKUP($A132,'0.Productos'!$A$3:$GG$587,'0.Productos'!CJ$1+1,0),"")</f>
        <v/>
      </c>
      <c r="AS132" s="133" t="str">
        <f>IF($A132&lt;&gt;0,VLOOKUP($A132,'0.Productos'!$A$3:$GG$587,'0.Productos'!CK$1+1,0),"")</f>
        <v/>
      </c>
      <c r="AT132" s="133" t="str">
        <f>IF($A132&lt;&gt;0,VLOOKUP($A132,'0.Productos'!$A$3:$GG$587,'0.Productos'!CL$1+1,0),"")</f>
        <v/>
      </c>
      <c r="AU132" s="133" t="str">
        <f>IF($A132&lt;&gt;0,VLOOKUP($A132,'0.Productos'!$A$3:$GG$587,'0.Productos'!CM$1+1,0),"")</f>
        <v/>
      </c>
      <c r="AV132" s="133" t="str">
        <f>IF($A132&lt;&gt;0,VLOOKUP($A132,'0.Productos'!$A$3:$GG$587,'0.Productos'!CN$1+1,0),"")</f>
        <v/>
      </c>
      <c r="AW132" s="133" t="str">
        <f>IF($A132&lt;&gt;0,VLOOKUP($A132,'0.Productos'!$A$3:$GG$587,'0.Productos'!CO$1+1,0),"")</f>
        <v/>
      </c>
      <c r="AX132" s="133" t="str">
        <f>IF($A132&lt;&gt;0,VLOOKUP($A132,'0.Productos'!$A$3:$GG$587,'0.Productos'!CP$1+1,0),"")</f>
        <v/>
      </c>
      <c r="AY132" s="133" t="str">
        <f>IF($A132&lt;&gt;0,VLOOKUP($A132,'0.Productos'!$A$3:$GG$587,'0.Productos'!CQ$1+1,0),"")</f>
        <v/>
      </c>
      <c r="AZ132" s="133" t="str">
        <f>IF($A132&lt;&gt;0,VLOOKUP($A132,'0.Productos'!$A$3:$GG$587,'0.Productos'!CR$1+1,0),"")</f>
        <v/>
      </c>
      <c r="BA132" s="133" t="str">
        <f>IF($A132&lt;&gt;0,VLOOKUP($A132,'0.Productos'!$A$3:$GG$587,'0.Productos'!CS$1+1,0),"")</f>
        <v/>
      </c>
      <c r="BB132" s="133" t="str">
        <f>IF($A132&lt;&gt;0,VLOOKUP($A132,'0.Productos'!$A$3:$GG$587,'0.Productos'!CT$1+1,0),"")</f>
        <v/>
      </c>
      <c r="BC132" s="133" t="str">
        <f>IF($A132&lt;&gt;0,VLOOKUP($A132,'0.Productos'!$A$3:$GG$587,'0.Productos'!CU$1+1,0),"")</f>
        <v/>
      </c>
      <c r="BD132" s="133" t="str">
        <f>IF($A132&lt;&gt;0,VLOOKUP($A132,'0.Productos'!$A$3:$GG$587,'0.Productos'!CV$1+1,0),"")</f>
        <v/>
      </c>
      <c r="BE132" s="133" t="str">
        <f>IF($A132&lt;&gt;0,VLOOKUP($A132,'0.Productos'!$A$3:$GG$587,'0.Productos'!CW$1+1,0),"")</f>
        <v/>
      </c>
      <c r="BF132" s="133" t="str">
        <f>IF($A132&lt;&gt;0,VLOOKUP($A132,'0.Productos'!$A$3:$GG$587,'0.Productos'!CX$1+1,0),"")</f>
        <v/>
      </c>
      <c r="BG132" s="133" t="str">
        <f>IF($A132&lt;&gt;0,VLOOKUP($A132,'0.Productos'!$A$3:$GG$587,'0.Productos'!CY$1+1,0),"")</f>
        <v/>
      </c>
      <c r="BH132" s="133" t="str">
        <f>IF($A132&lt;&gt;0,VLOOKUP($A132,'0.Productos'!$A$3:$GG$587,'0.Productos'!CZ$1+1,0),"")</f>
        <v/>
      </c>
      <c r="BI132" s="133" t="str">
        <f>IF($A132&lt;&gt;0,VLOOKUP($A132,'0.Productos'!$A$3:$GG$587,'0.Productos'!DA$1+1,0),"")</f>
        <v/>
      </c>
      <c r="BJ132" s="133" t="str">
        <f>IF($A132&lt;&gt;0,VLOOKUP($A132,'0.Productos'!$A$3:$GG$587,'0.Productos'!DB$1+1,0),"")</f>
        <v/>
      </c>
      <c r="BK132" s="133" t="str">
        <f>IF($A132&lt;&gt;0,VLOOKUP($A132,'0.Productos'!$A$3:$GG$587,'0.Productos'!DC$1+1,0),"")</f>
        <v/>
      </c>
      <c r="BL132" s="133" t="str">
        <f>IF($A132&lt;&gt;0,VLOOKUP($A132,'0.Productos'!$A$3:$GG$587,'0.Productos'!DD$1+1,0),"")</f>
        <v/>
      </c>
      <c r="BM132" s="133" t="str">
        <f>IF($A132&lt;&gt;0,VLOOKUP($A132,'0.Productos'!$A$3:$GG$587,'0.Productos'!DE$1+1,0),"")</f>
        <v/>
      </c>
      <c r="BN132" s="133" t="str">
        <f>IF($A132&lt;&gt;0,VLOOKUP($A132,'0.Productos'!$A$3:$GG$587,'0.Productos'!DF$1+1,0),"")</f>
        <v/>
      </c>
      <c r="BO132" s="133" t="str">
        <f>IF($A132&lt;&gt;0,VLOOKUP($A132,'0.Productos'!$A$3:$GG$587,'0.Productos'!DG$1+1,0),"")</f>
        <v/>
      </c>
      <c r="BP132" s="133" t="str">
        <f>IF($A132&lt;&gt;0,VLOOKUP($A132,'0.Productos'!$A$3:$GG$587,'0.Productos'!DH$1+1,0),"")</f>
        <v/>
      </c>
      <c r="BQ132" s="133" t="str">
        <f>IF($A132&lt;&gt;0,VLOOKUP($A132,'0.Productos'!$A$3:$GG$587,'0.Productos'!DI$1+1,0),"")</f>
        <v/>
      </c>
      <c r="BR132" s="133" t="str">
        <f>IF($A132&lt;&gt;0,VLOOKUP($A132,'0.Productos'!$A$3:$GG$587,'0.Productos'!DJ$1+1,0),"")</f>
        <v/>
      </c>
      <c r="BS132" s="133" t="str">
        <f>IF($A132&lt;&gt;0,VLOOKUP($A132,'0.Productos'!$A$3:$GG$587,'0.Productos'!DK$1+1,0),"")</f>
        <v/>
      </c>
      <c r="BT132" s="133" t="str">
        <f>IF($A132&lt;&gt;0,VLOOKUP($A132,'0.Productos'!$A$3:$GG$587,'0.Productos'!DL$1+1,0),"")</f>
        <v/>
      </c>
    </row>
    <row r="133" spans="1:72" x14ac:dyDescent="0.25">
      <c r="A133" s="17">
        <f>'0.Consolidado general'!A133</f>
        <v>0</v>
      </c>
      <c r="B133" s="133" t="str">
        <f>IF($A133&lt;&gt;0,VLOOKUP($A133,'0.Productos'!$A$3:$GG$587,'0.Productos'!AT$1+1,0),"")</f>
        <v/>
      </c>
      <c r="C133" s="133" t="str">
        <f>IF($A133&lt;&gt;0,VLOOKUP($A133,'0.Productos'!$A$3:$GG$587,'0.Productos'!AU$1+1,0),"")</f>
        <v/>
      </c>
      <c r="D133" s="133" t="str">
        <f>IF($A133&lt;&gt;0,VLOOKUP($A133,'0.Productos'!$A$3:$GG$587,'0.Productos'!AV$1+1,0),"")</f>
        <v/>
      </c>
      <c r="E133" s="133" t="str">
        <f>IF($A133&lt;&gt;0,VLOOKUP($A133,'0.Productos'!$A$3:$GG$587,'0.Productos'!AW$1+1,0),"")</f>
        <v/>
      </c>
      <c r="F133" s="133" t="str">
        <f>IF($A133&lt;&gt;0,VLOOKUP($A133,'0.Productos'!$A$3:$GG$587,'0.Productos'!AX$1+1,0),"")</f>
        <v/>
      </c>
      <c r="G133" s="133" t="str">
        <f>IF($A133&lt;&gt;0,VLOOKUP($A133,'0.Productos'!$A$3:$GG$587,'0.Productos'!AY$1+1,0),"")</f>
        <v/>
      </c>
      <c r="H133" s="133" t="str">
        <f>IF($A133&lt;&gt;0,VLOOKUP($A133,'0.Productos'!$A$3:$GG$587,'0.Productos'!AZ$1+1,0),"")</f>
        <v/>
      </c>
      <c r="I133" s="133" t="str">
        <f>IF($A133&lt;&gt;0,VLOOKUP($A133,'0.Productos'!$A$3:$GG$587,'0.Productos'!BA$1+1,0),"")</f>
        <v/>
      </c>
      <c r="J133" s="133" t="str">
        <f>IF($A133&lt;&gt;0,VLOOKUP($A133,'0.Productos'!$A$3:$GG$587,'0.Productos'!BB$1+1,0),"")</f>
        <v/>
      </c>
      <c r="K133" s="133" t="str">
        <f>IF($A133&lt;&gt;0,VLOOKUP($A133,'0.Productos'!$A$3:$GG$587,'0.Productos'!BC$1+1,0),"")</f>
        <v/>
      </c>
      <c r="L133" s="133" t="str">
        <f>IF($A133&lt;&gt;0,VLOOKUP($A133,'0.Productos'!$A$3:$GG$587,'0.Productos'!BD$1+1,0),"")</f>
        <v/>
      </c>
      <c r="M133" s="133" t="str">
        <f>IF($A133&lt;&gt;0,VLOOKUP($A133,'0.Productos'!$A$3:$GG$587,'0.Productos'!BE$1+1,0),"")</f>
        <v/>
      </c>
      <c r="N133" s="133" t="str">
        <f>IF($A133&lt;&gt;0,VLOOKUP($A133,'0.Productos'!$A$3:$GG$587,'0.Productos'!BF$1+1,0),"")</f>
        <v/>
      </c>
      <c r="O133" s="133" t="str">
        <f>IF($A133&lt;&gt;0,VLOOKUP($A133,'0.Productos'!$A$3:$GG$587,'0.Productos'!BG$1+1,0),"")</f>
        <v/>
      </c>
      <c r="P133" s="133" t="str">
        <f>IF($A133&lt;&gt;0,VLOOKUP($A133,'0.Productos'!$A$3:$GG$587,'0.Productos'!BH$1+1,0),"")</f>
        <v/>
      </c>
      <c r="Q133" s="133" t="str">
        <f>IF($A133&lt;&gt;0,VLOOKUP($A133,'0.Productos'!$A$3:$GG$587,'0.Productos'!BI$1+1,0),"")</f>
        <v/>
      </c>
      <c r="R133" s="133" t="str">
        <f>IF($A133&lt;&gt;0,VLOOKUP($A133,'0.Productos'!$A$3:$GG$587,'0.Productos'!BJ$1+1,0),"")</f>
        <v/>
      </c>
      <c r="S133" s="133" t="str">
        <f>IF($A133&lt;&gt;0,VLOOKUP($A133,'0.Productos'!$A$3:$GG$587,'0.Productos'!BK$1+1,0),"")</f>
        <v/>
      </c>
      <c r="T133" s="133" t="str">
        <f>IF($A133&lt;&gt;0,VLOOKUP($A133,'0.Productos'!$A$3:$GG$587,'0.Productos'!BL$1+1,0),"")</f>
        <v/>
      </c>
      <c r="U133" s="133" t="str">
        <f>IF($A133&lt;&gt;0,VLOOKUP($A133,'0.Productos'!$A$3:$GG$587,'0.Productos'!BM$1+1,0),"")</f>
        <v/>
      </c>
      <c r="V133" s="133" t="str">
        <f>IF($A133&lt;&gt;0,VLOOKUP($A133,'0.Productos'!$A$3:$GG$587,'0.Productos'!BN$1+1,0),"")</f>
        <v/>
      </c>
      <c r="W133" s="133" t="str">
        <f>IF($A133&lt;&gt;0,VLOOKUP($A133,'0.Productos'!$A$3:$GG$587,'0.Productos'!BO$1+1,0),"")</f>
        <v/>
      </c>
      <c r="X133" s="133" t="str">
        <f>IF($A133&lt;&gt;0,VLOOKUP($A133,'0.Productos'!$A$3:$GG$587,'0.Productos'!BP$1+1,0),"")</f>
        <v/>
      </c>
      <c r="Y133" s="133" t="str">
        <f>IF($A133&lt;&gt;0,VLOOKUP($A133,'0.Productos'!$A$3:$GG$587,'0.Productos'!BQ$1+1,0),"")</f>
        <v/>
      </c>
      <c r="Z133" s="133" t="str">
        <f>IF($A133&lt;&gt;0,VLOOKUP($A133,'0.Productos'!$A$3:$GG$587,'0.Productos'!BR$1+1,0),"")</f>
        <v/>
      </c>
      <c r="AA133" s="133" t="str">
        <f>IF($A133&lt;&gt;0,VLOOKUP($A133,'0.Productos'!$A$3:$GG$587,'0.Productos'!BS$1+1,0),"")</f>
        <v/>
      </c>
      <c r="AB133" s="133" t="str">
        <f>IF($A133&lt;&gt;0,VLOOKUP($A133,'0.Productos'!$A$3:$GG$587,'0.Productos'!BT$1+1,0),"")</f>
        <v/>
      </c>
      <c r="AC133" s="133" t="str">
        <f>IF($A133&lt;&gt;0,VLOOKUP($A133,'0.Productos'!$A$3:$GG$587,'0.Productos'!BU$1+1,0),"")</f>
        <v/>
      </c>
      <c r="AD133" s="133" t="str">
        <f>IF($A133&lt;&gt;0,VLOOKUP($A133,'0.Productos'!$A$3:$GG$587,'0.Productos'!BV$1+1,0),"")</f>
        <v/>
      </c>
      <c r="AE133" s="133" t="str">
        <f>IF($A133&lt;&gt;0,VLOOKUP($A133,'0.Productos'!$A$3:$GG$587,'0.Productos'!BW$1+1,0),"")</f>
        <v/>
      </c>
      <c r="AF133" s="133" t="str">
        <f>IF($A133&lt;&gt;0,VLOOKUP($A133,'0.Productos'!$A$3:$GG$587,'0.Productos'!BX$1+1,0),"")</f>
        <v/>
      </c>
      <c r="AG133" s="133" t="str">
        <f>IF($A133&lt;&gt;0,VLOOKUP($A133,'0.Productos'!$A$3:$GG$587,'0.Productos'!BY$1+1,0),"")</f>
        <v/>
      </c>
      <c r="AH133" s="133" t="str">
        <f>IF($A133&lt;&gt;0,VLOOKUP($A133,'0.Productos'!$A$3:$GG$587,'0.Productos'!BZ$1+1,0),"")</f>
        <v/>
      </c>
      <c r="AI133" s="133" t="str">
        <f>IF($A133&lt;&gt;0,VLOOKUP($A133,'0.Productos'!$A$3:$GG$587,'0.Productos'!CA$1+1,0),"")</f>
        <v/>
      </c>
      <c r="AJ133" s="133" t="str">
        <f>IF($A133&lt;&gt;0,VLOOKUP($A133,'0.Productos'!$A$3:$GG$587,'0.Productos'!CB$1+1,0),"")</f>
        <v/>
      </c>
      <c r="AK133" s="133" t="str">
        <f>IF($A133&lt;&gt;0,VLOOKUP($A133,'0.Productos'!$A$3:$GG$587,'0.Productos'!CC$1+1,0),"")</f>
        <v/>
      </c>
      <c r="AL133" s="133" t="str">
        <f>IF($A133&lt;&gt;0,VLOOKUP($A133,'0.Productos'!$A$3:$GG$587,'0.Productos'!CD$1+1,0),"")</f>
        <v/>
      </c>
      <c r="AM133" s="133" t="str">
        <f>IF($A133&lt;&gt;0,VLOOKUP($A133,'0.Productos'!$A$3:$GG$587,'0.Productos'!CE$1+1,0),"")</f>
        <v/>
      </c>
      <c r="AN133" s="133" t="str">
        <f>IF($A133&lt;&gt;0,VLOOKUP($A133,'0.Productos'!$A$3:$GG$587,'0.Productos'!CF$1+1,0),"")</f>
        <v/>
      </c>
      <c r="AO133" s="133" t="str">
        <f>IF($A133&lt;&gt;0,VLOOKUP($A133,'0.Productos'!$A$3:$GG$587,'0.Productos'!CG$1+1,0),"")</f>
        <v/>
      </c>
      <c r="AP133" s="133" t="str">
        <f>IF($A133&lt;&gt;0,VLOOKUP($A133,'0.Productos'!$A$3:$GG$587,'0.Productos'!CH$1+1,0),"")</f>
        <v/>
      </c>
      <c r="AQ133" s="133" t="str">
        <f>IF($A133&lt;&gt;0,VLOOKUP($A133,'0.Productos'!$A$3:$GG$587,'0.Productos'!CI$1+1,0),"")</f>
        <v/>
      </c>
      <c r="AR133" s="133" t="str">
        <f>IF($A133&lt;&gt;0,VLOOKUP($A133,'0.Productos'!$A$3:$GG$587,'0.Productos'!CJ$1+1,0),"")</f>
        <v/>
      </c>
      <c r="AS133" s="133" t="str">
        <f>IF($A133&lt;&gt;0,VLOOKUP($A133,'0.Productos'!$A$3:$GG$587,'0.Productos'!CK$1+1,0),"")</f>
        <v/>
      </c>
      <c r="AT133" s="133" t="str">
        <f>IF($A133&lt;&gt;0,VLOOKUP($A133,'0.Productos'!$A$3:$GG$587,'0.Productos'!CL$1+1,0),"")</f>
        <v/>
      </c>
      <c r="AU133" s="133" t="str">
        <f>IF($A133&lt;&gt;0,VLOOKUP($A133,'0.Productos'!$A$3:$GG$587,'0.Productos'!CM$1+1,0),"")</f>
        <v/>
      </c>
      <c r="AV133" s="133" t="str">
        <f>IF($A133&lt;&gt;0,VLOOKUP($A133,'0.Productos'!$A$3:$GG$587,'0.Productos'!CN$1+1,0),"")</f>
        <v/>
      </c>
      <c r="AW133" s="133" t="str">
        <f>IF($A133&lt;&gt;0,VLOOKUP($A133,'0.Productos'!$A$3:$GG$587,'0.Productos'!CO$1+1,0),"")</f>
        <v/>
      </c>
      <c r="AX133" s="133" t="str">
        <f>IF($A133&lt;&gt;0,VLOOKUP($A133,'0.Productos'!$A$3:$GG$587,'0.Productos'!CP$1+1,0),"")</f>
        <v/>
      </c>
      <c r="AY133" s="133" t="str">
        <f>IF($A133&lt;&gt;0,VLOOKUP($A133,'0.Productos'!$A$3:$GG$587,'0.Productos'!CQ$1+1,0),"")</f>
        <v/>
      </c>
      <c r="AZ133" s="133" t="str">
        <f>IF($A133&lt;&gt;0,VLOOKUP($A133,'0.Productos'!$A$3:$GG$587,'0.Productos'!CR$1+1,0),"")</f>
        <v/>
      </c>
      <c r="BA133" s="133" t="str">
        <f>IF($A133&lt;&gt;0,VLOOKUP($A133,'0.Productos'!$A$3:$GG$587,'0.Productos'!CS$1+1,0),"")</f>
        <v/>
      </c>
      <c r="BB133" s="133" t="str">
        <f>IF($A133&lt;&gt;0,VLOOKUP($A133,'0.Productos'!$A$3:$GG$587,'0.Productos'!CT$1+1,0),"")</f>
        <v/>
      </c>
      <c r="BC133" s="133" t="str">
        <f>IF($A133&lt;&gt;0,VLOOKUP($A133,'0.Productos'!$A$3:$GG$587,'0.Productos'!CU$1+1,0),"")</f>
        <v/>
      </c>
      <c r="BD133" s="133" t="str">
        <f>IF($A133&lt;&gt;0,VLOOKUP($A133,'0.Productos'!$A$3:$GG$587,'0.Productos'!CV$1+1,0),"")</f>
        <v/>
      </c>
      <c r="BE133" s="133" t="str">
        <f>IF($A133&lt;&gt;0,VLOOKUP($A133,'0.Productos'!$A$3:$GG$587,'0.Productos'!CW$1+1,0),"")</f>
        <v/>
      </c>
      <c r="BF133" s="133" t="str">
        <f>IF($A133&lt;&gt;0,VLOOKUP($A133,'0.Productos'!$A$3:$GG$587,'0.Productos'!CX$1+1,0),"")</f>
        <v/>
      </c>
      <c r="BG133" s="133" t="str">
        <f>IF($A133&lt;&gt;0,VLOOKUP($A133,'0.Productos'!$A$3:$GG$587,'0.Productos'!CY$1+1,0),"")</f>
        <v/>
      </c>
      <c r="BH133" s="133" t="str">
        <f>IF($A133&lt;&gt;0,VLOOKUP($A133,'0.Productos'!$A$3:$GG$587,'0.Productos'!CZ$1+1,0),"")</f>
        <v/>
      </c>
      <c r="BI133" s="133" t="str">
        <f>IF($A133&lt;&gt;0,VLOOKUP($A133,'0.Productos'!$A$3:$GG$587,'0.Productos'!DA$1+1,0),"")</f>
        <v/>
      </c>
      <c r="BJ133" s="133" t="str">
        <f>IF($A133&lt;&gt;0,VLOOKUP($A133,'0.Productos'!$A$3:$GG$587,'0.Productos'!DB$1+1,0),"")</f>
        <v/>
      </c>
      <c r="BK133" s="133" t="str">
        <f>IF($A133&lt;&gt;0,VLOOKUP($A133,'0.Productos'!$A$3:$GG$587,'0.Productos'!DC$1+1,0),"")</f>
        <v/>
      </c>
      <c r="BL133" s="133" t="str">
        <f>IF($A133&lt;&gt;0,VLOOKUP($A133,'0.Productos'!$A$3:$GG$587,'0.Productos'!DD$1+1,0),"")</f>
        <v/>
      </c>
      <c r="BM133" s="133" t="str">
        <f>IF($A133&lt;&gt;0,VLOOKUP($A133,'0.Productos'!$A$3:$GG$587,'0.Productos'!DE$1+1,0),"")</f>
        <v/>
      </c>
      <c r="BN133" s="133" t="str">
        <f>IF($A133&lt;&gt;0,VLOOKUP($A133,'0.Productos'!$A$3:$GG$587,'0.Productos'!DF$1+1,0),"")</f>
        <v/>
      </c>
      <c r="BO133" s="133" t="str">
        <f>IF($A133&lt;&gt;0,VLOOKUP($A133,'0.Productos'!$A$3:$GG$587,'0.Productos'!DG$1+1,0),"")</f>
        <v/>
      </c>
      <c r="BP133" s="133" t="str">
        <f>IF($A133&lt;&gt;0,VLOOKUP($A133,'0.Productos'!$A$3:$GG$587,'0.Productos'!DH$1+1,0),"")</f>
        <v/>
      </c>
      <c r="BQ133" s="133" t="str">
        <f>IF($A133&lt;&gt;0,VLOOKUP($A133,'0.Productos'!$A$3:$GG$587,'0.Productos'!DI$1+1,0),"")</f>
        <v/>
      </c>
      <c r="BR133" s="133" t="str">
        <f>IF($A133&lt;&gt;0,VLOOKUP($A133,'0.Productos'!$A$3:$GG$587,'0.Productos'!DJ$1+1,0),"")</f>
        <v/>
      </c>
      <c r="BS133" s="133" t="str">
        <f>IF($A133&lt;&gt;0,VLOOKUP($A133,'0.Productos'!$A$3:$GG$587,'0.Productos'!DK$1+1,0),"")</f>
        <v/>
      </c>
      <c r="BT133" s="133" t="str">
        <f>IF($A133&lt;&gt;0,VLOOKUP($A133,'0.Productos'!$A$3:$GG$587,'0.Productos'!DL$1+1,0),"")</f>
        <v/>
      </c>
    </row>
    <row r="134" spans="1:72" x14ac:dyDescent="0.25">
      <c r="A134" s="17">
        <f>'0.Consolidado general'!A134</f>
        <v>0</v>
      </c>
      <c r="B134" s="133" t="str">
        <f>IF($A134&lt;&gt;0,VLOOKUP($A134,'0.Productos'!$A$3:$GG$587,'0.Productos'!AT$1+1,0),"")</f>
        <v/>
      </c>
      <c r="C134" s="133" t="str">
        <f>IF($A134&lt;&gt;0,VLOOKUP($A134,'0.Productos'!$A$3:$GG$587,'0.Productos'!AU$1+1,0),"")</f>
        <v/>
      </c>
      <c r="D134" s="133" t="str">
        <f>IF($A134&lt;&gt;0,VLOOKUP($A134,'0.Productos'!$A$3:$GG$587,'0.Productos'!AV$1+1,0),"")</f>
        <v/>
      </c>
      <c r="E134" s="133" t="str">
        <f>IF($A134&lt;&gt;0,VLOOKUP($A134,'0.Productos'!$A$3:$GG$587,'0.Productos'!AW$1+1,0),"")</f>
        <v/>
      </c>
      <c r="F134" s="133" t="str">
        <f>IF($A134&lt;&gt;0,VLOOKUP($A134,'0.Productos'!$A$3:$GG$587,'0.Productos'!AX$1+1,0),"")</f>
        <v/>
      </c>
      <c r="G134" s="133" t="str">
        <f>IF($A134&lt;&gt;0,VLOOKUP($A134,'0.Productos'!$A$3:$GG$587,'0.Productos'!AY$1+1,0),"")</f>
        <v/>
      </c>
      <c r="H134" s="133" t="str">
        <f>IF($A134&lt;&gt;0,VLOOKUP($A134,'0.Productos'!$A$3:$GG$587,'0.Productos'!AZ$1+1,0),"")</f>
        <v/>
      </c>
      <c r="I134" s="133" t="str">
        <f>IF($A134&lt;&gt;0,VLOOKUP($A134,'0.Productos'!$A$3:$GG$587,'0.Productos'!BA$1+1,0),"")</f>
        <v/>
      </c>
      <c r="J134" s="133" t="str">
        <f>IF($A134&lt;&gt;0,VLOOKUP($A134,'0.Productos'!$A$3:$GG$587,'0.Productos'!BB$1+1,0),"")</f>
        <v/>
      </c>
      <c r="K134" s="133" t="str">
        <f>IF($A134&lt;&gt;0,VLOOKUP($A134,'0.Productos'!$A$3:$GG$587,'0.Productos'!BC$1+1,0),"")</f>
        <v/>
      </c>
      <c r="L134" s="133" t="str">
        <f>IF($A134&lt;&gt;0,VLOOKUP($A134,'0.Productos'!$A$3:$GG$587,'0.Productos'!BD$1+1,0),"")</f>
        <v/>
      </c>
      <c r="M134" s="133" t="str">
        <f>IF($A134&lt;&gt;0,VLOOKUP($A134,'0.Productos'!$A$3:$GG$587,'0.Productos'!BE$1+1,0),"")</f>
        <v/>
      </c>
      <c r="N134" s="133" t="str">
        <f>IF($A134&lt;&gt;0,VLOOKUP($A134,'0.Productos'!$A$3:$GG$587,'0.Productos'!BF$1+1,0),"")</f>
        <v/>
      </c>
      <c r="O134" s="133" t="str">
        <f>IF($A134&lt;&gt;0,VLOOKUP($A134,'0.Productos'!$A$3:$GG$587,'0.Productos'!BG$1+1,0),"")</f>
        <v/>
      </c>
      <c r="P134" s="133" t="str">
        <f>IF($A134&lt;&gt;0,VLOOKUP($A134,'0.Productos'!$A$3:$GG$587,'0.Productos'!BH$1+1,0),"")</f>
        <v/>
      </c>
      <c r="Q134" s="133" t="str">
        <f>IF($A134&lt;&gt;0,VLOOKUP($A134,'0.Productos'!$A$3:$GG$587,'0.Productos'!BI$1+1,0),"")</f>
        <v/>
      </c>
      <c r="R134" s="133" t="str">
        <f>IF($A134&lt;&gt;0,VLOOKUP($A134,'0.Productos'!$A$3:$GG$587,'0.Productos'!BJ$1+1,0),"")</f>
        <v/>
      </c>
      <c r="S134" s="133" t="str">
        <f>IF($A134&lt;&gt;0,VLOOKUP($A134,'0.Productos'!$A$3:$GG$587,'0.Productos'!BK$1+1,0),"")</f>
        <v/>
      </c>
      <c r="T134" s="133" t="str">
        <f>IF($A134&lt;&gt;0,VLOOKUP($A134,'0.Productos'!$A$3:$GG$587,'0.Productos'!BL$1+1,0),"")</f>
        <v/>
      </c>
      <c r="U134" s="133" t="str">
        <f>IF($A134&lt;&gt;0,VLOOKUP($A134,'0.Productos'!$A$3:$GG$587,'0.Productos'!BM$1+1,0),"")</f>
        <v/>
      </c>
      <c r="V134" s="133" t="str">
        <f>IF($A134&lt;&gt;0,VLOOKUP($A134,'0.Productos'!$A$3:$GG$587,'0.Productos'!BN$1+1,0),"")</f>
        <v/>
      </c>
      <c r="W134" s="133" t="str">
        <f>IF($A134&lt;&gt;0,VLOOKUP($A134,'0.Productos'!$A$3:$GG$587,'0.Productos'!BO$1+1,0),"")</f>
        <v/>
      </c>
      <c r="X134" s="133" t="str">
        <f>IF($A134&lt;&gt;0,VLOOKUP($A134,'0.Productos'!$A$3:$GG$587,'0.Productos'!BP$1+1,0),"")</f>
        <v/>
      </c>
      <c r="Y134" s="133" t="str">
        <f>IF($A134&lt;&gt;0,VLOOKUP($A134,'0.Productos'!$A$3:$GG$587,'0.Productos'!BQ$1+1,0),"")</f>
        <v/>
      </c>
      <c r="Z134" s="133" t="str">
        <f>IF($A134&lt;&gt;0,VLOOKUP($A134,'0.Productos'!$A$3:$GG$587,'0.Productos'!BR$1+1,0),"")</f>
        <v/>
      </c>
      <c r="AA134" s="133" t="str">
        <f>IF($A134&lt;&gt;0,VLOOKUP($A134,'0.Productos'!$A$3:$GG$587,'0.Productos'!BS$1+1,0),"")</f>
        <v/>
      </c>
      <c r="AB134" s="133" t="str">
        <f>IF($A134&lt;&gt;0,VLOOKUP($A134,'0.Productos'!$A$3:$GG$587,'0.Productos'!BT$1+1,0),"")</f>
        <v/>
      </c>
      <c r="AC134" s="133" t="str">
        <f>IF($A134&lt;&gt;0,VLOOKUP($A134,'0.Productos'!$A$3:$GG$587,'0.Productos'!BU$1+1,0),"")</f>
        <v/>
      </c>
      <c r="AD134" s="133" t="str">
        <f>IF($A134&lt;&gt;0,VLOOKUP($A134,'0.Productos'!$A$3:$GG$587,'0.Productos'!BV$1+1,0),"")</f>
        <v/>
      </c>
      <c r="AE134" s="133" t="str">
        <f>IF($A134&lt;&gt;0,VLOOKUP($A134,'0.Productos'!$A$3:$GG$587,'0.Productos'!BW$1+1,0),"")</f>
        <v/>
      </c>
      <c r="AF134" s="133" t="str">
        <f>IF($A134&lt;&gt;0,VLOOKUP($A134,'0.Productos'!$A$3:$GG$587,'0.Productos'!BX$1+1,0),"")</f>
        <v/>
      </c>
      <c r="AG134" s="133" t="str">
        <f>IF($A134&lt;&gt;0,VLOOKUP($A134,'0.Productos'!$A$3:$GG$587,'0.Productos'!BY$1+1,0),"")</f>
        <v/>
      </c>
      <c r="AH134" s="133" t="str">
        <f>IF($A134&lt;&gt;0,VLOOKUP($A134,'0.Productos'!$A$3:$GG$587,'0.Productos'!BZ$1+1,0),"")</f>
        <v/>
      </c>
      <c r="AI134" s="133" t="str">
        <f>IF($A134&lt;&gt;0,VLOOKUP($A134,'0.Productos'!$A$3:$GG$587,'0.Productos'!CA$1+1,0),"")</f>
        <v/>
      </c>
      <c r="AJ134" s="133" t="str">
        <f>IF($A134&lt;&gt;0,VLOOKUP($A134,'0.Productos'!$A$3:$GG$587,'0.Productos'!CB$1+1,0),"")</f>
        <v/>
      </c>
      <c r="AK134" s="133" t="str">
        <f>IF($A134&lt;&gt;0,VLOOKUP($A134,'0.Productos'!$A$3:$GG$587,'0.Productos'!CC$1+1,0),"")</f>
        <v/>
      </c>
      <c r="AL134" s="133" t="str">
        <f>IF($A134&lt;&gt;0,VLOOKUP($A134,'0.Productos'!$A$3:$GG$587,'0.Productos'!CD$1+1,0),"")</f>
        <v/>
      </c>
      <c r="AM134" s="133" t="str">
        <f>IF($A134&lt;&gt;0,VLOOKUP($A134,'0.Productos'!$A$3:$GG$587,'0.Productos'!CE$1+1,0),"")</f>
        <v/>
      </c>
      <c r="AN134" s="133" t="str">
        <f>IF($A134&lt;&gt;0,VLOOKUP($A134,'0.Productos'!$A$3:$GG$587,'0.Productos'!CF$1+1,0),"")</f>
        <v/>
      </c>
      <c r="AO134" s="133" t="str">
        <f>IF($A134&lt;&gt;0,VLOOKUP($A134,'0.Productos'!$A$3:$GG$587,'0.Productos'!CG$1+1,0),"")</f>
        <v/>
      </c>
      <c r="AP134" s="133" t="str">
        <f>IF($A134&lt;&gt;0,VLOOKUP($A134,'0.Productos'!$A$3:$GG$587,'0.Productos'!CH$1+1,0),"")</f>
        <v/>
      </c>
      <c r="AQ134" s="133" t="str">
        <f>IF($A134&lt;&gt;0,VLOOKUP($A134,'0.Productos'!$A$3:$GG$587,'0.Productos'!CI$1+1,0),"")</f>
        <v/>
      </c>
      <c r="AR134" s="133" t="str">
        <f>IF($A134&lt;&gt;0,VLOOKUP($A134,'0.Productos'!$A$3:$GG$587,'0.Productos'!CJ$1+1,0),"")</f>
        <v/>
      </c>
      <c r="AS134" s="133" t="str">
        <f>IF($A134&lt;&gt;0,VLOOKUP($A134,'0.Productos'!$A$3:$GG$587,'0.Productos'!CK$1+1,0),"")</f>
        <v/>
      </c>
      <c r="AT134" s="133" t="str">
        <f>IF($A134&lt;&gt;0,VLOOKUP($A134,'0.Productos'!$A$3:$GG$587,'0.Productos'!CL$1+1,0),"")</f>
        <v/>
      </c>
      <c r="AU134" s="133" t="str">
        <f>IF($A134&lt;&gt;0,VLOOKUP($A134,'0.Productos'!$A$3:$GG$587,'0.Productos'!CM$1+1,0),"")</f>
        <v/>
      </c>
      <c r="AV134" s="133" t="str">
        <f>IF($A134&lt;&gt;0,VLOOKUP($A134,'0.Productos'!$A$3:$GG$587,'0.Productos'!CN$1+1,0),"")</f>
        <v/>
      </c>
      <c r="AW134" s="133" t="str">
        <f>IF($A134&lt;&gt;0,VLOOKUP($A134,'0.Productos'!$A$3:$GG$587,'0.Productos'!CO$1+1,0),"")</f>
        <v/>
      </c>
      <c r="AX134" s="133" t="str">
        <f>IF($A134&lt;&gt;0,VLOOKUP($A134,'0.Productos'!$A$3:$GG$587,'0.Productos'!CP$1+1,0),"")</f>
        <v/>
      </c>
      <c r="AY134" s="133" t="str">
        <f>IF($A134&lt;&gt;0,VLOOKUP($A134,'0.Productos'!$A$3:$GG$587,'0.Productos'!CQ$1+1,0),"")</f>
        <v/>
      </c>
      <c r="AZ134" s="133" t="str">
        <f>IF($A134&lt;&gt;0,VLOOKUP($A134,'0.Productos'!$A$3:$GG$587,'0.Productos'!CR$1+1,0),"")</f>
        <v/>
      </c>
      <c r="BA134" s="133" t="str">
        <f>IF($A134&lt;&gt;0,VLOOKUP($A134,'0.Productos'!$A$3:$GG$587,'0.Productos'!CS$1+1,0),"")</f>
        <v/>
      </c>
      <c r="BB134" s="133" t="str">
        <f>IF($A134&lt;&gt;0,VLOOKUP($A134,'0.Productos'!$A$3:$GG$587,'0.Productos'!CT$1+1,0),"")</f>
        <v/>
      </c>
      <c r="BC134" s="133" t="str">
        <f>IF($A134&lt;&gt;0,VLOOKUP($A134,'0.Productos'!$A$3:$GG$587,'0.Productos'!CU$1+1,0),"")</f>
        <v/>
      </c>
      <c r="BD134" s="133" t="str">
        <f>IF($A134&lt;&gt;0,VLOOKUP($A134,'0.Productos'!$A$3:$GG$587,'0.Productos'!CV$1+1,0),"")</f>
        <v/>
      </c>
      <c r="BE134" s="133" t="str">
        <f>IF($A134&lt;&gt;0,VLOOKUP($A134,'0.Productos'!$A$3:$GG$587,'0.Productos'!CW$1+1,0),"")</f>
        <v/>
      </c>
      <c r="BF134" s="133" t="str">
        <f>IF($A134&lt;&gt;0,VLOOKUP($A134,'0.Productos'!$A$3:$GG$587,'0.Productos'!CX$1+1,0),"")</f>
        <v/>
      </c>
      <c r="BG134" s="133" t="str">
        <f>IF($A134&lt;&gt;0,VLOOKUP($A134,'0.Productos'!$A$3:$GG$587,'0.Productos'!CY$1+1,0),"")</f>
        <v/>
      </c>
      <c r="BH134" s="133" t="str">
        <f>IF($A134&lt;&gt;0,VLOOKUP($A134,'0.Productos'!$A$3:$GG$587,'0.Productos'!CZ$1+1,0),"")</f>
        <v/>
      </c>
      <c r="BI134" s="133" t="str">
        <f>IF($A134&lt;&gt;0,VLOOKUP($A134,'0.Productos'!$A$3:$GG$587,'0.Productos'!DA$1+1,0),"")</f>
        <v/>
      </c>
      <c r="BJ134" s="133" t="str">
        <f>IF($A134&lt;&gt;0,VLOOKUP($A134,'0.Productos'!$A$3:$GG$587,'0.Productos'!DB$1+1,0),"")</f>
        <v/>
      </c>
      <c r="BK134" s="133" t="str">
        <f>IF($A134&lt;&gt;0,VLOOKUP($A134,'0.Productos'!$A$3:$GG$587,'0.Productos'!DC$1+1,0),"")</f>
        <v/>
      </c>
      <c r="BL134" s="133" t="str">
        <f>IF($A134&lt;&gt;0,VLOOKUP($A134,'0.Productos'!$A$3:$GG$587,'0.Productos'!DD$1+1,0),"")</f>
        <v/>
      </c>
      <c r="BM134" s="133" t="str">
        <f>IF($A134&lt;&gt;0,VLOOKUP($A134,'0.Productos'!$A$3:$GG$587,'0.Productos'!DE$1+1,0),"")</f>
        <v/>
      </c>
      <c r="BN134" s="133" t="str">
        <f>IF($A134&lt;&gt;0,VLOOKUP($A134,'0.Productos'!$A$3:$GG$587,'0.Productos'!DF$1+1,0),"")</f>
        <v/>
      </c>
      <c r="BO134" s="133" t="str">
        <f>IF($A134&lt;&gt;0,VLOOKUP($A134,'0.Productos'!$A$3:$GG$587,'0.Productos'!DG$1+1,0),"")</f>
        <v/>
      </c>
      <c r="BP134" s="133" t="str">
        <f>IF($A134&lt;&gt;0,VLOOKUP($A134,'0.Productos'!$A$3:$GG$587,'0.Productos'!DH$1+1,0),"")</f>
        <v/>
      </c>
      <c r="BQ134" s="133" t="str">
        <f>IF($A134&lt;&gt;0,VLOOKUP($A134,'0.Productos'!$A$3:$GG$587,'0.Productos'!DI$1+1,0),"")</f>
        <v/>
      </c>
      <c r="BR134" s="133" t="str">
        <f>IF($A134&lt;&gt;0,VLOOKUP($A134,'0.Productos'!$A$3:$GG$587,'0.Productos'!DJ$1+1,0),"")</f>
        <v/>
      </c>
      <c r="BS134" s="133" t="str">
        <f>IF($A134&lt;&gt;0,VLOOKUP($A134,'0.Productos'!$A$3:$GG$587,'0.Productos'!DK$1+1,0),"")</f>
        <v/>
      </c>
      <c r="BT134" s="133" t="str">
        <f>IF($A134&lt;&gt;0,VLOOKUP($A134,'0.Productos'!$A$3:$GG$587,'0.Productos'!DL$1+1,0),"")</f>
        <v/>
      </c>
    </row>
    <row r="135" spans="1:72" x14ac:dyDescent="0.25">
      <c r="A135" s="17">
        <f>'0.Consolidado general'!A135</f>
        <v>0</v>
      </c>
      <c r="B135" s="133" t="str">
        <f>IF($A135&lt;&gt;0,VLOOKUP($A135,'0.Productos'!$A$3:$GG$587,'0.Productos'!AT$1+1,0),"")</f>
        <v/>
      </c>
      <c r="C135" s="133" t="str">
        <f>IF($A135&lt;&gt;0,VLOOKUP($A135,'0.Productos'!$A$3:$GG$587,'0.Productos'!AU$1+1,0),"")</f>
        <v/>
      </c>
      <c r="D135" s="133" t="str">
        <f>IF($A135&lt;&gt;0,VLOOKUP($A135,'0.Productos'!$A$3:$GG$587,'0.Productos'!AV$1+1,0),"")</f>
        <v/>
      </c>
      <c r="E135" s="133" t="str">
        <f>IF($A135&lt;&gt;0,VLOOKUP($A135,'0.Productos'!$A$3:$GG$587,'0.Productos'!AW$1+1,0),"")</f>
        <v/>
      </c>
      <c r="F135" s="133" t="str">
        <f>IF($A135&lt;&gt;0,VLOOKUP($A135,'0.Productos'!$A$3:$GG$587,'0.Productos'!AX$1+1,0),"")</f>
        <v/>
      </c>
      <c r="G135" s="133" t="str">
        <f>IF($A135&lt;&gt;0,VLOOKUP($A135,'0.Productos'!$A$3:$GG$587,'0.Productos'!AY$1+1,0),"")</f>
        <v/>
      </c>
      <c r="H135" s="133" t="str">
        <f>IF($A135&lt;&gt;0,VLOOKUP($A135,'0.Productos'!$A$3:$GG$587,'0.Productos'!AZ$1+1,0),"")</f>
        <v/>
      </c>
      <c r="I135" s="133" t="str">
        <f>IF($A135&lt;&gt;0,VLOOKUP($A135,'0.Productos'!$A$3:$GG$587,'0.Productos'!BA$1+1,0),"")</f>
        <v/>
      </c>
      <c r="J135" s="133" t="str">
        <f>IF($A135&lt;&gt;0,VLOOKUP($A135,'0.Productos'!$A$3:$GG$587,'0.Productos'!BB$1+1,0),"")</f>
        <v/>
      </c>
      <c r="K135" s="133" t="str">
        <f>IF($A135&lt;&gt;0,VLOOKUP($A135,'0.Productos'!$A$3:$GG$587,'0.Productos'!BC$1+1,0),"")</f>
        <v/>
      </c>
      <c r="L135" s="133" t="str">
        <f>IF($A135&lt;&gt;0,VLOOKUP($A135,'0.Productos'!$A$3:$GG$587,'0.Productos'!BD$1+1,0),"")</f>
        <v/>
      </c>
      <c r="M135" s="133" t="str">
        <f>IF($A135&lt;&gt;0,VLOOKUP($A135,'0.Productos'!$A$3:$GG$587,'0.Productos'!BE$1+1,0),"")</f>
        <v/>
      </c>
      <c r="N135" s="133" t="str">
        <f>IF($A135&lt;&gt;0,VLOOKUP($A135,'0.Productos'!$A$3:$GG$587,'0.Productos'!BF$1+1,0),"")</f>
        <v/>
      </c>
      <c r="O135" s="133" t="str">
        <f>IF($A135&lt;&gt;0,VLOOKUP($A135,'0.Productos'!$A$3:$GG$587,'0.Productos'!BG$1+1,0),"")</f>
        <v/>
      </c>
      <c r="P135" s="133" t="str">
        <f>IF($A135&lt;&gt;0,VLOOKUP($A135,'0.Productos'!$A$3:$GG$587,'0.Productos'!BH$1+1,0),"")</f>
        <v/>
      </c>
      <c r="Q135" s="133" t="str">
        <f>IF($A135&lt;&gt;0,VLOOKUP($A135,'0.Productos'!$A$3:$GG$587,'0.Productos'!BI$1+1,0),"")</f>
        <v/>
      </c>
      <c r="R135" s="133" t="str">
        <f>IF($A135&lt;&gt;0,VLOOKUP($A135,'0.Productos'!$A$3:$GG$587,'0.Productos'!BJ$1+1,0),"")</f>
        <v/>
      </c>
      <c r="S135" s="133" t="str">
        <f>IF($A135&lt;&gt;0,VLOOKUP($A135,'0.Productos'!$A$3:$GG$587,'0.Productos'!BK$1+1,0),"")</f>
        <v/>
      </c>
      <c r="T135" s="133" t="str">
        <f>IF($A135&lt;&gt;0,VLOOKUP($A135,'0.Productos'!$A$3:$GG$587,'0.Productos'!BL$1+1,0),"")</f>
        <v/>
      </c>
      <c r="U135" s="133" t="str">
        <f>IF($A135&lt;&gt;0,VLOOKUP($A135,'0.Productos'!$A$3:$GG$587,'0.Productos'!BM$1+1,0),"")</f>
        <v/>
      </c>
      <c r="V135" s="133" t="str">
        <f>IF($A135&lt;&gt;0,VLOOKUP($A135,'0.Productos'!$A$3:$GG$587,'0.Productos'!BN$1+1,0),"")</f>
        <v/>
      </c>
      <c r="W135" s="133" t="str">
        <f>IF($A135&lt;&gt;0,VLOOKUP($A135,'0.Productos'!$A$3:$GG$587,'0.Productos'!BO$1+1,0),"")</f>
        <v/>
      </c>
      <c r="X135" s="133" t="str">
        <f>IF($A135&lt;&gt;0,VLOOKUP($A135,'0.Productos'!$A$3:$GG$587,'0.Productos'!BP$1+1,0),"")</f>
        <v/>
      </c>
      <c r="Y135" s="133" t="str">
        <f>IF($A135&lt;&gt;0,VLOOKUP($A135,'0.Productos'!$A$3:$GG$587,'0.Productos'!BQ$1+1,0),"")</f>
        <v/>
      </c>
      <c r="Z135" s="133" t="str">
        <f>IF($A135&lt;&gt;0,VLOOKUP($A135,'0.Productos'!$A$3:$GG$587,'0.Productos'!BR$1+1,0),"")</f>
        <v/>
      </c>
      <c r="AA135" s="133" t="str">
        <f>IF($A135&lt;&gt;0,VLOOKUP($A135,'0.Productos'!$A$3:$GG$587,'0.Productos'!BS$1+1,0),"")</f>
        <v/>
      </c>
      <c r="AB135" s="133" t="str">
        <f>IF($A135&lt;&gt;0,VLOOKUP($A135,'0.Productos'!$A$3:$GG$587,'0.Productos'!BT$1+1,0),"")</f>
        <v/>
      </c>
      <c r="AC135" s="133" t="str">
        <f>IF($A135&lt;&gt;0,VLOOKUP($A135,'0.Productos'!$A$3:$GG$587,'0.Productos'!BU$1+1,0),"")</f>
        <v/>
      </c>
      <c r="AD135" s="133" t="str">
        <f>IF($A135&lt;&gt;0,VLOOKUP($A135,'0.Productos'!$A$3:$GG$587,'0.Productos'!BV$1+1,0),"")</f>
        <v/>
      </c>
      <c r="AE135" s="133" t="str">
        <f>IF($A135&lt;&gt;0,VLOOKUP($A135,'0.Productos'!$A$3:$GG$587,'0.Productos'!BW$1+1,0),"")</f>
        <v/>
      </c>
      <c r="AF135" s="133" t="str">
        <f>IF($A135&lt;&gt;0,VLOOKUP($A135,'0.Productos'!$A$3:$GG$587,'0.Productos'!BX$1+1,0),"")</f>
        <v/>
      </c>
      <c r="AG135" s="133" t="str">
        <f>IF($A135&lt;&gt;0,VLOOKUP($A135,'0.Productos'!$A$3:$GG$587,'0.Productos'!BY$1+1,0),"")</f>
        <v/>
      </c>
      <c r="AH135" s="133" t="str">
        <f>IF($A135&lt;&gt;0,VLOOKUP($A135,'0.Productos'!$A$3:$GG$587,'0.Productos'!BZ$1+1,0),"")</f>
        <v/>
      </c>
      <c r="AI135" s="133" t="str">
        <f>IF($A135&lt;&gt;0,VLOOKUP($A135,'0.Productos'!$A$3:$GG$587,'0.Productos'!CA$1+1,0),"")</f>
        <v/>
      </c>
      <c r="AJ135" s="133" t="str">
        <f>IF($A135&lt;&gt;0,VLOOKUP($A135,'0.Productos'!$A$3:$GG$587,'0.Productos'!CB$1+1,0),"")</f>
        <v/>
      </c>
      <c r="AK135" s="133" t="str">
        <f>IF($A135&lt;&gt;0,VLOOKUP($A135,'0.Productos'!$A$3:$GG$587,'0.Productos'!CC$1+1,0),"")</f>
        <v/>
      </c>
      <c r="AL135" s="133" t="str">
        <f>IF($A135&lt;&gt;0,VLOOKUP($A135,'0.Productos'!$A$3:$GG$587,'0.Productos'!CD$1+1,0),"")</f>
        <v/>
      </c>
      <c r="AM135" s="133" t="str">
        <f>IF($A135&lt;&gt;0,VLOOKUP($A135,'0.Productos'!$A$3:$GG$587,'0.Productos'!CE$1+1,0),"")</f>
        <v/>
      </c>
      <c r="AN135" s="133" t="str">
        <f>IF($A135&lt;&gt;0,VLOOKUP($A135,'0.Productos'!$A$3:$GG$587,'0.Productos'!CF$1+1,0),"")</f>
        <v/>
      </c>
      <c r="AO135" s="133" t="str">
        <f>IF($A135&lt;&gt;0,VLOOKUP($A135,'0.Productos'!$A$3:$GG$587,'0.Productos'!CG$1+1,0),"")</f>
        <v/>
      </c>
      <c r="AP135" s="133" t="str">
        <f>IF($A135&lt;&gt;0,VLOOKUP($A135,'0.Productos'!$A$3:$GG$587,'0.Productos'!CH$1+1,0),"")</f>
        <v/>
      </c>
      <c r="AQ135" s="133" t="str">
        <f>IF($A135&lt;&gt;0,VLOOKUP($A135,'0.Productos'!$A$3:$GG$587,'0.Productos'!CI$1+1,0),"")</f>
        <v/>
      </c>
      <c r="AR135" s="133" t="str">
        <f>IF($A135&lt;&gt;0,VLOOKUP($A135,'0.Productos'!$A$3:$GG$587,'0.Productos'!CJ$1+1,0),"")</f>
        <v/>
      </c>
      <c r="AS135" s="133" t="str">
        <f>IF($A135&lt;&gt;0,VLOOKUP($A135,'0.Productos'!$A$3:$GG$587,'0.Productos'!CK$1+1,0),"")</f>
        <v/>
      </c>
      <c r="AT135" s="133" t="str">
        <f>IF($A135&lt;&gt;0,VLOOKUP($A135,'0.Productos'!$A$3:$GG$587,'0.Productos'!CL$1+1,0),"")</f>
        <v/>
      </c>
      <c r="AU135" s="133" t="str">
        <f>IF($A135&lt;&gt;0,VLOOKUP($A135,'0.Productos'!$A$3:$GG$587,'0.Productos'!CM$1+1,0),"")</f>
        <v/>
      </c>
      <c r="AV135" s="133" t="str">
        <f>IF($A135&lt;&gt;0,VLOOKUP($A135,'0.Productos'!$A$3:$GG$587,'0.Productos'!CN$1+1,0),"")</f>
        <v/>
      </c>
      <c r="AW135" s="133" t="str">
        <f>IF($A135&lt;&gt;0,VLOOKUP($A135,'0.Productos'!$A$3:$GG$587,'0.Productos'!CO$1+1,0),"")</f>
        <v/>
      </c>
      <c r="AX135" s="133" t="str">
        <f>IF($A135&lt;&gt;0,VLOOKUP($A135,'0.Productos'!$A$3:$GG$587,'0.Productos'!CP$1+1,0),"")</f>
        <v/>
      </c>
      <c r="AY135" s="133" t="str">
        <f>IF($A135&lt;&gt;0,VLOOKUP($A135,'0.Productos'!$A$3:$GG$587,'0.Productos'!CQ$1+1,0),"")</f>
        <v/>
      </c>
      <c r="AZ135" s="133" t="str">
        <f>IF($A135&lt;&gt;0,VLOOKUP($A135,'0.Productos'!$A$3:$GG$587,'0.Productos'!CR$1+1,0),"")</f>
        <v/>
      </c>
      <c r="BA135" s="133" t="str">
        <f>IF($A135&lt;&gt;0,VLOOKUP($A135,'0.Productos'!$A$3:$GG$587,'0.Productos'!CS$1+1,0),"")</f>
        <v/>
      </c>
      <c r="BB135" s="133" t="str">
        <f>IF($A135&lt;&gt;0,VLOOKUP($A135,'0.Productos'!$A$3:$GG$587,'0.Productos'!CT$1+1,0),"")</f>
        <v/>
      </c>
      <c r="BC135" s="133" t="str">
        <f>IF($A135&lt;&gt;0,VLOOKUP($A135,'0.Productos'!$A$3:$GG$587,'0.Productos'!CU$1+1,0),"")</f>
        <v/>
      </c>
      <c r="BD135" s="133" t="str">
        <f>IF($A135&lt;&gt;0,VLOOKUP($A135,'0.Productos'!$A$3:$GG$587,'0.Productos'!CV$1+1,0),"")</f>
        <v/>
      </c>
      <c r="BE135" s="133" t="str">
        <f>IF($A135&lt;&gt;0,VLOOKUP($A135,'0.Productos'!$A$3:$GG$587,'0.Productos'!CW$1+1,0),"")</f>
        <v/>
      </c>
      <c r="BF135" s="133" t="str">
        <f>IF($A135&lt;&gt;0,VLOOKUP($A135,'0.Productos'!$A$3:$GG$587,'0.Productos'!CX$1+1,0),"")</f>
        <v/>
      </c>
      <c r="BG135" s="133" t="str">
        <f>IF($A135&lt;&gt;0,VLOOKUP($A135,'0.Productos'!$A$3:$GG$587,'0.Productos'!CY$1+1,0),"")</f>
        <v/>
      </c>
      <c r="BH135" s="133" t="str">
        <f>IF($A135&lt;&gt;0,VLOOKUP($A135,'0.Productos'!$A$3:$GG$587,'0.Productos'!CZ$1+1,0),"")</f>
        <v/>
      </c>
      <c r="BI135" s="133" t="str">
        <f>IF($A135&lt;&gt;0,VLOOKUP($A135,'0.Productos'!$A$3:$GG$587,'0.Productos'!DA$1+1,0),"")</f>
        <v/>
      </c>
      <c r="BJ135" s="133" t="str">
        <f>IF($A135&lt;&gt;0,VLOOKUP($A135,'0.Productos'!$A$3:$GG$587,'0.Productos'!DB$1+1,0),"")</f>
        <v/>
      </c>
      <c r="BK135" s="133" t="str">
        <f>IF($A135&lt;&gt;0,VLOOKUP($A135,'0.Productos'!$A$3:$GG$587,'0.Productos'!DC$1+1,0),"")</f>
        <v/>
      </c>
      <c r="BL135" s="133" t="str">
        <f>IF($A135&lt;&gt;0,VLOOKUP($A135,'0.Productos'!$A$3:$GG$587,'0.Productos'!DD$1+1,0),"")</f>
        <v/>
      </c>
      <c r="BM135" s="133" t="str">
        <f>IF($A135&lt;&gt;0,VLOOKUP($A135,'0.Productos'!$A$3:$GG$587,'0.Productos'!DE$1+1,0),"")</f>
        <v/>
      </c>
      <c r="BN135" s="133" t="str">
        <f>IF($A135&lt;&gt;0,VLOOKUP($A135,'0.Productos'!$A$3:$GG$587,'0.Productos'!DF$1+1,0),"")</f>
        <v/>
      </c>
      <c r="BO135" s="133" t="str">
        <f>IF($A135&lt;&gt;0,VLOOKUP($A135,'0.Productos'!$A$3:$GG$587,'0.Productos'!DG$1+1,0),"")</f>
        <v/>
      </c>
      <c r="BP135" s="133" t="str">
        <f>IF($A135&lt;&gt;0,VLOOKUP($A135,'0.Productos'!$A$3:$GG$587,'0.Productos'!DH$1+1,0),"")</f>
        <v/>
      </c>
      <c r="BQ135" s="133" t="str">
        <f>IF($A135&lt;&gt;0,VLOOKUP($A135,'0.Productos'!$A$3:$GG$587,'0.Productos'!DI$1+1,0),"")</f>
        <v/>
      </c>
      <c r="BR135" s="133" t="str">
        <f>IF($A135&lt;&gt;0,VLOOKUP($A135,'0.Productos'!$A$3:$GG$587,'0.Productos'!DJ$1+1,0),"")</f>
        <v/>
      </c>
      <c r="BS135" s="133" t="str">
        <f>IF($A135&lt;&gt;0,VLOOKUP($A135,'0.Productos'!$A$3:$GG$587,'0.Productos'!DK$1+1,0),"")</f>
        <v/>
      </c>
      <c r="BT135" s="133" t="str">
        <f>IF($A135&lt;&gt;0,VLOOKUP($A135,'0.Productos'!$A$3:$GG$587,'0.Productos'!DL$1+1,0),"")</f>
        <v/>
      </c>
    </row>
    <row r="136" spans="1:72" x14ac:dyDescent="0.25">
      <c r="A136" s="17">
        <f>'0.Consolidado general'!A136</f>
        <v>0</v>
      </c>
      <c r="B136" s="133" t="str">
        <f>IF($A136&lt;&gt;0,VLOOKUP($A136,'0.Productos'!$A$3:$GG$587,'0.Productos'!AT$1+1,0),"")</f>
        <v/>
      </c>
      <c r="C136" s="133" t="str">
        <f>IF($A136&lt;&gt;0,VLOOKUP($A136,'0.Productos'!$A$3:$GG$587,'0.Productos'!AU$1+1,0),"")</f>
        <v/>
      </c>
      <c r="D136" s="133" t="str">
        <f>IF($A136&lt;&gt;0,VLOOKUP($A136,'0.Productos'!$A$3:$GG$587,'0.Productos'!AV$1+1,0),"")</f>
        <v/>
      </c>
      <c r="E136" s="133" t="str">
        <f>IF($A136&lt;&gt;0,VLOOKUP($A136,'0.Productos'!$A$3:$GG$587,'0.Productos'!AW$1+1,0),"")</f>
        <v/>
      </c>
      <c r="F136" s="133" t="str">
        <f>IF($A136&lt;&gt;0,VLOOKUP($A136,'0.Productos'!$A$3:$GG$587,'0.Productos'!AX$1+1,0),"")</f>
        <v/>
      </c>
      <c r="G136" s="133" t="str">
        <f>IF($A136&lt;&gt;0,VLOOKUP($A136,'0.Productos'!$A$3:$GG$587,'0.Productos'!AY$1+1,0),"")</f>
        <v/>
      </c>
      <c r="H136" s="133" t="str">
        <f>IF($A136&lt;&gt;0,VLOOKUP($A136,'0.Productos'!$A$3:$GG$587,'0.Productos'!AZ$1+1,0),"")</f>
        <v/>
      </c>
      <c r="I136" s="133" t="str">
        <f>IF($A136&lt;&gt;0,VLOOKUP($A136,'0.Productos'!$A$3:$GG$587,'0.Productos'!BA$1+1,0),"")</f>
        <v/>
      </c>
      <c r="J136" s="133" t="str">
        <f>IF($A136&lt;&gt;0,VLOOKUP($A136,'0.Productos'!$A$3:$GG$587,'0.Productos'!BB$1+1,0),"")</f>
        <v/>
      </c>
      <c r="K136" s="133" t="str">
        <f>IF($A136&lt;&gt;0,VLOOKUP($A136,'0.Productos'!$A$3:$GG$587,'0.Productos'!BC$1+1,0),"")</f>
        <v/>
      </c>
      <c r="L136" s="133" t="str">
        <f>IF($A136&lt;&gt;0,VLOOKUP($A136,'0.Productos'!$A$3:$GG$587,'0.Productos'!BD$1+1,0),"")</f>
        <v/>
      </c>
      <c r="M136" s="133" t="str">
        <f>IF($A136&lt;&gt;0,VLOOKUP($A136,'0.Productos'!$A$3:$GG$587,'0.Productos'!BE$1+1,0),"")</f>
        <v/>
      </c>
      <c r="N136" s="133" t="str">
        <f>IF($A136&lt;&gt;0,VLOOKUP($A136,'0.Productos'!$A$3:$GG$587,'0.Productos'!BF$1+1,0),"")</f>
        <v/>
      </c>
      <c r="O136" s="133" t="str">
        <f>IF($A136&lt;&gt;0,VLOOKUP($A136,'0.Productos'!$A$3:$GG$587,'0.Productos'!BG$1+1,0),"")</f>
        <v/>
      </c>
      <c r="P136" s="133" t="str">
        <f>IF($A136&lt;&gt;0,VLOOKUP($A136,'0.Productos'!$A$3:$GG$587,'0.Productos'!BH$1+1,0),"")</f>
        <v/>
      </c>
      <c r="Q136" s="133" t="str">
        <f>IF($A136&lt;&gt;0,VLOOKUP($A136,'0.Productos'!$A$3:$GG$587,'0.Productos'!BI$1+1,0),"")</f>
        <v/>
      </c>
      <c r="R136" s="133" t="str">
        <f>IF($A136&lt;&gt;0,VLOOKUP($A136,'0.Productos'!$A$3:$GG$587,'0.Productos'!BJ$1+1,0),"")</f>
        <v/>
      </c>
      <c r="S136" s="133" t="str">
        <f>IF($A136&lt;&gt;0,VLOOKUP($A136,'0.Productos'!$A$3:$GG$587,'0.Productos'!BK$1+1,0),"")</f>
        <v/>
      </c>
      <c r="T136" s="133" t="str">
        <f>IF($A136&lt;&gt;0,VLOOKUP($A136,'0.Productos'!$A$3:$GG$587,'0.Productos'!BL$1+1,0),"")</f>
        <v/>
      </c>
      <c r="U136" s="133" t="str">
        <f>IF($A136&lt;&gt;0,VLOOKUP($A136,'0.Productos'!$A$3:$GG$587,'0.Productos'!BM$1+1,0),"")</f>
        <v/>
      </c>
      <c r="V136" s="133" t="str">
        <f>IF($A136&lt;&gt;0,VLOOKUP($A136,'0.Productos'!$A$3:$GG$587,'0.Productos'!BN$1+1,0),"")</f>
        <v/>
      </c>
      <c r="W136" s="133" t="str">
        <f>IF($A136&lt;&gt;0,VLOOKUP($A136,'0.Productos'!$A$3:$GG$587,'0.Productos'!BO$1+1,0),"")</f>
        <v/>
      </c>
      <c r="X136" s="133" t="str">
        <f>IF($A136&lt;&gt;0,VLOOKUP($A136,'0.Productos'!$A$3:$GG$587,'0.Productos'!BP$1+1,0),"")</f>
        <v/>
      </c>
      <c r="Y136" s="133" t="str">
        <f>IF($A136&lt;&gt;0,VLOOKUP($A136,'0.Productos'!$A$3:$GG$587,'0.Productos'!BQ$1+1,0),"")</f>
        <v/>
      </c>
      <c r="Z136" s="133" t="str">
        <f>IF($A136&lt;&gt;0,VLOOKUP($A136,'0.Productos'!$A$3:$GG$587,'0.Productos'!BR$1+1,0),"")</f>
        <v/>
      </c>
      <c r="AA136" s="133" t="str">
        <f>IF($A136&lt;&gt;0,VLOOKUP($A136,'0.Productos'!$A$3:$GG$587,'0.Productos'!BS$1+1,0),"")</f>
        <v/>
      </c>
      <c r="AB136" s="133" t="str">
        <f>IF($A136&lt;&gt;0,VLOOKUP($A136,'0.Productos'!$A$3:$GG$587,'0.Productos'!BT$1+1,0),"")</f>
        <v/>
      </c>
      <c r="AC136" s="133" t="str">
        <f>IF($A136&lt;&gt;0,VLOOKUP($A136,'0.Productos'!$A$3:$GG$587,'0.Productos'!BU$1+1,0),"")</f>
        <v/>
      </c>
      <c r="AD136" s="133" t="str">
        <f>IF($A136&lt;&gt;0,VLOOKUP($A136,'0.Productos'!$A$3:$GG$587,'0.Productos'!BV$1+1,0),"")</f>
        <v/>
      </c>
      <c r="AE136" s="133" t="str">
        <f>IF($A136&lt;&gt;0,VLOOKUP($A136,'0.Productos'!$A$3:$GG$587,'0.Productos'!BW$1+1,0),"")</f>
        <v/>
      </c>
      <c r="AF136" s="133" t="str">
        <f>IF($A136&lt;&gt;0,VLOOKUP($A136,'0.Productos'!$A$3:$GG$587,'0.Productos'!BX$1+1,0),"")</f>
        <v/>
      </c>
      <c r="AG136" s="133" t="str">
        <f>IF($A136&lt;&gt;0,VLOOKUP($A136,'0.Productos'!$A$3:$GG$587,'0.Productos'!BY$1+1,0),"")</f>
        <v/>
      </c>
      <c r="AH136" s="133" t="str">
        <f>IF($A136&lt;&gt;0,VLOOKUP($A136,'0.Productos'!$A$3:$GG$587,'0.Productos'!BZ$1+1,0),"")</f>
        <v/>
      </c>
      <c r="AI136" s="133" t="str">
        <f>IF($A136&lt;&gt;0,VLOOKUP($A136,'0.Productos'!$A$3:$GG$587,'0.Productos'!CA$1+1,0),"")</f>
        <v/>
      </c>
      <c r="AJ136" s="133" t="str">
        <f>IF($A136&lt;&gt;0,VLOOKUP($A136,'0.Productos'!$A$3:$GG$587,'0.Productos'!CB$1+1,0),"")</f>
        <v/>
      </c>
      <c r="AK136" s="133" t="str">
        <f>IF($A136&lt;&gt;0,VLOOKUP($A136,'0.Productos'!$A$3:$GG$587,'0.Productos'!CC$1+1,0),"")</f>
        <v/>
      </c>
      <c r="AL136" s="133" t="str">
        <f>IF($A136&lt;&gt;0,VLOOKUP($A136,'0.Productos'!$A$3:$GG$587,'0.Productos'!CD$1+1,0),"")</f>
        <v/>
      </c>
      <c r="AM136" s="133" t="str">
        <f>IF($A136&lt;&gt;0,VLOOKUP($A136,'0.Productos'!$A$3:$GG$587,'0.Productos'!CE$1+1,0),"")</f>
        <v/>
      </c>
      <c r="AN136" s="133" t="str">
        <f>IF($A136&lt;&gt;0,VLOOKUP($A136,'0.Productos'!$A$3:$GG$587,'0.Productos'!CF$1+1,0),"")</f>
        <v/>
      </c>
      <c r="AO136" s="133" t="str">
        <f>IF($A136&lt;&gt;0,VLOOKUP($A136,'0.Productos'!$A$3:$GG$587,'0.Productos'!CG$1+1,0),"")</f>
        <v/>
      </c>
      <c r="AP136" s="133" t="str">
        <f>IF($A136&lt;&gt;0,VLOOKUP($A136,'0.Productos'!$A$3:$GG$587,'0.Productos'!CH$1+1,0),"")</f>
        <v/>
      </c>
      <c r="AQ136" s="133" t="str">
        <f>IF($A136&lt;&gt;0,VLOOKUP($A136,'0.Productos'!$A$3:$GG$587,'0.Productos'!CI$1+1,0),"")</f>
        <v/>
      </c>
      <c r="AR136" s="133" t="str">
        <f>IF($A136&lt;&gt;0,VLOOKUP($A136,'0.Productos'!$A$3:$GG$587,'0.Productos'!CJ$1+1,0),"")</f>
        <v/>
      </c>
      <c r="AS136" s="133" t="str">
        <f>IF($A136&lt;&gt;0,VLOOKUP($A136,'0.Productos'!$A$3:$GG$587,'0.Productos'!CK$1+1,0),"")</f>
        <v/>
      </c>
      <c r="AT136" s="133" t="str">
        <f>IF($A136&lt;&gt;0,VLOOKUP($A136,'0.Productos'!$A$3:$GG$587,'0.Productos'!CL$1+1,0),"")</f>
        <v/>
      </c>
      <c r="AU136" s="133" t="str">
        <f>IF($A136&lt;&gt;0,VLOOKUP($A136,'0.Productos'!$A$3:$GG$587,'0.Productos'!CM$1+1,0),"")</f>
        <v/>
      </c>
      <c r="AV136" s="133" t="str">
        <f>IF($A136&lt;&gt;0,VLOOKUP($A136,'0.Productos'!$A$3:$GG$587,'0.Productos'!CN$1+1,0),"")</f>
        <v/>
      </c>
      <c r="AW136" s="133" t="str">
        <f>IF($A136&lt;&gt;0,VLOOKUP($A136,'0.Productos'!$A$3:$GG$587,'0.Productos'!CO$1+1,0),"")</f>
        <v/>
      </c>
      <c r="AX136" s="133" t="str">
        <f>IF($A136&lt;&gt;0,VLOOKUP($A136,'0.Productos'!$A$3:$GG$587,'0.Productos'!CP$1+1,0),"")</f>
        <v/>
      </c>
      <c r="AY136" s="133" t="str">
        <f>IF($A136&lt;&gt;0,VLOOKUP($A136,'0.Productos'!$A$3:$GG$587,'0.Productos'!CQ$1+1,0),"")</f>
        <v/>
      </c>
      <c r="AZ136" s="133" t="str">
        <f>IF($A136&lt;&gt;0,VLOOKUP($A136,'0.Productos'!$A$3:$GG$587,'0.Productos'!CR$1+1,0),"")</f>
        <v/>
      </c>
      <c r="BA136" s="133" t="str">
        <f>IF($A136&lt;&gt;0,VLOOKUP($A136,'0.Productos'!$A$3:$GG$587,'0.Productos'!CS$1+1,0),"")</f>
        <v/>
      </c>
      <c r="BB136" s="133" t="str">
        <f>IF($A136&lt;&gt;0,VLOOKUP($A136,'0.Productos'!$A$3:$GG$587,'0.Productos'!CT$1+1,0),"")</f>
        <v/>
      </c>
      <c r="BC136" s="133" t="str">
        <f>IF($A136&lt;&gt;0,VLOOKUP($A136,'0.Productos'!$A$3:$GG$587,'0.Productos'!CU$1+1,0),"")</f>
        <v/>
      </c>
      <c r="BD136" s="133" t="str">
        <f>IF($A136&lt;&gt;0,VLOOKUP($A136,'0.Productos'!$A$3:$GG$587,'0.Productos'!CV$1+1,0),"")</f>
        <v/>
      </c>
      <c r="BE136" s="133" t="str">
        <f>IF($A136&lt;&gt;0,VLOOKUP($A136,'0.Productos'!$A$3:$GG$587,'0.Productos'!CW$1+1,0),"")</f>
        <v/>
      </c>
      <c r="BF136" s="133" t="str">
        <f>IF($A136&lt;&gt;0,VLOOKUP($A136,'0.Productos'!$A$3:$GG$587,'0.Productos'!CX$1+1,0),"")</f>
        <v/>
      </c>
      <c r="BG136" s="133" t="str">
        <f>IF($A136&lt;&gt;0,VLOOKUP($A136,'0.Productos'!$A$3:$GG$587,'0.Productos'!CY$1+1,0),"")</f>
        <v/>
      </c>
      <c r="BH136" s="133" t="str">
        <f>IF($A136&lt;&gt;0,VLOOKUP($A136,'0.Productos'!$A$3:$GG$587,'0.Productos'!CZ$1+1,0),"")</f>
        <v/>
      </c>
      <c r="BI136" s="133" t="str">
        <f>IF($A136&lt;&gt;0,VLOOKUP($A136,'0.Productos'!$A$3:$GG$587,'0.Productos'!DA$1+1,0),"")</f>
        <v/>
      </c>
      <c r="BJ136" s="133" t="str">
        <f>IF($A136&lt;&gt;0,VLOOKUP($A136,'0.Productos'!$A$3:$GG$587,'0.Productos'!DB$1+1,0),"")</f>
        <v/>
      </c>
      <c r="BK136" s="133" t="str">
        <f>IF($A136&lt;&gt;0,VLOOKUP($A136,'0.Productos'!$A$3:$GG$587,'0.Productos'!DC$1+1,0),"")</f>
        <v/>
      </c>
      <c r="BL136" s="133" t="str">
        <f>IF($A136&lt;&gt;0,VLOOKUP($A136,'0.Productos'!$A$3:$GG$587,'0.Productos'!DD$1+1,0),"")</f>
        <v/>
      </c>
      <c r="BM136" s="133" t="str">
        <f>IF($A136&lt;&gt;0,VLOOKUP($A136,'0.Productos'!$A$3:$GG$587,'0.Productos'!DE$1+1,0),"")</f>
        <v/>
      </c>
      <c r="BN136" s="133" t="str">
        <f>IF($A136&lt;&gt;0,VLOOKUP($A136,'0.Productos'!$A$3:$GG$587,'0.Productos'!DF$1+1,0),"")</f>
        <v/>
      </c>
      <c r="BO136" s="133" t="str">
        <f>IF($A136&lt;&gt;0,VLOOKUP($A136,'0.Productos'!$A$3:$GG$587,'0.Productos'!DG$1+1,0),"")</f>
        <v/>
      </c>
      <c r="BP136" s="133" t="str">
        <f>IF($A136&lt;&gt;0,VLOOKUP($A136,'0.Productos'!$A$3:$GG$587,'0.Productos'!DH$1+1,0),"")</f>
        <v/>
      </c>
      <c r="BQ136" s="133" t="str">
        <f>IF($A136&lt;&gt;0,VLOOKUP($A136,'0.Productos'!$A$3:$GG$587,'0.Productos'!DI$1+1,0),"")</f>
        <v/>
      </c>
      <c r="BR136" s="133" t="str">
        <f>IF($A136&lt;&gt;0,VLOOKUP($A136,'0.Productos'!$A$3:$GG$587,'0.Productos'!DJ$1+1,0),"")</f>
        <v/>
      </c>
      <c r="BS136" s="133" t="str">
        <f>IF($A136&lt;&gt;0,VLOOKUP($A136,'0.Productos'!$A$3:$GG$587,'0.Productos'!DK$1+1,0),"")</f>
        <v/>
      </c>
      <c r="BT136" s="133" t="str">
        <f>IF($A136&lt;&gt;0,VLOOKUP($A136,'0.Productos'!$A$3:$GG$587,'0.Productos'!DL$1+1,0),"")</f>
        <v/>
      </c>
    </row>
    <row r="137" spans="1:72" x14ac:dyDescent="0.25">
      <c r="A137" s="17">
        <f>'0.Consolidado general'!A137</f>
        <v>0</v>
      </c>
      <c r="B137" s="133" t="str">
        <f>IF($A137&lt;&gt;0,VLOOKUP($A137,'0.Productos'!$A$3:$GG$587,'0.Productos'!AT$1+1,0),"")</f>
        <v/>
      </c>
      <c r="C137" s="133" t="str">
        <f>IF($A137&lt;&gt;0,VLOOKUP($A137,'0.Productos'!$A$3:$GG$587,'0.Productos'!AU$1+1,0),"")</f>
        <v/>
      </c>
      <c r="D137" s="133" t="str">
        <f>IF($A137&lt;&gt;0,VLOOKUP($A137,'0.Productos'!$A$3:$GG$587,'0.Productos'!AV$1+1,0),"")</f>
        <v/>
      </c>
      <c r="E137" s="133" t="str">
        <f>IF($A137&lt;&gt;0,VLOOKUP($A137,'0.Productos'!$A$3:$GG$587,'0.Productos'!AW$1+1,0),"")</f>
        <v/>
      </c>
      <c r="F137" s="133" t="str">
        <f>IF($A137&lt;&gt;0,VLOOKUP($A137,'0.Productos'!$A$3:$GG$587,'0.Productos'!AX$1+1,0),"")</f>
        <v/>
      </c>
      <c r="G137" s="133" t="str">
        <f>IF($A137&lt;&gt;0,VLOOKUP($A137,'0.Productos'!$A$3:$GG$587,'0.Productos'!AY$1+1,0),"")</f>
        <v/>
      </c>
      <c r="H137" s="133" t="str">
        <f>IF($A137&lt;&gt;0,VLOOKUP($A137,'0.Productos'!$A$3:$GG$587,'0.Productos'!AZ$1+1,0),"")</f>
        <v/>
      </c>
      <c r="I137" s="133" t="str">
        <f>IF($A137&lt;&gt;0,VLOOKUP($A137,'0.Productos'!$A$3:$GG$587,'0.Productos'!BA$1+1,0),"")</f>
        <v/>
      </c>
      <c r="J137" s="133" t="str">
        <f>IF($A137&lt;&gt;0,VLOOKUP($A137,'0.Productos'!$A$3:$GG$587,'0.Productos'!BB$1+1,0),"")</f>
        <v/>
      </c>
      <c r="K137" s="133" t="str">
        <f>IF($A137&lt;&gt;0,VLOOKUP($A137,'0.Productos'!$A$3:$GG$587,'0.Productos'!BC$1+1,0),"")</f>
        <v/>
      </c>
      <c r="L137" s="133" t="str">
        <f>IF($A137&lt;&gt;0,VLOOKUP($A137,'0.Productos'!$A$3:$GG$587,'0.Productos'!BD$1+1,0),"")</f>
        <v/>
      </c>
      <c r="M137" s="133" t="str">
        <f>IF($A137&lt;&gt;0,VLOOKUP($A137,'0.Productos'!$A$3:$GG$587,'0.Productos'!BE$1+1,0),"")</f>
        <v/>
      </c>
      <c r="N137" s="133" t="str">
        <f>IF($A137&lt;&gt;0,VLOOKUP($A137,'0.Productos'!$A$3:$GG$587,'0.Productos'!BF$1+1,0),"")</f>
        <v/>
      </c>
      <c r="O137" s="133" t="str">
        <f>IF($A137&lt;&gt;0,VLOOKUP($A137,'0.Productos'!$A$3:$GG$587,'0.Productos'!BG$1+1,0),"")</f>
        <v/>
      </c>
      <c r="P137" s="133" t="str">
        <f>IF($A137&lt;&gt;0,VLOOKUP($A137,'0.Productos'!$A$3:$GG$587,'0.Productos'!BH$1+1,0),"")</f>
        <v/>
      </c>
      <c r="Q137" s="133" t="str">
        <f>IF($A137&lt;&gt;0,VLOOKUP($A137,'0.Productos'!$A$3:$GG$587,'0.Productos'!BI$1+1,0),"")</f>
        <v/>
      </c>
      <c r="R137" s="133" t="str">
        <f>IF($A137&lt;&gt;0,VLOOKUP($A137,'0.Productos'!$A$3:$GG$587,'0.Productos'!BJ$1+1,0),"")</f>
        <v/>
      </c>
      <c r="S137" s="133" t="str">
        <f>IF($A137&lt;&gt;0,VLOOKUP($A137,'0.Productos'!$A$3:$GG$587,'0.Productos'!BK$1+1,0),"")</f>
        <v/>
      </c>
      <c r="T137" s="133" t="str">
        <f>IF($A137&lt;&gt;0,VLOOKUP($A137,'0.Productos'!$A$3:$GG$587,'0.Productos'!BL$1+1,0),"")</f>
        <v/>
      </c>
      <c r="U137" s="133" t="str">
        <f>IF($A137&lt;&gt;0,VLOOKUP($A137,'0.Productos'!$A$3:$GG$587,'0.Productos'!BM$1+1,0),"")</f>
        <v/>
      </c>
      <c r="V137" s="133" t="str">
        <f>IF($A137&lt;&gt;0,VLOOKUP($A137,'0.Productos'!$A$3:$GG$587,'0.Productos'!BN$1+1,0),"")</f>
        <v/>
      </c>
      <c r="W137" s="133" t="str">
        <f>IF($A137&lt;&gt;0,VLOOKUP($A137,'0.Productos'!$A$3:$GG$587,'0.Productos'!BO$1+1,0),"")</f>
        <v/>
      </c>
      <c r="X137" s="133" t="str">
        <f>IF($A137&lt;&gt;0,VLOOKUP($A137,'0.Productos'!$A$3:$GG$587,'0.Productos'!BP$1+1,0),"")</f>
        <v/>
      </c>
      <c r="Y137" s="133" t="str">
        <f>IF($A137&lt;&gt;0,VLOOKUP($A137,'0.Productos'!$A$3:$GG$587,'0.Productos'!BQ$1+1,0),"")</f>
        <v/>
      </c>
      <c r="Z137" s="133" t="str">
        <f>IF($A137&lt;&gt;0,VLOOKUP($A137,'0.Productos'!$A$3:$GG$587,'0.Productos'!BR$1+1,0),"")</f>
        <v/>
      </c>
      <c r="AA137" s="133" t="str">
        <f>IF($A137&lt;&gt;0,VLOOKUP($A137,'0.Productos'!$A$3:$GG$587,'0.Productos'!BS$1+1,0),"")</f>
        <v/>
      </c>
      <c r="AB137" s="133" t="str">
        <f>IF($A137&lt;&gt;0,VLOOKUP($A137,'0.Productos'!$A$3:$GG$587,'0.Productos'!BT$1+1,0),"")</f>
        <v/>
      </c>
      <c r="AC137" s="133" t="str">
        <f>IF($A137&lt;&gt;0,VLOOKUP($A137,'0.Productos'!$A$3:$GG$587,'0.Productos'!BU$1+1,0),"")</f>
        <v/>
      </c>
      <c r="AD137" s="133" t="str">
        <f>IF($A137&lt;&gt;0,VLOOKUP($A137,'0.Productos'!$A$3:$GG$587,'0.Productos'!BV$1+1,0),"")</f>
        <v/>
      </c>
      <c r="AE137" s="133" t="str">
        <f>IF($A137&lt;&gt;0,VLOOKUP($A137,'0.Productos'!$A$3:$GG$587,'0.Productos'!BW$1+1,0),"")</f>
        <v/>
      </c>
      <c r="AF137" s="133" t="str">
        <f>IF($A137&lt;&gt;0,VLOOKUP($A137,'0.Productos'!$A$3:$GG$587,'0.Productos'!BX$1+1,0),"")</f>
        <v/>
      </c>
      <c r="AG137" s="133" t="str">
        <f>IF($A137&lt;&gt;0,VLOOKUP($A137,'0.Productos'!$A$3:$GG$587,'0.Productos'!BY$1+1,0),"")</f>
        <v/>
      </c>
      <c r="AH137" s="133" t="str">
        <f>IF($A137&lt;&gt;0,VLOOKUP($A137,'0.Productos'!$A$3:$GG$587,'0.Productos'!BZ$1+1,0),"")</f>
        <v/>
      </c>
      <c r="AI137" s="133" t="str">
        <f>IF($A137&lt;&gt;0,VLOOKUP($A137,'0.Productos'!$A$3:$GG$587,'0.Productos'!CA$1+1,0),"")</f>
        <v/>
      </c>
      <c r="AJ137" s="133" t="str">
        <f>IF($A137&lt;&gt;0,VLOOKUP($A137,'0.Productos'!$A$3:$GG$587,'0.Productos'!CB$1+1,0),"")</f>
        <v/>
      </c>
      <c r="AK137" s="133" t="str">
        <f>IF($A137&lt;&gt;0,VLOOKUP($A137,'0.Productos'!$A$3:$GG$587,'0.Productos'!CC$1+1,0),"")</f>
        <v/>
      </c>
      <c r="AL137" s="133" t="str">
        <f>IF($A137&lt;&gt;0,VLOOKUP($A137,'0.Productos'!$A$3:$GG$587,'0.Productos'!CD$1+1,0),"")</f>
        <v/>
      </c>
      <c r="AM137" s="133" t="str">
        <f>IF($A137&lt;&gt;0,VLOOKUP($A137,'0.Productos'!$A$3:$GG$587,'0.Productos'!CE$1+1,0),"")</f>
        <v/>
      </c>
      <c r="AN137" s="133" t="str">
        <f>IF($A137&lt;&gt;0,VLOOKUP($A137,'0.Productos'!$A$3:$GG$587,'0.Productos'!CF$1+1,0),"")</f>
        <v/>
      </c>
      <c r="AO137" s="133" t="str">
        <f>IF($A137&lt;&gt;0,VLOOKUP($A137,'0.Productos'!$A$3:$GG$587,'0.Productos'!CG$1+1,0),"")</f>
        <v/>
      </c>
      <c r="AP137" s="133" t="str">
        <f>IF($A137&lt;&gt;0,VLOOKUP($A137,'0.Productos'!$A$3:$GG$587,'0.Productos'!CH$1+1,0),"")</f>
        <v/>
      </c>
      <c r="AQ137" s="133" t="str">
        <f>IF($A137&lt;&gt;0,VLOOKUP($A137,'0.Productos'!$A$3:$GG$587,'0.Productos'!CI$1+1,0),"")</f>
        <v/>
      </c>
      <c r="AR137" s="133" t="str">
        <f>IF($A137&lt;&gt;0,VLOOKUP($A137,'0.Productos'!$A$3:$GG$587,'0.Productos'!CJ$1+1,0),"")</f>
        <v/>
      </c>
      <c r="AS137" s="133" t="str">
        <f>IF($A137&lt;&gt;0,VLOOKUP($A137,'0.Productos'!$A$3:$GG$587,'0.Productos'!CK$1+1,0),"")</f>
        <v/>
      </c>
      <c r="AT137" s="133" t="str">
        <f>IF($A137&lt;&gt;0,VLOOKUP($A137,'0.Productos'!$A$3:$GG$587,'0.Productos'!CL$1+1,0),"")</f>
        <v/>
      </c>
      <c r="AU137" s="133" t="str">
        <f>IF($A137&lt;&gt;0,VLOOKUP($A137,'0.Productos'!$A$3:$GG$587,'0.Productos'!CM$1+1,0),"")</f>
        <v/>
      </c>
      <c r="AV137" s="133" t="str">
        <f>IF($A137&lt;&gt;0,VLOOKUP($A137,'0.Productos'!$A$3:$GG$587,'0.Productos'!CN$1+1,0),"")</f>
        <v/>
      </c>
      <c r="AW137" s="133" t="str">
        <f>IF($A137&lt;&gt;0,VLOOKUP($A137,'0.Productos'!$A$3:$GG$587,'0.Productos'!CO$1+1,0),"")</f>
        <v/>
      </c>
      <c r="AX137" s="133" t="str">
        <f>IF($A137&lt;&gt;0,VLOOKUP($A137,'0.Productos'!$A$3:$GG$587,'0.Productos'!CP$1+1,0),"")</f>
        <v/>
      </c>
      <c r="AY137" s="133" t="str">
        <f>IF($A137&lt;&gt;0,VLOOKUP($A137,'0.Productos'!$A$3:$GG$587,'0.Productos'!CQ$1+1,0),"")</f>
        <v/>
      </c>
      <c r="AZ137" s="133" t="str">
        <f>IF($A137&lt;&gt;0,VLOOKUP($A137,'0.Productos'!$A$3:$GG$587,'0.Productos'!CR$1+1,0),"")</f>
        <v/>
      </c>
      <c r="BA137" s="133" t="str">
        <f>IF($A137&lt;&gt;0,VLOOKUP($A137,'0.Productos'!$A$3:$GG$587,'0.Productos'!CS$1+1,0),"")</f>
        <v/>
      </c>
      <c r="BB137" s="133" t="str">
        <f>IF($A137&lt;&gt;0,VLOOKUP($A137,'0.Productos'!$A$3:$GG$587,'0.Productos'!CT$1+1,0),"")</f>
        <v/>
      </c>
      <c r="BC137" s="133" t="str">
        <f>IF($A137&lt;&gt;0,VLOOKUP($A137,'0.Productos'!$A$3:$GG$587,'0.Productos'!CU$1+1,0),"")</f>
        <v/>
      </c>
      <c r="BD137" s="133" t="str">
        <f>IF($A137&lt;&gt;0,VLOOKUP($A137,'0.Productos'!$A$3:$GG$587,'0.Productos'!CV$1+1,0),"")</f>
        <v/>
      </c>
      <c r="BE137" s="133" t="str">
        <f>IF($A137&lt;&gt;0,VLOOKUP($A137,'0.Productos'!$A$3:$GG$587,'0.Productos'!CW$1+1,0),"")</f>
        <v/>
      </c>
      <c r="BF137" s="133" t="str">
        <f>IF($A137&lt;&gt;0,VLOOKUP($A137,'0.Productos'!$A$3:$GG$587,'0.Productos'!CX$1+1,0),"")</f>
        <v/>
      </c>
      <c r="BG137" s="133" t="str">
        <f>IF($A137&lt;&gt;0,VLOOKUP($A137,'0.Productos'!$A$3:$GG$587,'0.Productos'!CY$1+1,0),"")</f>
        <v/>
      </c>
      <c r="BH137" s="133" t="str">
        <f>IF($A137&lt;&gt;0,VLOOKUP($A137,'0.Productos'!$A$3:$GG$587,'0.Productos'!CZ$1+1,0),"")</f>
        <v/>
      </c>
      <c r="BI137" s="133" t="str">
        <f>IF($A137&lt;&gt;0,VLOOKUP($A137,'0.Productos'!$A$3:$GG$587,'0.Productos'!DA$1+1,0),"")</f>
        <v/>
      </c>
      <c r="BJ137" s="133" t="str">
        <f>IF($A137&lt;&gt;0,VLOOKUP($A137,'0.Productos'!$A$3:$GG$587,'0.Productos'!DB$1+1,0),"")</f>
        <v/>
      </c>
      <c r="BK137" s="133" t="str">
        <f>IF($A137&lt;&gt;0,VLOOKUP($A137,'0.Productos'!$A$3:$GG$587,'0.Productos'!DC$1+1,0),"")</f>
        <v/>
      </c>
      <c r="BL137" s="133" t="str">
        <f>IF($A137&lt;&gt;0,VLOOKUP($A137,'0.Productos'!$A$3:$GG$587,'0.Productos'!DD$1+1,0),"")</f>
        <v/>
      </c>
      <c r="BM137" s="133" t="str">
        <f>IF($A137&lt;&gt;0,VLOOKUP($A137,'0.Productos'!$A$3:$GG$587,'0.Productos'!DE$1+1,0),"")</f>
        <v/>
      </c>
      <c r="BN137" s="133" t="str">
        <f>IF($A137&lt;&gt;0,VLOOKUP($A137,'0.Productos'!$A$3:$GG$587,'0.Productos'!DF$1+1,0),"")</f>
        <v/>
      </c>
      <c r="BO137" s="133" t="str">
        <f>IF($A137&lt;&gt;0,VLOOKUP($A137,'0.Productos'!$A$3:$GG$587,'0.Productos'!DG$1+1,0),"")</f>
        <v/>
      </c>
      <c r="BP137" s="133" t="str">
        <f>IF($A137&lt;&gt;0,VLOOKUP($A137,'0.Productos'!$A$3:$GG$587,'0.Productos'!DH$1+1,0),"")</f>
        <v/>
      </c>
      <c r="BQ137" s="133" t="str">
        <f>IF($A137&lt;&gt;0,VLOOKUP($A137,'0.Productos'!$A$3:$GG$587,'0.Productos'!DI$1+1,0),"")</f>
        <v/>
      </c>
      <c r="BR137" s="133" t="str">
        <f>IF($A137&lt;&gt;0,VLOOKUP($A137,'0.Productos'!$A$3:$GG$587,'0.Productos'!DJ$1+1,0),"")</f>
        <v/>
      </c>
      <c r="BS137" s="133" t="str">
        <f>IF($A137&lt;&gt;0,VLOOKUP($A137,'0.Productos'!$A$3:$GG$587,'0.Productos'!DK$1+1,0),"")</f>
        <v/>
      </c>
      <c r="BT137" s="133" t="str">
        <f>IF($A137&lt;&gt;0,VLOOKUP($A137,'0.Productos'!$A$3:$GG$587,'0.Productos'!DL$1+1,0),"")</f>
        <v/>
      </c>
    </row>
    <row r="138" spans="1:72" x14ac:dyDescent="0.25">
      <c r="A138" s="17">
        <f>'0.Consolidado general'!A138</f>
        <v>0</v>
      </c>
      <c r="B138" s="133" t="str">
        <f>IF($A138&lt;&gt;0,VLOOKUP($A138,'0.Productos'!$A$3:$GG$587,'0.Productos'!AT$1+1,0),"")</f>
        <v/>
      </c>
      <c r="C138" s="133" t="str">
        <f>IF($A138&lt;&gt;0,VLOOKUP($A138,'0.Productos'!$A$3:$GG$587,'0.Productos'!AU$1+1,0),"")</f>
        <v/>
      </c>
      <c r="D138" s="133" t="str">
        <f>IF($A138&lt;&gt;0,VLOOKUP($A138,'0.Productos'!$A$3:$GG$587,'0.Productos'!AV$1+1,0),"")</f>
        <v/>
      </c>
      <c r="E138" s="133" t="str">
        <f>IF($A138&lt;&gt;0,VLOOKUP($A138,'0.Productos'!$A$3:$GG$587,'0.Productos'!AW$1+1,0),"")</f>
        <v/>
      </c>
      <c r="F138" s="133" t="str">
        <f>IF($A138&lt;&gt;0,VLOOKUP($A138,'0.Productos'!$A$3:$GG$587,'0.Productos'!AX$1+1,0),"")</f>
        <v/>
      </c>
      <c r="G138" s="133" t="str">
        <f>IF($A138&lt;&gt;0,VLOOKUP($A138,'0.Productos'!$A$3:$GG$587,'0.Productos'!AY$1+1,0),"")</f>
        <v/>
      </c>
      <c r="H138" s="133" t="str">
        <f>IF($A138&lt;&gt;0,VLOOKUP($A138,'0.Productos'!$A$3:$GG$587,'0.Productos'!AZ$1+1,0),"")</f>
        <v/>
      </c>
      <c r="I138" s="133" t="str">
        <f>IF($A138&lt;&gt;0,VLOOKUP($A138,'0.Productos'!$A$3:$GG$587,'0.Productos'!BA$1+1,0),"")</f>
        <v/>
      </c>
      <c r="J138" s="133" t="str">
        <f>IF($A138&lt;&gt;0,VLOOKUP($A138,'0.Productos'!$A$3:$GG$587,'0.Productos'!BB$1+1,0),"")</f>
        <v/>
      </c>
      <c r="K138" s="133" t="str">
        <f>IF($A138&lt;&gt;0,VLOOKUP($A138,'0.Productos'!$A$3:$GG$587,'0.Productos'!BC$1+1,0),"")</f>
        <v/>
      </c>
      <c r="L138" s="133" t="str">
        <f>IF($A138&lt;&gt;0,VLOOKUP($A138,'0.Productos'!$A$3:$GG$587,'0.Productos'!BD$1+1,0),"")</f>
        <v/>
      </c>
      <c r="M138" s="133" t="str">
        <f>IF($A138&lt;&gt;0,VLOOKUP($A138,'0.Productos'!$A$3:$GG$587,'0.Productos'!BE$1+1,0),"")</f>
        <v/>
      </c>
      <c r="N138" s="133" t="str">
        <f>IF($A138&lt;&gt;0,VLOOKUP($A138,'0.Productos'!$A$3:$GG$587,'0.Productos'!BF$1+1,0),"")</f>
        <v/>
      </c>
      <c r="O138" s="133" t="str">
        <f>IF($A138&lt;&gt;0,VLOOKUP($A138,'0.Productos'!$A$3:$GG$587,'0.Productos'!BG$1+1,0),"")</f>
        <v/>
      </c>
      <c r="P138" s="133" t="str">
        <f>IF($A138&lt;&gt;0,VLOOKUP($A138,'0.Productos'!$A$3:$GG$587,'0.Productos'!BH$1+1,0),"")</f>
        <v/>
      </c>
      <c r="Q138" s="133" t="str">
        <f>IF($A138&lt;&gt;0,VLOOKUP($A138,'0.Productos'!$A$3:$GG$587,'0.Productos'!BI$1+1,0),"")</f>
        <v/>
      </c>
      <c r="R138" s="133" t="str">
        <f>IF($A138&lt;&gt;0,VLOOKUP($A138,'0.Productos'!$A$3:$GG$587,'0.Productos'!BJ$1+1,0),"")</f>
        <v/>
      </c>
      <c r="S138" s="133" t="str">
        <f>IF($A138&lt;&gt;0,VLOOKUP($A138,'0.Productos'!$A$3:$GG$587,'0.Productos'!BK$1+1,0),"")</f>
        <v/>
      </c>
      <c r="T138" s="133" t="str">
        <f>IF($A138&lt;&gt;0,VLOOKUP($A138,'0.Productos'!$A$3:$GG$587,'0.Productos'!BL$1+1,0),"")</f>
        <v/>
      </c>
      <c r="U138" s="133" t="str">
        <f>IF($A138&lt;&gt;0,VLOOKUP($A138,'0.Productos'!$A$3:$GG$587,'0.Productos'!BM$1+1,0),"")</f>
        <v/>
      </c>
      <c r="V138" s="133" t="str">
        <f>IF($A138&lt;&gt;0,VLOOKUP($A138,'0.Productos'!$A$3:$GG$587,'0.Productos'!BN$1+1,0),"")</f>
        <v/>
      </c>
      <c r="W138" s="133" t="str">
        <f>IF($A138&lt;&gt;0,VLOOKUP($A138,'0.Productos'!$A$3:$GG$587,'0.Productos'!BO$1+1,0),"")</f>
        <v/>
      </c>
      <c r="X138" s="133" t="str">
        <f>IF($A138&lt;&gt;0,VLOOKUP($A138,'0.Productos'!$A$3:$GG$587,'0.Productos'!BP$1+1,0),"")</f>
        <v/>
      </c>
      <c r="Y138" s="133" t="str">
        <f>IF($A138&lt;&gt;0,VLOOKUP($A138,'0.Productos'!$A$3:$GG$587,'0.Productos'!BQ$1+1,0),"")</f>
        <v/>
      </c>
      <c r="Z138" s="133" t="str">
        <f>IF($A138&lt;&gt;0,VLOOKUP($A138,'0.Productos'!$A$3:$GG$587,'0.Productos'!BR$1+1,0),"")</f>
        <v/>
      </c>
      <c r="AA138" s="133" t="str">
        <f>IF($A138&lt;&gt;0,VLOOKUP($A138,'0.Productos'!$A$3:$GG$587,'0.Productos'!BS$1+1,0),"")</f>
        <v/>
      </c>
      <c r="AB138" s="133" t="str">
        <f>IF($A138&lt;&gt;0,VLOOKUP($A138,'0.Productos'!$A$3:$GG$587,'0.Productos'!BT$1+1,0),"")</f>
        <v/>
      </c>
      <c r="AC138" s="133" t="str">
        <f>IF($A138&lt;&gt;0,VLOOKUP($A138,'0.Productos'!$A$3:$GG$587,'0.Productos'!BU$1+1,0),"")</f>
        <v/>
      </c>
      <c r="AD138" s="133" t="str">
        <f>IF($A138&lt;&gt;0,VLOOKUP($A138,'0.Productos'!$A$3:$GG$587,'0.Productos'!BV$1+1,0),"")</f>
        <v/>
      </c>
      <c r="AE138" s="133" t="str">
        <f>IF($A138&lt;&gt;0,VLOOKUP($A138,'0.Productos'!$A$3:$GG$587,'0.Productos'!BW$1+1,0),"")</f>
        <v/>
      </c>
      <c r="AF138" s="133" t="str">
        <f>IF($A138&lt;&gt;0,VLOOKUP($A138,'0.Productos'!$A$3:$GG$587,'0.Productos'!BX$1+1,0),"")</f>
        <v/>
      </c>
      <c r="AG138" s="133" t="str">
        <f>IF($A138&lt;&gt;0,VLOOKUP($A138,'0.Productos'!$A$3:$GG$587,'0.Productos'!BY$1+1,0),"")</f>
        <v/>
      </c>
      <c r="AH138" s="133" t="str">
        <f>IF($A138&lt;&gt;0,VLOOKUP($A138,'0.Productos'!$A$3:$GG$587,'0.Productos'!BZ$1+1,0),"")</f>
        <v/>
      </c>
      <c r="AI138" s="133" t="str">
        <f>IF($A138&lt;&gt;0,VLOOKUP($A138,'0.Productos'!$A$3:$GG$587,'0.Productos'!CA$1+1,0),"")</f>
        <v/>
      </c>
      <c r="AJ138" s="133" t="str">
        <f>IF($A138&lt;&gt;0,VLOOKUP($A138,'0.Productos'!$A$3:$GG$587,'0.Productos'!CB$1+1,0),"")</f>
        <v/>
      </c>
      <c r="AK138" s="133" t="str">
        <f>IF($A138&lt;&gt;0,VLOOKUP($A138,'0.Productos'!$A$3:$GG$587,'0.Productos'!CC$1+1,0),"")</f>
        <v/>
      </c>
      <c r="AL138" s="133" t="str">
        <f>IF($A138&lt;&gt;0,VLOOKUP($A138,'0.Productos'!$A$3:$GG$587,'0.Productos'!CD$1+1,0),"")</f>
        <v/>
      </c>
      <c r="AM138" s="133" t="str">
        <f>IF($A138&lt;&gt;0,VLOOKUP($A138,'0.Productos'!$A$3:$GG$587,'0.Productos'!CE$1+1,0),"")</f>
        <v/>
      </c>
      <c r="AN138" s="133" t="str">
        <f>IF($A138&lt;&gt;0,VLOOKUP($A138,'0.Productos'!$A$3:$GG$587,'0.Productos'!CF$1+1,0),"")</f>
        <v/>
      </c>
      <c r="AO138" s="133" t="str">
        <f>IF($A138&lt;&gt;0,VLOOKUP($A138,'0.Productos'!$A$3:$GG$587,'0.Productos'!CG$1+1,0),"")</f>
        <v/>
      </c>
      <c r="AP138" s="133" t="str">
        <f>IF($A138&lt;&gt;0,VLOOKUP($A138,'0.Productos'!$A$3:$GG$587,'0.Productos'!CH$1+1,0),"")</f>
        <v/>
      </c>
      <c r="AQ138" s="133" t="str">
        <f>IF($A138&lt;&gt;0,VLOOKUP($A138,'0.Productos'!$A$3:$GG$587,'0.Productos'!CI$1+1,0),"")</f>
        <v/>
      </c>
      <c r="AR138" s="133" t="str">
        <f>IF($A138&lt;&gt;0,VLOOKUP($A138,'0.Productos'!$A$3:$GG$587,'0.Productos'!CJ$1+1,0),"")</f>
        <v/>
      </c>
      <c r="AS138" s="133" t="str">
        <f>IF($A138&lt;&gt;0,VLOOKUP($A138,'0.Productos'!$A$3:$GG$587,'0.Productos'!CK$1+1,0),"")</f>
        <v/>
      </c>
      <c r="AT138" s="133" t="str">
        <f>IF($A138&lt;&gt;0,VLOOKUP($A138,'0.Productos'!$A$3:$GG$587,'0.Productos'!CL$1+1,0),"")</f>
        <v/>
      </c>
      <c r="AU138" s="133" t="str">
        <f>IF($A138&lt;&gt;0,VLOOKUP($A138,'0.Productos'!$A$3:$GG$587,'0.Productos'!CM$1+1,0),"")</f>
        <v/>
      </c>
      <c r="AV138" s="133" t="str">
        <f>IF($A138&lt;&gt;0,VLOOKUP($A138,'0.Productos'!$A$3:$GG$587,'0.Productos'!CN$1+1,0),"")</f>
        <v/>
      </c>
      <c r="AW138" s="133" t="str">
        <f>IF($A138&lt;&gt;0,VLOOKUP($A138,'0.Productos'!$A$3:$GG$587,'0.Productos'!CO$1+1,0),"")</f>
        <v/>
      </c>
      <c r="AX138" s="133" t="str">
        <f>IF($A138&lt;&gt;0,VLOOKUP($A138,'0.Productos'!$A$3:$GG$587,'0.Productos'!CP$1+1,0),"")</f>
        <v/>
      </c>
      <c r="AY138" s="133" t="str">
        <f>IF($A138&lt;&gt;0,VLOOKUP($A138,'0.Productos'!$A$3:$GG$587,'0.Productos'!CQ$1+1,0),"")</f>
        <v/>
      </c>
      <c r="AZ138" s="133" t="str">
        <f>IF($A138&lt;&gt;0,VLOOKUP($A138,'0.Productos'!$A$3:$GG$587,'0.Productos'!CR$1+1,0),"")</f>
        <v/>
      </c>
      <c r="BA138" s="133" t="str">
        <f>IF($A138&lt;&gt;0,VLOOKUP($A138,'0.Productos'!$A$3:$GG$587,'0.Productos'!CS$1+1,0),"")</f>
        <v/>
      </c>
      <c r="BB138" s="133" t="str">
        <f>IF($A138&lt;&gt;0,VLOOKUP($A138,'0.Productos'!$A$3:$GG$587,'0.Productos'!CT$1+1,0),"")</f>
        <v/>
      </c>
      <c r="BC138" s="133" t="str">
        <f>IF($A138&lt;&gt;0,VLOOKUP($A138,'0.Productos'!$A$3:$GG$587,'0.Productos'!CU$1+1,0),"")</f>
        <v/>
      </c>
      <c r="BD138" s="133" t="str">
        <f>IF($A138&lt;&gt;0,VLOOKUP($A138,'0.Productos'!$A$3:$GG$587,'0.Productos'!CV$1+1,0),"")</f>
        <v/>
      </c>
      <c r="BE138" s="133" t="str">
        <f>IF($A138&lt;&gt;0,VLOOKUP($A138,'0.Productos'!$A$3:$GG$587,'0.Productos'!CW$1+1,0),"")</f>
        <v/>
      </c>
      <c r="BF138" s="133" t="str">
        <f>IF($A138&lt;&gt;0,VLOOKUP($A138,'0.Productos'!$A$3:$GG$587,'0.Productos'!CX$1+1,0),"")</f>
        <v/>
      </c>
      <c r="BG138" s="133" t="str">
        <f>IF($A138&lt;&gt;0,VLOOKUP($A138,'0.Productos'!$A$3:$GG$587,'0.Productos'!CY$1+1,0),"")</f>
        <v/>
      </c>
      <c r="BH138" s="133" t="str">
        <f>IF($A138&lt;&gt;0,VLOOKUP($A138,'0.Productos'!$A$3:$GG$587,'0.Productos'!CZ$1+1,0),"")</f>
        <v/>
      </c>
      <c r="BI138" s="133" t="str">
        <f>IF($A138&lt;&gt;0,VLOOKUP($A138,'0.Productos'!$A$3:$GG$587,'0.Productos'!DA$1+1,0),"")</f>
        <v/>
      </c>
      <c r="BJ138" s="133" t="str">
        <f>IF($A138&lt;&gt;0,VLOOKUP($A138,'0.Productos'!$A$3:$GG$587,'0.Productos'!DB$1+1,0),"")</f>
        <v/>
      </c>
      <c r="BK138" s="133" t="str">
        <f>IF($A138&lt;&gt;0,VLOOKUP($A138,'0.Productos'!$A$3:$GG$587,'0.Productos'!DC$1+1,0),"")</f>
        <v/>
      </c>
      <c r="BL138" s="133" t="str">
        <f>IF($A138&lt;&gt;0,VLOOKUP($A138,'0.Productos'!$A$3:$GG$587,'0.Productos'!DD$1+1,0),"")</f>
        <v/>
      </c>
      <c r="BM138" s="133" t="str">
        <f>IF($A138&lt;&gt;0,VLOOKUP($A138,'0.Productos'!$A$3:$GG$587,'0.Productos'!DE$1+1,0),"")</f>
        <v/>
      </c>
      <c r="BN138" s="133" t="str">
        <f>IF($A138&lt;&gt;0,VLOOKUP($A138,'0.Productos'!$A$3:$GG$587,'0.Productos'!DF$1+1,0),"")</f>
        <v/>
      </c>
      <c r="BO138" s="133" t="str">
        <f>IF($A138&lt;&gt;0,VLOOKUP($A138,'0.Productos'!$A$3:$GG$587,'0.Productos'!DG$1+1,0),"")</f>
        <v/>
      </c>
      <c r="BP138" s="133" t="str">
        <f>IF($A138&lt;&gt;0,VLOOKUP($A138,'0.Productos'!$A$3:$GG$587,'0.Productos'!DH$1+1,0),"")</f>
        <v/>
      </c>
      <c r="BQ138" s="133" t="str">
        <f>IF($A138&lt;&gt;0,VLOOKUP($A138,'0.Productos'!$A$3:$GG$587,'0.Productos'!DI$1+1,0),"")</f>
        <v/>
      </c>
      <c r="BR138" s="133" t="str">
        <f>IF($A138&lt;&gt;0,VLOOKUP($A138,'0.Productos'!$A$3:$GG$587,'0.Productos'!DJ$1+1,0),"")</f>
        <v/>
      </c>
      <c r="BS138" s="133" t="str">
        <f>IF($A138&lt;&gt;0,VLOOKUP($A138,'0.Productos'!$A$3:$GG$587,'0.Productos'!DK$1+1,0),"")</f>
        <v/>
      </c>
      <c r="BT138" s="133" t="str">
        <f>IF($A138&lt;&gt;0,VLOOKUP($A138,'0.Productos'!$A$3:$GG$587,'0.Productos'!DL$1+1,0),"")</f>
        <v/>
      </c>
    </row>
    <row r="139" spans="1:72" x14ac:dyDescent="0.25">
      <c r="A139" s="17">
        <f>'0.Consolidado general'!A139</f>
        <v>0</v>
      </c>
      <c r="B139" s="133" t="str">
        <f>IF($A139&lt;&gt;0,VLOOKUP($A139,'0.Productos'!$A$3:$GG$587,'0.Productos'!AT$1+1,0),"")</f>
        <v/>
      </c>
      <c r="C139" s="133" t="str">
        <f>IF($A139&lt;&gt;0,VLOOKUP($A139,'0.Productos'!$A$3:$GG$587,'0.Productos'!AU$1+1,0),"")</f>
        <v/>
      </c>
      <c r="D139" s="133" t="str">
        <f>IF($A139&lt;&gt;0,VLOOKUP($A139,'0.Productos'!$A$3:$GG$587,'0.Productos'!AV$1+1,0),"")</f>
        <v/>
      </c>
      <c r="E139" s="133" t="str">
        <f>IF($A139&lt;&gt;0,VLOOKUP($A139,'0.Productos'!$A$3:$GG$587,'0.Productos'!AW$1+1,0),"")</f>
        <v/>
      </c>
      <c r="F139" s="133" t="str">
        <f>IF($A139&lt;&gt;0,VLOOKUP($A139,'0.Productos'!$A$3:$GG$587,'0.Productos'!AX$1+1,0),"")</f>
        <v/>
      </c>
      <c r="G139" s="133" t="str">
        <f>IF($A139&lt;&gt;0,VLOOKUP($A139,'0.Productos'!$A$3:$GG$587,'0.Productos'!AY$1+1,0),"")</f>
        <v/>
      </c>
      <c r="H139" s="133" t="str">
        <f>IF($A139&lt;&gt;0,VLOOKUP($A139,'0.Productos'!$A$3:$GG$587,'0.Productos'!AZ$1+1,0),"")</f>
        <v/>
      </c>
      <c r="I139" s="133" t="str">
        <f>IF($A139&lt;&gt;0,VLOOKUP($A139,'0.Productos'!$A$3:$GG$587,'0.Productos'!BA$1+1,0),"")</f>
        <v/>
      </c>
      <c r="J139" s="133" t="str">
        <f>IF($A139&lt;&gt;0,VLOOKUP($A139,'0.Productos'!$A$3:$GG$587,'0.Productos'!BB$1+1,0),"")</f>
        <v/>
      </c>
      <c r="K139" s="133" t="str">
        <f>IF($A139&lt;&gt;0,VLOOKUP($A139,'0.Productos'!$A$3:$GG$587,'0.Productos'!BC$1+1,0),"")</f>
        <v/>
      </c>
      <c r="L139" s="133" t="str">
        <f>IF($A139&lt;&gt;0,VLOOKUP($A139,'0.Productos'!$A$3:$GG$587,'0.Productos'!BD$1+1,0),"")</f>
        <v/>
      </c>
      <c r="M139" s="133" t="str">
        <f>IF($A139&lt;&gt;0,VLOOKUP($A139,'0.Productos'!$A$3:$GG$587,'0.Productos'!BE$1+1,0),"")</f>
        <v/>
      </c>
      <c r="N139" s="133" t="str">
        <f>IF($A139&lt;&gt;0,VLOOKUP($A139,'0.Productos'!$A$3:$GG$587,'0.Productos'!BF$1+1,0),"")</f>
        <v/>
      </c>
      <c r="O139" s="133" t="str">
        <f>IF($A139&lt;&gt;0,VLOOKUP($A139,'0.Productos'!$A$3:$GG$587,'0.Productos'!BG$1+1,0),"")</f>
        <v/>
      </c>
      <c r="P139" s="133" t="str">
        <f>IF($A139&lt;&gt;0,VLOOKUP($A139,'0.Productos'!$A$3:$GG$587,'0.Productos'!BH$1+1,0),"")</f>
        <v/>
      </c>
      <c r="Q139" s="133" t="str">
        <f>IF($A139&lt;&gt;0,VLOOKUP($A139,'0.Productos'!$A$3:$GG$587,'0.Productos'!BI$1+1,0),"")</f>
        <v/>
      </c>
      <c r="R139" s="133" t="str">
        <f>IF($A139&lt;&gt;0,VLOOKUP($A139,'0.Productos'!$A$3:$GG$587,'0.Productos'!BJ$1+1,0),"")</f>
        <v/>
      </c>
      <c r="S139" s="133" t="str">
        <f>IF($A139&lt;&gt;0,VLOOKUP($A139,'0.Productos'!$A$3:$GG$587,'0.Productos'!BK$1+1,0),"")</f>
        <v/>
      </c>
      <c r="T139" s="133" t="str">
        <f>IF($A139&lt;&gt;0,VLOOKUP($A139,'0.Productos'!$A$3:$GG$587,'0.Productos'!BL$1+1,0),"")</f>
        <v/>
      </c>
      <c r="U139" s="133" t="str">
        <f>IF($A139&lt;&gt;0,VLOOKUP($A139,'0.Productos'!$A$3:$GG$587,'0.Productos'!BM$1+1,0),"")</f>
        <v/>
      </c>
      <c r="V139" s="133" t="str">
        <f>IF($A139&lt;&gt;0,VLOOKUP($A139,'0.Productos'!$A$3:$GG$587,'0.Productos'!BN$1+1,0),"")</f>
        <v/>
      </c>
      <c r="W139" s="133" t="str">
        <f>IF($A139&lt;&gt;0,VLOOKUP($A139,'0.Productos'!$A$3:$GG$587,'0.Productos'!BO$1+1,0),"")</f>
        <v/>
      </c>
      <c r="X139" s="133" t="str">
        <f>IF($A139&lt;&gt;0,VLOOKUP($A139,'0.Productos'!$A$3:$GG$587,'0.Productos'!BP$1+1,0),"")</f>
        <v/>
      </c>
      <c r="Y139" s="133" t="str">
        <f>IF($A139&lt;&gt;0,VLOOKUP($A139,'0.Productos'!$A$3:$GG$587,'0.Productos'!BQ$1+1,0),"")</f>
        <v/>
      </c>
      <c r="Z139" s="133" t="str">
        <f>IF($A139&lt;&gt;0,VLOOKUP($A139,'0.Productos'!$A$3:$GG$587,'0.Productos'!BR$1+1,0),"")</f>
        <v/>
      </c>
      <c r="AA139" s="133" t="str">
        <f>IF($A139&lt;&gt;0,VLOOKUP($A139,'0.Productos'!$A$3:$GG$587,'0.Productos'!BS$1+1,0),"")</f>
        <v/>
      </c>
      <c r="AB139" s="133" t="str">
        <f>IF($A139&lt;&gt;0,VLOOKUP($A139,'0.Productos'!$A$3:$GG$587,'0.Productos'!BT$1+1,0),"")</f>
        <v/>
      </c>
      <c r="AC139" s="133" t="str">
        <f>IF($A139&lt;&gt;0,VLOOKUP($A139,'0.Productos'!$A$3:$GG$587,'0.Productos'!BU$1+1,0),"")</f>
        <v/>
      </c>
      <c r="AD139" s="133" t="str">
        <f>IF($A139&lt;&gt;0,VLOOKUP($A139,'0.Productos'!$A$3:$GG$587,'0.Productos'!BV$1+1,0),"")</f>
        <v/>
      </c>
      <c r="AE139" s="133" t="str">
        <f>IF($A139&lt;&gt;0,VLOOKUP($A139,'0.Productos'!$A$3:$GG$587,'0.Productos'!BW$1+1,0),"")</f>
        <v/>
      </c>
      <c r="AF139" s="133" t="str">
        <f>IF($A139&lt;&gt;0,VLOOKUP($A139,'0.Productos'!$A$3:$GG$587,'0.Productos'!BX$1+1,0),"")</f>
        <v/>
      </c>
      <c r="AG139" s="133" t="str">
        <f>IF($A139&lt;&gt;0,VLOOKUP($A139,'0.Productos'!$A$3:$GG$587,'0.Productos'!BY$1+1,0),"")</f>
        <v/>
      </c>
      <c r="AH139" s="133" t="str">
        <f>IF($A139&lt;&gt;0,VLOOKUP($A139,'0.Productos'!$A$3:$GG$587,'0.Productos'!BZ$1+1,0),"")</f>
        <v/>
      </c>
      <c r="AI139" s="133" t="str">
        <f>IF($A139&lt;&gt;0,VLOOKUP($A139,'0.Productos'!$A$3:$GG$587,'0.Productos'!CA$1+1,0),"")</f>
        <v/>
      </c>
      <c r="AJ139" s="133" t="str">
        <f>IF($A139&lt;&gt;0,VLOOKUP($A139,'0.Productos'!$A$3:$GG$587,'0.Productos'!CB$1+1,0),"")</f>
        <v/>
      </c>
      <c r="AK139" s="133" t="str">
        <f>IF($A139&lt;&gt;0,VLOOKUP($A139,'0.Productos'!$A$3:$GG$587,'0.Productos'!CC$1+1,0),"")</f>
        <v/>
      </c>
      <c r="AL139" s="133" t="str">
        <f>IF($A139&lt;&gt;0,VLOOKUP($A139,'0.Productos'!$A$3:$GG$587,'0.Productos'!CD$1+1,0),"")</f>
        <v/>
      </c>
      <c r="AM139" s="133" t="str">
        <f>IF($A139&lt;&gt;0,VLOOKUP($A139,'0.Productos'!$A$3:$GG$587,'0.Productos'!CE$1+1,0),"")</f>
        <v/>
      </c>
      <c r="AN139" s="133" t="str">
        <f>IF($A139&lt;&gt;0,VLOOKUP($A139,'0.Productos'!$A$3:$GG$587,'0.Productos'!CF$1+1,0),"")</f>
        <v/>
      </c>
      <c r="AO139" s="133" t="str">
        <f>IF($A139&lt;&gt;0,VLOOKUP($A139,'0.Productos'!$A$3:$GG$587,'0.Productos'!CG$1+1,0),"")</f>
        <v/>
      </c>
      <c r="AP139" s="133" t="str">
        <f>IF($A139&lt;&gt;0,VLOOKUP($A139,'0.Productos'!$A$3:$GG$587,'0.Productos'!CH$1+1,0),"")</f>
        <v/>
      </c>
      <c r="AQ139" s="133" t="str">
        <f>IF($A139&lt;&gt;0,VLOOKUP($A139,'0.Productos'!$A$3:$GG$587,'0.Productos'!CI$1+1,0),"")</f>
        <v/>
      </c>
      <c r="AR139" s="133" t="str">
        <f>IF($A139&lt;&gt;0,VLOOKUP($A139,'0.Productos'!$A$3:$GG$587,'0.Productos'!CJ$1+1,0),"")</f>
        <v/>
      </c>
      <c r="AS139" s="133" t="str">
        <f>IF($A139&lt;&gt;0,VLOOKUP($A139,'0.Productos'!$A$3:$GG$587,'0.Productos'!CK$1+1,0),"")</f>
        <v/>
      </c>
      <c r="AT139" s="133" t="str">
        <f>IF($A139&lt;&gt;0,VLOOKUP($A139,'0.Productos'!$A$3:$GG$587,'0.Productos'!CL$1+1,0),"")</f>
        <v/>
      </c>
      <c r="AU139" s="133" t="str">
        <f>IF($A139&lt;&gt;0,VLOOKUP($A139,'0.Productos'!$A$3:$GG$587,'0.Productos'!CM$1+1,0),"")</f>
        <v/>
      </c>
      <c r="AV139" s="133" t="str">
        <f>IF($A139&lt;&gt;0,VLOOKUP($A139,'0.Productos'!$A$3:$GG$587,'0.Productos'!CN$1+1,0),"")</f>
        <v/>
      </c>
      <c r="AW139" s="133" t="str">
        <f>IF($A139&lt;&gt;0,VLOOKUP($A139,'0.Productos'!$A$3:$GG$587,'0.Productos'!CO$1+1,0),"")</f>
        <v/>
      </c>
      <c r="AX139" s="133" t="str">
        <f>IF($A139&lt;&gt;0,VLOOKUP($A139,'0.Productos'!$A$3:$GG$587,'0.Productos'!CP$1+1,0),"")</f>
        <v/>
      </c>
      <c r="AY139" s="133" t="str">
        <f>IF($A139&lt;&gt;0,VLOOKUP($A139,'0.Productos'!$A$3:$GG$587,'0.Productos'!CQ$1+1,0),"")</f>
        <v/>
      </c>
      <c r="AZ139" s="133" t="str">
        <f>IF($A139&lt;&gt;0,VLOOKUP($A139,'0.Productos'!$A$3:$GG$587,'0.Productos'!CR$1+1,0),"")</f>
        <v/>
      </c>
      <c r="BA139" s="133" t="str">
        <f>IF($A139&lt;&gt;0,VLOOKUP($A139,'0.Productos'!$A$3:$GG$587,'0.Productos'!CS$1+1,0),"")</f>
        <v/>
      </c>
      <c r="BB139" s="133" t="str">
        <f>IF($A139&lt;&gt;0,VLOOKUP($A139,'0.Productos'!$A$3:$GG$587,'0.Productos'!CT$1+1,0),"")</f>
        <v/>
      </c>
      <c r="BC139" s="133" t="str">
        <f>IF($A139&lt;&gt;0,VLOOKUP($A139,'0.Productos'!$A$3:$GG$587,'0.Productos'!CU$1+1,0),"")</f>
        <v/>
      </c>
      <c r="BD139" s="133" t="str">
        <f>IF($A139&lt;&gt;0,VLOOKUP($A139,'0.Productos'!$A$3:$GG$587,'0.Productos'!CV$1+1,0),"")</f>
        <v/>
      </c>
      <c r="BE139" s="133" t="str">
        <f>IF($A139&lt;&gt;0,VLOOKUP($A139,'0.Productos'!$A$3:$GG$587,'0.Productos'!CW$1+1,0),"")</f>
        <v/>
      </c>
      <c r="BF139" s="133" t="str">
        <f>IF($A139&lt;&gt;0,VLOOKUP($A139,'0.Productos'!$A$3:$GG$587,'0.Productos'!CX$1+1,0),"")</f>
        <v/>
      </c>
      <c r="BG139" s="133" t="str">
        <f>IF($A139&lt;&gt;0,VLOOKUP($A139,'0.Productos'!$A$3:$GG$587,'0.Productos'!CY$1+1,0),"")</f>
        <v/>
      </c>
      <c r="BH139" s="133" t="str">
        <f>IF($A139&lt;&gt;0,VLOOKUP($A139,'0.Productos'!$A$3:$GG$587,'0.Productos'!CZ$1+1,0),"")</f>
        <v/>
      </c>
      <c r="BI139" s="133" t="str">
        <f>IF($A139&lt;&gt;0,VLOOKUP($A139,'0.Productos'!$A$3:$GG$587,'0.Productos'!DA$1+1,0),"")</f>
        <v/>
      </c>
      <c r="BJ139" s="133" t="str">
        <f>IF($A139&lt;&gt;0,VLOOKUP($A139,'0.Productos'!$A$3:$GG$587,'0.Productos'!DB$1+1,0),"")</f>
        <v/>
      </c>
      <c r="BK139" s="133" t="str">
        <f>IF($A139&lt;&gt;0,VLOOKUP($A139,'0.Productos'!$A$3:$GG$587,'0.Productos'!DC$1+1,0),"")</f>
        <v/>
      </c>
      <c r="BL139" s="133" t="str">
        <f>IF($A139&lt;&gt;0,VLOOKUP($A139,'0.Productos'!$A$3:$GG$587,'0.Productos'!DD$1+1,0),"")</f>
        <v/>
      </c>
      <c r="BM139" s="133" t="str">
        <f>IF($A139&lt;&gt;0,VLOOKUP($A139,'0.Productos'!$A$3:$GG$587,'0.Productos'!DE$1+1,0),"")</f>
        <v/>
      </c>
      <c r="BN139" s="133" t="str">
        <f>IF($A139&lt;&gt;0,VLOOKUP($A139,'0.Productos'!$A$3:$GG$587,'0.Productos'!DF$1+1,0),"")</f>
        <v/>
      </c>
      <c r="BO139" s="133" t="str">
        <f>IF($A139&lt;&gt;0,VLOOKUP($A139,'0.Productos'!$A$3:$GG$587,'0.Productos'!DG$1+1,0),"")</f>
        <v/>
      </c>
      <c r="BP139" s="133" t="str">
        <f>IF($A139&lt;&gt;0,VLOOKUP($A139,'0.Productos'!$A$3:$GG$587,'0.Productos'!DH$1+1,0),"")</f>
        <v/>
      </c>
      <c r="BQ139" s="133" t="str">
        <f>IF($A139&lt;&gt;0,VLOOKUP($A139,'0.Productos'!$A$3:$GG$587,'0.Productos'!DI$1+1,0),"")</f>
        <v/>
      </c>
      <c r="BR139" s="133" t="str">
        <f>IF($A139&lt;&gt;0,VLOOKUP($A139,'0.Productos'!$A$3:$GG$587,'0.Productos'!DJ$1+1,0),"")</f>
        <v/>
      </c>
      <c r="BS139" s="133" t="str">
        <f>IF($A139&lt;&gt;0,VLOOKUP($A139,'0.Productos'!$A$3:$GG$587,'0.Productos'!DK$1+1,0),"")</f>
        <v/>
      </c>
      <c r="BT139" s="133" t="str">
        <f>IF($A139&lt;&gt;0,VLOOKUP($A139,'0.Productos'!$A$3:$GG$587,'0.Productos'!DL$1+1,0),"")</f>
        <v/>
      </c>
    </row>
    <row r="140" spans="1:72" x14ac:dyDescent="0.25">
      <c r="A140" s="17">
        <f>'0.Consolidado general'!A140</f>
        <v>0</v>
      </c>
      <c r="B140" s="133" t="str">
        <f>IF($A140&lt;&gt;0,VLOOKUP($A140,'0.Productos'!$A$3:$GG$587,'0.Productos'!AT$1+1,0),"")</f>
        <v/>
      </c>
      <c r="C140" s="133" t="str">
        <f>IF($A140&lt;&gt;0,VLOOKUP($A140,'0.Productos'!$A$3:$GG$587,'0.Productos'!AU$1+1,0),"")</f>
        <v/>
      </c>
      <c r="D140" s="133" t="str">
        <f>IF($A140&lt;&gt;0,VLOOKUP($A140,'0.Productos'!$A$3:$GG$587,'0.Productos'!AV$1+1,0),"")</f>
        <v/>
      </c>
      <c r="E140" s="133" t="str">
        <f>IF($A140&lt;&gt;0,VLOOKUP($A140,'0.Productos'!$A$3:$GG$587,'0.Productos'!AW$1+1,0),"")</f>
        <v/>
      </c>
      <c r="F140" s="133" t="str">
        <f>IF($A140&lt;&gt;0,VLOOKUP($A140,'0.Productos'!$A$3:$GG$587,'0.Productos'!AX$1+1,0),"")</f>
        <v/>
      </c>
      <c r="G140" s="133" t="str">
        <f>IF($A140&lt;&gt;0,VLOOKUP($A140,'0.Productos'!$A$3:$GG$587,'0.Productos'!AY$1+1,0),"")</f>
        <v/>
      </c>
      <c r="H140" s="133" t="str">
        <f>IF($A140&lt;&gt;0,VLOOKUP($A140,'0.Productos'!$A$3:$GG$587,'0.Productos'!AZ$1+1,0),"")</f>
        <v/>
      </c>
      <c r="I140" s="133" t="str">
        <f>IF($A140&lt;&gt;0,VLOOKUP($A140,'0.Productos'!$A$3:$GG$587,'0.Productos'!BA$1+1,0),"")</f>
        <v/>
      </c>
      <c r="J140" s="133" t="str">
        <f>IF($A140&lt;&gt;0,VLOOKUP($A140,'0.Productos'!$A$3:$GG$587,'0.Productos'!BB$1+1,0),"")</f>
        <v/>
      </c>
      <c r="K140" s="133" t="str">
        <f>IF($A140&lt;&gt;0,VLOOKUP($A140,'0.Productos'!$A$3:$GG$587,'0.Productos'!BC$1+1,0),"")</f>
        <v/>
      </c>
      <c r="L140" s="133" t="str">
        <f>IF($A140&lt;&gt;0,VLOOKUP($A140,'0.Productos'!$A$3:$GG$587,'0.Productos'!BD$1+1,0),"")</f>
        <v/>
      </c>
      <c r="M140" s="133" t="str">
        <f>IF($A140&lt;&gt;0,VLOOKUP($A140,'0.Productos'!$A$3:$GG$587,'0.Productos'!BE$1+1,0),"")</f>
        <v/>
      </c>
      <c r="N140" s="133" t="str">
        <f>IF($A140&lt;&gt;0,VLOOKUP($A140,'0.Productos'!$A$3:$GG$587,'0.Productos'!BF$1+1,0),"")</f>
        <v/>
      </c>
      <c r="O140" s="133" t="str">
        <f>IF($A140&lt;&gt;0,VLOOKUP($A140,'0.Productos'!$A$3:$GG$587,'0.Productos'!BG$1+1,0),"")</f>
        <v/>
      </c>
      <c r="P140" s="133" t="str">
        <f>IF($A140&lt;&gt;0,VLOOKUP($A140,'0.Productos'!$A$3:$GG$587,'0.Productos'!BH$1+1,0),"")</f>
        <v/>
      </c>
      <c r="Q140" s="133" t="str">
        <f>IF($A140&lt;&gt;0,VLOOKUP($A140,'0.Productos'!$A$3:$GG$587,'0.Productos'!BI$1+1,0),"")</f>
        <v/>
      </c>
      <c r="R140" s="133" t="str">
        <f>IF($A140&lt;&gt;0,VLOOKUP($A140,'0.Productos'!$A$3:$GG$587,'0.Productos'!BJ$1+1,0),"")</f>
        <v/>
      </c>
      <c r="S140" s="133" t="str">
        <f>IF($A140&lt;&gt;0,VLOOKUP($A140,'0.Productos'!$A$3:$GG$587,'0.Productos'!BK$1+1,0),"")</f>
        <v/>
      </c>
      <c r="T140" s="133" t="str">
        <f>IF($A140&lt;&gt;0,VLOOKUP($A140,'0.Productos'!$A$3:$GG$587,'0.Productos'!BL$1+1,0),"")</f>
        <v/>
      </c>
      <c r="U140" s="133" t="str">
        <f>IF($A140&lt;&gt;0,VLOOKUP($A140,'0.Productos'!$A$3:$GG$587,'0.Productos'!BM$1+1,0),"")</f>
        <v/>
      </c>
      <c r="V140" s="133" t="str">
        <f>IF($A140&lt;&gt;0,VLOOKUP($A140,'0.Productos'!$A$3:$GG$587,'0.Productos'!BN$1+1,0),"")</f>
        <v/>
      </c>
      <c r="W140" s="133" t="str">
        <f>IF($A140&lt;&gt;0,VLOOKUP($A140,'0.Productos'!$A$3:$GG$587,'0.Productos'!BO$1+1,0),"")</f>
        <v/>
      </c>
      <c r="X140" s="133" t="str">
        <f>IF($A140&lt;&gt;0,VLOOKUP($A140,'0.Productos'!$A$3:$GG$587,'0.Productos'!BP$1+1,0),"")</f>
        <v/>
      </c>
      <c r="Y140" s="133" t="str">
        <f>IF($A140&lt;&gt;0,VLOOKUP($A140,'0.Productos'!$A$3:$GG$587,'0.Productos'!BQ$1+1,0),"")</f>
        <v/>
      </c>
      <c r="Z140" s="133" t="str">
        <f>IF($A140&lt;&gt;0,VLOOKUP($A140,'0.Productos'!$A$3:$GG$587,'0.Productos'!BR$1+1,0),"")</f>
        <v/>
      </c>
      <c r="AA140" s="133" t="str">
        <f>IF($A140&lt;&gt;0,VLOOKUP($A140,'0.Productos'!$A$3:$GG$587,'0.Productos'!BS$1+1,0),"")</f>
        <v/>
      </c>
      <c r="AB140" s="133" t="str">
        <f>IF($A140&lt;&gt;0,VLOOKUP($A140,'0.Productos'!$A$3:$GG$587,'0.Productos'!BT$1+1,0),"")</f>
        <v/>
      </c>
      <c r="AC140" s="133" t="str">
        <f>IF($A140&lt;&gt;0,VLOOKUP($A140,'0.Productos'!$A$3:$GG$587,'0.Productos'!BU$1+1,0),"")</f>
        <v/>
      </c>
      <c r="AD140" s="133" t="str">
        <f>IF($A140&lt;&gt;0,VLOOKUP($A140,'0.Productos'!$A$3:$GG$587,'0.Productos'!BV$1+1,0),"")</f>
        <v/>
      </c>
      <c r="AE140" s="133" t="str">
        <f>IF($A140&lt;&gt;0,VLOOKUP($A140,'0.Productos'!$A$3:$GG$587,'0.Productos'!BW$1+1,0),"")</f>
        <v/>
      </c>
      <c r="AF140" s="133" t="str">
        <f>IF($A140&lt;&gt;0,VLOOKUP($A140,'0.Productos'!$A$3:$GG$587,'0.Productos'!BX$1+1,0),"")</f>
        <v/>
      </c>
      <c r="AG140" s="133" t="str">
        <f>IF($A140&lt;&gt;0,VLOOKUP($A140,'0.Productos'!$A$3:$GG$587,'0.Productos'!BY$1+1,0),"")</f>
        <v/>
      </c>
      <c r="AH140" s="133" t="str">
        <f>IF($A140&lt;&gt;0,VLOOKUP($A140,'0.Productos'!$A$3:$GG$587,'0.Productos'!BZ$1+1,0),"")</f>
        <v/>
      </c>
      <c r="AI140" s="133" t="str">
        <f>IF($A140&lt;&gt;0,VLOOKUP($A140,'0.Productos'!$A$3:$GG$587,'0.Productos'!CA$1+1,0),"")</f>
        <v/>
      </c>
      <c r="AJ140" s="133" t="str">
        <f>IF($A140&lt;&gt;0,VLOOKUP($A140,'0.Productos'!$A$3:$GG$587,'0.Productos'!CB$1+1,0),"")</f>
        <v/>
      </c>
      <c r="AK140" s="133" t="str">
        <f>IF($A140&lt;&gt;0,VLOOKUP($A140,'0.Productos'!$A$3:$GG$587,'0.Productos'!CC$1+1,0),"")</f>
        <v/>
      </c>
      <c r="AL140" s="133" t="str">
        <f>IF($A140&lt;&gt;0,VLOOKUP($A140,'0.Productos'!$A$3:$GG$587,'0.Productos'!CD$1+1,0),"")</f>
        <v/>
      </c>
      <c r="AM140" s="133" t="str">
        <f>IF($A140&lt;&gt;0,VLOOKUP($A140,'0.Productos'!$A$3:$GG$587,'0.Productos'!CE$1+1,0),"")</f>
        <v/>
      </c>
      <c r="AN140" s="133" t="str">
        <f>IF($A140&lt;&gt;0,VLOOKUP($A140,'0.Productos'!$A$3:$GG$587,'0.Productos'!CF$1+1,0),"")</f>
        <v/>
      </c>
      <c r="AO140" s="133" t="str">
        <f>IF($A140&lt;&gt;0,VLOOKUP($A140,'0.Productos'!$A$3:$GG$587,'0.Productos'!CG$1+1,0),"")</f>
        <v/>
      </c>
      <c r="AP140" s="133" t="str">
        <f>IF($A140&lt;&gt;0,VLOOKUP($A140,'0.Productos'!$A$3:$GG$587,'0.Productos'!CH$1+1,0),"")</f>
        <v/>
      </c>
      <c r="AQ140" s="133" t="str">
        <f>IF($A140&lt;&gt;0,VLOOKUP($A140,'0.Productos'!$A$3:$GG$587,'0.Productos'!CI$1+1,0),"")</f>
        <v/>
      </c>
      <c r="AR140" s="133" t="str">
        <f>IF($A140&lt;&gt;0,VLOOKUP($A140,'0.Productos'!$A$3:$GG$587,'0.Productos'!CJ$1+1,0),"")</f>
        <v/>
      </c>
      <c r="AS140" s="133" t="str">
        <f>IF($A140&lt;&gt;0,VLOOKUP($A140,'0.Productos'!$A$3:$GG$587,'0.Productos'!CK$1+1,0),"")</f>
        <v/>
      </c>
      <c r="AT140" s="133" t="str">
        <f>IF($A140&lt;&gt;0,VLOOKUP($A140,'0.Productos'!$A$3:$GG$587,'0.Productos'!CL$1+1,0),"")</f>
        <v/>
      </c>
      <c r="AU140" s="133" t="str">
        <f>IF($A140&lt;&gt;0,VLOOKUP($A140,'0.Productos'!$A$3:$GG$587,'0.Productos'!CM$1+1,0),"")</f>
        <v/>
      </c>
      <c r="AV140" s="133" t="str">
        <f>IF($A140&lt;&gt;0,VLOOKUP($A140,'0.Productos'!$A$3:$GG$587,'0.Productos'!CN$1+1,0),"")</f>
        <v/>
      </c>
      <c r="AW140" s="133" t="str">
        <f>IF($A140&lt;&gt;0,VLOOKUP($A140,'0.Productos'!$A$3:$GG$587,'0.Productos'!CO$1+1,0),"")</f>
        <v/>
      </c>
      <c r="AX140" s="133" t="str">
        <f>IF($A140&lt;&gt;0,VLOOKUP($A140,'0.Productos'!$A$3:$GG$587,'0.Productos'!CP$1+1,0),"")</f>
        <v/>
      </c>
      <c r="AY140" s="133" t="str">
        <f>IF($A140&lt;&gt;0,VLOOKUP($A140,'0.Productos'!$A$3:$GG$587,'0.Productos'!CQ$1+1,0),"")</f>
        <v/>
      </c>
      <c r="AZ140" s="133" t="str">
        <f>IF($A140&lt;&gt;0,VLOOKUP($A140,'0.Productos'!$A$3:$GG$587,'0.Productos'!CR$1+1,0),"")</f>
        <v/>
      </c>
      <c r="BA140" s="133" t="str">
        <f>IF($A140&lt;&gt;0,VLOOKUP($A140,'0.Productos'!$A$3:$GG$587,'0.Productos'!CS$1+1,0),"")</f>
        <v/>
      </c>
      <c r="BB140" s="133" t="str">
        <f>IF($A140&lt;&gt;0,VLOOKUP($A140,'0.Productos'!$A$3:$GG$587,'0.Productos'!CT$1+1,0),"")</f>
        <v/>
      </c>
      <c r="BC140" s="133" t="str">
        <f>IF($A140&lt;&gt;0,VLOOKUP($A140,'0.Productos'!$A$3:$GG$587,'0.Productos'!CU$1+1,0),"")</f>
        <v/>
      </c>
      <c r="BD140" s="133" t="str">
        <f>IF($A140&lt;&gt;0,VLOOKUP($A140,'0.Productos'!$A$3:$GG$587,'0.Productos'!CV$1+1,0),"")</f>
        <v/>
      </c>
      <c r="BE140" s="133" t="str">
        <f>IF($A140&lt;&gt;0,VLOOKUP($A140,'0.Productos'!$A$3:$GG$587,'0.Productos'!CW$1+1,0),"")</f>
        <v/>
      </c>
      <c r="BF140" s="133" t="str">
        <f>IF($A140&lt;&gt;0,VLOOKUP($A140,'0.Productos'!$A$3:$GG$587,'0.Productos'!CX$1+1,0),"")</f>
        <v/>
      </c>
      <c r="BG140" s="133" t="str">
        <f>IF($A140&lt;&gt;0,VLOOKUP($A140,'0.Productos'!$A$3:$GG$587,'0.Productos'!CY$1+1,0),"")</f>
        <v/>
      </c>
      <c r="BH140" s="133" t="str">
        <f>IF($A140&lt;&gt;0,VLOOKUP($A140,'0.Productos'!$A$3:$GG$587,'0.Productos'!CZ$1+1,0),"")</f>
        <v/>
      </c>
      <c r="BI140" s="133" t="str">
        <f>IF($A140&lt;&gt;0,VLOOKUP($A140,'0.Productos'!$A$3:$GG$587,'0.Productos'!DA$1+1,0),"")</f>
        <v/>
      </c>
      <c r="BJ140" s="133" t="str">
        <f>IF($A140&lt;&gt;0,VLOOKUP($A140,'0.Productos'!$A$3:$GG$587,'0.Productos'!DB$1+1,0),"")</f>
        <v/>
      </c>
      <c r="BK140" s="133" t="str">
        <f>IF($A140&lt;&gt;0,VLOOKUP($A140,'0.Productos'!$A$3:$GG$587,'0.Productos'!DC$1+1,0),"")</f>
        <v/>
      </c>
      <c r="BL140" s="133" t="str">
        <f>IF($A140&lt;&gt;0,VLOOKUP($A140,'0.Productos'!$A$3:$GG$587,'0.Productos'!DD$1+1,0),"")</f>
        <v/>
      </c>
      <c r="BM140" s="133" t="str">
        <f>IF($A140&lt;&gt;0,VLOOKUP($A140,'0.Productos'!$A$3:$GG$587,'0.Productos'!DE$1+1,0),"")</f>
        <v/>
      </c>
      <c r="BN140" s="133" t="str">
        <f>IF($A140&lt;&gt;0,VLOOKUP($A140,'0.Productos'!$A$3:$GG$587,'0.Productos'!DF$1+1,0),"")</f>
        <v/>
      </c>
      <c r="BO140" s="133" t="str">
        <f>IF($A140&lt;&gt;0,VLOOKUP($A140,'0.Productos'!$A$3:$GG$587,'0.Productos'!DG$1+1,0),"")</f>
        <v/>
      </c>
      <c r="BP140" s="133" t="str">
        <f>IF($A140&lt;&gt;0,VLOOKUP($A140,'0.Productos'!$A$3:$GG$587,'0.Productos'!DH$1+1,0),"")</f>
        <v/>
      </c>
      <c r="BQ140" s="133" t="str">
        <f>IF($A140&lt;&gt;0,VLOOKUP($A140,'0.Productos'!$A$3:$GG$587,'0.Productos'!DI$1+1,0),"")</f>
        <v/>
      </c>
      <c r="BR140" s="133" t="str">
        <f>IF($A140&lt;&gt;0,VLOOKUP($A140,'0.Productos'!$A$3:$GG$587,'0.Productos'!DJ$1+1,0),"")</f>
        <v/>
      </c>
      <c r="BS140" s="133" t="str">
        <f>IF($A140&lt;&gt;0,VLOOKUP($A140,'0.Productos'!$A$3:$GG$587,'0.Productos'!DK$1+1,0),"")</f>
        <v/>
      </c>
      <c r="BT140" s="133" t="str">
        <f>IF($A140&lt;&gt;0,VLOOKUP($A140,'0.Productos'!$A$3:$GG$587,'0.Productos'!DL$1+1,0),"")</f>
        <v/>
      </c>
    </row>
    <row r="141" spans="1:72" x14ac:dyDescent="0.25">
      <c r="A141" s="17">
        <f>'0.Consolidado general'!A141</f>
        <v>0</v>
      </c>
      <c r="B141" s="133" t="str">
        <f>IF($A141&lt;&gt;0,VLOOKUP($A141,'0.Productos'!$A$3:$GG$587,'0.Productos'!AT$1+1,0),"")</f>
        <v/>
      </c>
      <c r="C141" s="133" t="str">
        <f>IF($A141&lt;&gt;0,VLOOKUP($A141,'0.Productos'!$A$3:$GG$587,'0.Productos'!AU$1+1,0),"")</f>
        <v/>
      </c>
      <c r="D141" s="133" t="str">
        <f>IF($A141&lt;&gt;0,VLOOKUP($A141,'0.Productos'!$A$3:$GG$587,'0.Productos'!AV$1+1,0),"")</f>
        <v/>
      </c>
      <c r="E141" s="133" t="str">
        <f>IF($A141&lt;&gt;0,VLOOKUP($A141,'0.Productos'!$A$3:$GG$587,'0.Productos'!AW$1+1,0),"")</f>
        <v/>
      </c>
      <c r="F141" s="133" t="str">
        <f>IF($A141&lt;&gt;0,VLOOKUP($A141,'0.Productos'!$A$3:$GG$587,'0.Productos'!AX$1+1,0),"")</f>
        <v/>
      </c>
      <c r="G141" s="133" t="str">
        <f>IF($A141&lt;&gt;0,VLOOKUP($A141,'0.Productos'!$A$3:$GG$587,'0.Productos'!AY$1+1,0),"")</f>
        <v/>
      </c>
      <c r="H141" s="133" t="str">
        <f>IF($A141&lt;&gt;0,VLOOKUP($A141,'0.Productos'!$A$3:$GG$587,'0.Productos'!AZ$1+1,0),"")</f>
        <v/>
      </c>
      <c r="I141" s="133" t="str">
        <f>IF($A141&lt;&gt;0,VLOOKUP($A141,'0.Productos'!$A$3:$GG$587,'0.Productos'!BA$1+1,0),"")</f>
        <v/>
      </c>
      <c r="J141" s="133" t="str">
        <f>IF($A141&lt;&gt;0,VLOOKUP($A141,'0.Productos'!$A$3:$GG$587,'0.Productos'!BB$1+1,0),"")</f>
        <v/>
      </c>
      <c r="K141" s="133" t="str">
        <f>IF($A141&lt;&gt;0,VLOOKUP($A141,'0.Productos'!$A$3:$GG$587,'0.Productos'!BC$1+1,0),"")</f>
        <v/>
      </c>
      <c r="L141" s="133" t="str">
        <f>IF($A141&lt;&gt;0,VLOOKUP($A141,'0.Productos'!$A$3:$GG$587,'0.Productos'!BD$1+1,0),"")</f>
        <v/>
      </c>
      <c r="M141" s="133" t="str">
        <f>IF($A141&lt;&gt;0,VLOOKUP($A141,'0.Productos'!$A$3:$GG$587,'0.Productos'!BE$1+1,0),"")</f>
        <v/>
      </c>
      <c r="N141" s="133" t="str">
        <f>IF($A141&lt;&gt;0,VLOOKUP($A141,'0.Productos'!$A$3:$GG$587,'0.Productos'!BF$1+1,0),"")</f>
        <v/>
      </c>
      <c r="O141" s="133" t="str">
        <f>IF($A141&lt;&gt;0,VLOOKUP($A141,'0.Productos'!$A$3:$GG$587,'0.Productos'!BG$1+1,0),"")</f>
        <v/>
      </c>
      <c r="P141" s="133" t="str">
        <f>IF($A141&lt;&gt;0,VLOOKUP($A141,'0.Productos'!$A$3:$GG$587,'0.Productos'!BH$1+1,0),"")</f>
        <v/>
      </c>
      <c r="Q141" s="133" t="str">
        <f>IF($A141&lt;&gt;0,VLOOKUP($A141,'0.Productos'!$A$3:$GG$587,'0.Productos'!BI$1+1,0),"")</f>
        <v/>
      </c>
      <c r="R141" s="133" t="str">
        <f>IF($A141&lt;&gt;0,VLOOKUP($A141,'0.Productos'!$A$3:$GG$587,'0.Productos'!BJ$1+1,0),"")</f>
        <v/>
      </c>
      <c r="S141" s="133" t="str">
        <f>IF($A141&lt;&gt;0,VLOOKUP($A141,'0.Productos'!$A$3:$GG$587,'0.Productos'!BK$1+1,0),"")</f>
        <v/>
      </c>
      <c r="T141" s="133" t="str">
        <f>IF($A141&lt;&gt;0,VLOOKUP($A141,'0.Productos'!$A$3:$GG$587,'0.Productos'!BL$1+1,0),"")</f>
        <v/>
      </c>
      <c r="U141" s="133" t="str">
        <f>IF($A141&lt;&gt;0,VLOOKUP($A141,'0.Productos'!$A$3:$GG$587,'0.Productos'!BM$1+1,0),"")</f>
        <v/>
      </c>
      <c r="V141" s="133" t="str">
        <f>IF($A141&lt;&gt;0,VLOOKUP($A141,'0.Productos'!$A$3:$GG$587,'0.Productos'!BN$1+1,0),"")</f>
        <v/>
      </c>
      <c r="W141" s="133" t="str">
        <f>IF($A141&lt;&gt;0,VLOOKUP($A141,'0.Productos'!$A$3:$GG$587,'0.Productos'!BO$1+1,0),"")</f>
        <v/>
      </c>
      <c r="X141" s="133" t="str">
        <f>IF($A141&lt;&gt;0,VLOOKUP($A141,'0.Productos'!$A$3:$GG$587,'0.Productos'!BP$1+1,0),"")</f>
        <v/>
      </c>
      <c r="Y141" s="133" t="str">
        <f>IF($A141&lt;&gt;0,VLOOKUP($A141,'0.Productos'!$A$3:$GG$587,'0.Productos'!BQ$1+1,0),"")</f>
        <v/>
      </c>
      <c r="Z141" s="133" t="str">
        <f>IF($A141&lt;&gt;0,VLOOKUP($A141,'0.Productos'!$A$3:$GG$587,'0.Productos'!BR$1+1,0),"")</f>
        <v/>
      </c>
      <c r="AA141" s="133" t="str">
        <f>IF($A141&lt;&gt;0,VLOOKUP($A141,'0.Productos'!$A$3:$GG$587,'0.Productos'!BS$1+1,0),"")</f>
        <v/>
      </c>
      <c r="AB141" s="133" t="str">
        <f>IF($A141&lt;&gt;0,VLOOKUP($A141,'0.Productos'!$A$3:$GG$587,'0.Productos'!BT$1+1,0),"")</f>
        <v/>
      </c>
      <c r="AC141" s="133" t="str">
        <f>IF($A141&lt;&gt;0,VLOOKUP($A141,'0.Productos'!$A$3:$GG$587,'0.Productos'!BU$1+1,0),"")</f>
        <v/>
      </c>
      <c r="AD141" s="133" t="str">
        <f>IF($A141&lt;&gt;0,VLOOKUP($A141,'0.Productos'!$A$3:$GG$587,'0.Productos'!BV$1+1,0),"")</f>
        <v/>
      </c>
      <c r="AE141" s="133" t="str">
        <f>IF($A141&lt;&gt;0,VLOOKUP($A141,'0.Productos'!$A$3:$GG$587,'0.Productos'!BW$1+1,0),"")</f>
        <v/>
      </c>
      <c r="AF141" s="133" t="str">
        <f>IF($A141&lt;&gt;0,VLOOKUP($A141,'0.Productos'!$A$3:$GG$587,'0.Productos'!BX$1+1,0),"")</f>
        <v/>
      </c>
      <c r="AG141" s="133" t="str">
        <f>IF($A141&lt;&gt;0,VLOOKUP($A141,'0.Productos'!$A$3:$GG$587,'0.Productos'!BY$1+1,0),"")</f>
        <v/>
      </c>
      <c r="AH141" s="133" t="str">
        <f>IF($A141&lt;&gt;0,VLOOKUP($A141,'0.Productos'!$A$3:$GG$587,'0.Productos'!BZ$1+1,0),"")</f>
        <v/>
      </c>
      <c r="AI141" s="133" t="str">
        <f>IF($A141&lt;&gt;0,VLOOKUP($A141,'0.Productos'!$A$3:$GG$587,'0.Productos'!CA$1+1,0),"")</f>
        <v/>
      </c>
      <c r="AJ141" s="133" t="str">
        <f>IF($A141&lt;&gt;0,VLOOKUP($A141,'0.Productos'!$A$3:$GG$587,'0.Productos'!CB$1+1,0),"")</f>
        <v/>
      </c>
      <c r="AK141" s="133" t="str">
        <f>IF($A141&lt;&gt;0,VLOOKUP($A141,'0.Productos'!$A$3:$GG$587,'0.Productos'!CC$1+1,0),"")</f>
        <v/>
      </c>
      <c r="AL141" s="133" t="str">
        <f>IF($A141&lt;&gt;0,VLOOKUP($A141,'0.Productos'!$A$3:$GG$587,'0.Productos'!CD$1+1,0),"")</f>
        <v/>
      </c>
      <c r="AM141" s="133" t="str">
        <f>IF($A141&lt;&gt;0,VLOOKUP($A141,'0.Productos'!$A$3:$GG$587,'0.Productos'!CE$1+1,0),"")</f>
        <v/>
      </c>
      <c r="AN141" s="133" t="str">
        <f>IF($A141&lt;&gt;0,VLOOKUP($A141,'0.Productos'!$A$3:$GG$587,'0.Productos'!CF$1+1,0),"")</f>
        <v/>
      </c>
      <c r="AO141" s="133" t="str">
        <f>IF($A141&lt;&gt;0,VLOOKUP($A141,'0.Productos'!$A$3:$GG$587,'0.Productos'!CG$1+1,0),"")</f>
        <v/>
      </c>
      <c r="AP141" s="133" t="str">
        <f>IF($A141&lt;&gt;0,VLOOKUP($A141,'0.Productos'!$A$3:$GG$587,'0.Productos'!CH$1+1,0),"")</f>
        <v/>
      </c>
      <c r="AQ141" s="133" t="str">
        <f>IF($A141&lt;&gt;0,VLOOKUP($A141,'0.Productos'!$A$3:$GG$587,'0.Productos'!CI$1+1,0),"")</f>
        <v/>
      </c>
      <c r="AR141" s="133" t="str">
        <f>IF($A141&lt;&gt;0,VLOOKUP($A141,'0.Productos'!$A$3:$GG$587,'0.Productos'!CJ$1+1,0),"")</f>
        <v/>
      </c>
      <c r="AS141" s="133" t="str">
        <f>IF($A141&lt;&gt;0,VLOOKUP($A141,'0.Productos'!$A$3:$GG$587,'0.Productos'!CK$1+1,0),"")</f>
        <v/>
      </c>
      <c r="AT141" s="133" t="str">
        <f>IF($A141&lt;&gt;0,VLOOKUP($A141,'0.Productos'!$A$3:$GG$587,'0.Productos'!CL$1+1,0),"")</f>
        <v/>
      </c>
      <c r="AU141" s="133" t="str">
        <f>IF($A141&lt;&gt;0,VLOOKUP($A141,'0.Productos'!$A$3:$GG$587,'0.Productos'!CM$1+1,0),"")</f>
        <v/>
      </c>
      <c r="AV141" s="133" t="str">
        <f>IF($A141&lt;&gt;0,VLOOKUP($A141,'0.Productos'!$A$3:$GG$587,'0.Productos'!CN$1+1,0),"")</f>
        <v/>
      </c>
      <c r="AW141" s="133" t="str">
        <f>IF($A141&lt;&gt;0,VLOOKUP($A141,'0.Productos'!$A$3:$GG$587,'0.Productos'!CO$1+1,0),"")</f>
        <v/>
      </c>
      <c r="AX141" s="133" t="str">
        <f>IF($A141&lt;&gt;0,VLOOKUP($A141,'0.Productos'!$A$3:$GG$587,'0.Productos'!CP$1+1,0),"")</f>
        <v/>
      </c>
      <c r="AY141" s="133" t="str">
        <f>IF($A141&lt;&gt;0,VLOOKUP($A141,'0.Productos'!$A$3:$GG$587,'0.Productos'!CQ$1+1,0),"")</f>
        <v/>
      </c>
      <c r="AZ141" s="133" t="str">
        <f>IF($A141&lt;&gt;0,VLOOKUP($A141,'0.Productos'!$A$3:$GG$587,'0.Productos'!CR$1+1,0),"")</f>
        <v/>
      </c>
      <c r="BA141" s="133" t="str">
        <f>IF($A141&lt;&gt;0,VLOOKUP($A141,'0.Productos'!$A$3:$GG$587,'0.Productos'!CS$1+1,0),"")</f>
        <v/>
      </c>
      <c r="BB141" s="133" t="str">
        <f>IF($A141&lt;&gt;0,VLOOKUP($A141,'0.Productos'!$A$3:$GG$587,'0.Productos'!CT$1+1,0),"")</f>
        <v/>
      </c>
      <c r="BC141" s="133" t="str">
        <f>IF($A141&lt;&gt;0,VLOOKUP($A141,'0.Productos'!$A$3:$GG$587,'0.Productos'!CU$1+1,0),"")</f>
        <v/>
      </c>
      <c r="BD141" s="133" t="str">
        <f>IF($A141&lt;&gt;0,VLOOKUP($A141,'0.Productos'!$A$3:$GG$587,'0.Productos'!CV$1+1,0),"")</f>
        <v/>
      </c>
      <c r="BE141" s="133" t="str">
        <f>IF($A141&lt;&gt;0,VLOOKUP($A141,'0.Productos'!$A$3:$GG$587,'0.Productos'!CW$1+1,0),"")</f>
        <v/>
      </c>
      <c r="BF141" s="133" t="str">
        <f>IF($A141&lt;&gt;0,VLOOKUP($A141,'0.Productos'!$A$3:$GG$587,'0.Productos'!CX$1+1,0),"")</f>
        <v/>
      </c>
      <c r="BG141" s="133" t="str">
        <f>IF($A141&lt;&gt;0,VLOOKUP($A141,'0.Productos'!$A$3:$GG$587,'0.Productos'!CY$1+1,0),"")</f>
        <v/>
      </c>
      <c r="BH141" s="133" t="str">
        <f>IF($A141&lt;&gt;0,VLOOKUP($A141,'0.Productos'!$A$3:$GG$587,'0.Productos'!CZ$1+1,0),"")</f>
        <v/>
      </c>
      <c r="BI141" s="133" t="str">
        <f>IF($A141&lt;&gt;0,VLOOKUP($A141,'0.Productos'!$A$3:$GG$587,'0.Productos'!DA$1+1,0),"")</f>
        <v/>
      </c>
      <c r="BJ141" s="133" t="str">
        <f>IF($A141&lt;&gt;0,VLOOKUP($A141,'0.Productos'!$A$3:$GG$587,'0.Productos'!DB$1+1,0),"")</f>
        <v/>
      </c>
      <c r="BK141" s="133" t="str">
        <f>IF($A141&lt;&gt;0,VLOOKUP($A141,'0.Productos'!$A$3:$GG$587,'0.Productos'!DC$1+1,0),"")</f>
        <v/>
      </c>
      <c r="BL141" s="133" t="str">
        <f>IF($A141&lt;&gt;0,VLOOKUP($A141,'0.Productos'!$A$3:$GG$587,'0.Productos'!DD$1+1,0),"")</f>
        <v/>
      </c>
      <c r="BM141" s="133" t="str">
        <f>IF($A141&lt;&gt;0,VLOOKUP($A141,'0.Productos'!$A$3:$GG$587,'0.Productos'!DE$1+1,0),"")</f>
        <v/>
      </c>
      <c r="BN141" s="133" t="str">
        <f>IF($A141&lt;&gt;0,VLOOKUP($A141,'0.Productos'!$A$3:$GG$587,'0.Productos'!DF$1+1,0),"")</f>
        <v/>
      </c>
      <c r="BO141" s="133" t="str">
        <f>IF($A141&lt;&gt;0,VLOOKUP($A141,'0.Productos'!$A$3:$GG$587,'0.Productos'!DG$1+1,0),"")</f>
        <v/>
      </c>
      <c r="BP141" s="133" t="str">
        <f>IF($A141&lt;&gt;0,VLOOKUP($A141,'0.Productos'!$A$3:$GG$587,'0.Productos'!DH$1+1,0),"")</f>
        <v/>
      </c>
      <c r="BQ141" s="133" t="str">
        <f>IF($A141&lt;&gt;0,VLOOKUP($A141,'0.Productos'!$A$3:$GG$587,'0.Productos'!DI$1+1,0),"")</f>
        <v/>
      </c>
      <c r="BR141" s="133" t="str">
        <f>IF($A141&lt;&gt;0,VLOOKUP($A141,'0.Productos'!$A$3:$GG$587,'0.Productos'!DJ$1+1,0),"")</f>
        <v/>
      </c>
      <c r="BS141" s="133" t="str">
        <f>IF($A141&lt;&gt;0,VLOOKUP($A141,'0.Productos'!$A$3:$GG$587,'0.Productos'!DK$1+1,0),"")</f>
        <v/>
      </c>
      <c r="BT141" s="133" t="str">
        <f>IF($A141&lt;&gt;0,VLOOKUP($A141,'0.Productos'!$A$3:$GG$587,'0.Productos'!DL$1+1,0),"")</f>
        <v/>
      </c>
    </row>
    <row r="142" spans="1:72" x14ac:dyDescent="0.25">
      <c r="A142" s="17">
        <f>'0.Consolidado general'!A142</f>
        <v>0</v>
      </c>
      <c r="B142" s="133" t="str">
        <f>IF($A142&lt;&gt;0,VLOOKUP($A142,'0.Productos'!$A$3:$GG$587,'0.Productos'!AT$1+1,0),"")</f>
        <v/>
      </c>
      <c r="C142" s="133" t="str">
        <f>IF($A142&lt;&gt;0,VLOOKUP($A142,'0.Productos'!$A$3:$GG$587,'0.Productos'!AU$1+1,0),"")</f>
        <v/>
      </c>
      <c r="D142" s="133" t="str">
        <f>IF($A142&lt;&gt;0,VLOOKUP($A142,'0.Productos'!$A$3:$GG$587,'0.Productos'!AV$1+1,0),"")</f>
        <v/>
      </c>
      <c r="E142" s="133" t="str">
        <f>IF($A142&lt;&gt;0,VLOOKUP($A142,'0.Productos'!$A$3:$GG$587,'0.Productos'!AW$1+1,0),"")</f>
        <v/>
      </c>
      <c r="F142" s="133" t="str">
        <f>IF($A142&lt;&gt;0,VLOOKUP($A142,'0.Productos'!$A$3:$GG$587,'0.Productos'!AX$1+1,0),"")</f>
        <v/>
      </c>
      <c r="G142" s="133" t="str">
        <f>IF($A142&lt;&gt;0,VLOOKUP($A142,'0.Productos'!$A$3:$GG$587,'0.Productos'!AY$1+1,0),"")</f>
        <v/>
      </c>
      <c r="H142" s="133" t="str">
        <f>IF($A142&lt;&gt;0,VLOOKUP($A142,'0.Productos'!$A$3:$GG$587,'0.Productos'!AZ$1+1,0),"")</f>
        <v/>
      </c>
      <c r="I142" s="133" t="str">
        <f>IF($A142&lt;&gt;0,VLOOKUP($A142,'0.Productos'!$A$3:$GG$587,'0.Productos'!BA$1+1,0),"")</f>
        <v/>
      </c>
      <c r="J142" s="133" t="str">
        <f>IF($A142&lt;&gt;0,VLOOKUP($A142,'0.Productos'!$A$3:$GG$587,'0.Productos'!BB$1+1,0),"")</f>
        <v/>
      </c>
      <c r="K142" s="133" t="str">
        <f>IF($A142&lt;&gt;0,VLOOKUP($A142,'0.Productos'!$A$3:$GG$587,'0.Productos'!BC$1+1,0),"")</f>
        <v/>
      </c>
      <c r="L142" s="133" t="str">
        <f>IF($A142&lt;&gt;0,VLOOKUP($A142,'0.Productos'!$A$3:$GG$587,'0.Productos'!BD$1+1,0),"")</f>
        <v/>
      </c>
      <c r="M142" s="133" t="str">
        <f>IF($A142&lt;&gt;0,VLOOKUP($A142,'0.Productos'!$A$3:$GG$587,'0.Productos'!BE$1+1,0),"")</f>
        <v/>
      </c>
      <c r="N142" s="133" t="str">
        <f>IF($A142&lt;&gt;0,VLOOKUP($A142,'0.Productos'!$A$3:$GG$587,'0.Productos'!BF$1+1,0),"")</f>
        <v/>
      </c>
      <c r="O142" s="133" t="str">
        <f>IF($A142&lt;&gt;0,VLOOKUP($A142,'0.Productos'!$A$3:$GG$587,'0.Productos'!BG$1+1,0),"")</f>
        <v/>
      </c>
      <c r="P142" s="133" t="str">
        <f>IF($A142&lt;&gt;0,VLOOKUP($A142,'0.Productos'!$A$3:$GG$587,'0.Productos'!BH$1+1,0),"")</f>
        <v/>
      </c>
      <c r="Q142" s="133" t="str">
        <f>IF($A142&lt;&gt;0,VLOOKUP($A142,'0.Productos'!$A$3:$GG$587,'0.Productos'!BI$1+1,0),"")</f>
        <v/>
      </c>
      <c r="R142" s="133" t="str">
        <f>IF($A142&lt;&gt;0,VLOOKUP($A142,'0.Productos'!$A$3:$GG$587,'0.Productos'!BJ$1+1,0),"")</f>
        <v/>
      </c>
      <c r="S142" s="133" t="str">
        <f>IF($A142&lt;&gt;0,VLOOKUP($A142,'0.Productos'!$A$3:$GG$587,'0.Productos'!BK$1+1,0),"")</f>
        <v/>
      </c>
      <c r="T142" s="133" t="str">
        <f>IF($A142&lt;&gt;0,VLOOKUP($A142,'0.Productos'!$A$3:$GG$587,'0.Productos'!BL$1+1,0),"")</f>
        <v/>
      </c>
      <c r="U142" s="133" t="str">
        <f>IF($A142&lt;&gt;0,VLOOKUP($A142,'0.Productos'!$A$3:$GG$587,'0.Productos'!BM$1+1,0),"")</f>
        <v/>
      </c>
      <c r="V142" s="133" t="str">
        <f>IF($A142&lt;&gt;0,VLOOKUP($A142,'0.Productos'!$A$3:$GG$587,'0.Productos'!BN$1+1,0),"")</f>
        <v/>
      </c>
      <c r="W142" s="133" t="str">
        <f>IF($A142&lt;&gt;0,VLOOKUP($A142,'0.Productos'!$A$3:$GG$587,'0.Productos'!BO$1+1,0),"")</f>
        <v/>
      </c>
      <c r="X142" s="133" t="str">
        <f>IF($A142&lt;&gt;0,VLOOKUP($A142,'0.Productos'!$A$3:$GG$587,'0.Productos'!BP$1+1,0),"")</f>
        <v/>
      </c>
      <c r="Y142" s="133" t="str">
        <f>IF($A142&lt;&gt;0,VLOOKUP($A142,'0.Productos'!$A$3:$GG$587,'0.Productos'!BQ$1+1,0),"")</f>
        <v/>
      </c>
      <c r="Z142" s="133" t="str">
        <f>IF($A142&lt;&gt;0,VLOOKUP($A142,'0.Productos'!$A$3:$GG$587,'0.Productos'!BR$1+1,0),"")</f>
        <v/>
      </c>
      <c r="AA142" s="133" t="str">
        <f>IF($A142&lt;&gt;0,VLOOKUP($A142,'0.Productos'!$A$3:$GG$587,'0.Productos'!BS$1+1,0),"")</f>
        <v/>
      </c>
      <c r="AB142" s="133" t="str">
        <f>IF($A142&lt;&gt;0,VLOOKUP($A142,'0.Productos'!$A$3:$GG$587,'0.Productos'!BT$1+1,0),"")</f>
        <v/>
      </c>
      <c r="AC142" s="133" t="str">
        <f>IF($A142&lt;&gt;0,VLOOKUP($A142,'0.Productos'!$A$3:$GG$587,'0.Productos'!BU$1+1,0),"")</f>
        <v/>
      </c>
      <c r="AD142" s="133" t="str">
        <f>IF($A142&lt;&gt;0,VLOOKUP($A142,'0.Productos'!$A$3:$GG$587,'0.Productos'!BV$1+1,0),"")</f>
        <v/>
      </c>
      <c r="AE142" s="133" t="str">
        <f>IF($A142&lt;&gt;0,VLOOKUP($A142,'0.Productos'!$A$3:$GG$587,'0.Productos'!BW$1+1,0),"")</f>
        <v/>
      </c>
      <c r="AF142" s="133" t="str">
        <f>IF($A142&lt;&gt;0,VLOOKUP($A142,'0.Productos'!$A$3:$GG$587,'0.Productos'!BX$1+1,0),"")</f>
        <v/>
      </c>
      <c r="AG142" s="133" t="str">
        <f>IF($A142&lt;&gt;0,VLOOKUP($A142,'0.Productos'!$A$3:$GG$587,'0.Productos'!BY$1+1,0),"")</f>
        <v/>
      </c>
      <c r="AH142" s="133" t="str">
        <f>IF($A142&lt;&gt;0,VLOOKUP($A142,'0.Productos'!$A$3:$GG$587,'0.Productos'!BZ$1+1,0),"")</f>
        <v/>
      </c>
      <c r="AI142" s="133" t="str">
        <f>IF($A142&lt;&gt;0,VLOOKUP($A142,'0.Productos'!$A$3:$GG$587,'0.Productos'!CA$1+1,0),"")</f>
        <v/>
      </c>
      <c r="AJ142" s="133" t="str">
        <f>IF($A142&lt;&gt;0,VLOOKUP($A142,'0.Productos'!$A$3:$GG$587,'0.Productos'!CB$1+1,0),"")</f>
        <v/>
      </c>
      <c r="AK142" s="133" t="str">
        <f>IF($A142&lt;&gt;0,VLOOKUP($A142,'0.Productos'!$A$3:$GG$587,'0.Productos'!CC$1+1,0),"")</f>
        <v/>
      </c>
      <c r="AL142" s="133" t="str">
        <f>IF($A142&lt;&gt;0,VLOOKUP($A142,'0.Productos'!$A$3:$GG$587,'0.Productos'!CD$1+1,0),"")</f>
        <v/>
      </c>
      <c r="AM142" s="133" t="str">
        <f>IF($A142&lt;&gt;0,VLOOKUP($A142,'0.Productos'!$A$3:$GG$587,'0.Productos'!CE$1+1,0),"")</f>
        <v/>
      </c>
      <c r="AN142" s="133" t="str">
        <f>IF($A142&lt;&gt;0,VLOOKUP($A142,'0.Productos'!$A$3:$GG$587,'0.Productos'!CF$1+1,0),"")</f>
        <v/>
      </c>
      <c r="AO142" s="133" t="str">
        <f>IF($A142&lt;&gt;0,VLOOKUP($A142,'0.Productos'!$A$3:$GG$587,'0.Productos'!CG$1+1,0),"")</f>
        <v/>
      </c>
      <c r="AP142" s="133" t="str">
        <f>IF($A142&lt;&gt;0,VLOOKUP($A142,'0.Productos'!$A$3:$GG$587,'0.Productos'!CH$1+1,0),"")</f>
        <v/>
      </c>
      <c r="AQ142" s="133" t="str">
        <f>IF($A142&lt;&gt;0,VLOOKUP($A142,'0.Productos'!$A$3:$GG$587,'0.Productos'!CI$1+1,0),"")</f>
        <v/>
      </c>
      <c r="AR142" s="133" t="str">
        <f>IF($A142&lt;&gt;0,VLOOKUP($A142,'0.Productos'!$A$3:$GG$587,'0.Productos'!CJ$1+1,0),"")</f>
        <v/>
      </c>
      <c r="AS142" s="133" t="str">
        <f>IF($A142&lt;&gt;0,VLOOKUP($A142,'0.Productos'!$A$3:$GG$587,'0.Productos'!CK$1+1,0),"")</f>
        <v/>
      </c>
      <c r="AT142" s="133" t="str">
        <f>IF($A142&lt;&gt;0,VLOOKUP($A142,'0.Productos'!$A$3:$GG$587,'0.Productos'!CL$1+1,0),"")</f>
        <v/>
      </c>
      <c r="AU142" s="133" t="str">
        <f>IF($A142&lt;&gt;0,VLOOKUP($A142,'0.Productos'!$A$3:$GG$587,'0.Productos'!CM$1+1,0),"")</f>
        <v/>
      </c>
      <c r="AV142" s="133" t="str">
        <f>IF($A142&lt;&gt;0,VLOOKUP($A142,'0.Productos'!$A$3:$GG$587,'0.Productos'!CN$1+1,0),"")</f>
        <v/>
      </c>
      <c r="AW142" s="133" t="str">
        <f>IF($A142&lt;&gt;0,VLOOKUP($A142,'0.Productos'!$A$3:$GG$587,'0.Productos'!CO$1+1,0),"")</f>
        <v/>
      </c>
      <c r="AX142" s="133" t="str">
        <f>IF($A142&lt;&gt;0,VLOOKUP($A142,'0.Productos'!$A$3:$GG$587,'0.Productos'!CP$1+1,0),"")</f>
        <v/>
      </c>
      <c r="AY142" s="133" t="str">
        <f>IF($A142&lt;&gt;0,VLOOKUP($A142,'0.Productos'!$A$3:$GG$587,'0.Productos'!CQ$1+1,0),"")</f>
        <v/>
      </c>
      <c r="AZ142" s="133" t="str">
        <f>IF($A142&lt;&gt;0,VLOOKUP($A142,'0.Productos'!$A$3:$GG$587,'0.Productos'!CR$1+1,0),"")</f>
        <v/>
      </c>
      <c r="BA142" s="133" t="str">
        <f>IF($A142&lt;&gt;0,VLOOKUP($A142,'0.Productos'!$A$3:$GG$587,'0.Productos'!CS$1+1,0),"")</f>
        <v/>
      </c>
      <c r="BB142" s="133" t="str">
        <f>IF($A142&lt;&gt;0,VLOOKUP($A142,'0.Productos'!$A$3:$GG$587,'0.Productos'!CT$1+1,0),"")</f>
        <v/>
      </c>
      <c r="BC142" s="133" t="str">
        <f>IF($A142&lt;&gt;0,VLOOKUP($A142,'0.Productos'!$A$3:$GG$587,'0.Productos'!CU$1+1,0),"")</f>
        <v/>
      </c>
      <c r="BD142" s="133" t="str">
        <f>IF($A142&lt;&gt;0,VLOOKUP($A142,'0.Productos'!$A$3:$GG$587,'0.Productos'!CV$1+1,0),"")</f>
        <v/>
      </c>
      <c r="BE142" s="133" t="str">
        <f>IF($A142&lt;&gt;0,VLOOKUP($A142,'0.Productos'!$A$3:$GG$587,'0.Productos'!CW$1+1,0),"")</f>
        <v/>
      </c>
      <c r="BF142" s="133" t="str">
        <f>IF($A142&lt;&gt;0,VLOOKUP($A142,'0.Productos'!$A$3:$GG$587,'0.Productos'!CX$1+1,0),"")</f>
        <v/>
      </c>
      <c r="BG142" s="133" t="str">
        <f>IF($A142&lt;&gt;0,VLOOKUP($A142,'0.Productos'!$A$3:$GG$587,'0.Productos'!CY$1+1,0),"")</f>
        <v/>
      </c>
      <c r="BH142" s="133" t="str">
        <f>IF($A142&lt;&gt;0,VLOOKUP($A142,'0.Productos'!$A$3:$GG$587,'0.Productos'!CZ$1+1,0),"")</f>
        <v/>
      </c>
      <c r="BI142" s="133" t="str">
        <f>IF($A142&lt;&gt;0,VLOOKUP($A142,'0.Productos'!$A$3:$GG$587,'0.Productos'!DA$1+1,0),"")</f>
        <v/>
      </c>
      <c r="BJ142" s="133" t="str">
        <f>IF($A142&lt;&gt;0,VLOOKUP($A142,'0.Productos'!$A$3:$GG$587,'0.Productos'!DB$1+1,0),"")</f>
        <v/>
      </c>
      <c r="BK142" s="133" t="str">
        <f>IF($A142&lt;&gt;0,VLOOKUP($A142,'0.Productos'!$A$3:$GG$587,'0.Productos'!DC$1+1,0),"")</f>
        <v/>
      </c>
      <c r="BL142" s="133" t="str">
        <f>IF($A142&lt;&gt;0,VLOOKUP($A142,'0.Productos'!$A$3:$GG$587,'0.Productos'!DD$1+1,0),"")</f>
        <v/>
      </c>
      <c r="BM142" s="133" t="str">
        <f>IF($A142&lt;&gt;0,VLOOKUP($A142,'0.Productos'!$A$3:$GG$587,'0.Productos'!DE$1+1,0),"")</f>
        <v/>
      </c>
      <c r="BN142" s="133" t="str">
        <f>IF($A142&lt;&gt;0,VLOOKUP($A142,'0.Productos'!$A$3:$GG$587,'0.Productos'!DF$1+1,0),"")</f>
        <v/>
      </c>
      <c r="BO142" s="133" t="str">
        <f>IF($A142&lt;&gt;0,VLOOKUP($A142,'0.Productos'!$A$3:$GG$587,'0.Productos'!DG$1+1,0),"")</f>
        <v/>
      </c>
      <c r="BP142" s="133" t="str">
        <f>IF($A142&lt;&gt;0,VLOOKUP($A142,'0.Productos'!$A$3:$GG$587,'0.Productos'!DH$1+1,0),"")</f>
        <v/>
      </c>
      <c r="BQ142" s="133" t="str">
        <f>IF($A142&lt;&gt;0,VLOOKUP($A142,'0.Productos'!$A$3:$GG$587,'0.Productos'!DI$1+1,0),"")</f>
        <v/>
      </c>
      <c r="BR142" s="133" t="str">
        <f>IF($A142&lt;&gt;0,VLOOKUP($A142,'0.Productos'!$A$3:$GG$587,'0.Productos'!DJ$1+1,0),"")</f>
        <v/>
      </c>
      <c r="BS142" s="133" t="str">
        <f>IF($A142&lt;&gt;0,VLOOKUP($A142,'0.Productos'!$A$3:$GG$587,'0.Productos'!DK$1+1,0),"")</f>
        <v/>
      </c>
      <c r="BT142" s="133" t="str">
        <f>IF($A142&lt;&gt;0,VLOOKUP($A142,'0.Productos'!$A$3:$GG$587,'0.Productos'!DL$1+1,0),"")</f>
        <v/>
      </c>
    </row>
    <row r="143" spans="1:72" x14ac:dyDescent="0.25">
      <c r="A143" s="17">
        <f>'0.Consolidado general'!A143</f>
        <v>0</v>
      </c>
      <c r="B143" s="133" t="str">
        <f>IF($A143&lt;&gt;0,VLOOKUP($A143,'0.Productos'!$A$3:$GG$587,'0.Productos'!AT$1+1,0),"")</f>
        <v/>
      </c>
      <c r="C143" s="133" t="str">
        <f>IF($A143&lt;&gt;0,VLOOKUP($A143,'0.Productos'!$A$3:$GG$587,'0.Productos'!AU$1+1,0),"")</f>
        <v/>
      </c>
      <c r="D143" s="133" t="str">
        <f>IF($A143&lt;&gt;0,VLOOKUP($A143,'0.Productos'!$A$3:$GG$587,'0.Productos'!AV$1+1,0),"")</f>
        <v/>
      </c>
      <c r="E143" s="133" t="str">
        <f>IF($A143&lt;&gt;0,VLOOKUP($A143,'0.Productos'!$A$3:$GG$587,'0.Productos'!AW$1+1,0),"")</f>
        <v/>
      </c>
      <c r="F143" s="133" t="str">
        <f>IF($A143&lt;&gt;0,VLOOKUP($A143,'0.Productos'!$A$3:$GG$587,'0.Productos'!AX$1+1,0),"")</f>
        <v/>
      </c>
      <c r="G143" s="133" t="str">
        <f>IF($A143&lt;&gt;0,VLOOKUP($A143,'0.Productos'!$A$3:$GG$587,'0.Productos'!AY$1+1,0),"")</f>
        <v/>
      </c>
      <c r="H143" s="133" t="str">
        <f>IF($A143&lt;&gt;0,VLOOKUP($A143,'0.Productos'!$A$3:$GG$587,'0.Productos'!AZ$1+1,0),"")</f>
        <v/>
      </c>
      <c r="I143" s="133" t="str">
        <f>IF($A143&lt;&gt;0,VLOOKUP($A143,'0.Productos'!$A$3:$GG$587,'0.Productos'!BA$1+1,0),"")</f>
        <v/>
      </c>
      <c r="J143" s="133" t="str">
        <f>IF($A143&lt;&gt;0,VLOOKUP($A143,'0.Productos'!$A$3:$GG$587,'0.Productos'!BB$1+1,0),"")</f>
        <v/>
      </c>
      <c r="K143" s="133" t="str">
        <f>IF($A143&lt;&gt;0,VLOOKUP($A143,'0.Productos'!$A$3:$GG$587,'0.Productos'!BC$1+1,0),"")</f>
        <v/>
      </c>
      <c r="L143" s="133" t="str">
        <f>IF($A143&lt;&gt;0,VLOOKUP($A143,'0.Productos'!$A$3:$GG$587,'0.Productos'!BD$1+1,0),"")</f>
        <v/>
      </c>
      <c r="M143" s="133" t="str">
        <f>IF($A143&lt;&gt;0,VLOOKUP($A143,'0.Productos'!$A$3:$GG$587,'0.Productos'!BE$1+1,0),"")</f>
        <v/>
      </c>
      <c r="N143" s="133" t="str">
        <f>IF($A143&lt;&gt;0,VLOOKUP($A143,'0.Productos'!$A$3:$GG$587,'0.Productos'!BF$1+1,0),"")</f>
        <v/>
      </c>
      <c r="O143" s="133" t="str">
        <f>IF($A143&lt;&gt;0,VLOOKUP($A143,'0.Productos'!$A$3:$GG$587,'0.Productos'!BG$1+1,0),"")</f>
        <v/>
      </c>
      <c r="P143" s="133" t="str">
        <f>IF($A143&lt;&gt;0,VLOOKUP($A143,'0.Productos'!$A$3:$GG$587,'0.Productos'!BH$1+1,0),"")</f>
        <v/>
      </c>
      <c r="Q143" s="133" t="str">
        <f>IF($A143&lt;&gt;0,VLOOKUP($A143,'0.Productos'!$A$3:$GG$587,'0.Productos'!BI$1+1,0),"")</f>
        <v/>
      </c>
      <c r="R143" s="133" t="str">
        <f>IF($A143&lt;&gt;0,VLOOKUP($A143,'0.Productos'!$A$3:$GG$587,'0.Productos'!BJ$1+1,0),"")</f>
        <v/>
      </c>
      <c r="S143" s="133" t="str">
        <f>IF($A143&lt;&gt;0,VLOOKUP($A143,'0.Productos'!$A$3:$GG$587,'0.Productos'!BK$1+1,0),"")</f>
        <v/>
      </c>
      <c r="T143" s="133" t="str">
        <f>IF($A143&lt;&gt;0,VLOOKUP($A143,'0.Productos'!$A$3:$GG$587,'0.Productos'!BL$1+1,0),"")</f>
        <v/>
      </c>
      <c r="U143" s="133" t="str">
        <f>IF($A143&lt;&gt;0,VLOOKUP($A143,'0.Productos'!$A$3:$GG$587,'0.Productos'!BM$1+1,0),"")</f>
        <v/>
      </c>
      <c r="V143" s="133" t="str">
        <f>IF($A143&lt;&gt;0,VLOOKUP($A143,'0.Productos'!$A$3:$GG$587,'0.Productos'!BN$1+1,0),"")</f>
        <v/>
      </c>
      <c r="W143" s="133" t="str">
        <f>IF($A143&lt;&gt;0,VLOOKUP($A143,'0.Productos'!$A$3:$GG$587,'0.Productos'!BO$1+1,0),"")</f>
        <v/>
      </c>
      <c r="X143" s="133" t="str">
        <f>IF($A143&lt;&gt;0,VLOOKUP($A143,'0.Productos'!$A$3:$GG$587,'0.Productos'!BP$1+1,0),"")</f>
        <v/>
      </c>
      <c r="Y143" s="133" t="str">
        <f>IF($A143&lt;&gt;0,VLOOKUP($A143,'0.Productos'!$A$3:$GG$587,'0.Productos'!BQ$1+1,0),"")</f>
        <v/>
      </c>
      <c r="Z143" s="133" t="str">
        <f>IF($A143&lt;&gt;0,VLOOKUP($A143,'0.Productos'!$A$3:$GG$587,'0.Productos'!BR$1+1,0),"")</f>
        <v/>
      </c>
      <c r="AA143" s="133" t="str">
        <f>IF($A143&lt;&gt;0,VLOOKUP($A143,'0.Productos'!$A$3:$GG$587,'0.Productos'!BS$1+1,0),"")</f>
        <v/>
      </c>
      <c r="AB143" s="133" t="str">
        <f>IF($A143&lt;&gt;0,VLOOKUP($A143,'0.Productos'!$A$3:$GG$587,'0.Productos'!BT$1+1,0),"")</f>
        <v/>
      </c>
      <c r="AC143" s="133" t="str">
        <f>IF($A143&lt;&gt;0,VLOOKUP($A143,'0.Productos'!$A$3:$GG$587,'0.Productos'!BU$1+1,0),"")</f>
        <v/>
      </c>
      <c r="AD143" s="133" t="str">
        <f>IF($A143&lt;&gt;0,VLOOKUP($A143,'0.Productos'!$A$3:$GG$587,'0.Productos'!BV$1+1,0),"")</f>
        <v/>
      </c>
      <c r="AE143" s="133" t="str">
        <f>IF($A143&lt;&gt;0,VLOOKUP($A143,'0.Productos'!$A$3:$GG$587,'0.Productos'!BW$1+1,0),"")</f>
        <v/>
      </c>
      <c r="AF143" s="133" t="str">
        <f>IF($A143&lt;&gt;0,VLOOKUP($A143,'0.Productos'!$A$3:$GG$587,'0.Productos'!BX$1+1,0),"")</f>
        <v/>
      </c>
      <c r="AG143" s="133" t="str">
        <f>IF($A143&lt;&gt;0,VLOOKUP($A143,'0.Productos'!$A$3:$GG$587,'0.Productos'!BY$1+1,0),"")</f>
        <v/>
      </c>
      <c r="AH143" s="133" t="str">
        <f>IF($A143&lt;&gt;0,VLOOKUP($A143,'0.Productos'!$A$3:$GG$587,'0.Productos'!BZ$1+1,0),"")</f>
        <v/>
      </c>
      <c r="AI143" s="133" t="str">
        <f>IF($A143&lt;&gt;0,VLOOKUP($A143,'0.Productos'!$A$3:$GG$587,'0.Productos'!CA$1+1,0),"")</f>
        <v/>
      </c>
      <c r="AJ143" s="133" t="str">
        <f>IF($A143&lt;&gt;0,VLOOKUP($A143,'0.Productos'!$A$3:$GG$587,'0.Productos'!CB$1+1,0),"")</f>
        <v/>
      </c>
      <c r="AK143" s="133" t="str">
        <f>IF($A143&lt;&gt;0,VLOOKUP($A143,'0.Productos'!$A$3:$GG$587,'0.Productos'!CC$1+1,0),"")</f>
        <v/>
      </c>
      <c r="AL143" s="133" t="str">
        <f>IF($A143&lt;&gt;0,VLOOKUP($A143,'0.Productos'!$A$3:$GG$587,'0.Productos'!CD$1+1,0),"")</f>
        <v/>
      </c>
      <c r="AM143" s="133" t="str">
        <f>IF($A143&lt;&gt;0,VLOOKUP($A143,'0.Productos'!$A$3:$GG$587,'0.Productos'!CE$1+1,0),"")</f>
        <v/>
      </c>
      <c r="AN143" s="133" t="str">
        <f>IF($A143&lt;&gt;0,VLOOKUP($A143,'0.Productos'!$A$3:$GG$587,'0.Productos'!CF$1+1,0),"")</f>
        <v/>
      </c>
      <c r="AO143" s="133" t="str">
        <f>IF($A143&lt;&gt;0,VLOOKUP($A143,'0.Productos'!$A$3:$GG$587,'0.Productos'!CG$1+1,0),"")</f>
        <v/>
      </c>
      <c r="AP143" s="133" t="str">
        <f>IF($A143&lt;&gt;0,VLOOKUP($A143,'0.Productos'!$A$3:$GG$587,'0.Productos'!CH$1+1,0),"")</f>
        <v/>
      </c>
      <c r="AQ143" s="133" t="str">
        <f>IF($A143&lt;&gt;0,VLOOKUP($A143,'0.Productos'!$A$3:$GG$587,'0.Productos'!CI$1+1,0),"")</f>
        <v/>
      </c>
      <c r="AR143" s="133" t="str">
        <f>IF($A143&lt;&gt;0,VLOOKUP($A143,'0.Productos'!$A$3:$GG$587,'0.Productos'!CJ$1+1,0),"")</f>
        <v/>
      </c>
      <c r="AS143" s="133" t="str">
        <f>IF($A143&lt;&gt;0,VLOOKUP($A143,'0.Productos'!$A$3:$GG$587,'0.Productos'!CK$1+1,0),"")</f>
        <v/>
      </c>
      <c r="AT143" s="133" t="str">
        <f>IF($A143&lt;&gt;0,VLOOKUP($A143,'0.Productos'!$A$3:$GG$587,'0.Productos'!CL$1+1,0),"")</f>
        <v/>
      </c>
      <c r="AU143" s="133" t="str">
        <f>IF($A143&lt;&gt;0,VLOOKUP($A143,'0.Productos'!$A$3:$GG$587,'0.Productos'!CM$1+1,0),"")</f>
        <v/>
      </c>
      <c r="AV143" s="133" t="str">
        <f>IF($A143&lt;&gt;0,VLOOKUP($A143,'0.Productos'!$A$3:$GG$587,'0.Productos'!CN$1+1,0),"")</f>
        <v/>
      </c>
      <c r="AW143" s="133" t="str">
        <f>IF($A143&lt;&gt;0,VLOOKUP($A143,'0.Productos'!$A$3:$GG$587,'0.Productos'!CO$1+1,0),"")</f>
        <v/>
      </c>
      <c r="AX143" s="133" t="str">
        <f>IF($A143&lt;&gt;0,VLOOKUP($A143,'0.Productos'!$A$3:$GG$587,'0.Productos'!CP$1+1,0),"")</f>
        <v/>
      </c>
      <c r="AY143" s="133" t="str">
        <f>IF($A143&lt;&gt;0,VLOOKUP($A143,'0.Productos'!$A$3:$GG$587,'0.Productos'!CQ$1+1,0),"")</f>
        <v/>
      </c>
      <c r="AZ143" s="133" t="str">
        <f>IF($A143&lt;&gt;0,VLOOKUP($A143,'0.Productos'!$A$3:$GG$587,'0.Productos'!CR$1+1,0),"")</f>
        <v/>
      </c>
      <c r="BA143" s="133" t="str">
        <f>IF($A143&lt;&gt;0,VLOOKUP($A143,'0.Productos'!$A$3:$GG$587,'0.Productos'!CS$1+1,0),"")</f>
        <v/>
      </c>
      <c r="BB143" s="133" t="str">
        <f>IF($A143&lt;&gt;0,VLOOKUP($A143,'0.Productos'!$A$3:$GG$587,'0.Productos'!CT$1+1,0),"")</f>
        <v/>
      </c>
      <c r="BC143" s="133" t="str">
        <f>IF($A143&lt;&gt;0,VLOOKUP($A143,'0.Productos'!$A$3:$GG$587,'0.Productos'!CU$1+1,0),"")</f>
        <v/>
      </c>
      <c r="BD143" s="133" t="str">
        <f>IF($A143&lt;&gt;0,VLOOKUP($A143,'0.Productos'!$A$3:$GG$587,'0.Productos'!CV$1+1,0),"")</f>
        <v/>
      </c>
      <c r="BE143" s="133" t="str">
        <f>IF($A143&lt;&gt;0,VLOOKUP($A143,'0.Productos'!$A$3:$GG$587,'0.Productos'!CW$1+1,0),"")</f>
        <v/>
      </c>
      <c r="BF143" s="133" t="str">
        <f>IF($A143&lt;&gt;0,VLOOKUP($A143,'0.Productos'!$A$3:$GG$587,'0.Productos'!CX$1+1,0),"")</f>
        <v/>
      </c>
      <c r="BG143" s="133" t="str">
        <f>IF($A143&lt;&gt;0,VLOOKUP($A143,'0.Productos'!$A$3:$GG$587,'0.Productos'!CY$1+1,0),"")</f>
        <v/>
      </c>
      <c r="BH143" s="133" t="str">
        <f>IF($A143&lt;&gt;0,VLOOKUP($A143,'0.Productos'!$A$3:$GG$587,'0.Productos'!CZ$1+1,0),"")</f>
        <v/>
      </c>
      <c r="BI143" s="133" t="str">
        <f>IF($A143&lt;&gt;0,VLOOKUP($A143,'0.Productos'!$A$3:$GG$587,'0.Productos'!DA$1+1,0),"")</f>
        <v/>
      </c>
      <c r="BJ143" s="133" t="str">
        <f>IF($A143&lt;&gt;0,VLOOKUP($A143,'0.Productos'!$A$3:$GG$587,'0.Productos'!DB$1+1,0),"")</f>
        <v/>
      </c>
      <c r="BK143" s="133" t="str">
        <f>IF($A143&lt;&gt;0,VLOOKUP($A143,'0.Productos'!$A$3:$GG$587,'0.Productos'!DC$1+1,0),"")</f>
        <v/>
      </c>
      <c r="BL143" s="133" t="str">
        <f>IF($A143&lt;&gt;0,VLOOKUP($A143,'0.Productos'!$A$3:$GG$587,'0.Productos'!DD$1+1,0),"")</f>
        <v/>
      </c>
      <c r="BM143" s="133" t="str">
        <f>IF($A143&lt;&gt;0,VLOOKUP($A143,'0.Productos'!$A$3:$GG$587,'0.Productos'!DE$1+1,0),"")</f>
        <v/>
      </c>
      <c r="BN143" s="133" t="str">
        <f>IF($A143&lt;&gt;0,VLOOKUP($A143,'0.Productos'!$A$3:$GG$587,'0.Productos'!DF$1+1,0),"")</f>
        <v/>
      </c>
      <c r="BO143" s="133" t="str">
        <f>IF($A143&lt;&gt;0,VLOOKUP($A143,'0.Productos'!$A$3:$GG$587,'0.Productos'!DG$1+1,0),"")</f>
        <v/>
      </c>
      <c r="BP143" s="133" t="str">
        <f>IF($A143&lt;&gt;0,VLOOKUP($A143,'0.Productos'!$A$3:$GG$587,'0.Productos'!DH$1+1,0),"")</f>
        <v/>
      </c>
      <c r="BQ143" s="133" t="str">
        <f>IF($A143&lt;&gt;0,VLOOKUP($A143,'0.Productos'!$A$3:$GG$587,'0.Productos'!DI$1+1,0),"")</f>
        <v/>
      </c>
      <c r="BR143" s="133" t="str">
        <f>IF($A143&lt;&gt;0,VLOOKUP($A143,'0.Productos'!$A$3:$GG$587,'0.Productos'!DJ$1+1,0),"")</f>
        <v/>
      </c>
      <c r="BS143" s="133" t="str">
        <f>IF($A143&lt;&gt;0,VLOOKUP($A143,'0.Productos'!$A$3:$GG$587,'0.Productos'!DK$1+1,0),"")</f>
        <v/>
      </c>
      <c r="BT143" s="133" t="str">
        <f>IF($A143&lt;&gt;0,VLOOKUP($A143,'0.Productos'!$A$3:$GG$587,'0.Productos'!DL$1+1,0),"")</f>
        <v/>
      </c>
    </row>
    <row r="144" spans="1:72" x14ac:dyDescent="0.25">
      <c r="A144" s="17">
        <f>'0.Consolidado general'!A144</f>
        <v>0</v>
      </c>
      <c r="B144" s="133" t="str">
        <f>IF($A144&lt;&gt;0,VLOOKUP($A144,'0.Productos'!$A$3:$GG$587,'0.Productos'!AT$1+1,0),"")</f>
        <v/>
      </c>
      <c r="C144" s="133" t="str">
        <f>IF($A144&lt;&gt;0,VLOOKUP($A144,'0.Productos'!$A$3:$GG$587,'0.Productos'!AU$1+1,0),"")</f>
        <v/>
      </c>
      <c r="D144" s="133" t="str">
        <f>IF($A144&lt;&gt;0,VLOOKUP($A144,'0.Productos'!$A$3:$GG$587,'0.Productos'!AV$1+1,0),"")</f>
        <v/>
      </c>
      <c r="E144" s="133" t="str">
        <f>IF($A144&lt;&gt;0,VLOOKUP($A144,'0.Productos'!$A$3:$GG$587,'0.Productos'!AW$1+1,0),"")</f>
        <v/>
      </c>
      <c r="F144" s="133" t="str">
        <f>IF($A144&lt;&gt;0,VLOOKUP($A144,'0.Productos'!$A$3:$GG$587,'0.Productos'!AX$1+1,0),"")</f>
        <v/>
      </c>
      <c r="G144" s="133" t="str">
        <f>IF($A144&lt;&gt;0,VLOOKUP($A144,'0.Productos'!$A$3:$GG$587,'0.Productos'!AY$1+1,0),"")</f>
        <v/>
      </c>
      <c r="H144" s="133" t="str">
        <f>IF($A144&lt;&gt;0,VLOOKUP($A144,'0.Productos'!$A$3:$GG$587,'0.Productos'!AZ$1+1,0),"")</f>
        <v/>
      </c>
      <c r="I144" s="133" t="str">
        <f>IF($A144&lt;&gt;0,VLOOKUP($A144,'0.Productos'!$A$3:$GG$587,'0.Productos'!BA$1+1,0),"")</f>
        <v/>
      </c>
      <c r="J144" s="133" t="str">
        <f>IF($A144&lt;&gt;0,VLOOKUP($A144,'0.Productos'!$A$3:$GG$587,'0.Productos'!BB$1+1,0),"")</f>
        <v/>
      </c>
      <c r="K144" s="133" t="str">
        <f>IF($A144&lt;&gt;0,VLOOKUP($A144,'0.Productos'!$A$3:$GG$587,'0.Productos'!BC$1+1,0),"")</f>
        <v/>
      </c>
      <c r="L144" s="133" t="str">
        <f>IF($A144&lt;&gt;0,VLOOKUP($A144,'0.Productos'!$A$3:$GG$587,'0.Productos'!BD$1+1,0),"")</f>
        <v/>
      </c>
      <c r="M144" s="133" t="str">
        <f>IF($A144&lt;&gt;0,VLOOKUP($A144,'0.Productos'!$A$3:$GG$587,'0.Productos'!BE$1+1,0),"")</f>
        <v/>
      </c>
      <c r="N144" s="133" t="str">
        <f>IF($A144&lt;&gt;0,VLOOKUP($A144,'0.Productos'!$A$3:$GG$587,'0.Productos'!BF$1+1,0),"")</f>
        <v/>
      </c>
      <c r="O144" s="133" t="str">
        <f>IF($A144&lt;&gt;0,VLOOKUP($A144,'0.Productos'!$A$3:$GG$587,'0.Productos'!BG$1+1,0),"")</f>
        <v/>
      </c>
      <c r="P144" s="133" t="str">
        <f>IF($A144&lt;&gt;0,VLOOKUP($A144,'0.Productos'!$A$3:$GG$587,'0.Productos'!BH$1+1,0),"")</f>
        <v/>
      </c>
      <c r="Q144" s="133" t="str">
        <f>IF($A144&lt;&gt;0,VLOOKUP($A144,'0.Productos'!$A$3:$GG$587,'0.Productos'!BI$1+1,0),"")</f>
        <v/>
      </c>
      <c r="R144" s="133" t="str">
        <f>IF($A144&lt;&gt;0,VLOOKUP($A144,'0.Productos'!$A$3:$GG$587,'0.Productos'!BJ$1+1,0),"")</f>
        <v/>
      </c>
      <c r="S144" s="133" t="str">
        <f>IF($A144&lt;&gt;0,VLOOKUP($A144,'0.Productos'!$A$3:$GG$587,'0.Productos'!BK$1+1,0),"")</f>
        <v/>
      </c>
      <c r="T144" s="133" t="str">
        <f>IF($A144&lt;&gt;0,VLOOKUP($A144,'0.Productos'!$A$3:$GG$587,'0.Productos'!BL$1+1,0),"")</f>
        <v/>
      </c>
      <c r="U144" s="133" t="str">
        <f>IF($A144&lt;&gt;0,VLOOKUP($A144,'0.Productos'!$A$3:$GG$587,'0.Productos'!BM$1+1,0),"")</f>
        <v/>
      </c>
      <c r="V144" s="133" t="str">
        <f>IF($A144&lt;&gt;0,VLOOKUP($A144,'0.Productos'!$A$3:$GG$587,'0.Productos'!BN$1+1,0),"")</f>
        <v/>
      </c>
      <c r="W144" s="133" t="str">
        <f>IF($A144&lt;&gt;0,VLOOKUP($A144,'0.Productos'!$A$3:$GG$587,'0.Productos'!BO$1+1,0),"")</f>
        <v/>
      </c>
      <c r="X144" s="133" t="str">
        <f>IF($A144&lt;&gt;0,VLOOKUP($A144,'0.Productos'!$A$3:$GG$587,'0.Productos'!BP$1+1,0),"")</f>
        <v/>
      </c>
      <c r="Y144" s="133" t="str">
        <f>IF($A144&lt;&gt;0,VLOOKUP($A144,'0.Productos'!$A$3:$GG$587,'0.Productos'!BQ$1+1,0),"")</f>
        <v/>
      </c>
      <c r="Z144" s="133" t="str">
        <f>IF($A144&lt;&gt;0,VLOOKUP($A144,'0.Productos'!$A$3:$GG$587,'0.Productos'!BR$1+1,0),"")</f>
        <v/>
      </c>
      <c r="AA144" s="133" t="str">
        <f>IF($A144&lt;&gt;0,VLOOKUP($A144,'0.Productos'!$A$3:$GG$587,'0.Productos'!BS$1+1,0),"")</f>
        <v/>
      </c>
      <c r="AB144" s="133" t="str">
        <f>IF($A144&lt;&gt;0,VLOOKUP($A144,'0.Productos'!$A$3:$GG$587,'0.Productos'!BT$1+1,0),"")</f>
        <v/>
      </c>
      <c r="AC144" s="133" t="str">
        <f>IF($A144&lt;&gt;0,VLOOKUP($A144,'0.Productos'!$A$3:$GG$587,'0.Productos'!BU$1+1,0),"")</f>
        <v/>
      </c>
      <c r="AD144" s="133" t="str">
        <f>IF($A144&lt;&gt;0,VLOOKUP($A144,'0.Productos'!$A$3:$GG$587,'0.Productos'!BV$1+1,0),"")</f>
        <v/>
      </c>
      <c r="AE144" s="133" t="str">
        <f>IF($A144&lt;&gt;0,VLOOKUP($A144,'0.Productos'!$A$3:$GG$587,'0.Productos'!BW$1+1,0),"")</f>
        <v/>
      </c>
      <c r="AF144" s="133" t="str">
        <f>IF($A144&lt;&gt;0,VLOOKUP($A144,'0.Productos'!$A$3:$GG$587,'0.Productos'!BX$1+1,0),"")</f>
        <v/>
      </c>
      <c r="AG144" s="133" t="str">
        <f>IF($A144&lt;&gt;0,VLOOKUP($A144,'0.Productos'!$A$3:$GG$587,'0.Productos'!BY$1+1,0),"")</f>
        <v/>
      </c>
      <c r="AH144" s="133" t="str">
        <f>IF($A144&lt;&gt;0,VLOOKUP($A144,'0.Productos'!$A$3:$GG$587,'0.Productos'!BZ$1+1,0),"")</f>
        <v/>
      </c>
      <c r="AI144" s="133" t="str">
        <f>IF($A144&lt;&gt;0,VLOOKUP($A144,'0.Productos'!$A$3:$GG$587,'0.Productos'!CA$1+1,0),"")</f>
        <v/>
      </c>
      <c r="AJ144" s="133" t="str">
        <f>IF($A144&lt;&gt;0,VLOOKUP($A144,'0.Productos'!$A$3:$GG$587,'0.Productos'!CB$1+1,0),"")</f>
        <v/>
      </c>
      <c r="AK144" s="133" t="str">
        <f>IF($A144&lt;&gt;0,VLOOKUP($A144,'0.Productos'!$A$3:$GG$587,'0.Productos'!CC$1+1,0),"")</f>
        <v/>
      </c>
      <c r="AL144" s="133" t="str">
        <f>IF($A144&lt;&gt;0,VLOOKUP($A144,'0.Productos'!$A$3:$GG$587,'0.Productos'!CD$1+1,0),"")</f>
        <v/>
      </c>
      <c r="AM144" s="133" t="str">
        <f>IF($A144&lt;&gt;0,VLOOKUP($A144,'0.Productos'!$A$3:$GG$587,'0.Productos'!CE$1+1,0),"")</f>
        <v/>
      </c>
      <c r="AN144" s="133" t="str">
        <f>IF($A144&lt;&gt;0,VLOOKUP($A144,'0.Productos'!$A$3:$GG$587,'0.Productos'!CF$1+1,0),"")</f>
        <v/>
      </c>
      <c r="AO144" s="133" t="str">
        <f>IF($A144&lt;&gt;0,VLOOKUP($A144,'0.Productos'!$A$3:$GG$587,'0.Productos'!CG$1+1,0),"")</f>
        <v/>
      </c>
      <c r="AP144" s="133" t="str">
        <f>IF($A144&lt;&gt;0,VLOOKUP($A144,'0.Productos'!$A$3:$GG$587,'0.Productos'!CH$1+1,0),"")</f>
        <v/>
      </c>
      <c r="AQ144" s="133" t="str">
        <f>IF($A144&lt;&gt;0,VLOOKUP($A144,'0.Productos'!$A$3:$GG$587,'0.Productos'!CI$1+1,0),"")</f>
        <v/>
      </c>
      <c r="AR144" s="133" t="str">
        <f>IF($A144&lt;&gt;0,VLOOKUP($A144,'0.Productos'!$A$3:$GG$587,'0.Productos'!CJ$1+1,0),"")</f>
        <v/>
      </c>
      <c r="AS144" s="133" t="str">
        <f>IF($A144&lt;&gt;0,VLOOKUP($A144,'0.Productos'!$A$3:$GG$587,'0.Productos'!CK$1+1,0),"")</f>
        <v/>
      </c>
      <c r="AT144" s="133" t="str">
        <f>IF($A144&lt;&gt;0,VLOOKUP($A144,'0.Productos'!$A$3:$GG$587,'0.Productos'!CL$1+1,0),"")</f>
        <v/>
      </c>
      <c r="AU144" s="133" t="str">
        <f>IF($A144&lt;&gt;0,VLOOKUP($A144,'0.Productos'!$A$3:$GG$587,'0.Productos'!CM$1+1,0),"")</f>
        <v/>
      </c>
      <c r="AV144" s="133" t="str">
        <f>IF($A144&lt;&gt;0,VLOOKUP($A144,'0.Productos'!$A$3:$GG$587,'0.Productos'!CN$1+1,0),"")</f>
        <v/>
      </c>
      <c r="AW144" s="133" t="str">
        <f>IF($A144&lt;&gt;0,VLOOKUP($A144,'0.Productos'!$A$3:$GG$587,'0.Productos'!CO$1+1,0),"")</f>
        <v/>
      </c>
      <c r="AX144" s="133" t="str">
        <f>IF($A144&lt;&gt;0,VLOOKUP($A144,'0.Productos'!$A$3:$GG$587,'0.Productos'!CP$1+1,0),"")</f>
        <v/>
      </c>
      <c r="AY144" s="133" t="str">
        <f>IF($A144&lt;&gt;0,VLOOKUP($A144,'0.Productos'!$A$3:$GG$587,'0.Productos'!CQ$1+1,0),"")</f>
        <v/>
      </c>
      <c r="AZ144" s="133" t="str">
        <f>IF($A144&lt;&gt;0,VLOOKUP($A144,'0.Productos'!$A$3:$GG$587,'0.Productos'!CR$1+1,0),"")</f>
        <v/>
      </c>
      <c r="BA144" s="133" t="str">
        <f>IF($A144&lt;&gt;0,VLOOKUP($A144,'0.Productos'!$A$3:$GG$587,'0.Productos'!CS$1+1,0),"")</f>
        <v/>
      </c>
      <c r="BB144" s="133" t="str">
        <f>IF($A144&lt;&gt;0,VLOOKUP($A144,'0.Productos'!$A$3:$GG$587,'0.Productos'!CT$1+1,0),"")</f>
        <v/>
      </c>
      <c r="BC144" s="133" t="str">
        <f>IF($A144&lt;&gt;0,VLOOKUP($A144,'0.Productos'!$A$3:$GG$587,'0.Productos'!CU$1+1,0),"")</f>
        <v/>
      </c>
      <c r="BD144" s="133" t="str">
        <f>IF($A144&lt;&gt;0,VLOOKUP($A144,'0.Productos'!$A$3:$GG$587,'0.Productos'!CV$1+1,0),"")</f>
        <v/>
      </c>
      <c r="BE144" s="133" t="str">
        <f>IF($A144&lt;&gt;0,VLOOKUP($A144,'0.Productos'!$A$3:$GG$587,'0.Productos'!CW$1+1,0),"")</f>
        <v/>
      </c>
      <c r="BF144" s="133" t="str">
        <f>IF($A144&lt;&gt;0,VLOOKUP($A144,'0.Productos'!$A$3:$GG$587,'0.Productos'!CX$1+1,0),"")</f>
        <v/>
      </c>
      <c r="BG144" s="133" t="str">
        <f>IF($A144&lt;&gt;0,VLOOKUP($A144,'0.Productos'!$A$3:$GG$587,'0.Productos'!CY$1+1,0),"")</f>
        <v/>
      </c>
      <c r="BH144" s="133" t="str">
        <f>IF($A144&lt;&gt;0,VLOOKUP($A144,'0.Productos'!$A$3:$GG$587,'0.Productos'!CZ$1+1,0),"")</f>
        <v/>
      </c>
      <c r="BI144" s="133" t="str">
        <f>IF($A144&lt;&gt;0,VLOOKUP($A144,'0.Productos'!$A$3:$GG$587,'0.Productos'!DA$1+1,0),"")</f>
        <v/>
      </c>
      <c r="BJ144" s="133" t="str">
        <f>IF($A144&lt;&gt;0,VLOOKUP($A144,'0.Productos'!$A$3:$GG$587,'0.Productos'!DB$1+1,0),"")</f>
        <v/>
      </c>
      <c r="BK144" s="133" t="str">
        <f>IF($A144&lt;&gt;0,VLOOKUP($A144,'0.Productos'!$A$3:$GG$587,'0.Productos'!DC$1+1,0),"")</f>
        <v/>
      </c>
      <c r="BL144" s="133" t="str">
        <f>IF($A144&lt;&gt;0,VLOOKUP($A144,'0.Productos'!$A$3:$GG$587,'0.Productos'!DD$1+1,0),"")</f>
        <v/>
      </c>
      <c r="BM144" s="133" t="str">
        <f>IF($A144&lt;&gt;0,VLOOKUP($A144,'0.Productos'!$A$3:$GG$587,'0.Productos'!DE$1+1,0),"")</f>
        <v/>
      </c>
      <c r="BN144" s="133" t="str">
        <f>IF($A144&lt;&gt;0,VLOOKUP($A144,'0.Productos'!$A$3:$GG$587,'0.Productos'!DF$1+1,0),"")</f>
        <v/>
      </c>
      <c r="BO144" s="133" t="str">
        <f>IF($A144&lt;&gt;0,VLOOKUP($A144,'0.Productos'!$A$3:$GG$587,'0.Productos'!DG$1+1,0),"")</f>
        <v/>
      </c>
      <c r="BP144" s="133" t="str">
        <f>IF($A144&lt;&gt;0,VLOOKUP($A144,'0.Productos'!$A$3:$GG$587,'0.Productos'!DH$1+1,0),"")</f>
        <v/>
      </c>
      <c r="BQ144" s="133" t="str">
        <f>IF($A144&lt;&gt;0,VLOOKUP($A144,'0.Productos'!$A$3:$GG$587,'0.Productos'!DI$1+1,0),"")</f>
        <v/>
      </c>
      <c r="BR144" s="133" t="str">
        <f>IF($A144&lt;&gt;0,VLOOKUP($A144,'0.Productos'!$A$3:$GG$587,'0.Productos'!DJ$1+1,0),"")</f>
        <v/>
      </c>
      <c r="BS144" s="133" t="str">
        <f>IF($A144&lt;&gt;0,VLOOKUP($A144,'0.Productos'!$A$3:$GG$587,'0.Productos'!DK$1+1,0),"")</f>
        <v/>
      </c>
      <c r="BT144" s="133" t="str">
        <f>IF($A144&lt;&gt;0,VLOOKUP($A144,'0.Productos'!$A$3:$GG$587,'0.Productos'!DL$1+1,0),"")</f>
        <v/>
      </c>
    </row>
    <row r="145" spans="1:72" x14ac:dyDescent="0.25">
      <c r="A145" s="17">
        <f>'0.Consolidado general'!A145</f>
        <v>0</v>
      </c>
      <c r="B145" s="133" t="str">
        <f>IF($A145&lt;&gt;0,VLOOKUP($A145,'0.Productos'!$A$3:$GG$587,'0.Productos'!AT$1+1,0),"")</f>
        <v/>
      </c>
      <c r="C145" s="133" t="str">
        <f>IF($A145&lt;&gt;0,VLOOKUP($A145,'0.Productos'!$A$3:$GG$587,'0.Productos'!AU$1+1,0),"")</f>
        <v/>
      </c>
      <c r="D145" s="133" t="str">
        <f>IF($A145&lt;&gt;0,VLOOKUP($A145,'0.Productos'!$A$3:$GG$587,'0.Productos'!AV$1+1,0),"")</f>
        <v/>
      </c>
      <c r="E145" s="133" t="str">
        <f>IF($A145&lt;&gt;0,VLOOKUP($A145,'0.Productos'!$A$3:$GG$587,'0.Productos'!AW$1+1,0),"")</f>
        <v/>
      </c>
      <c r="F145" s="133" t="str">
        <f>IF($A145&lt;&gt;0,VLOOKUP($A145,'0.Productos'!$A$3:$GG$587,'0.Productos'!AX$1+1,0),"")</f>
        <v/>
      </c>
      <c r="G145" s="133" t="str">
        <f>IF($A145&lt;&gt;0,VLOOKUP($A145,'0.Productos'!$A$3:$GG$587,'0.Productos'!AY$1+1,0),"")</f>
        <v/>
      </c>
      <c r="H145" s="133" t="str">
        <f>IF($A145&lt;&gt;0,VLOOKUP($A145,'0.Productos'!$A$3:$GG$587,'0.Productos'!AZ$1+1,0),"")</f>
        <v/>
      </c>
      <c r="I145" s="133" t="str">
        <f>IF($A145&lt;&gt;0,VLOOKUP($A145,'0.Productos'!$A$3:$GG$587,'0.Productos'!BA$1+1,0),"")</f>
        <v/>
      </c>
      <c r="J145" s="133" t="str">
        <f>IF($A145&lt;&gt;0,VLOOKUP($A145,'0.Productos'!$A$3:$GG$587,'0.Productos'!BB$1+1,0),"")</f>
        <v/>
      </c>
      <c r="K145" s="133" t="str">
        <f>IF($A145&lt;&gt;0,VLOOKUP($A145,'0.Productos'!$A$3:$GG$587,'0.Productos'!BC$1+1,0),"")</f>
        <v/>
      </c>
      <c r="L145" s="133" t="str">
        <f>IF($A145&lt;&gt;0,VLOOKUP($A145,'0.Productos'!$A$3:$GG$587,'0.Productos'!BD$1+1,0),"")</f>
        <v/>
      </c>
      <c r="M145" s="133" t="str">
        <f>IF($A145&lt;&gt;0,VLOOKUP($A145,'0.Productos'!$A$3:$GG$587,'0.Productos'!BE$1+1,0),"")</f>
        <v/>
      </c>
      <c r="N145" s="133" t="str">
        <f>IF($A145&lt;&gt;0,VLOOKUP($A145,'0.Productos'!$A$3:$GG$587,'0.Productos'!BF$1+1,0),"")</f>
        <v/>
      </c>
      <c r="O145" s="133" t="str">
        <f>IF($A145&lt;&gt;0,VLOOKUP($A145,'0.Productos'!$A$3:$GG$587,'0.Productos'!BG$1+1,0),"")</f>
        <v/>
      </c>
      <c r="P145" s="133" t="str">
        <f>IF($A145&lt;&gt;0,VLOOKUP($A145,'0.Productos'!$A$3:$GG$587,'0.Productos'!BH$1+1,0),"")</f>
        <v/>
      </c>
      <c r="Q145" s="133" t="str">
        <f>IF($A145&lt;&gt;0,VLOOKUP($A145,'0.Productos'!$A$3:$GG$587,'0.Productos'!BI$1+1,0),"")</f>
        <v/>
      </c>
      <c r="R145" s="133" t="str">
        <f>IF($A145&lt;&gt;0,VLOOKUP($A145,'0.Productos'!$A$3:$GG$587,'0.Productos'!BJ$1+1,0),"")</f>
        <v/>
      </c>
      <c r="S145" s="133" t="str">
        <f>IF($A145&lt;&gt;0,VLOOKUP($A145,'0.Productos'!$A$3:$GG$587,'0.Productos'!BK$1+1,0),"")</f>
        <v/>
      </c>
      <c r="T145" s="133" t="str">
        <f>IF($A145&lt;&gt;0,VLOOKUP($A145,'0.Productos'!$A$3:$GG$587,'0.Productos'!BL$1+1,0),"")</f>
        <v/>
      </c>
      <c r="U145" s="133" t="str">
        <f>IF($A145&lt;&gt;0,VLOOKUP($A145,'0.Productos'!$A$3:$GG$587,'0.Productos'!BM$1+1,0),"")</f>
        <v/>
      </c>
      <c r="V145" s="133" t="str">
        <f>IF($A145&lt;&gt;0,VLOOKUP($A145,'0.Productos'!$A$3:$GG$587,'0.Productos'!BN$1+1,0),"")</f>
        <v/>
      </c>
      <c r="W145" s="133" t="str">
        <f>IF($A145&lt;&gt;0,VLOOKUP($A145,'0.Productos'!$A$3:$GG$587,'0.Productos'!BO$1+1,0),"")</f>
        <v/>
      </c>
      <c r="X145" s="133" t="str">
        <f>IF($A145&lt;&gt;0,VLOOKUP($A145,'0.Productos'!$A$3:$GG$587,'0.Productos'!BP$1+1,0),"")</f>
        <v/>
      </c>
      <c r="Y145" s="133" t="str">
        <f>IF($A145&lt;&gt;0,VLOOKUP($A145,'0.Productos'!$A$3:$GG$587,'0.Productos'!BQ$1+1,0),"")</f>
        <v/>
      </c>
      <c r="Z145" s="133" t="str">
        <f>IF($A145&lt;&gt;0,VLOOKUP($A145,'0.Productos'!$A$3:$GG$587,'0.Productos'!BR$1+1,0),"")</f>
        <v/>
      </c>
      <c r="AA145" s="133" t="str">
        <f>IF($A145&lt;&gt;0,VLOOKUP($A145,'0.Productos'!$A$3:$GG$587,'0.Productos'!BS$1+1,0),"")</f>
        <v/>
      </c>
      <c r="AB145" s="133" t="str">
        <f>IF($A145&lt;&gt;0,VLOOKUP($A145,'0.Productos'!$A$3:$GG$587,'0.Productos'!BT$1+1,0),"")</f>
        <v/>
      </c>
      <c r="AC145" s="133" t="str">
        <f>IF($A145&lt;&gt;0,VLOOKUP($A145,'0.Productos'!$A$3:$GG$587,'0.Productos'!BU$1+1,0),"")</f>
        <v/>
      </c>
      <c r="AD145" s="133" t="str">
        <f>IF($A145&lt;&gt;0,VLOOKUP($A145,'0.Productos'!$A$3:$GG$587,'0.Productos'!BV$1+1,0),"")</f>
        <v/>
      </c>
      <c r="AE145" s="133" t="str">
        <f>IF($A145&lt;&gt;0,VLOOKUP($A145,'0.Productos'!$A$3:$GG$587,'0.Productos'!BW$1+1,0),"")</f>
        <v/>
      </c>
      <c r="AF145" s="133" t="str">
        <f>IF($A145&lt;&gt;0,VLOOKUP($A145,'0.Productos'!$A$3:$GG$587,'0.Productos'!BX$1+1,0),"")</f>
        <v/>
      </c>
      <c r="AG145" s="133" t="str">
        <f>IF($A145&lt;&gt;0,VLOOKUP($A145,'0.Productos'!$A$3:$GG$587,'0.Productos'!BY$1+1,0),"")</f>
        <v/>
      </c>
      <c r="AH145" s="133" t="str">
        <f>IF($A145&lt;&gt;0,VLOOKUP($A145,'0.Productos'!$A$3:$GG$587,'0.Productos'!BZ$1+1,0),"")</f>
        <v/>
      </c>
      <c r="AI145" s="133" t="str">
        <f>IF($A145&lt;&gt;0,VLOOKUP($A145,'0.Productos'!$A$3:$GG$587,'0.Productos'!CA$1+1,0),"")</f>
        <v/>
      </c>
      <c r="AJ145" s="133" t="str">
        <f>IF($A145&lt;&gt;0,VLOOKUP($A145,'0.Productos'!$A$3:$GG$587,'0.Productos'!CB$1+1,0),"")</f>
        <v/>
      </c>
      <c r="AK145" s="133" t="str">
        <f>IF($A145&lt;&gt;0,VLOOKUP($A145,'0.Productos'!$A$3:$GG$587,'0.Productos'!CC$1+1,0),"")</f>
        <v/>
      </c>
      <c r="AL145" s="133" t="str">
        <f>IF($A145&lt;&gt;0,VLOOKUP($A145,'0.Productos'!$A$3:$GG$587,'0.Productos'!CD$1+1,0),"")</f>
        <v/>
      </c>
      <c r="AM145" s="133" t="str">
        <f>IF($A145&lt;&gt;0,VLOOKUP($A145,'0.Productos'!$A$3:$GG$587,'0.Productos'!CE$1+1,0),"")</f>
        <v/>
      </c>
      <c r="AN145" s="133" t="str">
        <f>IF($A145&lt;&gt;0,VLOOKUP($A145,'0.Productos'!$A$3:$GG$587,'0.Productos'!CF$1+1,0),"")</f>
        <v/>
      </c>
      <c r="AO145" s="133" t="str">
        <f>IF($A145&lt;&gt;0,VLOOKUP($A145,'0.Productos'!$A$3:$GG$587,'0.Productos'!CG$1+1,0),"")</f>
        <v/>
      </c>
      <c r="AP145" s="133" t="str">
        <f>IF($A145&lt;&gt;0,VLOOKUP($A145,'0.Productos'!$A$3:$GG$587,'0.Productos'!CH$1+1,0),"")</f>
        <v/>
      </c>
      <c r="AQ145" s="133" t="str">
        <f>IF($A145&lt;&gt;0,VLOOKUP($A145,'0.Productos'!$A$3:$GG$587,'0.Productos'!CI$1+1,0),"")</f>
        <v/>
      </c>
      <c r="AR145" s="133" t="str">
        <f>IF($A145&lt;&gt;0,VLOOKUP($A145,'0.Productos'!$A$3:$GG$587,'0.Productos'!CJ$1+1,0),"")</f>
        <v/>
      </c>
      <c r="AS145" s="133" t="str">
        <f>IF($A145&lt;&gt;0,VLOOKUP($A145,'0.Productos'!$A$3:$GG$587,'0.Productos'!CK$1+1,0),"")</f>
        <v/>
      </c>
      <c r="AT145" s="133" t="str">
        <f>IF($A145&lt;&gt;0,VLOOKUP($A145,'0.Productos'!$A$3:$GG$587,'0.Productos'!CL$1+1,0),"")</f>
        <v/>
      </c>
      <c r="AU145" s="133" t="str">
        <f>IF($A145&lt;&gt;0,VLOOKUP($A145,'0.Productos'!$A$3:$GG$587,'0.Productos'!CM$1+1,0),"")</f>
        <v/>
      </c>
      <c r="AV145" s="133" t="str">
        <f>IF($A145&lt;&gt;0,VLOOKUP($A145,'0.Productos'!$A$3:$GG$587,'0.Productos'!CN$1+1,0),"")</f>
        <v/>
      </c>
      <c r="AW145" s="133" t="str">
        <f>IF($A145&lt;&gt;0,VLOOKUP($A145,'0.Productos'!$A$3:$GG$587,'0.Productos'!CO$1+1,0),"")</f>
        <v/>
      </c>
      <c r="AX145" s="133" t="str">
        <f>IF($A145&lt;&gt;0,VLOOKUP($A145,'0.Productos'!$A$3:$GG$587,'0.Productos'!CP$1+1,0),"")</f>
        <v/>
      </c>
      <c r="AY145" s="133" t="str">
        <f>IF($A145&lt;&gt;0,VLOOKUP($A145,'0.Productos'!$A$3:$GG$587,'0.Productos'!CQ$1+1,0),"")</f>
        <v/>
      </c>
      <c r="AZ145" s="133" t="str">
        <f>IF($A145&lt;&gt;0,VLOOKUP($A145,'0.Productos'!$A$3:$GG$587,'0.Productos'!CR$1+1,0),"")</f>
        <v/>
      </c>
      <c r="BA145" s="133" t="str">
        <f>IF($A145&lt;&gt;0,VLOOKUP($A145,'0.Productos'!$A$3:$GG$587,'0.Productos'!CS$1+1,0),"")</f>
        <v/>
      </c>
      <c r="BB145" s="133" t="str">
        <f>IF($A145&lt;&gt;0,VLOOKUP($A145,'0.Productos'!$A$3:$GG$587,'0.Productos'!CT$1+1,0),"")</f>
        <v/>
      </c>
      <c r="BC145" s="133" t="str">
        <f>IF($A145&lt;&gt;0,VLOOKUP($A145,'0.Productos'!$A$3:$GG$587,'0.Productos'!CU$1+1,0),"")</f>
        <v/>
      </c>
      <c r="BD145" s="133" t="str">
        <f>IF($A145&lt;&gt;0,VLOOKUP($A145,'0.Productos'!$A$3:$GG$587,'0.Productos'!CV$1+1,0),"")</f>
        <v/>
      </c>
      <c r="BE145" s="133" t="str">
        <f>IF($A145&lt;&gt;0,VLOOKUP($A145,'0.Productos'!$A$3:$GG$587,'0.Productos'!CW$1+1,0),"")</f>
        <v/>
      </c>
      <c r="BF145" s="133" t="str">
        <f>IF($A145&lt;&gt;0,VLOOKUP($A145,'0.Productos'!$A$3:$GG$587,'0.Productos'!CX$1+1,0),"")</f>
        <v/>
      </c>
      <c r="BG145" s="133" t="str">
        <f>IF($A145&lt;&gt;0,VLOOKUP($A145,'0.Productos'!$A$3:$GG$587,'0.Productos'!CY$1+1,0),"")</f>
        <v/>
      </c>
      <c r="BH145" s="133" t="str">
        <f>IF($A145&lt;&gt;0,VLOOKUP($A145,'0.Productos'!$A$3:$GG$587,'0.Productos'!CZ$1+1,0),"")</f>
        <v/>
      </c>
      <c r="BI145" s="133" t="str">
        <f>IF($A145&lt;&gt;0,VLOOKUP($A145,'0.Productos'!$A$3:$GG$587,'0.Productos'!DA$1+1,0),"")</f>
        <v/>
      </c>
      <c r="BJ145" s="133" t="str">
        <f>IF($A145&lt;&gt;0,VLOOKUP($A145,'0.Productos'!$A$3:$GG$587,'0.Productos'!DB$1+1,0),"")</f>
        <v/>
      </c>
      <c r="BK145" s="133" t="str">
        <f>IF($A145&lt;&gt;0,VLOOKUP($A145,'0.Productos'!$A$3:$GG$587,'0.Productos'!DC$1+1,0),"")</f>
        <v/>
      </c>
      <c r="BL145" s="133" t="str">
        <f>IF($A145&lt;&gt;0,VLOOKUP($A145,'0.Productos'!$A$3:$GG$587,'0.Productos'!DD$1+1,0),"")</f>
        <v/>
      </c>
      <c r="BM145" s="133" t="str">
        <f>IF($A145&lt;&gt;0,VLOOKUP($A145,'0.Productos'!$A$3:$GG$587,'0.Productos'!DE$1+1,0),"")</f>
        <v/>
      </c>
      <c r="BN145" s="133" t="str">
        <f>IF($A145&lt;&gt;0,VLOOKUP($A145,'0.Productos'!$A$3:$GG$587,'0.Productos'!DF$1+1,0),"")</f>
        <v/>
      </c>
      <c r="BO145" s="133" t="str">
        <f>IF($A145&lt;&gt;0,VLOOKUP($A145,'0.Productos'!$A$3:$GG$587,'0.Productos'!DG$1+1,0),"")</f>
        <v/>
      </c>
      <c r="BP145" s="133" t="str">
        <f>IF($A145&lt;&gt;0,VLOOKUP($A145,'0.Productos'!$A$3:$GG$587,'0.Productos'!DH$1+1,0),"")</f>
        <v/>
      </c>
      <c r="BQ145" s="133" t="str">
        <f>IF($A145&lt;&gt;0,VLOOKUP($A145,'0.Productos'!$A$3:$GG$587,'0.Productos'!DI$1+1,0),"")</f>
        <v/>
      </c>
      <c r="BR145" s="133" t="str">
        <f>IF($A145&lt;&gt;0,VLOOKUP($A145,'0.Productos'!$A$3:$GG$587,'0.Productos'!DJ$1+1,0),"")</f>
        <v/>
      </c>
      <c r="BS145" s="133" t="str">
        <f>IF($A145&lt;&gt;0,VLOOKUP($A145,'0.Productos'!$A$3:$GG$587,'0.Productos'!DK$1+1,0),"")</f>
        <v/>
      </c>
      <c r="BT145" s="133" t="str">
        <f>IF($A145&lt;&gt;0,VLOOKUP($A145,'0.Productos'!$A$3:$GG$587,'0.Productos'!DL$1+1,0),"")</f>
        <v/>
      </c>
    </row>
    <row r="146" spans="1:72" x14ac:dyDescent="0.25">
      <c r="A146" s="17">
        <f>'0.Consolidado general'!A146</f>
        <v>0</v>
      </c>
      <c r="B146" s="133" t="str">
        <f>IF($A146&lt;&gt;0,VLOOKUP($A146,'0.Productos'!$A$3:$GG$587,'0.Productos'!AT$1+1,0),"")</f>
        <v/>
      </c>
      <c r="C146" s="133" t="str">
        <f>IF($A146&lt;&gt;0,VLOOKUP($A146,'0.Productos'!$A$3:$GG$587,'0.Productos'!AU$1+1,0),"")</f>
        <v/>
      </c>
      <c r="D146" s="133" t="str">
        <f>IF($A146&lt;&gt;0,VLOOKUP($A146,'0.Productos'!$A$3:$GG$587,'0.Productos'!AV$1+1,0),"")</f>
        <v/>
      </c>
      <c r="E146" s="133" t="str">
        <f>IF($A146&lt;&gt;0,VLOOKUP($A146,'0.Productos'!$A$3:$GG$587,'0.Productos'!AW$1+1,0),"")</f>
        <v/>
      </c>
      <c r="F146" s="133" t="str">
        <f>IF($A146&lt;&gt;0,VLOOKUP($A146,'0.Productos'!$A$3:$GG$587,'0.Productos'!AX$1+1,0),"")</f>
        <v/>
      </c>
      <c r="G146" s="133" t="str">
        <f>IF($A146&lt;&gt;0,VLOOKUP($A146,'0.Productos'!$A$3:$GG$587,'0.Productos'!AY$1+1,0),"")</f>
        <v/>
      </c>
      <c r="H146" s="133" t="str">
        <f>IF($A146&lt;&gt;0,VLOOKUP($A146,'0.Productos'!$A$3:$GG$587,'0.Productos'!AZ$1+1,0),"")</f>
        <v/>
      </c>
      <c r="I146" s="133" t="str">
        <f>IF($A146&lt;&gt;0,VLOOKUP($A146,'0.Productos'!$A$3:$GG$587,'0.Productos'!BA$1+1,0),"")</f>
        <v/>
      </c>
      <c r="J146" s="133" t="str">
        <f>IF($A146&lt;&gt;0,VLOOKUP($A146,'0.Productos'!$A$3:$GG$587,'0.Productos'!BB$1+1,0),"")</f>
        <v/>
      </c>
      <c r="K146" s="133" t="str">
        <f>IF($A146&lt;&gt;0,VLOOKUP($A146,'0.Productos'!$A$3:$GG$587,'0.Productos'!BC$1+1,0),"")</f>
        <v/>
      </c>
      <c r="L146" s="133" t="str">
        <f>IF($A146&lt;&gt;0,VLOOKUP($A146,'0.Productos'!$A$3:$GG$587,'0.Productos'!BD$1+1,0),"")</f>
        <v/>
      </c>
      <c r="M146" s="133" t="str">
        <f>IF($A146&lt;&gt;0,VLOOKUP($A146,'0.Productos'!$A$3:$GG$587,'0.Productos'!BE$1+1,0),"")</f>
        <v/>
      </c>
      <c r="N146" s="133" t="str">
        <f>IF($A146&lt;&gt;0,VLOOKUP($A146,'0.Productos'!$A$3:$GG$587,'0.Productos'!BF$1+1,0),"")</f>
        <v/>
      </c>
      <c r="O146" s="133" t="str">
        <f>IF($A146&lt;&gt;0,VLOOKUP($A146,'0.Productos'!$A$3:$GG$587,'0.Productos'!BG$1+1,0),"")</f>
        <v/>
      </c>
      <c r="P146" s="133" t="str">
        <f>IF($A146&lt;&gt;0,VLOOKUP($A146,'0.Productos'!$A$3:$GG$587,'0.Productos'!BH$1+1,0),"")</f>
        <v/>
      </c>
      <c r="Q146" s="133" t="str">
        <f>IF($A146&lt;&gt;0,VLOOKUP($A146,'0.Productos'!$A$3:$GG$587,'0.Productos'!BI$1+1,0),"")</f>
        <v/>
      </c>
      <c r="R146" s="133" t="str">
        <f>IF($A146&lt;&gt;0,VLOOKUP($A146,'0.Productos'!$A$3:$GG$587,'0.Productos'!BJ$1+1,0),"")</f>
        <v/>
      </c>
      <c r="S146" s="133" t="str">
        <f>IF($A146&lt;&gt;0,VLOOKUP($A146,'0.Productos'!$A$3:$GG$587,'0.Productos'!BK$1+1,0),"")</f>
        <v/>
      </c>
      <c r="T146" s="133" t="str">
        <f>IF($A146&lt;&gt;0,VLOOKUP($A146,'0.Productos'!$A$3:$GG$587,'0.Productos'!BL$1+1,0),"")</f>
        <v/>
      </c>
      <c r="U146" s="133" t="str">
        <f>IF($A146&lt;&gt;0,VLOOKUP($A146,'0.Productos'!$A$3:$GG$587,'0.Productos'!BM$1+1,0),"")</f>
        <v/>
      </c>
      <c r="V146" s="133" t="str">
        <f>IF($A146&lt;&gt;0,VLOOKUP($A146,'0.Productos'!$A$3:$GG$587,'0.Productos'!BN$1+1,0),"")</f>
        <v/>
      </c>
      <c r="W146" s="133" t="str">
        <f>IF($A146&lt;&gt;0,VLOOKUP($A146,'0.Productos'!$A$3:$GG$587,'0.Productos'!BO$1+1,0),"")</f>
        <v/>
      </c>
      <c r="X146" s="133" t="str">
        <f>IF($A146&lt;&gt;0,VLOOKUP($A146,'0.Productos'!$A$3:$GG$587,'0.Productos'!BP$1+1,0),"")</f>
        <v/>
      </c>
      <c r="Y146" s="133" t="str">
        <f>IF($A146&lt;&gt;0,VLOOKUP($A146,'0.Productos'!$A$3:$GG$587,'0.Productos'!BQ$1+1,0),"")</f>
        <v/>
      </c>
      <c r="Z146" s="133" t="str">
        <f>IF($A146&lt;&gt;0,VLOOKUP($A146,'0.Productos'!$A$3:$GG$587,'0.Productos'!BR$1+1,0),"")</f>
        <v/>
      </c>
      <c r="AA146" s="133" t="str">
        <f>IF($A146&lt;&gt;0,VLOOKUP($A146,'0.Productos'!$A$3:$GG$587,'0.Productos'!BS$1+1,0),"")</f>
        <v/>
      </c>
      <c r="AB146" s="133" t="str">
        <f>IF($A146&lt;&gt;0,VLOOKUP($A146,'0.Productos'!$A$3:$GG$587,'0.Productos'!BT$1+1,0),"")</f>
        <v/>
      </c>
      <c r="AC146" s="133" t="str">
        <f>IF($A146&lt;&gt;0,VLOOKUP($A146,'0.Productos'!$A$3:$GG$587,'0.Productos'!BU$1+1,0),"")</f>
        <v/>
      </c>
      <c r="AD146" s="133" t="str">
        <f>IF($A146&lt;&gt;0,VLOOKUP($A146,'0.Productos'!$A$3:$GG$587,'0.Productos'!BV$1+1,0),"")</f>
        <v/>
      </c>
      <c r="AE146" s="133" t="str">
        <f>IF($A146&lt;&gt;0,VLOOKUP($A146,'0.Productos'!$A$3:$GG$587,'0.Productos'!BW$1+1,0),"")</f>
        <v/>
      </c>
      <c r="AF146" s="133" t="str">
        <f>IF($A146&lt;&gt;0,VLOOKUP($A146,'0.Productos'!$A$3:$GG$587,'0.Productos'!BX$1+1,0),"")</f>
        <v/>
      </c>
      <c r="AG146" s="133" t="str">
        <f>IF($A146&lt;&gt;0,VLOOKUP($A146,'0.Productos'!$A$3:$GG$587,'0.Productos'!BY$1+1,0),"")</f>
        <v/>
      </c>
      <c r="AH146" s="133" t="str">
        <f>IF($A146&lt;&gt;0,VLOOKUP($A146,'0.Productos'!$A$3:$GG$587,'0.Productos'!BZ$1+1,0),"")</f>
        <v/>
      </c>
      <c r="AI146" s="133" t="str">
        <f>IF($A146&lt;&gt;0,VLOOKUP($A146,'0.Productos'!$A$3:$GG$587,'0.Productos'!CA$1+1,0),"")</f>
        <v/>
      </c>
      <c r="AJ146" s="133" t="str">
        <f>IF($A146&lt;&gt;0,VLOOKUP($A146,'0.Productos'!$A$3:$GG$587,'0.Productos'!CB$1+1,0),"")</f>
        <v/>
      </c>
      <c r="AK146" s="133" t="str">
        <f>IF($A146&lt;&gt;0,VLOOKUP($A146,'0.Productos'!$A$3:$GG$587,'0.Productos'!CC$1+1,0),"")</f>
        <v/>
      </c>
      <c r="AL146" s="133" t="str">
        <f>IF($A146&lt;&gt;0,VLOOKUP($A146,'0.Productos'!$A$3:$GG$587,'0.Productos'!CD$1+1,0),"")</f>
        <v/>
      </c>
      <c r="AM146" s="133" t="str">
        <f>IF($A146&lt;&gt;0,VLOOKUP($A146,'0.Productos'!$A$3:$GG$587,'0.Productos'!CE$1+1,0),"")</f>
        <v/>
      </c>
      <c r="AN146" s="133" t="str">
        <f>IF($A146&lt;&gt;0,VLOOKUP($A146,'0.Productos'!$A$3:$GG$587,'0.Productos'!CF$1+1,0),"")</f>
        <v/>
      </c>
      <c r="AO146" s="133" t="str">
        <f>IF($A146&lt;&gt;0,VLOOKUP($A146,'0.Productos'!$A$3:$GG$587,'0.Productos'!CG$1+1,0),"")</f>
        <v/>
      </c>
      <c r="AP146" s="133" t="str">
        <f>IF($A146&lt;&gt;0,VLOOKUP($A146,'0.Productos'!$A$3:$GG$587,'0.Productos'!CH$1+1,0),"")</f>
        <v/>
      </c>
      <c r="AQ146" s="133" t="str">
        <f>IF($A146&lt;&gt;0,VLOOKUP($A146,'0.Productos'!$A$3:$GG$587,'0.Productos'!CI$1+1,0),"")</f>
        <v/>
      </c>
      <c r="AR146" s="133" t="str">
        <f>IF($A146&lt;&gt;0,VLOOKUP($A146,'0.Productos'!$A$3:$GG$587,'0.Productos'!CJ$1+1,0),"")</f>
        <v/>
      </c>
      <c r="AS146" s="133" t="str">
        <f>IF($A146&lt;&gt;0,VLOOKUP($A146,'0.Productos'!$A$3:$GG$587,'0.Productos'!CK$1+1,0),"")</f>
        <v/>
      </c>
      <c r="AT146" s="133" t="str">
        <f>IF($A146&lt;&gt;0,VLOOKUP($A146,'0.Productos'!$A$3:$GG$587,'0.Productos'!CL$1+1,0),"")</f>
        <v/>
      </c>
      <c r="AU146" s="133" t="str">
        <f>IF($A146&lt;&gt;0,VLOOKUP($A146,'0.Productos'!$A$3:$GG$587,'0.Productos'!CM$1+1,0),"")</f>
        <v/>
      </c>
      <c r="AV146" s="133" t="str">
        <f>IF($A146&lt;&gt;0,VLOOKUP($A146,'0.Productos'!$A$3:$GG$587,'0.Productos'!CN$1+1,0),"")</f>
        <v/>
      </c>
      <c r="AW146" s="133" t="str">
        <f>IF($A146&lt;&gt;0,VLOOKUP($A146,'0.Productos'!$A$3:$GG$587,'0.Productos'!CO$1+1,0),"")</f>
        <v/>
      </c>
      <c r="AX146" s="133" t="str">
        <f>IF($A146&lt;&gt;0,VLOOKUP($A146,'0.Productos'!$A$3:$GG$587,'0.Productos'!CP$1+1,0),"")</f>
        <v/>
      </c>
      <c r="AY146" s="133" t="str">
        <f>IF($A146&lt;&gt;0,VLOOKUP($A146,'0.Productos'!$A$3:$GG$587,'0.Productos'!CQ$1+1,0),"")</f>
        <v/>
      </c>
      <c r="AZ146" s="133" t="str">
        <f>IF($A146&lt;&gt;0,VLOOKUP($A146,'0.Productos'!$A$3:$GG$587,'0.Productos'!CR$1+1,0),"")</f>
        <v/>
      </c>
      <c r="BA146" s="133" t="str">
        <f>IF($A146&lt;&gt;0,VLOOKUP($A146,'0.Productos'!$A$3:$GG$587,'0.Productos'!CS$1+1,0),"")</f>
        <v/>
      </c>
      <c r="BB146" s="133" t="str">
        <f>IF($A146&lt;&gt;0,VLOOKUP($A146,'0.Productos'!$A$3:$GG$587,'0.Productos'!CT$1+1,0),"")</f>
        <v/>
      </c>
      <c r="BC146" s="133" t="str">
        <f>IF($A146&lt;&gt;0,VLOOKUP($A146,'0.Productos'!$A$3:$GG$587,'0.Productos'!CU$1+1,0),"")</f>
        <v/>
      </c>
      <c r="BD146" s="133" t="str">
        <f>IF($A146&lt;&gt;0,VLOOKUP($A146,'0.Productos'!$A$3:$GG$587,'0.Productos'!CV$1+1,0),"")</f>
        <v/>
      </c>
      <c r="BE146" s="133" t="str">
        <f>IF($A146&lt;&gt;0,VLOOKUP($A146,'0.Productos'!$A$3:$GG$587,'0.Productos'!CW$1+1,0),"")</f>
        <v/>
      </c>
      <c r="BF146" s="133" t="str">
        <f>IF($A146&lt;&gt;0,VLOOKUP($A146,'0.Productos'!$A$3:$GG$587,'0.Productos'!CX$1+1,0),"")</f>
        <v/>
      </c>
      <c r="BG146" s="133" t="str">
        <f>IF($A146&lt;&gt;0,VLOOKUP($A146,'0.Productos'!$A$3:$GG$587,'0.Productos'!CY$1+1,0),"")</f>
        <v/>
      </c>
      <c r="BH146" s="133" t="str">
        <f>IF($A146&lt;&gt;0,VLOOKUP($A146,'0.Productos'!$A$3:$GG$587,'0.Productos'!CZ$1+1,0),"")</f>
        <v/>
      </c>
      <c r="BI146" s="133" t="str">
        <f>IF($A146&lt;&gt;0,VLOOKUP($A146,'0.Productos'!$A$3:$GG$587,'0.Productos'!DA$1+1,0),"")</f>
        <v/>
      </c>
      <c r="BJ146" s="133" t="str">
        <f>IF($A146&lt;&gt;0,VLOOKUP($A146,'0.Productos'!$A$3:$GG$587,'0.Productos'!DB$1+1,0),"")</f>
        <v/>
      </c>
      <c r="BK146" s="133" t="str">
        <f>IF($A146&lt;&gt;0,VLOOKUP($A146,'0.Productos'!$A$3:$GG$587,'0.Productos'!DC$1+1,0),"")</f>
        <v/>
      </c>
      <c r="BL146" s="133" t="str">
        <f>IF($A146&lt;&gt;0,VLOOKUP($A146,'0.Productos'!$A$3:$GG$587,'0.Productos'!DD$1+1,0),"")</f>
        <v/>
      </c>
      <c r="BM146" s="133" t="str">
        <f>IF($A146&lt;&gt;0,VLOOKUP($A146,'0.Productos'!$A$3:$GG$587,'0.Productos'!DE$1+1,0),"")</f>
        <v/>
      </c>
      <c r="BN146" s="133" t="str">
        <f>IF($A146&lt;&gt;0,VLOOKUP($A146,'0.Productos'!$A$3:$GG$587,'0.Productos'!DF$1+1,0),"")</f>
        <v/>
      </c>
      <c r="BO146" s="133" t="str">
        <f>IF($A146&lt;&gt;0,VLOOKUP($A146,'0.Productos'!$A$3:$GG$587,'0.Productos'!DG$1+1,0),"")</f>
        <v/>
      </c>
      <c r="BP146" s="133" t="str">
        <f>IF($A146&lt;&gt;0,VLOOKUP($A146,'0.Productos'!$A$3:$GG$587,'0.Productos'!DH$1+1,0),"")</f>
        <v/>
      </c>
      <c r="BQ146" s="133" t="str">
        <f>IF($A146&lt;&gt;0,VLOOKUP($A146,'0.Productos'!$A$3:$GG$587,'0.Productos'!DI$1+1,0),"")</f>
        <v/>
      </c>
      <c r="BR146" s="133" t="str">
        <f>IF($A146&lt;&gt;0,VLOOKUP($A146,'0.Productos'!$A$3:$GG$587,'0.Productos'!DJ$1+1,0),"")</f>
        <v/>
      </c>
      <c r="BS146" s="133" t="str">
        <f>IF($A146&lt;&gt;0,VLOOKUP($A146,'0.Productos'!$A$3:$GG$587,'0.Productos'!DK$1+1,0),"")</f>
        <v/>
      </c>
      <c r="BT146" s="133" t="str">
        <f>IF($A146&lt;&gt;0,VLOOKUP($A146,'0.Productos'!$A$3:$GG$587,'0.Productos'!DL$1+1,0),"")</f>
        <v/>
      </c>
    </row>
    <row r="147" spans="1:72" x14ac:dyDescent="0.25">
      <c r="A147" s="17">
        <f>'0.Consolidado general'!A147</f>
        <v>0</v>
      </c>
      <c r="B147" s="133" t="str">
        <f>IF($A147&lt;&gt;0,VLOOKUP($A147,'0.Productos'!$A$3:$GG$587,'0.Productos'!AT$1+1,0),"")</f>
        <v/>
      </c>
      <c r="C147" s="133" t="str">
        <f>IF($A147&lt;&gt;0,VLOOKUP($A147,'0.Productos'!$A$3:$GG$587,'0.Productos'!AU$1+1,0),"")</f>
        <v/>
      </c>
      <c r="D147" s="133" t="str">
        <f>IF($A147&lt;&gt;0,VLOOKUP($A147,'0.Productos'!$A$3:$GG$587,'0.Productos'!AV$1+1,0),"")</f>
        <v/>
      </c>
      <c r="E147" s="133" t="str">
        <f>IF($A147&lt;&gt;0,VLOOKUP($A147,'0.Productos'!$A$3:$GG$587,'0.Productos'!AW$1+1,0),"")</f>
        <v/>
      </c>
      <c r="F147" s="133" t="str">
        <f>IF($A147&lt;&gt;0,VLOOKUP($A147,'0.Productos'!$A$3:$GG$587,'0.Productos'!AX$1+1,0),"")</f>
        <v/>
      </c>
      <c r="G147" s="133" t="str">
        <f>IF($A147&lt;&gt;0,VLOOKUP($A147,'0.Productos'!$A$3:$GG$587,'0.Productos'!AY$1+1,0),"")</f>
        <v/>
      </c>
      <c r="H147" s="133" t="str">
        <f>IF($A147&lt;&gt;0,VLOOKUP($A147,'0.Productos'!$A$3:$GG$587,'0.Productos'!AZ$1+1,0),"")</f>
        <v/>
      </c>
      <c r="I147" s="133" t="str">
        <f>IF($A147&lt;&gt;0,VLOOKUP($A147,'0.Productos'!$A$3:$GG$587,'0.Productos'!BA$1+1,0),"")</f>
        <v/>
      </c>
      <c r="J147" s="133" t="str">
        <f>IF($A147&lt;&gt;0,VLOOKUP($A147,'0.Productos'!$A$3:$GG$587,'0.Productos'!BB$1+1,0),"")</f>
        <v/>
      </c>
      <c r="K147" s="133" t="str">
        <f>IF($A147&lt;&gt;0,VLOOKUP($A147,'0.Productos'!$A$3:$GG$587,'0.Productos'!BC$1+1,0),"")</f>
        <v/>
      </c>
      <c r="L147" s="133" t="str">
        <f>IF($A147&lt;&gt;0,VLOOKUP($A147,'0.Productos'!$A$3:$GG$587,'0.Productos'!BD$1+1,0),"")</f>
        <v/>
      </c>
      <c r="M147" s="133" t="str">
        <f>IF($A147&lt;&gt;0,VLOOKUP($A147,'0.Productos'!$A$3:$GG$587,'0.Productos'!BE$1+1,0),"")</f>
        <v/>
      </c>
      <c r="N147" s="133" t="str">
        <f>IF($A147&lt;&gt;0,VLOOKUP($A147,'0.Productos'!$A$3:$GG$587,'0.Productos'!BF$1+1,0),"")</f>
        <v/>
      </c>
      <c r="O147" s="133" t="str">
        <f>IF($A147&lt;&gt;0,VLOOKUP($A147,'0.Productos'!$A$3:$GG$587,'0.Productos'!BG$1+1,0),"")</f>
        <v/>
      </c>
      <c r="P147" s="133" t="str">
        <f>IF($A147&lt;&gt;0,VLOOKUP($A147,'0.Productos'!$A$3:$GG$587,'0.Productos'!BH$1+1,0),"")</f>
        <v/>
      </c>
      <c r="Q147" s="133" t="str">
        <f>IF($A147&lt;&gt;0,VLOOKUP($A147,'0.Productos'!$A$3:$GG$587,'0.Productos'!BI$1+1,0),"")</f>
        <v/>
      </c>
      <c r="R147" s="133" t="str">
        <f>IF($A147&lt;&gt;0,VLOOKUP($A147,'0.Productos'!$A$3:$GG$587,'0.Productos'!BJ$1+1,0),"")</f>
        <v/>
      </c>
      <c r="S147" s="133" t="str">
        <f>IF($A147&lt;&gt;0,VLOOKUP($A147,'0.Productos'!$A$3:$GG$587,'0.Productos'!BK$1+1,0),"")</f>
        <v/>
      </c>
      <c r="T147" s="133" t="str">
        <f>IF($A147&lt;&gt;0,VLOOKUP($A147,'0.Productos'!$A$3:$GG$587,'0.Productos'!BL$1+1,0),"")</f>
        <v/>
      </c>
      <c r="U147" s="133" t="str">
        <f>IF($A147&lt;&gt;0,VLOOKUP($A147,'0.Productos'!$A$3:$GG$587,'0.Productos'!BM$1+1,0),"")</f>
        <v/>
      </c>
      <c r="V147" s="133" t="str">
        <f>IF($A147&lt;&gt;0,VLOOKUP($A147,'0.Productos'!$A$3:$GG$587,'0.Productos'!BN$1+1,0),"")</f>
        <v/>
      </c>
      <c r="W147" s="133" t="str">
        <f>IF($A147&lt;&gt;0,VLOOKUP($A147,'0.Productos'!$A$3:$GG$587,'0.Productos'!BO$1+1,0),"")</f>
        <v/>
      </c>
      <c r="X147" s="133" t="str">
        <f>IF($A147&lt;&gt;0,VLOOKUP($A147,'0.Productos'!$A$3:$GG$587,'0.Productos'!BP$1+1,0),"")</f>
        <v/>
      </c>
      <c r="Y147" s="133" t="str">
        <f>IF($A147&lt;&gt;0,VLOOKUP($A147,'0.Productos'!$A$3:$GG$587,'0.Productos'!BQ$1+1,0),"")</f>
        <v/>
      </c>
      <c r="Z147" s="133" t="str">
        <f>IF($A147&lt;&gt;0,VLOOKUP($A147,'0.Productos'!$A$3:$GG$587,'0.Productos'!BR$1+1,0),"")</f>
        <v/>
      </c>
      <c r="AA147" s="133" t="str">
        <f>IF($A147&lt;&gt;0,VLOOKUP($A147,'0.Productos'!$A$3:$GG$587,'0.Productos'!BS$1+1,0),"")</f>
        <v/>
      </c>
      <c r="AB147" s="133" t="str">
        <f>IF($A147&lt;&gt;0,VLOOKUP($A147,'0.Productos'!$A$3:$GG$587,'0.Productos'!BT$1+1,0),"")</f>
        <v/>
      </c>
      <c r="AC147" s="133" t="str">
        <f>IF($A147&lt;&gt;0,VLOOKUP($A147,'0.Productos'!$A$3:$GG$587,'0.Productos'!BU$1+1,0),"")</f>
        <v/>
      </c>
      <c r="AD147" s="133" t="str">
        <f>IF($A147&lt;&gt;0,VLOOKUP($A147,'0.Productos'!$A$3:$GG$587,'0.Productos'!BV$1+1,0),"")</f>
        <v/>
      </c>
      <c r="AE147" s="133" t="str">
        <f>IF($A147&lt;&gt;0,VLOOKUP($A147,'0.Productos'!$A$3:$GG$587,'0.Productos'!BW$1+1,0),"")</f>
        <v/>
      </c>
      <c r="AF147" s="133" t="str">
        <f>IF($A147&lt;&gt;0,VLOOKUP($A147,'0.Productos'!$A$3:$GG$587,'0.Productos'!BX$1+1,0),"")</f>
        <v/>
      </c>
      <c r="AG147" s="133" t="str">
        <f>IF($A147&lt;&gt;0,VLOOKUP($A147,'0.Productos'!$A$3:$GG$587,'0.Productos'!BY$1+1,0),"")</f>
        <v/>
      </c>
      <c r="AH147" s="133" t="str">
        <f>IF($A147&lt;&gt;0,VLOOKUP($A147,'0.Productos'!$A$3:$GG$587,'0.Productos'!BZ$1+1,0),"")</f>
        <v/>
      </c>
      <c r="AI147" s="133" t="str">
        <f>IF($A147&lt;&gt;0,VLOOKUP($A147,'0.Productos'!$A$3:$GG$587,'0.Productos'!CA$1+1,0),"")</f>
        <v/>
      </c>
      <c r="AJ147" s="133" t="str">
        <f>IF($A147&lt;&gt;0,VLOOKUP($A147,'0.Productos'!$A$3:$GG$587,'0.Productos'!CB$1+1,0),"")</f>
        <v/>
      </c>
      <c r="AK147" s="133" t="str">
        <f>IF($A147&lt;&gt;0,VLOOKUP($A147,'0.Productos'!$A$3:$GG$587,'0.Productos'!CC$1+1,0),"")</f>
        <v/>
      </c>
      <c r="AL147" s="133" t="str">
        <f>IF($A147&lt;&gt;0,VLOOKUP($A147,'0.Productos'!$A$3:$GG$587,'0.Productos'!CD$1+1,0),"")</f>
        <v/>
      </c>
      <c r="AM147" s="133" t="str">
        <f>IF($A147&lt;&gt;0,VLOOKUP($A147,'0.Productos'!$A$3:$GG$587,'0.Productos'!CE$1+1,0),"")</f>
        <v/>
      </c>
      <c r="AN147" s="133" t="str">
        <f>IF($A147&lt;&gt;0,VLOOKUP($A147,'0.Productos'!$A$3:$GG$587,'0.Productos'!CF$1+1,0),"")</f>
        <v/>
      </c>
      <c r="AO147" s="133" t="str">
        <f>IF($A147&lt;&gt;0,VLOOKUP($A147,'0.Productos'!$A$3:$GG$587,'0.Productos'!CG$1+1,0),"")</f>
        <v/>
      </c>
      <c r="AP147" s="133" t="str">
        <f>IF($A147&lt;&gt;0,VLOOKUP($A147,'0.Productos'!$A$3:$GG$587,'0.Productos'!CH$1+1,0),"")</f>
        <v/>
      </c>
      <c r="AQ147" s="133" t="str">
        <f>IF($A147&lt;&gt;0,VLOOKUP($A147,'0.Productos'!$A$3:$GG$587,'0.Productos'!CI$1+1,0),"")</f>
        <v/>
      </c>
      <c r="AR147" s="133" t="str">
        <f>IF($A147&lt;&gt;0,VLOOKUP($A147,'0.Productos'!$A$3:$GG$587,'0.Productos'!CJ$1+1,0),"")</f>
        <v/>
      </c>
      <c r="AS147" s="133" t="str">
        <f>IF($A147&lt;&gt;0,VLOOKUP($A147,'0.Productos'!$A$3:$GG$587,'0.Productos'!CK$1+1,0),"")</f>
        <v/>
      </c>
      <c r="AT147" s="133" t="str">
        <f>IF($A147&lt;&gt;0,VLOOKUP($A147,'0.Productos'!$A$3:$GG$587,'0.Productos'!CL$1+1,0),"")</f>
        <v/>
      </c>
      <c r="AU147" s="133" t="str">
        <f>IF($A147&lt;&gt;0,VLOOKUP($A147,'0.Productos'!$A$3:$GG$587,'0.Productos'!CM$1+1,0),"")</f>
        <v/>
      </c>
      <c r="AV147" s="133" t="str">
        <f>IF($A147&lt;&gt;0,VLOOKUP($A147,'0.Productos'!$A$3:$GG$587,'0.Productos'!CN$1+1,0),"")</f>
        <v/>
      </c>
      <c r="AW147" s="133" t="str">
        <f>IF($A147&lt;&gt;0,VLOOKUP($A147,'0.Productos'!$A$3:$GG$587,'0.Productos'!CO$1+1,0),"")</f>
        <v/>
      </c>
      <c r="AX147" s="133" t="str">
        <f>IF($A147&lt;&gt;0,VLOOKUP($A147,'0.Productos'!$A$3:$GG$587,'0.Productos'!CP$1+1,0),"")</f>
        <v/>
      </c>
      <c r="AY147" s="133" t="str">
        <f>IF($A147&lt;&gt;0,VLOOKUP($A147,'0.Productos'!$A$3:$GG$587,'0.Productos'!CQ$1+1,0),"")</f>
        <v/>
      </c>
      <c r="AZ147" s="133" t="str">
        <f>IF($A147&lt;&gt;0,VLOOKUP($A147,'0.Productos'!$A$3:$GG$587,'0.Productos'!CR$1+1,0),"")</f>
        <v/>
      </c>
      <c r="BA147" s="133" t="str">
        <f>IF($A147&lt;&gt;0,VLOOKUP($A147,'0.Productos'!$A$3:$GG$587,'0.Productos'!CS$1+1,0),"")</f>
        <v/>
      </c>
      <c r="BB147" s="133" t="str">
        <f>IF($A147&lt;&gt;0,VLOOKUP($A147,'0.Productos'!$A$3:$GG$587,'0.Productos'!CT$1+1,0),"")</f>
        <v/>
      </c>
      <c r="BC147" s="133" t="str">
        <f>IF($A147&lt;&gt;0,VLOOKUP($A147,'0.Productos'!$A$3:$GG$587,'0.Productos'!CU$1+1,0),"")</f>
        <v/>
      </c>
      <c r="BD147" s="133" t="str">
        <f>IF($A147&lt;&gt;0,VLOOKUP($A147,'0.Productos'!$A$3:$GG$587,'0.Productos'!CV$1+1,0),"")</f>
        <v/>
      </c>
      <c r="BE147" s="133" t="str">
        <f>IF($A147&lt;&gt;0,VLOOKUP($A147,'0.Productos'!$A$3:$GG$587,'0.Productos'!CW$1+1,0),"")</f>
        <v/>
      </c>
      <c r="BF147" s="133" t="str">
        <f>IF($A147&lt;&gt;0,VLOOKUP($A147,'0.Productos'!$A$3:$GG$587,'0.Productos'!CX$1+1,0),"")</f>
        <v/>
      </c>
      <c r="BG147" s="133" t="str">
        <f>IF($A147&lt;&gt;0,VLOOKUP($A147,'0.Productos'!$A$3:$GG$587,'0.Productos'!CY$1+1,0),"")</f>
        <v/>
      </c>
      <c r="BH147" s="133" t="str">
        <f>IF($A147&lt;&gt;0,VLOOKUP($A147,'0.Productos'!$A$3:$GG$587,'0.Productos'!CZ$1+1,0),"")</f>
        <v/>
      </c>
      <c r="BI147" s="133" t="str">
        <f>IF($A147&lt;&gt;0,VLOOKUP($A147,'0.Productos'!$A$3:$GG$587,'0.Productos'!DA$1+1,0),"")</f>
        <v/>
      </c>
      <c r="BJ147" s="133" t="str">
        <f>IF($A147&lt;&gt;0,VLOOKUP($A147,'0.Productos'!$A$3:$GG$587,'0.Productos'!DB$1+1,0),"")</f>
        <v/>
      </c>
      <c r="BK147" s="133" t="str">
        <f>IF($A147&lt;&gt;0,VLOOKUP($A147,'0.Productos'!$A$3:$GG$587,'0.Productos'!DC$1+1,0),"")</f>
        <v/>
      </c>
      <c r="BL147" s="133" t="str">
        <f>IF($A147&lt;&gt;0,VLOOKUP($A147,'0.Productos'!$A$3:$GG$587,'0.Productos'!DD$1+1,0),"")</f>
        <v/>
      </c>
      <c r="BM147" s="133" t="str">
        <f>IF($A147&lt;&gt;0,VLOOKUP($A147,'0.Productos'!$A$3:$GG$587,'0.Productos'!DE$1+1,0),"")</f>
        <v/>
      </c>
      <c r="BN147" s="133" t="str">
        <f>IF($A147&lt;&gt;0,VLOOKUP($A147,'0.Productos'!$A$3:$GG$587,'0.Productos'!DF$1+1,0),"")</f>
        <v/>
      </c>
      <c r="BO147" s="133" t="str">
        <f>IF($A147&lt;&gt;0,VLOOKUP($A147,'0.Productos'!$A$3:$GG$587,'0.Productos'!DG$1+1,0),"")</f>
        <v/>
      </c>
      <c r="BP147" s="133" t="str">
        <f>IF($A147&lt;&gt;0,VLOOKUP($A147,'0.Productos'!$A$3:$GG$587,'0.Productos'!DH$1+1,0),"")</f>
        <v/>
      </c>
      <c r="BQ147" s="133" t="str">
        <f>IF($A147&lt;&gt;0,VLOOKUP($A147,'0.Productos'!$A$3:$GG$587,'0.Productos'!DI$1+1,0),"")</f>
        <v/>
      </c>
      <c r="BR147" s="133" t="str">
        <f>IF($A147&lt;&gt;0,VLOOKUP($A147,'0.Productos'!$A$3:$GG$587,'0.Productos'!DJ$1+1,0),"")</f>
        <v/>
      </c>
      <c r="BS147" s="133" t="str">
        <f>IF($A147&lt;&gt;0,VLOOKUP($A147,'0.Productos'!$A$3:$GG$587,'0.Productos'!DK$1+1,0),"")</f>
        <v/>
      </c>
      <c r="BT147" s="133" t="str">
        <f>IF($A147&lt;&gt;0,VLOOKUP($A147,'0.Productos'!$A$3:$GG$587,'0.Productos'!DL$1+1,0),"")</f>
        <v/>
      </c>
    </row>
    <row r="148" spans="1:72" x14ac:dyDescent="0.25">
      <c r="A148" s="17">
        <f>'0.Consolidado general'!A148</f>
        <v>0</v>
      </c>
      <c r="B148" s="133" t="str">
        <f>IF($A148&lt;&gt;0,VLOOKUP($A148,'0.Productos'!$A$3:$GG$587,'0.Productos'!AT$1+1,0),"")</f>
        <v/>
      </c>
      <c r="C148" s="133" t="str">
        <f>IF($A148&lt;&gt;0,VLOOKUP($A148,'0.Productos'!$A$3:$GG$587,'0.Productos'!AU$1+1,0),"")</f>
        <v/>
      </c>
      <c r="D148" s="133" t="str">
        <f>IF($A148&lt;&gt;0,VLOOKUP($A148,'0.Productos'!$A$3:$GG$587,'0.Productos'!AV$1+1,0),"")</f>
        <v/>
      </c>
      <c r="E148" s="133" t="str">
        <f>IF($A148&lt;&gt;0,VLOOKUP($A148,'0.Productos'!$A$3:$GG$587,'0.Productos'!AW$1+1,0),"")</f>
        <v/>
      </c>
      <c r="F148" s="133" t="str">
        <f>IF($A148&lt;&gt;0,VLOOKUP($A148,'0.Productos'!$A$3:$GG$587,'0.Productos'!AX$1+1,0),"")</f>
        <v/>
      </c>
      <c r="G148" s="133" t="str">
        <f>IF($A148&lt;&gt;0,VLOOKUP($A148,'0.Productos'!$A$3:$GG$587,'0.Productos'!AY$1+1,0),"")</f>
        <v/>
      </c>
      <c r="H148" s="133" t="str">
        <f>IF($A148&lt;&gt;0,VLOOKUP($A148,'0.Productos'!$A$3:$GG$587,'0.Productos'!AZ$1+1,0),"")</f>
        <v/>
      </c>
      <c r="I148" s="133" t="str">
        <f>IF($A148&lt;&gt;0,VLOOKUP($A148,'0.Productos'!$A$3:$GG$587,'0.Productos'!BA$1+1,0),"")</f>
        <v/>
      </c>
      <c r="J148" s="133" t="str">
        <f>IF($A148&lt;&gt;0,VLOOKUP($A148,'0.Productos'!$A$3:$GG$587,'0.Productos'!BB$1+1,0),"")</f>
        <v/>
      </c>
      <c r="K148" s="133" t="str">
        <f>IF($A148&lt;&gt;0,VLOOKUP($A148,'0.Productos'!$A$3:$GG$587,'0.Productos'!BC$1+1,0),"")</f>
        <v/>
      </c>
      <c r="L148" s="133" t="str">
        <f>IF($A148&lt;&gt;0,VLOOKUP($A148,'0.Productos'!$A$3:$GG$587,'0.Productos'!BD$1+1,0),"")</f>
        <v/>
      </c>
      <c r="M148" s="133" t="str">
        <f>IF($A148&lt;&gt;0,VLOOKUP($A148,'0.Productos'!$A$3:$GG$587,'0.Productos'!BE$1+1,0),"")</f>
        <v/>
      </c>
      <c r="N148" s="133" t="str">
        <f>IF($A148&lt;&gt;0,VLOOKUP($A148,'0.Productos'!$A$3:$GG$587,'0.Productos'!BF$1+1,0),"")</f>
        <v/>
      </c>
      <c r="O148" s="133" t="str">
        <f>IF($A148&lt;&gt;0,VLOOKUP($A148,'0.Productos'!$A$3:$GG$587,'0.Productos'!BG$1+1,0),"")</f>
        <v/>
      </c>
      <c r="P148" s="133" t="str">
        <f>IF($A148&lt;&gt;0,VLOOKUP($A148,'0.Productos'!$A$3:$GG$587,'0.Productos'!BH$1+1,0),"")</f>
        <v/>
      </c>
      <c r="Q148" s="133" t="str">
        <f>IF($A148&lt;&gt;0,VLOOKUP($A148,'0.Productos'!$A$3:$GG$587,'0.Productos'!BI$1+1,0),"")</f>
        <v/>
      </c>
      <c r="R148" s="133" t="str">
        <f>IF($A148&lt;&gt;0,VLOOKUP($A148,'0.Productos'!$A$3:$GG$587,'0.Productos'!BJ$1+1,0),"")</f>
        <v/>
      </c>
      <c r="S148" s="133" t="str">
        <f>IF($A148&lt;&gt;0,VLOOKUP($A148,'0.Productos'!$A$3:$GG$587,'0.Productos'!BK$1+1,0),"")</f>
        <v/>
      </c>
      <c r="T148" s="133" t="str">
        <f>IF($A148&lt;&gt;0,VLOOKUP($A148,'0.Productos'!$A$3:$GG$587,'0.Productos'!BL$1+1,0),"")</f>
        <v/>
      </c>
      <c r="U148" s="133" t="str">
        <f>IF($A148&lt;&gt;0,VLOOKUP($A148,'0.Productos'!$A$3:$GG$587,'0.Productos'!BM$1+1,0),"")</f>
        <v/>
      </c>
      <c r="V148" s="133" t="str">
        <f>IF($A148&lt;&gt;0,VLOOKUP($A148,'0.Productos'!$A$3:$GG$587,'0.Productos'!BN$1+1,0),"")</f>
        <v/>
      </c>
      <c r="W148" s="133" t="str">
        <f>IF($A148&lt;&gt;0,VLOOKUP($A148,'0.Productos'!$A$3:$GG$587,'0.Productos'!BO$1+1,0),"")</f>
        <v/>
      </c>
      <c r="X148" s="133" t="str">
        <f>IF($A148&lt;&gt;0,VLOOKUP($A148,'0.Productos'!$A$3:$GG$587,'0.Productos'!BP$1+1,0),"")</f>
        <v/>
      </c>
      <c r="Y148" s="133" t="str">
        <f>IF($A148&lt;&gt;0,VLOOKUP($A148,'0.Productos'!$A$3:$GG$587,'0.Productos'!BQ$1+1,0),"")</f>
        <v/>
      </c>
      <c r="Z148" s="133" t="str">
        <f>IF($A148&lt;&gt;0,VLOOKUP($A148,'0.Productos'!$A$3:$GG$587,'0.Productos'!BR$1+1,0),"")</f>
        <v/>
      </c>
      <c r="AA148" s="133" t="str">
        <f>IF($A148&lt;&gt;0,VLOOKUP($A148,'0.Productos'!$A$3:$GG$587,'0.Productos'!BS$1+1,0),"")</f>
        <v/>
      </c>
      <c r="AB148" s="133" t="str">
        <f>IF($A148&lt;&gt;0,VLOOKUP($A148,'0.Productos'!$A$3:$GG$587,'0.Productos'!BT$1+1,0),"")</f>
        <v/>
      </c>
      <c r="AC148" s="133" t="str">
        <f>IF($A148&lt;&gt;0,VLOOKUP($A148,'0.Productos'!$A$3:$GG$587,'0.Productos'!BU$1+1,0),"")</f>
        <v/>
      </c>
      <c r="AD148" s="133" t="str">
        <f>IF($A148&lt;&gt;0,VLOOKUP($A148,'0.Productos'!$A$3:$GG$587,'0.Productos'!BV$1+1,0),"")</f>
        <v/>
      </c>
      <c r="AE148" s="133" t="str">
        <f>IF($A148&lt;&gt;0,VLOOKUP($A148,'0.Productos'!$A$3:$GG$587,'0.Productos'!BW$1+1,0),"")</f>
        <v/>
      </c>
      <c r="AF148" s="133" t="str">
        <f>IF($A148&lt;&gt;0,VLOOKUP($A148,'0.Productos'!$A$3:$GG$587,'0.Productos'!BX$1+1,0),"")</f>
        <v/>
      </c>
      <c r="AG148" s="133" t="str">
        <f>IF($A148&lt;&gt;0,VLOOKUP($A148,'0.Productos'!$A$3:$GG$587,'0.Productos'!BY$1+1,0),"")</f>
        <v/>
      </c>
      <c r="AH148" s="133" t="str">
        <f>IF($A148&lt;&gt;0,VLOOKUP($A148,'0.Productos'!$A$3:$GG$587,'0.Productos'!BZ$1+1,0),"")</f>
        <v/>
      </c>
      <c r="AI148" s="133" t="str">
        <f>IF($A148&lt;&gt;0,VLOOKUP($A148,'0.Productos'!$A$3:$GG$587,'0.Productos'!CA$1+1,0),"")</f>
        <v/>
      </c>
      <c r="AJ148" s="133" t="str">
        <f>IF($A148&lt;&gt;0,VLOOKUP($A148,'0.Productos'!$A$3:$GG$587,'0.Productos'!CB$1+1,0),"")</f>
        <v/>
      </c>
      <c r="AK148" s="133" t="str">
        <f>IF($A148&lt;&gt;0,VLOOKUP($A148,'0.Productos'!$A$3:$GG$587,'0.Productos'!CC$1+1,0),"")</f>
        <v/>
      </c>
      <c r="AL148" s="133" t="str">
        <f>IF($A148&lt;&gt;0,VLOOKUP($A148,'0.Productos'!$A$3:$GG$587,'0.Productos'!CD$1+1,0),"")</f>
        <v/>
      </c>
      <c r="AM148" s="133" t="str">
        <f>IF($A148&lt;&gt;0,VLOOKUP($A148,'0.Productos'!$A$3:$GG$587,'0.Productos'!CE$1+1,0),"")</f>
        <v/>
      </c>
      <c r="AN148" s="133" t="str">
        <f>IF($A148&lt;&gt;0,VLOOKUP($A148,'0.Productos'!$A$3:$GG$587,'0.Productos'!CF$1+1,0),"")</f>
        <v/>
      </c>
      <c r="AO148" s="133" t="str">
        <f>IF($A148&lt;&gt;0,VLOOKUP($A148,'0.Productos'!$A$3:$GG$587,'0.Productos'!CG$1+1,0),"")</f>
        <v/>
      </c>
      <c r="AP148" s="133" t="str">
        <f>IF($A148&lt;&gt;0,VLOOKUP($A148,'0.Productos'!$A$3:$GG$587,'0.Productos'!CH$1+1,0),"")</f>
        <v/>
      </c>
      <c r="AQ148" s="133" t="str">
        <f>IF($A148&lt;&gt;0,VLOOKUP($A148,'0.Productos'!$A$3:$GG$587,'0.Productos'!CI$1+1,0),"")</f>
        <v/>
      </c>
      <c r="AR148" s="133" t="str">
        <f>IF($A148&lt;&gt;0,VLOOKUP($A148,'0.Productos'!$A$3:$GG$587,'0.Productos'!CJ$1+1,0),"")</f>
        <v/>
      </c>
      <c r="AS148" s="133" t="str">
        <f>IF($A148&lt;&gt;0,VLOOKUP($A148,'0.Productos'!$A$3:$GG$587,'0.Productos'!CK$1+1,0),"")</f>
        <v/>
      </c>
      <c r="AT148" s="133" t="str">
        <f>IF($A148&lt;&gt;0,VLOOKUP($A148,'0.Productos'!$A$3:$GG$587,'0.Productos'!CL$1+1,0),"")</f>
        <v/>
      </c>
      <c r="AU148" s="133" t="str">
        <f>IF($A148&lt;&gt;0,VLOOKUP($A148,'0.Productos'!$A$3:$GG$587,'0.Productos'!CM$1+1,0),"")</f>
        <v/>
      </c>
      <c r="AV148" s="133" t="str">
        <f>IF($A148&lt;&gt;0,VLOOKUP($A148,'0.Productos'!$A$3:$GG$587,'0.Productos'!CN$1+1,0),"")</f>
        <v/>
      </c>
      <c r="AW148" s="133" t="str">
        <f>IF($A148&lt;&gt;0,VLOOKUP($A148,'0.Productos'!$A$3:$GG$587,'0.Productos'!CO$1+1,0),"")</f>
        <v/>
      </c>
      <c r="AX148" s="133" t="str">
        <f>IF($A148&lt;&gt;0,VLOOKUP($A148,'0.Productos'!$A$3:$GG$587,'0.Productos'!CP$1+1,0),"")</f>
        <v/>
      </c>
      <c r="AY148" s="133" t="str">
        <f>IF($A148&lt;&gt;0,VLOOKUP($A148,'0.Productos'!$A$3:$GG$587,'0.Productos'!CQ$1+1,0),"")</f>
        <v/>
      </c>
      <c r="AZ148" s="133" t="str">
        <f>IF($A148&lt;&gt;0,VLOOKUP($A148,'0.Productos'!$A$3:$GG$587,'0.Productos'!CR$1+1,0),"")</f>
        <v/>
      </c>
      <c r="BA148" s="133" t="str">
        <f>IF($A148&lt;&gt;0,VLOOKUP($A148,'0.Productos'!$A$3:$GG$587,'0.Productos'!CS$1+1,0),"")</f>
        <v/>
      </c>
      <c r="BB148" s="133" t="str">
        <f>IF($A148&lt;&gt;0,VLOOKUP($A148,'0.Productos'!$A$3:$GG$587,'0.Productos'!CT$1+1,0),"")</f>
        <v/>
      </c>
      <c r="BC148" s="133" t="str">
        <f>IF($A148&lt;&gt;0,VLOOKUP($A148,'0.Productos'!$A$3:$GG$587,'0.Productos'!CU$1+1,0),"")</f>
        <v/>
      </c>
      <c r="BD148" s="133" t="str">
        <f>IF($A148&lt;&gt;0,VLOOKUP($A148,'0.Productos'!$A$3:$GG$587,'0.Productos'!CV$1+1,0),"")</f>
        <v/>
      </c>
      <c r="BE148" s="133" t="str">
        <f>IF($A148&lt;&gt;0,VLOOKUP($A148,'0.Productos'!$A$3:$GG$587,'0.Productos'!CW$1+1,0),"")</f>
        <v/>
      </c>
      <c r="BF148" s="133" t="str">
        <f>IF($A148&lt;&gt;0,VLOOKUP($A148,'0.Productos'!$A$3:$GG$587,'0.Productos'!CX$1+1,0),"")</f>
        <v/>
      </c>
      <c r="BG148" s="133" t="str">
        <f>IF($A148&lt;&gt;0,VLOOKUP($A148,'0.Productos'!$A$3:$GG$587,'0.Productos'!CY$1+1,0),"")</f>
        <v/>
      </c>
      <c r="BH148" s="133" t="str">
        <f>IF($A148&lt;&gt;0,VLOOKUP($A148,'0.Productos'!$A$3:$GG$587,'0.Productos'!CZ$1+1,0),"")</f>
        <v/>
      </c>
      <c r="BI148" s="133" t="str">
        <f>IF($A148&lt;&gt;0,VLOOKUP($A148,'0.Productos'!$A$3:$GG$587,'0.Productos'!DA$1+1,0),"")</f>
        <v/>
      </c>
      <c r="BJ148" s="133" t="str">
        <f>IF($A148&lt;&gt;0,VLOOKUP($A148,'0.Productos'!$A$3:$GG$587,'0.Productos'!DB$1+1,0),"")</f>
        <v/>
      </c>
      <c r="BK148" s="133" t="str">
        <f>IF($A148&lt;&gt;0,VLOOKUP($A148,'0.Productos'!$A$3:$GG$587,'0.Productos'!DC$1+1,0),"")</f>
        <v/>
      </c>
      <c r="BL148" s="133" t="str">
        <f>IF($A148&lt;&gt;0,VLOOKUP($A148,'0.Productos'!$A$3:$GG$587,'0.Productos'!DD$1+1,0),"")</f>
        <v/>
      </c>
      <c r="BM148" s="133" t="str">
        <f>IF($A148&lt;&gt;0,VLOOKUP($A148,'0.Productos'!$A$3:$GG$587,'0.Productos'!DE$1+1,0),"")</f>
        <v/>
      </c>
      <c r="BN148" s="133" t="str">
        <f>IF($A148&lt;&gt;0,VLOOKUP($A148,'0.Productos'!$A$3:$GG$587,'0.Productos'!DF$1+1,0),"")</f>
        <v/>
      </c>
      <c r="BO148" s="133" t="str">
        <f>IF($A148&lt;&gt;0,VLOOKUP($A148,'0.Productos'!$A$3:$GG$587,'0.Productos'!DG$1+1,0),"")</f>
        <v/>
      </c>
      <c r="BP148" s="133" t="str">
        <f>IF($A148&lt;&gt;0,VLOOKUP($A148,'0.Productos'!$A$3:$GG$587,'0.Productos'!DH$1+1,0),"")</f>
        <v/>
      </c>
      <c r="BQ148" s="133" t="str">
        <f>IF($A148&lt;&gt;0,VLOOKUP($A148,'0.Productos'!$A$3:$GG$587,'0.Productos'!DI$1+1,0),"")</f>
        <v/>
      </c>
      <c r="BR148" s="133" t="str">
        <f>IF($A148&lt;&gt;0,VLOOKUP($A148,'0.Productos'!$A$3:$GG$587,'0.Productos'!DJ$1+1,0),"")</f>
        <v/>
      </c>
      <c r="BS148" s="133" t="str">
        <f>IF($A148&lt;&gt;0,VLOOKUP($A148,'0.Productos'!$A$3:$GG$587,'0.Productos'!DK$1+1,0),"")</f>
        <v/>
      </c>
      <c r="BT148" s="133" t="str">
        <f>IF($A148&lt;&gt;0,VLOOKUP($A148,'0.Productos'!$A$3:$GG$587,'0.Productos'!DL$1+1,0),"")</f>
        <v/>
      </c>
    </row>
    <row r="149" spans="1:72" x14ac:dyDescent="0.25">
      <c r="A149" s="17">
        <f>'0.Consolidado general'!A149</f>
        <v>0</v>
      </c>
      <c r="B149" s="133" t="str">
        <f>IF($A149&lt;&gt;0,VLOOKUP($A149,'0.Productos'!$A$3:$GG$587,'0.Productos'!AT$1+1,0),"")</f>
        <v/>
      </c>
      <c r="C149" s="133" t="str">
        <f>IF($A149&lt;&gt;0,VLOOKUP($A149,'0.Productos'!$A$3:$GG$587,'0.Productos'!AU$1+1,0),"")</f>
        <v/>
      </c>
      <c r="D149" s="133" t="str">
        <f>IF($A149&lt;&gt;0,VLOOKUP($A149,'0.Productos'!$A$3:$GG$587,'0.Productos'!AV$1+1,0),"")</f>
        <v/>
      </c>
      <c r="E149" s="133" t="str">
        <f>IF($A149&lt;&gt;0,VLOOKUP($A149,'0.Productos'!$A$3:$GG$587,'0.Productos'!AW$1+1,0),"")</f>
        <v/>
      </c>
      <c r="F149" s="133" t="str">
        <f>IF($A149&lt;&gt;0,VLOOKUP($A149,'0.Productos'!$A$3:$GG$587,'0.Productos'!AX$1+1,0),"")</f>
        <v/>
      </c>
      <c r="G149" s="133" t="str">
        <f>IF($A149&lt;&gt;0,VLOOKUP($A149,'0.Productos'!$A$3:$GG$587,'0.Productos'!AY$1+1,0),"")</f>
        <v/>
      </c>
      <c r="H149" s="133" t="str">
        <f>IF($A149&lt;&gt;0,VLOOKUP($A149,'0.Productos'!$A$3:$GG$587,'0.Productos'!AZ$1+1,0),"")</f>
        <v/>
      </c>
      <c r="I149" s="133" t="str">
        <f>IF($A149&lt;&gt;0,VLOOKUP($A149,'0.Productos'!$A$3:$GG$587,'0.Productos'!BA$1+1,0),"")</f>
        <v/>
      </c>
      <c r="J149" s="133" t="str">
        <f>IF($A149&lt;&gt;0,VLOOKUP($A149,'0.Productos'!$A$3:$GG$587,'0.Productos'!BB$1+1,0),"")</f>
        <v/>
      </c>
      <c r="K149" s="133" t="str">
        <f>IF($A149&lt;&gt;0,VLOOKUP($A149,'0.Productos'!$A$3:$GG$587,'0.Productos'!BC$1+1,0),"")</f>
        <v/>
      </c>
      <c r="L149" s="133" t="str">
        <f>IF($A149&lt;&gt;0,VLOOKUP($A149,'0.Productos'!$A$3:$GG$587,'0.Productos'!BD$1+1,0),"")</f>
        <v/>
      </c>
      <c r="M149" s="133" t="str">
        <f>IF($A149&lt;&gt;0,VLOOKUP($A149,'0.Productos'!$A$3:$GG$587,'0.Productos'!BE$1+1,0),"")</f>
        <v/>
      </c>
      <c r="N149" s="133" t="str">
        <f>IF($A149&lt;&gt;0,VLOOKUP($A149,'0.Productos'!$A$3:$GG$587,'0.Productos'!BF$1+1,0),"")</f>
        <v/>
      </c>
      <c r="O149" s="133" t="str">
        <f>IF($A149&lt;&gt;0,VLOOKUP($A149,'0.Productos'!$A$3:$GG$587,'0.Productos'!BG$1+1,0),"")</f>
        <v/>
      </c>
      <c r="P149" s="133" t="str">
        <f>IF($A149&lt;&gt;0,VLOOKUP($A149,'0.Productos'!$A$3:$GG$587,'0.Productos'!BH$1+1,0),"")</f>
        <v/>
      </c>
      <c r="Q149" s="133" t="str">
        <f>IF($A149&lt;&gt;0,VLOOKUP($A149,'0.Productos'!$A$3:$GG$587,'0.Productos'!BI$1+1,0),"")</f>
        <v/>
      </c>
      <c r="R149" s="133" t="str">
        <f>IF($A149&lt;&gt;0,VLOOKUP($A149,'0.Productos'!$A$3:$GG$587,'0.Productos'!BJ$1+1,0),"")</f>
        <v/>
      </c>
      <c r="S149" s="133" t="str">
        <f>IF($A149&lt;&gt;0,VLOOKUP($A149,'0.Productos'!$A$3:$GG$587,'0.Productos'!BK$1+1,0),"")</f>
        <v/>
      </c>
      <c r="T149" s="133" t="str">
        <f>IF($A149&lt;&gt;0,VLOOKUP($A149,'0.Productos'!$A$3:$GG$587,'0.Productos'!BL$1+1,0),"")</f>
        <v/>
      </c>
      <c r="U149" s="133" t="str">
        <f>IF($A149&lt;&gt;0,VLOOKUP($A149,'0.Productos'!$A$3:$GG$587,'0.Productos'!BM$1+1,0),"")</f>
        <v/>
      </c>
      <c r="V149" s="133" t="str">
        <f>IF($A149&lt;&gt;0,VLOOKUP($A149,'0.Productos'!$A$3:$GG$587,'0.Productos'!BN$1+1,0),"")</f>
        <v/>
      </c>
      <c r="W149" s="133" t="str">
        <f>IF($A149&lt;&gt;0,VLOOKUP($A149,'0.Productos'!$A$3:$GG$587,'0.Productos'!BO$1+1,0),"")</f>
        <v/>
      </c>
      <c r="X149" s="133" t="str">
        <f>IF($A149&lt;&gt;0,VLOOKUP($A149,'0.Productos'!$A$3:$GG$587,'0.Productos'!BP$1+1,0),"")</f>
        <v/>
      </c>
      <c r="Y149" s="133" t="str">
        <f>IF($A149&lt;&gt;0,VLOOKUP($A149,'0.Productos'!$A$3:$GG$587,'0.Productos'!BQ$1+1,0),"")</f>
        <v/>
      </c>
      <c r="Z149" s="133" t="str">
        <f>IF($A149&lt;&gt;0,VLOOKUP($A149,'0.Productos'!$A$3:$GG$587,'0.Productos'!BR$1+1,0),"")</f>
        <v/>
      </c>
      <c r="AA149" s="133" t="str">
        <f>IF($A149&lt;&gt;0,VLOOKUP($A149,'0.Productos'!$A$3:$GG$587,'0.Productos'!BS$1+1,0),"")</f>
        <v/>
      </c>
      <c r="AB149" s="133" t="str">
        <f>IF($A149&lt;&gt;0,VLOOKUP($A149,'0.Productos'!$A$3:$GG$587,'0.Productos'!BT$1+1,0),"")</f>
        <v/>
      </c>
      <c r="AC149" s="133" t="str">
        <f>IF($A149&lt;&gt;0,VLOOKUP($A149,'0.Productos'!$A$3:$GG$587,'0.Productos'!BU$1+1,0),"")</f>
        <v/>
      </c>
      <c r="AD149" s="133" t="str">
        <f>IF($A149&lt;&gt;0,VLOOKUP($A149,'0.Productos'!$A$3:$GG$587,'0.Productos'!BV$1+1,0),"")</f>
        <v/>
      </c>
      <c r="AE149" s="133" t="str">
        <f>IF($A149&lt;&gt;0,VLOOKUP($A149,'0.Productos'!$A$3:$GG$587,'0.Productos'!BW$1+1,0),"")</f>
        <v/>
      </c>
      <c r="AF149" s="133" t="str">
        <f>IF($A149&lt;&gt;0,VLOOKUP($A149,'0.Productos'!$A$3:$GG$587,'0.Productos'!BX$1+1,0),"")</f>
        <v/>
      </c>
      <c r="AG149" s="133" t="str">
        <f>IF($A149&lt;&gt;0,VLOOKUP($A149,'0.Productos'!$A$3:$GG$587,'0.Productos'!BY$1+1,0),"")</f>
        <v/>
      </c>
      <c r="AH149" s="133" t="str">
        <f>IF($A149&lt;&gt;0,VLOOKUP($A149,'0.Productos'!$A$3:$GG$587,'0.Productos'!BZ$1+1,0),"")</f>
        <v/>
      </c>
      <c r="AI149" s="133" t="str">
        <f>IF($A149&lt;&gt;0,VLOOKUP($A149,'0.Productos'!$A$3:$GG$587,'0.Productos'!CA$1+1,0),"")</f>
        <v/>
      </c>
      <c r="AJ149" s="133" t="str">
        <f>IF($A149&lt;&gt;0,VLOOKUP($A149,'0.Productos'!$A$3:$GG$587,'0.Productos'!CB$1+1,0),"")</f>
        <v/>
      </c>
      <c r="AK149" s="133" t="str">
        <f>IF($A149&lt;&gt;0,VLOOKUP($A149,'0.Productos'!$A$3:$GG$587,'0.Productos'!CC$1+1,0),"")</f>
        <v/>
      </c>
      <c r="AL149" s="133" t="str">
        <f>IF($A149&lt;&gt;0,VLOOKUP($A149,'0.Productos'!$A$3:$GG$587,'0.Productos'!CD$1+1,0),"")</f>
        <v/>
      </c>
      <c r="AM149" s="133" t="str">
        <f>IF($A149&lt;&gt;0,VLOOKUP($A149,'0.Productos'!$A$3:$GG$587,'0.Productos'!CE$1+1,0),"")</f>
        <v/>
      </c>
      <c r="AN149" s="133" t="str">
        <f>IF($A149&lt;&gt;0,VLOOKUP($A149,'0.Productos'!$A$3:$GG$587,'0.Productos'!CF$1+1,0),"")</f>
        <v/>
      </c>
      <c r="AO149" s="133" t="str">
        <f>IF($A149&lt;&gt;0,VLOOKUP($A149,'0.Productos'!$A$3:$GG$587,'0.Productos'!CG$1+1,0),"")</f>
        <v/>
      </c>
      <c r="AP149" s="133" t="str">
        <f>IF($A149&lt;&gt;0,VLOOKUP($A149,'0.Productos'!$A$3:$GG$587,'0.Productos'!CH$1+1,0),"")</f>
        <v/>
      </c>
      <c r="AQ149" s="133" t="str">
        <f>IF($A149&lt;&gt;0,VLOOKUP($A149,'0.Productos'!$A$3:$GG$587,'0.Productos'!CI$1+1,0),"")</f>
        <v/>
      </c>
      <c r="AR149" s="133" t="str">
        <f>IF($A149&lt;&gt;0,VLOOKUP($A149,'0.Productos'!$A$3:$GG$587,'0.Productos'!CJ$1+1,0),"")</f>
        <v/>
      </c>
      <c r="AS149" s="133" t="str">
        <f>IF($A149&lt;&gt;0,VLOOKUP($A149,'0.Productos'!$A$3:$GG$587,'0.Productos'!CK$1+1,0),"")</f>
        <v/>
      </c>
      <c r="AT149" s="133" t="str">
        <f>IF($A149&lt;&gt;0,VLOOKUP($A149,'0.Productos'!$A$3:$GG$587,'0.Productos'!CL$1+1,0),"")</f>
        <v/>
      </c>
      <c r="AU149" s="133" t="str">
        <f>IF($A149&lt;&gt;0,VLOOKUP($A149,'0.Productos'!$A$3:$GG$587,'0.Productos'!CM$1+1,0),"")</f>
        <v/>
      </c>
      <c r="AV149" s="133" t="str">
        <f>IF($A149&lt;&gt;0,VLOOKUP($A149,'0.Productos'!$A$3:$GG$587,'0.Productos'!CN$1+1,0),"")</f>
        <v/>
      </c>
      <c r="AW149" s="133" t="str">
        <f>IF($A149&lt;&gt;0,VLOOKUP($A149,'0.Productos'!$A$3:$GG$587,'0.Productos'!CO$1+1,0),"")</f>
        <v/>
      </c>
      <c r="AX149" s="133" t="str">
        <f>IF($A149&lt;&gt;0,VLOOKUP($A149,'0.Productos'!$A$3:$GG$587,'0.Productos'!CP$1+1,0),"")</f>
        <v/>
      </c>
      <c r="AY149" s="133" t="str">
        <f>IF($A149&lt;&gt;0,VLOOKUP($A149,'0.Productos'!$A$3:$GG$587,'0.Productos'!CQ$1+1,0),"")</f>
        <v/>
      </c>
      <c r="AZ149" s="133" t="str">
        <f>IF($A149&lt;&gt;0,VLOOKUP($A149,'0.Productos'!$A$3:$GG$587,'0.Productos'!CR$1+1,0),"")</f>
        <v/>
      </c>
      <c r="BA149" s="133" t="str">
        <f>IF($A149&lt;&gt;0,VLOOKUP($A149,'0.Productos'!$A$3:$GG$587,'0.Productos'!CS$1+1,0),"")</f>
        <v/>
      </c>
      <c r="BB149" s="133" t="str">
        <f>IF($A149&lt;&gt;0,VLOOKUP($A149,'0.Productos'!$A$3:$GG$587,'0.Productos'!CT$1+1,0),"")</f>
        <v/>
      </c>
      <c r="BC149" s="133" t="str">
        <f>IF($A149&lt;&gt;0,VLOOKUP($A149,'0.Productos'!$A$3:$GG$587,'0.Productos'!CU$1+1,0),"")</f>
        <v/>
      </c>
      <c r="BD149" s="133" t="str">
        <f>IF($A149&lt;&gt;0,VLOOKUP($A149,'0.Productos'!$A$3:$GG$587,'0.Productos'!CV$1+1,0),"")</f>
        <v/>
      </c>
      <c r="BE149" s="133" t="str">
        <f>IF($A149&lt;&gt;0,VLOOKUP($A149,'0.Productos'!$A$3:$GG$587,'0.Productos'!CW$1+1,0),"")</f>
        <v/>
      </c>
      <c r="BF149" s="133" t="str">
        <f>IF($A149&lt;&gt;0,VLOOKUP($A149,'0.Productos'!$A$3:$GG$587,'0.Productos'!CX$1+1,0),"")</f>
        <v/>
      </c>
      <c r="BG149" s="133" t="str">
        <f>IF($A149&lt;&gt;0,VLOOKUP($A149,'0.Productos'!$A$3:$GG$587,'0.Productos'!CY$1+1,0),"")</f>
        <v/>
      </c>
      <c r="BH149" s="133" t="str">
        <f>IF($A149&lt;&gt;0,VLOOKUP($A149,'0.Productos'!$A$3:$GG$587,'0.Productos'!CZ$1+1,0),"")</f>
        <v/>
      </c>
      <c r="BI149" s="133" t="str">
        <f>IF($A149&lt;&gt;0,VLOOKUP($A149,'0.Productos'!$A$3:$GG$587,'0.Productos'!DA$1+1,0),"")</f>
        <v/>
      </c>
      <c r="BJ149" s="133" t="str">
        <f>IF($A149&lt;&gt;0,VLOOKUP($A149,'0.Productos'!$A$3:$GG$587,'0.Productos'!DB$1+1,0),"")</f>
        <v/>
      </c>
      <c r="BK149" s="133" t="str">
        <f>IF($A149&lt;&gt;0,VLOOKUP($A149,'0.Productos'!$A$3:$GG$587,'0.Productos'!DC$1+1,0),"")</f>
        <v/>
      </c>
      <c r="BL149" s="133" t="str">
        <f>IF($A149&lt;&gt;0,VLOOKUP($A149,'0.Productos'!$A$3:$GG$587,'0.Productos'!DD$1+1,0),"")</f>
        <v/>
      </c>
      <c r="BM149" s="133" t="str">
        <f>IF($A149&lt;&gt;0,VLOOKUP($A149,'0.Productos'!$A$3:$GG$587,'0.Productos'!DE$1+1,0),"")</f>
        <v/>
      </c>
      <c r="BN149" s="133" t="str">
        <f>IF($A149&lt;&gt;0,VLOOKUP($A149,'0.Productos'!$A$3:$GG$587,'0.Productos'!DF$1+1,0),"")</f>
        <v/>
      </c>
      <c r="BO149" s="133" t="str">
        <f>IF($A149&lt;&gt;0,VLOOKUP($A149,'0.Productos'!$A$3:$GG$587,'0.Productos'!DG$1+1,0),"")</f>
        <v/>
      </c>
      <c r="BP149" s="133" t="str">
        <f>IF($A149&lt;&gt;0,VLOOKUP($A149,'0.Productos'!$A$3:$GG$587,'0.Productos'!DH$1+1,0),"")</f>
        <v/>
      </c>
      <c r="BQ149" s="133" t="str">
        <f>IF($A149&lt;&gt;0,VLOOKUP($A149,'0.Productos'!$A$3:$GG$587,'0.Productos'!DI$1+1,0),"")</f>
        <v/>
      </c>
      <c r="BR149" s="133" t="str">
        <f>IF($A149&lt;&gt;0,VLOOKUP($A149,'0.Productos'!$A$3:$GG$587,'0.Productos'!DJ$1+1,0),"")</f>
        <v/>
      </c>
      <c r="BS149" s="133" t="str">
        <f>IF($A149&lt;&gt;0,VLOOKUP($A149,'0.Productos'!$A$3:$GG$587,'0.Productos'!DK$1+1,0),"")</f>
        <v/>
      </c>
      <c r="BT149" s="133" t="str">
        <f>IF($A149&lt;&gt;0,VLOOKUP($A149,'0.Productos'!$A$3:$GG$587,'0.Productos'!DL$1+1,0),"")</f>
        <v/>
      </c>
    </row>
    <row r="150" spans="1:72" x14ac:dyDescent="0.25">
      <c r="A150" s="17">
        <f>'0.Consolidado general'!A150</f>
        <v>0</v>
      </c>
      <c r="B150" s="133" t="str">
        <f>IF($A150&lt;&gt;0,VLOOKUP($A150,'0.Productos'!$A$3:$GG$587,'0.Productos'!AT$1+1,0),"")</f>
        <v/>
      </c>
      <c r="C150" s="133" t="str">
        <f>IF($A150&lt;&gt;0,VLOOKUP($A150,'0.Productos'!$A$3:$GG$587,'0.Productos'!AU$1+1,0),"")</f>
        <v/>
      </c>
      <c r="D150" s="133" t="str">
        <f>IF($A150&lt;&gt;0,VLOOKUP($A150,'0.Productos'!$A$3:$GG$587,'0.Productos'!AV$1+1,0),"")</f>
        <v/>
      </c>
      <c r="E150" s="133" t="str">
        <f>IF($A150&lt;&gt;0,VLOOKUP($A150,'0.Productos'!$A$3:$GG$587,'0.Productos'!AW$1+1,0),"")</f>
        <v/>
      </c>
      <c r="F150" s="133" t="str">
        <f>IF($A150&lt;&gt;0,VLOOKUP($A150,'0.Productos'!$A$3:$GG$587,'0.Productos'!AX$1+1,0),"")</f>
        <v/>
      </c>
      <c r="G150" s="133" t="str">
        <f>IF($A150&lt;&gt;0,VLOOKUP($A150,'0.Productos'!$A$3:$GG$587,'0.Productos'!AY$1+1,0),"")</f>
        <v/>
      </c>
      <c r="H150" s="133" t="str">
        <f>IF($A150&lt;&gt;0,VLOOKUP($A150,'0.Productos'!$A$3:$GG$587,'0.Productos'!AZ$1+1,0),"")</f>
        <v/>
      </c>
      <c r="I150" s="133" t="str">
        <f>IF($A150&lt;&gt;0,VLOOKUP($A150,'0.Productos'!$A$3:$GG$587,'0.Productos'!BA$1+1,0),"")</f>
        <v/>
      </c>
      <c r="J150" s="133" t="str">
        <f>IF($A150&lt;&gt;0,VLOOKUP($A150,'0.Productos'!$A$3:$GG$587,'0.Productos'!BB$1+1,0),"")</f>
        <v/>
      </c>
      <c r="K150" s="133" t="str">
        <f>IF($A150&lt;&gt;0,VLOOKUP($A150,'0.Productos'!$A$3:$GG$587,'0.Productos'!BC$1+1,0),"")</f>
        <v/>
      </c>
      <c r="L150" s="133" t="str">
        <f>IF($A150&lt;&gt;0,VLOOKUP($A150,'0.Productos'!$A$3:$GG$587,'0.Productos'!BD$1+1,0),"")</f>
        <v/>
      </c>
      <c r="M150" s="133" t="str">
        <f>IF($A150&lt;&gt;0,VLOOKUP($A150,'0.Productos'!$A$3:$GG$587,'0.Productos'!BE$1+1,0),"")</f>
        <v/>
      </c>
      <c r="N150" s="133" t="str">
        <f>IF($A150&lt;&gt;0,VLOOKUP($A150,'0.Productos'!$A$3:$GG$587,'0.Productos'!BF$1+1,0),"")</f>
        <v/>
      </c>
      <c r="O150" s="133" t="str">
        <f>IF($A150&lt;&gt;0,VLOOKUP($A150,'0.Productos'!$A$3:$GG$587,'0.Productos'!BG$1+1,0),"")</f>
        <v/>
      </c>
      <c r="P150" s="133" t="str">
        <f>IF($A150&lt;&gt;0,VLOOKUP($A150,'0.Productos'!$A$3:$GG$587,'0.Productos'!BH$1+1,0),"")</f>
        <v/>
      </c>
      <c r="Q150" s="133" t="str">
        <f>IF($A150&lt;&gt;0,VLOOKUP($A150,'0.Productos'!$A$3:$GG$587,'0.Productos'!BI$1+1,0),"")</f>
        <v/>
      </c>
      <c r="R150" s="133" t="str">
        <f>IF($A150&lt;&gt;0,VLOOKUP($A150,'0.Productos'!$A$3:$GG$587,'0.Productos'!BJ$1+1,0),"")</f>
        <v/>
      </c>
      <c r="S150" s="133" t="str">
        <f>IF($A150&lt;&gt;0,VLOOKUP($A150,'0.Productos'!$A$3:$GG$587,'0.Productos'!BK$1+1,0),"")</f>
        <v/>
      </c>
      <c r="T150" s="133" t="str">
        <f>IF($A150&lt;&gt;0,VLOOKUP($A150,'0.Productos'!$A$3:$GG$587,'0.Productos'!BL$1+1,0),"")</f>
        <v/>
      </c>
      <c r="U150" s="133" t="str">
        <f>IF($A150&lt;&gt;0,VLOOKUP($A150,'0.Productos'!$A$3:$GG$587,'0.Productos'!BM$1+1,0),"")</f>
        <v/>
      </c>
      <c r="V150" s="133" t="str">
        <f>IF($A150&lt;&gt;0,VLOOKUP($A150,'0.Productos'!$A$3:$GG$587,'0.Productos'!BN$1+1,0),"")</f>
        <v/>
      </c>
      <c r="W150" s="133" t="str">
        <f>IF($A150&lt;&gt;0,VLOOKUP($A150,'0.Productos'!$A$3:$GG$587,'0.Productos'!BO$1+1,0),"")</f>
        <v/>
      </c>
      <c r="X150" s="133" t="str">
        <f>IF($A150&lt;&gt;0,VLOOKUP($A150,'0.Productos'!$A$3:$GG$587,'0.Productos'!BP$1+1,0),"")</f>
        <v/>
      </c>
      <c r="Y150" s="133" t="str">
        <f>IF($A150&lt;&gt;0,VLOOKUP($A150,'0.Productos'!$A$3:$GG$587,'0.Productos'!BQ$1+1,0),"")</f>
        <v/>
      </c>
      <c r="Z150" s="133" t="str">
        <f>IF($A150&lt;&gt;0,VLOOKUP($A150,'0.Productos'!$A$3:$GG$587,'0.Productos'!BR$1+1,0),"")</f>
        <v/>
      </c>
      <c r="AA150" s="133" t="str">
        <f>IF($A150&lt;&gt;0,VLOOKUP($A150,'0.Productos'!$A$3:$GG$587,'0.Productos'!BS$1+1,0),"")</f>
        <v/>
      </c>
      <c r="AB150" s="133" t="str">
        <f>IF($A150&lt;&gt;0,VLOOKUP($A150,'0.Productos'!$A$3:$GG$587,'0.Productos'!BT$1+1,0),"")</f>
        <v/>
      </c>
      <c r="AC150" s="133" t="str">
        <f>IF($A150&lt;&gt;0,VLOOKUP($A150,'0.Productos'!$A$3:$GG$587,'0.Productos'!BU$1+1,0),"")</f>
        <v/>
      </c>
      <c r="AD150" s="133" t="str">
        <f>IF($A150&lt;&gt;0,VLOOKUP($A150,'0.Productos'!$A$3:$GG$587,'0.Productos'!BV$1+1,0),"")</f>
        <v/>
      </c>
      <c r="AE150" s="133" t="str">
        <f>IF($A150&lt;&gt;0,VLOOKUP($A150,'0.Productos'!$A$3:$GG$587,'0.Productos'!BW$1+1,0),"")</f>
        <v/>
      </c>
      <c r="AF150" s="133" t="str">
        <f>IF($A150&lt;&gt;0,VLOOKUP($A150,'0.Productos'!$A$3:$GG$587,'0.Productos'!BX$1+1,0),"")</f>
        <v/>
      </c>
      <c r="AG150" s="133" t="str">
        <f>IF($A150&lt;&gt;0,VLOOKUP($A150,'0.Productos'!$A$3:$GG$587,'0.Productos'!BY$1+1,0),"")</f>
        <v/>
      </c>
      <c r="AH150" s="133" t="str">
        <f>IF($A150&lt;&gt;0,VLOOKUP($A150,'0.Productos'!$A$3:$GG$587,'0.Productos'!BZ$1+1,0),"")</f>
        <v/>
      </c>
      <c r="AI150" s="133" t="str">
        <f>IF($A150&lt;&gt;0,VLOOKUP($A150,'0.Productos'!$A$3:$GG$587,'0.Productos'!CA$1+1,0),"")</f>
        <v/>
      </c>
      <c r="AJ150" s="133" t="str">
        <f>IF($A150&lt;&gt;0,VLOOKUP($A150,'0.Productos'!$A$3:$GG$587,'0.Productos'!CB$1+1,0),"")</f>
        <v/>
      </c>
      <c r="AK150" s="133" t="str">
        <f>IF($A150&lt;&gt;0,VLOOKUP($A150,'0.Productos'!$A$3:$GG$587,'0.Productos'!CC$1+1,0),"")</f>
        <v/>
      </c>
      <c r="AL150" s="133" t="str">
        <f>IF($A150&lt;&gt;0,VLOOKUP($A150,'0.Productos'!$A$3:$GG$587,'0.Productos'!CD$1+1,0),"")</f>
        <v/>
      </c>
      <c r="AM150" s="133" t="str">
        <f>IF($A150&lt;&gt;0,VLOOKUP($A150,'0.Productos'!$A$3:$GG$587,'0.Productos'!CE$1+1,0),"")</f>
        <v/>
      </c>
      <c r="AN150" s="133" t="str">
        <f>IF($A150&lt;&gt;0,VLOOKUP($A150,'0.Productos'!$A$3:$GG$587,'0.Productos'!CF$1+1,0),"")</f>
        <v/>
      </c>
      <c r="AO150" s="133" t="str">
        <f>IF($A150&lt;&gt;0,VLOOKUP($A150,'0.Productos'!$A$3:$GG$587,'0.Productos'!CG$1+1,0),"")</f>
        <v/>
      </c>
      <c r="AP150" s="133" t="str">
        <f>IF($A150&lt;&gt;0,VLOOKUP($A150,'0.Productos'!$A$3:$GG$587,'0.Productos'!CH$1+1,0),"")</f>
        <v/>
      </c>
      <c r="AQ150" s="133" t="str">
        <f>IF($A150&lt;&gt;0,VLOOKUP($A150,'0.Productos'!$A$3:$GG$587,'0.Productos'!CI$1+1,0),"")</f>
        <v/>
      </c>
      <c r="AR150" s="133" t="str">
        <f>IF($A150&lt;&gt;0,VLOOKUP($A150,'0.Productos'!$A$3:$GG$587,'0.Productos'!CJ$1+1,0),"")</f>
        <v/>
      </c>
      <c r="AS150" s="133" t="str">
        <f>IF($A150&lt;&gt;0,VLOOKUP($A150,'0.Productos'!$A$3:$GG$587,'0.Productos'!CK$1+1,0),"")</f>
        <v/>
      </c>
      <c r="AT150" s="133" t="str">
        <f>IF($A150&lt;&gt;0,VLOOKUP($A150,'0.Productos'!$A$3:$GG$587,'0.Productos'!CL$1+1,0),"")</f>
        <v/>
      </c>
      <c r="AU150" s="133" t="str">
        <f>IF($A150&lt;&gt;0,VLOOKUP($A150,'0.Productos'!$A$3:$GG$587,'0.Productos'!CM$1+1,0),"")</f>
        <v/>
      </c>
      <c r="AV150" s="133" t="str">
        <f>IF($A150&lt;&gt;0,VLOOKUP($A150,'0.Productos'!$A$3:$GG$587,'0.Productos'!CN$1+1,0),"")</f>
        <v/>
      </c>
      <c r="AW150" s="133" t="str">
        <f>IF($A150&lt;&gt;0,VLOOKUP($A150,'0.Productos'!$A$3:$GG$587,'0.Productos'!CO$1+1,0),"")</f>
        <v/>
      </c>
      <c r="AX150" s="133" t="str">
        <f>IF($A150&lt;&gt;0,VLOOKUP($A150,'0.Productos'!$A$3:$GG$587,'0.Productos'!CP$1+1,0),"")</f>
        <v/>
      </c>
      <c r="AY150" s="133" t="str">
        <f>IF($A150&lt;&gt;0,VLOOKUP($A150,'0.Productos'!$A$3:$GG$587,'0.Productos'!CQ$1+1,0),"")</f>
        <v/>
      </c>
      <c r="AZ150" s="133" t="str">
        <f>IF($A150&lt;&gt;0,VLOOKUP($A150,'0.Productos'!$A$3:$GG$587,'0.Productos'!CR$1+1,0),"")</f>
        <v/>
      </c>
      <c r="BA150" s="133" t="str">
        <f>IF($A150&lt;&gt;0,VLOOKUP($A150,'0.Productos'!$A$3:$GG$587,'0.Productos'!CS$1+1,0),"")</f>
        <v/>
      </c>
      <c r="BB150" s="133" t="str">
        <f>IF($A150&lt;&gt;0,VLOOKUP($A150,'0.Productos'!$A$3:$GG$587,'0.Productos'!CT$1+1,0),"")</f>
        <v/>
      </c>
      <c r="BC150" s="133" t="str">
        <f>IF($A150&lt;&gt;0,VLOOKUP($A150,'0.Productos'!$A$3:$GG$587,'0.Productos'!CU$1+1,0),"")</f>
        <v/>
      </c>
      <c r="BD150" s="133" t="str">
        <f>IF($A150&lt;&gt;0,VLOOKUP($A150,'0.Productos'!$A$3:$GG$587,'0.Productos'!CV$1+1,0),"")</f>
        <v/>
      </c>
      <c r="BE150" s="133" t="str">
        <f>IF($A150&lt;&gt;0,VLOOKUP($A150,'0.Productos'!$A$3:$GG$587,'0.Productos'!CW$1+1,0),"")</f>
        <v/>
      </c>
      <c r="BF150" s="133" t="str">
        <f>IF($A150&lt;&gt;0,VLOOKUP($A150,'0.Productos'!$A$3:$GG$587,'0.Productos'!CX$1+1,0),"")</f>
        <v/>
      </c>
      <c r="BG150" s="133" t="str">
        <f>IF($A150&lt;&gt;0,VLOOKUP($A150,'0.Productos'!$A$3:$GG$587,'0.Productos'!CY$1+1,0),"")</f>
        <v/>
      </c>
      <c r="BH150" s="133" t="str">
        <f>IF($A150&lt;&gt;0,VLOOKUP($A150,'0.Productos'!$A$3:$GG$587,'0.Productos'!CZ$1+1,0),"")</f>
        <v/>
      </c>
      <c r="BI150" s="133" t="str">
        <f>IF($A150&lt;&gt;0,VLOOKUP($A150,'0.Productos'!$A$3:$GG$587,'0.Productos'!DA$1+1,0),"")</f>
        <v/>
      </c>
      <c r="BJ150" s="133" t="str">
        <f>IF($A150&lt;&gt;0,VLOOKUP($A150,'0.Productos'!$A$3:$GG$587,'0.Productos'!DB$1+1,0),"")</f>
        <v/>
      </c>
      <c r="BK150" s="133" t="str">
        <f>IF($A150&lt;&gt;0,VLOOKUP($A150,'0.Productos'!$A$3:$GG$587,'0.Productos'!DC$1+1,0),"")</f>
        <v/>
      </c>
      <c r="BL150" s="133" t="str">
        <f>IF($A150&lt;&gt;0,VLOOKUP($A150,'0.Productos'!$A$3:$GG$587,'0.Productos'!DD$1+1,0),"")</f>
        <v/>
      </c>
      <c r="BM150" s="133" t="str">
        <f>IF($A150&lt;&gt;0,VLOOKUP($A150,'0.Productos'!$A$3:$GG$587,'0.Productos'!DE$1+1,0),"")</f>
        <v/>
      </c>
      <c r="BN150" s="133" t="str">
        <f>IF($A150&lt;&gt;0,VLOOKUP($A150,'0.Productos'!$A$3:$GG$587,'0.Productos'!DF$1+1,0),"")</f>
        <v/>
      </c>
      <c r="BO150" s="133" t="str">
        <f>IF($A150&lt;&gt;0,VLOOKUP($A150,'0.Productos'!$A$3:$GG$587,'0.Productos'!DG$1+1,0),"")</f>
        <v/>
      </c>
      <c r="BP150" s="133" t="str">
        <f>IF($A150&lt;&gt;0,VLOOKUP($A150,'0.Productos'!$A$3:$GG$587,'0.Productos'!DH$1+1,0),"")</f>
        <v/>
      </c>
      <c r="BQ150" s="133" t="str">
        <f>IF($A150&lt;&gt;0,VLOOKUP($A150,'0.Productos'!$A$3:$GG$587,'0.Productos'!DI$1+1,0),"")</f>
        <v/>
      </c>
      <c r="BR150" s="133" t="str">
        <f>IF($A150&lt;&gt;0,VLOOKUP($A150,'0.Productos'!$A$3:$GG$587,'0.Productos'!DJ$1+1,0),"")</f>
        <v/>
      </c>
      <c r="BS150" s="133" t="str">
        <f>IF($A150&lt;&gt;0,VLOOKUP($A150,'0.Productos'!$A$3:$GG$587,'0.Productos'!DK$1+1,0),"")</f>
        <v/>
      </c>
      <c r="BT150" s="133" t="str">
        <f>IF($A150&lt;&gt;0,VLOOKUP($A150,'0.Productos'!$A$3:$GG$587,'0.Productos'!DL$1+1,0),"")</f>
        <v/>
      </c>
    </row>
    <row r="151" spans="1:72" x14ac:dyDescent="0.25">
      <c r="A151" s="17">
        <f>'0.Consolidado general'!A151</f>
        <v>0</v>
      </c>
      <c r="B151" s="133" t="str">
        <f>IF($A151&lt;&gt;0,VLOOKUP($A151,'0.Productos'!$A$3:$GG$587,'0.Productos'!AT$1+1,0),"")</f>
        <v/>
      </c>
      <c r="C151" s="133" t="str">
        <f>IF($A151&lt;&gt;0,VLOOKUP($A151,'0.Productos'!$A$3:$GG$587,'0.Productos'!AU$1+1,0),"")</f>
        <v/>
      </c>
      <c r="D151" s="133" t="str">
        <f>IF($A151&lt;&gt;0,VLOOKUP($A151,'0.Productos'!$A$3:$GG$587,'0.Productos'!AV$1+1,0),"")</f>
        <v/>
      </c>
      <c r="E151" s="133" t="str">
        <f>IF($A151&lt;&gt;0,VLOOKUP($A151,'0.Productos'!$A$3:$GG$587,'0.Productos'!AW$1+1,0),"")</f>
        <v/>
      </c>
      <c r="F151" s="133" t="str">
        <f>IF($A151&lt;&gt;0,VLOOKUP($A151,'0.Productos'!$A$3:$GG$587,'0.Productos'!AX$1+1,0),"")</f>
        <v/>
      </c>
      <c r="G151" s="133" t="str">
        <f>IF($A151&lt;&gt;0,VLOOKUP($A151,'0.Productos'!$A$3:$GG$587,'0.Productos'!AY$1+1,0),"")</f>
        <v/>
      </c>
      <c r="H151" s="133" t="str">
        <f>IF($A151&lt;&gt;0,VLOOKUP($A151,'0.Productos'!$A$3:$GG$587,'0.Productos'!AZ$1+1,0),"")</f>
        <v/>
      </c>
      <c r="I151" s="133" t="str">
        <f>IF($A151&lt;&gt;0,VLOOKUP($A151,'0.Productos'!$A$3:$GG$587,'0.Productos'!BA$1+1,0),"")</f>
        <v/>
      </c>
      <c r="J151" s="133" t="str">
        <f>IF($A151&lt;&gt;0,VLOOKUP($A151,'0.Productos'!$A$3:$GG$587,'0.Productos'!BB$1+1,0),"")</f>
        <v/>
      </c>
      <c r="K151" s="133" t="str">
        <f>IF($A151&lt;&gt;0,VLOOKUP($A151,'0.Productos'!$A$3:$GG$587,'0.Productos'!BC$1+1,0),"")</f>
        <v/>
      </c>
      <c r="L151" s="133" t="str">
        <f>IF($A151&lt;&gt;0,VLOOKUP($A151,'0.Productos'!$A$3:$GG$587,'0.Productos'!BD$1+1,0),"")</f>
        <v/>
      </c>
      <c r="M151" s="133" t="str">
        <f>IF($A151&lt;&gt;0,VLOOKUP($A151,'0.Productos'!$A$3:$GG$587,'0.Productos'!BE$1+1,0),"")</f>
        <v/>
      </c>
      <c r="N151" s="133" t="str">
        <f>IF($A151&lt;&gt;0,VLOOKUP($A151,'0.Productos'!$A$3:$GG$587,'0.Productos'!BF$1+1,0),"")</f>
        <v/>
      </c>
      <c r="O151" s="133" t="str">
        <f>IF($A151&lt;&gt;0,VLOOKUP($A151,'0.Productos'!$A$3:$GG$587,'0.Productos'!BG$1+1,0),"")</f>
        <v/>
      </c>
      <c r="P151" s="133" t="str">
        <f>IF($A151&lt;&gt;0,VLOOKUP($A151,'0.Productos'!$A$3:$GG$587,'0.Productos'!BH$1+1,0),"")</f>
        <v/>
      </c>
      <c r="Q151" s="133" t="str">
        <f>IF($A151&lt;&gt;0,VLOOKUP($A151,'0.Productos'!$A$3:$GG$587,'0.Productos'!BI$1+1,0),"")</f>
        <v/>
      </c>
      <c r="R151" s="133" t="str">
        <f>IF($A151&lt;&gt;0,VLOOKUP($A151,'0.Productos'!$A$3:$GG$587,'0.Productos'!BJ$1+1,0),"")</f>
        <v/>
      </c>
      <c r="S151" s="133" t="str">
        <f>IF($A151&lt;&gt;0,VLOOKUP($A151,'0.Productos'!$A$3:$GG$587,'0.Productos'!BK$1+1,0),"")</f>
        <v/>
      </c>
      <c r="T151" s="133" t="str">
        <f>IF($A151&lt;&gt;0,VLOOKUP($A151,'0.Productos'!$A$3:$GG$587,'0.Productos'!BL$1+1,0),"")</f>
        <v/>
      </c>
      <c r="U151" s="133" t="str">
        <f>IF($A151&lt;&gt;0,VLOOKUP($A151,'0.Productos'!$A$3:$GG$587,'0.Productos'!BM$1+1,0),"")</f>
        <v/>
      </c>
      <c r="V151" s="133" t="str">
        <f>IF($A151&lt;&gt;0,VLOOKUP($A151,'0.Productos'!$A$3:$GG$587,'0.Productos'!BN$1+1,0),"")</f>
        <v/>
      </c>
      <c r="W151" s="133" t="str">
        <f>IF($A151&lt;&gt;0,VLOOKUP($A151,'0.Productos'!$A$3:$GG$587,'0.Productos'!BO$1+1,0),"")</f>
        <v/>
      </c>
      <c r="X151" s="133" t="str">
        <f>IF($A151&lt;&gt;0,VLOOKUP($A151,'0.Productos'!$A$3:$GG$587,'0.Productos'!BP$1+1,0),"")</f>
        <v/>
      </c>
      <c r="Y151" s="133" t="str">
        <f>IF($A151&lt;&gt;0,VLOOKUP($A151,'0.Productos'!$A$3:$GG$587,'0.Productos'!BQ$1+1,0),"")</f>
        <v/>
      </c>
      <c r="Z151" s="133" t="str">
        <f>IF($A151&lt;&gt;0,VLOOKUP($A151,'0.Productos'!$A$3:$GG$587,'0.Productos'!BR$1+1,0),"")</f>
        <v/>
      </c>
      <c r="AA151" s="133" t="str">
        <f>IF($A151&lt;&gt;0,VLOOKUP($A151,'0.Productos'!$A$3:$GG$587,'0.Productos'!BS$1+1,0),"")</f>
        <v/>
      </c>
      <c r="AB151" s="133" t="str">
        <f>IF($A151&lt;&gt;0,VLOOKUP($A151,'0.Productos'!$A$3:$GG$587,'0.Productos'!BT$1+1,0),"")</f>
        <v/>
      </c>
      <c r="AC151" s="133" t="str">
        <f>IF($A151&lt;&gt;0,VLOOKUP($A151,'0.Productos'!$A$3:$GG$587,'0.Productos'!BU$1+1,0),"")</f>
        <v/>
      </c>
      <c r="AD151" s="133" t="str">
        <f>IF($A151&lt;&gt;0,VLOOKUP($A151,'0.Productos'!$A$3:$GG$587,'0.Productos'!BV$1+1,0),"")</f>
        <v/>
      </c>
      <c r="AE151" s="133" t="str">
        <f>IF($A151&lt;&gt;0,VLOOKUP($A151,'0.Productos'!$A$3:$GG$587,'0.Productos'!BW$1+1,0),"")</f>
        <v/>
      </c>
      <c r="AF151" s="133" t="str">
        <f>IF($A151&lt;&gt;0,VLOOKUP($A151,'0.Productos'!$A$3:$GG$587,'0.Productos'!BX$1+1,0),"")</f>
        <v/>
      </c>
      <c r="AG151" s="133" t="str">
        <f>IF($A151&lt;&gt;0,VLOOKUP($A151,'0.Productos'!$A$3:$GG$587,'0.Productos'!BY$1+1,0),"")</f>
        <v/>
      </c>
      <c r="AH151" s="133" t="str">
        <f>IF($A151&lt;&gt;0,VLOOKUP($A151,'0.Productos'!$A$3:$GG$587,'0.Productos'!BZ$1+1,0),"")</f>
        <v/>
      </c>
      <c r="AI151" s="133" t="str">
        <f>IF($A151&lt;&gt;0,VLOOKUP($A151,'0.Productos'!$A$3:$GG$587,'0.Productos'!CA$1+1,0),"")</f>
        <v/>
      </c>
      <c r="AJ151" s="133" t="str">
        <f>IF($A151&lt;&gt;0,VLOOKUP($A151,'0.Productos'!$A$3:$GG$587,'0.Productos'!CB$1+1,0),"")</f>
        <v/>
      </c>
      <c r="AK151" s="133" t="str">
        <f>IF($A151&lt;&gt;0,VLOOKUP($A151,'0.Productos'!$A$3:$GG$587,'0.Productos'!CC$1+1,0),"")</f>
        <v/>
      </c>
      <c r="AL151" s="133" t="str">
        <f>IF($A151&lt;&gt;0,VLOOKUP($A151,'0.Productos'!$A$3:$GG$587,'0.Productos'!CD$1+1,0),"")</f>
        <v/>
      </c>
      <c r="AM151" s="133" t="str">
        <f>IF($A151&lt;&gt;0,VLOOKUP($A151,'0.Productos'!$A$3:$GG$587,'0.Productos'!CE$1+1,0),"")</f>
        <v/>
      </c>
      <c r="AN151" s="133" t="str">
        <f>IF($A151&lt;&gt;0,VLOOKUP($A151,'0.Productos'!$A$3:$GG$587,'0.Productos'!CF$1+1,0),"")</f>
        <v/>
      </c>
      <c r="AO151" s="133" t="str">
        <f>IF($A151&lt;&gt;0,VLOOKUP($A151,'0.Productos'!$A$3:$GG$587,'0.Productos'!CG$1+1,0),"")</f>
        <v/>
      </c>
      <c r="AP151" s="133" t="str">
        <f>IF($A151&lt;&gt;0,VLOOKUP($A151,'0.Productos'!$A$3:$GG$587,'0.Productos'!CH$1+1,0),"")</f>
        <v/>
      </c>
      <c r="AQ151" s="133" t="str">
        <f>IF($A151&lt;&gt;0,VLOOKUP($A151,'0.Productos'!$A$3:$GG$587,'0.Productos'!CI$1+1,0),"")</f>
        <v/>
      </c>
      <c r="AR151" s="133" t="str">
        <f>IF($A151&lt;&gt;0,VLOOKUP($A151,'0.Productos'!$A$3:$GG$587,'0.Productos'!CJ$1+1,0),"")</f>
        <v/>
      </c>
      <c r="AS151" s="133" t="str">
        <f>IF($A151&lt;&gt;0,VLOOKUP($A151,'0.Productos'!$A$3:$GG$587,'0.Productos'!CK$1+1,0),"")</f>
        <v/>
      </c>
      <c r="AT151" s="133" t="str">
        <f>IF($A151&lt;&gt;0,VLOOKUP($A151,'0.Productos'!$A$3:$GG$587,'0.Productos'!CL$1+1,0),"")</f>
        <v/>
      </c>
      <c r="AU151" s="133" t="str">
        <f>IF($A151&lt;&gt;0,VLOOKUP($A151,'0.Productos'!$A$3:$GG$587,'0.Productos'!CM$1+1,0),"")</f>
        <v/>
      </c>
      <c r="AV151" s="133" t="str">
        <f>IF($A151&lt;&gt;0,VLOOKUP($A151,'0.Productos'!$A$3:$GG$587,'0.Productos'!CN$1+1,0),"")</f>
        <v/>
      </c>
      <c r="AW151" s="133" t="str">
        <f>IF($A151&lt;&gt;0,VLOOKUP($A151,'0.Productos'!$A$3:$GG$587,'0.Productos'!CO$1+1,0),"")</f>
        <v/>
      </c>
      <c r="AX151" s="133" t="str">
        <f>IF($A151&lt;&gt;0,VLOOKUP($A151,'0.Productos'!$A$3:$GG$587,'0.Productos'!CP$1+1,0),"")</f>
        <v/>
      </c>
      <c r="AY151" s="133" t="str">
        <f>IF($A151&lt;&gt;0,VLOOKUP($A151,'0.Productos'!$A$3:$GG$587,'0.Productos'!CQ$1+1,0),"")</f>
        <v/>
      </c>
      <c r="AZ151" s="133" t="str">
        <f>IF($A151&lt;&gt;0,VLOOKUP($A151,'0.Productos'!$A$3:$GG$587,'0.Productos'!CR$1+1,0),"")</f>
        <v/>
      </c>
      <c r="BA151" s="133" t="str">
        <f>IF($A151&lt;&gt;0,VLOOKUP($A151,'0.Productos'!$A$3:$GG$587,'0.Productos'!CS$1+1,0),"")</f>
        <v/>
      </c>
      <c r="BB151" s="133" t="str">
        <f>IF($A151&lt;&gt;0,VLOOKUP($A151,'0.Productos'!$A$3:$GG$587,'0.Productos'!CT$1+1,0),"")</f>
        <v/>
      </c>
      <c r="BC151" s="133" t="str">
        <f>IF($A151&lt;&gt;0,VLOOKUP($A151,'0.Productos'!$A$3:$GG$587,'0.Productos'!CU$1+1,0),"")</f>
        <v/>
      </c>
      <c r="BD151" s="133" t="str">
        <f>IF($A151&lt;&gt;0,VLOOKUP($A151,'0.Productos'!$A$3:$GG$587,'0.Productos'!CV$1+1,0),"")</f>
        <v/>
      </c>
      <c r="BE151" s="133" t="str">
        <f>IF($A151&lt;&gt;0,VLOOKUP($A151,'0.Productos'!$A$3:$GG$587,'0.Productos'!CW$1+1,0),"")</f>
        <v/>
      </c>
      <c r="BF151" s="133" t="str">
        <f>IF($A151&lt;&gt;0,VLOOKUP($A151,'0.Productos'!$A$3:$GG$587,'0.Productos'!CX$1+1,0),"")</f>
        <v/>
      </c>
      <c r="BG151" s="133" t="str">
        <f>IF($A151&lt;&gt;0,VLOOKUP($A151,'0.Productos'!$A$3:$GG$587,'0.Productos'!CY$1+1,0),"")</f>
        <v/>
      </c>
      <c r="BH151" s="133" t="str">
        <f>IF($A151&lt;&gt;0,VLOOKUP($A151,'0.Productos'!$A$3:$GG$587,'0.Productos'!CZ$1+1,0),"")</f>
        <v/>
      </c>
      <c r="BI151" s="133" t="str">
        <f>IF($A151&lt;&gt;0,VLOOKUP($A151,'0.Productos'!$A$3:$GG$587,'0.Productos'!DA$1+1,0),"")</f>
        <v/>
      </c>
      <c r="BJ151" s="133" t="str">
        <f>IF($A151&lt;&gt;0,VLOOKUP($A151,'0.Productos'!$A$3:$GG$587,'0.Productos'!DB$1+1,0),"")</f>
        <v/>
      </c>
      <c r="BK151" s="133" t="str">
        <f>IF($A151&lt;&gt;0,VLOOKUP($A151,'0.Productos'!$A$3:$GG$587,'0.Productos'!DC$1+1,0),"")</f>
        <v/>
      </c>
      <c r="BL151" s="133" t="str">
        <f>IF($A151&lt;&gt;0,VLOOKUP($A151,'0.Productos'!$A$3:$GG$587,'0.Productos'!DD$1+1,0),"")</f>
        <v/>
      </c>
      <c r="BM151" s="133" t="str">
        <f>IF($A151&lt;&gt;0,VLOOKUP($A151,'0.Productos'!$A$3:$GG$587,'0.Productos'!DE$1+1,0),"")</f>
        <v/>
      </c>
      <c r="BN151" s="133" t="str">
        <f>IF($A151&lt;&gt;0,VLOOKUP($A151,'0.Productos'!$A$3:$GG$587,'0.Productos'!DF$1+1,0),"")</f>
        <v/>
      </c>
      <c r="BO151" s="133" t="str">
        <f>IF($A151&lt;&gt;0,VLOOKUP($A151,'0.Productos'!$A$3:$GG$587,'0.Productos'!DG$1+1,0),"")</f>
        <v/>
      </c>
      <c r="BP151" s="133" t="str">
        <f>IF($A151&lt;&gt;0,VLOOKUP($A151,'0.Productos'!$A$3:$GG$587,'0.Productos'!DH$1+1,0),"")</f>
        <v/>
      </c>
      <c r="BQ151" s="133" t="str">
        <f>IF($A151&lt;&gt;0,VLOOKUP($A151,'0.Productos'!$A$3:$GG$587,'0.Productos'!DI$1+1,0),"")</f>
        <v/>
      </c>
      <c r="BR151" s="133" t="str">
        <f>IF($A151&lt;&gt;0,VLOOKUP($A151,'0.Productos'!$A$3:$GG$587,'0.Productos'!DJ$1+1,0),"")</f>
        <v/>
      </c>
      <c r="BS151" s="133" t="str">
        <f>IF($A151&lt;&gt;0,VLOOKUP($A151,'0.Productos'!$A$3:$GG$587,'0.Productos'!DK$1+1,0),"")</f>
        <v/>
      </c>
      <c r="BT151" s="133" t="str">
        <f>IF($A151&lt;&gt;0,VLOOKUP($A151,'0.Productos'!$A$3:$GG$587,'0.Productos'!DL$1+1,0),"")</f>
        <v/>
      </c>
    </row>
    <row r="152" spans="1:72" x14ac:dyDescent="0.25">
      <c r="A152" s="17">
        <f>'0.Consolidado general'!A152</f>
        <v>0</v>
      </c>
      <c r="B152" s="133" t="str">
        <f>IF($A152&lt;&gt;0,VLOOKUP($A152,'0.Productos'!$A$3:$GG$587,'0.Productos'!AT$1+1,0),"")</f>
        <v/>
      </c>
      <c r="C152" s="133" t="str">
        <f>IF($A152&lt;&gt;0,VLOOKUP($A152,'0.Productos'!$A$3:$GG$587,'0.Productos'!AU$1+1,0),"")</f>
        <v/>
      </c>
      <c r="D152" s="133" t="str">
        <f>IF($A152&lt;&gt;0,VLOOKUP($A152,'0.Productos'!$A$3:$GG$587,'0.Productos'!AV$1+1,0),"")</f>
        <v/>
      </c>
      <c r="E152" s="133" t="str">
        <f>IF($A152&lt;&gt;0,VLOOKUP($A152,'0.Productos'!$A$3:$GG$587,'0.Productos'!AW$1+1,0),"")</f>
        <v/>
      </c>
      <c r="F152" s="133" t="str">
        <f>IF($A152&lt;&gt;0,VLOOKUP($A152,'0.Productos'!$A$3:$GG$587,'0.Productos'!AX$1+1,0),"")</f>
        <v/>
      </c>
      <c r="G152" s="133" t="str">
        <f>IF($A152&lt;&gt;0,VLOOKUP($A152,'0.Productos'!$A$3:$GG$587,'0.Productos'!AY$1+1,0),"")</f>
        <v/>
      </c>
      <c r="H152" s="133" t="str">
        <f>IF($A152&lt;&gt;0,VLOOKUP($A152,'0.Productos'!$A$3:$GG$587,'0.Productos'!AZ$1+1,0),"")</f>
        <v/>
      </c>
      <c r="I152" s="133" t="str">
        <f>IF($A152&lt;&gt;0,VLOOKUP($A152,'0.Productos'!$A$3:$GG$587,'0.Productos'!BA$1+1,0),"")</f>
        <v/>
      </c>
      <c r="J152" s="133" t="str">
        <f>IF($A152&lt;&gt;0,VLOOKUP($A152,'0.Productos'!$A$3:$GG$587,'0.Productos'!BB$1+1,0),"")</f>
        <v/>
      </c>
      <c r="K152" s="133" t="str">
        <f>IF($A152&lt;&gt;0,VLOOKUP($A152,'0.Productos'!$A$3:$GG$587,'0.Productos'!BC$1+1,0),"")</f>
        <v/>
      </c>
      <c r="L152" s="133" t="str">
        <f>IF($A152&lt;&gt;0,VLOOKUP($A152,'0.Productos'!$A$3:$GG$587,'0.Productos'!BD$1+1,0),"")</f>
        <v/>
      </c>
      <c r="M152" s="133" t="str">
        <f>IF($A152&lt;&gt;0,VLOOKUP($A152,'0.Productos'!$A$3:$GG$587,'0.Productos'!BE$1+1,0),"")</f>
        <v/>
      </c>
      <c r="N152" s="133" t="str">
        <f>IF($A152&lt;&gt;0,VLOOKUP($A152,'0.Productos'!$A$3:$GG$587,'0.Productos'!BF$1+1,0),"")</f>
        <v/>
      </c>
      <c r="O152" s="133" t="str">
        <f>IF($A152&lt;&gt;0,VLOOKUP($A152,'0.Productos'!$A$3:$GG$587,'0.Productos'!BG$1+1,0),"")</f>
        <v/>
      </c>
      <c r="P152" s="133" t="str">
        <f>IF($A152&lt;&gt;0,VLOOKUP($A152,'0.Productos'!$A$3:$GG$587,'0.Productos'!BH$1+1,0),"")</f>
        <v/>
      </c>
      <c r="Q152" s="133" t="str">
        <f>IF($A152&lt;&gt;0,VLOOKUP($A152,'0.Productos'!$A$3:$GG$587,'0.Productos'!BI$1+1,0),"")</f>
        <v/>
      </c>
      <c r="R152" s="133" t="str">
        <f>IF($A152&lt;&gt;0,VLOOKUP($A152,'0.Productos'!$A$3:$GG$587,'0.Productos'!BJ$1+1,0),"")</f>
        <v/>
      </c>
      <c r="S152" s="133" t="str">
        <f>IF($A152&lt;&gt;0,VLOOKUP($A152,'0.Productos'!$A$3:$GG$587,'0.Productos'!BK$1+1,0),"")</f>
        <v/>
      </c>
      <c r="T152" s="133" t="str">
        <f>IF($A152&lt;&gt;0,VLOOKUP($A152,'0.Productos'!$A$3:$GG$587,'0.Productos'!BL$1+1,0),"")</f>
        <v/>
      </c>
      <c r="U152" s="133" t="str">
        <f>IF($A152&lt;&gt;0,VLOOKUP($A152,'0.Productos'!$A$3:$GG$587,'0.Productos'!BM$1+1,0),"")</f>
        <v/>
      </c>
      <c r="V152" s="133" t="str">
        <f>IF($A152&lt;&gt;0,VLOOKUP($A152,'0.Productos'!$A$3:$GG$587,'0.Productos'!BN$1+1,0),"")</f>
        <v/>
      </c>
      <c r="W152" s="133" t="str">
        <f>IF($A152&lt;&gt;0,VLOOKUP($A152,'0.Productos'!$A$3:$GG$587,'0.Productos'!BO$1+1,0),"")</f>
        <v/>
      </c>
      <c r="X152" s="133" t="str">
        <f>IF($A152&lt;&gt;0,VLOOKUP($A152,'0.Productos'!$A$3:$GG$587,'0.Productos'!BP$1+1,0),"")</f>
        <v/>
      </c>
      <c r="Y152" s="133" t="str">
        <f>IF($A152&lt;&gt;0,VLOOKUP($A152,'0.Productos'!$A$3:$GG$587,'0.Productos'!BQ$1+1,0),"")</f>
        <v/>
      </c>
      <c r="Z152" s="133" t="str">
        <f>IF($A152&lt;&gt;0,VLOOKUP($A152,'0.Productos'!$A$3:$GG$587,'0.Productos'!BR$1+1,0),"")</f>
        <v/>
      </c>
      <c r="AA152" s="133" t="str">
        <f>IF($A152&lt;&gt;0,VLOOKUP($A152,'0.Productos'!$A$3:$GG$587,'0.Productos'!BS$1+1,0),"")</f>
        <v/>
      </c>
      <c r="AB152" s="133" t="str">
        <f>IF($A152&lt;&gt;0,VLOOKUP($A152,'0.Productos'!$A$3:$GG$587,'0.Productos'!BT$1+1,0),"")</f>
        <v/>
      </c>
      <c r="AC152" s="133" t="str">
        <f>IF($A152&lt;&gt;0,VLOOKUP($A152,'0.Productos'!$A$3:$GG$587,'0.Productos'!BU$1+1,0),"")</f>
        <v/>
      </c>
      <c r="AD152" s="133" t="str">
        <f>IF($A152&lt;&gt;0,VLOOKUP($A152,'0.Productos'!$A$3:$GG$587,'0.Productos'!BV$1+1,0),"")</f>
        <v/>
      </c>
      <c r="AE152" s="133" t="str">
        <f>IF($A152&lt;&gt;0,VLOOKUP($A152,'0.Productos'!$A$3:$GG$587,'0.Productos'!BW$1+1,0),"")</f>
        <v/>
      </c>
      <c r="AF152" s="133" t="str">
        <f>IF($A152&lt;&gt;0,VLOOKUP($A152,'0.Productos'!$A$3:$GG$587,'0.Productos'!BX$1+1,0),"")</f>
        <v/>
      </c>
      <c r="AG152" s="133" t="str">
        <f>IF($A152&lt;&gt;0,VLOOKUP($A152,'0.Productos'!$A$3:$GG$587,'0.Productos'!BY$1+1,0),"")</f>
        <v/>
      </c>
      <c r="AH152" s="133" t="str">
        <f>IF($A152&lt;&gt;0,VLOOKUP($A152,'0.Productos'!$A$3:$GG$587,'0.Productos'!BZ$1+1,0),"")</f>
        <v/>
      </c>
      <c r="AI152" s="133" t="str">
        <f>IF($A152&lt;&gt;0,VLOOKUP($A152,'0.Productos'!$A$3:$GG$587,'0.Productos'!CA$1+1,0),"")</f>
        <v/>
      </c>
      <c r="AJ152" s="133" t="str">
        <f>IF($A152&lt;&gt;0,VLOOKUP($A152,'0.Productos'!$A$3:$GG$587,'0.Productos'!CB$1+1,0),"")</f>
        <v/>
      </c>
      <c r="AK152" s="133" t="str">
        <f>IF($A152&lt;&gt;0,VLOOKUP($A152,'0.Productos'!$A$3:$GG$587,'0.Productos'!CC$1+1,0),"")</f>
        <v/>
      </c>
      <c r="AL152" s="133" t="str">
        <f>IF($A152&lt;&gt;0,VLOOKUP($A152,'0.Productos'!$A$3:$GG$587,'0.Productos'!CD$1+1,0),"")</f>
        <v/>
      </c>
      <c r="AM152" s="133" t="str">
        <f>IF($A152&lt;&gt;0,VLOOKUP($A152,'0.Productos'!$A$3:$GG$587,'0.Productos'!CE$1+1,0),"")</f>
        <v/>
      </c>
      <c r="AN152" s="133" t="str">
        <f>IF($A152&lt;&gt;0,VLOOKUP($A152,'0.Productos'!$A$3:$GG$587,'0.Productos'!CF$1+1,0),"")</f>
        <v/>
      </c>
      <c r="AO152" s="133" t="str">
        <f>IF($A152&lt;&gt;0,VLOOKUP($A152,'0.Productos'!$A$3:$GG$587,'0.Productos'!CG$1+1,0),"")</f>
        <v/>
      </c>
      <c r="AP152" s="133" t="str">
        <f>IF($A152&lt;&gt;0,VLOOKUP($A152,'0.Productos'!$A$3:$GG$587,'0.Productos'!CH$1+1,0),"")</f>
        <v/>
      </c>
      <c r="AQ152" s="133" t="str">
        <f>IF($A152&lt;&gt;0,VLOOKUP($A152,'0.Productos'!$A$3:$GG$587,'0.Productos'!CI$1+1,0),"")</f>
        <v/>
      </c>
      <c r="AR152" s="133" t="str">
        <f>IF($A152&lt;&gt;0,VLOOKUP($A152,'0.Productos'!$A$3:$GG$587,'0.Productos'!CJ$1+1,0),"")</f>
        <v/>
      </c>
      <c r="AS152" s="133" t="str">
        <f>IF($A152&lt;&gt;0,VLOOKUP($A152,'0.Productos'!$A$3:$GG$587,'0.Productos'!CK$1+1,0),"")</f>
        <v/>
      </c>
      <c r="AT152" s="133" t="str">
        <f>IF($A152&lt;&gt;0,VLOOKUP($A152,'0.Productos'!$A$3:$GG$587,'0.Productos'!CL$1+1,0),"")</f>
        <v/>
      </c>
      <c r="AU152" s="133" t="str">
        <f>IF($A152&lt;&gt;0,VLOOKUP($A152,'0.Productos'!$A$3:$GG$587,'0.Productos'!CM$1+1,0),"")</f>
        <v/>
      </c>
      <c r="AV152" s="133" t="str">
        <f>IF($A152&lt;&gt;0,VLOOKUP($A152,'0.Productos'!$A$3:$GG$587,'0.Productos'!CN$1+1,0),"")</f>
        <v/>
      </c>
      <c r="AW152" s="133" t="str">
        <f>IF($A152&lt;&gt;0,VLOOKUP($A152,'0.Productos'!$A$3:$GG$587,'0.Productos'!CO$1+1,0),"")</f>
        <v/>
      </c>
      <c r="AX152" s="133" t="str">
        <f>IF($A152&lt;&gt;0,VLOOKUP($A152,'0.Productos'!$A$3:$GG$587,'0.Productos'!CP$1+1,0),"")</f>
        <v/>
      </c>
      <c r="AY152" s="133" t="str">
        <f>IF($A152&lt;&gt;0,VLOOKUP($A152,'0.Productos'!$A$3:$GG$587,'0.Productos'!CQ$1+1,0),"")</f>
        <v/>
      </c>
      <c r="AZ152" s="133" t="str">
        <f>IF($A152&lt;&gt;0,VLOOKUP($A152,'0.Productos'!$A$3:$GG$587,'0.Productos'!CR$1+1,0),"")</f>
        <v/>
      </c>
      <c r="BA152" s="133" t="str">
        <f>IF($A152&lt;&gt;0,VLOOKUP($A152,'0.Productos'!$A$3:$GG$587,'0.Productos'!CS$1+1,0),"")</f>
        <v/>
      </c>
      <c r="BB152" s="133" t="str">
        <f>IF($A152&lt;&gt;0,VLOOKUP($A152,'0.Productos'!$A$3:$GG$587,'0.Productos'!CT$1+1,0),"")</f>
        <v/>
      </c>
      <c r="BC152" s="133" t="str">
        <f>IF($A152&lt;&gt;0,VLOOKUP($A152,'0.Productos'!$A$3:$GG$587,'0.Productos'!CU$1+1,0),"")</f>
        <v/>
      </c>
      <c r="BD152" s="133" t="str">
        <f>IF($A152&lt;&gt;0,VLOOKUP($A152,'0.Productos'!$A$3:$GG$587,'0.Productos'!CV$1+1,0),"")</f>
        <v/>
      </c>
      <c r="BE152" s="133" t="str">
        <f>IF($A152&lt;&gt;0,VLOOKUP($A152,'0.Productos'!$A$3:$GG$587,'0.Productos'!CW$1+1,0),"")</f>
        <v/>
      </c>
      <c r="BF152" s="133" t="str">
        <f>IF($A152&lt;&gt;0,VLOOKUP($A152,'0.Productos'!$A$3:$GG$587,'0.Productos'!CX$1+1,0),"")</f>
        <v/>
      </c>
      <c r="BG152" s="133" t="str">
        <f>IF($A152&lt;&gt;0,VLOOKUP($A152,'0.Productos'!$A$3:$GG$587,'0.Productos'!CY$1+1,0),"")</f>
        <v/>
      </c>
      <c r="BH152" s="133" t="str">
        <f>IF($A152&lt;&gt;0,VLOOKUP($A152,'0.Productos'!$A$3:$GG$587,'0.Productos'!CZ$1+1,0),"")</f>
        <v/>
      </c>
      <c r="BI152" s="133" t="str">
        <f>IF($A152&lt;&gt;0,VLOOKUP($A152,'0.Productos'!$A$3:$GG$587,'0.Productos'!DA$1+1,0),"")</f>
        <v/>
      </c>
      <c r="BJ152" s="133" t="str">
        <f>IF($A152&lt;&gt;0,VLOOKUP($A152,'0.Productos'!$A$3:$GG$587,'0.Productos'!DB$1+1,0),"")</f>
        <v/>
      </c>
      <c r="BK152" s="133" t="str">
        <f>IF($A152&lt;&gt;0,VLOOKUP($A152,'0.Productos'!$A$3:$GG$587,'0.Productos'!DC$1+1,0),"")</f>
        <v/>
      </c>
      <c r="BL152" s="133" t="str">
        <f>IF($A152&lt;&gt;0,VLOOKUP($A152,'0.Productos'!$A$3:$GG$587,'0.Productos'!DD$1+1,0),"")</f>
        <v/>
      </c>
      <c r="BM152" s="133" t="str">
        <f>IF($A152&lt;&gt;0,VLOOKUP($A152,'0.Productos'!$A$3:$GG$587,'0.Productos'!DE$1+1,0),"")</f>
        <v/>
      </c>
      <c r="BN152" s="133" t="str">
        <f>IF($A152&lt;&gt;0,VLOOKUP($A152,'0.Productos'!$A$3:$GG$587,'0.Productos'!DF$1+1,0),"")</f>
        <v/>
      </c>
      <c r="BO152" s="133" t="str">
        <f>IF($A152&lt;&gt;0,VLOOKUP($A152,'0.Productos'!$A$3:$GG$587,'0.Productos'!DG$1+1,0),"")</f>
        <v/>
      </c>
      <c r="BP152" s="133" t="str">
        <f>IF($A152&lt;&gt;0,VLOOKUP($A152,'0.Productos'!$A$3:$GG$587,'0.Productos'!DH$1+1,0),"")</f>
        <v/>
      </c>
      <c r="BQ152" s="133" t="str">
        <f>IF($A152&lt;&gt;0,VLOOKUP($A152,'0.Productos'!$A$3:$GG$587,'0.Productos'!DI$1+1,0),"")</f>
        <v/>
      </c>
      <c r="BR152" s="133" t="str">
        <f>IF($A152&lt;&gt;0,VLOOKUP($A152,'0.Productos'!$A$3:$GG$587,'0.Productos'!DJ$1+1,0),"")</f>
        <v/>
      </c>
      <c r="BS152" s="133" t="str">
        <f>IF($A152&lt;&gt;0,VLOOKUP($A152,'0.Productos'!$A$3:$GG$587,'0.Productos'!DK$1+1,0),"")</f>
        <v/>
      </c>
      <c r="BT152" s="133" t="str">
        <f>IF($A152&lt;&gt;0,VLOOKUP($A152,'0.Productos'!$A$3:$GG$587,'0.Productos'!DL$1+1,0),"")</f>
        <v/>
      </c>
    </row>
    <row r="153" spans="1:72" x14ac:dyDescent="0.25">
      <c r="A153" s="17">
        <f>'0.Consolidado general'!A153</f>
        <v>0</v>
      </c>
      <c r="B153" s="133" t="str">
        <f>IF($A153&lt;&gt;0,VLOOKUP($A153,'0.Productos'!$A$3:$GG$587,'0.Productos'!AT$1+1,0),"")</f>
        <v/>
      </c>
      <c r="C153" s="133" t="str">
        <f>IF($A153&lt;&gt;0,VLOOKUP($A153,'0.Productos'!$A$3:$GG$587,'0.Productos'!AU$1+1,0),"")</f>
        <v/>
      </c>
      <c r="D153" s="133" t="str">
        <f>IF($A153&lt;&gt;0,VLOOKUP($A153,'0.Productos'!$A$3:$GG$587,'0.Productos'!AV$1+1,0),"")</f>
        <v/>
      </c>
      <c r="E153" s="133" t="str">
        <f>IF($A153&lt;&gt;0,VLOOKUP($A153,'0.Productos'!$A$3:$GG$587,'0.Productos'!AW$1+1,0),"")</f>
        <v/>
      </c>
      <c r="F153" s="133" t="str">
        <f>IF($A153&lt;&gt;0,VLOOKUP($A153,'0.Productos'!$A$3:$GG$587,'0.Productos'!AX$1+1,0),"")</f>
        <v/>
      </c>
      <c r="G153" s="133" t="str">
        <f>IF($A153&lt;&gt;0,VLOOKUP($A153,'0.Productos'!$A$3:$GG$587,'0.Productos'!AY$1+1,0),"")</f>
        <v/>
      </c>
      <c r="H153" s="133" t="str">
        <f>IF($A153&lt;&gt;0,VLOOKUP($A153,'0.Productos'!$A$3:$GG$587,'0.Productos'!AZ$1+1,0),"")</f>
        <v/>
      </c>
      <c r="I153" s="133" t="str">
        <f>IF($A153&lt;&gt;0,VLOOKUP($A153,'0.Productos'!$A$3:$GG$587,'0.Productos'!BA$1+1,0),"")</f>
        <v/>
      </c>
      <c r="J153" s="133" t="str">
        <f>IF($A153&lt;&gt;0,VLOOKUP($A153,'0.Productos'!$A$3:$GG$587,'0.Productos'!BB$1+1,0),"")</f>
        <v/>
      </c>
      <c r="K153" s="133" t="str">
        <f>IF($A153&lt;&gt;0,VLOOKUP($A153,'0.Productos'!$A$3:$GG$587,'0.Productos'!BC$1+1,0),"")</f>
        <v/>
      </c>
      <c r="L153" s="133" t="str">
        <f>IF($A153&lt;&gt;0,VLOOKUP($A153,'0.Productos'!$A$3:$GG$587,'0.Productos'!BD$1+1,0),"")</f>
        <v/>
      </c>
      <c r="M153" s="133" t="str">
        <f>IF($A153&lt;&gt;0,VLOOKUP($A153,'0.Productos'!$A$3:$GG$587,'0.Productos'!BE$1+1,0),"")</f>
        <v/>
      </c>
      <c r="N153" s="133" t="str">
        <f>IF($A153&lt;&gt;0,VLOOKUP($A153,'0.Productos'!$A$3:$GG$587,'0.Productos'!BF$1+1,0),"")</f>
        <v/>
      </c>
      <c r="O153" s="133" t="str">
        <f>IF($A153&lt;&gt;0,VLOOKUP($A153,'0.Productos'!$A$3:$GG$587,'0.Productos'!BG$1+1,0),"")</f>
        <v/>
      </c>
      <c r="P153" s="133" t="str">
        <f>IF($A153&lt;&gt;0,VLOOKUP($A153,'0.Productos'!$A$3:$GG$587,'0.Productos'!BH$1+1,0),"")</f>
        <v/>
      </c>
      <c r="Q153" s="133" t="str">
        <f>IF($A153&lt;&gt;0,VLOOKUP($A153,'0.Productos'!$A$3:$GG$587,'0.Productos'!BI$1+1,0),"")</f>
        <v/>
      </c>
      <c r="R153" s="133" t="str">
        <f>IF($A153&lt;&gt;0,VLOOKUP($A153,'0.Productos'!$A$3:$GG$587,'0.Productos'!BJ$1+1,0),"")</f>
        <v/>
      </c>
      <c r="S153" s="133" t="str">
        <f>IF($A153&lt;&gt;0,VLOOKUP($A153,'0.Productos'!$A$3:$GG$587,'0.Productos'!BK$1+1,0),"")</f>
        <v/>
      </c>
      <c r="T153" s="133" t="str">
        <f>IF($A153&lt;&gt;0,VLOOKUP($A153,'0.Productos'!$A$3:$GG$587,'0.Productos'!BL$1+1,0),"")</f>
        <v/>
      </c>
      <c r="U153" s="133" t="str">
        <f>IF($A153&lt;&gt;0,VLOOKUP($A153,'0.Productos'!$A$3:$GG$587,'0.Productos'!BM$1+1,0),"")</f>
        <v/>
      </c>
      <c r="V153" s="133" t="str">
        <f>IF($A153&lt;&gt;0,VLOOKUP($A153,'0.Productos'!$A$3:$GG$587,'0.Productos'!BN$1+1,0),"")</f>
        <v/>
      </c>
      <c r="W153" s="133" t="str">
        <f>IF($A153&lt;&gt;0,VLOOKUP($A153,'0.Productos'!$A$3:$GG$587,'0.Productos'!BO$1+1,0),"")</f>
        <v/>
      </c>
      <c r="X153" s="133" t="str">
        <f>IF($A153&lt;&gt;0,VLOOKUP($A153,'0.Productos'!$A$3:$GG$587,'0.Productos'!BP$1+1,0),"")</f>
        <v/>
      </c>
      <c r="Y153" s="133" t="str">
        <f>IF($A153&lt;&gt;0,VLOOKUP($A153,'0.Productos'!$A$3:$GG$587,'0.Productos'!BQ$1+1,0),"")</f>
        <v/>
      </c>
      <c r="Z153" s="133" t="str">
        <f>IF($A153&lt;&gt;0,VLOOKUP($A153,'0.Productos'!$A$3:$GG$587,'0.Productos'!BR$1+1,0),"")</f>
        <v/>
      </c>
      <c r="AA153" s="133" t="str">
        <f>IF($A153&lt;&gt;0,VLOOKUP($A153,'0.Productos'!$A$3:$GG$587,'0.Productos'!BS$1+1,0),"")</f>
        <v/>
      </c>
      <c r="AB153" s="133" t="str">
        <f>IF($A153&lt;&gt;0,VLOOKUP($A153,'0.Productos'!$A$3:$GG$587,'0.Productos'!BT$1+1,0),"")</f>
        <v/>
      </c>
      <c r="AC153" s="133" t="str">
        <f>IF($A153&lt;&gt;0,VLOOKUP($A153,'0.Productos'!$A$3:$GG$587,'0.Productos'!BU$1+1,0),"")</f>
        <v/>
      </c>
      <c r="AD153" s="133" t="str">
        <f>IF($A153&lt;&gt;0,VLOOKUP($A153,'0.Productos'!$A$3:$GG$587,'0.Productos'!BV$1+1,0),"")</f>
        <v/>
      </c>
      <c r="AE153" s="133" t="str">
        <f>IF($A153&lt;&gt;0,VLOOKUP($A153,'0.Productos'!$A$3:$GG$587,'0.Productos'!BW$1+1,0),"")</f>
        <v/>
      </c>
      <c r="AF153" s="133" t="str">
        <f>IF($A153&lt;&gt;0,VLOOKUP($A153,'0.Productos'!$A$3:$GG$587,'0.Productos'!BX$1+1,0),"")</f>
        <v/>
      </c>
      <c r="AG153" s="133" t="str">
        <f>IF($A153&lt;&gt;0,VLOOKUP($A153,'0.Productos'!$A$3:$GG$587,'0.Productos'!BY$1+1,0),"")</f>
        <v/>
      </c>
      <c r="AH153" s="133" t="str">
        <f>IF($A153&lt;&gt;0,VLOOKUP($A153,'0.Productos'!$A$3:$GG$587,'0.Productos'!BZ$1+1,0),"")</f>
        <v/>
      </c>
      <c r="AI153" s="133" t="str">
        <f>IF($A153&lt;&gt;0,VLOOKUP($A153,'0.Productos'!$A$3:$GG$587,'0.Productos'!CA$1+1,0),"")</f>
        <v/>
      </c>
      <c r="AJ153" s="133" t="str">
        <f>IF($A153&lt;&gt;0,VLOOKUP($A153,'0.Productos'!$A$3:$GG$587,'0.Productos'!CB$1+1,0),"")</f>
        <v/>
      </c>
      <c r="AK153" s="133" t="str">
        <f>IF($A153&lt;&gt;0,VLOOKUP($A153,'0.Productos'!$A$3:$GG$587,'0.Productos'!CC$1+1,0),"")</f>
        <v/>
      </c>
      <c r="AL153" s="133" t="str">
        <f>IF($A153&lt;&gt;0,VLOOKUP($A153,'0.Productos'!$A$3:$GG$587,'0.Productos'!CD$1+1,0),"")</f>
        <v/>
      </c>
      <c r="AM153" s="133" t="str">
        <f>IF($A153&lt;&gt;0,VLOOKUP($A153,'0.Productos'!$A$3:$GG$587,'0.Productos'!CE$1+1,0),"")</f>
        <v/>
      </c>
      <c r="AN153" s="133" t="str">
        <f>IF($A153&lt;&gt;0,VLOOKUP($A153,'0.Productos'!$A$3:$GG$587,'0.Productos'!CF$1+1,0),"")</f>
        <v/>
      </c>
      <c r="AO153" s="133" t="str">
        <f>IF($A153&lt;&gt;0,VLOOKUP($A153,'0.Productos'!$A$3:$GG$587,'0.Productos'!CG$1+1,0),"")</f>
        <v/>
      </c>
      <c r="AP153" s="133" t="str">
        <f>IF($A153&lt;&gt;0,VLOOKUP($A153,'0.Productos'!$A$3:$GG$587,'0.Productos'!CH$1+1,0),"")</f>
        <v/>
      </c>
      <c r="AQ153" s="133" t="str">
        <f>IF($A153&lt;&gt;0,VLOOKUP($A153,'0.Productos'!$A$3:$GG$587,'0.Productos'!CI$1+1,0),"")</f>
        <v/>
      </c>
      <c r="AR153" s="133" t="str">
        <f>IF($A153&lt;&gt;0,VLOOKUP($A153,'0.Productos'!$A$3:$GG$587,'0.Productos'!CJ$1+1,0),"")</f>
        <v/>
      </c>
      <c r="AS153" s="133" t="str">
        <f>IF($A153&lt;&gt;0,VLOOKUP($A153,'0.Productos'!$A$3:$GG$587,'0.Productos'!CK$1+1,0),"")</f>
        <v/>
      </c>
      <c r="AT153" s="133" t="str">
        <f>IF($A153&lt;&gt;0,VLOOKUP($A153,'0.Productos'!$A$3:$GG$587,'0.Productos'!CL$1+1,0),"")</f>
        <v/>
      </c>
      <c r="AU153" s="133" t="str">
        <f>IF($A153&lt;&gt;0,VLOOKUP($A153,'0.Productos'!$A$3:$GG$587,'0.Productos'!CM$1+1,0),"")</f>
        <v/>
      </c>
      <c r="AV153" s="133" t="str">
        <f>IF($A153&lt;&gt;0,VLOOKUP($A153,'0.Productos'!$A$3:$GG$587,'0.Productos'!CN$1+1,0),"")</f>
        <v/>
      </c>
      <c r="AW153" s="133" t="str">
        <f>IF($A153&lt;&gt;0,VLOOKUP($A153,'0.Productos'!$A$3:$GG$587,'0.Productos'!CO$1+1,0),"")</f>
        <v/>
      </c>
      <c r="AX153" s="133" t="str">
        <f>IF($A153&lt;&gt;0,VLOOKUP($A153,'0.Productos'!$A$3:$GG$587,'0.Productos'!CP$1+1,0),"")</f>
        <v/>
      </c>
      <c r="AY153" s="133" t="str">
        <f>IF($A153&lt;&gt;0,VLOOKUP($A153,'0.Productos'!$A$3:$GG$587,'0.Productos'!CQ$1+1,0),"")</f>
        <v/>
      </c>
      <c r="AZ153" s="133" t="str">
        <f>IF($A153&lt;&gt;0,VLOOKUP($A153,'0.Productos'!$A$3:$GG$587,'0.Productos'!CR$1+1,0),"")</f>
        <v/>
      </c>
      <c r="BA153" s="133" t="str">
        <f>IF($A153&lt;&gt;0,VLOOKUP($A153,'0.Productos'!$A$3:$GG$587,'0.Productos'!CS$1+1,0),"")</f>
        <v/>
      </c>
      <c r="BB153" s="133" t="str">
        <f>IF($A153&lt;&gt;0,VLOOKUP($A153,'0.Productos'!$A$3:$GG$587,'0.Productos'!CT$1+1,0),"")</f>
        <v/>
      </c>
      <c r="BC153" s="133" t="str">
        <f>IF($A153&lt;&gt;0,VLOOKUP($A153,'0.Productos'!$A$3:$GG$587,'0.Productos'!CU$1+1,0),"")</f>
        <v/>
      </c>
      <c r="BD153" s="133" t="str">
        <f>IF($A153&lt;&gt;0,VLOOKUP($A153,'0.Productos'!$A$3:$GG$587,'0.Productos'!CV$1+1,0),"")</f>
        <v/>
      </c>
      <c r="BE153" s="133" t="str">
        <f>IF($A153&lt;&gt;0,VLOOKUP($A153,'0.Productos'!$A$3:$GG$587,'0.Productos'!CW$1+1,0),"")</f>
        <v/>
      </c>
      <c r="BF153" s="133" t="str">
        <f>IF($A153&lt;&gt;0,VLOOKUP($A153,'0.Productos'!$A$3:$GG$587,'0.Productos'!CX$1+1,0),"")</f>
        <v/>
      </c>
      <c r="BG153" s="133" t="str">
        <f>IF($A153&lt;&gt;0,VLOOKUP($A153,'0.Productos'!$A$3:$GG$587,'0.Productos'!CY$1+1,0),"")</f>
        <v/>
      </c>
      <c r="BH153" s="133" t="str">
        <f>IF($A153&lt;&gt;0,VLOOKUP($A153,'0.Productos'!$A$3:$GG$587,'0.Productos'!CZ$1+1,0),"")</f>
        <v/>
      </c>
      <c r="BI153" s="133" t="str">
        <f>IF($A153&lt;&gt;0,VLOOKUP($A153,'0.Productos'!$A$3:$GG$587,'0.Productos'!DA$1+1,0),"")</f>
        <v/>
      </c>
      <c r="BJ153" s="133" t="str">
        <f>IF($A153&lt;&gt;0,VLOOKUP($A153,'0.Productos'!$A$3:$GG$587,'0.Productos'!DB$1+1,0),"")</f>
        <v/>
      </c>
      <c r="BK153" s="133" t="str">
        <f>IF($A153&lt;&gt;0,VLOOKUP($A153,'0.Productos'!$A$3:$GG$587,'0.Productos'!DC$1+1,0),"")</f>
        <v/>
      </c>
      <c r="BL153" s="133" t="str">
        <f>IF($A153&lt;&gt;0,VLOOKUP($A153,'0.Productos'!$A$3:$GG$587,'0.Productos'!DD$1+1,0),"")</f>
        <v/>
      </c>
      <c r="BM153" s="133" t="str">
        <f>IF($A153&lt;&gt;0,VLOOKUP($A153,'0.Productos'!$A$3:$GG$587,'0.Productos'!DE$1+1,0),"")</f>
        <v/>
      </c>
      <c r="BN153" s="133" t="str">
        <f>IF($A153&lt;&gt;0,VLOOKUP($A153,'0.Productos'!$A$3:$GG$587,'0.Productos'!DF$1+1,0),"")</f>
        <v/>
      </c>
      <c r="BO153" s="133" t="str">
        <f>IF($A153&lt;&gt;0,VLOOKUP($A153,'0.Productos'!$A$3:$GG$587,'0.Productos'!DG$1+1,0),"")</f>
        <v/>
      </c>
      <c r="BP153" s="133" t="str">
        <f>IF($A153&lt;&gt;0,VLOOKUP($A153,'0.Productos'!$A$3:$GG$587,'0.Productos'!DH$1+1,0),"")</f>
        <v/>
      </c>
      <c r="BQ153" s="133" t="str">
        <f>IF($A153&lt;&gt;0,VLOOKUP($A153,'0.Productos'!$A$3:$GG$587,'0.Productos'!DI$1+1,0),"")</f>
        <v/>
      </c>
      <c r="BR153" s="133" t="str">
        <f>IF($A153&lt;&gt;0,VLOOKUP($A153,'0.Productos'!$A$3:$GG$587,'0.Productos'!DJ$1+1,0),"")</f>
        <v/>
      </c>
      <c r="BS153" s="133" t="str">
        <f>IF($A153&lt;&gt;0,VLOOKUP($A153,'0.Productos'!$A$3:$GG$587,'0.Productos'!DK$1+1,0),"")</f>
        <v/>
      </c>
      <c r="BT153" s="133" t="str">
        <f>IF($A153&lt;&gt;0,VLOOKUP($A153,'0.Productos'!$A$3:$GG$587,'0.Productos'!DL$1+1,0),"")</f>
        <v/>
      </c>
    </row>
    <row r="154" spans="1:72" x14ac:dyDescent="0.25">
      <c r="A154" s="17">
        <f>'0.Consolidado general'!A154</f>
        <v>0</v>
      </c>
      <c r="B154" s="133" t="str">
        <f>IF($A154&lt;&gt;0,VLOOKUP($A154,'0.Productos'!$A$3:$GG$587,'0.Productos'!AT$1+1,0),"")</f>
        <v/>
      </c>
      <c r="C154" s="133" t="str">
        <f>IF($A154&lt;&gt;0,VLOOKUP($A154,'0.Productos'!$A$3:$GG$587,'0.Productos'!AU$1+1,0),"")</f>
        <v/>
      </c>
      <c r="D154" s="133" t="str">
        <f>IF($A154&lt;&gt;0,VLOOKUP($A154,'0.Productos'!$A$3:$GG$587,'0.Productos'!AV$1+1,0),"")</f>
        <v/>
      </c>
      <c r="E154" s="133" t="str">
        <f>IF($A154&lt;&gt;0,VLOOKUP($A154,'0.Productos'!$A$3:$GG$587,'0.Productos'!AW$1+1,0),"")</f>
        <v/>
      </c>
      <c r="F154" s="133" t="str">
        <f>IF($A154&lt;&gt;0,VLOOKUP($A154,'0.Productos'!$A$3:$GG$587,'0.Productos'!AX$1+1,0),"")</f>
        <v/>
      </c>
      <c r="G154" s="133" t="str">
        <f>IF($A154&lt;&gt;0,VLOOKUP($A154,'0.Productos'!$A$3:$GG$587,'0.Productos'!AY$1+1,0),"")</f>
        <v/>
      </c>
      <c r="H154" s="133" t="str">
        <f>IF($A154&lt;&gt;0,VLOOKUP($A154,'0.Productos'!$A$3:$GG$587,'0.Productos'!AZ$1+1,0),"")</f>
        <v/>
      </c>
      <c r="I154" s="133" t="str">
        <f>IF($A154&lt;&gt;0,VLOOKUP($A154,'0.Productos'!$A$3:$GG$587,'0.Productos'!BA$1+1,0),"")</f>
        <v/>
      </c>
      <c r="J154" s="133" t="str">
        <f>IF($A154&lt;&gt;0,VLOOKUP($A154,'0.Productos'!$A$3:$GG$587,'0.Productos'!BB$1+1,0),"")</f>
        <v/>
      </c>
      <c r="K154" s="133" t="str">
        <f>IF($A154&lt;&gt;0,VLOOKUP($A154,'0.Productos'!$A$3:$GG$587,'0.Productos'!BC$1+1,0),"")</f>
        <v/>
      </c>
      <c r="L154" s="133" t="str">
        <f>IF($A154&lt;&gt;0,VLOOKUP($A154,'0.Productos'!$A$3:$GG$587,'0.Productos'!BD$1+1,0),"")</f>
        <v/>
      </c>
      <c r="M154" s="133" t="str">
        <f>IF($A154&lt;&gt;0,VLOOKUP($A154,'0.Productos'!$A$3:$GG$587,'0.Productos'!BE$1+1,0),"")</f>
        <v/>
      </c>
      <c r="N154" s="133" t="str">
        <f>IF($A154&lt;&gt;0,VLOOKUP($A154,'0.Productos'!$A$3:$GG$587,'0.Productos'!BF$1+1,0),"")</f>
        <v/>
      </c>
      <c r="O154" s="133" t="str">
        <f>IF($A154&lt;&gt;0,VLOOKUP($A154,'0.Productos'!$A$3:$GG$587,'0.Productos'!BG$1+1,0),"")</f>
        <v/>
      </c>
      <c r="P154" s="133" t="str">
        <f>IF($A154&lt;&gt;0,VLOOKUP($A154,'0.Productos'!$A$3:$GG$587,'0.Productos'!BH$1+1,0),"")</f>
        <v/>
      </c>
      <c r="Q154" s="133" t="str">
        <f>IF($A154&lt;&gt;0,VLOOKUP($A154,'0.Productos'!$A$3:$GG$587,'0.Productos'!BI$1+1,0),"")</f>
        <v/>
      </c>
      <c r="R154" s="133" t="str">
        <f>IF($A154&lt;&gt;0,VLOOKUP($A154,'0.Productos'!$A$3:$GG$587,'0.Productos'!BJ$1+1,0),"")</f>
        <v/>
      </c>
      <c r="S154" s="133" t="str">
        <f>IF($A154&lt;&gt;0,VLOOKUP($A154,'0.Productos'!$A$3:$GG$587,'0.Productos'!BK$1+1,0),"")</f>
        <v/>
      </c>
      <c r="T154" s="133" t="str">
        <f>IF($A154&lt;&gt;0,VLOOKUP($A154,'0.Productos'!$A$3:$GG$587,'0.Productos'!BL$1+1,0),"")</f>
        <v/>
      </c>
      <c r="U154" s="133" t="str">
        <f>IF($A154&lt;&gt;0,VLOOKUP($A154,'0.Productos'!$A$3:$GG$587,'0.Productos'!BM$1+1,0),"")</f>
        <v/>
      </c>
      <c r="V154" s="133" t="str">
        <f>IF($A154&lt;&gt;0,VLOOKUP($A154,'0.Productos'!$A$3:$GG$587,'0.Productos'!BN$1+1,0),"")</f>
        <v/>
      </c>
      <c r="W154" s="133" t="str">
        <f>IF($A154&lt;&gt;0,VLOOKUP($A154,'0.Productos'!$A$3:$GG$587,'0.Productos'!BO$1+1,0),"")</f>
        <v/>
      </c>
      <c r="X154" s="133" t="str">
        <f>IF($A154&lt;&gt;0,VLOOKUP($A154,'0.Productos'!$A$3:$GG$587,'0.Productos'!BP$1+1,0),"")</f>
        <v/>
      </c>
      <c r="Y154" s="133" t="str">
        <f>IF($A154&lt;&gt;0,VLOOKUP($A154,'0.Productos'!$A$3:$GG$587,'0.Productos'!BQ$1+1,0),"")</f>
        <v/>
      </c>
      <c r="Z154" s="133" t="str">
        <f>IF($A154&lt;&gt;0,VLOOKUP($A154,'0.Productos'!$A$3:$GG$587,'0.Productos'!BR$1+1,0),"")</f>
        <v/>
      </c>
      <c r="AA154" s="133" t="str">
        <f>IF($A154&lt;&gt;0,VLOOKUP($A154,'0.Productos'!$A$3:$GG$587,'0.Productos'!BS$1+1,0),"")</f>
        <v/>
      </c>
      <c r="AB154" s="133" t="str">
        <f>IF($A154&lt;&gt;0,VLOOKUP($A154,'0.Productos'!$A$3:$GG$587,'0.Productos'!BT$1+1,0),"")</f>
        <v/>
      </c>
      <c r="AC154" s="133" t="str">
        <f>IF($A154&lt;&gt;0,VLOOKUP($A154,'0.Productos'!$A$3:$GG$587,'0.Productos'!BU$1+1,0),"")</f>
        <v/>
      </c>
      <c r="AD154" s="133" t="str">
        <f>IF($A154&lt;&gt;0,VLOOKUP($A154,'0.Productos'!$A$3:$GG$587,'0.Productos'!BV$1+1,0),"")</f>
        <v/>
      </c>
      <c r="AE154" s="133" t="str">
        <f>IF($A154&lt;&gt;0,VLOOKUP($A154,'0.Productos'!$A$3:$GG$587,'0.Productos'!BW$1+1,0),"")</f>
        <v/>
      </c>
      <c r="AF154" s="133" t="str">
        <f>IF($A154&lt;&gt;0,VLOOKUP($A154,'0.Productos'!$A$3:$GG$587,'0.Productos'!BX$1+1,0),"")</f>
        <v/>
      </c>
      <c r="AG154" s="133" t="str">
        <f>IF($A154&lt;&gt;0,VLOOKUP($A154,'0.Productos'!$A$3:$GG$587,'0.Productos'!BY$1+1,0),"")</f>
        <v/>
      </c>
      <c r="AH154" s="133" t="str">
        <f>IF($A154&lt;&gt;0,VLOOKUP($A154,'0.Productos'!$A$3:$GG$587,'0.Productos'!BZ$1+1,0),"")</f>
        <v/>
      </c>
      <c r="AI154" s="133" t="str">
        <f>IF($A154&lt;&gt;0,VLOOKUP($A154,'0.Productos'!$A$3:$GG$587,'0.Productos'!CA$1+1,0),"")</f>
        <v/>
      </c>
      <c r="AJ154" s="133" t="str">
        <f>IF($A154&lt;&gt;0,VLOOKUP($A154,'0.Productos'!$A$3:$GG$587,'0.Productos'!CB$1+1,0),"")</f>
        <v/>
      </c>
      <c r="AK154" s="133" t="str">
        <f>IF($A154&lt;&gt;0,VLOOKUP($A154,'0.Productos'!$A$3:$GG$587,'0.Productos'!CC$1+1,0),"")</f>
        <v/>
      </c>
      <c r="AL154" s="133" t="str">
        <f>IF($A154&lt;&gt;0,VLOOKUP($A154,'0.Productos'!$A$3:$GG$587,'0.Productos'!CD$1+1,0),"")</f>
        <v/>
      </c>
      <c r="AM154" s="133" t="str">
        <f>IF($A154&lt;&gt;0,VLOOKUP($A154,'0.Productos'!$A$3:$GG$587,'0.Productos'!CE$1+1,0),"")</f>
        <v/>
      </c>
      <c r="AN154" s="133" t="str">
        <f>IF($A154&lt;&gt;0,VLOOKUP($A154,'0.Productos'!$A$3:$GG$587,'0.Productos'!CF$1+1,0),"")</f>
        <v/>
      </c>
      <c r="AO154" s="133" t="str">
        <f>IF($A154&lt;&gt;0,VLOOKUP($A154,'0.Productos'!$A$3:$GG$587,'0.Productos'!CG$1+1,0),"")</f>
        <v/>
      </c>
      <c r="AP154" s="133" t="str">
        <f>IF($A154&lt;&gt;0,VLOOKUP($A154,'0.Productos'!$A$3:$GG$587,'0.Productos'!CH$1+1,0),"")</f>
        <v/>
      </c>
      <c r="AQ154" s="133" t="str">
        <f>IF($A154&lt;&gt;0,VLOOKUP($A154,'0.Productos'!$A$3:$GG$587,'0.Productos'!CI$1+1,0),"")</f>
        <v/>
      </c>
      <c r="AR154" s="133" t="str">
        <f>IF($A154&lt;&gt;0,VLOOKUP($A154,'0.Productos'!$A$3:$GG$587,'0.Productos'!CJ$1+1,0),"")</f>
        <v/>
      </c>
      <c r="AS154" s="133" t="str">
        <f>IF($A154&lt;&gt;0,VLOOKUP($A154,'0.Productos'!$A$3:$GG$587,'0.Productos'!CK$1+1,0),"")</f>
        <v/>
      </c>
      <c r="AT154" s="133" t="str">
        <f>IF($A154&lt;&gt;0,VLOOKUP($A154,'0.Productos'!$A$3:$GG$587,'0.Productos'!CL$1+1,0),"")</f>
        <v/>
      </c>
      <c r="AU154" s="133" t="str">
        <f>IF($A154&lt;&gt;0,VLOOKUP($A154,'0.Productos'!$A$3:$GG$587,'0.Productos'!CM$1+1,0),"")</f>
        <v/>
      </c>
      <c r="AV154" s="133" t="str">
        <f>IF($A154&lt;&gt;0,VLOOKUP($A154,'0.Productos'!$A$3:$GG$587,'0.Productos'!CN$1+1,0),"")</f>
        <v/>
      </c>
      <c r="AW154" s="133" t="str">
        <f>IF($A154&lt;&gt;0,VLOOKUP($A154,'0.Productos'!$A$3:$GG$587,'0.Productos'!CO$1+1,0),"")</f>
        <v/>
      </c>
      <c r="AX154" s="133" t="str">
        <f>IF($A154&lt;&gt;0,VLOOKUP($A154,'0.Productos'!$A$3:$GG$587,'0.Productos'!CP$1+1,0),"")</f>
        <v/>
      </c>
      <c r="AY154" s="133" t="str">
        <f>IF($A154&lt;&gt;0,VLOOKUP($A154,'0.Productos'!$A$3:$GG$587,'0.Productos'!CQ$1+1,0),"")</f>
        <v/>
      </c>
      <c r="AZ154" s="133" t="str">
        <f>IF($A154&lt;&gt;0,VLOOKUP($A154,'0.Productos'!$A$3:$GG$587,'0.Productos'!CR$1+1,0),"")</f>
        <v/>
      </c>
      <c r="BA154" s="133" t="str">
        <f>IF($A154&lt;&gt;0,VLOOKUP($A154,'0.Productos'!$A$3:$GG$587,'0.Productos'!CS$1+1,0),"")</f>
        <v/>
      </c>
      <c r="BB154" s="133" t="str">
        <f>IF($A154&lt;&gt;0,VLOOKUP($A154,'0.Productos'!$A$3:$GG$587,'0.Productos'!CT$1+1,0),"")</f>
        <v/>
      </c>
      <c r="BC154" s="133" t="str">
        <f>IF($A154&lt;&gt;0,VLOOKUP($A154,'0.Productos'!$A$3:$GG$587,'0.Productos'!CU$1+1,0),"")</f>
        <v/>
      </c>
      <c r="BD154" s="133" t="str">
        <f>IF($A154&lt;&gt;0,VLOOKUP($A154,'0.Productos'!$A$3:$GG$587,'0.Productos'!CV$1+1,0),"")</f>
        <v/>
      </c>
      <c r="BE154" s="133" t="str">
        <f>IF($A154&lt;&gt;0,VLOOKUP($A154,'0.Productos'!$A$3:$GG$587,'0.Productos'!CW$1+1,0),"")</f>
        <v/>
      </c>
      <c r="BF154" s="133" t="str">
        <f>IF($A154&lt;&gt;0,VLOOKUP($A154,'0.Productos'!$A$3:$GG$587,'0.Productos'!CX$1+1,0),"")</f>
        <v/>
      </c>
      <c r="BG154" s="133" t="str">
        <f>IF($A154&lt;&gt;0,VLOOKUP($A154,'0.Productos'!$A$3:$GG$587,'0.Productos'!CY$1+1,0),"")</f>
        <v/>
      </c>
      <c r="BH154" s="133" t="str">
        <f>IF($A154&lt;&gt;0,VLOOKUP($A154,'0.Productos'!$A$3:$GG$587,'0.Productos'!CZ$1+1,0),"")</f>
        <v/>
      </c>
      <c r="BI154" s="133" t="str">
        <f>IF($A154&lt;&gt;0,VLOOKUP($A154,'0.Productos'!$A$3:$GG$587,'0.Productos'!DA$1+1,0),"")</f>
        <v/>
      </c>
      <c r="BJ154" s="133" t="str">
        <f>IF($A154&lt;&gt;0,VLOOKUP($A154,'0.Productos'!$A$3:$GG$587,'0.Productos'!DB$1+1,0),"")</f>
        <v/>
      </c>
      <c r="BK154" s="133" t="str">
        <f>IF($A154&lt;&gt;0,VLOOKUP($A154,'0.Productos'!$A$3:$GG$587,'0.Productos'!DC$1+1,0),"")</f>
        <v/>
      </c>
      <c r="BL154" s="133" t="str">
        <f>IF($A154&lt;&gt;0,VLOOKUP($A154,'0.Productos'!$A$3:$GG$587,'0.Productos'!DD$1+1,0),"")</f>
        <v/>
      </c>
      <c r="BM154" s="133" t="str">
        <f>IF($A154&lt;&gt;0,VLOOKUP($A154,'0.Productos'!$A$3:$GG$587,'0.Productos'!DE$1+1,0),"")</f>
        <v/>
      </c>
      <c r="BN154" s="133" t="str">
        <f>IF($A154&lt;&gt;0,VLOOKUP($A154,'0.Productos'!$A$3:$GG$587,'0.Productos'!DF$1+1,0),"")</f>
        <v/>
      </c>
      <c r="BO154" s="133" t="str">
        <f>IF($A154&lt;&gt;0,VLOOKUP($A154,'0.Productos'!$A$3:$GG$587,'0.Productos'!DG$1+1,0),"")</f>
        <v/>
      </c>
      <c r="BP154" s="133" t="str">
        <f>IF($A154&lt;&gt;0,VLOOKUP($A154,'0.Productos'!$A$3:$GG$587,'0.Productos'!DH$1+1,0),"")</f>
        <v/>
      </c>
      <c r="BQ154" s="133" t="str">
        <f>IF($A154&lt;&gt;0,VLOOKUP($A154,'0.Productos'!$A$3:$GG$587,'0.Productos'!DI$1+1,0),"")</f>
        <v/>
      </c>
      <c r="BR154" s="133" t="str">
        <f>IF($A154&lt;&gt;0,VLOOKUP($A154,'0.Productos'!$A$3:$GG$587,'0.Productos'!DJ$1+1,0),"")</f>
        <v/>
      </c>
      <c r="BS154" s="133" t="str">
        <f>IF($A154&lt;&gt;0,VLOOKUP($A154,'0.Productos'!$A$3:$GG$587,'0.Productos'!DK$1+1,0),"")</f>
        <v/>
      </c>
      <c r="BT154" s="133" t="str">
        <f>IF($A154&lt;&gt;0,VLOOKUP($A154,'0.Productos'!$A$3:$GG$587,'0.Productos'!DL$1+1,0),"")</f>
        <v/>
      </c>
    </row>
    <row r="155" spans="1:72" x14ac:dyDescent="0.25">
      <c r="A155" s="17">
        <f>'0.Consolidado general'!A155</f>
        <v>0</v>
      </c>
      <c r="B155" s="133" t="str">
        <f>IF($A155&lt;&gt;0,VLOOKUP($A155,'0.Productos'!$A$3:$GG$587,'0.Productos'!AT$1+1,0),"")</f>
        <v/>
      </c>
      <c r="C155" s="133" t="str">
        <f>IF($A155&lt;&gt;0,VLOOKUP($A155,'0.Productos'!$A$3:$GG$587,'0.Productos'!AU$1+1,0),"")</f>
        <v/>
      </c>
      <c r="D155" s="133" t="str">
        <f>IF($A155&lt;&gt;0,VLOOKUP($A155,'0.Productos'!$A$3:$GG$587,'0.Productos'!AV$1+1,0),"")</f>
        <v/>
      </c>
      <c r="E155" s="133" t="str">
        <f>IF($A155&lt;&gt;0,VLOOKUP($A155,'0.Productos'!$A$3:$GG$587,'0.Productos'!AW$1+1,0),"")</f>
        <v/>
      </c>
      <c r="F155" s="133" t="str">
        <f>IF($A155&lt;&gt;0,VLOOKUP($A155,'0.Productos'!$A$3:$GG$587,'0.Productos'!AX$1+1,0),"")</f>
        <v/>
      </c>
      <c r="G155" s="133" t="str">
        <f>IF($A155&lt;&gt;0,VLOOKUP($A155,'0.Productos'!$A$3:$GG$587,'0.Productos'!AY$1+1,0),"")</f>
        <v/>
      </c>
      <c r="H155" s="133" t="str">
        <f>IF($A155&lt;&gt;0,VLOOKUP($A155,'0.Productos'!$A$3:$GG$587,'0.Productos'!AZ$1+1,0),"")</f>
        <v/>
      </c>
      <c r="I155" s="133" t="str">
        <f>IF($A155&lt;&gt;0,VLOOKUP($A155,'0.Productos'!$A$3:$GG$587,'0.Productos'!BA$1+1,0),"")</f>
        <v/>
      </c>
      <c r="J155" s="133" t="str">
        <f>IF($A155&lt;&gt;0,VLOOKUP($A155,'0.Productos'!$A$3:$GG$587,'0.Productos'!BB$1+1,0),"")</f>
        <v/>
      </c>
      <c r="K155" s="133" t="str">
        <f>IF($A155&lt;&gt;0,VLOOKUP($A155,'0.Productos'!$A$3:$GG$587,'0.Productos'!BC$1+1,0),"")</f>
        <v/>
      </c>
      <c r="L155" s="133" t="str">
        <f>IF($A155&lt;&gt;0,VLOOKUP($A155,'0.Productos'!$A$3:$GG$587,'0.Productos'!BD$1+1,0),"")</f>
        <v/>
      </c>
      <c r="M155" s="133" t="str">
        <f>IF($A155&lt;&gt;0,VLOOKUP($A155,'0.Productos'!$A$3:$GG$587,'0.Productos'!BE$1+1,0),"")</f>
        <v/>
      </c>
      <c r="N155" s="133" t="str">
        <f>IF($A155&lt;&gt;0,VLOOKUP($A155,'0.Productos'!$A$3:$GG$587,'0.Productos'!BF$1+1,0),"")</f>
        <v/>
      </c>
      <c r="O155" s="133" t="str">
        <f>IF($A155&lt;&gt;0,VLOOKUP($A155,'0.Productos'!$A$3:$GG$587,'0.Productos'!BG$1+1,0),"")</f>
        <v/>
      </c>
      <c r="P155" s="133" t="str">
        <f>IF($A155&lt;&gt;0,VLOOKUP($A155,'0.Productos'!$A$3:$GG$587,'0.Productos'!BH$1+1,0),"")</f>
        <v/>
      </c>
      <c r="Q155" s="133" t="str">
        <f>IF($A155&lt;&gt;0,VLOOKUP($A155,'0.Productos'!$A$3:$GG$587,'0.Productos'!BI$1+1,0),"")</f>
        <v/>
      </c>
      <c r="R155" s="133" t="str">
        <f>IF($A155&lt;&gt;0,VLOOKUP($A155,'0.Productos'!$A$3:$GG$587,'0.Productos'!BJ$1+1,0),"")</f>
        <v/>
      </c>
      <c r="S155" s="133" t="str">
        <f>IF($A155&lt;&gt;0,VLOOKUP($A155,'0.Productos'!$A$3:$GG$587,'0.Productos'!BK$1+1,0),"")</f>
        <v/>
      </c>
      <c r="T155" s="133" t="str">
        <f>IF($A155&lt;&gt;0,VLOOKUP($A155,'0.Productos'!$A$3:$GG$587,'0.Productos'!BL$1+1,0),"")</f>
        <v/>
      </c>
      <c r="U155" s="133" t="str">
        <f>IF($A155&lt;&gt;0,VLOOKUP($A155,'0.Productos'!$A$3:$GG$587,'0.Productos'!BM$1+1,0),"")</f>
        <v/>
      </c>
      <c r="V155" s="133" t="str">
        <f>IF($A155&lt;&gt;0,VLOOKUP($A155,'0.Productos'!$A$3:$GG$587,'0.Productos'!BN$1+1,0),"")</f>
        <v/>
      </c>
      <c r="W155" s="133" t="str">
        <f>IF($A155&lt;&gt;0,VLOOKUP($A155,'0.Productos'!$A$3:$GG$587,'0.Productos'!BO$1+1,0),"")</f>
        <v/>
      </c>
      <c r="X155" s="133" t="str">
        <f>IF($A155&lt;&gt;0,VLOOKUP($A155,'0.Productos'!$A$3:$GG$587,'0.Productos'!BP$1+1,0),"")</f>
        <v/>
      </c>
      <c r="Y155" s="133" t="str">
        <f>IF($A155&lt;&gt;0,VLOOKUP($A155,'0.Productos'!$A$3:$GG$587,'0.Productos'!BQ$1+1,0),"")</f>
        <v/>
      </c>
      <c r="Z155" s="133" t="str">
        <f>IF($A155&lt;&gt;0,VLOOKUP($A155,'0.Productos'!$A$3:$GG$587,'0.Productos'!BR$1+1,0),"")</f>
        <v/>
      </c>
      <c r="AA155" s="133" t="str">
        <f>IF($A155&lt;&gt;0,VLOOKUP($A155,'0.Productos'!$A$3:$GG$587,'0.Productos'!BS$1+1,0),"")</f>
        <v/>
      </c>
      <c r="AB155" s="133" t="str">
        <f>IF($A155&lt;&gt;0,VLOOKUP($A155,'0.Productos'!$A$3:$GG$587,'0.Productos'!BT$1+1,0),"")</f>
        <v/>
      </c>
      <c r="AC155" s="133" t="str">
        <f>IF($A155&lt;&gt;0,VLOOKUP($A155,'0.Productos'!$A$3:$GG$587,'0.Productos'!BU$1+1,0),"")</f>
        <v/>
      </c>
      <c r="AD155" s="133" t="str">
        <f>IF($A155&lt;&gt;0,VLOOKUP($A155,'0.Productos'!$A$3:$GG$587,'0.Productos'!BV$1+1,0),"")</f>
        <v/>
      </c>
      <c r="AE155" s="133" t="str">
        <f>IF($A155&lt;&gt;0,VLOOKUP($A155,'0.Productos'!$A$3:$GG$587,'0.Productos'!BW$1+1,0),"")</f>
        <v/>
      </c>
      <c r="AF155" s="133" t="str">
        <f>IF($A155&lt;&gt;0,VLOOKUP($A155,'0.Productos'!$A$3:$GG$587,'0.Productos'!BX$1+1,0),"")</f>
        <v/>
      </c>
      <c r="AG155" s="133" t="str">
        <f>IF($A155&lt;&gt;0,VLOOKUP($A155,'0.Productos'!$A$3:$GG$587,'0.Productos'!BY$1+1,0),"")</f>
        <v/>
      </c>
      <c r="AH155" s="133" t="str">
        <f>IF($A155&lt;&gt;0,VLOOKUP($A155,'0.Productos'!$A$3:$GG$587,'0.Productos'!BZ$1+1,0),"")</f>
        <v/>
      </c>
      <c r="AI155" s="133" t="str">
        <f>IF($A155&lt;&gt;0,VLOOKUP($A155,'0.Productos'!$A$3:$GG$587,'0.Productos'!CA$1+1,0),"")</f>
        <v/>
      </c>
      <c r="AJ155" s="133" t="str">
        <f>IF($A155&lt;&gt;0,VLOOKUP($A155,'0.Productos'!$A$3:$GG$587,'0.Productos'!CB$1+1,0),"")</f>
        <v/>
      </c>
      <c r="AK155" s="133" t="str">
        <f>IF($A155&lt;&gt;0,VLOOKUP($A155,'0.Productos'!$A$3:$GG$587,'0.Productos'!CC$1+1,0),"")</f>
        <v/>
      </c>
      <c r="AL155" s="133" t="str">
        <f>IF($A155&lt;&gt;0,VLOOKUP($A155,'0.Productos'!$A$3:$GG$587,'0.Productos'!CD$1+1,0),"")</f>
        <v/>
      </c>
      <c r="AM155" s="133" t="str">
        <f>IF($A155&lt;&gt;0,VLOOKUP($A155,'0.Productos'!$A$3:$GG$587,'0.Productos'!CE$1+1,0),"")</f>
        <v/>
      </c>
      <c r="AN155" s="133" t="str">
        <f>IF($A155&lt;&gt;0,VLOOKUP($A155,'0.Productos'!$A$3:$GG$587,'0.Productos'!CF$1+1,0),"")</f>
        <v/>
      </c>
      <c r="AO155" s="133" t="str">
        <f>IF($A155&lt;&gt;0,VLOOKUP($A155,'0.Productos'!$A$3:$GG$587,'0.Productos'!CG$1+1,0),"")</f>
        <v/>
      </c>
      <c r="AP155" s="133" t="str">
        <f>IF($A155&lt;&gt;0,VLOOKUP($A155,'0.Productos'!$A$3:$GG$587,'0.Productos'!CH$1+1,0),"")</f>
        <v/>
      </c>
      <c r="AQ155" s="133" t="str">
        <f>IF($A155&lt;&gt;0,VLOOKUP($A155,'0.Productos'!$A$3:$GG$587,'0.Productos'!CI$1+1,0),"")</f>
        <v/>
      </c>
      <c r="AR155" s="133" t="str">
        <f>IF($A155&lt;&gt;0,VLOOKUP($A155,'0.Productos'!$A$3:$GG$587,'0.Productos'!CJ$1+1,0),"")</f>
        <v/>
      </c>
      <c r="AS155" s="133" t="str">
        <f>IF($A155&lt;&gt;0,VLOOKUP($A155,'0.Productos'!$A$3:$GG$587,'0.Productos'!CK$1+1,0),"")</f>
        <v/>
      </c>
      <c r="AT155" s="133" t="str">
        <f>IF($A155&lt;&gt;0,VLOOKUP($A155,'0.Productos'!$A$3:$GG$587,'0.Productos'!CL$1+1,0),"")</f>
        <v/>
      </c>
      <c r="AU155" s="133" t="str">
        <f>IF($A155&lt;&gt;0,VLOOKUP($A155,'0.Productos'!$A$3:$GG$587,'0.Productos'!CM$1+1,0),"")</f>
        <v/>
      </c>
      <c r="AV155" s="133" t="str">
        <f>IF($A155&lt;&gt;0,VLOOKUP($A155,'0.Productos'!$A$3:$GG$587,'0.Productos'!CN$1+1,0),"")</f>
        <v/>
      </c>
      <c r="AW155" s="133" t="str">
        <f>IF($A155&lt;&gt;0,VLOOKUP($A155,'0.Productos'!$A$3:$GG$587,'0.Productos'!CO$1+1,0),"")</f>
        <v/>
      </c>
      <c r="AX155" s="133" t="str">
        <f>IF($A155&lt;&gt;0,VLOOKUP($A155,'0.Productos'!$A$3:$GG$587,'0.Productos'!CP$1+1,0),"")</f>
        <v/>
      </c>
      <c r="AY155" s="133" t="str">
        <f>IF($A155&lt;&gt;0,VLOOKUP($A155,'0.Productos'!$A$3:$GG$587,'0.Productos'!CQ$1+1,0),"")</f>
        <v/>
      </c>
      <c r="AZ155" s="133" t="str">
        <f>IF($A155&lt;&gt;0,VLOOKUP($A155,'0.Productos'!$A$3:$GG$587,'0.Productos'!CR$1+1,0),"")</f>
        <v/>
      </c>
      <c r="BA155" s="133" t="str">
        <f>IF($A155&lt;&gt;0,VLOOKUP($A155,'0.Productos'!$A$3:$GG$587,'0.Productos'!CS$1+1,0),"")</f>
        <v/>
      </c>
      <c r="BB155" s="133" t="str">
        <f>IF($A155&lt;&gt;0,VLOOKUP($A155,'0.Productos'!$A$3:$GG$587,'0.Productos'!CT$1+1,0),"")</f>
        <v/>
      </c>
      <c r="BC155" s="133" t="str">
        <f>IF($A155&lt;&gt;0,VLOOKUP($A155,'0.Productos'!$A$3:$GG$587,'0.Productos'!CU$1+1,0),"")</f>
        <v/>
      </c>
      <c r="BD155" s="133" t="str">
        <f>IF($A155&lt;&gt;0,VLOOKUP($A155,'0.Productos'!$A$3:$GG$587,'0.Productos'!CV$1+1,0),"")</f>
        <v/>
      </c>
      <c r="BE155" s="133" t="str">
        <f>IF($A155&lt;&gt;0,VLOOKUP($A155,'0.Productos'!$A$3:$GG$587,'0.Productos'!CW$1+1,0),"")</f>
        <v/>
      </c>
      <c r="BF155" s="133" t="str">
        <f>IF($A155&lt;&gt;0,VLOOKUP($A155,'0.Productos'!$A$3:$GG$587,'0.Productos'!CX$1+1,0),"")</f>
        <v/>
      </c>
      <c r="BG155" s="133" t="str">
        <f>IF($A155&lt;&gt;0,VLOOKUP($A155,'0.Productos'!$A$3:$GG$587,'0.Productos'!CY$1+1,0),"")</f>
        <v/>
      </c>
      <c r="BH155" s="133" t="str">
        <f>IF($A155&lt;&gt;0,VLOOKUP($A155,'0.Productos'!$A$3:$GG$587,'0.Productos'!CZ$1+1,0),"")</f>
        <v/>
      </c>
      <c r="BI155" s="133" t="str">
        <f>IF($A155&lt;&gt;0,VLOOKUP($A155,'0.Productos'!$A$3:$GG$587,'0.Productos'!DA$1+1,0),"")</f>
        <v/>
      </c>
      <c r="BJ155" s="133" t="str">
        <f>IF($A155&lt;&gt;0,VLOOKUP($A155,'0.Productos'!$A$3:$GG$587,'0.Productos'!DB$1+1,0),"")</f>
        <v/>
      </c>
      <c r="BK155" s="133" t="str">
        <f>IF($A155&lt;&gt;0,VLOOKUP($A155,'0.Productos'!$A$3:$GG$587,'0.Productos'!DC$1+1,0),"")</f>
        <v/>
      </c>
      <c r="BL155" s="133" t="str">
        <f>IF($A155&lt;&gt;0,VLOOKUP($A155,'0.Productos'!$A$3:$GG$587,'0.Productos'!DD$1+1,0),"")</f>
        <v/>
      </c>
      <c r="BM155" s="133" t="str">
        <f>IF($A155&lt;&gt;0,VLOOKUP($A155,'0.Productos'!$A$3:$GG$587,'0.Productos'!DE$1+1,0),"")</f>
        <v/>
      </c>
      <c r="BN155" s="133" t="str">
        <f>IF($A155&lt;&gt;0,VLOOKUP($A155,'0.Productos'!$A$3:$GG$587,'0.Productos'!DF$1+1,0),"")</f>
        <v/>
      </c>
      <c r="BO155" s="133" t="str">
        <f>IF($A155&lt;&gt;0,VLOOKUP($A155,'0.Productos'!$A$3:$GG$587,'0.Productos'!DG$1+1,0),"")</f>
        <v/>
      </c>
      <c r="BP155" s="133" t="str">
        <f>IF($A155&lt;&gt;0,VLOOKUP($A155,'0.Productos'!$A$3:$GG$587,'0.Productos'!DH$1+1,0),"")</f>
        <v/>
      </c>
      <c r="BQ155" s="133" t="str">
        <f>IF($A155&lt;&gt;0,VLOOKUP($A155,'0.Productos'!$A$3:$GG$587,'0.Productos'!DI$1+1,0),"")</f>
        <v/>
      </c>
      <c r="BR155" s="133" t="str">
        <f>IF($A155&lt;&gt;0,VLOOKUP($A155,'0.Productos'!$A$3:$GG$587,'0.Productos'!DJ$1+1,0),"")</f>
        <v/>
      </c>
      <c r="BS155" s="133" t="str">
        <f>IF($A155&lt;&gt;0,VLOOKUP($A155,'0.Productos'!$A$3:$GG$587,'0.Productos'!DK$1+1,0),"")</f>
        <v/>
      </c>
      <c r="BT155" s="133" t="str">
        <f>IF($A155&lt;&gt;0,VLOOKUP($A155,'0.Productos'!$A$3:$GG$587,'0.Productos'!DL$1+1,0),"")</f>
        <v/>
      </c>
    </row>
    <row r="156" spans="1:72" x14ac:dyDescent="0.25">
      <c r="A156" s="17">
        <f>'0.Consolidado general'!A156</f>
        <v>0</v>
      </c>
      <c r="B156" s="133" t="str">
        <f>IF($A156&lt;&gt;0,VLOOKUP($A156,'0.Productos'!$A$3:$GG$587,'0.Productos'!AT$1+1,0),"")</f>
        <v/>
      </c>
      <c r="C156" s="133" t="str">
        <f>IF($A156&lt;&gt;0,VLOOKUP($A156,'0.Productos'!$A$3:$GG$587,'0.Productos'!AU$1+1,0),"")</f>
        <v/>
      </c>
      <c r="D156" s="133" t="str">
        <f>IF($A156&lt;&gt;0,VLOOKUP($A156,'0.Productos'!$A$3:$GG$587,'0.Productos'!AV$1+1,0),"")</f>
        <v/>
      </c>
      <c r="E156" s="133" t="str">
        <f>IF($A156&lt;&gt;0,VLOOKUP($A156,'0.Productos'!$A$3:$GG$587,'0.Productos'!AW$1+1,0),"")</f>
        <v/>
      </c>
      <c r="F156" s="133" t="str">
        <f>IF($A156&lt;&gt;0,VLOOKUP($A156,'0.Productos'!$A$3:$GG$587,'0.Productos'!AX$1+1,0),"")</f>
        <v/>
      </c>
      <c r="G156" s="133" t="str">
        <f>IF($A156&lt;&gt;0,VLOOKUP($A156,'0.Productos'!$A$3:$GG$587,'0.Productos'!AY$1+1,0),"")</f>
        <v/>
      </c>
      <c r="H156" s="133" t="str">
        <f>IF($A156&lt;&gt;0,VLOOKUP($A156,'0.Productos'!$A$3:$GG$587,'0.Productos'!AZ$1+1,0),"")</f>
        <v/>
      </c>
      <c r="I156" s="133" t="str">
        <f>IF($A156&lt;&gt;0,VLOOKUP($A156,'0.Productos'!$A$3:$GG$587,'0.Productos'!BA$1+1,0),"")</f>
        <v/>
      </c>
      <c r="J156" s="133" t="str">
        <f>IF($A156&lt;&gt;0,VLOOKUP($A156,'0.Productos'!$A$3:$GG$587,'0.Productos'!BB$1+1,0),"")</f>
        <v/>
      </c>
      <c r="K156" s="133" t="str">
        <f>IF($A156&lt;&gt;0,VLOOKUP($A156,'0.Productos'!$A$3:$GG$587,'0.Productos'!BC$1+1,0),"")</f>
        <v/>
      </c>
      <c r="L156" s="133" t="str">
        <f>IF($A156&lt;&gt;0,VLOOKUP($A156,'0.Productos'!$A$3:$GG$587,'0.Productos'!BD$1+1,0),"")</f>
        <v/>
      </c>
      <c r="M156" s="133" t="str">
        <f>IF($A156&lt;&gt;0,VLOOKUP($A156,'0.Productos'!$A$3:$GG$587,'0.Productos'!BE$1+1,0),"")</f>
        <v/>
      </c>
      <c r="N156" s="133" t="str">
        <f>IF($A156&lt;&gt;0,VLOOKUP($A156,'0.Productos'!$A$3:$GG$587,'0.Productos'!BF$1+1,0),"")</f>
        <v/>
      </c>
      <c r="O156" s="133" t="str">
        <f>IF($A156&lt;&gt;0,VLOOKUP($A156,'0.Productos'!$A$3:$GG$587,'0.Productos'!BG$1+1,0),"")</f>
        <v/>
      </c>
      <c r="P156" s="133" t="str">
        <f>IF($A156&lt;&gt;0,VLOOKUP($A156,'0.Productos'!$A$3:$GG$587,'0.Productos'!BH$1+1,0),"")</f>
        <v/>
      </c>
      <c r="Q156" s="133" t="str">
        <f>IF($A156&lt;&gt;0,VLOOKUP($A156,'0.Productos'!$A$3:$GG$587,'0.Productos'!BI$1+1,0),"")</f>
        <v/>
      </c>
      <c r="R156" s="133" t="str">
        <f>IF($A156&lt;&gt;0,VLOOKUP($A156,'0.Productos'!$A$3:$GG$587,'0.Productos'!BJ$1+1,0),"")</f>
        <v/>
      </c>
      <c r="S156" s="133" t="str">
        <f>IF($A156&lt;&gt;0,VLOOKUP($A156,'0.Productos'!$A$3:$GG$587,'0.Productos'!BK$1+1,0),"")</f>
        <v/>
      </c>
      <c r="T156" s="133" t="str">
        <f>IF($A156&lt;&gt;0,VLOOKUP($A156,'0.Productos'!$A$3:$GG$587,'0.Productos'!BL$1+1,0),"")</f>
        <v/>
      </c>
      <c r="U156" s="133" t="str">
        <f>IF($A156&lt;&gt;0,VLOOKUP($A156,'0.Productos'!$A$3:$GG$587,'0.Productos'!BM$1+1,0),"")</f>
        <v/>
      </c>
      <c r="V156" s="133" t="str">
        <f>IF($A156&lt;&gt;0,VLOOKUP($A156,'0.Productos'!$A$3:$GG$587,'0.Productos'!BN$1+1,0),"")</f>
        <v/>
      </c>
      <c r="W156" s="133" t="str">
        <f>IF($A156&lt;&gt;0,VLOOKUP($A156,'0.Productos'!$A$3:$GG$587,'0.Productos'!BO$1+1,0),"")</f>
        <v/>
      </c>
      <c r="X156" s="133" t="str">
        <f>IF($A156&lt;&gt;0,VLOOKUP($A156,'0.Productos'!$A$3:$GG$587,'0.Productos'!BP$1+1,0),"")</f>
        <v/>
      </c>
      <c r="Y156" s="133" t="str">
        <f>IF($A156&lt;&gt;0,VLOOKUP($A156,'0.Productos'!$A$3:$GG$587,'0.Productos'!BQ$1+1,0),"")</f>
        <v/>
      </c>
      <c r="Z156" s="133" t="str">
        <f>IF($A156&lt;&gt;0,VLOOKUP($A156,'0.Productos'!$A$3:$GG$587,'0.Productos'!BR$1+1,0),"")</f>
        <v/>
      </c>
      <c r="AA156" s="133" t="str">
        <f>IF($A156&lt;&gt;0,VLOOKUP($A156,'0.Productos'!$A$3:$GG$587,'0.Productos'!BS$1+1,0),"")</f>
        <v/>
      </c>
      <c r="AB156" s="133" t="str">
        <f>IF($A156&lt;&gt;0,VLOOKUP($A156,'0.Productos'!$A$3:$GG$587,'0.Productos'!BT$1+1,0),"")</f>
        <v/>
      </c>
      <c r="AC156" s="133" t="str">
        <f>IF($A156&lt;&gt;0,VLOOKUP($A156,'0.Productos'!$A$3:$GG$587,'0.Productos'!BU$1+1,0),"")</f>
        <v/>
      </c>
      <c r="AD156" s="133" t="str">
        <f>IF($A156&lt;&gt;0,VLOOKUP($A156,'0.Productos'!$A$3:$GG$587,'0.Productos'!BV$1+1,0),"")</f>
        <v/>
      </c>
      <c r="AE156" s="133" t="str">
        <f>IF($A156&lt;&gt;0,VLOOKUP($A156,'0.Productos'!$A$3:$GG$587,'0.Productos'!BW$1+1,0),"")</f>
        <v/>
      </c>
      <c r="AF156" s="133" t="str">
        <f>IF($A156&lt;&gt;0,VLOOKUP($A156,'0.Productos'!$A$3:$GG$587,'0.Productos'!BX$1+1,0),"")</f>
        <v/>
      </c>
      <c r="AG156" s="133" t="str">
        <f>IF($A156&lt;&gt;0,VLOOKUP($A156,'0.Productos'!$A$3:$GG$587,'0.Productos'!BY$1+1,0),"")</f>
        <v/>
      </c>
      <c r="AH156" s="133" t="str">
        <f>IF($A156&lt;&gt;0,VLOOKUP($A156,'0.Productos'!$A$3:$GG$587,'0.Productos'!BZ$1+1,0),"")</f>
        <v/>
      </c>
      <c r="AI156" s="133" t="str">
        <f>IF($A156&lt;&gt;0,VLOOKUP($A156,'0.Productos'!$A$3:$GG$587,'0.Productos'!CA$1+1,0),"")</f>
        <v/>
      </c>
      <c r="AJ156" s="133" t="str">
        <f>IF($A156&lt;&gt;0,VLOOKUP($A156,'0.Productos'!$A$3:$GG$587,'0.Productos'!CB$1+1,0),"")</f>
        <v/>
      </c>
      <c r="AK156" s="133" t="str">
        <f>IF($A156&lt;&gt;0,VLOOKUP($A156,'0.Productos'!$A$3:$GG$587,'0.Productos'!CC$1+1,0),"")</f>
        <v/>
      </c>
      <c r="AL156" s="133" t="str">
        <f>IF($A156&lt;&gt;0,VLOOKUP($A156,'0.Productos'!$A$3:$GG$587,'0.Productos'!CD$1+1,0),"")</f>
        <v/>
      </c>
      <c r="AM156" s="133" t="str">
        <f>IF($A156&lt;&gt;0,VLOOKUP($A156,'0.Productos'!$A$3:$GG$587,'0.Productos'!CE$1+1,0),"")</f>
        <v/>
      </c>
      <c r="AN156" s="133" t="str">
        <f>IF($A156&lt;&gt;0,VLOOKUP($A156,'0.Productos'!$A$3:$GG$587,'0.Productos'!CF$1+1,0),"")</f>
        <v/>
      </c>
      <c r="AO156" s="133" t="str">
        <f>IF($A156&lt;&gt;0,VLOOKUP($A156,'0.Productos'!$A$3:$GG$587,'0.Productos'!CG$1+1,0),"")</f>
        <v/>
      </c>
      <c r="AP156" s="133" t="str">
        <f>IF($A156&lt;&gt;0,VLOOKUP($A156,'0.Productos'!$A$3:$GG$587,'0.Productos'!CH$1+1,0),"")</f>
        <v/>
      </c>
      <c r="AQ156" s="133" t="str">
        <f>IF($A156&lt;&gt;0,VLOOKUP($A156,'0.Productos'!$A$3:$GG$587,'0.Productos'!CI$1+1,0),"")</f>
        <v/>
      </c>
      <c r="AR156" s="133" t="str">
        <f>IF($A156&lt;&gt;0,VLOOKUP($A156,'0.Productos'!$A$3:$GG$587,'0.Productos'!CJ$1+1,0),"")</f>
        <v/>
      </c>
      <c r="AS156" s="133" t="str">
        <f>IF($A156&lt;&gt;0,VLOOKUP($A156,'0.Productos'!$A$3:$GG$587,'0.Productos'!CK$1+1,0),"")</f>
        <v/>
      </c>
      <c r="AT156" s="133" t="str">
        <f>IF($A156&lt;&gt;0,VLOOKUP($A156,'0.Productos'!$A$3:$GG$587,'0.Productos'!CL$1+1,0),"")</f>
        <v/>
      </c>
      <c r="AU156" s="133" t="str">
        <f>IF($A156&lt;&gt;0,VLOOKUP($A156,'0.Productos'!$A$3:$GG$587,'0.Productos'!CM$1+1,0),"")</f>
        <v/>
      </c>
      <c r="AV156" s="133" t="str">
        <f>IF($A156&lt;&gt;0,VLOOKUP($A156,'0.Productos'!$A$3:$GG$587,'0.Productos'!CN$1+1,0),"")</f>
        <v/>
      </c>
      <c r="AW156" s="133" t="str">
        <f>IF($A156&lt;&gt;0,VLOOKUP($A156,'0.Productos'!$A$3:$GG$587,'0.Productos'!CO$1+1,0),"")</f>
        <v/>
      </c>
      <c r="AX156" s="133" t="str">
        <f>IF($A156&lt;&gt;0,VLOOKUP($A156,'0.Productos'!$A$3:$GG$587,'0.Productos'!CP$1+1,0),"")</f>
        <v/>
      </c>
      <c r="AY156" s="133" t="str">
        <f>IF($A156&lt;&gt;0,VLOOKUP($A156,'0.Productos'!$A$3:$GG$587,'0.Productos'!CQ$1+1,0),"")</f>
        <v/>
      </c>
      <c r="AZ156" s="133" t="str">
        <f>IF($A156&lt;&gt;0,VLOOKUP($A156,'0.Productos'!$A$3:$GG$587,'0.Productos'!CR$1+1,0),"")</f>
        <v/>
      </c>
      <c r="BA156" s="133" t="str">
        <f>IF($A156&lt;&gt;0,VLOOKUP($A156,'0.Productos'!$A$3:$GG$587,'0.Productos'!CS$1+1,0),"")</f>
        <v/>
      </c>
      <c r="BB156" s="133" t="str">
        <f>IF($A156&lt;&gt;0,VLOOKUP($A156,'0.Productos'!$A$3:$GG$587,'0.Productos'!CT$1+1,0),"")</f>
        <v/>
      </c>
      <c r="BC156" s="133" t="str">
        <f>IF($A156&lt;&gt;0,VLOOKUP($A156,'0.Productos'!$A$3:$GG$587,'0.Productos'!CU$1+1,0),"")</f>
        <v/>
      </c>
      <c r="BD156" s="133" t="str">
        <f>IF($A156&lt;&gt;0,VLOOKUP($A156,'0.Productos'!$A$3:$GG$587,'0.Productos'!CV$1+1,0),"")</f>
        <v/>
      </c>
      <c r="BE156" s="133" t="str">
        <f>IF($A156&lt;&gt;0,VLOOKUP($A156,'0.Productos'!$A$3:$GG$587,'0.Productos'!CW$1+1,0),"")</f>
        <v/>
      </c>
      <c r="BF156" s="133" t="str">
        <f>IF($A156&lt;&gt;0,VLOOKUP($A156,'0.Productos'!$A$3:$GG$587,'0.Productos'!CX$1+1,0),"")</f>
        <v/>
      </c>
      <c r="BG156" s="133" t="str">
        <f>IF($A156&lt;&gt;0,VLOOKUP($A156,'0.Productos'!$A$3:$GG$587,'0.Productos'!CY$1+1,0),"")</f>
        <v/>
      </c>
      <c r="BH156" s="133" t="str">
        <f>IF($A156&lt;&gt;0,VLOOKUP($A156,'0.Productos'!$A$3:$GG$587,'0.Productos'!CZ$1+1,0),"")</f>
        <v/>
      </c>
      <c r="BI156" s="133" t="str">
        <f>IF($A156&lt;&gt;0,VLOOKUP($A156,'0.Productos'!$A$3:$GG$587,'0.Productos'!DA$1+1,0),"")</f>
        <v/>
      </c>
      <c r="BJ156" s="133" t="str">
        <f>IF($A156&lt;&gt;0,VLOOKUP($A156,'0.Productos'!$A$3:$GG$587,'0.Productos'!DB$1+1,0),"")</f>
        <v/>
      </c>
      <c r="BK156" s="133" t="str">
        <f>IF($A156&lt;&gt;0,VLOOKUP($A156,'0.Productos'!$A$3:$GG$587,'0.Productos'!DC$1+1,0),"")</f>
        <v/>
      </c>
      <c r="BL156" s="133" t="str">
        <f>IF($A156&lt;&gt;0,VLOOKUP($A156,'0.Productos'!$A$3:$GG$587,'0.Productos'!DD$1+1,0),"")</f>
        <v/>
      </c>
      <c r="BM156" s="133" t="str">
        <f>IF($A156&lt;&gt;0,VLOOKUP($A156,'0.Productos'!$A$3:$GG$587,'0.Productos'!DE$1+1,0),"")</f>
        <v/>
      </c>
      <c r="BN156" s="133" t="str">
        <f>IF($A156&lt;&gt;0,VLOOKUP($A156,'0.Productos'!$A$3:$GG$587,'0.Productos'!DF$1+1,0),"")</f>
        <v/>
      </c>
      <c r="BO156" s="133" t="str">
        <f>IF($A156&lt;&gt;0,VLOOKUP($A156,'0.Productos'!$A$3:$GG$587,'0.Productos'!DG$1+1,0),"")</f>
        <v/>
      </c>
      <c r="BP156" s="133" t="str">
        <f>IF($A156&lt;&gt;0,VLOOKUP($A156,'0.Productos'!$A$3:$GG$587,'0.Productos'!DH$1+1,0),"")</f>
        <v/>
      </c>
      <c r="BQ156" s="133" t="str">
        <f>IF($A156&lt;&gt;0,VLOOKUP($A156,'0.Productos'!$A$3:$GG$587,'0.Productos'!DI$1+1,0),"")</f>
        <v/>
      </c>
      <c r="BR156" s="133" t="str">
        <f>IF($A156&lt;&gt;0,VLOOKUP($A156,'0.Productos'!$A$3:$GG$587,'0.Productos'!DJ$1+1,0),"")</f>
        <v/>
      </c>
      <c r="BS156" s="133" t="str">
        <f>IF($A156&lt;&gt;0,VLOOKUP($A156,'0.Productos'!$A$3:$GG$587,'0.Productos'!DK$1+1,0),"")</f>
        <v/>
      </c>
      <c r="BT156" s="133" t="str">
        <f>IF($A156&lt;&gt;0,VLOOKUP($A156,'0.Productos'!$A$3:$GG$587,'0.Productos'!DL$1+1,0),"")</f>
        <v/>
      </c>
    </row>
    <row r="157" spans="1:72" x14ac:dyDescent="0.25">
      <c r="A157" s="17">
        <f>'0.Consolidado general'!A157</f>
        <v>0</v>
      </c>
      <c r="B157" s="133" t="str">
        <f>IF($A157&lt;&gt;0,VLOOKUP($A157,'0.Productos'!$A$3:$GG$587,'0.Productos'!AT$1+1,0),"")</f>
        <v/>
      </c>
      <c r="C157" s="133" t="str">
        <f>IF($A157&lt;&gt;0,VLOOKUP($A157,'0.Productos'!$A$3:$GG$587,'0.Productos'!AU$1+1,0),"")</f>
        <v/>
      </c>
      <c r="D157" s="133" t="str">
        <f>IF($A157&lt;&gt;0,VLOOKUP($A157,'0.Productos'!$A$3:$GG$587,'0.Productos'!AV$1+1,0),"")</f>
        <v/>
      </c>
      <c r="E157" s="133" t="str">
        <f>IF($A157&lt;&gt;0,VLOOKUP($A157,'0.Productos'!$A$3:$GG$587,'0.Productos'!AW$1+1,0),"")</f>
        <v/>
      </c>
      <c r="F157" s="133" t="str">
        <f>IF($A157&lt;&gt;0,VLOOKUP($A157,'0.Productos'!$A$3:$GG$587,'0.Productos'!AX$1+1,0),"")</f>
        <v/>
      </c>
      <c r="G157" s="133" t="str">
        <f>IF($A157&lt;&gt;0,VLOOKUP($A157,'0.Productos'!$A$3:$GG$587,'0.Productos'!AY$1+1,0),"")</f>
        <v/>
      </c>
      <c r="H157" s="133" t="str">
        <f>IF($A157&lt;&gt;0,VLOOKUP($A157,'0.Productos'!$A$3:$GG$587,'0.Productos'!AZ$1+1,0),"")</f>
        <v/>
      </c>
      <c r="I157" s="133" t="str">
        <f>IF($A157&lt;&gt;0,VLOOKUP($A157,'0.Productos'!$A$3:$GG$587,'0.Productos'!BA$1+1,0),"")</f>
        <v/>
      </c>
      <c r="J157" s="133" t="str">
        <f>IF($A157&lt;&gt;0,VLOOKUP($A157,'0.Productos'!$A$3:$GG$587,'0.Productos'!BB$1+1,0),"")</f>
        <v/>
      </c>
      <c r="K157" s="133" t="str">
        <f>IF($A157&lt;&gt;0,VLOOKUP($A157,'0.Productos'!$A$3:$GG$587,'0.Productos'!BC$1+1,0),"")</f>
        <v/>
      </c>
      <c r="L157" s="133" t="str">
        <f>IF($A157&lt;&gt;0,VLOOKUP($A157,'0.Productos'!$A$3:$GG$587,'0.Productos'!BD$1+1,0),"")</f>
        <v/>
      </c>
      <c r="M157" s="133" t="str">
        <f>IF($A157&lt;&gt;0,VLOOKUP($A157,'0.Productos'!$A$3:$GG$587,'0.Productos'!BE$1+1,0),"")</f>
        <v/>
      </c>
      <c r="N157" s="133" t="str">
        <f>IF($A157&lt;&gt;0,VLOOKUP($A157,'0.Productos'!$A$3:$GG$587,'0.Productos'!BF$1+1,0),"")</f>
        <v/>
      </c>
      <c r="O157" s="133" t="str">
        <f>IF($A157&lt;&gt;0,VLOOKUP($A157,'0.Productos'!$A$3:$GG$587,'0.Productos'!BG$1+1,0),"")</f>
        <v/>
      </c>
      <c r="P157" s="133" t="str">
        <f>IF($A157&lt;&gt;0,VLOOKUP($A157,'0.Productos'!$A$3:$GG$587,'0.Productos'!BH$1+1,0),"")</f>
        <v/>
      </c>
      <c r="Q157" s="133" t="str">
        <f>IF($A157&lt;&gt;0,VLOOKUP($A157,'0.Productos'!$A$3:$GG$587,'0.Productos'!BI$1+1,0),"")</f>
        <v/>
      </c>
      <c r="R157" s="133" t="str">
        <f>IF($A157&lt;&gt;0,VLOOKUP($A157,'0.Productos'!$A$3:$GG$587,'0.Productos'!BJ$1+1,0),"")</f>
        <v/>
      </c>
      <c r="S157" s="133" t="str">
        <f>IF($A157&lt;&gt;0,VLOOKUP($A157,'0.Productos'!$A$3:$GG$587,'0.Productos'!BK$1+1,0),"")</f>
        <v/>
      </c>
      <c r="T157" s="133" t="str">
        <f>IF($A157&lt;&gt;0,VLOOKUP($A157,'0.Productos'!$A$3:$GG$587,'0.Productos'!BL$1+1,0),"")</f>
        <v/>
      </c>
      <c r="U157" s="133" t="str">
        <f>IF($A157&lt;&gt;0,VLOOKUP($A157,'0.Productos'!$A$3:$GG$587,'0.Productos'!BM$1+1,0),"")</f>
        <v/>
      </c>
      <c r="V157" s="133" t="str">
        <f>IF($A157&lt;&gt;0,VLOOKUP($A157,'0.Productos'!$A$3:$GG$587,'0.Productos'!BN$1+1,0),"")</f>
        <v/>
      </c>
      <c r="W157" s="133" t="str">
        <f>IF($A157&lt;&gt;0,VLOOKUP($A157,'0.Productos'!$A$3:$GG$587,'0.Productos'!BO$1+1,0),"")</f>
        <v/>
      </c>
      <c r="X157" s="133" t="str">
        <f>IF($A157&lt;&gt;0,VLOOKUP($A157,'0.Productos'!$A$3:$GG$587,'0.Productos'!BP$1+1,0),"")</f>
        <v/>
      </c>
      <c r="Y157" s="133" t="str">
        <f>IF($A157&lt;&gt;0,VLOOKUP($A157,'0.Productos'!$A$3:$GG$587,'0.Productos'!BQ$1+1,0),"")</f>
        <v/>
      </c>
      <c r="Z157" s="133" t="str">
        <f>IF($A157&lt;&gt;0,VLOOKUP($A157,'0.Productos'!$A$3:$GG$587,'0.Productos'!BR$1+1,0),"")</f>
        <v/>
      </c>
      <c r="AA157" s="133" t="str">
        <f>IF($A157&lt;&gt;0,VLOOKUP($A157,'0.Productos'!$A$3:$GG$587,'0.Productos'!BS$1+1,0),"")</f>
        <v/>
      </c>
      <c r="AB157" s="133" t="str">
        <f>IF($A157&lt;&gt;0,VLOOKUP($A157,'0.Productos'!$A$3:$GG$587,'0.Productos'!BT$1+1,0),"")</f>
        <v/>
      </c>
      <c r="AC157" s="133" t="str">
        <f>IF($A157&lt;&gt;0,VLOOKUP($A157,'0.Productos'!$A$3:$GG$587,'0.Productos'!BU$1+1,0),"")</f>
        <v/>
      </c>
      <c r="AD157" s="133" t="str">
        <f>IF($A157&lt;&gt;0,VLOOKUP($A157,'0.Productos'!$A$3:$GG$587,'0.Productos'!BV$1+1,0),"")</f>
        <v/>
      </c>
      <c r="AE157" s="133" t="str">
        <f>IF($A157&lt;&gt;0,VLOOKUP($A157,'0.Productos'!$A$3:$GG$587,'0.Productos'!BW$1+1,0),"")</f>
        <v/>
      </c>
      <c r="AF157" s="133" t="str">
        <f>IF($A157&lt;&gt;0,VLOOKUP($A157,'0.Productos'!$A$3:$GG$587,'0.Productos'!BX$1+1,0),"")</f>
        <v/>
      </c>
      <c r="AG157" s="133" t="str">
        <f>IF($A157&lt;&gt;0,VLOOKUP($A157,'0.Productos'!$A$3:$GG$587,'0.Productos'!BY$1+1,0),"")</f>
        <v/>
      </c>
      <c r="AH157" s="133" t="str">
        <f>IF($A157&lt;&gt;0,VLOOKUP($A157,'0.Productos'!$A$3:$GG$587,'0.Productos'!BZ$1+1,0),"")</f>
        <v/>
      </c>
      <c r="AI157" s="133" t="str">
        <f>IF($A157&lt;&gt;0,VLOOKUP($A157,'0.Productos'!$A$3:$GG$587,'0.Productos'!CA$1+1,0),"")</f>
        <v/>
      </c>
      <c r="AJ157" s="133" t="str">
        <f>IF($A157&lt;&gt;0,VLOOKUP($A157,'0.Productos'!$A$3:$GG$587,'0.Productos'!CB$1+1,0),"")</f>
        <v/>
      </c>
      <c r="AK157" s="133" t="str">
        <f>IF($A157&lt;&gt;0,VLOOKUP($A157,'0.Productos'!$A$3:$GG$587,'0.Productos'!CC$1+1,0),"")</f>
        <v/>
      </c>
      <c r="AL157" s="133" t="str">
        <f>IF($A157&lt;&gt;0,VLOOKUP($A157,'0.Productos'!$A$3:$GG$587,'0.Productos'!CD$1+1,0),"")</f>
        <v/>
      </c>
      <c r="AM157" s="133" t="str">
        <f>IF($A157&lt;&gt;0,VLOOKUP($A157,'0.Productos'!$A$3:$GG$587,'0.Productos'!CE$1+1,0),"")</f>
        <v/>
      </c>
      <c r="AN157" s="133" t="str">
        <f>IF($A157&lt;&gt;0,VLOOKUP($A157,'0.Productos'!$A$3:$GG$587,'0.Productos'!CF$1+1,0),"")</f>
        <v/>
      </c>
      <c r="AO157" s="133" t="str">
        <f>IF($A157&lt;&gt;0,VLOOKUP($A157,'0.Productos'!$A$3:$GG$587,'0.Productos'!CG$1+1,0),"")</f>
        <v/>
      </c>
      <c r="AP157" s="133" t="str">
        <f>IF($A157&lt;&gt;0,VLOOKUP($A157,'0.Productos'!$A$3:$GG$587,'0.Productos'!CH$1+1,0),"")</f>
        <v/>
      </c>
      <c r="AQ157" s="133" t="str">
        <f>IF($A157&lt;&gt;0,VLOOKUP($A157,'0.Productos'!$A$3:$GG$587,'0.Productos'!CI$1+1,0),"")</f>
        <v/>
      </c>
      <c r="AR157" s="133" t="str">
        <f>IF($A157&lt;&gt;0,VLOOKUP($A157,'0.Productos'!$A$3:$GG$587,'0.Productos'!CJ$1+1,0),"")</f>
        <v/>
      </c>
      <c r="AS157" s="133" t="str">
        <f>IF($A157&lt;&gt;0,VLOOKUP($A157,'0.Productos'!$A$3:$GG$587,'0.Productos'!CK$1+1,0),"")</f>
        <v/>
      </c>
      <c r="AT157" s="133" t="str">
        <f>IF($A157&lt;&gt;0,VLOOKUP($A157,'0.Productos'!$A$3:$GG$587,'0.Productos'!CL$1+1,0),"")</f>
        <v/>
      </c>
      <c r="AU157" s="133" t="str">
        <f>IF($A157&lt;&gt;0,VLOOKUP($A157,'0.Productos'!$A$3:$GG$587,'0.Productos'!CM$1+1,0),"")</f>
        <v/>
      </c>
      <c r="AV157" s="133" t="str">
        <f>IF($A157&lt;&gt;0,VLOOKUP($A157,'0.Productos'!$A$3:$GG$587,'0.Productos'!CN$1+1,0),"")</f>
        <v/>
      </c>
      <c r="AW157" s="133" t="str">
        <f>IF($A157&lt;&gt;0,VLOOKUP($A157,'0.Productos'!$A$3:$GG$587,'0.Productos'!CO$1+1,0),"")</f>
        <v/>
      </c>
      <c r="AX157" s="133" t="str">
        <f>IF($A157&lt;&gt;0,VLOOKUP($A157,'0.Productos'!$A$3:$GG$587,'0.Productos'!CP$1+1,0),"")</f>
        <v/>
      </c>
      <c r="AY157" s="133" t="str">
        <f>IF($A157&lt;&gt;0,VLOOKUP($A157,'0.Productos'!$A$3:$GG$587,'0.Productos'!CQ$1+1,0),"")</f>
        <v/>
      </c>
      <c r="AZ157" s="133" t="str">
        <f>IF($A157&lt;&gt;0,VLOOKUP($A157,'0.Productos'!$A$3:$GG$587,'0.Productos'!CR$1+1,0),"")</f>
        <v/>
      </c>
      <c r="BA157" s="133" t="str">
        <f>IF($A157&lt;&gt;0,VLOOKUP($A157,'0.Productos'!$A$3:$GG$587,'0.Productos'!CS$1+1,0),"")</f>
        <v/>
      </c>
      <c r="BB157" s="133" t="str">
        <f>IF($A157&lt;&gt;0,VLOOKUP($A157,'0.Productos'!$A$3:$GG$587,'0.Productos'!CT$1+1,0),"")</f>
        <v/>
      </c>
      <c r="BC157" s="133" t="str">
        <f>IF($A157&lt;&gt;0,VLOOKUP($A157,'0.Productos'!$A$3:$GG$587,'0.Productos'!CU$1+1,0),"")</f>
        <v/>
      </c>
      <c r="BD157" s="133" t="str">
        <f>IF($A157&lt;&gt;0,VLOOKUP($A157,'0.Productos'!$A$3:$GG$587,'0.Productos'!CV$1+1,0),"")</f>
        <v/>
      </c>
      <c r="BE157" s="133" t="str">
        <f>IF($A157&lt;&gt;0,VLOOKUP($A157,'0.Productos'!$A$3:$GG$587,'0.Productos'!CW$1+1,0),"")</f>
        <v/>
      </c>
      <c r="BF157" s="133" t="str">
        <f>IF($A157&lt;&gt;0,VLOOKUP($A157,'0.Productos'!$A$3:$GG$587,'0.Productos'!CX$1+1,0),"")</f>
        <v/>
      </c>
      <c r="BG157" s="133" t="str">
        <f>IF($A157&lt;&gt;0,VLOOKUP($A157,'0.Productos'!$A$3:$GG$587,'0.Productos'!CY$1+1,0),"")</f>
        <v/>
      </c>
      <c r="BH157" s="133" t="str">
        <f>IF($A157&lt;&gt;0,VLOOKUP($A157,'0.Productos'!$A$3:$GG$587,'0.Productos'!CZ$1+1,0),"")</f>
        <v/>
      </c>
      <c r="BI157" s="133" t="str">
        <f>IF($A157&lt;&gt;0,VLOOKUP($A157,'0.Productos'!$A$3:$GG$587,'0.Productos'!DA$1+1,0),"")</f>
        <v/>
      </c>
      <c r="BJ157" s="133" t="str">
        <f>IF($A157&lt;&gt;0,VLOOKUP($A157,'0.Productos'!$A$3:$GG$587,'0.Productos'!DB$1+1,0),"")</f>
        <v/>
      </c>
      <c r="BK157" s="133" t="str">
        <f>IF($A157&lt;&gt;0,VLOOKUP($A157,'0.Productos'!$A$3:$GG$587,'0.Productos'!DC$1+1,0),"")</f>
        <v/>
      </c>
      <c r="BL157" s="133" t="str">
        <f>IF($A157&lt;&gt;0,VLOOKUP($A157,'0.Productos'!$A$3:$GG$587,'0.Productos'!DD$1+1,0),"")</f>
        <v/>
      </c>
      <c r="BM157" s="133" t="str">
        <f>IF($A157&lt;&gt;0,VLOOKUP($A157,'0.Productos'!$A$3:$GG$587,'0.Productos'!DE$1+1,0),"")</f>
        <v/>
      </c>
      <c r="BN157" s="133" t="str">
        <f>IF($A157&lt;&gt;0,VLOOKUP($A157,'0.Productos'!$A$3:$GG$587,'0.Productos'!DF$1+1,0),"")</f>
        <v/>
      </c>
      <c r="BO157" s="133" t="str">
        <f>IF($A157&lt;&gt;0,VLOOKUP($A157,'0.Productos'!$A$3:$GG$587,'0.Productos'!DG$1+1,0),"")</f>
        <v/>
      </c>
      <c r="BP157" s="133" t="str">
        <f>IF($A157&lt;&gt;0,VLOOKUP($A157,'0.Productos'!$A$3:$GG$587,'0.Productos'!DH$1+1,0),"")</f>
        <v/>
      </c>
      <c r="BQ157" s="133" t="str">
        <f>IF($A157&lt;&gt;0,VLOOKUP($A157,'0.Productos'!$A$3:$GG$587,'0.Productos'!DI$1+1,0),"")</f>
        <v/>
      </c>
      <c r="BR157" s="133" t="str">
        <f>IF($A157&lt;&gt;0,VLOOKUP($A157,'0.Productos'!$A$3:$GG$587,'0.Productos'!DJ$1+1,0),"")</f>
        <v/>
      </c>
      <c r="BS157" s="133" t="str">
        <f>IF($A157&lt;&gt;0,VLOOKUP($A157,'0.Productos'!$A$3:$GG$587,'0.Productos'!DK$1+1,0),"")</f>
        <v/>
      </c>
      <c r="BT157" s="133" t="str">
        <f>IF($A157&lt;&gt;0,VLOOKUP($A157,'0.Productos'!$A$3:$GG$587,'0.Productos'!DL$1+1,0),"")</f>
        <v/>
      </c>
    </row>
    <row r="158" spans="1:72" x14ac:dyDescent="0.25">
      <c r="A158" s="17">
        <f>'0.Consolidado general'!A158</f>
        <v>0</v>
      </c>
      <c r="B158" s="133" t="str">
        <f>IF($A158&lt;&gt;0,VLOOKUP($A158,'0.Productos'!$A$3:$GG$587,'0.Productos'!AT$1+1,0),"")</f>
        <v/>
      </c>
      <c r="C158" s="133" t="str">
        <f>IF($A158&lt;&gt;0,VLOOKUP($A158,'0.Productos'!$A$3:$GG$587,'0.Productos'!AU$1+1,0),"")</f>
        <v/>
      </c>
      <c r="D158" s="133" t="str">
        <f>IF($A158&lt;&gt;0,VLOOKUP($A158,'0.Productos'!$A$3:$GG$587,'0.Productos'!AV$1+1,0),"")</f>
        <v/>
      </c>
      <c r="E158" s="133" t="str">
        <f>IF($A158&lt;&gt;0,VLOOKUP($A158,'0.Productos'!$A$3:$GG$587,'0.Productos'!AW$1+1,0),"")</f>
        <v/>
      </c>
      <c r="F158" s="133" t="str">
        <f>IF($A158&lt;&gt;0,VLOOKUP($A158,'0.Productos'!$A$3:$GG$587,'0.Productos'!AX$1+1,0),"")</f>
        <v/>
      </c>
      <c r="G158" s="133" t="str">
        <f>IF($A158&lt;&gt;0,VLOOKUP($A158,'0.Productos'!$A$3:$GG$587,'0.Productos'!AY$1+1,0),"")</f>
        <v/>
      </c>
      <c r="H158" s="133" t="str">
        <f>IF($A158&lt;&gt;0,VLOOKUP($A158,'0.Productos'!$A$3:$GG$587,'0.Productos'!AZ$1+1,0),"")</f>
        <v/>
      </c>
      <c r="I158" s="133" t="str">
        <f>IF($A158&lt;&gt;0,VLOOKUP($A158,'0.Productos'!$A$3:$GG$587,'0.Productos'!BA$1+1,0),"")</f>
        <v/>
      </c>
      <c r="J158" s="133" t="str">
        <f>IF($A158&lt;&gt;0,VLOOKUP($A158,'0.Productos'!$A$3:$GG$587,'0.Productos'!BB$1+1,0),"")</f>
        <v/>
      </c>
      <c r="K158" s="133" t="str">
        <f>IF($A158&lt;&gt;0,VLOOKUP($A158,'0.Productos'!$A$3:$GG$587,'0.Productos'!BC$1+1,0),"")</f>
        <v/>
      </c>
      <c r="L158" s="133" t="str">
        <f>IF($A158&lt;&gt;0,VLOOKUP($A158,'0.Productos'!$A$3:$GG$587,'0.Productos'!BD$1+1,0),"")</f>
        <v/>
      </c>
      <c r="M158" s="133" t="str">
        <f>IF($A158&lt;&gt;0,VLOOKUP($A158,'0.Productos'!$A$3:$GG$587,'0.Productos'!BE$1+1,0),"")</f>
        <v/>
      </c>
      <c r="N158" s="133" t="str">
        <f>IF($A158&lt;&gt;0,VLOOKUP($A158,'0.Productos'!$A$3:$GG$587,'0.Productos'!BF$1+1,0),"")</f>
        <v/>
      </c>
      <c r="O158" s="133" t="str">
        <f>IF($A158&lt;&gt;0,VLOOKUP($A158,'0.Productos'!$A$3:$GG$587,'0.Productos'!BG$1+1,0),"")</f>
        <v/>
      </c>
      <c r="P158" s="133" t="str">
        <f>IF($A158&lt;&gt;0,VLOOKUP($A158,'0.Productos'!$A$3:$GG$587,'0.Productos'!BH$1+1,0),"")</f>
        <v/>
      </c>
      <c r="Q158" s="133" t="str">
        <f>IF($A158&lt;&gt;0,VLOOKUP($A158,'0.Productos'!$A$3:$GG$587,'0.Productos'!BI$1+1,0),"")</f>
        <v/>
      </c>
      <c r="R158" s="133" t="str">
        <f>IF($A158&lt;&gt;0,VLOOKUP($A158,'0.Productos'!$A$3:$GG$587,'0.Productos'!BJ$1+1,0),"")</f>
        <v/>
      </c>
      <c r="S158" s="133" t="str">
        <f>IF($A158&lt;&gt;0,VLOOKUP($A158,'0.Productos'!$A$3:$GG$587,'0.Productos'!BK$1+1,0),"")</f>
        <v/>
      </c>
      <c r="T158" s="133" t="str">
        <f>IF($A158&lt;&gt;0,VLOOKUP($A158,'0.Productos'!$A$3:$GG$587,'0.Productos'!BL$1+1,0),"")</f>
        <v/>
      </c>
      <c r="U158" s="133" t="str">
        <f>IF($A158&lt;&gt;0,VLOOKUP($A158,'0.Productos'!$A$3:$GG$587,'0.Productos'!BM$1+1,0),"")</f>
        <v/>
      </c>
      <c r="V158" s="133" t="str">
        <f>IF($A158&lt;&gt;0,VLOOKUP($A158,'0.Productos'!$A$3:$GG$587,'0.Productos'!BN$1+1,0),"")</f>
        <v/>
      </c>
      <c r="W158" s="133" t="str">
        <f>IF($A158&lt;&gt;0,VLOOKUP($A158,'0.Productos'!$A$3:$GG$587,'0.Productos'!BO$1+1,0),"")</f>
        <v/>
      </c>
      <c r="X158" s="133" t="str">
        <f>IF($A158&lt;&gt;0,VLOOKUP($A158,'0.Productos'!$A$3:$GG$587,'0.Productos'!BP$1+1,0),"")</f>
        <v/>
      </c>
      <c r="Y158" s="133" t="str">
        <f>IF($A158&lt;&gt;0,VLOOKUP($A158,'0.Productos'!$A$3:$GG$587,'0.Productos'!BQ$1+1,0),"")</f>
        <v/>
      </c>
      <c r="Z158" s="133" t="str">
        <f>IF($A158&lt;&gt;0,VLOOKUP($A158,'0.Productos'!$A$3:$GG$587,'0.Productos'!BR$1+1,0),"")</f>
        <v/>
      </c>
      <c r="AA158" s="133" t="str">
        <f>IF($A158&lt;&gt;0,VLOOKUP($A158,'0.Productos'!$A$3:$GG$587,'0.Productos'!BS$1+1,0),"")</f>
        <v/>
      </c>
      <c r="AB158" s="133" t="str">
        <f>IF($A158&lt;&gt;0,VLOOKUP($A158,'0.Productos'!$A$3:$GG$587,'0.Productos'!BT$1+1,0),"")</f>
        <v/>
      </c>
      <c r="AC158" s="133" t="str">
        <f>IF($A158&lt;&gt;0,VLOOKUP($A158,'0.Productos'!$A$3:$GG$587,'0.Productos'!BU$1+1,0),"")</f>
        <v/>
      </c>
      <c r="AD158" s="133" t="str">
        <f>IF($A158&lt;&gt;0,VLOOKUP($A158,'0.Productos'!$A$3:$GG$587,'0.Productos'!BV$1+1,0),"")</f>
        <v/>
      </c>
      <c r="AE158" s="133" t="str">
        <f>IF($A158&lt;&gt;0,VLOOKUP($A158,'0.Productos'!$A$3:$GG$587,'0.Productos'!BW$1+1,0),"")</f>
        <v/>
      </c>
      <c r="AF158" s="133" t="str">
        <f>IF($A158&lt;&gt;0,VLOOKUP($A158,'0.Productos'!$A$3:$GG$587,'0.Productos'!BX$1+1,0),"")</f>
        <v/>
      </c>
      <c r="AG158" s="133" t="str">
        <f>IF($A158&lt;&gt;0,VLOOKUP($A158,'0.Productos'!$A$3:$GG$587,'0.Productos'!BY$1+1,0),"")</f>
        <v/>
      </c>
      <c r="AH158" s="133" t="str">
        <f>IF($A158&lt;&gt;0,VLOOKUP($A158,'0.Productos'!$A$3:$GG$587,'0.Productos'!BZ$1+1,0),"")</f>
        <v/>
      </c>
      <c r="AI158" s="133" t="str">
        <f>IF($A158&lt;&gt;0,VLOOKUP($A158,'0.Productos'!$A$3:$GG$587,'0.Productos'!CA$1+1,0),"")</f>
        <v/>
      </c>
      <c r="AJ158" s="133" t="str">
        <f>IF($A158&lt;&gt;0,VLOOKUP($A158,'0.Productos'!$A$3:$GG$587,'0.Productos'!CB$1+1,0),"")</f>
        <v/>
      </c>
      <c r="AK158" s="133" t="str">
        <f>IF($A158&lt;&gt;0,VLOOKUP($A158,'0.Productos'!$A$3:$GG$587,'0.Productos'!CC$1+1,0),"")</f>
        <v/>
      </c>
      <c r="AL158" s="133" t="str">
        <f>IF($A158&lt;&gt;0,VLOOKUP($A158,'0.Productos'!$A$3:$GG$587,'0.Productos'!CD$1+1,0),"")</f>
        <v/>
      </c>
      <c r="AM158" s="133" t="str">
        <f>IF($A158&lt;&gt;0,VLOOKUP($A158,'0.Productos'!$A$3:$GG$587,'0.Productos'!CE$1+1,0),"")</f>
        <v/>
      </c>
      <c r="AN158" s="133" t="str">
        <f>IF($A158&lt;&gt;0,VLOOKUP($A158,'0.Productos'!$A$3:$GG$587,'0.Productos'!CF$1+1,0),"")</f>
        <v/>
      </c>
      <c r="AO158" s="133" t="str">
        <f>IF($A158&lt;&gt;0,VLOOKUP($A158,'0.Productos'!$A$3:$GG$587,'0.Productos'!CG$1+1,0),"")</f>
        <v/>
      </c>
      <c r="AP158" s="133" t="str">
        <f>IF($A158&lt;&gt;0,VLOOKUP($A158,'0.Productos'!$A$3:$GG$587,'0.Productos'!CH$1+1,0),"")</f>
        <v/>
      </c>
      <c r="AQ158" s="133" t="str">
        <f>IF($A158&lt;&gt;0,VLOOKUP($A158,'0.Productos'!$A$3:$GG$587,'0.Productos'!CI$1+1,0),"")</f>
        <v/>
      </c>
      <c r="AR158" s="133" t="str">
        <f>IF($A158&lt;&gt;0,VLOOKUP($A158,'0.Productos'!$A$3:$GG$587,'0.Productos'!CJ$1+1,0),"")</f>
        <v/>
      </c>
      <c r="AS158" s="133" t="str">
        <f>IF($A158&lt;&gt;0,VLOOKUP($A158,'0.Productos'!$A$3:$GG$587,'0.Productos'!CK$1+1,0),"")</f>
        <v/>
      </c>
      <c r="AT158" s="133" t="str">
        <f>IF($A158&lt;&gt;0,VLOOKUP($A158,'0.Productos'!$A$3:$GG$587,'0.Productos'!CL$1+1,0),"")</f>
        <v/>
      </c>
      <c r="AU158" s="133" t="str">
        <f>IF($A158&lt;&gt;0,VLOOKUP($A158,'0.Productos'!$A$3:$GG$587,'0.Productos'!CM$1+1,0),"")</f>
        <v/>
      </c>
      <c r="AV158" s="133" t="str">
        <f>IF($A158&lt;&gt;0,VLOOKUP($A158,'0.Productos'!$A$3:$GG$587,'0.Productos'!CN$1+1,0),"")</f>
        <v/>
      </c>
      <c r="AW158" s="133" t="str">
        <f>IF($A158&lt;&gt;0,VLOOKUP($A158,'0.Productos'!$A$3:$GG$587,'0.Productos'!CO$1+1,0),"")</f>
        <v/>
      </c>
      <c r="AX158" s="133" t="str">
        <f>IF($A158&lt;&gt;0,VLOOKUP($A158,'0.Productos'!$A$3:$GG$587,'0.Productos'!CP$1+1,0),"")</f>
        <v/>
      </c>
      <c r="AY158" s="133" t="str">
        <f>IF($A158&lt;&gt;0,VLOOKUP($A158,'0.Productos'!$A$3:$GG$587,'0.Productos'!CQ$1+1,0),"")</f>
        <v/>
      </c>
      <c r="AZ158" s="133" t="str">
        <f>IF($A158&lt;&gt;0,VLOOKUP($A158,'0.Productos'!$A$3:$GG$587,'0.Productos'!CR$1+1,0),"")</f>
        <v/>
      </c>
      <c r="BA158" s="133" t="str">
        <f>IF($A158&lt;&gt;0,VLOOKUP($A158,'0.Productos'!$A$3:$GG$587,'0.Productos'!CS$1+1,0),"")</f>
        <v/>
      </c>
      <c r="BB158" s="133" t="str">
        <f>IF($A158&lt;&gt;0,VLOOKUP($A158,'0.Productos'!$A$3:$GG$587,'0.Productos'!CT$1+1,0),"")</f>
        <v/>
      </c>
      <c r="BC158" s="133" t="str">
        <f>IF($A158&lt;&gt;0,VLOOKUP($A158,'0.Productos'!$A$3:$GG$587,'0.Productos'!CU$1+1,0),"")</f>
        <v/>
      </c>
      <c r="BD158" s="133" t="str">
        <f>IF($A158&lt;&gt;0,VLOOKUP($A158,'0.Productos'!$A$3:$GG$587,'0.Productos'!CV$1+1,0),"")</f>
        <v/>
      </c>
      <c r="BE158" s="133" t="str">
        <f>IF($A158&lt;&gt;0,VLOOKUP($A158,'0.Productos'!$A$3:$GG$587,'0.Productos'!CW$1+1,0),"")</f>
        <v/>
      </c>
      <c r="BF158" s="133" t="str">
        <f>IF($A158&lt;&gt;0,VLOOKUP($A158,'0.Productos'!$A$3:$GG$587,'0.Productos'!CX$1+1,0),"")</f>
        <v/>
      </c>
      <c r="BG158" s="133" t="str">
        <f>IF($A158&lt;&gt;0,VLOOKUP($A158,'0.Productos'!$A$3:$GG$587,'0.Productos'!CY$1+1,0),"")</f>
        <v/>
      </c>
      <c r="BH158" s="133" t="str">
        <f>IF($A158&lt;&gt;0,VLOOKUP($A158,'0.Productos'!$A$3:$GG$587,'0.Productos'!CZ$1+1,0),"")</f>
        <v/>
      </c>
      <c r="BI158" s="133" t="str">
        <f>IF($A158&lt;&gt;0,VLOOKUP($A158,'0.Productos'!$A$3:$GG$587,'0.Productos'!DA$1+1,0),"")</f>
        <v/>
      </c>
      <c r="BJ158" s="133" t="str">
        <f>IF($A158&lt;&gt;0,VLOOKUP($A158,'0.Productos'!$A$3:$GG$587,'0.Productos'!DB$1+1,0),"")</f>
        <v/>
      </c>
      <c r="BK158" s="133" t="str">
        <f>IF($A158&lt;&gt;0,VLOOKUP($A158,'0.Productos'!$A$3:$GG$587,'0.Productos'!DC$1+1,0),"")</f>
        <v/>
      </c>
      <c r="BL158" s="133" t="str">
        <f>IF($A158&lt;&gt;0,VLOOKUP($A158,'0.Productos'!$A$3:$GG$587,'0.Productos'!DD$1+1,0),"")</f>
        <v/>
      </c>
      <c r="BM158" s="133" t="str">
        <f>IF($A158&lt;&gt;0,VLOOKUP($A158,'0.Productos'!$A$3:$GG$587,'0.Productos'!DE$1+1,0),"")</f>
        <v/>
      </c>
      <c r="BN158" s="133" t="str">
        <f>IF($A158&lt;&gt;0,VLOOKUP($A158,'0.Productos'!$A$3:$GG$587,'0.Productos'!DF$1+1,0),"")</f>
        <v/>
      </c>
      <c r="BO158" s="133" t="str">
        <f>IF($A158&lt;&gt;0,VLOOKUP($A158,'0.Productos'!$A$3:$GG$587,'0.Productos'!DG$1+1,0),"")</f>
        <v/>
      </c>
      <c r="BP158" s="133" t="str">
        <f>IF($A158&lt;&gt;0,VLOOKUP($A158,'0.Productos'!$A$3:$GG$587,'0.Productos'!DH$1+1,0),"")</f>
        <v/>
      </c>
      <c r="BQ158" s="133" t="str">
        <f>IF($A158&lt;&gt;0,VLOOKUP($A158,'0.Productos'!$A$3:$GG$587,'0.Productos'!DI$1+1,0),"")</f>
        <v/>
      </c>
      <c r="BR158" s="133" t="str">
        <f>IF($A158&lt;&gt;0,VLOOKUP($A158,'0.Productos'!$A$3:$GG$587,'0.Productos'!DJ$1+1,0),"")</f>
        <v/>
      </c>
      <c r="BS158" s="133" t="str">
        <f>IF($A158&lt;&gt;0,VLOOKUP($A158,'0.Productos'!$A$3:$GG$587,'0.Productos'!DK$1+1,0),"")</f>
        <v/>
      </c>
      <c r="BT158" s="133" t="str">
        <f>IF($A158&lt;&gt;0,VLOOKUP($A158,'0.Productos'!$A$3:$GG$587,'0.Productos'!DL$1+1,0),"")</f>
        <v/>
      </c>
    </row>
    <row r="159" spans="1:72" x14ac:dyDescent="0.25">
      <c r="A159" s="17">
        <f>'0.Consolidado general'!A159</f>
        <v>0</v>
      </c>
      <c r="B159" s="133" t="str">
        <f>IF($A159&lt;&gt;0,VLOOKUP($A159,'0.Productos'!$A$3:$GG$587,'0.Productos'!AT$1+1,0),"")</f>
        <v/>
      </c>
      <c r="C159" s="133" t="str">
        <f>IF($A159&lt;&gt;0,VLOOKUP($A159,'0.Productos'!$A$3:$GG$587,'0.Productos'!AU$1+1,0),"")</f>
        <v/>
      </c>
      <c r="D159" s="133" t="str">
        <f>IF($A159&lt;&gt;0,VLOOKUP($A159,'0.Productos'!$A$3:$GG$587,'0.Productos'!AV$1+1,0),"")</f>
        <v/>
      </c>
      <c r="E159" s="133" t="str">
        <f>IF($A159&lt;&gt;0,VLOOKUP($A159,'0.Productos'!$A$3:$GG$587,'0.Productos'!AW$1+1,0),"")</f>
        <v/>
      </c>
      <c r="F159" s="133" t="str">
        <f>IF($A159&lt;&gt;0,VLOOKUP($A159,'0.Productos'!$A$3:$GG$587,'0.Productos'!AX$1+1,0),"")</f>
        <v/>
      </c>
      <c r="G159" s="133" t="str">
        <f>IF($A159&lt;&gt;0,VLOOKUP($A159,'0.Productos'!$A$3:$GG$587,'0.Productos'!AY$1+1,0),"")</f>
        <v/>
      </c>
      <c r="H159" s="133" t="str">
        <f>IF($A159&lt;&gt;0,VLOOKUP($A159,'0.Productos'!$A$3:$GG$587,'0.Productos'!AZ$1+1,0),"")</f>
        <v/>
      </c>
      <c r="I159" s="133" t="str">
        <f>IF($A159&lt;&gt;0,VLOOKUP($A159,'0.Productos'!$A$3:$GG$587,'0.Productos'!BA$1+1,0),"")</f>
        <v/>
      </c>
      <c r="J159" s="133" t="str">
        <f>IF($A159&lt;&gt;0,VLOOKUP($A159,'0.Productos'!$A$3:$GG$587,'0.Productos'!BB$1+1,0),"")</f>
        <v/>
      </c>
      <c r="K159" s="133" t="str">
        <f>IF($A159&lt;&gt;0,VLOOKUP($A159,'0.Productos'!$A$3:$GG$587,'0.Productos'!BC$1+1,0),"")</f>
        <v/>
      </c>
      <c r="L159" s="133" t="str">
        <f>IF($A159&lt;&gt;0,VLOOKUP($A159,'0.Productos'!$A$3:$GG$587,'0.Productos'!BD$1+1,0),"")</f>
        <v/>
      </c>
      <c r="M159" s="133" t="str">
        <f>IF($A159&lt;&gt;0,VLOOKUP($A159,'0.Productos'!$A$3:$GG$587,'0.Productos'!BE$1+1,0),"")</f>
        <v/>
      </c>
      <c r="N159" s="133" t="str">
        <f>IF($A159&lt;&gt;0,VLOOKUP($A159,'0.Productos'!$A$3:$GG$587,'0.Productos'!BF$1+1,0),"")</f>
        <v/>
      </c>
      <c r="O159" s="133" t="str">
        <f>IF($A159&lt;&gt;0,VLOOKUP($A159,'0.Productos'!$A$3:$GG$587,'0.Productos'!BG$1+1,0),"")</f>
        <v/>
      </c>
      <c r="P159" s="133" t="str">
        <f>IF($A159&lt;&gt;0,VLOOKUP($A159,'0.Productos'!$A$3:$GG$587,'0.Productos'!BH$1+1,0),"")</f>
        <v/>
      </c>
      <c r="Q159" s="133" t="str">
        <f>IF($A159&lt;&gt;0,VLOOKUP($A159,'0.Productos'!$A$3:$GG$587,'0.Productos'!BI$1+1,0),"")</f>
        <v/>
      </c>
      <c r="R159" s="133" t="str">
        <f>IF($A159&lt;&gt;0,VLOOKUP($A159,'0.Productos'!$A$3:$GG$587,'0.Productos'!BJ$1+1,0),"")</f>
        <v/>
      </c>
      <c r="S159" s="133" t="str">
        <f>IF($A159&lt;&gt;0,VLOOKUP($A159,'0.Productos'!$A$3:$GG$587,'0.Productos'!BK$1+1,0),"")</f>
        <v/>
      </c>
      <c r="T159" s="133" t="str">
        <f>IF($A159&lt;&gt;0,VLOOKUP($A159,'0.Productos'!$A$3:$GG$587,'0.Productos'!BL$1+1,0),"")</f>
        <v/>
      </c>
      <c r="U159" s="133" t="str">
        <f>IF($A159&lt;&gt;0,VLOOKUP($A159,'0.Productos'!$A$3:$GG$587,'0.Productos'!BM$1+1,0),"")</f>
        <v/>
      </c>
      <c r="V159" s="133" t="str">
        <f>IF($A159&lt;&gt;0,VLOOKUP($A159,'0.Productos'!$A$3:$GG$587,'0.Productos'!BN$1+1,0),"")</f>
        <v/>
      </c>
      <c r="W159" s="133" t="str">
        <f>IF($A159&lt;&gt;0,VLOOKUP($A159,'0.Productos'!$A$3:$GG$587,'0.Productos'!BO$1+1,0),"")</f>
        <v/>
      </c>
      <c r="X159" s="133" t="str">
        <f>IF($A159&lt;&gt;0,VLOOKUP($A159,'0.Productos'!$A$3:$GG$587,'0.Productos'!BP$1+1,0),"")</f>
        <v/>
      </c>
      <c r="Y159" s="133" t="str">
        <f>IF($A159&lt;&gt;0,VLOOKUP($A159,'0.Productos'!$A$3:$GG$587,'0.Productos'!BQ$1+1,0),"")</f>
        <v/>
      </c>
      <c r="Z159" s="133" t="str">
        <f>IF($A159&lt;&gt;0,VLOOKUP($A159,'0.Productos'!$A$3:$GG$587,'0.Productos'!BR$1+1,0),"")</f>
        <v/>
      </c>
      <c r="AA159" s="133" t="str">
        <f>IF($A159&lt;&gt;0,VLOOKUP($A159,'0.Productos'!$A$3:$GG$587,'0.Productos'!BS$1+1,0),"")</f>
        <v/>
      </c>
      <c r="AB159" s="133" t="str">
        <f>IF($A159&lt;&gt;0,VLOOKUP($A159,'0.Productos'!$A$3:$GG$587,'0.Productos'!BT$1+1,0),"")</f>
        <v/>
      </c>
      <c r="AC159" s="133" t="str">
        <f>IF($A159&lt;&gt;0,VLOOKUP($A159,'0.Productos'!$A$3:$GG$587,'0.Productos'!BU$1+1,0),"")</f>
        <v/>
      </c>
      <c r="AD159" s="133" t="str">
        <f>IF($A159&lt;&gt;0,VLOOKUP($A159,'0.Productos'!$A$3:$GG$587,'0.Productos'!BV$1+1,0),"")</f>
        <v/>
      </c>
      <c r="AE159" s="133" t="str">
        <f>IF($A159&lt;&gt;0,VLOOKUP($A159,'0.Productos'!$A$3:$GG$587,'0.Productos'!BW$1+1,0),"")</f>
        <v/>
      </c>
      <c r="AF159" s="133" t="str">
        <f>IF($A159&lt;&gt;0,VLOOKUP($A159,'0.Productos'!$A$3:$GG$587,'0.Productos'!BX$1+1,0),"")</f>
        <v/>
      </c>
      <c r="AG159" s="133" t="str">
        <f>IF($A159&lt;&gt;0,VLOOKUP($A159,'0.Productos'!$A$3:$GG$587,'0.Productos'!BY$1+1,0),"")</f>
        <v/>
      </c>
      <c r="AH159" s="133" t="str">
        <f>IF($A159&lt;&gt;0,VLOOKUP($A159,'0.Productos'!$A$3:$GG$587,'0.Productos'!BZ$1+1,0),"")</f>
        <v/>
      </c>
      <c r="AI159" s="133" t="str">
        <f>IF($A159&lt;&gt;0,VLOOKUP($A159,'0.Productos'!$A$3:$GG$587,'0.Productos'!CA$1+1,0),"")</f>
        <v/>
      </c>
      <c r="AJ159" s="133" t="str">
        <f>IF($A159&lt;&gt;0,VLOOKUP($A159,'0.Productos'!$A$3:$GG$587,'0.Productos'!CB$1+1,0),"")</f>
        <v/>
      </c>
      <c r="AK159" s="133" t="str">
        <f>IF($A159&lt;&gt;0,VLOOKUP($A159,'0.Productos'!$A$3:$GG$587,'0.Productos'!CC$1+1,0),"")</f>
        <v/>
      </c>
      <c r="AL159" s="133" t="str">
        <f>IF($A159&lt;&gt;0,VLOOKUP($A159,'0.Productos'!$A$3:$GG$587,'0.Productos'!CD$1+1,0),"")</f>
        <v/>
      </c>
      <c r="AM159" s="133" t="str">
        <f>IF($A159&lt;&gt;0,VLOOKUP($A159,'0.Productos'!$A$3:$GG$587,'0.Productos'!CE$1+1,0),"")</f>
        <v/>
      </c>
      <c r="AN159" s="133" t="str">
        <f>IF($A159&lt;&gt;0,VLOOKUP($A159,'0.Productos'!$A$3:$GG$587,'0.Productos'!CF$1+1,0),"")</f>
        <v/>
      </c>
      <c r="AO159" s="133" t="str">
        <f>IF($A159&lt;&gt;0,VLOOKUP($A159,'0.Productos'!$A$3:$GG$587,'0.Productos'!CG$1+1,0),"")</f>
        <v/>
      </c>
      <c r="AP159" s="133" t="str">
        <f>IF($A159&lt;&gt;0,VLOOKUP($A159,'0.Productos'!$A$3:$GG$587,'0.Productos'!CH$1+1,0),"")</f>
        <v/>
      </c>
      <c r="AQ159" s="133" t="str">
        <f>IF($A159&lt;&gt;0,VLOOKUP($A159,'0.Productos'!$A$3:$GG$587,'0.Productos'!CI$1+1,0),"")</f>
        <v/>
      </c>
      <c r="AR159" s="133" t="str">
        <f>IF($A159&lt;&gt;0,VLOOKUP($A159,'0.Productos'!$A$3:$GG$587,'0.Productos'!CJ$1+1,0),"")</f>
        <v/>
      </c>
      <c r="AS159" s="133" t="str">
        <f>IF($A159&lt;&gt;0,VLOOKUP($A159,'0.Productos'!$A$3:$GG$587,'0.Productos'!CK$1+1,0),"")</f>
        <v/>
      </c>
      <c r="AT159" s="133" t="str">
        <f>IF($A159&lt;&gt;0,VLOOKUP($A159,'0.Productos'!$A$3:$GG$587,'0.Productos'!CL$1+1,0),"")</f>
        <v/>
      </c>
      <c r="AU159" s="133" t="str">
        <f>IF($A159&lt;&gt;0,VLOOKUP($A159,'0.Productos'!$A$3:$GG$587,'0.Productos'!CM$1+1,0),"")</f>
        <v/>
      </c>
      <c r="AV159" s="133" t="str">
        <f>IF($A159&lt;&gt;0,VLOOKUP($A159,'0.Productos'!$A$3:$GG$587,'0.Productos'!CN$1+1,0),"")</f>
        <v/>
      </c>
      <c r="AW159" s="133" t="str">
        <f>IF($A159&lt;&gt;0,VLOOKUP($A159,'0.Productos'!$A$3:$GG$587,'0.Productos'!CO$1+1,0),"")</f>
        <v/>
      </c>
      <c r="AX159" s="133" t="str">
        <f>IF($A159&lt;&gt;0,VLOOKUP($A159,'0.Productos'!$A$3:$GG$587,'0.Productos'!CP$1+1,0),"")</f>
        <v/>
      </c>
      <c r="AY159" s="133" t="str">
        <f>IF($A159&lt;&gt;0,VLOOKUP($A159,'0.Productos'!$A$3:$GG$587,'0.Productos'!CQ$1+1,0),"")</f>
        <v/>
      </c>
      <c r="AZ159" s="133" t="str">
        <f>IF($A159&lt;&gt;0,VLOOKUP($A159,'0.Productos'!$A$3:$GG$587,'0.Productos'!CR$1+1,0),"")</f>
        <v/>
      </c>
      <c r="BA159" s="133" t="str">
        <f>IF($A159&lt;&gt;0,VLOOKUP($A159,'0.Productos'!$A$3:$GG$587,'0.Productos'!CS$1+1,0),"")</f>
        <v/>
      </c>
      <c r="BB159" s="133" t="str">
        <f>IF($A159&lt;&gt;0,VLOOKUP($A159,'0.Productos'!$A$3:$GG$587,'0.Productos'!CT$1+1,0),"")</f>
        <v/>
      </c>
      <c r="BC159" s="133" t="str">
        <f>IF($A159&lt;&gt;0,VLOOKUP($A159,'0.Productos'!$A$3:$GG$587,'0.Productos'!CU$1+1,0),"")</f>
        <v/>
      </c>
      <c r="BD159" s="133" t="str">
        <f>IF($A159&lt;&gt;0,VLOOKUP($A159,'0.Productos'!$A$3:$GG$587,'0.Productos'!CV$1+1,0),"")</f>
        <v/>
      </c>
      <c r="BE159" s="133" t="str">
        <f>IF($A159&lt;&gt;0,VLOOKUP($A159,'0.Productos'!$A$3:$GG$587,'0.Productos'!CW$1+1,0),"")</f>
        <v/>
      </c>
      <c r="BF159" s="133" t="str">
        <f>IF($A159&lt;&gt;0,VLOOKUP($A159,'0.Productos'!$A$3:$GG$587,'0.Productos'!CX$1+1,0),"")</f>
        <v/>
      </c>
      <c r="BG159" s="133" t="str">
        <f>IF($A159&lt;&gt;0,VLOOKUP($A159,'0.Productos'!$A$3:$GG$587,'0.Productos'!CY$1+1,0),"")</f>
        <v/>
      </c>
      <c r="BH159" s="133" t="str">
        <f>IF($A159&lt;&gt;0,VLOOKUP($A159,'0.Productos'!$A$3:$GG$587,'0.Productos'!CZ$1+1,0),"")</f>
        <v/>
      </c>
      <c r="BI159" s="133" t="str">
        <f>IF($A159&lt;&gt;0,VLOOKUP($A159,'0.Productos'!$A$3:$GG$587,'0.Productos'!DA$1+1,0),"")</f>
        <v/>
      </c>
      <c r="BJ159" s="133" t="str">
        <f>IF($A159&lt;&gt;0,VLOOKUP($A159,'0.Productos'!$A$3:$GG$587,'0.Productos'!DB$1+1,0),"")</f>
        <v/>
      </c>
      <c r="BK159" s="133" t="str">
        <f>IF($A159&lt;&gt;0,VLOOKUP($A159,'0.Productos'!$A$3:$GG$587,'0.Productos'!DC$1+1,0),"")</f>
        <v/>
      </c>
      <c r="BL159" s="133" t="str">
        <f>IF($A159&lt;&gt;0,VLOOKUP($A159,'0.Productos'!$A$3:$GG$587,'0.Productos'!DD$1+1,0),"")</f>
        <v/>
      </c>
      <c r="BM159" s="133" t="str">
        <f>IF($A159&lt;&gt;0,VLOOKUP($A159,'0.Productos'!$A$3:$GG$587,'0.Productos'!DE$1+1,0),"")</f>
        <v/>
      </c>
      <c r="BN159" s="133" t="str">
        <f>IF($A159&lt;&gt;0,VLOOKUP($A159,'0.Productos'!$A$3:$GG$587,'0.Productos'!DF$1+1,0),"")</f>
        <v/>
      </c>
      <c r="BO159" s="133" t="str">
        <f>IF($A159&lt;&gt;0,VLOOKUP($A159,'0.Productos'!$A$3:$GG$587,'0.Productos'!DG$1+1,0),"")</f>
        <v/>
      </c>
      <c r="BP159" s="133" t="str">
        <f>IF($A159&lt;&gt;0,VLOOKUP($A159,'0.Productos'!$A$3:$GG$587,'0.Productos'!DH$1+1,0),"")</f>
        <v/>
      </c>
      <c r="BQ159" s="133" t="str">
        <f>IF($A159&lt;&gt;0,VLOOKUP($A159,'0.Productos'!$A$3:$GG$587,'0.Productos'!DI$1+1,0),"")</f>
        <v/>
      </c>
      <c r="BR159" s="133" t="str">
        <f>IF($A159&lt;&gt;0,VLOOKUP($A159,'0.Productos'!$A$3:$GG$587,'0.Productos'!DJ$1+1,0),"")</f>
        <v/>
      </c>
      <c r="BS159" s="133" t="str">
        <f>IF($A159&lt;&gt;0,VLOOKUP($A159,'0.Productos'!$A$3:$GG$587,'0.Productos'!DK$1+1,0),"")</f>
        <v/>
      </c>
      <c r="BT159" s="133" t="str">
        <f>IF($A159&lt;&gt;0,VLOOKUP($A159,'0.Productos'!$A$3:$GG$587,'0.Productos'!DL$1+1,0),"")</f>
        <v/>
      </c>
    </row>
    <row r="160" spans="1:72" x14ac:dyDescent="0.25">
      <c r="A160" s="17">
        <f>'0.Consolidado general'!A160</f>
        <v>0</v>
      </c>
      <c r="B160" s="133" t="str">
        <f>IF($A160&lt;&gt;0,VLOOKUP($A160,'0.Productos'!$A$3:$GG$587,'0.Productos'!AT$1+1,0),"")</f>
        <v/>
      </c>
      <c r="C160" s="133" t="str">
        <f>IF($A160&lt;&gt;0,VLOOKUP($A160,'0.Productos'!$A$3:$GG$587,'0.Productos'!AU$1+1,0),"")</f>
        <v/>
      </c>
      <c r="D160" s="133" t="str">
        <f>IF($A160&lt;&gt;0,VLOOKUP($A160,'0.Productos'!$A$3:$GG$587,'0.Productos'!AV$1+1,0),"")</f>
        <v/>
      </c>
      <c r="E160" s="133" t="str">
        <f>IF($A160&lt;&gt;0,VLOOKUP($A160,'0.Productos'!$A$3:$GG$587,'0.Productos'!AW$1+1,0),"")</f>
        <v/>
      </c>
      <c r="F160" s="133" t="str">
        <f>IF($A160&lt;&gt;0,VLOOKUP($A160,'0.Productos'!$A$3:$GG$587,'0.Productos'!AX$1+1,0),"")</f>
        <v/>
      </c>
      <c r="G160" s="133" t="str">
        <f>IF($A160&lt;&gt;0,VLOOKUP($A160,'0.Productos'!$A$3:$GG$587,'0.Productos'!AY$1+1,0),"")</f>
        <v/>
      </c>
      <c r="H160" s="133" t="str">
        <f>IF($A160&lt;&gt;0,VLOOKUP($A160,'0.Productos'!$A$3:$GG$587,'0.Productos'!AZ$1+1,0),"")</f>
        <v/>
      </c>
      <c r="I160" s="133" t="str">
        <f>IF($A160&lt;&gt;0,VLOOKUP($A160,'0.Productos'!$A$3:$GG$587,'0.Productos'!BA$1+1,0),"")</f>
        <v/>
      </c>
      <c r="J160" s="133" t="str">
        <f>IF($A160&lt;&gt;0,VLOOKUP($A160,'0.Productos'!$A$3:$GG$587,'0.Productos'!BB$1+1,0),"")</f>
        <v/>
      </c>
      <c r="K160" s="133" t="str">
        <f>IF($A160&lt;&gt;0,VLOOKUP($A160,'0.Productos'!$A$3:$GG$587,'0.Productos'!BC$1+1,0),"")</f>
        <v/>
      </c>
      <c r="L160" s="133" t="str">
        <f>IF($A160&lt;&gt;0,VLOOKUP($A160,'0.Productos'!$A$3:$GG$587,'0.Productos'!BD$1+1,0),"")</f>
        <v/>
      </c>
      <c r="M160" s="133" t="str">
        <f>IF($A160&lt;&gt;0,VLOOKUP($A160,'0.Productos'!$A$3:$GG$587,'0.Productos'!BE$1+1,0),"")</f>
        <v/>
      </c>
      <c r="N160" s="133" t="str">
        <f>IF($A160&lt;&gt;0,VLOOKUP($A160,'0.Productos'!$A$3:$GG$587,'0.Productos'!BF$1+1,0),"")</f>
        <v/>
      </c>
      <c r="O160" s="133" t="str">
        <f>IF($A160&lt;&gt;0,VLOOKUP($A160,'0.Productos'!$A$3:$GG$587,'0.Productos'!BG$1+1,0),"")</f>
        <v/>
      </c>
      <c r="P160" s="133" t="str">
        <f>IF($A160&lt;&gt;0,VLOOKUP($A160,'0.Productos'!$A$3:$GG$587,'0.Productos'!BH$1+1,0),"")</f>
        <v/>
      </c>
      <c r="Q160" s="133" t="str">
        <f>IF($A160&lt;&gt;0,VLOOKUP($A160,'0.Productos'!$A$3:$GG$587,'0.Productos'!BI$1+1,0),"")</f>
        <v/>
      </c>
      <c r="R160" s="133" t="str">
        <f>IF($A160&lt;&gt;0,VLOOKUP($A160,'0.Productos'!$A$3:$GG$587,'0.Productos'!BJ$1+1,0),"")</f>
        <v/>
      </c>
      <c r="S160" s="133" t="str">
        <f>IF($A160&lt;&gt;0,VLOOKUP($A160,'0.Productos'!$A$3:$GG$587,'0.Productos'!BK$1+1,0),"")</f>
        <v/>
      </c>
      <c r="T160" s="133" t="str">
        <f>IF($A160&lt;&gt;0,VLOOKUP($A160,'0.Productos'!$A$3:$GG$587,'0.Productos'!BL$1+1,0),"")</f>
        <v/>
      </c>
      <c r="U160" s="133" t="str">
        <f>IF($A160&lt;&gt;0,VLOOKUP($A160,'0.Productos'!$A$3:$GG$587,'0.Productos'!BM$1+1,0),"")</f>
        <v/>
      </c>
      <c r="V160" s="133" t="str">
        <f>IF($A160&lt;&gt;0,VLOOKUP($A160,'0.Productos'!$A$3:$GG$587,'0.Productos'!BN$1+1,0),"")</f>
        <v/>
      </c>
      <c r="W160" s="133" t="str">
        <f>IF($A160&lt;&gt;0,VLOOKUP($A160,'0.Productos'!$A$3:$GG$587,'0.Productos'!BO$1+1,0),"")</f>
        <v/>
      </c>
      <c r="X160" s="133" t="str">
        <f>IF($A160&lt;&gt;0,VLOOKUP($A160,'0.Productos'!$A$3:$GG$587,'0.Productos'!BP$1+1,0),"")</f>
        <v/>
      </c>
      <c r="Y160" s="133" t="str">
        <f>IF($A160&lt;&gt;0,VLOOKUP($A160,'0.Productos'!$A$3:$GG$587,'0.Productos'!BQ$1+1,0),"")</f>
        <v/>
      </c>
      <c r="Z160" s="133" t="str">
        <f>IF($A160&lt;&gt;0,VLOOKUP($A160,'0.Productos'!$A$3:$GG$587,'0.Productos'!BR$1+1,0),"")</f>
        <v/>
      </c>
      <c r="AA160" s="133" t="str">
        <f>IF($A160&lt;&gt;0,VLOOKUP($A160,'0.Productos'!$A$3:$GG$587,'0.Productos'!BS$1+1,0),"")</f>
        <v/>
      </c>
      <c r="AB160" s="133" t="str">
        <f>IF($A160&lt;&gt;0,VLOOKUP($A160,'0.Productos'!$A$3:$GG$587,'0.Productos'!BT$1+1,0),"")</f>
        <v/>
      </c>
      <c r="AC160" s="133" t="str">
        <f>IF($A160&lt;&gt;0,VLOOKUP($A160,'0.Productos'!$A$3:$GG$587,'0.Productos'!BU$1+1,0),"")</f>
        <v/>
      </c>
      <c r="AD160" s="133" t="str">
        <f>IF($A160&lt;&gt;0,VLOOKUP($A160,'0.Productos'!$A$3:$GG$587,'0.Productos'!BV$1+1,0),"")</f>
        <v/>
      </c>
      <c r="AE160" s="133" t="str">
        <f>IF($A160&lt;&gt;0,VLOOKUP($A160,'0.Productos'!$A$3:$GG$587,'0.Productos'!BW$1+1,0),"")</f>
        <v/>
      </c>
      <c r="AF160" s="133" t="str">
        <f>IF($A160&lt;&gt;0,VLOOKUP($A160,'0.Productos'!$A$3:$GG$587,'0.Productos'!BX$1+1,0),"")</f>
        <v/>
      </c>
      <c r="AG160" s="133" t="str">
        <f>IF($A160&lt;&gt;0,VLOOKUP($A160,'0.Productos'!$A$3:$GG$587,'0.Productos'!BY$1+1,0),"")</f>
        <v/>
      </c>
      <c r="AH160" s="133" t="str">
        <f>IF($A160&lt;&gt;0,VLOOKUP($A160,'0.Productos'!$A$3:$GG$587,'0.Productos'!BZ$1+1,0),"")</f>
        <v/>
      </c>
      <c r="AI160" s="133" t="str">
        <f>IF($A160&lt;&gt;0,VLOOKUP($A160,'0.Productos'!$A$3:$GG$587,'0.Productos'!CA$1+1,0),"")</f>
        <v/>
      </c>
      <c r="AJ160" s="133" t="str">
        <f>IF($A160&lt;&gt;0,VLOOKUP($A160,'0.Productos'!$A$3:$GG$587,'0.Productos'!CB$1+1,0),"")</f>
        <v/>
      </c>
      <c r="AK160" s="133" t="str">
        <f>IF($A160&lt;&gt;0,VLOOKUP($A160,'0.Productos'!$A$3:$GG$587,'0.Productos'!CC$1+1,0),"")</f>
        <v/>
      </c>
      <c r="AL160" s="133" t="str">
        <f>IF($A160&lt;&gt;0,VLOOKUP($A160,'0.Productos'!$A$3:$GG$587,'0.Productos'!CD$1+1,0),"")</f>
        <v/>
      </c>
      <c r="AM160" s="133" t="str">
        <f>IF($A160&lt;&gt;0,VLOOKUP($A160,'0.Productos'!$A$3:$GG$587,'0.Productos'!CE$1+1,0),"")</f>
        <v/>
      </c>
      <c r="AN160" s="133" t="str">
        <f>IF($A160&lt;&gt;0,VLOOKUP($A160,'0.Productos'!$A$3:$GG$587,'0.Productos'!CF$1+1,0),"")</f>
        <v/>
      </c>
      <c r="AO160" s="133" t="str">
        <f>IF($A160&lt;&gt;0,VLOOKUP($A160,'0.Productos'!$A$3:$GG$587,'0.Productos'!CG$1+1,0),"")</f>
        <v/>
      </c>
      <c r="AP160" s="133" t="str">
        <f>IF($A160&lt;&gt;0,VLOOKUP($A160,'0.Productos'!$A$3:$GG$587,'0.Productos'!CH$1+1,0),"")</f>
        <v/>
      </c>
      <c r="AQ160" s="133" t="str">
        <f>IF($A160&lt;&gt;0,VLOOKUP($A160,'0.Productos'!$A$3:$GG$587,'0.Productos'!CI$1+1,0),"")</f>
        <v/>
      </c>
      <c r="AR160" s="133" t="str">
        <f>IF($A160&lt;&gt;0,VLOOKUP($A160,'0.Productos'!$A$3:$GG$587,'0.Productos'!CJ$1+1,0),"")</f>
        <v/>
      </c>
      <c r="AS160" s="133" t="str">
        <f>IF($A160&lt;&gt;0,VLOOKUP($A160,'0.Productos'!$A$3:$GG$587,'0.Productos'!CK$1+1,0),"")</f>
        <v/>
      </c>
      <c r="AT160" s="133" t="str">
        <f>IF($A160&lt;&gt;0,VLOOKUP($A160,'0.Productos'!$A$3:$GG$587,'0.Productos'!CL$1+1,0),"")</f>
        <v/>
      </c>
      <c r="AU160" s="133" t="str">
        <f>IF($A160&lt;&gt;0,VLOOKUP($A160,'0.Productos'!$A$3:$GG$587,'0.Productos'!CM$1+1,0),"")</f>
        <v/>
      </c>
      <c r="AV160" s="133" t="str">
        <f>IF($A160&lt;&gt;0,VLOOKUP($A160,'0.Productos'!$A$3:$GG$587,'0.Productos'!CN$1+1,0),"")</f>
        <v/>
      </c>
      <c r="AW160" s="133" t="str">
        <f>IF($A160&lt;&gt;0,VLOOKUP($A160,'0.Productos'!$A$3:$GG$587,'0.Productos'!CO$1+1,0),"")</f>
        <v/>
      </c>
      <c r="AX160" s="133" t="str">
        <f>IF($A160&lt;&gt;0,VLOOKUP($A160,'0.Productos'!$A$3:$GG$587,'0.Productos'!CP$1+1,0),"")</f>
        <v/>
      </c>
      <c r="AY160" s="133" t="str">
        <f>IF($A160&lt;&gt;0,VLOOKUP($A160,'0.Productos'!$A$3:$GG$587,'0.Productos'!CQ$1+1,0),"")</f>
        <v/>
      </c>
      <c r="AZ160" s="133" t="str">
        <f>IF($A160&lt;&gt;0,VLOOKUP($A160,'0.Productos'!$A$3:$GG$587,'0.Productos'!CR$1+1,0),"")</f>
        <v/>
      </c>
      <c r="BA160" s="133" t="str">
        <f>IF($A160&lt;&gt;0,VLOOKUP($A160,'0.Productos'!$A$3:$GG$587,'0.Productos'!CS$1+1,0),"")</f>
        <v/>
      </c>
      <c r="BB160" s="133" t="str">
        <f>IF($A160&lt;&gt;0,VLOOKUP($A160,'0.Productos'!$A$3:$GG$587,'0.Productos'!CT$1+1,0),"")</f>
        <v/>
      </c>
      <c r="BC160" s="133" t="str">
        <f>IF($A160&lt;&gt;0,VLOOKUP($A160,'0.Productos'!$A$3:$GG$587,'0.Productos'!CU$1+1,0),"")</f>
        <v/>
      </c>
      <c r="BD160" s="133" t="str">
        <f>IF($A160&lt;&gt;0,VLOOKUP($A160,'0.Productos'!$A$3:$GG$587,'0.Productos'!CV$1+1,0),"")</f>
        <v/>
      </c>
      <c r="BE160" s="133" t="str">
        <f>IF($A160&lt;&gt;0,VLOOKUP($A160,'0.Productos'!$A$3:$GG$587,'0.Productos'!CW$1+1,0),"")</f>
        <v/>
      </c>
      <c r="BF160" s="133" t="str">
        <f>IF($A160&lt;&gt;0,VLOOKUP($A160,'0.Productos'!$A$3:$GG$587,'0.Productos'!CX$1+1,0),"")</f>
        <v/>
      </c>
      <c r="BG160" s="133" t="str">
        <f>IF($A160&lt;&gt;0,VLOOKUP($A160,'0.Productos'!$A$3:$GG$587,'0.Productos'!CY$1+1,0),"")</f>
        <v/>
      </c>
      <c r="BH160" s="133" t="str">
        <f>IF($A160&lt;&gt;0,VLOOKUP($A160,'0.Productos'!$A$3:$GG$587,'0.Productos'!CZ$1+1,0),"")</f>
        <v/>
      </c>
      <c r="BI160" s="133" t="str">
        <f>IF($A160&lt;&gt;0,VLOOKUP($A160,'0.Productos'!$A$3:$GG$587,'0.Productos'!DA$1+1,0),"")</f>
        <v/>
      </c>
      <c r="BJ160" s="133" t="str">
        <f>IF($A160&lt;&gt;0,VLOOKUP($A160,'0.Productos'!$A$3:$GG$587,'0.Productos'!DB$1+1,0),"")</f>
        <v/>
      </c>
      <c r="BK160" s="133" t="str">
        <f>IF($A160&lt;&gt;0,VLOOKUP($A160,'0.Productos'!$A$3:$GG$587,'0.Productos'!DC$1+1,0),"")</f>
        <v/>
      </c>
      <c r="BL160" s="133" t="str">
        <f>IF($A160&lt;&gt;0,VLOOKUP($A160,'0.Productos'!$A$3:$GG$587,'0.Productos'!DD$1+1,0),"")</f>
        <v/>
      </c>
      <c r="BM160" s="133" t="str">
        <f>IF($A160&lt;&gt;0,VLOOKUP($A160,'0.Productos'!$A$3:$GG$587,'0.Productos'!DE$1+1,0),"")</f>
        <v/>
      </c>
      <c r="BN160" s="133" t="str">
        <f>IF($A160&lt;&gt;0,VLOOKUP($A160,'0.Productos'!$A$3:$GG$587,'0.Productos'!DF$1+1,0),"")</f>
        <v/>
      </c>
      <c r="BO160" s="133" t="str">
        <f>IF($A160&lt;&gt;0,VLOOKUP($A160,'0.Productos'!$A$3:$GG$587,'0.Productos'!DG$1+1,0),"")</f>
        <v/>
      </c>
      <c r="BP160" s="133" t="str">
        <f>IF($A160&lt;&gt;0,VLOOKUP($A160,'0.Productos'!$A$3:$GG$587,'0.Productos'!DH$1+1,0),"")</f>
        <v/>
      </c>
      <c r="BQ160" s="133" t="str">
        <f>IF($A160&lt;&gt;0,VLOOKUP($A160,'0.Productos'!$A$3:$GG$587,'0.Productos'!DI$1+1,0),"")</f>
        <v/>
      </c>
      <c r="BR160" s="133" t="str">
        <f>IF($A160&lt;&gt;0,VLOOKUP($A160,'0.Productos'!$A$3:$GG$587,'0.Productos'!DJ$1+1,0),"")</f>
        <v/>
      </c>
      <c r="BS160" s="133" t="str">
        <f>IF($A160&lt;&gt;0,VLOOKUP($A160,'0.Productos'!$A$3:$GG$587,'0.Productos'!DK$1+1,0),"")</f>
        <v/>
      </c>
      <c r="BT160" s="133" t="str">
        <f>IF($A160&lt;&gt;0,VLOOKUP($A160,'0.Productos'!$A$3:$GG$587,'0.Productos'!DL$1+1,0),"")</f>
        <v/>
      </c>
    </row>
    <row r="161" spans="1:72" x14ac:dyDescent="0.25">
      <c r="A161" s="17">
        <f>'0.Consolidado general'!A161</f>
        <v>0</v>
      </c>
      <c r="B161" s="133" t="str">
        <f>IF($A161&lt;&gt;0,VLOOKUP($A161,'0.Productos'!$A$3:$GG$587,'0.Productos'!AT$1+1,0),"")</f>
        <v/>
      </c>
      <c r="C161" s="133" t="str">
        <f>IF($A161&lt;&gt;0,VLOOKUP($A161,'0.Productos'!$A$3:$GG$587,'0.Productos'!AU$1+1,0),"")</f>
        <v/>
      </c>
      <c r="D161" s="133" t="str">
        <f>IF($A161&lt;&gt;0,VLOOKUP($A161,'0.Productos'!$A$3:$GG$587,'0.Productos'!AV$1+1,0),"")</f>
        <v/>
      </c>
      <c r="E161" s="133" t="str">
        <f>IF($A161&lt;&gt;0,VLOOKUP($A161,'0.Productos'!$A$3:$GG$587,'0.Productos'!AW$1+1,0),"")</f>
        <v/>
      </c>
      <c r="F161" s="133" t="str">
        <f>IF($A161&lt;&gt;0,VLOOKUP($A161,'0.Productos'!$A$3:$GG$587,'0.Productos'!AX$1+1,0),"")</f>
        <v/>
      </c>
      <c r="G161" s="133" t="str">
        <f>IF($A161&lt;&gt;0,VLOOKUP($A161,'0.Productos'!$A$3:$GG$587,'0.Productos'!AY$1+1,0),"")</f>
        <v/>
      </c>
      <c r="H161" s="133" t="str">
        <f>IF($A161&lt;&gt;0,VLOOKUP($A161,'0.Productos'!$A$3:$GG$587,'0.Productos'!AZ$1+1,0),"")</f>
        <v/>
      </c>
      <c r="I161" s="133" t="str">
        <f>IF($A161&lt;&gt;0,VLOOKUP($A161,'0.Productos'!$A$3:$GG$587,'0.Productos'!BA$1+1,0),"")</f>
        <v/>
      </c>
      <c r="J161" s="133" t="str">
        <f>IF($A161&lt;&gt;0,VLOOKUP($A161,'0.Productos'!$A$3:$GG$587,'0.Productos'!BB$1+1,0),"")</f>
        <v/>
      </c>
      <c r="K161" s="133" t="str">
        <f>IF($A161&lt;&gt;0,VLOOKUP($A161,'0.Productos'!$A$3:$GG$587,'0.Productos'!BC$1+1,0),"")</f>
        <v/>
      </c>
      <c r="L161" s="133" t="str">
        <f>IF($A161&lt;&gt;0,VLOOKUP($A161,'0.Productos'!$A$3:$GG$587,'0.Productos'!BD$1+1,0),"")</f>
        <v/>
      </c>
      <c r="M161" s="133" t="str">
        <f>IF($A161&lt;&gt;0,VLOOKUP($A161,'0.Productos'!$A$3:$GG$587,'0.Productos'!BE$1+1,0),"")</f>
        <v/>
      </c>
      <c r="N161" s="133" t="str">
        <f>IF($A161&lt;&gt;0,VLOOKUP($A161,'0.Productos'!$A$3:$GG$587,'0.Productos'!BF$1+1,0),"")</f>
        <v/>
      </c>
      <c r="O161" s="133" t="str">
        <f>IF($A161&lt;&gt;0,VLOOKUP($A161,'0.Productos'!$A$3:$GG$587,'0.Productos'!BG$1+1,0),"")</f>
        <v/>
      </c>
      <c r="P161" s="133" t="str">
        <f>IF($A161&lt;&gt;0,VLOOKUP($A161,'0.Productos'!$A$3:$GG$587,'0.Productos'!BH$1+1,0),"")</f>
        <v/>
      </c>
      <c r="Q161" s="133" t="str">
        <f>IF($A161&lt;&gt;0,VLOOKUP($A161,'0.Productos'!$A$3:$GG$587,'0.Productos'!BI$1+1,0),"")</f>
        <v/>
      </c>
      <c r="R161" s="133" t="str">
        <f>IF($A161&lt;&gt;0,VLOOKUP($A161,'0.Productos'!$A$3:$GG$587,'0.Productos'!BJ$1+1,0),"")</f>
        <v/>
      </c>
      <c r="S161" s="133" t="str">
        <f>IF($A161&lt;&gt;0,VLOOKUP($A161,'0.Productos'!$A$3:$GG$587,'0.Productos'!BK$1+1,0),"")</f>
        <v/>
      </c>
      <c r="T161" s="133" t="str">
        <f>IF($A161&lt;&gt;0,VLOOKUP($A161,'0.Productos'!$A$3:$GG$587,'0.Productos'!BL$1+1,0),"")</f>
        <v/>
      </c>
      <c r="U161" s="133" t="str">
        <f>IF($A161&lt;&gt;0,VLOOKUP($A161,'0.Productos'!$A$3:$GG$587,'0.Productos'!BM$1+1,0),"")</f>
        <v/>
      </c>
      <c r="V161" s="133" t="str">
        <f>IF($A161&lt;&gt;0,VLOOKUP($A161,'0.Productos'!$A$3:$GG$587,'0.Productos'!BN$1+1,0),"")</f>
        <v/>
      </c>
      <c r="W161" s="133" t="str">
        <f>IF($A161&lt;&gt;0,VLOOKUP($A161,'0.Productos'!$A$3:$GG$587,'0.Productos'!BO$1+1,0),"")</f>
        <v/>
      </c>
      <c r="X161" s="133" t="str">
        <f>IF($A161&lt;&gt;0,VLOOKUP($A161,'0.Productos'!$A$3:$GG$587,'0.Productos'!BP$1+1,0),"")</f>
        <v/>
      </c>
      <c r="Y161" s="133" t="str">
        <f>IF($A161&lt;&gt;0,VLOOKUP($A161,'0.Productos'!$A$3:$GG$587,'0.Productos'!BQ$1+1,0),"")</f>
        <v/>
      </c>
      <c r="Z161" s="133" t="str">
        <f>IF($A161&lt;&gt;0,VLOOKUP($A161,'0.Productos'!$A$3:$GG$587,'0.Productos'!BR$1+1,0),"")</f>
        <v/>
      </c>
      <c r="AA161" s="133" t="str">
        <f>IF($A161&lt;&gt;0,VLOOKUP($A161,'0.Productos'!$A$3:$GG$587,'0.Productos'!BS$1+1,0),"")</f>
        <v/>
      </c>
      <c r="AB161" s="133" t="str">
        <f>IF($A161&lt;&gt;0,VLOOKUP($A161,'0.Productos'!$A$3:$GG$587,'0.Productos'!BT$1+1,0),"")</f>
        <v/>
      </c>
      <c r="AC161" s="133" t="str">
        <f>IF($A161&lt;&gt;0,VLOOKUP($A161,'0.Productos'!$A$3:$GG$587,'0.Productos'!BU$1+1,0),"")</f>
        <v/>
      </c>
      <c r="AD161" s="133" t="str">
        <f>IF($A161&lt;&gt;0,VLOOKUP($A161,'0.Productos'!$A$3:$GG$587,'0.Productos'!BV$1+1,0),"")</f>
        <v/>
      </c>
      <c r="AE161" s="133" t="str">
        <f>IF($A161&lt;&gt;0,VLOOKUP($A161,'0.Productos'!$A$3:$GG$587,'0.Productos'!BW$1+1,0),"")</f>
        <v/>
      </c>
      <c r="AF161" s="133" t="str">
        <f>IF($A161&lt;&gt;0,VLOOKUP($A161,'0.Productos'!$A$3:$GG$587,'0.Productos'!BX$1+1,0),"")</f>
        <v/>
      </c>
      <c r="AG161" s="133" t="str">
        <f>IF($A161&lt;&gt;0,VLOOKUP($A161,'0.Productos'!$A$3:$GG$587,'0.Productos'!BY$1+1,0),"")</f>
        <v/>
      </c>
      <c r="AH161" s="133" t="str">
        <f>IF($A161&lt;&gt;0,VLOOKUP($A161,'0.Productos'!$A$3:$GG$587,'0.Productos'!BZ$1+1,0),"")</f>
        <v/>
      </c>
      <c r="AI161" s="133" t="str">
        <f>IF($A161&lt;&gt;0,VLOOKUP($A161,'0.Productos'!$A$3:$GG$587,'0.Productos'!CA$1+1,0),"")</f>
        <v/>
      </c>
      <c r="AJ161" s="133" t="str">
        <f>IF($A161&lt;&gt;0,VLOOKUP($A161,'0.Productos'!$A$3:$GG$587,'0.Productos'!CB$1+1,0),"")</f>
        <v/>
      </c>
      <c r="AK161" s="133" t="str">
        <f>IF($A161&lt;&gt;0,VLOOKUP($A161,'0.Productos'!$A$3:$GG$587,'0.Productos'!CC$1+1,0),"")</f>
        <v/>
      </c>
      <c r="AL161" s="133" t="str">
        <f>IF($A161&lt;&gt;0,VLOOKUP($A161,'0.Productos'!$A$3:$GG$587,'0.Productos'!CD$1+1,0),"")</f>
        <v/>
      </c>
      <c r="AM161" s="133" t="str">
        <f>IF($A161&lt;&gt;0,VLOOKUP($A161,'0.Productos'!$A$3:$GG$587,'0.Productos'!CE$1+1,0),"")</f>
        <v/>
      </c>
      <c r="AN161" s="133" t="str">
        <f>IF($A161&lt;&gt;0,VLOOKUP($A161,'0.Productos'!$A$3:$GG$587,'0.Productos'!CF$1+1,0),"")</f>
        <v/>
      </c>
      <c r="AO161" s="133" t="str">
        <f>IF($A161&lt;&gt;0,VLOOKUP($A161,'0.Productos'!$A$3:$GG$587,'0.Productos'!CG$1+1,0),"")</f>
        <v/>
      </c>
      <c r="AP161" s="133" t="str">
        <f>IF($A161&lt;&gt;0,VLOOKUP($A161,'0.Productos'!$A$3:$GG$587,'0.Productos'!CH$1+1,0),"")</f>
        <v/>
      </c>
      <c r="AQ161" s="133" t="str">
        <f>IF($A161&lt;&gt;0,VLOOKUP($A161,'0.Productos'!$A$3:$GG$587,'0.Productos'!CI$1+1,0),"")</f>
        <v/>
      </c>
      <c r="AR161" s="133" t="str">
        <f>IF($A161&lt;&gt;0,VLOOKUP($A161,'0.Productos'!$A$3:$GG$587,'0.Productos'!CJ$1+1,0),"")</f>
        <v/>
      </c>
      <c r="AS161" s="133" t="str">
        <f>IF($A161&lt;&gt;0,VLOOKUP($A161,'0.Productos'!$A$3:$GG$587,'0.Productos'!CK$1+1,0),"")</f>
        <v/>
      </c>
      <c r="AT161" s="133" t="str">
        <f>IF($A161&lt;&gt;0,VLOOKUP($A161,'0.Productos'!$A$3:$GG$587,'0.Productos'!CL$1+1,0),"")</f>
        <v/>
      </c>
      <c r="AU161" s="133" t="str">
        <f>IF($A161&lt;&gt;0,VLOOKUP($A161,'0.Productos'!$A$3:$GG$587,'0.Productos'!CM$1+1,0),"")</f>
        <v/>
      </c>
      <c r="AV161" s="133" t="str">
        <f>IF($A161&lt;&gt;0,VLOOKUP($A161,'0.Productos'!$A$3:$GG$587,'0.Productos'!CN$1+1,0),"")</f>
        <v/>
      </c>
      <c r="AW161" s="133" t="str">
        <f>IF($A161&lt;&gt;0,VLOOKUP($A161,'0.Productos'!$A$3:$GG$587,'0.Productos'!CO$1+1,0),"")</f>
        <v/>
      </c>
      <c r="AX161" s="133" t="str">
        <f>IF($A161&lt;&gt;0,VLOOKUP($A161,'0.Productos'!$A$3:$GG$587,'0.Productos'!CP$1+1,0),"")</f>
        <v/>
      </c>
      <c r="AY161" s="133" t="str">
        <f>IF($A161&lt;&gt;0,VLOOKUP($A161,'0.Productos'!$A$3:$GG$587,'0.Productos'!CQ$1+1,0),"")</f>
        <v/>
      </c>
      <c r="AZ161" s="133" t="str">
        <f>IF($A161&lt;&gt;0,VLOOKUP($A161,'0.Productos'!$A$3:$GG$587,'0.Productos'!CR$1+1,0),"")</f>
        <v/>
      </c>
      <c r="BA161" s="133" t="str">
        <f>IF($A161&lt;&gt;0,VLOOKUP($A161,'0.Productos'!$A$3:$GG$587,'0.Productos'!CS$1+1,0),"")</f>
        <v/>
      </c>
      <c r="BB161" s="133" t="str">
        <f>IF($A161&lt;&gt;0,VLOOKUP($A161,'0.Productos'!$A$3:$GG$587,'0.Productos'!CT$1+1,0),"")</f>
        <v/>
      </c>
      <c r="BC161" s="133" t="str">
        <f>IF($A161&lt;&gt;0,VLOOKUP($A161,'0.Productos'!$A$3:$GG$587,'0.Productos'!CU$1+1,0),"")</f>
        <v/>
      </c>
      <c r="BD161" s="133" t="str">
        <f>IF($A161&lt;&gt;0,VLOOKUP($A161,'0.Productos'!$A$3:$GG$587,'0.Productos'!CV$1+1,0),"")</f>
        <v/>
      </c>
      <c r="BE161" s="133" t="str">
        <f>IF($A161&lt;&gt;0,VLOOKUP($A161,'0.Productos'!$A$3:$GG$587,'0.Productos'!CW$1+1,0),"")</f>
        <v/>
      </c>
      <c r="BF161" s="133" t="str">
        <f>IF($A161&lt;&gt;0,VLOOKUP($A161,'0.Productos'!$A$3:$GG$587,'0.Productos'!CX$1+1,0),"")</f>
        <v/>
      </c>
      <c r="BG161" s="133" t="str">
        <f>IF($A161&lt;&gt;0,VLOOKUP($A161,'0.Productos'!$A$3:$GG$587,'0.Productos'!CY$1+1,0),"")</f>
        <v/>
      </c>
      <c r="BH161" s="133" t="str">
        <f>IF($A161&lt;&gt;0,VLOOKUP($A161,'0.Productos'!$A$3:$GG$587,'0.Productos'!CZ$1+1,0),"")</f>
        <v/>
      </c>
      <c r="BI161" s="133" t="str">
        <f>IF($A161&lt;&gt;0,VLOOKUP($A161,'0.Productos'!$A$3:$GG$587,'0.Productos'!DA$1+1,0),"")</f>
        <v/>
      </c>
      <c r="BJ161" s="133" t="str">
        <f>IF($A161&lt;&gt;0,VLOOKUP($A161,'0.Productos'!$A$3:$GG$587,'0.Productos'!DB$1+1,0),"")</f>
        <v/>
      </c>
      <c r="BK161" s="133" t="str">
        <f>IF($A161&lt;&gt;0,VLOOKUP($A161,'0.Productos'!$A$3:$GG$587,'0.Productos'!DC$1+1,0),"")</f>
        <v/>
      </c>
      <c r="BL161" s="133" t="str">
        <f>IF($A161&lt;&gt;0,VLOOKUP($A161,'0.Productos'!$A$3:$GG$587,'0.Productos'!DD$1+1,0),"")</f>
        <v/>
      </c>
      <c r="BM161" s="133" t="str">
        <f>IF($A161&lt;&gt;0,VLOOKUP($A161,'0.Productos'!$A$3:$GG$587,'0.Productos'!DE$1+1,0),"")</f>
        <v/>
      </c>
      <c r="BN161" s="133" t="str">
        <f>IF($A161&lt;&gt;0,VLOOKUP($A161,'0.Productos'!$A$3:$GG$587,'0.Productos'!DF$1+1,0),"")</f>
        <v/>
      </c>
      <c r="BO161" s="133" t="str">
        <f>IF($A161&lt;&gt;0,VLOOKUP($A161,'0.Productos'!$A$3:$GG$587,'0.Productos'!DG$1+1,0),"")</f>
        <v/>
      </c>
      <c r="BP161" s="133" t="str">
        <f>IF($A161&lt;&gt;0,VLOOKUP($A161,'0.Productos'!$A$3:$GG$587,'0.Productos'!DH$1+1,0),"")</f>
        <v/>
      </c>
      <c r="BQ161" s="133" t="str">
        <f>IF($A161&lt;&gt;0,VLOOKUP($A161,'0.Productos'!$A$3:$GG$587,'0.Productos'!DI$1+1,0),"")</f>
        <v/>
      </c>
      <c r="BR161" s="133" t="str">
        <f>IF($A161&lt;&gt;0,VLOOKUP($A161,'0.Productos'!$A$3:$GG$587,'0.Productos'!DJ$1+1,0),"")</f>
        <v/>
      </c>
      <c r="BS161" s="133" t="str">
        <f>IF($A161&lt;&gt;0,VLOOKUP($A161,'0.Productos'!$A$3:$GG$587,'0.Productos'!DK$1+1,0),"")</f>
        <v/>
      </c>
      <c r="BT161" s="133" t="str">
        <f>IF($A161&lt;&gt;0,VLOOKUP($A161,'0.Productos'!$A$3:$GG$587,'0.Productos'!DL$1+1,0),"")</f>
        <v/>
      </c>
    </row>
    <row r="162" spans="1:72" x14ac:dyDescent="0.25">
      <c r="A162" s="17">
        <f>'0.Consolidado general'!A162</f>
        <v>0</v>
      </c>
      <c r="B162" s="133" t="str">
        <f>IF($A162&lt;&gt;0,VLOOKUP($A162,'0.Productos'!$A$3:$GG$587,'0.Productos'!AT$1+1,0),"")</f>
        <v/>
      </c>
      <c r="C162" s="133" t="str">
        <f>IF($A162&lt;&gt;0,VLOOKUP($A162,'0.Productos'!$A$3:$GG$587,'0.Productos'!AU$1+1,0),"")</f>
        <v/>
      </c>
      <c r="D162" s="133" t="str">
        <f>IF($A162&lt;&gt;0,VLOOKUP($A162,'0.Productos'!$A$3:$GG$587,'0.Productos'!AV$1+1,0),"")</f>
        <v/>
      </c>
      <c r="E162" s="133" t="str">
        <f>IF($A162&lt;&gt;0,VLOOKUP($A162,'0.Productos'!$A$3:$GG$587,'0.Productos'!AW$1+1,0),"")</f>
        <v/>
      </c>
      <c r="F162" s="133" t="str">
        <f>IF($A162&lt;&gt;0,VLOOKUP($A162,'0.Productos'!$A$3:$GG$587,'0.Productos'!AX$1+1,0),"")</f>
        <v/>
      </c>
      <c r="G162" s="133" t="str">
        <f>IF($A162&lt;&gt;0,VLOOKUP($A162,'0.Productos'!$A$3:$GG$587,'0.Productos'!AY$1+1,0),"")</f>
        <v/>
      </c>
      <c r="H162" s="133" t="str">
        <f>IF($A162&lt;&gt;0,VLOOKUP($A162,'0.Productos'!$A$3:$GG$587,'0.Productos'!AZ$1+1,0),"")</f>
        <v/>
      </c>
      <c r="I162" s="133" t="str">
        <f>IF($A162&lt;&gt;0,VLOOKUP($A162,'0.Productos'!$A$3:$GG$587,'0.Productos'!BA$1+1,0),"")</f>
        <v/>
      </c>
      <c r="J162" s="133" t="str">
        <f>IF($A162&lt;&gt;0,VLOOKUP($A162,'0.Productos'!$A$3:$GG$587,'0.Productos'!BB$1+1,0),"")</f>
        <v/>
      </c>
      <c r="K162" s="133" t="str">
        <f>IF($A162&lt;&gt;0,VLOOKUP($A162,'0.Productos'!$A$3:$GG$587,'0.Productos'!BC$1+1,0),"")</f>
        <v/>
      </c>
      <c r="L162" s="133" t="str">
        <f>IF($A162&lt;&gt;0,VLOOKUP($A162,'0.Productos'!$A$3:$GG$587,'0.Productos'!BD$1+1,0),"")</f>
        <v/>
      </c>
      <c r="M162" s="133" t="str">
        <f>IF($A162&lt;&gt;0,VLOOKUP($A162,'0.Productos'!$A$3:$GG$587,'0.Productos'!BE$1+1,0),"")</f>
        <v/>
      </c>
      <c r="N162" s="133" t="str">
        <f>IF($A162&lt;&gt;0,VLOOKUP($A162,'0.Productos'!$A$3:$GG$587,'0.Productos'!BF$1+1,0),"")</f>
        <v/>
      </c>
      <c r="O162" s="133" t="str">
        <f>IF($A162&lt;&gt;0,VLOOKUP($A162,'0.Productos'!$A$3:$GG$587,'0.Productos'!BG$1+1,0),"")</f>
        <v/>
      </c>
      <c r="P162" s="133" t="str">
        <f>IF($A162&lt;&gt;0,VLOOKUP($A162,'0.Productos'!$A$3:$GG$587,'0.Productos'!BH$1+1,0),"")</f>
        <v/>
      </c>
      <c r="Q162" s="133" t="str">
        <f>IF($A162&lt;&gt;0,VLOOKUP($A162,'0.Productos'!$A$3:$GG$587,'0.Productos'!BI$1+1,0),"")</f>
        <v/>
      </c>
      <c r="R162" s="133" t="str">
        <f>IF($A162&lt;&gt;0,VLOOKUP($A162,'0.Productos'!$A$3:$GG$587,'0.Productos'!BJ$1+1,0),"")</f>
        <v/>
      </c>
      <c r="S162" s="133" t="str">
        <f>IF($A162&lt;&gt;0,VLOOKUP($A162,'0.Productos'!$A$3:$GG$587,'0.Productos'!BK$1+1,0),"")</f>
        <v/>
      </c>
      <c r="T162" s="133" t="str">
        <f>IF($A162&lt;&gt;0,VLOOKUP($A162,'0.Productos'!$A$3:$GG$587,'0.Productos'!BL$1+1,0),"")</f>
        <v/>
      </c>
      <c r="U162" s="133" t="str">
        <f>IF($A162&lt;&gt;0,VLOOKUP($A162,'0.Productos'!$A$3:$GG$587,'0.Productos'!BM$1+1,0),"")</f>
        <v/>
      </c>
      <c r="V162" s="133" t="str">
        <f>IF($A162&lt;&gt;0,VLOOKUP($A162,'0.Productos'!$A$3:$GG$587,'0.Productos'!BN$1+1,0),"")</f>
        <v/>
      </c>
      <c r="W162" s="133" t="str">
        <f>IF($A162&lt;&gt;0,VLOOKUP($A162,'0.Productos'!$A$3:$GG$587,'0.Productos'!BO$1+1,0),"")</f>
        <v/>
      </c>
      <c r="X162" s="133" t="str">
        <f>IF($A162&lt;&gt;0,VLOOKUP($A162,'0.Productos'!$A$3:$GG$587,'0.Productos'!BP$1+1,0),"")</f>
        <v/>
      </c>
      <c r="Y162" s="133" t="str">
        <f>IF($A162&lt;&gt;0,VLOOKUP($A162,'0.Productos'!$A$3:$GG$587,'0.Productos'!BQ$1+1,0),"")</f>
        <v/>
      </c>
      <c r="Z162" s="133" t="str">
        <f>IF($A162&lt;&gt;0,VLOOKUP($A162,'0.Productos'!$A$3:$GG$587,'0.Productos'!BR$1+1,0),"")</f>
        <v/>
      </c>
      <c r="AA162" s="133" t="str">
        <f>IF($A162&lt;&gt;0,VLOOKUP($A162,'0.Productos'!$A$3:$GG$587,'0.Productos'!BS$1+1,0),"")</f>
        <v/>
      </c>
      <c r="AB162" s="133" t="str">
        <f>IF($A162&lt;&gt;0,VLOOKUP($A162,'0.Productos'!$A$3:$GG$587,'0.Productos'!BT$1+1,0),"")</f>
        <v/>
      </c>
      <c r="AC162" s="133" t="str">
        <f>IF($A162&lt;&gt;0,VLOOKUP($A162,'0.Productos'!$A$3:$GG$587,'0.Productos'!BU$1+1,0),"")</f>
        <v/>
      </c>
      <c r="AD162" s="133" t="str">
        <f>IF($A162&lt;&gt;0,VLOOKUP($A162,'0.Productos'!$A$3:$GG$587,'0.Productos'!BV$1+1,0),"")</f>
        <v/>
      </c>
      <c r="AE162" s="133" t="str">
        <f>IF($A162&lt;&gt;0,VLOOKUP($A162,'0.Productos'!$A$3:$GG$587,'0.Productos'!BW$1+1,0),"")</f>
        <v/>
      </c>
      <c r="AF162" s="133" t="str">
        <f>IF($A162&lt;&gt;0,VLOOKUP($A162,'0.Productos'!$A$3:$GG$587,'0.Productos'!BX$1+1,0),"")</f>
        <v/>
      </c>
      <c r="AG162" s="133" t="str">
        <f>IF($A162&lt;&gt;0,VLOOKUP($A162,'0.Productos'!$A$3:$GG$587,'0.Productos'!BY$1+1,0),"")</f>
        <v/>
      </c>
      <c r="AH162" s="133" t="str">
        <f>IF($A162&lt;&gt;0,VLOOKUP($A162,'0.Productos'!$A$3:$GG$587,'0.Productos'!BZ$1+1,0),"")</f>
        <v/>
      </c>
      <c r="AI162" s="133" t="str">
        <f>IF($A162&lt;&gt;0,VLOOKUP($A162,'0.Productos'!$A$3:$GG$587,'0.Productos'!CA$1+1,0),"")</f>
        <v/>
      </c>
      <c r="AJ162" s="133" t="str">
        <f>IF($A162&lt;&gt;0,VLOOKUP($A162,'0.Productos'!$A$3:$GG$587,'0.Productos'!CB$1+1,0),"")</f>
        <v/>
      </c>
      <c r="AK162" s="133" t="str">
        <f>IF($A162&lt;&gt;0,VLOOKUP($A162,'0.Productos'!$A$3:$GG$587,'0.Productos'!CC$1+1,0),"")</f>
        <v/>
      </c>
      <c r="AL162" s="133" t="str">
        <f>IF($A162&lt;&gt;0,VLOOKUP($A162,'0.Productos'!$A$3:$GG$587,'0.Productos'!CD$1+1,0),"")</f>
        <v/>
      </c>
      <c r="AM162" s="133" t="str">
        <f>IF($A162&lt;&gt;0,VLOOKUP($A162,'0.Productos'!$A$3:$GG$587,'0.Productos'!CE$1+1,0),"")</f>
        <v/>
      </c>
      <c r="AN162" s="133" t="str">
        <f>IF($A162&lt;&gt;0,VLOOKUP($A162,'0.Productos'!$A$3:$GG$587,'0.Productos'!CF$1+1,0),"")</f>
        <v/>
      </c>
      <c r="AO162" s="133" t="str">
        <f>IF($A162&lt;&gt;0,VLOOKUP($A162,'0.Productos'!$A$3:$GG$587,'0.Productos'!CG$1+1,0),"")</f>
        <v/>
      </c>
      <c r="AP162" s="133" t="str">
        <f>IF($A162&lt;&gt;0,VLOOKUP($A162,'0.Productos'!$A$3:$GG$587,'0.Productos'!CH$1+1,0),"")</f>
        <v/>
      </c>
      <c r="AQ162" s="133" t="str">
        <f>IF($A162&lt;&gt;0,VLOOKUP($A162,'0.Productos'!$A$3:$GG$587,'0.Productos'!CI$1+1,0),"")</f>
        <v/>
      </c>
      <c r="AR162" s="133" t="str">
        <f>IF($A162&lt;&gt;0,VLOOKUP($A162,'0.Productos'!$A$3:$GG$587,'0.Productos'!CJ$1+1,0),"")</f>
        <v/>
      </c>
      <c r="AS162" s="133" t="str">
        <f>IF($A162&lt;&gt;0,VLOOKUP($A162,'0.Productos'!$A$3:$GG$587,'0.Productos'!CK$1+1,0),"")</f>
        <v/>
      </c>
      <c r="AT162" s="133" t="str">
        <f>IF($A162&lt;&gt;0,VLOOKUP($A162,'0.Productos'!$A$3:$GG$587,'0.Productos'!CL$1+1,0),"")</f>
        <v/>
      </c>
      <c r="AU162" s="133" t="str">
        <f>IF($A162&lt;&gt;0,VLOOKUP($A162,'0.Productos'!$A$3:$GG$587,'0.Productos'!CM$1+1,0),"")</f>
        <v/>
      </c>
      <c r="AV162" s="133" t="str">
        <f>IF($A162&lt;&gt;0,VLOOKUP($A162,'0.Productos'!$A$3:$GG$587,'0.Productos'!CN$1+1,0),"")</f>
        <v/>
      </c>
      <c r="AW162" s="133" t="str">
        <f>IF($A162&lt;&gt;0,VLOOKUP($A162,'0.Productos'!$A$3:$GG$587,'0.Productos'!CO$1+1,0),"")</f>
        <v/>
      </c>
      <c r="AX162" s="133" t="str">
        <f>IF($A162&lt;&gt;0,VLOOKUP($A162,'0.Productos'!$A$3:$GG$587,'0.Productos'!CP$1+1,0),"")</f>
        <v/>
      </c>
      <c r="AY162" s="133" t="str">
        <f>IF($A162&lt;&gt;0,VLOOKUP($A162,'0.Productos'!$A$3:$GG$587,'0.Productos'!CQ$1+1,0),"")</f>
        <v/>
      </c>
      <c r="AZ162" s="133" t="str">
        <f>IF($A162&lt;&gt;0,VLOOKUP($A162,'0.Productos'!$A$3:$GG$587,'0.Productos'!CR$1+1,0),"")</f>
        <v/>
      </c>
      <c r="BA162" s="133" t="str">
        <f>IF($A162&lt;&gt;0,VLOOKUP($A162,'0.Productos'!$A$3:$GG$587,'0.Productos'!CS$1+1,0),"")</f>
        <v/>
      </c>
      <c r="BB162" s="133" t="str">
        <f>IF($A162&lt;&gt;0,VLOOKUP($A162,'0.Productos'!$A$3:$GG$587,'0.Productos'!CT$1+1,0),"")</f>
        <v/>
      </c>
      <c r="BC162" s="133" t="str">
        <f>IF($A162&lt;&gt;0,VLOOKUP($A162,'0.Productos'!$A$3:$GG$587,'0.Productos'!CU$1+1,0),"")</f>
        <v/>
      </c>
      <c r="BD162" s="133" t="str">
        <f>IF($A162&lt;&gt;0,VLOOKUP($A162,'0.Productos'!$A$3:$GG$587,'0.Productos'!CV$1+1,0),"")</f>
        <v/>
      </c>
      <c r="BE162" s="133" t="str">
        <f>IF($A162&lt;&gt;0,VLOOKUP($A162,'0.Productos'!$A$3:$GG$587,'0.Productos'!CW$1+1,0),"")</f>
        <v/>
      </c>
      <c r="BF162" s="133" t="str">
        <f>IF($A162&lt;&gt;0,VLOOKUP($A162,'0.Productos'!$A$3:$GG$587,'0.Productos'!CX$1+1,0),"")</f>
        <v/>
      </c>
      <c r="BG162" s="133" t="str">
        <f>IF($A162&lt;&gt;0,VLOOKUP($A162,'0.Productos'!$A$3:$GG$587,'0.Productos'!CY$1+1,0),"")</f>
        <v/>
      </c>
      <c r="BH162" s="133" t="str">
        <f>IF($A162&lt;&gt;0,VLOOKUP($A162,'0.Productos'!$A$3:$GG$587,'0.Productos'!CZ$1+1,0),"")</f>
        <v/>
      </c>
      <c r="BI162" s="133" t="str">
        <f>IF($A162&lt;&gt;0,VLOOKUP($A162,'0.Productos'!$A$3:$GG$587,'0.Productos'!DA$1+1,0),"")</f>
        <v/>
      </c>
      <c r="BJ162" s="133" t="str">
        <f>IF($A162&lt;&gt;0,VLOOKUP($A162,'0.Productos'!$A$3:$GG$587,'0.Productos'!DB$1+1,0),"")</f>
        <v/>
      </c>
      <c r="BK162" s="133" t="str">
        <f>IF($A162&lt;&gt;0,VLOOKUP($A162,'0.Productos'!$A$3:$GG$587,'0.Productos'!DC$1+1,0),"")</f>
        <v/>
      </c>
      <c r="BL162" s="133" t="str">
        <f>IF($A162&lt;&gt;0,VLOOKUP($A162,'0.Productos'!$A$3:$GG$587,'0.Productos'!DD$1+1,0),"")</f>
        <v/>
      </c>
      <c r="BM162" s="133" t="str">
        <f>IF($A162&lt;&gt;0,VLOOKUP($A162,'0.Productos'!$A$3:$GG$587,'0.Productos'!DE$1+1,0),"")</f>
        <v/>
      </c>
      <c r="BN162" s="133" t="str">
        <f>IF($A162&lt;&gt;0,VLOOKUP($A162,'0.Productos'!$A$3:$GG$587,'0.Productos'!DF$1+1,0),"")</f>
        <v/>
      </c>
      <c r="BO162" s="133" t="str">
        <f>IF($A162&lt;&gt;0,VLOOKUP($A162,'0.Productos'!$A$3:$GG$587,'0.Productos'!DG$1+1,0),"")</f>
        <v/>
      </c>
      <c r="BP162" s="133" t="str">
        <f>IF($A162&lt;&gt;0,VLOOKUP($A162,'0.Productos'!$A$3:$GG$587,'0.Productos'!DH$1+1,0),"")</f>
        <v/>
      </c>
      <c r="BQ162" s="133" t="str">
        <f>IF($A162&lt;&gt;0,VLOOKUP($A162,'0.Productos'!$A$3:$GG$587,'0.Productos'!DI$1+1,0),"")</f>
        <v/>
      </c>
      <c r="BR162" s="133" t="str">
        <f>IF($A162&lt;&gt;0,VLOOKUP($A162,'0.Productos'!$A$3:$GG$587,'0.Productos'!DJ$1+1,0),"")</f>
        <v/>
      </c>
      <c r="BS162" s="133" t="str">
        <f>IF($A162&lt;&gt;0,VLOOKUP($A162,'0.Productos'!$A$3:$GG$587,'0.Productos'!DK$1+1,0),"")</f>
        <v/>
      </c>
      <c r="BT162" s="133" t="str">
        <f>IF($A162&lt;&gt;0,VLOOKUP($A162,'0.Productos'!$A$3:$GG$587,'0.Productos'!DL$1+1,0),"")</f>
        <v/>
      </c>
    </row>
    <row r="163" spans="1:72" x14ac:dyDescent="0.25">
      <c r="A163" s="17">
        <f>'0.Consolidado general'!A163</f>
        <v>0</v>
      </c>
      <c r="B163" s="133" t="str">
        <f>IF($A163&lt;&gt;0,VLOOKUP($A163,'0.Productos'!$A$3:$GG$587,'0.Productos'!AT$1+1,0),"")</f>
        <v/>
      </c>
      <c r="C163" s="133" t="str">
        <f>IF($A163&lt;&gt;0,VLOOKUP($A163,'0.Productos'!$A$3:$GG$587,'0.Productos'!AU$1+1,0),"")</f>
        <v/>
      </c>
      <c r="D163" s="133" t="str">
        <f>IF($A163&lt;&gt;0,VLOOKUP($A163,'0.Productos'!$A$3:$GG$587,'0.Productos'!AV$1+1,0),"")</f>
        <v/>
      </c>
      <c r="E163" s="133" t="str">
        <f>IF($A163&lt;&gt;0,VLOOKUP($A163,'0.Productos'!$A$3:$GG$587,'0.Productos'!AW$1+1,0),"")</f>
        <v/>
      </c>
      <c r="F163" s="133" t="str">
        <f>IF($A163&lt;&gt;0,VLOOKUP($A163,'0.Productos'!$A$3:$GG$587,'0.Productos'!AX$1+1,0),"")</f>
        <v/>
      </c>
      <c r="G163" s="133" t="str">
        <f>IF($A163&lt;&gt;0,VLOOKUP($A163,'0.Productos'!$A$3:$GG$587,'0.Productos'!AY$1+1,0),"")</f>
        <v/>
      </c>
      <c r="H163" s="133" t="str">
        <f>IF($A163&lt;&gt;0,VLOOKUP($A163,'0.Productos'!$A$3:$GG$587,'0.Productos'!AZ$1+1,0),"")</f>
        <v/>
      </c>
      <c r="I163" s="133" t="str">
        <f>IF($A163&lt;&gt;0,VLOOKUP($A163,'0.Productos'!$A$3:$GG$587,'0.Productos'!BA$1+1,0),"")</f>
        <v/>
      </c>
      <c r="J163" s="133" t="str">
        <f>IF($A163&lt;&gt;0,VLOOKUP($A163,'0.Productos'!$A$3:$GG$587,'0.Productos'!BB$1+1,0),"")</f>
        <v/>
      </c>
      <c r="K163" s="133" t="str">
        <f>IF($A163&lt;&gt;0,VLOOKUP($A163,'0.Productos'!$A$3:$GG$587,'0.Productos'!BC$1+1,0),"")</f>
        <v/>
      </c>
      <c r="L163" s="133" t="str">
        <f>IF($A163&lt;&gt;0,VLOOKUP($A163,'0.Productos'!$A$3:$GG$587,'0.Productos'!BD$1+1,0),"")</f>
        <v/>
      </c>
      <c r="M163" s="133" t="str">
        <f>IF($A163&lt;&gt;0,VLOOKUP($A163,'0.Productos'!$A$3:$GG$587,'0.Productos'!BE$1+1,0),"")</f>
        <v/>
      </c>
      <c r="N163" s="133" t="str">
        <f>IF($A163&lt;&gt;0,VLOOKUP($A163,'0.Productos'!$A$3:$GG$587,'0.Productos'!BF$1+1,0),"")</f>
        <v/>
      </c>
      <c r="O163" s="133" t="str">
        <f>IF($A163&lt;&gt;0,VLOOKUP($A163,'0.Productos'!$A$3:$GG$587,'0.Productos'!BG$1+1,0),"")</f>
        <v/>
      </c>
      <c r="P163" s="133" t="str">
        <f>IF($A163&lt;&gt;0,VLOOKUP($A163,'0.Productos'!$A$3:$GG$587,'0.Productos'!BH$1+1,0),"")</f>
        <v/>
      </c>
      <c r="Q163" s="133" t="str">
        <f>IF($A163&lt;&gt;0,VLOOKUP($A163,'0.Productos'!$A$3:$GG$587,'0.Productos'!BI$1+1,0),"")</f>
        <v/>
      </c>
      <c r="R163" s="133" t="str">
        <f>IF($A163&lt;&gt;0,VLOOKUP($A163,'0.Productos'!$A$3:$GG$587,'0.Productos'!BJ$1+1,0),"")</f>
        <v/>
      </c>
      <c r="S163" s="133" t="str">
        <f>IF($A163&lt;&gt;0,VLOOKUP($A163,'0.Productos'!$A$3:$GG$587,'0.Productos'!BK$1+1,0),"")</f>
        <v/>
      </c>
      <c r="T163" s="133" t="str">
        <f>IF($A163&lt;&gt;0,VLOOKUP($A163,'0.Productos'!$A$3:$GG$587,'0.Productos'!BL$1+1,0),"")</f>
        <v/>
      </c>
      <c r="U163" s="133" t="str">
        <f>IF($A163&lt;&gt;0,VLOOKUP($A163,'0.Productos'!$A$3:$GG$587,'0.Productos'!BM$1+1,0),"")</f>
        <v/>
      </c>
      <c r="V163" s="133" t="str">
        <f>IF($A163&lt;&gt;0,VLOOKUP($A163,'0.Productos'!$A$3:$GG$587,'0.Productos'!BN$1+1,0),"")</f>
        <v/>
      </c>
      <c r="W163" s="133" t="str">
        <f>IF($A163&lt;&gt;0,VLOOKUP($A163,'0.Productos'!$A$3:$GG$587,'0.Productos'!BO$1+1,0),"")</f>
        <v/>
      </c>
      <c r="X163" s="133" t="str">
        <f>IF($A163&lt;&gt;0,VLOOKUP($A163,'0.Productos'!$A$3:$GG$587,'0.Productos'!BP$1+1,0),"")</f>
        <v/>
      </c>
      <c r="Y163" s="133" t="str">
        <f>IF($A163&lt;&gt;0,VLOOKUP($A163,'0.Productos'!$A$3:$GG$587,'0.Productos'!BQ$1+1,0),"")</f>
        <v/>
      </c>
      <c r="Z163" s="133" t="str">
        <f>IF($A163&lt;&gt;0,VLOOKUP($A163,'0.Productos'!$A$3:$GG$587,'0.Productos'!BR$1+1,0),"")</f>
        <v/>
      </c>
      <c r="AA163" s="133" t="str">
        <f>IF($A163&lt;&gt;0,VLOOKUP($A163,'0.Productos'!$A$3:$GG$587,'0.Productos'!BS$1+1,0),"")</f>
        <v/>
      </c>
      <c r="AB163" s="133" t="str">
        <f>IF($A163&lt;&gt;0,VLOOKUP($A163,'0.Productos'!$A$3:$GG$587,'0.Productos'!BT$1+1,0),"")</f>
        <v/>
      </c>
      <c r="AC163" s="133" t="str">
        <f>IF($A163&lt;&gt;0,VLOOKUP($A163,'0.Productos'!$A$3:$GG$587,'0.Productos'!BU$1+1,0),"")</f>
        <v/>
      </c>
      <c r="AD163" s="133" t="str">
        <f>IF($A163&lt;&gt;0,VLOOKUP($A163,'0.Productos'!$A$3:$GG$587,'0.Productos'!BV$1+1,0),"")</f>
        <v/>
      </c>
      <c r="AE163" s="133" t="str">
        <f>IF($A163&lt;&gt;0,VLOOKUP($A163,'0.Productos'!$A$3:$GG$587,'0.Productos'!BW$1+1,0),"")</f>
        <v/>
      </c>
      <c r="AF163" s="133" t="str">
        <f>IF($A163&lt;&gt;0,VLOOKUP($A163,'0.Productos'!$A$3:$GG$587,'0.Productos'!BX$1+1,0),"")</f>
        <v/>
      </c>
      <c r="AG163" s="133" t="str">
        <f>IF($A163&lt;&gt;0,VLOOKUP($A163,'0.Productos'!$A$3:$GG$587,'0.Productos'!BY$1+1,0),"")</f>
        <v/>
      </c>
      <c r="AH163" s="133" t="str">
        <f>IF($A163&lt;&gt;0,VLOOKUP($A163,'0.Productos'!$A$3:$GG$587,'0.Productos'!BZ$1+1,0),"")</f>
        <v/>
      </c>
      <c r="AI163" s="133" t="str">
        <f>IF($A163&lt;&gt;0,VLOOKUP($A163,'0.Productos'!$A$3:$GG$587,'0.Productos'!CA$1+1,0),"")</f>
        <v/>
      </c>
      <c r="AJ163" s="133" t="str">
        <f>IF($A163&lt;&gt;0,VLOOKUP($A163,'0.Productos'!$A$3:$GG$587,'0.Productos'!CB$1+1,0),"")</f>
        <v/>
      </c>
      <c r="AK163" s="133" t="str">
        <f>IF($A163&lt;&gt;0,VLOOKUP($A163,'0.Productos'!$A$3:$GG$587,'0.Productos'!CC$1+1,0),"")</f>
        <v/>
      </c>
      <c r="AL163" s="133" t="str">
        <f>IF($A163&lt;&gt;0,VLOOKUP($A163,'0.Productos'!$A$3:$GG$587,'0.Productos'!CD$1+1,0),"")</f>
        <v/>
      </c>
      <c r="AM163" s="133" t="str">
        <f>IF($A163&lt;&gt;0,VLOOKUP($A163,'0.Productos'!$A$3:$GG$587,'0.Productos'!CE$1+1,0),"")</f>
        <v/>
      </c>
      <c r="AN163" s="133" t="str">
        <f>IF($A163&lt;&gt;0,VLOOKUP($A163,'0.Productos'!$A$3:$GG$587,'0.Productos'!CF$1+1,0),"")</f>
        <v/>
      </c>
      <c r="AO163" s="133" t="str">
        <f>IF($A163&lt;&gt;0,VLOOKUP($A163,'0.Productos'!$A$3:$GG$587,'0.Productos'!CG$1+1,0),"")</f>
        <v/>
      </c>
      <c r="AP163" s="133" t="str">
        <f>IF($A163&lt;&gt;0,VLOOKUP($A163,'0.Productos'!$A$3:$GG$587,'0.Productos'!CH$1+1,0),"")</f>
        <v/>
      </c>
      <c r="AQ163" s="133" t="str">
        <f>IF($A163&lt;&gt;0,VLOOKUP($A163,'0.Productos'!$A$3:$GG$587,'0.Productos'!CI$1+1,0),"")</f>
        <v/>
      </c>
      <c r="AR163" s="133" t="str">
        <f>IF($A163&lt;&gt;0,VLOOKUP($A163,'0.Productos'!$A$3:$GG$587,'0.Productos'!CJ$1+1,0),"")</f>
        <v/>
      </c>
      <c r="AS163" s="133" t="str">
        <f>IF($A163&lt;&gt;0,VLOOKUP($A163,'0.Productos'!$A$3:$GG$587,'0.Productos'!CK$1+1,0),"")</f>
        <v/>
      </c>
      <c r="AT163" s="133" t="str">
        <f>IF($A163&lt;&gt;0,VLOOKUP($A163,'0.Productos'!$A$3:$GG$587,'0.Productos'!CL$1+1,0),"")</f>
        <v/>
      </c>
      <c r="AU163" s="133" t="str">
        <f>IF($A163&lt;&gt;0,VLOOKUP($A163,'0.Productos'!$A$3:$GG$587,'0.Productos'!CM$1+1,0),"")</f>
        <v/>
      </c>
      <c r="AV163" s="133" t="str">
        <f>IF($A163&lt;&gt;0,VLOOKUP($A163,'0.Productos'!$A$3:$GG$587,'0.Productos'!CN$1+1,0),"")</f>
        <v/>
      </c>
      <c r="AW163" s="133" t="str">
        <f>IF($A163&lt;&gt;0,VLOOKUP($A163,'0.Productos'!$A$3:$GG$587,'0.Productos'!CO$1+1,0),"")</f>
        <v/>
      </c>
      <c r="AX163" s="133" t="str">
        <f>IF($A163&lt;&gt;0,VLOOKUP($A163,'0.Productos'!$A$3:$GG$587,'0.Productos'!CP$1+1,0),"")</f>
        <v/>
      </c>
      <c r="AY163" s="133" t="str">
        <f>IF($A163&lt;&gt;0,VLOOKUP($A163,'0.Productos'!$A$3:$GG$587,'0.Productos'!CQ$1+1,0),"")</f>
        <v/>
      </c>
      <c r="AZ163" s="133" t="str">
        <f>IF($A163&lt;&gt;0,VLOOKUP($A163,'0.Productos'!$A$3:$GG$587,'0.Productos'!CR$1+1,0),"")</f>
        <v/>
      </c>
      <c r="BA163" s="133" t="str">
        <f>IF($A163&lt;&gt;0,VLOOKUP($A163,'0.Productos'!$A$3:$GG$587,'0.Productos'!CS$1+1,0),"")</f>
        <v/>
      </c>
      <c r="BB163" s="133" t="str">
        <f>IF($A163&lt;&gt;0,VLOOKUP($A163,'0.Productos'!$A$3:$GG$587,'0.Productos'!CT$1+1,0),"")</f>
        <v/>
      </c>
      <c r="BC163" s="133" t="str">
        <f>IF($A163&lt;&gt;0,VLOOKUP($A163,'0.Productos'!$A$3:$GG$587,'0.Productos'!CU$1+1,0),"")</f>
        <v/>
      </c>
      <c r="BD163" s="133" t="str">
        <f>IF($A163&lt;&gt;0,VLOOKUP($A163,'0.Productos'!$A$3:$GG$587,'0.Productos'!CV$1+1,0),"")</f>
        <v/>
      </c>
      <c r="BE163" s="133" t="str">
        <f>IF($A163&lt;&gt;0,VLOOKUP($A163,'0.Productos'!$A$3:$GG$587,'0.Productos'!CW$1+1,0),"")</f>
        <v/>
      </c>
      <c r="BF163" s="133" t="str">
        <f>IF($A163&lt;&gt;0,VLOOKUP($A163,'0.Productos'!$A$3:$GG$587,'0.Productos'!CX$1+1,0),"")</f>
        <v/>
      </c>
      <c r="BG163" s="133" t="str">
        <f>IF($A163&lt;&gt;0,VLOOKUP($A163,'0.Productos'!$A$3:$GG$587,'0.Productos'!CY$1+1,0),"")</f>
        <v/>
      </c>
      <c r="BH163" s="133" t="str">
        <f>IF($A163&lt;&gt;0,VLOOKUP($A163,'0.Productos'!$A$3:$GG$587,'0.Productos'!CZ$1+1,0),"")</f>
        <v/>
      </c>
      <c r="BI163" s="133" t="str">
        <f>IF($A163&lt;&gt;0,VLOOKUP($A163,'0.Productos'!$A$3:$GG$587,'0.Productos'!DA$1+1,0),"")</f>
        <v/>
      </c>
      <c r="BJ163" s="133" t="str">
        <f>IF($A163&lt;&gt;0,VLOOKUP($A163,'0.Productos'!$A$3:$GG$587,'0.Productos'!DB$1+1,0),"")</f>
        <v/>
      </c>
      <c r="BK163" s="133" t="str">
        <f>IF($A163&lt;&gt;0,VLOOKUP($A163,'0.Productos'!$A$3:$GG$587,'0.Productos'!DC$1+1,0),"")</f>
        <v/>
      </c>
      <c r="BL163" s="133" t="str">
        <f>IF($A163&lt;&gt;0,VLOOKUP($A163,'0.Productos'!$A$3:$GG$587,'0.Productos'!DD$1+1,0),"")</f>
        <v/>
      </c>
      <c r="BM163" s="133" t="str">
        <f>IF($A163&lt;&gt;0,VLOOKUP($A163,'0.Productos'!$A$3:$GG$587,'0.Productos'!DE$1+1,0),"")</f>
        <v/>
      </c>
      <c r="BN163" s="133" t="str">
        <f>IF($A163&lt;&gt;0,VLOOKUP($A163,'0.Productos'!$A$3:$GG$587,'0.Productos'!DF$1+1,0),"")</f>
        <v/>
      </c>
      <c r="BO163" s="133" t="str">
        <f>IF($A163&lt;&gt;0,VLOOKUP($A163,'0.Productos'!$A$3:$GG$587,'0.Productos'!DG$1+1,0),"")</f>
        <v/>
      </c>
      <c r="BP163" s="133" t="str">
        <f>IF($A163&lt;&gt;0,VLOOKUP($A163,'0.Productos'!$A$3:$GG$587,'0.Productos'!DH$1+1,0),"")</f>
        <v/>
      </c>
      <c r="BQ163" s="133" t="str">
        <f>IF($A163&lt;&gt;0,VLOOKUP($A163,'0.Productos'!$A$3:$GG$587,'0.Productos'!DI$1+1,0),"")</f>
        <v/>
      </c>
      <c r="BR163" s="133" t="str">
        <f>IF($A163&lt;&gt;0,VLOOKUP($A163,'0.Productos'!$A$3:$GG$587,'0.Productos'!DJ$1+1,0),"")</f>
        <v/>
      </c>
      <c r="BS163" s="133" t="str">
        <f>IF($A163&lt;&gt;0,VLOOKUP($A163,'0.Productos'!$A$3:$GG$587,'0.Productos'!DK$1+1,0),"")</f>
        <v/>
      </c>
      <c r="BT163" s="133" t="str">
        <f>IF($A163&lt;&gt;0,VLOOKUP($A163,'0.Productos'!$A$3:$GG$587,'0.Productos'!DL$1+1,0),"")</f>
        <v/>
      </c>
    </row>
    <row r="164" spans="1:72" x14ac:dyDescent="0.25">
      <c r="A164" s="17">
        <f>'0.Consolidado general'!A164</f>
        <v>0</v>
      </c>
      <c r="B164" s="133" t="str">
        <f>IF($A164&lt;&gt;0,VLOOKUP($A164,'0.Productos'!$A$3:$GG$587,'0.Productos'!AT$1+1,0),"")</f>
        <v/>
      </c>
      <c r="C164" s="133" t="str">
        <f>IF($A164&lt;&gt;0,VLOOKUP($A164,'0.Productos'!$A$3:$GG$587,'0.Productos'!AU$1+1,0),"")</f>
        <v/>
      </c>
      <c r="D164" s="133" t="str">
        <f>IF($A164&lt;&gt;0,VLOOKUP($A164,'0.Productos'!$A$3:$GG$587,'0.Productos'!AV$1+1,0),"")</f>
        <v/>
      </c>
      <c r="E164" s="133" t="str">
        <f>IF($A164&lt;&gt;0,VLOOKUP($A164,'0.Productos'!$A$3:$GG$587,'0.Productos'!AW$1+1,0),"")</f>
        <v/>
      </c>
      <c r="F164" s="133" t="str">
        <f>IF($A164&lt;&gt;0,VLOOKUP($A164,'0.Productos'!$A$3:$GG$587,'0.Productos'!AX$1+1,0),"")</f>
        <v/>
      </c>
      <c r="G164" s="133" t="str">
        <f>IF($A164&lt;&gt;0,VLOOKUP($A164,'0.Productos'!$A$3:$GG$587,'0.Productos'!AY$1+1,0),"")</f>
        <v/>
      </c>
      <c r="H164" s="133" t="str">
        <f>IF($A164&lt;&gt;0,VLOOKUP($A164,'0.Productos'!$A$3:$GG$587,'0.Productos'!AZ$1+1,0),"")</f>
        <v/>
      </c>
      <c r="I164" s="133" t="str">
        <f>IF($A164&lt;&gt;0,VLOOKUP($A164,'0.Productos'!$A$3:$GG$587,'0.Productos'!BA$1+1,0),"")</f>
        <v/>
      </c>
      <c r="J164" s="133" t="str">
        <f>IF($A164&lt;&gt;0,VLOOKUP($A164,'0.Productos'!$A$3:$GG$587,'0.Productos'!BB$1+1,0),"")</f>
        <v/>
      </c>
      <c r="K164" s="133" t="str">
        <f>IF($A164&lt;&gt;0,VLOOKUP($A164,'0.Productos'!$A$3:$GG$587,'0.Productos'!BC$1+1,0),"")</f>
        <v/>
      </c>
      <c r="L164" s="133" t="str">
        <f>IF($A164&lt;&gt;0,VLOOKUP($A164,'0.Productos'!$A$3:$GG$587,'0.Productos'!BD$1+1,0),"")</f>
        <v/>
      </c>
      <c r="M164" s="133" t="str">
        <f>IF($A164&lt;&gt;0,VLOOKUP($A164,'0.Productos'!$A$3:$GG$587,'0.Productos'!BE$1+1,0),"")</f>
        <v/>
      </c>
      <c r="N164" s="133" t="str">
        <f>IF($A164&lt;&gt;0,VLOOKUP($A164,'0.Productos'!$A$3:$GG$587,'0.Productos'!BF$1+1,0),"")</f>
        <v/>
      </c>
      <c r="O164" s="133" t="str">
        <f>IF($A164&lt;&gt;0,VLOOKUP($A164,'0.Productos'!$A$3:$GG$587,'0.Productos'!BG$1+1,0),"")</f>
        <v/>
      </c>
      <c r="P164" s="133" t="str">
        <f>IF($A164&lt;&gt;0,VLOOKUP($A164,'0.Productos'!$A$3:$GG$587,'0.Productos'!BH$1+1,0),"")</f>
        <v/>
      </c>
      <c r="Q164" s="133" t="str">
        <f>IF($A164&lt;&gt;0,VLOOKUP($A164,'0.Productos'!$A$3:$GG$587,'0.Productos'!BI$1+1,0),"")</f>
        <v/>
      </c>
      <c r="R164" s="133" t="str">
        <f>IF($A164&lt;&gt;0,VLOOKUP($A164,'0.Productos'!$A$3:$GG$587,'0.Productos'!BJ$1+1,0),"")</f>
        <v/>
      </c>
      <c r="S164" s="133" t="str">
        <f>IF($A164&lt;&gt;0,VLOOKUP($A164,'0.Productos'!$A$3:$GG$587,'0.Productos'!BK$1+1,0),"")</f>
        <v/>
      </c>
      <c r="T164" s="133" t="str">
        <f>IF($A164&lt;&gt;0,VLOOKUP($A164,'0.Productos'!$A$3:$GG$587,'0.Productos'!BL$1+1,0),"")</f>
        <v/>
      </c>
      <c r="U164" s="133" t="str">
        <f>IF($A164&lt;&gt;0,VLOOKUP($A164,'0.Productos'!$A$3:$GG$587,'0.Productos'!BM$1+1,0),"")</f>
        <v/>
      </c>
      <c r="V164" s="133" t="str">
        <f>IF($A164&lt;&gt;0,VLOOKUP($A164,'0.Productos'!$A$3:$GG$587,'0.Productos'!BN$1+1,0),"")</f>
        <v/>
      </c>
      <c r="W164" s="133" t="str">
        <f>IF($A164&lt;&gt;0,VLOOKUP($A164,'0.Productos'!$A$3:$GG$587,'0.Productos'!BO$1+1,0),"")</f>
        <v/>
      </c>
      <c r="X164" s="133" t="str">
        <f>IF($A164&lt;&gt;0,VLOOKUP($A164,'0.Productos'!$A$3:$GG$587,'0.Productos'!BP$1+1,0),"")</f>
        <v/>
      </c>
      <c r="Y164" s="133" t="str">
        <f>IF($A164&lt;&gt;0,VLOOKUP($A164,'0.Productos'!$A$3:$GG$587,'0.Productos'!BQ$1+1,0),"")</f>
        <v/>
      </c>
      <c r="Z164" s="133" t="str">
        <f>IF($A164&lt;&gt;0,VLOOKUP($A164,'0.Productos'!$A$3:$GG$587,'0.Productos'!BR$1+1,0),"")</f>
        <v/>
      </c>
      <c r="AA164" s="133" t="str">
        <f>IF($A164&lt;&gt;0,VLOOKUP($A164,'0.Productos'!$A$3:$GG$587,'0.Productos'!BS$1+1,0),"")</f>
        <v/>
      </c>
      <c r="AB164" s="133" t="str">
        <f>IF($A164&lt;&gt;0,VLOOKUP($A164,'0.Productos'!$A$3:$GG$587,'0.Productos'!BT$1+1,0),"")</f>
        <v/>
      </c>
      <c r="AC164" s="133" t="str">
        <f>IF($A164&lt;&gt;0,VLOOKUP($A164,'0.Productos'!$A$3:$GG$587,'0.Productos'!BU$1+1,0),"")</f>
        <v/>
      </c>
      <c r="AD164" s="133" t="str">
        <f>IF($A164&lt;&gt;0,VLOOKUP($A164,'0.Productos'!$A$3:$GG$587,'0.Productos'!BV$1+1,0),"")</f>
        <v/>
      </c>
      <c r="AE164" s="133" t="str">
        <f>IF($A164&lt;&gt;0,VLOOKUP($A164,'0.Productos'!$A$3:$GG$587,'0.Productos'!BW$1+1,0),"")</f>
        <v/>
      </c>
      <c r="AF164" s="133" t="str">
        <f>IF($A164&lt;&gt;0,VLOOKUP($A164,'0.Productos'!$A$3:$GG$587,'0.Productos'!BX$1+1,0),"")</f>
        <v/>
      </c>
      <c r="AG164" s="133" t="str">
        <f>IF($A164&lt;&gt;0,VLOOKUP($A164,'0.Productos'!$A$3:$GG$587,'0.Productos'!BY$1+1,0),"")</f>
        <v/>
      </c>
      <c r="AH164" s="133" t="str">
        <f>IF($A164&lt;&gt;0,VLOOKUP($A164,'0.Productos'!$A$3:$GG$587,'0.Productos'!BZ$1+1,0),"")</f>
        <v/>
      </c>
      <c r="AI164" s="133" t="str">
        <f>IF($A164&lt;&gt;0,VLOOKUP($A164,'0.Productos'!$A$3:$GG$587,'0.Productos'!CA$1+1,0),"")</f>
        <v/>
      </c>
      <c r="AJ164" s="133" t="str">
        <f>IF($A164&lt;&gt;0,VLOOKUP($A164,'0.Productos'!$A$3:$GG$587,'0.Productos'!CB$1+1,0),"")</f>
        <v/>
      </c>
      <c r="AK164" s="133" t="str">
        <f>IF($A164&lt;&gt;0,VLOOKUP($A164,'0.Productos'!$A$3:$GG$587,'0.Productos'!CC$1+1,0),"")</f>
        <v/>
      </c>
      <c r="AL164" s="133" t="str">
        <f>IF($A164&lt;&gt;0,VLOOKUP($A164,'0.Productos'!$A$3:$GG$587,'0.Productos'!CD$1+1,0),"")</f>
        <v/>
      </c>
      <c r="AM164" s="133" t="str">
        <f>IF($A164&lt;&gt;0,VLOOKUP($A164,'0.Productos'!$A$3:$GG$587,'0.Productos'!CE$1+1,0),"")</f>
        <v/>
      </c>
      <c r="AN164" s="133" t="str">
        <f>IF($A164&lt;&gt;0,VLOOKUP($A164,'0.Productos'!$A$3:$GG$587,'0.Productos'!CF$1+1,0),"")</f>
        <v/>
      </c>
      <c r="AO164" s="133" t="str">
        <f>IF($A164&lt;&gt;0,VLOOKUP($A164,'0.Productos'!$A$3:$GG$587,'0.Productos'!CG$1+1,0),"")</f>
        <v/>
      </c>
      <c r="AP164" s="133" t="str">
        <f>IF($A164&lt;&gt;0,VLOOKUP($A164,'0.Productos'!$A$3:$GG$587,'0.Productos'!CH$1+1,0),"")</f>
        <v/>
      </c>
      <c r="AQ164" s="133" t="str">
        <f>IF($A164&lt;&gt;0,VLOOKUP($A164,'0.Productos'!$A$3:$GG$587,'0.Productos'!CI$1+1,0),"")</f>
        <v/>
      </c>
      <c r="AR164" s="133" t="str">
        <f>IF($A164&lt;&gt;0,VLOOKUP($A164,'0.Productos'!$A$3:$GG$587,'0.Productos'!CJ$1+1,0),"")</f>
        <v/>
      </c>
      <c r="AS164" s="133" t="str">
        <f>IF($A164&lt;&gt;0,VLOOKUP($A164,'0.Productos'!$A$3:$GG$587,'0.Productos'!CK$1+1,0),"")</f>
        <v/>
      </c>
      <c r="AT164" s="133" t="str">
        <f>IF($A164&lt;&gt;0,VLOOKUP($A164,'0.Productos'!$A$3:$GG$587,'0.Productos'!CL$1+1,0),"")</f>
        <v/>
      </c>
      <c r="AU164" s="133" t="str">
        <f>IF($A164&lt;&gt;0,VLOOKUP($A164,'0.Productos'!$A$3:$GG$587,'0.Productos'!CM$1+1,0),"")</f>
        <v/>
      </c>
      <c r="AV164" s="133" t="str">
        <f>IF($A164&lt;&gt;0,VLOOKUP($A164,'0.Productos'!$A$3:$GG$587,'0.Productos'!CN$1+1,0),"")</f>
        <v/>
      </c>
      <c r="AW164" s="133" t="str">
        <f>IF($A164&lt;&gt;0,VLOOKUP($A164,'0.Productos'!$A$3:$GG$587,'0.Productos'!CO$1+1,0),"")</f>
        <v/>
      </c>
      <c r="AX164" s="133" t="str">
        <f>IF($A164&lt;&gt;0,VLOOKUP($A164,'0.Productos'!$A$3:$GG$587,'0.Productos'!CP$1+1,0),"")</f>
        <v/>
      </c>
      <c r="AY164" s="133" t="str">
        <f>IF($A164&lt;&gt;0,VLOOKUP($A164,'0.Productos'!$A$3:$GG$587,'0.Productos'!CQ$1+1,0),"")</f>
        <v/>
      </c>
      <c r="AZ164" s="133" t="str">
        <f>IF($A164&lt;&gt;0,VLOOKUP($A164,'0.Productos'!$A$3:$GG$587,'0.Productos'!CR$1+1,0),"")</f>
        <v/>
      </c>
      <c r="BA164" s="133" t="str">
        <f>IF($A164&lt;&gt;0,VLOOKUP($A164,'0.Productos'!$A$3:$GG$587,'0.Productos'!CS$1+1,0),"")</f>
        <v/>
      </c>
      <c r="BB164" s="133" t="str">
        <f>IF($A164&lt;&gt;0,VLOOKUP($A164,'0.Productos'!$A$3:$GG$587,'0.Productos'!CT$1+1,0),"")</f>
        <v/>
      </c>
      <c r="BC164" s="133" t="str">
        <f>IF($A164&lt;&gt;0,VLOOKUP($A164,'0.Productos'!$A$3:$GG$587,'0.Productos'!CU$1+1,0),"")</f>
        <v/>
      </c>
      <c r="BD164" s="133" t="str">
        <f>IF($A164&lt;&gt;0,VLOOKUP($A164,'0.Productos'!$A$3:$GG$587,'0.Productos'!CV$1+1,0),"")</f>
        <v/>
      </c>
      <c r="BE164" s="133" t="str">
        <f>IF($A164&lt;&gt;0,VLOOKUP($A164,'0.Productos'!$A$3:$GG$587,'0.Productos'!CW$1+1,0),"")</f>
        <v/>
      </c>
      <c r="BF164" s="133" t="str">
        <f>IF($A164&lt;&gt;0,VLOOKUP($A164,'0.Productos'!$A$3:$GG$587,'0.Productos'!CX$1+1,0),"")</f>
        <v/>
      </c>
      <c r="BG164" s="133" t="str">
        <f>IF($A164&lt;&gt;0,VLOOKUP($A164,'0.Productos'!$A$3:$GG$587,'0.Productos'!CY$1+1,0),"")</f>
        <v/>
      </c>
      <c r="BH164" s="133" t="str">
        <f>IF($A164&lt;&gt;0,VLOOKUP($A164,'0.Productos'!$A$3:$GG$587,'0.Productos'!CZ$1+1,0),"")</f>
        <v/>
      </c>
      <c r="BI164" s="133" t="str">
        <f>IF($A164&lt;&gt;0,VLOOKUP($A164,'0.Productos'!$A$3:$GG$587,'0.Productos'!DA$1+1,0),"")</f>
        <v/>
      </c>
      <c r="BJ164" s="133" t="str">
        <f>IF($A164&lt;&gt;0,VLOOKUP($A164,'0.Productos'!$A$3:$GG$587,'0.Productos'!DB$1+1,0),"")</f>
        <v/>
      </c>
      <c r="BK164" s="133" t="str">
        <f>IF($A164&lt;&gt;0,VLOOKUP($A164,'0.Productos'!$A$3:$GG$587,'0.Productos'!DC$1+1,0),"")</f>
        <v/>
      </c>
      <c r="BL164" s="133" t="str">
        <f>IF($A164&lt;&gt;0,VLOOKUP($A164,'0.Productos'!$A$3:$GG$587,'0.Productos'!DD$1+1,0),"")</f>
        <v/>
      </c>
      <c r="BM164" s="133" t="str">
        <f>IF($A164&lt;&gt;0,VLOOKUP($A164,'0.Productos'!$A$3:$GG$587,'0.Productos'!DE$1+1,0),"")</f>
        <v/>
      </c>
      <c r="BN164" s="133" t="str">
        <f>IF($A164&lt;&gt;0,VLOOKUP($A164,'0.Productos'!$A$3:$GG$587,'0.Productos'!DF$1+1,0),"")</f>
        <v/>
      </c>
      <c r="BO164" s="133" t="str">
        <f>IF($A164&lt;&gt;0,VLOOKUP($A164,'0.Productos'!$A$3:$GG$587,'0.Productos'!DG$1+1,0),"")</f>
        <v/>
      </c>
      <c r="BP164" s="133" t="str">
        <f>IF($A164&lt;&gt;0,VLOOKUP($A164,'0.Productos'!$A$3:$GG$587,'0.Productos'!DH$1+1,0),"")</f>
        <v/>
      </c>
      <c r="BQ164" s="133" t="str">
        <f>IF($A164&lt;&gt;0,VLOOKUP($A164,'0.Productos'!$A$3:$GG$587,'0.Productos'!DI$1+1,0),"")</f>
        <v/>
      </c>
      <c r="BR164" s="133" t="str">
        <f>IF($A164&lt;&gt;0,VLOOKUP($A164,'0.Productos'!$A$3:$GG$587,'0.Productos'!DJ$1+1,0),"")</f>
        <v/>
      </c>
      <c r="BS164" s="133" t="str">
        <f>IF($A164&lt;&gt;0,VLOOKUP($A164,'0.Productos'!$A$3:$GG$587,'0.Productos'!DK$1+1,0),"")</f>
        <v/>
      </c>
      <c r="BT164" s="133" t="str">
        <f>IF($A164&lt;&gt;0,VLOOKUP($A164,'0.Productos'!$A$3:$GG$587,'0.Productos'!DL$1+1,0),"")</f>
        <v/>
      </c>
    </row>
    <row r="165" spans="1:72" x14ac:dyDescent="0.25">
      <c r="A165" s="17">
        <f>'0.Consolidado general'!A165</f>
        <v>0</v>
      </c>
      <c r="B165" s="133" t="str">
        <f>IF($A165&lt;&gt;0,VLOOKUP($A165,'0.Productos'!$A$3:$GG$587,'0.Productos'!AT$1+1,0),"")</f>
        <v/>
      </c>
      <c r="C165" s="133" t="str">
        <f>IF($A165&lt;&gt;0,VLOOKUP($A165,'0.Productos'!$A$3:$GG$587,'0.Productos'!AU$1+1,0),"")</f>
        <v/>
      </c>
      <c r="D165" s="133" t="str">
        <f>IF($A165&lt;&gt;0,VLOOKUP($A165,'0.Productos'!$A$3:$GG$587,'0.Productos'!AV$1+1,0),"")</f>
        <v/>
      </c>
      <c r="E165" s="133" t="str">
        <f>IF($A165&lt;&gt;0,VLOOKUP($A165,'0.Productos'!$A$3:$GG$587,'0.Productos'!AW$1+1,0),"")</f>
        <v/>
      </c>
      <c r="F165" s="133" t="str">
        <f>IF($A165&lt;&gt;0,VLOOKUP($A165,'0.Productos'!$A$3:$GG$587,'0.Productos'!AX$1+1,0),"")</f>
        <v/>
      </c>
      <c r="G165" s="133" t="str">
        <f>IF($A165&lt;&gt;0,VLOOKUP($A165,'0.Productos'!$A$3:$GG$587,'0.Productos'!AY$1+1,0),"")</f>
        <v/>
      </c>
      <c r="H165" s="133" t="str">
        <f>IF($A165&lt;&gt;0,VLOOKUP($A165,'0.Productos'!$A$3:$GG$587,'0.Productos'!AZ$1+1,0),"")</f>
        <v/>
      </c>
      <c r="I165" s="133" t="str">
        <f>IF($A165&lt;&gt;0,VLOOKUP($A165,'0.Productos'!$A$3:$GG$587,'0.Productos'!BA$1+1,0),"")</f>
        <v/>
      </c>
      <c r="J165" s="133" t="str">
        <f>IF($A165&lt;&gt;0,VLOOKUP($A165,'0.Productos'!$A$3:$GG$587,'0.Productos'!BB$1+1,0),"")</f>
        <v/>
      </c>
      <c r="K165" s="133" t="str">
        <f>IF($A165&lt;&gt;0,VLOOKUP($A165,'0.Productos'!$A$3:$GG$587,'0.Productos'!BC$1+1,0),"")</f>
        <v/>
      </c>
      <c r="L165" s="133" t="str">
        <f>IF($A165&lt;&gt;0,VLOOKUP($A165,'0.Productos'!$A$3:$GG$587,'0.Productos'!BD$1+1,0),"")</f>
        <v/>
      </c>
      <c r="M165" s="133" t="str">
        <f>IF($A165&lt;&gt;0,VLOOKUP($A165,'0.Productos'!$A$3:$GG$587,'0.Productos'!BE$1+1,0),"")</f>
        <v/>
      </c>
      <c r="N165" s="133" t="str">
        <f>IF($A165&lt;&gt;0,VLOOKUP($A165,'0.Productos'!$A$3:$GG$587,'0.Productos'!BF$1+1,0),"")</f>
        <v/>
      </c>
      <c r="O165" s="133" t="str">
        <f>IF($A165&lt;&gt;0,VLOOKUP($A165,'0.Productos'!$A$3:$GG$587,'0.Productos'!BG$1+1,0),"")</f>
        <v/>
      </c>
      <c r="P165" s="133" t="str">
        <f>IF($A165&lt;&gt;0,VLOOKUP($A165,'0.Productos'!$A$3:$GG$587,'0.Productos'!BH$1+1,0),"")</f>
        <v/>
      </c>
      <c r="Q165" s="133" t="str">
        <f>IF($A165&lt;&gt;0,VLOOKUP($A165,'0.Productos'!$A$3:$GG$587,'0.Productos'!BI$1+1,0),"")</f>
        <v/>
      </c>
      <c r="R165" s="133" t="str">
        <f>IF($A165&lt;&gt;0,VLOOKUP($A165,'0.Productos'!$A$3:$GG$587,'0.Productos'!BJ$1+1,0),"")</f>
        <v/>
      </c>
      <c r="S165" s="133" t="str">
        <f>IF($A165&lt;&gt;0,VLOOKUP($A165,'0.Productos'!$A$3:$GG$587,'0.Productos'!BK$1+1,0),"")</f>
        <v/>
      </c>
      <c r="T165" s="133" t="str">
        <f>IF($A165&lt;&gt;0,VLOOKUP($A165,'0.Productos'!$A$3:$GG$587,'0.Productos'!BL$1+1,0),"")</f>
        <v/>
      </c>
      <c r="U165" s="133" t="str">
        <f>IF($A165&lt;&gt;0,VLOOKUP($A165,'0.Productos'!$A$3:$GG$587,'0.Productos'!BM$1+1,0),"")</f>
        <v/>
      </c>
      <c r="V165" s="133" t="str">
        <f>IF($A165&lt;&gt;0,VLOOKUP($A165,'0.Productos'!$A$3:$GG$587,'0.Productos'!BN$1+1,0),"")</f>
        <v/>
      </c>
      <c r="W165" s="133" t="str">
        <f>IF($A165&lt;&gt;0,VLOOKUP($A165,'0.Productos'!$A$3:$GG$587,'0.Productos'!BO$1+1,0),"")</f>
        <v/>
      </c>
      <c r="X165" s="133" t="str">
        <f>IF($A165&lt;&gt;0,VLOOKUP($A165,'0.Productos'!$A$3:$GG$587,'0.Productos'!BP$1+1,0),"")</f>
        <v/>
      </c>
      <c r="Y165" s="133" t="str">
        <f>IF($A165&lt;&gt;0,VLOOKUP($A165,'0.Productos'!$A$3:$GG$587,'0.Productos'!BQ$1+1,0),"")</f>
        <v/>
      </c>
      <c r="Z165" s="133" t="str">
        <f>IF($A165&lt;&gt;0,VLOOKUP($A165,'0.Productos'!$A$3:$GG$587,'0.Productos'!BR$1+1,0),"")</f>
        <v/>
      </c>
      <c r="AA165" s="133" t="str">
        <f>IF($A165&lt;&gt;0,VLOOKUP($A165,'0.Productos'!$A$3:$GG$587,'0.Productos'!BS$1+1,0),"")</f>
        <v/>
      </c>
      <c r="AB165" s="133" t="str">
        <f>IF($A165&lt;&gt;0,VLOOKUP($A165,'0.Productos'!$A$3:$GG$587,'0.Productos'!BT$1+1,0),"")</f>
        <v/>
      </c>
      <c r="AC165" s="133" t="str">
        <f>IF($A165&lt;&gt;0,VLOOKUP($A165,'0.Productos'!$A$3:$GG$587,'0.Productos'!BU$1+1,0),"")</f>
        <v/>
      </c>
      <c r="AD165" s="133" t="str">
        <f>IF($A165&lt;&gt;0,VLOOKUP($A165,'0.Productos'!$A$3:$GG$587,'0.Productos'!BV$1+1,0),"")</f>
        <v/>
      </c>
      <c r="AE165" s="133" t="str">
        <f>IF($A165&lt;&gt;0,VLOOKUP($A165,'0.Productos'!$A$3:$GG$587,'0.Productos'!BW$1+1,0),"")</f>
        <v/>
      </c>
      <c r="AF165" s="133" t="str">
        <f>IF($A165&lt;&gt;0,VLOOKUP($A165,'0.Productos'!$A$3:$GG$587,'0.Productos'!BX$1+1,0),"")</f>
        <v/>
      </c>
      <c r="AG165" s="133" t="str">
        <f>IF($A165&lt;&gt;0,VLOOKUP($A165,'0.Productos'!$A$3:$GG$587,'0.Productos'!BY$1+1,0),"")</f>
        <v/>
      </c>
      <c r="AH165" s="133" t="str">
        <f>IF($A165&lt;&gt;0,VLOOKUP($A165,'0.Productos'!$A$3:$GG$587,'0.Productos'!BZ$1+1,0),"")</f>
        <v/>
      </c>
      <c r="AI165" s="133" t="str">
        <f>IF($A165&lt;&gt;0,VLOOKUP($A165,'0.Productos'!$A$3:$GG$587,'0.Productos'!CA$1+1,0),"")</f>
        <v/>
      </c>
      <c r="AJ165" s="133" t="str">
        <f>IF($A165&lt;&gt;0,VLOOKUP($A165,'0.Productos'!$A$3:$GG$587,'0.Productos'!CB$1+1,0),"")</f>
        <v/>
      </c>
      <c r="AK165" s="133" t="str">
        <f>IF($A165&lt;&gt;0,VLOOKUP($A165,'0.Productos'!$A$3:$GG$587,'0.Productos'!CC$1+1,0),"")</f>
        <v/>
      </c>
      <c r="AL165" s="133" t="str">
        <f>IF($A165&lt;&gt;0,VLOOKUP($A165,'0.Productos'!$A$3:$GG$587,'0.Productos'!CD$1+1,0),"")</f>
        <v/>
      </c>
      <c r="AM165" s="133" t="str">
        <f>IF($A165&lt;&gt;0,VLOOKUP($A165,'0.Productos'!$A$3:$GG$587,'0.Productos'!CE$1+1,0),"")</f>
        <v/>
      </c>
      <c r="AN165" s="133" t="str">
        <f>IF($A165&lt;&gt;0,VLOOKUP($A165,'0.Productos'!$A$3:$GG$587,'0.Productos'!CF$1+1,0),"")</f>
        <v/>
      </c>
      <c r="AO165" s="133" t="str">
        <f>IF($A165&lt;&gt;0,VLOOKUP($A165,'0.Productos'!$A$3:$GG$587,'0.Productos'!CG$1+1,0),"")</f>
        <v/>
      </c>
      <c r="AP165" s="133" t="str">
        <f>IF($A165&lt;&gt;0,VLOOKUP($A165,'0.Productos'!$A$3:$GG$587,'0.Productos'!CH$1+1,0),"")</f>
        <v/>
      </c>
      <c r="AQ165" s="133" t="str">
        <f>IF($A165&lt;&gt;0,VLOOKUP($A165,'0.Productos'!$A$3:$GG$587,'0.Productos'!CI$1+1,0),"")</f>
        <v/>
      </c>
      <c r="AR165" s="133" t="str">
        <f>IF($A165&lt;&gt;0,VLOOKUP($A165,'0.Productos'!$A$3:$GG$587,'0.Productos'!CJ$1+1,0),"")</f>
        <v/>
      </c>
      <c r="AS165" s="133" t="str">
        <f>IF($A165&lt;&gt;0,VLOOKUP($A165,'0.Productos'!$A$3:$GG$587,'0.Productos'!CK$1+1,0),"")</f>
        <v/>
      </c>
      <c r="AT165" s="133" t="str">
        <f>IF($A165&lt;&gt;0,VLOOKUP($A165,'0.Productos'!$A$3:$GG$587,'0.Productos'!CL$1+1,0),"")</f>
        <v/>
      </c>
      <c r="AU165" s="133" t="str">
        <f>IF($A165&lt;&gt;0,VLOOKUP($A165,'0.Productos'!$A$3:$GG$587,'0.Productos'!CM$1+1,0),"")</f>
        <v/>
      </c>
      <c r="AV165" s="133" t="str">
        <f>IF($A165&lt;&gt;0,VLOOKUP($A165,'0.Productos'!$A$3:$GG$587,'0.Productos'!CN$1+1,0),"")</f>
        <v/>
      </c>
      <c r="AW165" s="133" t="str">
        <f>IF($A165&lt;&gt;0,VLOOKUP($A165,'0.Productos'!$A$3:$GG$587,'0.Productos'!CO$1+1,0),"")</f>
        <v/>
      </c>
      <c r="AX165" s="133" t="str">
        <f>IF($A165&lt;&gt;0,VLOOKUP($A165,'0.Productos'!$A$3:$GG$587,'0.Productos'!CP$1+1,0),"")</f>
        <v/>
      </c>
      <c r="AY165" s="133" t="str">
        <f>IF($A165&lt;&gt;0,VLOOKUP($A165,'0.Productos'!$A$3:$GG$587,'0.Productos'!CQ$1+1,0),"")</f>
        <v/>
      </c>
      <c r="AZ165" s="133" t="str">
        <f>IF($A165&lt;&gt;0,VLOOKUP($A165,'0.Productos'!$A$3:$GG$587,'0.Productos'!CR$1+1,0),"")</f>
        <v/>
      </c>
      <c r="BA165" s="133" t="str">
        <f>IF($A165&lt;&gt;0,VLOOKUP($A165,'0.Productos'!$A$3:$GG$587,'0.Productos'!CS$1+1,0),"")</f>
        <v/>
      </c>
      <c r="BB165" s="133" t="str">
        <f>IF($A165&lt;&gt;0,VLOOKUP($A165,'0.Productos'!$A$3:$GG$587,'0.Productos'!CT$1+1,0),"")</f>
        <v/>
      </c>
      <c r="BC165" s="133" t="str">
        <f>IF($A165&lt;&gt;0,VLOOKUP($A165,'0.Productos'!$A$3:$GG$587,'0.Productos'!CU$1+1,0),"")</f>
        <v/>
      </c>
      <c r="BD165" s="133" t="str">
        <f>IF($A165&lt;&gt;0,VLOOKUP($A165,'0.Productos'!$A$3:$GG$587,'0.Productos'!CV$1+1,0),"")</f>
        <v/>
      </c>
      <c r="BE165" s="133" t="str">
        <f>IF($A165&lt;&gt;0,VLOOKUP($A165,'0.Productos'!$A$3:$GG$587,'0.Productos'!CW$1+1,0),"")</f>
        <v/>
      </c>
      <c r="BF165" s="133" t="str">
        <f>IF($A165&lt;&gt;0,VLOOKUP($A165,'0.Productos'!$A$3:$GG$587,'0.Productos'!CX$1+1,0),"")</f>
        <v/>
      </c>
      <c r="BG165" s="133" t="str">
        <f>IF($A165&lt;&gt;0,VLOOKUP($A165,'0.Productos'!$A$3:$GG$587,'0.Productos'!CY$1+1,0),"")</f>
        <v/>
      </c>
      <c r="BH165" s="133" t="str">
        <f>IF($A165&lt;&gt;0,VLOOKUP($A165,'0.Productos'!$A$3:$GG$587,'0.Productos'!CZ$1+1,0),"")</f>
        <v/>
      </c>
      <c r="BI165" s="133" t="str">
        <f>IF($A165&lt;&gt;0,VLOOKUP($A165,'0.Productos'!$A$3:$GG$587,'0.Productos'!DA$1+1,0),"")</f>
        <v/>
      </c>
      <c r="BJ165" s="133" t="str">
        <f>IF($A165&lt;&gt;0,VLOOKUP($A165,'0.Productos'!$A$3:$GG$587,'0.Productos'!DB$1+1,0),"")</f>
        <v/>
      </c>
      <c r="BK165" s="133" t="str">
        <f>IF($A165&lt;&gt;0,VLOOKUP($A165,'0.Productos'!$A$3:$GG$587,'0.Productos'!DC$1+1,0),"")</f>
        <v/>
      </c>
      <c r="BL165" s="133" t="str">
        <f>IF($A165&lt;&gt;0,VLOOKUP($A165,'0.Productos'!$A$3:$GG$587,'0.Productos'!DD$1+1,0),"")</f>
        <v/>
      </c>
      <c r="BM165" s="133" t="str">
        <f>IF($A165&lt;&gt;0,VLOOKUP($A165,'0.Productos'!$A$3:$GG$587,'0.Productos'!DE$1+1,0),"")</f>
        <v/>
      </c>
      <c r="BN165" s="133" t="str">
        <f>IF($A165&lt;&gt;0,VLOOKUP($A165,'0.Productos'!$A$3:$GG$587,'0.Productos'!DF$1+1,0),"")</f>
        <v/>
      </c>
      <c r="BO165" s="133" t="str">
        <f>IF($A165&lt;&gt;0,VLOOKUP($A165,'0.Productos'!$A$3:$GG$587,'0.Productos'!DG$1+1,0),"")</f>
        <v/>
      </c>
      <c r="BP165" s="133" t="str">
        <f>IF($A165&lt;&gt;0,VLOOKUP($A165,'0.Productos'!$A$3:$GG$587,'0.Productos'!DH$1+1,0),"")</f>
        <v/>
      </c>
      <c r="BQ165" s="133" t="str">
        <f>IF($A165&lt;&gt;0,VLOOKUP($A165,'0.Productos'!$A$3:$GG$587,'0.Productos'!DI$1+1,0),"")</f>
        <v/>
      </c>
      <c r="BR165" s="133" t="str">
        <f>IF($A165&lt;&gt;0,VLOOKUP($A165,'0.Productos'!$A$3:$GG$587,'0.Productos'!DJ$1+1,0),"")</f>
        <v/>
      </c>
      <c r="BS165" s="133" t="str">
        <f>IF($A165&lt;&gt;0,VLOOKUP($A165,'0.Productos'!$A$3:$GG$587,'0.Productos'!DK$1+1,0),"")</f>
        <v/>
      </c>
      <c r="BT165" s="133" t="str">
        <f>IF($A165&lt;&gt;0,VLOOKUP($A165,'0.Productos'!$A$3:$GG$587,'0.Productos'!DL$1+1,0),"")</f>
        <v/>
      </c>
    </row>
    <row r="166" spans="1:72" x14ac:dyDescent="0.25">
      <c r="A166" s="17">
        <f>'0.Consolidado general'!A166</f>
        <v>0</v>
      </c>
      <c r="B166" s="133" t="str">
        <f>IF($A166&lt;&gt;0,VLOOKUP($A166,'0.Productos'!$A$3:$GG$587,'0.Productos'!AT$1+1,0),"")</f>
        <v/>
      </c>
      <c r="C166" s="133" t="str">
        <f>IF($A166&lt;&gt;0,VLOOKUP($A166,'0.Productos'!$A$3:$GG$587,'0.Productos'!AU$1+1,0),"")</f>
        <v/>
      </c>
      <c r="D166" s="133" t="str">
        <f>IF($A166&lt;&gt;0,VLOOKUP($A166,'0.Productos'!$A$3:$GG$587,'0.Productos'!AV$1+1,0),"")</f>
        <v/>
      </c>
      <c r="E166" s="133" t="str">
        <f>IF($A166&lt;&gt;0,VLOOKUP($A166,'0.Productos'!$A$3:$GG$587,'0.Productos'!AW$1+1,0),"")</f>
        <v/>
      </c>
      <c r="F166" s="133" t="str">
        <f>IF($A166&lt;&gt;0,VLOOKUP($A166,'0.Productos'!$A$3:$GG$587,'0.Productos'!AX$1+1,0),"")</f>
        <v/>
      </c>
      <c r="G166" s="133" t="str">
        <f>IF($A166&lt;&gt;0,VLOOKUP($A166,'0.Productos'!$A$3:$GG$587,'0.Productos'!AY$1+1,0),"")</f>
        <v/>
      </c>
      <c r="H166" s="133" t="str">
        <f>IF($A166&lt;&gt;0,VLOOKUP($A166,'0.Productos'!$A$3:$GG$587,'0.Productos'!AZ$1+1,0),"")</f>
        <v/>
      </c>
      <c r="I166" s="133" t="str">
        <f>IF($A166&lt;&gt;0,VLOOKUP($A166,'0.Productos'!$A$3:$GG$587,'0.Productos'!BA$1+1,0),"")</f>
        <v/>
      </c>
      <c r="J166" s="133" t="str">
        <f>IF($A166&lt;&gt;0,VLOOKUP($A166,'0.Productos'!$A$3:$GG$587,'0.Productos'!BB$1+1,0),"")</f>
        <v/>
      </c>
      <c r="K166" s="133" t="str">
        <f>IF($A166&lt;&gt;0,VLOOKUP($A166,'0.Productos'!$A$3:$GG$587,'0.Productos'!BC$1+1,0),"")</f>
        <v/>
      </c>
      <c r="L166" s="133" t="str">
        <f>IF($A166&lt;&gt;0,VLOOKUP($A166,'0.Productos'!$A$3:$GG$587,'0.Productos'!BD$1+1,0),"")</f>
        <v/>
      </c>
      <c r="M166" s="133" t="str">
        <f>IF($A166&lt;&gt;0,VLOOKUP($A166,'0.Productos'!$A$3:$GG$587,'0.Productos'!BE$1+1,0),"")</f>
        <v/>
      </c>
      <c r="N166" s="133" t="str">
        <f>IF($A166&lt;&gt;0,VLOOKUP($A166,'0.Productos'!$A$3:$GG$587,'0.Productos'!BF$1+1,0),"")</f>
        <v/>
      </c>
      <c r="O166" s="133" t="str">
        <f>IF($A166&lt;&gt;0,VLOOKUP($A166,'0.Productos'!$A$3:$GG$587,'0.Productos'!BG$1+1,0),"")</f>
        <v/>
      </c>
      <c r="P166" s="133" t="str">
        <f>IF($A166&lt;&gt;0,VLOOKUP($A166,'0.Productos'!$A$3:$GG$587,'0.Productos'!BH$1+1,0),"")</f>
        <v/>
      </c>
      <c r="Q166" s="133" t="str">
        <f>IF($A166&lt;&gt;0,VLOOKUP($A166,'0.Productos'!$A$3:$GG$587,'0.Productos'!BI$1+1,0),"")</f>
        <v/>
      </c>
      <c r="R166" s="133" t="str">
        <f>IF($A166&lt;&gt;0,VLOOKUP($A166,'0.Productos'!$A$3:$GG$587,'0.Productos'!BJ$1+1,0),"")</f>
        <v/>
      </c>
      <c r="S166" s="133" t="str">
        <f>IF($A166&lt;&gt;0,VLOOKUP($A166,'0.Productos'!$A$3:$GG$587,'0.Productos'!BK$1+1,0),"")</f>
        <v/>
      </c>
      <c r="T166" s="133" t="str">
        <f>IF($A166&lt;&gt;0,VLOOKUP($A166,'0.Productos'!$A$3:$GG$587,'0.Productos'!BL$1+1,0),"")</f>
        <v/>
      </c>
      <c r="U166" s="133" t="str">
        <f>IF($A166&lt;&gt;0,VLOOKUP($A166,'0.Productos'!$A$3:$GG$587,'0.Productos'!BM$1+1,0),"")</f>
        <v/>
      </c>
      <c r="V166" s="133" t="str">
        <f>IF($A166&lt;&gt;0,VLOOKUP($A166,'0.Productos'!$A$3:$GG$587,'0.Productos'!BN$1+1,0),"")</f>
        <v/>
      </c>
      <c r="W166" s="133" t="str">
        <f>IF($A166&lt;&gt;0,VLOOKUP($A166,'0.Productos'!$A$3:$GG$587,'0.Productos'!BO$1+1,0),"")</f>
        <v/>
      </c>
      <c r="X166" s="133" t="str">
        <f>IF($A166&lt;&gt;0,VLOOKUP($A166,'0.Productos'!$A$3:$GG$587,'0.Productos'!BP$1+1,0),"")</f>
        <v/>
      </c>
      <c r="Y166" s="133" t="str">
        <f>IF($A166&lt;&gt;0,VLOOKUP($A166,'0.Productos'!$A$3:$GG$587,'0.Productos'!BQ$1+1,0),"")</f>
        <v/>
      </c>
      <c r="Z166" s="133" t="str">
        <f>IF($A166&lt;&gt;0,VLOOKUP($A166,'0.Productos'!$A$3:$GG$587,'0.Productos'!BR$1+1,0),"")</f>
        <v/>
      </c>
      <c r="AA166" s="133" t="str">
        <f>IF($A166&lt;&gt;0,VLOOKUP($A166,'0.Productos'!$A$3:$GG$587,'0.Productos'!BS$1+1,0),"")</f>
        <v/>
      </c>
      <c r="AB166" s="133" t="str">
        <f>IF($A166&lt;&gt;0,VLOOKUP($A166,'0.Productos'!$A$3:$GG$587,'0.Productos'!BT$1+1,0),"")</f>
        <v/>
      </c>
      <c r="AC166" s="133" t="str">
        <f>IF($A166&lt;&gt;0,VLOOKUP($A166,'0.Productos'!$A$3:$GG$587,'0.Productos'!BU$1+1,0),"")</f>
        <v/>
      </c>
      <c r="AD166" s="133" t="str">
        <f>IF($A166&lt;&gt;0,VLOOKUP($A166,'0.Productos'!$A$3:$GG$587,'0.Productos'!BV$1+1,0),"")</f>
        <v/>
      </c>
      <c r="AE166" s="133" t="str">
        <f>IF($A166&lt;&gt;0,VLOOKUP($A166,'0.Productos'!$A$3:$GG$587,'0.Productos'!BW$1+1,0),"")</f>
        <v/>
      </c>
      <c r="AF166" s="133" t="str">
        <f>IF($A166&lt;&gt;0,VLOOKUP($A166,'0.Productos'!$A$3:$GG$587,'0.Productos'!BX$1+1,0),"")</f>
        <v/>
      </c>
      <c r="AG166" s="133" t="str">
        <f>IF($A166&lt;&gt;0,VLOOKUP($A166,'0.Productos'!$A$3:$GG$587,'0.Productos'!BY$1+1,0),"")</f>
        <v/>
      </c>
      <c r="AH166" s="133" t="str">
        <f>IF($A166&lt;&gt;0,VLOOKUP($A166,'0.Productos'!$A$3:$GG$587,'0.Productos'!BZ$1+1,0),"")</f>
        <v/>
      </c>
      <c r="AI166" s="133" t="str">
        <f>IF($A166&lt;&gt;0,VLOOKUP($A166,'0.Productos'!$A$3:$GG$587,'0.Productos'!CA$1+1,0),"")</f>
        <v/>
      </c>
      <c r="AJ166" s="133" t="str">
        <f>IF($A166&lt;&gt;0,VLOOKUP($A166,'0.Productos'!$A$3:$GG$587,'0.Productos'!CB$1+1,0),"")</f>
        <v/>
      </c>
      <c r="AK166" s="133" t="str">
        <f>IF($A166&lt;&gt;0,VLOOKUP($A166,'0.Productos'!$A$3:$GG$587,'0.Productos'!CC$1+1,0),"")</f>
        <v/>
      </c>
      <c r="AL166" s="133" t="str">
        <f>IF($A166&lt;&gt;0,VLOOKUP($A166,'0.Productos'!$A$3:$GG$587,'0.Productos'!CD$1+1,0),"")</f>
        <v/>
      </c>
      <c r="AM166" s="133" t="str">
        <f>IF($A166&lt;&gt;0,VLOOKUP($A166,'0.Productos'!$A$3:$GG$587,'0.Productos'!CE$1+1,0),"")</f>
        <v/>
      </c>
      <c r="AN166" s="133" t="str">
        <f>IF($A166&lt;&gt;0,VLOOKUP($A166,'0.Productos'!$A$3:$GG$587,'0.Productos'!CF$1+1,0),"")</f>
        <v/>
      </c>
      <c r="AO166" s="133" t="str">
        <f>IF($A166&lt;&gt;0,VLOOKUP($A166,'0.Productos'!$A$3:$GG$587,'0.Productos'!CG$1+1,0),"")</f>
        <v/>
      </c>
      <c r="AP166" s="133" t="str">
        <f>IF($A166&lt;&gt;0,VLOOKUP($A166,'0.Productos'!$A$3:$GG$587,'0.Productos'!CH$1+1,0),"")</f>
        <v/>
      </c>
      <c r="AQ166" s="133" t="str">
        <f>IF($A166&lt;&gt;0,VLOOKUP($A166,'0.Productos'!$A$3:$GG$587,'0.Productos'!CI$1+1,0),"")</f>
        <v/>
      </c>
      <c r="AR166" s="133" t="str">
        <f>IF($A166&lt;&gt;0,VLOOKUP($A166,'0.Productos'!$A$3:$GG$587,'0.Productos'!CJ$1+1,0),"")</f>
        <v/>
      </c>
      <c r="AS166" s="133" t="str">
        <f>IF($A166&lt;&gt;0,VLOOKUP($A166,'0.Productos'!$A$3:$GG$587,'0.Productos'!CK$1+1,0),"")</f>
        <v/>
      </c>
      <c r="AT166" s="133" t="str">
        <f>IF($A166&lt;&gt;0,VLOOKUP($A166,'0.Productos'!$A$3:$GG$587,'0.Productos'!CL$1+1,0),"")</f>
        <v/>
      </c>
      <c r="AU166" s="133" t="str">
        <f>IF($A166&lt;&gt;0,VLOOKUP($A166,'0.Productos'!$A$3:$GG$587,'0.Productos'!CM$1+1,0),"")</f>
        <v/>
      </c>
      <c r="AV166" s="133" t="str">
        <f>IF($A166&lt;&gt;0,VLOOKUP($A166,'0.Productos'!$A$3:$GG$587,'0.Productos'!CN$1+1,0),"")</f>
        <v/>
      </c>
      <c r="AW166" s="133" t="str">
        <f>IF($A166&lt;&gt;0,VLOOKUP($A166,'0.Productos'!$A$3:$GG$587,'0.Productos'!CO$1+1,0),"")</f>
        <v/>
      </c>
      <c r="AX166" s="133" t="str">
        <f>IF($A166&lt;&gt;0,VLOOKUP($A166,'0.Productos'!$A$3:$GG$587,'0.Productos'!CP$1+1,0),"")</f>
        <v/>
      </c>
      <c r="AY166" s="133" t="str">
        <f>IF($A166&lt;&gt;0,VLOOKUP($A166,'0.Productos'!$A$3:$GG$587,'0.Productos'!CQ$1+1,0),"")</f>
        <v/>
      </c>
      <c r="AZ166" s="133" t="str">
        <f>IF($A166&lt;&gt;0,VLOOKUP($A166,'0.Productos'!$A$3:$GG$587,'0.Productos'!CR$1+1,0),"")</f>
        <v/>
      </c>
      <c r="BA166" s="133" t="str">
        <f>IF($A166&lt;&gt;0,VLOOKUP($A166,'0.Productos'!$A$3:$GG$587,'0.Productos'!CS$1+1,0),"")</f>
        <v/>
      </c>
      <c r="BB166" s="133" t="str">
        <f>IF($A166&lt;&gt;0,VLOOKUP($A166,'0.Productos'!$A$3:$GG$587,'0.Productos'!CT$1+1,0),"")</f>
        <v/>
      </c>
      <c r="BC166" s="133" t="str">
        <f>IF($A166&lt;&gt;0,VLOOKUP($A166,'0.Productos'!$A$3:$GG$587,'0.Productos'!CU$1+1,0),"")</f>
        <v/>
      </c>
      <c r="BD166" s="133" t="str">
        <f>IF($A166&lt;&gt;0,VLOOKUP($A166,'0.Productos'!$A$3:$GG$587,'0.Productos'!CV$1+1,0),"")</f>
        <v/>
      </c>
      <c r="BE166" s="133" t="str">
        <f>IF($A166&lt;&gt;0,VLOOKUP($A166,'0.Productos'!$A$3:$GG$587,'0.Productos'!CW$1+1,0),"")</f>
        <v/>
      </c>
      <c r="BF166" s="133" t="str">
        <f>IF($A166&lt;&gt;0,VLOOKUP($A166,'0.Productos'!$A$3:$GG$587,'0.Productos'!CX$1+1,0),"")</f>
        <v/>
      </c>
      <c r="BG166" s="133" t="str">
        <f>IF($A166&lt;&gt;0,VLOOKUP($A166,'0.Productos'!$A$3:$GG$587,'0.Productos'!CY$1+1,0),"")</f>
        <v/>
      </c>
      <c r="BH166" s="133" t="str">
        <f>IF($A166&lt;&gt;0,VLOOKUP($A166,'0.Productos'!$A$3:$GG$587,'0.Productos'!CZ$1+1,0),"")</f>
        <v/>
      </c>
      <c r="BI166" s="133" t="str">
        <f>IF($A166&lt;&gt;0,VLOOKUP($A166,'0.Productos'!$A$3:$GG$587,'0.Productos'!DA$1+1,0),"")</f>
        <v/>
      </c>
      <c r="BJ166" s="133" t="str">
        <f>IF($A166&lt;&gt;0,VLOOKUP($A166,'0.Productos'!$A$3:$GG$587,'0.Productos'!DB$1+1,0),"")</f>
        <v/>
      </c>
      <c r="BK166" s="133" t="str">
        <f>IF($A166&lt;&gt;0,VLOOKUP($A166,'0.Productos'!$A$3:$GG$587,'0.Productos'!DC$1+1,0),"")</f>
        <v/>
      </c>
      <c r="BL166" s="133" t="str">
        <f>IF($A166&lt;&gt;0,VLOOKUP($A166,'0.Productos'!$A$3:$GG$587,'0.Productos'!DD$1+1,0),"")</f>
        <v/>
      </c>
      <c r="BM166" s="133" t="str">
        <f>IF($A166&lt;&gt;0,VLOOKUP($A166,'0.Productos'!$A$3:$GG$587,'0.Productos'!DE$1+1,0),"")</f>
        <v/>
      </c>
      <c r="BN166" s="133" t="str">
        <f>IF($A166&lt;&gt;0,VLOOKUP($A166,'0.Productos'!$A$3:$GG$587,'0.Productos'!DF$1+1,0),"")</f>
        <v/>
      </c>
      <c r="BO166" s="133" t="str">
        <f>IF($A166&lt;&gt;0,VLOOKUP($A166,'0.Productos'!$A$3:$GG$587,'0.Productos'!DG$1+1,0),"")</f>
        <v/>
      </c>
      <c r="BP166" s="133" t="str">
        <f>IF($A166&lt;&gt;0,VLOOKUP($A166,'0.Productos'!$A$3:$GG$587,'0.Productos'!DH$1+1,0),"")</f>
        <v/>
      </c>
      <c r="BQ166" s="133" t="str">
        <f>IF($A166&lt;&gt;0,VLOOKUP($A166,'0.Productos'!$A$3:$GG$587,'0.Productos'!DI$1+1,0),"")</f>
        <v/>
      </c>
      <c r="BR166" s="133" t="str">
        <f>IF($A166&lt;&gt;0,VLOOKUP($A166,'0.Productos'!$A$3:$GG$587,'0.Productos'!DJ$1+1,0),"")</f>
        <v/>
      </c>
      <c r="BS166" s="133" t="str">
        <f>IF($A166&lt;&gt;0,VLOOKUP($A166,'0.Productos'!$A$3:$GG$587,'0.Productos'!DK$1+1,0),"")</f>
        <v/>
      </c>
      <c r="BT166" s="133" t="str">
        <f>IF($A166&lt;&gt;0,VLOOKUP($A166,'0.Productos'!$A$3:$GG$587,'0.Productos'!DL$1+1,0),"")</f>
        <v/>
      </c>
    </row>
    <row r="167" spans="1:72" x14ac:dyDescent="0.25">
      <c r="A167" s="17">
        <f>'0.Consolidado general'!A167</f>
        <v>0</v>
      </c>
      <c r="B167" s="133" t="str">
        <f>IF($A167&lt;&gt;0,VLOOKUP($A167,'0.Productos'!$A$3:$GG$587,'0.Productos'!AT$1+1,0),"")</f>
        <v/>
      </c>
      <c r="C167" s="133" t="str">
        <f>IF($A167&lt;&gt;0,VLOOKUP($A167,'0.Productos'!$A$3:$GG$587,'0.Productos'!AU$1+1,0),"")</f>
        <v/>
      </c>
      <c r="D167" s="133" t="str">
        <f>IF($A167&lt;&gt;0,VLOOKUP($A167,'0.Productos'!$A$3:$GG$587,'0.Productos'!AV$1+1,0),"")</f>
        <v/>
      </c>
      <c r="E167" s="133" t="str">
        <f>IF($A167&lt;&gt;0,VLOOKUP($A167,'0.Productos'!$A$3:$GG$587,'0.Productos'!AW$1+1,0),"")</f>
        <v/>
      </c>
      <c r="F167" s="133" t="str">
        <f>IF($A167&lt;&gt;0,VLOOKUP($A167,'0.Productos'!$A$3:$GG$587,'0.Productos'!AX$1+1,0),"")</f>
        <v/>
      </c>
      <c r="G167" s="133" t="str">
        <f>IF($A167&lt;&gt;0,VLOOKUP($A167,'0.Productos'!$A$3:$GG$587,'0.Productos'!AY$1+1,0),"")</f>
        <v/>
      </c>
      <c r="H167" s="133" t="str">
        <f>IF($A167&lt;&gt;0,VLOOKUP($A167,'0.Productos'!$A$3:$GG$587,'0.Productos'!AZ$1+1,0),"")</f>
        <v/>
      </c>
      <c r="I167" s="133" t="str">
        <f>IF($A167&lt;&gt;0,VLOOKUP($A167,'0.Productos'!$A$3:$GG$587,'0.Productos'!BA$1+1,0),"")</f>
        <v/>
      </c>
      <c r="J167" s="133" t="str">
        <f>IF($A167&lt;&gt;0,VLOOKUP($A167,'0.Productos'!$A$3:$GG$587,'0.Productos'!BB$1+1,0),"")</f>
        <v/>
      </c>
      <c r="K167" s="133" t="str">
        <f>IF($A167&lt;&gt;0,VLOOKUP($A167,'0.Productos'!$A$3:$GG$587,'0.Productos'!BC$1+1,0),"")</f>
        <v/>
      </c>
      <c r="L167" s="133" t="str">
        <f>IF($A167&lt;&gt;0,VLOOKUP($A167,'0.Productos'!$A$3:$GG$587,'0.Productos'!BD$1+1,0),"")</f>
        <v/>
      </c>
      <c r="M167" s="133" t="str">
        <f>IF($A167&lt;&gt;0,VLOOKUP($A167,'0.Productos'!$A$3:$GG$587,'0.Productos'!BE$1+1,0),"")</f>
        <v/>
      </c>
      <c r="N167" s="133" t="str">
        <f>IF($A167&lt;&gt;0,VLOOKUP($A167,'0.Productos'!$A$3:$GG$587,'0.Productos'!BF$1+1,0),"")</f>
        <v/>
      </c>
      <c r="O167" s="133" t="str">
        <f>IF($A167&lt;&gt;0,VLOOKUP($A167,'0.Productos'!$A$3:$GG$587,'0.Productos'!BG$1+1,0),"")</f>
        <v/>
      </c>
      <c r="P167" s="133" t="str">
        <f>IF($A167&lt;&gt;0,VLOOKUP($A167,'0.Productos'!$A$3:$GG$587,'0.Productos'!BH$1+1,0),"")</f>
        <v/>
      </c>
      <c r="Q167" s="133" t="str">
        <f>IF($A167&lt;&gt;0,VLOOKUP($A167,'0.Productos'!$A$3:$GG$587,'0.Productos'!BI$1+1,0),"")</f>
        <v/>
      </c>
      <c r="R167" s="133" t="str">
        <f>IF($A167&lt;&gt;0,VLOOKUP($A167,'0.Productos'!$A$3:$GG$587,'0.Productos'!BJ$1+1,0),"")</f>
        <v/>
      </c>
      <c r="S167" s="133" t="str">
        <f>IF($A167&lt;&gt;0,VLOOKUP($A167,'0.Productos'!$A$3:$GG$587,'0.Productos'!BK$1+1,0),"")</f>
        <v/>
      </c>
      <c r="T167" s="133" t="str">
        <f>IF($A167&lt;&gt;0,VLOOKUP($A167,'0.Productos'!$A$3:$GG$587,'0.Productos'!BL$1+1,0),"")</f>
        <v/>
      </c>
      <c r="U167" s="133" t="str">
        <f>IF($A167&lt;&gt;0,VLOOKUP($A167,'0.Productos'!$A$3:$GG$587,'0.Productos'!BM$1+1,0),"")</f>
        <v/>
      </c>
      <c r="V167" s="133" t="str">
        <f>IF($A167&lt;&gt;0,VLOOKUP($A167,'0.Productos'!$A$3:$GG$587,'0.Productos'!BN$1+1,0),"")</f>
        <v/>
      </c>
      <c r="W167" s="133" t="str">
        <f>IF($A167&lt;&gt;0,VLOOKUP($A167,'0.Productos'!$A$3:$GG$587,'0.Productos'!BO$1+1,0),"")</f>
        <v/>
      </c>
      <c r="X167" s="133" t="str">
        <f>IF($A167&lt;&gt;0,VLOOKUP($A167,'0.Productos'!$A$3:$GG$587,'0.Productos'!BP$1+1,0),"")</f>
        <v/>
      </c>
      <c r="Y167" s="133" t="str">
        <f>IF($A167&lt;&gt;0,VLOOKUP($A167,'0.Productos'!$A$3:$GG$587,'0.Productos'!BQ$1+1,0),"")</f>
        <v/>
      </c>
      <c r="Z167" s="133" t="str">
        <f>IF($A167&lt;&gt;0,VLOOKUP($A167,'0.Productos'!$A$3:$GG$587,'0.Productos'!BR$1+1,0),"")</f>
        <v/>
      </c>
      <c r="AA167" s="133" t="str">
        <f>IF($A167&lt;&gt;0,VLOOKUP($A167,'0.Productos'!$A$3:$GG$587,'0.Productos'!BS$1+1,0),"")</f>
        <v/>
      </c>
      <c r="AB167" s="133" t="str">
        <f>IF($A167&lt;&gt;0,VLOOKUP($A167,'0.Productos'!$A$3:$GG$587,'0.Productos'!BT$1+1,0),"")</f>
        <v/>
      </c>
      <c r="AC167" s="133" t="str">
        <f>IF($A167&lt;&gt;0,VLOOKUP($A167,'0.Productos'!$A$3:$GG$587,'0.Productos'!BU$1+1,0),"")</f>
        <v/>
      </c>
      <c r="AD167" s="133" t="str">
        <f>IF($A167&lt;&gt;0,VLOOKUP($A167,'0.Productos'!$A$3:$GG$587,'0.Productos'!BV$1+1,0),"")</f>
        <v/>
      </c>
      <c r="AE167" s="133" t="str">
        <f>IF($A167&lt;&gt;0,VLOOKUP($A167,'0.Productos'!$A$3:$GG$587,'0.Productos'!BW$1+1,0),"")</f>
        <v/>
      </c>
      <c r="AF167" s="133" t="str">
        <f>IF($A167&lt;&gt;0,VLOOKUP($A167,'0.Productos'!$A$3:$GG$587,'0.Productos'!BX$1+1,0),"")</f>
        <v/>
      </c>
      <c r="AG167" s="133" t="str">
        <f>IF($A167&lt;&gt;0,VLOOKUP($A167,'0.Productos'!$A$3:$GG$587,'0.Productos'!BY$1+1,0),"")</f>
        <v/>
      </c>
      <c r="AH167" s="133" t="str">
        <f>IF($A167&lt;&gt;0,VLOOKUP($A167,'0.Productos'!$A$3:$GG$587,'0.Productos'!BZ$1+1,0),"")</f>
        <v/>
      </c>
      <c r="AI167" s="133" t="str">
        <f>IF($A167&lt;&gt;0,VLOOKUP($A167,'0.Productos'!$A$3:$GG$587,'0.Productos'!CA$1+1,0),"")</f>
        <v/>
      </c>
      <c r="AJ167" s="133" t="str">
        <f>IF($A167&lt;&gt;0,VLOOKUP($A167,'0.Productos'!$A$3:$GG$587,'0.Productos'!CB$1+1,0),"")</f>
        <v/>
      </c>
      <c r="AK167" s="133" t="str">
        <f>IF($A167&lt;&gt;0,VLOOKUP($A167,'0.Productos'!$A$3:$GG$587,'0.Productos'!CC$1+1,0),"")</f>
        <v/>
      </c>
      <c r="AL167" s="133" t="str">
        <f>IF($A167&lt;&gt;0,VLOOKUP($A167,'0.Productos'!$A$3:$GG$587,'0.Productos'!CD$1+1,0),"")</f>
        <v/>
      </c>
      <c r="AM167" s="133" t="str">
        <f>IF($A167&lt;&gt;0,VLOOKUP($A167,'0.Productos'!$A$3:$GG$587,'0.Productos'!CE$1+1,0),"")</f>
        <v/>
      </c>
      <c r="AN167" s="133" t="str">
        <f>IF($A167&lt;&gt;0,VLOOKUP($A167,'0.Productos'!$A$3:$GG$587,'0.Productos'!CF$1+1,0),"")</f>
        <v/>
      </c>
      <c r="AO167" s="133" t="str">
        <f>IF($A167&lt;&gt;0,VLOOKUP($A167,'0.Productos'!$A$3:$GG$587,'0.Productos'!CG$1+1,0),"")</f>
        <v/>
      </c>
      <c r="AP167" s="133" t="str">
        <f>IF($A167&lt;&gt;0,VLOOKUP($A167,'0.Productos'!$A$3:$GG$587,'0.Productos'!CH$1+1,0),"")</f>
        <v/>
      </c>
      <c r="AQ167" s="133" t="str">
        <f>IF($A167&lt;&gt;0,VLOOKUP($A167,'0.Productos'!$A$3:$GG$587,'0.Productos'!CI$1+1,0),"")</f>
        <v/>
      </c>
      <c r="AR167" s="133" t="str">
        <f>IF($A167&lt;&gt;0,VLOOKUP($A167,'0.Productos'!$A$3:$GG$587,'0.Productos'!CJ$1+1,0),"")</f>
        <v/>
      </c>
      <c r="AS167" s="133" t="str">
        <f>IF($A167&lt;&gt;0,VLOOKUP($A167,'0.Productos'!$A$3:$GG$587,'0.Productos'!CK$1+1,0),"")</f>
        <v/>
      </c>
      <c r="AT167" s="133" t="str">
        <f>IF($A167&lt;&gt;0,VLOOKUP($A167,'0.Productos'!$A$3:$GG$587,'0.Productos'!CL$1+1,0),"")</f>
        <v/>
      </c>
      <c r="AU167" s="133" t="str">
        <f>IF($A167&lt;&gt;0,VLOOKUP($A167,'0.Productos'!$A$3:$GG$587,'0.Productos'!CM$1+1,0),"")</f>
        <v/>
      </c>
      <c r="AV167" s="133" t="str">
        <f>IF($A167&lt;&gt;0,VLOOKUP($A167,'0.Productos'!$A$3:$GG$587,'0.Productos'!CN$1+1,0),"")</f>
        <v/>
      </c>
      <c r="AW167" s="133" t="str">
        <f>IF($A167&lt;&gt;0,VLOOKUP($A167,'0.Productos'!$A$3:$GG$587,'0.Productos'!CO$1+1,0),"")</f>
        <v/>
      </c>
      <c r="AX167" s="133" t="str">
        <f>IF($A167&lt;&gt;0,VLOOKUP($A167,'0.Productos'!$A$3:$GG$587,'0.Productos'!CP$1+1,0),"")</f>
        <v/>
      </c>
      <c r="AY167" s="133" t="str">
        <f>IF($A167&lt;&gt;0,VLOOKUP($A167,'0.Productos'!$A$3:$GG$587,'0.Productos'!CQ$1+1,0),"")</f>
        <v/>
      </c>
      <c r="AZ167" s="133" t="str">
        <f>IF($A167&lt;&gt;0,VLOOKUP($A167,'0.Productos'!$A$3:$GG$587,'0.Productos'!CR$1+1,0),"")</f>
        <v/>
      </c>
      <c r="BA167" s="133" t="str">
        <f>IF($A167&lt;&gt;0,VLOOKUP($A167,'0.Productos'!$A$3:$GG$587,'0.Productos'!CS$1+1,0),"")</f>
        <v/>
      </c>
      <c r="BB167" s="133" t="str">
        <f>IF($A167&lt;&gt;0,VLOOKUP($A167,'0.Productos'!$A$3:$GG$587,'0.Productos'!CT$1+1,0),"")</f>
        <v/>
      </c>
      <c r="BC167" s="133" t="str">
        <f>IF($A167&lt;&gt;0,VLOOKUP($A167,'0.Productos'!$A$3:$GG$587,'0.Productos'!CU$1+1,0),"")</f>
        <v/>
      </c>
      <c r="BD167" s="133" t="str">
        <f>IF($A167&lt;&gt;0,VLOOKUP($A167,'0.Productos'!$A$3:$GG$587,'0.Productos'!CV$1+1,0),"")</f>
        <v/>
      </c>
      <c r="BE167" s="133" t="str">
        <f>IF($A167&lt;&gt;0,VLOOKUP($A167,'0.Productos'!$A$3:$GG$587,'0.Productos'!CW$1+1,0),"")</f>
        <v/>
      </c>
      <c r="BF167" s="133" t="str">
        <f>IF($A167&lt;&gt;0,VLOOKUP($A167,'0.Productos'!$A$3:$GG$587,'0.Productos'!CX$1+1,0),"")</f>
        <v/>
      </c>
      <c r="BG167" s="133" t="str">
        <f>IF($A167&lt;&gt;0,VLOOKUP($A167,'0.Productos'!$A$3:$GG$587,'0.Productos'!CY$1+1,0),"")</f>
        <v/>
      </c>
      <c r="BH167" s="133" t="str">
        <f>IF($A167&lt;&gt;0,VLOOKUP($A167,'0.Productos'!$A$3:$GG$587,'0.Productos'!CZ$1+1,0),"")</f>
        <v/>
      </c>
      <c r="BI167" s="133" t="str">
        <f>IF($A167&lt;&gt;0,VLOOKUP($A167,'0.Productos'!$A$3:$GG$587,'0.Productos'!DA$1+1,0),"")</f>
        <v/>
      </c>
      <c r="BJ167" s="133" t="str">
        <f>IF($A167&lt;&gt;0,VLOOKUP($A167,'0.Productos'!$A$3:$GG$587,'0.Productos'!DB$1+1,0),"")</f>
        <v/>
      </c>
      <c r="BK167" s="133" t="str">
        <f>IF($A167&lt;&gt;0,VLOOKUP($A167,'0.Productos'!$A$3:$GG$587,'0.Productos'!DC$1+1,0),"")</f>
        <v/>
      </c>
      <c r="BL167" s="133" t="str">
        <f>IF($A167&lt;&gt;0,VLOOKUP($A167,'0.Productos'!$A$3:$GG$587,'0.Productos'!DD$1+1,0),"")</f>
        <v/>
      </c>
      <c r="BM167" s="133" t="str">
        <f>IF($A167&lt;&gt;0,VLOOKUP($A167,'0.Productos'!$A$3:$GG$587,'0.Productos'!DE$1+1,0),"")</f>
        <v/>
      </c>
      <c r="BN167" s="133" t="str">
        <f>IF($A167&lt;&gt;0,VLOOKUP($A167,'0.Productos'!$A$3:$GG$587,'0.Productos'!DF$1+1,0),"")</f>
        <v/>
      </c>
      <c r="BO167" s="133" t="str">
        <f>IF($A167&lt;&gt;0,VLOOKUP($A167,'0.Productos'!$A$3:$GG$587,'0.Productos'!DG$1+1,0),"")</f>
        <v/>
      </c>
      <c r="BP167" s="133" t="str">
        <f>IF($A167&lt;&gt;0,VLOOKUP($A167,'0.Productos'!$A$3:$GG$587,'0.Productos'!DH$1+1,0),"")</f>
        <v/>
      </c>
      <c r="BQ167" s="133" t="str">
        <f>IF($A167&lt;&gt;0,VLOOKUP($A167,'0.Productos'!$A$3:$GG$587,'0.Productos'!DI$1+1,0),"")</f>
        <v/>
      </c>
      <c r="BR167" s="133" t="str">
        <f>IF($A167&lt;&gt;0,VLOOKUP($A167,'0.Productos'!$A$3:$GG$587,'0.Productos'!DJ$1+1,0),"")</f>
        <v/>
      </c>
      <c r="BS167" s="133" t="str">
        <f>IF($A167&lt;&gt;0,VLOOKUP($A167,'0.Productos'!$A$3:$GG$587,'0.Productos'!DK$1+1,0),"")</f>
        <v/>
      </c>
      <c r="BT167" s="133" t="str">
        <f>IF($A167&lt;&gt;0,VLOOKUP($A167,'0.Productos'!$A$3:$GG$587,'0.Productos'!DL$1+1,0),"")</f>
        <v/>
      </c>
    </row>
    <row r="168" spans="1:72" x14ac:dyDescent="0.25">
      <c r="A168" s="17">
        <f>'0.Consolidado general'!A168</f>
        <v>0</v>
      </c>
      <c r="B168" s="133" t="str">
        <f>IF($A168&lt;&gt;0,VLOOKUP($A168,'0.Productos'!$A$3:$GG$587,'0.Productos'!AT$1+1,0),"")</f>
        <v/>
      </c>
      <c r="C168" s="133" t="str">
        <f>IF($A168&lt;&gt;0,VLOOKUP($A168,'0.Productos'!$A$3:$GG$587,'0.Productos'!AU$1+1,0),"")</f>
        <v/>
      </c>
      <c r="D168" s="133" t="str">
        <f>IF($A168&lt;&gt;0,VLOOKUP($A168,'0.Productos'!$A$3:$GG$587,'0.Productos'!AV$1+1,0),"")</f>
        <v/>
      </c>
      <c r="E168" s="133" t="str">
        <f>IF($A168&lt;&gt;0,VLOOKUP($A168,'0.Productos'!$A$3:$GG$587,'0.Productos'!AW$1+1,0),"")</f>
        <v/>
      </c>
      <c r="F168" s="133" t="str">
        <f>IF($A168&lt;&gt;0,VLOOKUP($A168,'0.Productos'!$A$3:$GG$587,'0.Productos'!AX$1+1,0),"")</f>
        <v/>
      </c>
      <c r="G168" s="133" t="str">
        <f>IF($A168&lt;&gt;0,VLOOKUP($A168,'0.Productos'!$A$3:$GG$587,'0.Productos'!AY$1+1,0),"")</f>
        <v/>
      </c>
      <c r="H168" s="133" t="str">
        <f>IF($A168&lt;&gt;0,VLOOKUP($A168,'0.Productos'!$A$3:$GG$587,'0.Productos'!AZ$1+1,0),"")</f>
        <v/>
      </c>
      <c r="I168" s="133" t="str">
        <f>IF($A168&lt;&gt;0,VLOOKUP($A168,'0.Productos'!$A$3:$GG$587,'0.Productos'!BA$1+1,0),"")</f>
        <v/>
      </c>
      <c r="J168" s="133" t="str">
        <f>IF($A168&lt;&gt;0,VLOOKUP($A168,'0.Productos'!$A$3:$GG$587,'0.Productos'!BB$1+1,0),"")</f>
        <v/>
      </c>
      <c r="K168" s="133" t="str">
        <f>IF($A168&lt;&gt;0,VLOOKUP($A168,'0.Productos'!$A$3:$GG$587,'0.Productos'!BC$1+1,0),"")</f>
        <v/>
      </c>
      <c r="L168" s="133" t="str">
        <f>IF($A168&lt;&gt;0,VLOOKUP($A168,'0.Productos'!$A$3:$GG$587,'0.Productos'!BD$1+1,0),"")</f>
        <v/>
      </c>
      <c r="M168" s="133" t="str">
        <f>IF($A168&lt;&gt;0,VLOOKUP($A168,'0.Productos'!$A$3:$GG$587,'0.Productos'!BE$1+1,0),"")</f>
        <v/>
      </c>
      <c r="N168" s="133" t="str">
        <f>IF($A168&lt;&gt;0,VLOOKUP($A168,'0.Productos'!$A$3:$GG$587,'0.Productos'!BF$1+1,0),"")</f>
        <v/>
      </c>
      <c r="O168" s="133" t="str">
        <f>IF($A168&lt;&gt;0,VLOOKUP($A168,'0.Productos'!$A$3:$GG$587,'0.Productos'!BG$1+1,0),"")</f>
        <v/>
      </c>
      <c r="P168" s="133" t="str">
        <f>IF($A168&lt;&gt;0,VLOOKUP($A168,'0.Productos'!$A$3:$GG$587,'0.Productos'!BH$1+1,0),"")</f>
        <v/>
      </c>
      <c r="Q168" s="133" t="str">
        <f>IF($A168&lt;&gt;0,VLOOKUP($A168,'0.Productos'!$A$3:$GG$587,'0.Productos'!BI$1+1,0),"")</f>
        <v/>
      </c>
      <c r="R168" s="133" t="str">
        <f>IF($A168&lt;&gt;0,VLOOKUP($A168,'0.Productos'!$A$3:$GG$587,'0.Productos'!BJ$1+1,0),"")</f>
        <v/>
      </c>
      <c r="S168" s="133" t="str">
        <f>IF($A168&lt;&gt;0,VLOOKUP($A168,'0.Productos'!$A$3:$GG$587,'0.Productos'!BK$1+1,0),"")</f>
        <v/>
      </c>
      <c r="T168" s="133" t="str">
        <f>IF($A168&lt;&gt;0,VLOOKUP($A168,'0.Productos'!$A$3:$GG$587,'0.Productos'!BL$1+1,0),"")</f>
        <v/>
      </c>
      <c r="U168" s="133" t="str">
        <f>IF($A168&lt;&gt;0,VLOOKUP($A168,'0.Productos'!$A$3:$GG$587,'0.Productos'!BM$1+1,0),"")</f>
        <v/>
      </c>
      <c r="V168" s="133" t="str">
        <f>IF($A168&lt;&gt;0,VLOOKUP($A168,'0.Productos'!$A$3:$GG$587,'0.Productos'!BN$1+1,0),"")</f>
        <v/>
      </c>
      <c r="W168" s="133" t="str">
        <f>IF($A168&lt;&gt;0,VLOOKUP($A168,'0.Productos'!$A$3:$GG$587,'0.Productos'!BO$1+1,0),"")</f>
        <v/>
      </c>
      <c r="X168" s="133" t="str">
        <f>IF($A168&lt;&gt;0,VLOOKUP($A168,'0.Productos'!$A$3:$GG$587,'0.Productos'!BP$1+1,0),"")</f>
        <v/>
      </c>
      <c r="Y168" s="133" t="str">
        <f>IF($A168&lt;&gt;0,VLOOKUP($A168,'0.Productos'!$A$3:$GG$587,'0.Productos'!BQ$1+1,0),"")</f>
        <v/>
      </c>
      <c r="Z168" s="133" t="str">
        <f>IF($A168&lt;&gt;0,VLOOKUP($A168,'0.Productos'!$A$3:$GG$587,'0.Productos'!BR$1+1,0),"")</f>
        <v/>
      </c>
      <c r="AA168" s="133" t="str">
        <f>IF($A168&lt;&gt;0,VLOOKUP($A168,'0.Productos'!$A$3:$GG$587,'0.Productos'!BS$1+1,0),"")</f>
        <v/>
      </c>
      <c r="AB168" s="133" t="str">
        <f>IF($A168&lt;&gt;0,VLOOKUP($A168,'0.Productos'!$A$3:$GG$587,'0.Productos'!BT$1+1,0),"")</f>
        <v/>
      </c>
      <c r="AC168" s="133" t="str">
        <f>IF($A168&lt;&gt;0,VLOOKUP($A168,'0.Productos'!$A$3:$GG$587,'0.Productos'!BU$1+1,0),"")</f>
        <v/>
      </c>
      <c r="AD168" s="133" t="str">
        <f>IF($A168&lt;&gt;0,VLOOKUP($A168,'0.Productos'!$A$3:$GG$587,'0.Productos'!BV$1+1,0),"")</f>
        <v/>
      </c>
      <c r="AE168" s="133" t="str">
        <f>IF($A168&lt;&gt;0,VLOOKUP($A168,'0.Productos'!$A$3:$GG$587,'0.Productos'!BW$1+1,0),"")</f>
        <v/>
      </c>
      <c r="AF168" s="133" t="str">
        <f>IF($A168&lt;&gt;0,VLOOKUP($A168,'0.Productos'!$A$3:$GG$587,'0.Productos'!BX$1+1,0),"")</f>
        <v/>
      </c>
      <c r="AG168" s="133" t="str">
        <f>IF($A168&lt;&gt;0,VLOOKUP($A168,'0.Productos'!$A$3:$GG$587,'0.Productos'!BY$1+1,0),"")</f>
        <v/>
      </c>
      <c r="AH168" s="133" t="str">
        <f>IF($A168&lt;&gt;0,VLOOKUP($A168,'0.Productos'!$A$3:$GG$587,'0.Productos'!BZ$1+1,0),"")</f>
        <v/>
      </c>
      <c r="AI168" s="133" t="str">
        <f>IF($A168&lt;&gt;0,VLOOKUP($A168,'0.Productos'!$A$3:$GG$587,'0.Productos'!CA$1+1,0),"")</f>
        <v/>
      </c>
      <c r="AJ168" s="133" t="str">
        <f>IF($A168&lt;&gt;0,VLOOKUP($A168,'0.Productos'!$A$3:$GG$587,'0.Productos'!CB$1+1,0),"")</f>
        <v/>
      </c>
      <c r="AK168" s="133" t="str">
        <f>IF($A168&lt;&gt;0,VLOOKUP($A168,'0.Productos'!$A$3:$GG$587,'0.Productos'!CC$1+1,0),"")</f>
        <v/>
      </c>
      <c r="AL168" s="133" t="str">
        <f>IF($A168&lt;&gt;0,VLOOKUP($A168,'0.Productos'!$A$3:$GG$587,'0.Productos'!CD$1+1,0),"")</f>
        <v/>
      </c>
      <c r="AM168" s="133" t="str">
        <f>IF($A168&lt;&gt;0,VLOOKUP($A168,'0.Productos'!$A$3:$GG$587,'0.Productos'!CE$1+1,0),"")</f>
        <v/>
      </c>
      <c r="AN168" s="133" t="str">
        <f>IF($A168&lt;&gt;0,VLOOKUP($A168,'0.Productos'!$A$3:$GG$587,'0.Productos'!CF$1+1,0),"")</f>
        <v/>
      </c>
      <c r="AO168" s="133" t="str">
        <f>IF($A168&lt;&gt;0,VLOOKUP($A168,'0.Productos'!$A$3:$GG$587,'0.Productos'!CG$1+1,0),"")</f>
        <v/>
      </c>
      <c r="AP168" s="133" t="str">
        <f>IF($A168&lt;&gt;0,VLOOKUP($A168,'0.Productos'!$A$3:$GG$587,'0.Productos'!CH$1+1,0),"")</f>
        <v/>
      </c>
      <c r="AQ168" s="133" t="str">
        <f>IF($A168&lt;&gt;0,VLOOKUP($A168,'0.Productos'!$A$3:$GG$587,'0.Productos'!CI$1+1,0),"")</f>
        <v/>
      </c>
      <c r="AR168" s="133" t="str">
        <f>IF($A168&lt;&gt;0,VLOOKUP($A168,'0.Productos'!$A$3:$GG$587,'0.Productos'!CJ$1+1,0),"")</f>
        <v/>
      </c>
      <c r="AS168" s="133" t="str">
        <f>IF($A168&lt;&gt;0,VLOOKUP($A168,'0.Productos'!$A$3:$GG$587,'0.Productos'!CK$1+1,0),"")</f>
        <v/>
      </c>
      <c r="AT168" s="133" t="str">
        <f>IF($A168&lt;&gt;0,VLOOKUP($A168,'0.Productos'!$A$3:$GG$587,'0.Productos'!CL$1+1,0),"")</f>
        <v/>
      </c>
      <c r="AU168" s="133" t="str">
        <f>IF($A168&lt;&gt;0,VLOOKUP($A168,'0.Productos'!$A$3:$GG$587,'0.Productos'!CM$1+1,0),"")</f>
        <v/>
      </c>
      <c r="AV168" s="133" t="str">
        <f>IF($A168&lt;&gt;0,VLOOKUP($A168,'0.Productos'!$A$3:$GG$587,'0.Productos'!CN$1+1,0),"")</f>
        <v/>
      </c>
      <c r="AW168" s="133" t="str">
        <f>IF($A168&lt;&gt;0,VLOOKUP($A168,'0.Productos'!$A$3:$GG$587,'0.Productos'!CO$1+1,0),"")</f>
        <v/>
      </c>
      <c r="AX168" s="133" t="str">
        <f>IF($A168&lt;&gt;0,VLOOKUP($A168,'0.Productos'!$A$3:$GG$587,'0.Productos'!CP$1+1,0),"")</f>
        <v/>
      </c>
      <c r="AY168" s="133" t="str">
        <f>IF($A168&lt;&gt;0,VLOOKUP($A168,'0.Productos'!$A$3:$GG$587,'0.Productos'!CQ$1+1,0),"")</f>
        <v/>
      </c>
      <c r="AZ168" s="133" t="str">
        <f>IF($A168&lt;&gt;0,VLOOKUP($A168,'0.Productos'!$A$3:$GG$587,'0.Productos'!CR$1+1,0),"")</f>
        <v/>
      </c>
      <c r="BA168" s="133" t="str">
        <f>IF($A168&lt;&gt;0,VLOOKUP($A168,'0.Productos'!$A$3:$GG$587,'0.Productos'!CS$1+1,0),"")</f>
        <v/>
      </c>
      <c r="BB168" s="133" t="str">
        <f>IF($A168&lt;&gt;0,VLOOKUP($A168,'0.Productos'!$A$3:$GG$587,'0.Productos'!CT$1+1,0),"")</f>
        <v/>
      </c>
      <c r="BC168" s="133" t="str">
        <f>IF($A168&lt;&gt;0,VLOOKUP($A168,'0.Productos'!$A$3:$GG$587,'0.Productos'!CU$1+1,0),"")</f>
        <v/>
      </c>
      <c r="BD168" s="133" t="str">
        <f>IF($A168&lt;&gt;0,VLOOKUP($A168,'0.Productos'!$A$3:$GG$587,'0.Productos'!CV$1+1,0),"")</f>
        <v/>
      </c>
      <c r="BE168" s="133" t="str">
        <f>IF($A168&lt;&gt;0,VLOOKUP($A168,'0.Productos'!$A$3:$GG$587,'0.Productos'!CW$1+1,0),"")</f>
        <v/>
      </c>
      <c r="BF168" s="133" t="str">
        <f>IF($A168&lt;&gt;0,VLOOKUP($A168,'0.Productos'!$A$3:$GG$587,'0.Productos'!CX$1+1,0),"")</f>
        <v/>
      </c>
      <c r="BG168" s="133" t="str">
        <f>IF($A168&lt;&gt;0,VLOOKUP($A168,'0.Productos'!$A$3:$GG$587,'0.Productos'!CY$1+1,0),"")</f>
        <v/>
      </c>
      <c r="BH168" s="133" t="str">
        <f>IF($A168&lt;&gt;0,VLOOKUP($A168,'0.Productos'!$A$3:$GG$587,'0.Productos'!CZ$1+1,0),"")</f>
        <v/>
      </c>
      <c r="BI168" s="133" t="str">
        <f>IF($A168&lt;&gt;0,VLOOKUP($A168,'0.Productos'!$A$3:$GG$587,'0.Productos'!DA$1+1,0),"")</f>
        <v/>
      </c>
      <c r="BJ168" s="133" t="str">
        <f>IF($A168&lt;&gt;0,VLOOKUP($A168,'0.Productos'!$A$3:$GG$587,'0.Productos'!DB$1+1,0),"")</f>
        <v/>
      </c>
      <c r="BK168" s="133" t="str">
        <f>IF($A168&lt;&gt;0,VLOOKUP($A168,'0.Productos'!$A$3:$GG$587,'0.Productos'!DC$1+1,0),"")</f>
        <v/>
      </c>
      <c r="BL168" s="133" t="str">
        <f>IF($A168&lt;&gt;0,VLOOKUP($A168,'0.Productos'!$A$3:$GG$587,'0.Productos'!DD$1+1,0),"")</f>
        <v/>
      </c>
      <c r="BM168" s="133" t="str">
        <f>IF($A168&lt;&gt;0,VLOOKUP($A168,'0.Productos'!$A$3:$GG$587,'0.Productos'!DE$1+1,0),"")</f>
        <v/>
      </c>
      <c r="BN168" s="133" t="str">
        <f>IF($A168&lt;&gt;0,VLOOKUP($A168,'0.Productos'!$A$3:$GG$587,'0.Productos'!DF$1+1,0),"")</f>
        <v/>
      </c>
      <c r="BO168" s="133" t="str">
        <f>IF($A168&lt;&gt;0,VLOOKUP($A168,'0.Productos'!$A$3:$GG$587,'0.Productos'!DG$1+1,0),"")</f>
        <v/>
      </c>
      <c r="BP168" s="133" t="str">
        <f>IF($A168&lt;&gt;0,VLOOKUP($A168,'0.Productos'!$A$3:$GG$587,'0.Productos'!DH$1+1,0),"")</f>
        <v/>
      </c>
      <c r="BQ168" s="133" t="str">
        <f>IF($A168&lt;&gt;0,VLOOKUP($A168,'0.Productos'!$A$3:$GG$587,'0.Productos'!DI$1+1,0),"")</f>
        <v/>
      </c>
      <c r="BR168" s="133" t="str">
        <f>IF($A168&lt;&gt;0,VLOOKUP($A168,'0.Productos'!$A$3:$GG$587,'0.Productos'!DJ$1+1,0),"")</f>
        <v/>
      </c>
      <c r="BS168" s="133" t="str">
        <f>IF($A168&lt;&gt;0,VLOOKUP($A168,'0.Productos'!$A$3:$GG$587,'0.Productos'!DK$1+1,0),"")</f>
        <v/>
      </c>
      <c r="BT168" s="133" t="str">
        <f>IF($A168&lt;&gt;0,VLOOKUP($A168,'0.Productos'!$A$3:$GG$587,'0.Productos'!DL$1+1,0),"")</f>
        <v/>
      </c>
    </row>
    <row r="169" spans="1:72" x14ac:dyDescent="0.25">
      <c r="A169" s="17">
        <f>'0.Consolidado general'!A169</f>
        <v>0</v>
      </c>
      <c r="B169" s="133" t="str">
        <f>IF($A169&lt;&gt;0,VLOOKUP($A169,'0.Productos'!$A$3:$GG$587,'0.Productos'!AT$1+1,0),"")</f>
        <v/>
      </c>
      <c r="C169" s="133" t="str">
        <f>IF($A169&lt;&gt;0,VLOOKUP($A169,'0.Productos'!$A$3:$GG$587,'0.Productos'!AU$1+1,0),"")</f>
        <v/>
      </c>
      <c r="D169" s="133" t="str">
        <f>IF($A169&lt;&gt;0,VLOOKUP($A169,'0.Productos'!$A$3:$GG$587,'0.Productos'!AV$1+1,0),"")</f>
        <v/>
      </c>
      <c r="E169" s="133" t="str">
        <f>IF($A169&lt;&gt;0,VLOOKUP($A169,'0.Productos'!$A$3:$GG$587,'0.Productos'!AW$1+1,0),"")</f>
        <v/>
      </c>
      <c r="F169" s="133" t="str">
        <f>IF($A169&lt;&gt;0,VLOOKUP($A169,'0.Productos'!$A$3:$GG$587,'0.Productos'!AX$1+1,0),"")</f>
        <v/>
      </c>
      <c r="G169" s="133" t="str">
        <f>IF($A169&lt;&gt;0,VLOOKUP($A169,'0.Productos'!$A$3:$GG$587,'0.Productos'!AY$1+1,0),"")</f>
        <v/>
      </c>
      <c r="H169" s="133" t="str">
        <f>IF($A169&lt;&gt;0,VLOOKUP($A169,'0.Productos'!$A$3:$GG$587,'0.Productos'!AZ$1+1,0),"")</f>
        <v/>
      </c>
      <c r="I169" s="133" t="str">
        <f>IF($A169&lt;&gt;0,VLOOKUP($A169,'0.Productos'!$A$3:$GG$587,'0.Productos'!BA$1+1,0),"")</f>
        <v/>
      </c>
      <c r="J169" s="133" t="str">
        <f>IF($A169&lt;&gt;0,VLOOKUP($A169,'0.Productos'!$A$3:$GG$587,'0.Productos'!BB$1+1,0),"")</f>
        <v/>
      </c>
      <c r="K169" s="133" t="str">
        <f>IF($A169&lt;&gt;0,VLOOKUP($A169,'0.Productos'!$A$3:$GG$587,'0.Productos'!BC$1+1,0),"")</f>
        <v/>
      </c>
      <c r="L169" s="133" t="str">
        <f>IF($A169&lt;&gt;0,VLOOKUP($A169,'0.Productos'!$A$3:$GG$587,'0.Productos'!BD$1+1,0),"")</f>
        <v/>
      </c>
      <c r="M169" s="133" t="str">
        <f>IF($A169&lt;&gt;0,VLOOKUP($A169,'0.Productos'!$A$3:$GG$587,'0.Productos'!BE$1+1,0),"")</f>
        <v/>
      </c>
      <c r="N169" s="133" t="str">
        <f>IF($A169&lt;&gt;0,VLOOKUP($A169,'0.Productos'!$A$3:$GG$587,'0.Productos'!BF$1+1,0),"")</f>
        <v/>
      </c>
      <c r="O169" s="133" t="str">
        <f>IF($A169&lt;&gt;0,VLOOKUP($A169,'0.Productos'!$A$3:$GG$587,'0.Productos'!BG$1+1,0),"")</f>
        <v/>
      </c>
      <c r="P169" s="133" t="str">
        <f>IF($A169&lt;&gt;0,VLOOKUP($A169,'0.Productos'!$A$3:$GG$587,'0.Productos'!BH$1+1,0),"")</f>
        <v/>
      </c>
      <c r="Q169" s="133" t="str">
        <f>IF($A169&lt;&gt;0,VLOOKUP($A169,'0.Productos'!$A$3:$GG$587,'0.Productos'!BI$1+1,0),"")</f>
        <v/>
      </c>
      <c r="R169" s="133" t="str">
        <f>IF($A169&lt;&gt;0,VLOOKUP($A169,'0.Productos'!$A$3:$GG$587,'0.Productos'!BJ$1+1,0),"")</f>
        <v/>
      </c>
      <c r="S169" s="133" t="str">
        <f>IF($A169&lt;&gt;0,VLOOKUP($A169,'0.Productos'!$A$3:$GG$587,'0.Productos'!BK$1+1,0),"")</f>
        <v/>
      </c>
      <c r="T169" s="133" t="str">
        <f>IF($A169&lt;&gt;0,VLOOKUP($A169,'0.Productos'!$A$3:$GG$587,'0.Productos'!BL$1+1,0),"")</f>
        <v/>
      </c>
      <c r="U169" s="133" t="str">
        <f>IF($A169&lt;&gt;0,VLOOKUP($A169,'0.Productos'!$A$3:$GG$587,'0.Productos'!BM$1+1,0),"")</f>
        <v/>
      </c>
      <c r="V169" s="133" t="str">
        <f>IF($A169&lt;&gt;0,VLOOKUP($A169,'0.Productos'!$A$3:$GG$587,'0.Productos'!BN$1+1,0),"")</f>
        <v/>
      </c>
      <c r="W169" s="133" t="str">
        <f>IF($A169&lt;&gt;0,VLOOKUP($A169,'0.Productos'!$A$3:$GG$587,'0.Productos'!BO$1+1,0),"")</f>
        <v/>
      </c>
      <c r="X169" s="133" t="str">
        <f>IF($A169&lt;&gt;0,VLOOKUP($A169,'0.Productos'!$A$3:$GG$587,'0.Productos'!BP$1+1,0),"")</f>
        <v/>
      </c>
      <c r="Y169" s="133" t="str">
        <f>IF($A169&lt;&gt;0,VLOOKUP($A169,'0.Productos'!$A$3:$GG$587,'0.Productos'!BQ$1+1,0),"")</f>
        <v/>
      </c>
      <c r="Z169" s="133" t="str">
        <f>IF($A169&lt;&gt;0,VLOOKUP($A169,'0.Productos'!$A$3:$GG$587,'0.Productos'!BR$1+1,0),"")</f>
        <v/>
      </c>
      <c r="AA169" s="133" t="str">
        <f>IF($A169&lt;&gt;0,VLOOKUP($A169,'0.Productos'!$A$3:$GG$587,'0.Productos'!BS$1+1,0),"")</f>
        <v/>
      </c>
      <c r="AB169" s="133" t="str">
        <f>IF($A169&lt;&gt;0,VLOOKUP($A169,'0.Productos'!$A$3:$GG$587,'0.Productos'!BT$1+1,0),"")</f>
        <v/>
      </c>
      <c r="AC169" s="133" t="str">
        <f>IF($A169&lt;&gt;0,VLOOKUP($A169,'0.Productos'!$A$3:$GG$587,'0.Productos'!BU$1+1,0),"")</f>
        <v/>
      </c>
      <c r="AD169" s="133" t="str">
        <f>IF($A169&lt;&gt;0,VLOOKUP($A169,'0.Productos'!$A$3:$GG$587,'0.Productos'!BV$1+1,0),"")</f>
        <v/>
      </c>
      <c r="AE169" s="133" t="str">
        <f>IF($A169&lt;&gt;0,VLOOKUP($A169,'0.Productos'!$A$3:$GG$587,'0.Productos'!BW$1+1,0),"")</f>
        <v/>
      </c>
      <c r="AF169" s="133" t="str">
        <f>IF($A169&lt;&gt;0,VLOOKUP($A169,'0.Productos'!$A$3:$GG$587,'0.Productos'!BX$1+1,0),"")</f>
        <v/>
      </c>
      <c r="AG169" s="133" t="str">
        <f>IF($A169&lt;&gt;0,VLOOKUP($A169,'0.Productos'!$A$3:$GG$587,'0.Productos'!BY$1+1,0),"")</f>
        <v/>
      </c>
      <c r="AH169" s="133" t="str">
        <f>IF($A169&lt;&gt;0,VLOOKUP($A169,'0.Productos'!$A$3:$GG$587,'0.Productos'!BZ$1+1,0),"")</f>
        <v/>
      </c>
      <c r="AI169" s="133" t="str">
        <f>IF($A169&lt;&gt;0,VLOOKUP($A169,'0.Productos'!$A$3:$GG$587,'0.Productos'!CA$1+1,0),"")</f>
        <v/>
      </c>
      <c r="AJ169" s="133" t="str">
        <f>IF($A169&lt;&gt;0,VLOOKUP($A169,'0.Productos'!$A$3:$GG$587,'0.Productos'!CB$1+1,0),"")</f>
        <v/>
      </c>
      <c r="AK169" s="133" t="str">
        <f>IF($A169&lt;&gt;0,VLOOKUP($A169,'0.Productos'!$A$3:$GG$587,'0.Productos'!CC$1+1,0),"")</f>
        <v/>
      </c>
      <c r="AL169" s="133" t="str">
        <f>IF($A169&lt;&gt;0,VLOOKUP($A169,'0.Productos'!$A$3:$GG$587,'0.Productos'!CD$1+1,0),"")</f>
        <v/>
      </c>
      <c r="AM169" s="133" t="str">
        <f>IF($A169&lt;&gt;0,VLOOKUP($A169,'0.Productos'!$A$3:$GG$587,'0.Productos'!CE$1+1,0),"")</f>
        <v/>
      </c>
      <c r="AN169" s="133" t="str">
        <f>IF($A169&lt;&gt;0,VLOOKUP($A169,'0.Productos'!$A$3:$GG$587,'0.Productos'!CF$1+1,0),"")</f>
        <v/>
      </c>
      <c r="AO169" s="133" t="str">
        <f>IF($A169&lt;&gt;0,VLOOKUP($A169,'0.Productos'!$A$3:$GG$587,'0.Productos'!CG$1+1,0),"")</f>
        <v/>
      </c>
      <c r="AP169" s="133" t="str">
        <f>IF($A169&lt;&gt;0,VLOOKUP($A169,'0.Productos'!$A$3:$GG$587,'0.Productos'!CH$1+1,0),"")</f>
        <v/>
      </c>
      <c r="AQ169" s="133" t="str">
        <f>IF($A169&lt;&gt;0,VLOOKUP($A169,'0.Productos'!$A$3:$GG$587,'0.Productos'!CI$1+1,0),"")</f>
        <v/>
      </c>
      <c r="AR169" s="133" t="str">
        <f>IF($A169&lt;&gt;0,VLOOKUP($A169,'0.Productos'!$A$3:$GG$587,'0.Productos'!CJ$1+1,0),"")</f>
        <v/>
      </c>
      <c r="AS169" s="133" t="str">
        <f>IF($A169&lt;&gt;0,VLOOKUP($A169,'0.Productos'!$A$3:$GG$587,'0.Productos'!CK$1+1,0),"")</f>
        <v/>
      </c>
      <c r="AT169" s="133" t="str">
        <f>IF($A169&lt;&gt;0,VLOOKUP($A169,'0.Productos'!$A$3:$GG$587,'0.Productos'!CL$1+1,0),"")</f>
        <v/>
      </c>
      <c r="AU169" s="133" t="str">
        <f>IF($A169&lt;&gt;0,VLOOKUP($A169,'0.Productos'!$A$3:$GG$587,'0.Productos'!CM$1+1,0),"")</f>
        <v/>
      </c>
      <c r="AV169" s="133" t="str">
        <f>IF($A169&lt;&gt;0,VLOOKUP($A169,'0.Productos'!$A$3:$GG$587,'0.Productos'!CN$1+1,0),"")</f>
        <v/>
      </c>
      <c r="AW169" s="133" t="str">
        <f>IF($A169&lt;&gt;0,VLOOKUP($A169,'0.Productos'!$A$3:$GG$587,'0.Productos'!CO$1+1,0),"")</f>
        <v/>
      </c>
      <c r="AX169" s="133" t="str">
        <f>IF($A169&lt;&gt;0,VLOOKUP($A169,'0.Productos'!$A$3:$GG$587,'0.Productos'!CP$1+1,0),"")</f>
        <v/>
      </c>
      <c r="AY169" s="133" t="str">
        <f>IF($A169&lt;&gt;0,VLOOKUP($A169,'0.Productos'!$A$3:$GG$587,'0.Productos'!CQ$1+1,0),"")</f>
        <v/>
      </c>
      <c r="AZ169" s="133" t="str">
        <f>IF($A169&lt;&gt;0,VLOOKUP($A169,'0.Productos'!$A$3:$GG$587,'0.Productos'!CR$1+1,0),"")</f>
        <v/>
      </c>
      <c r="BA169" s="133" t="str">
        <f>IF($A169&lt;&gt;0,VLOOKUP($A169,'0.Productos'!$A$3:$GG$587,'0.Productos'!CS$1+1,0),"")</f>
        <v/>
      </c>
      <c r="BB169" s="133" t="str">
        <f>IF($A169&lt;&gt;0,VLOOKUP($A169,'0.Productos'!$A$3:$GG$587,'0.Productos'!CT$1+1,0),"")</f>
        <v/>
      </c>
      <c r="BC169" s="133" t="str">
        <f>IF($A169&lt;&gt;0,VLOOKUP($A169,'0.Productos'!$A$3:$GG$587,'0.Productos'!CU$1+1,0),"")</f>
        <v/>
      </c>
      <c r="BD169" s="133" t="str">
        <f>IF($A169&lt;&gt;0,VLOOKUP($A169,'0.Productos'!$A$3:$GG$587,'0.Productos'!CV$1+1,0),"")</f>
        <v/>
      </c>
      <c r="BE169" s="133" t="str">
        <f>IF($A169&lt;&gt;0,VLOOKUP($A169,'0.Productos'!$A$3:$GG$587,'0.Productos'!CW$1+1,0),"")</f>
        <v/>
      </c>
      <c r="BF169" s="133" t="str">
        <f>IF($A169&lt;&gt;0,VLOOKUP($A169,'0.Productos'!$A$3:$GG$587,'0.Productos'!CX$1+1,0),"")</f>
        <v/>
      </c>
      <c r="BG169" s="133" t="str">
        <f>IF($A169&lt;&gt;0,VLOOKUP($A169,'0.Productos'!$A$3:$GG$587,'0.Productos'!CY$1+1,0),"")</f>
        <v/>
      </c>
      <c r="BH169" s="133" t="str">
        <f>IF($A169&lt;&gt;0,VLOOKUP($A169,'0.Productos'!$A$3:$GG$587,'0.Productos'!CZ$1+1,0),"")</f>
        <v/>
      </c>
      <c r="BI169" s="133" t="str">
        <f>IF($A169&lt;&gt;0,VLOOKUP($A169,'0.Productos'!$A$3:$GG$587,'0.Productos'!DA$1+1,0),"")</f>
        <v/>
      </c>
      <c r="BJ169" s="133" t="str">
        <f>IF($A169&lt;&gt;0,VLOOKUP($A169,'0.Productos'!$A$3:$GG$587,'0.Productos'!DB$1+1,0),"")</f>
        <v/>
      </c>
      <c r="BK169" s="133" t="str">
        <f>IF($A169&lt;&gt;0,VLOOKUP($A169,'0.Productos'!$A$3:$GG$587,'0.Productos'!DC$1+1,0),"")</f>
        <v/>
      </c>
      <c r="BL169" s="133" t="str">
        <f>IF($A169&lt;&gt;0,VLOOKUP($A169,'0.Productos'!$A$3:$GG$587,'0.Productos'!DD$1+1,0),"")</f>
        <v/>
      </c>
      <c r="BM169" s="133" t="str">
        <f>IF($A169&lt;&gt;0,VLOOKUP($A169,'0.Productos'!$A$3:$GG$587,'0.Productos'!DE$1+1,0),"")</f>
        <v/>
      </c>
      <c r="BN169" s="133" t="str">
        <f>IF($A169&lt;&gt;0,VLOOKUP($A169,'0.Productos'!$A$3:$GG$587,'0.Productos'!DF$1+1,0),"")</f>
        <v/>
      </c>
      <c r="BO169" s="133" t="str">
        <f>IF($A169&lt;&gt;0,VLOOKUP($A169,'0.Productos'!$A$3:$GG$587,'0.Productos'!DG$1+1,0),"")</f>
        <v/>
      </c>
      <c r="BP169" s="133" t="str">
        <f>IF($A169&lt;&gt;0,VLOOKUP($A169,'0.Productos'!$A$3:$GG$587,'0.Productos'!DH$1+1,0),"")</f>
        <v/>
      </c>
      <c r="BQ169" s="133" t="str">
        <f>IF($A169&lt;&gt;0,VLOOKUP($A169,'0.Productos'!$A$3:$GG$587,'0.Productos'!DI$1+1,0),"")</f>
        <v/>
      </c>
      <c r="BR169" s="133" t="str">
        <f>IF($A169&lt;&gt;0,VLOOKUP($A169,'0.Productos'!$A$3:$GG$587,'0.Productos'!DJ$1+1,0),"")</f>
        <v/>
      </c>
      <c r="BS169" s="133" t="str">
        <f>IF($A169&lt;&gt;0,VLOOKUP($A169,'0.Productos'!$A$3:$GG$587,'0.Productos'!DK$1+1,0),"")</f>
        <v/>
      </c>
      <c r="BT169" s="133" t="str">
        <f>IF($A169&lt;&gt;0,VLOOKUP($A169,'0.Productos'!$A$3:$GG$587,'0.Productos'!DL$1+1,0),"")</f>
        <v/>
      </c>
    </row>
    <row r="170" spans="1:72" x14ac:dyDescent="0.25">
      <c r="A170" s="17">
        <f>'0.Consolidado general'!A170</f>
        <v>0</v>
      </c>
      <c r="B170" s="133" t="str">
        <f>IF($A170&lt;&gt;0,VLOOKUP($A170,'0.Productos'!$A$3:$GG$587,'0.Productos'!AT$1+1,0),"")</f>
        <v/>
      </c>
      <c r="C170" s="133" t="str">
        <f>IF($A170&lt;&gt;0,VLOOKUP($A170,'0.Productos'!$A$3:$GG$587,'0.Productos'!AU$1+1,0),"")</f>
        <v/>
      </c>
      <c r="D170" s="133" t="str">
        <f>IF($A170&lt;&gt;0,VLOOKUP($A170,'0.Productos'!$A$3:$GG$587,'0.Productos'!AV$1+1,0),"")</f>
        <v/>
      </c>
      <c r="E170" s="133" t="str">
        <f>IF($A170&lt;&gt;0,VLOOKUP($A170,'0.Productos'!$A$3:$GG$587,'0.Productos'!AW$1+1,0),"")</f>
        <v/>
      </c>
      <c r="F170" s="133" t="str">
        <f>IF($A170&lt;&gt;0,VLOOKUP($A170,'0.Productos'!$A$3:$GG$587,'0.Productos'!AX$1+1,0),"")</f>
        <v/>
      </c>
      <c r="G170" s="133" t="str">
        <f>IF($A170&lt;&gt;0,VLOOKUP($A170,'0.Productos'!$A$3:$GG$587,'0.Productos'!AY$1+1,0),"")</f>
        <v/>
      </c>
      <c r="H170" s="133" t="str">
        <f>IF($A170&lt;&gt;0,VLOOKUP($A170,'0.Productos'!$A$3:$GG$587,'0.Productos'!AZ$1+1,0),"")</f>
        <v/>
      </c>
      <c r="I170" s="133" t="str">
        <f>IF($A170&lt;&gt;0,VLOOKUP($A170,'0.Productos'!$A$3:$GG$587,'0.Productos'!BA$1+1,0),"")</f>
        <v/>
      </c>
      <c r="J170" s="133" t="str">
        <f>IF($A170&lt;&gt;0,VLOOKUP($A170,'0.Productos'!$A$3:$GG$587,'0.Productos'!BB$1+1,0),"")</f>
        <v/>
      </c>
      <c r="K170" s="133" t="str">
        <f>IF($A170&lt;&gt;0,VLOOKUP($A170,'0.Productos'!$A$3:$GG$587,'0.Productos'!BC$1+1,0),"")</f>
        <v/>
      </c>
      <c r="L170" s="133" t="str">
        <f>IF($A170&lt;&gt;0,VLOOKUP($A170,'0.Productos'!$A$3:$GG$587,'0.Productos'!BD$1+1,0),"")</f>
        <v/>
      </c>
      <c r="M170" s="133" t="str">
        <f>IF($A170&lt;&gt;0,VLOOKUP($A170,'0.Productos'!$A$3:$GG$587,'0.Productos'!BE$1+1,0),"")</f>
        <v/>
      </c>
      <c r="N170" s="133" t="str">
        <f>IF($A170&lt;&gt;0,VLOOKUP($A170,'0.Productos'!$A$3:$GG$587,'0.Productos'!BF$1+1,0),"")</f>
        <v/>
      </c>
      <c r="O170" s="133" t="str">
        <f>IF($A170&lt;&gt;0,VLOOKUP($A170,'0.Productos'!$A$3:$GG$587,'0.Productos'!BG$1+1,0),"")</f>
        <v/>
      </c>
      <c r="P170" s="133" t="str">
        <f>IF($A170&lt;&gt;0,VLOOKUP($A170,'0.Productos'!$A$3:$GG$587,'0.Productos'!BH$1+1,0),"")</f>
        <v/>
      </c>
      <c r="Q170" s="133" t="str">
        <f>IF($A170&lt;&gt;0,VLOOKUP($A170,'0.Productos'!$A$3:$GG$587,'0.Productos'!BI$1+1,0),"")</f>
        <v/>
      </c>
      <c r="R170" s="133" t="str">
        <f>IF($A170&lt;&gt;0,VLOOKUP($A170,'0.Productos'!$A$3:$GG$587,'0.Productos'!BJ$1+1,0),"")</f>
        <v/>
      </c>
      <c r="S170" s="133" t="str">
        <f>IF($A170&lt;&gt;0,VLOOKUP($A170,'0.Productos'!$A$3:$GG$587,'0.Productos'!BK$1+1,0),"")</f>
        <v/>
      </c>
      <c r="T170" s="133" t="str">
        <f>IF($A170&lt;&gt;0,VLOOKUP($A170,'0.Productos'!$A$3:$GG$587,'0.Productos'!BL$1+1,0),"")</f>
        <v/>
      </c>
      <c r="U170" s="133" t="str">
        <f>IF($A170&lt;&gt;0,VLOOKUP($A170,'0.Productos'!$A$3:$GG$587,'0.Productos'!BM$1+1,0),"")</f>
        <v/>
      </c>
      <c r="V170" s="133" t="str">
        <f>IF($A170&lt;&gt;0,VLOOKUP($A170,'0.Productos'!$A$3:$GG$587,'0.Productos'!BN$1+1,0),"")</f>
        <v/>
      </c>
      <c r="W170" s="133" t="str">
        <f>IF($A170&lt;&gt;0,VLOOKUP($A170,'0.Productos'!$A$3:$GG$587,'0.Productos'!BO$1+1,0),"")</f>
        <v/>
      </c>
      <c r="X170" s="133" t="str">
        <f>IF($A170&lt;&gt;0,VLOOKUP($A170,'0.Productos'!$A$3:$GG$587,'0.Productos'!BP$1+1,0),"")</f>
        <v/>
      </c>
      <c r="Y170" s="133" t="str">
        <f>IF($A170&lt;&gt;0,VLOOKUP($A170,'0.Productos'!$A$3:$GG$587,'0.Productos'!BQ$1+1,0),"")</f>
        <v/>
      </c>
      <c r="Z170" s="133" t="str">
        <f>IF($A170&lt;&gt;0,VLOOKUP($A170,'0.Productos'!$A$3:$GG$587,'0.Productos'!BR$1+1,0),"")</f>
        <v/>
      </c>
      <c r="AA170" s="133" t="str">
        <f>IF($A170&lt;&gt;0,VLOOKUP($A170,'0.Productos'!$A$3:$GG$587,'0.Productos'!BS$1+1,0),"")</f>
        <v/>
      </c>
      <c r="AB170" s="133" t="str">
        <f>IF($A170&lt;&gt;0,VLOOKUP($A170,'0.Productos'!$A$3:$GG$587,'0.Productos'!BT$1+1,0),"")</f>
        <v/>
      </c>
      <c r="AC170" s="133" t="str">
        <f>IF($A170&lt;&gt;0,VLOOKUP($A170,'0.Productos'!$A$3:$GG$587,'0.Productos'!BU$1+1,0),"")</f>
        <v/>
      </c>
      <c r="AD170" s="133" t="str">
        <f>IF($A170&lt;&gt;0,VLOOKUP($A170,'0.Productos'!$A$3:$GG$587,'0.Productos'!BV$1+1,0),"")</f>
        <v/>
      </c>
      <c r="AE170" s="133" t="str">
        <f>IF($A170&lt;&gt;0,VLOOKUP($A170,'0.Productos'!$A$3:$GG$587,'0.Productos'!BW$1+1,0),"")</f>
        <v/>
      </c>
      <c r="AF170" s="133" t="str">
        <f>IF($A170&lt;&gt;0,VLOOKUP($A170,'0.Productos'!$A$3:$GG$587,'0.Productos'!BX$1+1,0),"")</f>
        <v/>
      </c>
      <c r="AG170" s="133" t="str">
        <f>IF($A170&lt;&gt;0,VLOOKUP($A170,'0.Productos'!$A$3:$GG$587,'0.Productos'!BY$1+1,0),"")</f>
        <v/>
      </c>
      <c r="AH170" s="133" t="str">
        <f>IF($A170&lt;&gt;0,VLOOKUP($A170,'0.Productos'!$A$3:$GG$587,'0.Productos'!BZ$1+1,0),"")</f>
        <v/>
      </c>
      <c r="AI170" s="133" t="str">
        <f>IF($A170&lt;&gt;0,VLOOKUP($A170,'0.Productos'!$A$3:$GG$587,'0.Productos'!CA$1+1,0),"")</f>
        <v/>
      </c>
      <c r="AJ170" s="133" t="str">
        <f>IF($A170&lt;&gt;0,VLOOKUP($A170,'0.Productos'!$A$3:$GG$587,'0.Productos'!CB$1+1,0),"")</f>
        <v/>
      </c>
      <c r="AK170" s="133" t="str">
        <f>IF($A170&lt;&gt;0,VLOOKUP($A170,'0.Productos'!$A$3:$GG$587,'0.Productos'!CC$1+1,0),"")</f>
        <v/>
      </c>
      <c r="AL170" s="133" t="str">
        <f>IF($A170&lt;&gt;0,VLOOKUP($A170,'0.Productos'!$A$3:$GG$587,'0.Productos'!CD$1+1,0),"")</f>
        <v/>
      </c>
      <c r="AM170" s="133" t="str">
        <f>IF($A170&lt;&gt;0,VLOOKUP($A170,'0.Productos'!$A$3:$GG$587,'0.Productos'!CE$1+1,0),"")</f>
        <v/>
      </c>
      <c r="AN170" s="133" t="str">
        <f>IF($A170&lt;&gt;0,VLOOKUP($A170,'0.Productos'!$A$3:$GG$587,'0.Productos'!CF$1+1,0),"")</f>
        <v/>
      </c>
      <c r="AO170" s="133" t="str">
        <f>IF($A170&lt;&gt;0,VLOOKUP($A170,'0.Productos'!$A$3:$GG$587,'0.Productos'!CG$1+1,0),"")</f>
        <v/>
      </c>
      <c r="AP170" s="133" t="str">
        <f>IF($A170&lt;&gt;0,VLOOKUP($A170,'0.Productos'!$A$3:$GG$587,'0.Productos'!CH$1+1,0),"")</f>
        <v/>
      </c>
      <c r="AQ170" s="133" t="str">
        <f>IF($A170&lt;&gt;0,VLOOKUP($A170,'0.Productos'!$A$3:$GG$587,'0.Productos'!CI$1+1,0),"")</f>
        <v/>
      </c>
      <c r="AR170" s="133" t="str">
        <f>IF($A170&lt;&gt;0,VLOOKUP($A170,'0.Productos'!$A$3:$GG$587,'0.Productos'!CJ$1+1,0),"")</f>
        <v/>
      </c>
      <c r="AS170" s="133" t="str">
        <f>IF($A170&lt;&gt;0,VLOOKUP($A170,'0.Productos'!$A$3:$GG$587,'0.Productos'!CK$1+1,0),"")</f>
        <v/>
      </c>
      <c r="AT170" s="133" t="str">
        <f>IF($A170&lt;&gt;0,VLOOKUP($A170,'0.Productos'!$A$3:$GG$587,'0.Productos'!CL$1+1,0),"")</f>
        <v/>
      </c>
      <c r="AU170" s="133" t="str">
        <f>IF($A170&lt;&gt;0,VLOOKUP($A170,'0.Productos'!$A$3:$GG$587,'0.Productos'!CM$1+1,0),"")</f>
        <v/>
      </c>
      <c r="AV170" s="133" t="str">
        <f>IF($A170&lt;&gt;0,VLOOKUP($A170,'0.Productos'!$A$3:$GG$587,'0.Productos'!CN$1+1,0),"")</f>
        <v/>
      </c>
      <c r="AW170" s="133" t="str">
        <f>IF($A170&lt;&gt;0,VLOOKUP($A170,'0.Productos'!$A$3:$GG$587,'0.Productos'!CO$1+1,0),"")</f>
        <v/>
      </c>
      <c r="AX170" s="133" t="str">
        <f>IF($A170&lt;&gt;0,VLOOKUP($A170,'0.Productos'!$A$3:$GG$587,'0.Productos'!CP$1+1,0),"")</f>
        <v/>
      </c>
      <c r="AY170" s="133" t="str">
        <f>IF($A170&lt;&gt;0,VLOOKUP($A170,'0.Productos'!$A$3:$GG$587,'0.Productos'!CQ$1+1,0),"")</f>
        <v/>
      </c>
      <c r="AZ170" s="133" t="str">
        <f>IF($A170&lt;&gt;0,VLOOKUP($A170,'0.Productos'!$A$3:$GG$587,'0.Productos'!CR$1+1,0),"")</f>
        <v/>
      </c>
      <c r="BA170" s="133" t="str">
        <f>IF($A170&lt;&gt;0,VLOOKUP($A170,'0.Productos'!$A$3:$GG$587,'0.Productos'!CS$1+1,0),"")</f>
        <v/>
      </c>
      <c r="BB170" s="133" t="str">
        <f>IF($A170&lt;&gt;0,VLOOKUP($A170,'0.Productos'!$A$3:$GG$587,'0.Productos'!CT$1+1,0),"")</f>
        <v/>
      </c>
      <c r="BC170" s="133" t="str">
        <f>IF($A170&lt;&gt;0,VLOOKUP($A170,'0.Productos'!$A$3:$GG$587,'0.Productos'!CU$1+1,0),"")</f>
        <v/>
      </c>
      <c r="BD170" s="133" t="str">
        <f>IF($A170&lt;&gt;0,VLOOKUP($A170,'0.Productos'!$A$3:$GG$587,'0.Productos'!CV$1+1,0),"")</f>
        <v/>
      </c>
      <c r="BE170" s="133" t="str">
        <f>IF($A170&lt;&gt;0,VLOOKUP($A170,'0.Productos'!$A$3:$GG$587,'0.Productos'!CW$1+1,0),"")</f>
        <v/>
      </c>
      <c r="BF170" s="133" t="str">
        <f>IF($A170&lt;&gt;0,VLOOKUP($A170,'0.Productos'!$A$3:$GG$587,'0.Productos'!CX$1+1,0),"")</f>
        <v/>
      </c>
      <c r="BG170" s="133" t="str">
        <f>IF($A170&lt;&gt;0,VLOOKUP($A170,'0.Productos'!$A$3:$GG$587,'0.Productos'!CY$1+1,0),"")</f>
        <v/>
      </c>
      <c r="BH170" s="133" t="str">
        <f>IF($A170&lt;&gt;0,VLOOKUP($A170,'0.Productos'!$A$3:$GG$587,'0.Productos'!CZ$1+1,0),"")</f>
        <v/>
      </c>
      <c r="BI170" s="133" t="str">
        <f>IF($A170&lt;&gt;0,VLOOKUP($A170,'0.Productos'!$A$3:$GG$587,'0.Productos'!DA$1+1,0),"")</f>
        <v/>
      </c>
      <c r="BJ170" s="133" t="str">
        <f>IF($A170&lt;&gt;0,VLOOKUP($A170,'0.Productos'!$A$3:$GG$587,'0.Productos'!DB$1+1,0),"")</f>
        <v/>
      </c>
      <c r="BK170" s="133" t="str">
        <f>IF($A170&lt;&gt;0,VLOOKUP($A170,'0.Productos'!$A$3:$GG$587,'0.Productos'!DC$1+1,0),"")</f>
        <v/>
      </c>
      <c r="BL170" s="133" t="str">
        <f>IF($A170&lt;&gt;0,VLOOKUP($A170,'0.Productos'!$A$3:$GG$587,'0.Productos'!DD$1+1,0),"")</f>
        <v/>
      </c>
      <c r="BM170" s="133" t="str">
        <f>IF($A170&lt;&gt;0,VLOOKUP($A170,'0.Productos'!$A$3:$GG$587,'0.Productos'!DE$1+1,0),"")</f>
        <v/>
      </c>
      <c r="BN170" s="133" t="str">
        <f>IF($A170&lt;&gt;0,VLOOKUP($A170,'0.Productos'!$A$3:$GG$587,'0.Productos'!DF$1+1,0),"")</f>
        <v/>
      </c>
      <c r="BO170" s="133" t="str">
        <f>IF($A170&lt;&gt;0,VLOOKUP($A170,'0.Productos'!$A$3:$GG$587,'0.Productos'!DG$1+1,0),"")</f>
        <v/>
      </c>
      <c r="BP170" s="133" t="str">
        <f>IF($A170&lt;&gt;0,VLOOKUP($A170,'0.Productos'!$A$3:$GG$587,'0.Productos'!DH$1+1,0),"")</f>
        <v/>
      </c>
      <c r="BQ170" s="133" t="str">
        <f>IF($A170&lt;&gt;0,VLOOKUP($A170,'0.Productos'!$A$3:$GG$587,'0.Productos'!DI$1+1,0),"")</f>
        <v/>
      </c>
      <c r="BR170" s="133" t="str">
        <f>IF($A170&lt;&gt;0,VLOOKUP($A170,'0.Productos'!$A$3:$GG$587,'0.Productos'!DJ$1+1,0),"")</f>
        <v/>
      </c>
      <c r="BS170" s="133" t="str">
        <f>IF($A170&lt;&gt;0,VLOOKUP($A170,'0.Productos'!$A$3:$GG$587,'0.Productos'!DK$1+1,0),"")</f>
        <v/>
      </c>
      <c r="BT170" s="133" t="str">
        <f>IF($A170&lt;&gt;0,VLOOKUP($A170,'0.Productos'!$A$3:$GG$587,'0.Productos'!DL$1+1,0),"")</f>
        <v/>
      </c>
    </row>
    <row r="171" spans="1:72" x14ac:dyDescent="0.25">
      <c r="A171" s="17">
        <f>'0.Consolidado general'!A171</f>
        <v>0</v>
      </c>
      <c r="B171" s="133" t="str">
        <f>IF($A171&lt;&gt;0,VLOOKUP($A171,'0.Productos'!$A$3:$GG$587,'0.Productos'!AT$1+1,0),"")</f>
        <v/>
      </c>
      <c r="C171" s="133" t="str">
        <f>IF($A171&lt;&gt;0,VLOOKUP($A171,'0.Productos'!$A$3:$GG$587,'0.Productos'!AU$1+1,0),"")</f>
        <v/>
      </c>
      <c r="D171" s="133" t="str">
        <f>IF($A171&lt;&gt;0,VLOOKUP($A171,'0.Productos'!$A$3:$GG$587,'0.Productos'!AV$1+1,0),"")</f>
        <v/>
      </c>
      <c r="E171" s="133" t="str">
        <f>IF($A171&lt;&gt;0,VLOOKUP($A171,'0.Productos'!$A$3:$GG$587,'0.Productos'!AW$1+1,0),"")</f>
        <v/>
      </c>
      <c r="F171" s="133" t="str">
        <f>IF($A171&lt;&gt;0,VLOOKUP($A171,'0.Productos'!$A$3:$GG$587,'0.Productos'!AX$1+1,0),"")</f>
        <v/>
      </c>
      <c r="G171" s="133" t="str">
        <f>IF($A171&lt;&gt;0,VLOOKUP($A171,'0.Productos'!$A$3:$GG$587,'0.Productos'!AY$1+1,0),"")</f>
        <v/>
      </c>
      <c r="H171" s="133" t="str">
        <f>IF($A171&lt;&gt;0,VLOOKUP($A171,'0.Productos'!$A$3:$GG$587,'0.Productos'!AZ$1+1,0),"")</f>
        <v/>
      </c>
      <c r="I171" s="133" t="str">
        <f>IF($A171&lt;&gt;0,VLOOKUP($A171,'0.Productos'!$A$3:$GG$587,'0.Productos'!BA$1+1,0),"")</f>
        <v/>
      </c>
      <c r="J171" s="133" t="str">
        <f>IF($A171&lt;&gt;0,VLOOKUP($A171,'0.Productos'!$A$3:$GG$587,'0.Productos'!BB$1+1,0),"")</f>
        <v/>
      </c>
      <c r="K171" s="133" t="str">
        <f>IF($A171&lt;&gt;0,VLOOKUP($A171,'0.Productos'!$A$3:$GG$587,'0.Productos'!BC$1+1,0),"")</f>
        <v/>
      </c>
      <c r="L171" s="133" t="str">
        <f>IF($A171&lt;&gt;0,VLOOKUP($A171,'0.Productos'!$A$3:$GG$587,'0.Productos'!BD$1+1,0),"")</f>
        <v/>
      </c>
      <c r="M171" s="133" t="str">
        <f>IF($A171&lt;&gt;0,VLOOKUP($A171,'0.Productos'!$A$3:$GG$587,'0.Productos'!BE$1+1,0),"")</f>
        <v/>
      </c>
      <c r="N171" s="133" t="str">
        <f>IF($A171&lt;&gt;0,VLOOKUP($A171,'0.Productos'!$A$3:$GG$587,'0.Productos'!BF$1+1,0),"")</f>
        <v/>
      </c>
      <c r="O171" s="133" t="str">
        <f>IF($A171&lt;&gt;0,VLOOKUP($A171,'0.Productos'!$A$3:$GG$587,'0.Productos'!BG$1+1,0),"")</f>
        <v/>
      </c>
      <c r="P171" s="133" t="str">
        <f>IF($A171&lt;&gt;0,VLOOKUP($A171,'0.Productos'!$A$3:$GG$587,'0.Productos'!BH$1+1,0),"")</f>
        <v/>
      </c>
      <c r="Q171" s="133" t="str">
        <f>IF($A171&lt;&gt;0,VLOOKUP($A171,'0.Productos'!$A$3:$GG$587,'0.Productos'!BI$1+1,0),"")</f>
        <v/>
      </c>
      <c r="R171" s="133" t="str">
        <f>IF($A171&lt;&gt;0,VLOOKUP($A171,'0.Productos'!$A$3:$GG$587,'0.Productos'!BJ$1+1,0),"")</f>
        <v/>
      </c>
      <c r="S171" s="133" t="str">
        <f>IF($A171&lt;&gt;0,VLOOKUP($A171,'0.Productos'!$A$3:$GG$587,'0.Productos'!BK$1+1,0),"")</f>
        <v/>
      </c>
      <c r="T171" s="133" t="str">
        <f>IF($A171&lt;&gt;0,VLOOKUP($A171,'0.Productos'!$A$3:$GG$587,'0.Productos'!BL$1+1,0),"")</f>
        <v/>
      </c>
      <c r="U171" s="133" t="str">
        <f>IF($A171&lt;&gt;0,VLOOKUP($A171,'0.Productos'!$A$3:$GG$587,'0.Productos'!BM$1+1,0),"")</f>
        <v/>
      </c>
      <c r="V171" s="133" t="str">
        <f>IF($A171&lt;&gt;0,VLOOKUP($A171,'0.Productos'!$A$3:$GG$587,'0.Productos'!BN$1+1,0),"")</f>
        <v/>
      </c>
      <c r="W171" s="133" t="str">
        <f>IF($A171&lt;&gt;0,VLOOKUP($A171,'0.Productos'!$A$3:$GG$587,'0.Productos'!BO$1+1,0),"")</f>
        <v/>
      </c>
      <c r="X171" s="133" t="str">
        <f>IF($A171&lt;&gt;0,VLOOKUP($A171,'0.Productos'!$A$3:$GG$587,'0.Productos'!BP$1+1,0),"")</f>
        <v/>
      </c>
      <c r="Y171" s="133" t="str">
        <f>IF($A171&lt;&gt;0,VLOOKUP($A171,'0.Productos'!$A$3:$GG$587,'0.Productos'!BQ$1+1,0),"")</f>
        <v/>
      </c>
      <c r="Z171" s="133" t="str">
        <f>IF($A171&lt;&gt;0,VLOOKUP($A171,'0.Productos'!$A$3:$GG$587,'0.Productos'!BR$1+1,0),"")</f>
        <v/>
      </c>
      <c r="AA171" s="133" t="str">
        <f>IF($A171&lt;&gt;0,VLOOKUP($A171,'0.Productos'!$A$3:$GG$587,'0.Productos'!BS$1+1,0),"")</f>
        <v/>
      </c>
      <c r="AB171" s="133" t="str">
        <f>IF($A171&lt;&gt;0,VLOOKUP($A171,'0.Productos'!$A$3:$GG$587,'0.Productos'!BT$1+1,0),"")</f>
        <v/>
      </c>
      <c r="AC171" s="133" t="str">
        <f>IF($A171&lt;&gt;0,VLOOKUP($A171,'0.Productos'!$A$3:$GG$587,'0.Productos'!BU$1+1,0),"")</f>
        <v/>
      </c>
      <c r="AD171" s="133" t="str">
        <f>IF($A171&lt;&gt;0,VLOOKUP($A171,'0.Productos'!$A$3:$GG$587,'0.Productos'!BV$1+1,0),"")</f>
        <v/>
      </c>
      <c r="AE171" s="133" t="str">
        <f>IF($A171&lt;&gt;0,VLOOKUP($A171,'0.Productos'!$A$3:$GG$587,'0.Productos'!BW$1+1,0),"")</f>
        <v/>
      </c>
      <c r="AF171" s="133" t="str">
        <f>IF($A171&lt;&gt;0,VLOOKUP($A171,'0.Productos'!$A$3:$GG$587,'0.Productos'!BX$1+1,0),"")</f>
        <v/>
      </c>
      <c r="AG171" s="133" t="str">
        <f>IF($A171&lt;&gt;0,VLOOKUP($A171,'0.Productos'!$A$3:$GG$587,'0.Productos'!BY$1+1,0),"")</f>
        <v/>
      </c>
      <c r="AH171" s="133" t="str">
        <f>IF($A171&lt;&gt;0,VLOOKUP($A171,'0.Productos'!$A$3:$GG$587,'0.Productos'!BZ$1+1,0),"")</f>
        <v/>
      </c>
      <c r="AI171" s="133" t="str">
        <f>IF($A171&lt;&gt;0,VLOOKUP($A171,'0.Productos'!$A$3:$GG$587,'0.Productos'!CA$1+1,0),"")</f>
        <v/>
      </c>
      <c r="AJ171" s="133" t="str">
        <f>IF($A171&lt;&gt;0,VLOOKUP($A171,'0.Productos'!$A$3:$GG$587,'0.Productos'!CB$1+1,0),"")</f>
        <v/>
      </c>
      <c r="AK171" s="133" t="str">
        <f>IF($A171&lt;&gt;0,VLOOKUP($A171,'0.Productos'!$A$3:$GG$587,'0.Productos'!CC$1+1,0),"")</f>
        <v/>
      </c>
      <c r="AL171" s="133" t="str">
        <f>IF($A171&lt;&gt;0,VLOOKUP($A171,'0.Productos'!$A$3:$GG$587,'0.Productos'!CD$1+1,0),"")</f>
        <v/>
      </c>
      <c r="AM171" s="133" t="str">
        <f>IF($A171&lt;&gt;0,VLOOKUP($A171,'0.Productos'!$A$3:$GG$587,'0.Productos'!CE$1+1,0),"")</f>
        <v/>
      </c>
      <c r="AN171" s="133" t="str">
        <f>IF($A171&lt;&gt;0,VLOOKUP($A171,'0.Productos'!$A$3:$GG$587,'0.Productos'!CF$1+1,0),"")</f>
        <v/>
      </c>
      <c r="AO171" s="133" t="str">
        <f>IF($A171&lt;&gt;0,VLOOKUP($A171,'0.Productos'!$A$3:$GG$587,'0.Productos'!CG$1+1,0),"")</f>
        <v/>
      </c>
      <c r="AP171" s="133" t="str">
        <f>IF($A171&lt;&gt;0,VLOOKUP($A171,'0.Productos'!$A$3:$GG$587,'0.Productos'!CH$1+1,0),"")</f>
        <v/>
      </c>
      <c r="AQ171" s="133" t="str">
        <f>IF($A171&lt;&gt;0,VLOOKUP($A171,'0.Productos'!$A$3:$GG$587,'0.Productos'!CI$1+1,0),"")</f>
        <v/>
      </c>
      <c r="AR171" s="133" t="str">
        <f>IF($A171&lt;&gt;0,VLOOKUP($A171,'0.Productos'!$A$3:$GG$587,'0.Productos'!CJ$1+1,0),"")</f>
        <v/>
      </c>
      <c r="AS171" s="133" t="str">
        <f>IF($A171&lt;&gt;0,VLOOKUP($A171,'0.Productos'!$A$3:$GG$587,'0.Productos'!CK$1+1,0),"")</f>
        <v/>
      </c>
      <c r="AT171" s="133" t="str">
        <f>IF($A171&lt;&gt;0,VLOOKUP($A171,'0.Productos'!$A$3:$GG$587,'0.Productos'!CL$1+1,0),"")</f>
        <v/>
      </c>
      <c r="AU171" s="133" t="str">
        <f>IF($A171&lt;&gt;0,VLOOKUP($A171,'0.Productos'!$A$3:$GG$587,'0.Productos'!CM$1+1,0),"")</f>
        <v/>
      </c>
      <c r="AV171" s="133" t="str">
        <f>IF($A171&lt;&gt;0,VLOOKUP($A171,'0.Productos'!$A$3:$GG$587,'0.Productos'!CN$1+1,0),"")</f>
        <v/>
      </c>
      <c r="AW171" s="133" t="str">
        <f>IF($A171&lt;&gt;0,VLOOKUP($A171,'0.Productos'!$A$3:$GG$587,'0.Productos'!CO$1+1,0),"")</f>
        <v/>
      </c>
      <c r="AX171" s="133" t="str">
        <f>IF($A171&lt;&gt;0,VLOOKUP($A171,'0.Productos'!$A$3:$GG$587,'0.Productos'!CP$1+1,0),"")</f>
        <v/>
      </c>
      <c r="AY171" s="133" t="str">
        <f>IF($A171&lt;&gt;0,VLOOKUP($A171,'0.Productos'!$A$3:$GG$587,'0.Productos'!CQ$1+1,0),"")</f>
        <v/>
      </c>
      <c r="AZ171" s="133" t="str">
        <f>IF($A171&lt;&gt;0,VLOOKUP($A171,'0.Productos'!$A$3:$GG$587,'0.Productos'!CR$1+1,0),"")</f>
        <v/>
      </c>
      <c r="BA171" s="133" t="str">
        <f>IF($A171&lt;&gt;0,VLOOKUP($A171,'0.Productos'!$A$3:$GG$587,'0.Productos'!CS$1+1,0),"")</f>
        <v/>
      </c>
      <c r="BB171" s="133" t="str">
        <f>IF($A171&lt;&gt;0,VLOOKUP($A171,'0.Productos'!$A$3:$GG$587,'0.Productos'!CT$1+1,0),"")</f>
        <v/>
      </c>
      <c r="BC171" s="133" t="str">
        <f>IF($A171&lt;&gt;0,VLOOKUP($A171,'0.Productos'!$A$3:$GG$587,'0.Productos'!CU$1+1,0),"")</f>
        <v/>
      </c>
      <c r="BD171" s="133" t="str">
        <f>IF($A171&lt;&gt;0,VLOOKUP($A171,'0.Productos'!$A$3:$GG$587,'0.Productos'!CV$1+1,0),"")</f>
        <v/>
      </c>
      <c r="BE171" s="133" t="str">
        <f>IF($A171&lt;&gt;0,VLOOKUP($A171,'0.Productos'!$A$3:$GG$587,'0.Productos'!CW$1+1,0),"")</f>
        <v/>
      </c>
      <c r="BF171" s="133" t="str">
        <f>IF($A171&lt;&gt;0,VLOOKUP($A171,'0.Productos'!$A$3:$GG$587,'0.Productos'!CX$1+1,0),"")</f>
        <v/>
      </c>
      <c r="BG171" s="133" t="str">
        <f>IF($A171&lt;&gt;0,VLOOKUP($A171,'0.Productos'!$A$3:$GG$587,'0.Productos'!CY$1+1,0),"")</f>
        <v/>
      </c>
      <c r="BH171" s="133" t="str">
        <f>IF($A171&lt;&gt;0,VLOOKUP($A171,'0.Productos'!$A$3:$GG$587,'0.Productos'!CZ$1+1,0),"")</f>
        <v/>
      </c>
      <c r="BI171" s="133" t="str">
        <f>IF($A171&lt;&gt;0,VLOOKUP($A171,'0.Productos'!$A$3:$GG$587,'0.Productos'!DA$1+1,0),"")</f>
        <v/>
      </c>
      <c r="BJ171" s="133" t="str">
        <f>IF($A171&lt;&gt;0,VLOOKUP($A171,'0.Productos'!$A$3:$GG$587,'0.Productos'!DB$1+1,0),"")</f>
        <v/>
      </c>
      <c r="BK171" s="133" t="str">
        <f>IF($A171&lt;&gt;0,VLOOKUP($A171,'0.Productos'!$A$3:$GG$587,'0.Productos'!DC$1+1,0),"")</f>
        <v/>
      </c>
      <c r="BL171" s="133" t="str">
        <f>IF($A171&lt;&gt;0,VLOOKUP($A171,'0.Productos'!$A$3:$GG$587,'0.Productos'!DD$1+1,0),"")</f>
        <v/>
      </c>
      <c r="BM171" s="133" t="str">
        <f>IF($A171&lt;&gt;0,VLOOKUP($A171,'0.Productos'!$A$3:$GG$587,'0.Productos'!DE$1+1,0),"")</f>
        <v/>
      </c>
      <c r="BN171" s="133" t="str">
        <f>IF($A171&lt;&gt;0,VLOOKUP($A171,'0.Productos'!$A$3:$GG$587,'0.Productos'!DF$1+1,0),"")</f>
        <v/>
      </c>
      <c r="BO171" s="133" t="str">
        <f>IF($A171&lt;&gt;0,VLOOKUP($A171,'0.Productos'!$A$3:$GG$587,'0.Productos'!DG$1+1,0),"")</f>
        <v/>
      </c>
      <c r="BP171" s="133" t="str">
        <f>IF($A171&lt;&gt;0,VLOOKUP($A171,'0.Productos'!$A$3:$GG$587,'0.Productos'!DH$1+1,0),"")</f>
        <v/>
      </c>
      <c r="BQ171" s="133" t="str">
        <f>IF($A171&lt;&gt;0,VLOOKUP($A171,'0.Productos'!$A$3:$GG$587,'0.Productos'!DI$1+1,0),"")</f>
        <v/>
      </c>
      <c r="BR171" s="133" t="str">
        <f>IF($A171&lt;&gt;0,VLOOKUP($A171,'0.Productos'!$A$3:$GG$587,'0.Productos'!DJ$1+1,0),"")</f>
        <v/>
      </c>
      <c r="BS171" s="133" t="str">
        <f>IF($A171&lt;&gt;0,VLOOKUP($A171,'0.Productos'!$A$3:$GG$587,'0.Productos'!DK$1+1,0),"")</f>
        <v/>
      </c>
      <c r="BT171" s="133" t="str">
        <f>IF($A171&lt;&gt;0,VLOOKUP($A171,'0.Productos'!$A$3:$GG$587,'0.Productos'!DL$1+1,0),"")</f>
        <v/>
      </c>
    </row>
    <row r="172" spans="1:72" x14ac:dyDescent="0.25">
      <c r="A172" s="17">
        <f>'0.Consolidado general'!A172</f>
        <v>0</v>
      </c>
      <c r="B172" s="133" t="str">
        <f>IF($A172&lt;&gt;0,VLOOKUP($A172,'0.Productos'!$A$3:$GG$587,'0.Productos'!AT$1+1,0),"")</f>
        <v/>
      </c>
      <c r="C172" s="133" t="str">
        <f>IF($A172&lt;&gt;0,VLOOKUP($A172,'0.Productos'!$A$3:$GG$587,'0.Productos'!AU$1+1,0),"")</f>
        <v/>
      </c>
      <c r="D172" s="133" t="str">
        <f>IF($A172&lt;&gt;0,VLOOKUP($A172,'0.Productos'!$A$3:$GG$587,'0.Productos'!AV$1+1,0),"")</f>
        <v/>
      </c>
      <c r="E172" s="133" t="str">
        <f>IF($A172&lt;&gt;0,VLOOKUP($A172,'0.Productos'!$A$3:$GG$587,'0.Productos'!AW$1+1,0),"")</f>
        <v/>
      </c>
      <c r="F172" s="133" t="str">
        <f>IF($A172&lt;&gt;0,VLOOKUP($A172,'0.Productos'!$A$3:$GG$587,'0.Productos'!AX$1+1,0),"")</f>
        <v/>
      </c>
      <c r="G172" s="133" t="str">
        <f>IF($A172&lt;&gt;0,VLOOKUP($A172,'0.Productos'!$A$3:$GG$587,'0.Productos'!AY$1+1,0),"")</f>
        <v/>
      </c>
      <c r="H172" s="133" t="str">
        <f>IF($A172&lt;&gt;0,VLOOKUP($A172,'0.Productos'!$A$3:$GG$587,'0.Productos'!AZ$1+1,0),"")</f>
        <v/>
      </c>
      <c r="I172" s="133" t="str">
        <f>IF($A172&lt;&gt;0,VLOOKUP($A172,'0.Productos'!$A$3:$GG$587,'0.Productos'!BA$1+1,0),"")</f>
        <v/>
      </c>
      <c r="J172" s="133" t="str">
        <f>IF($A172&lt;&gt;0,VLOOKUP($A172,'0.Productos'!$A$3:$GG$587,'0.Productos'!BB$1+1,0),"")</f>
        <v/>
      </c>
      <c r="K172" s="133" t="str">
        <f>IF($A172&lt;&gt;0,VLOOKUP($A172,'0.Productos'!$A$3:$GG$587,'0.Productos'!BC$1+1,0),"")</f>
        <v/>
      </c>
      <c r="L172" s="133" t="str">
        <f>IF($A172&lt;&gt;0,VLOOKUP($A172,'0.Productos'!$A$3:$GG$587,'0.Productos'!BD$1+1,0),"")</f>
        <v/>
      </c>
      <c r="M172" s="133" t="str">
        <f>IF($A172&lt;&gt;0,VLOOKUP($A172,'0.Productos'!$A$3:$GG$587,'0.Productos'!BE$1+1,0),"")</f>
        <v/>
      </c>
      <c r="N172" s="133" t="str">
        <f>IF($A172&lt;&gt;0,VLOOKUP($A172,'0.Productos'!$A$3:$GG$587,'0.Productos'!BF$1+1,0),"")</f>
        <v/>
      </c>
      <c r="O172" s="133" t="str">
        <f>IF($A172&lt;&gt;0,VLOOKUP($A172,'0.Productos'!$A$3:$GG$587,'0.Productos'!BG$1+1,0),"")</f>
        <v/>
      </c>
      <c r="P172" s="133" t="str">
        <f>IF($A172&lt;&gt;0,VLOOKUP($A172,'0.Productos'!$A$3:$GG$587,'0.Productos'!BH$1+1,0),"")</f>
        <v/>
      </c>
      <c r="Q172" s="133" t="str">
        <f>IF($A172&lt;&gt;0,VLOOKUP($A172,'0.Productos'!$A$3:$GG$587,'0.Productos'!BI$1+1,0),"")</f>
        <v/>
      </c>
      <c r="R172" s="133" t="str">
        <f>IF($A172&lt;&gt;0,VLOOKUP($A172,'0.Productos'!$A$3:$GG$587,'0.Productos'!BJ$1+1,0),"")</f>
        <v/>
      </c>
      <c r="S172" s="133" t="str">
        <f>IF($A172&lt;&gt;0,VLOOKUP($A172,'0.Productos'!$A$3:$GG$587,'0.Productos'!BK$1+1,0),"")</f>
        <v/>
      </c>
      <c r="T172" s="133" t="str">
        <f>IF($A172&lt;&gt;0,VLOOKUP($A172,'0.Productos'!$A$3:$GG$587,'0.Productos'!BL$1+1,0),"")</f>
        <v/>
      </c>
      <c r="U172" s="133" t="str">
        <f>IF($A172&lt;&gt;0,VLOOKUP($A172,'0.Productos'!$A$3:$GG$587,'0.Productos'!BM$1+1,0),"")</f>
        <v/>
      </c>
      <c r="V172" s="133" t="str">
        <f>IF($A172&lt;&gt;0,VLOOKUP($A172,'0.Productos'!$A$3:$GG$587,'0.Productos'!BN$1+1,0),"")</f>
        <v/>
      </c>
      <c r="W172" s="133" t="str">
        <f>IF($A172&lt;&gt;0,VLOOKUP($A172,'0.Productos'!$A$3:$GG$587,'0.Productos'!BO$1+1,0),"")</f>
        <v/>
      </c>
      <c r="X172" s="133" t="str">
        <f>IF($A172&lt;&gt;0,VLOOKUP($A172,'0.Productos'!$A$3:$GG$587,'0.Productos'!BP$1+1,0),"")</f>
        <v/>
      </c>
      <c r="Y172" s="133" t="str">
        <f>IF($A172&lt;&gt;0,VLOOKUP($A172,'0.Productos'!$A$3:$GG$587,'0.Productos'!BQ$1+1,0),"")</f>
        <v/>
      </c>
      <c r="Z172" s="133" t="str">
        <f>IF($A172&lt;&gt;0,VLOOKUP($A172,'0.Productos'!$A$3:$GG$587,'0.Productos'!BR$1+1,0),"")</f>
        <v/>
      </c>
      <c r="AA172" s="133" t="str">
        <f>IF($A172&lt;&gt;0,VLOOKUP($A172,'0.Productos'!$A$3:$GG$587,'0.Productos'!BS$1+1,0),"")</f>
        <v/>
      </c>
      <c r="AB172" s="133" t="str">
        <f>IF($A172&lt;&gt;0,VLOOKUP($A172,'0.Productos'!$A$3:$GG$587,'0.Productos'!BT$1+1,0),"")</f>
        <v/>
      </c>
      <c r="AC172" s="133" t="str">
        <f>IF($A172&lt;&gt;0,VLOOKUP($A172,'0.Productos'!$A$3:$GG$587,'0.Productos'!BU$1+1,0),"")</f>
        <v/>
      </c>
      <c r="AD172" s="133" t="str">
        <f>IF($A172&lt;&gt;0,VLOOKUP($A172,'0.Productos'!$A$3:$GG$587,'0.Productos'!BV$1+1,0),"")</f>
        <v/>
      </c>
      <c r="AE172" s="133" t="str">
        <f>IF($A172&lt;&gt;0,VLOOKUP($A172,'0.Productos'!$A$3:$GG$587,'0.Productos'!BW$1+1,0),"")</f>
        <v/>
      </c>
      <c r="AF172" s="133" t="str">
        <f>IF($A172&lt;&gt;0,VLOOKUP($A172,'0.Productos'!$A$3:$GG$587,'0.Productos'!BX$1+1,0),"")</f>
        <v/>
      </c>
      <c r="AG172" s="133" t="str">
        <f>IF($A172&lt;&gt;0,VLOOKUP($A172,'0.Productos'!$A$3:$GG$587,'0.Productos'!BY$1+1,0),"")</f>
        <v/>
      </c>
      <c r="AH172" s="133" t="str">
        <f>IF($A172&lt;&gt;0,VLOOKUP($A172,'0.Productos'!$A$3:$GG$587,'0.Productos'!BZ$1+1,0),"")</f>
        <v/>
      </c>
      <c r="AI172" s="133" t="str">
        <f>IF($A172&lt;&gt;0,VLOOKUP($A172,'0.Productos'!$A$3:$GG$587,'0.Productos'!CA$1+1,0),"")</f>
        <v/>
      </c>
      <c r="AJ172" s="133" t="str">
        <f>IF($A172&lt;&gt;0,VLOOKUP($A172,'0.Productos'!$A$3:$GG$587,'0.Productos'!CB$1+1,0),"")</f>
        <v/>
      </c>
      <c r="AK172" s="133" t="str">
        <f>IF($A172&lt;&gt;0,VLOOKUP($A172,'0.Productos'!$A$3:$GG$587,'0.Productos'!CC$1+1,0),"")</f>
        <v/>
      </c>
      <c r="AL172" s="133" t="str">
        <f>IF($A172&lt;&gt;0,VLOOKUP($A172,'0.Productos'!$A$3:$GG$587,'0.Productos'!CD$1+1,0),"")</f>
        <v/>
      </c>
      <c r="AM172" s="133" t="str">
        <f>IF($A172&lt;&gt;0,VLOOKUP($A172,'0.Productos'!$A$3:$GG$587,'0.Productos'!CE$1+1,0),"")</f>
        <v/>
      </c>
      <c r="AN172" s="133" t="str">
        <f>IF($A172&lt;&gt;0,VLOOKUP($A172,'0.Productos'!$A$3:$GG$587,'0.Productos'!CF$1+1,0),"")</f>
        <v/>
      </c>
      <c r="AO172" s="133" t="str">
        <f>IF($A172&lt;&gt;0,VLOOKUP($A172,'0.Productos'!$A$3:$GG$587,'0.Productos'!CG$1+1,0),"")</f>
        <v/>
      </c>
      <c r="AP172" s="133" t="str">
        <f>IF($A172&lt;&gt;0,VLOOKUP($A172,'0.Productos'!$A$3:$GG$587,'0.Productos'!CH$1+1,0),"")</f>
        <v/>
      </c>
      <c r="AQ172" s="133" t="str">
        <f>IF($A172&lt;&gt;0,VLOOKUP($A172,'0.Productos'!$A$3:$GG$587,'0.Productos'!CI$1+1,0),"")</f>
        <v/>
      </c>
      <c r="AR172" s="133" t="str">
        <f>IF($A172&lt;&gt;0,VLOOKUP($A172,'0.Productos'!$A$3:$GG$587,'0.Productos'!CJ$1+1,0),"")</f>
        <v/>
      </c>
      <c r="AS172" s="133" t="str">
        <f>IF($A172&lt;&gt;0,VLOOKUP($A172,'0.Productos'!$A$3:$GG$587,'0.Productos'!CK$1+1,0),"")</f>
        <v/>
      </c>
      <c r="AT172" s="133" t="str">
        <f>IF($A172&lt;&gt;0,VLOOKUP($A172,'0.Productos'!$A$3:$GG$587,'0.Productos'!CL$1+1,0),"")</f>
        <v/>
      </c>
      <c r="AU172" s="133" t="str">
        <f>IF($A172&lt;&gt;0,VLOOKUP($A172,'0.Productos'!$A$3:$GG$587,'0.Productos'!CM$1+1,0),"")</f>
        <v/>
      </c>
      <c r="AV172" s="133" t="str">
        <f>IF($A172&lt;&gt;0,VLOOKUP($A172,'0.Productos'!$A$3:$GG$587,'0.Productos'!CN$1+1,0),"")</f>
        <v/>
      </c>
      <c r="AW172" s="133" t="str">
        <f>IF($A172&lt;&gt;0,VLOOKUP($A172,'0.Productos'!$A$3:$GG$587,'0.Productos'!CO$1+1,0),"")</f>
        <v/>
      </c>
      <c r="AX172" s="133" t="str">
        <f>IF($A172&lt;&gt;0,VLOOKUP($A172,'0.Productos'!$A$3:$GG$587,'0.Productos'!CP$1+1,0),"")</f>
        <v/>
      </c>
      <c r="AY172" s="133" t="str">
        <f>IF($A172&lt;&gt;0,VLOOKUP($A172,'0.Productos'!$A$3:$GG$587,'0.Productos'!CQ$1+1,0),"")</f>
        <v/>
      </c>
      <c r="AZ172" s="133" t="str">
        <f>IF($A172&lt;&gt;0,VLOOKUP($A172,'0.Productos'!$A$3:$GG$587,'0.Productos'!CR$1+1,0),"")</f>
        <v/>
      </c>
      <c r="BA172" s="133" t="str">
        <f>IF($A172&lt;&gt;0,VLOOKUP($A172,'0.Productos'!$A$3:$GG$587,'0.Productos'!CS$1+1,0),"")</f>
        <v/>
      </c>
      <c r="BB172" s="133" t="str">
        <f>IF($A172&lt;&gt;0,VLOOKUP($A172,'0.Productos'!$A$3:$GG$587,'0.Productos'!CT$1+1,0),"")</f>
        <v/>
      </c>
      <c r="BC172" s="133" t="str">
        <f>IF($A172&lt;&gt;0,VLOOKUP($A172,'0.Productos'!$A$3:$GG$587,'0.Productos'!CU$1+1,0),"")</f>
        <v/>
      </c>
      <c r="BD172" s="133" t="str">
        <f>IF($A172&lt;&gt;0,VLOOKUP($A172,'0.Productos'!$A$3:$GG$587,'0.Productos'!CV$1+1,0),"")</f>
        <v/>
      </c>
      <c r="BE172" s="133" t="str">
        <f>IF($A172&lt;&gt;0,VLOOKUP($A172,'0.Productos'!$A$3:$GG$587,'0.Productos'!CW$1+1,0),"")</f>
        <v/>
      </c>
      <c r="BF172" s="133" t="str">
        <f>IF($A172&lt;&gt;0,VLOOKUP($A172,'0.Productos'!$A$3:$GG$587,'0.Productos'!CX$1+1,0),"")</f>
        <v/>
      </c>
      <c r="BG172" s="133" t="str">
        <f>IF($A172&lt;&gt;0,VLOOKUP($A172,'0.Productos'!$A$3:$GG$587,'0.Productos'!CY$1+1,0),"")</f>
        <v/>
      </c>
      <c r="BH172" s="133" t="str">
        <f>IF($A172&lt;&gt;0,VLOOKUP($A172,'0.Productos'!$A$3:$GG$587,'0.Productos'!CZ$1+1,0),"")</f>
        <v/>
      </c>
      <c r="BI172" s="133" t="str">
        <f>IF($A172&lt;&gt;0,VLOOKUP($A172,'0.Productos'!$A$3:$GG$587,'0.Productos'!DA$1+1,0),"")</f>
        <v/>
      </c>
      <c r="BJ172" s="133" t="str">
        <f>IF($A172&lt;&gt;0,VLOOKUP($A172,'0.Productos'!$A$3:$GG$587,'0.Productos'!DB$1+1,0),"")</f>
        <v/>
      </c>
      <c r="BK172" s="133" t="str">
        <f>IF($A172&lt;&gt;0,VLOOKUP($A172,'0.Productos'!$A$3:$GG$587,'0.Productos'!DC$1+1,0),"")</f>
        <v/>
      </c>
      <c r="BL172" s="133" t="str">
        <f>IF($A172&lt;&gt;0,VLOOKUP($A172,'0.Productos'!$A$3:$GG$587,'0.Productos'!DD$1+1,0),"")</f>
        <v/>
      </c>
      <c r="BM172" s="133" t="str">
        <f>IF($A172&lt;&gt;0,VLOOKUP($A172,'0.Productos'!$A$3:$GG$587,'0.Productos'!DE$1+1,0),"")</f>
        <v/>
      </c>
      <c r="BN172" s="133" t="str">
        <f>IF($A172&lt;&gt;0,VLOOKUP($A172,'0.Productos'!$A$3:$GG$587,'0.Productos'!DF$1+1,0),"")</f>
        <v/>
      </c>
      <c r="BO172" s="133" t="str">
        <f>IF($A172&lt;&gt;0,VLOOKUP($A172,'0.Productos'!$A$3:$GG$587,'0.Productos'!DG$1+1,0),"")</f>
        <v/>
      </c>
      <c r="BP172" s="133" t="str">
        <f>IF($A172&lt;&gt;0,VLOOKUP($A172,'0.Productos'!$A$3:$GG$587,'0.Productos'!DH$1+1,0),"")</f>
        <v/>
      </c>
      <c r="BQ172" s="133" t="str">
        <f>IF($A172&lt;&gt;0,VLOOKUP($A172,'0.Productos'!$A$3:$GG$587,'0.Productos'!DI$1+1,0),"")</f>
        <v/>
      </c>
      <c r="BR172" s="133" t="str">
        <f>IF($A172&lt;&gt;0,VLOOKUP($A172,'0.Productos'!$A$3:$GG$587,'0.Productos'!DJ$1+1,0),"")</f>
        <v/>
      </c>
      <c r="BS172" s="133" t="str">
        <f>IF($A172&lt;&gt;0,VLOOKUP($A172,'0.Productos'!$A$3:$GG$587,'0.Productos'!DK$1+1,0),"")</f>
        <v/>
      </c>
      <c r="BT172" s="133" t="str">
        <f>IF($A172&lt;&gt;0,VLOOKUP($A172,'0.Productos'!$A$3:$GG$587,'0.Productos'!DL$1+1,0),"")</f>
        <v/>
      </c>
    </row>
    <row r="173" spans="1:72" x14ac:dyDescent="0.25">
      <c r="A173" s="17">
        <f>'0.Consolidado general'!A173</f>
        <v>0</v>
      </c>
      <c r="B173" s="133" t="str">
        <f>IF($A173&lt;&gt;0,VLOOKUP($A173,'0.Productos'!$A$3:$GG$587,'0.Productos'!AT$1+1,0),"")</f>
        <v/>
      </c>
      <c r="C173" s="133" t="str">
        <f>IF($A173&lt;&gt;0,VLOOKUP($A173,'0.Productos'!$A$3:$GG$587,'0.Productos'!AU$1+1,0),"")</f>
        <v/>
      </c>
      <c r="D173" s="133" t="str">
        <f>IF($A173&lt;&gt;0,VLOOKUP($A173,'0.Productos'!$A$3:$GG$587,'0.Productos'!AV$1+1,0),"")</f>
        <v/>
      </c>
      <c r="E173" s="133" t="str">
        <f>IF($A173&lt;&gt;0,VLOOKUP($A173,'0.Productos'!$A$3:$GG$587,'0.Productos'!AW$1+1,0),"")</f>
        <v/>
      </c>
      <c r="F173" s="133" t="str">
        <f>IF($A173&lt;&gt;0,VLOOKUP($A173,'0.Productos'!$A$3:$GG$587,'0.Productos'!AX$1+1,0),"")</f>
        <v/>
      </c>
      <c r="G173" s="133" t="str">
        <f>IF($A173&lt;&gt;0,VLOOKUP($A173,'0.Productos'!$A$3:$GG$587,'0.Productos'!AY$1+1,0),"")</f>
        <v/>
      </c>
      <c r="H173" s="133" t="str">
        <f>IF($A173&lt;&gt;0,VLOOKUP($A173,'0.Productos'!$A$3:$GG$587,'0.Productos'!AZ$1+1,0),"")</f>
        <v/>
      </c>
      <c r="I173" s="133" t="str">
        <f>IF($A173&lt;&gt;0,VLOOKUP($A173,'0.Productos'!$A$3:$GG$587,'0.Productos'!BA$1+1,0),"")</f>
        <v/>
      </c>
      <c r="J173" s="133" t="str">
        <f>IF($A173&lt;&gt;0,VLOOKUP($A173,'0.Productos'!$A$3:$GG$587,'0.Productos'!BB$1+1,0),"")</f>
        <v/>
      </c>
      <c r="K173" s="133" t="str">
        <f>IF($A173&lt;&gt;0,VLOOKUP($A173,'0.Productos'!$A$3:$GG$587,'0.Productos'!BC$1+1,0),"")</f>
        <v/>
      </c>
      <c r="L173" s="133" t="str">
        <f>IF($A173&lt;&gt;0,VLOOKUP($A173,'0.Productos'!$A$3:$GG$587,'0.Productos'!BD$1+1,0),"")</f>
        <v/>
      </c>
      <c r="M173" s="133" t="str">
        <f>IF($A173&lt;&gt;0,VLOOKUP($A173,'0.Productos'!$A$3:$GG$587,'0.Productos'!BE$1+1,0),"")</f>
        <v/>
      </c>
      <c r="N173" s="133" t="str">
        <f>IF($A173&lt;&gt;0,VLOOKUP($A173,'0.Productos'!$A$3:$GG$587,'0.Productos'!BF$1+1,0),"")</f>
        <v/>
      </c>
      <c r="O173" s="133" t="str">
        <f>IF($A173&lt;&gt;0,VLOOKUP($A173,'0.Productos'!$A$3:$GG$587,'0.Productos'!BG$1+1,0),"")</f>
        <v/>
      </c>
      <c r="P173" s="133" t="str">
        <f>IF($A173&lt;&gt;0,VLOOKUP($A173,'0.Productos'!$A$3:$GG$587,'0.Productos'!BH$1+1,0),"")</f>
        <v/>
      </c>
      <c r="Q173" s="133" t="str">
        <f>IF($A173&lt;&gt;0,VLOOKUP($A173,'0.Productos'!$A$3:$GG$587,'0.Productos'!BI$1+1,0),"")</f>
        <v/>
      </c>
      <c r="R173" s="133" t="str">
        <f>IF($A173&lt;&gt;0,VLOOKUP($A173,'0.Productos'!$A$3:$GG$587,'0.Productos'!BJ$1+1,0),"")</f>
        <v/>
      </c>
      <c r="S173" s="133" t="str">
        <f>IF($A173&lt;&gt;0,VLOOKUP($A173,'0.Productos'!$A$3:$GG$587,'0.Productos'!BK$1+1,0),"")</f>
        <v/>
      </c>
      <c r="T173" s="133" t="str">
        <f>IF($A173&lt;&gt;0,VLOOKUP($A173,'0.Productos'!$A$3:$GG$587,'0.Productos'!BL$1+1,0),"")</f>
        <v/>
      </c>
      <c r="U173" s="133" t="str">
        <f>IF($A173&lt;&gt;0,VLOOKUP($A173,'0.Productos'!$A$3:$GG$587,'0.Productos'!BM$1+1,0),"")</f>
        <v/>
      </c>
      <c r="V173" s="133" t="str">
        <f>IF($A173&lt;&gt;0,VLOOKUP($A173,'0.Productos'!$A$3:$GG$587,'0.Productos'!BN$1+1,0),"")</f>
        <v/>
      </c>
      <c r="W173" s="133" t="str">
        <f>IF($A173&lt;&gt;0,VLOOKUP($A173,'0.Productos'!$A$3:$GG$587,'0.Productos'!BO$1+1,0),"")</f>
        <v/>
      </c>
      <c r="X173" s="133" t="str">
        <f>IF($A173&lt;&gt;0,VLOOKUP($A173,'0.Productos'!$A$3:$GG$587,'0.Productos'!BP$1+1,0),"")</f>
        <v/>
      </c>
      <c r="Y173" s="133" t="str">
        <f>IF($A173&lt;&gt;0,VLOOKUP($A173,'0.Productos'!$A$3:$GG$587,'0.Productos'!BQ$1+1,0),"")</f>
        <v/>
      </c>
      <c r="Z173" s="133" t="str">
        <f>IF($A173&lt;&gt;0,VLOOKUP($A173,'0.Productos'!$A$3:$GG$587,'0.Productos'!BR$1+1,0),"")</f>
        <v/>
      </c>
      <c r="AA173" s="133" t="str">
        <f>IF($A173&lt;&gt;0,VLOOKUP($A173,'0.Productos'!$A$3:$GG$587,'0.Productos'!BS$1+1,0),"")</f>
        <v/>
      </c>
      <c r="AB173" s="133" t="str">
        <f>IF($A173&lt;&gt;0,VLOOKUP($A173,'0.Productos'!$A$3:$GG$587,'0.Productos'!BT$1+1,0),"")</f>
        <v/>
      </c>
      <c r="AC173" s="133" t="str">
        <f>IF($A173&lt;&gt;0,VLOOKUP($A173,'0.Productos'!$A$3:$GG$587,'0.Productos'!BU$1+1,0),"")</f>
        <v/>
      </c>
      <c r="AD173" s="133" t="str">
        <f>IF($A173&lt;&gt;0,VLOOKUP($A173,'0.Productos'!$A$3:$GG$587,'0.Productos'!BV$1+1,0),"")</f>
        <v/>
      </c>
      <c r="AE173" s="133" t="str">
        <f>IF($A173&lt;&gt;0,VLOOKUP($A173,'0.Productos'!$A$3:$GG$587,'0.Productos'!BW$1+1,0),"")</f>
        <v/>
      </c>
      <c r="AF173" s="133" t="str">
        <f>IF($A173&lt;&gt;0,VLOOKUP($A173,'0.Productos'!$A$3:$GG$587,'0.Productos'!BX$1+1,0),"")</f>
        <v/>
      </c>
      <c r="AG173" s="133" t="str">
        <f>IF($A173&lt;&gt;0,VLOOKUP($A173,'0.Productos'!$A$3:$GG$587,'0.Productos'!BY$1+1,0),"")</f>
        <v/>
      </c>
      <c r="AH173" s="133" t="str">
        <f>IF($A173&lt;&gt;0,VLOOKUP($A173,'0.Productos'!$A$3:$GG$587,'0.Productos'!BZ$1+1,0),"")</f>
        <v/>
      </c>
      <c r="AI173" s="133" t="str">
        <f>IF($A173&lt;&gt;0,VLOOKUP($A173,'0.Productos'!$A$3:$GG$587,'0.Productos'!CA$1+1,0),"")</f>
        <v/>
      </c>
      <c r="AJ173" s="133" t="str">
        <f>IF($A173&lt;&gt;0,VLOOKUP($A173,'0.Productos'!$A$3:$GG$587,'0.Productos'!CB$1+1,0),"")</f>
        <v/>
      </c>
      <c r="AK173" s="133" t="str">
        <f>IF($A173&lt;&gt;0,VLOOKUP($A173,'0.Productos'!$A$3:$GG$587,'0.Productos'!CC$1+1,0),"")</f>
        <v/>
      </c>
      <c r="AL173" s="133" t="str">
        <f>IF($A173&lt;&gt;0,VLOOKUP($A173,'0.Productos'!$A$3:$GG$587,'0.Productos'!CD$1+1,0),"")</f>
        <v/>
      </c>
      <c r="AM173" s="133" t="str">
        <f>IF($A173&lt;&gt;0,VLOOKUP($A173,'0.Productos'!$A$3:$GG$587,'0.Productos'!CE$1+1,0),"")</f>
        <v/>
      </c>
      <c r="AN173" s="133" t="str">
        <f>IF($A173&lt;&gt;0,VLOOKUP($A173,'0.Productos'!$A$3:$GG$587,'0.Productos'!CF$1+1,0),"")</f>
        <v/>
      </c>
      <c r="AO173" s="133" t="str">
        <f>IF($A173&lt;&gt;0,VLOOKUP($A173,'0.Productos'!$A$3:$GG$587,'0.Productos'!CG$1+1,0),"")</f>
        <v/>
      </c>
      <c r="AP173" s="133" t="str">
        <f>IF($A173&lt;&gt;0,VLOOKUP($A173,'0.Productos'!$A$3:$GG$587,'0.Productos'!CH$1+1,0),"")</f>
        <v/>
      </c>
      <c r="AQ173" s="133" t="str">
        <f>IF($A173&lt;&gt;0,VLOOKUP($A173,'0.Productos'!$A$3:$GG$587,'0.Productos'!CI$1+1,0),"")</f>
        <v/>
      </c>
      <c r="AR173" s="133" t="str">
        <f>IF($A173&lt;&gt;0,VLOOKUP($A173,'0.Productos'!$A$3:$GG$587,'0.Productos'!CJ$1+1,0),"")</f>
        <v/>
      </c>
      <c r="AS173" s="133" t="str">
        <f>IF($A173&lt;&gt;0,VLOOKUP($A173,'0.Productos'!$A$3:$GG$587,'0.Productos'!CK$1+1,0),"")</f>
        <v/>
      </c>
      <c r="AT173" s="133" t="str">
        <f>IF($A173&lt;&gt;0,VLOOKUP($A173,'0.Productos'!$A$3:$GG$587,'0.Productos'!CL$1+1,0),"")</f>
        <v/>
      </c>
      <c r="AU173" s="133" t="str">
        <f>IF($A173&lt;&gt;0,VLOOKUP($A173,'0.Productos'!$A$3:$GG$587,'0.Productos'!CM$1+1,0),"")</f>
        <v/>
      </c>
      <c r="AV173" s="133" t="str">
        <f>IF($A173&lt;&gt;0,VLOOKUP($A173,'0.Productos'!$A$3:$GG$587,'0.Productos'!CN$1+1,0),"")</f>
        <v/>
      </c>
      <c r="AW173" s="133" t="str">
        <f>IF($A173&lt;&gt;0,VLOOKUP($A173,'0.Productos'!$A$3:$GG$587,'0.Productos'!CO$1+1,0),"")</f>
        <v/>
      </c>
      <c r="AX173" s="133" t="str">
        <f>IF($A173&lt;&gt;0,VLOOKUP($A173,'0.Productos'!$A$3:$GG$587,'0.Productos'!CP$1+1,0),"")</f>
        <v/>
      </c>
      <c r="AY173" s="133" t="str">
        <f>IF($A173&lt;&gt;0,VLOOKUP($A173,'0.Productos'!$A$3:$GG$587,'0.Productos'!CQ$1+1,0),"")</f>
        <v/>
      </c>
      <c r="AZ173" s="133" t="str">
        <f>IF($A173&lt;&gt;0,VLOOKUP($A173,'0.Productos'!$A$3:$GG$587,'0.Productos'!CR$1+1,0),"")</f>
        <v/>
      </c>
      <c r="BA173" s="133" t="str">
        <f>IF($A173&lt;&gt;0,VLOOKUP($A173,'0.Productos'!$A$3:$GG$587,'0.Productos'!CS$1+1,0),"")</f>
        <v/>
      </c>
      <c r="BB173" s="133" t="str">
        <f>IF($A173&lt;&gt;0,VLOOKUP($A173,'0.Productos'!$A$3:$GG$587,'0.Productos'!CT$1+1,0),"")</f>
        <v/>
      </c>
      <c r="BC173" s="133" t="str">
        <f>IF($A173&lt;&gt;0,VLOOKUP($A173,'0.Productos'!$A$3:$GG$587,'0.Productos'!CU$1+1,0),"")</f>
        <v/>
      </c>
      <c r="BD173" s="133" t="str">
        <f>IF($A173&lt;&gt;0,VLOOKUP($A173,'0.Productos'!$A$3:$GG$587,'0.Productos'!CV$1+1,0),"")</f>
        <v/>
      </c>
      <c r="BE173" s="133" t="str">
        <f>IF($A173&lt;&gt;0,VLOOKUP($A173,'0.Productos'!$A$3:$GG$587,'0.Productos'!CW$1+1,0),"")</f>
        <v/>
      </c>
      <c r="BF173" s="133" t="str">
        <f>IF($A173&lt;&gt;0,VLOOKUP($A173,'0.Productos'!$A$3:$GG$587,'0.Productos'!CX$1+1,0),"")</f>
        <v/>
      </c>
      <c r="BG173" s="133" t="str">
        <f>IF($A173&lt;&gt;0,VLOOKUP($A173,'0.Productos'!$A$3:$GG$587,'0.Productos'!CY$1+1,0),"")</f>
        <v/>
      </c>
      <c r="BH173" s="133" t="str">
        <f>IF($A173&lt;&gt;0,VLOOKUP($A173,'0.Productos'!$A$3:$GG$587,'0.Productos'!CZ$1+1,0),"")</f>
        <v/>
      </c>
      <c r="BI173" s="133" t="str">
        <f>IF($A173&lt;&gt;0,VLOOKUP($A173,'0.Productos'!$A$3:$GG$587,'0.Productos'!DA$1+1,0),"")</f>
        <v/>
      </c>
      <c r="BJ173" s="133" t="str">
        <f>IF($A173&lt;&gt;0,VLOOKUP($A173,'0.Productos'!$A$3:$GG$587,'0.Productos'!DB$1+1,0),"")</f>
        <v/>
      </c>
      <c r="BK173" s="133" t="str">
        <f>IF($A173&lt;&gt;0,VLOOKUP($A173,'0.Productos'!$A$3:$GG$587,'0.Productos'!DC$1+1,0),"")</f>
        <v/>
      </c>
      <c r="BL173" s="133" t="str">
        <f>IF($A173&lt;&gt;0,VLOOKUP($A173,'0.Productos'!$A$3:$GG$587,'0.Productos'!DD$1+1,0),"")</f>
        <v/>
      </c>
      <c r="BM173" s="133" t="str">
        <f>IF($A173&lt;&gt;0,VLOOKUP($A173,'0.Productos'!$A$3:$GG$587,'0.Productos'!DE$1+1,0),"")</f>
        <v/>
      </c>
      <c r="BN173" s="133" t="str">
        <f>IF($A173&lt;&gt;0,VLOOKUP($A173,'0.Productos'!$A$3:$GG$587,'0.Productos'!DF$1+1,0),"")</f>
        <v/>
      </c>
      <c r="BO173" s="133" t="str">
        <f>IF($A173&lt;&gt;0,VLOOKUP($A173,'0.Productos'!$A$3:$GG$587,'0.Productos'!DG$1+1,0),"")</f>
        <v/>
      </c>
      <c r="BP173" s="133" t="str">
        <f>IF($A173&lt;&gt;0,VLOOKUP($A173,'0.Productos'!$A$3:$GG$587,'0.Productos'!DH$1+1,0),"")</f>
        <v/>
      </c>
      <c r="BQ173" s="133" t="str">
        <f>IF($A173&lt;&gt;0,VLOOKUP($A173,'0.Productos'!$A$3:$GG$587,'0.Productos'!DI$1+1,0),"")</f>
        <v/>
      </c>
      <c r="BR173" s="133" t="str">
        <f>IF($A173&lt;&gt;0,VLOOKUP($A173,'0.Productos'!$A$3:$GG$587,'0.Productos'!DJ$1+1,0),"")</f>
        <v/>
      </c>
      <c r="BS173" s="133" t="str">
        <f>IF($A173&lt;&gt;0,VLOOKUP($A173,'0.Productos'!$A$3:$GG$587,'0.Productos'!DK$1+1,0),"")</f>
        <v/>
      </c>
      <c r="BT173" s="133" t="str">
        <f>IF($A173&lt;&gt;0,VLOOKUP($A173,'0.Productos'!$A$3:$GG$587,'0.Productos'!DL$1+1,0),"")</f>
        <v/>
      </c>
    </row>
    <row r="174" spans="1:72" x14ac:dyDescent="0.25">
      <c r="A174" s="17">
        <f>'0.Consolidado general'!A174</f>
        <v>0</v>
      </c>
      <c r="B174" s="133" t="str">
        <f>IF($A174&lt;&gt;0,VLOOKUP($A174,'0.Productos'!$A$3:$GG$587,'0.Productos'!AT$1+1,0),"")</f>
        <v/>
      </c>
      <c r="C174" s="133" t="str">
        <f>IF($A174&lt;&gt;0,VLOOKUP($A174,'0.Productos'!$A$3:$GG$587,'0.Productos'!AU$1+1,0),"")</f>
        <v/>
      </c>
      <c r="D174" s="133" t="str">
        <f>IF($A174&lt;&gt;0,VLOOKUP($A174,'0.Productos'!$A$3:$GG$587,'0.Productos'!AV$1+1,0),"")</f>
        <v/>
      </c>
      <c r="E174" s="133" t="str">
        <f>IF($A174&lt;&gt;0,VLOOKUP($A174,'0.Productos'!$A$3:$GG$587,'0.Productos'!AW$1+1,0),"")</f>
        <v/>
      </c>
      <c r="F174" s="133" t="str">
        <f>IF($A174&lt;&gt;0,VLOOKUP($A174,'0.Productos'!$A$3:$GG$587,'0.Productos'!AX$1+1,0),"")</f>
        <v/>
      </c>
      <c r="G174" s="133" t="str">
        <f>IF($A174&lt;&gt;0,VLOOKUP($A174,'0.Productos'!$A$3:$GG$587,'0.Productos'!AY$1+1,0),"")</f>
        <v/>
      </c>
      <c r="H174" s="133" t="str">
        <f>IF($A174&lt;&gt;0,VLOOKUP($A174,'0.Productos'!$A$3:$GG$587,'0.Productos'!AZ$1+1,0),"")</f>
        <v/>
      </c>
      <c r="I174" s="133" t="str">
        <f>IF($A174&lt;&gt;0,VLOOKUP($A174,'0.Productos'!$A$3:$GG$587,'0.Productos'!BA$1+1,0),"")</f>
        <v/>
      </c>
      <c r="J174" s="133" t="str">
        <f>IF($A174&lt;&gt;0,VLOOKUP($A174,'0.Productos'!$A$3:$GG$587,'0.Productos'!BB$1+1,0),"")</f>
        <v/>
      </c>
      <c r="K174" s="133" t="str">
        <f>IF($A174&lt;&gt;0,VLOOKUP($A174,'0.Productos'!$A$3:$GG$587,'0.Productos'!BC$1+1,0),"")</f>
        <v/>
      </c>
      <c r="L174" s="133" t="str">
        <f>IF($A174&lt;&gt;0,VLOOKUP($A174,'0.Productos'!$A$3:$GG$587,'0.Productos'!BD$1+1,0),"")</f>
        <v/>
      </c>
      <c r="M174" s="133" t="str">
        <f>IF($A174&lt;&gt;0,VLOOKUP($A174,'0.Productos'!$A$3:$GG$587,'0.Productos'!BE$1+1,0),"")</f>
        <v/>
      </c>
      <c r="N174" s="133" t="str">
        <f>IF($A174&lt;&gt;0,VLOOKUP($A174,'0.Productos'!$A$3:$GG$587,'0.Productos'!BF$1+1,0),"")</f>
        <v/>
      </c>
      <c r="O174" s="133" t="str">
        <f>IF($A174&lt;&gt;0,VLOOKUP($A174,'0.Productos'!$A$3:$GG$587,'0.Productos'!BG$1+1,0),"")</f>
        <v/>
      </c>
      <c r="P174" s="133" t="str">
        <f>IF($A174&lt;&gt;0,VLOOKUP($A174,'0.Productos'!$A$3:$GG$587,'0.Productos'!BH$1+1,0),"")</f>
        <v/>
      </c>
      <c r="Q174" s="133" t="str">
        <f>IF($A174&lt;&gt;0,VLOOKUP($A174,'0.Productos'!$A$3:$GG$587,'0.Productos'!BI$1+1,0),"")</f>
        <v/>
      </c>
      <c r="R174" s="133" t="str">
        <f>IF($A174&lt;&gt;0,VLOOKUP($A174,'0.Productos'!$A$3:$GG$587,'0.Productos'!BJ$1+1,0),"")</f>
        <v/>
      </c>
      <c r="S174" s="133" t="str">
        <f>IF($A174&lt;&gt;0,VLOOKUP($A174,'0.Productos'!$A$3:$GG$587,'0.Productos'!BK$1+1,0),"")</f>
        <v/>
      </c>
      <c r="T174" s="133" t="str">
        <f>IF($A174&lt;&gt;0,VLOOKUP($A174,'0.Productos'!$A$3:$GG$587,'0.Productos'!BL$1+1,0),"")</f>
        <v/>
      </c>
      <c r="U174" s="133" t="str">
        <f>IF($A174&lt;&gt;0,VLOOKUP($A174,'0.Productos'!$A$3:$GG$587,'0.Productos'!BM$1+1,0),"")</f>
        <v/>
      </c>
      <c r="V174" s="133" t="str">
        <f>IF($A174&lt;&gt;0,VLOOKUP($A174,'0.Productos'!$A$3:$GG$587,'0.Productos'!BN$1+1,0),"")</f>
        <v/>
      </c>
      <c r="W174" s="133" t="str">
        <f>IF($A174&lt;&gt;0,VLOOKUP($A174,'0.Productos'!$A$3:$GG$587,'0.Productos'!BO$1+1,0),"")</f>
        <v/>
      </c>
      <c r="X174" s="133" t="str">
        <f>IF($A174&lt;&gt;0,VLOOKUP($A174,'0.Productos'!$A$3:$GG$587,'0.Productos'!BP$1+1,0),"")</f>
        <v/>
      </c>
      <c r="Y174" s="133" t="str">
        <f>IF($A174&lt;&gt;0,VLOOKUP($A174,'0.Productos'!$A$3:$GG$587,'0.Productos'!BQ$1+1,0),"")</f>
        <v/>
      </c>
      <c r="Z174" s="133" t="str">
        <f>IF($A174&lt;&gt;0,VLOOKUP($A174,'0.Productos'!$A$3:$GG$587,'0.Productos'!BR$1+1,0),"")</f>
        <v/>
      </c>
      <c r="AA174" s="133" t="str">
        <f>IF($A174&lt;&gt;0,VLOOKUP($A174,'0.Productos'!$A$3:$GG$587,'0.Productos'!BS$1+1,0),"")</f>
        <v/>
      </c>
      <c r="AB174" s="133" t="str">
        <f>IF($A174&lt;&gt;0,VLOOKUP($A174,'0.Productos'!$A$3:$GG$587,'0.Productos'!BT$1+1,0),"")</f>
        <v/>
      </c>
      <c r="AC174" s="133" t="str">
        <f>IF($A174&lt;&gt;0,VLOOKUP($A174,'0.Productos'!$A$3:$GG$587,'0.Productos'!BU$1+1,0),"")</f>
        <v/>
      </c>
      <c r="AD174" s="133" t="str">
        <f>IF($A174&lt;&gt;0,VLOOKUP($A174,'0.Productos'!$A$3:$GG$587,'0.Productos'!BV$1+1,0),"")</f>
        <v/>
      </c>
      <c r="AE174" s="133" t="str">
        <f>IF($A174&lt;&gt;0,VLOOKUP($A174,'0.Productos'!$A$3:$GG$587,'0.Productos'!BW$1+1,0),"")</f>
        <v/>
      </c>
      <c r="AF174" s="133" t="str">
        <f>IF($A174&lt;&gt;0,VLOOKUP($A174,'0.Productos'!$A$3:$GG$587,'0.Productos'!BX$1+1,0),"")</f>
        <v/>
      </c>
      <c r="AG174" s="133" t="str">
        <f>IF($A174&lt;&gt;0,VLOOKUP($A174,'0.Productos'!$A$3:$GG$587,'0.Productos'!BY$1+1,0),"")</f>
        <v/>
      </c>
      <c r="AH174" s="133" t="str">
        <f>IF($A174&lt;&gt;0,VLOOKUP($A174,'0.Productos'!$A$3:$GG$587,'0.Productos'!BZ$1+1,0),"")</f>
        <v/>
      </c>
      <c r="AI174" s="133" t="str">
        <f>IF($A174&lt;&gt;0,VLOOKUP($A174,'0.Productos'!$A$3:$GG$587,'0.Productos'!CA$1+1,0),"")</f>
        <v/>
      </c>
      <c r="AJ174" s="133" t="str">
        <f>IF($A174&lt;&gt;0,VLOOKUP($A174,'0.Productos'!$A$3:$GG$587,'0.Productos'!CB$1+1,0),"")</f>
        <v/>
      </c>
      <c r="AK174" s="133" t="str">
        <f>IF($A174&lt;&gt;0,VLOOKUP($A174,'0.Productos'!$A$3:$GG$587,'0.Productos'!CC$1+1,0),"")</f>
        <v/>
      </c>
      <c r="AL174" s="133" t="str">
        <f>IF($A174&lt;&gt;0,VLOOKUP($A174,'0.Productos'!$A$3:$GG$587,'0.Productos'!CD$1+1,0),"")</f>
        <v/>
      </c>
      <c r="AM174" s="133" t="str">
        <f>IF($A174&lt;&gt;0,VLOOKUP($A174,'0.Productos'!$A$3:$GG$587,'0.Productos'!CE$1+1,0),"")</f>
        <v/>
      </c>
      <c r="AN174" s="133" t="str">
        <f>IF($A174&lt;&gt;0,VLOOKUP($A174,'0.Productos'!$A$3:$GG$587,'0.Productos'!CF$1+1,0),"")</f>
        <v/>
      </c>
      <c r="AO174" s="133" t="str">
        <f>IF($A174&lt;&gt;0,VLOOKUP($A174,'0.Productos'!$A$3:$GG$587,'0.Productos'!CG$1+1,0),"")</f>
        <v/>
      </c>
      <c r="AP174" s="133" t="str">
        <f>IF($A174&lt;&gt;0,VLOOKUP($A174,'0.Productos'!$A$3:$GG$587,'0.Productos'!CH$1+1,0),"")</f>
        <v/>
      </c>
      <c r="AQ174" s="133" t="str">
        <f>IF($A174&lt;&gt;0,VLOOKUP($A174,'0.Productos'!$A$3:$GG$587,'0.Productos'!CI$1+1,0),"")</f>
        <v/>
      </c>
      <c r="AR174" s="133" t="str">
        <f>IF($A174&lt;&gt;0,VLOOKUP($A174,'0.Productos'!$A$3:$GG$587,'0.Productos'!CJ$1+1,0),"")</f>
        <v/>
      </c>
      <c r="AS174" s="133" t="str">
        <f>IF($A174&lt;&gt;0,VLOOKUP($A174,'0.Productos'!$A$3:$GG$587,'0.Productos'!CK$1+1,0),"")</f>
        <v/>
      </c>
      <c r="AT174" s="133" t="str">
        <f>IF($A174&lt;&gt;0,VLOOKUP($A174,'0.Productos'!$A$3:$GG$587,'0.Productos'!CL$1+1,0),"")</f>
        <v/>
      </c>
      <c r="AU174" s="133" t="str">
        <f>IF($A174&lt;&gt;0,VLOOKUP($A174,'0.Productos'!$A$3:$GG$587,'0.Productos'!CM$1+1,0),"")</f>
        <v/>
      </c>
      <c r="AV174" s="133" t="str">
        <f>IF($A174&lt;&gt;0,VLOOKUP($A174,'0.Productos'!$A$3:$GG$587,'0.Productos'!CN$1+1,0),"")</f>
        <v/>
      </c>
      <c r="AW174" s="133" t="str">
        <f>IF($A174&lt;&gt;0,VLOOKUP($A174,'0.Productos'!$A$3:$GG$587,'0.Productos'!CO$1+1,0),"")</f>
        <v/>
      </c>
      <c r="AX174" s="133" t="str">
        <f>IF($A174&lt;&gt;0,VLOOKUP($A174,'0.Productos'!$A$3:$GG$587,'0.Productos'!CP$1+1,0),"")</f>
        <v/>
      </c>
      <c r="AY174" s="133" t="str">
        <f>IF($A174&lt;&gt;0,VLOOKUP($A174,'0.Productos'!$A$3:$GG$587,'0.Productos'!CQ$1+1,0),"")</f>
        <v/>
      </c>
      <c r="AZ174" s="133" t="str">
        <f>IF($A174&lt;&gt;0,VLOOKUP($A174,'0.Productos'!$A$3:$GG$587,'0.Productos'!CR$1+1,0),"")</f>
        <v/>
      </c>
      <c r="BA174" s="133" t="str">
        <f>IF($A174&lt;&gt;0,VLOOKUP($A174,'0.Productos'!$A$3:$GG$587,'0.Productos'!CS$1+1,0),"")</f>
        <v/>
      </c>
      <c r="BB174" s="133" t="str">
        <f>IF($A174&lt;&gt;0,VLOOKUP($A174,'0.Productos'!$A$3:$GG$587,'0.Productos'!CT$1+1,0),"")</f>
        <v/>
      </c>
      <c r="BC174" s="133" t="str">
        <f>IF($A174&lt;&gt;0,VLOOKUP($A174,'0.Productos'!$A$3:$GG$587,'0.Productos'!CU$1+1,0),"")</f>
        <v/>
      </c>
      <c r="BD174" s="133" t="str">
        <f>IF($A174&lt;&gt;0,VLOOKUP($A174,'0.Productos'!$A$3:$GG$587,'0.Productos'!CV$1+1,0),"")</f>
        <v/>
      </c>
      <c r="BE174" s="133" t="str">
        <f>IF($A174&lt;&gt;0,VLOOKUP($A174,'0.Productos'!$A$3:$GG$587,'0.Productos'!CW$1+1,0),"")</f>
        <v/>
      </c>
      <c r="BF174" s="133" t="str">
        <f>IF($A174&lt;&gt;0,VLOOKUP($A174,'0.Productos'!$A$3:$GG$587,'0.Productos'!CX$1+1,0),"")</f>
        <v/>
      </c>
      <c r="BG174" s="133" t="str">
        <f>IF($A174&lt;&gt;0,VLOOKUP($A174,'0.Productos'!$A$3:$GG$587,'0.Productos'!CY$1+1,0),"")</f>
        <v/>
      </c>
      <c r="BH174" s="133" t="str">
        <f>IF($A174&lt;&gt;0,VLOOKUP($A174,'0.Productos'!$A$3:$GG$587,'0.Productos'!CZ$1+1,0),"")</f>
        <v/>
      </c>
      <c r="BI174" s="133" t="str">
        <f>IF($A174&lt;&gt;0,VLOOKUP($A174,'0.Productos'!$A$3:$GG$587,'0.Productos'!DA$1+1,0),"")</f>
        <v/>
      </c>
      <c r="BJ174" s="133" t="str">
        <f>IF($A174&lt;&gt;0,VLOOKUP($A174,'0.Productos'!$A$3:$GG$587,'0.Productos'!DB$1+1,0),"")</f>
        <v/>
      </c>
      <c r="BK174" s="133" t="str">
        <f>IF($A174&lt;&gt;0,VLOOKUP($A174,'0.Productos'!$A$3:$GG$587,'0.Productos'!DC$1+1,0),"")</f>
        <v/>
      </c>
      <c r="BL174" s="133" t="str">
        <f>IF($A174&lt;&gt;0,VLOOKUP($A174,'0.Productos'!$A$3:$GG$587,'0.Productos'!DD$1+1,0),"")</f>
        <v/>
      </c>
      <c r="BM174" s="133" t="str">
        <f>IF($A174&lt;&gt;0,VLOOKUP($A174,'0.Productos'!$A$3:$GG$587,'0.Productos'!DE$1+1,0),"")</f>
        <v/>
      </c>
      <c r="BN174" s="133" t="str">
        <f>IF($A174&lt;&gt;0,VLOOKUP($A174,'0.Productos'!$A$3:$GG$587,'0.Productos'!DF$1+1,0),"")</f>
        <v/>
      </c>
      <c r="BO174" s="133" t="str">
        <f>IF($A174&lt;&gt;0,VLOOKUP($A174,'0.Productos'!$A$3:$GG$587,'0.Productos'!DG$1+1,0),"")</f>
        <v/>
      </c>
      <c r="BP174" s="133" t="str">
        <f>IF($A174&lt;&gt;0,VLOOKUP($A174,'0.Productos'!$A$3:$GG$587,'0.Productos'!DH$1+1,0),"")</f>
        <v/>
      </c>
      <c r="BQ174" s="133" t="str">
        <f>IF($A174&lt;&gt;0,VLOOKUP($A174,'0.Productos'!$A$3:$GG$587,'0.Productos'!DI$1+1,0),"")</f>
        <v/>
      </c>
      <c r="BR174" s="133" t="str">
        <f>IF($A174&lt;&gt;0,VLOOKUP($A174,'0.Productos'!$A$3:$GG$587,'0.Productos'!DJ$1+1,0),"")</f>
        <v/>
      </c>
      <c r="BS174" s="133" t="str">
        <f>IF($A174&lt;&gt;0,VLOOKUP($A174,'0.Productos'!$A$3:$GG$587,'0.Productos'!DK$1+1,0),"")</f>
        <v/>
      </c>
      <c r="BT174" s="133" t="str">
        <f>IF($A174&lt;&gt;0,VLOOKUP($A174,'0.Productos'!$A$3:$GG$587,'0.Productos'!DL$1+1,0),"")</f>
        <v/>
      </c>
    </row>
    <row r="175" spans="1:72" x14ac:dyDescent="0.25">
      <c r="A175" s="17">
        <f>'0.Consolidado general'!A175</f>
        <v>0</v>
      </c>
      <c r="B175" s="133" t="str">
        <f>IF($A175&lt;&gt;0,VLOOKUP($A175,'0.Productos'!$A$3:$GG$587,'0.Productos'!AT$1+1,0),"")</f>
        <v/>
      </c>
      <c r="C175" s="133" t="str">
        <f>IF($A175&lt;&gt;0,VLOOKUP($A175,'0.Productos'!$A$3:$GG$587,'0.Productos'!AU$1+1,0),"")</f>
        <v/>
      </c>
      <c r="D175" s="133" t="str">
        <f>IF($A175&lt;&gt;0,VLOOKUP($A175,'0.Productos'!$A$3:$GG$587,'0.Productos'!AV$1+1,0),"")</f>
        <v/>
      </c>
      <c r="E175" s="133" t="str">
        <f>IF($A175&lt;&gt;0,VLOOKUP($A175,'0.Productos'!$A$3:$GG$587,'0.Productos'!AW$1+1,0),"")</f>
        <v/>
      </c>
      <c r="F175" s="133" t="str">
        <f>IF($A175&lt;&gt;0,VLOOKUP($A175,'0.Productos'!$A$3:$GG$587,'0.Productos'!AX$1+1,0),"")</f>
        <v/>
      </c>
      <c r="G175" s="133" t="str">
        <f>IF($A175&lt;&gt;0,VLOOKUP($A175,'0.Productos'!$A$3:$GG$587,'0.Productos'!AY$1+1,0),"")</f>
        <v/>
      </c>
      <c r="H175" s="133" t="str">
        <f>IF($A175&lt;&gt;0,VLOOKUP($A175,'0.Productos'!$A$3:$GG$587,'0.Productos'!AZ$1+1,0),"")</f>
        <v/>
      </c>
      <c r="I175" s="133" t="str">
        <f>IF($A175&lt;&gt;0,VLOOKUP($A175,'0.Productos'!$A$3:$GG$587,'0.Productos'!BA$1+1,0),"")</f>
        <v/>
      </c>
      <c r="J175" s="133" t="str">
        <f>IF($A175&lt;&gt;0,VLOOKUP($A175,'0.Productos'!$A$3:$GG$587,'0.Productos'!BB$1+1,0),"")</f>
        <v/>
      </c>
      <c r="K175" s="133" t="str">
        <f>IF($A175&lt;&gt;0,VLOOKUP($A175,'0.Productos'!$A$3:$GG$587,'0.Productos'!BC$1+1,0),"")</f>
        <v/>
      </c>
      <c r="L175" s="133" t="str">
        <f>IF($A175&lt;&gt;0,VLOOKUP($A175,'0.Productos'!$A$3:$GG$587,'0.Productos'!BD$1+1,0),"")</f>
        <v/>
      </c>
      <c r="M175" s="133" t="str">
        <f>IF($A175&lt;&gt;0,VLOOKUP($A175,'0.Productos'!$A$3:$GG$587,'0.Productos'!BE$1+1,0),"")</f>
        <v/>
      </c>
      <c r="N175" s="133" t="str">
        <f>IF($A175&lt;&gt;0,VLOOKUP($A175,'0.Productos'!$A$3:$GG$587,'0.Productos'!BF$1+1,0),"")</f>
        <v/>
      </c>
      <c r="O175" s="133" t="str">
        <f>IF($A175&lt;&gt;0,VLOOKUP($A175,'0.Productos'!$A$3:$GG$587,'0.Productos'!BG$1+1,0),"")</f>
        <v/>
      </c>
      <c r="P175" s="133" t="str">
        <f>IF($A175&lt;&gt;0,VLOOKUP($A175,'0.Productos'!$A$3:$GG$587,'0.Productos'!BH$1+1,0),"")</f>
        <v/>
      </c>
      <c r="Q175" s="133" t="str">
        <f>IF($A175&lt;&gt;0,VLOOKUP($A175,'0.Productos'!$A$3:$GG$587,'0.Productos'!BI$1+1,0),"")</f>
        <v/>
      </c>
      <c r="R175" s="133" t="str">
        <f>IF($A175&lt;&gt;0,VLOOKUP($A175,'0.Productos'!$A$3:$GG$587,'0.Productos'!BJ$1+1,0),"")</f>
        <v/>
      </c>
      <c r="S175" s="133" t="str">
        <f>IF($A175&lt;&gt;0,VLOOKUP($A175,'0.Productos'!$A$3:$GG$587,'0.Productos'!BK$1+1,0),"")</f>
        <v/>
      </c>
      <c r="T175" s="133" t="str">
        <f>IF($A175&lt;&gt;0,VLOOKUP($A175,'0.Productos'!$A$3:$GG$587,'0.Productos'!BL$1+1,0),"")</f>
        <v/>
      </c>
      <c r="U175" s="133" t="str">
        <f>IF($A175&lt;&gt;0,VLOOKUP($A175,'0.Productos'!$A$3:$GG$587,'0.Productos'!BM$1+1,0),"")</f>
        <v/>
      </c>
      <c r="V175" s="133" t="str">
        <f>IF($A175&lt;&gt;0,VLOOKUP($A175,'0.Productos'!$A$3:$GG$587,'0.Productos'!BN$1+1,0),"")</f>
        <v/>
      </c>
      <c r="W175" s="133" t="str">
        <f>IF($A175&lt;&gt;0,VLOOKUP($A175,'0.Productos'!$A$3:$GG$587,'0.Productos'!BO$1+1,0),"")</f>
        <v/>
      </c>
      <c r="X175" s="133" t="str">
        <f>IF($A175&lt;&gt;0,VLOOKUP($A175,'0.Productos'!$A$3:$GG$587,'0.Productos'!BP$1+1,0),"")</f>
        <v/>
      </c>
      <c r="Y175" s="133" t="str">
        <f>IF($A175&lt;&gt;0,VLOOKUP($A175,'0.Productos'!$A$3:$GG$587,'0.Productos'!BQ$1+1,0),"")</f>
        <v/>
      </c>
      <c r="Z175" s="133" t="str">
        <f>IF($A175&lt;&gt;0,VLOOKUP($A175,'0.Productos'!$A$3:$GG$587,'0.Productos'!BR$1+1,0),"")</f>
        <v/>
      </c>
      <c r="AA175" s="133" t="str">
        <f>IF($A175&lt;&gt;0,VLOOKUP($A175,'0.Productos'!$A$3:$GG$587,'0.Productos'!BS$1+1,0),"")</f>
        <v/>
      </c>
      <c r="AB175" s="133" t="str">
        <f>IF($A175&lt;&gt;0,VLOOKUP($A175,'0.Productos'!$A$3:$GG$587,'0.Productos'!BT$1+1,0),"")</f>
        <v/>
      </c>
      <c r="AC175" s="133" t="str">
        <f>IF($A175&lt;&gt;0,VLOOKUP($A175,'0.Productos'!$A$3:$GG$587,'0.Productos'!BU$1+1,0),"")</f>
        <v/>
      </c>
      <c r="AD175" s="133" t="str">
        <f>IF($A175&lt;&gt;0,VLOOKUP($A175,'0.Productos'!$A$3:$GG$587,'0.Productos'!BV$1+1,0),"")</f>
        <v/>
      </c>
      <c r="AE175" s="133" t="str">
        <f>IF($A175&lt;&gt;0,VLOOKUP($A175,'0.Productos'!$A$3:$GG$587,'0.Productos'!BW$1+1,0),"")</f>
        <v/>
      </c>
      <c r="AF175" s="133" t="str">
        <f>IF($A175&lt;&gt;0,VLOOKUP($A175,'0.Productos'!$A$3:$GG$587,'0.Productos'!BX$1+1,0),"")</f>
        <v/>
      </c>
      <c r="AG175" s="133" t="str">
        <f>IF($A175&lt;&gt;0,VLOOKUP($A175,'0.Productos'!$A$3:$GG$587,'0.Productos'!BY$1+1,0),"")</f>
        <v/>
      </c>
      <c r="AH175" s="133" t="str">
        <f>IF($A175&lt;&gt;0,VLOOKUP($A175,'0.Productos'!$A$3:$GG$587,'0.Productos'!BZ$1+1,0),"")</f>
        <v/>
      </c>
      <c r="AI175" s="133" t="str">
        <f>IF($A175&lt;&gt;0,VLOOKUP($A175,'0.Productos'!$A$3:$GG$587,'0.Productos'!CA$1+1,0),"")</f>
        <v/>
      </c>
      <c r="AJ175" s="133" t="str">
        <f>IF($A175&lt;&gt;0,VLOOKUP($A175,'0.Productos'!$A$3:$GG$587,'0.Productos'!CB$1+1,0),"")</f>
        <v/>
      </c>
      <c r="AK175" s="133" t="str">
        <f>IF($A175&lt;&gt;0,VLOOKUP($A175,'0.Productos'!$A$3:$GG$587,'0.Productos'!CC$1+1,0),"")</f>
        <v/>
      </c>
      <c r="AL175" s="133" t="str">
        <f>IF($A175&lt;&gt;0,VLOOKUP($A175,'0.Productos'!$A$3:$GG$587,'0.Productos'!CD$1+1,0),"")</f>
        <v/>
      </c>
      <c r="AM175" s="133" t="str">
        <f>IF($A175&lt;&gt;0,VLOOKUP($A175,'0.Productos'!$A$3:$GG$587,'0.Productos'!CE$1+1,0),"")</f>
        <v/>
      </c>
      <c r="AN175" s="133" t="str">
        <f>IF($A175&lt;&gt;0,VLOOKUP($A175,'0.Productos'!$A$3:$GG$587,'0.Productos'!CF$1+1,0),"")</f>
        <v/>
      </c>
      <c r="AO175" s="133" t="str">
        <f>IF($A175&lt;&gt;0,VLOOKUP($A175,'0.Productos'!$A$3:$GG$587,'0.Productos'!CG$1+1,0),"")</f>
        <v/>
      </c>
      <c r="AP175" s="133" t="str">
        <f>IF($A175&lt;&gt;0,VLOOKUP($A175,'0.Productos'!$A$3:$GG$587,'0.Productos'!CH$1+1,0),"")</f>
        <v/>
      </c>
      <c r="AQ175" s="133" t="str">
        <f>IF($A175&lt;&gt;0,VLOOKUP($A175,'0.Productos'!$A$3:$GG$587,'0.Productos'!CI$1+1,0),"")</f>
        <v/>
      </c>
      <c r="AR175" s="133" t="str">
        <f>IF($A175&lt;&gt;0,VLOOKUP($A175,'0.Productos'!$A$3:$GG$587,'0.Productos'!CJ$1+1,0),"")</f>
        <v/>
      </c>
      <c r="AS175" s="133" t="str">
        <f>IF($A175&lt;&gt;0,VLOOKUP($A175,'0.Productos'!$A$3:$GG$587,'0.Productos'!CK$1+1,0),"")</f>
        <v/>
      </c>
      <c r="AT175" s="133" t="str">
        <f>IF($A175&lt;&gt;0,VLOOKUP($A175,'0.Productos'!$A$3:$GG$587,'0.Productos'!CL$1+1,0),"")</f>
        <v/>
      </c>
      <c r="AU175" s="133" t="str">
        <f>IF($A175&lt;&gt;0,VLOOKUP($A175,'0.Productos'!$A$3:$GG$587,'0.Productos'!CM$1+1,0),"")</f>
        <v/>
      </c>
      <c r="AV175" s="133" t="str">
        <f>IF($A175&lt;&gt;0,VLOOKUP($A175,'0.Productos'!$A$3:$GG$587,'0.Productos'!CN$1+1,0),"")</f>
        <v/>
      </c>
      <c r="AW175" s="133" t="str">
        <f>IF($A175&lt;&gt;0,VLOOKUP($A175,'0.Productos'!$A$3:$GG$587,'0.Productos'!CO$1+1,0),"")</f>
        <v/>
      </c>
      <c r="AX175" s="133" t="str">
        <f>IF($A175&lt;&gt;0,VLOOKUP($A175,'0.Productos'!$A$3:$GG$587,'0.Productos'!CP$1+1,0),"")</f>
        <v/>
      </c>
      <c r="AY175" s="133" t="str">
        <f>IF($A175&lt;&gt;0,VLOOKUP($A175,'0.Productos'!$A$3:$GG$587,'0.Productos'!CQ$1+1,0),"")</f>
        <v/>
      </c>
      <c r="AZ175" s="133" t="str">
        <f>IF($A175&lt;&gt;0,VLOOKUP($A175,'0.Productos'!$A$3:$GG$587,'0.Productos'!CR$1+1,0),"")</f>
        <v/>
      </c>
      <c r="BA175" s="133" t="str">
        <f>IF($A175&lt;&gt;0,VLOOKUP($A175,'0.Productos'!$A$3:$GG$587,'0.Productos'!CS$1+1,0),"")</f>
        <v/>
      </c>
      <c r="BB175" s="133" t="str">
        <f>IF($A175&lt;&gt;0,VLOOKUP($A175,'0.Productos'!$A$3:$GG$587,'0.Productos'!CT$1+1,0),"")</f>
        <v/>
      </c>
      <c r="BC175" s="133" t="str">
        <f>IF($A175&lt;&gt;0,VLOOKUP($A175,'0.Productos'!$A$3:$GG$587,'0.Productos'!CU$1+1,0),"")</f>
        <v/>
      </c>
      <c r="BD175" s="133" t="str">
        <f>IF($A175&lt;&gt;0,VLOOKUP($A175,'0.Productos'!$A$3:$GG$587,'0.Productos'!CV$1+1,0),"")</f>
        <v/>
      </c>
      <c r="BE175" s="133" t="str">
        <f>IF($A175&lt;&gt;0,VLOOKUP($A175,'0.Productos'!$A$3:$GG$587,'0.Productos'!CW$1+1,0),"")</f>
        <v/>
      </c>
      <c r="BF175" s="133" t="str">
        <f>IF($A175&lt;&gt;0,VLOOKUP($A175,'0.Productos'!$A$3:$GG$587,'0.Productos'!CX$1+1,0),"")</f>
        <v/>
      </c>
      <c r="BG175" s="133" t="str">
        <f>IF($A175&lt;&gt;0,VLOOKUP($A175,'0.Productos'!$A$3:$GG$587,'0.Productos'!CY$1+1,0),"")</f>
        <v/>
      </c>
      <c r="BH175" s="133" t="str">
        <f>IF($A175&lt;&gt;0,VLOOKUP($A175,'0.Productos'!$A$3:$GG$587,'0.Productos'!CZ$1+1,0),"")</f>
        <v/>
      </c>
      <c r="BI175" s="133" t="str">
        <f>IF($A175&lt;&gt;0,VLOOKUP($A175,'0.Productos'!$A$3:$GG$587,'0.Productos'!DA$1+1,0),"")</f>
        <v/>
      </c>
      <c r="BJ175" s="133" t="str">
        <f>IF($A175&lt;&gt;0,VLOOKUP($A175,'0.Productos'!$A$3:$GG$587,'0.Productos'!DB$1+1,0),"")</f>
        <v/>
      </c>
      <c r="BK175" s="133" t="str">
        <f>IF($A175&lt;&gt;0,VLOOKUP($A175,'0.Productos'!$A$3:$GG$587,'0.Productos'!DC$1+1,0),"")</f>
        <v/>
      </c>
      <c r="BL175" s="133" t="str">
        <f>IF($A175&lt;&gt;0,VLOOKUP($A175,'0.Productos'!$A$3:$GG$587,'0.Productos'!DD$1+1,0),"")</f>
        <v/>
      </c>
      <c r="BM175" s="133" t="str">
        <f>IF($A175&lt;&gt;0,VLOOKUP($A175,'0.Productos'!$A$3:$GG$587,'0.Productos'!DE$1+1,0),"")</f>
        <v/>
      </c>
      <c r="BN175" s="133" t="str">
        <f>IF($A175&lt;&gt;0,VLOOKUP($A175,'0.Productos'!$A$3:$GG$587,'0.Productos'!DF$1+1,0),"")</f>
        <v/>
      </c>
      <c r="BO175" s="133" t="str">
        <f>IF($A175&lt;&gt;0,VLOOKUP($A175,'0.Productos'!$A$3:$GG$587,'0.Productos'!DG$1+1,0),"")</f>
        <v/>
      </c>
      <c r="BP175" s="133" t="str">
        <f>IF($A175&lt;&gt;0,VLOOKUP($A175,'0.Productos'!$A$3:$GG$587,'0.Productos'!DH$1+1,0),"")</f>
        <v/>
      </c>
      <c r="BQ175" s="133" t="str">
        <f>IF($A175&lt;&gt;0,VLOOKUP($A175,'0.Productos'!$A$3:$GG$587,'0.Productos'!DI$1+1,0),"")</f>
        <v/>
      </c>
      <c r="BR175" s="133" t="str">
        <f>IF($A175&lt;&gt;0,VLOOKUP($A175,'0.Productos'!$A$3:$GG$587,'0.Productos'!DJ$1+1,0),"")</f>
        <v/>
      </c>
      <c r="BS175" s="133" t="str">
        <f>IF($A175&lt;&gt;0,VLOOKUP($A175,'0.Productos'!$A$3:$GG$587,'0.Productos'!DK$1+1,0),"")</f>
        <v/>
      </c>
      <c r="BT175" s="133" t="str">
        <f>IF($A175&lt;&gt;0,VLOOKUP($A175,'0.Productos'!$A$3:$GG$587,'0.Productos'!DL$1+1,0),"")</f>
        <v/>
      </c>
    </row>
    <row r="176" spans="1:72" x14ac:dyDescent="0.25">
      <c r="A176" s="17">
        <f>'0.Consolidado general'!A176</f>
        <v>0</v>
      </c>
      <c r="B176" s="133" t="str">
        <f>IF($A176&lt;&gt;0,VLOOKUP($A176,'0.Productos'!$A$3:$GG$587,'0.Productos'!AT$1+1,0),"")</f>
        <v/>
      </c>
      <c r="C176" s="133" t="str">
        <f>IF($A176&lt;&gt;0,VLOOKUP($A176,'0.Productos'!$A$3:$GG$587,'0.Productos'!AU$1+1,0),"")</f>
        <v/>
      </c>
      <c r="D176" s="133" t="str">
        <f>IF($A176&lt;&gt;0,VLOOKUP($A176,'0.Productos'!$A$3:$GG$587,'0.Productos'!AV$1+1,0),"")</f>
        <v/>
      </c>
      <c r="E176" s="133" t="str">
        <f>IF($A176&lt;&gt;0,VLOOKUP($A176,'0.Productos'!$A$3:$GG$587,'0.Productos'!AW$1+1,0),"")</f>
        <v/>
      </c>
      <c r="F176" s="133" t="str">
        <f>IF($A176&lt;&gt;0,VLOOKUP($A176,'0.Productos'!$A$3:$GG$587,'0.Productos'!AX$1+1,0),"")</f>
        <v/>
      </c>
      <c r="G176" s="133" t="str">
        <f>IF($A176&lt;&gt;0,VLOOKUP($A176,'0.Productos'!$A$3:$GG$587,'0.Productos'!AY$1+1,0),"")</f>
        <v/>
      </c>
      <c r="H176" s="133" t="str">
        <f>IF($A176&lt;&gt;0,VLOOKUP($A176,'0.Productos'!$A$3:$GG$587,'0.Productos'!AZ$1+1,0),"")</f>
        <v/>
      </c>
      <c r="I176" s="133" t="str">
        <f>IF($A176&lt;&gt;0,VLOOKUP($A176,'0.Productos'!$A$3:$GG$587,'0.Productos'!BA$1+1,0),"")</f>
        <v/>
      </c>
      <c r="J176" s="133" t="str">
        <f>IF($A176&lt;&gt;0,VLOOKUP($A176,'0.Productos'!$A$3:$GG$587,'0.Productos'!BB$1+1,0),"")</f>
        <v/>
      </c>
      <c r="K176" s="133" t="str">
        <f>IF($A176&lt;&gt;0,VLOOKUP($A176,'0.Productos'!$A$3:$GG$587,'0.Productos'!BC$1+1,0),"")</f>
        <v/>
      </c>
      <c r="L176" s="133" t="str">
        <f>IF($A176&lt;&gt;0,VLOOKUP($A176,'0.Productos'!$A$3:$GG$587,'0.Productos'!BD$1+1,0),"")</f>
        <v/>
      </c>
      <c r="M176" s="133" t="str">
        <f>IF($A176&lt;&gt;0,VLOOKUP($A176,'0.Productos'!$A$3:$GG$587,'0.Productos'!BE$1+1,0),"")</f>
        <v/>
      </c>
      <c r="N176" s="133" t="str">
        <f>IF($A176&lt;&gt;0,VLOOKUP($A176,'0.Productos'!$A$3:$GG$587,'0.Productos'!BF$1+1,0),"")</f>
        <v/>
      </c>
      <c r="O176" s="133" t="str">
        <f>IF($A176&lt;&gt;0,VLOOKUP($A176,'0.Productos'!$A$3:$GG$587,'0.Productos'!BG$1+1,0),"")</f>
        <v/>
      </c>
      <c r="P176" s="133" t="str">
        <f>IF($A176&lt;&gt;0,VLOOKUP($A176,'0.Productos'!$A$3:$GG$587,'0.Productos'!BH$1+1,0),"")</f>
        <v/>
      </c>
      <c r="Q176" s="133" t="str">
        <f>IF($A176&lt;&gt;0,VLOOKUP($A176,'0.Productos'!$A$3:$GG$587,'0.Productos'!BI$1+1,0),"")</f>
        <v/>
      </c>
      <c r="R176" s="133" t="str">
        <f>IF($A176&lt;&gt;0,VLOOKUP($A176,'0.Productos'!$A$3:$GG$587,'0.Productos'!BJ$1+1,0),"")</f>
        <v/>
      </c>
      <c r="S176" s="133" t="str">
        <f>IF($A176&lt;&gt;0,VLOOKUP($A176,'0.Productos'!$A$3:$GG$587,'0.Productos'!BK$1+1,0),"")</f>
        <v/>
      </c>
      <c r="T176" s="133" t="str">
        <f>IF($A176&lt;&gt;0,VLOOKUP($A176,'0.Productos'!$A$3:$GG$587,'0.Productos'!BL$1+1,0),"")</f>
        <v/>
      </c>
      <c r="U176" s="133" t="str">
        <f>IF($A176&lt;&gt;0,VLOOKUP($A176,'0.Productos'!$A$3:$GG$587,'0.Productos'!BM$1+1,0),"")</f>
        <v/>
      </c>
      <c r="V176" s="133" t="str">
        <f>IF($A176&lt;&gt;0,VLOOKUP($A176,'0.Productos'!$A$3:$GG$587,'0.Productos'!BN$1+1,0),"")</f>
        <v/>
      </c>
      <c r="W176" s="133" t="str">
        <f>IF($A176&lt;&gt;0,VLOOKUP($A176,'0.Productos'!$A$3:$GG$587,'0.Productos'!BO$1+1,0),"")</f>
        <v/>
      </c>
      <c r="X176" s="133" t="str">
        <f>IF($A176&lt;&gt;0,VLOOKUP($A176,'0.Productos'!$A$3:$GG$587,'0.Productos'!BP$1+1,0),"")</f>
        <v/>
      </c>
      <c r="Y176" s="133" t="str">
        <f>IF($A176&lt;&gt;0,VLOOKUP($A176,'0.Productos'!$A$3:$GG$587,'0.Productos'!BQ$1+1,0),"")</f>
        <v/>
      </c>
      <c r="Z176" s="133" t="str">
        <f>IF($A176&lt;&gt;0,VLOOKUP($A176,'0.Productos'!$A$3:$GG$587,'0.Productos'!BR$1+1,0),"")</f>
        <v/>
      </c>
      <c r="AA176" s="133" t="str">
        <f>IF($A176&lt;&gt;0,VLOOKUP($A176,'0.Productos'!$A$3:$GG$587,'0.Productos'!BS$1+1,0),"")</f>
        <v/>
      </c>
      <c r="AB176" s="133" t="str">
        <f>IF($A176&lt;&gt;0,VLOOKUP($A176,'0.Productos'!$A$3:$GG$587,'0.Productos'!BT$1+1,0),"")</f>
        <v/>
      </c>
      <c r="AC176" s="133" t="str">
        <f>IF($A176&lt;&gt;0,VLOOKUP($A176,'0.Productos'!$A$3:$GG$587,'0.Productos'!BU$1+1,0),"")</f>
        <v/>
      </c>
      <c r="AD176" s="133" t="str">
        <f>IF($A176&lt;&gt;0,VLOOKUP($A176,'0.Productos'!$A$3:$GG$587,'0.Productos'!BV$1+1,0),"")</f>
        <v/>
      </c>
      <c r="AE176" s="133" t="str">
        <f>IF($A176&lt;&gt;0,VLOOKUP($A176,'0.Productos'!$A$3:$GG$587,'0.Productos'!BW$1+1,0),"")</f>
        <v/>
      </c>
      <c r="AF176" s="133" t="str">
        <f>IF($A176&lt;&gt;0,VLOOKUP($A176,'0.Productos'!$A$3:$GG$587,'0.Productos'!BX$1+1,0),"")</f>
        <v/>
      </c>
      <c r="AG176" s="133" t="str">
        <f>IF($A176&lt;&gt;0,VLOOKUP($A176,'0.Productos'!$A$3:$GG$587,'0.Productos'!BY$1+1,0),"")</f>
        <v/>
      </c>
      <c r="AH176" s="133" t="str">
        <f>IF($A176&lt;&gt;0,VLOOKUP($A176,'0.Productos'!$A$3:$GG$587,'0.Productos'!BZ$1+1,0),"")</f>
        <v/>
      </c>
      <c r="AI176" s="133" t="str">
        <f>IF($A176&lt;&gt;0,VLOOKUP($A176,'0.Productos'!$A$3:$GG$587,'0.Productos'!CA$1+1,0),"")</f>
        <v/>
      </c>
      <c r="AJ176" s="133" t="str">
        <f>IF($A176&lt;&gt;0,VLOOKUP($A176,'0.Productos'!$A$3:$GG$587,'0.Productos'!CB$1+1,0),"")</f>
        <v/>
      </c>
      <c r="AK176" s="133" t="str">
        <f>IF($A176&lt;&gt;0,VLOOKUP($A176,'0.Productos'!$A$3:$GG$587,'0.Productos'!CC$1+1,0),"")</f>
        <v/>
      </c>
      <c r="AL176" s="133" t="str">
        <f>IF($A176&lt;&gt;0,VLOOKUP($A176,'0.Productos'!$A$3:$GG$587,'0.Productos'!CD$1+1,0),"")</f>
        <v/>
      </c>
      <c r="AM176" s="133" t="str">
        <f>IF($A176&lt;&gt;0,VLOOKUP($A176,'0.Productos'!$A$3:$GG$587,'0.Productos'!CE$1+1,0),"")</f>
        <v/>
      </c>
      <c r="AN176" s="133" t="str">
        <f>IF($A176&lt;&gt;0,VLOOKUP($A176,'0.Productos'!$A$3:$GG$587,'0.Productos'!CF$1+1,0),"")</f>
        <v/>
      </c>
      <c r="AO176" s="133" t="str">
        <f>IF($A176&lt;&gt;0,VLOOKUP($A176,'0.Productos'!$A$3:$GG$587,'0.Productos'!CG$1+1,0),"")</f>
        <v/>
      </c>
      <c r="AP176" s="133" t="str">
        <f>IF($A176&lt;&gt;0,VLOOKUP($A176,'0.Productos'!$A$3:$GG$587,'0.Productos'!CH$1+1,0),"")</f>
        <v/>
      </c>
      <c r="AQ176" s="133" t="str">
        <f>IF($A176&lt;&gt;0,VLOOKUP($A176,'0.Productos'!$A$3:$GG$587,'0.Productos'!CI$1+1,0),"")</f>
        <v/>
      </c>
      <c r="AR176" s="133" t="str">
        <f>IF($A176&lt;&gt;0,VLOOKUP($A176,'0.Productos'!$A$3:$GG$587,'0.Productos'!CJ$1+1,0),"")</f>
        <v/>
      </c>
      <c r="AS176" s="133" t="str">
        <f>IF($A176&lt;&gt;0,VLOOKUP($A176,'0.Productos'!$A$3:$GG$587,'0.Productos'!CK$1+1,0),"")</f>
        <v/>
      </c>
      <c r="AT176" s="133" t="str">
        <f>IF($A176&lt;&gt;0,VLOOKUP($A176,'0.Productos'!$A$3:$GG$587,'0.Productos'!CL$1+1,0),"")</f>
        <v/>
      </c>
      <c r="AU176" s="133" t="str">
        <f>IF($A176&lt;&gt;0,VLOOKUP($A176,'0.Productos'!$A$3:$GG$587,'0.Productos'!CM$1+1,0),"")</f>
        <v/>
      </c>
      <c r="AV176" s="133" t="str">
        <f>IF($A176&lt;&gt;0,VLOOKUP($A176,'0.Productos'!$A$3:$GG$587,'0.Productos'!CN$1+1,0),"")</f>
        <v/>
      </c>
      <c r="AW176" s="133" t="str">
        <f>IF($A176&lt;&gt;0,VLOOKUP($A176,'0.Productos'!$A$3:$GG$587,'0.Productos'!CO$1+1,0),"")</f>
        <v/>
      </c>
      <c r="AX176" s="133" t="str">
        <f>IF($A176&lt;&gt;0,VLOOKUP($A176,'0.Productos'!$A$3:$GG$587,'0.Productos'!CP$1+1,0),"")</f>
        <v/>
      </c>
      <c r="AY176" s="133" t="str">
        <f>IF($A176&lt;&gt;0,VLOOKUP($A176,'0.Productos'!$A$3:$GG$587,'0.Productos'!CQ$1+1,0),"")</f>
        <v/>
      </c>
      <c r="AZ176" s="133" t="str">
        <f>IF($A176&lt;&gt;0,VLOOKUP($A176,'0.Productos'!$A$3:$GG$587,'0.Productos'!CR$1+1,0),"")</f>
        <v/>
      </c>
      <c r="BA176" s="133" t="str">
        <f>IF($A176&lt;&gt;0,VLOOKUP($A176,'0.Productos'!$A$3:$GG$587,'0.Productos'!CS$1+1,0),"")</f>
        <v/>
      </c>
      <c r="BB176" s="133" t="str">
        <f>IF($A176&lt;&gt;0,VLOOKUP($A176,'0.Productos'!$A$3:$GG$587,'0.Productos'!CT$1+1,0),"")</f>
        <v/>
      </c>
      <c r="BC176" s="133" t="str">
        <f>IF($A176&lt;&gt;0,VLOOKUP($A176,'0.Productos'!$A$3:$GG$587,'0.Productos'!CU$1+1,0),"")</f>
        <v/>
      </c>
      <c r="BD176" s="133" t="str">
        <f>IF($A176&lt;&gt;0,VLOOKUP($A176,'0.Productos'!$A$3:$GG$587,'0.Productos'!CV$1+1,0),"")</f>
        <v/>
      </c>
      <c r="BE176" s="133" t="str">
        <f>IF($A176&lt;&gt;0,VLOOKUP($A176,'0.Productos'!$A$3:$GG$587,'0.Productos'!CW$1+1,0),"")</f>
        <v/>
      </c>
      <c r="BF176" s="133" t="str">
        <f>IF($A176&lt;&gt;0,VLOOKUP($A176,'0.Productos'!$A$3:$GG$587,'0.Productos'!CX$1+1,0),"")</f>
        <v/>
      </c>
      <c r="BG176" s="133" t="str">
        <f>IF($A176&lt;&gt;0,VLOOKUP($A176,'0.Productos'!$A$3:$GG$587,'0.Productos'!CY$1+1,0),"")</f>
        <v/>
      </c>
      <c r="BH176" s="133" t="str">
        <f>IF($A176&lt;&gt;0,VLOOKUP($A176,'0.Productos'!$A$3:$GG$587,'0.Productos'!CZ$1+1,0),"")</f>
        <v/>
      </c>
      <c r="BI176" s="133" t="str">
        <f>IF($A176&lt;&gt;0,VLOOKUP($A176,'0.Productos'!$A$3:$GG$587,'0.Productos'!DA$1+1,0),"")</f>
        <v/>
      </c>
      <c r="BJ176" s="133" t="str">
        <f>IF($A176&lt;&gt;0,VLOOKUP($A176,'0.Productos'!$A$3:$GG$587,'0.Productos'!DB$1+1,0),"")</f>
        <v/>
      </c>
      <c r="BK176" s="133" t="str">
        <f>IF($A176&lt;&gt;0,VLOOKUP($A176,'0.Productos'!$A$3:$GG$587,'0.Productos'!DC$1+1,0),"")</f>
        <v/>
      </c>
      <c r="BL176" s="133" t="str">
        <f>IF($A176&lt;&gt;0,VLOOKUP($A176,'0.Productos'!$A$3:$GG$587,'0.Productos'!DD$1+1,0),"")</f>
        <v/>
      </c>
      <c r="BM176" s="133" t="str">
        <f>IF($A176&lt;&gt;0,VLOOKUP($A176,'0.Productos'!$A$3:$GG$587,'0.Productos'!DE$1+1,0),"")</f>
        <v/>
      </c>
      <c r="BN176" s="133" t="str">
        <f>IF($A176&lt;&gt;0,VLOOKUP($A176,'0.Productos'!$A$3:$GG$587,'0.Productos'!DF$1+1,0),"")</f>
        <v/>
      </c>
      <c r="BO176" s="133" t="str">
        <f>IF($A176&lt;&gt;0,VLOOKUP($A176,'0.Productos'!$A$3:$GG$587,'0.Productos'!DG$1+1,0),"")</f>
        <v/>
      </c>
      <c r="BP176" s="133" t="str">
        <f>IF($A176&lt;&gt;0,VLOOKUP($A176,'0.Productos'!$A$3:$GG$587,'0.Productos'!DH$1+1,0),"")</f>
        <v/>
      </c>
      <c r="BQ176" s="133" t="str">
        <f>IF($A176&lt;&gt;0,VLOOKUP($A176,'0.Productos'!$A$3:$GG$587,'0.Productos'!DI$1+1,0),"")</f>
        <v/>
      </c>
      <c r="BR176" s="133" t="str">
        <f>IF($A176&lt;&gt;0,VLOOKUP($A176,'0.Productos'!$A$3:$GG$587,'0.Productos'!DJ$1+1,0),"")</f>
        <v/>
      </c>
      <c r="BS176" s="133" t="str">
        <f>IF($A176&lt;&gt;0,VLOOKUP($A176,'0.Productos'!$A$3:$GG$587,'0.Productos'!DK$1+1,0),"")</f>
        <v/>
      </c>
      <c r="BT176" s="133" t="str">
        <f>IF($A176&lt;&gt;0,VLOOKUP($A176,'0.Productos'!$A$3:$GG$587,'0.Productos'!DL$1+1,0),"")</f>
        <v/>
      </c>
    </row>
    <row r="177" spans="1:72" x14ac:dyDescent="0.25">
      <c r="A177" s="17">
        <f>'0.Consolidado general'!A177</f>
        <v>0</v>
      </c>
      <c r="B177" s="133" t="str">
        <f>IF($A177&lt;&gt;0,VLOOKUP($A177,'0.Productos'!$A$3:$GG$587,'0.Productos'!AT$1+1,0),"")</f>
        <v/>
      </c>
      <c r="C177" s="133" t="str">
        <f>IF($A177&lt;&gt;0,VLOOKUP($A177,'0.Productos'!$A$3:$GG$587,'0.Productos'!AU$1+1,0),"")</f>
        <v/>
      </c>
      <c r="D177" s="133" t="str">
        <f>IF($A177&lt;&gt;0,VLOOKUP($A177,'0.Productos'!$A$3:$GG$587,'0.Productos'!AV$1+1,0),"")</f>
        <v/>
      </c>
      <c r="E177" s="133" t="str">
        <f>IF($A177&lt;&gt;0,VLOOKUP($A177,'0.Productos'!$A$3:$GG$587,'0.Productos'!AW$1+1,0),"")</f>
        <v/>
      </c>
      <c r="F177" s="133" t="str">
        <f>IF($A177&lt;&gt;0,VLOOKUP($A177,'0.Productos'!$A$3:$GG$587,'0.Productos'!AX$1+1,0),"")</f>
        <v/>
      </c>
      <c r="G177" s="133" t="str">
        <f>IF($A177&lt;&gt;0,VLOOKUP($A177,'0.Productos'!$A$3:$GG$587,'0.Productos'!AY$1+1,0),"")</f>
        <v/>
      </c>
      <c r="H177" s="133" t="str">
        <f>IF($A177&lt;&gt;0,VLOOKUP($A177,'0.Productos'!$A$3:$GG$587,'0.Productos'!AZ$1+1,0),"")</f>
        <v/>
      </c>
      <c r="I177" s="133" t="str">
        <f>IF($A177&lt;&gt;0,VLOOKUP($A177,'0.Productos'!$A$3:$GG$587,'0.Productos'!BA$1+1,0),"")</f>
        <v/>
      </c>
      <c r="J177" s="133" t="str">
        <f>IF($A177&lt;&gt;0,VLOOKUP($A177,'0.Productos'!$A$3:$GG$587,'0.Productos'!BB$1+1,0),"")</f>
        <v/>
      </c>
      <c r="K177" s="133" t="str">
        <f>IF($A177&lt;&gt;0,VLOOKUP($A177,'0.Productos'!$A$3:$GG$587,'0.Productos'!BC$1+1,0),"")</f>
        <v/>
      </c>
      <c r="L177" s="133" t="str">
        <f>IF($A177&lt;&gt;0,VLOOKUP($A177,'0.Productos'!$A$3:$GG$587,'0.Productos'!BD$1+1,0),"")</f>
        <v/>
      </c>
      <c r="M177" s="133" t="str">
        <f>IF($A177&lt;&gt;0,VLOOKUP($A177,'0.Productos'!$A$3:$GG$587,'0.Productos'!BE$1+1,0),"")</f>
        <v/>
      </c>
      <c r="N177" s="133" t="str">
        <f>IF($A177&lt;&gt;0,VLOOKUP($A177,'0.Productos'!$A$3:$GG$587,'0.Productos'!BF$1+1,0),"")</f>
        <v/>
      </c>
      <c r="O177" s="133" t="str">
        <f>IF($A177&lt;&gt;0,VLOOKUP($A177,'0.Productos'!$A$3:$GG$587,'0.Productos'!BG$1+1,0),"")</f>
        <v/>
      </c>
      <c r="P177" s="133" t="str">
        <f>IF($A177&lt;&gt;0,VLOOKUP($A177,'0.Productos'!$A$3:$GG$587,'0.Productos'!BH$1+1,0),"")</f>
        <v/>
      </c>
      <c r="Q177" s="133" t="str">
        <f>IF($A177&lt;&gt;0,VLOOKUP($A177,'0.Productos'!$A$3:$GG$587,'0.Productos'!BI$1+1,0),"")</f>
        <v/>
      </c>
      <c r="R177" s="133" t="str">
        <f>IF($A177&lt;&gt;0,VLOOKUP($A177,'0.Productos'!$A$3:$GG$587,'0.Productos'!BJ$1+1,0),"")</f>
        <v/>
      </c>
      <c r="S177" s="133" t="str">
        <f>IF($A177&lt;&gt;0,VLOOKUP($A177,'0.Productos'!$A$3:$GG$587,'0.Productos'!BK$1+1,0),"")</f>
        <v/>
      </c>
      <c r="T177" s="133" t="str">
        <f>IF($A177&lt;&gt;0,VLOOKUP($A177,'0.Productos'!$A$3:$GG$587,'0.Productos'!BL$1+1,0),"")</f>
        <v/>
      </c>
      <c r="U177" s="133" t="str">
        <f>IF($A177&lt;&gt;0,VLOOKUP($A177,'0.Productos'!$A$3:$GG$587,'0.Productos'!BM$1+1,0),"")</f>
        <v/>
      </c>
      <c r="V177" s="133" t="str">
        <f>IF($A177&lt;&gt;0,VLOOKUP($A177,'0.Productos'!$A$3:$GG$587,'0.Productos'!BN$1+1,0),"")</f>
        <v/>
      </c>
      <c r="W177" s="133" t="str">
        <f>IF($A177&lt;&gt;0,VLOOKUP($A177,'0.Productos'!$A$3:$GG$587,'0.Productos'!BO$1+1,0),"")</f>
        <v/>
      </c>
      <c r="X177" s="133" t="str">
        <f>IF($A177&lt;&gt;0,VLOOKUP($A177,'0.Productos'!$A$3:$GG$587,'0.Productos'!BP$1+1,0),"")</f>
        <v/>
      </c>
      <c r="Y177" s="133" t="str">
        <f>IF($A177&lt;&gt;0,VLOOKUP($A177,'0.Productos'!$A$3:$GG$587,'0.Productos'!BQ$1+1,0),"")</f>
        <v/>
      </c>
      <c r="Z177" s="133" t="str">
        <f>IF($A177&lt;&gt;0,VLOOKUP($A177,'0.Productos'!$A$3:$GG$587,'0.Productos'!BR$1+1,0),"")</f>
        <v/>
      </c>
      <c r="AA177" s="133" t="str">
        <f>IF($A177&lt;&gt;0,VLOOKUP($A177,'0.Productos'!$A$3:$GG$587,'0.Productos'!BS$1+1,0),"")</f>
        <v/>
      </c>
      <c r="AB177" s="133" t="str">
        <f>IF($A177&lt;&gt;0,VLOOKUP($A177,'0.Productos'!$A$3:$GG$587,'0.Productos'!BT$1+1,0),"")</f>
        <v/>
      </c>
      <c r="AC177" s="133" t="str">
        <f>IF($A177&lt;&gt;0,VLOOKUP($A177,'0.Productos'!$A$3:$GG$587,'0.Productos'!BU$1+1,0),"")</f>
        <v/>
      </c>
      <c r="AD177" s="133" t="str">
        <f>IF($A177&lt;&gt;0,VLOOKUP($A177,'0.Productos'!$A$3:$GG$587,'0.Productos'!BV$1+1,0),"")</f>
        <v/>
      </c>
      <c r="AE177" s="133" t="str">
        <f>IF($A177&lt;&gt;0,VLOOKUP($A177,'0.Productos'!$A$3:$GG$587,'0.Productos'!BW$1+1,0),"")</f>
        <v/>
      </c>
      <c r="AF177" s="133" t="str">
        <f>IF($A177&lt;&gt;0,VLOOKUP($A177,'0.Productos'!$A$3:$GG$587,'0.Productos'!BX$1+1,0),"")</f>
        <v/>
      </c>
      <c r="AG177" s="133" t="str">
        <f>IF($A177&lt;&gt;0,VLOOKUP($A177,'0.Productos'!$A$3:$GG$587,'0.Productos'!BY$1+1,0),"")</f>
        <v/>
      </c>
      <c r="AH177" s="133" t="str">
        <f>IF($A177&lt;&gt;0,VLOOKUP($A177,'0.Productos'!$A$3:$GG$587,'0.Productos'!BZ$1+1,0),"")</f>
        <v/>
      </c>
      <c r="AI177" s="133" t="str">
        <f>IF($A177&lt;&gt;0,VLOOKUP($A177,'0.Productos'!$A$3:$GG$587,'0.Productos'!CA$1+1,0),"")</f>
        <v/>
      </c>
      <c r="AJ177" s="133" t="str">
        <f>IF($A177&lt;&gt;0,VLOOKUP($A177,'0.Productos'!$A$3:$GG$587,'0.Productos'!CB$1+1,0),"")</f>
        <v/>
      </c>
      <c r="AK177" s="133" t="str">
        <f>IF($A177&lt;&gt;0,VLOOKUP($A177,'0.Productos'!$A$3:$GG$587,'0.Productos'!CC$1+1,0),"")</f>
        <v/>
      </c>
      <c r="AL177" s="133" t="str">
        <f>IF($A177&lt;&gt;0,VLOOKUP($A177,'0.Productos'!$A$3:$GG$587,'0.Productos'!CD$1+1,0),"")</f>
        <v/>
      </c>
      <c r="AM177" s="133" t="str">
        <f>IF($A177&lt;&gt;0,VLOOKUP($A177,'0.Productos'!$A$3:$GG$587,'0.Productos'!CE$1+1,0),"")</f>
        <v/>
      </c>
      <c r="AN177" s="133" t="str">
        <f>IF($A177&lt;&gt;0,VLOOKUP($A177,'0.Productos'!$A$3:$GG$587,'0.Productos'!CF$1+1,0),"")</f>
        <v/>
      </c>
      <c r="AO177" s="133" t="str">
        <f>IF($A177&lt;&gt;0,VLOOKUP($A177,'0.Productos'!$A$3:$GG$587,'0.Productos'!CG$1+1,0),"")</f>
        <v/>
      </c>
      <c r="AP177" s="133" t="str">
        <f>IF($A177&lt;&gt;0,VLOOKUP($A177,'0.Productos'!$A$3:$GG$587,'0.Productos'!CH$1+1,0),"")</f>
        <v/>
      </c>
      <c r="AQ177" s="133" t="str">
        <f>IF($A177&lt;&gt;0,VLOOKUP($A177,'0.Productos'!$A$3:$GG$587,'0.Productos'!CI$1+1,0),"")</f>
        <v/>
      </c>
      <c r="AR177" s="133" t="str">
        <f>IF($A177&lt;&gt;0,VLOOKUP($A177,'0.Productos'!$A$3:$GG$587,'0.Productos'!CJ$1+1,0),"")</f>
        <v/>
      </c>
      <c r="AS177" s="133" t="str">
        <f>IF($A177&lt;&gt;0,VLOOKUP($A177,'0.Productos'!$A$3:$GG$587,'0.Productos'!CK$1+1,0),"")</f>
        <v/>
      </c>
      <c r="AT177" s="133" t="str">
        <f>IF($A177&lt;&gt;0,VLOOKUP($A177,'0.Productos'!$A$3:$GG$587,'0.Productos'!CL$1+1,0),"")</f>
        <v/>
      </c>
      <c r="AU177" s="133" t="str">
        <f>IF($A177&lt;&gt;0,VLOOKUP($A177,'0.Productos'!$A$3:$GG$587,'0.Productos'!CM$1+1,0),"")</f>
        <v/>
      </c>
      <c r="AV177" s="133" t="str">
        <f>IF($A177&lt;&gt;0,VLOOKUP($A177,'0.Productos'!$A$3:$GG$587,'0.Productos'!CN$1+1,0),"")</f>
        <v/>
      </c>
      <c r="AW177" s="133" t="str">
        <f>IF($A177&lt;&gt;0,VLOOKUP($A177,'0.Productos'!$A$3:$GG$587,'0.Productos'!CO$1+1,0),"")</f>
        <v/>
      </c>
      <c r="AX177" s="133" t="str">
        <f>IF($A177&lt;&gt;0,VLOOKUP($A177,'0.Productos'!$A$3:$GG$587,'0.Productos'!CP$1+1,0),"")</f>
        <v/>
      </c>
      <c r="AY177" s="133" t="str">
        <f>IF($A177&lt;&gt;0,VLOOKUP($A177,'0.Productos'!$A$3:$GG$587,'0.Productos'!CQ$1+1,0),"")</f>
        <v/>
      </c>
      <c r="AZ177" s="133" t="str">
        <f>IF($A177&lt;&gt;0,VLOOKUP($A177,'0.Productos'!$A$3:$GG$587,'0.Productos'!CR$1+1,0),"")</f>
        <v/>
      </c>
      <c r="BA177" s="133" t="str">
        <f>IF($A177&lt;&gt;0,VLOOKUP($A177,'0.Productos'!$A$3:$GG$587,'0.Productos'!CS$1+1,0),"")</f>
        <v/>
      </c>
      <c r="BB177" s="133" t="str">
        <f>IF($A177&lt;&gt;0,VLOOKUP($A177,'0.Productos'!$A$3:$GG$587,'0.Productos'!CT$1+1,0),"")</f>
        <v/>
      </c>
      <c r="BC177" s="133" t="str">
        <f>IF($A177&lt;&gt;0,VLOOKUP($A177,'0.Productos'!$A$3:$GG$587,'0.Productos'!CU$1+1,0),"")</f>
        <v/>
      </c>
      <c r="BD177" s="133" t="str">
        <f>IF($A177&lt;&gt;0,VLOOKUP($A177,'0.Productos'!$A$3:$GG$587,'0.Productos'!CV$1+1,0),"")</f>
        <v/>
      </c>
      <c r="BE177" s="133" t="str">
        <f>IF($A177&lt;&gt;0,VLOOKUP($A177,'0.Productos'!$A$3:$GG$587,'0.Productos'!CW$1+1,0),"")</f>
        <v/>
      </c>
      <c r="BF177" s="133" t="str">
        <f>IF($A177&lt;&gt;0,VLOOKUP($A177,'0.Productos'!$A$3:$GG$587,'0.Productos'!CX$1+1,0),"")</f>
        <v/>
      </c>
      <c r="BG177" s="133" t="str">
        <f>IF($A177&lt;&gt;0,VLOOKUP($A177,'0.Productos'!$A$3:$GG$587,'0.Productos'!CY$1+1,0),"")</f>
        <v/>
      </c>
      <c r="BH177" s="133" t="str">
        <f>IF($A177&lt;&gt;0,VLOOKUP($A177,'0.Productos'!$A$3:$GG$587,'0.Productos'!CZ$1+1,0),"")</f>
        <v/>
      </c>
      <c r="BI177" s="133" t="str">
        <f>IF($A177&lt;&gt;0,VLOOKUP($A177,'0.Productos'!$A$3:$GG$587,'0.Productos'!DA$1+1,0),"")</f>
        <v/>
      </c>
      <c r="BJ177" s="133" t="str">
        <f>IF($A177&lt;&gt;0,VLOOKUP($A177,'0.Productos'!$A$3:$GG$587,'0.Productos'!DB$1+1,0),"")</f>
        <v/>
      </c>
      <c r="BK177" s="133" t="str">
        <f>IF($A177&lt;&gt;0,VLOOKUP($A177,'0.Productos'!$A$3:$GG$587,'0.Productos'!DC$1+1,0),"")</f>
        <v/>
      </c>
      <c r="BL177" s="133" t="str">
        <f>IF($A177&lt;&gt;0,VLOOKUP($A177,'0.Productos'!$A$3:$GG$587,'0.Productos'!DD$1+1,0),"")</f>
        <v/>
      </c>
      <c r="BM177" s="133" t="str">
        <f>IF($A177&lt;&gt;0,VLOOKUP($A177,'0.Productos'!$A$3:$GG$587,'0.Productos'!DE$1+1,0),"")</f>
        <v/>
      </c>
      <c r="BN177" s="133" t="str">
        <f>IF($A177&lt;&gt;0,VLOOKUP($A177,'0.Productos'!$A$3:$GG$587,'0.Productos'!DF$1+1,0),"")</f>
        <v/>
      </c>
      <c r="BO177" s="133" t="str">
        <f>IF($A177&lt;&gt;0,VLOOKUP($A177,'0.Productos'!$A$3:$GG$587,'0.Productos'!DG$1+1,0),"")</f>
        <v/>
      </c>
      <c r="BP177" s="133" t="str">
        <f>IF($A177&lt;&gt;0,VLOOKUP($A177,'0.Productos'!$A$3:$GG$587,'0.Productos'!DH$1+1,0),"")</f>
        <v/>
      </c>
      <c r="BQ177" s="133" t="str">
        <f>IF($A177&lt;&gt;0,VLOOKUP($A177,'0.Productos'!$A$3:$GG$587,'0.Productos'!DI$1+1,0),"")</f>
        <v/>
      </c>
      <c r="BR177" s="133" t="str">
        <f>IF($A177&lt;&gt;0,VLOOKUP($A177,'0.Productos'!$A$3:$GG$587,'0.Productos'!DJ$1+1,0),"")</f>
        <v/>
      </c>
      <c r="BS177" s="133" t="str">
        <f>IF($A177&lt;&gt;0,VLOOKUP($A177,'0.Productos'!$A$3:$GG$587,'0.Productos'!DK$1+1,0),"")</f>
        <v/>
      </c>
      <c r="BT177" s="133" t="str">
        <f>IF($A177&lt;&gt;0,VLOOKUP($A177,'0.Productos'!$A$3:$GG$587,'0.Productos'!DL$1+1,0),"")</f>
        <v/>
      </c>
    </row>
    <row r="178" spans="1:72" x14ac:dyDescent="0.25">
      <c r="A178" s="17">
        <f>'0.Consolidado general'!A178</f>
        <v>0</v>
      </c>
      <c r="B178" s="133" t="str">
        <f>IF($A178&lt;&gt;0,VLOOKUP($A178,'0.Productos'!$A$3:$GG$587,'0.Productos'!AT$1+1,0),"")</f>
        <v/>
      </c>
      <c r="C178" s="133" t="str">
        <f>IF($A178&lt;&gt;0,VLOOKUP($A178,'0.Productos'!$A$3:$GG$587,'0.Productos'!AU$1+1,0),"")</f>
        <v/>
      </c>
      <c r="D178" s="133" t="str">
        <f>IF($A178&lt;&gt;0,VLOOKUP($A178,'0.Productos'!$A$3:$GG$587,'0.Productos'!AV$1+1,0),"")</f>
        <v/>
      </c>
      <c r="E178" s="133" t="str">
        <f>IF($A178&lt;&gt;0,VLOOKUP($A178,'0.Productos'!$A$3:$GG$587,'0.Productos'!AW$1+1,0),"")</f>
        <v/>
      </c>
      <c r="F178" s="133" t="str">
        <f>IF($A178&lt;&gt;0,VLOOKUP($A178,'0.Productos'!$A$3:$GG$587,'0.Productos'!AX$1+1,0),"")</f>
        <v/>
      </c>
      <c r="G178" s="133" t="str">
        <f>IF($A178&lt;&gt;0,VLOOKUP($A178,'0.Productos'!$A$3:$GG$587,'0.Productos'!AY$1+1,0),"")</f>
        <v/>
      </c>
      <c r="H178" s="133" t="str">
        <f>IF($A178&lt;&gt;0,VLOOKUP($A178,'0.Productos'!$A$3:$GG$587,'0.Productos'!AZ$1+1,0),"")</f>
        <v/>
      </c>
      <c r="I178" s="133" t="str">
        <f>IF($A178&lt;&gt;0,VLOOKUP($A178,'0.Productos'!$A$3:$GG$587,'0.Productos'!BA$1+1,0),"")</f>
        <v/>
      </c>
      <c r="J178" s="133" t="str">
        <f>IF($A178&lt;&gt;0,VLOOKUP($A178,'0.Productos'!$A$3:$GG$587,'0.Productos'!BB$1+1,0),"")</f>
        <v/>
      </c>
      <c r="K178" s="133" t="str">
        <f>IF($A178&lt;&gt;0,VLOOKUP($A178,'0.Productos'!$A$3:$GG$587,'0.Productos'!BC$1+1,0),"")</f>
        <v/>
      </c>
      <c r="L178" s="133" t="str">
        <f>IF($A178&lt;&gt;0,VLOOKUP($A178,'0.Productos'!$A$3:$GG$587,'0.Productos'!BD$1+1,0),"")</f>
        <v/>
      </c>
      <c r="M178" s="133" t="str">
        <f>IF($A178&lt;&gt;0,VLOOKUP($A178,'0.Productos'!$A$3:$GG$587,'0.Productos'!BE$1+1,0),"")</f>
        <v/>
      </c>
      <c r="N178" s="133" t="str">
        <f>IF($A178&lt;&gt;0,VLOOKUP($A178,'0.Productos'!$A$3:$GG$587,'0.Productos'!BF$1+1,0),"")</f>
        <v/>
      </c>
      <c r="O178" s="133" t="str">
        <f>IF($A178&lt;&gt;0,VLOOKUP($A178,'0.Productos'!$A$3:$GG$587,'0.Productos'!BG$1+1,0),"")</f>
        <v/>
      </c>
      <c r="P178" s="133" t="str">
        <f>IF($A178&lt;&gt;0,VLOOKUP($A178,'0.Productos'!$A$3:$GG$587,'0.Productos'!BH$1+1,0),"")</f>
        <v/>
      </c>
      <c r="Q178" s="133" t="str">
        <f>IF($A178&lt;&gt;0,VLOOKUP($A178,'0.Productos'!$A$3:$GG$587,'0.Productos'!BI$1+1,0),"")</f>
        <v/>
      </c>
      <c r="R178" s="133" t="str">
        <f>IF($A178&lt;&gt;0,VLOOKUP($A178,'0.Productos'!$A$3:$GG$587,'0.Productos'!BJ$1+1,0),"")</f>
        <v/>
      </c>
      <c r="S178" s="133" t="str">
        <f>IF($A178&lt;&gt;0,VLOOKUP($A178,'0.Productos'!$A$3:$GG$587,'0.Productos'!BK$1+1,0),"")</f>
        <v/>
      </c>
      <c r="T178" s="133" t="str">
        <f>IF($A178&lt;&gt;0,VLOOKUP($A178,'0.Productos'!$A$3:$GG$587,'0.Productos'!BL$1+1,0),"")</f>
        <v/>
      </c>
      <c r="U178" s="133" t="str">
        <f>IF($A178&lt;&gt;0,VLOOKUP($A178,'0.Productos'!$A$3:$GG$587,'0.Productos'!BM$1+1,0),"")</f>
        <v/>
      </c>
      <c r="V178" s="133" t="str">
        <f>IF($A178&lt;&gt;0,VLOOKUP($A178,'0.Productos'!$A$3:$GG$587,'0.Productos'!BN$1+1,0),"")</f>
        <v/>
      </c>
      <c r="W178" s="133" t="str">
        <f>IF($A178&lt;&gt;0,VLOOKUP($A178,'0.Productos'!$A$3:$GG$587,'0.Productos'!BO$1+1,0),"")</f>
        <v/>
      </c>
      <c r="X178" s="133" t="str">
        <f>IF($A178&lt;&gt;0,VLOOKUP($A178,'0.Productos'!$A$3:$GG$587,'0.Productos'!BP$1+1,0),"")</f>
        <v/>
      </c>
      <c r="Y178" s="133" t="str">
        <f>IF($A178&lt;&gt;0,VLOOKUP($A178,'0.Productos'!$A$3:$GG$587,'0.Productos'!BQ$1+1,0),"")</f>
        <v/>
      </c>
      <c r="Z178" s="133" t="str">
        <f>IF($A178&lt;&gt;0,VLOOKUP($A178,'0.Productos'!$A$3:$GG$587,'0.Productos'!BR$1+1,0),"")</f>
        <v/>
      </c>
      <c r="AA178" s="133" t="str">
        <f>IF($A178&lt;&gt;0,VLOOKUP($A178,'0.Productos'!$A$3:$GG$587,'0.Productos'!BS$1+1,0),"")</f>
        <v/>
      </c>
      <c r="AB178" s="133" t="str">
        <f>IF($A178&lt;&gt;0,VLOOKUP($A178,'0.Productos'!$A$3:$GG$587,'0.Productos'!BT$1+1,0),"")</f>
        <v/>
      </c>
      <c r="AC178" s="133" t="str">
        <f>IF($A178&lt;&gt;0,VLOOKUP($A178,'0.Productos'!$A$3:$GG$587,'0.Productos'!BU$1+1,0),"")</f>
        <v/>
      </c>
      <c r="AD178" s="133" t="str">
        <f>IF($A178&lt;&gt;0,VLOOKUP($A178,'0.Productos'!$A$3:$GG$587,'0.Productos'!BV$1+1,0),"")</f>
        <v/>
      </c>
      <c r="AE178" s="133" t="str">
        <f>IF($A178&lt;&gt;0,VLOOKUP($A178,'0.Productos'!$A$3:$GG$587,'0.Productos'!BW$1+1,0),"")</f>
        <v/>
      </c>
      <c r="AF178" s="133" t="str">
        <f>IF($A178&lt;&gt;0,VLOOKUP($A178,'0.Productos'!$A$3:$GG$587,'0.Productos'!BX$1+1,0),"")</f>
        <v/>
      </c>
      <c r="AG178" s="133" t="str">
        <f>IF($A178&lt;&gt;0,VLOOKUP($A178,'0.Productos'!$A$3:$GG$587,'0.Productos'!BY$1+1,0),"")</f>
        <v/>
      </c>
      <c r="AH178" s="133" t="str">
        <f>IF($A178&lt;&gt;0,VLOOKUP($A178,'0.Productos'!$A$3:$GG$587,'0.Productos'!BZ$1+1,0),"")</f>
        <v/>
      </c>
      <c r="AI178" s="133" t="str">
        <f>IF($A178&lt;&gt;0,VLOOKUP($A178,'0.Productos'!$A$3:$GG$587,'0.Productos'!CA$1+1,0),"")</f>
        <v/>
      </c>
      <c r="AJ178" s="133" t="str">
        <f>IF($A178&lt;&gt;0,VLOOKUP($A178,'0.Productos'!$A$3:$GG$587,'0.Productos'!CB$1+1,0),"")</f>
        <v/>
      </c>
      <c r="AK178" s="133" t="str">
        <f>IF($A178&lt;&gt;0,VLOOKUP($A178,'0.Productos'!$A$3:$GG$587,'0.Productos'!CC$1+1,0),"")</f>
        <v/>
      </c>
      <c r="AL178" s="133" t="str">
        <f>IF($A178&lt;&gt;0,VLOOKUP($A178,'0.Productos'!$A$3:$GG$587,'0.Productos'!CD$1+1,0),"")</f>
        <v/>
      </c>
      <c r="AM178" s="133" t="str">
        <f>IF($A178&lt;&gt;0,VLOOKUP($A178,'0.Productos'!$A$3:$GG$587,'0.Productos'!CE$1+1,0),"")</f>
        <v/>
      </c>
      <c r="AN178" s="133" t="str">
        <f>IF($A178&lt;&gt;0,VLOOKUP($A178,'0.Productos'!$A$3:$GG$587,'0.Productos'!CF$1+1,0),"")</f>
        <v/>
      </c>
      <c r="AO178" s="133" t="str">
        <f>IF($A178&lt;&gt;0,VLOOKUP($A178,'0.Productos'!$A$3:$GG$587,'0.Productos'!CG$1+1,0),"")</f>
        <v/>
      </c>
      <c r="AP178" s="133" t="str">
        <f>IF($A178&lt;&gt;0,VLOOKUP($A178,'0.Productos'!$A$3:$GG$587,'0.Productos'!CH$1+1,0),"")</f>
        <v/>
      </c>
      <c r="AQ178" s="133" t="str">
        <f>IF($A178&lt;&gt;0,VLOOKUP($A178,'0.Productos'!$A$3:$GG$587,'0.Productos'!CI$1+1,0),"")</f>
        <v/>
      </c>
      <c r="AR178" s="133" t="str">
        <f>IF($A178&lt;&gt;0,VLOOKUP($A178,'0.Productos'!$A$3:$GG$587,'0.Productos'!CJ$1+1,0),"")</f>
        <v/>
      </c>
      <c r="AS178" s="133" t="str">
        <f>IF($A178&lt;&gt;0,VLOOKUP($A178,'0.Productos'!$A$3:$GG$587,'0.Productos'!CK$1+1,0),"")</f>
        <v/>
      </c>
      <c r="AT178" s="133" t="str">
        <f>IF($A178&lt;&gt;0,VLOOKUP($A178,'0.Productos'!$A$3:$GG$587,'0.Productos'!CL$1+1,0),"")</f>
        <v/>
      </c>
      <c r="AU178" s="133" t="str">
        <f>IF($A178&lt;&gt;0,VLOOKUP($A178,'0.Productos'!$A$3:$GG$587,'0.Productos'!CM$1+1,0),"")</f>
        <v/>
      </c>
      <c r="AV178" s="133" t="str">
        <f>IF($A178&lt;&gt;0,VLOOKUP($A178,'0.Productos'!$A$3:$GG$587,'0.Productos'!CN$1+1,0),"")</f>
        <v/>
      </c>
      <c r="AW178" s="133" t="str">
        <f>IF($A178&lt;&gt;0,VLOOKUP($A178,'0.Productos'!$A$3:$GG$587,'0.Productos'!CO$1+1,0),"")</f>
        <v/>
      </c>
      <c r="AX178" s="133" t="str">
        <f>IF($A178&lt;&gt;0,VLOOKUP($A178,'0.Productos'!$A$3:$GG$587,'0.Productos'!CP$1+1,0),"")</f>
        <v/>
      </c>
      <c r="AY178" s="133" t="str">
        <f>IF($A178&lt;&gt;0,VLOOKUP($A178,'0.Productos'!$A$3:$GG$587,'0.Productos'!CQ$1+1,0),"")</f>
        <v/>
      </c>
      <c r="AZ178" s="133" t="str">
        <f>IF($A178&lt;&gt;0,VLOOKUP($A178,'0.Productos'!$A$3:$GG$587,'0.Productos'!CR$1+1,0),"")</f>
        <v/>
      </c>
      <c r="BA178" s="133" t="str">
        <f>IF($A178&lt;&gt;0,VLOOKUP($A178,'0.Productos'!$A$3:$GG$587,'0.Productos'!CS$1+1,0),"")</f>
        <v/>
      </c>
      <c r="BB178" s="133" t="str">
        <f>IF($A178&lt;&gt;0,VLOOKUP($A178,'0.Productos'!$A$3:$GG$587,'0.Productos'!CT$1+1,0),"")</f>
        <v/>
      </c>
      <c r="BC178" s="133" t="str">
        <f>IF($A178&lt;&gt;0,VLOOKUP($A178,'0.Productos'!$A$3:$GG$587,'0.Productos'!CU$1+1,0),"")</f>
        <v/>
      </c>
      <c r="BD178" s="133" t="str">
        <f>IF($A178&lt;&gt;0,VLOOKUP($A178,'0.Productos'!$A$3:$GG$587,'0.Productos'!CV$1+1,0),"")</f>
        <v/>
      </c>
      <c r="BE178" s="133" t="str">
        <f>IF($A178&lt;&gt;0,VLOOKUP($A178,'0.Productos'!$A$3:$GG$587,'0.Productos'!CW$1+1,0),"")</f>
        <v/>
      </c>
      <c r="BF178" s="133" t="str">
        <f>IF($A178&lt;&gt;0,VLOOKUP($A178,'0.Productos'!$A$3:$GG$587,'0.Productos'!CX$1+1,0),"")</f>
        <v/>
      </c>
      <c r="BG178" s="133" t="str">
        <f>IF($A178&lt;&gt;0,VLOOKUP($A178,'0.Productos'!$A$3:$GG$587,'0.Productos'!CY$1+1,0),"")</f>
        <v/>
      </c>
      <c r="BH178" s="133" t="str">
        <f>IF($A178&lt;&gt;0,VLOOKUP($A178,'0.Productos'!$A$3:$GG$587,'0.Productos'!CZ$1+1,0),"")</f>
        <v/>
      </c>
      <c r="BI178" s="133" t="str">
        <f>IF($A178&lt;&gt;0,VLOOKUP($A178,'0.Productos'!$A$3:$GG$587,'0.Productos'!DA$1+1,0),"")</f>
        <v/>
      </c>
      <c r="BJ178" s="133" t="str">
        <f>IF($A178&lt;&gt;0,VLOOKUP($A178,'0.Productos'!$A$3:$GG$587,'0.Productos'!DB$1+1,0),"")</f>
        <v/>
      </c>
      <c r="BK178" s="133" t="str">
        <f>IF($A178&lt;&gt;0,VLOOKUP($A178,'0.Productos'!$A$3:$GG$587,'0.Productos'!DC$1+1,0),"")</f>
        <v/>
      </c>
      <c r="BL178" s="133" t="str">
        <f>IF($A178&lt;&gt;0,VLOOKUP($A178,'0.Productos'!$A$3:$GG$587,'0.Productos'!DD$1+1,0),"")</f>
        <v/>
      </c>
      <c r="BM178" s="133" t="str">
        <f>IF($A178&lt;&gt;0,VLOOKUP($A178,'0.Productos'!$A$3:$GG$587,'0.Productos'!DE$1+1,0),"")</f>
        <v/>
      </c>
      <c r="BN178" s="133" t="str">
        <f>IF($A178&lt;&gt;0,VLOOKUP($A178,'0.Productos'!$A$3:$GG$587,'0.Productos'!DF$1+1,0),"")</f>
        <v/>
      </c>
      <c r="BO178" s="133" t="str">
        <f>IF($A178&lt;&gt;0,VLOOKUP($A178,'0.Productos'!$A$3:$GG$587,'0.Productos'!DG$1+1,0),"")</f>
        <v/>
      </c>
      <c r="BP178" s="133" t="str">
        <f>IF($A178&lt;&gt;0,VLOOKUP($A178,'0.Productos'!$A$3:$GG$587,'0.Productos'!DH$1+1,0),"")</f>
        <v/>
      </c>
      <c r="BQ178" s="133" t="str">
        <f>IF($A178&lt;&gt;0,VLOOKUP($A178,'0.Productos'!$A$3:$GG$587,'0.Productos'!DI$1+1,0),"")</f>
        <v/>
      </c>
      <c r="BR178" s="133" t="str">
        <f>IF($A178&lt;&gt;0,VLOOKUP($A178,'0.Productos'!$A$3:$GG$587,'0.Productos'!DJ$1+1,0),"")</f>
        <v/>
      </c>
      <c r="BS178" s="133" t="str">
        <f>IF($A178&lt;&gt;0,VLOOKUP($A178,'0.Productos'!$A$3:$GG$587,'0.Productos'!DK$1+1,0),"")</f>
        <v/>
      </c>
      <c r="BT178" s="133" t="str">
        <f>IF($A178&lt;&gt;0,VLOOKUP($A178,'0.Productos'!$A$3:$GG$587,'0.Productos'!DL$1+1,0),"")</f>
        <v/>
      </c>
    </row>
    <row r="179" spans="1:72" x14ac:dyDescent="0.25">
      <c r="A179" s="17">
        <f>'0.Consolidado general'!A179</f>
        <v>0</v>
      </c>
      <c r="B179" s="133" t="str">
        <f>IF($A179&lt;&gt;0,VLOOKUP($A179,'0.Productos'!$A$3:$GG$587,'0.Productos'!AT$1+1,0),"")</f>
        <v/>
      </c>
      <c r="C179" s="133" t="str">
        <f>IF($A179&lt;&gt;0,VLOOKUP($A179,'0.Productos'!$A$3:$GG$587,'0.Productos'!AU$1+1,0),"")</f>
        <v/>
      </c>
      <c r="D179" s="133" t="str">
        <f>IF($A179&lt;&gt;0,VLOOKUP($A179,'0.Productos'!$A$3:$GG$587,'0.Productos'!AV$1+1,0),"")</f>
        <v/>
      </c>
      <c r="E179" s="133" t="str">
        <f>IF($A179&lt;&gt;0,VLOOKUP($A179,'0.Productos'!$A$3:$GG$587,'0.Productos'!AW$1+1,0),"")</f>
        <v/>
      </c>
      <c r="F179" s="133" t="str">
        <f>IF($A179&lt;&gt;0,VLOOKUP($A179,'0.Productos'!$A$3:$GG$587,'0.Productos'!AX$1+1,0),"")</f>
        <v/>
      </c>
      <c r="G179" s="133" t="str">
        <f>IF($A179&lt;&gt;0,VLOOKUP($A179,'0.Productos'!$A$3:$GG$587,'0.Productos'!AY$1+1,0),"")</f>
        <v/>
      </c>
      <c r="H179" s="133" t="str">
        <f>IF($A179&lt;&gt;0,VLOOKUP($A179,'0.Productos'!$A$3:$GG$587,'0.Productos'!AZ$1+1,0),"")</f>
        <v/>
      </c>
      <c r="I179" s="133" t="str">
        <f>IF($A179&lt;&gt;0,VLOOKUP($A179,'0.Productos'!$A$3:$GG$587,'0.Productos'!BA$1+1,0),"")</f>
        <v/>
      </c>
      <c r="J179" s="133" t="str">
        <f>IF($A179&lt;&gt;0,VLOOKUP($A179,'0.Productos'!$A$3:$GG$587,'0.Productos'!BB$1+1,0),"")</f>
        <v/>
      </c>
      <c r="K179" s="133" t="str">
        <f>IF($A179&lt;&gt;0,VLOOKUP($A179,'0.Productos'!$A$3:$GG$587,'0.Productos'!BC$1+1,0),"")</f>
        <v/>
      </c>
      <c r="L179" s="133" t="str">
        <f>IF($A179&lt;&gt;0,VLOOKUP($A179,'0.Productos'!$A$3:$GG$587,'0.Productos'!BD$1+1,0),"")</f>
        <v/>
      </c>
      <c r="M179" s="133" t="str">
        <f>IF($A179&lt;&gt;0,VLOOKUP($A179,'0.Productos'!$A$3:$GG$587,'0.Productos'!BE$1+1,0),"")</f>
        <v/>
      </c>
      <c r="N179" s="133" t="str">
        <f>IF($A179&lt;&gt;0,VLOOKUP($A179,'0.Productos'!$A$3:$GG$587,'0.Productos'!BF$1+1,0),"")</f>
        <v/>
      </c>
      <c r="O179" s="133" t="str">
        <f>IF($A179&lt;&gt;0,VLOOKUP($A179,'0.Productos'!$A$3:$GG$587,'0.Productos'!BG$1+1,0),"")</f>
        <v/>
      </c>
      <c r="P179" s="133" t="str">
        <f>IF($A179&lt;&gt;0,VLOOKUP($A179,'0.Productos'!$A$3:$GG$587,'0.Productos'!BH$1+1,0),"")</f>
        <v/>
      </c>
      <c r="Q179" s="133" t="str">
        <f>IF($A179&lt;&gt;0,VLOOKUP($A179,'0.Productos'!$A$3:$GG$587,'0.Productos'!BI$1+1,0),"")</f>
        <v/>
      </c>
      <c r="R179" s="133" t="str">
        <f>IF($A179&lt;&gt;0,VLOOKUP($A179,'0.Productos'!$A$3:$GG$587,'0.Productos'!BJ$1+1,0),"")</f>
        <v/>
      </c>
      <c r="S179" s="133" t="str">
        <f>IF($A179&lt;&gt;0,VLOOKUP($A179,'0.Productos'!$A$3:$GG$587,'0.Productos'!BK$1+1,0),"")</f>
        <v/>
      </c>
      <c r="T179" s="133" t="str">
        <f>IF($A179&lt;&gt;0,VLOOKUP($A179,'0.Productos'!$A$3:$GG$587,'0.Productos'!BL$1+1,0),"")</f>
        <v/>
      </c>
      <c r="U179" s="133" t="str">
        <f>IF($A179&lt;&gt;0,VLOOKUP($A179,'0.Productos'!$A$3:$GG$587,'0.Productos'!BM$1+1,0),"")</f>
        <v/>
      </c>
      <c r="V179" s="133" t="str">
        <f>IF($A179&lt;&gt;0,VLOOKUP($A179,'0.Productos'!$A$3:$GG$587,'0.Productos'!BN$1+1,0),"")</f>
        <v/>
      </c>
      <c r="W179" s="133" t="str">
        <f>IF($A179&lt;&gt;0,VLOOKUP($A179,'0.Productos'!$A$3:$GG$587,'0.Productos'!BO$1+1,0),"")</f>
        <v/>
      </c>
      <c r="X179" s="133" t="str">
        <f>IF($A179&lt;&gt;0,VLOOKUP($A179,'0.Productos'!$A$3:$GG$587,'0.Productos'!BP$1+1,0),"")</f>
        <v/>
      </c>
      <c r="Y179" s="133" t="str">
        <f>IF($A179&lt;&gt;0,VLOOKUP($A179,'0.Productos'!$A$3:$GG$587,'0.Productos'!BQ$1+1,0),"")</f>
        <v/>
      </c>
      <c r="Z179" s="133" t="str">
        <f>IF($A179&lt;&gt;0,VLOOKUP($A179,'0.Productos'!$A$3:$GG$587,'0.Productos'!BR$1+1,0),"")</f>
        <v/>
      </c>
      <c r="AA179" s="133" t="str">
        <f>IF($A179&lt;&gt;0,VLOOKUP($A179,'0.Productos'!$A$3:$GG$587,'0.Productos'!BS$1+1,0),"")</f>
        <v/>
      </c>
      <c r="AB179" s="133" t="str">
        <f>IF($A179&lt;&gt;0,VLOOKUP($A179,'0.Productos'!$A$3:$GG$587,'0.Productos'!BT$1+1,0),"")</f>
        <v/>
      </c>
      <c r="AC179" s="133" t="str">
        <f>IF($A179&lt;&gt;0,VLOOKUP($A179,'0.Productos'!$A$3:$GG$587,'0.Productos'!BU$1+1,0),"")</f>
        <v/>
      </c>
      <c r="AD179" s="133" t="str">
        <f>IF($A179&lt;&gt;0,VLOOKUP($A179,'0.Productos'!$A$3:$GG$587,'0.Productos'!BV$1+1,0),"")</f>
        <v/>
      </c>
      <c r="AE179" s="133" t="str">
        <f>IF($A179&lt;&gt;0,VLOOKUP($A179,'0.Productos'!$A$3:$GG$587,'0.Productos'!BW$1+1,0),"")</f>
        <v/>
      </c>
      <c r="AF179" s="133" t="str">
        <f>IF($A179&lt;&gt;0,VLOOKUP($A179,'0.Productos'!$A$3:$GG$587,'0.Productos'!BX$1+1,0),"")</f>
        <v/>
      </c>
      <c r="AG179" s="133" t="str">
        <f>IF($A179&lt;&gt;0,VLOOKUP($A179,'0.Productos'!$A$3:$GG$587,'0.Productos'!BY$1+1,0),"")</f>
        <v/>
      </c>
      <c r="AH179" s="133" t="str">
        <f>IF($A179&lt;&gt;0,VLOOKUP($A179,'0.Productos'!$A$3:$GG$587,'0.Productos'!BZ$1+1,0),"")</f>
        <v/>
      </c>
      <c r="AI179" s="133" t="str">
        <f>IF($A179&lt;&gt;0,VLOOKUP($A179,'0.Productos'!$A$3:$GG$587,'0.Productos'!CA$1+1,0),"")</f>
        <v/>
      </c>
      <c r="AJ179" s="133" t="str">
        <f>IF($A179&lt;&gt;0,VLOOKUP($A179,'0.Productos'!$A$3:$GG$587,'0.Productos'!CB$1+1,0),"")</f>
        <v/>
      </c>
      <c r="AK179" s="133" t="str">
        <f>IF($A179&lt;&gt;0,VLOOKUP($A179,'0.Productos'!$A$3:$GG$587,'0.Productos'!CC$1+1,0),"")</f>
        <v/>
      </c>
      <c r="AL179" s="133" t="str">
        <f>IF($A179&lt;&gt;0,VLOOKUP($A179,'0.Productos'!$A$3:$GG$587,'0.Productos'!CD$1+1,0),"")</f>
        <v/>
      </c>
      <c r="AM179" s="133" t="str">
        <f>IF($A179&lt;&gt;0,VLOOKUP($A179,'0.Productos'!$A$3:$GG$587,'0.Productos'!CE$1+1,0),"")</f>
        <v/>
      </c>
      <c r="AN179" s="133" t="str">
        <f>IF($A179&lt;&gt;0,VLOOKUP($A179,'0.Productos'!$A$3:$GG$587,'0.Productos'!CF$1+1,0),"")</f>
        <v/>
      </c>
      <c r="AO179" s="133" t="str">
        <f>IF($A179&lt;&gt;0,VLOOKUP($A179,'0.Productos'!$A$3:$GG$587,'0.Productos'!CG$1+1,0),"")</f>
        <v/>
      </c>
      <c r="AP179" s="133" t="str">
        <f>IF($A179&lt;&gt;0,VLOOKUP($A179,'0.Productos'!$A$3:$GG$587,'0.Productos'!CH$1+1,0),"")</f>
        <v/>
      </c>
      <c r="AQ179" s="133" t="str">
        <f>IF($A179&lt;&gt;0,VLOOKUP($A179,'0.Productos'!$A$3:$GG$587,'0.Productos'!CI$1+1,0),"")</f>
        <v/>
      </c>
      <c r="AR179" s="133" t="str">
        <f>IF($A179&lt;&gt;0,VLOOKUP($A179,'0.Productos'!$A$3:$GG$587,'0.Productos'!CJ$1+1,0),"")</f>
        <v/>
      </c>
      <c r="AS179" s="133" t="str">
        <f>IF($A179&lt;&gt;0,VLOOKUP($A179,'0.Productos'!$A$3:$GG$587,'0.Productos'!CK$1+1,0),"")</f>
        <v/>
      </c>
      <c r="AT179" s="133" t="str">
        <f>IF($A179&lt;&gt;0,VLOOKUP($A179,'0.Productos'!$A$3:$GG$587,'0.Productos'!CL$1+1,0),"")</f>
        <v/>
      </c>
      <c r="AU179" s="133" t="str">
        <f>IF($A179&lt;&gt;0,VLOOKUP($A179,'0.Productos'!$A$3:$GG$587,'0.Productos'!CM$1+1,0),"")</f>
        <v/>
      </c>
      <c r="AV179" s="133" t="str">
        <f>IF($A179&lt;&gt;0,VLOOKUP($A179,'0.Productos'!$A$3:$GG$587,'0.Productos'!CN$1+1,0),"")</f>
        <v/>
      </c>
      <c r="AW179" s="133" t="str">
        <f>IF($A179&lt;&gt;0,VLOOKUP($A179,'0.Productos'!$A$3:$GG$587,'0.Productos'!CO$1+1,0),"")</f>
        <v/>
      </c>
      <c r="AX179" s="133" t="str">
        <f>IF($A179&lt;&gt;0,VLOOKUP($A179,'0.Productos'!$A$3:$GG$587,'0.Productos'!CP$1+1,0),"")</f>
        <v/>
      </c>
      <c r="AY179" s="133" t="str">
        <f>IF($A179&lt;&gt;0,VLOOKUP($A179,'0.Productos'!$A$3:$GG$587,'0.Productos'!CQ$1+1,0),"")</f>
        <v/>
      </c>
      <c r="AZ179" s="133" t="str">
        <f>IF($A179&lt;&gt;0,VLOOKUP($A179,'0.Productos'!$A$3:$GG$587,'0.Productos'!CR$1+1,0),"")</f>
        <v/>
      </c>
      <c r="BA179" s="133" t="str">
        <f>IF($A179&lt;&gt;0,VLOOKUP($A179,'0.Productos'!$A$3:$GG$587,'0.Productos'!CS$1+1,0),"")</f>
        <v/>
      </c>
      <c r="BB179" s="133" t="str">
        <f>IF($A179&lt;&gt;0,VLOOKUP($A179,'0.Productos'!$A$3:$GG$587,'0.Productos'!CT$1+1,0),"")</f>
        <v/>
      </c>
      <c r="BC179" s="133" t="str">
        <f>IF($A179&lt;&gt;0,VLOOKUP($A179,'0.Productos'!$A$3:$GG$587,'0.Productos'!CU$1+1,0),"")</f>
        <v/>
      </c>
      <c r="BD179" s="133" t="str">
        <f>IF($A179&lt;&gt;0,VLOOKUP($A179,'0.Productos'!$A$3:$GG$587,'0.Productos'!CV$1+1,0),"")</f>
        <v/>
      </c>
      <c r="BE179" s="133" t="str">
        <f>IF($A179&lt;&gt;0,VLOOKUP($A179,'0.Productos'!$A$3:$GG$587,'0.Productos'!CW$1+1,0),"")</f>
        <v/>
      </c>
      <c r="BF179" s="133" t="str">
        <f>IF($A179&lt;&gt;0,VLOOKUP($A179,'0.Productos'!$A$3:$GG$587,'0.Productos'!CX$1+1,0),"")</f>
        <v/>
      </c>
      <c r="BG179" s="133" t="str">
        <f>IF($A179&lt;&gt;0,VLOOKUP($A179,'0.Productos'!$A$3:$GG$587,'0.Productos'!CY$1+1,0),"")</f>
        <v/>
      </c>
      <c r="BH179" s="133" t="str">
        <f>IF($A179&lt;&gt;0,VLOOKUP($A179,'0.Productos'!$A$3:$GG$587,'0.Productos'!CZ$1+1,0),"")</f>
        <v/>
      </c>
      <c r="BI179" s="133" t="str">
        <f>IF($A179&lt;&gt;0,VLOOKUP($A179,'0.Productos'!$A$3:$GG$587,'0.Productos'!DA$1+1,0),"")</f>
        <v/>
      </c>
      <c r="BJ179" s="133" t="str">
        <f>IF($A179&lt;&gt;0,VLOOKUP($A179,'0.Productos'!$A$3:$GG$587,'0.Productos'!DB$1+1,0),"")</f>
        <v/>
      </c>
      <c r="BK179" s="133" t="str">
        <f>IF($A179&lt;&gt;0,VLOOKUP($A179,'0.Productos'!$A$3:$GG$587,'0.Productos'!DC$1+1,0),"")</f>
        <v/>
      </c>
      <c r="BL179" s="133" t="str">
        <f>IF($A179&lt;&gt;0,VLOOKUP($A179,'0.Productos'!$A$3:$GG$587,'0.Productos'!DD$1+1,0),"")</f>
        <v/>
      </c>
      <c r="BM179" s="133" t="str">
        <f>IF($A179&lt;&gt;0,VLOOKUP($A179,'0.Productos'!$A$3:$GG$587,'0.Productos'!DE$1+1,0),"")</f>
        <v/>
      </c>
      <c r="BN179" s="133" t="str">
        <f>IF($A179&lt;&gt;0,VLOOKUP($A179,'0.Productos'!$A$3:$GG$587,'0.Productos'!DF$1+1,0),"")</f>
        <v/>
      </c>
      <c r="BO179" s="133" t="str">
        <f>IF($A179&lt;&gt;0,VLOOKUP($A179,'0.Productos'!$A$3:$GG$587,'0.Productos'!DG$1+1,0),"")</f>
        <v/>
      </c>
      <c r="BP179" s="133" t="str">
        <f>IF($A179&lt;&gt;0,VLOOKUP($A179,'0.Productos'!$A$3:$GG$587,'0.Productos'!DH$1+1,0),"")</f>
        <v/>
      </c>
      <c r="BQ179" s="133" t="str">
        <f>IF($A179&lt;&gt;0,VLOOKUP($A179,'0.Productos'!$A$3:$GG$587,'0.Productos'!DI$1+1,0),"")</f>
        <v/>
      </c>
      <c r="BR179" s="133" t="str">
        <f>IF($A179&lt;&gt;0,VLOOKUP($A179,'0.Productos'!$A$3:$GG$587,'0.Productos'!DJ$1+1,0),"")</f>
        <v/>
      </c>
      <c r="BS179" s="133" t="str">
        <f>IF($A179&lt;&gt;0,VLOOKUP($A179,'0.Productos'!$A$3:$GG$587,'0.Productos'!DK$1+1,0),"")</f>
        <v/>
      </c>
      <c r="BT179" s="133" t="str">
        <f>IF($A179&lt;&gt;0,VLOOKUP($A179,'0.Productos'!$A$3:$GG$587,'0.Productos'!DL$1+1,0),"")</f>
        <v/>
      </c>
    </row>
    <row r="180" spans="1:72" x14ac:dyDescent="0.25">
      <c r="A180" s="17">
        <f>'0.Consolidado general'!A180</f>
        <v>0</v>
      </c>
      <c r="B180" s="133" t="str">
        <f>IF($A180&lt;&gt;0,VLOOKUP($A180,'0.Productos'!$A$3:$GG$587,'0.Productos'!AT$1+1,0),"")</f>
        <v/>
      </c>
      <c r="C180" s="133" t="str">
        <f>IF($A180&lt;&gt;0,VLOOKUP($A180,'0.Productos'!$A$3:$GG$587,'0.Productos'!AU$1+1,0),"")</f>
        <v/>
      </c>
      <c r="D180" s="133" t="str">
        <f>IF($A180&lt;&gt;0,VLOOKUP($A180,'0.Productos'!$A$3:$GG$587,'0.Productos'!AV$1+1,0),"")</f>
        <v/>
      </c>
      <c r="E180" s="133" t="str">
        <f>IF($A180&lt;&gt;0,VLOOKUP($A180,'0.Productos'!$A$3:$GG$587,'0.Productos'!AW$1+1,0),"")</f>
        <v/>
      </c>
      <c r="F180" s="133" t="str">
        <f>IF($A180&lt;&gt;0,VLOOKUP($A180,'0.Productos'!$A$3:$GG$587,'0.Productos'!AX$1+1,0),"")</f>
        <v/>
      </c>
      <c r="G180" s="133" t="str">
        <f>IF($A180&lt;&gt;0,VLOOKUP($A180,'0.Productos'!$A$3:$GG$587,'0.Productos'!AY$1+1,0),"")</f>
        <v/>
      </c>
      <c r="H180" s="133" t="str">
        <f>IF($A180&lt;&gt;0,VLOOKUP($A180,'0.Productos'!$A$3:$GG$587,'0.Productos'!AZ$1+1,0),"")</f>
        <v/>
      </c>
      <c r="I180" s="133" t="str">
        <f>IF($A180&lt;&gt;0,VLOOKUP($A180,'0.Productos'!$A$3:$GG$587,'0.Productos'!BA$1+1,0),"")</f>
        <v/>
      </c>
      <c r="J180" s="133" t="str">
        <f>IF($A180&lt;&gt;0,VLOOKUP($A180,'0.Productos'!$A$3:$GG$587,'0.Productos'!BB$1+1,0),"")</f>
        <v/>
      </c>
      <c r="K180" s="133" t="str">
        <f>IF($A180&lt;&gt;0,VLOOKUP($A180,'0.Productos'!$A$3:$GG$587,'0.Productos'!BC$1+1,0),"")</f>
        <v/>
      </c>
      <c r="L180" s="133" t="str">
        <f>IF($A180&lt;&gt;0,VLOOKUP($A180,'0.Productos'!$A$3:$GG$587,'0.Productos'!BD$1+1,0),"")</f>
        <v/>
      </c>
      <c r="M180" s="133" t="str">
        <f>IF($A180&lt;&gt;0,VLOOKUP($A180,'0.Productos'!$A$3:$GG$587,'0.Productos'!BE$1+1,0),"")</f>
        <v/>
      </c>
      <c r="N180" s="133" t="str">
        <f>IF($A180&lt;&gt;0,VLOOKUP($A180,'0.Productos'!$A$3:$GG$587,'0.Productos'!BF$1+1,0),"")</f>
        <v/>
      </c>
      <c r="O180" s="133" t="str">
        <f>IF($A180&lt;&gt;0,VLOOKUP($A180,'0.Productos'!$A$3:$GG$587,'0.Productos'!BG$1+1,0),"")</f>
        <v/>
      </c>
      <c r="P180" s="133" t="str">
        <f>IF($A180&lt;&gt;0,VLOOKUP($A180,'0.Productos'!$A$3:$GG$587,'0.Productos'!BH$1+1,0),"")</f>
        <v/>
      </c>
      <c r="Q180" s="133" t="str">
        <f>IF($A180&lt;&gt;0,VLOOKUP($A180,'0.Productos'!$A$3:$GG$587,'0.Productos'!BI$1+1,0),"")</f>
        <v/>
      </c>
      <c r="R180" s="133" t="str">
        <f>IF($A180&lt;&gt;0,VLOOKUP($A180,'0.Productos'!$A$3:$GG$587,'0.Productos'!BJ$1+1,0),"")</f>
        <v/>
      </c>
      <c r="S180" s="133" t="str">
        <f>IF($A180&lt;&gt;0,VLOOKUP($A180,'0.Productos'!$A$3:$GG$587,'0.Productos'!BK$1+1,0),"")</f>
        <v/>
      </c>
      <c r="T180" s="133" t="str">
        <f>IF($A180&lt;&gt;0,VLOOKUP($A180,'0.Productos'!$A$3:$GG$587,'0.Productos'!BL$1+1,0),"")</f>
        <v/>
      </c>
      <c r="U180" s="133" t="str">
        <f>IF($A180&lt;&gt;0,VLOOKUP($A180,'0.Productos'!$A$3:$GG$587,'0.Productos'!BM$1+1,0),"")</f>
        <v/>
      </c>
      <c r="V180" s="133" t="str">
        <f>IF($A180&lt;&gt;0,VLOOKUP($A180,'0.Productos'!$A$3:$GG$587,'0.Productos'!BN$1+1,0),"")</f>
        <v/>
      </c>
      <c r="W180" s="133" t="str">
        <f>IF($A180&lt;&gt;0,VLOOKUP($A180,'0.Productos'!$A$3:$GG$587,'0.Productos'!BO$1+1,0),"")</f>
        <v/>
      </c>
      <c r="X180" s="133" t="str">
        <f>IF($A180&lt;&gt;0,VLOOKUP($A180,'0.Productos'!$A$3:$GG$587,'0.Productos'!BP$1+1,0),"")</f>
        <v/>
      </c>
      <c r="Y180" s="133" t="str">
        <f>IF($A180&lt;&gt;0,VLOOKUP($A180,'0.Productos'!$A$3:$GG$587,'0.Productos'!BQ$1+1,0),"")</f>
        <v/>
      </c>
      <c r="Z180" s="133" t="str">
        <f>IF($A180&lt;&gt;0,VLOOKUP($A180,'0.Productos'!$A$3:$GG$587,'0.Productos'!BR$1+1,0),"")</f>
        <v/>
      </c>
      <c r="AA180" s="133" t="str">
        <f>IF($A180&lt;&gt;0,VLOOKUP($A180,'0.Productos'!$A$3:$GG$587,'0.Productos'!BS$1+1,0),"")</f>
        <v/>
      </c>
      <c r="AB180" s="133" t="str">
        <f>IF($A180&lt;&gt;0,VLOOKUP($A180,'0.Productos'!$A$3:$GG$587,'0.Productos'!BT$1+1,0),"")</f>
        <v/>
      </c>
      <c r="AC180" s="133" t="str">
        <f>IF($A180&lt;&gt;0,VLOOKUP($A180,'0.Productos'!$A$3:$GG$587,'0.Productos'!BU$1+1,0),"")</f>
        <v/>
      </c>
      <c r="AD180" s="133" t="str">
        <f>IF($A180&lt;&gt;0,VLOOKUP($A180,'0.Productos'!$A$3:$GG$587,'0.Productos'!BV$1+1,0),"")</f>
        <v/>
      </c>
      <c r="AE180" s="133" t="str">
        <f>IF($A180&lt;&gt;0,VLOOKUP($A180,'0.Productos'!$A$3:$GG$587,'0.Productos'!BW$1+1,0),"")</f>
        <v/>
      </c>
      <c r="AF180" s="133" t="str">
        <f>IF($A180&lt;&gt;0,VLOOKUP($A180,'0.Productos'!$A$3:$GG$587,'0.Productos'!BX$1+1,0),"")</f>
        <v/>
      </c>
      <c r="AG180" s="133" t="str">
        <f>IF($A180&lt;&gt;0,VLOOKUP($A180,'0.Productos'!$A$3:$GG$587,'0.Productos'!BY$1+1,0),"")</f>
        <v/>
      </c>
      <c r="AH180" s="133" t="str">
        <f>IF($A180&lt;&gt;0,VLOOKUP($A180,'0.Productos'!$A$3:$GG$587,'0.Productos'!BZ$1+1,0),"")</f>
        <v/>
      </c>
      <c r="AI180" s="133" t="str">
        <f>IF($A180&lt;&gt;0,VLOOKUP($A180,'0.Productos'!$A$3:$GG$587,'0.Productos'!CA$1+1,0),"")</f>
        <v/>
      </c>
      <c r="AJ180" s="133" t="str">
        <f>IF($A180&lt;&gt;0,VLOOKUP($A180,'0.Productos'!$A$3:$GG$587,'0.Productos'!CB$1+1,0),"")</f>
        <v/>
      </c>
      <c r="AK180" s="133" t="str">
        <f>IF($A180&lt;&gt;0,VLOOKUP($A180,'0.Productos'!$A$3:$GG$587,'0.Productos'!CC$1+1,0),"")</f>
        <v/>
      </c>
      <c r="AL180" s="133" t="str">
        <f>IF($A180&lt;&gt;0,VLOOKUP($A180,'0.Productos'!$A$3:$GG$587,'0.Productos'!CD$1+1,0),"")</f>
        <v/>
      </c>
      <c r="AM180" s="133" t="str">
        <f>IF($A180&lt;&gt;0,VLOOKUP($A180,'0.Productos'!$A$3:$GG$587,'0.Productos'!CE$1+1,0),"")</f>
        <v/>
      </c>
      <c r="AN180" s="133" t="str">
        <f>IF($A180&lt;&gt;0,VLOOKUP($A180,'0.Productos'!$A$3:$GG$587,'0.Productos'!CF$1+1,0),"")</f>
        <v/>
      </c>
      <c r="AO180" s="133" t="str">
        <f>IF($A180&lt;&gt;0,VLOOKUP($A180,'0.Productos'!$A$3:$GG$587,'0.Productos'!CG$1+1,0),"")</f>
        <v/>
      </c>
      <c r="AP180" s="133" t="str">
        <f>IF($A180&lt;&gt;0,VLOOKUP($A180,'0.Productos'!$A$3:$GG$587,'0.Productos'!CH$1+1,0),"")</f>
        <v/>
      </c>
      <c r="AQ180" s="133" t="str">
        <f>IF($A180&lt;&gt;0,VLOOKUP($A180,'0.Productos'!$A$3:$GG$587,'0.Productos'!CI$1+1,0),"")</f>
        <v/>
      </c>
      <c r="AR180" s="133" t="str">
        <f>IF($A180&lt;&gt;0,VLOOKUP($A180,'0.Productos'!$A$3:$GG$587,'0.Productos'!CJ$1+1,0),"")</f>
        <v/>
      </c>
      <c r="AS180" s="133" t="str">
        <f>IF($A180&lt;&gt;0,VLOOKUP($A180,'0.Productos'!$A$3:$GG$587,'0.Productos'!CK$1+1,0),"")</f>
        <v/>
      </c>
      <c r="AT180" s="133" t="str">
        <f>IF($A180&lt;&gt;0,VLOOKUP($A180,'0.Productos'!$A$3:$GG$587,'0.Productos'!CL$1+1,0),"")</f>
        <v/>
      </c>
      <c r="AU180" s="133" t="str">
        <f>IF($A180&lt;&gt;0,VLOOKUP($A180,'0.Productos'!$A$3:$GG$587,'0.Productos'!CM$1+1,0),"")</f>
        <v/>
      </c>
      <c r="AV180" s="133" t="str">
        <f>IF($A180&lt;&gt;0,VLOOKUP($A180,'0.Productos'!$A$3:$GG$587,'0.Productos'!CN$1+1,0),"")</f>
        <v/>
      </c>
      <c r="AW180" s="133" t="str">
        <f>IF($A180&lt;&gt;0,VLOOKUP($A180,'0.Productos'!$A$3:$GG$587,'0.Productos'!CO$1+1,0),"")</f>
        <v/>
      </c>
      <c r="AX180" s="133" t="str">
        <f>IF($A180&lt;&gt;0,VLOOKUP($A180,'0.Productos'!$A$3:$GG$587,'0.Productos'!CP$1+1,0),"")</f>
        <v/>
      </c>
      <c r="AY180" s="133" t="str">
        <f>IF($A180&lt;&gt;0,VLOOKUP($A180,'0.Productos'!$A$3:$GG$587,'0.Productos'!CQ$1+1,0),"")</f>
        <v/>
      </c>
      <c r="AZ180" s="133" t="str">
        <f>IF($A180&lt;&gt;0,VLOOKUP($A180,'0.Productos'!$A$3:$GG$587,'0.Productos'!CR$1+1,0),"")</f>
        <v/>
      </c>
      <c r="BA180" s="133" t="str">
        <f>IF($A180&lt;&gt;0,VLOOKUP($A180,'0.Productos'!$A$3:$GG$587,'0.Productos'!CS$1+1,0),"")</f>
        <v/>
      </c>
      <c r="BB180" s="133" t="str">
        <f>IF($A180&lt;&gt;0,VLOOKUP($A180,'0.Productos'!$A$3:$GG$587,'0.Productos'!CT$1+1,0),"")</f>
        <v/>
      </c>
      <c r="BC180" s="133" t="str">
        <f>IF($A180&lt;&gt;0,VLOOKUP($A180,'0.Productos'!$A$3:$GG$587,'0.Productos'!CU$1+1,0),"")</f>
        <v/>
      </c>
      <c r="BD180" s="133" t="str">
        <f>IF($A180&lt;&gt;0,VLOOKUP($A180,'0.Productos'!$A$3:$GG$587,'0.Productos'!CV$1+1,0),"")</f>
        <v/>
      </c>
      <c r="BE180" s="133" t="str">
        <f>IF($A180&lt;&gt;0,VLOOKUP($A180,'0.Productos'!$A$3:$GG$587,'0.Productos'!CW$1+1,0),"")</f>
        <v/>
      </c>
      <c r="BF180" s="133" t="str">
        <f>IF($A180&lt;&gt;0,VLOOKUP($A180,'0.Productos'!$A$3:$GG$587,'0.Productos'!CX$1+1,0),"")</f>
        <v/>
      </c>
      <c r="BG180" s="133" t="str">
        <f>IF($A180&lt;&gt;0,VLOOKUP($A180,'0.Productos'!$A$3:$GG$587,'0.Productos'!CY$1+1,0),"")</f>
        <v/>
      </c>
      <c r="BH180" s="133" t="str">
        <f>IF($A180&lt;&gt;0,VLOOKUP($A180,'0.Productos'!$A$3:$GG$587,'0.Productos'!CZ$1+1,0),"")</f>
        <v/>
      </c>
      <c r="BI180" s="133" t="str">
        <f>IF($A180&lt;&gt;0,VLOOKUP($A180,'0.Productos'!$A$3:$GG$587,'0.Productos'!DA$1+1,0),"")</f>
        <v/>
      </c>
      <c r="BJ180" s="133" t="str">
        <f>IF($A180&lt;&gt;0,VLOOKUP($A180,'0.Productos'!$A$3:$GG$587,'0.Productos'!DB$1+1,0),"")</f>
        <v/>
      </c>
      <c r="BK180" s="133" t="str">
        <f>IF($A180&lt;&gt;0,VLOOKUP($A180,'0.Productos'!$A$3:$GG$587,'0.Productos'!DC$1+1,0),"")</f>
        <v/>
      </c>
      <c r="BL180" s="133" t="str">
        <f>IF($A180&lt;&gt;0,VLOOKUP($A180,'0.Productos'!$A$3:$GG$587,'0.Productos'!DD$1+1,0),"")</f>
        <v/>
      </c>
      <c r="BM180" s="133" t="str">
        <f>IF($A180&lt;&gt;0,VLOOKUP($A180,'0.Productos'!$A$3:$GG$587,'0.Productos'!DE$1+1,0),"")</f>
        <v/>
      </c>
      <c r="BN180" s="133" t="str">
        <f>IF($A180&lt;&gt;0,VLOOKUP($A180,'0.Productos'!$A$3:$GG$587,'0.Productos'!DF$1+1,0),"")</f>
        <v/>
      </c>
      <c r="BO180" s="133" t="str">
        <f>IF($A180&lt;&gt;0,VLOOKUP($A180,'0.Productos'!$A$3:$GG$587,'0.Productos'!DG$1+1,0),"")</f>
        <v/>
      </c>
      <c r="BP180" s="133" t="str">
        <f>IF($A180&lt;&gt;0,VLOOKUP($A180,'0.Productos'!$A$3:$GG$587,'0.Productos'!DH$1+1,0),"")</f>
        <v/>
      </c>
      <c r="BQ180" s="133" t="str">
        <f>IF($A180&lt;&gt;0,VLOOKUP($A180,'0.Productos'!$A$3:$GG$587,'0.Productos'!DI$1+1,0),"")</f>
        <v/>
      </c>
      <c r="BR180" s="133" t="str">
        <f>IF($A180&lt;&gt;0,VLOOKUP($A180,'0.Productos'!$A$3:$GG$587,'0.Productos'!DJ$1+1,0),"")</f>
        <v/>
      </c>
      <c r="BS180" s="133" t="str">
        <f>IF($A180&lt;&gt;0,VLOOKUP($A180,'0.Productos'!$A$3:$GG$587,'0.Productos'!DK$1+1,0),"")</f>
        <v/>
      </c>
      <c r="BT180" s="133" t="str">
        <f>IF($A180&lt;&gt;0,VLOOKUP($A180,'0.Productos'!$A$3:$GG$587,'0.Productos'!DL$1+1,0),"")</f>
        <v/>
      </c>
    </row>
    <row r="181" spans="1:72" x14ac:dyDescent="0.25">
      <c r="A181" s="17">
        <f>'0.Consolidado general'!A181</f>
        <v>0</v>
      </c>
      <c r="B181" s="133" t="str">
        <f>IF($A181&lt;&gt;0,VLOOKUP($A181,'0.Productos'!$A$3:$GG$587,'0.Productos'!AT$1+1,0),"")</f>
        <v/>
      </c>
      <c r="C181" s="133" t="str">
        <f>IF($A181&lt;&gt;0,VLOOKUP($A181,'0.Productos'!$A$3:$GG$587,'0.Productos'!AU$1+1,0),"")</f>
        <v/>
      </c>
      <c r="D181" s="133" t="str">
        <f>IF($A181&lt;&gt;0,VLOOKUP($A181,'0.Productos'!$A$3:$GG$587,'0.Productos'!AV$1+1,0),"")</f>
        <v/>
      </c>
      <c r="E181" s="133" t="str">
        <f>IF($A181&lt;&gt;0,VLOOKUP($A181,'0.Productos'!$A$3:$GG$587,'0.Productos'!AW$1+1,0),"")</f>
        <v/>
      </c>
      <c r="F181" s="133" t="str">
        <f>IF($A181&lt;&gt;0,VLOOKUP($A181,'0.Productos'!$A$3:$GG$587,'0.Productos'!AX$1+1,0),"")</f>
        <v/>
      </c>
      <c r="G181" s="133" t="str">
        <f>IF($A181&lt;&gt;0,VLOOKUP($A181,'0.Productos'!$A$3:$GG$587,'0.Productos'!AY$1+1,0),"")</f>
        <v/>
      </c>
      <c r="H181" s="133" t="str">
        <f>IF($A181&lt;&gt;0,VLOOKUP($A181,'0.Productos'!$A$3:$GG$587,'0.Productos'!AZ$1+1,0),"")</f>
        <v/>
      </c>
      <c r="I181" s="133" t="str">
        <f>IF($A181&lt;&gt;0,VLOOKUP($A181,'0.Productos'!$A$3:$GG$587,'0.Productos'!BA$1+1,0),"")</f>
        <v/>
      </c>
      <c r="J181" s="133" t="str">
        <f>IF($A181&lt;&gt;0,VLOOKUP($A181,'0.Productos'!$A$3:$GG$587,'0.Productos'!BB$1+1,0),"")</f>
        <v/>
      </c>
      <c r="K181" s="133" t="str">
        <f>IF($A181&lt;&gt;0,VLOOKUP($A181,'0.Productos'!$A$3:$GG$587,'0.Productos'!BC$1+1,0),"")</f>
        <v/>
      </c>
      <c r="L181" s="133" t="str">
        <f>IF($A181&lt;&gt;0,VLOOKUP($A181,'0.Productos'!$A$3:$GG$587,'0.Productos'!BD$1+1,0),"")</f>
        <v/>
      </c>
      <c r="M181" s="133" t="str">
        <f>IF($A181&lt;&gt;0,VLOOKUP($A181,'0.Productos'!$A$3:$GG$587,'0.Productos'!BE$1+1,0),"")</f>
        <v/>
      </c>
      <c r="N181" s="133" t="str">
        <f>IF($A181&lt;&gt;0,VLOOKUP($A181,'0.Productos'!$A$3:$GG$587,'0.Productos'!BF$1+1,0),"")</f>
        <v/>
      </c>
      <c r="O181" s="133" t="str">
        <f>IF($A181&lt;&gt;0,VLOOKUP($A181,'0.Productos'!$A$3:$GG$587,'0.Productos'!BG$1+1,0),"")</f>
        <v/>
      </c>
      <c r="P181" s="133" t="str">
        <f>IF($A181&lt;&gt;0,VLOOKUP($A181,'0.Productos'!$A$3:$GG$587,'0.Productos'!BH$1+1,0),"")</f>
        <v/>
      </c>
      <c r="Q181" s="133" t="str">
        <f>IF($A181&lt;&gt;0,VLOOKUP($A181,'0.Productos'!$A$3:$GG$587,'0.Productos'!BI$1+1,0),"")</f>
        <v/>
      </c>
      <c r="R181" s="133" t="str">
        <f>IF($A181&lt;&gt;0,VLOOKUP($A181,'0.Productos'!$A$3:$GG$587,'0.Productos'!BJ$1+1,0),"")</f>
        <v/>
      </c>
      <c r="S181" s="133" t="str">
        <f>IF($A181&lt;&gt;0,VLOOKUP($A181,'0.Productos'!$A$3:$GG$587,'0.Productos'!BK$1+1,0),"")</f>
        <v/>
      </c>
      <c r="T181" s="133" t="str">
        <f>IF($A181&lt;&gt;0,VLOOKUP($A181,'0.Productos'!$A$3:$GG$587,'0.Productos'!BL$1+1,0),"")</f>
        <v/>
      </c>
      <c r="U181" s="133" t="str">
        <f>IF($A181&lt;&gt;0,VLOOKUP($A181,'0.Productos'!$A$3:$GG$587,'0.Productos'!BM$1+1,0),"")</f>
        <v/>
      </c>
      <c r="V181" s="133" t="str">
        <f>IF($A181&lt;&gt;0,VLOOKUP($A181,'0.Productos'!$A$3:$GG$587,'0.Productos'!BN$1+1,0),"")</f>
        <v/>
      </c>
      <c r="W181" s="133" t="str">
        <f>IF($A181&lt;&gt;0,VLOOKUP($A181,'0.Productos'!$A$3:$GG$587,'0.Productos'!BO$1+1,0),"")</f>
        <v/>
      </c>
      <c r="X181" s="133" t="str">
        <f>IF($A181&lt;&gt;0,VLOOKUP($A181,'0.Productos'!$A$3:$GG$587,'0.Productos'!BP$1+1,0),"")</f>
        <v/>
      </c>
      <c r="Y181" s="133" t="str">
        <f>IF($A181&lt;&gt;0,VLOOKUP($A181,'0.Productos'!$A$3:$GG$587,'0.Productos'!BQ$1+1,0),"")</f>
        <v/>
      </c>
      <c r="Z181" s="133" t="str">
        <f>IF($A181&lt;&gt;0,VLOOKUP($A181,'0.Productos'!$A$3:$GG$587,'0.Productos'!BR$1+1,0),"")</f>
        <v/>
      </c>
      <c r="AA181" s="133" t="str">
        <f>IF($A181&lt;&gt;0,VLOOKUP($A181,'0.Productos'!$A$3:$GG$587,'0.Productos'!BS$1+1,0),"")</f>
        <v/>
      </c>
      <c r="AB181" s="133" t="str">
        <f>IF($A181&lt;&gt;0,VLOOKUP($A181,'0.Productos'!$A$3:$GG$587,'0.Productos'!BT$1+1,0),"")</f>
        <v/>
      </c>
      <c r="AC181" s="133" t="str">
        <f>IF($A181&lt;&gt;0,VLOOKUP($A181,'0.Productos'!$A$3:$GG$587,'0.Productos'!BU$1+1,0),"")</f>
        <v/>
      </c>
      <c r="AD181" s="133" t="str">
        <f>IF($A181&lt;&gt;0,VLOOKUP($A181,'0.Productos'!$A$3:$GG$587,'0.Productos'!BV$1+1,0),"")</f>
        <v/>
      </c>
      <c r="AE181" s="133" t="str">
        <f>IF($A181&lt;&gt;0,VLOOKUP($A181,'0.Productos'!$A$3:$GG$587,'0.Productos'!BW$1+1,0),"")</f>
        <v/>
      </c>
      <c r="AF181" s="133" t="str">
        <f>IF($A181&lt;&gt;0,VLOOKUP($A181,'0.Productos'!$A$3:$GG$587,'0.Productos'!BX$1+1,0),"")</f>
        <v/>
      </c>
      <c r="AG181" s="133" t="str">
        <f>IF($A181&lt;&gt;0,VLOOKUP($A181,'0.Productos'!$A$3:$GG$587,'0.Productos'!BY$1+1,0),"")</f>
        <v/>
      </c>
      <c r="AH181" s="133" t="str">
        <f>IF($A181&lt;&gt;0,VLOOKUP($A181,'0.Productos'!$A$3:$GG$587,'0.Productos'!BZ$1+1,0),"")</f>
        <v/>
      </c>
      <c r="AI181" s="133" t="str">
        <f>IF($A181&lt;&gt;0,VLOOKUP($A181,'0.Productos'!$A$3:$GG$587,'0.Productos'!CA$1+1,0),"")</f>
        <v/>
      </c>
      <c r="AJ181" s="133" t="str">
        <f>IF($A181&lt;&gt;0,VLOOKUP($A181,'0.Productos'!$A$3:$GG$587,'0.Productos'!CB$1+1,0),"")</f>
        <v/>
      </c>
      <c r="AK181" s="133" t="str">
        <f>IF($A181&lt;&gt;0,VLOOKUP($A181,'0.Productos'!$A$3:$GG$587,'0.Productos'!CC$1+1,0),"")</f>
        <v/>
      </c>
      <c r="AL181" s="133" t="str">
        <f>IF($A181&lt;&gt;0,VLOOKUP($A181,'0.Productos'!$A$3:$GG$587,'0.Productos'!CD$1+1,0),"")</f>
        <v/>
      </c>
      <c r="AM181" s="133" t="str">
        <f>IF($A181&lt;&gt;0,VLOOKUP($A181,'0.Productos'!$A$3:$GG$587,'0.Productos'!CE$1+1,0),"")</f>
        <v/>
      </c>
      <c r="AN181" s="133" t="str">
        <f>IF($A181&lt;&gt;0,VLOOKUP($A181,'0.Productos'!$A$3:$GG$587,'0.Productos'!CF$1+1,0),"")</f>
        <v/>
      </c>
      <c r="AO181" s="133" t="str">
        <f>IF($A181&lt;&gt;0,VLOOKUP($A181,'0.Productos'!$A$3:$GG$587,'0.Productos'!CG$1+1,0),"")</f>
        <v/>
      </c>
      <c r="AP181" s="133" t="str">
        <f>IF($A181&lt;&gt;0,VLOOKUP($A181,'0.Productos'!$A$3:$GG$587,'0.Productos'!CH$1+1,0),"")</f>
        <v/>
      </c>
      <c r="AQ181" s="133" t="str">
        <f>IF($A181&lt;&gt;0,VLOOKUP($A181,'0.Productos'!$A$3:$GG$587,'0.Productos'!CI$1+1,0),"")</f>
        <v/>
      </c>
      <c r="AR181" s="133" t="str">
        <f>IF($A181&lt;&gt;0,VLOOKUP($A181,'0.Productos'!$A$3:$GG$587,'0.Productos'!CJ$1+1,0),"")</f>
        <v/>
      </c>
      <c r="AS181" s="133" t="str">
        <f>IF($A181&lt;&gt;0,VLOOKUP($A181,'0.Productos'!$A$3:$GG$587,'0.Productos'!CK$1+1,0),"")</f>
        <v/>
      </c>
      <c r="AT181" s="133" t="str">
        <f>IF($A181&lt;&gt;0,VLOOKUP($A181,'0.Productos'!$A$3:$GG$587,'0.Productos'!CL$1+1,0),"")</f>
        <v/>
      </c>
      <c r="AU181" s="133" t="str">
        <f>IF($A181&lt;&gt;0,VLOOKUP($A181,'0.Productos'!$A$3:$GG$587,'0.Productos'!CM$1+1,0),"")</f>
        <v/>
      </c>
      <c r="AV181" s="133" t="str">
        <f>IF($A181&lt;&gt;0,VLOOKUP($A181,'0.Productos'!$A$3:$GG$587,'0.Productos'!CN$1+1,0),"")</f>
        <v/>
      </c>
      <c r="AW181" s="133" t="str">
        <f>IF($A181&lt;&gt;0,VLOOKUP($A181,'0.Productos'!$A$3:$GG$587,'0.Productos'!CO$1+1,0),"")</f>
        <v/>
      </c>
      <c r="AX181" s="133" t="str">
        <f>IF($A181&lt;&gt;0,VLOOKUP($A181,'0.Productos'!$A$3:$GG$587,'0.Productos'!CP$1+1,0),"")</f>
        <v/>
      </c>
      <c r="AY181" s="133" t="str">
        <f>IF($A181&lt;&gt;0,VLOOKUP($A181,'0.Productos'!$A$3:$GG$587,'0.Productos'!CQ$1+1,0),"")</f>
        <v/>
      </c>
      <c r="AZ181" s="133" t="str">
        <f>IF($A181&lt;&gt;0,VLOOKUP($A181,'0.Productos'!$A$3:$GG$587,'0.Productos'!CR$1+1,0),"")</f>
        <v/>
      </c>
      <c r="BA181" s="133" t="str">
        <f>IF($A181&lt;&gt;0,VLOOKUP($A181,'0.Productos'!$A$3:$GG$587,'0.Productos'!CS$1+1,0),"")</f>
        <v/>
      </c>
      <c r="BB181" s="133" t="str">
        <f>IF($A181&lt;&gt;0,VLOOKUP($A181,'0.Productos'!$A$3:$GG$587,'0.Productos'!CT$1+1,0),"")</f>
        <v/>
      </c>
      <c r="BC181" s="133" t="str">
        <f>IF($A181&lt;&gt;0,VLOOKUP($A181,'0.Productos'!$A$3:$GG$587,'0.Productos'!CU$1+1,0),"")</f>
        <v/>
      </c>
      <c r="BD181" s="133" t="str">
        <f>IF($A181&lt;&gt;0,VLOOKUP($A181,'0.Productos'!$A$3:$GG$587,'0.Productos'!CV$1+1,0),"")</f>
        <v/>
      </c>
      <c r="BE181" s="133" t="str">
        <f>IF($A181&lt;&gt;0,VLOOKUP($A181,'0.Productos'!$A$3:$GG$587,'0.Productos'!CW$1+1,0),"")</f>
        <v/>
      </c>
      <c r="BF181" s="133" t="str">
        <f>IF($A181&lt;&gt;0,VLOOKUP($A181,'0.Productos'!$A$3:$GG$587,'0.Productos'!CX$1+1,0),"")</f>
        <v/>
      </c>
      <c r="BG181" s="133" t="str">
        <f>IF($A181&lt;&gt;0,VLOOKUP($A181,'0.Productos'!$A$3:$GG$587,'0.Productos'!CY$1+1,0),"")</f>
        <v/>
      </c>
      <c r="BH181" s="133" t="str">
        <f>IF($A181&lt;&gt;0,VLOOKUP($A181,'0.Productos'!$A$3:$GG$587,'0.Productos'!CZ$1+1,0),"")</f>
        <v/>
      </c>
      <c r="BI181" s="133" t="str">
        <f>IF($A181&lt;&gt;0,VLOOKUP($A181,'0.Productos'!$A$3:$GG$587,'0.Productos'!DA$1+1,0),"")</f>
        <v/>
      </c>
      <c r="BJ181" s="133" t="str">
        <f>IF($A181&lt;&gt;0,VLOOKUP($A181,'0.Productos'!$A$3:$GG$587,'0.Productos'!DB$1+1,0),"")</f>
        <v/>
      </c>
      <c r="BK181" s="133" t="str">
        <f>IF($A181&lt;&gt;0,VLOOKUP($A181,'0.Productos'!$A$3:$GG$587,'0.Productos'!DC$1+1,0),"")</f>
        <v/>
      </c>
      <c r="BL181" s="133" t="str">
        <f>IF($A181&lt;&gt;0,VLOOKUP($A181,'0.Productos'!$A$3:$GG$587,'0.Productos'!DD$1+1,0),"")</f>
        <v/>
      </c>
      <c r="BM181" s="133" t="str">
        <f>IF($A181&lt;&gt;0,VLOOKUP($A181,'0.Productos'!$A$3:$GG$587,'0.Productos'!DE$1+1,0),"")</f>
        <v/>
      </c>
      <c r="BN181" s="133" t="str">
        <f>IF($A181&lt;&gt;0,VLOOKUP($A181,'0.Productos'!$A$3:$GG$587,'0.Productos'!DF$1+1,0),"")</f>
        <v/>
      </c>
      <c r="BO181" s="133" t="str">
        <f>IF($A181&lt;&gt;0,VLOOKUP($A181,'0.Productos'!$A$3:$GG$587,'0.Productos'!DG$1+1,0),"")</f>
        <v/>
      </c>
      <c r="BP181" s="133" t="str">
        <f>IF($A181&lt;&gt;0,VLOOKUP($A181,'0.Productos'!$A$3:$GG$587,'0.Productos'!DH$1+1,0),"")</f>
        <v/>
      </c>
      <c r="BQ181" s="133" t="str">
        <f>IF($A181&lt;&gt;0,VLOOKUP($A181,'0.Productos'!$A$3:$GG$587,'0.Productos'!DI$1+1,0),"")</f>
        <v/>
      </c>
      <c r="BR181" s="133" t="str">
        <f>IF($A181&lt;&gt;0,VLOOKUP($A181,'0.Productos'!$A$3:$GG$587,'0.Productos'!DJ$1+1,0),"")</f>
        <v/>
      </c>
      <c r="BS181" s="133" t="str">
        <f>IF($A181&lt;&gt;0,VLOOKUP($A181,'0.Productos'!$A$3:$GG$587,'0.Productos'!DK$1+1,0),"")</f>
        <v/>
      </c>
      <c r="BT181" s="133" t="str">
        <f>IF($A181&lt;&gt;0,VLOOKUP($A181,'0.Productos'!$A$3:$GG$587,'0.Productos'!DL$1+1,0),"")</f>
        <v/>
      </c>
    </row>
    <row r="182" spans="1:72" x14ac:dyDescent="0.25">
      <c r="A182" s="17">
        <f>'0.Consolidado general'!A182</f>
        <v>0</v>
      </c>
      <c r="B182" s="133" t="str">
        <f>IF($A182&lt;&gt;0,VLOOKUP($A182,'0.Productos'!$A$3:$GG$587,'0.Productos'!AT$1+1,0),"")</f>
        <v/>
      </c>
      <c r="C182" s="133" t="str">
        <f>IF($A182&lt;&gt;0,VLOOKUP($A182,'0.Productos'!$A$3:$GG$587,'0.Productos'!AU$1+1,0),"")</f>
        <v/>
      </c>
      <c r="D182" s="133" t="str">
        <f>IF($A182&lt;&gt;0,VLOOKUP($A182,'0.Productos'!$A$3:$GG$587,'0.Productos'!AV$1+1,0),"")</f>
        <v/>
      </c>
      <c r="E182" s="133" t="str">
        <f>IF($A182&lt;&gt;0,VLOOKUP($A182,'0.Productos'!$A$3:$GG$587,'0.Productos'!AW$1+1,0),"")</f>
        <v/>
      </c>
      <c r="F182" s="133" t="str">
        <f>IF($A182&lt;&gt;0,VLOOKUP($A182,'0.Productos'!$A$3:$GG$587,'0.Productos'!AX$1+1,0),"")</f>
        <v/>
      </c>
      <c r="G182" s="133" t="str">
        <f>IF($A182&lt;&gt;0,VLOOKUP($A182,'0.Productos'!$A$3:$GG$587,'0.Productos'!AY$1+1,0),"")</f>
        <v/>
      </c>
      <c r="H182" s="133" t="str">
        <f>IF($A182&lt;&gt;0,VLOOKUP($A182,'0.Productos'!$A$3:$GG$587,'0.Productos'!AZ$1+1,0),"")</f>
        <v/>
      </c>
      <c r="I182" s="133" t="str">
        <f>IF($A182&lt;&gt;0,VLOOKUP($A182,'0.Productos'!$A$3:$GG$587,'0.Productos'!BA$1+1,0),"")</f>
        <v/>
      </c>
      <c r="J182" s="133" t="str">
        <f>IF($A182&lt;&gt;0,VLOOKUP($A182,'0.Productos'!$A$3:$GG$587,'0.Productos'!BB$1+1,0),"")</f>
        <v/>
      </c>
      <c r="K182" s="133" t="str">
        <f>IF($A182&lt;&gt;0,VLOOKUP($A182,'0.Productos'!$A$3:$GG$587,'0.Productos'!BC$1+1,0),"")</f>
        <v/>
      </c>
      <c r="L182" s="133" t="str">
        <f>IF($A182&lt;&gt;0,VLOOKUP($A182,'0.Productos'!$A$3:$GG$587,'0.Productos'!BD$1+1,0),"")</f>
        <v/>
      </c>
      <c r="M182" s="133" t="str">
        <f>IF($A182&lt;&gt;0,VLOOKUP($A182,'0.Productos'!$A$3:$GG$587,'0.Productos'!BE$1+1,0),"")</f>
        <v/>
      </c>
      <c r="N182" s="133" t="str">
        <f>IF($A182&lt;&gt;0,VLOOKUP($A182,'0.Productos'!$A$3:$GG$587,'0.Productos'!BF$1+1,0),"")</f>
        <v/>
      </c>
      <c r="O182" s="133" t="str">
        <f>IF($A182&lt;&gt;0,VLOOKUP($A182,'0.Productos'!$A$3:$GG$587,'0.Productos'!BG$1+1,0),"")</f>
        <v/>
      </c>
      <c r="P182" s="133" t="str">
        <f>IF($A182&lt;&gt;0,VLOOKUP($A182,'0.Productos'!$A$3:$GG$587,'0.Productos'!BH$1+1,0),"")</f>
        <v/>
      </c>
      <c r="Q182" s="133" t="str">
        <f>IF($A182&lt;&gt;0,VLOOKUP($A182,'0.Productos'!$A$3:$GG$587,'0.Productos'!BI$1+1,0),"")</f>
        <v/>
      </c>
      <c r="R182" s="133" t="str">
        <f>IF($A182&lt;&gt;0,VLOOKUP($A182,'0.Productos'!$A$3:$GG$587,'0.Productos'!BJ$1+1,0),"")</f>
        <v/>
      </c>
      <c r="S182" s="133" t="str">
        <f>IF($A182&lt;&gt;0,VLOOKUP($A182,'0.Productos'!$A$3:$GG$587,'0.Productos'!BK$1+1,0),"")</f>
        <v/>
      </c>
      <c r="T182" s="133" t="str">
        <f>IF($A182&lt;&gt;0,VLOOKUP($A182,'0.Productos'!$A$3:$GG$587,'0.Productos'!BL$1+1,0),"")</f>
        <v/>
      </c>
      <c r="U182" s="133" t="str">
        <f>IF($A182&lt;&gt;0,VLOOKUP($A182,'0.Productos'!$A$3:$GG$587,'0.Productos'!BM$1+1,0),"")</f>
        <v/>
      </c>
      <c r="V182" s="133" t="str">
        <f>IF($A182&lt;&gt;0,VLOOKUP($A182,'0.Productos'!$A$3:$GG$587,'0.Productos'!BN$1+1,0),"")</f>
        <v/>
      </c>
      <c r="W182" s="133" t="str">
        <f>IF($A182&lt;&gt;0,VLOOKUP($A182,'0.Productos'!$A$3:$GG$587,'0.Productos'!BO$1+1,0),"")</f>
        <v/>
      </c>
      <c r="X182" s="133" t="str">
        <f>IF($A182&lt;&gt;0,VLOOKUP($A182,'0.Productos'!$A$3:$GG$587,'0.Productos'!BP$1+1,0),"")</f>
        <v/>
      </c>
      <c r="Y182" s="133" t="str">
        <f>IF($A182&lt;&gt;0,VLOOKUP($A182,'0.Productos'!$A$3:$GG$587,'0.Productos'!BQ$1+1,0),"")</f>
        <v/>
      </c>
      <c r="Z182" s="133" t="str">
        <f>IF($A182&lt;&gt;0,VLOOKUP($A182,'0.Productos'!$A$3:$GG$587,'0.Productos'!BR$1+1,0),"")</f>
        <v/>
      </c>
      <c r="AA182" s="133" t="str">
        <f>IF($A182&lt;&gt;0,VLOOKUP($A182,'0.Productos'!$A$3:$GG$587,'0.Productos'!BS$1+1,0),"")</f>
        <v/>
      </c>
      <c r="AB182" s="133" t="str">
        <f>IF($A182&lt;&gt;0,VLOOKUP($A182,'0.Productos'!$A$3:$GG$587,'0.Productos'!BT$1+1,0),"")</f>
        <v/>
      </c>
      <c r="AC182" s="133" t="str">
        <f>IF($A182&lt;&gt;0,VLOOKUP($A182,'0.Productos'!$A$3:$GG$587,'0.Productos'!BU$1+1,0),"")</f>
        <v/>
      </c>
      <c r="AD182" s="133" t="str">
        <f>IF($A182&lt;&gt;0,VLOOKUP($A182,'0.Productos'!$A$3:$GG$587,'0.Productos'!BV$1+1,0),"")</f>
        <v/>
      </c>
      <c r="AE182" s="133" t="str">
        <f>IF($A182&lt;&gt;0,VLOOKUP($A182,'0.Productos'!$A$3:$GG$587,'0.Productos'!BW$1+1,0),"")</f>
        <v/>
      </c>
      <c r="AF182" s="133" t="str">
        <f>IF($A182&lt;&gt;0,VLOOKUP($A182,'0.Productos'!$A$3:$GG$587,'0.Productos'!BX$1+1,0),"")</f>
        <v/>
      </c>
      <c r="AG182" s="133" t="str">
        <f>IF($A182&lt;&gt;0,VLOOKUP($A182,'0.Productos'!$A$3:$GG$587,'0.Productos'!BY$1+1,0),"")</f>
        <v/>
      </c>
      <c r="AH182" s="133" t="str">
        <f>IF($A182&lt;&gt;0,VLOOKUP($A182,'0.Productos'!$A$3:$GG$587,'0.Productos'!BZ$1+1,0),"")</f>
        <v/>
      </c>
      <c r="AI182" s="133" t="str">
        <f>IF($A182&lt;&gt;0,VLOOKUP($A182,'0.Productos'!$A$3:$GG$587,'0.Productos'!CA$1+1,0),"")</f>
        <v/>
      </c>
      <c r="AJ182" s="133" t="str">
        <f>IF($A182&lt;&gt;0,VLOOKUP($A182,'0.Productos'!$A$3:$GG$587,'0.Productos'!CB$1+1,0),"")</f>
        <v/>
      </c>
      <c r="AK182" s="133" t="str">
        <f>IF($A182&lt;&gt;0,VLOOKUP($A182,'0.Productos'!$A$3:$GG$587,'0.Productos'!CC$1+1,0),"")</f>
        <v/>
      </c>
      <c r="AL182" s="133" t="str">
        <f>IF($A182&lt;&gt;0,VLOOKUP($A182,'0.Productos'!$A$3:$GG$587,'0.Productos'!CD$1+1,0),"")</f>
        <v/>
      </c>
      <c r="AM182" s="133" t="str">
        <f>IF($A182&lt;&gt;0,VLOOKUP($A182,'0.Productos'!$A$3:$GG$587,'0.Productos'!CE$1+1,0),"")</f>
        <v/>
      </c>
      <c r="AN182" s="133" t="str">
        <f>IF($A182&lt;&gt;0,VLOOKUP($A182,'0.Productos'!$A$3:$GG$587,'0.Productos'!CF$1+1,0),"")</f>
        <v/>
      </c>
      <c r="AO182" s="133" t="str">
        <f>IF($A182&lt;&gt;0,VLOOKUP($A182,'0.Productos'!$A$3:$GG$587,'0.Productos'!CG$1+1,0),"")</f>
        <v/>
      </c>
      <c r="AP182" s="133" t="str">
        <f>IF($A182&lt;&gt;0,VLOOKUP($A182,'0.Productos'!$A$3:$GG$587,'0.Productos'!CH$1+1,0),"")</f>
        <v/>
      </c>
      <c r="AQ182" s="133" t="str">
        <f>IF($A182&lt;&gt;0,VLOOKUP($A182,'0.Productos'!$A$3:$GG$587,'0.Productos'!CI$1+1,0),"")</f>
        <v/>
      </c>
      <c r="AR182" s="133" t="str">
        <f>IF($A182&lt;&gt;0,VLOOKUP($A182,'0.Productos'!$A$3:$GG$587,'0.Productos'!CJ$1+1,0),"")</f>
        <v/>
      </c>
      <c r="AS182" s="133" t="str">
        <f>IF($A182&lt;&gt;0,VLOOKUP($A182,'0.Productos'!$A$3:$GG$587,'0.Productos'!CK$1+1,0),"")</f>
        <v/>
      </c>
      <c r="AT182" s="133" t="str">
        <f>IF($A182&lt;&gt;0,VLOOKUP($A182,'0.Productos'!$A$3:$GG$587,'0.Productos'!CL$1+1,0),"")</f>
        <v/>
      </c>
      <c r="AU182" s="133" t="str">
        <f>IF($A182&lt;&gt;0,VLOOKUP($A182,'0.Productos'!$A$3:$GG$587,'0.Productos'!CM$1+1,0),"")</f>
        <v/>
      </c>
      <c r="AV182" s="133" t="str">
        <f>IF($A182&lt;&gt;0,VLOOKUP($A182,'0.Productos'!$A$3:$GG$587,'0.Productos'!CN$1+1,0),"")</f>
        <v/>
      </c>
      <c r="AW182" s="133" t="str">
        <f>IF($A182&lt;&gt;0,VLOOKUP($A182,'0.Productos'!$A$3:$GG$587,'0.Productos'!CO$1+1,0),"")</f>
        <v/>
      </c>
      <c r="AX182" s="133" t="str">
        <f>IF($A182&lt;&gt;0,VLOOKUP($A182,'0.Productos'!$A$3:$GG$587,'0.Productos'!CP$1+1,0),"")</f>
        <v/>
      </c>
      <c r="AY182" s="133" t="str">
        <f>IF($A182&lt;&gt;0,VLOOKUP($A182,'0.Productos'!$A$3:$GG$587,'0.Productos'!CQ$1+1,0),"")</f>
        <v/>
      </c>
      <c r="AZ182" s="133" t="str">
        <f>IF($A182&lt;&gt;0,VLOOKUP($A182,'0.Productos'!$A$3:$GG$587,'0.Productos'!CR$1+1,0),"")</f>
        <v/>
      </c>
      <c r="BA182" s="133" t="str">
        <f>IF($A182&lt;&gt;0,VLOOKUP($A182,'0.Productos'!$A$3:$GG$587,'0.Productos'!CS$1+1,0),"")</f>
        <v/>
      </c>
      <c r="BB182" s="133" t="str">
        <f>IF($A182&lt;&gt;0,VLOOKUP($A182,'0.Productos'!$A$3:$GG$587,'0.Productos'!CT$1+1,0),"")</f>
        <v/>
      </c>
      <c r="BC182" s="133" t="str">
        <f>IF($A182&lt;&gt;0,VLOOKUP($A182,'0.Productos'!$A$3:$GG$587,'0.Productos'!CU$1+1,0),"")</f>
        <v/>
      </c>
      <c r="BD182" s="133" t="str">
        <f>IF($A182&lt;&gt;0,VLOOKUP($A182,'0.Productos'!$A$3:$GG$587,'0.Productos'!CV$1+1,0),"")</f>
        <v/>
      </c>
      <c r="BE182" s="133" t="str">
        <f>IF($A182&lt;&gt;0,VLOOKUP($A182,'0.Productos'!$A$3:$GG$587,'0.Productos'!CW$1+1,0),"")</f>
        <v/>
      </c>
      <c r="BF182" s="133" t="str">
        <f>IF($A182&lt;&gt;0,VLOOKUP($A182,'0.Productos'!$A$3:$GG$587,'0.Productos'!CX$1+1,0),"")</f>
        <v/>
      </c>
      <c r="BG182" s="133" t="str">
        <f>IF($A182&lt;&gt;0,VLOOKUP($A182,'0.Productos'!$A$3:$GG$587,'0.Productos'!CY$1+1,0),"")</f>
        <v/>
      </c>
      <c r="BH182" s="133" t="str">
        <f>IF($A182&lt;&gt;0,VLOOKUP($A182,'0.Productos'!$A$3:$GG$587,'0.Productos'!CZ$1+1,0),"")</f>
        <v/>
      </c>
      <c r="BI182" s="133" t="str">
        <f>IF($A182&lt;&gt;0,VLOOKUP($A182,'0.Productos'!$A$3:$GG$587,'0.Productos'!DA$1+1,0),"")</f>
        <v/>
      </c>
      <c r="BJ182" s="133" t="str">
        <f>IF($A182&lt;&gt;0,VLOOKUP($A182,'0.Productos'!$A$3:$GG$587,'0.Productos'!DB$1+1,0),"")</f>
        <v/>
      </c>
      <c r="BK182" s="133" t="str">
        <f>IF($A182&lt;&gt;0,VLOOKUP($A182,'0.Productos'!$A$3:$GG$587,'0.Productos'!DC$1+1,0),"")</f>
        <v/>
      </c>
      <c r="BL182" s="133" t="str">
        <f>IF($A182&lt;&gt;0,VLOOKUP($A182,'0.Productos'!$A$3:$GG$587,'0.Productos'!DD$1+1,0),"")</f>
        <v/>
      </c>
      <c r="BM182" s="133" t="str">
        <f>IF($A182&lt;&gt;0,VLOOKUP($A182,'0.Productos'!$A$3:$GG$587,'0.Productos'!DE$1+1,0),"")</f>
        <v/>
      </c>
      <c r="BN182" s="133" t="str">
        <f>IF($A182&lt;&gt;0,VLOOKUP($A182,'0.Productos'!$A$3:$GG$587,'0.Productos'!DF$1+1,0),"")</f>
        <v/>
      </c>
      <c r="BO182" s="133" t="str">
        <f>IF($A182&lt;&gt;0,VLOOKUP($A182,'0.Productos'!$A$3:$GG$587,'0.Productos'!DG$1+1,0),"")</f>
        <v/>
      </c>
      <c r="BP182" s="133" t="str">
        <f>IF($A182&lt;&gt;0,VLOOKUP($A182,'0.Productos'!$A$3:$GG$587,'0.Productos'!DH$1+1,0),"")</f>
        <v/>
      </c>
      <c r="BQ182" s="133" t="str">
        <f>IF($A182&lt;&gt;0,VLOOKUP($A182,'0.Productos'!$A$3:$GG$587,'0.Productos'!DI$1+1,0),"")</f>
        <v/>
      </c>
      <c r="BR182" s="133" t="str">
        <f>IF($A182&lt;&gt;0,VLOOKUP($A182,'0.Productos'!$A$3:$GG$587,'0.Productos'!DJ$1+1,0),"")</f>
        <v/>
      </c>
      <c r="BS182" s="133" t="str">
        <f>IF($A182&lt;&gt;0,VLOOKUP($A182,'0.Productos'!$A$3:$GG$587,'0.Productos'!DK$1+1,0),"")</f>
        <v/>
      </c>
      <c r="BT182" s="133" t="str">
        <f>IF($A182&lt;&gt;0,VLOOKUP($A182,'0.Productos'!$A$3:$GG$587,'0.Productos'!DL$1+1,0),"")</f>
        <v/>
      </c>
    </row>
    <row r="183" spans="1:72" x14ac:dyDescent="0.25">
      <c r="A183" s="17">
        <f>'0.Consolidado general'!A183</f>
        <v>0</v>
      </c>
      <c r="B183" s="133" t="str">
        <f>IF($A183&lt;&gt;0,VLOOKUP($A183,'0.Productos'!$A$3:$GG$587,'0.Productos'!AT$1+1,0),"")</f>
        <v/>
      </c>
      <c r="C183" s="133" t="str">
        <f>IF($A183&lt;&gt;0,VLOOKUP($A183,'0.Productos'!$A$3:$GG$587,'0.Productos'!AU$1+1,0),"")</f>
        <v/>
      </c>
      <c r="D183" s="133" t="str">
        <f>IF($A183&lt;&gt;0,VLOOKUP($A183,'0.Productos'!$A$3:$GG$587,'0.Productos'!AV$1+1,0),"")</f>
        <v/>
      </c>
      <c r="E183" s="133" t="str">
        <f>IF($A183&lt;&gt;0,VLOOKUP($A183,'0.Productos'!$A$3:$GG$587,'0.Productos'!AW$1+1,0),"")</f>
        <v/>
      </c>
      <c r="F183" s="133" t="str">
        <f>IF($A183&lt;&gt;0,VLOOKUP($A183,'0.Productos'!$A$3:$GG$587,'0.Productos'!AX$1+1,0),"")</f>
        <v/>
      </c>
      <c r="G183" s="133" t="str">
        <f>IF($A183&lt;&gt;0,VLOOKUP($A183,'0.Productos'!$A$3:$GG$587,'0.Productos'!AY$1+1,0),"")</f>
        <v/>
      </c>
      <c r="H183" s="133" t="str">
        <f>IF($A183&lt;&gt;0,VLOOKUP($A183,'0.Productos'!$A$3:$GG$587,'0.Productos'!AZ$1+1,0),"")</f>
        <v/>
      </c>
      <c r="I183" s="133" t="str">
        <f>IF($A183&lt;&gt;0,VLOOKUP($A183,'0.Productos'!$A$3:$GG$587,'0.Productos'!BA$1+1,0),"")</f>
        <v/>
      </c>
      <c r="J183" s="133" t="str">
        <f>IF($A183&lt;&gt;0,VLOOKUP($A183,'0.Productos'!$A$3:$GG$587,'0.Productos'!BB$1+1,0),"")</f>
        <v/>
      </c>
      <c r="K183" s="133" t="str">
        <f>IF($A183&lt;&gt;0,VLOOKUP($A183,'0.Productos'!$A$3:$GG$587,'0.Productos'!BC$1+1,0),"")</f>
        <v/>
      </c>
      <c r="L183" s="133" t="str">
        <f>IF($A183&lt;&gt;0,VLOOKUP($A183,'0.Productos'!$A$3:$GG$587,'0.Productos'!BD$1+1,0),"")</f>
        <v/>
      </c>
      <c r="M183" s="133" t="str">
        <f>IF($A183&lt;&gt;0,VLOOKUP($A183,'0.Productos'!$A$3:$GG$587,'0.Productos'!BE$1+1,0),"")</f>
        <v/>
      </c>
      <c r="N183" s="133" t="str">
        <f>IF($A183&lt;&gt;0,VLOOKUP($A183,'0.Productos'!$A$3:$GG$587,'0.Productos'!BF$1+1,0),"")</f>
        <v/>
      </c>
      <c r="O183" s="133" t="str">
        <f>IF($A183&lt;&gt;0,VLOOKUP($A183,'0.Productos'!$A$3:$GG$587,'0.Productos'!BG$1+1,0),"")</f>
        <v/>
      </c>
      <c r="P183" s="133" t="str">
        <f>IF($A183&lt;&gt;0,VLOOKUP($A183,'0.Productos'!$A$3:$GG$587,'0.Productos'!BH$1+1,0),"")</f>
        <v/>
      </c>
      <c r="Q183" s="133" t="str">
        <f>IF($A183&lt;&gt;0,VLOOKUP($A183,'0.Productos'!$A$3:$GG$587,'0.Productos'!BI$1+1,0),"")</f>
        <v/>
      </c>
      <c r="R183" s="133" t="str">
        <f>IF($A183&lt;&gt;0,VLOOKUP($A183,'0.Productos'!$A$3:$GG$587,'0.Productos'!BJ$1+1,0),"")</f>
        <v/>
      </c>
      <c r="S183" s="133" t="str">
        <f>IF($A183&lt;&gt;0,VLOOKUP($A183,'0.Productos'!$A$3:$GG$587,'0.Productos'!BK$1+1,0),"")</f>
        <v/>
      </c>
      <c r="T183" s="133" t="str">
        <f>IF($A183&lt;&gt;0,VLOOKUP($A183,'0.Productos'!$A$3:$GG$587,'0.Productos'!BL$1+1,0),"")</f>
        <v/>
      </c>
      <c r="U183" s="133" t="str">
        <f>IF($A183&lt;&gt;0,VLOOKUP($A183,'0.Productos'!$A$3:$GG$587,'0.Productos'!BM$1+1,0),"")</f>
        <v/>
      </c>
      <c r="V183" s="133" t="str">
        <f>IF($A183&lt;&gt;0,VLOOKUP($A183,'0.Productos'!$A$3:$GG$587,'0.Productos'!BN$1+1,0),"")</f>
        <v/>
      </c>
      <c r="W183" s="133" t="str">
        <f>IF($A183&lt;&gt;0,VLOOKUP($A183,'0.Productos'!$A$3:$GG$587,'0.Productos'!BO$1+1,0),"")</f>
        <v/>
      </c>
      <c r="X183" s="133" t="str">
        <f>IF($A183&lt;&gt;0,VLOOKUP($A183,'0.Productos'!$A$3:$GG$587,'0.Productos'!BP$1+1,0),"")</f>
        <v/>
      </c>
      <c r="Y183" s="133" t="str">
        <f>IF($A183&lt;&gt;0,VLOOKUP($A183,'0.Productos'!$A$3:$GG$587,'0.Productos'!BQ$1+1,0),"")</f>
        <v/>
      </c>
      <c r="Z183" s="133" t="str">
        <f>IF($A183&lt;&gt;0,VLOOKUP($A183,'0.Productos'!$A$3:$GG$587,'0.Productos'!BR$1+1,0),"")</f>
        <v/>
      </c>
      <c r="AA183" s="133" t="str">
        <f>IF($A183&lt;&gt;0,VLOOKUP($A183,'0.Productos'!$A$3:$GG$587,'0.Productos'!BS$1+1,0),"")</f>
        <v/>
      </c>
      <c r="AB183" s="133" t="str">
        <f>IF($A183&lt;&gt;0,VLOOKUP($A183,'0.Productos'!$A$3:$GG$587,'0.Productos'!BT$1+1,0),"")</f>
        <v/>
      </c>
      <c r="AC183" s="133" t="str">
        <f>IF($A183&lt;&gt;0,VLOOKUP($A183,'0.Productos'!$A$3:$GG$587,'0.Productos'!BU$1+1,0),"")</f>
        <v/>
      </c>
      <c r="AD183" s="133" t="str">
        <f>IF($A183&lt;&gt;0,VLOOKUP($A183,'0.Productos'!$A$3:$GG$587,'0.Productos'!BV$1+1,0),"")</f>
        <v/>
      </c>
      <c r="AE183" s="133" t="str">
        <f>IF($A183&lt;&gt;0,VLOOKUP($A183,'0.Productos'!$A$3:$GG$587,'0.Productos'!BW$1+1,0),"")</f>
        <v/>
      </c>
      <c r="AF183" s="133" t="str">
        <f>IF($A183&lt;&gt;0,VLOOKUP($A183,'0.Productos'!$A$3:$GG$587,'0.Productos'!BX$1+1,0),"")</f>
        <v/>
      </c>
      <c r="AG183" s="133" t="str">
        <f>IF($A183&lt;&gt;0,VLOOKUP($A183,'0.Productos'!$A$3:$GG$587,'0.Productos'!BY$1+1,0),"")</f>
        <v/>
      </c>
      <c r="AH183" s="133" t="str">
        <f>IF($A183&lt;&gt;0,VLOOKUP($A183,'0.Productos'!$A$3:$GG$587,'0.Productos'!BZ$1+1,0),"")</f>
        <v/>
      </c>
      <c r="AI183" s="133" t="str">
        <f>IF($A183&lt;&gt;0,VLOOKUP($A183,'0.Productos'!$A$3:$GG$587,'0.Productos'!CA$1+1,0),"")</f>
        <v/>
      </c>
      <c r="AJ183" s="133" t="str">
        <f>IF($A183&lt;&gt;0,VLOOKUP($A183,'0.Productos'!$A$3:$GG$587,'0.Productos'!CB$1+1,0),"")</f>
        <v/>
      </c>
      <c r="AK183" s="133" t="str">
        <f>IF($A183&lt;&gt;0,VLOOKUP($A183,'0.Productos'!$A$3:$GG$587,'0.Productos'!CC$1+1,0),"")</f>
        <v/>
      </c>
      <c r="AL183" s="133" t="str">
        <f>IF($A183&lt;&gt;0,VLOOKUP($A183,'0.Productos'!$A$3:$GG$587,'0.Productos'!CD$1+1,0),"")</f>
        <v/>
      </c>
      <c r="AM183" s="133" t="str">
        <f>IF($A183&lt;&gt;0,VLOOKUP($A183,'0.Productos'!$A$3:$GG$587,'0.Productos'!CE$1+1,0),"")</f>
        <v/>
      </c>
      <c r="AN183" s="133" t="str">
        <f>IF($A183&lt;&gt;0,VLOOKUP($A183,'0.Productos'!$A$3:$GG$587,'0.Productos'!CF$1+1,0),"")</f>
        <v/>
      </c>
      <c r="AO183" s="133" t="str">
        <f>IF($A183&lt;&gt;0,VLOOKUP($A183,'0.Productos'!$A$3:$GG$587,'0.Productos'!CG$1+1,0),"")</f>
        <v/>
      </c>
      <c r="AP183" s="133" t="str">
        <f>IF($A183&lt;&gt;0,VLOOKUP($A183,'0.Productos'!$A$3:$GG$587,'0.Productos'!CH$1+1,0),"")</f>
        <v/>
      </c>
      <c r="AQ183" s="133" t="str">
        <f>IF($A183&lt;&gt;0,VLOOKUP($A183,'0.Productos'!$A$3:$GG$587,'0.Productos'!CI$1+1,0),"")</f>
        <v/>
      </c>
      <c r="AR183" s="133" t="str">
        <f>IF($A183&lt;&gt;0,VLOOKUP($A183,'0.Productos'!$A$3:$GG$587,'0.Productos'!CJ$1+1,0),"")</f>
        <v/>
      </c>
      <c r="AS183" s="133" t="str">
        <f>IF($A183&lt;&gt;0,VLOOKUP($A183,'0.Productos'!$A$3:$GG$587,'0.Productos'!CK$1+1,0),"")</f>
        <v/>
      </c>
      <c r="AT183" s="133" t="str">
        <f>IF($A183&lt;&gt;0,VLOOKUP($A183,'0.Productos'!$A$3:$GG$587,'0.Productos'!CL$1+1,0),"")</f>
        <v/>
      </c>
      <c r="AU183" s="133" t="str">
        <f>IF($A183&lt;&gt;0,VLOOKUP($A183,'0.Productos'!$A$3:$GG$587,'0.Productos'!CM$1+1,0),"")</f>
        <v/>
      </c>
      <c r="AV183" s="133" t="str">
        <f>IF($A183&lt;&gt;0,VLOOKUP($A183,'0.Productos'!$A$3:$GG$587,'0.Productos'!CN$1+1,0),"")</f>
        <v/>
      </c>
      <c r="AW183" s="133" t="str">
        <f>IF($A183&lt;&gt;0,VLOOKUP($A183,'0.Productos'!$A$3:$GG$587,'0.Productos'!CO$1+1,0),"")</f>
        <v/>
      </c>
      <c r="AX183" s="133" t="str">
        <f>IF($A183&lt;&gt;0,VLOOKUP($A183,'0.Productos'!$A$3:$GG$587,'0.Productos'!CP$1+1,0),"")</f>
        <v/>
      </c>
      <c r="AY183" s="133" t="str">
        <f>IF($A183&lt;&gt;0,VLOOKUP($A183,'0.Productos'!$A$3:$GG$587,'0.Productos'!CQ$1+1,0),"")</f>
        <v/>
      </c>
      <c r="AZ183" s="133" t="str">
        <f>IF($A183&lt;&gt;0,VLOOKUP($A183,'0.Productos'!$A$3:$GG$587,'0.Productos'!CR$1+1,0),"")</f>
        <v/>
      </c>
      <c r="BA183" s="133" t="str">
        <f>IF($A183&lt;&gt;0,VLOOKUP($A183,'0.Productos'!$A$3:$GG$587,'0.Productos'!CS$1+1,0),"")</f>
        <v/>
      </c>
      <c r="BB183" s="133" t="str">
        <f>IF($A183&lt;&gt;0,VLOOKUP($A183,'0.Productos'!$A$3:$GG$587,'0.Productos'!CT$1+1,0),"")</f>
        <v/>
      </c>
      <c r="BC183" s="133" t="str">
        <f>IF($A183&lt;&gt;0,VLOOKUP($A183,'0.Productos'!$A$3:$GG$587,'0.Productos'!CU$1+1,0),"")</f>
        <v/>
      </c>
      <c r="BD183" s="133" t="str">
        <f>IF($A183&lt;&gt;0,VLOOKUP($A183,'0.Productos'!$A$3:$GG$587,'0.Productos'!CV$1+1,0),"")</f>
        <v/>
      </c>
      <c r="BE183" s="133" t="str">
        <f>IF($A183&lt;&gt;0,VLOOKUP($A183,'0.Productos'!$A$3:$GG$587,'0.Productos'!CW$1+1,0),"")</f>
        <v/>
      </c>
      <c r="BF183" s="133" t="str">
        <f>IF($A183&lt;&gt;0,VLOOKUP($A183,'0.Productos'!$A$3:$GG$587,'0.Productos'!CX$1+1,0),"")</f>
        <v/>
      </c>
      <c r="BG183" s="133" t="str">
        <f>IF($A183&lt;&gt;0,VLOOKUP($A183,'0.Productos'!$A$3:$GG$587,'0.Productos'!CY$1+1,0),"")</f>
        <v/>
      </c>
      <c r="BH183" s="133" t="str">
        <f>IF($A183&lt;&gt;0,VLOOKUP($A183,'0.Productos'!$A$3:$GG$587,'0.Productos'!CZ$1+1,0),"")</f>
        <v/>
      </c>
      <c r="BI183" s="133" t="str">
        <f>IF($A183&lt;&gt;0,VLOOKUP($A183,'0.Productos'!$A$3:$GG$587,'0.Productos'!DA$1+1,0),"")</f>
        <v/>
      </c>
      <c r="BJ183" s="133" t="str">
        <f>IF($A183&lt;&gt;0,VLOOKUP($A183,'0.Productos'!$A$3:$GG$587,'0.Productos'!DB$1+1,0),"")</f>
        <v/>
      </c>
      <c r="BK183" s="133" t="str">
        <f>IF($A183&lt;&gt;0,VLOOKUP($A183,'0.Productos'!$A$3:$GG$587,'0.Productos'!DC$1+1,0),"")</f>
        <v/>
      </c>
      <c r="BL183" s="133" t="str">
        <f>IF($A183&lt;&gt;0,VLOOKUP($A183,'0.Productos'!$A$3:$GG$587,'0.Productos'!DD$1+1,0),"")</f>
        <v/>
      </c>
      <c r="BM183" s="133" t="str">
        <f>IF($A183&lt;&gt;0,VLOOKUP($A183,'0.Productos'!$A$3:$GG$587,'0.Productos'!DE$1+1,0),"")</f>
        <v/>
      </c>
      <c r="BN183" s="133" t="str">
        <f>IF($A183&lt;&gt;0,VLOOKUP($A183,'0.Productos'!$A$3:$GG$587,'0.Productos'!DF$1+1,0),"")</f>
        <v/>
      </c>
      <c r="BO183" s="133" t="str">
        <f>IF($A183&lt;&gt;0,VLOOKUP($A183,'0.Productos'!$A$3:$GG$587,'0.Productos'!DG$1+1,0),"")</f>
        <v/>
      </c>
      <c r="BP183" s="133" t="str">
        <f>IF($A183&lt;&gt;0,VLOOKUP($A183,'0.Productos'!$A$3:$GG$587,'0.Productos'!DH$1+1,0),"")</f>
        <v/>
      </c>
      <c r="BQ183" s="133" t="str">
        <f>IF($A183&lt;&gt;0,VLOOKUP($A183,'0.Productos'!$A$3:$GG$587,'0.Productos'!DI$1+1,0),"")</f>
        <v/>
      </c>
      <c r="BR183" s="133" t="str">
        <f>IF($A183&lt;&gt;0,VLOOKUP($A183,'0.Productos'!$A$3:$GG$587,'0.Productos'!DJ$1+1,0),"")</f>
        <v/>
      </c>
      <c r="BS183" s="133" t="str">
        <f>IF($A183&lt;&gt;0,VLOOKUP($A183,'0.Productos'!$A$3:$GG$587,'0.Productos'!DK$1+1,0),"")</f>
        <v/>
      </c>
      <c r="BT183" s="133" t="str">
        <f>IF($A183&lt;&gt;0,VLOOKUP($A183,'0.Productos'!$A$3:$GG$587,'0.Productos'!DL$1+1,0),"")</f>
        <v/>
      </c>
    </row>
    <row r="184" spans="1:72" x14ac:dyDescent="0.25">
      <c r="A184" s="17">
        <f>'0.Consolidado general'!A184</f>
        <v>0</v>
      </c>
      <c r="B184" s="133" t="str">
        <f>IF($A184&lt;&gt;0,VLOOKUP($A184,'0.Productos'!$A$3:$GG$587,'0.Productos'!AT$1+1,0),"")</f>
        <v/>
      </c>
      <c r="C184" s="133" t="str">
        <f>IF($A184&lt;&gt;0,VLOOKUP($A184,'0.Productos'!$A$3:$GG$587,'0.Productos'!AU$1+1,0),"")</f>
        <v/>
      </c>
      <c r="D184" s="133" t="str">
        <f>IF($A184&lt;&gt;0,VLOOKUP($A184,'0.Productos'!$A$3:$GG$587,'0.Productos'!AV$1+1,0),"")</f>
        <v/>
      </c>
      <c r="E184" s="133" t="str">
        <f>IF($A184&lt;&gt;0,VLOOKUP($A184,'0.Productos'!$A$3:$GG$587,'0.Productos'!AW$1+1,0),"")</f>
        <v/>
      </c>
      <c r="F184" s="133" t="str">
        <f>IF($A184&lt;&gt;0,VLOOKUP($A184,'0.Productos'!$A$3:$GG$587,'0.Productos'!AX$1+1,0),"")</f>
        <v/>
      </c>
      <c r="G184" s="133" t="str">
        <f>IF($A184&lt;&gt;0,VLOOKUP($A184,'0.Productos'!$A$3:$GG$587,'0.Productos'!AY$1+1,0),"")</f>
        <v/>
      </c>
      <c r="H184" s="133" t="str">
        <f>IF($A184&lt;&gt;0,VLOOKUP($A184,'0.Productos'!$A$3:$GG$587,'0.Productos'!AZ$1+1,0),"")</f>
        <v/>
      </c>
      <c r="I184" s="133" t="str">
        <f>IF($A184&lt;&gt;0,VLOOKUP($A184,'0.Productos'!$A$3:$GG$587,'0.Productos'!BA$1+1,0),"")</f>
        <v/>
      </c>
      <c r="J184" s="133" t="str">
        <f>IF($A184&lt;&gt;0,VLOOKUP($A184,'0.Productos'!$A$3:$GG$587,'0.Productos'!BB$1+1,0),"")</f>
        <v/>
      </c>
      <c r="K184" s="133" t="str">
        <f>IF($A184&lt;&gt;0,VLOOKUP($A184,'0.Productos'!$A$3:$GG$587,'0.Productos'!BC$1+1,0),"")</f>
        <v/>
      </c>
      <c r="L184" s="133" t="str">
        <f>IF($A184&lt;&gt;0,VLOOKUP($A184,'0.Productos'!$A$3:$GG$587,'0.Productos'!BD$1+1,0),"")</f>
        <v/>
      </c>
      <c r="M184" s="133" t="str">
        <f>IF($A184&lt;&gt;0,VLOOKUP($A184,'0.Productos'!$A$3:$GG$587,'0.Productos'!BE$1+1,0),"")</f>
        <v/>
      </c>
      <c r="N184" s="133" t="str">
        <f>IF($A184&lt;&gt;0,VLOOKUP($A184,'0.Productos'!$A$3:$GG$587,'0.Productos'!BF$1+1,0),"")</f>
        <v/>
      </c>
      <c r="O184" s="133" t="str">
        <f>IF($A184&lt;&gt;0,VLOOKUP($A184,'0.Productos'!$A$3:$GG$587,'0.Productos'!BG$1+1,0),"")</f>
        <v/>
      </c>
      <c r="P184" s="133" t="str">
        <f>IF($A184&lt;&gt;0,VLOOKUP($A184,'0.Productos'!$A$3:$GG$587,'0.Productos'!BH$1+1,0),"")</f>
        <v/>
      </c>
      <c r="Q184" s="133" t="str">
        <f>IF($A184&lt;&gt;0,VLOOKUP($A184,'0.Productos'!$A$3:$GG$587,'0.Productos'!BI$1+1,0),"")</f>
        <v/>
      </c>
      <c r="R184" s="133" t="str">
        <f>IF($A184&lt;&gt;0,VLOOKUP($A184,'0.Productos'!$A$3:$GG$587,'0.Productos'!BJ$1+1,0),"")</f>
        <v/>
      </c>
      <c r="S184" s="133" t="str">
        <f>IF($A184&lt;&gt;0,VLOOKUP($A184,'0.Productos'!$A$3:$GG$587,'0.Productos'!BK$1+1,0),"")</f>
        <v/>
      </c>
      <c r="T184" s="133" t="str">
        <f>IF($A184&lt;&gt;0,VLOOKUP($A184,'0.Productos'!$A$3:$GG$587,'0.Productos'!BL$1+1,0),"")</f>
        <v/>
      </c>
      <c r="U184" s="133" t="str">
        <f>IF($A184&lt;&gt;0,VLOOKUP($A184,'0.Productos'!$A$3:$GG$587,'0.Productos'!BM$1+1,0),"")</f>
        <v/>
      </c>
      <c r="V184" s="133" t="str">
        <f>IF($A184&lt;&gt;0,VLOOKUP($A184,'0.Productos'!$A$3:$GG$587,'0.Productos'!BN$1+1,0),"")</f>
        <v/>
      </c>
      <c r="W184" s="133" t="str">
        <f>IF($A184&lt;&gt;0,VLOOKUP($A184,'0.Productos'!$A$3:$GG$587,'0.Productos'!BO$1+1,0),"")</f>
        <v/>
      </c>
      <c r="X184" s="133" t="str">
        <f>IF($A184&lt;&gt;0,VLOOKUP($A184,'0.Productos'!$A$3:$GG$587,'0.Productos'!BP$1+1,0),"")</f>
        <v/>
      </c>
      <c r="Y184" s="133" t="str">
        <f>IF($A184&lt;&gt;0,VLOOKUP($A184,'0.Productos'!$A$3:$GG$587,'0.Productos'!BQ$1+1,0),"")</f>
        <v/>
      </c>
      <c r="Z184" s="133" t="str">
        <f>IF($A184&lt;&gt;0,VLOOKUP($A184,'0.Productos'!$A$3:$GG$587,'0.Productos'!BR$1+1,0),"")</f>
        <v/>
      </c>
      <c r="AA184" s="133" t="str">
        <f>IF($A184&lt;&gt;0,VLOOKUP($A184,'0.Productos'!$A$3:$GG$587,'0.Productos'!BS$1+1,0),"")</f>
        <v/>
      </c>
      <c r="AB184" s="133" t="str">
        <f>IF($A184&lt;&gt;0,VLOOKUP($A184,'0.Productos'!$A$3:$GG$587,'0.Productos'!BT$1+1,0),"")</f>
        <v/>
      </c>
      <c r="AC184" s="133" t="str">
        <f>IF($A184&lt;&gt;0,VLOOKUP($A184,'0.Productos'!$A$3:$GG$587,'0.Productos'!BU$1+1,0),"")</f>
        <v/>
      </c>
      <c r="AD184" s="133" t="str">
        <f>IF($A184&lt;&gt;0,VLOOKUP($A184,'0.Productos'!$A$3:$GG$587,'0.Productos'!BV$1+1,0),"")</f>
        <v/>
      </c>
      <c r="AE184" s="133" t="str">
        <f>IF($A184&lt;&gt;0,VLOOKUP($A184,'0.Productos'!$A$3:$GG$587,'0.Productos'!BW$1+1,0),"")</f>
        <v/>
      </c>
      <c r="AF184" s="133" t="str">
        <f>IF($A184&lt;&gt;0,VLOOKUP($A184,'0.Productos'!$A$3:$GG$587,'0.Productos'!BX$1+1,0),"")</f>
        <v/>
      </c>
      <c r="AG184" s="133" t="str">
        <f>IF($A184&lt;&gt;0,VLOOKUP($A184,'0.Productos'!$A$3:$GG$587,'0.Productos'!BY$1+1,0),"")</f>
        <v/>
      </c>
      <c r="AH184" s="133" t="str">
        <f>IF($A184&lt;&gt;0,VLOOKUP($A184,'0.Productos'!$A$3:$GG$587,'0.Productos'!BZ$1+1,0),"")</f>
        <v/>
      </c>
      <c r="AI184" s="133" t="str">
        <f>IF($A184&lt;&gt;0,VLOOKUP($A184,'0.Productos'!$A$3:$GG$587,'0.Productos'!CA$1+1,0),"")</f>
        <v/>
      </c>
      <c r="AJ184" s="133" t="str">
        <f>IF($A184&lt;&gt;0,VLOOKUP($A184,'0.Productos'!$A$3:$GG$587,'0.Productos'!CB$1+1,0),"")</f>
        <v/>
      </c>
      <c r="AK184" s="133" t="str">
        <f>IF($A184&lt;&gt;0,VLOOKUP($A184,'0.Productos'!$A$3:$GG$587,'0.Productos'!CC$1+1,0),"")</f>
        <v/>
      </c>
      <c r="AL184" s="133" t="str">
        <f>IF($A184&lt;&gt;0,VLOOKUP($A184,'0.Productos'!$A$3:$GG$587,'0.Productos'!CD$1+1,0),"")</f>
        <v/>
      </c>
      <c r="AM184" s="133" t="str">
        <f>IF($A184&lt;&gt;0,VLOOKUP($A184,'0.Productos'!$A$3:$GG$587,'0.Productos'!CE$1+1,0),"")</f>
        <v/>
      </c>
      <c r="AN184" s="133" t="str">
        <f>IF($A184&lt;&gt;0,VLOOKUP($A184,'0.Productos'!$A$3:$GG$587,'0.Productos'!CF$1+1,0),"")</f>
        <v/>
      </c>
      <c r="AO184" s="133" t="str">
        <f>IF($A184&lt;&gt;0,VLOOKUP($A184,'0.Productos'!$A$3:$GG$587,'0.Productos'!CG$1+1,0),"")</f>
        <v/>
      </c>
      <c r="AP184" s="133" t="str">
        <f>IF($A184&lt;&gt;0,VLOOKUP($A184,'0.Productos'!$A$3:$GG$587,'0.Productos'!CH$1+1,0),"")</f>
        <v/>
      </c>
      <c r="AQ184" s="133" t="str">
        <f>IF($A184&lt;&gt;0,VLOOKUP($A184,'0.Productos'!$A$3:$GG$587,'0.Productos'!CI$1+1,0),"")</f>
        <v/>
      </c>
      <c r="AR184" s="133" t="str">
        <f>IF($A184&lt;&gt;0,VLOOKUP($A184,'0.Productos'!$A$3:$GG$587,'0.Productos'!CJ$1+1,0),"")</f>
        <v/>
      </c>
      <c r="AS184" s="133" t="str">
        <f>IF($A184&lt;&gt;0,VLOOKUP($A184,'0.Productos'!$A$3:$GG$587,'0.Productos'!CK$1+1,0),"")</f>
        <v/>
      </c>
      <c r="AT184" s="133" t="str">
        <f>IF($A184&lt;&gt;0,VLOOKUP($A184,'0.Productos'!$A$3:$GG$587,'0.Productos'!CL$1+1,0),"")</f>
        <v/>
      </c>
      <c r="AU184" s="133" t="str">
        <f>IF($A184&lt;&gt;0,VLOOKUP($A184,'0.Productos'!$A$3:$GG$587,'0.Productos'!CM$1+1,0),"")</f>
        <v/>
      </c>
      <c r="AV184" s="133" t="str">
        <f>IF($A184&lt;&gt;0,VLOOKUP($A184,'0.Productos'!$A$3:$GG$587,'0.Productos'!CN$1+1,0),"")</f>
        <v/>
      </c>
      <c r="AW184" s="133" t="str">
        <f>IF($A184&lt;&gt;0,VLOOKUP($A184,'0.Productos'!$A$3:$GG$587,'0.Productos'!CO$1+1,0),"")</f>
        <v/>
      </c>
      <c r="AX184" s="133" t="str">
        <f>IF($A184&lt;&gt;0,VLOOKUP($A184,'0.Productos'!$A$3:$GG$587,'0.Productos'!CP$1+1,0),"")</f>
        <v/>
      </c>
      <c r="AY184" s="133" t="str">
        <f>IF($A184&lt;&gt;0,VLOOKUP($A184,'0.Productos'!$A$3:$GG$587,'0.Productos'!CQ$1+1,0),"")</f>
        <v/>
      </c>
      <c r="AZ184" s="133" t="str">
        <f>IF($A184&lt;&gt;0,VLOOKUP($A184,'0.Productos'!$A$3:$GG$587,'0.Productos'!CR$1+1,0),"")</f>
        <v/>
      </c>
      <c r="BA184" s="133" t="str">
        <f>IF($A184&lt;&gt;0,VLOOKUP($A184,'0.Productos'!$A$3:$GG$587,'0.Productos'!CS$1+1,0),"")</f>
        <v/>
      </c>
      <c r="BB184" s="133" t="str">
        <f>IF($A184&lt;&gt;0,VLOOKUP($A184,'0.Productos'!$A$3:$GG$587,'0.Productos'!CT$1+1,0),"")</f>
        <v/>
      </c>
      <c r="BC184" s="133" t="str">
        <f>IF($A184&lt;&gt;0,VLOOKUP($A184,'0.Productos'!$A$3:$GG$587,'0.Productos'!CU$1+1,0),"")</f>
        <v/>
      </c>
      <c r="BD184" s="133" t="str">
        <f>IF($A184&lt;&gt;0,VLOOKUP($A184,'0.Productos'!$A$3:$GG$587,'0.Productos'!CV$1+1,0),"")</f>
        <v/>
      </c>
      <c r="BE184" s="133" t="str">
        <f>IF($A184&lt;&gt;0,VLOOKUP($A184,'0.Productos'!$A$3:$GG$587,'0.Productos'!CW$1+1,0),"")</f>
        <v/>
      </c>
      <c r="BF184" s="133" t="str">
        <f>IF($A184&lt;&gt;0,VLOOKUP($A184,'0.Productos'!$A$3:$GG$587,'0.Productos'!CX$1+1,0),"")</f>
        <v/>
      </c>
      <c r="BG184" s="133" t="str">
        <f>IF($A184&lt;&gt;0,VLOOKUP($A184,'0.Productos'!$A$3:$GG$587,'0.Productos'!CY$1+1,0),"")</f>
        <v/>
      </c>
      <c r="BH184" s="133" t="str">
        <f>IF($A184&lt;&gt;0,VLOOKUP($A184,'0.Productos'!$A$3:$GG$587,'0.Productos'!CZ$1+1,0),"")</f>
        <v/>
      </c>
      <c r="BI184" s="133" t="str">
        <f>IF($A184&lt;&gt;0,VLOOKUP($A184,'0.Productos'!$A$3:$GG$587,'0.Productos'!DA$1+1,0),"")</f>
        <v/>
      </c>
      <c r="BJ184" s="133" t="str">
        <f>IF($A184&lt;&gt;0,VLOOKUP($A184,'0.Productos'!$A$3:$GG$587,'0.Productos'!DB$1+1,0),"")</f>
        <v/>
      </c>
      <c r="BK184" s="133" t="str">
        <f>IF($A184&lt;&gt;0,VLOOKUP($A184,'0.Productos'!$A$3:$GG$587,'0.Productos'!DC$1+1,0),"")</f>
        <v/>
      </c>
      <c r="BL184" s="133" t="str">
        <f>IF($A184&lt;&gt;0,VLOOKUP($A184,'0.Productos'!$A$3:$GG$587,'0.Productos'!DD$1+1,0),"")</f>
        <v/>
      </c>
      <c r="BM184" s="133" t="str">
        <f>IF($A184&lt;&gt;0,VLOOKUP($A184,'0.Productos'!$A$3:$GG$587,'0.Productos'!DE$1+1,0),"")</f>
        <v/>
      </c>
      <c r="BN184" s="133" t="str">
        <f>IF($A184&lt;&gt;0,VLOOKUP($A184,'0.Productos'!$A$3:$GG$587,'0.Productos'!DF$1+1,0),"")</f>
        <v/>
      </c>
      <c r="BO184" s="133" t="str">
        <f>IF($A184&lt;&gt;0,VLOOKUP($A184,'0.Productos'!$A$3:$GG$587,'0.Productos'!DG$1+1,0),"")</f>
        <v/>
      </c>
      <c r="BP184" s="133" t="str">
        <f>IF($A184&lt;&gt;0,VLOOKUP($A184,'0.Productos'!$A$3:$GG$587,'0.Productos'!DH$1+1,0),"")</f>
        <v/>
      </c>
      <c r="BQ184" s="133" t="str">
        <f>IF($A184&lt;&gt;0,VLOOKUP($A184,'0.Productos'!$A$3:$GG$587,'0.Productos'!DI$1+1,0),"")</f>
        <v/>
      </c>
      <c r="BR184" s="133" t="str">
        <f>IF($A184&lt;&gt;0,VLOOKUP($A184,'0.Productos'!$A$3:$GG$587,'0.Productos'!DJ$1+1,0),"")</f>
        <v/>
      </c>
      <c r="BS184" s="133" t="str">
        <f>IF($A184&lt;&gt;0,VLOOKUP($A184,'0.Productos'!$A$3:$GG$587,'0.Productos'!DK$1+1,0),"")</f>
        <v/>
      </c>
      <c r="BT184" s="133" t="str">
        <f>IF($A184&lt;&gt;0,VLOOKUP($A184,'0.Productos'!$A$3:$GG$587,'0.Productos'!DL$1+1,0),"")</f>
        <v/>
      </c>
    </row>
    <row r="185" spans="1:72" x14ac:dyDescent="0.25">
      <c r="A185" s="17">
        <f>'0.Consolidado general'!A185</f>
        <v>0</v>
      </c>
      <c r="B185" s="133" t="str">
        <f>IF($A185&lt;&gt;0,VLOOKUP($A185,'0.Productos'!$A$3:$GG$587,'0.Productos'!AT$1+1,0),"")</f>
        <v/>
      </c>
      <c r="C185" s="133" t="str">
        <f>IF($A185&lt;&gt;0,VLOOKUP($A185,'0.Productos'!$A$3:$GG$587,'0.Productos'!AU$1+1,0),"")</f>
        <v/>
      </c>
      <c r="D185" s="133" t="str">
        <f>IF($A185&lt;&gt;0,VLOOKUP($A185,'0.Productos'!$A$3:$GG$587,'0.Productos'!AV$1+1,0),"")</f>
        <v/>
      </c>
      <c r="E185" s="133" t="str">
        <f>IF($A185&lt;&gt;0,VLOOKUP($A185,'0.Productos'!$A$3:$GG$587,'0.Productos'!AW$1+1,0),"")</f>
        <v/>
      </c>
      <c r="F185" s="133" t="str">
        <f>IF($A185&lt;&gt;0,VLOOKUP($A185,'0.Productos'!$A$3:$GG$587,'0.Productos'!AX$1+1,0),"")</f>
        <v/>
      </c>
      <c r="G185" s="133" t="str">
        <f>IF($A185&lt;&gt;0,VLOOKUP($A185,'0.Productos'!$A$3:$GG$587,'0.Productos'!AY$1+1,0),"")</f>
        <v/>
      </c>
      <c r="H185" s="133" t="str">
        <f>IF($A185&lt;&gt;0,VLOOKUP($A185,'0.Productos'!$A$3:$GG$587,'0.Productos'!AZ$1+1,0),"")</f>
        <v/>
      </c>
      <c r="I185" s="133" t="str">
        <f>IF($A185&lt;&gt;0,VLOOKUP($A185,'0.Productos'!$A$3:$GG$587,'0.Productos'!BA$1+1,0),"")</f>
        <v/>
      </c>
      <c r="J185" s="133" t="str">
        <f>IF($A185&lt;&gt;0,VLOOKUP($A185,'0.Productos'!$A$3:$GG$587,'0.Productos'!BB$1+1,0),"")</f>
        <v/>
      </c>
      <c r="K185" s="133" t="str">
        <f>IF($A185&lt;&gt;0,VLOOKUP($A185,'0.Productos'!$A$3:$GG$587,'0.Productos'!BC$1+1,0),"")</f>
        <v/>
      </c>
      <c r="L185" s="133" t="str">
        <f>IF($A185&lt;&gt;0,VLOOKUP($A185,'0.Productos'!$A$3:$GG$587,'0.Productos'!BD$1+1,0),"")</f>
        <v/>
      </c>
      <c r="M185" s="133" t="str">
        <f>IF($A185&lt;&gt;0,VLOOKUP($A185,'0.Productos'!$A$3:$GG$587,'0.Productos'!BE$1+1,0),"")</f>
        <v/>
      </c>
      <c r="N185" s="133" t="str">
        <f>IF($A185&lt;&gt;0,VLOOKUP($A185,'0.Productos'!$A$3:$GG$587,'0.Productos'!BF$1+1,0),"")</f>
        <v/>
      </c>
      <c r="O185" s="133" t="str">
        <f>IF($A185&lt;&gt;0,VLOOKUP($A185,'0.Productos'!$A$3:$GG$587,'0.Productos'!BG$1+1,0),"")</f>
        <v/>
      </c>
      <c r="P185" s="133" t="str">
        <f>IF($A185&lt;&gt;0,VLOOKUP($A185,'0.Productos'!$A$3:$GG$587,'0.Productos'!BH$1+1,0),"")</f>
        <v/>
      </c>
      <c r="Q185" s="133" t="str">
        <f>IF($A185&lt;&gt;0,VLOOKUP($A185,'0.Productos'!$A$3:$GG$587,'0.Productos'!BI$1+1,0),"")</f>
        <v/>
      </c>
      <c r="R185" s="133" t="str">
        <f>IF($A185&lt;&gt;0,VLOOKUP($A185,'0.Productos'!$A$3:$GG$587,'0.Productos'!BJ$1+1,0),"")</f>
        <v/>
      </c>
      <c r="S185" s="133" t="str">
        <f>IF($A185&lt;&gt;0,VLOOKUP($A185,'0.Productos'!$A$3:$GG$587,'0.Productos'!BK$1+1,0),"")</f>
        <v/>
      </c>
      <c r="T185" s="133" t="str">
        <f>IF($A185&lt;&gt;0,VLOOKUP($A185,'0.Productos'!$A$3:$GG$587,'0.Productos'!BL$1+1,0),"")</f>
        <v/>
      </c>
      <c r="U185" s="133" t="str">
        <f>IF($A185&lt;&gt;0,VLOOKUP($A185,'0.Productos'!$A$3:$GG$587,'0.Productos'!BM$1+1,0),"")</f>
        <v/>
      </c>
      <c r="V185" s="133" t="str">
        <f>IF($A185&lt;&gt;0,VLOOKUP($A185,'0.Productos'!$A$3:$GG$587,'0.Productos'!BN$1+1,0),"")</f>
        <v/>
      </c>
      <c r="W185" s="133" t="str">
        <f>IF($A185&lt;&gt;0,VLOOKUP($A185,'0.Productos'!$A$3:$GG$587,'0.Productos'!BO$1+1,0),"")</f>
        <v/>
      </c>
      <c r="X185" s="133" t="str">
        <f>IF($A185&lt;&gt;0,VLOOKUP($A185,'0.Productos'!$A$3:$GG$587,'0.Productos'!BP$1+1,0),"")</f>
        <v/>
      </c>
      <c r="Y185" s="133" t="str">
        <f>IF($A185&lt;&gt;0,VLOOKUP($A185,'0.Productos'!$A$3:$GG$587,'0.Productos'!BQ$1+1,0),"")</f>
        <v/>
      </c>
      <c r="Z185" s="133" t="str">
        <f>IF($A185&lt;&gt;0,VLOOKUP($A185,'0.Productos'!$A$3:$GG$587,'0.Productos'!BR$1+1,0),"")</f>
        <v/>
      </c>
      <c r="AA185" s="133" t="str">
        <f>IF($A185&lt;&gt;0,VLOOKUP($A185,'0.Productos'!$A$3:$GG$587,'0.Productos'!BS$1+1,0),"")</f>
        <v/>
      </c>
      <c r="AB185" s="133" t="str">
        <f>IF($A185&lt;&gt;0,VLOOKUP($A185,'0.Productos'!$A$3:$GG$587,'0.Productos'!BT$1+1,0),"")</f>
        <v/>
      </c>
      <c r="AC185" s="133" t="str">
        <f>IF($A185&lt;&gt;0,VLOOKUP($A185,'0.Productos'!$A$3:$GG$587,'0.Productos'!BU$1+1,0),"")</f>
        <v/>
      </c>
      <c r="AD185" s="133" t="str">
        <f>IF($A185&lt;&gt;0,VLOOKUP($A185,'0.Productos'!$A$3:$GG$587,'0.Productos'!BV$1+1,0),"")</f>
        <v/>
      </c>
      <c r="AE185" s="133" t="str">
        <f>IF($A185&lt;&gt;0,VLOOKUP($A185,'0.Productos'!$A$3:$GG$587,'0.Productos'!BW$1+1,0),"")</f>
        <v/>
      </c>
      <c r="AF185" s="133" t="str">
        <f>IF($A185&lt;&gt;0,VLOOKUP($A185,'0.Productos'!$A$3:$GG$587,'0.Productos'!BX$1+1,0),"")</f>
        <v/>
      </c>
      <c r="AG185" s="133" t="str">
        <f>IF($A185&lt;&gt;0,VLOOKUP($A185,'0.Productos'!$A$3:$GG$587,'0.Productos'!BY$1+1,0),"")</f>
        <v/>
      </c>
      <c r="AH185" s="133" t="str">
        <f>IF($A185&lt;&gt;0,VLOOKUP($A185,'0.Productos'!$A$3:$GG$587,'0.Productos'!BZ$1+1,0),"")</f>
        <v/>
      </c>
      <c r="AI185" s="133" t="str">
        <f>IF($A185&lt;&gt;0,VLOOKUP($A185,'0.Productos'!$A$3:$GG$587,'0.Productos'!CA$1+1,0),"")</f>
        <v/>
      </c>
      <c r="AJ185" s="133" t="str">
        <f>IF($A185&lt;&gt;0,VLOOKUP($A185,'0.Productos'!$A$3:$GG$587,'0.Productos'!CB$1+1,0),"")</f>
        <v/>
      </c>
      <c r="AK185" s="133" t="str">
        <f>IF($A185&lt;&gt;0,VLOOKUP($A185,'0.Productos'!$A$3:$GG$587,'0.Productos'!CC$1+1,0),"")</f>
        <v/>
      </c>
      <c r="AL185" s="133" t="str">
        <f>IF($A185&lt;&gt;0,VLOOKUP($A185,'0.Productos'!$A$3:$GG$587,'0.Productos'!CD$1+1,0),"")</f>
        <v/>
      </c>
      <c r="AM185" s="133" t="str">
        <f>IF($A185&lt;&gt;0,VLOOKUP($A185,'0.Productos'!$A$3:$GG$587,'0.Productos'!CE$1+1,0),"")</f>
        <v/>
      </c>
      <c r="AN185" s="133" t="str">
        <f>IF($A185&lt;&gt;0,VLOOKUP($A185,'0.Productos'!$A$3:$GG$587,'0.Productos'!CF$1+1,0),"")</f>
        <v/>
      </c>
      <c r="AO185" s="133" t="str">
        <f>IF($A185&lt;&gt;0,VLOOKUP($A185,'0.Productos'!$A$3:$GG$587,'0.Productos'!CG$1+1,0),"")</f>
        <v/>
      </c>
      <c r="AP185" s="133" t="str">
        <f>IF($A185&lt;&gt;0,VLOOKUP($A185,'0.Productos'!$A$3:$GG$587,'0.Productos'!CH$1+1,0),"")</f>
        <v/>
      </c>
      <c r="AQ185" s="133" t="str">
        <f>IF($A185&lt;&gt;0,VLOOKUP($A185,'0.Productos'!$A$3:$GG$587,'0.Productos'!CI$1+1,0),"")</f>
        <v/>
      </c>
      <c r="AR185" s="133" t="str">
        <f>IF($A185&lt;&gt;0,VLOOKUP($A185,'0.Productos'!$A$3:$GG$587,'0.Productos'!CJ$1+1,0),"")</f>
        <v/>
      </c>
      <c r="AS185" s="133" t="str">
        <f>IF($A185&lt;&gt;0,VLOOKUP($A185,'0.Productos'!$A$3:$GG$587,'0.Productos'!CK$1+1,0),"")</f>
        <v/>
      </c>
      <c r="AT185" s="133" t="str">
        <f>IF($A185&lt;&gt;0,VLOOKUP($A185,'0.Productos'!$A$3:$GG$587,'0.Productos'!CL$1+1,0),"")</f>
        <v/>
      </c>
      <c r="AU185" s="133" t="str">
        <f>IF($A185&lt;&gt;0,VLOOKUP($A185,'0.Productos'!$A$3:$GG$587,'0.Productos'!CM$1+1,0),"")</f>
        <v/>
      </c>
      <c r="AV185" s="133" t="str">
        <f>IF($A185&lt;&gt;0,VLOOKUP($A185,'0.Productos'!$A$3:$GG$587,'0.Productos'!CN$1+1,0),"")</f>
        <v/>
      </c>
      <c r="AW185" s="133" t="str">
        <f>IF($A185&lt;&gt;0,VLOOKUP($A185,'0.Productos'!$A$3:$GG$587,'0.Productos'!CO$1+1,0),"")</f>
        <v/>
      </c>
      <c r="AX185" s="133" t="str">
        <f>IF($A185&lt;&gt;0,VLOOKUP($A185,'0.Productos'!$A$3:$GG$587,'0.Productos'!CP$1+1,0),"")</f>
        <v/>
      </c>
      <c r="AY185" s="133" t="str">
        <f>IF($A185&lt;&gt;0,VLOOKUP($A185,'0.Productos'!$A$3:$GG$587,'0.Productos'!CQ$1+1,0),"")</f>
        <v/>
      </c>
      <c r="AZ185" s="133" t="str">
        <f>IF($A185&lt;&gt;0,VLOOKUP($A185,'0.Productos'!$A$3:$GG$587,'0.Productos'!CR$1+1,0),"")</f>
        <v/>
      </c>
      <c r="BA185" s="133" t="str">
        <f>IF($A185&lt;&gt;0,VLOOKUP($A185,'0.Productos'!$A$3:$GG$587,'0.Productos'!CS$1+1,0),"")</f>
        <v/>
      </c>
      <c r="BB185" s="133" t="str">
        <f>IF($A185&lt;&gt;0,VLOOKUP($A185,'0.Productos'!$A$3:$GG$587,'0.Productos'!CT$1+1,0),"")</f>
        <v/>
      </c>
      <c r="BC185" s="133" t="str">
        <f>IF($A185&lt;&gt;0,VLOOKUP($A185,'0.Productos'!$A$3:$GG$587,'0.Productos'!CU$1+1,0),"")</f>
        <v/>
      </c>
      <c r="BD185" s="133" t="str">
        <f>IF($A185&lt;&gt;0,VLOOKUP($A185,'0.Productos'!$A$3:$GG$587,'0.Productos'!CV$1+1,0),"")</f>
        <v/>
      </c>
      <c r="BE185" s="133" t="str">
        <f>IF($A185&lt;&gt;0,VLOOKUP($A185,'0.Productos'!$A$3:$GG$587,'0.Productos'!CW$1+1,0),"")</f>
        <v/>
      </c>
      <c r="BF185" s="133" t="str">
        <f>IF($A185&lt;&gt;0,VLOOKUP($A185,'0.Productos'!$A$3:$GG$587,'0.Productos'!CX$1+1,0),"")</f>
        <v/>
      </c>
      <c r="BG185" s="133" t="str">
        <f>IF($A185&lt;&gt;0,VLOOKUP($A185,'0.Productos'!$A$3:$GG$587,'0.Productos'!CY$1+1,0),"")</f>
        <v/>
      </c>
      <c r="BH185" s="133" t="str">
        <f>IF($A185&lt;&gt;0,VLOOKUP($A185,'0.Productos'!$A$3:$GG$587,'0.Productos'!CZ$1+1,0),"")</f>
        <v/>
      </c>
      <c r="BI185" s="133" t="str">
        <f>IF($A185&lt;&gt;0,VLOOKUP($A185,'0.Productos'!$A$3:$GG$587,'0.Productos'!DA$1+1,0),"")</f>
        <v/>
      </c>
      <c r="BJ185" s="133" t="str">
        <f>IF($A185&lt;&gt;0,VLOOKUP($A185,'0.Productos'!$A$3:$GG$587,'0.Productos'!DB$1+1,0),"")</f>
        <v/>
      </c>
      <c r="BK185" s="133" t="str">
        <f>IF($A185&lt;&gt;0,VLOOKUP($A185,'0.Productos'!$A$3:$GG$587,'0.Productos'!DC$1+1,0),"")</f>
        <v/>
      </c>
      <c r="BL185" s="133" t="str">
        <f>IF($A185&lt;&gt;0,VLOOKUP($A185,'0.Productos'!$A$3:$GG$587,'0.Productos'!DD$1+1,0),"")</f>
        <v/>
      </c>
      <c r="BM185" s="133" t="str">
        <f>IF($A185&lt;&gt;0,VLOOKUP($A185,'0.Productos'!$A$3:$GG$587,'0.Productos'!DE$1+1,0),"")</f>
        <v/>
      </c>
      <c r="BN185" s="133" t="str">
        <f>IF($A185&lt;&gt;0,VLOOKUP($A185,'0.Productos'!$A$3:$GG$587,'0.Productos'!DF$1+1,0),"")</f>
        <v/>
      </c>
      <c r="BO185" s="133" t="str">
        <f>IF($A185&lt;&gt;0,VLOOKUP($A185,'0.Productos'!$A$3:$GG$587,'0.Productos'!DG$1+1,0),"")</f>
        <v/>
      </c>
      <c r="BP185" s="133" t="str">
        <f>IF($A185&lt;&gt;0,VLOOKUP($A185,'0.Productos'!$A$3:$GG$587,'0.Productos'!DH$1+1,0),"")</f>
        <v/>
      </c>
      <c r="BQ185" s="133" t="str">
        <f>IF($A185&lt;&gt;0,VLOOKUP($A185,'0.Productos'!$A$3:$GG$587,'0.Productos'!DI$1+1,0),"")</f>
        <v/>
      </c>
      <c r="BR185" s="133" t="str">
        <f>IF($A185&lt;&gt;0,VLOOKUP($A185,'0.Productos'!$A$3:$GG$587,'0.Productos'!DJ$1+1,0),"")</f>
        <v/>
      </c>
      <c r="BS185" s="133" t="str">
        <f>IF($A185&lt;&gt;0,VLOOKUP($A185,'0.Productos'!$A$3:$GG$587,'0.Productos'!DK$1+1,0),"")</f>
        <v/>
      </c>
      <c r="BT185" s="133" t="str">
        <f>IF($A185&lt;&gt;0,VLOOKUP($A185,'0.Productos'!$A$3:$GG$587,'0.Productos'!DL$1+1,0),"")</f>
        <v/>
      </c>
    </row>
    <row r="186" spans="1:72" x14ac:dyDescent="0.25">
      <c r="A186" s="17">
        <f>'0.Consolidado general'!A186</f>
        <v>0</v>
      </c>
      <c r="B186" s="133" t="str">
        <f>IF($A186&lt;&gt;0,VLOOKUP($A186,'0.Productos'!$A$3:$GG$587,'0.Productos'!AT$1+1,0),"")</f>
        <v/>
      </c>
      <c r="C186" s="133" t="str">
        <f>IF($A186&lt;&gt;0,VLOOKUP($A186,'0.Productos'!$A$3:$GG$587,'0.Productos'!AU$1+1,0),"")</f>
        <v/>
      </c>
      <c r="D186" s="133" t="str">
        <f>IF($A186&lt;&gt;0,VLOOKUP($A186,'0.Productos'!$A$3:$GG$587,'0.Productos'!AV$1+1,0),"")</f>
        <v/>
      </c>
      <c r="E186" s="133" t="str">
        <f>IF($A186&lt;&gt;0,VLOOKUP($A186,'0.Productos'!$A$3:$GG$587,'0.Productos'!AW$1+1,0),"")</f>
        <v/>
      </c>
      <c r="F186" s="133" t="str">
        <f>IF($A186&lt;&gt;0,VLOOKUP($A186,'0.Productos'!$A$3:$GG$587,'0.Productos'!AX$1+1,0),"")</f>
        <v/>
      </c>
      <c r="G186" s="133" t="str">
        <f>IF($A186&lt;&gt;0,VLOOKUP($A186,'0.Productos'!$A$3:$GG$587,'0.Productos'!AY$1+1,0),"")</f>
        <v/>
      </c>
      <c r="H186" s="133" t="str">
        <f>IF($A186&lt;&gt;0,VLOOKUP($A186,'0.Productos'!$A$3:$GG$587,'0.Productos'!AZ$1+1,0),"")</f>
        <v/>
      </c>
      <c r="I186" s="133" t="str">
        <f>IF($A186&lt;&gt;0,VLOOKUP($A186,'0.Productos'!$A$3:$GG$587,'0.Productos'!BA$1+1,0),"")</f>
        <v/>
      </c>
      <c r="J186" s="133" t="str">
        <f>IF($A186&lt;&gt;0,VLOOKUP($A186,'0.Productos'!$A$3:$GG$587,'0.Productos'!BB$1+1,0),"")</f>
        <v/>
      </c>
      <c r="K186" s="133" t="str">
        <f>IF($A186&lt;&gt;0,VLOOKUP($A186,'0.Productos'!$A$3:$GG$587,'0.Productos'!BC$1+1,0),"")</f>
        <v/>
      </c>
      <c r="L186" s="133" t="str">
        <f>IF($A186&lt;&gt;0,VLOOKUP($A186,'0.Productos'!$A$3:$GG$587,'0.Productos'!BD$1+1,0),"")</f>
        <v/>
      </c>
      <c r="M186" s="133" t="str">
        <f>IF($A186&lt;&gt;0,VLOOKUP($A186,'0.Productos'!$A$3:$GG$587,'0.Productos'!BE$1+1,0),"")</f>
        <v/>
      </c>
      <c r="N186" s="133" t="str">
        <f>IF($A186&lt;&gt;0,VLOOKUP($A186,'0.Productos'!$A$3:$GG$587,'0.Productos'!BF$1+1,0),"")</f>
        <v/>
      </c>
      <c r="O186" s="133" t="str">
        <f>IF($A186&lt;&gt;0,VLOOKUP($A186,'0.Productos'!$A$3:$GG$587,'0.Productos'!BG$1+1,0),"")</f>
        <v/>
      </c>
      <c r="P186" s="133" t="str">
        <f>IF($A186&lt;&gt;0,VLOOKUP($A186,'0.Productos'!$A$3:$GG$587,'0.Productos'!BH$1+1,0),"")</f>
        <v/>
      </c>
      <c r="Q186" s="133" t="str">
        <f>IF($A186&lt;&gt;0,VLOOKUP($A186,'0.Productos'!$A$3:$GG$587,'0.Productos'!BI$1+1,0),"")</f>
        <v/>
      </c>
      <c r="R186" s="133" t="str">
        <f>IF($A186&lt;&gt;0,VLOOKUP($A186,'0.Productos'!$A$3:$GG$587,'0.Productos'!BJ$1+1,0),"")</f>
        <v/>
      </c>
      <c r="S186" s="133" t="str">
        <f>IF($A186&lt;&gt;0,VLOOKUP($A186,'0.Productos'!$A$3:$GG$587,'0.Productos'!BK$1+1,0),"")</f>
        <v/>
      </c>
      <c r="T186" s="133" t="str">
        <f>IF($A186&lt;&gt;0,VLOOKUP($A186,'0.Productos'!$A$3:$GG$587,'0.Productos'!BL$1+1,0),"")</f>
        <v/>
      </c>
      <c r="U186" s="133" t="str">
        <f>IF($A186&lt;&gt;0,VLOOKUP($A186,'0.Productos'!$A$3:$GG$587,'0.Productos'!BM$1+1,0),"")</f>
        <v/>
      </c>
      <c r="V186" s="133" t="str">
        <f>IF($A186&lt;&gt;0,VLOOKUP($A186,'0.Productos'!$A$3:$GG$587,'0.Productos'!BN$1+1,0),"")</f>
        <v/>
      </c>
      <c r="W186" s="133" t="str">
        <f>IF($A186&lt;&gt;0,VLOOKUP($A186,'0.Productos'!$A$3:$GG$587,'0.Productos'!BO$1+1,0),"")</f>
        <v/>
      </c>
      <c r="X186" s="133" t="str">
        <f>IF($A186&lt;&gt;0,VLOOKUP($A186,'0.Productos'!$A$3:$GG$587,'0.Productos'!BP$1+1,0),"")</f>
        <v/>
      </c>
      <c r="Y186" s="133" t="str">
        <f>IF($A186&lt;&gt;0,VLOOKUP($A186,'0.Productos'!$A$3:$GG$587,'0.Productos'!BQ$1+1,0),"")</f>
        <v/>
      </c>
      <c r="Z186" s="133" t="str">
        <f>IF($A186&lt;&gt;0,VLOOKUP($A186,'0.Productos'!$A$3:$GG$587,'0.Productos'!BR$1+1,0),"")</f>
        <v/>
      </c>
      <c r="AA186" s="133" t="str">
        <f>IF($A186&lt;&gt;0,VLOOKUP($A186,'0.Productos'!$A$3:$GG$587,'0.Productos'!BS$1+1,0),"")</f>
        <v/>
      </c>
      <c r="AB186" s="133" t="str">
        <f>IF($A186&lt;&gt;0,VLOOKUP($A186,'0.Productos'!$A$3:$GG$587,'0.Productos'!BT$1+1,0),"")</f>
        <v/>
      </c>
      <c r="AC186" s="133" t="str">
        <f>IF($A186&lt;&gt;0,VLOOKUP($A186,'0.Productos'!$A$3:$GG$587,'0.Productos'!BU$1+1,0),"")</f>
        <v/>
      </c>
      <c r="AD186" s="133" t="str">
        <f>IF($A186&lt;&gt;0,VLOOKUP($A186,'0.Productos'!$A$3:$GG$587,'0.Productos'!BV$1+1,0),"")</f>
        <v/>
      </c>
      <c r="AE186" s="133" t="str">
        <f>IF($A186&lt;&gt;0,VLOOKUP($A186,'0.Productos'!$A$3:$GG$587,'0.Productos'!BW$1+1,0),"")</f>
        <v/>
      </c>
      <c r="AF186" s="133" t="str">
        <f>IF($A186&lt;&gt;0,VLOOKUP($A186,'0.Productos'!$A$3:$GG$587,'0.Productos'!BX$1+1,0),"")</f>
        <v/>
      </c>
      <c r="AG186" s="133" t="str">
        <f>IF($A186&lt;&gt;0,VLOOKUP($A186,'0.Productos'!$A$3:$GG$587,'0.Productos'!BY$1+1,0),"")</f>
        <v/>
      </c>
      <c r="AH186" s="133" t="str">
        <f>IF($A186&lt;&gt;0,VLOOKUP($A186,'0.Productos'!$A$3:$GG$587,'0.Productos'!BZ$1+1,0),"")</f>
        <v/>
      </c>
      <c r="AI186" s="133" t="str">
        <f>IF($A186&lt;&gt;0,VLOOKUP($A186,'0.Productos'!$A$3:$GG$587,'0.Productos'!CA$1+1,0),"")</f>
        <v/>
      </c>
      <c r="AJ186" s="133" t="str">
        <f>IF($A186&lt;&gt;0,VLOOKUP($A186,'0.Productos'!$A$3:$GG$587,'0.Productos'!CB$1+1,0),"")</f>
        <v/>
      </c>
      <c r="AK186" s="133" t="str">
        <f>IF($A186&lt;&gt;0,VLOOKUP($A186,'0.Productos'!$A$3:$GG$587,'0.Productos'!CC$1+1,0),"")</f>
        <v/>
      </c>
      <c r="AL186" s="133" t="str">
        <f>IF($A186&lt;&gt;0,VLOOKUP($A186,'0.Productos'!$A$3:$GG$587,'0.Productos'!CD$1+1,0),"")</f>
        <v/>
      </c>
      <c r="AM186" s="133" t="str">
        <f>IF($A186&lt;&gt;0,VLOOKUP($A186,'0.Productos'!$A$3:$GG$587,'0.Productos'!CE$1+1,0),"")</f>
        <v/>
      </c>
      <c r="AN186" s="133" t="str">
        <f>IF($A186&lt;&gt;0,VLOOKUP($A186,'0.Productos'!$A$3:$GG$587,'0.Productos'!CF$1+1,0),"")</f>
        <v/>
      </c>
      <c r="AO186" s="133" t="str">
        <f>IF($A186&lt;&gt;0,VLOOKUP($A186,'0.Productos'!$A$3:$GG$587,'0.Productos'!CG$1+1,0),"")</f>
        <v/>
      </c>
      <c r="AP186" s="133" t="str">
        <f>IF($A186&lt;&gt;0,VLOOKUP($A186,'0.Productos'!$A$3:$GG$587,'0.Productos'!CH$1+1,0),"")</f>
        <v/>
      </c>
      <c r="AQ186" s="133" t="str">
        <f>IF($A186&lt;&gt;0,VLOOKUP($A186,'0.Productos'!$A$3:$GG$587,'0.Productos'!CI$1+1,0),"")</f>
        <v/>
      </c>
      <c r="AR186" s="133" t="str">
        <f>IF($A186&lt;&gt;0,VLOOKUP($A186,'0.Productos'!$A$3:$GG$587,'0.Productos'!CJ$1+1,0),"")</f>
        <v/>
      </c>
      <c r="AS186" s="133" t="str">
        <f>IF($A186&lt;&gt;0,VLOOKUP($A186,'0.Productos'!$A$3:$GG$587,'0.Productos'!CK$1+1,0),"")</f>
        <v/>
      </c>
      <c r="AT186" s="133" t="str">
        <f>IF($A186&lt;&gt;0,VLOOKUP($A186,'0.Productos'!$A$3:$GG$587,'0.Productos'!CL$1+1,0),"")</f>
        <v/>
      </c>
      <c r="AU186" s="133" t="str">
        <f>IF($A186&lt;&gt;0,VLOOKUP($A186,'0.Productos'!$A$3:$GG$587,'0.Productos'!CM$1+1,0),"")</f>
        <v/>
      </c>
      <c r="AV186" s="133" t="str">
        <f>IF($A186&lt;&gt;0,VLOOKUP($A186,'0.Productos'!$A$3:$GG$587,'0.Productos'!CN$1+1,0),"")</f>
        <v/>
      </c>
      <c r="AW186" s="133" t="str">
        <f>IF($A186&lt;&gt;0,VLOOKUP($A186,'0.Productos'!$A$3:$GG$587,'0.Productos'!CO$1+1,0),"")</f>
        <v/>
      </c>
      <c r="AX186" s="133" t="str">
        <f>IF($A186&lt;&gt;0,VLOOKUP($A186,'0.Productos'!$A$3:$GG$587,'0.Productos'!CP$1+1,0),"")</f>
        <v/>
      </c>
      <c r="AY186" s="133" t="str">
        <f>IF($A186&lt;&gt;0,VLOOKUP($A186,'0.Productos'!$A$3:$GG$587,'0.Productos'!CQ$1+1,0),"")</f>
        <v/>
      </c>
      <c r="AZ186" s="133" t="str">
        <f>IF($A186&lt;&gt;0,VLOOKUP($A186,'0.Productos'!$A$3:$GG$587,'0.Productos'!CR$1+1,0),"")</f>
        <v/>
      </c>
      <c r="BA186" s="133" t="str">
        <f>IF($A186&lt;&gt;0,VLOOKUP($A186,'0.Productos'!$A$3:$GG$587,'0.Productos'!CS$1+1,0),"")</f>
        <v/>
      </c>
      <c r="BB186" s="133" t="str">
        <f>IF($A186&lt;&gt;0,VLOOKUP($A186,'0.Productos'!$A$3:$GG$587,'0.Productos'!CT$1+1,0),"")</f>
        <v/>
      </c>
      <c r="BC186" s="133" t="str">
        <f>IF($A186&lt;&gt;0,VLOOKUP($A186,'0.Productos'!$A$3:$GG$587,'0.Productos'!CU$1+1,0),"")</f>
        <v/>
      </c>
      <c r="BD186" s="133" t="str">
        <f>IF($A186&lt;&gt;0,VLOOKUP($A186,'0.Productos'!$A$3:$GG$587,'0.Productos'!CV$1+1,0),"")</f>
        <v/>
      </c>
      <c r="BE186" s="133" t="str">
        <f>IF($A186&lt;&gt;0,VLOOKUP($A186,'0.Productos'!$A$3:$GG$587,'0.Productos'!CW$1+1,0),"")</f>
        <v/>
      </c>
      <c r="BF186" s="133" t="str">
        <f>IF($A186&lt;&gt;0,VLOOKUP($A186,'0.Productos'!$A$3:$GG$587,'0.Productos'!CX$1+1,0),"")</f>
        <v/>
      </c>
      <c r="BG186" s="133" t="str">
        <f>IF($A186&lt;&gt;0,VLOOKUP($A186,'0.Productos'!$A$3:$GG$587,'0.Productos'!CY$1+1,0),"")</f>
        <v/>
      </c>
      <c r="BH186" s="133" t="str">
        <f>IF($A186&lt;&gt;0,VLOOKUP($A186,'0.Productos'!$A$3:$GG$587,'0.Productos'!CZ$1+1,0),"")</f>
        <v/>
      </c>
      <c r="BI186" s="133" t="str">
        <f>IF($A186&lt;&gt;0,VLOOKUP($A186,'0.Productos'!$A$3:$GG$587,'0.Productos'!DA$1+1,0),"")</f>
        <v/>
      </c>
      <c r="BJ186" s="133" t="str">
        <f>IF($A186&lt;&gt;0,VLOOKUP($A186,'0.Productos'!$A$3:$GG$587,'0.Productos'!DB$1+1,0),"")</f>
        <v/>
      </c>
      <c r="BK186" s="133" t="str">
        <f>IF($A186&lt;&gt;0,VLOOKUP($A186,'0.Productos'!$A$3:$GG$587,'0.Productos'!DC$1+1,0),"")</f>
        <v/>
      </c>
      <c r="BL186" s="133" t="str">
        <f>IF($A186&lt;&gt;0,VLOOKUP($A186,'0.Productos'!$A$3:$GG$587,'0.Productos'!DD$1+1,0),"")</f>
        <v/>
      </c>
      <c r="BM186" s="133" t="str">
        <f>IF($A186&lt;&gt;0,VLOOKUP($A186,'0.Productos'!$A$3:$GG$587,'0.Productos'!DE$1+1,0),"")</f>
        <v/>
      </c>
      <c r="BN186" s="133" t="str">
        <f>IF($A186&lt;&gt;0,VLOOKUP($A186,'0.Productos'!$A$3:$GG$587,'0.Productos'!DF$1+1,0),"")</f>
        <v/>
      </c>
      <c r="BO186" s="133" t="str">
        <f>IF($A186&lt;&gt;0,VLOOKUP($A186,'0.Productos'!$A$3:$GG$587,'0.Productos'!DG$1+1,0),"")</f>
        <v/>
      </c>
      <c r="BP186" s="133" t="str">
        <f>IF($A186&lt;&gt;0,VLOOKUP($A186,'0.Productos'!$A$3:$GG$587,'0.Productos'!DH$1+1,0),"")</f>
        <v/>
      </c>
      <c r="BQ186" s="133" t="str">
        <f>IF($A186&lt;&gt;0,VLOOKUP($A186,'0.Productos'!$A$3:$GG$587,'0.Productos'!DI$1+1,0),"")</f>
        <v/>
      </c>
      <c r="BR186" s="133" t="str">
        <f>IF($A186&lt;&gt;0,VLOOKUP($A186,'0.Productos'!$A$3:$GG$587,'0.Productos'!DJ$1+1,0),"")</f>
        <v/>
      </c>
      <c r="BS186" s="133" t="str">
        <f>IF($A186&lt;&gt;0,VLOOKUP($A186,'0.Productos'!$A$3:$GG$587,'0.Productos'!DK$1+1,0),"")</f>
        <v/>
      </c>
      <c r="BT186" s="133" t="str">
        <f>IF($A186&lt;&gt;0,VLOOKUP($A186,'0.Productos'!$A$3:$GG$587,'0.Productos'!DL$1+1,0),"")</f>
        <v/>
      </c>
    </row>
    <row r="187" spans="1:72" x14ac:dyDescent="0.25">
      <c r="A187" s="17">
        <f>'0.Consolidado general'!A187</f>
        <v>0</v>
      </c>
      <c r="B187" s="133" t="str">
        <f>IF($A187&lt;&gt;0,VLOOKUP($A187,'0.Productos'!$A$3:$GG$587,'0.Productos'!AT$1+1,0),"")</f>
        <v/>
      </c>
      <c r="C187" s="133" t="str">
        <f>IF($A187&lt;&gt;0,VLOOKUP($A187,'0.Productos'!$A$3:$GG$587,'0.Productos'!AU$1+1,0),"")</f>
        <v/>
      </c>
      <c r="D187" s="133" t="str">
        <f>IF($A187&lt;&gt;0,VLOOKUP($A187,'0.Productos'!$A$3:$GG$587,'0.Productos'!AV$1+1,0),"")</f>
        <v/>
      </c>
      <c r="E187" s="133" t="str">
        <f>IF($A187&lt;&gt;0,VLOOKUP($A187,'0.Productos'!$A$3:$GG$587,'0.Productos'!AW$1+1,0),"")</f>
        <v/>
      </c>
      <c r="F187" s="133" t="str">
        <f>IF($A187&lt;&gt;0,VLOOKUP($A187,'0.Productos'!$A$3:$GG$587,'0.Productos'!AX$1+1,0),"")</f>
        <v/>
      </c>
      <c r="G187" s="133" t="str">
        <f>IF($A187&lt;&gt;0,VLOOKUP($A187,'0.Productos'!$A$3:$GG$587,'0.Productos'!AY$1+1,0),"")</f>
        <v/>
      </c>
      <c r="H187" s="133" t="str">
        <f>IF($A187&lt;&gt;0,VLOOKUP($A187,'0.Productos'!$A$3:$GG$587,'0.Productos'!AZ$1+1,0),"")</f>
        <v/>
      </c>
      <c r="I187" s="133" t="str">
        <f>IF($A187&lt;&gt;0,VLOOKUP($A187,'0.Productos'!$A$3:$GG$587,'0.Productos'!BA$1+1,0),"")</f>
        <v/>
      </c>
      <c r="J187" s="133" t="str">
        <f>IF($A187&lt;&gt;0,VLOOKUP($A187,'0.Productos'!$A$3:$GG$587,'0.Productos'!BB$1+1,0),"")</f>
        <v/>
      </c>
      <c r="K187" s="133" t="str">
        <f>IF($A187&lt;&gt;0,VLOOKUP($A187,'0.Productos'!$A$3:$GG$587,'0.Productos'!BC$1+1,0),"")</f>
        <v/>
      </c>
      <c r="L187" s="133" t="str">
        <f>IF($A187&lt;&gt;0,VLOOKUP($A187,'0.Productos'!$A$3:$GG$587,'0.Productos'!BD$1+1,0),"")</f>
        <v/>
      </c>
      <c r="M187" s="133" t="str">
        <f>IF($A187&lt;&gt;0,VLOOKUP($A187,'0.Productos'!$A$3:$GG$587,'0.Productos'!BE$1+1,0),"")</f>
        <v/>
      </c>
      <c r="N187" s="133" t="str">
        <f>IF($A187&lt;&gt;0,VLOOKUP($A187,'0.Productos'!$A$3:$GG$587,'0.Productos'!BF$1+1,0),"")</f>
        <v/>
      </c>
      <c r="O187" s="133" t="str">
        <f>IF($A187&lt;&gt;0,VLOOKUP($A187,'0.Productos'!$A$3:$GG$587,'0.Productos'!BG$1+1,0),"")</f>
        <v/>
      </c>
      <c r="P187" s="133" t="str">
        <f>IF($A187&lt;&gt;0,VLOOKUP($A187,'0.Productos'!$A$3:$GG$587,'0.Productos'!BH$1+1,0),"")</f>
        <v/>
      </c>
      <c r="Q187" s="133" t="str">
        <f>IF($A187&lt;&gt;0,VLOOKUP($A187,'0.Productos'!$A$3:$GG$587,'0.Productos'!BI$1+1,0),"")</f>
        <v/>
      </c>
      <c r="R187" s="133" t="str">
        <f>IF($A187&lt;&gt;0,VLOOKUP($A187,'0.Productos'!$A$3:$GG$587,'0.Productos'!BJ$1+1,0),"")</f>
        <v/>
      </c>
      <c r="S187" s="133" t="str">
        <f>IF($A187&lt;&gt;0,VLOOKUP($A187,'0.Productos'!$A$3:$GG$587,'0.Productos'!BK$1+1,0),"")</f>
        <v/>
      </c>
      <c r="T187" s="133" t="str">
        <f>IF($A187&lt;&gt;0,VLOOKUP($A187,'0.Productos'!$A$3:$GG$587,'0.Productos'!BL$1+1,0),"")</f>
        <v/>
      </c>
      <c r="U187" s="133" t="str">
        <f>IF($A187&lt;&gt;0,VLOOKUP($A187,'0.Productos'!$A$3:$GG$587,'0.Productos'!BM$1+1,0),"")</f>
        <v/>
      </c>
      <c r="V187" s="133" t="str">
        <f>IF($A187&lt;&gt;0,VLOOKUP($A187,'0.Productos'!$A$3:$GG$587,'0.Productos'!BN$1+1,0),"")</f>
        <v/>
      </c>
      <c r="W187" s="133" t="str">
        <f>IF($A187&lt;&gt;0,VLOOKUP($A187,'0.Productos'!$A$3:$GG$587,'0.Productos'!BO$1+1,0),"")</f>
        <v/>
      </c>
      <c r="X187" s="133" t="str">
        <f>IF($A187&lt;&gt;0,VLOOKUP($A187,'0.Productos'!$A$3:$GG$587,'0.Productos'!BP$1+1,0),"")</f>
        <v/>
      </c>
      <c r="Y187" s="133" t="str">
        <f>IF($A187&lt;&gt;0,VLOOKUP($A187,'0.Productos'!$A$3:$GG$587,'0.Productos'!BQ$1+1,0),"")</f>
        <v/>
      </c>
      <c r="Z187" s="133" t="str">
        <f>IF($A187&lt;&gt;0,VLOOKUP($A187,'0.Productos'!$A$3:$GG$587,'0.Productos'!BR$1+1,0),"")</f>
        <v/>
      </c>
      <c r="AA187" s="133" t="str">
        <f>IF($A187&lt;&gt;0,VLOOKUP($A187,'0.Productos'!$A$3:$GG$587,'0.Productos'!BS$1+1,0),"")</f>
        <v/>
      </c>
      <c r="AB187" s="133" t="str">
        <f>IF($A187&lt;&gt;0,VLOOKUP($A187,'0.Productos'!$A$3:$GG$587,'0.Productos'!BT$1+1,0),"")</f>
        <v/>
      </c>
      <c r="AC187" s="133" t="str">
        <f>IF($A187&lt;&gt;0,VLOOKUP($A187,'0.Productos'!$A$3:$GG$587,'0.Productos'!BU$1+1,0),"")</f>
        <v/>
      </c>
      <c r="AD187" s="133" t="str">
        <f>IF($A187&lt;&gt;0,VLOOKUP($A187,'0.Productos'!$A$3:$GG$587,'0.Productos'!BV$1+1,0),"")</f>
        <v/>
      </c>
      <c r="AE187" s="133" t="str">
        <f>IF($A187&lt;&gt;0,VLOOKUP($A187,'0.Productos'!$A$3:$GG$587,'0.Productos'!BW$1+1,0),"")</f>
        <v/>
      </c>
      <c r="AF187" s="133" t="str">
        <f>IF($A187&lt;&gt;0,VLOOKUP($A187,'0.Productos'!$A$3:$GG$587,'0.Productos'!BX$1+1,0),"")</f>
        <v/>
      </c>
      <c r="AG187" s="133" t="str">
        <f>IF($A187&lt;&gt;0,VLOOKUP($A187,'0.Productos'!$A$3:$GG$587,'0.Productos'!BY$1+1,0),"")</f>
        <v/>
      </c>
      <c r="AH187" s="133" t="str">
        <f>IF($A187&lt;&gt;0,VLOOKUP($A187,'0.Productos'!$A$3:$GG$587,'0.Productos'!BZ$1+1,0),"")</f>
        <v/>
      </c>
      <c r="AI187" s="133" t="str">
        <f>IF($A187&lt;&gt;0,VLOOKUP($A187,'0.Productos'!$A$3:$GG$587,'0.Productos'!CA$1+1,0),"")</f>
        <v/>
      </c>
      <c r="AJ187" s="133" t="str">
        <f>IF($A187&lt;&gt;0,VLOOKUP($A187,'0.Productos'!$A$3:$GG$587,'0.Productos'!CB$1+1,0),"")</f>
        <v/>
      </c>
      <c r="AK187" s="133" t="str">
        <f>IF($A187&lt;&gt;0,VLOOKUP($A187,'0.Productos'!$A$3:$GG$587,'0.Productos'!CC$1+1,0),"")</f>
        <v/>
      </c>
      <c r="AL187" s="133" t="str">
        <f>IF($A187&lt;&gt;0,VLOOKUP($A187,'0.Productos'!$A$3:$GG$587,'0.Productos'!CD$1+1,0),"")</f>
        <v/>
      </c>
      <c r="AM187" s="133" t="str">
        <f>IF($A187&lt;&gt;0,VLOOKUP($A187,'0.Productos'!$A$3:$GG$587,'0.Productos'!CE$1+1,0),"")</f>
        <v/>
      </c>
      <c r="AN187" s="133" t="str">
        <f>IF($A187&lt;&gt;0,VLOOKUP($A187,'0.Productos'!$A$3:$GG$587,'0.Productos'!CF$1+1,0),"")</f>
        <v/>
      </c>
      <c r="AO187" s="133" t="str">
        <f>IF($A187&lt;&gt;0,VLOOKUP($A187,'0.Productos'!$A$3:$GG$587,'0.Productos'!CG$1+1,0),"")</f>
        <v/>
      </c>
      <c r="AP187" s="133" t="str">
        <f>IF($A187&lt;&gt;0,VLOOKUP($A187,'0.Productos'!$A$3:$GG$587,'0.Productos'!CH$1+1,0),"")</f>
        <v/>
      </c>
      <c r="AQ187" s="133" t="str">
        <f>IF($A187&lt;&gt;0,VLOOKUP($A187,'0.Productos'!$A$3:$GG$587,'0.Productos'!CI$1+1,0),"")</f>
        <v/>
      </c>
      <c r="AR187" s="133" t="str">
        <f>IF($A187&lt;&gt;0,VLOOKUP($A187,'0.Productos'!$A$3:$GG$587,'0.Productos'!CJ$1+1,0),"")</f>
        <v/>
      </c>
      <c r="AS187" s="133" t="str">
        <f>IF($A187&lt;&gt;0,VLOOKUP($A187,'0.Productos'!$A$3:$GG$587,'0.Productos'!CK$1+1,0),"")</f>
        <v/>
      </c>
      <c r="AT187" s="133" t="str">
        <f>IF($A187&lt;&gt;0,VLOOKUP($A187,'0.Productos'!$A$3:$GG$587,'0.Productos'!CL$1+1,0),"")</f>
        <v/>
      </c>
      <c r="AU187" s="133" t="str">
        <f>IF($A187&lt;&gt;0,VLOOKUP($A187,'0.Productos'!$A$3:$GG$587,'0.Productos'!CM$1+1,0),"")</f>
        <v/>
      </c>
      <c r="AV187" s="133" t="str">
        <f>IF($A187&lt;&gt;0,VLOOKUP($A187,'0.Productos'!$A$3:$GG$587,'0.Productos'!CN$1+1,0),"")</f>
        <v/>
      </c>
      <c r="AW187" s="133" t="str">
        <f>IF($A187&lt;&gt;0,VLOOKUP($A187,'0.Productos'!$A$3:$GG$587,'0.Productos'!CO$1+1,0),"")</f>
        <v/>
      </c>
      <c r="AX187" s="133" t="str">
        <f>IF($A187&lt;&gt;0,VLOOKUP($A187,'0.Productos'!$A$3:$GG$587,'0.Productos'!CP$1+1,0),"")</f>
        <v/>
      </c>
      <c r="AY187" s="133" t="str">
        <f>IF($A187&lt;&gt;0,VLOOKUP($A187,'0.Productos'!$A$3:$GG$587,'0.Productos'!CQ$1+1,0),"")</f>
        <v/>
      </c>
      <c r="AZ187" s="133" t="str">
        <f>IF($A187&lt;&gt;0,VLOOKUP($A187,'0.Productos'!$A$3:$GG$587,'0.Productos'!CR$1+1,0),"")</f>
        <v/>
      </c>
      <c r="BA187" s="133" t="str">
        <f>IF($A187&lt;&gt;0,VLOOKUP($A187,'0.Productos'!$A$3:$GG$587,'0.Productos'!CS$1+1,0),"")</f>
        <v/>
      </c>
      <c r="BB187" s="133" t="str">
        <f>IF($A187&lt;&gt;0,VLOOKUP($A187,'0.Productos'!$A$3:$GG$587,'0.Productos'!CT$1+1,0),"")</f>
        <v/>
      </c>
      <c r="BC187" s="133" t="str">
        <f>IF($A187&lt;&gt;0,VLOOKUP($A187,'0.Productos'!$A$3:$GG$587,'0.Productos'!CU$1+1,0),"")</f>
        <v/>
      </c>
      <c r="BD187" s="133" t="str">
        <f>IF($A187&lt;&gt;0,VLOOKUP($A187,'0.Productos'!$A$3:$GG$587,'0.Productos'!CV$1+1,0),"")</f>
        <v/>
      </c>
      <c r="BE187" s="133" t="str">
        <f>IF($A187&lt;&gt;0,VLOOKUP($A187,'0.Productos'!$A$3:$GG$587,'0.Productos'!CW$1+1,0),"")</f>
        <v/>
      </c>
      <c r="BF187" s="133" t="str">
        <f>IF($A187&lt;&gt;0,VLOOKUP($A187,'0.Productos'!$A$3:$GG$587,'0.Productos'!CX$1+1,0),"")</f>
        <v/>
      </c>
      <c r="BG187" s="133" t="str">
        <f>IF($A187&lt;&gt;0,VLOOKUP($A187,'0.Productos'!$A$3:$GG$587,'0.Productos'!CY$1+1,0),"")</f>
        <v/>
      </c>
      <c r="BH187" s="133" t="str">
        <f>IF($A187&lt;&gt;0,VLOOKUP($A187,'0.Productos'!$A$3:$GG$587,'0.Productos'!CZ$1+1,0),"")</f>
        <v/>
      </c>
      <c r="BI187" s="133" t="str">
        <f>IF($A187&lt;&gt;0,VLOOKUP($A187,'0.Productos'!$A$3:$GG$587,'0.Productos'!DA$1+1,0),"")</f>
        <v/>
      </c>
      <c r="BJ187" s="133" t="str">
        <f>IF($A187&lt;&gt;0,VLOOKUP($A187,'0.Productos'!$A$3:$GG$587,'0.Productos'!DB$1+1,0),"")</f>
        <v/>
      </c>
      <c r="BK187" s="133" t="str">
        <f>IF($A187&lt;&gt;0,VLOOKUP($A187,'0.Productos'!$A$3:$GG$587,'0.Productos'!DC$1+1,0),"")</f>
        <v/>
      </c>
      <c r="BL187" s="133" t="str">
        <f>IF($A187&lt;&gt;0,VLOOKUP($A187,'0.Productos'!$A$3:$GG$587,'0.Productos'!DD$1+1,0),"")</f>
        <v/>
      </c>
      <c r="BM187" s="133" t="str">
        <f>IF($A187&lt;&gt;0,VLOOKUP($A187,'0.Productos'!$A$3:$GG$587,'0.Productos'!DE$1+1,0),"")</f>
        <v/>
      </c>
      <c r="BN187" s="133" t="str">
        <f>IF($A187&lt;&gt;0,VLOOKUP($A187,'0.Productos'!$A$3:$GG$587,'0.Productos'!DF$1+1,0),"")</f>
        <v/>
      </c>
      <c r="BO187" s="133" t="str">
        <f>IF($A187&lt;&gt;0,VLOOKUP($A187,'0.Productos'!$A$3:$GG$587,'0.Productos'!DG$1+1,0),"")</f>
        <v/>
      </c>
      <c r="BP187" s="133" t="str">
        <f>IF($A187&lt;&gt;0,VLOOKUP($A187,'0.Productos'!$A$3:$GG$587,'0.Productos'!DH$1+1,0),"")</f>
        <v/>
      </c>
      <c r="BQ187" s="133" t="str">
        <f>IF($A187&lt;&gt;0,VLOOKUP($A187,'0.Productos'!$A$3:$GG$587,'0.Productos'!DI$1+1,0),"")</f>
        <v/>
      </c>
      <c r="BR187" s="133" t="str">
        <f>IF($A187&lt;&gt;0,VLOOKUP($A187,'0.Productos'!$A$3:$GG$587,'0.Productos'!DJ$1+1,0),"")</f>
        <v/>
      </c>
      <c r="BS187" s="133" t="str">
        <f>IF($A187&lt;&gt;0,VLOOKUP($A187,'0.Productos'!$A$3:$GG$587,'0.Productos'!DK$1+1,0),"")</f>
        <v/>
      </c>
      <c r="BT187" s="133" t="str">
        <f>IF($A187&lt;&gt;0,VLOOKUP($A187,'0.Productos'!$A$3:$GG$587,'0.Productos'!DL$1+1,0),"")</f>
        <v/>
      </c>
    </row>
    <row r="188" spans="1:72" x14ac:dyDescent="0.25">
      <c r="A188" s="17">
        <f>'0.Consolidado general'!A188</f>
        <v>0</v>
      </c>
      <c r="B188" s="133" t="str">
        <f>IF($A188&lt;&gt;0,VLOOKUP($A188,'0.Productos'!$A$3:$GG$587,'0.Productos'!AT$1+1,0),"")</f>
        <v/>
      </c>
      <c r="C188" s="133" t="str">
        <f>IF($A188&lt;&gt;0,VLOOKUP($A188,'0.Productos'!$A$3:$GG$587,'0.Productos'!AU$1+1,0),"")</f>
        <v/>
      </c>
      <c r="D188" s="133" t="str">
        <f>IF($A188&lt;&gt;0,VLOOKUP($A188,'0.Productos'!$A$3:$GG$587,'0.Productos'!AV$1+1,0),"")</f>
        <v/>
      </c>
      <c r="E188" s="133" t="str">
        <f>IF($A188&lt;&gt;0,VLOOKUP($A188,'0.Productos'!$A$3:$GG$587,'0.Productos'!AW$1+1,0),"")</f>
        <v/>
      </c>
      <c r="F188" s="133" t="str">
        <f>IF($A188&lt;&gt;0,VLOOKUP($A188,'0.Productos'!$A$3:$GG$587,'0.Productos'!AX$1+1,0),"")</f>
        <v/>
      </c>
      <c r="G188" s="133" t="str">
        <f>IF($A188&lt;&gt;0,VLOOKUP($A188,'0.Productos'!$A$3:$GG$587,'0.Productos'!AY$1+1,0),"")</f>
        <v/>
      </c>
      <c r="H188" s="133" t="str">
        <f>IF($A188&lt;&gt;0,VLOOKUP($A188,'0.Productos'!$A$3:$GG$587,'0.Productos'!AZ$1+1,0),"")</f>
        <v/>
      </c>
      <c r="I188" s="133" t="str">
        <f>IF($A188&lt;&gt;0,VLOOKUP($A188,'0.Productos'!$A$3:$GG$587,'0.Productos'!BA$1+1,0),"")</f>
        <v/>
      </c>
      <c r="J188" s="133" t="str">
        <f>IF($A188&lt;&gt;0,VLOOKUP($A188,'0.Productos'!$A$3:$GG$587,'0.Productos'!BB$1+1,0),"")</f>
        <v/>
      </c>
      <c r="K188" s="133" t="str">
        <f>IF($A188&lt;&gt;0,VLOOKUP($A188,'0.Productos'!$A$3:$GG$587,'0.Productos'!BC$1+1,0),"")</f>
        <v/>
      </c>
      <c r="L188" s="133" t="str">
        <f>IF($A188&lt;&gt;0,VLOOKUP($A188,'0.Productos'!$A$3:$GG$587,'0.Productos'!BD$1+1,0),"")</f>
        <v/>
      </c>
      <c r="M188" s="133" t="str">
        <f>IF($A188&lt;&gt;0,VLOOKUP($A188,'0.Productos'!$A$3:$GG$587,'0.Productos'!BE$1+1,0),"")</f>
        <v/>
      </c>
      <c r="N188" s="133" t="str">
        <f>IF($A188&lt;&gt;0,VLOOKUP($A188,'0.Productos'!$A$3:$GG$587,'0.Productos'!BF$1+1,0),"")</f>
        <v/>
      </c>
      <c r="O188" s="133" t="str">
        <f>IF($A188&lt;&gt;0,VLOOKUP($A188,'0.Productos'!$A$3:$GG$587,'0.Productos'!BG$1+1,0),"")</f>
        <v/>
      </c>
      <c r="P188" s="133" t="str">
        <f>IF($A188&lt;&gt;0,VLOOKUP($A188,'0.Productos'!$A$3:$GG$587,'0.Productos'!BH$1+1,0),"")</f>
        <v/>
      </c>
      <c r="Q188" s="133" t="str">
        <f>IF($A188&lt;&gt;0,VLOOKUP($A188,'0.Productos'!$A$3:$GG$587,'0.Productos'!BI$1+1,0),"")</f>
        <v/>
      </c>
      <c r="R188" s="133" t="str">
        <f>IF($A188&lt;&gt;0,VLOOKUP($A188,'0.Productos'!$A$3:$GG$587,'0.Productos'!BJ$1+1,0),"")</f>
        <v/>
      </c>
      <c r="S188" s="133" t="str">
        <f>IF($A188&lt;&gt;0,VLOOKUP($A188,'0.Productos'!$A$3:$GG$587,'0.Productos'!BK$1+1,0),"")</f>
        <v/>
      </c>
      <c r="T188" s="133" t="str">
        <f>IF($A188&lt;&gt;0,VLOOKUP($A188,'0.Productos'!$A$3:$GG$587,'0.Productos'!BL$1+1,0),"")</f>
        <v/>
      </c>
      <c r="U188" s="133" t="str">
        <f>IF($A188&lt;&gt;0,VLOOKUP($A188,'0.Productos'!$A$3:$GG$587,'0.Productos'!BM$1+1,0),"")</f>
        <v/>
      </c>
      <c r="V188" s="133" t="str">
        <f>IF($A188&lt;&gt;0,VLOOKUP($A188,'0.Productos'!$A$3:$GG$587,'0.Productos'!BN$1+1,0),"")</f>
        <v/>
      </c>
      <c r="W188" s="133" t="str">
        <f>IF($A188&lt;&gt;0,VLOOKUP($A188,'0.Productos'!$A$3:$GG$587,'0.Productos'!BO$1+1,0),"")</f>
        <v/>
      </c>
      <c r="X188" s="133" t="str">
        <f>IF($A188&lt;&gt;0,VLOOKUP($A188,'0.Productos'!$A$3:$GG$587,'0.Productos'!BP$1+1,0),"")</f>
        <v/>
      </c>
      <c r="Y188" s="133" t="str">
        <f>IF($A188&lt;&gt;0,VLOOKUP($A188,'0.Productos'!$A$3:$GG$587,'0.Productos'!BQ$1+1,0),"")</f>
        <v/>
      </c>
      <c r="Z188" s="133" t="str">
        <f>IF($A188&lt;&gt;0,VLOOKUP($A188,'0.Productos'!$A$3:$GG$587,'0.Productos'!BR$1+1,0),"")</f>
        <v/>
      </c>
      <c r="AA188" s="133" t="str">
        <f>IF($A188&lt;&gt;0,VLOOKUP($A188,'0.Productos'!$A$3:$GG$587,'0.Productos'!BS$1+1,0),"")</f>
        <v/>
      </c>
      <c r="AB188" s="133" t="str">
        <f>IF($A188&lt;&gt;0,VLOOKUP($A188,'0.Productos'!$A$3:$GG$587,'0.Productos'!BT$1+1,0),"")</f>
        <v/>
      </c>
      <c r="AC188" s="133" t="str">
        <f>IF($A188&lt;&gt;0,VLOOKUP($A188,'0.Productos'!$A$3:$GG$587,'0.Productos'!BU$1+1,0),"")</f>
        <v/>
      </c>
      <c r="AD188" s="133" t="str">
        <f>IF($A188&lt;&gt;0,VLOOKUP($A188,'0.Productos'!$A$3:$GG$587,'0.Productos'!BV$1+1,0),"")</f>
        <v/>
      </c>
      <c r="AE188" s="133" t="str">
        <f>IF($A188&lt;&gt;0,VLOOKUP($A188,'0.Productos'!$A$3:$GG$587,'0.Productos'!BW$1+1,0),"")</f>
        <v/>
      </c>
      <c r="AF188" s="133" t="str">
        <f>IF($A188&lt;&gt;0,VLOOKUP($A188,'0.Productos'!$A$3:$GG$587,'0.Productos'!BX$1+1,0),"")</f>
        <v/>
      </c>
      <c r="AG188" s="133" t="str">
        <f>IF($A188&lt;&gt;0,VLOOKUP($A188,'0.Productos'!$A$3:$GG$587,'0.Productos'!BY$1+1,0),"")</f>
        <v/>
      </c>
      <c r="AH188" s="133" t="str">
        <f>IF($A188&lt;&gt;0,VLOOKUP($A188,'0.Productos'!$A$3:$GG$587,'0.Productos'!BZ$1+1,0),"")</f>
        <v/>
      </c>
      <c r="AI188" s="133" t="str">
        <f>IF($A188&lt;&gt;0,VLOOKUP($A188,'0.Productos'!$A$3:$GG$587,'0.Productos'!CA$1+1,0),"")</f>
        <v/>
      </c>
      <c r="AJ188" s="133" t="str">
        <f>IF($A188&lt;&gt;0,VLOOKUP($A188,'0.Productos'!$A$3:$GG$587,'0.Productos'!CB$1+1,0),"")</f>
        <v/>
      </c>
      <c r="AK188" s="133" t="str">
        <f>IF($A188&lt;&gt;0,VLOOKUP($A188,'0.Productos'!$A$3:$GG$587,'0.Productos'!CC$1+1,0),"")</f>
        <v/>
      </c>
      <c r="AL188" s="133" t="str">
        <f>IF($A188&lt;&gt;0,VLOOKUP($A188,'0.Productos'!$A$3:$GG$587,'0.Productos'!CD$1+1,0),"")</f>
        <v/>
      </c>
      <c r="AM188" s="133" t="str">
        <f>IF($A188&lt;&gt;0,VLOOKUP($A188,'0.Productos'!$A$3:$GG$587,'0.Productos'!CE$1+1,0),"")</f>
        <v/>
      </c>
      <c r="AN188" s="133" t="str">
        <f>IF($A188&lt;&gt;0,VLOOKUP($A188,'0.Productos'!$A$3:$GG$587,'0.Productos'!CF$1+1,0),"")</f>
        <v/>
      </c>
      <c r="AO188" s="133" t="str">
        <f>IF($A188&lt;&gt;0,VLOOKUP($A188,'0.Productos'!$A$3:$GG$587,'0.Productos'!CG$1+1,0),"")</f>
        <v/>
      </c>
      <c r="AP188" s="133" t="str">
        <f>IF($A188&lt;&gt;0,VLOOKUP($A188,'0.Productos'!$A$3:$GG$587,'0.Productos'!CH$1+1,0),"")</f>
        <v/>
      </c>
      <c r="AQ188" s="133" t="str">
        <f>IF($A188&lt;&gt;0,VLOOKUP($A188,'0.Productos'!$A$3:$GG$587,'0.Productos'!CI$1+1,0),"")</f>
        <v/>
      </c>
      <c r="AR188" s="133" t="str">
        <f>IF($A188&lt;&gt;0,VLOOKUP($A188,'0.Productos'!$A$3:$GG$587,'0.Productos'!CJ$1+1,0),"")</f>
        <v/>
      </c>
      <c r="AS188" s="133" t="str">
        <f>IF($A188&lt;&gt;0,VLOOKUP($A188,'0.Productos'!$A$3:$GG$587,'0.Productos'!CK$1+1,0),"")</f>
        <v/>
      </c>
      <c r="AT188" s="133" t="str">
        <f>IF($A188&lt;&gt;0,VLOOKUP($A188,'0.Productos'!$A$3:$GG$587,'0.Productos'!CL$1+1,0),"")</f>
        <v/>
      </c>
      <c r="AU188" s="133" t="str">
        <f>IF($A188&lt;&gt;0,VLOOKUP($A188,'0.Productos'!$A$3:$GG$587,'0.Productos'!CM$1+1,0),"")</f>
        <v/>
      </c>
      <c r="AV188" s="133" t="str">
        <f>IF($A188&lt;&gt;0,VLOOKUP($A188,'0.Productos'!$A$3:$GG$587,'0.Productos'!CN$1+1,0),"")</f>
        <v/>
      </c>
      <c r="AW188" s="133" t="str">
        <f>IF($A188&lt;&gt;0,VLOOKUP($A188,'0.Productos'!$A$3:$GG$587,'0.Productos'!CO$1+1,0),"")</f>
        <v/>
      </c>
      <c r="AX188" s="133" t="str">
        <f>IF($A188&lt;&gt;0,VLOOKUP($A188,'0.Productos'!$A$3:$GG$587,'0.Productos'!CP$1+1,0),"")</f>
        <v/>
      </c>
      <c r="AY188" s="133" t="str">
        <f>IF($A188&lt;&gt;0,VLOOKUP($A188,'0.Productos'!$A$3:$GG$587,'0.Productos'!CQ$1+1,0),"")</f>
        <v/>
      </c>
      <c r="AZ188" s="133" t="str">
        <f>IF($A188&lt;&gt;0,VLOOKUP($A188,'0.Productos'!$A$3:$GG$587,'0.Productos'!CR$1+1,0),"")</f>
        <v/>
      </c>
      <c r="BA188" s="133" t="str">
        <f>IF($A188&lt;&gt;0,VLOOKUP($A188,'0.Productos'!$A$3:$GG$587,'0.Productos'!CS$1+1,0),"")</f>
        <v/>
      </c>
      <c r="BB188" s="133" t="str">
        <f>IF($A188&lt;&gt;0,VLOOKUP($A188,'0.Productos'!$A$3:$GG$587,'0.Productos'!CT$1+1,0),"")</f>
        <v/>
      </c>
      <c r="BC188" s="133" t="str">
        <f>IF($A188&lt;&gt;0,VLOOKUP($A188,'0.Productos'!$A$3:$GG$587,'0.Productos'!CU$1+1,0),"")</f>
        <v/>
      </c>
      <c r="BD188" s="133" t="str">
        <f>IF($A188&lt;&gt;0,VLOOKUP($A188,'0.Productos'!$A$3:$GG$587,'0.Productos'!CV$1+1,0),"")</f>
        <v/>
      </c>
      <c r="BE188" s="133" t="str">
        <f>IF($A188&lt;&gt;0,VLOOKUP($A188,'0.Productos'!$A$3:$GG$587,'0.Productos'!CW$1+1,0),"")</f>
        <v/>
      </c>
      <c r="BF188" s="133" t="str">
        <f>IF($A188&lt;&gt;0,VLOOKUP($A188,'0.Productos'!$A$3:$GG$587,'0.Productos'!CX$1+1,0),"")</f>
        <v/>
      </c>
      <c r="BG188" s="133" t="str">
        <f>IF($A188&lt;&gt;0,VLOOKUP($A188,'0.Productos'!$A$3:$GG$587,'0.Productos'!CY$1+1,0),"")</f>
        <v/>
      </c>
      <c r="BH188" s="133" t="str">
        <f>IF($A188&lt;&gt;0,VLOOKUP($A188,'0.Productos'!$A$3:$GG$587,'0.Productos'!CZ$1+1,0),"")</f>
        <v/>
      </c>
      <c r="BI188" s="133" t="str">
        <f>IF($A188&lt;&gt;0,VLOOKUP($A188,'0.Productos'!$A$3:$GG$587,'0.Productos'!DA$1+1,0),"")</f>
        <v/>
      </c>
      <c r="BJ188" s="133" t="str">
        <f>IF($A188&lt;&gt;0,VLOOKUP($A188,'0.Productos'!$A$3:$GG$587,'0.Productos'!DB$1+1,0),"")</f>
        <v/>
      </c>
      <c r="BK188" s="133" t="str">
        <f>IF($A188&lt;&gt;0,VLOOKUP($A188,'0.Productos'!$A$3:$GG$587,'0.Productos'!DC$1+1,0),"")</f>
        <v/>
      </c>
      <c r="BL188" s="133" t="str">
        <f>IF($A188&lt;&gt;0,VLOOKUP($A188,'0.Productos'!$A$3:$GG$587,'0.Productos'!DD$1+1,0),"")</f>
        <v/>
      </c>
      <c r="BM188" s="133" t="str">
        <f>IF($A188&lt;&gt;0,VLOOKUP($A188,'0.Productos'!$A$3:$GG$587,'0.Productos'!DE$1+1,0),"")</f>
        <v/>
      </c>
      <c r="BN188" s="133" t="str">
        <f>IF($A188&lt;&gt;0,VLOOKUP($A188,'0.Productos'!$A$3:$GG$587,'0.Productos'!DF$1+1,0),"")</f>
        <v/>
      </c>
      <c r="BO188" s="133" t="str">
        <f>IF($A188&lt;&gt;0,VLOOKUP($A188,'0.Productos'!$A$3:$GG$587,'0.Productos'!DG$1+1,0),"")</f>
        <v/>
      </c>
      <c r="BP188" s="133" t="str">
        <f>IF($A188&lt;&gt;0,VLOOKUP($A188,'0.Productos'!$A$3:$GG$587,'0.Productos'!DH$1+1,0),"")</f>
        <v/>
      </c>
      <c r="BQ188" s="133" t="str">
        <f>IF($A188&lt;&gt;0,VLOOKUP($A188,'0.Productos'!$A$3:$GG$587,'0.Productos'!DI$1+1,0),"")</f>
        <v/>
      </c>
      <c r="BR188" s="133" t="str">
        <f>IF($A188&lt;&gt;0,VLOOKUP($A188,'0.Productos'!$A$3:$GG$587,'0.Productos'!DJ$1+1,0),"")</f>
        <v/>
      </c>
      <c r="BS188" s="133" t="str">
        <f>IF($A188&lt;&gt;0,VLOOKUP($A188,'0.Productos'!$A$3:$GG$587,'0.Productos'!DK$1+1,0),"")</f>
        <v/>
      </c>
      <c r="BT188" s="133" t="str">
        <f>IF($A188&lt;&gt;0,VLOOKUP($A188,'0.Productos'!$A$3:$GG$587,'0.Productos'!DL$1+1,0),"")</f>
        <v/>
      </c>
    </row>
    <row r="189" spans="1:72" x14ac:dyDescent="0.25">
      <c r="A189" s="17">
        <f>'0.Consolidado general'!A189</f>
        <v>0</v>
      </c>
      <c r="B189" s="133" t="str">
        <f>IF($A189&lt;&gt;0,VLOOKUP($A189,'0.Productos'!$A$3:$GG$587,'0.Productos'!AT$1+1,0),"")</f>
        <v/>
      </c>
      <c r="C189" s="133" t="str">
        <f>IF($A189&lt;&gt;0,VLOOKUP($A189,'0.Productos'!$A$3:$GG$587,'0.Productos'!AU$1+1,0),"")</f>
        <v/>
      </c>
      <c r="D189" s="133" t="str">
        <f>IF($A189&lt;&gt;0,VLOOKUP($A189,'0.Productos'!$A$3:$GG$587,'0.Productos'!AV$1+1,0),"")</f>
        <v/>
      </c>
      <c r="E189" s="133" t="str">
        <f>IF($A189&lt;&gt;0,VLOOKUP($A189,'0.Productos'!$A$3:$GG$587,'0.Productos'!AW$1+1,0),"")</f>
        <v/>
      </c>
      <c r="F189" s="133" t="str">
        <f>IF($A189&lt;&gt;0,VLOOKUP($A189,'0.Productos'!$A$3:$GG$587,'0.Productos'!AX$1+1,0),"")</f>
        <v/>
      </c>
      <c r="G189" s="133" t="str">
        <f>IF($A189&lt;&gt;0,VLOOKUP($A189,'0.Productos'!$A$3:$GG$587,'0.Productos'!AY$1+1,0),"")</f>
        <v/>
      </c>
      <c r="H189" s="133" t="str">
        <f>IF($A189&lt;&gt;0,VLOOKUP($A189,'0.Productos'!$A$3:$GG$587,'0.Productos'!AZ$1+1,0),"")</f>
        <v/>
      </c>
      <c r="I189" s="133" t="str">
        <f>IF($A189&lt;&gt;0,VLOOKUP($A189,'0.Productos'!$A$3:$GG$587,'0.Productos'!BA$1+1,0),"")</f>
        <v/>
      </c>
      <c r="J189" s="133" t="str">
        <f>IF($A189&lt;&gt;0,VLOOKUP($A189,'0.Productos'!$A$3:$GG$587,'0.Productos'!BB$1+1,0),"")</f>
        <v/>
      </c>
      <c r="K189" s="133" t="str">
        <f>IF($A189&lt;&gt;0,VLOOKUP($A189,'0.Productos'!$A$3:$GG$587,'0.Productos'!BC$1+1,0),"")</f>
        <v/>
      </c>
      <c r="L189" s="133" t="str">
        <f>IF($A189&lt;&gt;0,VLOOKUP($A189,'0.Productos'!$A$3:$GG$587,'0.Productos'!BD$1+1,0),"")</f>
        <v/>
      </c>
      <c r="M189" s="133" t="str">
        <f>IF($A189&lt;&gt;0,VLOOKUP($A189,'0.Productos'!$A$3:$GG$587,'0.Productos'!BE$1+1,0),"")</f>
        <v/>
      </c>
      <c r="N189" s="133" t="str">
        <f>IF($A189&lt;&gt;0,VLOOKUP($A189,'0.Productos'!$A$3:$GG$587,'0.Productos'!BF$1+1,0),"")</f>
        <v/>
      </c>
      <c r="O189" s="133" t="str">
        <f>IF($A189&lt;&gt;0,VLOOKUP($A189,'0.Productos'!$A$3:$GG$587,'0.Productos'!BG$1+1,0),"")</f>
        <v/>
      </c>
      <c r="P189" s="133" t="str">
        <f>IF($A189&lt;&gt;0,VLOOKUP($A189,'0.Productos'!$A$3:$GG$587,'0.Productos'!BH$1+1,0),"")</f>
        <v/>
      </c>
      <c r="Q189" s="133" t="str">
        <f>IF($A189&lt;&gt;0,VLOOKUP($A189,'0.Productos'!$A$3:$GG$587,'0.Productos'!BI$1+1,0),"")</f>
        <v/>
      </c>
      <c r="R189" s="133" t="str">
        <f>IF($A189&lt;&gt;0,VLOOKUP($A189,'0.Productos'!$A$3:$GG$587,'0.Productos'!BJ$1+1,0),"")</f>
        <v/>
      </c>
      <c r="S189" s="133" t="str">
        <f>IF($A189&lt;&gt;0,VLOOKUP($A189,'0.Productos'!$A$3:$GG$587,'0.Productos'!BK$1+1,0),"")</f>
        <v/>
      </c>
      <c r="T189" s="133" t="str">
        <f>IF($A189&lt;&gt;0,VLOOKUP($A189,'0.Productos'!$A$3:$GG$587,'0.Productos'!BL$1+1,0),"")</f>
        <v/>
      </c>
      <c r="U189" s="133" t="str">
        <f>IF($A189&lt;&gt;0,VLOOKUP($A189,'0.Productos'!$A$3:$GG$587,'0.Productos'!BM$1+1,0),"")</f>
        <v/>
      </c>
      <c r="V189" s="133" t="str">
        <f>IF($A189&lt;&gt;0,VLOOKUP($A189,'0.Productos'!$A$3:$GG$587,'0.Productos'!BN$1+1,0),"")</f>
        <v/>
      </c>
      <c r="W189" s="133" t="str">
        <f>IF($A189&lt;&gt;0,VLOOKUP($A189,'0.Productos'!$A$3:$GG$587,'0.Productos'!BO$1+1,0),"")</f>
        <v/>
      </c>
      <c r="X189" s="133" t="str">
        <f>IF($A189&lt;&gt;0,VLOOKUP($A189,'0.Productos'!$A$3:$GG$587,'0.Productos'!BP$1+1,0),"")</f>
        <v/>
      </c>
      <c r="Y189" s="133" t="str">
        <f>IF($A189&lt;&gt;0,VLOOKUP($A189,'0.Productos'!$A$3:$GG$587,'0.Productos'!BQ$1+1,0),"")</f>
        <v/>
      </c>
      <c r="Z189" s="133" t="str">
        <f>IF($A189&lt;&gt;0,VLOOKUP($A189,'0.Productos'!$A$3:$GG$587,'0.Productos'!BR$1+1,0),"")</f>
        <v/>
      </c>
      <c r="AA189" s="133" t="str">
        <f>IF($A189&lt;&gt;0,VLOOKUP($A189,'0.Productos'!$A$3:$GG$587,'0.Productos'!BS$1+1,0),"")</f>
        <v/>
      </c>
      <c r="AB189" s="133" t="str">
        <f>IF($A189&lt;&gt;0,VLOOKUP($A189,'0.Productos'!$A$3:$GG$587,'0.Productos'!BT$1+1,0),"")</f>
        <v/>
      </c>
      <c r="AC189" s="133" t="str">
        <f>IF($A189&lt;&gt;0,VLOOKUP($A189,'0.Productos'!$A$3:$GG$587,'0.Productos'!BU$1+1,0),"")</f>
        <v/>
      </c>
      <c r="AD189" s="133" t="str">
        <f>IF($A189&lt;&gt;0,VLOOKUP($A189,'0.Productos'!$A$3:$GG$587,'0.Productos'!BV$1+1,0),"")</f>
        <v/>
      </c>
      <c r="AE189" s="133" t="str">
        <f>IF($A189&lt;&gt;0,VLOOKUP($A189,'0.Productos'!$A$3:$GG$587,'0.Productos'!BW$1+1,0),"")</f>
        <v/>
      </c>
      <c r="AF189" s="133" t="str">
        <f>IF($A189&lt;&gt;0,VLOOKUP($A189,'0.Productos'!$A$3:$GG$587,'0.Productos'!BX$1+1,0),"")</f>
        <v/>
      </c>
      <c r="AG189" s="133" t="str">
        <f>IF($A189&lt;&gt;0,VLOOKUP($A189,'0.Productos'!$A$3:$GG$587,'0.Productos'!BY$1+1,0),"")</f>
        <v/>
      </c>
      <c r="AH189" s="133" t="str">
        <f>IF($A189&lt;&gt;0,VLOOKUP($A189,'0.Productos'!$A$3:$GG$587,'0.Productos'!BZ$1+1,0),"")</f>
        <v/>
      </c>
      <c r="AI189" s="133" t="str">
        <f>IF($A189&lt;&gt;0,VLOOKUP($A189,'0.Productos'!$A$3:$GG$587,'0.Productos'!CA$1+1,0),"")</f>
        <v/>
      </c>
      <c r="AJ189" s="133" t="str">
        <f>IF($A189&lt;&gt;0,VLOOKUP($A189,'0.Productos'!$A$3:$GG$587,'0.Productos'!CB$1+1,0),"")</f>
        <v/>
      </c>
      <c r="AK189" s="133" t="str">
        <f>IF($A189&lt;&gt;0,VLOOKUP($A189,'0.Productos'!$A$3:$GG$587,'0.Productos'!CC$1+1,0),"")</f>
        <v/>
      </c>
      <c r="AL189" s="133" t="str">
        <f>IF($A189&lt;&gt;0,VLOOKUP($A189,'0.Productos'!$A$3:$GG$587,'0.Productos'!CD$1+1,0),"")</f>
        <v/>
      </c>
      <c r="AM189" s="133" t="str">
        <f>IF($A189&lt;&gt;0,VLOOKUP($A189,'0.Productos'!$A$3:$GG$587,'0.Productos'!CE$1+1,0),"")</f>
        <v/>
      </c>
      <c r="AN189" s="133" t="str">
        <f>IF($A189&lt;&gt;0,VLOOKUP($A189,'0.Productos'!$A$3:$GG$587,'0.Productos'!CF$1+1,0),"")</f>
        <v/>
      </c>
      <c r="AO189" s="133" t="str">
        <f>IF($A189&lt;&gt;0,VLOOKUP($A189,'0.Productos'!$A$3:$GG$587,'0.Productos'!CG$1+1,0),"")</f>
        <v/>
      </c>
      <c r="AP189" s="133" t="str">
        <f>IF($A189&lt;&gt;0,VLOOKUP($A189,'0.Productos'!$A$3:$GG$587,'0.Productos'!CH$1+1,0),"")</f>
        <v/>
      </c>
      <c r="AQ189" s="133" t="str">
        <f>IF($A189&lt;&gt;0,VLOOKUP($A189,'0.Productos'!$A$3:$GG$587,'0.Productos'!CI$1+1,0),"")</f>
        <v/>
      </c>
      <c r="AR189" s="133" t="str">
        <f>IF($A189&lt;&gt;0,VLOOKUP($A189,'0.Productos'!$A$3:$GG$587,'0.Productos'!CJ$1+1,0),"")</f>
        <v/>
      </c>
      <c r="AS189" s="133" t="str">
        <f>IF($A189&lt;&gt;0,VLOOKUP($A189,'0.Productos'!$A$3:$GG$587,'0.Productos'!CK$1+1,0),"")</f>
        <v/>
      </c>
      <c r="AT189" s="133" t="str">
        <f>IF($A189&lt;&gt;0,VLOOKUP($A189,'0.Productos'!$A$3:$GG$587,'0.Productos'!CL$1+1,0),"")</f>
        <v/>
      </c>
      <c r="AU189" s="133" t="str">
        <f>IF($A189&lt;&gt;0,VLOOKUP($A189,'0.Productos'!$A$3:$GG$587,'0.Productos'!CM$1+1,0),"")</f>
        <v/>
      </c>
      <c r="AV189" s="133" t="str">
        <f>IF($A189&lt;&gt;0,VLOOKUP($A189,'0.Productos'!$A$3:$GG$587,'0.Productos'!CN$1+1,0),"")</f>
        <v/>
      </c>
      <c r="AW189" s="133" t="str">
        <f>IF($A189&lt;&gt;0,VLOOKUP($A189,'0.Productos'!$A$3:$GG$587,'0.Productos'!CO$1+1,0),"")</f>
        <v/>
      </c>
      <c r="AX189" s="133" t="str">
        <f>IF($A189&lt;&gt;0,VLOOKUP($A189,'0.Productos'!$A$3:$GG$587,'0.Productos'!CP$1+1,0),"")</f>
        <v/>
      </c>
      <c r="AY189" s="133" t="str">
        <f>IF($A189&lt;&gt;0,VLOOKUP($A189,'0.Productos'!$A$3:$GG$587,'0.Productos'!CQ$1+1,0),"")</f>
        <v/>
      </c>
      <c r="AZ189" s="133" t="str">
        <f>IF($A189&lt;&gt;0,VLOOKUP($A189,'0.Productos'!$A$3:$GG$587,'0.Productos'!CR$1+1,0),"")</f>
        <v/>
      </c>
      <c r="BA189" s="133" t="str">
        <f>IF($A189&lt;&gt;0,VLOOKUP($A189,'0.Productos'!$A$3:$GG$587,'0.Productos'!CS$1+1,0),"")</f>
        <v/>
      </c>
      <c r="BB189" s="133" t="str">
        <f>IF($A189&lt;&gt;0,VLOOKUP($A189,'0.Productos'!$A$3:$GG$587,'0.Productos'!CT$1+1,0),"")</f>
        <v/>
      </c>
      <c r="BC189" s="133" t="str">
        <f>IF($A189&lt;&gt;0,VLOOKUP($A189,'0.Productos'!$A$3:$GG$587,'0.Productos'!CU$1+1,0),"")</f>
        <v/>
      </c>
      <c r="BD189" s="133" t="str">
        <f>IF($A189&lt;&gt;0,VLOOKUP($A189,'0.Productos'!$A$3:$GG$587,'0.Productos'!CV$1+1,0),"")</f>
        <v/>
      </c>
      <c r="BE189" s="133" t="str">
        <f>IF($A189&lt;&gt;0,VLOOKUP($A189,'0.Productos'!$A$3:$GG$587,'0.Productos'!CW$1+1,0),"")</f>
        <v/>
      </c>
      <c r="BF189" s="133" t="str">
        <f>IF($A189&lt;&gt;0,VLOOKUP($A189,'0.Productos'!$A$3:$GG$587,'0.Productos'!CX$1+1,0),"")</f>
        <v/>
      </c>
      <c r="BG189" s="133" t="str">
        <f>IF($A189&lt;&gt;0,VLOOKUP($A189,'0.Productos'!$A$3:$GG$587,'0.Productos'!CY$1+1,0),"")</f>
        <v/>
      </c>
      <c r="BH189" s="133" t="str">
        <f>IF($A189&lt;&gt;0,VLOOKUP($A189,'0.Productos'!$A$3:$GG$587,'0.Productos'!CZ$1+1,0),"")</f>
        <v/>
      </c>
      <c r="BI189" s="133" t="str">
        <f>IF($A189&lt;&gt;0,VLOOKUP($A189,'0.Productos'!$A$3:$GG$587,'0.Productos'!DA$1+1,0),"")</f>
        <v/>
      </c>
      <c r="BJ189" s="133" t="str">
        <f>IF($A189&lt;&gt;0,VLOOKUP($A189,'0.Productos'!$A$3:$GG$587,'0.Productos'!DB$1+1,0),"")</f>
        <v/>
      </c>
      <c r="BK189" s="133" t="str">
        <f>IF($A189&lt;&gt;0,VLOOKUP($A189,'0.Productos'!$A$3:$GG$587,'0.Productos'!DC$1+1,0),"")</f>
        <v/>
      </c>
      <c r="BL189" s="133" t="str">
        <f>IF($A189&lt;&gt;0,VLOOKUP($A189,'0.Productos'!$A$3:$GG$587,'0.Productos'!DD$1+1,0),"")</f>
        <v/>
      </c>
      <c r="BM189" s="133" t="str">
        <f>IF($A189&lt;&gt;0,VLOOKUP($A189,'0.Productos'!$A$3:$GG$587,'0.Productos'!DE$1+1,0),"")</f>
        <v/>
      </c>
      <c r="BN189" s="133" t="str">
        <f>IF($A189&lt;&gt;0,VLOOKUP($A189,'0.Productos'!$A$3:$GG$587,'0.Productos'!DF$1+1,0),"")</f>
        <v/>
      </c>
      <c r="BO189" s="133" t="str">
        <f>IF($A189&lt;&gt;0,VLOOKUP($A189,'0.Productos'!$A$3:$GG$587,'0.Productos'!DG$1+1,0),"")</f>
        <v/>
      </c>
      <c r="BP189" s="133" t="str">
        <f>IF($A189&lt;&gt;0,VLOOKUP($A189,'0.Productos'!$A$3:$GG$587,'0.Productos'!DH$1+1,0),"")</f>
        <v/>
      </c>
      <c r="BQ189" s="133" t="str">
        <f>IF($A189&lt;&gt;0,VLOOKUP($A189,'0.Productos'!$A$3:$GG$587,'0.Productos'!DI$1+1,0),"")</f>
        <v/>
      </c>
      <c r="BR189" s="133" t="str">
        <f>IF($A189&lt;&gt;0,VLOOKUP($A189,'0.Productos'!$A$3:$GG$587,'0.Productos'!DJ$1+1,0),"")</f>
        <v/>
      </c>
      <c r="BS189" s="133" t="str">
        <f>IF($A189&lt;&gt;0,VLOOKUP($A189,'0.Productos'!$A$3:$GG$587,'0.Productos'!DK$1+1,0),"")</f>
        <v/>
      </c>
      <c r="BT189" s="133" t="str">
        <f>IF($A189&lt;&gt;0,VLOOKUP($A189,'0.Productos'!$A$3:$GG$587,'0.Productos'!DL$1+1,0),"")</f>
        <v/>
      </c>
    </row>
    <row r="190" spans="1:72" x14ac:dyDescent="0.25">
      <c r="A190" s="17">
        <f>'0.Consolidado general'!A190</f>
        <v>0</v>
      </c>
      <c r="B190" s="133" t="str">
        <f>IF($A190&lt;&gt;0,VLOOKUP($A190,'0.Productos'!$A$3:$GG$587,'0.Productos'!AT$1+1,0),"")</f>
        <v/>
      </c>
      <c r="C190" s="133" t="str">
        <f>IF($A190&lt;&gt;0,VLOOKUP($A190,'0.Productos'!$A$3:$GG$587,'0.Productos'!AU$1+1,0),"")</f>
        <v/>
      </c>
      <c r="D190" s="133" t="str">
        <f>IF($A190&lt;&gt;0,VLOOKUP($A190,'0.Productos'!$A$3:$GG$587,'0.Productos'!AV$1+1,0),"")</f>
        <v/>
      </c>
      <c r="E190" s="133" t="str">
        <f>IF($A190&lt;&gt;0,VLOOKUP($A190,'0.Productos'!$A$3:$GG$587,'0.Productos'!AW$1+1,0),"")</f>
        <v/>
      </c>
      <c r="F190" s="133" t="str">
        <f>IF($A190&lt;&gt;0,VLOOKUP($A190,'0.Productos'!$A$3:$GG$587,'0.Productos'!AX$1+1,0),"")</f>
        <v/>
      </c>
      <c r="G190" s="133" t="str">
        <f>IF($A190&lt;&gt;0,VLOOKUP($A190,'0.Productos'!$A$3:$GG$587,'0.Productos'!AY$1+1,0),"")</f>
        <v/>
      </c>
      <c r="H190" s="133" t="str">
        <f>IF($A190&lt;&gt;0,VLOOKUP($A190,'0.Productos'!$A$3:$GG$587,'0.Productos'!AZ$1+1,0),"")</f>
        <v/>
      </c>
      <c r="I190" s="133" t="str">
        <f>IF($A190&lt;&gt;0,VLOOKUP($A190,'0.Productos'!$A$3:$GG$587,'0.Productos'!BA$1+1,0),"")</f>
        <v/>
      </c>
      <c r="J190" s="133" t="str">
        <f>IF($A190&lt;&gt;0,VLOOKUP($A190,'0.Productos'!$A$3:$GG$587,'0.Productos'!BB$1+1,0),"")</f>
        <v/>
      </c>
      <c r="K190" s="133" t="str">
        <f>IF($A190&lt;&gt;0,VLOOKUP($A190,'0.Productos'!$A$3:$GG$587,'0.Productos'!BC$1+1,0),"")</f>
        <v/>
      </c>
      <c r="L190" s="133" t="str">
        <f>IF($A190&lt;&gt;0,VLOOKUP($A190,'0.Productos'!$A$3:$GG$587,'0.Productos'!BD$1+1,0),"")</f>
        <v/>
      </c>
      <c r="M190" s="133" t="str">
        <f>IF($A190&lt;&gt;0,VLOOKUP($A190,'0.Productos'!$A$3:$GG$587,'0.Productos'!BE$1+1,0),"")</f>
        <v/>
      </c>
      <c r="N190" s="133" t="str">
        <f>IF($A190&lt;&gt;0,VLOOKUP($A190,'0.Productos'!$A$3:$GG$587,'0.Productos'!BF$1+1,0),"")</f>
        <v/>
      </c>
      <c r="O190" s="133" t="str">
        <f>IF($A190&lt;&gt;0,VLOOKUP($A190,'0.Productos'!$A$3:$GG$587,'0.Productos'!BG$1+1,0),"")</f>
        <v/>
      </c>
      <c r="P190" s="133" t="str">
        <f>IF($A190&lt;&gt;0,VLOOKUP($A190,'0.Productos'!$A$3:$GG$587,'0.Productos'!BH$1+1,0),"")</f>
        <v/>
      </c>
      <c r="Q190" s="133" t="str">
        <f>IF($A190&lt;&gt;0,VLOOKUP($A190,'0.Productos'!$A$3:$GG$587,'0.Productos'!BI$1+1,0),"")</f>
        <v/>
      </c>
      <c r="R190" s="133" t="str">
        <f>IF($A190&lt;&gt;0,VLOOKUP($A190,'0.Productos'!$A$3:$GG$587,'0.Productos'!BJ$1+1,0),"")</f>
        <v/>
      </c>
      <c r="S190" s="133" t="str">
        <f>IF($A190&lt;&gt;0,VLOOKUP($A190,'0.Productos'!$A$3:$GG$587,'0.Productos'!BK$1+1,0),"")</f>
        <v/>
      </c>
      <c r="T190" s="133" t="str">
        <f>IF($A190&lt;&gt;0,VLOOKUP($A190,'0.Productos'!$A$3:$GG$587,'0.Productos'!BL$1+1,0),"")</f>
        <v/>
      </c>
      <c r="U190" s="133" t="str">
        <f>IF($A190&lt;&gt;0,VLOOKUP($A190,'0.Productos'!$A$3:$GG$587,'0.Productos'!BM$1+1,0),"")</f>
        <v/>
      </c>
      <c r="V190" s="133" t="str">
        <f>IF($A190&lt;&gt;0,VLOOKUP($A190,'0.Productos'!$A$3:$GG$587,'0.Productos'!BN$1+1,0),"")</f>
        <v/>
      </c>
      <c r="W190" s="133" t="str">
        <f>IF($A190&lt;&gt;0,VLOOKUP($A190,'0.Productos'!$A$3:$GG$587,'0.Productos'!BO$1+1,0),"")</f>
        <v/>
      </c>
      <c r="X190" s="133" t="str">
        <f>IF($A190&lt;&gt;0,VLOOKUP($A190,'0.Productos'!$A$3:$GG$587,'0.Productos'!BP$1+1,0),"")</f>
        <v/>
      </c>
      <c r="Y190" s="133" t="str">
        <f>IF($A190&lt;&gt;0,VLOOKUP($A190,'0.Productos'!$A$3:$GG$587,'0.Productos'!BQ$1+1,0),"")</f>
        <v/>
      </c>
      <c r="Z190" s="133" t="str">
        <f>IF($A190&lt;&gt;0,VLOOKUP($A190,'0.Productos'!$A$3:$GG$587,'0.Productos'!BR$1+1,0),"")</f>
        <v/>
      </c>
      <c r="AA190" s="133" t="str">
        <f>IF($A190&lt;&gt;0,VLOOKUP($A190,'0.Productos'!$A$3:$GG$587,'0.Productos'!BS$1+1,0),"")</f>
        <v/>
      </c>
      <c r="AB190" s="133" t="str">
        <f>IF($A190&lt;&gt;0,VLOOKUP($A190,'0.Productos'!$A$3:$GG$587,'0.Productos'!BT$1+1,0),"")</f>
        <v/>
      </c>
      <c r="AC190" s="133" t="str">
        <f>IF($A190&lt;&gt;0,VLOOKUP($A190,'0.Productos'!$A$3:$GG$587,'0.Productos'!BU$1+1,0),"")</f>
        <v/>
      </c>
      <c r="AD190" s="133" t="str">
        <f>IF($A190&lt;&gt;0,VLOOKUP($A190,'0.Productos'!$A$3:$GG$587,'0.Productos'!BV$1+1,0),"")</f>
        <v/>
      </c>
      <c r="AE190" s="133" t="str">
        <f>IF($A190&lt;&gt;0,VLOOKUP($A190,'0.Productos'!$A$3:$GG$587,'0.Productos'!BW$1+1,0),"")</f>
        <v/>
      </c>
      <c r="AF190" s="133" t="str">
        <f>IF($A190&lt;&gt;0,VLOOKUP($A190,'0.Productos'!$A$3:$GG$587,'0.Productos'!BX$1+1,0),"")</f>
        <v/>
      </c>
      <c r="AG190" s="133" t="str">
        <f>IF($A190&lt;&gt;0,VLOOKUP($A190,'0.Productos'!$A$3:$GG$587,'0.Productos'!BY$1+1,0),"")</f>
        <v/>
      </c>
      <c r="AH190" s="133" t="str">
        <f>IF($A190&lt;&gt;0,VLOOKUP($A190,'0.Productos'!$A$3:$GG$587,'0.Productos'!BZ$1+1,0),"")</f>
        <v/>
      </c>
      <c r="AI190" s="133" t="str">
        <f>IF($A190&lt;&gt;0,VLOOKUP($A190,'0.Productos'!$A$3:$GG$587,'0.Productos'!CA$1+1,0),"")</f>
        <v/>
      </c>
      <c r="AJ190" s="133" t="str">
        <f>IF($A190&lt;&gt;0,VLOOKUP($A190,'0.Productos'!$A$3:$GG$587,'0.Productos'!CB$1+1,0),"")</f>
        <v/>
      </c>
      <c r="AK190" s="133" t="str">
        <f>IF($A190&lt;&gt;0,VLOOKUP($A190,'0.Productos'!$A$3:$GG$587,'0.Productos'!CC$1+1,0),"")</f>
        <v/>
      </c>
      <c r="AL190" s="133" t="str">
        <f>IF($A190&lt;&gt;0,VLOOKUP($A190,'0.Productos'!$A$3:$GG$587,'0.Productos'!CD$1+1,0),"")</f>
        <v/>
      </c>
      <c r="AM190" s="133" t="str">
        <f>IF($A190&lt;&gt;0,VLOOKUP($A190,'0.Productos'!$A$3:$GG$587,'0.Productos'!CE$1+1,0),"")</f>
        <v/>
      </c>
      <c r="AN190" s="133" t="str">
        <f>IF($A190&lt;&gt;0,VLOOKUP($A190,'0.Productos'!$A$3:$GG$587,'0.Productos'!CF$1+1,0),"")</f>
        <v/>
      </c>
      <c r="AO190" s="133" t="str">
        <f>IF($A190&lt;&gt;0,VLOOKUP($A190,'0.Productos'!$A$3:$GG$587,'0.Productos'!CG$1+1,0),"")</f>
        <v/>
      </c>
      <c r="AP190" s="133" t="str">
        <f>IF($A190&lt;&gt;0,VLOOKUP($A190,'0.Productos'!$A$3:$GG$587,'0.Productos'!CH$1+1,0),"")</f>
        <v/>
      </c>
      <c r="AQ190" s="133" t="str">
        <f>IF($A190&lt;&gt;0,VLOOKUP($A190,'0.Productos'!$A$3:$GG$587,'0.Productos'!CI$1+1,0),"")</f>
        <v/>
      </c>
      <c r="AR190" s="133" t="str">
        <f>IF($A190&lt;&gt;0,VLOOKUP($A190,'0.Productos'!$A$3:$GG$587,'0.Productos'!CJ$1+1,0),"")</f>
        <v/>
      </c>
      <c r="AS190" s="133" t="str">
        <f>IF($A190&lt;&gt;0,VLOOKUP($A190,'0.Productos'!$A$3:$GG$587,'0.Productos'!CK$1+1,0),"")</f>
        <v/>
      </c>
      <c r="AT190" s="133" t="str">
        <f>IF($A190&lt;&gt;0,VLOOKUP($A190,'0.Productos'!$A$3:$GG$587,'0.Productos'!CL$1+1,0),"")</f>
        <v/>
      </c>
      <c r="AU190" s="133" t="str">
        <f>IF($A190&lt;&gt;0,VLOOKUP($A190,'0.Productos'!$A$3:$GG$587,'0.Productos'!CM$1+1,0),"")</f>
        <v/>
      </c>
      <c r="AV190" s="133" t="str">
        <f>IF($A190&lt;&gt;0,VLOOKUP($A190,'0.Productos'!$A$3:$GG$587,'0.Productos'!CN$1+1,0),"")</f>
        <v/>
      </c>
      <c r="AW190" s="133" t="str">
        <f>IF($A190&lt;&gt;0,VLOOKUP($A190,'0.Productos'!$A$3:$GG$587,'0.Productos'!CO$1+1,0),"")</f>
        <v/>
      </c>
      <c r="AX190" s="133" t="str">
        <f>IF($A190&lt;&gt;0,VLOOKUP($A190,'0.Productos'!$A$3:$GG$587,'0.Productos'!CP$1+1,0),"")</f>
        <v/>
      </c>
      <c r="AY190" s="133" t="str">
        <f>IF($A190&lt;&gt;0,VLOOKUP($A190,'0.Productos'!$A$3:$GG$587,'0.Productos'!CQ$1+1,0),"")</f>
        <v/>
      </c>
      <c r="AZ190" s="133" t="str">
        <f>IF($A190&lt;&gt;0,VLOOKUP($A190,'0.Productos'!$A$3:$GG$587,'0.Productos'!CR$1+1,0),"")</f>
        <v/>
      </c>
      <c r="BA190" s="133" t="str">
        <f>IF($A190&lt;&gt;0,VLOOKUP($A190,'0.Productos'!$A$3:$GG$587,'0.Productos'!CS$1+1,0),"")</f>
        <v/>
      </c>
      <c r="BB190" s="133" t="str">
        <f>IF($A190&lt;&gt;0,VLOOKUP($A190,'0.Productos'!$A$3:$GG$587,'0.Productos'!CT$1+1,0),"")</f>
        <v/>
      </c>
      <c r="BC190" s="133" t="str">
        <f>IF($A190&lt;&gt;0,VLOOKUP($A190,'0.Productos'!$A$3:$GG$587,'0.Productos'!CU$1+1,0),"")</f>
        <v/>
      </c>
      <c r="BD190" s="133" t="str">
        <f>IF($A190&lt;&gt;0,VLOOKUP($A190,'0.Productos'!$A$3:$GG$587,'0.Productos'!CV$1+1,0),"")</f>
        <v/>
      </c>
      <c r="BE190" s="133" t="str">
        <f>IF($A190&lt;&gt;0,VLOOKUP($A190,'0.Productos'!$A$3:$GG$587,'0.Productos'!CW$1+1,0),"")</f>
        <v/>
      </c>
      <c r="BF190" s="133" t="str">
        <f>IF($A190&lt;&gt;0,VLOOKUP($A190,'0.Productos'!$A$3:$GG$587,'0.Productos'!CX$1+1,0),"")</f>
        <v/>
      </c>
      <c r="BG190" s="133" t="str">
        <f>IF($A190&lt;&gt;0,VLOOKUP($A190,'0.Productos'!$A$3:$GG$587,'0.Productos'!CY$1+1,0),"")</f>
        <v/>
      </c>
      <c r="BH190" s="133" t="str">
        <f>IF($A190&lt;&gt;0,VLOOKUP($A190,'0.Productos'!$A$3:$GG$587,'0.Productos'!CZ$1+1,0),"")</f>
        <v/>
      </c>
      <c r="BI190" s="133" t="str">
        <f>IF($A190&lt;&gt;0,VLOOKUP($A190,'0.Productos'!$A$3:$GG$587,'0.Productos'!DA$1+1,0),"")</f>
        <v/>
      </c>
      <c r="BJ190" s="133" t="str">
        <f>IF($A190&lt;&gt;0,VLOOKUP($A190,'0.Productos'!$A$3:$GG$587,'0.Productos'!DB$1+1,0),"")</f>
        <v/>
      </c>
      <c r="BK190" s="133" t="str">
        <f>IF($A190&lt;&gt;0,VLOOKUP($A190,'0.Productos'!$A$3:$GG$587,'0.Productos'!DC$1+1,0),"")</f>
        <v/>
      </c>
      <c r="BL190" s="133" t="str">
        <f>IF($A190&lt;&gt;0,VLOOKUP($A190,'0.Productos'!$A$3:$GG$587,'0.Productos'!DD$1+1,0),"")</f>
        <v/>
      </c>
      <c r="BM190" s="133" t="str">
        <f>IF($A190&lt;&gt;0,VLOOKUP($A190,'0.Productos'!$A$3:$GG$587,'0.Productos'!DE$1+1,0),"")</f>
        <v/>
      </c>
      <c r="BN190" s="133" t="str">
        <f>IF($A190&lt;&gt;0,VLOOKUP($A190,'0.Productos'!$A$3:$GG$587,'0.Productos'!DF$1+1,0),"")</f>
        <v/>
      </c>
      <c r="BO190" s="133" t="str">
        <f>IF($A190&lt;&gt;0,VLOOKUP($A190,'0.Productos'!$A$3:$GG$587,'0.Productos'!DG$1+1,0),"")</f>
        <v/>
      </c>
      <c r="BP190" s="133" t="str">
        <f>IF($A190&lt;&gt;0,VLOOKUP($A190,'0.Productos'!$A$3:$GG$587,'0.Productos'!DH$1+1,0),"")</f>
        <v/>
      </c>
      <c r="BQ190" s="133" t="str">
        <f>IF($A190&lt;&gt;0,VLOOKUP($A190,'0.Productos'!$A$3:$GG$587,'0.Productos'!DI$1+1,0),"")</f>
        <v/>
      </c>
      <c r="BR190" s="133" t="str">
        <f>IF($A190&lt;&gt;0,VLOOKUP($A190,'0.Productos'!$A$3:$GG$587,'0.Productos'!DJ$1+1,0),"")</f>
        <v/>
      </c>
      <c r="BS190" s="133" t="str">
        <f>IF($A190&lt;&gt;0,VLOOKUP($A190,'0.Productos'!$A$3:$GG$587,'0.Productos'!DK$1+1,0),"")</f>
        <v/>
      </c>
      <c r="BT190" s="133" t="str">
        <f>IF($A190&lt;&gt;0,VLOOKUP($A190,'0.Productos'!$A$3:$GG$587,'0.Productos'!DL$1+1,0),"")</f>
        <v/>
      </c>
    </row>
    <row r="191" spans="1:72" x14ac:dyDescent="0.25">
      <c r="A191" s="17">
        <f>'0.Consolidado general'!A191</f>
        <v>0</v>
      </c>
      <c r="B191" s="133" t="str">
        <f>IF($A191&lt;&gt;0,VLOOKUP($A191,'0.Productos'!$A$3:$GG$587,'0.Productos'!AT$1+1,0),"")</f>
        <v/>
      </c>
      <c r="C191" s="133" t="str">
        <f>IF($A191&lt;&gt;0,VLOOKUP($A191,'0.Productos'!$A$3:$GG$587,'0.Productos'!AU$1+1,0),"")</f>
        <v/>
      </c>
      <c r="D191" s="133" t="str">
        <f>IF($A191&lt;&gt;0,VLOOKUP($A191,'0.Productos'!$A$3:$GG$587,'0.Productos'!AV$1+1,0),"")</f>
        <v/>
      </c>
      <c r="E191" s="133" t="str">
        <f>IF($A191&lt;&gt;0,VLOOKUP($A191,'0.Productos'!$A$3:$GG$587,'0.Productos'!AW$1+1,0),"")</f>
        <v/>
      </c>
      <c r="F191" s="133" t="str">
        <f>IF($A191&lt;&gt;0,VLOOKUP($A191,'0.Productos'!$A$3:$GG$587,'0.Productos'!AX$1+1,0),"")</f>
        <v/>
      </c>
      <c r="G191" s="133" t="str">
        <f>IF($A191&lt;&gt;0,VLOOKUP($A191,'0.Productos'!$A$3:$GG$587,'0.Productos'!AY$1+1,0),"")</f>
        <v/>
      </c>
      <c r="H191" s="133" t="str">
        <f>IF($A191&lt;&gt;0,VLOOKUP($A191,'0.Productos'!$A$3:$GG$587,'0.Productos'!AZ$1+1,0),"")</f>
        <v/>
      </c>
      <c r="I191" s="133" t="str">
        <f>IF($A191&lt;&gt;0,VLOOKUP($A191,'0.Productos'!$A$3:$GG$587,'0.Productos'!BA$1+1,0),"")</f>
        <v/>
      </c>
      <c r="J191" s="133" t="str">
        <f>IF($A191&lt;&gt;0,VLOOKUP($A191,'0.Productos'!$A$3:$GG$587,'0.Productos'!BB$1+1,0),"")</f>
        <v/>
      </c>
      <c r="K191" s="133" t="str">
        <f>IF($A191&lt;&gt;0,VLOOKUP($A191,'0.Productos'!$A$3:$GG$587,'0.Productos'!BC$1+1,0),"")</f>
        <v/>
      </c>
      <c r="L191" s="133" t="str">
        <f>IF($A191&lt;&gt;0,VLOOKUP($A191,'0.Productos'!$A$3:$GG$587,'0.Productos'!BD$1+1,0),"")</f>
        <v/>
      </c>
      <c r="M191" s="133" t="str">
        <f>IF($A191&lt;&gt;0,VLOOKUP($A191,'0.Productos'!$A$3:$GG$587,'0.Productos'!BE$1+1,0),"")</f>
        <v/>
      </c>
      <c r="N191" s="133" t="str">
        <f>IF($A191&lt;&gt;0,VLOOKUP($A191,'0.Productos'!$A$3:$GG$587,'0.Productos'!BF$1+1,0),"")</f>
        <v/>
      </c>
      <c r="O191" s="133" t="str">
        <f>IF($A191&lt;&gt;0,VLOOKUP($A191,'0.Productos'!$A$3:$GG$587,'0.Productos'!BG$1+1,0),"")</f>
        <v/>
      </c>
      <c r="P191" s="133" t="str">
        <f>IF($A191&lt;&gt;0,VLOOKUP($A191,'0.Productos'!$A$3:$GG$587,'0.Productos'!BH$1+1,0),"")</f>
        <v/>
      </c>
      <c r="Q191" s="133" t="str">
        <f>IF($A191&lt;&gt;0,VLOOKUP($A191,'0.Productos'!$A$3:$GG$587,'0.Productos'!BI$1+1,0),"")</f>
        <v/>
      </c>
      <c r="R191" s="133" t="str">
        <f>IF($A191&lt;&gt;0,VLOOKUP($A191,'0.Productos'!$A$3:$GG$587,'0.Productos'!BJ$1+1,0),"")</f>
        <v/>
      </c>
      <c r="S191" s="133" t="str">
        <f>IF($A191&lt;&gt;0,VLOOKUP($A191,'0.Productos'!$A$3:$GG$587,'0.Productos'!BK$1+1,0),"")</f>
        <v/>
      </c>
      <c r="T191" s="133" t="str">
        <f>IF($A191&lt;&gt;0,VLOOKUP($A191,'0.Productos'!$A$3:$GG$587,'0.Productos'!BL$1+1,0),"")</f>
        <v/>
      </c>
      <c r="U191" s="133" t="str">
        <f>IF($A191&lt;&gt;0,VLOOKUP($A191,'0.Productos'!$A$3:$GG$587,'0.Productos'!BM$1+1,0),"")</f>
        <v/>
      </c>
      <c r="V191" s="133" t="str">
        <f>IF($A191&lt;&gt;0,VLOOKUP($A191,'0.Productos'!$A$3:$GG$587,'0.Productos'!BN$1+1,0),"")</f>
        <v/>
      </c>
      <c r="W191" s="133" t="str">
        <f>IF($A191&lt;&gt;0,VLOOKUP($A191,'0.Productos'!$A$3:$GG$587,'0.Productos'!BO$1+1,0),"")</f>
        <v/>
      </c>
      <c r="X191" s="133" t="str">
        <f>IF($A191&lt;&gt;0,VLOOKUP($A191,'0.Productos'!$A$3:$GG$587,'0.Productos'!BP$1+1,0),"")</f>
        <v/>
      </c>
      <c r="Y191" s="133" t="str">
        <f>IF($A191&lt;&gt;0,VLOOKUP($A191,'0.Productos'!$A$3:$GG$587,'0.Productos'!BQ$1+1,0),"")</f>
        <v/>
      </c>
      <c r="Z191" s="133" t="str">
        <f>IF($A191&lt;&gt;0,VLOOKUP($A191,'0.Productos'!$A$3:$GG$587,'0.Productos'!BR$1+1,0),"")</f>
        <v/>
      </c>
      <c r="AA191" s="133" t="str">
        <f>IF($A191&lt;&gt;0,VLOOKUP($A191,'0.Productos'!$A$3:$GG$587,'0.Productos'!BS$1+1,0),"")</f>
        <v/>
      </c>
      <c r="AB191" s="133" t="str">
        <f>IF($A191&lt;&gt;0,VLOOKUP($A191,'0.Productos'!$A$3:$GG$587,'0.Productos'!BT$1+1,0),"")</f>
        <v/>
      </c>
      <c r="AC191" s="133" t="str">
        <f>IF($A191&lt;&gt;0,VLOOKUP($A191,'0.Productos'!$A$3:$GG$587,'0.Productos'!BU$1+1,0),"")</f>
        <v/>
      </c>
      <c r="AD191" s="133" t="str">
        <f>IF($A191&lt;&gt;0,VLOOKUP($A191,'0.Productos'!$A$3:$GG$587,'0.Productos'!BV$1+1,0),"")</f>
        <v/>
      </c>
      <c r="AE191" s="133" t="str">
        <f>IF($A191&lt;&gt;0,VLOOKUP($A191,'0.Productos'!$A$3:$GG$587,'0.Productos'!BW$1+1,0),"")</f>
        <v/>
      </c>
      <c r="AF191" s="133" t="str">
        <f>IF($A191&lt;&gt;0,VLOOKUP($A191,'0.Productos'!$A$3:$GG$587,'0.Productos'!BX$1+1,0),"")</f>
        <v/>
      </c>
      <c r="AG191" s="133" t="str">
        <f>IF($A191&lt;&gt;0,VLOOKUP($A191,'0.Productos'!$A$3:$GG$587,'0.Productos'!BY$1+1,0),"")</f>
        <v/>
      </c>
      <c r="AH191" s="133" t="str">
        <f>IF($A191&lt;&gt;0,VLOOKUP($A191,'0.Productos'!$A$3:$GG$587,'0.Productos'!BZ$1+1,0),"")</f>
        <v/>
      </c>
      <c r="AI191" s="133" t="str">
        <f>IF($A191&lt;&gt;0,VLOOKUP($A191,'0.Productos'!$A$3:$GG$587,'0.Productos'!CA$1+1,0),"")</f>
        <v/>
      </c>
      <c r="AJ191" s="133" t="str">
        <f>IF($A191&lt;&gt;0,VLOOKUP($A191,'0.Productos'!$A$3:$GG$587,'0.Productos'!CB$1+1,0),"")</f>
        <v/>
      </c>
      <c r="AK191" s="133" t="str">
        <f>IF($A191&lt;&gt;0,VLOOKUP($A191,'0.Productos'!$A$3:$GG$587,'0.Productos'!CC$1+1,0),"")</f>
        <v/>
      </c>
      <c r="AL191" s="133" t="str">
        <f>IF($A191&lt;&gt;0,VLOOKUP($A191,'0.Productos'!$A$3:$GG$587,'0.Productos'!CD$1+1,0),"")</f>
        <v/>
      </c>
      <c r="AM191" s="133" t="str">
        <f>IF($A191&lt;&gt;0,VLOOKUP($A191,'0.Productos'!$A$3:$GG$587,'0.Productos'!CE$1+1,0),"")</f>
        <v/>
      </c>
      <c r="AN191" s="133" t="str">
        <f>IF($A191&lt;&gt;0,VLOOKUP($A191,'0.Productos'!$A$3:$GG$587,'0.Productos'!CF$1+1,0),"")</f>
        <v/>
      </c>
      <c r="AO191" s="133" t="str">
        <f>IF($A191&lt;&gt;0,VLOOKUP($A191,'0.Productos'!$A$3:$GG$587,'0.Productos'!CG$1+1,0),"")</f>
        <v/>
      </c>
      <c r="AP191" s="133" t="str">
        <f>IF($A191&lt;&gt;0,VLOOKUP($A191,'0.Productos'!$A$3:$GG$587,'0.Productos'!CH$1+1,0),"")</f>
        <v/>
      </c>
      <c r="AQ191" s="133" t="str">
        <f>IF($A191&lt;&gt;0,VLOOKUP($A191,'0.Productos'!$A$3:$GG$587,'0.Productos'!CI$1+1,0),"")</f>
        <v/>
      </c>
      <c r="AR191" s="133" t="str">
        <f>IF($A191&lt;&gt;0,VLOOKUP($A191,'0.Productos'!$A$3:$GG$587,'0.Productos'!CJ$1+1,0),"")</f>
        <v/>
      </c>
      <c r="AS191" s="133" t="str">
        <f>IF($A191&lt;&gt;0,VLOOKUP($A191,'0.Productos'!$A$3:$GG$587,'0.Productos'!CK$1+1,0),"")</f>
        <v/>
      </c>
      <c r="AT191" s="133" t="str">
        <f>IF($A191&lt;&gt;0,VLOOKUP($A191,'0.Productos'!$A$3:$GG$587,'0.Productos'!CL$1+1,0),"")</f>
        <v/>
      </c>
      <c r="AU191" s="133" t="str">
        <f>IF($A191&lt;&gt;0,VLOOKUP($A191,'0.Productos'!$A$3:$GG$587,'0.Productos'!CM$1+1,0),"")</f>
        <v/>
      </c>
      <c r="AV191" s="133" t="str">
        <f>IF($A191&lt;&gt;0,VLOOKUP($A191,'0.Productos'!$A$3:$GG$587,'0.Productos'!CN$1+1,0),"")</f>
        <v/>
      </c>
      <c r="AW191" s="133" t="str">
        <f>IF($A191&lt;&gt;0,VLOOKUP($A191,'0.Productos'!$A$3:$GG$587,'0.Productos'!CO$1+1,0),"")</f>
        <v/>
      </c>
      <c r="AX191" s="133" t="str">
        <f>IF($A191&lt;&gt;0,VLOOKUP($A191,'0.Productos'!$A$3:$GG$587,'0.Productos'!CP$1+1,0),"")</f>
        <v/>
      </c>
      <c r="AY191" s="133" t="str">
        <f>IF($A191&lt;&gt;0,VLOOKUP($A191,'0.Productos'!$A$3:$GG$587,'0.Productos'!CQ$1+1,0),"")</f>
        <v/>
      </c>
      <c r="AZ191" s="133" t="str">
        <f>IF($A191&lt;&gt;0,VLOOKUP($A191,'0.Productos'!$A$3:$GG$587,'0.Productos'!CR$1+1,0),"")</f>
        <v/>
      </c>
      <c r="BA191" s="133" t="str">
        <f>IF($A191&lt;&gt;0,VLOOKUP($A191,'0.Productos'!$A$3:$GG$587,'0.Productos'!CS$1+1,0),"")</f>
        <v/>
      </c>
      <c r="BB191" s="133" t="str">
        <f>IF($A191&lt;&gt;0,VLOOKUP($A191,'0.Productos'!$A$3:$GG$587,'0.Productos'!CT$1+1,0),"")</f>
        <v/>
      </c>
      <c r="BC191" s="133" t="str">
        <f>IF($A191&lt;&gt;0,VLOOKUP($A191,'0.Productos'!$A$3:$GG$587,'0.Productos'!CU$1+1,0),"")</f>
        <v/>
      </c>
      <c r="BD191" s="133" t="str">
        <f>IF($A191&lt;&gt;0,VLOOKUP($A191,'0.Productos'!$A$3:$GG$587,'0.Productos'!CV$1+1,0),"")</f>
        <v/>
      </c>
      <c r="BE191" s="133" t="str">
        <f>IF($A191&lt;&gt;0,VLOOKUP($A191,'0.Productos'!$A$3:$GG$587,'0.Productos'!CW$1+1,0),"")</f>
        <v/>
      </c>
      <c r="BF191" s="133" t="str">
        <f>IF($A191&lt;&gt;0,VLOOKUP($A191,'0.Productos'!$A$3:$GG$587,'0.Productos'!CX$1+1,0),"")</f>
        <v/>
      </c>
      <c r="BG191" s="133" t="str">
        <f>IF($A191&lt;&gt;0,VLOOKUP($A191,'0.Productos'!$A$3:$GG$587,'0.Productos'!CY$1+1,0),"")</f>
        <v/>
      </c>
      <c r="BH191" s="133" t="str">
        <f>IF($A191&lt;&gt;0,VLOOKUP($A191,'0.Productos'!$A$3:$GG$587,'0.Productos'!CZ$1+1,0),"")</f>
        <v/>
      </c>
      <c r="BI191" s="133" t="str">
        <f>IF($A191&lt;&gt;0,VLOOKUP($A191,'0.Productos'!$A$3:$GG$587,'0.Productos'!DA$1+1,0),"")</f>
        <v/>
      </c>
      <c r="BJ191" s="133" t="str">
        <f>IF($A191&lt;&gt;0,VLOOKUP($A191,'0.Productos'!$A$3:$GG$587,'0.Productos'!DB$1+1,0),"")</f>
        <v/>
      </c>
      <c r="BK191" s="133" t="str">
        <f>IF($A191&lt;&gt;0,VLOOKUP($A191,'0.Productos'!$A$3:$GG$587,'0.Productos'!DC$1+1,0),"")</f>
        <v/>
      </c>
      <c r="BL191" s="133" t="str">
        <f>IF($A191&lt;&gt;0,VLOOKUP($A191,'0.Productos'!$A$3:$GG$587,'0.Productos'!DD$1+1,0),"")</f>
        <v/>
      </c>
      <c r="BM191" s="133" t="str">
        <f>IF($A191&lt;&gt;0,VLOOKUP($A191,'0.Productos'!$A$3:$GG$587,'0.Productos'!DE$1+1,0),"")</f>
        <v/>
      </c>
      <c r="BN191" s="133" t="str">
        <f>IF($A191&lt;&gt;0,VLOOKUP($A191,'0.Productos'!$A$3:$GG$587,'0.Productos'!DF$1+1,0),"")</f>
        <v/>
      </c>
      <c r="BO191" s="133" t="str">
        <f>IF($A191&lt;&gt;0,VLOOKUP($A191,'0.Productos'!$A$3:$GG$587,'0.Productos'!DG$1+1,0),"")</f>
        <v/>
      </c>
      <c r="BP191" s="133" t="str">
        <f>IF($A191&lt;&gt;0,VLOOKUP($A191,'0.Productos'!$A$3:$GG$587,'0.Productos'!DH$1+1,0),"")</f>
        <v/>
      </c>
      <c r="BQ191" s="133" t="str">
        <f>IF($A191&lt;&gt;0,VLOOKUP($A191,'0.Productos'!$A$3:$GG$587,'0.Productos'!DI$1+1,0),"")</f>
        <v/>
      </c>
      <c r="BR191" s="133" t="str">
        <f>IF($A191&lt;&gt;0,VLOOKUP($A191,'0.Productos'!$A$3:$GG$587,'0.Productos'!DJ$1+1,0),"")</f>
        <v/>
      </c>
      <c r="BS191" s="133" t="str">
        <f>IF($A191&lt;&gt;0,VLOOKUP($A191,'0.Productos'!$A$3:$GG$587,'0.Productos'!DK$1+1,0),"")</f>
        <v/>
      </c>
      <c r="BT191" s="133" t="str">
        <f>IF($A191&lt;&gt;0,VLOOKUP($A191,'0.Productos'!$A$3:$GG$587,'0.Productos'!DL$1+1,0),"")</f>
        <v/>
      </c>
    </row>
    <row r="192" spans="1:72" x14ac:dyDescent="0.25">
      <c r="A192" s="17">
        <f>'0.Consolidado general'!A192</f>
        <v>0</v>
      </c>
      <c r="B192" s="133" t="str">
        <f>IF($A192&lt;&gt;0,VLOOKUP($A192,'0.Productos'!$A$3:$GG$587,'0.Productos'!AT$1+1,0),"")</f>
        <v/>
      </c>
      <c r="C192" s="133" t="str">
        <f>IF($A192&lt;&gt;0,VLOOKUP($A192,'0.Productos'!$A$3:$GG$587,'0.Productos'!AU$1+1,0),"")</f>
        <v/>
      </c>
      <c r="D192" s="133" t="str">
        <f>IF($A192&lt;&gt;0,VLOOKUP($A192,'0.Productos'!$A$3:$GG$587,'0.Productos'!AV$1+1,0),"")</f>
        <v/>
      </c>
      <c r="E192" s="133" t="str">
        <f>IF($A192&lt;&gt;0,VLOOKUP($A192,'0.Productos'!$A$3:$GG$587,'0.Productos'!AW$1+1,0),"")</f>
        <v/>
      </c>
      <c r="F192" s="133" t="str">
        <f>IF($A192&lt;&gt;0,VLOOKUP($A192,'0.Productos'!$A$3:$GG$587,'0.Productos'!AX$1+1,0),"")</f>
        <v/>
      </c>
      <c r="G192" s="133" t="str">
        <f>IF($A192&lt;&gt;0,VLOOKUP($A192,'0.Productos'!$A$3:$GG$587,'0.Productos'!AY$1+1,0),"")</f>
        <v/>
      </c>
      <c r="H192" s="133" t="str">
        <f>IF($A192&lt;&gt;0,VLOOKUP($A192,'0.Productos'!$A$3:$GG$587,'0.Productos'!AZ$1+1,0),"")</f>
        <v/>
      </c>
      <c r="I192" s="133" t="str">
        <f>IF($A192&lt;&gt;0,VLOOKUP($A192,'0.Productos'!$A$3:$GG$587,'0.Productos'!BA$1+1,0),"")</f>
        <v/>
      </c>
      <c r="J192" s="133" t="str">
        <f>IF($A192&lt;&gt;0,VLOOKUP($A192,'0.Productos'!$A$3:$GG$587,'0.Productos'!BB$1+1,0),"")</f>
        <v/>
      </c>
      <c r="K192" s="133" t="str">
        <f>IF($A192&lt;&gt;0,VLOOKUP($A192,'0.Productos'!$A$3:$GG$587,'0.Productos'!BC$1+1,0),"")</f>
        <v/>
      </c>
      <c r="L192" s="133" t="str">
        <f>IF($A192&lt;&gt;0,VLOOKUP($A192,'0.Productos'!$A$3:$GG$587,'0.Productos'!BD$1+1,0),"")</f>
        <v/>
      </c>
      <c r="M192" s="133" t="str">
        <f>IF($A192&lt;&gt;0,VLOOKUP($A192,'0.Productos'!$A$3:$GG$587,'0.Productos'!BE$1+1,0),"")</f>
        <v/>
      </c>
      <c r="N192" s="133" t="str">
        <f>IF($A192&lt;&gt;0,VLOOKUP($A192,'0.Productos'!$A$3:$GG$587,'0.Productos'!BF$1+1,0),"")</f>
        <v/>
      </c>
      <c r="O192" s="133" t="str">
        <f>IF($A192&lt;&gt;0,VLOOKUP($A192,'0.Productos'!$A$3:$GG$587,'0.Productos'!BG$1+1,0),"")</f>
        <v/>
      </c>
      <c r="P192" s="133" t="str">
        <f>IF($A192&lt;&gt;0,VLOOKUP($A192,'0.Productos'!$A$3:$GG$587,'0.Productos'!BH$1+1,0),"")</f>
        <v/>
      </c>
      <c r="Q192" s="133" t="str">
        <f>IF($A192&lt;&gt;0,VLOOKUP($A192,'0.Productos'!$A$3:$GG$587,'0.Productos'!BI$1+1,0),"")</f>
        <v/>
      </c>
      <c r="R192" s="133" t="str">
        <f>IF($A192&lt;&gt;0,VLOOKUP($A192,'0.Productos'!$A$3:$GG$587,'0.Productos'!BJ$1+1,0),"")</f>
        <v/>
      </c>
      <c r="S192" s="133" t="str">
        <f>IF($A192&lt;&gt;0,VLOOKUP($A192,'0.Productos'!$A$3:$GG$587,'0.Productos'!BK$1+1,0),"")</f>
        <v/>
      </c>
      <c r="T192" s="133" t="str">
        <f>IF($A192&lt;&gt;0,VLOOKUP($A192,'0.Productos'!$A$3:$GG$587,'0.Productos'!BL$1+1,0),"")</f>
        <v/>
      </c>
      <c r="U192" s="133" t="str">
        <f>IF($A192&lt;&gt;0,VLOOKUP($A192,'0.Productos'!$A$3:$GG$587,'0.Productos'!BM$1+1,0),"")</f>
        <v/>
      </c>
      <c r="V192" s="133" t="str">
        <f>IF($A192&lt;&gt;0,VLOOKUP($A192,'0.Productos'!$A$3:$GG$587,'0.Productos'!BN$1+1,0),"")</f>
        <v/>
      </c>
      <c r="W192" s="133" t="str">
        <f>IF($A192&lt;&gt;0,VLOOKUP($A192,'0.Productos'!$A$3:$GG$587,'0.Productos'!BO$1+1,0),"")</f>
        <v/>
      </c>
      <c r="X192" s="133" t="str">
        <f>IF($A192&lt;&gt;0,VLOOKUP($A192,'0.Productos'!$A$3:$GG$587,'0.Productos'!BP$1+1,0),"")</f>
        <v/>
      </c>
      <c r="Y192" s="133" t="str">
        <f>IF($A192&lt;&gt;0,VLOOKUP($A192,'0.Productos'!$A$3:$GG$587,'0.Productos'!BQ$1+1,0),"")</f>
        <v/>
      </c>
      <c r="Z192" s="133" t="str">
        <f>IF($A192&lt;&gt;0,VLOOKUP($A192,'0.Productos'!$A$3:$GG$587,'0.Productos'!BR$1+1,0),"")</f>
        <v/>
      </c>
      <c r="AA192" s="133" t="str">
        <f>IF($A192&lt;&gt;0,VLOOKUP($A192,'0.Productos'!$A$3:$GG$587,'0.Productos'!BS$1+1,0),"")</f>
        <v/>
      </c>
      <c r="AB192" s="133" t="str">
        <f>IF($A192&lt;&gt;0,VLOOKUP($A192,'0.Productos'!$A$3:$GG$587,'0.Productos'!BT$1+1,0),"")</f>
        <v/>
      </c>
      <c r="AC192" s="133" t="str">
        <f>IF($A192&lt;&gt;0,VLOOKUP($A192,'0.Productos'!$A$3:$GG$587,'0.Productos'!BU$1+1,0),"")</f>
        <v/>
      </c>
      <c r="AD192" s="133" t="str">
        <f>IF($A192&lt;&gt;0,VLOOKUP($A192,'0.Productos'!$A$3:$GG$587,'0.Productos'!BV$1+1,0),"")</f>
        <v/>
      </c>
      <c r="AE192" s="133" t="str">
        <f>IF($A192&lt;&gt;0,VLOOKUP($A192,'0.Productos'!$A$3:$GG$587,'0.Productos'!BW$1+1,0),"")</f>
        <v/>
      </c>
      <c r="AF192" s="133" t="str">
        <f>IF($A192&lt;&gt;0,VLOOKUP($A192,'0.Productos'!$A$3:$GG$587,'0.Productos'!BX$1+1,0),"")</f>
        <v/>
      </c>
      <c r="AG192" s="133" t="str">
        <f>IF($A192&lt;&gt;0,VLOOKUP($A192,'0.Productos'!$A$3:$GG$587,'0.Productos'!BY$1+1,0),"")</f>
        <v/>
      </c>
      <c r="AH192" s="133" t="str">
        <f>IF($A192&lt;&gt;0,VLOOKUP($A192,'0.Productos'!$A$3:$GG$587,'0.Productos'!BZ$1+1,0),"")</f>
        <v/>
      </c>
      <c r="AI192" s="133" t="str">
        <f>IF($A192&lt;&gt;0,VLOOKUP($A192,'0.Productos'!$A$3:$GG$587,'0.Productos'!CA$1+1,0),"")</f>
        <v/>
      </c>
      <c r="AJ192" s="133" t="str">
        <f>IF($A192&lt;&gt;0,VLOOKUP($A192,'0.Productos'!$A$3:$GG$587,'0.Productos'!CB$1+1,0),"")</f>
        <v/>
      </c>
      <c r="AK192" s="133" t="str">
        <f>IF($A192&lt;&gt;0,VLOOKUP($A192,'0.Productos'!$A$3:$GG$587,'0.Productos'!CC$1+1,0),"")</f>
        <v/>
      </c>
      <c r="AL192" s="133" t="str">
        <f>IF($A192&lt;&gt;0,VLOOKUP($A192,'0.Productos'!$A$3:$GG$587,'0.Productos'!CD$1+1,0),"")</f>
        <v/>
      </c>
      <c r="AM192" s="133" t="str">
        <f>IF($A192&lt;&gt;0,VLOOKUP($A192,'0.Productos'!$A$3:$GG$587,'0.Productos'!CE$1+1,0),"")</f>
        <v/>
      </c>
      <c r="AN192" s="133" t="str">
        <f>IF($A192&lt;&gt;0,VLOOKUP($A192,'0.Productos'!$A$3:$GG$587,'0.Productos'!CF$1+1,0),"")</f>
        <v/>
      </c>
      <c r="AO192" s="133" t="str">
        <f>IF($A192&lt;&gt;0,VLOOKUP($A192,'0.Productos'!$A$3:$GG$587,'0.Productos'!CG$1+1,0),"")</f>
        <v/>
      </c>
      <c r="AP192" s="133" t="str">
        <f>IF($A192&lt;&gt;0,VLOOKUP($A192,'0.Productos'!$A$3:$GG$587,'0.Productos'!CH$1+1,0),"")</f>
        <v/>
      </c>
      <c r="AQ192" s="133" t="str">
        <f>IF($A192&lt;&gt;0,VLOOKUP($A192,'0.Productos'!$A$3:$GG$587,'0.Productos'!CI$1+1,0),"")</f>
        <v/>
      </c>
      <c r="AR192" s="133" t="str">
        <f>IF($A192&lt;&gt;0,VLOOKUP($A192,'0.Productos'!$A$3:$GG$587,'0.Productos'!CJ$1+1,0),"")</f>
        <v/>
      </c>
      <c r="AS192" s="133" t="str">
        <f>IF($A192&lt;&gt;0,VLOOKUP($A192,'0.Productos'!$A$3:$GG$587,'0.Productos'!CK$1+1,0),"")</f>
        <v/>
      </c>
      <c r="AT192" s="133" t="str">
        <f>IF($A192&lt;&gt;0,VLOOKUP($A192,'0.Productos'!$A$3:$GG$587,'0.Productos'!CL$1+1,0),"")</f>
        <v/>
      </c>
      <c r="AU192" s="133" t="str">
        <f>IF($A192&lt;&gt;0,VLOOKUP($A192,'0.Productos'!$A$3:$GG$587,'0.Productos'!CM$1+1,0),"")</f>
        <v/>
      </c>
      <c r="AV192" s="133" t="str">
        <f>IF($A192&lt;&gt;0,VLOOKUP($A192,'0.Productos'!$A$3:$GG$587,'0.Productos'!CN$1+1,0),"")</f>
        <v/>
      </c>
      <c r="AW192" s="133" t="str">
        <f>IF($A192&lt;&gt;0,VLOOKUP($A192,'0.Productos'!$A$3:$GG$587,'0.Productos'!CO$1+1,0),"")</f>
        <v/>
      </c>
      <c r="AX192" s="133" t="str">
        <f>IF($A192&lt;&gt;0,VLOOKUP($A192,'0.Productos'!$A$3:$GG$587,'0.Productos'!CP$1+1,0),"")</f>
        <v/>
      </c>
      <c r="AY192" s="133" t="str">
        <f>IF($A192&lt;&gt;0,VLOOKUP($A192,'0.Productos'!$A$3:$GG$587,'0.Productos'!CQ$1+1,0),"")</f>
        <v/>
      </c>
      <c r="AZ192" s="133" t="str">
        <f>IF($A192&lt;&gt;0,VLOOKUP($A192,'0.Productos'!$A$3:$GG$587,'0.Productos'!CR$1+1,0),"")</f>
        <v/>
      </c>
      <c r="BA192" s="133" t="str">
        <f>IF($A192&lt;&gt;0,VLOOKUP($A192,'0.Productos'!$A$3:$GG$587,'0.Productos'!CS$1+1,0),"")</f>
        <v/>
      </c>
      <c r="BB192" s="133" t="str">
        <f>IF($A192&lt;&gt;0,VLOOKUP($A192,'0.Productos'!$A$3:$GG$587,'0.Productos'!CT$1+1,0),"")</f>
        <v/>
      </c>
      <c r="BC192" s="133" t="str">
        <f>IF($A192&lt;&gt;0,VLOOKUP($A192,'0.Productos'!$A$3:$GG$587,'0.Productos'!CU$1+1,0),"")</f>
        <v/>
      </c>
      <c r="BD192" s="133" t="str">
        <f>IF($A192&lt;&gt;0,VLOOKUP($A192,'0.Productos'!$A$3:$GG$587,'0.Productos'!CV$1+1,0),"")</f>
        <v/>
      </c>
      <c r="BE192" s="133" t="str">
        <f>IF($A192&lt;&gt;0,VLOOKUP($A192,'0.Productos'!$A$3:$GG$587,'0.Productos'!CW$1+1,0),"")</f>
        <v/>
      </c>
      <c r="BF192" s="133" t="str">
        <f>IF($A192&lt;&gt;0,VLOOKUP($A192,'0.Productos'!$A$3:$GG$587,'0.Productos'!CX$1+1,0),"")</f>
        <v/>
      </c>
      <c r="BG192" s="133" t="str">
        <f>IF($A192&lt;&gt;0,VLOOKUP($A192,'0.Productos'!$A$3:$GG$587,'0.Productos'!CY$1+1,0),"")</f>
        <v/>
      </c>
      <c r="BH192" s="133" t="str">
        <f>IF($A192&lt;&gt;0,VLOOKUP($A192,'0.Productos'!$A$3:$GG$587,'0.Productos'!CZ$1+1,0),"")</f>
        <v/>
      </c>
      <c r="BI192" s="133" t="str">
        <f>IF($A192&lt;&gt;0,VLOOKUP($A192,'0.Productos'!$A$3:$GG$587,'0.Productos'!DA$1+1,0),"")</f>
        <v/>
      </c>
      <c r="BJ192" s="133" t="str">
        <f>IF($A192&lt;&gt;0,VLOOKUP($A192,'0.Productos'!$A$3:$GG$587,'0.Productos'!DB$1+1,0),"")</f>
        <v/>
      </c>
      <c r="BK192" s="133" t="str">
        <f>IF($A192&lt;&gt;0,VLOOKUP($A192,'0.Productos'!$A$3:$GG$587,'0.Productos'!DC$1+1,0),"")</f>
        <v/>
      </c>
      <c r="BL192" s="133" t="str">
        <f>IF($A192&lt;&gt;0,VLOOKUP($A192,'0.Productos'!$A$3:$GG$587,'0.Productos'!DD$1+1,0),"")</f>
        <v/>
      </c>
      <c r="BM192" s="133" t="str">
        <f>IF($A192&lt;&gt;0,VLOOKUP($A192,'0.Productos'!$A$3:$GG$587,'0.Productos'!DE$1+1,0),"")</f>
        <v/>
      </c>
      <c r="BN192" s="133" t="str">
        <f>IF($A192&lt;&gt;0,VLOOKUP($A192,'0.Productos'!$A$3:$GG$587,'0.Productos'!DF$1+1,0),"")</f>
        <v/>
      </c>
      <c r="BO192" s="133" t="str">
        <f>IF($A192&lt;&gt;0,VLOOKUP($A192,'0.Productos'!$A$3:$GG$587,'0.Productos'!DG$1+1,0),"")</f>
        <v/>
      </c>
      <c r="BP192" s="133" t="str">
        <f>IF($A192&lt;&gt;0,VLOOKUP($A192,'0.Productos'!$A$3:$GG$587,'0.Productos'!DH$1+1,0),"")</f>
        <v/>
      </c>
      <c r="BQ192" s="133" t="str">
        <f>IF($A192&lt;&gt;0,VLOOKUP($A192,'0.Productos'!$A$3:$GG$587,'0.Productos'!DI$1+1,0),"")</f>
        <v/>
      </c>
      <c r="BR192" s="133" t="str">
        <f>IF($A192&lt;&gt;0,VLOOKUP($A192,'0.Productos'!$A$3:$GG$587,'0.Productos'!DJ$1+1,0),"")</f>
        <v/>
      </c>
      <c r="BS192" s="133" t="str">
        <f>IF($A192&lt;&gt;0,VLOOKUP($A192,'0.Productos'!$A$3:$GG$587,'0.Productos'!DK$1+1,0),"")</f>
        <v/>
      </c>
      <c r="BT192" s="133" t="str">
        <f>IF($A192&lt;&gt;0,VLOOKUP($A192,'0.Productos'!$A$3:$GG$587,'0.Productos'!DL$1+1,0),"")</f>
        <v/>
      </c>
    </row>
    <row r="193" spans="1:72" x14ac:dyDescent="0.25">
      <c r="A193" s="17">
        <f>'0.Consolidado general'!A193</f>
        <v>0</v>
      </c>
      <c r="B193" s="133" t="str">
        <f>IF($A193&lt;&gt;0,VLOOKUP($A193,'0.Productos'!$A$3:$GG$587,'0.Productos'!AT$1+1,0),"")</f>
        <v/>
      </c>
      <c r="C193" s="133" t="str">
        <f>IF($A193&lt;&gt;0,VLOOKUP($A193,'0.Productos'!$A$3:$GG$587,'0.Productos'!AU$1+1,0),"")</f>
        <v/>
      </c>
      <c r="D193" s="133" t="str">
        <f>IF($A193&lt;&gt;0,VLOOKUP($A193,'0.Productos'!$A$3:$GG$587,'0.Productos'!AV$1+1,0),"")</f>
        <v/>
      </c>
      <c r="E193" s="133" t="str">
        <f>IF($A193&lt;&gt;0,VLOOKUP($A193,'0.Productos'!$A$3:$GG$587,'0.Productos'!AW$1+1,0),"")</f>
        <v/>
      </c>
      <c r="F193" s="133" t="str">
        <f>IF($A193&lt;&gt;0,VLOOKUP($A193,'0.Productos'!$A$3:$GG$587,'0.Productos'!AX$1+1,0),"")</f>
        <v/>
      </c>
      <c r="G193" s="133" t="str">
        <f>IF($A193&lt;&gt;0,VLOOKUP($A193,'0.Productos'!$A$3:$GG$587,'0.Productos'!AY$1+1,0),"")</f>
        <v/>
      </c>
      <c r="H193" s="133" t="str">
        <f>IF($A193&lt;&gt;0,VLOOKUP($A193,'0.Productos'!$A$3:$GG$587,'0.Productos'!AZ$1+1,0),"")</f>
        <v/>
      </c>
      <c r="I193" s="133" t="str">
        <f>IF($A193&lt;&gt;0,VLOOKUP($A193,'0.Productos'!$A$3:$GG$587,'0.Productos'!BA$1+1,0),"")</f>
        <v/>
      </c>
      <c r="J193" s="133" t="str">
        <f>IF($A193&lt;&gt;0,VLOOKUP($A193,'0.Productos'!$A$3:$GG$587,'0.Productos'!BB$1+1,0),"")</f>
        <v/>
      </c>
      <c r="K193" s="133" t="str">
        <f>IF($A193&lt;&gt;0,VLOOKUP($A193,'0.Productos'!$A$3:$GG$587,'0.Productos'!BC$1+1,0),"")</f>
        <v/>
      </c>
      <c r="L193" s="133" t="str">
        <f>IF($A193&lt;&gt;0,VLOOKUP($A193,'0.Productos'!$A$3:$GG$587,'0.Productos'!BD$1+1,0),"")</f>
        <v/>
      </c>
      <c r="M193" s="133" t="str">
        <f>IF($A193&lt;&gt;0,VLOOKUP($A193,'0.Productos'!$A$3:$GG$587,'0.Productos'!BE$1+1,0),"")</f>
        <v/>
      </c>
      <c r="N193" s="133" t="str">
        <f>IF($A193&lt;&gt;0,VLOOKUP($A193,'0.Productos'!$A$3:$GG$587,'0.Productos'!BF$1+1,0),"")</f>
        <v/>
      </c>
      <c r="O193" s="133" t="str">
        <f>IF($A193&lt;&gt;0,VLOOKUP($A193,'0.Productos'!$A$3:$GG$587,'0.Productos'!BG$1+1,0),"")</f>
        <v/>
      </c>
      <c r="P193" s="133" t="str">
        <f>IF($A193&lt;&gt;0,VLOOKUP($A193,'0.Productos'!$A$3:$GG$587,'0.Productos'!BH$1+1,0),"")</f>
        <v/>
      </c>
      <c r="Q193" s="133" t="str">
        <f>IF($A193&lt;&gt;0,VLOOKUP($A193,'0.Productos'!$A$3:$GG$587,'0.Productos'!BI$1+1,0),"")</f>
        <v/>
      </c>
      <c r="R193" s="133" t="str">
        <f>IF($A193&lt;&gt;0,VLOOKUP($A193,'0.Productos'!$A$3:$GG$587,'0.Productos'!BJ$1+1,0),"")</f>
        <v/>
      </c>
      <c r="S193" s="133" t="str">
        <f>IF($A193&lt;&gt;0,VLOOKUP($A193,'0.Productos'!$A$3:$GG$587,'0.Productos'!BK$1+1,0),"")</f>
        <v/>
      </c>
      <c r="T193" s="133" t="str">
        <f>IF($A193&lt;&gt;0,VLOOKUP($A193,'0.Productos'!$A$3:$GG$587,'0.Productos'!BL$1+1,0),"")</f>
        <v/>
      </c>
      <c r="U193" s="133" t="str">
        <f>IF($A193&lt;&gt;0,VLOOKUP($A193,'0.Productos'!$A$3:$GG$587,'0.Productos'!BM$1+1,0),"")</f>
        <v/>
      </c>
      <c r="V193" s="133" t="str">
        <f>IF($A193&lt;&gt;0,VLOOKUP($A193,'0.Productos'!$A$3:$GG$587,'0.Productos'!BN$1+1,0),"")</f>
        <v/>
      </c>
      <c r="W193" s="133" t="str">
        <f>IF($A193&lt;&gt;0,VLOOKUP($A193,'0.Productos'!$A$3:$GG$587,'0.Productos'!BO$1+1,0),"")</f>
        <v/>
      </c>
      <c r="X193" s="133" t="str">
        <f>IF($A193&lt;&gt;0,VLOOKUP($A193,'0.Productos'!$A$3:$GG$587,'0.Productos'!BP$1+1,0),"")</f>
        <v/>
      </c>
      <c r="Y193" s="133" t="str">
        <f>IF($A193&lt;&gt;0,VLOOKUP($A193,'0.Productos'!$A$3:$GG$587,'0.Productos'!BQ$1+1,0),"")</f>
        <v/>
      </c>
      <c r="Z193" s="133" t="str">
        <f>IF($A193&lt;&gt;0,VLOOKUP($A193,'0.Productos'!$A$3:$GG$587,'0.Productos'!BR$1+1,0),"")</f>
        <v/>
      </c>
      <c r="AA193" s="133" t="str">
        <f>IF($A193&lt;&gt;0,VLOOKUP($A193,'0.Productos'!$A$3:$GG$587,'0.Productos'!BS$1+1,0),"")</f>
        <v/>
      </c>
      <c r="AB193" s="133" t="str">
        <f>IF($A193&lt;&gt;0,VLOOKUP($A193,'0.Productos'!$A$3:$GG$587,'0.Productos'!BT$1+1,0),"")</f>
        <v/>
      </c>
      <c r="AC193" s="133" t="str">
        <f>IF($A193&lt;&gt;0,VLOOKUP($A193,'0.Productos'!$A$3:$GG$587,'0.Productos'!BU$1+1,0),"")</f>
        <v/>
      </c>
      <c r="AD193" s="133" t="str">
        <f>IF($A193&lt;&gt;0,VLOOKUP($A193,'0.Productos'!$A$3:$GG$587,'0.Productos'!BV$1+1,0),"")</f>
        <v/>
      </c>
      <c r="AE193" s="133" t="str">
        <f>IF($A193&lt;&gt;0,VLOOKUP($A193,'0.Productos'!$A$3:$GG$587,'0.Productos'!BW$1+1,0),"")</f>
        <v/>
      </c>
      <c r="AF193" s="133" t="str">
        <f>IF($A193&lt;&gt;0,VLOOKUP($A193,'0.Productos'!$A$3:$GG$587,'0.Productos'!BX$1+1,0),"")</f>
        <v/>
      </c>
      <c r="AG193" s="133" t="str">
        <f>IF($A193&lt;&gt;0,VLOOKUP($A193,'0.Productos'!$A$3:$GG$587,'0.Productos'!BY$1+1,0),"")</f>
        <v/>
      </c>
      <c r="AH193" s="133" t="str">
        <f>IF($A193&lt;&gt;0,VLOOKUP($A193,'0.Productos'!$A$3:$GG$587,'0.Productos'!BZ$1+1,0),"")</f>
        <v/>
      </c>
      <c r="AI193" s="133" t="str">
        <f>IF($A193&lt;&gt;0,VLOOKUP($A193,'0.Productos'!$A$3:$GG$587,'0.Productos'!CA$1+1,0),"")</f>
        <v/>
      </c>
      <c r="AJ193" s="133" t="str">
        <f>IF($A193&lt;&gt;0,VLOOKUP($A193,'0.Productos'!$A$3:$GG$587,'0.Productos'!CB$1+1,0),"")</f>
        <v/>
      </c>
      <c r="AK193" s="133" t="str">
        <f>IF($A193&lt;&gt;0,VLOOKUP($A193,'0.Productos'!$A$3:$GG$587,'0.Productos'!CC$1+1,0),"")</f>
        <v/>
      </c>
      <c r="AL193" s="133" t="str">
        <f>IF($A193&lt;&gt;0,VLOOKUP($A193,'0.Productos'!$A$3:$GG$587,'0.Productos'!CD$1+1,0),"")</f>
        <v/>
      </c>
      <c r="AM193" s="133" t="str">
        <f>IF($A193&lt;&gt;0,VLOOKUP($A193,'0.Productos'!$A$3:$GG$587,'0.Productos'!CE$1+1,0),"")</f>
        <v/>
      </c>
      <c r="AN193" s="133" t="str">
        <f>IF($A193&lt;&gt;0,VLOOKUP($A193,'0.Productos'!$A$3:$GG$587,'0.Productos'!CF$1+1,0),"")</f>
        <v/>
      </c>
      <c r="AO193" s="133" t="str">
        <f>IF($A193&lt;&gt;0,VLOOKUP($A193,'0.Productos'!$A$3:$GG$587,'0.Productos'!CG$1+1,0),"")</f>
        <v/>
      </c>
      <c r="AP193" s="133" t="str">
        <f>IF($A193&lt;&gt;0,VLOOKUP($A193,'0.Productos'!$A$3:$GG$587,'0.Productos'!CH$1+1,0),"")</f>
        <v/>
      </c>
      <c r="AQ193" s="133" t="str">
        <f>IF($A193&lt;&gt;0,VLOOKUP($A193,'0.Productos'!$A$3:$GG$587,'0.Productos'!CI$1+1,0),"")</f>
        <v/>
      </c>
      <c r="AR193" s="133" t="str">
        <f>IF($A193&lt;&gt;0,VLOOKUP($A193,'0.Productos'!$A$3:$GG$587,'0.Productos'!CJ$1+1,0),"")</f>
        <v/>
      </c>
      <c r="AS193" s="133" t="str">
        <f>IF($A193&lt;&gt;0,VLOOKUP($A193,'0.Productos'!$A$3:$GG$587,'0.Productos'!CK$1+1,0),"")</f>
        <v/>
      </c>
      <c r="AT193" s="133" t="str">
        <f>IF($A193&lt;&gt;0,VLOOKUP($A193,'0.Productos'!$A$3:$GG$587,'0.Productos'!CL$1+1,0),"")</f>
        <v/>
      </c>
      <c r="AU193" s="133" t="str">
        <f>IF($A193&lt;&gt;0,VLOOKUP($A193,'0.Productos'!$A$3:$GG$587,'0.Productos'!CM$1+1,0),"")</f>
        <v/>
      </c>
      <c r="AV193" s="133" t="str">
        <f>IF($A193&lt;&gt;0,VLOOKUP($A193,'0.Productos'!$A$3:$GG$587,'0.Productos'!CN$1+1,0),"")</f>
        <v/>
      </c>
      <c r="AW193" s="133" t="str">
        <f>IF($A193&lt;&gt;0,VLOOKUP($A193,'0.Productos'!$A$3:$GG$587,'0.Productos'!CO$1+1,0),"")</f>
        <v/>
      </c>
      <c r="AX193" s="133" t="str">
        <f>IF($A193&lt;&gt;0,VLOOKUP($A193,'0.Productos'!$A$3:$GG$587,'0.Productos'!CP$1+1,0),"")</f>
        <v/>
      </c>
      <c r="AY193" s="133" t="str">
        <f>IF($A193&lt;&gt;0,VLOOKUP($A193,'0.Productos'!$A$3:$GG$587,'0.Productos'!CQ$1+1,0),"")</f>
        <v/>
      </c>
      <c r="AZ193" s="133" t="str">
        <f>IF($A193&lt;&gt;0,VLOOKUP($A193,'0.Productos'!$A$3:$GG$587,'0.Productos'!CR$1+1,0),"")</f>
        <v/>
      </c>
      <c r="BA193" s="133" t="str">
        <f>IF($A193&lt;&gt;0,VLOOKUP($A193,'0.Productos'!$A$3:$GG$587,'0.Productos'!CS$1+1,0),"")</f>
        <v/>
      </c>
      <c r="BB193" s="133" t="str">
        <f>IF($A193&lt;&gt;0,VLOOKUP($A193,'0.Productos'!$A$3:$GG$587,'0.Productos'!CT$1+1,0),"")</f>
        <v/>
      </c>
      <c r="BC193" s="133" t="str">
        <f>IF($A193&lt;&gt;0,VLOOKUP($A193,'0.Productos'!$A$3:$GG$587,'0.Productos'!CU$1+1,0),"")</f>
        <v/>
      </c>
      <c r="BD193" s="133" t="str">
        <f>IF($A193&lt;&gt;0,VLOOKUP($A193,'0.Productos'!$A$3:$GG$587,'0.Productos'!CV$1+1,0),"")</f>
        <v/>
      </c>
      <c r="BE193" s="133" t="str">
        <f>IF($A193&lt;&gt;0,VLOOKUP($A193,'0.Productos'!$A$3:$GG$587,'0.Productos'!CW$1+1,0),"")</f>
        <v/>
      </c>
      <c r="BF193" s="133" t="str">
        <f>IF($A193&lt;&gt;0,VLOOKUP($A193,'0.Productos'!$A$3:$GG$587,'0.Productos'!CX$1+1,0),"")</f>
        <v/>
      </c>
      <c r="BG193" s="133" t="str">
        <f>IF($A193&lt;&gt;0,VLOOKUP($A193,'0.Productos'!$A$3:$GG$587,'0.Productos'!CY$1+1,0),"")</f>
        <v/>
      </c>
      <c r="BH193" s="133" t="str">
        <f>IF($A193&lt;&gt;0,VLOOKUP($A193,'0.Productos'!$A$3:$GG$587,'0.Productos'!CZ$1+1,0),"")</f>
        <v/>
      </c>
      <c r="BI193" s="133" t="str">
        <f>IF($A193&lt;&gt;0,VLOOKUP($A193,'0.Productos'!$A$3:$GG$587,'0.Productos'!DA$1+1,0),"")</f>
        <v/>
      </c>
      <c r="BJ193" s="133" t="str">
        <f>IF($A193&lt;&gt;0,VLOOKUP($A193,'0.Productos'!$A$3:$GG$587,'0.Productos'!DB$1+1,0),"")</f>
        <v/>
      </c>
      <c r="BK193" s="133" t="str">
        <f>IF($A193&lt;&gt;0,VLOOKUP($A193,'0.Productos'!$A$3:$GG$587,'0.Productos'!DC$1+1,0),"")</f>
        <v/>
      </c>
      <c r="BL193" s="133" t="str">
        <f>IF($A193&lt;&gt;0,VLOOKUP($A193,'0.Productos'!$A$3:$GG$587,'0.Productos'!DD$1+1,0),"")</f>
        <v/>
      </c>
      <c r="BM193" s="133" t="str">
        <f>IF($A193&lt;&gt;0,VLOOKUP($A193,'0.Productos'!$A$3:$GG$587,'0.Productos'!DE$1+1,0),"")</f>
        <v/>
      </c>
      <c r="BN193" s="133" t="str">
        <f>IF($A193&lt;&gt;0,VLOOKUP($A193,'0.Productos'!$A$3:$GG$587,'0.Productos'!DF$1+1,0),"")</f>
        <v/>
      </c>
      <c r="BO193" s="133" t="str">
        <f>IF($A193&lt;&gt;0,VLOOKUP($A193,'0.Productos'!$A$3:$GG$587,'0.Productos'!DG$1+1,0),"")</f>
        <v/>
      </c>
      <c r="BP193" s="133" t="str">
        <f>IF($A193&lt;&gt;0,VLOOKUP($A193,'0.Productos'!$A$3:$GG$587,'0.Productos'!DH$1+1,0),"")</f>
        <v/>
      </c>
      <c r="BQ193" s="133" t="str">
        <f>IF($A193&lt;&gt;0,VLOOKUP($A193,'0.Productos'!$A$3:$GG$587,'0.Productos'!DI$1+1,0),"")</f>
        <v/>
      </c>
      <c r="BR193" s="133" t="str">
        <f>IF($A193&lt;&gt;0,VLOOKUP($A193,'0.Productos'!$A$3:$GG$587,'0.Productos'!DJ$1+1,0),"")</f>
        <v/>
      </c>
      <c r="BS193" s="133" t="str">
        <f>IF($A193&lt;&gt;0,VLOOKUP($A193,'0.Productos'!$A$3:$GG$587,'0.Productos'!DK$1+1,0),"")</f>
        <v/>
      </c>
      <c r="BT193" s="133" t="str">
        <f>IF($A193&lt;&gt;0,VLOOKUP($A193,'0.Productos'!$A$3:$GG$587,'0.Productos'!DL$1+1,0),"")</f>
        <v/>
      </c>
    </row>
    <row r="194" spans="1:72" x14ac:dyDescent="0.25">
      <c r="A194" s="17">
        <f>'0.Consolidado general'!A194</f>
        <v>0</v>
      </c>
      <c r="B194" s="133" t="str">
        <f>IF($A194&lt;&gt;0,VLOOKUP($A194,'0.Productos'!$A$3:$GG$587,'0.Productos'!AT$1+1,0),"")</f>
        <v/>
      </c>
      <c r="C194" s="133" t="str">
        <f>IF($A194&lt;&gt;0,VLOOKUP($A194,'0.Productos'!$A$3:$GG$587,'0.Productos'!AU$1+1,0),"")</f>
        <v/>
      </c>
      <c r="D194" s="133" t="str">
        <f>IF($A194&lt;&gt;0,VLOOKUP($A194,'0.Productos'!$A$3:$GG$587,'0.Productos'!AV$1+1,0),"")</f>
        <v/>
      </c>
      <c r="E194" s="133" t="str">
        <f>IF($A194&lt;&gt;0,VLOOKUP($A194,'0.Productos'!$A$3:$GG$587,'0.Productos'!AW$1+1,0),"")</f>
        <v/>
      </c>
      <c r="F194" s="133" t="str">
        <f>IF($A194&lt;&gt;0,VLOOKUP($A194,'0.Productos'!$A$3:$GG$587,'0.Productos'!AX$1+1,0),"")</f>
        <v/>
      </c>
      <c r="G194" s="133" t="str">
        <f>IF($A194&lt;&gt;0,VLOOKUP($A194,'0.Productos'!$A$3:$GG$587,'0.Productos'!AY$1+1,0),"")</f>
        <v/>
      </c>
      <c r="H194" s="133" t="str">
        <f>IF($A194&lt;&gt;0,VLOOKUP($A194,'0.Productos'!$A$3:$GG$587,'0.Productos'!AZ$1+1,0),"")</f>
        <v/>
      </c>
      <c r="I194" s="133" t="str">
        <f>IF($A194&lt;&gt;0,VLOOKUP($A194,'0.Productos'!$A$3:$GG$587,'0.Productos'!BA$1+1,0),"")</f>
        <v/>
      </c>
      <c r="J194" s="133" t="str">
        <f>IF($A194&lt;&gt;0,VLOOKUP($A194,'0.Productos'!$A$3:$GG$587,'0.Productos'!BB$1+1,0),"")</f>
        <v/>
      </c>
      <c r="K194" s="133" t="str">
        <f>IF($A194&lt;&gt;0,VLOOKUP($A194,'0.Productos'!$A$3:$GG$587,'0.Productos'!BC$1+1,0),"")</f>
        <v/>
      </c>
      <c r="L194" s="133" t="str">
        <f>IF($A194&lt;&gt;0,VLOOKUP($A194,'0.Productos'!$A$3:$GG$587,'0.Productos'!BD$1+1,0),"")</f>
        <v/>
      </c>
      <c r="M194" s="133" t="str">
        <f>IF($A194&lt;&gt;0,VLOOKUP($A194,'0.Productos'!$A$3:$GG$587,'0.Productos'!BE$1+1,0),"")</f>
        <v/>
      </c>
      <c r="N194" s="133" t="str">
        <f>IF($A194&lt;&gt;0,VLOOKUP($A194,'0.Productos'!$A$3:$GG$587,'0.Productos'!BF$1+1,0),"")</f>
        <v/>
      </c>
      <c r="O194" s="133" t="str">
        <f>IF($A194&lt;&gt;0,VLOOKUP($A194,'0.Productos'!$A$3:$GG$587,'0.Productos'!BG$1+1,0),"")</f>
        <v/>
      </c>
      <c r="P194" s="133" t="str">
        <f>IF($A194&lt;&gt;0,VLOOKUP($A194,'0.Productos'!$A$3:$GG$587,'0.Productos'!BH$1+1,0),"")</f>
        <v/>
      </c>
      <c r="Q194" s="133" t="str">
        <f>IF($A194&lt;&gt;0,VLOOKUP($A194,'0.Productos'!$A$3:$GG$587,'0.Productos'!BI$1+1,0),"")</f>
        <v/>
      </c>
      <c r="R194" s="133" t="str">
        <f>IF($A194&lt;&gt;0,VLOOKUP($A194,'0.Productos'!$A$3:$GG$587,'0.Productos'!BJ$1+1,0),"")</f>
        <v/>
      </c>
      <c r="S194" s="133" t="str">
        <f>IF($A194&lt;&gt;0,VLOOKUP($A194,'0.Productos'!$A$3:$GG$587,'0.Productos'!BK$1+1,0),"")</f>
        <v/>
      </c>
      <c r="T194" s="133" t="str">
        <f>IF($A194&lt;&gt;0,VLOOKUP($A194,'0.Productos'!$A$3:$GG$587,'0.Productos'!BL$1+1,0),"")</f>
        <v/>
      </c>
      <c r="U194" s="133" t="str">
        <f>IF($A194&lt;&gt;0,VLOOKUP($A194,'0.Productos'!$A$3:$GG$587,'0.Productos'!BM$1+1,0),"")</f>
        <v/>
      </c>
      <c r="V194" s="133" t="str">
        <f>IF($A194&lt;&gt;0,VLOOKUP($A194,'0.Productos'!$A$3:$GG$587,'0.Productos'!BN$1+1,0),"")</f>
        <v/>
      </c>
      <c r="W194" s="133" t="str">
        <f>IF($A194&lt;&gt;0,VLOOKUP($A194,'0.Productos'!$A$3:$GG$587,'0.Productos'!BO$1+1,0),"")</f>
        <v/>
      </c>
      <c r="X194" s="133" t="str">
        <f>IF($A194&lt;&gt;0,VLOOKUP($A194,'0.Productos'!$A$3:$GG$587,'0.Productos'!BP$1+1,0),"")</f>
        <v/>
      </c>
      <c r="Y194" s="133" t="str">
        <f>IF($A194&lt;&gt;0,VLOOKUP($A194,'0.Productos'!$A$3:$GG$587,'0.Productos'!BQ$1+1,0),"")</f>
        <v/>
      </c>
      <c r="Z194" s="133" t="str">
        <f>IF($A194&lt;&gt;0,VLOOKUP($A194,'0.Productos'!$A$3:$GG$587,'0.Productos'!BR$1+1,0),"")</f>
        <v/>
      </c>
      <c r="AA194" s="133" t="str">
        <f>IF($A194&lt;&gt;0,VLOOKUP($A194,'0.Productos'!$A$3:$GG$587,'0.Productos'!BS$1+1,0),"")</f>
        <v/>
      </c>
      <c r="AB194" s="133" t="str">
        <f>IF($A194&lt;&gt;0,VLOOKUP($A194,'0.Productos'!$A$3:$GG$587,'0.Productos'!BT$1+1,0),"")</f>
        <v/>
      </c>
      <c r="AC194" s="133" t="str">
        <f>IF($A194&lt;&gt;0,VLOOKUP($A194,'0.Productos'!$A$3:$GG$587,'0.Productos'!BU$1+1,0),"")</f>
        <v/>
      </c>
      <c r="AD194" s="133" t="str">
        <f>IF($A194&lt;&gt;0,VLOOKUP($A194,'0.Productos'!$A$3:$GG$587,'0.Productos'!BV$1+1,0),"")</f>
        <v/>
      </c>
      <c r="AE194" s="133" t="str">
        <f>IF($A194&lt;&gt;0,VLOOKUP($A194,'0.Productos'!$A$3:$GG$587,'0.Productos'!BW$1+1,0),"")</f>
        <v/>
      </c>
      <c r="AF194" s="133" t="str">
        <f>IF($A194&lt;&gt;0,VLOOKUP($A194,'0.Productos'!$A$3:$GG$587,'0.Productos'!BX$1+1,0),"")</f>
        <v/>
      </c>
      <c r="AG194" s="133" t="str">
        <f>IF($A194&lt;&gt;0,VLOOKUP($A194,'0.Productos'!$A$3:$GG$587,'0.Productos'!BY$1+1,0),"")</f>
        <v/>
      </c>
      <c r="AH194" s="133" t="str">
        <f>IF($A194&lt;&gt;0,VLOOKUP($A194,'0.Productos'!$A$3:$GG$587,'0.Productos'!BZ$1+1,0),"")</f>
        <v/>
      </c>
      <c r="AI194" s="133" t="str">
        <f>IF($A194&lt;&gt;0,VLOOKUP($A194,'0.Productos'!$A$3:$GG$587,'0.Productos'!CA$1+1,0),"")</f>
        <v/>
      </c>
      <c r="AJ194" s="133" t="str">
        <f>IF($A194&lt;&gt;0,VLOOKUP($A194,'0.Productos'!$A$3:$GG$587,'0.Productos'!CB$1+1,0),"")</f>
        <v/>
      </c>
      <c r="AK194" s="133" t="str">
        <f>IF($A194&lt;&gt;0,VLOOKUP($A194,'0.Productos'!$A$3:$GG$587,'0.Productos'!CC$1+1,0),"")</f>
        <v/>
      </c>
      <c r="AL194" s="133" t="str">
        <f>IF($A194&lt;&gt;0,VLOOKUP($A194,'0.Productos'!$A$3:$GG$587,'0.Productos'!CD$1+1,0),"")</f>
        <v/>
      </c>
      <c r="AM194" s="133" t="str">
        <f>IF($A194&lt;&gt;0,VLOOKUP($A194,'0.Productos'!$A$3:$GG$587,'0.Productos'!CE$1+1,0),"")</f>
        <v/>
      </c>
      <c r="AN194" s="133" t="str">
        <f>IF($A194&lt;&gt;0,VLOOKUP($A194,'0.Productos'!$A$3:$GG$587,'0.Productos'!CF$1+1,0),"")</f>
        <v/>
      </c>
      <c r="AO194" s="133" t="str">
        <f>IF($A194&lt;&gt;0,VLOOKUP($A194,'0.Productos'!$A$3:$GG$587,'0.Productos'!CG$1+1,0),"")</f>
        <v/>
      </c>
      <c r="AP194" s="133" t="str">
        <f>IF($A194&lt;&gt;0,VLOOKUP($A194,'0.Productos'!$A$3:$GG$587,'0.Productos'!CH$1+1,0),"")</f>
        <v/>
      </c>
      <c r="AQ194" s="133" t="str">
        <f>IF($A194&lt;&gt;0,VLOOKUP($A194,'0.Productos'!$A$3:$GG$587,'0.Productos'!CI$1+1,0),"")</f>
        <v/>
      </c>
      <c r="AR194" s="133" t="str">
        <f>IF($A194&lt;&gt;0,VLOOKUP($A194,'0.Productos'!$A$3:$GG$587,'0.Productos'!CJ$1+1,0),"")</f>
        <v/>
      </c>
      <c r="AS194" s="133" t="str">
        <f>IF($A194&lt;&gt;0,VLOOKUP($A194,'0.Productos'!$A$3:$GG$587,'0.Productos'!CK$1+1,0),"")</f>
        <v/>
      </c>
      <c r="AT194" s="133" t="str">
        <f>IF($A194&lt;&gt;0,VLOOKUP($A194,'0.Productos'!$A$3:$GG$587,'0.Productos'!CL$1+1,0),"")</f>
        <v/>
      </c>
      <c r="AU194" s="133" t="str">
        <f>IF($A194&lt;&gt;0,VLOOKUP($A194,'0.Productos'!$A$3:$GG$587,'0.Productos'!CM$1+1,0),"")</f>
        <v/>
      </c>
      <c r="AV194" s="133" t="str">
        <f>IF($A194&lt;&gt;0,VLOOKUP($A194,'0.Productos'!$A$3:$GG$587,'0.Productos'!CN$1+1,0),"")</f>
        <v/>
      </c>
      <c r="AW194" s="133" t="str">
        <f>IF($A194&lt;&gt;0,VLOOKUP($A194,'0.Productos'!$A$3:$GG$587,'0.Productos'!CO$1+1,0),"")</f>
        <v/>
      </c>
      <c r="AX194" s="133" t="str">
        <f>IF($A194&lt;&gt;0,VLOOKUP($A194,'0.Productos'!$A$3:$GG$587,'0.Productos'!CP$1+1,0),"")</f>
        <v/>
      </c>
      <c r="AY194" s="133" t="str">
        <f>IF($A194&lt;&gt;0,VLOOKUP($A194,'0.Productos'!$A$3:$GG$587,'0.Productos'!CQ$1+1,0),"")</f>
        <v/>
      </c>
      <c r="AZ194" s="133" t="str">
        <f>IF($A194&lt;&gt;0,VLOOKUP($A194,'0.Productos'!$A$3:$GG$587,'0.Productos'!CR$1+1,0),"")</f>
        <v/>
      </c>
      <c r="BA194" s="133" t="str">
        <f>IF($A194&lt;&gt;0,VLOOKUP($A194,'0.Productos'!$A$3:$GG$587,'0.Productos'!CS$1+1,0),"")</f>
        <v/>
      </c>
      <c r="BB194" s="133" t="str">
        <f>IF($A194&lt;&gt;0,VLOOKUP($A194,'0.Productos'!$A$3:$GG$587,'0.Productos'!CT$1+1,0),"")</f>
        <v/>
      </c>
      <c r="BC194" s="133" t="str">
        <f>IF($A194&lt;&gt;0,VLOOKUP($A194,'0.Productos'!$A$3:$GG$587,'0.Productos'!CU$1+1,0),"")</f>
        <v/>
      </c>
      <c r="BD194" s="133" t="str">
        <f>IF($A194&lt;&gt;0,VLOOKUP($A194,'0.Productos'!$A$3:$GG$587,'0.Productos'!CV$1+1,0),"")</f>
        <v/>
      </c>
      <c r="BE194" s="133" t="str">
        <f>IF($A194&lt;&gt;0,VLOOKUP($A194,'0.Productos'!$A$3:$GG$587,'0.Productos'!CW$1+1,0),"")</f>
        <v/>
      </c>
      <c r="BF194" s="133" t="str">
        <f>IF($A194&lt;&gt;0,VLOOKUP($A194,'0.Productos'!$A$3:$GG$587,'0.Productos'!CX$1+1,0),"")</f>
        <v/>
      </c>
      <c r="BG194" s="133" t="str">
        <f>IF($A194&lt;&gt;0,VLOOKUP($A194,'0.Productos'!$A$3:$GG$587,'0.Productos'!CY$1+1,0),"")</f>
        <v/>
      </c>
      <c r="BH194" s="133" t="str">
        <f>IF($A194&lt;&gt;0,VLOOKUP($A194,'0.Productos'!$A$3:$GG$587,'0.Productos'!CZ$1+1,0),"")</f>
        <v/>
      </c>
      <c r="BI194" s="133" t="str">
        <f>IF($A194&lt;&gt;0,VLOOKUP($A194,'0.Productos'!$A$3:$GG$587,'0.Productos'!DA$1+1,0),"")</f>
        <v/>
      </c>
      <c r="BJ194" s="133" t="str">
        <f>IF($A194&lt;&gt;0,VLOOKUP($A194,'0.Productos'!$A$3:$GG$587,'0.Productos'!DB$1+1,0),"")</f>
        <v/>
      </c>
      <c r="BK194" s="133" t="str">
        <f>IF($A194&lt;&gt;0,VLOOKUP($A194,'0.Productos'!$A$3:$GG$587,'0.Productos'!DC$1+1,0),"")</f>
        <v/>
      </c>
      <c r="BL194" s="133" t="str">
        <f>IF($A194&lt;&gt;0,VLOOKUP($A194,'0.Productos'!$A$3:$GG$587,'0.Productos'!DD$1+1,0),"")</f>
        <v/>
      </c>
      <c r="BM194" s="133" t="str">
        <f>IF($A194&lt;&gt;0,VLOOKUP($A194,'0.Productos'!$A$3:$GG$587,'0.Productos'!DE$1+1,0),"")</f>
        <v/>
      </c>
      <c r="BN194" s="133" t="str">
        <f>IF($A194&lt;&gt;0,VLOOKUP($A194,'0.Productos'!$A$3:$GG$587,'0.Productos'!DF$1+1,0),"")</f>
        <v/>
      </c>
      <c r="BO194" s="133" t="str">
        <f>IF($A194&lt;&gt;0,VLOOKUP($A194,'0.Productos'!$A$3:$GG$587,'0.Productos'!DG$1+1,0),"")</f>
        <v/>
      </c>
      <c r="BP194" s="133" t="str">
        <f>IF($A194&lt;&gt;0,VLOOKUP($A194,'0.Productos'!$A$3:$GG$587,'0.Productos'!DH$1+1,0),"")</f>
        <v/>
      </c>
      <c r="BQ194" s="133" t="str">
        <f>IF($A194&lt;&gt;0,VLOOKUP($A194,'0.Productos'!$A$3:$GG$587,'0.Productos'!DI$1+1,0),"")</f>
        <v/>
      </c>
      <c r="BR194" s="133" t="str">
        <f>IF($A194&lt;&gt;0,VLOOKUP($A194,'0.Productos'!$A$3:$GG$587,'0.Productos'!DJ$1+1,0),"")</f>
        <v/>
      </c>
      <c r="BS194" s="133" t="str">
        <f>IF($A194&lt;&gt;0,VLOOKUP($A194,'0.Productos'!$A$3:$GG$587,'0.Productos'!DK$1+1,0),"")</f>
        <v/>
      </c>
      <c r="BT194" s="133" t="str">
        <f>IF($A194&lt;&gt;0,VLOOKUP($A194,'0.Productos'!$A$3:$GG$587,'0.Productos'!DL$1+1,0),"")</f>
        <v/>
      </c>
    </row>
    <row r="195" spans="1:72" x14ac:dyDescent="0.25">
      <c r="A195" s="17">
        <f>'0.Consolidado general'!A195</f>
        <v>0</v>
      </c>
      <c r="B195" s="133" t="str">
        <f>IF($A195&lt;&gt;0,VLOOKUP($A195,'0.Productos'!$A$3:$GG$587,'0.Productos'!AT$1+1,0),"")</f>
        <v/>
      </c>
      <c r="C195" s="133" t="str">
        <f>IF($A195&lt;&gt;0,VLOOKUP($A195,'0.Productos'!$A$3:$GG$587,'0.Productos'!AU$1+1,0),"")</f>
        <v/>
      </c>
      <c r="D195" s="133" t="str">
        <f>IF($A195&lt;&gt;0,VLOOKUP($A195,'0.Productos'!$A$3:$GG$587,'0.Productos'!AV$1+1,0),"")</f>
        <v/>
      </c>
      <c r="E195" s="133" t="str">
        <f>IF($A195&lt;&gt;0,VLOOKUP($A195,'0.Productos'!$A$3:$GG$587,'0.Productos'!AW$1+1,0),"")</f>
        <v/>
      </c>
      <c r="F195" s="133" t="str">
        <f>IF($A195&lt;&gt;0,VLOOKUP($A195,'0.Productos'!$A$3:$GG$587,'0.Productos'!AX$1+1,0),"")</f>
        <v/>
      </c>
      <c r="G195" s="133" t="str">
        <f>IF($A195&lt;&gt;0,VLOOKUP($A195,'0.Productos'!$A$3:$GG$587,'0.Productos'!AY$1+1,0),"")</f>
        <v/>
      </c>
      <c r="H195" s="133" t="str">
        <f>IF($A195&lt;&gt;0,VLOOKUP($A195,'0.Productos'!$A$3:$GG$587,'0.Productos'!AZ$1+1,0),"")</f>
        <v/>
      </c>
      <c r="I195" s="133" t="str">
        <f>IF($A195&lt;&gt;0,VLOOKUP($A195,'0.Productos'!$A$3:$GG$587,'0.Productos'!BA$1+1,0),"")</f>
        <v/>
      </c>
      <c r="J195" s="133" t="str">
        <f>IF($A195&lt;&gt;0,VLOOKUP($A195,'0.Productos'!$A$3:$GG$587,'0.Productos'!BB$1+1,0),"")</f>
        <v/>
      </c>
      <c r="K195" s="133" t="str">
        <f>IF($A195&lt;&gt;0,VLOOKUP($A195,'0.Productos'!$A$3:$GG$587,'0.Productos'!BC$1+1,0),"")</f>
        <v/>
      </c>
      <c r="L195" s="133" t="str">
        <f>IF($A195&lt;&gt;0,VLOOKUP($A195,'0.Productos'!$A$3:$GG$587,'0.Productos'!BD$1+1,0),"")</f>
        <v/>
      </c>
      <c r="M195" s="133" t="str">
        <f>IF($A195&lt;&gt;0,VLOOKUP($A195,'0.Productos'!$A$3:$GG$587,'0.Productos'!BE$1+1,0),"")</f>
        <v/>
      </c>
      <c r="N195" s="133" t="str">
        <f>IF($A195&lt;&gt;0,VLOOKUP($A195,'0.Productos'!$A$3:$GG$587,'0.Productos'!BF$1+1,0),"")</f>
        <v/>
      </c>
      <c r="O195" s="133" t="str">
        <f>IF($A195&lt;&gt;0,VLOOKUP($A195,'0.Productos'!$A$3:$GG$587,'0.Productos'!BG$1+1,0),"")</f>
        <v/>
      </c>
      <c r="P195" s="133" t="str">
        <f>IF($A195&lt;&gt;0,VLOOKUP($A195,'0.Productos'!$A$3:$GG$587,'0.Productos'!BH$1+1,0),"")</f>
        <v/>
      </c>
      <c r="Q195" s="133" t="str">
        <f>IF($A195&lt;&gt;0,VLOOKUP($A195,'0.Productos'!$A$3:$GG$587,'0.Productos'!BI$1+1,0),"")</f>
        <v/>
      </c>
      <c r="R195" s="133" t="str">
        <f>IF($A195&lt;&gt;0,VLOOKUP($A195,'0.Productos'!$A$3:$GG$587,'0.Productos'!BJ$1+1,0),"")</f>
        <v/>
      </c>
      <c r="S195" s="133" t="str">
        <f>IF($A195&lt;&gt;0,VLOOKUP($A195,'0.Productos'!$A$3:$GG$587,'0.Productos'!BK$1+1,0),"")</f>
        <v/>
      </c>
      <c r="T195" s="133" t="str">
        <f>IF($A195&lt;&gt;0,VLOOKUP($A195,'0.Productos'!$A$3:$GG$587,'0.Productos'!BL$1+1,0),"")</f>
        <v/>
      </c>
      <c r="U195" s="133" t="str">
        <f>IF($A195&lt;&gt;0,VLOOKUP($A195,'0.Productos'!$A$3:$GG$587,'0.Productos'!BM$1+1,0),"")</f>
        <v/>
      </c>
      <c r="V195" s="133" t="str">
        <f>IF($A195&lt;&gt;0,VLOOKUP($A195,'0.Productos'!$A$3:$GG$587,'0.Productos'!BN$1+1,0),"")</f>
        <v/>
      </c>
      <c r="W195" s="133" t="str">
        <f>IF($A195&lt;&gt;0,VLOOKUP($A195,'0.Productos'!$A$3:$GG$587,'0.Productos'!BO$1+1,0),"")</f>
        <v/>
      </c>
      <c r="X195" s="133" t="str">
        <f>IF($A195&lt;&gt;0,VLOOKUP($A195,'0.Productos'!$A$3:$GG$587,'0.Productos'!BP$1+1,0),"")</f>
        <v/>
      </c>
      <c r="Y195" s="133" t="str">
        <f>IF($A195&lt;&gt;0,VLOOKUP($A195,'0.Productos'!$A$3:$GG$587,'0.Productos'!BQ$1+1,0),"")</f>
        <v/>
      </c>
      <c r="Z195" s="133" t="str">
        <f>IF($A195&lt;&gt;0,VLOOKUP($A195,'0.Productos'!$A$3:$GG$587,'0.Productos'!BR$1+1,0),"")</f>
        <v/>
      </c>
      <c r="AA195" s="133" t="str">
        <f>IF($A195&lt;&gt;0,VLOOKUP($A195,'0.Productos'!$A$3:$GG$587,'0.Productos'!BS$1+1,0),"")</f>
        <v/>
      </c>
      <c r="AB195" s="133" t="str">
        <f>IF($A195&lt;&gt;0,VLOOKUP($A195,'0.Productos'!$A$3:$GG$587,'0.Productos'!BT$1+1,0),"")</f>
        <v/>
      </c>
      <c r="AC195" s="133" t="str">
        <f>IF($A195&lt;&gt;0,VLOOKUP($A195,'0.Productos'!$A$3:$GG$587,'0.Productos'!BU$1+1,0),"")</f>
        <v/>
      </c>
      <c r="AD195" s="133" t="str">
        <f>IF($A195&lt;&gt;0,VLOOKUP($A195,'0.Productos'!$A$3:$GG$587,'0.Productos'!BV$1+1,0),"")</f>
        <v/>
      </c>
      <c r="AE195" s="133" t="str">
        <f>IF($A195&lt;&gt;0,VLOOKUP($A195,'0.Productos'!$A$3:$GG$587,'0.Productos'!BW$1+1,0),"")</f>
        <v/>
      </c>
      <c r="AF195" s="133" t="str">
        <f>IF($A195&lt;&gt;0,VLOOKUP($A195,'0.Productos'!$A$3:$GG$587,'0.Productos'!BX$1+1,0),"")</f>
        <v/>
      </c>
      <c r="AG195" s="133" t="str">
        <f>IF($A195&lt;&gt;0,VLOOKUP($A195,'0.Productos'!$A$3:$GG$587,'0.Productos'!BY$1+1,0),"")</f>
        <v/>
      </c>
      <c r="AH195" s="133" t="str">
        <f>IF($A195&lt;&gt;0,VLOOKUP($A195,'0.Productos'!$A$3:$GG$587,'0.Productos'!BZ$1+1,0),"")</f>
        <v/>
      </c>
      <c r="AI195" s="133" t="str">
        <f>IF($A195&lt;&gt;0,VLOOKUP($A195,'0.Productos'!$A$3:$GG$587,'0.Productos'!CA$1+1,0),"")</f>
        <v/>
      </c>
      <c r="AJ195" s="133" t="str">
        <f>IF($A195&lt;&gt;0,VLOOKUP($A195,'0.Productos'!$A$3:$GG$587,'0.Productos'!CB$1+1,0),"")</f>
        <v/>
      </c>
      <c r="AK195" s="133" t="str">
        <f>IF($A195&lt;&gt;0,VLOOKUP($A195,'0.Productos'!$A$3:$GG$587,'0.Productos'!CC$1+1,0),"")</f>
        <v/>
      </c>
      <c r="AL195" s="133" t="str">
        <f>IF($A195&lt;&gt;0,VLOOKUP($A195,'0.Productos'!$A$3:$GG$587,'0.Productos'!CD$1+1,0),"")</f>
        <v/>
      </c>
      <c r="AM195" s="133" t="str">
        <f>IF($A195&lt;&gt;0,VLOOKUP($A195,'0.Productos'!$A$3:$GG$587,'0.Productos'!CE$1+1,0),"")</f>
        <v/>
      </c>
      <c r="AN195" s="133" t="str">
        <f>IF($A195&lt;&gt;0,VLOOKUP($A195,'0.Productos'!$A$3:$GG$587,'0.Productos'!CF$1+1,0),"")</f>
        <v/>
      </c>
      <c r="AO195" s="133" t="str">
        <f>IF($A195&lt;&gt;0,VLOOKUP($A195,'0.Productos'!$A$3:$GG$587,'0.Productos'!CG$1+1,0),"")</f>
        <v/>
      </c>
      <c r="AP195" s="133" t="str">
        <f>IF($A195&lt;&gt;0,VLOOKUP($A195,'0.Productos'!$A$3:$GG$587,'0.Productos'!CH$1+1,0),"")</f>
        <v/>
      </c>
      <c r="AQ195" s="133" t="str">
        <f>IF($A195&lt;&gt;0,VLOOKUP($A195,'0.Productos'!$A$3:$GG$587,'0.Productos'!CI$1+1,0),"")</f>
        <v/>
      </c>
      <c r="AR195" s="133" t="str">
        <f>IF($A195&lt;&gt;0,VLOOKUP($A195,'0.Productos'!$A$3:$GG$587,'0.Productos'!CJ$1+1,0),"")</f>
        <v/>
      </c>
      <c r="AS195" s="133" t="str">
        <f>IF($A195&lt;&gt;0,VLOOKUP($A195,'0.Productos'!$A$3:$GG$587,'0.Productos'!CK$1+1,0),"")</f>
        <v/>
      </c>
      <c r="AT195" s="133" t="str">
        <f>IF($A195&lt;&gt;0,VLOOKUP($A195,'0.Productos'!$A$3:$GG$587,'0.Productos'!CL$1+1,0),"")</f>
        <v/>
      </c>
      <c r="AU195" s="133" t="str">
        <f>IF($A195&lt;&gt;0,VLOOKUP($A195,'0.Productos'!$A$3:$GG$587,'0.Productos'!CM$1+1,0),"")</f>
        <v/>
      </c>
      <c r="AV195" s="133" t="str">
        <f>IF($A195&lt;&gt;0,VLOOKUP($A195,'0.Productos'!$A$3:$GG$587,'0.Productos'!CN$1+1,0),"")</f>
        <v/>
      </c>
      <c r="AW195" s="133" t="str">
        <f>IF($A195&lt;&gt;0,VLOOKUP($A195,'0.Productos'!$A$3:$GG$587,'0.Productos'!CO$1+1,0),"")</f>
        <v/>
      </c>
      <c r="AX195" s="133" t="str">
        <f>IF($A195&lt;&gt;0,VLOOKUP($A195,'0.Productos'!$A$3:$GG$587,'0.Productos'!CP$1+1,0),"")</f>
        <v/>
      </c>
      <c r="AY195" s="133" t="str">
        <f>IF($A195&lt;&gt;0,VLOOKUP($A195,'0.Productos'!$A$3:$GG$587,'0.Productos'!CQ$1+1,0),"")</f>
        <v/>
      </c>
      <c r="AZ195" s="133" t="str">
        <f>IF($A195&lt;&gt;0,VLOOKUP($A195,'0.Productos'!$A$3:$GG$587,'0.Productos'!CR$1+1,0),"")</f>
        <v/>
      </c>
      <c r="BA195" s="133" t="str">
        <f>IF($A195&lt;&gt;0,VLOOKUP($A195,'0.Productos'!$A$3:$GG$587,'0.Productos'!CS$1+1,0),"")</f>
        <v/>
      </c>
      <c r="BB195" s="133" t="str">
        <f>IF($A195&lt;&gt;0,VLOOKUP($A195,'0.Productos'!$A$3:$GG$587,'0.Productos'!CT$1+1,0),"")</f>
        <v/>
      </c>
      <c r="BC195" s="133" t="str">
        <f>IF($A195&lt;&gt;0,VLOOKUP($A195,'0.Productos'!$A$3:$GG$587,'0.Productos'!CU$1+1,0),"")</f>
        <v/>
      </c>
      <c r="BD195" s="133" t="str">
        <f>IF($A195&lt;&gt;0,VLOOKUP($A195,'0.Productos'!$A$3:$GG$587,'0.Productos'!CV$1+1,0),"")</f>
        <v/>
      </c>
      <c r="BE195" s="133" t="str">
        <f>IF($A195&lt;&gt;0,VLOOKUP($A195,'0.Productos'!$A$3:$GG$587,'0.Productos'!CW$1+1,0),"")</f>
        <v/>
      </c>
      <c r="BF195" s="133" t="str">
        <f>IF($A195&lt;&gt;0,VLOOKUP($A195,'0.Productos'!$A$3:$GG$587,'0.Productos'!CX$1+1,0),"")</f>
        <v/>
      </c>
      <c r="BG195" s="133" t="str">
        <f>IF($A195&lt;&gt;0,VLOOKUP($A195,'0.Productos'!$A$3:$GG$587,'0.Productos'!CY$1+1,0),"")</f>
        <v/>
      </c>
      <c r="BH195" s="133" t="str">
        <f>IF($A195&lt;&gt;0,VLOOKUP($A195,'0.Productos'!$A$3:$GG$587,'0.Productos'!CZ$1+1,0),"")</f>
        <v/>
      </c>
      <c r="BI195" s="133" t="str">
        <f>IF($A195&lt;&gt;0,VLOOKUP($A195,'0.Productos'!$A$3:$GG$587,'0.Productos'!DA$1+1,0),"")</f>
        <v/>
      </c>
      <c r="BJ195" s="133" t="str">
        <f>IF($A195&lt;&gt;0,VLOOKUP($A195,'0.Productos'!$A$3:$GG$587,'0.Productos'!DB$1+1,0),"")</f>
        <v/>
      </c>
      <c r="BK195" s="133" t="str">
        <f>IF($A195&lt;&gt;0,VLOOKUP($A195,'0.Productos'!$A$3:$GG$587,'0.Productos'!DC$1+1,0),"")</f>
        <v/>
      </c>
      <c r="BL195" s="133" t="str">
        <f>IF($A195&lt;&gt;0,VLOOKUP($A195,'0.Productos'!$A$3:$GG$587,'0.Productos'!DD$1+1,0),"")</f>
        <v/>
      </c>
      <c r="BM195" s="133" t="str">
        <f>IF($A195&lt;&gt;0,VLOOKUP($A195,'0.Productos'!$A$3:$GG$587,'0.Productos'!DE$1+1,0),"")</f>
        <v/>
      </c>
      <c r="BN195" s="133" t="str">
        <f>IF($A195&lt;&gt;0,VLOOKUP($A195,'0.Productos'!$A$3:$GG$587,'0.Productos'!DF$1+1,0),"")</f>
        <v/>
      </c>
      <c r="BO195" s="133" t="str">
        <f>IF($A195&lt;&gt;0,VLOOKUP($A195,'0.Productos'!$A$3:$GG$587,'0.Productos'!DG$1+1,0),"")</f>
        <v/>
      </c>
      <c r="BP195" s="133" t="str">
        <f>IF($A195&lt;&gt;0,VLOOKUP($A195,'0.Productos'!$A$3:$GG$587,'0.Productos'!DH$1+1,0),"")</f>
        <v/>
      </c>
      <c r="BQ195" s="133" t="str">
        <f>IF($A195&lt;&gt;0,VLOOKUP($A195,'0.Productos'!$A$3:$GG$587,'0.Productos'!DI$1+1,0),"")</f>
        <v/>
      </c>
      <c r="BR195" s="133" t="str">
        <f>IF($A195&lt;&gt;0,VLOOKUP($A195,'0.Productos'!$A$3:$GG$587,'0.Productos'!DJ$1+1,0),"")</f>
        <v/>
      </c>
      <c r="BS195" s="133" t="str">
        <f>IF($A195&lt;&gt;0,VLOOKUP($A195,'0.Productos'!$A$3:$GG$587,'0.Productos'!DK$1+1,0),"")</f>
        <v/>
      </c>
      <c r="BT195" s="133" t="str">
        <f>IF($A195&lt;&gt;0,VLOOKUP($A195,'0.Productos'!$A$3:$GG$587,'0.Productos'!DL$1+1,0),"")</f>
        <v/>
      </c>
    </row>
    <row r="196" spans="1:72" x14ac:dyDescent="0.25">
      <c r="A196" s="17">
        <f>'0.Consolidado general'!A196</f>
        <v>0</v>
      </c>
      <c r="B196" s="133" t="str">
        <f>IF($A196&lt;&gt;0,VLOOKUP($A196,'0.Productos'!$A$3:$GG$587,'0.Productos'!AT$1+1,0),"")</f>
        <v/>
      </c>
      <c r="C196" s="133" t="str">
        <f>IF($A196&lt;&gt;0,VLOOKUP($A196,'0.Productos'!$A$3:$GG$587,'0.Productos'!AU$1+1,0),"")</f>
        <v/>
      </c>
      <c r="D196" s="133" t="str">
        <f>IF($A196&lt;&gt;0,VLOOKUP($A196,'0.Productos'!$A$3:$GG$587,'0.Productos'!AV$1+1,0),"")</f>
        <v/>
      </c>
      <c r="E196" s="133" t="str">
        <f>IF($A196&lt;&gt;0,VLOOKUP($A196,'0.Productos'!$A$3:$GG$587,'0.Productos'!AW$1+1,0),"")</f>
        <v/>
      </c>
      <c r="F196" s="133" t="str">
        <f>IF($A196&lt;&gt;0,VLOOKUP($A196,'0.Productos'!$A$3:$GG$587,'0.Productos'!AX$1+1,0),"")</f>
        <v/>
      </c>
      <c r="G196" s="133" t="str">
        <f>IF($A196&lt;&gt;0,VLOOKUP($A196,'0.Productos'!$A$3:$GG$587,'0.Productos'!AY$1+1,0),"")</f>
        <v/>
      </c>
      <c r="H196" s="133" t="str">
        <f>IF($A196&lt;&gt;0,VLOOKUP($A196,'0.Productos'!$A$3:$GG$587,'0.Productos'!AZ$1+1,0),"")</f>
        <v/>
      </c>
      <c r="I196" s="133" t="str">
        <f>IF($A196&lt;&gt;0,VLOOKUP($A196,'0.Productos'!$A$3:$GG$587,'0.Productos'!BA$1+1,0),"")</f>
        <v/>
      </c>
      <c r="J196" s="133" t="str">
        <f>IF($A196&lt;&gt;0,VLOOKUP($A196,'0.Productos'!$A$3:$GG$587,'0.Productos'!BB$1+1,0),"")</f>
        <v/>
      </c>
      <c r="K196" s="133" t="str">
        <f>IF($A196&lt;&gt;0,VLOOKUP($A196,'0.Productos'!$A$3:$GG$587,'0.Productos'!BC$1+1,0),"")</f>
        <v/>
      </c>
      <c r="L196" s="133" t="str">
        <f>IF($A196&lt;&gt;0,VLOOKUP($A196,'0.Productos'!$A$3:$GG$587,'0.Productos'!BD$1+1,0),"")</f>
        <v/>
      </c>
      <c r="M196" s="133" t="str">
        <f>IF($A196&lt;&gt;0,VLOOKUP($A196,'0.Productos'!$A$3:$GG$587,'0.Productos'!BE$1+1,0),"")</f>
        <v/>
      </c>
      <c r="N196" s="133" t="str">
        <f>IF($A196&lt;&gt;0,VLOOKUP($A196,'0.Productos'!$A$3:$GG$587,'0.Productos'!BF$1+1,0),"")</f>
        <v/>
      </c>
      <c r="O196" s="133" t="str">
        <f>IF($A196&lt;&gt;0,VLOOKUP($A196,'0.Productos'!$A$3:$GG$587,'0.Productos'!BG$1+1,0),"")</f>
        <v/>
      </c>
      <c r="P196" s="133" t="str">
        <f>IF($A196&lt;&gt;0,VLOOKUP($A196,'0.Productos'!$A$3:$GG$587,'0.Productos'!BH$1+1,0),"")</f>
        <v/>
      </c>
      <c r="Q196" s="133" t="str">
        <f>IF($A196&lt;&gt;0,VLOOKUP($A196,'0.Productos'!$A$3:$GG$587,'0.Productos'!BI$1+1,0),"")</f>
        <v/>
      </c>
      <c r="R196" s="133" t="str">
        <f>IF($A196&lt;&gt;0,VLOOKUP($A196,'0.Productos'!$A$3:$GG$587,'0.Productos'!BJ$1+1,0),"")</f>
        <v/>
      </c>
      <c r="S196" s="133" t="str">
        <f>IF($A196&lt;&gt;0,VLOOKUP($A196,'0.Productos'!$A$3:$GG$587,'0.Productos'!BK$1+1,0),"")</f>
        <v/>
      </c>
      <c r="T196" s="133" t="str">
        <f>IF($A196&lt;&gt;0,VLOOKUP($A196,'0.Productos'!$A$3:$GG$587,'0.Productos'!BL$1+1,0),"")</f>
        <v/>
      </c>
      <c r="U196" s="133" t="str">
        <f>IF($A196&lt;&gt;0,VLOOKUP($A196,'0.Productos'!$A$3:$GG$587,'0.Productos'!BM$1+1,0),"")</f>
        <v/>
      </c>
      <c r="V196" s="133" t="str">
        <f>IF($A196&lt;&gt;0,VLOOKUP($A196,'0.Productos'!$A$3:$GG$587,'0.Productos'!BN$1+1,0),"")</f>
        <v/>
      </c>
      <c r="W196" s="133" t="str">
        <f>IF($A196&lt;&gt;0,VLOOKUP($A196,'0.Productos'!$A$3:$GG$587,'0.Productos'!BO$1+1,0),"")</f>
        <v/>
      </c>
      <c r="X196" s="133" t="str">
        <f>IF($A196&lt;&gt;0,VLOOKUP($A196,'0.Productos'!$A$3:$GG$587,'0.Productos'!BP$1+1,0),"")</f>
        <v/>
      </c>
      <c r="Y196" s="133" t="str">
        <f>IF($A196&lt;&gt;0,VLOOKUP($A196,'0.Productos'!$A$3:$GG$587,'0.Productos'!BQ$1+1,0),"")</f>
        <v/>
      </c>
      <c r="Z196" s="133" t="str">
        <f>IF($A196&lt;&gt;0,VLOOKUP($A196,'0.Productos'!$A$3:$GG$587,'0.Productos'!BR$1+1,0),"")</f>
        <v/>
      </c>
      <c r="AA196" s="133" t="str">
        <f>IF($A196&lt;&gt;0,VLOOKUP($A196,'0.Productos'!$A$3:$GG$587,'0.Productos'!BS$1+1,0),"")</f>
        <v/>
      </c>
      <c r="AB196" s="133" t="str">
        <f>IF($A196&lt;&gt;0,VLOOKUP($A196,'0.Productos'!$A$3:$GG$587,'0.Productos'!BT$1+1,0),"")</f>
        <v/>
      </c>
      <c r="AC196" s="133" t="str">
        <f>IF($A196&lt;&gt;0,VLOOKUP($A196,'0.Productos'!$A$3:$GG$587,'0.Productos'!BU$1+1,0),"")</f>
        <v/>
      </c>
      <c r="AD196" s="133" t="str">
        <f>IF($A196&lt;&gt;0,VLOOKUP($A196,'0.Productos'!$A$3:$GG$587,'0.Productos'!BV$1+1,0),"")</f>
        <v/>
      </c>
      <c r="AE196" s="133" t="str">
        <f>IF($A196&lt;&gt;0,VLOOKUP($A196,'0.Productos'!$A$3:$GG$587,'0.Productos'!BW$1+1,0),"")</f>
        <v/>
      </c>
      <c r="AF196" s="133" t="str">
        <f>IF($A196&lt;&gt;0,VLOOKUP($A196,'0.Productos'!$A$3:$GG$587,'0.Productos'!BX$1+1,0),"")</f>
        <v/>
      </c>
      <c r="AG196" s="133" t="str">
        <f>IF($A196&lt;&gt;0,VLOOKUP($A196,'0.Productos'!$A$3:$GG$587,'0.Productos'!BY$1+1,0),"")</f>
        <v/>
      </c>
      <c r="AH196" s="133" t="str">
        <f>IF($A196&lt;&gt;0,VLOOKUP($A196,'0.Productos'!$A$3:$GG$587,'0.Productos'!BZ$1+1,0),"")</f>
        <v/>
      </c>
      <c r="AI196" s="133" t="str">
        <f>IF($A196&lt;&gt;0,VLOOKUP($A196,'0.Productos'!$A$3:$GG$587,'0.Productos'!CA$1+1,0),"")</f>
        <v/>
      </c>
      <c r="AJ196" s="133" t="str">
        <f>IF($A196&lt;&gt;0,VLOOKUP($A196,'0.Productos'!$A$3:$GG$587,'0.Productos'!CB$1+1,0),"")</f>
        <v/>
      </c>
      <c r="AK196" s="133" t="str">
        <f>IF($A196&lt;&gt;0,VLOOKUP($A196,'0.Productos'!$A$3:$GG$587,'0.Productos'!CC$1+1,0),"")</f>
        <v/>
      </c>
      <c r="AL196" s="133" t="str">
        <f>IF($A196&lt;&gt;0,VLOOKUP($A196,'0.Productos'!$A$3:$GG$587,'0.Productos'!CD$1+1,0),"")</f>
        <v/>
      </c>
      <c r="AM196" s="133" t="str">
        <f>IF($A196&lt;&gt;0,VLOOKUP($A196,'0.Productos'!$A$3:$GG$587,'0.Productos'!CE$1+1,0),"")</f>
        <v/>
      </c>
      <c r="AN196" s="133" t="str">
        <f>IF($A196&lt;&gt;0,VLOOKUP($A196,'0.Productos'!$A$3:$GG$587,'0.Productos'!CF$1+1,0),"")</f>
        <v/>
      </c>
      <c r="AO196" s="133" t="str">
        <f>IF($A196&lt;&gt;0,VLOOKUP($A196,'0.Productos'!$A$3:$GG$587,'0.Productos'!CG$1+1,0),"")</f>
        <v/>
      </c>
      <c r="AP196" s="133" t="str">
        <f>IF($A196&lt;&gt;0,VLOOKUP($A196,'0.Productos'!$A$3:$GG$587,'0.Productos'!CH$1+1,0),"")</f>
        <v/>
      </c>
      <c r="AQ196" s="133" t="str">
        <f>IF($A196&lt;&gt;0,VLOOKUP($A196,'0.Productos'!$A$3:$GG$587,'0.Productos'!CI$1+1,0),"")</f>
        <v/>
      </c>
      <c r="AR196" s="133" t="str">
        <f>IF($A196&lt;&gt;0,VLOOKUP($A196,'0.Productos'!$A$3:$GG$587,'0.Productos'!CJ$1+1,0),"")</f>
        <v/>
      </c>
      <c r="AS196" s="133" t="str">
        <f>IF($A196&lt;&gt;0,VLOOKUP($A196,'0.Productos'!$A$3:$GG$587,'0.Productos'!CK$1+1,0),"")</f>
        <v/>
      </c>
      <c r="AT196" s="133" t="str">
        <f>IF($A196&lt;&gt;0,VLOOKUP($A196,'0.Productos'!$A$3:$GG$587,'0.Productos'!CL$1+1,0),"")</f>
        <v/>
      </c>
      <c r="AU196" s="133" t="str">
        <f>IF($A196&lt;&gt;0,VLOOKUP($A196,'0.Productos'!$A$3:$GG$587,'0.Productos'!CM$1+1,0),"")</f>
        <v/>
      </c>
      <c r="AV196" s="133" t="str">
        <f>IF($A196&lt;&gt;0,VLOOKUP($A196,'0.Productos'!$A$3:$GG$587,'0.Productos'!CN$1+1,0),"")</f>
        <v/>
      </c>
      <c r="AW196" s="133" t="str">
        <f>IF($A196&lt;&gt;0,VLOOKUP($A196,'0.Productos'!$A$3:$GG$587,'0.Productos'!CO$1+1,0),"")</f>
        <v/>
      </c>
      <c r="AX196" s="133" t="str">
        <f>IF($A196&lt;&gt;0,VLOOKUP($A196,'0.Productos'!$A$3:$GG$587,'0.Productos'!CP$1+1,0),"")</f>
        <v/>
      </c>
      <c r="AY196" s="133" t="str">
        <f>IF($A196&lt;&gt;0,VLOOKUP($A196,'0.Productos'!$A$3:$GG$587,'0.Productos'!CQ$1+1,0),"")</f>
        <v/>
      </c>
      <c r="AZ196" s="133" t="str">
        <f>IF($A196&lt;&gt;0,VLOOKUP($A196,'0.Productos'!$A$3:$GG$587,'0.Productos'!CR$1+1,0),"")</f>
        <v/>
      </c>
      <c r="BA196" s="133" t="str">
        <f>IF($A196&lt;&gt;0,VLOOKUP($A196,'0.Productos'!$A$3:$GG$587,'0.Productos'!CS$1+1,0),"")</f>
        <v/>
      </c>
      <c r="BB196" s="133" t="str">
        <f>IF($A196&lt;&gt;0,VLOOKUP($A196,'0.Productos'!$A$3:$GG$587,'0.Productos'!CT$1+1,0),"")</f>
        <v/>
      </c>
      <c r="BC196" s="133" t="str">
        <f>IF($A196&lt;&gt;0,VLOOKUP($A196,'0.Productos'!$A$3:$GG$587,'0.Productos'!CU$1+1,0),"")</f>
        <v/>
      </c>
      <c r="BD196" s="133" t="str">
        <f>IF($A196&lt;&gt;0,VLOOKUP($A196,'0.Productos'!$A$3:$GG$587,'0.Productos'!CV$1+1,0),"")</f>
        <v/>
      </c>
      <c r="BE196" s="133" t="str">
        <f>IF($A196&lt;&gt;0,VLOOKUP($A196,'0.Productos'!$A$3:$GG$587,'0.Productos'!CW$1+1,0),"")</f>
        <v/>
      </c>
      <c r="BF196" s="133" t="str">
        <f>IF($A196&lt;&gt;0,VLOOKUP($A196,'0.Productos'!$A$3:$GG$587,'0.Productos'!CX$1+1,0),"")</f>
        <v/>
      </c>
      <c r="BG196" s="133" t="str">
        <f>IF($A196&lt;&gt;0,VLOOKUP($A196,'0.Productos'!$A$3:$GG$587,'0.Productos'!CY$1+1,0),"")</f>
        <v/>
      </c>
      <c r="BH196" s="133" t="str">
        <f>IF($A196&lt;&gt;0,VLOOKUP($A196,'0.Productos'!$A$3:$GG$587,'0.Productos'!CZ$1+1,0),"")</f>
        <v/>
      </c>
      <c r="BI196" s="133" t="str">
        <f>IF($A196&lt;&gt;0,VLOOKUP($A196,'0.Productos'!$A$3:$GG$587,'0.Productos'!DA$1+1,0),"")</f>
        <v/>
      </c>
      <c r="BJ196" s="133" t="str">
        <f>IF($A196&lt;&gt;0,VLOOKUP($A196,'0.Productos'!$A$3:$GG$587,'0.Productos'!DB$1+1,0),"")</f>
        <v/>
      </c>
      <c r="BK196" s="133" t="str">
        <f>IF($A196&lt;&gt;0,VLOOKUP($A196,'0.Productos'!$A$3:$GG$587,'0.Productos'!DC$1+1,0),"")</f>
        <v/>
      </c>
      <c r="BL196" s="133" t="str">
        <f>IF($A196&lt;&gt;0,VLOOKUP($A196,'0.Productos'!$A$3:$GG$587,'0.Productos'!DD$1+1,0),"")</f>
        <v/>
      </c>
      <c r="BM196" s="133" t="str">
        <f>IF($A196&lt;&gt;0,VLOOKUP($A196,'0.Productos'!$A$3:$GG$587,'0.Productos'!DE$1+1,0),"")</f>
        <v/>
      </c>
      <c r="BN196" s="133" t="str">
        <f>IF($A196&lt;&gt;0,VLOOKUP($A196,'0.Productos'!$A$3:$GG$587,'0.Productos'!DF$1+1,0),"")</f>
        <v/>
      </c>
      <c r="BO196" s="133" t="str">
        <f>IF($A196&lt;&gt;0,VLOOKUP($A196,'0.Productos'!$A$3:$GG$587,'0.Productos'!DG$1+1,0),"")</f>
        <v/>
      </c>
      <c r="BP196" s="133" t="str">
        <f>IF($A196&lt;&gt;0,VLOOKUP($A196,'0.Productos'!$A$3:$GG$587,'0.Productos'!DH$1+1,0),"")</f>
        <v/>
      </c>
      <c r="BQ196" s="133" t="str">
        <f>IF($A196&lt;&gt;0,VLOOKUP($A196,'0.Productos'!$A$3:$GG$587,'0.Productos'!DI$1+1,0),"")</f>
        <v/>
      </c>
      <c r="BR196" s="133" t="str">
        <f>IF($A196&lt;&gt;0,VLOOKUP($A196,'0.Productos'!$A$3:$GG$587,'0.Productos'!DJ$1+1,0),"")</f>
        <v/>
      </c>
      <c r="BS196" s="133" t="str">
        <f>IF($A196&lt;&gt;0,VLOOKUP($A196,'0.Productos'!$A$3:$GG$587,'0.Productos'!DK$1+1,0),"")</f>
        <v/>
      </c>
      <c r="BT196" s="133" t="str">
        <f>IF($A196&lt;&gt;0,VLOOKUP($A196,'0.Productos'!$A$3:$GG$587,'0.Productos'!DL$1+1,0),"")</f>
        <v/>
      </c>
    </row>
    <row r="197" spans="1:72" x14ac:dyDescent="0.25">
      <c r="A197" s="17">
        <f>'0.Consolidado general'!A197</f>
        <v>0</v>
      </c>
      <c r="B197" s="133" t="str">
        <f>IF($A197&lt;&gt;0,VLOOKUP($A197,'0.Productos'!$A$3:$GG$587,'0.Productos'!AT$1+1,0),"")</f>
        <v/>
      </c>
      <c r="C197" s="133" t="str">
        <f>IF($A197&lt;&gt;0,VLOOKUP($A197,'0.Productos'!$A$3:$GG$587,'0.Productos'!AU$1+1,0),"")</f>
        <v/>
      </c>
      <c r="D197" s="133" t="str">
        <f>IF($A197&lt;&gt;0,VLOOKUP($A197,'0.Productos'!$A$3:$GG$587,'0.Productos'!AV$1+1,0),"")</f>
        <v/>
      </c>
      <c r="E197" s="133" t="str">
        <f>IF($A197&lt;&gt;0,VLOOKUP($A197,'0.Productos'!$A$3:$GG$587,'0.Productos'!AW$1+1,0),"")</f>
        <v/>
      </c>
      <c r="F197" s="133" t="str">
        <f>IF($A197&lt;&gt;0,VLOOKUP($A197,'0.Productos'!$A$3:$GG$587,'0.Productos'!AX$1+1,0),"")</f>
        <v/>
      </c>
      <c r="G197" s="133" t="str">
        <f>IF($A197&lt;&gt;0,VLOOKUP($A197,'0.Productos'!$A$3:$GG$587,'0.Productos'!AY$1+1,0),"")</f>
        <v/>
      </c>
      <c r="H197" s="133" t="str">
        <f>IF($A197&lt;&gt;0,VLOOKUP($A197,'0.Productos'!$A$3:$GG$587,'0.Productos'!AZ$1+1,0),"")</f>
        <v/>
      </c>
      <c r="I197" s="133" t="str">
        <f>IF($A197&lt;&gt;0,VLOOKUP($A197,'0.Productos'!$A$3:$GG$587,'0.Productos'!BA$1+1,0),"")</f>
        <v/>
      </c>
      <c r="J197" s="133" t="str">
        <f>IF($A197&lt;&gt;0,VLOOKUP($A197,'0.Productos'!$A$3:$GG$587,'0.Productos'!BB$1+1,0),"")</f>
        <v/>
      </c>
      <c r="K197" s="133" t="str">
        <f>IF($A197&lt;&gt;0,VLOOKUP($A197,'0.Productos'!$A$3:$GG$587,'0.Productos'!BC$1+1,0),"")</f>
        <v/>
      </c>
      <c r="L197" s="133" t="str">
        <f>IF($A197&lt;&gt;0,VLOOKUP($A197,'0.Productos'!$A$3:$GG$587,'0.Productos'!BD$1+1,0),"")</f>
        <v/>
      </c>
      <c r="M197" s="133" t="str">
        <f>IF($A197&lt;&gt;0,VLOOKUP($A197,'0.Productos'!$A$3:$GG$587,'0.Productos'!BE$1+1,0),"")</f>
        <v/>
      </c>
      <c r="N197" s="133" t="str">
        <f>IF($A197&lt;&gt;0,VLOOKUP($A197,'0.Productos'!$A$3:$GG$587,'0.Productos'!BF$1+1,0),"")</f>
        <v/>
      </c>
      <c r="O197" s="133" t="str">
        <f>IF($A197&lt;&gt;0,VLOOKUP($A197,'0.Productos'!$A$3:$GG$587,'0.Productos'!BG$1+1,0),"")</f>
        <v/>
      </c>
      <c r="P197" s="133" t="str">
        <f>IF($A197&lt;&gt;0,VLOOKUP($A197,'0.Productos'!$A$3:$GG$587,'0.Productos'!BH$1+1,0),"")</f>
        <v/>
      </c>
      <c r="Q197" s="133" t="str">
        <f>IF($A197&lt;&gt;0,VLOOKUP($A197,'0.Productos'!$A$3:$GG$587,'0.Productos'!BI$1+1,0),"")</f>
        <v/>
      </c>
      <c r="R197" s="133" t="str">
        <f>IF($A197&lt;&gt;0,VLOOKUP($A197,'0.Productos'!$A$3:$GG$587,'0.Productos'!BJ$1+1,0),"")</f>
        <v/>
      </c>
      <c r="S197" s="133" t="str">
        <f>IF($A197&lt;&gt;0,VLOOKUP($A197,'0.Productos'!$A$3:$GG$587,'0.Productos'!BK$1+1,0),"")</f>
        <v/>
      </c>
      <c r="T197" s="133" t="str">
        <f>IF($A197&lt;&gt;0,VLOOKUP($A197,'0.Productos'!$A$3:$GG$587,'0.Productos'!BL$1+1,0),"")</f>
        <v/>
      </c>
      <c r="U197" s="133" t="str">
        <f>IF($A197&lt;&gt;0,VLOOKUP($A197,'0.Productos'!$A$3:$GG$587,'0.Productos'!BM$1+1,0),"")</f>
        <v/>
      </c>
      <c r="V197" s="133" t="str">
        <f>IF($A197&lt;&gt;0,VLOOKUP($A197,'0.Productos'!$A$3:$GG$587,'0.Productos'!BN$1+1,0),"")</f>
        <v/>
      </c>
      <c r="W197" s="133" t="str">
        <f>IF($A197&lt;&gt;0,VLOOKUP($A197,'0.Productos'!$A$3:$GG$587,'0.Productos'!BO$1+1,0),"")</f>
        <v/>
      </c>
      <c r="X197" s="133" t="str">
        <f>IF($A197&lt;&gt;0,VLOOKUP($A197,'0.Productos'!$A$3:$GG$587,'0.Productos'!BP$1+1,0),"")</f>
        <v/>
      </c>
      <c r="Y197" s="133" t="str">
        <f>IF($A197&lt;&gt;0,VLOOKUP($A197,'0.Productos'!$A$3:$GG$587,'0.Productos'!BQ$1+1,0),"")</f>
        <v/>
      </c>
      <c r="Z197" s="133" t="str">
        <f>IF($A197&lt;&gt;0,VLOOKUP($A197,'0.Productos'!$A$3:$GG$587,'0.Productos'!BR$1+1,0),"")</f>
        <v/>
      </c>
      <c r="AA197" s="133" t="str">
        <f>IF($A197&lt;&gt;0,VLOOKUP($A197,'0.Productos'!$A$3:$GG$587,'0.Productos'!BS$1+1,0),"")</f>
        <v/>
      </c>
      <c r="AB197" s="133" t="str">
        <f>IF($A197&lt;&gt;0,VLOOKUP($A197,'0.Productos'!$A$3:$GG$587,'0.Productos'!BT$1+1,0),"")</f>
        <v/>
      </c>
      <c r="AC197" s="133" t="str">
        <f>IF($A197&lt;&gt;0,VLOOKUP($A197,'0.Productos'!$A$3:$GG$587,'0.Productos'!BU$1+1,0),"")</f>
        <v/>
      </c>
      <c r="AD197" s="133" t="str">
        <f>IF($A197&lt;&gt;0,VLOOKUP($A197,'0.Productos'!$A$3:$GG$587,'0.Productos'!BV$1+1,0),"")</f>
        <v/>
      </c>
      <c r="AE197" s="133" t="str">
        <f>IF($A197&lt;&gt;0,VLOOKUP($A197,'0.Productos'!$A$3:$GG$587,'0.Productos'!BW$1+1,0),"")</f>
        <v/>
      </c>
      <c r="AF197" s="133" t="str">
        <f>IF($A197&lt;&gt;0,VLOOKUP($A197,'0.Productos'!$A$3:$GG$587,'0.Productos'!BX$1+1,0),"")</f>
        <v/>
      </c>
      <c r="AG197" s="133" t="str">
        <f>IF($A197&lt;&gt;0,VLOOKUP($A197,'0.Productos'!$A$3:$GG$587,'0.Productos'!BY$1+1,0),"")</f>
        <v/>
      </c>
      <c r="AH197" s="133" t="str">
        <f>IF($A197&lt;&gt;0,VLOOKUP($A197,'0.Productos'!$A$3:$GG$587,'0.Productos'!BZ$1+1,0),"")</f>
        <v/>
      </c>
      <c r="AI197" s="133" t="str">
        <f>IF($A197&lt;&gt;0,VLOOKUP($A197,'0.Productos'!$A$3:$GG$587,'0.Productos'!CA$1+1,0),"")</f>
        <v/>
      </c>
      <c r="AJ197" s="133" t="str">
        <f>IF($A197&lt;&gt;0,VLOOKUP($A197,'0.Productos'!$A$3:$GG$587,'0.Productos'!CB$1+1,0),"")</f>
        <v/>
      </c>
      <c r="AK197" s="133" t="str">
        <f>IF($A197&lt;&gt;0,VLOOKUP($A197,'0.Productos'!$A$3:$GG$587,'0.Productos'!CC$1+1,0),"")</f>
        <v/>
      </c>
      <c r="AL197" s="133" t="str">
        <f>IF($A197&lt;&gt;0,VLOOKUP($A197,'0.Productos'!$A$3:$GG$587,'0.Productos'!CD$1+1,0),"")</f>
        <v/>
      </c>
      <c r="AM197" s="133" t="str">
        <f>IF($A197&lt;&gt;0,VLOOKUP($A197,'0.Productos'!$A$3:$GG$587,'0.Productos'!CE$1+1,0),"")</f>
        <v/>
      </c>
      <c r="AN197" s="133" t="str">
        <f>IF($A197&lt;&gt;0,VLOOKUP($A197,'0.Productos'!$A$3:$GG$587,'0.Productos'!CF$1+1,0),"")</f>
        <v/>
      </c>
      <c r="AO197" s="133" t="str">
        <f>IF($A197&lt;&gt;0,VLOOKUP($A197,'0.Productos'!$A$3:$GG$587,'0.Productos'!CG$1+1,0),"")</f>
        <v/>
      </c>
      <c r="AP197" s="133" t="str">
        <f>IF($A197&lt;&gt;0,VLOOKUP($A197,'0.Productos'!$A$3:$GG$587,'0.Productos'!CH$1+1,0),"")</f>
        <v/>
      </c>
      <c r="AQ197" s="133" t="str">
        <f>IF($A197&lt;&gt;0,VLOOKUP($A197,'0.Productos'!$A$3:$GG$587,'0.Productos'!CI$1+1,0),"")</f>
        <v/>
      </c>
      <c r="AR197" s="133" t="str">
        <f>IF($A197&lt;&gt;0,VLOOKUP($A197,'0.Productos'!$A$3:$GG$587,'0.Productos'!CJ$1+1,0),"")</f>
        <v/>
      </c>
      <c r="AS197" s="133" t="str">
        <f>IF($A197&lt;&gt;0,VLOOKUP($A197,'0.Productos'!$A$3:$GG$587,'0.Productos'!CK$1+1,0),"")</f>
        <v/>
      </c>
      <c r="AT197" s="133" t="str">
        <f>IF($A197&lt;&gt;0,VLOOKUP($A197,'0.Productos'!$A$3:$GG$587,'0.Productos'!CL$1+1,0),"")</f>
        <v/>
      </c>
      <c r="AU197" s="133" t="str">
        <f>IF($A197&lt;&gt;0,VLOOKUP($A197,'0.Productos'!$A$3:$GG$587,'0.Productos'!CM$1+1,0),"")</f>
        <v/>
      </c>
      <c r="AV197" s="133" t="str">
        <f>IF($A197&lt;&gt;0,VLOOKUP($A197,'0.Productos'!$A$3:$GG$587,'0.Productos'!CN$1+1,0),"")</f>
        <v/>
      </c>
      <c r="AW197" s="133" t="str">
        <f>IF($A197&lt;&gt;0,VLOOKUP($A197,'0.Productos'!$A$3:$GG$587,'0.Productos'!CO$1+1,0),"")</f>
        <v/>
      </c>
      <c r="AX197" s="133" t="str">
        <f>IF($A197&lt;&gt;0,VLOOKUP($A197,'0.Productos'!$A$3:$GG$587,'0.Productos'!CP$1+1,0),"")</f>
        <v/>
      </c>
      <c r="AY197" s="133" t="str">
        <f>IF($A197&lt;&gt;0,VLOOKUP($A197,'0.Productos'!$A$3:$GG$587,'0.Productos'!CQ$1+1,0),"")</f>
        <v/>
      </c>
      <c r="AZ197" s="133" t="str">
        <f>IF($A197&lt;&gt;0,VLOOKUP($A197,'0.Productos'!$A$3:$GG$587,'0.Productos'!CR$1+1,0),"")</f>
        <v/>
      </c>
      <c r="BA197" s="133" t="str">
        <f>IF($A197&lt;&gt;0,VLOOKUP($A197,'0.Productos'!$A$3:$GG$587,'0.Productos'!CS$1+1,0),"")</f>
        <v/>
      </c>
      <c r="BB197" s="133" t="str">
        <f>IF($A197&lt;&gt;0,VLOOKUP($A197,'0.Productos'!$A$3:$GG$587,'0.Productos'!CT$1+1,0),"")</f>
        <v/>
      </c>
      <c r="BC197" s="133" t="str">
        <f>IF($A197&lt;&gt;0,VLOOKUP($A197,'0.Productos'!$A$3:$GG$587,'0.Productos'!CU$1+1,0),"")</f>
        <v/>
      </c>
      <c r="BD197" s="133" t="str">
        <f>IF($A197&lt;&gt;0,VLOOKUP($A197,'0.Productos'!$A$3:$GG$587,'0.Productos'!CV$1+1,0),"")</f>
        <v/>
      </c>
      <c r="BE197" s="133" t="str">
        <f>IF($A197&lt;&gt;0,VLOOKUP($A197,'0.Productos'!$A$3:$GG$587,'0.Productos'!CW$1+1,0),"")</f>
        <v/>
      </c>
      <c r="BF197" s="133" t="str">
        <f>IF($A197&lt;&gt;0,VLOOKUP($A197,'0.Productos'!$A$3:$GG$587,'0.Productos'!CX$1+1,0),"")</f>
        <v/>
      </c>
      <c r="BG197" s="133" t="str">
        <f>IF($A197&lt;&gt;0,VLOOKUP($A197,'0.Productos'!$A$3:$GG$587,'0.Productos'!CY$1+1,0),"")</f>
        <v/>
      </c>
      <c r="BH197" s="133" t="str">
        <f>IF($A197&lt;&gt;0,VLOOKUP($A197,'0.Productos'!$A$3:$GG$587,'0.Productos'!CZ$1+1,0),"")</f>
        <v/>
      </c>
      <c r="BI197" s="133" t="str">
        <f>IF($A197&lt;&gt;0,VLOOKUP($A197,'0.Productos'!$A$3:$GG$587,'0.Productos'!DA$1+1,0),"")</f>
        <v/>
      </c>
      <c r="BJ197" s="133" t="str">
        <f>IF($A197&lt;&gt;0,VLOOKUP($A197,'0.Productos'!$A$3:$GG$587,'0.Productos'!DB$1+1,0),"")</f>
        <v/>
      </c>
      <c r="BK197" s="133" t="str">
        <f>IF($A197&lt;&gt;0,VLOOKUP($A197,'0.Productos'!$A$3:$GG$587,'0.Productos'!DC$1+1,0),"")</f>
        <v/>
      </c>
      <c r="BL197" s="133" t="str">
        <f>IF($A197&lt;&gt;0,VLOOKUP($A197,'0.Productos'!$A$3:$GG$587,'0.Productos'!DD$1+1,0),"")</f>
        <v/>
      </c>
      <c r="BM197" s="133" t="str">
        <f>IF($A197&lt;&gt;0,VLOOKUP($A197,'0.Productos'!$A$3:$GG$587,'0.Productos'!DE$1+1,0),"")</f>
        <v/>
      </c>
      <c r="BN197" s="133" t="str">
        <f>IF($A197&lt;&gt;0,VLOOKUP($A197,'0.Productos'!$A$3:$GG$587,'0.Productos'!DF$1+1,0),"")</f>
        <v/>
      </c>
      <c r="BO197" s="133" t="str">
        <f>IF($A197&lt;&gt;0,VLOOKUP($A197,'0.Productos'!$A$3:$GG$587,'0.Productos'!DG$1+1,0),"")</f>
        <v/>
      </c>
      <c r="BP197" s="133" t="str">
        <f>IF($A197&lt;&gt;0,VLOOKUP($A197,'0.Productos'!$A$3:$GG$587,'0.Productos'!DH$1+1,0),"")</f>
        <v/>
      </c>
      <c r="BQ197" s="133" t="str">
        <f>IF($A197&lt;&gt;0,VLOOKUP($A197,'0.Productos'!$A$3:$GG$587,'0.Productos'!DI$1+1,0),"")</f>
        <v/>
      </c>
      <c r="BR197" s="133" t="str">
        <f>IF($A197&lt;&gt;0,VLOOKUP($A197,'0.Productos'!$A$3:$GG$587,'0.Productos'!DJ$1+1,0),"")</f>
        <v/>
      </c>
      <c r="BS197" s="133" t="str">
        <f>IF($A197&lt;&gt;0,VLOOKUP($A197,'0.Productos'!$A$3:$GG$587,'0.Productos'!DK$1+1,0),"")</f>
        <v/>
      </c>
      <c r="BT197" s="133" t="str">
        <f>IF($A197&lt;&gt;0,VLOOKUP($A197,'0.Productos'!$A$3:$GG$587,'0.Productos'!DL$1+1,0),"")</f>
        <v/>
      </c>
    </row>
    <row r="198" spans="1:72" x14ac:dyDescent="0.25">
      <c r="A198" s="17">
        <f>'0.Consolidado general'!A198</f>
        <v>0</v>
      </c>
      <c r="B198" s="133" t="str">
        <f>IF($A198&lt;&gt;0,VLOOKUP($A198,'0.Productos'!$A$3:$GG$587,'0.Productos'!AT$1+1,0),"")</f>
        <v/>
      </c>
      <c r="C198" s="133" t="str">
        <f>IF($A198&lt;&gt;0,VLOOKUP($A198,'0.Productos'!$A$3:$GG$587,'0.Productos'!AU$1+1,0),"")</f>
        <v/>
      </c>
      <c r="D198" s="133" t="str">
        <f>IF($A198&lt;&gt;0,VLOOKUP($A198,'0.Productos'!$A$3:$GG$587,'0.Productos'!AV$1+1,0),"")</f>
        <v/>
      </c>
      <c r="E198" s="133" t="str">
        <f>IF($A198&lt;&gt;0,VLOOKUP($A198,'0.Productos'!$A$3:$GG$587,'0.Productos'!AW$1+1,0),"")</f>
        <v/>
      </c>
      <c r="F198" s="133" t="str">
        <f>IF($A198&lt;&gt;0,VLOOKUP($A198,'0.Productos'!$A$3:$GG$587,'0.Productos'!AX$1+1,0),"")</f>
        <v/>
      </c>
      <c r="G198" s="133" t="str">
        <f>IF($A198&lt;&gt;0,VLOOKUP($A198,'0.Productos'!$A$3:$GG$587,'0.Productos'!AY$1+1,0),"")</f>
        <v/>
      </c>
      <c r="H198" s="133" t="str">
        <f>IF($A198&lt;&gt;0,VLOOKUP($A198,'0.Productos'!$A$3:$GG$587,'0.Productos'!AZ$1+1,0),"")</f>
        <v/>
      </c>
      <c r="I198" s="133" t="str">
        <f>IF($A198&lt;&gt;0,VLOOKUP($A198,'0.Productos'!$A$3:$GG$587,'0.Productos'!BA$1+1,0),"")</f>
        <v/>
      </c>
      <c r="J198" s="133" t="str">
        <f>IF($A198&lt;&gt;0,VLOOKUP($A198,'0.Productos'!$A$3:$GG$587,'0.Productos'!BB$1+1,0),"")</f>
        <v/>
      </c>
      <c r="K198" s="133" t="str">
        <f>IF($A198&lt;&gt;0,VLOOKUP($A198,'0.Productos'!$A$3:$GG$587,'0.Productos'!BC$1+1,0),"")</f>
        <v/>
      </c>
      <c r="L198" s="133" t="str">
        <f>IF($A198&lt;&gt;0,VLOOKUP($A198,'0.Productos'!$A$3:$GG$587,'0.Productos'!BD$1+1,0),"")</f>
        <v/>
      </c>
      <c r="M198" s="133" t="str">
        <f>IF($A198&lt;&gt;0,VLOOKUP($A198,'0.Productos'!$A$3:$GG$587,'0.Productos'!BE$1+1,0),"")</f>
        <v/>
      </c>
      <c r="N198" s="133" t="str">
        <f>IF($A198&lt;&gt;0,VLOOKUP($A198,'0.Productos'!$A$3:$GG$587,'0.Productos'!BF$1+1,0),"")</f>
        <v/>
      </c>
      <c r="O198" s="133" t="str">
        <f>IF($A198&lt;&gt;0,VLOOKUP($A198,'0.Productos'!$A$3:$GG$587,'0.Productos'!BG$1+1,0),"")</f>
        <v/>
      </c>
      <c r="P198" s="133" t="str">
        <f>IF($A198&lt;&gt;0,VLOOKUP($A198,'0.Productos'!$A$3:$GG$587,'0.Productos'!BH$1+1,0),"")</f>
        <v/>
      </c>
      <c r="Q198" s="133" t="str">
        <f>IF($A198&lt;&gt;0,VLOOKUP($A198,'0.Productos'!$A$3:$GG$587,'0.Productos'!BI$1+1,0),"")</f>
        <v/>
      </c>
      <c r="R198" s="133" t="str">
        <f>IF($A198&lt;&gt;0,VLOOKUP($A198,'0.Productos'!$A$3:$GG$587,'0.Productos'!BJ$1+1,0),"")</f>
        <v/>
      </c>
      <c r="S198" s="133" t="str">
        <f>IF($A198&lt;&gt;0,VLOOKUP($A198,'0.Productos'!$A$3:$GG$587,'0.Productos'!BK$1+1,0),"")</f>
        <v/>
      </c>
      <c r="T198" s="133" t="str">
        <f>IF($A198&lt;&gt;0,VLOOKUP($A198,'0.Productos'!$A$3:$GG$587,'0.Productos'!BL$1+1,0),"")</f>
        <v/>
      </c>
      <c r="U198" s="133" t="str">
        <f>IF($A198&lt;&gt;0,VLOOKUP($A198,'0.Productos'!$A$3:$GG$587,'0.Productos'!BM$1+1,0),"")</f>
        <v/>
      </c>
      <c r="V198" s="133" t="str">
        <f>IF($A198&lt;&gt;0,VLOOKUP($A198,'0.Productos'!$A$3:$GG$587,'0.Productos'!BN$1+1,0),"")</f>
        <v/>
      </c>
      <c r="W198" s="133" t="str">
        <f>IF($A198&lt;&gt;0,VLOOKUP($A198,'0.Productos'!$A$3:$GG$587,'0.Productos'!BO$1+1,0),"")</f>
        <v/>
      </c>
      <c r="X198" s="133" t="str">
        <f>IF($A198&lt;&gt;0,VLOOKUP($A198,'0.Productos'!$A$3:$GG$587,'0.Productos'!BP$1+1,0),"")</f>
        <v/>
      </c>
      <c r="Y198" s="133" t="str">
        <f>IF($A198&lt;&gt;0,VLOOKUP($A198,'0.Productos'!$A$3:$GG$587,'0.Productos'!BQ$1+1,0),"")</f>
        <v/>
      </c>
      <c r="Z198" s="133" t="str">
        <f>IF($A198&lt;&gt;0,VLOOKUP($A198,'0.Productos'!$A$3:$GG$587,'0.Productos'!BR$1+1,0),"")</f>
        <v/>
      </c>
      <c r="AA198" s="133" t="str">
        <f>IF($A198&lt;&gt;0,VLOOKUP($A198,'0.Productos'!$A$3:$GG$587,'0.Productos'!BS$1+1,0),"")</f>
        <v/>
      </c>
      <c r="AB198" s="133" t="str">
        <f>IF($A198&lt;&gt;0,VLOOKUP($A198,'0.Productos'!$A$3:$GG$587,'0.Productos'!BT$1+1,0),"")</f>
        <v/>
      </c>
      <c r="AC198" s="133" t="str">
        <f>IF($A198&lt;&gt;0,VLOOKUP($A198,'0.Productos'!$A$3:$GG$587,'0.Productos'!BU$1+1,0),"")</f>
        <v/>
      </c>
      <c r="AD198" s="133" t="str">
        <f>IF($A198&lt;&gt;0,VLOOKUP($A198,'0.Productos'!$A$3:$GG$587,'0.Productos'!BV$1+1,0),"")</f>
        <v/>
      </c>
      <c r="AE198" s="133" t="str">
        <f>IF($A198&lt;&gt;0,VLOOKUP($A198,'0.Productos'!$A$3:$GG$587,'0.Productos'!BW$1+1,0),"")</f>
        <v/>
      </c>
      <c r="AF198" s="133" t="str">
        <f>IF($A198&lt;&gt;0,VLOOKUP($A198,'0.Productos'!$A$3:$GG$587,'0.Productos'!BX$1+1,0),"")</f>
        <v/>
      </c>
      <c r="AG198" s="133" t="str">
        <f>IF($A198&lt;&gt;0,VLOOKUP($A198,'0.Productos'!$A$3:$GG$587,'0.Productos'!BY$1+1,0),"")</f>
        <v/>
      </c>
      <c r="AH198" s="133" t="str">
        <f>IF($A198&lt;&gt;0,VLOOKUP($A198,'0.Productos'!$A$3:$GG$587,'0.Productos'!BZ$1+1,0),"")</f>
        <v/>
      </c>
      <c r="AI198" s="133" t="str">
        <f>IF($A198&lt;&gt;0,VLOOKUP($A198,'0.Productos'!$A$3:$GG$587,'0.Productos'!CA$1+1,0),"")</f>
        <v/>
      </c>
      <c r="AJ198" s="133" t="str">
        <f>IF($A198&lt;&gt;0,VLOOKUP($A198,'0.Productos'!$A$3:$GG$587,'0.Productos'!CB$1+1,0),"")</f>
        <v/>
      </c>
      <c r="AK198" s="133" t="str">
        <f>IF($A198&lt;&gt;0,VLOOKUP($A198,'0.Productos'!$A$3:$GG$587,'0.Productos'!CC$1+1,0),"")</f>
        <v/>
      </c>
      <c r="AL198" s="133" t="str">
        <f>IF($A198&lt;&gt;0,VLOOKUP($A198,'0.Productos'!$A$3:$GG$587,'0.Productos'!CD$1+1,0),"")</f>
        <v/>
      </c>
      <c r="AM198" s="133" t="str">
        <f>IF($A198&lt;&gt;0,VLOOKUP($A198,'0.Productos'!$A$3:$GG$587,'0.Productos'!CE$1+1,0),"")</f>
        <v/>
      </c>
      <c r="AN198" s="133" t="str">
        <f>IF($A198&lt;&gt;0,VLOOKUP($A198,'0.Productos'!$A$3:$GG$587,'0.Productos'!CF$1+1,0),"")</f>
        <v/>
      </c>
      <c r="AO198" s="133" t="str">
        <f>IF($A198&lt;&gt;0,VLOOKUP($A198,'0.Productos'!$A$3:$GG$587,'0.Productos'!CG$1+1,0),"")</f>
        <v/>
      </c>
      <c r="AP198" s="133" t="str">
        <f>IF($A198&lt;&gt;0,VLOOKUP($A198,'0.Productos'!$A$3:$GG$587,'0.Productos'!CH$1+1,0),"")</f>
        <v/>
      </c>
      <c r="AQ198" s="133" t="str">
        <f>IF($A198&lt;&gt;0,VLOOKUP($A198,'0.Productos'!$A$3:$GG$587,'0.Productos'!CI$1+1,0),"")</f>
        <v/>
      </c>
      <c r="AR198" s="133" t="str">
        <f>IF($A198&lt;&gt;0,VLOOKUP($A198,'0.Productos'!$A$3:$GG$587,'0.Productos'!CJ$1+1,0),"")</f>
        <v/>
      </c>
      <c r="AS198" s="133" t="str">
        <f>IF($A198&lt;&gt;0,VLOOKUP($A198,'0.Productos'!$A$3:$GG$587,'0.Productos'!CK$1+1,0),"")</f>
        <v/>
      </c>
      <c r="AT198" s="133" t="str">
        <f>IF($A198&lt;&gt;0,VLOOKUP($A198,'0.Productos'!$A$3:$GG$587,'0.Productos'!CL$1+1,0),"")</f>
        <v/>
      </c>
      <c r="AU198" s="133" t="str">
        <f>IF($A198&lt;&gt;0,VLOOKUP($A198,'0.Productos'!$A$3:$GG$587,'0.Productos'!CM$1+1,0),"")</f>
        <v/>
      </c>
      <c r="AV198" s="133" t="str">
        <f>IF($A198&lt;&gt;0,VLOOKUP($A198,'0.Productos'!$A$3:$GG$587,'0.Productos'!CN$1+1,0),"")</f>
        <v/>
      </c>
      <c r="AW198" s="133" t="str">
        <f>IF($A198&lt;&gt;0,VLOOKUP($A198,'0.Productos'!$A$3:$GG$587,'0.Productos'!CO$1+1,0),"")</f>
        <v/>
      </c>
      <c r="AX198" s="133" t="str">
        <f>IF($A198&lt;&gt;0,VLOOKUP($A198,'0.Productos'!$A$3:$GG$587,'0.Productos'!CP$1+1,0),"")</f>
        <v/>
      </c>
      <c r="AY198" s="133" t="str">
        <f>IF($A198&lt;&gt;0,VLOOKUP($A198,'0.Productos'!$A$3:$GG$587,'0.Productos'!CQ$1+1,0),"")</f>
        <v/>
      </c>
      <c r="AZ198" s="133" t="str">
        <f>IF($A198&lt;&gt;0,VLOOKUP($A198,'0.Productos'!$A$3:$GG$587,'0.Productos'!CR$1+1,0),"")</f>
        <v/>
      </c>
      <c r="BA198" s="133" t="str">
        <f>IF($A198&lt;&gt;0,VLOOKUP($A198,'0.Productos'!$A$3:$GG$587,'0.Productos'!CS$1+1,0),"")</f>
        <v/>
      </c>
      <c r="BB198" s="133" t="str">
        <f>IF($A198&lt;&gt;0,VLOOKUP($A198,'0.Productos'!$A$3:$GG$587,'0.Productos'!CT$1+1,0),"")</f>
        <v/>
      </c>
      <c r="BC198" s="133" t="str">
        <f>IF($A198&lt;&gt;0,VLOOKUP($A198,'0.Productos'!$A$3:$GG$587,'0.Productos'!CU$1+1,0),"")</f>
        <v/>
      </c>
      <c r="BD198" s="133" t="str">
        <f>IF($A198&lt;&gt;0,VLOOKUP($A198,'0.Productos'!$A$3:$GG$587,'0.Productos'!CV$1+1,0),"")</f>
        <v/>
      </c>
      <c r="BE198" s="133" t="str">
        <f>IF($A198&lt;&gt;0,VLOOKUP($A198,'0.Productos'!$A$3:$GG$587,'0.Productos'!CW$1+1,0),"")</f>
        <v/>
      </c>
      <c r="BF198" s="133" t="str">
        <f>IF($A198&lt;&gt;0,VLOOKUP($A198,'0.Productos'!$A$3:$GG$587,'0.Productos'!CX$1+1,0),"")</f>
        <v/>
      </c>
      <c r="BG198" s="133" t="str">
        <f>IF($A198&lt;&gt;0,VLOOKUP($A198,'0.Productos'!$A$3:$GG$587,'0.Productos'!CY$1+1,0),"")</f>
        <v/>
      </c>
      <c r="BH198" s="133" t="str">
        <f>IF($A198&lt;&gt;0,VLOOKUP($A198,'0.Productos'!$A$3:$GG$587,'0.Productos'!CZ$1+1,0),"")</f>
        <v/>
      </c>
      <c r="BI198" s="133" t="str">
        <f>IF($A198&lt;&gt;0,VLOOKUP($A198,'0.Productos'!$A$3:$GG$587,'0.Productos'!DA$1+1,0),"")</f>
        <v/>
      </c>
      <c r="BJ198" s="133" t="str">
        <f>IF($A198&lt;&gt;0,VLOOKUP($A198,'0.Productos'!$A$3:$GG$587,'0.Productos'!DB$1+1,0),"")</f>
        <v/>
      </c>
      <c r="BK198" s="133" t="str">
        <f>IF($A198&lt;&gt;0,VLOOKUP($A198,'0.Productos'!$A$3:$GG$587,'0.Productos'!DC$1+1,0),"")</f>
        <v/>
      </c>
      <c r="BL198" s="133" t="str">
        <f>IF($A198&lt;&gt;0,VLOOKUP($A198,'0.Productos'!$A$3:$GG$587,'0.Productos'!DD$1+1,0),"")</f>
        <v/>
      </c>
      <c r="BM198" s="133" t="str">
        <f>IF($A198&lt;&gt;0,VLOOKUP($A198,'0.Productos'!$A$3:$GG$587,'0.Productos'!DE$1+1,0),"")</f>
        <v/>
      </c>
      <c r="BN198" s="133" t="str">
        <f>IF($A198&lt;&gt;0,VLOOKUP($A198,'0.Productos'!$A$3:$GG$587,'0.Productos'!DF$1+1,0),"")</f>
        <v/>
      </c>
      <c r="BO198" s="133" t="str">
        <f>IF($A198&lt;&gt;0,VLOOKUP($A198,'0.Productos'!$A$3:$GG$587,'0.Productos'!DG$1+1,0),"")</f>
        <v/>
      </c>
      <c r="BP198" s="133" t="str">
        <f>IF($A198&lt;&gt;0,VLOOKUP($A198,'0.Productos'!$A$3:$GG$587,'0.Productos'!DH$1+1,0),"")</f>
        <v/>
      </c>
      <c r="BQ198" s="133" t="str">
        <f>IF($A198&lt;&gt;0,VLOOKUP($A198,'0.Productos'!$A$3:$GG$587,'0.Productos'!DI$1+1,0),"")</f>
        <v/>
      </c>
      <c r="BR198" s="133" t="str">
        <f>IF($A198&lt;&gt;0,VLOOKUP($A198,'0.Productos'!$A$3:$GG$587,'0.Productos'!DJ$1+1,0),"")</f>
        <v/>
      </c>
      <c r="BS198" s="133" t="str">
        <f>IF($A198&lt;&gt;0,VLOOKUP($A198,'0.Productos'!$A$3:$GG$587,'0.Productos'!DK$1+1,0),"")</f>
        <v/>
      </c>
      <c r="BT198" s="133" t="str">
        <f>IF($A198&lt;&gt;0,VLOOKUP($A198,'0.Productos'!$A$3:$GG$587,'0.Productos'!DL$1+1,0),"")</f>
        <v/>
      </c>
    </row>
    <row r="199" spans="1:72" x14ac:dyDescent="0.25">
      <c r="A199" s="17">
        <f>'0.Consolidado general'!A199</f>
        <v>0</v>
      </c>
      <c r="B199" s="133" t="str">
        <f>IF($A199&lt;&gt;0,VLOOKUP($A199,'0.Productos'!$A$3:$GG$587,'0.Productos'!AT$1+1,0),"")</f>
        <v/>
      </c>
      <c r="C199" s="133" t="str">
        <f>IF($A199&lt;&gt;0,VLOOKUP($A199,'0.Productos'!$A$3:$GG$587,'0.Productos'!AU$1+1,0),"")</f>
        <v/>
      </c>
      <c r="D199" s="133" t="str">
        <f>IF($A199&lt;&gt;0,VLOOKUP($A199,'0.Productos'!$A$3:$GG$587,'0.Productos'!AV$1+1,0),"")</f>
        <v/>
      </c>
      <c r="E199" s="133" t="str">
        <f>IF($A199&lt;&gt;0,VLOOKUP($A199,'0.Productos'!$A$3:$GG$587,'0.Productos'!AW$1+1,0),"")</f>
        <v/>
      </c>
      <c r="F199" s="133" t="str">
        <f>IF($A199&lt;&gt;0,VLOOKUP($A199,'0.Productos'!$A$3:$GG$587,'0.Productos'!AX$1+1,0),"")</f>
        <v/>
      </c>
      <c r="G199" s="133" t="str">
        <f>IF($A199&lt;&gt;0,VLOOKUP($A199,'0.Productos'!$A$3:$GG$587,'0.Productos'!AY$1+1,0),"")</f>
        <v/>
      </c>
      <c r="H199" s="133" t="str">
        <f>IF($A199&lt;&gt;0,VLOOKUP($A199,'0.Productos'!$A$3:$GG$587,'0.Productos'!AZ$1+1,0),"")</f>
        <v/>
      </c>
      <c r="I199" s="133" t="str">
        <f>IF($A199&lt;&gt;0,VLOOKUP($A199,'0.Productos'!$A$3:$GG$587,'0.Productos'!BA$1+1,0),"")</f>
        <v/>
      </c>
      <c r="J199" s="133" t="str">
        <f>IF($A199&lt;&gt;0,VLOOKUP($A199,'0.Productos'!$A$3:$GG$587,'0.Productos'!BB$1+1,0),"")</f>
        <v/>
      </c>
      <c r="K199" s="133" t="str">
        <f>IF($A199&lt;&gt;0,VLOOKUP($A199,'0.Productos'!$A$3:$GG$587,'0.Productos'!BC$1+1,0),"")</f>
        <v/>
      </c>
      <c r="L199" s="133" t="str">
        <f>IF($A199&lt;&gt;0,VLOOKUP($A199,'0.Productos'!$A$3:$GG$587,'0.Productos'!BD$1+1,0),"")</f>
        <v/>
      </c>
      <c r="M199" s="133" t="str">
        <f>IF($A199&lt;&gt;0,VLOOKUP($A199,'0.Productos'!$A$3:$GG$587,'0.Productos'!BE$1+1,0),"")</f>
        <v/>
      </c>
      <c r="N199" s="133" t="str">
        <f>IF($A199&lt;&gt;0,VLOOKUP($A199,'0.Productos'!$A$3:$GG$587,'0.Productos'!BF$1+1,0),"")</f>
        <v/>
      </c>
      <c r="O199" s="133" t="str">
        <f>IF($A199&lt;&gt;0,VLOOKUP($A199,'0.Productos'!$A$3:$GG$587,'0.Productos'!BG$1+1,0),"")</f>
        <v/>
      </c>
      <c r="P199" s="133" t="str">
        <f>IF($A199&lt;&gt;0,VLOOKUP($A199,'0.Productos'!$A$3:$GG$587,'0.Productos'!BH$1+1,0),"")</f>
        <v/>
      </c>
      <c r="Q199" s="133" t="str">
        <f>IF($A199&lt;&gt;0,VLOOKUP($A199,'0.Productos'!$A$3:$GG$587,'0.Productos'!BI$1+1,0),"")</f>
        <v/>
      </c>
      <c r="R199" s="133" t="str">
        <f>IF($A199&lt;&gt;0,VLOOKUP($A199,'0.Productos'!$A$3:$GG$587,'0.Productos'!BJ$1+1,0),"")</f>
        <v/>
      </c>
      <c r="S199" s="133" t="str">
        <f>IF($A199&lt;&gt;0,VLOOKUP($A199,'0.Productos'!$A$3:$GG$587,'0.Productos'!BK$1+1,0),"")</f>
        <v/>
      </c>
      <c r="T199" s="133" t="str">
        <f>IF($A199&lt;&gt;0,VLOOKUP($A199,'0.Productos'!$A$3:$GG$587,'0.Productos'!BL$1+1,0),"")</f>
        <v/>
      </c>
      <c r="U199" s="133" t="str">
        <f>IF($A199&lt;&gt;0,VLOOKUP($A199,'0.Productos'!$A$3:$GG$587,'0.Productos'!BM$1+1,0),"")</f>
        <v/>
      </c>
      <c r="V199" s="133" t="str">
        <f>IF($A199&lt;&gt;0,VLOOKUP($A199,'0.Productos'!$A$3:$GG$587,'0.Productos'!BN$1+1,0),"")</f>
        <v/>
      </c>
      <c r="W199" s="133" t="str">
        <f>IF($A199&lt;&gt;0,VLOOKUP($A199,'0.Productos'!$A$3:$GG$587,'0.Productos'!BO$1+1,0),"")</f>
        <v/>
      </c>
      <c r="X199" s="133" t="str">
        <f>IF($A199&lt;&gt;0,VLOOKUP($A199,'0.Productos'!$A$3:$GG$587,'0.Productos'!BP$1+1,0),"")</f>
        <v/>
      </c>
      <c r="Y199" s="133" t="str">
        <f>IF($A199&lt;&gt;0,VLOOKUP($A199,'0.Productos'!$A$3:$GG$587,'0.Productos'!BQ$1+1,0),"")</f>
        <v/>
      </c>
      <c r="Z199" s="133" t="str">
        <f>IF($A199&lt;&gt;0,VLOOKUP($A199,'0.Productos'!$A$3:$GG$587,'0.Productos'!BR$1+1,0),"")</f>
        <v/>
      </c>
      <c r="AA199" s="133" t="str">
        <f>IF($A199&lt;&gt;0,VLOOKUP($A199,'0.Productos'!$A$3:$GG$587,'0.Productos'!BS$1+1,0),"")</f>
        <v/>
      </c>
      <c r="AB199" s="133" t="str">
        <f>IF($A199&lt;&gt;0,VLOOKUP($A199,'0.Productos'!$A$3:$GG$587,'0.Productos'!BT$1+1,0),"")</f>
        <v/>
      </c>
      <c r="AC199" s="133" t="str">
        <f>IF($A199&lt;&gt;0,VLOOKUP($A199,'0.Productos'!$A$3:$GG$587,'0.Productos'!BU$1+1,0),"")</f>
        <v/>
      </c>
      <c r="AD199" s="133" t="str">
        <f>IF($A199&lt;&gt;0,VLOOKUP($A199,'0.Productos'!$A$3:$GG$587,'0.Productos'!BV$1+1,0),"")</f>
        <v/>
      </c>
      <c r="AE199" s="133" t="str">
        <f>IF($A199&lt;&gt;0,VLOOKUP($A199,'0.Productos'!$A$3:$GG$587,'0.Productos'!BW$1+1,0),"")</f>
        <v/>
      </c>
      <c r="AF199" s="133" t="str">
        <f>IF($A199&lt;&gt;0,VLOOKUP($A199,'0.Productos'!$A$3:$GG$587,'0.Productos'!BX$1+1,0),"")</f>
        <v/>
      </c>
      <c r="AG199" s="133" t="str">
        <f>IF($A199&lt;&gt;0,VLOOKUP($A199,'0.Productos'!$A$3:$GG$587,'0.Productos'!BY$1+1,0),"")</f>
        <v/>
      </c>
      <c r="AH199" s="133" t="str">
        <f>IF($A199&lt;&gt;0,VLOOKUP($A199,'0.Productos'!$A$3:$GG$587,'0.Productos'!BZ$1+1,0),"")</f>
        <v/>
      </c>
      <c r="AI199" s="133" t="str">
        <f>IF($A199&lt;&gt;0,VLOOKUP($A199,'0.Productos'!$A$3:$GG$587,'0.Productos'!CA$1+1,0),"")</f>
        <v/>
      </c>
      <c r="AJ199" s="133" t="str">
        <f>IF($A199&lt;&gt;0,VLOOKUP($A199,'0.Productos'!$A$3:$GG$587,'0.Productos'!CB$1+1,0),"")</f>
        <v/>
      </c>
      <c r="AK199" s="133" t="str">
        <f>IF($A199&lt;&gt;0,VLOOKUP($A199,'0.Productos'!$A$3:$GG$587,'0.Productos'!CC$1+1,0),"")</f>
        <v/>
      </c>
      <c r="AL199" s="133" t="str">
        <f>IF($A199&lt;&gt;0,VLOOKUP($A199,'0.Productos'!$A$3:$GG$587,'0.Productos'!CD$1+1,0),"")</f>
        <v/>
      </c>
      <c r="AM199" s="133" t="str">
        <f>IF($A199&lt;&gt;0,VLOOKUP($A199,'0.Productos'!$A$3:$GG$587,'0.Productos'!CE$1+1,0),"")</f>
        <v/>
      </c>
      <c r="AN199" s="133" t="str">
        <f>IF($A199&lt;&gt;0,VLOOKUP($A199,'0.Productos'!$A$3:$GG$587,'0.Productos'!CF$1+1,0),"")</f>
        <v/>
      </c>
      <c r="AO199" s="133" t="str">
        <f>IF($A199&lt;&gt;0,VLOOKUP($A199,'0.Productos'!$A$3:$GG$587,'0.Productos'!CG$1+1,0),"")</f>
        <v/>
      </c>
      <c r="AP199" s="133" t="str">
        <f>IF($A199&lt;&gt;0,VLOOKUP($A199,'0.Productos'!$A$3:$GG$587,'0.Productos'!CH$1+1,0),"")</f>
        <v/>
      </c>
      <c r="AQ199" s="133" t="str">
        <f>IF($A199&lt;&gt;0,VLOOKUP($A199,'0.Productos'!$A$3:$GG$587,'0.Productos'!CI$1+1,0),"")</f>
        <v/>
      </c>
      <c r="AR199" s="133" t="str">
        <f>IF($A199&lt;&gt;0,VLOOKUP($A199,'0.Productos'!$A$3:$GG$587,'0.Productos'!CJ$1+1,0),"")</f>
        <v/>
      </c>
      <c r="AS199" s="133" t="str">
        <f>IF($A199&lt;&gt;0,VLOOKUP($A199,'0.Productos'!$A$3:$GG$587,'0.Productos'!CK$1+1,0),"")</f>
        <v/>
      </c>
      <c r="AT199" s="133" t="str">
        <f>IF($A199&lt;&gt;0,VLOOKUP($A199,'0.Productos'!$A$3:$GG$587,'0.Productos'!CL$1+1,0),"")</f>
        <v/>
      </c>
      <c r="AU199" s="133" t="str">
        <f>IF($A199&lt;&gt;0,VLOOKUP($A199,'0.Productos'!$A$3:$GG$587,'0.Productos'!CM$1+1,0),"")</f>
        <v/>
      </c>
      <c r="AV199" s="133" t="str">
        <f>IF($A199&lt;&gt;0,VLOOKUP($A199,'0.Productos'!$A$3:$GG$587,'0.Productos'!CN$1+1,0),"")</f>
        <v/>
      </c>
      <c r="AW199" s="133" t="str">
        <f>IF($A199&lt;&gt;0,VLOOKUP($A199,'0.Productos'!$A$3:$GG$587,'0.Productos'!CO$1+1,0),"")</f>
        <v/>
      </c>
      <c r="AX199" s="133" t="str">
        <f>IF($A199&lt;&gt;0,VLOOKUP($A199,'0.Productos'!$A$3:$GG$587,'0.Productos'!CP$1+1,0),"")</f>
        <v/>
      </c>
      <c r="AY199" s="133" t="str">
        <f>IF($A199&lt;&gt;0,VLOOKUP($A199,'0.Productos'!$A$3:$GG$587,'0.Productos'!CQ$1+1,0),"")</f>
        <v/>
      </c>
      <c r="AZ199" s="133" t="str">
        <f>IF($A199&lt;&gt;0,VLOOKUP($A199,'0.Productos'!$A$3:$GG$587,'0.Productos'!CR$1+1,0),"")</f>
        <v/>
      </c>
      <c r="BA199" s="133" t="str">
        <f>IF($A199&lt;&gt;0,VLOOKUP($A199,'0.Productos'!$A$3:$GG$587,'0.Productos'!CS$1+1,0),"")</f>
        <v/>
      </c>
      <c r="BB199" s="133" t="str">
        <f>IF($A199&lt;&gt;0,VLOOKUP($A199,'0.Productos'!$A$3:$GG$587,'0.Productos'!CT$1+1,0),"")</f>
        <v/>
      </c>
      <c r="BC199" s="133" t="str">
        <f>IF($A199&lt;&gt;0,VLOOKUP($A199,'0.Productos'!$A$3:$GG$587,'0.Productos'!CU$1+1,0),"")</f>
        <v/>
      </c>
      <c r="BD199" s="133" t="str">
        <f>IF($A199&lt;&gt;0,VLOOKUP($A199,'0.Productos'!$A$3:$GG$587,'0.Productos'!CV$1+1,0),"")</f>
        <v/>
      </c>
      <c r="BE199" s="133" t="str">
        <f>IF($A199&lt;&gt;0,VLOOKUP($A199,'0.Productos'!$A$3:$GG$587,'0.Productos'!CW$1+1,0),"")</f>
        <v/>
      </c>
      <c r="BF199" s="133" t="str">
        <f>IF($A199&lt;&gt;0,VLOOKUP($A199,'0.Productos'!$A$3:$GG$587,'0.Productos'!CX$1+1,0),"")</f>
        <v/>
      </c>
      <c r="BG199" s="133" t="str">
        <f>IF($A199&lt;&gt;0,VLOOKUP($A199,'0.Productos'!$A$3:$GG$587,'0.Productos'!CY$1+1,0),"")</f>
        <v/>
      </c>
      <c r="BH199" s="133" t="str">
        <f>IF($A199&lt;&gt;0,VLOOKUP($A199,'0.Productos'!$A$3:$GG$587,'0.Productos'!CZ$1+1,0),"")</f>
        <v/>
      </c>
      <c r="BI199" s="133" t="str">
        <f>IF($A199&lt;&gt;0,VLOOKUP($A199,'0.Productos'!$A$3:$GG$587,'0.Productos'!DA$1+1,0),"")</f>
        <v/>
      </c>
      <c r="BJ199" s="133" t="str">
        <f>IF($A199&lt;&gt;0,VLOOKUP($A199,'0.Productos'!$A$3:$GG$587,'0.Productos'!DB$1+1,0),"")</f>
        <v/>
      </c>
      <c r="BK199" s="133" t="str">
        <f>IF($A199&lt;&gt;0,VLOOKUP($A199,'0.Productos'!$A$3:$GG$587,'0.Productos'!DC$1+1,0),"")</f>
        <v/>
      </c>
      <c r="BL199" s="133" t="str">
        <f>IF($A199&lt;&gt;0,VLOOKUP($A199,'0.Productos'!$A$3:$GG$587,'0.Productos'!DD$1+1,0),"")</f>
        <v/>
      </c>
      <c r="BM199" s="133" t="str">
        <f>IF($A199&lt;&gt;0,VLOOKUP($A199,'0.Productos'!$A$3:$GG$587,'0.Productos'!DE$1+1,0),"")</f>
        <v/>
      </c>
      <c r="BN199" s="133" t="str">
        <f>IF($A199&lt;&gt;0,VLOOKUP($A199,'0.Productos'!$A$3:$GG$587,'0.Productos'!DF$1+1,0),"")</f>
        <v/>
      </c>
      <c r="BO199" s="133" t="str">
        <f>IF($A199&lt;&gt;0,VLOOKUP($A199,'0.Productos'!$A$3:$GG$587,'0.Productos'!DG$1+1,0),"")</f>
        <v/>
      </c>
      <c r="BP199" s="133" t="str">
        <f>IF($A199&lt;&gt;0,VLOOKUP($A199,'0.Productos'!$A$3:$GG$587,'0.Productos'!DH$1+1,0),"")</f>
        <v/>
      </c>
      <c r="BQ199" s="133" t="str">
        <f>IF($A199&lt;&gt;0,VLOOKUP($A199,'0.Productos'!$A$3:$GG$587,'0.Productos'!DI$1+1,0),"")</f>
        <v/>
      </c>
      <c r="BR199" s="133" t="str">
        <f>IF($A199&lt;&gt;0,VLOOKUP($A199,'0.Productos'!$A$3:$GG$587,'0.Productos'!DJ$1+1,0),"")</f>
        <v/>
      </c>
      <c r="BS199" s="133" t="str">
        <f>IF($A199&lt;&gt;0,VLOOKUP($A199,'0.Productos'!$A$3:$GG$587,'0.Productos'!DK$1+1,0),"")</f>
        <v/>
      </c>
      <c r="BT199" s="133" t="str">
        <f>IF($A199&lt;&gt;0,VLOOKUP($A199,'0.Productos'!$A$3:$GG$587,'0.Productos'!DL$1+1,0),"")</f>
        <v/>
      </c>
    </row>
    <row r="200" spans="1:72" x14ac:dyDescent="0.25">
      <c r="A200" s="17">
        <f>'0.Consolidado general'!A200</f>
        <v>0</v>
      </c>
      <c r="B200" s="133" t="str">
        <f>IF($A200&lt;&gt;0,VLOOKUP($A200,'0.Productos'!$A$3:$GG$587,'0.Productos'!AT$1+1,0),"")</f>
        <v/>
      </c>
      <c r="C200" s="133" t="str">
        <f>IF($A200&lt;&gt;0,VLOOKUP($A200,'0.Productos'!$A$3:$GG$587,'0.Productos'!AU$1+1,0),"")</f>
        <v/>
      </c>
      <c r="D200" s="133" t="str">
        <f>IF($A200&lt;&gt;0,VLOOKUP($A200,'0.Productos'!$A$3:$GG$587,'0.Productos'!AV$1+1,0),"")</f>
        <v/>
      </c>
      <c r="E200" s="133" t="str">
        <f>IF($A200&lt;&gt;0,VLOOKUP($A200,'0.Productos'!$A$3:$GG$587,'0.Productos'!AW$1+1,0),"")</f>
        <v/>
      </c>
      <c r="F200" s="133" t="str">
        <f>IF($A200&lt;&gt;0,VLOOKUP($A200,'0.Productos'!$A$3:$GG$587,'0.Productos'!AX$1+1,0),"")</f>
        <v/>
      </c>
      <c r="G200" s="133" t="str">
        <f>IF($A200&lt;&gt;0,VLOOKUP($A200,'0.Productos'!$A$3:$GG$587,'0.Productos'!AY$1+1,0),"")</f>
        <v/>
      </c>
      <c r="H200" s="133" t="str">
        <f>IF($A200&lt;&gt;0,VLOOKUP($A200,'0.Productos'!$A$3:$GG$587,'0.Productos'!AZ$1+1,0),"")</f>
        <v/>
      </c>
      <c r="I200" s="133" t="str">
        <f>IF($A200&lt;&gt;0,VLOOKUP($A200,'0.Productos'!$A$3:$GG$587,'0.Productos'!BA$1+1,0),"")</f>
        <v/>
      </c>
      <c r="J200" s="133" t="str">
        <f>IF($A200&lt;&gt;0,VLOOKUP($A200,'0.Productos'!$A$3:$GG$587,'0.Productos'!BB$1+1,0),"")</f>
        <v/>
      </c>
      <c r="K200" s="133" t="str">
        <f>IF($A200&lt;&gt;0,VLOOKUP($A200,'0.Productos'!$A$3:$GG$587,'0.Productos'!BC$1+1,0),"")</f>
        <v/>
      </c>
      <c r="L200" s="133" t="str">
        <f>IF($A200&lt;&gt;0,VLOOKUP($A200,'0.Productos'!$A$3:$GG$587,'0.Productos'!BD$1+1,0),"")</f>
        <v/>
      </c>
      <c r="M200" s="133" t="str">
        <f>IF($A200&lt;&gt;0,VLOOKUP($A200,'0.Productos'!$A$3:$GG$587,'0.Productos'!BE$1+1,0),"")</f>
        <v/>
      </c>
      <c r="N200" s="133" t="str">
        <f>IF($A200&lt;&gt;0,VLOOKUP($A200,'0.Productos'!$A$3:$GG$587,'0.Productos'!BF$1+1,0),"")</f>
        <v/>
      </c>
      <c r="O200" s="133" t="str">
        <f>IF($A200&lt;&gt;0,VLOOKUP($A200,'0.Productos'!$A$3:$GG$587,'0.Productos'!BG$1+1,0),"")</f>
        <v/>
      </c>
      <c r="P200" s="133" t="str">
        <f>IF($A200&lt;&gt;0,VLOOKUP($A200,'0.Productos'!$A$3:$GG$587,'0.Productos'!BH$1+1,0),"")</f>
        <v/>
      </c>
      <c r="Q200" s="133" t="str">
        <f>IF($A200&lt;&gt;0,VLOOKUP($A200,'0.Productos'!$A$3:$GG$587,'0.Productos'!BI$1+1,0),"")</f>
        <v/>
      </c>
      <c r="R200" s="133" t="str">
        <f>IF($A200&lt;&gt;0,VLOOKUP($A200,'0.Productos'!$A$3:$GG$587,'0.Productos'!BJ$1+1,0),"")</f>
        <v/>
      </c>
      <c r="S200" s="133" t="str">
        <f>IF($A200&lt;&gt;0,VLOOKUP($A200,'0.Productos'!$A$3:$GG$587,'0.Productos'!BK$1+1,0),"")</f>
        <v/>
      </c>
      <c r="T200" s="133" t="str">
        <f>IF($A200&lt;&gt;0,VLOOKUP($A200,'0.Productos'!$A$3:$GG$587,'0.Productos'!BL$1+1,0),"")</f>
        <v/>
      </c>
      <c r="U200" s="133" t="str">
        <f>IF($A200&lt;&gt;0,VLOOKUP($A200,'0.Productos'!$A$3:$GG$587,'0.Productos'!BM$1+1,0),"")</f>
        <v/>
      </c>
      <c r="V200" s="133" t="str">
        <f>IF($A200&lt;&gt;0,VLOOKUP($A200,'0.Productos'!$A$3:$GG$587,'0.Productos'!BN$1+1,0),"")</f>
        <v/>
      </c>
      <c r="W200" s="133" t="str">
        <f>IF($A200&lt;&gt;0,VLOOKUP($A200,'0.Productos'!$A$3:$GG$587,'0.Productos'!BO$1+1,0),"")</f>
        <v/>
      </c>
      <c r="X200" s="133" t="str">
        <f>IF($A200&lt;&gt;0,VLOOKUP($A200,'0.Productos'!$A$3:$GG$587,'0.Productos'!BP$1+1,0),"")</f>
        <v/>
      </c>
      <c r="Y200" s="133" t="str">
        <f>IF($A200&lt;&gt;0,VLOOKUP($A200,'0.Productos'!$A$3:$GG$587,'0.Productos'!BQ$1+1,0),"")</f>
        <v/>
      </c>
      <c r="Z200" s="133" t="str">
        <f>IF($A200&lt;&gt;0,VLOOKUP($A200,'0.Productos'!$A$3:$GG$587,'0.Productos'!BR$1+1,0),"")</f>
        <v/>
      </c>
      <c r="AA200" s="133" t="str">
        <f>IF($A200&lt;&gt;0,VLOOKUP($A200,'0.Productos'!$A$3:$GG$587,'0.Productos'!BS$1+1,0),"")</f>
        <v/>
      </c>
      <c r="AB200" s="133" t="str">
        <f>IF($A200&lt;&gt;0,VLOOKUP($A200,'0.Productos'!$A$3:$GG$587,'0.Productos'!BT$1+1,0),"")</f>
        <v/>
      </c>
      <c r="AC200" s="133" t="str">
        <f>IF($A200&lt;&gt;0,VLOOKUP($A200,'0.Productos'!$A$3:$GG$587,'0.Productos'!BU$1+1,0),"")</f>
        <v/>
      </c>
      <c r="AD200" s="133" t="str">
        <f>IF($A200&lt;&gt;0,VLOOKUP($A200,'0.Productos'!$A$3:$GG$587,'0.Productos'!BV$1+1,0),"")</f>
        <v/>
      </c>
      <c r="AE200" s="133" t="str">
        <f>IF($A200&lt;&gt;0,VLOOKUP($A200,'0.Productos'!$A$3:$GG$587,'0.Productos'!BW$1+1,0),"")</f>
        <v/>
      </c>
      <c r="AF200" s="133" t="str">
        <f>IF($A200&lt;&gt;0,VLOOKUP($A200,'0.Productos'!$A$3:$GG$587,'0.Productos'!BX$1+1,0),"")</f>
        <v/>
      </c>
      <c r="AG200" s="133" t="str">
        <f>IF($A200&lt;&gt;0,VLOOKUP($A200,'0.Productos'!$A$3:$GG$587,'0.Productos'!BY$1+1,0),"")</f>
        <v/>
      </c>
      <c r="AH200" s="133" t="str">
        <f>IF($A200&lt;&gt;0,VLOOKUP($A200,'0.Productos'!$A$3:$GG$587,'0.Productos'!BZ$1+1,0),"")</f>
        <v/>
      </c>
      <c r="AI200" s="133" t="str">
        <f>IF($A200&lt;&gt;0,VLOOKUP($A200,'0.Productos'!$A$3:$GG$587,'0.Productos'!CA$1+1,0),"")</f>
        <v/>
      </c>
      <c r="AJ200" s="133" t="str">
        <f>IF($A200&lt;&gt;0,VLOOKUP($A200,'0.Productos'!$A$3:$GG$587,'0.Productos'!CB$1+1,0),"")</f>
        <v/>
      </c>
      <c r="AK200" s="133" t="str">
        <f>IF($A200&lt;&gt;0,VLOOKUP($A200,'0.Productos'!$A$3:$GG$587,'0.Productos'!CC$1+1,0),"")</f>
        <v/>
      </c>
      <c r="AL200" s="133" t="str">
        <f>IF($A200&lt;&gt;0,VLOOKUP($A200,'0.Productos'!$A$3:$GG$587,'0.Productos'!CD$1+1,0),"")</f>
        <v/>
      </c>
      <c r="AM200" s="133" t="str">
        <f>IF($A200&lt;&gt;0,VLOOKUP($A200,'0.Productos'!$A$3:$GG$587,'0.Productos'!CE$1+1,0),"")</f>
        <v/>
      </c>
      <c r="AN200" s="133" t="str">
        <f>IF($A200&lt;&gt;0,VLOOKUP($A200,'0.Productos'!$A$3:$GG$587,'0.Productos'!CF$1+1,0),"")</f>
        <v/>
      </c>
      <c r="AO200" s="133" t="str">
        <f>IF($A200&lt;&gt;0,VLOOKUP($A200,'0.Productos'!$A$3:$GG$587,'0.Productos'!CG$1+1,0),"")</f>
        <v/>
      </c>
      <c r="AP200" s="133" t="str">
        <f>IF($A200&lt;&gt;0,VLOOKUP($A200,'0.Productos'!$A$3:$GG$587,'0.Productos'!CH$1+1,0),"")</f>
        <v/>
      </c>
      <c r="AQ200" s="133" t="str">
        <f>IF($A200&lt;&gt;0,VLOOKUP($A200,'0.Productos'!$A$3:$GG$587,'0.Productos'!CI$1+1,0),"")</f>
        <v/>
      </c>
      <c r="AR200" s="133" t="str">
        <f>IF($A200&lt;&gt;0,VLOOKUP($A200,'0.Productos'!$A$3:$GG$587,'0.Productos'!CJ$1+1,0),"")</f>
        <v/>
      </c>
      <c r="AS200" s="133" t="str">
        <f>IF($A200&lt;&gt;0,VLOOKUP($A200,'0.Productos'!$A$3:$GG$587,'0.Productos'!CK$1+1,0),"")</f>
        <v/>
      </c>
      <c r="AT200" s="133" t="str">
        <f>IF($A200&lt;&gt;0,VLOOKUP($A200,'0.Productos'!$A$3:$GG$587,'0.Productos'!CL$1+1,0),"")</f>
        <v/>
      </c>
      <c r="AU200" s="133" t="str">
        <f>IF($A200&lt;&gt;0,VLOOKUP($A200,'0.Productos'!$A$3:$GG$587,'0.Productos'!CM$1+1,0),"")</f>
        <v/>
      </c>
      <c r="AV200" s="133" t="str">
        <f>IF($A200&lt;&gt;0,VLOOKUP($A200,'0.Productos'!$A$3:$GG$587,'0.Productos'!CN$1+1,0),"")</f>
        <v/>
      </c>
      <c r="AW200" s="133" t="str">
        <f>IF($A200&lt;&gt;0,VLOOKUP($A200,'0.Productos'!$A$3:$GG$587,'0.Productos'!CO$1+1,0),"")</f>
        <v/>
      </c>
      <c r="AX200" s="133" t="str">
        <f>IF($A200&lt;&gt;0,VLOOKUP($A200,'0.Productos'!$A$3:$GG$587,'0.Productos'!CP$1+1,0),"")</f>
        <v/>
      </c>
      <c r="AY200" s="133" t="str">
        <f>IF($A200&lt;&gt;0,VLOOKUP($A200,'0.Productos'!$A$3:$GG$587,'0.Productos'!CQ$1+1,0),"")</f>
        <v/>
      </c>
      <c r="AZ200" s="133" t="str">
        <f>IF($A200&lt;&gt;0,VLOOKUP($A200,'0.Productos'!$A$3:$GG$587,'0.Productos'!CR$1+1,0),"")</f>
        <v/>
      </c>
      <c r="BA200" s="133" t="str">
        <f>IF($A200&lt;&gt;0,VLOOKUP($A200,'0.Productos'!$A$3:$GG$587,'0.Productos'!CS$1+1,0),"")</f>
        <v/>
      </c>
      <c r="BB200" s="133" t="str">
        <f>IF($A200&lt;&gt;0,VLOOKUP($A200,'0.Productos'!$A$3:$GG$587,'0.Productos'!CT$1+1,0),"")</f>
        <v/>
      </c>
      <c r="BC200" s="133" t="str">
        <f>IF($A200&lt;&gt;0,VLOOKUP($A200,'0.Productos'!$A$3:$GG$587,'0.Productos'!CU$1+1,0),"")</f>
        <v/>
      </c>
      <c r="BD200" s="133" t="str">
        <f>IF($A200&lt;&gt;0,VLOOKUP($A200,'0.Productos'!$A$3:$GG$587,'0.Productos'!CV$1+1,0),"")</f>
        <v/>
      </c>
      <c r="BE200" s="133" t="str">
        <f>IF($A200&lt;&gt;0,VLOOKUP($A200,'0.Productos'!$A$3:$GG$587,'0.Productos'!CW$1+1,0),"")</f>
        <v/>
      </c>
      <c r="BF200" s="133" t="str">
        <f>IF($A200&lt;&gt;0,VLOOKUP($A200,'0.Productos'!$A$3:$GG$587,'0.Productos'!CX$1+1,0),"")</f>
        <v/>
      </c>
      <c r="BG200" s="133" t="str">
        <f>IF($A200&lt;&gt;0,VLOOKUP($A200,'0.Productos'!$A$3:$GG$587,'0.Productos'!CY$1+1,0),"")</f>
        <v/>
      </c>
      <c r="BH200" s="133" t="str">
        <f>IF($A200&lt;&gt;0,VLOOKUP($A200,'0.Productos'!$A$3:$GG$587,'0.Productos'!CZ$1+1,0),"")</f>
        <v/>
      </c>
      <c r="BI200" s="133" t="str">
        <f>IF($A200&lt;&gt;0,VLOOKUP($A200,'0.Productos'!$A$3:$GG$587,'0.Productos'!DA$1+1,0),"")</f>
        <v/>
      </c>
      <c r="BJ200" s="133" t="str">
        <f>IF($A200&lt;&gt;0,VLOOKUP($A200,'0.Productos'!$A$3:$GG$587,'0.Productos'!DB$1+1,0),"")</f>
        <v/>
      </c>
      <c r="BK200" s="133" t="str">
        <f>IF($A200&lt;&gt;0,VLOOKUP($A200,'0.Productos'!$A$3:$GG$587,'0.Productos'!DC$1+1,0),"")</f>
        <v/>
      </c>
      <c r="BL200" s="133" t="str">
        <f>IF($A200&lt;&gt;0,VLOOKUP($A200,'0.Productos'!$A$3:$GG$587,'0.Productos'!DD$1+1,0),"")</f>
        <v/>
      </c>
      <c r="BM200" s="133" t="str">
        <f>IF($A200&lt;&gt;0,VLOOKUP($A200,'0.Productos'!$A$3:$GG$587,'0.Productos'!DE$1+1,0),"")</f>
        <v/>
      </c>
      <c r="BN200" s="133" t="str">
        <f>IF($A200&lt;&gt;0,VLOOKUP($A200,'0.Productos'!$A$3:$GG$587,'0.Productos'!DF$1+1,0),"")</f>
        <v/>
      </c>
      <c r="BO200" s="133" t="str">
        <f>IF($A200&lt;&gt;0,VLOOKUP($A200,'0.Productos'!$A$3:$GG$587,'0.Productos'!DG$1+1,0),"")</f>
        <v/>
      </c>
      <c r="BP200" s="133" t="str">
        <f>IF($A200&lt;&gt;0,VLOOKUP($A200,'0.Productos'!$A$3:$GG$587,'0.Productos'!DH$1+1,0),"")</f>
        <v/>
      </c>
      <c r="BQ200" s="133" t="str">
        <f>IF($A200&lt;&gt;0,VLOOKUP($A200,'0.Productos'!$A$3:$GG$587,'0.Productos'!DI$1+1,0),"")</f>
        <v/>
      </c>
      <c r="BR200" s="133" t="str">
        <f>IF($A200&lt;&gt;0,VLOOKUP($A200,'0.Productos'!$A$3:$GG$587,'0.Productos'!DJ$1+1,0),"")</f>
        <v/>
      </c>
      <c r="BS200" s="133" t="str">
        <f>IF($A200&lt;&gt;0,VLOOKUP($A200,'0.Productos'!$A$3:$GG$587,'0.Productos'!DK$1+1,0),"")</f>
        <v/>
      </c>
      <c r="BT200" s="133" t="str">
        <f>IF($A200&lt;&gt;0,VLOOKUP($A200,'0.Productos'!$A$3:$GG$587,'0.Productos'!DL$1+1,0),"")</f>
        <v/>
      </c>
    </row>
    <row r="201" spans="1:72" x14ac:dyDescent="0.25">
      <c r="A201" s="17">
        <f>'0.Consolidado general'!A201</f>
        <v>0</v>
      </c>
      <c r="B201" s="133" t="str">
        <f>IF($A201&lt;&gt;0,VLOOKUP($A201,'0.Productos'!$A$3:$GG$587,'0.Productos'!AT$1+1,0),"")</f>
        <v/>
      </c>
      <c r="C201" s="133" t="str">
        <f>IF($A201&lt;&gt;0,VLOOKUP($A201,'0.Productos'!$A$3:$GG$587,'0.Productos'!AU$1+1,0),"")</f>
        <v/>
      </c>
      <c r="D201" s="133" t="str">
        <f>IF($A201&lt;&gt;0,VLOOKUP($A201,'0.Productos'!$A$3:$GG$587,'0.Productos'!AV$1+1,0),"")</f>
        <v/>
      </c>
      <c r="E201" s="133" t="str">
        <f>IF($A201&lt;&gt;0,VLOOKUP($A201,'0.Productos'!$A$3:$GG$587,'0.Productos'!AW$1+1,0),"")</f>
        <v/>
      </c>
      <c r="F201" s="133" t="str">
        <f>IF($A201&lt;&gt;0,VLOOKUP($A201,'0.Productos'!$A$3:$GG$587,'0.Productos'!AX$1+1,0),"")</f>
        <v/>
      </c>
      <c r="G201" s="133" t="str">
        <f>IF($A201&lt;&gt;0,VLOOKUP($A201,'0.Productos'!$A$3:$GG$587,'0.Productos'!AY$1+1,0),"")</f>
        <v/>
      </c>
      <c r="H201" s="133" t="str">
        <f>IF($A201&lt;&gt;0,VLOOKUP($A201,'0.Productos'!$A$3:$GG$587,'0.Productos'!AZ$1+1,0),"")</f>
        <v/>
      </c>
      <c r="I201" s="133" t="str">
        <f>IF($A201&lt;&gt;0,VLOOKUP($A201,'0.Productos'!$A$3:$GG$587,'0.Productos'!BA$1+1,0),"")</f>
        <v/>
      </c>
      <c r="J201" s="133" t="str">
        <f>IF($A201&lt;&gt;0,VLOOKUP($A201,'0.Productos'!$A$3:$GG$587,'0.Productos'!BB$1+1,0),"")</f>
        <v/>
      </c>
      <c r="K201" s="133" t="str">
        <f>IF($A201&lt;&gt;0,VLOOKUP($A201,'0.Productos'!$A$3:$GG$587,'0.Productos'!BC$1+1,0),"")</f>
        <v/>
      </c>
      <c r="L201" s="133" t="str">
        <f>IF($A201&lt;&gt;0,VLOOKUP($A201,'0.Productos'!$A$3:$GG$587,'0.Productos'!BD$1+1,0),"")</f>
        <v/>
      </c>
      <c r="M201" s="133" t="str">
        <f>IF($A201&lt;&gt;0,VLOOKUP($A201,'0.Productos'!$A$3:$GG$587,'0.Productos'!BE$1+1,0),"")</f>
        <v/>
      </c>
      <c r="N201" s="133" t="str">
        <f>IF($A201&lt;&gt;0,VLOOKUP($A201,'0.Productos'!$A$3:$GG$587,'0.Productos'!BF$1+1,0),"")</f>
        <v/>
      </c>
      <c r="O201" s="133" t="str">
        <f>IF($A201&lt;&gt;0,VLOOKUP($A201,'0.Productos'!$A$3:$GG$587,'0.Productos'!BG$1+1,0),"")</f>
        <v/>
      </c>
      <c r="P201" s="133" t="str">
        <f>IF($A201&lt;&gt;0,VLOOKUP($A201,'0.Productos'!$A$3:$GG$587,'0.Productos'!BH$1+1,0),"")</f>
        <v/>
      </c>
      <c r="Q201" s="133" t="str">
        <f>IF($A201&lt;&gt;0,VLOOKUP($A201,'0.Productos'!$A$3:$GG$587,'0.Productos'!BI$1+1,0),"")</f>
        <v/>
      </c>
      <c r="R201" s="133" t="str">
        <f>IF($A201&lt;&gt;0,VLOOKUP($A201,'0.Productos'!$A$3:$GG$587,'0.Productos'!BJ$1+1,0),"")</f>
        <v/>
      </c>
      <c r="S201" s="133" t="str">
        <f>IF($A201&lt;&gt;0,VLOOKUP($A201,'0.Productos'!$A$3:$GG$587,'0.Productos'!BK$1+1,0),"")</f>
        <v/>
      </c>
      <c r="T201" s="133" t="str">
        <f>IF($A201&lt;&gt;0,VLOOKUP($A201,'0.Productos'!$A$3:$GG$587,'0.Productos'!BL$1+1,0),"")</f>
        <v/>
      </c>
      <c r="U201" s="133" t="str">
        <f>IF($A201&lt;&gt;0,VLOOKUP($A201,'0.Productos'!$A$3:$GG$587,'0.Productos'!BM$1+1,0),"")</f>
        <v/>
      </c>
      <c r="V201" s="133" t="str">
        <f>IF($A201&lt;&gt;0,VLOOKUP($A201,'0.Productos'!$A$3:$GG$587,'0.Productos'!BN$1+1,0),"")</f>
        <v/>
      </c>
      <c r="W201" s="133" t="str">
        <f>IF($A201&lt;&gt;0,VLOOKUP($A201,'0.Productos'!$A$3:$GG$587,'0.Productos'!BO$1+1,0),"")</f>
        <v/>
      </c>
      <c r="X201" s="133" t="str">
        <f>IF($A201&lt;&gt;0,VLOOKUP($A201,'0.Productos'!$A$3:$GG$587,'0.Productos'!BP$1+1,0),"")</f>
        <v/>
      </c>
      <c r="Y201" s="133" t="str">
        <f>IF($A201&lt;&gt;0,VLOOKUP($A201,'0.Productos'!$A$3:$GG$587,'0.Productos'!BQ$1+1,0),"")</f>
        <v/>
      </c>
      <c r="Z201" s="133" t="str">
        <f>IF($A201&lt;&gt;0,VLOOKUP($A201,'0.Productos'!$A$3:$GG$587,'0.Productos'!BR$1+1,0),"")</f>
        <v/>
      </c>
      <c r="AA201" s="133" t="str">
        <f>IF($A201&lt;&gt;0,VLOOKUP($A201,'0.Productos'!$A$3:$GG$587,'0.Productos'!BS$1+1,0),"")</f>
        <v/>
      </c>
      <c r="AB201" s="133" t="str">
        <f>IF($A201&lt;&gt;0,VLOOKUP($A201,'0.Productos'!$A$3:$GG$587,'0.Productos'!BT$1+1,0),"")</f>
        <v/>
      </c>
      <c r="AC201" s="133" t="str">
        <f>IF($A201&lt;&gt;0,VLOOKUP($A201,'0.Productos'!$A$3:$GG$587,'0.Productos'!BU$1+1,0),"")</f>
        <v/>
      </c>
      <c r="AD201" s="133" t="str">
        <f>IF($A201&lt;&gt;0,VLOOKUP($A201,'0.Productos'!$A$3:$GG$587,'0.Productos'!BV$1+1,0),"")</f>
        <v/>
      </c>
      <c r="AE201" s="133" t="str">
        <f>IF($A201&lt;&gt;0,VLOOKUP($A201,'0.Productos'!$A$3:$GG$587,'0.Productos'!BW$1+1,0),"")</f>
        <v/>
      </c>
      <c r="AF201" s="133" t="str">
        <f>IF($A201&lt;&gt;0,VLOOKUP($A201,'0.Productos'!$A$3:$GG$587,'0.Productos'!BX$1+1,0),"")</f>
        <v/>
      </c>
      <c r="AG201" s="133" t="str">
        <f>IF($A201&lt;&gt;0,VLOOKUP($A201,'0.Productos'!$A$3:$GG$587,'0.Productos'!BY$1+1,0),"")</f>
        <v/>
      </c>
      <c r="AH201" s="133" t="str">
        <f>IF($A201&lt;&gt;0,VLOOKUP($A201,'0.Productos'!$A$3:$GG$587,'0.Productos'!BZ$1+1,0),"")</f>
        <v/>
      </c>
      <c r="AI201" s="133" t="str">
        <f>IF($A201&lt;&gt;0,VLOOKUP($A201,'0.Productos'!$A$3:$GG$587,'0.Productos'!CA$1+1,0),"")</f>
        <v/>
      </c>
      <c r="AJ201" s="133" t="str">
        <f>IF($A201&lt;&gt;0,VLOOKUP($A201,'0.Productos'!$A$3:$GG$587,'0.Productos'!CB$1+1,0),"")</f>
        <v/>
      </c>
      <c r="AK201" s="133" t="str">
        <f>IF($A201&lt;&gt;0,VLOOKUP($A201,'0.Productos'!$A$3:$GG$587,'0.Productos'!CC$1+1,0),"")</f>
        <v/>
      </c>
      <c r="AL201" s="133" t="str">
        <f>IF($A201&lt;&gt;0,VLOOKUP($A201,'0.Productos'!$A$3:$GG$587,'0.Productos'!CD$1+1,0),"")</f>
        <v/>
      </c>
      <c r="AM201" s="133" t="str">
        <f>IF($A201&lt;&gt;0,VLOOKUP($A201,'0.Productos'!$A$3:$GG$587,'0.Productos'!CE$1+1,0),"")</f>
        <v/>
      </c>
      <c r="AN201" s="133" t="str">
        <f>IF($A201&lt;&gt;0,VLOOKUP($A201,'0.Productos'!$A$3:$GG$587,'0.Productos'!CF$1+1,0),"")</f>
        <v/>
      </c>
      <c r="AO201" s="133" t="str">
        <f>IF($A201&lt;&gt;0,VLOOKUP($A201,'0.Productos'!$A$3:$GG$587,'0.Productos'!CG$1+1,0),"")</f>
        <v/>
      </c>
      <c r="AP201" s="133" t="str">
        <f>IF($A201&lt;&gt;0,VLOOKUP($A201,'0.Productos'!$A$3:$GG$587,'0.Productos'!CH$1+1,0),"")</f>
        <v/>
      </c>
      <c r="AQ201" s="133" t="str">
        <f>IF($A201&lt;&gt;0,VLOOKUP($A201,'0.Productos'!$A$3:$GG$587,'0.Productos'!CI$1+1,0),"")</f>
        <v/>
      </c>
      <c r="AR201" s="133" t="str">
        <f>IF($A201&lt;&gt;0,VLOOKUP($A201,'0.Productos'!$A$3:$GG$587,'0.Productos'!CJ$1+1,0),"")</f>
        <v/>
      </c>
      <c r="AS201" s="133" t="str">
        <f>IF($A201&lt;&gt;0,VLOOKUP($A201,'0.Productos'!$A$3:$GG$587,'0.Productos'!CK$1+1,0),"")</f>
        <v/>
      </c>
      <c r="AT201" s="133" t="str">
        <f>IF($A201&lt;&gt;0,VLOOKUP($A201,'0.Productos'!$A$3:$GG$587,'0.Productos'!CL$1+1,0),"")</f>
        <v/>
      </c>
      <c r="AU201" s="133" t="str">
        <f>IF($A201&lt;&gt;0,VLOOKUP($A201,'0.Productos'!$A$3:$GG$587,'0.Productos'!CM$1+1,0),"")</f>
        <v/>
      </c>
      <c r="AV201" s="133" t="str">
        <f>IF($A201&lt;&gt;0,VLOOKUP($A201,'0.Productos'!$A$3:$GG$587,'0.Productos'!CN$1+1,0),"")</f>
        <v/>
      </c>
      <c r="AW201" s="133" t="str">
        <f>IF($A201&lt;&gt;0,VLOOKUP($A201,'0.Productos'!$A$3:$GG$587,'0.Productos'!CO$1+1,0),"")</f>
        <v/>
      </c>
      <c r="AX201" s="133" t="str">
        <f>IF($A201&lt;&gt;0,VLOOKUP($A201,'0.Productos'!$A$3:$GG$587,'0.Productos'!CP$1+1,0),"")</f>
        <v/>
      </c>
      <c r="AY201" s="133" t="str">
        <f>IF($A201&lt;&gt;0,VLOOKUP($A201,'0.Productos'!$A$3:$GG$587,'0.Productos'!CQ$1+1,0),"")</f>
        <v/>
      </c>
      <c r="AZ201" s="133" t="str">
        <f>IF($A201&lt;&gt;0,VLOOKUP($A201,'0.Productos'!$A$3:$GG$587,'0.Productos'!CR$1+1,0),"")</f>
        <v/>
      </c>
      <c r="BA201" s="133" t="str">
        <f>IF($A201&lt;&gt;0,VLOOKUP($A201,'0.Productos'!$A$3:$GG$587,'0.Productos'!CS$1+1,0),"")</f>
        <v/>
      </c>
      <c r="BB201" s="133" t="str">
        <f>IF($A201&lt;&gt;0,VLOOKUP($A201,'0.Productos'!$A$3:$GG$587,'0.Productos'!CT$1+1,0),"")</f>
        <v/>
      </c>
      <c r="BC201" s="133" t="str">
        <f>IF($A201&lt;&gt;0,VLOOKUP($A201,'0.Productos'!$A$3:$GG$587,'0.Productos'!CU$1+1,0),"")</f>
        <v/>
      </c>
      <c r="BD201" s="133" t="str">
        <f>IF($A201&lt;&gt;0,VLOOKUP($A201,'0.Productos'!$A$3:$GG$587,'0.Productos'!CV$1+1,0),"")</f>
        <v/>
      </c>
      <c r="BE201" s="133" t="str">
        <f>IF($A201&lt;&gt;0,VLOOKUP($A201,'0.Productos'!$A$3:$GG$587,'0.Productos'!CW$1+1,0),"")</f>
        <v/>
      </c>
      <c r="BF201" s="133" t="str">
        <f>IF($A201&lt;&gt;0,VLOOKUP($A201,'0.Productos'!$A$3:$GG$587,'0.Productos'!CX$1+1,0),"")</f>
        <v/>
      </c>
      <c r="BG201" s="133" t="str">
        <f>IF($A201&lt;&gt;0,VLOOKUP($A201,'0.Productos'!$A$3:$GG$587,'0.Productos'!CY$1+1,0),"")</f>
        <v/>
      </c>
      <c r="BH201" s="133" t="str">
        <f>IF($A201&lt;&gt;0,VLOOKUP($A201,'0.Productos'!$A$3:$GG$587,'0.Productos'!CZ$1+1,0),"")</f>
        <v/>
      </c>
      <c r="BI201" s="133" t="str">
        <f>IF($A201&lt;&gt;0,VLOOKUP($A201,'0.Productos'!$A$3:$GG$587,'0.Productos'!DA$1+1,0),"")</f>
        <v/>
      </c>
      <c r="BJ201" s="133" t="str">
        <f>IF($A201&lt;&gt;0,VLOOKUP($A201,'0.Productos'!$A$3:$GG$587,'0.Productos'!DB$1+1,0),"")</f>
        <v/>
      </c>
      <c r="BK201" s="133" t="str">
        <f>IF($A201&lt;&gt;0,VLOOKUP($A201,'0.Productos'!$A$3:$GG$587,'0.Productos'!DC$1+1,0),"")</f>
        <v/>
      </c>
      <c r="BL201" s="133" t="str">
        <f>IF($A201&lt;&gt;0,VLOOKUP($A201,'0.Productos'!$A$3:$GG$587,'0.Productos'!DD$1+1,0),"")</f>
        <v/>
      </c>
      <c r="BM201" s="133" t="str">
        <f>IF($A201&lt;&gt;0,VLOOKUP($A201,'0.Productos'!$A$3:$GG$587,'0.Productos'!DE$1+1,0),"")</f>
        <v/>
      </c>
      <c r="BN201" s="133" t="str">
        <f>IF($A201&lt;&gt;0,VLOOKUP($A201,'0.Productos'!$A$3:$GG$587,'0.Productos'!DF$1+1,0),"")</f>
        <v/>
      </c>
      <c r="BO201" s="133" t="str">
        <f>IF($A201&lt;&gt;0,VLOOKUP($A201,'0.Productos'!$A$3:$GG$587,'0.Productos'!DG$1+1,0),"")</f>
        <v/>
      </c>
      <c r="BP201" s="133" t="str">
        <f>IF($A201&lt;&gt;0,VLOOKUP($A201,'0.Productos'!$A$3:$GG$587,'0.Productos'!DH$1+1,0),"")</f>
        <v/>
      </c>
      <c r="BQ201" s="133" t="str">
        <f>IF($A201&lt;&gt;0,VLOOKUP($A201,'0.Productos'!$A$3:$GG$587,'0.Productos'!DI$1+1,0),"")</f>
        <v/>
      </c>
      <c r="BR201" s="133" t="str">
        <f>IF($A201&lt;&gt;0,VLOOKUP($A201,'0.Productos'!$A$3:$GG$587,'0.Productos'!DJ$1+1,0),"")</f>
        <v/>
      </c>
      <c r="BS201" s="133" t="str">
        <f>IF($A201&lt;&gt;0,VLOOKUP($A201,'0.Productos'!$A$3:$GG$587,'0.Productos'!DK$1+1,0),"")</f>
        <v/>
      </c>
      <c r="BT201" s="133" t="str">
        <f>IF($A201&lt;&gt;0,VLOOKUP($A201,'0.Productos'!$A$3:$GG$587,'0.Productos'!DL$1+1,0),"")</f>
        <v/>
      </c>
    </row>
    <row r="202" spans="1:72" x14ac:dyDescent="0.25">
      <c r="A202" s="17">
        <f>'0.Consolidado general'!A202</f>
        <v>0</v>
      </c>
      <c r="B202" s="133" t="str">
        <f>IF($A202&lt;&gt;0,VLOOKUP($A202,'0.Productos'!$A$3:$GG$587,'0.Productos'!AT$1+1,0),"")</f>
        <v/>
      </c>
      <c r="C202" s="133" t="str">
        <f>IF($A202&lt;&gt;0,VLOOKUP($A202,'0.Productos'!$A$3:$GG$587,'0.Productos'!AU$1+1,0),"")</f>
        <v/>
      </c>
      <c r="D202" s="133" t="str">
        <f>IF($A202&lt;&gt;0,VLOOKUP($A202,'0.Productos'!$A$3:$GG$587,'0.Productos'!AV$1+1,0),"")</f>
        <v/>
      </c>
      <c r="E202" s="133" t="str">
        <f>IF($A202&lt;&gt;0,VLOOKUP($A202,'0.Productos'!$A$3:$GG$587,'0.Productos'!AW$1+1,0),"")</f>
        <v/>
      </c>
      <c r="F202" s="133" t="str">
        <f>IF($A202&lt;&gt;0,VLOOKUP($A202,'0.Productos'!$A$3:$GG$587,'0.Productos'!AX$1+1,0),"")</f>
        <v/>
      </c>
      <c r="G202" s="133" t="str">
        <f>IF($A202&lt;&gt;0,VLOOKUP($A202,'0.Productos'!$A$3:$GG$587,'0.Productos'!AY$1+1,0),"")</f>
        <v/>
      </c>
      <c r="H202" s="133" t="str">
        <f>IF($A202&lt;&gt;0,VLOOKUP($A202,'0.Productos'!$A$3:$GG$587,'0.Productos'!AZ$1+1,0),"")</f>
        <v/>
      </c>
      <c r="I202" s="133" t="str">
        <f>IF($A202&lt;&gt;0,VLOOKUP($A202,'0.Productos'!$A$3:$GG$587,'0.Productos'!BA$1+1,0),"")</f>
        <v/>
      </c>
      <c r="J202" s="133" t="str">
        <f>IF($A202&lt;&gt;0,VLOOKUP($A202,'0.Productos'!$A$3:$GG$587,'0.Productos'!BB$1+1,0),"")</f>
        <v/>
      </c>
      <c r="K202" s="133" t="str">
        <f>IF($A202&lt;&gt;0,VLOOKUP($A202,'0.Productos'!$A$3:$GG$587,'0.Productos'!BC$1+1,0),"")</f>
        <v/>
      </c>
      <c r="L202" s="133" t="str">
        <f>IF($A202&lt;&gt;0,VLOOKUP($A202,'0.Productos'!$A$3:$GG$587,'0.Productos'!BD$1+1,0),"")</f>
        <v/>
      </c>
      <c r="M202" s="133" t="str">
        <f>IF($A202&lt;&gt;0,VLOOKUP($A202,'0.Productos'!$A$3:$GG$587,'0.Productos'!BE$1+1,0),"")</f>
        <v/>
      </c>
      <c r="N202" s="133" t="str">
        <f>IF($A202&lt;&gt;0,VLOOKUP($A202,'0.Productos'!$A$3:$GG$587,'0.Productos'!BF$1+1,0),"")</f>
        <v/>
      </c>
      <c r="O202" s="133" t="str">
        <f>IF($A202&lt;&gt;0,VLOOKUP($A202,'0.Productos'!$A$3:$GG$587,'0.Productos'!BG$1+1,0),"")</f>
        <v/>
      </c>
      <c r="P202" s="133" t="str">
        <f>IF($A202&lt;&gt;0,VLOOKUP($A202,'0.Productos'!$A$3:$GG$587,'0.Productos'!BH$1+1,0),"")</f>
        <v/>
      </c>
      <c r="Q202" s="133" t="str">
        <f>IF($A202&lt;&gt;0,VLOOKUP($A202,'0.Productos'!$A$3:$GG$587,'0.Productos'!BI$1+1,0),"")</f>
        <v/>
      </c>
      <c r="R202" s="133" t="str">
        <f>IF($A202&lt;&gt;0,VLOOKUP($A202,'0.Productos'!$A$3:$GG$587,'0.Productos'!BJ$1+1,0),"")</f>
        <v/>
      </c>
      <c r="S202" s="133" t="str">
        <f>IF($A202&lt;&gt;0,VLOOKUP($A202,'0.Productos'!$A$3:$GG$587,'0.Productos'!BK$1+1,0),"")</f>
        <v/>
      </c>
      <c r="T202" s="133" t="str">
        <f>IF($A202&lt;&gt;0,VLOOKUP($A202,'0.Productos'!$A$3:$GG$587,'0.Productos'!BL$1+1,0),"")</f>
        <v/>
      </c>
      <c r="U202" s="133" t="str">
        <f>IF($A202&lt;&gt;0,VLOOKUP($A202,'0.Productos'!$A$3:$GG$587,'0.Productos'!BM$1+1,0),"")</f>
        <v/>
      </c>
      <c r="V202" s="133" t="str">
        <f>IF($A202&lt;&gt;0,VLOOKUP($A202,'0.Productos'!$A$3:$GG$587,'0.Productos'!BN$1+1,0),"")</f>
        <v/>
      </c>
      <c r="W202" s="133" t="str">
        <f>IF($A202&lt;&gt;0,VLOOKUP($A202,'0.Productos'!$A$3:$GG$587,'0.Productos'!BO$1+1,0),"")</f>
        <v/>
      </c>
      <c r="X202" s="133" t="str">
        <f>IF($A202&lt;&gt;0,VLOOKUP($A202,'0.Productos'!$A$3:$GG$587,'0.Productos'!BP$1+1,0),"")</f>
        <v/>
      </c>
      <c r="Y202" s="133" t="str">
        <f>IF($A202&lt;&gt;0,VLOOKUP($A202,'0.Productos'!$A$3:$GG$587,'0.Productos'!BQ$1+1,0),"")</f>
        <v/>
      </c>
      <c r="Z202" s="133" t="str">
        <f>IF($A202&lt;&gt;0,VLOOKUP($A202,'0.Productos'!$A$3:$GG$587,'0.Productos'!BR$1+1,0),"")</f>
        <v/>
      </c>
      <c r="AA202" s="133" t="str">
        <f>IF($A202&lt;&gt;0,VLOOKUP($A202,'0.Productos'!$A$3:$GG$587,'0.Productos'!BS$1+1,0),"")</f>
        <v/>
      </c>
      <c r="AB202" s="133" t="str">
        <f>IF($A202&lt;&gt;0,VLOOKUP($A202,'0.Productos'!$A$3:$GG$587,'0.Productos'!BT$1+1,0),"")</f>
        <v/>
      </c>
      <c r="AC202" s="133" t="str">
        <f>IF($A202&lt;&gt;0,VLOOKUP($A202,'0.Productos'!$A$3:$GG$587,'0.Productos'!BU$1+1,0),"")</f>
        <v/>
      </c>
      <c r="AD202" s="133" t="str">
        <f>IF($A202&lt;&gt;0,VLOOKUP($A202,'0.Productos'!$A$3:$GG$587,'0.Productos'!BV$1+1,0),"")</f>
        <v/>
      </c>
      <c r="AE202" s="133" t="str">
        <f>IF($A202&lt;&gt;0,VLOOKUP($A202,'0.Productos'!$A$3:$GG$587,'0.Productos'!BW$1+1,0),"")</f>
        <v/>
      </c>
      <c r="AF202" s="133" t="str">
        <f>IF($A202&lt;&gt;0,VLOOKUP($A202,'0.Productos'!$A$3:$GG$587,'0.Productos'!BX$1+1,0),"")</f>
        <v/>
      </c>
      <c r="AG202" s="133" t="str">
        <f>IF($A202&lt;&gt;0,VLOOKUP($A202,'0.Productos'!$A$3:$GG$587,'0.Productos'!BY$1+1,0),"")</f>
        <v/>
      </c>
      <c r="AH202" s="133" t="str">
        <f>IF($A202&lt;&gt;0,VLOOKUP($A202,'0.Productos'!$A$3:$GG$587,'0.Productos'!BZ$1+1,0),"")</f>
        <v/>
      </c>
      <c r="AI202" s="133" t="str">
        <f>IF($A202&lt;&gt;0,VLOOKUP($A202,'0.Productos'!$A$3:$GG$587,'0.Productos'!CA$1+1,0),"")</f>
        <v/>
      </c>
      <c r="AJ202" s="133" t="str">
        <f>IF($A202&lt;&gt;0,VLOOKUP($A202,'0.Productos'!$A$3:$GG$587,'0.Productos'!CB$1+1,0),"")</f>
        <v/>
      </c>
      <c r="AK202" s="133" t="str">
        <f>IF($A202&lt;&gt;0,VLOOKUP($A202,'0.Productos'!$A$3:$GG$587,'0.Productos'!CC$1+1,0),"")</f>
        <v/>
      </c>
      <c r="AL202" s="133" t="str">
        <f>IF($A202&lt;&gt;0,VLOOKUP($A202,'0.Productos'!$A$3:$GG$587,'0.Productos'!CD$1+1,0),"")</f>
        <v/>
      </c>
      <c r="AM202" s="133" t="str">
        <f>IF($A202&lt;&gt;0,VLOOKUP($A202,'0.Productos'!$A$3:$GG$587,'0.Productos'!CE$1+1,0),"")</f>
        <v/>
      </c>
      <c r="AN202" s="133" t="str">
        <f>IF($A202&lt;&gt;0,VLOOKUP($A202,'0.Productos'!$A$3:$GG$587,'0.Productos'!CF$1+1,0),"")</f>
        <v/>
      </c>
      <c r="AO202" s="133" t="str">
        <f>IF($A202&lt;&gt;0,VLOOKUP($A202,'0.Productos'!$A$3:$GG$587,'0.Productos'!CG$1+1,0),"")</f>
        <v/>
      </c>
      <c r="AP202" s="133" t="str">
        <f>IF($A202&lt;&gt;0,VLOOKUP($A202,'0.Productos'!$A$3:$GG$587,'0.Productos'!CH$1+1,0),"")</f>
        <v/>
      </c>
      <c r="AQ202" s="133" t="str">
        <f>IF($A202&lt;&gt;0,VLOOKUP($A202,'0.Productos'!$A$3:$GG$587,'0.Productos'!CI$1+1,0),"")</f>
        <v/>
      </c>
      <c r="AR202" s="133" t="str">
        <f>IF($A202&lt;&gt;0,VLOOKUP($A202,'0.Productos'!$A$3:$GG$587,'0.Productos'!CJ$1+1,0),"")</f>
        <v/>
      </c>
      <c r="AS202" s="133" t="str">
        <f>IF($A202&lt;&gt;0,VLOOKUP($A202,'0.Productos'!$A$3:$GG$587,'0.Productos'!CK$1+1,0),"")</f>
        <v/>
      </c>
      <c r="AT202" s="133" t="str">
        <f>IF($A202&lt;&gt;0,VLOOKUP($A202,'0.Productos'!$A$3:$GG$587,'0.Productos'!CL$1+1,0),"")</f>
        <v/>
      </c>
      <c r="AU202" s="133" t="str">
        <f>IF($A202&lt;&gt;0,VLOOKUP($A202,'0.Productos'!$A$3:$GG$587,'0.Productos'!CM$1+1,0),"")</f>
        <v/>
      </c>
      <c r="AV202" s="133" t="str">
        <f>IF($A202&lt;&gt;0,VLOOKUP($A202,'0.Productos'!$A$3:$GG$587,'0.Productos'!CN$1+1,0),"")</f>
        <v/>
      </c>
      <c r="AW202" s="133" t="str">
        <f>IF($A202&lt;&gt;0,VLOOKUP($A202,'0.Productos'!$A$3:$GG$587,'0.Productos'!CO$1+1,0),"")</f>
        <v/>
      </c>
      <c r="AX202" s="133" t="str">
        <f>IF($A202&lt;&gt;0,VLOOKUP($A202,'0.Productos'!$A$3:$GG$587,'0.Productos'!CP$1+1,0),"")</f>
        <v/>
      </c>
      <c r="AY202" s="133" t="str">
        <f>IF($A202&lt;&gt;0,VLOOKUP($A202,'0.Productos'!$A$3:$GG$587,'0.Productos'!CQ$1+1,0),"")</f>
        <v/>
      </c>
      <c r="AZ202" s="133" t="str">
        <f>IF($A202&lt;&gt;0,VLOOKUP($A202,'0.Productos'!$A$3:$GG$587,'0.Productos'!CR$1+1,0),"")</f>
        <v/>
      </c>
      <c r="BA202" s="133" t="str">
        <f>IF($A202&lt;&gt;0,VLOOKUP($A202,'0.Productos'!$A$3:$GG$587,'0.Productos'!CS$1+1,0),"")</f>
        <v/>
      </c>
      <c r="BB202" s="133" t="str">
        <f>IF($A202&lt;&gt;0,VLOOKUP($A202,'0.Productos'!$A$3:$GG$587,'0.Productos'!CT$1+1,0),"")</f>
        <v/>
      </c>
      <c r="BC202" s="133" t="str">
        <f>IF($A202&lt;&gt;0,VLOOKUP($A202,'0.Productos'!$A$3:$GG$587,'0.Productos'!CU$1+1,0),"")</f>
        <v/>
      </c>
      <c r="BD202" s="133" t="str">
        <f>IF($A202&lt;&gt;0,VLOOKUP($A202,'0.Productos'!$A$3:$GG$587,'0.Productos'!CV$1+1,0),"")</f>
        <v/>
      </c>
      <c r="BE202" s="133" t="str">
        <f>IF($A202&lt;&gt;0,VLOOKUP($A202,'0.Productos'!$A$3:$GG$587,'0.Productos'!CW$1+1,0),"")</f>
        <v/>
      </c>
      <c r="BF202" s="133" t="str">
        <f>IF($A202&lt;&gt;0,VLOOKUP($A202,'0.Productos'!$A$3:$GG$587,'0.Productos'!CX$1+1,0),"")</f>
        <v/>
      </c>
      <c r="BG202" s="133" t="str">
        <f>IF($A202&lt;&gt;0,VLOOKUP($A202,'0.Productos'!$A$3:$GG$587,'0.Productos'!CY$1+1,0),"")</f>
        <v/>
      </c>
      <c r="BH202" s="133" t="str">
        <f>IF($A202&lt;&gt;0,VLOOKUP($A202,'0.Productos'!$A$3:$GG$587,'0.Productos'!CZ$1+1,0),"")</f>
        <v/>
      </c>
      <c r="BI202" s="133" t="str">
        <f>IF($A202&lt;&gt;0,VLOOKUP($A202,'0.Productos'!$A$3:$GG$587,'0.Productos'!DA$1+1,0),"")</f>
        <v/>
      </c>
      <c r="BJ202" s="133" t="str">
        <f>IF($A202&lt;&gt;0,VLOOKUP($A202,'0.Productos'!$A$3:$GG$587,'0.Productos'!DB$1+1,0),"")</f>
        <v/>
      </c>
      <c r="BK202" s="133" t="str">
        <f>IF($A202&lt;&gt;0,VLOOKUP($A202,'0.Productos'!$A$3:$GG$587,'0.Productos'!DC$1+1,0),"")</f>
        <v/>
      </c>
      <c r="BL202" s="133" t="str">
        <f>IF($A202&lt;&gt;0,VLOOKUP($A202,'0.Productos'!$A$3:$GG$587,'0.Productos'!DD$1+1,0),"")</f>
        <v/>
      </c>
      <c r="BM202" s="133" t="str">
        <f>IF($A202&lt;&gt;0,VLOOKUP($A202,'0.Productos'!$A$3:$GG$587,'0.Productos'!DE$1+1,0),"")</f>
        <v/>
      </c>
      <c r="BN202" s="133" t="str">
        <f>IF($A202&lt;&gt;0,VLOOKUP($A202,'0.Productos'!$A$3:$GG$587,'0.Productos'!DF$1+1,0),"")</f>
        <v/>
      </c>
      <c r="BO202" s="133" t="str">
        <f>IF($A202&lt;&gt;0,VLOOKUP($A202,'0.Productos'!$A$3:$GG$587,'0.Productos'!DG$1+1,0),"")</f>
        <v/>
      </c>
      <c r="BP202" s="133" t="str">
        <f>IF($A202&lt;&gt;0,VLOOKUP($A202,'0.Productos'!$A$3:$GG$587,'0.Productos'!DH$1+1,0),"")</f>
        <v/>
      </c>
      <c r="BQ202" s="133" t="str">
        <f>IF($A202&lt;&gt;0,VLOOKUP($A202,'0.Productos'!$A$3:$GG$587,'0.Productos'!DI$1+1,0),"")</f>
        <v/>
      </c>
      <c r="BR202" s="133" t="str">
        <f>IF($A202&lt;&gt;0,VLOOKUP($A202,'0.Productos'!$A$3:$GG$587,'0.Productos'!DJ$1+1,0),"")</f>
        <v/>
      </c>
      <c r="BS202" s="133" t="str">
        <f>IF($A202&lt;&gt;0,VLOOKUP($A202,'0.Productos'!$A$3:$GG$587,'0.Productos'!DK$1+1,0),"")</f>
        <v/>
      </c>
      <c r="BT202" s="133" t="str">
        <f>IF($A202&lt;&gt;0,VLOOKUP($A202,'0.Productos'!$A$3:$GG$587,'0.Productos'!DL$1+1,0),"")</f>
        <v/>
      </c>
    </row>
    <row r="203" spans="1:72" x14ac:dyDescent="0.25">
      <c r="A203" s="17">
        <f>'0.Consolidado general'!A203</f>
        <v>0</v>
      </c>
      <c r="B203" s="133" t="str">
        <f>IF($A203&lt;&gt;0,VLOOKUP($A203,'0.Productos'!$A$3:$GG$587,'0.Productos'!AT$1+1,0),"")</f>
        <v/>
      </c>
      <c r="C203" s="133" t="str">
        <f>IF($A203&lt;&gt;0,VLOOKUP($A203,'0.Productos'!$A$3:$GG$587,'0.Productos'!AU$1+1,0),"")</f>
        <v/>
      </c>
      <c r="D203" s="133" t="str">
        <f>IF($A203&lt;&gt;0,VLOOKUP($A203,'0.Productos'!$A$3:$GG$587,'0.Productos'!AV$1+1,0),"")</f>
        <v/>
      </c>
      <c r="E203" s="133" t="str">
        <f>IF($A203&lt;&gt;0,VLOOKUP($A203,'0.Productos'!$A$3:$GG$587,'0.Productos'!AW$1+1,0),"")</f>
        <v/>
      </c>
      <c r="F203" s="133" t="str">
        <f>IF($A203&lt;&gt;0,VLOOKUP($A203,'0.Productos'!$A$3:$GG$587,'0.Productos'!AX$1+1,0),"")</f>
        <v/>
      </c>
      <c r="G203" s="133" t="str">
        <f>IF($A203&lt;&gt;0,VLOOKUP($A203,'0.Productos'!$A$3:$GG$587,'0.Productos'!AY$1+1,0),"")</f>
        <v/>
      </c>
      <c r="H203" s="133" t="str">
        <f>IF($A203&lt;&gt;0,VLOOKUP($A203,'0.Productos'!$A$3:$GG$587,'0.Productos'!AZ$1+1,0),"")</f>
        <v/>
      </c>
      <c r="I203" s="133" t="str">
        <f>IF($A203&lt;&gt;0,VLOOKUP($A203,'0.Productos'!$A$3:$GG$587,'0.Productos'!BA$1+1,0),"")</f>
        <v/>
      </c>
      <c r="J203" s="133" t="str">
        <f>IF($A203&lt;&gt;0,VLOOKUP($A203,'0.Productos'!$A$3:$GG$587,'0.Productos'!BB$1+1,0),"")</f>
        <v/>
      </c>
      <c r="K203" s="133" t="str">
        <f>IF($A203&lt;&gt;0,VLOOKUP($A203,'0.Productos'!$A$3:$GG$587,'0.Productos'!BC$1+1,0),"")</f>
        <v/>
      </c>
      <c r="L203" s="133" t="str">
        <f>IF($A203&lt;&gt;0,VLOOKUP($A203,'0.Productos'!$A$3:$GG$587,'0.Productos'!BD$1+1,0),"")</f>
        <v/>
      </c>
      <c r="M203" s="133" t="str">
        <f>IF($A203&lt;&gt;0,VLOOKUP($A203,'0.Productos'!$A$3:$GG$587,'0.Productos'!BE$1+1,0),"")</f>
        <v/>
      </c>
      <c r="N203" s="133" t="str">
        <f>IF($A203&lt;&gt;0,VLOOKUP($A203,'0.Productos'!$A$3:$GG$587,'0.Productos'!BF$1+1,0),"")</f>
        <v/>
      </c>
      <c r="O203" s="133" t="str">
        <f>IF($A203&lt;&gt;0,VLOOKUP($A203,'0.Productos'!$A$3:$GG$587,'0.Productos'!BG$1+1,0),"")</f>
        <v/>
      </c>
      <c r="P203" s="133" t="str">
        <f>IF($A203&lt;&gt;0,VLOOKUP($A203,'0.Productos'!$A$3:$GG$587,'0.Productos'!BH$1+1,0),"")</f>
        <v/>
      </c>
      <c r="Q203" s="133" t="str">
        <f>IF($A203&lt;&gt;0,VLOOKUP($A203,'0.Productos'!$A$3:$GG$587,'0.Productos'!BI$1+1,0),"")</f>
        <v/>
      </c>
      <c r="R203" s="133" t="str">
        <f>IF($A203&lt;&gt;0,VLOOKUP($A203,'0.Productos'!$A$3:$GG$587,'0.Productos'!BJ$1+1,0),"")</f>
        <v/>
      </c>
      <c r="S203" s="133" t="str">
        <f>IF($A203&lt;&gt;0,VLOOKUP($A203,'0.Productos'!$A$3:$GG$587,'0.Productos'!BK$1+1,0),"")</f>
        <v/>
      </c>
      <c r="T203" s="133" t="str">
        <f>IF($A203&lt;&gt;0,VLOOKUP($A203,'0.Productos'!$A$3:$GG$587,'0.Productos'!BL$1+1,0),"")</f>
        <v/>
      </c>
      <c r="U203" s="133" t="str">
        <f>IF($A203&lt;&gt;0,VLOOKUP($A203,'0.Productos'!$A$3:$GG$587,'0.Productos'!BM$1+1,0),"")</f>
        <v/>
      </c>
      <c r="V203" s="133" t="str">
        <f>IF($A203&lt;&gt;0,VLOOKUP($A203,'0.Productos'!$A$3:$GG$587,'0.Productos'!BN$1+1,0),"")</f>
        <v/>
      </c>
      <c r="W203" s="133" t="str">
        <f>IF($A203&lt;&gt;0,VLOOKUP($A203,'0.Productos'!$A$3:$GG$587,'0.Productos'!BO$1+1,0),"")</f>
        <v/>
      </c>
      <c r="X203" s="133" t="str">
        <f>IF($A203&lt;&gt;0,VLOOKUP($A203,'0.Productos'!$A$3:$GG$587,'0.Productos'!BP$1+1,0),"")</f>
        <v/>
      </c>
      <c r="Y203" s="133" t="str">
        <f>IF($A203&lt;&gt;0,VLOOKUP($A203,'0.Productos'!$A$3:$GG$587,'0.Productos'!BQ$1+1,0),"")</f>
        <v/>
      </c>
      <c r="Z203" s="133" t="str">
        <f>IF($A203&lt;&gt;0,VLOOKUP($A203,'0.Productos'!$A$3:$GG$587,'0.Productos'!BR$1+1,0),"")</f>
        <v/>
      </c>
      <c r="AA203" s="133" t="str">
        <f>IF($A203&lt;&gt;0,VLOOKUP($A203,'0.Productos'!$A$3:$GG$587,'0.Productos'!BS$1+1,0),"")</f>
        <v/>
      </c>
      <c r="AB203" s="133" t="str">
        <f>IF($A203&lt;&gt;0,VLOOKUP($A203,'0.Productos'!$A$3:$GG$587,'0.Productos'!BT$1+1,0),"")</f>
        <v/>
      </c>
      <c r="AC203" s="133" t="str">
        <f>IF($A203&lt;&gt;0,VLOOKUP($A203,'0.Productos'!$A$3:$GG$587,'0.Productos'!BU$1+1,0),"")</f>
        <v/>
      </c>
      <c r="AD203" s="133" t="str">
        <f>IF($A203&lt;&gt;0,VLOOKUP($A203,'0.Productos'!$A$3:$GG$587,'0.Productos'!BV$1+1,0),"")</f>
        <v/>
      </c>
      <c r="AE203" s="133" t="str">
        <f>IF($A203&lt;&gt;0,VLOOKUP($A203,'0.Productos'!$A$3:$GG$587,'0.Productos'!BW$1+1,0),"")</f>
        <v/>
      </c>
      <c r="AF203" s="133" t="str">
        <f>IF($A203&lt;&gt;0,VLOOKUP($A203,'0.Productos'!$A$3:$GG$587,'0.Productos'!BX$1+1,0),"")</f>
        <v/>
      </c>
      <c r="AG203" s="133" t="str">
        <f>IF($A203&lt;&gt;0,VLOOKUP($A203,'0.Productos'!$A$3:$GG$587,'0.Productos'!BY$1+1,0),"")</f>
        <v/>
      </c>
      <c r="AH203" s="133" t="str">
        <f>IF($A203&lt;&gt;0,VLOOKUP($A203,'0.Productos'!$A$3:$GG$587,'0.Productos'!BZ$1+1,0),"")</f>
        <v/>
      </c>
      <c r="AI203" s="133" t="str">
        <f>IF($A203&lt;&gt;0,VLOOKUP($A203,'0.Productos'!$A$3:$GG$587,'0.Productos'!CA$1+1,0),"")</f>
        <v/>
      </c>
      <c r="AJ203" s="133" t="str">
        <f>IF($A203&lt;&gt;0,VLOOKUP($A203,'0.Productos'!$A$3:$GG$587,'0.Productos'!CB$1+1,0),"")</f>
        <v/>
      </c>
      <c r="AK203" s="133" t="str">
        <f>IF($A203&lt;&gt;0,VLOOKUP($A203,'0.Productos'!$A$3:$GG$587,'0.Productos'!CC$1+1,0),"")</f>
        <v/>
      </c>
      <c r="AL203" s="133" t="str">
        <f>IF($A203&lt;&gt;0,VLOOKUP($A203,'0.Productos'!$A$3:$GG$587,'0.Productos'!CD$1+1,0),"")</f>
        <v/>
      </c>
      <c r="AM203" s="133" t="str">
        <f>IF($A203&lt;&gt;0,VLOOKUP($A203,'0.Productos'!$A$3:$GG$587,'0.Productos'!CE$1+1,0),"")</f>
        <v/>
      </c>
      <c r="AN203" s="133" t="str">
        <f>IF($A203&lt;&gt;0,VLOOKUP($A203,'0.Productos'!$A$3:$GG$587,'0.Productos'!CF$1+1,0),"")</f>
        <v/>
      </c>
      <c r="AO203" s="133" t="str">
        <f>IF($A203&lt;&gt;0,VLOOKUP($A203,'0.Productos'!$A$3:$GG$587,'0.Productos'!CG$1+1,0),"")</f>
        <v/>
      </c>
      <c r="AP203" s="133" t="str">
        <f>IF($A203&lt;&gt;0,VLOOKUP($A203,'0.Productos'!$A$3:$GG$587,'0.Productos'!CH$1+1,0),"")</f>
        <v/>
      </c>
      <c r="AQ203" s="133" t="str">
        <f>IF($A203&lt;&gt;0,VLOOKUP($A203,'0.Productos'!$A$3:$GG$587,'0.Productos'!CI$1+1,0),"")</f>
        <v/>
      </c>
      <c r="AR203" s="133" t="str">
        <f>IF($A203&lt;&gt;0,VLOOKUP($A203,'0.Productos'!$A$3:$GG$587,'0.Productos'!CJ$1+1,0),"")</f>
        <v/>
      </c>
      <c r="AS203" s="133" t="str">
        <f>IF($A203&lt;&gt;0,VLOOKUP($A203,'0.Productos'!$A$3:$GG$587,'0.Productos'!CK$1+1,0),"")</f>
        <v/>
      </c>
      <c r="AT203" s="133" t="str">
        <f>IF($A203&lt;&gt;0,VLOOKUP($A203,'0.Productos'!$A$3:$GG$587,'0.Productos'!CL$1+1,0),"")</f>
        <v/>
      </c>
      <c r="AU203" s="133" t="str">
        <f>IF($A203&lt;&gt;0,VLOOKUP($A203,'0.Productos'!$A$3:$GG$587,'0.Productos'!CM$1+1,0),"")</f>
        <v/>
      </c>
      <c r="AV203" s="133" t="str">
        <f>IF($A203&lt;&gt;0,VLOOKUP($A203,'0.Productos'!$A$3:$GG$587,'0.Productos'!CN$1+1,0),"")</f>
        <v/>
      </c>
      <c r="AW203" s="133" t="str">
        <f>IF($A203&lt;&gt;0,VLOOKUP($A203,'0.Productos'!$A$3:$GG$587,'0.Productos'!CO$1+1,0),"")</f>
        <v/>
      </c>
      <c r="AX203" s="133" t="str">
        <f>IF($A203&lt;&gt;0,VLOOKUP($A203,'0.Productos'!$A$3:$GG$587,'0.Productos'!CP$1+1,0),"")</f>
        <v/>
      </c>
      <c r="AY203" s="133" t="str">
        <f>IF($A203&lt;&gt;0,VLOOKUP($A203,'0.Productos'!$A$3:$GG$587,'0.Productos'!CQ$1+1,0),"")</f>
        <v/>
      </c>
      <c r="AZ203" s="133" t="str">
        <f>IF($A203&lt;&gt;0,VLOOKUP($A203,'0.Productos'!$A$3:$GG$587,'0.Productos'!CR$1+1,0),"")</f>
        <v/>
      </c>
      <c r="BA203" s="133" t="str">
        <f>IF($A203&lt;&gt;0,VLOOKUP($A203,'0.Productos'!$A$3:$GG$587,'0.Productos'!CS$1+1,0),"")</f>
        <v/>
      </c>
      <c r="BB203" s="133" t="str">
        <f>IF($A203&lt;&gt;0,VLOOKUP($A203,'0.Productos'!$A$3:$GG$587,'0.Productos'!CT$1+1,0),"")</f>
        <v/>
      </c>
      <c r="BC203" s="133" t="str">
        <f>IF($A203&lt;&gt;0,VLOOKUP($A203,'0.Productos'!$A$3:$GG$587,'0.Productos'!CU$1+1,0),"")</f>
        <v/>
      </c>
      <c r="BD203" s="133" t="str">
        <f>IF($A203&lt;&gt;0,VLOOKUP($A203,'0.Productos'!$A$3:$GG$587,'0.Productos'!CV$1+1,0),"")</f>
        <v/>
      </c>
      <c r="BE203" s="133" t="str">
        <f>IF($A203&lt;&gt;0,VLOOKUP($A203,'0.Productos'!$A$3:$GG$587,'0.Productos'!CW$1+1,0),"")</f>
        <v/>
      </c>
      <c r="BF203" s="133" t="str">
        <f>IF($A203&lt;&gt;0,VLOOKUP($A203,'0.Productos'!$A$3:$GG$587,'0.Productos'!CX$1+1,0),"")</f>
        <v/>
      </c>
      <c r="BG203" s="133" t="str">
        <f>IF($A203&lt;&gt;0,VLOOKUP($A203,'0.Productos'!$A$3:$GG$587,'0.Productos'!CY$1+1,0),"")</f>
        <v/>
      </c>
      <c r="BH203" s="133" t="str">
        <f>IF($A203&lt;&gt;0,VLOOKUP($A203,'0.Productos'!$A$3:$GG$587,'0.Productos'!CZ$1+1,0),"")</f>
        <v/>
      </c>
      <c r="BI203" s="133" t="str">
        <f>IF($A203&lt;&gt;0,VLOOKUP($A203,'0.Productos'!$A$3:$GG$587,'0.Productos'!DA$1+1,0),"")</f>
        <v/>
      </c>
      <c r="BJ203" s="133" t="str">
        <f>IF($A203&lt;&gt;0,VLOOKUP($A203,'0.Productos'!$A$3:$GG$587,'0.Productos'!DB$1+1,0),"")</f>
        <v/>
      </c>
      <c r="BK203" s="133" t="str">
        <f>IF($A203&lt;&gt;0,VLOOKUP($A203,'0.Productos'!$A$3:$GG$587,'0.Productos'!DC$1+1,0),"")</f>
        <v/>
      </c>
      <c r="BL203" s="133" t="str">
        <f>IF($A203&lt;&gt;0,VLOOKUP($A203,'0.Productos'!$A$3:$GG$587,'0.Productos'!DD$1+1,0),"")</f>
        <v/>
      </c>
      <c r="BM203" s="133" t="str">
        <f>IF($A203&lt;&gt;0,VLOOKUP($A203,'0.Productos'!$A$3:$GG$587,'0.Productos'!DE$1+1,0),"")</f>
        <v/>
      </c>
      <c r="BN203" s="133" t="str">
        <f>IF($A203&lt;&gt;0,VLOOKUP($A203,'0.Productos'!$A$3:$GG$587,'0.Productos'!DF$1+1,0),"")</f>
        <v/>
      </c>
      <c r="BO203" s="133" t="str">
        <f>IF($A203&lt;&gt;0,VLOOKUP($A203,'0.Productos'!$A$3:$GG$587,'0.Productos'!DG$1+1,0),"")</f>
        <v/>
      </c>
      <c r="BP203" s="133" t="str">
        <f>IF($A203&lt;&gt;0,VLOOKUP($A203,'0.Productos'!$A$3:$GG$587,'0.Productos'!DH$1+1,0),"")</f>
        <v/>
      </c>
      <c r="BQ203" s="133" t="str">
        <f>IF($A203&lt;&gt;0,VLOOKUP($A203,'0.Productos'!$A$3:$GG$587,'0.Productos'!DI$1+1,0),"")</f>
        <v/>
      </c>
      <c r="BR203" s="133" t="str">
        <f>IF($A203&lt;&gt;0,VLOOKUP($A203,'0.Productos'!$A$3:$GG$587,'0.Productos'!DJ$1+1,0),"")</f>
        <v/>
      </c>
      <c r="BS203" s="133" t="str">
        <f>IF($A203&lt;&gt;0,VLOOKUP($A203,'0.Productos'!$A$3:$GG$587,'0.Productos'!DK$1+1,0),"")</f>
        <v/>
      </c>
      <c r="BT203" s="133" t="str">
        <f>IF($A203&lt;&gt;0,VLOOKUP($A203,'0.Productos'!$A$3:$GG$587,'0.Productos'!DL$1+1,0),"")</f>
        <v/>
      </c>
    </row>
    <row r="204" spans="1:72" x14ac:dyDescent="0.25">
      <c r="A204" s="17">
        <f>'0.Consolidado general'!A204</f>
        <v>0</v>
      </c>
      <c r="B204" s="133" t="str">
        <f>IF($A204&lt;&gt;0,VLOOKUP($A204,'0.Productos'!$A$3:$GG$587,'0.Productos'!AT$1+1,0),"")</f>
        <v/>
      </c>
      <c r="C204" s="133" t="str">
        <f>IF($A204&lt;&gt;0,VLOOKUP($A204,'0.Productos'!$A$3:$GG$587,'0.Productos'!AU$1+1,0),"")</f>
        <v/>
      </c>
      <c r="D204" s="133" t="str">
        <f>IF($A204&lt;&gt;0,VLOOKUP($A204,'0.Productos'!$A$3:$GG$587,'0.Productos'!AV$1+1,0),"")</f>
        <v/>
      </c>
      <c r="E204" s="133" t="str">
        <f>IF($A204&lt;&gt;0,VLOOKUP($A204,'0.Productos'!$A$3:$GG$587,'0.Productos'!AW$1+1,0),"")</f>
        <v/>
      </c>
      <c r="F204" s="133" t="str">
        <f>IF($A204&lt;&gt;0,VLOOKUP($A204,'0.Productos'!$A$3:$GG$587,'0.Productos'!AX$1+1,0),"")</f>
        <v/>
      </c>
      <c r="G204" s="133" t="str">
        <f>IF($A204&lt;&gt;0,VLOOKUP($A204,'0.Productos'!$A$3:$GG$587,'0.Productos'!AY$1+1,0),"")</f>
        <v/>
      </c>
      <c r="H204" s="133" t="str">
        <f>IF($A204&lt;&gt;0,VLOOKUP($A204,'0.Productos'!$A$3:$GG$587,'0.Productos'!AZ$1+1,0),"")</f>
        <v/>
      </c>
      <c r="I204" s="133" t="str">
        <f>IF($A204&lt;&gt;0,VLOOKUP($A204,'0.Productos'!$A$3:$GG$587,'0.Productos'!BA$1+1,0),"")</f>
        <v/>
      </c>
      <c r="J204" s="133" t="str">
        <f>IF($A204&lt;&gt;0,VLOOKUP($A204,'0.Productos'!$A$3:$GG$587,'0.Productos'!BB$1+1,0),"")</f>
        <v/>
      </c>
      <c r="K204" s="133" t="str">
        <f>IF($A204&lt;&gt;0,VLOOKUP($A204,'0.Productos'!$A$3:$GG$587,'0.Productos'!BC$1+1,0),"")</f>
        <v/>
      </c>
      <c r="L204" s="133" t="str">
        <f>IF($A204&lt;&gt;0,VLOOKUP($A204,'0.Productos'!$A$3:$GG$587,'0.Productos'!BD$1+1,0),"")</f>
        <v/>
      </c>
      <c r="M204" s="133" t="str">
        <f>IF($A204&lt;&gt;0,VLOOKUP($A204,'0.Productos'!$A$3:$GG$587,'0.Productos'!BE$1+1,0),"")</f>
        <v/>
      </c>
      <c r="N204" s="133" t="str">
        <f>IF($A204&lt;&gt;0,VLOOKUP($A204,'0.Productos'!$A$3:$GG$587,'0.Productos'!BF$1+1,0),"")</f>
        <v/>
      </c>
      <c r="O204" s="133" t="str">
        <f>IF($A204&lt;&gt;0,VLOOKUP($A204,'0.Productos'!$A$3:$GG$587,'0.Productos'!BG$1+1,0),"")</f>
        <v/>
      </c>
      <c r="P204" s="133" t="str">
        <f>IF($A204&lt;&gt;0,VLOOKUP($A204,'0.Productos'!$A$3:$GG$587,'0.Productos'!BH$1+1,0),"")</f>
        <v/>
      </c>
      <c r="Q204" s="133" t="str">
        <f>IF($A204&lt;&gt;0,VLOOKUP($A204,'0.Productos'!$A$3:$GG$587,'0.Productos'!BI$1+1,0),"")</f>
        <v/>
      </c>
      <c r="R204" s="133" t="str">
        <f>IF($A204&lt;&gt;0,VLOOKUP($A204,'0.Productos'!$A$3:$GG$587,'0.Productos'!BJ$1+1,0),"")</f>
        <v/>
      </c>
      <c r="S204" s="133" t="str">
        <f>IF($A204&lt;&gt;0,VLOOKUP($A204,'0.Productos'!$A$3:$GG$587,'0.Productos'!BK$1+1,0),"")</f>
        <v/>
      </c>
      <c r="T204" s="133" t="str">
        <f>IF($A204&lt;&gt;0,VLOOKUP($A204,'0.Productos'!$A$3:$GG$587,'0.Productos'!BL$1+1,0),"")</f>
        <v/>
      </c>
      <c r="U204" s="133" t="str">
        <f>IF($A204&lt;&gt;0,VLOOKUP($A204,'0.Productos'!$A$3:$GG$587,'0.Productos'!BM$1+1,0),"")</f>
        <v/>
      </c>
      <c r="V204" s="133" t="str">
        <f>IF($A204&lt;&gt;0,VLOOKUP($A204,'0.Productos'!$A$3:$GG$587,'0.Productos'!BN$1+1,0),"")</f>
        <v/>
      </c>
      <c r="W204" s="133" t="str">
        <f>IF($A204&lt;&gt;0,VLOOKUP($A204,'0.Productos'!$A$3:$GG$587,'0.Productos'!BO$1+1,0),"")</f>
        <v/>
      </c>
      <c r="X204" s="133" t="str">
        <f>IF($A204&lt;&gt;0,VLOOKUP($A204,'0.Productos'!$A$3:$GG$587,'0.Productos'!BP$1+1,0),"")</f>
        <v/>
      </c>
      <c r="Y204" s="133" t="str">
        <f>IF($A204&lt;&gt;0,VLOOKUP($A204,'0.Productos'!$A$3:$GG$587,'0.Productos'!BQ$1+1,0),"")</f>
        <v/>
      </c>
      <c r="Z204" s="133" t="str">
        <f>IF($A204&lt;&gt;0,VLOOKUP($A204,'0.Productos'!$A$3:$GG$587,'0.Productos'!BR$1+1,0),"")</f>
        <v/>
      </c>
      <c r="AA204" s="133" t="str">
        <f>IF($A204&lt;&gt;0,VLOOKUP($A204,'0.Productos'!$A$3:$GG$587,'0.Productos'!BS$1+1,0),"")</f>
        <v/>
      </c>
      <c r="AB204" s="133" t="str">
        <f>IF($A204&lt;&gt;0,VLOOKUP($A204,'0.Productos'!$A$3:$GG$587,'0.Productos'!BT$1+1,0),"")</f>
        <v/>
      </c>
      <c r="AC204" s="133" t="str">
        <f>IF($A204&lt;&gt;0,VLOOKUP($A204,'0.Productos'!$A$3:$GG$587,'0.Productos'!BU$1+1,0),"")</f>
        <v/>
      </c>
      <c r="AD204" s="133" t="str">
        <f>IF($A204&lt;&gt;0,VLOOKUP($A204,'0.Productos'!$A$3:$GG$587,'0.Productos'!BV$1+1,0),"")</f>
        <v/>
      </c>
      <c r="AE204" s="133" t="str">
        <f>IF($A204&lt;&gt;0,VLOOKUP($A204,'0.Productos'!$A$3:$GG$587,'0.Productos'!BW$1+1,0),"")</f>
        <v/>
      </c>
      <c r="AF204" s="133" t="str">
        <f>IF($A204&lt;&gt;0,VLOOKUP($A204,'0.Productos'!$A$3:$GG$587,'0.Productos'!BX$1+1,0),"")</f>
        <v/>
      </c>
      <c r="AG204" s="133" t="str">
        <f>IF($A204&lt;&gt;0,VLOOKUP($A204,'0.Productos'!$A$3:$GG$587,'0.Productos'!BY$1+1,0),"")</f>
        <v/>
      </c>
      <c r="AH204" s="133" t="str">
        <f>IF($A204&lt;&gt;0,VLOOKUP($A204,'0.Productos'!$A$3:$GG$587,'0.Productos'!BZ$1+1,0),"")</f>
        <v/>
      </c>
      <c r="AI204" s="133" t="str">
        <f>IF($A204&lt;&gt;0,VLOOKUP($A204,'0.Productos'!$A$3:$GG$587,'0.Productos'!CA$1+1,0),"")</f>
        <v/>
      </c>
      <c r="AJ204" s="133" t="str">
        <f>IF($A204&lt;&gt;0,VLOOKUP($A204,'0.Productos'!$A$3:$GG$587,'0.Productos'!CB$1+1,0),"")</f>
        <v/>
      </c>
      <c r="AK204" s="133" t="str">
        <f>IF($A204&lt;&gt;0,VLOOKUP($A204,'0.Productos'!$A$3:$GG$587,'0.Productos'!CC$1+1,0),"")</f>
        <v/>
      </c>
      <c r="AL204" s="133" t="str">
        <f>IF($A204&lt;&gt;0,VLOOKUP($A204,'0.Productos'!$A$3:$GG$587,'0.Productos'!CD$1+1,0),"")</f>
        <v/>
      </c>
      <c r="AM204" s="133" t="str">
        <f>IF($A204&lt;&gt;0,VLOOKUP($A204,'0.Productos'!$A$3:$GG$587,'0.Productos'!CE$1+1,0),"")</f>
        <v/>
      </c>
      <c r="AN204" s="133" t="str">
        <f>IF($A204&lt;&gt;0,VLOOKUP($A204,'0.Productos'!$A$3:$GG$587,'0.Productos'!CF$1+1,0),"")</f>
        <v/>
      </c>
      <c r="AO204" s="133" t="str">
        <f>IF($A204&lt;&gt;0,VLOOKUP($A204,'0.Productos'!$A$3:$GG$587,'0.Productos'!CG$1+1,0),"")</f>
        <v/>
      </c>
      <c r="AP204" s="133" t="str">
        <f>IF($A204&lt;&gt;0,VLOOKUP($A204,'0.Productos'!$A$3:$GG$587,'0.Productos'!CH$1+1,0),"")</f>
        <v/>
      </c>
      <c r="AQ204" s="133" t="str">
        <f>IF($A204&lt;&gt;0,VLOOKUP($A204,'0.Productos'!$A$3:$GG$587,'0.Productos'!CI$1+1,0),"")</f>
        <v/>
      </c>
      <c r="AR204" s="133" t="str">
        <f>IF($A204&lt;&gt;0,VLOOKUP($A204,'0.Productos'!$A$3:$GG$587,'0.Productos'!CJ$1+1,0),"")</f>
        <v/>
      </c>
      <c r="AS204" s="133" t="str">
        <f>IF($A204&lt;&gt;0,VLOOKUP($A204,'0.Productos'!$A$3:$GG$587,'0.Productos'!CK$1+1,0),"")</f>
        <v/>
      </c>
      <c r="AT204" s="133" t="str">
        <f>IF($A204&lt;&gt;0,VLOOKUP($A204,'0.Productos'!$A$3:$GG$587,'0.Productos'!CL$1+1,0),"")</f>
        <v/>
      </c>
      <c r="AU204" s="133" t="str">
        <f>IF($A204&lt;&gt;0,VLOOKUP($A204,'0.Productos'!$A$3:$GG$587,'0.Productos'!CM$1+1,0),"")</f>
        <v/>
      </c>
      <c r="AV204" s="133" t="str">
        <f>IF($A204&lt;&gt;0,VLOOKUP($A204,'0.Productos'!$A$3:$GG$587,'0.Productos'!CN$1+1,0),"")</f>
        <v/>
      </c>
      <c r="AW204" s="133" t="str">
        <f>IF($A204&lt;&gt;0,VLOOKUP($A204,'0.Productos'!$A$3:$GG$587,'0.Productos'!CO$1+1,0),"")</f>
        <v/>
      </c>
      <c r="AX204" s="133" t="str">
        <f>IF($A204&lt;&gt;0,VLOOKUP($A204,'0.Productos'!$A$3:$GG$587,'0.Productos'!CP$1+1,0),"")</f>
        <v/>
      </c>
      <c r="AY204" s="133" t="str">
        <f>IF($A204&lt;&gt;0,VLOOKUP($A204,'0.Productos'!$A$3:$GG$587,'0.Productos'!CQ$1+1,0),"")</f>
        <v/>
      </c>
      <c r="AZ204" s="133" t="str">
        <f>IF($A204&lt;&gt;0,VLOOKUP($A204,'0.Productos'!$A$3:$GG$587,'0.Productos'!CR$1+1,0),"")</f>
        <v/>
      </c>
      <c r="BA204" s="133" t="str">
        <f>IF($A204&lt;&gt;0,VLOOKUP($A204,'0.Productos'!$A$3:$GG$587,'0.Productos'!CS$1+1,0),"")</f>
        <v/>
      </c>
      <c r="BB204" s="133" t="str">
        <f>IF($A204&lt;&gt;0,VLOOKUP($A204,'0.Productos'!$A$3:$GG$587,'0.Productos'!CT$1+1,0),"")</f>
        <v/>
      </c>
      <c r="BC204" s="133" t="str">
        <f>IF($A204&lt;&gt;0,VLOOKUP($A204,'0.Productos'!$A$3:$GG$587,'0.Productos'!CU$1+1,0),"")</f>
        <v/>
      </c>
      <c r="BD204" s="133" t="str">
        <f>IF($A204&lt;&gt;0,VLOOKUP($A204,'0.Productos'!$A$3:$GG$587,'0.Productos'!CV$1+1,0),"")</f>
        <v/>
      </c>
      <c r="BE204" s="133" t="str">
        <f>IF($A204&lt;&gt;0,VLOOKUP($A204,'0.Productos'!$A$3:$GG$587,'0.Productos'!CW$1+1,0),"")</f>
        <v/>
      </c>
      <c r="BF204" s="133" t="str">
        <f>IF($A204&lt;&gt;0,VLOOKUP($A204,'0.Productos'!$A$3:$GG$587,'0.Productos'!CX$1+1,0),"")</f>
        <v/>
      </c>
      <c r="BG204" s="133" t="str">
        <f>IF($A204&lt;&gt;0,VLOOKUP($A204,'0.Productos'!$A$3:$GG$587,'0.Productos'!CY$1+1,0),"")</f>
        <v/>
      </c>
      <c r="BH204" s="133" t="str">
        <f>IF($A204&lt;&gt;0,VLOOKUP($A204,'0.Productos'!$A$3:$GG$587,'0.Productos'!CZ$1+1,0),"")</f>
        <v/>
      </c>
      <c r="BI204" s="133" t="str">
        <f>IF($A204&lt;&gt;0,VLOOKUP($A204,'0.Productos'!$A$3:$GG$587,'0.Productos'!DA$1+1,0),"")</f>
        <v/>
      </c>
      <c r="BJ204" s="133" t="str">
        <f>IF($A204&lt;&gt;0,VLOOKUP($A204,'0.Productos'!$A$3:$GG$587,'0.Productos'!DB$1+1,0),"")</f>
        <v/>
      </c>
      <c r="BK204" s="133" t="str">
        <f>IF($A204&lt;&gt;0,VLOOKUP($A204,'0.Productos'!$A$3:$GG$587,'0.Productos'!DC$1+1,0),"")</f>
        <v/>
      </c>
      <c r="BL204" s="133" t="str">
        <f>IF($A204&lt;&gt;0,VLOOKUP($A204,'0.Productos'!$A$3:$GG$587,'0.Productos'!DD$1+1,0),"")</f>
        <v/>
      </c>
      <c r="BM204" s="133" t="str">
        <f>IF($A204&lt;&gt;0,VLOOKUP($A204,'0.Productos'!$A$3:$GG$587,'0.Productos'!DE$1+1,0),"")</f>
        <v/>
      </c>
      <c r="BN204" s="133" t="str">
        <f>IF($A204&lt;&gt;0,VLOOKUP($A204,'0.Productos'!$A$3:$GG$587,'0.Productos'!DF$1+1,0),"")</f>
        <v/>
      </c>
      <c r="BO204" s="133" t="str">
        <f>IF($A204&lt;&gt;0,VLOOKUP($A204,'0.Productos'!$A$3:$GG$587,'0.Productos'!DG$1+1,0),"")</f>
        <v/>
      </c>
      <c r="BP204" s="133" t="str">
        <f>IF($A204&lt;&gt;0,VLOOKUP($A204,'0.Productos'!$A$3:$GG$587,'0.Productos'!DH$1+1,0),"")</f>
        <v/>
      </c>
      <c r="BQ204" s="133" t="str">
        <f>IF($A204&lt;&gt;0,VLOOKUP($A204,'0.Productos'!$A$3:$GG$587,'0.Productos'!DI$1+1,0),"")</f>
        <v/>
      </c>
      <c r="BR204" s="133" t="str">
        <f>IF($A204&lt;&gt;0,VLOOKUP($A204,'0.Productos'!$A$3:$GG$587,'0.Productos'!DJ$1+1,0),"")</f>
        <v/>
      </c>
      <c r="BS204" s="133" t="str">
        <f>IF($A204&lt;&gt;0,VLOOKUP($A204,'0.Productos'!$A$3:$GG$587,'0.Productos'!DK$1+1,0),"")</f>
        <v/>
      </c>
      <c r="BT204" s="133" t="str">
        <f>IF($A204&lt;&gt;0,VLOOKUP($A204,'0.Productos'!$A$3:$GG$587,'0.Productos'!DL$1+1,0),"")</f>
        <v/>
      </c>
    </row>
    <row r="205" spans="1:72" x14ac:dyDescent="0.25">
      <c r="A205" s="17">
        <f>'0.Consolidado general'!A205</f>
        <v>0</v>
      </c>
      <c r="B205" s="133" t="str">
        <f>IF($A205&lt;&gt;0,VLOOKUP($A205,'0.Productos'!$A$3:$GG$587,'0.Productos'!AT$1+1,0),"")</f>
        <v/>
      </c>
      <c r="C205" s="133" t="str">
        <f>IF($A205&lt;&gt;0,VLOOKUP($A205,'0.Productos'!$A$3:$GG$587,'0.Productos'!AU$1+1,0),"")</f>
        <v/>
      </c>
      <c r="D205" s="133" t="str">
        <f>IF($A205&lt;&gt;0,VLOOKUP($A205,'0.Productos'!$A$3:$GG$587,'0.Productos'!AV$1+1,0),"")</f>
        <v/>
      </c>
      <c r="E205" s="133" t="str">
        <f>IF($A205&lt;&gt;0,VLOOKUP($A205,'0.Productos'!$A$3:$GG$587,'0.Productos'!AW$1+1,0),"")</f>
        <v/>
      </c>
      <c r="F205" s="133" t="str">
        <f>IF($A205&lt;&gt;0,VLOOKUP($A205,'0.Productos'!$A$3:$GG$587,'0.Productos'!AX$1+1,0),"")</f>
        <v/>
      </c>
      <c r="G205" s="133" t="str">
        <f>IF($A205&lt;&gt;0,VLOOKUP($A205,'0.Productos'!$A$3:$GG$587,'0.Productos'!AY$1+1,0),"")</f>
        <v/>
      </c>
      <c r="H205" s="133" t="str">
        <f>IF($A205&lt;&gt;0,VLOOKUP($A205,'0.Productos'!$A$3:$GG$587,'0.Productos'!AZ$1+1,0),"")</f>
        <v/>
      </c>
      <c r="I205" s="133" t="str">
        <f>IF($A205&lt;&gt;0,VLOOKUP($A205,'0.Productos'!$A$3:$GG$587,'0.Productos'!BA$1+1,0),"")</f>
        <v/>
      </c>
      <c r="J205" s="133" t="str">
        <f>IF($A205&lt;&gt;0,VLOOKUP($A205,'0.Productos'!$A$3:$GG$587,'0.Productos'!BB$1+1,0),"")</f>
        <v/>
      </c>
      <c r="K205" s="133" t="str">
        <f>IF($A205&lt;&gt;0,VLOOKUP($A205,'0.Productos'!$A$3:$GG$587,'0.Productos'!BC$1+1,0),"")</f>
        <v/>
      </c>
      <c r="L205" s="133" t="str">
        <f>IF($A205&lt;&gt;0,VLOOKUP($A205,'0.Productos'!$A$3:$GG$587,'0.Productos'!BD$1+1,0),"")</f>
        <v/>
      </c>
      <c r="M205" s="133" t="str">
        <f>IF($A205&lt;&gt;0,VLOOKUP($A205,'0.Productos'!$A$3:$GG$587,'0.Productos'!BE$1+1,0),"")</f>
        <v/>
      </c>
      <c r="N205" s="133" t="str">
        <f>IF($A205&lt;&gt;0,VLOOKUP($A205,'0.Productos'!$A$3:$GG$587,'0.Productos'!BF$1+1,0),"")</f>
        <v/>
      </c>
      <c r="O205" s="133" t="str">
        <f>IF($A205&lt;&gt;0,VLOOKUP($A205,'0.Productos'!$A$3:$GG$587,'0.Productos'!BG$1+1,0),"")</f>
        <v/>
      </c>
      <c r="P205" s="133" t="str">
        <f>IF($A205&lt;&gt;0,VLOOKUP($A205,'0.Productos'!$A$3:$GG$587,'0.Productos'!BH$1+1,0),"")</f>
        <v/>
      </c>
      <c r="Q205" s="133" t="str">
        <f>IF($A205&lt;&gt;0,VLOOKUP($A205,'0.Productos'!$A$3:$GG$587,'0.Productos'!BI$1+1,0),"")</f>
        <v/>
      </c>
      <c r="R205" s="133" t="str">
        <f>IF($A205&lt;&gt;0,VLOOKUP($A205,'0.Productos'!$A$3:$GG$587,'0.Productos'!BJ$1+1,0),"")</f>
        <v/>
      </c>
      <c r="S205" s="133" t="str">
        <f>IF($A205&lt;&gt;0,VLOOKUP($A205,'0.Productos'!$A$3:$GG$587,'0.Productos'!BK$1+1,0),"")</f>
        <v/>
      </c>
      <c r="T205" s="133" t="str">
        <f>IF($A205&lt;&gt;0,VLOOKUP($A205,'0.Productos'!$A$3:$GG$587,'0.Productos'!BL$1+1,0),"")</f>
        <v/>
      </c>
      <c r="U205" s="133" t="str">
        <f>IF($A205&lt;&gt;0,VLOOKUP($A205,'0.Productos'!$A$3:$GG$587,'0.Productos'!BM$1+1,0),"")</f>
        <v/>
      </c>
      <c r="V205" s="133" t="str">
        <f>IF($A205&lt;&gt;0,VLOOKUP($A205,'0.Productos'!$A$3:$GG$587,'0.Productos'!BN$1+1,0),"")</f>
        <v/>
      </c>
      <c r="W205" s="133" t="str">
        <f>IF($A205&lt;&gt;0,VLOOKUP($A205,'0.Productos'!$A$3:$GG$587,'0.Productos'!BO$1+1,0),"")</f>
        <v/>
      </c>
      <c r="X205" s="133" t="str">
        <f>IF($A205&lt;&gt;0,VLOOKUP($A205,'0.Productos'!$A$3:$GG$587,'0.Productos'!BP$1+1,0),"")</f>
        <v/>
      </c>
      <c r="Y205" s="133" t="str">
        <f>IF($A205&lt;&gt;0,VLOOKUP($A205,'0.Productos'!$A$3:$GG$587,'0.Productos'!BQ$1+1,0),"")</f>
        <v/>
      </c>
      <c r="Z205" s="133" t="str">
        <f>IF($A205&lt;&gt;0,VLOOKUP($A205,'0.Productos'!$A$3:$GG$587,'0.Productos'!BR$1+1,0),"")</f>
        <v/>
      </c>
      <c r="AA205" s="133" t="str">
        <f>IF($A205&lt;&gt;0,VLOOKUP($A205,'0.Productos'!$A$3:$GG$587,'0.Productos'!BS$1+1,0),"")</f>
        <v/>
      </c>
      <c r="AB205" s="133" t="str">
        <f>IF($A205&lt;&gt;0,VLOOKUP($A205,'0.Productos'!$A$3:$GG$587,'0.Productos'!BT$1+1,0),"")</f>
        <v/>
      </c>
      <c r="AC205" s="133" t="str">
        <f>IF($A205&lt;&gt;0,VLOOKUP($A205,'0.Productos'!$A$3:$GG$587,'0.Productos'!BU$1+1,0),"")</f>
        <v/>
      </c>
      <c r="AD205" s="133" t="str">
        <f>IF($A205&lt;&gt;0,VLOOKUP($A205,'0.Productos'!$A$3:$GG$587,'0.Productos'!BV$1+1,0),"")</f>
        <v/>
      </c>
      <c r="AE205" s="133" t="str">
        <f>IF($A205&lt;&gt;0,VLOOKUP($A205,'0.Productos'!$A$3:$GG$587,'0.Productos'!BW$1+1,0),"")</f>
        <v/>
      </c>
      <c r="AF205" s="133" t="str">
        <f>IF($A205&lt;&gt;0,VLOOKUP($A205,'0.Productos'!$A$3:$GG$587,'0.Productos'!BX$1+1,0),"")</f>
        <v/>
      </c>
      <c r="AG205" s="133" t="str">
        <f>IF($A205&lt;&gt;0,VLOOKUP($A205,'0.Productos'!$A$3:$GG$587,'0.Productos'!BY$1+1,0),"")</f>
        <v/>
      </c>
      <c r="AH205" s="133" t="str">
        <f>IF($A205&lt;&gt;0,VLOOKUP($A205,'0.Productos'!$A$3:$GG$587,'0.Productos'!BZ$1+1,0),"")</f>
        <v/>
      </c>
      <c r="AI205" s="133" t="str">
        <f>IF($A205&lt;&gt;0,VLOOKUP($A205,'0.Productos'!$A$3:$GG$587,'0.Productos'!CA$1+1,0),"")</f>
        <v/>
      </c>
      <c r="AJ205" s="133" t="str">
        <f>IF($A205&lt;&gt;0,VLOOKUP($A205,'0.Productos'!$A$3:$GG$587,'0.Productos'!CB$1+1,0),"")</f>
        <v/>
      </c>
      <c r="AK205" s="133" t="str">
        <f>IF($A205&lt;&gt;0,VLOOKUP($A205,'0.Productos'!$A$3:$GG$587,'0.Productos'!CC$1+1,0),"")</f>
        <v/>
      </c>
      <c r="AL205" s="133" t="str">
        <f>IF($A205&lt;&gt;0,VLOOKUP($A205,'0.Productos'!$A$3:$GG$587,'0.Productos'!CD$1+1,0),"")</f>
        <v/>
      </c>
      <c r="AM205" s="133" t="str">
        <f>IF($A205&lt;&gt;0,VLOOKUP($A205,'0.Productos'!$A$3:$GG$587,'0.Productos'!CE$1+1,0),"")</f>
        <v/>
      </c>
      <c r="AN205" s="133" t="str">
        <f>IF($A205&lt;&gt;0,VLOOKUP($A205,'0.Productos'!$A$3:$GG$587,'0.Productos'!CF$1+1,0),"")</f>
        <v/>
      </c>
      <c r="AO205" s="133" t="str">
        <f>IF($A205&lt;&gt;0,VLOOKUP($A205,'0.Productos'!$A$3:$GG$587,'0.Productos'!CG$1+1,0),"")</f>
        <v/>
      </c>
      <c r="AP205" s="133" t="str">
        <f>IF($A205&lt;&gt;0,VLOOKUP($A205,'0.Productos'!$A$3:$GG$587,'0.Productos'!CH$1+1,0),"")</f>
        <v/>
      </c>
      <c r="AQ205" s="133" t="str">
        <f>IF($A205&lt;&gt;0,VLOOKUP($A205,'0.Productos'!$A$3:$GG$587,'0.Productos'!CI$1+1,0),"")</f>
        <v/>
      </c>
      <c r="AR205" s="133" t="str">
        <f>IF($A205&lt;&gt;0,VLOOKUP($A205,'0.Productos'!$A$3:$GG$587,'0.Productos'!CJ$1+1,0),"")</f>
        <v/>
      </c>
      <c r="AS205" s="133" t="str">
        <f>IF($A205&lt;&gt;0,VLOOKUP($A205,'0.Productos'!$A$3:$GG$587,'0.Productos'!CK$1+1,0),"")</f>
        <v/>
      </c>
      <c r="AT205" s="133" t="str">
        <f>IF($A205&lt;&gt;0,VLOOKUP($A205,'0.Productos'!$A$3:$GG$587,'0.Productos'!CL$1+1,0),"")</f>
        <v/>
      </c>
      <c r="AU205" s="133" t="str">
        <f>IF($A205&lt;&gt;0,VLOOKUP($A205,'0.Productos'!$A$3:$GG$587,'0.Productos'!CM$1+1,0),"")</f>
        <v/>
      </c>
      <c r="AV205" s="133" t="str">
        <f>IF($A205&lt;&gt;0,VLOOKUP($A205,'0.Productos'!$A$3:$GG$587,'0.Productos'!CN$1+1,0),"")</f>
        <v/>
      </c>
      <c r="AW205" s="133" t="str">
        <f>IF($A205&lt;&gt;0,VLOOKUP($A205,'0.Productos'!$A$3:$GG$587,'0.Productos'!CO$1+1,0),"")</f>
        <v/>
      </c>
      <c r="AX205" s="133" t="str">
        <f>IF($A205&lt;&gt;0,VLOOKUP($A205,'0.Productos'!$A$3:$GG$587,'0.Productos'!CP$1+1,0),"")</f>
        <v/>
      </c>
      <c r="AY205" s="133" t="str">
        <f>IF($A205&lt;&gt;0,VLOOKUP($A205,'0.Productos'!$A$3:$GG$587,'0.Productos'!CQ$1+1,0),"")</f>
        <v/>
      </c>
      <c r="AZ205" s="133" t="str">
        <f>IF($A205&lt;&gt;0,VLOOKUP($A205,'0.Productos'!$A$3:$GG$587,'0.Productos'!CR$1+1,0),"")</f>
        <v/>
      </c>
      <c r="BA205" s="133" t="str">
        <f>IF($A205&lt;&gt;0,VLOOKUP($A205,'0.Productos'!$A$3:$GG$587,'0.Productos'!CS$1+1,0),"")</f>
        <v/>
      </c>
      <c r="BB205" s="133" t="str">
        <f>IF($A205&lt;&gt;0,VLOOKUP($A205,'0.Productos'!$A$3:$GG$587,'0.Productos'!CT$1+1,0),"")</f>
        <v/>
      </c>
      <c r="BC205" s="133" t="str">
        <f>IF($A205&lt;&gt;0,VLOOKUP($A205,'0.Productos'!$A$3:$GG$587,'0.Productos'!CU$1+1,0),"")</f>
        <v/>
      </c>
      <c r="BD205" s="133" t="str">
        <f>IF($A205&lt;&gt;0,VLOOKUP($A205,'0.Productos'!$A$3:$GG$587,'0.Productos'!CV$1+1,0),"")</f>
        <v/>
      </c>
      <c r="BE205" s="133" t="str">
        <f>IF($A205&lt;&gt;0,VLOOKUP($A205,'0.Productos'!$A$3:$GG$587,'0.Productos'!CW$1+1,0),"")</f>
        <v/>
      </c>
      <c r="BF205" s="133" t="str">
        <f>IF($A205&lt;&gt;0,VLOOKUP($A205,'0.Productos'!$A$3:$GG$587,'0.Productos'!CX$1+1,0),"")</f>
        <v/>
      </c>
      <c r="BG205" s="133" t="str">
        <f>IF($A205&lt;&gt;0,VLOOKUP($A205,'0.Productos'!$A$3:$GG$587,'0.Productos'!CY$1+1,0),"")</f>
        <v/>
      </c>
      <c r="BH205" s="133" t="str">
        <f>IF($A205&lt;&gt;0,VLOOKUP($A205,'0.Productos'!$A$3:$GG$587,'0.Productos'!CZ$1+1,0),"")</f>
        <v/>
      </c>
      <c r="BI205" s="133" t="str">
        <f>IF($A205&lt;&gt;0,VLOOKUP($A205,'0.Productos'!$A$3:$GG$587,'0.Productos'!DA$1+1,0),"")</f>
        <v/>
      </c>
      <c r="BJ205" s="133" t="str">
        <f>IF($A205&lt;&gt;0,VLOOKUP($A205,'0.Productos'!$A$3:$GG$587,'0.Productos'!DB$1+1,0),"")</f>
        <v/>
      </c>
      <c r="BK205" s="133" t="str">
        <f>IF($A205&lt;&gt;0,VLOOKUP($A205,'0.Productos'!$A$3:$GG$587,'0.Productos'!DC$1+1,0),"")</f>
        <v/>
      </c>
      <c r="BL205" s="133" t="str">
        <f>IF($A205&lt;&gt;0,VLOOKUP($A205,'0.Productos'!$A$3:$GG$587,'0.Productos'!DD$1+1,0),"")</f>
        <v/>
      </c>
      <c r="BM205" s="133" t="str">
        <f>IF($A205&lt;&gt;0,VLOOKUP($A205,'0.Productos'!$A$3:$GG$587,'0.Productos'!DE$1+1,0),"")</f>
        <v/>
      </c>
      <c r="BN205" s="133" t="str">
        <f>IF($A205&lt;&gt;0,VLOOKUP($A205,'0.Productos'!$A$3:$GG$587,'0.Productos'!DF$1+1,0),"")</f>
        <v/>
      </c>
      <c r="BO205" s="133" t="str">
        <f>IF($A205&lt;&gt;0,VLOOKUP($A205,'0.Productos'!$A$3:$GG$587,'0.Productos'!DG$1+1,0),"")</f>
        <v/>
      </c>
      <c r="BP205" s="133" t="str">
        <f>IF($A205&lt;&gt;0,VLOOKUP($A205,'0.Productos'!$A$3:$GG$587,'0.Productos'!DH$1+1,0),"")</f>
        <v/>
      </c>
      <c r="BQ205" s="133" t="str">
        <f>IF($A205&lt;&gt;0,VLOOKUP($A205,'0.Productos'!$A$3:$GG$587,'0.Productos'!DI$1+1,0),"")</f>
        <v/>
      </c>
      <c r="BR205" s="133" t="str">
        <f>IF($A205&lt;&gt;0,VLOOKUP($A205,'0.Productos'!$A$3:$GG$587,'0.Productos'!DJ$1+1,0),"")</f>
        <v/>
      </c>
      <c r="BS205" s="133" t="str">
        <f>IF($A205&lt;&gt;0,VLOOKUP($A205,'0.Productos'!$A$3:$GG$587,'0.Productos'!DK$1+1,0),"")</f>
        <v/>
      </c>
      <c r="BT205" s="133" t="str">
        <f>IF($A205&lt;&gt;0,VLOOKUP($A205,'0.Productos'!$A$3:$GG$587,'0.Productos'!DL$1+1,0),"")</f>
        <v/>
      </c>
    </row>
    <row r="206" spans="1:72" x14ac:dyDescent="0.25">
      <c r="A206" s="17">
        <f>'0.Consolidado general'!A206</f>
        <v>0</v>
      </c>
      <c r="B206" s="133" t="str">
        <f>IF($A206&lt;&gt;0,VLOOKUP($A206,'0.Productos'!$A$3:$GG$587,'0.Productos'!AT$1+1,0),"")</f>
        <v/>
      </c>
      <c r="C206" s="133" t="str">
        <f>IF($A206&lt;&gt;0,VLOOKUP($A206,'0.Productos'!$A$3:$GG$587,'0.Productos'!AU$1+1,0),"")</f>
        <v/>
      </c>
      <c r="D206" s="133" t="str">
        <f>IF($A206&lt;&gt;0,VLOOKUP($A206,'0.Productos'!$A$3:$GG$587,'0.Productos'!AV$1+1,0),"")</f>
        <v/>
      </c>
      <c r="E206" s="133" t="str">
        <f>IF($A206&lt;&gt;0,VLOOKUP($A206,'0.Productos'!$A$3:$GG$587,'0.Productos'!AW$1+1,0),"")</f>
        <v/>
      </c>
      <c r="F206" s="133" t="str">
        <f>IF($A206&lt;&gt;0,VLOOKUP($A206,'0.Productos'!$A$3:$GG$587,'0.Productos'!AX$1+1,0),"")</f>
        <v/>
      </c>
      <c r="G206" s="133" t="str">
        <f>IF($A206&lt;&gt;0,VLOOKUP($A206,'0.Productos'!$A$3:$GG$587,'0.Productos'!AY$1+1,0),"")</f>
        <v/>
      </c>
      <c r="H206" s="133" t="str">
        <f>IF($A206&lt;&gt;0,VLOOKUP($A206,'0.Productos'!$A$3:$GG$587,'0.Productos'!AZ$1+1,0),"")</f>
        <v/>
      </c>
      <c r="I206" s="133" t="str">
        <f>IF($A206&lt;&gt;0,VLOOKUP($A206,'0.Productos'!$A$3:$GG$587,'0.Productos'!BA$1+1,0),"")</f>
        <v/>
      </c>
      <c r="J206" s="133" t="str">
        <f>IF($A206&lt;&gt;0,VLOOKUP($A206,'0.Productos'!$A$3:$GG$587,'0.Productos'!BB$1+1,0),"")</f>
        <v/>
      </c>
      <c r="K206" s="133" t="str">
        <f>IF($A206&lt;&gt;0,VLOOKUP($A206,'0.Productos'!$A$3:$GG$587,'0.Productos'!BC$1+1,0),"")</f>
        <v/>
      </c>
      <c r="L206" s="133" t="str">
        <f>IF($A206&lt;&gt;0,VLOOKUP($A206,'0.Productos'!$A$3:$GG$587,'0.Productos'!BD$1+1,0),"")</f>
        <v/>
      </c>
      <c r="M206" s="133" t="str">
        <f>IF($A206&lt;&gt;0,VLOOKUP($A206,'0.Productos'!$A$3:$GG$587,'0.Productos'!BE$1+1,0),"")</f>
        <v/>
      </c>
      <c r="N206" s="133" t="str">
        <f>IF($A206&lt;&gt;0,VLOOKUP($A206,'0.Productos'!$A$3:$GG$587,'0.Productos'!BF$1+1,0),"")</f>
        <v/>
      </c>
      <c r="O206" s="133" t="str">
        <f>IF($A206&lt;&gt;0,VLOOKUP($A206,'0.Productos'!$A$3:$GG$587,'0.Productos'!BG$1+1,0),"")</f>
        <v/>
      </c>
      <c r="P206" s="133" t="str">
        <f>IF($A206&lt;&gt;0,VLOOKUP($A206,'0.Productos'!$A$3:$GG$587,'0.Productos'!BH$1+1,0),"")</f>
        <v/>
      </c>
      <c r="Q206" s="133" t="str">
        <f>IF($A206&lt;&gt;0,VLOOKUP($A206,'0.Productos'!$A$3:$GG$587,'0.Productos'!BI$1+1,0),"")</f>
        <v/>
      </c>
      <c r="R206" s="133" t="str">
        <f>IF($A206&lt;&gt;0,VLOOKUP($A206,'0.Productos'!$A$3:$GG$587,'0.Productos'!BJ$1+1,0),"")</f>
        <v/>
      </c>
      <c r="S206" s="133" t="str">
        <f>IF($A206&lt;&gt;0,VLOOKUP($A206,'0.Productos'!$A$3:$GG$587,'0.Productos'!BK$1+1,0),"")</f>
        <v/>
      </c>
      <c r="T206" s="133" t="str">
        <f>IF($A206&lt;&gt;0,VLOOKUP($A206,'0.Productos'!$A$3:$GG$587,'0.Productos'!BL$1+1,0),"")</f>
        <v/>
      </c>
      <c r="U206" s="133" t="str">
        <f>IF($A206&lt;&gt;0,VLOOKUP($A206,'0.Productos'!$A$3:$GG$587,'0.Productos'!BM$1+1,0),"")</f>
        <v/>
      </c>
      <c r="V206" s="133" t="str">
        <f>IF($A206&lt;&gt;0,VLOOKUP($A206,'0.Productos'!$A$3:$GG$587,'0.Productos'!BN$1+1,0),"")</f>
        <v/>
      </c>
      <c r="W206" s="133" t="str">
        <f>IF($A206&lt;&gt;0,VLOOKUP($A206,'0.Productos'!$A$3:$GG$587,'0.Productos'!BO$1+1,0),"")</f>
        <v/>
      </c>
      <c r="X206" s="133" t="str">
        <f>IF($A206&lt;&gt;0,VLOOKUP($A206,'0.Productos'!$A$3:$GG$587,'0.Productos'!BP$1+1,0),"")</f>
        <v/>
      </c>
      <c r="Y206" s="133" t="str">
        <f>IF($A206&lt;&gt;0,VLOOKUP($A206,'0.Productos'!$A$3:$GG$587,'0.Productos'!BQ$1+1,0),"")</f>
        <v/>
      </c>
      <c r="Z206" s="133" t="str">
        <f>IF($A206&lt;&gt;0,VLOOKUP($A206,'0.Productos'!$A$3:$GG$587,'0.Productos'!BR$1+1,0),"")</f>
        <v/>
      </c>
      <c r="AA206" s="133" t="str">
        <f>IF($A206&lt;&gt;0,VLOOKUP($A206,'0.Productos'!$A$3:$GG$587,'0.Productos'!BS$1+1,0),"")</f>
        <v/>
      </c>
      <c r="AB206" s="133" t="str">
        <f>IF($A206&lt;&gt;0,VLOOKUP($A206,'0.Productos'!$A$3:$GG$587,'0.Productos'!BT$1+1,0),"")</f>
        <v/>
      </c>
      <c r="AC206" s="133" t="str">
        <f>IF($A206&lt;&gt;0,VLOOKUP($A206,'0.Productos'!$A$3:$GG$587,'0.Productos'!BU$1+1,0),"")</f>
        <v/>
      </c>
      <c r="AD206" s="133" t="str">
        <f>IF($A206&lt;&gt;0,VLOOKUP($A206,'0.Productos'!$A$3:$GG$587,'0.Productos'!BV$1+1,0),"")</f>
        <v/>
      </c>
      <c r="AE206" s="133" t="str">
        <f>IF($A206&lt;&gt;0,VLOOKUP($A206,'0.Productos'!$A$3:$GG$587,'0.Productos'!BW$1+1,0),"")</f>
        <v/>
      </c>
      <c r="AF206" s="133" t="str">
        <f>IF($A206&lt;&gt;0,VLOOKUP($A206,'0.Productos'!$A$3:$GG$587,'0.Productos'!BX$1+1,0),"")</f>
        <v/>
      </c>
      <c r="AG206" s="133" t="str">
        <f>IF($A206&lt;&gt;0,VLOOKUP($A206,'0.Productos'!$A$3:$GG$587,'0.Productos'!BY$1+1,0),"")</f>
        <v/>
      </c>
      <c r="AH206" s="133" t="str">
        <f>IF($A206&lt;&gt;0,VLOOKUP($A206,'0.Productos'!$A$3:$GG$587,'0.Productos'!BZ$1+1,0),"")</f>
        <v/>
      </c>
      <c r="AI206" s="133" t="str">
        <f>IF($A206&lt;&gt;0,VLOOKUP($A206,'0.Productos'!$A$3:$GG$587,'0.Productos'!CA$1+1,0),"")</f>
        <v/>
      </c>
      <c r="AJ206" s="133" t="str">
        <f>IF($A206&lt;&gt;0,VLOOKUP($A206,'0.Productos'!$A$3:$GG$587,'0.Productos'!CB$1+1,0),"")</f>
        <v/>
      </c>
      <c r="AK206" s="133" t="str">
        <f>IF($A206&lt;&gt;0,VLOOKUP($A206,'0.Productos'!$A$3:$GG$587,'0.Productos'!CC$1+1,0),"")</f>
        <v/>
      </c>
      <c r="AL206" s="133" t="str">
        <f>IF($A206&lt;&gt;0,VLOOKUP($A206,'0.Productos'!$A$3:$GG$587,'0.Productos'!CD$1+1,0),"")</f>
        <v/>
      </c>
      <c r="AM206" s="133" t="str">
        <f>IF($A206&lt;&gt;0,VLOOKUP($A206,'0.Productos'!$A$3:$GG$587,'0.Productos'!CE$1+1,0),"")</f>
        <v/>
      </c>
      <c r="AN206" s="133" t="str">
        <f>IF($A206&lt;&gt;0,VLOOKUP($A206,'0.Productos'!$A$3:$GG$587,'0.Productos'!CF$1+1,0),"")</f>
        <v/>
      </c>
      <c r="AO206" s="133" t="str">
        <f>IF($A206&lt;&gt;0,VLOOKUP($A206,'0.Productos'!$A$3:$GG$587,'0.Productos'!CG$1+1,0),"")</f>
        <v/>
      </c>
      <c r="AP206" s="133" t="str">
        <f>IF($A206&lt;&gt;0,VLOOKUP($A206,'0.Productos'!$A$3:$GG$587,'0.Productos'!CH$1+1,0),"")</f>
        <v/>
      </c>
      <c r="AQ206" s="133" t="str">
        <f>IF($A206&lt;&gt;0,VLOOKUP($A206,'0.Productos'!$A$3:$GG$587,'0.Productos'!CI$1+1,0),"")</f>
        <v/>
      </c>
      <c r="AR206" s="133" t="str">
        <f>IF($A206&lt;&gt;0,VLOOKUP($A206,'0.Productos'!$A$3:$GG$587,'0.Productos'!CJ$1+1,0),"")</f>
        <v/>
      </c>
      <c r="AS206" s="133" t="str">
        <f>IF($A206&lt;&gt;0,VLOOKUP($A206,'0.Productos'!$A$3:$GG$587,'0.Productos'!CK$1+1,0),"")</f>
        <v/>
      </c>
      <c r="AT206" s="133" t="str">
        <f>IF($A206&lt;&gt;0,VLOOKUP($A206,'0.Productos'!$A$3:$GG$587,'0.Productos'!CL$1+1,0),"")</f>
        <v/>
      </c>
      <c r="AU206" s="133" t="str">
        <f>IF($A206&lt;&gt;0,VLOOKUP($A206,'0.Productos'!$A$3:$GG$587,'0.Productos'!CM$1+1,0),"")</f>
        <v/>
      </c>
      <c r="AV206" s="133" t="str">
        <f>IF($A206&lt;&gt;0,VLOOKUP($A206,'0.Productos'!$A$3:$GG$587,'0.Productos'!CN$1+1,0),"")</f>
        <v/>
      </c>
      <c r="AW206" s="133" t="str">
        <f>IF($A206&lt;&gt;0,VLOOKUP($A206,'0.Productos'!$A$3:$GG$587,'0.Productos'!CO$1+1,0),"")</f>
        <v/>
      </c>
      <c r="AX206" s="133" t="str">
        <f>IF($A206&lt;&gt;0,VLOOKUP($A206,'0.Productos'!$A$3:$GG$587,'0.Productos'!CP$1+1,0),"")</f>
        <v/>
      </c>
      <c r="AY206" s="133" t="str">
        <f>IF($A206&lt;&gt;0,VLOOKUP($A206,'0.Productos'!$A$3:$GG$587,'0.Productos'!CQ$1+1,0),"")</f>
        <v/>
      </c>
      <c r="AZ206" s="133" t="str">
        <f>IF($A206&lt;&gt;0,VLOOKUP($A206,'0.Productos'!$A$3:$GG$587,'0.Productos'!CR$1+1,0),"")</f>
        <v/>
      </c>
      <c r="BA206" s="133" t="str">
        <f>IF($A206&lt;&gt;0,VLOOKUP($A206,'0.Productos'!$A$3:$GG$587,'0.Productos'!CS$1+1,0),"")</f>
        <v/>
      </c>
      <c r="BB206" s="133" t="str">
        <f>IF($A206&lt;&gt;0,VLOOKUP($A206,'0.Productos'!$A$3:$GG$587,'0.Productos'!CT$1+1,0),"")</f>
        <v/>
      </c>
      <c r="BC206" s="133" t="str">
        <f>IF($A206&lt;&gt;0,VLOOKUP($A206,'0.Productos'!$A$3:$GG$587,'0.Productos'!CU$1+1,0),"")</f>
        <v/>
      </c>
      <c r="BD206" s="133" t="str">
        <f>IF($A206&lt;&gt;0,VLOOKUP($A206,'0.Productos'!$A$3:$GG$587,'0.Productos'!CV$1+1,0),"")</f>
        <v/>
      </c>
      <c r="BE206" s="133" t="str">
        <f>IF($A206&lt;&gt;0,VLOOKUP($A206,'0.Productos'!$A$3:$GG$587,'0.Productos'!CW$1+1,0),"")</f>
        <v/>
      </c>
      <c r="BF206" s="133" t="str">
        <f>IF($A206&lt;&gt;0,VLOOKUP($A206,'0.Productos'!$A$3:$GG$587,'0.Productos'!CX$1+1,0),"")</f>
        <v/>
      </c>
      <c r="BG206" s="133" t="str">
        <f>IF($A206&lt;&gt;0,VLOOKUP($A206,'0.Productos'!$A$3:$GG$587,'0.Productos'!CY$1+1,0),"")</f>
        <v/>
      </c>
      <c r="BH206" s="133" t="str">
        <f>IF($A206&lt;&gt;0,VLOOKUP($A206,'0.Productos'!$A$3:$GG$587,'0.Productos'!CZ$1+1,0),"")</f>
        <v/>
      </c>
      <c r="BI206" s="133" t="str">
        <f>IF($A206&lt;&gt;0,VLOOKUP($A206,'0.Productos'!$A$3:$GG$587,'0.Productos'!DA$1+1,0),"")</f>
        <v/>
      </c>
      <c r="BJ206" s="133" t="str">
        <f>IF($A206&lt;&gt;0,VLOOKUP($A206,'0.Productos'!$A$3:$GG$587,'0.Productos'!DB$1+1,0),"")</f>
        <v/>
      </c>
      <c r="BK206" s="133" t="str">
        <f>IF($A206&lt;&gt;0,VLOOKUP($A206,'0.Productos'!$A$3:$GG$587,'0.Productos'!DC$1+1,0),"")</f>
        <v/>
      </c>
      <c r="BL206" s="133" t="str">
        <f>IF($A206&lt;&gt;0,VLOOKUP($A206,'0.Productos'!$A$3:$GG$587,'0.Productos'!DD$1+1,0),"")</f>
        <v/>
      </c>
      <c r="BM206" s="133" t="str">
        <f>IF($A206&lt;&gt;0,VLOOKUP($A206,'0.Productos'!$A$3:$GG$587,'0.Productos'!DE$1+1,0),"")</f>
        <v/>
      </c>
      <c r="BN206" s="133" t="str">
        <f>IF($A206&lt;&gt;0,VLOOKUP($A206,'0.Productos'!$A$3:$GG$587,'0.Productos'!DF$1+1,0),"")</f>
        <v/>
      </c>
      <c r="BO206" s="133" t="str">
        <f>IF($A206&lt;&gt;0,VLOOKUP($A206,'0.Productos'!$A$3:$GG$587,'0.Productos'!DG$1+1,0),"")</f>
        <v/>
      </c>
      <c r="BP206" s="133" t="str">
        <f>IF($A206&lt;&gt;0,VLOOKUP($A206,'0.Productos'!$A$3:$GG$587,'0.Productos'!DH$1+1,0),"")</f>
        <v/>
      </c>
      <c r="BQ206" s="133" t="str">
        <f>IF($A206&lt;&gt;0,VLOOKUP($A206,'0.Productos'!$A$3:$GG$587,'0.Productos'!DI$1+1,0),"")</f>
        <v/>
      </c>
      <c r="BR206" s="133" t="str">
        <f>IF($A206&lt;&gt;0,VLOOKUP($A206,'0.Productos'!$A$3:$GG$587,'0.Productos'!DJ$1+1,0),"")</f>
        <v/>
      </c>
      <c r="BS206" s="133" t="str">
        <f>IF($A206&lt;&gt;0,VLOOKUP($A206,'0.Productos'!$A$3:$GG$587,'0.Productos'!DK$1+1,0),"")</f>
        <v/>
      </c>
      <c r="BT206" s="133" t="str">
        <f>IF($A206&lt;&gt;0,VLOOKUP($A206,'0.Productos'!$A$3:$GG$587,'0.Productos'!DL$1+1,0),"")</f>
        <v/>
      </c>
    </row>
    <row r="207" spans="1:72" x14ac:dyDescent="0.25">
      <c r="A207" s="17">
        <f>'0.Consolidado general'!A207</f>
        <v>0</v>
      </c>
      <c r="B207" s="133" t="str">
        <f>IF($A207&lt;&gt;0,VLOOKUP($A207,'0.Productos'!$A$3:$GG$587,'0.Productos'!AT$1+1,0),"")</f>
        <v/>
      </c>
      <c r="C207" s="133" t="str">
        <f>IF($A207&lt;&gt;0,VLOOKUP($A207,'0.Productos'!$A$3:$GG$587,'0.Productos'!AU$1+1,0),"")</f>
        <v/>
      </c>
      <c r="D207" s="133" t="str">
        <f>IF($A207&lt;&gt;0,VLOOKUP($A207,'0.Productos'!$A$3:$GG$587,'0.Productos'!AV$1+1,0),"")</f>
        <v/>
      </c>
      <c r="E207" s="133" t="str">
        <f>IF($A207&lt;&gt;0,VLOOKUP($A207,'0.Productos'!$A$3:$GG$587,'0.Productos'!AW$1+1,0),"")</f>
        <v/>
      </c>
      <c r="F207" s="133" t="str">
        <f>IF($A207&lt;&gt;0,VLOOKUP($A207,'0.Productos'!$A$3:$GG$587,'0.Productos'!AX$1+1,0),"")</f>
        <v/>
      </c>
      <c r="G207" s="133" t="str">
        <f>IF($A207&lt;&gt;0,VLOOKUP($A207,'0.Productos'!$A$3:$GG$587,'0.Productos'!AY$1+1,0),"")</f>
        <v/>
      </c>
      <c r="H207" s="133" t="str">
        <f>IF($A207&lt;&gt;0,VLOOKUP($A207,'0.Productos'!$A$3:$GG$587,'0.Productos'!AZ$1+1,0),"")</f>
        <v/>
      </c>
      <c r="I207" s="133" t="str">
        <f>IF($A207&lt;&gt;0,VLOOKUP($A207,'0.Productos'!$A$3:$GG$587,'0.Productos'!BA$1+1,0),"")</f>
        <v/>
      </c>
      <c r="J207" s="133" t="str">
        <f>IF($A207&lt;&gt;0,VLOOKUP($A207,'0.Productos'!$A$3:$GG$587,'0.Productos'!BB$1+1,0),"")</f>
        <v/>
      </c>
      <c r="K207" s="133" t="str">
        <f>IF($A207&lt;&gt;0,VLOOKUP($A207,'0.Productos'!$A$3:$GG$587,'0.Productos'!BC$1+1,0),"")</f>
        <v/>
      </c>
      <c r="L207" s="133" t="str">
        <f>IF($A207&lt;&gt;0,VLOOKUP($A207,'0.Productos'!$A$3:$GG$587,'0.Productos'!BD$1+1,0),"")</f>
        <v/>
      </c>
      <c r="M207" s="133" t="str">
        <f>IF($A207&lt;&gt;0,VLOOKUP($A207,'0.Productos'!$A$3:$GG$587,'0.Productos'!BE$1+1,0),"")</f>
        <v/>
      </c>
      <c r="N207" s="133" t="str">
        <f>IF($A207&lt;&gt;0,VLOOKUP($A207,'0.Productos'!$A$3:$GG$587,'0.Productos'!BF$1+1,0),"")</f>
        <v/>
      </c>
      <c r="O207" s="133" t="str">
        <f>IF($A207&lt;&gt;0,VLOOKUP($A207,'0.Productos'!$A$3:$GG$587,'0.Productos'!BG$1+1,0),"")</f>
        <v/>
      </c>
      <c r="P207" s="133" t="str">
        <f>IF($A207&lt;&gt;0,VLOOKUP($A207,'0.Productos'!$A$3:$GG$587,'0.Productos'!BH$1+1,0),"")</f>
        <v/>
      </c>
      <c r="Q207" s="133" t="str">
        <f>IF($A207&lt;&gt;0,VLOOKUP($A207,'0.Productos'!$A$3:$GG$587,'0.Productos'!BI$1+1,0),"")</f>
        <v/>
      </c>
      <c r="R207" s="133" t="str">
        <f>IF($A207&lt;&gt;0,VLOOKUP($A207,'0.Productos'!$A$3:$GG$587,'0.Productos'!BJ$1+1,0),"")</f>
        <v/>
      </c>
      <c r="S207" s="133" t="str">
        <f>IF($A207&lt;&gt;0,VLOOKUP($A207,'0.Productos'!$A$3:$GG$587,'0.Productos'!BK$1+1,0),"")</f>
        <v/>
      </c>
      <c r="T207" s="133" t="str">
        <f>IF($A207&lt;&gt;0,VLOOKUP($A207,'0.Productos'!$A$3:$GG$587,'0.Productos'!BL$1+1,0),"")</f>
        <v/>
      </c>
      <c r="U207" s="133" t="str">
        <f>IF($A207&lt;&gt;0,VLOOKUP($A207,'0.Productos'!$A$3:$GG$587,'0.Productos'!BM$1+1,0),"")</f>
        <v/>
      </c>
      <c r="V207" s="133" t="str">
        <f>IF($A207&lt;&gt;0,VLOOKUP($A207,'0.Productos'!$A$3:$GG$587,'0.Productos'!BN$1+1,0),"")</f>
        <v/>
      </c>
      <c r="W207" s="133" t="str">
        <f>IF($A207&lt;&gt;0,VLOOKUP($A207,'0.Productos'!$A$3:$GG$587,'0.Productos'!BO$1+1,0),"")</f>
        <v/>
      </c>
      <c r="X207" s="133" t="str">
        <f>IF($A207&lt;&gt;0,VLOOKUP($A207,'0.Productos'!$A$3:$GG$587,'0.Productos'!BP$1+1,0),"")</f>
        <v/>
      </c>
      <c r="Y207" s="133" t="str">
        <f>IF($A207&lt;&gt;0,VLOOKUP($A207,'0.Productos'!$A$3:$GG$587,'0.Productos'!BQ$1+1,0),"")</f>
        <v/>
      </c>
      <c r="Z207" s="133" t="str">
        <f>IF($A207&lt;&gt;0,VLOOKUP($A207,'0.Productos'!$A$3:$GG$587,'0.Productos'!BR$1+1,0),"")</f>
        <v/>
      </c>
      <c r="AA207" s="133" t="str">
        <f>IF($A207&lt;&gt;0,VLOOKUP($A207,'0.Productos'!$A$3:$GG$587,'0.Productos'!BS$1+1,0),"")</f>
        <v/>
      </c>
      <c r="AB207" s="133" t="str">
        <f>IF($A207&lt;&gt;0,VLOOKUP($A207,'0.Productos'!$A$3:$GG$587,'0.Productos'!BT$1+1,0),"")</f>
        <v/>
      </c>
      <c r="AC207" s="133" t="str">
        <f>IF($A207&lt;&gt;0,VLOOKUP($A207,'0.Productos'!$A$3:$GG$587,'0.Productos'!BU$1+1,0),"")</f>
        <v/>
      </c>
      <c r="AD207" s="133" t="str">
        <f>IF($A207&lt;&gt;0,VLOOKUP($A207,'0.Productos'!$A$3:$GG$587,'0.Productos'!BV$1+1,0),"")</f>
        <v/>
      </c>
      <c r="AE207" s="133" t="str">
        <f>IF($A207&lt;&gt;0,VLOOKUP($A207,'0.Productos'!$A$3:$GG$587,'0.Productos'!BW$1+1,0),"")</f>
        <v/>
      </c>
      <c r="AF207" s="133" t="str">
        <f>IF($A207&lt;&gt;0,VLOOKUP($A207,'0.Productos'!$A$3:$GG$587,'0.Productos'!BX$1+1,0),"")</f>
        <v/>
      </c>
      <c r="AG207" s="133" t="str">
        <f>IF($A207&lt;&gt;0,VLOOKUP($A207,'0.Productos'!$A$3:$GG$587,'0.Productos'!BY$1+1,0),"")</f>
        <v/>
      </c>
      <c r="AH207" s="133" t="str">
        <f>IF($A207&lt;&gt;0,VLOOKUP($A207,'0.Productos'!$A$3:$GG$587,'0.Productos'!BZ$1+1,0),"")</f>
        <v/>
      </c>
      <c r="AI207" s="133" t="str">
        <f>IF($A207&lt;&gt;0,VLOOKUP($A207,'0.Productos'!$A$3:$GG$587,'0.Productos'!CA$1+1,0),"")</f>
        <v/>
      </c>
      <c r="AJ207" s="133" t="str">
        <f>IF($A207&lt;&gt;0,VLOOKUP($A207,'0.Productos'!$A$3:$GG$587,'0.Productos'!CB$1+1,0),"")</f>
        <v/>
      </c>
      <c r="AK207" s="133" t="str">
        <f>IF($A207&lt;&gt;0,VLOOKUP($A207,'0.Productos'!$A$3:$GG$587,'0.Productos'!CC$1+1,0),"")</f>
        <v/>
      </c>
      <c r="AL207" s="133" t="str">
        <f>IF($A207&lt;&gt;0,VLOOKUP($A207,'0.Productos'!$A$3:$GG$587,'0.Productos'!CD$1+1,0),"")</f>
        <v/>
      </c>
      <c r="AM207" s="133" t="str">
        <f>IF($A207&lt;&gt;0,VLOOKUP($A207,'0.Productos'!$A$3:$GG$587,'0.Productos'!CE$1+1,0),"")</f>
        <v/>
      </c>
      <c r="AN207" s="133" t="str">
        <f>IF($A207&lt;&gt;0,VLOOKUP($A207,'0.Productos'!$A$3:$GG$587,'0.Productos'!CF$1+1,0),"")</f>
        <v/>
      </c>
      <c r="AO207" s="133" t="str">
        <f>IF($A207&lt;&gt;0,VLOOKUP($A207,'0.Productos'!$A$3:$GG$587,'0.Productos'!CG$1+1,0),"")</f>
        <v/>
      </c>
      <c r="AP207" s="133" t="str">
        <f>IF($A207&lt;&gt;0,VLOOKUP($A207,'0.Productos'!$A$3:$GG$587,'0.Productos'!CH$1+1,0),"")</f>
        <v/>
      </c>
      <c r="AQ207" s="133" t="str">
        <f>IF($A207&lt;&gt;0,VLOOKUP($A207,'0.Productos'!$A$3:$GG$587,'0.Productos'!CI$1+1,0),"")</f>
        <v/>
      </c>
      <c r="AR207" s="133" t="str">
        <f>IF($A207&lt;&gt;0,VLOOKUP($A207,'0.Productos'!$A$3:$GG$587,'0.Productos'!CJ$1+1,0),"")</f>
        <v/>
      </c>
      <c r="AS207" s="133" t="str">
        <f>IF($A207&lt;&gt;0,VLOOKUP($A207,'0.Productos'!$A$3:$GG$587,'0.Productos'!CK$1+1,0),"")</f>
        <v/>
      </c>
      <c r="AT207" s="133" t="str">
        <f>IF($A207&lt;&gt;0,VLOOKUP($A207,'0.Productos'!$A$3:$GG$587,'0.Productos'!CL$1+1,0),"")</f>
        <v/>
      </c>
      <c r="AU207" s="133" t="str">
        <f>IF($A207&lt;&gt;0,VLOOKUP($A207,'0.Productos'!$A$3:$GG$587,'0.Productos'!CM$1+1,0),"")</f>
        <v/>
      </c>
      <c r="AV207" s="133" t="str">
        <f>IF($A207&lt;&gt;0,VLOOKUP($A207,'0.Productos'!$A$3:$GG$587,'0.Productos'!CN$1+1,0),"")</f>
        <v/>
      </c>
      <c r="AW207" s="133" t="str">
        <f>IF($A207&lt;&gt;0,VLOOKUP($A207,'0.Productos'!$A$3:$GG$587,'0.Productos'!CO$1+1,0),"")</f>
        <v/>
      </c>
      <c r="AX207" s="133" t="str">
        <f>IF($A207&lt;&gt;0,VLOOKUP($A207,'0.Productos'!$A$3:$GG$587,'0.Productos'!CP$1+1,0),"")</f>
        <v/>
      </c>
      <c r="AY207" s="133" t="str">
        <f>IF($A207&lt;&gt;0,VLOOKUP($A207,'0.Productos'!$A$3:$GG$587,'0.Productos'!CQ$1+1,0),"")</f>
        <v/>
      </c>
      <c r="AZ207" s="133" t="str">
        <f>IF($A207&lt;&gt;0,VLOOKUP($A207,'0.Productos'!$A$3:$GG$587,'0.Productos'!CR$1+1,0),"")</f>
        <v/>
      </c>
      <c r="BA207" s="133" t="str">
        <f>IF($A207&lt;&gt;0,VLOOKUP($A207,'0.Productos'!$A$3:$GG$587,'0.Productos'!CS$1+1,0),"")</f>
        <v/>
      </c>
      <c r="BB207" s="133" t="str">
        <f>IF($A207&lt;&gt;0,VLOOKUP($A207,'0.Productos'!$A$3:$GG$587,'0.Productos'!CT$1+1,0),"")</f>
        <v/>
      </c>
      <c r="BC207" s="133" t="str">
        <f>IF($A207&lt;&gt;0,VLOOKUP($A207,'0.Productos'!$A$3:$GG$587,'0.Productos'!CU$1+1,0),"")</f>
        <v/>
      </c>
      <c r="BD207" s="133" t="str">
        <f>IF($A207&lt;&gt;0,VLOOKUP($A207,'0.Productos'!$A$3:$GG$587,'0.Productos'!CV$1+1,0),"")</f>
        <v/>
      </c>
      <c r="BE207" s="133" t="str">
        <f>IF($A207&lt;&gt;0,VLOOKUP($A207,'0.Productos'!$A$3:$GG$587,'0.Productos'!CW$1+1,0),"")</f>
        <v/>
      </c>
      <c r="BF207" s="133" t="str">
        <f>IF($A207&lt;&gt;0,VLOOKUP($A207,'0.Productos'!$A$3:$GG$587,'0.Productos'!CX$1+1,0),"")</f>
        <v/>
      </c>
      <c r="BG207" s="133" t="str">
        <f>IF($A207&lt;&gt;0,VLOOKUP($A207,'0.Productos'!$A$3:$GG$587,'0.Productos'!CY$1+1,0),"")</f>
        <v/>
      </c>
      <c r="BH207" s="133" t="str">
        <f>IF($A207&lt;&gt;0,VLOOKUP($A207,'0.Productos'!$A$3:$GG$587,'0.Productos'!CZ$1+1,0),"")</f>
        <v/>
      </c>
      <c r="BI207" s="133" t="str">
        <f>IF($A207&lt;&gt;0,VLOOKUP($A207,'0.Productos'!$A$3:$GG$587,'0.Productos'!DA$1+1,0),"")</f>
        <v/>
      </c>
      <c r="BJ207" s="133" t="str">
        <f>IF($A207&lt;&gt;0,VLOOKUP($A207,'0.Productos'!$A$3:$GG$587,'0.Productos'!DB$1+1,0),"")</f>
        <v/>
      </c>
      <c r="BK207" s="133" t="str">
        <f>IF($A207&lt;&gt;0,VLOOKUP($A207,'0.Productos'!$A$3:$GG$587,'0.Productos'!DC$1+1,0),"")</f>
        <v/>
      </c>
      <c r="BL207" s="133" t="str">
        <f>IF($A207&lt;&gt;0,VLOOKUP($A207,'0.Productos'!$A$3:$GG$587,'0.Productos'!DD$1+1,0),"")</f>
        <v/>
      </c>
      <c r="BM207" s="133" t="str">
        <f>IF($A207&lt;&gt;0,VLOOKUP($A207,'0.Productos'!$A$3:$GG$587,'0.Productos'!DE$1+1,0),"")</f>
        <v/>
      </c>
      <c r="BN207" s="133" t="str">
        <f>IF($A207&lt;&gt;0,VLOOKUP($A207,'0.Productos'!$A$3:$GG$587,'0.Productos'!DF$1+1,0),"")</f>
        <v/>
      </c>
      <c r="BO207" s="133" t="str">
        <f>IF($A207&lt;&gt;0,VLOOKUP($A207,'0.Productos'!$A$3:$GG$587,'0.Productos'!DG$1+1,0),"")</f>
        <v/>
      </c>
      <c r="BP207" s="133" t="str">
        <f>IF($A207&lt;&gt;0,VLOOKUP($A207,'0.Productos'!$A$3:$GG$587,'0.Productos'!DH$1+1,0),"")</f>
        <v/>
      </c>
      <c r="BQ207" s="133" t="str">
        <f>IF($A207&lt;&gt;0,VLOOKUP($A207,'0.Productos'!$A$3:$GG$587,'0.Productos'!DI$1+1,0),"")</f>
        <v/>
      </c>
      <c r="BR207" s="133" t="str">
        <f>IF($A207&lt;&gt;0,VLOOKUP($A207,'0.Productos'!$A$3:$GG$587,'0.Productos'!DJ$1+1,0),"")</f>
        <v/>
      </c>
      <c r="BS207" s="133" t="str">
        <f>IF($A207&lt;&gt;0,VLOOKUP($A207,'0.Productos'!$A$3:$GG$587,'0.Productos'!DK$1+1,0),"")</f>
        <v/>
      </c>
      <c r="BT207" s="133" t="str">
        <f>IF($A207&lt;&gt;0,VLOOKUP($A207,'0.Productos'!$A$3:$GG$587,'0.Productos'!DL$1+1,0),"")</f>
        <v/>
      </c>
    </row>
    <row r="208" spans="1:72" x14ac:dyDescent="0.25">
      <c r="A208" s="17">
        <f>'0.Consolidado general'!A208</f>
        <v>0</v>
      </c>
      <c r="B208" s="133" t="str">
        <f>IF($A208&lt;&gt;0,VLOOKUP($A208,'0.Productos'!$A$3:$GG$587,'0.Productos'!AT$1+1,0),"")</f>
        <v/>
      </c>
      <c r="C208" s="133" t="str">
        <f>IF($A208&lt;&gt;0,VLOOKUP($A208,'0.Productos'!$A$3:$GG$587,'0.Productos'!AU$1+1,0),"")</f>
        <v/>
      </c>
      <c r="D208" s="133" t="str">
        <f>IF($A208&lt;&gt;0,VLOOKUP($A208,'0.Productos'!$A$3:$GG$587,'0.Productos'!AV$1+1,0),"")</f>
        <v/>
      </c>
      <c r="E208" s="133" t="str">
        <f>IF($A208&lt;&gt;0,VLOOKUP($A208,'0.Productos'!$A$3:$GG$587,'0.Productos'!AW$1+1,0),"")</f>
        <v/>
      </c>
      <c r="F208" s="133" t="str">
        <f>IF($A208&lt;&gt;0,VLOOKUP($A208,'0.Productos'!$A$3:$GG$587,'0.Productos'!AX$1+1,0),"")</f>
        <v/>
      </c>
      <c r="G208" s="133" t="str">
        <f>IF($A208&lt;&gt;0,VLOOKUP($A208,'0.Productos'!$A$3:$GG$587,'0.Productos'!AY$1+1,0),"")</f>
        <v/>
      </c>
      <c r="H208" s="133" t="str">
        <f>IF($A208&lt;&gt;0,VLOOKUP($A208,'0.Productos'!$A$3:$GG$587,'0.Productos'!AZ$1+1,0),"")</f>
        <v/>
      </c>
      <c r="I208" s="133" t="str">
        <f>IF($A208&lt;&gt;0,VLOOKUP($A208,'0.Productos'!$A$3:$GG$587,'0.Productos'!BA$1+1,0),"")</f>
        <v/>
      </c>
      <c r="J208" s="133" t="str">
        <f>IF($A208&lt;&gt;0,VLOOKUP($A208,'0.Productos'!$A$3:$GG$587,'0.Productos'!BB$1+1,0),"")</f>
        <v/>
      </c>
      <c r="K208" s="133" t="str">
        <f>IF($A208&lt;&gt;0,VLOOKUP($A208,'0.Productos'!$A$3:$GG$587,'0.Productos'!BC$1+1,0),"")</f>
        <v/>
      </c>
      <c r="L208" s="133" t="str">
        <f>IF($A208&lt;&gt;0,VLOOKUP($A208,'0.Productos'!$A$3:$GG$587,'0.Productos'!BD$1+1,0),"")</f>
        <v/>
      </c>
      <c r="M208" s="133" t="str">
        <f>IF($A208&lt;&gt;0,VLOOKUP($A208,'0.Productos'!$A$3:$GG$587,'0.Productos'!BE$1+1,0),"")</f>
        <v/>
      </c>
      <c r="N208" s="133" t="str">
        <f>IF($A208&lt;&gt;0,VLOOKUP($A208,'0.Productos'!$A$3:$GG$587,'0.Productos'!BF$1+1,0),"")</f>
        <v/>
      </c>
      <c r="O208" s="133" t="str">
        <f>IF($A208&lt;&gt;0,VLOOKUP($A208,'0.Productos'!$A$3:$GG$587,'0.Productos'!BG$1+1,0),"")</f>
        <v/>
      </c>
      <c r="P208" s="133" t="str">
        <f>IF($A208&lt;&gt;0,VLOOKUP($A208,'0.Productos'!$A$3:$GG$587,'0.Productos'!BH$1+1,0),"")</f>
        <v/>
      </c>
      <c r="Q208" s="133" t="str">
        <f>IF($A208&lt;&gt;0,VLOOKUP($A208,'0.Productos'!$A$3:$GG$587,'0.Productos'!BI$1+1,0),"")</f>
        <v/>
      </c>
      <c r="R208" s="133" t="str">
        <f>IF($A208&lt;&gt;0,VLOOKUP($A208,'0.Productos'!$A$3:$GG$587,'0.Productos'!BJ$1+1,0),"")</f>
        <v/>
      </c>
      <c r="S208" s="133" t="str">
        <f>IF($A208&lt;&gt;0,VLOOKUP($A208,'0.Productos'!$A$3:$GG$587,'0.Productos'!BK$1+1,0),"")</f>
        <v/>
      </c>
      <c r="T208" s="133" t="str">
        <f>IF($A208&lt;&gt;0,VLOOKUP($A208,'0.Productos'!$A$3:$GG$587,'0.Productos'!BL$1+1,0),"")</f>
        <v/>
      </c>
      <c r="U208" s="133" t="str">
        <f>IF($A208&lt;&gt;0,VLOOKUP($A208,'0.Productos'!$A$3:$GG$587,'0.Productos'!BM$1+1,0),"")</f>
        <v/>
      </c>
      <c r="V208" s="133" t="str">
        <f>IF($A208&lt;&gt;0,VLOOKUP($A208,'0.Productos'!$A$3:$GG$587,'0.Productos'!BN$1+1,0),"")</f>
        <v/>
      </c>
      <c r="W208" s="133" t="str">
        <f>IF($A208&lt;&gt;0,VLOOKUP($A208,'0.Productos'!$A$3:$GG$587,'0.Productos'!BO$1+1,0),"")</f>
        <v/>
      </c>
      <c r="X208" s="133" t="str">
        <f>IF($A208&lt;&gt;0,VLOOKUP($A208,'0.Productos'!$A$3:$GG$587,'0.Productos'!BP$1+1,0),"")</f>
        <v/>
      </c>
      <c r="Y208" s="133" t="str">
        <f>IF($A208&lt;&gt;0,VLOOKUP($A208,'0.Productos'!$A$3:$GG$587,'0.Productos'!BQ$1+1,0),"")</f>
        <v/>
      </c>
      <c r="Z208" s="133" t="str">
        <f>IF($A208&lt;&gt;0,VLOOKUP($A208,'0.Productos'!$A$3:$GG$587,'0.Productos'!BR$1+1,0),"")</f>
        <v/>
      </c>
      <c r="AA208" s="133" t="str">
        <f>IF($A208&lt;&gt;0,VLOOKUP($A208,'0.Productos'!$A$3:$GG$587,'0.Productos'!BS$1+1,0),"")</f>
        <v/>
      </c>
      <c r="AB208" s="133" t="str">
        <f>IF($A208&lt;&gt;0,VLOOKUP($A208,'0.Productos'!$A$3:$GG$587,'0.Productos'!BT$1+1,0),"")</f>
        <v/>
      </c>
      <c r="AC208" s="133" t="str">
        <f>IF($A208&lt;&gt;0,VLOOKUP($A208,'0.Productos'!$A$3:$GG$587,'0.Productos'!BU$1+1,0),"")</f>
        <v/>
      </c>
      <c r="AD208" s="133" t="str">
        <f>IF($A208&lt;&gt;0,VLOOKUP($A208,'0.Productos'!$A$3:$GG$587,'0.Productos'!BV$1+1,0),"")</f>
        <v/>
      </c>
      <c r="AE208" s="133" t="str">
        <f>IF($A208&lt;&gt;0,VLOOKUP($A208,'0.Productos'!$A$3:$GG$587,'0.Productos'!BW$1+1,0),"")</f>
        <v/>
      </c>
      <c r="AF208" s="133" t="str">
        <f>IF($A208&lt;&gt;0,VLOOKUP($A208,'0.Productos'!$A$3:$GG$587,'0.Productos'!BX$1+1,0),"")</f>
        <v/>
      </c>
      <c r="AG208" s="133" t="str">
        <f>IF($A208&lt;&gt;0,VLOOKUP($A208,'0.Productos'!$A$3:$GG$587,'0.Productos'!BY$1+1,0),"")</f>
        <v/>
      </c>
      <c r="AH208" s="133" t="str">
        <f>IF($A208&lt;&gt;0,VLOOKUP($A208,'0.Productos'!$A$3:$GG$587,'0.Productos'!BZ$1+1,0),"")</f>
        <v/>
      </c>
      <c r="AI208" s="133" t="str">
        <f>IF($A208&lt;&gt;0,VLOOKUP($A208,'0.Productos'!$A$3:$GG$587,'0.Productos'!CA$1+1,0),"")</f>
        <v/>
      </c>
      <c r="AJ208" s="133" t="str">
        <f>IF($A208&lt;&gt;0,VLOOKUP($A208,'0.Productos'!$A$3:$GG$587,'0.Productos'!CB$1+1,0),"")</f>
        <v/>
      </c>
      <c r="AK208" s="133" t="str">
        <f>IF($A208&lt;&gt;0,VLOOKUP($A208,'0.Productos'!$A$3:$GG$587,'0.Productos'!CC$1+1,0),"")</f>
        <v/>
      </c>
      <c r="AL208" s="133" t="str">
        <f>IF($A208&lt;&gt;0,VLOOKUP($A208,'0.Productos'!$A$3:$GG$587,'0.Productos'!CD$1+1,0),"")</f>
        <v/>
      </c>
      <c r="AM208" s="133" t="str">
        <f>IF($A208&lt;&gt;0,VLOOKUP($A208,'0.Productos'!$A$3:$GG$587,'0.Productos'!CE$1+1,0),"")</f>
        <v/>
      </c>
      <c r="AN208" s="133" t="str">
        <f>IF($A208&lt;&gt;0,VLOOKUP($A208,'0.Productos'!$A$3:$GG$587,'0.Productos'!CF$1+1,0),"")</f>
        <v/>
      </c>
      <c r="AO208" s="133" t="str">
        <f>IF($A208&lt;&gt;0,VLOOKUP($A208,'0.Productos'!$A$3:$GG$587,'0.Productos'!CG$1+1,0),"")</f>
        <v/>
      </c>
      <c r="AP208" s="133" t="str">
        <f>IF($A208&lt;&gt;0,VLOOKUP($A208,'0.Productos'!$A$3:$GG$587,'0.Productos'!CH$1+1,0),"")</f>
        <v/>
      </c>
      <c r="AQ208" s="133" t="str">
        <f>IF($A208&lt;&gt;0,VLOOKUP($A208,'0.Productos'!$A$3:$GG$587,'0.Productos'!CI$1+1,0),"")</f>
        <v/>
      </c>
      <c r="AR208" s="133" t="str">
        <f>IF($A208&lt;&gt;0,VLOOKUP($A208,'0.Productos'!$A$3:$GG$587,'0.Productos'!CJ$1+1,0),"")</f>
        <v/>
      </c>
      <c r="AS208" s="133" t="str">
        <f>IF($A208&lt;&gt;0,VLOOKUP($A208,'0.Productos'!$A$3:$GG$587,'0.Productos'!CK$1+1,0),"")</f>
        <v/>
      </c>
      <c r="AT208" s="133" t="str">
        <f>IF($A208&lt;&gt;0,VLOOKUP($A208,'0.Productos'!$A$3:$GG$587,'0.Productos'!CL$1+1,0),"")</f>
        <v/>
      </c>
      <c r="AU208" s="133" t="str">
        <f>IF($A208&lt;&gt;0,VLOOKUP($A208,'0.Productos'!$A$3:$GG$587,'0.Productos'!CM$1+1,0),"")</f>
        <v/>
      </c>
      <c r="AV208" s="133" t="str">
        <f>IF($A208&lt;&gt;0,VLOOKUP($A208,'0.Productos'!$A$3:$GG$587,'0.Productos'!CN$1+1,0),"")</f>
        <v/>
      </c>
      <c r="AW208" s="133" t="str">
        <f>IF($A208&lt;&gt;0,VLOOKUP($A208,'0.Productos'!$A$3:$GG$587,'0.Productos'!CO$1+1,0),"")</f>
        <v/>
      </c>
      <c r="AX208" s="133" t="str">
        <f>IF($A208&lt;&gt;0,VLOOKUP($A208,'0.Productos'!$A$3:$GG$587,'0.Productos'!CP$1+1,0),"")</f>
        <v/>
      </c>
      <c r="AY208" s="133" t="str">
        <f>IF($A208&lt;&gt;0,VLOOKUP($A208,'0.Productos'!$A$3:$GG$587,'0.Productos'!CQ$1+1,0),"")</f>
        <v/>
      </c>
      <c r="AZ208" s="133" t="str">
        <f>IF($A208&lt;&gt;0,VLOOKUP($A208,'0.Productos'!$A$3:$GG$587,'0.Productos'!CR$1+1,0),"")</f>
        <v/>
      </c>
      <c r="BA208" s="133" t="str">
        <f>IF($A208&lt;&gt;0,VLOOKUP($A208,'0.Productos'!$A$3:$GG$587,'0.Productos'!CS$1+1,0),"")</f>
        <v/>
      </c>
      <c r="BB208" s="133" t="str">
        <f>IF($A208&lt;&gt;0,VLOOKUP($A208,'0.Productos'!$A$3:$GG$587,'0.Productos'!CT$1+1,0),"")</f>
        <v/>
      </c>
      <c r="BC208" s="133" t="str">
        <f>IF($A208&lt;&gt;0,VLOOKUP($A208,'0.Productos'!$A$3:$GG$587,'0.Productos'!CU$1+1,0),"")</f>
        <v/>
      </c>
      <c r="BD208" s="133" t="str">
        <f>IF($A208&lt;&gt;0,VLOOKUP($A208,'0.Productos'!$A$3:$GG$587,'0.Productos'!CV$1+1,0),"")</f>
        <v/>
      </c>
      <c r="BE208" s="133" t="str">
        <f>IF($A208&lt;&gt;0,VLOOKUP($A208,'0.Productos'!$A$3:$GG$587,'0.Productos'!CW$1+1,0),"")</f>
        <v/>
      </c>
      <c r="BF208" s="133" t="str">
        <f>IF($A208&lt;&gt;0,VLOOKUP($A208,'0.Productos'!$A$3:$GG$587,'0.Productos'!CX$1+1,0),"")</f>
        <v/>
      </c>
      <c r="BG208" s="133" t="str">
        <f>IF($A208&lt;&gt;0,VLOOKUP($A208,'0.Productos'!$A$3:$GG$587,'0.Productos'!CY$1+1,0),"")</f>
        <v/>
      </c>
      <c r="BH208" s="133" t="str">
        <f>IF($A208&lt;&gt;0,VLOOKUP($A208,'0.Productos'!$A$3:$GG$587,'0.Productos'!CZ$1+1,0),"")</f>
        <v/>
      </c>
      <c r="BI208" s="133" t="str">
        <f>IF($A208&lt;&gt;0,VLOOKUP($A208,'0.Productos'!$A$3:$GG$587,'0.Productos'!DA$1+1,0),"")</f>
        <v/>
      </c>
      <c r="BJ208" s="133" t="str">
        <f>IF($A208&lt;&gt;0,VLOOKUP($A208,'0.Productos'!$A$3:$GG$587,'0.Productos'!DB$1+1,0),"")</f>
        <v/>
      </c>
      <c r="BK208" s="133" t="str">
        <f>IF($A208&lt;&gt;0,VLOOKUP($A208,'0.Productos'!$A$3:$GG$587,'0.Productos'!DC$1+1,0),"")</f>
        <v/>
      </c>
      <c r="BL208" s="133" t="str">
        <f>IF($A208&lt;&gt;0,VLOOKUP($A208,'0.Productos'!$A$3:$GG$587,'0.Productos'!DD$1+1,0),"")</f>
        <v/>
      </c>
      <c r="BM208" s="133" t="str">
        <f>IF($A208&lt;&gt;0,VLOOKUP($A208,'0.Productos'!$A$3:$GG$587,'0.Productos'!DE$1+1,0),"")</f>
        <v/>
      </c>
      <c r="BN208" s="133" t="str">
        <f>IF($A208&lt;&gt;0,VLOOKUP($A208,'0.Productos'!$A$3:$GG$587,'0.Productos'!DF$1+1,0),"")</f>
        <v/>
      </c>
      <c r="BO208" s="133" t="str">
        <f>IF($A208&lt;&gt;0,VLOOKUP($A208,'0.Productos'!$A$3:$GG$587,'0.Productos'!DG$1+1,0),"")</f>
        <v/>
      </c>
      <c r="BP208" s="133" t="str">
        <f>IF($A208&lt;&gt;0,VLOOKUP($A208,'0.Productos'!$A$3:$GG$587,'0.Productos'!DH$1+1,0),"")</f>
        <v/>
      </c>
      <c r="BQ208" s="133" t="str">
        <f>IF($A208&lt;&gt;0,VLOOKUP($A208,'0.Productos'!$A$3:$GG$587,'0.Productos'!DI$1+1,0),"")</f>
        <v/>
      </c>
      <c r="BR208" s="133" t="str">
        <f>IF($A208&lt;&gt;0,VLOOKUP($A208,'0.Productos'!$A$3:$GG$587,'0.Productos'!DJ$1+1,0),"")</f>
        <v/>
      </c>
      <c r="BS208" s="133" t="str">
        <f>IF($A208&lt;&gt;0,VLOOKUP($A208,'0.Productos'!$A$3:$GG$587,'0.Productos'!DK$1+1,0),"")</f>
        <v/>
      </c>
      <c r="BT208" s="133" t="str">
        <f>IF($A208&lt;&gt;0,VLOOKUP($A208,'0.Productos'!$A$3:$GG$587,'0.Productos'!DL$1+1,0),"")</f>
        <v/>
      </c>
    </row>
    <row r="209" spans="1:72" x14ac:dyDescent="0.25">
      <c r="A209" s="17">
        <f>'0.Consolidado general'!A209</f>
        <v>0</v>
      </c>
      <c r="B209" s="133" t="str">
        <f>IF($A209&lt;&gt;0,VLOOKUP($A209,'0.Productos'!$A$3:$GG$587,'0.Productos'!AT$1+1,0),"")</f>
        <v/>
      </c>
      <c r="C209" s="133" t="str">
        <f>IF($A209&lt;&gt;0,VLOOKUP($A209,'0.Productos'!$A$3:$GG$587,'0.Productos'!AU$1+1,0),"")</f>
        <v/>
      </c>
      <c r="D209" s="133" t="str">
        <f>IF($A209&lt;&gt;0,VLOOKUP($A209,'0.Productos'!$A$3:$GG$587,'0.Productos'!AV$1+1,0),"")</f>
        <v/>
      </c>
      <c r="E209" s="133" t="str">
        <f>IF($A209&lt;&gt;0,VLOOKUP($A209,'0.Productos'!$A$3:$GG$587,'0.Productos'!AW$1+1,0),"")</f>
        <v/>
      </c>
      <c r="F209" s="133" t="str">
        <f>IF($A209&lt;&gt;0,VLOOKUP($A209,'0.Productos'!$A$3:$GG$587,'0.Productos'!AX$1+1,0),"")</f>
        <v/>
      </c>
      <c r="G209" s="133" t="str">
        <f>IF($A209&lt;&gt;0,VLOOKUP($A209,'0.Productos'!$A$3:$GG$587,'0.Productos'!AY$1+1,0),"")</f>
        <v/>
      </c>
      <c r="H209" s="133" t="str">
        <f>IF($A209&lt;&gt;0,VLOOKUP($A209,'0.Productos'!$A$3:$GG$587,'0.Productos'!AZ$1+1,0),"")</f>
        <v/>
      </c>
      <c r="I209" s="133" t="str">
        <f>IF($A209&lt;&gt;0,VLOOKUP($A209,'0.Productos'!$A$3:$GG$587,'0.Productos'!BA$1+1,0),"")</f>
        <v/>
      </c>
      <c r="J209" s="133" t="str">
        <f>IF($A209&lt;&gt;0,VLOOKUP($A209,'0.Productos'!$A$3:$GG$587,'0.Productos'!BB$1+1,0),"")</f>
        <v/>
      </c>
      <c r="K209" s="133" t="str">
        <f>IF($A209&lt;&gt;0,VLOOKUP($A209,'0.Productos'!$A$3:$GG$587,'0.Productos'!BC$1+1,0),"")</f>
        <v/>
      </c>
      <c r="L209" s="133" t="str">
        <f>IF($A209&lt;&gt;0,VLOOKUP($A209,'0.Productos'!$A$3:$GG$587,'0.Productos'!BD$1+1,0),"")</f>
        <v/>
      </c>
      <c r="M209" s="133" t="str">
        <f>IF($A209&lt;&gt;0,VLOOKUP($A209,'0.Productos'!$A$3:$GG$587,'0.Productos'!BE$1+1,0),"")</f>
        <v/>
      </c>
      <c r="N209" s="133" t="str">
        <f>IF($A209&lt;&gt;0,VLOOKUP($A209,'0.Productos'!$A$3:$GG$587,'0.Productos'!BF$1+1,0),"")</f>
        <v/>
      </c>
      <c r="O209" s="133" t="str">
        <f>IF($A209&lt;&gt;0,VLOOKUP($A209,'0.Productos'!$A$3:$GG$587,'0.Productos'!BG$1+1,0),"")</f>
        <v/>
      </c>
      <c r="P209" s="133" t="str">
        <f>IF($A209&lt;&gt;0,VLOOKUP($A209,'0.Productos'!$A$3:$GG$587,'0.Productos'!BH$1+1,0),"")</f>
        <v/>
      </c>
      <c r="Q209" s="133" t="str">
        <f>IF($A209&lt;&gt;0,VLOOKUP($A209,'0.Productos'!$A$3:$GG$587,'0.Productos'!BI$1+1,0),"")</f>
        <v/>
      </c>
      <c r="R209" s="133" t="str">
        <f>IF($A209&lt;&gt;0,VLOOKUP($A209,'0.Productos'!$A$3:$GG$587,'0.Productos'!BJ$1+1,0),"")</f>
        <v/>
      </c>
      <c r="S209" s="133" t="str">
        <f>IF($A209&lt;&gt;0,VLOOKUP($A209,'0.Productos'!$A$3:$GG$587,'0.Productos'!BK$1+1,0),"")</f>
        <v/>
      </c>
      <c r="T209" s="133" t="str">
        <f>IF($A209&lt;&gt;0,VLOOKUP($A209,'0.Productos'!$A$3:$GG$587,'0.Productos'!BL$1+1,0),"")</f>
        <v/>
      </c>
      <c r="U209" s="133" t="str">
        <f>IF($A209&lt;&gt;0,VLOOKUP($A209,'0.Productos'!$A$3:$GG$587,'0.Productos'!BM$1+1,0),"")</f>
        <v/>
      </c>
      <c r="V209" s="133" t="str">
        <f>IF($A209&lt;&gt;0,VLOOKUP($A209,'0.Productos'!$A$3:$GG$587,'0.Productos'!BN$1+1,0),"")</f>
        <v/>
      </c>
      <c r="W209" s="133" t="str">
        <f>IF($A209&lt;&gt;0,VLOOKUP($A209,'0.Productos'!$A$3:$GG$587,'0.Productos'!BO$1+1,0),"")</f>
        <v/>
      </c>
      <c r="X209" s="133" t="str">
        <f>IF($A209&lt;&gt;0,VLOOKUP($A209,'0.Productos'!$A$3:$GG$587,'0.Productos'!BP$1+1,0),"")</f>
        <v/>
      </c>
      <c r="Y209" s="133" t="str">
        <f>IF($A209&lt;&gt;0,VLOOKUP($A209,'0.Productos'!$A$3:$GG$587,'0.Productos'!BQ$1+1,0),"")</f>
        <v/>
      </c>
      <c r="Z209" s="133" t="str">
        <f>IF($A209&lt;&gt;0,VLOOKUP($A209,'0.Productos'!$A$3:$GG$587,'0.Productos'!BR$1+1,0),"")</f>
        <v/>
      </c>
      <c r="AA209" s="133" t="str">
        <f>IF($A209&lt;&gt;0,VLOOKUP($A209,'0.Productos'!$A$3:$GG$587,'0.Productos'!BS$1+1,0),"")</f>
        <v/>
      </c>
      <c r="AB209" s="133" t="str">
        <f>IF($A209&lt;&gt;0,VLOOKUP($A209,'0.Productos'!$A$3:$GG$587,'0.Productos'!BT$1+1,0),"")</f>
        <v/>
      </c>
      <c r="AC209" s="133" t="str">
        <f>IF($A209&lt;&gt;0,VLOOKUP($A209,'0.Productos'!$A$3:$GG$587,'0.Productos'!BU$1+1,0),"")</f>
        <v/>
      </c>
      <c r="AD209" s="133" t="str">
        <f>IF($A209&lt;&gt;0,VLOOKUP($A209,'0.Productos'!$A$3:$GG$587,'0.Productos'!BV$1+1,0),"")</f>
        <v/>
      </c>
      <c r="AE209" s="133" t="str">
        <f>IF($A209&lt;&gt;0,VLOOKUP($A209,'0.Productos'!$A$3:$GG$587,'0.Productos'!BW$1+1,0),"")</f>
        <v/>
      </c>
      <c r="AF209" s="133" t="str">
        <f>IF($A209&lt;&gt;0,VLOOKUP($A209,'0.Productos'!$A$3:$GG$587,'0.Productos'!BX$1+1,0),"")</f>
        <v/>
      </c>
      <c r="AG209" s="133" t="str">
        <f>IF($A209&lt;&gt;0,VLOOKUP($A209,'0.Productos'!$A$3:$GG$587,'0.Productos'!BY$1+1,0),"")</f>
        <v/>
      </c>
      <c r="AH209" s="133" t="str">
        <f>IF($A209&lt;&gt;0,VLOOKUP($A209,'0.Productos'!$A$3:$GG$587,'0.Productos'!BZ$1+1,0),"")</f>
        <v/>
      </c>
      <c r="AI209" s="133" t="str">
        <f>IF($A209&lt;&gt;0,VLOOKUP($A209,'0.Productos'!$A$3:$GG$587,'0.Productos'!CA$1+1,0),"")</f>
        <v/>
      </c>
      <c r="AJ209" s="133" t="str">
        <f>IF($A209&lt;&gt;0,VLOOKUP($A209,'0.Productos'!$A$3:$GG$587,'0.Productos'!CB$1+1,0),"")</f>
        <v/>
      </c>
      <c r="AK209" s="133" t="str">
        <f>IF($A209&lt;&gt;0,VLOOKUP($A209,'0.Productos'!$A$3:$GG$587,'0.Productos'!CC$1+1,0),"")</f>
        <v/>
      </c>
      <c r="AL209" s="133" t="str">
        <f>IF($A209&lt;&gt;0,VLOOKUP($A209,'0.Productos'!$A$3:$GG$587,'0.Productos'!CD$1+1,0),"")</f>
        <v/>
      </c>
      <c r="AM209" s="133" t="str">
        <f>IF($A209&lt;&gt;0,VLOOKUP($A209,'0.Productos'!$A$3:$GG$587,'0.Productos'!CE$1+1,0),"")</f>
        <v/>
      </c>
      <c r="AN209" s="133" t="str">
        <f>IF($A209&lt;&gt;0,VLOOKUP($A209,'0.Productos'!$A$3:$GG$587,'0.Productos'!CF$1+1,0),"")</f>
        <v/>
      </c>
      <c r="AO209" s="133" t="str">
        <f>IF($A209&lt;&gt;0,VLOOKUP($A209,'0.Productos'!$A$3:$GG$587,'0.Productos'!CG$1+1,0),"")</f>
        <v/>
      </c>
      <c r="AP209" s="133" t="str">
        <f>IF($A209&lt;&gt;0,VLOOKUP($A209,'0.Productos'!$A$3:$GG$587,'0.Productos'!CH$1+1,0),"")</f>
        <v/>
      </c>
      <c r="AQ209" s="133" t="str">
        <f>IF($A209&lt;&gt;0,VLOOKUP($A209,'0.Productos'!$A$3:$GG$587,'0.Productos'!CI$1+1,0),"")</f>
        <v/>
      </c>
      <c r="AR209" s="133" t="str">
        <f>IF($A209&lt;&gt;0,VLOOKUP($A209,'0.Productos'!$A$3:$GG$587,'0.Productos'!CJ$1+1,0),"")</f>
        <v/>
      </c>
      <c r="AS209" s="133" t="str">
        <f>IF($A209&lt;&gt;0,VLOOKUP($A209,'0.Productos'!$A$3:$GG$587,'0.Productos'!CK$1+1,0),"")</f>
        <v/>
      </c>
      <c r="AT209" s="133" t="str">
        <f>IF($A209&lt;&gt;0,VLOOKUP($A209,'0.Productos'!$A$3:$GG$587,'0.Productos'!CL$1+1,0),"")</f>
        <v/>
      </c>
      <c r="AU209" s="133" t="str">
        <f>IF($A209&lt;&gt;0,VLOOKUP($A209,'0.Productos'!$A$3:$GG$587,'0.Productos'!CM$1+1,0),"")</f>
        <v/>
      </c>
      <c r="AV209" s="133" t="str">
        <f>IF($A209&lt;&gt;0,VLOOKUP($A209,'0.Productos'!$A$3:$GG$587,'0.Productos'!CN$1+1,0),"")</f>
        <v/>
      </c>
      <c r="AW209" s="133" t="str">
        <f>IF($A209&lt;&gt;0,VLOOKUP($A209,'0.Productos'!$A$3:$GG$587,'0.Productos'!CO$1+1,0),"")</f>
        <v/>
      </c>
      <c r="AX209" s="133" t="str">
        <f>IF($A209&lt;&gt;0,VLOOKUP($A209,'0.Productos'!$A$3:$GG$587,'0.Productos'!CP$1+1,0),"")</f>
        <v/>
      </c>
      <c r="AY209" s="133" t="str">
        <f>IF($A209&lt;&gt;0,VLOOKUP($A209,'0.Productos'!$A$3:$GG$587,'0.Productos'!CQ$1+1,0),"")</f>
        <v/>
      </c>
      <c r="AZ209" s="133" t="str">
        <f>IF($A209&lt;&gt;0,VLOOKUP($A209,'0.Productos'!$A$3:$GG$587,'0.Productos'!CR$1+1,0),"")</f>
        <v/>
      </c>
      <c r="BA209" s="133" t="str">
        <f>IF($A209&lt;&gt;0,VLOOKUP($A209,'0.Productos'!$A$3:$GG$587,'0.Productos'!CS$1+1,0),"")</f>
        <v/>
      </c>
      <c r="BB209" s="133" t="str">
        <f>IF($A209&lt;&gt;0,VLOOKUP($A209,'0.Productos'!$A$3:$GG$587,'0.Productos'!CT$1+1,0),"")</f>
        <v/>
      </c>
      <c r="BC209" s="133" t="str">
        <f>IF($A209&lt;&gt;0,VLOOKUP($A209,'0.Productos'!$A$3:$GG$587,'0.Productos'!CU$1+1,0),"")</f>
        <v/>
      </c>
      <c r="BD209" s="133" t="str">
        <f>IF($A209&lt;&gt;0,VLOOKUP($A209,'0.Productos'!$A$3:$GG$587,'0.Productos'!CV$1+1,0),"")</f>
        <v/>
      </c>
      <c r="BE209" s="133" t="str">
        <f>IF($A209&lt;&gt;0,VLOOKUP($A209,'0.Productos'!$A$3:$GG$587,'0.Productos'!CW$1+1,0),"")</f>
        <v/>
      </c>
      <c r="BF209" s="133" t="str">
        <f>IF($A209&lt;&gt;0,VLOOKUP($A209,'0.Productos'!$A$3:$GG$587,'0.Productos'!CX$1+1,0),"")</f>
        <v/>
      </c>
      <c r="BG209" s="133" t="str">
        <f>IF($A209&lt;&gt;0,VLOOKUP($A209,'0.Productos'!$A$3:$GG$587,'0.Productos'!CY$1+1,0),"")</f>
        <v/>
      </c>
      <c r="BH209" s="133" t="str">
        <f>IF($A209&lt;&gt;0,VLOOKUP($A209,'0.Productos'!$A$3:$GG$587,'0.Productos'!CZ$1+1,0),"")</f>
        <v/>
      </c>
      <c r="BI209" s="133" t="str">
        <f>IF($A209&lt;&gt;0,VLOOKUP($A209,'0.Productos'!$A$3:$GG$587,'0.Productos'!DA$1+1,0),"")</f>
        <v/>
      </c>
      <c r="BJ209" s="133" t="str">
        <f>IF($A209&lt;&gt;0,VLOOKUP($A209,'0.Productos'!$A$3:$GG$587,'0.Productos'!DB$1+1,0),"")</f>
        <v/>
      </c>
      <c r="BK209" s="133" t="str">
        <f>IF($A209&lt;&gt;0,VLOOKUP($A209,'0.Productos'!$A$3:$GG$587,'0.Productos'!DC$1+1,0),"")</f>
        <v/>
      </c>
      <c r="BL209" s="133" t="str">
        <f>IF($A209&lt;&gt;0,VLOOKUP($A209,'0.Productos'!$A$3:$GG$587,'0.Productos'!DD$1+1,0),"")</f>
        <v/>
      </c>
      <c r="BM209" s="133" t="str">
        <f>IF($A209&lt;&gt;0,VLOOKUP($A209,'0.Productos'!$A$3:$GG$587,'0.Productos'!DE$1+1,0),"")</f>
        <v/>
      </c>
      <c r="BN209" s="133" t="str">
        <f>IF($A209&lt;&gt;0,VLOOKUP($A209,'0.Productos'!$A$3:$GG$587,'0.Productos'!DF$1+1,0),"")</f>
        <v/>
      </c>
      <c r="BO209" s="133" t="str">
        <f>IF($A209&lt;&gt;0,VLOOKUP($A209,'0.Productos'!$A$3:$GG$587,'0.Productos'!DG$1+1,0),"")</f>
        <v/>
      </c>
      <c r="BP209" s="133" t="str">
        <f>IF($A209&lt;&gt;0,VLOOKUP($A209,'0.Productos'!$A$3:$GG$587,'0.Productos'!DH$1+1,0),"")</f>
        <v/>
      </c>
      <c r="BQ209" s="133" t="str">
        <f>IF($A209&lt;&gt;0,VLOOKUP($A209,'0.Productos'!$A$3:$GG$587,'0.Productos'!DI$1+1,0),"")</f>
        <v/>
      </c>
      <c r="BR209" s="133" t="str">
        <f>IF($A209&lt;&gt;0,VLOOKUP($A209,'0.Productos'!$A$3:$GG$587,'0.Productos'!DJ$1+1,0),"")</f>
        <v/>
      </c>
      <c r="BS209" s="133" t="str">
        <f>IF($A209&lt;&gt;0,VLOOKUP($A209,'0.Productos'!$A$3:$GG$587,'0.Productos'!DK$1+1,0),"")</f>
        <v/>
      </c>
      <c r="BT209" s="133" t="str">
        <f>IF($A209&lt;&gt;0,VLOOKUP($A209,'0.Productos'!$A$3:$GG$587,'0.Productos'!DL$1+1,0),"")</f>
        <v/>
      </c>
    </row>
    <row r="210" spans="1:72" x14ac:dyDescent="0.25">
      <c r="A210" s="17">
        <f>'0.Consolidado general'!A210</f>
        <v>0</v>
      </c>
      <c r="B210" s="133" t="str">
        <f>IF($A210&lt;&gt;0,VLOOKUP($A210,'0.Productos'!$A$3:$GG$587,'0.Productos'!AT$1+1,0),"")</f>
        <v/>
      </c>
      <c r="C210" s="133" t="str">
        <f>IF($A210&lt;&gt;0,VLOOKUP($A210,'0.Productos'!$A$3:$GG$587,'0.Productos'!AU$1+1,0),"")</f>
        <v/>
      </c>
      <c r="D210" s="133" t="str">
        <f>IF($A210&lt;&gt;0,VLOOKUP($A210,'0.Productos'!$A$3:$GG$587,'0.Productos'!AV$1+1,0),"")</f>
        <v/>
      </c>
      <c r="E210" s="133" t="str">
        <f>IF($A210&lt;&gt;0,VLOOKUP($A210,'0.Productos'!$A$3:$GG$587,'0.Productos'!AW$1+1,0),"")</f>
        <v/>
      </c>
      <c r="F210" s="133" t="str">
        <f>IF($A210&lt;&gt;0,VLOOKUP($A210,'0.Productos'!$A$3:$GG$587,'0.Productos'!AX$1+1,0),"")</f>
        <v/>
      </c>
      <c r="G210" s="133" t="str">
        <f>IF($A210&lt;&gt;0,VLOOKUP($A210,'0.Productos'!$A$3:$GG$587,'0.Productos'!AY$1+1,0),"")</f>
        <v/>
      </c>
      <c r="H210" s="133" t="str">
        <f>IF($A210&lt;&gt;0,VLOOKUP($A210,'0.Productos'!$A$3:$GG$587,'0.Productos'!AZ$1+1,0),"")</f>
        <v/>
      </c>
      <c r="I210" s="133" t="str">
        <f>IF($A210&lt;&gt;0,VLOOKUP($A210,'0.Productos'!$A$3:$GG$587,'0.Productos'!BA$1+1,0),"")</f>
        <v/>
      </c>
      <c r="J210" s="133" t="str">
        <f>IF($A210&lt;&gt;0,VLOOKUP($A210,'0.Productos'!$A$3:$GG$587,'0.Productos'!BB$1+1,0),"")</f>
        <v/>
      </c>
      <c r="K210" s="133" t="str">
        <f>IF($A210&lt;&gt;0,VLOOKUP($A210,'0.Productos'!$A$3:$GG$587,'0.Productos'!BC$1+1,0),"")</f>
        <v/>
      </c>
      <c r="L210" s="133" t="str">
        <f>IF($A210&lt;&gt;0,VLOOKUP($A210,'0.Productos'!$A$3:$GG$587,'0.Productos'!BD$1+1,0),"")</f>
        <v/>
      </c>
      <c r="M210" s="133" t="str">
        <f>IF($A210&lt;&gt;0,VLOOKUP($A210,'0.Productos'!$A$3:$GG$587,'0.Productos'!BE$1+1,0),"")</f>
        <v/>
      </c>
      <c r="N210" s="133" t="str">
        <f>IF($A210&lt;&gt;0,VLOOKUP($A210,'0.Productos'!$A$3:$GG$587,'0.Productos'!BF$1+1,0),"")</f>
        <v/>
      </c>
      <c r="O210" s="133" t="str">
        <f>IF($A210&lt;&gt;0,VLOOKUP($A210,'0.Productos'!$A$3:$GG$587,'0.Productos'!BG$1+1,0),"")</f>
        <v/>
      </c>
      <c r="P210" s="133" t="str">
        <f>IF($A210&lt;&gt;0,VLOOKUP($A210,'0.Productos'!$A$3:$GG$587,'0.Productos'!BH$1+1,0),"")</f>
        <v/>
      </c>
      <c r="Q210" s="133" t="str">
        <f>IF($A210&lt;&gt;0,VLOOKUP($A210,'0.Productos'!$A$3:$GG$587,'0.Productos'!BI$1+1,0),"")</f>
        <v/>
      </c>
      <c r="R210" s="133" t="str">
        <f>IF($A210&lt;&gt;0,VLOOKUP($A210,'0.Productos'!$A$3:$GG$587,'0.Productos'!BJ$1+1,0),"")</f>
        <v/>
      </c>
      <c r="S210" s="133" t="str">
        <f>IF($A210&lt;&gt;0,VLOOKUP($A210,'0.Productos'!$A$3:$GG$587,'0.Productos'!BK$1+1,0),"")</f>
        <v/>
      </c>
      <c r="T210" s="133" t="str">
        <f>IF($A210&lt;&gt;0,VLOOKUP($A210,'0.Productos'!$A$3:$GG$587,'0.Productos'!BL$1+1,0),"")</f>
        <v/>
      </c>
      <c r="U210" s="133" t="str">
        <f>IF($A210&lt;&gt;0,VLOOKUP($A210,'0.Productos'!$A$3:$GG$587,'0.Productos'!BM$1+1,0),"")</f>
        <v/>
      </c>
      <c r="V210" s="133" t="str">
        <f>IF($A210&lt;&gt;0,VLOOKUP($A210,'0.Productos'!$A$3:$GG$587,'0.Productos'!BN$1+1,0),"")</f>
        <v/>
      </c>
      <c r="W210" s="133" t="str">
        <f>IF($A210&lt;&gt;0,VLOOKUP($A210,'0.Productos'!$A$3:$GG$587,'0.Productos'!BO$1+1,0),"")</f>
        <v/>
      </c>
      <c r="X210" s="133" t="str">
        <f>IF($A210&lt;&gt;0,VLOOKUP($A210,'0.Productos'!$A$3:$GG$587,'0.Productos'!BP$1+1,0),"")</f>
        <v/>
      </c>
      <c r="Y210" s="133" t="str">
        <f>IF($A210&lt;&gt;0,VLOOKUP($A210,'0.Productos'!$A$3:$GG$587,'0.Productos'!BQ$1+1,0),"")</f>
        <v/>
      </c>
      <c r="Z210" s="133" t="str">
        <f>IF($A210&lt;&gt;0,VLOOKUP($A210,'0.Productos'!$A$3:$GG$587,'0.Productos'!BR$1+1,0),"")</f>
        <v/>
      </c>
      <c r="AA210" s="133" t="str">
        <f>IF($A210&lt;&gt;0,VLOOKUP($A210,'0.Productos'!$A$3:$GG$587,'0.Productos'!BS$1+1,0),"")</f>
        <v/>
      </c>
      <c r="AB210" s="133" t="str">
        <f>IF($A210&lt;&gt;0,VLOOKUP($A210,'0.Productos'!$A$3:$GG$587,'0.Productos'!BT$1+1,0),"")</f>
        <v/>
      </c>
      <c r="AC210" s="133" t="str">
        <f>IF($A210&lt;&gt;0,VLOOKUP($A210,'0.Productos'!$A$3:$GG$587,'0.Productos'!BU$1+1,0),"")</f>
        <v/>
      </c>
      <c r="AD210" s="133" t="str">
        <f>IF($A210&lt;&gt;0,VLOOKUP($A210,'0.Productos'!$A$3:$GG$587,'0.Productos'!BV$1+1,0),"")</f>
        <v/>
      </c>
      <c r="AE210" s="133" t="str">
        <f>IF($A210&lt;&gt;0,VLOOKUP($A210,'0.Productos'!$A$3:$GG$587,'0.Productos'!BW$1+1,0),"")</f>
        <v/>
      </c>
      <c r="AF210" s="133" t="str">
        <f>IF($A210&lt;&gt;0,VLOOKUP($A210,'0.Productos'!$A$3:$GG$587,'0.Productos'!BX$1+1,0),"")</f>
        <v/>
      </c>
      <c r="AG210" s="133" t="str">
        <f>IF($A210&lt;&gt;0,VLOOKUP($A210,'0.Productos'!$A$3:$GG$587,'0.Productos'!BY$1+1,0),"")</f>
        <v/>
      </c>
      <c r="AH210" s="133" t="str">
        <f>IF($A210&lt;&gt;0,VLOOKUP($A210,'0.Productos'!$A$3:$GG$587,'0.Productos'!BZ$1+1,0),"")</f>
        <v/>
      </c>
      <c r="AI210" s="133" t="str">
        <f>IF($A210&lt;&gt;0,VLOOKUP($A210,'0.Productos'!$A$3:$GG$587,'0.Productos'!CA$1+1,0),"")</f>
        <v/>
      </c>
      <c r="AJ210" s="133" t="str">
        <f>IF($A210&lt;&gt;0,VLOOKUP($A210,'0.Productos'!$A$3:$GG$587,'0.Productos'!CB$1+1,0),"")</f>
        <v/>
      </c>
      <c r="AK210" s="133" t="str">
        <f>IF($A210&lt;&gt;0,VLOOKUP($A210,'0.Productos'!$A$3:$GG$587,'0.Productos'!CC$1+1,0),"")</f>
        <v/>
      </c>
      <c r="AL210" s="133" t="str">
        <f>IF($A210&lt;&gt;0,VLOOKUP($A210,'0.Productos'!$A$3:$GG$587,'0.Productos'!CD$1+1,0),"")</f>
        <v/>
      </c>
      <c r="AM210" s="133" t="str">
        <f>IF($A210&lt;&gt;0,VLOOKUP($A210,'0.Productos'!$A$3:$GG$587,'0.Productos'!CE$1+1,0),"")</f>
        <v/>
      </c>
      <c r="AN210" s="133" t="str">
        <f>IF($A210&lt;&gt;0,VLOOKUP($A210,'0.Productos'!$A$3:$GG$587,'0.Productos'!CF$1+1,0),"")</f>
        <v/>
      </c>
      <c r="AO210" s="133" t="str">
        <f>IF($A210&lt;&gt;0,VLOOKUP($A210,'0.Productos'!$A$3:$GG$587,'0.Productos'!CG$1+1,0),"")</f>
        <v/>
      </c>
      <c r="AP210" s="133" t="str">
        <f>IF($A210&lt;&gt;0,VLOOKUP($A210,'0.Productos'!$A$3:$GG$587,'0.Productos'!CH$1+1,0),"")</f>
        <v/>
      </c>
      <c r="AQ210" s="133" t="str">
        <f>IF($A210&lt;&gt;0,VLOOKUP($A210,'0.Productos'!$A$3:$GG$587,'0.Productos'!CI$1+1,0),"")</f>
        <v/>
      </c>
      <c r="AR210" s="133" t="str">
        <f>IF($A210&lt;&gt;0,VLOOKUP($A210,'0.Productos'!$A$3:$GG$587,'0.Productos'!CJ$1+1,0),"")</f>
        <v/>
      </c>
      <c r="AS210" s="133" t="str">
        <f>IF($A210&lt;&gt;0,VLOOKUP($A210,'0.Productos'!$A$3:$GG$587,'0.Productos'!CK$1+1,0),"")</f>
        <v/>
      </c>
      <c r="AT210" s="133" t="str">
        <f>IF($A210&lt;&gt;0,VLOOKUP($A210,'0.Productos'!$A$3:$GG$587,'0.Productos'!CL$1+1,0),"")</f>
        <v/>
      </c>
      <c r="AU210" s="133" t="str">
        <f>IF($A210&lt;&gt;0,VLOOKUP($A210,'0.Productos'!$A$3:$GG$587,'0.Productos'!CM$1+1,0),"")</f>
        <v/>
      </c>
      <c r="AV210" s="133" t="str">
        <f>IF($A210&lt;&gt;0,VLOOKUP($A210,'0.Productos'!$A$3:$GG$587,'0.Productos'!CN$1+1,0),"")</f>
        <v/>
      </c>
      <c r="AW210" s="133" t="str">
        <f>IF($A210&lt;&gt;0,VLOOKUP($A210,'0.Productos'!$A$3:$GG$587,'0.Productos'!CO$1+1,0),"")</f>
        <v/>
      </c>
      <c r="AX210" s="133" t="str">
        <f>IF($A210&lt;&gt;0,VLOOKUP($A210,'0.Productos'!$A$3:$GG$587,'0.Productos'!CP$1+1,0),"")</f>
        <v/>
      </c>
      <c r="AY210" s="133" t="str">
        <f>IF($A210&lt;&gt;0,VLOOKUP($A210,'0.Productos'!$A$3:$GG$587,'0.Productos'!CQ$1+1,0),"")</f>
        <v/>
      </c>
      <c r="AZ210" s="133" t="str">
        <f>IF($A210&lt;&gt;0,VLOOKUP($A210,'0.Productos'!$A$3:$GG$587,'0.Productos'!CR$1+1,0),"")</f>
        <v/>
      </c>
      <c r="BA210" s="133" t="str">
        <f>IF($A210&lt;&gt;0,VLOOKUP($A210,'0.Productos'!$A$3:$GG$587,'0.Productos'!CS$1+1,0),"")</f>
        <v/>
      </c>
      <c r="BB210" s="133" t="str">
        <f>IF($A210&lt;&gt;0,VLOOKUP($A210,'0.Productos'!$A$3:$GG$587,'0.Productos'!CT$1+1,0),"")</f>
        <v/>
      </c>
      <c r="BC210" s="133" t="str">
        <f>IF($A210&lt;&gt;0,VLOOKUP($A210,'0.Productos'!$A$3:$GG$587,'0.Productos'!CU$1+1,0),"")</f>
        <v/>
      </c>
      <c r="BD210" s="133" t="str">
        <f>IF($A210&lt;&gt;0,VLOOKUP($A210,'0.Productos'!$A$3:$GG$587,'0.Productos'!CV$1+1,0),"")</f>
        <v/>
      </c>
      <c r="BE210" s="133" t="str">
        <f>IF($A210&lt;&gt;0,VLOOKUP($A210,'0.Productos'!$A$3:$GG$587,'0.Productos'!CW$1+1,0),"")</f>
        <v/>
      </c>
      <c r="BF210" s="133" t="str">
        <f>IF($A210&lt;&gt;0,VLOOKUP($A210,'0.Productos'!$A$3:$GG$587,'0.Productos'!CX$1+1,0),"")</f>
        <v/>
      </c>
      <c r="BG210" s="133" t="str">
        <f>IF($A210&lt;&gt;0,VLOOKUP($A210,'0.Productos'!$A$3:$GG$587,'0.Productos'!CY$1+1,0),"")</f>
        <v/>
      </c>
      <c r="BH210" s="133" t="str">
        <f>IF($A210&lt;&gt;0,VLOOKUP($A210,'0.Productos'!$A$3:$GG$587,'0.Productos'!CZ$1+1,0),"")</f>
        <v/>
      </c>
      <c r="BI210" s="133" t="str">
        <f>IF($A210&lt;&gt;0,VLOOKUP($A210,'0.Productos'!$A$3:$GG$587,'0.Productos'!DA$1+1,0),"")</f>
        <v/>
      </c>
      <c r="BJ210" s="133" t="str">
        <f>IF($A210&lt;&gt;0,VLOOKUP($A210,'0.Productos'!$A$3:$GG$587,'0.Productos'!DB$1+1,0),"")</f>
        <v/>
      </c>
      <c r="BK210" s="133" t="str">
        <f>IF($A210&lt;&gt;0,VLOOKUP($A210,'0.Productos'!$A$3:$GG$587,'0.Productos'!DC$1+1,0),"")</f>
        <v/>
      </c>
      <c r="BL210" s="133" t="str">
        <f>IF($A210&lt;&gt;0,VLOOKUP($A210,'0.Productos'!$A$3:$GG$587,'0.Productos'!DD$1+1,0),"")</f>
        <v/>
      </c>
      <c r="BM210" s="133" t="str">
        <f>IF($A210&lt;&gt;0,VLOOKUP($A210,'0.Productos'!$A$3:$GG$587,'0.Productos'!DE$1+1,0),"")</f>
        <v/>
      </c>
      <c r="BN210" s="133" t="str">
        <f>IF($A210&lt;&gt;0,VLOOKUP($A210,'0.Productos'!$A$3:$GG$587,'0.Productos'!DF$1+1,0),"")</f>
        <v/>
      </c>
      <c r="BO210" s="133" t="str">
        <f>IF($A210&lt;&gt;0,VLOOKUP($A210,'0.Productos'!$A$3:$GG$587,'0.Productos'!DG$1+1,0),"")</f>
        <v/>
      </c>
      <c r="BP210" s="133" t="str">
        <f>IF($A210&lt;&gt;0,VLOOKUP($A210,'0.Productos'!$A$3:$GG$587,'0.Productos'!DH$1+1,0),"")</f>
        <v/>
      </c>
      <c r="BQ210" s="133" t="str">
        <f>IF($A210&lt;&gt;0,VLOOKUP($A210,'0.Productos'!$A$3:$GG$587,'0.Productos'!DI$1+1,0),"")</f>
        <v/>
      </c>
      <c r="BR210" s="133" t="str">
        <f>IF($A210&lt;&gt;0,VLOOKUP($A210,'0.Productos'!$A$3:$GG$587,'0.Productos'!DJ$1+1,0),"")</f>
        <v/>
      </c>
      <c r="BS210" s="133" t="str">
        <f>IF($A210&lt;&gt;0,VLOOKUP($A210,'0.Productos'!$A$3:$GG$587,'0.Productos'!DK$1+1,0),"")</f>
        <v/>
      </c>
      <c r="BT210" s="133" t="str">
        <f>IF($A210&lt;&gt;0,VLOOKUP($A210,'0.Productos'!$A$3:$GG$587,'0.Productos'!DL$1+1,0),"")</f>
        <v/>
      </c>
    </row>
    <row r="211" spans="1:72" x14ac:dyDescent="0.25">
      <c r="A211" s="17">
        <f>'0.Consolidado general'!A211</f>
        <v>0</v>
      </c>
      <c r="B211" s="133" t="str">
        <f>IF($A211&lt;&gt;0,VLOOKUP($A211,'0.Productos'!$A$3:$GG$587,'0.Productos'!AT$1+1,0),"")</f>
        <v/>
      </c>
      <c r="C211" s="133" t="str">
        <f>IF($A211&lt;&gt;0,VLOOKUP($A211,'0.Productos'!$A$3:$GG$587,'0.Productos'!AU$1+1,0),"")</f>
        <v/>
      </c>
      <c r="D211" s="133" t="str">
        <f>IF($A211&lt;&gt;0,VLOOKUP($A211,'0.Productos'!$A$3:$GG$587,'0.Productos'!AV$1+1,0),"")</f>
        <v/>
      </c>
      <c r="E211" s="133" t="str">
        <f>IF($A211&lt;&gt;0,VLOOKUP($A211,'0.Productos'!$A$3:$GG$587,'0.Productos'!AW$1+1,0),"")</f>
        <v/>
      </c>
      <c r="F211" s="133" t="str">
        <f>IF($A211&lt;&gt;0,VLOOKUP($A211,'0.Productos'!$A$3:$GG$587,'0.Productos'!AX$1+1,0),"")</f>
        <v/>
      </c>
      <c r="G211" s="133" t="str">
        <f>IF($A211&lt;&gt;0,VLOOKUP($A211,'0.Productos'!$A$3:$GG$587,'0.Productos'!AY$1+1,0),"")</f>
        <v/>
      </c>
      <c r="H211" s="133" t="str">
        <f>IF($A211&lt;&gt;0,VLOOKUP($A211,'0.Productos'!$A$3:$GG$587,'0.Productos'!AZ$1+1,0),"")</f>
        <v/>
      </c>
      <c r="I211" s="133" t="str">
        <f>IF($A211&lt;&gt;0,VLOOKUP($A211,'0.Productos'!$A$3:$GG$587,'0.Productos'!BA$1+1,0),"")</f>
        <v/>
      </c>
      <c r="J211" s="133" t="str">
        <f>IF($A211&lt;&gt;0,VLOOKUP($A211,'0.Productos'!$A$3:$GG$587,'0.Productos'!BB$1+1,0),"")</f>
        <v/>
      </c>
      <c r="K211" s="133" t="str">
        <f>IF($A211&lt;&gt;0,VLOOKUP($A211,'0.Productos'!$A$3:$GG$587,'0.Productos'!BC$1+1,0),"")</f>
        <v/>
      </c>
      <c r="L211" s="133" t="str">
        <f>IF($A211&lt;&gt;0,VLOOKUP($A211,'0.Productos'!$A$3:$GG$587,'0.Productos'!BD$1+1,0),"")</f>
        <v/>
      </c>
      <c r="M211" s="133" t="str">
        <f>IF($A211&lt;&gt;0,VLOOKUP($A211,'0.Productos'!$A$3:$GG$587,'0.Productos'!BE$1+1,0),"")</f>
        <v/>
      </c>
      <c r="N211" s="133" t="str">
        <f>IF($A211&lt;&gt;0,VLOOKUP($A211,'0.Productos'!$A$3:$GG$587,'0.Productos'!BF$1+1,0),"")</f>
        <v/>
      </c>
      <c r="O211" s="133" t="str">
        <f>IF($A211&lt;&gt;0,VLOOKUP($A211,'0.Productos'!$A$3:$GG$587,'0.Productos'!BG$1+1,0),"")</f>
        <v/>
      </c>
      <c r="P211" s="133" t="str">
        <f>IF($A211&lt;&gt;0,VLOOKUP($A211,'0.Productos'!$A$3:$GG$587,'0.Productos'!BH$1+1,0),"")</f>
        <v/>
      </c>
      <c r="Q211" s="133" t="str">
        <f>IF($A211&lt;&gt;0,VLOOKUP($A211,'0.Productos'!$A$3:$GG$587,'0.Productos'!BI$1+1,0),"")</f>
        <v/>
      </c>
      <c r="R211" s="133" t="str">
        <f>IF($A211&lt;&gt;0,VLOOKUP($A211,'0.Productos'!$A$3:$GG$587,'0.Productos'!BJ$1+1,0),"")</f>
        <v/>
      </c>
      <c r="S211" s="133" t="str">
        <f>IF($A211&lt;&gt;0,VLOOKUP($A211,'0.Productos'!$A$3:$GG$587,'0.Productos'!BK$1+1,0),"")</f>
        <v/>
      </c>
      <c r="T211" s="133" t="str">
        <f>IF($A211&lt;&gt;0,VLOOKUP($A211,'0.Productos'!$A$3:$GG$587,'0.Productos'!BL$1+1,0),"")</f>
        <v/>
      </c>
      <c r="U211" s="133" t="str">
        <f>IF($A211&lt;&gt;0,VLOOKUP($A211,'0.Productos'!$A$3:$GG$587,'0.Productos'!BM$1+1,0),"")</f>
        <v/>
      </c>
      <c r="V211" s="133" t="str">
        <f>IF($A211&lt;&gt;0,VLOOKUP($A211,'0.Productos'!$A$3:$GG$587,'0.Productos'!BN$1+1,0),"")</f>
        <v/>
      </c>
      <c r="W211" s="133" t="str">
        <f>IF($A211&lt;&gt;0,VLOOKUP($A211,'0.Productos'!$A$3:$GG$587,'0.Productos'!BO$1+1,0),"")</f>
        <v/>
      </c>
      <c r="X211" s="133" t="str">
        <f>IF($A211&lt;&gt;0,VLOOKUP($A211,'0.Productos'!$A$3:$GG$587,'0.Productos'!BP$1+1,0),"")</f>
        <v/>
      </c>
      <c r="Y211" s="133" t="str">
        <f>IF($A211&lt;&gt;0,VLOOKUP($A211,'0.Productos'!$A$3:$GG$587,'0.Productos'!BQ$1+1,0),"")</f>
        <v/>
      </c>
      <c r="Z211" s="133" t="str">
        <f>IF($A211&lt;&gt;0,VLOOKUP($A211,'0.Productos'!$A$3:$GG$587,'0.Productos'!BR$1+1,0),"")</f>
        <v/>
      </c>
      <c r="AA211" s="133" t="str">
        <f>IF($A211&lt;&gt;0,VLOOKUP($A211,'0.Productos'!$A$3:$GG$587,'0.Productos'!BS$1+1,0),"")</f>
        <v/>
      </c>
      <c r="AB211" s="133" t="str">
        <f>IF($A211&lt;&gt;0,VLOOKUP($A211,'0.Productos'!$A$3:$GG$587,'0.Productos'!BT$1+1,0),"")</f>
        <v/>
      </c>
      <c r="AC211" s="133" t="str">
        <f>IF($A211&lt;&gt;0,VLOOKUP($A211,'0.Productos'!$A$3:$GG$587,'0.Productos'!BU$1+1,0),"")</f>
        <v/>
      </c>
      <c r="AD211" s="133" t="str">
        <f>IF($A211&lt;&gt;0,VLOOKUP($A211,'0.Productos'!$A$3:$GG$587,'0.Productos'!BV$1+1,0),"")</f>
        <v/>
      </c>
      <c r="AE211" s="133" t="str">
        <f>IF($A211&lt;&gt;0,VLOOKUP($A211,'0.Productos'!$A$3:$GG$587,'0.Productos'!BW$1+1,0),"")</f>
        <v/>
      </c>
      <c r="AF211" s="133" t="str">
        <f>IF($A211&lt;&gt;0,VLOOKUP($A211,'0.Productos'!$A$3:$GG$587,'0.Productos'!BX$1+1,0),"")</f>
        <v/>
      </c>
      <c r="AG211" s="133" t="str">
        <f>IF($A211&lt;&gt;0,VLOOKUP($A211,'0.Productos'!$A$3:$GG$587,'0.Productos'!BY$1+1,0),"")</f>
        <v/>
      </c>
      <c r="AH211" s="133" t="str">
        <f>IF($A211&lt;&gt;0,VLOOKUP($A211,'0.Productos'!$A$3:$GG$587,'0.Productos'!BZ$1+1,0),"")</f>
        <v/>
      </c>
      <c r="AI211" s="133" t="str">
        <f>IF($A211&lt;&gt;0,VLOOKUP($A211,'0.Productos'!$A$3:$GG$587,'0.Productos'!CA$1+1,0),"")</f>
        <v/>
      </c>
      <c r="AJ211" s="133" t="str">
        <f>IF($A211&lt;&gt;0,VLOOKUP($A211,'0.Productos'!$A$3:$GG$587,'0.Productos'!CB$1+1,0),"")</f>
        <v/>
      </c>
      <c r="AK211" s="133" t="str">
        <f>IF($A211&lt;&gt;0,VLOOKUP($A211,'0.Productos'!$A$3:$GG$587,'0.Productos'!CC$1+1,0),"")</f>
        <v/>
      </c>
      <c r="AL211" s="133" t="str">
        <f>IF($A211&lt;&gt;0,VLOOKUP($A211,'0.Productos'!$A$3:$GG$587,'0.Productos'!CD$1+1,0),"")</f>
        <v/>
      </c>
      <c r="AM211" s="133" t="str">
        <f>IF($A211&lt;&gt;0,VLOOKUP($A211,'0.Productos'!$A$3:$GG$587,'0.Productos'!CE$1+1,0),"")</f>
        <v/>
      </c>
      <c r="AN211" s="133" t="str">
        <f>IF($A211&lt;&gt;0,VLOOKUP($A211,'0.Productos'!$A$3:$GG$587,'0.Productos'!CF$1+1,0),"")</f>
        <v/>
      </c>
      <c r="AO211" s="133" t="str">
        <f>IF($A211&lt;&gt;0,VLOOKUP($A211,'0.Productos'!$A$3:$GG$587,'0.Productos'!CG$1+1,0),"")</f>
        <v/>
      </c>
      <c r="AP211" s="133" t="str">
        <f>IF($A211&lt;&gt;0,VLOOKUP($A211,'0.Productos'!$A$3:$GG$587,'0.Productos'!CH$1+1,0),"")</f>
        <v/>
      </c>
      <c r="AQ211" s="133" t="str">
        <f>IF($A211&lt;&gt;0,VLOOKUP($A211,'0.Productos'!$A$3:$GG$587,'0.Productos'!CI$1+1,0),"")</f>
        <v/>
      </c>
      <c r="AR211" s="133" t="str">
        <f>IF($A211&lt;&gt;0,VLOOKUP($A211,'0.Productos'!$A$3:$GG$587,'0.Productos'!CJ$1+1,0),"")</f>
        <v/>
      </c>
      <c r="AS211" s="133" t="str">
        <f>IF($A211&lt;&gt;0,VLOOKUP($A211,'0.Productos'!$A$3:$GG$587,'0.Productos'!CK$1+1,0),"")</f>
        <v/>
      </c>
      <c r="AT211" s="133" t="str">
        <f>IF($A211&lt;&gt;0,VLOOKUP($A211,'0.Productos'!$A$3:$GG$587,'0.Productos'!CL$1+1,0),"")</f>
        <v/>
      </c>
      <c r="AU211" s="133" t="str">
        <f>IF($A211&lt;&gt;0,VLOOKUP($A211,'0.Productos'!$A$3:$GG$587,'0.Productos'!CM$1+1,0),"")</f>
        <v/>
      </c>
      <c r="AV211" s="133" t="str">
        <f>IF($A211&lt;&gt;0,VLOOKUP($A211,'0.Productos'!$A$3:$GG$587,'0.Productos'!CN$1+1,0),"")</f>
        <v/>
      </c>
      <c r="AW211" s="133" t="str">
        <f>IF($A211&lt;&gt;0,VLOOKUP($A211,'0.Productos'!$A$3:$GG$587,'0.Productos'!CO$1+1,0),"")</f>
        <v/>
      </c>
      <c r="AX211" s="133" t="str">
        <f>IF($A211&lt;&gt;0,VLOOKUP($A211,'0.Productos'!$A$3:$GG$587,'0.Productos'!CP$1+1,0),"")</f>
        <v/>
      </c>
      <c r="AY211" s="133" t="str">
        <f>IF($A211&lt;&gt;0,VLOOKUP($A211,'0.Productos'!$A$3:$GG$587,'0.Productos'!CQ$1+1,0),"")</f>
        <v/>
      </c>
      <c r="AZ211" s="133" t="str">
        <f>IF($A211&lt;&gt;0,VLOOKUP($A211,'0.Productos'!$A$3:$GG$587,'0.Productos'!CR$1+1,0),"")</f>
        <v/>
      </c>
      <c r="BA211" s="133" t="str">
        <f>IF($A211&lt;&gt;0,VLOOKUP($A211,'0.Productos'!$A$3:$GG$587,'0.Productos'!CS$1+1,0),"")</f>
        <v/>
      </c>
      <c r="BB211" s="133" t="str">
        <f>IF($A211&lt;&gt;0,VLOOKUP($A211,'0.Productos'!$A$3:$GG$587,'0.Productos'!CT$1+1,0),"")</f>
        <v/>
      </c>
      <c r="BC211" s="133" t="str">
        <f>IF($A211&lt;&gt;0,VLOOKUP($A211,'0.Productos'!$A$3:$GG$587,'0.Productos'!CU$1+1,0),"")</f>
        <v/>
      </c>
      <c r="BD211" s="133" t="str">
        <f>IF($A211&lt;&gt;0,VLOOKUP($A211,'0.Productos'!$A$3:$GG$587,'0.Productos'!CV$1+1,0),"")</f>
        <v/>
      </c>
      <c r="BE211" s="133" t="str">
        <f>IF($A211&lt;&gt;0,VLOOKUP($A211,'0.Productos'!$A$3:$GG$587,'0.Productos'!CW$1+1,0),"")</f>
        <v/>
      </c>
      <c r="BF211" s="133" t="str">
        <f>IF($A211&lt;&gt;0,VLOOKUP($A211,'0.Productos'!$A$3:$GG$587,'0.Productos'!CX$1+1,0),"")</f>
        <v/>
      </c>
      <c r="BG211" s="133" t="str">
        <f>IF($A211&lt;&gt;0,VLOOKUP($A211,'0.Productos'!$A$3:$GG$587,'0.Productos'!CY$1+1,0),"")</f>
        <v/>
      </c>
      <c r="BH211" s="133" t="str">
        <f>IF($A211&lt;&gt;0,VLOOKUP($A211,'0.Productos'!$A$3:$GG$587,'0.Productos'!CZ$1+1,0),"")</f>
        <v/>
      </c>
      <c r="BI211" s="133" t="str">
        <f>IF($A211&lt;&gt;0,VLOOKUP($A211,'0.Productos'!$A$3:$GG$587,'0.Productos'!DA$1+1,0),"")</f>
        <v/>
      </c>
      <c r="BJ211" s="133" t="str">
        <f>IF($A211&lt;&gt;0,VLOOKUP($A211,'0.Productos'!$A$3:$GG$587,'0.Productos'!DB$1+1,0),"")</f>
        <v/>
      </c>
      <c r="BK211" s="133" t="str">
        <f>IF($A211&lt;&gt;0,VLOOKUP($A211,'0.Productos'!$A$3:$GG$587,'0.Productos'!DC$1+1,0),"")</f>
        <v/>
      </c>
      <c r="BL211" s="133" t="str">
        <f>IF($A211&lt;&gt;0,VLOOKUP($A211,'0.Productos'!$A$3:$GG$587,'0.Productos'!DD$1+1,0),"")</f>
        <v/>
      </c>
      <c r="BM211" s="133" t="str">
        <f>IF($A211&lt;&gt;0,VLOOKUP($A211,'0.Productos'!$A$3:$GG$587,'0.Productos'!DE$1+1,0),"")</f>
        <v/>
      </c>
      <c r="BN211" s="133" t="str">
        <f>IF($A211&lt;&gt;0,VLOOKUP($A211,'0.Productos'!$A$3:$GG$587,'0.Productos'!DF$1+1,0),"")</f>
        <v/>
      </c>
      <c r="BO211" s="133" t="str">
        <f>IF($A211&lt;&gt;0,VLOOKUP($A211,'0.Productos'!$A$3:$GG$587,'0.Productos'!DG$1+1,0),"")</f>
        <v/>
      </c>
      <c r="BP211" s="133" t="str">
        <f>IF($A211&lt;&gt;0,VLOOKUP($A211,'0.Productos'!$A$3:$GG$587,'0.Productos'!DH$1+1,0),"")</f>
        <v/>
      </c>
      <c r="BQ211" s="133" t="str">
        <f>IF($A211&lt;&gt;0,VLOOKUP($A211,'0.Productos'!$A$3:$GG$587,'0.Productos'!DI$1+1,0),"")</f>
        <v/>
      </c>
      <c r="BR211" s="133" t="str">
        <f>IF($A211&lt;&gt;0,VLOOKUP($A211,'0.Productos'!$A$3:$GG$587,'0.Productos'!DJ$1+1,0),"")</f>
        <v/>
      </c>
      <c r="BS211" s="133" t="str">
        <f>IF($A211&lt;&gt;0,VLOOKUP($A211,'0.Productos'!$A$3:$GG$587,'0.Productos'!DK$1+1,0),"")</f>
        <v/>
      </c>
      <c r="BT211" s="133" t="str">
        <f>IF($A211&lt;&gt;0,VLOOKUP($A211,'0.Productos'!$A$3:$GG$587,'0.Productos'!DL$1+1,0),"")</f>
        <v/>
      </c>
    </row>
    <row r="212" spans="1:72" x14ac:dyDescent="0.25">
      <c r="A212" s="17">
        <f>'0.Consolidado general'!A212</f>
        <v>0</v>
      </c>
      <c r="B212" s="133" t="str">
        <f>IF($A212&lt;&gt;0,VLOOKUP($A212,'0.Productos'!$A$3:$GG$587,'0.Productos'!AT$1+1,0),"")</f>
        <v/>
      </c>
      <c r="C212" s="133" t="str">
        <f>IF($A212&lt;&gt;0,VLOOKUP($A212,'0.Productos'!$A$3:$GG$587,'0.Productos'!AU$1+1,0),"")</f>
        <v/>
      </c>
      <c r="D212" s="133" t="str">
        <f>IF($A212&lt;&gt;0,VLOOKUP($A212,'0.Productos'!$A$3:$GG$587,'0.Productos'!AV$1+1,0),"")</f>
        <v/>
      </c>
      <c r="E212" s="133" t="str">
        <f>IF($A212&lt;&gt;0,VLOOKUP($A212,'0.Productos'!$A$3:$GG$587,'0.Productos'!AW$1+1,0),"")</f>
        <v/>
      </c>
      <c r="F212" s="133" t="str">
        <f>IF($A212&lt;&gt;0,VLOOKUP($A212,'0.Productos'!$A$3:$GG$587,'0.Productos'!AX$1+1,0),"")</f>
        <v/>
      </c>
      <c r="G212" s="133" t="str">
        <f>IF($A212&lt;&gt;0,VLOOKUP($A212,'0.Productos'!$A$3:$GG$587,'0.Productos'!AY$1+1,0),"")</f>
        <v/>
      </c>
      <c r="H212" s="133" t="str">
        <f>IF($A212&lt;&gt;0,VLOOKUP($A212,'0.Productos'!$A$3:$GG$587,'0.Productos'!AZ$1+1,0),"")</f>
        <v/>
      </c>
      <c r="I212" s="133" t="str">
        <f>IF($A212&lt;&gt;0,VLOOKUP($A212,'0.Productos'!$A$3:$GG$587,'0.Productos'!BA$1+1,0),"")</f>
        <v/>
      </c>
      <c r="J212" s="133" t="str">
        <f>IF($A212&lt;&gt;0,VLOOKUP($A212,'0.Productos'!$A$3:$GG$587,'0.Productos'!BB$1+1,0),"")</f>
        <v/>
      </c>
      <c r="K212" s="133" t="str">
        <f>IF($A212&lt;&gt;0,VLOOKUP($A212,'0.Productos'!$A$3:$GG$587,'0.Productos'!BC$1+1,0),"")</f>
        <v/>
      </c>
      <c r="L212" s="133" t="str">
        <f>IF($A212&lt;&gt;0,VLOOKUP($A212,'0.Productos'!$A$3:$GG$587,'0.Productos'!BD$1+1,0),"")</f>
        <v/>
      </c>
      <c r="M212" s="133" t="str">
        <f>IF($A212&lt;&gt;0,VLOOKUP($A212,'0.Productos'!$A$3:$GG$587,'0.Productos'!BE$1+1,0),"")</f>
        <v/>
      </c>
      <c r="N212" s="133" t="str">
        <f>IF($A212&lt;&gt;0,VLOOKUP($A212,'0.Productos'!$A$3:$GG$587,'0.Productos'!BF$1+1,0),"")</f>
        <v/>
      </c>
      <c r="O212" s="133" t="str">
        <f>IF($A212&lt;&gt;0,VLOOKUP($A212,'0.Productos'!$A$3:$GG$587,'0.Productos'!BG$1+1,0),"")</f>
        <v/>
      </c>
      <c r="P212" s="133" t="str">
        <f>IF($A212&lt;&gt;0,VLOOKUP($A212,'0.Productos'!$A$3:$GG$587,'0.Productos'!BH$1+1,0),"")</f>
        <v/>
      </c>
      <c r="Q212" s="133" t="str">
        <f>IF($A212&lt;&gt;0,VLOOKUP($A212,'0.Productos'!$A$3:$GG$587,'0.Productos'!BI$1+1,0),"")</f>
        <v/>
      </c>
      <c r="R212" s="133" t="str">
        <f>IF($A212&lt;&gt;0,VLOOKUP($A212,'0.Productos'!$A$3:$GG$587,'0.Productos'!BJ$1+1,0),"")</f>
        <v/>
      </c>
      <c r="S212" s="133" t="str">
        <f>IF($A212&lt;&gt;0,VLOOKUP($A212,'0.Productos'!$A$3:$GG$587,'0.Productos'!BK$1+1,0),"")</f>
        <v/>
      </c>
      <c r="T212" s="133" t="str">
        <f>IF($A212&lt;&gt;0,VLOOKUP($A212,'0.Productos'!$A$3:$GG$587,'0.Productos'!BL$1+1,0),"")</f>
        <v/>
      </c>
      <c r="U212" s="133" t="str">
        <f>IF($A212&lt;&gt;0,VLOOKUP($A212,'0.Productos'!$A$3:$GG$587,'0.Productos'!BM$1+1,0),"")</f>
        <v/>
      </c>
      <c r="V212" s="133" t="str">
        <f>IF($A212&lt;&gt;0,VLOOKUP($A212,'0.Productos'!$A$3:$GG$587,'0.Productos'!BN$1+1,0),"")</f>
        <v/>
      </c>
      <c r="W212" s="133" t="str">
        <f>IF($A212&lt;&gt;0,VLOOKUP($A212,'0.Productos'!$A$3:$GG$587,'0.Productos'!BO$1+1,0),"")</f>
        <v/>
      </c>
      <c r="X212" s="133" t="str">
        <f>IF($A212&lt;&gt;0,VLOOKUP($A212,'0.Productos'!$A$3:$GG$587,'0.Productos'!BP$1+1,0),"")</f>
        <v/>
      </c>
      <c r="Y212" s="133" t="str">
        <f>IF($A212&lt;&gt;0,VLOOKUP($A212,'0.Productos'!$A$3:$GG$587,'0.Productos'!BQ$1+1,0),"")</f>
        <v/>
      </c>
      <c r="Z212" s="133" t="str">
        <f>IF($A212&lt;&gt;0,VLOOKUP($A212,'0.Productos'!$A$3:$GG$587,'0.Productos'!BR$1+1,0),"")</f>
        <v/>
      </c>
      <c r="AA212" s="133" t="str">
        <f>IF($A212&lt;&gt;0,VLOOKUP($A212,'0.Productos'!$A$3:$GG$587,'0.Productos'!BS$1+1,0),"")</f>
        <v/>
      </c>
      <c r="AB212" s="133" t="str">
        <f>IF($A212&lt;&gt;0,VLOOKUP($A212,'0.Productos'!$A$3:$GG$587,'0.Productos'!BT$1+1,0),"")</f>
        <v/>
      </c>
      <c r="AC212" s="133" t="str">
        <f>IF($A212&lt;&gt;0,VLOOKUP($A212,'0.Productos'!$A$3:$GG$587,'0.Productos'!BU$1+1,0),"")</f>
        <v/>
      </c>
      <c r="AD212" s="133" t="str">
        <f>IF($A212&lt;&gt;0,VLOOKUP($A212,'0.Productos'!$A$3:$GG$587,'0.Productos'!BV$1+1,0),"")</f>
        <v/>
      </c>
      <c r="AE212" s="133" t="str">
        <f>IF($A212&lt;&gt;0,VLOOKUP($A212,'0.Productos'!$A$3:$GG$587,'0.Productos'!BW$1+1,0),"")</f>
        <v/>
      </c>
      <c r="AF212" s="133" t="str">
        <f>IF($A212&lt;&gt;0,VLOOKUP($A212,'0.Productos'!$A$3:$GG$587,'0.Productos'!BX$1+1,0),"")</f>
        <v/>
      </c>
      <c r="AG212" s="133" t="str">
        <f>IF($A212&lt;&gt;0,VLOOKUP($A212,'0.Productos'!$A$3:$GG$587,'0.Productos'!BY$1+1,0),"")</f>
        <v/>
      </c>
      <c r="AH212" s="133" t="str">
        <f>IF($A212&lt;&gt;0,VLOOKUP($A212,'0.Productos'!$A$3:$GG$587,'0.Productos'!BZ$1+1,0),"")</f>
        <v/>
      </c>
      <c r="AI212" s="133" t="str">
        <f>IF($A212&lt;&gt;0,VLOOKUP($A212,'0.Productos'!$A$3:$GG$587,'0.Productos'!CA$1+1,0),"")</f>
        <v/>
      </c>
      <c r="AJ212" s="133" t="str">
        <f>IF($A212&lt;&gt;0,VLOOKUP($A212,'0.Productos'!$A$3:$GG$587,'0.Productos'!CB$1+1,0),"")</f>
        <v/>
      </c>
      <c r="AK212" s="133" t="str">
        <f>IF($A212&lt;&gt;0,VLOOKUP($A212,'0.Productos'!$A$3:$GG$587,'0.Productos'!CC$1+1,0),"")</f>
        <v/>
      </c>
      <c r="AL212" s="133" t="str">
        <f>IF($A212&lt;&gt;0,VLOOKUP($A212,'0.Productos'!$A$3:$GG$587,'0.Productos'!CD$1+1,0),"")</f>
        <v/>
      </c>
      <c r="AM212" s="133" t="str">
        <f>IF($A212&lt;&gt;0,VLOOKUP($A212,'0.Productos'!$A$3:$GG$587,'0.Productos'!CE$1+1,0),"")</f>
        <v/>
      </c>
      <c r="AN212" s="133" t="str">
        <f>IF($A212&lt;&gt;0,VLOOKUP($A212,'0.Productos'!$A$3:$GG$587,'0.Productos'!CF$1+1,0),"")</f>
        <v/>
      </c>
      <c r="AO212" s="133" t="str">
        <f>IF($A212&lt;&gt;0,VLOOKUP($A212,'0.Productos'!$A$3:$GG$587,'0.Productos'!CG$1+1,0),"")</f>
        <v/>
      </c>
      <c r="AP212" s="133" t="str">
        <f>IF($A212&lt;&gt;0,VLOOKUP($A212,'0.Productos'!$A$3:$GG$587,'0.Productos'!CH$1+1,0),"")</f>
        <v/>
      </c>
      <c r="AQ212" s="133" t="str">
        <f>IF($A212&lt;&gt;0,VLOOKUP($A212,'0.Productos'!$A$3:$GG$587,'0.Productos'!CI$1+1,0),"")</f>
        <v/>
      </c>
      <c r="AR212" s="133" t="str">
        <f>IF($A212&lt;&gt;0,VLOOKUP($A212,'0.Productos'!$A$3:$GG$587,'0.Productos'!CJ$1+1,0),"")</f>
        <v/>
      </c>
      <c r="AS212" s="133" t="str">
        <f>IF($A212&lt;&gt;0,VLOOKUP($A212,'0.Productos'!$A$3:$GG$587,'0.Productos'!CK$1+1,0),"")</f>
        <v/>
      </c>
      <c r="AT212" s="133" t="str">
        <f>IF($A212&lt;&gt;0,VLOOKUP($A212,'0.Productos'!$A$3:$GG$587,'0.Productos'!CL$1+1,0),"")</f>
        <v/>
      </c>
      <c r="AU212" s="133" t="str">
        <f>IF($A212&lt;&gt;0,VLOOKUP($A212,'0.Productos'!$A$3:$GG$587,'0.Productos'!CM$1+1,0),"")</f>
        <v/>
      </c>
      <c r="AV212" s="133" t="str">
        <f>IF($A212&lt;&gt;0,VLOOKUP($A212,'0.Productos'!$A$3:$GG$587,'0.Productos'!CN$1+1,0),"")</f>
        <v/>
      </c>
      <c r="AW212" s="133" t="str">
        <f>IF($A212&lt;&gt;0,VLOOKUP($A212,'0.Productos'!$A$3:$GG$587,'0.Productos'!CO$1+1,0),"")</f>
        <v/>
      </c>
      <c r="AX212" s="133" t="str">
        <f>IF($A212&lt;&gt;0,VLOOKUP($A212,'0.Productos'!$A$3:$GG$587,'0.Productos'!CP$1+1,0),"")</f>
        <v/>
      </c>
      <c r="AY212" s="133" t="str">
        <f>IF($A212&lt;&gt;0,VLOOKUP($A212,'0.Productos'!$A$3:$GG$587,'0.Productos'!CQ$1+1,0),"")</f>
        <v/>
      </c>
      <c r="AZ212" s="133" t="str">
        <f>IF($A212&lt;&gt;0,VLOOKUP($A212,'0.Productos'!$A$3:$GG$587,'0.Productos'!CR$1+1,0),"")</f>
        <v/>
      </c>
      <c r="BA212" s="133" t="str">
        <f>IF($A212&lt;&gt;0,VLOOKUP($A212,'0.Productos'!$A$3:$GG$587,'0.Productos'!CS$1+1,0),"")</f>
        <v/>
      </c>
      <c r="BB212" s="133" t="str">
        <f>IF($A212&lt;&gt;0,VLOOKUP($A212,'0.Productos'!$A$3:$GG$587,'0.Productos'!CT$1+1,0),"")</f>
        <v/>
      </c>
      <c r="BC212" s="133" t="str">
        <f>IF($A212&lt;&gt;0,VLOOKUP($A212,'0.Productos'!$A$3:$GG$587,'0.Productos'!CU$1+1,0),"")</f>
        <v/>
      </c>
      <c r="BD212" s="133" t="str">
        <f>IF($A212&lt;&gt;0,VLOOKUP($A212,'0.Productos'!$A$3:$GG$587,'0.Productos'!CV$1+1,0),"")</f>
        <v/>
      </c>
      <c r="BE212" s="133" t="str">
        <f>IF($A212&lt;&gt;0,VLOOKUP($A212,'0.Productos'!$A$3:$GG$587,'0.Productos'!CW$1+1,0),"")</f>
        <v/>
      </c>
      <c r="BF212" s="133" t="str">
        <f>IF($A212&lt;&gt;0,VLOOKUP($A212,'0.Productos'!$A$3:$GG$587,'0.Productos'!CX$1+1,0),"")</f>
        <v/>
      </c>
      <c r="BG212" s="133" t="str">
        <f>IF($A212&lt;&gt;0,VLOOKUP($A212,'0.Productos'!$A$3:$GG$587,'0.Productos'!CY$1+1,0),"")</f>
        <v/>
      </c>
      <c r="BH212" s="133" t="str">
        <f>IF($A212&lt;&gt;0,VLOOKUP($A212,'0.Productos'!$A$3:$GG$587,'0.Productos'!CZ$1+1,0),"")</f>
        <v/>
      </c>
      <c r="BI212" s="133" t="str">
        <f>IF($A212&lt;&gt;0,VLOOKUP($A212,'0.Productos'!$A$3:$GG$587,'0.Productos'!DA$1+1,0),"")</f>
        <v/>
      </c>
      <c r="BJ212" s="133" t="str">
        <f>IF($A212&lt;&gt;0,VLOOKUP($A212,'0.Productos'!$A$3:$GG$587,'0.Productos'!DB$1+1,0),"")</f>
        <v/>
      </c>
      <c r="BK212" s="133" t="str">
        <f>IF($A212&lt;&gt;0,VLOOKUP($A212,'0.Productos'!$A$3:$GG$587,'0.Productos'!DC$1+1,0),"")</f>
        <v/>
      </c>
      <c r="BL212" s="133" t="str">
        <f>IF($A212&lt;&gt;0,VLOOKUP($A212,'0.Productos'!$A$3:$GG$587,'0.Productos'!DD$1+1,0),"")</f>
        <v/>
      </c>
      <c r="BM212" s="133" t="str">
        <f>IF($A212&lt;&gt;0,VLOOKUP($A212,'0.Productos'!$A$3:$GG$587,'0.Productos'!DE$1+1,0),"")</f>
        <v/>
      </c>
      <c r="BN212" s="133" t="str">
        <f>IF($A212&lt;&gt;0,VLOOKUP($A212,'0.Productos'!$A$3:$GG$587,'0.Productos'!DF$1+1,0),"")</f>
        <v/>
      </c>
      <c r="BO212" s="133" t="str">
        <f>IF($A212&lt;&gt;0,VLOOKUP($A212,'0.Productos'!$A$3:$GG$587,'0.Productos'!DG$1+1,0),"")</f>
        <v/>
      </c>
      <c r="BP212" s="133" t="str">
        <f>IF($A212&lt;&gt;0,VLOOKUP($A212,'0.Productos'!$A$3:$GG$587,'0.Productos'!DH$1+1,0),"")</f>
        <v/>
      </c>
      <c r="BQ212" s="133" t="str">
        <f>IF($A212&lt;&gt;0,VLOOKUP($A212,'0.Productos'!$A$3:$GG$587,'0.Productos'!DI$1+1,0),"")</f>
        <v/>
      </c>
      <c r="BR212" s="133" t="str">
        <f>IF($A212&lt;&gt;0,VLOOKUP($A212,'0.Productos'!$A$3:$GG$587,'0.Productos'!DJ$1+1,0),"")</f>
        <v/>
      </c>
      <c r="BS212" s="133" t="str">
        <f>IF($A212&lt;&gt;0,VLOOKUP($A212,'0.Productos'!$A$3:$GG$587,'0.Productos'!DK$1+1,0),"")</f>
        <v/>
      </c>
      <c r="BT212" s="133" t="str">
        <f>IF($A212&lt;&gt;0,VLOOKUP($A212,'0.Productos'!$A$3:$GG$587,'0.Productos'!DL$1+1,0),"")</f>
        <v/>
      </c>
    </row>
    <row r="213" spans="1:72" x14ac:dyDescent="0.25">
      <c r="A213" s="17">
        <f>'0.Consolidado general'!A213</f>
        <v>0</v>
      </c>
      <c r="B213" s="133" t="str">
        <f>IF($A213&lt;&gt;0,VLOOKUP($A213,'0.Productos'!$A$3:$GG$587,'0.Productos'!AT$1+1,0),"")</f>
        <v/>
      </c>
      <c r="C213" s="133" t="str">
        <f>IF($A213&lt;&gt;0,VLOOKUP($A213,'0.Productos'!$A$3:$GG$587,'0.Productos'!AU$1+1,0),"")</f>
        <v/>
      </c>
      <c r="D213" s="133" t="str">
        <f>IF($A213&lt;&gt;0,VLOOKUP($A213,'0.Productos'!$A$3:$GG$587,'0.Productos'!AV$1+1,0),"")</f>
        <v/>
      </c>
      <c r="E213" s="133" t="str">
        <f>IF($A213&lt;&gt;0,VLOOKUP($A213,'0.Productos'!$A$3:$GG$587,'0.Productos'!AW$1+1,0),"")</f>
        <v/>
      </c>
      <c r="F213" s="133" t="str">
        <f>IF($A213&lt;&gt;0,VLOOKUP($A213,'0.Productos'!$A$3:$GG$587,'0.Productos'!AX$1+1,0),"")</f>
        <v/>
      </c>
      <c r="G213" s="133" t="str">
        <f>IF($A213&lt;&gt;0,VLOOKUP($A213,'0.Productos'!$A$3:$GG$587,'0.Productos'!AY$1+1,0),"")</f>
        <v/>
      </c>
      <c r="H213" s="133" t="str">
        <f>IF($A213&lt;&gt;0,VLOOKUP($A213,'0.Productos'!$A$3:$GG$587,'0.Productos'!AZ$1+1,0),"")</f>
        <v/>
      </c>
      <c r="I213" s="133" t="str">
        <f>IF($A213&lt;&gt;0,VLOOKUP($A213,'0.Productos'!$A$3:$GG$587,'0.Productos'!BA$1+1,0),"")</f>
        <v/>
      </c>
      <c r="J213" s="133" t="str">
        <f>IF($A213&lt;&gt;0,VLOOKUP($A213,'0.Productos'!$A$3:$GG$587,'0.Productos'!BB$1+1,0),"")</f>
        <v/>
      </c>
      <c r="K213" s="133" t="str">
        <f>IF($A213&lt;&gt;0,VLOOKUP($A213,'0.Productos'!$A$3:$GG$587,'0.Productos'!BC$1+1,0),"")</f>
        <v/>
      </c>
      <c r="L213" s="133" t="str">
        <f>IF($A213&lt;&gt;0,VLOOKUP($A213,'0.Productos'!$A$3:$GG$587,'0.Productos'!BD$1+1,0),"")</f>
        <v/>
      </c>
      <c r="M213" s="133" t="str">
        <f>IF($A213&lt;&gt;0,VLOOKUP($A213,'0.Productos'!$A$3:$GG$587,'0.Productos'!BE$1+1,0),"")</f>
        <v/>
      </c>
      <c r="N213" s="133" t="str">
        <f>IF($A213&lt;&gt;0,VLOOKUP($A213,'0.Productos'!$A$3:$GG$587,'0.Productos'!BF$1+1,0),"")</f>
        <v/>
      </c>
      <c r="O213" s="133" t="str">
        <f>IF($A213&lt;&gt;0,VLOOKUP($A213,'0.Productos'!$A$3:$GG$587,'0.Productos'!BG$1+1,0),"")</f>
        <v/>
      </c>
      <c r="P213" s="133" t="str">
        <f>IF($A213&lt;&gt;0,VLOOKUP($A213,'0.Productos'!$A$3:$GG$587,'0.Productos'!BH$1+1,0),"")</f>
        <v/>
      </c>
      <c r="Q213" s="133" t="str">
        <f>IF($A213&lt;&gt;0,VLOOKUP($A213,'0.Productos'!$A$3:$GG$587,'0.Productos'!BI$1+1,0),"")</f>
        <v/>
      </c>
      <c r="R213" s="133" t="str">
        <f>IF($A213&lt;&gt;0,VLOOKUP($A213,'0.Productos'!$A$3:$GG$587,'0.Productos'!BJ$1+1,0),"")</f>
        <v/>
      </c>
      <c r="S213" s="133" t="str">
        <f>IF($A213&lt;&gt;0,VLOOKUP($A213,'0.Productos'!$A$3:$GG$587,'0.Productos'!BK$1+1,0),"")</f>
        <v/>
      </c>
      <c r="T213" s="133" t="str">
        <f>IF($A213&lt;&gt;0,VLOOKUP($A213,'0.Productos'!$A$3:$GG$587,'0.Productos'!BL$1+1,0),"")</f>
        <v/>
      </c>
      <c r="U213" s="133" t="str">
        <f>IF($A213&lt;&gt;0,VLOOKUP($A213,'0.Productos'!$A$3:$GG$587,'0.Productos'!BM$1+1,0),"")</f>
        <v/>
      </c>
      <c r="V213" s="133" t="str">
        <f>IF($A213&lt;&gt;0,VLOOKUP($A213,'0.Productos'!$A$3:$GG$587,'0.Productos'!BN$1+1,0),"")</f>
        <v/>
      </c>
      <c r="W213" s="133" t="str">
        <f>IF($A213&lt;&gt;0,VLOOKUP($A213,'0.Productos'!$A$3:$GG$587,'0.Productos'!BO$1+1,0),"")</f>
        <v/>
      </c>
      <c r="X213" s="133" t="str">
        <f>IF($A213&lt;&gt;0,VLOOKUP($A213,'0.Productos'!$A$3:$GG$587,'0.Productos'!BP$1+1,0),"")</f>
        <v/>
      </c>
      <c r="Y213" s="133" t="str">
        <f>IF($A213&lt;&gt;0,VLOOKUP($A213,'0.Productos'!$A$3:$GG$587,'0.Productos'!BQ$1+1,0),"")</f>
        <v/>
      </c>
      <c r="Z213" s="133" t="str">
        <f>IF($A213&lt;&gt;0,VLOOKUP($A213,'0.Productos'!$A$3:$GG$587,'0.Productos'!BR$1+1,0),"")</f>
        <v/>
      </c>
      <c r="AA213" s="133" t="str">
        <f>IF($A213&lt;&gt;0,VLOOKUP($A213,'0.Productos'!$A$3:$GG$587,'0.Productos'!BS$1+1,0),"")</f>
        <v/>
      </c>
      <c r="AB213" s="133" t="str">
        <f>IF($A213&lt;&gt;0,VLOOKUP($A213,'0.Productos'!$A$3:$GG$587,'0.Productos'!BT$1+1,0),"")</f>
        <v/>
      </c>
      <c r="AC213" s="133" t="str">
        <f>IF($A213&lt;&gt;0,VLOOKUP($A213,'0.Productos'!$A$3:$GG$587,'0.Productos'!BU$1+1,0),"")</f>
        <v/>
      </c>
      <c r="AD213" s="133" t="str">
        <f>IF($A213&lt;&gt;0,VLOOKUP($A213,'0.Productos'!$A$3:$GG$587,'0.Productos'!BV$1+1,0),"")</f>
        <v/>
      </c>
      <c r="AE213" s="133" t="str">
        <f>IF($A213&lt;&gt;0,VLOOKUP($A213,'0.Productos'!$A$3:$GG$587,'0.Productos'!BW$1+1,0),"")</f>
        <v/>
      </c>
      <c r="AF213" s="133" t="str">
        <f>IF($A213&lt;&gt;0,VLOOKUP($A213,'0.Productos'!$A$3:$GG$587,'0.Productos'!BX$1+1,0),"")</f>
        <v/>
      </c>
      <c r="AG213" s="133" t="str">
        <f>IF($A213&lt;&gt;0,VLOOKUP($A213,'0.Productos'!$A$3:$GG$587,'0.Productos'!BY$1+1,0),"")</f>
        <v/>
      </c>
      <c r="AH213" s="133" t="str">
        <f>IF($A213&lt;&gt;0,VLOOKUP($A213,'0.Productos'!$A$3:$GG$587,'0.Productos'!BZ$1+1,0),"")</f>
        <v/>
      </c>
      <c r="AI213" s="133" t="str">
        <f>IF($A213&lt;&gt;0,VLOOKUP($A213,'0.Productos'!$A$3:$GG$587,'0.Productos'!CA$1+1,0),"")</f>
        <v/>
      </c>
      <c r="AJ213" s="133" t="str">
        <f>IF($A213&lt;&gt;0,VLOOKUP($A213,'0.Productos'!$A$3:$GG$587,'0.Productos'!CB$1+1,0),"")</f>
        <v/>
      </c>
      <c r="AK213" s="133" t="str">
        <f>IF($A213&lt;&gt;0,VLOOKUP($A213,'0.Productos'!$A$3:$GG$587,'0.Productos'!CC$1+1,0),"")</f>
        <v/>
      </c>
      <c r="AL213" s="133" t="str">
        <f>IF($A213&lt;&gt;0,VLOOKUP($A213,'0.Productos'!$A$3:$GG$587,'0.Productos'!CD$1+1,0),"")</f>
        <v/>
      </c>
      <c r="AM213" s="133" t="str">
        <f>IF($A213&lt;&gt;0,VLOOKUP($A213,'0.Productos'!$A$3:$GG$587,'0.Productos'!CE$1+1,0),"")</f>
        <v/>
      </c>
      <c r="AN213" s="133" t="str">
        <f>IF($A213&lt;&gt;0,VLOOKUP($A213,'0.Productos'!$A$3:$GG$587,'0.Productos'!CF$1+1,0),"")</f>
        <v/>
      </c>
      <c r="AO213" s="133" t="str">
        <f>IF($A213&lt;&gt;0,VLOOKUP($A213,'0.Productos'!$A$3:$GG$587,'0.Productos'!CG$1+1,0),"")</f>
        <v/>
      </c>
      <c r="AP213" s="133" t="str">
        <f>IF($A213&lt;&gt;0,VLOOKUP($A213,'0.Productos'!$A$3:$GG$587,'0.Productos'!CH$1+1,0),"")</f>
        <v/>
      </c>
      <c r="AQ213" s="133" t="str">
        <f>IF($A213&lt;&gt;0,VLOOKUP($A213,'0.Productos'!$A$3:$GG$587,'0.Productos'!CI$1+1,0),"")</f>
        <v/>
      </c>
      <c r="AR213" s="133" t="str">
        <f>IF($A213&lt;&gt;0,VLOOKUP($A213,'0.Productos'!$A$3:$GG$587,'0.Productos'!CJ$1+1,0),"")</f>
        <v/>
      </c>
      <c r="AS213" s="133" t="str">
        <f>IF($A213&lt;&gt;0,VLOOKUP($A213,'0.Productos'!$A$3:$GG$587,'0.Productos'!CK$1+1,0),"")</f>
        <v/>
      </c>
      <c r="AT213" s="133" t="str">
        <f>IF($A213&lt;&gt;0,VLOOKUP($A213,'0.Productos'!$A$3:$GG$587,'0.Productos'!CL$1+1,0),"")</f>
        <v/>
      </c>
      <c r="AU213" s="133" t="str">
        <f>IF($A213&lt;&gt;0,VLOOKUP($A213,'0.Productos'!$A$3:$GG$587,'0.Productos'!CM$1+1,0),"")</f>
        <v/>
      </c>
      <c r="AV213" s="133" t="str">
        <f>IF($A213&lt;&gt;0,VLOOKUP($A213,'0.Productos'!$A$3:$GG$587,'0.Productos'!CN$1+1,0),"")</f>
        <v/>
      </c>
      <c r="AW213" s="133" t="str">
        <f>IF($A213&lt;&gt;0,VLOOKUP($A213,'0.Productos'!$A$3:$GG$587,'0.Productos'!CO$1+1,0),"")</f>
        <v/>
      </c>
      <c r="AX213" s="133" t="str">
        <f>IF($A213&lt;&gt;0,VLOOKUP($A213,'0.Productos'!$A$3:$GG$587,'0.Productos'!CP$1+1,0),"")</f>
        <v/>
      </c>
      <c r="AY213" s="133" t="str">
        <f>IF($A213&lt;&gt;0,VLOOKUP($A213,'0.Productos'!$A$3:$GG$587,'0.Productos'!CQ$1+1,0),"")</f>
        <v/>
      </c>
      <c r="AZ213" s="133" t="str">
        <f>IF($A213&lt;&gt;0,VLOOKUP($A213,'0.Productos'!$A$3:$GG$587,'0.Productos'!CR$1+1,0),"")</f>
        <v/>
      </c>
      <c r="BA213" s="133" t="str">
        <f>IF($A213&lt;&gt;0,VLOOKUP($A213,'0.Productos'!$A$3:$GG$587,'0.Productos'!CS$1+1,0),"")</f>
        <v/>
      </c>
      <c r="BB213" s="133" t="str">
        <f>IF($A213&lt;&gt;0,VLOOKUP($A213,'0.Productos'!$A$3:$GG$587,'0.Productos'!CT$1+1,0),"")</f>
        <v/>
      </c>
      <c r="BC213" s="133" t="str">
        <f>IF($A213&lt;&gt;0,VLOOKUP($A213,'0.Productos'!$A$3:$GG$587,'0.Productos'!CU$1+1,0),"")</f>
        <v/>
      </c>
      <c r="BD213" s="133" t="str">
        <f>IF($A213&lt;&gt;0,VLOOKUP($A213,'0.Productos'!$A$3:$GG$587,'0.Productos'!CV$1+1,0),"")</f>
        <v/>
      </c>
      <c r="BE213" s="133" t="str">
        <f>IF($A213&lt;&gt;0,VLOOKUP($A213,'0.Productos'!$A$3:$GG$587,'0.Productos'!CW$1+1,0),"")</f>
        <v/>
      </c>
      <c r="BF213" s="133" t="str">
        <f>IF($A213&lt;&gt;0,VLOOKUP($A213,'0.Productos'!$A$3:$GG$587,'0.Productos'!CX$1+1,0),"")</f>
        <v/>
      </c>
      <c r="BG213" s="133" t="str">
        <f>IF($A213&lt;&gt;0,VLOOKUP($A213,'0.Productos'!$A$3:$GG$587,'0.Productos'!CY$1+1,0),"")</f>
        <v/>
      </c>
      <c r="BH213" s="133" t="str">
        <f>IF($A213&lt;&gt;0,VLOOKUP($A213,'0.Productos'!$A$3:$GG$587,'0.Productos'!CZ$1+1,0),"")</f>
        <v/>
      </c>
      <c r="BI213" s="133" t="str">
        <f>IF($A213&lt;&gt;0,VLOOKUP($A213,'0.Productos'!$A$3:$GG$587,'0.Productos'!DA$1+1,0),"")</f>
        <v/>
      </c>
      <c r="BJ213" s="133" t="str">
        <f>IF($A213&lt;&gt;0,VLOOKUP($A213,'0.Productos'!$A$3:$GG$587,'0.Productos'!DB$1+1,0),"")</f>
        <v/>
      </c>
      <c r="BK213" s="133" t="str">
        <f>IF($A213&lt;&gt;0,VLOOKUP($A213,'0.Productos'!$A$3:$GG$587,'0.Productos'!DC$1+1,0),"")</f>
        <v/>
      </c>
      <c r="BL213" s="133" t="str">
        <f>IF($A213&lt;&gt;0,VLOOKUP($A213,'0.Productos'!$A$3:$GG$587,'0.Productos'!DD$1+1,0),"")</f>
        <v/>
      </c>
      <c r="BM213" s="133" t="str">
        <f>IF($A213&lt;&gt;0,VLOOKUP($A213,'0.Productos'!$A$3:$GG$587,'0.Productos'!DE$1+1,0),"")</f>
        <v/>
      </c>
      <c r="BN213" s="133" t="str">
        <f>IF($A213&lt;&gt;0,VLOOKUP($A213,'0.Productos'!$A$3:$GG$587,'0.Productos'!DF$1+1,0),"")</f>
        <v/>
      </c>
      <c r="BO213" s="133" t="str">
        <f>IF($A213&lt;&gt;0,VLOOKUP($A213,'0.Productos'!$A$3:$GG$587,'0.Productos'!DG$1+1,0),"")</f>
        <v/>
      </c>
      <c r="BP213" s="133" t="str">
        <f>IF($A213&lt;&gt;0,VLOOKUP($A213,'0.Productos'!$A$3:$GG$587,'0.Productos'!DH$1+1,0),"")</f>
        <v/>
      </c>
      <c r="BQ213" s="133" t="str">
        <f>IF($A213&lt;&gt;0,VLOOKUP($A213,'0.Productos'!$A$3:$GG$587,'0.Productos'!DI$1+1,0),"")</f>
        <v/>
      </c>
      <c r="BR213" s="133" t="str">
        <f>IF($A213&lt;&gt;0,VLOOKUP($A213,'0.Productos'!$A$3:$GG$587,'0.Productos'!DJ$1+1,0),"")</f>
        <v/>
      </c>
      <c r="BS213" s="133" t="str">
        <f>IF($A213&lt;&gt;0,VLOOKUP($A213,'0.Productos'!$A$3:$GG$587,'0.Productos'!DK$1+1,0),"")</f>
        <v/>
      </c>
      <c r="BT213" s="133" t="str">
        <f>IF($A213&lt;&gt;0,VLOOKUP($A213,'0.Productos'!$A$3:$GG$587,'0.Productos'!DL$1+1,0),"")</f>
        <v/>
      </c>
    </row>
    <row r="214" spans="1:72" x14ac:dyDescent="0.25">
      <c r="A214" s="17">
        <f>'0.Consolidado general'!A214</f>
        <v>0</v>
      </c>
      <c r="B214" s="133" t="str">
        <f>IF($A214&lt;&gt;0,VLOOKUP($A214,'0.Productos'!$A$3:$GG$587,'0.Productos'!AT$1+1,0),"")</f>
        <v/>
      </c>
      <c r="C214" s="133" t="str">
        <f>IF($A214&lt;&gt;0,VLOOKUP($A214,'0.Productos'!$A$3:$GG$587,'0.Productos'!AU$1+1,0),"")</f>
        <v/>
      </c>
      <c r="D214" s="133" t="str">
        <f>IF($A214&lt;&gt;0,VLOOKUP($A214,'0.Productos'!$A$3:$GG$587,'0.Productos'!AV$1+1,0),"")</f>
        <v/>
      </c>
      <c r="E214" s="133" t="str">
        <f>IF($A214&lt;&gt;0,VLOOKUP($A214,'0.Productos'!$A$3:$GG$587,'0.Productos'!AW$1+1,0),"")</f>
        <v/>
      </c>
      <c r="F214" s="133" t="str">
        <f>IF($A214&lt;&gt;0,VLOOKUP($A214,'0.Productos'!$A$3:$GG$587,'0.Productos'!AX$1+1,0),"")</f>
        <v/>
      </c>
      <c r="G214" s="133" t="str">
        <f>IF($A214&lt;&gt;0,VLOOKUP($A214,'0.Productos'!$A$3:$GG$587,'0.Productos'!AY$1+1,0),"")</f>
        <v/>
      </c>
      <c r="H214" s="133" t="str">
        <f>IF($A214&lt;&gt;0,VLOOKUP($A214,'0.Productos'!$A$3:$GG$587,'0.Productos'!AZ$1+1,0),"")</f>
        <v/>
      </c>
      <c r="I214" s="133" t="str">
        <f>IF($A214&lt;&gt;0,VLOOKUP($A214,'0.Productos'!$A$3:$GG$587,'0.Productos'!BA$1+1,0),"")</f>
        <v/>
      </c>
      <c r="J214" s="133" t="str">
        <f>IF($A214&lt;&gt;0,VLOOKUP($A214,'0.Productos'!$A$3:$GG$587,'0.Productos'!BB$1+1,0),"")</f>
        <v/>
      </c>
      <c r="K214" s="133" t="str">
        <f>IF($A214&lt;&gt;0,VLOOKUP($A214,'0.Productos'!$A$3:$GG$587,'0.Productos'!BC$1+1,0),"")</f>
        <v/>
      </c>
      <c r="L214" s="133" t="str">
        <f>IF($A214&lt;&gt;0,VLOOKUP($A214,'0.Productos'!$A$3:$GG$587,'0.Productos'!BD$1+1,0),"")</f>
        <v/>
      </c>
      <c r="M214" s="133" t="str">
        <f>IF($A214&lt;&gt;0,VLOOKUP($A214,'0.Productos'!$A$3:$GG$587,'0.Productos'!BE$1+1,0),"")</f>
        <v/>
      </c>
      <c r="N214" s="133" t="str">
        <f>IF($A214&lt;&gt;0,VLOOKUP($A214,'0.Productos'!$A$3:$GG$587,'0.Productos'!BF$1+1,0),"")</f>
        <v/>
      </c>
      <c r="O214" s="133" t="str">
        <f>IF($A214&lt;&gt;0,VLOOKUP($A214,'0.Productos'!$A$3:$GG$587,'0.Productos'!BG$1+1,0),"")</f>
        <v/>
      </c>
      <c r="P214" s="133" t="str">
        <f>IF($A214&lt;&gt;0,VLOOKUP($A214,'0.Productos'!$A$3:$GG$587,'0.Productos'!BH$1+1,0),"")</f>
        <v/>
      </c>
      <c r="Q214" s="133" t="str">
        <f>IF($A214&lt;&gt;0,VLOOKUP($A214,'0.Productos'!$A$3:$GG$587,'0.Productos'!BI$1+1,0),"")</f>
        <v/>
      </c>
      <c r="R214" s="133" t="str">
        <f>IF($A214&lt;&gt;0,VLOOKUP($A214,'0.Productos'!$A$3:$GG$587,'0.Productos'!BJ$1+1,0),"")</f>
        <v/>
      </c>
      <c r="S214" s="133" t="str">
        <f>IF($A214&lt;&gt;0,VLOOKUP($A214,'0.Productos'!$A$3:$GG$587,'0.Productos'!BK$1+1,0),"")</f>
        <v/>
      </c>
      <c r="T214" s="133" t="str">
        <f>IF($A214&lt;&gt;0,VLOOKUP($A214,'0.Productos'!$A$3:$GG$587,'0.Productos'!BL$1+1,0),"")</f>
        <v/>
      </c>
      <c r="U214" s="133" t="str">
        <f>IF($A214&lt;&gt;0,VLOOKUP($A214,'0.Productos'!$A$3:$GG$587,'0.Productos'!BM$1+1,0),"")</f>
        <v/>
      </c>
      <c r="V214" s="133" t="str">
        <f>IF($A214&lt;&gt;0,VLOOKUP($A214,'0.Productos'!$A$3:$GG$587,'0.Productos'!BN$1+1,0),"")</f>
        <v/>
      </c>
      <c r="W214" s="133" t="str">
        <f>IF($A214&lt;&gt;0,VLOOKUP($A214,'0.Productos'!$A$3:$GG$587,'0.Productos'!BO$1+1,0),"")</f>
        <v/>
      </c>
      <c r="X214" s="133" t="str">
        <f>IF($A214&lt;&gt;0,VLOOKUP($A214,'0.Productos'!$A$3:$GG$587,'0.Productos'!BP$1+1,0),"")</f>
        <v/>
      </c>
      <c r="Y214" s="133" t="str">
        <f>IF($A214&lt;&gt;0,VLOOKUP($A214,'0.Productos'!$A$3:$GG$587,'0.Productos'!BQ$1+1,0),"")</f>
        <v/>
      </c>
      <c r="Z214" s="133" t="str">
        <f>IF($A214&lt;&gt;0,VLOOKUP($A214,'0.Productos'!$A$3:$GG$587,'0.Productos'!BR$1+1,0),"")</f>
        <v/>
      </c>
      <c r="AA214" s="133" t="str">
        <f>IF($A214&lt;&gt;0,VLOOKUP($A214,'0.Productos'!$A$3:$GG$587,'0.Productos'!BS$1+1,0),"")</f>
        <v/>
      </c>
      <c r="AB214" s="133" t="str">
        <f>IF($A214&lt;&gt;0,VLOOKUP($A214,'0.Productos'!$A$3:$GG$587,'0.Productos'!BT$1+1,0),"")</f>
        <v/>
      </c>
      <c r="AC214" s="133" t="str">
        <f>IF($A214&lt;&gt;0,VLOOKUP($A214,'0.Productos'!$A$3:$GG$587,'0.Productos'!BU$1+1,0),"")</f>
        <v/>
      </c>
      <c r="AD214" s="133" t="str">
        <f>IF($A214&lt;&gt;0,VLOOKUP($A214,'0.Productos'!$A$3:$GG$587,'0.Productos'!BV$1+1,0),"")</f>
        <v/>
      </c>
      <c r="AE214" s="133" t="str">
        <f>IF($A214&lt;&gt;0,VLOOKUP($A214,'0.Productos'!$A$3:$GG$587,'0.Productos'!BW$1+1,0),"")</f>
        <v/>
      </c>
      <c r="AF214" s="133" t="str">
        <f>IF($A214&lt;&gt;0,VLOOKUP($A214,'0.Productos'!$A$3:$GG$587,'0.Productos'!BX$1+1,0),"")</f>
        <v/>
      </c>
      <c r="AG214" s="133" t="str">
        <f>IF($A214&lt;&gt;0,VLOOKUP($A214,'0.Productos'!$A$3:$GG$587,'0.Productos'!BY$1+1,0),"")</f>
        <v/>
      </c>
      <c r="AH214" s="133" t="str">
        <f>IF($A214&lt;&gt;0,VLOOKUP($A214,'0.Productos'!$A$3:$GG$587,'0.Productos'!BZ$1+1,0),"")</f>
        <v/>
      </c>
      <c r="AI214" s="133" t="str">
        <f>IF($A214&lt;&gt;0,VLOOKUP($A214,'0.Productos'!$A$3:$GG$587,'0.Productos'!CA$1+1,0),"")</f>
        <v/>
      </c>
      <c r="AJ214" s="133" t="str">
        <f>IF($A214&lt;&gt;0,VLOOKUP($A214,'0.Productos'!$A$3:$GG$587,'0.Productos'!CB$1+1,0),"")</f>
        <v/>
      </c>
      <c r="AK214" s="133" t="str">
        <f>IF($A214&lt;&gt;0,VLOOKUP($A214,'0.Productos'!$A$3:$GG$587,'0.Productos'!CC$1+1,0),"")</f>
        <v/>
      </c>
      <c r="AL214" s="133" t="str">
        <f>IF($A214&lt;&gt;0,VLOOKUP($A214,'0.Productos'!$A$3:$GG$587,'0.Productos'!CD$1+1,0),"")</f>
        <v/>
      </c>
      <c r="AM214" s="133" t="str">
        <f>IF($A214&lt;&gt;0,VLOOKUP($A214,'0.Productos'!$A$3:$GG$587,'0.Productos'!CE$1+1,0),"")</f>
        <v/>
      </c>
      <c r="AN214" s="133" t="str">
        <f>IF($A214&lt;&gt;0,VLOOKUP($A214,'0.Productos'!$A$3:$GG$587,'0.Productos'!CF$1+1,0),"")</f>
        <v/>
      </c>
      <c r="AO214" s="133" t="str">
        <f>IF($A214&lt;&gt;0,VLOOKUP($A214,'0.Productos'!$A$3:$GG$587,'0.Productos'!CG$1+1,0),"")</f>
        <v/>
      </c>
      <c r="AP214" s="133" t="str">
        <f>IF($A214&lt;&gt;0,VLOOKUP($A214,'0.Productos'!$A$3:$GG$587,'0.Productos'!CH$1+1,0),"")</f>
        <v/>
      </c>
      <c r="AQ214" s="133" t="str">
        <f>IF($A214&lt;&gt;0,VLOOKUP($A214,'0.Productos'!$A$3:$GG$587,'0.Productos'!CI$1+1,0),"")</f>
        <v/>
      </c>
      <c r="AR214" s="133" t="str">
        <f>IF($A214&lt;&gt;0,VLOOKUP($A214,'0.Productos'!$A$3:$GG$587,'0.Productos'!CJ$1+1,0),"")</f>
        <v/>
      </c>
      <c r="AS214" s="133" t="str">
        <f>IF($A214&lt;&gt;0,VLOOKUP($A214,'0.Productos'!$A$3:$GG$587,'0.Productos'!CK$1+1,0),"")</f>
        <v/>
      </c>
      <c r="AT214" s="133" t="str">
        <f>IF($A214&lt;&gt;0,VLOOKUP($A214,'0.Productos'!$A$3:$GG$587,'0.Productos'!CL$1+1,0),"")</f>
        <v/>
      </c>
      <c r="AU214" s="133" t="str">
        <f>IF($A214&lt;&gt;0,VLOOKUP($A214,'0.Productos'!$A$3:$GG$587,'0.Productos'!CM$1+1,0),"")</f>
        <v/>
      </c>
      <c r="AV214" s="133" t="str">
        <f>IF($A214&lt;&gt;0,VLOOKUP($A214,'0.Productos'!$A$3:$GG$587,'0.Productos'!CN$1+1,0),"")</f>
        <v/>
      </c>
      <c r="AW214" s="133" t="str">
        <f>IF($A214&lt;&gt;0,VLOOKUP($A214,'0.Productos'!$A$3:$GG$587,'0.Productos'!CO$1+1,0),"")</f>
        <v/>
      </c>
      <c r="AX214" s="133" t="str">
        <f>IF($A214&lt;&gt;0,VLOOKUP($A214,'0.Productos'!$A$3:$GG$587,'0.Productos'!CP$1+1,0),"")</f>
        <v/>
      </c>
      <c r="AY214" s="133" t="str">
        <f>IF($A214&lt;&gt;0,VLOOKUP($A214,'0.Productos'!$A$3:$GG$587,'0.Productos'!CQ$1+1,0),"")</f>
        <v/>
      </c>
      <c r="AZ214" s="133" t="str">
        <f>IF($A214&lt;&gt;0,VLOOKUP($A214,'0.Productos'!$A$3:$GG$587,'0.Productos'!CR$1+1,0),"")</f>
        <v/>
      </c>
      <c r="BA214" s="133" t="str">
        <f>IF($A214&lt;&gt;0,VLOOKUP($A214,'0.Productos'!$A$3:$GG$587,'0.Productos'!CS$1+1,0),"")</f>
        <v/>
      </c>
      <c r="BB214" s="133" t="str">
        <f>IF($A214&lt;&gt;0,VLOOKUP($A214,'0.Productos'!$A$3:$GG$587,'0.Productos'!CT$1+1,0),"")</f>
        <v/>
      </c>
      <c r="BC214" s="133" t="str">
        <f>IF($A214&lt;&gt;0,VLOOKUP($A214,'0.Productos'!$A$3:$GG$587,'0.Productos'!CU$1+1,0),"")</f>
        <v/>
      </c>
      <c r="BD214" s="133" t="str">
        <f>IF($A214&lt;&gt;0,VLOOKUP($A214,'0.Productos'!$A$3:$GG$587,'0.Productos'!CV$1+1,0),"")</f>
        <v/>
      </c>
      <c r="BE214" s="133" t="str">
        <f>IF($A214&lt;&gt;0,VLOOKUP($A214,'0.Productos'!$A$3:$GG$587,'0.Productos'!CW$1+1,0),"")</f>
        <v/>
      </c>
      <c r="BF214" s="133" t="str">
        <f>IF($A214&lt;&gt;0,VLOOKUP($A214,'0.Productos'!$A$3:$GG$587,'0.Productos'!CX$1+1,0),"")</f>
        <v/>
      </c>
      <c r="BG214" s="133" t="str">
        <f>IF($A214&lt;&gt;0,VLOOKUP($A214,'0.Productos'!$A$3:$GG$587,'0.Productos'!CY$1+1,0),"")</f>
        <v/>
      </c>
      <c r="BH214" s="133" t="str">
        <f>IF($A214&lt;&gt;0,VLOOKUP($A214,'0.Productos'!$A$3:$GG$587,'0.Productos'!CZ$1+1,0),"")</f>
        <v/>
      </c>
      <c r="BI214" s="133" t="str">
        <f>IF($A214&lt;&gt;0,VLOOKUP($A214,'0.Productos'!$A$3:$GG$587,'0.Productos'!DA$1+1,0),"")</f>
        <v/>
      </c>
      <c r="BJ214" s="133" t="str">
        <f>IF($A214&lt;&gt;0,VLOOKUP($A214,'0.Productos'!$A$3:$GG$587,'0.Productos'!DB$1+1,0),"")</f>
        <v/>
      </c>
      <c r="BK214" s="133" t="str">
        <f>IF($A214&lt;&gt;0,VLOOKUP($A214,'0.Productos'!$A$3:$GG$587,'0.Productos'!DC$1+1,0),"")</f>
        <v/>
      </c>
      <c r="BL214" s="133" t="str">
        <f>IF($A214&lt;&gt;0,VLOOKUP($A214,'0.Productos'!$A$3:$GG$587,'0.Productos'!DD$1+1,0),"")</f>
        <v/>
      </c>
      <c r="BM214" s="133" t="str">
        <f>IF($A214&lt;&gt;0,VLOOKUP($A214,'0.Productos'!$A$3:$GG$587,'0.Productos'!DE$1+1,0),"")</f>
        <v/>
      </c>
      <c r="BN214" s="133" t="str">
        <f>IF($A214&lt;&gt;0,VLOOKUP($A214,'0.Productos'!$A$3:$GG$587,'0.Productos'!DF$1+1,0),"")</f>
        <v/>
      </c>
      <c r="BO214" s="133" t="str">
        <f>IF($A214&lt;&gt;0,VLOOKUP($A214,'0.Productos'!$A$3:$GG$587,'0.Productos'!DG$1+1,0),"")</f>
        <v/>
      </c>
      <c r="BP214" s="133" t="str">
        <f>IF($A214&lt;&gt;0,VLOOKUP($A214,'0.Productos'!$A$3:$GG$587,'0.Productos'!DH$1+1,0),"")</f>
        <v/>
      </c>
      <c r="BQ214" s="133" t="str">
        <f>IF($A214&lt;&gt;0,VLOOKUP($A214,'0.Productos'!$A$3:$GG$587,'0.Productos'!DI$1+1,0),"")</f>
        <v/>
      </c>
      <c r="BR214" s="133" t="str">
        <f>IF($A214&lt;&gt;0,VLOOKUP($A214,'0.Productos'!$A$3:$GG$587,'0.Productos'!DJ$1+1,0),"")</f>
        <v/>
      </c>
      <c r="BS214" s="133" t="str">
        <f>IF($A214&lt;&gt;0,VLOOKUP($A214,'0.Productos'!$A$3:$GG$587,'0.Productos'!DK$1+1,0),"")</f>
        <v/>
      </c>
      <c r="BT214" s="133" t="str">
        <f>IF($A214&lt;&gt;0,VLOOKUP($A214,'0.Productos'!$A$3:$GG$587,'0.Productos'!DL$1+1,0),"")</f>
        <v/>
      </c>
    </row>
    <row r="215" spans="1:72" x14ac:dyDescent="0.25">
      <c r="A215" s="17">
        <f>'0.Consolidado general'!A215</f>
        <v>0</v>
      </c>
      <c r="B215" s="133" t="str">
        <f>IF($A215&lt;&gt;0,VLOOKUP($A215,'0.Productos'!$A$3:$GG$587,'0.Productos'!AT$1+1,0),"")</f>
        <v/>
      </c>
      <c r="C215" s="133" t="str">
        <f>IF($A215&lt;&gt;0,VLOOKUP($A215,'0.Productos'!$A$3:$GG$587,'0.Productos'!AU$1+1,0),"")</f>
        <v/>
      </c>
      <c r="D215" s="133" t="str">
        <f>IF($A215&lt;&gt;0,VLOOKUP($A215,'0.Productos'!$A$3:$GG$587,'0.Productos'!AV$1+1,0),"")</f>
        <v/>
      </c>
      <c r="E215" s="133" t="str">
        <f>IF($A215&lt;&gt;0,VLOOKUP($A215,'0.Productos'!$A$3:$GG$587,'0.Productos'!AW$1+1,0),"")</f>
        <v/>
      </c>
      <c r="F215" s="133" t="str">
        <f>IF($A215&lt;&gt;0,VLOOKUP($A215,'0.Productos'!$A$3:$GG$587,'0.Productos'!AX$1+1,0),"")</f>
        <v/>
      </c>
      <c r="G215" s="133" t="str">
        <f>IF($A215&lt;&gt;0,VLOOKUP($A215,'0.Productos'!$A$3:$GG$587,'0.Productos'!AY$1+1,0),"")</f>
        <v/>
      </c>
      <c r="H215" s="133" t="str">
        <f>IF($A215&lt;&gt;0,VLOOKUP($A215,'0.Productos'!$A$3:$GG$587,'0.Productos'!AZ$1+1,0),"")</f>
        <v/>
      </c>
      <c r="I215" s="133" t="str">
        <f>IF($A215&lt;&gt;0,VLOOKUP($A215,'0.Productos'!$A$3:$GG$587,'0.Productos'!BA$1+1,0),"")</f>
        <v/>
      </c>
      <c r="J215" s="133" t="str">
        <f>IF($A215&lt;&gt;0,VLOOKUP($A215,'0.Productos'!$A$3:$GG$587,'0.Productos'!BB$1+1,0),"")</f>
        <v/>
      </c>
      <c r="K215" s="133" t="str">
        <f>IF($A215&lt;&gt;0,VLOOKUP($A215,'0.Productos'!$A$3:$GG$587,'0.Productos'!BC$1+1,0),"")</f>
        <v/>
      </c>
      <c r="L215" s="133" t="str">
        <f>IF($A215&lt;&gt;0,VLOOKUP($A215,'0.Productos'!$A$3:$GG$587,'0.Productos'!BD$1+1,0),"")</f>
        <v/>
      </c>
      <c r="M215" s="133" t="str">
        <f>IF($A215&lt;&gt;0,VLOOKUP($A215,'0.Productos'!$A$3:$GG$587,'0.Productos'!BE$1+1,0),"")</f>
        <v/>
      </c>
      <c r="N215" s="133" t="str">
        <f>IF($A215&lt;&gt;0,VLOOKUP($A215,'0.Productos'!$A$3:$GG$587,'0.Productos'!BF$1+1,0),"")</f>
        <v/>
      </c>
      <c r="O215" s="133" t="str">
        <f>IF($A215&lt;&gt;0,VLOOKUP($A215,'0.Productos'!$A$3:$GG$587,'0.Productos'!BG$1+1,0),"")</f>
        <v/>
      </c>
      <c r="P215" s="133" t="str">
        <f>IF($A215&lt;&gt;0,VLOOKUP($A215,'0.Productos'!$A$3:$GG$587,'0.Productos'!BH$1+1,0),"")</f>
        <v/>
      </c>
      <c r="Q215" s="133" t="str">
        <f>IF($A215&lt;&gt;0,VLOOKUP($A215,'0.Productos'!$A$3:$GG$587,'0.Productos'!BI$1+1,0),"")</f>
        <v/>
      </c>
      <c r="R215" s="133" t="str">
        <f>IF($A215&lt;&gt;0,VLOOKUP($A215,'0.Productos'!$A$3:$GG$587,'0.Productos'!BJ$1+1,0),"")</f>
        <v/>
      </c>
      <c r="S215" s="133" t="str">
        <f>IF($A215&lt;&gt;0,VLOOKUP($A215,'0.Productos'!$A$3:$GG$587,'0.Productos'!BK$1+1,0),"")</f>
        <v/>
      </c>
      <c r="T215" s="133" t="str">
        <f>IF($A215&lt;&gt;0,VLOOKUP($A215,'0.Productos'!$A$3:$GG$587,'0.Productos'!BL$1+1,0),"")</f>
        <v/>
      </c>
      <c r="U215" s="133" t="str">
        <f>IF($A215&lt;&gt;0,VLOOKUP($A215,'0.Productos'!$A$3:$GG$587,'0.Productos'!BM$1+1,0),"")</f>
        <v/>
      </c>
      <c r="V215" s="133" t="str">
        <f>IF($A215&lt;&gt;0,VLOOKUP($A215,'0.Productos'!$A$3:$GG$587,'0.Productos'!BN$1+1,0),"")</f>
        <v/>
      </c>
      <c r="W215" s="133" t="str">
        <f>IF($A215&lt;&gt;0,VLOOKUP($A215,'0.Productos'!$A$3:$GG$587,'0.Productos'!BO$1+1,0),"")</f>
        <v/>
      </c>
      <c r="X215" s="133" t="str">
        <f>IF($A215&lt;&gt;0,VLOOKUP($A215,'0.Productos'!$A$3:$GG$587,'0.Productos'!BP$1+1,0),"")</f>
        <v/>
      </c>
      <c r="Y215" s="133" t="str">
        <f>IF($A215&lt;&gt;0,VLOOKUP($A215,'0.Productos'!$A$3:$GG$587,'0.Productos'!BQ$1+1,0),"")</f>
        <v/>
      </c>
      <c r="Z215" s="133" t="str">
        <f>IF($A215&lt;&gt;0,VLOOKUP($A215,'0.Productos'!$A$3:$GG$587,'0.Productos'!BR$1+1,0),"")</f>
        <v/>
      </c>
      <c r="AA215" s="133" t="str">
        <f>IF($A215&lt;&gt;0,VLOOKUP($A215,'0.Productos'!$A$3:$GG$587,'0.Productos'!BS$1+1,0),"")</f>
        <v/>
      </c>
      <c r="AB215" s="133" t="str">
        <f>IF($A215&lt;&gt;0,VLOOKUP($A215,'0.Productos'!$A$3:$GG$587,'0.Productos'!BT$1+1,0),"")</f>
        <v/>
      </c>
      <c r="AC215" s="133" t="str">
        <f>IF($A215&lt;&gt;0,VLOOKUP($A215,'0.Productos'!$A$3:$GG$587,'0.Productos'!BU$1+1,0),"")</f>
        <v/>
      </c>
      <c r="AD215" s="133" t="str">
        <f>IF($A215&lt;&gt;0,VLOOKUP($A215,'0.Productos'!$A$3:$GG$587,'0.Productos'!BV$1+1,0),"")</f>
        <v/>
      </c>
      <c r="AE215" s="133" t="str">
        <f>IF($A215&lt;&gt;0,VLOOKUP($A215,'0.Productos'!$A$3:$GG$587,'0.Productos'!BW$1+1,0),"")</f>
        <v/>
      </c>
      <c r="AF215" s="133" t="str">
        <f>IF($A215&lt;&gt;0,VLOOKUP($A215,'0.Productos'!$A$3:$GG$587,'0.Productos'!BX$1+1,0),"")</f>
        <v/>
      </c>
      <c r="AG215" s="133" t="str">
        <f>IF($A215&lt;&gt;0,VLOOKUP($A215,'0.Productos'!$A$3:$GG$587,'0.Productos'!BY$1+1,0),"")</f>
        <v/>
      </c>
      <c r="AH215" s="133" t="str">
        <f>IF($A215&lt;&gt;0,VLOOKUP($A215,'0.Productos'!$A$3:$GG$587,'0.Productos'!BZ$1+1,0),"")</f>
        <v/>
      </c>
      <c r="AI215" s="133" t="str">
        <f>IF($A215&lt;&gt;0,VLOOKUP($A215,'0.Productos'!$A$3:$GG$587,'0.Productos'!CA$1+1,0),"")</f>
        <v/>
      </c>
      <c r="AJ215" s="133" t="str">
        <f>IF($A215&lt;&gt;0,VLOOKUP($A215,'0.Productos'!$A$3:$GG$587,'0.Productos'!CB$1+1,0),"")</f>
        <v/>
      </c>
      <c r="AK215" s="133" t="str">
        <f>IF($A215&lt;&gt;0,VLOOKUP($A215,'0.Productos'!$A$3:$GG$587,'0.Productos'!CC$1+1,0),"")</f>
        <v/>
      </c>
      <c r="AL215" s="133" t="str">
        <f>IF($A215&lt;&gt;0,VLOOKUP($A215,'0.Productos'!$A$3:$GG$587,'0.Productos'!CD$1+1,0),"")</f>
        <v/>
      </c>
      <c r="AM215" s="133" t="str">
        <f>IF($A215&lt;&gt;0,VLOOKUP($A215,'0.Productos'!$A$3:$GG$587,'0.Productos'!CE$1+1,0),"")</f>
        <v/>
      </c>
      <c r="AN215" s="133" t="str">
        <f>IF($A215&lt;&gt;0,VLOOKUP($A215,'0.Productos'!$A$3:$GG$587,'0.Productos'!CF$1+1,0),"")</f>
        <v/>
      </c>
      <c r="AO215" s="133" t="str">
        <f>IF($A215&lt;&gt;0,VLOOKUP($A215,'0.Productos'!$A$3:$GG$587,'0.Productos'!CG$1+1,0),"")</f>
        <v/>
      </c>
      <c r="AP215" s="133" t="str">
        <f>IF($A215&lt;&gt;0,VLOOKUP($A215,'0.Productos'!$A$3:$GG$587,'0.Productos'!CH$1+1,0),"")</f>
        <v/>
      </c>
      <c r="AQ215" s="133" t="str">
        <f>IF($A215&lt;&gt;0,VLOOKUP($A215,'0.Productos'!$A$3:$GG$587,'0.Productos'!CI$1+1,0),"")</f>
        <v/>
      </c>
      <c r="AR215" s="133" t="str">
        <f>IF($A215&lt;&gt;0,VLOOKUP($A215,'0.Productos'!$A$3:$GG$587,'0.Productos'!CJ$1+1,0),"")</f>
        <v/>
      </c>
      <c r="AS215" s="133" t="str">
        <f>IF($A215&lt;&gt;0,VLOOKUP($A215,'0.Productos'!$A$3:$GG$587,'0.Productos'!CK$1+1,0),"")</f>
        <v/>
      </c>
      <c r="AT215" s="133" t="str">
        <f>IF($A215&lt;&gt;0,VLOOKUP($A215,'0.Productos'!$A$3:$GG$587,'0.Productos'!CL$1+1,0),"")</f>
        <v/>
      </c>
      <c r="AU215" s="133" t="str">
        <f>IF($A215&lt;&gt;0,VLOOKUP($A215,'0.Productos'!$A$3:$GG$587,'0.Productos'!CM$1+1,0),"")</f>
        <v/>
      </c>
      <c r="AV215" s="133" t="str">
        <f>IF($A215&lt;&gt;0,VLOOKUP($A215,'0.Productos'!$A$3:$GG$587,'0.Productos'!CN$1+1,0),"")</f>
        <v/>
      </c>
      <c r="AW215" s="133" t="str">
        <f>IF($A215&lt;&gt;0,VLOOKUP($A215,'0.Productos'!$A$3:$GG$587,'0.Productos'!CO$1+1,0),"")</f>
        <v/>
      </c>
      <c r="AX215" s="133" t="str">
        <f>IF($A215&lt;&gt;0,VLOOKUP($A215,'0.Productos'!$A$3:$GG$587,'0.Productos'!CP$1+1,0),"")</f>
        <v/>
      </c>
      <c r="AY215" s="133" t="str">
        <f>IF($A215&lt;&gt;0,VLOOKUP($A215,'0.Productos'!$A$3:$GG$587,'0.Productos'!CQ$1+1,0),"")</f>
        <v/>
      </c>
      <c r="AZ215" s="133" t="str">
        <f>IF($A215&lt;&gt;0,VLOOKUP($A215,'0.Productos'!$A$3:$GG$587,'0.Productos'!CR$1+1,0),"")</f>
        <v/>
      </c>
      <c r="BA215" s="133" t="str">
        <f>IF($A215&lt;&gt;0,VLOOKUP($A215,'0.Productos'!$A$3:$GG$587,'0.Productos'!CS$1+1,0),"")</f>
        <v/>
      </c>
      <c r="BB215" s="133" t="str">
        <f>IF($A215&lt;&gt;0,VLOOKUP($A215,'0.Productos'!$A$3:$GG$587,'0.Productos'!CT$1+1,0),"")</f>
        <v/>
      </c>
      <c r="BC215" s="133" t="str">
        <f>IF($A215&lt;&gt;0,VLOOKUP($A215,'0.Productos'!$A$3:$GG$587,'0.Productos'!CU$1+1,0),"")</f>
        <v/>
      </c>
      <c r="BD215" s="133" t="str">
        <f>IF($A215&lt;&gt;0,VLOOKUP($A215,'0.Productos'!$A$3:$GG$587,'0.Productos'!CV$1+1,0),"")</f>
        <v/>
      </c>
      <c r="BE215" s="133" t="str">
        <f>IF($A215&lt;&gt;0,VLOOKUP($A215,'0.Productos'!$A$3:$GG$587,'0.Productos'!CW$1+1,0),"")</f>
        <v/>
      </c>
      <c r="BF215" s="133" t="str">
        <f>IF($A215&lt;&gt;0,VLOOKUP($A215,'0.Productos'!$A$3:$GG$587,'0.Productos'!CX$1+1,0),"")</f>
        <v/>
      </c>
      <c r="BG215" s="133" t="str">
        <f>IF($A215&lt;&gt;0,VLOOKUP($A215,'0.Productos'!$A$3:$GG$587,'0.Productos'!CY$1+1,0),"")</f>
        <v/>
      </c>
      <c r="BH215" s="133" t="str">
        <f>IF($A215&lt;&gt;0,VLOOKUP($A215,'0.Productos'!$A$3:$GG$587,'0.Productos'!CZ$1+1,0),"")</f>
        <v/>
      </c>
      <c r="BI215" s="133" t="str">
        <f>IF($A215&lt;&gt;0,VLOOKUP($A215,'0.Productos'!$A$3:$GG$587,'0.Productos'!DA$1+1,0),"")</f>
        <v/>
      </c>
      <c r="BJ215" s="133" t="str">
        <f>IF($A215&lt;&gt;0,VLOOKUP($A215,'0.Productos'!$A$3:$GG$587,'0.Productos'!DB$1+1,0),"")</f>
        <v/>
      </c>
      <c r="BK215" s="133" t="str">
        <f>IF($A215&lt;&gt;0,VLOOKUP($A215,'0.Productos'!$A$3:$GG$587,'0.Productos'!DC$1+1,0),"")</f>
        <v/>
      </c>
      <c r="BL215" s="133" t="str">
        <f>IF($A215&lt;&gt;0,VLOOKUP($A215,'0.Productos'!$A$3:$GG$587,'0.Productos'!DD$1+1,0),"")</f>
        <v/>
      </c>
      <c r="BM215" s="133" t="str">
        <f>IF($A215&lt;&gt;0,VLOOKUP($A215,'0.Productos'!$A$3:$GG$587,'0.Productos'!DE$1+1,0),"")</f>
        <v/>
      </c>
      <c r="BN215" s="133" t="str">
        <f>IF($A215&lt;&gt;0,VLOOKUP($A215,'0.Productos'!$A$3:$GG$587,'0.Productos'!DF$1+1,0),"")</f>
        <v/>
      </c>
      <c r="BO215" s="133" t="str">
        <f>IF($A215&lt;&gt;0,VLOOKUP($A215,'0.Productos'!$A$3:$GG$587,'0.Productos'!DG$1+1,0),"")</f>
        <v/>
      </c>
      <c r="BP215" s="133" t="str">
        <f>IF($A215&lt;&gt;0,VLOOKUP($A215,'0.Productos'!$A$3:$GG$587,'0.Productos'!DH$1+1,0),"")</f>
        <v/>
      </c>
      <c r="BQ215" s="133" t="str">
        <f>IF($A215&lt;&gt;0,VLOOKUP($A215,'0.Productos'!$A$3:$GG$587,'0.Productos'!DI$1+1,0),"")</f>
        <v/>
      </c>
      <c r="BR215" s="133" t="str">
        <f>IF($A215&lt;&gt;0,VLOOKUP($A215,'0.Productos'!$A$3:$GG$587,'0.Productos'!DJ$1+1,0),"")</f>
        <v/>
      </c>
      <c r="BS215" s="133" t="str">
        <f>IF($A215&lt;&gt;0,VLOOKUP($A215,'0.Productos'!$A$3:$GG$587,'0.Productos'!DK$1+1,0),"")</f>
        <v/>
      </c>
      <c r="BT215" s="133" t="str">
        <f>IF($A215&lt;&gt;0,VLOOKUP($A215,'0.Productos'!$A$3:$GG$587,'0.Productos'!DL$1+1,0),"")</f>
        <v/>
      </c>
    </row>
    <row r="216" spans="1:72" x14ac:dyDescent="0.25">
      <c r="A216" s="17">
        <f>'0.Consolidado general'!A216</f>
        <v>0</v>
      </c>
      <c r="B216" s="133" t="str">
        <f>IF($A216&lt;&gt;0,VLOOKUP($A216,'0.Productos'!$A$3:$GG$587,'0.Productos'!AT$1+1,0),"")</f>
        <v/>
      </c>
      <c r="C216" s="133" t="str">
        <f>IF($A216&lt;&gt;0,VLOOKUP($A216,'0.Productos'!$A$3:$GG$587,'0.Productos'!AU$1+1,0),"")</f>
        <v/>
      </c>
      <c r="D216" s="133" t="str">
        <f>IF($A216&lt;&gt;0,VLOOKUP($A216,'0.Productos'!$A$3:$GG$587,'0.Productos'!AV$1+1,0),"")</f>
        <v/>
      </c>
      <c r="E216" s="133" t="str">
        <f>IF($A216&lt;&gt;0,VLOOKUP($A216,'0.Productos'!$A$3:$GG$587,'0.Productos'!AW$1+1,0),"")</f>
        <v/>
      </c>
      <c r="F216" s="133" t="str">
        <f>IF($A216&lt;&gt;0,VLOOKUP($A216,'0.Productos'!$A$3:$GG$587,'0.Productos'!AX$1+1,0),"")</f>
        <v/>
      </c>
      <c r="G216" s="133" t="str">
        <f>IF($A216&lt;&gt;0,VLOOKUP($A216,'0.Productos'!$A$3:$GG$587,'0.Productos'!AY$1+1,0),"")</f>
        <v/>
      </c>
      <c r="H216" s="133" t="str">
        <f>IF($A216&lt;&gt;0,VLOOKUP($A216,'0.Productos'!$A$3:$GG$587,'0.Productos'!AZ$1+1,0),"")</f>
        <v/>
      </c>
      <c r="I216" s="133" t="str">
        <f>IF($A216&lt;&gt;0,VLOOKUP($A216,'0.Productos'!$A$3:$GG$587,'0.Productos'!BA$1+1,0),"")</f>
        <v/>
      </c>
      <c r="J216" s="133" t="str">
        <f>IF($A216&lt;&gt;0,VLOOKUP($A216,'0.Productos'!$A$3:$GG$587,'0.Productos'!BB$1+1,0),"")</f>
        <v/>
      </c>
      <c r="K216" s="133" t="str">
        <f>IF($A216&lt;&gt;0,VLOOKUP($A216,'0.Productos'!$A$3:$GG$587,'0.Productos'!BC$1+1,0),"")</f>
        <v/>
      </c>
      <c r="L216" s="133" t="str">
        <f>IF($A216&lt;&gt;0,VLOOKUP($A216,'0.Productos'!$A$3:$GG$587,'0.Productos'!BD$1+1,0),"")</f>
        <v/>
      </c>
      <c r="M216" s="133" t="str">
        <f>IF($A216&lt;&gt;0,VLOOKUP($A216,'0.Productos'!$A$3:$GG$587,'0.Productos'!BE$1+1,0),"")</f>
        <v/>
      </c>
      <c r="N216" s="133" t="str">
        <f>IF($A216&lt;&gt;0,VLOOKUP($A216,'0.Productos'!$A$3:$GG$587,'0.Productos'!BF$1+1,0),"")</f>
        <v/>
      </c>
      <c r="O216" s="133" t="str">
        <f>IF($A216&lt;&gt;0,VLOOKUP($A216,'0.Productos'!$A$3:$GG$587,'0.Productos'!BG$1+1,0),"")</f>
        <v/>
      </c>
      <c r="P216" s="133" t="str">
        <f>IF($A216&lt;&gt;0,VLOOKUP($A216,'0.Productos'!$A$3:$GG$587,'0.Productos'!BH$1+1,0),"")</f>
        <v/>
      </c>
      <c r="Q216" s="133" t="str">
        <f>IF($A216&lt;&gt;0,VLOOKUP($A216,'0.Productos'!$A$3:$GG$587,'0.Productos'!BI$1+1,0),"")</f>
        <v/>
      </c>
      <c r="R216" s="133" t="str">
        <f>IF($A216&lt;&gt;0,VLOOKUP($A216,'0.Productos'!$A$3:$GG$587,'0.Productos'!BJ$1+1,0),"")</f>
        <v/>
      </c>
      <c r="S216" s="133" t="str">
        <f>IF($A216&lt;&gt;0,VLOOKUP($A216,'0.Productos'!$A$3:$GG$587,'0.Productos'!BK$1+1,0),"")</f>
        <v/>
      </c>
      <c r="T216" s="133" t="str">
        <f>IF($A216&lt;&gt;0,VLOOKUP($A216,'0.Productos'!$A$3:$GG$587,'0.Productos'!BL$1+1,0),"")</f>
        <v/>
      </c>
      <c r="U216" s="133" t="str">
        <f>IF($A216&lt;&gt;0,VLOOKUP($A216,'0.Productos'!$A$3:$GG$587,'0.Productos'!BM$1+1,0),"")</f>
        <v/>
      </c>
      <c r="V216" s="133" t="str">
        <f>IF($A216&lt;&gt;0,VLOOKUP($A216,'0.Productos'!$A$3:$GG$587,'0.Productos'!BN$1+1,0),"")</f>
        <v/>
      </c>
      <c r="W216" s="133" t="str">
        <f>IF($A216&lt;&gt;0,VLOOKUP($A216,'0.Productos'!$A$3:$GG$587,'0.Productos'!BO$1+1,0),"")</f>
        <v/>
      </c>
      <c r="X216" s="133" t="str">
        <f>IF($A216&lt;&gt;0,VLOOKUP($A216,'0.Productos'!$A$3:$GG$587,'0.Productos'!BP$1+1,0),"")</f>
        <v/>
      </c>
      <c r="Y216" s="133" t="str">
        <f>IF($A216&lt;&gt;0,VLOOKUP($A216,'0.Productos'!$A$3:$GG$587,'0.Productos'!BQ$1+1,0),"")</f>
        <v/>
      </c>
      <c r="Z216" s="133" t="str">
        <f>IF($A216&lt;&gt;0,VLOOKUP($A216,'0.Productos'!$A$3:$GG$587,'0.Productos'!BR$1+1,0),"")</f>
        <v/>
      </c>
      <c r="AA216" s="133" t="str">
        <f>IF($A216&lt;&gt;0,VLOOKUP($A216,'0.Productos'!$A$3:$GG$587,'0.Productos'!BS$1+1,0),"")</f>
        <v/>
      </c>
      <c r="AB216" s="133" t="str">
        <f>IF($A216&lt;&gt;0,VLOOKUP($A216,'0.Productos'!$A$3:$GG$587,'0.Productos'!BT$1+1,0),"")</f>
        <v/>
      </c>
      <c r="AC216" s="133" t="str">
        <f>IF($A216&lt;&gt;0,VLOOKUP($A216,'0.Productos'!$A$3:$GG$587,'0.Productos'!BU$1+1,0),"")</f>
        <v/>
      </c>
      <c r="AD216" s="133" t="str">
        <f>IF($A216&lt;&gt;0,VLOOKUP($A216,'0.Productos'!$A$3:$GG$587,'0.Productos'!BV$1+1,0),"")</f>
        <v/>
      </c>
      <c r="AE216" s="133" t="str">
        <f>IF($A216&lt;&gt;0,VLOOKUP($A216,'0.Productos'!$A$3:$GG$587,'0.Productos'!BW$1+1,0),"")</f>
        <v/>
      </c>
      <c r="AF216" s="133" t="str">
        <f>IF($A216&lt;&gt;0,VLOOKUP($A216,'0.Productos'!$A$3:$GG$587,'0.Productos'!BX$1+1,0),"")</f>
        <v/>
      </c>
      <c r="AG216" s="133" t="str">
        <f>IF($A216&lt;&gt;0,VLOOKUP($A216,'0.Productos'!$A$3:$GG$587,'0.Productos'!BY$1+1,0),"")</f>
        <v/>
      </c>
      <c r="AH216" s="133" t="str">
        <f>IF($A216&lt;&gt;0,VLOOKUP($A216,'0.Productos'!$A$3:$GG$587,'0.Productos'!BZ$1+1,0),"")</f>
        <v/>
      </c>
      <c r="AI216" s="133" t="str">
        <f>IF($A216&lt;&gt;0,VLOOKUP($A216,'0.Productos'!$A$3:$GG$587,'0.Productos'!CA$1+1,0),"")</f>
        <v/>
      </c>
      <c r="AJ216" s="133" t="str">
        <f>IF($A216&lt;&gt;0,VLOOKUP($A216,'0.Productos'!$A$3:$GG$587,'0.Productos'!CB$1+1,0),"")</f>
        <v/>
      </c>
      <c r="AK216" s="133" t="str">
        <f>IF($A216&lt;&gt;0,VLOOKUP($A216,'0.Productos'!$A$3:$GG$587,'0.Productos'!CC$1+1,0),"")</f>
        <v/>
      </c>
      <c r="AL216" s="133" t="str">
        <f>IF($A216&lt;&gt;0,VLOOKUP($A216,'0.Productos'!$A$3:$GG$587,'0.Productos'!CD$1+1,0),"")</f>
        <v/>
      </c>
      <c r="AM216" s="133" t="str">
        <f>IF($A216&lt;&gt;0,VLOOKUP($A216,'0.Productos'!$A$3:$GG$587,'0.Productos'!CE$1+1,0),"")</f>
        <v/>
      </c>
      <c r="AN216" s="133" t="str">
        <f>IF($A216&lt;&gt;0,VLOOKUP($A216,'0.Productos'!$A$3:$GG$587,'0.Productos'!CF$1+1,0),"")</f>
        <v/>
      </c>
      <c r="AO216" s="133" t="str">
        <f>IF($A216&lt;&gt;0,VLOOKUP($A216,'0.Productos'!$A$3:$GG$587,'0.Productos'!CG$1+1,0),"")</f>
        <v/>
      </c>
      <c r="AP216" s="133" t="str">
        <f>IF($A216&lt;&gt;0,VLOOKUP($A216,'0.Productos'!$A$3:$GG$587,'0.Productos'!CH$1+1,0),"")</f>
        <v/>
      </c>
      <c r="AQ216" s="133" t="str">
        <f>IF($A216&lt;&gt;0,VLOOKUP($A216,'0.Productos'!$A$3:$GG$587,'0.Productos'!CI$1+1,0),"")</f>
        <v/>
      </c>
      <c r="AR216" s="133" t="str">
        <f>IF($A216&lt;&gt;0,VLOOKUP($A216,'0.Productos'!$A$3:$GG$587,'0.Productos'!CJ$1+1,0),"")</f>
        <v/>
      </c>
      <c r="AS216" s="133" t="str">
        <f>IF($A216&lt;&gt;0,VLOOKUP($A216,'0.Productos'!$A$3:$GG$587,'0.Productos'!CK$1+1,0),"")</f>
        <v/>
      </c>
      <c r="AT216" s="133" t="str">
        <f>IF($A216&lt;&gt;0,VLOOKUP($A216,'0.Productos'!$A$3:$GG$587,'0.Productos'!CL$1+1,0),"")</f>
        <v/>
      </c>
      <c r="AU216" s="133" t="str">
        <f>IF($A216&lt;&gt;0,VLOOKUP($A216,'0.Productos'!$A$3:$GG$587,'0.Productos'!CM$1+1,0),"")</f>
        <v/>
      </c>
      <c r="AV216" s="133" t="str">
        <f>IF($A216&lt;&gt;0,VLOOKUP($A216,'0.Productos'!$A$3:$GG$587,'0.Productos'!CN$1+1,0),"")</f>
        <v/>
      </c>
      <c r="AW216" s="133" t="str">
        <f>IF($A216&lt;&gt;0,VLOOKUP($A216,'0.Productos'!$A$3:$GG$587,'0.Productos'!CO$1+1,0),"")</f>
        <v/>
      </c>
      <c r="AX216" s="133" t="str">
        <f>IF($A216&lt;&gt;0,VLOOKUP($A216,'0.Productos'!$A$3:$GG$587,'0.Productos'!CP$1+1,0),"")</f>
        <v/>
      </c>
      <c r="AY216" s="133" t="str">
        <f>IF($A216&lt;&gt;0,VLOOKUP($A216,'0.Productos'!$A$3:$GG$587,'0.Productos'!CQ$1+1,0),"")</f>
        <v/>
      </c>
      <c r="AZ216" s="133" t="str">
        <f>IF($A216&lt;&gt;0,VLOOKUP($A216,'0.Productos'!$A$3:$GG$587,'0.Productos'!CR$1+1,0),"")</f>
        <v/>
      </c>
      <c r="BA216" s="133" t="str">
        <f>IF($A216&lt;&gt;0,VLOOKUP($A216,'0.Productos'!$A$3:$GG$587,'0.Productos'!CS$1+1,0),"")</f>
        <v/>
      </c>
      <c r="BB216" s="133" t="str">
        <f>IF($A216&lt;&gt;0,VLOOKUP($A216,'0.Productos'!$A$3:$GG$587,'0.Productos'!CT$1+1,0),"")</f>
        <v/>
      </c>
      <c r="BC216" s="133" t="str">
        <f>IF($A216&lt;&gt;0,VLOOKUP($A216,'0.Productos'!$A$3:$GG$587,'0.Productos'!CU$1+1,0),"")</f>
        <v/>
      </c>
      <c r="BD216" s="133" t="str">
        <f>IF($A216&lt;&gt;0,VLOOKUP($A216,'0.Productos'!$A$3:$GG$587,'0.Productos'!CV$1+1,0),"")</f>
        <v/>
      </c>
      <c r="BE216" s="133" t="str">
        <f>IF($A216&lt;&gt;0,VLOOKUP($A216,'0.Productos'!$A$3:$GG$587,'0.Productos'!CW$1+1,0),"")</f>
        <v/>
      </c>
      <c r="BF216" s="133" t="str">
        <f>IF($A216&lt;&gt;0,VLOOKUP($A216,'0.Productos'!$A$3:$GG$587,'0.Productos'!CX$1+1,0),"")</f>
        <v/>
      </c>
      <c r="BG216" s="133" t="str">
        <f>IF($A216&lt;&gt;0,VLOOKUP($A216,'0.Productos'!$A$3:$GG$587,'0.Productos'!CY$1+1,0),"")</f>
        <v/>
      </c>
      <c r="BH216" s="133" t="str">
        <f>IF($A216&lt;&gt;0,VLOOKUP($A216,'0.Productos'!$A$3:$GG$587,'0.Productos'!CZ$1+1,0),"")</f>
        <v/>
      </c>
      <c r="BI216" s="133" t="str">
        <f>IF($A216&lt;&gt;0,VLOOKUP($A216,'0.Productos'!$A$3:$GG$587,'0.Productos'!DA$1+1,0),"")</f>
        <v/>
      </c>
      <c r="BJ216" s="133" t="str">
        <f>IF($A216&lt;&gt;0,VLOOKUP($A216,'0.Productos'!$A$3:$GG$587,'0.Productos'!DB$1+1,0),"")</f>
        <v/>
      </c>
      <c r="BK216" s="133" t="str">
        <f>IF($A216&lt;&gt;0,VLOOKUP($A216,'0.Productos'!$A$3:$GG$587,'0.Productos'!DC$1+1,0),"")</f>
        <v/>
      </c>
      <c r="BL216" s="133" t="str">
        <f>IF($A216&lt;&gt;0,VLOOKUP($A216,'0.Productos'!$A$3:$GG$587,'0.Productos'!DD$1+1,0),"")</f>
        <v/>
      </c>
      <c r="BM216" s="133" t="str">
        <f>IF($A216&lt;&gt;0,VLOOKUP($A216,'0.Productos'!$A$3:$GG$587,'0.Productos'!DE$1+1,0),"")</f>
        <v/>
      </c>
      <c r="BN216" s="133" t="str">
        <f>IF($A216&lt;&gt;0,VLOOKUP($A216,'0.Productos'!$A$3:$GG$587,'0.Productos'!DF$1+1,0),"")</f>
        <v/>
      </c>
      <c r="BO216" s="133" t="str">
        <f>IF($A216&lt;&gt;0,VLOOKUP($A216,'0.Productos'!$A$3:$GG$587,'0.Productos'!DG$1+1,0),"")</f>
        <v/>
      </c>
      <c r="BP216" s="133" t="str">
        <f>IF($A216&lt;&gt;0,VLOOKUP($A216,'0.Productos'!$A$3:$GG$587,'0.Productos'!DH$1+1,0),"")</f>
        <v/>
      </c>
      <c r="BQ216" s="133" t="str">
        <f>IF($A216&lt;&gt;0,VLOOKUP($A216,'0.Productos'!$A$3:$GG$587,'0.Productos'!DI$1+1,0),"")</f>
        <v/>
      </c>
      <c r="BR216" s="133" t="str">
        <f>IF($A216&lt;&gt;0,VLOOKUP($A216,'0.Productos'!$A$3:$GG$587,'0.Productos'!DJ$1+1,0),"")</f>
        <v/>
      </c>
      <c r="BS216" s="133" t="str">
        <f>IF($A216&lt;&gt;0,VLOOKUP($A216,'0.Productos'!$A$3:$GG$587,'0.Productos'!DK$1+1,0),"")</f>
        <v/>
      </c>
      <c r="BT216" s="133" t="str">
        <f>IF($A216&lt;&gt;0,VLOOKUP($A216,'0.Productos'!$A$3:$GG$587,'0.Productos'!DL$1+1,0),"")</f>
        <v/>
      </c>
    </row>
    <row r="217" spans="1:72" x14ac:dyDescent="0.25">
      <c r="A217" s="17">
        <f>'0.Consolidado general'!A217</f>
        <v>0</v>
      </c>
      <c r="B217" s="133" t="str">
        <f>IF($A217&lt;&gt;0,VLOOKUP($A217,'0.Productos'!$A$3:$GG$587,'0.Productos'!AT$1+1,0),"")</f>
        <v/>
      </c>
      <c r="C217" s="133" t="str">
        <f>IF($A217&lt;&gt;0,VLOOKUP($A217,'0.Productos'!$A$3:$GG$587,'0.Productos'!AU$1+1,0),"")</f>
        <v/>
      </c>
      <c r="D217" s="133" t="str">
        <f>IF($A217&lt;&gt;0,VLOOKUP($A217,'0.Productos'!$A$3:$GG$587,'0.Productos'!AV$1+1,0),"")</f>
        <v/>
      </c>
      <c r="E217" s="133" t="str">
        <f>IF($A217&lt;&gt;0,VLOOKUP($A217,'0.Productos'!$A$3:$GG$587,'0.Productos'!AW$1+1,0),"")</f>
        <v/>
      </c>
      <c r="F217" s="133" t="str">
        <f>IF($A217&lt;&gt;0,VLOOKUP($A217,'0.Productos'!$A$3:$GG$587,'0.Productos'!AX$1+1,0),"")</f>
        <v/>
      </c>
      <c r="G217" s="133" t="str">
        <f>IF($A217&lt;&gt;0,VLOOKUP($A217,'0.Productos'!$A$3:$GG$587,'0.Productos'!AY$1+1,0),"")</f>
        <v/>
      </c>
      <c r="H217" s="133" t="str">
        <f>IF($A217&lt;&gt;0,VLOOKUP($A217,'0.Productos'!$A$3:$GG$587,'0.Productos'!AZ$1+1,0),"")</f>
        <v/>
      </c>
      <c r="I217" s="133" t="str">
        <f>IF($A217&lt;&gt;0,VLOOKUP($A217,'0.Productos'!$A$3:$GG$587,'0.Productos'!BA$1+1,0),"")</f>
        <v/>
      </c>
      <c r="J217" s="133" t="str">
        <f>IF($A217&lt;&gt;0,VLOOKUP($A217,'0.Productos'!$A$3:$GG$587,'0.Productos'!BB$1+1,0),"")</f>
        <v/>
      </c>
      <c r="K217" s="133" t="str">
        <f>IF($A217&lt;&gt;0,VLOOKUP($A217,'0.Productos'!$A$3:$GG$587,'0.Productos'!BC$1+1,0),"")</f>
        <v/>
      </c>
      <c r="L217" s="133" t="str">
        <f>IF($A217&lt;&gt;0,VLOOKUP($A217,'0.Productos'!$A$3:$GG$587,'0.Productos'!BD$1+1,0),"")</f>
        <v/>
      </c>
      <c r="M217" s="133" t="str">
        <f>IF($A217&lt;&gt;0,VLOOKUP($A217,'0.Productos'!$A$3:$GG$587,'0.Productos'!BE$1+1,0),"")</f>
        <v/>
      </c>
      <c r="N217" s="133" t="str">
        <f>IF($A217&lt;&gt;0,VLOOKUP($A217,'0.Productos'!$A$3:$GG$587,'0.Productos'!BF$1+1,0),"")</f>
        <v/>
      </c>
      <c r="O217" s="133" t="str">
        <f>IF($A217&lt;&gt;0,VLOOKUP($A217,'0.Productos'!$A$3:$GG$587,'0.Productos'!BG$1+1,0),"")</f>
        <v/>
      </c>
      <c r="P217" s="133" t="str">
        <f>IF($A217&lt;&gt;0,VLOOKUP($A217,'0.Productos'!$A$3:$GG$587,'0.Productos'!BH$1+1,0),"")</f>
        <v/>
      </c>
      <c r="Q217" s="133" t="str">
        <f>IF($A217&lt;&gt;0,VLOOKUP($A217,'0.Productos'!$A$3:$GG$587,'0.Productos'!BI$1+1,0),"")</f>
        <v/>
      </c>
      <c r="R217" s="133" t="str">
        <f>IF($A217&lt;&gt;0,VLOOKUP($A217,'0.Productos'!$A$3:$GG$587,'0.Productos'!BJ$1+1,0),"")</f>
        <v/>
      </c>
      <c r="S217" s="133" t="str">
        <f>IF($A217&lt;&gt;0,VLOOKUP($A217,'0.Productos'!$A$3:$GG$587,'0.Productos'!BK$1+1,0),"")</f>
        <v/>
      </c>
      <c r="T217" s="133" t="str">
        <f>IF($A217&lt;&gt;0,VLOOKUP($A217,'0.Productos'!$A$3:$GG$587,'0.Productos'!BL$1+1,0),"")</f>
        <v/>
      </c>
      <c r="U217" s="133" t="str">
        <f>IF($A217&lt;&gt;0,VLOOKUP($A217,'0.Productos'!$A$3:$GG$587,'0.Productos'!BM$1+1,0),"")</f>
        <v/>
      </c>
      <c r="V217" s="133" t="str">
        <f>IF($A217&lt;&gt;0,VLOOKUP($A217,'0.Productos'!$A$3:$GG$587,'0.Productos'!BN$1+1,0),"")</f>
        <v/>
      </c>
      <c r="W217" s="133" t="str">
        <f>IF($A217&lt;&gt;0,VLOOKUP($A217,'0.Productos'!$A$3:$GG$587,'0.Productos'!BO$1+1,0),"")</f>
        <v/>
      </c>
      <c r="X217" s="133" t="str">
        <f>IF($A217&lt;&gt;0,VLOOKUP($A217,'0.Productos'!$A$3:$GG$587,'0.Productos'!BP$1+1,0),"")</f>
        <v/>
      </c>
      <c r="Y217" s="133" t="str">
        <f>IF($A217&lt;&gt;0,VLOOKUP($A217,'0.Productos'!$A$3:$GG$587,'0.Productos'!BQ$1+1,0),"")</f>
        <v/>
      </c>
      <c r="Z217" s="133" t="str">
        <f>IF($A217&lt;&gt;0,VLOOKUP($A217,'0.Productos'!$A$3:$GG$587,'0.Productos'!BR$1+1,0),"")</f>
        <v/>
      </c>
      <c r="AA217" s="133" t="str">
        <f>IF($A217&lt;&gt;0,VLOOKUP($A217,'0.Productos'!$A$3:$GG$587,'0.Productos'!BS$1+1,0),"")</f>
        <v/>
      </c>
      <c r="AB217" s="133" t="str">
        <f>IF($A217&lt;&gt;0,VLOOKUP($A217,'0.Productos'!$A$3:$GG$587,'0.Productos'!BT$1+1,0),"")</f>
        <v/>
      </c>
      <c r="AC217" s="133" t="str">
        <f>IF($A217&lt;&gt;0,VLOOKUP($A217,'0.Productos'!$A$3:$GG$587,'0.Productos'!BU$1+1,0),"")</f>
        <v/>
      </c>
      <c r="AD217" s="133" t="str">
        <f>IF($A217&lt;&gt;0,VLOOKUP($A217,'0.Productos'!$A$3:$GG$587,'0.Productos'!BV$1+1,0),"")</f>
        <v/>
      </c>
      <c r="AE217" s="133" t="str">
        <f>IF($A217&lt;&gt;0,VLOOKUP($A217,'0.Productos'!$A$3:$GG$587,'0.Productos'!BW$1+1,0),"")</f>
        <v/>
      </c>
      <c r="AF217" s="133" t="str">
        <f>IF($A217&lt;&gt;0,VLOOKUP($A217,'0.Productos'!$A$3:$GG$587,'0.Productos'!BX$1+1,0),"")</f>
        <v/>
      </c>
      <c r="AG217" s="133" t="str">
        <f>IF($A217&lt;&gt;0,VLOOKUP($A217,'0.Productos'!$A$3:$GG$587,'0.Productos'!BY$1+1,0),"")</f>
        <v/>
      </c>
      <c r="AH217" s="133" t="str">
        <f>IF($A217&lt;&gt;0,VLOOKUP($A217,'0.Productos'!$A$3:$GG$587,'0.Productos'!BZ$1+1,0),"")</f>
        <v/>
      </c>
      <c r="AI217" s="133" t="str">
        <f>IF($A217&lt;&gt;0,VLOOKUP($A217,'0.Productos'!$A$3:$GG$587,'0.Productos'!CA$1+1,0),"")</f>
        <v/>
      </c>
      <c r="AJ217" s="133" t="str">
        <f>IF($A217&lt;&gt;0,VLOOKUP($A217,'0.Productos'!$A$3:$GG$587,'0.Productos'!CB$1+1,0),"")</f>
        <v/>
      </c>
      <c r="AK217" s="133" t="str">
        <f>IF($A217&lt;&gt;0,VLOOKUP($A217,'0.Productos'!$A$3:$GG$587,'0.Productos'!CC$1+1,0),"")</f>
        <v/>
      </c>
      <c r="AL217" s="133" t="str">
        <f>IF($A217&lt;&gt;0,VLOOKUP($A217,'0.Productos'!$A$3:$GG$587,'0.Productos'!CD$1+1,0),"")</f>
        <v/>
      </c>
      <c r="AM217" s="133" t="str">
        <f>IF($A217&lt;&gt;0,VLOOKUP($A217,'0.Productos'!$A$3:$GG$587,'0.Productos'!CE$1+1,0),"")</f>
        <v/>
      </c>
      <c r="AN217" s="133" t="str">
        <f>IF($A217&lt;&gt;0,VLOOKUP($A217,'0.Productos'!$A$3:$GG$587,'0.Productos'!CF$1+1,0),"")</f>
        <v/>
      </c>
      <c r="AO217" s="133" t="str">
        <f>IF($A217&lt;&gt;0,VLOOKUP($A217,'0.Productos'!$A$3:$GG$587,'0.Productos'!CG$1+1,0),"")</f>
        <v/>
      </c>
      <c r="AP217" s="133" t="str">
        <f>IF($A217&lt;&gt;0,VLOOKUP($A217,'0.Productos'!$A$3:$GG$587,'0.Productos'!CH$1+1,0),"")</f>
        <v/>
      </c>
      <c r="AQ217" s="133" t="str">
        <f>IF($A217&lt;&gt;0,VLOOKUP($A217,'0.Productos'!$A$3:$GG$587,'0.Productos'!CI$1+1,0),"")</f>
        <v/>
      </c>
      <c r="AR217" s="133" t="str">
        <f>IF($A217&lt;&gt;0,VLOOKUP($A217,'0.Productos'!$A$3:$GG$587,'0.Productos'!CJ$1+1,0),"")</f>
        <v/>
      </c>
      <c r="AS217" s="133" t="str">
        <f>IF($A217&lt;&gt;0,VLOOKUP($A217,'0.Productos'!$A$3:$GG$587,'0.Productos'!CK$1+1,0),"")</f>
        <v/>
      </c>
      <c r="AT217" s="133" t="str">
        <f>IF($A217&lt;&gt;0,VLOOKUP($A217,'0.Productos'!$A$3:$GG$587,'0.Productos'!CL$1+1,0),"")</f>
        <v/>
      </c>
      <c r="AU217" s="133" t="str">
        <f>IF($A217&lt;&gt;0,VLOOKUP($A217,'0.Productos'!$A$3:$GG$587,'0.Productos'!CM$1+1,0),"")</f>
        <v/>
      </c>
      <c r="AV217" s="133" t="str">
        <f>IF($A217&lt;&gt;0,VLOOKUP($A217,'0.Productos'!$A$3:$GG$587,'0.Productos'!CN$1+1,0),"")</f>
        <v/>
      </c>
      <c r="AW217" s="133" t="str">
        <f>IF($A217&lt;&gt;0,VLOOKUP($A217,'0.Productos'!$A$3:$GG$587,'0.Productos'!CO$1+1,0),"")</f>
        <v/>
      </c>
      <c r="AX217" s="133" t="str">
        <f>IF($A217&lt;&gt;0,VLOOKUP($A217,'0.Productos'!$A$3:$GG$587,'0.Productos'!CP$1+1,0),"")</f>
        <v/>
      </c>
      <c r="AY217" s="133" t="str">
        <f>IF($A217&lt;&gt;0,VLOOKUP($A217,'0.Productos'!$A$3:$GG$587,'0.Productos'!CQ$1+1,0),"")</f>
        <v/>
      </c>
      <c r="AZ217" s="133" t="str">
        <f>IF($A217&lt;&gt;0,VLOOKUP($A217,'0.Productos'!$A$3:$GG$587,'0.Productos'!CR$1+1,0),"")</f>
        <v/>
      </c>
      <c r="BA217" s="133" t="str">
        <f>IF($A217&lt;&gt;0,VLOOKUP($A217,'0.Productos'!$A$3:$GG$587,'0.Productos'!CS$1+1,0),"")</f>
        <v/>
      </c>
      <c r="BB217" s="133" t="str">
        <f>IF($A217&lt;&gt;0,VLOOKUP($A217,'0.Productos'!$A$3:$GG$587,'0.Productos'!CT$1+1,0),"")</f>
        <v/>
      </c>
      <c r="BC217" s="133" t="str">
        <f>IF($A217&lt;&gt;0,VLOOKUP($A217,'0.Productos'!$A$3:$GG$587,'0.Productos'!CU$1+1,0),"")</f>
        <v/>
      </c>
      <c r="BD217" s="133" t="str">
        <f>IF($A217&lt;&gt;0,VLOOKUP($A217,'0.Productos'!$A$3:$GG$587,'0.Productos'!CV$1+1,0),"")</f>
        <v/>
      </c>
      <c r="BE217" s="133" t="str">
        <f>IF($A217&lt;&gt;0,VLOOKUP($A217,'0.Productos'!$A$3:$GG$587,'0.Productos'!CW$1+1,0),"")</f>
        <v/>
      </c>
      <c r="BF217" s="133" t="str">
        <f>IF($A217&lt;&gt;0,VLOOKUP($A217,'0.Productos'!$A$3:$GG$587,'0.Productos'!CX$1+1,0),"")</f>
        <v/>
      </c>
      <c r="BG217" s="133" t="str">
        <f>IF($A217&lt;&gt;0,VLOOKUP($A217,'0.Productos'!$A$3:$GG$587,'0.Productos'!CY$1+1,0),"")</f>
        <v/>
      </c>
      <c r="BH217" s="133" t="str">
        <f>IF($A217&lt;&gt;0,VLOOKUP($A217,'0.Productos'!$A$3:$GG$587,'0.Productos'!CZ$1+1,0),"")</f>
        <v/>
      </c>
      <c r="BI217" s="133" t="str">
        <f>IF($A217&lt;&gt;0,VLOOKUP($A217,'0.Productos'!$A$3:$GG$587,'0.Productos'!DA$1+1,0),"")</f>
        <v/>
      </c>
      <c r="BJ217" s="133" t="str">
        <f>IF($A217&lt;&gt;0,VLOOKUP($A217,'0.Productos'!$A$3:$GG$587,'0.Productos'!DB$1+1,0),"")</f>
        <v/>
      </c>
      <c r="BK217" s="133" t="str">
        <f>IF($A217&lt;&gt;0,VLOOKUP($A217,'0.Productos'!$A$3:$GG$587,'0.Productos'!DC$1+1,0),"")</f>
        <v/>
      </c>
      <c r="BL217" s="133" t="str">
        <f>IF($A217&lt;&gt;0,VLOOKUP($A217,'0.Productos'!$A$3:$GG$587,'0.Productos'!DD$1+1,0),"")</f>
        <v/>
      </c>
      <c r="BM217" s="133" t="str">
        <f>IF($A217&lt;&gt;0,VLOOKUP($A217,'0.Productos'!$A$3:$GG$587,'0.Productos'!DE$1+1,0),"")</f>
        <v/>
      </c>
      <c r="BN217" s="133" t="str">
        <f>IF($A217&lt;&gt;0,VLOOKUP($A217,'0.Productos'!$A$3:$GG$587,'0.Productos'!DF$1+1,0),"")</f>
        <v/>
      </c>
      <c r="BO217" s="133" t="str">
        <f>IF($A217&lt;&gt;0,VLOOKUP($A217,'0.Productos'!$A$3:$GG$587,'0.Productos'!DG$1+1,0),"")</f>
        <v/>
      </c>
      <c r="BP217" s="133" t="str">
        <f>IF($A217&lt;&gt;0,VLOOKUP($A217,'0.Productos'!$A$3:$GG$587,'0.Productos'!DH$1+1,0),"")</f>
        <v/>
      </c>
      <c r="BQ217" s="133" t="str">
        <f>IF($A217&lt;&gt;0,VLOOKUP($A217,'0.Productos'!$A$3:$GG$587,'0.Productos'!DI$1+1,0),"")</f>
        <v/>
      </c>
      <c r="BR217" s="133" t="str">
        <f>IF($A217&lt;&gt;0,VLOOKUP($A217,'0.Productos'!$A$3:$GG$587,'0.Productos'!DJ$1+1,0),"")</f>
        <v/>
      </c>
      <c r="BS217" s="133" t="str">
        <f>IF($A217&lt;&gt;0,VLOOKUP($A217,'0.Productos'!$A$3:$GG$587,'0.Productos'!DK$1+1,0),"")</f>
        <v/>
      </c>
      <c r="BT217" s="133" t="str">
        <f>IF($A217&lt;&gt;0,VLOOKUP($A217,'0.Productos'!$A$3:$GG$587,'0.Productos'!DL$1+1,0),"")</f>
        <v/>
      </c>
    </row>
    <row r="218" spans="1:72" x14ac:dyDescent="0.25">
      <c r="A218" s="17">
        <f>'0.Consolidado general'!A218</f>
        <v>0</v>
      </c>
      <c r="B218" s="133" t="str">
        <f>IF($A218&lt;&gt;0,VLOOKUP($A218,'0.Productos'!$A$3:$GG$587,'0.Productos'!AT$1+1,0),"")</f>
        <v/>
      </c>
      <c r="C218" s="133" t="str">
        <f>IF($A218&lt;&gt;0,VLOOKUP($A218,'0.Productos'!$A$3:$GG$587,'0.Productos'!AU$1+1,0),"")</f>
        <v/>
      </c>
      <c r="D218" s="133" t="str">
        <f>IF($A218&lt;&gt;0,VLOOKUP($A218,'0.Productos'!$A$3:$GG$587,'0.Productos'!AV$1+1,0),"")</f>
        <v/>
      </c>
      <c r="E218" s="133" t="str">
        <f>IF($A218&lt;&gt;0,VLOOKUP($A218,'0.Productos'!$A$3:$GG$587,'0.Productos'!AW$1+1,0),"")</f>
        <v/>
      </c>
      <c r="F218" s="133" t="str">
        <f>IF($A218&lt;&gt;0,VLOOKUP($A218,'0.Productos'!$A$3:$GG$587,'0.Productos'!AX$1+1,0),"")</f>
        <v/>
      </c>
      <c r="G218" s="133" t="str">
        <f>IF($A218&lt;&gt;0,VLOOKUP($A218,'0.Productos'!$A$3:$GG$587,'0.Productos'!AY$1+1,0),"")</f>
        <v/>
      </c>
      <c r="H218" s="133" t="str">
        <f>IF($A218&lt;&gt;0,VLOOKUP($A218,'0.Productos'!$A$3:$GG$587,'0.Productos'!AZ$1+1,0),"")</f>
        <v/>
      </c>
      <c r="I218" s="133" t="str">
        <f>IF($A218&lt;&gt;0,VLOOKUP($A218,'0.Productos'!$A$3:$GG$587,'0.Productos'!BA$1+1,0),"")</f>
        <v/>
      </c>
      <c r="J218" s="133" t="str">
        <f>IF($A218&lt;&gt;0,VLOOKUP($A218,'0.Productos'!$A$3:$GG$587,'0.Productos'!BB$1+1,0),"")</f>
        <v/>
      </c>
      <c r="K218" s="133" t="str">
        <f>IF($A218&lt;&gt;0,VLOOKUP($A218,'0.Productos'!$A$3:$GG$587,'0.Productos'!BC$1+1,0),"")</f>
        <v/>
      </c>
      <c r="L218" s="133" t="str">
        <f>IF($A218&lt;&gt;0,VLOOKUP($A218,'0.Productos'!$A$3:$GG$587,'0.Productos'!BD$1+1,0),"")</f>
        <v/>
      </c>
      <c r="M218" s="133" t="str">
        <f>IF($A218&lt;&gt;0,VLOOKUP($A218,'0.Productos'!$A$3:$GG$587,'0.Productos'!BE$1+1,0),"")</f>
        <v/>
      </c>
      <c r="N218" s="133" t="str">
        <f>IF($A218&lt;&gt;0,VLOOKUP($A218,'0.Productos'!$A$3:$GG$587,'0.Productos'!BF$1+1,0),"")</f>
        <v/>
      </c>
      <c r="O218" s="133" t="str">
        <f>IF($A218&lt;&gt;0,VLOOKUP($A218,'0.Productos'!$A$3:$GG$587,'0.Productos'!BG$1+1,0),"")</f>
        <v/>
      </c>
      <c r="P218" s="133" t="str">
        <f>IF($A218&lt;&gt;0,VLOOKUP($A218,'0.Productos'!$A$3:$GG$587,'0.Productos'!BH$1+1,0),"")</f>
        <v/>
      </c>
      <c r="Q218" s="133" t="str">
        <f>IF($A218&lt;&gt;0,VLOOKUP($A218,'0.Productos'!$A$3:$GG$587,'0.Productos'!BI$1+1,0),"")</f>
        <v/>
      </c>
      <c r="R218" s="133" t="str">
        <f>IF($A218&lt;&gt;0,VLOOKUP($A218,'0.Productos'!$A$3:$GG$587,'0.Productos'!BJ$1+1,0),"")</f>
        <v/>
      </c>
      <c r="S218" s="133" t="str">
        <f>IF($A218&lt;&gt;0,VLOOKUP($A218,'0.Productos'!$A$3:$GG$587,'0.Productos'!BK$1+1,0),"")</f>
        <v/>
      </c>
      <c r="T218" s="133" t="str">
        <f>IF($A218&lt;&gt;0,VLOOKUP($A218,'0.Productos'!$A$3:$GG$587,'0.Productos'!BL$1+1,0),"")</f>
        <v/>
      </c>
      <c r="U218" s="133" t="str">
        <f>IF($A218&lt;&gt;0,VLOOKUP($A218,'0.Productos'!$A$3:$GG$587,'0.Productos'!BM$1+1,0),"")</f>
        <v/>
      </c>
      <c r="V218" s="133" t="str">
        <f>IF($A218&lt;&gt;0,VLOOKUP($A218,'0.Productos'!$A$3:$GG$587,'0.Productos'!BN$1+1,0),"")</f>
        <v/>
      </c>
      <c r="W218" s="133" t="str">
        <f>IF($A218&lt;&gt;0,VLOOKUP($A218,'0.Productos'!$A$3:$GG$587,'0.Productos'!BO$1+1,0),"")</f>
        <v/>
      </c>
      <c r="X218" s="133" t="str">
        <f>IF($A218&lt;&gt;0,VLOOKUP($A218,'0.Productos'!$A$3:$GG$587,'0.Productos'!BP$1+1,0),"")</f>
        <v/>
      </c>
      <c r="Y218" s="133" t="str">
        <f>IF($A218&lt;&gt;0,VLOOKUP($A218,'0.Productos'!$A$3:$GG$587,'0.Productos'!BQ$1+1,0),"")</f>
        <v/>
      </c>
      <c r="Z218" s="133" t="str">
        <f>IF($A218&lt;&gt;0,VLOOKUP($A218,'0.Productos'!$A$3:$GG$587,'0.Productos'!BR$1+1,0),"")</f>
        <v/>
      </c>
      <c r="AA218" s="133" t="str">
        <f>IF($A218&lt;&gt;0,VLOOKUP($A218,'0.Productos'!$A$3:$GG$587,'0.Productos'!BS$1+1,0),"")</f>
        <v/>
      </c>
      <c r="AB218" s="133" t="str">
        <f>IF($A218&lt;&gt;0,VLOOKUP($A218,'0.Productos'!$A$3:$GG$587,'0.Productos'!BT$1+1,0),"")</f>
        <v/>
      </c>
      <c r="AC218" s="133" t="str">
        <f>IF($A218&lt;&gt;0,VLOOKUP($A218,'0.Productos'!$A$3:$GG$587,'0.Productos'!BU$1+1,0),"")</f>
        <v/>
      </c>
      <c r="AD218" s="133" t="str">
        <f>IF($A218&lt;&gt;0,VLOOKUP($A218,'0.Productos'!$A$3:$GG$587,'0.Productos'!BV$1+1,0),"")</f>
        <v/>
      </c>
      <c r="AE218" s="133" t="str">
        <f>IF($A218&lt;&gt;0,VLOOKUP($A218,'0.Productos'!$A$3:$GG$587,'0.Productos'!BW$1+1,0),"")</f>
        <v/>
      </c>
      <c r="AF218" s="133" t="str">
        <f>IF($A218&lt;&gt;0,VLOOKUP($A218,'0.Productos'!$A$3:$GG$587,'0.Productos'!BX$1+1,0),"")</f>
        <v/>
      </c>
      <c r="AG218" s="133" t="str">
        <f>IF($A218&lt;&gt;0,VLOOKUP($A218,'0.Productos'!$A$3:$GG$587,'0.Productos'!BY$1+1,0),"")</f>
        <v/>
      </c>
      <c r="AH218" s="133" t="str">
        <f>IF($A218&lt;&gt;0,VLOOKUP($A218,'0.Productos'!$A$3:$GG$587,'0.Productos'!BZ$1+1,0),"")</f>
        <v/>
      </c>
      <c r="AI218" s="133" t="str">
        <f>IF($A218&lt;&gt;0,VLOOKUP($A218,'0.Productos'!$A$3:$GG$587,'0.Productos'!CA$1+1,0),"")</f>
        <v/>
      </c>
      <c r="AJ218" s="133" t="str">
        <f>IF($A218&lt;&gt;0,VLOOKUP($A218,'0.Productos'!$A$3:$GG$587,'0.Productos'!CB$1+1,0),"")</f>
        <v/>
      </c>
      <c r="AK218" s="133" t="str">
        <f>IF($A218&lt;&gt;0,VLOOKUP($A218,'0.Productos'!$A$3:$GG$587,'0.Productos'!CC$1+1,0),"")</f>
        <v/>
      </c>
      <c r="AL218" s="133" t="str">
        <f>IF($A218&lt;&gt;0,VLOOKUP($A218,'0.Productos'!$A$3:$GG$587,'0.Productos'!CD$1+1,0),"")</f>
        <v/>
      </c>
      <c r="AM218" s="133" t="str">
        <f>IF($A218&lt;&gt;0,VLOOKUP($A218,'0.Productos'!$A$3:$GG$587,'0.Productos'!CE$1+1,0),"")</f>
        <v/>
      </c>
      <c r="AN218" s="133" t="str">
        <f>IF($A218&lt;&gt;0,VLOOKUP($A218,'0.Productos'!$A$3:$GG$587,'0.Productos'!CF$1+1,0),"")</f>
        <v/>
      </c>
      <c r="AO218" s="133" t="str">
        <f>IF($A218&lt;&gt;0,VLOOKUP($A218,'0.Productos'!$A$3:$GG$587,'0.Productos'!CG$1+1,0),"")</f>
        <v/>
      </c>
      <c r="AP218" s="133" t="str">
        <f>IF($A218&lt;&gt;0,VLOOKUP($A218,'0.Productos'!$A$3:$GG$587,'0.Productos'!CH$1+1,0),"")</f>
        <v/>
      </c>
      <c r="AQ218" s="133" t="str">
        <f>IF($A218&lt;&gt;0,VLOOKUP($A218,'0.Productos'!$A$3:$GG$587,'0.Productos'!CI$1+1,0),"")</f>
        <v/>
      </c>
      <c r="AR218" s="133" t="str">
        <f>IF($A218&lt;&gt;0,VLOOKUP($A218,'0.Productos'!$A$3:$GG$587,'0.Productos'!CJ$1+1,0),"")</f>
        <v/>
      </c>
      <c r="AS218" s="133" t="str">
        <f>IF($A218&lt;&gt;0,VLOOKUP($A218,'0.Productos'!$A$3:$GG$587,'0.Productos'!CK$1+1,0),"")</f>
        <v/>
      </c>
      <c r="AT218" s="133" t="str">
        <f>IF($A218&lt;&gt;0,VLOOKUP($A218,'0.Productos'!$A$3:$GG$587,'0.Productos'!CL$1+1,0),"")</f>
        <v/>
      </c>
      <c r="AU218" s="133" t="str">
        <f>IF($A218&lt;&gt;0,VLOOKUP($A218,'0.Productos'!$A$3:$GG$587,'0.Productos'!CM$1+1,0),"")</f>
        <v/>
      </c>
      <c r="AV218" s="133" t="str">
        <f>IF($A218&lt;&gt;0,VLOOKUP($A218,'0.Productos'!$A$3:$GG$587,'0.Productos'!CN$1+1,0),"")</f>
        <v/>
      </c>
      <c r="AW218" s="133" t="str">
        <f>IF($A218&lt;&gt;0,VLOOKUP($A218,'0.Productos'!$A$3:$GG$587,'0.Productos'!CO$1+1,0),"")</f>
        <v/>
      </c>
      <c r="AX218" s="133" t="str">
        <f>IF($A218&lt;&gt;0,VLOOKUP($A218,'0.Productos'!$A$3:$GG$587,'0.Productos'!CP$1+1,0),"")</f>
        <v/>
      </c>
      <c r="AY218" s="133" t="str">
        <f>IF($A218&lt;&gt;0,VLOOKUP($A218,'0.Productos'!$A$3:$GG$587,'0.Productos'!CQ$1+1,0),"")</f>
        <v/>
      </c>
      <c r="AZ218" s="133" t="str">
        <f>IF($A218&lt;&gt;0,VLOOKUP($A218,'0.Productos'!$A$3:$GG$587,'0.Productos'!CR$1+1,0),"")</f>
        <v/>
      </c>
      <c r="BA218" s="133" t="str">
        <f>IF($A218&lt;&gt;0,VLOOKUP($A218,'0.Productos'!$A$3:$GG$587,'0.Productos'!CS$1+1,0),"")</f>
        <v/>
      </c>
      <c r="BB218" s="133" t="str">
        <f>IF($A218&lt;&gt;0,VLOOKUP($A218,'0.Productos'!$A$3:$GG$587,'0.Productos'!CT$1+1,0),"")</f>
        <v/>
      </c>
      <c r="BC218" s="133" t="str">
        <f>IF($A218&lt;&gt;0,VLOOKUP($A218,'0.Productos'!$A$3:$GG$587,'0.Productos'!CU$1+1,0),"")</f>
        <v/>
      </c>
      <c r="BD218" s="133" t="str">
        <f>IF($A218&lt;&gt;0,VLOOKUP($A218,'0.Productos'!$A$3:$GG$587,'0.Productos'!CV$1+1,0),"")</f>
        <v/>
      </c>
      <c r="BE218" s="133" t="str">
        <f>IF($A218&lt;&gt;0,VLOOKUP($A218,'0.Productos'!$A$3:$GG$587,'0.Productos'!CW$1+1,0),"")</f>
        <v/>
      </c>
      <c r="BF218" s="133" t="str">
        <f>IF($A218&lt;&gt;0,VLOOKUP($A218,'0.Productos'!$A$3:$GG$587,'0.Productos'!CX$1+1,0),"")</f>
        <v/>
      </c>
      <c r="BG218" s="133" t="str">
        <f>IF($A218&lt;&gt;0,VLOOKUP($A218,'0.Productos'!$A$3:$GG$587,'0.Productos'!CY$1+1,0),"")</f>
        <v/>
      </c>
      <c r="BH218" s="133" t="str">
        <f>IF($A218&lt;&gt;0,VLOOKUP($A218,'0.Productos'!$A$3:$GG$587,'0.Productos'!CZ$1+1,0),"")</f>
        <v/>
      </c>
      <c r="BI218" s="133" t="str">
        <f>IF($A218&lt;&gt;0,VLOOKUP($A218,'0.Productos'!$A$3:$GG$587,'0.Productos'!DA$1+1,0),"")</f>
        <v/>
      </c>
      <c r="BJ218" s="133" t="str">
        <f>IF($A218&lt;&gt;0,VLOOKUP($A218,'0.Productos'!$A$3:$GG$587,'0.Productos'!DB$1+1,0),"")</f>
        <v/>
      </c>
      <c r="BK218" s="133" t="str">
        <f>IF($A218&lt;&gt;0,VLOOKUP($A218,'0.Productos'!$A$3:$GG$587,'0.Productos'!DC$1+1,0),"")</f>
        <v/>
      </c>
      <c r="BL218" s="133" t="str">
        <f>IF($A218&lt;&gt;0,VLOOKUP($A218,'0.Productos'!$A$3:$GG$587,'0.Productos'!DD$1+1,0),"")</f>
        <v/>
      </c>
      <c r="BM218" s="133" t="str">
        <f>IF($A218&lt;&gt;0,VLOOKUP($A218,'0.Productos'!$A$3:$GG$587,'0.Productos'!DE$1+1,0),"")</f>
        <v/>
      </c>
      <c r="BN218" s="133" t="str">
        <f>IF($A218&lt;&gt;0,VLOOKUP($A218,'0.Productos'!$A$3:$GG$587,'0.Productos'!DF$1+1,0),"")</f>
        <v/>
      </c>
      <c r="BO218" s="133" t="str">
        <f>IF($A218&lt;&gt;0,VLOOKUP($A218,'0.Productos'!$A$3:$GG$587,'0.Productos'!DG$1+1,0),"")</f>
        <v/>
      </c>
      <c r="BP218" s="133" t="str">
        <f>IF($A218&lt;&gt;0,VLOOKUP($A218,'0.Productos'!$A$3:$GG$587,'0.Productos'!DH$1+1,0),"")</f>
        <v/>
      </c>
      <c r="BQ218" s="133" t="str">
        <f>IF($A218&lt;&gt;0,VLOOKUP($A218,'0.Productos'!$A$3:$GG$587,'0.Productos'!DI$1+1,0),"")</f>
        <v/>
      </c>
      <c r="BR218" s="133" t="str">
        <f>IF($A218&lt;&gt;0,VLOOKUP($A218,'0.Productos'!$A$3:$GG$587,'0.Productos'!DJ$1+1,0),"")</f>
        <v/>
      </c>
      <c r="BS218" s="133" t="str">
        <f>IF($A218&lt;&gt;0,VLOOKUP($A218,'0.Productos'!$A$3:$GG$587,'0.Productos'!DK$1+1,0),"")</f>
        <v/>
      </c>
      <c r="BT218" s="133" t="str">
        <f>IF($A218&lt;&gt;0,VLOOKUP($A218,'0.Productos'!$A$3:$GG$587,'0.Productos'!DL$1+1,0),"")</f>
        <v/>
      </c>
    </row>
    <row r="219" spans="1:72" x14ac:dyDescent="0.25">
      <c r="A219" s="17">
        <f>'0.Consolidado general'!A219</f>
        <v>0</v>
      </c>
      <c r="B219" s="133" t="str">
        <f>IF($A219&lt;&gt;0,VLOOKUP($A219,'0.Productos'!$A$3:$GG$587,'0.Productos'!AT$1+1,0),"")</f>
        <v/>
      </c>
      <c r="C219" s="133" t="str">
        <f>IF($A219&lt;&gt;0,VLOOKUP($A219,'0.Productos'!$A$3:$GG$587,'0.Productos'!AU$1+1,0),"")</f>
        <v/>
      </c>
      <c r="D219" s="133" t="str">
        <f>IF($A219&lt;&gt;0,VLOOKUP($A219,'0.Productos'!$A$3:$GG$587,'0.Productos'!AV$1+1,0),"")</f>
        <v/>
      </c>
      <c r="E219" s="133" t="str">
        <f>IF($A219&lt;&gt;0,VLOOKUP($A219,'0.Productos'!$A$3:$GG$587,'0.Productos'!AW$1+1,0),"")</f>
        <v/>
      </c>
      <c r="F219" s="133" t="str">
        <f>IF($A219&lt;&gt;0,VLOOKUP($A219,'0.Productos'!$A$3:$GG$587,'0.Productos'!AX$1+1,0),"")</f>
        <v/>
      </c>
      <c r="G219" s="133" t="str">
        <f>IF($A219&lt;&gt;0,VLOOKUP($A219,'0.Productos'!$A$3:$GG$587,'0.Productos'!AY$1+1,0),"")</f>
        <v/>
      </c>
      <c r="H219" s="133" t="str">
        <f>IF($A219&lt;&gt;0,VLOOKUP($A219,'0.Productos'!$A$3:$GG$587,'0.Productos'!AZ$1+1,0),"")</f>
        <v/>
      </c>
      <c r="I219" s="133" t="str">
        <f>IF($A219&lt;&gt;0,VLOOKUP($A219,'0.Productos'!$A$3:$GG$587,'0.Productos'!BA$1+1,0),"")</f>
        <v/>
      </c>
      <c r="J219" s="133" t="str">
        <f>IF($A219&lt;&gt;0,VLOOKUP($A219,'0.Productos'!$A$3:$GG$587,'0.Productos'!BB$1+1,0),"")</f>
        <v/>
      </c>
      <c r="K219" s="133" t="str">
        <f>IF($A219&lt;&gt;0,VLOOKUP($A219,'0.Productos'!$A$3:$GG$587,'0.Productos'!BC$1+1,0),"")</f>
        <v/>
      </c>
      <c r="L219" s="133" t="str">
        <f>IF($A219&lt;&gt;0,VLOOKUP($A219,'0.Productos'!$A$3:$GG$587,'0.Productos'!BD$1+1,0),"")</f>
        <v/>
      </c>
      <c r="M219" s="133" t="str">
        <f>IF($A219&lt;&gt;0,VLOOKUP($A219,'0.Productos'!$A$3:$GG$587,'0.Productos'!BE$1+1,0),"")</f>
        <v/>
      </c>
      <c r="N219" s="133" t="str">
        <f>IF($A219&lt;&gt;0,VLOOKUP($A219,'0.Productos'!$A$3:$GG$587,'0.Productos'!BF$1+1,0),"")</f>
        <v/>
      </c>
      <c r="O219" s="133" t="str">
        <f>IF($A219&lt;&gt;0,VLOOKUP($A219,'0.Productos'!$A$3:$GG$587,'0.Productos'!BG$1+1,0),"")</f>
        <v/>
      </c>
      <c r="P219" s="133" t="str">
        <f>IF($A219&lt;&gt;0,VLOOKUP($A219,'0.Productos'!$A$3:$GG$587,'0.Productos'!BH$1+1,0),"")</f>
        <v/>
      </c>
      <c r="Q219" s="133" t="str">
        <f>IF($A219&lt;&gt;0,VLOOKUP($A219,'0.Productos'!$A$3:$GG$587,'0.Productos'!BI$1+1,0),"")</f>
        <v/>
      </c>
      <c r="R219" s="133" t="str">
        <f>IF($A219&lt;&gt;0,VLOOKUP($A219,'0.Productos'!$A$3:$GG$587,'0.Productos'!BJ$1+1,0),"")</f>
        <v/>
      </c>
      <c r="S219" s="133" t="str">
        <f>IF($A219&lt;&gt;0,VLOOKUP($A219,'0.Productos'!$A$3:$GG$587,'0.Productos'!BK$1+1,0),"")</f>
        <v/>
      </c>
      <c r="T219" s="133" t="str">
        <f>IF($A219&lt;&gt;0,VLOOKUP($A219,'0.Productos'!$A$3:$GG$587,'0.Productos'!BL$1+1,0),"")</f>
        <v/>
      </c>
      <c r="U219" s="133" t="str">
        <f>IF($A219&lt;&gt;0,VLOOKUP($A219,'0.Productos'!$A$3:$GG$587,'0.Productos'!BM$1+1,0),"")</f>
        <v/>
      </c>
      <c r="V219" s="133" t="str">
        <f>IF($A219&lt;&gt;0,VLOOKUP($A219,'0.Productos'!$A$3:$GG$587,'0.Productos'!BN$1+1,0),"")</f>
        <v/>
      </c>
      <c r="W219" s="133" t="str">
        <f>IF($A219&lt;&gt;0,VLOOKUP($A219,'0.Productos'!$A$3:$GG$587,'0.Productos'!BO$1+1,0),"")</f>
        <v/>
      </c>
      <c r="X219" s="133" t="str">
        <f>IF($A219&lt;&gt;0,VLOOKUP($A219,'0.Productos'!$A$3:$GG$587,'0.Productos'!BP$1+1,0),"")</f>
        <v/>
      </c>
      <c r="Y219" s="133" t="str">
        <f>IF($A219&lt;&gt;0,VLOOKUP($A219,'0.Productos'!$A$3:$GG$587,'0.Productos'!BQ$1+1,0),"")</f>
        <v/>
      </c>
      <c r="Z219" s="133" t="str">
        <f>IF($A219&lt;&gt;0,VLOOKUP($A219,'0.Productos'!$A$3:$GG$587,'0.Productos'!BR$1+1,0),"")</f>
        <v/>
      </c>
      <c r="AA219" s="133" t="str">
        <f>IF($A219&lt;&gt;0,VLOOKUP($A219,'0.Productos'!$A$3:$GG$587,'0.Productos'!BS$1+1,0),"")</f>
        <v/>
      </c>
      <c r="AB219" s="133" t="str">
        <f>IF($A219&lt;&gt;0,VLOOKUP($A219,'0.Productos'!$A$3:$GG$587,'0.Productos'!BT$1+1,0),"")</f>
        <v/>
      </c>
      <c r="AC219" s="133" t="str">
        <f>IF($A219&lt;&gt;0,VLOOKUP($A219,'0.Productos'!$A$3:$GG$587,'0.Productos'!BU$1+1,0),"")</f>
        <v/>
      </c>
      <c r="AD219" s="133" t="str">
        <f>IF($A219&lt;&gt;0,VLOOKUP($A219,'0.Productos'!$A$3:$GG$587,'0.Productos'!BV$1+1,0),"")</f>
        <v/>
      </c>
      <c r="AE219" s="133" t="str">
        <f>IF($A219&lt;&gt;0,VLOOKUP($A219,'0.Productos'!$A$3:$GG$587,'0.Productos'!BW$1+1,0),"")</f>
        <v/>
      </c>
      <c r="AF219" s="133" t="str">
        <f>IF($A219&lt;&gt;0,VLOOKUP($A219,'0.Productos'!$A$3:$GG$587,'0.Productos'!BX$1+1,0),"")</f>
        <v/>
      </c>
      <c r="AG219" s="133" t="str">
        <f>IF($A219&lt;&gt;0,VLOOKUP($A219,'0.Productos'!$A$3:$GG$587,'0.Productos'!BY$1+1,0),"")</f>
        <v/>
      </c>
      <c r="AH219" s="133" t="str">
        <f>IF($A219&lt;&gt;0,VLOOKUP($A219,'0.Productos'!$A$3:$GG$587,'0.Productos'!BZ$1+1,0),"")</f>
        <v/>
      </c>
      <c r="AI219" s="133" t="str">
        <f>IF($A219&lt;&gt;0,VLOOKUP($A219,'0.Productos'!$A$3:$GG$587,'0.Productos'!CA$1+1,0),"")</f>
        <v/>
      </c>
      <c r="AJ219" s="133" t="str">
        <f>IF($A219&lt;&gt;0,VLOOKUP($A219,'0.Productos'!$A$3:$GG$587,'0.Productos'!CB$1+1,0),"")</f>
        <v/>
      </c>
      <c r="AK219" s="133" t="str">
        <f>IF($A219&lt;&gt;0,VLOOKUP($A219,'0.Productos'!$A$3:$GG$587,'0.Productos'!CC$1+1,0),"")</f>
        <v/>
      </c>
      <c r="AL219" s="133" t="str">
        <f>IF($A219&lt;&gt;0,VLOOKUP($A219,'0.Productos'!$A$3:$GG$587,'0.Productos'!CD$1+1,0),"")</f>
        <v/>
      </c>
      <c r="AM219" s="133" t="str">
        <f>IF($A219&lt;&gt;0,VLOOKUP($A219,'0.Productos'!$A$3:$GG$587,'0.Productos'!CE$1+1,0),"")</f>
        <v/>
      </c>
      <c r="AN219" s="133" t="str">
        <f>IF($A219&lt;&gt;0,VLOOKUP($A219,'0.Productos'!$A$3:$GG$587,'0.Productos'!CF$1+1,0),"")</f>
        <v/>
      </c>
      <c r="AO219" s="133" t="str">
        <f>IF($A219&lt;&gt;0,VLOOKUP($A219,'0.Productos'!$A$3:$GG$587,'0.Productos'!CG$1+1,0),"")</f>
        <v/>
      </c>
      <c r="AP219" s="133" t="str">
        <f>IF($A219&lt;&gt;0,VLOOKUP($A219,'0.Productos'!$A$3:$GG$587,'0.Productos'!CH$1+1,0),"")</f>
        <v/>
      </c>
      <c r="AQ219" s="133" t="str">
        <f>IF($A219&lt;&gt;0,VLOOKUP($A219,'0.Productos'!$A$3:$GG$587,'0.Productos'!CI$1+1,0),"")</f>
        <v/>
      </c>
      <c r="AR219" s="133" t="str">
        <f>IF($A219&lt;&gt;0,VLOOKUP($A219,'0.Productos'!$A$3:$GG$587,'0.Productos'!CJ$1+1,0),"")</f>
        <v/>
      </c>
      <c r="AS219" s="133" t="str">
        <f>IF($A219&lt;&gt;0,VLOOKUP($A219,'0.Productos'!$A$3:$GG$587,'0.Productos'!CK$1+1,0),"")</f>
        <v/>
      </c>
      <c r="AT219" s="133" t="str">
        <f>IF($A219&lt;&gt;0,VLOOKUP($A219,'0.Productos'!$A$3:$GG$587,'0.Productos'!CL$1+1,0),"")</f>
        <v/>
      </c>
      <c r="AU219" s="133" t="str">
        <f>IF($A219&lt;&gt;0,VLOOKUP($A219,'0.Productos'!$A$3:$GG$587,'0.Productos'!CM$1+1,0),"")</f>
        <v/>
      </c>
      <c r="AV219" s="133" t="str">
        <f>IF($A219&lt;&gt;0,VLOOKUP($A219,'0.Productos'!$A$3:$GG$587,'0.Productos'!CN$1+1,0),"")</f>
        <v/>
      </c>
      <c r="AW219" s="133" t="str">
        <f>IF($A219&lt;&gt;0,VLOOKUP($A219,'0.Productos'!$A$3:$GG$587,'0.Productos'!CO$1+1,0),"")</f>
        <v/>
      </c>
      <c r="AX219" s="133" t="str">
        <f>IF($A219&lt;&gt;0,VLOOKUP($A219,'0.Productos'!$A$3:$GG$587,'0.Productos'!CP$1+1,0),"")</f>
        <v/>
      </c>
      <c r="AY219" s="133" t="str">
        <f>IF($A219&lt;&gt;0,VLOOKUP($A219,'0.Productos'!$A$3:$GG$587,'0.Productos'!CQ$1+1,0),"")</f>
        <v/>
      </c>
      <c r="AZ219" s="133" t="str">
        <f>IF($A219&lt;&gt;0,VLOOKUP($A219,'0.Productos'!$A$3:$GG$587,'0.Productos'!CR$1+1,0),"")</f>
        <v/>
      </c>
      <c r="BA219" s="133" t="str">
        <f>IF($A219&lt;&gt;0,VLOOKUP($A219,'0.Productos'!$A$3:$GG$587,'0.Productos'!CS$1+1,0),"")</f>
        <v/>
      </c>
      <c r="BB219" s="133" t="str">
        <f>IF($A219&lt;&gt;0,VLOOKUP($A219,'0.Productos'!$A$3:$GG$587,'0.Productos'!CT$1+1,0),"")</f>
        <v/>
      </c>
      <c r="BC219" s="133" t="str">
        <f>IF($A219&lt;&gt;0,VLOOKUP($A219,'0.Productos'!$A$3:$GG$587,'0.Productos'!CU$1+1,0),"")</f>
        <v/>
      </c>
      <c r="BD219" s="133" t="str">
        <f>IF($A219&lt;&gt;0,VLOOKUP($A219,'0.Productos'!$A$3:$GG$587,'0.Productos'!CV$1+1,0),"")</f>
        <v/>
      </c>
      <c r="BE219" s="133" t="str">
        <f>IF($A219&lt;&gt;0,VLOOKUP($A219,'0.Productos'!$A$3:$GG$587,'0.Productos'!CW$1+1,0),"")</f>
        <v/>
      </c>
      <c r="BF219" s="133" t="str">
        <f>IF($A219&lt;&gt;0,VLOOKUP($A219,'0.Productos'!$A$3:$GG$587,'0.Productos'!CX$1+1,0),"")</f>
        <v/>
      </c>
      <c r="BG219" s="133" t="str">
        <f>IF($A219&lt;&gt;0,VLOOKUP($A219,'0.Productos'!$A$3:$GG$587,'0.Productos'!CY$1+1,0),"")</f>
        <v/>
      </c>
      <c r="BH219" s="133" t="str">
        <f>IF($A219&lt;&gt;0,VLOOKUP($A219,'0.Productos'!$A$3:$GG$587,'0.Productos'!CZ$1+1,0),"")</f>
        <v/>
      </c>
      <c r="BI219" s="133" t="str">
        <f>IF($A219&lt;&gt;0,VLOOKUP($A219,'0.Productos'!$A$3:$GG$587,'0.Productos'!DA$1+1,0),"")</f>
        <v/>
      </c>
      <c r="BJ219" s="133" t="str">
        <f>IF($A219&lt;&gt;0,VLOOKUP($A219,'0.Productos'!$A$3:$GG$587,'0.Productos'!DB$1+1,0),"")</f>
        <v/>
      </c>
      <c r="BK219" s="133" t="str">
        <f>IF($A219&lt;&gt;0,VLOOKUP($A219,'0.Productos'!$A$3:$GG$587,'0.Productos'!DC$1+1,0),"")</f>
        <v/>
      </c>
      <c r="BL219" s="133" t="str">
        <f>IF($A219&lt;&gt;0,VLOOKUP($A219,'0.Productos'!$A$3:$GG$587,'0.Productos'!DD$1+1,0),"")</f>
        <v/>
      </c>
      <c r="BM219" s="133" t="str">
        <f>IF($A219&lt;&gt;0,VLOOKUP($A219,'0.Productos'!$A$3:$GG$587,'0.Productos'!DE$1+1,0),"")</f>
        <v/>
      </c>
      <c r="BN219" s="133" t="str">
        <f>IF($A219&lt;&gt;0,VLOOKUP($A219,'0.Productos'!$A$3:$GG$587,'0.Productos'!DF$1+1,0),"")</f>
        <v/>
      </c>
      <c r="BO219" s="133" t="str">
        <f>IF($A219&lt;&gt;0,VLOOKUP($A219,'0.Productos'!$A$3:$GG$587,'0.Productos'!DG$1+1,0),"")</f>
        <v/>
      </c>
      <c r="BP219" s="133" t="str">
        <f>IF($A219&lt;&gt;0,VLOOKUP($A219,'0.Productos'!$A$3:$GG$587,'0.Productos'!DH$1+1,0),"")</f>
        <v/>
      </c>
      <c r="BQ219" s="133" t="str">
        <f>IF($A219&lt;&gt;0,VLOOKUP($A219,'0.Productos'!$A$3:$GG$587,'0.Productos'!DI$1+1,0),"")</f>
        <v/>
      </c>
      <c r="BR219" s="133" t="str">
        <f>IF($A219&lt;&gt;0,VLOOKUP($A219,'0.Productos'!$A$3:$GG$587,'0.Productos'!DJ$1+1,0),"")</f>
        <v/>
      </c>
      <c r="BS219" s="133" t="str">
        <f>IF($A219&lt;&gt;0,VLOOKUP($A219,'0.Productos'!$A$3:$GG$587,'0.Productos'!DK$1+1,0),"")</f>
        <v/>
      </c>
      <c r="BT219" s="133" t="str">
        <f>IF($A219&lt;&gt;0,VLOOKUP($A219,'0.Productos'!$A$3:$GG$587,'0.Productos'!DL$1+1,0),"")</f>
        <v/>
      </c>
    </row>
    <row r="220" spans="1:72" x14ac:dyDescent="0.25">
      <c r="A220" s="17">
        <f>'0.Consolidado general'!A220</f>
        <v>0</v>
      </c>
      <c r="B220" s="133" t="str">
        <f>IF($A220&lt;&gt;0,VLOOKUP($A220,'0.Productos'!$A$3:$GG$587,'0.Productos'!AT$1+1,0),"")</f>
        <v/>
      </c>
      <c r="C220" s="133" t="str">
        <f>IF($A220&lt;&gt;0,VLOOKUP($A220,'0.Productos'!$A$3:$GG$587,'0.Productos'!AU$1+1,0),"")</f>
        <v/>
      </c>
      <c r="D220" s="133" t="str">
        <f>IF($A220&lt;&gt;0,VLOOKUP($A220,'0.Productos'!$A$3:$GG$587,'0.Productos'!AV$1+1,0),"")</f>
        <v/>
      </c>
      <c r="E220" s="133" t="str">
        <f>IF($A220&lt;&gt;0,VLOOKUP($A220,'0.Productos'!$A$3:$GG$587,'0.Productos'!AW$1+1,0),"")</f>
        <v/>
      </c>
      <c r="F220" s="133" t="str">
        <f>IF($A220&lt;&gt;0,VLOOKUP($A220,'0.Productos'!$A$3:$GG$587,'0.Productos'!AX$1+1,0),"")</f>
        <v/>
      </c>
      <c r="G220" s="133" t="str">
        <f>IF($A220&lt;&gt;0,VLOOKUP($A220,'0.Productos'!$A$3:$GG$587,'0.Productos'!AY$1+1,0),"")</f>
        <v/>
      </c>
      <c r="H220" s="133" t="str">
        <f>IF($A220&lt;&gt;0,VLOOKUP($A220,'0.Productos'!$A$3:$GG$587,'0.Productos'!AZ$1+1,0),"")</f>
        <v/>
      </c>
      <c r="I220" s="133" t="str">
        <f>IF($A220&lt;&gt;0,VLOOKUP($A220,'0.Productos'!$A$3:$GG$587,'0.Productos'!BA$1+1,0),"")</f>
        <v/>
      </c>
      <c r="J220" s="133" t="str">
        <f>IF($A220&lt;&gt;0,VLOOKUP($A220,'0.Productos'!$A$3:$GG$587,'0.Productos'!BB$1+1,0),"")</f>
        <v/>
      </c>
      <c r="K220" s="133" t="str">
        <f>IF($A220&lt;&gt;0,VLOOKUP($A220,'0.Productos'!$A$3:$GG$587,'0.Productos'!BC$1+1,0),"")</f>
        <v/>
      </c>
      <c r="L220" s="133" t="str">
        <f>IF($A220&lt;&gt;0,VLOOKUP($A220,'0.Productos'!$A$3:$GG$587,'0.Productos'!BD$1+1,0),"")</f>
        <v/>
      </c>
      <c r="M220" s="133" t="str">
        <f>IF($A220&lt;&gt;0,VLOOKUP($A220,'0.Productos'!$A$3:$GG$587,'0.Productos'!BE$1+1,0),"")</f>
        <v/>
      </c>
      <c r="N220" s="133" t="str">
        <f>IF($A220&lt;&gt;0,VLOOKUP($A220,'0.Productos'!$A$3:$GG$587,'0.Productos'!BF$1+1,0),"")</f>
        <v/>
      </c>
      <c r="O220" s="133" t="str">
        <f>IF($A220&lt;&gt;0,VLOOKUP($A220,'0.Productos'!$A$3:$GG$587,'0.Productos'!BG$1+1,0),"")</f>
        <v/>
      </c>
      <c r="P220" s="133" t="str">
        <f>IF($A220&lt;&gt;0,VLOOKUP($A220,'0.Productos'!$A$3:$GG$587,'0.Productos'!BH$1+1,0),"")</f>
        <v/>
      </c>
      <c r="Q220" s="133" t="str">
        <f>IF($A220&lt;&gt;0,VLOOKUP($A220,'0.Productos'!$A$3:$GG$587,'0.Productos'!BI$1+1,0),"")</f>
        <v/>
      </c>
      <c r="R220" s="133" t="str">
        <f>IF($A220&lt;&gt;0,VLOOKUP($A220,'0.Productos'!$A$3:$GG$587,'0.Productos'!BJ$1+1,0),"")</f>
        <v/>
      </c>
      <c r="S220" s="133" t="str">
        <f>IF($A220&lt;&gt;0,VLOOKUP($A220,'0.Productos'!$A$3:$GG$587,'0.Productos'!BK$1+1,0),"")</f>
        <v/>
      </c>
      <c r="T220" s="133" t="str">
        <f>IF($A220&lt;&gt;0,VLOOKUP($A220,'0.Productos'!$A$3:$GG$587,'0.Productos'!BL$1+1,0),"")</f>
        <v/>
      </c>
      <c r="U220" s="133" t="str">
        <f>IF($A220&lt;&gt;0,VLOOKUP($A220,'0.Productos'!$A$3:$GG$587,'0.Productos'!BM$1+1,0),"")</f>
        <v/>
      </c>
      <c r="V220" s="133" t="str">
        <f>IF($A220&lt;&gt;0,VLOOKUP($A220,'0.Productos'!$A$3:$GG$587,'0.Productos'!BN$1+1,0),"")</f>
        <v/>
      </c>
      <c r="W220" s="133" t="str">
        <f>IF($A220&lt;&gt;0,VLOOKUP($A220,'0.Productos'!$A$3:$GG$587,'0.Productos'!BO$1+1,0),"")</f>
        <v/>
      </c>
      <c r="X220" s="133" t="str">
        <f>IF($A220&lt;&gt;0,VLOOKUP($A220,'0.Productos'!$A$3:$GG$587,'0.Productos'!BP$1+1,0),"")</f>
        <v/>
      </c>
      <c r="Y220" s="133" t="str">
        <f>IF($A220&lt;&gt;0,VLOOKUP($A220,'0.Productos'!$A$3:$GG$587,'0.Productos'!BQ$1+1,0),"")</f>
        <v/>
      </c>
      <c r="Z220" s="133" t="str">
        <f>IF($A220&lt;&gt;0,VLOOKUP($A220,'0.Productos'!$A$3:$GG$587,'0.Productos'!BR$1+1,0),"")</f>
        <v/>
      </c>
      <c r="AA220" s="133" t="str">
        <f>IF($A220&lt;&gt;0,VLOOKUP($A220,'0.Productos'!$A$3:$GG$587,'0.Productos'!BS$1+1,0),"")</f>
        <v/>
      </c>
      <c r="AB220" s="133" t="str">
        <f>IF($A220&lt;&gt;0,VLOOKUP($A220,'0.Productos'!$A$3:$GG$587,'0.Productos'!BT$1+1,0),"")</f>
        <v/>
      </c>
      <c r="AC220" s="133" t="str">
        <f>IF($A220&lt;&gt;0,VLOOKUP($A220,'0.Productos'!$A$3:$GG$587,'0.Productos'!BU$1+1,0),"")</f>
        <v/>
      </c>
      <c r="AD220" s="133" t="str">
        <f>IF($A220&lt;&gt;0,VLOOKUP($A220,'0.Productos'!$A$3:$GG$587,'0.Productos'!BV$1+1,0),"")</f>
        <v/>
      </c>
      <c r="AE220" s="133" t="str">
        <f>IF($A220&lt;&gt;0,VLOOKUP($A220,'0.Productos'!$A$3:$GG$587,'0.Productos'!BW$1+1,0),"")</f>
        <v/>
      </c>
      <c r="AF220" s="133" t="str">
        <f>IF($A220&lt;&gt;0,VLOOKUP($A220,'0.Productos'!$A$3:$GG$587,'0.Productos'!BX$1+1,0),"")</f>
        <v/>
      </c>
      <c r="AG220" s="133" t="str">
        <f>IF($A220&lt;&gt;0,VLOOKUP($A220,'0.Productos'!$A$3:$GG$587,'0.Productos'!BY$1+1,0),"")</f>
        <v/>
      </c>
      <c r="AH220" s="133" t="str">
        <f>IF($A220&lt;&gt;0,VLOOKUP($A220,'0.Productos'!$A$3:$GG$587,'0.Productos'!BZ$1+1,0),"")</f>
        <v/>
      </c>
      <c r="AI220" s="133" t="str">
        <f>IF($A220&lt;&gt;0,VLOOKUP($A220,'0.Productos'!$A$3:$GG$587,'0.Productos'!CA$1+1,0),"")</f>
        <v/>
      </c>
      <c r="AJ220" s="133" t="str">
        <f>IF($A220&lt;&gt;0,VLOOKUP($A220,'0.Productos'!$A$3:$GG$587,'0.Productos'!CB$1+1,0),"")</f>
        <v/>
      </c>
      <c r="AK220" s="133" t="str">
        <f>IF($A220&lt;&gt;0,VLOOKUP($A220,'0.Productos'!$A$3:$GG$587,'0.Productos'!CC$1+1,0),"")</f>
        <v/>
      </c>
      <c r="AL220" s="133" t="str">
        <f>IF($A220&lt;&gt;0,VLOOKUP($A220,'0.Productos'!$A$3:$GG$587,'0.Productos'!CD$1+1,0),"")</f>
        <v/>
      </c>
      <c r="AM220" s="133" t="str">
        <f>IF($A220&lt;&gt;0,VLOOKUP($A220,'0.Productos'!$A$3:$GG$587,'0.Productos'!CE$1+1,0),"")</f>
        <v/>
      </c>
      <c r="AN220" s="133" t="str">
        <f>IF($A220&lt;&gt;0,VLOOKUP($A220,'0.Productos'!$A$3:$GG$587,'0.Productos'!CF$1+1,0),"")</f>
        <v/>
      </c>
      <c r="AO220" s="133" t="str">
        <f>IF($A220&lt;&gt;0,VLOOKUP($A220,'0.Productos'!$A$3:$GG$587,'0.Productos'!CG$1+1,0),"")</f>
        <v/>
      </c>
      <c r="AP220" s="133" t="str">
        <f>IF($A220&lt;&gt;0,VLOOKUP($A220,'0.Productos'!$A$3:$GG$587,'0.Productos'!CH$1+1,0),"")</f>
        <v/>
      </c>
      <c r="AQ220" s="133" t="str">
        <f>IF($A220&lt;&gt;0,VLOOKUP($A220,'0.Productos'!$A$3:$GG$587,'0.Productos'!CI$1+1,0),"")</f>
        <v/>
      </c>
      <c r="AR220" s="133" t="str">
        <f>IF($A220&lt;&gt;0,VLOOKUP($A220,'0.Productos'!$A$3:$GG$587,'0.Productos'!CJ$1+1,0),"")</f>
        <v/>
      </c>
      <c r="AS220" s="133" t="str">
        <f>IF($A220&lt;&gt;0,VLOOKUP($A220,'0.Productos'!$A$3:$GG$587,'0.Productos'!CK$1+1,0),"")</f>
        <v/>
      </c>
      <c r="AT220" s="133" t="str">
        <f>IF($A220&lt;&gt;0,VLOOKUP($A220,'0.Productos'!$A$3:$GG$587,'0.Productos'!CL$1+1,0),"")</f>
        <v/>
      </c>
      <c r="AU220" s="133" t="str">
        <f>IF($A220&lt;&gt;0,VLOOKUP($A220,'0.Productos'!$A$3:$GG$587,'0.Productos'!CM$1+1,0),"")</f>
        <v/>
      </c>
      <c r="AV220" s="133" t="str">
        <f>IF($A220&lt;&gt;0,VLOOKUP($A220,'0.Productos'!$A$3:$GG$587,'0.Productos'!CN$1+1,0),"")</f>
        <v/>
      </c>
      <c r="AW220" s="133" t="str">
        <f>IF($A220&lt;&gt;0,VLOOKUP($A220,'0.Productos'!$A$3:$GG$587,'0.Productos'!CO$1+1,0),"")</f>
        <v/>
      </c>
      <c r="AX220" s="133" t="str">
        <f>IF($A220&lt;&gt;0,VLOOKUP($A220,'0.Productos'!$A$3:$GG$587,'0.Productos'!CP$1+1,0),"")</f>
        <v/>
      </c>
      <c r="AY220" s="133" t="str">
        <f>IF($A220&lt;&gt;0,VLOOKUP($A220,'0.Productos'!$A$3:$GG$587,'0.Productos'!CQ$1+1,0),"")</f>
        <v/>
      </c>
      <c r="AZ220" s="133" t="str">
        <f>IF($A220&lt;&gt;0,VLOOKUP($A220,'0.Productos'!$A$3:$GG$587,'0.Productos'!CR$1+1,0),"")</f>
        <v/>
      </c>
      <c r="BA220" s="133" t="str">
        <f>IF($A220&lt;&gt;0,VLOOKUP($A220,'0.Productos'!$A$3:$GG$587,'0.Productos'!CS$1+1,0),"")</f>
        <v/>
      </c>
      <c r="BB220" s="133" t="str">
        <f>IF($A220&lt;&gt;0,VLOOKUP($A220,'0.Productos'!$A$3:$GG$587,'0.Productos'!CT$1+1,0),"")</f>
        <v/>
      </c>
      <c r="BC220" s="133" t="str">
        <f>IF($A220&lt;&gt;0,VLOOKUP($A220,'0.Productos'!$A$3:$GG$587,'0.Productos'!CU$1+1,0),"")</f>
        <v/>
      </c>
      <c r="BD220" s="133" t="str">
        <f>IF($A220&lt;&gt;0,VLOOKUP($A220,'0.Productos'!$A$3:$GG$587,'0.Productos'!CV$1+1,0),"")</f>
        <v/>
      </c>
      <c r="BE220" s="133" t="str">
        <f>IF($A220&lt;&gt;0,VLOOKUP($A220,'0.Productos'!$A$3:$GG$587,'0.Productos'!CW$1+1,0),"")</f>
        <v/>
      </c>
      <c r="BF220" s="133" t="str">
        <f>IF($A220&lt;&gt;0,VLOOKUP($A220,'0.Productos'!$A$3:$GG$587,'0.Productos'!CX$1+1,0),"")</f>
        <v/>
      </c>
      <c r="BG220" s="133" t="str">
        <f>IF($A220&lt;&gt;0,VLOOKUP($A220,'0.Productos'!$A$3:$GG$587,'0.Productos'!CY$1+1,0),"")</f>
        <v/>
      </c>
      <c r="BH220" s="133" t="str">
        <f>IF($A220&lt;&gt;0,VLOOKUP($A220,'0.Productos'!$A$3:$GG$587,'0.Productos'!CZ$1+1,0),"")</f>
        <v/>
      </c>
      <c r="BI220" s="133" t="str">
        <f>IF($A220&lt;&gt;0,VLOOKUP($A220,'0.Productos'!$A$3:$GG$587,'0.Productos'!DA$1+1,0),"")</f>
        <v/>
      </c>
      <c r="BJ220" s="133" t="str">
        <f>IF($A220&lt;&gt;0,VLOOKUP($A220,'0.Productos'!$A$3:$GG$587,'0.Productos'!DB$1+1,0),"")</f>
        <v/>
      </c>
      <c r="BK220" s="133" t="str">
        <f>IF($A220&lt;&gt;0,VLOOKUP($A220,'0.Productos'!$A$3:$GG$587,'0.Productos'!DC$1+1,0),"")</f>
        <v/>
      </c>
      <c r="BL220" s="133" t="str">
        <f>IF($A220&lt;&gt;0,VLOOKUP($A220,'0.Productos'!$A$3:$GG$587,'0.Productos'!DD$1+1,0),"")</f>
        <v/>
      </c>
      <c r="BM220" s="133" t="str">
        <f>IF($A220&lt;&gt;0,VLOOKUP($A220,'0.Productos'!$A$3:$GG$587,'0.Productos'!DE$1+1,0),"")</f>
        <v/>
      </c>
      <c r="BN220" s="133" t="str">
        <f>IF($A220&lt;&gt;0,VLOOKUP($A220,'0.Productos'!$A$3:$GG$587,'0.Productos'!DF$1+1,0),"")</f>
        <v/>
      </c>
      <c r="BO220" s="133" t="str">
        <f>IF($A220&lt;&gt;0,VLOOKUP($A220,'0.Productos'!$A$3:$GG$587,'0.Productos'!DG$1+1,0),"")</f>
        <v/>
      </c>
      <c r="BP220" s="133" t="str">
        <f>IF($A220&lt;&gt;0,VLOOKUP($A220,'0.Productos'!$A$3:$GG$587,'0.Productos'!DH$1+1,0),"")</f>
        <v/>
      </c>
      <c r="BQ220" s="133" t="str">
        <f>IF($A220&lt;&gt;0,VLOOKUP($A220,'0.Productos'!$A$3:$GG$587,'0.Productos'!DI$1+1,0),"")</f>
        <v/>
      </c>
      <c r="BR220" s="133" t="str">
        <f>IF($A220&lt;&gt;0,VLOOKUP($A220,'0.Productos'!$A$3:$GG$587,'0.Productos'!DJ$1+1,0),"")</f>
        <v/>
      </c>
      <c r="BS220" s="133" t="str">
        <f>IF($A220&lt;&gt;0,VLOOKUP($A220,'0.Productos'!$A$3:$GG$587,'0.Productos'!DK$1+1,0),"")</f>
        <v/>
      </c>
      <c r="BT220" s="133" t="str">
        <f>IF($A220&lt;&gt;0,VLOOKUP($A220,'0.Productos'!$A$3:$GG$587,'0.Productos'!DL$1+1,0),"")</f>
        <v/>
      </c>
    </row>
    <row r="221" spans="1:72" x14ac:dyDescent="0.25">
      <c r="A221" s="17">
        <f>'0.Consolidado general'!A221</f>
        <v>0</v>
      </c>
      <c r="B221" s="133" t="str">
        <f>IF($A221&lt;&gt;0,VLOOKUP($A221,'0.Productos'!$A$3:$GG$587,'0.Productos'!AT$1+1,0),"")</f>
        <v/>
      </c>
      <c r="C221" s="133" t="str">
        <f>IF($A221&lt;&gt;0,VLOOKUP($A221,'0.Productos'!$A$3:$GG$587,'0.Productos'!AU$1+1,0),"")</f>
        <v/>
      </c>
      <c r="D221" s="133" t="str">
        <f>IF($A221&lt;&gt;0,VLOOKUP($A221,'0.Productos'!$A$3:$GG$587,'0.Productos'!AV$1+1,0),"")</f>
        <v/>
      </c>
      <c r="E221" s="133" t="str">
        <f>IF($A221&lt;&gt;0,VLOOKUP($A221,'0.Productos'!$A$3:$GG$587,'0.Productos'!AW$1+1,0),"")</f>
        <v/>
      </c>
      <c r="F221" s="133" t="str">
        <f>IF($A221&lt;&gt;0,VLOOKUP($A221,'0.Productos'!$A$3:$GG$587,'0.Productos'!AX$1+1,0),"")</f>
        <v/>
      </c>
      <c r="G221" s="133" t="str">
        <f>IF($A221&lt;&gt;0,VLOOKUP($A221,'0.Productos'!$A$3:$GG$587,'0.Productos'!AY$1+1,0),"")</f>
        <v/>
      </c>
      <c r="H221" s="133" t="str">
        <f>IF($A221&lt;&gt;0,VLOOKUP($A221,'0.Productos'!$A$3:$GG$587,'0.Productos'!AZ$1+1,0),"")</f>
        <v/>
      </c>
      <c r="I221" s="133" t="str">
        <f>IF($A221&lt;&gt;0,VLOOKUP($A221,'0.Productos'!$A$3:$GG$587,'0.Productos'!BA$1+1,0),"")</f>
        <v/>
      </c>
      <c r="J221" s="133" t="str">
        <f>IF($A221&lt;&gt;0,VLOOKUP($A221,'0.Productos'!$A$3:$GG$587,'0.Productos'!BB$1+1,0),"")</f>
        <v/>
      </c>
      <c r="K221" s="133" t="str">
        <f>IF($A221&lt;&gt;0,VLOOKUP($A221,'0.Productos'!$A$3:$GG$587,'0.Productos'!BC$1+1,0),"")</f>
        <v/>
      </c>
      <c r="L221" s="133" t="str">
        <f>IF($A221&lt;&gt;0,VLOOKUP($A221,'0.Productos'!$A$3:$GG$587,'0.Productos'!BD$1+1,0),"")</f>
        <v/>
      </c>
      <c r="M221" s="133" t="str">
        <f>IF($A221&lt;&gt;0,VLOOKUP($A221,'0.Productos'!$A$3:$GG$587,'0.Productos'!BE$1+1,0),"")</f>
        <v/>
      </c>
      <c r="N221" s="133" t="str">
        <f>IF($A221&lt;&gt;0,VLOOKUP($A221,'0.Productos'!$A$3:$GG$587,'0.Productos'!BF$1+1,0),"")</f>
        <v/>
      </c>
      <c r="O221" s="133" t="str">
        <f>IF($A221&lt;&gt;0,VLOOKUP($A221,'0.Productos'!$A$3:$GG$587,'0.Productos'!BG$1+1,0),"")</f>
        <v/>
      </c>
      <c r="P221" s="133" t="str">
        <f>IF($A221&lt;&gt;0,VLOOKUP($A221,'0.Productos'!$A$3:$GG$587,'0.Productos'!BH$1+1,0),"")</f>
        <v/>
      </c>
      <c r="Q221" s="133" t="str">
        <f>IF($A221&lt;&gt;0,VLOOKUP($A221,'0.Productos'!$A$3:$GG$587,'0.Productos'!BI$1+1,0),"")</f>
        <v/>
      </c>
      <c r="R221" s="133" t="str">
        <f>IF($A221&lt;&gt;0,VLOOKUP($A221,'0.Productos'!$A$3:$GG$587,'0.Productos'!BJ$1+1,0),"")</f>
        <v/>
      </c>
      <c r="S221" s="133" t="str">
        <f>IF($A221&lt;&gt;0,VLOOKUP($A221,'0.Productos'!$A$3:$GG$587,'0.Productos'!BK$1+1,0),"")</f>
        <v/>
      </c>
      <c r="T221" s="133" t="str">
        <f>IF($A221&lt;&gt;0,VLOOKUP($A221,'0.Productos'!$A$3:$GG$587,'0.Productos'!BL$1+1,0),"")</f>
        <v/>
      </c>
      <c r="U221" s="133" t="str">
        <f>IF($A221&lt;&gt;0,VLOOKUP($A221,'0.Productos'!$A$3:$GG$587,'0.Productos'!BM$1+1,0),"")</f>
        <v/>
      </c>
      <c r="V221" s="133" t="str">
        <f>IF($A221&lt;&gt;0,VLOOKUP($A221,'0.Productos'!$A$3:$GG$587,'0.Productos'!BN$1+1,0),"")</f>
        <v/>
      </c>
      <c r="W221" s="133" t="str">
        <f>IF($A221&lt;&gt;0,VLOOKUP($A221,'0.Productos'!$A$3:$GG$587,'0.Productos'!BO$1+1,0),"")</f>
        <v/>
      </c>
      <c r="X221" s="133" t="str">
        <f>IF($A221&lt;&gt;0,VLOOKUP($A221,'0.Productos'!$A$3:$GG$587,'0.Productos'!BP$1+1,0),"")</f>
        <v/>
      </c>
      <c r="Y221" s="133" t="str">
        <f>IF($A221&lt;&gt;0,VLOOKUP($A221,'0.Productos'!$A$3:$GG$587,'0.Productos'!BQ$1+1,0),"")</f>
        <v/>
      </c>
      <c r="Z221" s="133" t="str">
        <f>IF($A221&lt;&gt;0,VLOOKUP($A221,'0.Productos'!$A$3:$GG$587,'0.Productos'!BR$1+1,0),"")</f>
        <v/>
      </c>
      <c r="AA221" s="133" t="str">
        <f>IF($A221&lt;&gt;0,VLOOKUP($A221,'0.Productos'!$A$3:$GG$587,'0.Productos'!BS$1+1,0),"")</f>
        <v/>
      </c>
      <c r="AB221" s="133" t="str">
        <f>IF($A221&lt;&gt;0,VLOOKUP($A221,'0.Productos'!$A$3:$GG$587,'0.Productos'!BT$1+1,0),"")</f>
        <v/>
      </c>
      <c r="AC221" s="133" t="str">
        <f>IF($A221&lt;&gt;0,VLOOKUP($A221,'0.Productos'!$A$3:$GG$587,'0.Productos'!BU$1+1,0),"")</f>
        <v/>
      </c>
      <c r="AD221" s="133" t="str">
        <f>IF($A221&lt;&gt;0,VLOOKUP($A221,'0.Productos'!$A$3:$GG$587,'0.Productos'!BV$1+1,0),"")</f>
        <v/>
      </c>
      <c r="AE221" s="133" t="str">
        <f>IF($A221&lt;&gt;0,VLOOKUP($A221,'0.Productos'!$A$3:$GG$587,'0.Productos'!BW$1+1,0),"")</f>
        <v/>
      </c>
      <c r="AF221" s="133" t="str">
        <f>IF($A221&lt;&gt;0,VLOOKUP($A221,'0.Productos'!$A$3:$GG$587,'0.Productos'!BX$1+1,0),"")</f>
        <v/>
      </c>
      <c r="AG221" s="133" t="str">
        <f>IF($A221&lt;&gt;0,VLOOKUP($A221,'0.Productos'!$A$3:$GG$587,'0.Productos'!BY$1+1,0),"")</f>
        <v/>
      </c>
      <c r="AH221" s="133" t="str">
        <f>IF($A221&lt;&gt;0,VLOOKUP($A221,'0.Productos'!$A$3:$GG$587,'0.Productos'!BZ$1+1,0),"")</f>
        <v/>
      </c>
      <c r="AI221" s="133" t="str">
        <f>IF($A221&lt;&gt;0,VLOOKUP($A221,'0.Productos'!$A$3:$GG$587,'0.Productos'!CA$1+1,0),"")</f>
        <v/>
      </c>
      <c r="AJ221" s="133" t="str">
        <f>IF($A221&lt;&gt;0,VLOOKUP($A221,'0.Productos'!$A$3:$GG$587,'0.Productos'!CB$1+1,0),"")</f>
        <v/>
      </c>
      <c r="AK221" s="133" t="str">
        <f>IF($A221&lt;&gt;0,VLOOKUP($A221,'0.Productos'!$A$3:$GG$587,'0.Productos'!CC$1+1,0),"")</f>
        <v/>
      </c>
      <c r="AL221" s="133" t="str">
        <f>IF($A221&lt;&gt;0,VLOOKUP($A221,'0.Productos'!$A$3:$GG$587,'0.Productos'!CD$1+1,0),"")</f>
        <v/>
      </c>
      <c r="AM221" s="133" t="str">
        <f>IF($A221&lt;&gt;0,VLOOKUP($A221,'0.Productos'!$A$3:$GG$587,'0.Productos'!CE$1+1,0),"")</f>
        <v/>
      </c>
      <c r="AN221" s="133" t="str">
        <f>IF($A221&lt;&gt;0,VLOOKUP($A221,'0.Productos'!$A$3:$GG$587,'0.Productos'!CF$1+1,0),"")</f>
        <v/>
      </c>
      <c r="AO221" s="133" t="str">
        <f>IF($A221&lt;&gt;0,VLOOKUP($A221,'0.Productos'!$A$3:$GG$587,'0.Productos'!CG$1+1,0),"")</f>
        <v/>
      </c>
      <c r="AP221" s="133" t="str">
        <f>IF($A221&lt;&gt;0,VLOOKUP($A221,'0.Productos'!$A$3:$GG$587,'0.Productos'!CH$1+1,0),"")</f>
        <v/>
      </c>
      <c r="AQ221" s="133" t="str">
        <f>IF($A221&lt;&gt;0,VLOOKUP($A221,'0.Productos'!$A$3:$GG$587,'0.Productos'!CI$1+1,0),"")</f>
        <v/>
      </c>
      <c r="AR221" s="133" t="str">
        <f>IF($A221&lt;&gt;0,VLOOKUP($A221,'0.Productos'!$A$3:$GG$587,'0.Productos'!CJ$1+1,0),"")</f>
        <v/>
      </c>
      <c r="AS221" s="133" t="str">
        <f>IF($A221&lt;&gt;0,VLOOKUP($A221,'0.Productos'!$A$3:$GG$587,'0.Productos'!CK$1+1,0),"")</f>
        <v/>
      </c>
      <c r="AT221" s="133" t="str">
        <f>IF($A221&lt;&gt;0,VLOOKUP($A221,'0.Productos'!$A$3:$GG$587,'0.Productos'!CL$1+1,0),"")</f>
        <v/>
      </c>
      <c r="AU221" s="133" t="str">
        <f>IF($A221&lt;&gt;0,VLOOKUP($A221,'0.Productos'!$A$3:$GG$587,'0.Productos'!CM$1+1,0),"")</f>
        <v/>
      </c>
      <c r="AV221" s="133" t="str">
        <f>IF($A221&lt;&gt;0,VLOOKUP($A221,'0.Productos'!$A$3:$GG$587,'0.Productos'!CN$1+1,0),"")</f>
        <v/>
      </c>
      <c r="AW221" s="133" t="str">
        <f>IF($A221&lt;&gt;0,VLOOKUP($A221,'0.Productos'!$A$3:$GG$587,'0.Productos'!CO$1+1,0),"")</f>
        <v/>
      </c>
      <c r="AX221" s="133" t="str">
        <f>IF($A221&lt;&gt;0,VLOOKUP($A221,'0.Productos'!$A$3:$GG$587,'0.Productos'!CP$1+1,0),"")</f>
        <v/>
      </c>
      <c r="AY221" s="133" t="str">
        <f>IF($A221&lt;&gt;0,VLOOKUP($A221,'0.Productos'!$A$3:$GG$587,'0.Productos'!CQ$1+1,0),"")</f>
        <v/>
      </c>
      <c r="AZ221" s="133" t="str">
        <f>IF($A221&lt;&gt;0,VLOOKUP($A221,'0.Productos'!$A$3:$GG$587,'0.Productos'!CR$1+1,0),"")</f>
        <v/>
      </c>
      <c r="BA221" s="133" t="str">
        <f>IF($A221&lt;&gt;0,VLOOKUP($A221,'0.Productos'!$A$3:$GG$587,'0.Productos'!CS$1+1,0),"")</f>
        <v/>
      </c>
      <c r="BB221" s="133" t="str">
        <f>IF($A221&lt;&gt;0,VLOOKUP($A221,'0.Productos'!$A$3:$GG$587,'0.Productos'!CT$1+1,0),"")</f>
        <v/>
      </c>
      <c r="BC221" s="133" t="str">
        <f>IF($A221&lt;&gt;0,VLOOKUP($A221,'0.Productos'!$A$3:$GG$587,'0.Productos'!CU$1+1,0),"")</f>
        <v/>
      </c>
      <c r="BD221" s="133" t="str">
        <f>IF($A221&lt;&gt;0,VLOOKUP($A221,'0.Productos'!$A$3:$GG$587,'0.Productos'!CV$1+1,0),"")</f>
        <v/>
      </c>
      <c r="BE221" s="133" t="str">
        <f>IF($A221&lt;&gt;0,VLOOKUP($A221,'0.Productos'!$A$3:$GG$587,'0.Productos'!CW$1+1,0),"")</f>
        <v/>
      </c>
      <c r="BF221" s="133" t="str">
        <f>IF($A221&lt;&gt;0,VLOOKUP($A221,'0.Productos'!$A$3:$GG$587,'0.Productos'!CX$1+1,0),"")</f>
        <v/>
      </c>
      <c r="BG221" s="133" t="str">
        <f>IF($A221&lt;&gt;0,VLOOKUP($A221,'0.Productos'!$A$3:$GG$587,'0.Productos'!CY$1+1,0),"")</f>
        <v/>
      </c>
      <c r="BH221" s="133" t="str">
        <f>IF($A221&lt;&gt;0,VLOOKUP($A221,'0.Productos'!$A$3:$GG$587,'0.Productos'!CZ$1+1,0),"")</f>
        <v/>
      </c>
      <c r="BI221" s="133" t="str">
        <f>IF($A221&lt;&gt;0,VLOOKUP($A221,'0.Productos'!$A$3:$GG$587,'0.Productos'!DA$1+1,0),"")</f>
        <v/>
      </c>
      <c r="BJ221" s="133" t="str">
        <f>IF($A221&lt;&gt;0,VLOOKUP($A221,'0.Productos'!$A$3:$GG$587,'0.Productos'!DB$1+1,0),"")</f>
        <v/>
      </c>
      <c r="BK221" s="133" t="str">
        <f>IF($A221&lt;&gt;0,VLOOKUP($A221,'0.Productos'!$A$3:$GG$587,'0.Productos'!DC$1+1,0),"")</f>
        <v/>
      </c>
      <c r="BL221" s="133" t="str">
        <f>IF($A221&lt;&gt;0,VLOOKUP($A221,'0.Productos'!$A$3:$GG$587,'0.Productos'!DD$1+1,0),"")</f>
        <v/>
      </c>
      <c r="BM221" s="133" t="str">
        <f>IF($A221&lt;&gt;0,VLOOKUP($A221,'0.Productos'!$A$3:$GG$587,'0.Productos'!DE$1+1,0),"")</f>
        <v/>
      </c>
      <c r="BN221" s="133" t="str">
        <f>IF($A221&lt;&gt;0,VLOOKUP($A221,'0.Productos'!$A$3:$GG$587,'0.Productos'!DF$1+1,0),"")</f>
        <v/>
      </c>
      <c r="BO221" s="133" t="str">
        <f>IF($A221&lt;&gt;0,VLOOKUP($A221,'0.Productos'!$A$3:$GG$587,'0.Productos'!DG$1+1,0),"")</f>
        <v/>
      </c>
      <c r="BP221" s="133" t="str">
        <f>IF($A221&lt;&gt;0,VLOOKUP($A221,'0.Productos'!$A$3:$GG$587,'0.Productos'!DH$1+1,0),"")</f>
        <v/>
      </c>
      <c r="BQ221" s="133" t="str">
        <f>IF($A221&lt;&gt;0,VLOOKUP($A221,'0.Productos'!$A$3:$GG$587,'0.Productos'!DI$1+1,0),"")</f>
        <v/>
      </c>
      <c r="BR221" s="133" t="str">
        <f>IF($A221&lt;&gt;0,VLOOKUP($A221,'0.Productos'!$A$3:$GG$587,'0.Productos'!DJ$1+1,0),"")</f>
        <v/>
      </c>
      <c r="BS221" s="133" t="str">
        <f>IF($A221&lt;&gt;0,VLOOKUP($A221,'0.Productos'!$A$3:$GG$587,'0.Productos'!DK$1+1,0),"")</f>
        <v/>
      </c>
      <c r="BT221" s="133" t="str">
        <f>IF($A221&lt;&gt;0,VLOOKUP($A221,'0.Productos'!$A$3:$GG$587,'0.Productos'!DL$1+1,0),"")</f>
        <v/>
      </c>
    </row>
    <row r="222" spans="1:72" x14ac:dyDescent="0.25">
      <c r="A222" s="17">
        <f>'0.Consolidado general'!A222</f>
        <v>0</v>
      </c>
      <c r="B222" s="133" t="str">
        <f>IF($A222&lt;&gt;0,VLOOKUP($A222,'0.Productos'!$A$3:$GG$587,'0.Productos'!AT$1+1,0),"")</f>
        <v/>
      </c>
      <c r="C222" s="133" t="str">
        <f>IF($A222&lt;&gt;0,VLOOKUP($A222,'0.Productos'!$A$3:$GG$587,'0.Productos'!AU$1+1,0),"")</f>
        <v/>
      </c>
      <c r="D222" s="133" t="str">
        <f>IF($A222&lt;&gt;0,VLOOKUP($A222,'0.Productos'!$A$3:$GG$587,'0.Productos'!AV$1+1,0),"")</f>
        <v/>
      </c>
      <c r="E222" s="133" t="str">
        <f>IF($A222&lt;&gt;0,VLOOKUP($A222,'0.Productos'!$A$3:$GG$587,'0.Productos'!AW$1+1,0),"")</f>
        <v/>
      </c>
      <c r="F222" s="133" t="str">
        <f>IF($A222&lt;&gt;0,VLOOKUP($A222,'0.Productos'!$A$3:$GG$587,'0.Productos'!AX$1+1,0),"")</f>
        <v/>
      </c>
      <c r="G222" s="133" t="str">
        <f>IF($A222&lt;&gt;0,VLOOKUP($A222,'0.Productos'!$A$3:$GG$587,'0.Productos'!AY$1+1,0),"")</f>
        <v/>
      </c>
      <c r="H222" s="133" t="str">
        <f>IF($A222&lt;&gt;0,VLOOKUP($A222,'0.Productos'!$A$3:$GG$587,'0.Productos'!AZ$1+1,0),"")</f>
        <v/>
      </c>
      <c r="I222" s="133" t="str">
        <f>IF($A222&lt;&gt;0,VLOOKUP($A222,'0.Productos'!$A$3:$GG$587,'0.Productos'!BA$1+1,0),"")</f>
        <v/>
      </c>
      <c r="J222" s="133" t="str">
        <f>IF($A222&lt;&gt;0,VLOOKUP($A222,'0.Productos'!$A$3:$GG$587,'0.Productos'!BB$1+1,0),"")</f>
        <v/>
      </c>
      <c r="K222" s="133" t="str">
        <f>IF($A222&lt;&gt;0,VLOOKUP($A222,'0.Productos'!$A$3:$GG$587,'0.Productos'!BC$1+1,0),"")</f>
        <v/>
      </c>
      <c r="L222" s="133" t="str">
        <f>IF($A222&lt;&gt;0,VLOOKUP($A222,'0.Productos'!$A$3:$GG$587,'0.Productos'!BD$1+1,0),"")</f>
        <v/>
      </c>
      <c r="M222" s="133" t="str">
        <f>IF($A222&lt;&gt;0,VLOOKUP($A222,'0.Productos'!$A$3:$GG$587,'0.Productos'!BE$1+1,0),"")</f>
        <v/>
      </c>
      <c r="N222" s="133" t="str">
        <f>IF($A222&lt;&gt;0,VLOOKUP($A222,'0.Productos'!$A$3:$GG$587,'0.Productos'!BF$1+1,0),"")</f>
        <v/>
      </c>
      <c r="O222" s="133" t="str">
        <f>IF($A222&lt;&gt;0,VLOOKUP($A222,'0.Productos'!$A$3:$GG$587,'0.Productos'!BG$1+1,0),"")</f>
        <v/>
      </c>
      <c r="P222" s="133" t="str">
        <f>IF($A222&lt;&gt;0,VLOOKUP($A222,'0.Productos'!$A$3:$GG$587,'0.Productos'!BH$1+1,0),"")</f>
        <v/>
      </c>
      <c r="Q222" s="133" t="str">
        <f>IF($A222&lt;&gt;0,VLOOKUP($A222,'0.Productos'!$A$3:$GG$587,'0.Productos'!BI$1+1,0),"")</f>
        <v/>
      </c>
      <c r="R222" s="133" t="str">
        <f>IF($A222&lt;&gt;0,VLOOKUP($A222,'0.Productos'!$A$3:$GG$587,'0.Productos'!BJ$1+1,0),"")</f>
        <v/>
      </c>
      <c r="S222" s="133" t="str">
        <f>IF($A222&lt;&gt;0,VLOOKUP($A222,'0.Productos'!$A$3:$GG$587,'0.Productos'!BK$1+1,0),"")</f>
        <v/>
      </c>
      <c r="T222" s="133" t="str">
        <f>IF($A222&lt;&gt;0,VLOOKUP($A222,'0.Productos'!$A$3:$GG$587,'0.Productos'!BL$1+1,0),"")</f>
        <v/>
      </c>
      <c r="U222" s="133" t="str">
        <f>IF($A222&lt;&gt;0,VLOOKUP($A222,'0.Productos'!$A$3:$GG$587,'0.Productos'!BM$1+1,0),"")</f>
        <v/>
      </c>
      <c r="V222" s="133" t="str">
        <f>IF($A222&lt;&gt;0,VLOOKUP($A222,'0.Productos'!$A$3:$GG$587,'0.Productos'!BN$1+1,0),"")</f>
        <v/>
      </c>
      <c r="W222" s="133" t="str">
        <f>IF($A222&lt;&gt;0,VLOOKUP($A222,'0.Productos'!$A$3:$GG$587,'0.Productos'!BO$1+1,0),"")</f>
        <v/>
      </c>
      <c r="X222" s="133" t="str">
        <f>IF($A222&lt;&gt;0,VLOOKUP($A222,'0.Productos'!$A$3:$GG$587,'0.Productos'!BP$1+1,0),"")</f>
        <v/>
      </c>
      <c r="Y222" s="133" t="str">
        <f>IF($A222&lt;&gt;0,VLOOKUP($A222,'0.Productos'!$A$3:$GG$587,'0.Productos'!BQ$1+1,0),"")</f>
        <v/>
      </c>
      <c r="Z222" s="133" t="str">
        <f>IF($A222&lt;&gt;0,VLOOKUP($A222,'0.Productos'!$A$3:$GG$587,'0.Productos'!BR$1+1,0),"")</f>
        <v/>
      </c>
      <c r="AA222" s="133" t="str">
        <f>IF($A222&lt;&gt;0,VLOOKUP($A222,'0.Productos'!$A$3:$GG$587,'0.Productos'!BS$1+1,0),"")</f>
        <v/>
      </c>
      <c r="AB222" s="133" t="str">
        <f>IF($A222&lt;&gt;0,VLOOKUP($A222,'0.Productos'!$A$3:$GG$587,'0.Productos'!BT$1+1,0),"")</f>
        <v/>
      </c>
      <c r="AC222" s="133" t="str">
        <f>IF($A222&lt;&gt;0,VLOOKUP($A222,'0.Productos'!$A$3:$GG$587,'0.Productos'!BU$1+1,0),"")</f>
        <v/>
      </c>
      <c r="AD222" s="133" t="str">
        <f>IF($A222&lt;&gt;0,VLOOKUP($A222,'0.Productos'!$A$3:$GG$587,'0.Productos'!BV$1+1,0),"")</f>
        <v/>
      </c>
      <c r="AE222" s="133" t="str">
        <f>IF($A222&lt;&gt;0,VLOOKUP($A222,'0.Productos'!$A$3:$GG$587,'0.Productos'!BW$1+1,0),"")</f>
        <v/>
      </c>
      <c r="AF222" s="133" t="str">
        <f>IF($A222&lt;&gt;0,VLOOKUP($A222,'0.Productos'!$A$3:$GG$587,'0.Productos'!BX$1+1,0),"")</f>
        <v/>
      </c>
      <c r="AG222" s="133" t="str">
        <f>IF($A222&lt;&gt;0,VLOOKUP($A222,'0.Productos'!$A$3:$GG$587,'0.Productos'!BY$1+1,0),"")</f>
        <v/>
      </c>
      <c r="AH222" s="133" t="str">
        <f>IF($A222&lt;&gt;0,VLOOKUP($A222,'0.Productos'!$A$3:$GG$587,'0.Productos'!BZ$1+1,0),"")</f>
        <v/>
      </c>
      <c r="AI222" s="133" t="str">
        <f>IF($A222&lt;&gt;0,VLOOKUP($A222,'0.Productos'!$A$3:$GG$587,'0.Productos'!CA$1+1,0),"")</f>
        <v/>
      </c>
      <c r="AJ222" s="133" t="str">
        <f>IF($A222&lt;&gt;0,VLOOKUP($A222,'0.Productos'!$A$3:$GG$587,'0.Productos'!CB$1+1,0),"")</f>
        <v/>
      </c>
      <c r="AK222" s="133" t="str">
        <f>IF($A222&lt;&gt;0,VLOOKUP($A222,'0.Productos'!$A$3:$GG$587,'0.Productos'!CC$1+1,0),"")</f>
        <v/>
      </c>
      <c r="AL222" s="133" t="str">
        <f>IF($A222&lt;&gt;0,VLOOKUP($A222,'0.Productos'!$A$3:$GG$587,'0.Productos'!CD$1+1,0),"")</f>
        <v/>
      </c>
      <c r="AM222" s="133" t="str">
        <f>IF($A222&lt;&gt;0,VLOOKUP($A222,'0.Productos'!$A$3:$GG$587,'0.Productos'!CE$1+1,0),"")</f>
        <v/>
      </c>
      <c r="AN222" s="133" t="str">
        <f>IF($A222&lt;&gt;0,VLOOKUP($A222,'0.Productos'!$A$3:$GG$587,'0.Productos'!CF$1+1,0),"")</f>
        <v/>
      </c>
      <c r="AO222" s="133" t="str">
        <f>IF($A222&lt;&gt;0,VLOOKUP($A222,'0.Productos'!$A$3:$GG$587,'0.Productos'!CG$1+1,0),"")</f>
        <v/>
      </c>
      <c r="AP222" s="133" t="str">
        <f>IF($A222&lt;&gt;0,VLOOKUP($A222,'0.Productos'!$A$3:$GG$587,'0.Productos'!CH$1+1,0),"")</f>
        <v/>
      </c>
      <c r="AQ222" s="133" t="str">
        <f>IF($A222&lt;&gt;0,VLOOKUP($A222,'0.Productos'!$A$3:$GG$587,'0.Productos'!CI$1+1,0),"")</f>
        <v/>
      </c>
      <c r="AR222" s="133" t="str">
        <f>IF($A222&lt;&gt;0,VLOOKUP($A222,'0.Productos'!$A$3:$GG$587,'0.Productos'!CJ$1+1,0),"")</f>
        <v/>
      </c>
      <c r="AS222" s="133" t="str">
        <f>IF($A222&lt;&gt;0,VLOOKUP($A222,'0.Productos'!$A$3:$GG$587,'0.Productos'!CK$1+1,0),"")</f>
        <v/>
      </c>
      <c r="AT222" s="133" t="str">
        <f>IF($A222&lt;&gt;0,VLOOKUP($A222,'0.Productos'!$A$3:$GG$587,'0.Productos'!CL$1+1,0),"")</f>
        <v/>
      </c>
      <c r="AU222" s="133" t="str">
        <f>IF($A222&lt;&gt;0,VLOOKUP($A222,'0.Productos'!$A$3:$GG$587,'0.Productos'!CM$1+1,0),"")</f>
        <v/>
      </c>
      <c r="AV222" s="133" t="str">
        <f>IF($A222&lt;&gt;0,VLOOKUP($A222,'0.Productos'!$A$3:$GG$587,'0.Productos'!CN$1+1,0),"")</f>
        <v/>
      </c>
      <c r="AW222" s="133" t="str">
        <f>IF($A222&lt;&gt;0,VLOOKUP($A222,'0.Productos'!$A$3:$GG$587,'0.Productos'!CO$1+1,0),"")</f>
        <v/>
      </c>
      <c r="AX222" s="133" t="str">
        <f>IF($A222&lt;&gt;0,VLOOKUP($A222,'0.Productos'!$A$3:$GG$587,'0.Productos'!CP$1+1,0),"")</f>
        <v/>
      </c>
      <c r="AY222" s="133" t="str">
        <f>IF($A222&lt;&gt;0,VLOOKUP($A222,'0.Productos'!$A$3:$GG$587,'0.Productos'!CQ$1+1,0),"")</f>
        <v/>
      </c>
      <c r="AZ222" s="133" t="str">
        <f>IF($A222&lt;&gt;0,VLOOKUP($A222,'0.Productos'!$A$3:$GG$587,'0.Productos'!CR$1+1,0),"")</f>
        <v/>
      </c>
      <c r="BA222" s="133" t="str">
        <f>IF($A222&lt;&gt;0,VLOOKUP($A222,'0.Productos'!$A$3:$GG$587,'0.Productos'!CS$1+1,0),"")</f>
        <v/>
      </c>
      <c r="BB222" s="133" t="str">
        <f>IF($A222&lt;&gt;0,VLOOKUP($A222,'0.Productos'!$A$3:$GG$587,'0.Productos'!CT$1+1,0),"")</f>
        <v/>
      </c>
      <c r="BC222" s="133" t="str">
        <f>IF($A222&lt;&gt;0,VLOOKUP($A222,'0.Productos'!$A$3:$GG$587,'0.Productos'!CU$1+1,0),"")</f>
        <v/>
      </c>
      <c r="BD222" s="133" t="str">
        <f>IF($A222&lt;&gt;0,VLOOKUP($A222,'0.Productos'!$A$3:$GG$587,'0.Productos'!CV$1+1,0),"")</f>
        <v/>
      </c>
      <c r="BE222" s="133" t="str">
        <f>IF($A222&lt;&gt;0,VLOOKUP($A222,'0.Productos'!$A$3:$GG$587,'0.Productos'!CW$1+1,0),"")</f>
        <v/>
      </c>
      <c r="BF222" s="133" t="str">
        <f>IF($A222&lt;&gt;0,VLOOKUP($A222,'0.Productos'!$A$3:$GG$587,'0.Productos'!CX$1+1,0),"")</f>
        <v/>
      </c>
      <c r="BG222" s="133" t="str">
        <f>IF($A222&lt;&gt;0,VLOOKUP($A222,'0.Productos'!$A$3:$GG$587,'0.Productos'!CY$1+1,0),"")</f>
        <v/>
      </c>
      <c r="BH222" s="133" t="str">
        <f>IF($A222&lt;&gt;0,VLOOKUP($A222,'0.Productos'!$A$3:$GG$587,'0.Productos'!CZ$1+1,0),"")</f>
        <v/>
      </c>
      <c r="BI222" s="133" t="str">
        <f>IF($A222&lt;&gt;0,VLOOKUP($A222,'0.Productos'!$A$3:$GG$587,'0.Productos'!DA$1+1,0),"")</f>
        <v/>
      </c>
      <c r="BJ222" s="133" t="str">
        <f>IF($A222&lt;&gt;0,VLOOKUP($A222,'0.Productos'!$A$3:$GG$587,'0.Productos'!DB$1+1,0),"")</f>
        <v/>
      </c>
      <c r="BK222" s="133" t="str">
        <f>IF($A222&lt;&gt;0,VLOOKUP($A222,'0.Productos'!$A$3:$GG$587,'0.Productos'!DC$1+1,0),"")</f>
        <v/>
      </c>
      <c r="BL222" s="133" t="str">
        <f>IF($A222&lt;&gt;0,VLOOKUP($A222,'0.Productos'!$A$3:$GG$587,'0.Productos'!DD$1+1,0),"")</f>
        <v/>
      </c>
      <c r="BM222" s="133" t="str">
        <f>IF($A222&lt;&gt;0,VLOOKUP($A222,'0.Productos'!$A$3:$GG$587,'0.Productos'!DE$1+1,0),"")</f>
        <v/>
      </c>
      <c r="BN222" s="133" t="str">
        <f>IF($A222&lt;&gt;0,VLOOKUP($A222,'0.Productos'!$A$3:$GG$587,'0.Productos'!DF$1+1,0),"")</f>
        <v/>
      </c>
      <c r="BO222" s="133" t="str">
        <f>IF($A222&lt;&gt;0,VLOOKUP($A222,'0.Productos'!$A$3:$GG$587,'0.Productos'!DG$1+1,0),"")</f>
        <v/>
      </c>
      <c r="BP222" s="133" t="str">
        <f>IF($A222&lt;&gt;0,VLOOKUP($A222,'0.Productos'!$A$3:$GG$587,'0.Productos'!DH$1+1,0),"")</f>
        <v/>
      </c>
      <c r="BQ222" s="133" t="str">
        <f>IF($A222&lt;&gt;0,VLOOKUP($A222,'0.Productos'!$A$3:$GG$587,'0.Productos'!DI$1+1,0),"")</f>
        <v/>
      </c>
      <c r="BR222" s="133" t="str">
        <f>IF($A222&lt;&gt;0,VLOOKUP($A222,'0.Productos'!$A$3:$GG$587,'0.Productos'!DJ$1+1,0),"")</f>
        <v/>
      </c>
      <c r="BS222" s="133" t="str">
        <f>IF($A222&lt;&gt;0,VLOOKUP($A222,'0.Productos'!$A$3:$GG$587,'0.Productos'!DK$1+1,0),"")</f>
        <v/>
      </c>
      <c r="BT222" s="133" t="str">
        <f>IF($A222&lt;&gt;0,VLOOKUP($A222,'0.Productos'!$A$3:$GG$587,'0.Productos'!DL$1+1,0),"")</f>
        <v/>
      </c>
    </row>
    <row r="223" spans="1:72" x14ac:dyDescent="0.25">
      <c r="A223" s="17">
        <f>'0.Consolidado general'!A223</f>
        <v>0</v>
      </c>
      <c r="B223" s="133" t="str">
        <f>IF($A223&lt;&gt;0,VLOOKUP($A223,'0.Productos'!$A$3:$GG$587,'0.Productos'!AT$1+1,0),"")</f>
        <v/>
      </c>
      <c r="C223" s="133" t="str">
        <f>IF($A223&lt;&gt;0,VLOOKUP($A223,'0.Productos'!$A$3:$GG$587,'0.Productos'!AU$1+1,0),"")</f>
        <v/>
      </c>
      <c r="D223" s="133" t="str">
        <f>IF($A223&lt;&gt;0,VLOOKUP($A223,'0.Productos'!$A$3:$GG$587,'0.Productos'!AV$1+1,0),"")</f>
        <v/>
      </c>
      <c r="E223" s="133" t="str">
        <f>IF($A223&lt;&gt;0,VLOOKUP($A223,'0.Productos'!$A$3:$GG$587,'0.Productos'!AW$1+1,0),"")</f>
        <v/>
      </c>
      <c r="F223" s="133" t="str">
        <f>IF($A223&lt;&gt;0,VLOOKUP($A223,'0.Productos'!$A$3:$GG$587,'0.Productos'!AX$1+1,0),"")</f>
        <v/>
      </c>
      <c r="G223" s="133" t="str">
        <f>IF($A223&lt;&gt;0,VLOOKUP($A223,'0.Productos'!$A$3:$GG$587,'0.Productos'!AY$1+1,0),"")</f>
        <v/>
      </c>
      <c r="H223" s="133" t="str">
        <f>IF($A223&lt;&gt;0,VLOOKUP($A223,'0.Productos'!$A$3:$GG$587,'0.Productos'!AZ$1+1,0),"")</f>
        <v/>
      </c>
      <c r="I223" s="133" t="str">
        <f>IF($A223&lt;&gt;0,VLOOKUP($A223,'0.Productos'!$A$3:$GG$587,'0.Productos'!BA$1+1,0),"")</f>
        <v/>
      </c>
      <c r="J223" s="133" t="str">
        <f>IF($A223&lt;&gt;0,VLOOKUP($A223,'0.Productos'!$A$3:$GG$587,'0.Productos'!BB$1+1,0),"")</f>
        <v/>
      </c>
      <c r="K223" s="133" t="str">
        <f>IF($A223&lt;&gt;0,VLOOKUP($A223,'0.Productos'!$A$3:$GG$587,'0.Productos'!BC$1+1,0),"")</f>
        <v/>
      </c>
      <c r="L223" s="133" t="str">
        <f>IF($A223&lt;&gt;0,VLOOKUP($A223,'0.Productos'!$A$3:$GG$587,'0.Productos'!BD$1+1,0),"")</f>
        <v/>
      </c>
      <c r="M223" s="133" t="str">
        <f>IF($A223&lt;&gt;0,VLOOKUP($A223,'0.Productos'!$A$3:$GG$587,'0.Productos'!BE$1+1,0),"")</f>
        <v/>
      </c>
      <c r="N223" s="133" t="str">
        <f>IF($A223&lt;&gt;0,VLOOKUP($A223,'0.Productos'!$A$3:$GG$587,'0.Productos'!BF$1+1,0),"")</f>
        <v/>
      </c>
      <c r="O223" s="133" t="str">
        <f>IF($A223&lt;&gt;0,VLOOKUP($A223,'0.Productos'!$A$3:$GG$587,'0.Productos'!BG$1+1,0),"")</f>
        <v/>
      </c>
      <c r="P223" s="133" t="str">
        <f>IF($A223&lt;&gt;0,VLOOKUP($A223,'0.Productos'!$A$3:$GG$587,'0.Productos'!BH$1+1,0),"")</f>
        <v/>
      </c>
      <c r="Q223" s="133" t="str">
        <f>IF($A223&lt;&gt;0,VLOOKUP($A223,'0.Productos'!$A$3:$GG$587,'0.Productos'!BI$1+1,0),"")</f>
        <v/>
      </c>
      <c r="R223" s="133" t="str">
        <f>IF($A223&lt;&gt;0,VLOOKUP($A223,'0.Productos'!$A$3:$GG$587,'0.Productos'!BJ$1+1,0),"")</f>
        <v/>
      </c>
      <c r="S223" s="133" t="str">
        <f>IF($A223&lt;&gt;0,VLOOKUP($A223,'0.Productos'!$A$3:$GG$587,'0.Productos'!BK$1+1,0),"")</f>
        <v/>
      </c>
      <c r="T223" s="133" t="str">
        <f>IF($A223&lt;&gt;0,VLOOKUP($A223,'0.Productos'!$A$3:$GG$587,'0.Productos'!BL$1+1,0),"")</f>
        <v/>
      </c>
      <c r="U223" s="133" t="str">
        <f>IF($A223&lt;&gt;0,VLOOKUP($A223,'0.Productos'!$A$3:$GG$587,'0.Productos'!BM$1+1,0),"")</f>
        <v/>
      </c>
      <c r="V223" s="133" t="str">
        <f>IF($A223&lt;&gt;0,VLOOKUP($A223,'0.Productos'!$A$3:$GG$587,'0.Productos'!BN$1+1,0),"")</f>
        <v/>
      </c>
      <c r="W223" s="133" t="str">
        <f>IF($A223&lt;&gt;0,VLOOKUP($A223,'0.Productos'!$A$3:$GG$587,'0.Productos'!BO$1+1,0),"")</f>
        <v/>
      </c>
      <c r="X223" s="133" t="str">
        <f>IF($A223&lt;&gt;0,VLOOKUP($A223,'0.Productos'!$A$3:$GG$587,'0.Productos'!BP$1+1,0),"")</f>
        <v/>
      </c>
      <c r="Y223" s="133" t="str">
        <f>IF($A223&lt;&gt;0,VLOOKUP($A223,'0.Productos'!$A$3:$GG$587,'0.Productos'!BQ$1+1,0),"")</f>
        <v/>
      </c>
      <c r="Z223" s="133" t="str">
        <f>IF($A223&lt;&gt;0,VLOOKUP($A223,'0.Productos'!$A$3:$GG$587,'0.Productos'!BR$1+1,0),"")</f>
        <v/>
      </c>
      <c r="AA223" s="133" t="str">
        <f>IF($A223&lt;&gt;0,VLOOKUP($A223,'0.Productos'!$A$3:$GG$587,'0.Productos'!BS$1+1,0),"")</f>
        <v/>
      </c>
      <c r="AB223" s="133" t="str">
        <f>IF($A223&lt;&gt;0,VLOOKUP($A223,'0.Productos'!$A$3:$GG$587,'0.Productos'!BT$1+1,0),"")</f>
        <v/>
      </c>
      <c r="AC223" s="133" t="str">
        <f>IF($A223&lt;&gt;0,VLOOKUP($A223,'0.Productos'!$A$3:$GG$587,'0.Productos'!BU$1+1,0),"")</f>
        <v/>
      </c>
      <c r="AD223" s="133" t="str">
        <f>IF($A223&lt;&gt;0,VLOOKUP($A223,'0.Productos'!$A$3:$GG$587,'0.Productos'!BV$1+1,0),"")</f>
        <v/>
      </c>
      <c r="AE223" s="133" t="str">
        <f>IF($A223&lt;&gt;0,VLOOKUP($A223,'0.Productos'!$A$3:$GG$587,'0.Productos'!BW$1+1,0),"")</f>
        <v/>
      </c>
      <c r="AF223" s="133" t="str">
        <f>IF($A223&lt;&gt;0,VLOOKUP($A223,'0.Productos'!$A$3:$GG$587,'0.Productos'!BX$1+1,0),"")</f>
        <v/>
      </c>
      <c r="AG223" s="133" t="str">
        <f>IF($A223&lt;&gt;0,VLOOKUP($A223,'0.Productos'!$A$3:$GG$587,'0.Productos'!BY$1+1,0),"")</f>
        <v/>
      </c>
      <c r="AH223" s="133" t="str">
        <f>IF($A223&lt;&gt;0,VLOOKUP($A223,'0.Productos'!$A$3:$GG$587,'0.Productos'!BZ$1+1,0),"")</f>
        <v/>
      </c>
      <c r="AI223" s="133" t="str">
        <f>IF($A223&lt;&gt;0,VLOOKUP($A223,'0.Productos'!$A$3:$GG$587,'0.Productos'!CA$1+1,0),"")</f>
        <v/>
      </c>
      <c r="AJ223" s="133" t="str">
        <f>IF($A223&lt;&gt;0,VLOOKUP($A223,'0.Productos'!$A$3:$GG$587,'0.Productos'!CB$1+1,0),"")</f>
        <v/>
      </c>
      <c r="AK223" s="133" t="str">
        <f>IF($A223&lt;&gt;0,VLOOKUP($A223,'0.Productos'!$A$3:$GG$587,'0.Productos'!CC$1+1,0),"")</f>
        <v/>
      </c>
      <c r="AL223" s="133" t="str">
        <f>IF($A223&lt;&gt;0,VLOOKUP($A223,'0.Productos'!$A$3:$GG$587,'0.Productos'!CD$1+1,0),"")</f>
        <v/>
      </c>
      <c r="AM223" s="133" t="str">
        <f>IF($A223&lt;&gt;0,VLOOKUP($A223,'0.Productos'!$A$3:$GG$587,'0.Productos'!CE$1+1,0),"")</f>
        <v/>
      </c>
      <c r="AN223" s="133" t="str">
        <f>IF($A223&lt;&gt;0,VLOOKUP($A223,'0.Productos'!$A$3:$GG$587,'0.Productos'!CF$1+1,0),"")</f>
        <v/>
      </c>
      <c r="AO223" s="133" t="str">
        <f>IF($A223&lt;&gt;0,VLOOKUP($A223,'0.Productos'!$A$3:$GG$587,'0.Productos'!CG$1+1,0),"")</f>
        <v/>
      </c>
      <c r="AP223" s="133" t="str">
        <f>IF($A223&lt;&gt;0,VLOOKUP($A223,'0.Productos'!$A$3:$GG$587,'0.Productos'!CH$1+1,0),"")</f>
        <v/>
      </c>
      <c r="AQ223" s="133" t="str">
        <f>IF($A223&lt;&gt;0,VLOOKUP($A223,'0.Productos'!$A$3:$GG$587,'0.Productos'!CI$1+1,0),"")</f>
        <v/>
      </c>
      <c r="AR223" s="133" t="str">
        <f>IF($A223&lt;&gt;0,VLOOKUP($A223,'0.Productos'!$A$3:$GG$587,'0.Productos'!CJ$1+1,0),"")</f>
        <v/>
      </c>
      <c r="AS223" s="133" t="str">
        <f>IF($A223&lt;&gt;0,VLOOKUP($A223,'0.Productos'!$A$3:$GG$587,'0.Productos'!CK$1+1,0),"")</f>
        <v/>
      </c>
      <c r="AT223" s="133" t="str">
        <f>IF($A223&lt;&gt;0,VLOOKUP($A223,'0.Productos'!$A$3:$GG$587,'0.Productos'!CL$1+1,0),"")</f>
        <v/>
      </c>
      <c r="AU223" s="133" t="str">
        <f>IF($A223&lt;&gt;0,VLOOKUP($A223,'0.Productos'!$A$3:$GG$587,'0.Productos'!CM$1+1,0),"")</f>
        <v/>
      </c>
      <c r="AV223" s="133" t="str">
        <f>IF($A223&lt;&gt;0,VLOOKUP($A223,'0.Productos'!$A$3:$GG$587,'0.Productos'!CN$1+1,0),"")</f>
        <v/>
      </c>
      <c r="AW223" s="133" t="str">
        <f>IF($A223&lt;&gt;0,VLOOKUP($A223,'0.Productos'!$A$3:$GG$587,'0.Productos'!CO$1+1,0),"")</f>
        <v/>
      </c>
      <c r="AX223" s="133" t="str">
        <f>IF($A223&lt;&gt;0,VLOOKUP($A223,'0.Productos'!$A$3:$GG$587,'0.Productos'!CP$1+1,0),"")</f>
        <v/>
      </c>
      <c r="AY223" s="133" t="str">
        <f>IF($A223&lt;&gt;0,VLOOKUP($A223,'0.Productos'!$A$3:$GG$587,'0.Productos'!CQ$1+1,0),"")</f>
        <v/>
      </c>
      <c r="AZ223" s="133" t="str">
        <f>IF($A223&lt;&gt;0,VLOOKUP($A223,'0.Productos'!$A$3:$GG$587,'0.Productos'!CR$1+1,0),"")</f>
        <v/>
      </c>
      <c r="BA223" s="133" t="str">
        <f>IF($A223&lt;&gt;0,VLOOKUP($A223,'0.Productos'!$A$3:$GG$587,'0.Productos'!CS$1+1,0),"")</f>
        <v/>
      </c>
      <c r="BB223" s="133" t="str">
        <f>IF($A223&lt;&gt;0,VLOOKUP($A223,'0.Productos'!$A$3:$GG$587,'0.Productos'!CT$1+1,0),"")</f>
        <v/>
      </c>
      <c r="BC223" s="133" t="str">
        <f>IF($A223&lt;&gt;0,VLOOKUP($A223,'0.Productos'!$A$3:$GG$587,'0.Productos'!CU$1+1,0),"")</f>
        <v/>
      </c>
      <c r="BD223" s="133" t="str">
        <f>IF($A223&lt;&gt;0,VLOOKUP($A223,'0.Productos'!$A$3:$GG$587,'0.Productos'!CV$1+1,0),"")</f>
        <v/>
      </c>
      <c r="BE223" s="133" t="str">
        <f>IF($A223&lt;&gt;0,VLOOKUP($A223,'0.Productos'!$A$3:$GG$587,'0.Productos'!CW$1+1,0),"")</f>
        <v/>
      </c>
      <c r="BF223" s="133" t="str">
        <f>IF($A223&lt;&gt;0,VLOOKUP($A223,'0.Productos'!$A$3:$GG$587,'0.Productos'!CX$1+1,0),"")</f>
        <v/>
      </c>
      <c r="BG223" s="133" t="str">
        <f>IF($A223&lt;&gt;0,VLOOKUP($A223,'0.Productos'!$A$3:$GG$587,'0.Productos'!CY$1+1,0),"")</f>
        <v/>
      </c>
      <c r="BH223" s="133" t="str">
        <f>IF($A223&lt;&gt;0,VLOOKUP($A223,'0.Productos'!$A$3:$GG$587,'0.Productos'!CZ$1+1,0),"")</f>
        <v/>
      </c>
      <c r="BI223" s="133" t="str">
        <f>IF($A223&lt;&gt;0,VLOOKUP($A223,'0.Productos'!$A$3:$GG$587,'0.Productos'!DA$1+1,0),"")</f>
        <v/>
      </c>
      <c r="BJ223" s="133" t="str">
        <f>IF($A223&lt;&gt;0,VLOOKUP($A223,'0.Productos'!$A$3:$GG$587,'0.Productos'!DB$1+1,0),"")</f>
        <v/>
      </c>
      <c r="BK223" s="133" t="str">
        <f>IF($A223&lt;&gt;0,VLOOKUP($A223,'0.Productos'!$A$3:$GG$587,'0.Productos'!DC$1+1,0),"")</f>
        <v/>
      </c>
      <c r="BL223" s="133" t="str">
        <f>IF($A223&lt;&gt;0,VLOOKUP($A223,'0.Productos'!$A$3:$GG$587,'0.Productos'!DD$1+1,0),"")</f>
        <v/>
      </c>
      <c r="BM223" s="133" t="str">
        <f>IF($A223&lt;&gt;0,VLOOKUP($A223,'0.Productos'!$A$3:$GG$587,'0.Productos'!DE$1+1,0),"")</f>
        <v/>
      </c>
      <c r="BN223" s="133" t="str">
        <f>IF($A223&lt;&gt;0,VLOOKUP($A223,'0.Productos'!$A$3:$GG$587,'0.Productos'!DF$1+1,0),"")</f>
        <v/>
      </c>
      <c r="BO223" s="133" t="str">
        <f>IF($A223&lt;&gt;0,VLOOKUP($A223,'0.Productos'!$A$3:$GG$587,'0.Productos'!DG$1+1,0),"")</f>
        <v/>
      </c>
      <c r="BP223" s="133" t="str">
        <f>IF($A223&lt;&gt;0,VLOOKUP($A223,'0.Productos'!$A$3:$GG$587,'0.Productos'!DH$1+1,0),"")</f>
        <v/>
      </c>
      <c r="BQ223" s="133" t="str">
        <f>IF($A223&lt;&gt;0,VLOOKUP($A223,'0.Productos'!$A$3:$GG$587,'0.Productos'!DI$1+1,0),"")</f>
        <v/>
      </c>
      <c r="BR223" s="133" t="str">
        <f>IF($A223&lt;&gt;0,VLOOKUP($A223,'0.Productos'!$A$3:$GG$587,'0.Productos'!DJ$1+1,0),"")</f>
        <v/>
      </c>
      <c r="BS223" s="133" t="str">
        <f>IF($A223&lt;&gt;0,VLOOKUP($A223,'0.Productos'!$A$3:$GG$587,'0.Productos'!DK$1+1,0),"")</f>
        <v/>
      </c>
      <c r="BT223" s="133" t="str">
        <f>IF($A223&lt;&gt;0,VLOOKUP($A223,'0.Productos'!$A$3:$GG$587,'0.Productos'!DL$1+1,0),"")</f>
        <v/>
      </c>
    </row>
    <row r="224" spans="1:72" x14ac:dyDescent="0.25">
      <c r="A224" s="17">
        <f>'0.Consolidado general'!A224</f>
        <v>0</v>
      </c>
      <c r="B224" s="133" t="str">
        <f>IF($A224&lt;&gt;0,VLOOKUP($A224,'0.Productos'!$A$3:$GG$587,'0.Productos'!AT$1+1,0),"")</f>
        <v/>
      </c>
      <c r="C224" s="133" t="str">
        <f>IF($A224&lt;&gt;0,VLOOKUP($A224,'0.Productos'!$A$3:$GG$587,'0.Productos'!AU$1+1,0),"")</f>
        <v/>
      </c>
      <c r="D224" s="133" t="str">
        <f>IF($A224&lt;&gt;0,VLOOKUP($A224,'0.Productos'!$A$3:$GG$587,'0.Productos'!AV$1+1,0),"")</f>
        <v/>
      </c>
      <c r="E224" s="133" t="str">
        <f>IF($A224&lt;&gt;0,VLOOKUP($A224,'0.Productos'!$A$3:$GG$587,'0.Productos'!AW$1+1,0),"")</f>
        <v/>
      </c>
      <c r="F224" s="133" t="str">
        <f>IF($A224&lt;&gt;0,VLOOKUP($A224,'0.Productos'!$A$3:$GG$587,'0.Productos'!AX$1+1,0),"")</f>
        <v/>
      </c>
      <c r="G224" s="133" t="str">
        <f>IF($A224&lt;&gt;0,VLOOKUP($A224,'0.Productos'!$A$3:$GG$587,'0.Productos'!AY$1+1,0),"")</f>
        <v/>
      </c>
      <c r="H224" s="133" t="str">
        <f>IF($A224&lt;&gt;0,VLOOKUP($A224,'0.Productos'!$A$3:$GG$587,'0.Productos'!AZ$1+1,0),"")</f>
        <v/>
      </c>
      <c r="I224" s="133" t="str">
        <f>IF($A224&lt;&gt;0,VLOOKUP($A224,'0.Productos'!$A$3:$GG$587,'0.Productos'!BA$1+1,0),"")</f>
        <v/>
      </c>
      <c r="J224" s="133" t="str">
        <f>IF($A224&lt;&gt;0,VLOOKUP($A224,'0.Productos'!$A$3:$GG$587,'0.Productos'!BB$1+1,0),"")</f>
        <v/>
      </c>
      <c r="K224" s="133" t="str">
        <f>IF($A224&lt;&gt;0,VLOOKUP($A224,'0.Productos'!$A$3:$GG$587,'0.Productos'!BC$1+1,0),"")</f>
        <v/>
      </c>
      <c r="L224" s="133" t="str">
        <f>IF($A224&lt;&gt;0,VLOOKUP($A224,'0.Productos'!$A$3:$GG$587,'0.Productos'!BD$1+1,0),"")</f>
        <v/>
      </c>
      <c r="M224" s="133" t="str">
        <f>IF($A224&lt;&gt;0,VLOOKUP($A224,'0.Productos'!$A$3:$GG$587,'0.Productos'!BE$1+1,0),"")</f>
        <v/>
      </c>
      <c r="N224" s="133" t="str">
        <f>IF($A224&lt;&gt;0,VLOOKUP($A224,'0.Productos'!$A$3:$GG$587,'0.Productos'!BF$1+1,0),"")</f>
        <v/>
      </c>
      <c r="O224" s="133" t="str">
        <f>IF($A224&lt;&gt;0,VLOOKUP($A224,'0.Productos'!$A$3:$GG$587,'0.Productos'!BG$1+1,0),"")</f>
        <v/>
      </c>
      <c r="P224" s="133" t="str">
        <f>IF($A224&lt;&gt;0,VLOOKUP($A224,'0.Productos'!$A$3:$GG$587,'0.Productos'!BH$1+1,0),"")</f>
        <v/>
      </c>
      <c r="Q224" s="133" t="str">
        <f>IF($A224&lt;&gt;0,VLOOKUP($A224,'0.Productos'!$A$3:$GG$587,'0.Productos'!BI$1+1,0),"")</f>
        <v/>
      </c>
      <c r="R224" s="133" t="str">
        <f>IF($A224&lt;&gt;0,VLOOKUP($A224,'0.Productos'!$A$3:$GG$587,'0.Productos'!BJ$1+1,0),"")</f>
        <v/>
      </c>
      <c r="S224" s="133" t="str">
        <f>IF($A224&lt;&gt;0,VLOOKUP($A224,'0.Productos'!$A$3:$GG$587,'0.Productos'!BK$1+1,0),"")</f>
        <v/>
      </c>
      <c r="T224" s="133" t="str">
        <f>IF($A224&lt;&gt;0,VLOOKUP($A224,'0.Productos'!$A$3:$GG$587,'0.Productos'!BL$1+1,0),"")</f>
        <v/>
      </c>
      <c r="U224" s="133" t="str">
        <f>IF($A224&lt;&gt;0,VLOOKUP($A224,'0.Productos'!$A$3:$GG$587,'0.Productos'!BM$1+1,0),"")</f>
        <v/>
      </c>
      <c r="V224" s="133" t="str">
        <f>IF($A224&lt;&gt;0,VLOOKUP($A224,'0.Productos'!$A$3:$GG$587,'0.Productos'!BN$1+1,0),"")</f>
        <v/>
      </c>
      <c r="W224" s="133" t="str">
        <f>IF($A224&lt;&gt;0,VLOOKUP($A224,'0.Productos'!$A$3:$GG$587,'0.Productos'!BO$1+1,0),"")</f>
        <v/>
      </c>
      <c r="X224" s="133" t="str">
        <f>IF($A224&lt;&gt;0,VLOOKUP($A224,'0.Productos'!$A$3:$GG$587,'0.Productos'!BP$1+1,0),"")</f>
        <v/>
      </c>
      <c r="Y224" s="133" t="str">
        <f>IF($A224&lt;&gt;0,VLOOKUP($A224,'0.Productos'!$A$3:$GG$587,'0.Productos'!BQ$1+1,0),"")</f>
        <v/>
      </c>
      <c r="Z224" s="133" t="str">
        <f>IF($A224&lt;&gt;0,VLOOKUP($A224,'0.Productos'!$A$3:$GG$587,'0.Productos'!BR$1+1,0),"")</f>
        <v/>
      </c>
      <c r="AA224" s="133" t="str">
        <f>IF($A224&lt;&gt;0,VLOOKUP($A224,'0.Productos'!$A$3:$GG$587,'0.Productos'!BS$1+1,0),"")</f>
        <v/>
      </c>
      <c r="AB224" s="133" t="str">
        <f>IF($A224&lt;&gt;0,VLOOKUP($A224,'0.Productos'!$A$3:$GG$587,'0.Productos'!BT$1+1,0),"")</f>
        <v/>
      </c>
      <c r="AC224" s="133" t="str">
        <f>IF($A224&lt;&gt;0,VLOOKUP($A224,'0.Productos'!$A$3:$GG$587,'0.Productos'!BU$1+1,0),"")</f>
        <v/>
      </c>
      <c r="AD224" s="133" t="str">
        <f>IF($A224&lt;&gt;0,VLOOKUP($A224,'0.Productos'!$A$3:$GG$587,'0.Productos'!BV$1+1,0),"")</f>
        <v/>
      </c>
      <c r="AE224" s="133" t="str">
        <f>IF($A224&lt;&gt;0,VLOOKUP($A224,'0.Productos'!$A$3:$GG$587,'0.Productos'!BW$1+1,0),"")</f>
        <v/>
      </c>
      <c r="AF224" s="133" t="str">
        <f>IF($A224&lt;&gt;0,VLOOKUP($A224,'0.Productos'!$A$3:$GG$587,'0.Productos'!BX$1+1,0),"")</f>
        <v/>
      </c>
      <c r="AG224" s="133" t="str">
        <f>IF($A224&lt;&gt;0,VLOOKUP($A224,'0.Productos'!$A$3:$GG$587,'0.Productos'!BY$1+1,0),"")</f>
        <v/>
      </c>
      <c r="AH224" s="133" t="str">
        <f>IF($A224&lt;&gt;0,VLOOKUP($A224,'0.Productos'!$A$3:$GG$587,'0.Productos'!BZ$1+1,0),"")</f>
        <v/>
      </c>
      <c r="AI224" s="133" t="str">
        <f>IF($A224&lt;&gt;0,VLOOKUP($A224,'0.Productos'!$A$3:$GG$587,'0.Productos'!CA$1+1,0),"")</f>
        <v/>
      </c>
      <c r="AJ224" s="133" t="str">
        <f>IF($A224&lt;&gt;0,VLOOKUP($A224,'0.Productos'!$A$3:$GG$587,'0.Productos'!CB$1+1,0),"")</f>
        <v/>
      </c>
      <c r="AK224" s="133" t="str">
        <f>IF($A224&lt;&gt;0,VLOOKUP($A224,'0.Productos'!$A$3:$GG$587,'0.Productos'!CC$1+1,0),"")</f>
        <v/>
      </c>
      <c r="AL224" s="133" t="str">
        <f>IF($A224&lt;&gt;0,VLOOKUP($A224,'0.Productos'!$A$3:$GG$587,'0.Productos'!CD$1+1,0),"")</f>
        <v/>
      </c>
      <c r="AM224" s="133" t="str">
        <f>IF($A224&lt;&gt;0,VLOOKUP($A224,'0.Productos'!$A$3:$GG$587,'0.Productos'!CE$1+1,0),"")</f>
        <v/>
      </c>
      <c r="AN224" s="133" t="str">
        <f>IF($A224&lt;&gt;0,VLOOKUP($A224,'0.Productos'!$A$3:$GG$587,'0.Productos'!CF$1+1,0),"")</f>
        <v/>
      </c>
      <c r="AO224" s="133" t="str">
        <f>IF($A224&lt;&gt;0,VLOOKUP($A224,'0.Productos'!$A$3:$GG$587,'0.Productos'!CG$1+1,0),"")</f>
        <v/>
      </c>
      <c r="AP224" s="133" t="str">
        <f>IF($A224&lt;&gt;0,VLOOKUP($A224,'0.Productos'!$A$3:$GG$587,'0.Productos'!CH$1+1,0),"")</f>
        <v/>
      </c>
      <c r="AQ224" s="133" t="str">
        <f>IF($A224&lt;&gt;0,VLOOKUP($A224,'0.Productos'!$A$3:$GG$587,'0.Productos'!CI$1+1,0),"")</f>
        <v/>
      </c>
      <c r="AR224" s="133" t="str">
        <f>IF($A224&lt;&gt;0,VLOOKUP($A224,'0.Productos'!$A$3:$GG$587,'0.Productos'!CJ$1+1,0),"")</f>
        <v/>
      </c>
      <c r="AS224" s="133" t="str">
        <f>IF($A224&lt;&gt;0,VLOOKUP($A224,'0.Productos'!$A$3:$GG$587,'0.Productos'!CK$1+1,0),"")</f>
        <v/>
      </c>
      <c r="AT224" s="133" t="str">
        <f>IF($A224&lt;&gt;0,VLOOKUP($A224,'0.Productos'!$A$3:$GG$587,'0.Productos'!CL$1+1,0),"")</f>
        <v/>
      </c>
      <c r="AU224" s="133" t="str">
        <f>IF($A224&lt;&gt;0,VLOOKUP($A224,'0.Productos'!$A$3:$GG$587,'0.Productos'!CM$1+1,0),"")</f>
        <v/>
      </c>
      <c r="AV224" s="133" t="str">
        <f>IF($A224&lt;&gt;0,VLOOKUP($A224,'0.Productos'!$A$3:$GG$587,'0.Productos'!CN$1+1,0),"")</f>
        <v/>
      </c>
      <c r="AW224" s="133" t="str">
        <f>IF($A224&lt;&gt;0,VLOOKUP($A224,'0.Productos'!$A$3:$GG$587,'0.Productos'!CO$1+1,0),"")</f>
        <v/>
      </c>
      <c r="AX224" s="133" t="str">
        <f>IF($A224&lt;&gt;0,VLOOKUP($A224,'0.Productos'!$A$3:$GG$587,'0.Productos'!CP$1+1,0),"")</f>
        <v/>
      </c>
      <c r="AY224" s="133" t="str">
        <f>IF($A224&lt;&gt;0,VLOOKUP($A224,'0.Productos'!$A$3:$GG$587,'0.Productos'!CQ$1+1,0),"")</f>
        <v/>
      </c>
      <c r="AZ224" s="133" t="str">
        <f>IF($A224&lt;&gt;0,VLOOKUP($A224,'0.Productos'!$A$3:$GG$587,'0.Productos'!CR$1+1,0),"")</f>
        <v/>
      </c>
      <c r="BA224" s="133" t="str">
        <f>IF($A224&lt;&gt;0,VLOOKUP($A224,'0.Productos'!$A$3:$GG$587,'0.Productos'!CS$1+1,0),"")</f>
        <v/>
      </c>
      <c r="BB224" s="133" t="str">
        <f>IF($A224&lt;&gt;0,VLOOKUP($A224,'0.Productos'!$A$3:$GG$587,'0.Productos'!CT$1+1,0),"")</f>
        <v/>
      </c>
      <c r="BC224" s="133" t="str">
        <f>IF($A224&lt;&gt;0,VLOOKUP($A224,'0.Productos'!$A$3:$GG$587,'0.Productos'!CU$1+1,0),"")</f>
        <v/>
      </c>
      <c r="BD224" s="133" t="str">
        <f>IF($A224&lt;&gt;0,VLOOKUP($A224,'0.Productos'!$A$3:$GG$587,'0.Productos'!CV$1+1,0),"")</f>
        <v/>
      </c>
      <c r="BE224" s="133" t="str">
        <f>IF($A224&lt;&gt;0,VLOOKUP($A224,'0.Productos'!$A$3:$GG$587,'0.Productos'!CW$1+1,0),"")</f>
        <v/>
      </c>
      <c r="BF224" s="133" t="str">
        <f>IF($A224&lt;&gt;0,VLOOKUP($A224,'0.Productos'!$A$3:$GG$587,'0.Productos'!CX$1+1,0),"")</f>
        <v/>
      </c>
      <c r="BG224" s="133" t="str">
        <f>IF($A224&lt;&gt;0,VLOOKUP($A224,'0.Productos'!$A$3:$GG$587,'0.Productos'!CY$1+1,0),"")</f>
        <v/>
      </c>
      <c r="BH224" s="133" t="str">
        <f>IF($A224&lt;&gt;0,VLOOKUP($A224,'0.Productos'!$A$3:$GG$587,'0.Productos'!CZ$1+1,0),"")</f>
        <v/>
      </c>
      <c r="BI224" s="133" t="str">
        <f>IF($A224&lt;&gt;0,VLOOKUP($A224,'0.Productos'!$A$3:$GG$587,'0.Productos'!DA$1+1,0),"")</f>
        <v/>
      </c>
      <c r="BJ224" s="133" t="str">
        <f>IF($A224&lt;&gt;0,VLOOKUP($A224,'0.Productos'!$A$3:$GG$587,'0.Productos'!DB$1+1,0),"")</f>
        <v/>
      </c>
      <c r="BK224" s="133" t="str">
        <f>IF($A224&lt;&gt;0,VLOOKUP($A224,'0.Productos'!$A$3:$GG$587,'0.Productos'!DC$1+1,0),"")</f>
        <v/>
      </c>
      <c r="BL224" s="133" t="str">
        <f>IF($A224&lt;&gt;0,VLOOKUP($A224,'0.Productos'!$A$3:$GG$587,'0.Productos'!DD$1+1,0),"")</f>
        <v/>
      </c>
      <c r="BM224" s="133" t="str">
        <f>IF($A224&lt;&gt;0,VLOOKUP($A224,'0.Productos'!$A$3:$GG$587,'0.Productos'!DE$1+1,0),"")</f>
        <v/>
      </c>
      <c r="BN224" s="133" t="str">
        <f>IF($A224&lt;&gt;0,VLOOKUP($A224,'0.Productos'!$A$3:$GG$587,'0.Productos'!DF$1+1,0),"")</f>
        <v/>
      </c>
      <c r="BO224" s="133" t="str">
        <f>IF($A224&lt;&gt;0,VLOOKUP($A224,'0.Productos'!$A$3:$GG$587,'0.Productos'!DG$1+1,0),"")</f>
        <v/>
      </c>
      <c r="BP224" s="133" t="str">
        <f>IF($A224&lt;&gt;0,VLOOKUP($A224,'0.Productos'!$A$3:$GG$587,'0.Productos'!DH$1+1,0),"")</f>
        <v/>
      </c>
      <c r="BQ224" s="133" t="str">
        <f>IF($A224&lt;&gt;0,VLOOKUP($A224,'0.Productos'!$A$3:$GG$587,'0.Productos'!DI$1+1,0),"")</f>
        <v/>
      </c>
      <c r="BR224" s="133" t="str">
        <f>IF($A224&lt;&gt;0,VLOOKUP($A224,'0.Productos'!$A$3:$GG$587,'0.Productos'!DJ$1+1,0),"")</f>
        <v/>
      </c>
      <c r="BS224" s="133" t="str">
        <f>IF($A224&lt;&gt;0,VLOOKUP($A224,'0.Productos'!$A$3:$GG$587,'0.Productos'!DK$1+1,0),"")</f>
        <v/>
      </c>
      <c r="BT224" s="133" t="str">
        <f>IF($A224&lt;&gt;0,VLOOKUP($A224,'0.Productos'!$A$3:$GG$587,'0.Productos'!DL$1+1,0),"")</f>
        <v/>
      </c>
    </row>
    <row r="225" spans="1:72" x14ac:dyDescent="0.25">
      <c r="A225" s="17">
        <f>'0.Consolidado general'!A225</f>
        <v>0</v>
      </c>
      <c r="B225" s="133" t="str">
        <f>IF($A225&lt;&gt;0,VLOOKUP($A225,'0.Productos'!$A$3:$GG$587,'0.Productos'!AT$1+1,0),"")</f>
        <v/>
      </c>
      <c r="C225" s="133" t="str">
        <f>IF($A225&lt;&gt;0,VLOOKUP($A225,'0.Productos'!$A$3:$GG$587,'0.Productos'!AU$1+1,0),"")</f>
        <v/>
      </c>
      <c r="D225" s="133" t="str">
        <f>IF($A225&lt;&gt;0,VLOOKUP($A225,'0.Productos'!$A$3:$GG$587,'0.Productos'!AV$1+1,0),"")</f>
        <v/>
      </c>
      <c r="E225" s="133" t="str">
        <f>IF($A225&lt;&gt;0,VLOOKUP($A225,'0.Productos'!$A$3:$GG$587,'0.Productos'!AW$1+1,0),"")</f>
        <v/>
      </c>
      <c r="F225" s="133" t="str">
        <f>IF($A225&lt;&gt;0,VLOOKUP($A225,'0.Productos'!$A$3:$GG$587,'0.Productos'!AX$1+1,0),"")</f>
        <v/>
      </c>
      <c r="G225" s="133" t="str">
        <f>IF($A225&lt;&gt;0,VLOOKUP($A225,'0.Productos'!$A$3:$GG$587,'0.Productos'!AY$1+1,0),"")</f>
        <v/>
      </c>
      <c r="H225" s="133" t="str">
        <f>IF($A225&lt;&gt;0,VLOOKUP($A225,'0.Productos'!$A$3:$GG$587,'0.Productos'!AZ$1+1,0),"")</f>
        <v/>
      </c>
      <c r="I225" s="133" t="str">
        <f>IF($A225&lt;&gt;0,VLOOKUP($A225,'0.Productos'!$A$3:$GG$587,'0.Productos'!BA$1+1,0),"")</f>
        <v/>
      </c>
      <c r="J225" s="133" t="str">
        <f>IF($A225&lt;&gt;0,VLOOKUP($A225,'0.Productos'!$A$3:$GG$587,'0.Productos'!BB$1+1,0),"")</f>
        <v/>
      </c>
      <c r="K225" s="133" t="str">
        <f>IF($A225&lt;&gt;0,VLOOKUP($A225,'0.Productos'!$A$3:$GG$587,'0.Productos'!BC$1+1,0),"")</f>
        <v/>
      </c>
      <c r="L225" s="133" t="str">
        <f>IF($A225&lt;&gt;0,VLOOKUP($A225,'0.Productos'!$A$3:$GG$587,'0.Productos'!BD$1+1,0),"")</f>
        <v/>
      </c>
      <c r="M225" s="133" t="str">
        <f>IF($A225&lt;&gt;0,VLOOKUP($A225,'0.Productos'!$A$3:$GG$587,'0.Productos'!BE$1+1,0),"")</f>
        <v/>
      </c>
      <c r="N225" s="133" t="str">
        <f>IF($A225&lt;&gt;0,VLOOKUP($A225,'0.Productos'!$A$3:$GG$587,'0.Productos'!BF$1+1,0),"")</f>
        <v/>
      </c>
      <c r="O225" s="133" t="str">
        <f>IF($A225&lt;&gt;0,VLOOKUP($A225,'0.Productos'!$A$3:$GG$587,'0.Productos'!BG$1+1,0),"")</f>
        <v/>
      </c>
      <c r="P225" s="133" t="str">
        <f>IF($A225&lt;&gt;0,VLOOKUP($A225,'0.Productos'!$A$3:$GG$587,'0.Productos'!BH$1+1,0),"")</f>
        <v/>
      </c>
      <c r="Q225" s="133" t="str">
        <f>IF($A225&lt;&gt;0,VLOOKUP($A225,'0.Productos'!$A$3:$GG$587,'0.Productos'!BI$1+1,0),"")</f>
        <v/>
      </c>
      <c r="R225" s="133" t="str">
        <f>IF($A225&lt;&gt;0,VLOOKUP($A225,'0.Productos'!$A$3:$GG$587,'0.Productos'!BJ$1+1,0),"")</f>
        <v/>
      </c>
      <c r="S225" s="133" t="str">
        <f>IF($A225&lt;&gt;0,VLOOKUP($A225,'0.Productos'!$A$3:$GG$587,'0.Productos'!BK$1+1,0),"")</f>
        <v/>
      </c>
      <c r="T225" s="133" t="str">
        <f>IF($A225&lt;&gt;0,VLOOKUP($A225,'0.Productos'!$A$3:$GG$587,'0.Productos'!BL$1+1,0),"")</f>
        <v/>
      </c>
      <c r="U225" s="133" t="str">
        <f>IF($A225&lt;&gt;0,VLOOKUP($A225,'0.Productos'!$A$3:$GG$587,'0.Productos'!BM$1+1,0),"")</f>
        <v/>
      </c>
      <c r="V225" s="133" t="str">
        <f>IF($A225&lt;&gt;0,VLOOKUP($A225,'0.Productos'!$A$3:$GG$587,'0.Productos'!BN$1+1,0),"")</f>
        <v/>
      </c>
      <c r="W225" s="133" t="str">
        <f>IF($A225&lt;&gt;0,VLOOKUP($A225,'0.Productos'!$A$3:$GG$587,'0.Productos'!BO$1+1,0),"")</f>
        <v/>
      </c>
      <c r="X225" s="133" t="str">
        <f>IF($A225&lt;&gt;0,VLOOKUP($A225,'0.Productos'!$A$3:$GG$587,'0.Productos'!BP$1+1,0),"")</f>
        <v/>
      </c>
      <c r="Y225" s="133" t="str">
        <f>IF($A225&lt;&gt;0,VLOOKUP($A225,'0.Productos'!$A$3:$GG$587,'0.Productos'!BQ$1+1,0),"")</f>
        <v/>
      </c>
      <c r="Z225" s="133" t="str">
        <f>IF($A225&lt;&gt;0,VLOOKUP($A225,'0.Productos'!$A$3:$GG$587,'0.Productos'!BR$1+1,0),"")</f>
        <v/>
      </c>
      <c r="AA225" s="133" t="str">
        <f>IF($A225&lt;&gt;0,VLOOKUP($A225,'0.Productos'!$A$3:$GG$587,'0.Productos'!BS$1+1,0),"")</f>
        <v/>
      </c>
      <c r="AB225" s="133" t="str">
        <f>IF($A225&lt;&gt;0,VLOOKUP($A225,'0.Productos'!$A$3:$GG$587,'0.Productos'!BT$1+1,0),"")</f>
        <v/>
      </c>
      <c r="AC225" s="133" t="str">
        <f>IF($A225&lt;&gt;0,VLOOKUP($A225,'0.Productos'!$A$3:$GG$587,'0.Productos'!BU$1+1,0),"")</f>
        <v/>
      </c>
      <c r="AD225" s="133" t="str">
        <f>IF($A225&lt;&gt;0,VLOOKUP($A225,'0.Productos'!$A$3:$GG$587,'0.Productos'!BV$1+1,0),"")</f>
        <v/>
      </c>
      <c r="AE225" s="133" t="str">
        <f>IF($A225&lt;&gt;0,VLOOKUP($A225,'0.Productos'!$A$3:$GG$587,'0.Productos'!BW$1+1,0),"")</f>
        <v/>
      </c>
      <c r="AF225" s="133" t="str">
        <f>IF($A225&lt;&gt;0,VLOOKUP($A225,'0.Productos'!$A$3:$GG$587,'0.Productos'!BX$1+1,0),"")</f>
        <v/>
      </c>
      <c r="AG225" s="133" t="str">
        <f>IF($A225&lt;&gt;0,VLOOKUP($A225,'0.Productos'!$A$3:$GG$587,'0.Productos'!BY$1+1,0),"")</f>
        <v/>
      </c>
      <c r="AH225" s="133" t="str">
        <f>IF($A225&lt;&gt;0,VLOOKUP($A225,'0.Productos'!$A$3:$GG$587,'0.Productos'!BZ$1+1,0),"")</f>
        <v/>
      </c>
      <c r="AI225" s="133" t="str">
        <f>IF($A225&lt;&gt;0,VLOOKUP($A225,'0.Productos'!$A$3:$GG$587,'0.Productos'!CA$1+1,0),"")</f>
        <v/>
      </c>
      <c r="AJ225" s="133" t="str">
        <f>IF($A225&lt;&gt;0,VLOOKUP($A225,'0.Productos'!$A$3:$GG$587,'0.Productos'!CB$1+1,0),"")</f>
        <v/>
      </c>
      <c r="AK225" s="133" t="str">
        <f>IF($A225&lt;&gt;0,VLOOKUP($A225,'0.Productos'!$A$3:$GG$587,'0.Productos'!CC$1+1,0),"")</f>
        <v/>
      </c>
      <c r="AL225" s="133" t="str">
        <f>IF($A225&lt;&gt;0,VLOOKUP($A225,'0.Productos'!$A$3:$GG$587,'0.Productos'!CD$1+1,0),"")</f>
        <v/>
      </c>
      <c r="AM225" s="133" t="str">
        <f>IF($A225&lt;&gt;0,VLOOKUP($A225,'0.Productos'!$A$3:$GG$587,'0.Productos'!CE$1+1,0),"")</f>
        <v/>
      </c>
      <c r="AN225" s="133" t="str">
        <f>IF($A225&lt;&gt;0,VLOOKUP($A225,'0.Productos'!$A$3:$GG$587,'0.Productos'!CF$1+1,0),"")</f>
        <v/>
      </c>
      <c r="AO225" s="133" t="str">
        <f>IF($A225&lt;&gt;0,VLOOKUP($A225,'0.Productos'!$A$3:$GG$587,'0.Productos'!CG$1+1,0),"")</f>
        <v/>
      </c>
      <c r="AP225" s="133" t="str">
        <f>IF($A225&lt;&gt;0,VLOOKUP($A225,'0.Productos'!$A$3:$GG$587,'0.Productos'!CH$1+1,0),"")</f>
        <v/>
      </c>
      <c r="AQ225" s="133" t="str">
        <f>IF($A225&lt;&gt;0,VLOOKUP($A225,'0.Productos'!$A$3:$GG$587,'0.Productos'!CI$1+1,0),"")</f>
        <v/>
      </c>
      <c r="AR225" s="133" t="str">
        <f>IF($A225&lt;&gt;0,VLOOKUP($A225,'0.Productos'!$A$3:$GG$587,'0.Productos'!CJ$1+1,0),"")</f>
        <v/>
      </c>
      <c r="AS225" s="133" t="str">
        <f>IF($A225&lt;&gt;0,VLOOKUP($A225,'0.Productos'!$A$3:$GG$587,'0.Productos'!CK$1+1,0),"")</f>
        <v/>
      </c>
      <c r="AT225" s="133" t="str">
        <f>IF($A225&lt;&gt;0,VLOOKUP($A225,'0.Productos'!$A$3:$GG$587,'0.Productos'!CL$1+1,0),"")</f>
        <v/>
      </c>
      <c r="AU225" s="133" t="str">
        <f>IF($A225&lt;&gt;0,VLOOKUP($A225,'0.Productos'!$A$3:$GG$587,'0.Productos'!CM$1+1,0),"")</f>
        <v/>
      </c>
      <c r="AV225" s="133" t="str">
        <f>IF($A225&lt;&gt;0,VLOOKUP($A225,'0.Productos'!$A$3:$GG$587,'0.Productos'!CN$1+1,0),"")</f>
        <v/>
      </c>
      <c r="AW225" s="133" t="str">
        <f>IF($A225&lt;&gt;0,VLOOKUP($A225,'0.Productos'!$A$3:$GG$587,'0.Productos'!CO$1+1,0),"")</f>
        <v/>
      </c>
      <c r="AX225" s="133" t="str">
        <f>IF($A225&lt;&gt;0,VLOOKUP($A225,'0.Productos'!$A$3:$GG$587,'0.Productos'!CP$1+1,0),"")</f>
        <v/>
      </c>
      <c r="AY225" s="133" t="str">
        <f>IF($A225&lt;&gt;0,VLOOKUP($A225,'0.Productos'!$A$3:$GG$587,'0.Productos'!CQ$1+1,0),"")</f>
        <v/>
      </c>
      <c r="AZ225" s="133" t="str">
        <f>IF($A225&lt;&gt;0,VLOOKUP($A225,'0.Productos'!$A$3:$GG$587,'0.Productos'!CR$1+1,0),"")</f>
        <v/>
      </c>
      <c r="BA225" s="133" t="str">
        <f>IF($A225&lt;&gt;0,VLOOKUP($A225,'0.Productos'!$A$3:$GG$587,'0.Productos'!CS$1+1,0),"")</f>
        <v/>
      </c>
      <c r="BB225" s="133" t="str">
        <f>IF($A225&lt;&gt;0,VLOOKUP($A225,'0.Productos'!$A$3:$GG$587,'0.Productos'!CT$1+1,0),"")</f>
        <v/>
      </c>
      <c r="BC225" s="133" t="str">
        <f>IF($A225&lt;&gt;0,VLOOKUP($A225,'0.Productos'!$A$3:$GG$587,'0.Productos'!CU$1+1,0),"")</f>
        <v/>
      </c>
      <c r="BD225" s="133" t="str">
        <f>IF($A225&lt;&gt;0,VLOOKUP($A225,'0.Productos'!$A$3:$GG$587,'0.Productos'!CV$1+1,0),"")</f>
        <v/>
      </c>
      <c r="BE225" s="133" t="str">
        <f>IF($A225&lt;&gt;0,VLOOKUP($A225,'0.Productos'!$A$3:$GG$587,'0.Productos'!CW$1+1,0),"")</f>
        <v/>
      </c>
      <c r="BF225" s="133" t="str">
        <f>IF($A225&lt;&gt;0,VLOOKUP($A225,'0.Productos'!$A$3:$GG$587,'0.Productos'!CX$1+1,0),"")</f>
        <v/>
      </c>
      <c r="BG225" s="133" t="str">
        <f>IF($A225&lt;&gt;0,VLOOKUP($A225,'0.Productos'!$A$3:$GG$587,'0.Productos'!CY$1+1,0),"")</f>
        <v/>
      </c>
      <c r="BH225" s="133" t="str">
        <f>IF($A225&lt;&gt;0,VLOOKUP($A225,'0.Productos'!$A$3:$GG$587,'0.Productos'!CZ$1+1,0),"")</f>
        <v/>
      </c>
      <c r="BI225" s="133" t="str">
        <f>IF($A225&lt;&gt;0,VLOOKUP($A225,'0.Productos'!$A$3:$GG$587,'0.Productos'!DA$1+1,0),"")</f>
        <v/>
      </c>
      <c r="BJ225" s="133" t="str">
        <f>IF($A225&lt;&gt;0,VLOOKUP($A225,'0.Productos'!$A$3:$GG$587,'0.Productos'!DB$1+1,0),"")</f>
        <v/>
      </c>
      <c r="BK225" s="133" t="str">
        <f>IF($A225&lt;&gt;0,VLOOKUP($A225,'0.Productos'!$A$3:$GG$587,'0.Productos'!DC$1+1,0),"")</f>
        <v/>
      </c>
      <c r="BL225" s="133" t="str">
        <f>IF($A225&lt;&gt;0,VLOOKUP($A225,'0.Productos'!$A$3:$GG$587,'0.Productos'!DD$1+1,0),"")</f>
        <v/>
      </c>
      <c r="BM225" s="133" t="str">
        <f>IF($A225&lt;&gt;0,VLOOKUP($A225,'0.Productos'!$A$3:$GG$587,'0.Productos'!DE$1+1,0),"")</f>
        <v/>
      </c>
      <c r="BN225" s="133" t="str">
        <f>IF($A225&lt;&gt;0,VLOOKUP($A225,'0.Productos'!$A$3:$GG$587,'0.Productos'!DF$1+1,0),"")</f>
        <v/>
      </c>
      <c r="BO225" s="133" t="str">
        <f>IF($A225&lt;&gt;0,VLOOKUP($A225,'0.Productos'!$A$3:$GG$587,'0.Productos'!DG$1+1,0),"")</f>
        <v/>
      </c>
      <c r="BP225" s="133" t="str">
        <f>IF($A225&lt;&gt;0,VLOOKUP($A225,'0.Productos'!$A$3:$GG$587,'0.Productos'!DH$1+1,0),"")</f>
        <v/>
      </c>
      <c r="BQ225" s="133" t="str">
        <f>IF($A225&lt;&gt;0,VLOOKUP($A225,'0.Productos'!$A$3:$GG$587,'0.Productos'!DI$1+1,0),"")</f>
        <v/>
      </c>
      <c r="BR225" s="133" t="str">
        <f>IF($A225&lt;&gt;0,VLOOKUP($A225,'0.Productos'!$A$3:$GG$587,'0.Productos'!DJ$1+1,0),"")</f>
        <v/>
      </c>
      <c r="BS225" s="133" t="str">
        <f>IF($A225&lt;&gt;0,VLOOKUP($A225,'0.Productos'!$A$3:$GG$587,'0.Productos'!DK$1+1,0),"")</f>
        <v/>
      </c>
      <c r="BT225" s="133" t="str">
        <f>IF($A225&lt;&gt;0,VLOOKUP($A225,'0.Productos'!$A$3:$GG$587,'0.Productos'!DL$1+1,0),"")</f>
        <v/>
      </c>
    </row>
    <row r="226" spans="1:72" x14ac:dyDescent="0.25">
      <c r="A226" s="17">
        <f>'0.Consolidado general'!A226</f>
        <v>0</v>
      </c>
      <c r="B226" s="133" t="str">
        <f>IF($A226&lt;&gt;0,VLOOKUP($A226,'0.Productos'!$A$3:$GG$587,'0.Productos'!AT$1+1,0),"")</f>
        <v/>
      </c>
      <c r="C226" s="133" t="str">
        <f>IF($A226&lt;&gt;0,VLOOKUP($A226,'0.Productos'!$A$3:$GG$587,'0.Productos'!AU$1+1,0),"")</f>
        <v/>
      </c>
      <c r="D226" s="133" t="str">
        <f>IF($A226&lt;&gt;0,VLOOKUP($A226,'0.Productos'!$A$3:$GG$587,'0.Productos'!AV$1+1,0),"")</f>
        <v/>
      </c>
      <c r="E226" s="133" t="str">
        <f>IF($A226&lt;&gt;0,VLOOKUP($A226,'0.Productos'!$A$3:$GG$587,'0.Productos'!AW$1+1,0),"")</f>
        <v/>
      </c>
      <c r="F226" s="133" t="str">
        <f>IF($A226&lt;&gt;0,VLOOKUP($A226,'0.Productos'!$A$3:$GG$587,'0.Productos'!AX$1+1,0),"")</f>
        <v/>
      </c>
      <c r="G226" s="133" t="str">
        <f>IF($A226&lt;&gt;0,VLOOKUP($A226,'0.Productos'!$A$3:$GG$587,'0.Productos'!AY$1+1,0),"")</f>
        <v/>
      </c>
      <c r="H226" s="133" t="str">
        <f>IF($A226&lt;&gt;0,VLOOKUP($A226,'0.Productos'!$A$3:$GG$587,'0.Productos'!AZ$1+1,0),"")</f>
        <v/>
      </c>
      <c r="I226" s="133" t="str">
        <f>IF($A226&lt;&gt;0,VLOOKUP($A226,'0.Productos'!$A$3:$GG$587,'0.Productos'!BA$1+1,0),"")</f>
        <v/>
      </c>
      <c r="J226" s="133" t="str">
        <f>IF($A226&lt;&gt;0,VLOOKUP($A226,'0.Productos'!$A$3:$GG$587,'0.Productos'!BB$1+1,0),"")</f>
        <v/>
      </c>
      <c r="K226" s="133" t="str">
        <f>IF($A226&lt;&gt;0,VLOOKUP($A226,'0.Productos'!$A$3:$GG$587,'0.Productos'!BC$1+1,0),"")</f>
        <v/>
      </c>
      <c r="L226" s="133" t="str">
        <f>IF($A226&lt;&gt;0,VLOOKUP($A226,'0.Productos'!$A$3:$GG$587,'0.Productos'!BD$1+1,0),"")</f>
        <v/>
      </c>
      <c r="M226" s="133" t="str">
        <f>IF($A226&lt;&gt;0,VLOOKUP($A226,'0.Productos'!$A$3:$GG$587,'0.Productos'!BE$1+1,0),"")</f>
        <v/>
      </c>
      <c r="N226" s="133" t="str">
        <f>IF($A226&lt;&gt;0,VLOOKUP($A226,'0.Productos'!$A$3:$GG$587,'0.Productos'!BF$1+1,0),"")</f>
        <v/>
      </c>
      <c r="O226" s="133" t="str">
        <f>IF($A226&lt;&gt;0,VLOOKUP($A226,'0.Productos'!$A$3:$GG$587,'0.Productos'!BG$1+1,0),"")</f>
        <v/>
      </c>
      <c r="P226" s="133" t="str">
        <f>IF($A226&lt;&gt;0,VLOOKUP($A226,'0.Productos'!$A$3:$GG$587,'0.Productos'!BH$1+1,0),"")</f>
        <v/>
      </c>
      <c r="Q226" s="133" t="str">
        <f>IF($A226&lt;&gt;0,VLOOKUP($A226,'0.Productos'!$A$3:$GG$587,'0.Productos'!BI$1+1,0),"")</f>
        <v/>
      </c>
      <c r="R226" s="133" t="str">
        <f>IF($A226&lt;&gt;0,VLOOKUP($A226,'0.Productos'!$A$3:$GG$587,'0.Productos'!BJ$1+1,0),"")</f>
        <v/>
      </c>
      <c r="S226" s="133" t="str">
        <f>IF($A226&lt;&gt;0,VLOOKUP($A226,'0.Productos'!$A$3:$GG$587,'0.Productos'!BK$1+1,0),"")</f>
        <v/>
      </c>
      <c r="T226" s="133" t="str">
        <f>IF($A226&lt;&gt;0,VLOOKUP($A226,'0.Productos'!$A$3:$GG$587,'0.Productos'!BL$1+1,0),"")</f>
        <v/>
      </c>
      <c r="U226" s="133" t="str">
        <f>IF($A226&lt;&gt;0,VLOOKUP($A226,'0.Productos'!$A$3:$GG$587,'0.Productos'!BM$1+1,0),"")</f>
        <v/>
      </c>
      <c r="V226" s="133" t="str">
        <f>IF($A226&lt;&gt;0,VLOOKUP($A226,'0.Productos'!$A$3:$GG$587,'0.Productos'!BN$1+1,0),"")</f>
        <v/>
      </c>
      <c r="W226" s="133" t="str">
        <f>IF($A226&lt;&gt;0,VLOOKUP($A226,'0.Productos'!$A$3:$GG$587,'0.Productos'!BO$1+1,0),"")</f>
        <v/>
      </c>
      <c r="X226" s="133" t="str">
        <f>IF($A226&lt;&gt;0,VLOOKUP($A226,'0.Productos'!$A$3:$GG$587,'0.Productos'!BP$1+1,0),"")</f>
        <v/>
      </c>
      <c r="Y226" s="133" t="str">
        <f>IF($A226&lt;&gt;0,VLOOKUP($A226,'0.Productos'!$A$3:$GG$587,'0.Productos'!BQ$1+1,0),"")</f>
        <v/>
      </c>
      <c r="Z226" s="133" t="str">
        <f>IF($A226&lt;&gt;0,VLOOKUP($A226,'0.Productos'!$A$3:$GG$587,'0.Productos'!BR$1+1,0),"")</f>
        <v/>
      </c>
      <c r="AA226" s="133" t="str">
        <f>IF($A226&lt;&gt;0,VLOOKUP($A226,'0.Productos'!$A$3:$GG$587,'0.Productos'!BS$1+1,0),"")</f>
        <v/>
      </c>
      <c r="AB226" s="133" t="str">
        <f>IF($A226&lt;&gt;0,VLOOKUP($A226,'0.Productos'!$A$3:$GG$587,'0.Productos'!BT$1+1,0),"")</f>
        <v/>
      </c>
      <c r="AC226" s="133" t="str">
        <f>IF($A226&lt;&gt;0,VLOOKUP($A226,'0.Productos'!$A$3:$GG$587,'0.Productos'!BU$1+1,0),"")</f>
        <v/>
      </c>
      <c r="AD226" s="133" t="str">
        <f>IF($A226&lt;&gt;0,VLOOKUP($A226,'0.Productos'!$A$3:$GG$587,'0.Productos'!BV$1+1,0),"")</f>
        <v/>
      </c>
      <c r="AE226" s="133" t="str">
        <f>IF($A226&lt;&gt;0,VLOOKUP($A226,'0.Productos'!$A$3:$GG$587,'0.Productos'!BW$1+1,0),"")</f>
        <v/>
      </c>
      <c r="AF226" s="133" t="str">
        <f>IF($A226&lt;&gt;0,VLOOKUP($A226,'0.Productos'!$A$3:$GG$587,'0.Productos'!BX$1+1,0),"")</f>
        <v/>
      </c>
      <c r="AG226" s="133" t="str">
        <f>IF($A226&lt;&gt;0,VLOOKUP($A226,'0.Productos'!$A$3:$GG$587,'0.Productos'!BY$1+1,0),"")</f>
        <v/>
      </c>
      <c r="AH226" s="133" t="str">
        <f>IF($A226&lt;&gt;0,VLOOKUP($A226,'0.Productos'!$A$3:$GG$587,'0.Productos'!BZ$1+1,0),"")</f>
        <v/>
      </c>
      <c r="AI226" s="133" t="str">
        <f>IF($A226&lt;&gt;0,VLOOKUP($A226,'0.Productos'!$A$3:$GG$587,'0.Productos'!CA$1+1,0),"")</f>
        <v/>
      </c>
      <c r="AJ226" s="133" t="str">
        <f>IF($A226&lt;&gt;0,VLOOKUP($A226,'0.Productos'!$A$3:$GG$587,'0.Productos'!CB$1+1,0),"")</f>
        <v/>
      </c>
      <c r="AK226" s="133" t="str">
        <f>IF($A226&lt;&gt;0,VLOOKUP($A226,'0.Productos'!$A$3:$GG$587,'0.Productos'!CC$1+1,0),"")</f>
        <v/>
      </c>
      <c r="AL226" s="133" t="str">
        <f>IF($A226&lt;&gt;0,VLOOKUP($A226,'0.Productos'!$A$3:$GG$587,'0.Productos'!CD$1+1,0),"")</f>
        <v/>
      </c>
      <c r="AM226" s="133" t="str">
        <f>IF($A226&lt;&gt;0,VLOOKUP($A226,'0.Productos'!$A$3:$GG$587,'0.Productos'!CE$1+1,0),"")</f>
        <v/>
      </c>
      <c r="AN226" s="133" t="str">
        <f>IF($A226&lt;&gt;0,VLOOKUP($A226,'0.Productos'!$A$3:$GG$587,'0.Productos'!CF$1+1,0),"")</f>
        <v/>
      </c>
      <c r="AO226" s="133" t="str">
        <f>IF($A226&lt;&gt;0,VLOOKUP($A226,'0.Productos'!$A$3:$GG$587,'0.Productos'!CG$1+1,0),"")</f>
        <v/>
      </c>
      <c r="AP226" s="133" t="str">
        <f>IF($A226&lt;&gt;0,VLOOKUP($A226,'0.Productos'!$A$3:$GG$587,'0.Productos'!CH$1+1,0),"")</f>
        <v/>
      </c>
      <c r="AQ226" s="133" t="str">
        <f>IF($A226&lt;&gt;0,VLOOKUP($A226,'0.Productos'!$A$3:$GG$587,'0.Productos'!CI$1+1,0),"")</f>
        <v/>
      </c>
      <c r="AR226" s="133" t="str">
        <f>IF($A226&lt;&gt;0,VLOOKUP($A226,'0.Productos'!$A$3:$GG$587,'0.Productos'!CJ$1+1,0),"")</f>
        <v/>
      </c>
      <c r="AS226" s="133" t="str">
        <f>IF($A226&lt;&gt;0,VLOOKUP($A226,'0.Productos'!$A$3:$GG$587,'0.Productos'!CK$1+1,0),"")</f>
        <v/>
      </c>
      <c r="AT226" s="133" t="str">
        <f>IF($A226&lt;&gt;0,VLOOKUP($A226,'0.Productos'!$A$3:$GG$587,'0.Productos'!CL$1+1,0),"")</f>
        <v/>
      </c>
      <c r="AU226" s="133" t="str">
        <f>IF($A226&lt;&gt;0,VLOOKUP($A226,'0.Productos'!$A$3:$GG$587,'0.Productos'!CM$1+1,0),"")</f>
        <v/>
      </c>
      <c r="AV226" s="133" t="str">
        <f>IF($A226&lt;&gt;0,VLOOKUP($A226,'0.Productos'!$A$3:$GG$587,'0.Productos'!CN$1+1,0),"")</f>
        <v/>
      </c>
      <c r="AW226" s="133" t="str">
        <f>IF($A226&lt;&gt;0,VLOOKUP($A226,'0.Productos'!$A$3:$GG$587,'0.Productos'!CO$1+1,0),"")</f>
        <v/>
      </c>
      <c r="AX226" s="133" t="str">
        <f>IF($A226&lt;&gt;0,VLOOKUP($A226,'0.Productos'!$A$3:$GG$587,'0.Productos'!CP$1+1,0),"")</f>
        <v/>
      </c>
      <c r="AY226" s="133" t="str">
        <f>IF($A226&lt;&gt;0,VLOOKUP($A226,'0.Productos'!$A$3:$GG$587,'0.Productos'!CQ$1+1,0),"")</f>
        <v/>
      </c>
      <c r="AZ226" s="133" t="str">
        <f>IF($A226&lt;&gt;0,VLOOKUP($A226,'0.Productos'!$A$3:$GG$587,'0.Productos'!CR$1+1,0),"")</f>
        <v/>
      </c>
      <c r="BA226" s="133" t="str">
        <f>IF($A226&lt;&gt;0,VLOOKUP($A226,'0.Productos'!$A$3:$GG$587,'0.Productos'!CS$1+1,0),"")</f>
        <v/>
      </c>
      <c r="BB226" s="133" t="str">
        <f>IF($A226&lt;&gt;0,VLOOKUP($A226,'0.Productos'!$A$3:$GG$587,'0.Productos'!CT$1+1,0),"")</f>
        <v/>
      </c>
      <c r="BC226" s="133" t="str">
        <f>IF($A226&lt;&gt;0,VLOOKUP($A226,'0.Productos'!$A$3:$GG$587,'0.Productos'!CU$1+1,0),"")</f>
        <v/>
      </c>
      <c r="BD226" s="133" t="str">
        <f>IF($A226&lt;&gt;0,VLOOKUP($A226,'0.Productos'!$A$3:$GG$587,'0.Productos'!CV$1+1,0),"")</f>
        <v/>
      </c>
      <c r="BE226" s="133" t="str">
        <f>IF($A226&lt;&gt;0,VLOOKUP($A226,'0.Productos'!$A$3:$GG$587,'0.Productos'!CW$1+1,0),"")</f>
        <v/>
      </c>
      <c r="BF226" s="133" t="str">
        <f>IF($A226&lt;&gt;0,VLOOKUP($A226,'0.Productos'!$A$3:$GG$587,'0.Productos'!CX$1+1,0),"")</f>
        <v/>
      </c>
      <c r="BG226" s="133" t="str">
        <f>IF($A226&lt;&gt;0,VLOOKUP($A226,'0.Productos'!$A$3:$GG$587,'0.Productos'!CY$1+1,0),"")</f>
        <v/>
      </c>
      <c r="BH226" s="133" t="str">
        <f>IF($A226&lt;&gt;0,VLOOKUP($A226,'0.Productos'!$A$3:$GG$587,'0.Productos'!CZ$1+1,0),"")</f>
        <v/>
      </c>
      <c r="BI226" s="133" t="str">
        <f>IF($A226&lt;&gt;0,VLOOKUP($A226,'0.Productos'!$A$3:$GG$587,'0.Productos'!DA$1+1,0),"")</f>
        <v/>
      </c>
      <c r="BJ226" s="133" t="str">
        <f>IF($A226&lt;&gt;0,VLOOKUP($A226,'0.Productos'!$A$3:$GG$587,'0.Productos'!DB$1+1,0),"")</f>
        <v/>
      </c>
      <c r="BK226" s="133" t="str">
        <f>IF($A226&lt;&gt;0,VLOOKUP($A226,'0.Productos'!$A$3:$GG$587,'0.Productos'!DC$1+1,0),"")</f>
        <v/>
      </c>
      <c r="BL226" s="133" t="str">
        <f>IF($A226&lt;&gt;0,VLOOKUP($A226,'0.Productos'!$A$3:$GG$587,'0.Productos'!DD$1+1,0),"")</f>
        <v/>
      </c>
      <c r="BM226" s="133" t="str">
        <f>IF($A226&lt;&gt;0,VLOOKUP($A226,'0.Productos'!$A$3:$GG$587,'0.Productos'!DE$1+1,0),"")</f>
        <v/>
      </c>
      <c r="BN226" s="133" t="str">
        <f>IF($A226&lt;&gt;0,VLOOKUP($A226,'0.Productos'!$A$3:$GG$587,'0.Productos'!DF$1+1,0),"")</f>
        <v/>
      </c>
      <c r="BO226" s="133" t="str">
        <f>IF($A226&lt;&gt;0,VLOOKUP($A226,'0.Productos'!$A$3:$GG$587,'0.Productos'!DG$1+1,0),"")</f>
        <v/>
      </c>
      <c r="BP226" s="133" t="str">
        <f>IF($A226&lt;&gt;0,VLOOKUP($A226,'0.Productos'!$A$3:$GG$587,'0.Productos'!DH$1+1,0),"")</f>
        <v/>
      </c>
      <c r="BQ226" s="133" t="str">
        <f>IF($A226&lt;&gt;0,VLOOKUP($A226,'0.Productos'!$A$3:$GG$587,'0.Productos'!DI$1+1,0),"")</f>
        <v/>
      </c>
      <c r="BR226" s="133" t="str">
        <f>IF($A226&lt;&gt;0,VLOOKUP($A226,'0.Productos'!$A$3:$GG$587,'0.Productos'!DJ$1+1,0),"")</f>
        <v/>
      </c>
      <c r="BS226" s="133" t="str">
        <f>IF($A226&lt;&gt;0,VLOOKUP($A226,'0.Productos'!$A$3:$GG$587,'0.Productos'!DK$1+1,0),"")</f>
        <v/>
      </c>
      <c r="BT226" s="133" t="str">
        <f>IF($A226&lt;&gt;0,VLOOKUP($A226,'0.Productos'!$A$3:$GG$587,'0.Productos'!DL$1+1,0),"")</f>
        <v/>
      </c>
    </row>
    <row r="227" spans="1:72" x14ac:dyDescent="0.25">
      <c r="A227" s="17">
        <f>'0.Consolidado general'!A227</f>
        <v>0</v>
      </c>
      <c r="B227" s="133" t="str">
        <f>IF($A227&lt;&gt;0,VLOOKUP($A227,'0.Productos'!$A$3:$GG$587,'0.Productos'!AT$1+1,0),"")</f>
        <v/>
      </c>
      <c r="C227" s="133" t="str">
        <f>IF($A227&lt;&gt;0,VLOOKUP($A227,'0.Productos'!$A$3:$GG$587,'0.Productos'!AU$1+1,0),"")</f>
        <v/>
      </c>
      <c r="D227" s="133" t="str">
        <f>IF($A227&lt;&gt;0,VLOOKUP($A227,'0.Productos'!$A$3:$GG$587,'0.Productos'!AV$1+1,0),"")</f>
        <v/>
      </c>
      <c r="E227" s="133" t="str">
        <f>IF($A227&lt;&gt;0,VLOOKUP($A227,'0.Productos'!$A$3:$GG$587,'0.Productos'!AW$1+1,0),"")</f>
        <v/>
      </c>
      <c r="F227" s="133" t="str">
        <f>IF($A227&lt;&gt;0,VLOOKUP($A227,'0.Productos'!$A$3:$GG$587,'0.Productos'!AX$1+1,0),"")</f>
        <v/>
      </c>
      <c r="G227" s="133" t="str">
        <f>IF($A227&lt;&gt;0,VLOOKUP($A227,'0.Productos'!$A$3:$GG$587,'0.Productos'!AY$1+1,0),"")</f>
        <v/>
      </c>
      <c r="H227" s="133" t="str">
        <f>IF($A227&lt;&gt;0,VLOOKUP($A227,'0.Productos'!$A$3:$GG$587,'0.Productos'!AZ$1+1,0),"")</f>
        <v/>
      </c>
      <c r="I227" s="133" t="str">
        <f>IF($A227&lt;&gt;0,VLOOKUP($A227,'0.Productos'!$A$3:$GG$587,'0.Productos'!BA$1+1,0),"")</f>
        <v/>
      </c>
      <c r="J227" s="133" t="str">
        <f>IF($A227&lt;&gt;0,VLOOKUP($A227,'0.Productos'!$A$3:$GG$587,'0.Productos'!BB$1+1,0),"")</f>
        <v/>
      </c>
      <c r="K227" s="133" t="str">
        <f>IF($A227&lt;&gt;0,VLOOKUP($A227,'0.Productos'!$A$3:$GG$587,'0.Productos'!BC$1+1,0),"")</f>
        <v/>
      </c>
      <c r="L227" s="133" t="str">
        <f>IF($A227&lt;&gt;0,VLOOKUP($A227,'0.Productos'!$A$3:$GG$587,'0.Productos'!BD$1+1,0),"")</f>
        <v/>
      </c>
      <c r="M227" s="133" t="str">
        <f>IF($A227&lt;&gt;0,VLOOKUP($A227,'0.Productos'!$A$3:$GG$587,'0.Productos'!BE$1+1,0),"")</f>
        <v/>
      </c>
      <c r="N227" s="133" t="str">
        <f>IF($A227&lt;&gt;0,VLOOKUP($A227,'0.Productos'!$A$3:$GG$587,'0.Productos'!BF$1+1,0),"")</f>
        <v/>
      </c>
      <c r="O227" s="133" t="str">
        <f>IF($A227&lt;&gt;0,VLOOKUP($A227,'0.Productos'!$A$3:$GG$587,'0.Productos'!BG$1+1,0),"")</f>
        <v/>
      </c>
      <c r="P227" s="133" t="str">
        <f>IF($A227&lt;&gt;0,VLOOKUP($A227,'0.Productos'!$A$3:$GG$587,'0.Productos'!BH$1+1,0),"")</f>
        <v/>
      </c>
      <c r="Q227" s="133" t="str">
        <f>IF($A227&lt;&gt;0,VLOOKUP($A227,'0.Productos'!$A$3:$GG$587,'0.Productos'!BI$1+1,0),"")</f>
        <v/>
      </c>
      <c r="R227" s="133" t="str">
        <f>IF($A227&lt;&gt;0,VLOOKUP($A227,'0.Productos'!$A$3:$GG$587,'0.Productos'!BJ$1+1,0),"")</f>
        <v/>
      </c>
      <c r="S227" s="133" t="str">
        <f>IF($A227&lt;&gt;0,VLOOKUP($A227,'0.Productos'!$A$3:$GG$587,'0.Productos'!BK$1+1,0),"")</f>
        <v/>
      </c>
      <c r="T227" s="133" t="str">
        <f>IF($A227&lt;&gt;0,VLOOKUP($A227,'0.Productos'!$A$3:$GG$587,'0.Productos'!BL$1+1,0),"")</f>
        <v/>
      </c>
      <c r="U227" s="133" t="str">
        <f>IF($A227&lt;&gt;0,VLOOKUP($A227,'0.Productos'!$A$3:$GG$587,'0.Productos'!BM$1+1,0),"")</f>
        <v/>
      </c>
      <c r="V227" s="133" t="str">
        <f>IF($A227&lt;&gt;0,VLOOKUP($A227,'0.Productos'!$A$3:$GG$587,'0.Productos'!BN$1+1,0),"")</f>
        <v/>
      </c>
      <c r="W227" s="133" t="str">
        <f>IF($A227&lt;&gt;0,VLOOKUP($A227,'0.Productos'!$A$3:$GG$587,'0.Productos'!BO$1+1,0),"")</f>
        <v/>
      </c>
      <c r="X227" s="133" t="str">
        <f>IF($A227&lt;&gt;0,VLOOKUP($A227,'0.Productos'!$A$3:$GG$587,'0.Productos'!BP$1+1,0),"")</f>
        <v/>
      </c>
      <c r="Y227" s="133" t="str">
        <f>IF($A227&lt;&gt;0,VLOOKUP($A227,'0.Productos'!$A$3:$GG$587,'0.Productos'!BQ$1+1,0),"")</f>
        <v/>
      </c>
      <c r="Z227" s="133" t="str">
        <f>IF($A227&lt;&gt;0,VLOOKUP($A227,'0.Productos'!$A$3:$GG$587,'0.Productos'!BR$1+1,0),"")</f>
        <v/>
      </c>
      <c r="AA227" s="133" t="str">
        <f>IF($A227&lt;&gt;0,VLOOKUP($A227,'0.Productos'!$A$3:$GG$587,'0.Productos'!BS$1+1,0),"")</f>
        <v/>
      </c>
      <c r="AB227" s="133" t="str">
        <f>IF($A227&lt;&gt;0,VLOOKUP($A227,'0.Productos'!$A$3:$GG$587,'0.Productos'!BT$1+1,0),"")</f>
        <v/>
      </c>
      <c r="AC227" s="133" t="str">
        <f>IF($A227&lt;&gt;0,VLOOKUP($A227,'0.Productos'!$A$3:$GG$587,'0.Productos'!BU$1+1,0),"")</f>
        <v/>
      </c>
      <c r="AD227" s="133" t="str">
        <f>IF($A227&lt;&gt;0,VLOOKUP($A227,'0.Productos'!$A$3:$GG$587,'0.Productos'!BV$1+1,0),"")</f>
        <v/>
      </c>
      <c r="AE227" s="133" t="str">
        <f>IF($A227&lt;&gt;0,VLOOKUP($A227,'0.Productos'!$A$3:$GG$587,'0.Productos'!BW$1+1,0),"")</f>
        <v/>
      </c>
      <c r="AF227" s="133" t="str">
        <f>IF($A227&lt;&gt;0,VLOOKUP($A227,'0.Productos'!$A$3:$GG$587,'0.Productos'!BX$1+1,0),"")</f>
        <v/>
      </c>
      <c r="AG227" s="133" t="str">
        <f>IF($A227&lt;&gt;0,VLOOKUP($A227,'0.Productos'!$A$3:$GG$587,'0.Productos'!BY$1+1,0),"")</f>
        <v/>
      </c>
      <c r="AH227" s="133" t="str">
        <f>IF($A227&lt;&gt;0,VLOOKUP($A227,'0.Productos'!$A$3:$GG$587,'0.Productos'!BZ$1+1,0),"")</f>
        <v/>
      </c>
      <c r="AI227" s="133" t="str">
        <f>IF($A227&lt;&gt;0,VLOOKUP($A227,'0.Productos'!$A$3:$GG$587,'0.Productos'!CA$1+1,0),"")</f>
        <v/>
      </c>
      <c r="AJ227" s="133" t="str">
        <f>IF($A227&lt;&gt;0,VLOOKUP($A227,'0.Productos'!$A$3:$GG$587,'0.Productos'!CB$1+1,0),"")</f>
        <v/>
      </c>
      <c r="AK227" s="133" t="str">
        <f>IF($A227&lt;&gt;0,VLOOKUP($A227,'0.Productos'!$A$3:$GG$587,'0.Productos'!CC$1+1,0),"")</f>
        <v/>
      </c>
      <c r="AL227" s="133" t="str">
        <f>IF($A227&lt;&gt;0,VLOOKUP($A227,'0.Productos'!$A$3:$GG$587,'0.Productos'!CD$1+1,0),"")</f>
        <v/>
      </c>
      <c r="AM227" s="133" t="str">
        <f>IF($A227&lt;&gt;0,VLOOKUP($A227,'0.Productos'!$A$3:$GG$587,'0.Productos'!CE$1+1,0),"")</f>
        <v/>
      </c>
      <c r="AN227" s="133" t="str">
        <f>IF($A227&lt;&gt;0,VLOOKUP($A227,'0.Productos'!$A$3:$GG$587,'0.Productos'!CF$1+1,0),"")</f>
        <v/>
      </c>
      <c r="AO227" s="133" t="str">
        <f>IF($A227&lt;&gt;0,VLOOKUP($A227,'0.Productos'!$A$3:$GG$587,'0.Productos'!CG$1+1,0),"")</f>
        <v/>
      </c>
      <c r="AP227" s="133" t="str">
        <f>IF($A227&lt;&gt;0,VLOOKUP($A227,'0.Productos'!$A$3:$GG$587,'0.Productos'!CH$1+1,0),"")</f>
        <v/>
      </c>
      <c r="AQ227" s="133" t="str">
        <f>IF($A227&lt;&gt;0,VLOOKUP($A227,'0.Productos'!$A$3:$GG$587,'0.Productos'!CI$1+1,0),"")</f>
        <v/>
      </c>
      <c r="AR227" s="133" t="str">
        <f>IF($A227&lt;&gt;0,VLOOKUP($A227,'0.Productos'!$A$3:$GG$587,'0.Productos'!CJ$1+1,0),"")</f>
        <v/>
      </c>
      <c r="AS227" s="133" t="str">
        <f>IF($A227&lt;&gt;0,VLOOKUP($A227,'0.Productos'!$A$3:$GG$587,'0.Productos'!CK$1+1,0),"")</f>
        <v/>
      </c>
      <c r="AT227" s="133" t="str">
        <f>IF($A227&lt;&gt;0,VLOOKUP($A227,'0.Productos'!$A$3:$GG$587,'0.Productos'!CL$1+1,0),"")</f>
        <v/>
      </c>
      <c r="AU227" s="133" t="str">
        <f>IF($A227&lt;&gt;0,VLOOKUP($A227,'0.Productos'!$A$3:$GG$587,'0.Productos'!CM$1+1,0),"")</f>
        <v/>
      </c>
      <c r="AV227" s="133" t="str">
        <f>IF($A227&lt;&gt;0,VLOOKUP($A227,'0.Productos'!$A$3:$GG$587,'0.Productos'!CN$1+1,0),"")</f>
        <v/>
      </c>
      <c r="AW227" s="133" t="str">
        <f>IF($A227&lt;&gt;0,VLOOKUP($A227,'0.Productos'!$A$3:$GG$587,'0.Productos'!CO$1+1,0),"")</f>
        <v/>
      </c>
      <c r="AX227" s="133" t="str">
        <f>IF($A227&lt;&gt;0,VLOOKUP($A227,'0.Productos'!$A$3:$GG$587,'0.Productos'!CP$1+1,0),"")</f>
        <v/>
      </c>
      <c r="AY227" s="133" t="str">
        <f>IF($A227&lt;&gt;0,VLOOKUP($A227,'0.Productos'!$A$3:$GG$587,'0.Productos'!CQ$1+1,0),"")</f>
        <v/>
      </c>
      <c r="AZ227" s="133" t="str">
        <f>IF($A227&lt;&gt;0,VLOOKUP($A227,'0.Productos'!$A$3:$GG$587,'0.Productos'!CR$1+1,0),"")</f>
        <v/>
      </c>
      <c r="BA227" s="133" t="str">
        <f>IF($A227&lt;&gt;0,VLOOKUP($A227,'0.Productos'!$A$3:$GG$587,'0.Productos'!CS$1+1,0),"")</f>
        <v/>
      </c>
      <c r="BB227" s="133" t="str">
        <f>IF($A227&lt;&gt;0,VLOOKUP($A227,'0.Productos'!$A$3:$GG$587,'0.Productos'!CT$1+1,0),"")</f>
        <v/>
      </c>
      <c r="BC227" s="133" t="str">
        <f>IF($A227&lt;&gt;0,VLOOKUP($A227,'0.Productos'!$A$3:$GG$587,'0.Productos'!CU$1+1,0),"")</f>
        <v/>
      </c>
      <c r="BD227" s="133" t="str">
        <f>IF($A227&lt;&gt;0,VLOOKUP($A227,'0.Productos'!$A$3:$GG$587,'0.Productos'!CV$1+1,0),"")</f>
        <v/>
      </c>
      <c r="BE227" s="133" t="str">
        <f>IF($A227&lt;&gt;0,VLOOKUP($A227,'0.Productos'!$A$3:$GG$587,'0.Productos'!CW$1+1,0),"")</f>
        <v/>
      </c>
      <c r="BF227" s="133" t="str">
        <f>IF($A227&lt;&gt;0,VLOOKUP($A227,'0.Productos'!$A$3:$GG$587,'0.Productos'!CX$1+1,0),"")</f>
        <v/>
      </c>
      <c r="BG227" s="133" t="str">
        <f>IF($A227&lt;&gt;0,VLOOKUP($A227,'0.Productos'!$A$3:$GG$587,'0.Productos'!CY$1+1,0),"")</f>
        <v/>
      </c>
      <c r="BH227" s="133" t="str">
        <f>IF($A227&lt;&gt;0,VLOOKUP($A227,'0.Productos'!$A$3:$GG$587,'0.Productos'!CZ$1+1,0),"")</f>
        <v/>
      </c>
      <c r="BI227" s="133" t="str">
        <f>IF($A227&lt;&gt;0,VLOOKUP($A227,'0.Productos'!$A$3:$GG$587,'0.Productos'!DA$1+1,0),"")</f>
        <v/>
      </c>
      <c r="BJ227" s="133" t="str">
        <f>IF($A227&lt;&gt;0,VLOOKUP($A227,'0.Productos'!$A$3:$GG$587,'0.Productos'!DB$1+1,0),"")</f>
        <v/>
      </c>
      <c r="BK227" s="133" t="str">
        <f>IF($A227&lt;&gt;0,VLOOKUP($A227,'0.Productos'!$A$3:$GG$587,'0.Productos'!DC$1+1,0),"")</f>
        <v/>
      </c>
      <c r="BL227" s="133" t="str">
        <f>IF($A227&lt;&gt;0,VLOOKUP($A227,'0.Productos'!$A$3:$GG$587,'0.Productos'!DD$1+1,0),"")</f>
        <v/>
      </c>
      <c r="BM227" s="133" t="str">
        <f>IF($A227&lt;&gt;0,VLOOKUP($A227,'0.Productos'!$A$3:$GG$587,'0.Productos'!DE$1+1,0),"")</f>
        <v/>
      </c>
      <c r="BN227" s="133" t="str">
        <f>IF($A227&lt;&gt;0,VLOOKUP($A227,'0.Productos'!$A$3:$GG$587,'0.Productos'!DF$1+1,0),"")</f>
        <v/>
      </c>
      <c r="BO227" s="133" t="str">
        <f>IF($A227&lt;&gt;0,VLOOKUP($A227,'0.Productos'!$A$3:$GG$587,'0.Productos'!DG$1+1,0),"")</f>
        <v/>
      </c>
      <c r="BP227" s="133" t="str">
        <f>IF($A227&lt;&gt;0,VLOOKUP($A227,'0.Productos'!$A$3:$GG$587,'0.Productos'!DH$1+1,0),"")</f>
        <v/>
      </c>
      <c r="BQ227" s="133" t="str">
        <f>IF($A227&lt;&gt;0,VLOOKUP($A227,'0.Productos'!$A$3:$GG$587,'0.Productos'!DI$1+1,0),"")</f>
        <v/>
      </c>
      <c r="BR227" s="133" t="str">
        <f>IF($A227&lt;&gt;0,VLOOKUP($A227,'0.Productos'!$A$3:$GG$587,'0.Productos'!DJ$1+1,0),"")</f>
        <v/>
      </c>
      <c r="BS227" s="133" t="str">
        <f>IF($A227&lt;&gt;0,VLOOKUP($A227,'0.Productos'!$A$3:$GG$587,'0.Productos'!DK$1+1,0),"")</f>
        <v/>
      </c>
      <c r="BT227" s="133" t="str">
        <f>IF($A227&lt;&gt;0,VLOOKUP($A227,'0.Productos'!$A$3:$GG$587,'0.Productos'!DL$1+1,0),"")</f>
        <v/>
      </c>
    </row>
    <row r="228" spans="1:72" x14ac:dyDescent="0.25">
      <c r="A228" s="17">
        <f>'0.Consolidado general'!A228</f>
        <v>0</v>
      </c>
      <c r="B228" s="133" t="str">
        <f>IF($A228&lt;&gt;0,VLOOKUP($A228,'0.Productos'!$A$3:$GG$587,'0.Productos'!AT$1+1,0),"")</f>
        <v/>
      </c>
      <c r="C228" s="133" t="str">
        <f>IF($A228&lt;&gt;0,VLOOKUP($A228,'0.Productos'!$A$3:$GG$587,'0.Productos'!AU$1+1,0),"")</f>
        <v/>
      </c>
      <c r="D228" s="133" t="str">
        <f>IF($A228&lt;&gt;0,VLOOKUP($A228,'0.Productos'!$A$3:$GG$587,'0.Productos'!AV$1+1,0),"")</f>
        <v/>
      </c>
      <c r="E228" s="133" t="str">
        <f>IF($A228&lt;&gt;0,VLOOKUP($A228,'0.Productos'!$A$3:$GG$587,'0.Productos'!AW$1+1,0),"")</f>
        <v/>
      </c>
      <c r="F228" s="133" t="str">
        <f>IF($A228&lt;&gt;0,VLOOKUP($A228,'0.Productos'!$A$3:$GG$587,'0.Productos'!AX$1+1,0),"")</f>
        <v/>
      </c>
      <c r="G228" s="133" t="str">
        <f>IF($A228&lt;&gt;0,VLOOKUP($A228,'0.Productos'!$A$3:$GG$587,'0.Productos'!AY$1+1,0),"")</f>
        <v/>
      </c>
      <c r="H228" s="133" t="str">
        <f>IF($A228&lt;&gt;0,VLOOKUP($A228,'0.Productos'!$A$3:$GG$587,'0.Productos'!AZ$1+1,0),"")</f>
        <v/>
      </c>
      <c r="I228" s="133" t="str">
        <f>IF($A228&lt;&gt;0,VLOOKUP($A228,'0.Productos'!$A$3:$GG$587,'0.Productos'!BA$1+1,0),"")</f>
        <v/>
      </c>
      <c r="J228" s="133" t="str">
        <f>IF($A228&lt;&gt;0,VLOOKUP($A228,'0.Productos'!$A$3:$GG$587,'0.Productos'!BB$1+1,0),"")</f>
        <v/>
      </c>
      <c r="K228" s="133" t="str">
        <f>IF($A228&lt;&gt;0,VLOOKUP($A228,'0.Productos'!$A$3:$GG$587,'0.Productos'!BC$1+1,0),"")</f>
        <v/>
      </c>
      <c r="L228" s="133" t="str">
        <f>IF($A228&lt;&gt;0,VLOOKUP($A228,'0.Productos'!$A$3:$GG$587,'0.Productos'!BD$1+1,0),"")</f>
        <v/>
      </c>
      <c r="M228" s="133" t="str">
        <f>IF($A228&lt;&gt;0,VLOOKUP($A228,'0.Productos'!$A$3:$GG$587,'0.Productos'!BE$1+1,0),"")</f>
        <v/>
      </c>
      <c r="N228" s="133" t="str">
        <f>IF($A228&lt;&gt;0,VLOOKUP($A228,'0.Productos'!$A$3:$GG$587,'0.Productos'!BF$1+1,0),"")</f>
        <v/>
      </c>
      <c r="O228" s="133" t="str">
        <f>IF($A228&lt;&gt;0,VLOOKUP($A228,'0.Productos'!$A$3:$GG$587,'0.Productos'!BG$1+1,0),"")</f>
        <v/>
      </c>
      <c r="P228" s="133" t="str">
        <f>IF($A228&lt;&gt;0,VLOOKUP($A228,'0.Productos'!$A$3:$GG$587,'0.Productos'!BH$1+1,0),"")</f>
        <v/>
      </c>
      <c r="Q228" s="133" t="str">
        <f>IF($A228&lt;&gt;0,VLOOKUP($A228,'0.Productos'!$A$3:$GG$587,'0.Productos'!BI$1+1,0),"")</f>
        <v/>
      </c>
      <c r="R228" s="133" t="str">
        <f>IF($A228&lt;&gt;0,VLOOKUP($A228,'0.Productos'!$A$3:$GG$587,'0.Productos'!BJ$1+1,0),"")</f>
        <v/>
      </c>
      <c r="S228" s="133" t="str">
        <f>IF($A228&lt;&gt;0,VLOOKUP($A228,'0.Productos'!$A$3:$GG$587,'0.Productos'!BK$1+1,0),"")</f>
        <v/>
      </c>
      <c r="T228" s="133" t="str">
        <f>IF($A228&lt;&gt;0,VLOOKUP($A228,'0.Productos'!$A$3:$GG$587,'0.Productos'!BL$1+1,0),"")</f>
        <v/>
      </c>
      <c r="U228" s="133" t="str">
        <f>IF($A228&lt;&gt;0,VLOOKUP($A228,'0.Productos'!$A$3:$GG$587,'0.Productos'!BM$1+1,0),"")</f>
        <v/>
      </c>
      <c r="V228" s="133" t="str">
        <f>IF($A228&lt;&gt;0,VLOOKUP($A228,'0.Productos'!$A$3:$GG$587,'0.Productos'!BN$1+1,0),"")</f>
        <v/>
      </c>
      <c r="W228" s="133" t="str">
        <f>IF($A228&lt;&gt;0,VLOOKUP($A228,'0.Productos'!$A$3:$GG$587,'0.Productos'!BO$1+1,0),"")</f>
        <v/>
      </c>
      <c r="X228" s="133" t="str">
        <f>IF($A228&lt;&gt;0,VLOOKUP($A228,'0.Productos'!$A$3:$GG$587,'0.Productos'!BP$1+1,0),"")</f>
        <v/>
      </c>
      <c r="Y228" s="133" t="str">
        <f>IF($A228&lt;&gt;0,VLOOKUP($A228,'0.Productos'!$A$3:$GG$587,'0.Productos'!BQ$1+1,0),"")</f>
        <v/>
      </c>
      <c r="Z228" s="133" t="str">
        <f>IF($A228&lt;&gt;0,VLOOKUP($A228,'0.Productos'!$A$3:$GG$587,'0.Productos'!BR$1+1,0),"")</f>
        <v/>
      </c>
      <c r="AA228" s="133" t="str">
        <f>IF($A228&lt;&gt;0,VLOOKUP($A228,'0.Productos'!$A$3:$GG$587,'0.Productos'!BS$1+1,0),"")</f>
        <v/>
      </c>
      <c r="AB228" s="133" t="str">
        <f>IF($A228&lt;&gt;0,VLOOKUP($A228,'0.Productos'!$A$3:$GG$587,'0.Productos'!BT$1+1,0),"")</f>
        <v/>
      </c>
      <c r="AC228" s="133" t="str">
        <f>IF($A228&lt;&gt;0,VLOOKUP($A228,'0.Productos'!$A$3:$GG$587,'0.Productos'!BU$1+1,0),"")</f>
        <v/>
      </c>
      <c r="AD228" s="133" t="str">
        <f>IF($A228&lt;&gt;0,VLOOKUP($A228,'0.Productos'!$A$3:$GG$587,'0.Productos'!BV$1+1,0),"")</f>
        <v/>
      </c>
      <c r="AE228" s="133" t="str">
        <f>IF($A228&lt;&gt;0,VLOOKUP($A228,'0.Productos'!$A$3:$GG$587,'0.Productos'!BW$1+1,0),"")</f>
        <v/>
      </c>
      <c r="AF228" s="133" t="str">
        <f>IF($A228&lt;&gt;0,VLOOKUP($A228,'0.Productos'!$A$3:$GG$587,'0.Productos'!BX$1+1,0),"")</f>
        <v/>
      </c>
      <c r="AG228" s="133" t="str">
        <f>IF($A228&lt;&gt;0,VLOOKUP($A228,'0.Productos'!$A$3:$GG$587,'0.Productos'!BY$1+1,0),"")</f>
        <v/>
      </c>
      <c r="AH228" s="133" t="str">
        <f>IF($A228&lt;&gt;0,VLOOKUP($A228,'0.Productos'!$A$3:$GG$587,'0.Productos'!BZ$1+1,0),"")</f>
        <v/>
      </c>
      <c r="AI228" s="133" t="str">
        <f>IF($A228&lt;&gt;0,VLOOKUP($A228,'0.Productos'!$A$3:$GG$587,'0.Productos'!CA$1+1,0),"")</f>
        <v/>
      </c>
      <c r="AJ228" s="133" t="str">
        <f>IF($A228&lt;&gt;0,VLOOKUP($A228,'0.Productos'!$A$3:$GG$587,'0.Productos'!CB$1+1,0),"")</f>
        <v/>
      </c>
      <c r="AK228" s="133" t="str">
        <f>IF($A228&lt;&gt;0,VLOOKUP($A228,'0.Productos'!$A$3:$GG$587,'0.Productos'!CC$1+1,0),"")</f>
        <v/>
      </c>
      <c r="AL228" s="133" t="str">
        <f>IF($A228&lt;&gt;0,VLOOKUP($A228,'0.Productos'!$A$3:$GG$587,'0.Productos'!CD$1+1,0),"")</f>
        <v/>
      </c>
      <c r="AM228" s="133" t="str">
        <f>IF($A228&lt;&gt;0,VLOOKUP($A228,'0.Productos'!$A$3:$GG$587,'0.Productos'!CE$1+1,0),"")</f>
        <v/>
      </c>
      <c r="AN228" s="133" t="str">
        <f>IF($A228&lt;&gt;0,VLOOKUP($A228,'0.Productos'!$A$3:$GG$587,'0.Productos'!CF$1+1,0),"")</f>
        <v/>
      </c>
      <c r="AO228" s="133" t="str">
        <f>IF($A228&lt;&gt;0,VLOOKUP($A228,'0.Productos'!$A$3:$GG$587,'0.Productos'!CG$1+1,0),"")</f>
        <v/>
      </c>
      <c r="AP228" s="133" t="str">
        <f>IF($A228&lt;&gt;0,VLOOKUP($A228,'0.Productos'!$A$3:$GG$587,'0.Productos'!CH$1+1,0),"")</f>
        <v/>
      </c>
      <c r="AQ228" s="133" t="str">
        <f>IF($A228&lt;&gt;0,VLOOKUP($A228,'0.Productos'!$A$3:$GG$587,'0.Productos'!CI$1+1,0),"")</f>
        <v/>
      </c>
      <c r="AR228" s="133" t="str">
        <f>IF($A228&lt;&gt;0,VLOOKUP($A228,'0.Productos'!$A$3:$GG$587,'0.Productos'!CJ$1+1,0),"")</f>
        <v/>
      </c>
      <c r="AS228" s="133" t="str">
        <f>IF($A228&lt;&gt;0,VLOOKUP($A228,'0.Productos'!$A$3:$GG$587,'0.Productos'!CK$1+1,0),"")</f>
        <v/>
      </c>
      <c r="AT228" s="133" t="str">
        <f>IF($A228&lt;&gt;0,VLOOKUP($A228,'0.Productos'!$A$3:$GG$587,'0.Productos'!CL$1+1,0),"")</f>
        <v/>
      </c>
      <c r="AU228" s="133" t="str">
        <f>IF($A228&lt;&gt;0,VLOOKUP($A228,'0.Productos'!$A$3:$GG$587,'0.Productos'!CM$1+1,0),"")</f>
        <v/>
      </c>
      <c r="AV228" s="133" t="str">
        <f>IF($A228&lt;&gt;0,VLOOKUP($A228,'0.Productos'!$A$3:$GG$587,'0.Productos'!CN$1+1,0),"")</f>
        <v/>
      </c>
      <c r="AW228" s="133" t="str">
        <f>IF($A228&lt;&gt;0,VLOOKUP($A228,'0.Productos'!$A$3:$GG$587,'0.Productos'!CO$1+1,0),"")</f>
        <v/>
      </c>
      <c r="AX228" s="133" t="str">
        <f>IF($A228&lt;&gt;0,VLOOKUP($A228,'0.Productos'!$A$3:$GG$587,'0.Productos'!CP$1+1,0),"")</f>
        <v/>
      </c>
      <c r="AY228" s="133" t="str">
        <f>IF($A228&lt;&gt;0,VLOOKUP($A228,'0.Productos'!$A$3:$GG$587,'0.Productos'!CQ$1+1,0),"")</f>
        <v/>
      </c>
      <c r="AZ228" s="133" t="str">
        <f>IF($A228&lt;&gt;0,VLOOKUP($A228,'0.Productos'!$A$3:$GG$587,'0.Productos'!CR$1+1,0),"")</f>
        <v/>
      </c>
      <c r="BA228" s="133" t="str">
        <f>IF($A228&lt;&gt;0,VLOOKUP($A228,'0.Productos'!$A$3:$GG$587,'0.Productos'!CS$1+1,0),"")</f>
        <v/>
      </c>
      <c r="BB228" s="133" t="str">
        <f>IF($A228&lt;&gt;0,VLOOKUP($A228,'0.Productos'!$A$3:$GG$587,'0.Productos'!CT$1+1,0),"")</f>
        <v/>
      </c>
      <c r="BC228" s="133" t="str">
        <f>IF($A228&lt;&gt;0,VLOOKUP($A228,'0.Productos'!$A$3:$GG$587,'0.Productos'!CU$1+1,0),"")</f>
        <v/>
      </c>
      <c r="BD228" s="133" t="str">
        <f>IF($A228&lt;&gt;0,VLOOKUP($A228,'0.Productos'!$A$3:$GG$587,'0.Productos'!CV$1+1,0),"")</f>
        <v/>
      </c>
      <c r="BE228" s="133" t="str">
        <f>IF($A228&lt;&gt;0,VLOOKUP($A228,'0.Productos'!$A$3:$GG$587,'0.Productos'!CW$1+1,0),"")</f>
        <v/>
      </c>
      <c r="BF228" s="133" t="str">
        <f>IF($A228&lt;&gt;0,VLOOKUP($A228,'0.Productos'!$A$3:$GG$587,'0.Productos'!CX$1+1,0),"")</f>
        <v/>
      </c>
      <c r="BG228" s="133" t="str">
        <f>IF($A228&lt;&gt;0,VLOOKUP($A228,'0.Productos'!$A$3:$GG$587,'0.Productos'!CY$1+1,0),"")</f>
        <v/>
      </c>
      <c r="BH228" s="133" t="str">
        <f>IF($A228&lt;&gt;0,VLOOKUP($A228,'0.Productos'!$A$3:$GG$587,'0.Productos'!CZ$1+1,0),"")</f>
        <v/>
      </c>
      <c r="BI228" s="133" t="str">
        <f>IF($A228&lt;&gt;0,VLOOKUP($A228,'0.Productos'!$A$3:$GG$587,'0.Productos'!DA$1+1,0),"")</f>
        <v/>
      </c>
      <c r="BJ228" s="133" t="str">
        <f>IF($A228&lt;&gt;0,VLOOKUP($A228,'0.Productos'!$A$3:$GG$587,'0.Productos'!DB$1+1,0),"")</f>
        <v/>
      </c>
      <c r="BK228" s="133" t="str">
        <f>IF($A228&lt;&gt;0,VLOOKUP($A228,'0.Productos'!$A$3:$GG$587,'0.Productos'!DC$1+1,0),"")</f>
        <v/>
      </c>
      <c r="BL228" s="133" t="str">
        <f>IF($A228&lt;&gt;0,VLOOKUP($A228,'0.Productos'!$A$3:$GG$587,'0.Productos'!DD$1+1,0),"")</f>
        <v/>
      </c>
      <c r="BM228" s="133" t="str">
        <f>IF($A228&lt;&gt;0,VLOOKUP($A228,'0.Productos'!$A$3:$GG$587,'0.Productos'!DE$1+1,0),"")</f>
        <v/>
      </c>
      <c r="BN228" s="133" t="str">
        <f>IF($A228&lt;&gt;0,VLOOKUP($A228,'0.Productos'!$A$3:$GG$587,'0.Productos'!DF$1+1,0),"")</f>
        <v/>
      </c>
      <c r="BO228" s="133" t="str">
        <f>IF($A228&lt;&gt;0,VLOOKUP($A228,'0.Productos'!$A$3:$GG$587,'0.Productos'!DG$1+1,0),"")</f>
        <v/>
      </c>
      <c r="BP228" s="133" t="str">
        <f>IF($A228&lt;&gt;0,VLOOKUP($A228,'0.Productos'!$A$3:$GG$587,'0.Productos'!DH$1+1,0),"")</f>
        <v/>
      </c>
      <c r="BQ228" s="133" t="str">
        <f>IF($A228&lt;&gt;0,VLOOKUP($A228,'0.Productos'!$A$3:$GG$587,'0.Productos'!DI$1+1,0),"")</f>
        <v/>
      </c>
      <c r="BR228" s="133" t="str">
        <f>IF($A228&lt;&gt;0,VLOOKUP($A228,'0.Productos'!$A$3:$GG$587,'0.Productos'!DJ$1+1,0),"")</f>
        <v/>
      </c>
      <c r="BS228" s="133" t="str">
        <f>IF($A228&lt;&gt;0,VLOOKUP($A228,'0.Productos'!$A$3:$GG$587,'0.Productos'!DK$1+1,0),"")</f>
        <v/>
      </c>
      <c r="BT228" s="133" t="str">
        <f>IF($A228&lt;&gt;0,VLOOKUP($A228,'0.Productos'!$A$3:$GG$587,'0.Productos'!DL$1+1,0),"")</f>
        <v/>
      </c>
    </row>
    <row r="229" spans="1:72" x14ac:dyDescent="0.25">
      <c r="A229" s="17">
        <f>'0.Consolidado general'!A229</f>
        <v>0</v>
      </c>
      <c r="B229" s="133" t="str">
        <f>IF($A229&lt;&gt;0,VLOOKUP($A229,'0.Productos'!$A$3:$GG$587,'0.Productos'!AT$1+1,0),"")</f>
        <v/>
      </c>
      <c r="C229" s="133" t="str">
        <f>IF($A229&lt;&gt;0,VLOOKUP($A229,'0.Productos'!$A$3:$GG$587,'0.Productos'!AU$1+1,0),"")</f>
        <v/>
      </c>
      <c r="D229" s="133" t="str">
        <f>IF($A229&lt;&gt;0,VLOOKUP($A229,'0.Productos'!$A$3:$GG$587,'0.Productos'!AV$1+1,0),"")</f>
        <v/>
      </c>
      <c r="E229" s="133" t="str">
        <f>IF($A229&lt;&gt;0,VLOOKUP($A229,'0.Productos'!$A$3:$GG$587,'0.Productos'!AW$1+1,0),"")</f>
        <v/>
      </c>
      <c r="F229" s="133" t="str">
        <f>IF($A229&lt;&gt;0,VLOOKUP($A229,'0.Productos'!$A$3:$GG$587,'0.Productos'!AX$1+1,0),"")</f>
        <v/>
      </c>
      <c r="G229" s="133" t="str">
        <f>IF($A229&lt;&gt;0,VLOOKUP($A229,'0.Productos'!$A$3:$GG$587,'0.Productos'!AY$1+1,0),"")</f>
        <v/>
      </c>
      <c r="H229" s="133" t="str">
        <f>IF($A229&lt;&gt;0,VLOOKUP($A229,'0.Productos'!$A$3:$GG$587,'0.Productos'!AZ$1+1,0),"")</f>
        <v/>
      </c>
      <c r="I229" s="133" t="str">
        <f>IF($A229&lt;&gt;0,VLOOKUP($A229,'0.Productos'!$A$3:$GG$587,'0.Productos'!BA$1+1,0),"")</f>
        <v/>
      </c>
      <c r="J229" s="133" t="str">
        <f>IF($A229&lt;&gt;0,VLOOKUP($A229,'0.Productos'!$A$3:$GG$587,'0.Productos'!BB$1+1,0),"")</f>
        <v/>
      </c>
      <c r="K229" s="133" t="str">
        <f>IF($A229&lt;&gt;0,VLOOKUP($A229,'0.Productos'!$A$3:$GG$587,'0.Productos'!BC$1+1,0),"")</f>
        <v/>
      </c>
      <c r="L229" s="133" t="str">
        <f>IF($A229&lt;&gt;0,VLOOKUP($A229,'0.Productos'!$A$3:$GG$587,'0.Productos'!BD$1+1,0),"")</f>
        <v/>
      </c>
      <c r="M229" s="133" t="str">
        <f>IF($A229&lt;&gt;0,VLOOKUP($A229,'0.Productos'!$A$3:$GG$587,'0.Productos'!BE$1+1,0),"")</f>
        <v/>
      </c>
      <c r="N229" s="133" t="str">
        <f>IF($A229&lt;&gt;0,VLOOKUP($A229,'0.Productos'!$A$3:$GG$587,'0.Productos'!BF$1+1,0),"")</f>
        <v/>
      </c>
      <c r="O229" s="133" t="str">
        <f>IF($A229&lt;&gt;0,VLOOKUP($A229,'0.Productos'!$A$3:$GG$587,'0.Productos'!BG$1+1,0),"")</f>
        <v/>
      </c>
      <c r="P229" s="133" t="str">
        <f>IF($A229&lt;&gt;0,VLOOKUP($A229,'0.Productos'!$A$3:$GG$587,'0.Productos'!BH$1+1,0),"")</f>
        <v/>
      </c>
      <c r="Q229" s="133" t="str">
        <f>IF($A229&lt;&gt;0,VLOOKUP($A229,'0.Productos'!$A$3:$GG$587,'0.Productos'!BI$1+1,0),"")</f>
        <v/>
      </c>
      <c r="R229" s="133" t="str">
        <f>IF($A229&lt;&gt;0,VLOOKUP($A229,'0.Productos'!$A$3:$GG$587,'0.Productos'!BJ$1+1,0),"")</f>
        <v/>
      </c>
      <c r="S229" s="133" t="str">
        <f>IF($A229&lt;&gt;0,VLOOKUP($A229,'0.Productos'!$A$3:$GG$587,'0.Productos'!BK$1+1,0),"")</f>
        <v/>
      </c>
      <c r="T229" s="133" t="str">
        <f>IF($A229&lt;&gt;0,VLOOKUP($A229,'0.Productos'!$A$3:$GG$587,'0.Productos'!BL$1+1,0),"")</f>
        <v/>
      </c>
      <c r="U229" s="133" t="str">
        <f>IF($A229&lt;&gt;0,VLOOKUP($A229,'0.Productos'!$A$3:$GG$587,'0.Productos'!BM$1+1,0),"")</f>
        <v/>
      </c>
      <c r="V229" s="133" t="str">
        <f>IF($A229&lt;&gt;0,VLOOKUP($A229,'0.Productos'!$A$3:$GG$587,'0.Productos'!BN$1+1,0),"")</f>
        <v/>
      </c>
      <c r="W229" s="133" t="str">
        <f>IF($A229&lt;&gt;0,VLOOKUP($A229,'0.Productos'!$A$3:$GG$587,'0.Productos'!BO$1+1,0),"")</f>
        <v/>
      </c>
      <c r="X229" s="133" t="str">
        <f>IF($A229&lt;&gt;0,VLOOKUP($A229,'0.Productos'!$A$3:$GG$587,'0.Productos'!BP$1+1,0),"")</f>
        <v/>
      </c>
      <c r="Y229" s="133" t="str">
        <f>IF($A229&lt;&gt;0,VLOOKUP($A229,'0.Productos'!$A$3:$GG$587,'0.Productos'!BQ$1+1,0),"")</f>
        <v/>
      </c>
      <c r="Z229" s="133" t="str">
        <f>IF($A229&lt;&gt;0,VLOOKUP($A229,'0.Productos'!$A$3:$GG$587,'0.Productos'!BR$1+1,0),"")</f>
        <v/>
      </c>
      <c r="AA229" s="133" t="str">
        <f>IF($A229&lt;&gt;0,VLOOKUP($A229,'0.Productos'!$A$3:$GG$587,'0.Productos'!BS$1+1,0),"")</f>
        <v/>
      </c>
      <c r="AB229" s="133" t="str">
        <f>IF($A229&lt;&gt;0,VLOOKUP($A229,'0.Productos'!$A$3:$GG$587,'0.Productos'!BT$1+1,0),"")</f>
        <v/>
      </c>
      <c r="AC229" s="133" t="str">
        <f>IF($A229&lt;&gt;0,VLOOKUP($A229,'0.Productos'!$A$3:$GG$587,'0.Productos'!BU$1+1,0),"")</f>
        <v/>
      </c>
      <c r="AD229" s="133" t="str">
        <f>IF($A229&lt;&gt;0,VLOOKUP($A229,'0.Productos'!$A$3:$GG$587,'0.Productos'!BV$1+1,0),"")</f>
        <v/>
      </c>
      <c r="AE229" s="133" t="str">
        <f>IF($A229&lt;&gt;0,VLOOKUP($A229,'0.Productos'!$A$3:$GG$587,'0.Productos'!BW$1+1,0),"")</f>
        <v/>
      </c>
      <c r="AF229" s="133" t="str">
        <f>IF($A229&lt;&gt;0,VLOOKUP($A229,'0.Productos'!$A$3:$GG$587,'0.Productos'!BX$1+1,0),"")</f>
        <v/>
      </c>
      <c r="AG229" s="133" t="str">
        <f>IF($A229&lt;&gt;0,VLOOKUP($A229,'0.Productos'!$A$3:$GG$587,'0.Productos'!BY$1+1,0),"")</f>
        <v/>
      </c>
      <c r="AH229" s="133" t="str">
        <f>IF($A229&lt;&gt;0,VLOOKUP($A229,'0.Productos'!$A$3:$GG$587,'0.Productos'!BZ$1+1,0),"")</f>
        <v/>
      </c>
      <c r="AI229" s="133" t="str">
        <f>IF($A229&lt;&gt;0,VLOOKUP($A229,'0.Productos'!$A$3:$GG$587,'0.Productos'!CA$1+1,0),"")</f>
        <v/>
      </c>
      <c r="AJ229" s="133" t="str">
        <f>IF($A229&lt;&gt;0,VLOOKUP($A229,'0.Productos'!$A$3:$GG$587,'0.Productos'!CB$1+1,0),"")</f>
        <v/>
      </c>
      <c r="AK229" s="133" t="str">
        <f>IF($A229&lt;&gt;0,VLOOKUP($A229,'0.Productos'!$A$3:$GG$587,'0.Productos'!CC$1+1,0),"")</f>
        <v/>
      </c>
      <c r="AL229" s="133" t="str">
        <f>IF($A229&lt;&gt;0,VLOOKUP($A229,'0.Productos'!$A$3:$GG$587,'0.Productos'!CD$1+1,0),"")</f>
        <v/>
      </c>
      <c r="AM229" s="133" t="str">
        <f>IF($A229&lt;&gt;0,VLOOKUP($A229,'0.Productos'!$A$3:$GG$587,'0.Productos'!CE$1+1,0),"")</f>
        <v/>
      </c>
      <c r="AN229" s="133" t="str">
        <f>IF($A229&lt;&gt;0,VLOOKUP($A229,'0.Productos'!$A$3:$GG$587,'0.Productos'!CF$1+1,0),"")</f>
        <v/>
      </c>
      <c r="AO229" s="133" t="str">
        <f>IF($A229&lt;&gt;0,VLOOKUP($A229,'0.Productos'!$A$3:$GG$587,'0.Productos'!CG$1+1,0),"")</f>
        <v/>
      </c>
      <c r="AP229" s="133" t="str">
        <f>IF($A229&lt;&gt;0,VLOOKUP($A229,'0.Productos'!$A$3:$GG$587,'0.Productos'!CH$1+1,0),"")</f>
        <v/>
      </c>
      <c r="AQ229" s="133" t="str">
        <f>IF($A229&lt;&gt;0,VLOOKUP($A229,'0.Productos'!$A$3:$GG$587,'0.Productos'!CI$1+1,0),"")</f>
        <v/>
      </c>
      <c r="AR229" s="133" t="str">
        <f>IF($A229&lt;&gt;0,VLOOKUP($A229,'0.Productos'!$A$3:$GG$587,'0.Productos'!CJ$1+1,0),"")</f>
        <v/>
      </c>
      <c r="AS229" s="133" t="str">
        <f>IF($A229&lt;&gt;0,VLOOKUP($A229,'0.Productos'!$A$3:$GG$587,'0.Productos'!CK$1+1,0),"")</f>
        <v/>
      </c>
      <c r="AT229" s="133" t="str">
        <f>IF($A229&lt;&gt;0,VLOOKUP($A229,'0.Productos'!$A$3:$GG$587,'0.Productos'!CL$1+1,0),"")</f>
        <v/>
      </c>
      <c r="AU229" s="133" t="str">
        <f>IF($A229&lt;&gt;0,VLOOKUP($A229,'0.Productos'!$A$3:$GG$587,'0.Productos'!CM$1+1,0),"")</f>
        <v/>
      </c>
      <c r="AV229" s="133" t="str">
        <f>IF($A229&lt;&gt;0,VLOOKUP($A229,'0.Productos'!$A$3:$GG$587,'0.Productos'!CN$1+1,0),"")</f>
        <v/>
      </c>
      <c r="AW229" s="133" t="str">
        <f>IF($A229&lt;&gt;0,VLOOKUP($A229,'0.Productos'!$A$3:$GG$587,'0.Productos'!CO$1+1,0),"")</f>
        <v/>
      </c>
      <c r="AX229" s="133" t="str">
        <f>IF($A229&lt;&gt;0,VLOOKUP($A229,'0.Productos'!$A$3:$GG$587,'0.Productos'!CP$1+1,0),"")</f>
        <v/>
      </c>
      <c r="AY229" s="133" t="str">
        <f>IF($A229&lt;&gt;0,VLOOKUP($A229,'0.Productos'!$A$3:$GG$587,'0.Productos'!CQ$1+1,0),"")</f>
        <v/>
      </c>
      <c r="AZ229" s="133" t="str">
        <f>IF($A229&lt;&gt;0,VLOOKUP($A229,'0.Productos'!$A$3:$GG$587,'0.Productos'!CR$1+1,0),"")</f>
        <v/>
      </c>
      <c r="BA229" s="133" t="str">
        <f>IF($A229&lt;&gt;0,VLOOKUP($A229,'0.Productos'!$A$3:$GG$587,'0.Productos'!CS$1+1,0),"")</f>
        <v/>
      </c>
      <c r="BB229" s="133" t="str">
        <f>IF($A229&lt;&gt;0,VLOOKUP($A229,'0.Productos'!$A$3:$GG$587,'0.Productos'!CT$1+1,0),"")</f>
        <v/>
      </c>
      <c r="BC229" s="133" t="str">
        <f>IF($A229&lt;&gt;0,VLOOKUP($A229,'0.Productos'!$A$3:$GG$587,'0.Productos'!CU$1+1,0),"")</f>
        <v/>
      </c>
      <c r="BD229" s="133" t="str">
        <f>IF($A229&lt;&gt;0,VLOOKUP($A229,'0.Productos'!$A$3:$GG$587,'0.Productos'!CV$1+1,0),"")</f>
        <v/>
      </c>
      <c r="BE229" s="133" t="str">
        <f>IF($A229&lt;&gt;0,VLOOKUP($A229,'0.Productos'!$A$3:$GG$587,'0.Productos'!CW$1+1,0),"")</f>
        <v/>
      </c>
      <c r="BF229" s="133" t="str">
        <f>IF($A229&lt;&gt;0,VLOOKUP($A229,'0.Productos'!$A$3:$GG$587,'0.Productos'!CX$1+1,0),"")</f>
        <v/>
      </c>
      <c r="BG229" s="133" t="str">
        <f>IF($A229&lt;&gt;0,VLOOKUP($A229,'0.Productos'!$A$3:$GG$587,'0.Productos'!CY$1+1,0),"")</f>
        <v/>
      </c>
      <c r="BH229" s="133" t="str">
        <f>IF($A229&lt;&gt;0,VLOOKUP($A229,'0.Productos'!$A$3:$GG$587,'0.Productos'!CZ$1+1,0),"")</f>
        <v/>
      </c>
      <c r="BI229" s="133" t="str">
        <f>IF($A229&lt;&gt;0,VLOOKUP($A229,'0.Productos'!$A$3:$GG$587,'0.Productos'!DA$1+1,0),"")</f>
        <v/>
      </c>
      <c r="BJ229" s="133" t="str">
        <f>IF($A229&lt;&gt;0,VLOOKUP($A229,'0.Productos'!$A$3:$GG$587,'0.Productos'!DB$1+1,0),"")</f>
        <v/>
      </c>
      <c r="BK229" s="133" t="str">
        <f>IF($A229&lt;&gt;0,VLOOKUP($A229,'0.Productos'!$A$3:$GG$587,'0.Productos'!DC$1+1,0),"")</f>
        <v/>
      </c>
      <c r="BL229" s="133" t="str">
        <f>IF($A229&lt;&gt;0,VLOOKUP($A229,'0.Productos'!$A$3:$GG$587,'0.Productos'!DD$1+1,0),"")</f>
        <v/>
      </c>
      <c r="BM229" s="133" t="str">
        <f>IF($A229&lt;&gt;0,VLOOKUP($A229,'0.Productos'!$A$3:$GG$587,'0.Productos'!DE$1+1,0),"")</f>
        <v/>
      </c>
      <c r="BN229" s="133" t="str">
        <f>IF($A229&lt;&gt;0,VLOOKUP($A229,'0.Productos'!$A$3:$GG$587,'0.Productos'!DF$1+1,0),"")</f>
        <v/>
      </c>
      <c r="BO229" s="133" t="str">
        <f>IF($A229&lt;&gt;0,VLOOKUP($A229,'0.Productos'!$A$3:$GG$587,'0.Productos'!DG$1+1,0),"")</f>
        <v/>
      </c>
      <c r="BP229" s="133" t="str">
        <f>IF($A229&lt;&gt;0,VLOOKUP($A229,'0.Productos'!$A$3:$GG$587,'0.Productos'!DH$1+1,0),"")</f>
        <v/>
      </c>
      <c r="BQ229" s="133" t="str">
        <f>IF($A229&lt;&gt;0,VLOOKUP($A229,'0.Productos'!$A$3:$GG$587,'0.Productos'!DI$1+1,0),"")</f>
        <v/>
      </c>
      <c r="BR229" s="133" t="str">
        <f>IF($A229&lt;&gt;0,VLOOKUP($A229,'0.Productos'!$A$3:$GG$587,'0.Productos'!DJ$1+1,0),"")</f>
        <v/>
      </c>
      <c r="BS229" s="133" t="str">
        <f>IF($A229&lt;&gt;0,VLOOKUP($A229,'0.Productos'!$A$3:$GG$587,'0.Productos'!DK$1+1,0),"")</f>
        <v/>
      </c>
      <c r="BT229" s="133" t="str">
        <f>IF($A229&lt;&gt;0,VLOOKUP($A229,'0.Productos'!$A$3:$GG$587,'0.Productos'!DL$1+1,0),"")</f>
        <v/>
      </c>
    </row>
    <row r="230" spans="1:72" x14ac:dyDescent="0.25">
      <c r="A230" s="17">
        <f>'0.Consolidado general'!A230</f>
        <v>0</v>
      </c>
      <c r="B230" s="133" t="str">
        <f>IF($A230&lt;&gt;0,VLOOKUP($A230,'0.Productos'!$A$3:$GG$587,'0.Productos'!AT$1+1,0),"")</f>
        <v/>
      </c>
      <c r="C230" s="133" t="str">
        <f>IF($A230&lt;&gt;0,VLOOKUP($A230,'0.Productos'!$A$3:$GG$587,'0.Productos'!AU$1+1,0),"")</f>
        <v/>
      </c>
      <c r="D230" s="133" t="str">
        <f>IF($A230&lt;&gt;0,VLOOKUP($A230,'0.Productos'!$A$3:$GG$587,'0.Productos'!AV$1+1,0),"")</f>
        <v/>
      </c>
      <c r="E230" s="133" t="str">
        <f>IF($A230&lt;&gt;0,VLOOKUP($A230,'0.Productos'!$A$3:$GG$587,'0.Productos'!AW$1+1,0),"")</f>
        <v/>
      </c>
      <c r="F230" s="133" t="str">
        <f>IF($A230&lt;&gt;0,VLOOKUP($A230,'0.Productos'!$A$3:$GG$587,'0.Productos'!AX$1+1,0),"")</f>
        <v/>
      </c>
      <c r="G230" s="133" t="str">
        <f>IF($A230&lt;&gt;0,VLOOKUP($A230,'0.Productos'!$A$3:$GG$587,'0.Productos'!AY$1+1,0),"")</f>
        <v/>
      </c>
      <c r="H230" s="133" t="str">
        <f>IF($A230&lt;&gt;0,VLOOKUP($A230,'0.Productos'!$A$3:$GG$587,'0.Productos'!AZ$1+1,0),"")</f>
        <v/>
      </c>
      <c r="I230" s="133" t="str">
        <f>IF($A230&lt;&gt;0,VLOOKUP($A230,'0.Productos'!$A$3:$GG$587,'0.Productos'!BA$1+1,0),"")</f>
        <v/>
      </c>
      <c r="J230" s="133" t="str">
        <f>IF($A230&lt;&gt;0,VLOOKUP($A230,'0.Productos'!$A$3:$GG$587,'0.Productos'!BB$1+1,0),"")</f>
        <v/>
      </c>
      <c r="K230" s="133" t="str">
        <f>IF($A230&lt;&gt;0,VLOOKUP($A230,'0.Productos'!$A$3:$GG$587,'0.Productos'!BC$1+1,0),"")</f>
        <v/>
      </c>
      <c r="L230" s="133" t="str">
        <f>IF($A230&lt;&gt;0,VLOOKUP($A230,'0.Productos'!$A$3:$GG$587,'0.Productos'!BD$1+1,0),"")</f>
        <v/>
      </c>
      <c r="M230" s="133" t="str">
        <f>IF($A230&lt;&gt;0,VLOOKUP($A230,'0.Productos'!$A$3:$GG$587,'0.Productos'!BE$1+1,0),"")</f>
        <v/>
      </c>
      <c r="N230" s="133" t="str">
        <f>IF($A230&lt;&gt;0,VLOOKUP($A230,'0.Productos'!$A$3:$GG$587,'0.Productos'!BF$1+1,0),"")</f>
        <v/>
      </c>
      <c r="O230" s="133" t="str">
        <f>IF($A230&lt;&gt;0,VLOOKUP($A230,'0.Productos'!$A$3:$GG$587,'0.Productos'!BG$1+1,0),"")</f>
        <v/>
      </c>
      <c r="P230" s="133" t="str">
        <f>IF($A230&lt;&gt;0,VLOOKUP($A230,'0.Productos'!$A$3:$GG$587,'0.Productos'!BH$1+1,0),"")</f>
        <v/>
      </c>
      <c r="Q230" s="133" t="str">
        <f>IF($A230&lt;&gt;0,VLOOKUP($A230,'0.Productos'!$A$3:$GG$587,'0.Productos'!BI$1+1,0),"")</f>
        <v/>
      </c>
      <c r="R230" s="133" t="str">
        <f>IF($A230&lt;&gt;0,VLOOKUP($A230,'0.Productos'!$A$3:$GG$587,'0.Productos'!BJ$1+1,0),"")</f>
        <v/>
      </c>
      <c r="S230" s="133" t="str">
        <f>IF($A230&lt;&gt;0,VLOOKUP($A230,'0.Productos'!$A$3:$GG$587,'0.Productos'!BK$1+1,0),"")</f>
        <v/>
      </c>
      <c r="T230" s="133" t="str">
        <f>IF($A230&lt;&gt;0,VLOOKUP($A230,'0.Productos'!$A$3:$GG$587,'0.Productos'!BL$1+1,0),"")</f>
        <v/>
      </c>
      <c r="U230" s="133" t="str">
        <f>IF($A230&lt;&gt;0,VLOOKUP($A230,'0.Productos'!$A$3:$GG$587,'0.Productos'!BM$1+1,0),"")</f>
        <v/>
      </c>
      <c r="V230" s="133" t="str">
        <f>IF($A230&lt;&gt;0,VLOOKUP($A230,'0.Productos'!$A$3:$GG$587,'0.Productos'!BN$1+1,0),"")</f>
        <v/>
      </c>
      <c r="W230" s="133" t="str">
        <f>IF($A230&lt;&gt;0,VLOOKUP($A230,'0.Productos'!$A$3:$GG$587,'0.Productos'!BO$1+1,0),"")</f>
        <v/>
      </c>
      <c r="X230" s="133" t="str">
        <f>IF($A230&lt;&gt;0,VLOOKUP($A230,'0.Productos'!$A$3:$GG$587,'0.Productos'!BP$1+1,0),"")</f>
        <v/>
      </c>
      <c r="Y230" s="133" t="str">
        <f>IF($A230&lt;&gt;0,VLOOKUP($A230,'0.Productos'!$A$3:$GG$587,'0.Productos'!BQ$1+1,0),"")</f>
        <v/>
      </c>
      <c r="Z230" s="133" t="str">
        <f>IF($A230&lt;&gt;0,VLOOKUP($A230,'0.Productos'!$A$3:$GG$587,'0.Productos'!BR$1+1,0),"")</f>
        <v/>
      </c>
      <c r="AA230" s="133" t="str">
        <f>IF($A230&lt;&gt;0,VLOOKUP($A230,'0.Productos'!$A$3:$GG$587,'0.Productos'!BS$1+1,0),"")</f>
        <v/>
      </c>
      <c r="AB230" s="133" t="str">
        <f>IF($A230&lt;&gt;0,VLOOKUP($A230,'0.Productos'!$A$3:$GG$587,'0.Productos'!BT$1+1,0),"")</f>
        <v/>
      </c>
      <c r="AC230" s="133" t="str">
        <f>IF($A230&lt;&gt;0,VLOOKUP($A230,'0.Productos'!$A$3:$GG$587,'0.Productos'!BU$1+1,0),"")</f>
        <v/>
      </c>
      <c r="AD230" s="133" t="str">
        <f>IF($A230&lt;&gt;0,VLOOKUP($A230,'0.Productos'!$A$3:$GG$587,'0.Productos'!BV$1+1,0),"")</f>
        <v/>
      </c>
      <c r="AE230" s="133" t="str">
        <f>IF($A230&lt;&gt;0,VLOOKUP($A230,'0.Productos'!$A$3:$GG$587,'0.Productos'!BW$1+1,0),"")</f>
        <v/>
      </c>
      <c r="AF230" s="133" t="str">
        <f>IF($A230&lt;&gt;0,VLOOKUP($A230,'0.Productos'!$A$3:$GG$587,'0.Productos'!BX$1+1,0),"")</f>
        <v/>
      </c>
      <c r="AG230" s="133" t="str">
        <f>IF($A230&lt;&gt;0,VLOOKUP($A230,'0.Productos'!$A$3:$GG$587,'0.Productos'!BY$1+1,0),"")</f>
        <v/>
      </c>
      <c r="AH230" s="133" t="str">
        <f>IF($A230&lt;&gt;0,VLOOKUP($A230,'0.Productos'!$A$3:$GG$587,'0.Productos'!BZ$1+1,0),"")</f>
        <v/>
      </c>
      <c r="AI230" s="133" t="str">
        <f>IF($A230&lt;&gt;0,VLOOKUP($A230,'0.Productos'!$A$3:$GG$587,'0.Productos'!CA$1+1,0),"")</f>
        <v/>
      </c>
      <c r="AJ230" s="133" t="str">
        <f>IF($A230&lt;&gt;0,VLOOKUP($A230,'0.Productos'!$A$3:$GG$587,'0.Productos'!CB$1+1,0),"")</f>
        <v/>
      </c>
      <c r="AK230" s="133" t="str">
        <f>IF($A230&lt;&gt;0,VLOOKUP($A230,'0.Productos'!$A$3:$GG$587,'0.Productos'!CC$1+1,0),"")</f>
        <v/>
      </c>
      <c r="AL230" s="133" t="str">
        <f>IF($A230&lt;&gt;0,VLOOKUP($A230,'0.Productos'!$A$3:$GG$587,'0.Productos'!CD$1+1,0),"")</f>
        <v/>
      </c>
      <c r="AM230" s="133" t="str">
        <f>IF($A230&lt;&gt;0,VLOOKUP($A230,'0.Productos'!$A$3:$GG$587,'0.Productos'!CE$1+1,0),"")</f>
        <v/>
      </c>
      <c r="AN230" s="133" t="str">
        <f>IF($A230&lt;&gt;0,VLOOKUP($A230,'0.Productos'!$A$3:$GG$587,'0.Productos'!CF$1+1,0),"")</f>
        <v/>
      </c>
      <c r="AO230" s="133" t="str">
        <f>IF($A230&lt;&gt;0,VLOOKUP($A230,'0.Productos'!$A$3:$GG$587,'0.Productos'!CG$1+1,0),"")</f>
        <v/>
      </c>
      <c r="AP230" s="133" t="str">
        <f>IF($A230&lt;&gt;0,VLOOKUP($A230,'0.Productos'!$A$3:$GG$587,'0.Productos'!CH$1+1,0),"")</f>
        <v/>
      </c>
      <c r="AQ230" s="133" t="str">
        <f>IF($A230&lt;&gt;0,VLOOKUP($A230,'0.Productos'!$A$3:$GG$587,'0.Productos'!CI$1+1,0),"")</f>
        <v/>
      </c>
      <c r="AR230" s="133" t="str">
        <f>IF($A230&lt;&gt;0,VLOOKUP($A230,'0.Productos'!$A$3:$GG$587,'0.Productos'!CJ$1+1,0),"")</f>
        <v/>
      </c>
      <c r="AS230" s="133" t="str">
        <f>IF($A230&lt;&gt;0,VLOOKUP($A230,'0.Productos'!$A$3:$GG$587,'0.Productos'!CK$1+1,0),"")</f>
        <v/>
      </c>
      <c r="AT230" s="133" t="str">
        <f>IF($A230&lt;&gt;0,VLOOKUP($A230,'0.Productos'!$A$3:$GG$587,'0.Productos'!CL$1+1,0),"")</f>
        <v/>
      </c>
      <c r="AU230" s="133" t="str">
        <f>IF($A230&lt;&gt;0,VLOOKUP($A230,'0.Productos'!$A$3:$GG$587,'0.Productos'!CM$1+1,0),"")</f>
        <v/>
      </c>
      <c r="AV230" s="133" t="str">
        <f>IF($A230&lt;&gt;0,VLOOKUP($A230,'0.Productos'!$A$3:$GG$587,'0.Productos'!CN$1+1,0),"")</f>
        <v/>
      </c>
      <c r="AW230" s="133" t="str">
        <f>IF($A230&lt;&gt;0,VLOOKUP($A230,'0.Productos'!$A$3:$GG$587,'0.Productos'!CO$1+1,0),"")</f>
        <v/>
      </c>
      <c r="AX230" s="133" t="str">
        <f>IF($A230&lt;&gt;0,VLOOKUP($A230,'0.Productos'!$A$3:$GG$587,'0.Productos'!CP$1+1,0),"")</f>
        <v/>
      </c>
      <c r="AY230" s="133" t="str">
        <f>IF($A230&lt;&gt;0,VLOOKUP($A230,'0.Productos'!$A$3:$GG$587,'0.Productos'!CQ$1+1,0),"")</f>
        <v/>
      </c>
      <c r="AZ230" s="133" t="str">
        <f>IF($A230&lt;&gt;0,VLOOKUP($A230,'0.Productos'!$A$3:$GG$587,'0.Productos'!CR$1+1,0),"")</f>
        <v/>
      </c>
      <c r="BA230" s="133" t="str">
        <f>IF($A230&lt;&gt;0,VLOOKUP($A230,'0.Productos'!$A$3:$GG$587,'0.Productos'!CS$1+1,0),"")</f>
        <v/>
      </c>
      <c r="BB230" s="133" t="str">
        <f>IF($A230&lt;&gt;0,VLOOKUP($A230,'0.Productos'!$A$3:$GG$587,'0.Productos'!CT$1+1,0),"")</f>
        <v/>
      </c>
      <c r="BC230" s="133" t="str">
        <f>IF($A230&lt;&gt;0,VLOOKUP($A230,'0.Productos'!$A$3:$GG$587,'0.Productos'!CU$1+1,0),"")</f>
        <v/>
      </c>
      <c r="BD230" s="133" t="str">
        <f>IF($A230&lt;&gt;0,VLOOKUP($A230,'0.Productos'!$A$3:$GG$587,'0.Productos'!CV$1+1,0),"")</f>
        <v/>
      </c>
      <c r="BE230" s="133" t="str">
        <f>IF($A230&lt;&gt;0,VLOOKUP($A230,'0.Productos'!$A$3:$GG$587,'0.Productos'!CW$1+1,0),"")</f>
        <v/>
      </c>
      <c r="BF230" s="133" t="str">
        <f>IF($A230&lt;&gt;0,VLOOKUP($A230,'0.Productos'!$A$3:$GG$587,'0.Productos'!CX$1+1,0),"")</f>
        <v/>
      </c>
      <c r="BG230" s="133" t="str">
        <f>IF($A230&lt;&gt;0,VLOOKUP($A230,'0.Productos'!$A$3:$GG$587,'0.Productos'!CY$1+1,0),"")</f>
        <v/>
      </c>
      <c r="BH230" s="133" t="str">
        <f>IF($A230&lt;&gt;0,VLOOKUP($A230,'0.Productos'!$A$3:$GG$587,'0.Productos'!CZ$1+1,0),"")</f>
        <v/>
      </c>
      <c r="BI230" s="133" t="str">
        <f>IF($A230&lt;&gt;0,VLOOKUP($A230,'0.Productos'!$A$3:$GG$587,'0.Productos'!DA$1+1,0),"")</f>
        <v/>
      </c>
      <c r="BJ230" s="133" t="str">
        <f>IF($A230&lt;&gt;0,VLOOKUP($A230,'0.Productos'!$A$3:$GG$587,'0.Productos'!DB$1+1,0),"")</f>
        <v/>
      </c>
      <c r="BK230" s="133" t="str">
        <f>IF($A230&lt;&gt;0,VLOOKUP($A230,'0.Productos'!$A$3:$GG$587,'0.Productos'!DC$1+1,0),"")</f>
        <v/>
      </c>
      <c r="BL230" s="133" t="str">
        <f>IF($A230&lt;&gt;0,VLOOKUP($A230,'0.Productos'!$A$3:$GG$587,'0.Productos'!DD$1+1,0),"")</f>
        <v/>
      </c>
      <c r="BM230" s="133" t="str">
        <f>IF($A230&lt;&gt;0,VLOOKUP($A230,'0.Productos'!$A$3:$GG$587,'0.Productos'!DE$1+1,0),"")</f>
        <v/>
      </c>
      <c r="BN230" s="133" t="str">
        <f>IF($A230&lt;&gt;0,VLOOKUP($A230,'0.Productos'!$A$3:$GG$587,'0.Productos'!DF$1+1,0),"")</f>
        <v/>
      </c>
      <c r="BO230" s="133" t="str">
        <f>IF($A230&lt;&gt;0,VLOOKUP($A230,'0.Productos'!$A$3:$GG$587,'0.Productos'!DG$1+1,0),"")</f>
        <v/>
      </c>
      <c r="BP230" s="133" t="str">
        <f>IF($A230&lt;&gt;0,VLOOKUP($A230,'0.Productos'!$A$3:$GG$587,'0.Productos'!DH$1+1,0),"")</f>
        <v/>
      </c>
      <c r="BQ230" s="133" t="str">
        <f>IF($A230&lt;&gt;0,VLOOKUP($A230,'0.Productos'!$A$3:$GG$587,'0.Productos'!DI$1+1,0),"")</f>
        <v/>
      </c>
      <c r="BR230" s="133" t="str">
        <f>IF($A230&lt;&gt;0,VLOOKUP($A230,'0.Productos'!$A$3:$GG$587,'0.Productos'!DJ$1+1,0),"")</f>
        <v/>
      </c>
      <c r="BS230" s="133" t="str">
        <f>IF($A230&lt;&gt;0,VLOOKUP($A230,'0.Productos'!$A$3:$GG$587,'0.Productos'!DK$1+1,0),"")</f>
        <v/>
      </c>
      <c r="BT230" s="133" t="str">
        <f>IF($A230&lt;&gt;0,VLOOKUP($A230,'0.Productos'!$A$3:$GG$587,'0.Productos'!DL$1+1,0),"")</f>
        <v/>
      </c>
    </row>
    <row r="231" spans="1:72" x14ac:dyDescent="0.25">
      <c r="A231" s="17">
        <f>'0.Consolidado general'!A231</f>
        <v>0</v>
      </c>
      <c r="B231" s="133" t="str">
        <f>IF($A231&lt;&gt;0,VLOOKUP($A231,'0.Productos'!$A$3:$GG$587,'0.Productos'!AT$1+1,0),"")</f>
        <v/>
      </c>
      <c r="C231" s="133" t="str">
        <f>IF($A231&lt;&gt;0,VLOOKUP($A231,'0.Productos'!$A$3:$GG$587,'0.Productos'!AU$1+1,0),"")</f>
        <v/>
      </c>
      <c r="D231" s="133" t="str">
        <f>IF($A231&lt;&gt;0,VLOOKUP($A231,'0.Productos'!$A$3:$GG$587,'0.Productos'!AV$1+1,0),"")</f>
        <v/>
      </c>
      <c r="E231" s="133" t="str">
        <f>IF($A231&lt;&gt;0,VLOOKUP($A231,'0.Productos'!$A$3:$GG$587,'0.Productos'!AW$1+1,0),"")</f>
        <v/>
      </c>
      <c r="F231" s="133" t="str">
        <f>IF($A231&lt;&gt;0,VLOOKUP($A231,'0.Productos'!$A$3:$GG$587,'0.Productos'!AX$1+1,0),"")</f>
        <v/>
      </c>
      <c r="G231" s="133" t="str">
        <f>IF($A231&lt;&gt;0,VLOOKUP($A231,'0.Productos'!$A$3:$GG$587,'0.Productos'!AY$1+1,0),"")</f>
        <v/>
      </c>
      <c r="H231" s="133" t="str">
        <f>IF($A231&lt;&gt;0,VLOOKUP($A231,'0.Productos'!$A$3:$GG$587,'0.Productos'!AZ$1+1,0),"")</f>
        <v/>
      </c>
      <c r="I231" s="133" t="str">
        <f>IF($A231&lt;&gt;0,VLOOKUP($A231,'0.Productos'!$A$3:$GG$587,'0.Productos'!BA$1+1,0),"")</f>
        <v/>
      </c>
      <c r="J231" s="133" t="str">
        <f>IF($A231&lt;&gt;0,VLOOKUP($A231,'0.Productos'!$A$3:$GG$587,'0.Productos'!BB$1+1,0),"")</f>
        <v/>
      </c>
      <c r="K231" s="133" t="str">
        <f>IF($A231&lt;&gt;0,VLOOKUP($A231,'0.Productos'!$A$3:$GG$587,'0.Productos'!BC$1+1,0),"")</f>
        <v/>
      </c>
      <c r="L231" s="133" t="str">
        <f>IF($A231&lt;&gt;0,VLOOKUP($A231,'0.Productos'!$A$3:$GG$587,'0.Productos'!BD$1+1,0),"")</f>
        <v/>
      </c>
      <c r="M231" s="133" t="str">
        <f>IF($A231&lt;&gt;0,VLOOKUP($A231,'0.Productos'!$A$3:$GG$587,'0.Productos'!BE$1+1,0),"")</f>
        <v/>
      </c>
      <c r="N231" s="133" t="str">
        <f>IF($A231&lt;&gt;0,VLOOKUP($A231,'0.Productos'!$A$3:$GG$587,'0.Productos'!BF$1+1,0),"")</f>
        <v/>
      </c>
      <c r="O231" s="133" t="str">
        <f>IF($A231&lt;&gt;0,VLOOKUP($A231,'0.Productos'!$A$3:$GG$587,'0.Productos'!BG$1+1,0),"")</f>
        <v/>
      </c>
      <c r="P231" s="133" t="str">
        <f>IF($A231&lt;&gt;0,VLOOKUP($A231,'0.Productos'!$A$3:$GG$587,'0.Productos'!BH$1+1,0),"")</f>
        <v/>
      </c>
      <c r="Q231" s="133" t="str">
        <f>IF($A231&lt;&gt;0,VLOOKUP($A231,'0.Productos'!$A$3:$GG$587,'0.Productos'!BI$1+1,0),"")</f>
        <v/>
      </c>
      <c r="R231" s="133" t="str">
        <f>IF($A231&lt;&gt;0,VLOOKUP($A231,'0.Productos'!$A$3:$GG$587,'0.Productos'!BJ$1+1,0),"")</f>
        <v/>
      </c>
      <c r="S231" s="133" t="str">
        <f>IF($A231&lt;&gt;0,VLOOKUP($A231,'0.Productos'!$A$3:$GG$587,'0.Productos'!BK$1+1,0),"")</f>
        <v/>
      </c>
      <c r="T231" s="133" t="str">
        <f>IF($A231&lt;&gt;0,VLOOKUP($A231,'0.Productos'!$A$3:$GG$587,'0.Productos'!BL$1+1,0),"")</f>
        <v/>
      </c>
      <c r="U231" s="133" t="str">
        <f>IF($A231&lt;&gt;0,VLOOKUP($A231,'0.Productos'!$A$3:$GG$587,'0.Productos'!BM$1+1,0),"")</f>
        <v/>
      </c>
      <c r="V231" s="133" t="str">
        <f>IF($A231&lt;&gt;0,VLOOKUP($A231,'0.Productos'!$A$3:$GG$587,'0.Productos'!BN$1+1,0),"")</f>
        <v/>
      </c>
      <c r="W231" s="133" t="str">
        <f>IF($A231&lt;&gt;0,VLOOKUP($A231,'0.Productos'!$A$3:$GG$587,'0.Productos'!BO$1+1,0),"")</f>
        <v/>
      </c>
      <c r="X231" s="133" t="str">
        <f>IF($A231&lt;&gt;0,VLOOKUP($A231,'0.Productos'!$A$3:$GG$587,'0.Productos'!BP$1+1,0),"")</f>
        <v/>
      </c>
      <c r="Y231" s="133" t="str">
        <f>IF($A231&lt;&gt;0,VLOOKUP($A231,'0.Productos'!$A$3:$GG$587,'0.Productos'!BQ$1+1,0),"")</f>
        <v/>
      </c>
      <c r="Z231" s="133" t="str">
        <f>IF($A231&lt;&gt;0,VLOOKUP($A231,'0.Productos'!$A$3:$GG$587,'0.Productos'!BR$1+1,0),"")</f>
        <v/>
      </c>
      <c r="AA231" s="133" t="str">
        <f>IF($A231&lt;&gt;0,VLOOKUP($A231,'0.Productos'!$A$3:$GG$587,'0.Productos'!BS$1+1,0),"")</f>
        <v/>
      </c>
      <c r="AB231" s="133" t="str">
        <f>IF($A231&lt;&gt;0,VLOOKUP($A231,'0.Productos'!$A$3:$GG$587,'0.Productos'!BT$1+1,0),"")</f>
        <v/>
      </c>
      <c r="AC231" s="133" t="str">
        <f>IF($A231&lt;&gt;0,VLOOKUP($A231,'0.Productos'!$A$3:$GG$587,'0.Productos'!BU$1+1,0),"")</f>
        <v/>
      </c>
      <c r="AD231" s="133" t="str">
        <f>IF($A231&lt;&gt;0,VLOOKUP($A231,'0.Productos'!$A$3:$GG$587,'0.Productos'!BV$1+1,0),"")</f>
        <v/>
      </c>
      <c r="AE231" s="133" t="str">
        <f>IF($A231&lt;&gt;0,VLOOKUP($A231,'0.Productos'!$A$3:$GG$587,'0.Productos'!BW$1+1,0),"")</f>
        <v/>
      </c>
      <c r="AF231" s="133" t="str">
        <f>IF($A231&lt;&gt;0,VLOOKUP($A231,'0.Productos'!$A$3:$GG$587,'0.Productos'!BX$1+1,0),"")</f>
        <v/>
      </c>
      <c r="AG231" s="133" t="str">
        <f>IF($A231&lt;&gt;0,VLOOKUP($A231,'0.Productos'!$A$3:$GG$587,'0.Productos'!BY$1+1,0),"")</f>
        <v/>
      </c>
      <c r="AH231" s="133" t="str">
        <f>IF($A231&lt;&gt;0,VLOOKUP($A231,'0.Productos'!$A$3:$GG$587,'0.Productos'!BZ$1+1,0),"")</f>
        <v/>
      </c>
      <c r="AI231" s="133" t="str">
        <f>IF($A231&lt;&gt;0,VLOOKUP($A231,'0.Productos'!$A$3:$GG$587,'0.Productos'!CA$1+1,0),"")</f>
        <v/>
      </c>
      <c r="AJ231" s="133" t="str">
        <f>IF($A231&lt;&gt;0,VLOOKUP($A231,'0.Productos'!$A$3:$GG$587,'0.Productos'!CB$1+1,0),"")</f>
        <v/>
      </c>
      <c r="AK231" s="133" t="str">
        <f>IF($A231&lt;&gt;0,VLOOKUP($A231,'0.Productos'!$A$3:$GG$587,'0.Productos'!CC$1+1,0),"")</f>
        <v/>
      </c>
      <c r="AL231" s="133" t="str">
        <f>IF($A231&lt;&gt;0,VLOOKUP($A231,'0.Productos'!$A$3:$GG$587,'0.Productos'!CD$1+1,0),"")</f>
        <v/>
      </c>
      <c r="AM231" s="133" t="str">
        <f>IF($A231&lt;&gt;0,VLOOKUP($A231,'0.Productos'!$A$3:$GG$587,'0.Productos'!CE$1+1,0),"")</f>
        <v/>
      </c>
      <c r="AN231" s="133" t="str">
        <f>IF($A231&lt;&gt;0,VLOOKUP($A231,'0.Productos'!$A$3:$GG$587,'0.Productos'!CF$1+1,0),"")</f>
        <v/>
      </c>
      <c r="AO231" s="133" t="str">
        <f>IF($A231&lt;&gt;0,VLOOKUP($A231,'0.Productos'!$A$3:$GG$587,'0.Productos'!CG$1+1,0),"")</f>
        <v/>
      </c>
      <c r="AP231" s="133" t="str">
        <f>IF($A231&lt;&gt;0,VLOOKUP($A231,'0.Productos'!$A$3:$GG$587,'0.Productos'!CH$1+1,0),"")</f>
        <v/>
      </c>
      <c r="AQ231" s="133" t="str">
        <f>IF($A231&lt;&gt;0,VLOOKUP($A231,'0.Productos'!$A$3:$GG$587,'0.Productos'!CI$1+1,0),"")</f>
        <v/>
      </c>
      <c r="AR231" s="133" t="str">
        <f>IF($A231&lt;&gt;0,VLOOKUP($A231,'0.Productos'!$A$3:$GG$587,'0.Productos'!CJ$1+1,0),"")</f>
        <v/>
      </c>
      <c r="AS231" s="133" t="str">
        <f>IF($A231&lt;&gt;0,VLOOKUP($A231,'0.Productos'!$A$3:$GG$587,'0.Productos'!CK$1+1,0),"")</f>
        <v/>
      </c>
      <c r="AT231" s="133" t="str">
        <f>IF($A231&lt;&gt;0,VLOOKUP($A231,'0.Productos'!$A$3:$GG$587,'0.Productos'!CL$1+1,0),"")</f>
        <v/>
      </c>
      <c r="AU231" s="133" t="str">
        <f>IF($A231&lt;&gt;0,VLOOKUP($A231,'0.Productos'!$A$3:$GG$587,'0.Productos'!CM$1+1,0),"")</f>
        <v/>
      </c>
      <c r="AV231" s="133" t="str">
        <f>IF($A231&lt;&gt;0,VLOOKUP($A231,'0.Productos'!$A$3:$GG$587,'0.Productos'!CN$1+1,0),"")</f>
        <v/>
      </c>
      <c r="AW231" s="133" t="str">
        <f>IF($A231&lt;&gt;0,VLOOKUP($A231,'0.Productos'!$A$3:$GG$587,'0.Productos'!CO$1+1,0),"")</f>
        <v/>
      </c>
      <c r="AX231" s="133" t="str">
        <f>IF($A231&lt;&gt;0,VLOOKUP($A231,'0.Productos'!$A$3:$GG$587,'0.Productos'!CP$1+1,0),"")</f>
        <v/>
      </c>
      <c r="AY231" s="133" t="str">
        <f>IF($A231&lt;&gt;0,VLOOKUP($A231,'0.Productos'!$A$3:$GG$587,'0.Productos'!CQ$1+1,0),"")</f>
        <v/>
      </c>
      <c r="AZ231" s="133" t="str">
        <f>IF($A231&lt;&gt;0,VLOOKUP($A231,'0.Productos'!$A$3:$GG$587,'0.Productos'!CR$1+1,0),"")</f>
        <v/>
      </c>
      <c r="BA231" s="133" t="str">
        <f>IF($A231&lt;&gt;0,VLOOKUP($A231,'0.Productos'!$A$3:$GG$587,'0.Productos'!CS$1+1,0),"")</f>
        <v/>
      </c>
      <c r="BB231" s="133" t="str">
        <f>IF($A231&lt;&gt;0,VLOOKUP($A231,'0.Productos'!$A$3:$GG$587,'0.Productos'!CT$1+1,0),"")</f>
        <v/>
      </c>
      <c r="BC231" s="133" t="str">
        <f>IF($A231&lt;&gt;0,VLOOKUP($A231,'0.Productos'!$A$3:$GG$587,'0.Productos'!CU$1+1,0),"")</f>
        <v/>
      </c>
      <c r="BD231" s="133" t="str">
        <f>IF($A231&lt;&gt;0,VLOOKUP($A231,'0.Productos'!$A$3:$GG$587,'0.Productos'!CV$1+1,0),"")</f>
        <v/>
      </c>
      <c r="BE231" s="133" t="str">
        <f>IF($A231&lt;&gt;0,VLOOKUP($A231,'0.Productos'!$A$3:$GG$587,'0.Productos'!CW$1+1,0),"")</f>
        <v/>
      </c>
      <c r="BF231" s="133" t="str">
        <f>IF($A231&lt;&gt;0,VLOOKUP($A231,'0.Productos'!$A$3:$GG$587,'0.Productos'!CX$1+1,0),"")</f>
        <v/>
      </c>
      <c r="BG231" s="133" t="str">
        <f>IF($A231&lt;&gt;0,VLOOKUP($A231,'0.Productos'!$A$3:$GG$587,'0.Productos'!CY$1+1,0),"")</f>
        <v/>
      </c>
      <c r="BH231" s="133" t="str">
        <f>IF($A231&lt;&gt;0,VLOOKUP($A231,'0.Productos'!$A$3:$GG$587,'0.Productos'!CZ$1+1,0),"")</f>
        <v/>
      </c>
      <c r="BI231" s="133" t="str">
        <f>IF($A231&lt;&gt;0,VLOOKUP($A231,'0.Productos'!$A$3:$GG$587,'0.Productos'!DA$1+1,0),"")</f>
        <v/>
      </c>
      <c r="BJ231" s="133" t="str">
        <f>IF($A231&lt;&gt;0,VLOOKUP($A231,'0.Productos'!$A$3:$GG$587,'0.Productos'!DB$1+1,0),"")</f>
        <v/>
      </c>
      <c r="BK231" s="133" t="str">
        <f>IF($A231&lt;&gt;0,VLOOKUP($A231,'0.Productos'!$A$3:$GG$587,'0.Productos'!DC$1+1,0),"")</f>
        <v/>
      </c>
      <c r="BL231" s="133" t="str">
        <f>IF($A231&lt;&gt;0,VLOOKUP($A231,'0.Productos'!$A$3:$GG$587,'0.Productos'!DD$1+1,0),"")</f>
        <v/>
      </c>
      <c r="BM231" s="133" t="str">
        <f>IF($A231&lt;&gt;0,VLOOKUP($A231,'0.Productos'!$A$3:$GG$587,'0.Productos'!DE$1+1,0),"")</f>
        <v/>
      </c>
      <c r="BN231" s="133" t="str">
        <f>IF($A231&lt;&gt;0,VLOOKUP($A231,'0.Productos'!$A$3:$GG$587,'0.Productos'!DF$1+1,0),"")</f>
        <v/>
      </c>
      <c r="BO231" s="133" t="str">
        <f>IF($A231&lt;&gt;0,VLOOKUP($A231,'0.Productos'!$A$3:$GG$587,'0.Productos'!DG$1+1,0),"")</f>
        <v/>
      </c>
      <c r="BP231" s="133" t="str">
        <f>IF($A231&lt;&gt;0,VLOOKUP($A231,'0.Productos'!$A$3:$GG$587,'0.Productos'!DH$1+1,0),"")</f>
        <v/>
      </c>
      <c r="BQ231" s="133" t="str">
        <f>IF($A231&lt;&gt;0,VLOOKUP($A231,'0.Productos'!$A$3:$GG$587,'0.Productos'!DI$1+1,0),"")</f>
        <v/>
      </c>
      <c r="BR231" s="133" t="str">
        <f>IF($A231&lt;&gt;0,VLOOKUP($A231,'0.Productos'!$A$3:$GG$587,'0.Productos'!DJ$1+1,0),"")</f>
        <v/>
      </c>
      <c r="BS231" s="133" t="str">
        <f>IF($A231&lt;&gt;0,VLOOKUP($A231,'0.Productos'!$A$3:$GG$587,'0.Productos'!DK$1+1,0),"")</f>
        <v/>
      </c>
      <c r="BT231" s="133" t="str">
        <f>IF($A231&lt;&gt;0,VLOOKUP($A231,'0.Productos'!$A$3:$GG$587,'0.Productos'!DL$1+1,0),"")</f>
        <v/>
      </c>
    </row>
    <row r="232" spans="1:72" x14ac:dyDescent="0.25">
      <c r="A232" s="17">
        <f>'0.Consolidado general'!A232</f>
        <v>0</v>
      </c>
      <c r="B232" s="133" t="str">
        <f>IF($A232&lt;&gt;0,VLOOKUP($A232,'0.Productos'!$A$3:$GG$587,'0.Productos'!AT$1+1,0),"")</f>
        <v/>
      </c>
      <c r="C232" s="133" t="str">
        <f>IF($A232&lt;&gt;0,VLOOKUP($A232,'0.Productos'!$A$3:$GG$587,'0.Productos'!AU$1+1,0),"")</f>
        <v/>
      </c>
      <c r="D232" s="133" t="str">
        <f>IF($A232&lt;&gt;0,VLOOKUP($A232,'0.Productos'!$A$3:$GG$587,'0.Productos'!AV$1+1,0),"")</f>
        <v/>
      </c>
      <c r="E232" s="133" t="str">
        <f>IF($A232&lt;&gt;0,VLOOKUP($A232,'0.Productos'!$A$3:$GG$587,'0.Productos'!AW$1+1,0),"")</f>
        <v/>
      </c>
      <c r="F232" s="133" t="str">
        <f>IF($A232&lt;&gt;0,VLOOKUP($A232,'0.Productos'!$A$3:$GG$587,'0.Productos'!AX$1+1,0),"")</f>
        <v/>
      </c>
      <c r="G232" s="133" t="str">
        <f>IF($A232&lt;&gt;0,VLOOKUP($A232,'0.Productos'!$A$3:$GG$587,'0.Productos'!AY$1+1,0),"")</f>
        <v/>
      </c>
      <c r="H232" s="133" t="str">
        <f>IF($A232&lt;&gt;0,VLOOKUP($A232,'0.Productos'!$A$3:$GG$587,'0.Productos'!AZ$1+1,0),"")</f>
        <v/>
      </c>
      <c r="I232" s="133" t="str">
        <f>IF($A232&lt;&gt;0,VLOOKUP($A232,'0.Productos'!$A$3:$GG$587,'0.Productos'!BA$1+1,0),"")</f>
        <v/>
      </c>
      <c r="J232" s="133" t="str">
        <f>IF($A232&lt;&gt;0,VLOOKUP($A232,'0.Productos'!$A$3:$GG$587,'0.Productos'!BB$1+1,0),"")</f>
        <v/>
      </c>
      <c r="K232" s="133" t="str">
        <f>IF($A232&lt;&gt;0,VLOOKUP($A232,'0.Productos'!$A$3:$GG$587,'0.Productos'!BC$1+1,0),"")</f>
        <v/>
      </c>
      <c r="L232" s="133" t="str">
        <f>IF($A232&lt;&gt;0,VLOOKUP($A232,'0.Productos'!$A$3:$GG$587,'0.Productos'!BD$1+1,0),"")</f>
        <v/>
      </c>
      <c r="M232" s="133" t="str">
        <f>IF($A232&lt;&gt;0,VLOOKUP($A232,'0.Productos'!$A$3:$GG$587,'0.Productos'!BE$1+1,0),"")</f>
        <v/>
      </c>
      <c r="N232" s="133" t="str">
        <f>IF($A232&lt;&gt;0,VLOOKUP($A232,'0.Productos'!$A$3:$GG$587,'0.Productos'!BF$1+1,0),"")</f>
        <v/>
      </c>
      <c r="O232" s="133" t="str">
        <f>IF($A232&lt;&gt;0,VLOOKUP($A232,'0.Productos'!$A$3:$GG$587,'0.Productos'!BG$1+1,0),"")</f>
        <v/>
      </c>
      <c r="P232" s="133" t="str">
        <f>IF($A232&lt;&gt;0,VLOOKUP($A232,'0.Productos'!$A$3:$GG$587,'0.Productos'!BH$1+1,0),"")</f>
        <v/>
      </c>
      <c r="Q232" s="133" t="str">
        <f>IF($A232&lt;&gt;0,VLOOKUP($A232,'0.Productos'!$A$3:$GG$587,'0.Productos'!BI$1+1,0),"")</f>
        <v/>
      </c>
      <c r="R232" s="133" t="str">
        <f>IF($A232&lt;&gt;0,VLOOKUP($A232,'0.Productos'!$A$3:$GG$587,'0.Productos'!BJ$1+1,0),"")</f>
        <v/>
      </c>
      <c r="S232" s="133" t="str">
        <f>IF($A232&lt;&gt;0,VLOOKUP($A232,'0.Productos'!$A$3:$GG$587,'0.Productos'!BK$1+1,0),"")</f>
        <v/>
      </c>
      <c r="T232" s="133" t="str">
        <f>IF($A232&lt;&gt;0,VLOOKUP($A232,'0.Productos'!$A$3:$GG$587,'0.Productos'!BL$1+1,0),"")</f>
        <v/>
      </c>
      <c r="U232" s="133" t="str">
        <f>IF($A232&lt;&gt;0,VLOOKUP($A232,'0.Productos'!$A$3:$GG$587,'0.Productos'!BM$1+1,0),"")</f>
        <v/>
      </c>
      <c r="V232" s="133" t="str">
        <f>IF($A232&lt;&gt;0,VLOOKUP($A232,'0.Productos'!$A$3:$GG$587,'0.Productos'!BN$1+1,0),"")</f>
        <v/>
      </c>
      <c r="W232" s="133" t="str">
        <f>IF($A232&lt;&gt;0,VLOOKUP($A232,'0.Productos'!$A$3:$GG$587,'0.Productos'!BO$1+1,0),"")</f>
        <v/>
      </c>
      <c r="X232" s="133" t="str">
        <f>IF($A232&lt;&gt;0,VLOOKUP($A232,'0.Productos'!$A$3:$GG$587,'0.Productos'!BP$1+1,0),"")</f>
        <v/>
      </c>
      <c r="Y232" s="133" t="str">
        <f>IF($A232&lt;&gt;0,VLOOKUP($A232,'0.Productos'!$A$3:$GG$587,'0.Productos'!BQ$1+1,0),"")</f>
        <v/>
      </c>
      <c r="Z232" s="133" t="str">
        <f>IF($A232&lt;&gt;0,VLOOKUP($A232,'0.Productos'!$A$3:$GG$587,'0.Productos'!BR$1+1,0),"")</f>
        <v/>
      </c>
      <c r="AA232" s="133" t="str">
        <f>IF($A232&lt;&gt;0,VLOOKUP($A232,'0.Productos'!$A$3:$GG$587,'0.Productos'!BS$1+1,0),"")</f>
        <v/>
      </c>
      <c r="AB232" s="133" t="str">
        <f>IF($A232&lt;&gt;0,VLOOKUP($A232,'0.Productos'!$A$3:$GG$587,'0.Productos'!BT$1+1,0),"")</f>
        <v/>
      </c>
      <c r="AC232" s="133" t="str">
        <f>IF($A232&lt;&gt;0,VLOOKUP($A232,'0.Productos'!$A$3:$GG$587,'0.Productos'!BU$1+1,0),"")</f>
        <v/>
      </c>
      <c r="AD232" s="133" t="str">
        <f>IF($A232&lt;&gt;0,VLOOKUP($A232,'0.Productos'!$A$3:$GG$587,'0.Productos'!BV$1+1,0),"")</f>
        <v/>
      </c>
      <c r="AE232" s="133" t="str">
        <f>IF($A232&lt;&gt;0,VLOOKUP($A232,'0.Productos'!$A$3:$GG$587,'0.Productos'!BW$1+1,0),"")</f>
        <v/>
      </c>
      <c r="AF232" s="133" t="str">
        <f>IF($A232&lt;&gt;0,VLOOKUP($A232,'0.Productos'!$A$3:$GG$587,'0.Productos'!BX$1+1,0),"")</f>
        <v/>
      </c>
      <c r="AG232" s="133" t="str">
        <f>IF($A232&lt;&gt;0,VLOOKUP($A232,'0.Productos'!$A$3:$GG$587,'0.Productos'!BY$1+1,0),"")</f>
        <v/>
      </c>
      <c r="AH232" s="133" t="str">
        <f>IF($A232&lt;&gt;0,VLOOKUP($A232,'0.Productos'!$A$3:$GG$587,'0.Productos'!BZ$1+1,0),"")</f>
        <v/>
      </c>
      <c r="AI232" s="133" t="str">
        <f>IF($A232&lt;&gt;0,VLOOKUP($A232,'0.Productos'!$A$3:$GG$587,'0.Productos'!CA$1+1,0),"")</f>
        <v/>
      </c>
      <c r="AJ232" s="133" t="str">
        <f>IF($A232&lt;&gt;0,VLOOKUP($A232,'0.Productos'!$A$3:$GG$587,'0.Productos'!CB$1+1,0),"")</f>
        <v/>
      </c>
      <c r="AK232" s="133" t="str">
        <f>IF($A232&lt;&gt;0,VLOOKUP($A232,'0.Productos'!$A$3:$GG$587,'0.Productos'!CC$1+1,0),"")</f>
        <v/>
      </c>
      <c r="AL232" s="133" t="str">
        <f>IF($A232&lt;&gt;0,VLOOKUP($A232,'0.Productos'!$A$3:$GG$587,'0.Productos'!CD$1+1,0),"")</f>
        <v/>
      </c>
      <c r="AM232" s="133" t="str">
        <f>IF($A232&lt;&gt;0,VLOOKUP($A232,'0.Productos'!$A$3:$GG$587,'0.Productos'!CE$1+1,0),"")</f>
        <v/>
      </c>
      <c r="AN232" s="133" t="str">
        <f>IF($A232&lt;&gt;0,VLOOKUP($A232,'0.Productos'!$A$3:$GG$587,'0.Productos'!CF$1+1,0),"")</f>
        <v/>
      </c>
      <c r="AO232" s="133" t="str">
        <f>IF($A232&lt;&gt;0,VLOOKUP($A232,'0.Productos'!$A$3:$GG$587,'0.Productos'!CG$1+1,0),"")</f>
        <v/>
      </c>
      <c r="AP232" s="133" t="str">
        <f>IF($A232&lt;&gt;0,VLOOKUP($A232,'0.Productos'!$A$3:$GG$587,'0.Productos'!CH$1+1,0),"")</f>
        <v/>
      </c>
      <c r="AQ232" s="133" t="str">
        <f>IF($A232&lt;&gt;0,VLOOKUP($A232,'0.Productos'!$A$3:$GG$587,'0.Productos'!CI$1+1,0),"")</f>
        <v/>
      </c>
      <c r="AR232" s="133" t="str">
        <f>IF($A232&lt;&gt;0,VLOOKUP($A232,'0.Productos'!$A$3:$GG$587,'0.Productos'!CJ$1+1,0),"")</f>
        <v/>
      </c>
      <c r="AS232" s="133" t="str">
        <f>IF($A232&lt;&gt;0,VLOOKUP($A232,'0.Productos'!$A$3:$GG$587,'0.Productos'!CK$1+1,0),"")</f>
        <v/>
      </c>
      <c r="AT232" s="133" t="str">
        <f>IF($A232&lt;&gt;0,VLOOKUP($A232,'0.Productos'!$A$3:$GG$587,'0.Productos'!CL$1+1,0),"")</f>
        <v/>
      </c>
      <c r="AU232" s="133" t="str">
        <f>IF($A232&lt;&gt;0,VLOOKUP($A232,'0.Productos'!$A$3:$GG$587,'0.Productos'!CM$1+1,0),"")</f>
        <v/>
      </c>
      <c r="AV232" s="133" t="str">
        <f>IF($A232&lt;&gt;0,VLOOKUP($A232,'0.Productos'!$A$3:$GG$587,'0.Productos'!CN$1+1,0),"")</f>
        <v/>
      </c>
      <c r="AW232" s="133" t="str">
        <f>IF($A232&lt;&gt;0,VLOOKUP($A232,'0.Productos'!$A$3:$GG$587,'0.Productos'!CO$1+1,0),"")</f>
        <v/>
      </c>
      <c r="AX232" s="133" t="str">
        <f>IF($A232&lt;&gt;0,VLOOKUP($A232,'0.Productos'!$A$3:$GG$587,'0.Productos'!CP$1+1,0),"")</f>
        <v/>
      </c>
      <c r="AY232" s="133" t="str">
        <f>IF($A232&lt;&gt;0,VLOOKUP($A232,'0.Productos'!$A$3:$GG$587,'0.Productos'!CQ$1+1,0),"")</f>
        <v/>
      </c>
      <c r="AZ232" s="133" t="str">
        <f>IF($A232&lt;&gt;0,VLOOKUP($A232,'0.Productos'!$A$3:$GG$587,'0.Productos'!CR$1+1,0),"")</f>
        <v/>
      </c>
      <c r="BA232" s="133" t="str">
        <f>IF($A232&lt;&gt;0,VLOOKUP($A232,'0.Productos'!$A$3:$GG$587,'0.Productos'!CS$1+1,0),"")</f>
        <v/>
      </c>
      <c r="BB232" s="133" t="str">
        <f>IF($A232&lt;&gt;0,VLOOKUP($A232,'0.Productos'!$A$3:$GG$587,'0.Productos'!CT$1+1,0),"")</f>
        <v/>
      </c>
      <c r="BC232" s="133" t="str">
        <f>IF($A232&lt;&gt;0,VLOOKUP($A232,'0.Productos'!$A$3:$GG$587,'0.Productos'!CU$1+1,0),"")</f>
        <v/>
      </c>
      <c r="BD232" s="133" t="str">
        <f>IF($A232&lt;&gt;0,VLOOKUP($A232,'0.Productos'!$A$3:$GG$587,'0.Productos'!CV$1+1,0),"")</f>
        <v/>
      </c>
      <c r="BE232" s="133" t="str">
        <f>IF($A232&lt;&gt;0,VLOOKUP($A232,'0.Productos'!$A$3:$GG$587,'0.Productos'!CW$1+1,0),"")</f>
        <v/>
      </c>
      <c r="BF232" s="133" t="str">
        <f>IF($A232&lt;&gt;0,VLOOKUP($A232,'0.Productos'!$A$3:$GG$587,'0.Productos'!CX$1+1,0),"")</f>
        <v/>
      </c>
      <c r="BG232" s="133" t="str">
        <f>IF($A232&lt;&gt;0,VLOOKUP($A232,'0.Productos'!$A$3:$GG$587,'0.Productos'!CY$1+1,0),"")</f>
        <v/>
      </c>
      <c r="BH232" s="133" t="str">
        <f>IF($A232&lt;&gt;0,VLOOKUP($A232,'0.Productos'!$A$3:$GG$587,'0.Productos'!CZ$1+1,0),"")</f>
        <v/>
      </c>
      <c r="BI232" s="133" t="str">
        <f>IF($A232&lt;&gt;0,VLOOKUP($A232,'0.Productos'!$A$3:$GG$587,'0.Productos'!DA$1+1,0),"")</f>
        <v/>
      </c>
      <c r="BJ232" s="133" t="str">
        <f>IF($A232&lt;&gt;0,VLOOKUP($A232,'0.Productos'!$A$3:$GG$587,'0.Productos'!DB$1+1,0),"")</f>
        <v/>
      </c>
      <c r="BK232" s="133" t="str">
        <f>IF($A232&lt;&gt;0,VLOOKUP($A232,'0.Productos'!$A$3:$GG$587,'0.Productos'!DC$1+1,0),"")</f>
        <v/>
      </c>
      <c r="BL232" s="133" t="str">
        <f>IF($A232&lt;&gt;0,VLOOKUP($A232,'0.Productos'!$A$3:$GG$587,'0.Productos'!DD$1+1,0),"")</f>
        <v/>
      </c>
      <c r="BM232" s="133" t="str">
        <f>IF($A232&lt;&gt;0,VLOOKUP($A232,'0.Productos'!$A$3:$GG$587,'0.Productos'!DE$1+1,0),"")</f>
        <v/>
      </c>
      <c r="BN232" s="133" t="str">
        <f>IF($A232&lt;&gt;0,VLOOKUP($A232,'0.Productos'!$A$3:$GG$587,'0.Productos'!DF$1+1,0),"")</f>
        <v/>
      </c>
      <c r="BO232" s="133" t="str">
        <f>IF($A232&lt;&gt;0,VLOOKUP($A232,'0.Productos'!$A$3:$GG$587,'0.Productos'!DG$1+1,0),"")</f>
        <v/>
      </c>
      <c r="BP232" s="133" t="str">
        <f>IF($A232&lt;&gt;0,VLOOKUP($A232,'0.Productos'!$A$3:$GG$587,'0.Productos'!DH$1+1,0),"")</f>
        <v/>
      </c>
      <c r="BQ232" s="133" t="str">
        <f>IF($A232&lt;&gt;0,VLOOKUP($A232,'0.Productos'!$A$3:$GG$587,'0.Productos'!DI$1+1,0),"")</f>
        <v/>
      </c>
      <c r="BR232" s="133" t="str">
        <f>IF($A232&lt;&gt;0,VLOOKUP($A232,'0.Productos'!$A$3:$GG$587,'0.Productos'!DJ$1+1,0),"")</f>
        <v/>
      </c>
      <c r="BS232" s="133" t="str">
        <f>IF($A232&lt;&gt;0,VLOOKUP($A232,'0.Productos'!$A$3:$GG$587,'0.Productos'!DK$1+1,0),"")</f>
        <v/>
      </c>
      <c r="BT232" s="133" t="str">
        <f>IF($A232&lt;&gt;0,VLOOKUP($A232,'0.Productos'!$A$3:$GG$587,'0.Productos'!DL$1+1,0),"")</f>
        <v/>
      </c>
    </row>
    <row r="233" spans="1:72" x14ac:dyDescent="0.25">
      <c r="A233" s="17">
        <f>'0.Consolidado general'!A233</f>
        <v>0</v>
      </c>
      <c r="B233" s="133" t="str">
        <f>IF($A233&lt;&gt;0,VLOOKUP($A233,'0.Productos'!$A$3:$GG$587,'0.Productos'!AT$1+1,0),"")</f>
        <v/>
      </c>
      <c r="C233" s="133" t="str">
        <f>IF($A233&lt;&gt;0,VLOOKUP($A233,'0.Productos'!$A$3:$GG$587,'0.Productos'!AU$1+1,0),"")</f>
        <v/>
      </c>
      <c r="D233" s="133" t="str">
        <f>IF($A233&lt;&gt;0,VLOOKUP($A233,'0.Productos'!$A$3:$GG$587,'0.Productos'!AV$1+1,0),"")</f>
        <v/>
      </c>
      <c r="E233" s="133" t="str">
        <f>IF($A233&lt;&gt;0,VLOOKUP($A233,'0.Productos'!$A$3:$GG$587,'0.Productos'!AW$1+1,0),"")</f>
        <v/>
      </c>
      <c r="F233" s="133" t="str">
        <f>IF($A233&lt;&gt;0,VLOOKUP($A233,'0.Productos'!$A$3:$GG$587,'0.Productos'!AX$1+1,0),"")</f>
        <v/>
      </c>
      <c r="G233" s="133" t="str">
        <f>IF($A233&lt;&gt;0,VLOOKUP($A233,'0.Productos'!$A$3:$GG$587,'0.Productos'!AY$1+1,0),"")</f>
        <v/>
      </c>
      <c r="H233" s="133" t="str">
        <f>IF($A233&lt;&gt;0,VLOOKUP($A233,'0.Productos'!$A$3:$GG$587,'0.Productos'!AZ$1+1,0),"")</f>
        <v/>
      </c>
      <c r="I233" s="133" t="str">
        <f>IF($A233&lt;&gt;0,VLOOKUP($A233,'0.Productos'!$A$3:$GG$587,'0.Productos'!BA$1+1,0),"")</f>
        <v/>
      </c>
      <c r="J233" s="133" t="str">
        <f>IF($A233&lt;&gt;0,VLOOKUP($A233,'0.Productos'!$A$3:$GG$587,'0.Productos'!BB$1+1,0),"")</f>
        <v/>
      </c>
      <c r="K233" s="133" t="str">
        <f>IF($A233&lt;&gt;0,VLOOKUP($A233,'0.Productos'!$A$3:$GG$587,'0.Productos'!BC$1+1,0),"")</f>
        <v/>
      </c>
      <c r="L233" s="133" t="str">
        <f>IF($A233&lt;&gt;0,VLOOKUP($A233,'0.Productos'!$A$3:$GG$587,'0.Productos'!BD$1+1,0),"")</f>
        <v/>
      </c>
      <c r="M233" s="133" t="str">
        <f>IF($A233&lt;&gt;0,VLOOKUP($A233,'0.Productos'!$A$3:$GG$587,'0.Productos'!BE$1+1,0),"")</f>
        <v/>
      </c>
      <c r="N233" s="133" t="str">
        <f>IF($A233&lt;&gt;0,VLOOKUP($A233,'0.Productos'!$A$3:$GG$587,'0.Productos'!BF$1+1,0),"")</f>
        <v/>
      </c>
      <c r="O233" s="133" t="str">
        <f>IF($A233&lt;&gt;0,VLOOKUP($A233,'0.Productos'!$A$3:$GG$587,'0.Productos'!BG$1+1,0),"")</f>
        <v/>
      </c>
      <c r="P233" s="133" t="str">
        <f>IF($A233&lt;&gt;0,VLOOKUP($A233,'0.Productos'!$A$3:$GG$587,'0.Productos'!BH$1+1,0),"")</f>
        <v/>
      </c>
      <c r="Q233" s="133" t="str">
        <f>IF($A233&lt;&gt;0,VLOOKUP($A233,'0.Productos'!$A$3:$GG$587,'0.Productos'!BI$1+1,0),"")</f>
        <v/>
      </c>
      <c r="R233" s="133" t="str">
        <f>IF($A233&lt;&gt;0,VLOOKUP($A233,'0.Productos'!$A$3:$GG$587,'0.Productos'!BJ$1+1,0),"")</f>
        <v/>
      </c>
      <c r="S233" s="133" t="str">
        <f>IF($A233&lt;&gt;0,VLOOKUP($A233,'0.Productos'!$A$3:$GG$587,'0.Productos'!BK$1+1,0),"")</f>
        <v/>
      </c>
      <c r="T233" s="133" t="str">
        <f>IF($A233&lt;&gt;0,VLOOKUP($A233,'0.Productos'!$A$3:$GG$587,'0.Productos'!BL$1+1,0),"")</f>
        <v/>
      </c>
      <c r="U233" s="133" t="str">
        <f>IF($A233&lt;&gt;0,VLOOKUP($A233,'0.Productos'!$A$3:$GG$587,'0.Productos'!BM$1+1,0),"")</f>
        <v/>
      </c>
      <c r="V233" s="133" t="str">
        <f>IF($A233&lt;&gt;0,VLOOKUP($A233,'0.Productos'!$A$3:$GG$587,'0.Productos'!BN$1+1,0),"")</f>
        <v/>
      </c>
      <c r="W233" s="133" t="str">
        <f>IF($A233&lt;&gt;0,VLOOKUP($A233,'0.Productos'!$A$3:$GG$587,'0.Productos'!BO$1+1,0),"")</f>
        <v/>
      </c>
      <c r="X233" s="133" t="str">
        <f>IF($A233&lt;&gt;0,VLOOKUP($A233,'0.Productos'!$A$3:$GG$587,'0.Productos'!BP$1+1,0),"")</f>
        <v/>
      </c>
      <c r="Y233" s="133" t="str">
        <f>IF($A233&lt;&gt;0,VLOOKUP($A233,'0.Productos'!$A$3:$GG$587,'0.Productos'!BQ$1+1,0),"")</f>
        <v/>
      </c>
      <c r="Z233" s="133" t="str">
        <f>IF($A233&lt;&gt;0,VLOOKUP($A233,'0.Productos'!$A$3:$GG$587,'0.Productos'!BR$1+1,0),"")</f>
        <v/>
      </c>
      <c r="AA233" s="133" t="str">
        <f>IF($A233&lt;&gt;0,VLOOKUP($A233,'0.Productos'!$A$3:$GG$587,'0.Productos'!BS$1+1,0),"")</f>
        <v/>
      </c>
      <c r="AB233" s="133" t="str">
        <f>IF($A233&lt;&gt;0,VLOOKUP($A233,'0.Productos'!$A$3:$GG$587,'0.Productos'!BT$1+1,0),"")</f>
        <v/>
      </c>
      <c r="AC233" s="133" t="str">
        <f>IF($A233&lt;&gt;0,VLOOKUP($A233,'0.Productos'!$A$3:$GG$587,'0.Productos'!BU$1+1,0),"")</f>
        <v/>
      </c>
      <c r="AD233" s="133" t="str">
        <f>IF($A233&lt;&gt;0,VLOOKUP($A233,'0.Productos'!$A$3:$GG$587,'0.Productos'!BV$1+1,0),"")</f>
        <v/>
      </c>
      <c r="AE233" s="133" t="str">
        <f>IF($A233&lt;&gt;0,VLOOKUP($A233,'0.Productos'!$A$3:$GG$587,'0.Productos'!BW$1+1,0),"")</f>
        <v/>
      </c>
      <c r="AF233" s="133" t="str">
        <f>IF($A233&lt;&gt;0,VLOOKUP($A233,'0.Productos'!$A$3:$GG$587,'0.Productos'!BX$1+1,0),"")</f>
        <v/>
      </c>
      <c r="AG233" s="133" t="str">
        <f>IF($A233&lt;&gt;0,VLOOKUP($A233,'0.Productos'!$A$3:$GG$587,'0.Productos'!BY$1+1,0),"")</f>
        <v/>
      </c>
      <c r="AH233" s="133" t="str">
        <f>IF($A233&lt;&gt;0,VLOOKUP($A233,'0.Productos'!$A$3:$GG$587,'0.Productos'!BZ$1+1,0),"")</f>
        <v/>
      </c>
      <c r="AI233" s="133" t="str">
        <f>IF($A233&lt;&gt;0,VLOOKUP($A233,'0.Productos'!$A$3:$GG$587,'0.Productos'!CA$1+1,0),"")</f>
        <v/>
      </c>
      <c r="AJ233" s="133" t="str">
        <f>IF($A233&lt;&gt;0,VLOOKUP($A233,'0.Productos'!$A$3:$GG$587,'0.Productos'!CB$1+1,0),"")</f>
        <v/>
      </c>
      <c r="AK233" s="133" t="str">
        <f>IF($A233&lt;&gt;0,VLOOKUP($A233,'0.Productos'!$A$3:$GG$587,'0.Productos'!CC$1+1,0),"")</f>
        <v/>
      </c>
      <c r="AL233" s="133" t="str">
        <f>IF($A233&lt;&gt;0,VLOOKUP($A233,'0.Productos'!$A$3:$GG$587,'0.Productos'!CD$1+1,0),"")</f>
        <v/>
      </c>
      <c r="AM233" s="133" t="str">
        <f>IF($A233&lt;&gt;0,VLOOKUP($A233,'0.Productos'!$A$3:$GG$587,'0.Productos'!CE$1+1,0),"")</f>
        <v/>
      </c>
      <c r="AN233" s="133" t="str">
        <f>IF($A233&lt;&gt;0,VLOOKUP($A233,'0.Productos'!$A$3:$GG$587,'0.Productos'!CF$1+1,0),"")</f>
        <v/>
      </c>
      <c r="AO233" s="133" t="str">
        <f>IF($A233&lt;&gt;0,VLOOKUP($A233,'0.Productos'!$A$3:$GG$587,'0.Productos'!CG$1+1,0),"")</f>
        <v/>
      </c>
      <c r="AP233" s="133" t="str">
        <f>IF($A233&lt;&gt;0,VLOOKUP($A233,'0.Productos'!$A$3:$GG$587,'0.Productos'!CH$1+1,0),"")</f>
        <v/>
      </c>
      <c r="AQ233" s="133" t="str">
        <f>IF($A233&lt;&gt;0,VLOOKUP($A233,'0.Productos'!$A$3:$GG$587,'0.Productos'!CI$1+1,0),"")</f>
        <v/>
      </c>
      <c r="AR233" s="133" t="str">
        <f>IF($A233&lt;&gt;0,VLOOKUP($A233,'0.Productos'!$A$3:$GG$587,'0.Productos'!CJ$1+1,0),"")</f>
        <v/>
      </c>
      <c r="AS233" s="133" t="str">
        <f>IF($A233&lt;&gt;0,VLOOKUP($A233,'0.Productos'!$A$3:$GG$587,'0.Productos'!CK$1+1,0),"")</f>
        <v/>
      </c>
      <c r="AT233" s="133" t="str">
        <f>IF($A233&lt;&gt;0,VLOOKUP($A233,'0.Productos'!$A$3:$GG$587,'0.Productos'!CL$1+1,0),"")</f>
        <v/>
      </c>
      <c r="AU233" s="133" t="str">
        <f>IF($A233&lt;&gt;0,VLOOKUP($A233,'0.Productos'!$A$3:$GG$587,'0.Productos'!CM$1+1,0),"")</f>
        <v/>
      </c>
      <c r="AV233" s="133" t="str">
        <f>IF($A233&lt;&gt;0,VLOOKUP($A233,'0.Productos'!$A$3:$GG$587,'0.Productos'!CN$1+1,0),"")</f>
        <v/>
      </c>
      <c r="AW233" s="133" t="str">
        <f>IF($A233&lt;&gt;0,VLOOKUP($A233,'0.Productos'!$A$3:$GG$587,'0.Productos'!CO$1+1,0),"")</f>
        <v/>
      </c>
      <c r="AX233" s="133" t="str">
        <f>IF($A233&lt;&gt;0,VLOOKUP($A233,'0.Productos'!$A$3:$GG$587,'0.Productos'!CP$1+1,0),"")</f>
        <v/>
      </c>
      <c r="AY233" s="133" t="str">
        <f>IF($A233&lt;&gt;0,VLOOKUP($A233,'0.Productos'!$A$3:$GG$587,'0.Productos'!CQ$1+1,0),"")</f>
        <v/>
      </c>
      <c r="AZ233" s="133" t="str">
        <f>IF($A233&lt;&gt;0,VLOOKUP($A233,'0.Productos'!$A$3:$GG$587,'0.Productos'!CR$1+1,0),"")</f>
        <v/>
      </c>
      <c r="BA233" s="133" t="str">
        <f>IF($A233&lt;&gt;0,VLOOKUP($A233,'0.Productos'!$A$3:$GG$587,'0.Productos'!CS$1+1,0),"")</f>
        <v/>
      </c>
      <c r="BB233" s="133" t="str">
        <f>IF($A233&lt;&gt;0,VLOOKUP($A233,'0.Productos'!$A$3:$GG$587,'0.Productos'!CT$1+1,0),"")</f>
        <v/>
      </c>
      <c r="BC233" s="133" t="str">
        <f>IF($A233&lt;&gt;0,VLOOKUP($A233,'0.Productos'!$A$3:$GG$587,'0.Productos'!CU$1+1,0),"")</f>
        <v/>
      </c>
      <c r="BD233" s="133" t="str">
        <f>IF($A233&lt;&gt;0,VLOOKUP($A233,'0.Productos'!$A$3:$GG$587,'0.Productos'!CV$1+1,0),"")</f>
        <v/>
      </c>
      <c r="BE233" s="133" t="str">
        <f>IF($A233&lt;&gt;0,VLOOKUP($A233,'0.Productos'!$A$3:$GG$587,'0.Productos'!CW$1+1,0),"")</f>
        <v/>
      </c>
      <c r="BF233" s="133" t="str">
        <f>IF($A233&lt;&gt;0,VLOOKUP($A233,'0.Productos'!$A$3:$GG$587,'0.Productos'!CX$1+1,0),"")</f>
        <v/>
      </c>
      <c r="BG233" s="133" t="str">
        <f>IF($A233&lt;&gt;0,VLOOKUP($A233,'0.Productos'!$A$3:$GG$587,'0.Productos'!CY$1+1,0),"")</f>
        <v/>
      </c>
      <c r="BH233" s="133" t="str">
        <f>IF($A233&lt;&gt;0,VLOOKUP($A233,'0.Productos'!$A$3:$GG$587,'0.Productos'!CZ$1+1,0),"")</f>
        <v/>
      </c>
      <c r="BI233" s="133" t="str">
        <f>IF($A233&lt;&gt;0,VLOOKUP($A233,'0.Productos'!$A$3:$GG$587,'0.Productos'!DA$1+1,0),"")</f>
        <v/>
      </c>
      <c r="BJ233" s="133" t="str">
        <f>IF($A233&lt;&gt;0,VLOOKUP($A233,'0.Productos'!$A$3:$GG$587,'0.Productos'!DB$1+1,0),"")</f>
        <v/>
      </c>
      <c r="BK233" s="133" t="str">
        <f>IF($A233&lt;&gt;0,VLOOKUP($A233,'0.Productos'!$A$3:$GG$587,'0.Productos'!DC$1+1,0),"")</f>
        <v/>
      </c>
      <c r="BL233" s="133" t="str">
        <f>IF($A233&lt;&gt;0,VLOOKUP($A233,'0.Productos'!$A$3:$GG$587,'0.Productos'!DD$1+1,0),"")</f>
        <v/>
      </c>
      <c r="BM233" s="133" t="str">
        <f>IF($A233&lt;&gt;0,VLOOKUP($A233,'0.Productos'!$A$3:$GG$587,'0.Productos'!DE$1+1,0),"")</f>
        <v/>
      </c>
      <c r="BN233" s="133" t="str">
        <f>IF($A233&lt;&gt;0,VLOOKUP($A233,'0.Productos'!$A$3:$GG$587,'0.Productos'!DF$1+1,0),"")</f>
        <v/>
      </c>
      <c r="BO233" s="133" t="str">
        <f>IF($A233&lt;&gt;0,VLOOKUP($A233,'0.Productos'!$A$3:$GG$587,'0.Productos'!DG$1+1,0),"")</f>
        <v/>
      </c>
      <c r="BP233" s="133" t="str">
        <f>IF($A233&lt;&gt;0,VLOOKUP($A233,'0.Productos'!$A$3:$GG$587,'0.Productos'!DH$1+1,0),"")</f>
        <v/>
      </c>
      <c r="BQ233" s="133" t="str">
        <f>IF($A233&lt;&gt;0,VLOOKUP($A233,'0.Productos'!$A$3:$GG$587,'0.Productos'!DI$1+1,0),"")</f>
        <v/>
      </c>
      <c r="BR233" s="133" t="str">
        <f>IF($A233&lt;&gt;0,VLOOKUP($A233,'0.Productos'!$A$3:$GG$587,'0.Productos'!DJ$1+1,0),"")</f>
        <v/>
      </c>
      <c r="BS233" s="133" t="str">
        <f>IF($A233&lt;&gt;0,VLOOKUP($A233,'0.Productos'!$A$3:$GG$587,'0.Productos'!DK$1+1,0),"")</f>
        <v/>
      </c>
      <c r="BT233" s="133" t="str">
        <f>IF($A233&lt;&gt;0,VLOOKUP($A233,'0.Productos'!$A$3:$GG$587,'0.Productos'!DL$1+1,0),"")</f>
        <v/>
      </c>
    </row>
    <row r="234" spans="1:72" x14ac:dyDescent="0.25">
      <c r="A234" s="17">
        <f>'0.Consolidado general'!A234</f>
        <v>0</v>
      </c>
      <c r="B234" s="133" t="str">
        <f>IF($A234&lt;&gt;0,VLOOKUP($A234,'0.Productos'!$A$3:$GG$587,'0.Productos'!AT$1+1,0),"")</f>
        <v/>
      </c>
      <c r="C234" s="133" t="str">
        <f>IF($A234&lt;&gt;0,VLOOKUP($A234,'0.Productos'!$A$3:$GG$587,'0.Productos'!AU$1+1,0),"")</f>
        <v/>
      </c>
      <c r="D234" s="133" t="str">
        <f>IF($A234&lt;&gt;0,VLOOKUP($A234,'0.Productos'!$A$3:$GG$587,'0.Productos'!AV$1+1,0),"")</f>
        <v/>
      </c>
      <c r="E234" s="133" t="str">
        <f>IF($A234&lt;&gt;0,VLOOKUP($A234,'0.Productos'!$A$3:$GG$587,'0.Productos'!AW$1+1,0),"")</f>
        <v/>
      </c>
      <c r="F234" s="133" t="str">
        <f>IF($A234&lt;&gt;0,VLOOKUP($A234,'0.Productos'!$A$3:$GG$587,'0.Productos'!AX$1+1,0),"")</f>
        <v/>
      </c>
      <c r="G234" s="133" t="str">
        <f>IF($A234&lt;&gt;0,VLOOKUP($A234,'0.Productos'!$A$3:$GG$587,'0.Productos'!AY$1+1,0),"")</f>
        <v/>
      </c>
      <c r="H234" s="133" t="str">
        <f>IF($A234&lt;&gt;0,VLOOKUP($A234,'0.Productos'!$A$3:$GG$587,'0.Productos'!AZ$1+1,0),"")</f>
        <v/>
      </c>
      <c r="I234" s="133" t="str">
        <f>IF($A234&lt;&gt;0,VLOOKUP($A234,'0.Productos'!$A$3:$GG$587,'0.Productos'!BA$1+1,0),"")</f>
        <v/>
      </c>
      <c r="J234" s="133" t="str">
        <f>IF($A234&lt;&gt;0,VLOOKUP($A234,'0.Productos'!$A$3:$GG$587,'0.Productos'!BB$1+1,0),"")</f>
        <v/>
      </c>
      <c r="K234" s="133" t="str">
        <f>IF($A234&lt;&gt;0,VLOOKUP($A234,'0.Productos'!$A$3:$GG$587,'0.Productos'!BC$1+1,0),"")</f>
        <v/>
      </c>
      <c r="L234" s="133" t="str">
        <f>IF($A234&lt;&gt;0,VLOOKUP($A234,'0.Productos'!$A$3:$GG$587,'0.Productos'!BD$1+1,0),"")</f>
        <v/>
      </c>
      <c r="M234" s="133" t="str">
        <f>IF($A234&lt;&gt;0,VLOOKUP($A234,'0.Productos'!$A$3:$GG$587,'0.Productos'!BE$1+1,0),"")</f>
        <v/>
      </c>
      <c r="N234" s="133" t="str">
        <f>IF($A234&lt;&gt;0,VLOOKUP($A234,'0.Productos'!$A$3:$GG$587,'0.Productos'!BF$1+1,0),"")</f>
        <v/>
      </c>
      <c r="O234" s="133" t="str">
        <f>IF($A234&lt;&gt;0,VLOOKUP($A234,'0.Productos'!$A$3:$GG$587,'0.Productos'!BG$1+1,0),"")</f>
        <v/>
      </c>
      <c r="P234" s="133" t="str">
        <f>IF($A234&lt;&gt;0,VLOOKUP($A234,'0.Productos'!$A$3:$GG$587,'0.Productos'!BH$1+1,0),"")</f>
        <v/>
      </c>
      <c r="Q234" s="133" t="str">
        <f>IF($A234&lt;&gt;0,VLOOKUP($A234,'0.Productos'!$A$3:$GG$587,'0.Productos'!BI$1+1,0),"")</f>
        <v/>
      </c>
      <c r="R234" s="133" t="str">
        <f>IF($A234&lt;&gt;0,VLOOKUP($A234,'0.Productos'!$A$3:$GG$587,'0.Productos'!BJ$1+1,0),"")</f>
        <v/>
      </c>
      <c r="S234" s="133" t="str">
        <f>IF($A234&lt;&gt;0,VLOOKUP($A234,'0.Productos'!$A$3:$GG$587,'0.Productos'!BK$1+1,0),"")</f>
        <v/>
      </c>
      <c r="T234" s="133" t="str">
        <f>IF($A234&lt;&gt;0,VLOOKUP($A234,'0.Productos'!$A$3:$GG$587,'0.Productos'!BL$1+1,0),"")</f>
        <v/>
      </c>
      <c r="U234" s="133" t="str">
        <f>IF($A234&lt;&gt;0,VLOOKUP($A234,'0.Productos'!$A$3:$GG$587,'0.Productos'!BM$1+1,0),"")</f>
        <v/>
      </c>
      <c r="V234" s="133" t="str">
        <f>IF($A234&lt;&gt;0,VLOOKUP($A234,'0.Productos'!$A$3:$GG$587,'0.Productos'!BN$1+1,0),"")</f>
        <v/>
      </c>
      <c r="W234" s="133" t="str">
        <f>IF($A234&lt;&gt;0,VLOOKUP($A234,'0.Productos'!$A$3:$GG$587,'0.Productos'!BO$1+1,0),"")</f>
        <v/>
      </c>
      <c r="X234" s="133" t="str">
        <f>IF($A234&lt;&gt;0,VLOOKUP($A234,'0.Productos'!$A$3:$GG$587,'0.Productos'!BP$1+1,0),"")</f>
        <v/>
      </c>
      <c r="Y234" s="133" t="str">
        <f>IF($A234&lt;&gt;0,VLOOKUP($A234,'0.Productos'!$A$3:$GG$587,'0.Productos'!BQ$1+1,0),"")</f>
        <v/>
      </c>
      <c r="Z234" s="133" t="str">
        <f>IF($A234&lt;&gt;0,VLOOKUP($A234,'0.Productos'!$A$3:$GG$587,'0.Productos'!BR$1+1,0),"")</f>
        <v/>
      </c>
      <c r="AA234" s="133" t="str">
        <f>IF($A234&lt;&gt;0,VLOOKUP($A234,'0.Productos'!$A$3:$GG$587,'0.Productos'!BS$1+1,0),"")</f>
        <v/>
      </c>
      <c r="AB234" s="133" t="str">
        <f>IF($A234&lt;&gt;0,VLOOKUP($A234,'0.Productos'!$A$3:$GG$587,'0.Productos'!BT$1+1,0),"")</f>
        <v/>
      </c>
      <c r="AC234" s="133" t="str">
        <f>IF($A234&lt;&gt;0,VLOOKUP($A234,'0.Productos'!$A$3:$GG$587,'0.Productos'!BU$1+1,0),"")</f>
        <v/>
      </c>
      <c r="AD234" s="133" t="str">
        <f>IF($A234&lt;&gt;0,VLOOKUP($A234,'0.Productos'!$A$3:$GG$587,'0.Productos'!BV$1+1,0),"")</f>
        <v/>
      </c>
      <c r="AE234" s="133" t="str">
        <f>IF($A234&lt;&gt;0,VLOOKUP($A234,'0.Productos'!$A$3:$GG$587,'0.Productos'!BW$1+1,0),"")</f>
        <v/>
      </c>
      <c r="AF234" s="133" t="str">
        <f>IF($A234&lt;&gt;0,VLOOKUP($A234,'0.Productos'!$A$3:$GG$587,'0.Productos'!BX$1+1,0),"")</f>
        <v/>
      </c>
      <c r="AG234" s="133" t="str">
        <f>IF($A234&lt;&gt;0,VLOOKUP($A234,'0.Productos'!$A$3:$GG$587,'0.Productos'!BY$1+1,0),"")</f>
        <v/>
      </c>
      <c r="AH234" s="133" t="str">
        <f>IF($A234&lt;&gt;0,VLOOKUP($A234,'0.Productos'!$A$3:$GG$587,'0.Productos'!BZ$1+1,0),"")</f>
        <v/>
      </c>
      <c r="AI234" s="133" t="str">
        <f>IF($A234&lt;&gt;0,VLOOKUP($A234,'0.Productos'!$A$3:$GG$587,'0.Productos'!CA$1+1,0),"")</f>
        <v/>
      </c>
      <c r="AJ234" s="133" t="str">
        <f>IF($A234&lt;&gt;0,VLOOKUP($A234,'0.Productos'!$A$3:$GG$587,'0.Productos'!CB$1+1,0),"")</f>
        <v/>
      </c>
      <c r="AK234" s="133" t="str">
        <f>IF($A234&lt;&gt;0,VLOOKUP($A234,'0.Productos'!$A$3:$GG$587,'0.Productos'!CC$1+1,0),"")</f>
        <v/>
      </c>
      <c r="AL234" s="133" t="str">
        <f>IF($A234&lt;&gt;0,VLOOKUP($A234,'0.Productos'!$A$3:$GG$587,'0.Productos'!CD$1+1,0),"")</f>
        <v/>
      </c>
      <c r="AM234" s="133" t="str">
        <f>IF($A234&lt;&gt;0,VLOOKUP($A234,'0.Productos'!$A$3:$GG$587,'0.Productos'!CE$1+1,0),"")</f>
        <v/>
      </c>
      <c r="AN234" s="133" t="str">
        <f>IF($A234&lt;&gt;0,VLOOKUP($A234,'0.Productos'!$A$3:$GG$587,'0.Productos'!CF$1+1,0),"")</f>
        <v/>
      </c>
      <c r="AO234" s="133" t="str">
        <f>IF($A234&lt;&gt;0,VLOOKUP($A234,'0.Productos'!$A$3:$GG$587,'0.Productos'!CG$1+1,0),"")</f>
        <v/>
      </c>
      <c r="AP234" s="133" t="str">
        <f>IF($A234&lt;&gt;0,VLOOKUP($A234,'0.Productos'!$A$3:$GG$587,'0.Productos'!CH$1+1,0),"")</f>
        <v/>
      </c>
      <c r="AQ234" s="133" t="str">
        <f>IF($A234&lt;&gt;0,VLOOKUP($A234,'0.Productos'!$A$3:$GG$587,'0.Productos'!CI$1+1,0),"")</f>
        <v/>
      </c>
      <c r="AR234" s="133" t="str">
        <f>IF($A234&lt;&gt;0,VLOOKUP($A234,'0.Productos'!$A$3:$GG$587,'0.Productos'!CJ$1+1,0),"")</f>
        <v/>
      </c>
      <c r="AS234" s="133" t="str">
        <f>IF($A234&lt;&gt;0,VLOOKUP($A234,'0.Productos'!$A$3:$GG$587,'0.Productos'!CK$1+1,0),"")</f>
        <v/>
      </c>
      <c r="AT234" s="133" t="str">
        <f>IF($A234&lt;&gt;0,VLOOKUP($A234,'0.Productos'!$A$3:$GG$587,'0.Productos'!CL$1+1,0),"")</f>
        <v/>
      </c>
      <c r="AU234" s="133" t="str">
        <f>IF($A234&lt;&gt;0,VLOOKUP($A234,'0.Productos'!$A$3:$GG$587,'0.Productos'!CM$1+1,0),"")</f>
        <v/>
      </c>
      <c r="AV234" s="133" t="str">
        <f>IF($A234&lt;&gt;0,VLOOKUP($A234,'0.Productos'!$A$3:$GG$587,'0.Productos'!CN$1+1,0),"")</f>
        <v/>
      </c>
      <c r="AW234" s="133" t="str">
        <f>IF($A234&lt;&gt;0,VLOOKUP($A234,'0.Productos'!$A$3:$GG$587,'0.Productos'!CO$1+1,0),"")</f>
        <v/>
      </c>
      <c r="AX234" s="133" t="str">
        <f>IF($A234&lt;&gt;0,VLOOKUP($A234,'0.Productos'!$A$3:$GG$587,'0.Productos'!CP$1+1,0),"")</f>
        <v/>
      </c>
      <c r="AY234" s="133" t="str">
        <f>IF($A234&lt;&gt;0,VLOOKUP($A234,'0.Productos'!$A$3:$GG$587,'0.Productos'!CQ$1+1,0),"")</f>
        <v/>
      </c>
      <c r="AZ234" s="133" t="str">
        <f>IF($A234&lt;&gt;0,VLOOKUP($A234,'0.Productos'!$A$3:$GG$587,'0.Productos'!CR$1+1,0),"")</f>
        <v/>
      </c>
      <c r="BA234" s="133" t="str">
        <f>IF($A234&lt;&gt;0,VLOOKUP($A234,'0.Productos'!$A$3:$GG$587,'0.Productos'!CS$1+1,0),"")</f>
        <v/>
      </c>
      <c r="BB234" s="133" t="str">
        <f>IF($A234&lt;&gt;0,VLOOKUP($A234,'0.Productos'!$A$3:$GG$587,'0.Productos'!CT$1+1,0),"")</f>
        <v/>
      </c>
      <c r="BC234" s="133" t="str">
        <f>IF($A234&lt;&gt;0,VLOOKUP($A234,'0.Productos'!$A$3:$GG$587,'0.Productos'!CU$1+1,0),"")</f>
        <v/>
      </c>
      <c r="BD234" s="133" t="str">
        <f>IF($A234&lt;&gt;0,VLOOKUP($A234,'0.Productos'!$A$3:$GG$587,'0.Productos'!CV$1+1,0),"")</f>
        <v/>
      </c>
      <c r="BE234" s="133" t="str">
        <f>IF($A234&lt;&gt;0,VLOOKUP($A234,'0.Productos'!$A$3:$GG$587,'0.Productos'!CW$1+1,0),"")</f>
        <v/>
      </c>
      <c r="BF234" s="133" t="str">
        <f>IF($A234&lt;&gt;0,VLOOKUP($A234,'0.Productos'!$A$3:$GG$587,'0.Productos'!CX$1+1,0),"")</f>
        <v/>
      </c>
      <c r="BG234" s="133" t="str">
        <f>IF($A234&lt;&gt;0,VLOOKUP($A234,'0.Productos'!$A$3:$GG$587,'0.Productos'!CY$1+1,0),"")</f>
        <v/>
      </c>
      <c r="BH234" s="133" t="str">
        <f>IF($A234&lt;&gt;0,VLOOKUP($A234,'0.Productos'!$A$3:$GG$587,'0.Productos'!CZ$1+1,0),"")</f>
        <v/>
      </c>
      <c r="BI234" s="133" t="str">
        <f>IF($A234&lt;&gt;0,VLOOKUP($A234,'0.Productos'!$A$3:$GG$587,'0.Productos'!DA$1+1,0),"")</f>
        <v/>
      </c>
      <c r="BJ234" s="133" t="str">
        <f>IF($A234&lt;&gt;0,VLOOKUP($A234,'0.Productos'!$A$3:$GG$587,'0.Productos'!DB$1+1,0),"")</f>
        <v/>
      </c>
      <c r="BK234" s="133" t="str">
        <f>IF($A234&lt;&gt;0,VLOOKUP($A234,'0.Productos'!$A$3:$GG$587,'0.Productos'!DC$1+1,0),"")</f>
        <v/>
      </c>
      <c r="BL234" s="133" t="str">
        <f>IF($A234&lt;&gt;0,VLOOKUP($A234,'0.Productos'!$A$3:$GG$587,'0.Productos'!DD$1+1,0),"")</f>
        <v/>
      </c>
      <c r="BM234" s="133" t="str">
        <f>IF($A234&lt;&gt;0,VLOOKUP($A234,'0.Productos'!$A$3:$GG$587,'0.Productos'!DE$1+1,0),"")</f>
        <v/>
      </c>
      <c r="BN234" s="133" t="str">
        <f>IF($A234&lt;&gt;0,VLOOKUP($A234,'0.Productos'!$A$3:$GG$587,'0.Productos'!DF$1+1,0),"")</f>
        <v/>
      </c>
      <c r="BO234" s="133" t="str">
        <f>IF($A234&lt;&gt;0,VLOOKUP($A234,'0.Productos'!$A$3:$GG$587,'0.Productos'!DG$1+1,0),"")</f>
        <v/>
      </c>
      <c r="BP234" s="133" t="str">
        <f>IF($A234&lt;&gt;0,VLOOKUP($A234,'0.Productos'!$A$3:$GG$587,'0.Productos'!DH$1+1,0),"")</f>
        <v/>
      </c>
      <c r="BQ234" s="133" t="str">
        <f>IF($A234&lt;&gt;0,VLOOKUP($A234,'0.Productos'!$A$3:$GG$587,'0.Productos'!DI$1+1,0),"")</f>
        <v/>
      </c>
      <c r="BR234" s="133" t="str">
        <f>IF($A234&lt;&gt;0,VLOOKUP($A234,'0.Productos'!$A$3:$GG$587,'0.Productos'!DJ$1+1,0),"")</f>
        <v/>
      </c>
      <c r="BS234" s="133" t="str">
        <f>IF($A234&lt;&gt;0,VLOOKUP($A234,'0.Productos'!$A$3:$GG$587,'0.Productos'!DK$1+1,0),"")</f>
        <v/>
      </c>
      <c r="BT234" s="133" t="str">
        <f>IF($A234&lt;&gt;0,VLOOKUP($A234,'0.Productos'!$A$3:$GG$587,'0.Productos'!DL$1+1,0),"")</f>
        <v/>
      </c>
    </row>
    <row r="235" spans="1:72" x14ac:dyDescent="0.25">
      <c r="A235" s="17">
        <f>'0.Consolidado general'!A235</f>
        <v>0</v>
      </c>
      <c r="B235" s="133" t="str">
        <f>IF($A235&lt;&gt;0,VLOOKUP($A235,'0.Productos'!$A$3:$GG$587,'0.Productos'!AT$1+1,0),"")</f>
        <v/>
      </c>
      <c r="C235" s="133" t="str">
        <f>IF($A235&lt;&gt;0,VLOOKUP($A235,'0.Productos'!$A$3:$GG$587,'0.Productos'!AU$1+1,0),"")</f>
        <v/>
      </c>
      <c r="D235" s="133" t="str">
        <f>IF($A235&lt;&gt;0,VLOOKUP($A235,'0.Productos'!$A$3:$GG$587,'0.Productos'!AV$1+1,0),"")</f>
        <v/>
      </c>
      <c r="E235" s="133" t="str">
        <f>IF($A235&lt;&gt;0,VLOOKUP($A235,'0.Productos'!$A$3:$GG$587,'0.Productos'!AW$1+1,0),"")</f>
        <v/>
      </c>
      <c r="F235" s="133" t="str">
        <f>IF($A235&lt;&gt;0,VLOOKUP($A235,'0.Productos'!$A$3:$GG$587,'0.Productos'!AX$1+1,0),"")</f>
        <v/>
      </c>
      <c r="G235" s="133" t="str">
        <f>IF($A235&lt;&gt;0,VLOOKUP($A235,'0.Productos'!$A$3:$GG$587,'0.Productos'!AY$1+1,0),"")</f>
        <v/>
      </c>
      <c r="H235" s="133" t="str">
        <f>IF($A235&lt;&gt;0,VLOOKUP($A235,'0.Productos'!$A$3:$GG$587,'0.Productos'!AZ$1+1,0),"")</f>
        <v/>
      </c>
      <c r="I235" s="133" t="str">
        <f>IF($A235&lt;&gt;0,VLOOKUP($A235,'0.Productos'!$A$3:$GG$587,'0.Productos'!BA$1+1,0),"")</f>
        <v/>
      </c>
      <c r="J235" s="133" t="str">
        <f>IF($A235&lt;&gt;0,VLOOKUP($A235,'0.Productos'!$A$3:$GG$587,'0.Productos'!BB$1+1,0),"")</f>
        <v/>
      </c>
      <c r="K235" s="133" t="str">
        <f>IF($A235&lt;&gt;0,VLOOKUP($A235,'0.Productos'!$A$3:$GG$587,'0.Productos'!BC$1+1,0),"")</f>
        <v/>
      </c>
      <c r="L235" s="133" t="str">
        <f>IF($A235&lt;&gt;0,VLOOKUP($A235,'0.Productos'!$A$3:$GG$587,'0.Productos'!BD$1+1,0),"")</f>
        <v/>
      </c>
      <c r="M235" s="133" t="str">
        <f>IF($A235&lt;&gt;0,VLOOKUP($A235,'0.Productos'!$A$3:$GG$587,'0.Productos'!BE$1+1,0),"")</f>
        <v/>
      </c>
      <c r="N235" s="133" t="str">
        <f>IF($A235&lt;&gt;0,VLOOKUP($A235,'0.Productos'!$A$3:$GG$587,'0.Productos'!BF$1+1,0),"")</f>
        <v/>
      </c>
      <c r="O235" s="133" t="str">
        <f>IF($A235&lt;&gt;0,VLOOKUP($A235,'0.Productos'!$A$3:$GG$587,'0.Productos'!BG$1+1,0),"")</f>
        <v/>
      </c>
      <c r="P235" s="133" t="str">
        <f>IF($A235&lt;&gt;0,VLOOKUP($A235,'0.Productos'!$A$3:$GG$587,'0.Productos'!BH$1+1,0),"")</f>
        <v/>
      </c>
      <c r="Q235" s="133" t="str">
        <f>IF($A235&lt;&gt;0,VLOOKUP($A235,'0.Productos'!$A$3:$GG$587,'0.Productos'!BI$1+1,0),"")</f>
        <v/>
      </c>
      <c r="R235" s="133" t="str">
        <f>IF($A235&lt;&gt;0,VLOOKUP($A235,'0.Productos'!$A$3:$GG$587,'0.Productos'!BJ$1+1,0),"")</f>
        <v/>
      </c>
      <c r="S235" s="133" t="str">
        <f>IF($A235&lt;&gt;0,VLOOKUP($A235,'0.Productos'!$A$3:$GG$587,'0.Productos'!BK$1+1,0),"")</f>
        <v/>
      </c>
      <c r="T235" s="133" t="str">
        <f>IF($A235&lt;&gt;0,VLOOKUP($A235,'0.Productos'!$A$3:$GG$587,'0.Productos'!BL$1+1,0),"")</f>
        <v/>
      </c>
      <c r="U235" s="133" t="str">
        <f>IF($A235&lt;&gt;0,VLOOKUP($A235,'0.Productos'!$A$3:$GG$587,'0.Productos'!BM$1+1,0),"")</f>
        <v/>
      </c>
      <c r="V235" s="133" t="str">
        <f>IF($A235&lt;&gt;0,VLOOKUP($A235,'0.Productos'!$A$3:$GG$587,'0.Productos'!BN$1+1,0),"")</f>
        <v/>
      </c>
      <c r="W235" s="133" t="str">
        <f>IF($A235&lt;&gt;0,VLOOKUP($A235,'0.Productos'!$A$3:$GG$587,'0.Productos'!BO$1+1,0),"")</f>
        <v/>
      </c>
      <c r="X235" s="133" t="str">
        <f>IF($A235&lt;&gt;0,VLOOKUP($A235,'0.Productos'!$A$3:$GG$587,'0.Productos'!BP$1+1,0),"")</f>
        <v/>
      </c>
      <c r="Y235" s="133" t="str">
        <f>IF($A235&lt;&gt;0,VLOOKUP($A235,'0.Productos'!$A$3:$GG$587,'0.Productos'!BQ$1+1,0),"")</f>
        <v/>
      </c>
      <c r="Z235" s="133" t="str">
        <f>IF($A235&lt;&gt;0,VLOOKUP($A235,'0.Productos'!$A$3:$GG$587,'0.Productos'!BR$1+1,0),"")</f>
        <v/>
      </c>
      <c r="AA235" s="133" t="str">
        <f>IF($A235&lt;&gt;0,VLOOKUP($A235,'0.Productos'!$A$3:$GG$587,'0.Productos'!BS$1+1,0),"")</f>
        <v/>
      </c>
      <c r="AB235" s="133" t="str">
        <f>IF($A235&lt;&gt;0,VLOOKUP($A235,'0.Productos'!$A$3:$GG$587,'0.Productos'!BT$1+1,0),"")</f>
        <v/>
      </c>
      <c r="AC235" s="133" t="str">
        <f>IF($A235&lt;&gt;0,VLOOKUP($A235,'0.Productos'!$A$3:$GG$587,'0.Productos'!BU$1+1,0),"")</f>
        <v/>
      </c>
      <c r="AD235" s="133" t="str">
        <f>IF($A235&lt;&gt;0,VLOOKUP($A235,'0.Productos'!$A$3:$GG$587,'0.Productos'!BV$1+1,0),"")</f>
        <v/>
      </c>
      <c r="AE235" s="133" t="str">
        <f>IF($A235&lt;&gt;0,VLOOKUP($A235,'0.Productos'!$A$3:$GG$587,'0.Productos'!BW$1+1,0),"")</f>
        <v/>
      </c>
      <c r="AF235" s="133" t="str">
        <f>IF($A235&lt;&gt;0,VLOOKUP($A235,'0.Productos'!$A$3:$GG$587,'0.Productos'!BX$1+1,0),"")</f>
        <v/>
      </c>
      <c r="AG235" s="133" t="str">
        <f>IF($A235&lt;&gt;0,VLOOKUP($A235,'0.Productos'!$A$3:$GG$587,'0.Productos'!BY$1+1,0),"")</f>
        <v/>
      </c>
      <c r="AH235" s="133" t="str">
        <f>IF($A235&lt;&gt;0,VLOOKUP($A235,'0.Productos'!$A$3:$GG$587,'0.Productos'!BZ$1+1,0),"")</f>
        <v/>
      </c>
      <c r="AI235" s="133" t="str">
        <f>IF($A235&lt;&gt;0,VLOOKUP($A235,'0.Productos'!$A$3:$GG$587,'0.Productos'!CA$1+1,0),"")</f>
        <v/>
      </c>
      <c r="AJ235" s="133" t="str">
        <f>IF($A235&lt;&gt;0,VLOOKUP($A235,'0.Productos'!$A$3:$GG$587,'0.Productos'!CB$1+1,0),"")</f>
        <v/>
      </c>
      <c r="AK235" s="133" t="str">
        <f>IF($A235&lt;&gt;0,VLOOKUP($A235,'0.Productos'!$A$3:$GG$587,'0.Productos'!CC$1+1,0),"")</f>
        <v/>
      </c>
      <c r="AL235" s="133" t="str">
        <f>IF($A235&lt;&gt;0,VLOOKUP($A235,'0.Productos'!$A$3:$GG$587,'0.Productos'!CD$1+1,0),"")</f>
        <v/>
      </c>
      <c r="AM235" s="133" t="str">
        <f>IF($A235&lt;&gt;0,VLOOKUP($A235,'0.Productos'!$A$3:$GG$587,'0.Productos'!CE$1+1,0),"")</f>
        <v/>
      </c>
      <c r="AN235" s="133" t="str">
        <f>IF($A235&lt;&gt;0,VLOOKUP($A235,'0.Productos'!$A$3:$GG$587,'0.Productos'!CF$1+1,0),"")</f>
        <v/>
      </c>
      <c r="AO235" s="133" t="str">
        <f>IF($A235&lt;&gt;0,VLOOKUP($A235,'0.Productos'!$A$3:$GG$587,'0.Productos'!CG$1+1,0),"")</f>
        <v/>
      </c>
      <c r="AP235" s="133" t="str">
        <f>IF($A235&lt;&gt;0,VLOOKUP($A235,'0.Productos'!$A$3:$GG$587,'0.Productos'!CH$1+1,0),"")</f>
        <v/>
      </c>
      <c r="AQ235" s="133" t="str">
        <f>IF($A235&lt;&gt;0,VLOOKUP($A235,'0.Productos'!$A$3:$GG$587,'0.Productos'!CI$1+1,0),"")</f>
        <v/>
      </c>
      <c r="AR235" s="133" t="str">
        <f>IF($A235&lt;&gt;0,VLOOKUP($A235,'0.Productos'!$A$3:$GG$587,'0.Productos'!CJ$1+1,0),"")</f>
        <v/>
      </c>
      <c r="AS235" s="133" t="str">
        <f>IF($A235&lt;&gt;0,VLOOKUP($A235,'0.Productos'!$A$3:$GG$587,'0.Productos'!CK$1+1,0),"")</f>
        <v/>
      </c>
      <c r="AT235" s="133" t="str">
        <f>IF($A235&lt;&gt;0,VLOOKUP($A235,'0.Productos'!$A$3:$GG$587,'0.Productos'!CL$1+1,0),"")</f>
        <v/>
      </c>
      <c r="AU235" s="133" t="str">
        <f>IF($A235&lt;&gt;0,VLOOKUP($A235,'0.Productos'!$A$3:$GG$587,'0.Productos'!CM$1+1,0),"")</f>
        <v/>
      </c>
      <c r="AV235" s="133" t="str">
        <f>IF($A235&lt;&gt;0,VLOOKUP($A235,'0.Productos'!$A$3:$GG$587,'0.Productos'!CN$1+1,0),"")</f>
        <v/>
      </c>
      <c r="AW235" s="133" t="str">
        <f>IF($A235&lt;&gt;0,VLOOKUP($A235,'0.Productos'!$A$3:$GG$587,'0.Productos'!CO$1+1,0),"")</f>
        <v/>
      </c>
      <c r="AX235" s="133" t="str">
        <f>IF($A235&lt;&gt;0,VLOOKUP($A235,'0.Productos'!$A$3:$GG$587,'0.Productos'!CP$1+1,0),"")</f>
        <v/>
      </c>
      <c r="AY235" s="133" t="str">
        <f>IF($A235&lt;&gt;0,VLOOKUP($A235,'0.Productos'!$A$3:$GG$587,'0.Productos'!CQ$1+1,0),"")</f>
        <v/>
      </c>
      <c r="AZ235" s="133" t="str">
        <f>IF($A235&lt;&gt;0,VLOOKUP($A235,'0.Productos'!$A$3:$GG$587,'0.Productos'!CR$1+1,0),"")</f>
        <v/>
      </c>
      <c r="BA235" s="133" t="str">
        <f>IF($A235&lt;&gt;0,VLOOKUP($A235,'0.Productos'!$A$3:$GG$587,'0.Productos'!CS$1+1,0),"")</f>
        <v/>
      </c>
      <c r="BB235" s="133" t="str">
        <f>IF($A235&lt;&gt;0,VLOOKUP($A235,'0.Productos'!$A$3:$GG$587,'0.Productos'!CT$1+1,0),"")</f>
        <v/>
      </c>
      <c r="BC235" s="133" t="str">
        <f>IF($A235&lt;&gt;0,VLOOKUP($A235,'0.Productos'!$A$3:$GG$587,'0.Productos'!CU$1+1,0),"")</f>
        <v/>
      </c>
      <c r="BD235" s="133" t="str">
        <f>IF($A235&lt;&gt;0,VLOOKUP($A235,'0.Productos'!$A$3:$GG$587,'0.Productos'!CV$1+1,0),"")</f>
        <v/>
      </c>
      <c r="BE235" s="133" t="str">
        <f>IF($A235&lt;&gt;0,VLOOKUP($A235,'0.Productos'!$A$3:$GG$587,'0.Productos'!CW$1+1,0),"")</f>
        <v/>
      </c>
      <c r="BF235" s="133" t="str">
        <f>IF($A235&lt;&gt;0,VLOOKUP($A235,'0.Productos'!$A$3:$GG$587,'0.Productos'!CX$1+1,0),"")</f>
        <v/>
      </c>
      <c r="BG235" s="133" t="str">
        <f>IF($A235&lt;&gt;0,VLOOKUP($A235,'0.Productos'!$A$3:$GG$587,'0.Productos'!CY$1+1,0),"")</f>
        <v/>
      </c>
      <c r="BH235" s="133" t="str">
        <f>IF($A235&lt;&gt;0,VLOOKUP($A235,'0.Productos'!$A$3:$GG$587,'0.Productos'!CZ$1+1,0),"")</f>
        <v/>
      </c>
      <c r="BI235" s="133" t="str">
        <f>IF($A235&lt;&gt;0,VLOOKUP($A235,'0.Productos'!$A$3:$GG$587,'0.Productos'!DA$1+1,0),"")</f>
        <v/>
      </c>
      <c r="BJ235" s="133" t="str">
        <f>IF($A235&lt;&gt;0,VLOOKUP($A235,'0.Productos'!$A$3:$GG$587,'0.Productos'!DB$1+1,0),"")</f>
        <v/>
      </c>
      <c r="BK235" s="133" t="str">
        <f>IF($A235&lt;&gt;0,VLOOKUP($A235,'0.Productos'!$A$3:$GG$587,'0.Productos'!DC$1+1,0),"")</f>
        <v/>
      </c>
      <c r="BL235" s="133" t="str">
        <f>IF($A235&lt;&gt;0,VLOOKUP($A235,'0.Productos'!$A$3:$GG$587,'0.Productos'!DD$1+1,0),"")</f>
        <v/>
      </c>
      <c r="BM235" s="133" t="str">
        <f>IF($A235&lt;&gt;0,VLOOKUP($A235,'0.Productos'!$A$3:$GG$587,'0.Productos'!DE$1+1,0),"")</f>
        <v/>
      </c>
      <c r="BN235" s="133" t="str">
        <f>IF($A235&lt;&gt;0,VLOOKUP($A235,'0.Productos'!$A$3:$GG$587,'0.Productos'!DF$1+1,0),"")</f>
        <v/>
      </c>
      <c r="BO235" s="133" t="str">
        <f>IF($A235&lt;&gt;0,VLOOKUP($A235,'0.Productos'!$A$3:$GG$587,'0.Productos'!DG$1+1,0),"")</f>
        <v/>
      </c>
      <c r="BP235" s="133" t="str">
        <f>IF($A235&lt;&gt;0,VLOOKUP($A235,'0.Productos'!$A$3:$GG$587,'0.Productos'!DH$1+1,0),"")</f>
        <v/>
      </c>
      <c r="BQ235" s="133" t="str">
        <f>IF($A235&lt;&gt;0,VLOOKUP($A235,'0.Productos'!$A$3:$GG$587,'0.Productos'!DI$1+1,0),"")</f>
        <v/>
      </c>
      <c r="BR235" s="133" t="str">
        <f>IF($A235&lt;&gt;0,VLOOKUP($A235,'0.Productos'!$A$3:$GG$587,'0.Productos'!DJ$1+1,0),"")</f>
        <v/>
      </c>
      <c r="BS235" s="133" t="str">
        <f>IF($A235&lt;&gt;0,VLOOKUP($A235,'0.Productos'!$A$3:$GG$587,'0.Productos'!DK$1+1,0),"")</f>
        <v/>
      </c>
      <c r="BT235" s="133" t="str">
        <f>IF($A235&lt;&gt;0,VLOOKUP($A235,'0.Productos'!$A$3:$GG$587,'0.Productos'!DL$1+1,0),"")</f>
        <v/>
      </c>
    </row>
    <row r="236" spans="1:72" x14ac:dyDescent="0.25">
      <c r="A236" s="17">
        <f>'0.Consolidado general'!A236</f>
        <v>0</v>
      </c>
      <c r="B236" s="133" t="str">
        <f>IF($A236&lt;&gt;0,VLOOKUP($A236,'0.Productos'!$A$3:$GG$587,'0.Productos'!AT$1+1,0),"")</f>
        <v/>
      </c>
      <c r="C236" s="133" t="str">
        <f>IF($A236&lt;&gt;0,VLOOKUP($A236,'0.Productos'!$A$3:$GG$587,'0.Productos'!AU$1+1,0),"")</f>
        <v/>
      </c>
      <c r="D236" s="133" t="str">
        <f>IF($A236&lt;&gt;0,VLOOKUP($A236,'0.Productos'!$A$3:$GG$587,'0.Productos'!AV$1+1,0),"")</f>
        <v/>
      </c>
      <c r="E236" s="133" t="str">
        <f>IF($A236&lt;&gt;0,VLOOKUP($A236,'0.Productos'!$A$3:$GG$587,'0.Productos'!AW$1+1,0),"")</f>
        <v/>
      </c>
      <c r="F236" s="133" t="str">
        <f>IF($A236&lt;&gt;0,VLOOKUP($A236,'0.Productos'!$A$3:$GG$587,'0.Productos'!AX$1+1,0),"")</f>
        <v/>
      </c>
      <c r="G236" s="133" t="str">
        <f>IF($A236&lt;&gt;0,VLOOKUP($A236,'0.Productos'!$A$3:$GG$587,'0.Productos'!AY$1+1,0),"")</f>
        <v/>
      </c>
      <c r="H236" s="133" t="str">
        <f>IF($A236&lt;&gt;0,VLOOKUP($A236,'0.Productos'!$A$3:$GG$587,'0.Productos'!AZ$1+1,0),"")</f>
        <v/>
      </c>
      <c r="I236" s="133" t="str">
        <f>IF($A236&lt;&gt;0,VLOOKUP($A236,'0.Productos'!$A$3:$GG$587,'0.Productos'!BA$1+1,0),"")</f>
        <v/>
      </c>
      <c r="J236" s="133" t="str">
        <f>IF($A236&lt;&gt;0,VLOOKUP($A236,'0.Productos'!$A$3:$GG$587,'0.Productos'!BB$1+1,0),"")</f>
        <v/>
      </c>
      <c r="K236" s="133" t="str">
        <f>IF($A236&lt;&gt;0,VLOOKUP($A236,'0.Productos'!$A$3:$GG$587,'0.Productos'!BC$1+1,0),"")</f>
        <v/>
      </c>
      <c r="L236" s="133" t="str">
        <f>IF($A236&lt;&gt;0,VLOOKUP($A236,'0.Productos'!$A$3:$GG$587,'0.Productos'!BD$1+1,0),"")</f>
        <v/>
      </c>
      <c r="M236" s="133" t="str">
        <f>IF($A236&lt;&gt;0,VLOOKUP($A236,'0.Productos'!$A$3:$GG$587,'0.Productos'!BE$1+1,0),"")</f>
        <v/>
      </c>
      <c r="N236" s="133" t="str">
        <f>IF($A236&lt;&gt;0,VLOOKUP($A236,'0.Productos'!$A$3:$GG$587,'0.Productos'!BF$1+1,0),"")</f>
        <v/>
      </c>
      <c r="O236" s="133" t="str">
        <f>IF($A236&lt;&gt;0,VLOOKUP($A236,'0.Productos'!$A$3:$GG$587,'0.Productos'!BG$1+1,0),"")</f>
        <v/>
      </c>
      <c r="P236" s="133" t="str">
        <f>IF($A236&lt;&gt;0,VLOOKUP($A236,'0.Productos'!$A$3:$GG$587,'0.Productos'!BH$1+1,0),"")</f>
        <v/>
      </c>
      <c r="Q236" s="133" t="str">
        <f>IF($A236&lt;&gt;0,VLOOKUP($A236,'0.Productos'!$A$3:$GG$587,'0.Productos'!BI$1+1,0),"")</f>
        <v/>
      </c>
      <c r="R236" s="133" t="str">
        <f>IF($A236&lt;&gt;0,VLOOKUP($A236,'0.Productos'!$A$3:$GG$587,'0.Productos'!BJ$1+1,0),"")</f>
        <v/>
      </c>
      <c r="S236" s="133" t="str">
        <f>IF($A236&lt;&gt;0,VLOOKUP($A236,'0.Productos'!$A$3:$GG$587,'0.Productos'!BK$1+1,0),"")</f>
        <v/>
      </c>
      <c r="T236" s="133" t="str">
        <f>IF($A236&lt;&gt;0,VLOOKUP($A236,'0.Productos'!$A$3:$GG$587,'0.Productos'!BL$1+1,0),"")</f>
        <v/>
      </c>
      <c r="U236" s="133" t="str">
        <f>IF($A236&lt;&gt;0,VLOOKUP($A236,'0.Productos'!$A$3:$GG$587,'0.Productos'!BM$1+1,0),"")</f>
        <v/>
      </c>
      <c r="V236" s="133" t="str">
        <f>IF($A236&lt;&gt;0,VLOOKUP($A236,'0.Productos'!$A$3:$GG$587,'0.Productos'!BN$1+1,0),"")</f>
        <v/>
      </c>
      <c r="W236" s="133" t="str">
        <f>IF($A236&lt;&gt;0,VLOOKUP($A236,'0.Productos'!$A$3:$GG$587,'0.Productos'!BO$1+1,0),"")</f>
        <v/>
      </c>
      <c r="X236" s="133" t="str">
        <f>IF($A236&lt;&gt;0,VLOOKUP($A236,'0.Productos'!$A$3:$GG$587,'0.Productos'!BP$1+1,0),"")</f>
        <v/>
      </c>
      <c r="Y236" s="133" t="str">
        <f>IF($A236&lt;&gt;0,VLOOKUP($A236,'0.Productos'!$A$3:$GG$587,'0.Productos'!BQ$1+1,0),"")</f>
        <v/>
      </c>
      <c r="Z236" s="133" t="str">
        <f>IF($A236&lt;&gt;0,VLOOKUP($A236,'0.Productos'!$A$3:$GG$587,'0.Productos'!BR$1+1,0),"")</f>
        <v/>
      </c>
      <c r="AA236" s="133" t="str">
        <f>IF($A236&lt;&gt;0,VLOOKUP($A236,'0.Productos'!$A$3:$GG$587,'0.Productos'!BS$1+1,0),"")</f>
        <v/>
      </c>
      <c r="AB236" s="133" t="str">
        <f>IF($A236&lt;&gt;0,VLOOKUP($A236,'0.Productos'!$A$3:$GG$587,'0.Productos'!BT$1+1,0),"")</f>
        <v/>
      </c>
      <c r="AC236" s="133" t="str">
        <f>IF($A236&lt;&gt;0,VLOOKUP($A236,'0.Productos'!$A$3:$GG$587,'0.Productos'!BU$1+1,0),"")</f>
        <v/>
      </c>
      <c r="AD236" s="133" t="str">
        <f>IF($A236&lt;&gt;0,VLOOKUP($A236,'0.Productos'!$A$3:$GG$587,'0.Productos'!BV$1+1,0),"")</f>
        <v/>
      </c>
      <c r="AE236" s="133" t="str">
        <f>IF($A236&lt;&gt;0,VLOOKUP($A236,'0.Productos'!$A$3:$GG$587,'0.Productos'!BW$1+1,0),"")</f>
        <v/>
      </c>
      <c r="AF236" s="133" t="str">
        <f>IF($A236&lt;&gt;0,VLOOKUP($A236,'0.Productos'!$A$3:$GG$587,'0.Productos'!BX$1+1,0),"")</f>
        <v/>
      </c>
      <c r="AG236" s="133" t="str">
        <f>IF($A236&lt;&gt;0,VLOOKUP($A236,'0.Productos'!$A$3:$GG$587,'0.Productos'!BY$1+1,0),"")</f>
        <v/>
      </c>
      <c r="AH236" s="133" t="str">
        <f>IF($A236&lt;&gt;0,VLOOKUP($A236,'0.Productos'!$A$3:$GG$587,'0.Productos'!BZ$1+1,0),"")</f>
        <v/>
      </c>
      <c r="AI236" s="133" t="str">
        <f>IF($A236&lt;&gt;0,VLOOKUP($A236,'0.Productos'!$A$3:$GG$587,'0.Productos'!CA$1+1,0),"")</f>
        <v/>
      </c>
      <c r="AJ236" s="133" t="str">
        <f>IF($A236&lt;&gt;0,VLOOKUP($A236,'0.Productos'!$A$3:$GG$587,'0.Productos'!CB$1+1,0),"")</f>
        <v/>
      </c>
      <c r="AK236" s="133" t="str">
        <f>IF($A236&lt;&gt;0,VLOOKUP($A236,'0.Productos'!$A$3:$GG$587,'0.Productos'!CC$1+1,0),"")</f>
        <v/>
      </c>
      <c r="AL236" s="133" t="str">
        <f>IF($A236&lt;&gt;0,VLOOKUP($A236,'0.Productos'!$A$3:$GG$587,'0.Productos'!CD$1+1,0),"")</f>
        <v/>
      </c>
      <c r="AM236" s="133" t="str">
        <f>IF($A236&lt;&gt;0,VLOOKUP($A236,'0.Productos'!$A$3:$GG$587,'0.Productos'!CE$1+1,0),"")</f>
        <v/>
      </c>
      <c r="AN236" s="133" t="str">
        <f>IF($A236&lt;&gt;0,VLOOKUP($A236,'0.Productos'!$A$3:$GG$587,'0.Productos'!CF$1+1,0),"")</f>
        <v/>
      </c>
      <c r="AO236" s="133" t="str">
        <f>IF($A236&lt;&gt;0,VLOOKUP($A236,'0.Productos'!$A$3:$GG$587,'0.Productos'!CG$1+1,0),"")</f>
        <v/>
      </c>
      <c r="AP236" s="133" t="str">
        <f>IF($A236&lt;&gt;0,VLOOKUP($A236,'0.Productos'!$A$3:$GG$587,'0.Productos'!CH$1+1,0),"")</f>
        <v/>
      </c>
      <c r="AQ236" s="133" t="str">
        <f>IF($A236&lt;&gt;0,VLOOKUP($A236,'0.Productos'!$A$3:$GG$587,'0.Productos'!CI$1+1,0),"")</f>
        <v/>
      </c>
      <c r="AR236" s="133" t="str">
        <f>IF($A236&lt;&gt;0,VLOOKUP($A236,'0.Productos'!$A$3:$GG$587,'0.Productos'!CJ$1+1,0),"")</f>
        <v/>
      </c>
      <c r="AS236" s="133" t="str">
        <f>IF($A236&lt;&gt;0,VLOOKUP($A236,'0.Productos'!$A$3:$GG$587,'0.Productos'!CK$1+1,0),"")</f>
        <v/>
      </c>
      <c r="AT236" s="133" t="str">
        <f>IF($A236&lt;&gt;0,VLOOKUP($A236,'0.Productos'!$A$3:$GG$587,'0.Productos'!CL$1+1,0),"")</f>
        <v/>
      </c>
      <c r="AU236" s="133" t="str">
        <f>IF($A236&lt;&gt;0,VLOOKUP($A236,'0.Productos'!$A$3:$GG$587,'0.Productos'!CM$1+1,0),"")</f>
        <v/>
      </c>
      <c r="AV236" s="133" t="str">
        <f>IF($A236&lt;&gt;0,VLOOKUP($A236,'0.Productos'!$A$3:$GG$587,'0.Productos'!CN$1+1,0),"")</f>
        <v/>
      </c>
      <c r="AW236" s="133" t="str">
        <f>IF($A236&lt;&gt;0,VLOOKUP($A236,'0.Productos'!$A$3:$GG$587,'0.Productos'!CO$1+1,0),"")</f>
        <v/>
      </c>
      <c r="AX236" s="133" t="str">
        <f>IF($A236&lt;&gt;0,VLOOKUP($A236,'0.Productos'!$A$3:$GG$587,'0.Productos'!CP$1+1,0),"")</f>
        <v/>
      </c>
      <c r="AY236" s="133" t="str">
        <f>IF($A236&lt;&gt;0,VLOOKUP($A236,'0.Productos'!$A$3:$GG$587,'0.Productos'!CQ$1+1,0),"")</f>
        <v/>
      </c>
      <c r="AZ236" s="133" t="str">
        <f>IF($A236&lt;&gt;0,VLOOKUP($A236,'0.Productos'!$A$3:$GG$587,'0.Productos'!CR$1+1,0),"")</f>
        <v/>
      </c>
      <c r="BA236" s="133" t="str">
        <f>IF($A236&lt;&gt;0,VLOOKUP($A236,'0.Productos'!$A$3:$GG$587,'0.Productos'!CS$1+1,0),"")</f>
        <v/>
      </c>
      <c r="BB236" s="133" t="str">
        <f>IF($A236&lt;&gt;0,VLOOKUP($A236,'0.Productos'!$A$3:$GG$587,'0.Productos'!CT$1+1,0),"")</f>
        <v/>
      </c>
      <c r="BC236" s="133" t="str">
        <f>IF($A236&lt;&gt;0,VLOOKUP($A236,'0.Productos'!$A$3:$GG$587,'0.Productos'!CU$1+1,0),"")</f>
        <v/>
      </c>
      <c r="BD236" s="133" t="str">
        <f>IF($A236&lt;&gt;0,VLOOKUP($A236,'0.Productos'!$A$3:$GG$587,'0.Productos'!CV$1+1,0),"")</f>
        <v/>
      </c>
      <c r="BE236" s="133" t="str">
        <f>IF($A236&lt;&gt;0,VLOOKUP($A236,'0.Productos'!$A$3:$GG$587,'0.Productos'!CW$1+1,0),"")</f>
        <v/>
      </c>
      <c r="BF236" s="133" t="str">
        <f>IF($A236&lt;&gt;0,VLOOKUP($A236,'0.Productos'!$A$3:$GG$587,'0.Productos'!CX$1+1,0),"")</f>
        <v/>
      </c>
      <c r="BG236" s="133" t="str">
        <f>IF($A236&lt;&gt;0,VLOOKUP($A236,'0.Productos'!$A$3:$GG$587,'0.Productos'!CY$1+1,0),"")</f>
        <v/>
      </c>
      <c r="BH236" s="133" t="str">
        <f>IF($A236&lt;&gt;0,VLOOKUP($A236,'0.Productos'!$A$3:$GG$587,'0.Productos'!CZ$1+1,0),"")</f>
        <v/>
      </c>
      <c r="BI236" s="133" t="str">
        <f>IF($A236&lt;&gt;0,VLOOKUP($A236,'0.Productos'!$A$3:$GG$587,'0.Productos'!DA$1+1,0),"")</f>
        <v/>
      </c>
      <c r="BJ236" s="133" t="str">
        <f>IF($A236&lt;&gt;0,VLOOKUP($A236,'0.Productos'!$A$3:$GG$587,'0.Productos'!DB$1+1,0),"")</f>
        <v/>
      </c>
      <c r="BK236" s="133" t="str">
        <f>IF($A236&lt;&gt;0,VLOOKUP($A236,'0.Productos'!$A$3:$GG$587,'0.Productos'!DC$1+1,0),"")</f>
        <v/>
      </c>
      <c r="BL236" s="133" t="str">
        <f>IF($A236&lt;&gt;0,VLOOKUP($A236,'0.Productos'!$A$3:$GG$587,'0.Productos'!DD$1+1,0),"")</f>
        <v/>
      </c>
      <c r="BM236" s="133" t="str">
        <f>IF($A236&lt;&gt;0,VLOOKUP($A236,'0.Productos'!$A$3:$GG$587,'0.Productos'!DE$1+1,0),"")</f>
        <v/>
      </c>
      <c r="BN236" s="133" t="str">
        <f>IF($A236&lt;&gt;0,VLOOKUP($A236,'0.Productos'!$A$3:$GG$587,'0.Productos'!DF$1+1,0),"")</f>
        <v/>
      </c>
      <c r="BO236" s="133" t="str">
        <f>IF($A236&lt;&gt;0,VLOOKUP($A236,'0.Productos'!$A$3:$GG$587,'0.Productos'!DG$1+1,0),"")</f>
        <v/>
      </c>
      <c r="BP236" s="133" t="str">
        <f>IF($A236&lt;&gt;0,VLOOKUP($A236,'0.Productos'!$A$3:$GG$587,'0.Productos'!DH$1+1,0),"")</f>
        <v/>
      </c>
      <c r="BQ236" s="133" t="str">
        <f>IF($A236&lt;&gt;0,VLOOKUP($A236,'0.Productos'!$A$3:$GG$587,'0.Productos'!DI$1+1,0),"")</f>
        <v/>
      </c>
      <c r="BR236" s="133" t="str">
        <f>IF($A236&lt;&gt;0,VLOOKUP($A236,'0.Productos'!$A$3:$GG$587,'0.Productos'!DJ$1+1,0),"")</f>
        <v/>
      </c>
      <c r="BS236" s="133" t="str">
        <f>IF($A236&lt;&gt;0,VLOOKUP($A236,'0.Productos'!$A$3:$GG$587,'0.Productos'!DK$1+1,0),"")</f>
        <v/>
      </c>
      <c r="BT236" s="133" t="str">
        <f>IF($A236&lt;&gt;0,VLOOKUP($A236,'0.Productos'!$A$3:$GG$587,'0.Productos'!DL$1+1,0),"")</f>
        <v/>
      </c>
    </row>
    <row r="237" spans="1:72" x14ac:dyDescent="0.25">
      <c r="A237" s="17">
        <f>'0.Consolidado general'!A237</f>
        <v>0</v>
      </c>
      <c r="B237" s="133" t="str">
        <f>IF($A237&lt;&gt;0,VLOOKUP($A237,'0.Productos'!$A$3:$GG$587,'0.Productos'!AT$1+1,0),"")</f>
        <v/>
      </c>
      <c r="C237" s="133" t="str">
        <f>IF($A237&lt;&gt;0,VLOOKUP($A237,'0.Productos'!$A$3:$GG$587,'0.Productos'!AU$1+1,0),"")</f>
        <v/>
      </c>
      <c r="D237" s="133" t="str">
        <f>IF($A237&lt;&gt;0,VLOOKUP($A237,'0.Productos'!$A$3:$GG$587,'0.Productos'!AV$1+1,0),"")</f>
        <v/>
      </c>
      <c r="E237" s="133" t="str">
        <f>IF($A237&lt;&gt;0,VLOOKUP($A237,'0.Productos'!$A$3:$GG$587,'0.Productos'!AW$1+1,0),"")</f>
        <v/>
      </c>
      <c r="F237" s="133" t="str">
        <f>IF($A237&lt;&gt;0,VLOOKUP($A237,'0.Productos'!$A$3:$GG$587,'0.Productos'!AX$1+1,0),"")</f>
        <v/>
      </c>
      <c r="G237" s="133" t="str">
        <f>IF($A237&lt;&gt;0,VLOOKUP($A237,'0.Productos'!$A$3:$GG$587,'0.Productos'!AY$1+1,0),"")</f>
        <v/>
      </c>
      <c r="H237" s="133" t="str">
        <f>IF($A237&lt;&gt;0,VLOOKUP($A237,'0.Productos'!$A$3:$GG$587,'0.Productos'!AZ$1+1,0),"")</f>
        <v/>
      </c>
      <c r="I237" s="133" t="str">
        <f>IF($A237&lt;&gt;0,VLOOKUP($A237,'0.Productos'!$A$3:$GG$587,'0.Productos'!BA$1+1,0),"")</f>
        <v/>
      </c>
      <c r="J237" s="133" t="str">
        <f>IF($A237&lt;&gt;0,VLOOKUP($A237,'0.Productos'!$A$3:$GG$587,'0.Productos'!BB$1+1,0),"")</f>
        <v/>
      </c>
      <c r="K237" s="133" t="str">
        <f>IF($A237&lt;&gt;0,VLOOKUP($A237,'0.Productos'!$A$3:$GG$587,'0.Productos'!BC$1+1,0),"")</f>
        <v/>
      </c>
      <c r="L237" s="133" t="str">
        <f>IF($A237&lt;&gt;0,VLOOKUP($A237,'0.Productos'!$A$3:$GG$587,'0.Productos'!BD$1+1,0),"")</f>
        <v/>
      </c>
      <c r="M237" s="133" t="str">
        <f>IF($A237&lt;&gt;0,VLOOKUP($A237,'0.Productos'!$A$3:$GG$587,'0.Productos'!BE$1+1,0),"")</f>
        <v/>
      </c>
      <c r="N237" s="133" t="str">
        <f>IF($A237&lt;&gt;0,VLOOKUP($A237,'0.Productos'!$A$3:$GG$587,'0.Productos'!BF$1+1,0),"")</f>
        <v/>
      </c>
      <c r="O237" s="133" t="str">
        <f>IF($A237&lt;&gt;0,VLOOKUP($A237,'0.Productos'!$A$3:$GG$587,'0.Productos'!BG$1+1,0),"")</f>
        <v/>
      </c>
      <c r="P237" s="133" t="str">
        <f>IF($A237&lt;&gt;0,VLOOKUP($A237,'0.Productos'!$A$3:$GG$587,'0.Productos'!BH$1+1,0),"")</f>
        <v/>
      </c>
      <c r="Q237" s="133" t="str">
        <f>IF($A237&lt;&gt;0,VLOOKUP($A237,'0.Productos'!$A$3:$GG$587,'0.Productos'!BI$1+1,0),"")</f>
        <v/>
      </c>
      <c r="R237" s="133" t="str">
        <f>IF($A237&lt;&gt;0,VLOOKUP($A237,'0.Productos'!$A$3:$GG$587,'0.Productos'!BJ$1+1,0),"")</f>
        <v/>
      </c>
      <c r="S237" s="133" t="str">
        <f>IF($A237&lt;&gt;0,VLOOKUP($A237,'0.Productos'!$A$3:$GG$587,'0.Productos'!BK$1+1,0),"")</f>
        <v/>
      </c>
      <c r="T237" s="133" t="str">
        <f>IF($A237&lt;&gt;0,VLOOKUP($A237,'0.Productos'!$A$3:$GG$587,'0.Productos'!BL$1+1,0),"")</f>
        <v/>
      </c>
      <c r="U237" s="133" t="str">
        <f>IF($A237&lt;&gt;0,VLOOKUP($A237,'0.Productos'!$A$3:$GG$587,'0.Productos'!BM$1+1,0),"")</f>
        <v/>
      </c>
      <c r="V237" s="133" t="str">
        <f>IF($A237&lt;&gt;0,VLOOKUP($A237,'0.Productos'!$A$3:$GG$587,'0.Productos'!BN$1+1,0),"")</f>
        <v/>
      </c>
      <c r="W237" s="133" t="str">
        <f>IF($A237&lt;&gt;0,VLOOKUP($A237,'0.Productos'!$A$3:$GG$587,'0.Productos'!BO$1+1,0),"")</f>
        <v/>
      </c>
      <c r="X237" s="133" t="str">
        <f>IF($A237&lt;&gt;0,VLOOKUP($A237,'0.Productos'!$A$3:$GG$587,'0.Productos'!BP$1+1,0),"")</f>
        <v/>
      </c>
      <c r="Y237" s="133" t="str">
        <f>IF($A237&lt;&gt;0,VLOOKUP($A237,'0.Productos'!$A$3:$GG$587,'0.Productos'!BQ$1+1,0),"")</f>
        <v/>
      </c>
      <c r="Z237" s="133" t="str">
        <f>IF($A237&lt;&gt;0,VLOOKUP($A237,'0.Productos'!$A$3:$GG$587,'0.Productos'!BR$1+1,0),"")</f>
        <v/>
      </c>
      <c r="AA237" s="133" t="str">
        <f>IF($A237&lt;&gt;0,VLOOKUP($A237,'0.Productos'!$A$3:$GG$587,'0.Productos'!BS$1+1,0),"")</f>
        <v/>
      </c>
      <c r="AB237" s="133" t="str">
        <f>IF($A237&lt;&gt;0,VLOOKUP($A237,'0.Productos'!$A$3:$GG$587,'0.Productos'!BT$1+1,0),"")</f>
        <v/>
      </c>
      <c r="AC237" s="133" t="str">
        <f>IF($A237&lt;&gt;0,VLOOKUP($A237,'0.Productos'!$A$3:$GG$587,'0.Productos'!BU$1+1,0),"")</f>
        <v/>
      </c>
      <c r="AD237" s="133" t="str">
        <f>IF($A237&lt;&gt;0,VLOOKUP($A237,'0.Productos'!$A$3:$GG$587,'0.Productos'!BV$1+1,0),"")</f>
        <v/>
      </c>
      <c r="AE237" s="133" t="str">
        <f>IF($A237&lt;&gt;0,VLOOKUP($A237,'0.Productos'!$A$3:$GG$587,'0.Productos'!BW$1+1,0),"")</f>
        <v/>
      </c>
      <c r="AF237" s="133" t="str">
        <f>IF($A237&lt;&gt;0,VLOOKUP($A237,'0.Productos'!$A$3:$GG$587,'0.Productos'!BX$1+1,0),"")</f>
        <v/>
      </c>
      <c r="AG237" s="133" t="str">
        <f>IF($A237&lt;&gt;0,VLOOKUP($A237,'0.Productos'!$A$3:$GG$587,'0.Productos'!BY$1+1,0),"")</f>
        <v/>
      </c>
      <c r="AH237" s="133" t="str">
        <f>IF($A237&lt;&gt;0,VLOOKUP($A237,'0.Productos'!$A$3:$GG$587,'0.Productos'!BZ$1+1,0),"")</f>
        <v/>
      </c>
      <c r="AI237" s="133" t="str">
        <f>IF($A237&lt;&gt;0,VLOOKUP($A237,'0.Productos'!$A$3:$GG$587,'0.Productos'!CA$1+1,0),"")</f>
        <v/>
      </c>
      <c r="AJ237" s="133" t="str">
        <f>IF($A237&lt;&gt;0,VLOOKUP($A237,'0.Productos'!$A$3:$GG$587,'0.Productos'!CB$1+1,0),"")</f>
        <v/>
      </c>
      <c r="AK237" s="133" t="str">
        <f>IF($A237&lt;&gt;0,VLOOKUP($A237,'0.Productos'!$A$3:$GG$587,'0.Productos'!CC$1+1,0),"")</f>
        <v/>
      </c>
      <c r="AL237" s="133" t="str">
        <f>IF($A237&lt;&gt;0,VLOOKUP($A237,'0.Productos'!$A$3:$GG$587,'0.Productos'!CD$1+1,0),"")</f>
        <v/>
      </c>
      <c r="AM237" s="133" t="str">
        <f>IF($A237&lt;&gt;0,VLOOKUP($A237,'0.Productos'!$A$3:$GG$587,'0.Productos'!CE$1+1,0),"")</f>
        <v/>
      </c>
      <c r="AN237" s="133" t="str">
        <f>IF($A237&lt;&gt;0,VLOOKUP($A237,'0.Productos'!$A$3:$GG$587,'0.Productos'!CF$1+1,0),"")</f>
        <v/>
      </c>
      <c r="AO237" s="133" t="str">
        <f>IF($A237&lt;&gt;0,VLOOKUP($A237,'0.Productos'!$A$3:$GG$587,'0.Productos'!CG$1+1,0),"")</f>
        <v/>
      </c>
      <c r="AP237" s="133" t="str">
        <f>IF($A237&lt;&gt;0,VLOOKUP($A237,'0.Productos'!$A$3:$GG$587,'0.Productos'!CH$1+1,0),"")</f>
        <v/>
      </c>
      <c r="AQ237" s="133" t="str">
        <f>IF($A237&lt;&gt;0,VLOOKUP($A237,'0.Productos'!$A$3:$GG$587,'0.Productos'!CI$1+1,0),"")</f>
        <v/>
      </c>
      <c r="AR237" s="133" t="str">
        <f>IF($A237&lt;&gt;0,VLOOKUP($A237,'0.Productos'!$A$3:$GG$587,'0.Productos'!CJ$1+1,0),"")</f>
        <v/>
      </c>
      <c r="AS237" s="133" t="str">
        <f>IF($A237&lt;&gt;0,VLOOKUP($A237,'0.Productos'!$A$3:$GG$587,'0.Productos'!CK$1+1,0),"")</f>
        <v/>
      </c>
      <c r="AT237" s="133" t="str">
        <f>IF($A237&lt;&gt;0,VLOOKUP($A237,'0.Productos'!$A$3:$GG$587,'0.Productos'!CL$1+1,0),"")</f>
        <v/>
      </c>
      <c r="AU237" s="133" t="str">
        <f>IF($A237&lt;&gt;0,VLOOKUP($A237,'0.Productos'!$A$3:$GG$587,'0.Productos'!CM$1+1,0),"")</f>
        <v/>
      </c>
      <c r="AV237" s="133" t="str">
        <f>IF($A237&lt;&gt;0,VLOOKUP($A237,'0.Productos'!$A$3:$GG$587,'0.Productos'!CN$1+1,0),"")</f>
        <v/>
      </c>
      <c r="AW237" s="133" t="str">
        <f>IF($A237&lt;&gt;0,VLOOKUP($A237,'0.Productos'!$A$3:$GG$587,'0.Productos'!CO$1+1,0),"")</f>
        <v/>
      </c>
      <c r="AX237" s="133" t="str">
        <f>IF($A237&lt;&gt;0,VLOOKUP($A237,'0.Productos'!$A$3:$GG$587,'0.Productos'!CP$1+1,0),"")</f>
        <v/>
      </c>
      <c r="AY237" s="133" t="str">
        <f>IF($A237&lt;&gt;0,VLOOKUP($A237,'0.Productos'!$A$3:$GG$587,'0.Productos'!CQ$1+1,0),"")</f>
        <v/>
      </c>
      <c r="AZ237" s="133" t="str">
        <f>IF($A237&lt;&gt;0,VLOOKUP($A237,'0.Productos'!$A$3:$GG$587,'0.Productos'!CR$1+1,0),"")</f>
        <v/>
      </c>
      <c r="BA237" s="133" t="str">
        <f>IF($A237&lt;&gt;0,VLOOKUP($A237,'0.Productos'!$A$3:$GG$587,'0.Productos'!CS$1+1,0),"")</f>
        <v/>
      </c>
      <c r="BB237" s="133" t="str">
        <f>IF($A237&lt;&gt;0,VLOOKUP($A237,'0.Productos'!$A$3:$GG$587,'0.Productos'!CT$1+1,0),"")</f>
        <v/>
      </c>
      <c r="BC237" s="133" t="str">
        <f>IF($A237&lt;&gt;0,VLOOKUP($A237,'0.Productos'!$A$3:$GG$587,'0.Productos'!CU$1+1,0),"")</f>
        <v/>
      </c>
      <c r="BD237" s="133" t="str">
        <f>IF($A237&lt;&gt;0,VLOOKUP($A237,'0.Productos'!$A$3:$GG$587,'0.Productos'!CV$1+1,0),"")</f>
        <v/>
      </c>
      <c r="BE237" s="133" t="str">
        <f>IF($A237&lt;&gt;0,VLOOKUP($A237,'0.Productos'!$A$3:$GG$587,'0.Productos'!CW$1+1,0),"")</f>
        <v/>
      </c>
      <c r="BF237" s="133" t="str">
        <f>IF($A237&lt;&gt;0,VLOOKUP($A237,'0.Productos'!$A$3:$GG$587,'0.Productos'!CX$1+1,0),"")</f>
        <v/>
      </c>
      <c r="BG237" s="133" t="str">
        <f>IF($A237&lt;&gt;0,VLOOKUP($A237,'0.Productos'!$A$3:$GG$587,'0.Productos'!CY$1+1,0),"")</f>
        <v/>
      </c>
      <c r="BH237" s="133" t="str">
        <f>IF($A237&lt;&gt;0,VLOOKUP($A237,'0.Productos'!$A$3:$GG$587,'0.Productos'!CZ$1+1,0),"")</f>
        <v/>
      </c>
      <c r="BI237" s="133" t="str">
        <f>IF($A237&lt;&gt;0,VLOOKUP($A237,'0.Productos'!$A$3:$GG$587,'0.Productos'!DA$1+1,0),"")</f>
        <v/>
      </c>
      <c r="BJ237" s="133" t="str">
        <f>IF($A237&lt;&gt;0,VLOOKUP($A237,'0.Productos'!$A$3:$GG$587,'0.Productos'!DB$1+1,0),"")</f>
        <v/>
      </c>
      <c r="BK237" s="133" t="str">
        <f>IF($A237&lt;&gt;0,VLOOKUP($A237,'0.Productos'!$A$3:$GG$587,'0.Productos'!DC$1+1,0),"")</f>
        <v/>
      </c>
      <c r="BL237" s="133" t="str">
        <f>IF($A237&lt;&gt;0,VLOOKUP($A237,'0.Productos'!$A$3:$GG$587,'0.Productos'!DD$1+1,0),"")</f>
        <v/>
      </c>
      <c r="BM237" s="133" t="str">
        <f>IF($A237&lt;&gt;0,VLOOKUP($A237,'0.Productos'!$A$3:$GG$587,'0.Productos'!DE$1+1,0),"")</f>
        <v/>
      </c>
      <c r="BN237" s="133" t="str">
        <f>IF($A237&lt;&gt;0,VLOOKUP($A237,'0.Productos'!$A$3:$GG$587,'0.Productos'!DF$1+1,0),"")</f>
        <v/>
      </c>
      <c r="BO237" s="133" t="str">
        <f>IF($A237&lt;&gt;0,VLOOKUP($A237,'0.Productos'!$A$3:$GG$587,'0.Productos'!DG$1+1,0),"")</f>
        <v/>
      </c>
      <c r="BP237" s="133" t="str">
        <f>IF($A237&lt;&gt;0,VLOOKUP($A237,'0.Productos'!$A$3:$GG$587,'0.Productos'!DH$1+1,0),"")</f>
        <v/>
      </c>
      <c r="BQ237" s="133" t="str">
        <f>IF($A237&lt;&gt;0,VLOOKUP($A237,'0.Productos'!$A$3:$GG$587,'0.Productos'!DI$1+1,0),"")</f>
        <v/>
      </c>
      <c r="BR237" s="133" t="str">
        <f>IF($A237&lt;&gt;0,VLOOKUP($A237,'0.Productos'!$A$3:$GG$587,'0.Productos'!DJ$1+1,0),"")</f>
        <v/>
      </c>
      <c r="BS237" s="133" t="str">
        <f>IF($A237&lt;&gt;0,VLOOKUP($A237,'0.Productos'!$A$3:$GG$587,'0.Productos'!DK$1+1,0),"")</f>
        <v/>
      </c>
      <c r="BT237" s="133" t="str">
        <f>IF($A237&lt;&gt;0,VLOOKUP($A237,'0.Productos'!$A$3:$GG$587,'0.Productos'!DL$1+1,0),"")</f>
        <v/>
      </c>
    </row>
    <row r="238" spans="1:72" x14ac:dyDescent="0.25">
      <c r="A238" s="17">
        <f>'0.Consolidado general'!A238</f>
        <v>0</v>
      </c>
      <c r="B238" s="133" t="str">
        <f>IF($A238&lt;&gt;0,VLOOKUP($A238,'0.Productos'!$A$3:$GG$587,'0.Productos'!AT$1+1,0),"")</f>
        <v/>
      </c>
      <c r="C238" s="133" t="str">
        <f>IF($A238&lt;&gt;0,VLOOKUP($A238,'0.Productos'!$A$3:$GG$587,'0.Productos'!AU$1+1,0),"")</f>
        <v/>
      </c>
      <c r="D238" s="133" t="str">
        <f>IF($A238&lt;&gt;0,VLOOKUP($A238,'0.Productos'!$A$3:$GG$587,'0.Productos'!AV$1+1,0),"")</f>
        <v/>
      </c>
      <c r="E238" s="133" t="str">
        <f>IF($A238&lt;&gt;0,VLOOKUP($A238,'0.Productos'!$A$3:$GG$587,'0.Productos'!AW$1+1,0),"")</f>
        <v/>
      </c>
      <c r="F238" s="133" t="str">
        <f>IF($A238&lt;&gt;0,VLOOKUP($A238,'0.Productos'!$A$3:$GG$587,'0.Productos'!AX$1+1,0),"")</f>
        <v/>
      </c>
      <c r="G238" s="133" t="str">
        <f>IF($A238&lt;&gt;0,VLOOKUP($A238,'0.Productos'!$A$3:$GG$587,'0.Productos'!AY$1+1,0),"")</f>
        <v/>
      </c>
      <c r="H238" s="133" t="str">
        <f>IF($A238&lt;&gt;0,VLOOKUP($A238,'0.Productos'!$A$3:$GG$587,'0.Productos'!AZ$1+1,0),"")</f>
        <v/>
      </c>
      <c r="I238" s="133" t="str">
        <f>IF($A238&lt;&gt;0,VLOOKUP($A238,'0.Productos'!$A$3:$GG$587,'0.Productos'!BA$1+1,0),"")</f>
        <v/>
      </c>
      <c r="J238" s="133" t="str">
        <f>IF($A238&lt;&gt;0,VLOOKUP($A238,'0.Productos'!$A$3:$GG$587,'0.Productos'!BB$1+1,0),"")</f>
        <v/>
      </c>
      <c r="K238" s="133" t="str">
        <f>IF($A238&lt;&gt;0,VLOOKUP($A238,'0.Productos'!$A$3:$GG$587,'0.Productos'!BC$1+1,0),"")</f>
        <v/>
      </c>
      <c r="L238" s="133" t="str">
        <f>IF($A238&lt;&gt;0,VLOOKUP($A238,'0.Productos'!$A$3:$GG$587,'0.Productos'!BD$1+1,0),"")</f>
        <v/>
      </c>
      <c r="M238" s="133" t="str">
        <f>IF($A238&lt;&gt;0,VLOOKUP($A238,'0.Productos'!$A$3:$GG$587,'0.Productos'!BE$1+1,0),"")</f>
        <v/>
      </c>
      <c r="N238" s="133" t="str">
        <f>IF($A238&lt;&gt;0,VLOOKUP($A238,'0.Productos'!$A$3:$GG$587,'0.Productos'!BF$1+1,0),"")</f>
        <v/>
      </c>
      <c r="O238" s="133" t="str">
        <f>IF($A238&lt;&gt;0,VLOOKUP($A238,'0.Productos'!$A$3:$GG$587,'0.Productos'!BG$1+1,0),"")</f>
        <v/>
      </c>
      <c r="P238" s="133" t="str">
        <f>IF($A238&lt;&gt;0,VLOOKUP($A238,'0.Productos'!$A$3:$GG$587,'0.Productos'!BH$1+1,0),"")</f>
        <v/>
      </c>
      <c r="Q238" s="133" t="str">
        <f>IF($A238&lt;&gt;0,VLOOKUP($A238,'0.Productos'!$A$3:$GG$587,'0.Productos'!BI$1+1,0),"")</f>
        <v/>
      </c>
      <c r="R238" s="133" t="str">
        <f>IF($A238&lt;&gt;0,VLOOKUP($A238,'0.Productos'!$A$3:$GG$587,'0.Productos'!BJ$1+1,0),"")</f>
        <v/>
      </c>
      <c r="S238" s="133" t="str">
        <f>IF($A238&lt;&gt;0,VLOOKUP($A238,'0.Productos'!$A$3:$GG$587,'0.Productos'!BK$1+1,0),"")</f>
        <v/>
      </c>
      <c r="T238" s="133" t="str">
        <f>IF($A238&lt;&gt;0,VLOOKUP($A238,'0.Productos'!$A$3:$GG$587,'0.Productos'!BL$1+1,0),"")</f>
        <v/>
      </c>
      <c r="U238" s="133" t="str">
        <f>IF($A238&lt;&gt;0,VLOOKUP($A238,'0.Productos'!$A$3:$GG$587,'0.Productos'!BM$1+1,0),"")</f>
        <v/>
      </c>
      <c r="V238" s="133" t="str">
        <f>IF($A238&lt;&gt;0,VLOOKUP($A238,'0.Productos'!$A$3:$GG$587,'0.Productos'!BN$1+1,0),"")</f>
        <v/>
      </c>
      <c r="W238" s="133" t="str">
        <f>IF($A238&lt;&gt;0,VLOOKUP($A238,'0.Productos'!$A$3:$GG$587,'0.Productos'!BO$1+1,0),"")</f>
        <v/>
      </c>
      <c r="X238" s="133" t="str">
        <f>IF($A238&lt;&gt;0,VLOOKUP($A238,'0.Productos'!$A$3:$GG$587,'0.Productos'!BP$1+1,0),"")</f>
        <v/>
      </c>
      <c r="Y238" s="133" t="str">
        <f>IF($A238&lt;&gt;0,VLOOKUP($A238,'0.Productos'!$A$3:$GG$587,'0.Productos'!BQ$1+1,0),"")</f>
        <v/>
      </c>
      <c r="Z238" s="133" t="str">
        <f>IF($A238&lt;&gt;0,VLOOKUP($A238,'0.Productos'!$A$3:$GG$587,'0.Productos'!BR$1+1,0),"")</f>
        <v/>
      </c>
      <c r="AA238" s="133" t="str">
        <f>IF($A238&lt;&gt;0,VLOOKUP($A238,'0.Productos'!$A$3:$GG$587,'0.Productos'!BS$1+1,0),"")</f>
        <v/>
      </c>
      <c r="AB238" s="133" t="str">
        <f>IF($A238&lt;&gt;0,VLOOKUP($A238,'0.Productos'!$A$3:$GG$587,'0.Productos'!BT$1+1,0),"")</f>
        <v/>
      </c>
      <c r="AC238" s="133" t="str">
        <f>IF($A238&lt;&gt;0,VLOOKUP($A238,'0.Productos'!$A$3:$GG$587,'0.Productos'!BU$1+1,0),"")</f>
        <v/>
      </c>
      <c r="AD238" s="133" t="str">
        <f>IF($A238&lt;&gt;0,VLOOKUP($A238,'0.Productos'!$A$3:$GG$587,'0.Productos'!BV$1+1,0),"")</f>
        <v/>
      </c>
      <c r="AE238" s="133" t="str">
        <f>IF($A238&lt;&gt;0,VLOOKUP($A238,'0.Productos'!$A$3:$GG$587,'0.Productos'!BW$1+1,0),"")</f>
        <v/>
      </c>
      <c r="AF238" s="133" t="str">
        <f>IF($A238&lt;&gt;0,VLOOKUP($A238,'0.Productos'!$A$3:$GG$587,'0.Productos'!BX$1+1,0),"")</f>
        <v/>
      </c>
      <c r="AG238" s="133" t="str">
        <f>IF($A238&lt;&gt;0,VLOOKUP($A238,'0.Productos'!$A$3:$GG$587,'0.Productos'!BY$1+1,0),"")</f>
        <v/>
      </c>
      <c r="AH238" s="133" t="str">
        <f>IF($A238&lt;&gt;0,VLOOKUP($A238,'0.Productos'!$A$3:$GG$587,'0.Productos'!BZ$1+1,0),"")</f>
        <v/>
      </c>
      <c r="AI238" s="133" t="str">
        <f>IF($A238&lt;&gt;0,VLOOKUP($A238,'0.Productos'!$A$3:$GG$587,'0.Productos'!CA$1+1,0),"")</f>
        <v/>
      </c>
      <c r="AJ238" s="133" t="str">
        <f>IF($A238&lt;&gt;0,VLOOKUP($A238,'0.Productos'!$A$3:$GG$587,'0.Productos'!CB$1+1,0),"")</f>
        <v/>
      </c>
      <c r="AK238" s="133" t="str">
        <f>IF($A238&lt;&gt;0,VLOOKUP($A238,'0.Productos'!$A$3:$GG$587,'0.Productos'!CC$1+1,0),"")</f>
        <v/>
      </c>
      <c r="AL238" s="133" t="str">
        <f>IF($A238&lt;&gt;0,VLOOKUP($A238,'0.Productos'!$A$3:$GG$587,'0.Productos'!CD$1+1,0),"")</f>
        <v/>
      </c>
      <c r="AM238" s="133" t="str">
        <f>IF($A238&lt;&gt;0,VLOOKUP($A238,'0.Productos'!$A$3:$GG$587,'0.Productos'!CE$1+1,0),"")</f>
        <v/>
      </c>
      <c r="AN238" s="133" t="str">
        <f>IF($A238&lt;&gt;0,VLOOKUP($A238,'0.Productos'!$A$3:$GG$587,'0.Productos'!CF$1+1,0),"")</f>
        <v/>
      </c>
      <c r="AO238" s="133" t="str">
        <f>IF($A238&lt;&gt;0,VLOOKUP($A238,'0.Productos'!$A$3:$GG$587,'0.Productos'!CG$1+1,0),"")</f>
        <v/>
      </c>
      <c r="AP238" s="133" t="str">
        <f>IF($A238&lt;&gt;0,VLOOKUP($A238,'0.Productos'!$A$3:$GG$587,'0.Productos'!CH$1+1,0),"")</f>
        <v/>
      </c>
      <c r="AQ238" s="133" t="str">
        <f>IF($A238&lt;&gt;0,VLOOKUP($A238,'0.Productos'!$A$3:$GG$587,'0.Productos'!CI$1+1,0),"")</f>
        <v/>
      </c>
      <c r="AR238" s="133" t="str">
        <f>IF($A238&lt;&gt;0,VLOOKUP($A238,'0.Productos'!$A$3:$GG$587,'0.Productos'!CJ$1+1,0),"")</f>
        <v/>
      </c>
      <c r="AS238" s="133" t="str">
        <f>IF($A238&lt;&gt;0,VLOOKUP($A238,'0.Productos'!$A$3:$GG$587,'0.Productos'!CK$1+1,0),"")</f>
        <v/>
      </c>
      <c r="AT238" s="133" t="str">
        <f>IF($A238&lt;&gt;0,VLOOKUP($A238,'0.Productos'!$A$3:$GG$587,'0.Productos'!CL$1+1,0),"")</f>
        <v/>
      </c>
      <c r="AU238" s="133" t="str">
        <f>IF($A238&lt;&gt;0,VLOOKUP($A238,'0.Productos'!$A$3:$GG$587,'0.Productos'!CM$1+1,0),"")</f>
        <v/>
      </c>
      <c r="AV238" s="133" t="str">
        <f>IF($A238&lt;&gt;0,VLOOKUP($A238,'0.Productos'!$A$3:$GG$587,'0.Productos'!CN$1+1,0),"")</f>
        <v/>
      </c>
      <c r="AW238" s="133" t="str">
        <f>IF($A238&lt;&gt;0,VLOOKUP($A238,'0.Productos'!$A$3:$GG$587,'0.Productos'!CO$1+1,0),"")</f>
        <v/>
      </c>
      <c r="AX238" s="133" t="str">
        <f>IF($A238&lt;&gt;0,VLOOKUP($A238,'0.Productos'!$A$3:$GG$587,'0.Productos'!CP$1+1,0),"")</f>
        <v/>
      </c>
      <c r="AY238" s="133" t="str">
        <f>IF($A238&lt;&gt;0,VLOOKUP($A238,'0.Productos'!$A$3:$GG$587,'0.Productos'!CQ$1+1,0),"")</f>
        <v/>
      </c>
      <c r="AZ238" s="133" t="str">
        <f>IF($A238&lt;&gt;0,VLOOKUP($A238,'0.Productos'!$A$3:$GG$587,'0.Productos'!CR$1+1,0),"")</f>
        <v/>
      </c>
      <c r="BA238" s="133" t="str">
        <f>IF($A238&lt;&gt;0,VLOOKUP($A238,'0.Productos'!$A$3:$GG$587,'0.Productos'!CS$1+1,0),"")</f>
        <v/>
      </c>
      <c r="BB238" s="133" t="str">
        <f>IF($A238&lt;&gt;0,VLOOKUP($A238,'0.Productos'!$A$3:$GG$587,'0.Productos'!CT$1+1,0),"")</f>
        <v/>
      </c>
      <c r="BC238" s="133" t="str">
        <f>IF($A238&lt;&gt;0,VLOOKUP($A238,'0.Productos'!$A$3:$GG$587,'0.Productos'!CU$1+1,0),"")</f>
        <v/>
      </c>
      <c r="BD238" s="133" t="str">
        <f>IF($A238&lt;&gt;0,VLOOKUP($A238,'0.Productos'!$A$3:$GG$587,'0.Productos'!CV$1+1,0),"")</f>
        <v/>
      </c>
      <c r="BE238" s="133" t="str">
        <f>IF($A238&lt;&gt;0,VLOOKUP($A238,'0.Productos'!$A$3:$GG$587,'0.Productos'!CW$1+1,0),"")</f>
        <v/>
      </c>
      <c r="BF238" s="133" t="str">
        <f>IF($A238&lt;&gt;0,VLOOKUP($A238,'0.Productos'!$A$3:$GG$587,'0.Productos'!CX$1+1,0),"")</f>
        <v/>
      </c>
      <c r="BG238" s="133" t="str">
        <f>IF($A238&lt;&gt;0,VLOOKUP($A238,'0.Productos'!$A$3:$GG$587,'0.Productos'!CY$1+1,0),"")</f>
        <v/>
      </c>
      <c r="BH238" s="133" t="str">
        <f>IF($A238&lt;&gt;0,VLOOKUP($A238,'0.Productos'!$A$3:$GG$587,'0.Productos'!CZ$1+1,0),"")</f>
        <v/>
      </c>
      <c r="BI238" s="133" t="str">
        <f>IF($A238&lt;&gt;0,VLOOKUP($A238,'0.Productos'!$A$3:$GG$587,'0.Productos'!DA$1+1,0),"")</f>
        <v/>
      </c>
      <c r="BJ238" s="133" t="str">
        <f>IF($A238&lt;&gt;0,VLOOKUP($A238,'0.Productos'!$A$3:$GG$587,'0.Productos'!DB$1+1,0),"")</f>
        <v/>
      </c>
      <c r="BK238" s="133" t="str">
        <f>IF($A238&lt;&gt;0,VLOOKUP($A238,'0.Productos'!$A$3:$GG$587,'0.Productos'!DC$1+1,0),"")</f>
        <v/>
      </c>
      <c r="BL238" s="133" t="str">
        <f>IF($A238&lt;&gt;0,VLOOKUP($A238,'0.Productos'!$A$3:$GG$587,'0.Productos'!DD$1+1,0),"")</f>
        <v/>
      </c>
      <c r="BM238" s="133" t="str">
        <f>IF($A238&lt;&gt;0,VLOOKUP($A238,'0.Productos'!$A$3:$GG$587,'0.Productos'!DE$1+1,0),"")</f>
        <v/>
      </c>
      <c r="BN238" s="133" t="str">
        <f>IF($A238&lt;&gt;0,VLOOKUP($A238,'0.Productos'!$A$3:$GG$587,'0.Productos'!DF$1+1,0),"")</f>
        <v/>
      </c>
      <c r="BO238" s="133" t="str">
        <f>IF($A238&lt;&gt;0,VLOOKUP($A238,'0.Productos'!$A$3:$GG$587,'0.Productos'!DG$1+1,0),"")</f>
        <v/>
      </c>
      <c r="BP238" s="133" t="str">
        <f>IF($A238&lt;&gt;0,VLOOKUP($A238,'0.Productos'!$A$3:$GG$587,'0.Productos'!DH$1+1,0),"")</f>
        <v/>
      </c>
      <c r="BQ238" s="133" t="str">
        <f>IF($A238&lt;&gt;0,VLOOKUP($A238,'0.Productos'!$A$3:$GG$587,'0.Productos'!DI$1+1,0),"")</f>
        <v/>
      </c>
      <c r="BR238" s="133" t="str">
        <f>IF($A238&lt;&gt;0,VLOOKUP($A238,'0.Productos'!$A$3:$GG$587,'0.Productos'!DJ$1+1,0),"")</f>
        <v/>
      </c>
      <c r="BS238" s="133" t="str">
        <f>IF($A238&lt;&gt;0,VLOOKUP($A238,'0.Productos'!$A$3:$GG$587,'0.Productos'!DK$1+1,0),"")</f>
        <v/>
      </c>
      <c r="BT238" s="133" t="str">
        <f>IF($A238&lt;&gt;0,VLOOKUP($A238,'0.Productos'!$A$3:$GG$587,'0.Productos'!DL$1+1,0),"")</f>
        <v/>
      </c>
    </row>
    <row r="239" spans="1:72" x14ac:dyDescent="0.25">
      <c r="A239" s="17">
        <f>'0.Consolidado general'!A239</f>
        <v>0</v>
      </c>
      <c r="B239" s="133" t="str">
        <f>IF($A239&lt;&gt;0,VLOOKUP($A239,'0.Productos'!$A$3:$GG$587,'0.Productos'!AT$1+1,0),"")</f>
        <v/>
      </c>
      <c r="C239" s="133" t="str">
        <f>IF($A239&lt;&gt;0,VLOOKUP($A239,'0.Productos'!$A$3:$GG$587,'0.Productos'!AU$1+1,0),"")</f>
        <v/>
      </c>
      <c r="D239" s="133" t="str">
        <f>IF($A239&lt;&gt;0,VLOOKUP($A239,'0.Productos'!$A$3:$GG$587,'0.Productos'!AV$1+1,0),"")</f>
        <v/>
      </c>
      <c r="E239" s="133" t="str">
        <f>IF($A239&lt;&gt;0,VLOOKUP($A239,'0.Productos'!$A$3:$GG$587,'0.Productos'!AW$1+1,0),"")</f>
        <v/>
      </c>
      <c r="F239" s="133" t="str">
        <f>IF($A239&lt;&gt;0,VLOOKUP($A239,'0.Productos'!$A$3:$GG$587,'0.Productos'!AX$1+1,0),"")</f>
        <v/>
      </c>
      <c r="G239" s="133" t="str">
        <f>IF($A239&lt;&gt;0,VLOOKUP($A239,'0.Productos'!$A$3:$GG$587,'0.Productos'!AY$1+1,0),"")</f>
        <v/>
      </c>
      <c r="H239" s="133" t="str">
        <f>IF($A239&lt;&gt;0,VLOOKUP($A239,'0.Productos'!$A$3:$GG$587,'0.Productos'!AZ$1+1,0),"")</f>
        <v/>
      </c>
      <c r="I239" s="133" t="str">
        <f>IF($A239&lt;&gt;0,VLOOKUP($A239,'0.Productos'!$A$3:$GG$587,'0.Productos'!BA$1+1,0),"")</f>
        <v/>
      </c>
      <c r="J239" s="133" t="str">
        <f>IF($A239&lt;&gt;0,VLOOKUP($A239,'0.Productos'!$A$3:$GG$587,'0.Productos'!BB$1+1,0),"")</f>
        <v/>
      </c>
      <c r="K239" s="133" t="str">
        <f>IF($A239&lt;&gt;0,VLOOKUP($A239,'0.Productos'!$A$3:$GG$587,'0.Productos'!BC$1+1,0),"")</f>
        <v/>
      </c>
      <c r="L239" s="133" t="str">
        <f>IF($A239&lt;&gt;0,VLOOKUP($A239,'0.Productos'!$A$3:$GG$587,'0.Productos'!BD$1+1,0),"")</f>
        <v/>
      </c>
      <c r="M239" s="133" t="str">
        <f>IF($A239&lt;&gt;0,VLOOKUP($A239,'0.Productos'!$A$3:$GG$587,'0.Productos'!BE$1+1,0),"")</f>
        <v/>
      </c>
      <c r="N239" s="133" t="str">
        <f>IF($A239&lt;&gt;0,VLOOKUP($A239,'0.Productos'!$A$3:$GG$587,'0.Productos'!BF$1+1,0),"")</f>
        <v/>
      </c>
      <c r="O239" s="133" t="str">
        <f>IF($A239&lt;&gt;0,VLOOKUP($A239,'0.Productos'!$A$3:$GG$587,'0.Productos'!BG$1+1,0),"")</f>
        <v/>
      </c>
      <c r="P239" s="133" t="str">
        <f>IF($A239&lt;&gt;0,VLOOKUP($A239,'0.Productos'!$A$3:$GG$587,'0.Productos'!BH$1+1,0),"")</f>
        <v/>
      </c>
      <c r="Q239" s="133" t="str">
        <f>IF($A239&lt;&gt;0,VLOOKUP($A239,'0.Productos'!$A$3:$GG$587,'0.Productos'!BI$1+1,0),"")</f>
        <v/>
      </c>
      <c r="R239" s="133" t="str">
        <f>IF($A239&lt;&gt;0,VLOOKUP($A239,'0.Productos'!$A$3:$GG$587,'0.Productos'!BJ$1+1,0),"")</f>
        <v/>
      </c>
      <c r="S239" s="133" t="str">
        <f>IF($A239&lt;&gt;0,VLOOKUP($A239,'0.Productos'!$A$3:$GG$587,'0.Productos'!BK$1+1,0),"")</f>
        <v/>
      </c>
      <c r="T239" s="133" t="str">
        <f>IF($A239&lt;&gt;0,VLOOKUP($A239,'0.Productos'!$A$3:$GG$587,'0.Productos'!BL$1+1,0),"")</f>
        <v/>
      </c>
      <c r="U239" s="133" t="str">
        <f>IF($A239&lt;&gt;0,VLOOKUP($A239,'0.Productos'!$A$3:$GG$587,'0.Productos'!BM$1+1,0),"")</f>
        <v/>
      </c>
      <c r="V239" s="133" t="str">
        <f>IF($A239&lt;&gt;0,VLOOKUP($A239,'0.Productos'!$A$3:$GG$587,'0.Productos'!BN$1+1,0),"")</f>
        <v/>
      </c>
      <c r="W239" s="133" t="str">
        <f>IF($A239&lt;&gt;0,VLOOKUP($A239,'0.Productos'!$A$3:$GG$587,'0.Productos'!BO$1+1,0),"")</f>
        <v/>
      </c>
      <c r="X239" s="133" t="str">
        <f>IF($A239&lt;&gt;0,VLOOKUP($A239,'0.Productos'!$A$3:$GG$587,'0.Productos'!BP$1+1,0),"")</f>
        <v/>
      </c>
      <c r="Y239" s="133" t="str">
        <f>IF($A239&lt;&gt;0,VLOOKUP($A239,'0.Productos'!$A$3:$GG$587,'0.Productos'!BQ$1+1,0),"")</f>
        <v/>
      </c>
      <c r="Z239" s="133" t="str">
        <f>IF($A239&lt;&gt;0,VLOOKUP($A239,'0.Productos'!$A$3:$GG$587,'0.Productos'!BR$1+1,0),"")</f>
        <v/>
      </c>
      <c r="AA239" s="133" t="str">
        <f>IF($A239&lt;&gt;0,VLOOKUP($A239,'0.Productos'!$A$3:$GG$587,'0.Productos'!BS$1+1,0),"")</f>
        <v/>
      </c>
      <c r="AB239" s="133" t="str">
        <f>IF($A239&lt;&gt;0,VLOOKUP($A239,'0.Productos'!$A$3:$GG$587,'0.Productos'!BT$1+1,0),"")</f>
        <v/>
      </c>
      <c r="AC239" s="133" t="str">
        <f>IF($A239&lt;&gt;0,VLOOKUP($A239,'0.Productos'!$A$3:$GG$587,'0.Productos'!BU$1+1,0),"")</f>
        <v/>
      </c>
      <c r="AD239" s="133" t="str">
        <f>IF($A239&lt;&gt;0,VLOOKUP($A239,'0.Productos'!$A$3:$GG$587,'0.Productos'!BV$1+1,0),"")</f>
        <v/>
      </c>
      <c r="AE239" s="133" t="str">
        <f>IF($A239&lt;&gt;0,VLOOKUP($A239,'0.Productos'!$A$3:$GG$587,'0.Productos'!BW$1+1,0),"")</f>
        <v/>
      </c>
      <c r="AF239" s="133" t="str">
        <f>IF($A239&lt;&gt;0,VLOOKUP($A239,'0.Productos'!$A$3:$GG$587,'0.Productos'!BX$1+1,0),"")</f>
        <v/>
      </c>
      <c r="AG239" s="133" t="str">
        <f>IF($A239&lt;&gt;0,VLOOKUP($A239,'0.Productos'!$A$3:$GG$587,'0.Productos'!BY$1+1,0),"")</f>
        <v/>
      </c>
      <c r="AH239" s="133" t="str">
        <f>IF($A239&lt;&gt;0,VLOOKUP($A239,'0.Productos'!$A$3:$GG$587,'0.Productos'!BZ$1+1,0),"")</f>
        <v/>
      </c>
      <c r="AI239" s="133" t="str">
        <f>IF($A239&lt;&gt;0,VLOOKUP($A239,'0.Productos'!$A$3:$GG$587,'0.Productos'!CA$1+1,0),"")</f>
        <v/>
      </c>
      <c r="AJ239" s="133" t="str">
        <f>IF($A239&lt;&gt;0,VLOOKUP($A239,'0.Productos'!$A$3:$GG$587,'0.Productos'!CB$1+1,0),"")</f>
        <v/>
      </c>
      <c r="AK239" s="133" t="str">
        <f>IF($A239&lt;&gt;0,VLOOKUP($A239,'0.Productos'!$A$3:$GG$587,'0.Productos'!CC$1+1,0),"")</f>
        <v/>
      </c>
      <c r="AL239" s="133" t="str">
        <f>IF($A239&lt;&gt;0,VLOOKUP($A239,'0.Productos'!$A$3:$GG$587,'0.Productos'!CD$1+1,0),"")</f>
        <v/>
      </c>
      <c r="AM239" s="133" t="str">
        <f>IF($A239&lt;&gt;0,VLOOKUP($A239,'0.Productos'!$A$3:$GG$587,'0.Productos'!CE$1+1,0),"")</f>
        <v/>
      </c>
      <c r="AN239" s="133" t="str">
        <f>IF($A239&lt;&gt;0,VLOOKUP($A239,'0.Productos'!$A$3:$GG$587,'0.Productos'!CF$1+1,0),"")</f>
        <v/>
      </c>
      <c r="AO239" s="133" t="str">
        <f>IF($A239&lt;&gt;0,VLOOKUP($A239,'0.Productos'!$A$3:$GG$587,'0.Productos'!CG$1+1,0),"")</f>
        <v/>
      </c>
      <c r="AP239" s="133" t="str">
        <f>IF($A239&lt;&gt;0,VLOOKUP($A239,'0.Productos'!$A$3:$GG$587,'0.Productos'!CH$1+1,0),"")</f>
        <v/>
      </c>
      <c r="AQ239" s="133" t="str">
        <f>IF($A239&lt;&gt;0,VLOOKUP($A239,'0.Productos'!$A$3:$GG$587,'0.Productos'!CI$1+1,0),"")</f>
        <v/>
      </c>
      <c r="AR239" s="133" t="str">
        <f>IF($A239&lt;&gt;0,VLOOKUP($A239,'0.Productos'!$A$3:$GG$587,'0.Productos'!CJ$1+1,0),"")</f>
        <v/>
      </c>
      <c r="AS239" s="133" t="str">
        <f>IF($A239&lt;&gt;0,VLOOKUP($A239,'0.Productos'!$A$3:$GG$587,'0.Productos'!CK$1+1,0),"")</f>
        <v/>
      </c>
      <c r="AT239" s="133" t="str">
        <f>IF($A239&lt;&gt;0,VLOOKUP($A239,'0.Productos'!$A$3:$GG$587,'0.Productos'!CL$1+1,0),"")</f>
        <v/>
      </c>
      <c r="AU239" s="133" t="str">
        <f>IF($A239&lt;&gt;0,VLOOKUP($A239,'0.Productos'!$A$3:$GG$587,'0.Productos'!CM$1+1,0),"")</f>
        <v/>
      </c>
      <c r="AV239" s="133" t="str">
        <f>IF($A239&lt;&gt;0,VLOOKUP($A239,'0.Productos'!$A$3:$GG$587,'0.Productos'!CN$1+1,0),"")</f>
        <v/>
      </c>
      <c r="AW239" s="133" t="str">
        <f>IF($A239&lt;&gt;0,VLOOKUP($A239,'0.Productos'!$A$3:$GG$587,'0.Productos'!CO$1+1,0),"")</f>
        <v/>
      </c>
      <c r="AX239" s="133" t="str">
        <f>IF($A239&lt;&gt;0,VLOOKUP($A239,'0.Productos'!$A$3:$GG$587,'0.Productos'!CP$1+1,0),"")</f>
        <v/>
      </c>
      <c r="AY239" s="133" t="str">
        <f>IF($A239&lt;&gt;0,VLOOKUP($A239,'0.Productos'!$A$3:$GG$587,'0.Productos'!CQ$1+1,0),"")</f>
        <v/>
      </c>
      <c r="AZ239" s="133" t="str">
        <f>IF($A239&lt;&gt;0,VLOOKUP($A239,'0.Productos'!$A$3:$GG$587,'0.Productos'!CR$1+1,0),"")</f>
        <v/>
      </c>
      <c r="BA239" s="133" t="str">
        <f>IF($A239&lt;&gt;0,VLOOKUP($A239,'0.Productos'!$A$3:$GG$587,'0.Productos'!CS$1+1,0),"")</f>
        <v/>
      </c>
      <c r="BB239" s="133" t="str">
        <f>IF($A239&lt;&gt;0,VLOOKUP($A239,'0.Productos'!$A$3:$GG$587,'0.Productos'!CT$1+1,0),"")</f>
        <v/>
      </c>
      <c r="BC239" s="133" t="str">
        <f>IF($A239&lt;&gt;0,VLOOKUP($A239,'0.Productos'!$A$3:$GG$587,'0.Productos'!CU$1+1,0),"")</f>
        <v/>
      </c>
      <c r="BD239" s="133" t="str">
        <f>IF($A239&lt;&gt;0,VLOOKUP($A239,'0.Productos'!$A$3:$GG$587,'0.Productos'!CV$1+1,0),"")</f>
        <v/>
      </c>
      <c r="BE239" s="133" t="str">
        <f>IF($A239&lt;&gt;0,VLOOKUP($A239,'0.Productos'!$A$3:$GG$587,'0.Productos'!CW$1+1,0),"")</f>
        <v/>
      </c>
      <c r="BF239" s="133" t="str">
        <f>IF($A239&lt;&gt;0,VLOOKUP($A239,'0.Productos'!$A$3:$GG$587,'0.Productos'!CX$1+1,0),"")</f>
        <v/>
      </c>
      <c r="BG239" s="133" t="str">
        <f>IF($A239&lt;&gt;0,VLOOKUP($A239,'0.Productos'!$A$3:$GG$587,'0.Productos'!CY$1+1,0),"")</f>
        <v/>
      </c>
      <c r="BH239" s="133" t="str">
        <f>IF($A239&lt;&gt;0,VLOOKUP($A239,'0.Productos'!$A$3:$GG$587,'0.Productos'!CZ$1+1,0),"")</f>
        <v/>
      </c>
      <c r="BI239" s="133" t="str">
        <f>IF($A239&lt;&gt;0,VLOOKUP($A239,'0.Productos'!$A$3:$GG$587,'0.Productos'!DA$1+1,0),"")</f>
        <v/>
      </c>
      <c r="BJ239" s="133" t="str">
        <f>IF($A239&lt;&gt;0,VLOOKUP($A239,'0.Productos'!$A$3:$GG$587,'0.Productos'!DB$1+1,0),"")</f>
        <v/>
      </c>
      <c r="BK239" s="133" t="str">
        <f>IF($A239&lt;&gt;0,VLOOKUP($A239,'0.Productos'!$A$3:$GG$587,'0.Productos'!DC$1+1,0),"")</f>
        <v/>
      </c>
      <c r="BL239" s="133" t="str">
        <f>IF($A239&lt;&gt;0,VLOOKUP($A239,'0.Productos'!$A$3:$GG$587,'0.Productos'!DD$1+1,0),"")</f>
        <v/>
      </c>
      <c r="BM239" s="133" t="str">
        <f>IF($A239&lt;&gt;0,VLOOKUP($A239,'0.Productos'!$A$3:$GG$587,'0.Productos'!DE$1+1,0),"")</f>
        <v/>
      </c>
      <c r="BN239" s="133" t="str">
        <f>IF($A239&lt;&gt;0,VLOOKUP($A239,'0.Productos'!$A$3:$GG$587,'0.Productos'!DF$1+1,0),"")</f>
        <v/>
      </c>
      <c r="BO239" s="133" t="str">
        <f>IF($A239&lt;&gt;0,VLOOKUP($A239,'0.Productos'!$A$3:$GG$587,'0.Productos'!DG$1+1,0),"")</f>
        <v/>
      </c>
      <c r="BP239" s="133" t="str">
        <f>IF($A239&lt;&gt;0,VLOOKUP($A239,'0.Productos'!$A$3:$GG$587,'0.Productos'!DH$1+1,0),"")</f>
        <v/>
      </c>
      <c r="BQ239" s="133" t="str">
        <f>IF($A239&lt;&gt;0,VLOOKUP($A239,'0.Productos'!$A$3:$GG$587,'0.Productos'!DI$1+1,0),"")</f>
        <v/>
      </c>
      <c r="BR239" s="133" t="str">
        <f>IF($A239&lt;&gt;0,VLOOKUP($A239,'0.Productos'!$A$3:$GG$587,'0.Productos'!DJ$1+1,0),"")</f>
        <v/>
      </c>
      <c r="BS239" s="133" t="str">
        <f>IF($A239&lt;&gt;0,VLOOKUP($A239,'0.Productos'!$A$3:$GG$587,'0.Productos'!DK$1+1,0),"")</f>
        <v/>
      </c>
      <c r="BT239" s="133" t="str">
        <f>IF($A239&lt;&gt;0,VLOOKUP($A239,'0.Productos'!$A$3:$GG$587,'0.Productos'!DL$1+1,0),"")</f>
        <v/>
      </c>
    </row>
    <row r="240" spans="1:72" x14ac:dyDescent="0.25">
      <c r="A240" s="17">
        <f>'0.Consolidado general'!A240</f>
        <v>0</v>
      </c>
      <c r="B240" s="133" t="str">
        <f>IF($A240&lt;&gt;0,VLOOKUP($A240,'0.Productos'!$A$3:$GG$587,'0.Productos'!AT$1+1,0),"")</f>
        <v/>
      </c>
      <c r="C240" s="133" t="str">
        <f>IF($A240&lt;&gt;0,VLOOKUP($A240,'0.Productos'!$A$3:$GG$587,'0.Productos'!AU$1+1,0),"")</f>
        <v/>
      </c>
      <c r="D240" s="133" t="str">
        <f>IF($A240&lt;&gt;0,VLOOKUP($A240,'0.Productos'!$A$3:$GG$587,'0.Productos'!AV$1+1,0),"")</f>
        <v/>
      </c>
      <c r="E240" s="133" t="str">
        <f>IF($A240&lt;&gt;0,VLOOKUP($A240,'0.Productos'!$A$3:$GG$587,'0.Productos'!AW$1+1,0),"")</f>
        <v/>
      </c>
      <c r="F240" s="133" t="str">
        <f>IF($A240&lt;&gt;0,VLOOKUP($A240,'0.Productos'!$A$3:$GG$587,'0.Productos'!AX$1+1,0),"")</f>
        <v/>
      </c>
      <c r="G240" s="133" t="str">
        <f>IF($A240&lt;&gt;0,VLOOKUP($A240,'0.Productos'!$A$3:$GG$587,'0.Productos'!AY$1+1,0),"")</f>
        <v/>
      </c>
      <c r="H240" s="133" t="str">
        <f>IF($A240&lt;&gt;0,VLOOKUP($A240,'0.Productos'!$A$3:$GG$587,'0.Productos'!AZ$1+1,0),"")</f>
        <v/>
      </c>
      <c r="I240" s="133" t="str">
        <f>IF($A240&lt;&gt;0,VLOOKUP($A240,'0.Productos'!$A$3:$GG$587,'0.Productos'!BA$1+1,0),"")</f>
        <v/>
      </c>
      <c r="J240" s="133" t="str">
        <f>IF($A240&lt;&gt;0,VLOOKUP($A240,'0.Productos'!$A$3:$GG$587,'0.Productos'!BB$1+1,0),"")</f>
        <v/>
      </c>
      <c r="K240" s="133" t="str">
        <f>IF($A240&lt;&gt;0,VLOOKUP($A240,'0.Productos'!$A$3:$GG$587,'0.Productos'!BC$1+1,0),"")</f>
        <v/>
      </c>
      <c r="L240" s="133" t="str">
        <f>IF($A240&lt;&gt;0,VLOOKUP($A240,'0.Productos'!$A$3:$GG$587,'0.Productos'!BD$1+1,0),"")</f>
        <v/>
      </c>
      <c r="M240" s="133" t="str">
        <f>IF($A240&lt;&gt;0,VLOOKUP($A240,'0.Productos'!$A$3:$GG$587,'0.Productos'!BE$1+1,0),"")</f>
        <v/>
      </c>
      <c r="N240" s="133" t="str">
        <f>IF($A240&lt;&gt;0,VLOOKUP($A240,'0.Productos'!$A$3:$GG$587,'0.Productos'!BF$1+1,0),"")</f>
        <v/>
      </c>
      <c r="O240" s="133" t="str">
        <f>IF($A240&lt;&gt;0,VLOOKUP($A240,'0.Productos'!$A$3:$GG$587,'0.Productos'!BG$1+1,0),"")</f>
        <v/>
      </c>
      <c r="P240" s="133" t="str">
        <f>IF($A240&lt;&gt;0,VLOOKUP($A240,'0.Productos'!$A$3:$GG$587,'0.Productos'!BH$1+1,0),"")</f>
        <v/>
      </c>
      <c r="Q240" s="133" t="str">
        <f>IF($A240&lt;&gt;0,VLOOKUP($A240,'0.Productos'!$A$3:$GG$587,'0.Productos'!BI$1+1,0),"")</f>
        <v/>
      </c>
      <c r="R240" s="133" t="str">
        <f>IF($A240&lt;&gt;0,VLOOKUP($A240,'0.Productos'!$A$3:$GG$587,'0.Productos'!BJ$1+1,0),"")</f>
        <v/>
      </c>
      <c r="S240" s="133" t="str">
        <f>IF($A240&lt;&gt;0,VLOOKUP($A240,'0.Productos'!$A$3:$GG$587,'0.Productos'!BK$1+1,0),"")</f>
        <v/>
      </c>
      <c r="T240" s="133" t="str">
        <f>IF($A240&lt;&gt;0,VLOOKUP($A240,'0.Productos'!$A$3:$GG$587,'0.Productos'!BL$1+1,0),"")</f>
        <v/>
      </c>
      <c r="U240" s="133" t="str">
        <f>IF($A240&lt;&gt;0,VLOOKUP($A240,'0.Productos'!$A$3:$GG$587,'0.Productos'!BM$1+1,0),"")</f>
        <v/>
      </c>
      <c r="V240" s="133" t="str">
        <f>IF($A240&lt;&gt;0,VLOOKUP($A240,'0.Productos'!$A$3:$GG$587,'0.Productos'!BN$1+1,0),"")</f>
        <v/>
      </c>
      <c r="W240" s="133" t="str">
        <f>IF($A240&lt;&gt;0,VLOOKUP($A240,'0.Productos'!$A$3:$GG$587,'0.Productos'!BO$1+1,0),"")</f>
        <v/>
      </c>
      <c r="X240" s="133" t="str">
        <f>IF($A240&lt;&gt;0,VLOOKUP($A240,'0.Productos'!$A$3:$GG$587,'0.Productos'!BP$1+1,0),"")</f>
        <v/>
      </c>
      <c r="Y240" s="133" t="str">
        <f>IF($A240&lt;&gt;0,VLOOKUP($A240,'0.Productos'!$A$3:$GG$587,'0.Productos'!BQ$1+1,0),"")</f>
        <v/>
      </c>
      <c r="Z240" s="133" t="str">
        <f>IF($A240&lt;&gt;0,VLOOKUP($A240,'0.Productos'!$A$3:$GG$587,'0.Productos'!BR$1+1,0),"")</f>
        <v/>
      </c>
      <c r="AA240" s="133" t="str">
        <f>IF($A240&lt;&gt;0,VLOOKUP($A240,'0.Productos'!$A$3:$GG$587,'0.Productos'!BS$1+1,0),"")</f>
        <v/>
      </c>
      <c r="AB240" s="133" t="str">
        <f>IF($A240&lt;&gt;0,VLOOKUP($A240,'0.Productos'!$A$3:$GG$587,'0.Productos'!BT$1+1,0),"")</f>
        <v/>
      </c>
      <c r="AC240" s="133" t="str">
        <f>IF($A240&lt;&gt;0,VLOOKUP($A240,'0.Productos'!$A$3:$GG$587,'0.Productos'!BU$1+1,0),"")</f>
        <v/>
      </c>
      <c r="AD240" s="133" t="str">
        <f>IF($A240&lt;&gt;0,VLOOKUP($A240,'0.Productos'!$A$3:$GG$587,'0.Productos'!BV$1+1,0),"")</f>
        <v/>
      </c>
      <c r="AE240" s="133" t="str">
        <f>IF($A240&lt;&gt;0,VLOOKUP($A240,'0.Productos'!$A$3:$GG$587,'0.Productos'!BW$1+1,0),"")</f>
        <v/>
      </c>
      <c r="AF240" s="133" t="str">
        <f>IF($A240&lt;&gt;0,VLOOKUP($A240,'0.Productos'!$A$3:$GG$587,'0.Productos'!BX$1+1,0),"")</f>
        <v/>
      </c>
      <c r="AG240" s="133" t="str">
        <f>IF($A240&lt;&gt;0,VLOOKUP($A240,'0.Productos'!$A$3:$GG$587,'0.Productos'!BY$1+1,0),"")</f>
        <v/>
      </c>
      <c r="AH240" s="133" t="str">
        <f>IF($A240&lt;&gt;0,VLOOKUP($A240,'0.Productos'!$A$3:$GG$587,'0.Productos'!BZ$1+1,0),"")</f>
        <v/>
      </c>
      <c r="AI240" s="133" t="str">
        <f>IF($A240&lt;&gt;0,VLOOKUP($A240,'0.Productos'!$A$3:$GG$587,'0.Productos'!CA$1+1,0),"")</f>
        <v/>
      </c>
      <c r="AJ240" s="133" t="str">
        <f>IF($A240&lt;&gt;0,VLOOKUP($A240,'0.Productos'!$A$3:$GG$587,'0.Productos'!CB$1+1,0),"")</f>
        <v/>
      </c>
      <c r="AK240" s="133" t="str">
        <f>IF($A240&lt;&gt;0,VLOOKUP($A240,'0.Productos'!$A$3:$GG$587,'0.Productos'!CC$1+1,0),"")</f>
        <v/>
      </c>
      <c r="AL240" s="133" t="str">
        <f>IF($A240&lt;&gt;0,VLOOKUP($A240,'0.Productos'!$A$3:$GG$587,'0.Productos'!CD$1+1,0),"")</f>
        <v/>
      </c>
      <c r="AM240" s="133" t="str">
        <f>IF($A240&lt;&gt;0,VLOOKUP($A240,'0.Productos'!$A$3:$GG$587,'0.Productos'!CE$1+1,0),"")</f>
        <v/>
      </c>
      <c r="AN240" s="133" t="str">
        <f>IF($A240&lt;&gt;0,VLOOKUP($A240,'0.Productos'!$A$3:$GG$587,'0.Productos'!CF$1+1,0),"")</f>
        <v/>
      </c>
      <c r="AO240" s="133" t="str">
        <f>IF($A240&lt;&gt;0,VLOOKUP($A240,'0.Productos'!$A$3:$GG$587,'0.Productos'!CG$1+1,0),"")</f>
        <v/>
      </c>
      <c r="AP240" s="133" t="str">
        <f>IF($A240&lt;&gt;0,VLOOKUP($A240,'0.Productos'!$A$3:$GG$587,'0.Productos'!CH$1+1,0),"")</f>
        <v/>
      </c>
      <c r="AQ240" s="133" t="str">
        <f>IF($A240&lt;&gt;0,VLOOKUP($A240,'0.Productos'!$A$3:$GG$587,'0.Productos'!CI$1+1,0),"")</f>
        <v/>
      </c>
      <c r="AR240" s="133" t="str">
        <f>IF($A240&lt;&gt;0,VLOOKUP($A240,'0.Productos'!$A$3:$GG$587,'0.Productos'!CJ$1+1,0),"")</f>
        <v/>
      </c>
      <c r="AS240" s="133" t="str">
        <f>IF($A240&lt;&gt;0,VLOOKUP($A240,'0.Productos'!$A$3:$GG$587,'0.Productos'!CK$1+1,0),"")</f>
        <v/>
      </c>
      <c r="AT240" s="133" t="str">
        <f>IF($A240&lt;&gt;0,VLOOKUP($A240,'0.Productos'!$A$3:$GG$587,'0.Productos'!CL$1+1,0),"")</f>
        <v/>
      </c>
      <c r="AU240" s="133" t="str">
        <f>IF($A240&lt;&gt;0,VLOOKUP($A240,'0.Productos'!$A$3:$GG$587,'0.Productos'!CM$1+1,0),"")</f>
        <v/>
      </c>
      <c r="AV240" s="133" t="str">
        <f>IF($A240&lt;&gt;0,VLOOKUP($A240,'0.Productos'!$A$3:$GG$587,'0.Productos'!CN$1+1,0),"")</f>
        <v/>
      </c>
      <c r="AW240" s="133" t="str">
        <f>IF($A240&lt;&gt;0,VLOOKUP($A240,'0.Productos'!$A$3:$GG$587,'0.Productos'!CO$1+1,0),"")</f>
        <v/>
      </c>
      <c r="AX240" s="133" t="str">
        <f>IF($A240&lt;&gt;0,VLOOKUP($A240,'0.Productos'!$A$3:$GG$587,'0.Productos'!CP$1+1,0),"")</f>
        <v/>
      </c>
      <c r="AY240" s="133" t="str">
        <f>IF($A240&lt;&gt;0,VLOOKUP($A240,'0.Productos'!$A$3:$GG$587,'0.Productos'!CQ$1+1,0),"")</f>
        <v/>
      </c>
      <c r="AZ240" s="133" t="str">
        <f>IF($A240&lt;&gt;0,VLOOKUP($A240,'0.Productos'!$A$3:$GG$587,'0.Productos'!CR$1+1,0),"")</f>
        <v/>
      </c>
      <c r="BA240" s="133" t="str">
        <f>IF($A240&lt;&gt;0,VLOOKUP($A240,'0.Productos'!$A$3:$GG$587,'0.Productos'!CS$1+1,0),"")</f>
        <v/>
      </c>
      <c r="BB240" s="133" t="str">
        <f>IF($A240&lt;&gt;0,VLOOKUP($A240,'0.Productos'!$A$3:$GG$587,'0.Productos'!CT$1+1,0),"")</f>
        <v/>
      </c>
      <c r="BC240" s="133" t="str">
        <f>IF($A240&lt;&gt;0,VLOOKUP($A240,'0.Productos'!$A$3:$GG$587,'0.Productos'!CU$1+1,0),"")</f>
        <v/>
      </c>
      <c r="BD240" s="133" t="str">
        <f>IF($A240&lt;&gt;0,VLOOKUP($A240,'0.Productos'!$A$3:$GG$587,'0.Productos'!CV$1+1,0),"")</f>
        <v/>
      </c>
      <c r="BE240" s="133" t="str">
        <f>IF($A240&lt;&gt;0,VLOOKUP($A240,'0.Productos'!$A$3:$GG$587,'0.Productos'!CW$1+1,0),"")</f>
        <v/>
      </c>
      <c r="BF240" s="133" t="str">
        <f>IF($A240&lt;&gt;0,VLOOKUP($A240,'0.Productos'!$A$3:$GG$587,'0.Productos'!CX$1+1,0),"")</f>
        <v/>
      </c>
      <c r="BG240" s="133" t="str">
        <f>IF($A240&lt;&gt;0,VLOOKUP($A240,'0.Productos'!$A$3:$GG$587,'0.Productos'!CY$1+1,0),"")</f>
        <v/>
      </c>
      <c r="BH240" s="133" t="str">
        <f>IF($A240&lt;&gt;0,VLOOKUP($A240,'0.Productos'!$A$3:$GG$587,'0.Productos'!CZ$1+1,0),"")</f>
        <v/>
      </c>
      <c r="BI240" s="133" t="str">
        <f>IF($A240&lt;&gt;0,VLOOKUP($A240,'0.Productos'!$A$3:$GG$587,'0.Productos'!DA$1+1,0),"")</f>
        <v/>
      </c>
      <c r="BJ240" s="133" t="str">
        <f>IF($A240&lt;&gt;0,VLOOKUP($A240,'0.Productos'!$A$3:$GG$587,'0.Productos'!DB$1+1,0),"")</f>
        <v/>
      </c>
      <c r="BK240" s="133" t="str">
        <f>IF($A240&lt;&gt;0,VLOOKUP($A240,'0.Productos'!$A$3:$GG$587,'0.Productos'!DC$1+1,0),"")</f>
        <v/>
      </c>
      <c r="BL240" s="133" t="str">
        <f>IF($A240&lt;&gt;0,VLOOKUP($A240,'0.Productos'!$A$3:$GG$587,'0.Productos'!DD$1+1,0),"")</f>
        <v/>
      </c>
      <c r="BM240" s="133" t="str">
        <f>IF($A240&lt;&gt;0,VLOOKUP($A240,'0.Productos'!$A$3:$GG$587,'0.Productos'!DE$1+1,0),"")</f>
        <v/>
      </c>
      <c r="BN240" s="133" t="str">
        <f>IF($A240&lt;&gt;0,VLOOKUP($A240,'0.Productos'!$A$3:$GG$587,'0.Productos'!DF$1+1,0),"")</f>
        <v/>
      </c>
      <c r="BO240" s="133" t="str">
        <f>IF($A240&lt;&gt;0,VLOOKUP($A240,'0.Productos'!$A$3:$GG$587,'0.Productos'!DG$1+1,0),"")</f>
        <v/>
      </c>
      <c r="BP240" s="133" t="str">
        <f>IF($A240&lt;&gt;0,VLOOKUP($A240,'0.Productos'!$A$3:$GG$587,'0.Productos'!DH$1+1,0),"")</f>
        <v/>
      </c>
      <c r="BQ240" s="133" t="str">
        <f>IF($A240&lt;&gt;0,VLOOKUP($A240,'0.Productos'!$A$3:$GG$587,'0.Productos'!DI$1+1,0),"")</f>
        <v/>
      </c>
      <c r="BR240" s="133" t="str">
        <f>IF($A240&lt;&gt;0,VLOOKUP($A240,'0.Productos'!$A$3:$GG$587,'0.Productos'!DJ$1+1,0),"")</f>
        <v/>
      </c>
      <c r="BS240" s="133" t="str">
        <f>IF($A240&lt;&gt;0,VLOOKUP($A240,'0.Productos'!$A$3:$GG$587,'0.Productos'!DK$1+1,0),"")</f>
        <v/>
      </c>
      <c r="BT240" s="133" t="str">
        <f>IF($A240&lt;&gt;0,VLOOKUP($A240,'0.Productos'!$A$3:$GG$587,'0.Productos'!DL$1+1,0),"")</f>
        <v/>
      </c>
    </row>
    <row r="241" spans="1:72" x14ac:dyDescent="0.25">
      <c r="A241" s="17">
        <f>'0.Consolidado general'!A241</f>
        <v>0</v>
      </c>
      <c r="B241" s="133" t="str">
        <f>IF($A241&lt;&gt;0,VLOOKUP($A241,'0.Productos'!$A$3:$GG$587,'0.Productos'!AT$1+1,0),"")</f>
        <v/>
      </c>
      <c r="C241" s="133" t="str">
        <f>IF($A241&lt;&gt;0,VLOOKUP($A241,'0.Productos'!$A$3:$GG$587,'0.Productos'!AU$1+1,0),"")</f>
        <v/>
      </c>
      <c r="D241" s="133" t="str">
        <f>IF($A241&lt;&gt;0,VLOOKUP($A241,'0.Productos'!$A$3:$GG$587,'0.Productos'!AV$1+1,0),"")</f>
        <v/>
      </c>
      <c r="E241" s="133" t="str">
        <f>IF($A241&lt;&gt;0,VLOOKUP($A241,'0.Productos'!$A$3:$GG$587,'0.Productos'!AW$1+1,0),"")</f>
        <v/>
      </c>
      <c r="F241" s="133" t="str">
        <f>IF($A241&lt;&gt;0,VLOOKUP($A241,'0.Productos'!$A$3:$GG$587,'0.Productos'!AX$1+1,0),"")</f>
        <v/>
      </c>
      <c r="G241" s="133" t="str">
        <f>IF($A241&lt;&gt;0,VLOOKUP($A241,'0.Productos'!$A$3:$GG$587,'0.Productos'!AY$1+1,0),"")</f>
        <v/>
      </c>
      <c r="H241" s="133" t="str">
        <f>IF($A241&lt;&gt;0,VLOOKUP($A241,'0.Productos'!$A$3:$GG$587,'0.Productos'!AZ$1+1,0),"")</f>
        <v/>
      </c>
      <c r="I241" s="133" t="str">
        <f>IF($A241&lt;&gt;0,VLOOKUP($A241,'0.Productos'!$A$3:$GG$587,'0.Productos'!BA$1+1,0),"")</f>
        <v/>
      </c>
      <c r="J241" s="133" t="str">
        <f>IF($A241&lt;&gt;0,VLOOKUP($A241,'0.Productos'!$A$3:$GG$587,'0.Productos'!BB$1+1,0),"")</f>
        <v/>
      </c>
      <c r="K241" s="133" t="str">
        <f>IF($A241&lt;&gt;0,VLOOKUP($A241,'0.Productos'!$A$3:$GG$587,'0.Productos'!BC$1+1,0),"")</f>
        <v/>
      </c>
      <c r="L241" s="133" t="str">
        <f>IF($A241&lt;&gt;0,VLOOKUP($A241,'0.Productos'!$A$3:$GG$587,'0.Productos'!BD$1+1,0),"")</f>
        <v/>
      </c>
      <c r="M241" s="133" t="str">
        <f>IF($A241&lt;&gt;0,VLOOKUP($A241,'0.Productos'!$A$3:$GG$587,'0.Productos'!BE$1+1,0),"")</f>
        <v/>
      </c>
      <c r="N241" s="133" t="str">
        <f>IF($A241&lt;&gt;0,VLOOKUP($A241,'0.Productos'!$A$3:$GG$587,'0.Productos'!BF$1+1,0),"")</f>
        <v/>
      </c>
      <c r="O241" s="133" t="str">
        <f>IF($A241&lt;&gt;0,VLOOKUP($A241,'0.Productos'!$A$3:$GG$587,'0.Productos'!BG$1+1,0),"")</f>
        <v/>
      </c>
      <c r="P241" s="133" t="str">
        <f>IF($A241&lt;&gt;0,VLOOKUP($A241,'0.Productos'!$A$3:$GG$587,'0.Productos'!BH$1+1,0),"")</f>
        <v/>
      </c>
      <c r="Q241" s="133" t="str">
        <f>IF($A241&lt;&gt;0,VLOOKUP($A241,'0.Productos'!$A$3:$GG$587,'0.Productos'!BI$1+1,0),"")</f>
        <v/>
      </c>
      <c r="R241" s="133" t="str">
        <f>IF($A241&lt;&gt;0,VLOOKUP($A241,'0.Productos'!$A$3:$GG$587,'0.Productos'!BJ$1+1,0),"")</f>
        <v/>
      </c>
      <c r="S241" s="133" t="str">
        <f>IF($A241&lt;&gt;0,VLOOKUP($A241,'0.Productos'!$A$3:$GG$587,'0.Productos'!BK$1+1,0),"")</f>
        <v/>
      </c>
      <c r="T241" s="133" t="str">
        <f>IF($A241&lt;&gt;0,VLOOKUP($A241,'0.Productos'!$A$3:$GG$587,'0.Productos'!BL$1+1,0),"")</f>
        <v/>
      </c>
      <c r="U241" s="133" t="str">
        <f>IF($A241&lt;&gt;0,VLOOKUP($A241,'0.Productos'!$A$3:$GG$587,'0.Productos'!BM$1+1,0),"")</f>
        <v/>
      </c>
      <c r="V241" s="133" t="str">
        <f>IF($A241&lt;&gt;0,VLOOKUP($A241,'0.Productos'!$A$3:$GG$587,'0.Productos'!BN$1+1,0),"")</f>
        <v/>
      </c>
      <c r="W241" s="133" t="str">
        <f>IF($A241&lt;&gt;0,VLOOKUP($A241,'0.Productos'!$A$3:$GG$587,'0.Productos'!BO$1+1,0),"")</f>
        <v/>
      </c>
      <c r="X241" s="133" t="str">
        <f>IF($A241&lt;&gt;0,VLOOKUP($A241,'0.Productos'!$A$3:$GG$587,'0.Productos'!BP$1+1,0),"")</f>
        <v/>
      </c>
      <c r="Y241" s="133" t="str">
        <f>IF($A241&lt;&gt;0,VLOOKUP($A241,'0.Productos'!$A$3:$GG$587,'0.Productos'!BQ$1+1,0),"")</f>
        <v/>
      </c>
      <c r="Z241" s="133" t="str">
        <f>IF($A241&lt;&gt;0,VLOOKUP($A241,'0.Productos'!$A$3:$GG$587,'0.Productos'!BR$1+1,0),"")</f>
        <v/>
      </c>
      <c r="AA241" s="133" t="str">
        <f>IF($A241&lt;&gt;0,VLOOKUP($A241,'0.Productos'!$A$3:$GG$587,'0.Productos'!BS$1+1,0),"")</f>
        <v/>
      </c>
      <c r="AB241" s="133" t="str">
        <f>IF($A241&lt;&gt;0,VLOOKUP($A241,'0.Productos'!$A$3:$GG$587,'0.Productos'!BT$1+1,0),"")</f>
        <v/>
      </c>
      <c r="AC241" s="133" t="str">
        <f>IF($A241&lt;&gt;0,VLOOKUP($A241,'0.Productos'!$A$3:$GG$587,'0.Productos'!BU$1+1,0),"")</f>
        <v/>
      </c>
      <c r="AD241" s="133" t="str">
        <f>IF($A241&lt;&gt;0,VLOOKUP($A241,'0.Productos'!$A$3:$GG$587,'0.Productos'!BV$1+1,0),"")</f>
        <v/>
      </c>
      <c r="AE241" s="133" t="str">
        <f>IF($A241&lt;&gt;0,VLOOKUP($A241,'0.Productos'!$A$3:$GG$587,'0.Productos'!BW$1+1,0),"")</f>
        <v/>
      </c>
      <c r="AF241" s="133" t="str">
        <f>IF($A241&lt;&gt;0,VLOOKUP($A241,'0.Productos'!$A$3:$GG$587,'0.Productos'!BX$1+1,0),"")</f>
        <v/>
      </c>
      <c r="AG241" s="133" t="str">
        <f>IF($A241&lt;&gt;0,VLOOKUP($A241,'0.Productos'!$A$3:$GG$587,'0.Productos'!BY$1+1,0),"")</f>
        <v/>
      </c>
      <c r="AH241" s="133" t="str">
        <f>IF($A241&lt;&gt;0,VLOOKUP($A241,'0.Productos'!$A$3:$GG$587,'0.Productos'!BZ$1+1,0),"")</f>
        <v/>
      </c>
      <c r="AI241" s="133" t="str">
        <f>IF($A241&lt;&gt;0,VLOOKUP($A241,'0.Productos'!$A$3:$GG$587,'0.Productos'!CA$1+1,0),"")</f>
        <v/>
      </c>
      <c r="AJ241" s="133" t="str">
        <f>IF($A241&lt;&gt;0,VLOOKUP($A241,'0.Productos'!$A$3:$GG$587,'0.Productos'!CB$1+1,0),"")</f>
        <v/>
      </c>
      <c r="AK241" s="133" t="str">
        <f>IF($A241&lt;&gt;0,VLOOKUP($A241,'0.Productos'!$A$3:$GG$587,'0.Productos'!CC$1+1,0),"")</f>
        <v/>
      </c>
      <c r="AL241" s="133" t="str">
        <f>IF($A241&lt;&gt;0,VLOOKUP($A241,'0.Productos'!$A$3:$GG$587,'0.Productos'!CD$1+1,0),"")</f>
        <v/>
      </c>
      <c r="AM241" s="133" t="str">
        <f>IF($A241&lt;&gt;0,VLOOKUP($A241,'0.Productos'!$A$3:$GG$587,'0.Productos'!CE$1+1,0),"")</f>
        <v/>
      </c>
      <c r="AN241" s="133" t="str">
        <f>IF($A241&lt;&gt;0,VLOOKUP($A241,'0.Productos'!$A$3:$GG$587,'0.Productos'!CF$1+1,0),"")</f>
        <v/>
      </c>
      <c r="AO241" s="133" t="str">
        <f>IF($A241&lt;&gt;0,VLOOKUP($A241,'0.Productos'!$A$3:$GG$587,'0.Productos'!CG$1+1,0),"")</f>
        <v/>
      </c>
      <c r="AP241" s="133" t="str">
        <f>IF($A241&lt;&gt;0,VLOOKUP($A241,'0.Productos'!$A$3:$GG$587,'0.Productos'!CH$1+1,0),"")</f>
        <v/>
      </c>
      <c r="AQ241" s="133" t="str">
        <f>IF($A241&lt;&gt;0,VLOOKUP($A241,'0.Productos'!$A$3:$GG$587,'0.Productos'!CI$1+1,0),"")</f>
        <v/>
      </c>
      <c r="AR241" s="133" t="str">
        <f>IF($A241&lt;&gt;0,VLOOKUP($A241,'0.Productos'!$A$3:$GG$587,'0.Productos'!CJ$1+1,0),"")</f>
        <v/>
      </c>
      <c r="AS241" s="133" t="str">
        <f>IF($A241&lt;&gt;0,VLOOKUP($A241,'0.Productos'!$A$3:$GG$587,'0.Productos'!CK$1+1,0),"")</f>
        <v/>
      </c>
      <c r="AT241" s="133" t="str">
        <f>IF($A241&lt;&gt;0,VLOOKUP($A241,'0.Productos'!$A$3:$GG$587,'0.Productos'!CL$1+1,0),"")</f>
        <v/>
      </c>
      <c r="AU241" s="133" t="str">
        <f>IF($A241&lt;&gt;0,VLOOKUP($A241,'0.Productos'!$A$3:$GG$587,'0.Productos'!CM$1+1,0),"")</f>
        <v/>
      </c>
      <c r="AV241" s="133" t="str">
        <f>IF($A241&lt;&gt;0,VLOOKUP($A241,'0.Productos'!$A$3:$GG$587,'0.Productos'!CN$1+1,0),"")</f>
        <v/>
      </c>
      <c r="AW241" s="133" t="str">
        <f>IF($A241&lt;&gt;0,VLOOKUP($A241,'0.Productos'!$A$3:$GG$587,'0.Productos'!CO$1+1,0),"")</f>
        <v/>
      </c>
      <c r="AX241" s="133" t="str">
        <f>IF($A241&lt;&gt;0,VLOOKUP($A241,'0.Productos'!$A$3:$GG$587,'0.Productos'!CP$1+1,0),"")</f>
        <v/>
      </c>
      <c r="AY241" s="133" t="str">
        <f>IF($A241&lt;&gt;0,VLOOKUP($A241,'0.Productos'!$A$3:$GG$587,'0.Productos'!CQ$1+1,0),"")</f>
        <v/>
      </c>
      <c r="AZ241" s="133" t="str">
        <f>IF($A241&lt;&gt;0,VLOOKUP($A241,'0.Productos'!$A$3:$GG$587,'0.Productos'!CR$1+1,0),"")</f>
        <v/>
      </c>
      <c r="BA241" s="133" t="str">
        <f>IF($A241&lt;&gt;0,VLOOKUP($A241,'0.Productos'!$A$3:$GG$587,'0.Productos'!CS$1+1,0),"")</f>
        <v/>
      </c>
      <c r="BB241" s="133" t="str">
        <f>IF($A241&lt;&gt;0,VLOOKUP($A241,'0.Productos'!$A$3:$GG$587,'0.Productos'!CT$1+1,0),"")</f>
        <v/>
      </c>
      <c r="BC241" s="133" t="str">
        <f>IF($A241&lt;&gt;0,VLOOKUP($A241,'0.Productos'!$A$3:$GG$587,'0.Productos'!CU$1+1,0),"")</f>
        <v/>
      </c>
      <c r="BD241" s="133" t="str">
        <f>IF($A241&lt;&gt;0,VLOOKUP($A241,'0.Productos'!$A$3:$GG$587,'0.Productos'!CV$1+1,0),"")</f>
        <v/>
      </c>
      <c r="BE241" s="133" t="str">
        <f>IF($A241&lt;&gt;0,VLOOKUP($A241,'0.Productos'!$A$3:$GG$587,'0.Productos'!CW$1+1,0),"")</f>
        <v/>
      </c>
      <c r="BF241" s="133" t="str">
        <f>IF($A241&lt;&gt;0,VLOOKUP($A241,'0.Productos'!$A$3:$GG$587,'0.Productos'!CX$1+1,0),"")</f>
        <v/>
      </c>
      <c r="BG241" s="133" t="str">
        <f>IF($A241&lt;&gt;0,VLOOKUP($A241,'0.Productos'!$A$3:$GG$587,'0.Productos'!CY$1+1,0),"")</f>
        <v/>
      </c>
      <c r="BH241" s="133" t="str">
        <f>IF($A241&lt;&gt;0,VLOOKUP($A241,'0.Productos'!$A$3:$GG$587,'0.Productos'!CZ$1+1,0),"")</f>
        <v/>
      </c>
      <c r="BI241" s="133" t="str">
        <f>IF($A241&lt;&gt;0,VLOOKUP($A241,'0.Productos'!$A$3:$GG$587,'0.Productos'!DA$1+1,0),"")</f>
        <v/>
      </c>
      <c r="BJ241" s="133" t="str">
        <f>IF($A241&lt;&gt;0,VLOOKUP($A241,'0.Productos'!$A$3:$GG$587,'0.Productos'!DB$1+1,0),"")</f>
        <v/>
      </c>
      <c r="BK241" s="133" t="str">
        <f>IF($A241&lt;&gt;0,VLOOKUP($A241,'0.Productos'!$A$3:$GG$587,'0.Productos'!DC$1+1,0),"")</f>
        <v/>
      </c>
      <c r="BL241" s="133" t="str">
        <f>IF($A241&lt;&gt;0,VLOOKUP($A241,'0.Productos'!$A$3:$GG$587,'0.Productos'!DD$1+1,0),"")</f>
        <v/>
      </c>
      <c r="BM241" s="133" t="str">
        <f>IF($A241&lt;&gt;0,VLOOKUP($A241,'0.Productos'!$A$3:$GG$587,'0.Productos'!DE$1+1,0),"")</f>
        <v/>
      </c>
      <c r="BN241" s="133" t="str">
        <f>IF($A241&lt;&gt;0,VLOOKUP($A241,'0.Productos'!$A$3:$GG$587,'0.Productos'!DF$1+1,0),"")</f>
        <v/>
      </c>
      <c r="BO241" s="133" t="str">
        <f>IF($A241&lt;&gt;0,VLOOKUP($A241,'0.Productos'!$A$3:$GG$587,'0.Productos'!DG$1+1,0),"")</f>
        <v/>
      </c>
      <c r="BP241" s="133" t="str">
        <f>IF($A241&lt;&gt;0,VLOOKUP($A241,'0.Productos'!$A$3:$GG$587,'0.Productos'!DH$1+1,0),"")</f>
        <v/>
      </c>
      <c r="BQ241" s="133" t="str">
        <f>IF($A241&lt;&gt;0,VLOOKUP($A241,'0.Productos'!$A$3:$GG$587,'0.Productos'!DI$1+1,0),"")</f>
        <v/>
      </c>
      <c r="BR241" s="133" t="str">
        <f>IF($A241&lt;&gt;0,VLOOKUP($A241,'0.Productos'!$A$3:$GG$587,'0.Productos'!DJ$1+1,0),"")</f>
        <v/>
      </c>
      <c r="BS241" s="133" t="str">
        <f>IF($A241&lt;&gt;0,VLOOKUP($A241,'0.Productos'!$A$3:$GG$587,'0.Productos'!DK$1+1,0),"")</f>
        <v/>
      </c>
      <c r="BT241" s="133" t="str">
        <f>IF($A241&lt;&gt;0,VLOOKUP($A241,'0.Productos'!$A$3:$GG$587,'0.Productos'!DL$1+1,0),"")</f>
        <v/>
      </c>
    </row>
    <row r="242" spans="1:72" x14ac:dyDescent="0.25">
      <c r="A242" s="17">
        <f>'0.Consolidado general'!A242</f>
        <v>0</v>
      </c>
      <c r="B242" s="133" t="str">
        <f>IF($A242&lt;&gt;0,VLOOKUP($A242,'0.Productos'!$A$3:$GG$587,'0.Productos'!AT$1+1,0),"")</f>
        <v/>
      </c>
      <c r="C242" s="133" t="str">
        <f>IF($A242&lt;&gt;0,VLOOKUP($A242,'0.Productos'!$A$3:$GG$587,'0.Productos'!AU$1+1,0),"")</f>
        <v/>
      </c>
      <c r="D242" s="133" t="str">
        <f>IF($A242&lt;&gt;0,VLOOKUP($A242,'0.Productos'!$A$3:$GG$587,'0.Productos'!AV$1+1,0),"")</f>
        <v/>
      </c>
      <c r="E242" s="133" t="str">
        <f>IF($A242&lt;&gt;0,VLOOKUP($A242,'0.Productos'!$A$3:$GG$587,'0.Productos'!AW$1+1,0),"")</f>
        <v/>
      </c>
      <c r="F242" s="133" t="str">
        <f>IF($A242&lt;&gt;0,VLOOKUP($A242,'0.Productos'!$A$3:$GG$587,'0.Productos'!AX$1+1,0),"")</f>
        <v/>
      </c>
      <c r="G242" s="133" t="str">
        <f>IF($A242&lt;&gt;0,VLOOKUP($A242,'0.Productos'!$A$3:$GG$587,'0.Productos'!AY$1+1,0),"")</f>
        <v/>
      </c>
      <c r="H242" s="133" t="str">
        <f>IF($A242&lt;&gt;0,VLOOKUP($A242,'0.Productos'!$A$3:$GG$587,'0.Productos'!AZ$1+1,0),"")</f>
        <v/>
      </c>
      <c r="I242" s="133" t="str">
        <f>IF($A242&lt;&gt;0,VLOOKUP($A242,'0.Productos'!$A$3:$GG$587,'0.Productos'!BA$1+1,0),"")</f>
        <v/>
      </c>
      <c r="J242" s="133" t="str">
        <f>IF($A242&lt;&gt;0,VLOOKUP($A242,'0.Productos'!$A$3:$GG$587,'0.Productos'!BB$1+1,0),"")</f>
        <v/>
      </c>
      <c r="K242" s="133" t="str">
        <f>IF($A242&lt;&gt;0,VLOOKUP($A242,'0.Productos'!$A$3:$GG$587,'0.Productos'!BC$1+1,0),"")</f>
        <v/>
      </c>
      <c r="L242" s="133" t="str">
        <f>IF($A242&lt;&gt;0,VLOOKUP($A242,'0.Productos'!$A$3:$GG$587,'0.Productos'!BD$1+1,0),"")</f>
        <v/>
      </c>
      <c r="M242" s="133" t="str">
        <f>IF($A242&lt;&gt;0,VLOOKUP($A242,'0.Productos'!$A$3:$GG$587,'0.Productos'!BE$1+1,0),"")</f>
        <v/>
      </c>
      <c r="N242" s="133" t="str">
        <f>IF($A242&lt;&gt;0,VLOOKUP($A242,'0.Productos'!$A$3:$GG$587,'0.Productos'!BF$1+1,0),"")</f>
        <v/>
      </c>
      <c r="O242" s="133" t="str">
        <f>IF($A242&lt;&gt;0,VLOOKUP($A242,'0.Productos'!$A$3:$GG$587,'0.Productos'!BG$1+1,0),"")</f>
        <v/>
      </c>
      <c r="P242" s="133" t="str">
        <f>IF($A242&lt;&gt;0,VLOOKUP($A242,'0.Productos'!$A$3:$GG$587,'0.Productos'!BH$1+1,0),"")</f>
        <v/>
      </c>
      <c r="Q242" s="133" t="str">
        <f>IF($A242&lt;&gt;0,VLOOKUP($A242,'0.Productos'!$A$3:$GG$587,'0.Productos'!BI$1+1,0),"")</f>
        <v/>
      </c>
      <c r="R242" s="133" t="str">
        <f>IF($A242&lt;&gt;0,VLOOKUP($A242,'0.Productos'!$A$3:$GG$587,'0.Productos'!BJ$1+1,0),"")</f>
        <v/>
      </c>
      <c r="S242" s="133" t="str">
        <f>IF($A242&lt;&gt;0,VLOOKUP($A242,'0.Productos'!$A$3:$GG$587,'0.Productos'!BK$1+1,0),"")</f>
        <v/>
      </c>
      <c r="T242" s="133" t="str">
        <f>IF($A242&lt;&gt;0,VLOOKUP($A242,'0.Productos'!$A$3:$GG$587,'0.Productos'!BL$1+1,0),"")</f>
        <v/>
      </c>
      <c r="U242" s="133" t="str">
        <f>IF($A242&lt;&gt;0,VLOOKUP($A242,'0.Productos'!$A$3:$GG$587,'0.Productos'!BM$1+1,0),"")</f>
        <v/>
      </c>
      <c r="V242" s="133" t="str">
        <f>IF($A242&lt;&gt;0,VLOOKUP($A242,'0.Productos'!$A$3:$GG$587,'0.Productos'!BN$1+1,0),"")</f>
        <v/>
      </c>
      <c r="W242" s="133" t="str">
        <f>IF($A242&lt;&gt;0,VLOOKUP($A242,'0.Productos'!$A$3:$GG$587,'0.Productos'!BO$1+1,0),"")</f>
        <v/>
      </c>
      <c r="X242" s="133" t="str">
        <f>IF($A242&lt;&gt;0,VLOOKUP($A242,'0.Productos'!$A$3:$GG$587,'0.Productos'!BP$1+1,0),"")</f>
        <v/>
      </c>
      <c r="Y242" s="133" t="str">
        <f>IF($A242&lt;&gt;0,VLOOKUP($A242,'0.Productos'!$A$3:$GG$587,'0.Productos'!BQ$1+1,0),"")</f>
        <v/>
      </c>
      <c r="Z242" s="133" t="str">
        <f>IF($A242&lt;&gt;0,VLOOKUP($A242,'0.Productos'!$A$3:$GG$587,'0.Productos'!BR$1+1,0),"")</f>
        <v/>
      </c>
      <c r="AA242" s="133" t="str">
        <f>IF($A242&lt;&gt;0,VLOOKUP($A242,'0.Productos'!$A$3:$GG$587,'0.Productos'!BS$1+1,0),"")</f>
        <v/>
      </c>
      <c r="AB242" s="133" t="str">
        <f>IF($A242&lt;&gt;0,VLOOKUP($A242,'0.Productos'!$A$3:$GG$587,'0.Productos'!BT$1+1,0),"")</f>
        <v/>
      </c>
      <c r="AC242" s="133" t="str">
        <f>IF($A242&lt;&gt;0,VLOOKUP($A242,'0.Productos'!$A$3:$GG$587,'0.Productos'!BU$1+1,0),"")</f>
        <v/>
      </c>
      <c r="AD242" s="133" t="str">
        <f>IF($A242&lt;&gt;0,VLOOKUP($A242,'0.Productos'!$A$3:$GG$587,'0.Productos'!BV$1+1,0),"")</f>
        <v/>
      </c>
      <c r="AE242" s="133" t="str">
        <f>IF($A242&lt;&gt;0,VLOOKUP($A242,'0.Productos'!$A$3:$GG$587,'0.Productos'!BW$1+1,0),"")</f>
        <v/>
      </c>
      <c r="AF242" s="133" t="str">
        <f>IF($A242&lt;&gt;0,VLOOKUP($A242,'0.Productos'!$A$3:$GG$587,'0.Productos'!BX$1+1,0),"")</f>
        <v/>
      </c>
      <c r="AG242" s="133" t="str">
        <f>IF($A242&lt;&gt;0,VLOOKUP($A242,'0.Productos'!$A$3:$GG$587,'0.Productos'!BY$1+1,0),"")</f>
        <v/>
      </c>
      <c r="AH242" s="133" t="str">
        <f>IF($A242&lt;&gt;0,VLOOKUP($A242,'0.Productos'!$A$3:$GG$587,'0.Productos'!BZ$1+1,0),"")</f>
        <v/>
      </c>
      <c r="AI242" s="133" t="str">
        <f>IF($A242&lt;&gt;0,VLOOKUP($A242,'0.Productos'!$A$3:$GG$587,'0.Productos'!CA$1+1,0),"")</f>
        <v/>
      </c>
      <c r="AJ242" s="133" t="str">
        <f>IF($A242&lt;&gt;0,VLOOKUP($A242,'0.Productos'!$A$3:$GG$587,'0.Productos'!CB$1+1,0),"")</f>
        <v/>
      </c>
      <c r="AK242" s="133" t="str">
        <f>IF($A242&lt;&gt;0,VLOOKUP($A242,'0.Productos'!$A$3:$GG$587,'0.Productos'!CC$1+1,0),"")</f>
        <v/>
      </c>
      <c r="AL242" s="133" t="str">
        <f>IF($A242&lt;&gt;0,VLOOKUP($A242,'0.Productos'!$A$3:$GG$587,'0.Productos'!CD$1+1,0),"")</f>
        <v/>
      </c>
      <c r="AM242" s="133" t="str">
        <f>IF($A242&lt;&gt;0,VLOOKUP($A242,'0.Productos'!$A$3:$GG$587,'0.Productos'!CE$1+1,0),"")</f>
        <v/>
      </c>
      <c r="AN242" s="133" t="str">
        <f>IF($A242&lt;&gt;0,VLOOKUP($A242,'0.Productos'!$A$3:$GG$587,'0.Productos'!CF$1+1,0),"")</f>
        <v/>
      </c>
      <c r="AO242" s="133" t="str">
        <f>IF($A242&lt;&gt;0,VLOOKUP($A242,'0.Productos'!$A$3:$GG$587,'0.Productos'!CG$1+1,0),"")</f>
        <v/>
      </c>
      <c r="AP242" s="133" t="str">
        <f>IF($A242&lt;&gt;0,VLOOKUP($A242,'0.Productos'!$A$3:$GG$587,'0.Productos'!CH$1+1,0),"")</f>
        <v/>
      </c>
      <c r="AQ242" s="133" t="str">
        <f>IF($A242&lt;&gt;0,VLOOKUP($A242,'0.Productos'!$A$3:$GG$587,'0.Productos'!CI$1+1,0),"")</f>
        <v/>
      </c>
      <c r="AR242" s="133" t="str">
        <f>IF($A242&lt;&gt;0,VLOOKUP($A242,'0.Productos'!$A$3:$GG$587,'0.Productos'!CJ$1+1,0),"")</f>
        <v/>
      </c>
      <c r="AS242" s="133" t="str">
        <f>IF($A242&lt;&gt;0,VLOOKUP($A242,'0.Productos'!$A$3:$GG$587,'0.Productos'!CK$1+1,0),"")</f>
        <v/>
      </c>
      <c r="AT242" s="133" t="str">
        <f>IF($A242&lt;&gt;0,VLOOKUP($A242,'0.Productos'!$A$3:$GG$587,'0.Productos'!CL$1+1,0),"")</f>
        <v/>
      </c>
      <c r="AU242" s="133" t="str">
        <f>IF($A242&lt;&gt;0,VLOOKUP($A242,'0.Productos'!$A$3:$GG$587,'0.Productos'!CM$1+1,0),"")</f>
        <v/>
      </c>
      <c r="AV242" s="133" t="str">
        <f>IF($A242&lt;&gt;0,VLOOKUP($A242,'0.Productos'!$A$3:$GG$587,'0.Productos'!CN$1+1,0),"")</f>
        <v/>
      </c>
      <c r="AW242" s="133" t="str">
        <f>IF($A242&lt;&gt;0,VLOOKUP($A242,'0.Productos'!$A$3:$GG$587,'0.Productos'!CO$1+1,0),"")</f>
        <v/>
      </c>
      <c r="AX242" s="133" t="str">
        <f>IF($A242&lt;&gt;0,VLOOKUP($A242,'0.Productos'!$A$3:$GG$587,'0.Productos'!CP$1+1,0),"")</f>
        <v/>
      </c>
      <c r="AY242" s="133" t="str">
        <f>IF($A242&lt;&gt;0,VLOOKUP($A242,'0.Productos'!$A$3:$GG$587,'0.Productos'!CQ$1+1,0),"")</f>
        <v/>
      </c>
      <c r="AZ242" s="133" t="str">
        <f>IF($A242&lt;&gt;0,VLOOKUP($A242,'0.Productos'!$A$3:$GG$587,'0.Productos'!CR$1+1,0),"")</f>
        <v/>
      </c>
      <c r="BA242" s="133" t="str">
        <f>IF($A242&lt;&gt;0,VLOOKUP($A242,'0.Productos'!$A$3:$GG$587,'0.Productos'!CS$1+1,0),"")</f>
        <v/>
      </c>
      <c r="BB242" s="133" t="str">
        <f>IF($A242&lt;&gt;0,VLOOKUP($A242,'0.Productos'!$A$3:$GG$587,'0.Productos'!CT$1+1,0),"")</f>
        <v/>
      </c>
      <c r="BC242" s="133" t="str">
        <f>IF($A242&lt;&gt;0,VLOOKUP($A242,'0.Productos'!$A$3:$GG$587,'0.Productos'!CU$1+1,0),"")</f>
        <v/>
      </c>
      <c r="BD242" s="133" t="str">
        <f>IF($A242&lt;&gt;0,VLOOKUP($A242,'0.Productos'!$A$3:$GG$587,'0.Productos'!CV$1+1,0),"")</f>
        <v/>
      </c>
      <c r="BE242" s="133" t="str">
        <f>IF($A242&lt;&gt;0,VLOOKUP($A242,'0.Productos'!$A$3:$GG$587,'0.Productos'!CW$1+1,0),"")</f>
        <v/>
      </c>
      <c r="BF242" s="133" t="str">
        <f>IF($A242&lt;&gt;0,VLOOKUP($A242,'0.Productos'!$A$3:$GG$587,'0.Productos'!CX$1+1,0),"")</f>
        <v/>
      </c>
      <c r="BG242" s="133" t="str">
        <f>IF($A242&lt;&gt;0,VLOOKUP($A242,'0.Productos'!$A$3:$GG$587,'0.Productos'!CY$1+1,0),"")</f>
        <v/>
      </c>
      <c r="BH242" s="133" t="str">
        <f>IF($A242&lt;&gt;0,VLOOKUP($A242,'0.Productos'!$A$3:$GG$587,'0.Productos'!CZ$1+1,0),"")</f>
        <v/>
      </c>
      <c r="BI242" s="133" t="str">
        <f>IF($A242&lt;&gt;0,VLOOKUP($A242,'0.Productos'!$A$3:$GG$587,'0.Productos'!DA$1+1,0),"")</f>
        <v/>
      </c>
      <c r="BJ242" s="133" t="str">
        <f>IF($A242&lt;&gt;0,VLOOKUP($A242,'0.Productos'!$A$3:$GG$587,'0.Productos'!DB$1+1,0),"")</f>
        <v/>
      </c>
      <c r="BK242" s="133" t="str">
        <f>IF($A242&lt;&gt;0,VLOOKUP($A242,'0.Productos'!$A$3:$GG$587,'0.Productos'!DC$1+1,0),"")</f>
        <v/>
      </c>
      <c r="BL242" s="133" t="str">
        <f>IF($A242&lt;&gt;0,VLOOKUP($A242,'0.Productos'!$A$3:$GG$587,'0.Productos'!DD$1+1,0),"")</f>
        <v/>
      </c>
      <c r="BM242" s="133" t="str">
        <f>IF($A242&lt;&gt;0,VLOOKUP($A242,'0.Productos'!$A$3:$GG$587,'0.Productos'!DE$1+1,0),"")</f>
        <v/>
      </c>
      <c r="BN242" s="133" t="str">
        <f>IF($A242&lt;&gt;0,VLOOKUP($A242,'0.Productos'!$A$3:$GG$587,'0.Productos'!DF$1+1,0),"")</f>
        <v/>
      </c>
      <c r="BO242" s="133" t="str">
        <f>IF($A242&lt;&gt;0,VLOOKUP($A242,'0.Productos'!$A$3:$GG$587,'0.Productos'!DG$1+1,0),"")</f>
        <v/>
      </c>
      <c r="BP242" s="133" t="str">
        <f>IF($A242&lt;&gt;0,VLOOKUP($A242,'0.Productos'!$A$3:$GG$587,'0.Productos'!DH$1+1,0),"")</f>
        <v/>
      </c>
      <c r="BQ242" s="133" t="str">
        <f>IF($A242&lt;&gt;0,VLOOKUP($A242,'0.Productos'!$A$3:$GG$587,'0.Productos'!DI$1+1,0),"")</f>
        <v/>
      </c>
      <c r="BR242" s="133" t="str">
        <f>IF($A242&lt;&gt;0,VLOOKUP($A242,'0.Productos'!$A$3:$GG$587,'0.Productos'!DJ$1+1,0),"")</f>
        <v/>
      </c>
      <c r="BS242" s="133" t="str">
        <f>IF($A242&lt;&gt;0,VLOOKUP($A242,'0.Productos'!$A$3:$GG$587,'0.Productos'!DK$1+1,0),"")</f>
        <v/>
      </c>
      <c r="BT242" s="133" t="str">
        <f>IF($A242&lt;&gt;0,VLOOKUP($A242,'0.Productos'!$A$3:$GG$587,'0.Productos'!DL$1+1,0),"")</f>
        <v/>
      </c>
    </row>
    <row r="243" spans="1:72" x14ac:dyDescent="0.25">
      <c r="A243" s="17">
        <f>'0.Consolidado general'!A243</f>
        <v>0</v>
      </c>
      <c r="B243" s="133" t="str">
        <f>IF($A243&lt;&gt;0,VLOOKUP($A243,'0.Productos'!$A$3:$GG$587,'0.Productos'!AT$1+1,0),"")</f>
        <v/>
      </c>
      <c r="C243" s="133" t="str">
        <f>IF($A243&lt;&gt;0,VLOOKUP($A243,'0.Productos'!$A$3:$GG$587,'0.Productos'!AU$1+1,0),"")</f>
        <v/>
      </c>
      <c r="D243" s="133" t="str">
        <f>IF($A243&lt;&gt;0,VLOOKUP($A243,'0.Productos'!$A$3:$GG$587,'0.Productos'!AV$1+1,0),"")</f>
        <v/>
      </c>
      <c r="E243" s="133" t="str">
        <f>IF($A243&lt;&gt;0,VLOOKUP($A243,'0.Productos'!$A$3:$GG$587,'0.Productos'!AW$1+1,0),"")</f>
        <v/>
      </c>
      <c r="F243" s="133" t="str">
        <f>IF($A243&lt;&gt;0,VLOOKUP($A243,'0.Productos'!$A$3:$GG$587,'0.Productos'!AX$1+1,0),"")</f>
        <v/>
      </c>
      <c r="G243" s="133" t="str">
        <f>IF($A243&lt;&gt;0,VLOOKUP($A243,'0.Productos'!$A$3:$GG$587,'0.Productos'!AY$1+1,0),"")</f>
        <v/>
      </c>
      <c r="H243" s="133" t="str">
        <f>IF($A243&lt;&gt;0,VLOOKUP($A243,'0.Productos'!$A$3:$GG$587,'0.Productos'!AZ$1+1,0),"")</f>
        <v/>
      </c>
      <c r="I243" s="133" t="str">
        <f>IF($A243&lt;&gt;0,VLOOKUP($A243,'0.Productos'!$A$3:$GG$587,'0.Productos'!BA$1+1,0),"")</f>
        <v/>
      </c>
      <c r="J243" s="133" t="str">
        <f>IF($A243&lt;&gt;0,VLOOKUP($A243,'0.Productos'!$A$3:$GG$587,'0.Productos'!BB$1+1,0),"")</f>
        <v/>
      </c>
      <c r="K243" s="133" t="str">
        <f>IF($A243&lt;&gt;0,VLOOKUP($A243,'0.Productos'!$A$3:$GG$587,'0.Productos'!BC$1+1,0),"")</f>
        <v/>
      </c>
      <c r="L243" s="133" t="str">
        <f>IF($A243&lt;&gt;0,VLOOKUP($A243,'0.Productos'!$A$3:$GG$587,'0.Productos'!BD$1+1,0),"")</f>
        <v/>
      </c>
      <c r="M243" s="133" t="str">
        <f>IF($A243&lt;&gt;0,VLOOKUP($A243,'0.Productos'!$A$3:$GG$587,'0.Productos'!BE$1+1,0),"")</f>
        <v/>
      </c>
      <c r="N243" s="133" t="str">
        <f>IF($A243&lt;&gt;0,VLOOKUP($A243,'0.Productos'!$A$3:$GG$587,'0.Productos'!BF$1+1,0),"")</f>
        <v/>
      </c>
      <c r="O243" s="133" t="str">
        <f>IF($A243&lt;&gt;0,VLOOKUP($A243,'0.Productos'!$A$3:$GG$587,'0.Productos'!BG$1+1,0),"")</f>
        <v/>
      </c>
      <c r="P243" s="133" t="str">
        <f>IF($A243&lt;&gt;0,VLOOKUP($A243,'0.Productos'!$A$3:$GG$587,'0.Productos'!BH$1+1,0),"")</f>
        <v/>
      </c>
      <c r="Q243" s="133" t="str">
        <f>IF($A243&lt;&gt;0,VLOOKUP($A243,'0.Productos'!$A$3:$GG$587,'0.Productos'!BI$1+1,0),"")</f>
        <v/>
      </c>
      <c r="R243" s="133" t="str">
        <f>IF($A243&lt;&gt;0,VLOOKUP($A243,'0.Productos'!$A$3:$GG$587,'0.Productos'!BJ$1+1,0),"")</f>
        <v/>
      </c>
      <c r="S243" s="133" t="str">
        <f>IF($A243&lt;&gt;0,VLOOKUP($A243,'0.Productos'!$A$3:$GG$587,'0.Productos'!BK$1+1,0),"")</f>
        <v/>
      </c>
      <c r="T243" s="133" t="str">
        <f>IF($A243&lt;&gt;0,VLOOKUP($A243,'0.Productos'!$A$3:$GG$587,'0.Productos'!BL$1+1,0),"")</f>
        <v/>
      </c>
      <c r="U243" s="133" t="str">
        <f>IF($A243&lt;&gt;0,VLOOKUP($A243,'0.Productos'!$A$3:$GG$587,'0.Productos'!BM$1+1,0),"")</f>
        <v/>
      </c>
      <c r="V243" s="133" t="str">
        <f>IF($A243&lt;&gt;0,VLOOKUP($A243,'0.Productos'!$A$3:$GG$587,'0.Productos'!BN$1+1,0),"")</f>
        <v/>
      </c>
      <c r="W243" s="133" t="str">
        <f>IF($A243&lt;&gt;0,VLOOKUP($A243,'0.Productos'!$A$3:$GG$587,'0.Productos'!BO$1+1,0),"")</f>
        <v/>
      </c>
      <c r="X243" s="133" t="str">
        <f>IF($A243&lt;&gt;0,VLOOKUP($A243,'0.Productos'!$A$3:$GG$587,'0.Productos'!BP$1+1,0),"")</f>
        <v/>
      </c>
      <c r="Y243" s="133" t="str">
        <f>IF($A243&lt;&gt;0,VLOOKUP($A243,'0.Productos'!$A$3:$GG$587,'0.Productos'!BQ$1+1,0),"")</f>
        <v/>
      </c>
      <c r="Z243" s="133" t="str">
        <f>IF($A243&lt;&gt;0,VLOOKUP($A243,'0.Productos'!$A$3:$GG$587,'0.Productos'!BR$1+1,0),"")</f>
        <v/>
      </c>
      <c r="AA243" s="133" t="str">
        <f>IF($A243&lt;&gt;0,VLOOKUP($A243,'0.Productos'!$A$3:$GG$587,'0.Productos'!BS$1+1,0),"")</f>
        <v/>
      </c>
      <c r="AB243" s="133" t="str">
        <f>IF($A243&lt;&gt;0,VLOOKUP($A243,'0.Productos'!$A$3:$GG$587,'0.Productos'!BT$1+1,0),"")</f>
        <v/>
      </c>
      <c r="AC243" s="133" t="str">
        <f>IF($A243&lt;&gt;0,VLOOKUP($A243,'0.Productos'!$A$3:$GG$587,'0.Productos'!BU$1+1,0),"")</f>
        <v/>
      </c>
      <c r="AD243" s="133" t="str">
        <f>IF($A243&lt;&gt;0,VLOOKUP($A243,'0.Productos'!$A$3:$GG$587,'0.Productos'!BV$1+1,0),"")</f>
        <v/>
      </c>
      <c r="AE243" s="133" t="str">
        <f>IF($A243&lt;&gt;0,VLOOKUP($A243,'0.Productos'!$A$3:$GG$587,'0.Productos'!BW$1+1,0),"")</f>
        <v/>
      </c>
      <c r="AF243" s="133" t="str">
        <f>IF($A243&lt;&gt;0,VLOOKUP($A243,'0.Productos'!$A$3:$GG$587,'0.Productos'!BX$1+1,0),"")</f>
        <v/>
      </c>
      <c r="AG243" s="133" t="str">
        <f>IF($A243&lt;&gt;0,VLOOKUP($A243,'0.Productos'!$A$3:$GG$587,'0.Productos'!BY$1+1,0),"")</f>
        <v/>
      </c>
      <c r="AH243" s="133" t="str">
        <f>IF($A243&lt;&gt;0,VLOOKUP($A243,'0.Productos'!$A$3:$GG$587,'0.Productos'!BZ$1+1,0),"")</f>
        <v/>
      </c>
      <c r="AI243" s="133" t="str">
        <f>IF($A243&lt;&gt;0,VLOOKUP($A243,'0.Productos'!$A$3:$GG$587,'0.Productos'!CA$1+1,0),"")</f>
        <v/>
      </c>
      <c r="AJ243" s="133" t="str">
        <f>IF($A243&lt;&gt;0,VLOOKUP($A243,'0.Productos'!$A$3:$GG$587,'0.Productos'!CB$1+1,0),"")</f>
        <v/>
      </c>
      <c r="AK243" s="133" t="str">
        <f>IF($A243&lt;&gt;0,VLOOKUP($A243,'0.Productos'!$A$3:$GG$587,'0.Productos'!CC$1+1,0),"")</f>
        <v/>
      </c>
      <c r="AL243" s="133" t="str">
        <f>IF($A243&lt;&gt;0,VLOOKUP($A243,'0.Productos'!$A$3:$GG$587,'0.Productos'!CD$1+1,0),"")</f>
        <v/>
      </c>
      <c r="AM243" s="133" t="str">
        <f>IF($A243&lt;&gt;0,VLOOKUP($A243,'0.Productos'!$A$3:$GG$587,'0.Productos'!CE$1+1,0),"")</f>
        <v/>
      </c>
      <c r="AN243" s="133" t="str">
        <f>IF($A243&lt;&gt;0,VLOOKUP($A243,'0.Productos'!$A$3:$GG$587,'0.Productos'!CF$1+1,0),"")</f>
        <v/>
      </c>
      <c r="AO243" s="133" t="str">
        <f>IF($A243&lt;&gt;0,VLOOKUP($A243,'0.Productos'!$A$3:$GG$587,'0.Productos'!CG$1+1,0),"")</f>
        <v/>
      </c>
      <c r="AP243" s="133" t="str">
        <f>IF($A243&lt;&gt;0,VLOOKUP($A243,'0.Productos'!$A$3:$GG$587,'0.Productos'!CH$1+1,0),"")</f>
        <v/>
      </c>
      <c r="AQ243" s="133" t="str">
        <f>IF($A243&lt;&gt;0,VLOOKUP($A243,'0.Productos'!$A$3:$GG$587,'0.Productos'!CI$1+1,0),"")</f>
        <v/>
      </c>
      <c r="AR243" s="133" t="str">
        <f>IF($A243&lt;&gt;0,VLOOKUP($A243,'0.Productos'!$A$3:$GG$587,'0.Productos'!CJ$1+1,0),"")</f>
        <v/>
      </c>
      <c r="AS243" s="133" t="str">
        <f>IF($A243&lt;&gt;0,VLOOKUP($A243,'0.Productos'!$A$3:$GG$587,'0.Productos'!CK$1+1,0),"")</f>
        <v/>
      </c>
      <c r="AT243" s="133" t="str">
        <f>IF($A243&lt;&gt;0,VLOOKUP($A243,'0.Productos'!$A$3:$GG$587,'0.Productos'!CL$1+1,0),"")</f>
        <v/>
      </c>
      <c r="AU243" s="133" t="str">
        <f>IF($A243&lt;&gt;0,VLOOKUP($A243,'0.Productos'!$A$3:$GG$587,'0.Productos'!CM$1+1,0),"")</f>
        <v/>
      </c>
      <c r="AV243" s="133" t="str">
        <f>IF($A243&lt;&gt;0,VLOOKUP($A243,'0.Productos'!$A$3:$GG$587,'0.Productos'!CN$1+1,0),"")</f>
        <v/>
      </c>
      <c r="AW243" s="133" t="str">
        <f>IF($A243&lt;&gt;0,VLOOKUP($A243,'0.Productos'!$A$3:$GG$587,'0.Productos'!CO$1+1,0),"")</f>
        <v/>
      </c>
      <c r="AX243" s="133" t="str">
        <f>IF($A243&lt;&gt;0,VLOOKUP($A243,'0.Productos'!$A$3:$GG$587,'0.Productos'!CP$1+1,0),"")</f>
        <v/>
      </c>
      <c r="AY243" s="133" t="str">
        <f>IF($A243&lt;&gt;0,VLOOKUP($A243,'0.Productos'!$A$3:$GG$587,'0.Productos'!CQ$1+1,0),"")</f>
        <v/>
      </c>
      <c r="AZ243" s="133" t="str">
        <f>IF($A243&lt;&gt;0,VLOOKUP($A243,'0.Productos'!$A$3:$GG$587,'0.Productos'!CR$1+1,0),"")</f>
        <v/>
      </c>
      <c r="BA243" s="133" t="str">
        <f>IF($A243&lt;&gt;0,VLOOKUP($A243,'0.Productos'!$A$3:$GG$587,'0.Productos'!CS$1+1,0),"")</f>
        <v/>
      </c>
      <c r="BB243" s="133" t="str">
        <f>IF($A243&lt;&gt;0,VLOOKUP($A243,'0.Productos'!$A$3:$GG$587,'0.Productos'!CT$1+1,0),"")</f>
        <v/>
      </c>
      <c r="BC243" s="133" t="str">
        <f>IF($A243&lt;&gt;0,VLOOKUP($A243,'0.Productos'!$A$3:$GG$587,'0.Productos'!CU$1+1,0),"")</f>
        <v/>
      </c>
      <c r="BD243" s="133" t="str">
        <f>IF($A243&lt;&gt;0,VLOOKUP($A243,'0.Productos'!$A$3:$GG$587,'0.Productos'!CV$1+1,0),"")</f>
        <v/>
      </c>
      <c r="BE243" s="133" t="str">
        <f>IF($A243&lt;&gt;0,VLOOKUP($A243,'0.Productos'!$A$3:$GG$587,'0.Productos'!CW$1+1,0),"")</f>
        <v/>
      </c>
      <c r="BF243" s="133" t="str">
        <f>IF($A243&lt;&gt;0,VLOOKUP($A243,'0.Productos'!$A$3:$GG$587,'0.Productos'!CX$1+1,0),"")</f>
        <v/>
      </c>
      <c r="BG243" s="133" t="str">
        <f>IF($A243&lt;&gt;0,VLOOKUP($A243,'0.Productos'!$A$3:$GG$587,'0.Productos'!CY$1+1,0),"")</f>
        <v/>
      </c>
      <c r="BH243" s="133" t="str">
        <f>IF($A243&lt;&gt;0,VLOOKUP($A243,'0.Productos'!$A$3:$GG$587,'0.Productos'!CZ$1+1,0),"")</f>
        <v/>
      </c>
      <c r="BI243" s="133" t="str">
        <f>IF($A243&lt;&gt;0,VLOOKUP($A243,'0.Productos'!$A$3:$GG$587,'0.Productos'!DA$1+1,0),"")</f>
        <v/>
      </c>
      <c r="BJ243" s="133" t="str">
        <f>IF($A243&lt;&gt;0,VLOOKUP($A243,'0.Productos'!$A$3:$GG$587,'0.Productos'!DB$1+1,0),"")</f>
        <v/>
      </c>
      <c r="BK243" s="133" t="str">
        <f>IF($A243&lt;&gt;0,VLOOKUP($A243,'0.Productos'!$A$3:$GG$587,'0.Productos'!DC$1+1,0),"")</f>
        <v/>
      </c>
      <c r="BL243" s="133" t="str">
        <f>IF($A243&lt;&gt;0,VLOOKUP($A243,'0.Productos'!$A$3:$GG$587,'0.Productos'!DD$1+1,0),"")</f>
        <v/>
      </c>
      <c r="BM243" s="133" t="str">
        <f>IF($A243&lt;&gt;0,VLOOKUP($A243,'0.Productos'!$A$3:$GG$587,'0.Productos'!DE$1+1,0),"")</f>
        <v/>
      </c>
      <c r="BN243" s="133" t="str">
        <f>IF($A243&lt;&gt;0,VLOOKUP($A243,'0.Productos'!$A$3:$GG$587,'0.Productos'!DF$1+1,0),"")</f>
        <v/>
      </c>
      <c r="BO243" s="133" t="str">
        <f>IF($A243&lt;&gt;0,VLOOKUP($A243,'0.Productos'!$A$3:$GG$587,'0.Productos'!DG$1+1,0),"")</f>
        <v/>
      </c>
      <c r="BP243" s="133" t="str">
        <f>IF($A243&lt;&gt;0,VLOOKUP($A243,'0.Productos'!$A$3:$GG$587,'0.Productos'!DH$1+1,0),"")</f>
        <v/>
      </c>
      <c r="BQ243" s="133" t="str">
        <f>IF($A243&lt;&gt;0,VLOOKUP($A243,'0.Productos'!$A$3:$GG$587,'0.Productos'!DI$1+1,0),"")</f>
        <v/>
      </c>
      <c r="BR243" s="133" t="str">
        <f>IF($A243&lt;&gt;0,VLOOKUP($A243,'0.Productos'!$A$3:$GG$587,'0.Productos'!DJ$1+1,0),"")</f>
        <v/>
      </c>
      <c r="BS243" s="133" t="str">
        <f>IF($A243&lt;&gt;0,VLOOKUP($A243,'0.Productos'!$A$3:$GG$587,'0.Productos'!DK$1+1,0),"")</f>
        <v/>
      </c>
      <c r="BT243" s="133" t="str">
        <f>IF($A243&lt;&gt;0,VLOOKUP($A243,'0.Productos'!$A$3:$GG$587,'0.Productos'!DL$1+1,0),"")</f>
        <v/>
      </c>
    </row>
    <row r="244" spans="1:72" x14ac:dyDescent="0.25">
      <c r="A244" s="17">
        <f>'0.Consolidado general'!A244</f>
        <v>0</v>
      </c>
      <c r="B244" s="133" t="str">
        <f>IF($A244&lt;&gt;0,VLOOKUP($A244,'0.Productos'!$A$3:$GG$587,'0.Productos'!AT$1+1,0),"")</f>
        <v/>
      </c>
      <c r="C244" s="133" t="str">
        <f>IF($A244&lt;&gt;0,VLOOKUP($A244,'0.Productos'!$A$3:$GG$587,'0.Productos'!AU$1+1,0),"")</f>
        <v/>
      </c>
      <c r="D244" s="133" t="str">
        <f>IF($A244&lt;&gt;0,VLOOKUP($A244,'0.Productos'!$A$3:$GG$587,'0.Productos'!AV$1+1,0),"")</f>
        <v/>
      </c>
      <c r="E244" s="133" t="str">
        <f>IF($A244&lt;&gt;0,VLOOKUP($A244,'0.Productos'!$A$3:$GG$587,'0.Productos'!AW$1+1,0),"")</f>
        <v/>
      </c>
      <c r="F244" s="133" t="str">
        <f>IF($A244&lt;&gt;0,VLOOKUP($A244,'0.Productos'!$A$3:$GG$587,'0.Productos'!AX$1+1,0),"")</f>
        <v/>
      </c>
      <c r="G244" s="133" t="str">
        <f>IF($A244&lt;&gt;0,VLOOKUP($A244,'0.Productos'!$A$3:$GG$587,'0.Productos'!AY$1+1,0),"")</f>
        <v/>
      </c>
      <c r="H244" s="133" t="str">
        <f>IF($A244&lt;&gt;0,VLOOKUP($A244,'0.Productos'!$A$3:$GG$587,'0.Productos'!AZ$1+1,0),"")</f>
        <v/>
      </c>
      <c r="I244" s="133" t="str">
        <f>IF($A244&lt;&gt;0,VLOOKUP($A244,'0.Productos'!$A$3:$GG$587,'0.Productos'!BA$1+1,0),"")</f>
        <v/>
      </c>
      <c r="J244" s="133" t="str">
        <f>IF($A244&lt;&gt;0,VLOOKUP($A244,'0.Productos'!$A$3:$GG$587,'0.Productos'!BB$1+1,0),"")</f>
        <v/>
      </c>
      <c r="K244" s="133" t="str">
        <f>IF($A244&lt;&gt;0,VLOOKUP($A244,'0.Productos'!$A$3:$GG$587,'0.Productos'!BC$1+1,0),"")</f>
        <v/>
      </c>
      <c r="L244" s="133" t="str">
        <f>IF($A244&lt;&gt;0,VLOOKUP($A244,'0.Productos'!$A$3:$GG$587,'0.Productos'!BD$1+1,0),"")</f>
        <v/>
      </c>
      <c r="M244" s="133" t="str">
        <f>IF($A244&lt;&gt;0,VLOOKUP($A244,'0.Productos'!$A$3:$GG$587,'0.Productos'!BE$1+1,0),"")</f>
        <v/>
      </c>
      <c r="N244" s="133" t="str">
        <f>IF($A244&lt;&gt;0,VLOOKUP($A244,'0.Productos'!$A$3:$GG$587,'0.Productos'!BF$1+1,0),"")</f>
        <v/>
      </c>
      <c r="O244" s="133" t="str">
        <f>IF($A244&lt;&gt;0,VLOOKUP($A244,'0.Productos'!$A$3:$GG$587,'0.Productos'!BG$1+1,0),"")</f>
        <v/>
      </c>
      <c r="P244" s="133" t="str">
        <f>IF($A244&lt;&gt;0,VLOOKUP($A244,'0.Productos'!$A$3:$GG$587,'0.Productos'!BH$1+1,0),"")</f>
        <v/>
      </c>
      <c r="Q244" s="133" t="str">
        <f>IF($A244&lt;&gt;0,VLOOKUP($A244,'0.Productos'!$A$3:$GG$587,'0.Productos'!BI$1+1,0),"")</f>
        <v/>
      </c>
      <c r="R244" s="133" t="str">
        <f>IF($A244&lt;&gt;0,VLOOKUP($A244,'0.Productos'!$A$3:$GG$587,'0.Productos'!BJ$1+1,0),"")</f>
        <v/>
      </c>
      <c r="S244" s="133" t="str">
        <f>IF($A244&lt;&gt;0,VLOOKUP($A244,'0.Productos'!$A$3:$GG$587,'0.Productos'!BK$1+1,0),"")</f>
        <v/>
      </c>
      <c r="T244" s="133" t="str">
        <f>IF($A244&lt;&gt;0,VLOOKUP($A244,'0.Productos'!$A$3:$GG$587,'0.Productos'!BL$1+1,0),"")</f>
        <v/>
      </c>
      <c r="U244" s="133" t="str">
        <f>IF($A244&lt;&gt;0,VLOOKUP($A244,'0.Productos'!$A$3:$GG$587,'0.Productos'!BM$1+1,0),"")</f>
        <v/>
      </c>
      <c r="V244" s="133" t="str">
        <f>IF($A244&lt;&gt;0,VLOOKUP($A244,'0.Productos'!$A$3:$GG$587,'0.Productos'!BN$1+1,0),"")</f>
        <v/>
      </c>
      <c r="W244" s="133" t="str">
        <f>IF($A244&lt;&gt;0,VLOOKUP($A244,'0.Productos'!$A$3:$GG$587,'0.Productos'!BO$1+1,0),"")</f>
        <v/>
      </c>
      <c r="X244" s="133" t="str">
        <f>IF($A244&lt;&gt;0,VLOOKUP($A244,'0.Productos'!$A$3:$GG$587,'0.Productos'!BP$1+1,0),"")</f>
        <v/>
      </c>
      <c r="Y244" s="133" t="str">
        <f>IF($A244&lt;&gt;0,VLOOKUP($A244,'0.Productos'!$A$3:$GG$587,'0.Productos'!BQ$1+1,0),"")</f>
        <v/>
      </c>
      <c r="Z244" s="133" t="str">
        <f>IF($A244&lt;&gt;0,VLOOKUP($A244,'0.Productos'!$A$3:$GG$587,'0.Productos'!BR$1+1,0),"")</f>
        <v/>
      </c>
      <c r="AA244" s="133" t="str">
        <f>IF($A244&lt;&gt;0,VLOOKUP($A244,'0.Productos'!$A$3:$GG$587,'0.Productos'!BS$1+1,0),"")</f>
        <v/>
      </c>
      <c r="AB244" s="133" t="str">
        <f>IF($A244&lt;&gt;0,VLOOKUP($A244,'0.Productos'!$A$3:$GG$587,'0.Productos'!BT$1+1,0),"")</f>
        <v/>
      </c>
      <c r="AC244" s="133" t="str">
        <f>IF($A244&lt;&gt;0,VLOOKUP($A244,'0.Productos'!$A$3:$GG$587,'0.Productos'!BU$1+1,0),"")</f>
        <v/>
      </c>
      <c r="AD244" s="133" t="str">
        <f>IF($A244&lt;&gt;0,VLOOKUP($A244,'0.Productos'!$A$3:$GG$587,'0.Productos'!BV$1+1,0),"")</f>
        <v/>
      </c>
      <c r="AE244" s="133" t="str">
        <f>IF($A244&lt;&gt;0,VLOOKUP($A244,'0.Productos'!$A$3:$GG$587,'0.Productos'!BW$1+1,0),"")</f>
        <v/>
      </c>
      <c r="AF244" s="133" t="str">
        <f>IF($A244&lt;&gt;0,VLOOKUP($A244,'0.Productos'!$A$3:$GG$587,'0.Productos'!BX$1+1,0),"")</f>
        <v/>
      </c>
      <c r="AG244" s="133" t="str">
        <f>IF($A244&lt;&gt;0,VLOOKUP($A244,'0.Productos'!$A$3:$GG$587,'0.Productos'!BY$1+1,0),"")</f>
        <v/>
      </c>
      <c r="AH244" s="133" t="str">
        <f>IF($A244&lt;&gt;0,VLOOKUP($A244,'0.Productos'!$A$3:$GG$587,'0.Productos'!BZ$1+1,0),"")</f>
        <v/>
      </c>
      <c r="AI244" s="133" t="str">
        <f>IF($A244&lt;&gt;0,VLOOKUP($A244,'0.Productos'!$A$3:$GG$587,'0.Productos'!CA$1+1,0),"")</f>
        <v/>
      </c>
      <c r="AJ244" s="133" t="str">
        <f>IF($A244&lt;&gt;0,VLOOKUP($A244,'0.Productos'!$A$3:$GG$587,'0.Productos'!CB$1+1,0),"")</f>
        <v/>
      </c>
      <c r="AK244" s="133" t="str">
        <f>IF($A244&lt;&gt;0,VLOOKUP($A244,'0.Productos'!$A$3:$GG$587,'0.Productos'!CC$1+1,0),"")</f>
        <v/>
      </c>
      <c r="AL244" s="133" t="str">
        <f>IF($A244&lt;&gt;0,VLOOKUP($A244,'0.Productos'!$A$3:$GG$587,'0.Productos'!CD$1+1,0),"")</f>
        <v/>
      </c>
      <c r="AM244" s="133" t="str">
        <f>IF($A244&lt;&gt;0,VLOOKUP($A244,'0.Productos'!$A$3:$GG$587,'0.Productos'!CE$1+1,0),"")</f>
        <v/>
      </c>
      <c r="AN244" s="133" t="str">
        <f>IF($A244&lt;&gt;0,VLOOKUP($A244,'0.Productos'!$A$3:$GG$587,'0.Productos'!CF$1+1,0),"")</f>
        <v/>
      </c>
      <c r="AO244" s="133" t="str">
        <f>IF($A244&lt;&gt;0,VLOOKUP($A244,'0.Productos'!$A$3:$GG$587,'0.Productos'!CG$1+1,0),"")</f>
        <v/>
      </c>
      <c r="AP244" s="133" t="str">
        <f>IF($A244&lt;&gt;0,VLOOKUP($A244,'0.Productos'!$A$3:$GG$587,'0.Productos'!CH$1+1,0),"")</f>
        <v/>
      </c>
      <c r="AQ244" s="133" t="str">
        <f>IF($A244&lt;&gt;0,VLOOKUP($A244,'0.Productos'!$A$3:$GG$587,'0.Productos'!CI$1+1,0),"")</f>
        <v/>
      </c>
      <c r="AR244" s="133" t="str">
        <f>IF($A244&lt;&gt;0,VLOOKUP($A244,'0.Productos'!$A$3:$GG$587,'0.Productos'!CJ$1+1,0),"")</f>
        <v/>
      </c>
      <c r="AS244" s="133" t="str">
        <f>IF($A244&lt;&gt;0,VLOOKUP($A244,'0.Productos'!$A$3:$GG$587,'0.Productos'!CK$1+1,0),"")</f>
        <v/>
      </c>
      <c r="AT244" s="133" t="str">
        <f>IF($A244&lt;&gt;0,VLOOKUP($A244,'0.Productos'!$A$3:$GG$587,'0.Productos'!CL$1+1,0),"")</f>
        <v/>
      </c>
      <c r="AU244" s="133" t="str">
        <f>IF($A244&lt;&gt;0,VLOOKUP($A244,'0.Productos'!$A$3:$GG$587,'0.Productos'!CM$1+1,0),"")</f>
        <v/>
      </c>
      <c r="AV244" s="133" t="str">
        <f>IF($A244&lt;&gt;0,VLOOKUP($A244,'0.Productos'!$A$3:$GG$587,'0.Productos'!CN$1+1,0),"")</f>
        <v/>
      </c>
      <c r="AW244" s="133" t="str">
        <f>IF($A244&lt;&gt;0,VLOOKUP($A244,'0.Productos'!$A$3:$GG$587,'0.Productos'!CO$1+1,0),"")</f>
        <v/>
      </c>
      <c r="AX244" s="133" t="str">
        <f>IF($A244&lt;&gt;0,VLOOKUP($A244,'0.Productos'!$A$3:$GG$587,'0.Productos'!CP$1+1,0),"")</f>
        <v/>
      </c>
      <c r="AY244" s="133" t="str">
        <f>IF($A244&lt;&gt;0,VLOOKUP($A244,'0.Productos'!$A$3:$GG$587,'0.Productos'!CQ$1+1,0),"")</f>
        <v/>
      </c>
      <c r="AZ244" s="133" t="str">
        <f>IF($A244&lt;&gt;0,VLOOKUP($A244,'0.Productos'!$A$3:$GG$587,'0.Productos'!CR$1+1,0),"")</f>
        <v/>
      </c>
      <c r="BA244" s="133" t="str">
        <f>IF($A244&lt;&gt;0,VLOOKUP($A244,'0.Productos'!$A$3:$GG$587,'0.Productos'!CS$1+1,0),"")</f>
        <v/>
      </c>
      <c r="BB244" s="133" t="str">
        <f>IF($A244&lt;&gt;0,VLOOKUP($A244,'0.Productos'!$A$3:$GG$587,'0.Productos'!CT$1+1,0),"")</f>
        <v/>
      </c>
      <c r="BC244" s="133" t="str">
        <f>IF($A244&lt;&gt;0,VLOOKUP($A244,'0.Productos'!$A$3:$GG$587,'0.Productos'!CU$1+1,0),"")</f>
        <v/>
      </c>
      <c r="BD244" s="133" t="str">
        <f>IF($A244&lt;&gt;0,VLOOKUP($A244,'0.Productos'!$A$3:$GG$587,'0.Productos'!CV$1+1,0),"")</f>
        <v/>
      </c>
      <c r="BE244" s="133" t="str">
        <f>IF($A244&lt;&gt;0,VLOOKUP($A244,'0.Productos'!$A$3:$GG$587,'0.Productos'!CW$1+1,0),"")</f>
        <v/>
      </c>
      <c r="BF244" s="133" t="str">
        <f>IF($A244&lt;&gt;0,VLOOKUP($A244,'0.Productos'!$A$3:$GG$587,'0.Productos'!CX$1+1,0),"")</f>
        <v/>
      </c>
      <c r="BG244" s="133" t="str">
        <f>IF($A244&lt;&gt;0,VLOOKUP($A244,'0.Productos'!$A$3:$GG$587,'0.Productos'!CY$1+1,0),"")</f>
        <v/>
      </c>
      <c r="BH244" s="133" t="str">
        <f>IF($A244&lt;&gt;0,VLOOKUP($A244,'0.Productos'!$A$3:$GG$587,'0.Productos'!CZ$1+1,0),"")</f>
        <v/>
      </c>
      <c r="BI244" s="133" t="str">
        <f>IF($A244&lt;&gt;0,VLOOKUP($A244,'0.Productos'!$A$3:$GG$587,'0.Productos'!DA$1+1,0),"")</f>
        <v/>
      </c>
      <c r="BJ244" s="133" t="str">
        <f>IF($A244&lt;&gt;0,VLOOKUP($A244,'0.Productos'!$A$3:$GG$587,'0.Productos'!DB$1+1,0),"")</f>
        <v/>
      </c>
      <c r="BK244" s="133" t="str">
        <f>IF($A244&lt;&gt;0,VLOOKUP($A244,'0.Productos'!$A$3:$GG$587,'0.Productos'!DC$1+1,0),"")</f>
        <v/>
      </c>
      <c r="BL244" s="133" t="str">
        <f>IF($A244&lt;&gt;0,VLOOKUP($A244,'0.Productos'!$A$3:$GG$587,'0.Productos'!DD$1+1,0),"")</f>
        <v/>
      </c>
      <c r="BM244" s="133" t="str">
        <f>IF($A244&lt;&gt;0,VLOOKUP($A244,'0.Productos'!$A$3:$GG$587,'0.Productos'!DE$1+1,0),"")</f>
        <v/>
      </c>
      <c r="BN244" s="133" t="str">
        <f>IF($A244&lt;&gt;0,VLOOKUP($A244,'0.Productos'!$A$3:$GG$587,'0.Productos'!DF$1+1,0),"")</f>
        <v/>
      </c>
      <c r="BO244" s="133" t="str">
        <f>IF($A244&lt;&gt;0,VLOOKUP($A244,'0.Productos'!$A$3:$GG$587,'0.Productos'!DG$1+1,0),"")</f>
        <v/>
      </c>
      <c r="BP244" s="133" t="str">
        <f>IF($A244&lt;&gt;0,VLOOKUP($A244,'0.Productos'!$A$3:$GG$587,'0.Productos'!DH$1+1,0),"")</f>
        <v/>
      </c>
      <c r="BQ244" s="133" t="str">
        <f>IF($A244&lt;&gt;0,VLOOKUP($A244,'0.Productos'!$A$3:$GG$587,'0.Productos'!DI$1+1,0),"")</f>
        <v/>
      </c>
      <c r="BR244" s="133" t="str">
        <f>IF($A244&lt;&gt;0,VLOOKUP($A244,'0.Productos'!$A$3:$GG$587,'0.Productos'!DJ$1+1,0),"")</f>
        <v/>
      </c>
      <c r="BS244" s="133" t="str">
        <f>IF($A244&lt;&gt;0,VLOOKUP($A244,'0.Productos'!$A$3:$GG$587,'0.Productos'!DK$1+1,0),"")</f>
        <v/>
      </c>
      <c r="BT244" s="133" t="str">
        <f>IF($A244&lt;&gt;0,VLOOKUP($A244,'0.Productos'!$A$3:$GG$587,'0.Productos'!DL$1+1,0),"")</f>
        <v/>
      </c>
    </row>
    <row r="245" spans="1:72" x14ac:dyDescent="0.25">
      <c r="A245" s="17">
        <f>'0.Consolidado general'!A245</f>
        <v>0</v>
      </c>
      <c r="B245" s="133" t="str">
        <f>IF($A245&lt;&gt;0,VLOOKUP($A245,'0.Productos'!$A$3:$GG$587,'0.Productos'!AT$1+1,0),"")</f>
        <v/>
      </c>
      <c r="C245" s="133" t="str">
        <f>IF($A245&lt;&gt;0,VLOOKUP($A245,'0.Productos'!$A$3:$GG$587,'0.Productos'!AU$1+1,0),"")</f>
        <v/>
      </c>
      <c r="D245" s="133" t="str">
        <f>IF($A245&lt;&gt;0,VLOOKUP($A245,'0.Productos'!$A$3:$GG$587,'0.Productos'!AV$1+1,0),"")</f>
        <v/>
      </c>
      <c r="E245" s="133" t="str">
        <f>IF($A245&lt;&gt;0,VLOOKUP($A245,'0.Productos'!$A$3:$GG$587,'0.Productos'!AW$1+1,0),"")</f>
        <v/>
      </c>
      <c r="F245" s="133" t="str">
        <f>IF($A245&lt;&gt;0,VLOOKUP($A245,'0.Productos'!$A$3:$GG$587,'0.Productos'!AX$1+1,0),"")</f>
        <v/>
      </c>
      <c r="G245" s="133" t="str">
        <f>IF($A245&lt;&gt;0,VLOOKUP($A245,'0.Productos'!$A$3:$GG$587,'0.Productos'!AY$1+1,0),"")</f>
        <v/>
      </c>
      <c r="H245" s="133" t="str">
        <f>IF($A245&lt;&gt;0,VLOOKUP($A245,'0.Productos'!$A$3:$GG$587,'0.Productos'!AZ$1+1,0),"")</f>
        <v/>
      </c>
      <c r="I245" s="133" t="str">
        <f>IF($A245&lt;&gt;0,VLOOKUP($A245,'0.Productos'!$A$3:$GG$587,'0.Productos'!BA$1+1,0),"")</f>
        <v/>
      </c>
      <c r="J245" s="133" t="str">
        <f>IF($A245&lt;&gt;0,VLOOKUP($A245,'0.Productos'!$A$3:$GG$587,'0.Productos'!BB$1+1,0),"")</f>
        <v/>
      </c>
      <c r="K245" s="133" t="str">
        <f>IF($A245&lt;&gt;0,VLOOKUP($A245,'0.Productos'!$A$3:$GG$587,'0.Productos'!BC$1+1,0),"")</f>
        <v/>
      </c>
      <c r="L245" s="133" t="str">
        <f>IF($A245&lt;&gt;0,VLOOKUP($A245,'0.Productos'!$A$3:$GG$587,'0.Productos'!BD$1+1,0),"")</f>
        <v/>
      </c>
      <c r="M245" s="133" t="str">
        <f>IF($A245&lt;&gt;0,VLOOKUP($A245,'0.Productos'!$A$3:$GG$587,'0.Productos'!BE$1+1,0),"")</f>
        <v/>
      </c>
      <c r="N245" s="133" t="str">
        <f>IF($A245&lt;&gt;0,VLOOKUP($A245,'0.Productos'!$A$3:$GG$587,'0.Productos'!BF$1+1,0),"")</f>
        <v/>
      </c>
      <c r="O245" s="133" t="str">
        <f>IF($A245&lt;&gt;0,VLOOKUP($A245,'0.Productos'!$A$3:$GG$587,'0.Productos'!BG$1+1,0),"")</f>
        <v/>
      </c>
      <c r="P245" s="133" t="str">
        <f>IF($A245&lt;&gt;0,VLOOKUP($A245,'0.Productos'!$A$3:$GG$587,'0.Productos'!BH$1+1,0),"")</f>
        <v/>
      </c>
      <c r="Q245" s="133" t="str">
        <f>IF($A245&lt;&gt;0,VLOOKUP($A245,'0.Productos'!$A$3:$GG$587,'0.Productos'!BI$1+1,0),"")</f>
        <v/>
      </c>
      <c r="R245" s="133" t="str">
        <f>IF($A245&lt;&gt;0,VLOOKUP($A245,'0.Productos'!$A$3:$GG$587,'0.Productos'!BJ$1+1,0),"")</f>
        <v/>
      </c>
      <c r="S245" s="133" t="str">
        <f>IF($A245&lt;&gt;0,VLOOKUP($A245,'0.Productos'!$A$3:$GG$587,'0.Productos'!BK$1+1,0),"")</f>
        <v/>
      </c>
      <c r="T245" s="133" t="str">
        <f>IF($A245&lt;&gt;0,VLOOKUP($A245,'0.Productos'!$A$3:$GG$587,'0.Productos'!BL$1+1,0),"")</f>
        <v/>
      </c>
      <c r="U245" s="133" t="str">
        <f>IF($A245&lt;&gt;0,VLOOKUP($A245,'0.Productos'!$A$3:$GG$587,'0.Productos'!BM$1+1,0),"")</f>
        <v/>
      </c>
      <c r="V245" s="133" t="str">
        <f>IF($A245&lt;&gt;0,VLOOKUP($A245,'0.Productos'!$A$3:$GG$587,'0.Productos'!BN$1+1,0),"")</f>
        <v/>
      </c>
      <c r="W245" s="133" t="str">
        <f>IF($A245&lt;&gt;0,VLOOKUP($A245,'0.Productos'!$A$3:$GG$587,'0.Productos'!BO$1+1,0),"")</f>
        <v/>
      </c>
      <c r="X245" s="133" t="str">
        <f>IF($A245&lt;&gt;0,VLOOKUP($A245,'0.Productos'!$A$3:$GG$587,'0.Productos'!BP$1+1,0),"")</f>
        <v/>
      </c>
      <c r="Y245" s="133" t="str">
        <f>IF($A245&lt;&gt;0,VLOOKUP($A245,'0.Productos'!$A$3:$GG$587,'0.Productos'!BQ$1+1,0),"")</f>
        <v/>
      </c>
      <c r="Z245" s="133" t="str">
        <f>IF($A245&lt;&gt;0,VLOOKUP($A245,'0.Productos'!$A$3:$GG$587,'0.Productos'!BR$1+1,0),"")</f>
        <v/>
      </c>
      <c r="AA245" s="133" t="str">
        <f>IF($A245&lt;&gt;0,VLOOKUP($A245,'0.Productos'!$A$3:$GG$587,'0.Productos'!BS$1+1,0),"")</f>
        <v/>
      </c>
      <c r="AB245" s="133" t="str">
        <f>IF($A245&lt;&gt;0,VLOOKUP($A245,'0.Productos'!$A$3:$GG$587,'0.Productos'!BT$1+1,0),"")</f>
        <v/>
      </c>
      <c r="AC245" s="133" t="str">
        <f>IF($A245&lt;&gt;0,VLOOKUP($A245,'0.Productos'!$A$3:$GG$587,'0.Productos'!BU$1+1,0),"")</f>
        <v/>
      </c>
      <c r="AD245" s="133" t="str">
        <f>IF($A245&lt;&gt;0,VLOOKUP($A245,'0.Productos'!$A$3:$GG$587,'0.Productos'!BV$1+1,0),"")</f>
        <v/>
      </c>
      <c r="AE245" s="133" t="str">
        <f>IF($A245&lt;&gt;0,VLOOKUP($A245,'0.Productos'!$A$3:$GG$587,'0.Productos'!BW$1+1,0),"")</f>
        <v/>
      </c>
      <c r="AF245" s="133" t="str">
        <f>IF($A245&lt;&gt;0,VLOOKUP($A245,'0.Productos'!$A$3:$GG$587,'0.Productos'!BX$1+1,0),"")</f>
        <v/>
      </c>
      <c r="AG245" s="133" t="str">
        <f>IF($A245&lt;&gt;0,VLOOKUP($A245,'0.Productos'!$A$3:$GG$587,'0.Productos'!BY$1+1,0),"")</f>
        <v/>
      </c>
      <c r="AH245" s="133" t="str">
        <f>IF($A245&lt;&gt;0,VLOOKUP($A245,'0.Productos'!$A$3:$GG$587,'0.Productos'!BZ$1+1,0),"")</f>
        <v/>
      </c>
      <c r="AI245" s="133" t="str">
        <f>IF($A245&lt;&gt;0,VLOOKUP($A245,'0.Productos'!$A$3:$GG$587,'0.Productos'!CA$1+1,0),"")</f>
        <v/>
      </c>
      <c r="AJ245" s="133" t="str">
        <f>IF($A245&lt;&gt;0,VLOOKUP($A245,'0.Productos'!$A$3:$GG$587,'0.Productos'!CB$1+1,0),"")</f>
        <v/>
      </c>
      <c r="AK245" s="133" t="str">
        <f>IF($A245&lt;&gt;0,VLOOKUP($A245,'0.Productos'!$A$3:$GG$587,'0.Productos'!CC$1+1,0),"")</f>
        <v/>
      </c>
      <c r="AL245" s="133" t="str">
        <f>IF($A245&lt;&gt;0,VLOOKUP($A245,'0.Productos'!$A$3:$GG$587,'0.Productos'!CD$1+1,0),"")</f>
        <v/>
      </c>
      <c r="AM245" s="133" t="str">
        <f>IF($A245&lt;&gt;0,VLOOKUP($A245,'0.Productos'!$A$3:$GG$587,'0.Productos'!CE$1+1,0),"")</f>
        <v/>
      </c>
      <c r="AN245" s="133" t="str">
        <f>IF($A245&lt;&gt;0,VLOOKUP($A245,'0.Productos'!$A$3:$GG$587,'0.Productos'!CF$1+1,0),"")</f>
        <v/>
      </c>
      <c r="AO245" s="133" t="str">
        <f>IF($A245&lt;&gt;0,VLOOKUP($A245,'0.Productos'!$A$3:$GG$587,'0.Productos'!CG$1+1,0),"")</f>
        <v/>
      </c>
      <c r="AP245" s="133" t="str">
        <f>IF($A245&lt;&gt;0,VLOOKUP($A245,'0.Productos'!$A$3:$GG$587,'0.Productos'!CH$1+1,0),"")</f>
        <v/>
      </c>
      <c r="AQ245" s="133" t="str">
        <f>IF($A245&lt;&gt;0,VLOOKUP($A245,'0.Productos'!$A$3:$GG$587,'0.Productos'!CI$1+1,0),"")</f>
        <v/>
      </c>
      <c r="AR245" s="133" t="str">
        <f>IF($A245&lt;&gt;0,VLOOKUP($A245,'0.Productos'!$A$3:$GG$587,'0.Productos'!CJ$1+1,0),"")</f>
        <v/>
      </c>
      <c r="AS245" s="133" t="str">
        <f>IF($A245&lt;&gt;0,VLOOKUP($A245,'0.Productos'!$A$3:$GG$587,'0.Productos'!CK$1+1,0),"")</f>
        <v/>
      </c>
      <c r="AT245" s="133" t="str">
        <f>IF($A245&lt;&gt;0,VLOOKUP($A245,'0.Productos'!$A$3:$GG$587,'0.Productos'!CL$1+1,0),"")</f>
        <v/>
      </c>
      <c r="AU245" s="133" t="str">
        <f>IF($A245&lt;&gt;0,VLOOKUP($A245,'0.Productos'!$A$3:$GG$587,'0.Productos'!CM$1+1,0),"")</f>
        <v/>
      </c>
      <c r="AV245" s="133" t="str">
        <f>IF($A245&lt;&gt;0,VLOOKUP($A245,'0.Productos'!$A$3:$GG$587,'0.Productos'!CN$1+1,0),"")</f>
        <v/>
      </c>
      <c r="AW245" s="133" t="str">
        <f>IF($A245&lt;&gt;0,VLOOKUP($A245,'0.Productos'!$A$3:$GG$587,'0.Productos'!CO$1+1,0),"")</f>
        <v/>
      </c>
      <c r="AX245" s="133" t="str">
        <f>IF($A245&lt;&gt;0,VLOOKUP($A245,'0.Productos'!$A$3:$GG$587,'0.Productos'!CP$1+1,0),"")</f>
        <v/>
      </c>
      <c r="AY245" s="133" t="str">
        <f>IF($A245&lt;&gt;0,VLOOKUP($A245,'0.Productos'!$A$3:$GG$587,'0.Productos'!CQ$1+1,0),"")</f>
        <v/>
      </c>
      <c r="AZ245" s="133" t="str">
        <f>IF($A245&lt;&gt;0,VLOOKUP($A245,'0.Productos'!$A$3:$GG$587,'0.Productos'!CR$1+1,0),"")</f>
        <v/>
      </c>
      <c r="BA245" s="133" t="str">
        <f>IF($A245&lt;&gt;0,VLOOKUP($A245,'0.Productos'!$A$3:$GG$587,'0.Productos'!CS$1+1,0),"")</f>
        <v/>
      </c>
      <c r="BB245" s="133" t="str">
        <f>IF($A245&lt;&gt;0,VLOOKUP($A245,'0.Productos'!$A$3:$GG$587,'0.Productos'!CT$1+1,0),"")</f>
        <v/>
      </c>
      <c r="BC245" s="133" t="str">
        <f>IF($A245&lt;&gt;0,VLOOKUP($A245,'0.Productos'!$A$3:$GG$587,'0.Productos'!CU$1+1,0),"")</f>
        <v/>
      </c>
      <c r="BD245" s="133" t="str">
        <f>IF($A245&lt;&gt;0,VLOOKUP($A245,'0.Productos'!$A$3:$GG$587,'0.Productos'!CV$1+1,0),"")</f>
        <v/>
      </c>
      <c r="BE245" s="133" t="str">
        <f>IF($A245&lt;&gt;0,VLOOKUP($A245,'0.Productos'!$A$3:$GG$587,'0.Productos'!CW$1+1,0),"")</f>
        <v/>
      </c>
      <c r="BF245" s="133" t="str">
        <f>IF($A245&lt;&gt;0,VLOOKUP($A245,'0.Productos'!$A$3:$GG$587,'0.Productos'!CX$1+1,0),"")</f>
        <v/>
      </c>
      <c r="BG245" s="133" t="str">
        <f>IF($A245&lt;&gt;0,VLOOKUP($A245,'0.Productos'!$A$3:$GG$587,'0.Productos'!CY$1+1,0),"")</f>
        <v/>
      </c>
      <c r="BH245" s="133" t="str">
        <f>IF($A245&lt;&gt;0,VLOOKUP($A245,'0.Productos'!$A$3:$GG$587,'0.Productos'!CZ$1+1,0),"")</f>
        <v/>
      </c>
      <c r="BI245" s="133" t="str">
        <f>IF($A245&lt;&gt;0,VLOOKUP($A245,'0.Productos'!$A$3:$GG$587,'0.Productos'!DA$1+1,0),"")</f>
        <v/>
      </c>
      <c r="BJ245" s="133" t="str">
        <f>IF($A245&lt;&gt;0,VLOOKUP($A245,'0.Productos'!$A$3:$GG$587,'0.Productos'!DB$1+1,0),"")</f>
        <v/>
      </c>
      <c r="BK245" s="133" t="str">
        <f>IF($A245&lt;&gt;0,VLOOKUP($A245,'0.Productos'!$A$3:$GG$587,'0.Productos'!DC$1+1,0),"")</f>
        <v/>
      </c>
      <c r="BL245" s="133" t="str">
        <f>IF($A245&lt;&gt;0,VLOOKUP($A245,'0.Productos'!$A$3:$GG$587,'0.Productos'!DD$1+1,0),"")</f>
        <v/>
      </c>
      <c r="BM245" s="133" t="str">
        <f>IF($A245&lt;&gt;0,VLOOKUP($A245,'0.Productos'!$A$3:$GG$587,'0.Productos'!DE$1+1,0),"")</f>
        <v/>
      </c>
      <c r="BN245" s="133" t="str">
        <f>IF($A245&lt;&gt;0,VLOOKUP($A245,'0.Productos'!$A$3:$GG$587,'0.Productos'!DF$1+1,0),"")</f>
        <v/>
      </c>
      <c r="BO245" s="133" t="str">
        <f>IF($A245&lt;&gt;0,VLOOKUP($A245,'0.Productos'!$A$3:$GG$587,'0.Productos'!DG$1+1,0),"")</f>
        <v/>
      </c>
      <c r="BP245" s="133" t="str">
        <f>IF($A245&lt;&gt;0,VLOOKUP($A245,'0.Productos'!$A$3:$GG$587,'0.Productos'!DH$1+1,0),"")</f>
        <v/>
      </c>
      <c r="BQ245" s="133" t="str">
        <f>IF($A245&lt;&gt;0,VLOOKUP($A245,'0.Productos'!$A$3:$GG$587,'0.Productos'!DI$1+1,0),"")</f>
        <v/>
      </c>
      <c r="BR245" s="133" t="str">
        <f>IF($A245&lt;&gt;0,VLOOKUP($A245,'0.Productos'!$A$3:$GG$587,'0.Productos'!DJ$1+1,0),"")</f>
        <v/>
      </c>
      <c r="BS245" s="133" t="str">
        <f>IF($A245&lt;&gt;0,VLOOKUP($A245,'0.Productos'!$A$3:$GG$587,'0.Productos'!DK$1+1,0),"")</f>
        <v/>
      </c>
      <c r="BT245" s="133" t="str">
        <f>IF($A245&lt;&gt;0,VLOOKUP($A245,'0.Productos'!$A$3:$GG$587,'0.Productos'!DL$1+1,0),"")</f>
        <v/>
      </c>
    </row>
    <row r="246" spans="1:72" x14ac:dyDescent="0.25">
      <c r="A246" s="17">
        <f>'0.Consolidado general'!A246</f>
        <v>0</v>
      </c>
      <c r="B246" s="133" t="str">
        <f>IF($A246&lt;&gt;0,VLOOKUP($A246,'0.Productos'!$A$3:$GG$587,'0.Productos'!AT$1+1,0),"")</f>
        <v/>
      </c>
      <c r="C246" s="133" t="str">
        <f>IF($A246&lt;&gt;0,VLOOKUP($A246,'0.Productos'!$A$3:$GG$587,'0.Productos'!AU$1+1,0),"")</f>
        <v/>
      </c>
      <c r="D246" s="133" t="str">
        <f>IF($A246&lt;&gt;0,VLOOKUP($A246,'0.Productos'!$A$3:$GG$587,'0.Productos'!AV$1+1,0),"")</f>
        <v/>
      </c>
      <c r="E246" s="133" t="str">
        <f>IF($A246&lt;&gt;0,VLOOKUP($A246,'0.Productos'!$A$3:$GG$587,'0.Productos'!AW$1+1,0),"")</f>
        <v/>
      </c>
      <c r="F246" s="133" t="str">
        <f>IF($A246&lt;&gt;0,VLOOKUP($A246,'0.Productos'!$A$3:$GG$587,'0.Productos'!AX$1+1,0),"")</f>
        <v/>
      </c>
      <c r="G246" s="133" t="str">
        <f>IF($A246&lt;&gt;0,VLOOKUP($A246,'0.Productos'!$A$3:$GG$587,'0.Productos'!AY$1+1,0),"")</f>
        <v/>
      </c>
      <c r="H246" s="133" t="str">
        <f>IF($A246&lt;&gt;0,VLOOKUP($A246,'0.Productos'!$A$3:$GG$587,'0.Productos'!AZ$1+1,0),"")</f>
        <v/>
      </c>
      <c r="I246" s="133" t="str">
        <f>IF($A246&lt;&gt;0,VLOOKUP($A246,'0.Productos'!$A$3:$GG$587,'0.Productos'!BA$1+1,0),"")</f>
        <v/>
      </c>
      <c r="J246" s="133" t="str">
        <f>IF($A246&lt;&gt;0,VLOOKUP($A246,'0.Productos'!$A$3:$GG$587,'0.Productos'!BB$1+1,0),"")</f>
        <v/>
      </c>
      <c r="K246" s="133" t="str">
        <f>IF($A246&lt;&gt;0,VLOOKUP($A246,'0.Productos'!$A$3:$GG$587,'0.Productos'!BC$1+1,0),"")</f>
        <v/>
      </c>
      <c r="L246" s="133" t="str">
        <f>IF($A246&lt;&gt;0,VLOOKUP($A246,'0.Productos'!$A$3:$GG$587,'0.Productos'!BD$1+1,0),"")</f>
        <v/>
      </c>
      <c r="M246" s="133" t="str">
        <f>IF($A246&lt;&gt;0,VLOOKUP($A246,'0.Productos'!$A$3:$GG$587,'0.Productos'!BE$1+1,0),"")</f>
        <v/>
      </c>
      <c r="N246" s="133" t="str">
        <f>IF($A246&lt;&gt;0,VLOOKUP($A246,'0.Productos'!$A$3:$GG$587,'0.Productos'!BF$1+1,0),"")</f>
        <v/>
      </c>
      <c r="O246" s="133" t="str">
        <f>IF($A246&lt;&gt;0,VLOOKUP($A246,'0.Productos'!$A$3:$GG$587,'0.Productos'!BG$1+1,0),"")</f>
        <v/>
      </c>
      <c r="P246" s="133" t="str">
        <f>IF($A246&lt;&gt;0,VLOOKUP($A246,'0.Productos'!$A$3:$GG$587,'0.Productos'!BH$1+1,0),"")</f>
        <v/>
      </c>
      <c r="Q246" s="133" t="str">
        <f>IF($A246&lt;&gt;0,VLOOKUP($A246,'0.Productos'!$A$3:$GG$587,'0.Productos'!BI$1+1,0),"")</f>
        <v/>
      </c>
      <c r="R246" s="133" t="str">
        <f>IF($A246&lt;&gt;0,VLOOKUP($A246,'0.Productos'!$A$3:$GG$587,'0.Productos'!BJ$1+1,0),"")</f>
        <v/>
      </c>
      <c r="S246" s="133" t="str">
        <f>IF($A246&lt;&gt;0,VLOOKUP($A246,'0.Productos'!$A$3:$GG$587,'0.Productos'!BK$1+1,0),"")</f>
        <v/>
      </c>
      <c r="T246" s="133" t="str">
        <f>IF($A246&lt;&gt;0,VLOOKUP($A246,'0.Productos'!$A$3:$GG$587,'0.Productos'!BL$1+1,0),"")</f>
        <v/>
      </c>
      <c r="U246" s="133" t="str">
        <f>IF($A246&lt;&gt;0,VLOOKUP($A246,'0.Productos'!$A$3:$GG$587,'0.Productos'!BM$1+1,0),"")</f>
        <v/>
      </c>
      <c r="V246" s="133" t="str">
        <f>IF($A246&lt;&gt;0,VLOOKUP($A246,'0.Productos'!$A$3:$GG$587,'0.Productos'!BN$1+1,0),"")</f>
        <v/>
      </c>
      <c r="W246" s="133" t="str">
        <f>IF($A246&lt;&gt;0,VLOOKUP($A246,'0.Productos'!$A$3:$GG$587,'0.Productos'!BO$1+1,0),"")</f>
        <v/>
      </c>
      <c r="X246" s="133" t="str">
        <f>IF($A246&lt;&gt;0,VLOOKUP($A246,'0.Productos'!$A$3:$GG$587,'0.Productos'!BP$1+1,0),"")</f>
        <v/>
      </c>
      <c r="Y246" s="133" t="str">
        <f>IF($A246&lt;&gt;0,VLOOKUP($A246,'0.Productos'!$A$3:$GG$587,'0.Productos'!BQ$1+1,0),"")</f>
        <v/>
      </c>
      <c r="Z246" s="133" t="str">
        <f>IF($A246&lt;&gt;0,VLOOKUP($A246,'0.Productos'!$A$3:$GG$587,'0.Productos'!BR$1+1,0),"")</f>
        <v/>
      </c>
      <c r="AA246" s="133" t="str">
        <f>IF($A246&lt;&gt;0,VLOOKUP($A246,'0.Productos'!$A$3:$GG$587,'0.Productos'!BS$1+1,0),"")</f>
        <v/>
      </c>
      <c r="AB246" s="133" t="str">
        <f>IF($A246&lt;&gt;0,VLOOKUP($A246,'0.Productos'!$A$3:$GG$587,'0.Productos'!BT$1+1,0),"")</f>
        <v/>
      </c>
      <c r="AC246" s="133" t="str">
        <f>IF($A246&lt;&gt;0,VLOOKUP($A246,'0.Productos'!$A$3:$GG$587,'0.Productos'!BU$1+1,0),"")</f>
        <v/>
      </c>
      <c r="AD246" s="133" t="str">
        <f>IF($A246&lt;&gt;0,VLOOKUP($A246,'0.Productos'!$A$3:$GG$587,'0.Productos'!BV$1+1,0),"")</f>
        <v/>
      </c>
      <c r="AE246" s="133" t="str">
        <f>IF($A246&lt;&gt;0,VLOOKUP($A246,'0.Productos'!$A$3:$GG$587,'0.Productos'!BW$1+1,0),"")</f>
        <v/>
      </c>
      <c r="AF246" s="133" t="str">
        <f>IF($A246&lt;&gt;0,VLOOKUP($A246,'0.Productos'!$A$3:$GG$587,'0.Productos'!BX$1+1,0),"")</f>
        <v/>
      </c>
      <c r="AG246" s="133" t="str">
        <f>IF($A246&lt;&gt;0,VLOOKUP($A246,'0.Productos'!$A$3:$GG$587,'0.Productos'!BY$1+1,0),"")</f>
        <v/>
      </c>
      <c r="AH246" s="133" t="str">
        <f>IF($A246&lt;&gt;0,VLOOKUP($A246,'0.Productos'!$A$3:$GG$587,'0.Productos'!BZ$1+1,0),"")</f>
        <v/>
      </c>
      <c r="AI246" s="133" t="str">
        <f>IF($A246&lt;&gt;0,VLOOKUP($A246,'0.Productos'!$A$3:$GG$587,'0.Productos'!CA$1+1,0),"")</f>
        <v/>
      </c>
      <c r="AJ246" s="133" t="str">
        <f>IF($A246&lt;&gt;0,VLOOKUP($A246,'0.Productos'!$A$3:$GG$587,'0.Productos'!CB$1+1,0),"")</f>
        <v/>
      </c>
      <c r="AK246" s="133" t="str">
        <f>IF($A246&lt;&gt;0,VLOOKUP($A246,'0.Productos'!$A$3:$GG$587,'0.Productos'!CC$1+1,0),"")</f>
        <v/>
      </c>
      <c r="AL246" s="133" t="str">
        <f>IF($A246&lt;&gt;0,VLOOKUP($A246,'0.Productos'!$A$3:$GG$587,'0.Productos'!CD$1+1,0),"")</f>
        <v/>
      </c>
      <c r="AM246" s="133" t="str">
        <f>IF($A246&lt;&gt;0,VLOOKUP($A246,'0.Productos'!$A$3:$GG$587,'0.Productos'!CE$1+1,0),"")</f>
        <v/>
      </c>
      <c r="AN246" s="133" t="str">
        <f>IF($A246&lt;&gt;0,VLOOKUP($A246,'0.Productos'!$A$3:$GG$587,'0.Productos'!CF$1+1,0),"")</f>
        <v/>
      </c>
      <c r="AO246" s="133" t="str">
        <f>IF($A246&lt;&gt;0,VLOOKUP($A246,'0.Productos'!$A$3:$GG$587,'0.Productos'!CG$1+1,0),"")</f>
        <v/>
      </c>
      <c r="AP246" s="133" t="str">
        <f>IF($A246&lt;&gt;0,VLOOKUP($A246,'0.Productos'!$A$3:$GG$587,'0.Productos'!CH$1+1,0),"")</f>
        <v/>
      </c>
      <c r="AQ246" s="133" t="str">
        <f>IF($A246&lt;&gt;0,VLOOKUP($A246,'0.Productos'!$A$3:$GG$587,'0.Productos'!CI$1+1,0),"")</f>
        <v/>
      </c>
      <c r="AR246" s="133" t="str">
        <f>IF($A246&lt;&gt;0,VLOOKUP($A246,'0.Productos'!$A$3:$GG$587,'0.Productos'!CJ$1+1,0),"")</f>
        <v/>
      </c>
      <c r="AS246" s="133" t="str">
        <f>IF($A246&lt;&gt;0,VLOOKUP($A246,'0.Productos'!$A$3:$GG$587,'0.Productos'!CK$1+1,0),"")</f>
        <v/>
      </c>
      <c r="AT246" s="133" t="str">
        <f>IF($A246&lt;&gt;0,VLOOKUP($A246,'0.Productos'!$A$3:$GG$587,'0.Productos'!CL$1+1,0),"")</f>
        <v/>
      </c>
      <c r="AU246" s="133" t="str">
        <f>IF($A246&lt;&gt;0,VLOOKUP($A246,'0.Productos'!$A$3:$GG$587,'0.Productos'!CM$1+1,0),"")</f>
        <v/>
      </c>
      <c r="AV246" s="133" t="str">
        <f>IF($A246&lt;&gt;0,VLOOKUP($A246,'0.Productos'!$A$3:$GG$587,'0.Productos'!CN$1+1,0),"")</f>
        <v/>
      </c>
      <c r="AW246" s="133" t="str">
        <f>IF($A246&lt;&gt;0,VLOOKUP($A246,'0.Productos'!$A$3:$GG$587,'0.Productos'!CO$1+1,0),"")</f>
        <v/>
      </c>
      <c r="AX246" s="133" t="str">
        <f>IF($A246&lt;&gt;0,VLOOKUP($A246,'0.Productos'!$A$3:$GG$587,'0.Productos'!CP$1+1,0),"")</f>
        <v/>
      </c>
      <c r="AY246" s="133" t="str">
        <f>IF($A246&lt;&gt;0,VLOOKUP($A246,'0.Productos'!$A$3:$GG$587,'0.Productos'!CQ$1+1,0),"")</f>
        <v/>
      </c>
      <c r="AZ246" s="133" t="str">
        <f>IF($A246&lt;&gt;0,VLOOKUP($A246,'0.Productos'!$A$3:$GG$587,'0.Productos'!CR$1+1,0),"")</f>
        <v/>
      </c>
      <c r="BA246" s="133" t="str">
        <f>IF($A246&lt;&gt;0,VLOOKUP($A246,'0.Productos'!$A$3:$GG$587,'0.Productos'!CS$1+1,0),"")</f>
        <v/>
      </c>
      <c r="BB246" s="133" t="str">
        <f>IF($A246&lt;&gt;0,VLOOKUP($A246,'0.Productos'!$A$3:$GG$587,'0.Productos'!CT$1+1,0),"")</f>
        <v/>
      </c>
      <c r="BC246" s="133" t="str">
        <f>IF($A246&lt;&gt;0,VLOOKUP($A246,'0.Productos'!$A$3:$GG$587,'0.Productos'!CU$1+1,0),"")</f>
        <v/>
      </c>
      <c r="BD246" s="133" t="str">
        <f>IF($A246&lt;&gt;0,VLOOKUP($A246,'0.Productos'!$A$3:$GG$587,'0.Productos'!CV$1+1,0),"")</f>
        <v/>
      </c>
      <c r="BE246" s="133" t="str">
        <f>IF($A246&lt;&gt;0,VLOOKUP($A246,'0.Productos'!$A$3:$GG$587,'0.Productos'!CW$1+1,0),"")</f>
        <v/>
      </c>
      <c r="BF246" s="133" t="str">
        <f>IF($A246&lt;&gt;0,VLOOKUP($A246,'0.Productos'!$A$3:$GG$587,'0.Productos'!CX$1+1,0),"")</f>
        <v/>
      </c>
      <c r="BG246" s="133" t="str">
        <f>IF($A246&lt;&gt;0,VLOOKUP($A246,'0.Productos'!$A$3:$GG$587,'0.Productos'!CY$1+1,0),"")</f>
        <v/>
      </c>
      <c r="BH246" s="133" t="str">
        <f>IF($A246&lt;&gt;0,VLOOKUP($A246,'0.Productos'!$A$3:$GG$587,'0.Productos'!CZ$1+1,0),"")</f>
        <v/>
      </c>
      <c r="BI246" s="133" t="str">
        <f>IF($A246&lt;&gt;0,VLOOKUP($A246,'0.Productos'!$A$3:$GG$587,'0.Productos'!DA$1+1,0),"")</f>
        <v/>
      </c>
      <c r="BJ246" s="133" t="str">
        <f>IF($A246&lt;&gt;0,VLOOKUP($A246,'0.Productos'!$A$3:$GG$587,'0.Productos'!DB$1+1,0),"")</f>
        <v/>
      </c>
      <c r="BK246" s="133" t="str">
        <f>IF($A246&lt;&gt;0,VLOOKUP($A246,'0.Productos'!$A$3:$GG$587,'0.Productos'!DC$1+1,0),"")</f>
        <v/>
      </c>
      <c r="BL246" s="133" t="str">
        <f>IF($A246&lt;&gt;0,VLOOKUP($A246,'0.Productos'!$A$3:$GG$587,'0.Productos'!DD$1+1,0),"")</f>
        <v/>
      </c>
      <c r="BM246" s="133" t="str">
        <f>IF($A246&lt;&gt;0,VLOOKUP($A246,'0.Productos'!$A$3:$GG$587,'0.Productos'!DE$1+1,0),"")</f>
        <v/>
      </c>
      <c r="BN246" s="133" t="str">
        <f>IF($A246&lt;&gt;0,VLOOKUP($A246,'0.Productos'!$A$3:$GG$587,'0.Productos'!DF$1+1,0),"")</f>
        <v/>
      </c>
      <c r="BO246" s="133" t="str">
        <f>IF($A246&lt;&gt;0,VLOOKUP($A246,'0.Productos'!$A$3:$GG$587,'0.Productos'!DG$1+1,0),"")</f>
        <v/>
      </c>
      <c r="BP246" s="133" t="str">
        <f>IF($A246&lt;&gt;0,VLOOKUP($A246,'0.Productos'!$A$3:$GG$587,'0.Productos'!DH$1+1,0),"")</f>
        <v/>
      </c>
      <c r="BQ246" s="133" t="str">
        <f>IF($A246&lt;&gt;0,VLOOKUP($A246,'0.Productos'!$A$3:$GG$587,'0.Productos'!DI$1+1,0),"")</f>
        <v/>
      </c>
      <c r="BR246" s="133" t="str">
        <f>IF($A246&lt;&gt;0,VLOOKUP($A246,'0.Productos'!$A$3:$GG$587,'0.Productos'!DJ$1+1,0),"")</f>
        <v/>
      </c>
      <c r="BS246" s="133" t="str">
        <f>IF($A246&lt;&gt;0,VLOOKUP($A246,'0.Productos'!$A$3:$GG$587,'0.Productos'!DK$1+1,0),"")</f>
        <v/>
      </c>
      <c r="BT246" s="133" t="str">
        <f>IF($A246&lt;&gt;0,VLOOKUP($A246,'0.Productos'!$A$3:$GG$587,'0.Productos'!DL$1+1,0),"")</f>
        <v/>
      </c>
    </row>
    <row r="247" spans="1:72" x14ac:dyDescent="0.25">
      <c r="A247" s="17">
        <f>'0.Consolidado general'!A247</f>
        <v>0</v>
      </c>
      <c r="B247" s="133" t="str">
        <f>IF($A247&lt;&gt;0,VLOOKUP($A247,'0.Productos'!$A$3:$GG$587,'0.Productos'!AT$1+1,0),"")</f>
        <v/>
      </c>
      <c r="C247" s="133" t="str">
        <f>IF($A247&lt;&gt;0,VLOOKUP($A247,'0.Productos'!$A$3:$GG$587,'0.Productos'!AU$1+1,0),"")</f>
        <v/>
      </c>
      <c r="D247" s="133" t="str">
        <f>IF($A247&lt;&gt;0,VLOOKUP($A247,'0.Productos'!$A$3:$GG$587,'0.Productos'!AV$1+1,0),"")</f>
        <v/>
      </c>
      <c r="E247" s="133" t="str">
        <f>IF($A247&lt;&gt;0,VLOOKUP($A247,'0.Productos'!$A$3:$GG$587,'0.Productos'!AW$1+1,0),"")</f>
        <v/>
      </c>
      <c r="F247" s="133" t="str">
        <f>IF($A247&lt;&gt;0,VLOOKUP($A247,'0.Productos'!$A$3:$GG$587,'0.Productos'!AX$1+1,0),"")</f>
        <v/>
      </c>
      <c r="G247" s="133" t="str">
        <f>IF($A247&lt;&gt;0,VLOOKUP($A247,'0.Productos'!$A$3:$GG$587,'0.Productos'!AY$1+1,0),"")</f>
        <v/>
      </c>
      <c r="H247" s="133" t="str">
        <f>IF($A247&lt;&gt;0,VLOOKUP($A247,'0.Productos'!$A$3:$GG$587,'0.Productos'!AZ$1+1,0),"")</f>
        <v/>
      </c>
      <c r="I247" s="133" t="str">
        <f>IF($A247&lt;&gt;0,VLOOKUP($A247,'0.Productos'!$A$3:$GG$587,'0.Productos'!BA$1+1,0),"")</f>
        <v/>
      </c>
      <c r="J247" s="133" t="str">
        <f>IF($A247&lt;&gt;0,VLOOKUP($A247,'0.Productos'!$A$3:$GG$587,'0.Productos'!BB$1+1,0),"")</f>
        <v/>
      </c>
      <c r="K247" s="133" t="str">
        <f>IF($A247&lt;&gt;0,VLOOKUP($A247,'0.Productos'!$A$3:$GG$587,'0.Productos'!BC$1+1,0),"")</f>
        <v/>
      </c>
      <c r="L247" s="133" t="str">
        <f>IF($A247&lt;&gt;0,VLOOKUP($A247,'0.Productos'!$A$3:$GG$587,'0.Productos'!BD$1+1,0),"")</f>
        <v/>
      </c>
      <c r="M247" s="133" t="str">
        <f>IF($A247&lt;&gt;0,VLOOKUP($A247,'0.Productos'!$A$3:$GG$587,'0.Productos'!BE$1+1,0),"")</f>
        <v/>
      </c>
      <c r="N247" s="133" t="str">
        <f>IF($A247&lt;&gt;0,VLOOKUP($A247,'0.Productos'!$A$3:$GG$587,'0.Productos'!BF$1+1,0),"")</f>
        <v/>
      </c>
      <c r="O247" s="133" t="str">
        <f>IF($A247&lt;&gt;0,VLOOKUP($A247,'0.Productos'!$A$3:$GG$587,'0.Productos'!BG$1+1,0),"")</f>
        <v/>
      </c>
      <c r="P247" s="133" t="str">
        <f>IF($A247&lt;&gt;0,VLOOKUP($A247,'0.Productos'!$A$3:$GG$587,'0.Productos'!BH$1+1,0),"")</f>
        <v/>
      </c>
      <c r="Q247" s="133" t="str">
        <f>IF($A247&lt;&gt;0,VLOOKUP($A247,'0.Productos'!$A$3:$GG$587,'0.Productos'!BI$1+1,0),"")</f>
        <v/>
      </c>
      <c r="R247" s="133" t="str">
        <f>IF($A247&lt;&gt;0,VLOOKUP($A247,'0.Productos'!$A$3:$GG$587,'0.Productos'!BJ$1+1,0),"")</f>
        <v/>
      </c>
      <c r="S247" s="133" t="str">
        <f>IF($A247&lt;&gt;0,VLOOKUP($A247,'0.Productos'!$A$3:$GG$587,'0.Productos'!BK$1+1,0),"")</f>
        <v/>
      </c>
      <c r="T247" s="133" t="str">
        <f>IF($A247&lt;&gt;0,VLOOKUP($A247,'0.Productos'!$A$3:$GG$587,'0.Productos'!BL$1+1,0),"")</f>
        <v/>
      </c>
      <c r="U247" s="133" t="str">
        <f>IF($A247&lt;&gt;0,VLOOKUP($A247,'0.Productos'!$A$3:$GG$587,'0.Productos'!BM$1+1,0),"")</f>
        <v/>
      </c>
      <c r="V247" s="133" t="str">
        <f>IF($A247&lt;&gt;0,VLOOKUP($A247,'0.Productos'!$A$3:$GG$587,'0.Productos'!BN$1+1,0),"")</f>
        <v/>
      </c>
      <c r="W247" s="133" t="str">
        <f>IF($A247&lt;&gt;0,VLOOKUP($A247,'0.Productos'!$A$3:$GG$587,'0.Productos'!BO$1+1,0),"")</f>
        <v/>
      </c>
      <c r="X247" s="133" t="str">
        <f>IF($A247&lt;&gt;0,VLOOKUP($A247,'0.Productos'!$A$3:$GG$587,'0.Productos'!BP$1+1,0),"")</f>
        <v/>
      </c>
      <c r="Y247" s="133" t="str">
        <f>IF($A247&lt;&gt;0,VLOOKUP($A247,'0.Productos'!$A$3:$GG$587,'0.Productos'!BQ$1+1,0),"")</f>
        <v/>
      </c>
      <c r="Z247" s="133" t="str">
        <f>IF($A247&lt;&gt;0,VLOOKUP($A247,'0.Productos'!$A$3:$GG$587,'0.Productos'!BR$1+1,0),"")</f>
        <v/>
      </c>
      <c r="AA247" s="133" t="str">
        <f>IF($A247&lt;&gt;0,VLOOKUP($A247,'0.Productos'!$A$3:$GG$587,'0.Productos'!BS$1+1,0),"")</f>
        <v/>
      </c>
      <c r="AB247" s="133" t="str">
        <f>IF($A247&lt;&gt;0,VLOOKUP($A247,'0.Productos'!$A$3:$GG$587,'0.Productos'!BT$1+1,0),"")</f>
        <v/>
      </c>
      <c r="AC247" s="133" t="str">
        <f>IF($A247&lt;&gt;0,VLOOKUP($A247,'0.Productos'!$A$3:$GG$587,'0.Productos'!BU$1+1,0),"")</f>
        <v/>
      </c>
      <c r="AD247" s="133" t="str">
        <f>IF($A247&lt;&gt;0,VLOOKUP($A247,'0.Productos'!$A$3:$GG$587,'0.Productos'!BV$1+1,0),"")</f>
        <v/>
      </c>
      <c r="AE247" s="133" t="str">
        <f>IF($A247&lt;&gt;0,VLOOKUP($A247,'0.Productos'!$A$3:$GG$587,'0.Productos'!BW$1+1,0),"")</f>
        <v/>
      </c>
      <c r="AF247" s="133" t="str">
        <f>IF($A247&lt;&gt;0,VLOOKUP($A247,'0.Productos'!$A$3:$GG$587,'0.Productos'!BX$1+1,0),"")</f>
        <v/>
      </c>
      <c r="AG247" s="133" t="str">
        <f>IF($A247&lt;&gt;0,VLOOKUP($A247,'0.Productos'!$A$3:$GG$587,'0.Productos'!BY$1+1,0),"")</f>
        <v/>
      </c>
      <c r="AH247" s="133" t="str">
        <f>IF($A247&lt;&gt;0,VLOOKUP($A247,'0.Productos'!$A$3:$GG$587,'0.Productos'!BZ$1+1,0),"")</f>
        <v/>
      </c>
      <c r="AI247" s="133" t="str">
        <f>IF($A247&lt;&gt;0,VLOOKUP($A247,'0.Productos'!$A$3:$GG$587,'0.Productos'!CA$1+1,0),"")</f>
        <v/>
      </c>
      <c r="AJ247" s="133" t="str">
        <f>IF($A247&lt;&gt;0,VLOOKUP($A247,'0.Productos'!$A$3:$GG$587,'0.Productos'!CB$1+1,0),"")</f>
        <v/>
      </c>
      <c r="AK247" s="133" t="str">
        <f>IF($A247&lt;&gt;0,VLOOKUP($A247,'0.Productos'!$A$3:$GG$587,'0.Productos'!CC$1+1,0),"")</f>
        <v/>
      </c>
      <c r="AL247" s="133" t="str">
        <f>IF($A247&lt;&gt;0,VLOOKUP($A247,'0.Productos'!$A$3:$GG$587,'0.Productos'!CD$1+1,0),"")</f>
        <v/>
      </c>
      <c r="AM247" s="133" t="str">
        <f>IF($A247&lt;&gt;0,VLOOKUP($A247,'0.Productos'!$A$3:$GG$587,'0.Productos'!CE$1+1,0),"")</f>
        <v/>
      </c>
      <c r="AN247" s="133" t="str">
        <f>IF($A247&lt;&gt;0,VLOOKUP($A247,'0.Productos'!$A$3:$GG$587,'0.Productos'!CF$1+1,0),"")</f>
        <v/>
      </c>
      <c r="AO247" s="133" t="str">
        <f>IF($A247&lt;&gt;0,VLOOKUP($A247,'0.Productos'!$A$3:$GG$587,'0.Productos'!CG$1+1,0),"")</f>
        <v/>
      </c>
      <c r="AP247" s="133" t="str">
        <f>IF($A247&lt;&gt;0,VLOOKUP($A247,'0.Productos'!$A$3:$GG$587,'0.Productos'!CH$1+1,0),"")</f>
        <v/>
      </c>
      <c r="AQ247" s="133" t="str">
        <f>IF($A247&lt;&gt;0,VLOOKUP($A247,'0.Productos'!$A$3:$GG$587,'0.Productos'!CI$1+1,0),"")</f>
        <v/>
      </c>
      <c r="AR247" s="133" t="str">
        <f>IF($A247&lt;&gt;0,VLOOKUP($A247,'0.Productos'!$A$3:$GG$587,'0.Productos'!CJ$1+1,0),"")</f>
        <v/>
      </c>
      <c r="AS247" s="133" t="str">
        <f>IF($A247&lt;&gt;0,VLOOKUP($A247,'0.Productos'!$A$3:$GG$587,'0.Productos'!CK$1+1,0),"")</f>
        <v/>
      </c>
      <c r="AT247" s="133" t="str">
        <f>IF($A247&lt;&gt;0,VLOOKUP($A247,'0.Productos'!$A$3:$GG$587,'0.Productos'!CL$1+1,0),"")</f>
        <v/>
      </c>
      <c r="AU247" s="133" t="str">
        <f>IF($A247&lt;&gt;0,VLOOKUP($A247,'0.Productos'!$A$3:$GG$587,'0.Productos'!CM$1+1,0),"")</f>
        <v/>
      </c>
      <c r="AV247" s="133" t="str">
        <f>IF($A247&lt;&gt;0,VLOOKUP($A247,'0.Productos'!$A$3:$GG$587,'0.Productos'!CN$1+1,0),"")</f>
        <v/>
      </c>
      <c r="AW247" s="133" t="str">
        <f>IF($A247&lt;&gt;0,VLOOKUP($A247,'0.Productos'!$A$3:$GG$587,'0.Productos'!CO$1+1,0),"")</f>
        <v/>
      </c>
      <c r="AX247" s="133" t="str">
        <f>IF($A247&lt;&gt;0,VLOOKUP($A247,'0.Productos'!$A$3:$GG$587,'0.Productos'!CP$1+1,0),"")</f>
        <v/>
      </c>
      <c r="AY247" s="133" t="str">
        <f>IF($A247&lt;&gt;0,VLOOKUP($A247,'0.Productos'!$A$3:$GG$587,'0.Productos'!CQ$1+1,0),"")</f>
        <v/>
      </c>
      <c r="AZ247" s="133" t="str">
        <f>IF($A247&lt;&gt;0,VLOOKUP($A247,'0.Productos'!$A$3:$GG$587,'0.Productos'!CR$1+1,0),"")</f>
        <v/>
      </c>
      <c r="BA247" s="133" t="str">
        <f>IF($A247&lt;&gt;0,VLOOKUP($A247,'0.Productos'!$A$3:$GG$587,'0.Productos'!CS$1+1,0),"")</f>
        <v/>
      </c>
      <c r="BB247" s="133" t="str">
        <f>IF($A247&lt;&gt;0,VLOOKUP($A247,'0.Productos'!$A$3:$GG$587,'0.Productos'!CT$1+1,0),"")</f>
        <v/>
      </c>
      <c r="BC247" s="133" t="str">
        <f>IF($A247&lt;&gt;0,VLOOKUP($A247,'0.Productos'!$A$3:$GG$587,'0.Productos'!CU$1+1,0),"")</f>
        <v/>
      </c>
      <c r="BD247" s="133" t="str">
        <f>IF($A247&lt;&gt;0,VLOOKUP($A247,'0.Productos'!$A$3:$GG$587,'0.Productos'!CV$1+1,0),"")</f>
        <v/>
      </c>
      <c r="BE247" s="133" t="str">
        <f>IF($A247&lt;&gt;0,VLOOKUP($A247,'0.Productos'!$A$3:$GG$587,'0.Productos'!CW$1+1,0),"")</f>
        <v/>
      </c>
      <c r="BF247" s="133" t="str">
        <f>IF($A247&lt;&gt;0,VLOOKUP($A247,'0.Productos'!$A$3:$GG$587,'0.Productos'!CX$1+1,0),"")</f>
        <v/>
      </c>
      <c r="BG247" s="133" t="str">
        <f>IF($A247&lt;&gt;0,VLOOKUP($A247,'0.Productos'!$A$3:$GG$587,'0.Productos'!CY$1+1,0),"")</f>
        <v/>
      </c>
      <c r="BH247" s="133" t="str">
        <f>IF($A247&lt;&gt;0,VLOOKUP($A247,'0.Productos'!$A$3:$GG$587,'0.Productos'!CZ$1+1,0),"")</f>
        <v/>
      </c>
      <c r="BI247" s="133" t="str">
        <f>IF($A247&lt;&gt;0,VLOOKUP($A247,'0.Productos'!$A$3:$GG$587,'0.Productos'!DA$1+1,0),"")</f>
        <v/>
      </c>
      <c r="BJ247" s="133" t="str">
        <f>IF($A247&lt;&gt;0,VLOOKUP($A247,'0.Productos'!$A$3:$GG$587,'0.Productos'!DB$1+1,0),"")</f>
        <v/>
      </c>
      <c r="BK247" s="133" t="str">
        <f>IF($A247&lt;&gt;0,VLOOKUP($A247,'0.Productos'!$A$3:$GG$587,'0.Productos'!DC$1+1,0),"")</f>
        <v/>
      </c>
      <c r="BL247" s="133" t="str">
        <f>IF($A247&lt;&gt;0,VLOOKUP($A247,'0.Productos'!$A$3:$GG$587,'0.Productos'!DD$1+1,0),"")</f>
        <v/>
      </c>
      <c r="BM247" s="133" t="str">
        <f>IF($A247&lt;&gt;0,VLOOKUP($A247,'0.Productos'!$A$3:$GG$587,'0.Productos'!DE$1+1,0),"")</f>
        <v/>
      </c>
      <c r="BN247" s="133" t="str">
        <f>IF($A247&lt;&gt;0,VLOOKUP($A247,'0.Productos'!$A$3:$GG$587,'0.Productos'!DF$1+1,0),"")</f>
        <v/>
      </c>
      <c r="BO247" s="133" t="str">
        <f>IF($A247&lt;&gt;0,VLOOKUP($A247,'0.Productos'!$A$3:$GG$587,'0.Productos'!DG$1+1,0),"")</f>
        <v/>
      </c>
      <c r="BP247" s="133" t="str">
        <f>IF($A247&lt;&gt;0,VLOOKUP($A247,'0.Productos'!$A$3:$GG$587,'0.Productos'!DH$1+1,0),"")</f>
        <v/>
      </c>
      <c r="BQ247" s="133" t="str">
        <f>IF($A247&lt;&gt;0,VLOOKUP($A247,'0.Productos'!$A$3:$GG$587,'0.Productos'!DI$1+1,0),"")</f>
        <v/>
      </c>
      <c r="BR247" s="133" t="str">
        <f>IF($A247&lt;&gt;0,VLOOKUP($A247,'0.Productos'!$A$3:$GG$587,'0.Productos'!DJ$1+1,0),"")</f>
        <v/>
      </c>
      <c r="BS247" s="133" t="str">
        <f>IF($A247&lt;&gt;0,VLOOKUP($A247,'0.Productos'!$A$3:$GG$587,'0.Productos'!DK$1+1,0),"")</f>
        <v/>
      </c>
      <c r="BT247" s="133" t="str">
        <f>IF($A247&lt;&gt;0,VLOOKUP($A247,'0.Productos'!$A$3:$GG$587,'0.Productos'!DL$1+1,0),"")</f>
        <v/>
      </c>
    </row>
    <row r="248" spans="1:72" x14ac:dyDescent="0.25">
      <c r="A248" s="17">
        <f>'0.Consolidado general'!A248</f>
        <v>0</v>
      </c>
      <c r="B248" s="133" t="str">
        <f>IF($A248&lt;&gt;0,VLOOKUP($A248,'0.Productos'!$A$3:$GG$587,'0.Productos'!AT$1+1,0),"")</f>
        <v/>
      </c>
      <c r="C248" s="133" t="str">
        <f>IF($A248&lt;&gt;0,VLOOKUP($A248,'0.Productos'!$A$3:$GG$587,'0.Productos'!AU$1+1,0),"")</f>
        <v/>
      </c>
      <c r="D248" s="133" t="str">
        <f>IF($A248&lt;&gt;0,VLOOKUP($A248,'0.Productos'!$A$3:$GG$587,'0.Productos'!AV$1+1,0),"")</f>
        <v/>
      </c>
      <c r="E248" s="133" t="str">
        <f>IF($A248&lt;&gt;0,VLOOKUP($A248,'0.Productos'!$A$3:$GG$587,'0.Productos'!AW$1+1,0),"")</f>
        <v/>
      </c>
      <c r="F248" s="133" t="str">
        <f>IF($A248&lt;&gt;0,VLOOKUP($A248,'0.Productos'!$A$3:$GG$587,'0.Productos'!AX$1+1,0),"")</f>
        <v/>
      </c>
      <c r="G248" s="133" t="str">
        <f>IF($A248&lt;&gt;0,VLOOKUP($A248,'0.Productos'!$A$3:$GG$587,'0.Productos'!AY$1+1,0),"")</f>
        <v/>
      </c>
      <c r="H248" s="133" t="str">
        <f>IF($A248&lt;&gt;0,VLOOKUP($A248,'0.Productos'!$A$3:$GG$587,'0.Productos'!AZ$1+1,0),"")</f>
        <v/>
      </c>
      <c r="I248" s="133" t="str">
        <f>IF($A248&lt;&gt;0,VLOOKUP($A248,'0.Productos'!$A$3:$GG$587,'0.Productos'!BA$1+1,0),"")</f>
        <v/>
      </c>
      <c r="J248" s="133" t="str">
        <f>IF($A248&lt;&gt;0,VLOOKUP($A248,'0.Productos'!$A$3:$GG$587,'0.Productos'!BB$1+1,0),"")</f>
        <v/>
      </c>
      <c r="K248" s="133" t="str">
        <f>IF($A248&lt;&gt;0,VLOOKUP($A248,'0.Productos'!$A$3:$GG$587,'0.Productos'!BC$1+1,0),"")</f>
        <v/>
      </c>
      <c r="L248" s="133" t="str">
        <f>IF($A248&lt;&gt;0,VLOOKUP($A248,'0.Productos'!$A$3:$GG$587,'0.Productos'!BD$1+1,0),"")</f>
        <v/>
      </c>
      <c r="M248" s="133" t="str">
        <f>IF($A248&lt;&gt;0,VLOOKUP($A248,'0.Productos'!$A$3:$GG$587,'0.Productos'!BE$1+1,0),"")</f>
        <v/>
      </c>
      <c r="N248" s="133" t="str">
        <f>IF($A248&lt;&gt;0,VLOOKUP($A248,'0.Productos'!$A$3:$GG$587,'0.Productos'!BF$1+1,0),"")</f>
        <v/>
      </c>
      <c r="O248" s="133" t="str">
        <f>IF($A248&lt;&gt;0,VLOOKUP($A248,'0.Productos'!$A$3:$GG$587,'0.Productos'!BG$1+1,0),"")</f>
        <v/>
      </c>
      <c r="P248" s="133" t="str">
        <f>IF($A248&lt;&gt;0,VLOOKUP($A248,'0.Productos'!$A$3:$GG$587,'0.Productos'!BH$1+1,0),"")</f>
        <v/>
      </c>
      <c r="Q248" s="133" t="str">
        <f>IF($A248&lt;&gt;0,VLOOKUP($A248,'0.Productos'!$A$3:$GG$587,'0.Productos'!BI$1+1,0),"")</f>
        <v/>
      </c>
      <c r="R248" s="133" t="str">
        <f>IF($A248&lt;&gt;0,VLOOKUP($A248,'0.Productos'!$A$3:$GG$587,'0.Productos'!BJ$1+1,0),"")</f>
        <v/>
      </c>
      <c r="S248" s="133" t="str">
        <f>IF($A248&lt;&gt;0,VLOOKUP($A248,'0.Productos'!$A$3:$GG$587,'0.Productos'!BK$1+1,0),"")</f>
        <v/>
      </c>
      <c r="T248" s="133" t="str">
        <f>IF($A248&lt;&gt;0,VLOOKUP($A248,'0.Productos'!$A$3:$GG$587,'0.Productos'!BL$1+1,0),"")</f>
        <v/>
      </c>
      <c r="U248" s="133" t="str">
        <f>IF($A248&lt;&gt;0,VLOOKUP($A248,'0.Productos'!$A$3:$GG$587,'0.Productos'!BM$1+1,0),"")</f>
        <v/>
      </c>
      <c r="V248" s="133" t="str">
        <f>IF($A248&lt;&gt;0,VLOOKUP($A248,'0.Productos'!$A$3:$GG$587,'0.Productos'!BN$1+1,0),"")</f>
        <v/>
      </c>
      <c r="W248" s="133" t="str">
        <f>IF($A248&lt;&gt;0,VLOOKUP($A248,'0.Productos'!$A$3:$GG$587,'0.Productos'!BO$1+1,0),"")</f>
        <v/>
      </c>
      <c r="X248" s="133" t="str">
        <f>IF($A248&lt;&gt;0,VLOOKUP($A248,'0.Productos'!$A$3:$GG$587,'0.Productos'!BP$1+1,0),"")</f>
        <v/>
      </c>
      <c r="Y248" s="133" t="str">
        <f>IF($A248&lt;&gt;0,VLOOKUP($A248,'0.Productos'!$A$3:$GG$587,'0.Productos'!BQ$1+1,0),"")</f>
        <v/>
      </c>
      <c r="Z248" s="133" t="str">
        <f>IF($A248&lt;&gt;0,VLOOKUP($A248,'0.Productos'!$A$3:$GG$587,'0.Productos'!BR$1+1,0),"")</f>
        <v/>
      </c>
      <c r="AA248" s="133" t="str">
        <f>IF($A248&lt;&gt;0,VLOOKUP($A248,'0.Productos'!$A$3:$GG$587,'0.Productos'!BS$1+1,0),"")</f>
        <v/>
      </c>
      <c r="AB248" s="133" t="str">
        <f>IF($A248&lt;&gt;0,VLOOKUP($A248,'0.Productos'!$A$3:$GG$587,'0.Productos'!BT$1+1,0),"")</f>
        <v/>
      </c>
      <c r="AC248" s="133" t="str">
        <f>IF($A248&lt;&gt;0,VLOOKUP($A248,'0.Productos'!$A$3:$GG$587,'0.Productos'!BU$1+1,0),"")</f>
        <v/>
      </c>
      <c r="AD248" s="133" t="str">
        <f>IF($A248&lt;&gt;0,VLOOKUP($A248,'0.Productos'!$A$3:$GG$587,'0.Productos'!BV$1+1,0),"")</f>
        <v/>
      </c>
      <c r="AE248" s="133" t="str">
        <f>IF($A248&lt;&gt;0,VLOOKUP($A248,'0.Productos'!$A$3:$GG$587,'0.Productos'!BW$1+1,0),"")</f>
        <v/>
      </c>
      <c r="AF248" s="133" t="str">
        <f>IF($A248&lt;&gt;0,VLOOKUP($A248,'0.Productos'!$A$3:$GG$587,'0.Productos'!BX$1+1,0),"")</f>
        <v/>
      </c>
      <c r="AG248" s="133" t="str">
        <f>IF($A248&lt;&gt;0,VLOOKUP($A248,'0.Productos'!$A$3:$GG$587,'0.Productos'!BY$1+1,0),"")</f>
        <v/>
      </c>
      <c r="AH248" s="133" t="str">
        <f>IF($A248&lt;&gt;0,VLOOKUP($A248,'0.Productos'!$A$3:$GG$587,'0.Productos'!BZ$1+1,0),"")</f>
        <v/>
      </c>
      <c r="AI248" s="133" t="str">
        <f>IF($A248&lt;&gt;0,VLOOKUP($A248,'0.Productos'!$A$3:$GG$587,'0.Productos'!CA$1+1,0),"")</f>
        <v/>
      </c>
      <c r="AJ248" s="133" t="str">
        <f>IF($A248&lt;&gt;0,VLOOKUP($A248,'0.Productos'!$A$3:$GG$587,'0.Productos'!CB$1+1,0),"")</f>
        <v/>
      </c>
      <c r="AK248" s="133" t="str">
        <f>IF($A248&lt;&gt;0,VLOOKUP($A248,'0.Productos'!$A$3:$GG$587,'0.Productos'!CC$1+1,0),"")</f>
        <v/>
      </c>
      <c r="AL248" s="133" t="str">
        <f>IF($A248&lt;&gt;0,VLOOKUP($A248,'0.Productos'!$A$3:$GG$587,'0.Productos'!CD$1+1,0),"")</f>
        <v/>
      </c>
      <c r="AM248" s="133" t="str">
        <f>IF($A248&lt;&gt;0,VLOOKUP($A248,'0.Productos'!$A$3:$GG$587,'0.Productos'!CE$1+1,0),"")</f>
        <v/>
      </c>
      <c r="AN248" s="133" t="str">
        <f>IF($A248&lt;&gt;0,VLOOKUP($A248,'0.Productos'!$A$3:$GG$587,'0.Productos'!CF$1+1,0),"")</f>
        <v/>
      </c>
      <c r="AO248" s="133" t="str">
        <f>IF($A248&lt;&gt;0,VLOOKUP($A248,'0.Productos'!$A$3:$GG$587,'0.Productos'!CG$1+1,0),"")</f>
        <v/>
      </c>
      <c r="AP248" s="133" t="str">
        <f>IF($A248&lt;&gt;0,VLOOKUP($A248,'0.Productos'!$A$3:$GG$587,'0.Productos'!CH$1+1,0),"")</f>
        <v/>
      </c>
      <c r="AQ248" s="133" t="str">
        <f>IF($A248&lt;&gt;0,VLOOKUP($A248,'0.Productos'!$A$3:$GG$587,'0.Productos'!CI$1+1,0),"")</f>
        <v/>
      </c>
      <c r="AR248" s="133" t="str">
        <f>IF($A248&lt;&gt;0,VLOOKUP($A248,'0.Productos'!$A$3:$GG$587,'0.Productos'!CJ$1+1,0),"")</f>
        <v/>
      </c>
      <c r="AS248" s="133" t="str">
        <f>IF($A248&lt;&gt;0,VLOOKUP($A248,'0.Productos'!$A$3:$GG$587,'0.Productos'!CK$1+1,0),"")</f>
        <v/>
      </c>
      <c r="AT248" s="133" t="str">
        <f>IF($A248&lt;&gt;0,VLOOKUP($A248,'0.Productos'!$A$3:$GG$587,'0.Productos'!CL$1+1,0),"")</f>
        <v/>
      </c>
      <c r="AU248" s="133" t="str">
        <f>IF($A248&lt;&gt;0,VLOOKUP($A248,'0.Productos'!$A$3:$GG$587,'0.Productos'!CM$1+1,0),"")</f>
        <v/>
      </c>
      <c r="AV248" s="133" t="str">
        <f>IF($A248&lt;&gt;0,VLOOKUP($A248,'0.Productos'!$A$3:$GG$587,'0.Productos'!CN$1+1,0),"")</f>
        <v/>
      </c>
      <c r="AW248" s="133" t="str">
        <f>IF($A248&lt;&gt;0,VLOOKUP($A248,'0.Productos'!$A$3:$GG$587,'0.Productos'!CO$1+1,0),"")</f>
        <v/>
      </c>
      <c r="AX248" s="133" t="str">
        <f>IF($A248&lt;&gt;0,VLOOKUP($A248,'0.Productos'!$A$3:$GG$587,'0.Productos'!CP$1+1,0),"")</f>
        <v/>
      </c>
      <c r="AY248" s="133" t="str">
        <f>IF($A248&lt;&gt;0,VLOOKUP($A248,'0.Productos'!$A$3:$GG$587,'0.Productos'!CQ$1+1,0),"")</f>
        <v/>
      </c>
      <c r="AZ248" s="133" t="str">
        <f>IF($A248&lt;&gt;0,VLOOKUP($A248,'0.Productos'!$A$3:$GG$587,'0.Productos'!CR$1+1,0),"")</f>
        <v/>
      </c>
      <c r="BA248" s="133" t="str">
        <f>IF($A248&lt;&gt;0,VLOOKUP($A248,'0.Productos'!$A$3:$GG$587,'0.Productos'!CS$1+1,0),"")</f>
        <v/>
      </c>
      <c r="BB248" s="133" t="str">
        <f>IF($A248&lt;&gt;0,VLOOKUP($A248,'0.Productos'!$A$3:$GG$587,'0.Productos'!CT$1+1,0),"")</f>
        <v/>
      </c>
      <c r="BC248" s="133" t="str">
        <f>IF($A248&lt;&gt;0,VLOOKUP($A248,'0.Productos'!$A$3:$GG$587,'0.Productos'!CU$1+1,0),"")</f>
        <v/>
      </c>
      <c r="BD248" s="133" t="str">
        <f>IF($A248&lt;&gt;0,VLOOKUP($A248,'0.Productos'!$A$3:$GG$587,'0.Productos'!CV$1+1,0),"")</f>
        <v/>
      </c>
      <c r="BE248" s="133" t="str">
        <f>IF($A248&lt;&gt;0,VLOOKUP($A248,'0.Productos'!$A$3:$GG$587,'0.Productos'!CW$1+1,0),"")</f>
        <v/>
      </c>
      <c r="BF248" s="133" t="str">
        <f>IF($A248&lt;&gt;0,VLOOKUP($A248,'0.Productos'!$A$3:$GG$587,'0.Productos'!CX$1+1,0),"")</f>
        <v/>
      </c>
      <c r="BG248" s="133" t="str">
        <f>IF($A248&lt;&gt;0,VLOOKUP($A248,'0.Productos'!$A$3:$GG$587,'0.Productos'!CY$1+1,0),"")</f>
        <v/>
      </c>
      <c r="BH248" s="133" t="str">
        <f>IF($A248&lt;&gt;0,VLOOKUP($A248,'0.Productos'!$A$3:$GG$587,'0.Productos'!CZ$1+1,0),"")</f>
        <v/>
      </c>
      <c r="BI248" s="133" t="str">
        <f>IF($A248&lt;&gt;0,VLOOKUP($A248,'0.Productos'!$A$3:$GG$587,'0.Productos'!DA$1+1,0),"")</f>
        <v/>
      </c>
      <c r="BJ248" s="133" t="str">
        <f>IF($A248&lt;&gt;0,VLOOKUP($A248,'0.Productos'!$A$3:$GG$587,'0.Productos'!DB$1+1,0),"")</f>
        <v/>
      </c>
      <c r="BK248" s="133" t="str">
        <f>IF($A248&lt;&gt;0,VLOOKUP($A248,'0.Productos'!$A$3:$GG$587,'0.Productos'!DC$1+1,0),"")</f>
        <v/>
      </c>
      <c r="BL248" s="133" t="str">
        <f>IF($A248&lt;&gt;0,VLOOKUP($A248,'0.Productos'!$A$3:$GG$587,'0.Productos'!DD$1+1,0),"")</f>
        <v/>
      </c>
      <c r="BM248" s="133" t="str">
        <f>IF($A248&lt;&gt;0,VLOOKUP($A248,'0.Productos'!$A$3:$GG$587,'0.Productos'!DE$1+1,0),"")</f>
        <v/>
      </c>
      <c r="BN248" s="133" t="str">
        <f>IF($A248&lt;&gt;0,VLOOKUP($A248,'0.Productos'!$A$3:$GG$587,'0.Productos'!DF$1+1,0),"")</f>
        <v/>
      </c>
      <c r="BO248" s="133" t="str">
        <f>IF($A248&lt;&gt;0,VLOOKUP($A248,'0.Productos'!$A$3:$GG$587,'0.Productos'!DG$1+1,0),"")</f>
        <v/>
      </c>
      <c r="BP248" s="133" t="str">
        <f>IF($A248&lt;&gt;0,VLOOKUP($A248,'0.Productos'!$A$3:$GG$587,'0.Productos'!DH$1+1,0),"")</f>
        <v/>
      </c>
      <c r="BQ248" s="133" t="str">
        <f>IF($A248&lt;&gt;0,VLOOKUP($A248,'0.Productos'!$A$3:$GG$587,'0.Productos'!DI$1+1,0),"")</f>
        <v/>
      </c>
      <c r="BR248" s="133" t="str">
        <f>IF($A248&lt;&gt;0,VLOOKUP($A248,'0.Productos'!$A$3:$GG$587,'0.Productos'!DJ$1+1,0),"")</f>
        <v/>
      </c>
      <c r="BS248" s="133" t="str">
        <f>IF($A248&lt;&gt;0,VLOOKUP($A248,'0.Productos'!$A$3:$GG$587,'0.Productos'!DK$1+1,0),"")</f>
        <v/>
      </c>
      <c r="BT248" s="133" t="str">
        <f>IF($A248&lt;&gt;0,VLOOKUP($A248,'0.Productos'!$A$3:$GG$587,'0.Productos'!DL$1+1,0),"")</f>
        <v/>
      </c>
    </row>
    <row r="249" spans="1:72" x14ac:dyDescent="0.25">
      <c r="A249" s="17">
        <f>'0.Consolidado general'!A249</f>
        <v>0</v>
      </c>
      <c r="B249" s="133" t="str">
        <f>IF($A249&lt;&gt;0,VLOOKUP($A249,'0.Productos'!$A$3:$GG$587,'0.Productos'!AT$1+1,0),"")</f>
        <v/>
      </c>
      <c r="C249" s="133" t="str">
        <f>IF($A249&lt;&gt;0,VLOOKUP($A249,'0.Productos'!$A$3:$GG$587,'0.Productos'!AU$1+1,0),"")</f>
        <v/>
      </c>
      <c r="D249" s="133" t="str">
        <f>IF($A249&lt;&gt;0,VLOOKUP($A249,'0.Productos'!$A$3:$GG$587,'0.Productos'!AV$1+1,0),"")</f>
        <v/>
      </c>
      <c r="E249" s="133" t="str">
        <f>IF($A249&lt;&gt;0,VLOOKUP($A249,'0.Productos'!$A$3:$GG$587,'0.Productos'!AW$1+1,0),"")</f>
        <v/>
      </c>
      <c r="F249" s="133" t="str">
        <f>IF($A249&lt;&gt;0,VLOOKUP($A249,'0.Productos'!$A$3:$GG$587,'0.Productos'!AX$1+1,0),"")</f>
        <v/>
      </c>
      <c r="G249" s="133" t="str">
        <f>IF($A249&lt;&gt;0,VLOOKUP($A249,'0.Productos'!$A$3:$GG$587,'0.Productos'!AY$1+1,0),"")</f>
        <v/>
      </c>
      <c r="H249" s="133" t="str">
        <f>IF($A249&lt;&gt;0,VLOOKUP($A249,'0.Productos'!$A$3:$GG$587,'0.Productos'!AZ$1+1,0),"")</f>
        <v/>
      </c>
      <c r="I249" s="133" t="str">
        <f>IF($A249&lt;&gt;0,VLOOKUP($A249,'0.Productos'!$A$3:$GG$587,'0.Productos'!BA$1+1,0),"")</f>
        <v/>
      </c>
      <c r="J249" s="133" t="str">
        <f>IF($A249&lt;&gt;0,VLOOKUP($A249,'0.Productos'!$A$3:$GG$587,'0.Productos'!BB$1+1,0),"")</f>
        <v/>
      </c>
      <c r="K249" s="133" t="str">
        <f>IF($A249&lt;&gt;0,VLOOKUP($A249,'0.Productos'!$A$3:$GG$587,'0.Productos'!BC$1+1,0),"")</f>
        <v/>
      </c>
      <c r="L249" s="133" t="str">
        <f>IF($A249&lt;&gt;0,VLOOKUP($A249,'0.Productos'!$A$3:$GG$587,'0.Productos'!BD$1+1,0),"")</f>
        <v/>
      </c>
      <c r="M249" s="133" t="str">
        <f>IF($A249&lt;&gt;0,VLOOKUP($A249,'0.Productos'!$A$3:$GG$587,'0.Productos'!BE$1+1,0),"")</f>
        <v/>
      </c>
      <c r="N249" s="133" t="str">
        <f>IF($A249&lt;&gt;0,VLOOKUP($A249,'0.Productos'!$A$3:$GG$587,'0.Productos'!BF$1+1,0),"")</f>
        <v/>
      </c>
      <c r="O249" s="133" t="str">
        <f>IF($A249&lt;&gt;0,VLOOKUP($A249,'0.Productos'!$A$3:$GG$587,'0.Productos'!BG$1+1,0),"")</f>
        <v/>
      </c>
      <c r="P249" s="133" t="str">
        <f>IF($A249&lt;&gt;0,VLOOKUP($A249,'0.Productos'!$A$3:$GG$587,'0.Productos'!BH$1+1,0),"")</f>
        <v/>
      </c>
      <c r="Q249" s="133" t="str">
        <f>IF($A249&lt;&gt;0,VLOOKUP($A249,'0.Productos'!$A$3:$GG$587,'0.Productos'!BI$1+1,0),"")</f>
        <v/>
      </c>
      <c r="R249" s="133" t="str">
        <f>IF($A249&lt;&gt;0,VLOOKUP($A249,'0.Productos'!$A$3:$GG$587,'0.Productos'!BJ$1+1,0),"")</f>
        <v/>
      </c>
      <c r="S249" s="133" t="str">
        <f>IF($A249&lt;&gt;0,VLOOKUP($A249,'0.Productos'!$A$3:$GG$587,'0.Productos'!BK$1+1,0),"")</f>
        <v/>
      </c>
      <c r="T249" s="133" t="str">
        <f>IF($A249&lt;&gt;0,VLOOKUP($A249,'0.Productos'!$A$3:$GG$587,'0.Productos'!BL$1+1,0),"")</f>
        <v/>
      </c>
      <c r="U249" s="133" t="str">
        <f>IF($A249&lt;&gt;0,VLOOKUP($A249,'0.Productos'!$A$3:$GG$587,'0.Productos'!BM$1+1,0),"")</f>
        <v/>
      </c>
      <c r="V249" s="133" t="str">
        <f>IF($A249&lt;&gt;0,VLOOKUP($A249,'0.Productos'!$A$3:$GG$587,'0.Productos'!BN$1+1,0),"")</f>
        <v/>
      </c>
      <c r="W249" s="133" t="str">
        <f>IF($A249&lt;&gt;0,VLOOKUP($A249,'0.Productos'!$A$3:$GG$587,'0.Productos'!BO$1+1,0),"")</f>
        <v/>
      </c>
      <c r="X249" s="133" t="str">
        <f>IF($A249&lt;&gt;0,VLOOKUP($A249,'0.Productos'!$A$3:$GG$587,'0.Productos'!BP$1+1,0),"")</f>
        <v/>
      </c>
      <c r="Y249" s="133" t="str">
        <f>IF($A249&lt;&gt;0,VLOOKUP($A249,'0.Productos'!$A$3:$GG$587,'0.Productos'!BQ$1+1,0),"")</f>
        <v/>
      </c>
      <c r="Z249" s="133" t="str">
        <f>IF($A249&lt;&gt;0,VLOOKUP($A249,'0.Productos'!$A$3:$GG$587,'0.Productos'!BR$1+1,0),"")</f>
        <v/>
      </c>
      <c r="AA249" s="133" t="str">
        <f>IF($A249&lt;&gt;0,VLOOKUP($A249,'0.Productos'!$A$3:$GG$587,'0.Productos'!BS$1+1,0),"")</f>
        <v/>
      </c>
      <c r="AB249" s="133" t="str">
        <f>IF($A249&lt;&gt;0,VLOOKUP($A249,'0.Productos'!$A$3:$GG$587,'0.Productos'!BT$1+1,0),"")</f>
        <v/>
      </c>
      <c r="AC249" s="133" t="str">
        <f>IF($A249&lt;&gt;0,VLOOKUP($A249,'0.Productos'!$A$3:$GG$587,'0.Productos'!BU$1+1,0),"")</f>
        <v/>
      </c>
      <c r="AD249" s="133" t="str">
        <f>IF($A249&lt;&gt;0,VLOOKUP($A249,'0.Productos'!$A$3:$GG$587,'0.Productos'!BV$1+1,0),"")</f>
        <v/>
      </c>
      <c r="AE249" s="133" t="str">
        <f>IF($A249&lt;&gt;0,VLOOKUP($A249,'0.Productos'!$A$3:$GG$587,'0.Productos'!BW$1+1,0),"")</f>
        <v/>
      </c>
      <c r="AF249" s="133" t="str">
        <f>IF($A249&lt;&gt;0,VLOOKUP($A249,'0.Productos'!$A$3:$GG$587,'0.Productos'!BX$1+1,0),"")</f>
        <v/>
      </c>
      <c r="AG249" s="133" t="str">
        <f>IF($A249&lt;&gt;0,VLOOKUP($A249,'0.Productos'!$A$3:$GG$587,'0.Productos'!BY$1+1,0),"")</f>
        <v/>
      </c>
      <c r="AH249" s="133" t="str">
        <f>IF($A249&lt;&gt;0,VLOOKUP($A249,'0.Productos'!$A$3:$GG$587,'0.Productos'!BZ$1+1,0),"")</f>
        <v/>
      </c>
      <c r="AI249" s="133" t="str">
        <f>IF($A249&lt;&gt;0,VLOOKUP($A249,'0.Productos'!$A$3:$GG$587,'0.Productos'!CA$1+1,0),"")</f>
        <v/>
      </c>
      <c r="AJ249" s="133" t="str">
        <f>IF($A249&lt;&gt;0,VLOOKUP($A249,'0.Productos'!$A$3:$GG$587,'0.Productos'!CB$1+1,0),"")</f>
        <v/>
      </c>
      <c r="AK249" s="133" t="str">
        <f>IF($A249&lt;&gt;0,VLOOKUP($A249,'0.Productos'!$A$3:$GG$587,'0.Productos'!CC$1+1,0),"")</f>
        <v/>
      </c>
      <c r="AL249" s="133" t="str">
        <f>IF($A249&lt;&gt;0,VLOOKUP($A249,'0.Productos'!$A$3:$GG$587,'0.Productos'!CD$1+1,0),"")</f>
        <v/>
      </c>
      <c r="AM249" s="133" t="str">
        <f>IF($A249&lt;&gt;0,VLOOKUP($A249,'0.Productos'!$A$3:$GG$587,'0.Productos'!CE$1+1,0),"")</f>
        <v/>
      </c>
      <c r="AN249" s="133" t="str">
        <f>IF($A249&lt;&gt;0,VLOOKUP($A249,'0.Productos'!$A$3:$GG$587,'0.Productos'!CF$1+1,0),"")</f>
        <v/>
      </c>
      <c r="AO249" s="133" t="str">
        <f>IF($A249&lt;&gt;0,VLOOKUP($A249,'0.Productos'!$A$3:$GG$587,'0.Productos'!CG$1+1,0),"")</f>
        <v/>
      </c>
      <c r="AP249" s="133" t="str">
        <f>IF($A249&lt;&gt;0,VLOOKUP($A249,'0.Productos'!$A$3:$GG$587,'0.Productos'!CH$1+1,0),"")</f>
        <v/>
      </c>
      <c r="AQ249" s="133" t="str">
        <f>IF($A249&lt;&gt;0,VLOOKUP($A249,'0.Productos'!$A$3:$GG$587,'0.Productos'!CI$1+1,0),"")</f>
        <v/>
      </c>
      <c r="AR249" s="133" t="str">
        <f>IF($A249&lt;&gt;0,VLOOKUP($A249,'0.Productos'!$A$3:$GG$587,'0.Productos'!CJ$1+1,0),"")</f>
        <v/>
      </c>
      <c r="AS249" s="133" t="str">
        <f>IF($A249&lt;&gt;0,VLOOKUP($A249,'0.Productos'!$A$3:$GG$587,'0.Productos'!CK$1+1,0),"")</f>
        <v/>
      </c>
      <c r="AT249" s="133" t="str">
        <f>IF($A249&lt;&gt;0,VLOOKUP($A249,'0.Productos'!$A$3:$GG$587,'0.Productos'!CL$1+1,0),"")</f>
        <v/>
      </c>
      <c r="AU249" s="133" t="str">
        <f>IF($A249&lt;&gt;0,VLOOKUP($A249,'0.Productos'!$A$3:$GG$587,'0.Productos'!CM$1+1,0),"")</f>
        <v/>
      </c>
      <c r="AV249" s="133" t="str">
        <f>IF($A249&lt;&gt;0,VLOOKUP($A249,'0.Productos'!$A$3:$GG$587,'0.Productos'!CN$1+1,0),"")</f>
        <v/>
      </c>
      <c r="AW249" s="133" t="str">
        <f>IF($A249&lt;&gt;0,VLOOKUP($A249,'0.Productos'!$A$3:$GG$587,'0.Productos'!CO$1+1,0),"")</f>
        <v/>
      </c>
      <c r="AX249" s="133" t="str">
        <f>IF($A249&lt;&gt;0,VLOOKUP($A249,'0.Productos'!$A$3:$GG$587,'0.Productos'!CP$1+1,0),"")</f>
        <v/>
      </c>
      <c r="AY249" s="133" t="str">
        <f>IF($A249&lt;&gt;0,VLOOKUP($A249,'0.Productos'!$A$3:$GG$587,'0.Productos'!CQ$1+1,0),"")</f>
        <v/>
      </c>
      <c r="AZ249" s="133" t="str">
        <f>IF($A249&lt;&gt;0,VLOOKUP($A249,'0.Productos'!$A$3:$GG$587,'0.Productos'!CR$1+1,0),"")</f>
        <v/>
      </c>
      <c r="BA249" s="133" t="str">
        <f>IF($A249&lt;&gt;0,VLOOKUP($A249,'0.Productos'!$A$3:$GG$587,'0.Productos'!CS$1+1,0),"")</f>
        <v/>
      </c>
      <c r="BB249" s="133" t="str">
        <f>IF($A249&lt;&gt;0,VLOOKUP($A249,'0.Productos'!$A$3:$GG$587,'0.Productos'!CT$1+1,0),"")</f>
        <v/>
      </c>
      <c r="BC249" s="133" t="str">
        <f>IF($A249&lt;&gt;0,VLOOKUP($A249,'0.Productos'!$A$3:$GG$587,'0.Productos'!CU$1+1,0),"")</f>
        <v/>
      </c>
      <c r="BD249" s="133" t="str">
        <f>IF($A249&lt;&gt;0,VLOOKUP($A249,'0.Productos'!$A$3:$GG$587,'0.Productos'!CV$1+1,0),"")</f>
        <v/>
      </c>
      <c r="BE249" s="133" t="str">
        <f>IF($A249&lt;&gt;0,VLOOKUP($A249,'0.Productos'!$A$3:$GG$587,'0.Productos'!CW$1+1,0),"")</f>
        <v/>
      </c>
      <c r="BF249" s="133" t="str">
        <f>IF($A249&lt;&gt;0,VLOOKUP($A249,'0.Productos'!$A$3:$GG$587,'0.Productos'!CX$1+1,0),"")</f>
        <v/>
      </c>
      <c r="BG249" s="133" t="str">
        <f>IF($A249&lt;&gt;0,VLOOKUP($A249,'0.Productos'!$A$3:$GG$587,'0.Productos'!CY$1+1,0),"")</f>
        <v/>
      </c>
      <c r="BH249" s="133" t="str">
        <f>IF($A249&lt;&gt;0,VLOOKUP($A249,'0.Productos'!$A$3:$GG$587,'0.Productos'!CZ$1+1,0),"")</f>
        <v/>
      </c>
      <c r="BI249" s="133" t="str">
        <f>IF($A249&lt;&gt;0,VLOOKUP($A249,'0.Productos'!$A$3:$GG$587,'0.Productos'!DA$1+1,0),"")</f>
        <v/>
      </c>
      <c r="BJ249" s="133" t="str">
        <f>IF($A249&lt;&gt;0,VLOOKUP($A249,'0.Productos'!$A$3:$GG$587,'0.Productos'!DB$1+1,0),"")</f>
        <v/>
      </c>
      <c r="BK249" s="133" t="str">
        <f>IF($A249&lt;&gt;0,VLOOKUP($A249,'0.Productos'!$A$3:$GG$587,'0.Productos'!DC$1+1,0),"")</f>
        <v/>
      </c>
      <c r="BL249" s="133" t="str">
        <f>IF($A249&lt;&gt;0,VLOOKUP($A249,'0.Productos'!$A$3:$GG$587,'0.Productos'!DD$1+1,0),"")</f>
        <v/>
      </c>
      <c r="BM249" s="133" t="str">
        <f>IF($A249&lt;&gt;0,VLOOKUP($A249,'0.Productos'!$A$3:$GG$587,'0.Productos'!DE$1+1,0),"")</f>
        <v/>
      </c>
      <c r="BN249" s="133" t="str">
        <f>IF($A249&lt;&gt;0,VLOOKUP($A249,'0.Productos'!$A$3:$GG$587,'0.Productos'!DF$1+1,0),"")</f>
        <v/>
      </c>
      <c r="BO249" s="133" t="str">
        <f>IF($A249&lt;&gt;0,VLOOKUP($A249,'0.Productos'!$A$3:$GG$587,'0.Productos'!DG$1+1,0),"")</f>
        <v/>
      </c>
      <c r="BP249" s="133" t="str">
        <f>IF($A249&lt;&gt;0,VLOOKUP($A249,'0.Productos'!$A$3:$GG$587,'0.Productos'!DH$1+1,0),"")</f>
        <v/>
      </c>
      <c r="BQ249" s="133" t="str">
        <f>IF($A249&lt;&gt;0,VLOOKUP($A249,'0.Productos'!$A$3:$GG$587,'0.Productos'!DI$1+1,0),"")</f>
        <v/>
      </c>
      <c r="BR249" s="133" t="str">
        <f>IF($A249&lt;&gt;0,VLOOKUP($A249,'0.Productos'!$A$3:$GG$587,'0.Productos'!DJ$1+1,0),"")</f>
        <v/>
      </c>
      <c r="BS249" s="133" t="str">
        <f>IF($A249&lt;&gt;0,VLOOKUP($A249,'0.Productos'!$A$3:$GG$587,'0.Productos'!DK$1+1,0),"")</f>
        <v/>
      </c>
      <c r="BT249" s="133" t="str">
        <f>IF($A249&lt;&gt;0,VLOOKUP($A249,'0.Productos'!$A$3:$GG$587,'0.Productos'!DL$1+1,0),"")</f>
        <v/>
      </c>
    </row>
    <row r="250" spans="1:72" x14ac:dyDescent="0.25">
      <c r="A250" s="17">
        <f>'0.Consolidado general'!A250</f>
        <v>0</v>
      </c>
      <c r="B250" s="133" t="str">
        <f>IF($A250&lt;&gt;0,VLOOKUP($A250,'0.Productos'!$A$3:$GG$587,'0.Productos'!AT$1+1,0),"")</f>
        <v/>
      </c>
      <c r="C250" s="133" t="str">
        <f>IF($A250&lt;&gt;0,VLOOKUP($A250,'0.Productos'!$A$3:$GG$587,'0.Productos'!AU$1+1,0),"")</f>
        <v/>
      </c>
      <c r="D250" s="133" t="str">
        <f>IF($A250&lt;&gt;0,VLOOKUP($A250,'0.Productos'!$A$3:$GG$587,'0.Productos'!AV$1+1,0),"")</f>
        <v/>
      </c>
      <c r="E250" s="133" t="str">
        <f>IF($A250&lt;&gt;0,VLOOKUP($A250,'0.Productos'!$A$3:$GG$587,'0.Productos'!AW$1+1,0),"")</f>
        <v/>
      </c>
      <c r="F250" s="133" t="str">
        <f>IF($A250&lt;&gt;0,VLOOKUP($A250,'0.Productos'!$A$3:$GG$587,'0.Productos'!AX$1+1,0),"")</f>
        <v/>
      </c>
      <c r="G250" s="133" t="str">
        <f>IF($A250&lt;&gt;0,VLOOKUP($A250,'0.Productos'!$A$3:$GG$587,'0.Productos'!AY$1+1,0),"")</f>
        <v/>
      </c>
      <c r="H250" s="133" t="str">
        <f>IF($A250&lt;&gt;0,VLOOKUP($A250,'0.Productos'!$A$3:$GG$587,'0.Productos'!AZ$1+1,0),"")</f>
        <v/>
      </c>
      <c r="I250" s="133" t="str">
        <f>IF($A250&lt;&gt;0,VLOOKUP($A250,'0.Productos'!$A$3:$GG$587,'0.Productos'!BA$1+1,0),"")</f>
        <v/>
      </c>
      <c r="J250" s="133" t="str">
        <f>IF($A250&lt;&gt;0,VLOOKUP($A250,'0.Productos'!$A$3:$GG$587,'0.Productos'!BB$1+1,0),"")</f>
        <v/>
      </c>
      <c r="K250" s="133" t="str">
        <f>IF($A250&lt;&gt;0,VLOOKUP($A250,'0.Productos'!$A$3:$GG$587,'0.Productos'!BC$1+1,0),"")</f>
        <v/>
      </c>
      <c r="L250" s="133" t="str">
        <f>IF($A250&lt;&gt;0,VLOOKUP($A250,'0.Productos'!$A$3:$GG$587,'0.Productos'!BD$1+1,0),"")</f>
        <v/>
      </c>
      <c r="M250" s="133" t="str">
        <f>IF($A250&lt;&gt;0,VLOOKUP($A250,'0.Productos'!$A$3:$GG$587,'0.Productos'!BE$1+1,0),"")</f>
        <v/>
      </c>
      <c r="N250" s="133" t="str">
        <f>IF($A250&lt;&gt;0,VLOOKUP($A250,'0.Productos'!$A$3:$GG$587,'0.Productos'!BF$1+1,0),"")</f>
        <v/>
      </c>
      <c r="O250" s="133" t="str">
        <f>IF($A250&lt;&gt;0,VLOOKUP($A250,'0.Productos'!$A$3:$GG$587,'0.Productos'!BG$1+1,0),"")</f>
        <v/>
      </c>
      <c r="P250" s="133" t="str">
        <f>IF($A250&lt;&gt;0,VLOOKUP($A250,'0.Productos'!$A$3:$GG$587,'0.Productos'!BH$1+1,0),"")</f>
        <v/>
      </c>
      <c r="Q250" s="133" t="str">
        <f>IF($A250&lt;&gt;0,VLOOKUP($A250,'0.Productos'!$A$3:$GG$587,'0.Productos'!BI$1+1,0),"")</f>
        <v/>
      </c>
      <c r="R250" s="133" t="str">
        <f>IF($A250&lt;&gt;0,VLOOKUP($A250,'0.Productos'!$A$3:$GG$587,'0.Productos'!BJ$1+1,0),"")</f>
        <v/>
      </c>
      <c r="S250" s="133" t="str">
        <f>IF($A250&lt;&gt;0,VLOOKUP($A250,'0.Productos'!$A$3:$GG$587,'0.Productos'!BK$1+1,0),"")</f>
        <v/>
      </c>
      <c r="T250" s="133" t="str">
        <f>IF($A250&lt;&gt;0,VLOOKUP($A250,'0.Productos'!$A$3:$GG$587,'0.Productos'!BL$1+1,0),"")</f>
        <v/>
      </c>
      <c r="U250" s="133" t="str">
        <f>IF($A250&lt;&gt;0,VLOOKUP($A250,'0.Productos'!$A$3:$GG$587,'0.Productos'!BM$1+1,0),"")</f>
        <v/>
      </c>
      <c r="V250" s="133" t="str">
        <f>IF($A250&lt;&gt;0,VLOOKUP($A250,'0.Productos'!$A$3:$GG$587,'0.Productos'!BN$1+1,0),"")</f>
        <v/>
      </c>
      <c r="W250" s="133" t="str">
        <f>IF($A250&lt;&gt;0,VLOOKUP($A250,'0.Productos'!$A$3:$GG$587,'0.Productos'!BO$1+1,0),"")</f>
        <v/>
      </c>
      <c r="X250" s="133" t="str">
        <f>IF($A250&lt;&gt;0,VLOOKUP($A250,'0.Productos'!$A$3:$GG$587,'0.Productos'!BP$1+1,0),"")</f>
        <v/>
      </c>
      <c r="Y250" s="133" t="str">
        <f>IF($A250&lt;&gt;0,VLOOKUP($A250,'0.Productos'!$A$3:$GG$587,'0.Productos'!BQ$1+1,0),"")</f>
        <v/>
      </c>
      <c r="Z250" s="133" t="str">
        <f>IF($A250&lt;&gt;0,VLOOKUP($A250,'0.Productos'!$A$3:$GG$587,'0.Productos'!BR$1+1,0),"")</f>
        <v/>
      </c>
      <c r="AA250" s="133" t="str">
        <f>IF($A250&lt;&gt;0,VLOOKUP($A250,'0.Productos'!$A$3:$GG$587,'0.Productos'!BS$1+1,0),"")</f>
        <v/>
      </c>
      <c r="AB250" s="133" t="str">
        <f>IF($A250&lt;&gt;0,VLOOKUP($A250,'0.Productos'!$A$3:$GG$587,'0.Productos'!BT$1+1,0),"")</f>
        <v/>
      </c>
      <c r="AC250" s="133" t="str">
        <f>IF($A250&lt;&gt;0,VLOOKUP($A250,'0.Productos'!$A$3:$GG$587,'0.Productos'!BU$1+1,0),"")</f>
        <v/>
      </c>
      <c r="AD250" s="133" t="str">
        <f>IF($A250&lt;&gt;0,VLOOKUP($A250,'0.Productos'!$A$3:$GG$587,'0.Productos'!BV$1+1,0),"")</f>
        <v/>
      </c>
      <c r="AE250" s="133" t="str">
        <f>IF($A250&lt;&gt;0,VLOOKUP($A250,'0.Productos'!$A$3:$GG$587,'0.Productos'!BW$1+1,0),"")</f>
        <v/>
      </c>
      <c r="AF250" s="133" t="str">
        <f>IF($A250&lt;&gt;0,VLOOKUP($A250,'0.Productos'!$A$3:$GG$587,'0.Productos'!BX$1+1,0),"")</f>
        <v/>
      </c>
      <c r="AG250" s="133" t="str">
        <f>IF($A250&lt;&gt;0,VLOOKUP($A250,'0.Productos'!$A$3:$GG$587,'0.Productos'!BY$1+1,0),"")</f>
        <v/>
      </c>
      <c r="AH250" s="133" t="str">
        <f>IF($A250&lt;&gt;0,VLOOKUP($A250,'0.Productos'!$A$3:$GG$587,'0.Productos'!BZ$1+1,0),"")</f>
        <v/>
      </c>
      <c r="AI250" s="133" t="str">
        <f>IF($A250&lt;&gt;0,VLOOKUP($A250,'0.Productos'!$A$3:$GG$587,'0.Productos'!CA$1+1,0),"")</f>
        <v/>
      </c>
      <c r="AJ250" s="133" t="str">
        <f>IF($A250&lt;&gt;0,VLOOKUP($A250,'0.Productos'!$A$3:$GG$587,'0.Productos'!CB$1+1,0),"")</f>
        <v/>
      </c>
      <c r="AK250" s="133" t="str">
        <f>IF($A250&lt;&gt;0,VLOOKUP($A250,'0.Productos'!$A$3:$GG$587,'0.Productos'!CC$1+1,0),"")</f>
        <v/>
      </c>
      <c r="AL250" s="133" t="str">
        <f>IF($A250&lt;&gt;0,VLOOKUP($A250,'0.Productos'!$A$3:$GG$587,'0.Productos'!CD$1+1,0),"")</f>
        <v/>
      </c>
      <c r="AM250" s="133" t="str">
        <f>IF($A250&lt;&gt;0,VLOOKUP($A250,'0.Productos'!$A$3:$GG$587,'0.Productos'!CE$1+1,0),"")</f>
        <v/>
      </c>
      <c r="AN250" s="133" t="str">
        <f>IF($A250&lt;&gt;0,VLOOKUP($A250,'0.Productos'!$A$3:$GG$587,'0.Productos'!CF$1+1,0),"")</f>
        <v/>
      </c>
      <c r="AO250" s="133" t="str">
        <f>IF($A250&lt;&gt;0,VLOOKUP($A250,'0.Productos'!$A$3:$GG$587,'0.Productos'!CG$1+1,0),"")</f>
        <v/>
      </c>
      <c r="AP250" s="133" t="str">
        <f>IF($A250&lt;&gt;0,VLOOKUP($A250,'0.Productos'!$A$3:$GG$587,'0.Productos'!CH$1+1,0),"")</f>
        <v/>
      </c>
      <c r="AQ250" s="133" t="str">
        <f>IF($A250&lt;&gt;0,VLOOKUP($A250,'0.Productos'!$A$3:$GG$587,'0.Productos'!CI$1+1,0),"")</f>
        <v/>
      </c>
      <c r="AR250" s="133" t="str">
        <f>IF($A250&lt;&gt;0,VLOOKUP($A250,'0.Productos'!$A$3:$GG$587,'0.Productos'!CJ$1+1,0),"")</f>
        <v/>
      </c>
      <c r="AS250" s="133" t="str">
        <f>IF($A250&lt;&gt;0,VLOOKUP($A250,'0.Productos'!$A$3:$GG$587,'0.Productos'!CK$1+1,0),"")</f>
        <v/>
      </c>
      <c r="AT250" s="133" t="str">
        <f>IF($A250&lt;&gt;0,VLOOKUP($A250,'0.Productos'!$A$3:$GG$587,'0.Productos'!CL$1+1,0),"")</f>
        <v/>
      </c>
      <c r="AU250" s="133" t="str">
        <f>IF($A250&lt;&gt;0,VLOOKUP($A250,'0.Productos'!$A$3:$GG$587,'0.Productos'!CM$1+1,0),"")</f>
        <v/>
      </c>
      <c r="AV250" s="133" t="str">
        <f>IF($A250&lt;&gt;0,VLOOKUP($A250,'0.Productos'!$A$3:$GG$587,'0.Productos'!CN$1+1,0),"")</f>
        <v/>
      </c>
      <c r="AW250" s="133" t="str">
        <f>IF($A250&lt;&gt;0,VLOOKUP($A250,'0.Productos'!$A$3:$GG$587,'0.Productos'!CO$1+1,0),"")</f>
        <v/>
      </c>
      <c r="AX250" s="133" t="str">
        <f>IF($A250&lt;&gt;0,VLOOKUP($A250,'0.Productos'!$A$3:$GG$587,'0.Productos'!CP$1+1,0),"")</f>
        <v/>
      </c>
      <c r="AY250" s="133" t="str">
        <f>IF($A250&lt;&gt;0,VLOOKUP($A250,'0.Productos'!$A$3:$GG$587,'0.Productos'!CQ$1+1,0),"")</f>
        <v/>
      </c>
      <c r="AZ250" s="133" t="str">
        <f>IF($A250&lt;&gt;0,VLOOKUP($A250,'0.Productos'!$A$3:$GG$587,'0.Productos'!CR$1+1,0),"")</f>
        <v/>
      </c>
      <c r="BA250" s="133" t="str">
        <f>IF($A250&lt;&gt;0,VLOOKUP($A250,'0.Productos'!$A$3:$GG$587,'0.Productos'!CS$1+1,0),"")</f>
        <v/>
      </c>
      <c r="BB250" s="133" t="str">
        <f>IF($A250&lt;&gt;0,VLOOKUP($A250,'0.Productos'!$A$3:$GG$587,'0.Productos'!CT$1+1,0),"")</f>
        <v/>
      </c>
      <c r="BC250" s="133" t="str">
        <f>IF($A250&lt;&gt;0,VLOOKUP($A250,'0.Productos'!$A$3:$GG$587,'0.Productos'!CU$1+1,0),"")</f>
        <v/>
      </c>
      <c r="BD250" s="133" t="str">
        <f>IF($A250&lt;&gt;0,VLOOKUP($A250,'0.Productos'!$A$3:$GG$587,'0.Productos'!CV$1+1,0),"")</f>
        <v/>
      </c>
      <c r="BE250" s="133" t="str">
        <f>IF($A250&lt;&gt;0,VLOOKUP($A250,'0.Productos'!$A$3:$GG$587,'0.Productos'!CW$1+1,0),"")</f>
        <v/>
      </c>
      <c r="BF250" s="133" t="str">
        <f>IF($A250&lt;&gt;0,VLOOKUP($A250,'0.Productos'!$A$3:$GG$587,'0.Productos'!CX$1+1,0),"")</f>
        <v/>
      </c>
      <c r="BG250" s="133" t="str">
        <f>IF($A250&lt;&gt;0,VLOOKUP($A250,'0.Productos'!$A$3:$GG$587,'0.Productos'!CY$1+1,0),"")</f>
        <v/>
      </c>
      <c r="BH250" s="133" t="str">
        <f>IF($A250&lt;&gt;0,VLOOKUP($A250,'0.Productos'!$A$3:$GG$587,'0.Productos'!CZ$1+1,0),"")</f>
        <v/>
      </c>
      <c r="BI250" s="133" t="str">
        <f>IF($A250&lt;&gt;0,VLOOKUP($A250,'0.Productos'!$A$3:$GG$587,'0.Productos'!DA$1+1,0),"")</f>
        <v/>
      </c>
      <c r="BJ250" s="133" t="str">
        <f>IF($A250&lt;&gt;0,VLOOKUP($A250,'0.Productos'!$A$3:$GG$587,'0.Productos'!DB$1+1,0),"")</f>
        <v/>
      </c>
      <c r="BK250" s="133" t="str">
        <f>IF($A250&lt;&gt;0,VLOOKUP($A250,'0.Productos'!$A$3:$GG$587,'0.Productos'!DC$1+1,0),"")</f>
        <v/>
      </c>
      <c r="BL250" s="133" t="str">
        <f>IF($A250&lt;&gt;0,VLOOKUP($A250,'0.Productos'!$A$3:$GG$587,'0.Productos'!DD$1+1,0),"")</f>
        <v/>
      </c>
      <c r="BM250" s="133" t="str">
        <f>IF($A250&lt;&gt;0,VLOOKUP($A250,'0.Productos'!$A$3:$GG$587,'0.Productos'!DE$1+1,0),"")</f>
        <v/>
      </c>
      <c r="BN250" s="133" t="str">
        <f>IF($A250&lt;&gt;0,VLOOKUP($A250,'0.Productos'!$A$3:$GG$587,'0.Productos'!DF$1+1,0),"")</f>
        <v/>
      </c>
      <c r="BO250" s="133" t="str">
        <f>IF($A250&lt;&gt;0,VLOOKUP($A250,'0.Productos'!$A$3:$GG$587,'0.Productos'!DG$1+1,0),"")</f>
        <v/>
      </c>
      <c r="BP250" s="133" t="str">
        <f>IF($A250&lt;&gt;0,VLOOKUP($A250,'0.Productos'!$A$3:$GG$587,'0.Productos'!DH$1+1,0),"")</f>
        <v/>
      </c>
      <c r="BQ250" s="133" t="str">
        <f>IF($A250&lt;&gt;0,VLOOKUP($A250,'0.Productos'!$A$3:$GG$587,'0.Productos'!DI$1+1,0),"")</f>
        <v/>
      </c>
      <c r="BR250" s="133" t="str">
        <f>IF($A250&lt;&gt;0,VLOOKUP($A250,'0.Productos'!$A$3:$GG$587,'0.Productos'!DJ$1+1,0),"")</f>
        <v/>
      </c>
      <c r="BS250" s="133" t="str">
        <f>IF($A250&lt;&gt;0,VLOOKUP($A250,'0.Productos'!$A$3:$GG$587,'0.Productos'!DK$1+1,0),"")</f>
        <v/>
      </c>
      <c r="BT250" s="133" t="str">
        <f>IF($A250&lt;&gt;0,VLOOKUP($A250,'0.Productos'!$A$3:$GG$587,'0.Productos'!DL$1+1,0),"")</f>
        <v/>
      </c>
    </row>
    <row r="251" spans="1:72" x14ac:dyDescent="0.25">
      <c r="A251" s="17">
        <f>'0.Consolidado general'!A251</f>
        <v>0</v>
      </c>
      <c r="B251" s="133" t="str">
        <f>IF($A251&lt;&gt;0,VLOOKUP($A251,'0.Productos'!$A$3:$GG$587,'0.Productos'!AT$1+1,0),"")</f>
        <v/>
      </c>
      <c r="C251" s="133" t="str">
        <f>IF($A251&lt;&gt;0,VLOOKUP($A251,'0.Productos'!$A$3:$GG$587,'0.Productos'!AU$1+1,0),"")</f>
        <v/>
      </c>
      <c r="D251" s="133" t="str">
        <f>IF($A251&lt;&gt;0,VLOOKUP($A251,'0.Productos'!$A$3:$GG$587,'0.Productos'!AV$1+1,0),"")</f>
        <v/>
      </c>
      <c r="E251" s="133" t="str">
        <f>IF($A251&lt;&gt;0,VLOOKUP($A251,'0.Productos'!$A$3:$GG$587,'0.Productos'!AW$1+1,0),"")</f>
        <v/>
      </c>
      <c r="F251" s="133" t="str">
        <f>IF($A251&lt;&gt;0,VLOOKUP($A251,'0.Productos'!$A$3:$GG$587,'0.Productos'!AX$1+1,0),"")</f>
        <v/>
      </c>
      <c r="G251" s="133" t="str">
        <f>IF($A251&lt;&gt;0,VLOOKUP($A251,'0.Productos'!$A$3:$GG$587,'0.Productos'!AY$1+1,0),"")</f>
        <v/>
      </c>
      <c r="H251" s="133" t="str">
        <f>IF($A251&lt;&gt;0,VLOOKUP($A251,'0.Productos'!$A$3:$GG$587,'0.Productos'!AZ$1+1,0),"")</f>
        <v/>
      </c>
      <c r="I251" s="133" t="str">
        <f>IF($A251&lt;&gt;0,VLOOKUP($A251,'0.Productos'!$A$3:$GG$587,'0.Productos'!BA$1+1,0),"")</f>
        <v/>
      </c>
      <c r="J251" s="133" t="str">
        <f>IF($A251&lt;&gt;0,VLOOKUP($A251,'0.Productos'!$A$3:$GG$587,'0.Productos'!BB$1+1,0),"")</f>
        <v/>
      </c>
      <c r="K251" s="133" t="str">
        <f>IF($A251&lt;&gt;0,VLOOKUP($A251,'0.Productos'!$A$3:$GG$587,'0.Productos'!BC$1+1,0),"")</f>
        <v/>
      </c>
      <c r="L251" s="133" t="str">
        <f>IF($A251&lt;&gt;0,VLOOKUP($A251,'0.Productos'!$A$3:$GG$587,'0.Productos'!BD$1+1,0),"")</f>
        <v/>
      </c>
      <c r="M251" s="133" t="str">
        <f>IF($A251&lt;&gt;0,VLOOKUP($A251,'0.Productos'!$A$3:$GG$587,'0.Productos'!BE$1+1,0),"")</f>
        <v/>
      </c>
      <c r="N251" s="133" t="str">
        <f>IF($A251&lt;&gt;0,VLOOKUP($A251,'0.Productos'!$A$3:$GG$587,'0.Productos'!BF$1+1,0),"")</f>
        <v/>
      </c>
      <c r="O251" s="133" t="str">
        <f>IF($A251&lt;&gt;0,VLOOKUP($A251,'0.Productos'!$A$3:$GG$587,'0.Productos'!BG$1+1,0),"")</f>
        <v/>
      </c>
      <c r="P251" s="133" t="str">
        <f>IF($A251&lt;&gt;0,VLOOKUP($A251,'0.Productos'!$A$3:$GG$587,'0.Productos'!BH$1+1,0),"")</f>
        <v/>
      </c>
      <c r="Q251" s="133" t="str">
        <f>IF($A251&lt;&gt;0,VLOOKUP($A251,'0.Productos'!$A$3:$GG$587,'0.Productos'!BI$1+1,0),"")</f>
        <v/>
      </c>
      <c r="R251" s="133" t="str">
        <f>IF($A251&lt;&gt;0,VLOOKUP($A251,'0.Productos'!$A$3:$GG$587,'0.Productos'!BJ$1+1,0),"")</f>
        <v/>
      </c>
      <c r="S251" s="133" t="str">
        <f>IF($A251&lt;&gt;0,VLOOKUP($A251,'0.Productos'!$A$3:$GG$587,'0.Productos'!BK$1+1,0),"")</f>
        <v/>
      </c>
      <c r="T251" s="133" t="str">
        <f>IF($A251&lt;&gt;0,VLOOKUP($A251,'0.Productos'!$A$3:$GG$587,'0.Productos'!BL$1+1,0),"")</f>
        <v/>
      </c>
      <c r="U251" s="133" t="str">
        <f>IF($A251&lt;&gt;0,VLOOKUP($A251,'0.Productos'!$A$3:$GG$587,'0.Productos'!BM$1+1,0),"")</f>
        <v/>
      </c>
      <c r="V251" s="133" t="str">
        <f>IF($A251&lt;&gt;0,VLOOKUP($A251,'0.Productos'!$A$3:$GG$587,'0.Productos'!BN$1+1,0),"")</f>
        <v/>
      </c>
      <c r="W251" s="133" t="str">
        <f>IF($A251&lt;&gt;0,VLOOKUP($A251,'0.Productos'!$A$3:$GG$587,'0.Productos'!BO$1+1,0),"")</f>
        <v/>
      </c>
      <c r="X251" s="133" t="str">
        <f>IF($A251&lt;&gt;0,VLOOKUP($A251,'0.Productos'!$A$3:$GG$587,'0.Productos'!BP$1+1,0),"")</f>
        <v/>
      </c>
      <c r="Y251" s="133" t="str">
        <f>IF($A251&lt;&gt;0,VLOOKUP($A251,'0.Productos'!$A$3:$GG$587,'0.Productos'!BQ$1+1,0),"")</f>
        <v/>
      </c>
      <c r="Z251" s="133" t="str">
        <f>IF($A251&lt;&gt;0,VLOOKUP($A251,'0.Productos'!$A$3:$GG$587,'0.Productos'!BR$1+1,0),"")</f>
        <v/>
      </c>
      <c r="AA251" s="133" t="str">
        <f>IF($A251&lt;&gt;0,VLOOKUP($A251,'0.Productos'!$A$3:$GG$587,'0.Productos'!BS$1+1,0),"")</f>
        <v/>
      </c>
      <c r="AB251" s="133" t="str">
        <f>IF($A251&lt;&gt;0,VLOOKUP($A251,'0.Productos'!$A$3:$GG$587,'0.Productos'!BT$1+1,0),"")</f>
        <v/>
      </c>
      <c r="AC251" s="133" t="str">
        <f>IF($A251&lt;&gt;0,VLOOKUP($A251,'0.Productos'!$A$3:$GG$587,'0.Productos'!BU$1+1,0),"")</f>
        <v/>
      </c>
      <c r="AD251" s="133" t="str">
        <f>IF($A251&lt;&gt;0,VLOOKUP($A251,'0.Productos'!$A$3:$GG$587,'0.Productos'!BV$1+1,0),"")</f>
        <v/>
      </c>
      <c r="AE251" s="133" t="str">
        <f>IF($A251&lt;&gt;0,VLOOKUP($A251,'0.Productos'!$A$3:$GG$587,'0.Productos'!BW$1+1,0),"")</f>
        <v/>
      </c>
      <c r="AF251" s="133" t="str">
        <f>IF($A251&lt;&gt;0,VLOOKUP($A251,'0.Productos'!$A$3:$GG$587,'0.Productos'!BX$1+1,0),"")</f>
        <v/>
      </c>
      <c r="AG251" s="133" t="str">
        <f>IF($A251&lt;&gt;0,VLOOKUP($A251,'0.Productos'!$A$3:$GG$587,'0.Productos'!BY$1+1,0),"")</f>
        <v/>
      </c>
      <c r="AH251" s="133" t="str">
        <f>IF($A251&lt;&gt;0,VLOOKUP($A251,'0.Productos'!$A$3:$GG$587,'0.Productos'!BZ$1+1,0),"")</f>
        <v/>
      </c>
      <c r="AI251" s="133" t="str">
        <f>IF($A251&lt;&gt;0,VLOOKUP($A251,'0.Productos'!$A$3:$GG$587,'0.Productos'!CA$1+1,0),"")</f>
        <v/>
      </c>
      <c r="AJ251" s="133" t="str">
        <f>IF($A251&lt;&gt;0,VLOOKUP($A251,'0.Productos'!$A$3:$GG$587,'0.Productos'!CB$1+1,0),"")</f>
        <v/>
      </c>
      <c r="AK251" s="133" t="str">
        <f>IF($A251&lt;&gt;0,VLOOKUP($A251,'0.Productos'!$A$3:$GG$587,'0.Productos'!CC$1+1,0),"")</f>
        <v/>
      </c>
      <c r="AL251" s="133" t="str">
        <f>IF($A251&lt;&gt;0,VLOOKUP($A251,'0.Productos'!$A$3:$GG$587,'0.Productos'!CD$1+1,0),"")</f>
        <v/>
      </c>
      <c r="AM251" s="133" t="str">
        <f>IF($A251&lt;&gt;0,VLOOKUP($A251,'0.Productos'!$A$3:$GG$587,'0.Productos'!CE$1+1,0),"")</f>
        <v/>
      </c>
      <c r="AN251" s="133" t="str">
        <f>IF($A251&lt;&gt;0,VLOOKUP($A251,'0.Productos'!$A$3:$GG$587,'0.Productos'!CF$1+1,0),"")</f>
        <v/>
      </c>
      <c r="AO251" s="133" t="str">
        <f>IF($A251&lt;&gt;0,VLOOKUP($A251,'0.Productos'!$A$3:$GG$587,'0.Productos'!CG$1+1,0),"")</f>
        <v/>
      </c>
      <c r="AP251" s="133" t="str">
        <f>IF($A251&lt;&gt;0,VLOOKUP($A251,'0.Productos'!$A$3:$GG$587,'0.Productos'!CH$1+1,0),"")</f>
        <v/>
      </c>
      <c r="AQ251" s="133" t="str">
        <f>IF($A251&lt;&gt;0,VLOOKUP($A251,'0.Productos'!$A$3:$GG$587,'0.Productos'!CI$1+1,0),"")</f>
        <v/>
      </c>
      <c r="AR251" s="133" t="str">
        <f>IF($A251&lt;&gt;0,VLOOKUP($A251,'0.Productos'!$A$3:$GG$587,'0.Productos'!CJ$1+1,0),"")</f>
        <v/>
      </c>
      <c r="AS251" s="133" t="str">
        <f>IF($A251&lt;&gt;0,VLOOKUP($A251,'0.Productos'!$A$3:$GG$587,'0.Productos'!CK$1+1,0),"")</f>
        <v/>
      </c>
      <c r="AT251" s="133" t="str">
        <f>IF($A251&lt;&gt;0,VLOOKUP($A251,'0.Productos'!$A$3:$GG$587,'0.Productos'!CL$1+1,0),"")</f>
        <v/>
      </c>
      <c r="AU251" s="133" t="str">
        <f>IF($A251&lt;&gt;0,VLOOKUP($A251,'0.Productos'!$A$3:$GG$587,'0.Productos'!CM$1+1,0),"")</f>
        <v/>
      </c>
      <c r="AV251" s="133" t="str">
        <f>IF($A251&lt;&gt;0,VLOOKUP($A251,'0.Productos'!$A$3:$GG$587,'0.Productos'!CN$1+1,0),"")</f>
        <v/>
      </c>
      <c r="AW251" s="133" t="str">
        <f>IF($A251&lt;&gt;0,VLOOKUP($A251,'0.Productos'!$A$3:$GG$587,'0.Productos'!CO$1+1,0),"")</f>
        <v/>
      </c>
      <c r="AX251" s="133" t="str">
        <f>IF($A251&lt;&gt;0,VLOOKUP($A251,'0.Productos'!$A$3:$GG$587,'0.Productos'!CP$1+1,0),"")</f>
        <v/>
      </c>
      <c r="AY251" s="133" t="str">
        <f>IF($A251&lt;&gt;0,VLOOKUP($A251,'0.Productos'!$A$3:$GG$587,'0.Productos'!CQ$1+1,0),"")</f>
        <v/>
      </c>
      <c r="AZ251" s="133" t="str">
        <f>IF($A251&lt;&gt;0,VLOOKUP($A251,'0.Productos'!$A$3:$GG$587,'0.Productos'!CR$1+1,0),"")</f>
        <v/>
      </c>
      <c r="BA251" s="133" t="str">
        <f>IF($A251&lt;&gt;0,VLOOKUP($A251,'0.Productos'!$A$3:$GG$587,'0.Productos'!CS$1+1,0),"")</f>
        <v/>
      </c>
      <c r="BB251" s="133" t="str">
        <f>IF($A251&lt;&gt;0,VLOOKUP($A251,'0.Productos'!$A$3:$GG$587,'0.Productos'!CT$1+1,0),"")</f>
        <v/>
      </c>
      <c r="BC251" s="133" t="str">
        <f>IF($A251&lt;&gt;0,VLOOKUP($A251,'0.Productos'!$A$3:$GG$587,'0.Productos'!CU$1+1,0),"")</f>
        <v/>
      </c>
      <c r="BD251" s="133" t="str">
        <f>IF($A251&lt;&gt;0,VLOOKUP($A251,'0.Productos'!$A$3:$GG$587,'0.Productos'!CV$1+1,0),"")</f>
        <v/>
      </c>
      <c r="BE251" s="133" t="str">
        <f>IF($A251&lt;&gt;0,VLOOKUP($A251,'0.Productos'!$A$3:$GG$587,'0.Productos'!CW$1+1,0),"")</f>
        <v/>
      </c>
      <c r="BF251" s="133" t="str">
        <f>IF($A251&lt;&gt;0,VLOOKUP($A251,'0.Productos'!$A$3:$GG$587,'0.Productos'!CX$1+1,0),"")</f>
        <v/>
      </c>
      <c r="BG251" s="133" t="str">
        <f>IF($A251&lt;&gt;0,VLOOKUP($A251,'0.Productos'!$A$3:$GG$587,'0.Productos'!CY$1+1,0),"")</f>
        <v/>
      </c>
      <c r="BH251" s="133" t="str">
        <f>IF($A251&lt;&gt;0,VLOOKUP($A251,'0.Productos'!$A$3:$GG$587,'0.Productos'!CZ$1+1,0),"")</f>
        <v/>
      </c>
      <c r="BI251" s="133" t="str">
        <f>IF($A251&lt;&gt;0,VLOOKUP($A251,'0.Productos'!$A$3:$GG$587,'0.Productos'!DA$1+1,0),"")</f>
        <v/>
      </c>
      <c r="BJ251" s="133" t="str">
        <f>IF($A251&lt;&gt;0,VLOOKUP($A251,'0.Productos'!$A$3:$GG$587,'0.Productos'!DB$1+1,0),"")</f>
        <v/>
      </c>
      <c r="BK251" s="133" t="str">
        <f>IF($A251&lt;&gt;0,VLOOKUP($A251,'0.Productos'!$A$3:$GG$587,'0.Productos'!DC$1+1,0),"")</f>
        <v/>
      </c>
      <c r="BL251" s="133" t="str">
        <f>IF($A251&lt;&gt;0,VLOOKUP($A251,'0.Productos'!$A$3:$GG$587,'0.Productos'!DD$1+1,0),"")</f>
        <v/>
      </c>
      <c r="BM251" s="133" t="str">
        <f>IF($A251&lt;&gt;0,VLOOKUP($A251,'0.Productos'!$A$3:$GG$587,'0.Productos'!DE$1+1,0),"")</f>
        <v/>
      </c>
      <c r="BN251" s="133" t="str">
        <f>IF($A251&lt;&gt;0,VLOOKUP($A251,'0.Productos'!$A$3:$GG$587,'0.Productos'!DF$1+1,0),"")</f>
        <v/>
      </c>
      <c r="BO251" s="133" t="str">
        <f>IF($A251&lt;&gt;0,VLOOKUP($A251,'0.Productos'!$A$3:$GG$587,'0.Productos'!DG$1+1,0),"")</f>
        <v/>
      </c>
      <c r="BP251" s="133" t="str">
        <f>IF($A251&lt;&gt;0,VLOOKUP($A251,'0.Productos'!$A$3:$GG$587,'0.Productos'!DH$1+1,0),"")</f>
        <v/>
      </c>
      <c r="BQ251" s="133" t="str">
        <f>IF($A251&lt;&gt;0,VLOOKUP($A251,'0.Productos'!$A$3:$GG$587,'0.Productos'!DI$1+1,0),"")</f>
        <v/>
      </c>
      <c r="BR251" s="133" t="str">
        <f>IF($A251&lt;&gt;0,VLOOKUP($A251,'0.Productos'!$A$3:$GG$587,'0.Productos'!DJ$1+1,0),"")</f>
        <v/>
      </c>
      <c r="BS251" s="133" t="str">
        <f>IF($A251&lt;&gt;0,VLOOKUP($A251,'0.Productos'!$A$3:$GG$587,'0.Productos'!DK$1+1,0),"")</f>
        <v/>
      </c>
      <c r="BT251" s="133" t="str">
        <f>IF($A251&lt;&gt;0,VLOOKUP($A251,'0.Productos'!$A$3:$GG$587,'0.Productos'!DL$1+1,0),"")</f>
        <v/>
      </c>
    </row>
    <row r="252" spans="1:72" x14ac:dyDescent="0.25">
      <c r="A252" s="17">
        <f>'0.Consolidado general'!A252</f>
        <v>0</v>
      </c>
      <c r="B252" s="133" t="str">
        <f>IF($A252&lt;&gt;0,VLOOKUP($A252,'0.Productos'!$A$3:$GG$587,'0.Productos'!AT$1+1,0),"")</f>
        <v/>
      </c>
      <c r="C252" s="133" t="str">
        <f>IF($A252&lt;&gt;0,VLOOKUP($A252,'0.Productos'!$A$3:$GG$587,'0.Productos'!AU$1+1,0),"")</f>
        <v/>
      </c>
      <c r="D252" s="133" t="str">
        <f>IF($A252&lt;&gt;0,VLOOKUP($A252,'0.Productos'!$A$3:$GG$587,'0.Productos'!AV$1+1,0),"")</f>
        <v/>
      </c>
      <c r="E252" s="133" t="str">
        <f>IF($A252&lt;&gt;0,VLOOKUP($A252,'0.Productos'!$A$3:$GG$587,'0.Productos'!AW$1+1,0),"")</f>
        <v/>
      </c>
      <c r="F252" s="133" t="str">
        <f>IF($A252&lt;&gt;0,VLOOKUP($A252,'0.Productos'!$A$3:$GG$587,'0.Productos'!AX$1+1,0),"")</f>
        <v/>
      </c>
      <c r="G252" s="133" t="str">
        <f>IF($A252&lt;&gt;0,VLOOKUP($A252,'0.Productos'!$A$3:$GG$587,'0.Productos'!AY$1+1,0),"")</f>
        <v/>
      </c>
      <c r="H252" s="133" t="str">
        <f>IF($A252&lt;&gt;0,VLOOKUP($A252,'0.Productos'!$A$3:$GG$587,'0.Productos'!AZ$1+1,0),"")</f>
        <v/>
      </c>
      <c r="I252" s="133" t="str">
        <f>IF($A252&lt;&gt;0,VLOOKUP($A252,'0.Productos'!$A$3:$GG$587,'0.Productos'!BA$1+1,0),"")</f>
        <v/>
      </c>
      <c r="J252" s="133" t="str">
        <f>IF($A252&lt;&gt;0,VLOOKUP($A252,'0.Productos'!$A$3:$GG$587,'0.Productos'!BB$1+1,0),"")</f>
        <v/>
      </c>
      <c r="K252" s="133" t="str">
        <f>IF($A252&lt;&gt;0,VLOOKUP($A252,'0.Productos'!$A$3:$GG$587,'0.Productos'!BC$1+1,0),"")</f>
        <v/>
      </c>
      <c r="L252" s="133" t="str">
        <f>IF($A252&lt;&gt;0,VLOOKUP($A252,'0.Productos'!$A$3:$GG$587,'0.Productos'!BD$1+1,0),"")</f>
        <v/>
      </c>
      <c r="M252" s="133" t="str">
        <f>IF($A252&lt;&gt;0,VLOOKUP($A252,'0.Productos'!$A$3:$GG$587,'0.Productos'!BE$1+1,0),"")</f>
        <v/>
      </c>
      <c r="N252" s="133" t="str">
        <f>IF($A252&lt;&gt;0,VLOOKUP($A252,'0.Productos'!$A$3:$GG$587,'0.Productos'!BF$1+1,0),"")</f>
        <v/>
      </c>
      <c r="O252" s="133" t="str">
        <f>IF($A252&lt;&gt;0,VLOOKUP($A252,'0.Productos'!$A$3:$GG$587,'0.Productos'!BG$1+1,0),"")</f>
        <v/>
      </c>
      <c r="P252" s="133" t="str">
        <f>IF($A252&lt;&gt;0,VLOOKUP($A252,'0.Productos'!$A$3:$GG$587,'0.Productos'!BH$1+1,0),"")</f>
        <v/>
      </c>
      <c r="Q252" s="133" t="str">
        <f>IF($A252&lt;&gt;0,VLOOKUP($A252,'0.Productos'!$A$3:$GG$587,'0.Productos'!BI$1+1,0),"")</f>
        <v/>
      </c>
      <c r="R252" s="133" t="str">
        <f>IF($A252&lt;&gt;0,VLOOKUP($A252,'0.Productos'!$A$3:$GG$587,'0.Productos'!BJ$1+1,0),"")</f>
        <v/>
      </c>
      <c r="S252" s="133" t="str">
        <f>IF($A252&lt;&gt;0,VLOOKUP($A252,'0.Productos'!$A$3:$GG$587,'0.Productos'!BK$1+1,0),"")</f>
        <v/>
      </c>
      <c r="T252" s="133" t="str">
        <f>IF($A252&lt;&gt;0,VLOOKUP($A252,'0.Productos'!$A$3:$GG$587,'0.Productos'!BL$1+1,0),"")</f>
        <v/>
      </c>
      <c r="U252" s="133" t="str">
        <f>IF($A252&lt;&gt;0,VLOOKUP($A252,'0.Productos'!$A$3:$GG$587,'0.Productos'!BM$1+1,0),"")</f>
        <v/>
      </c>
      <c r="V252" s="133" t="str">
        <f>IF($A252&lt;&gt;0,VLOOKUP($A252,'0.Productos'!$A$3:$GG$587,'0.Productos'!BN$1+1,0),"")</f>
        <v/>
      </c>
      <c r="W252" s="133" t="str">
        <f>IF($A252&lt;&gt;0,VLOOKUP($A252,'0.Productos'!$A$3:$GG$587,'0.Productos'!BO$1+1,0),"")</f>
        <v/>
      </c>
      <c r="X252" s="133" t="str">
        <f>IF($A252&lt;&gt;0,VLOOKUP($A252,'0.Productos'!$A$3:$GG$587,'0.Productos'!BP$1+1,0),"")</f>
        <v/>
      </c>
      <c r="Y252" s="133" t="str">
        <f>IF($A252&lt;&gt;0,VLOOKUP($A252,'0.Productos'!$A$3:$GG$587,'0.Productos'!BQ$1+1,0),"")</f>
        <v/>
      </c>
      <c r="Z252" s="133" t="str">
        <f>IF($A252&lt;&gt;0,VLOOKUP($A252,'0.Productos'!$A$3:$GG$587,'0.Productos'!BR$1+1,0),"")</f>
        <v/>
      </c>
      <c r="AA252" s="133" t="str">
        <f>IF($A252&lt;&gt;0,VLOOKUP($A252,'0.Productos'!$A$3:$GG$587,'0.Productos'!BS$1+1,0),"")</f>
        <v/>
      </c>
      <c r="AB252" s="133" t="str">
        <f>IF($A252&lt;&gt;0,VLOOKUP($A252,'0.Productos'!$A$3:$GG$587,'0.Productos'!BT$1+1,0),"")</f>
        <v/>
      </c>
      <c r="AC252" s="133" t="str">
        <f>IF($A252&lt;&gt;0,VLOOKUP($A252,'0.Productos'!$A$3:$GG$587,'0.Productos'!BU$1+1,0),"")</f>
        <v/>
      </c>
      <c r="AD252" s="133" t="str">
        <f>IF($A252&lt;&gt;0,VLOOKUP($A252,'0.Productos'!$A$3:$GG$587,'0.Productos'!BV$1+1,0),"")</f>
        <v/>
      </c>
      <c r="AE252" s="133" t="str">
        <f>IF($A252&lt;&gt;0,VLOOKUP($A252,'0.Productos'!$A$3:$GG$587,'0.Productos'!BW$1+1,0),"")</f>
        <v/>
      </c>
      <c r="AF252" s="133" t="str">
        <f>IF($A252&lt;&gt;0,VLOOKUP($A252,'0.Productos'!$A$3:$GG$587,'0.Productos'!BX$1+1,0),"")</f>
        <v/>
      </c>
      <c r="AG252" s="133" t="str">
        <f>IF($A252&lt;&gt;0,VLOOKUP($A252,'0.Productos'!$A$3:$GG$587,'0.Productos'!BY$1+1,0),"")</f>
        <v/>
      </c>
      <c r="AH252" s="133" t="str">
        <f>IF($A252&lt;&gt;0,VLOOKUP($A252,'0.Productos'!$A$3:$GG$587,'0.Productos'!BZ$1+1,0),"")</f>
        <v/>
      </c>
      <c r="AI252" s="133" t="str">
        <f>IF($A252&lt;&gt;0,VLOOKUP($A252,'0.Productos'!$A$3:$GG$587,'0.Productos'!CA$1+1,0),"")</f>
        <v/>
      </c>
      <c r="AJ252" s="133" t="str">
        <f>IF($A252&lt;&gt;0,VLOOKUP($A252,'0.Productos'!$A$3:$GG$587,'0.Productos'!CB$1+1,0),"")</f>
        <v/>
      </c>
      <c r="AK252" s="133" t="str">
        <f>IF($A252&lt;&gt;0,VLOOKUP($A252,'0.Productos'!$A$3:$GG$587,'0.Productos'!CC$1+1,0),"")</f>
        <v/>
      </c>
      <c r="AL252" s="133" t="str">
        <f>IF($A252&lt;&gt;0,VLOOKUP($A252,'0.Productos'!$A$3:$GG$587,'0.Productos'!CD$1+1,0),"")</f>
        <v/>
      </c>
      <c r="AM252" s="133" t="str">
        <f>IF($A252&lt;&gt;0,VLOOKUP($A252,'0.Productos'!$A$3:$GG$587,'0.Productos'!CE$1+1,0),"")</f>
        <v/>
      </c>
      <c r="AN252" s="133" t="str">
        <f>IF($A252&lt;&gt;0,VLOOKUP($A252,'0.Productos'!$A$3:$GG$587,'0.Productos'!CF$1+1,0),"")</f>
        <v/>
      </c>
      <c r="AO252" s="133" t="str">
        <f>IF($A252&lt;&gt;0,VLOOKUP($A252,'0.Productos'!$A$3:$GG$587,'0.Productos'!CG$1+1,0),"")</f>
        <v/>
      </c>
      <c r="AP252" s="133" t="str">
        <f>IF($A252&lt;&gt;0,VLOOKUP($A252,'0.Productos'!$A$3:$GG$587,'0.Productos'!CH$1+1,0),"")</f>
        <v/>
      </c>
      <c r="AQ252" s="133" t="str">
        <f>IF($A252&lt;&gt;0,VLOOKUP($A252,'0.Productos'!$A$3:$GG$587,'0.Productos'!CI$1+1,0),"")</f>
        <v/>
      </c>
      <c r="AR252" s="133" t="str">
        <f>IF($A252&lt;&gt;0,VLOOKUP($A252,'0.Productos'!$A$3:$GG$587,'0.Productos'!CJ$1+1,0),"")</f>
        <v/>
      </c>
      <c r="AS252" s="133" t="str">
        <f>IF($A252&lt;&gt;0,VLOOKUP($A252,'0.Productos'!$A$3:$GG$587,'0.Productos'!CK$1+1,0),"")</f>
        <v/>
      </c>
      <c r="AT252" s="133" t="str">
        <f>IF($A252&lt;&gt;0,VLOOKUP($A252,'0.Productos'!$A$3:$GG$587,'0.Productos'!CL$1+1,0),"")</f>
        <v/>
      </c>
      <c r="AU252" s="133" t="str">
        <f>IF($A252&lt;&gt;0,VLOOKUP($A252,'0.Productos'!$A$3:$GG$587,'0.Productos'!CM$1+1,0),"")</f>
        <v/>
      </c>
      <c r="AV252" s="133" t="str">
        <f>IF($A252&lt;&gt;0,VLOOKUP($A252,'0.Productos'!$A$3:$GG$587,'0.Productos'!CN$1+1,0),"")</f>
        <v/>
      </c>
      <c r="AW252" s="133" t="str">
        <f>IF($A252&lt;&gt;0,VLOOKUP($A252,'0.Productos'!$A$3:$GG$587,'0.Productos'!CO$1+1,0),"")</f>
        <v/>
      </c>
      <c r="AX252" s="133" t="str">
        <f>IF($A252&lt;&gt;0,VLOOKUP($A252,'0.Productos'!$A$3:$GG$587,'0.Productos'!CP$1+1,0),"")</f>
        <v/>
      </c>
      <c r="AY252" s="133" t="str">
        <f>IF($A252&lt;&gt;0,VLOOKUP($A252,'0.Productos'!$A$3:$GG$587,'0.Productos'!CQ$1+1,0),"")</f>
        <v/>
      </c>
      <c r="AZ252" s="133" t="str">
        <f>IF($A252&lt;&gt;0,VLOOKUP($A252,'0.Productos'!$A$3:$GG$587,'0.Productos'!CR$1+1,0),"")</f>
        <v/>
      </c>
      <c r="BA252" s="133" t="str">
        <f>IF($A252&lt;&gt;0,VLOOKUP($A252,'0.Productos'!$A$3:$GG$587,'0.Productos'!CS$1+1,0),"")</f>
        <v/>
      </c>
      <c r="BB252" s="133" t="str">
        <f>IF($A252&lt;&gt;0,VLOOKUP($A252,'0.Productos'!$A$3:$GG$587,'0.Productos'!CT$1+1,0),"")</f>
        <v/>
      </c>
      <c r="BC252" s="133" t="str">
        <f>IF($A252&lt;&gt;0,VLOOKUP($A252,'0.Productos'!$A$3:$GG$587,'0.Productos'!CU$1+1,0),"")</f>
        <v/>
      </c>
      <c r="BD252" s="133" t="str">
        <f>IF($A252&lt;&gt;0,VLOOKUP($A252,'0.Productos'!$A$3:$GG$587,'0.Productos'!CV$1+1,0),"")</f>
        <v/>
      </c>
      <c r="BE252" s="133" t="str">
        <f>IF($A252&lt;&gt;0,VLOOKUP($A252,'0.Productos'!$A$3:$GG$587,'0.Productos'!CW$1+1,0),"")</f>
        <v/>
      </c>
      <c r="BF252" s="133" t="str">
        <f>IF($A252&lt;&gt;0,VLOOKUP($A252,'0.Productos'!$A$3:$GG$587,'0.Productos'!CX$1+1,0),"")</f>
        <v/>
      </c>
      <c r="BG252" s="133" t="str">
        <f>IF($A252&lt;&gt;0,VLOOKUP($A252,'0.Productos'!$A$3:$GG$587,'0.Productos'!CY$1+1,0),"")</f>
        <v/>
      </c>
      <c r="BH252" s="133" t="str">
        <f>IF($A252&lt;&gt;0,VLOOKUP($A252,'0.Productos'!$A$3:$GG$587,'0.Productos'!CZ$1+1,0),"")</f>
        <v/>
      </c>
      <c r="BI252" s="133" t="str">
        <f>IF($A252&lt;&gt;0,VLOOKUP($A252,'0.Productos'!$A$3:$GG$587,'0.Productos'!DA$1+1,0),"")</f>
        <v/>
      </c>
      <c r="BJ252" s="133" t="str">
        <f>IF($A252&lt;&gt;0,VLOOKUP($A252,'0.Productos'!$A$3:$GG$587,'0.Productos'!DB$1+1,0),"")</f>
        <v/>
      </c>
      <c r="BK252" s="133" t="str">
        <f>IF($A252&lt;&gt;0,VLOOKUP($A252,'0.Productos'!$A$3:$GG$587,'0.Productos'!DC$1+1,0),"")</f>
        <v/>
      </c>
      <c r="BL252" s="133" t="str">
        <f>IF($A252&lt;&gt;0,VLOOKUP($A252,'0.Productos'!$A$3:$GG$587,'0.Productos'!DD$1+1,0),"")</f>
        <v/>
      </c>
      <c r="BM252" s="133" t="str">
        <f>IF($A252&lt;&gt;0,VLOOKUP($A252,'0.Productos'!$A$3:$GG$587,'0.Productos'!DE$1+1,0),"")</f>
        <v/>
      </c>
      <c r="BN252" s="133" t="str">
        <f>IF($A252&lt;&gt;0,VLOOKUP($A252,'0.Productos'!$A$3:$GG$587,'0.Productos'!DF$1+1,0),"")</f>
        <v/>
      </c>
      <c r="BO252" s="133" t="str">
        <f>IF($A252&lt;&gt;0,VLOOKUP($A252,'0.Productos'!$A$3:$GG$587,'0.Productos'!DG$1+1,0),"")</f>
        <v/>
      </c>
      <c r="BP252" s="133" t="str">
        <f>IF($A252&lt;&gt;0,VLOOKUP($A252,'0.Productos'!$A$3:$GG$587,'0.Productos'!DH$1+1,0),"")</f>
        <v/>
      </c>
      <c r="BQ252" s="133" t="str">
        <f>IF($A252&lt;&gt;0,VLOOKUP($A252,'0.Productos'!$A$3:$GG$587,'0.Productos'!DI$1+1,0),"")</f>
        <v/>
      </c>
      <c r="BR252" s="133" t="str">
        <f>IF($A252&lt;&gt;0,VLOOKUP($A252,'0.Productos'!$A$3:$GG$587,'0.Productos'!DJ$1+1,0),"")</f>
        <v/>
      </c>
      <c r="BS252" s="133" t="str">
        <f>IF($A252&lt;&gt;0,VLOOKUP($A252,'0.Productos'!$A$3:$GG$587,'0.Productos'!DK$1+1,0),"")</f>
        <v/>
      </c>
      <c r="BT252" s="133" t="str">
        <f>IF($A252&lt;&gt;0,VLOOKUP($A252,'0.Productos'!$A$3:$GG$587,'0.Productos'!DL$1+1,0),"")</f>
        <v/>
      </c>
    </row>
    <row r="253" spans="1:72" x14ac:dyDescent="0.25">
      <c r="A253" s="17">
        <f>'0.Consolidado general'!A253</f>
        <v>0</v>
      </c>
      <c r="B253" s="133" t="str">
        <f>IF($A253&lt;&gt;0,VLOOKUP($A253,'0.Productos'!$A$3:$GG$587,'0.Productos'!AT$1+1,0),"")</f>
        <v/>
      </c>
      <c r="C253" s="133" t="str">
        <f>IF($A253&lt;&gt;0,VLOOKUP($A253,'0.Productos'!$A$3:$GG$587,'0.Productos'!AU$1+1,0),"")</f>
        <v/>
      </c>
      <c r="D253" s="133" t="str">
        <f>IF($A253&lt;&gt;0,VLOOKUP($A253,'0.Productos'!$A$3:$GG$587,'0.Productos'!AV$1+1,0),"")</f>
        <v/>
      </c>
      <c r="E253" s="133" t="str">
        <f>IF($A253&lt;&gt;0,VLOOKUP($A253,'0.Productos'!$A$3:$GG$587,'0.Productos'!AW$1+1,0),"")</f>
        <v/>
      </c>
      <c r="F253" s="133" t="str">
        <f>IF($A253&lt;&gt;0,VLOOKUP($A253,'0.Productos'!$A$3:$GG$587,'0.Productos'!AX$1+1,0),"")</f>
        <v/>
      </c>
      <c r="G253" s="133" t="str">
        <f>IF($A253&lt;&gt;0,VLOOKUP($A253,'0.Productos'!$A$3:$GG$587,'0.Productos'!AY$1+1,0),"")</f>
        <v/>
      </c>
      <c r="H253" s="133" t="str">
        <f>IF($A253&lt;&gt;0,VLOOKUP($A253,'0.Productos'!$A$3:$GG$587,'0.Productos'!AZ$1+1,0),"")</f>
        <v/>
      </c>
      <c r="I253" s="133" t="str">
        <f>IF($A253&lt;&gt;0,VLOOKUP($A253,'0.Productos'!$A$3:$GG$587,'0.Productos'!BA$1+1,0),"")</f>
        <v/>
      </c>
      <c r="J253" s="133" t="str">
        <f>IF($A253&lt;&gt;0,VLOOKUP($A253,'0.Productos'!$A$3:$GG$587,'0.Productos'!BB$1+1,0),"")</f>
        <v/>
      </c>
      <c r="K253" s="133" t="str">
        <f>IF($A253&lt;&gt;0,VLOOKUP($A253,'0.Productos'!$A$3:$GG$587,'0.Productos'!BC$1+1,0),"")</f>
        <v/>
      </c>
      <c r="L253" s="133" t="str">
        <f>IF($A253&lt;&gt;0,VLOOKUP($A253,'0.Productos'!$A$3:$GG$587,'0.Productos'!BD$1+1,0),"")</f>
        <v/>
      </c>
      <c r="M253" s="133" t="str">
        <f>IF($A253&lt;&gt;0,VLOOKUP($A253,'0.Productos'!$A$3:$GG$587,'0.Productos'!BE$1+1,0),"")</f>
        <v/>
      </c>
      <c r="N253" s="133" t="str">
        <f>IF($A253&lt;&gt;0,VLOOKUP($A253,'0.Productos'!$A$3:$GG$587,'0.Productos'!BF$1+1,0),"")</f>
        <v/>
      </c>
      <c r="O253" s="133" t="str">
        <f>IF($A253&lt;&gt;0,VLOOKUP($A253,'0.Productos'!$A$3:$GG$587,'0.Productos'!BG$1+1,0),"")</f>
        <v/>
      </c>
      <c r="P253" s="133" t="str">
        <f>IF($A253&lt;&gt;0,VLOOKUP($A253,'0.Productos'!$A$3:$GG$587,'0.Productos'!BH$1+1,0),"")</f>
        <v/>
      </c>
      <c r="Q253" s="133" t="str">
        <f>IF($A253&lt;&gt;0,VLOOKUP($A253,'0.Productos'!$A$3:$GG$587,'0.Productos'!BI$1+1,0),"")</f>
        <v/>
      </c>
      <c r="R253" s="133" t="str">
        <f>IF($A253&lt;&gt;0,VLOOKUP($A253,'0.Productos'!$A$3:$GG$587,'0.Productos'!BJ$1+1,0),"")</f>
        <v/>
      </c>
      <c r="S253" s="133" t="str">
        <f>IF($A253&lt;&gt;0,VLOOKUP($A253,'0.Productos'!$A$3:$GG$587,'0.Productos'!BK$1+1,0),"")</f>
        <v/>
      </c>
      <c r="T253" s="133" t="str">
        <f>IF($A253&lt;&gt;0,VLOOKUP($A253,'0.Productos'!$A$3:$GG$587,'0.Productos'!BL$1+1,0),"")</f>
        <v/>
      </c>
      <c r="U253" s="133" t="str">
        <f>IF($A253&lt;&gt;0,VLOOKUP($A253,'0.Productos'!$A$3:$GG$587,'0.Productos'!BM$1+1,0),"")</f>
        <v/>
      </c>
      <c r="V253" s="133" t="str">
        <f>IF($A253&lt;&gt;0,VLOOKUP($A253,'0.Productos'!$A$3:$GG$587,'0.Productos'!BN$1+1,0),"")</f>
        <v/>
      </c>
      <c r="W253" s="133" t="str">
        <f>IF($A253&lt;&gt;0,VLOOKUP($A253,'0.Productos'!$A$3:$GG$587,'0.Productos'!BO$1+1,0),"")</f>
        <v/>
      </c>
      <c r="X253" s="133" t="str">
        <f>IF($A253&lt;&gt;0,VLOOKUP($A253,'0.Productos'!$A$3:$GG$587,'0.Productos'!BP$1+1,0),"")</f>
        <v/>
      </c>
      <c r="Y253" s="133" t="str">
        <f>IF($A253&lt;&gt;0,VLOOKUP($A253,'0.Productos'!$A$3:$GG$587,'0.Productos'!BQ$1+1,0),"")</f>
        <v/>
      </c>
      <c r="Z253" s="133" t="str">
        <f>IF($A253&lt;&gt;0,VLOOKUP($A253,'0.Productos'!$A$3:$GG$587,'0.Productos'!BR$1+1,0),"")</f>
        <v/>
      </c>
      <c r="AA253" s="133" t="str">
        <f>IF($A253&lt;&gt;0,VLOOKUP($A253,'0.Productos'!$A$3:$GG$587,'0.Productos'!BS$1+1,0),"")</f>
        <v/>
      </c>
      <c r="AB253" s="133" t="str">
        <f>IF($A253&lt;&gt;0,VLOOKUP($A253,'0.Productos'!$A$3:$GG$587,'0.Productos'!BT$1+1,0),"")</f>
        <v/>
      </c>
      <c r="AC253" s="133" t="str">
        <f>IF($A253&lt;&gt;0,VLOOKUP($A253,'0.Productos'!$A$3:$GG$587,'0.Productos'!BU$1+1,0),"")</f>
        <v/>
      </c>
      <c r="AD253" s="133" t="str">
        <f>IF($A253&lt;&gt;0,VLOOKUP($A253,'0.Productos'!$A$3:$GG$587,'0.Productos'!BV$1+1,0),"")</f>
        <v/>
      </c>
      <c r="AE253" s="133" t="str">
        <f>IF($A253&lt;&gt;0,VLOOKUP($A253,'0.Productos'!$A$3:$GG$587,'0.Productos'!BW$1+1,0),"")</f>
        <v/>
      </c>
      <c r="AF253" s="133" t="str">
        <f>IF($A253&lt;&gt;0,VLOOKUP($A253,'0.Productos'!$A$3:$GG$587,'0.Productos'!BX$1+1,0),"")</f>
        <v/>
      </c>
      <c r="AG253" s="133" t="str">
        <f>IF($A253&lt;&gt;0,VLOOKUP($A253,'0.Productos'!$A$3:$GG$587,'0.Productos'!BY$1+1,0),"")</f>
        <v/>
      </c>
      <c r="AH253" s="133" t="str">
        <f>IF($A253&lt;&gt;0,VLOOKUP($A253,'0.Productos'!$A$3:$GG$587,'0.Productos'!BZ$1+1,0),"")</f>
        <v/>
      </c>
      <c r="AI253" s="133" t="str">
        <f>IF($A253&lt;&gt;0,VLOOKUP($A253,'0.Productos'!$A$3:$GG$587,'0.Productos'!CA$1+1,0),"")</f>
        <v/>
      </c>
      <c r="AJ253" s="133" t="str">
        <f>IF($A253&lt;&gt;0,VLOOKUP($A253,'0.Productos'!$A$3:$GG$587,'0.Productos'!CB$1+1,0),"")</f>
        <v/>
      </c>
      <c r="AK253" s="133" t="str">
        <f>IF($A253&lt;&gt;0,VLOOKUP($A253,'0.Productos'!$A$3:$GG$587,'0.Productos'!CC$1+1,0),"")</f>
        <v/>
      </c>
      <c r="AL253" s="133" t="str">
        <f>IF($A253&lt;&gt;0,VLOOKUP($A253,'0.Productos'!$A$3:$GG$587,'0.Productos'!CD$1+1,0),"")</f>
        <v/>
      </c>
      <c r="AM253" s="133" t="str">
        <f>IF($A253&lt;&gt;0,VLOOKUP($A253,'0.Productos'!$A$3:$GG$587,'0.Productos'!CE$1+1,0),"")</f>
        <v/>
      </c>
      <c r="AN253" s="133" t="str">
        <f>IF($A253&lt;&gt;0,VLOOKUP($A253,'0.Productos'!$A$3:$GG$587,'0.Productos'!CF$1+1,0),"")</f>
        <v/>
      </c>
      <c r="AO253" s="133" t="str">
        <f>IF($A253&lt;&gt;0,VLOOKUP($A253,'0.Productos'!$A$3:$GG$587,'0.Productos'!CG$1+1,0),"")</f>
        <v/>
      </c>
      <c r="AP253" s="133" t="str">
        <f>IF($A253&lt;&gt;0,VLOOKUP($A253,'0.Productos'!$A$3:$GG$587,'0.Productos'!CH$1+1,0),"")</f>
        <v/>
      </c>
      <c r="AQ253" s="133" t="str">
        <f>IF($A253&lt;&gt;0,VLOOKUP($A253,'0.Productos'!$A$3:$GG$587,'0.Productos'!CI$1+1,0),"")</f>
        <v/>
      </c>
      <c r="AR253" s="133" t="str">
        <f>IF($A253&lt;&gt;0,VLOOKUP($A253,'0.Productos'!$A$3:$GG$587,'0.Productos'!CJ$1+1,0),"")</f>
        <v/>
      </c>
      <c r="AS253" s="133" t="str">
        <f>IF($A253&lt;&gt;0,VLOOKUP($A253,'0.Productos'!$A$3:$GG$587,'0.Productos'!CK$1+1,0),"")</f>
        <v/>
      </c>
      <c r="AT253" s="133" t="str">
        <f>IF($A253&lt;&gt;0,VLOOKUP($A253,'0.Productos'!$A$3:$GG$587,'0.Productos'!CL$1+1,0),"")</f>
        <v/>
      </c>
      <c r="AU253" s="133" t="str">
        <f>IF($A253&lt;&gt;0,VLOOKUP($A253,'0.Productos'!$A$3:$GG$587,'0.Productos'!CM$1+1,0),"")</f>
        <v/>
      </c>
      <c r="AV253" s="133" t="str">
        <f>IF($A253&lt;&gt;0,VLOOKUP($A253,'0.Productos'!$A$3:$GG$587,'0.Productos'!CN$1+1,0),"")</f>
        <v/>
      </c>
      <c r="AW253" s="133" t="str">
        <f>IF($A253&lt;&gt;0,VLOOKUP($A253,'0.Productos'!$A$3:$GG$587,'0.Productos'!CO$1+1,0),"")</f>
        <v/>
      </c>
      <c r="AX253" s="133" t="str">
        <f>IF($A253&lt;&gt;0,VLOOKUP($A253,'0.Productos'!$A$3:$GG$587,'0.Productos'!CP$1+1,0),"")</f>
        <v/>
      </c>
      <c r="AY253" s="133" t="str">
        <f>IF($A253&lt;&gt;0,VLOOKUP($A253,'0.Productos'!$A$3:$GG$587,'0.Productos'!CQ$1+1,0),"")</f>
        <v/>
      </c>
      <c r="AZ253" s="133" t="str">
        <f>IF($A253&lt;&gt;0,VLOOKUP($A253,'0.Productos'!$A$3:$GG$587,'0.Productos'!CR$1+1,0),"")</f>
        <v/>
      </c>
      <c r="BA253" s="133" t="str">
        <f>IF($A253&lt;&gt;0,VLOOKUP($A253,'0.Productos'!$A$3:$GG$587,'0.Productos'!CS$1+1,0),"")</f>
        <v/>
      </c>
      <c r="BB253" s="133" t="str">
        <f>IF($A253&lt;&gt;0,VLOOKUP($A253,'0.Productos'!$A$3:$GG$587,'0.Productos'!CT$1+1,0),"")</f>
        <v/>
      </c>
      <c r="BC253" s="133" t="str">
        <f>IF($A253&lt;&gt;0,VLOOKUP($A253,'0.Productos'!$A$3:$GG$587,'0.Productos'!CU$1+1,0),"")</f>
        <v/>
      </c>
      <c r="BD253" s="133" t="str">
        <f>IF($A253&lt;&gt;0,VLOOKUP($A253,'0.Productos'!$A$3:$GG$587,'0.Productos'!CV$1+1,0),"")</f>
        <v/>
      </c>
      <c r="BE253" s="133" t="str">
        <f>IF($A253&lt;&gt;0,VLOOKUP($A253,'0.Productos'!$A$3:$GG$587,'0.Productos'!CW$1+1,0),"")</f>
        <v/>
      </c>
      <c r="BF253" s="133" t="str">
        <f>IF($A253&lt;&gt;0,VLOOKUP($A253,'0.Productos'!$A$3:$GG$587,'0.Productos'!CX$1+1,0),"")</f>
        <v/>
      </c>
      <c r="BG253" s="133" t="str">
        <f>IF($A253&lt;&gt;0,VLOOKUP($A253,'0.Productos'!$A$3:$GG$587,'0.Productos'!CY$1+1,0),"")</f>
        <v/>
      </c>
      <c r="BH253" s="133" t="str">
        <f>IF($A253&lt;&gt;0,VLOOKUP($A253,'0.Productos'!$A$3:$GG$587,'0.Productos'!CZ$1+1,0),"")</f>
        <v/>
      </c>
      <c r="BI253" s="133" t="str">
        <f>IF($A253&lt;&gt;0,VLOOKUP($A253,'0.Productos'!$A$3:$GG$587,'0.Productos'!DA$1+1,0),"")</f>
        <v/>
      </c>
      <c r="BJ253" s="133" t="str">
        <f>IF($A253&lt;&gt;0,VLOOKUP($A253,'0.Productos'!$A$3:$GG$587,'0.Productos'!DB$1+1,0),"")</f>
        <v/>
      </c>
      <c r="BK253" s="133" t="str">
        <f>IF($A253&lt;&gt;0,VLOOKUP($A253,'0.Productos'!$A$3:$GG$587,'0.Productos'!DC$1+1,0),"")</f>
        <v/>
      </c>
      <c r="BL253" s="133" t="str">
        <f>IF($A253&lt;&gt;0,VLOOKUP($A253,'0.Productos'!$A$3:$GG$587,'0.Productos'!DD$1+1,0),"")</f>
        <v/>
      </c>
      <c r="BM253" s="133" t="str">
        <f>IF($A253&lt;&gt;0,VLOOKUP($A253,'0.Productos'!$A$3:$GG$587,'0.Productos'!DE$1+1,0),"")</f>
        <v/>
      </c>
      <c r="BN253" s="133" t="str">
        <f>IF($A253&lt;&gt;0,VLOOKUP($A253,'0.Productos'!$A$3:$GG$587,'0.Productos'!DF$1+1,0),"")</f>
        <v/>
      </c>
      <c r="BO253" s="133" t="str">
        <f>IF($A253&lt;&gt;0,VLOOKUP($A253,'0.Productos'!$A$3:$GG$587,'0.Productos'!DG$1+1,0),"")</f>
        <v/>
      </c>
      <c r="BP253" s="133" t="str">
        <f>IF($A253&lt;&gt;0,VLOOKUP($A253,'0.Productos'!$A$3:$GG$587,'0.Productos'!DH$1+1,0),"")</f>
        <v/>
      </c>
      <c r="BQ253" s="133" t="str">
        <f>IF($A253&lt;&gt;0,VLOOKUP($A253,'0.Productos'!$A$3:$GG$587,'0.Productos'!DI$1+1,0),"")</f>
        <v/>
      </c>
      <c r="BR253" s="133" t="str">
        <f>IF($A253&lt;&gt;0,VLOOKUP($A253,'0.Productos'!$A$3:$GG$587,'0.Productos'!DJ$1+1,0),"")</f>
        <v/>
      </c>
      <c r="BS253" s="133" t="str">
        <f>IF($A253&lt;&gt;0,VLOOKUP($A253,'0.Productos'!$A$3:$GG$587,'0.Productos'!DK$1+1,0),"")</f>
        <v/>
      </c>
      <c r="BT253" s="133" t="str">
        <f>IF($A253&lt;&gt;0,VLOOKUP($A253,'0.Productos'!$A$3:$GG$587,'0.Productos'!DL$1+1,0),"")</f>
        <v/>
      </c>
    </row>
    <row r="254" spans="1:72" x14ac:dyDescent="0.25">
      <c r="A254" s="17">
        <f>'0.Consolidado general'!A254</f>
        <v>0</v>
      </c>
      <c r="B254" s="133" t="str">
        <f>IF($A254&lt;&gt;0,VLOOKUP($A254,'0.Productos'!$A$3:$GG$587,'0.Productos'!AT$1+1,0),"")</f>
        <v/>
      </c>
      <c r="C254" s="133" t="str">
        <f>IF($A254&lt;&gt;0,VLOOKUP($A254,'0.Productos'!$A$3:$GG$587,'0.Productos'!AU$1+1,0),"")</f>
        <v/>
      </c>
      <c r="D254" s="133" t="str">
        <f>IF($A254&lt;&gt;0,VLOOKUP($A254,'0.Productos'!$A$3:$GG$587,'0.Productos'!AV$1+1,0),"")</f>
        <v/>
      </c>
      <c r="E254" s="133" t="str">
        <f>IF($A254&lt;&gt;0,VLOOKUP($A254,'0.Productos'!$A$3:$GG$587,'0.Productos'!AW$1+1,0),"")</f>
        <v/>
      </c>
      <c r="F254" s="133" t="str">
        <f>IF($A254&lt;&gt;0,VLOOKUP($A254,'0.Productos'!$A$3:$GG$587,'0.Productos'!AX$1+1,0),"")</f>
        <v/>
      </c>
      <c r="G254" s="133" t="str">
        <f>IF($A254&lt;&gt;0,VLOOKUP($A254,'0.Productos'!$A$3:$GG$587,'0.Productos'!AY$1+1,0),"")</f>
        <v/>
      </c>
      <c r="H254" s="133" t="str">
        <f>IF($A254&lt;&gt;0,VLOOKUP($A254,'0.Productos'!$A$3:$GG$587,'0.Productos'!AZ$1+1,0),"")</f>
        <v/>
      </c>
      <c r="I254" s="133" t="str">
        <f>IF($A254&lt;&gt;0,VLOOKUP($A254,'0.Productos'!$A$3:$GG$587,'0.Productos'!BA$1+1,0),"")</f>
        <v/>
      </c>
      <c r="J254" s="133" t="str">
        <f>IF($A254&lt;&gt;0,VLOOKUP($A254,'0.Productos'!$A$3:$GG$587,'0.Productos'!BB$1+1,0),"")</f>
        <v/>
      </c>
      <c r="K254" s="133" t="str">
        <f>IF($A254&lt;&gt;0,VLOOKUP($A254,'0.Productos'!$A$3:$GG$587,'0.Productos'!BC$1+1,0),"")</f>
        <v/>
      </c>
      <c r="L254" s="133" t="str">
        <f>IF($A254&lt;&gt;0,VLOOKUP($A254,'0.Productos'!$A$3:$GG$587,'0.Productos'!BD$1+1,0),"")</f>
        <v/>
      </c>
      <c r="M254" s="133" t="str">
        <f>IF($A254&lt;&gt;0,VLOOKUP($A254,'0.Productos'!$A$3:$GG$587,'0.Productos'!BE$1+1,0),"")</f>
        <v/>
      </c>
      <c r="N254" s="133" t="str">
        <f>IF($A254&lt;&gt;0,VLOOKUP($A254,'0.Productos'!$A$3:$GG$587,'0.Productos'!BF$1+1,0),"")</f>
        <v/>
      </c>
      <c r="O254" s="133" t="str">
        <f>IF($A254&lt;&gt;0,VLOOKUP($A254,'0.Productos'!$A$3:$GG$587,'0.Productos'!BG$1+1,0),"")</f>
        <v/>
      </c>
      <c r="P254" s="133" t="str">
        <f>IF($A254&lt;&gt;0,VLOOKUP($A254,'0.Productos'!$A$3:$GG$587,'0.Productos'!BH$1+1,0),"")</f>
        <v/>
      </c>
      <c r="Q254" s="133" t="str">
        <f>IF($A254&lt;&gt;0,VLOOKUP($A254,'0.Productos'!$A$3:$GG$587,'0.Productos'!BI$1+1,0),"")</f>
        <v/>
      </c>
      <c r="R254" s="133" t="str">
        <f>IF($A254&lt;&gt;0,VLOOKUP($A254,'0.Productos'!$A$3:$GG$587,'0.Productos'!BJ$1+1,0),"")</f>
        <v/>
      </c>
      <c r="S254" s="133" t="str">
        <f>IF($A254&lt;&gt;0,VLOOKUP($A254,'0.Productos'!$A$3:$GG$587,'0.Productos'!BK$1+1,0),"")</f>
        <v/>
      </c>
      <c r="T254" s="133" t="str">
        <f>IF($A254&lt;&gt;0,VLOOKUP($A254,'0.Productos'!$A$3:$GG$587,'0.Productos'!BL$1+1,0),"")</f>
        <v/>
      </c>
      <c r="U254" s="133" t="str">
        <f>IF($A254&lt;&gt;0,VLOOKUP($A254,'0.Productos'!$A$3:$GG$587,'0.Productos'!BM$1+1,0),"")</f>
        <v/>
      </c>
      <c r="V254" s="133" t="str">
        <f>IF($A254&lt;&gt;0,VLOOKUP($A254,'0.Productos'!$A$3:$GG$587,'0.Productos'!BN$1+1,0),"")</f>
        <v/>
      </c>
      <c r="W254" s="133" t="str">
        <f>IF($A254&lt;&gt;0,VLOOKUP($A254,'0.Productos'!$A$3:$GG$587,'0.Productos'!BO$1+1,0),"")</f>
        <v/>
      </c>
      <c r="X254" s="133" t="str">
        <f>IF($A254&lt;&gt;0,VLOOKUP($A254,'0.Productos'!$A$3:$GG$587,'0.Productos'!BP$1+1,0),"")</f>
        <v/>
      </c>
      <c r="Y254" s="133" t="str">
        <f>IF($A254&lt;&gt;0,VLOOKUP($A254,'0.Productos'!$A$3:$GG$587,'0.Productos'!BQ$1+1,0),"")</f>
        <v/>
      </c>
      <c r="Z254" s="133" t="str">
        <f>IF($A254&lt;&gt;0,VLOOKUP($A254,'0.Productos'!$A$3:$GG$587,'0.Productos'!BR$1+1,0),"")</f>
        <v/>
      </c>
      <c r="AA254" s="133" t="str">
        <f>IF($A254&lt;&gt;0,VLOOKUP($A254,'0.Productos'!$A$3:$GG$587,'0.Productos'!BS$1+1,0),"")</f>
        <v/>
      </c>
      <c r="AB254" s="133" t="str">
        <f>IF($A254&lt;&gt;0,VLOOKUP($A254,'0.Productos'!$A$3:$GG$587,'0.Productos'!BT$1+1,0),"")</f>
        <v/>
      </c>
      <c r="AC254" s="133" t="str">
        <f>IF($A254&lt;&gt;0,VLOOKUP($A254,'0.Productos'!$A$3:$GG$587,'0.Productos'!BU$1+1,0),"")</f>
        <v/>
      </c>
      <c r="AD254" s="133" t="str">
        <f>IF($A254&lt;&gt;0,VLOOKUP($A254,'0.Productos'!$A$3:$GG$587,'0.Productos'!BV$1+1,0),"")</f>
        <v/>
      </c>
      <c r="AE254" s="133" t="str">
        <f>IF($A254&lt;&gt;0,VLOOKUP($A254,'0.Productos'!$A$3:$GG$587,'0.Productos'!BW$1+1,0),"")</f>
        <v/>
      </c>
      <c r="AF254" s="133" t="str">
        <f>IF($A254&lt;&gt;0,VLOOKUP($A254,'0.Productos'!$A$3:$GG$587,'0.Productos'!BX$1+1,0),"")</f>
        <v/>
      </c>
      <c r="AG254" s="133" t="str">
        <f>IF($A254&lt;&gt;0,VLOOKUP($A254,'0.Productos'!$A$3:$GG$587,'0.Productos'!BY$1+1,0),"")</f>
        <v/>
      </c>
      <c r="AH254" s="133" t="str">
        <f>IF($A254&lt;&gt;0,VLOOKUP($A254,'0.Productos'!$A$3:$GG$587,'0.Productos'!BZ$1+1,0),"")</f>
        <v/>
      </c>
      <c r="AI254" s="133" t="str">
        <f>IF($A254&lt;&gt;0,VLOOKUP($A254,'0.Productos'!$A$3:$GG$587,'0.Productos'!CA$1+1,0),"")</f>
        <v/>
      </c>
      <c r="AJ254" s="133" t="str">
        <f>IF($A254&lt;&gt;0,VLOOKUP($A254,'0.Productos'!$A$3:$GG$587,'0.Productos'!CB$1+1,0),"")</f>
        <v/>
      </c>
      <c r="AK254" s="133" t="str">
        <f>IF($A254&lt;&gt;0,VLOOKUP($A254,'0.Productos'!$A$3:$GG$587,'0.Productos'!CC$1+1,0),"")</f>
        <v/>
      </c>
      <c r="AL254" s="133" t="str">
        <f>IF($A254&lt;&gt;0,VLOOKUP($A254,'0.Productos'!$A$3:$GG$587,'0.Productos'!CD$1+1,0),"")</f>
        <v/>
      </c>
      <c r="AM254" s="133" t="str">
        <f>IF($A254&lt;&gt;0,VLOOKUP($A254,'0.Productos'!$A$3:$GG$587,'0.Productos'!CE$1+1,0),"")</f>
        <v/>
      </c>
      <c r="AN254" s="133" t="str">
        <f>IF($A254&lt;&gt;0,VLOOKUP($A254,'0.Productos'!$A$3:$GG$587,'0.Productos'!CF$1+1,0),"")</f>
        <v/>
      </c>
      <c r="AO254" s="133" t="str">
        <f>IF($A254&lt;&gt;0,VLOOKUP($A254,'0.Productos'!$A$3:$GG$587,'0.Productos'!CG$1+1,0),"")</f>
        <v/>
      </c>
      <c r="AP254" s="133" t="str">
        <f>IF($A254&lt;&gt;0,VLOOKUP($A254,'0.Productos'!$A$3:$GG$587,'0.Productos'!CH$1+1,0),"")</f>
        <v/>
      </c>
      <c r="AQ254" s="133" t="str">
        <f>IF($A254&lt;&gt;0,VLOOKUP($A254,'0.Productos'!$A$3:$GG$587,'0.Productos'!CI$1+1,0),"")</f>
        <v/>
      </c>
      <c r="AR254" s="133" t="str">
        <f>IF($A254&lt;&gt;0,VLOOKUP($A254,'0.Productos'!$A$3:$GG$587,'0.Productos'!CJ$1+1,0),"")</f>
        <v/>
      </c>
      <c r="AS254" s="133" t="str">
        <f>IF($A254&lt;&gt;0,VLOOKUP($A254,'0.Productos'!$A$3:$GG$587,'0.Productos'!CK$1+1,0),"")</f>
        <v/>
      </c>
      <c r="AT254" s="133" t="str">
        <f>IF($A254&lt;&gt;0,VLOOKUP($A254,'0.Productos'!$A$3:$GG$587,'0.Productos'!CL$1+1,0),"")</f>
        <v/>
      </c>
      <c r="AU254" s="133" t="str">
        <f>IF($A254&lt;&gt;0,VLOOKUP($A254,'0.Productos'!$A$3:$GG$587,'0.Productos'!CM$1+1,0),"")</f>
        <v/>
      </c>
      <c r="AV254" s="133" t="str">
        <f>IF($A254&lt;&gt;0,VLOOKUP($A254,'0.Productos'!$A$3:$GG$587,'0.Productos'!CN$1+1,0),"")</f>
        <v/>
      </c>
      <c r="AW254" s="133" t="str">
        <f>IF($A254&lt;&gt;0,VLOOKUP($A254,'0.Productos'!$A$3:$GG$587,'0.Productos'!CO$1+1,0),"")</f>
        <v/>
      </c>
      <c r="AX254" s="133" t="str">
        <f>IF($A254&lt;&gt;0,VLOOKUP($A254,'0.Productos'!$A$3:$GG$587,'0.Productos'!CP$1+1,0),"")</f>
        <v/>
      </c>
      <c r="AY254" s="133" t="str">
        <f>IF($A254&lt;&gt;0,VLOOKUP($A254,'0.Productos'!$A$3:$GG$587,'0.Productos'!CQ$1+1,0),"")</f>
        <v/>
      </c>
      <c r="AZ254" s="133" t="str">
        <f>IF($A254&lt;&gt;0,VLOOKUP($A254,'0.Productos'!$A$3:$GG$587,'0.Productos'!CR$1+1,0),"")</f>
        <v/>
      </c>
      <c r="BA254" s="133" t="str">
        <f>IF($A254&lt;&gt;0,VLOOKUP($A254,'0.Productos'!$A$3:$GG$587,'0.Productos'!CS$1+1,0),"")</f>
        <v/>
      </c>
      <c r="BB254" s="133" t="str">
        <f>IF($A254&lt;&gt;0,VLOOKUP($A254,'0.Productos'!$A$3:$GG$587,'0.Productos'!CT$1+1,0),"")</f>
        <v/>
      </c>
      <c r="BC254" s="133" t="str">
        <f>IF($A254&lt;&gt;0,VLOOKUP($A254,'0.Productos'!$A$3:$GG$587,'0.Productos'!CU$1+1,0),"")</f>
        <v/>
      </c>
      <c r="BD254" s="133" t="str">
        <f>IF($A254&lt;&gt;0,VLOOKUP($A254,'0.Productos'!$A$3:$GG$587,'0.Productos'!CV$1+1,0),"")</f>
        <v/>
      </c>
      <c r="BE254" s="133" t="str">
        <f>IF($A254&lt;&gt;0,VLOOKUP($A254,'0.Productos'!$A$3:$GG$587,'0.Productos'!CW$1+1,0),"")</f>
        <v/>
      </c>
      <c r="BF254" s="133" t="str">
        <f>IF($A254&lt;&gt;0,VLOOKUP($A254,'0.Productos'!$A$3:$GG$587,'0.Productos'!CX$1+1,0),"")</f>
        <v/>
      </c>
      <c r="BG254" s="133" t="str">
        <f>IF($A254&lt;&gt;0,VLOOKUP($A254,'0.Productos'!$A$3:$GG$587,'0.Productos'!CY$1+1,0),"")</f>
        <v/>
      </c>
      <c r="BH254" s="133" t="str">
        <f>IF($A254&lt;&gt;0,VLOOKUP($A254,'0.Productos'!$A$3:$GG$587,'0.Productos'!CZ$1+1,0),"")</f>
        <v/>
      </c>
      <c r="BI254" s="133" t="str">
        <f>IF($A254&lt;&gt;0,VLOOKUP($A254,'0.Productos'!$A$3:$GG$587,'0.Productos'!DA$1+1,0),"")</f>
        <v/>
      </c>
      <c r="BJ254" s="133" t="str">
        <f>IF($A254&lt;&gt;0,VLOOKUP($A254,'0.Productos'!$A$3:$GG$587,'0.Productos'!DB$1+1,0),"")</f>
        <v/>
      </c>
      <c r="BK254" s="133" t="str">
        <f>IF($A254&lt;&gt;0,VLOOKUP($A254,'0.Productos'!$A$3:$GG$587,'0.Productos'!DC$1+1,0),"")</f>
        <v/>
      </c>
      <c r="BL254" s="133" t="str">
        <f>IF($A254&lt;&gt;0,VLOOKUP($A254,'0.Productos'!$A$3:$GG$587,'0.Productos'!DD$1+1,0),"")</f>
        <v/>
      </c>
      <c r="BM254" s="133" t="str">
        <f>IF($A254&lt;&gt;0,VLOOKUP($A254,'0.Productos'!$A$3:$GG$587,'0.Productos'!DE$1+1,0),"")</f>
        <v/>
      </c>
      <c r="BN254" s="133" t="str">
        <f>IF($A254&lt;&gt;0,VLOOKUP($A254,'0.Productos'!$A$3:$GG$587,'0.Productos'!DF$1+1,0),"")</f>
        <v/>
      </c>
      <c r="BO254" s="133" t="str">
        <f>IF($A254&lt;&gt;0,VLOOKUP($A254,'0.Productos'!$A$3:$GG$587,'0.Productos'!DG$1+1,0),"")</f>
        <v/>
      </c>
      <c r="BP254" s="133" t="str">
        <f>IF($A254&lt;&gt;0,VLOOKUP($A254,'0.Productos'!$A$3:$GG$587,'0.Productos'!DH$1+1,0),"")</f>
        <v/>
      </c>
      <c r="BQ254" s="133" t="str">
        <f>IF($A254&lt;&gt;0,VLOOKUP($A254,'0.Productos'!$A$3:$GG$587,'0.Productos'!DI$1+1,0),"")</f>
        <v/>
      </c>
      <c r="BR254" s="133" t="str">
        <f>IF($A254&lt;&gt;0,VLOOKUP($A254,'0.Productos'!$A$3:$GG$587,'0.Productos'!DJ$1+1,0),"")</f>
        <v/>
      </c>
      <c r="BS254" s="133" t="str">
        <f>IF($A254&lt;&gt;0,VLOOKUP($A254,'0.Productos'!$A$3:$GG$587,'0.Productos'!DK$1+1,0),"")</f>
        <v/>
      </c>
      <c r="BT254" s="133" t="str">
        <f>IF($A254&lt;&gt;0,VLOOKUP($A254,'0.Productos'!$A$3:$GG$587,'0.Productos'!DL$1+1,0),"")</f>
        <v/>
      </c>
    </row>
    <row r="255" spans="1:72" x14ac:dyDescent="0.25">
      <c r="A255" s="17">
        <f>'0.Consolidado general'!A255</f>
        <v>0</v>
      </c>
      <c r="B255" s="133" t="str">
        <f>IF($A255&lt;&gt;0,VLOOKUP($A255,'0.Productos'!$A$3:$GG$587,'0.Productos'!AT$1+1,0),"")</f>
        <v/>
      </c>
      <c r="C255" s="133" t="str">
        <f>IF($A255&lt;&gt;0,VLOOKUP($A255,'0.Productos'!$A$3:$GG$587,'0.Productos'!AU$1+1,0),"")</f>
        <v/>
      </c>
      <c r="D255" s="133" t="str">
        <f>IF($A255&lt;&gt;0,VLOOKUP($A255,'0.Productos'!$A$3:$GG$587,'0.Productos'!AV$1+1,0),"")</f>
        <v/>
      </c>
      <c r="E255" s="133" t="str">
        <f>IF($A255&lt;&gt;0,VLOOKUP($A255,'0.Productos'!$A$3:$GG$587,'0.Productos'!AW$1+1,0),"")</f>
        <v/>
      </c>
      <c r="F255" s="133" t="str">
        <f>IF($A255&lt;&gt;0,VLOOKUP($A255,'0.Productos'!$A$3:$GG$587,'0.Productos'!AX$1+1,0),"")</f>
        <v/>
      </c>
      <c r="G255" s="133" t="str">
        <f>IF($A255&lt;&gt;0,VLOOKUP($A255,'0.Productos'!$A$3:$GG$587,'0.Productos'!AY$1+1,0),"")</f>
        <v/>
      </c>
      <c r="H255" s="133" t="str">
        <f>IF($A255&lt;&gt;0,VLOOKUP($A255,'0.Productos'!$A$3:$GG$587,'0.Productos'!AZ$1+1,0),"")</f>
        <v/>
      </c>
      <c r="I255" s="133" t="str">
        <f>IF($A255&lt;&gt;0,VLOOKUP($A255,'0.Productos'!$A$3:$GG$587,'0.Productos'!BA$1+1,0),"")</f>
        <v/>
      </c>
      <c r="J255" s="133" t="str">
        <f>IF($A255&lt;&gt;0,VLOOKUP($A255,'0.Productos'!$A$3:$GG$587,'0.Productos'!BB$1+1,0),"")</f>
        <v/>
      </c>
      <c r="K255" s="133" t="str">
        <f>IF($A255&lt;&gt;0,VLOOKUP($A255,'0.Productos'!$A$3:$GG$587,'0.Productos'!BC$1+1,0),"")</f>
        <v/>
      </c>
      <c r="L255" s="133" t="str">
        <f>IF($A255&lt;&gt;0,VLOOKUP($A255,'0.Productos'!$A$3:$GG$587,'0.Productos'!BD$1+1,0),"")</f>
        <v/>
      </c>
      <c r="M255" s="133" t="str">
        <f>IF($A255&lt;&gt;0,VLOOKUP($A255,'0.Productos'!$A$3:$GG$587,'0.Productos'!BE$1+1,0),"")</f>
        <v/>
      </c>
      <c r="N255" s="133" t="str">
        <f>IF($A255&lt;&gt;0,VLOOKUP($A255,'0.Productos'!$A$3:$GG$587,'0.Productos'!BF$1+1,0),"")</f>
        <v/>
      </c>
      <c r="O255" s="133" t="str">
        <f>IF($A255&lt;&gt;0,VLOOKUP($A255,'0.Productos'!$A$3:$GG$587,'0.Productos'!BG$1+1,0),"")</f>
        <v/>
      </c>
      <c r="P255" s="133" t="str">
        <f>IF($A255&lt;&gt;0,VLOOKUP($A255,'0.Productos'!$A$3:$GG$587,'0.Productos'!BH$1+1,0),"")</f>
        <v/>
      </c>
      <c r="Q255" s="133" t="str">
        <f>IF($A255&lt;&gt;0,VLOOKUP($A255,'0.Productos'!$A$3:$GG$587,'0.Productos'!BI$1+1,0),"")</f>
        <v/>
      </c>
      <c r="R255" s="133" t="str">
        <f>IF($A255&lt;&gt;0,VLOOKUP($A255,'0.Productos'!$A$3:$GG$587,'0.Productos'!BJ$1+1,0),"")</f>
        <v/>
      </c>
      <c r="S255" s="133" t="str">
        <f>IF($A255&lt;&gt;0,VLOOKUP($A255,'0.Productos'!$A$3:$GG$587,'0.Productos'!BK$1+1,0),"")</f>
        <v/>
      </c>
      <c r="T255" s="133" t="str">
        <f>IF($A255&lt;&gt;0,VLOOKUP($A255,'0.Productos'!$A$3:$GG$587,'0.Productos'!BL$1+1,0),"")</f>
        <v/>
      </c>
      <c r="U255" s="133" t="str">
        <f>IF($A255&lt;&gt;0,VLOOKUP($A255,'0.Productos'!$A$3:$GG$587,'0.Productos'!BM$1+1,0),"")</f>
        <v/>
      </c>
      <c r="V255" s="133" t="str">
        <f>IF($A255&lt;&gt;0,VLOOKUP($A255,'0.Productos'!$A$3:$GG$587,'0.Productos'!BN$1+1,0),"")</f>
        <v/>
      </c>
      <c r="W255" s="133" t="str">
        <f>IF($A255&lt;&gt;0,VLOOKUP($A255,'0.Productos'!$A$3:$GG$587,'0.Productos'!BO$1+1,0),"")</f>
        <v/>
      </c>
      <c r="X255" s="133" t="str">
        <f>IF($A255&lt;&gt;0,VLOOKUP($A255,'0.Productos'!$A$3:$GG$587,'0.Productos'!BP$1+1,0),"")</f>
        <v/>
      </c>
      <c r="Y255" s="133" t="str">
        <f>IF($A255&lt;&gt;0,VLOOKUP($A255,'0.Productos'!$A$3:$GG$587,'0.Productos'!BQ$1+1,0),"")</f>
        <v/>
      </c>
      <c r="Z255" s="133" t="str">
        <f>IF($A255&lt;&gt;0,VLOOKUP($A255,'0.Productos'!$A$3:$GG$587,'0.Productos'!BR$1+1,0),"")</f>
        <v/>
      </c>
      <c r="AA255" s="133" t="str">
        <f>IF($A255&lt;&gt;0,VLOOKUP($A255,'0.Productos'!$A$3:$GG$587,'0.Productos'!BS$1+1,0),"")</f>
        <v/>
      </c>
      <c r="AB255" s="133" t="str">
        <f>IF($A255&lt;&gt;0,VLOOKUP($A255,'0.Productos'!$A$3:$GG$587,'0.Productos'!BT$1+1,0),"")</f>
        <v/>
      </c>
      <c r="AC255" s="133" t="str">
        <f>IF($A255&lt;&gt;0,VLOOKUP($A255,'0.Productos'!$A$3:$GG$587,'0.Productos'!BU$1+1,0),"")</f>
        <v/>
      </c>
      <c r="AD255" s="133" t="str">
        <f>IF($A255&lt;&gt;0,VLOOKUP($A255,'0.Productos'!$A$3:$GG$587,'0.Productos'!BV$1+1,0),"")</f>
        <v/>
      </c>
      <c r="AE255" s="133" t="str">
        <f>IF($A255&lt;&gt;0,VLOOKUP($A255,'0.Productos'!$A$3:$GG$587,'0.Productos'!BW$1+1,0),"")</f>
        <v/>
      </c>
      <c r="AF255" s="133" t="str">
        <f>IF($A255&lt;&gt;0,VLOOKUP($A255,'0.Productos'!$A$3:$GG$587,'0.Productos'!BX$1+1,0),"")</f>
        <v/>
      </c>
      <c r="AG255" s="133" t="str">
        <f>IF($A255&lt;&gt;0,VLOOKUP($A255,'0.Productos'!$A$3:$GG$587,'0.Productos'!BY$1+1,0),"")</f>
        <v/>
      </c>
      <c r="AH255" s="133" t="str">
        <f>IF($A255&lt;&gt;0,VLOOKUP($A255,'0.Productos'!$A$3:$GG$587,'0.Productos'!BZ$1+1,0),"")</f>
        <v/>
      </c>
      <c r="AI255" s="133" t="str">
        <f>IF($A255&lt;&gt;0,VLOOKUP($A255,'0.Productos'!$A$3:$GG$587,'0.Productos'!CA$1+1,0),"")</f>
        <v/>
      </c>
      <c r="AJ255" s="133" t="str">
        <f>IF($A255&lt;&gt;0,VLOOKUP($A255,'0.Productos'!$A$3:$GG$587,'0.Productos'!CB$1+1,0),"")</f>
        <v/>
      </c>
      <c r="AK255" s="133" t="str">
        <f>IF($A255&lt;&gt;0,VLOOKUP($A255,'0.Productos'!$A$3:$GG$587,'0.Productos'!CC$1+1,0),"")</f>
        <v/>
      </c>
      <c r="AL255" s="133" t="str">
        <f>IF($A255&lt;&gt;0,VLOOKUP($A255,'0.Productos'!$A$3:$GG$587,'0.Productos'!CD$1+1,0),"")</f>
        <v/>
      </c>
      <c r="AM255" s="133" t="str">
        <f>IF($A255&lt;&gt;0,VLOOKUP($A255,'0.Productos'!$A$3:$GG$587,'0.Productos'!CE$1+1,0),"")</f>
        <v/>
      </c>
      <c r="AN255" s="133" t="str">
        <f>IF($A255&lt;&gt;0,VLOOKUP($A255,'0.Productos'!$A$3:$GG$587,'0.Productos'!CF$1+1,0),"")</f>
        <v/>
      </c>
      <c r="AO255" s="133" t="str">
        <f>IF($A255&lt;&gt;0,VLOOKUP($A255,'0.Productos'!$A$3:$GG$587,'0.Productos'!CG$1+1,0),"")</f>
        <v/>
      </c>
      <c r="AP255" s="133" t="str">
        <f>IF($A255&lt;&gt;0,VLOOKUP($A255,'0.Productos'!$A$3:$GG$587,'0.Productos'!CH$1+1,0),"")</f>
        <v/>
      </c>
      <c r="AQ255" s="133" t="str">
        <f>IF($A255&lt;&gt;0,VLOOKUP($A255,'0.Productos'!$A$3:$GG$587,'0.Productos'!CI$1+1,0),"")</f>
        <v/>
      </c>
      <c r="AR255" s="133" t="str">
        <f>IF($A255&lt;&gt;0,VLOOKUP($A255,'0.Productos'!$A$3:$GG$587,'0.Productos'!CJ$1+1,0),"")</f>
        <v/>
      </c>
      <c r="AS255" s="133" t="str">
        <f>IF($A255&lt;&gt;0,VLOOKUP($A255,'0.Productos'!$A$3:$GG$587,'0.Productos'!CK$1+1,0),"")</f>
        <v/>
      </c>
      <c r="AT255" s="133" t="str">
        <f>IF($A255&lt;&gt;0,VLOOKUP($A255,'0.Productos'!$A$3:$GG$587,'0.Productos'!CL$1+1,0),"")</f>
        <v/>
      </c>
      <c r="AU255" s="133" t="str">
        <f>IF($A255&lt;&gt;0,VLOOKUP($A255,'0.Productos'!$A$3:$GG$587,'0.Productos'!CM$1+1,0),"")</f>
        <v/>
      </c>
      <c r="AV255" s="133" t="str">
        <f>IF($A255&lt;&gt;0,VLOOKUP($A255,'0.Productos'!$A$3:$GG$587,'0.Productos'!CN$1+1,0),"")</f>
        <v/>
      </c>
      <c r="AW255" s="133" t="str">
        <f>IF($A255&lt;&gt;0,VLOOKUP($A255,'0.Productos'!$A$3:$GG$587,'0.Productos'!CO$1+1,0),"")</f>
        <v/>
      </c>
      <c r="AX255" s="133" t="str">
        <f>IF($A255&lt;&gt;0,VLOOKUP($A255,'0.Productos'!$A$3:$GG$587,'0.Productos'!CP$1+1,0),"")</f>
        <v/>
      </c>
      <c r="AY255" s="133" t="str">
        <f>IF($A255&lt;&gt;0,VLOOKUP($A255,'0.Productos'!$A$3:$GG$587,'0.Productos'!CQ$1+1,0),"")</f>
        <v/>
      </c>
      <c r="AZ255" s="133" t="str">
        <f>IF($A255&lt;&gt;0,VLOOKUP($A255,'0.Productos'!$A$3:$GG$587,'0.Productos'!CR$1+1,0),"")</f>
        <v/>
      </c>
      <c r="BA255" s="133" t="str">
        <f>IF($A255&lt;&gt;0,VLOOKUP($A255,'0.Productos'!$A$3:$GG$587,'0.Productos'!CS$1+1,0),"")</f>
        <v/>
      </c>
      <c r="BB255" s="133" t="str">
        <f>IF($A255&lt;&gt;0,VLOOKUP($A255,'0.Productos'!$A$3:$GG$587,'0.Productos'!CT$1+1,0),"")</f>
        <v/>
      </c>
      <c r="BC255" s="133" t="str">
        <f>IF($A255&lt;&gt;0,VLOOKUP($A255,'0.Productos'!$A$3:$GG$587,'0.Productos'!CU$1+1,0),"")</f>
        <v/>
      </c>
      <c r="BD255" s="133" t="str">
        <f>IF($A255&lt;&gt;0,VLOOKUP($A255,'0.Productos'!$A$3:$GG$587,'0.Productos'!CV$1+1,0),"")</f>
        <v/>
      </c>
      <c r="BE255" s="133" t="str">
        <f>IF($A255&lt;&gt;0,VLOOKUP($A255,'0.Productos'!$A$3:$GG$587,'0.Productos'!CW$1+1,0),"")</f>
        <v/>
      </c>
      <c r="BF255" s="133" t="str">
        <f>IF($A255&lt;&gt;0,VLOOKUP($A255,'0.Productos'!$A$3:$GG$587,'0.Productos'!CX$1+1,0),"")</f>
        <v/>
      </c>
      <c r="BG255" s="133" t="str">
        <f>IF($A255&lt;&gt;0,VLOOKUP($A255,'0.Productos'!$A$3:$GG$587,'0.Productos'!CY$1+1,0),"")</f>
        <v/>
      </c>
      <c r="BH255" s="133" t="str">
        <f>IF($A255&lt;&gt;0,VLOOKUP($A255,'0.Productos'!$A$3:$GG$587,'0.Productos'!CZ$1+1,0),"")</f>
        <v/>
      </c>
      <c r="BI255" s="133" t="str">
        <f>IF($A255&lt;&gt;0,VLOOKUP($A255,'0.Productos'!$A$3:$GG$587,'0.Productos'!DA$1+1,0),"")</f>
        <v/>
      </c>
      <c r="BJ255" s="133" t="str">
        <f>IF($A255&lt;&gt;0,VLOOKUP($A255,'0.Productos'!$A$3:$GG$587,'0.Productos'!DB$1+1,0),"")</f>
        <v/>
      </c>
      <c r="BK255" s="133" t="str">
        <f>IF($A255&lt;&gt;0,VLOOKUP($A255,'0.Productos'!$A$3:$GG$587,'0.Productos'!DC$1+1,0),"")</f>
        <v/>
      </c>
      <c r="BL255" s="133" t="str">
        <f>IF($A255&lt;&gt;0,VLOOKUP($A255,'0.Productos'!$A$3:$GG$587,'0.Productos'!DD$1+1,0),"")</f>
        <v/>
      </c>
      <c r="BM255" s="133" t="str">
        <f>IF($A255&lt;&gt;0,VLOOKUP($A255,'0.Productos'!$A$3:$GG$587,'0.Productos'!DE$1+1,0),"")</f>
        <v/>
      </c>
      <c r="BN255" s="133" t="str">
        <f>IF($A255&lt;&gt;0,VLOOKUP($A255,'0.Productos'!$A$3:$GG$587,'0.Productos'!DF$1+1,0),"")</f>
        <v/>
      </c>
      <c r="BO255" s="133" t="str">
        <f>IF($A255&lt;&gt;0,VLOOKUP($A255,'0.Productos'!$A$3:$GG$587,'0.Productos'!DG$1+1,0),"")</f>
        <v/>
      </c>
      <c r="BP255" s="133" t="str">
        <f>IF($A255&lt;&gt;0,VLOOKUP($A255,'0.Productos'!$A$3:$GG$587,'0.Productos'!DH$1+1,0),"")</f>
        <v/>
      </c>
      <c r="BQ255" s="133" t="str">
        <f>IF($A255&lt;&gt;0,VLOOKUP($A255,'0.Productos'!$A$3:$GG$587,'0.Productos'!DI$1+1,0),"")</f>
        <v/>
      </c>
      <c r="BR255" s="133" t="str">
        <f>IF($A255&lt;&gt;0,VLOOKUP($A255,'0.Productos'!$A$3:$GG$587,'0.Productos'!DJ$1+1,0),"")</f>
        <v/>
      </c>
      <c r="BS255" s="133" t="str">
        <f>IF($A255&lt;&gt;0,VLOOKUP($A255,'0.Productos'!$A$3:$GG$587,'0.Productos'!DK$1+1,0),"")</f>
        <v/>
      </c>
      <c r="BT255" s="133" t="str">
        <f>IF($A255&lt;&gt;0,VLOOKUP($A255,'0.Productos'!$A$3:$GG$587,'0.Productos'!DL$1+1,0),"")</f>
        <v/>
      </c>
    </row>
    <row r="256" spans="1:72" x14ac:dyDescent="0.25">
      <c r="A256" s="17">
        <f>'0.Consolidado general'!A256</f>
        <v>0</v>
      </c>
      <c r="B256" s="133" t="str">
        <f>IF($A256&lt;&gt;0,VLOOKUP($A256,'0.Productos'!$A$3:$GG$587,'0.Productos'!AT$1+1,0),"")</f>
        <v/>
      </c>
      <c r="C256" s="133" t="str">
        <f>IF($A256&lt;&gt;0,VLOOKUP($A256,'0.Productos'!$A$3:$GG$587,'0.Productos'!AU$1+1,0),"")</f>
        <v/>
      </c>
      <c r="D256" s="133" t="str">
        <f>IF($A256&lt;&gt;0,VLOOKUP($A256,'0.Productos'!$A$3:$GG$587,'0.Productos'!AV$1+1,0),"")</f>
        <v/>
      </c>
      <c r="E256" s="133" t="str">
        <f>IF($A256&lt;&gt;0,VLOOKUP($A256,'0.Productos'!$A$3:$GG$587,'0.Productos'!AW$1+1,0),"")</f>
        <v/>
      </c>
      <c r="F256" s="133" t="str">
        <f>IF($A256&lt;&gt;0,VLOOKUP($A256,'0.Productos'!$A$3:$GG$587,'0.Productos'!AX$1+1,0),"")</f>
        <v/>
      </c>
      <c r="G256" s="133" t="str">
        <f>IF($A256&lt;&gt;0,VLOOKUP($A256,'0.Productos'!$A$3:$GG$587,'0.Productos'!AY$1+1,0),"")</f>
        <v/>
      </c>
      <c r="H256" s="133" t="str">
        <f>IF($A256&lt;&gt;0,VLOOKUP($A256,'0.Productos'!$A$3:$GG$587,'0.Productos'!AZ$1+1,0),"")</f>
        <v/>
      </c>
      <c r="I256" s="133" t="str">
        <f>IF($A256&lt;&gt;0,VLOOKUP($A256,'0.Productos'!$A$3:$GG$587,'0.Productos'!BA$1+1,0),"")</f>
        <v/>
      </c>
      <c r="J256" s="133" t="str">
        <f>IF($A256&lt;&gt;0,VLOOKUP($A256,'0.Productos'!$A$3:$GG$587,'0.Productos'!BB$1+1,0),"")</f>
        <v/>
      </c>
      <c r="K256" s="133" t="str">
        <f>IF($A256&lt;&gt;0,VLOOKUP($A256,'0.Productos'!$A$3:$GG$587,'0.Productos'!BC$1+1,0),"")</f>
        <v/>
      </c>
      <c r="L256" s="133" t="str">
        <f>IF($A256&lt;&gt;0,VLOOKUP($A256,'0.Productos'!$A$3:$GG$587,'0.Productos'!BD$1+1,0),"")</f>
        <v/>
      </c>
      <c r="M256" s="133" t="str">
        <f>IF($A256&lt;&gt;0,VLOOKUP($A256,'0.Productos'!$A$3:$GG$587,'0.Productos'!BE$1+1,0),"")</f>
        <v/>
      </c>
      <c r="N256" s="133" t="str">
        <f>IF($A256&lt;&gt;0,VLOOKUP($A256,'0.Productos'!$A$3:$GG$587,'0.Productos'!BF$1+1,0),"")</f>
        <v/>
      </c>
      <c r="O256" s="133" t="str">
        <f>IF($A256&lt;&gt;0,VLOOKUP($A256,'0.Productos'!$A$3:$GG$587,'0.Productos'!BG$1+1,0),"")</f>
        <v/>
      </c>
      <c r="P256" s="133" t="str">
        <f>IF($A256&lt;&gt;0,VLOOKUP($A256,'0.Productos'!$A$3:$GG$587,'0.Productos'!BH$1+1,0),"")</f>
        <v/>
      </c>
      <c r="Q256" s="133" t="str">
        <f>IF($A256&lt;&gt;0,VLOOKUP($A256,'0.Productos'!$A$3:$GG$587,'0.Productos'!BI$1+1,0),"")</f>
        <v/>
      </c>
      <c r="R256" s="133" t="str">
        <f>IF($A256&lt;&gt;0,VLOOKUP($A256,'0.Productos'!$A$3:$GG$587,'0.Productos'!BJ$1+1,0),"")</f>
        <v/>
      </c>
      <c r="S256" s="133" t="str">
        <f>IF($A256&lt;&gt;0,VLOOKUP($A256,'0.Productos'!$A$3:$GG$587,'0.Productos'!BK$1+1,0),"")</f>
        <v/>
      </c>
      <c r="T256" s="133" t="str">
        <f>IF($A256&lt;&gt;0,VLOOKUP($A256,'0.Productos'!$A$3:$GG$587,'0.Productos'!BL$1+1,0),"")</f>
        <v/>
      </c>
      <c r="U256" s="133" t="str">
        <f>IF($A256&lt;&gt;0,VLOOKUP($A256,'0.Productos'!$A$3:$GG$587,'0.Productos'!BM$1+1,0),"")</f>
        <v/>
      </c>
      <c r="V256" s="133" t="str">
        <f>IF($A256&lt;&gt;0,VLOOKUP($A256,'0.Productos'!$A$3:$GG$587,'0.Productos'!BN$1+1,0),"")</f>
        <v/>
      </c>
      <c r="W256" s="133" t="str">
        <f>IF($A256&lt;&gt;0,VLOOKUP($A256,'0.Productos'!$A$3:$GG$587,'0.Productos'!BO$1+1,0),"")</f>
        <v/>
      </c>
      <c r="X256" s="133" t="str">
        <f>IF($A256&lt;&gt;0,VLOOKUP($A256,'0.Productos'!$A$3:$GG$587,'0.Productos'!BP$1+1,0),"")</f>
        <v/>
      </c>
      <c r="Y256" s="133" t="str">
        <f>IF($A256&lt;&gt;0,VLOOKUP($A256,'0.Productos'!$A$3:$GG$587,'0.Productos'!BQ$1+1,0),"")</f>
        <v/>
      </c>
      <c r="Z256" s="133" t="str">
        <f>IF($A256&lt;&gt;0,VLOOKUP($A256,'0.Productos'!$A$3:$GG$587,'0.Productos'!BR$1+1,0),"")</f>
        <v/>
      </c>
      <c r="AA256" s="133" t="str">
        <f>IF($A256&lt;&gt;0,VLOOKUP($A256,'0.Productos'!$A$3:$GG$587,'0.Productos'!BS$1+1,0),"")</f>
        <v/>
      </c>
      <c r="AB256" s="133" t="str">
        <f>IF($A256&lt;&gt;0,VLOOKUP($A256,'0.Productos'!$A$3:$GG$587,'0.Productos'!BT$1+1,0),"")</f>
        <v/>
      </c>
      <c r="AC256" s="133" t="str">
        <f>IF($A256&lt;&gt;0,VLOOKUP($A256,'0.Productos'!$A$3:$GG$587,'0.Productos'!BU$1+1,0),"")</f>
        <v/>
      </c>
      <c r="AD256" s="133" t="str">
        <f>IF($A256&lt;&gt;0,VLOOKUP($A256,'0.Productos'!$A$3:$GG$587,'0.Productos'!BV$1+1,0),"")</f>
        <v/>
      </c>
      <c r="AE256" s="133" t="str">
        <f>IF($A256&lt;&gt;0,VLOOKUP($A256,'0.Productos'!$A$3:$GG$587,'0.Productos'!BW$1+1,0),"")</f>
        <v/>
      </c>
      <c r="AF256" s="133" t="str">
        <f>IF($A256&lt;&gt;0,VLOOKUP($A256,'0.Productos'!$A$3:$GG$587,'0.Productos'!BX$1+1,0),"")</f>
        <v/>
      </c>
      <c r="AG256" s="133" t="str">
        <f>IF($A256&lt;&gt;0,VLOOKUP($A256,'0.Productos'!$A$3:$GG$587,'0.Productos'!BY$1+1,0),"")</f>
        <v/>
      </c>
      <c r="AH256" s="133" t="str">
        <f>IF($A256&lt;&gt;0,VLOOKUP($A256,'0.Productos'!$A$3:$GG$587,'0.Productos'!BZ$1+1,0),"")</f>
        <v/>
      </c>
      <c r="AI256" s="133" t="str">
        <f>IF($A256&lt;&gt;0,VLOOKUP($A256,'0.Productos'!$A$3:$GG$587,'0.Productos'!CA$1+1,0),"")</f>
        <v/>
      </c>
      <c r="AJ256" s="133" t="str">
        <f>IF($A256&lt;&gt;0,VLOOKUP($A256,'0.Productos'!$A$3:$GG$587,'0.Productos'!CB$1+1,0),"")</f>
        <v/>
      </c>
      <c r="AK256" s="133" t="str">
        <f>IF($A256&lt;&gt;0,VLOOKUP($A256,'0.Productos'!$A$3:$GG$587,'0.Productos'!CC$1+1,0),"")</f>
        <v/>
      </c>
      <c r="AL256" s="133" t="str">
        <f>IF($A256&lt;&gt;0,VLOOKUP($A256,'0.Productos'!$A$3:$GG$587,'0.Productos'!CD$1+1,0),"")</f>
        <v/>
      </c>
      <c r="AM256" s="133" t="str">
        <f>IF($A256&lt;&gt;0,VLOOKUP($A256,'0.Productos'!$A$3:$GG$587,'0.Productos'!CE$1+1,0),"")</f>
        <v/>
      </c>
      <c r="AN256" s="133" t="str">
        <f>IF($A256&lt;&gt;0,VLOOKUP($A256,'0.Productos'!$A$3:$GG$587,'0.Productos'!CF$1+1,0),"")</f>
        <v/>
      </c>
      <c r="AO256" s="133" t="str">
        <f>IF($A256&lt;&gt;0,VLOOKUP($A256,'0.Productos'!$A$3:$GG$587,'0.Productos'!CG$1+1,0),"")</f>
        <v/>
      </c>
      <c r="AP256" s="133" t="str">
        <f>IF($A256&lt;&gt;0,VLOOKUP($A256,'0.Productos'!$A$3:$GG$587,'0.Productos'!CH$1+1,0),"")</f>
        <v/>
      </c>
      <c r="AQ256" s="133" t="str">
        <f>IF($A256&lt;&gt;0,VLOOKUP($A256,'0.Productos'!$A$3:$GG$587,'0.Productos'!CI$1+1,0),"")</f>
        <v/>
      </c>
      <c r="AR256" s="133" t="str">
        <f>IF($A256&lt;&gt;0,VLOOKUP($A256,'0.Productos'!$A$3:$GG$587,'0.Productos'!CJ$1+1,0),"")</f>
        <v/>
      </c>
      <c r="AS256" s="133" t="str">
        <f>IF($A256&lt;&gt;0,VLOOKUP($A256,'0.Productos'!$A$3:$GG$587,'0.Productos'!CK$1+1,0),"")</f>
        <v/>
      </c>
      <c r="AT256" s="133" t="str">
        <f>IF($A256&lt;&gt;0,VLOOKUP($A256,'0.Productos'!$A$3:$GG$587,'0.Productos'!CL$1+1,0),"")</f>
        <v/>
      </c>
      <c r="AU256" s="133" t="str">
        <f>IF($A256&lt;&gt;0,VLOOKUP($A256,'0.Productos'!$A$3:$GG$587,'0.Productos'!CM$1+1,0),"")</f>
        <v/>
      </c>
      <c r="AV256" s="133" t="str">
        <f>IF($A256&lt;&gt;0,VLOOKUP($A256,'0.Productos'!$A$3:$GG$587,'0.Productos'!CN$1+1,0),"")</f>
        <v/>
      </c>
      <c r="AW256" s="133" t="str">
        <f>IF($A256&lt;&gt;0,VLOOKUP($A256,'0.Productos'!$A$3:$GG$587,'0.Productos'!CO$1+1,0),"")</f>
        <v/>
      </c>
      <c r="AX256" s="133" t="str">
        <f>IF($A256&lt;&gt;0,VLOOKUP($A256,'0.Productos'!$A$3:$GG$587,'0.Productos'!CP$1+1,0),"")</f>
        <v/>
      </c>
      <c r="AY256" s="133" t="str">
        <f>IF($A256&lt;&gt;0,VLOOKUP($A256,'0.Productos'!$A$3:$GG$587,'0.Productos'!CQ$1+1,0),"")</f>
        <v/>
      </c>
      <c r="AZ256" s="133" t="str">
        <f>IF($A256&lt;&gt;0,VLOOKUP($A256,'0.Productos'!$A$3:$GG$587,'0.Productos'!CR$1+1,0),"")</f>
        <v/>
      </c>
      <c r="BA256" s="133" t="str">
        <f>IF($A256&lt;&gt;0,VLOOKUP($A256,'0.Productos'!$A$3:$GG$587,'0.Productos'!CS$1+1,0),"")</f>
        <v/>
      </c>
      <c r="BB256" s="133" t="str">
        <f>IF($A256&lt;&gt;0,VLOOKUP($A256,'0.Productos'!$A$3:$GG$587,'0.Productos'!CT$1+1,0),"")</f>
        <v/>
      </c>
      <c r="BC256" s="133" t="str">
        <f>IF($A256&lt;&gt;0,VLOOKUP($A256,'0.Productos'!$A$3:$GG$587,'0.Productos'!CU$1+1,0),"")</f>
        <v/>
      </c>
      <c r="BD256" s="133" t="str">
        <f>IF($A256&lt;&gt;0,VLOOKUP($A256,'0.Productos'!$A$3:$GG$587,'0.Productos'!CV$1+1,0),"")</f>
        <v/>
      </c>
      <c r="BE256" s="133" t="str">
        <f>IF($A256&lt;&gt;0,VLOOKUP($A256,'0.Productos'!$A$3:$GG$587,'0.Productos'!CW$1+1,0),"")</f>
        <v/>
      </c>
      <c r="BF256" s="133" t="str">
        <f>IF($A256&lt;&gt;0,VLOOKUP($A256,'0.Productos'!$A$3:$GG$587,'0.Productos'!CX$1+1,0),"")</f>
        <v/>
      </c>
      <c r="BG256" s="133" t="str">
        <f>IF($A256&lt;&gt;0,VLOOKUP($A256,'0.Productos'!$A$3:$GG$587,'0.Productos'!CY$1+1,0),"")</f>
        <v/>
      </c>
      <c r="BH256" s="133" t="str">
        <f>IF($A256&lt;&gt;0,VLOOKUP($A256,'0.Productos'!$A$3:$GG$587,'0.Productos'!CZ$1+1,0),"")</f>
        <v/>
      </c>
      <c r="BI256" s="133" t="str">
        <f>IF($A256&lt;&gt;0,VLOOKUP($A256,'0.Productos'!$A$3:$GG$587,'0.Productos'!DA$1+1,0),"")</f>
        <v/>
      </c>
      <c r="BJ256" s="133" t="str">
        <f>IF($A256&lt;&gt;0,VLOOKUP($A256,'0.Productos'!$A$3:$GG$587,'0.Productos'!DB$1+1,0),"")</f>
        <v/>
      </c>
      <c r="BK256" s="133" t="str">
        <f>IF($A256&lt;&gt;0,VLOOKUP($A256,'0.Productos'!$A$3:$GG$587,'0.Productos'!DC$1+1,0),"")</f>
        <v/>
      </c>
      <c r="BL256" s="133" t="str">
        <f>IF($A256&lt;&gt;0,VLOOKUP($A256,'0.Productos'!$A$3:$GG$587,'0.Productos'!DD$1+1,0),"")</f>
        <v/>
      </c>
      <c r="BM256" s="133" t="str">
        <f>IF($A256&lt;&gt;0,VLOOKUP($A256,'0.Productos'!$A$3:$GG$587,'0.Productos'!DE$1+1,0),"")</f>
        <v/>
      </c>
      <c r="BN256" s="133" t="str">
        <f>IF($A256&lt;&gt;0,VLOOKUP($A256,'0.Productos'!$A$3:$GG$587,'0.Productos'!DF$1+1,0),"")</f>
        <v/>
      </c>
      <c r="BO256" s="133" t="str">
        <f>IF($A256&lt;&gt;0,VLOOKUP($A256,'0.Productos'!$A$3:$GG$587,'0.Productos'!DG$1+1,0),"")</f>
        <v/>
      </c>
      <c r="BP256" s="133" t="str">
        <f>IF($A256&lt;&gt;0,VLOOKUP($A256,'0.Productos'!$A$3:$GG$587,'0.Productos'!DH$1+1,0),"")</f>
        <v/>
      </c>
      <c r="BQ256" s="133" t="str">
        <f>IF($A256&lt;&gt;0,VLOOKUP($A256,'0.Productos'!$A$3:$GG$587,'0.Productos'!DI$1+1,0),"")</f>
        <v/>
      </c>
      <c r="BR256" s="133" t="str">
        <f>IF($A256&lt;&gt;0,VLOOKUP($A256,'0.Productos'!$A$3:$GG$587,'0.Productos'!DJ$1+1,0),"")</f>
        <v/>
      </c>
      <c r="BS256" s="133" t="str">
        <f>IF($A256&lt;&gt;0,VLOOKUP($A256,'0.Productos'!$A$3:$GG$587,'0.Productos'!DK$1+1,0),"")</f>
        <v/>
      </c>
      <c r="BT256" s="133" t="str">
        <f>IF($A256&lt;&gt;0,VLOOKUP($A256,'0.Productos'!$A$3:$GG$587,'0.Productos'!DL$1+1,0),"")</f>
        <v/>
      </c>
    </row>
    <row r="257" spans="1:72" x14ac:dyDescent="0.25">
      <c r="A257" s="17">
        <f>'0.Consolidado general'!A257</f>
        <v>0</v>
      </c>
      <c r="B257" s="133" t="str">
        <f>IF($A257&lt;&gt;0,VLOOKUP($A257,'0.Productos'!$A$3:$GG$587,'0.Productos'!AT$1+1,0),"")</f>
        <v/>
      </c>
      <c r="C257" s="133" t="str">
        <f>IF($A257&lt;&gt;0,VLOOKUP($A257,'0.Productos'!$A$3:$GG$587,'0.Productos'!AU$1+1,0),"")</f>
        <v/>
      </c>
      <c r="D257" s="133" t="str">
        <f>IF($A257&lt;&gt;0,VLOOKUP($A257,'0.Productos'!$A$3:$GG$587,'0.Productos'!AV$1+1,0),"")</f>
        <v/>
      </c>
      <c r="E257" s="133" t="str">
        <f>IF($A257&lt;&gt;0,VLOOKUP($A257,'0.Productos'!$A$3:$GG$587,'0.Productos'!AW$1+1,0),"")</f>
        <v/>
      </c>
      <c r="F257" s="133" t="str">
        <f>IF($A257&lt;&gt;0,VLOOKUP($A257,'0.Productos'!$A$3:$GG$587,'0.Productos'!AX$1+1,0),"")</f>
        <v/>
      </c>
      <c r="G257" s="133" t="str">
        <f>IF($A257&lt;&gt;0,VLOOKUP($A257,'0.Productos'!$A$3:$GG$587,'0.Productos'!AY$1+1,0),"")</f>
        <v/>
      </c>
      <c r="H257" s="133" t="str">
        <f>IF($A257&lt;&gt;0,VLOOKUP($A257,'0.Productos'!$A$3:$GG$587,'0.Productos'!AZ$1+1,0),"")</f>
        <v/>
      </c>
      <c r="I257" s="133" t="str">
        <f>IF($A257&lt;&gt;0,VLOOKUP($A257,'0.Productos'!$A$3:$GG$587,'0.Productos'!BA$1+1,0),"")</f>
        <v/>
      </c>
      <c r="J257" s="133" t="str">
        <f>IF($A257&lt;&gt;0,VLOOKUP($A257,'0.Productos'!$A$3:$GG$587,'0.Productos'!BB$1+1,0),"")</f>
        <v/>
      </c>
      <c r="K257" s="133" t="str">
        <f>IF($A257&lt;&gt;0,VLOOKUP($A257,'0.Productos'!$A$3:$GG$587,'0.Productos'!BC$1+1,0),"")</f>
        <v/>
      </c>
      <c r="L257" s="133" t="str">
        <f>IF($A257&lt;&gt;0,VLOOKUP($A257,'0.Productos'!$A$3:$GG$587,'0.Productos'!BD$1+1,0),"")</f>
        <v/>
      </c>
      <c r="M257" s="133" t="str">
        <f>IF($A257&lt;&gt;0,VLOOKUP($A257,'0.Productos'!$A$3:$GG$587,'0.Productos'!BE$1+1,0),"")</f>
        <v/>
      </c>
      <c r="N257" s="133" t="str">
        <f>IF($A257&lt;&gt;0,VLOOKUP($A257,'0.Productos'!$A$3:$GG$587,'0.Productos'!BF$1+1,0),"")</f>
        <v/>
      </c>
      <c r="O257" s="133" t="str">
        <f>IF($A257&lt;&gt;0,VLOOKUP($A257,'0.Productos'!$A$3:$GG$587,'0.Productos'!BG$1+1,0),"")</f>
        <v/>
      </c>
      <c r="P257" s="133" t="str">
        <f>IF($A257&lt;&gt;0,VLOOKUP($A257,'0.Productos'!$A$3:$GG$587,'0.Productos'!BH$1+1,0),"")</f>
        <v/>
      </c>
      <c r="Q257" s="133" t="str">
        <f>IF($A257&lt;&gt;0,VLOOKUP($A257,'0.Productos'!$A$3:$GG$587,'0.Productos'!BI$1+1,0),"")</f>
        <v/>
      </c>
      <c r="R257" s="133" t="str">
        <f>IF($A257&lt;&gt;0,VLOOKUP($A257,'0.Productos'!$A$3:$GG$587,'0.Productos'!BJ$1+1,0),"")</f>
        <v/>
      </c>
      <c r="S257" s="133" t="str">
        <f>IF($A257&lt;&gt;0,VLOOKUP($A257,'0.Productos'!$A$3:$GG$587,'0.Productos'!BK$1+1,0),"")</f>
        <v/>
      </c>
      <c r="T257" s="133" t="str">
        <f>IF($A257&lt;&gt;0,VLOOKUP($A257,'0.Productos'!$A$3:$GG$587,'0.Productos'!BL$1+1,0),"")</f>
        <v/>
      </c>
      <c r="U257" s="133" t="str">
        <f>IF($A257&lt;&gt;0,VLOOKUP($A257,'0.Productos'!$A$3:$GG$587,'0.Productos'!BM$1+1,0),"")</f>
        <v/>
      </c>
      <c r="V257" s="133" t="str">
        <f>IF($A257&lt;&gt;0,VLOOKUP($A257,'0.Productos'!$A$3:$GG$587,'0.Productos'!BN$1+1,0),"")</f>
        <v/>
      </c>
      <c r="W257" s="133" t="str">
        <f>IF($A257&lt;&gt;0,VLOOKUP($A257,'0.Productos'!$A$3:$GG$587,'0.Productos'!BO$1+1,0),"")</f>
        <v/>
      </c>
      <c r="X257" s="133" t="str">
        <f>IF($A257&lt;&gt;0,VLOOKUP($A257,'0.Productos'!$A$3:$GG$587,'0.Productos'!BP$1+1,0),"")</f>
        <v/>
      </c>
      <c r="Y257" s="133" t="str">
        <f>IF($A257&lt;&gt;0,VLOOKUP($A257,'0.Productos'!$A$3:$GG$587,'0.Productos'!BQ$1+1,0),"")</f>
        <v/>
      </c>
      <c r="Z257" s="133" t="str">
        <f>IF($A257&lt;&gt;0,VLOOKUP($A257,'0.Productos'!$A$3:$GG$587,'0.Productos'!BR$1+1,0),"")</f>
        <v/>
      </c>
      <c r="AA257" s="133" t="str">
        <f>IF($A257&lt;&gt;0,VLOOKUP($A257,'0.Productos'!$A$3:$GG$587,'0.Productos'!BS$1+1,0),"")</f>
        <v/>
      </c>
      <c r="AB257" s="133" t="str">
        <f>IF($A257&lt;&gt;0,VLOOKUP($A257,'0.Productos'!$A$3:$GG$587,'0.Productos'!BT$1+1,0),"")</f>
        <v/>
      </c>
      <c r="AC257" s="133" t="str">
        <f>IF($A257&lt;&gt;0,VLOOKUP($A257,'0.Productos'!$A$3:$GG$587,'0.Productos'!BU$1+1,0),"")</f>
        <v/>
      </c>
      <c r="AD257" s="133" t="str">
        <f>IF($A257&lt;&gt;0,VLOOKUP($A257,'0.Productos'!$A$3:$GG$587,'0.Productos'!BV$1+1,0),"")</f>
        <v/>
      </c>
      <c r="AE257" s="133" t="str">
        <f>IF($A257&lt;&gt;0,VLOOKUP($A257,'0.Productos'!$A$3:$GG$587,'0.Productos'!BW$1+1,0),"")</f>
        <v/>
      </c>
      <c r="AF257" s="133" t="str">
        <f>IF($A257&lt;&gt;0,VLOOKUP($A257,'0.Productos'!$A$3:$GG$587,'0.Productos'!BX$1+1,0),"")</f>
        <v/>
      </c>
      <c r="AG257" s="133" t="str">
        <f>IF($A257&lt;&gt;0,VLOOKUP($A257,'0.Productos'!$A$3:$GG$587,'0.Productos'!BY$1+1,0),"")</f>
        <v/>
      </c>
      <c r="AH257" s="133" t="str">
        <f>IF($A257&lt;&gt;0,VLOOKUP($A257,'0.Productos'!$A$3:$GG$587,'0.Productos'!BZ$1+1,0),"")</f>
        <v/>
      </c>
      <c r="AI257" s="133" t="str">
        <f>IF($A257&lt;&gt;0,VLOOKUP($A257,'0.Productos'!$A$3:$GG$587,'0.Productos'!CA$1+1,0),"")</f>
        <v/>
      </c>
      <c r="AJ257" s="133" t="str">
        <f>IF($A257&lt;&gt;0,VLOOKUP($A257,'0.Productos'!$A$3:$GG$587,'0.Productos'!CB$1+1,0),"")</f>
        <v/>
      </c>
      <c r="AK257" s="133" t="str">
        <f>IF($A257&lt;&gt;0,VLOOKUP($A257,'0.Productos'!$A$3:$GG$587,'0.Productos'!CC$1+1,0),"")</f>
        <v/>
      </c>
      <c r="AL257" s="133" t="str">
        <f>IF($A257&lt;&gt;0,VLOOKUP($A257,'0.Productos'!$A$3:$GG$587,'0.Productos'!CD$1+1,0),"")</f>
        <v/>
      </c>
      <c r="AM257" s="133" t="str">
        <f>IF($A257&lt;&gt;0,VLOOKUP($A257,'0.Productos'!$A$3:$GG$587,'0.Productos'!CE$1+1,0),"")</f>
        <v/>
      </c>
      <c r="AN257" s="133" t="str">
        <f>IF($A257&lt;&gt;0,VLOOKUP($A257,'0.Productos'!$A$3:$GG$587,'0.Productos'!CF$1+1,0),"")</f>
        <v/>
      </c>
      <c r="AO257" s="133" t="str">
        <f>IF($A257&lt;&gt;0,VLOOKUP($A257,'0.Productos'!$A$3:$GG$587,'0.Productos'!CG$1+1,0),"")</f>
        <v/>
      </c>
      <c r="AP257" s="133" t="str">
        <f>IF($A257&lt;&gt;0,VLOOKUP($A257,'0.Productos'!$A$3:$GG$587,'0.Productos'!CH$1+1,0),"")</f>
        <v/>
      </c>
      <c r="AQ257" s="133" t="str">
        <f>IF($A257&lt;&gt;0,VLOOKUP($A257,'0.Productos'!$A$3:$GG$587,'0.Productos'!CI$1+1,0),"")</f>
        <v/>
      </c>
      <c r="AR257" s="133" t="str">
        <f>IF($A257&lt;&gt;0,VLOOKUP($A257,'0.Productos'!$A$3:$GG$587,'0.Productos'!CJ$1+1,0),"")</f>
        <v/>
      </c>
      <c r="AS257" s="133" t="str">
        <f>IF($A257&lt;&gt;0,VLOOKUP($A257,'0.Productos'!$A$3:$GG$587,'0.Productos'!CK$1+1,0),"")</f>
        <v/>
      </c>
      <c r="AT257" s="133" t="str">
        <f>IF($A257&lt;&gt;0,VLOOKUP($A257,'0.Productos'!$A$3:$GG$587,'0.Productos'!CL$1+1,0),"")</f>
        <v/>
      </c>
      <c r="AU257" s="133" t="str">
        <f>IF($A257&lt;&gt;0,VLOOKUP($A257,'0.Productos'!$A$3:$GG$587,'0.Productos'!CM$1+1,0),"")</f>
        <v/>
      </c>
      <c r="AV257" s="133" t="str">
        <f>IF($A257&lt;&gt;0,VLOOKUP($A257,'0.Productos'!$A$3:$GG$587,'0.Productos'!CN$1+1,0),"")</f>
        <v/>
      </c>
      <c r="AW257" s="133" t="str">
        <f>IF($A257&lt;&gt;0,VLOOKUP($A257,'0.Productos'!$A$3:$GG$587,'0.Productos'!CO$1+1,0),"")</f>
        <v/>
      </c>
      <c r="AX257" s="133" t="str">
        <f>IF($A257&lt;&gt;0,VLOOKUP($A257,'0.Productos'!$A$3:$GG$587,'0.Productos'!CP$1+1,0),"")</f>
        <v/>
      </c>
      <c r="AY257" s="133" t="str">
        <f>IF($A257&lt;&gt;0,VLOOKUP($A257,'0.Productos'!$A$3:$GG$587,'0.Productos'!CQ$1+1,0),"")</f>
        <v/>
      </c>
      <c r="AZ257" s="133" t="str">
        <f>IF($A257&lt;&gt;0,VLOOKUP($A257,'0.Productos'!$A$3:$GG$587,'0.Productos'!CR$1+1,0),"")</f>
        <v/>
      </c>
      <c r="BA257" s="133" t="str">
        <f>IF($A257&lt;&gt;0,VLOOKUP($A257,'0.Productos'!$A$3:$GG$587,'0.Productos'!CS$1+1,0),"")</f>
        <v/>
      </c>
      <c r="BB257" s="133" t="str">
        <f>IF($A257&lt;&gt;0,VLOOKUP($A257,'0.Productos'!$A$3:$GG$587,'0.Productos'!CT$1+1,0),"")</f>
        <v/>
      </c>
      <c r="BC257" s="133" t="str">
        <f>IF($A257&lt;&gt;0,VLOOKUP($A257,'0.Productos'!$A$3:$GG$587,'0.Productos'!CU$1+1,0),"")</f>
        <v/>
      </c>
      <c r="BD257" s="133" t="str">
        <f>IF($A257&lt;&gt;0,VLOOKUP($A257,'0.Productos'!$A$3:$GG$587,'0.Productos'!CV$1+1,0),"")</f>
        <v/>
      </c>
      <c r="BE257" s="133" t="str">
        <f>IF($A257&lt;&gt;0,VLOOKUP($A257,'0.Productos'!$A$3:$GG$587,'0.Productos'!CW$1+1,0),"")</f>
        <v/>
      </c>
      <c r="BF257" s="133" t="str">
        <f>IF($A257&lt;&gt;0,VLOOKUP($A257,'0.Productos'!$A$3:$GG$587,'0.Productos'!CX$1+1,0),"")</f>
        <v/>
      </c>
      <c r="BG257" s="133" t="str">
        <f>IF($A257&lt;&gt;0,VLOOKUP($A257,'0.Productos'!$A$3:$GG$587,'0.Productos'!CY$1+1,0),"")</f>
        <v/>
      </c>
      <c r="BH257" s="133" t="str">
        <f>IF($A257&lt;&gt;0,VLOOKUP($A257,'0.Productos'!$A$3:$GG$587,'0.Productos'!CZ$1+1,0),"")</f>
        <v/>
      </c>
      <c r="BI257" s="133" t="str">
        <f>IF($A257&lt;&gt;0,VLOOKUP($A257,'0.Productos'!$A$3:$GG$587,'0.Productos'!DA$1+1,0),"")</f>
        <v/>
      </c>
      <c r="BJ257" s="133" t="str">
        <f>IF($A257&lt;&gt;0,VLOOKUP($A257,'0.Productos'!$A$3:$GG$587,'0.Productos'!DB$1+1,0),"")</f>
        <v/>
      </c>
      <c r="BK257" s="133" t="str">
        <f>IF($A257&lt;&gt;0,VLOOKUP($A257,'0.Productos'!$A$3:$GG$587,'0.Productos'!DC$1+1,0),"")</f>
        <v/>
      </c>
      <c r="BL257" s="133" t="str">
        <f>IF($A257&lt;&gt;0,VLOOKUP($A257,'0.Productos'!$A$3:$GG$587,'0.Productos'!DD$1+1,0),"")</f>
        <v/>
      </c>
      <c r="BM257" s="133" t="str">
        <f>IF($A257&lt;&gt;0,VLOOKUP($A257,'0.Productos'!$A$3:$GG$587,'0.Productos'!DE$1+1,0),"")</f>
        <v/>
      </c>
      <c r="BN257" s="133" t="str">
        <f>IF($A257&lt;&gt;0,VLOOKUP($A257,'0.Productos'!$A$3:$GG$587,'0.Productos'!DF$1+1,0),"")</f>
        <v/>
      </c>
      <c r="BO257" s="133" t="str">
        <f>IF($A257&lt;&gt;0,VLOOKUP($A257,'0.Productos'!$A$3:$GG$587,'0.Productos'!DG$1+1,0),"")</f>
        <v/>
      </c>
      <c r="BP257" s="133" t="str">
        <f>IF($A257&lt;&gt;0,VLOOKUP($A257,'0.Productos'!$A$3:$GG$587,'0.Productos'!DH$1+1,0),"")</f>
        <v/>
      </c>
      <c r="BQ257" s="133" t="str">
        <f>IF($A257&lt;&gt;0,VLOOKUP($A257,'0.Productos'!$A$3:$GG$587,'0.Productos'!DI$1+1,0),"")</f>
        <v/>
      </c>
      <c r="BR257" s="133" t="str">
        <f>IF($A257&lt;&gt;0,VLOOKUP($A257,'0.Productos'!$A$3:$GG$587,'0.Productos'!DJ$1+1,0),"")</f>
        <v/>
      </c>
      <c r="BS257" s="133" t="str">
        <f>IF($A257&lt;&gt;0,VLOOKUP($A257,'0.Productos'!$A$3:$GG$587,'0.Productos'!DK$1+1,0),"")</f>
        <v/>
      </c>
      <c r="BT257" s="133" t="str">
        <f>IF($A257&lt;&gt;0,VLOOKUP($A257,'0.Productos'!$A$3:$GG$587,'0.Productos'!DL$1+1,0),"")</f>
        <v/>
      </c>
    </row>
    <row r="258" spans="1:72" x14ac:dyDescent="0.25">
      <c r="A258" s="17">
        <f>'0.Consolidado general'!A258</f>
        <v>0</v>
      </c>
      <c r="B258" s="133" t="str">
        <f>IF($A258&lt;&gt;0,VLOOKUP($A258,'0.Productos'!$A$3:$GG$587,'0.Productos'!AT$1+1,0),"")</f>
        <v/>
      </c>
      <c r="C258" s="133" t="str">
        <f>IF($A258&lt;&gt;0,VLOOKUP($A258,'0.Productos'!$A$3:$GG$587,'0.Productos'!AU$1+1,0),"")</f>
        <v/>
      </c>
      <c r="D258" s="133" t="str">
        <f>IF($A258&lt;&gt;0,VLOOKUP($A258,'0.Productos'!$A$3:$GG$587,'0.Productos'!AV$1+1,0),"")</f>
        <v/>
      </c>
      <c r="E258" s="133" t="str">
        <f>IF($A258&lt;&gt;0,VLOOKUP($A258,'0.Productos'!$A$3:$GG$587,'0.Productos'!AW$1+1,0),"")</f>
        <v/>
      </c>
      <c r="F258" s="133" t="str">
        <f>IF($A258&lt;&gt;0,VLOOKUP($A258,'0.Productos'!$A$3:$GG$587,'0.Productos'!AX$1+1,0),"")</f>
        <v/>
      </c>
      <c r="G258" s="133" t="str">
        <f>IF($A258&lt;&gt;0,VLOOKUP($A258,'0.Productos'!$A$3:$GG$587,'0.Productos'!AY$1+1,0),"")</f>
        <v/>
      </c>
      <c r="H258" s="133" t="str">
        <f>IF($A258&lt;&gt;0,VLOOKUP($A258,'0.Productos'!$A$3:$GG$587,'0.Productos'!AZ$1+1,0),"")</f>
        <v/>
      </c>
      <c r="I258" s="133" t="str">
        <f>IF($A258&lt;&gt;0,VLOOKUP($A258,'0.Productos'!$A$3:$GG$587,'0.Productos'!BA$1+1,0),"")</f>
        <v/>
      </c>
      <c r="J258" s="133" t="str">
        <f>IF($A258&lt;&gt;0,VLOOKUP($A258,'0.Productos'!$A$3:$GG$587,'0.Productos'!BB$1+1,0),"")</f>
        <v/>
      </c>
      <c r="K258" s="133" t="str">
        <f>IF($A258&lt;&gt;0,VLOOKUP($A258,'0.Productos'!$A$3:$GG$587,'0.Productos'!BC$1+1,0),"")</f>
        <v/>
      </c>
      <c r="L258" s="133" t="str">
        <f>IF($A258&lt;&gt;0,VLOOKUP($A258,'0.Productos'!$A$3:$GG$587,'0.Productos'!BD$1+1,0),"")</f>
        <v/>
      </c>
      <c r="M258" s="133" t="str">
        <f>IF($A258&lt;&gt;0,VLOOKUP($A258,'0.Productos'!$A$3:$GG$587,'0.Productos'!BE$1+1,0),"")</f>
        <v/>
      </c>
      <c r="N258" s="133" t="str">
        <f>IF($A258&lt;&gt;0,VLOOKUP($A258,'0.Productos'!$A$3:$GG$587,'0.Productos'!BF$1+1,0),"")</f>
        <v/>
      </c>
      <c r="O258" s="133" t="str">
        <f>IF($A258&lt;&gt;0,VLOOKUP($A258,'0.Productos'!$A$3:$GG$587,'0.Productos'!BG$1+1,0),"")</f>
        <v/>
      </c>
      <c r="P258" s="133" t="str">
        <f>IF($A258&lt;&gt;0,VLOOKUP($A258,'0.Productos'!$A$3:$GG$587,'0.Productos'!BH$1+1,0),"")</f>
        <v/>
      </c>
      <c r="Q258" s="133" t="str">
        <f>IF($A258&lt;&gt;0,VLOOKUP($A258,'0.Productos'!$A$3:$GG$587,'0.Productos'!BI$1+1,0),"")</f>
        <v/>
      </c>
      <c r="R258" s="133" t="str">
        <f>IF($A258&lt;&gt;0,VLOOKUP($A258,'0.Productos'!$A$3:$GG$587,'0.Productos'!BJ$1+1,0),"")</f>
        <v/>
      </c>
      <c r="S258" s="133" t="str">
        <f>IF($A258&lt;&gt;0,VLOOKUP($A258,'0.Productos'!$A$3:$GG$587,'0.Productos'!BK$1+1,0),"")</f>
        <v/>
      </c>
      <c r="T258" s="133" t="str">
        <f>IF($A258&lt;&gt;0,VLOOKUP($A258,'0.Productos'!$A$3:$GG$587,'0.Productos'!BL$1+1,0),"")</f>
        <v/>
      </c>
      <c r="U258" s="133" t="str">
        <f>IF($A258&lt;&gt;0,VLOOKUP($A258,'0.Productos'!$A$3:$GG$587,'0.Productos'!BM$1+1,0),"")</f>
        <v/>
      </c>
      <c r="V258" s="133" t="str">
        <f>IF($A258&lt;&gt;0,VLOOKUP($A258,'0.Productos'!$A$3:$GG$587,'0.Productos'!BN$1+1,0),"")</f>
        <v/>
      </c>
      <c r="W258" s="133" t="str">
        <f>IF($A258&lt;&gt;0,VLOOKUP($A258,'0.Productos'!$A$3:$GG$587,'0.Productos'!BO$1+1,0),"")</f>
        <v/>
      </c>
      <c r="X258" s="133" t="str">
        <f>IF($A258&lt;&gt;0,VLOOKUP($A258,'0.Productos'!$A$3:$GG$587,'0.Productos'!BP$1+1,0),"")</f>
        <v/>
      </c>
      <c r="Y258" s="133" t="str">
        <f>IF($A258&lt;&gt;0,VLOOKUP($A258,'0.Productos'!$A$3:$GG$587,'0.Productos'!BQ$1+1,0),"")</f>
        <v/>
      </c>
      <c r="Z258" s="133" t="str">
        <f>IF($A258&lt;&gt;0,VLOOKUP($A258,'0.Productos'!$A$3:$GG$587,'0.Productos'!BR$1+1,0),"")</f>
        <v/>
      </c>
      <c r="AA258" s="133" t="str">
        <f>IF($A258&lt;&gt;0,VLOOKUP($A258,'0.Productos'!$A$3:$GG$587,'0.Productos'!BS$1+1,0),"")</f>
        <v/>
      </c>
      <c r="AB258" s="133" t="str">
        <f>IF($A258&lt;&gt;0,VLOOKUP($A258,'0.Productos'!$A$3:$GG$587,'0.Productos'!BT$1+1,0),"")</f>
        <v/>
      </c>
      <c r="AC258" s="133" t="str">
        <f>IF($A258&lt;&gt;0,VLOOKUP($A258,'0.Productos'!$A$3:$GG$587,'0.Productos'!BU$1+1,0),"")</f>
        <v/>
      </c>
      <c r="AD258" s="133" t="str">
        <f>IF($A258&lt;&gt;0,VLOOKUP($A258,'0.Productos'!$A$3:$GG$587,'0.Productos'!BV$1+1,0),"")</f>
        <v/>
      </c>
      <c r="AE258" s="133" t="str">
        <f>IF($A258&lt;&gt;0,VLOOKUP($A258,'0.Productos'!$A$3:$GG$587,'0.Productos'!BW$1+1,0),"")</f>
        <v/>
      </c>
      <c r="AF258" s="133" t="str">
        <f>IF($A258&lt;&gt;0,VLOOKUP($A258,'0.Productos'!$A$3:$GG$587,'0.Productos'!BX$1+1,0),"")</f>
        <v/>
      </c>
      <c r="AG258" s="133" t="str">
        <f>IF($A258&lt;&gt;0,VLOOKUP($A258,'0.Productos'!$A$3:$GG$587,'0.Productos'!BY$1+1,0),"")</f>
        <v/>
      </c>
      <c r="AH258" s="133" t="str">
        <f>IF($A258&lt;&gt;0,VLOOKUP($A258,'0.Productos'!$A$3:$GG$587,'0.Productos'!BZ$1+1,0),"")</f>
        <v/>
      </c>
      <c r="AI258" s="133" t="str">
        <f>IF($A258&lt;&gt;0,VLOOKUP($A258,'0.Productos'!$A$3:$GG$587,'0.Productos'!CA$1+1,0),"")</f>
        <v/>
      </c>
      <c r="AJ258" s="133" t="str">
        <f>IF($A258&lt;&gt;0,VLOOKUP($A258,'0.Productos'!$A$3:$GG$587,'0.Productos'!CB$1+1,0),"")</f>
        <v/>
      </c>
      <c r="AK258" s="133" t="str">
        <f>IF($A258&lt;&gt;0,VLOOKUP($A258,'0.Productos'!$A$3:$GG$587,'0.Productos'!CC$1+1,0),"")</f>
        <v/>
      </c>
      <c r="AL258" s="133" t="str">
        <f>IF($A258&lt;&gt;0,VLOOKUP($A258,'0.Productos'!$A$3:$GG$587,'0.Productos'!CD$1+1,0),"")</f>
        <v/>
      </c>
      <c r="AM258" s="133" t="str">
        <f>IF($A258&lt;&gt;0,VLOOKUP($A258,'0.Productos'!$A$3:$GG$587,'0.Productos'!CE$1+1,0),"")</f>
        <v/>
      </c>
      <c r="AN258" s="133" t="str">
        <f>IF($A258&lt;&gt;0,VLOOKUP($A258,'0.Productos'!$A$3:$GG$587,'0.Productos'!CF$1+1,0),"")</f>
        <v/>
      </c>
      <c r="AO258" s="133" t="str">
        <f>IF($A258&lt;&gt;0,VLOOKUP($A258,'0.Productos'!$A$3:$GG$587,'0.Productos'!CG$1+1,0),"")</f>
        <v/>
      </c>
      <c r="AP258" s="133" t="str">
        <f>IF($A258&lt;&gt;0,VLOOKUP($A258,'0.Productos'!$A$3:$GG$587,'0.Productos'!CH$1+1,0),"")</f>
        <v/>
      </c>
      <c r="AQ258" s="133" t="str">
        <f>IF($A258&lt;&gt;0,VLOOKUP($A258,'0.Productos'!$A$3:$GG$587,'0.Productos'!CI$1+1,0),"")</f>
        <v/>
      </c>
      <c r="AR258" s="133" t="str">
        <f>IF($A258&lt;&gt;0,VLOOKUP($A258,'0.Productos'!$A$3:$GG$587,'0.Productos'!CJ$1+1,0),"")</f>
        <v/>
      </c>
      <c r="AS258" s="133" t="str">
        <f>IF($A258&lt;&gt;0,VLOOKUP($A258,'0.Productos'!$A$3:$GG$587,'0.Productos'!CK$1+1,0),"")</f>
        <v/>
      </c>
      <c r="AT258" s="133" t="str">
        <f>IF($A258&lt;&gt;0,VLOOKUP($A258,'0.Productos'!$A$3:$GG$587,'0.Productos'!CL$1+1,0),"")</f>
        <v/>
      </c>
      <c r="AU258" s="133" t="str">
        <f>IF($A258&lt;&gt;0,VLOOKUP($A258,'0.Productos'!$A$3:$GG$587,'0.Productos'!CM$1+1,0),"")</f>
        <v/>
      </c>
      <c r="AV258" s="133" t="str">
        <f>IF($A258&lt;&gt;0,VLOOKUP($A258,'0.Productos'!$A$3:$GG$587,'0.Productos'!CN$1+1,0),"")</f>
        <v/>
      </c>
      <c r="AW258" s="133" t="str">
        <f>IF($A258&lt;&gt;0,VLOOKUP($A258,'0.Productos'!$A$3:$GG$587,'0.Productos'!CO$1+1,0),"")</f>
        <v/>
      </c>
      <c r="AX258" s="133" t="str">
        <f>IF($A258&lt;&gt;0,VLOOKUP($A258,'0.Productos'!$A$3:$GG$587,'0.Productos'!CP$1+1,0),"")</f>
        <v/>
      </c>
      <c r="AY258" s="133" t="str">
        <f>IF($A258&lt;&gt;0,VLOOKUP($A258,'0.Productos'!$A$3:$GG$587,'0.Productos'!CQ$1+1,0),"")</f>
        <v/>
      </c>
      <c r="AZ258" s="133" t="str">
        <f>IF($A258&lt;&gt;0,VLOOKUP($A258,'0.Productos'!$A$3:$GG$587,'0.Productos'!CR$1+1,0),"")</f>
        <v/>
      </c>
      <c r="BA258" s="133" t="str">
        <f>IF($A258&lt;&gt;0,VLOOKUP($A258,'0.Productos'!$A$3:$GG$587,'0.Productos'!CS$1+1,0),"")</f>
        <v/>
      </c>
      <c r="BB258" s="133" t="str">
        <f>IF($A258&lt;&gt;0,VLOOKUP($A258,'0.Productos'!$A$3:$GG$587,'0.Productos'!CT$1+1,0),"")</f>
        <v/>
      </c>
      <c r="BC258" s="133" t="str">
        <f>IF($A258&lt;&gt;0,VLOOKUP($A258,'0.Productos'!$A$3:$GG$587,'0.Productos'!CU$1+1,0),"")</f>
        <v/>
      </c>
      <c r="BD258" s="133" t="str">
        <f>IF($A258&lt;&gt;0,VLOOKUP($A258,'0.Productos'!$A$3:$GG$587,'0.Productos'!CV$1+1,0),"")</f>
        <v/>
      </c>
      <c r="BE258" s="133" t="str">
        <f>IF($A258&lt;&gt;0,VLOOKUP($A258,'0.Productos'!$A$3:$GG$587,'0.Productos'!CW$1+1,0),"")</f>
        <v/>
      </c>
      <c r="BF258" s="133" t="str">
        <f>IF($A258&lt;&gt;0,VLOOKUP($A258,'0.Productos'!$A$3:$GG$587,'0.Productos'!CX$1+1,0),"")</f>
        <v/>
      </c>
      <c r="BG258" s="133" t="str">
        <f>IF($A258&lt;&gt;0,VLOOKUP($A258,'0.Productos'!$A$3:$GG$587,'0.Productos'!CY$1+1,0),"")</f>
        <v/>
      </c>
      <c r="BH258" s="133" t="str">
        <f>IF($A258&lt;&gt;0,VLOOKUP($A258,'0.Productos'!$A$3:$GG$587,'0.Productos'!CZ$1+1,0),"")</f>
        <v/>
      </c>
      <c r="BI258" s="133" t="str">
        <f>IF($A258&lt;&gt;0,VLOOKUP($A258,'0.Productos'!$A$3:$GG$587,'0.Productos'!DA$1+1,0),"")</f>
        <v/>
      </c>
      <c r="BJ258" s="133" t="str">
        <f>IF($A258&lt;&gt;0,VLOOKUP($A258,'0.Productos'!$A$3:$GG$587,'0.Productos'!DB$1+1,0),"")</f>
        <v/>
      </c>
      <c r="BK258" s="133" t="str">
        <f>IF($A258&lt;&gt;0,VLOOKUP($A258,'0.Productos'!$A$3:$GG$587,'0.Productos'!DC$1+1,0),"")</f>
        <v/>
      </c>
      <c r="BL258" s="133" t="str">
        <f>IF($A258&lt;&gt;0,VLOOKUP($A258,'0.Productos'!$A$3:$GG$587,'0.Productos'!DD$1+1,0),"")</f>
        <v/>
      </c>
      <c r="BM258" s="133" t="str">
        <f>IF($A258&lt;&gt;0,VLOOKUP($A258,'0.Productos'!$A$3:$GG$587,'0.Productos'!DE$1+1,0),"")</f>
        <v/>
      </c>
      <c r="BN258" s="133" t="str">
        <f>IF($A258&lt;&gt;0,VLOOKUP($A258,'0.Productos'!$A$3:$GG$587,'0.Productos'!DF$1+1,0),"")</f>
        <v/>
      </c>
      <c r="BO258" s="133" t="str">
        <f>IF($A258&lt;&gt;0,VLOOKUP($A258,'0.Productos'!$A$3:$GG$587,'0.Productos'!DG$1+1,0),"")</f>
        <v/>
      </c>
      <c r="BP258" s="133" t="str">
        <f>IF($A258&lt;&gt;0,VLOOKUP($A258,'0.Productos'!$A$3:$GG$587,'0.Productos'!DH$1+1,0),"")</f>
        <v/>
      </c>
      <c r="BQ258" s="133" t="str">
        <f>IF($A258&lt;&gt;0,VLOOKUP($A258,'0.Productos'!$A$3:$GG$587,'0.Productos'!DI$1+1,0),"")</f>
        <v/>
      </c>
      <c r="BR258" s="133" t="str">
        <f>IF($A258&lt;&gt;0,VLOOKUP($A258,'0.Productos'!$A$3:$GG$587,'0.Productos'!DJ$1+1,0),"")</f>
        <v/>
      </c>
      <c r="BS258" s="133" t="str">
        <f>IF($A258&lt;&gt;0,VLOOKUP($A258,'0.Productos'!$A$3:$GG$587,'0.Productos'!DK$1+1,0),"")</f>
        <v/>
      </c>
      <c r="BT258" s="133" t="str">
        <f>IF($A258&lt;&gt;0,VLOOKUP($A258,'0.Productos'!$A$3:$GG$587,'0.Productos'!DL$1+1,0),"")</f>
        <v/>
      </c>
    </row>
    <row r="259" spans="1:72" x14ac:dyDescent="0.25">
      <c r="A259" s="17">
        <f>'0.Consolidado general'!A259</f>
        <v>0</v>
      </c>
      <c r="B259" s="133" t="str">
        <f>IF($A259&lt;&gt;0,VLOOKUP($A259,'0.Productos'!$A$3:$GG$587,'0.Productos'!AT$1+1,0),"")</f>
        <v/>
      </c>
      <c r="C259" s="133" t="str">
        <f>IF($A259&lt;&gt;0,VLOOKUP($A259,'0.Productos'!$A$3:$GG$587,'0.Productos'!AU$1+1,0),"")</f>
        <v/>
      </c>
      <c r="D259" s="133" t="str">
        <f>IF($A259&lt;&gt;0,VLOOKUP($A259,'0.Productos'!$A$3:$GG$587,'0.Productos'!AV$1+1,0),"")</f>
        <v/>
      </c>
      <c r="E259" s="133" t="str">
        <f>IF($A259&lt;&gt;0,VLOOKUP($A259,'0.Productos'!$A$3:$GG$587,'0.Productos'!AW$1+1,0),"")</f>
        <v/>
      </c>
      <c r="F259" s="133" t="str">
        <f>IF($A259&lt;&gt;0,VLOOKUP($A259,'0.Productos'!$A$3:$GG$587,'0.Productos'!AX$1+1,0),"")</f>
        <v/>
      </c>
      <c r="G259" s="133" t="str">
        <f>IF($A259&lt;&gt;0,VLOOKUP($A259,'0.Productos'!$A$3:$GG$587,'0.Productos'!AY$1+1,0),"")</f>
        <v/>
      </c>
      <c r="H259" s="133" t="str">
        <f>IF($A259&lt;&gt;0,VLOOKUP($A259,'0.Productos'!$A$3:$GG$587,'0.Productos'!AZ$1+1,0),"")</f>
        <v/>
      </c>
      <c r="I259" s="133" t="str">
        <f>IF($A259&lt;&gt;0,VLOOKUP($A259,'0.Productos'!$A$3:$GG$587,'0.Productos'!BA$1+1,0),"")</f>
        <v/>
      </c>
      <c r="J259" s="133" t="str">
        <f>IF($A259&lt;&gt;0,VLOOKUP($A259,'0.Productos'!$A$3:$GG$587,'0.Productos'!BB$1+1,0),"")</f>
        <v/>
      </c>
      <c r="K259" s="133" t="str">
        <f>IF($A259&lt;&gt;0,VLOOKUP($A259,'0.Productos'!$A$3:$GG$587,'0.Productos'!BC$1+1,0),"")</f>
        <v/>
      </c>
      <c r="L259" s="133" t="str">
        <f>IF($A259&lt;&gt;0,VLOOKUP($A259,'0.Productos'!$A$3:$GG$587,'0.Productos'!BD$1+1,0),"")</f>
        <v/>
      </c>
      <c r="M259" s="133" t="str">
        <f>IF($A259&lt;&gt;0,VLOOKUP($A259,'0.Productos'!$A$3:$GG$587,'0.Productos'!BE$1+1,0),"")</f>
        <v/>
      </c>
      <c r="N259" s="133" t="str">
        <f>IF($A259&lt;&gt;0,VLOOKUP($A259,'0.Productos'!$A$3:$GG$587,'0.Productos'!BF$1+1,0),"")</f>
        <v/>
      </c>
      <c r="O259" s="133" t="str">
        <f>IF($A259&lt;&gt;0,VLOOKUP($A259,'0.Productos'!$A$3:$GG$587,'0.Productos'!BG$1+1,0),"")</f>
        <v/>
      </c>
      <c r="P259" s="133" t="str">
        <f>IF($A259&lt;&gt;0,VLOOKUP($A259,'0.Productos'!$A$3:$GG$587,'0.Productos'!BH$1+1,0),"")</f>
        <v/>
      </c>
      <c r="Q259" s="133" t="str">
        <f>IF($A259&lt;&gt;0,VLOOKUP($A259,'0.Productos'!$A$3:$GG$587,'0.Productos'!BI$1+1,0),"")</f>
        <v/>
      </c>
      <c r="R259" s="133" t="str">
        <f>IF($A259&lt;&gt;0,VLOOKUP($A259,'0.Productos'!$A$3:$GG$587,'0.Productos'!BJ$1+1,0),"")</f>
        <v/>
      </c>
      <c r="S259" s="133" t="str">
        <f>IF($A259&lt;&gt;0,VLOOKUP($A259,'0.Productos'!$A$3:$GG$587,'0.Productos'!BK$1+1,0),"")</f>
        <v/>
      </c>
      <c r="T259" s="133" t="str">
        <f>IF($A259&lt;&gt;0,VLOOKUP($A259,'0.Productos'!$A$3:$GG$587,'0.Productos'!BL$1+1,0),"")</f>
        <v/>
      </c>
      <c r="U259" s="133" t="str">
        <f>IF($A259&lt;&gt;0,VLOOKUP($A259,'0.Productos'!$A$3:$GG$587,'0.Productos'!BM$1+1,0),"")</f>
        <v/>
      </c>
      <c r="V259" s="133" t="str">
        <f>IF($A259&lt;&gt;0,VLOOKUP($A259,'0.Productos'!$A$3:$GG$587,'0.Productos'!BN$1+1,0),"")</f>
        <v/>
      </c>
      <c r="W259" s="133" t="str">
        <f>IF($A259&lt;&gt;0,VLOOKUP($A259,'0.Productos'!$A$3:$GG$587,'0.Productos'!BO$1+1,0),"")</f>
        <v/>
      </c>
      <c r="X259" s="133" t="str">
        <f>IF($A259&lt;&gt;0,VLOOKUP($A259,'0.Productos'!$A$3:$GG$587,'0.Productos'!BP$1+1,0),"")</f>
        <v/>
      </c>
      <c r="Y259" s="133" t="str">
        <f>IF($A259&lt;&gt;0,VLOOKUP($A259,'0.Productos'!$A$3:$GG$587,'0.Productos'!BQ$1+1,0),"")</f>
        <v/>
      </c>
      <c r="Z259" s="133" t="str">
        <f>IF($A259&lt;&gt;0,VLOOKUP($A259,'0.Productos'!$A$3:$GG$587,'0.Productos'!BR$1+1,0),"")</f>
        <v/>
      </c>
      <c r="AA259" s="133" t="str">
        <f>IF($A259&lt;&gt;0,VLOOKUP($A259,'0.Productos'!$A$3:$GG$587,'0.Productos'!BS$1+1,0),"")</f>
        <v/>
      </c>
      <c r="AB259" s="133" t="str">
        <f>IF($A259&lt;&gt;0,VLOOKUP($A259,'0.Productos'!$A$3:$GG$587,'0.Productos'!BT$1+1,0),"")</f>
        <v/>
      </c>
      <c r="AC259" s="133" t="str">
        <f>IF($A259&lt;&gt;0,VLOOKUP($A259,'0.Productos'!$A$3:$GG$587,'0.Productos'!BU$1+1,0),"")</f>
        <v/>
      </c>
      <c r="AD259" s="133" t="str">
        <f>IF($A259&lt;&gt;0,VLOOKUP($A259,'0.Productos'!$A$3:$GG$587,'0.Productos'!BV$1+1,0),"")</f>
        <v/>
      </c>
      <c r="AE259" s="133" t="str">
        <f>IF($A259&lt;&gt;0,VLOOKUP($A259,'0.Productos'!$A$3:$GG$587,'0.Productos'!BW$1+1,0),"")</f>
        <v/>
      </c>
      <c r="AF259" s="133" t="str">
        <f>IF($A259&lt;&gt;0,VLOOKUP($A259,'0.Productos'!$A$3:$GG$587,'0.Productos'!BX$1+1,0),"")</f>
        <v/>
      </c>
      <c r="AG259" s="133" t="str">
        <f>IF($A259&lt;&gt;0,VLOOKUP($A259,'0.Productos'!$A$3:$GG$587,'0.Productos'!BY$1+1,0),"")</f>
        <v/>
      </c>
      <c r="AH259" s="133" t="str">
        <f>IF($A259&lt;&gt;0,VLOOKUP($A259,'0.Productos'!$A$3:$GG$587,'0.Productos'!BZ$1+1,0),"")</f>
        <v/>
      </c>
      <c r="AI259" s="133" t="str">
        <f>IF($A259&lt;&gt;0,VLOOKUP($A259,'0.Productos'!$A$3:$GG$587,'0.Productos'!CA$1+1,0),"")</f>
        <v/>
      </c>
      <c r="AJ259" s="133" t="str">
        <f>IF($A259&lt;&gt;0,VLOOKUP($A259,'0.Productos'!$A$3:$GG$587,'0.Productos'!CB$1+1,0),"")</f>
        <v/>
      </c>
      <c r="AK259" s="133" t="str">
        <f>IF($A259&lt;&gt;0,VLOOKUP($A259,'0.Productos'!$A$3:$GG$587,'0.Productos'!CC$1+1,0),"")</f>
        <v/>
      </c>
      <c r="AL259" s="133" t="str">
        <f>IF($A259&lt;&gt;0,VLOOKUP($A259,'0.Productos'!$A$3:$GG$587,'0.Productos'!CD$1+1,0),"")</f>
        <v/>
      </c>
      <c r="AM259" s="133" t="str">
        <f>IF($A259&lt;&gt;0,VLOOKUP($A259,'0.Productos'!$A$3:$GG$587,'0.Productos'!CE$1+1,0),"")</f>
        <v/>
      </c>
      <c r="AN259" s="133" t="str">
        <f>IF($A259&lt;&gt;0,VLOOKUP($A259,'0.Productos'!$A$3:$GG$587,'0.Productos'!CF$1+1,0),"")</f>
        <v/>
      </c>
      <c r="AO259" s="133" t="str">
        <f>IF($A259&lt;&gt;0,VLOOKUP($A259,'0.Productos'!$A$3:$GG$587,'0.Productos'!CG$1+1,0),"")</f>
        <v/>
      </c>
      <c r="AP259" s="133" t="str">
        <f>IF($A259&lt;&gt;0,VLOOKUP($A259,'0.Productos'!$A$3:$GG$587,'0.Productos'!CH$1+1,0),"")</f>
        <v/>
      </c>
      <c r="AQ259" s="133" t="str">
        <f>IF($A259&lt;&gt;0,VLOOKUP($A259,'0.Productos'!$A$3:$GG$587,'0.Productos'!CI$1+1,0),"")</f>
        <v/>
      </c>
      <c r="AR259" s="133" t="str">
        <f>IF($A259&lt;&gt;0,VLOOKUP($A259,'0.Productos'!$A$3:$GG$587,'0.Productos'!CJ$1+1,0),"")</f>
        <v/>
      </c>
      <c r="AS259" s="133" t="str">
        <f>IF($A259&lt;&gt;0,VLOOKUP($A259,'0.Productos'!$A$3:$GG$587,'0.Productos'!CK$1+1,0),"")</f>
        <v/>
      </c>
      <c r="AT259" s="133" t="str">
        <f>IF($A259&lt;&gt;0,VLOOKUP($A259,'0.Productos'!$A$3:$GG$587,'0.Productos'!CL$1+1,0),"")</f>
        <v/>
      </c>
      <c r="AU259" s="133" t="str">
        <f>IF($A259&lt;&gt;0,VLOOKUP($A259,'0.Productos'!$A$3:$GG$587,'0.Productos'!CM$1+1,0),"")</f>
        <v/>
      </c>
      <c r="AV259" s="133" t="str">
        <f>IF($A259&lt;&gt;0,VLOOKUP($A259,'0.Productos'!$A$3:$GG$587,'0.Productos'!CN$1+1,0),"")</f>
        <v/>
      </c>
      <c r="AW259" s="133" t="str">
        <f>IF($A259&lt;&gt;0,VLOOKUP($A259,'0.Productos'!$A$3:$GG$587,'0.Productos'!CO$1+1,0),"")</f>
        <v/>
      </c>
      <c r="AX259" s="133" t="str">
        <f>IF($A259&lt;&gt;0,VLOOKUP($A259,'0.Productos'!$A$3:$GG$587,'0.Productos'!CP$1+1,0),"")</f>
        <v/>
      </c>
      <c r="AY259" s="133" t="str">
        <f>IF($A259&lt;&gt;0,VLOOKUP($A259,'0.Productos'!$A$3:$GG$587,'0.Productos'!CQ$1+1,0),"")</f>
        <v/>
      </c>
      <c r="AZ259" s="133" t="str">
        <f>IF($A259&lt;&gt;0,VLOOKUP($A259,'0.Productos'!$A$3:$GG$587,'0.Productos'!CR$1+1,0),"")</f>
        <v/>
      </c>
      <c r="BA259" s="133" t="str">
        <f>IF($A259&lt;&gt;0,VLOOKUP($A259,'0.Productos'!$A$3:$GG$587,'0.Productos'!CS$1+1,0),"")</f>
        <v/>
      </c>
      <c r="BB259" s="133" t="str">
        <f>IF($A259&lt;&gt;0,VLOOKUP($A259,'0.Productos'!$A$3:$GG$587,'0.Productos'!CT$1+1,0),"")</f>
        <v/>
      </c>
      <c r="BC259" s="133" t="str">
        <f>IF($A259&lt;&gt;0,VLOOKUP($A259,'0.Productos'!$A$3:$GG$587,'0.Productos'!CU$1+1,0),"")</f>
        <v/>
      </c>
      <c r="BD259" s="133" t="str">
        <f>IF($A259&lt;&gt;0,VLOOKUP($A259,'0.Productos'!$A$3:$GG$587,'0.Productos'!CV$1+1,0),"")</f>
        <v/>
      </c>
      <c r="BE259" s="133" t="str">
        <f>IF($A259&lt;&gt;0,VLOOKUP($A259,'0.Productos'!$A$3:$GG$587,'0.Productos'!CW$1+1,0),"")</f>
        <v/>
      </c>
      <c r="BF259" s="133" t="str">
        <f>IF($A259&lt;&gt;0,VLOOKUP($A259,'0.Productos'!$A$3:$GG$587,'0.Productos'!CX$1+1,0),"")</f>
        <v/>
      </c>
      <c r="BG259" s="133" t="str">
        <f>IF($A259&lt;&gt;0,VLOOKUP($A259,'0.Productos'!$A$3:$GG$587,'0.Productos'!CY$1+1,0),"")</f>
        <v/>
      </c>
      <c r="BH259" s="133" t="str">
        <f>IF($A259&lt;&gt;0,VLOOKUP($A259,'0.Productos'!$A$3:$GG$587,'0.Productos'!CZ$1+1,0),"")</f>
        <v/>
      </c>
      <c r="BI259" s="133" t="str">
        <f>IF($A259&lt;&gt;0,VLOOKUP($A259,'0.Productos'!$A$3:$GG$587,'0.Productos'!DA$1+1,0),"")</f>
        <v/>
      </c>
      <c r="BJ259" s="133" t="str">
        <f>IF($A259&lt;&gt;0,VLOOKUP($A259,'0.Productos'!$A$3:$GG$587,'0.Productos'!DB$1+1,0),"")</f>
        <v/>
      </c>
      <c r="BK259" s="133" t="str">
        <f>IF($A259&lt;&gt;0,VLOOKUP($A259,'0.Productos'!$A$3:$GG$587,'0.Productos'!DC$1+1,0),"")</f>
        <v/>
      </c>
      <c r="BL259" s="133" t="str">
        <f>IF($A259&lt;&gt;0,VLOOKUP($A259,'0.Productos'!$A$3:$GG$587,'0.Productos'!DD$1+1,0),"")</f>
        <v/>
      </c>
      <c r="BM259" s="133" t="str">
        <f>IF($A259&lt;&gt;0,VLOOKUP($A259,'0.Productos'!$A$3:$GG$587,'0.Productos'!DE$1+1,0),"")</f>
        <v/>
      </c>
      <c r="BN259" s="133" t="str">
        <f>IF($A259&lt;&gt;0,VLOOKUP($A259,'0.Productos'!$A$3:$GG$587,'0.Productos'!DF$1+1,0),"")</f>
        <v/>
      </c>
      <c r="BO259" s="133" t="str">
        <f>IF($A259&lt;&gt;0,VLOOKUP($A259,'0.Productos'!$A$3:$GG$587,'0.Productos'!DG$1+1,0),"")</f>
        <v/>
      </c>
      <c r="BP259" s="133" t="str">
        <f>IF($A259&lt;&gt;0,VLOOKUP($A259,'0.Productos'!$A$3:$GG$587,'0.Productos'!DH$1+1,0),"")</f>
        <v/>
      </c>
      <c r="BQ259" s="133" t="str">
        <f>IF($A259&lt;&gt;0,VLOOKUP($A259,'0.Productos'!$A$3:$GG$587,'0.Productos'!DI$1+1,0),"")</f>
        <v/>
      </c>
      <c r="BR259" s="133" t="str">
        <f>IF($A259&lt;&gt;0,VLOOKUP($A259,'0.Productos'!$A$3:$GG$587,'0.Productos'!DJ$1+1,0),"")</f>
        <v/>
      </c>
      <c r="BS259" s="133" t="str">
        <f>IF($A259&lt;&gt;0,VLOOKUP($A259,'0.Productos'!$A$3:$GG$587,'0.Productos'!DK$1+1,0),"")</f>
        <v/>
      </c>
      <c r="BT259" s="133" t="str">
        <f>IF($A259&lt;&gt;0,VLOOKUP($A259,'0.Productos'!$A$3:$GG$587,'0.Productos'!DL$1+1,0),"")</f>
        <v/>
      </c>
    </row>
    <row r="260" spans="1:72" x14ac:dyDescent="0.25">
      <c r="A260" s="17">
        <f>'0.Consolidado general'!A260</f>
        <v>0</v>
      </c>
      <c r="B260" s="133" t="str">
        <f>IF($A260&lt;&gt;0,VLOOKUP($A260,'0.Productos'!$A$3:$GG$587,'0.Productos'!AT$1+1,0),"")</f>
        <v/>
      </c>
      <c r="C260" s="133" t="str">
        <f>IF($A260&lt;&gt;0,VLOOKUP($A260,'0.Productos'!$A$3:$GG$587,'0.Productos'!AU$1+1,0),"")</f>
        <v/>
      </c>
      <c r="D260" s="133" t="str">
        <f>IF($A260&lt;&gt;0,VLOOKUP($A260,'0.Productos'!$A$3:$GG$587,'0.Productos'!AV$1+1,0),"")</f>
        <v/>
      </c>
      <c r="E260" s="133" t="str">
        <f>IF($A260&lt;&gt;0,VLOOKUP($A260,'0.Productos'!$A$3:$GG$587,'0.Productos'!AW$1+1,0),"")</f>
        <v/>
      </c>
      <c r="F260" s="133" t="str">
        <f>IF($A260&lt;&gt;0,VLOOKUP($A260,'0.Productos'!$A$3:$GG$587,'0.Productos'!AX$1+1,0),"")</f>
        <v/>
      </c>
      <c r="G260" s="133" t="str">
        <f>IF($A260&lt;&gt;0,VLOOKUP($A260,'0.Productos'!$A$3:$GG$587,'0.Productos'!AY$1+1,0),"")</f>
        <v/>
      </c>
      <c r="H260" s="133" t="str">
        <f>IF($A260&lt;&gt;0,VLOOKUP($A260,'0.Productos'!$A$3:$GG$587,'0.Productos'!AZ$1+1,0),"")</f>
        <v/>
      </c>
      <c r="I260" s="133" t="str">
        <f>IF($A260&lt;&gt;0,VLOOKUP($A260,'0.Productos'!$A$3:$GG$587,'0.Productos'!BA$1+1,0),"")</f>
        <v/>
      </c>
      <c r="J260" s="133" t="str">
        <f>IF($A260&lt;&gt;0,VLOOKUP($A260,'0.Productos'!$A$3:$GG$587,'0.Productos'!BB$1+1,0),"")</f>
        <v/>
      </c>
      <c r="K260" s="133" t="str">
        <f>IF($A260&lt;&gt;0,VLOOKUP($A260,'0.Productos'!$A$3:$GG$587,'0.Productos'!BC$1+1,0),"")</f>
        <v/>
      </c>
      <c r="L260" s="133" t="str">
        <f>IF($A260&lt;&gt;0,VLOOKUP($A260,'0.Productos'!$A$3:$GG$587,'0.Productos'!BD$1+1,0),"")</f>
        <v/>
      </c>
      <c r="M260" s="133" t="str">
        <f>IF($A260&lt;&gt;0,VLOOKUP($A260,'0.Productos'!$A$3:$GG$587,'0.Productos'!BE$1+1,0),"")</f>
        <v/>
      </c>
      <c r="N260" s="133" t="str">
        <f>IF($A260&lt;&gt;0,VLOOKUP($A260,'0.Productos'!$A$3:$GG$587,'0.Productos'!BF$1+1,0),"")</f>
        <v/>
      </c>
      <c r="O260" s="133" t="str">
        <f>IF($A260&lt;&gt;0,VLOOKUP($A260,'0.Productos'!$A$3:$GG$587,'0.Productos'!BG$1+1,0),"")</f>
        <v/>
      </c>
      <c r="P260" s="133" t="str">
        <f>IF($A260&lt;&gt;0,VLOOKUP($A260,'0.Productos'!$A$3:$GG$587,'0.Productos'!BH$1+1,0),"")</f>
        <v/>
      </c>
      <c r="Q260" s="133" t="str">
        <f>IF($A260&lt;&gt;0,VLOOKUP($A260,'0.Productos'!$A$3:$GG$587,'0.Productos'!BI$1+1,0),"")</f>
        <v/>
      </c>
      <c r="R260" s="133" t="str">
        <f>IF($A260&lt;&gt;0,VLOOKUP($A260,'0.Productos'!$A$3:$GG$587,'0.Productos'!BJ$1+1,0),"")</f>
        <v/>
      </c>
      <c r="S260" s="133" t="str">
        <f>IF($A260&lt;&gt;0,VLOOKUP($A260,'0.Productos'!$A$3:$GG$587,'0.Productos'!BK$1+1,0),"")</f>
        <v/>
      </c>
      <c r="T260" s="133" t="str">
        <f>IF($A260&lt;&gt;0,VLOOKUP($A260,'0.Productos'!$A$3:$GG$587,'0.Productos'!BL$1+1,0),"")</f>
        <v/>
      </c>
      <c r="U260" s="133" t="str">
        <f>IF($A260&lt;&gt;0,VLOOKUP($A260,'0.Productos'!$A$3:$GG$587,'0.Productos'!BM$1+1,0),"")</f>
        <v/>
      </c>
      <c r="V260" s="133" t="str">
        <f>IF($A260&lt;&gt;0,VLOOKUP($A260,'0.Productos'!$A$3:$GG$587,'0.Productos'!BN$1+1,0),"")</f>
        <v/>
      </c>
      <c r="W260" s="133" t="str">
        <f>IF($A260&lt;&gt;0,VLOOKUP($A260,'0.Productos'!$A$3:$GG$587,'0.Productos'!BO$1+1,0),"")</f>
        <v/>
      </c>
      <c r="X260" s="133" t="str">
        <f>IF($A260&lt;&gt;0,VLOOKUP($A260,'0.Productos'!$A$3:$GG$587,'0.Productos'!BP$1+1,0),"")</f>
        <v/>
      </c>
      <c r="Y260" s="133" t="str">
        <f>IF($A260&lt;&gt;0,VLOOKUP($A260,'0.Productos'!$A$3:$GG$587,'0.Productos'!BQ$1+1,0),"")</f>
        <v/>
      </c>
      <c r="Z260" s="133" t="str">
        <f>IF($A260&lt;&gt;0,VLOOKUP($A260,'0.Productos'!$A$3:$GG$587,'0.Productos'!BR$1+1,0),"")</f>
        <v/>
      </c>
      <c r="AA260" s="133" t="str">
        <f>IF($A260&lt;&gt;0,VLOOKUP($A260,'0.Productos'!$A$3:$GG$587,'0.Productos'!BS$1+1,0),"")</f>
        <v/>
      </c>
      <c r="AB260" s="133" t="str">
        <f>IF($A260&lt;&gt;0,VLOOKUP($A260,'0.Productos'!$A$3:$GG$587,'0.Productos'!BT$1+1,0),"")</f>
        <v/>
      </c>
      <c r="AC260" s="133" t="str">
        <f>IF($A260&lt;&gt;0,VLOOKUP($A260,'0.Productos'!$A$3:$GG$587,'0.Productos'!BU$1+1,0),"")</f>
        <v/>
      </c>
      <c r="AD260" s="133" t="str">
        <f>IF($A260&lt;&gt;0,VLOOKUP($A260,'0.Productos'!$A$3:$GG$587,'0.Productos'!BV$1+1,0),"")</f>
        <v/>
      </c>
      <c r="AE260" s="133" t="str">
        <f>IF($A260&lt;&gt;0,VLOOKUP($A260,'0.Productos'!$A$3:$GG$587,'0.Productos'!BW$1+1,0),"")</f>
        <v/>
      </c>
      <c r="AF260" s="133" t="str">
        <f>IF($A260&lt;&gt;0,VLOOKUP($A260,'0.Productos'!$A$3:$GG$587,'0.Productos'!BX$1+1,0),"")</f>
        <v/>
      </c>
      <c r="AG260" s="133" t="str">
        <f>IF($A260&lt;&gt;0,VLOOKUP($A260,'0.Productos'!$A$3:$GG$587,'0.Productos'!BY$1+1,0),"")</f>
        <v/>
      </c>
      <c r="AH260" s="133" t="str">
        <f>IF($A260&lt;&gt;0,VLOOKUP($A260,'0.Productos'!$A$3:$GG$587,'0.Productos'!BZ$1+1,0),"")</f>
        <v/>
      </c>
      <c r="AI260" s="133" t="str">
        <f>IF($A260&lt;&gt;0,VLOOKUP($A260,'0.Productos'!$A$3:$GG$587,'0.Productos'!CA$1+1,0),"")</f>
        <v/>
      </c>
      <c r="AJ260" s="133" t="str">
        <f>IF($A260&lt;&gt;0,VLOOKUP($A260,'0.Productos'!$A$3:$GG$587,'0.Productos'!CB$1+1,0),"")</f>
        <v/>
      </c>
      <c r="AK260" s="133" t="str">
        <f>IF($A260&lt;&gt;0,VLOOKUP($A260,'0.Productos'!$A$3:$GG$587,'0.Productos'!CC$1+1,0),"")</f>
        <v/>
      </c>
      <c r="AL260" s="133" t="str">
        <f>IF($A260&lt;&gt;0,VLOOKUP($A260,'0.Productos'!$A$3:$GG$587,'0.Productos'!CD$1+1,0),"")</f>
        <v/>
      </c>
      <c r="AM260" s="133" t="str">
        <f>IF($A260&lt;&gt;0,VLOOKUP($A260,'0.Productos'!$A$3:$GG$587,'0.Productos'!CE$1+1,0),"")</f>
        <v/>
      </c>
      <c r="AN260" s="133" t="str">
        <f>IF($A260&lt;&gt;0,VLOOKUP($A260,'0.Productos'!$A$3:$GG$587,'0.Productos'!CF$1+1,0),"")</f>
        <v/>
      </c>
      <c r="AO260" s="133" t="str">
        <f>IF($A260&lt;&gt;0,VLOOKUP($A260,'0.Productos'!$A$3:$GG$587,'0.Productos'!CG$1+1,0),"")</f>
        <v/>
      </c>
      <c r="AP260" s="133" t="str">
        <f>IF($A260&lt;&gt;0,VLOOKUP($A260,'0.Productos'!$A$3:$GG$587,'0.Productos'!CH$1+1,0),"")</f>
        <v/>
      </c>
      <c r="AQ260" s="133" t="str">
        <f>IF($A260&lt;&gt;0,VLOOKUP($A260,'0.Productos'!$A$3:$GG$587,'0.Productos'!CI$1+1,0),"")</f>
        <v/>
      </c>
      <c r="AR260" s="133" t="str">
        <f>IF($A260&lt;&gt;0,VLOOKUP($A260,'0.Productos'!$A$3:$GG$587,'0.Productos'!CJ$1+1,0),"")</f>
        <v/>
      </c>
      <c r="AS260" s="133" t="str">
        <f>IF($A260&lt;&gt;0,VLOOKUP($A260,'0.Productos'!$A$3:$GG$587,'0.Productos'!CK$1+1,0),"")</f>
        <v/>
      </c>
      <c r="AT260" s="133" t="str">
        <f>IF($A260&lt;&gt;0,VLOOKUP($A260,'0.Productos'!$A$3:$GG$587,'0.Productos'!CL$1+1,0),"")</f>
        <v/>
      </c>
      <c r="AU260" s="133" t="str">
        <f>IF($A260&lt;&gt;0,VLOOKUP($A260,'0.Productos'!$A$3:$GG$587,'0.Productos'!CM$1+1,0),"")</f>
        <v/>
      </c>
      <c r="AV260" s="133" t="str">
        <f>IF($A260&lt;&gt;0,VLOOKUP($A260,'0.Productos'!$A$3:$GG$587,'0.Productos'!CN$1+1,0),"")</f>
        <v/>
      </c>
      <c r="AW260" s="133" t="str">
        <f>IF($A260&lt;&gt;0,VLOOKUP($A260,'0.Productos'!$A$3:$GG$587,'0.Productos'!CO$1+1,0),"")</f>
        <v/>
      </c>
      <c r="AX260" s="133" t="str">
        <f>IF($A260&lt;&gt;0,VLOOKUP($A260,'0.Productos'!$A$3:$GG$587,'0.Productos'!CP$1+1,0),"")</f>
        <v/>
      </c>
      <c r="AY260" s="133" t="str">
        <f>IF($A260&lt;&gt;0,VLOOKUP($A260,'0.Productos'!$A$3:$GG$587,'0.Productos'!CQ$1+1,0),"")</f>
        <v/>
      </c>
      <c r="AZ260" s="133" t="str">
        <f>IF($A260&lt;&gt;0,VLOOKUP($A260,'0.Productos'!$A$3:$GG$587,'0.Productos'!CR$1+1,0),"")</f>
        <v/>
      </c>
      <c r="BA260" s="133" t="str">
        <f>IF($A260&lt;&gt;0,VLOOKUP($A260,'0.Productos'!$A$3:$GG$587,'0.Productos'!CS$1+1,0),"")</f>
        <v/>
      </c>
      <c r="BB260" s="133" t="str">
        <f>IF($A260&lt;&gt;0,VLOOKUP($A260,'0.Productos'!$A$3:$GG$587,'0.Productos'!CT$1+1,0),"")</f>
        <v/>
      </c>
      <c r="BC260" s="133" t="str">
        <f>IF($A260&lt;&gt;0,VLOOKUP($A260,'0.Productos'!$A$3:$GG$587,'0.Productos'!CU$1+1,0),"")</f>
        <v/>
      </c>
      <c r="BD260" s="133" t="str">
        <f>IF($A260&lt;&gt;0,VLOOKUP($A260,'0.Productos'!$A$3:$GG$587,'0.Productos'!CV$1+1,0),"")</f>
        <v/>
      </c>
      <c r="BE260" s="133" t="str">
        <f>IF($A260&lt;&gt;0,VLOOKUP($A260,'0.Productos'!$A$3:$GG$587,'0.Productos'!CW$1+1,0),"")</f>
        <v/>
      </c>
      <c r="BF260" s="133" t="str">
        <f>IF($A260&lt;&gt;0,VLOOKUP($A260,'0.Productos'!$A$3:$GG$587,'0.Productos'!CX$1+1,0),"")</f>
        <v/>
      </c>
      <c r="BG260" s="133" t="str">
        <f>IF($A260&lt;&gt;0,VLOOKUP($A260,'0.Productos'!$A$3:$GG$587,'0.Productos'!CY$1+1,0),"")</f>
        <v/>
      </c>
      <c r="BH260" s="133" t="str">
        <f>IF($A260&lt;&gt;0,VLOOKUP($A260,'0.Productos'!$A$3:$GG$587,'0.Productos'!CZ$1+1,0),"")</f>
        <v/>
      </c>
      <c r="BI260" s="133" t="str">
        <f>IF($A260&lt;&gt;0,VLOOKUP($A260,'0.Productos'!$A$3:$GG$587,'0.Productos'!DA$1+1,0),"")</f>
        <v/>
      </c>
      <c r="BJ260" s="133" t="str">
        <f>IF($A260&lt;&gt;0,VLOOKUP($A260,'0.Productos'!$A$3:$GG$587,'0.Productos'!DB$1+1,0),"")</f>
        <v/>
      </c>
      <c r="BK260" s="133" t="str">
        <f>IF($A260&lt;&gt;0,VLOOKUP($A260,'0.Productos'!$A$3:$GG$587,'0.Productos'!DC$1+1,0),"")</f>
        <v/>
      </c>
      <c r="BL260" s="133" t="str">
        <f>IF($A260&lt;&gt;0,VLOOKUP($A260,'0.Productos'!$A$3:$GG$587,'0.Productos'!DD$1+1,0),"")</f>
        <v/>
      </c>
      <c r="BM260" s="133" t="str">
        <f>IF($A260&lt;&gt;0,VLOOKUP($A260,'0.Productos'!$A$3:$GG$587,'0.Productos'!DE$1+1,0),"")</f>
        <v/>
      </c>
      <c r="BN260" s="133" t="str">
        <f>IF($A260&lt;&gt;0,VLOOKUP($A260,'0.Productos'!$A$3:$GG$587,'0.Productos'!DF$1+1,0),"")</f>
        <v/>
      </c>
      <c r="BO260" s="133" t="str">
        <f>IF($A260&lt;&gt;0,VLOOKUP($A260,'0.Productos'!$A$3:$GG$587,'0.Productos'!DG$1+1,0),"")</f>
        <v/>
      </c>
      <c r="BP260" s="133" t="str">
        <f>IF($A260&lt;&gt;0,VLOOKUP($A260,'0.Productos'!$A$3:$GG$587,'0.Productos'!DH$1+1,0),"")</f>
        <v/>
      </c>
      <c r="BQ260" s="133" t="str">
        <f>IF($A260&lt;&gt;0,VLOOKUP($A260,'0.Productos'!$A$3:$GG$587,'0.Productos'!DI$1+1,0),"")</f>
        <v/>
      </c>
      <c r="BR260" s="133" t="str">
        <f>IF($A260&lt;&gt;0,VLOOKUP($A260,'0.Productos'!$A$3:$GG$587,'0.Productos'!DJ$1+1,0),"")</f>
        <v/>
      </c>
      <c r="BS260" s="133" t="str">
        <f>IF($A260&lt;&gt;0,VLOOKUP($A260,'0.Productos'!$A$3:$GG$587,'0.Productos'!DK$1+1,0),"")</f>
        <v/>
      </c>
      <c r="BT260" s="133" t="str">
        <f>IF($A260&lt;&gt;0,VLOOKUP($A260,'0.Productos'!$A$3:$GG$587,'0.Productos'!DL$1+1,0),"")</f>
        <v/>
      </c>
    </row>
    <row r="261" spans="1:72" x14ac:dyDescent="0.25">
      <c r="A261" s="17">
        <f>'0.Consolidado general'!A261</f>
        <v>0</v>
      </c>
      <c r="B261" s="133" t="str">
        <f>IF($A261&lt;&gt;0,VLOOKUP($A261,'0.Productos'!$A$3:$GG$587,'0.Productos'!AT$1+1,0),"")</f>
        <v/>
      </c>
      <c r="C261" s="133" t="str">
        <f>IF($A261&lt;&gt;0,VLOOKUP($A261,'0.Productos'!$A$3:$GG$587,'0.Productos'!AU$1+1,0),"")</f>
        <v/>
      </c>
      <c r="D261" s="133" t="str">
        <f>IF($A261&lt;&gt;0,VLOOKUP($A261,'0.Productos'!$A$3:$GG$587,'0.Productos'!AV$1+1,0),"")</f>
        <v/>
      </c>
      <c r="E261" s="133" t="str">
        <f>IF($A261&lt;&gt;0,VLOOKUP($A261,'0.Productos'!$A$3:$GG$587,'0.Productos'!AW$1+1,0),"")</f>
        <v/>
      </c>
      <c r="F261" s="133" t="str">
        <f>IF($A261&lt;&gt;0,VLOOKUP($A261,'0.Productos'!$A$3:$GG$587,'0.Productos'!AX$1+1,0),"")</f>
        <v/>
      </c>
      <c r="G261" s="133" t="str">
        <f>IF($A261&lt;&gt;0,VLOOKUP($A261,'0.Productos'!$A$3:$GG$587,'0.Productos'!AY$1+1,0),"")</f>
        <v/>
      </c>
      <c r="H261" s="133" t="str">
        <f>IF($A261&lt;&gt;0,VLOOKUP($A261,'0.Productos'!$A$3:$GG$587,'0.Productos'!AZ$1+1,0),"")</f>
        <v/>
      </c>
      <c r="I261" s="133" t="str">
        <f>IF($A261&lt;&gt;0,VLOOKUP($A261,'0.Productos'!$A$3:$GG$587,'0.Productos'!BA$1+1,0),"")</f>
        <v/>
      </c>
      <c r="J261" s="133" t="str">
        <f>IF($A261&lt;&gt;0,VLOOKUP($A261,'0.Productos'!$A$3:$GG$587,'0.Productos'!BB$1+1,0),"")</f>
        <v/>
      </c>
      <c r="K261" s="133" t="str">
        <f>IF($A261&lt;&gt;0,VLOOKUP($A261,'0.Productos'!$A$3:$GG$587,'0.Productos'!BC$1+1,0),"")</f>
        <v/>
      </c>
      <c r="L261" s="133" t="str">
        <f>IF($A261&lt;&gt;0,VLOOKUP($A261,'0.Productos'!$A$3:$GG$587,'0.Productos'!BD$1+1,0),"")</f>
        <v/>
      </c>
      <c r="M261" s="133" t="str">
        <f>IF($A261&lt;&gt;0,VLOOKUP($A261,'0.Productos'!$A$3:$GG$587,'0.Productos'!BE$1+1,0),"")</f>
        <v/>
      </c>
      <c r="N261" s="133" t="str">
        <f>IF($A261&lt;&gt;0,VLOOKUP($A261,'0.Productos'!$A$3:$GG$587,'0.Productos'!BF$1+1,0),"")</f>
        <v/>
      </c>
      <c r="O261" s="133" t="str">
        <f>IF($A261&lt;&gt;0,VLOOKUP($A261,'0.Productos'!$A$3:$GG$587,'0.Productos'!BG$1+1,0),"")</f>
        <v/>
      </c>
      <c r="P261" s="133" t="str">
        <f>IF($A261&lt;&gt;0,VLOOKUP($A261,'0.Productos'!$A$3:$GG$587,'0.Productos'!BH$1+1,0),"")</f>
        <v/>
      </c>
      <c r="Q261" s="133" t="str">
        <f>IF($A261&lt;&gt;0,VLOOKUP($A261,'0.Productos'!$A$3:$GG$587,'0.Productos'!BI$1+1,0),"")</f>
        <v/>
      </c>
      <c r="R261" s="133" t="str">
        <f>IF($A261&lt;&gt;0,VLOOKUP($A261,'0.Productos'!$A$3:$GG$587,'0.Productos'!BJ$1+1,0),"")</f>
        <v/>
      </c>
      <c r="S261" s="133" t="str">
        <f>IF($A261&lt;&gt;0,VLOOKUP($A261,'0.Productos'!$A$3:$GG$587,'0.Productos'!BK$1+1,0),"")</f>
        <v/>
      </c>
      <c r="T261" s="133" t="str">
        <f>IF($A261&lt;&gt;0,VLOOKUP($A261,'0.Productos'!$A$3:$GG$587,'0.Productos'!BL$1+1,0),"")</f>
        <v/>
      </c>
      <c r="U261" s="133" t="str">
        <f>IF($A261&lt;&gt;0,VLOOKUP($A261,'0.Productos'!$A$3:$GG$587,'0.Productos'!BM$1+1,0),"")</f>
        <v/>
      </c>
      <c r="V261" s="133" t="str">
        <f>IF($A261&lt;&gt;0,VLOOKUP($A261,'0.Productos'!$A$3:$GG$587,'0.Productos'!BN$1+1,0),"")</f>
        <v/>
      </c>
      <c r="W261" s="133" t="str">
        <f>IF($A261&lt;&gt;0,VLOOKUP($A261,'0.Productos'!$A$3:$GG$587,'0.Productos'!BO$1+1,0),"")</f>
        <v/>
      </c>
      <c r="X261" s="133" t="str">
        <f>IF($A261&lt;&gt;0,VLOOKUP($A261,'0.Productos'!$A$3:$GG$587,'0.Productos'!BP$1+1,0),"")</f>
        <v/>
      </c>
      <c r="Y261" s="133" t="str">
        <f>IF($A261&lt;&gt;0,VLOOKUP($A261,'0.Productos'!$A$3:$GG$587,'0.Productos'!BQ$1+1,0),"")</f>
        <v/>
      </c>
      <c r="Z261" s="133" t="str">
        <f>IF($A261&lt;&gt;0,VLOOKUP($A261,'0.Productos'!$A$3:$GG$587,'0.Productos'!BR$1+1,0),"")</f>
        <v/>
      </c>
      <c r="AA261" s="133" t="str">
        <f>IF($A261&lt;&gt;0,VLOOKUP($A261,'0.Productos'!$A$3:$GG$587,'0.Productos'!BS$1+1,0),"")</f>
        <v/>
      </c>
      <c r="AB261" s="133" t="str">
        <f>IF($A261&lt;&gt;0,VLOOKUP($A261,'0.Productos'!$A$3:$GG$587,'0.Productos'!BT$1+1,0),"")</f>
        <v/>
      </c>
      <c r="AC261" s="133" t="str">
        <f>IF($A261&lt;&gt;0,VLOOKUP($A261,'0.Productos'!$A$3:$GG$587,'0.Productos'!BU$1+1,0),"")</f>
        <v/>
      </c>
      <c r="AD261" s="133" t="str">
        <f>IF($A261&lt;&gt;0,VLOOKUP($A261,'0.Productos'!$A$3:$GG$587,'0.Productos'!BV$1+1,0),"")</f>
        <v/>
      </c>
      <c r="AE261" s="133" t="str">
        <f>IF($A261&lt;&gt;0,VLOOKUP($A261,'0.Productos'!$A$3:$GG$587,'0.Productos'!BW$1+1,0),"")</f>
        <v/>
      </c>
      <c r="AF261" s="133" t="str">
        <f>IF($A261&lt;&gt;0,VLOOKUP($A261,'0.Productos'!$A$3:$GG$587,'0.Productos'!BX$1+1,0),"")</f>
        <v/>
      </c>
      <c r="AG261" s="133" t="str">
        <f>IF($A261&lt;&gt;0,VLOOKUP($A261,'0.Productos'!$A$3:$GG$587,'0.Productos'!BY$1+1,0),"")</f>
        <v/>
      </c>
      <c r="AH261" s="133" t="str">
        <f>IF($A261&lt;&gt;0,VLOOKUP($A261,'0.Productos'!$A$3:$GG$587,'0.Productos'!BZ$1+1,0),"")</f>
        <v/>
      </c>
      <c r="AI261" s="133" t="str">
        <f>IF($A261&lt;&gt;0,VLOOKUP($A261,'0.Productos'!$A$3:$GG$587,'0.Productos'!CA$1+1,0),"")</f>
        <v/>
      </c>
      <c r="AJ261" s="133" t="str">
        <f>IF($A261&lt;&gt;0,VLOOKUP($A261,'0.Productos'!$A$3:$GG$587,'0.Productos'!CB$1+1,0),"")</f>
        <v/>
      </c>
      <c r="AK261" s="133" t="str">
        <f>IF($A261&lt;&gt;0,VLOOKUP($A261,'0.Productos'!$A$3:$GG$587,'0.Productos'!CC$1+1,0),"")</f>
        <v/>
      </c>
      <c r="AL261" s="133" t="str">
        <f>IF($A261&lt;&gt;0,VLOOKUP($A261,'0.Productos'!$A$3:$GG$587,'0.Productos'!CD$1+1,0),"")</f>
        <v/>
      </c>
      <c r="AM261" s="133" t="str">
        <f>IF($A261&lt;&gt;0,VLOOKUP($A261,'0.Productos'!$A$3:$GG$587,'0.Productos'!CE$1+1,0),"")</f>
        <v/>
      </c>
      <c r="AN261" s="133" t="str">
        <f>IF($A261&lt;&gt;0,VLOOKUP($A261,'0.Productos'!$A$3:$GG$587,'0.Productos'!CF$1+1,0),"")</f>
        <v/>
      </c>
      <c r="AO261" s="133" t="str">
        <f>IF($A261&lt;&gt;0,VLOOKUP($A261,'0.Productos'!$A$3:$GG$587,'0.Productos'!CG$1+1,0),"")</f>
        <v/>
      </c>
      <c r="AP261" s="133" t="str">
        <f>IF($A261&lt;&gt;0,VLOOKUP($A261,'0.Productos'!$A$3:$GG$587,'0.Productos'!CH$1+1,0),"")</f>
        <v/>
      </c>
      <c r="AQ261" s="133" t="str">
        <f>IF($A261&lt;&gt;0,VLOOKUP($A261,'0.Productos'!$A$3:$GG$587,'0.Productos'!CI$1+1,0),"")</f>
        <v/>
      </c>
      <c r="AR261" s="133" t="str">
        <f>IF($A261&lt;&gt;0,VLOOKUP($A261,'0.Productos'!$A$3:$GG$587,'0.Productos'!CJ$1+1,0),"")</f>
        <v/>
      </c>
      <c r="AS261" s="133" t="str">
        <f>IF($A261&lt;&gt;0,VLOOKUP($A261,'0.Productos'!$A$3:$GG$587,'0.Productos'!CK$1+1,0),"")</f>
        <v/>
      </c>
      <c r="AT261" s="133" t="str">
        <f>IF($A261&lt;&gt;0,VLOOKUP($A261,'0.Productos'!$A$3:$GG$587,'0.Productos'!CL$1+1,0),"")</f>
        <v/>
      </c>
      <c r="AU261" s="133" t="str">
        <f>IF($A261&lt;&gt;0,VLOOKUP($A261,'0.Productos'!$A$3:$GG$587,'0.Productos'!CM$1+1,0),"")</f>
        <v/>
      </c>
      <c r="AV261" s="133" t="str">
        <f>IF($A261&lt;&gt;0,VLOOKUP($A261,'0.Productos'!$A$3:$GG$587,'0.Productos'!CN$1+1,0),"")</f>
        <v/>
      </c>
      <c r="AW261" s="133" t="str">
        <f>IF($A261&lt;&gt;0,VLOOKUP($A261,'0.Productos'!$A$3:$GG$587,'0.Productos'!CO$1+1,0),"")</f>
        <v/>
      </c>
      <c r="AX261" s="133" t="str">
        <f>IF($A261&lt;&gt;0,VLOOKUP($A261,'0.Productos'!$A$3:$GG$587,'0.Productos'!CP$1+1,0),"")</f>
        <v/>
      </c>
      <c r="AY261" s="133" t="str">
        <f>IF($A261&lt;&gt;0,VLOOKUP($A261,'0.Productos'!$A$3:$GG$587,'0.Productos'!CQ$1+1,0),"")</f>
        <v/>
      </c>
      <c r="AZ261" s="133" t="str">
        <f>IF($A261&lt;&gt;0,VLOOKUP($A261,'0.Productos'!$A$3:$GG$587,'0.Productos'!CR$1+1,0),"")</f>
        <v/>
      </c>
      <c r="BA261" s="133" t="str">
        <f>IF($A261&lt;&gt;0,VLOOKUP($A261,'0.Productos'!$A$3:$GG$587,'0.Productos'!CS$1+1,0),"")</f>
        <v/>
      </c>
      <c r="BB261" s="133" t="str">
        <f>IF($A261&lt;&gt;0,VLOOKUP($A261,'0.Productos'!$A$3:$GG$587,'0.Productos'!CT$1+1,0),"")</f>
        <v/>
      </c>
      <c r="BC261" s="133" t="str">
        <f>IF($A261&lt;&gt;0,VLOOKUP($A261,'0.Productos'!$A$3:$GG$587,'0.Productos'!CU$1+1,0),"")</f>
        <v/>
      </c>
      <c r="BD261" s="133" t="str">
        <f>IF($A261&lt;&gt;0,VLOOKUP($A261,'0.Productos'!$A$3:$GG$587,'0.Productos'!CV$1+1,0),"")</f>
        <v/>
      </c>
      <c r="BE261" s="133" t="str">
        <f>IF($A261&lt;&gt;0,VLOOKUP($A261,'0.Productos'!$A$3:$GG$587,'0.Productos'!CW$1+1,0),"")</f>
        <v/>
      </c>
      <c r="BF261" s="133" t="str">
        <f>IF($A261&lt;&gt;0,VLOOKUP($A261,'0.Productos'!$A$3:$GG$587,'0.Productos'!CX$1+1,0),"")</f>
        <v/>
      </c>
      <c r="BG261" s="133" t="str">
        <f>IF($A261&lt;&gt;0,VLOOKUP($A261,'0.Productos'!$A$3:$GG$587,'0.Productos'!CY$1+1,0),"")</f>
        <v/>
      </c>
      <c r="BH261" s="133" t="str">
        <f>IF($A261&lt;&gt;0,VLOOKUP($A261,'0.Productos'!$A$3:$GG$587,'0.Productos'!CZ$1+1,0),"")</f>
        <v/>
      </c>
      <c r="BI261" s="133" t="str">
        <f>IF($A261&lt;&gt;0,VLOOKUP($A261,'0.Productos'!$A$3:$GG$587,'0.Productos'!DA$1+1,0),"")</f>
        <v/>
      </c>
      <c r="BJ261" s="133" t="str">
        <f>IF($A261&lt;&gt;0,VLOOKUP($A261,'0.Productos'!$A$3:$GG$587,'0.Productos'!DB$1+1,0),"")</f>
        <v/>
      </c>
      <c r="BK261" s="133" t="str">
        <f>IF($A261&lt;&gt;0,VLOOKUP($A261,'0.Productos'!$A$3:$GG$587,'0.Productos'!DC$1+1,0),"")</f>
        <v/>
      </c>
      <c r="BL261" s="133" t="str">
        <f>IF($A261&lt;&gt;0,VLOOKUP($A261,'0.Productos'!$A$3:$GG$587,'0.Productos'!DD$1+1,0),"")</f>
        <v/>
      </c>
      <c r="BM261" s="133" t="str">
        <f>IF($A261&lt;&gt;0,VLOOKUP($A261,'0.Productos'!$A$3:$GG$587,'0.Productos'!DE$1+1,0),"")</f>
        <v/>
      </c>
      <c r="BN261" s="133" t="str">
        <f>IF($A261&lt;&gt;0,VLOOKUP($A261,'0.Productos'!$A$3:$GG$587,'0.Productos'!DF$1+1,0),"")</f>
        <v/>
      </c>
      <c r="BO261" s="133" t="str">
        <f>IF($A261&lt;&gt;0,VLOOKUP($A261,'0.Productos'!$A$3:$GG$587,'0.Productos'!DG$1+1,0),"")</f>
        <v/>
      </c>
      <c r="BP261" s="133" t="str">
        <f>IF($A261&lt;&gt;0,VLOOKUP($A261,'0.Productos'!$A$3:$GG$587,'0.Productos'!DH$1+1,0),"")</f>
        <v/>
      </c>
      <c r="BQ261" s="133" t="str">
        <f>IF($A261&lt;&gt;0,VLOOKUP($A261,'0.Productos'!$A$3:$GG$587,'0.Productos'!DI$1+1,0),"")</f>
        <v/>
      </c>
      <c r="BR261" s="133" t="str">
        <f>IF($A261&lt;&gt;0,VLOOKUP($A261,'0.Productos'!$A$3:$GG$587,'0.Productos'!DJ$1+1,0),"")</f>
        <v/>
      </c>
      <c r="BS261" s="133" t="str">
        <f>IF($A261&lt;&gt;0,VLOOKUP($A261,'0.Productos'!$A$3:$GG$587,'0.Productos'!DK$1+1,0),"")</f>
        <v/>
      </c>
      <c r="BT261" s="133" t="str">
        <f>IF($A261&lt;&gt;0,VLOOKUP($A261,'0.Productos'!$A$3:$GG$587,'0.Productos'!DL$1+1,0),"")</f>
        <v/>
      </c>
    </row>
    <row r="262" spans="1:72" x14ac:dyDescent="0.25">
      <c r="A262" s="17">
        <f>'0.Consolidado general'!A262</f>
        <v>0</v>
      </c>
      <c r="B262" s="133" t="str">
        <f>IF($A262&lt;&gt;0,VLOOKUP($A262,'0.Productos'!$A$3:$GG$587,'0.Productos'!AT$1+1,0),"")</f>
        <v/>
      </c>
      <c r="C262" s="133" t="str">
        <f>IF($A262&lt;&gt;0,VLOOKUP($A262,'0.Productos'!$A$3:$GG$587,'0.Productos'!AU$1+1,0),"")</f>
        <v/>
      </c>
      <c r="D262" s="133" t="str">
        <f>IF($A262&lt;&gt;0,VLOOKUP($A262,'0.Productos'!$A$3:$GG$587,'0.Productos'!AV$1+1,0),"")</f>
        <v/>
      </c>
      <c r="E262" s="133" t="str">
        <f>IF($A262&lt;&gt;0,VLOOKUP($A262,'0.Productos'!$A$3:$GG$587,'0.Productos'!AW$1+1,0),"")</f>
        <v/>
      </c>
      <c r="F262" s="133" t="str">
        <f>IF($A262&lt;&gt;0,VLOOKUP($A262,'0.Productos'!$A$3:$GG$587,'0.Productos'!AX$1+1,0),"")</f>
        <v/>
      </c>
      <c r="G262" s="133" t="str">
        <f>IF($A262&lt;&gt;0,VLOOKUP($A262,'0.Productos'!$A$3:$GG$587,'0.Productos'!AY$1+1,0),"")</f>
        <v/>
      </c>
      <c r="H262" s="133" t="str">
        <f>IF($A262&lt;&gt;0,VLOOKUP($A262,'0.Productos'!$A$3:$GG$587,'0.Productos'!AZ$1+1,0),"")</f>
        <v/>
      </c>
      <c r="I262" s="133" t="str">
        <f>IF($A262&lt;&gt;0,VLOOKUP($A262,'0.Productos'!$A$3:$GG$587,'0.Productos'!BA$1+1,0),"")</f>
        <v/>
      </c>
      <c r="J262" s="133" t="str">
        <f>IF($A262&lt;&gt;0,VLOOKUP($A262,'0.Productos'!$A$3:$GG$587,'0.Productos'!BB$1+1,0),"")</f>
        <v/>
      </c>
      <c r="K262" s="133" t="str">
        <f>IF($A262&lt;&gt;0,VLOOKUP($A262,'0.Productos'!$A$3:$GG$587,'0.Productos'!BC$1+1,0),"")</f>
        <v/>
      </c>
      <c r="L262" s="133" t="str">
        <f>IF($A262&lt;&gt;0,VLOOKUP($A262,'0.Productos'!$A$3:$GG$587,'0.Productos'!BD$1+1,0),"")</f>
        <v/>
      </c>
      <c r="M262" s="133" t="str">
        <f>IF($A262&lt;&gt;0,VLOOKUP($A262,'0.Productos'!$A$3:$GG$587,'0.Productos'!BE$1+1,0),"")</f>
        <v/>
      </c>
      <c r="N262" s="133" t="str">
        <f>IF($A262&lt;&gt;0,VLOOKUP($A262,'0.Productos'!$A$3:$GG$587,'0.Productos'!BF$1+1,0),"")</f>
        <v/>
      </c>
      <c r="O262" s="133" t="str">
        <f>IF($A262&lt;&gt;0,VLOOKUP($A262,'0.Productos'!$A$3:$GG$587,'0.Productos'!BG$1+1,0),"")</f>
        <v/>
      </c>
      <c r="P262" s="133" t="str">
        <f>IF($A262&lt;&gt;0,VLOOKUP($A262,'0.Productos'!$A$3:$GG$587,'0.Productos'!BH$1+1,0),"")</f>
        <v/>
      </c>
      <c r="Q262" s="133" t="str">
        <f>IF($A262&lt;&gt;0,VLOOKUP($A262,'0.Productos'!$A$3:$GG$587,'0.Productos'!BI$1+1,0),"")</f>
        <v/>
      </c>
      <c r="R262" s="133" t="str">
        <f>IF($A262&lt;&gt;0,VLOOKUP($A262,'0.Productos'!$A$3:$GG$587,'0.Productos'!BJ$1+1,0),"")</f>
        <v/>
      </c>
      <c r="S262" s="133" t="str">
        <f>IF($A262&lt;&gt;0,VLOOKUP($A262,'0.Productos'!$A$3:$GG$587,'0.Productos'!BK$1+1,0),"")</f>
        <v/>
      </c>
      <c r="T262" s="133" t="str">
        <f>IF($A262&lt;&gt;0,VLOOKUP($A262,'0.Productos'!$A$3:$GG$587,'0.Productos'!BL$1+1,0),"")</f>
        <v/>
      </c>
      <c r="U262" s="133" t="str">
        <f>IF($A262&lt;&gt;0,VLOOKUP($A262,'0.Productos'!$A$3:$GG$587,'0.Productos'!BM$1+1,0),"")</f>
        <v/>
      </c>
      <c r="V262" s="133" t="str">
        <f>IF($A262&lt;&gt;0,VLOOKUP($A262,'0.Productos'!$A$3:$GG$587,'0.Productos'!BN$1+1,0),"")</f>
        <v/>
      </c>
      <c r="W262" s="133" t="str">
        <f>IF($A262&lt;&gt;0,VLOOKUP($A262,'0.Productos'!$A$3:$GG$587,'0.Productos'!BO$1+1,0),"")</f>
        <v/>
      </c>
      <c r="X262" s="133" t="str">
        <f>IF($A262&lt;&gt;0,VLOOKUP($A262,'0.Productos'!$A$3:$GG$587,'0.Productos'!BP$1+1,0),"")</f>
        <v/>
      </c>
      <c r="Y262" s="133" t="str">
        <f>IF($A262&lt;&gt;0,VLOOKUP($A262,'0.Productos'!$A$3:$GG$587,'0.Productos'!BQ$1+1,0),"")</f>
        <v/>
      </c>
      <c r="Z262" s="133" t="str">
        <f>IF($A262&lt;&gt;0,VLOOKUP($A262,'0.Productos'!$A$3:$GG$587,'0.Productos'!BR$1+1,0),"")</f>
        <v/>
      </c>
      <c r="AA262" s="133" t="str">
        <f>IF($A262&lt;&gt;0,VLOOKUP($A262,'0.Productos'!$A$3:$GG$587,'0.Productos'!BS$1+1,0),"")</f>
        <v/>
      </c>
      <c r="AB262" s="133" t="str">
        <f>IF($A262&lt;&gt;0,VLOOKUP($A262,'0.Productos'!$A$3:$GG$587,'0.Productos'!BT$1+1,0),"")</f>
        <v/>
      </c>
      <c r="AC262" s="133" t="str">
        <f>IF($A262&lt;&gt;0,VLOOKUP($A262,'0.Productos'!$A$3:$GG$587,'0.Productos'!BU$1+1,0),"")</f>
        <v/>
      </c>
      <c r="AD262" s="133" t="str">
        <f>IF($A262&lt;&gt;0,VLOOKUP($A262,'0.Productos'!$A$3:$GG$587,'0.Productos'!BV$1+1,0),"")</f>
        <v/>
      </c>
      <c r="AE262" s="133" t="str">
        <f>IF($A262&lt;&gt;0,VLOOKUP($A262,'0.Productos'!$A$3:$GG$587,'0.Productos'!BW$1+1,0),"")</f>
        <v/>
      </c>
      <c r="AF262" s="133" t="str">
        <f>IF($A262&lt;&gt;0,VLOOKUP($A262,'0.Productos'!$A$3:$GG$587,'0.Productos'!BX$1+1,0),"")</f>
        <v/>
      </c>
      <c r="AG262" s="133" t="str">
        <f>IF($A262&lt;&gt;0,VLOOKUP($A262,'0.Productos'!$A$3:$GG$587,'0.Productos'!BY$1+1,0),"")</f>
        <v/>
      </c>
      <c r="AH262" s="133" t="str">
        <f>IF($A262&lt;&gt;0,VLOOKUP($A262,'0.Productos'!$A$3:$GG$587,'0.Productos'!BZ$1+1,0),"")</f>
        <v/>
      </c>
      <c r="AI262" s="133" t="str">
        <f>IF($A262&lt;&gt;0,VLOOKUP($A262,'0.Productos'!$A$3:$GG$587,'0.Productos'!CA$1+1,0),"")</f>
        <v/>
      </c>
      <c r="AJ262" s="133" t="str">
        <f>IF($A262&lt;&gt;0,VLOOKUP($A262,'0.Productos'!$A$3:$GG$587,'0.Productos'!CB$1+1,0),"")</f>
        <v/>
      </c>
      <c r="AK262" s="133" t="str">
        <f>IF($A262&lt;&gt;0,VLOOKUP($A262,'0.Productos'!$A$3:$GG$587,'0.Productos'!CC$1+1,0),"")</f>
        <v/>
      </c>
      <c r="AL262" s="133" t="str">
        <f>IF($A262&lt;&gt;0,VLOOKUP($A262,'0.Productos'!$A$3:$GG$587,'0.Productos'!CD$1+1,0),"")</f>
        <v/>
      </c>
      <c r="AM262" s="133" t="str">
        <f>IF($A262&lt;&gt;0,VLOOKUP($A262,'0.Productos'!$A$3:$GG$587,'0.Productos'!CE$1+1,0),"")</f>
        <v/>
      </c>
      <c r="AN262" s="133" t="str">
        <f>IF($A262&lt;&gt;0,VLOOKUP($A262,'0.Productos'!$A$3:$GG$587,'0.Productos'!CF$1+1,0),"")</f>
        <v/>
      </c>
      <c r="AO262" s="133" t="str">
        <f>IF($A262&lt;&gt;0,VLOOKUP($A262,'0.Productos'!$A$3:$GG$587,'0.Productos'!CG$1+1,0),"")</f>
        <v/>
      </c>
      <c r="AP262" s="133" t="str">
        <f>IF($A262&lt;&gt;0,VLOOKUP($A262,'0.Productos'!$A$3:$GG$587,'0.Productos'!CH$1+1,0),"")</f>
        <v/>
      </c>
      <c r="AQ262" s="133" t="str">
        <f>IF($A262&lt;&gt;0,VLOOKUP($A262,'0.Productos'!$A$3:$GG$587,'0.Productos'!CI$1+1,0),"")</f>
        <v/>
      </c>
      <c r="AR262" s="133" t="str">
        <f>IF($A262&lt;&gt;0,VLOOKUP($A262,'0.Productos'!$A$3:$GG$587,'0.Productos'!CJ$1+1,0),"")</f>
        <v/>
      </c>
      <c r="AS262" s="133" t="str">
        <f>IF($A262&lt;&gt;0,VLOOKUP($A262,'0.Productos'!$A$3:$GG$587,'0.Productos'!CK$1+1,0),"")</f>
        <v/>
      </c>
      <c r="AT262" s="133" t="str">
        <f>IF($A262&lt;&gt;0,VLOOKUP($A262,'0.Productos'!$A$3:$GG$587,'0.Productos'!CL$1+1,0),"")</f>
        <v/>
      </c>
      <c r="AU262" s="133" t="str">
        <f>IF($A262&lt;&gt;0,VLOOKUP($A262,'0.Productos'!$A$3:$GG$587,'0.Productos'!CM$1+1,0),"")</f>
        <v/>
      </c>
      <c r="AV262" s="133" t="str">
        <f>IF($A262&lt;&gt;0,VLOOKUP($A262,'0.Productos'!$A$3:$GG$587,'0.Productos'!CN$1+1,0),"")</f>
        <v/>
      </c>
      <c r="AW262" s="133" t="str">
        <f>IF($A262&lt;&gt;0,VLOOKUP($A262,'0.Productos'!$A$3:$GG$587,'0.Productos'!CO$1+1,0),"")</f>
        <v/>
      </c>
      <c r="AX262" s="133" t="str">
        <f>IF($A262&lt;&gt;0,VLOOKUP($A262,'0.Productos'!$A$3:$GG$587,'0.Productos'!CP$1+1,0),"")</f>
        <v/>
      </c>
      <c r="AY262" s="133" t="str">
        <f>IF($A262&lt;&gt;0,VLOOKUP($A262,'0.Productos'!$A$3:$GG$587,'0.Productos'!CQ$1+1,0),"")</f>
        <v/>
      </c>
      <c r="AZ262" s="133" t="str">
        <f>IF($A262&lt;&gt;0,VLOOKUP($A262,'0.Productos'!$A$3:$GG$587,'0.Productos'!CR$1+1,0),"")</f>
        <v/>
      </c>
      <c r="BA262" s="133" t="str">
        <f>IF($A262&lt;&gt;0,VLOOKUP($A262,'0.Productos'!$A$3:$GG$587,'0.Productos'!CS$1+1,0),"")</f>
        <v/>
      </c>
      <c r="BB262" s="133" t="str">
        <f>IF($A262&lt;&gt;0,VLOOKUP($A262,'0.Productos'!$A$3:$GG$587,'0.Productos'!CT$1+1,0),"")</f>
        <v/>
      </c>
      <c r="BC262" s="133" t="str">
        <f>IF($A262&lt;&gt;0,VLOOKUP($A262,'0.Productos'!$A$3:$GG$587,'0.Productos'!CU$1+1,0),"")</f>
        <v/>
      </c>
      <c r="BD262" s="133" t="str">
        <f>IF($A262&lt;&gt;0,VLOOKUP($A262,'0.Productos'!$A$3:$GG$587,'0.Productos'!CV$1+1,0),"")</f>
        <v/>
      </c>
      <c r="BE262" s="133" t="str">
        <f>IF($A262&lt;&gt;0,VLOOKUP($A262,'0.Productos'!$A$3:$GG$587,'0.Productos'!CW$1+1,0),"")</f>
        <v/>
      </c>
      <c r="BF262" s="133" t="str">
        <f>IF($A262&lt;&gt;0,VLOOKUP($A262,'0.Productos'!$A$3:$GG$587,'0.Productos'!CX$1+1,0),"")</f>
        <v/>
      </c>
      <c r="BG262" s="133" t="str">
        <f>IF($A262&lt;&gt;0,VLOOKUP($A262,'0.Productos'!$A$3:$GG$587,'0.Productos'!CY$1+1,0),"")</f>
        <v/>
      </c>
      <c r="BH262" s="133" t="str">
        <f>IF($A262&lt;&gt;0,VLOOKUP($A262,'0.Productos'!$A$3:$GG$587,'0.Productos'!CZ$1+1,0),"")</f>
        <v/>
      </c>
      <c r="BI262" s="133" t="str">
        <f>IF($A262&lt;&gt;0,VLOOKUP($A262,'0.Productos'!$A$3:$GG$587,'0.Productos'!DA$1+1,0),"")</f>
        <v/>
      </c>
      <c r="BJ262" s="133" t="str">
        <f>IF($A262&lt;&gt;0,VLOOKUP($A262,'0.Productos'!$A$3:$GG$587,'0.Productos'!DB$1+1,0),"")</f>
        <v/>
      </c>
      <c r="BK262" s="133" t="str">
        <f>IF($A262&lt;&gt;0,VLOOKUP($A262,'0.Productos'!$A$3:$GG$587,'0.Productos'!DC$1+1,0),"")</f>
        <v/>
      </c>
      <c r="BL262" s="133" t="str">
        <f>IF($A262&lt;&gt;0,VLOOKUP($A262,'0.Productos'!$A$3:$GG$587,'0.Productos'!DD$1+1,0),"")</f>
        <v/>
      </c>
      <c r="BM262" s="133" t="str">
        <f>IF($A262&lt;&gt;0,VLOOKUP($A262,'0.Productos'!$A$3:$GG$587,'0.Productos'!DE$1+1,0),"")</f>
        <v/>
      </c>
      <c r="BN262" s="133" t="str">
        <f>IF($A262&lt;&gt;0,VLOOKUP($A262,'0.Productos'!$A$3:$GG$587,'0.Productos'!DF$1+1,0),"")</f>
        <v/>
      </c>
      <c r="BO262" s="133" t="str">
        <f>IF($A262&lt;&gt;0,VLOOKUP($A262,'0.Productos'!$A$3:$GG$587,'0.Productos'!DG$1+1,0),"")</f>
        <v/>
      </c>
      <c r="BP262" s="133" t="str">
        <f>IF($A262&lt;&gt;0,VLOOKUP($A262,'0.Productos'!$A$3:$GG$587,'0.Productos'!DH$1+1,0),"")</f>
        <v/>
      </c>
      <c r="BQ262" s="133" t="str">
        <f>IF($A262&lt;&gt;0,VLOOKUP($A262,'0.Productos'!$A$3:$GG$587,'0.Productos'!DI$1+1,0),"")</f>
        <v/>
      </c>
      <c r="BR262" s="133" t="str">
        <f>IF($A262&lt;&gt;0,VLOOKUP($A262,'0.Productos'!$A$3:$GG$587,'0.Productos'!DJ$1+1,0),"")</f>
        <v/>
      </c>
      <c r="BS262" s="133" t="str">
        <f>IF($A262&lt;&gt;0,VLOOKUP($A262,'0.Productos'!$A$3:$GG$587,'0.Productos'!DK$1+1,0),"")</f>
        <v/>
      </c>
      <c r="BT262" s="133" t="str">
        <f>IF($A262&lt;&gt;0,VLOOKUP($A262,'0.Productos'!$A$3:$GG$587,'0.Productos'!DL$1+1,0),"")</f>
        <v/>
      </c>
    </row>
    <row r="263" spans="1:72" x14ac:dyDescent="0.25">
      <c r="A263" s="17">
        <f>'0.Consolidado general'!A263</f>
        <v>0</v>
      </c>
      <c r="B263" s="133" t="str">
        <f>IF($A263&lt;&gt;0,VLOOKUP($A263,'0.Productos'!$A$3:$GG$587,'0.Productos'!AT$1+1,0),"")</f>
        <v/>
      </c>
      <c r="C263" s="133" t="str">
        <f>IF($A263&lt;&gt;0,VLOOKUP($A263,'0.Productos'!$A$3:$GG$587,'0.Productos'!AU$1+1,0),"")</f>
        <v/>
      </c>
      <c r="D263" s="133" t="str">
        <f>IF($A263&lt;&gt;0,VLOOKUP($A263,'0.Productos'!$A$3:$GG$587,'0.Productos'!AV$1+1,0),"")</f>
        <v/>
      </c>
      <c r="E263" s="133" t="str">
        <f>IF($A263&lt;&gt;0,VLOOKUP($A263,'0.Productos'!$A$3:$GG$587,'0.Productos'!AW$1+1,0),"")</f>
        <v/>
      </c>
      <c r="F263" s="133" t="str">
        <f>IF($A263&lt;&gt;0,VLOOKUP($A263,'0.Productos'!$A$3:$GG$587,'0.Productos'!AX$1+1,0),"")</f>
        <v/>
      </c>
      <c r="G263" s="133" t="str">
        <f>IF($A263&lt;&gt;0,VLOOKUP($A263,'0.Productos'!$A$3:$GG$587,'0.Productos'!AY$1+1,0),"")</f>
        <v/>
      </c>
      <c r="H263" s="133" t="str">
        <f>IF($A263&lt;&gt;0,VLOOKUP($A263,'0.Productos'!$A$3:$GG$587,'0.Productos'!AZ$1+1,0),"")</f>
        <v/>
      </c>
      <c r="I263" s="133" t="str">
        <f>IF($A263&lt;&gt;0,VLOOKUP($A263,'0.Productos'!$A$3:$GG$587,'0.Productos'!BA$1+1,0),"")</f>
        <v/>
      </c>
      <c r="J263" s="133" t="str">
        <f>IF($A263&lt;&gt;0,VLOOKUP($A263,'0.Productos'!$A$3:$GG$587,'0.Productos'!BB$1+1,0),"")</f>
        <v/>
      </c>
      <c r="K263" s="133" t="str">
        <f>IF($A263&lt;&gt;0,VLOOKUP($A263,'0.Productos'!$A$3:$GG$587,'0.Productos'!BC$1+1,0),"")</f>
        <v/>
      </c>
      <c r="L263" s="133" t="str">
        <f>IF($A263&lt;&gt;0,VLOOKUP($A263,'0.Productos'!$A$3:$GG$587,'0.Productos'!BD$1+1,0),"")</f>
        <v/>
      </c>
      <c r="M263" s="133" t="str">
        <f>IF($A263&lt;&gt;0,VLOOKUP($A263,'0.Productos'!$A$3:$GG$587,'0.Productos'!BE$1+1,0),"")</f>
        <v/>
      </c>
      <c r="N263" s="133" t="str">
        <f>IF($A263&lt;&gt;0,VLOOKUP($A263,'0.Productos'!$A$3:$GG$587,'0.Productos'!BF$1+1,0),"")</f>
        <v/>
      </c>
      <c r="O263" s="133" t="str">
        <f>IF($A263&lt;&gt;0,VLOOKUP($A263,'0.Productos'!$A$3:$GG$587,'0.Productos'!BG$1+1,0),"")</f>
        <v/>
      </c>
      <c r="P263" s="133" t="str">
        <f>IF($A263&lt;&gt;0,VLOOKUP($A263,'0.Productos'!$A$3:$GG$587,'0.Productos'!BH$1+1,0),"")</f>
        <v/>
      </c>
      <c r="Q263" s="133" t="str">
        <f>IF($A263&lt;&gt;0,VLOOKUP($A263,'0.Productos'!$A$3:$GG$587,'0.Productos'!BI$1+1,0),"")</f>
        <v/>
      </c>
      <c r="R263" s="133" t="str">
        <f>IF($A263&lt;&gt;0,VLOOKUP($A263,'0.Productos'!$A$3:$GG$587,'0.Productos'!BJ$1+1,0),"")</f>
        <v/>
      </c>
      <c r="S263" s="133" t="str">
        <f>IF($A263&lt;&gt;0,VLOOKUP($A263,'0.Productos'!$A$3:$GG$587,'0.Productos'!BK$1+1,0),"")</f>
        <v/>
      </c>
      <c r="T263" s="133" t="str">
        <f>IF($A263&lt;&gt;0,VLOOKUP($A263,'0.Productos'!$A$3:$GG$587,'0.Productos'!BL$1+1,0),"")</f>
        <v/>
      </c>
      <c r="U263" s="133" t="str">
        <f>IF($A263&lt;&gt;0,VLOOKUP($A263,'0.Productos'!$A$3:$GG$587,'0.Productos'!BM$1+1,0),"")</f>
        <v/>
      </c>
      <c r="V263" s="133" t="str">
        <f>IF($A263&lt;&gt;0,VLOOKUP($A263,'0.Productos'!$A$3:$GG$587,'0.Productos'!BN$1+1,0),"")</f>
        <v/>
      </c>
      <c r="W263" s="133" t="str">
        <f>IF($A263&lt;&gt;0,VLOOKUP($A263,'0.Productos'!$A$3:$GG$587,'0.Productos'!BO$1+1,0),"")</f>
        <v/>
      </c>
      <c r="X263" s="133" t="str">
        <f>IF($A263&lt;&gt;0,VLOOKUP($A263,'0.Productos'!$A$3:$GG$587,'0.Productos'!BP$1+1,0),"")</f>
        <v/>
      </c>
      <c r="Y263" s="133" t="str">
        <f>IF($A263&lt;&gt;0,VLOOKUP($A263,'0.Productos'!$A$3:$GG$587,'0.Productos'!BQ$1+1,0),"")</f>
        <v/>
      </c>
      <c r="Z263" s="133" t="str">
        <f>IF($A263&lt;&gt;0,VLOOKUP($A263,'0.Productos'!$A$3:$GG$587,'0.Productos'!BR$1+1,0),"")</f>
        <v/>
      </c>
      <c r="AA263" s="133" t="str">
        <f>IF($A263&lt;&gt;0,VLOOKUP($A263,'0.Productos'!$A$3:$GG$587,'0.Productos'!BS$1+1,0),"")</f>
        <v/>
      </c>
      <c r="AB263" s="133" t="str">
        <f>IF($A263&lt;&gt;0,VLOOKUP($A263,'0.Productos'!$A$3:$GG$587,'0.Productos'!BT$1+1,0),"")</f>
        <v/>
      </c>
      <c r="AC263" s="133" t="str">
        <f>IF($A263&lt;&gt;0,VLOOKUP($A263,'0.Productos'!$A$3:$GG$587,'0.Productos'!BU$1+1,0),"")</f>
        <v/>
      </c>
      <c r="AD263" s="133" t="str">
        <f>IF($A263&lt;&gt;0,VLOOKUP($A263,'0.Productos'!$A$3:$GG$587,'0.Productos'!BV$1+1,0),"")</f>
        <v/>
      </c>
      <c r="AE263" s="133" t="str">
        <f>IF($A263&lt;&gt;0,VLOOKUP($A263,'0.Productos'!$A$3:$GG$587,'0.Productos'!BW$1+1,0),"")</f>
        <v/>
      </c>
      <c r="AF263" s="133" t="str">
        <f>IF($A263&lt;&gt;0,VLOOKUP($A263,'0.Productos'!$A$3:$GG$587,'0.Productos'!BX$1+1,0),"")</f>
        <v/>
      </c>
      <c r="AG263" s="133" t="str">
        <f>IF($A263&lt;&gt;0,VLOOKUP($A263,'0.Productos'!$A$3:$GG$587,'0.Productos'!BY$1+1,0),"")</f>
        <v/>
      </c>
      <c r="AH263" s="133" t="str">
        <f>IF($A263&lt;&gt;0,VLOOKUP($A263,'0.Productos'!$A$3:$GG$587,'0.Productos'!BZ$1+1,0),"")</f>
        <v/>
      </c>
      <c r="AI263" s="133" t="str">
        <f>IF($A263&lt;&gt;0,VLOOKUP($A263,'0.Productos'!$A$3:$GG$587,'0.Productos'!CA$1+1,0),"")</f>
        <v/>
      </c>
      <c r="AJ263" s="133" t="str">
        <f>IF($A263&lt;&gt;0,VLOOKUP($A263,'0.Productos'!$A$3:$GG$587,'0.Productos'!CB$1+1,0),"")</f>
        <v/>
      </c>
      <c r="AK263" s="133" t="str">
        <f>IF($A263&lt;&gt;0,VLOOKUP($A263,'0.Productos'!$A$3:$GG$587,'0.Productos'!CC$1+1,0),"")</f>
        <v/>
      </c>
      <c r="AL263" s="133" t="str">
        <f>IF($A263&lt;&gt;0,VLOOKUP($A263,'0.Productos'!$A$3:$GG$587,'0.Productos'!CD$1+1,0),"")</f>
        <v/>
      </c>
      <c r="AM263" s="133" t="str">
        <f>IF($A263&lt;&gt;0,VLOOKUP($A263,'0.Productos'!$A$3:$GG$587,'0.Productos'!CE$1+1,0),"")</f>
        <v/>
      </c>
      <c r="AN263" s="133" t="str">
        <f>IF($A263&lt;&gt;0,VLOOKUP($A263,'0.Productos'!$A$3:$GG$587,'0.Productos'!CF$1+1,0),"")</f>
        <v/>
      </c>
      <c r="AO263" s="133" t="str">
        <f>IF($A263&lt;&gt;0,VLOOKUP($A263,'0.Productos'!$A$3:$GG$587,'0.Productos'!CG$1+1,0),"")</f>
        <v/>
      </c>
      <c r="AP263" s="133" t="str">
        <f>IF($A263&lt;&gt;0,VLOOKUP($A263,'0.Productos'!$A$3:$GG$587,'0.Productos'!CH$1+1,0),"")</f>
        <v/>
      </c>
      <c r="AQ263" s="133" t="str">
        <f>IF($A263&lt;&gt;0,VLOOKUP($A263,'0.Productos'!$A$3:$GG$587,'0.Productos'!CI$1+1,0),"")</f>
        <v/>
      </c>
      <c r="AR263" s="133" t="str">
        <f>IF($A263&lt;&gt;0,VLOOKUP($A263,'0.Productos'!$A$3:$GG$587,'0.Productos'!CJ$1+1,0),"")</f>
        <v/>
      </c>
      <c r="AS263" s="133" t="str">
        <f>IF($A263&lt;&gt;0,VLOOKUP($A263,'0.Productos'!$A$3:$GG$587,'0.Productos'!CK$1+1,0),"")</f>
        <v/>
      </c>
      <c r="AT263" s="133" t="str">
        <f>IF($A263&lt;&gt;0,VLOOKUP($A263,'0.Productos'!$A$3:$GG$587,'0.Productos'!CL$1+1,0),"")</f>
        <v/>
      </c>
      <c r="AU263" s="133" t="str">
        <f>IF($A263&lt;&gt;0,VLOOKUP($A263,'0.Productos'!$A$3:$GG$587,'0.Productos'!CM$1+1,0),"")</f>
        <v/>
      </c>
      <c r="AV263" s="133" t="str">
        <f>IF($A263&lt;&gt;0,VLOOKUP($A263,'0.Productos'!$A$3:$GG$587,'0.Productos'!CN$1+1,0),"")</f>
        <v/>
      </c>
      <c r="AW263" s="133" t="str">
        <f>IF($A263&lt;&gt;0,VLOOKUP($A263,'0.Productos'!$A$3:$GG$587,'0.Productos'!CO$1+1,0),"")</f>
        <v/>
      </c>
      <c r="AX263" s="133" t="str">
        <f>IF($A263&lt;&gt;0,VLOOKUP($A263,'0.Productos'!$A$3:$GG$587,'0.Productos'!CP$1+1,0),"")</f>
        <v/>
      </c>
      <c r="AY263" s="133" t="str">
        <f>IF($A263&lt;&gt;0,VLOOKUP($A263,'0.Productos'!$A$3:$GG$587,'0.Productos'!CQ$1+1,0),"")</f>
        <v/>
      </c>
      <c r="AZ263" s="133" t="str">
        <f>IF($A263&lt;&gt;0,VLOOKUP($A263,'0.Productos'!$A$3:$GG$587,'0.Productos'!CR$1+1,0),"")</f>
        <v/>
      </c>
      <c r="BA263" s="133" t="str">
        <f>IF($A263&lt;&gt;0,VLOOKUP($A263,'0.Productos'!$A$3:$GG$587,'0.Productos'!CS$1+1,0),"")</f>
        <v/>
      </c>
      <c r="BB263" s="133" t="str">
        <f>IF($A263&lt;&gt;0,VLOOKUP($A263,'0.Productos'!$A$3:$GG$587,'0.Productos'!CT$1+1,0),"")</f>
        <v/>
      </c>
      <c r="BC263" s="133" t="str">
        <f>IF($A263&lt;&gt;0,VLOOKUP($A263,'0.Productos'!$A$3:$GG$587,'0.Productos'!CU$1+1,0),"")</f>
        <v/>
      </c>
      <c r="BD263" s="133" t="str">
        <f>IF($A263&lt;&gt;0,VLOOKUP($A263,'0.Productos'!$A$3:$GG$587,'0.Productos'!CV$1+1,0),"")</f>
        <v/>
      </c>
      <c r="BE263" s="133" t="str">
        <f>IF($A263&lt;&gt;0,VLOOKUP($A263,'0.Productos'!$A$3:$GG$587,'0.Productos'!CW$1+1,0),"")</f>
        <v/>
      </c>
      <c r="BF263" s="133" t="str">
        <f>IF($A263&lt;&gt;0,VLOOKUP($A263,'0.Productos'!$A$3:$GG$587,'0.Productos'!CX$1+1,0),"")</f>
        <v/>
      </c>
      <c r="BG263" s="133" t="str">
        <f>IF($A263&lt;&gt;0,VLOOKUP($A263,'0.Productos'!$A$3:$GG$587,'0.Productos'!CY$1+1,0),"")</f>
        <v/>
      </c>
      <c r="BH263" s="133" t="str">
        <f>IF($A263&lt;&gt;0,VLOOKUP($A263,'0.Productos'!$A$3:$GG$587,'0.Productos'!CZ$1+1,0),"")</f>
        <v/>
      </c>
      <c r="BI263" s="133" t="str">
        <f>IF($A263&lt;&gt;0,VLOOKUP($A263,'0.Productos'!$A$3:$GG$587,'0.Productos'!DA$1+1,0),"")</f>
        <v/>
      </c>
      <c r="BJ263" s="133" t="str">
        <f>IF($A263&lt;&gt;0,VLOOKUP($A263,'0.Productos'!$A$3:$GG$587,'0.Productos'!DB$1+1,0),"")</f>
        <v/>
      </c>
      <c r="BK263" s="133" t="str">
        <f>IF($A263&lt;&gt;0,VLOOKUP($A263,'0.Productos'!$A$3:$GG$587,'0.Productos'!DC$1+1,0),"")</f>
        <v/>
      </c>
      <c r="BL263" s="133" t="str">
        <f>IF($A263&lt;&gt;0,VLOOKUP($A263,'0.Productos'!$A$3:$GG$587,'0.Productos'!DD$1+1,0),"")</f>
        <v/>
      </c>
      <c r="BM263" s="133" t="str">
        <f>IF($A263&lt;&gt;0,VLOOKUP($A263,'0.Productos'!$A$3:$GG$587,'0.Productos'!DE$1+1,0),"")</f>
        <v/>
      </c>
      <c r="BN263" s="133" t="str">
        <f>IF($A263&lt;&gt;0,VLOOKUP($A263,'0.Productos'!$A$3:$GG$587,'0.Productos'!DF$1+1,0),"")</f>
        <v/>
      </c>
      <c r="BO263" s="133" t="str">
        <f>IF($A263&lt;&gt;0,VLOOKUP($A263,'0.Productos'!$A$3:$GG$587,'0.Productos'!DG$1+1,0),"")</f>
        <v/>
      </c>
      <c r="BP263" s="133" t="str">
        <f>IF($A263&lt;&gt;0,VLOOKUP($A263,'0.Productos'!$A$3:$GG$587,'0.Productos'!DH$1+1,0),"")</f>
        <v/>
      </c>
      <c r="BQ263" s="133" t="str">
        <f>IF($A263&lt;&gt;0,VLOOKUP($A263,'0.Productos'!$A$3:$GG$587,'0.Productos'!DI$1+1,0),"")</f>
        <v/>
      </c>
      <c r="BR263" s="133" t="str">
        <f>IF($A263&lt;&gt;0,VLOOKUP($A263,'0.Productos'!$A$3:$GG$587,'0.Productos'!DJ$1+1,0),"")</f>
        <v/>
      </c>
      <c r="BS263" s="133" t="str">
        <f>IF($A263&lt;&gt;0,VLOOKUP($A263,'0.Productos'!$A$3:$GG$587,'0.Productos'!DK$1+1,0),"")</f>
        <v/>
      </c>
      <c r="BT263" s="133" t="str">
        <f>IF($A263&lt;&gt;0,VLOOKUP($A263,'0.Productos'!$A$3:$GG$587,'0.Productos'!DL$1+1,0),"")</f>
        <v/>
      </c>
    </row>
    <row r="264" spans="1:72" x14ac:dyDescent="0.25">
      <c r="A264" s="17">
        <f>'0.Consolidado general'!A264</f>
        <v>0</v>
      </c>
      <c r="B264" s="133" t="str">
        <f>IF($A264&lt;&gt;0,VLOOKUP($A264,'0.Productos'!$A$3:$GG$587,'0.Productos'!AT$1+1,0),"")</f>
        <v/>
      </c>
      <c r="C264" s="133" t="str">
        <f>IF($A264&lt;&gt;0,VLOOKUP($A264,'0.Productos'!$A$3:$GG$587,'0.Productos'!AU$1+1,0),"")</f>
        <v/>
      </c>
      <c r="D264" s="133" t="str">
        <f>IF($A264&lt;&gt;0,VLOOKUP($A264,'0.Productos'!$A$3:$GG$587,'0.Productos'!AV$1+1,0),"")</f>
        <v/>
      </c>
      <c r="E264" s="133" t="str">
        <f>IF($A264&lt;&gt;0,VLOOKUP($A264,'0.Productos'!$A$3:$GG$587,'0.Productos'!AW$1+1,0),"")</f>
        <v/>
      </c>
      <c r="F264" s="133" t="str">
        <f>IF($A264&lt;&gt;0,VLOOKUP($A264,'0.Productos'!$A$3:$GG$587,'0.Productos'!AX$1+1,0),"")</f>
        <v/>
      </c>
      <c r="G264" s="133" t="str">
        <f>IF($A264&lt;&gt;0,VLOOKUP($A264,'0.Productos'!$A$3:$GG$587,'0.Productos'!AY$1+1,0),"")</f>
        <v/>
      </c>
      <c r="H264" s="133" t="str">
        <f>IF($A264&lt;&gt;0,VLOOKUP($A264,'0.Productos'!$A$3:$GG$587,'0.Productos'!AZ$1+1,0),"")</f>
        <v/>
      </c>
      <c r="I264" s="133" t="str">
        <f>IF($A264&lt;&gt;0,VLOOKUP($A264,'0.Productos'!$A$3:$GG$587,'0.Productos'!BA$1+1,0),"")</f>
        <v/>
      </c>
      <c r="J264" s="133" t="str">
        <f>IF($A264&lt;&gt;0,VLOOKUP($A264,'0.Productos'!$A$3:$GG$587,'0.Productos'!BB$1+1,0),"")</f>
        <v/>
      </c>
      <c r="K264" s="133" t="str">
        <f>IF($A264&lt;&gt;0,VLOOKUP($A264,'0.Productos'!$A$3:$GG$587,'0.Productos'!BC$1+1,0),"")</f>
        <v/>
      </c>
      <c r="L264" s="133" t="str">
        <f>IF($A264&lt;&gt;0,VLOOKUP($A264,'0.Productos'!$A$3:$GG$587,'0.Productos'!BD$1+1,0),"")</f>
        <v/>
      </c>
      <c r="M264" s="133" t="str">
        <f>IF($A264&lt;&gt;0,VLOOKUP($A264,'0.Productos'!$A$3:$GG$587,'0.Productos'!BE$1+1,0),"")</f>
        <v/>
      </c>
      <c r="N264" s="133" t="str">
        <f>IF($A264&lt;&gt;0,VLOOKUP($A264,'0.Productos'!$A$3:$GG$587,'0.Productos'!BF$1+1,0),"")</f>
        <v/>
      </c>
      <c r="O264" s="133" t="str">
        <f>IF($A264&lt;&gt;0,VLOOKUP($A264,'0.Productos'!$A$3:$GG$587,'0.Productos'!BG$1+1,0),"")</f>
        <v/>
      </c>
      <c r="P264" s="133" t="str">
        <f>IF($A264&lt;&gt;0,VLOOKUP($A264,'0.Productos'!$A$3:$GG$587,'0.Productos'!BH$1+1,0),"")</f>
        <v/>
      </c>
      <c r="Q264" s="133" t="str">
        <f>IF($A264&lt;&gt;0,VLOOKUP($A264,'0.Productos'!$A$3:$GG$587,'0.Productos'!BI$1+1,0),"")</f>
        <v/>
      </c>
      <c r="R264" s="133" t="str">
        <f>IF($A264&lt;&gt;0,VLOOKUP($A264,'0.Productos'!$A$3:$GG$587,'0.Productos'!BJ$1+1,0),"")</f>
        <v/>
      </c>
      <c r="S264" s="133" t="str">
        <f>IF($A264&lt;&gt;0,VLOOKUP($A264,'0.Productos'!$A$3:$GG$587,'0.Productos'!BK$1+1,0),"")</f>
        <v/>
      </c>
      <c r="T264" s="133" t="str">
        <f>IF($A264&lt;&gt;0,VLOOKUP($A264,'0.Productos'!$A$3:$GG$587,'0.Productos'!BL$1+1,0),"")</f>
        <v/>
      </c>
      <c r="U264" s="133" t="str">
        <f>IF($A264&lt;&gt;0,VLOOKUP($A264,'0.Productos'!$A$3:$GG$587,'0.Productos'!BM$1+1,0),"")</f>
        <v/>
      </c>
      <c r="V264" s="133" t="str">
        <f>IF($A264&lt;&gt;0,VLOOKUP($A264,'0.Productos'!$A$3:$GG$587,'0.Productos'!BN$1+1,0),"")</f>
        <v/>
      </c>
      <c r="W264" s="133" t="str">
        <f>IF($A264&lt;&gt;0,VLOOKUP($A264,'0.Productos'!$A$3:$GG$587,'0.Productos'!BO$1+1,0),"")</f>
        <v/>
      </c>
      <c r="X264" s="133" t="str">
        <f>IF($A264&lt;&gt;0,VLOOKUP($A264,'0.Productos'!$A$3:$GG$587,'0.Productos'!BP$1+1,0),"")</f>
        <v/>
      </c>
      <c r="Y264" s="133" t="str">
        <f>IF($A264&lt;&gt;0,VLOOKUP($A264,'0.Productos'!$A$3:$GG$587,'0.Productos'!BQ$1+1,0),"")</f>
        <v/>
      </c>
      <c r="Z264" s="133" t="str">
        <f>IF($A264&lt;&gt;0,VLOOKUP($A264,'0.Productos'!$A$3:$GG$587,'0.Productos'!BR$1+1,0),"")</f>
        <v/>
      </c>
      <c r="AA264" s="133" t="str">
        <f>IF($A264&lt;&gt;0,VLOOKUP($A264,'0.Productos'!$A$3:$GG$587,'0.Productos'!BS$1+1,0),"")</f>
        <v/>
      </c>
      <c r="AB264" s="133" t="str">
        <f>IF($A264&lt;&gt;0,VLOOKUP($A264,'0.Productos'!$A$3:$GG$587,'0.Productos'!BT$1+1,0),"")</f>
        <v/>
      </c>
      <c r="AC264" s="133" t="str">
        <f>IF($A264&lt;&gt;0,VLOOKUP($A264,'0.Productos'!$A$3:$GG$587,'0.Productos'!BU$1+1,0),"")</f>
        <v/>
      </c>
      <c r="AD264" s="133" t="str">
        <f>IF($A264&lt;&gt;0,VLOOKUP($A264,'0.Productos'!$A$3:$GG$587,'0.Productos'!BV$1+1,0),"")</f>
        <v/>
      </c>
      <c r="AE264" s="133" t="str">
        <f>IF($A264&lt;&gt;0,VLOOKUP($A264,'0.Productos'!$A$3:$GG$587,'0.Productos'!BW$1+1,0),"")</f>
        <v/>
      </c>
      <c r="AF264" s="133" t="str">
        <f>IF($A264&lt;&gt;0,VLOOKUP($A264,'0.Productos'!$A$3:$GG$587,'0.Productos'!BX$1+1,0),"")</f>
        <v/>
      </c>
      <c r="AG264" s="133" t="str">
        <f>IF($A264&lt;&gt;0,VLOOKUP($A264,'0.Productos'!$A$3:$GG$587,'0.Productos'!BY$1+1,0),"")</f>
        <v/>
      </c>
      <c r="AH264" s="133" t="str">
        <f>IF($A264&lt;&gt;0,VLOOKUP($A264,'0.Productos'!$A$3:$GG$587,'0.Productos'!BZ$1+1,0),"")</f>
        <v/>
      </c>
      <c r="AI264" s="133" t="str">
        <f>IF($A264&lt;&gt;0,VLOOKUP($A264,'0.Productos'!$A$3:$GG$587,'0.Productos'!CA$1+1,0),"")</f>
        <v/>
      </c>
      <c r="AJ264" s="133" t="str">
        <f>IF($A264&lt;&gt;0,VLOOKUP($A264,'0.Productos'!$A$3:$GG$587,'0.Productos'!CB$1+1,0),"")</f>
        <v/>
      </c>
      <c r="AK264" s="133" t="str">
        <f>IF($A264&lt;&gt;0,VLOOKUP($A264,'0.Productos'!$A$3:$GG$587,'0.Productos'!CC$1+1,0),"")</f>
        <v/>
      </c>
      <c r="AL264" s="133" t="str">
        <f>IF($A264&lt;&gt;0,VLOOKUP($A264,'0.Productos'!$A$3:$GG$587,'0.Productos'!CD$1+1,0),"")</f>
        <v/>
      </c>
      <c r="AM264" s="133" t="str">
        <f>IF($A264&lt;&gt;0,VLOOKUP($A264,'0.Productos'!$A$3:$GG$587,'0.Productos'!CE$1+1,0),"")</f>
        <v/>
      </c>
      <c r="AN264" s="133" t="str">
        <f>IF($A264&lt;&gt;0,VLOOKUP($A264,'0.Productos'!$A$3:$GG$587,'0.Productos'!CF$1+1,0),"")</f>
        <v/>
      </c>
      <c r="AO264" s="133" t="str">
        <f>IF($A264&lt;&gt;0,VLOOKUP($A264,'0.Productos'!$A$3:$GG$587,'0.Productos'!CG$1+1,0),"")</f>
        <v/>
      </c>
      <c r="AP264" s="133" t="str">
        <f>IF($A264&lt;&gt;0,VLOOKUP($A264,'0.Productos'!$A$3:$GG$587,'0.Productos'!CH$1+1,0),"")</f>
        <v/>
      </c>
      <c r="AQ264" s="133" t="str">
        <f>IF($A264&lt;&gt;0,VLOOKUP($A264,'0.Productos'!$A$3:$GG$587,'0.Productos'!CI$1+1,0),"")</f>
        <v/>
      </c>
      <c r="AR264" s="133" t="str">
        <f>IF($A264&lt;&gt;0,VLOOKUP($A264,'0.Productos'!$A$3:$GG$587,'0.Productos'!CJ$1+1,0),"")</f>
        <v/>
      </c>
      <c r="AS264" s="133" t="str">
        <f>IF($A264&lt;&gt;0,VLOOKUP($A264,'0.Productos'!$A$3:$GG$587,'0.Productos'!CK$1+1,0),"")</f>
        <v/>
      </c>
      <c r="AT264" s="133" t="str">
        <f>IF($A264&lt;&gt;0,VLOOKUP($A264,'0.Productos'!$A$3:$GG$587,'0.Productos'!CL$1+1,0),"")</f>
        <v/>
      </c>
      <c r="AU264" s="133" t="str">
        <f>IF($A264&lt;&gt;0,VLOOKUP($A264,'0.Productos'!$A$3:$GG$587,'0.Productos'!CM$1+1,0),"")</f>
        <v/>
      </c>
      <c r="AV264" s="133" t="str">
        <f>IF($A264&lt;&gt;0,VLOOKUP($A264,'0.Productos'!$A$3:$GG$587,'0.Productos'!CN$1+1,0),"")</f>
        <v/>
      </c>
      <c r="AW264" s="133" t="str">
        <f>IF($A264&lt;&gt;0,VLOOKUP($A264,'0.Productos'!$A$3:$GG$587,'0.Productos'!CO$1+1,0),"")</f>
        <v/>
      </c>
      <c r="AX264" s="133" t="str">
        <f>IF($A264&lt;&gt;0,VLOOKUP($A264,'0.Productos'!$A$3:$GG$587,'0.Productos'!CP$1+1,0),"")</f>
        <v/>
      </c>
      <c r="AY264" s="133" t="str">
        <f>IF($A264&lt;&gt;0,VLOOKUP($A264,'0.Productos'!$A$3:$GG$587,'0.Productos'!CQ$1+1,0),"")</f>
        <v/>
      </c>
      <c r="AZ264" s="133" t="str">
        <f>IF($A264&lt;&gt;0,VLOOKUP($A264,'0.Productos'!$A$3:$GG$587,'0.Productos'!CR$1+1,0),"")</f>
        <v/>
      </c>
      <c r="BA264" s="133" t="str">
        <f>IF($A264&lt;&gt;0,VLOOKUP($A264,'0.Productos'!$A$3:$GG$587,'0.Productos'!CS$1+1,0),"")</f>
        <v/>
      </c>
      <c r="BB264" s="133" t="str">
        <f>IF($A264&lt;&gt;0,VLOOKUP($A264,'0.Productos'!$A$3:$GG$587,'0.Productos'!CT$1+1,0),"")</f>
        <v/>
      </c>
      <c r="BC264" s="133" t="str">
        <f>IF($A264&lt;&gt;0,VLOOKUP($A264,'0.Productos'!$A$3:$GG$587,'0.Productos'!CU$1+1,0),"")</f>
        <v/>
      </c>
      <c r="BD264" s="133" t="str">
        <f>IF($A264&lt;&gt;0,VLOOKUP($A264,'0.Productos'!$A$3:$GG$587,'0.Productos'!CV$1+1,0),"")</f>
        <v/>
      </c>
      <c r="BE264" s="133" t="str">
        <f>IF($A264&lt;&gt;0,VLOOKUP($A264,'0.Productos'!$A$3:$GG$587,'0.Productos'!CW$1+1,0),"")</f>
        <v/>
      </c>
      <c r="BF264" s="133" t="str">
        <f>IF($A264&lt;&gt;0,VLOOKUP($A264,'0.Productos'!$A$3:$GG$587,'0.Productos'!CX$1+1,0),"")</f>
        <v/>
      </c>
      <c r="BG264" s="133" t="str">
        <f>IF($A264&lt;&gt;0,VLOOKUP($A264,'0.Productos'!$A$3:$GG$587,'0.Productos'!CY$1+1,0),"")</f>
        <v/>
      </c>
      <c r="BH264" s="133" t="str">
        <f>IF($A264&lt;&gt;0,VLOOKUP($A264,'0.Productos'!$A$3:$GG$587,'0.Productos'!CZ$1+1,0),"")</f>
        <v/>
      </c>
      <c r="BI264" s="133" t="str">
        <f>IF($A264&lt;&gt;0,VLOOKUP($A264,'0.Productos'!$A$3:$GG$587,'0.Productos'!DA$1+1,0),"")</f>
        <v/>
      </c>
      <c r="BJ264" s="133" t="str">
        <f>IF($A264&lt;&gt;0,VLOOKUP($A264,'0.Productos'!$A$3:$GG$587,'0.Productos'!DB$1+1,0),"")</f>
        <v/>
      </c>
      <c r="BK264" s="133" t="str">
        <f>IF($A264&lt;&gt;0,VLOOKUP($A264,'0.Productos'!$A$3:$GG$587,'0.Productos'!DC$1+1,0),"")</f>
        <v/>
      </c>
      <c r="BL264" s="133" t="str">
        <f>IF($A264&lt;&gt;0,VLOOKUP($A264,'0.Productos'!$A$3:$GG$587,'0.Productos'!DD$1+1,0),"")</f>
        <v/>
      </c>
      <c r="BM264" s="133" t="str">
        <f>IF($A264&lt;&gt;0,VLOOKUP($A264,'0.Productos'!$A$3:$GG$587,'0.Productos'!DE$1+1,0),"")</f>
        <v/>
      </c>
      <c r="BN264" s="133" t="str">
        <f>IF($A264&lt;&gt;0,VLOOKUP($A264,'0.Productos'!$A$3:$GG$587,'0.Productos'!DF$1+1,0),"")</f>
        <v/>
      </c>
      <c r="BO264" s="133" t="str">
        <f>IF($A264&lt;&gt;0,VLOOKUP($A264,'0.Productos'!$A$3:$GG$587,'0.Productos'!DG$1+1,0),"")</f>
        <v/>
      </c>
      <c r="BP264" s="133" t="str">
        <f>IF($A264&lt;&gt;0,VLOOKUP($A264,'0.Productos'!$A$3:$GG$587,'0.Productos'!DH$1+1,0),"")</f>
        <v/>
      </c>
      <c r="BQ264" s="133" t="str">
        <f>IF($A264&lt;&gt;0,VLOOKUP($A264,'0.Productos'!$A$3:$GG$587,'0.Productos'!DI$1+1,0),"")</f>
        <v/>
      </c>
      <c r="BR264" s="133" t="str">
        <f>IF($A264&lt;&gt;0,VLOOKUP($A264,'0.Productos'!$A$3:$GG$587,'0.Productos'!DJ$1+1,0),"")</f>
        <v/>
      </c>
      <c r="BS264" s="133" t="str">
        <f>IF($A264&lt;&gt;0,VLOOKUP($A264,'0.Productos'!$A$3:$GG$587,'0.Productos'!DK$1+1,0),"")</f>
        <v/>
      </c>
      <c r="BT264" s="133" t="str">
        <f>IF($A264&lt;&gt;0,VLOOKUP($A264,'0.Productos'!$A$3:$GG$587,'0.Productos'!DL$1+1,0),"")</f>
        <v/>
      </c>
    </row>
    <row r="265" spans="1:72" x14ac:dyDescent="0.25">
      <c r="A265" s="17">
        <f>'0.Consolidado general'!A265</f>
        <v>0</v>
      </c>
      <c r="B265" s="133" t="str">
        <f>IF($A265&lt;&gt;0,VLOOKUP($A265,'0.Productos'!$A$3:$GG$587,'0.Productos'!AT$1+1,0),"")</f>
        <v/>
      </c>
      <c r="C265" s="133" t="str">
        <f>IF($A265&lt;&gt;0,VLOOKUP($A265,'0.Productos'!$A$3:$GG$587,'0.Productos'!AU$1+1,0),"")</f>
        <v/>
      </c>
      <c r="D265" s="133" t="str">
        <f>IF($A265&lt;&gt;0,VLOOKUP($A265,'0.Productos'!$A$3:$GG$587,'0.Productos'!AV$1+1,0),"")</f>
        <v/>
      </c>
      <c r="E265" s="133" t="str">
        <f>IF($A265&lt;&gt;0,VLOOKUP($A265,'0.Productos'!$A$3:$GG$587,'0.Productos'!AW$1+1,0),"")</f>
        <v/>
      </c>
      <c r="F265" s="133" t="str">
        <f>IF($A265&lt;&gt;0,VLOOKUP($A265,'0.Productos'!$A$3:$GG$587,'0.Productos'!AX$1+1,0),"")</f>
        <v/>
      </c>
      <c r="G265" s="133" t="str">
        <f>IF($A265&lt;&gt;0,VLOOKUP($A265,'0.Productos'!$A$3:$GG$587,'0.Productos'!AY$1+1,0),"")</f>
        <v/>
      </c>
      <c r="H265" s="133" t="str">
        <f>IF($A265&lt;&gt;0,VLOOKUP($A265,'0.Productos'!$A$3:$GG$587,'0.Productos'!AZ$1+1,0),"")</f>
        <v/>
      </c>
      <c r="I265" s="133" t="str">
        <f>IF($A265&lt;&gt;0,VLOOKUP($A265,'0.Productos'!$A$3:$GG$587,'0.Productos'!BA$1+1,0),"")</f>
        <v/>
      </c>
      <c r="J265" s="133" t="str">
        <f>IF($A265&lt;&gt;0,VLOOKUP($A265,'0.Productos'!$A$3:$GG$587,'0.Productos'!BB$1+1,0),"")</f>
        <v/>
      </c>
      <c r="K265" s="133" t="str">
        <f>IF($A265&lt;&gt;0,VLOOKUP($A265,'0.Productos'!$A$3:$GG$587,'0.Productos'!BC$1+1,0),"")</f>
        <v/>
      </c>
      <c r="L265" s="133" t="str">
        <f>IF($A265&lt;&gt;0,VLOOKUP($A265,'0.Productos'!$A$3:$GG$587,'0.Productos'!BD$1+1,0),"")</f>
        <v/>
      </c>
      <c r="M265" s="133" t="str">
        <f>IF($A265&lt;&gt;0,VLOOKUP($A265,'0.Productos'!$A$3:$GG$587,'0.Productos'!BE$1+1,0),"")</f>
        <v/>
      </c>
      <c r="N265" s="133" t="str">
        <f>IF($A265&lt;&gt;0,VLOOKUP($A265,'0.Productos'!$A$3:$GG$587,'0.Productos'!BF$1+1,0),"")</f>
        <v/>
      </c>
      <c r="O265" s="133" t="str">
        <f>IF($A265&lt;&gt;0,VLOOKUP($A265,'0.Productos'!$A$3:$GG$587,'0.Productos'!BG$1+1,0),"")</f>
        <v/>
      </c>
      <c r="P265" s="133" t="str">
        <f>IF($A265&lt;&gt;0,VLOOKUP($A265,'0.Productos'!$A$3:$GG$587,'0.Productos'!BH$1+1,0),"")</f>
        <v/>
      </c>
      <c r="Q265" s="133" t="str">
        <f>IF($A265&lt;&gt;0,VLOOKUP($A265,'0.Productos'!$A$3:$GG$587,'0.Productos'!BI$1+1,0),"")</f>
        <v/>
      </c>
      <c r="R265" s="133" t="str">
        <f>IF($A265&lt;&gt;0,VLOOKUP($A265,'0.Productos'!$A$3:$GG$587,'0.Productos'!BJ$1+1,0),"")</f>
        <v/>
      </c>
      <c r="S265" s="133" t="str">
        <f>IF($A265&lt;&gt;0,VLOOKUP($A265,'0.Productos'!$A$3:$GG$587,'0.Productos'!BK$1+1,0),"")</f>
        <v/>
      </c>
      <c r="T265" s="133" t="str">
        <f>IF($A265&lt;&gt;0,VLOOKUP($A265,'0.Productos'!$A$3:$GG$587,'0.Productos'!BL$1+1,0),"")</f>
        <v/>
      </c>
      <c r="U265" s="133" t="str">
        <f>IF($A265&lt;&gt;0,VLOOKUP($A265,'0.Productos'!$A$3:$GG$587,'0.Productos'!BM$1+1,0),"")</f>
        <v/>
      </c>
      <c r="V265" s="133" t="str">
        <f>IF($A265&lt;&gt;0,VLOOKUP($A265,'0.Productos'!$A$3:$GG$587,'0.Productos'!BN$1+1,0),"")</f>
        <v/>
      </c>
      <c r="W265" s="133" t="str">
        <f>IF($A265&lt;&gt;0,VLOOKUP($A265,'0.Productos'!$A$3:$GG$587,'0.Productos'!BO$1+1,0),"")</f>
        <v/>
      </c>
      <c r="X265" s="133" t="str">
        <f>IF($A265&lt;&gt;0,VLOOKUP($A265,'0.Productos'!$A$3:$GG$587,'0.Productos'!BP$1+1,0),"")</f>
        <v/>
      </c>
      <c r="Y265" s="133" t="str">
        <f>IF($A265&lt;&gt;0,VLOOKUP($A265,'0.Productos'!$A$3:$GG$587,'0.Productos'!BQ$1+1,0),"")</f>
        <v/>
      </c>
      <c r="Z265" s="133" t="str">
        <f>IF($A265&lt;&gt;0,VLOOKUP($A265,'0.Productos'!$A$3:$GG$587,'0.Productos'!BR$1+1,0),"")</f>
        <v/>
      </c>
      <c r="AA265" s="133" t="str">
        <f>IF($A265&lt;&gt;0,VLOOKUP($A265,'0.Productos'!$A$3:$GG$587,'0.Productos'!BS$1+1,0),"")</f>
        <v/>
      </c>
      <c r="AB265" s="133" t="str">
        <f>IF($A265&lt;&gt;0,VLOOKUP($A265,'0.Productos'!$A$3:$GG$587,'0.Productos'!BT$1+1,0),"")</f>
        <v/>
      </c>
      <c r="AC265" s="133" t="str">
        <f>IF($A265&lt;&gt;0,VLOOKUP($A265,'0.Productos'!$A$3:$GG$587,'0.Productos'!BU$1+1,0),"")</f>
        <v/>
      </c>
      <c r="AD265" s="133" t="str">
        <f>IF($A265&lt;&gt;0,VLOOKUP($A265,'0.Productos'!$A$3:$GG$587,'0.Productos'!BV$1+1,0),"")</f>
        <v/>
      </c>
      <c r="AE265" s="133" t="str">
        <f>IF($A265&lt;&gt;0,VLOOKUP($A265,'0.Productos'!$A$3:$GG$587,'0.Productos'!BW$1+1,0),"")</f>
        <v/>
      </c>
      <c r="AF265" s="133" t="str">
        <f>IF($A265&lt;&gt;0,VLOOKUP($A265,'0.Productos'!$A$3:$GG$587,'0.Productos'!BX$1+1,0),"")</f>
        <v/>
      </c>
      <c r="AG265" s="133" t="str">
        <f>IF($A265&lt;&gt;0,VLOOKUP($A265,'0.Productos'!$A$3:$GG$587,'0.Productos'!BY$1+1,0),"")</f>
        <v/>
      </c>
      <c r="AH265" s="133" t="str">
        <f>IF($A265&lt;&gt;0,VLOOKUP($A265,'0.Productos'!$A$3:$GG$587,'0.Productos'!BZ$1+1,0),"")</f>
        <v/>
      </c>
      <c r="AI265" s="133" t="str">
        <f>IF($A265&lt;&gt;0,VLOOKUP($A265,'0.Productos'!$A$3:$GG$587,'0.Productos'!CA$1+1,0),"")</f>
        <v/>
      </c>
      <c r="AJ265" s="133" t="str">
        <f>IF($A265&lt;&gt;0,VLOOKUP($A265,'0.Productos'!$A$3:$GG$587,'0.Productos'!CB$1+1,0),"")</f>
        <v/>
      </c>
      <c r="AK265" s="133" t="str">
        <f>IF($A265&lt;&gt;0,VLOOKUP($A265,'0.Productos'!$A$3:$GG$587,'0.Productos'!CC$1+1,0),"")</f>
        <v/>
      </c>
      <c r="AL265" s="133" t="str">
        <f>IF($A265&lt;&gt;0,VLOOKUP($A265,'0.Productos'!$A$3:$GG$587,'0.Productos'!CD$1+1,0),"")</f>
        <v/>
      </c>
      <c r="AM265" s="133" t="str">
        <f>IF($A265&lt;&gt;0,VLOOKUP($A265,'0.Productos'!$A$3:$GG$587,'0.Productos'!CE$1+1,0),"")</f>
        <v/>
      </c>
      <c r="AN265" s="133" t="str">
        <f>IF($A265&lt;&gt;0,VLOOKUP($A265,'0.Productos'!$A$3:$GG$587,'0.Productos'!CF$1+1,0),"")</f>
        <v/>
      </c>
      <c r="AO265" s="133" t="str">
        <f>IF($A265&lt;&gt;0,VLOOKUP($A265,'0.Productos'!$A$3:$GG$587,'0.Productos'!CG$1+1,0),"")</f>
        <v/>
      </c>
      <c r="AP265" s="133" t="str">
        <f>IF($A265&lt;&gt;0,VLOOKUP($A265,'0.Productos'!$A$3:$GG$587,'0.Productos'!CH$1+1,0),"")</f>
        <v/>
      </c>
      <c r="AQ265" s="133" t="str">
        <f>IF($A265&lt;&gt;0,VLOOKUP($A265,'0.Productos'!$A$3:$GG$587,'0.Productos'!CI$1+1,0),"")</f>
        <v/>
      </c>
      <c r="AR265" s="133" t="str">
        <f>IF($A265&lt;&gt;0,VLOOKUP($A265,'0.Productos'!$A$3:$GG$587,'0.Productos'!CJ$1+1,0),"")</f>
        <v/>
      </c>
      <c r="AS265" s="133" t="str">
        <f>IF($A265&lt;&gt;0,VLOOKUP($A265,'0.Productos'!$A$3:$GG$587,'0.Productos'!CK$1+1,0),"")</f>
        <v/>
      </c>
      <c r="AT265" s="133" t="str">
        <f>IF($A265&lt;&gt;0,VLOOKUP($A265,'0.Productos'!$A$3:$GG$587,'0.Productos'!CL$1+1,0),"")</f>
        <v/>
      </c>
      <c r="AU265" s="133" t="str">
        <f>IF($A265&lt;&gt;0,VLOOKUP($A265,'0.Productos'!$A$3:$GG$587,'0.Productos'!CM$1+1,0),"")</f>
        <v/>
      </c>
      <c r="AV265" s="133" t="str">
        <f>IF($A265&lt;&gt;0,VLOOKUP($A265,'0.Productos'!$A$3:$GG$587,'0.Productos'!CN$1+1,0),"")</f>
        <v/>
      </c>
      <c r="AW265" s="133" t="str">
        <f>IF($A265&lt;&gt;0,VLOOKUP($A265,'0.Productos'!$A$3:$GG$587,'0.Productos'!CO$1+1,0),"")</f>
        <v/>
      </c>
      <c r="AX265" s="133" t="str">
        <f>IF($A265&lt;&gt;0,VLOOKUP($A265,'0.Productos'!$A$3:$GG$587,'0.Productos'!CP$1+1,0),"")</f>
        <v/>
      </c>
      <c r="AY265" s="133" t="str">
        <f>IF($A265&lt;&gt;0,VLOOKUP($A265,'0.Productos'!$A$3:$GG$587,'0.Productos'!CQ$1+1,0),"")</f>
        <v/>
      </c>
      <c r="AZ265" s="133" t="str">
        <f>IF($A265&lt;&gt;0,VLOOKUP($A265,'0.Productos'!$A$3:$GG$587,'0.Productos'!CR$1+1,0),"")</f>
        <v/>
      </c>
      <c r="BA265" s="133" t="str">
        <f>IF($A265&lt;&gt;0,VLOOKUP($A265,'0.Productos'!$A$3:$GG$587,'0.Productos'!CS$1+1,0),"")</f>
        <v/>
      </c>
      <c r="BB265" s="133" t="str">
        <f>IF($A265&lt;&gt;0,VLOOKUP($A265,'0.Productos'!$A$3:$GG$587,'0.Productos'!CT$1+1,0),"")</f>
        <v/>
      </c>
      <c r="BC265" s="133" t="str">
        <f>IF($A265&lt;&gt;0,VLOOKUP($A265,'0.Productos'!$A$3:$GG$587,'0.Productos'!CU$1+1,0),"")</f>
        <v/>
      </c>
      <c r="BD265" s="133" t="str">
        <f>IF($A265&lt;&gt;0,VLOOKUP($A265,'0.Productos'!$A$3:$GG$587,'0.Productos'!CV$1+1,0),"")</f>
        <v/>
      </c>
      <c r="BE265" s="133" t="str">
        <f>IF($A265&lt;&gt;0,VLOOKUP($A265,'0.Productos'!$A$3:$GG$587,'0.Productos'!CW$1+1,0),"")</f>
        <v/>
      </c>
      <c r="BF265" s="133" t="str">
        <f>IF($A265&lt;&gt;0,VLOOKUP($A265,'0.Productos'!$A$3:$GG$587,'0.Productos'!CX$1+1,0),"")</f>
        <v/>
      </c>
      <c r="BG265" s="133" t="str">
        <f>IF($A265&lt;&gt;0,VLOOKUP($A265,'0.Productos'!$A$3:$GG$587,'0.Productos'!CY$1+1,0),"")</f>
        <v/>
      </c>
      <c r="BH265" s="133" t="str">
        <f>IF($A265&lt;&gt;0,VLOOKUP($A265,'0.Productos'!$A$3:$GG$587,'0.Productos'!CZ$1+1,0),"")</f>
        <v/>
      </c>
      <c r="BI265" s="133" t="str">
        <f>IF($A265&lt;&gt;0,VLOOKUP($A265,'0.Productos'!$A$3:$GG$587,'0.Productos'!DA$1+1,0),"")</f>
        <v/>
      </c>
      <c r="BJ265" s="133" t="str">
        <f>IF($A265&lt;&gt;0,VLOOKUP($A265,'0.Productos'!$A$3:$GG$587,'0.Productos'!DB$1+1,0),"")</f>
        <v/>
      </c>
      <c r="BK265" s="133" t="str">
        <f>IF($A265&lt;&gt;0,VLOOKUP($A265,'0.Productos'!$A$3:$GG$587,'0.Productos'!DC$1+1,0),"")</f>
        <v/>
      </c>
      <c r="BL265" s="133" t="str">
        <f>IF($A265&lt;&gt;0,VLOOKUP($A265,'0.Productos'!$A$3:$GG$587,'0.Productos'!DD$1+1,0),"")</f>
        <v/>
      </c>
      <c r="BM265" s="133" t="str">
        <f>IF($A265&lt;&gt;0,VLOOKUP($A265,'0.Productos'!$A$3:$GG$587,'0.Productos'!DE$1+1,0),"")</f>
        <v/>
      </c>
      <c r="BN265" s="133" t="str">
        <f>IF($A265&lt;&gt;0,VLOOKUP($A265,'0.Productos'!$A$3:$GG$587,'0.Productos'!DF$1+1,0),"")</f>
        <v/>
      </c>
      <c r="BO265" s="133" t="str">
        <f>IF($A265&lt;&gt;0,VLOOKUP($A265,'0.Productos'!$A$3:$GG$587,'0.Productos'!DG$1+1,0),"")</f>
        <v/>
      </c>
      <c r="BP265" s="133" t="str">
        <f>IF($A265&lt;&gt;0,VLOOKUP($A265,'0.Productos'!$A$3:$GG$587,'0.Productos'!DH$1+1,0),"")</f>
        <v/>
      </c>
      <c r="BQ265" s="133" t="str">
        <f>IF($A265&lt;&gt;0,VLOOKUP($A265,'0.Productos'!$A$3:$GG$587,'0.Productos'!DI$1+1,0),"")</f>
        <v/>
      </c>
      <c r="BR265" s="133" t="str">
        <f>IF($A265&lt;&gt;0,VLOOKUP($A265,'0.Productos'!$A$3:$GG$587,'0.Productos'!DJ$1+1,0),"")</f>
        <v/>
      </c>
      <c r="BS265" s="133" t="str">
        <f>IF($A265&lt;&gt;0,VLOOKUP($A265,'0.Productos'!$A$3:$GG$587,'0.Productos'!DK$1+1,0),"")</f>
        <v/>
      </c>
      <c r="BT265" s="133" t="str">
        <f>IF($A265&lt;&gt;0,VLOOKUP($A265,'0.Productos'!$A$3:$GG$587,'0.Productos'!DL$1+1,0),"")</f>
        <v/>
      </c>
    </row>
    <row r="266" spans="1:72" x14ac:dyDescent="0.25">
      <c r="A266" s="17">
        <f>'0.Consolidado general'!A266</f>
        <v>0</v>
      </c>
      <c r="B266" s="133" t="str">
        <f>IF($A266&lt;&gt;0,VLOOKUP($A266,'0.Productos'!$A$3:$GG$587,'0.Productos'!AT$1+1,0),"")</f>
        <v/>
      </c>
      <c r="C266" s="133" t="str">
        <f>IF($A266&lt;&gt;0,VLOOKUP($A266,'0.Productos'!$A$3:$GG$587,'0.Productos'!AU$1+1,0),"")</f>
        <v/>
      </c>
      <c r="D266" s="133" t="str">
        <f>IF($A266&lt;&gt;0,VLOOKUP($A266,'0.Productos'!$A$3:$GG$587,'0.Productos'!AV$1+1,0),"")</f>
        <v/>
      </c>
      <c r="E266" s="133" t="str">
        <f>IF($A266&lt;&gt;0,VLOOKUP($A266,'0.Productos'!$A$3:$GG$587,'0.Productos'!AW$1+1,0),"")</f>
        <v/>
      </c>
      <c r="F266" s="133" t="str">
        <f>IF($A266&lt;&gt;0,VLOOKUP($A266,'0.Productos'!$A$3:$GG$587,'0.Productos'!AX$1+1,0),"")</f>
        <v/>
      </c>
      <c r="G266" s="133" t="str">
        <f>IF($A266&lt;&gt;0,VLOOKUP($A266,'0.Productos'!$A$3:$GG$587,'0.Productos'!AY$1+1,0),"")</f>
        <v/>
      </c>
      <c r="H266" s="133" t="str">
        <f>IF($A266&lt;&gt;0,VLOOKUP($A266,'0.Productos'!$A$3:$GG$587,'0.Productos'!AZ$1+1,0),"")</f>
        <v/>
      </c>
      <c r="I266" s="133" t="str">
        <f>IF($A266&lt;&gt;0,VLOOKUP($A266,'0.Productos'!$A$3:$GG$587,'0.Productos'!BA$1+1,0),"")</f>
        <v/>
      </c>
      <c r="J266" s="133" t="str">
        <f>IF($A266&lt;&gt;0,VLOOKUP($A266,'0.Productos'!$A$3:$GG$587,'0.Productos'!BB$1+1,0),"")</f>
        <v/>
      </c>
      <c r="K266" s="133" t="str">
        <f>IF($A266&lt;&gt;0,VLOOKUP($A266,'0.Productos'!$A$3:$GG$587,'0.Productos'!BC$1+1,0),"")</f>
        <v/>
      </c>
      <c r="L266" s="133" t="str">
        <f>IF($A266&lt;&gt;0,VLOOKUP($A266,'0.Productos'!$A$3:$GG$587,'0.Productos'!BD$1+1,0),"")</f>
        <v/>
      </c>
      <c r="M266" s="133" t="str">
        <f>IF($A266&lt;&gt;0,VLOOKUP($A266,'0.Productos'!$A$3:$GG$587,'0.Productos'!BE$1+1,0),"")</f>
        <v/>
      </c>
      <c r="N266" s="133" t="str">
        <f>IF($A266&lt;&gt;0,VLOOKUP($A266,'0.Productos'!$A$3:$GG$587,'0.Productos'!BF$1+1,0),"")</f>
        <v/>
      </c>
      <c r="O266" s="133" t="str">
        <f>IF($A266&lt;&gt;0,VLOOKUP($A266,'0.Productos'!$A$3:$GG$587,'0.Productos'!BG$1+1,0),"")</f>
        <v/>
      </c>
      <c r="P266" s="133" t="str">
        <f>IF($A266&lt;&gt;0,VLOOKUP($A266,'0.Productos'!$A$3:$GG$587,'0.Productos'!BH$1+1,0),"")</f>
        <v/>
      </c>
      <c r="Q266" s="133" t="str">
        <f>IF($A266&lt;&gt;0,VLOOKUP($A266,'0.Productos'!$A$3:$GG$587,'0.Productos'!BI$1+1,0),"")</f>
        <v/>
      </c>
      <c r="R266" s="133" t="str">
        <f>IF($A266&lt;&gt;0,VLOOKUP($A266,'0.Productos'!$A$3:$GG$587,'0.Productos'!BJ$1+1,0),"")</f>
        <v/>
      </c>
      <c r="S266" s="133" t="str">
        <f>IF($A266&lt;&gt;0,VLOOKUP($A266,'0.Productos'!$A$3:$GG$587,'0.Productos'!BK$1+1,0),"")</f>
        <v/>
      </c>
      <c r="T266" s="133" t="str">
        <f>IF($A266&lt;&gt;0,VLOOKUP($A266,'0.Productos'!$A$3:$GG$587,'0.Productos'!BL$1+1,0),"")</f>
        <v/>
      </c>
      <c r="U266" s="133" t="str">
        <f>IF($A266&lt;&gt;0,VLOOKUP($A266,'0.Productos'!$A$3:$GG$587,'0.Productos'!BM$1+1,0),"")</f>
        <v/>
      </c>
      <c r="V266" s="133" t="str">
        <f>IF($A266&lt;&gt;0,VLOOKUP($A266,'0.Productos'!$A$3:$GG$587,'0.Productos'!BN$1+1,0),"")</f>
        <v/>
      </c>
      <c r="W266" s="133" t="str">
        <f>IF($A266&lt;&gt;0,VLOOKUP($A266,'0.Productos'!$A$3:$GG$587,'0.Productos'!BO$1+1,0),"")</f>
        <v/>
      </c>
      <c r="X266" s="133" t="str">
        <f>IF($A266&lt;&gt;0,VLOOKUP($A266,'0.Productos'!$A$3:$GG$587,'0.Productos'!BP$1+1,0),"")</f>
        <v/>
      </c>
      <c r="Y266" s="133" t="str">
        <f>IF($A266&lt;&gt;0,VLOOKUP($A266,'0.Productos'!$A$3:$GG$587,'0.Productos'!BQ$1+1,0),"")</f>
        <v/>
      </c>
      <c r="Z266" s="133" t="str">
        <f>IF($A266&lt;&gt;0,VLOOKUP($A266,'0.Productos'!$A$3:$GG$587,'0.Productos'!BR$1+1,0),"")</f>
        <v/>
      </c>
      <c r="AA266" s="133" t="str">
        <f>IF($A266&lt;&gt;0,VLOOKUP($A266,'0.Productos'!$A$3:$GG$587,'0.Productos'!BS$1+1,0),"")</f>
        <v/>
      </c>
      <c r="AB266" s="133" t="str">
        <f>IF($A266&lt;&gt;0,VLOOKUP($A266,'0.Productos'!$A$3:$GG$587,'0.Productos'!BT$1+1,0),"")</f>
        <v/>
      </c>
      <c r="AC266" s="133" t="str">
        <f>IF($A266&lt;&gt;0,VLOOKUP($A266,'0.Productos'!$A$3:$GG$587,'0.Productos'!BU$1+1,0),"")</f>
        <v/>
      </c>
      <c r="AD266" s="133" t="str">
        <f>IF($A266&lt;&gt;0,VLOOKUP($A266,'0.Productos'!$A$3:$GG$587,'0.Productos'!BV$1+1,0),"")</f>
        <v/>
      </c>
      <c r="AE266" s="133" t="str">
        <f>IF($A266&lt;&gt;0,VLOOKUP($A266,'0.Productos'!$A$3:$GG$587,'0.Productos'!BW$1+1,0),"")</f>
        <v/>
      </c>
      <c r="AF266" s="133" t="str">
        <f>IF($A266&lt;&gt;0,VLOOKUP($A266,'0.Productos'!$A$3:$GG$587,'0.Productos'!BX$1+1,0),"")</f>
        <v/>
      </c>
      <c r="AG266" s="133" t="str">
        <f>IF($A266&lt;&gt;0,VLOOKUP($A266,'0.Productos'!$A$3:$GG$587,'0.Productos'!BY$1+1,0),"")</f>
        <v/>
      </c>
      <c r="AH266" s="133" t="str">
        <f>IF($A266&lt;&gt;0,VLOOKUP($A266,'0.Productos'!$A$3:$GG$587,'0.Productos'!BZ$1+1,0),"")</f>
        <v/>
      </c>
      <c r="AI266" s="133" t="str">
        <f>IF($A266&lt;&gt;0,VLOOKUP($A266,'0.Productos'!$A$3:$GG$587,'0.Productos'!CA$1+1,0),"")</f>
        <v/>
      </c>
      <c r="AJ266" s="133" t="str">
        <f>IF($A266&lt;&gt;0,VLOOKUP($A266,'0.Productos'!$A$3:$GG$587,'0.Productos'!CB$1+1,0),"")</f>
        <v/>
      </c>
      <c r="AK266" s="133" t="str">
        <f>IF($A266&lt;&gt;0,VLOOKUP($A266,'0.Productos'!$A$3:$GG$587,'0.Productos'!CC$1+1,0),"")</f>
        <v/>
      </c>
      <c r="AL266" s="133" t="str">
        <f>IF($A266&lt;&gt;0,VLOOKUP($A266,'0.Productos'!$A$3:$GG$587,'0.Productos'!CD$1+1,0),"")</f>
        <v/>
      </c>
      <c r="AM266" s="133" t="str">
        <f>IF($A266&lt;&gt;0,VLOOKUP($A266,'0.Productos'!$A$3:$GG$587,'0.Productos'!CE$1+1,0),"")</f>
        <v/>
      </c>
      <c r="AN266" s="133" t="str">
        <f>IF($A266&lt;&gt;0,VLOOKUP($A266,'0.Productos'!$A$3:$GG$587,'0.Productos'!CF$1+1,0),"")</f>
        <v/>
      </c>
      <c r="AO266" s="133" t="str">
        <f>IF($A266&lt;&gt;0,VLOOKUP($A266,'0.Productos'!$A$3:$GG$587,'0.Productos'!CG$1+1,0),"")</f>
        <v/>
      </c>
      <c r="AP266" s="133" t="str">
        <f>IF($A266&lt;&gt;0,VLOOKUP($A266,'0.Productos'!$A$3:$GG$587,'0.Productos'!CH$1+1,0),"")</f>
        <v/>
      </c>
      <c r="AQ266" s="133" t="str">
        <f>IF($A266&lt;&gt;0,VLOOKUP($A266,'0.Productos'!$A$3:$GG$587,'0.Productos'!CI$1+1,0),"")</f>
        <v/>
      </c>
      <c r="AR266" s="133" t="str">
        <f>IF($A266&lt;&gt;0,VLOOKUP($A266,'0.Productos'!$A$3:$GG$587,'0.Productos'!CJ$1+1,0),"")</f>
        <v/>
      </c>
      <c r="AS266" s="133" t="str">
        <f>IF($A266&lt;&gt;0,VLOOKUP($A266,'0.Productos'!$A$3:$GG$587,'0.Productos'!CK$1+1,0),"")</f>
        <v/>
      </c>
      <c r="AT266" s="133" t="str">
        <f>IF($A266&lt;&gt;0,VLOOKUP($A266,'0.Productos'!$A$3:$GG$587,'0.Productos'!CL$1+1,0),"")</f>
        <v/>
      </c>
      <c r="AU266" s="133" t="str">
        <f>IF($A266&lt;&gt;0,VLOOKUP($A266,'0.Productos'!$A$3:$GG$587,'0.Productos'!CM$1+1,0),"")</f>
        <v/>
      </c>
      <c r="AV266" s="133" t="str">
        <f>IF($A266&lt;&gt;0,VLOOKUP($A266,'0.Productos'!$A$3:$GG$587,'0.Productos'!CN$1+1,0),"")</f>
        <v/>
      </c>
      <c r="AW266" s="133" t="str">
        <f>IF($A266&lt;&gt;0,VLOOKUP($A266,'0.Productos'!$A$3:$GG$587,'0.Productos'!CO$1+1,0),"")</f>
        <v/>
      </c>
      <c r="AX266" s="133" t="str">
        <f>IF($A266&lt;&gt;0,VLOOKUP($A266,'0.Productos'!$A$3:$GG$587,'0.Productos'!CP$1+1,0),"")</f>
        <v/>
      </c>
      <c r="AY266" s="133" t="str">
        <f>IF($A266&lt;&gt;0,VLOOKUP($A266,'0.Productos'!$A$3:$GG$587,'0.Productos'!CQ$1+1,0),"")</f>
        <v/>
      </c>
      <c r="AZ266" s="133" t="str">
        <f>IF($A266&lt;&gt;0,VLOOKUP($A266,'0.Productos'!$A$3:$GG$587,'0.Productos'!CR$1+1,0),"")</f>
        <v/>
      </c>
      <c r="BA266" s="133" t="str">
        <f>IF($A266&lt;&gt;0,VLOOKUP($A266,'0.Productos'!$A$3:$GG$587,'0.Productos'!CS$1+1,0),"")</f>
        <v/>
      </c>
      <c r="BB266" s="133" t="str">
        <f>IF($A266&lt;&gt;0,VLOOKUP($A266,'0.Productos'!$A$3:$GG$587,'0.Productos'!CT$1+1,0),"")</f>
        <v/>
      </c>
      <c r="BC266" s="133" t="str">
        <f>IF($A266&lt;&gt;0,VLOOKUP($A266,'0.Productos'!$A$3:$GG$587,'0.Productos'!CU$1+1,0),"")</f>
        <v/>
      </c>
      <c r="BD266" s="133" t="str">
        <f>IF($A266&lt;&gt;0,VLOOKUP($A266,'0.Productos'!$A$3:$GG$587,'0.Productos'!CV$1+1,0),"")</f>
        <v/>
      </c>
      <c r="BE266" s="133" t="str">
        <f>IF($A266&lt;&gt;0,VLOOKUP($A266,'0.Productos'!$A$3:$GG$587,'0.Productos'!CW$1+1,0),"")</f>
        <v/>
      </c>
      <c r="BF266" s="133" t="str">
        <f>IF($A266&lt;&gt;0,VLOOKUP($A266,'0.Productos'!$A$3:$GG$587,'0.Productos'!CX$1+1,0),"")</f>
        <v/>
      </c>
      <c r="BG266" s="133" t="str">
        <f>IF($A266&lt;&gt;0,VLOOKUP($A266,'0.Productos'!$A$3:$GG$587,'0.Productos'!CY$1+1,0),"")</f>
        <v/>
      </c>
      <c r="BH266" s="133" t="str">
        <f>IF($A266&lt;&gt;0,VLOOKUP($A266,'0.Productos'!$A$3:$GG$587,'0.Productos'!CZ$1+1,0),"")</f>
        <v/>
      </c>
      <c r="BI266" s="133" t="str">
        <f>IF($A266&lt;&gt;0,VLOOKUP($A266,'0.Productos'!$A$3:$GG$587,'0.Productos'!DA$1+1,0),"")</f>
        <v/>
      </c>
      <c r="BJ266" s="133" t="str">
        <f>IF($A266&lt;&gt;0,VLOOKUP($A266,'0.Productos'!$A$3:$GG$587,'0.Productos'!DB$1+1,0),"")</f>
        <v/>
      </c>
      <c r="BK266" s="133" t="str">
        <f>IF($A266&lt;&gt;0,VLOOKUP($A266,'0.Productos'!$A$3:$GG$587,'0.Productos'!DC$1+1,0),"")</f>
        <v/>
      </c>
      <c r="BL266" s="133" t="str">
        <f>IF($A266&lt;&gt;0,VLOOKUP($A266,'0.Productos'!$A$3:$GG$587,'0.Productos'!DD$1+1,0),"")</f>
        <v/>
      </c>
      <c r="BM266" s="133" t="str">
        <f>IF($A266&lt;&gt;0,VLOOKUP($A266,'0.Productos'!$A$3:$GG$587,'0.Productos'!DE$1+1,0),"")</f>
        <v/>
      </c>
      <c r="BN266" s="133" t="str">
        <f>IF($A266&lt;&gt;0,VLOOKUP($A266,'0.Productos'!$A$3:$GG$587,'0.Productos'!DF$1+1,0),"")</f>
        <v/>
      </c>
      <c r="BO266" s="133" t="str">
        <f>IF($A266&lt;&gt;0,VLOOKUP($A266,'0.Productos'!$A$3:$GG$587,'0.Productos'!DG$1+1,0),"")</f>
        <v/>
      </c>
      <c r="BP266" s="133" t="str">
        <f>IF($A266&lt;&gt;0,VLOOKUP($A266,'0.Productos'!$A$3:$GG$587,'0.Productos'!DH$1+1,0),"")</f>
        <v/>
      </c>
      <c r="BQ266" s="133" t="str">
        <f>IF($A266&lt;&gt;0,VLOOKUP($A266,'0.Productos'!$A$3:$GG$587,'0.Productos'!DI$1+1,0),"")</f>
        <v/>
      </c>
      <c r="BR266" s="133" t="str">
        <f>IF($A266&lt;&gt;0,VLOOKUP($A266,'0.Productos'!$A$3:$GG$587,'0.Productos'!DJ$1+1,0),"")</f>
        <v/>
      </c>
      <c r="BS266" s="133" t="str">
        <f>IF($A266&lt;&gt;0,VLOOKUP($A266,'0.Productos'!$A$3:$GG$587,'0.Productos'!DK$1+1,0),"")</f>
        <v/>
      </c>
      <c r="BT266" s="133" t="str">
        <f>IF($A266&lt;&gt;0,VLOOKUP($A266,'0.Productos'!$A$3:$GG$587,'0.Productos'!DL$1+1,0),"")</f>
        <v/>
      </c>
    </row>
    <row r="267" spans="1:72" x14ac:dyDescent="0.25">
      <c r="A267" s="17">
        <f>'0.Consolidado general'!A267</f>
        <v>0</v>
      </c>
      <c r="B267" s="133" t="str">
        <f>IF($A267&lt;&gt;0,VLOOKUP($A267,'0.Productos'!$A$3:$GG$587,'0.Productos'!AT$1+1,0),"")</f>
        <v/>
      </c>
      <c r="C267" s="133" t="str">
        <f>IF($A267&lt;&gt;0,VLOOKUP($A267,'0.Productos'!$A$3:$GG$587,'0.Productos'!AU$1+1,0),"")</f>
        <v/>
      </c>
      <c r="D267" s="133" t="str">
        <f>IF($A267&lt;&gt;0,VLOOKUP($A267,'0.Productos'!$A$3:$GG$587,'0.Productos'!AV$1+1,0),"")</f>
        <v/>
      </c>
      <c r="E267" s="133" t="str">
        <f>IF($A267&lt;&gt;0,VLOOKUP($A267,'0.Productos'!$A$3:$GG$587,'0.Productos'!AW$1+1,0),"")</f>
        <v/>
      </c>
      <c r="F267" s="133" t="str">
        <f>IF($A267&lt;&gt;0,VLOOKUP($A267,'0.Productos'!$A$3:$GG$587,'0.Productos'!AX$1+1,0),"")</f>
        <v/>
      </c>
      <c r="G267" s="133" t="str">
        <f>IF($A267&lt;&gt;0,VLOOKUP($A267,'0.Productos'!$A$3:$GG$587,'0.Productos'!AY$1+1,0),"")</f>
        <v/>
      </c>
      <c r="H267" s="133" t="str">
        <f>IF($A267&lt;&gt;0,VLOOKUP($A267,'0.Productos'!$A$3:$GG$587,'0.Productos'!AZ$1+1,0),"")</f>
        <v/>
      </c>
      <c r="I267" s="133" t="str">
        <f>IF($A267&lt;&gt;0,VLOOKUP($A267,'0.Productos'!$A$3:$GG$587,'0.Productos'!BA$1+1,0),"")</f>
        <v/>
      </c>
      <c r="J267" s="133" t="str">
        <f>IF($A267&lt;&gt;0,VLOOKUP($A267,'0.Productos'!$A$3:$GG$587,'0.Productos'!BB$1+1,0),"")</f>
        <v/>
      </c>
      <c r="K267" s="133" t="str">
        <f>IF($A267&lt;&gt;0,VLOOKUP($A267,'0.Productos'!$A$3:$GG$587,'0.Productos'!BC$1+1,0),"")</f>
        <v/>
      </c>
      <c r="L267" s="133" t="str">
        <f>IF($A267&lt;&gt;0,VLOOKUP($A267,'0.Productos'!$A$3:$GG$587,'0.Productos'!BD$1+1,0),"")</f>
        <v/>
      </c>
      <c r="M267" s="133" t="str">
        <f>IF($A267&lt;&gt;0,VLOOKUP($A267,'0.Productos'!$A$3:$GG$587,'0.Productos'!BE$1+1,0),"")</f>
        <v/>
      </c>
      <c r="N267" s="133" t="str">
        <f>IF($A267&lt;&gt;0,VLOOKUP($A267,'0.Productos'!$A$3:$GG$587,'0.Productos'!BF$1+1,0),"")</f>
        <v/>
      </c>
      <c r="O267" s="133" t="str">
        <f>IF($A267&lt;&gt;0,VLOOKUP($A267,'0.Productos'!$A$3:$GG$587,'0.Productos'!BG$1+1,0),"")</f>
        <v/>
      </c>
      <c r="P267" s="133" t="str">
        <f>IF($A267&lt;&gt;0,VLOOKUP($A267,'0.Productos'!$A$3:$GG$587,'0.Productos'!BH$1+1,0),"")</f>
        <v/>
      </c>
      <c r="Q267" s="133" t="str">
        <f>IF($A267&lt;&gt;0,VLOOKUP($A267,'0.Productos'!$A$3:$GG$587,'0.Productos'!BI$1+1,0),"")</f>
        <v/>
      </c>
      <c r="R267" s="133" t="str">
        <f>IF($A267&lt;&gt;0,VLOOKUP($A267,'0.Productos'!$A$3:$GG$587,'0.Productos'!BJ$1+1,0),"")</f>
        <v/>
      </c>
      <c r="S267" s="133" t="str">
        <f>IF($A267&lt;&gt;0,VLOOKUP($A267,'0.Productos'!$A$3:$GG$587,'0.Productos'!BK$1+1,0),"")</f>
        <v/>
      </c>
      <c r="T267" s="133" t="str">
        <f>IF($A267&lt;&gt;0,VLOOKUP($A267,'0.Productos'!$A$3:$GG$587,'0.Productos'!BL$1+1,0),"")</f>
        <v/>
      </c>
      <c r="U267" s="133" t="str">
        <f>IF($A267&lt;&gt;0,VLOOKUP($A267,'0.Productos'!$A$3:$GG$587,'0.Productos'!BM$1+1,0),"")</f>
        <v/>
      </c>
      <c r="V267" s="133" t="str">
        <f>IF($A267&lt;&gt;0,VLOOKUP($A267,'0.Productos'!$A$3:$GG$587,'0.Productos'!BN$1+1,0),"")</f>
        <v/>
      </c>
      <c r="W267" s="133" t="str">
        <f>IF($A267&lt;&gt;0,VLOOKUP($A267,'0.Productos'!$A$3:$GG$587,'0.Productos'!BO$1+1,0),"")</f>
        <v/>
      </c>
      <c r="X267" s="133" t="str">
        <f>IF($A267&lt;&gt;0,VLOOKUP($A267,'0.Productos'!$A$3:$GG$587,'0.Productos'!BP$1+1,0),"")</f>
        <v/>
      </c>
      <c r="Y267" s="133" t="str">
        <f>IF($A267&lt;&gt;0,VLOOKUP($A267,'0.Productos'!$A$3:$GG$587,'0.Productos'!BQ$1+1,0),"")</f>
        <v/>
      </c>
      <c r="Z267" s="133" t="str">
        <f>IF($A267&lt;&gt;0,VLOOKUP($A267,'0.Productos'!$A$3:$GG$587,'0.Productos'!BR$1+1,0),"")</f>
        <v/>
      </c>
      <c r="AA267" s="133" t="str">
        <f>IF($A267&lt;&gt;0,VLOOKUP($A267,'0.Productos'!$A$3:$GG$587,'0.Productos'!BS$1+1,0),"")</f>
        <v/>
      </c>
      <c r="AB267" s="133" t="str">
        <f>IF($A267&lt;&gt;0,VLOOKUP($A267,'0.Productos'!$A$3:$GG$587,'0.Productos'!BT$1+1,0),"")</f>
        <v/>
      </c>
      <c r="AC267" s="133" t="str">
        <f>IF($A267&lt;&gt;0,VLOOKUP($A267,'0.Productos'!$A$3:$GG$587,'0.Productos'!BU$1+1,0),"")</f>
        <v/>
      </c>
      <c r="AD267" s="133" t="str">
        <f>IF($A267&lt;&gt;0,VLOOKUP($A267,'0.Productos'!$A$3:$GG$587,'0.Productos'!BV$1+1,0),"")</f>
        <v/>
      </c>
      <c r="AE267" s="133" t="str">
        <f>IF($A267&lt;&gt;0,VLOOKUP($A267,'0.Productos'!$A$3:$GG$587,'0.Productos'!BW$1+1,0),"")</f>
        <v/>
      </c>
      <c r="AF267" s="133" t="str">
        <f>IF($A267&lt;&gt;0,VLOOKUP($A267,'0.Productos'!$A$3:$GG$587,'0.Productos'!BX$1+1,0),"")</f>
        <v/>
      </c>
      <c r="AG267" s="133" t="str">
        <f>IF($A267&lt;&gt;0,VLOOKUP($A267,'0.Productos'!$A$3:$GG$587,'0.Productos'!BY$1+1,0),"")</f>
        <v/>
      </c>
      <c r="AH267" s="133" t="str">
        <f>IF($A267&lt;&gt;0,VLOOKUP($A267,'0.Productos'!$A$3:$GG$587,'0.Productos'!BZ$1+1,0),"")</f>
        <v/>
      </c>
      <c r="AI267" s="133" t="str">
        <f>IF($A267&lt;&gt;0,VLOOKUP($A267,'0.Productos'!$A$3:$GG$587,'0.Productos'!CA$1+1,0),"")</f>
        <v/>
      </c>
      <c r="AJ267" s="133" t="str">
        <f>IF($A267&lt;&gt;0,VLOOKUP($A267,'0.Productos'!$A$3:$GG$587,'0.Productos'!CB$1+1,0),"")</f>
        <v/>
      </c>
      <c r="AK267" s="133" t="str">
        <f>IF($A267&lt;&gt;0,VLOOKUP($A267,'0.Productos'!$A$3:$GG$587,'0.Productos'!CC$1+1,0),"")</f>
        <v/>
      </c>
      <c r="AL267" s="133" t="str">
        <f>IF($A267&lt;&gt;0,VLOOKUP($A267,'0.Productos'!$A$3:$GG$587,'0.Productos'!CD$1+1,0),"")</f>
        <v/>
      </c>
      <c r="AM267" s="133" t="str">
        <f>IF($A267&lt;&gt;0,VLOOKUP($A267,'0.Productos'!$A$3:$GG$587,'0.Productos'!CE$1+1,0),"")</f>
        <v/>
      </c>
      <c r="AN267" s="133" t="str">
        <f>IF($A267&lt;&gt;0,VLOOKUP($A267,'0.Productos'!$A$3:$GG$587,'0.Productos'!CF$1+1,0),"")</f>
        <v/>
      </c>
      <c r="AO267" s="133" t="str">
        <f>IF($A267&lt;&gt;0,VLOOKUP($A267,'0.Productos'!$A$3:$GG$587,'0.Productos'!CG$1+1,0),"")</f>
        <v/>
      </c>
      <c r="AP267" s="133" t="str">
        <f>IF($A267&lt;&gt;0,VLOOKUP($A267,'0.Productos'!$A$3:$GG$587,'0.Productos'!CH$1+1,0),"")</f>
        <v/>
      </c>
      <c r="AQ267" s="133" t="str">
        <f>IF($A267&lt;&gt;0,VLOOKUP($A267,'0.Productos'!$A$3:$GG$587,'0.Productos'!CI$1+1,0),"")</f>
        <v/>
      </c>
      <c r="AR267" s="133" t="str">
        <f>IF($A267&lt;&gt;0,VLOOKUP($A267,'0.Productos'!$A$3:$GG$587,'0.Productos'!CJ$1+1,0),"")</f>
        <v/>
      </c>
      <c r="AS267" s="133" t="str">
        <f>IF($A267&lt;&gt;0,VLOOKUP($A267,'0.Productos'!$A$3:$GG$587,'0.Productos'!CK$1+1,0),"")</f>
        <v/>
      </c>
      <c r="AT267" s="133" t="str">
        <f>IF($A267&lt;&gt;0,VLOOKUP($A267,'0.Productos'!$A$3:$GG$587,'0.Productos'!CL$1+1,0),"")</f>
        <v/>
      </c>
      <c r="AU267" s="133" t="str">
        <f>IF($A267&lt;&gt;0,VLOOKUP($A267,'0.Productos'!$A$3:$GG$587,'0.Productos'!CM$1+1,0),"")</f>
        <v/>
      </c>
      <c r="AV267" s="133" t="str">
        <f>IF($A267&lt;&gt;0,VLOOKUP($A267,'0.Productos'!$A$3:$GG$587,'0.Productos'!CN$1+1,0),"")</f>
        <v/>
      </c>
      <c r="AW267" s="133" t="str">
        <f>IF($A267&lt;&gt;0,VLOOKUP($A267,'0.Productos'!$A$3:$GG$587,'0.Productos'!CO$1+1,0),"")</f>
        <v/>
      </c>
      <c r="AX267" s="133" t="str">
        <f>IF($A267&lt;&gt;0,VLOOKUP($A267,'0.Productos'!$A$3:$GG$587,'0.Productos'!CP$1+1,0),"")</f>
        <v/>
      </c>
      <c r="AY267" s="133" t="str">
        <f>IF($A267&lt;&gt;0,VLOOKUP($A267,'0.Productos'!$A$3:$GG$587,'0.Productos'!CQ$1+1,0),"")</f>
        <v/>
      </c>
      <c r="AZ267" s="133" t="str">
        <f>IF($A267&lt;&gt;0,VLOOKUP($A267,'0.Productos'!$A$3:$GG$587,'0.Productos'!CR$1+1,0),"")</f>
        <v/>
      </c>
      <c r="BA267" s="133" t="str">
        <f>IF($A267&lt;&gt;0,VLOOKUP($A267,'0.Productos'!$A$3:$GG$587,'0.Productos'!CS$1+1,0),"")</f>
        <v/>
      </c>
      <c r="BB267" s="133" t="str">
        <f>IF($A267&lt;&gt;0,VLOOKUP($A267,'0.Productos'!$A$3:$GG$587,'0.Productos'!CT$1+1,0),"")</f>
        <v/>
      </c>
      <c r="BC267" s="133" t="str">
        <f>IF($A267&lt;&gt;0,VLOOKUP($A267,'0.Productos'!$A$3:$GG$587,'0.Productos'!CU$1+1,0),"")</f>
        <v/>
      </c>
      <c r="BD267" s="133" t="str">
        <f>IF($A267&lt;&gt;0,VLOOKUP($A267,'0.Productos'!$A$3:$GG$587,'0.Productos'!CV$1+1,0),"")</f>
        <v/>
      </c>
      <c r="BE267" s="133" t="str">
        <f>IF($A267&lt;&gt;0,VLOOKUP($A267,'0.Productos'!$A$3:$GG$587,'0.Productos'!CW$1+1,0),"")</f>
        <v/>
      </c>
      <c r="BF267" s="133" t="str">
        <f>IF($A267&lt;&gt;0,VLOOKUP($A267,'0.Productos'!$A$3:$GG$587,'0.Productos'!CX$1+1,0),"")</f>
        <v/>
      </c>
      <c r="BG267" s="133" t="str">
        <f>IF($A267&lt;&gt;0,VLOOKUP($A267,'0.Productos'!$A$3:$GG$587,'0.Productos'!CY$1+1,0),"")</f>
        <v/>
      </c>
      <c r="BH267" s="133" t="str">
        <f>IF($A267&lt;&gt;0,VLOOKUP($A267,'0.Productos'!$A$3:$GG$587,'0.Productos'!CZ$1+1,0),"")</f>
        <v/>
      </c>
      <c r="BI267" s="133" t="str">
        <f>IF($A267&lt;&gt;0,VLOOKUP($A267,'0.Productos'!$A$3:$GG$587,'0.Productos'!DA$1+1,0),"")</f>
        <v/>
      </c>
      <c r="BJ267" s="133" t="str">
        <f>IF($A267&lt;&gt;0,VLOOKUP($A267,'0.Productos'!$A$3:$GG$587,'0.Productos'!DB$1+1,0),"")</f>
        <v/>
      </c>
      <c r="BK267" s="133" t="str">
        <f>IF($A267&lt;&gt;0,VLOOKUP($A267,'0.Productos'!$A$3:$GG$587,'0.Productos'!DC$1+1,0),"")</f>
        <v/>
      </c>
      <c r="BL267" s="133" t="str">
        <f>IF($A267&lt;&gt;0,VLOOKUP($A267,'0.Productos'!$A$3:$GG$587,'0.Productos'!DD$1+1,0),"")</f>
        <v/>
      </c>
      <c r="BM267" s="133" t="str">
        <f>IF($A267&lt;&gt;0,VLOOKUP($A267,'0.Productos'!$A$3:$GG$587,'0.Productos'!DE$1+1,0),"")</f>
        <v/>
      </c>
      <c r="BN267" s="133" t="str">
        <f>IF($A267&lt;&gt;0,VLOOKUP($A267,'0.Productos'!$A$3:$GG$587,'0.Productos'!DF$1+1,0),"")</f>
        <v/>
      </c>
      <c r="BO267" s="133" t="str">
        <f>IF($A267&lt;&gt;0,VLOOKUP($A267,'0.Productos'!$A$3:$GG$587,'0.Productos'!DG$1+1,0),"")</f>
        <v/>
      </c>
      <c r="BP267" s="133" t="str">
        <f>IF($A267&lt;&gt;0,VLOOKUP($A267,'0.Productos'!$A$3:$GG$587,'0.Productos'!DH$1+1,0),"")</f>
        <v/>
      </c>
      <c r="BQ267" s="133" t="str">
        <f>IF($A267&lt;&gt;0,VLOOKUP($A267,'0.Productos'!$A$3:$GG$587,'0.Productos'!DI$1+1,0),"")</f>
        <v/>
      </c>
      <c r="BR267" s="133" t="str">
        <f>IF($A267&lt;&gt;0,VLOOKUP($A267,'0.Productos'!$A$3:$GG$587,'0.Productos'!DJ$1+1,0),"")</f>
        <v/>
      </c>
      <c r="BS267" s="133" t="str">
        <f>IF($A267&lt;&gt;0,VLOOKUP($A267,'0.Productos'!$A$3:$GG$587,'0.Productos'!DK$1+1,0),"")</f>
        <v/>
      </c>
      <c r="BT267" s="133" t="str">
        <f>IF($A267&lt;&gt;0,VLOOKUP($A267,'0.Productos'!$A$3:$GG$587,'0.Productos'!DL$1+1,0),"")</f>
        <v/>
      </c>
    </row>
    <row r="268" spans="1:72" x14ac:dyDescent="0.25">
      <c r="A268" s="17">
        <f>'0.Consolidado general'!A268</f>
        <v>0</v>
      </c>
      <c r="B268" s="133" t="str">
        <f>IF($A268&lt;&gt;0,VLOOKUP($A268,'0.Productos'!$A$3:$GG$587,'0.Productos'!AT$1+1,0),"")</f>
        <v/>
      </c>
      <c r="C268" s="133" t="str">
        <f>IF($A268&lt;&gt;0,VLOOKUP($A268,'0.Productos'!$A$3:$GG$587,'0.Productos'!AU$1+1,0),"")</f>
        <v/>
      </c>
      <c r="D268" s="133" t="str">
        <f>IF($A268&lt;&gt;0,VLOOKUP($A268,'0.Productos'!$A$3:$GG$587,'0.Productos'!AV$1+1,0),"")</f>
        <v/>
      </c>
      <c r="E268" s="133" t="str">
        <f>IF($A268&lt;&gt;0,VLOOKUP($A268,'0.Productos'!$A$3:$GG$587,'0.Productos'!AW$1+1,0),"")</f>
        <v/>
      </c>
      <c r="F268" s="133" t="str">
        <f>IF($A268&lt;&gt;0,VLOOKUP($A268,'0.Productos'!$A$3:$GG$587,'0.Productos'!AX$1+1,0),"")</f>
        <v/>
      </c>
      <c r="G268" s="133" t="str">
        <f>IF($A268&lt;&gt;0,VLOOKUP($A268,'0.Productos'!$A$3:$GG$587,'0.Productos'!AY$1+1,0),"")</f>
        <v/>
      </c>
      <c r="H268" s="133" t="str">
        <f>IF($A268&lt;&gt;0,VLOOKUP($A268,'0.Productos'!$A$3:$GG$587,'0.Productos'!AZ$1+1,0),"")</f>
        <v/>
      </c>
      <c r="I268" s="133" t="str">
        <f>IF($A268&lt;&gt;0,VLOOKUP($A268,'0.Productos'!$A$3:$GG$587,'0.Productos'!BA$1+1,0),"")</f>
        <v/>
      </c>
      <c r="J268" s="133" t="str">
        <f>IF($A268&lt;&gt;0,VLOOKUP($A268,'0.Productos'!$A$3:$GG$587,'0.Productos'!BB$1+1,0),"")</f>
        <v/>
      </c>
      <c r="K268" s="133" t="str">
        <f>IF($A268&lt;&gt;0,VLOOKUP($A268,'0.Productos'!$A$3:$GG$587,'0.Productos'!BC$1+1,0),"")</f>
        <v/>
      </c>
      <c r="L268" s="133" t="str">
        <f>IF($A268&lt;&gt;0,VLOOKUP($A268,'0.Productos'!$A$3:$GG$587,'0.Productos'!BD$1+1,0),"")</f>
        <v/>
      </c>
      <c r="M268" s="133" t="str">
        <f>IF($A268&lt;&gt;0,VLOOKUP($A268,'0.Productos'!$A$3:$GG$587,'0.Productos'!BE$1+1,0),"")</f>
        <v/>
      </c>
      <c r="N268" s="133" t="str">
        <f>IF($A268&lt;&gt;0,VLOOKUP($A268,'0.Productos'!$A$3:$GG$587,'0.Productos'!BF$1+1,0),"")</f>
        <v/>
      </c>
      <c r="O268" s="133" t="str">
        <f>IF($A268&lt;&gt;0,VLOOKUP($A268,'0.Productos'!$A$3:$GG$587,'0.Productos'!BG$1+1,0),"")</f>
        <v/>
      </c>
      <c r="P268" s="133" t="str">
        <f>IF($A268&lt;&gt;0,VLOOKUP($A268,'0.Productos'!$A$3:$GG$587,'0.Productos'!BH$1+1,0),"")</f>
        <v/>
      </c>
      <c r="Q268" s="133" t="str">
        <f>IF($A268&lt;&gt;0,VLOOKUP($A268,'0.Productos'!$A$3:$GG$587,'0.Productos'!BI$1+1,0),"")</f>
        <v/>
      </c>
      <c r="R268" s="133" t="str">
        <f>IF($A268&lt;&gt;0,VLOOKUP($A268,'0.Productos'!$A$3:$GG$587,'0.Productos'!BJ$1+1,0),"")</f>
        <v/>
      </c>
      <c r="S268" s="133" t="str">
        <f>IF($A268&lt;&gt;0,VLOOKUP($A268,'0.Productos'!$A$3:$GG$587,'0.Productos'!BK$1+1,0),"")</f>
        <v/>
      </c>
      <c r="T268" s="133" t="str">
        <f>IF($A268&lt;&gt;0,VLOOKUP($A268,'0.Productos'!$A$3:$GG$587,'0.Productos'!BL$1+1,0),"")</f>
        <v/>
      </c>
      <c r="U268" s="133" t="str">
        <f>IF($A268&lt;&gt;0,VLOOKUP($A268,'0.Productos'!$A$3:$GG$587,'0.Productos'!BM$1+1,0),"")</f>
        <v/>
      </c>
      <c r="V268" s="133" t="str">
        <f>IF($A268&lt;&gt;0,VLOOKUP($A268,'0.Productos'!$A$3:$GG$587,'0.Productos'!BN$1+1,0),"")</f>
        <v/>
      </c>
      <c r="W268" s="133" t="str">
        <f>IF($A268&lt;&gt;0,VLOOKUP($A268,'0.Productos'!$A$3:$GG$587,'0.Productos'!BO$1+1,0),"")</f>
        <v/>
      </c>
      <c r="X268" s="133" t="str">
        <f>IF($A268&lt;&gt;0,VLOOKUP($A268,'0.Productos'!$A$3:$GG$587,'0.Productos'!BP$1+1,0),"")</f>
        <v/>
      </c>
      <c r="Y268" s="133" t="str">
        <f>IF($A268&lt;&gt;0,VLOOKUP($A268,'0.Productos'!$A$3:$GG$587,'0.Productos'!BQ$1+1,0),"")</f>
        <v/>
      </c>
      <c r="Z268" s="133" t="str">
        <f>IF($A268&lt;&gt;0,VLOOKUP($A268,'0.Productos'!$A$3:$GG$587,'0.Productos'!BR$1+1,0),"")</f>
        <v/>
      </c>
      <c r="AA268" s="133" t="str">
        <f>IF($A268&lt;&gt;0,VLOOKUP($A268,'0.Productos'!$A$3:$GG$587,'0.Productos'!BS$1+1,0),"")</f>
        <v/>
      </c>
      <c r="AB268" s="133" t="str">
        <f>IF($A268&lt;&gt;0,VLOOKUP($A268,'0.Productos'!$A$3:$GG$587,'0.Productos'!BT$1+1,0),"")</f>
        <v/>
      </c>
      <c r="AC268" s="133" t="str">
        <f>IF($A268&lt;&gt;0,VLOOKUP($A268,'0.Productos'!$A$3:$GG$587,'0.Productos'!BU$1+1,0),"")</f>
        <v/>
      </c>
      <c r="AD268" s="133" t="str">
        <f>IF($A268&lt;&gt;0,VLOOKUP($A268,'0.Productos'!$A$3:$GG$587,'0.Productos'!BV$1+1,0),"")</f>
        <v/>
      </c>
      <c r="AE268" s="133" t="str">
        <f>IF($A268&lt;&gt;0,VLOOKUP($A268,'0.Productos'!$A$3:$GG$587,'0.Productos'!BW$1+1,0),"")</f>
        <v/>
      </c>
      <c r="AF268" s="133" t="str">
        <f>IF($A268&lt;&gt;0,VLOOKUP($A268,'0.Productos'!$A$3:$GG$587,'0.Productos'!BX$1+1,0),"")</f>
        <v/>
      </c>
      <c r="AG268" s="133" t="str">
        <f>IF($A268&lt;&gt;0,VLOOKUP($A268,'0.Productos'!$A$3:$GG$587,'0.Productos'!BY$1+1,0),"")</f>
        <v/>
      </c>
      <c r="AH268" s="133" t="str">
        <f>IF($A268&lt;&gt;0,VLOOKUP($A268,'0.Productos'!$A$3:$GG$587,'0.Productos'!BZ$1+1,0),"")</f>
        <v/>
      </c>
      <c r="AI268" s="133" t="str">
        <f>IF($A268&lt;&gt;0,VLOOKUP($A268,'0.Productos'!$A$3:$GG$587,'0.Productos'!CA$1+1,0),"")</f>
        <v/>
      </c>
      <c r="AJ268" s="133" t="str">
        <f>IF($A268&lt;&gt;0,VLOOKUP($A268,'0.Productos'!$A$3:$GG$587,'0.Productos'!CB$1+1,0),"")</f>
        <v/>
      </c>
      <c r="AK268" s="133" t="str">
        <f>IF($A268&lt;&gt;0,VLOOKUP($A268,'0.Productos'!$A$3:$GG$587,'0.Productos'!CC$1+1,0),"")</f>
        <v/>
      </c>
      <c r="AL268" s="133" t="str">
        <f>IF($A268&lt;&gt;0,VLOOKUP($A268,'0.Productos'!$A$3:$GG$587,'0.Productos'!CD$1+1,0),"")</f>
        <v/>
      </c>
      <c r="AM268" s="133" t="str">
        <f>IF($A268&lt;&gt;0,VLOOKUP($A268,'0.Productos'!$A$3:$GG$587,'0.Productos'!CE$1+1,0),"")</f>
        <v/>
      </c>
      <c r="AN268" s="133" t="str">
        <f>IF($A268&lt;&gt;0,VLOOKUP($A268,'0.Productos'!$A$3:$GG$587,'0.Productos'!CF$1+1,0),"")</f>
        <v/>
      </c>
      <c r="AO268" s="133" t="str">
        <f>IF($A268&lt;&gt;0,VLOOKUP($A268,'0.Productos'!$A$3:$GG$587,'0.Productos'!CG$1+1,0),"")</f>
        <v/>
      </c>
      <c r="AP268" s="133" t="str">
        <f>IF($A268&lt;&gt;0,VLOOKUP($A268,'0.Productos'!$A$3:$GG$587,'0.Productos'!CH$1+1,0),"")</f>
        <v/>
      </c>
      <c r="AQ268" s="133" t="str">
        <f>IF($A268&lt;&gt;0,VLOOKUP($A268,'0.Productos'!$A$3:$GG$587,'0.Productos'!CI$1+1,0),"")</f>
        <v/>
      </c>
      <c r="AR268" s="133" t="str">
        <f>IF($A268&lt;&gt;0,VLOOKUP($A268,'0.Productos'!$A$3:$GG$587,'0.Productos'!CJ$1+1,0),"")</f>
        <v/>
      </c>
      <c r="AS268" s="133" t="str">
        <f>IF($A268&lt;&gt;0,VLOOKUP($A268,'0.Productos'!$A$3:$GG$587,'0.Productos'!CK$1+1,0),"")</f>
        <v/>
      </c>
      <c r="AT268" s="133" t="str">
        <f>IF($A268&lt;&gt;0,VLOOKUP($A268,'0.Productos'!$A$3:$GG$587,'0.Productos'!CL$1+1,0),"")</f>
        <v/>
      </c>
      <c r="AU268" s="133" t="str">
        <f>IF($A268&lt;&gt;0,VLOOKUP($A268,'0.Productos'!$A$3:$GG$587,'0.Productos'!CM$1+1,0),"")</f>
        <v/>
      </c>
      <c r="AV268" s="133" t="str">
        <f>IF($A268&lt;&gt;0,VLOOKUP($A268,'0.Productos'!$A$3:$GG$587,'0.Productos'!CN$1+1,0),"")</f>
        <v/>
      </c>
      <c r="AW268" s="133" t="str">
        <f>IF($A268&lt;&gt;0,VLOOKUP($A268,'0.Productos'!$A$3:$GG$587,'0.Productos'!CO$1+1,0),"")</f>
        <v/>
      </c>
      <c r="AX268" s="133" t="str">
        <f>IF($A268&lt;&gt;0,VLOOKUP($A268,'0.Productos'!$A$3:$GG$587,'0.Productos'!CP$1+1,0),"")</f>
        <v/>
      </c>
      <c r="AY268" s="133" t="str">
        <f>IF($A268&lt;&gt;0,VLOOKUP($A268,'0.Productos'!$A$3:$GG$587,'0.Productos'!CQ$1+1,0),"")</f>
        <v/>
      </c>
      <c r="AZ268" s="133" t="str">
        <f>IF($A268&lt;&gt;0,VLOOKUP($A268,'0.Productos'!$A$3:$GG$587,'0.Productos'!CR$1+1,0),"")</f>
        <v/>
      </c>
      <c r="BA268" s="133" t="str">
        <f>IF($A268&lt;&gt;0,VLOOKUP($A268,'0.Productos'!$A$3:$GG$587,'0.Productos'!CS$1+1,0),"")</f>
        <v/>
      </c>
      <c r="BB268" s="133" t="str">
        <f>IF($A268&lt;&gt;0,VLOOKUP($A268,'0.Productos'!$A$3:$GG$587,'0.Productos'!CT$1+1,0),"")</f>
        <v/>
      </c>
      <c r="BC268" s="133" t="str">
        <f>IF($A268&lt;&gt;0,VLOOKUP($A268,'0.Productos'!$A$3:$GG$587,'0.Productos'!CU$1+1,0),"")</f>
        <v/>
      </c>
      <c r="BD268" s="133" t="str">
        <f>IF($A268&lt;&gt;0,VLOOKUP($A268,'0.Productos'!$A$3:$GG$587,'0.Productos'!CV$1+1,0),"")</f>
        <v/>
      </c>
      <c r="BE268" s="133" t="str">
        <f>IF($A268&lt;&gt;0,VLOOKUP($A268,'0.Productos'!$A$3:$GG$587,'0.Productos'!CW$1+1,0),"")</f>
        <v/>
      </c>
      <c r="BF268" s="133" t="str">
        <f>IF($A268&lt;&gt;0,VLOOKUP($A268,'0.Productos'!$A$3:$GG$587,'0.Productos'!CX$1+1,0),"")</f>
        <v/>
      </c>
      <c r="BG268" s="133" t="str">
        <f>IF($A268&lt;&gt;0,VLOOKUP($A268,'0.Productos'!$A$3:$GG$587,'0.Productos'!CY$1+1,0),"")</f>
        <v/>
      </c>
      <c r="BH268" s="133" t="str">
        <f>IF($A268&lt;&gt;0,VLOOKUP($A268,'0.Productos'!$A$3:$GG$587,'0.Productos'!CZ$1+1,0),"")</f>
        <v/>
      </c>
      <c r="BI268" s="133" t="str">
        <f>IF($A268&lt;&gt;0,VLOOKUP($A268,'0.Productos'!$A$3:$GG$587,'0.Productos'!DA$1+1,0),"")</f>
        <v/>
      </c>
      <c r="BJ268" s="133" t="str">
        <f>IF($A268&lt;&gt;0,VLOOKUP($A268,'0.Productos'!$A$3:$GG$587,'0.Productos'!DB$1+1,0),"")</f>
        <v/>
      </c>
      <c r="BK268" s="133" t="str">
        <f>IF($A268&lt;&gt;0,VLOOKUP($A268,'0.Productos'!$A$3:$GG$587,'0.Productos'!DC$1+1,0),"")</f>
        <v/>
      </c>
      <c r="BL268" s="133" t="str">
        <f>IF($A268&lt;&gt;0,VLOOKUP($A268,'0.Productos'!$A$3:$GG$587,'0.Productos'!DD$1+1,0),"")</f>
        <v/>
      </c>
      <c r="BM268" s="133" t="str">
        <f>IF($A268&lt;&gt;0,VLOOKUP($A268,'0.Productos'!$A$3:$GG$587,'0.Productos'!DE$1+1,0),"")</f>
        <v/>
      </c>
      <c r="BN268" s="133" t="str">
        <f>IF($A268&lt;&gt;0,VLOOKUP($A268,'0.Productos'!$A$3:$GG$587,'0.Productos'!DF$1+1,0),"")</f>
        <v/>
      </c>
      <c r="BO268" s="133" t="str">
        <f>IF($A268&lt;&gt;0,VLOOKUP($A268,'0.Productos'!$A$3:$GG$587,'0.Productos'!DG$1+1,0),"")</f>
        <v/>
      </c>
      <c r="BP268" s="133" t="str">
        <f>IF($A268&lt;&gt;0,VLOOKUP($A268,'0.Productos'!$A$3:$GG$587,'0.Productos'!DH$1+1,0),"")</f>
        <v/>
      </c>
      <c r="BQ268" s="133" t="str">
        <f>IF($A268&lt;&gt;0,VLOOKUP($A268,'0.Productos'!$A$3:$GG$587,'0.Productos'!DI$1+1,0),"")</f>
        <v/>
      </c>
      <c r="BR268" s="133" t="str">
        <f>IF($A268&lt;&gt;0,VLOOKUP($A268,'0.Productos'!$A$3:$GG$587,'0.Productos'!DJ$1+1,0),"")</f>
        <v/>
      </c>
      <c r="BS268" s="133" t="str">
        <f>IF($A268&lt;&gt;0,VLOOKUP($A268,'0.Productos'!$A$3:$GG$587,'0.Productos'!DK$1+1,0),"")</f>
        <v/>
      </c>
      <c r="BT268" s="133" t="str">
        <f>IF($A268&lt;&gt;0,VLOOKUP($A268,'0.Productos'!$A$3:$GG$587,'0.Productos'!DL$1+1,0),"")</f>
        <v/>
      </c>
    </row>
    <row r="269" spans="1:72" x14ac:dyDescent="0.25">
      <c r="A269" s="17">
        <f>'0.Consolidado general'!A269</f>
        <v>0</v>
      </c>
      <c r="B269" s="133" t="str">
        <f>IF($A269&lt;&gt;0,VLOOKUP($A269,'0.Productos'!$A$3:$GG$587,'0.Productos'!AT$1+1,0),"")</f>
        <v/>
      </c>
      <c r="C269" s="133" t="str">
        <f>IF($A269&lt;&gt;0,VLOOKUP($A269,'0.Productos'!$A$3:$GG$587,'0.Productos'!AU$1+1,0),"")</f>
        <v/>
      </c>
      <c r="D269" s="133" t="str">
        <f>IF($A269&lt;&gt;0,VLOOKUP($A269,'0.Productos'!$A$3:$GG$587,'0.Productos'!AV$1+1,0),"")</f>
        <v/>
      </c>
      <c r="E269" s="133" t="str">
        <f>IF($A269&lt;&gt;0,VLOOKUP($A269,'0.Productos'!$A$3:$GG$587,'0.Productos'!AW$1+1,0),"")</f>
        <v/>
      </c>
      <c r="F269" s="133" t="str">
        <f>IF($A269&lt;&gt;0,VLOOKUP($A269,'0.Productos'!$A$3:$GG$587,'0.Productos'!AX$1+1,0),"")</f>
        <v/>
      </c>
      <c r="G269" s="133" t="str">
        <f>IF($A269&lt;&gt;0,VLOOKUP($A269,'0.Productos'!$A$3:$GG$587,'0.Productos'!AY$1+1,0),"")</f>
        <v/>
      </c>
      <c r="H269" s="133" t="str">
        <f>IF($A269&lt;&gt;0,VLOOKUP($A269,'0.Productos'!$A$3:$GG$587,'0.Productos'!AZ$1+1,0),"")</f>
        <v/>
      </c>
      <c r="I269" s="133" t="str">
        <f>IF($A269&lt;&gt;0,VLOOKUP($A269,'0.Productos'!$A$3:$GG$587,'0.Productos'!BA$1+1,0),"")</f>
        <v/>
      </c>
      <c r="J269" s="133" t="str">
        <f>IF($A269&lt;&gt;0,VLOOKUP($A269,'0.Productos'!$A$3:$GG$587,'0.Productos'!BB$1+1,0),"")</f>
        <v/>
      </c>
      <c r="K269" s="133" t="str">
        <f>IF($A269&lt;&gt;0,VLOOKUP($A269,'0.Productos'!$A$3:$GG$587,'0.Productos'!BC$1+1,0),"")</f>
        <v/>
      </c>
      <c r="L269" s="133" t="str">
        <f>IF($A269&lt;&gt;0,VLOOKUP($A269,'0.Productos'!$A$3:$GG$587,'0.Productos'!BD$1+1,0),"")</f>
        <v/>
      </c>
      <c r="M269" s="133" t="str">
        <f>IF($A269&lt;&gt;0,VLOOKUP($A269,'0.Productos'!$A$3:$GG$587,'0.Productos'!BE$1+1,0),"")</f>
        <v/>
      </c>
      <c r="N269" s="133" t="str">
        <f>IF($A269&lt;&gt;0,VLOOKUP($A269,'0.Productos'!$A$3:$GG$587,'0.Productos'!BF$1+1,0),"")</f>
        <v/>
      </c>
      <c r="O269" s="133" t="str">
        <f>IF($A269&lt;&gt;0,VLOOKUP($A269,'0.Productos'!$A$3:$GG$587,'0.Productos'!BG$1+1,0),"")</f>
        <v/>
      </c>
      <c r="P269" s="133" t="str">
        <f>IF($A269&lt;&gt;0,VLOOKUP($A269,'0.Productos'!$A$3:$GG$587,'0.Productos'!BH$1+1,0),"")</f>
        <v/>
      </c>
      <c r="Q269" s="133" t="str">
        <f>IF($A269&lt;&gt;0,VLOOKUP($A269,'0.Productos'!$A$3:$GG$587,'0.Productos'!BI$1+1,0),"")</f>
        <v/>
      </c>
      <c r="R269" s="133" t="str">
        <f>IF($A269&lt;&gt;0,VLOOKUP($A269,'0.Productos'!$A$3:$GG$587,'0.Productos'!BJ$1+1,0),"")</f>
        <v/>
      </c>
      <c r="S269" s="133" t="str">
        <f>IF($A269&lt;&gt;0,VLOOKUP($A269,'0.Productos'!$A$3:$GG$587,'0.Productos'!BK$1+1,0),"")</f>
        <v/>
      </c>
      <c r="T269" s="133" t="str">
        <f>IF($A269&lt;&gt;0,VLOOKUP($A269,'0.Productos'!$A$3:$GG$587,'0.Productos'!BL$1+1,0),"")</f>
        <v/>
      </c>
      <c r="U269" s="133" t="str">
        <f>IF($A269&lt;&gt;0,VLOOKUP($A269,'0.Productos'!$A$3:$GG$587,'0.Productos'!BM$1+1,0),"")</f>
        <v/>
      </c>
      <c r="V269" s="133" t="str">
        <f>IF($A269&lt;&gt;0,VLOOKUP($A269,'0.Productos'!$A$3:$GG$587,'0.Productos'!BN$1+1,0),"")</f>
        <v/>
      </c>
      <c r="W269" s="133" t="str">
        <f>IF($A269&lt;&gt;0,VLOOKUP($A269,'0.Productos'!$A$3:$GG$587,'0.Productos'!BO$1+1,0),"")</f>
        <v/>
      </c>
      <c r="X269" s="133" t="str">
        <f>IF($A269&lt;&gt;0,VLOOKUP($A269,'0.Productos'!$A$3:$GG$587,'0.Productos'!BP$1+1,0),"")</f>
        <v/>
      </c>
      <c r="Y269" s="133" t="str">
        <f>IF($A269&lt;&gt;0,VLOOKUP($A269,'0.Productos'!$A$3:$GG$587,'0.Productos'!BQ$1+1,0),"")</f>
        <v/>
      </c>
      <c r="Z269" s="133" t="str">
        <f>IF($A269&lt;&gt;0,VLOOKUP($A269,'0.Productos'!$A$3:$GG$587,'0.Productos'!BR$1+1,0),"")</f>
        <v/>
      </c>
      <c r="AA269" s="133" t="str">
        <f>IF($A269&lt;&gt;0,VLOOKUP($A269,'0.Productos'!$A$3:$GG$587,'0.Productos'!BS$1+1,0),"")</f>
        <v/>
      </c>
      <c r="AB269" s="133" t="str">
        <f>IF($A269&lt;&gt;0,VLOOKUP($A269,'0.Productos'!$A$3:$GG$587,'0.Productos'!BT$1+1,0),"")</f>
        <v/>
      </c>
      <c r="AC269" s="133" t="str">
        <f>IF($A269&lt;&gt;0,VLOOKUP($A269,'0.Productos'!$A$3:$GG$587,'0.Productos'!BU$1+1,0),"")</f>
        <v/>
      </c>
      <c r="AD269" s="133" t="str">
        <f>IF($A269&lt;&gt;0,VLOOKUP($A269,'0.Productos'!$A$3:$GG$587,'0.Productos'!BV$1+1,0),"")</f>
        <v/>
      </c>
      <c r="AE269" s="133" t="str">
        <f>IF($A269&lt;&gt;0,VLOOKUP($A269,'0.Productos'!$A$3:$GG$587,'0.Productos'!BW$1+1,0),"")</f>
        <v/>
      </c>
      <c r="AF269" s="133" t="str">
        <f>IF($A269&lt;&gt;0,VLOOKUP($A269,'0.Productos'!$A$3:$GG$587,'0.Productos'!BX$1+1,0),"")</f>
        <v/>
      </c>
      <c r="AG269" s="133" t="str">
        <f>IF($A269&lt;&gt;0,VLOOKUP($A269,'0.Productos'!$A$3:$GG$587,'0.Productos'!BY$1+1,0),"")</f>
        <v/>
      </c>
      <c r="AH269" s="133" t="str">
        <f>IF($A269&lt;&gt;0,VLOOKUP($A269,'0.Productos'!$A$3:$GG$587,'0.Productos'!BZ$1+1,0),"")</f>
        <v/>
      </c>
      <c r="AI269" s="133" t="str">
        <f>IF($A269&lt;&gt;0,VLOOKUP($A269,'0.Productos'!$A$3:$GG$587,'0.Productos'!CA$1+1,0),"")</f>
        <v/>
      </c>
      <c r="AJ269" s="133" t="str">
        <f>IF($A269&lt;&gt;0,VLOOKUP($A269,'0.Productos'!$A$3:$GG$587,'0.Productos'!CB$1+1,0),"")</f>
        <v/>
      </c>
      <c r="AK269" s="133" t="str">
        <f>IF($A269&lt;&gt;0,VLOOKUP($A269,'0.Productos'!$A$3:$GG$587,'0.Productos'!CC$1+1,0),"")</f>
        <v/>
      </c>
      <c r="AL269" s="133" t="str">
        <f>IF($A269&lt;&gt;0,VLOOKUP($A269,'0.Productos'!$A$3:$GG$587,'0.Productos'!CD$1+1,0),"")</f>
        <v/>
      </c>
      <c r="AM269" s="133" t="str">
        <f>IF($A269&lt;&gt;0,VLOOKUP($A269,'0.Productos'!$A$3:$GG$587,'0.Productos'!CE$1+1,0),"")</f>
        <v/>
      </c>
      <c r="AN269" s="133" t="str">
        <f>IF($A269&lt;&gt;0,VLOOKUP($A269,'0.Productos'!$A$3:$GG$587,'0.Productos'!CF$1+1,0),"")</f>
        <v/>
      </c>
      <c r="AO269" s="133" t="str">
        <f>IF($A269&lt;&gt;0,VLOOKUP($A269,'0.Productos'!$A$3:$GG$587,'0.Productos'!CG$1+1,0),"")</f>
        <v/>
      </c>
      <c r="AP269" s="133" t="str">
        <f>IF($A269&lt;&gt;0,VLOOKUP($A269,'0.Productos'!$A$3:$GG$587,'0.Productos'!CH$1+1,0),"")</f>
        <v/>
      </c>
      <c r="AQ269" s="133" t="str">
        <f>IF($A269&lt;&gt;0,VLOOKUP($A269,'0.Productos'!$A$3:$GG$587,'0.Productos'!CI$1+1,0),"")</f>
        <v/>
      </c>
      <c r="AR269" s="133" t="str">
        <f>IF($A269&lt;&gt;0,VLOOKUP($A269,'0.Productos'!$A$3:$GG$587,'0.Productos'!CJ$1+1,0),"")</f>
        <v/>
      </c>
      <c r="AS269" s="133" t="str">
        <f>IF($A269&lt;&gt;0,VLOOKUP($A269,'0.Productos'!$A$3:$GG$587,'0.Productos'!CK$1+1,0),"")</f>
        <v/>
      </c>
      <c r="AT269" s="133" t="str">
        <f>IF($A269&lt;&gt;0,VLOOKUP($A269,'0.Productos'!$A$3:$GG$587,'0.Productos'!CL$1+1,0),"")</f>
        <v/>
      </c>
      <c r="AU269" s="133" t="str">
        <f>IF($A269&lt;&gt;0,VLOOKUP($A269,'0.Productos'!$A$3:$GG$587,'0.Productos'!CM$1+1,0),"")</f>
        <v/>
      </c>
      <c r="AV269" s="133" t="str">
        <f>IF($A269&lt;&gt;0,VLOOKUP($A269,'0.Productos'!$A$3:$GG$587,'0.Productos'!CN$1+1,0),"")</f>
        <v/>
      </c>
      <c r="AW269" s="133" t="str">
        <f>IF($A269&lt;&gt;0,VLOOKUP($A269,'0.Productos'!$A$3:$GG$587,'0.Productos'!CO$1+1,0),"")</f>
        <v/>
      </c>
      <c r="AX269" s="133" t="str">
        <f>IF($A269&lt;&gt;0,VLOOKUP($A269,'0.Productos'!$A$3:$GG$587,'0.Productos'!CP$1+1,0),"")</f>
        <v/>
      </c>
      <c r="AY269" s="133" t="str">
        <f>IF($A269&lt;&gt;0,VLOOKUP($A269,'0.Productos'!$A$3:$GG$587,'0.Productos'!CQ$1+1,0),"")</f>
        <v/>
      </c>
      <c r="AZ269" s="133" t="str">
        <f>IF($A269&lt;&gt;0,VLOOKUP($A269,'0.Productos'!$A$3:$GG$587,'0.Productos'!CR$1+1,0),"")</f>
        <v/>
      </c>
      <c r="BA269" s="133" t="str">
        <f>IF($A269&lt;&gt;0,VLOOKUP($A269,'0.Productos'!$A$3:$GG$587,'0.Productos'!CS$1+1,0),"")</f>
        <v/>
      </c>
      <c r="BB269" s="133" t="str">
        <f>IF($A269&lt;&gt;0,VLOOKUP($A269,'0.Productos'!$A$3:$GG$587,'0.Productos'!CT$1+1,0),"")</f>
        <v/>
      </c>
      <c r="BC269" s="133" t="str">
        <f>IF($A269&lt;&gt;0,VLOOKUP($A269,'0.Productos'!$A$3:$GG$587,'0.Productos'!CU$1+1,0),"")</f>
        <v/>
      </c>
      <c r="BD269" s="133" t="str">
        <f>IF($A269&lt;&gt;0,VLOOKUP($A269,'0.Productos'!$A$3:$GG$587,'0.Productos'!CV$1+1,0),"")</f>
        <v/>
      </c>
      <c r="BE269" s="133" t="str">
        <f>IF($A269&lt;&gt;0,VLOOKUP($A269,'0.Productos'!$A$3:$GG$587,'0.Productos'!CW$1+1,0),"")</f>
        <v/>
      </c>
      <c r="BF269" s="133" t="str">
        <f>IF($A269&lt;&gt;0,VLOOKUP($A269,'0.Productos'!$A$3:$GG$587,'0.Productos'!CX$1+1,0),"")</f>
        <v/>
      </c>
      <c r="BG269" s="133" t="str">
        <f>IF($A269&lt;&gt;0,VLOOKUP($A269,'0.Productos'!$A$3:$GG$587,'0.Productos'!CY$1+1,0),"")</f>
        <v/>
      </c>
      <c r="BH269" s="133" t="str">
        <f>IF($A269&lt;&gt;0,VLOOKUP($A269,'0.Productos'!$A$3:$GG$587,'0.Productos'!CZ$1+1,0),"")</f>
        <v/>
      </c>
      <c r="BI269" s="133" t="str">
        <f>IF($A269&lt;&gt;0,VLOOKUP($A269,'0.Productos'!$A$3:$GG$587,'0.Productos'!DA$1+1,0),"")</f>
        <v/>
      </c>
      <c r="BJ269" s="133" t="str">
        <f>IF($A269&lt;&gt;0,VLOOKUP($A269,'0.Productos'!$A$3:$GG$587,'0.Productos'!DB$1+1,0),"")</f>
        <v/>
      </c>
      <c r="BK269" s="133" t="str">
        <f>IF($A269&lt;&gt;0,VLOOKUP($A269,'0.Productos'!$A$3:$GG$587,'0.Productos'!DC$1+1,0),"")</f>
        <v/>
      </c>
      <c r="BL269" s="133" t="str">
        <f>IF($A269&lt;&gt;0,VLOOKUP($A269,'0.Productos'!$A$3:$GG$587,'0.Productos'!DD$1+1,0),"")</f>
        <v/>
      </c>
      <c r="BM269" s="133" t="str">
        <f>IF($A269&lt;&gt;0,VLOOKUP($A269,'0.Productos'!$A$3:$GG$587,'0.Productos'!DE$1+1,0),"")</f>
        <v/>
      </c>
      <c r="BN269" s="133" t="str">
        <f>IF($A269&lt;&gt;0,VLOOKUP($A269,'0.Productos'!$A$3:$GG$587,'0.Productos'!DF$1+1,0),"")</f>
        <v/>
      </c>
      <c r="BO269" s="133" t="str">
        <f>IF($A269&lt;&gt;0,VLOOKUP($A269,'0.Productos'!$A$3:$GG$587,'0.Productos'!DG$1+1,0),"")</f>
        <v/>
      </c>
      <c r="BP269" s="133" t="str">
        <f>IF($A269&lt;&gt;0,VLOOKUP($A269,'0.Productos'!$A$3:$GG$587,'0.Productos'!DH$1+1,0),"")</f>
        <v/>
      </c>
      <c r="BQ269" s="133" t="str">
        <f>IF($A269&lt;&gt;0,VLOOKUP($A269,'0.Productos'!$A$3:$GG$587,'0.Productos'!DI$1+1,0),"")</f>
        <v/>
      </c>
      <c r="BR269" s="133" t="str">
        <f>IF($A269&lt;&gt;0,VLOOKUP($A269,'0.Productos'!$A$3:$GG$587,'0.Productos'!DJ$1+1,0),"")</f>
        <v/>
      </c>
      <c r="BS269" s="133" t="str">
        <f>IF($A269&lt;&gt;0,VLOOKUP($A269,'0.Productos'!$A$3:$GG$587,'0.Productos'!DK$1+1,0),"")</f>
        <v/>
      </c>
      <c r="BT269" s="133" t="str">
        <f>IF($A269&lt;&gt;0,VLOOKUP($A269,'0.Productos'!$A$3:$GG$587,'0.Productos'!DL$1+1,0),"")</f>
        <v/>
      </c>
    </row>
    <row r="270" spans="1:72" x14ac:dyDescent="0.25">
      <c r="A270" s="17">
        <f>'0.Consolidado general'!A270</f>
        <v>0</v>
      </c>
      <c r="B270" s="133" t="str">
        <f>IF($A270&lt;&gt;0,VLOOKUP($A270,'0.Productos'!$A$3:$GG$587,'0.Productos'!AT$1+1,0),"")</f>
        <v/>
      </c>
      <c r="C270" s="133" t="str">
        <f>IF($A270&lt;&gt;0,VLOOKUP($A270,'0.Productos'!$A$3:$GG$587,'0.Productos'!AU$1+1,0),"")</f>
        <v/>
      </c>
      <c r="D270" s="133" t="str">
        <f>IF($A270&lt;&gt;0,VLOOKUP($A270,'0.Productos'!$A$3:$GG$587,'0.Productos'!AV$1+1,0),"")</f>
        <v/>
      </c>
      <c r="E270" s="133" t="str">
        <f>IF($A270&lt;&gt;0,VLOOKUP($A270,'0.Productos'!$A$3:$GG$587,'0.Productos'!AW$1+1,0),"")</f>
        <v/>
      </c>
      <c r="F270" s="133" t="str">
        <f>IF($A270&lt;&gt;0,VLOOKUP($A270,'0.Productos'!$A$3:$GG$587,'0.Productos'!AX$1+1,0),"")</f>
        <v/>
      </c>
      <c r="G270" s="133" t="str">
        <f>IF($A270&lt;&gt;0,VLOOKUP($A270,'0.Productos'!$A$3:$GG$587,'0.Productos'!AY$1+1,0),"")</f>
        <v/>
      </c>
      <c r="H270" s="133" t="str">
        <f>IF($A270&lt;&gt;0,VLOOKUP($A270,'0.Productos'!$A$3:$GG$587,'0.Productos'!AZ$1+1,0),"")</f>
        <v/>
      </c>
      <c r="I270" s="133" t="str">
        <f>IF($A270&lt;&gt;0,VLOOKUP($A270,'0.Productos'!$A$3:$GG$587,'0.Productos'!BA$1+1,0),"")</f>
        <v/>
      </c>
      <c r="J270" s="133" t="str">
        <f>IF($A270&lt;&gt;0,VLOOKUP($A270,'0.Productos'!$A$3:$GG$587,'0.Productos'!BB$1+1,0),"")</f>
        <v/>
      </c>
      <c r="K270" s="133" t="str">
        <f>IF($A270&lt;&gt;0,VLOOKUP($A270,'0.Productos'!$A$3:$GG$587,'0.Productos'!BC$1+1,0),"")</f>
        <v/>
      </c>
      <c r="L270" s="133" t="str">
        <f>IF($A270&lt;&gt;0,VLOOKUP($A270,'0.Productos'!$A$3:$GG$587,'0.Productos'!BD$1+1,0),"")</f>
        <v/>
      </c>
      <c r="M270" s="133" t="str">
        <f>IF($A270&lt;&gt;0,VLOOKUP($A270,'0.Productos'!$A$3:$GG$587,'0.Productos'!BE$1+1,0),"")</f>
        <v/>
      </c>
      <c r="N270" s="133" t="str">
        <f>IF($A270&lt;&gt;0,VLOOKUP($A270,'0.Productos'!$A$3:$GG$587,'0.Productos'!BF$1+1,0),"")</f>
        <v/>
      </c>
      <c r="O270" s="133" t="str">
        <f>IF($A270&lt;&gt;0,VLOOKUP($A270,'0.Productos'!$A$3:$GG$587,'0.Productos'!BG$1+1,0),"")</f>
        <v/>
      </c>
      <c r="P270" s="133" t="str">
        <f>IF($A270&lt;&gt;0,VLOOKUP($A270,'0.Productos'!$A$3:$GG$587,'0.Productos'!BH$1+1,0),"")</f>
        <v/>
      </c>
      <c r="Q270" s="133" t="str">
        <f>IF($A270&lt;&gt;0,VLOOKUP($A270,'0.Productos'!$A$3:$GG$587,'0.Productos'!BI$1+1,0),"")</f>
        <v/>
      </c>
      <c r="R270" s="133" t="str">
        <f>IF($A270&lt;&gt;0,VLOOKUP($A270,'0.Productos'!$A$3:$GG$587,'0.Productos'!BJ$1+1,0),"")</f>
        <v/>
      </c>
      <c r="S270" s="133" t="str">
        <f>IF($A270&lt;&gt;0,VLOOKUP($A270,'0.Productos'!$A$3:$GG$587,'0.Productos'!BK$1+1,0),"")</f>
        <v/>
      </c>
      <c r="T270" s="133" t="str">
        <f>IF($A270&lt;&gt;0,VLOOKUP($A270,'0.Productos'!$A$3:$GG$587,'0.Productos'!BL$1+1,0),"")</f>
        <v/>
      </c>
      <c r="U270" s="133" t="str">
        <f>IF($A270&lt;&gt;0,VLOOKUP($A270,'0.Productos'!$A$3:$GG$587,'0.Productos'!BM$1+1,0),"")</f>
        <v/>
      </c>
      <c r="V270" s="133" t="str">
        <f>IF($A270&lt;&gt;0,VLOOKUP($A270,'0.Productos'!$A$3:$GG$587,'0.Productos'!BN$1+1,0),"")</f>
        <v/>
      </c>
      <c r="W270" s="133" t="str">
        <f>IF($A270&lt;&gt;0,VLOOKUP($A270,'0.Productos'!$A$3:$GG$587,'0.Productos'!BO$1+1,0),"")</f>
        <v/>
      </c>
      <c r="X270" s="133" t="str">
        <f>IF($A270&lt;&gt;0,VLOOKUP($A270,'0.Productos'!$A$3:$GG$587,'0.Productos'!BP$1+1,0),"")</f>
        <v/>
      </c>
      <c r="Y270" s="133" t="str">
        <f>IF($A270&lt;&gt;0,VLOOKUP($A270,'0.Productos'!$A$3:$GG$587,'0.Productos'!BQ$1+1,0),"")</f>
        <v/>
      </c>
      <c r="Z270" s="133" t="str">
        <f>IF($A270&lt;&gt;0,VLOOKUP($A270,'0.Productos'!$A$3:$GG$587,'0.Productos'!BR$1+1,0),"")</f>
        <v/>
      </c>
      <c r="AA270" s="133" t="str">
        <f>IF($A270&lt;&gt;0,VLOOKUP($A270,'0.Productos'!$A$3:$GG$587,'0.Productos'!BS$1+1,0),"")</f>
        <v/>
      </c>
      <c r="AB270" s="133" t="str">
        <f>IF($A270&lt;&gt;0,VLOOKUP($A270,'0.Productos'!$A$3:$GG$587,'0.Productos'!BT$1+1,0),"")</f>
        <v/>
      </c>
      <c r="AC270" s="133" t="str">
        <f>IF($A270&lt;&gt;0,VLOOKUP($A270,'0.Productos'!$A$3:$GG$587,'0.Productos'!BU$1+1,0),"")</f>
        <v/>
      </c>
      <c r="AD270" s="133" t="str">
        <f>IF($A270&lt;&gt;0,VLOOKUP($A270,'0.Productos'!$A$3:$GG$587,'0.Productos'!BV$1+1,0),"")</f>
        <v/>
      </c>
      <c r="AE270" s="133" t="str">
        <f>IF($A270&lt;&gt;0,VLOOKUP($A270,'0.Productos'!$A$3:$GG$587,'0.Productos'!BW$1+1,0),"")</f>
        <v/>
      </c>
      <c r="AF270" s="133" t="str">
        <f>IF($A270&lt;&gt;0,VLOOKUP($A270,'0.Productos'!$A$3:$GG$587,'0.Productos'!BX$1+1,0),"")</f>
        <v/>
      </c>
      <c r="AG270" s="133" t="str">
        <f>IF($A270&lt;&gt;0,VLOOKUP($A270,'0.Productos'!$A$3:$GG$587,'0.Productos'!BY$1+1,0),"")</f>
        <v/>
      </c>
      <c r="AH270" s="133" t="str">
        <f>IF($A270&lt;&gt;0,VLOOKUP($A270,'0.Productos'!$A$3:$GG$587,'0.Productos'!BZ$1+1,0),"")</f>
        <v/>
      </c>
      <c r="AI270" s="133" t="str">
        <f>IF($A270&lt;&gt;0,VLOOKUP($A270,'0.Productos'!$A$3:$GG$587,'0.Productos'!CA$1+1,0),"")</f>
        <v/>
      </c>
      <c r="AJ270" s="133" t="str">
        <f>IF($A270&lt;&gt;0,VLOOKUP($A270,'0.Productos'!$A$3:$GG$587,'0.Productos'!CB$1+1,0),"")</f>
        <v/>
      </c>
      <c r="AK270" s="133" t="str">
        <f>IF($A270&lt;&gt;0,VLOOKUP($A270,'0.Productos'!$A$3:$GG$587,'0.Productos'!CC$1+1,0),"")</f>
        <v/>
      </c>
      <c r="AL270" s="133" t="str">
        <f>IF($A270&lt;&gt;0,VLOOKUP($A270,'0.Productos'!$A$3:$GG$587,'0.Productos'!CD$1+1,0),"")</f>
        <v/>
      </c>
      <c r="AM270" s="133" t="str">
        <f>IF($A270&lt;&gt;0,VLOOKUP($A270,'0.Productos'!$A$3:$GG$587,'0.Productos'!CE$1+1,0),"")</f>
        <v/>
      </c>
      <c r="AN270" s="133" t="str">
        <f>IF($A270&lt;&gt;0,VLOOKUP($A270,'0.Productos'!$A$3:$GG$587,'0.Productos'!CF$1+1,0),"")</f>
        <v/>
      </c>
      <c r="AO270" s="133" t="str">
        <f>IF($A270&lt;&gt;0,VLOOKUP($A270,'0.Productos'!$A$3:$GG$587,'0.Productos'!CG$1+1,0),"")</f>
        <v/>
      </c>
      <c r="AP270" s="133" t="str">
        <f>IF($A270&lt;&gt;0,VLOOKUP($A270,'0.Productos'!$A$3:$GG$587,'0.Productos'!CH$1+1,0),"")</f>
        <v/>
      </c>
      <c r="AQ270" s="133" t="str">
        <f>IF($A270&lt;&gt;0,VLOOKUP($A270,'0.Productos'!$A$3:$GG$587,'0.Productos'!CI$1+1,0),"")</f>
        <v/>
      </c>
      <c r="AR270" s="133" t="str">
        <f>IF($A270&lt;&gt;0,VLOOKUP($A270,'0.Productos'!$A$3:$GG$587,'0.Productos'!CJ$1+1,0),"")</f>
        <v/>
      </c>
      <c r="AS270" s="133" t="str">
        <f>IF($A270&lt;&gt;0,VLOOKUP($A270,'0.Productos'!$A$3:$GG$587,'0.Productos'!CK$1+1,0),"")</f>
        <v/>
      </c>
      <c r="AT270" s="133" t="str">
        <f>IF($A270&lt;&gt;0,VLOOKUP($A270,'0.Productos'!$A$3:$GG$587,'0.Productos'!CL$1+1,0),"")</f>
        <v/>
      </c>
      <c r="AU270" s="133" t="str">
        <f>IF($A270&lt;&gt;0,VLOOKUP($A270,'0.Productos'!$A$3:$GG$587,'0.Productos'!CM$1+1,0),"")</f>
        <v/>
      </c>
      <c r="AV270" s="133" t="str">
        <f>IF($A270&lt;&gt;0,VLOOKUP($A270,'0.Productos'!$A$3:$GG$587,'0.Productos'!CN$1+1,0),"")</f>
        <v/>
      </c>
      <c r="AW270" s="133" t="str">
        <f>IF($A270&lt;&gt;0,VLOOKUP($A270,'0.Productos'!$A$3:$GG$587,'0.Productos'!CO$1+1,0),"")</f>
        <v/>
      </c>
      <c r="AX270" s="133" t="str">
        <f>IF($A270&lt;&gt;0,VLOOKUP($A270,'0.Productos'!$A$3:$GG$587,'0.Productos'!CP$1+1,0),"")</f>
        <v/>
      </c>
      <c r="AY270" s="133" t="str">
        <f>IF($A270&lt;&gt;0,VLOOKUP($A270,'0.Productos'!$A$3:$GG$587,'0.Productos'!CQ$1+1,0),"")</f>
        <v/>
      </c>
      <c r="AZ270" s="133" t="str">
        <f>IF($A270&lt;&gt;0,VLOOKUP($A270,'0.Productos'!$A$3:$GG$587,'0.Productos'!CR$1+1,0),"")</f>
        <v/>
      </c>
      <c r="BA270" s="133" t="str">
        <f>IF($A270&lt;&gt;0,VLOOKUP($A270,'0.Productos'!$A$3:$GG$587,'0.Productos'!CS$1+1,0),"")</f>
        <v/>
      </c>
      <c r="BB270" s="133" t="str">
        <f>IF($A270&lt;&gt;0,VLOOKUP($A270,'0.Productos'!$A$3:$GG$587,'0.Productos'!CT$1+1,0),"")</f>
        <v/>
      </c>
      <c r="BC270" s="133" t="str">
        <f>IF($A270&lt;&gt;0,VLOOKUP($A270,'0.Productos'!$A$3:$GG$587,'0.Productos'!CU$1+1,0),"")</f>
        <v/>
      </c>
      <c r="BD270" s="133" t="str">
        <f>IF($A270&lt;&gt;0,VLOOKUP($A270,'0.Productos'!$A$3:$GG$587,'0.Productos'!CV$1+1,0),"")</f>
        <v/>
      </c>
      <c r="BE270" s="133" t="str">
        <f>IF($A270&lt;&gt;0,VLOOKUP($A270,'0.Productos'!$A$3:$GG$587,'0.Productos'!CW$1+1,0),"")</f>
        <v/>
      </c>
      <c r="BF270" s="133" t="str">
        <f>IF($A270&lt;&gt;0,VLOOKUP($A270,'0.Productos'!$A$3:$GG$587,'0.Productos'!CX$1+1,0),"")</f>
        <v/>
      </c>
      <c r="BG270" s="133" t="str">
        <f>IF($A270&lt;&gt;0,VLOOKUP($A270,'0.Productos'!$A$3:$GG$587,'0.Productos'!CY$1+1,0),"")</f>
        <v/>
      </c>
      <c r="BH270" s="133" t="str">
        <f>IF($A270&lt;&gt;0,VLOOKUP($A270,'0.Productos'!$A$3:$GG$587,'0.Productos'!CZ$1+1,0),"")</f>
        <v/>
      </c>
      <c r="BI270" s="133" t="str">
        <f>IF($A270&lt;&gt;0,VLOOKUP($A270,'0.Productos'!$A$3:$GG$587,'0.Productos'!DA$1+1,0),"")</f>
        <v/>
      </c>
      <c r="BJ270" s="133" t="str">
        <f>IF($A270&lt;&gt;0,VLOOKUP($A270,'0.Productos'!$A$3:$GG$587,'0.Productos'!DB$1+1,0),"")</f>
        <v/>
      </c>
      <c r="BK270" s="133" t="str">
        <f>IF($A270&lt;&gt;0,VLOOKUP($A270,'0.Productos'!$A$3:$GG$587,'0.Productos'!DC$1+1,0),"")</f>
        <v/>
      </c>
      <c r="BL270" s="133" t="str">
        <f>IF($A270&lt;&gt;0,VLOOKUP($A270,'0.Productos'!$A$3:$GG$587,'0.Productos'!DD$1+1,0),"")</f>
        <v/>
      </c>
      <c r="BM270" s="133" t="str">
        <f>IF($A270&lt;&gt;0,VLOOKUP($A270,'0.Productos'!$A$3:$GG$587,'0.Productos'!DE$1+1,0),"")</f>
        <v/>
      </c>
      <c r="BN270" s="133" t="str">
        <f>IF($A270&lt;&gt;0,VLOOKUP($A270,'0.Productos'!$A$3:$GG$587,'0.Productos'!DF$1+1,0),"")</f>
        <v/>
      </c>
      <c r="BO270" s="133" t="str">
        <f>IF($A270&lt;&gt;0,VLOOKUP($A270,'0.Productos'!$A$3:$GG$587,'0.Productos'!DG$1+1,0),"")</f>
        <v/>
      </c>
      <c r="BP270" s="133" t="str">
        <f>IF($A270&lt;&gt;0,VLOOKUP($A270,'0.Productos'!$A$3:$GG$587,'0.Productos'!DH$1+1,0),"")</f>
        <v/>
      </c>
      <c r="BQ270" s="133" t="str">
        <f>IF($A270&lt;&gt;0,VLOOKUP($A270,'0.Productos'!$A$3:$GG$587,'0.Productos'!DI$1+1,0),"")</f>
        <v/>
      </c>
      <c r="BR270" s="133" t="str">
        <f>IF($A270&lt;&gt;0,VLOOKUP($A270,'0.Productos'!$A$3:$GG$587,'0.Productos'!DJ$1+1,0),"")</f>
        <v/>
      </c>
      <c r="BS270" s="133" t="str">
        <f>IF($A270&lt;&gt;0,VLOOKUP($A270,'0.Productos'!$A$3:$GG$587,'0.Productos'!DK$1+1,0),"")</f>
        <v/>
      </c>
      <c r="BT270" s="133" t="str">
        <f>IF($A270&lt;&gt;0,VLOOKUP($A270,'0.Productos'!$A$3:$GG$587,'0.Productos'!DL$1+1,0),"")</f>
        <v/>
      </c>
    </row>
    <row r="271" spans="1:72" x14ac:dyDescent="0.25">
      <c r="A271" s="17">
        <f>'0.Consolidado general'!A271</f>
        <v>0</v>
      </c>
      <c r="B271" s="133" t="str">
        <f>IF($A271&lt;&gt;0,VLOOKUP($A271,'0.Productos'!$A$3:$GG$587,'0.Productos'!AT$1+1,0),"")</f>
        <v/>
      </c>
      <c r="C271" s="133" t="str">
        <f>IF($A271&lt;&gt;0,VLOOKUP($A271,'0.Productos'!$A$3:$GG$587,'0.Productos'!AU$1+1,0),"")</f>
        <v/>
      </c>
      <c r="D271" s="133" t="str">
        <f>IF($A271&lt;&gt;0,VLOOKUP($A271,'0.Productos'!$A$3:$GG$587,'0.Productos'!AV$1+1,0),"")</f>
        <v/>
      </c>
      <c r="E271" s="133" t="str">
        <f>IF($A271&lt;&gt;0,VLOOKUP($A271,'0.Productos'!$A$3:$GG$587,'0.Productos'!AW$1+1,0),"")</f>
        <v/>
      </c>
      <c r="F271" s="133" t="str">
        <f>IF($A271&lt;&gt;0,VLOOKUP($A271,'0.Productos'!$A$3:$GG$587,'0.Productos'!AX$1+1,0),"")</f>
        <v/>
      </c>
      <c r="G271" s="133" t="str">
        <f>IF($A271&lt;&gt;0,VLOOKUP($A271,'0.Productos'!$A$3:$GG$587,'0.Productos'!AY$1+1,0),"")</f>
        <v/>
      </c>
      <c r="H271" s="133" t="str">
        <f>IF($A271&lt;&gt;0,VLOOKUP($A271,'0.Productos'!$A$3:$GG$587,'0.Productos'!AZ$1+1,0),"")</f>
        <v/>
      </c>
      <c r="I271" s="133" t="str">
        <f>IF($A271&lt;&gt;0,VLOOKUP($A271,'0.Productos'!$A$3:$GG$587,'0.Productos'!BA$1+1,0),"")</f>
        <v/>
      </c>
      <c r="J271" s="133" t="str">
        <f>IF($A271&lt;&gt;0,VLOOKUP($A271,'0.Productos'!$A$3:$GG$587,'0.Productos'!BB$1+1,0),"")</f>
        <v/>
      </c>
      <c r="K271" s="133" t="str">
        <f>IF($A271&lt;&gt;0,VLOOKUP($A271,'0.Productos'!$A$3:$GG$587,'0.Productos'!BC$1+1,0),"")</f>
        <v/>
      </c>
      <c r="L271" s="133" t="str">
        <f>IF($A271&lt;&gt;0,VLOOKUP($A271,'0.Productos'!$A$3:$GG$587,'0.Productos'!BD$1+1,0),"")</f>
        <v/>
      </c>
      <c r="M271" s="133" t="str">
        <f>IF($A271&lt;&gt;0,VLOOKUP($A271,'0.Productos'!$A$3:$GG$587,'0.Productos'!BE$1+1,0),"")</f>
        <v/>
      </c>
      <c r="N271" s="133" t="str">
        <f>IF($A271&lt;&gt;0,VLOOKUP($A271,'0.Productos'!$A$3:$GG$587,'0.Productos'!BF$1+1,0),"")</f>
        <v/>
      </c>
      <c r="O271" s="133" t="str">
        <f>IF($A271&lt;&gt;0,VLOOKUP($A271,'0.Productos'!$A$3:$GG$587,'0.Productos'!BG$1+1,0),"")</f>
        <v/>
      </c>
      <c r="P271" s="133" t="str">
        <f>IF($A271&lt;&gt;0,VLOOKUP($A271,'0.Productos'!$A$3:$GG$587,'0.Productos'!BH$1+1,0),"")</f>
        <v/>
      </c>
      <c r="Q271" s="133" t="str">
        <f>IF($A271&lt;&gt;0,VLOOKUP($A271,'0.Productos'!$A$3:$GG$587,'0.Productos'!BI$1+1,0),"")</f>
        <v/>
      </c>
      <c r="R271" s="133" t="str">
        <f>IF($A271&lt;&gt;0,VLOOKUP($A271,'0.Productos'!$A$3:$GG$587,'0.Productos'!BJ$1+1,0),"")</f>
        <v/>
      </c>
      <c r="S271" s="133" t="str">
        <f>IF($A271&lt;&gt;0,VLOOKUP($A271,'0.Productos'!$A$3:$GG$587,'0.Productos'!BK$1+1,0),"")</f>
        <v/>
      </c>
      <c r="T271" s="133" t="str">
        <f>IF($A271&lt;&gt;0,VLOOKUP($A271,'0.Productos'!$A$3:$GG$587,'0.Productos'!BL$1+1,0),"")</f>
        <v/>
      </c>
      <c r="U271" s="133" t="str">
        <f>IF($A271&lt;&gt;0,VLOOKUP($A271,'0.Productos'!$A$3:$GG$587,'0.Productos'!BM$1+1,0),"")</f>
        <v/>
      </c>
      <c r="V271" s="133" t="str">
        <f>IF($A271&lt;&gt;0,VLOOKUP($A271,'0.Productos'!$A$3:$GG$587,'0.Productos'!BN$1+1,0),"")</f>
        <v/>
      </c>
      <c r="W271" s="133" t="str">
        <f>IF($A271&lt;&gt;0,VLOOKUP($A271,'0.Productos'!$A$3:$GG$587,'0.Productos'!BO$1+1,0),"")</f>
        <v/>
      </c>
      <c r="X271" s="133" t="str">
        <f>IF($A271&lt;&gt;0,VLOOKUP($A271,'0.Productos'!$A$3:$GG$587,'0.Productos'!BP$1+1,0),"")</f>
        <v/>
      </c>
      <c r="Y271" s="133" t="str">
        <f>IF($A271&lt;&gt;0,VLOOKUP($A271,'0.Productos'!$A$3:$GG$587,'0.Productos'!BQ$1+1,0),"")</f>
        <v/>
      </c>
      <c r="Z271" s="133" t="str">
        <f>IF($A271&lt;&gt;0,VLOOKUP($A271,'0.Productos'!$A$3:$GG$587,'0.Productos'!BR$1+1,0),"")</f>
        <v/>
      </c>
      <c r="AA271" s="133" t="str">
        <f>IF($A271&lt;&gt;0,VLOOKUP($A271,'0.Productos'!$A$3:$GG$587,'0.Productos'!BS$1+1,0),"")</f>
        <v/>
      </c>
      <c r="AB271" s="133" t="str">
        <f>IF($A271&lt;&gt;0,VLOOKUP($A271,'0.Productos'!$A$3:$GG$587,'0.Productos'!BT$1+1,0),"")</f>
        <v/>
      </c>
      <c r="AC271" s="133" t="str">
        <f>IF($A271&lt;&gt;0,VLOOKUP($A271,'0.Productos'!$A$3:$GG$587,'0.Productos'!BU$1+1,0),"")</f>
        <v/>
      </c>
      <c r="AD271" s="133" t="str">
        <f>IF($A271&lt;&gt;0,VLOOKUP($A271,'0.Productos'!$A$3:$GG$587,'0.Productos'!BV$1+1,0),"")</f>
        <v/>
      </c>
      <c r="AE271" s="133" t="str">
        <f>IF($A271&lt;&gt;0,VLOOKUP($A271,'0.Productos'!$A$3:$GG$587,'0.Productos'!BW$1+1,0),"")</f>
        <v/>
      </c>
      <c r="AF271" s="133" t="str">
        <f>IF($A271&lt;&gt;0,VLOOKUP($A271,'0.Productos'!$A$3:$GG$587,'0.Productos'!BX$1+1,0),"")</f>
        <v/>
      </c>
      <c r="AG271" s="133" t="str">
        <f>IF($A271&lt;&gt;0,VLOOKUP($A271,'0.Productos'!$A$3:$GG$587,'0.Productos'!BY$1+1,0),"")</f>
        <v/>
      </c>
      <c r="AH271" s="133" t="str">
        <f>IF($A271&lt;&gt;0,VLOOKUP($A271,'0.Productos'!$A$3:$GG$587,'0.Productos'!BZ$1+1,0),"")</f>
        <v/>
      </c>
      <c r="AI271" s="133" t="str">
        <f>IF($A271&lt;&gt;0,VLOOKUP($A271,'0.Productos'!$A$3:$GG$587,'0.Productos'!CA$1+1,0),"")</f>
        <v/>
      </c>
      <c r="AJ271" s="133" t="str">
        <f>IF($A271&lt;&gt;0,VLOOKUP($A271,'0.Productos'!$A$3:$GG$587,'0.Productos'!CB$1+1,0),"")</f>
        <v/>
      </c>
      <c r="AK271" s="133" t="str">
        <f>IF($A271&lt;&gt;0,VLOOKUP($A271,'0.Productos'!$A$3:$GG$587,'0.Productos'!CC$1+1,0),"")</f>
        <v/>
      </c>
      <c r="AL271" s="133" t="str">
        <f>IF($A271&lt;&gt;0,VLOOKUP($A271,'0.Productos'!$A$3:$GG$587,'0.Productos'!CD$1+1,0),"")</f>
        <v/>
      </c>
      <c r="AM271" s="133" t="str">
        <f>IF($A271&lt;&gt;0,VLOOKUP($A271,'0.Productos'!$A$3:$GG$587,'0.Productos'!CE$1+1,0),"")</f>
        <v/>
      </c>
      <c r="AN271" s="133" t="str">
        <f>IF($A271&lt;&gt;0,VLOOKUP($A271,'0.Productos'!$A$3:$GG$587,'0.Productos'!CF$1+1,0),"")</f>
        <v/>
      </c>
      <c r="AO271" s="133" t="str">
        <f>IF($A271&lt;&gt;0,VLOOKUP($A271,'0.Productos'!$A$3:$GG$587,'0.Productos'!CG$1+1,0),"")</f>
        <v/>
      </c>
      <c r="AP271" s="133" t="str">
        <f>IF($A271&lt;&gt;0,VLOOKUP($A271,'0.Productos'!$A$3:$GG$587,'0.Productos'!CH$1+1,0),"")</f>
        <v/>
      </c>
      <c r="AQ271" s="133" t="str">
        <f>IF($A271&lt;&gt;0,VLOOKUP($A271,'0.Productos'!$A$3:$GG$587,'0.Productos'!CI$1+1,0),"")</f>
        <v/>
      </c>
      <c r="AR271" s="133" t="str">
        <f>IF($A271&lt;&gt;0,VLOOKUP($A271,'0.Productos'!$A$3:$GG$587,'0.Productos'!CJ$1+1,0),"")</f>
        <v/>
      </c>
      <c r="AS271" s="133" t="str">
        <f>IF($A271&lt;&gt;0,VLOOKUP($A271,'0.Productos'!$A$3:$GG$587,'0.Productos'!CK$1+1,0),"")</f>
        <v/>
      </c>
      <c r="AT271" s="133" t="str">
        <f>IF($A271&lt;&gt;0,VLOOKUP($A271,'0.Productos'!$A$3:$GG$587,'0.Productos'!CL$1+1,0),"")</f>
        <v/>
      </c>
      <c r="AU271" s="133" t="str">
        <f>IF($A271&lt;&gt;0,VLOOKUP($A271,'0.Productos'!$A$3:$GG$587,'0.Productos'!CM$1+1,0),"")</f>
        <v/>
      </c>
      <c r="AV271" s="133" t="str">
        <f>IF($A271&lt;&gt;0,VLOOKUP($A271,'0.Productos'!$A$3:$GG$587,'0.Productos'!CN$1+1,0),"")</f>
        <v/>
      </c>
      <c r="AW271" s="133" t="str">
        <f>IF($A271&lt;&gt;0,VLOOKUP($A271,'0.Productos'!$A$3:$GG$587,'0.Productos'!CO$1+1,0),"")</f>
        <v/>
      </c>
      <c r="AX271" s="133" t="str">
        <f>IF($A271&lt;&gt;0,VLOOKUP($A271,'0.Productos'!$A$3:$GG$587,'0.Productos'!CP$1+1,0),"")</f>
        <v/>
      </c>
      <c r="AY271" s="133" t="str">
        <f>IF($A271&lt;&gt;0,VLOOKUP($A271,'0.Productos'!$A$3:$GG$587,'0.Productos'!CQ$1+1,0),"")</f>
        <v/>
      </c>
      <c r="AZ271" s="133" t="str">
        <f>IF($A271&lt;&gt;0,VLOOKUP($A271,'0.Productos'!$A$3:$GG$587,'0.Productos'!CR$1+1,0),"")</f>
        <v/>
      </c>
      <c r="BA271" s="133" t="str">
        <f>IF($A271&lt;&gt;0,VLOOKUP($A271,'0.Productos'!$A$3:$GG$587,'0.Productos'!CS$1+1,0),"")</f>
        <v/>
      </c>
      <c r="BB271" s="133" t="str">
        <f>IF($A271&lt;&gt;0,VLOOKUP($A271,'0.Productos'!$A$3:$GG$587,'0.Productos'!CT$1+1,0),"")</f>
        <v/>
      </c>
      <c r="BC271" s="133" t="str">
        <f>IF($A271&lt;&gt;0,VLOOKUP($A271,'0.Productos'!$A$3:$GG$587,'0.Productos'!CU$1+1,0),"")</f>
        <v/>
      </c>
      <c r="BD271" s="133" t="str">
        <f>IF($A271&lt;&gt;0,VLOOKUP($A271,'0.Productos'!$A$3:$GG$587,'0.Productos'!CV$1+1,0),"")</f>
        <v/>
      </c>
      <c r="BE271" s="133" t="str">
        <f>IF($A271&lt;&gt;0,VLOOKUP($A271,'0.Productos'!$A$3:$GG$587,'0.Productos'!CW$1+1,0),"")</f>
        <v/>
      </c>
      <c r="BF271" s="133" t="str">
        <f>IF($A271&lt;&gt;0,VLOOKUP($A271,'0.Productos'!$A$3:$GG$587,'0.Productos'!CX$1+1,0),"")</f>
        <v/>
      </c>
      <c r="BG271" s="133" t="str">
        <f>IF($A271&lt;&gt;0,VLOOKUP($A271,'0.Productos'!$A$3:$GG$587,'0.Productos'!CY$1+1,0),"")</f>
        <v/>
      </c>
      <c r="BH271" s="133" t="str">
        <f>IF($A271&lt;&gt;0,VLOOKUP($A271,'0.Productos'!$A$3:$GG$587,'0.Productos'!CZ$1+1,0),"")</f>
        <v/>
      </c>
      <c r="BI271" s="133" t="str">
        <f>IF($A271&lt;&gt;0,VLOOKUP($A271,'0.Productos'!$A$3:$GG$587,'0.Productos'!DA$1+1,0),"")</f>
        <v/>
      </c>
      <c r="BJ271" s="133" t="str">
        <f>IF($A271&lt;&gt;0,VLOOKUP($A271,'0.Productos'!$A$3:$GG$587,'0.Productos'!DB$1+1,0),"")</f>
        <v/>
      </c>
      <c r="BK271" s="133" t="str">
        <f>IF($A271&lt;&gt;0,VLOOKUP($A271,'0.Productos'!$A$3:$GG$587,'0.Productos'!DC$1+1,0),"")</f>
        <v/>
      </c>
      <c r="BL271" s="133" t="str">
        <f>IF($A271&lt;&gt;0,VLOOKUP($A271,'0.Productos'!$A$3:$GG$587,'0.Productos'!DD$1+1,0),"")</f>
        <v/>
      </c>
      <c r="BM271" s="133" t="str">
        <f>IF($A271&lt;&gt;0,VLOOKUP($A271,'0.Productos'!$A$3:$GG$587,'0.Productos'!DE$1+1,0),"")</f>
        <v/>
      </c>
      <c r="BN271" s="133" t="str">
        <f>IF($A271&lt;&gt;0,VLOOKUP($A271,'0.Productos'!$A$3:$GG$587,'0.Productos'!DF$1+1,0),"")</f>
        <v/>
      </c>
      <c r="BO271" s="133" t="str">
        <f>IF($A271&lt;&gt;0,VLOOKUP($A271,'0.Productos'!$A$3:$GG$587,'0.Productos'!DG$1+1,0),"")</f>
        <v/>
      </c>
      <c r="BP271" s="133" t="str">
        <f>IF($A271&lt;&gt;0,VLOOKUP($A271,'0.Productos'!$A$3:$GG$587,'0.Productos'!DH$1+1,0),"")</f>
        <v/>
      </c>
      <c r="BQ271" s="133" t="str">
        <f>IF($A271&lt;&gt;0,VLOOKUP($A271,'0.Productos'!$A$3:$GG$587,'0.Productos'!DI$1+1,0),"")</f>
        <v/>
      </c>
      <c r="BR271" s="133" t="str">
        <f>IF($A271&lt;&gt;0,VLOOKUP($A271,'0.Productos'!$A$3:$GG$587,'0.Productos'!DJ$1+1,0),"")</f>
        <v/>
      </c>
      <c r="BS271" s="133" t="str">
        <f>IF($A271&lt;&gt;0,VLOOKUP($A271,'0.Productos'!$A$3:$GG$587,'0.Productos'!DK$1+1,0),"")</f>
        <v/>
      </c>
      <c r="BT271" s="133" t="str">
        <f>IF($A271&lt;&gt;0,VLOOKUP($A271,'0.Productos'!$A$3:$GG$587,'0.Productos'!DL$1+1,0),"")</f>
        <v/>
      </c>
    </row>
    <row r="272" spans="1:72" x14ac:dyDescent="0.25">
      <c r="A272" s="17">
        <f>'0.Consolidado general'!A272</f>
        <v>0</v>
      </c>
      <c r="B272" s="133" t="str">
        <f>IF($A272&lt;&gt;0,VLOOKUP($A272,'0.Productos'!$A$3:$GG$587,'0.Productos'!AT$1+1,0),"")</f>
        <v/>
      </c>
      <c r="C272" s="133" t="str">
        <f>IF($A272&lt;&gt;0,VLOOKUP($A272,'0.Productos'!$A$3:$GG$587,'0.Productos'!AU$1+1,0),"")</f>
        <v/>
      </c>
      <c r="D272" s="133" t="str">
        <f>IF($A272&lt;&gt;0,VLOOKUP($A272,'0.Productos'!$A$3:$GG$587,'0.Productos'!AV$1+1,0),"")</f>
        <v/>
      </c>
      <c r="E272" s="133" t="str">
        <f>IF($A272&lt;&gt;0,VLOOKUP($A272,'0.Productos'!$A$3:$GG$587,'0.Productos'!AW$1+1,0),"")</f>
        <v/>
      </c>
      <c r="F272" s="133" t="str">
        <f>IF($A272&lt;&gt;0,VLOOKUP($A272,'0.Productos'!$A$3:$GG$587,'0.Productos'!AX$1+1,0),"")</f>
        <v/>
      </c>
      <c r="G272" s="133" t="str">
        <f>IF($A272&lt;&gt;0,VLOOKUP($A272,'0.Productos'!$A$3:$GG$587,'0.Productos'!AY$1+1,0),"")</f>
        <v/>
      </c>
      <c r="H272" s="133" t="str">
        <f>IF($A272&lt;&gt;0,VLOOKUP($A272,'0.Productos'!$A$3:$GG$587,'0.Productos'!AZ$1+1,0),"")</f>
        <v/>
      </c>
      <c r="I272" s="133" t="str">
        <f>IF($A272&lt;&gt;0,VLOOKUP($A272,'0.Productos'!$A$3:$GG$587,'0.Productos'!BA$1+1,0),"")</f>
        <v/>
      </c>
      <c r="J272" s="133" t="str">
        <f>IF($A272&lt;&gt;0,VLOOKUP($A272,'0.Productos'!$A$3:$GG$587,'0.Productos'!BB$1+1,0),"")</f>
        <v/>
      </c>
      <c r="K272" s="133" t="str">
        <f>IF($A272&lt;&gt;0,VLOOKUP($A272,'0.Productos'!$A$3:$GG$587,'0.Productos'!BC$1+1,0),"")</f>
        <v/>
      </c>
      <c r="L272" s="133" t="str">
        <f>IF($A272&lt;&gt;0,VLOOKUP($A272,'0.Productos'!$A$3:$GG$587,'0.Productos'!BD$1+1,0),"")</f>
        <v/>
      </c>
      <c r="M272" s="133" t="str">
        <f>IF($A272&lt;&gt;0,VLOOKUP($A272,'0.Productos'!$A$3:$GG$587,'0.Productos'!BE$1+1,0),"")</f>
        <v/>
      </c>
      <c r="N272" s="133" t="str">
        <f>IF($A272&lt;&gt;0,VLOOKUP($A272,'0.Productos'!$A$3:$GG$587,'0.Productos'!BF$1+1,0),"")</f>
        <v/>
      </c>
      <c r="O272" s="133" t="str">
        <f>IF($A272&lt;&gt;0,VLOOKUP($A272,'0.Productos'!$A$3:$GG$587,'0.Productos'!BG$1+1,0),"")</f>
        <v/>
      </c>
      <c r="P272" s="133" t="str">
        <f>IF($A272&lt;&gt;0,VLOOKUP($A272,'0.Productos'!$A$3:$GG$587,'0.Productos'!BH$1+1,0),"")</f>
        <v/>
      </c>
      <c r="Q272" s="133" t="str">
        <f>IF($A272&lt;&gt;0,VLOOKUP($A272,'0.Productos'!$A$3:$GG$587,'0.Productos'!BI$1+1,0),"")</f>
        <v/>
      </c>
      <c r="R272" s="133" t="str">
        <f>IF($A272&lt;&gt;0,VLOOKUP($A272,'0.Productos'!$A$3:$GG$587,'0.Productos'!BJ$1+1,0),"")</f>
        <v/>
      </c>
      <c r="S272" s="133" t="str">
        <f>IF($A272&lt;&gt;0,VLOOKUP($A272,'0.Productos'!$A$3:$GG$587,'0.Productos'!BK$1+1,0),"")</f>
        <v/>
      </c>
      <c r="T272" s="133" t="str">
        <f>IF($A272&lt;&gt;0,VLOOKUP($A272,'0.Productos'!$A$3:$GG$587,'0.Productos'!BL$1+1,0),"")</f>
        <v/>
      </c>
      <c r="U272" s="133" t="str">
        <f>IF($A272&lt;&gt;0,VLOOKUP($A272,'0.Productos'!$A$3:$GG$587,'0.Productos'!BM$1+1,0),"")</f>
        <v/>
      </c>
      <c r="V272" s="133" t="str">
        <f>IF($A272&lt;&gt;0,VLOOKUP($A272,'0.Productos'!$A$3:$GG$587,'0.Productos'!BN$1+1,0),"")</f>
        <v/>
      </c>
      <c r="W272" s="133" t="str">
        <f>IF($A272&lt;&gt;0,VLOOKUP($A272,'0.Productos'!$A$3:$GG$587,'0.Productos'!BO$1+1,0),"")</f>
        <v/>
      </c>
      <c r="X272" s="133" t="str">
        <f>IF($A272&lt;&gt;0,VLOOKUP($A272,'0.Productos'!$A$3:$GG$587,'0.Productos'!BP$1+1,0),"")</f>
        <v/>
      </c>
      <c r="Y272" s="133" t="str">
        <f>IF($A272&lt;&gt;0,VLOOKUP($A272,'0.Productos'!$A$3:$GG$587,'0.Productos'!BQ$1+1,0),"")</f>
        <v/>
      </c>
      <c r="Z272" s="133" t="str">
        <f>IF($A272&lt;&gt;0,VLOOKUP($A272,'0.Productos'!$A$3:$GG$587,'0.Productos'!BR$1+1,0),"")</f>
        <v/>
      </c>
      <c r="AA272" s="133" t="str">
        <f>IF($A272&lt;&gt;0,VLOOKUP($A272,'0.Productos'!$A$3:$GG$587,'0.Productos'!BS$1+1,0),"")</f>
        <v/>
      </c>
      <c r="AB272" s="133" t="str">
        <f>IF($A272&lt;&gt;0,VLOOKUP($A272,'0.Productos'!$A$3:$GG$587,'0.Productos'!BT$1+1,0),"")</f>
        <v/>
      </c>
      <c r="AC272" s="133" t="str">
        <f>IF($A272&lt;&gt;0,VLOOKUP($A272,'0.Productos'!$A$3:$GG$587,'0.Productos'!BU$1+1,0),"")</f>
        <v/>
      </c>
      <c r="AD272" s="133" t="str">
        <f>IF($A272&lt;&gt;0,VLOOKUP($A272,'0.Productos'!$A$3:$GG$587,'0.Productos'!BV$1+1,0),"")</f>
        <v/>
      </c>
      <c r="AE272" s="133" t="str">
        <f>IF($A272&lt;&gt;0,VLOOKUP($A272,'0.Productos'!$A$3:$GG$587,'0.Productos'!BW$1+1,0),"")</f>
        <v/>
      </c>
      <c r="AF272" s="133" t="str">
        <f>IF($A272&lt;&gt;0,VLOOKUP($A272,'0.Productos'!$A$3:$GG$587,'0.Productos'!BX$1+1,0),"")</f>
        <v/>
      </c>
      <c r="AG272" s="133" t="str">
        <f>IF($A272&lt;&gt;0,VLOOKUP($A272,'0.Productos'!$A$3:$GG$587,'0.Productos'!BY$1+1,0),"")</f>
        <v/>
      </c>
      <c r="AH272" s="133" t="str">
        <f>IF($A272&lt;&gt;0,VLOOKUP($A272,'0.Productos'!$A$3:$GG$587,'0.Productos'!BZ$1+1,0),"")</f>
        <v/>
      </c>
      <c r="AI272" s="133" t="str">
        <f>IF($A272&lt;&gt;0,VLOOKUP($A272,'0.Productos'!$A$3:$GG$587,'0.Productos'!CA$1+1,0),"")</f>
        <v/>
      </c>
      <c r="AJ272" s="133" t="str">
        <f>IF($A272&lt;&gt;0,VLOOKUP($A272,'0.Productos'!$A$3:$GG$587,'0.Productos'!CB$1+1,0),"")</f>
        <v/>
      </c>
      <c r="AK272" s="133" t="str">
        <f>IF($A272&lt;&gt;0,VLOOKUP($A272,'0.Productos'!$A$3:$GG$587,'0.Productos'!CC$1+1,0),"")</f>
        <v/>
      </c>
      <c r="AL272" s="133" t="str">
        <f>IF($A272&lt;&gt;0,VLOOKUP($A272,'0.Productos'!$A$3:$GG$587,'0.Productos'!CD$1+1,0),"")</f>
        <v/>
      </c>
      <c r="AM272" s="133" t="str">
        <f>IF($A272&lt;&gt;0,VLOOKUP($A272,'0.Productos'!$A$3:$GG$587,'0.Productos'!CE$1+1,0),"")</f>
        <v/>
      </c>
      <c r="AN272" s="133" t="str">
        <f>IF($A272&lt;&gt;0,VLOOKUP($A272,'0.Productos'!$A$3:$GG$587,'0.Productos'!CF$1+1,0),"")</f>
        <v/>
      </c>
      <c r="AO272" s="133" t="str">
        <f>IF($A272&lt;&gt;0,VLOOKUP($A272,'0.Productos'!$A$3:$GG$587,'0.Productos'!CG$1+1,0),"")</f>
        <v/>
      </c>
      <c r="AP272" s="133" t="str">
        <f>IF($A272&lt;&gt;0,VLOOKUP($A272,'0.Productos'!$A$3:$GG$587,'0.Productos'!CH$1+1,0),"")</f>
        <v/>
      </c>
      <c r="AQ272" s="133" t="str">
        <f>IF($A272&lt;&gt;0,VLOOKUP($A272,'0.Productos'!$A$3:$GG$587,'0.Productos'!CI$1+1,0),"")</f>
        <v/>
      </c>
      <c r="AR272" s="133" t="str">
        <f>IF($A272&lt;&gt;0,VLOOKUP($A272,'0.Productos'!$A$3:$GG$587,'0.Productos'!CJ$1+1,0),"")</f>
        <v/>
      </c>
      <c r="AS272" s="133" t="str">
        <f>IF($A272&lt;&gt;0,VLOOKUP($A272,'0.Productos'!$A$3:$GG$587,'0.Productos'!CK$1+1,0),"")</f>
        <v/>
      </c>
      <c r="AT272" s="133" t="str">
        <f>IF($A272&lt;&gt;0,VLOOKUP($A272,'0.Productos'!$A$3:$GG$587,'0.Productos'!CL$1+1,0),"")</f>
        <v/>
      </c>
      <c r="AU272" s="133" t="str">
        <f>IF($A272&lt;&gt;0,VLOOKUP($A272,'0.Productos'!$A$3:$GG$587,'0.Productos'!CM$1+1,0),"")</f>
        <v/>
      </c>
      <c r="AV272" s="133" t="str">
        <f>IF($A272&lt;&gt;0,VLOOKUP($A272,'0.Productos'!$A$3:$GG$587,'0.Productos'!CN$1+1,0),"")</f>
        <v/>
      </c>
      <c r="AW272" s="133" t="str">
        <f>IF($A272&lt;&gt;0,VLOOKUP($A272,'0.Productos'!$A$3:$GG$587,'0.Productos'!CO$1+1,0),"")</f>
        <v/>
      </c>
      <c r="AX272" s="133" t="str">
        <f>IF($A272&lt;&gt;0,VLOOKUP($A272,'0.Productos'!$A$3:$GG$587,'0.Productos'!CP$1+1,0),"")</f>
        <v/>
      </c>
      <c r="AY272" s="133" t="str">
        <f>IF($A272&lt;&gt;0,VLOOKUP($A272,'0.Productos'!$A$3:$GG$587,'0.Productos'!CQ$1+1,0),"")</f>
        <v/>
      </c>
      <c r="AZ272" s="133" t="str">
        <f>IF($A272&lt;&gt;0,VLOOKUP($A272,'0.Productos'!$A$3:$GG$587,'0.Productos'!CR$1+1,0),"")</f>
        <v/>
      </c>
      <c r="BA272" s="133" t="str">
        <f>IF($A272&lt;&gt;0,VLOOKUP($A272,'0.Productos'!$A$3:$GG$587,'0.Productos'!CS$1+1,0),"")</f>
        <v/>
      </c>
      <c r="BB272" s="133" t="str">
        <f>IF($A272&lt;&gt;0,VLOOKUP($A272,'0.Productos'!$A$3:$GG$587,'0.Productos'!CT$1+1,0),"")</f>
        <v/>
      </c>
      <c r="BC272" s="133" t="str">
        <f>IF($A272&lt;&gt;0,VLOOKUP($A272,'0.Productos'!$A$3:$GG$587,'0.Productos'!CU$1+1,0),"")</f>
        <v/>
      </c>
      <c r="BD272" s="133" t="str">
        <f>IF($A272&lt;&gt;0,VLOOKUP($A272,'0.Productos'!$A$3:$GG$587,'0.Productos'!CV$1+1,0),"")</f>
        <v/>
      </c>
      <c r="BE272" s="133" t="str">
        <f>IF($A272&lt;&gt;0,VLOOKUP($A272,'0.Productos'!$A$3:$GG$587,'0.Productos'!CW$1+1,0),"")</f>
        <v/>
      </c>
      <c r="BF272" s="133" t="str">
        <f>IF($A272&lt;&gt;0,VLOOKUP($A272,'0.Productos'!$A$3:$GG$587,'0.Productos'!CX$1+1,0),"")</f>
        <v/>
      </c>
      <c r="BG272" s="133" t="str">
        <f>IF($A272&lt;&gt;0,VLOOKUP($A272,'0.Productos'!$A$3:$GG$587,'0.Productos'!CY$1+1,0),"")</f>
        <v/>
      </c>
      <c r="BH272" s="133" t="str">
        <f>IF($A272&lt;&gt;0,VLOOKUP($A272,'0.Productos'!$A$3:$GG$587,'0.Productos'!CZ$1+1,0),"")</f>
        <v/>
      </c>
      <c r="BI272" s="133" t="str">
        <f>IF($A272&lt;&gt;0,VLOOKUP($A272,'0.Productos'!$A$3:$GG$587,'0.Productos'!DA$1+1,0),"")</f>
        <v/>
      </c>
      <c r="BJ272" s="133" t="str">
        <f>IF($A272&lt;&gt;0,VLOOKUP($A272,'0.Productos'!$A$3:$GG$587,'0.Productos'!DB$1+1,0),"")</f>
        <v/>
      </c>
      <c r="BK272" s="133" t="str">
        <f>IF($A272&lt;&gt;0,VLOOKUP($A272,'0.Productos'!$A$3:$GG$587,'0.Productos'!DC$1+1,0),"")</f>
        <v/>
      </c>
      <c r="BL272" s="133" t="str">
        <f>IF($A272&lt;&gt;0,VLOOKUP($A272,'0.Productos'!$A$3:$GG$587,'0.Productos'!DD$1+1,0),"")</f>
        <v/>
      </c>
      <c r="BM272" s="133" t="str">
        <f>IF($A272&lt;&gt;0,VLOOKUP($A272,'0.Productos'!$A$3:$GG$587,'0.Productos'!DE$1+1,0),"")</f>
        <v/>
      </c>
      <c r="BN272" s="133" t="str">
        <f>IF($A272&lt;&gt;0,VLOOKUP($A272,'0.Productos'!$A$3:$GG$587,'0.Productos'!DF$1+1,0),"")</f>
        <v/>
      </c>
      <c r="BO272" s="133" t="str">
        <f>IF($A272&lt;&gt;0,VLOOKUP($A272,'0.Productos'!$A$3:$GG$587,'0.Productos'!DG$1+1,0),"")</f>
        <v/>
      </c>
      <c r="BP272" s="133" t="str">
        <f>IF($A272&lt;&gt;0,VLOOKUP($A272,'0.Productos'!$A$3:$GG$587,'0.Productos'!DH$1+1,0),"")</f>
        <v/>
      </c>
      <c r="BQ272" s="133" t="str">
        <f>IF($A272&lt;&gt;0,VLOOKUP($A272,'0.Productos'!$A$3:$GG$587,'0.Productos'!DI$1+1,0),"")</f>
        <v/>
      </c>
      <c r="BR272" s="133" t="str">
        <f>IF($A272&lt;&gt;0,VLOOKUP($A272,'0.Productos'!$A$3:$GG$587,'0.Productos'!DJ$1+1,0),"")</f>
        <v/>
      </c>
      <c r="BS272" s="133" t="str">
        <f>IF($A272&lt;&gt;0,VLOOKUP($A272,'0.Productos'!$A$3:$GG$587,'0.Productos'!DK$1+1,0),"")</f>
        <v/>
      </c>
      <c r="BT272" s="133" t="str">
        <f>IF($A272&lt;&gt;0,VLOOKUP($A272,'0.Productos'!$A$3:$GG$587,'0.Productos'!DL$1+1,0),"")</f>
        <v/>
      </c>
    </row>
    <row r="273" spans="1:72" x14ac:dyDescent="0.25">
      <c r="A273" s="17">
        <f>'0.Consolidado general'!A273</f>
        <v>0</v>
      </c>
      <c r="B273" s="133" t="str">
        <f>IF($A273&lt;&gt;0,VLOOKUP($A273,'0.Productos'!$A$3:$GG$587,'0.Productos'!AT$1+1,0),"")</f>
        <v/>
      </c>
      <c r="C273" s="133" t="str">
        <f>IF($A273&lt;&gt;0,VLOOKUP($A273,'0.Productos'!$A$3:$GG$587,'0.Productos'!AU$1+1,0),"")</f>
        <v/>
      </c>
      <c r="D273" s="133" t="str">
        <f>IF($A273&lt;&gt;0,VLOOKUP($A273,'0.Productos'!$A$3:$GG$587,'0.Productos'!AV$1+1,0),"")</f>
        <v/>
      </c>
      <c r="E273" s="133" t="str">
        <f>IF($A273&lt;&gt;0,VLOOKUP($A273,'0.Productos'!$A$3:$GG$587,'0.Productos'!AW$1+1,0),"")</f>
        <v/>
      </c>
      <c r="F273" s="133" t="str">
        <f>IF($A273&lt;&gt;0,VLOOKUP($A273,'0.Productos'!$A$3:$GG$587,'0.Productos'!AX$1+1,0),"")</f>
        <v/>
      </c>
      <c r="G273" s="133" t="str">
        <f>IF($A273&lt;&gt;0,VLOOKUP($A273,'0.Productos'!$A$3:$GG$587,'0.Productos'!AY$1+1,0),"")</f>
        <v/>
      </c>
      <c r="H273" s="133" t="str">
        <f>IF($A273&lt;&gt;0,VLOOKUP($A273,'0.Productos'!$A$3:$GG$587,'0.Productos'!AZ$1+1,0),"")</f>
        <v/>
      </c>
      <c r="I273" s="133" t="str">
        <f>IF($A273&lt;&gt;0,VLOOKUP($A273,'0.Productos'!$A$3:$GG$587,'0.Productos'!BA$1+1,0),"")</f>
        <v/>
      </c>
      <c r="J273" s="133" t="str">
        <f>IF($A273&lt;&gt;0,VLOOKUP($A273,'0.Productos'!$A$3:$GG$587,'0.Productos'!BB$1+1,0),"")</f>
        <v/>
      </c>
      <c r="K273" s="133" t="str">
        <f>IF($A273&lt;&gt;0,VLOOKUP($A273,'0.Productos'!$A$3:$GG$587,'0.Productos'!BC$1+1,0),"")</f>
        <v/>
      </c>
      <c r="L273" s="133" t="str">
        <f>IF($A273&lt;&gt;0,VLOOKUP($A273,'0.Productos'!$A$3:$GG$587,'0.Productos'!BD$1+1,0),"")</f>
        <v/>
      </c>
      <c r="M273" s="133" t="str">
        <f>IF($A273&lt;&gt;0,VLOOKUP($A273,'0.Productos'!$A$3:$GG$587,'0.Productos'!BE$1+1,0),"")</f>
        <v/>
      </c>
      <c r="N273" s="133" t="str">
        <f>IF($A273&lt;&gt;0,VLOOKUP($A273,'0.Productos'!$A$3:$GG$587,'0.Productos'!BF$1+1,0),"")</f>
        <v/>
      </c>
      <c r="O273" s="133" t="str">
        <f>IF($A273&lt;&gt;0,VLOOKUP($A273,'0.Productos'!$A$3:$GG$587,'0.Productos'!BG$1+1,0),"")</f>
        <v/>
      </c>
      <c r="P273" s="133" t="str">
        <f>IF($A273&lt;&gt;0,VLOOKUP($A273,'0.Productos'!$A$3:$GG$587,'0.Productos'!BH$1+1,0),"")</f>
        <v/>
      </c>
      <c r="Q273" s="133" t="str">
        <f>IF($A273&lt;&gt;0,VLOOKUP($A273,'0.Productos'!$A$3:$GG$587,'0.Productos'!BI$1+1,0),"")</f>
        <v/>
      </c>
      <c r="R273" s="133" t="str">
        <f>IF($A273&lt;&gt;0,VLOOKUP($A273,'0.Productos'!$A$3:$GG$587,'0.Productos'!BJ$1+1,0),"")</f>
        <v/>
      </c>
      <c r="S273" s="133" t="str">
        <f>IF($A273&lt;&gt;0,VLOOKUP($A273,'0.Productos'!$A$3:$GG$587,'0.Productos'!BK$1+1,0),"")</f>
        <v/>
      </c>
      <c r="T273" s="133" t="str">
        <f>IF($A273&lt;&gt;0,VLOOKUP($A273,'0.Productos'!$A$3:$GG$587,'0.Productos'!BL$1+1,0),"")</f>
        <v/>
      </c>
      <c r="U273" s="133" t="str">
        <f>IF($A273&lt;&gt;0,VLOOKUP($A273,'0.Productos'!$A$3:$GG$587,'0.Productos'!BM$1+1,0),"")</f>
        <v/>
      </c>
      <c r="V273" s="133" t="str">
        <f>IF($A273&lt;&gt;0,VLOOKUP($A273,'0.Productos'!$A$3:$GG$587,'0.Productos'!BN$1+1,0),"")</f>
        <v/>
      </c>
      <c r="W273" s="133" t="str">
        <f>IF($A273&lt;&gt;0,VLOOKUP($A273,'0.Productos'!$A$3:$GG$587,'0.Productos'!BO$1+1,0),"")</f>
        <v/>
      </c>
      <c r="X273" s="133" t="str">
        <f>IF($A273&lt;&gt;0,VLOOKUP($A273,'0.Productos'!$A$3:$GG$587,'0.Productos'!BP$1+1,0),"")</f>
        <v/>
      </c>
      <c r="Y273" s="133" t="str">
        <f>IF($A273&lt;&gt;0,VLOOKUP($A273,'0.Productos'!$A$3:$GG$587,'0.Productos'!BQ$1+1,0),"")</f>
        <v/>
      </c>
      <c r="Z273" s="133" t="str">
        <f>IF($A273&lt;&gt;0,VLOOKUP($A273,'0.Productos'!$A$3:$GG$587,'0.Productos'!BR$1+1,0),"")</f>
        <v/>
      </c>
      <c r="AA273" s="133" t="str">
        <f>IF($A273&lt;&gt;0,VLOOKUP($A273,'0.Productos'!$A$3:$GG$587,'0.Productos'!BS$1+1,0),"")</f>
        <v/>
      </c>
      <c r="AB273" s="133" t="str">
        <f>IF($A273&lt;&gt;0,VLOOKUP($A273,'0.Productos'!$A$3:$GG$587,'0.Productos'!BT$1+1,0),"")</f>
        <v/>
      </c>
      <c r="AC273" s="133" t="str">
        <f>IF($A273&lt;&gt;0,VLOOKUP($A273,'0.Productos'!$A$3:$GG$587,'0.Productos'!BU$1+1,0),"")</f>
        <v/>
      </c>
      <c r="AD273" s="133" t="str">
        <f>IF($A273&lt;&gt;0,VLOOKUP($A273,'0.Productos'!$A$3:$GG$587,'0.Productos'!BV$1+1,0),"")</f>
        <v/>
      </c>
      <c r="AE273" s="133" t="str">
        <f>IF($A273&lt;&gt;0,VLOOKUP($A273,'0.Productos'!$A$3:$GG$587,'0.Productos'!BW$1+1,0),"")</f>
        <v/>
      </c>
      <c r="AF273" s="133" t="str">
        <f>IF($A273&lt;&gt;0,VLOOKUP($A273,'0.Productos'!$A$3:$GG$587,'0.Productos'!BX$1+1,0),"")</f>
        <v/>
      </c>
      <c r="AG273" s="133" t="str">
        <f>IF($A273&lt;&gt;0,VLOOKUP($A273,'0.Productos'!$A$3:$GG$587,'0.Productos'!BY$1+1,0),"")</f>
        <v/>
      </c>
      <c r="AH273" s="133" t="str">
        <f>IF($A273&lt;&gt;0,VLOOKUP($A273,'0.Productos'!$A$3:$GG$587,'0.Productos'!BZ$1+1,0),"")</f>
        <v/>
      </c>
      <c r="AI273" s="133" t="str">
        <f>IF($A273&lt;&gt;0,VLOOKUP($A273,'0.Productos'!$A$3:$GG$587,'0.Productos'!CA$1+1,0),"")</f>
        <v/>
      </c>
      <c r="AJ273" s="133" t="str">
        <f>IF($A273&lt;&gt;0,VLOOKUP($A273,'0.Productos'!$A$3:$GG$587,'0.Productos'!CB$1+1,0),"")</f>
        <v/>
      </c>
      <c r="AK273" s="133" t="str">
        <f>IF($A273&lt;&gt;0,VLOOKUP($A273,'0.Productos'!$A$3:$GG$587,'0.Productos'!CC$1+1,0),"")</f>
        <v/>
      </c>
      <c r="AL273" s="133" t="str">
        <f>IF($A273&lt;&gt;0,VLOOKUP($A273,'0.Productos'!$A$3:$GG$587,'0.Productos'!CD$1+1,0),"")</f>
        <v/>
      </c>
      <c r="AM273" s="133" t="str">
        <f>IF($A273&lt;&gt;0,VLOOKUP($A273,'0.Productos'!$A$3:$GG$587,'0.Productos'!CE$1+1,0),"")</f>
        <v/>
      </c>
      <c r="AN273" s="133" t="str">
        <f>IF($A273&lt;&gt;0,VLOOKUP($A273,'0.Productos'!$A$3:$GG$587,'0.Productos'!CF$1+1,0),"")</f>
        <v/>
      </c>
      <c r="AO273" s="133" t="str">
        <f>IF($A273&lt;&gt;0,VLOOKUP($A273,'0.Productos'!$A$3:$GG$587,'0.Productos'!CG$1+1,0),"")</f>
        <v/>
      </c>
      <c r="AP273" s="133" t="str">
        <f>IF($A273&lt;&gt;0,VLOOKUP($A273,'0.Productos'!$A$3:$GG$587,'0.Productos'!CH$1+1,0),"")</f>
        <v/>
      </c>
      <c r="AQ273" s="133" t="str">
        <f>IF($A273&lt;&gt;0,VLOOKUP($A273,'0.Productos'!$A$3:$GG$587,'0.Productos'!CI$1+1,0),"")</f>
        <v/>
      </c>
      <c r="AR273" s="133" t="str">
        <f>IF($A273&lt;&gt;0,VLOOKUP($A273,'0.Productos'!$A$3:$GG$587,'0.Productos'!CJ$1+1,0),"")</f>
        <v/>
      </c>
      <c r="AS273" s="133" t="str">
        <f>IF($A273&lt;&gt;0,VLOOKUP($A273,'0.Productos'!$A$3:$GG$587,'0.Productos'!CK$1+1,0),"")</f>
        <v/>
      </c>
      <c r="AT273" s="133" t="str">
        <f>IF($A273&lt;&gt;0,VLOOKUP($A273,'0.Productos'!$A$3:$GG$587,'0.Productos'!CL$1+1,0),"")</f>
        <v/>
      </c>
      <c r="AU273" s="133" t="str">
        <f>IF($A273&lt;&gt;0,VLOOKUP($A273,'0.Productos'!$A$3:$GG$587,'0.Productos'!CM$1+1,0),"")</f>
        <v/>
      </c>
      <c r="AV273" s="133" t="str">
        <f>IF($A273&lt;&gt;0,VLOOKUP($A273,'0.Productos'!$A$3:$GG$587,'0.Productos'!CN$1+1,0),"")</f>
        <v/>
      </c>
      <c r="AW273" s="133" t="str">
        <f>IF($A273&lt;&gt;0,VLOOKUP($A273,'0.Productos'!$A$3:$GG$587,'0.Productos'!CO$1+1,0),"")</f>
        <v/>
      </c>
      <c r="AX273" s="133" t="str">
        <f>IF($A273&lt;&gt;0,VLOOKUP($A273,'0.Productos'!$A$3:$GG$587,'0.Productos'!CP$1+1,0),"")</f>
        <v/>
      </c>
      <c r="AY273" s="133" t="str">
        <f>IF($A273&lt;&gt;0,VLOOKUP($A273,'0.Productos'!$A$3:$GG$587,'0.Productos'!CQ$1+1,0),"")</f>
        <v/>
      </c>
      <c r="AZ273" s="133" t="str">
        <f>IF($A273&lt;&gt;0,VLOOKUP($A273,'0.Productos'!$A$3:$GG$587,'0.Productos'!CR$1+1,0),"")</f>
        <v/>
      </c>
      <c r="BA273" s="133" t="str">
        <f>IF($A273&lt;&gt;0,VLOOKUP($A273,'0.Productos'!$A$3:$GG$587,'0.Productos'!CS$1+1,0),"")</f>
        <v/>
      </c>
      <c r="BB273" s="133" t="str">
        <f>IF($A273&lt;&gt;0,VLOOKUP($A273,'0.Productos'!$A$3:$GG$587,'0.Productos'!CT$1+1,0),"")</f>
        <v/>
      </c>
      <c r="BC273" s="133" t="str">
        <f>IF($A273&lt;&gt;0,VLOOKUP($A273,'0.Productos'!$A$3:$GG$587,'0.Productos'!CU$1+1,0),"")</f>
        <v/>
      </c>
      <c r="BD273" s="133" t="str">
        <f>IF($A273&lt;&gt;0,VLOOKUP($A273,'0.Productos'!$A$3:$GG$587,'0.Productos'!CV$1+1,0),"")</f>
        <v/>
      </c>
      <c r="BE273" s="133" t="str">
        <f>IF($A273&lt;&gt;0,VLOOKUP($A273,'0.Productos'!$A$3:$GG$587,'0.Productos'!CW$1+1,0),"")</f>
        <v/>
      </c>
      <c r="BF273" s="133" t="str">
        <f>IF($A273&lt;&gt;0,VLOOKUP($A273,'0.Productos'!$A$3:$GG$587,'0.Productos'!CX$1+1,0),"")</f>
        <v/>
      </c>
      <c r="BG273" s="133" t="str">
        <f>IF($A273&lt;&gt;0,VLOOKUP($A273,'0.Productos'!$A$3:$GG$587,'0.Productos'!CY$1+1,0),"")</f>
        <v/>
      </c>
      <c r="BH273" s="133" t="str">
        <f>IF($A273&lt;&gt;0,VLOOKUP($A273,'0.Productos'!$A$3:$GG$587,'0.Productos'!CZ$1+1,0),"")</f>
        <v/>
      </c>
      <c r="BI273" s="133" t="str">
        <f>IF($A273&lt;&gt;0,VLOOKUP($A273,'0.Productos'!$A$3:$GG$587,'0.Productos'!DA$1+1,0),"")</f>
        <v/>
      </c>
      <c r="BJ273" s="133" t="str">
        <f>IF($A273&lt;&gt;0,VLOOKUP($A273,'0.Productos'!$A$3:$GG$587,'0.Productos'!DB$1+1,0),"")</f>
        <v/>
      </c>
      <c r="BK273" s="133" t="str">
        <f>IF($A273&lt;&gt;0,VLOOKUP($A273,'0.Productos'!$A$3:$GG$587,'0.Productos'!DC$1+1,0),"")</f>
        <v/>
      </c>
      <c r="BL273" s="133" t="str">
        <f>IF($A273&lt;&gt;0,VLOOKUP($A273,'0.Productos'!$A$3:$GG$587,'0.Productos'!DD$1+1,0),"")</f>
        <v/>
      </c>
      <c r="BM273" s="133" t="str">
        <f>IF($A273&lt;&gt;0,VLOOKUP($A273,'0.Productos'!$A$3:$GG$587,'0.Productos'!DE$1+1,0),"")</f>
        <v/>
      </c>
      <c r="BN273" s="133" t="str">
        <f>IF($A273&lt;&gt;0,VLOOKUP($A273,'0.Productos'!$A$3:$GG$587,'0.Productos'!DF$1+1,0),"")</f>
        <v/>
      </c>
      <c r="BO273" s="133" t="str">
        <f>IF($A273&lt;&gt;0,VLOOKUP($A273,'0.Productos'!$A$3:$GG$587,'0.Productos'!DG$1+1,0),"")</f>
        <v/>
      </c>
      <c r="BP273" s="133" t="str">
        <f>IF($A273&lt;&gt;0,VLOOKUP($A273,'0.Productos'!$A$3:$GG$587,'0.Productos'!DH$1+1,0),"")</f>
        <v/>
      </c>
      <c r="BQ273" s="133" t="str">
        <f>IF($A273&lt;&gt;0,VLOOKUP($A273,'0.Productos'!$A$3:$GG$587,'0.Productos'!DI$1+1,0),"")</f>
        <v/>
      </c>
      <c r="BR273" s="133" t="str">
        <f>IF($A273&lt;&gt;0,VLOOKUP($A273,'0.Productos'!$A$3:$GG$587,'0.Productos'!DJ$1+1,0),"")</f>
        <v/>
      </c>
      <c r="BS273" s="133" t="str">
        <f>IF($A273&lt;&gt;0,VLOOKUP($A273,'0.Productos'!$A$3:$GG$587,'0.Productos'!DK$1+1,0),"")</f>
        <v/>
      </c>
      <c r="BT273" s="133" t="str">
        <f>IF($A273&lt;&gt;0,VLOOKUP($A273,'0.Productos'!$A$3:$GG$587,'0.Productos'!DL$1+1,0),"")</f>
        <v/>
      </c>
    </row>
    <row r="274" spans="1:72" x14ac:dyDescent="0.25">
      <c r="A274" s="17">
        <f>'0.Consolidado general'!A274</f>
        <v>0</v>
      </c>
      <c r="B274" s="133" t="str">
        <f>IF($A274&lt;&gt;0,VLOOKUP($A274,'0.Productos'!$A$3:$GG$587,'0.Productos'!AT$1+1,0),"")</f>
        <v/>
      </c>
      <c r="C274" s="133" t="str">
        <f>IF($A274&lt;&gt;0,VLOOKUP($A274,'0.Productos'!$A$3:$GG$587,'0.Productos'!AU$1+1,0),"")</f>
        <v/>
      </c>
      <c r="D274" s="133" t="str">
        <f>IF($A274&lt;&gt;0,VLOOKUP($A274,'0.Productos'!$A$3:$GG$587,'0.Productos'!AV$1+1,0),"")</f>
        <v/>
      </c>
      <c r="E274" s="133" t="str">
        <f>IF($A274&lt;&gt;0,VLOOKUP($A274,'0.Productos'!$A$3:$GG$587,'0.Productos'!AW$1+1,0),"")</f>
        <v/>
      </c>
      <c r="F274" s="133" t="str">
        <f>IF($A274&lt;&gt;0,VLOOKUP($A274,'0.Productos'!$A$3:$GG$587,'0.Productos'!AX$1+1,0),"")</f>
        <v/>
      </c>
      <c r="G274" s="133" t="str">
        <f>IF($A274&lt;&gt;0,VLOOKUP($A274,'0.Productos'!$A$3:$GG$587,'0.Productos'!AY$1+1,0),"")</f>
        <v/>
      </c>
      <c r="H274" s="133" t="str">
        <f>IF($A274&lt;&gt;0,VLOOKUP($A274,'0.Productos'!$A$3:$GG$587,'0.Productos'!AZ$1+1,0),"")</f>
        <v/>
      </c>
      <c r="I274" s="133" t="str">
        <f>IF($A274&lt;&gt;0,VLOOKUP($A274,'0.Productos'!$A$3:$GG$587,'0.Productos'!BA$1+1,0),"")</f>
        <v/>
      </c>
      <c r="J274" s="133" t="str">
        <f>IF($A274&lt;&gt;0,VLOOKUP($A274,'0.Productos'!$A$3:$GG$587,'0.Productos'!BB$1+1,0),"")</f>
        <v/>
      </c>
      <c r="K274" s="133" t="str">
        <f>IF($A274&lt;&gt;0,VLOOKUP($A274,'0.Productos'!$A$3:$GG$587,'0.Productos'!BC$1+1,0),"")</f>
        <v/>
      </c>
      <c r="L274" s="133" t="str">
        <f>IF($A274&lt;&gt;0,VLOOKUP($A274,'0.Productos'!$A$3:$GG$587,'0.Productos'!BD$1+1,0),"")</f>
        <v/>
      </c>
      <c r="M274" s="133" t="str">
        <f>IF($A274&lt;&gt;0,VLOOKUP($A274,'0.Productos'!$A$3:$GG$587,'0.Productos'!BE$1+1,0),"")</f>
        <v/>
      </c>
      <c r="N274" s="133" t="str">
        <f>IF($A274&lt;&gt;0,VLOOKUP($A274,'0.Productos'!$A$3:$GG$587,'0.Productos'!BF$1+1,0),"")</f>
        <v/>
      </c>
      <c r="O274" s="133" t="str">
        <f>IF($A274&lt;&gt;0,VLOOKUP($A274,'0.Productos'!$A$3:$GG$587,'0.Productos'!BG$1+1,0),"")</f>
        <v/>
      </c>
      <c r="P274" s="133" t="str">
        <f>IF($A274&lt;&gt;0,VLOOKUP($A274,'0.Productos'!$A$3:$GG$587,'0.Productos'!BH$1+1,0),"")</f>
        <v/>
      </c>
      <c r="Q274" s="133" t="str">
        <f>IF($A274&lt;&gt;0,VLOOKUP($A274,'0.Productos'!$A$3:$GG$587,'0.Productos'!BI$1+1,0),"")</f>
        <v/>
      </c>
      <c r="R274" s="133" t="str">
        <f>IF($A274&lt;&gt;0,VLOOKUP($A274,'0.Productos'!$A$3:$GG$587,'0.Productos'!BJ$1+1,0),"")</f>
        <v/>
      </c>
      <c r="S274" s="133" t="str">
        <f>IF($A274&lt;&gt;0,VLOOKUP($A274,'0.Productos'!$A$3:$GG$587,'0.Productos'!BK$1+1,0),"")</f>
        <v/>
      </c>
      <c r="T274" s="133" t="str">
        <f>IF($A274&lt;&gt;0,VLOOKUP($A274,'0.Productos'!$A$3:$GG$587,'0.Productos'!BL$1+1,0),"")</f>
        <v/>
      </c>
      <c r="U274" s="133" t="str">
        <f>IF($A274&lt;&gt;0,VLOOKUP($A274,'0.Productos'!$A$3:$GG$587,'0.Productos'!BM$1+1,0),"")</f>
        <v/>
      </c>
      <c r="V274" s="133" t="str">
        <f>IF($A274&lt;&gt;0,VLOOKUP($A274,'0.Productos'!$A$3:$GG$587,'0.Productos'!BN$1+1,0),"")</f>
        <v/>
      </c>
      <c r="W274" s="133" t="str">
        <f>IF($A274&lt;&gt;0,VLOOKUP($A274,'0.Productos'!$A$3:$GG$587,'0.Productos'!BO$1+1,0),"")</f>
        <v/>
      </c>
      <c r="X274" s="133" t="str">
        <f>IF($A274&lt;&gt;0,VLOOKUP($A274,'0.Productos'!$A$3:$GG$587,'0.Productos'!BP$1+1,0),"")</f>
        <v/>
      </c>
      <c r="Y274" s="133" t="str">
        <f>IF($A274&lt;&gt;0,VLOOKUP($A274,'0.Productos'!$A$3:$GG$587,'0.Productos'!BQ$1+1,0),"")</f>
        <v/>
      </c>
      <c r="Z274" s="133" t="str">
        <f>IF($A274&lt;&gt;0,VLOOKUP($A274,'0.Productos'!$A$3:$GG$587,'0.Productos'!BR$1+1,0),"")</f>
        <v/>
      </c>
      <c r="AA274" s="133" t="str">
        <f>IF($A274&lt;&gt;0,VLOOKUP($A274,'0.Productos'!$A$3:$GG$587,'0.Productos'!BS$1+1,0),"")</f>
        <v/>
      </c>
      <c r="AB274" s="133" t="str">
        <f>IF($A274&lt;&gt;0,VLOOKUP($A274,'0.Productos'!$A$3:$GG$587,'0.Productos'!BT$1+1,0),"")</f>
        <v/>
      </c>
      <c r="AC274" s="133" t="str">
        <f>IF($A274&lt;&gt;0,VLOOKUP($A274,'0.Productos'!$A$3:$GG$587,'0.Productos'!BU$1+1,0),"")</f>
        <v/>
      </c>
      <c r="AD274" s="133" t="str">
        <f>IF($A274&lt;&gt;0,VLOOKUP($A274,'0.Productos'!$A$3:$GG$587,'0.Productos'!BV$1+1,0),"")</f>
        <v/>
      </c>
      <c r="AE274" s="133" t="str">
        <f>IF($A274&lt;&gt;0,VLOOKUP($A274,'0.Productos'!$A$3:$GG$587,'0.Productos'!BW$1+1,0),"")</f>
        <v/>
      </c>
      <c r="AF274" s="133" t="str">
        <f>IF($A274&lt;&gt;0,VLOOKUP($A274,'0.Productos'!$A$3:$GG$587,'0.Productos'!BX$1+1,0),"")</f>
        <v/>
      </c>
      <c r="AG274" s="133" t="str">
        <f>IF($A274&lt;&gt;0,VLOOKUP($A274,'0.Productos'!$A$3:$GG$587,'0.Productos'!BY$1+1,0),"")</f>
        <v/>
      </c>
      <c r="AH274" s="133" t="str">
        <f>IF($A274&lt;&gt;0,VLOOKUP($A274,'0.Productos'!$A$3:$GG$587,'0.Productos'!BZ$1+1,0),"")</f>
        <v/>
      </c>
      <c r="AI274" s="133" t="str">
        <f>IF($A274&lt;&gt;0,VLOOKUP($A274,'0.Productos'!$A$3:$GG$587,'0.Productos'!CA$1+1,0),"")</f>
        <v/>
      </c>
      <c r="AJ274" s="133" t="str">
        <f>IF($A274&lt;&gt;0,VLOOKUP($A274,'0.Productos'!$A$3:$GG$587,'0.Productos'!CB$1+1,0),"")</f>
        <v/>
      </c>
      <c r="AK274" s="133" t="str">
        <f>IF($A274&lt;&gt;0,VLOOKUP($A274,'0.Productos'!$A$3:$GG$587,'0.Productos'!CC$1+1,0),"")</f>
        <v/>
      </c>
      <c r="AL274" s="133" t="str">
        <f>IF($A274&lt;&gt;0,VLOOKUP($A274,'0.Productos'!$A$3:$GG$587,'0.Productos'!CD$1+1,0),"")</f>
        <v/>
      </c>
      <c r="AM274" s="133" t="str">
        <f>IF($A274&lt;&gt;0,VLOOKUP($A274,'0.Productos'!$A$3:$GG$587,'0.Productos'!CE$1+1,0),"")</f>
        <v/>
      </c>
      <c r="AN274" s="133" t="str">
        <f>IF($A274&lt;&gt;0,VLOOKUP($A274,'0.Productos'!$A$3:$GG$587,'0.Productos'!CF$1+1,0),"")</f>
        <v/>
      </c>
      <c r="AO274" s="133" t="str">
        <f>IF($A274&lt;&gt;0,VLOOKUP($A274,'0.Productos'!$A$3:$GG$587,'0.Productos'!CG$1+1,0),"")</f>
        <v/>
      </c>
      <c r="AP274" s="133" t="str">
        <f>IF($A274&lt;&gt;0,VLOOKUP($A274,'0.Productos'!$A$3:$GG$587,'0.Productos'!CH$1+1,0),"")</f>
        <v/>
      </c>
      <c r="AQ274" s="133" t="str">
        <f>IF($A274&lt;&gt;0,VLOOKUP($A274,'0.Productos'!$A$3:$GG$587,'0.Productos'!CI$1+1,0),"")</f>
        <v/>
      </c>
      <c r="AR274" s="133" t="str">
        <f>IF($A274&lt;&gt;0,VLOOKUP($A274,'0.Productos'!$A$3:$GG$587,'0.Productos'!CJ$1+1,0),"")</f>
        <v/>
      </c>
      <c r="AS274" s="133" t="str">
        <f>IF($A274&lt;&gt;0,VLOOKUP($A274,'0.Productos'!$A$3:$GG$587,'0.Productos'!CK$1+1,0),"")</f>
        <v/>
      </c>
      <c r="AT274" s="133" t="str">
        <f>IF($A274&lt;&gt;0,VLOOKUP($A274,'0.Productos'!$A$3:$GG$587,'0.Productos'!CL$1+1,0),"")</f>
        <v/>
      </c>
      <c r="AU274" s="133" t="str">
        <f>IF($A274&lt;&gt;0,VLOOKUP($A274,'0.Productos'!$A$3:$GG$587,'0.Productos'!CM$1+1,0),"")</f>
        <v/>
      </c>
      <c r="AV274" s="133" t="str">
        <f>IF($A274&lt;&gt;0,VLOOKUP($A274,'0.Productos'!$A$3:$GG$587,'0.Productos'!CN$1+1,0),"")</f>
        <v/>
      </c>
      <c r="AW274" s="133" t="str">
        <f>IF($A274&lt;&gt;0,VLOOKUP($A274,'0.Productos'!$A$3:$GG$587,'0.Productos'!CO$1+1,0),"")</f>
        <v/>
      </c>
      <c r="AX274" s="133" t="str">
        <f>IF($A274&lt;&gt;0,VLOOKUP($A274,'0.Productos'!$A$3:$GG$587,'0.Productos'!CP$1+1,0),"")</f>
        <v/>
      </c>
      <c r="AY274" s="133" t="str">
        <f>IF($A274&lt;&gt;0,VLOOKUP($A274,'0.Productos'!$A$3:$GG$587,'0.Productos'!CQ$1+1,0),"")</f>
        <v/>
      </c>
      <c r="AZ274" s="133" t="str">
        <f>IF($A274&lt;&gt;0,VLOOKUP($A274,'0.Productos'!$A$3:$GG$587,'0.Productos'!CR$1+1,0),"")</f>
        <v/>
      </c>
      <c r="BA274" s="133" t="str">
        <f>IF($A274&lt;&gt;0,VLOOKUP($A274,'0.Productos'!$A$3:$GG$587,'0.Productos'!CS$1+1,0),"")</f>
        <v/>
      </c>
      <c r="BB274" s="133" t="str">
        <f>IF($A274&lt;&gt;0,VLOOKUP($A274,'0.Productos'!$A$3:$GG$587,'0.Productos'!CT$1+1,0),"")</f>
        <v/>
      </c>
      <c r="BC274" s="133" t="str">
        <f>IF($A274&lt;&gt;0,VLOOKUP($A274,'0.Productos'!$A$3:$GG$587,'0.Productos'!CU$1+1,0),"")</f>
        <v/>
      </c>
      <c r="BD274" s="133" t="str">
        <f>IF($A274&lt;&gt;0,VLOOKUP($A274,'0.Productos'!$A$3:$GG$587,'0.Productos'!CV$1+1,0),"")</f>
        <v/>
      </c>
      <c r="BE274" s="133" t="str">
        <f>IF($A274&lt;&gt;0,VLOOKUP($A274,'0.Productos'!$A$3:$GG$587,'0.Productos'!CW$1+1,0),"")</f>
        <v/>
      </c>
      <c r="BF274" s="133" t="str">
        <f>IF($A274&lt;&gt;0,VLOOKUP($A274,'0.Productos'!$A$3:$GG$587,'0.Productos'!CX$1+1,0),"")</f>
        <v/>
      </c>
      <c r="BG274" s="133" t="str">
        <f>IF($A274&lt;&gt;0,VLOOKUP($A274,'0.Productos'!$A$3:$GG$587,'0.Productos'!CY$1+1,0),"")</f>
        <v/>
      </c>
      <c r="BH274" s="133" t="str">
        <f>IF($A274&lt;&gt;0,VLOOKUP($A274,'0.Productos'!$A$3:$GG$587,'0.Productos'!CZ$1+1,0),"")</f>
        <v/>
      </c>
      <c r="BI274" s="133" t="str">
        <f>IF($A274&lt;&gt;0,VLOOKUP($A274,'0.Productos'!$A$3:$GG$587,'0.Productos'!DA$1+1,0),"")</f>
        <v/>
      </c>
      <c r="BJ274" s="133" t="str">
        <f>IF($A274&lt;&gt;0,VLOOKUP($A274,'0.Productos'!$A$3:$GG$587,'0.Productos'!DB$1+1,0),"")</f>
        <v/>
      </c>
      <c r="BK274" s="133" t="str">
        <f>IF($A274&lt;&gt;0,VLOOKUP($A274,'0.Productos'!$A$3:$GG$587,'0.Productos'!DC$1+1,0),"")</f>
        <v/>
      </c>
      <c r="BL274" s="133" t="str">
        <f>IF($A274&lt;&gt;0,VLOOKUP($A274,'0.Productos'!$A$3:$GG$587,'0.Productos'!DD$1+1,0),"")</f>
        <v/>
      </c>
      <c r="BM274" s="133" t="str">
        <f>IF($A274&lt;&gt;0,VLOOKUP($A274,'0.Productos'!$A$3:$GG$587,'0.Productos'!DE$1+1,0),"")</f>
        <v/>
      </c>
      <c r="BN274" s="133" t="str">
        <f>IF($A274&lt;&gt;0,VLOOKUP($A274,'0.Productos'!$A$3:$GG$587,'0.Productos'!DF$1+1,0),"")</f>
        <v/>
      </c>
      <c r="BO274" s="133" t="str">
        <f>IF($A274&lt;&gt;0,VLOOKUP($A274,'0.Productos'!$A$3:$GG$587,'0.Productos'!DG$1+1,0),"")</f>
        <v/>
      </c>
      <c r="BP274" s="133" t="str">
        <f>IF($A274&lt;&gt;0,VLOOKUP($A274,'0.Productos'!$A$3:$GG$587,'0.Productos'!DH$1+1,0),"")</f>
        <v/>
      </c>
      <c r="BQ274" s="133" t="str">
        <f>IF($A274&lt;&gt;0,VLOOKUP($A274,'0.Productos'!$A$3:$GG$587,'0.Productos'!DI$1+1,0),"")</f>
        <v/>
      </c>
      <c r="BR274" s="133" t="str">
        <f>IF($A274&lt;&gt;0,VLOOKUP($A274,'0.Productos'!$A$3:$GG$587,'0.Productos'!DJ$1+1,0),"")</f>
        <v/>
      </c>
      <c r="BS274" s="133" t="str">
        <f>IF($A274&lt;&gt;0,VLOOKUP($A274,'0.Productos'!$A$3:$GG$587,'0.Productos'!DK$1+1,0),"")</f>
        <v/>
      </c>
      <c r="BT274" s="133" t="str">
        <f>IF($A274&lt;&gt;0,VLOOKUP($A274,'0.Productos'!$A$3:$GG$587,'0.Productos'!DL$1+1,0),"")</f>
        <v/>
      </c>
    </row>
    <row r="275" spans="1:72" x14ac:dyDescent="0.25">
      <c r="A275" s="17">
        <f>'0.Consolidado general'!A275</f>
        <v>0</v>
      </c>
      <c r="B275" s="133" t="str">
        <f>IF($A275&lt;&gt;0,VLOOKUP($A275,'0.Productos'!$A$3:$GG$587,'0.Productos'!AT$1+1,0),"")</f>
        <v/>
      </c>
      <c r="C275" s="133" t="str">
        <f>IF($A275&lt;&gt;0,VLOOKUP($A275,'0.Productos'!$A$3:$GG$587,'0.Productos'!AU$1+1,0),"")</f>
        <v/>
      </c>
      <c r="D275" s="133" t="str">
        <f>IF($A275&lt;&gt;0,VLOOKUP($A275,'0.Productos'!$A$3:$GG$587,'0.Productos'!AV$1+1,0),"")</f>
        <v/>
      </c>
      <c r="E275" s="133" t="str">
        <f>IF($A275&lt;&gt;0,VLOOKUP($A275,'0.Productos'!$A$3:$GG$587,'0.Productos'!AW$1+1,0),"")</f>
        <v/>
      </c>
      <c r="F275" s="133" t="str">
        <f>IF($A275&lt;&gt;0,VLOOKUP($A275,'0.Productos'!$A$3:$GG$587,'0.Productos'!AX$1+1,0),"")</f>
        <v/>
      </c>
      <c r="G275" s="133" t="str">
        <f>IF($A275&lt;&gt;0,VLOOKUP($A275,'0.Productos'!$A$3:$GG$587,'0.Productos'!AY$1+1,0),"")</f>
        <v/>
      </c>
      <c r="H275" s="133" t="str">
        <f>IF($A275&lt;&gt;0,VLOOKUP($A275,'0.Productos'!$A$3:$GG$587,'0.Productos'!AZ$1+1,0),"")</f>
        <v/>
      </c>
      <c r="I275" s="133" t="str">
        <f>IF($A275&lt;&gt;0,VLOOKUP($A275,'0.Productos'!$A$3:$GG$587,'0.Productos'!BA$1+1,0),"")</f>
        <v/>
      </c>
      <c r="J275" s="133" t="str">
        <f>IF($A275&lt;&gt;0,VLOOKUP($A275,'0.Productos'!$A$3:$GG$587,'0.Productos'!BB$1+1,0),"")</f>
        <v/>
      </c>
      <c r="K275" s="133" t="str">
        <f>IF($A275&lt;&gt;0,VLOOKUP($A275,'0.Productos'!$A$3:$GG$587,'0.Productos'!BC$1+1,0),"")</f>
        <v/>
      </c>
      <c r="L275" s="133" t="str">
        <f>IF($A275&lt;&gt;0,VLOOKUP($A275,'0.Productos'!$A$3:$GG$587,'0.Productos'!BD$1+1,0),"")</f>
        <v/>
      </c>
      <c r="M275" s="133" t="str">
        <f>IF($A275&lt;&gt;0,VLOOKUP($A275,'0.Productos'!$A$3:$GG$587,'0.Productos'!BE$1+1,0),"")</f>
        <v/>
      </c>
      <c r="N275" s="133" t="str">
        <f>IF($A275&lt;&gt;0,VLOOKUP($A275,'0.Productos'!$A$3:$GG$587,'0.Productos'!BF$1+1,0),"")</f>
        <v/>
      </c>
      <c r="O275" s="133" t="str">
        <f>IF($A275&lt;&gt;0,VLOOKUP($A275,'0.Productos'!$A$3:$GG$587,'0.Productos'!BG$1+1,0),"")</f>
        <v/>
      </c>
      <c r="P275" s="133" t="str">
        <f>IF($A275&lt;&gt;0,VLOOKUP($A275,'0.Productos'!$A$3:$GG$587,'0.Productos'!BH$1+1,0),"")</f>
        <v/>
      </c>
      <c r="Q275" s="133" t="str">
        <f>IF($A275&lt;&gt;0,VLOOKUP($A275,'0.Productos'!$A$3:$GG$587,'0.Productos'!BI$1+1,0),"")</f>
        <v/>
      </c>
      <c r="R275" s="133" t="str">
        <f>IF($A275&lt;&gt;0,VLOOKUP($A275,'0.Productos'!$A$3:$GG$587,'0.Productos'!BJ$1+1,0),"")</f>
        <v/>
      </c>
      <c r="S275" s="133" t="str">
        <f>IF($A275&lt;&gt;0,VLOOKUP($A275,'0.Productos'!$A$3:$GG$587,'0.Productos'!BK$1+1,0),"")</f>
        <v/>
      </c>
      <c r="T275" s="133" t="str">
        <f>IF($A275&lt;&gt;0,VLOOKUP($A275,'0.Productos'!$A$3:$GG$587,'0.Productos'!BL$1+1,0),"")</f>
        <v/>
      </c>
      <c r="U275" s="133" t="str">
        <f>IF($A275&lt;&gt;0,VLOOKUP($A275,'0.Productos'!$A$3:$GG$587,'0.Productos'!BM$1+1,0),"")</f>
        <v/>
      </c>
      <c r="V275" s="133" t="str">
        <f>IF($A275&lt;&gt;0,VLOOKUP($A275,'0.Productos'!$A$3:$GG$587,'0.Productos'!BN$1+1,0),"")</f>
        <v/>
      </c>
      <c r="W275" s="133" t="str">
        <f>IF($A275&lt;&gt;0,VLOOKUP($A275,'0.Productos'!$A$3:$GG$587,'0.Productos'!BO$1+1,0),"")</f>
        <v/>
      </c>
      <c r="X275" s="133" t="str">
        <f>IF($A275&lt;&gt;0,VLOOKUP($A275,'0.Productos'!$A$3:$GG$587,'0.Productos'!BP$1+1,0),"")</f>
        <v/>
      </c>
      <c r="Y275" s="133" t="str">
        <f>IF($A275&lt;&gt;0,VLOOKUP($A275,'0.Productos'!$A$3:$GG$587,'0.Productos'!BQ$1+1,0),"")</f>
        <v/>
      </c>
      <c r="Z275" s="133" t="str">
        <f>IF($A275&lt;&gt;0,VLOOKUP($A275,'0.Productos'!$A$3:$GG$587,'0.Productos'!BR$1+1,0),"")</f>
        <v/>
      </c>
      <c r="AA275" s="133" t="str">
        <f>IF($A275&lt;&gt;0,VLOOKUP($A275,'0.Productos'!$A$3:$GG$587,'0.Productos'!BS$1+1,0),"")</f>
        <v/>
      </c>
      <c r="AB275" s="133" t="str">
        <f>IF($A275&lt;&gt;0,VLOOKUP($A275,'0.Productos'!$A$3:$GG$587,'0.Productos'!BT$1+1,0),"")</f>
        <v/>
      </c>
      <c r="AC275" s="133" t="str">
        <f>IF($A275&lt;&gt;0,VLOOKUP($A275,'0.Productos'!$A$3:$GG$587,'0.Productos'!BU$1+1,0),"")</f>
        <v/>
      </c>
      <c r="AD275" s="133" t="str">
        <f>IF($A275&lt;&gt;0,VLOOKUP($A275,'0.Productos'!$A$3:$GG$587,'0.Productos'!BV$1+1,0),"")</f>
        <v/>
      </c>
      <c r="AE275" s="133" t="str">
        <f>IF($A275&lt;&gt;0,VLOOKUP($A275,'0.Productos'!$A$3:$GG$587,'0.Productos'!BW$1+1,0),"")</f>
        <v/>
      </c>
      <c r="AF275" s="133" t="str">
        <f>IF($A275&lt;&gt;0,VLOOKUP($A275,'0.Productos'!$A$3:$GG$587,'0.Productos'!BX$1+1,0),"")</f>
        <v/>
      </c>
      <c r="AG275" s="133" t="str">
        <f>IF($A275&lt;&gt;0,VLOOKUP($A275,'0.Productos'!$A$3:$GG$587,'0.Productos'!BY$1+1,0),"")</f>
        <v/>
      </c>
      <c r="AH275" s="133" t="str">
        <f>IF($A275&lt;&gt;0,VLOOKUP($A275,'0.Productos'!$A$3:$GG$587,'0.Productos'!BZ$1+1,0),"")</f>
        <v/>
      </c>
      <c r="AI275" s="133" t="str">
        <f>IF($A275&lt;&gt;0,VLOOKUP($A275,'0.Productos'!$A$3:$GG$587,'0.Productos'!CA$1+1,0),"")</f>
        <v/>
      </c>
      <c r="AJ275" s="133" t="str">
        <f>IF($A275&lt;&gt;0,VLOOKUP($A275,'0.Productos'!$A$3:$GG$587,'0.Productos'!CB$1+1,0),"")</f>
        <v/>
      </c>
      <c r="AK275" s="133" t="str">
        <f>IF($A275&lt;&gt;0,VLOOKUP($A275,'0.Productos'!$A$3:$GG$587,'0.Productos'!CC$1+1,0),"")</f>
        <v/>
      </c>
      <c r="AL275" s="133" t="str">
        <f>IF($A275&lt;&gt;0,VLOOKUP($A275,'0.Productos'!$A$3:$GG$587,'0.Productos'!CD$1+1,0),"")</f>
        <v/>
      </c>
      <c r="AM275" s="133" t="str">
        <f>IF($A275&lt;&gt;0,VLOOKUP($A275,'0.Productos'!$A$3:$GG$587,'0.Productos'!CE$1+1,0),"")</f>
        <v/>
      </c>
      <c r="AN275" s="133" t="str">
        <f>IF($A275&lt;&gt;0,VLOOKUP($A275,'0.Productos'!$A$3:$GG$587,'0.Productos'!CF$1+1,0),"")</f>
        <v/>
      </c>
      <c r="AO275" s="133" t="str">
        <f>IF($A275&lt;&gt;0,VLOOKUP($A275,'0.Productos'!$A$3:$GG$587,'0.Productos'!CG$1+1,0),"")</f>
        <v/>
      </c>
      <c r="AP275" s="133" t="str">
        <f>IF($A275&lt;&gt;0,VLOOKUP($A275,'0.Productos'!$A$3:$GG$587,'0.Productos'!CH$1+1,0),"")</f>
        <v/>
      </c>
      <c r="AQ275" s="133" t="str">
        <f>IF($A275&lt;&gt;0,VLOOKUP($A275,'0.Productos'!$A$3:$GG$587,'0.Productos'!CI$1+1,0),"")</f>
        <v/>
      </c>
      <c r="AR275" s="133" t="str">
        <f>IF($A275&lt;&gt;0,VLOOKUP($A275,'0.Productos'!$A$3:$GG$587,'0.Productos'!CJ$1+1,0),"")</f>
        <v/>
      </c>
      <c r="AS275" s="133" t="str">
        <f>IF($A275&lt;&gt;0,VLOOKUP($A275,'0.Productos'!$A$3:$GG$587,'0.Productos'!CK$1+1,0),"")</f>
        <v/>
      </c>
      <c r="AT275" s="133" t="str">
        <f>IF($A275&lt;&gt;0,VLOOKUP($A275,'0.Productos'!$A$3:$GG$587,'0.Productos'!CL$1+1,0),"")</f>
        <v/>
      </c>
      <c r="AU275" s="133" t="str">
        <f>IF($A275&lt;&gt;0,VLOOKUP($A275,'0.Productos'!$A$3:$GG$587,'0.Productos'!CM$1+1,0),"")</f>
        <v/>
      </c>
      <c r="AV275" s="133" t="str">
        <f>IF($A275&lt;&gt;0,VLOOKUP($A275,'0.Productos'!$A$3:$GG$587,'0.Productos'!CN$1+1,0),"")</f>
        <v/>
      </c>
      <c r="AW275" s="133" t="str">
        <f>IF($A275&lt;&gt;0,VLOOKUP($A275,'0.Productos'!$A$3:$GG$587,'0.Productos'!CO$1+1,0),"")</f>
        <v/>
      </c>
      <c r="AX275" s="133" t="str">
        <f>IF($A275&lt;&gt;0,VLOOKUP($A275,'0.Productos'!$A$3:$GG$587,'0.Productos'!CP$1+1,0),"")</f>
        <v/>
      </c>
      <c r="AY275" s="133" t="str">
        <f>IF($A275&lt;&gt;0,VLOOKUP($A275,'0.Productos'!$A$3:$GG$587,'0.Productos'!CQ$1+1,0),"")</f>
        <v/>
      </c>
      <c r="AZ275" s="133" t="str">
        <f>IF($A275&lt;&gt;0,VLOOKUP($A275,'0.Productos'!$A$3:$GG$587,'0.Productos'!CR$1+1,0),"")</f>
        <v/>
      </c>
      <c r="BA275" s="133" t="str">
        <f>IF($A275&lt;&gt;0,VLOOKUP($A275,'0.Productos'!$A$3:$GG$587,'0.Productos'!CS$1+1,0),"")</f>
        <v/>
      </c>
      <c r="BB275" s="133" t="str">
        <f>IF($A275&lt;&gt;0,VLOOKUP($A275,'0.Productos'!$A$3:$GG$587,'0.Productos'!CT$1+1,0),"")</f>
        <v/>
      </c>
      <c r="BC275" s="133" t="str">
        <f>IF($A275&lt;&gt;0,VLOOKUP($A275,'0.Productos'!$A$3:$GG$587,'0.Productos'!CU$1+1,0),"")</f>
        <v/>
      </c>
      <c r="BD275" s="133" t="str">
        <f>IF($A275&lt;&gt;0,VLOOKUP($A275,'0.Productos'!$A$3:$GG$587,'0.Productos'!CV$1+1,0),"")</f>
        <v/>
      </c>
      <c r="BE275" s="133" t="str">
        <f>IF($A275&lt;&gt;0,VLOOKUP($A275,'0.Productos'!$A$3:$GG$587,'0.Productos'!CW$1+1,0),"")</f>
        <v/>
      </c>
      <c r="BF275" s="133" t="str">
        <f>IF($A275&lt;&gt;0,VLOOKUP($A275,'0.Productos'!$A$3:$GG$587,'0.Productos'!CX$1+1,0),"")</f>
        <v/>
      </c>
      <c r="BG275" s="133" t="str">
        <f>IF($A275&lt;&gt;0,VLOOKUP($A275,'0.Productos'!$A$3:$GG$587,'0.Productos'!CY$1+1,0),"")</f>
        <v/>
      </c>
      <c r="BH275" s="133" t="str">
        <f>IF($A275&lt;&gt;0,VLOOKUP($A275,'0.Productos'!$A$3:$GG$587,'0.Productos'!CZ$1+1,0),"")</f>
        <v/>
      </c>
      <c r="BI275" s="133" t="str">
        <f>IF($A275&lt;&gt;0,VLOOKUP($A275,'0.Productos'!$A$3:$GG$587,'0.Productos'!DA$1+1,0),"")</f>
        <v/>
      </c>
      <c r="BJ275" s="133" t="str">
        <f>IF($A275&lt;&gt;0,VLOOKUP($A275,'0.Productos'!$A$3:$GG$587,'0.Productos'!DB$1+1,0),"")</f>
        <v/>
      </c>
      <c r="BK275" s="133" t="str">
        <f>IF($A275&lt;&gt;0,VLOOKUP($A275,'0.Productos'!$A$3:$GG$587,'0.Productos'!DC$1+1,0),"")</f>
        <v/>
      </c>
      <c r="BL275" s="133" t="str">
        <f>IF($A275&lt;&gt;0,VLOOKUP($A275,'0.Productos'!$A$3:$GG$587,'0.Productos'!DD$1+1,0),"")</f>
        <v/>
      </c>
      <c r="BM275" s="133" t="str">
        <f>IF($A275&lt;&gt;0,VLOOKUP($A275,'0.Productos'!$A$3:$GG$587,'0.Productos'!DE$1+1,0),"")</f>
        <v/>
      </c>
      <c r="BN275" s="133" t="str">
        <f>IF($A275&lt;&gt;0,VLOOKUP($A275,'0.Productos'!$A$3:$GG$587,'0.Productos'!DF$1+1,0),"")</f>
        <v/>
      </c>
      <c r="BO275" s="133" t="str">
        <f>IF($A275&lt;&gt;0,VLOOKUP($A275,'0.Productos'!$A$3:$GG$587,'0.Productos'!DG$1+1,0),"")</f>
        <v/>
      </c>
      <c r="BP275" s="133" t="str">
        <f>IF($A275&lt;&gt;0,VLOOKUP($A275,'0.Productos'!$A$3:$GG$587,'0.Productos'!DH$1+1,0),"")</f>
        <v/>
      </c>
      <c r="BQ275" s="133" t="str">
        <f>IF($A275&lt;&gt;0,VLOOKUP($A275,'0.Productos'!$A$3:$GG$587,'0.Productos'!DI$1+1,0),"")</f>
        <v/>
      </c>
      <c r="BR275" s="133" t="str">
        <f>IF($A275&lt;&gt;0,VLOOKUP($A275,'0.Productos'!$A$3:$GG$587,'0.Productos'!DJ$1+1,0),"")</f>
        <v/>
      </c>
      <c r="BS275" s="133" t="str">
        <f>IF($A275&lt;&gt;0,VLOOKUP($A275,'0.Productos'!$A$3:$GG$587,'0.Productos'!DK$1+1,0),"")</f>
        <v/>
      </c>
      <c r="BT275" s="133" t="str">
        <f>IF($A275&lt;&gt;0,VLOOKUP($A275,'0.Productos'!$A$3:$GG$587,'0.Productos'!DL$1+1,0),"")</f>
        <v/>
      </c>
    </row>
    <row r="276" spans="1:72" x14ac:dyDescent="0.25">
      <c r="A276" s="17">
        <f>'0.Consolidado general'!A276</f>
        <v>0</v>
      </c>
      <c r="B276" s="133" t="str">
        <f>IF($A276&lt;&gt;0,VLOOKUP($A276,'0.Productos'!$A$3:$GG$587,'0.Productos'!AT$1+1,0),"")</f>
        <v/>
      </c>
      <c r="C276" s="133" t="str">
        <f>IF($A276&lt;&gt;0,VLOOKUP($A276,'0.Productos'!$A$3:$GG$587,'0.Productos'!AU$1+1,0),"")</f>
        <v/>
      </c>
      <c r="D276" s="133" t="str">
        <f>IF($A276&lt;&gt;0,VLOOKUP($A276,'0.Productos'!$A$3:$GG$587,'0.Productos'!AV$1+1,0),"")</f>
        <v/>
      </c>
      <c r="E276" s="133" t="str">
        <f>IF($A276&lt;&gt;0,VLOOKUP($A276,'0.Productos'!$A$3:$GG$587,'0.Productos'!AW$1+1,0),"")</f>
        <v/>
      </c>
      <c r="F276" s="133" t="str">
        <f>IF($A276&lt;&gt;0,VLOOKUP($A276,'0.Productos'!$A$3:$GG$587,'0.Productos'!AX$1+1,0),"")</f>
        <v/>
      </c>
      <c r="G276" s="133" t="str">
        <f>IF($A276&lt;&gt;0,VLOOKUP($A276,'0.Productos'!$A$3:$GG$587,'0.Productos'!AY$1+1,0),"")</f>
        <v/>
      </c>
      <c r="H276" s="133" t="str">
        <f>IF($A276&lt;&gt;0,VLOOKUP($A276,'0.Productos'!$A$3:$GG$587,'0.Productos'!AZ$1+1,0),"")</f>
        <v/>
      </c>
      <c r="I276" s="133" t="str">
        <f>IF($A276&lt;&gt;0,VLOOKUP($A276,'0.Productos'!$A$3:$GG$587,'0.Productos'!BA$1+1,0),"")</f>
        <v/>
      </c>
      <c r="J276" s="133" t="str">
        <f>IF($A276&lt;&gt;0,VLOOKUP($A276,'0.Productos'!$A$3:$GG$587,'0.Productos'!BB$1+1,0),"")</f>
        <v/>
      </c>
      <c r="K276" s="133" t="str">
        <f>IF($A276&lt;&gt;0,VLOOKUP($A276,'0.Productos'!$A$3:$GG$587,'0.Productos'!BC$1+1,0),"")</f>
        <v/>
      </c>
      <c r="L276" s="133" t="str">
        <f>IF($A276&lt;&gt;0,VLOOKUP($A276,'0.Productos'!$A$3:$GG$587,'0.Productos'!BD$1+1,0),"")</f>
        <v/>
      </c>
      <c r="M276" s="133" t="str">
        <f>IF($A276&lt;&gt;0,VLOOKUP($A276,'0.Productos'!$A$3:$GG$587,'0.Productos'!BE$1+1,0),"")</f>
        <v/>
      </c>
      <c r="N276" s="133" t="str">
        <f>IF($A276&lt;&gt;0,VLOOKUP($A276,'0.Productos'!$A$3:$GG$587,'0.Productos'!BF$1+1,0),"")</f>
        <v/>
      </c>
      <c r="O276" s="133" t="str">
        <f>IF($A276&lt;&gt;0,VLOOKUP($A276,'0.Productos'!$A$3:$GG$587,'0.Productos'!BG$1+1,0),"")</f>
        <v/>
      </c>
      <c r="P276" s="133" t="str">
        <f>IF($A276&lt;&gt;0,VLOOKUP($A276,'0.Productos'!$A$3:$GG$587,'0.Productos'!BH$1+1,0),"")</f>
        <v/>
      </c>
      <c r="Q276" s="133" t="str">
        <f>IF($A276&lt;&gt;0,VLOOKUP($A276,'0.Productos'!$A$3:$GG$587,'0.Productos'!BI$1+1,0),"")</f>
        <v/>
      </c>
      <c r="R276" s="133" t="str">
        <f>IF($A276&lt;&gt;0,VLOOKUP($A276,'0.Productos'!$A$3:$GG$587,'0.Productos'!BJ$1+1,0),"")</f>
        <v/>
      </c>
      <c r="S276" s="133" t="str">
        <f>IF($A276&lt;&gt;0,VLOOKUP($A276,'0.Productos'!$A$3:$GG$587,'0.Productos'!BK$1+1,0),"")</f>
        <v/>
      </c>
      <c r="T276" s="133" t="str">
        <f>IF($A276&lt;&gt;0,VLOOKUP($A276,'0.Productos'!$A$3:$GG$587,'0.Productos'!BL$1+1,0),"")</f>
        <v/>
      </c>
      <c r="U276" s="133" t="str">
        <f>IF($A276&lt;&gt;0,VLOOKUP($A276,'0.Productos'!$A$3:$GG$587,'0.Productos'!BM$1+1,0),"")</f>
        <v/>
      </c>
      <c r="V276" s="133" t="str">
        <f>IF($A276&lt;&gt;0,VLOOKUP($A276,'0.Productos'!$A$3:$GG$587,'0.Productos'!BN$1+1,0),"")</f>
        <v/>
      </c>
      <c r="W276" s="133" t="str">
        <f>IF($A276&lt;&gt;0,VLOOKUP($A276,'0.Productos'!$A$3:$GG$587,'0.Productos'!BO$1+1,0),"")</f>
        <v/>
      </c>
      <c r="X276" s="133" t="str">
        <f>IF($A276&lt;&gt;0,VLOOKUP($A276,'0.Productos'!$A$3:$GG$587,'0.Productos'!BP$1+1,0),"")</f>
        <v/>
      </c>
      <c r="Y276" s="133" t="str">
        <f>IF($A276&lt;&gt;0,VLOOKUP($A276,'0.Productos'!$A$3:$GG$587,'0.Productos'!BQ$1+1,0),"")</f>
        <v/>
      </c>
      <c r="Z276" s="133" t="str">
        <f>IF($A276&lt;&gt;0,VLOOKUP($A276,'0.Productos'!$A$3:$GG$587,'0.Productos'!BR$1+1,0),"")</f>
        <v/>
      </c>
      <c r="AA276" s="133" t="str">
        <f>IF($A276&lt;&gt;0,VLOOKUP($A276,'0.Productos'!$A$3:$GG$587,'0.Productos'!BS$1+1,0),"")</f>
        <v/>
      </c>
      <c r="AB276" s="133" t="str">
        <f>IF($A276&lt;&gt;0,VLOOKUP($A276,'0.Productos'!$A$3:$GG$587,'0.Productos'!BT$1+1,0),"")</f>
        <v/>
      </c>
      <c r="AC276" s="133" t="str">
        <f>IF($A276&lt;&gt;0,VLOOKUP($A276,'0.Productos'!$A$3:$GG$587,'0.Productos'!BU$1+1,0),"")</f>
        <v/>
      </c>
      <c r="AD276" s="133" t="str">
        <f>IF($A276&lt;&gt;0,VLOOKUP($A276,'0.Productos'!$A$3:$GG$587,'0.Productos'!BV$1+1,0),"")</f>
        <v/>
      </c>
      <c r="AE276" s="133" t="str">
        <f>IF($A276&lt;&gt;0,VLOOKUP($A276,'0.Productos'!$A$3:$GG$587,'0.Productos'!BW$1+1,0),"")</f>
        <v/>
      </c>
      <c r="AF276" s="133" t="str">
        <f>IF($A276&lt;&gt;0,VLOOKUP($A276,'0.Productos'!$A$3:$GG$587,'0.Productos'!BX$1+1,0),"")</f>
        <v/>
      </c>
      <c r="AG276" s="133" t="str">
        <f>IF($A276&lt;&gt;0,VLOOKUP($A276,'0.Productos'!$A$3:$GG$587,'0.Productos'!BY$1+1,0),"")</f>
        <v/>
      </c>
      <c r="AH276" s="133" t="str">
        <f>IF($A276&lt;&gt;0,VLOOKUP($A276,'0.Productos'!$A$3:$GG$587,'0.Productos'!BZ$1+1,0),"")</f>
        <v/>
      </c>
      <c r="AI276" s="133" t="str">
        <f>IF($A276&lt;&gt;0,VLOOKUP($A276,'0.Productos'!$A$3:$GG$587,'0.Productos'!CA$1+1,0),"")</f>
        <v/>
      </c>
      <c r="AJ276" s="133" t="str">
        <f>IF($A276&lt;&gt;0,VLOOKUP($A276,'0.Productos'!$A$3:$GG$587,'0.Productos'!CB$1+1,0),"")</f>
        <v/>
      </c>
      <c r="AK276" s="133" t="str">
        <f>IF($A276&lt;&gt;0,VLOOKUP($A276,'0.Productos'!$A$3:$GG$587,'0.Productos'!CC$1+1,0),"")</f>
        <v/>
      </c>
      <c r="AL276" s="133" t="str">
        <f>IF($A276&lt;&gt;0,VLOOKUP($A276,'0.Productos'!$A$3:$GG$587,'0.Productos'!CD$1+1,0),"")</f>
        <v/>
      </c>
      <c r="AM276" s="133" t="str">
        <f>IF($A276&lt;&gt;0,VLOOKUP($A276,'0.Productos'!$A$3:$GG$587,'0.Productos'!CE$1+1,0),"")</f>
        <v/>
      </c>
      <c r="AN276" s="133" t="str">
        <f>IF($A276&lt;&gt;0,VLOOKUP($A276,'0.Productos'!$A$3:$GG$587,'0.Productos'!CF$1+1,0),"")</f>
        <v/>
      </c>
      <c r="AO276" s="133" t="str">
        <f>IF($A276&lt;&gt;0,VLOOKUP($A276,'0.Productos'!$A$3:$GG$587,'0.Productos'!CG$1+1,0),"")</f>
        <v/>
      </c>
      <c r="AP276" s="133" t="str">
        <f>IF($A276&lt;&gt;0,VLOOKUP($A276,'0.Productos'!$A$3:$GG$587,'0.Productos'!CH$1+1,0),"")</f>
        <v/>
      </c>
      <c r="AQ276" s="133" t="str">
        <f>IF($A276&lt;&gt;0,VLOOKUP($A276,'0.Productos'!$A$3:$GG$587,'0.Productos'!CI$1+1,0),"")</f>
        <v/>
      </c>
      <c r="AR276" s="133" t="str">
        <f>IF($A276&lt;&gt;0,VLOOKUP($A276,'0.Productos'!$A$3:$GG$587,'0.Productos'!CJ$1+1,0),"")</f>
        <v/>
      </c>
      <c r="AS276" s="133" t="str">
        <f>IF($A276&lt;&gt;0,VLOOKUP($A276,'0.Productos'!$A$3:$GG$587,'0.Productos'!CK$1+1,0),"")</f>
        <v/>
      </c>
      <c r="AT276" s="133" t="str">
        <f>IF($A276&lt;&gt;0,VLOOKUP($A276,'0.Productos'!$A$3:$GG$587,'0.Productos'!CL$1+1,0),"")</f>
        <v/>
      </c>
      <c r="AU276" s="133" t="str">
        <f>IF($A276&lt;&gt;0,VLOOKUP($A276,'0.Productos'!$A$3:$GG$587,'0.Productos'!CM$1+1,0),"")</f>
        <v/>
      </c>
      <c r="AV276" s="133" t="str">
        <f>IF($A276&lt;&gt;0,VLOOKUP($A276,'0.Productos'!$A$3:$GG$587,'0.Productos'!CN$1+1,0),"")</f>
        <v/>
      </c>
      <c r="AW276" s="133" t="str">
        <f>IF($A276&lt;&gt;0,VLOOKUP($A276,'0.Productos'!$A$3:$GG$587,'0.Productos'!CO$1+1,0),"")</f>
        <v/>
      </c>
      <c r="AX276" s="133" t="str">
        <f>IF($A276&lt;&gt;0,VLOOKUP($A276,'0.Productos'!$A$3:$GG$587,'0.Productos'!CP$1+1,0),"")</f>
        <v/>
      </c>
      <c r="AY276" s="133" t="str">
        <f>IF($A276&lt;&gt;0,VLOOKUP($A276,'0.Productos'!$A$3:$GG$587,'0.Productos'!CQ$1+1,0),"")</f>
        <v/>
      </c>
      <c r="AZ276" s="133" t="str">
        <f>IF($A276&lt;&gt;0,VLOOKUP($A276,'0.Productos'!$A$3:$GG$587,'0.Productos'!CR$1+1,0),"")</f>
        <v/>
      </c>
      <c r="BA276" s="133" t="str">
        <f>IF($A276&lt;&gt;0,VLOOKUP($A276,'0.Productos'!$A$3:$GG$587,'0.Productos'!CS$1+1,0),"")</f>
        <v/>
      </c>
      <c r="BB276" s="133" t="str">
        <f>IF($A276&lt;&gt;0,VLOOKUP($A276,'0.Productos'!$A$3:$GG$587,'0.Productos'!CT$1+1,0),"")</f>
        <v/>
      </c>
      <c r="BC276" s="133" t="str">
        <f>IF($A276&lt;&gt;0,VLOOKUP($A276,'0.Productos'!$A$3:$GG$587,'0.Productos'!CU$1+1,0),"")</f>
        <v/>
      </c>
      <c r="BD276" s="133" t="str">
        <f>IF($A276&lt;&gt;0,VLOOKUP($A276,'0.Productos'!$A$3:$GG$587,'0.Productos'!CV$1+1,0),"")</f>
        <v/>
      </c>
      <c r="BE276" s="133" t="str">
        <f>IF($A276&lt;&gt;0,VLOOKUP($A276,'0.Productos'!$A$3:$GG$587,'0.Productos'!CW$1+1,0),"")</f>
        <v/>
      </c>
      <c r="BF276" s="133" t="str">
        <f>IF($A276&lt;&gt;0,VLOOKUP($A276,'0.Productos'!$A$3:$GG$587,'0.Productos'!CX$1+1,0),"")</f>
        <v/>
      </c>
      <c r="BG276" s="133" t="str">
        <f>IF($A276&lt;&gt;0,VLOOKUP($A276,'0.Productos'!$A$3:$GG$587,'0.Productos'!CY$1+1,0),"")</f>
        <v/>
      </c>
      <c r="BH276" s="133" t="str">
        <f>IF($A276&lt;&gt;0,VLOOKUP($A276,'0.Productos'!$A$3:$GG$587,'0.Productos'!CZ$1+1,0),"")</f>
        <v/>
      </c>
      <c r="BI276" s="133" t="str">
        <f>IF($A276&lt;&gt;0,VLOOKUP($A276,'0.Productos'!$A$3:$GG$587,'0.Productos'!DA$1+1,0),"")</f>
        <v/>
      </c>
      <c r="BJ276" s="133" t="str">
        <f>IF($A276&lt;&gt;0,VLOOKUP($A276,'0.Productos'!$A$3:$GG$587,'0.Productos'!DB$1+1,0),"")</f>
        <v/>
      </c>
      <c r="BK276" s="133" t="str">
        <f>IF($A276&lt;&gt;0,VLOOKUP($A276,'0.Productos'!$A$3:$GG$587,'0.Productos'!DC$1+1,0),"")</f>
        <v/>
      </c>
      <c r="BL276" s="133" t="str">
        <f>IF($A276&lt;&gt;0,VLOOKUP($A276,'0.Productos'!$A$3:$GG$587,'0.Productos'!DD$1+1,0),"")</f>
        <v/>
      </c>
      <c r="BM276" s="133" t="str">
        <f>IF($A276&lt;&gt;0,VLOOKUP($A276,'0.Productos'!$A$3:$GG$587,'0.Productos'!DE$1+1,0),"")</f>
        <v/>
      </c>
      <c r="BN276" s="133" t="str">
        <f>IF($A276&lt;&gt;0,VLOOKUP($A276,'0.Productos'!$A$3:$GG$587,'0.Productos'!DF$1+1,0),"")</f>
        <v/>
      </c>
      <c r="BO276" s="133" t="str">
        <f>IF($A276&lt;&gt;0,VLOOKUP($A276,'0.Productos'!$A$3:$GG$587,'0.Productos'!DG$1+1,0),"")</f>
        <v/>
      </c>
      <c r="BP276" s="133" t="str">
        <f>IF($A276&lt;&gt;0,VLOOKUP($A276,'0.Productos'!$A$3:$GG$587,'0.Productos'!DH$1+1,0),"")</f>
        <v/>
      </c>
      <c r="BQ276" s="133" t="str">
        <f>IF($A276&lt;&gt;0,VLOOKUP($A276,'0.Productos'!$A$3:$GG$587,'0.Productos'!DI$1+1,0),"")</f>
        <v/>
      </c>
      <c r="BR276" s="133" t="str">
        <f>IF($A276&lt;&gt;0,VLOOKUP($A276,'0.Productos'!$A$3:$GG$587,'0.Productos'!DJ$1+1,0),"")</f>
        <v/>
      </c>
      <c r="BS276" s="133" t="str">
        <f>IF($A276&lt;&gt;0,VLOOKUP($A276,'0.Productos'!$A$3:$GG$587,'0.Productos'!DK$1+1,0),"")</f>
        <v/>
      </c>
      <c r="BT276" s="133" t="str">
        <f>IF($A276&lt;&gt;0,VLOOKUP($A276,'0.Productos'!$A$3:$GG$587,'0.Productos'!DL$1+1,0),"")</f>
        <v/>
      </c>
    </row>
    <row r="277" spans="1:72" x14ac:dyDescent="0.25">
      <c r="A277" s="17">
        <f>'0.Consolidado general'!A277</f>
        <v>0</v>
      </c>
      <c r="B277" s="133" t="str">
        <f>IF($A277&lt;&gt;0,VLOOKUP($A277,'0.Productos'!$A$3:$GG$587,'0.Productos'!AT$1+1,0),"")</f>
        <v/>
      </c>
      <c r="C277" s="133" t="str">
        <f>IF($A277&lt;&gt;0,VLOOKUP($A277,'0.Productos'!$A$3:$GG$587,'0.Productos'!AU$1+1,0),"")</f>
        <v/>
      </c>
      <c r="D277" s="133" t="str">
        <f>IF($A277&lt;&gt;0,VLOOKUP($A277,'0.Productos'!$A$3:$GG$587,'0.Productos'!AV$1+1,0),"")</f>
        <v/>
      </c>
      <c r="E277" s="133" t="str">
        <f>IF($A277&lt;&gt;0,VLOOKUP($A277,'0.Productos'!$A$3:$GG$587,'0.Productos'!AW$1+1,0),"")</f>
        <v/>
      </c>
      <c r="F277" s="133" t="str">
        <f>IF($A277&lt;&gt;0,VLOOKUP($A277,'0.Productos'!$A$3:$GG$587,'0.Productos'!AX$1+1,0),"")</f>
        <v/>
      </c>
      <c r="G277" s="133" t="str">
        <f>IF($A277&lt;&gt;0,VLOOKUP($A277,'0.Productos'!$A$3:$GG$587,'0.Productos'!AY$1+1,0),"")</f>
        <v/>
      </c>
      <c r="H277" s="133" t="str">
        <f>IF($A277&lt;&gt;0,VLOOKUP($A277,'0.Productos'!$A$3:$GG$587,'0.Productos'!AZ$1+1,0),"")</f>
        <v/>
      </c>
      <c r="I277" s="133" t="str">
        <f>IF($A277&lt;&gt;0,VLOOKUP($A277,'0.Productos'!$A$3:$GG$587,'0.Productos'!BA$1+1,0),"")</f>
        <v/>
      </c>
      <c r="J277" s="133" t="str">
        <f>IF($A277&lt;&gt;0,VLOOKUP($A277,'0.Productos'!$A$3:$GG$587,'0.Productos'!BB$1+1,0),"")</f>
        <v/>
      </c>
      <c r="K277" s="133" t="str">
        <f>IF($A277&lt;&gt;0,VLOOKUP($A277,'0.Productos'!$A$3:$GG$587,'0.Productos'!BC$1+1,0),"")</f>
        <v/>
      </c>
      <c r="L277" s="133" t="str">
        <f>IF($A277&lt;&gt;0,VLOOKUP($A277,'0.Productos'!$A$3:$GG$587,'0.Productos'!BD$1+1,0),"")</f>
        <v/>
      </c>
      <c r="M277" s="133" t="str">
        <f>IF($A277&lt;&gt;0,VLOOKUP($A277,'0.Productos'!$A$3:$GG$587,'0.Productos'!BE$1+1,0),"")</f>
        <v/>
      </c>
      <c r="N277" s="133" t="str">
        <f>IF($A277&lt;&gt;0,VLOOKUP($A277,'0.Productos'!$A$3:$GG$587,'0.Productos'!BF$1+1,0),"")</f>
        <v/>
      </c>
      <c r="O277" s="133" t="str">
        <f>IF($A277&lt;&gt;0,VLOOKUP($A277,'0.Productos'!$A$3:$GG$587,'0.Productos'!BG$1+1,0),"")</f>
        <v/>
      </c>
      <c r="P277" s="133" t="str">
        <f>IF($A277&lt;&gt;0,VLOOKUP($A277,'0.Productos'!$A$3:$GG$587,'0.Productos'!BH$1+1,0),"")</f>
        <v/>
      </c>
      <c r="Q277" s="133" t="str">
        <f>IF($A277&lt;&gt;0,VLOOKUP($A277,'0.Productos'!$A$3:$GG$587,'0.Productos'!BI$1+1,0),"")</f>
        <v/>
      </c>
      <c r="R277" s="133" t="str">
        <f>IF($A277&lt;&gt;0,VLOOKUP($A277,'0.Productos'!$A$3:$GG$587,'0.Productos'!BJ$1+1,0),"")</f>
        <v/>
      </c>
      <c r="S277" s="133" t="str">
        <f>IF($A277&lt;&gt;0,VLOOKUP($A277,'0.Productos'!$A$3:$GG$587,'0.Productos'!BK$1+1,0),"")</f>
        <v/>
      </c>
      <c r="T277" s="133" t="str">
        <f>IF($A277&lt;&gt;0,VLOOKUP($A277,'0.Productos'!$A$3:$GG$587,'0.Productos'!BL$1+1,0),"")</f>
        <v/>
      </c>
      <c r="U277" s="133" t="str">
        <f>IF($A277&lt;&gt;0,VLOOKUP($A277,'0.Productos'!$A$3:$GG$587,'0.Productos'!BM$1+1,0),"")</f>
        <v/>
      </c>
      <c r="V277" s="133" t="str">
        <f>IF($A277&lt;&gt;0,VLOOKUP($A277,'0.Productos'!$A$3:$GG$587,'0.Productos'!BN$1+1,0),"")</f>
        <v/>
      </c>
      <c r="W277" s="133" t="str">
        <f>IF($A277&lt;&gt;0,VLOOKUP($A277,'0.Productos'!$A$3:$GG$587,'0.Productos'!BO$1+1,0),"")</f>
        <v/>
      </c>
      <c r="X277" s="133" t="str">
        <f>IF($A277&lt;&gt;0,VLOOKUP($A277,'0.Productos'!$A$3:$GG$587,'0.Productos'!BP$1+1,0),"")</f>
        <v/>
      </c>
      <c r="Y277" s="133" t="str">
        <f>IF($A277&lt;&gt;0,VLOOKUP($A277,'0.Productos'!$A$3:$GG$587,'0.Productos'!BQ$1+1,0),"")</f>
        <v/>
      </c>
      <c r="Z277" s="133" t="str">
        <f>IF($A277&lt;&gt;0,VLOOKUP($A277,'0.Productos'!$A$3:$GG$587,'0.Productos'!BR$1+1,0),"")</f>
        <v/>
      </c>
      <c r="AA277" s="133" t="str">
        <f>IF($A277&lt;&gt;0,VLOOKUP($A277,'0.Productos'!$A$3:$GG$587,'0.Productos'!BS$1+1,0),"")</f>
        <v/>
      </c>
      <c r="AB277" s="133" t="str">
        <f>IF($A277&lt;&gt;0,VLOOKUP($A277,'0.Productos'!$A$3:$GG$587,'0.Productos'!BT$1+1,0),"")</f>
        <v/>
      </c>
      <c r="AC277" s="133" t="str">
        <f>IF($A277&lt;&gt;0,VLOOKUP($A277,'0.Productos'!$A$3:$GG$587,'0.Productos'!BU$1+1,0),"")</f>
        <v/>
      </c>
      <c r="AD277" s="133" t="str">
        <f>IF($A277&lt;&gt;0,VLOOKUP($A277,'0.Productos'!$A$3:$GG$587,'0.Productos'!BV$1+1,0),"")</f>
        <v/>
      </c>
      <c r="AE277" s="133" t="str">
        <f>IF($A277&lt;&gt;0,VLOOKUP($A277,'0.Productos'!$A$3:$GG$587,'0.Productos'!BW$1+1,0),"")</f>
        <v/>
      </c>
      <c r="AF277" s="133" t="str">
        <f>IF($A277&lt;&gt;0,VLOOKUP($A277,'0.Productos'!$A$3:$GG$587,'0.Productos'!BX$1+1,0),"")</f>
        <v/>
      </c>
      <c r="AG277" s="133" t="str">
        <f>IF($A277&lt;&gt;0,VLOOKUP($A277,'0.Productos'!$A$3:$GG$587,'0.Productos'!BY$1+1,0),"")</f>
        <v/>
      </c>
      <c r="AH277" s="133" t="str">
        <f>IF($A277&lt;&gt;0,VLOOKUP($A277,'0.Productos'!$A$3:$GG$587,'0.Productos'!BZ$1+1,0),"")</f>
        <v/>
      </c>
      <c r="AI277" s="133" t="str">
        <f>IF($A277&lt;&gt;0,VLOOKUP($A277,'0.Productos'!$A$3:$GG$587,'0.Productos'!CA$1+1,0),"")</f>
        <v/>
      </c>
      <c r="AJ277" s="133" t="str">
        <f>IF($A277&lt;&gt;0,VLOOKUP($A277,'0.Productos'!$A$3:$GG$587,'0.Productos'!CB$1+1,0),"")</f>
        <v/>
      </c>
      <c r="AK277" s="133" t="str">
        <f>IF($A277&lt;&gt;0,VLOOKUP($A277,'0.Productos'!$A$3:$GG$587,'0.Productos'!CC$1+1,0),"")</f>
        <v/>
      </c>
      <c r="AL277" s="133" t="str">
        <f>IF($A277&lt;&gt;0,VLOOKUP($A277,'0.Productos'!$A$3:$GG$587,'0.Productos'!CD$1+1,0),"")</f>
        <v/>
      </c>
      <c r="AM277" s="133" t="str">
        <f>IF($A277&lt;&gt;0,VLOOKUP($A277,'0.Productos'!$A$3:$GG$587,'0.Productos'!CE$1+1,0),"")</f>
        <v/>
      </c>
      <c r="AN277" s="133" t="str">
        <f>IF($A277&lt;&gt;0,VLOOKUP($A277,'0.Productos'!$A$3:$GG$587,'0.Productos'!CF$1+1,0),"")</f>
        <v/>
      </c>
      <c r="AO277" s="133" t="str">
        <f>IF($A277&lt;&gt;0,VLOOKUP($A277,'0.Productos'!$A$3:$GG$587,'0.Productos'!CG$1+1,0),"")</f>
        <v/>
      </c>
      <c r="AP277" s="133" t="str">
        <f>IF($A277&lt;&gt;0,VLOOKUP($A277,'0.Productos'!$A$3:$GG$587,'0.Productos'!CH$1+1,0),"")</f>
        <v/>
      </c>
      <c r="AQ277" s="133" t="str">
        <f>IF($A277&lt;&gt;0,VLOOKUP($A277,'0.Productos'!$A$3:$GG$587,'0.Productos'!CI$1+1,0),"")</f>
        <v/>
      </c>
      <c r="AR277" s="133" t="str">
        <f>IF($A277&lt;&gt;0,VLOOKUP($A277,'0.Productos'!$A$3:$GG$587,'0.Productos'!CJ$1+1,0),"")</f>
        <v/>
      </c>
      <c r="AS277" s="133" t="str">
        <f>IF($A277&lt;&gt;0,VLOOKUP($A277,'0.Productos'!$A$3:$GG$587,'0.Productos'!CK$1+1,0),"")</f>
        <v/>
      </c>
      <c r="AT277" s="133" t="str">
        <f>IF($A277&lt;&gt;0,VLOOKUP($A277,'0.Productos'!$A$3:$GG$587,'0.Productos'!CL$1+1,0),"")</f>
        <v/>
      </c>
      <c r="AU277" s="133" t="str">
        <f>IF($A277&lt;&gt;0,VLOOKUP($A277,'0.Productos'!$A$3:$GG$587,'0.Productos'!CM$1+1,0),"")</f>
        <v/>
      </c>
      <c r="AV277" s="133" t="str">
        <f>IF($A277&lt;&gt;0,VLOOKUP($A277,'0.Productos'!$A$3:$GG$587,'0.Productos'!CN$1+1,0),"")</f>
        <v/>
      </c>
      <c r="AW277" s="133" t="str">
        <f>IF($A277&lt;&gt;0,VLOOKUP($A277,'0.Productos'!$A$3:$GG$587,'0.Productos'!CO$1+1,0),"")</f>
        <v/>
      </c>
      <c r="AX277" s="133" t="str">
        <f>IF($A277&lt;&gt;0,VLOOKUP($A277,'0.Productos'!$A$3:$GG$587,'0.Productos'!CP$1+1,0),"")</f>
        <v/>
      </c>
      <c r="AY277" s="133" t="str">
        <f>IF($A277&lt;&gt;0,VLOOKUP($A277,'0.Productos'!$A$3:$GG$587,'0.Productos'!CQ$1+1,0),"")</f>
        <v/>
      </c>
      <c r="AZ277" s="133" t="str">
        <f>IF($A277&lt;&gt;0,VLOOKUP($A277,'0.Productos'!$A$3:$GG$587,'0.Productos'!CR$1+1,0),"")</f>
        <v/>
      </c>
      <c r="BA277" s="133" t="str">
        <f>IF($A277&lt;&gt;0,VLOOKUP($A277,'0.Productos'!$A$3:$GG$587,'0.Productos'!CS$1+1,0),"")</f>
        <v/>
      </c>
      <c r="BB277" s="133" t="str">
        <f>IF($A277&lt;&gt;0,VLOOKUP($A277,'0.Productos'!$A$3:$GG$587,'0.Productos'!CT$1+1,0),"")</f>
        <v/>
      </c>
      <c r="BC277" s="133" t="str">
        <f>IF($A277&lt;&gt;0,VLOOKUP($A277,'0.Productos'!$A$3:$GG$587,'0.Productos'!CU$1+1,0),"")</f>
        <v/>
      </c>
      <c r="BD277" s="133" t="str">
        <f>IF($A277&lt;&gt;0,VLOOKUP($A277,'0.Productos'!$A$3:$GG$587,'0.Productos'!CV$1+1,0),"")</f>
        <v/>
      </c>
      <c r="BE277" s="133" t="str">
        <f>IF($A277&lt;&gt;0,VLOOKUP($A277,'0.Productos'!$A$3:$GG$587,'0.Productos'!CW$1+1,0),"")</f>
        <v/>
      </c>
      <c r="BF277" s="133" t="str">
        <f>IF($A277&lt;&gt;0,VLOOKUP($A277,'0.Productos'!$A$3:$GG$587,'0.Productos'!CX$1+1,0),"")</f>
        <v/>
      </c>
      <c r="BG277" s="133" t="str">
        <f>IF($A277&lt;&gt;0,VLOOKUP($A277,'0.Productos'!$A$3:$GG$587,'0.Productos'!CY$1+1,0),"")</f>
        <v/>
      </c>
      <c r="BH277" s="133" t="str">
        <f>IF($A277&lt;&gt;0,VLOOKUP($A277,'0.Productos'!$A$3:$GG$587,'0.Productos'!CZ$1+1,0),"")</f>
        <v/>
      </c>
      <c r="BI277" s="133" t="str">
        <f>IF($A277&lt;&gt;0,VLOOKUP($A277,'0.Productos'!$A$3:$GG$587,'0.Productos'!DA$1+1,0),"")</f>
        <v/>
      </c>
      <c r="BJ277" s="133" t="str">
        <f>IF($A277&lt;&gt;0,VLOOKUP($A277,'0.Productos'!$A$3:$GG$587,'0.Productos'!DB$1+1,0),"")</f>
        <v/>
      </c>
      <c r="BK277" s="133" t="str">
        <f>IF($A277&lt;&gt;0,VLOOKUP($A277,'0.Productos'!$A$3:$GG$587,'0.Productos'!DC$1+1,0),"")</f>
        <v/>
      </c>
      <c r="BL277" s="133" t="str">
        <f>IF($A277&lt;&gt;0,VLOOKUP($A277,'0.Productos'!$A$3:$GG$587,'0.Productos'!DD$1+1,0),"")</f>
        <v/>
      </c>
      <c r="BM277" s="133" t="str">
        <f>IF($A277&lt;&gt;0,VLOOKUP($A277,'0.Productos'!$A$3:$GG$587,'0.Productos'!DE$1+1,0),"")</f>
        <v/>
      </c>
      <c r="BN277" s="133" t="str">
        <f>IF($A277&lt;&gt;0,VLOOKUP($A277,'0.Productos'!$A$3:$GG$587,'0.Productos'!DF$1+1,0),"")</f>
        <v/>
      </c>
      <c r="BO277" s="133" t="str">
        <f>IF($A277&lt;&gt;0,VLOOKUP($A277,'0.Productos'!$A$3:$GG$587,'0.Productos'!DG$1+1,0),"")</f>
        <v/>
      </c>
      <c r="BP277" s="133" t="str">
        <f>IF($A277&lt;&gt;0,VLOOKUP($A277,'0.Productos'!$A$3:$GG$587,'0.Productos'!DH$1+1,0),"")</f>
        <v/>
      </c>
      <c r="BQ277" s="133" t="str">
        <f>IF($A277&lt;&gt;0,VLOOKUP($A277,'0.Productos'!$A$3:$GG$587,'0.Productos'!DI$1+1,0),"")</f>
        <v/>
      </c>
      <c r="BR277" s="133" t="str">
        <f>IF($A277&lt;&gt;0,VLOOKUP($A277,'0.Productos'!$A$3:$GG$587,'0.Productos'!DJ$1+1,0),"")</f>
        <v/>
      </c>
      <c r="BS277" s="133" t="str">
        <f>IF($A277&lt;&gt;0,VLOOKUP($A277,'0.Productos'!$A$3:$GG$587,'0.Productos'!DK$1+1,0),"")</f>
        <v/>
      </c>
      <c r="BT277" s="133" t="str">
        <f>IF($A277&lt;&gt;0,VLOOKUP($A277,'0.Productos'!$A$3:$GG$587,'0.Productos'!DL$1+1,0),"")</f>
        <v/>
      </c>
    </row>
    <row r="278" spans="1:72" x14ac:dyDescent="0.25">
      <c r="A278" s="17">
        <f>'0.Consolidado general'!A278</f>
        <v>0</v>
      </c>
      <c r="B278" s="133" t="str">
        <f>IF($A278&lt;&gt;0,VLOOKUP($A278,'0.Productos'!$A$3:$GG$587,'0.Productos'!AT$1+1,0),"")</f>
        <v/>
      </c>
      <c r="C278" s="133" t="str">
        <f>IF($A278&lt;&gt;0,VLOOKUP($A278,'0.Productos'!$A$3:$GG$587,'0.Productos'!AU$1+1,0),"")</f>
        <v/>
      </c>
      <c r="D278" s="133" t="str">
        <f>IF($A278&lt;&gt;0,VLOOKUP($A278,'0.Productos'!$A$3:$GG$587,'0.Productos'!AV$1+1,0),"")</f>
        <v/>
      </c>
      <c r="E278" s="133" t="str">
        <f>IF($A278&lt;&gt;0,VLOOKUP($A278,'0.Productos'!$A$3:$GG$587,'0.Productos'!AW$1+1,0),"")</f>
        <v/>
      </c>
      <c r="F278" s="133" t="str">
        <f>IF($A278&lt;&gt;0,VLOOKUP($A278,'0.Productos'!$A$3:$GG$587,'0.Productos'!AX$1+1,0),"")</f>
        <v/>
      </c>
      <c r="G278" s="133" t="str">
        <f>IF($A278&lt;&gt;0,VLOOKUP($A278,'0.Productos'!$A$3:$GG$587,'0.Productos'!AY$1+1,0),"")</f>
        <v/>
      </c>
      <c r="H278" s="133" t="str">
        <f>IF($A278&lt;&gt;0,VLOOKUP($A278,'0.Productos'!$A$3:$GG$587,'0.Productos'!AZ$1+1,0),"")</f>
        <v/>
      </c>
      <c r="I278" s="133" t="str">
        <f>IF($A278&lt;&gt;0,VLOOKUP($A278,'0.Productos'!$A$3:$GG$587,'0.Productos'!BA$1+1,0),"")</f>
        <v/>
      </c>
      <c r="J278" s="133" t="str">
        <f>IF($A278&lt;&gt;0,VLOOKUP($A278,'0.Productos'!$A$3:$GG$587,'0.Productos'!BB$1+1,0),"")</f>
        <v/>
      </c>
      <c r="K278" s="133" t="str">
        <f>IF($A278&lt;&gt;0,VLOOKUP($A278,'0.Productos'!$A$3:$GG$587,'0.Productos'!BC$1+1,0),"")</f>
        <v/>
      </c>
      <c r="L278" s="133" t="str">
        <f>IF($A278&lt;&gt;0,VLOOKUP($A278,'0.Productos'!$A$3:$GG$587,'0.Productos'!BD$1+1,0),"")</f>
        <v/>
      </c>
      <c r="M278" s="133" t="str">
        <f>IF($A278&lt;&gt;0,VLOOKUP($A278,'0.Productos'!$A$3:$GG$587,'0.Productos'!BE$1+1,0),"")</f>
        <v/>
      </c>
      <c r="N278" s="133" t="str">
        <f>IF($A278&lt;&gt;0,VLOOKUP($A278,'0.Productos'!$A$3:$GG$587,'0.Productos'!BF$1+1,0),"")</f>
        <v/>
      </c>
      <c r="O278" s="133" t="str">
        <f>IF($A278&lt;&gt;0,VLOOKUP($A278,'0.Productos'!$A$3:$GG$587,'0.Productos'!BG$1+1,0),"")</f>
        <v/>
      </c>
      <c r="P278" s="133" t="str">
        <f>IF($A278&lt;&gt;0,VLOOKUP($A278,'0.Productos'!$A$3:$GG$587,'0.Productos'!BH$1+1,0),"")</f>
        <v/>
      </c>
      <c r="Q278" s="133" t="str">
        <f>IF($A278&lt;&gt;0,VLOOKUP($A278,'0.Productos'!$A$3:$GG$587,'0.Productos'!BI$1+1,0),"")</f>
        <v/>
      </c>
      <c r="R278" s="133" t="str">
        <f>IF($A278&lt;&gt;0,VLOOKUP($A278,'0.Productos'!$A$3:$GG$587,'0.Productos'!BJ$1+1,0),"")</f>
        <v/>
      </c>
      <c r="S278" s="133" t="str">
        <f>IF($A278&lt;&gt;0,VLOOKUP($A278,'0.Productos'!$A$3:$GG$587,'0.Productos'!BK$1+1,0),"")</f>
        <v/>
      </c>
      <c r="T278" s="133" t="str">
        <f>IF($A278&lt;&gt;0,VLOOKUP($A278,'0.Productos'!$A$3:$GG$587,'0.Productos'!BL$1+1,0),"")</f>
        <v/>
      </c>
      <c r="U278" s="133" t="str">
        <f>IF($A278&lt;&gt;0,VLOOKUP($A278,'0.Productos'!$A$3:$GG$587,'0.Productos'!BM$1+1,0),"")</f>
        <v/>
      </c>
      <c r="V278" s="133" t="str">
        <f>IF($A278&lt;&gt;0,VLOOKUP($A278,'0.Productos'!$A$3:$GG$587,'0.Productos'!BN$1+1,0),"")</f>
        <v/>
      </c>
      <c r="W278" s="133" t="str">
        <f>IF($A278&lt;&gt;0,VLOOKUP($A278,'0.Productos'!$A$3:$GG$587,'0.Productos'!BO$1+1,0),"")</f>
        <v/>
      </c>
      <c r="X278" s="133" t="str">
        <f>IF($A278&lt;&gt;0,VLOOKUP($A278,'0.Productos'!$A$3:$GG$587,'0.Productos'!BP$1+1,0),"")</f>
        <v/>
      </c>
      <c r="Y278" s="133" t="str">
        <f>IF($A278&lt;&gt;0,VLOOKUP($A278,'0.Productos'!$A$3:$GG$587,'0.Productos'!BQ$1+1,0),"")</f>
        <v/>
      </c>
      <c r="Z278" s="133" t="str">
        <f>IF($A278&lt;&gt;0,VLOOKUP($A278,'0.Productos'!$A$3:$GG$587,'0.Productos'!BR$1+1,0),"")</f>
        <v/>
      </c>
      <c r="AA278" s="133" t="str">
        <f>IF($A278&lt;&gt;0,VLOOKUP($A278,'0.Productos'!$A$3:$GG$587,'0.Productos'!BS$1+1,0),"")</f>
        <v/>
      </c>
      <c r="AB278" s="133" t="str">
        <f>IF($A278&lt;&gt;0,VLOOKUP($A278,'0.Productos'!$A$3:$GG$587,'0.Productos'!BT$1+1,0),"")</f>
        <v/>
      </c>
      <c r="AC278" s="133" t="str">
        <f>IF($A278&lt;&gt;0,VLOOKUP($A278,'0.Productos'!$A$3:$GG$587,'0.Productos'!BU$1+1,0),"")</f>
        <v/>
      </c>
      <c r="AD278" s="133" t="str">
        <f>IF($A278&lt;&gt;0,VLOOKUP($A278,'0.Productos'!$A$3:$GG$587,'0.Productos'!BV$1+1,0),"")</f>
        <v/>
      </c>
      <c r="AE278" s="133" t="str">
        <f>IF($A278&lt;&gt;0,VLOOKUP($A278,'0.Productos'!$A$3:$GG$587,'0.Productos'!BW$1+1,0),"")</f>
        <v/>
      </c>
      <c r="AF278" s="133" t="str">
        <f>IF($A278&lt;&gt;0,VLOOKUP($A278,'0.Productos'!$A$3:$GG$587,'0.Productos'!BX$1+1,0),"")</f>
        <v/>
      </c>
      <c r="AG278" s="133" t="str">
        <f>IF($A278&lt;&gt;0,VLOOKUP($A278,'0.Productos'!$A$3:$GG$587,'0.Productos'!BY$1+1,0),"")</f>
        <v/>
      </c>
      <c r="AH278" s="133" t="str">
        <f>IF($A278&lt;&gt;0,VLOOKUP($A278,'0.Productos'!$A$3:$GG$587,'0.Productos'!BZ$1+1,0),"")</f>
        <v/>
      </c>
      <c r="AI278" s="133" t="str">
        <f>IF($A278&lt;&gt;0,VLOOKUP($A278,'0.Productos'!$A$3:$GG$587,'0.Productos'!CA$1+1,0),"")</f>
        <v/>
      </c>
      <c r="AJ278" s="133" t="str">
        <f>IF($A278&lt;&gt;0,VLOOKUP($A278,'0.Productos'!$A$3:$GG$587,'0.Productos'!CB$1+1,0),"")</f>
        <v/>
      </c>
      <c r="AK278" s="133" t="str">
        <f>IF($A278&lt;&gt;0,VLOOKUP($A278,'0.Productos'!$A$3:$GG$587,'0.Productos'!CC$1+1,0),"")</f>
        <v/>
      </c>
      <c r="AL278" s="133" t="str">
        <f>IF($A278&lt;&gt;0,VLOOKUP($A278,'0.Productos'!$A$3:$GG$587,'0.Productos'!CD$1+1,0),"")</f>
        <v/>
      </c>
      <c r="AM278" s="133" t="str">
        <f>IF($A278&lt;&gt;0,VLOOKUP($A278,'0.Productos'!$A$3:$GG$587,'0.Productos'!CE$1+1,0),"")</f>
        <v/>
      </c>
      <c r="AN278" s="133" t="str">
        <f>IF($A278&lt;&gt;0,VLOOKUP($A278,'0.Productos'!$A$3:$GG$587,'0.Productos'!CF$1+1,0),"")</f>
        <v/>
      </c>
      <c r="AO278" s="133" t="str">
        <f>IF($A278&lt;&gt;0,VLOOKUP($A278,'0.Productos'!$A$3:$GG$587,'0.Productos'!CG$1+1,0),"")</f>
        <v/>
      </c>
      <c r="AP278" s="133" t="str">
        <f>IF($A278&lt;&gt;0,VLOOKUP($A278,'0.Productos'!$A$3:$GG$587,'0.Productos'!CH$1+1,0),"")</f>
        <v/>
      </c>
      <c r="AQ278" s="133" t="str">
        <f>IF($A278&lt;&gt;0,VLOOKUP($A278,'0.Productos'!$A$3:$GG$587,'0.Productos'!CI$1+1,0),"")</f>
        <v/>
      </c>
      <c r="AR278" s="133" t="str">
        <f>IF($A278&lt;&gt;0,VLOOKUP($A278,'0.Productos'!$A$3:$GG$587,'0.Productos'!CJ$1+1,0),"")</f>
        <v/>
      </c>
      <c r="AS278" s="133" t="str">
        <f>IF($A278&lt;&gt;0,VLOOKUP($A278,'0.Productos'!$A$3:$GG$587,'0.Productos'!CK$1+1,0),"")</f>
        <v/>
      </c>
      <c r="AT278" s="133" t="str">
        <f>IF($A278&lt;&gt;0,VLOOKUP($A278,'0.Productos'!$A$3:$GG$587,'0.Productos'!CL$1+1,0),"")</f>
        <v/>
      </c>
      <c r="AU278" s="133" t="str">
        <f>IF($A278&lt;&gt;0,VLOOKUP($A278,'0.Productos'!$A$3:$GG$587,'0.Productos'!CM$1+1,0),"")</f>
        <v/>
      </c>
      <c r="AV278" s="133" t="str">
        <f>IF($A278&lt;&gt;0,VLOOKUP($A278,'0.Productos'!$A$3:$GG$587,'0.Productos'!CN$1+1,0),"")</f>
        <v/>
      </c>
      <c r="AW278" s="133" t="str">
        <f>IF($A278&lt;&gt;0,VLOOKUP($A278,'0.Productos'!$A$3:$GG$587,'0.Productos'!CO$1+1,0),"")</f>
        <v/>
      </c>
      <c r="AX278" s="133" t="str">
        <f>IF($A278&lt;&gt;0,VLOOKUP($A278,'0.Productos'!$A$3:$GG$587,'0.Productos'!CP$1+1,0),"")</f>
        <v/>
      </c>
      <c r="AY278" s="133" t="str">
        <f>IF($A278&lt;&gt;0,VLOOKUP($A278,'0.Productos'!$A$3:$GG$587,'0.Productos'!CQ$1+1,0),"")</f>
        <v/>
      </c>
      <c r="AZ278" s="133" t="str">
        <f>IF($A278&lt;&gt;0,VLOOKUP($A278,'0.Productos'!$A$3:$GG$587,'0.Productos'!CR$1+1,0),"")</f>
        <v/>
      </c>
      <c r="BA278" s="133" t="str">
        <f>IF($A278&lt;&gt;0,VLOOKUP($A278,'0.Productos'!$A$3:$GG$587,'0.Productos'!CS$1+1,0),"")</f>
        <v/>
      </c>
      <c r="BB278" s="133" t="str">
        <f>IF($A278&lt;&gt;0,VLOOKUP($A278,'0.Productos'!$A$3:$GG$587,'0.Productos'!CT$1+1,0),"")</f>
        <v/>
      </c>
      <c r="BC278" s="133" t="str">
        <f>IF($A278&lt;&gt;0,VLOOKUP($A278,'0.Productos'!$A$3:$GG$587,'0.Productos'!CU$1+1,0),"")</f>
        <v/>
      </c>
      <c r="BD278" s="133" t="str">
        <f>IF($A278&lt;&gt;0,VLOOKUP($A278,'0.Productos'!$A$3:$GG$587,'0.Productos'!CV$1+1,0),"")</f>
        <v/>
      </c>
      <c r="BE278" s="133" t="str">
        <f>IF($A278&lt;&gt;0,VLOOKUP($A278,'0.Productos'!$A$3:$GG$587,'0.Productos'!CW$1+1,0),"")</f>
        <v/>
      </c>
      <c r="BF278" s="133" t="str">
        <f>IF($A278&lt;&gt;0,VLOOKUP($A278,'0.Productos'!$A$3:$GG$587,'0.Productos'!CX$1+1,0),"")</f>
        <v/>
      </c>
      <c r="BG278" s="133" t="str">
        <f>IF($A278&lt;&gt;0,VLOOKUP($A278,'0.Productos'!$A$3:$GG$587,'0.Productos'!CY$1+1,0),"")</f>
        <v/>
      </c>
      <c r="BH278" s="133" t="str">
        <f>IF($A278&lt;&gt;0,VLOOKUP($A278,'0.Productos'!$A$3:$GG$587,'0.Productos'!CZ$1+1,0),"")</f>
        <v/>
      </c>
      <c r="BI278" s="133" t="str">
        <f>IF($A278&lt;&gt;0,VLOOKUP($A278,'0.Productos'!$A$3:$GG$587,'0.Productos'!DA$1+1,0),"")</f>
        <v/>
      </c>
      <c r="BJ278" s="133" t="str">
        <f>IF($A278&lt;&gt;0,VLOOKUP($A278,'0.Productos'!$A$3:$GG$587,'0.Productos'!DB$1+1,0),"")</f>
        <v/>
      </c>
      <c r="BK278" s="133" t="str">
        <f>IF($A278&lt;&gt;0,VLOOKUP($A278,'0.Productos'!$A$3:$GG$587,'0.Productos'!DC$1+1,0),"")</f>
        <v/>
      </c>
      <c r="BL278" s="133" t="str">
        <f>IF($A278&lt;&gt;0,VLOOKUP($A278,'0.Productos'!$A$3:$GG$587,'0.Productos'!DD$1+1,0),"")</f>
        <v/>
      </c>
      <c r="BM278" s="133" t="str">
        <f>IF($A278&lt;&gt;0,VLOOKUP($A278,'0.Productos'!$A$3:$GG$587,'0.Productos'!DE$1+1,0),"")</f>
        <v/>
      </c>
      <c r="BN278" s="133" t="str">
        <f>IF($A278&lt;&gt;0,VLOOKUP($A278,'0.Productos'!$A$3:$GG$587,'0.Productos'!DF$1+1,0),"")</f>
        <v/>
      </c>
      <c r="BO278" s="133" t="str">
        <f>IF($A278&lt;&gt;0,VLOOKUP($A278,'0.Productos'!$A$3:$GG$587,'0.Productos'!DG$1+1,0),"")</f>
        <v/>
      </c>
      <c r="BP278" s="133" t="str">
        <f>IF($A278&lt;&gt;0,VLOOKUP($A278,'0.Productos'!$A$3:$GG$587,'0.Productos'!DH$1+1,0),"")</f>
        <v/>
      </c>
      <c r="BQ278" s="133" t="str">
        <f>IF($A278&lt;&gt;0,VLOOKUP($A278,'0.Productos'!$A$3:$GG$587,'0.Productos'!DI$1+1,0),"")</f>
        <v/>
      </c>
      <c r="BR278" s="133" t="str">
        <f>IF($A278&lt;&gt;0,VLOOKUP($A278,'0.Productos'!$A$3:$GG$587,'0.Productos'!DJ$1+1,0),"")</f>
        <v/>
      </c>
      <c r="BS278" s="133" t="str">
        <f>IF($A278&lt;&gt;0,VLOOKUP($A278,'0.Productos'!$A$3:$GG$587,'0.Productos'!DK$1+1,0),"")</f>
        <v/>
      </c>
      <c r="BT278" s="133" t="str">
        <f>IF($A278&lt;&gt;0,VLOOKUP($A278,'0.Productos'!$A$3:$GG$587,'0.Productos'!DL$1+1,0),"")</f>
        <v/>
      </c>
    </row>
    <row r="279" spans="1:72" x14ac:dyDescent="0.25">
      <c r="A279" s="17">
        <f>'0.Consolidado general'!A279</f>
        <v>0</v>
      </c>
      <c r="B279" s="133" t="str">
        <f>IF($A279&lt;&gt;0,VLOOKUP($A279,'0.Productos'!$A$3:$GG$587,'0.Productos'!AT$1+1,0),"")</f>
        <v/>
      </c>
      <c r="C279" s="133" t="str">
        <f>IF($A279&lt;&gt;0,VLOOKUP($A279,'0.Productos'!$A$3:$GG$587,'0.Productos'!AU$1+1,0),"")</f>
        <v/>
      </c>
      <c r="D279" s="133" t="str">
        <f>IF($A279&lt;&gt;0,VLOOKUP($A279,'0.Productos'!$A$3:$GG$587,'0.Productos'!AV$1+1,0),"")</f>
        <v/>
      </c>
      <c r="E279" s="133" t="str">
        <f>IF($A279&lt;&gt;0,VLOOKUP($A279,'0.Productos'!$A$3:$GG$587,'0.Productos'!AW$1+1,0),"")</f>
        <v/>
      </c>
      <c r="F279" s="133" t="str">
        <f>IF($A279&lt;&gt;0,VLOOKUP($A279,'0.Productos'!$A$3:$GG$587,'0.Productos'!AX$1+1,0),"")</f>
        <v/>
      </c>
      <c r="G279" s="133" t="str">
        <f>IF($A279&lt;&gt;0,VLOOKUP($A279,'0.Productos'!$A$3:$GG$587,'0.Productos'!AY$1+1,0),"")</f>
        <v/>
      </c>
      <c r="H279" s="133" t="str">
        <f>IF($A279&lt;&gt;0,VLOOKUP($A279,'0.Productos'!$A$3:$GG$587,'0.Productos'!AZ$1+1,0),"")</f>
        <v/>
      </c>
      <c r="I279" s="133" t="str">
        <f>IF($A279&lt;&gt;0,VLOOKUP($A279,'0.Productos'!$A$3:$GG$587,'0.Productos'!BA$1+1,0),"")</f>
        <v/>
      </c>
      <c r="J279" s="133" t="str">
        <f>IF($A279&lt;&gt;0,VLOOKUP($A279,'0.Productos'!$A$3:$GG$587,'0.Productos'!BB$1+1,0),"")</f>
        <v/>
      </c>
      <c r="K279" s="133" t="str">
        <f>IF($A279&lt;&gt;0,VLOOKUP($A279,'0.Productos'!$A$3:$GG$587,'0.Productos'!BC$1+1,0),"")</f>
        <v/>
      </c>
      <c r="L279" s="133" t="str">
        <f>IF($A279&lt;&gt;0,VLOOKUP($A279,'0.Productos'!$A$3:$GG$587,'0.Productos'!BD$1+1,0),"")</f>
        <v/>
      </c>
      <c r="M279" s="133" t="str">
        <f>IF($A279&lt;&gt;0,VLOOKUP($A279,'0.Productos'!$A$3:$GG$587,'0.Productos'!BE$1+1,0),"")</f>
        <v/>
      </c>
      <c r="N279" s="133" t="str">
        <f>IF($A279&lt;&gt;0,VLOOKUP($A279,'0.Productos'!$A$3:$GG$587,'0.Productos'!BF$1+1,0),"")</f>
        <v/>
      </c>
      <c r="O279" s="133" t="str">
        <f>IF($A279&lt;&gt;0,VLOOKUP($A279,'0.Productos'!$A$3:$GG$587,'0.Productos'!BG$1+1,0),"")</f>
        <v/>
      </c>
      <c r="P279" s="133" t="str">
        <f>IF($A279&lt;&gt;0,VLOOKUP($A279,'0.Productos'!$A$3:$GG$587,'0.Productos'!BH$1+1,0),"")</f>
        <v/>
      </c>
      <c r="Q279" s="133" t="str">
        <f>IF($A279&lt;&gt;0,VLOOKUP($A279,'0.Productos'!$A$3:$GG$587,'0.Productos'!BI$1+1,0),"")</f>
        <v/>
      </c>
      <c r="R279" s="133" t="str">
        <f>IF($A279&lt;&gt;0,VLOOKUP($A279,'0.Productos'!$A$3:$GG$587,'0.Productos'!BJ$1+1,0),"")</f>
        <v/>
      </c>
      <c r="S279" s="133" t="str">
        <f>IF($A279&lt;&gt;0,VLOOKUP($A279,'0.Productos'!$A$3:$GG$587,'0.Productos'!BK$1+1,0),"")</f>
        <v/>
      </c>
      <c r="T279" s="133" t="str">
        <f>IF($A279&lt;&gt;0,VLOOKUP($A279,'0.Productos'!$A$3:$GG$587,'0.Productos'!BL$1+1,0),"")</f>
        <v/>
      </c>
      <c r="U279" s="133" t="str">
        <f>IF($A279&lt;&gt;0,VLOOKUP($A279,'0.Productos'!$A$3:$GG$587,'0.Productos'!BM$1+1,0),"")</f>
        <v/>
      </c>
      <c r="V279" s="133" t="str">
        <f>IF($A279&lt;&gt;0,VLOOKUP($A279,'0.Productos'!$A$3:$GG$587,'0.Productos'!BN$1+1,0),"")</f>
        <v/>
      </c>
      <c r="W279" s="133" t="str">
        <f>IF($A279&lt;&gt;0,VLOOKUP($A279,'0.Productos'!$A$3:$GG$587,'0.Productos'!BO$1+1,0),"")</f>
        <v/>
      </c>
      <c r="X279" s="133" t="str">
        <f>IF($A279&lt;&gt;0,VLOOKUP($A279,'0.Productos'!$A$3:$GG$587,'0.Productos'!BP$1+1,0),"")</f>
        <v/>
      </c>
      <c r="Y279" s="133" t="str">
        <f>IF($A279&lt;&gt;0,VLOOKUP($A279,'0.Productos'!$A$3:$GG$587,'0.Productos'!BQ$1+1,0),"")</f>
        <v/>
      </c>
      <c r="Z279" s="133" t="str">
        <f>IF($A279&lt;&gt;0,VLOOKUP($A279,'0.Productos'!$A$3:$GG$587,'0.Productos'!BR$1+1,0),"")</f>
        <v/>
      </c>
      <c r="AA279" s="133" t="str">
        <f>IF($A279&lt;&gt;0,VLOOKUP($A279,'0.Productos'!$A$3:$GG$587,'0.Productos'!BS$1+1,0),"")</f>
        <v/>
      </c>
      <c r="AB279" s="133" t="str">
        <f>IF($A279&lt;&gt;0,VLOOKUP($A279,'0.Productos'!$A$3:$GG$587,'0.Productos'!BT$1+1,0),"")</f>
        <v/>
      </c>
      <c r="AC279" s="133" t="str">
        <f>IF($A279&lt;&gt;0,VLOOKUP($A279,'0.Productos'!$A$3:$GG$587,'0.Productos'!BU$1+1,0),"")</f>
        <v/>
      </c>
      <c r="AD279" s="133" t="str">
        <f>IF($A279&lt;&gt;0,VLOOKUP($A279,'0.Productos'!$A$3:$GG$587,'0.Productos'!BV$1+1,0),"")</f>
        <v/>
      </c>
      <c r="AE279" s="133" t="str">
        <f>IF($A279&lt;&gt;0,VLOOKUP($A279,'0.Productos'!$A$3:$GG$587,'0.Productos'!BW$1+1,0),"")</f>
        <v/>
      </c>
      <c r="AF279" s="133" t="str">
        <f>IF($A279&lt;&gt;0,VLOOKUP($A279,'0.Productos'!$A$3:$GG$587,'0.Productos'!BX$1+1,0),"")</f>
        <v/>
      </c>
      <c r="AG279" s="133" t="str">
        <f>IF($A279&lt;&gt;0,VLOOKUP($A279,'0.Productos'!$A$3:$GG$587,'0.Productos'!BY$1+1,0),"")</f>
        <v/>
      </c>
      <c r="AH279" s="133" t="str">
        <f>IF($A279&lt;&gt;0,VLOOKUP($A279,'0.Productos'!$A$3:$GG$587,'0.Productos'!BZ$1+1,0),"")</f>
        <v/>
      </c>
      <c r="AI279" s="133" t="str">
        <f>IF($A279&lt;&gt;0,VLOOKUP($A279,'0.Productos'!$A$3:$GG$587,'0.Productos'!CA$1+1,0),"")</f>
        <v/>
      </c>
      <c r="AJ279" s="133" t="str">
        <f>IF($A279&lt;&gt;0,VLOOKUP($A279,'0.Productos'!$A$3:$GG$587,'0.Productos'!CB$1+1,0),"")</f>
        <v/>
      </c>
      <c r="AK279" s="133" t="str">
        <f>IF($A279&lt;&gt;0,VLOOKUP($A279,'0.Productos'!$A$3:$GG$587,'0.Productos'!CC$1+1,0),"")</f>
        <v/>
      </c>
      <c r="AL279" s="133" t="str">
        <f>IF($A279&lt;&gt;0,VLOOKUP($A279,'0.Productos'!$A$3:$GG$587,'0.Productos'!CD$1+1,0),"")</f>
        <v/>
      </c>
      <c r="AM279" s="133" t="str">
        <f>IF($A279&lt;&gt;0,VLOOKUP($A279,'0.Productos'!$A$3:$GG$587,'0.Productos'!CE$1+1,0),"")</f>
        <v/>
      </c>
      <c r="AN279" s="133" t="str">
        <f>IF($A279&lt;&gt;0,VLOOKUP($A279,'0.Productos'!$A$3:$GG$587,'0.Productos'!CF$1+1,0),"")</f>
        <v/>
      </c>
      <c r="AO279" s="133" t="str">
        <f>IF($A279&lt;&gt;0,VLOOKUP($A279,'0.Productos'!$A$3:$GG$587,'0.Productos'!CG$1+1,0),"")</f>
        <v/>
      </c>
      <c r="AP279" s="133" t="str">
        <f>IF($A279&lt;&gt;0,VLOOKUP($A279,'0.Productos'!$A$3:$GG$587,'0.Productos'!CH$1+1,0),"")</f>
        <v/>
      </c>
      <c r="AQ279" s="133" t="str">
        <f>IF($A279&lt;&gt;0,VLOOKUP($A279,'0.Productos'!$A$3:$GG$587,'0.Productos'!CI$1+1,0),"")</f>
        <v/>
      </c>
      <c r="AR279" s="133" t="str">
        <f>IF($A279&lt;&gt;0,VLOOKUP($A279,'0.Productos'!$A$3:$GG$587,'0.Productos'!CJ$1+1,0),"")</f>
        <v/>
      </c>
      <c r="AS279" s="133" t="str">
        <f>IF($A279&lt;&gt;0,VLOOKUP($A279,'0.Productos'!$A$3:$GG$587,'0.Productos'!CK$1+1,0),"")</f>
        <v/>
      </c>
      <c r="AT279" s="133" t="str">
        <f>IF($A279&lt;&gt;0,VLOOKUP($A279,'0.Productos'!$A$3:$GG$587,'0.Productos'!CL$1+1,0),"")</f>
        <v/>
      </c>
      <c r="AU279" s="133" t="str">
        <f>IF($A279&lt;&gt;0,VLOOKUP($A279,'0.Productos'!$A$3:$GG$587,'0.Productos'!CM$1+1,0),"")</f>
        <v/>
      </c>
      <c r="AV279" s="133" t="str">
        <f>IF($A279&lt;&gt;0,VLOOKUP($A279,'0.Productos'!$A$3:$GG$587,'0.Productos'!CN$1+1,0),"")</f>
        <v/>
      </c>
      <c r="AW279" s="133" t="str">
        <f>IF($A279&lt;&gt;0,VLOOKUP($A279,'0.Productos'!$A$3:$GG$587,'0.Productos'!CO$1+1,0),"")</f>
        <v/>
      </c>
      <c r="AX279" s="133" t="str">
        <f>IF($A279&lt;&gt;0,VLOOKUP($A279,'0.Productos'!$A$3:$GG$587,'0.Productos'!CP$1+1,0),"")</f>
        <v/>
      </c>
      <c r="AY279" s="133" t="str">
        <f>IF($A279&lt;&gt;0,VLOOKUP($A279,'0.Productos'!$A$3:$GG$587,'0.Productos'!CQ$1+1,0),"")</f>
        <v/>
      </c>
      <c r="AZ279" s="133" t="str">
        <f>IF($A279&lt;&gt;0,VLOOKUP($A279,'0.Productos'!$A$3:$GG$587,'0.Productos'!CR$1+1,0),"")</f>
        <v/>
      </c>
      <c r="BA279" s="133" t="str">
        <f>IF($A279&lt;&gt;0,VLOOKUP($A279,'0.Productos'!$A$3:$GG$587,'0.Productos'!CS$1+1,0),"")</f>
        <v/>
      </c>
      <c r="BB279" s="133" t="str">
        <f>IF($A279&lt;&gt;0,VLOOKUP($A279,'0.Productos'!$A$3:$GG$587,'0.Productos'!CT$1+1,0),"")</f>
        <v/>
      </c>
      <c r="BC279" s="133" t="str">
        <f>IF($A279&lt;&gt;0,VLOOKUP($A279,'0.Productos'!$A$3:$GG$587,'0.Productos'!CU$1+1,0),"")</f>
        <v/>
      </c>
      <c r="BD279" s="133" t="str">
        <f>IF($A279&lt;&gt;0,VLOOKUP($A279,'0.Productos'!$A$3:$GG$587,'0.Productos'!CV$1+1,0),"")</f>
        <v/>
      </c>
      <c r="BE279" s="133" t="str">
        <f>IF($A279&lt;&gt;0,VLOOKUP($A279,'0.Productos'!$A$3:$GG$587,'0.Productos'!CW$1+1,0),"")</f>
        <v/>
      </c>
      <c r="BF279" s="133" t="str">
        <f>IF($A279&lt;&gt;0,VLOOKUP($A279,'0.Productos'!$A$3:$GG$587,'0.Productos'!CX$1+1,0),"")</f>
        <v/>
      </c>
      <c r="BG279" s="133" t="str">
        <f>IF($A279&lt;&gt;0,VLOOKUP($A279,'0.Productos'!$A$3:$GG$587,'0.Productos'!CY$1+1,0),"")</f>
        <v/>
      </c>
      <c r="BH279" s="133" t="str">
        <f>IF($A279&lt;&gt;0,VLOOKUP($A279,'0.Productos'!$A$3:$GG$587,'0.Productos'!CZ$1+1,0),"")</f>
        <v/>
      </c>
      <c r="BI279" s="133" t="str">
        <f>IF($A279&lt;&gt;0,VLOOKUP($A279,'0.Productos'!$A$3:$GG$587,'0.Productos'!DA$1+1,0),"")</f>
        <v/>
      </c>
      <c r="BJ279" s="133" t="str">
        <f>IF($A279&lt;&gt;0,VLOOKUP($A279,'0.Productos'!$A$3:$GG$587,'0.Productos'!DB$1+1,0),"")</f>
        <v/>
      </c>
      <c r="BK279" s="133" t="str">
        <f>IF($A279&lt;&gt;0,VLOOKUP($A279,'0.Productos'!$A$3:$GG$587,'0.Productos'!DC$1+1,0),"")</f>
        <v/>
      </c>
      <c r="BL279" s="133" t="str">
        <f>IF($A279&lt;&gt;0,VLOOKUP($A279,'0.Productos'!$A$3:$GG$587,'0.Productos'!DD$1+1,0),"")</f>
        <v/>
      </c>
      <c r="BM279" s="133" t="str">
        <f>IF($A279&lt;&gt;0,VLOOKUP($A279,'0.Productos'!$A$3:$GG$587,'0.Productos'!DE$1+1,0),"")</f>
        <v/>
      </c>
      <c r="BN279" s="133" t="str">
        <f>IF($A279&lt;&gt;0,VLOOKUP($A279,'0.Productos'!$A$3:$GG$587,'0.Productos'!DF$1+1,0),"")</f>
        <v/>
      </c>
      <c r="BO279" s="133" t="str">
        <f>IF($A279&lt;&gt;0,VLOOKUP($A279,'0.Productos'!$A$3:$GG$587,'0.Productos'!DG$1+1,0),"")</f>
        <v/>
      </c>
      <c r="BP279" s="133" t="str">
        <f>IF($A279&lt;&gt;0,VLOOKUP($A279,'0.Productos'!$A$3:$GG$587,'0.Productos'!DH$1+1,0),"")</f>
        <v/>
      </c>
      <c r="BQ279" s="133" t="str">
        <f>IF($A279&lt;&gt;0,VLOOKUP($A279,'0.Productos'!$A$3:$GG$587,'0.Productos'!DI$1+1,0),"")</f>
        <v/>
      </c>
      <c r="BR279" s="133" t="str">
        <f>IF($A279&lt;&gt;0,VLOOKUP($A279,'0.Productos'!$A$3:$GG$587,'0.Productos'!DJ$1+1,0),"")</f>
        <v/>
      </c>
      <c r="BS279" s="133" t="str">
        <f>IF($A279&lt;&gt;0,VLOOKUP($A279,'0.Productos'!$A$3:$GG$587,'0.Productos'!DK$1+1,0),"")</f>
        <v/>
      </c>
      <c r="BT279" s="133" t="str">
        <f>IF($A279&lt;&gt;0,VLOOKUP($A279,'0.Productos'!$A$3:$GG$587,'0.Productos'!DL$1+1,0),"")</f>
        <v/>
      </c>
    </row>
    <row r="280" spans="1:72" x14ac:dyDescent="0.25">
      <c r="A280" s="17">
        <f>'0.Consolidado general'!A280</f>
        <v>0</v>
      </c>
      <c r="B280" s="133" t="str">
        <f>IF($A280&lt;&gt;0,VLOOKUP($A280,'0.Productos'!$A$3:$GG$587,'0.Productos'!AT$1+1,0),"")</f>
        <v/>
      </c>
      <c r="C280" s="133" t="str">
        <f>IF($A280&lt;&gt;0,VLOOKUP($A280,'0.Productos'!$A$3:$GG$587,'0.Productos'!AU$1+1,0),"")</f>
        <v/>
      </c>
      <c r="D280" s="133" t="str">
        <f>IF($A280&lt;&gt;0,VLOOKUP($A280,'0.Productos'!$A$3:$GG$587,'0.Productos'!AV$1+1,0),"")</f>
        <v/>
      </c>
      <c r="E280" s="133" t="str">
        <f>IF($A280&lt;&gt;0,VLOOKUP($A280,'0.Productos'!$A$3:$GG$587,'0.Productos'!AW$1+1,0),"")</f>
        <v/>
      </c>
      <c r="F280" s="133" t="str">
        <f>IF($A280&lt;&gt;0,VLOOKUP($A280,'0.Productos'!$A$3:$GG$587,'0.Productos'!AX$1+1,0),"")</f>
        <v/>
      </c>
      <c r="G280" s="133" t="str">
        <f>IF($A280&lt;&gt;0,VLOOKUP($A280,'0.Productos'!$A$3:$GG$587,'0.Productos'!AY$1+1,0),"")</f>
        <v/>
      </c>
      <c r="H280" s="133" t="str">
        <f>IF($A280&lt;&gt;0,VLOOKUP($A280,'0.Productos'!$A$3:$GG$587,'0.Productos'!AZ$1+1,0),"")</f>
        <v/>
      </c>
      <c r="I280" s="133" t="str">
        <f>IF($A280&lt;&gt;0,VLOOKUP($A280,'0.Productos'!$A$3:$GG$587,'0.Productos'!BA$1+1,0),"")</f>
        <v/>
      </c>
      <c r="J280" s="133" t="str">
        <f>IF($A280&lt;&gt;0,VLOOKUP($A280,'0.Productos'!$A$3:$GG$587,'0.Productos'!BB$1+1,0),"")</f>
        <v/>
      </c>
      <c r="K280" s="133" t="str">
        <f>IF($A280&lt;&gt;0,VLOOKUP($A280,'0.Productos'!$A$3:$GG$587,'0.Productos'!BC$1+1,0),"")</f>
        <v/>
      </c>
      <c r="L280" s="133" t="str">
        <f>IF($A280&lt;&gt;0,VLOOKUP($A280,'0.Productos'!$A$3:$GG$587,'0.Productos'!BD$1+1,0),"")</f>
        <v/>
      </c>
      <c r="M280" s="133" t="str">
        <f>IF($A280&lt;&gt;0,VLOOKUP($A280,'0.Productos'!$A$3:$GG$587,'0.Productos'!BE$1+1,0),"")</f>
        <v/>
      </c>
      <c r="N280" s="133" t="str">
        <f>IF($A280&lt;&gt;0,VLOOKUP($A280,'0.Productos'!$A$3:$GG$587,'0.Productos'!BF$1+1,0),"")</f>
        <v/>
      </c>
      <c r="O280" s="133" t="str">
        <f>IF($A280&lt;&gt;0,VLOOKUP($A280,'0.Productos'!$A$3:$GG$587,'0.Productos'!BG$1+1,0),"")</f>
        <v/>
      </c>
      <c r="P280" s="133" t="str">
        <f>IF($A280&lt;&gt;0,VLOOKUP($A280,'0.Productos'!$A$3:$GG$587,'0.Productos'!BH$1+1,0),"")</f>
        <v/>
      </c>
      <c r="Q280" s="133" t="str">
        <f>IF($A280&lt;&gt;0,VLOOKUP($A280,'0.Productos'!$A$3:$GG$587,'0.Productos'!BI$1+1,0),"")</f>
        <v/>
      </c>
      <c r="R280" s="133" t="str">
        <f>IF($A280&lt;&gt;0,VLOOKUP($A280,'0.Productos'!$A$3:$GG$587,'0.Productos'!BJ$1+1,0),"")</f>
        <v/>
      </c>
      <c r="S280" s="133" t="str">
        <f>IF($A280&lt;&gt;0,VLOOKUP($A280,'0.Productos'!$A$3:$GG$587,'0.Productos'!BK$1+1,0),"")</f>
        <v/>
      </c>
      <c r="T280" s="133" t="str">
        <f>IF($A280&lt;&gt;0,VLOOKUP($A280,'0.Productos'!$A$3:$GG$587,'0.Productos'!BL$1+1,0),"")</f>
        <v/>
      </c>
      <c r="U280" s="133" t="str">
        <f>IF($A280&lt;&gt;0,VLOOKUP($A280,'0.Productos'!$A$3:$GG$587,'0.Productos'!BM$1+1,0),"")</f>
        <v/>
      </c>
      <c r="V280" s="133" t="str">
        <f>IF($A280&lt;&gt;0,VLOOKUP($A280,'0.Productos'!$A$3:$GG$587,'0.Productos'!BN$1+1,0),"")</f>
        <v/>
      </c>
      <c r="W280" s="133" t="str">
        <f>IF($A280&lt;&gt;0,VLOOKUP($A280,'0.Productos'!$A$3:$GG$587,'0.Productos'!BO$1+1,0),"")</f>
        <v/>
      </c>
      <c r="X280" s="133" t="str">
        <f>IF($A280&lt;&gt;0,VLOOKUP($A280,'0.Productos'!$A$3:$GG$587,'0.Productos'!BP$1+1,0),"")</f>
        <v/>
      </c>
      <c r="Y280" s="133" t="str">
        <f>IF($A280&lt;&gt;0,VLOOKUP($A280,'0.Productos'!$A$3:$GG$587,'0.Productos'!BQ$1+1,0),"")</f>
        <v/>
      </c>
      <c r="Z280" s="133" t="str">
        <f>IF($A280&lt;&gt;0,VLOOKUP($A280,'0.Productos'!$A$3:$GG$587,'0.Productos'!BR$1+1,0),"")</f>
        <v/>
      </c>
      <c r="AA280" s="133" t="str">
        <f>IF($A280&lt;&gt;0,VLOOKUP($A280,'0.Productos'!$A$3:$GG$587,'0.Productos'!BS$1+1,0),"")</f>
        <v/>
      </c>
      <c r="AB280" s="133" t="str">
        <f>IF($A280&lt;&gt;0,VLOOKUP($A280,'0.Productos'!$A$3:$GG$587,'0.Productos'!BT$1+1,0),"")</f>
        <v/>
      </c>
      <c r="AC280" s="133" t="str">
        <f>IF($A280&lt;&gt;0,VLOOKUP($A280,'0.Productos'!$A$3:$GG$587,'0.Productos'!BU$1+1,0),"")</f>
        <v/>
      </c>
      <c r="AD280" s="133" t="str">
        <f>IF($A280&lt;&gt;0,VLOOKUP($A280,'0.Productos'!$A$3:$GG$587,'0.Productos'!BV$1+1,0),"")</f>
        <v/>
      </c>
      <c r="AE280" s="133" t="str">
        <f>IF($A280&lt;&gt;0,VLOOKUP($A280,'0.Productos'!$A$3:$GG$587,'0.Productos'!BW$1+1,0),"")</f>
        <v/>
      </c>
      <c r="AF280" s="133" t="str">
        <f>IF($A280&lt;&gt;0,VLOOKUP($A280,'0.Productos'!$A$3:$GG$587,'0.Productos'!BX$1+1,0),"")</f>
        <v/>
      </c>
      <c r="AG280" s="133" t="str">
        <f>IF($A280&lt;&gt;0,VLOOKUP($A280,'0.Productos'!$A$3:$GG$587,'0.Productos'!BY$1+1,0),"")</f>
        <v/>
      </c>
      <c r="AH280" s="133" t="str">
        <f>IF($A280&lt;&gt;0,VLOOKUP($A280,'0.Productos'!$A$3:$GG$587,'0.Productos'!BZ$1+1,0),"")</f>
        <v/>
      </c>
      <c r="AI280" s="133" t="str">
        <f>IF($A280&lt;&gt;0,VLOOKUP($A280,'0.Productos'!$A$3:$GG$587,'0.Productos'!CA$1+1,0),"")</f>
        <v/>
      </c>
      <c r="AJ280" s="133" t="str">
        <f>IF($A280&lt;&gt;0,VLOOKUP($A280,'0.Productos'!$A$3:$GG$587,'0.Productos'!CB$1+1,0),"")</f>
        <v/>
      </c>
      <c r="AK280" s="133" t="str">
        <f>IF($A280&lt;&gt;0,VLOOKUP($A280,'0.Productos'!$A$3:$GG$587,'0.Productos'!CC$1+1,0),"")</f>
        <v/>
      </c>
      <c r="AL280" s="133" t="str">
        <f>IF($A280&lt;&gt;0,VLOOKUP($A280,'0.Productos'!$A$3:$GG$587,'0.Productos'!CD$1+1,0),"")</f>
        <v/>
      </c>
      <c r="AM280" s="133" t="str">
        <f>IF($A280&lt;&gt;0,VLOOKUP($A280,'0.Productos'!$A$3:$GG$587,'0.Productos'!CE$1+1,0),"")</f>
        <v/>
      </c>
      <c r="AN280" s="133" t="str">
        <f>IF($A280&lt;&gt;0,VLOOKUP($A280,'0.Productos'!$A$3:$GG$587,'0.Productos'!CF$1+1,0),"")</f>
        <v/>
      </c>
      <c r="AO280" s="133" t="str">
        <f>IF($A280&lt;&gt;0,VLOOKUP($A280,'0.Productos'!$A$3:$GG$587,'0.Productos'!CG$1+1,0),"")</f>
        <v/>
      </c>
      <c r="AP280" s="133" t="str">
        <f>IF($A280&lt;&gt;0,VLOOKUP($A280,'0.Productos'!$A$3:$GG$587,'0.Productos'!CH$1+1,0),"")</f>
        <v/>
      </c>
      <c r="AQ280" s="133" t="str">
        <f>IF($A280&lt;&gt;0,VLOOKUP($A280,'0.Productos'!$A$3:$GG$587,'0.Productos'!CI$1+1,0),"")</f>
        <v/>
      </c>
      <c r="AR280" s="133" t="str">
        <f>IF($A280&lt;&gt;0,VLOOKUP($A280,'0.Productos'!$A$3:$GG$587,'0.Productos'!CJ$1+1,0),"")</f>
        <v/>
      </c>
      <c r="AS280" s="133" t="str">
        <f>IF($A280&lt;&gt;0,VLOOKUP($A280,'0.Productos'!$A$3:$GG$587,'0.Productos'!CK$1+1,0),"")</f>
        <v/>
      </c>
      <c r="AT280" s="133" t="str">
        <f>IF($A280&lt;&gt;0,VLOOKUP($A280,'0.Productos'!$A$3:$GG$587,'0.Productos'!CL$1+1,0),"")</f>
        <v/>
      </c>
      <c r="AU280" s="133" t="str">
        <f>IF($A280&lt;&gt;0,VLOOKUP($A280,'0.Productos'!$A$3:$GG$587,'0.Productos'!CM$1+1,0),"")</f>
        <v/>
      </c>
      <c r="AV280" s="133" t="str">
        <f>IF($A280&lt;&gt;0,VLOOKUP($A280,'0.Productos'!$A$3:$GG$587,'0.Productos'!CN$1+1,0),"")</f>
        <v/>
      </c>
      <c r="AW280" s="133" t="str">
        <f>IF($A280&lt;&gt;0,VLOOKUP($A280,'0.Productos'!$A$3:$GG$587,'0.Productos'!CO$1+1,0),"")</f>
        <v/>
      </c>
      <c r="AX280" s="133" t="str">
        <f>IF($A280&lt;&gt;0,VLOOKUP($A280,'0.Productos'!$A$3:$GG$587,'0.Productos'!CP$1+1,0),"")</f>
        <v/>
      </c>
      <c r="AY280" s="133" t="str">
        <f>IF($A280&lt;&gt;0,VLOOKUP($A280,'0.Productos'!$A$3:$GG$587,'0.Productos'!CQ$1+1,0),"")</f>
        <v/>
      </c>
      <c r="AZ280" s="133" t="str">
        <f>IF($A280&lt;&gt;0,VLOOKUP($A280,'0.Productos'!$A$3:$GG$587,'0.Productos'!CR$1+1,0),"")</f>
        <v/>
      </c>
      <c r="BA280" s="133" t="str">
        <f>IF($A280&lt;&gt;0,VLOOKUP($A280,'0.Productos'!$A$3:$GG$587,'0.Productos'!CS$1+1,0),"")</f>
        <v/>
      </c>
      <c r="BB280" s="133" t="str">
        <f>IF($A280&lt;&gt;0,VLOOKUP($A280,'0.Productos'!$A$3:$GG$587,'0.Productos'!CT$1+1,0),"")</f>
        <v/>
      </c>
      <c r="BC280" s="133" t="str">
        <f>IF($A280&lt;&gt;0,VLOOKUP($A280,'0.Productos'!$A$3:$GG$587,'0.Productos'!CU$1+1,0),"")</f>
        <v/>
      </c>
      <c r="BD280" s="133" t="str">
        <f>IF($A280&lt;&gt;0,VLOOKUP($A280,'0.Productos'!$A$3:$GG$587,'0.Productos'!CV$1+1,0),"")</f>
        <v/>
      </c>
      <c r="BE280" s="133" t="str">
        <f>IF($A280&lt;&gt;0,VLOOKUP($A280,'0.Productos'!$A$3:$GG$587,'0.Productos'!CW$1+1,0),"")</f>
        <v/>
      </c>
      <c r="BF280" s="133" t="str">
        <f>IF($A280&lt;&gt;0,VLOOKUP($A280,'0.Productos'!$A$3:$GG$587,'0.Productos'!CX$1+1,0),"")</f>
        <v/>
      </c>
      <c r="BG280" s="133" t="str">
        <f>IF($A280&lt;&gt;0,VLOOKUP($A280,'0.Productos'!$A$3:$GG$587,'0.Productos'!CY$1+1,0),"")</f>
        <v/>
      </c>
      <c r="BH280" s="133" t="str">
        <f>IF($A280&lt;&gt;0,VLOOKUP($A280,'0.Productos'!$A$3:$GG$587,'0.Productos'!CZ$1+1,0),"")</f>
        <v/>
      </c>
      <c r="BI280" s="133" t="str">
        <f>IF($A280&lt;&gt;0,VLOOKUP($A280,'0.Productos'!$A$3:$GG$587,'0.Productos'!DA$1+1,0),"")</f>
        <v/>
      </c>
      <c r="BJ280" s="133" t="str">
        <f>IF($A280&lt;&gt;0,VLOOKUP($A280,'0.Productos'!$A$3:$GG$587,'0.Productos'!DB$1+1,0),"")</f>
        <v/>
      </c>
      <c r="BK280" s="133" t="str">
        <f>IF($A280&lt;&gt;0,VLOOKUP($A280,'0.Productos'!$A$3:$GG$587,'0.Productos'!DC$1+1,0),"")</f>
        <v/>
      </c>
      <c r="BL280" s="133" t="str">
        <f>IF($A280&lt;&gt;0,VLOOKUP($A280,'0.Productos'!$A$3:$GG$587,'0.Productos'!DD$1+1,0),"")</f>
        <v/>
      </c>
      <c r="BM280" s="133" t="str">
        <f>IF($A280&lt;&gt;0,VLOOKUP($A280,'0.Productos'!$A$3:$GG$587,'0.Productos'!DE$1+1,0),"")</f>
        <v/>
      </c>
      <c r="BN280" s="133" t="str">
        <f>IF($A280&lt;&gt;0,VLOOKUP($A280,'0.Productos'!$A$3:$GG$587,'0.Productos'!DF$1+1,0),"")</f>
        <v/>
      </c>
      <c r="BO280" s="133" t="str">
        <f>IF($A280&lt;&gt;0,VLOOKUP($A280,'0.Productos'!$A$3:$GG$587,'0.Productos'!DG$1+1,0),"")</f>
        <v/>
      </c>
      <c r="BP280" s="133" t="str">
        <f>IF($A280&lt;&gt;0,VLOOKUP($A280,'0.Productos'!$A$3:$GG$587,'0.Productos'!DH$1+1,0),"")</f>
        <v/>
      </c>
      <c r="BQ280" s="133" t="str">
        <f>IF($A280&lt;&gt;0,VLOOKUP($A280,'0.Productos'!$A$3:$GG$587,'0.Productos'!DI$1+1,0),"")</f>
        <v/>
      </c>
      <c r="BR280" s="133" t="str">
        <f>IF($A280&lt;&gt;0,VLOOKUP($A280,'0.Productos'!$A$3:$GG$587,'0.Productos'!DJ$1+1,0),"")</f>
        <v/>
      </c>
      <c r="BS280" s="133" t="str">
        <f>IF($A280&lt;&gt;0,VLOOKUP($A280,'0.Productos'!$A$3:$GG$587,'0.Productos'!DK$1+1,0),"")</f>
        <v/>
      </c>
      <c r="BT280" s="133" t="str">
        <f>IF($A280&lt;&gt;0,VLOOKUP($A280,'0.Productos'!$A$3:$GG$587,'0.Productos'!DL$1+1,0),"")</f>
        <v/>
      </c>
    </row>
    <row r="281" spans="1:72" x14ac:dyDescent="0.25">
      <c r="A281" s="17">
        <f>'0.Consolidado general'!A281</f>
        <v>0</v>
      </c>
      <c r="B281" s="133" t="str">
        <f>IF($A281&lt;&gt;0,VLOOKUP($A281,'0.Productos'!$A$3:$GG$587,'0.Productos'!AT$1+1,0),"")</f>
        <v/>
      </c>
      <c r="C281" s="133" t="str">
        <f>IF($A281&lt;&gt;0,VLOOKUP($A281,'0.Productos'!$A$3:$GG$587,'0.Productos'!AU$1+1,0),"")</f>
        <v/>
      </c>
      <c r="D281" s="133" t="str">
        <f>IF($A281&lt;&gt;0,VLOOKUP($A281,'0.Productos'!$A$3:$GG$587,'0.Productos'!AV$1+1,0),"")</f>
        <v/>
      </c>
      <c r="E281" s="133" t="str">
        <f>IF($A281&lt;&gt;0,VLOOKUP($A281,'0.Productos'!$A$3:$GG$587,'0.Productos'!AW$1+1,0),"")</f>
        <v/>
      </c>
      <c r="F281" s="133" t="str">
        <f>IF($A281&lt;&gt;0,VLOOKUP($A281,'0.Productos'!$A$3:$GG$587,'0.Productos'!AX$1+1,0),"")</f>
        <v/>
      </c>
      <c r="G281" s="133" t="str">
        <f>IF($A281&lt;&gt;0,VLOOKUP($A281,'0.Productos'!$A$3:$GG$587,'0.Productos'!AY$1+1,0),"")</f>
        <v/>
      </c>
      <c r="H281" s="133" t="str">
        <f>IF($A281&lt;&gt;0,VLOOKUP($A281,'0.Productos'!$A$3:$GG$587,'0.Productos'!AZ$1+1,0),"")</f>
        <v/>
      </c>
      <c r="I281" s="133" t="str">
        <f>IF($A281&lt;&gt;0,VLOOKUP($A281,'0.Productos'!$A$3:$GG$587,'0.Productos'!BA$1+1,0),"")</f>
        <v/>
      </c>
      <c r="J281" s="133" t="str">
        <f>IF($A281&lt;&gt;0,VLOOKUP($A281,'0.Productos'!$A$3:$GG$587,'0.Productos'!BB$1+1,0),"")</f>
        <v/>
      </c>
      <c r="K281" s="133" t="str">
        <f>IF($A281&lt;&gt;0,VLOOKUP($A281,'0.Productos'!$A$3:$GG$587,'0.Productos'!BC$1+1,0),"")</f>
        <v/>
      </c>
      <c r="L281" s="133" t="str">
        <f>IF($A281&lt;&gt;0,VLOOKUP($A281,'0.Productos'!$A$3:$GG$587,'0.Productos'!BD$1+1,0),"")</f>
        <v/>
      </c>
      <c r="M281" s="133" t="str">
        <f>IF($A281&lt;&gt;0,VLOOKUP($A281,'0.Productos'!$A$3:$GG$587,'0.Productos'!BE$1+1,0),"")</f>
        <v/>
      </c>
      <c r="N281" s="133" t="str">
        <f>IF($A281&lt;&gt;0,VLOOKUP($A281,'0.Productos'!$A$3:$GG$587,'0.Productos'!BF$1+1,0),"")</f>
        <v/>
      </c>
      <c r="O281" s="133" t="str">
        <f>IF($A281&lt;&gt;0,VLOOKUP($A281,'0.Productos'!$A$3:$GG$587,'0.Productos'!BG$1+1,0),"")</f>
        <v/>
      </c>
      <c r="P281" s="133" t="str">
        <f>IF($A281&lt;&gt;0,VLOOKUP($A281,'0.Productos'!$A$3:$GG$587,'0.Productos'!BH$1+1,0),"")</f>
        <v/>
      </c>
      <c r="Q281" s="133" t="str">
        <f>IF($A281&lt;&gt;0,VLOOKUP($A281,'0.Productos'!$A$3:$GG$587,'0.Productos'!BI$1+1,0),"")</f>
        <v/>
      </c>
      <c r="R281" s="133" t="str">
        <f>IF($A281&lt;&gt;0,VLOOKUP($A281,'0.Productos'!$A$3:$GG$587,'0.Productos'!BJ$1+1,0),"")</f>
        <v/>
      </c>
      <c r="S281" s="133" t="str">
        <f>IF($A281&lt;&gt;0,VLOOKUP($A281,'0.Productos'!$A$3:$GG$587,'0.Productos'!BK$1+1,0),"")</f>
        <v/>
      </c>
      <c r="T281" s="133" t="str">
        <f>IF($A281&lt;&gt;0,VLOOKUP($A281,'0.Productos'!$A$3:$GG$587,'0.Productos'!BL$1+1,0),"")</f>
        <v/>
      </c>
      <c r="U281" s="133" t="str">
        <f>IF($A281&lt;&gt;0,VLOOKUP($A281,'0.Productos'!$A$3:$GG$587,'0.Productos'!BM$1+1,0),"")</f>
        <v/>
      </c>
      <c r="V281" s="133" t="str">
        <f>IF($A281&lt;&gt;0,VLOOKUP($A281,'0.Productos'!$A$3:$GG$587,'0.Productos'!BN$1+1,0),"")</f>
        <v/>
      </c>
      <c r="W281" s="133" t="str">
        <f>IF($A281&lt;&gt;0,VLOOKUP($A281,'0.Productos'!$A$3:$GG$587,'0.Productos'!BO$1+1,0),"")</f>
        <v/>
      </c>
      <c r="X281" s="133" t="str">
        <f>IF($A281&lt;&gt;0,VLOOKUP($A281,'0.Productos'!$A$3:$GG$587,'0.Productos'!BP$1+1,0),"")</f>
        <v/>
      </c>
      <c r="Y281" s="133" t="str">
        <f>IF($A281&lt;&gt;0,VLOOKUP($A281,'0.Productos'!$A$3:$GG$587,'0.Productos'!BQ$1+1,0),"")</f>
        <v/>
      </c>
      <c r="Z281" s="133" t="str">
        <f>IF($A281&lt;&gt;0,VLOOKUP($A281,'0.Productos'!$A$3:$GG$587,'0.Productos'!BR$1+1,0),"")</f>
        <v/>
      </c>
      <c r="AA281" s="133" t="str">
        <f>IF($A281&lt;&gt;0,VLOOKUP($A281,'0.Productos'!$A$3:$GG$587,'0.Productos'!BS$1+1,0),"")</f>
        <v/>
      </c>
      <c r="AB281" s="133" t="str">
        <f>IF($A281&lt;&gt;0,VLOOKUP($A281,'0.Productos'!$A$3:$GG$587,'0.Productos'!BT$1+1,0),"")</f>
        <v/>
      </c>
      <c r="AC281" s="133" t="str">
        <f>IF($A281&lt;&gt;0,VLOOKUP($A281,'0.Productos'!$A$3:$GG$587,'0.Productos'!BU$1+1,0),"")</f>
        <v/>
      </c>
      <c r="AD281" s="133" t="str">
        <f>IF($A281&lt;&gt;0,VLOOKUP($A281,'0.Productos'!$A$3:$GG$587,'0.Productos'!BV$1+1,0),"")</f>
        <v/>
      </c>
      <c r="AE281" s="133" t="str">
        <f>IF($A281&lt;&gt;0,VLOOKUP($A281,'0.Productos'!$A$3:$GG$587,'0.Productos'!BW$1+1,0),"")</f>
        <v/>
      </c>
      <c r="AF281" s="133" t="str">
        <f>IF($A281&lt;&gt;0,VLOOKUP($A281,'0.Productos'!$A$3:$GG$587,'0.Productos'!BX$1+1,0),"")</f>
        <v/>
      </c>
      <c r="AG281" s="133" t="str">
        <f>IF($A281&lt;&gt;0,VLOOKUP($A281,'0.Productos'!$A$3:$GG$587,'0.Productos'!BY$1+1,0),"")</f>
        <v/>
      </c>
      <c r="AH281" s="133" t="str">
        <f>IF($A281&lt;&gt;0,VLOOKUP($A281,'0.Productos'!$A$3:$GG$587,'0.Productos'!BZ$1+1,0),"")</f>
        <v/>
      </c>
      <c r="AI281" s="133" t="str">
        <f>IF($A281&lt;&gt;0,VLOOKUP($A281,'0.Productos'!$A$3:$GG$587,'0.Productos'!CA$1+1,0),"")</f>
        <v/>
      </c>
      <c r="AJ281" s="133" t="str">
        <f>IF($A281&lt;&gt;0,VLOOKUP($A281,'0.Productos'!$A$3:$GG$587,'0.Productos'!CB$1+1,0),"")</f>
        <v/>
      </c>
      <c r="AK281" s="133" t="str">
        <f>IF($A281&lt;&gt;0,VLOOKUP($A281,'0.Productos'!$A$3:$GG$587,'0.Productos'!CC$1+1,0),"")</f>
        <v/>
      </c>
      <c r="AL281" s="133" t="str">
        <f>IF($A281&lt;&gt;0,VLOOKUP($A281,'0.Productos'!$A$3:$GG$587,'0.Productos'!CD$1+1,0),"")</f>
        <v/>
      </c>
      <c r="AM281" s="133" t="str">
        <f>IF($A281&lt;&gt;0,VLOOKUP($A281,'0.Productos'!$A$3:$GG$587,'0.Productos'!CE$1+1,0),"")</f>
        <v/>
      </c>
      <c r="AN281" s="133" t="str">
        <f>IF($A281&lt;&gt;0,VLOOKUP($A281,'0.Productos'!$A$3:$GG$587,'0.Productos'!CF$1+1,0),"")</f>
        <v/>
      </c>
      <c r="AO281" s="133" t="str">
        <f>IF($A281&lt;&gt;0,VLOOKUP($A281,'0.Productos'!$A$3:$GG$587,'0.Productos'!CG$1+1,0),"")</f>
        <v/>
      </c>
      <c r="AP281" s="133" t="str">
        <f>IF($A281&lt;&gt;0,VLOOKUP($A281,'0.Productos'!$A$3:$GG$587,'0.Productos'!CH$1+1,0),"")</f>
        <v/>
      </c>
      <c r="AQ281" s="133" t="str">
        <f>IF($A281&lt;&gt;0,VLOOKUP($A281,'0.Productos'!$A$3:$GG$587,'0.Productos'!CI$1+1,0),"")</f>
        <v/>
      </c>
      <c r="AR281" s="133" t="str">
        <f>IF($A281&lt;&gt;0,VLOOKUP($A281,'0.Productos'!$A$3:$GG$587,'0.Productos'!CJ$1+1,0),"")</f>
        <v/>
      </c>
      <c r="AS281" s="133" t="str">
        <f>IF($A281&lt;&gt;0,VLOOKUP($A281,'0.Productos'!$A$3:$GG$587,'0.Productos'!CK$1+1,0),"")</f>
        <v/>
      </c>
      <c r="AT281" s="133" t="str">
        <f>IF($A281&lt;&gt;0,VLOOKUP($A281,'0.Productos'!$A$3:$GG$587,'0.Productos'!CL$1+1,0),"")</f>
        <v/>
      </c>
      <c r="AU281" s="133" t="str">
        <f>IF($A281&lt;&gt;0,VLOOKUP($A281,'0.Productos'!$A$3:$GG$587,'0.Productos'!CM$1+1,0),"")</f>
        <v/>
      </c>
      <c r="AV281" s="133" t="str">
        <f>IF($A281&lt;&gt;0,VLOOKUP($A281,'0.Productos'!$A$3:$GG$587,'0.Productos'!CN$1+1,0),"")</f>
        <v/>
      </c>
      <c r="AW281" s="133" t="str">
        <f>IF($A281&lt;&gt;0,VLOOKUP($A281,'0.Productos'!$A$3:$GG$587,'0.Productos'!CO$1+1,0),"")</f>
        <v/>
      </c>
      <c r="AX281" s="133" t="str">
        <f>IF($A281&lt;&gt;0,VLOOKUP($A281,'0.Productos'!$A$3:$GG$587,'0.Productos'!CP$1+1,0),"")</f>
        <v/>
      </c>
      <c r="AY281" s="133" t="str">
        <f>IF($A281&lt;&gt;0,VLOOKUP($A281,'0.Productos'!$A$3:$GG$587,'0.Productos'!CQ$1+1,0),"")</f>
        <v/>
      </c>
      <c r="AZ281" s="133" t="str">
        <f>IF($A281&lt;&gt;0,VLOOKUP($A281,'0.Productos'!$A$3:$GG$587,'0.Productos'!CR$1+1,0),"")</f>
        <v/>
      </c>
      <c r="BA281" s="133" t="str">
        <f>IF($A281&lt;&gt;0,VLOOKUP($A281,'0.Productos'!$A$3:$GG$587,'0.Productos'!CS$1+1,0),"")</f>
        <v/>
      </c>
      <c r="BB281" s="133" t="str">
        <f>IF($A281&lt;&gt;0,VLOOKUP($A281,'0.Productos'!$A$3:$GG$587,'0.Productos'!CT$1+1,0),"")</f>
        <v/>
      </c>
      <c r="BC281" s="133" t="str">
        <f>IF($A281&lt;&gt;0,VLOOKUP($A281,'0.Productos'!$A$3:$GG$587,'0.Productos'!CU$1+1,0),"")</f>
        <v/>
      </c>
      <c r="BD281" s="133" t="str">
        <f>IF($A281&lt;&gt;0,VLOOKUP($A281,'0.Productos'!$A$3:$GG$587,'0.Productos'!CV$1+1,0),"")</f>
        <v/>
      </c>
      <c r="BE281" s="133" t="str">
        <f>IF($A281&lt;&gt;0,VLOOKUP($A281,'0.Productos'!$A$3:$GG$587,'0.Productos'!CW$1+1,0),"")</f>
        <v/>
      </c>
      <c r="BF281" s="133" t="str">
        <f>IF($A281&lt;&gt;0,VLOOKUP($A281,'0.Productos'!$A$3:$GG$587,'0.Productos'!CX$1+1,0),"")</f>
        <v/>
      </c>
      <c r="BG281" s="133" t="str">
        <f>IF($A281&lt;&gt;0,VLOOKUP($A281,'0.Productos'!$A$3:$GG$587,'0.Productos'!CY$1+1,0),"")</f>
        <v/>
      </c>
      <c r="BH281" s="133" t="str">
        <f>IF($A281&lt;&gt;0,VLOOKUP($A281,'0.Productos'!$A$3:$GG$587,'0.Productos'!CZ$1+1,0),"")</f>
        <v/>
      </c>
      <c r="BI281" s="133" t="str">
        <f>IF($A281&lt;&gt;0,VLOOKUP($A281,'0.Productos'!$A$3:$GG$587,'0.Productos'!DA$1+1,0),"")</f>
        <v/>
      </c>
      <c r="BJ281" s="133" t="str">
        <f>IF($A281&lt;&gt;0,VLOOKUP($A281,'0.Productos'!$A$3:$GG$587,'0.Productos'!DB$1+1,0),"")</f>
        <v/>
      </c>
      <c r="BK281" s="133" t="str">
        <f>IF($A281&lt;&gt;0,VLOOKUP($A281,'0.Productos'!$A$3:$GG$587,'0.Productos'!DC$1+1,0),"")</f>
        <v/>
      </c>
      <c r="BL281" s="133" t="str">
        <f>IF($A281&lt;&gt;0,VLOOKUP($A281,'0.Productos'!$A$3:$GG$587,'0.Productos'!DD$1+1,0),"")</f>
        <v/>
      </c>
      <c r="BM281" s="133" t="str">
        <f>IF($A281&lt;&gt;0,VLOOKUP($A281,'0.Productos'!$A$3:$GG$587,'0.Productos'!DE$1+1,0),"")</f>
        <v/>
      </c>
      <c r="BN281" s="133" t="str">
        <f>IF($A281&lt;&gt;0,VLOOKUP($A281,'0.Productos'!$A$3:$GG$587,'0.Productos'!DF$1+1,0),"")</f>
        <v/>
      </c>
      <c r="BO281" s="133" t="str">
        <f>IF($A281&lt;&gt;0,VLOOKUP($A281,'0.Productos'!$A$3:$GG$587,'0.Productos'!DG$1+1,0),"")</f>
        <v/>
      </c>
      <c r="BP281" s="133" t="str">
        <f>IF($A281&lt;&gt;0,VLOOKUP($A281,'0.Productos'!$A$3:$GG$587,'0.Productos'!DH$1+1,0),"")</f>
        <v/>
      </c>
      <c r="BQ281" s="133" t="str">
        <f>IF($A281&lt;&gt;0,VLOOKUP($A281,'0.Productos'!$A$3:$GG$587,'0.Productos'!DI$1+1,0),"")</f>
        <v/>
      </c>
      <c r="BR281" s="133" t="str">
        <f>IF($A281&lt;&gt;0,VLOOKUP($A281,'0.Productos'!$A$3:$GG$587,'0.Productos'!DJ$1+1,0),"")</f>
        <v/>
      </c>
      <c r="BS281" s="133" t="str">
        <f>IF($A281&lt;&gt;0,VLOOKUP($A281,'0.Productos'!$A$3:$GG$587,'0.Productos'!DK$1+1,0),"")</f>
        <v/>
      </c>
      <c r="BT281" s="133" t="str">
        <f>IF($A281&lt;&gt;0,VLOOKUP($A281,'0.Productos'!$A$3:$GG$587,'0.Productos'!DL$1+1,0),"")</f>
        <v/>
      </c>
    </row>
    <row r="282" spans="1:72" x14ac:dyDescent="0.25">
      <c r="A282" s="17">
        <f>'0.Consolidado general'!A282</f>
        <v>0</v>
      </c>
      <c r="B282" s="133" t="str">
        <f>IF($A282&lt;&gt;0,VLOOKUP($A282,'0.Productos'!$A$3:$GG$587,'0.Productos'!AT$1+1,0),"")</f>
        <v/>
      </c>
      <c r="C282" s="133" t="str">
        <f>IF($A282&lt;&gt;0,VLOOKUP($A282,'0.Productos'!$A$3:$GG$587,'0.Productos'!AU$1+1,0),"")</f>
        <v/>
      </c>
      <c r="D282" s="133" t="str">
        <f>IF($A282&lt;&gt;0,VLOOKUP($A282,'0.Productos'!$A$3:$GG$587,'0.Productos'!AV$1+1,0),"")</f>
        <v/>
      </c>
      <c r="E282" s="133" t="str">
        <f>IF($A282&lt;&gt;0,VLOOKUP($A282,'0.Productos'!$A$3:$GG$587,'0.Productos'!AW$1+1,0),"")</f>
        <v/>
      </c>
      <c r="F282" s="133" t="str">
        <f>IF($A282&lt;&gt;0,VLOOKUP($A282,'0.Productos'!$A$3:$GG$587,'0.Productos'!AX$1+1,0),"")</f>
        <v/>
      </c>
      <c r="G282" s="133" t="str">
        <f>IF($A282&lt;&gt;0,VLOOKUP($A282,'0.Productos'!$A$3:$GG$587,'0.Productos'!AY$1+1,0),"")</f>
        <v/>
      </c>
      <c r="H282" s="133" t="str">
        <f>IF($A282&lt;&gt;0,VLOOKUP($A282,'0.Productos'!$A$3:$GG$587,'0.Productos'!AZ$1+1,0),"")</f>
        <v/>
      </c>
      <c r="I282" s="133" t="str">
        <f>IF($A282&lt;&gt;0,VLOOKUP($A282,'0.Productos'!$A$3:$GG$587,'0.Productos'!BA$1+1,0),"")</f>
        <v/>
      </c>
      <c r="J282" s="133" t="str">
        <f>IF($A282&lt;&gt;0,VLOOKUP($A282,'0.Productos'!$A$3:$GG$587,'0.Productos'!BB$1+1,0),"")</f>
        <v/>
      </c>
      <c r="K282" s="133" t="str">
        <f>IF($A282&lt;&gt;0,VLOOKUP($A282,'0.Productos'!$A$3:$GG$587,'0.Productos'!BC$1+1,0),"")</f>
        <v/>
      </c>
      <c r="L282" s="133" t="str">
        <f>IF($A282&lt;&gt;0,VLOOKUP($A282,'0.Productos'!$A$3:$GG$587,'0.Productos'!BD$1+1,0),"")</f>
        <v/>
      </c>
      <c r="M282" s="133" t="str">
        <f>IF($A282&lt;&gt;0,VLOOKUP($A282,'0.Productos'!$A$3:$GG$587,'0.Productos'!BE$1+1,0),"")</f>
        <v/>
      </c>
      <c r="N282" s="133" t="str">
        <f>IF($A282&lt;&gt;0,VLOOKUP($A282,'0.Productos'!$A$3:$GG$587,'0.Productos'!BF$1+1,0),"")</f>
        <v/>
      </c>
      <c r="O282" s="133" t="str">
        <f>IF($A282&lt;&gt;0,VLOOKUP($A282,'0.Productos'!$A$3:$GG$587,'0.Productos'!BG$1+1,0),"")</f>
        <v/>
      </c>
      <c r="P282" s="133" t="str">
        <f>IF($A282&lt;&gt;0,VLOOKUP($A282,'0.Productos'!$A$3:$GG$587,'0.Productos'!BH$1+1,0),"")</f>
        <v/>
      </c>
      <c r="Q282" s="133" t="str">
        <f>IF($A282&lt;&gt;0,VLOOKUP($A282,'0.Productos'!$A$3:$GG$587,'0.Productos'!BI$1+1,0),"")</f>
        <v/>
      </c>
      <c r="R282" s="133" t="str">
        <f>IF($A282&lt;&gt;0,VLOOKUP($A282,'0.Productos'!$A$3:$GG$587,'0.Productos'!BJ$1+1,0),"")</f>
        <v/>
      </c>
      <c r="S282" s="133" t="str">
        <f>IF($A282&lt;&gt;0,VLOOKUP($A282,'0.Productos'!$A$3:$GG$587,'0.Productos'!BK$1+1,0),"")</f>
        <v/>
      </c>
      <c r="T282" s="133" t="str">
        <f>IF($A282&lt;&gt;0,VLOOKUP($A282,'0.Productos'!$A$3:$GG$587,'0.Productos'!BL$1+1,0),"")</f>
        <v/>
      </c>
      <c r="U282" s="133" t="str">
        <f>IF($A282&lt;&gt;0,VLOOKUP($A282,'0.Productos'!$A$3:$GG$587,'0.Productos'!BM$1+1,0),"")</f>
        <v/>
      </c>
      <c r="V282" s="133" t="str">
        <f>IF($A282&lt;&gt;0,VLOOKUP($A282,'0.Productos'!$A$3:$GG$587,'0.Productos'!BN$1+1,0),"")</f>
        <v/>
      </c>
      <c r="W282" s="133" t="str">
        <f>IF($A282&lt;&gt;0,VLOOKUP($A282,'0.Productos'!$A$3:$GG$587,'0.Productos'!BO$1+1,0),"")</f>
        <v/>
      </c>
      <c r="X282" s="133" t="str">
        <f>IF($A282&lt;&gt;0,VLOOKUP($A282,'0.Productos'!$A$3:$GG$587,'0.Productos'!BP$1+1,0),"")</f>
        <v/>
      </c>
      <c r="Y282" s="133" t="str">
        <f>IF($A282&lt;&gt;0,VLOOKUP($A282,'0.Productos'!$A$3:$GG$587,'0.Productos'!BQ$1+1,0),"")</f>
        <v/>
      </c>
      <c r="Z282" s="133" t="str">
        <f>IF($A282&lt;&gt;0,VLOOKUP($A282,'0.Productos'!$A$3:$GG$587,'0.Productos'!BR$1+1,0),"")</f>
        <v/>
      </c>
      <c r="AA282" s="133" t="str">
        <f>IF($A282&lt;&gt;0,VLOOKUP($A282,'0.Productos'!$A$3:$GG$587,'0.Productos'!BS$1+1,0),"")</f>
        <v/>
      </c>
      <c r="AB282" s="133" t="str">
        <f>IF($A282&lt;&gt;0,VLOOKUP($A282,'0.Productos'!$A$3:$GG$587,'0.Productos'!BT$1+1,0),"")</f>
        <v/>
      </c>
      <c r="AC282" s="133" t="str">
        <f>IF($A282&lt;&gt;0,VLOOKUP($A282,'0.Productos'!$A$3:$GG$587,'0.Productos'!BU$1+1,0),"")</f>
        <v/>
      </c>
      <c r="AD282" s="133" t="str">
        <f>IF($A282&lt;&gt;0,VLOOKUP($A282,'0.Productos'!$A$3:$GG$587,'0.Productos'!BV$1+1,0),"")</f>
        <v/>
      </c>
      <c r="AE282" s="133" t="str">
        <f>IF($A282&lt;&gt;0,VLOOKUP($A282,'0.Productos'!$A$3:$GG$587,'0.Productos'!BW$1+1,0),"")</f>
        <v/>
      </c>
      <c r="AF282" s="133" t="str">
        <f>IF($A282&lt;&gt;0,VLOOKUP($A282,'0.Productos'!$A$3:$GG$587,'0.Productos'!BX$1+1,0),"")</f>
        <v/>
      </c>
      <c r="AG282" s="133" t="str">
        <f>IF($A282&lt;&gt;0,VLOOKUP($A282,'0.Productos'!$A$3:$GG$587,'0.Productos'!BY$1+1,0),"")</f>
        <v/>
      </c>
      <c r="AH282" s="133" t="str">
        <f>IF($A282&lt;&gt;0,VLOOKUP($A282,'0.Productos'!$A$3:$GG$587,'0.Productos'!BZ$1+1,0),"")</f>
        <v/>
      </c>
      <c r="AI282" s="133" t="str">
        <f>IF($A282&lt;&gt;0,VLOOKUP($A282,'0.Productos'!$A$3:$GG$587,'0.Productos'!CA$1+1,0),"")</f>
        <v/>
      </c>
      <c r="AJ282" s="133" t="str">
        <f>IF($A282&lt;&gt;0,VLOOKUP($A282,'0.Productos'!$A$3:$GG$587,'0.Productos'!CB$1+1,0),"")</f>
        <v/>
      </c>
      <c r="AK282" s="133" t="str">
        <f>IF($A282&lt;&gt;0,VLOOKUP($A282,'0.Productos'!$A$3:$GG$587,'0.Productos'!CC$1+1,0),"")</f>
        <v/>
      </c>
      <c r="AL282" s="133" t="str">
        <f>IF($A282&lt;&gt;0,VLOOKUP($A282,'0.Productos'!$A$3:$GG$587,'0.Productos'!CD$1+1,0),"")</f>
        <v/>
      </c>
      <c r="AM282" s="133" t="str">
        <f>IF($A282&lt;&gt;0,VLOOKUP($A282,'0.Productos'!$A$3:$GG$587,'0.Productos'!CE$1+1,0),"")</f>
        <v/>
      </c>
      <c r="AN282" s="133" t="str">
        <f>IF($A282&lt;&gt;0,VLOOKUP($A282,'0.Productos'!$A$3:$GG$587,'0.Productos'!CF$1+1,0),"")</f>
        <v/>
      </c>
      <c r="AO282" s="133" t="str">
        <f>IF($A282&lt;&gt;0,VLOOKUP($A282,'0.Productos'!$A$3:$GG$587,'0.Productos'!CG$1+1,0),"")</f>
        <v/>
      </c>
      <c r="AP282" s="133" t="str">
        <f>IF($A282&lt;&gt;0,VLOOKUP($A282,'0.Productos'!$A$3:$GG$587,'0.Productos'!CH$1+1,0),"")</f>
        <v/>
      </c>
      <c r="AQ282" s="133" t="str">
        <f>IF($A282&lt;&gt;0,VLOOKUP($A282,'0.Productos'!$A$3:$GG$587,'0.Productos'!CI$1+1,0),"")</f>
        <v/>
      </c>
      <c r="AR282" s="133" t="str">
        <f>IF($A282&lt;&gt;0,VLOOKUP($A282,'0.Productos'!$A$3:$GG$587,'0.Productos'!CJ$1+1,0),"")</f>
        <v/>
      </c>
      <c r="AS282" s="133" t="str">
        <f>IF($A282&lt;&gt;0,VLOOKUP($A282,'0.Productos'!$A$3:$GG$587,'0.Productos'!CK$1+1,0),"")</f>
        <v/>
      </c>
      <c r="AT282" s="133" t="str">
        <f>IF($A282&lt;&gt;0,VLOOKUP($A282,'0.Productos'!$A$3:$GG$587,'0.Productos'!CL$1+1,0),"")</f>
        <v/>
      </c>
      <c r="AU282" s="133" t="str">
        <f>IF($A282&lt;&gt;0,VLOOKUP($A282,'0.Productos'!$A$3:$GG$587,'0.Productos'!CM$1+1,0),"")</f>
        <v/>
      </c>
      <c r="AV282" s="133" t="str">
        <f>IF($A282&lt;&gt;0,VLOOKUP($A282,'0.Productos'!$A$3:$GG$587,'0.Productos'!CN$1+1,0),"")</f>
        <v/>
      </c>
      <c r="AW282" s="133" t="str">
        <f>IF($A282&lt;&gt;0,VLOOKUP($A282,'0.Productos'!$A$3:$GG$587,'0.Productos'!CO$1+1,0),"")</f>
        <v/>
      </c>
      <c r="AX282" s="133" t="str">
        <f>IF($A282&lt;&gt;0,VLOOKUP($A282,'0.Productos'!$A$3:$GG$587,'0.Productos'!CP$1+1,0),"")</f>
        <v/>
      </c>
      <c r="AY282" s="133" t="str">
        <f>IF($A282&lt;&gt;0,VLOOKUP($A282,'0.Productos'!$A$3:$GG$587,'0.Productos'!CQ$1+1,0),"")</f>
        <v/>
      </c>
      <c r="AZ282" s="133" t="str">
        <f>IF($A282&lt;&gt;0,VLOOKUP($A282,'0.Productos'!$A$3:$GG$587,'0.Productos'!CR$1+1,0),"")</f>
        <v/>
      </c>
      <c r="BA282" s="133" t="str">
        <f>IF($A282&lt;&gt;0,VLOOKUP($A282,'0.Productos'!$A$3:$GG$587,'0.Productos'!CS$1+1,0),"")</f>
        <v/>
      </c>
      <c r="BB282" s="133" t="str">
        <f>IF($A282&lt;&gt;0,VLOOKUP($A282,'0.Productos'!$A$3:$GG$587,'0.Productos'!CT$1+1,0),"")</f>
        <v/>
      </c>
      <c r="BC282" s="133" t="str">
        <f>IF($A282&lt;&gt;0,VLOOKUP($A282,'0.Productos'!$A$3:$GG$587,'0.Productos'!CU$1+1,0),"")</f>
        <v/>
      </c>
      <c r="BD282" s="133" t="str">
        <f>IF($A282&lt;&gt;0,VLOOKUP($A282,'0.Productos'!$A$3:$GG$587,'0.Productos'!CV$1+1,0),"")</f>
        <v/>
      </c>
      <c r="BE282" s="133" t="str">
        <f>IF($A282&lt;&gt;0,VLOOKUP($A282,'0.Productos'!$A$3:$GG$587,'0.Productos'!CW$1+1,0),"")</f>
        <v/>
      </c>
      <c r="BF282" s="133" t="str">
        <f>IF($A282&lt;&gt;0,VLOOKUP($A282,'0.Productos'!$A$3:$GG$587,'0.Productos'!CX$1+1,0),"")</f>
        <v/>
      </c>
      <c r="BG282" s="133" t="str">
        <f>IF($A282&lt;&gt;0,VLOOKUP($A282,'0.Productos'!$A$3:$GG$587,'0.Productos'!CY$1+1,0),"")</f>
        <v/>
      </c>
      <c r="BH282" s="133" t="str">
        <f>IF($A282&lt;&gt;0,VLOOKUP($A282,'0.Productos'!$A$3:$GG$587,'0.Productos'!CZ$1+1,0),"")</f>
        <v/>
      </c>
      <c r="BI282" s="133" t="str">
        <f>IF($A282&lt;&gt;0,VLOOKUP($A282,'0.Productos'!$A$3:$GG$587,'0.Productos'!DA$1+1,0),"")</f>
        <v/>
      </c>
      <c r="BJ282" s="133" t="str">
        <f>IF($A282&lt;&gt;0,VLOOKUP($A282,'0.Productos'!$A$3:$GG$587,'0.Productos'!DB$1+1,0),"")</f>
        <v/>
      </c>
      <c r="BK282" s="133" t="str">
        <f>IF($A282&lt;&gt;0,VLOOKUP($A282,'0.Productos'!$A$3:$GG$587,'0.Productos'!DC$1+1,0),"")</f>
        <v/>
      </c>
      <c r="BL282" s="133" t="str">
        <f>IF($A282&lt;&gt;0,VLOOKUP($A282,'0.Productos'!$A$3:$GG$587,'0.Productos'!DD$1+1,0),"")</f>
        <v/>
      </c>
      <c r="BM282" s="133" t="str">
        <f>IF($A282&lt;&gt;0,VLOOKUP($A282,'0.Productos'!$A$3:$GG$587,'0.Productos'!DE$1+1,0),"")</f>
        <v/>
      </c>
      <c r="BN282" s="133" t="str">
        <f>IF($A282&lt;&gt;0,VLOOKUP($A282,'0.Productos'!$A$3:$GG$587,'0.Productos'!DF$1+1,0),"")</f>
        <v/>
      </c>
      <c r="BO282" s="133" t="str">
        <f>IF($A282&lt;&gt;0,VLOOKUP($A282,'0.Productos'!$A$3:$GG$587,'0.Productos'!DG$1+1,0),"")</f>
        <v/>
      </c>
      <c r="BP282" s="133" t="str">
        <f>IF($A282&lt;&gt;0,VLOOKUP($A282,'0.Productos'!$A$3:$GG$587,'0.Productos'!DH$1+1,0),"")</f>
        <v/>
      </c>
      <c r="BQ282" s="133" t="str">
        <f>IF($A282&lt;&gt;0,VLOOKUP($A282,'0.Productos'!$A$3:$GG$587,'0.Productos'!DI$1+1,0),"")</f>
        <v/>
      </c>
      <c r="BR282" s="133" t="str">
        <f>IF($A282&lt;&gt;0,VLOOKUP($A282,'0.Productos'!$A$3:$GG$587,'0.Productos'!DJ$1+1,0),"")</f>
        <v/>
      </c>
      <c r="BS282" s="133" t="str">
        <f>IF($A282&lt;&gt;0,VLOOKUP($A282,'0.Productos'!$A$3:$GG$587,'0.Productos'!DK$1+1,0),"")</f>
        <v/>
      </c>
      <c r="BT282" s="133" t="str">
        <f>IF($A282&lt;&gt;0,VLOOKUP($A282,'0.Productos'!$A$3:$GG$587,'0.Productos'!DL$1+1,0),"")</f>
        <v/>
      </c>
    </row>
    <row r="283" spans="1:72" x14ac:dyDescent="0.25">
      <c r="A283" s="17">
        <f>'0.Consolidado general'!A283</f>
        <v>0</v>
      </c>
      <c r="B283" s="133" t="str">
        <f>IF($A283&lt;&gt;0,VLOOKUP($A283,'0.Productos'!$A$3:$GG$587,'0.Productos'!AT$1+1,0),"")</f>
        <v/>
      </c>
      <c r="C283" s="133" t="str">
        <f>IF($A283&lt;&gt;0,VLOOKUP($A283,'0.Productos'!$A$3:$GG$587,'0.Productos'!AU$1+1,0),"")</f>
        <v/>
      </c>
      <c r="D283" s="133" t="str">
        <f>IF($A283&lt;&gt;0,VLOOKUP($A283,'0.Productos'!$A$3:$GG$587,'0.Productos'!AV$1+1,0),"")</f>
        <v/>
      </c>
      <c r="E283" s="133" t="str">
        <f>IF($A283&lt;&gt;0,VLOOKUP($A283,'0.Productos'!$A$3:$GG$587,'0.Productos'!AW$1+1,0),"")</f>
        <v/>
      </c>
      <c r="F283" s="133" t="str">
        <f>IF($A283&lt;&gt;0,VLOOKUP($A283,'0.Productos'!$A$3:$GG$587,'0.Productos'!AX$1+1,0),"")</f>
        <v/>
      </c>
      <c r="G283" s="133" t="str">
        <f>IF($A283&lt;&gt;0,VLOOKUP($A283,'0.Productos'!$A$3:$GG$587,'0.Productos'!AY$1+1,0),"")</f>
        <v/>
      </c>
      <c r="H283" s="133" t="str">
        <f>IF($A283&lt;&gt;0,VLOOKUP($A283,'0.Productos'!$A$3:$GG$587,'0.Productos'!AZ$1+1,0),"")</f>
        <v/>
      </c>
      <c r="I283" s="133" t="str">
        <f>IF($A283&lt;&gt;0,VLOOKUP($A283,'0.Productos'!$A$3:$GG$587,'0.Productos'!BA$1+1,0),"")</f>
        <v/>
      </c>
      <c r="J283" s="133" t="str">
        <f>IF($A283&lt;&gt;0,VLOOKUP($A283,'0.Productos'!$A$3:$GG$587,'0.Productos'!BB$1+1,0),"")</f>
        <v/>
      </c>
      <c r="K283" s="133" t="str">
        <f>IF($A283&lt;&gt;0,VLOOKUP($A283,'0.Productos'!$A$3:$GG$587,'0.Productos'!BC$1+1,0),"")</f>
        <v/>
      </c>
      <c r="L283" s="133" t="str">
        <f>IF($A283&lt;&gt;0,VLOOKUP($A283,'0.Productos'!$A$3:$GG$587,'0.Productos'!BD$1+1,0),"")</f>
        <v/>
      </c>
      <c r="M283" s="133" t="str">
        <f>IF($A283&lt;&gt;0,VLOOKUP($A283,'0.Productos'!$A$3:$GG$587,'0.Productos'!BE$1+1,0),"")</f>
        <v/>
      </c>
      <c r="N283" s="133" t="str">
        <f>IF($A283&lt;&gt;0,VLOOKUP($A283,'0.Productos'!$A$3:$GG$587,'0.Productos'!BF$1+1,0),"")</f>
        <v/>
      </c>
      <c r="O283" s="133" t="str">
        <f>IF($A283&lt;&gt;0,VLOOKUP($A283,'0.Productos'!$A$3:$GG$587,'0.Productos'!BG$1+1,0),"")</f>
        <v/>
      </c>
      <c r="P283" s="133" t="str">
        <f>IF($A283&lt;&gt;0,VLOOKUP($A283,'0.Productos'!$A$3:$GG$587,'0.Productos'!BH$1+1,0),"")</f>
        <v/>
      </c>
      <c r="Q283" s="133" t="str">
        <f>IF($A283&lt;&gt;0,VLOOKUP($A283,'0.Productos'!$A$3:$GG$587,'0.Productos'!BI$1+1,0),"")</f>
        <v/>
      </c>
      <c r="R283" s="133" t="str">
        <f>IF($A283&lt;&gt;0,VLOOKUP($A283,'0.Productos'!$A$3:$GG$587,'0.Productos'!BJ$1+1,0),"")</f>
        <v/>
      </c>
      <c r="S283" s="133" t="str">
        <f>IF($A283&lt;&gt;0,VLOOKUP($A283,'0.Productos'!$A$3:$GG$587,'0.Productos'!BK$1+1,0),"")</f>
        <v/>
      </c>
      <c r="T283" s="133" t="str">
        <f>IF($A283&lt;&gt;0,VLOOKUP($A283,'0.Productos'!$A$3:$GG$587,'0.Productos'!BL$1+1,0),"")</f>
        <v/>
      </c>
      <c r="U283" s="133" t="str">
        <f>IF($A283&lt;&gt;0,VLOOKUP($A283,'0.Productos'!$A$3:$GG$587,'0.Productos'!BM$1+1,0),"")</f>
        <v/>
      </c>
      <c r="V283" s="133" t="str">
        <f>IF($A283&lt;&gt;0,VLOOKUP($A283,'0.Productos'!$A$3:$GG$587,'0.Productos'!BN$1+1,0),"")</f>
        <v/>
      </c>
      <c r="W283" s="133" t="str">
        <f>IF($A283&lt;&gt;0,VLOOKUP($A283,'0.Productos'!$A$3:$GG$587,'0.Productos'!BO$1+1,0),"")</f>
        <v/>
      </c>
      <c r="X283" s="133" t="str">
        <f>IF($A283&lt;&gt;0,VLOOKUP($A283,'0.Productos'!$A$3:$GG$587,'0.Productos'!BP$1+1,0),"")</f>
        <v/>
      </c>
      <c r="Y283" s="133" t="str">
        <f>IF($A283&lt;&gt;0,VLOOKUP($A283,'0.Productos'!$A$3:$GG$587,'0.Productos'!BQ$1+1,0),"")</f>
        <v/>
      </c>
      <c r="Z283" s="133" t="str">
        <f>IF($A283&lt;&gt;0,VLOOKUP($A283,'0.Productos'!$A$3:$GG$587,'0.Productos'!BR$1+1,0),"")</f>
        <v/>
      </c>
      <c r="AA283" s="133" t="str">
        <f>IF($A283&lt;&gt;0,VLOOKUP($A283,'0.Productos'!$A$3:$GG$587,'0.Productos'!BS$1+1,0),"")</f>
        <v/>
      </c>
      <c r="AB283" s="133" t="str">
        <f>IF($A283&lt;&gt;0,VLOOKUP($A283,'0.Productos'!$A$3:$GG$587,'0.Productos'!BT$1+1,0),"")</f>
        <v/>
      </c>
      <c r="AC283" s="133" t="str">
        <f>IF($A283&lt;&gt;0,VLOOKUP($A283,'0.Productos'!$A$3:$GG$587,'0.Productos'!BU$1+1,0),"")</f>
        <v/>
      </c>
      <c r="AD283" s="133" t="str">
        <f>IF($A283&lt;&gt;0,VLOOKUP($A283,'0.Productos'!$A$3:$GG$587,'0.Productos'!BV$1+1,0),"")</f>
        <v/>
      </c>
      <c r="AE283" s="133" t="str">
        <f>IF($A283&lt;&gt;0,VLOOKUP($A283,'0.Productos'!$A$3:$GG$587,'0.Productos'!BW$1+1,0),"")</f>
        <v/>
      </c>
      <c r="AF283" s="133" t="str">
        <f>IF($A283&lt;&gt;0,VLOOKUP($A283,'0.Productos'!$A$3:$GG$587,'0.Productos'!BX$1+1,0),"")</f>
        <v/>
      </c>
      <c r="AG283" s="133" t="str">
        <f>IF($A283&lt;&gt;0,VLOOKUP($A283,'0.Productos'!$A$3:$GG$587,'0.Productos'!BY$1+1,0),"")</f>
        <v/>
      </c>
      <c r="AH283" s="133" t="str">
        <f>IF($A283&lt;&gt;0,VLOOKUP($A283,'0.Productos'!$A$3:$GG$587,'0.Productos'!BZ$1+1,0),"")</f>
        <v/>
      </c>
      <c r="AI283" s="133" t="str">
        <f>IF($A283&lt;&gt;0,VLOOKUP($A283,'0.Productos'!$A$3:$GG$587,'0.Productos'!CA$1+1,0),"")</f>
        <v/>
      </c>
      <c r="AJ283" s="133" t="str">
        <f>IF($A283&lt;&gt;0,VLOOKUP($A283,'0.Productos'!$A$3:$GG$587,'0.Productos'!CB$1+1,0),"")</f>
        <v/>
      </c>
      <c r="AK283" s="133" t="str">
        <f>IF($A283&lt;&gt;0,VLOOKUP($A283,'0.Productos'!$A$3:$GG$587,'0.Productos'!CC$1+1,0),"")</f>
        <v/>
      </c>
      <c r="AL283" s="133" t="str">
        <f>IF($A283&lt;&gt;0,VLOOKUP($A283,'0.Productos'!$A$3:$GG$587,'0.Productos'!CD$1+1,0),"")</f>
        <v/>
      </c>
      <c r="AM283" s="133" t="str">
        <f>IF($A283&lt;&gt;0,VLOOKUP($A283,'0.Productos'!$A$3:$GG$587,'0.Productos'!CE$1+1,0),"")</f>
        <v/>
      </c>
      <c r="AN283" s="133" t="str">
        <f>IF($A283&lt;&gt;0,VLOOKUP($A283,'0.Productos'!$A$3:$GG$587,'0.Productos'!CF$1+1,0),"")</f>
        <v/>
      </c>
      <c r="AO283" s="133" t="str">
        <f>IF($A283&lt;&gt;0,VLOOKUP($A283,'0.Productos'!$A$3:$GG$587,'0.Productos'!CG$1+1,0),"")</f>
        <v/>
      </c>
      <c r="AP283" s="133" t="str">
        <f>IF($A283&lt;&gt;0,VLOOKUP($A283,'0.Productos'!$A$3:$GG$587,'0.Productos'!CH$1+1,0),"")</f>
        <v/>
      </c>
      <c r="AQ283" s="133" t="str">
        <f>IF($A283&lt;&gt;0,VLOOKUP($A283,'0.Productos'!$A$3:$GG$587,'0.Productos'!CI$1+1,0),"")</f>
        <v/>
      </c>
      <c r="AR283" s="133" t="str">
        <f>IF($A283&lt;&gt;0,VLOOKUP($A283,'0.Productos'!$A$3:$GG$587,'0.Productos'!CJ$1+1,0),"")</f>
        <v/>
      </c>
      <c r="AS283" s="133" t="str">
        <f>IF($A283&lt;&gt;0,VLOOKUP($A283,'0.Productos'!$A$3:$GG$587,'0.Productos'!CK$1+1,0),"")</f>
        <v/>
      </c>
      <c r="AT283" s="133" t="str">
        <f>IF($A283&lt;&gt;0,VLOOKUP($A283,'0.Productos'!$A$3:$GG$587,'0.Productos'!CL$1+1,0),"")</f>
        <v/>
      </c>
      <c r="AU283" s="133" t="str">
        <f>IF($A283&lt;&gt;0,VLOOKUP($A283,'0.Productos'!$A$3:$GG$587,'0.Productos'!CM$1+1,0),"")</f>
        <v/>
      </c>
      <c r="AV283" s="133" t="str">
        <f>IF($A283&lt;&gt;0,VLOOKUP($A283,'0.Productos'!$A$3:$GG$587,'0.Productos'!CN$1+1,0),"")</f>
        <v/>
      </c>
      <c r="AW283" s="133" t="str">
        <f>IF($A283&lt;&gt;0,VLOOKUP($A283,'0.Productos'!$A$3:$GG$587,'0.Productos'!CO$1+1,0),"")</f>
        <v/>
      </c>
      <c r="AX283" s="133" t="str">
        <f>IF($A283&lt;&gt;0,VLOOKUP($A283,'0.Productos'!$A$3:$GG$587,'0.Productos'!CP$1+1,0),"")</f>
        <v/>
      </c>
      <c r="AY283" s="133" t="str">
        <f>IF($A283&lt;&gt;0,VLOOKUP($A283,'0.Productos'!$A$3:$GG$587,'0.Productos'!CQ$1+1,0),"")</f>
        <v/>
      </c>
      <c r="AZ283" s="133" t="str">
        <f>IF($A283&lt;&gt;0,VLOOKUP($A283,'0.Productos'!$A$3:$GG$587,'0.Productos'!CR$1+1,0),"")</f>
        <v/>
      </c>
      <c r="BA283" s="133" t="str">
        <f>IF($A283&lt;&gt;0,VLOOKUP($A283,'0.Productos'!$A$3:$GG$587,'0.Productos'!CS$1+1,0),"")</f>
        <v/>
      </c>
      <c r="BB283" s="133" t="str">
        <f>IF($A283&lt;&gt;0,VLOOKUP($A283,'0.Productos'!$A$3:$GG$587,'0.Productos'!CT$1+1,0),"")</f>
        <v/>
      </c>
      <c r="BC283" s="133" t="str">
        <f>IF($A283&lt;&gt;0,VLOOKUP($A283,'0.Productos'!$A$3:$GG$587,'0.Productos'!CU$1+1,0),"")</f>
        <v/>
      </c>
      <c r="BD283" s="133" t="str">
        <f>IF($A283&lt;&gt;0,VLOOKUP($A283,'0.Productos'!$A$3:$GG$587,'0.Productos'!CV$1+1,0),"")</f>
        <v/>
      </c>
      <c r="BE283" s="133" t="str">
        <f>IF($A283&lt;&gt;0,VLOOKUP($A283,'0.Productos'!$A$3:$GG$587,'0.Productos'!CW$1+1,0),"")</f>
        <v/>
      </c>
      <c r="BF283" s="133" t="str">
        <f>IF($A283&lt;&gt;0,VLOOKUP($A283,'0.Productos'!$A$3:$GG$587,'0.Productos'!CX$1+1,0),"")</f>
        <v/>
      </c>
      <c r="BG283" s="133" t="str">
        <f>IF($A283&lt;&gt;0,VLOOKUP($A283,'0.Productos'!$A$3:$GG$587,'0.Productos'!CY$1+1,0),"")</f>
        <v/>
      </c>
      <c r="BH283" s="133" t="str">
        <f>IF($A283&lt;&gt;0,VLOOKUP($A283,'0.Productos'!$A$3:$GG$587,'0.Productos'!CZ$1+1,0),"")</f>
        <v/>
      </c>
      <c r="BI283" s="133" t="str">
        <f>IF($A283&lt;&gt;0,VLOOKUP($A283,'0.Productos'!$A$3:$GG$587,'0.Productos'!DA$1+1,0),"")</f>
        <v/>
      </c>
      <c r="BJ283" s="133" t="str">
        <f>IF($A283&lt;&gt;0,VLOOKUP($A283,'0.Productos'!$A$3:$GG$587,'0.Productos'!DB$1+1,0),"")</f>
        <v/>
      </c>
      <c r="BK283" s="133" t="str">
        <f>IF($A283&lt;&gt;0,VLOOKUP($A283,'0.Productos'!$A$3:$GG$587,'0.Productos'!DC$1+1,0),"")</f>
        <v/>
      </c>
      <c r="BL283" s="133" t="str">
        <f>IF($A283&lt;&gt;0,VLOOKUP($A283,'0.Productos'!$A$3:$GG$587,'0.Productos'!DD$1+1,0),"")</f>
        <v/>
      </c>
      <c r="BM283" s="133" t="str">
        <f>IF($A283&lt;&gt;0,VLOOKUP($A283,'0.Productos'!$A$3:$GG$587,'0.Productos'!DE$1+1,0),"")</f>
        <v/>
      </c>
      <c r="BN283" s="133" t="str">
        <f>IF($A283&lt;&gt;0,VLOOKUP($A283,'0.Productos'!$A$3:$GG$587,'0.Productos'!DF$1+1,0),"")</f>
        <v/>
      </c>
      <c r="BO283" s="133" t="str">
        <f>IF($A283&lt;&gt;0,VLOOKUP($A283,'0.Productos'!$A$3:$GG$587,'0.Productos'!DG$1+1,0),"")</f>
        <v/>
      </c>
      <c r="BP283" s="133" t="str">
        <f>IF($A283&lt;&gt;0,VLOOKUP($A283,'0.Productos'!$A$3:$GG$587,'0.Productos'!DH$1+1,0),"")</f>
        <v/>
      </c>
      <c r="BQ283" s="133" t="str">
        <f>IF($A283&lt;&gt;0,VLOOKUP($A283,'0.Productos'!$A$3:$GG$587,'0.Productos'!DI$1+1,0),"")</f>
        <v/>
      </c>
      <c r="BR283" s="133" t="str">
        <f>IF($A283&lt;&gt;0,VLOOKUP($A283,'0.Productos'!$A$3:$GG$587,'0.Productos'!DJ$1+1,0),"")</f>
        <v/>
      </c>
      <c r="BS283" s="133" t="str">
        <f>IF($A283&lt;&gt;0,VLOOKUP($A283,'0.Productos'!$A$3:$GG$587,'0.Productos'!DK$1+1,0),"")</f>
        <v/>
      </c>
      <c r="BT283" s="133" t="str">
        <f>IF($A283&lt;&gt;0,VLOOKUP($A283,'0.Productos'!$A$3:$GG$587,'0.Productos'!DL$1+1,0),"")</f>
        <v/>
      </c>
    </row>
    <row r="284" spans="1:72" x14ac:dyDescent="0.25">
      <c r="A284" s="17">
        <f>'0.Consolidado general'!A284</f>
        <v>0</v>
      </c>
      <c r="B284" s="133" t="str">
        <f>IF($A284&lt;&gt;0,VLOOKUP($A284,'0.Productos'!$A$3:$GG$587,'0.Productos'!AT$1+1,0),"")</f>
        <v/>
      </c>
      <c r="C284" s="133" t="str">
        <f>IF($A284&lt;&gt;0,VLOOKUP($A284,'0.Productos'!$A$3:$GG$587,'0.Productos'!AU$1+1,0),"")</f>
        <v/>
      </c>
      <c r="D284" s="133" t="str">
        <f>IF($A284&lt;&gt;0,VLOOKUP($A284,'0.Productos'!$A$3:$GG$587,'0.Productos'!AV$1+1,0),"")</f>
        <v/>
      </c>
      <c r="E284" s="133" t="str">
        <f>IF($A284&lt;&gt;0,VLOOKUP($A284,'0.Productos'!$A$3:$GG$587,'0.Productos'!AW$1+1,0),"")</f>
        <v/>
      </c>
      <c r="F284" s="133" t="str">
        <f>IF($A284&lt;&gt;0,VLOOKUP($A284,'0.Productos'!$A$3:$GG$587,'0.Productos'!AX$1+1,0),"")</f>
        <v/>
      </c>
      <c r="G284" s="133" t="str">
        <f>IF($A284&lt;&gt;0,VLOOKUP($A284,'0.Productos'!$A$3:$GG$587,'0.Productos'!AY$1+1,0),"")</f>
        <v/>
      </c>
      <c r="H284" s="133" t="str">
        <f>IF($A284&lt;&gt;0,VLOOKUP($A284,'0.Productos'!$A$3:$GG$587,'0.Productos'!AZ$1+1,0),"")</f>
        <v/>
      </c>
      <c r="I284" s="133" t="str">
        <f>IF($A284&lt;&gt;0,VLOOKUP($A284,'0.Productos'!$A$3:$GG$587,'0.Productos'!BA$1+1,0),"")</f>
        <v/>
      </c>
      <c r="J284" s="133" t="str">
        <f>IF($A284&lt;&gt;0,VLOOKUP($A284,'0.Productos'!$A$3:$GG$587,'0.Productos'!BB$1+1,0),"")</f>
        <v/>
      </c>
      <c r="K284" s="133" t="str">
        <f>IF($A284&lt;&gt;0,VLOOKUP($A284,'0.Productos'!$A$3:$GG$587,'0.Productos'!BC$1+1,0),"")</f>
        <v/>
      </c>
      <c r="L284" s="133" t="str">
        <f>IF($A284&lt;&gt;0,VLOOKUP($A284,'0.Productos'!$A$3:$GG$587,'0.Productos'!BD$1+1,0),"")</f>
        <v/>
      </c>
      <c r="M284" s="133" t="str">
        <f>IF($A284&lt;&gt;0,VLOOKUP($A284,'0.Productos'!$A$3:$GG$587,'0.Productos'!BE$1+1,0),"")</f>
        <v/>
      </c>
      <c r="N284" s="133" t="str">
        <f>IF($A284&lt;&gt;0,VLOOKUP($A284,'0.Productos'!$A$3:$GG$587,'0.Productos'!BF$1+1,0),"")</f>
        <v/>
      </c>
      <c r="O284" s="133" t="str">
        <f>IF($A284&lt;&gt;0,VLOOKUP($A284,'0.Productos'!$A$3:$GG$587,'0.Productos'!BG$1+1,0),"")</f>
        <v/>
      </c>
      <c r="P284" s="133" t="str">
        <f>IF($A284&lt;&gt;0,VLOOKUP($A284,'0.Productos'!$A$3:$GG$587,'0.Productos'!BH$1+1,0),"")</f>
        <v/>
      </c>
      <c r="Q284" s="133" t="str">
        <f>IF($A284&lt;&gt;0,VLOOKUP($A284,'0.Productos'!$A$3:$GG$587,'0.Productos'!BI$1+1,0),"")</f>
        <v/>
      </c>
      <c r="R284" s="133" t="str">
        <f>IF($A284&lt;&gt;0,VLOOKUP($A284,'0.Productos'!$A$3:$GG$587,'0.Productos'!BJ$1+1,0),"")</f>
        <v/>
      </c>
      <c r="S284" s="133" t="str">
        <f>IF($A284&lt;&gt;0,VLOOKUP($A284,'0.Productos'!$A$3:$GG$587,'0.Productos'!BK$1+1,0),"")</f>
        <v/>
      </c>
      <c r="T284" s="133" t="str">
        <f>IF($A284&lt;&gt;0,VLOOKUP($A284,'0.Productos'!$A$3:$GG$587,'0.Productos'!BL$1+1,0),"")</f>
        <v/>
      </c>
      <c r="U284" s="133" t="str">
        <f>IF($A284&lt;&gt;0,VLOOKUP($A284,'0.Productos'!$A$3:$GG$587,'0.Productos'!BM$1+1,0),"")</f>
        <v/>
      </c>
      <c r="V284" s="133" t="str">
        <f>IF($A284&lt;&gt;0,VLOOKUP($A284,'0.Productos'!$A$3:$GG$587,'0.Productos'!BN$1+1,0),"")</f>
        <v/>
      </c>
      <c r="W284" s="133" t="str">
        <f>IF($A284&lt;&gt;0,VLOOKUP($A284,'0.Productos'!$A$3:$GG$587,'0.Productos'!BO$1+1,0),"")</f>
        <v/>
      </c>
      <c r="X284" s="133" t="str">
        <f>IF($A284&lt;&gt;0,VLOOKUP($A284,'0.Productos'!$A$3:$GG$587,'0.Productos'!BP$1+1,0),"")</f>
        <v/>
      </c>
      <c r="Y284" s="133" t="str">
        <f>IF($A284&lt;&gt;0,VLOOKUP($A284,'0.Productos'!$A$3:$GG$587,'0.Productos'!BQ$1+1,0),"")</f>
        <v/>
      </c>
      <c r="Z284" s="133" t="str">
        <f>IF($A284&lt;&gt;0,VLOOKUP($A284,'0.Productos'!$A$3:$GG$587,'0.Productos'!BR$1+1,0),"")</f>
        <v/>
      </c>
      <c r="AA284" s="133" t="str">
        <f>IF($A284&lt;&gt;0,VLOOKUP($A284,'0.Productos'!$A$3:$GG$587,'0.Productos'!BS$1+1,0),"")</f>
        <v/>
      </c>
      <c r="AB284" s="133" t="str">
        <f>IF($A284&lt;&gt;0,VLOOKUP($A284,'0.Productos'!$A$3:$GG$587,'0.Productos'!BT$1+1,0),"")</f>
        <v/>
      </c>
      <c r="AC284" s="133" t="str">
        <f>IF($A284&lt;&gt;0,VLOOKUP($A284,'0.Productos'!$A$3:$GG$587,'0.Productos'!BU$1+1,0),"")</f>
        <v/>
      </c>
      <c r="AD284" s="133" t="str">
        <f>IF($A284&lt;&gt;0,VLOOKUP($A284,'0.Productos'!$A$3:$GG$587,'0.Productos'!BV$1+1,0),"")</f>
        <v/>
      </c>
      <c r="AE284" s="133" t="str">
        <f>IF($A284&lt;&gt;0,VLOOKUP($A284,'0.Productos'!$A$3:$GG$587,'0.Productos'!BW$1+1,0),"")</f>
        <v/>
      </c>
      <c r="AF284" s="133" t="str">
        <f>IF($A284&lt;&gt;0,VLOOKUP($A284,'0.Productos'!$A$3:$GG$587,'0.Productos'!BX$1+1,0),"")</f>
        <v/>
      </c>
      <c r="AG284" s="133" t="str">
        <f>IF($A284&lt;&gt;0,VLOOKUP($A284,'0.Productos'!$A$3:$GG$587,'0.Productos'!BY$1+1,0),"")</f>
        <v/>
      </c>
      <c r="AH284" s="133" t="str">
        <f>IF($A284&lt;&gt;0,VLOOKUP($A284,'0.Productos'!$A$3:$GG$587,'0.Productos'!BZ$1+1,0),"")</f>
        <v/>
      </c>
      <c r="AI284" s="133" t="str">
        <f>IF($A284&lt;&gt;0,VLOOKUP($A284,'0.Productos'!$A$3:$GG$587,'0.Productos'!CA$1+1,0),"")</f>
        <v/>
      </c>
      <c r="AJ284" s="133" t="str">
        <f>IF($A284&lt;&gt;0,VLOOKUP($A284,'0.Productos'!$A$3:$GG$587,'0.Productos'!CB$1+1,0),"")</f>
        <v/>
      </c>
      <c r="AK284" s="133" t="str">
        <f>IF($A284&lt;&gt;0,VLOOKUP($A284,'0.Productos'!$A$3:$GG$587,'0.Productos'!CC$1+1,0),"")</f>
        <v/>
      </c>
      <c r="AL284" s="133" t="str">
        <f>IF($A284&lt;&gt;0,VLOOKUP($A284,'0.Productos'!$A$3:$GG$587,'0.Productos'!CD$1+1,0),"")</f>
        <v/>
      </c>
      <c r="AM284" s="133" t="str">
        <f>IF($A284&lt;&gt;0,VLOOKUP($A284,'0.Productos'!$A$3:$GG$587,'0.Productos'!CE$1+1,0),"")</f>
        <v/>
      </c>
      <c r="AN284" s="133" t="str">
        <f>IF($A284&lt;&gt;0,VLOOKUP($A284,'0.Productos'!$A$3:$GG$587,'0.Productos'!CF$1+1,0),"")</f>
        <v/>
      </c>
      <c r="AO284" s="133" t="str">
        <f>IF($A284&lt;&gt;0,VLOOKUP($A284,'0.Productos'!$A$3:$GG$587,'0.Productos'!CG$1+1,0),"")</f>
        <v/>
      </c>
      <c r="AP284" s="133" t="str">
        <f>IF($A284&lt;&gt;0,VLOOKUP($A284,'0.Productos'!$A$3:$GG$587,'0.Productos'!CH$1+1,0),"")</f>
        <v/>
      </c>
      <c r="AQ284" s="133" t="str">
        <f>IF($A284&lt;&gt;0,VLOOKUP($A284,'0.Productos'!$A$3:$GG$587,'0.Productos'!CI$1+1,0),"")</f>
        <v/>
      </c>
      <c r="AR284" s="133" t="str">
        <f>IF($A284&lt;&gt;0,VLOOKUP($A284,'0.Productos'!$A$3:$GG$587,'0.Productos'!CJ$1+1,0),"")</f>
        <v/>
      </c>
      <c r="AS284" s="133" t="str">
        <f>IF($A284&lt;&gt;0,VLOOKUP($A284,'0.Productos'!$A$3:$GG$587,'0.Productos'!CK$1+1,0),"")</f>
        <v/>
      </c>
      <c r="AT284" s="133" t="str">
        <f>IF($A284&lt;&gt;0,VLOOKUP($A284,'0.Productos'!$A$3:$GG$587,'0.Productos'!CL$1+1,0),"")</f>
        <v/>
      </c>
      <c r="AU284" s="133" t="str">
        <f>IF($A284&lt;&gt;0,VLOOKUP($A284,'0.Productos'!$A$3:$GG$587,'0.Productos'!CM$1+1,0),"")</f>
        <v/>
      </c>
      <c r="AV284" s="133" t="str">
        <f>IF($A284&lt;&gt;0,VLOOKUP($A284,'0.Productos'!$A$3:$GG$587,'0.Productos'!CN$1+1,0),"")</f>
        <v/>
      </c>
      <c r="AW284" s="133" t="str">
        <f>IF($A284&lt;&gt;0,VLOOKUP($A284,'0.Productos'!$A$3:$GG$587,'0.Productos'!CO$1+1,0),"")</f>
        <v/>
      </c>
      <c r="AX284" s="133" t="str">
        <f>IF($A284&lt;&gt;0,VLOOKUP($A284,'0.Productos'!$A$3:$GG$587,'0.Productos'!CP$1+1,0),"")</f>
        <v/>
      </c>
      <c r="AY284" s="133" t="str">
        <f>IF($A284&lt;&gt;0,VLOOKUP($A284,'0.Productos'!$A$3:$GG$587,'0.Productos'!CQ$1+1,0),"")</f>
        <v/>
      </c>
      <c r="AZ284" s="133" t="str">
        <f>IF($A284&lt;&gt;0,VLOOKUP($A284,'0.Productos'!$A$3:$GG$587,'0.Productos'!CR$1+1,0),"")</f>
        <v/>
      </c>
      <c r="BA284" s="133" t="str">
        <f>IF($A284&lt;&gt;0,VLOOKUP($A284,'0.Productos'!$A$3:$GG$587,'0.Productos'!CS$1+1,0),"")</f>
        <v/>
      </c>
      <c r="BB284" s="133" t="str">
        <f>IF($A284&lt;&gt;0,VLOOKUP($A284,'0.Productos'!$A$3:$GG$587,'0.Productos'!CT$1+1,0),"")</f>
        <v/>
      </c>
      <c r="BC284" s="133" t="str">
        <f>IF($A284&lt;&gt;0,VLOOKUP($A284,'0.Productos'!$A$3:$GG$587,'0.Productos'!CU$1+1,0),"")</f>
        <v/>
      </c>
      <c r="BD284" s="133" t="str">
        <f>IF($A284&lt;&gt;0,VLOOKUP($A284,'0.Productos'!$A$3:$GG$587,'0.Productos'!CV$1+1,0),"")</f>
        <v/>
      </c>
      <c r="BE284" s="133" t="str">
        <f>IF($A284&lt;&gt;0,VLOOKUP($A284,'0.Productos'!$A$3:$GG$587,'0.Productos'!CW$1+1,0),"")</f>
        <v/>
      </c>
      <c r="BF284" s="133" t="str">
        <f>IF($A284&lt;&gt;0,VLOOKUP($A284,'0.Productos'!$A$3:$GG$587,'0.Productos'!CX$1+1,0),"")</f>
        <v/>
      </c>
      <c r="BG284" s="133" t="str">
        <f>IF($A284&lt;&gt;0,VLOOKUP($A284,'0.Productos'!$A$3:$GG$587,'0.Productos'!CY$1+1,0),"")</f>
        <v/>
      </c>
      <c r="BH284" s="133" t="str">
        <f>IF($A284&lt;&gt;0,VLOOKUP($A284,'0.Productos'!$A$3:$GG$587,'0.Productos'!CZ$1+1,0),"")</f>
        <v/>
      </c>
      <c r="BI284" s="133" t="str">
        <f>IF($A284&lt;&gt;0,VLOOKUP($A284,'0.Productos'!$A$3:$GG$587,'0.Productos'!DA$1+1,0),"")</f>
        <v/>
      </c>
      <c r="BJ284" s="133" t="str">
        <f>IF($A284&lt;&gt;0,VLOOKUP($A284,'0.Productos'!$A$3:$GG$587,'0.Productos'!DB$1+1,0),"")</f>
        <v/>
      </c>
      <c r="BK284" s="133" t="str">
        <f>IF($A284&lt;&gt;0,VLOOKUP($A284,'0.Productos'!$A$3:$GG$587,'0.Productos'!DC$1+1,0),"")</f>
        <v/>
      </c>
      <c r="BL284" s="133" t="str">
        <f>IF($A284&lt;&gt;0,VLOOKUP($A284,'0.Productos'!$A$3:$GG$587,'0.Productos'!DD$1+1,0),"")</f>
        <v/>
      </c>
      <c r="BM284" s="133" t="str">
        <f>IF($A284&lt;&gt;0,VLOOKUP($A284,'0.Productos'!$A$3:$GG$587,'0.Productos'!DE$1+1,0),"")</f>
        <v/>
      </c>
      <c r="BN284" s="133" t="str">
        <f>IF($A284&lt;&gt;0,VLOOKUP($A284,'0.Productos'!$A$3:$GG$587,'0.Productos'!DF$1+1,0),"")</f>
        <v/>
      </c>
      <c r="BO284" s="133" t="str">
        <f>IF($A284&lt;&gt;0,VLOOKUP($A284,'0.Productos'!$A$3:$GG$587,'0.Productos'!DG$1+1,0),"")</f>
        <v/>
      </c>
      <c r="BP284" s="133" t="str">
        <f>IF($A284&lt;&gt;0,VLOOKUP($A284,'0.Productos'!$A$3:$GG$587,'0.Productos'!DH$1+1,0),"")</f>
        <v/>
      </c>
      <c r="BQ284" s="133" t="str">
        <f>IF($A284&lt;&gt;0,VLOOKUP($A284,'0.Productos'!$A$3:$GG$587,'0.Productos'!DI$1+1,0),"")</f>
        <v/>
      </c>
      <c r="BR284" s="133" t="str">
        <f>IF($A284&lt;&gt;0,VLOOKUP($A284,'0.Productos'!$A$3:$GG$587,'0.Productos'!DJ$1+1,0),"")</f>
        <v/>
      </c>
      <c r="BS284" s="133" t="str">
        <f>IF($A284&lt;&gt;0,VLOOKUP($A284,'0.Productos'!$A$3:$GG$587,'0.Productos'!DK$1+1,0),"")</f>
        <v/>
      </c>
      <c r="BT284" s="133" t="str">
        <f>IF($A284&lt;&gt;0,VLOOKUP($A284,'0.Productos'!$A$3:$GG$587,'0.Productos'!DL$1+1,0),"")</f>
        <v/>
      </c>
    </row>
    <row r="285" spans="1:72" x14ac:dyDescent="0.25">
      <c r="A285" s="17">
        <f>'0.Consolidado general'!A285</f>
        <v>0</v>
      </c>
      <c r="B285" s="133" t="str">
        <f>IF($A285&lt;&gt;0,VLOOKUP($A285,'0.Productos'!$A$3:$GG$587,'0.Productos'!AT$1+1,0),"")</f>
        <v/>
      </c>
      <c r="C285" s="133" t="str">
        <f>IF($A285&lt;&gt;0,VLOOKUP($A285,'0.Productos'!$A$3:$GG$587,'0.Productos'!AU$1+1,0),"")</f>
        <v/>
      </c>
      <c r="D285" s="133" t="str">
        <f>IF($A285&lt;&gt;0,VLOOKUP($A285,'0.Productos'!$A$3:$GG$587,'0.Productos'!AV$1+1,0),"")</f>
        <v/>
      </c>
      <c r="E285" s="133" t="str">
        <f>IF($A285&lt;&gt;0,VLOOKUP($A285,'0.Productos'!$A$3:$GG$587,'0.Productos'!AW$1+1,0),"")</f>
        <v/>
      </c>
      <c r="F285" s="133" t="str">
        <f>IF($A285&lt;&gt;0,VLOOKUP($A285,'0.Productos'!$A$3:$GG$587,'0.Productos'!AX$1+1,0),"")</f>
        <v/>
      </c>
      <c r="G285" s="133" t="str">
        <f>IF($A285&lt;&gt;0,VLOOKUP($A285,'0.Productos'!$A$3:$GG$587,'0.Productos'!AY$1+1,0),"")</f>
        <v/>
      </c>
      <c r="H285" s="133" t="str">
        <f>IF($A285&lt;&gt;0,VLOOKUP($A285,'0.Productos'!$A$3:$GG$587,'0.Productos'!AZ$1+1,0),"")</f>
        <v/>
      </c>
      <c r="I285" s="133" t="str">
        <f>IF($A285&lt;&gt;0,VLOOKUP($A285,'0.Productos'!$A$3:$GG$587,'0.Productos'!BA$1+1,0),"")</f>
        <v/>
      </c>
      <c r="J285" s="133" t="str">
        <f>IF($A285&lt;&gt;0,VLOOKUP($A285,'0.Productos'!$A$3:$GG$587,'0.Productos'!BB$1+1,0),"")</f>
        <v/>
      </c>
      <c r="K285" s="133" t="str">
        <f>IF($A285&lt;&gt;0,VLOOKUP($A285,'0.Productos'!$A$3:$GG$587,'0.Productos'!BC$1+1,0),"")</f>
        <v/>
      </c>
      <c r="L285" s="133" t="str">
        <f>IF($A285&lt;&gt;0,VLOOKUP($A285,'0.Productos'!$A$3:$GG$587,'0.Productos'!BD$1+1,0),"")</f>
        <v/>
      </c>
      <c r="M285" s="133" t="str">
        <f>IF($A285&lt;&gt;0,VLOOKUP($A285,'0.Productos'!$A$3:$GG$587,'0.Productos'!BE$1+1,0),"")</f>
        <v/>
      </c>
      <c r="N285" s="133" t="str">
        <f>IF($A285&lt;&gt;0,VLOOKUP($A285,'0.Productos'!$A$3:$GG$587,'0.Productos'!BF$1+1,0),"")</f>
        <v/>
      </c>
      <c r="O285" s="133" t="str">
        <f>IF($A285&lt;&gt;0,VLOOKUP($A285,'0.Productos'!$A$3:$GG$587,'0.Productos'!BG$1+1,0),"")</f>
        <v/>
      </c>
      <c r="P285" s="133" t="str">
        <f>IF($A285&lt;&gt;0,VLOOKUP($A285,'0.Productos'!$A$3:$GG$587,'0.Productos'!BH$1+1,0),"")</f>
        <v/>
      </c>
      <c r="Q285" s="133" t="str">
        <f>IF($A285&lt;&gt;0,VLOOKUP($A285,'0.Productos'!$A$3:$GG$587,'0.Productos'!BI$1+1,0),"")</f>
        <v/>
      </c>
      <c r="R285" s="133" t="str">
        <f>IF($A285&lt;&gt;0,VLOOKUP($A285,'0.Productos'!$A$3:$GG$587,'0.Productos'!BJ$1+1,0),"")</f>
        <v/>
      </c>
      <c r="S285" s="133" t="str">
        <f>IF($A285&lt;&gt;0,VLOOKUP($A285,'0.Productos'!$A$3:$GG$587,'0.Productos'!BK$1+1,0),"")</f>
        <v/>
      </c>
      <c r="T285" s="133" t="str">
        <f>IF($A285&lt;&gt;0,VLOOKUP($A285,'0.Productos'!$A$3:$GG$587,'0.Productos'!BL$1+1,0),"")</f>
        <v/>
      </c>
      <c r="U285" s="133" t="str">
        <f>IF($A285&lt;&gt;0,VLOOKUP($A285,'0.Productos'!$A$3:$GG$587,'0.Productos'!BM$1+1,0),"")</f>
        <v/>
      </c>
      <c r="V285" s="133" t="str">
        <f>IF($A285&lt;&gt;0,VLOOKUP($A285,'0.Productos'!$A$3:$GG$587,'0.Productos'!BN$1+1,0),"")</f>
        <v/>
      </c>
      <c r="W285" s="133" t="str">
        <f>IF($A285&lt;&gt;0,VLOOKUP($A285,'0.Productos'!$A$3:$GG$587,'0.Productos'!BO$1+1,0),"")</f>
        <v/>
      </c>
      <c r="X285" s="133" t="str">
        <f>IF($A285&lt;&gt;0,VLOOKUP($A285,'0.Productos'!$A$3:$GG$587,'0.Productos'!BP$1+1,0),"")</f>
        <v/>
      </c>
      <c r="Y285" s="133" t="str">
        <f>IF($A285&lt;&gt;0,VLOOKUP($A285,'0.Productos'!$A$3:$GG$587,'0.Productos'!BQ$1+1,0),"")</f>
        <v/>
      </c>
      <c r="Z285" s="133" t="str">
        <f>IF($A285&lt;&gt;0,VLOOKUP($A285,'0.Productos'!$A$3:$GG$587,'0.Productos'!BR$1+1,0),"")</f>
        <v/>
      </c>
      <c r="AA285" s="133" t="str">
        <f>IF($A285&lt;&gt;0,VLOOKUP($A285,'0.Productos'!$A$3:$GG$587,'0.Productos'!BS$1+1,0),"")</f>
        <v/>
      </c>
      <c r="AB285" s="133" t="str">
        <f>IF($A285&lt;&gt;0,VLOOKUP($A285,'0.Productos'!$A$3:$GG$587,'0.Productos'!BT$1+1,0),"")</f>
        <v/>
      </c>
      <c r="AC285" s="133" t="str">
        <f>IF($A285&lt;&gt;0,VLOOKUP($A285,'0.Productos'!$A$3:$GG$587,'0.Productos'!BU$1+1,0),"")</f>
        <v/>
      </c>
      <c r="AD285" s="133" t="str">
        <f>IF($A285&lt;&gt;0,VLOOKUP($A285,'0.Productos'!$A$3:$GG$587,'0.Productos'!BV$1+1,0),"")</f>
        <v/>
      </c>
      <c r="AE285" s="133" t="str">
        <f>IF($A285&lt;&gt;0,VLOOKUP($A285,'0.Productos'!$A$3:$GG$587,'0.Productos'!BW$1+1,0),"")</f>
        <v/>
      </c>
      <c r="AF285" s="133" t="str">
        <f>IF($A285&lt;&gt;0,VLOOKUP($A285,'0.Productos'!$A$3:$GG$587,'0.Productos'!BX$1+1,0),"")</f>
        <v/>
      </c>
      <c r="AG285" s="133" t="str">
        <f>IF($A285&lt;&gt;0,VLOOKUP($A285,'0.Productos'!$A$3:$GG$587,'0.Productos'!BY$1+1,0),"")</f>
        <v/>
      </c>
      <c r="AH285" s="133" t="str">
        <f>IF($A285&lt;&gt;0,VLOOKUP($A285,'0.Productos'!$A$3:$GG$587,'0.Productos'!BZ$1+1,0),"")</f>
        <v/>
      </c>
      <c r="AI285" s="133" t="str">
        <f>IF($A285&lt;&gt;0,VLOOKUP($A285,'0.Productos'!$A$3:$GG$587,'0.Productos'!CA$1+1,0),"")</f>
        <v/>
      </c>
      <c r="AJ285" s="133" t="str">
        <f>IF($A285&lt;&gt;0,VLOOKUP($A285,'0.Productos'!$A$3:$GG$587,'0.Productos'!CB$1+1,0),"")</f>
        <v/>
      </c>
      <c r="AK285" s="133" t="str">
        <f>IF($A285&lt;&gt;0,VLOOKUP($A285,'0.Productos'!$A$3:$GG$587,'0.Productos'!CC$1+1,0),"")</f>
        <v/>
      </c>
      <c r="AL285" s="133" t="str">
        <f>IF($A285&lt;&gt;0,VLOOKUP($A285,'0.Productos'!$A$3:$GG$587,'0.Productos'!CD$1+1,0),"")</f>
        <v/>
      </c>
      <c r="AM285" s="133" t="str">
        <f>IF($A285&lt;&gt;0,VLOOKUP($A285,'0.Productos'!$A$3:$GG$587,'0.Productos'!CE$1+1,0),"")</f>
        <v/>
      </c>
      <c r="AN285" s="133" t="str">
        <f>IF($A285&lt;&gt;0,VLOOKUP($A285,'0.Productos'!$A$3:$GG$587,'0.Productos'!CF$1+1,0),"")</f>
        <v/>
      </c>
      <c r="AO285" s="133" t="str">
        <f>IF($A285&lt;&gt;0,VLOOKUP($A285,'0.Productos'!$A$3:$GG$587,'0.Productos'!CG$1+1,0),"")</f>
        <v/>
      </c>
      <c r="AP285" s="133" t="str">
        <f>IF($A285&lt;&gt;0,VLOOKUP($A285,'0.Productos'!$A$3:$GG$587,'0.Productos'!CH$1+1,0),"")</f>
        <v/>
      </c>
      <c r="AQ285" s="133" t="str">
        <f>IF($A285&lt;&gt;0,VLOOKUP($A285,'0.Productos'!$A$3:$GG$587,'0.Productos'!CI$1+1,0),"")</f>
        <v/>
      </c>
      <c r="AR285" s="133" t="str">
        <f>IF($A285&lt;&gt;0,VLOOKUP($A285,'0.Productos'!$A$3:$GG$587,'0.Productos'!CJ$1+1,0),"")</f>
        <v/>
      </c>
      <c r="AS285" s="133" t="str">
        <f>IF($A285&lt;&gt;0,VLOOKUP($A285,'0.Productos'!$A$3:$GG$587,'0.Productos'!CK$1+1,0),"")</f>
        <v/>
      </c>
      <c r="AT285" s="133" t="str">
        <f>IF($A285&lt;&gt;0,VLOOKUP($A285,'0.Productos'!$A$3:$GG$587,'0.Productos'!CL$1+1,0),"")</f>
        <v/>
      </c>
      <c r="AU285" s="133" t="str">
        <f>IF($A285&lt;&gt;0,VLOOKUP($A285,'0.Productos'!$A$3:$GG$587,'0.Productos'!CM$1+1,0),"")</f>
        <v/>
      </c>
      <c r="AV285" s="133" t="str">
        <f>IF($A285&lt;&gt;0,VLOOKUP($A285,'0.Productos'!$A$3:$GG$587,'0.Productos'!CN$1+1,0),"")</f>
        <v/>
      </c>
      <c r="AW285" s="133" t="str">
        <f>IF($A285&lt;&gt;0,VLOOKUP($A285,'0.Productos'!$A$3:$GG$587,'0.Productos'!CO$1+1,0),"")</f>
        <v/>
      </c>
      <c r="AX285" s="133" t="str">
        <f>IF($A285&lt;&gt;0,VLOOKUP($A285,'0.Productos'!$A$3:$GG$587,'0.Productos'!CP$1+1,0),"")</f>
        <v/>
      </c>
      <c r="AY285" s="133" t="str">
        <f>IF($A285&lt;&gt;0,VLOOKUP($A285,'0.Productos'!$A$3:$GG$587,'0.Productos'!CQ$1+1,0),"")</f>
        <v/>
      </c>
      <c r="AZ285" s="133" t="str">
        <f>IF($A285&lt;&gt;0,VLOOKUP($A285,'0.Productos'!$A$3:$GG$587,'0.Productos'!CR$1+1,0),"")</f>
        <v/>
      </c>
      <c r="BA285" s="133" t="str">
        <f>IF($A285&lt;&gt;0,VLOOKUP($A285,'0.Productos'!$A$3:$GG$587,'0.Productos'!CS$1+1,0),"")</f>
        <v/>
      </c>
      <c r="BB285" s="133" t="str">
        <f>IF($A285&lt;&gt;0,VLOOKUP($A285,'0.Productos'!$A$3:$GG$587,'0.Productos'!CT$1+1,0),"")</f>
        <v/>
      </c>
      <c r="BC285" s="133" t="str">
        <f>IF($A285&lt;&gt;0,VLOOKUP($A285,'0.Productos'!$A$3:$GG$587,'0.Productos'!CU$1+1,0),"")</f>
        <v/>
      </c>
      <c r="BD285" s="133" t="str">
        <f>IF($A285&lt;&gt;0,VLOOKUP($A285,'0.Productos'!$A$3:$GG$587,'0.Productos'!CV$1+1,0),"")</f>
        <v/>
      </c>
      <c r="BE285" s="133" t="str">
        <f>IF($A285&lt;&gt;0,VLOOKUP($A285,'0.Productos'!$A$3:$GG$587,'0.Productos'!CW$1+1,0),"")</f>
        <v/>
      </c>
      <c r="BF285" s="133" t="str">
        <f>IF($A285&lt;&gt;0,VLOOKUP($A285,'0.Productos'!$A$3:$GG$587,'0.Productos'!CX$1+1,0),"")</f>
        <v/>
      </c>
      <c r="BG285" s="133" t="str">
        <f>IF($A285&lt;&gt;0,VLOOKUP($A285,'0.Productos'!$A$3:$GG$587,'0.Productos'!CY$1+1,0),"")</f>
        <v/>
      </c>
      <c r="BH285" s="133" t="str">
        <f>IF($A285&lt;&gt;0,VLOOKUP($A285,'0.Productos'!$A$3:$GG$587,'0.Productos'!CZ$1+1,0),"")</f>
        <v/>
      </c>
      <c r="BI285" s="133" t="str">
        <f>IF($A285&lt;&gt;0,VLOOKUP($A285,'0.Productos'!$A$3:$GG$587,'0.Productos'!DA$1+1,0),"")</f>
        <v/>
      </c>
      <c r="BJ285" s="133" t="str">
        <f>IF($A285&lt;&gt;0,VLOOKUP($A285,'0.Productos'!$A$3:$GG$587,'0.Productos'!DB$1+1,0),"")</f>
        <v/>
      </c>
      <c r="BK285" s="133" t="str">
        <f>IF($A285&lt;&gt;0,VLOOKUP($A285,'0.Productos'!$A$3:$GG$587,'0.Productos'!DC$1+1,0),"")</f>
        <v/>
      </c>
      <c r="BL285" s="133" t="str">
        <f>IF($A285&lt;&gt;0,VLOOKUP($A285,'0.Productos'!$A$3:$GG$587,'0.Productos'!DD$1+1,0),"")</f>
        <v/>
      </c>
      <c r="BM285" s="133" t="str">
        <f>IF($A285&lt;&gt;0,VLOOKUP($A285,'0.Productos'!$A$3:$GG$587,'0.Productos'!DE$1+1,0),"")</f>
        <v/>
      </c>
      <c r="BN285" s="133" t="str">
        <f>IF($A285&lt;&gt;0,VLOOKUP($A285,'0.Productos'!$A$3:$GG$587,'0.Productos'!DF$1+1,0),"")</f>
        <v/>
      </c>
      <c r="BO285" s="133" t="str">
        <f>IF($A285&lt;&gt;0,VLOOKUP($A285,'0.Productos'!$A$3:$GG$587,'0.Productos'!DG$1+1,0),"")</f>
        <v/>
      </c>
      <c r="BP285" s="133" t="str">
        <f>IF($A285&lt;&gt;0,VLOOKUP($A285,'0.Productos'!$A$3:$GG$587,'0.Productos'!DH$1+1,0),"")</f>
        <v/>
      </c>
      <c r="BQ285" s="133" t="str">
        <f>IF($A285&lt;&gt;0,VLOOKUP($A285,'0.Productos'!$A$3:$GG$587,'0.Productos'!DI$1+1,0),"")</f>
        <v/>
      </c>
      <c r="BR285" s="133" t="str">
        <f>IF($A285&lt;&gt;0,VLOOKUP($A285,'0.Productos'!$A$3:$GG$587,'0.Productos'!DJ$1+1,0),"")</f>
        <v/>
      </c>
      <c r="BS285" s="133" t="str">
        <f>IF($A285&lt;&gt;0,VLOOKUP($A285,'0.Productos'!$A$3:$GG$587,'0.Productos'!DK$1+1,0),"")</f>
        <v/>
      </c>
      <c r="BT285" s="133" t="str">
        <f>IF($A285&lt;&gt;0,VLOOKUP($A285,'0.Productos'!$A$3:$GG$587,'0.Productos'!DL$1+1,0),"")</f>
        <v/>
      </c>
    </row>
    <row r="286" spans="1:72" x14ac:dyDescent="0.25">
      <c r="A286" s="17">
        <f>'0.Consolidado general'!A286</f>
        <v>0</v>
      </c>
      <c r="B286" s="133" t="str">
        <f>IF($A286&lt;&gt;0,VLOOKUP($A286,'0.Productos'!$A$3:$GG$587,'0.Productos'!AT$1+1,0),"")</f>
        <v/>
      </c>
      <c r="C286" s="133" t="str">
        <f>IF($A286&lt;&gt;0,VLOOKUP($A286,'0.Productos'!$A$3:$GG$587,'0.Productos'!AU$1+1,0),"")</f>
        <v/>
      </c>
      <c r="D286" s="133" t="str">
        <f>IF($A286&lt;&gt;0,VLOOKUP($A286,'0.Productos'!$A$3:$GG$587,'0.Productos'!AV$1+1,0),"")</f>
        <v/>
      </c>
      <c r="E286" s="133" t="str">
        <f>IF($A286&lt;&gt;0,VLOOKUP($A286,'0.Productos'!$A$3:$GG$587,'0.Productos'!AW$1+1,0),"")</f>
        <v/>
      </c>
      <c r="F286" s="133" t="str">
        <f>IF($A286&lt;&gt;0,VLOOKUP($A286,'0.Productos'!$A$3:$GG$587,'0.Productos'!AX$1+1,0),"")</f>
        <v/>
      </c>
      <c r="G286" s="133" t="str">
        <f>IF($A286&lt;&gt;0,VLOOKUP($A286,'0.Productos'!$A$3:$GG$587,'0.Productos'!AY$1+1,0),"")</f>
        <v/>
      </c>
      <c r="H286" s="133" t="str">
        <f>IF($A286&lt;&gt;0,VLOOKUP($A286,'0.Productos'!$A$3:$GG$587,'0.Productos'!AZ$1+1,0),"")</f>
        <v/>
      </c>
      <c r="I286" s="133" t="str">
        <f>IF($A286&lt;&gt;0,VLOOKUP($A286,'0.Productos'!$A$3:$GG$587,'0.Productos'!BA$1+1,0),"")</f>
        <v/>
      </c>
      <c r="J286" s="133" t="str">
        <f>IF($A286&lt;&gt;0,VLOOKUP($A286,'0.Productos'!$A$3:$GG$587,'0.Productos'!BB$1+1,0),"")</f>
        <v/>
      </c>
      <c r="K286" s="133" t="str">
        <f>IF($A286&lt;&gt;0,VLOOKUP($A286,'0.Productos'!$A$3:$GG$587,'0.Productos'!BC$1+1,0),"")</f>
        <v/>
      </c>
      <c r="L286" s="133" t="str">
        <f>IF($A286&lt;&gt;0,VLOOKUP($A286,'0.Productos'!$A$3:$GG$587,'0.Productos'!BD$1+1,0),"")</f>
        <v/>
      </c>
      <c r="M286" s="133" t="str">
        <f>IF($A286&lt;&gt;0,VLOOKUP($A286,'0.Productos'!$A$3:$GG$587,'0.Productos'!BE$1+1,0),"")</f>
        <v/>
      </c>
      <c r="N286" s="133" t="str">
        <f>IF($A286&lt;&gt;0,VLOOKUP($A286,'0.Productos'!$A$3:$GG$587,'0.Productos'!BF$1+1,0),"")</f>
        <v/>
      </c>
      <c r="O286" s="133" t="str">
        <f>IF($A286&lt;&gt;0,VLOOKUP($A286,'0.Productos'!$A$3:$GG$587,'0.Productos'!BG$1+1,0),"")</f>
        <v/>
      </c>
      <c r="P286" s="133" t="str">
        <f>IF($A286&lt;&gt;0,VLOOKUP($A286,'0.Productos'!$A$3:$GG$587,'0.Productos'!BH$1+1,0),"")</f>
        <v/>
      </c>
      <c r="Q286" s="133" t="str">
        <f>IF($A286&lt;&gt;0,VLOOKUP($A286,'0.Productos'!$A$3:$GG$587,'0.Productos'!BI$1+1,0),"")</f>
        <v/>
      </c>
      <c r="R286" s="133" t="str">
        <f>IF($A286&lt;&gt;0,VLOOKUP($A286,'0.Productos'!$A$3:$GG$587,'0.Productos'!BJ$1+1,0),"")</f>
        <v/>
      </c>
      <c r="S286" s="133" t="str">
        <f>IF($A286&lt;&gt;0,VLOOKUP($A286,'0.Productos'!$A$3:$GG$587,'0.Productos'!BK$1+1,0),"")</f>
        <v/>
      </c>
      <c r="T286" s="133" t="str">
        <f>IF($A286&lt;&gt;0,VLOOKUP($A286,'0.Productos'!$A$3:$GG$587,'0.Productos'!BL$1+1,0),"")</f>
        <v/>
      </c>
      <c r="U286" s="133" t="str">
        <f>IF($A286&lt;&gt;0,VLOOKUP($A286,'0.Productos'!$A$3:$GG$587,'0.Productos'!BM$1+1,0),"")</f>
        <v/>
      </c>
      <c r="V286" s="133" t="str">
        <f>IF($A286&lt;&gt;0,VLOOKUP($A286,'0.Productos'!$A$3:$GG$587,'0.Productos'!BN$1+1,0),"")</f>
        <v/>
      </c>
      <c r="W286" s="133" t="str">
        <f>IF($A286&lt;&gt;0,VLOOKUP($A286,'0.Productos'!$A$3:$GG$587,'0.Productos'!BO$1+1,0),"")</f>
        <v/>
      </c>
      <c r="X286" s="133" t="str">
        <f>IF($A286&lt;&gt;0,VLOOKUP($A286,'0.Productos'!$A$3:$GG$587,'0.Productos'!BP$1+1,0),"")</f>
        <v/>
      </c>
      <c r="Y286" s="133" t="str">
        <f>IF($A286&lt;&gt;0,VLOOKUP($A286,'0.Productos'!$A$3:$GG$587,'0.Productos'!BQ$1+1,0),"")</f>
        <v/>
      </c>
      <c r="Z286" s="133" t="str">
        <f>IF($A286&lt;&gt;0,VLOOKUP($A286,'0.Productos'!$A$3:$GG$587,'0.Productos'!BR$1+1,0),"")</f>
        <v/>
      </c>
      <c r="AA286" s="133" t="str">
        <f>IF($A286&lt;&gt;0,VLOOKUP($A286,'0.Productos'!$A$3:$GG$587,'0.Productos'!BS$1+1,0),"")</f>
        <v/>
      </c>
      <c r="AB286" s="133" t="str">
        <f>IF($A286&lt;&gt;0,VLOOKUP($A286,'0.Productos'!$A$3:$GG$587,'0.Productos'!BT$1+1,0),"")</f>
        <v/>
      </c>
      <c r="AC286" s="133" t="str">
        <f>IF($A286&lt;&gt;0,VLOOKUP($A286,'0.Productos'!$A$3:$GG$587,'0.Productos'!BU$1+1,0),"")</f>
        <v/>
      </c>
      <c r="AD286" s="133" t="str">
        <f>IF($A286&lt;&gt;0,VLOOKUP($A286,'0.Productos'!$A$3:$GG$587,'0.Productos'!BV$1+1,0),"")</f>
        <v/>
      </c>
      <c r="AE286" s="133" t="str">
        <f>IF($A286&lt;&gt;0,VLOOKUP($A286,'0.Productos'!$A$3:$GG$587,'0.Productos'!BW$1+1,0),"")</f>
        <v/>
      </c>
      <c r="AF286" s="133" t="str">
        <f>IF($A286&lt;&gt;0,VLOOKUP($A286,'0.Productos'!$A$3:$GG$587,'0.Productos'!BX$1+1,0),"")</f>
        <v/>
      </c>
      <c r="AG286" s="133" t="str">
        <f>IF($A286&lt;&gt;0,VLOOKUP($A286,'0.Productos'!$A$3:$GG$587,'0.Productos'!BY$1+1,0),"")</f>
        <v/>
      </c>
      <c r="AH286" s="133" t="str">
        <f>IF($A286&lt;&gt;0,VLOOKUP($A286,'0.Productos'!$A$3:$GG$587,'0.Productos'!BZ$1+1,0),"")</f>
        <v/>
      </c>
      <c r="AI286" s="133" t="str">
        <f>IF($A286&lt;&gt;0,VLOOKUP($A286,'0.Productos'!$A$3:$GG$587,'0.Productos'!CA$1+1,0),"")</f>
        <v/>
      </c>
      <c r="AJ286" s="133" t="str">
        <f>IF($A286&lt;&gt;0,VLOOKUP($A286,'0.Productos'!$A$3:$GG$587,'0.Productos'!CB$1+1,0),"")</f>
        <v/>
      </c>
      <c r="AK286" s="133" t="str">
        <f>IF($A286&lt;&gt;0,VLOOKUP($A286,'0.Productos'!$A$3:$GG$587,'0.Productos'!CC$1+1,0),"")</f>
        <v/>
      </c>
      <c r="AL286" s="133" t="str">
        <f>IF($A286&lt;&gt;0,VLOOKUP($A286,'0.Productos'!$A$3:$GG$587,'0.Productos'!CD$1+1,0),"")</f>
        <v/>
      </c>
      <c r="AM286" s="133" t="str">
        <f>IF($A286&lt;&gt;0,VLOOKUP($A286,'0.Productos'!$A$3:$GG$587,'0.Productos'!CE$1+1,0),"")</f>
        <v/>
      </c>
      <c r="AN286" s="133" t="str">
        <f>IF($A286&lt;&gt;0,VLOOKUP($A286,'0.Productos'!$A$3:$GG$587,'0.Productos'!CF$1+1,0),"")</f>
        <v/>
      </c>
      <c r="AO286" s="133" t="str">
        <f>IF($A286&lt;&gt;0,VLOOKUP($A286,'0.Productos'!$A$3:$GG$587,'0.Productos'!CG$1+1,0),"")</f>
        <v/>
      </c>
      <c r="AP286" s="133" t="str">
        <f>IF($A286&lt;&gt;0,VLOOKUP($A286,'0.Productos'!$A$3:$GG$587,'0.Productos'!CH$1+1,0),"")</f>
        <v/>
      </c>
      <c r="AQ286" s="133" t="str">
        <f>IF($A286&lt;&gt;0,VLOOKUP($A286,'0.Productos'!$A$3:$GG$587,'0.Productos'!CI$1+1,0),"")</f>
        <v/>
      </c>
      <c r="AR286" s="133" t="str">
        <f>IF($A286&lt;&gt;0,VLOOKUP($A286,'0.Productos'!$A$3:$GG$587,'0.Productos'!CJ$1+1,0),"")</f>
        <v/>
      </c>
      <c r="AS286" s="133" t="str">
        <f>IF($A286&lt;&gt;0,VLOOKUP($A286,'0.Productos'!$A$3:$GG$587,'0.Productos'!CK$1+1,0),"")</f>
        <v/>
      </c>
      <c r="AT286" s="133" t="str">
        <f>IF($A286&lt;&gt;0,VLOOKUP($A286,'0.Productos'!$A$3:$GG$587,'0.Productos'!CL$1+1,0),"")</f>
        <v/>
      </c>
      <c r="AU286" s="133" t="str">
        <f>IF($A286&lt;&gt;0,VLOOKUP($A286,'0.Productos'!$A$3:$GG$587,'0.Productos'!CM$1+1,0),"")</f>
        <v/>
      </c>
      <c r="AV286" s="133" t="str">
        <f>IF($A286&lt;&gt;0,VLOOKUP($A286,'0.Productos'!$A$3:$GG$587,'0.Productos'!CN$1+1,0),"")</f>
        <v/>
      </c>
      <c r="AW286" s="133" t="str">
        <f>IF($A286&lt;&gt;0,VLOOKUP($A286,'0.Productos'!$A$3:$GG$587,'0.Productos'!CO$1+1,0),"")</f>
        <v/>
      </c>
      <c r="AX286" s="133" t="str">
        <f>IF($A286&lt;&gt;0,VLOOKUP($A286,'0.Productos'!$A$3:$GG$587,'0.Productos'!CP$1+1,0),"")</f>
        <v/>
      </c>
      <c r="AY286" s="133" t="str">
        <f>IF($A286&lt;&gt;0,VLOOKUP($A286,'0.Productos'!$A$3:$GG$587,'0.Productos'!CQ$1+1,0),"")</f>
        <v/>
      </c>
      <c r="AZ286" s="133" t="str">
        <f>IF($A286&lt;&gt;0,VLOOKUP($A286,'0.Productos'!$A$3:$GG$587,'0.Productos'!CR$1+1,0),"")</f>
        <v/>
      </c>
      <c r="BA286" s="133" t="str">
        <f>IF($A286&lt;&gt;0,VLOOKUP($A286,'0.Productos'!$A$3:$GG$587,'0.Productos'!CS$1+1,0),"")</f>
        <v/>
      </c>
      <c r="BB286" s="133" t="str">
        <f>IF($A286&lt;&gt;0,VLOOKUP($A286,'0.Productos'!$A$3:$GG$587,'0.Productos'!CT$1+1,0),"")</f>
        <v/>
      </c>
      <c r="BC286" s="133" t="str">
        <f>IF($A286&lt;&gt;0,VLOOKUP($A286,'0.Productos'!$A$3:$GG$587,'0.Productos'!CU$1+1,0),"")</f>
        <v/>
      </c>
      <c r="BD286" s="133" t="str">
        <f>IF($A286&lt;&gt;0,VLOOKUP($A286,'0.Productos'!$A$3:$GG$587,'0.Productos'!CV$1+1,0),"")</f>
        <v/>
      </c>
      <c r="BE286" s="133" t="str">
        <f>IF($A286&lt;&gt;0,VLOOKUP($A286,'0.Productos'!$A$3:$GG$587,'0.Productos'!CW$1+1,0),"")</f>
        <v/>
      </c>
      <c r="BF286" s="133" t="str">
        <f>IF($A286&lt;&gt;0,VLOOKUP($A286,'0.Productos'!$A$3:$GG$587,'0.Productos'!CX$1+1,0),"")</f>
        <v/>
      </c>
      <c r="BG286" s="133" t="str">
        <f>IF($A286&lt;&gt;0,VLOOKUP($A286,'0.Productos'!$A$3:$GG$587,'0.Productos'!CY$1+1,0),"")</f>
        <v/>
      </c>
      <c r="BH286" s="133" t="str">
        <f>IF($A286&lt;&gt;0,VLOOKUP($A286,'0.Productos'!$A$3:$GG$587,'0.Productos'!CZ$1+1,0),"")</f>
        <v/>
      </c>
      <c r="BI286" s="133" t="str">
        <f>IF($A286&lt;&gt;0,VLOOKUP($A286,'0.Productos'!$A$3:$GG$587,'0.Productos'!DA$1+1,0),"")</f>
        <v/>
      </c>
      <c r="BJ286" s="133" t="str">
        <f>IF($A286&lt;&gt;0,VLOOKUP($A286,'0.Productos'!$A$3:$GG$587,'0.Productos'!DB$1+1,0),"")</f>
        <v/>
      </c>
      <c r="BK286" s="133" t="str">
        <f>IF($A286&lt;&gt;0,VLOOKUP($A286,'0.Productos'!$A$3:$GG$587,'0.Productos'!DC$1+1,0),"")</f>
        <v/>
      </c>
      <c r="BL286" s="133" t="str">
        <f>IF($A286&lt;&gt;0,VLOOKUP($A286,'0.Productos'!$A$3:$GG$587,'0.Productos'!DD$1+1,0),"")</f>
        <v/>
      </c>
      <c r="BM286" s="133" t="str">
        <f>IF($A286&lt;&gt;0,VLOOKUP($A286,'0.Productos'!$A$3:$GG$587,'0.Productos'!DE$1+1,0),"")</f>
        <v/>
      </c>
      <c r="BN286" s="133" t="str">
        <f>IF($A286&lt;&gt;0,VLOOKUP($A286,'0.Productos'!$A$3:$GG$587,'0.Productos'!DF$1+1,0),"")</f>
        <v/>
      </c>
      <c r="BO286" s="133" t="str">
        <f>IF($A286&lt;&gt;0,VLOOKUP($A286,'0.Productos'!$A$3:$GG$587,'0.Productos'!DG$1+1,0),"")</f>
        <v/>
      </c>
      <c r="BP286" s="133" t="str">
        <f>IF($A286&lt;&gt;0,VLOOKUP($A286,'0.Productos'!$A$3:$GG$587,'0.Productos'!DH$1+1,0),"")</f>
        <v/>
      </c>
      <c r="BQ286" s="133" t="str">
        <f>IF($A286&lt;&gt;0,VLOOKUP($A286,'0.Productos'!$A$3:$GG$587,'0.Productos'!DI$1+1,0),"")</f>
        <v/>
      </c>
      <c r="BR286" s="133" t="str">
        <f>IF($A286&lt;&gt;0,VLOOKUP($A286,'0.Productos'!$A$3:$GG$587,'0.Productos'!DJ$1+1,0),"")</f>
        <v/>
      </c>
      <c r="BS286" s="133" t="str">
        <f>IF($A286&lt;&gt;0,VLOOKUP($A286,'0.Productos'!$A$3:$GG$587,'0.Productos'!DK$1+1,0),"")</f>
        <v/>
      </c>
      <c r="BT286" s="133" t="str">
        <f>IF($A286&lt;&gt;0,VLOOKUP($A286,'0.Productos'!$A$3:$GG$587,'0.Productos'!DL$1+1,0),"")</f>
        <v/>
      </c>
    </row>
    <row r="287" spans="1:72" x14ac:dyDescent="0.25">
      <c r="A287" s="17">
        <f>'0.Consolidado general'!A287</f>
        <v>0</v>
      </c>
      <c r="B287" s="133" t="str">
        <f>IF($A287&lt;&gt;0,VLOOKUP($A287,'0.Productos'!$A$3:$GG$587,'0.Productos'!AT$1+1,0),"")</f>
        <v/>
      </c>
      <c r="C287" s="133" t="str">
        <f>IF($A287&lt;&gt;0,VLOOKUP($A287,'0.Productos'!$A$3:$GG$587,'0.Productos'!AU$1+1,0),"")</f>
        <v/>
      </c>
      <c r="D287" s="133" t="str">
        <f>IF($A287&lt;&gt;0,VLOOKUP($A287,'0.Productos'!$A$3:$GG$587,'0.Productos'!AV$1+1,0),"")</f>
        <v/>
      </c>
      <c r="E287" s="133" t="str">
        <f>IF($A287&lt;&gt;0,VLOOKUP($A287,'0.Productos'!$A$3:$GG$587,'0.Productos'!AW$1+1,0),"")</f>
        <v/>
      </c>
      <c r="F287" s="133" t="str">
        <f>IF($A287&lt;&gt;0,VLOOKUP($A287,'0.Productos'!$A$3:$GG$587,'0.Productos'!AX$1+1,0),"")</f>
        <v/>
      </c>
      <c r="G287" s="133" t="str">
        <f>IF($A287&lt;&gt;0,VLOOKUP($A287,'0.Productos'!$A$3:$GG$587,'0.Productos'!AY$1+1,0),"")</f>
        <v/>
      </c>
      <c r="H287" s="133" t="str">
        <f>IF($A287&lt;&gt;0,VLOOKUP($A287,'0.Productos'!$A$3:$GG$587,'0.Productos'!AZ$1+1,0),"")</f>
        <v/>
      </c>
      <c r="I287" s="133" t="str">
        <f>IF($A287&lt;&gt;0,VLOOKUP($A287,'0.Productos'!$A$3:$GG$587,'0.Productos'!BA$1+1,0),"")</f>
        <v/>
      </c>
      <c r="J287" s="133" t="str">
        <f>IF($A287&lt;&gt;0,VLOOKUP($A287,'0.Productos'!$A$3:$GG$587,'0.Productos'!BB$1+1,0),"")</f>
        <v/>
      </c>
      <c r="K287" s="133" t="str">
        <f>IF($A287&lt;&gt;0,VLOOKUP($A287,'0.Productos'!$A$3:$GG$587,'0.Productos'!BC$1+1,0),"")</f>
        <v/>
      </c>
      <c r="L287" s="133" t="str">
        <f>IF($A287&lt;&gt;0,VLOOKUP($A287,'0.Productos'!$A$3:$GG$587,'0.Productos'!BD$1+1,0),"")</f>
        <v/>
      </c>
      <c r="M287" s="133" t="str">
        <f>IF($A287&lt;&gt;0,VLOOKUP($A287,'0.Productos'!$A$3:$GG$587,'0.Productos'!BE$1+1,0),"")</f>
        <v/>
      </c>
      <c r="N287" s="133" t="str">
        <f>IF($A287&lt;&gt;0,VLOOKUP($A287,'0.Productos'!$A$3:$GG$587,'0.Productos'!BF$1+1,0),"")</f>
        <v/>
      </c>
      <c r="O287" s="133" t="str">
        <f>IF($A287&lt;&gt;0,VLOOKUP($A287,'0.Productos'!$A$3:$GG$587,'0.Productos'!BG$1+1,0),"")</f>
        <v/>
      </c>
      <c r="P287" s="133" t="str">
        <f>IF($A287&lt;&gt;0,VLOOKUP($A287,'0.Productos'!$A$3:$GG$587,'0.Productos'!BH$1+1,0),"")</f>
        <v/>
      </c>
      <c r="Q287" s="133" t="str">
        <f>IF($A287&lt;&gt;0,VLOOKUP($A287,'0.Productos'!$A$3:$GG$587,'0.Productos'!BI$1+1,0),"")</f>
        <v/>
      </c>
      <c r="R287" s="133" t="str">
        <f>IF($A287&lt;&gt;0,VLOOKUP($A287,'0.Productos'!$A$3:$GG$587,'0.Productos'!BJ$1+1,0),"")</f>
        <v/>
      </c>
      <c r="S287" s="133" t="str">
        <f>IF($A287&lt;&gt;0,VLOOKUP($A287,'0.Productos'!$A$3:$GG$587,'0.Productos'!BK$1+1,0),"")</f>
        <v/>
      </c>
      <c r="T287" s="133" t="str">
        <f>IF($A287&lt;&gt;0,VLOOKUP($A287,'0.Productos'!$A$3:$GG$587,'0.Productos'!BL$1+1,0),"")</f>
        <v/>
      </c>
      <c r="U287" s="133" t="str">
        <f>IF($A287&lt;&gt;0,VLOOKUP($A287,'0.Productos'!$A$3:$GG$587,'0.Productos'!BM$1+1,0),"")</f>
        <v/>
      </c>
      <c r="V287" s="133" t="str">
        <f>IF($A287&lt;&gt;0,VLOOKUP($A287,'0.Productos'!$A$3:$GG$587,'0.Productos'!BN$1+1,0),"")</f>
        <v/>
      </c>
      <c r="W287" s="133" t="str">
        <f>IF($A287&lt;&gt;0,VLOOKUP($A287,'0.Productos'!$A$3:$GG$587,'0.Productos'!BO$1+1,0),"")</f>
        <v/>
      </c>
      <c r="X287" s="133" t="str">
        <f>IF($A287&lt;&gt;0,VLOOKUP($A287,'0.Productos'!$A$3:$GG$587,'0.Productos'!BP$1+1,0),"")</f>
        <v/>
      </c>
      <c r="Y287" s="133" t="str">
        <f>IF($A287&lt;&gt;0,VLOOKUP($A287,'0.Productos'!$A$3:$GG$587,'0.Productos'!BQ$1+1,0),"")</f>
        <v/>
      </c>
      <c r="Z287" s="133" t="str">
        <f>IF($A287&lt;&gt;0,VLOOKUP($A287,'0.Productos'!$A$3:$GG$587,'0.Productos'!BR$1+1,0),"")</f>
        <v/>
      </c>
      <c r="AA287" s="133" t="str">
        <f>IF($A287&lt;&gt;0,VLOOKUP($A287,'0.Productos'!$A$3:$GG$587,'0.Productos'!BS$1+1,0),"")</f>
        <v/>
      </c>
      <c r="AB287" s="133" t="str">
        <f>IF($A287&lt;&gt;0,VLOOKUP($A287,'0.Productos'!$A$3:$GG$587,'0.Productos'!BT$1+1,0),"")</f>
        <v/>
      </c>
      <c r="AC287" s="133" t="str">
        <f>IF($A287&lt;&gt;0,VLOOKUP($A287,'0.Productos'!$A$3:$GG$587,'0.Productos'!BU$1+1,0),"")</f>
        <v/>
      </c>
      <c r="AD287" s="133" t="str">
        <f>IF($A287&lt;&gt;0,VLOOKUP($A287,'0.Productos'!$A$3:$GG$587,'0.Productos'!BV$1+1,0),"")</f>
        <v/>
      </c>
      <c r="AE287" s="133" t="str">
        <f>IF($A287&lt;&gt;0,VLOOKUP($A287,'0.Productos'!$A$3:$GG$587,'0.Productos'!BW$1+1,0),"")</f>
        <v/>
      </c>
      <c r="AF287" s="133" t="str">
        <f>IF($A287&lt;&gt;0,VLOOKUP($A287,'0.Productos'!$A$3:$GG$587,'0.Productos'!BX$1+1,0),"")</f>
        <v/>
      </c>
      <c r="AG287" s="133" t="str">
        <f>IF($A287&lt;&gt;0,VLOOKUP($A287,'0.Productos'!$A$3:$GG$587,'0.Productos'!BY$1+1,0),"")</f>
        <v/>
      </c>
      <c r="AH287" s="133" t="str">
        <f>IF($A287&lt;&gt;0,VLOOKUP($A287,'0.Productos'!$A$3:$GG$587,'0.Productos'!BZ$1+1,0),"")</f>
        <v/>
      </c>
      <c r="AI287" s="133" t="str">
        <f>IF($A287&lt;&gt;0,VLOOKUP($A287,'0.Productos'!$A$3:$GG$587,'0.Productos'!CA$1+1,0),"")</f>
        <v/>
      </c>
      <c r="AJ287" s="133" t="str">
        <f>IF($A287&lt;&gt;0,VLOOKUP($A287,'0.Productos'!$A$3:$GG$587,'0.Productos'!CB$1+1,0),"")</f>
        <v/>
      </c>
      <c r="AK287" s="133" t="str">
        <f>IF($A287&lt;&gt;0,VLOOKUP($A287,'0.Productos'!$A$3:$GG$587,'0.Productos'!CC$1+1,0),"")</f>
        <v/>
      </c>
      <c r="AL287" s="133" t="str">
        <f>IF($A287&lt;&gt;0,VLOOKUP($A287,'0.Productos'!$A$3:$GG$587,'0.Productos'!CD$1+1,0),"")</f>
        <v/>
      </c>
      <c r="AM287" s="133" t="str">
        <f>IF($A287&lt;&gt;0,VLOOKUP($A287,'0.Productos'!$A$3:$GG$587,'0.Productos'!CE$1+1,0),"")</f>
        <v/>
      </c>
      <c r="AN287" s="133" t="str">
        <f>IF($A287&lt;&gt;0,VLOOKUP($A287,'0.Productos'!$A$3:$GG$587,'0.Productos'!CF$1+1,0),"")</f>
        <v/>
      </c>
      <c r="AO287" s="133" t="str">
        <f>IF($A287&lt;&gt;0,VLOOKUP($A287,'0.Productos'!$A$3:$GG$587,'0.Productos'!CG$1+1,0),"")</f>
        <v/>
      </c>
      <c r="AP287" s="133" t="str">
        <f>IF($A287&lt;&gt;0,VLOOKUP($A287,'0.Productos'!$A$3:$GG$587,'0.Productos'!CH$1+1,0),"")</f>
        <v/>
      </c>
      <c r="AQ287" s="133" t="str">
        <f>IF($A287&lt;&gt;0,VLOOKUP($A287,'0.Productos'!$A$3:$GG$587,'0.Productos'!CI$1+1,0),"")</f>
        <v/>
      </c>
      <c r="AR287" s="133" t="str">
        <f>IF($A287&lt;&gt;0,VLOOKUP($A287,'0.Productos'!$A$3:$GG$587,'0.Productos'!CJ$1+1,0),"")</f>
        <v/>
      </c>
      <c r="AS287" s="133" t="str">
        <f>IF($A287&lt;&gt;0,VLOOKUP($A287,'0.Productos'!$A$3:$GG$587,'0.Productos'!CK$1+1,0),"")</f>
        <v/>
      </c>
      <c r="AT287" s="133" t="str">
        <f>IF($A287&lt;&gt;0,VLOOKUP($A287,'0.Productos'!$A$3:$GG$587,'0.Productos'!CL$1+1,0),"")</f>
        <v/>
      </c>
      <c r="AU287" s="133" t="str">
        <f>IF($A287&lt;&gt;0,VLOOKUP($A287,'0.Productos'!$A$3:$GG$587,'0.Productos'!CM$1+1,0),"")</f>
        <v/>
      </c>
      <c r="AV287" s="133" t="str">
        <f>IF($A287&lt;&gt;0,VLOOKUP($A287,'0.Productos'!$A$3:$GG$587,'0.Productos'!CN$1+1,0),"")</f>
        <v/>
      </c>
      <c r="AW287" s="133" t="str">
        <f>IF($A287&lt;&gt;0,VLOOKUP($A287,'0.Productos'!$A$3:$GG$587,'0.Productos'!CO$1+1,0),"")</f>
        <v/>
      </c>
      <c r="AX287" s="133" t="str">
        <f>IF($A287&lt;&gt;0,VLOOKUP($A287,'0.Productos'!$A$3:$GG$587,'0.Productos'!CP$1+1,0),"")</f>
        <v/>
      </c>
      <c r="AY287" s="133" t="str">
        <f>IF($A287&lt;&gt;0,VLOOKUP($A287,'0.Productos'!$A$3:$GG$587,'0.Productos'!CQ$1+1,0),"")</f>
        <v/>
      </c>
      <c r="AZ287" s="133" t="str">
        <f>IF($A287&lt;&gt;0,VLOOKUP($A287,'0.Productos'!$A$3:$GG$587,'0.Productos'!CR$1+1,0),"")</f>
        <v/>
      </c>
      <c r="BA287" s="133" t="str">
        <f>IF($A287&lt;&gt;0,VLOOKUP($A287,'0.Productos'!$A$3:$GG$587,'0.Productos'!CS$1+1,0),"")</f>
        <v/>
      </c>
      <c r="BB287" s="133" t="str">
        <f>IF($A287&lt;&gt;0,VLOOKUP($A287,'0.Productos'!$A$3:$GG$587,'0.Productos'!CT$1+1,0),"")</f>
        <v/>
      </c>
      <c r="BC287" s="133" t="str">
        <f>IF($A287&lt;&gt;0,VLOOKUP($A287,'0.Productos'!$A$3:$GG$587,'0.Productos'!CU$1+1,0),"")</f>
        <v/>
      </c>
      <c r="BD287" s="133" t="str">
        <f>IF($A287&lt;&gt;0,VLOOKUP($A287,'0.Productos'!$A$3:$GG$587,'0.Productos'!CV$1+1,0),"")</f>
        <v/>
      </c>
      <c r="BE287" s="133" t="str">
        <f>IF($A287&lt;&gt;0,VLOOKUP($A287,'0.Productos'!$A$3:$GG$587,'0.Productos'!CW$1+1,0),"")</f>
        <v/>
      </c>
      <c r="BF287" s="133" t="str">
        <f>IF($A287&lt;&gt;0,VLOOKUP($A287,'0.Productos'!$A$3:$GG$587,'0.Productos'!CX$1+1,0),"")</f>
        <v/>
      </c>
      <c r="BG287" s="133" t="str">
        <f>IF($A287&lt;&gt;0,VLOOKUP($A287,'0.Productos'!$A$3:$GG$587,'0.Productos'!CY$1+1,0),"")</f>
        <v/>
      </c>
      <c r="BH287" s="133" t="str">
        <f>IF($A287&lt;&gt;0,VLOOKUP($A287,'0.Productos'!$A$3:$GG$587,'0.Productos'!CZ$1+1,0),"")</f>
        <v/>
      </c>
      <c r="BI287" s="133" t="str">
        <f>IF($A287&lt;&gt;0,VLOOKUP($A287,'0.Productos'!$A$3:$GG$587,'0.Productos'!DA$1+1,0),"")</f>
        <v/>
      </c>
      <c r="BJ287" s="133" t="str">
        <f>IF($A287&lt;&gt;0,VLOOKUP($A287,'0.Productos'!$A$3:$GG$587,'0.Productos'!DB$1+1,0),"")</f>
        <v/>
      </c>
      <c r="BK287" s="133" t="str">
        <f>IF($A287&lt;&gt;0,VLOOKUP($A287,'0.Productos'!$A$3:$GG$587,'0.Productos'!DC$1+1,0),"")</f>
        <v/>
      </c>
      <c r="BL287" s="133" t="str">
        <f>IF($A287&lt;&gt;0,VLOOKUP($A287,'0.Productos'!$A$3:$GG$587,'0.Productos'!DD$1+1,0),"")</f>
        <v/>
      </c>
      <c r="BM287" s="133" t="str">
        <f>IF($A287&lt;&gt;0,VLOOKUP($A287,'0.Productos'!$A$3:$GG$587,'0.Productos'!DE$1+1,0),"")</f>
        <v/>
      </c>
      <c r="BN287" s="133" t="str">
        <f>IF($A287&lt;&gt;0,VLOOKUP($A287,'0.Productos'!$A$3:$GG$587,'0.Productos'!DF$1+1,0),"")</f>
        <v/>
      </c>
      <c r="BO287" s="133" t="str">
        <f>IF($A287&lt;&gt;0,VLOOKUP($A287,'0.Productos'!$A$3:$GG$587,'0.Productos'!DG$1+1,0),"")</f>
        <v/>
      </c>
      <c r="BP287" s="133" t="str">
        <f>IF($A287&lt;&gt;0,VLOOKUP($A287,'0.Productos'!$A$3:$GG$587,'0.Productos'!DH$1+1,0),"")</f>
        <v/>
      </c>
      <c r="BQ287" s="133" t="str">
        <f>IF($A287&lt;&gt;0,VLOOKUP($A287,'0.Productos'!$A$3:$GG$587,'0.Productos'!DI$1+1,0),"")</f>
        <v/>
      </c>
      <c r="BR287" s="133" t="str">
        <f>IF($A287&lt;&gt;0,VLOOKUP($A287,'0.Productos'!$A$3:$GG$587,'0.Productos'!DJ$1+1,0),"")</f>
        <v/>
      </c>
      <c r="BS287" s="133" t="str">
        <f>IF($A287&lt;&gt;0,VLOOKUP($A287,'0.Productos'!$A$3:$GG$587,'0.Productos'!DK$1+1,0),"")</f>
        <v/>
      </c>
      <c r="BT287" s="133" t="str">
        <f>IF($A287&lt;&gt;0,VLOOKUP($A287,'0.Productos'!$A$3:$GG$587,'0.Productos'!DL$1+1,0),"")</f>
        <v/>
      </c>
    </row>
    <row r="288" spans="1:72" x14ac:dyDescent="0.25">
      <c r="A288" s="17">
        <f>'0.Consolidado general'!A288</f>
        <v>0</v>
      </c>
      <c r="B288" s="133" t="str">
        <f>IF($A288&lt;&gt;0,VLOOKUP($A288,'0.Productos'!$A$3:$GG$587,'0.Productos'!AT$1+1,0),"")</f>
        <v/>
      </c>
      <c r="C288" s="133" t="str">
        <f>IF($A288&lt;&gt;0,VLOOKUP($A288,'0.Productos'!$A$3:$GG$587,'0.Productos'!AU$1+1,0),"")</f>
        <v/>
      </c>
      <c r="D288" s="133" t="str">
        <f>IF($A288&lt;&gt;0,VLOOKUP($A288,'0.Productos'!$A$3:$GG$587,'0.Productos'!AV$1+1,0),"")</f>
        <v/>
      </c>
      <c r="E288" s="133" t="str">
        <f>IF($A288&lt;&gt;0,VLOOKUP($A288,'0.Productos'!$A$3:$GG$587,'0.Productos'!AW$1+1,0),"")</f>
        <v/>
      </c>
      <c r="F288" s="133" t="str">
        <f>IF($A288&lt;&gt;0,VLOOKUP($A288,'0.Productos'!$A$3:$GG$587,'0.Productos'!AX$1+1,0),"")</f>
        <v/>
      </c>
      <c r="G288" s="133" t="str">
        <f>IF($A288&lt;&gt;0,VLOOKUP($A288,'0.Productos'!$A$3:$GG$587,'0.Productos'!AY$1+1,0),"")</f>
        <v/>
      </c>
      <c r="H288" s="133" t="str">
        <f>IF($A288&lt;&gt;0,VLOOKUP($A288,'0.Productos'!$A$3:$GG$587,'0.Productos'!AZ$1+1,0),"")</f>
        <v/>
      </c>
      <c r="I288" s="133" t="str">
        <f>IF($A288&lt;&gt;0,VLOOKUP($A288,'0.Productos'!$A$3:$GG$587,'0.Productos'!BA$1+1,0),"")</f>
        <v/>
      </c>
      <c r="J288" s="133" t="str">
        <f>IF($A288&lt;&gt;0,VLOOKUP($A288,'0.Productos'!$A$3:$GG$587,'0.Productos'!BB$1+1,0),"")</f>
        <v/>
      </c>
      <c r="K288" s="133" t="str">
        <f>IF($A288&lt;&gt;0,VLOOKUP($A288,'0.Productos'!$A$3:$GG$587,'0.Productos'!BC$1+1,0),"")</f>
        <v/>
      </c>
      <c r="L288" s="133" t="str">
        <f>IF($A288&lt;&gt;0,VLOOKUP($A288,'0.Productos'!$A$3:$GG$587,'0.Productos'!BD$1+1,0),"")</f>
        <v/>
      </c>
      <c r="M288" s="133" t="str">
        <f>IF($A288&lt;&gt;0,VLOOKUP($A288,'0.Productos'!$A$3:$GG$587,'0.Productos'!BE$1+1,0),"")</f>
        <v/>
      </c>
      <c r="N288" s="133" t="str">
        <f>IF($A288&lt;&gt;0,VLOOKUP($A288,'0.Productos'!$A$3:$GG$587,'0.Productos'!BF$1+1,0),"")</f>
        <v/>
      </c>
      <c r="O288" s="133" t="str">
        <f>IF($A288&lt;&gt;0,VLOOKUP($A288,'0.Productos'!$A$3:$GG$587,'0.Productos'!BG$1+1,0),"")</f>
        <v/>
      </c>
      <c r="P288" s="133" t="str">
        <f>IF($A288&lt;&gt;0,VLOOKUP($A288,'0.Productos'!$A$3:$GG$587,'0.Productos'!BH$1+1,0),"")</f>
        <v/>
      </c>
      <c r="Q288" s="133" t="str">
        <f>IF($A288&lt;&gt;0,VLOOKUP($A288,'0.Productos'!$A$3:$GG$587,'0.Productos'!BI$1+1,0),"")</f>
        <v/>
      </c>
      <c r="R288" s="133" t="str">
        <f>IF($A288&lt;&gt;0,VLOOKUP($A288,'0.Productos'!$A$3:$GG$587,'0.Productos'!BJ$1+1,0),"")</f>
        <v/>
      </c>
      <c r="S288" s="133" t="str">
        <f>IF($A288&lt;&gt;0,VLOOKUP($A288,'0.Productos'!$A$3:$GG$587,'0.Productos'!BK$1+1,0),"")</f>
        <v/>
      </c>
      <c r="T288" s="133" t="str">
        <f>IF($A288&lt;&gt;0,VLOOKUP($A288,'0.Productos'!$A$3:$GG$587,'0.Productos'!BL$1+1,0),"")</f>
        <v/>
      </c>
      <c r="U288" s="133" t="str">
        <f>IF($A288&lt;&gt;0,VLOOKUP($A288,'0.Productos'!$A$3:$GG$587,'0.Productos'!BM$1+1,0),"")</f>
        <v/>
      </c>
      <c r="V288" s="133" t="str">
        <f>IF($A288&lt;&gt;0,VLOOKUP($A288,'0.Productos'!$A$3:$GG$587,'0.Productos'!BN$1+1,0),"")</f>
        <v/>
      </c>
      <c r="W288" s="133" t="str">
        <f>IF($A288&lt;&gt;0,VLOOKUP($A288,'0.Productos'!$A$3:$GG$587,'0.Productos'!BO$1+1,0),"")</f>
        <v/>
      </c>
      <c r="X288" s="133" t="str">
        <f>IF($A288&lt;&gt;0,VLOOKUP($A288,'0.Productos'!$A$3:$GG$587,'0.Productos'!BP$1+1,0),"")</f>
        <v/>
      </c>
      <c r="Y288" s="133" t="str">
        <f>IF($A288&lt;&gt;0,VLOOKUP($A288,'0.Productos'!$A$3:$GG$587,'0.Productos'!BQ$1+1,0),"")</f>
        <v/>
      </c>
      <c r="Z288" s="133" t="str">
        <f>IF($A288&lt;&gt;0,VLOOKUP($A288,'0.Productos'!$A$3:$GG$587,'0.Productos'!BR$1+1,0),"")</f>
        <v/>
      </c>
      <c r="AA288" s="133" t="str">
        <f>IF($A288&lt;&gt;0,VLOOKUP($A288,'0.Productos'!$A$3:$GG$587,'0.Productos'!BS$1+1,0),"")</f>
        <v/>
      </c>
      <c r="AB288" s="133" t="str">
        <f>IF($A288&lt;&gt;0,VLOOKUP($A288,'0.Productos'!$A$3:$GG$587,'0.Productos'!BT$1+1,0),"")</f>
        <v/>
      </c>
      <c r="AC288" s="133" t="str">
        <f>IF($A288&lt;&gt;0,VLOOKUP($A288,'0.Productos'!$A$3:$GG$587,'0.Productos'!BU$1+1,0),"")</f>
        <v/>
      </c>
      <c r="AD288" s="133" t="str">
        <f>IF($A288&lt;&gt;0,VLOOKUP($A288,'0.Productos'!$A$3:$GG$587,'0.Productos'!BV$1+1,0),"")</f>
        <v/>
      </c>
      <c r="AE288" s="133" t="str">
        <f>IF($A288&lt;&gt;0,VLOOKUP($A288,'0.Productos'!$A$3:$GG$587,'0.Productos'!BW$1+1,0),"")</f>
        <v/>
      </c>
      <c r="AF288" s="133" t="str">
        <f>IF($A288&lt;&gt;0,VLOOKUP($A288,'0.Productos'!$A$3:$GG$587,'0.Productos'!BX$1+1,0),"")</f>
        <v/>
      </c>
      <c r="AG288" s="133" t="str">
        <f>IF($A288&lt;&gt;0,VLOOKUP($A288,'0.Productos'!$A$3:$GG$587,'0.Productos'!BY$1+1,0),"")</f>
        <v/>
      </c>
      <c r="AH288" s="133" t="str">
        <f>IF($A288&lt;&gt;0,VLOOKUP($A288,'0.Productos'!$A$3:$GG$587,'0.Productos'!BZ$1+1,0),"")</f>
        <v/>
      </c>
      <c r="AI288" s="133" t="str">
        <f>IF($A288&lt;&gt;0,VLOOKUP($A288,'0.Productos'!$A$3:$GG$587,'0.Productos'!CA$1+1,0),"")</f>
        <v/>
      </c>
      <c r="AJ288" s="133" t="str">
        <f>IF($A288&lt;&gt;0,VLOOKUP($A288,'0.Productos'!$A$3:$GG$587,'0.Productos'!CB$1+1,0),"")</f>
        <v/>
      </c>
      <c r="AK288" s="133" t="str">
        <f>IF($A288&lt;&gt;0,VLOOKUP($A288,'0.Productos'!$A$3:$GG$587,'0.Productos'!CC$1+1,0),"")</f>
        <v/>
      </c>
      <c r="AL288" s="133" t="str">
        <f>IF($A288&lt;&gt;0,VLOOKUP($A288,'0.Productos'!$A$3:$GG$587,'0.Productos'!CD$1+1,0),"")</f>
        <v/>
      </c>
      <c r="AM288" s="133" t="str">
        <f>IF($A288&lt;&gt;0,VLOOKUP($A288,'0.Productos'!$A$3:$GG$587,'0.Productos'!CE$1+1,0),"")</f>
        <v/>
      </c>
      <c r="AN288" s="133" t="str">
        <f>IF($A288&lt;&gt;0,VLOOKUP($A288,'0.Productos'!$A$3:$GG$587,'0.Productos'!CF$1+1,0),"")</f>
        <v/>
      </c>
      <c r="AO288" s="133" t="str">
        <f>IF($A288&lt;&gt;0,VLOOKUP($A288,'0.Productos'!$A$3:$GG$587,'0.Productos'!CG$1+1,0),"")</f>
        <v/>
      </c>
      <c r="AP288" s="133" t="str">
        <f>IF($A288&lt;&gt;0,VLOOKUP($A288,'0.Productos'!$A$3:$GG$587,'0.Productos'!CH$1+1,0),"")</f>
        <v/>
      </c>
      <c r="AQ288" s="133" t="str">
        <f>IF($A288&lt;&gt;0,VLOOKUP($A288,'0.Productos'!$A$3:$GG$587,'0.Productos'!CI$1+1,0),"")</f>
        <v/>
      </c>
      <c r="AR288" s="133" t="str">
        <f>IF($A288&lt;&gt;0,VLOOKUP($A288,'0.Productos'!$A$3:$GG$587,'0.Productos'!CJ$1+1,0),"")</f>
        <v/>
      </c>
      <c r="AS288" s="133" t="str">
        <f>IF($A288&lt;&gt;0,VLOOKUP($A288,'0.Productos'!$A$3:$GG$587,'0.Productos'!CK$1+1,0),"")</f>
        <v/>
      </c>
      <c r="AT288" s="133" t="str">
        <f>IF($A288&lt;&gt;0,VLOOKUP($A288,'0.Productos'!$A$3:$GG$587,'0.Productos'!CL$1+1,0),"")</f>
        <v/>
      </c>
      <c r="AU288" s="133" t="str">
        <f>IF($A288&lt;&gt;0,VLOOKUP($A288,'0.Productos'!$A$3:$GG$587,'0.Productos'!CM$1+1,0),"")</f>
        <v/>
      </c>
      <c r="AV288" s="133" t="str">
        <f>IF($A288&lt;&gt;0,VLOOKUP($A288,'0.Productos'!$A$3:$GG$587,'0.Productos'!CN$1+1,0),"")</f>
        <v/>
      </c>
      <c r="AW288" s="133" t="str">
        <f>IF($A288&lt;&gt;0,VLOOKUP($A288,'0.Productos'!$A$3:$GG$587,'0.Productos'!CO$1+1,0),"")</f>
        <v/>
      </c>
      <c r="AX288" s="133" t="str">
        <f>IF($A288&lt;&gt;0,VLOOKUP($A288,'0.Productos'!$A$3:$GG$587,'0.Productos'!CP$1+1,0),"")</f>
        <v/>
      </c>
      <c r="AY288" s="133" t="str">
        <f>IF($A288&lt;&gt;0,VLOOKUP($A288,'0.Productos'!$A$3:$GG$587,'0.Productos'!CQ$1+1,0),"")</f>
        <v/>
      </c>
      <c r="AZ288" s="133" t="str">
        <f>IF($A288&lt;&gt;0,VLOOKUP($A288,'0.Productos'!$A$3:$GG$587,'0.Productos'!CR$1+1,0),"")</f>
        <v/>
      </c>
      <c r="BA288" s="133" t="str">
        <f>IF($A288&lt;&gt;0,VLOOKUP($A288,'0.Productos'!$A$3:$GG$587,'0.Productos'!CS$1+1,0),"")</f>
        <v/>
      </c>
      <c r="BB288" s="133" t="str">
        <f>IF($A288&lt;&gt;0,VLOOKUP($A288,'0.Productos'!$A$3:$GG$587,'0.Productos'!CT$1+1,0),"")</f>
        <v/>
      </c>
      <c r="BC288" s="133" t="str">
        <f>IF($A288&lt;&gt;0,VLOOKUP($A288,'0.Productos'!$A$3:$GG$587,'0.Productos'!CU$1+1,0),"")</f>
        <v/>
      </c>
      <c r="BD288" s="133" t="str">
        <f>IF($A288&lt;&gt;0,VLOOKUP($A288,'0.Productos'!$A$3:$GG$587,'0.Productos'!CV$1+1,0),"")</f>
        <v/>
      </c>
      <c r="BE288" s="133" t="str">
        <f>IF($A288&lt;&gt;0,VLOOKUP($A288,'0.Productos'!$A$3:$GG$587,'0.Productos'!CW$1+1,0),"")</f>
        <v/>
      </c>
      <c r="BF288" s="133" t="str">
        <f>IF($A288&lt;&gt;0,VLOOKUP($A288,'0.Productos'!$A$3:$GG$587,'0.Productos'!CX$1+1,0),"")</f>
        <v/>
      </c>
      <c r="BG288" s="133" t="str">
        <f>IF($A288&lt;&gt;0,VLOOKUP($A288,'0.Productos'!$A$3:$GG$587,'0.Productos'!CY$1+1,0),"")</f>
        <v/>
      </c>
      <c r="BH288" s="133" t="str">
        <f>IF($A288&lt;&gt;0,VLOOKUP($A288,'0.Productos'!$A$3:$GG$587,'0.Productos'!CZ$1+1,0),"")</f>
        <v/>
      </c>
      <c r="BI288" s="133" t="str">
        <f>IF($A288&lt;&gt;0,VLOOKUP($A288,'0.Productos'!$A$3:$GG$587,'0.Productos'!DA$1+1,0),"")</f>
        <v/>
      </c>
      <c r="BJ288" s="133" t="str">
        <f>IF($A288&lt;&gt;0,VLOOKUP($A288,'0.Productos'!$A$3:$GG$587,'0.Productos'!DB$1+1,0),"")</f>
        <v/>
      </c>
      <c r="BK288" s="133" t="str">
        <f>IF($A288&lt;&gt;0,VLOOKUP($A288,'0.Productos'!$A$3:$GG$587,'0.Productos'!DC$1+1,0),"")</f>
        <v/>
      </c>
      <c r="BL288" s="133" t="str">
        <f>IF($A288&lt;&gt;0,VLOOKUP($A288,'0.Productos'!$A$3:$GG$587,'0.Productos'!DD$1+1,0),"")</f>
        <v/>
      </c>
      <c r="BM288" s="133" t="str">
        <f>IF($A288&lt;&gt;0,VLOOKUP($A288,'0.Productos'!$A$3:$GG$587,'0.Productos'!DE$1+1,0),"")</f>
        <v/>
      </c>
      <c r="BN288" s="133" t="str">
        <f>IF($A288&lt;&gt;0,VLOOKUP($A288,'0.Productos'!$A$3:$GG$587,'0.Productos'!DF$1+1,0),"")</f>
        <v/>
      </c>
      <c r="BO288" s="133" t="str">
        <f>IF($A288&lt;&gt;0,VLOOKUP($A288,'0.Productos'!$A$3:$GG$587,'0.Productos'!DG$1+1,0),"")</f>
        <v/>
      </c>
      <c r="BP288" s="133" t="str">
        <f>IF($A288&lt;&gt;0,VLOOKUP($A288,'0.Productos'!$A$3:$GG$587,'0.Productos'!DH$1+1,0),"")</f>
        <v/>
      </c>
      <c r="BQ288" s="133" t="str">
        <f>IF($A288&lt;&gt;0,VLOOKUP($A288,'0.Productos'!$A$3:$GG$587,'0.Productos'!DI$1+1,0),"")</f>
        <v/>
      </c>
      <c r="BR288" s="133" t="str">
        <f>IF($A288&lt;&gt;0,VLOOKUP($A288,'0.Productos'!$A$3:$GG$587,'0.Productos'!DJ$1+1,0),"")</f>
        <v/>
      </c>
      <c r="BS288" s="133" t="str">
        <f>IF($A288&lt;&gt;0,VLOOKUP($A288,'0.Productos'!$A$3:$GG$587,'0.Productos'!DK$1+1,0),"")</f>
        <v/>
      </c>
      <c r="BT288" s="133" t="str">
        <f>IF($A288&lt;&gt;0,VLOOKUP($A288,'0.Productos'!$A$3:$GG$587,'0.Productos'!DL$1+1,0),"")</f>
        <v/>
      </c>
    </row>
    <row r="289" spans="1:72" x14ac:dyDescent="0.25">
      <c r="A289" s="17">
        <f>'0.Consolidado general'!A289</f>
        <v>0</v>
      </c>
      <c r="B289" s="133" t="str">
        <f>IF($A289&lt;&gt;0,VLOOKUP($A289,'0.Productos'!$A$3:$GG$587,'0.Productos'!AT$1+1,0),"")</f>
        <v/>
      </c>
      <c r="C289" s="133" t="str">
        <f>IF($A289&lt;&gt;0,VLOOKUP($A289,'0.Productos'!$A$3:$GG$587,'0.Productos'!AU$1+1,0),"")</f>
        <v/>
      </c>
      <c r="D289" s="133" t="str">
        <f>IF($A289&lt;&gt;0,VLOOKUP($A289,'0.Productos'!$A$3:$GG$587,'0.Productos'!AV$1+1,0),"")</f>
        <v/>
      </c>
      <c r="E289" s="133" t="str">
        <f>IF($A289&lt;&gt;0,VLOOKUP($A289,'0.Productos'!$A$3:$GG$587,'0.Productos'!AW$1+1,0),"")</f>
        <v/>
      </c>
      <c r="F289" s="133" t="str">
        <f>IF($A289&lt;&gt;0,VLOOKUP($A289,'0.Productos'!$A$3:$GG$587,'0.Productos'!AX$1+1,0),"")</f>
        <v/>
      </c>
      <c r="G289" s="133" t="str">
        <f>IF($A289&lt;&gt;0,VLOOKUP($A289,'0.Productos'!$A$3:$GG$587,'0.Productos'!AY$1+1,0),"")</f>
        <v/>
      </c>
      <c r="H289" s="133" t="str">
        <f>IF($A289&lt;&gt;0,VLOOKUP($A289,'0.Productos'!$A$3:$GG$587,'0.Productos'!AZ$1+1,0),"")</f>
        <v/>
      </c>
      <c r="I289" s="133" t="str">
        <f>IF($A289&lt;&gt;0,VLOOKUP($A289,'0.Productos'!$A$3:$GG$587,'0.Productos'!BA$1+1,0),"")</f>
        <v/>
      </c>
      <c r="J289" s="133" t="str">
        <f>IF($A289&lt;&gt;0,VLOOKUP($A289,'0.Productos'!$A$3:$GG$587,'0.Productos'!BB$1+1,0),"")</f>
        <v/>
      </c>
      <c r="K289" s="133" t="str">
        <f>IF($A289&lt;&gt;0,VLOOKUP($A289,'0.Productos'!$A$3:$GG$587,'0.Productos'!BC$1+1,0),"")</f>
        <v/>
      </c>
      <c r="L289" s="133" t="str">
        <f>IF($A289&lt;&gt;0,VLOOKUP($A289,'0.Productos'!$A$3:$GG$587,'0.Productos'!BD$1+1,0),"")</f>
        <v/>
      </c>
      <c r="M289" s="133" t="str">
        <f>IF($A289&lt;&gt;0,VLOOKUP($A289,'0.Productos'!$A$3:$GG$587,'0.Productos'!BE$1+1,0),"")</f>
        <v/>
      </c>
      <c r="N289" s="133" t="str">
        <f>IF($A289&lt;&gt;0,VLOOKUP($A289,'0.Productos'!$A$3:$GG$587,'0.Productos'!BF$1+1,0),"")</f>
        <v/>
      </c>
      <c r="O289" s="133" t="str">
        <f>IF($A289&lt;&gt;0,VLOOKUP($A289,'0.Productos'!$A$3:$GG$587,'0.Productos'!BG$1+1,0),"")</f>
        <v/>
      </c>
      <c r="P289" s="133" t="str">
        <f>IF($A289&lt;&gt;0,VLOOKUP($A289,'0.Productos'!$A$3:$GG$587,'0.Productos'!BH$1+1,0),"")</f>
        <v/>
      </c>
      <c r="Q289" s="133" t="str">
        <f>IF($A289&lt;&gt;0,VLOOKUP($A289,'0.Productos'!$A$3:$GG$587,'0.Productos'!BI$1+1,0),"")</f>
        <v/>
      </c>
      <c r="R289" s="133" t="str">
        <f>IF($A289&lt;&gt;0,VLOOKUP($A289,'0.Productos'!$A$3:$GG$587,'0.Productos'!BJ$1+1,0),"")</f>
        <v/>
      </c>
      <c r="S289" s="133" t="str">
        <f>IF($A289&lt;&gt;0,VLOOKUP($A289,'0.Productos'!$A$3:$GG$587,'0.Productos'!BK$1+1,0),"")</f>
        <v/>
      </c>
      <c r="T289" s="133" t="str">
        <f>IF($A289&lt;&gt;0,VLOOKUP($A289,'0.Productos'!$A$3:$GG$587,'0.Productos'!BL$1+1,0),"")</f>
        <v/>
      </c>
      <c r="U289" s="133" t="str">
        <f>IF($A289&lt;&gt;0,VLOOKUP($A289,'0.Productos'!$A$3:$GG$587,'0.Productos'!BM$1+1,0),"")</f>
        <v/>
      </c>
      <c r="V289" s="133" t="str">
        <f>IF($A289&lt;&gt;0,VLOOKUP($A289,'0.Productos'!$A$3:$GG$587,'0.Productos'!BN$1+1,0),"")</f>
        <v/>
      </c>
      <c r="W289" s="133" t="str">
        <f>IF($A289&lt;&gt;0,VLOOKUP($A289,'0.Productos'!$A$3:$GG$587,'0.Productos'!BO$1+1,0),"")</f>
        <v/>
      </c>
      <c r="X289" s="133" t="str">
        <f>IF($A289&lt;&gt;0,VLOOKUP($A289,'0.Productos'!$A$3:$GG$587,'0.Productos'!BP$1+1,0),"")</f>
        <v/>
      </c>
      <c r="Y289" s="133" t="str">
        <f>IF($A289&lt;&gt;0,VLOOKUP($A289,'0.Productos'!$A$3:$GG$587,'0.Productos'!BQ$1+1,0),"")</f>
        <v/>
      </c>
      <c r="Z289" s="133" t="str">
        <f>IF($A289&lt;&gt;0,VLOOKUP($A289,'0.Productos'!$A$3:$GG$587,'0.Productos'!BR$1+1,0),"")</f>
        <v/>
      </c>
      <c r="AA289" s="133" t="str">
        <f>IF($A289&lt;&gt;0,VLOOKUP($A289,'0.Productos'!$A$3:$GG$587,'0.Productos'!BS$1+1,0),"")</f>
        <v/>
      </c>
      <c r="AB289" s="133" t="str">
        <f>IF($A289&lt;&gt;0,VLOOKUP($A289,'0.Productos'!$A$3:$GG$587,'0.Productos'!BT$1+1,0),"")</f>
        <v/>
      </c>
      <c r="AC289" s="133" t="str">
        <f>IF($A289&lt;&gt;0,VLOOKUP($A289,'0.Productos'!$A$3:$GG$587,'0.Productos'!BU$1+1,0),"")</f>
        <v/>
      </c>
      <c r="AD289" s="133" t="str">
        <f>IF($A289&lt;&gt;0,VLOOKUP($A289,'0.Productos'!$A$3:$GG$587,'0.Productos'!BV$1+1,0),"")</f>
        <v/>
      </c>
      <c r="AE289" s="133" t="str">
        <f>IF($A289&lt;&gt;0,VLOOKUP($A289,'0.Productos'!$A$3:$GG$587,'0.Productos'!BW$1+1,0),"")</f>
        <v/>
      </c>
      <c r="AF289" s="133" t="str">
        <f>IF($A289&lt;&gt;0,VLOOKUP($A289,'0.Productos'!$A$3:$GG$587,'0.Productos'!BX$1+1,0),"")</f>
        <v/>
      </c>
      <c r="AG289" s="133" t="str">
        <f>IF($A289&lt;&gt;0,VLOOKUP($A289,'0.Productos'!$A$3:$GG$587,'0.Productos'!BY$1+1,0),"")</f>
        <v/>
      </c>
      <c r="AH289" s="133" t="str">
        <f>IF($A289&lt;&gt;0,VLOOKUP($A289,'0.Productos'!$A$3:$GG$587,'0.Productos'!BZ$1+1,0),"")</f>
        <v/>
      </c>
      <c r="AI289" s="133" t="str">
        <f>IF($A289&lt;&gt;0,VLOOKUP($A289,'0.Productos'!$A$3:$GG$587,'0.Productos'!CA$1+1,0),"")</f>
        <v/>
      </c>
      <c r="AJ289" s="133" t="str">
        <f>IF($A289&lt;&gt;0,VLOOKUP($A289,'0.Productos'!$A$3:$GG$587,'0.Productos'!CB$1+1,0),"")</f>
        <v/>
      </c>
      <c r="AK289" s="133" t="str">
        <f>IF($A289&lt;&gt;0,VLOOKUP($A289,'0.Productos'!$A$3:$GG$587,'0.Productos'!CC$1+1,0),"")</f>
        <v/>
      </c>
      <c r="AL289" s="133" t="str">
        <f>IF($A289&lt;&gt;0,VLOOKUP($A289,'0.Productos'!$A$3:$GG$587,'0.Productos'!CD$1+1,0),"")</f>
        <v/>
      </c>
      <c r="AM289" s="133" t="str">
        <f>IF($A289&lt;&gt;0,VLOOKUP($A289,'0.Productos'!$A$3:$GG$587,'0.Productos'!CE$1+1,0),"")</f>
        <v/>
      </c>
      <c r="AN289" s="133" t="str">
        <f>IF($A289&lt;&gt;0,VLOOKUP($A289,'0.Productos'!$A$3:$GG$587,'0.Productos'!CF$1+1,0),"")</f>
        <v/>
      </c>
      <c r="AO289" s="133" t="str">
        <f>IF($A289&lt;&gt;0,VLOOKUP($A289,'0.Productos'!$A$3:$GG$587,'0.Productos'!CG$1+1,0),"")</f>
        <v/>
      </c>
      <c r="AP289" s="133" t="str">
        <f>IF($A289&lt;&gt;0,VLOOKUP($A289,'0.Productos'!$A$3:$GG$587,'0.Productos'!CH$1+1,0),"")</f>
        <v/>
      </c>
      <c r="AQ289" s="133" t="str">
        <f>IF($A289&lt;&gt;0,VLOOKUP($A289,'0.Productos'!$A$3:$GG$587,'0.Productos'!CI$1+1,0),"")</f>
        <v/>
      </c>
      <c r="AR289" s="133" t="str">
        <f>IF($A289&lt;&gt;0,VLOOKUP($A289,'0.Productos'!$A$3:$GG$587,'0.Productos'!CJ$1+1,0),"")</f>
        <v/>
      </c>
      <c r="AS289" s="133" t="str">
        <f>IF($A289&lt;&gt;0,VLOOKUP($A289,'0.Productos'!$A$3:$GG$587,'0.Productos'!CK$1+1,0),"")</f>
        <v/>
      </c>
      <c r="AT289" s="133" t="str">
        <f>IF($A289&lt;&gt;0,VLOOKUP($A289,'0.Productos'!$A$3:$GG$587,'0.Productos'!CL$1+1,0),"")</f>
        <v/>
      </c>
      <c r="AU289" s="133" t="str">
        <f>IF($A289&lt;&gt;0,VLOOKUP($A289,'0.Productos'!$A$3:$GG$587,'0.Productos'!CM$1+1,0),"")</f>
        <v/>
      </c>
      <c r="AV289" s="133" t="str">
        <f>IF($A289&lt;&gt;0,VLOOKUP($A289,'0.Productos'!$A$3:$GG$587,'0.Productos'!CN$1+1,0),"")</f>
        <v/>
      </c>
      <c r="AW289" s="133" t="str">
        <f>IF($A289&lt;&gt;0,VLOOKUP($A289,'0.Productos'!$A$3:$GG$587,'0.Productos'!CO$1+1,0),"")</f>
        <v/>
      </c>
      <c r="AX289" s="133" t="str">
        <f>IF($A289&lt;&gt;0,VLOOKUP($A289,'0.Productos'!$A$3:$GG$587,'0.Productos'!CP$1+1,0),"")</f>
        <v/>
      </c>
      <c r="AY289" s="133" t="str">
        <f>IF($A289&lt;&gt;0,VLOOKUP($A289,'0.Productos'!$A$3:$GG$587,'0.Productos'!CQ$1+1,0),"")</f>
        <v/>
      </c>
      <c r="AZ289" s="133" t="str">
        <f>IF($A289&lt;&gt;0,VLOOKUP($A289,'0.Productos'!$A$3:$GG$587,'0.Productos'!CR$1+1,0),"")</f>
        <v/>
      </c>
      <c r="BA289" s="133" t="str">
        <f>IF($A289&lt;&gt;0,VLOOKUP($A289,'0.Productos'!$A$3:$GG$587,'0.Productos'!CS$1+1,0),"")</f>
        <v/>
      </c>
      <c r="BB289" s="133" t="str">
        <f>IF($A289&lt;&gt;0,VLOOKUP($A289,'0.Productos'!$A$3:$GG$587,'0.Productos'!CT$1+1,0),"")</f>
        <v/>
      </c>
      <c r="BC289" s="133" t="str">
        <f>IF($A289&lt;&gt;0,VLOOKUP($A289,'0.Productos'!$A$3:$GG$587,'0.Productos'!CU$1+1,0),"")</f>
        <v/>
      </c>
      <c r="BD289" s="133" t="str">
        <f>IF($A289&lt;&gt;0,VLOOKUP($A289,'0.Productos'!$A$3:$GG$587,'0.Productos'!CV$1+1,0),"")</f>
        <v/>
      </c>
      <c r="BE289" s="133" t="str">
        <f>IF($A289&lt;&gt;0,VLOOKUP($A289,'0.Productos'!$A$3:$GG$587,'0.Productos'!CW$1+1,0),"")</f>
        <v/>
      </c>
      <c r="BF289" s="133" t="str">
        <f>IF($A289&lt;&gt;0,VLOOKUP($A289,'0.Productos'!$A$3:$GG$587,'0.Productos'!CX$1+1,0),"")</f>
        <v/>
      </c>
      <c r="BG289" s="133" t="str">
        <f>IF($A289&lt;&gt;0,VLOOKUP($A289,'0.Productos'!$A$3:$GG$587,'0.Productos'!CY$1+1,0),"")</f>
        <v/>
      </c>
      <c r="BH289" s="133" t="str">
        <f>IF($A289&lt;&gt;0,VLOOKUP($A289,'0.Productos'!$A$3:$GG$587,'0.Productos'!CZ$1+1,0),"")</f>
        <v/>
      </c>
      <c r="BI289" s="133" t="str">
        <f>IF($A289&lt;&gt;0,VLOOKUP($A289,'0.Productos'!$A$3:$GG$587,'0.Productos'!DA$1+1,0),"")</f>
        <v/>
      </c>
      <c r="BJ289" s="133" t="str">
        <f>IF($A289&lt;&gt;0,VLOOKUP($A289,'0.Productos'!$A$3:$GG$587,'0.Productos'!DB$1+1,0),"")</f>
        <v/>
      </c>
      <c r="BK289" s="133" t="str">
        <f>IF($A289&lt;&gt;0,VLOOKUP($A289,'0.Productos'!$A$3:$GG$587,'0.Productos'!DC$1+1,0),"")</f>
        <v/>
      </c>
      <c r="BL289" s="133" t="str">
        <f>IF($A289&lt;&gt;0,VLOOKUP($A289,'0.Productos'!$A$3:$GG$587,'0.Productos'!DD$1+1,0),"")</f>
        <v/>
      </c>
      <c r="BM289" s="133" t="str">
        <f>IF($A289&lt;&gt;0,VLOOKUP($A289,'0.Productos'!$A$3:$GG$587,'0.Productos'!DE$1+1,0),"")</f>
        <v/>
      </c>
      <c r="BN289" s="133" t="str">
        <f>IF($A289&lt;&gt;0,VLOOKUP($A289,'0.Productos'!$A$3:$GG$587,'0.Productos'!DF$1+1,0),"")</f>
        <v/>
      </c>
      <c r="BO289" s="133" t="str">
        <f>IF($A289&lt;&gt;0,VLOOKUP($A289,'0.Productos'!$A$3:$GG$587,'0.Productos'!DG$1+1,0),"")</f>
        <v/>
      </c>
      <c r="BP289" s="133" t="str">
        <f>IF($A289&lt;&gt;0,VLOOKUP($A289,'0.Productos'!$A$3:$GG$587,'0.Productos'!DH$1+1,0),"")</f>
        <v/>
      </c>
      <c r="BQ289" s="133" t="str">
        <f>IF($A289&lt;&gt;0,VLOOKUP($A289,'0.Productos'!$A$3:$GG$587,'0.Productos'!DI$1+1,0),"")</f>
        <v/>
      </c>
      <c r="BR289" s="133" t="str">
        <f>IF($A289&lt;&gt;0,VLOOKUP($A289,'0.Productos'!$A$3:$GG$587,'0.Productos'!DJ$1+1,0),"")</f>
        <v/>
      </c>
      <c r="BS289" s="133" t="str">
        <f>IF($A289&lt;&gt;0,VLOOKUP($A289,'0.Productos'!$A$3:$GG$587,'0.Productos'!DK$1+1,0),"")</f>
        <v/>
      </c>
      <c r="BT289" s="133" t="str">
        <f>IF($A289&lt;&gt;0,VLOOKUP($A289,'0.Productos'!$A$3:$GG$587,'0.Productos'!DL$1+1,0),"")</f>
        <v/>
      </c>
    </row>
    <row r="290" spans="1:72" x14ac:dyDescent="0.25">
      <c r="A290" s="17">
        <f>'0.Consolidado general'!A290</f>
        <v>0</v>
      </c>
      <c r="B290" s="133" t="str">
        <f>IF($A290&lt;&gt;0,VLOOKUP($A290,'0.Productos'!$A$3:$GG$587,'0.Productos'!AT$1+1,0),"")</f>
        <v/>
      </c>
      <c r="C290" s="133" t="str">
        <f>IF($A290&lt;&gt;0,VLOOKUP($A290,'0.Productos'!$A$3:$GG$587,'0.Productos'!AU$1+1,0),"")</f>
        <v/>
      </c>
      <c r="D290" s="133" t="str">
        <f>IF($A290&lt;&gt;0,VLOOKUP($A290,'0.Productos'!$A$3:$GG$587,'0.Productos'!AV$1+1,0),"")</f>
        <v/>
      </c>
      <c r="E290" s="133" t="str">
        <f>IF($A290&lt;&gt;0,VLOOKUP($A290,'0.Productos'!$A$3:$GG$587,'0.Productos'!AW$1+1,0),"")</f>
        <v/>
      </c>
      <c r="F290" s="133" t="str">
        <f>IF($A290&lt;&gt;0,VLOOKUP($A290,'0.Productos'!$A$3:$GG$587,'0.Productos'!AX$1+1,0),"")</f>
        <v/>
      </c>
      <c r="G290" s="133" t="str">
        <f>IF($A290&lt;&gt;0,VLOOKUP($A290,'0.Productos'!$A$3:$GG$587,'0.Productos'!AY$1+1,0),"")</f>
        <v/>
      </c>
      <c r="H290" s="133" t="str">
        <f>IF($A290&lt;&gt;0,VLOOKUP($A290,'0.Productos'!$A$3:$GG$587,'0.Productos'!AZ$1+1,0),"")</f>
        <v/>
      </c>
      <c r="I290" s="133" t="str">
        <f>IF($A290&lt;&gt;0,VLOOKUP($A290,'0.Productos'!$A$3:$GG$587,'0.Productos'!BA$1+1,0),"")</f>
        <v/>
      </c>
      <c r="J290" s="133" t="str">
        <f>IF($A290&lt;&gt;0,VLOOKUP($A290,'0.Productos'!$A$3:$GG$587,'0.Productos'!BB$1+1,0),"")</f>
        <v/>
      </c>
      <c r="K290" s="133" t="str">
        <f>IF($A290&lt;&gt;0,VLOOKUP($A290,'0.Productos'!$A$3:$GG$587,'0.Productos'!BC$1+1,0),"")</f>
        <v/>
      </c>
      <c r="L290" s="133" t="str">
        <f>IF($A290&lt;&gt;0,VLOOKUP($A290,'0.Productos'!$A$3:$GG$587,'0.Productos'!BD$1+1,0),"")</f>
        <v/>
      </c>
      <c r="M290" s="133" t="str">
        <f>IF($A290&lt;&gt;0,VLOOKUP($A290,'0.Productos'!$A$3:$GG$587,'0.Productos'!BE$1+1,0),"")</f>
        <v/>
      </c>
      <c r="N290" s="133" t="str">
        <f>IF($A290&lt;&gt;0,VLOOKUP($A290,'0.Productos'!$A$3:$GG$587,'0.Productos'!BF$1+1,0),"")</f>
        <v/>
      </c>
      <c r="O290" s="133" t="str">
        <f>IF($A290&lt;&gt;0,VLOOKUP($A290,'0.Productos'!$A$3:$GG$587,'0.Productos'!BG$1+1,0),"")</f>
        <v/>
      </c>
      <c r="P290" s="133" t="str">
        <f>IF($A290&lt;&gt;0,VLOOKUP($A290,'0.Productos'!$A$3:$GG$587,'0.Productos'!BH$1+1,0),"")</f>
        <v/>
      </c>
      <c r="Q290" s="133" t="str">
        <f>IF($A290&lt;&gt;0,VLOOKUP($A290,'0.Productos'!$A$3:$GG$587,'0.Productos'!BI$1+1,0),"")</f>
        <v/>
      </c>
      <c r="R290" s="133" t="str">
        <f>IF($A290&lt;&gt;0,VLOOKUP($A290,'0.Productos'!$A$3:$GG$587,'0.Productos'!BJ$1+1,0),"")</f>
        <v/>
      </c>
      <c r="S290" s="133" t="str">
        <f>IF($A290&lt;&gt;0,VLOOKUP($A290,'0.Productos'!$A$3:$GG$587,'0.Productos'!BK$1+1,0),"")</f>
        <v/>
      </c>
      <c r="T290" s="133" t="str">
        <f>IF($A290&lt;&gt;0,VLOOKUP($A290,'0.Productos'!$A$3:$GG$587,'0.Productos'!BL$1+1,0),"")</f>
        <v/>
      </c>
      <c r="U290" s="133" t="str">
        <f>IF($A290&lt;&gt;0,VLOOKUP($A290,'0.Productos'!$A$3:$GG$587,'0.Productos'!BM$1+1,0),"")</f>
        <v/>
      </c>
      <c r="V290" s="133" t="str">
        <f>IF($A290&lt;&gt;0,VLOOKUP($A290,'0.Productos'!$A$3:$GG$587,'0.Productos'!BN$1+1,0),"")</f>
        <v/>
      </c>
      <c r="W290" s="133" t="str">
        <f>IF($A290&lt;&gt;0,VLOOKUP($A290,'0.Productos'!$A$3:$GG$587,'0.Productos'!BO$1+1,0),"")</f>
        <v/>
      </c>
      <c r="X290" s="133" t="str">
        <f>IF($A290&lt;&gt;0,VLOOKUP($A290,'0.Productos'!$A$3:$GG$587,'0.Productos'!BP$1+1,0),"")</f>
        <v/>
      </c>
      <c r="Y290" s="133" t="str">
        <f>IF($A290&lt;&gt;0,VLOOKUP($A290,'0.Productos'!$A$3:$GG$587,'0.Productos'!BQ$1+1,0),"")</f>
        <v/>
      </c>
      <c r="Z290" s="133" t="str">
        <f>IF($A290&lt;&gt;0,VLOOKUP($A290,'0.Productos'!$A$3:$GG$587,'0.Productos'!BR$1+1,0),"")</f>
        <v/>
      </c>
      <c r="AA290" s="133" t="str">
        <f>IF($A290&lt;&gt;0,VLOOKUP($A290,'0.Productos'!$A$3:$GG$587,'0.Productos'!BS$1+1,0),"")</f>
        <v/>
      </c>
      <c r="AB290" s="133" t="str">
        <f>IF($A290&lt;&gt;0,VLOOKUP($A290,'0.Productos'!$A$3:$GG$587,'0.Productos'!BT$1+1,0),"")</f>
        <v/>
      </c>
      <c r="AC290" s="133" t="str">
        <f>IF($A290&lt;&gt;0,VLOOKUP($A290,'0.Productos'!$A$3:$GG$587,'0.Productos'!BU$1+1,0),"")</f>
        <v/>
      </c>
      <c r="AD290" s="133" t="str">
        <f>IF($A290&lt;&gt;0,VLOOKUP($A290,'0.Productos'!$A$3:$GG$587,'0.Productos'!BV$1+1,0),"")</f>
        <v/>
      </c>
      <c r="AE290" s="133" t="str">
        <f>IF($A290&lt;&gt;0,VLOOKUP($A290,'0.Productos'!$A$3:$GG$587,'0.Productos'!BW$1+1,0),"")</f>
        <v/>
      </c>
      <c r="AF290" s="133" t="str">
        <f>IF($A290&lt;&gt;0,VLOOKUP($A290,'0.Productos'!$A$3:$GG$587,'0.Productos'!BX$1+1,0),"")</f>
        <v/>
      </c>
      <c r="AG290" s="133" t="str">
        <f>IF($A290&lt;&gt;0,VLOOKUP($A290,'0.Productos'!$A$3:$GG$587,'0.Productos'!BY$1+1,0),"")</f>
        <v/>
      </c>
      <c r="AH290" s="133" t="str">
        <f>IF($A290&lt;&gt;0,VLOOKUP($A290,'0.Productos'!$A$3:$GG$587,'0.Productos'!BZ$1+1,0),"")</f>
        <v/>
      </c>
      <c r="AI290" s="133" t="str">
        <f>IF($A290&lt;&gt;0,VLOOKUP($A290,'0.Productos'!$A$3:$GG$587,'0.Productos'!CA$1+1,0),"")</f>
        <v/>
      </c>
      <c r="AJ290" s="133" t="str">
        <f>IF($A290&lt;&gt;0,VLOOKUP($A290,'0.Productos'!$A$3:$GG$587,'0.Productos'!CB$1+1,0),"")</f>
        <v/>
      </c>
      <c r="AK290" s="133" t="str">
        <f>IF($A290&lt;&gt;0,VLOOKUP($A290,'0.Productos'!$A$3:$GG$587,'0.Productos'!CC$1+1,0),"")</f>
        <v/>
      </c>
      <c r="AL290" s="133" t="str">
        <f>IF($A290&lt;&gt;0,VLOOKUP($A290,'0.Productos'!$A$3:$GG$587,'0.Productos'!CD$1+1,0),"")</f>
        <v/>
      </c>
      <c r="AM290" s="133" t="str">
        <f>IF($A290&lt;&gt;0,VLOOKUP($A290,'0.Productos'!$A$3:$GG$587,'0.Productos'!CE$1+1,0),"")</f>
        <v/>
      </c>
      <c r="AN290" s="133" t="str">
        <f>IF($A290&lt;&gt;0,VLOOKUP($A290,'0.Productos'!$A$3:$GG$587,'0.Productos'!CF$1+1,0),"")</f>
        <v/>
      </c>
      <c r="AO290" s="133" t="str">
        <f>IF($A290&lt;&gt;0,VLOOKUP($A290,'0.Productos'!$A$3:$GG$587,'0.Productos'!CG$1+1,0),"")</f>
        <v/>
      </c>
      <c r="AP290" s="133" t="str">
        <f>IF($A290&lt;&gt;0,VLOOKUP($A290,'0.Productos'!$A$3:$GG$587,'0.Productos'!CH$1+1,0),"")</f>
        <v/>
      </c>
      <c r="AQ290" s="133" t="str">
        <f>IF($A290&lt;&gt;0,VLOOKUP($A290,'0.Productos'!$A$3:$GG$587,'0.Productos'!CI$1+1,0),"")</f>
        <v/>
      </c>
      <c r="AR290" s="133" t="str">
        <f>IF($A290&lt;&gt;0,VLOOKUP($A290,'0.Productos'!$A$3:$GG$587,'0.Productos'!CJ$1+1,0),"")</f>
        <v/>
      </c>
      <c r="AS290" s="133" t="str">
        <f>IF($A290&lt;&gt;0,VLOOKUP($A290,'0.Productos'!$A$3:$GG$587,'0.Productos'!CK$1+1,0),"")</f>
        <v/>
      </c>
      <c r="AT290" s="133" t="str">
        <f>IF($A290&lt;&gt;0,VLOOKUP($A290,'0.Productos'!$A$3:$GG$587,'0.Productos'!CL$1+1,0),"")</f>
        <v/>
      </c>
      <c r="AU290" s="133" t="str">
        <f>IF($A290&lt;&gt;0,VLOOKUP($A290,'0.Productos'!$A$3:$GG$587,'0.Productos'!CM$1+1,0),"")</f>
        <v/>
      </c>
      <c r="AV290" s="133" t="str">
        <f>IF($A290&lt;&gt;0,VLOOKUP($A290,'0.Productos'!$A$3:$GG$587,'0.Productos'!CN$1+1,0),"")</f>
        <v/>
      </c>
      <c r="AW290" s="133" t="str">
        <f>IF($A290&lt;&gt;0,VLOOKUP($A290,'0.Productos'!$A$3:$GG$587,'0.Productos'!CO$1+1,0),"")</f>
        <v/>
      </c>
      <c r="AX290" s="133" t="str">
        <f>IF($A290&lt;&gt;0,VLOOKUP($A290,'0.Productos'!$A$3:$GG$587,'0.Productos'!CP$1+1,0),"")</f>
        <v/>
      </c>
      <c r="AY290" s="133" t="str">
        <f>IF($A290&lt;&gt;0,VLOOKUP($A290,'0.Productos'!$A$3:$GG$587,'0.Productos'!CQ$1+1,0),"")</f>
        <v/>
      </c>
      <c r="AZ290" s="133" t="str">
        <f>IF($A290&lt;&gt;0,VLOOKUP($A290,'0.Productos'!$A$3:$GG$587,'0.Productos'!CR$1+1,0),"")</f>
        <v/>
      </c>
      <c r="BA290" s="133" t="str">
        <f>IF($A290&lt;&gt;0,VLOOKUP($A290,'0.Productos'!$A$3:$GG$587,'0.Productos'!CS$1+1,0),"")</f>
        <v/>
      </c>
      <c r="BB290" s="133" t="str">
        <f>IF($A290&lt;&gt;0,VLOOKUP($A290,'0.Productos'!$A$3:$GG$587,'0.Productos'!CT$1+1,0),"")</f>
        <v/>
      </c>
      <c r="BC290" s="133" t="str">
        <f>IF($A290&lt;&gt;0,VLOOKUP($A290,'0.Productos'!$A$3:$GG$587,'0.Productos'!CU$1+1,0),"")</f>
        <v/>
      </c>
      <c r="BD290" s="133" t="str">
        <f>IF($A290&lt;&gt;0,VLOOKUP($A290,'0.Productos'!$A$3:$GG$587,'0.Productos'!CV$1+1,0),"")</f>
        <v/>
      </c>
      <c r="BE290" s="133" t="str">
        <f>IF($A290&lt;&gt;0,VLOOKUP($A290,'0.Productos'!$A$3:$GG$587,'0.Productos'!CW$1+1,0),"")</f>
        <v/>
      </c>
      <c r="BF290" s="133" t="str">
        <f>IF($A290&lt;&gt;0,VLOOKUP($A290,'0.Productos'!$A$3:$GG$587,'0.Productos'!CX$1+1,0),"")</f>
        <v/>
      </c>
      <c r="BG290" s="133" t="str">
        <f>IF($A290&lt;&gt;0,VLOOKUP($A290,'0.Productos'!$A$3:$GG$587,'0.Productos'!CY$1+1,0),"")</f>
        <v/>
      </c>
      <c r="BH290" s="133" t="str">
        <f>IF($A290&lt;&gt;0,VLOOKUP($A290,'0.Productos'!$A$3:$GG$587,'0.Productos'!CZ$1+1,0),"")</f>
        <v/>
      </c>
      <c r="BI290" s="133" t="str">
        <f>IF($A290&lt;&gt;0,VLOOKUP($A290,'0.Productos'!$A$3:$GG$587,'0.Productos'!DA$1+1,0),"")</f>
        <v/>
      </c>
      <c r="BJ290" s="133" t="str">
        <f>IF($A290&lt;&gt;0,VLOOKUP($A290,'0.Productos'!$A$3:$GG$587,'0.Productos'!DB$1+1,0),"")</f>
        <v/>
      </c>
      <c r="BK290" s="133" t="str">
        <f>IF($A290&lt;&gt;0,VLOOKUP($A290,'0.Productos'!$A$3:$GG$587,'0.Productos'!DC$1+1,0),"")</f>
        <v/>
      </c>
      <c r="BL290" s="133" t="str">
        <f>IF($A290&lt;&gt;0,VLOOKUP($A290,'0.Productos'!$A$3:$GG$587,'0.Productos'!DD$1+1,0),"")</f>
        <v/>
      </c>
      <c r="BM290" s="133" t="str">
        <f>IF($A290&lt;&gt;0,VLOOKUP($A290,'0.Productos'!$A$3:$GG$587,'0.Productos'!DE$1+1,0),"")</f>
        <v/>
      </c>
      <c r="BN290" s="133" t="str">
        <f>IF($A290&lt;&gt;0,VLOOKUP($A290,'0.Productos'!$A$3:$GG$587,'0.Productos'!DF$1+1,0),"")</f>
        <v/>
      </c>
      <c r="BO290" s="133" t="str">
        <f>IF($A290&lt;&gt;0,VLOOKUP($A290,'0.Productos'!$A$3:$GG$587,'0.Productos'!DG$1+1,0),"")</f>
        <v/>
      </c>
      <c r="BP290" s="133" t="str">
        <f>IF($A290&lt;&gt;0,VLOOKUP($A290,'0.Productos'!$A$3:$GG$587,'0.Productos'!DH$1+1,0),"")</f>
        <v/>
      </c>
      <c r="BQ290" s="133" t="str">
        <f>IF($A290&lt;&gt;0,VLOOKUP($A290,'0.Productos'!$A$3:$GG$587,'0.Productos'!DI$1+1,0),"")</f>
        <v/>
      </c>
      <c r="BR290" s="133" t="str">
        <f>IF($A290&lt;&gt;0,VLOOKUP($A290,'0.Productos'!$A$3:$GG$587,'0.Productos'!DJ$1+1,0),"")</f>
        <v/>
      </c>
      <c r="BS290" s="133" t="str">
        <f>IF($A290&lt;&gt;0,VLOOKUP($A290,'0.Productos'!$A$3:$GG$587,'0.Productos'!DK$1+1,0),"")</f>
        <v/>
      </c>
      <c r="BT290" s="133" t="str">
        <f>IF($A290&lt;&gt;0,VLOOKUP($A290,'0.Productos'!$A$3:$GG$587,'0.Productos'!DL$1+1,0),"")</f>
        <v/>
      </c>
    </row>
    <row r="291" spans="1:72" x14ac:dyDescent="0.25">
      <c r="A291" s="17">
        <f>'0.Consolidado general'!A291</f>
        <v>0</v>
      </c>
      <c r="B291" s="133" t="str">
        <f>IF($A291&lt;&gt;0,VLOOKUP($A291,'0.Productos'!$A$3:$GG$587,'0.Productos'!AT$1+1,0),"")</f>
        <v/>
      </c>
      <c r="C291" s="133" t="str">
        <f>IF($A291&lt;&gt;0,VLOOKUP($A291,'0.Productos'!$A$3:$GG$587,'0.Productos'!AU$1+1,0),"")</f>
        <v/>
      </c>
      <c r="D291" s="133" t="str">
        <f>IF($A291&lt;&gt;0,VLOOKUP($A291,'0.Productos'!$A$3:$GG$587,'0.Productos'!AV$1+1,0),"")</f>
        <v/>
      </c>
      <c r="E291" s="133" t="str">
        <f>IF($A291&lt;&gt;0,VLOOKUP($A291,'0.Productos'!$A$3:$GG$587,'0.Productos'!AW$1+1,0),"")</f>
        <v/>
      </c>
      <c r="F291" s="133" t="str">
        <f>IF($A291&lt;&gt;0,VLOOKUP($A291,'0.Productos'!$A$3:$GG$587,'0.Productos'!AX$1+1,0),"")</f>
        <v/>
      </c>
      <c r="G291" s="133" t="str">
        <f>IF($A291&lt;&gt;0,VLOOKUP($A291,'0.Productos'!$A$3:$GG$587,'0.Productos'!AY$1+1,0),"")</f>
        <v/>
      </c>
      <c r="H291" s="133" t="str">
        <f>IF($A291&lt;&gt;0,VLOOKUP($A291,'0.Productos'!$A$3:$GG$587,'0.Productos'!AZ$1+1,0),"")</f>
        <v/>
      </c>
      <c r="I291" s="133" t="str">
        <f>IF($A291&lt;&gt;0,VLOOKUP($A291,'0.Productos'!$A$3:$GG$587,'0.Productos'!BA$1+1,0),"")</f>
        <v/>
      </c>
      <c r="J291" s="133" t="str">
        <f>IF($A291&lt;&gt;0,VLOOKUP($A291,'0.Productos'!$A$3:$GG$587,'0.Productos'!BB$1+1,0),"")</f>
        <v/>
      </c>
      <c r="K291" s="133" t="str">
        <f>IF($A291&lt;&gt;0,VLOOKUP($A291,'0.Productos'!$A$3:$GG$587,'0.Productos'!BC$1+1,0),"")</f>
        <v/>
      </c>
      <c r="L291" s="133" t="str">
        <f>IF($A291&lt;&gt;0,VLOOKUP($A291,'0.Productos'!$A$3:$GG$587,'0.Productos'!BD$1+1,0),"")</f>
        <v/>
      </c>
      <c r="M291" s="133" t="str">
        <f>IF($A291&lt;&gt;0,VLOOKUP($A291,'0.Productos'!$A$3:$GG$587,'0.Productos'!BE$1+1,0),"")</f>
        <v/>
      </c>
      <c r="N291" s="133" t="str">
        <f>IF($A291&lt;&gt;0,VLOOKUP($A291,'0.Productos'!$A$3:$GG$587,'0.Productos'!BF$1+1,0),"")</f>
        <v/>
      </c>
      <c r="O291" s="133" t="str">
        <f>IF($A291&lt;&gt;0,VLOOKUP($A291,'0.Productos'!$A$3:$GG$587,'0.Productos'!BG$1+1,0),"")</f>
        <v/>
      </c>
      <c r="P291" s="133" t="str">
        <f>IF($A291&lt;&gt;0,VLOOKUP($A291,'0.Productos'!$A$3:$GG$587,'0.Productos'!BH$1+1,0),"")</f>
        <v/>
      </c>
      <c r="Q291" s="133" t="str">
        <f>IF($A291&lt;&gt;0,VLOOKUP($A291,'0.Productos'!$A$3:$GG$587,'0.Productos'!BI$1+1,0),"")</f>
        <v/>
      </c>
      <c r="R291" s="133" t="str">
        <f>IF($A291&lt;&gt;0,VLOOKUP($A291,'0.Productos'!$A$3:$GG$587,'0.Productos'!BJ$1+1,0),"")</f>
        <v/>
      </c>
      <c r="S291" s="133" t="str">
        <f>IF($A291&lt;&gt;0,VLOOKUP($A291,'0.Productos'!$A$3:$GG$587,'0.Productos'!BK$1+1,0),"")</f>
        <v/>
      </c>
      <c r="T291" s="133" t="str">
        <f>IF($A291&lt;&gt;0,VLOOKUP($A291,'0.Productos'!$A$3:$GG$587,'0.Productos'!BL$1+1,0),"")</f>
        <v/>
      </c>
      <c r="U291" s="133" t="str">
        <f>IF($A291&lt;&gt;0,VLOOKUP($A291,'0.Productos'!$A$3:$GG$587,'0.Productos'!BM$1+1,0),"")</f>
        <v/>
      </c>
      <c r="V291" s="133" t="str">
        <f>IF($A291&lt;&gt;0,VLOOKUP($A291,'0.Productos'!$A$3:$GG$587,'0.Productos'!BN$1+1,0),"")</f>
        <v/>
      </c>
      <c r="W291" s="133" t="str">
        <f>IF($A291&lt;&gt;0,VLOOKUP($A291,'0.Productos'!$A$3:$GG$587,'0.Productos'!BO$1+1,0),"")</f>
        <v/>
      </c>
      <c r="X291" s="133" t="str">
        <f>IF($A291&lt;&gt;0,VLOOKUP($A291,'0.Productos'!$A$3:$GG$587,'0.Productos'!BP$1+1,0),"")</f>
        <v/>
      </c>
      <c r="Y291" s="133" t="str">
        <f>IF($A291&lt;&gt;0,VLOOKUP($A291,'0.Productos'!$A$3:$GG$587,'0.Productos'!BQ$1+1,0),"")</f>
        <v/>
      </c>
      <c r="Z291" s="133" t="str">
        <f>IF($A291&lt;&gt;0,VLOOKUP($A291,'0.Productos'!$A$3:$GG$587,'0.Productos'!BR$1+1,0),"")</f>
        <v/>
      </c>
      <c r="AA291" s="133" t="str">
        <f>IF($A291&lt;&gt;0,VLOOKUP($A291,'0.Productos'!$A$3:$GG$587,'0.Productos'!BS$1+1,0),"")</f>
        <v/>
      </c>
      <c r="AB291" s="133" t="str">
        <f>IF($A291&lt;&gt;0,VLOOKUP($A291,'0.Productos'!$A$3:$GG$587,'0.Productos'!BT$1+1,0),"")</f>
        <v/>
      </c>
      <c r="AC291" s="133" t="str">
        <f>IF($A291&lt;&gt;0,VLOOKUP($A291,'0.Productos'!$A$3:$GG$587,'0.Productos'!BU$1+1,0),"")</f>
        <v/>
      </c>
      <c r="AD291" s="133" t="str">
        <f>IF($A291&lt;&gt;0,VLOOKUP($A291,'0.Productos'!$A$3:$GG$587,'0.Productos'!BV$1+1,0),"")</f>
        <v/>
      </c>
      <c r="AE291" s="133" t="str">
        <f>IF($A291&lt;&gt;0,VLOOKUP($A291,'0.Productos'!$A$3:$GG$587,'0.Productos'!BW$1+1,0),"")</f>
        <v/>
      </c>
      <c r="AF291" s="133" t="str">
        <f>IF($A291&lt;&gt;0,VLOOKUP($A291,'0.Productos'!$A$3:$GG$587,'0.Productos'!BX$1+1,0),"")</f>
        <v/>
      </c>
      <c r="AG291" s="133" t="str">
        <f>IF($A291&lt;&gt;0,VLOOKUP($A291,'0.Productos'!$A$3:$GG$587,'0.Productos'!BY$1+1,0),"")</f>
        <v/>
      </c>
      <c r="AH291" s="133" t="str">
        <f>IF($A291&lt;&gt;0,VLOOKUP($A291,'0.Productos'!$A$3:$GG$587,'0.Productos'!BZ$1+1,0),"")</f>
        <v/>
      </c>
      <c r="AI291" s="133" t="str">
        <f>IF($A291&lt;&gt;0,VLOOKUP($A291,'0.Productos'!$A$3:$GG$587,'0.Productos'!CA$1+1,0),"")</f>
        <v/>
      </c>
      <c r="AJ291" s="133" t="str">
        <f>IF($A291&lt;&gt;0,VLOOKUP($A291,'0.Productos'!$A$3:$GG$587,'0.Productos'!CB$1+1,0),"")</f>
        <v/>
      </c>
      <c r="AK291" s="133" t="str">
        <f>IF($A291&lt;&gt;0,VLOOKUP($A291,'0.Productos'!$A$3:$GG$587,'0.Productos'!CC$1+1,0),"")</f>
        <v/>
      </c>
      <c r="AL291" s="133" t="str">
        <f>IF($A291&lt;&gt;0,VLOOKUP($A291,'0.Productos'!$A$3:$GG$587,'0.Productos'!CD$1+1,0),"")</f>
        <v/>
      </c>
      <c r="AM291" s="133" t="str">
        <f>IF($A291&lt;&gt;0,VLOOKUP($A291,'0.Productos'!$A$3:$GG$587,'0.Productos'!CE$1+1,0),"")</f>
        <v/>
      </c>
      <c r="AN291" s="133" t="str">
        <f>IF($A291&lt;&gt;0,VLOOKUP($A291,'0.Productos'!$A$3:$GG$587,'0.Productos'!CF$1+1,0),"")</f>
        <v/>
      </c>
      <c r="AO291" s="133" t="str">
        <f>IF($A291&lt;&gt;0,VLOOKUP($A291,'0.Productos'!$A$3:$GG$587,'0.Productos'!CG$1+1,0),"")</f>
        <v/>
      </c>
      <c r="AP291" s="133" t="str">
        <f>IF($A291&lt;&gt;0,VLOOKUP($A291,'0.Productos'!$A$3:$GG$587,'0.Productos'!CH$1+1,0),"")</f>
        <v/>
      </c>
      <c r="AQ291" s="133" t="str">
        <f>IF($A291&lt;&gt;0,VLOOKUP($A291,'0.Productos'!$A$3:$GG$587,'0.Productos'!CI$1+1,0),"")</f>
        <v/>
      </c>
      <c r="AR291" s="133" t="str">
        <f>IF($A291&lt;&gt;0,VLOOKUP($A291,'0.Productos'!$A$3:$GG$587,'0.Productos'!CJ$1+1,0),"")</f>
        <v/>
      </c>
      <c r="AS291" s="133" t="str">
        <f>IF($A291&lt;&gt;0,VLOOKUP($A291,'0.Productos'!$A$3:$GG$587,'0.Productos'!CK$1+1,0),"")</f>
        <v/>
      </c>
      <c r="AT291" s="133" t="str">
        <f>IF($A291&lt;&gt;0,VLOOKUP($A291,'0.Productos'!$A$3:$GG$587,'0.Productos'!CL$1+1,0),"")</f>
        <v/>
      </c>
      <c r="AU291" s="133" t="str">
        <f>IF($A291&lt;&gt;0,VLOOKUP($A291,'0.Productos'!$A$3:$GG$587,'0.Productos'!CM$1+1,0),"")</f>
        <v/>
      </c>
      <c r="AV291" s="133" t="str">
        <f>IF($A291&lt;&gt;0,VLOOKUP($A291,'0.Productos'!$A$3:$GG$587,'0.Productos'!CN$1+1,0),"")</f>
        <v/>
      </c>
      <c r="AW291" s="133" t="str">
        <f>IF($A291&lt;&gt;0,VLOOKUP($A291,'0.Productos'!$A$3:$GG$587,'0.Productos'!CO$1+1,0),"")</f>
        <v/>
      </c>
      <c r="AX291" s="133" t="str">
        <f>IF($A291&lt;&gt;0,VLOOKUP($A291,'0.Productos'!$A$3:$GG$587,'0.Productos'!CP$1+1,0),"")</f>
        <v/>
      </c>
      <c r="AY291" s="133" t="str">
        <f>IF($A291&lt;&gt;0,VLOOKUP($A291,'0.Productos'!$A$3:$GG$587,'0.Productos'!CQ$1+1,0),"")</f>
        <v/>
      </c>
      <c r="AZ291" s="133" t="str">
        <f>IF($A291&lt;&gt;0,VLOOKUP($A291,'0.Productos'!$A$3:$GG$587,'0.Productos'!CR$1+1,0),"")</f>
        <v/>
      </c>
      <c r="BA291" s="133" t="str">
        <f>IF($A291&lt;&gt;0,VLOOKUP($A291,'0.Productos'!$A$3:$GG$587,'0.Productos'!CS$1+1,0),"")</f>
        <v/>
      </c>
      <c r="BB291" s="133" t="str">
        <f>IF($A291&lt;&gt;0,VLOOKUP($A291,'0.Productos'!$A$3:$GG$587,'0.Productos'!CT$1+1,0),"")</f>
        <v/>
      </c>
      <c r="BC291" s="133" t="str">
        <f>IF($A291&lt;&gt;0,VLOOKUP($A291,'0.Productos'!$A$3:$GG$587,'0.Productos'!CU$1+1,0),"")</f>
        <v/>
      </c>
      <c r="BD291" s="133" t="str">
        <f>IF($A291&lt;&gt;0,VLOOKUP($A291,'0.Productos'!$A$3:$GG$587,'0.Productos'!CV$1+1,0),"")</f>
        <v/>
      </c>
      <c r="BE291" s="133" t="str">
        <f>IF($A291&lt;&gt;0,VLOOKUP($A291,'0.Productos'!$A$3:$GG$587,'0.Productos'!CW$1+1,0),"")</f>
        <v/>
      </c>
      <c r="BF291" s="133" t="str">
        <f>IF($A291&lt;&gt;0,VLOOKUP($A291,'0.Productos'!$A$3:$GG$587,'0.Productos'!CX$1+1,0),"")</f>
        <v/>
      </c>
      <c r="BG291" s="133" t="str">
        <f>IF($A291&lt;&gt;0,VLOOKUP($A291,'0.Productos'!$A$3:$GG$587,'0.Productos'!CY$1+1,0),"")</f>
        <v/>
      </c>
      <c r="BH291" s="133" t="str">
        <f>IF($A291&lt;&gt;0,VLOOKUP($A291,'0.Productos'!$A$3:$GG$587,'0.Productos'!CZ$1+1,0),"")</f>
        <v/>
      </c>
      <c r="BI291" s="133" t="str">
        <f>IF($A291&lt;&gt;0,VLOOKUP($A291,'0.Productos'!$A$3:$GG$587,'0.Productos'!DA$1+1,0),"")</f>
        <v/>
      </c>
      <c r="BJ291" s="133" t="str">
        <f>IF($A291&lt;&gt;0,VLOOKUP($A291,'0.Productos'!$A$3:$GG$587,'0.Productos'!DB$1+1,0),"")</f>
        <v/>
      </c>
      <c r="BK291" s="133" t="str">
        <f>IF($A291&lt;&gt;0,VLOOKUP($A291,'0.Productos'!$A$3:$GG$587,'0.Productos'!DC$1+1,0),"")</f>
        <v/>
      </c>
      <c r="BL291" s="133" t="str">
        <f>IF($A291&lt;&gt;0,VLOOKUP($A291,'0.Productos'!$A$3:$GG$587,'0.Productos'!DD$1+1,0),"")</f>
        <v/>
      </c>
      <c r="BM291" s="133" t="str">
        <f>IF($A291&lt;&gt;0,VLOOKUP($A291,'0.Productos'!$A$3:$GG$587,'0.Productos'!DE$1+1,0),"")</f>
        <v/>
      </c>
      <c r="BN291" s="133" t="str">
        <f>IF($A291&lt;&gt;0,VLOOKUP($A291,'0.Productos'!$A$3:$GG$587,'0.Productos'!DF$1+1,0),"")</f>
        <v/>
      </c>
      <c r="BO291" s="133" t="str">
        <f>IF($A291&lt;&gt;0,VLOOKUP($A291,'0.Productos'!$A$3:$GG$587,'0.Productos'!DG$1+1,0),"")</f>
        <v/>
      </c>
      <c r="BP291" s="133" t="str">
        <f>IF($A291&lt;&gt;0,VLOOKUP($A291,'0.Productos'!$A$3:$GG$587,'0.Productos'!DH$1+1,0),"")</f>
        <v/>
      </c>
      <c r="BQ291" s="133" t="str">
        <f>IF($A291&lt;&gt;0,VLOOKUP($A291,'0.Productos'!$A$3:$GG$587,'0.Productos'!DI$1+1,0),"")</f>
        <v/>
      </c>
      <c r="BR291" s="133" t="str">
        <f>IF($A291&lt;&gt;0,VLOOKUP($A291,'0.Productos'!$A$3:$GG$587,'0.Productos'!DJ$1+1,0),"")</f>
        <v/>
      </c>
      <c r="BS291" s="133" t="str">
        <f>IF($A291&lt;&gt;0,VLOOKUP($A291,'0.Productos'!$A$3:$GG$587,'0.Productos'!DK$1+1,0),"")</f>
        <v/>
      </c>
      <c r="BT291" s="133" t="str">
        <f>IF($A291&lt;&gt;0,VLOOKUP($A291,'0.Productos'!$A$3:$GG$587,'0.Productos'!DL$1+1,0),"")</f>
        <v/>
      </c>
    </row>
    <row r="292" spans="1:72" x14ac:dyDescent="0.25">
      <c r="A292" s="17">
        <f>'0.Consolidado general'!A292</f>
        <v>0</v>
      </c>
      <c r="B292" s="133" t="str">
        <f>IF($A292&lt;&gt;0,VLOOKUP($A292,'0.Productos'!$A$3:$GG$587,'0.Productos'!AT$1+1,0),"")</f>
        <v/>
      </c>
      <c r="C292" s="133" t="str">
        <f>IF($A292&lt;&gt;0,VLOOKUP($A292,'0.Productos'!$A$3:$GG$587,'0.Productos'!AU$1+1,0),"")</f>
        <v/>
      </c>
      <c r="D292" s="133" t="str">
        <f>IF($A292&lt;&gt;0,VLOOKUP($A292,'0.Productos'!$A$3:$GG$587,'0.Productos'!AV$1+1,0),"")</f>
        <v/>
      </c>
      <c r="E292" s="133" t="str">
        <f>IF($A292&lt;&gt;0,VLOOKUP($A292,'0.Productos'!$A$3:$GG$587,'0.Productos'!AW$1+1,0),"")</f>
        <v/>
      </c>
      <c r="F292" s="133" t="str">
        <f>IF($A292&lt;&gt;0,VLOOKUP($A292,'0.Productos'!$A$3:$GG$587,'0.Productos'!AX$1+1,0),"")</f>
        <v/>
      </c>
      <c r="G292" s="133" t="str">
        <f>IF($A292&lt;&gt;0,VLOOKUP($A292,'0.Productos'!$A$3:$GG$587,'0.Productos'!AY$1+1,0),"")</f>
        <v/>
      </c>
      <c r="H292" s="133" t="str">
        <f>IF($A292&lt;&gt;0,VLOOKUP($A292,'0.Productos'!$A$3:$GG$587,'0.Productos'!AZ$1+1,0),"")</f>
        <v/>
      </c>
      <c r="I292" s="133" t="str">
        <f>IF($A292&lt;&gt;0,VLOOKUP($A292,'0.Productos'!$A$3:$GG$587,'0.Productos'!BA$1+1,0),"")</f>
        <v/>
      </c>
      <c r="J292" s="133" t="str">
        <f>IF($A292&lt;&gt;0,VLOOKUP($A292,'0.Productos'!$A$3:$GG$587,'0.Productos'!BB$1+1,0),"")</f>
        <v/>
      </c>
      <c r="K292" s="133" t="str">
        <f>IF($A292&lt;&gt;0,VLOOKUP($A292,'0.Productos'!$A$3:$GG$587,'0.Productos'!BC$1+1,0),"")</f>
        <v/>
      </c>
      <c r="L292" s="133" t="str">
        <f>IF($A292&lt;&gt;0,VLOOKUP($A292,'0.Productos'!$A$3:$GG$587,'0.Productos'!BD$1+1,0),"")</f>
        <v/>
      </c>
      <c r="M292" s="133" t="str">
        <f>IF($A292&lt;&gt;0,VLOOKUP($A292,'0.Productos'!$A$3:$GG$587,'0.Productos'!BE$1+1,0),"")</f>
        <v/>
      </c>
      <c r="N292" s="133" t="str">
        <f>IF($A292&lt;&gt;0,VLOOKUP($A292,'0.Productos'!$A$3:$GG$587,'0.Productos'!BF$1+1,0),"")</f>
        <v/>
      </c>
      <c r="O292" s="133" t="str">
        <f>IF($A292&lt;&gt;0,VLOOKUP($A292,'0.Productos'!$A$3:$GG$587,'0.Productos'!BG$1+1,0),"")</f>
        <v/>
      </c>
      <c r="P292" s="133" t="str">
        <f>IF($A292&lt;&gt;0,VLOOKUP($A292,'0.Productos'!$A$3:$GG$587,'0.Productos'!BH$1+1,0),"")</f>
        <v/>
      </c>
      <c r="Q292" s="133" t="str">
        <f>IF($A292&lt;&gt;0,VLOOKUP($A292,'0.Productos'!$A$3:$GG$587,'0.Productos'!BI$1+1,0),"")</f>
        <v/>
      </c>
      <c r="R292" s="133" t="str">
        <f>IF($A292&lt;&gt;0,VLOOKUP($A292,'0.Productos'!$A$3:$GG$587,'0.Productos'!BJ$1+1,0),"")</f>
        <v/>
      </c>
      <c r="S292" s="133" t="str">
        <f>IF($A292&lt;&gt;0,VLOOKUP($A292,'0.Productos'!$A$3:$GG$587,'0.Productos'!BK$1+1,0),"")</f>
        <v/>
      </c>
      <c r="T292" s="133" t="str">
        <f>IF($A292&lt;&gt;0,VLOOKUP($A292,'0.Productos'!$A$3:$GG$587,'0.Productos'!BL$1+1,0),"")</f>
        <v/>
      </c>
      <c r="U292" s="133" t="str">
        <f>IF($A292&lt;&gt;0,VLOOKUP($A292,'0.Productos'!$A$3:$GG$587,'0.Productos'!BM$1+1,0),"")</f>
        <v/>
      </c>
      <c r="V292" s="133" t="str">
        <f>IF($A292&lt;&gt;0,VLOOKUP($A292,'0.Productos'!$A$3:$GG$587,'0.Productos'!BN$1+1,0),"")</f>
        <v/>
      </c>
      <c r="W292" s="133" t="str">
        <f>IF($A292&lt;&gt;0,VLOOKUP($A292,'0.Productos'!$A$3:$GG$587,'0.Productos'!BO$1+1,0),"")</f>
        <v/>
      </c>
      <c r="X292" s="133" t="str">
        <f>IF($A292&lt;&gt;0,VLOOKUP($A292,'0.Productos'!$A$3:$GG$587,'0.Productos'!BP$1+1,0),"")</f>
        <v/>
      </c>
      <c r="Y292" s="133" t="str">
        <f>IF($A292&lt;&gt;0,VLOOKUP($A292,'0.Productos'!$A$3:$GG$587,'0.Productos'!BQ$1+1,0),"")</f>
        <v/>
      </c>
      <c r="Z292" s="133" t="str">
        <f>IF($A292&lt;&gt;0,VLOOKUP($A292,'0.Productos'!$A$3:$GG$587,'0.Productos'!BR$1+1,0),"")</f>
        <v/>
      </c>
      <c r="AA292" s="133" t="str">
        <f>IF($A292&lt;&gt;0,VLOOKUP($A292,'0.Productos'!$A$3:$GG$587,'0.Productos'!BS$1+1,0),"")</f>
        <v/>
      </c>
      <c r="AB292" s="133" t="str">
        <f>IF($A292&lt;&gt;0,VLOOKUP($A292,'0.Productos'!$A$3:$GG$587,'0.Productos'!BT$1+1,0),"")</f>
        <v/>
      </c>
      <c r="AC292" s="133" t="str">
        <f>IF($A292&lt;&gt;0,VLOOKUP($A292,'0.Productos'!$A$3:$GG$587,'0.Productos'!BU$1+1,0),"")</f>
        <v/>
      </c>
      <c r="AD292" s="133" t="str">
        <f>IF($A292&lt;&gt;0,VLOOKUP($A292,'0.Productos'!$A$3:$GG$587,'0.Productos'!BV$1+1,0),"")</f>
        <v/>
      </c>
      <c r="AE292" s="133" t="str">
        <f>IF($A292&lt;&gt;0,VLOOKUP($A292,'0.Productos'!$A$3:$GG$587,'0.Productos'!BW$1+1,0),"")</f>
        <v/>
      </c>
      <c r="AF292" s="133" t="str">
        <f>IF($A292&lt;&gt;0,VLOOKUP($A292,'0.Productos'!$A$3:$GG$587,'0.Productos'!BX$1+1,0),"")</f>
        <v/>
      </c>
      <c r="AG292" s="133" t="str">
        <f>IF($A292&lt;&gt;0,VLOOKUP($A292,'0.Productos'!$A$3:$GG$587,'0.Productos'!BY$1+1,0),"")</f>
        <v/>
      </c>
      <c r="AH292" s="133" t="str">
        <f>IF($A292&lt;&gt;0,VLOOKUP($A292,'0.Productos'!$A$3:$GG$587,'0.Productos'!BZ$1+1,0),"")</f>
        <v/>
      </c>
      <c r="AI292" s="133" t="str">
        <f>IF($A292&lt;&gt;0,VLOOKUP($A292,'0.Productos'!$A$3:$GG$587,'0.Productos'!CA$1+1,0),"")</f>
        <v/>
      </c>
      <c r="AJ292" s="133" t="str">
        <f>IF($A292&lt;&gt;0,VLOOKUP($A292,'0.Productos'!$A$3:$GG$587,'0.Productos'!CB$1+1,0),"")</f>
        <v/>
      </c>
      <c r="AK292" s="133" t="str">
        <f>IF($A292&lt;&gt;0,VLOOKUP($A292,'0.Productos'!$A$3:$GG$587,'0.Productos'!CC$1+1,0),"")</f>
        <v/>
      </c>
      <c r="AL292" s="133" t="str">
        <f>IF($A292&lt;&gt;0,VLOOKUP($A292,'0.Productos'!$A$3:$GG$587,'0.Productos'!CD$1+1,0),"")</f>
        <v/>
      </c>
      <c r="AM292" s="133" t="str">
        <f>IF($A292&lt;&gt;0,VLOOKUP($A292,'0.Productos'!$A$3:$GG$587,'0.Productos'!CE$1+1,0),"")</f>
        <v/>
      </c>
      <c r="AN292" s="133" t="str">
        <f>IF($A292&lt;&gt;0,VLOOKUP($A292,'0.Productos'!$A$3:$GG$587,'0.Productos'!CF$1+1,0),"")</f>
        <v/>
      </c>
      <c r="AO292" s="133" t="str">
        <f>IF($A292&lt;&gt;0,VLOOKUP($A292,'0.Productos'!$A$3:$GG$587,'0.Productos'!CG$1+1,0),"")</f>
        <v/>
      </c>
      <c r="AP292" s="133" t="str">
        <f>IF($A292&lt;&gt;0,VLOOKUP($A292,'0.Productos'!$A$3:$GG$587,'0.Productos'!CH$1+1,0),"")</f>
        <v/>
      </c>
      <c r="AQ292" s="133" t="str">
        <f>IF($A292&lt;&gt;0,VLOOKUP($A292,'0.Productos'!$A$3:$GG$587,'0.Productos'!CI$1+1,0),"")</f>
        <v/>
      </c>
      <c r="AR292" s="133" t="str">
        <f>IF($A292&lt;&gt;0,VLOOKUP($A292,'0.Productos'!$A$3:$GG$587,'0.Productos'!CJ$1+1,0),"")</f>
        <v/>
      </c>
      <c r="AS292" s="133" t="str">
        <f>IF($A292&lt;&gt;0,VLOOKUP($A292,'0.Productos'!$A$3:$GG$587,'0.Productos'!CK$1+1,0),"")</f>
        <v/>
      </c>
      <c r="AT292" s="133" t="str">
        <f>IF($A292&lt;&gt;0,VLOOKUP($A292,'0.Productos'!$A$3:$GG$587,'0.Productos'!CL$1+1,0),"")</f>
        <v/>
      </c>
      <c r="AU292" s="133" t="str">
        <f>IF($A292&lt;&gt;0,VLOOKUP($A292,'0.Productos'!$A$3:$GG$587,'0.Productos'!CM$1+1,0),"")</f>
        <v/>
      </c>
      <c r="AV292" s="133" t="str">
        <f>IF($A292&lt;&gt;0,VLOOKUP($A292,'0.Productos'!$A$3:$GG$587,'0.Productos'!CN$1+1,0),"")</f>
        <v/>
      </c>
      <c r="AW292" s="133" t="str">
        <f>IF($A292&lt;&gt;0,VLOOKUP($A292,'0.Productos'!$A$3:$GG$587,'0.Productos'!CO$1+1,0),"")</f>
        <v/>
      </c>
      <c r="AX292" s="133" t="str">
        <f>IF($A292&lt;&gt;0,VLOOKUP($A292,'0.Productos'!$A$3:$GG$587,'0.Productos'!CP$1+1,0),"")</f>
        <v/>
      </c>
      <c r="AY292" s="133" t="str">
        <f>IF($A292&lt;&gt;0,VLOOKUP($A292,'0.Productos'!$A$3:$GG$587,'0.Productos'!CQ$1+1,0),"")</f>
        <v/>
      </c>
      <c r="AZ292" s="133" t="str">
        <f>IF($A292&lt;&gt;0,VLOOKUP($A292,'0.Productos'!$A$3:$GG$587,'0.Productos'!CR$1+1,0),"")</f>
        <v/>
      </c>
      <c r="BA292" s="133" t="str">
        <f>IF($A292&lt;&gt;0,VLOOKUP($A292,'0.Productos'!$A$3:$GG$587,'0.Productos'!CS$1+1,0),"")</f>
        <v/>
      </c>
      <c r="BB292" s="133" t="str">
        <f>IF($A292&lt;&gt;0,VLOOKUP($A292,'0.Productos'!$A$3:$GG$587,'0.Productos'!CT$1+1,0),"")</f>
        <v/>
      </c>
      <c r="BC292" s="133" t="str">
        <f>IF($A292&lt;&gt;0,VLOOKUP($A292,'0.Productos'!$A$3:$GG$587,'0.Productos'!CU$1+1,0),"")</f>
        <v/>
      </c>
      <c r="BD292" s="133" t="str">
        <f>IF($A292&lt;&gt;0,VLOOKUP($A292,'0.Productos'!$A$3:$GG$587,'0.Productos'!CV$1+1,0),"")</f>
        <v/>
      </c>
      <c r="BE292" s="133" t="str">
        <f>IF($A292&lt;&gt;0,VLOOKUP($A292,'0.Productos'!$A$3:$GG$587,'0.Productos'!CW$1+1,0),"")</f>
        <v/>
      </c>
      <c r="BF292" s="133" t="str">
        <f>IF($A292&lt;&gt;0,VLOOKUP($A292,'0.Productos'!$A$3:$GG$587,'0.Productos'!CX$1+1,0),"")</f>
        <v/>
      </c>
      <c r="BG292" s="133" t="str">
        <f>IF($A292&lt;&gt;0,VLOOKUP($A292,'0.Productos'!$A$3:$GG$587,'0.Productos'!CY$1+1,0),"")</f>
        <v/>
      </c>
      <c r="BH292" s="133" t="str">
        <f>IF($A292&lt;&gt;0,VLOOKUP($A292,'0.Productos'!$A$3:$GG$587,'0.Productos'!CZ$1+1,0),"")</f>
        <v/>
      </c>
      <c r="BI292" s="133" t="str">
        <f>IF($A292&lt;&gt;0,VLOOKUP($A292,'0.Productos'!$A$3:$GG$587,'0.Productos'!DA$1+1,0),"")</f>
        <v/>
      </c>
      <c r="BJ292" s="133" t="str">
        <f>IF($A292&lt;&gt;0,VLOOKUP($A292,'0.Productos'!$A$3:$GG$587,'0.Productos'!DB$1+1,0),"")</f>
        <v/>
      </c>
      <c r="BK292" s="133" t="str">
        <f>IF($A292&lt;&gt;0,VLOOKUP($A292,'0.Productos'!$A$3:$GG$587,'0.Productos'!DC$1+1,0),"")</f>
        <v/>
      </c>
      <c r="BL292" s="133" t="str">
        <f>IF($A292&lt;&gt;0,VLOOKUP($A292,'0.Productos'!$A$3:$GG$587,'0.Productos'!DD$1+1,0),"")</f>
        <v/>
      </c>
      <c r="BM292" s="133" t="str">
        <f>IF($A292&lt;&gt;0,VLOOKUP($A292,'0.Productos'!$A$3:$GG$587,'0.Productos'!DE$1+1,0),"")</f>
        <v/>
      </c>
      <c r="BN292" s="133" t="str">
        <f>IF($A292&lt;&gt;0,VLOOKUP($A292,'0.Productos'!$A$3:$GG$587,'0.Productos'!DF$1+1,0),"")</f>
        <v/>
      </c>
      <c r="BO292" s="133" t="str">
        <f>IF($A292&lt;&gt;0,VLOOKUP($A292,'0.Productos'!$A$3:$GG$587,'0.Productos'!DG$1+1,0),"")</f>
        <v/>
      </c>
      <c r="BP292" s="133" t="str">
        <f>IF($A292&lt;&gt;0,VLOOKUP($A292,'0.Productos'!$A$3:$GG$587,'0.Productos'!DH$1+1,0),"")</f>
        <v/>
      </c>
      <c r="BQ292" s="133" t="str">
        <f>IF($A292&lt;&gt;0,VLOOKUP($A292,'0.Productos'!$A$3:$GG$587,'0.Productos'!DI$1+1,0),"")</f>
        <v/>
      </c>
      <c r="BR292" s="133" t="str">
        <f>IF($A292&lt;&gt;0,VLOOKUP($A292,'0.Productos'!$A$3:$GG$587,'0.Productos'!DJ$1+1,0),"")</f>
        <v/>
      </c>
      <c r="BS292" s="133" t="str">
        <f>IF($A292&lt;&gt;0,VLOOKUP($A292,'0.Productos'!$A$3:$GG$587,'0.Productos'!DK$1+1,0),"")</f>
        <v/>
      </c>
      <c r="BT292" s="133" t="str">
        <f>IF($A292&lt;&gt;0,VLOOKUP($A292,'0.Productos'!$A$3:$GG$587,'0.Productos'!DL$1+1,0),"")</f>
        <v/>
      </c>
    </row>
    <row r="293" spans="1:72" x14ac:dyDescent="0.25">
      <c r="A293" s="17">
        <f>'0.Consolidado general'!A293</f>
        <v>0</v>
      </c>
      <c r="B293" s="133" t="str">
        <f>IF($A293&lt;&gt;0,VLOOKUP($A293,'0.Productos'!$A$3:$GG$587,'0.Productos'!AT$1+1,0),"")</f>
        <v/>
      </c>
      <c r="C293" s="133" t="str">
        <f>IF($A293&lt;&gt;0,VLOOKUP($A293,'0.Productos'!$A$3:$GG$587,'0.Productos'!AU$1+1,0),"")</f>
        <v/>
      </c>
      <c r="D293" s="133" t="str">
        <f>IF($A293&lt;&gt;0,VLOOKUP($A293,'0.Productos'!$A$3:$GG$587,'0.Productos'!AV$1+1,0),"")</f>
        <v/>
      </c>
      <c r="E293" s="133" t="str">
        <f>IF($A293&lt;&gt;0,VLOOKUP($A293,'0.Productos'!$A$3:$GG$587,'0.Productos'!AW$1+1,0),"")</f>
        <v/>
      </c>
      <c r="F293" s="133" t="str">
        <f>IF($A293&lt;&gt;0,VLOOKUP($A293,'0.Productos'!$A$3:$GG$587,'0.Productos'!AX$1+1,0),"")</f>
        <v/>
      </c>
      <c r="G293" s="133" t="str">
        <f>IF($A293&lt;&gt;0,VLOOKUP($A293,'0.Productos'!$A$3:$GG$587,'0.Productos'!AY$1+1,0),"")</f>
        <v/>
      </c>
      <c r="H293" s="133" t="str">
        <f>IF($A293&lt;&gt;0,VLOOKUP($A293,'0.Productos'!$A$3:$GG$587,'0.Productos'!AZ$1+1,0),"")</f>
        <v/>
      </c>
      <c r="I293" s="133" t="str">
        <f>IF($A293&lt;&gt;0,VLOOKUP($A293,'0.Productos'!$A$3:$GG$587,'0.Productos'!BA$1+1,0),"")</f>
        <v/>
      </c>
      <c r="J293" s="133" t="str">
        <f>IF($A293&lt;&gt;0,VLOOKUP($A293,'0.Productos'!$A$3:$GG$587,'0.Productos'!BB$1+1,0),"")</f>
        <v/>
      </c>
      <c r="K293" s="133" t="str">
        <f>IF($A293&lt;&gt;0,VLOOKUP($A293,'0.Productos'!$A$3:$GG$587,'0.Productos'!BC$1+1,0),"")</f>
        <v/>
      </c>
      <c r="L293" s="133" t="str">
        <f>IF($A293&lt;&gt;0,VLOOKUP($A293,'0.Productos'!$A$3:$GG$587,'0.Productos'!BD$1+1,0),"")</f>
        <v/>
      </c>
      <c r="M293" s="133" t="str">
        <f>IF($A293&lt;&gt;0,VLOOKUP($A293,'0.Productos'!$A$3:$GG$587,'0.Productos'!BE$1+1,0),"")</f>
        <v/>
      </c>
      <c r="N293" s="133" t="str">
        <f>IF($A293&lt;&gt;0,VLOOKUP($A293,'0.Productos'!$A$3:$GG$587,'0.Productos'!BF$1+1,0),"")</f>
        <v/>
      </c>
      <c r="O293" s="133" t="str">
        <f>IF($A293&lt;&gt;0,VLOOKUP($A293,'0.Productos'!$A$3:$GG$587,'0.Productos'!BG$1+1,0),"")</f>
        <v/>
      </c>
      <c r="P293" s="133" t="str">
        <f>IF($A293&lt;&gt;0,VLOOKUP($A293,'0.Productos'!$A$3:$GG$587,'0.Productos'!BH$1+1,0),"")</f>
        <v/>
      </c>
      <c r="Q293" s="133" t="str">
        <f>IF($A293&lt;&gt;0,VLOOKUP($A293,'0.Productos'!$A$3:$GG$587,'0.Productos'!BI$1+1,0),"")</f>
        <v/>
      </c>
      <c r="R293" s="133" t="str">
        <f>IF($A293&lt;&gt;0,VLOOKUP($A293,'0.Productos'!$A$3:$GG$587,'0.Productos'!BJ$1+1,0),"")</f>
        <v/>
      </c>
      <c r="S293" s="133" t="str">
        <f>IF($A293&lt;&gt;0,VLOOKUP($A293,'0.Productos'!$A$3:$GG$587,'0.Productos'!BK$1+1,0),"")</f>
        <v/>
      </c>
      <c r="T293" s="133" t="str">
        <f>IF($A293&lt;&gt;0,VLOOKUP($A293,'0.Productos'!$A$3:$GG$587,'0.Productos'!BL$1+1,0),"")</f>
        <v/>
      </c>
      <c r="U293" s="133" t="str">
        <f>IF($A293&lt;&gt;0,VLOOKUP($A293,'0.Productos'!$A$3:$GG$587,'0.Productos'!BM$1+1,0),"")</f>
        <v/>
      </c>
      <c r="V293" s="133" t="str">
        <f>IF($A293&lt;&gt;0,VLOOKUP($A293,'0.Productos'!$A$3:$GG$587,'0.Productos'!BN$1+1,0),"")</f>
        <v/>
      </c>
      <c r="W293" s="133" t="str">
        <f>IF($A293&lt;&gt;0,VLOOKUP($A293,'0.Productos'!$A$3:$GG$587,'0.Productos'!BO$1+1,0),"")</f>
        <v/>
      </c>
      <c r="X293" s="133" t="str">
        <f>IF($A293&lt;&gt;0,VLOOKUP($A293,'0.Productos'!$A$3:$GG$587,'0.Productos'!BP$1+1,0),"")</f>
        <v/>
      </c>
      <c r="Y293" s="133" t="str">
        <f>IF($A293&lt;&gt;0,VLOOKUP($A293,'0.Productos'!$A$3:$GG$587,'0.Productos'!BQ$1+1,0),"")</f>
        <v/>
      </c>
      <c r="Z293" s="133" t="str">
        <f>IF($A293&lt;&gt;0,VLOOKUP($A293,'0.Productos'!$A$3:$GG$587,'0.Productos'!BR$1+1,0),"")</f>
        <v/>
      </c>
      <c r="AA293" s="133" t="str">
        <f>IF($A293&lt;&gt;0,VLOOKUP($A293,'0.Productos'!$A$3:$GG$587,'0.Productos'!BS$1+1,0),"")</f>
        <v/>
      </c>
      <c r="AB293" s="133" t="str">
        <f>IF($A293&lt;&gt;0,VLOOKUP($A293,'0.Productos'!$A$3:$GG$587,'0.Productos'!BT$1+1,0),"")</f>
        <v/>
      </c>
      <c r="AC293" s="133" t="str">
        <f>IF($A293&lt;&gt;0,VLOOKUP($A293,'0.Productos'!$A$3:$GG$587,'0.Productos'!BU$1+1,0),"")</f>
        <v/>
      </c>
      <c r="AD293" s="133" t="str">
        <f>IF($A293&lt;&gt;0,VLOOKUP($A293,'0.Productos'!$A$3:$GG$587,'0.Productos'!BV$1+1,0),"")</f>
        <v/>
      </c>
      <c r="AE293" s="133" t="str">
        <f>IF($A293&lt;&gt;0,VLOOKUP($A293,'0.Productos'!$A$3:$GG$587,'0.Productos'!BW$1+1,0),"")</f>
        <v/>
      </c>
      <c r="AF293" s="133" t="str">
        <f>IF($A293&lt;&gt;0,VLOOKUP($A293,'0.Productos'!$A$3:$GG$587,'0.Productos'!BX$1+1,0),"")</f>
        <v/>
      </c>
      <c r="AG293" s="133" t="str">
        <f>IF($A293&lt;&gt;0,VLOOKUP($A293,'0.Productos'!$A$3:$GG$587,'0.Productos'!BY$1+1,0),"")</f>
        <v/>
      </c>
      <c r="AH293" s="133" t="str">
        <f>IF($A293&lt;&gt;0,VLOOKUP($A293,'0.Productos'!$A$3:$GG$587,'0.Productos'!BZ$1+1,0),"")</f>
        <v/>
      </c>
      <c r="AI293" s="133" t="str">
        <f>IF($A293&lt;&gt;0,VLOOKUP($A293,'0.Productos'!$A$3:$GG$587,'0.Productos'!CA$1+1,0),"")</f>
        <v/>
      </c>
      <c r="AJ293" s="133" t="str">
        <f>IF($A293&lt;&gt;0,VLOOKUP($A293,'0.Productos'!$A$3:$GG$587,'0.Productos'!CB$1+1,0),"")</f>
        <v/>
      </c>
      <c r="AK293" s="133" t="str">
        <f>IF($A293&lt;&gt;0,VLOOKUP($A293,'0.Productos'!$A$3:$GG$587,'0.Productos'!CC$1+1,0),"")</f>
        <v/>
      </c>
      <c r="AL293" s="133" t="str">
        <f>IF($A293&lt;&gt;0,VLOOKUP($A293,'0.Productos'!$A$3:$GG$587,'0.Productos'!CD$1+1,0),"")</f>
        <v/>
      </c>
      <c r="AM293" s="133" t="str">
        <f>IF($A293&lt;&gt;0,VLOOKUP($A293,'0.Productos'!$A$3:$GG$587,'0.Productos'!CE$1+1,0),"")</f>
        <v/>
      </c>
      <c r="AN293" s="133" t="str">
        <f>IF($A293&lt;&gt;0,VLOOKUP($A293,'0.Productos'!$A$3:$GG$587,'0.Productos'!CF$1+1,0),"")</f>
        <v/>
      </c>
      <c r="AO293" s="133" t="str">
        <f>IF($A293&lt;&gt;0,VLOOKUP($A293,'0.Productos'!$A$3:$GG$587,'0.Productos'!CG$1+1,0),"")</f>
        <v/>
      </c>
      <c r="AP293" s="133" t="str">
        <f>IF($A293&lt;&gt;0,VLOOKUP($A293,'0.Productos'!$A$3:$GG$587,'0.Productos'!CH$1+1,0),"")</f>
        <v/>
      </c>
      <c r="AQ293" s="133" t="str">
        <f>IF($A293&lt;&gt;0,VLOOKUP($A293,'0.Productos'!$A$3:$GG$587,'0.Productos'!CI$1+1,0),"")</f>
        <v/>
      </c>
      <c r="AR293" s="133" t="str">
        <f>IF($A293&lt;&gt;0,VLOOKUP($A293,'0.Productos'!$A$3:$GG$587,'0.Productos'!CJ$1+1,0),"")</f>
        <v/>
      </c>
      <c r="AS293" s="133" t="str">
        <f>IF($A293&lt;&gt;0,VLOOKUP($A293,'0.Productos'!$A$3:$GG$587,'0.Productos'!CK$1+1,0),"")</f>
        <v/>
      </c>
      <c r="AT293" s="133" t="str">
        <f>IF($A293&lt;&gt;0,VLOOKUP($A293,'0.Productos'!$A$3:$GG$587,'0.Productos'!CL$1+1,0),"")</f>
        <v/>
      </c>
      <c r="AU293" s="133" t="str">
        <f>IF($A293&lt;&gt;0,VLOOKUP($A293,'0.Productos'!$A$3:$GG$587,'0.Productos'!CM$1+1,0),"")</f>
        <v/>
      </c>
      <c r="AV293" s="133" t="str">
        <f>IF($A293&lt;&gt;0,VLOOKUP($A293,'0.Productos'!$A$3:$GG$587,'0.Productos'!CN$1+1,0),"")</f>
        <v/>
      </c>
      <c r="AW293" s="133" t="str">
        <f>IF($A293&lt;&gt;0,VLOOKUP($A293,'0.Productos'!$A$3:$GG$587,'0.Productos'!CO$1+1,0),"")</f>
        <v/>
      </c>
      <c r="AX293" s="133" t="str">
        <f>IF($A293&lt;&gt;0,VLOOKUP($A293,'0.Productos'!$A$3:$GG$587,'0.Productos'!CP$1+1,0),"")</f>
        <v/>
      </c>
      <c r="AY293" s="133" t="str">
        <f>IF($A293&lt;&gt;0,VLOOKUP($A293,'0.Productos'!$A$3:$GG$587,'0.Productos'!CQ$1+1,0),"")</f>
        <v/>
      </c>
      <c r="AZ293" s="133" t="str">
        <f>IF($A293&lt;&gt;0,VLOOKUP($A293,'0.Productos'!$A$3:$GG$587,'0.Productos'!CR$1+1,0),"")</f>
        <v/>
      </c>
      <c r="BA293" s="133" t="str">
        <f>IF($A293&lt;&gt;0,VLOOKUP($A293,'0.Productos'!$A$3:$GG$587,'0.Productos'!CS$1+1,0),"")</f>
        <v/>
      </c>
      <c r="BB293" s="133" t="str">
        <f>IF($A293&lt;&gt;0,VLOOKUP($A293,'0.Productos'!$A$3:$GG$587,'0.Productos'!CT$1+1,0),"")</f>
        <v/>
      </c>
      <c r="BC293" s="133" t="str">
        <f>IF($A293&lt;&gt;0,VLOOKUP($A293,'0.Productos'!$A$3:$GG$587,'0.Productos'!CU$1+1,0),"")</f>
        <v/>
      </c>
      <c r="BD293" s="133" t="str">
        <f>IF($A293&lt;&gt;0,VLOOKUP($A293,'0.Productos'!$A$3:$GG$587,'0.Productos'!CV$1+1,0),"")</f>
        <v/>
      </c>
      <c r="BE293" s="133" t="str">
        <f>IF($A293&lt;&gt;0,VLOOKUP($A293,'0.Productos'!$A$3:$GG$587,'0.Productos'!CW$1+1,0),"")</f>
        <v/>
      </c>
      <c r="BF293" s="133" t="str">
        <f>IF($A293&lt;&gt;0,VLOOKUP($A293,'0.Productos'!$A$3:$GG$587,'0.Productos'!CX$1+1,0),"")</f>
        <v/>
      </c>
      <c r="BG293" s="133" t="str">
        <f>IF($A293&lt;&gt;0,VLOOKUP($A293,'0.Productos'!$A$3:$GG$587,'0.Productos'!CY$1+1,0),"")</f>
        <v/>
      </c>
      <c r="BH293" s="133" t="str">
        <f>IF($A293&lt;&gt;0,VLOOKUP($A293,'0.Productos'!$A$3:$GG$587,'0.Productos'!CZ$1+1,0),"")</f>
        <v/>
      </c>
      <c r="BI293" s="133" t="str">
        <f>IF($A293&lt;&gt;0,VLOOKUP($A293,'0.Productos'!$A$3:$GG$587,'0.Productos'!DA$1+1,0),"")</f>
        <v/>
      </c>
      <c r="BJ293" s="133" t="str">
        <f>IF($A293&lt;&gt;0,VLOOKUP($A293,'0.Productos'!$A$3:$GG$587,'0.Productos'!DB$1+1,0),"")</f>
        <v/>
      </c>
      <c r="BK293" s="133" t="str">
        <f>IF($A293&lt;&gt;0,VLOOKUP($A293,'0.Productos'!$A$3:$GG$587,'0.Productos'!DC$1+1,0),"")</f>
        <v/>
      </c>
      <c r="BL293" s="133" t="str">
        <f>IF($A293&lt;&gt;0,VLOOKUP($A293,'0.Productos'!$A$3:$GG$587,'0.Productos'!DD$1+1,0),"")</f>
        <v/>
      </c>
      <c r="BM293" s="133" t="str">
        <f>IF($A293&lt;&gt;0,VLOOKUP($A293,'0.Productos'!$A$3:$GG$587,'0.Productos'!DE$1+1,0),"")</f>
        <v/>
      </c>
      <c r="BN293" s="133" t="str">
        <f>IF($A293&lt;&gt;0,VLOOKUP($A293,'0.Productos'!$A$3:$GG$587,'0.Productos'!DF$1+1,0),"")</f>
        <v/>
      </c>
      <c r="BO293" s="133" t="str">
        <f>IF($A293&lt;&gt;0,VLOOKUP($A293,'0.Productos'!$A$3:$GG$587,'0.Productos'!DG$1+1,0),"")</f>
        <v/>
      </c>
      <c r="BP293" s="133" t="str">
        <f>IF($A293&lt;&gt;0,VLOOKUP($A293,'0.Productos'!$A$3:$GG$587,'0.Productos'!DH$1+1,0),"")</f>
        <v/>
      </c>
      <c r="BQ293" s="133" t="str">
        <f>IF($A293&lt;&gt;0,VLOOKUP($A293,'0.Productos'!$A$3:$GG$587,'0.Productos'!DI$1+1,0),"")</f>
        <v/>
      </c>
      <c r="BR293" s="133" t="str">
        <f>IF($A293&lt;&gt;0,VLOOKUP($A293,'0.Productos'!$A$3:$GG$587,'0.Productos'!DJ$1+1,0),"")</f>
        <v/>
      </c>
      <c r="BS293" s="133" t="str">
        <f>IF($A293&lt;&gt;0,VLOOKUP($A293,'0.Productos'!$A$3:$GG$587,'0.Productos'!DK$1+1,0),"")</f>
        <v/>
      </c>
      <c r="BT293" s="133" t="str">
        <f>IF($A293&lt;&gt;0,VLOOKUP($A293,'0.Productos'!$A$3:$GG$587,'0.Productos'!DL$1+1,0),"")</f>
        <v/>
      </c>
    </row>
    <row r="294" spans="1:72" x14ac:dyDescent="0.25">
      <c r="A294" s="17">
        <f>'0.Consolidado general'!A294</f>
        <v>0</v>
      </c>
      <c r="B294" s="133" t="str">
        <f>IF($A294&lt;&gt;0,VLOOKUP($A294,'0.Productos'!$A$3:$GG$587,'0.Productos'!AT$1+1,0),"")</f>
        <v/>
      </c>
      <c r="C294" s="133" t="str">
        <f>IF($A294&lt;&gt;0,VLOOKUP($A294,'0.Productos'!$A$3:$GG$587,'0.Productos'!AU$1+1,0),"")</f>
        <v/>
      </c>
      <c r="D294" s="133" t="str">
        <f>IF($A294&lt;&gt;0,VLOOKUP($A294,'0.Productos'!$A$3:$GG$587,'0.Productos'!AV$1+1,0),"")</f>
        <v/>
      </c>
      <c r="E294" s="133" t="str">
        <f>IF($A294&lt;&gt;0,VLOOKUP($A294,'0.Productos'!$A$3:$GG$587,'0.Productos'!AW$1+1,0),"")</f>
        <v/>
      </c>
      <c r="F294" s="133" t="str">
        <f>IF($A294&lt;&gt;0,VLOOKUP($A294,'0.Productos'!$A$3:$GG$587,'0.Productos'!AX$1+1,0),"")</f>
        <v/>
      </c>
      <c r="G294" s="133" t="str">
        <f>IF($A294&lt;&gt;0,VLOOKUP($A294,'0.Productos'!$A$3:$GG$587,'0.Productos'!AY$1+1,0),"")</f>
        <v/>
      </c>
      <c r="H294" s="133" t="str">
        <f>IF($A294&lt;&gt;0,VLOOKUP($A294,'0.Productos'!$A$3:$GG$587,'0.Productos'!AZ$1+1,0),"")</f>
        <v/>
      </c>
      <c r="I294" s="133" t="str">
        <f>IF($A294&lt;&gt;0,VLOOKUP($A294,'0.Productos'!$A$3:$GG$587,'0.Productos'!BA$1+1,0),"")</f>
        <v/>
      </c>
      <c r="J294" s="133" t="str">
        <f>IF($A294&lt;&gt;0,VLOOKUP($A294,'0.Productos'!$A$3:$GG$587,'0.Productos'!BB$1+1,0),"")</f>
        <v/>
      </c>
      <c r="K294" s="133" t="str">
        <f>IF($A294&lt;&gt;0,VLOOKUP($A294,'0.Productos'!$A$3:$GG$587,'0.Productos'!BC$1+1,0),"")</f>
        <v/>
      </c>
      <c r="L294" s="133" t="str">
        <f>IF($A294&lt;&gt;0,VLOOKUP($A294,'0.Productos'!$A$3:$GG$587,'0.Productos'!BD$1+1,0),"")</f>
        <v/>
      </c>
      <c r="M294" s="133" t="str">
        <f>IF($A294&lt;&gt;0,VLOOKUP($A294,'0.Productos'!$A$3:$GG$587,'0.Productos'!BE$1+1,0),"")</f>
        <v/>
      </c>
      <c r="N294" s="133" t="str">
        <f>IF($A294&lt;&gt;0,VLOOKUP($A294,'0.Productos'!$A$3:$GG$587,'0.Productos'!BF$1+1,0),"")</f>
        <v/>
      </c>
      <c r="O294" s="133" t="str">
        <f>IF($A294&lt;&gt;0,VLOOKUP($A294,'0.Productos'!$A$3:$GG$587,'0.Productos'!BG$1+1,0),"")</f>
        <v/>
      </c>
      <c r="P294" s="133" t="str">
        <f>IF($A294&lt;&gt;0,VLOOKUP($A294,'0.Productos'!$A$3:$GG$587,'0.Productos'!BH$1+1,0),"")</f>
        <v/>
      </c>
      <c r="Q294" s="133" t="str">
        <f>IF($A294&lt;&gt;0,VLOOKUP($A294,'0.Productos'!$A$3:$GG$587,'0.Productos'!BI$1+1,0),"")</f>
        <v/>
      </c>
      <c r="R294" s="133" t="str">
        <f>IF($A294&lt;&gt;0,VLOOKUP($A294,'0.Productos'!$A$3:$GG$587,'0.Productos'!BJ$1+1,0),"")</f>
        <v/>
      </c>
      <c r="S294" s="133" t="str">
        <f>IF($A294&lt;&gt;0,VLOOKUP($A294,'0.Productos'!$A$3:$GG$587,'0.Productos'!BK$1+1,0),"")</f>
        <v/>
      </c>
      <c r="T294" s="133" t="str">
        <f>IF($A294&lt;&gt;0,VLOOKUP($A294,'0.Productos'!$A$3:$GG$587,'0.Productos'!BL$1+1,0),"")</f>
        <v/>
      </c>
      <c r="U294" s="133" t="str">
        <f>IF($A294&lt;&gt;0,VLOOKUP($A294,'0.Productos'!$A$3:$GG$587,'0.Productos'!BM$1+1,0),"")</f>
        <v/>
      </c>
      <c r="V294" s="133" t="str">
        <f>IF($A294&lt;&gt;0,VLOOKUP($A294,'0.Productos'!$A$3:$GG$587,'0.Productos'!BN$1+1,0),"")</f>
        <v/>
      </c>
      <c r="W294" s="133" t="str">
        <f>IF($A294&lt;&gt;0,VLOOKUP($A294,'0.Productos'!$A$3:$GG$587,'0.Productos'!BO$1+1,0),"")</f>
        <v/>
      </c>
      <c r="X294" s="133" t="str">
        <f>IF($A294&lt;&gt;0,VLOOKUP($A294,'0.Productos'!$A$3:$GG$587,'0.Productos'!BP$1+1,0),"")</f>
        <v/>
      </c>
      <c r="Y294" s="133" t="str">
        <f>IF($A294&lt;&gt;0,VLOOKUP($A294,'0.Productos'!$A$3:$GG$587,'0.Productos'!BQ$1+1,0),"")</f>
        <v/>
      </c>
      <c r="Z294" s="133" t="str">
        <f>IF($A294&lt;&gt;0,VLOOKUP($A294,'0.Productos'!$A$3:$GG$587,'0.Productos'!BR$1+1,0),"")</f>
        <v/>
      </c>
      <c r="AA294" s="133" t="str">
        <f>IF($A294&lt;&gt;0,VLOOKUP($A294,'0.Productos'!$A$3:$GG$587,'0.Productos'!BS$1+1,0),"")</f>
        <v/>
      </c>
      <c r="AB294" s="133" t="str">
        <f>IF($A294&lt;&gt;0,VLOOKUP($A294,'0.Productos'!$A$3:$GG$587,'0.Productos'!BT$1+1,0),"")</f>
        <v/>
      </c>
      <c r="AC294" s="133" t="str">
        <f>IF($A294&lt;&gt;0,VLOOKUP($A294,'0.Productos'!$A$3:$GG$587,'0.Productos'!BU$1+1,0),"")</f>
        <v/>
      </c>
      <c r="AD294" s="133" t="str">
        <f>IF($A294&lt;&gt;0,VLOOKUP($A294,'0.Productos'!$A$3:$GG$587,'0.Productos'!BV$1+1,0),"")</f>
        <v/>
      </c>
      <c r="AE294" s="133" t="str">
        <f>IF($A294&lt;&gt;0,VLOOKUP($A294,'0.Productos'!$A$3:$GG$587,'0.Productos'!BW$1+1,0),"")</f>
        <v/>
      </c>
      <c r="AF294" s="133" t="str">
        <f>IF($A294&lt;&gt;0,VLOOKUP($A294,'0.Productos'!$A$3:$GG$587,'0.Productos'!BX$1+1,0),"")</f>
        <v/>
      </c>
      <c r="AG294" s="133" t="str">
        <f>IF($A294&lt;&gt;0,VLOOKUP($A294,'0.Productos'!$A$3:$GG$587,'0.Productos'!BY$1+1,0),"")</f>
        <v/>
      </c>
      <c r="AH294" s="133" t="str">
        <f>IF($A294&lt;&gt;0,VLOOKUP($A294,'0.Productos'!$A$3:$GG$587,'0.Productos'!BZ$1+1,0),"")</f>
        <v/>
      </c>
      <c r="AI294" s="133" t="str">
        <f>IF($A294&lt;&gt;0,VLOOKUP($A294,'0.Productos'!$A$3:$GG$587,'0.Productos'!CA$1+1,0),"")</f>
        <v/>
      </c>
      <c r="AJ294" s="133" t="str">
        <f>IF($A294&lt;&gt;0,VLOOKUP($A294,'0.Productos'!$A$3:$GG$587,'0.Productos'!CB$1+1,0),"")</f>
        <v/>
      </c>
      <c r="AK294" s="133" t="str">
        <f>IF($A294&lt;&gt;0,VLOOKUP($A294,'0.Productos'!$A$3:$GG$587,'0.Productos'!CC$1+1,0),"")</f>
        <v/>
      </c>
      <c r="AL294" s="133" t="str">
        <f>IF($A294&lt;&gt;0,VLOOKUP($A294,'0.Productos'!$A$3:$GG$587,'0.Productos'!CD$1+1,0),"")</f>
        <v/>
      </c>
      <c r="AM294" s="133" t="str">
        <f>IF($A294&lt;&gt;0,VLOOKUP($A294,'0.Productos'!$A$3:$GG$587,'0.Productos'!CE$1+1,0),"")</f>
        <v/>
      </c>
      <c r="AN294" s="133" t="str">
        <f>IF($A294&lt;&gt;0,VLOOKUP($A294,'0.Productos'!$A$3:$GG$587,'0.Productos'!CF$1+1,0),"")</f>
        <v/>
      </c>
      <c r="AO294" s="133" t="str">
        <f>IF($A294&lt;&gt;0,VLOOKUP($A294,'0.Productos'!$A$3:$GG$587,'0.Productos'!CG$1+1,0),"")</f>
        <v/>
      </c>
      <c r="AP294" s="133" t="str">
        <f>IF($A294&lt;&gt;0,VLOOKUP($A294,'0.Productos'!$A$3:$GG$587,'0.Productos'!CH$1+1,0),"")</f>
        <v/>
      </c>
      <c r="AQ294" s="133" t="str">
        <f>IF($A294&lt;&gt;0,VLOOKUP($A294,'0.Productos'!$A$3:$GG$587,'0.Productos'!CI$1+1,0),"")</f>
        <v/>
      </c>
      <c r="AR294" s="133" t="str">
        <f>IF($A294&lt;&gt;0,VLOOKUP($A294,'0.Productos'!$A$3:$GG$587,'0.Productos'!CJ$1+1,0),"")</f>
        <v/>
      </c>
      <c r="AS294" s="133" t="str">
        <f>IF($A294&lt;&gt;0,VLOOKUP($A294,'0.Productos'!$A$3:$GG$587,'0.Productos'!CK$1+1,0),"")</f>
        <v/>
      </c>
      <c r="AT294" s="133" t="str">
        <f>IF($A294&lt;&gt;0,VLOOKUP($A294,'0.Productos'!$A$3:$GG$587,'0.Productos'!CL$1+1,0),"")</f>
        <v/>
      </c>
      <c r="AU294" s="133" t="str">
        <f>IF($A294&lt;&gt;0,VLOOKUP($A294,'0.Productos'!$A$3:$GG$587,'0.Productos'!CM$1+1,0),"")</f>
        <v/>
      </c>
      <c r="AV294" s="133" t="str">
        <f>IF($A294&lt;&gt;0,VLOOKUP($A294,'0.Productos'!$A$3:$GG$587,'0.Productos'!CN$1+1,0),"")</f>
        <v/>
      </c>
      <c r="AW294" s="133" t="str">
        <f>IF($A294&lt;&gt;0,VLOOKUP($A294,'0.Productos'!$A$3:$GG$587,'0.Productos'!CO$1+1,0),"")</f>
        <v/>
      </c>
      <c r="AX294" s="133" t="str">
        <f>IF($A294&lt;&gt;0,VLOOKUP($A294,'0.Productos'!$A$3:$GG$587,'0.Productos'!CP$1+1,0),"")</f>
        <v/>
      </c>
      <c r="AY294" s="133" t="str">
        <f>IF($A294&lt;&gt;0,VLOOKUP($A294,'0.Productos'!$A$3:$GG$587,'0.Productos'!CQ$1+1,0),"")</f>
        <v/>
      </c>
      <c r="AZ294" s="133" t="str">
        <f>IF($A294&lt;&gt;0,VLOOKUP($A294,'0.Productos'!$A$3:$GG$587,'0.Productos'!CR$1+1,0),"")</f>
        <v/>
      </c>
      <c r="BA294" s="133" t="str">
        <f>IF($A294&lt;&gt;0,VLOOKUP($A294,'0.Productos'!$A$3:$GG$587,'0.Productos'!CS$1+1,0),"")</f>
        <v/>
      </c>
      <c r="BB294" s="133" t="str">
        <f>IF($A294&lt;&gt;0,VLOOKUP($A294,'0.Productos'!$A$3:$GG$587,'0.Productos'!CT$1+1,0),"")</f>
        <v/>
      </c>
      <c r="BC294" s="133" t="str">
        <f>IF($A294&lt;&gt;0,VLOOKUP($A294,'0.Productos'!$A$3:$GG$587,'0.Productos'!CU$1+1,0),"")</f>
        <v/>
      </c>
      <c r="BD294" s="133" t="str">
        <f>IF($A294&lt;&gt;0,VLOOKUP($A294,'0.Productos'!$A$3:$GG$587,'0.Productos'!CV$1+1,0),"")</f>
        <v/>
      </c>
      <c r="BE294" s="133" t="str">
        <f>IF($A294&lt;&gt;0,VLOOKUP($A294,'0.Productos'!$A$3:$GG$587,'0.Productos'!CW$1+1,0),"")</f>
        <v/>
      </c>
      <c r="BF294" s="133" t="str">
        <f>IF($A294&lt;&gt;0,VLOOKUP($A294,'0.Productos'!$A$3:$GG$587,'0.Productos'!CX$1+1,0),"")</f>
        <v/>
      </c>
      <c r="BG294" s="133" t="str">
        <f>IF($A294&lt;&gt;0,VLOOKUP($A294,'0.Productos'!$A$3:$GG$587,'0.Productos'!CY$1+1,0),"")</f>
        <v/>
      </c>
      <c r="BH294" s="133" t="str">
        <f>IF($A294&lt;&gt;0,VLOOKUP($A294,'0.Productos'!$A$3:$GG$587,'0.Productos'!CZ$1+1,0),"")</f>
        <v/>
      </c>
      <c r="BI294" s="133" t="str">
        <f>IF($A294&lt;&gt;0,VLOOKUP($A294,'0.Productos'!$A$3:$GG$587,'0.Productos'!DA$1+1,0),"")</f>
        <v/>
      </c>
      <c r="BJ294" s="133" t="str">
        <f>IF($A294&lt;&gt;0,VLOOKUP($A294,'0.Productos'!$A$3:$GG$587,'0.Productos'!DB$1+1,0),"")</f>
        <v/>
      </c>
      <c r="BK294" s="133" t="str">
        <f>IF($A294&lt;&gt;0,VLOOKUP($A294,'0.Productos'!$A$3:$GG$587,'0.Productos'!DC$1+1,0),"")</f>
        <v/>
      </c>
      <c r="BL294" s="133" t="str">
        <f>IF($A294&lt;&gt;0,VLOOKUP($A294,'0.Productos'!$A$3:$GG$587,'0.Productos'!DD$1+1,0),"")</f>
        <v/>
      </c>
      <c r="BM294" s="133" t="str">
        <f>IF($A294&lt;&gt;0,VLOOKUP($A294,'0.Productos'!$A$3:$GG$587,'0.Productos'!DE$1+1,0),"")</f>
        <v/>
      </c>
      <c r="BN294" s="133" t="str">
        <f>IF($A294&lt;&gt;0,VLOOKUP($A294,'0.Productos'!$A$3:$GG$587,'0.Productos'!DF$1+1,0),"")</f>
        <v/>
      </c>
      <c r="BO294" s="133" t="str">
        <f>IF($A294&lt;&gt;0,VLOOKUP($A294,'0.Productos'!$A$3:$GG$587,'0.Productos'!DG$1+1,0),"")</f>
        <v/>
      </c>
      <c r="BP294" s="133" t="str">
        <f>IF($A294&lt;&gt;0,VLOOKUP($A294,'0.Productos'!$A$3:$GG$587,'0.Productos'!DH$1+1,0),"")</f>
        <v/>
      </c>
      <c r="BQ294" s="133" t="str">
        <f>IF($A294&lt;&gt;0,VLOOKUP($A294,'0.Productos'!$A$3:$GG$587,'0.Productos'!DI$1+1,0),"")</f>
        <v/>
      </c>
      <c r="BR294" s="133" t="str">
        <f>IF($A294&lt;&gt;0,VLOOKUP($A294,'0.Productos'!$A$3:$GG$587,'0.Productos'!DJ$1+1,0),"")</f>
        <v/>
      </c>
      <c r="BS294" s="133" t="str">
        <f>IF($A294&lt;&gt;0,VLOOKUP($A294,'0.Productos'!$A$3:$GG$587,'0.Productos'!DK$1+1,0),"")</f>
        <v/>
      </c>
      <c r="BT294" s="133" t="str">
        <f>IF($A294&lt;&gt;0,VLOOKUP($A294,'0.Productos'!$A$3:$GG$587,'0.Productos'!DL$1+1,0),"")</f>
        <v/>
      </c>
    </row>
    <row r="295" spans="1:72" x14ac:dyDescent="0.25">
      <c r="A295" s="17">
        <f>'0.Consolidado general'!A295</f>
        <v>0</v>
      </c>
      <c r="B295" s="133" t="str">
        <f>IF($A295&lt;&gt;0,VLOOKUP($A295,'0.Productos'!$A$3:$GG$587,'0.Productos'!AT$1+1,0),"")</f>
        <v/>
      </c>
      <c r="C295" s="133" t="str">
        <f>IF($A295&lt;&gt;0,VLOOKUP($A295,'0.Productos'!$A$3:$GG$587,'0.Productos'!AU$1+1,0),"")</f>
        <v/>
      </c>
      <c r="D295" s="133" t="str">
        <f>IF($A295&lt;&gt;0,VLOOKUP($A295,'0.Productos'!$A$3:$GG$587,'0.Productos'!AV$1+1,0),"")</f>
        <v/>
      </c>
      <c r="E295" s="133" t="str">
        <f>IF($A295&lt;&gt;0,VLOOKUP($A295,'0.Productos'!$A$3:$GG$587,'0.Productos'!AW$1+1,0),"")</f>
        <v/>
      </c>
      <c r="F295" s="133" t="str">
        <f>IF($A295&lt;&gt;0,VLOOKUP($A295,'0.Productos'!$A$3:$GG$587,'0.Productos'!AX$1+1,0),"")</f>
        <v/>
      </c>
      <c r="G295" s="133" t="str">
        <f>IF($A295&lt;&gt;0,VLOOKUP($A295,'0.Productos'!$A$3:$GG$587,'0.Productos'!AY$1+1,0),"")</f>
        <v/>
      </c>
      <c r="H295" s="133" t="str">
        <f>IF($A295&lt;&gt;0,VLOOKUP($A295,'0.Productos'!$A$3:$GG$587,'0.Productos'!AZ$1+1,0),"")</f>
        <v/>
      </c>
      <c r="I295" s="133" t="str">
        <f>IF($A295&lt;&gt;0,VLOOKUP($A295,'0.Productos'!$A$3:$GG$587,'0.Productos'!BA$1+1,0),"")</f>
        <v/>
      </c>
      <c r="J295" s="133" t="str">
        <f>IF($A295&lt;&gt;0,VLOOKUP($A295,'0.Productos'!$A$3:$GG$587,'0.Productos'!BB$1+1,0),"")</f>
        <v/>
      </c>
      <c r="K295" s="133" t="str">
        <f>IF($A295&lt;&gt;0,VLOOKUP($A295,'0.Productos'!$A$3:$GG$587,'0.Productos'!BC$1+1,0),"")</f>
        <v/>
      </c>
      <c r="L295" s="133" t="str">
        <f>IF($A295&lt;&gt;0,VLOOKUP($A295,'0.Productos'!$A$3:$GG$587,'0.Productos'!BD$1+1,0),"")</f>
        <v/>
      </c>
      <c r="M295" s="133" t="str">
        <f>IF($A295&lt;&gt;0,VLOOKUP($A295,'0.Productos'!$A$3:$GG$587,'0.Productos'!BE$1+1,0),"")</f>
        <v/>
      </c>
      <c r="N295" s="133" t="str">
        <f>IF($A295&lt;&gt;0,VLOOKUP($A295,'0.Productos'!$A$3:$GG$587,'0.Productos'!BF$1+1,0),"")</f>
        <v/>
      </c>
      <c r="O295" s="133" t="str">
        <f>IF($A295&lt;&gt;0,VLOOKUP($A295,'0.Productos'!$A$3:$GG$587,'0.Productos'!BG$1+1,0),"")</f>
        <v/>
      </c>
      <c r="P295" s="133" t="str">
        <f>IF($A295&lt;&gt;0,VLOOKUP($A295,'0.Productos'!$A$3:$GG$587,'0.Productos'!BH$1+1,0),"")</f>
        <v/>
      </c>
      <c r="Q295" s="133" t="str">
        <f>IF($A295&lt;&gt;0,VLOOKUP($A295,'0.Productos'!$A$3:$GG$587,'0.Productos'!BI$1+1,0),"")</f>
        <v/>
      </c>
      <c r="R295" s="133" t="str">
        <f>IF($A295&lt;&gt;0,VLOOKUP($A295,'0.Productos'!$A$3:$GG$587,'0.Productos'!BJ$1+1,0),"")</f>
        <v/>
      </c>
      <c r="S295" s="133" t="str">
        <f>IF($A295&lt;&gt;0,VLOOKUP($A295,'0.Productos'!$A$3:$GG$587,'0.Productos'!BK$1+1,0),"")</f>
        <v/>
      </c>
      <c r="T295" s="133" t="str">
        <f>IF($A295&lt;&gt;0,VLOOKUP($A295,'0.Productos'!$A$3:$GG$587,'0.Productos'!BL$1+1,0),"")</f>
        <v/>
      </c>
      <c r="U295" s="133" t="str">
        <f>IF($A295&lt;&gt;0,VLOOKUP($A295,'0.Productos'!$A$3:$GG$587,'0.Productos'!BM$1+1,0),"")</f>
        <v/>
      </c>
      <c r="V295" s="133" t="str">
        <f>IF($A295&lt;&gt;0,VLOOKUP($A295,'0.Productos'!$A$3:$GG$587,'0.Productos'!BN$1+1,0),"")</f>
        <v/>
      </c>
      <c r="W295" s="133" t="str">
        <f>IF($A295&lt;&gt;0,VLOOKUP($A295,'0.Productos'!$A$3:$GG$587,'0.Productos'!BO$1+1,0),"")</f>
        <v/>
      </c>
      <c r="X295" s="133" t="str">
        <f>IF($A295&lt;&gt;0,VLOOKUP($A295,'0.Productos'!$A$3:$GG$587,'0.Productos'!BP$1+1,0),"")</f>
        <v/>
      </c>
      <c r="Y295" s="133" t="str">
        <f>IF($A295&lt;&gt;0,VLOOKUP($A295,'0.Productos'!$A$3:$GG$587,'0.Productos'!BQ$1+1,0),"")</f>
        <v/>
      </c>
      <c r="Z295" s="133" t="str">
        <f>IF($A295&lt;&gt;0,VLOOKUP($A295,'0.Productos'!$A$3:$GG$587,'0.Productos'!BR$1+1,0),"")</f>
        <v/>
      </c>
      <c r="AA295" s="133" t="str">
        <f>IF($A295&lt;&gt;0,VLOOKUP($A295,'0.Productos'!$A$3:$GG$587,'0.Productos'!BS$1+1,0),"")</f>
        <v/>
      </c>
      <c r="AB295" s="133" t="str">
        <f>IF($A295&lt;&gt;0,VLOOKUP($A295,'0.Productos'!$A$3:$GG$587,'0.Productos'!BT$1+1,0),"")</f>
        <v/>
      </c>
      <c r="AC295" s="133" t="str">
        <f>IF($A295&lt;&gt;0,VLOOKUP($A295,'0.Productos'!$A$3:$GG$587,'0.Productos'!BU$1+1,0),"")</f>
        <v/>
      </c>
      <c r="AD295" s="133" t="str">
        <f>IF($A295&lt;&gt;0,VLOOKUP($A295,'0.Productos'!$A$3:$GG$587,'0.Productos'!BV$1+1,0),"")</f>
        <v/>
      </c>
      <c r="AE295" s="133" t="str">
        <f>IF($A295&lt;&gt;0,VLOOKUP($A295,'0.Productos'!$A$3:$GG$587,'0.Productos'!BW$1+1,0),"")</f>
        <v/>
      </c>
      <c r="AF295" s="133" t="str">
        <f>IF($A295&lt;&gt;0,VLOOKUP($A295,'0.Productos'!$A$3:$GG$587,'0.Productos'!BX$1+1,0),"")</f>
        <v/>
      </c>
      <c r="AG295" s="133" t="str">
        <f>IF($A295&lt;&gt;0,VLOOKUP($A295,'0.Productos'!$A$3:$GG$587,'0.Productos'!BY$1+1,0),"")</f>
        <v/>
      </c>
      <c r="AH295" s="133" t="str">
        <f>IF($A295&lt;&gt;0,VLOOKUP($A295,'0.Productos'!$A$3:$GG$587,'0.Productos'!BZ$1+1,0),"")</f>
        <v/>
      </c>
      <c r="AI295" s="133" t="str">
        <f>IF($A295&lt;&gt;0,VLOOKUP($A295,'0.Productos'!$A$3:$GG$587,'0.Productos'!CA$1+1,0),"")</f>
        <v/>
      </c>
      <c r="AJ295" s="133" t="str">
        <f>IF($A295&lt;&gt;0,VLOOKUP($A295,'0.Productos'!$A$3:$GG$587,'0.Productos'!CB$1+1,0),"")</f>
        <v/>
      </c>
      <c r="AK295" s="133" t="str">
        <f>IF($A295&lt;&gt;0,VLOOKUP($A295,'0.Productos'!$A$3:$GG$587,'0.Productos'!CC$1+1,0),"")</f>
        <v/>
      </c>
      <c r="AL295" s="133" t="str">
        <f>IF($A295&lt;&gt;0,VLOOKUP($A295,'0.Productos'!$A$3:$GG$587,'0.Productos'!CD$1+1,0),"")</f>
        <v/>
      </c>
      <c r="AM295" s="133" t="str">
        <f>IF($A295&lt;&gt;0,VLOOKUP($A295,'0.Productos'!$A$3:$GG$587,'0.Productos'!CE$1+1,0),"")</f>
        <v/>
      </c>
      <c r="AN295" s="133" t="str">
        <f>IF($A295&lt;&gt;0,VLOOKUP($A295,'0.Productos'!$A$3:$GG$587,'0.Productos'!CF$1+1,0),"")</f>
        <v/>
      </c>
      <c r="AO295" s="133" t="str">
        <f>IF($A295&lt;&gt;0,VLOOKUP($A295,'0.Productos'!$A$3:$GG$587,'0.Productos'!CG$1+1,0),"")</f>
        <v/>
      </c>
      <c r="AP295" s="133" t="str">
        <f>IF($A295&lt;&gt;0,VLOOKUP($A295,'0.Productos'!$A$3:$GG$587,'0.Productos'!CH$1+1,0),"")</f>
        <v/>
      </c>
      <c r="AQ295" s="133" t="str">
        <f>IF($A295&lt;&gt;0,VLOOKUP($A295,'0.Productos'!$A$3:$GG$587,'0.Productos'!CI$1+1,0),"")</f>
        <v/>
      </c>
      <c r="AR295" s="133" t="str">
        <f>IF($A295&lt;&gt;0,VLOOKUP($A295,'0.Productos'!$A$3:$GG$587,'0.Productos'!CJ$1+1,0),"")</f>
        <v/>
      </c>
      <c r="AS295" s="133" t="str">
        <f>IF($A295&lt;&gt;0,VLOOKUP($A295,'0.Productos'!$A$3:$GG$587,'0.Productos'!CK$1+1,0),"")</f>
        <v/>
      </c>
      <c r="AT295" s="133" t="str">
        <f>IF($A295&lt;&gt;0,VLOOKUP($A295,'0.Productos'!$A$3:$GG$587,'0.Productos'!CL$1+1,0),"")</f>
        <v/>
      </c>
      <c r="AU295" s="133" t="str">
        <f>IF($A295&lt;&gt;0,VLOOKUP($A295,'0.Productos'!$A$3:$GG$587,'0.Productos'!CM$1+1,0),"")</f>
        <v/>
      </c>
      <c r="AV295" s="133" t="str">
        <f>IF($A295&lt;&gt;0,VLOOKUP($A295,'0.Productos'!$A$3:$GG$587,'0.Productos'!CN$1+1,0),"")</f>
        <v/>
      </c>
      <c r="AW295" s="133" t="str">
        <f>IF($A295&lt;&gt;0,VLOOKUP($A295,'0.Productos'!$A$3:$GG$587,'0.Productos'!CO$1+1,0),"")</f>
        <v/>
      </c>
      <c r="AX295" s="133" t="str">
        <f>IF($A295&lt;&gt;0,VLOOKUP($A295,'0.Productos'!$A$3:$GG$587,'0.Productos'!CP$1+1,0),"")</f>
        <v/>
      </c>
      <c r="AY295" s="133" t="str">
        <f>IF($A295&lt;&gt;0,VLOOKUP($A295,'0.Productos'!$A$3:$GG$587,'0.Productos'!CQ$1+1,0),"")</f>
        <v/>
      </c>
      <c r="AZ295" s="133" t="str">
        <f>IF($A295&lt;&gt;0,VLOOKUP($A295,'0.Productos'!$A$3:$GG$587,'0.Productos'!CR$1+1,0),"")</f>
        <v/>
      </c>
      <c r="BA295" s="133" t="str">
        <f>IF($A295&lt;&gt;0,VLOOKUP($A295,'0.Productos'!$A$3:$GG$587,'0.Productos'!CS$1+1,0),"")</f>
        <v/>
      </c>
      <c r="BB295" s="133" t="str">
        <f>IF($A295&lt;&gt;0,VLOOKUP($A295,'0.Productos'!$A$3:$GG$587,'0.Productos'!CT$1+1,0),"")</f>
        <v/>
      </c>
      <c r="BC295" s="133" t="str">
        <f>IF($A295&lt;&gt;0,VLOOKUP($A295,'0.Productos'!$A$3:$GG$587,'0.Productos'!CU$1+1,0),"")</f>
        <v/>
      </c>
      <c r="BD295" s="133" t="str">
        <f>IF($A295&lt;&gt;0,VLOOKUP($A295,'0.Productos'!$A$3:$GG$587,'0.Productos'!CV$1+1,0),"")</f>
        <v/>
      </c>
      <c r="BE295" s="133" t="str">
        <f>IF($A295&lt;&gt;0,VLOOKUP($A295,'0.Productos'!$A$3:$GG$587,'0.Productos'!CW$1+1,0),"")</f>
        <v/>
      </c>
      <c r="BF295" s="133" t="str">
        <f>IF($A295&lt;&gt;0,VLOOKUP($A295,'0.Productos'!$A$3:$GG$587,'0.Productos'!CX$1+1,0),"")</f>
        <v/>
      </c>
      <c r="BG295" s="133" t="str">
        <f>IF($A295&lt;&gt;0,VLOOKUP($A295,'0.Productos'!$A$3:$GG$587,'0.Productos'!CY$1+1,0),"")</f>
        <v/>
      </c>
      <c r="BH295" s="133" t="str">
        <f>IF($A295&lt;&gt;0,VLOOKUP($A295,'0.Productos'!$A$3:$GG$587,'0.Productos'!CZ$1+1,0),"")</f>
        <v/>
      </c>
      <c r="BI295" s="133" t="str">
        <f>IF($A295&lt;&gt;0,VLOOKUP($A295,'0.Productos'!$A$3:$GG$587,'0.Productos'!DA$1+1,0),"")</f>
        <v/>
      </c>
      <c r="BJ295" s="133" t="str">
        <f>IF($A295&lt;&gt;0,VLOOKUP($A295,'0.Productos'!$A$3:$GG$587,'0.Productos'!DB$1+1,0),"")</f>
        <v/>
      </c>
      <c r="BK295" s="133" t="str">
        <f>IF($A295&lt;&gt;0,VLOOKUP($A295,'0.Productos'!$A$3:$GG$587,'0.Productos'!DC$1+1,0),"")</f>
        <v/>
      </c>
      <c r="BL295" s="133" t="str">
        <f>IF($A295&lt;&gt;0,VLOOKUP($A295,'0.Productos'!$A$3:$GG$587,'0.Productos'!DD$1+1,0),"")</f>
        <v/>
      </c>
      <c r="BM295" s="133" t="str">
        <f>IF($A295&lt;&gt;0,VLOOKUP($A295,'0.Productos'!$A$3:$GG$587,'0.Productos'!DE$1+1,0),"")</f>
        <v/>
      </c>
      <c r="BN295" s="133" t="str">
        <f>IF($A295&lt;&gt;0,VLOOKUP($A295,'0.Productos'!$A$3:$GG$587,'0.Productos'!DF$1+1,0),"")</f>
        <v/>
      </c>
      <c r="BO295" s="133" t="str">
        <f>IF($A295&lt;&gt;0,VLOOKUP($A295,'0.Productos'!$A$3:$GG$587,'0.Productos'!DG$1+1,0),"")</f>
        <v/>
      </c>
      <c r="BP295" s="133" t="str">
        <f>IF($A295&lt;&gt;0,VLOOKUP($A295,'0.Productos'!$A$3:$GG$587,'0.Productos'!DH$1+1,0),"")</f>
        <v/>
      </c>
      <c r="BQ295" s="133" t="str">
        <f>IF($A295&lt;&gt;0,VLOOKUP($A295,'0.Productos'!$A$3:$GG$587,'0.Productos'!DI$1+1,0),"")</f>
        <v/>
      </c>
      <c r="BR295" s="133" t="str">
        <f>IF($A295&lt;&gt;0,VLOOKUP($A295,'0.Productos'!$A$3:$GG$587,'0.Productos'!DJ$1+1,0),"")</f>
        <v/>
      </c>
      <c r="BS295" s="133" t="str">
        <f>IF($A295&lt;&gt;0,VLOOKUP($A295,'0.Productos'!$A$3:$GG$587,'0.Productos'!DK$1+1,0),"")</f>
        <v/>
      </c>
      <c r="BT295" s="133" t="str">
        <f>IF($A295&lt;&gt;0,VLOOKUP($A295,'0.Productos'!$A$3:$GG$587,'0.Productos'!DL$1+1,0),"")</f>
        <v/>
      </c>
    </row>
    <row r="296" spans="1:72" x14ac:dyDescent="0.25">
      <c r="A296" s="17">
        <f>'0.Consolidado general'!A296</f>
        <v>0</v>
      </c>
      <c r="B296" s="133" t="str">
        <f>IF($A296&lt;&gt;0,VLOOKUP($A296,'0.Productos'!$A$3:$GG$587,'0.Productos'!AT$1+1,0),"")</f>
        <v/>
      </c>
      <c r="C296" s="133" t="str">
        <f>IF($A296&lt;&gt;0,VLOOKUP($A296,'0.Productos'!$A$3:$GG$587,'0.Productos'!AU$1+1,0),"")</f>
        <v/>
      </c>
      <c r="D296" s="133" t="str">
        <f>IF($A296&lt;&gt;0,VLOOKUP($A296,'0.Productos'!$A$3:$GG$587,'0.Productos'!AV$1+1,0),"")</f>
        <v/>
      </c>
      <c r="E296" s="133" t="str">
        <f>IF($A296&lt;&gt;0,VLOOKUP($A296,'0.Productos'!$A$3:$GG$587,'0.Productos'!AW$1+1,0),"")</f>
        <v/>
      </c>
      <c r="F296" s="133" t="str">
        <f>IF($A296&lt;&gt;0,VLOOKUP($A296,'0.Productos'!$A$3:$GG$587,'0.Productos'!AX$1+1,0),"")</f>
        <v/>
      </c>
      <c r="G296" s="133" t="str">
        <f>IF($A296&lt;&gt;0,VLOOKUP($A296,'0.Productos'!$A$3:$GG$587,'0.Productos'!AY$1+1,0),"")</f>
        <v/>
      </c>
      <c r="H296" s="133" t="str">
        <f>IF($A296&lt;&gt;0,VLOOKUP($A296,'0.Productos'!$A$3:$GG$587,'0.Productos'!AZ$1+1,0),"")</f>
        <v/>
      </c>
      <c r="I296" s="133" t="str">
        <f>IF($A296&lt;&gt;0,VLOOKUP($A296,'0.Productos'!$A$3:$GG$587,'0.Productos'!BA$1+1,0),"")</f>
        <v/>
      </c>
      <c r="J296" s="133" t="str">
        <f>IF($A296&lt;&gt;0,VLOOKUP($A296,'0.Productos'!$A$3:$GG$587,'0.Productos'!BB$1+1,0),"")</f>
        <v/>
      </c>
      <c r="K296" s="133" t="str">
        <f>IF($A296&lt;&gt;0,VLOOKUP($A296,'0.Productos'!$A$3:$GG$587,'0.Productos'!BC$1+1,0),"")</f>
        <v/>
      </c>
      <c r="L296" s="133" t="str">
        <f>IF($A296&lt;&gt;0,VLOOKUP($A296,'0.Productos'!$A$3:$GG$587,'0.Productos'!BD$1+1,0),"")</f>
        <v/>
      </c>
      <c r="M296" s="133" t="str">
        <f>IF($A296&lt;&gt;0,VLOOKUP($A296,'0.Productos'!$A$3:$GG$587,'0.Productos'!BE$1+1,0),"")</f>
        <v/>
      </c>
      <c r="N296" s="133" t="str">
        <f>IF($A296&lt;&gt;0,VLOOKUP($A296,'0.Productos'!$A$3:$GG$587,'0.Productos'!BF$1+1,0),"")</f>
        <v/>
      </c>
      <c r="O296" s="133" t="str">
        <f>IF($A296&lt;&gt;0,VLOOKUP($A296,'0.Productos'!$A$3:$GG$587,'0.Productos'!BG$1+1,0),"")</f>
        <v/>
      </c>
      <c r="P296" s="133" t="str">
        <f>IF($A296&lt;&gt;0,VLOOKUP($A296,'0.Productos'!$A$3:$GG$587,'0.Productos'!BH$1+1,0),"")</f>
        <v/>
      </c>
      <c r="Q296" s="133" t="str">
        <f>IF($A296&lt;&gt;0,VLOOKUP($A296,'0.Productos'!$A$3:$GG$587,'0.Productos'!BI$1+1,0),"")</f>
        <v/>
      </c>
      <c r="R296" s="133" t="str">
        <f>IF($A296&lt;&gt;0,VLOOKUP($A296,'0.Productos'!$A$3:$GG$587,'0.Productos'!BJ$1+1,0),"")</f>
        <v/>
      </c>
      <c r="S296" s="133" t="str">
        <f>IF($A296&lt;&gt;0,VLOOKUP($A296,'0.Productos'!$A$3:$GG$587,'0.Productos'!BK$1+1,0),"")</f>
        <v/>
      </c>
      <c r="T296" s="133" t="str">
        <f>IF($A296&lt;&gt;0,VLOOKUP($A296,'0.Productos'!$A$3:$GG$587,'0.Productos'!BL$1+1,0),"")</f>
        <v/>
      </c>
      <c r="U296" s="133" t="str">
        <f>IF($A296&lt;&gt;0,VLOOKUP($A296,'0.Productos'!$A$3:$GG$587,'0.Productos'!BM$1+1,0),"")</f>
        <v/>
      </c>
      <c r="V296" s="133" t="str">
        <f>IF($A296&lt;&gt;0,VLOOKUP($A296,'0.Productos'!$A$3:$GG$587,'0.Productos'!BN$1+1,0),"")</f>
        <v/>
      </c>
      <c r="W296" s="133" t="str">
        <f>IF($A296&lt;&gt;0,VLOOKUP($A296,'0.Productos'!$A$3:$GG$587,'0.Productos'!BO$1+1,0),"")</f>
        <v/>
      </c>
      <c r="X296" s="133" t="str">
        <f>IF($A296&lt;&gt;0,VLOOKUP($A296,'0.Productos'!$A$3:$GG$587,'0.Productos'!BP$1+1,0),"")</f>
        <v/>
      </c>
      <c r="Y296" s="133" t="str">
        <f>IF($A296&lt;&gt;0,VLOOKUP($A296,'0.Productos'!$A$3:$GG$587,'0.Productos'!BQ$1+1,0),"")</f>
        <v/>
      </c>
      <c r="Z296" s="133" t="str">
        <f>IF($A296&lt;&gt;0,VLOOKUP($A296,'0.Productos'!$A$3:$GG$587,'0.Productos'!BR$1+1,0),"")</f>
        <v/>
      </c>
      <c r="AA296" s="133" t="str">
        <f>IF($A296&lt;&gt;0,VLOOKUP($A296,'0.Productos'!$A$3:$GG$587,'0.Productos'!BS$1+1,0),"")</f>
        <v/>
      </c>
      <c r="AB296" s="133" t="str">
        <f>IF($A296&lt;&gt;0,VLOOKUP($A296,'0.Productos'!$A$3:$GG$587,'0.Productos'!BT$1+1,0),"")</f>
        <v/>
      </c>
      <c r="AC296" s="133" t="str">
        <f>IF($A296&lt;&gt;0,VLOOKUP($A296,'0.Productos'!$A$3:$GG$587,'0.Productos'!BU$1+1,0),"")</f>
        <v/>
      </c>
      <c r="AD296" s="133" t="str">
        <f>IF($A296&lt;&gt;0,VLOOKUP($A296,'0.Productos'!$A$3:$GG$587,'0.Productos'!BV$1+1,0),"")</f>
        <v/>
      </c>
      <c r="AE296" s="133" t="str">
        <f>IF($A296&lt;&gt;0,VLOOKUP($A296,'0.Productos'!$A$3:$GG$587,'0.Productos'!BW$1+1,0),"")</f>
        <v/>
      </c>
      <c r="AF296" s="133" t="str">
        <f>IF($A296&lt;&gt;0,VLOOKUP($A296,'0.Productos'!$A$3:$GG$587,'0.Productos'!BX$1+1,0),"")</f>
        <v/>
      </c>
      <c r="AG296" s="133" t="str">
        <f>IF($A296&lt;&gt;0,VLOOKUP($A296,'0.Productos'!$A$3:$GG$587,'0.Productos'!BY$1+1,0),"")</f>
        <v/>
      </c>
      <c r="AH296" s="133" t="str">
        <f>IF($A296&lt;&gt;0,VLOOKUP($A296,'0.Productos'!$A$3:$GG$587,'0.Productos'!BZ$1+1,0),"")</f>
        <v/>
      </c>
      <c r="AI296" s="133" t="str">
        <f>IF($A296&lt;&gt;0,VLOOKUP($A296,'0.Productos'!$A$3:$GG$587,'0.Productos'!CA$1+1,0),"")</f>
        <v/>
      </c>
      <c r="AJ296" s="133" t="str">
        <f>IF($A296&lt;&gt;0,VLOOKUP($A296,'0.Productos'!$A$3:$GG$587,'0.Productos'!CB$1+1,0),"")</f>
        <v/>
      </c>
      <c r="AK296" s="133" t="str">
        <f>IF($A296&lt;&gt;0,VLOOKUP($A296,'0.Productos'!$A$3:$GG$587,'0.Productos'!CC$1+1,0),"")</f>
        <v/>
      </c>
      <c r="AL296" s="133" t="str">
        <f>IF($A296&lt;&gt;0,VLOOKUP($A296,'0.Productos'!$A$3:$GG$587,'0.Productos'!CD$1+1,0),"")</f>
        <v/>
      </c>
      <c r="AM296" s="133" t="str">
        <f>IF($A296&lt;&gt;0,VLOOKUP($A296,'0.Productos'!$A$3:$GG$587,'0.Productos'!CE$1+1,0),"")</f>
        <v/>
      </c>
      <c r="AN296" s="133" t="str">
        <f>IF($A296&lt;&gt;0,VLOOKUP($A296,'0.Productos'!$A$3:$GG$587,'0.Productos'!CF$1+1,0),"")</f>
        <v/>
      </c>
      <c r="AO296" s="133" t="str">
        <f>IF($A296&lt;&gt;0,VLOOKUP($A296,'0.Productos'!$A$3:$GG$587,'0.Productos'!CG$1+1,0),"")</f>
        <v/>
      </c>
      <c r="AP296" s="133" t="str">
        <f>IF($A296&lt;&gt;0,VLOOKUP($A296,'0.Productos'!$A$3:$GG$587,'0.Productos'!CH$1+1,0),"")</f>
        <v/>
      </c>
      <c r="AQ296" s="133" t="str">
        <f>IF($A296&lt;&gt;0,VLOOKUP($A296,'0.Productos'!$A$3:$GG$587,'0.Productos'!CI$1+1,0),"")</f>
        <v/>
      </c>
      <c r="AR296" s="133" t="str">
        <f>IF($A296&lt;&gt;0,VLOOKUP($A296,'0.Productos'!$A$3:$GG$587,'0.Productos'!CJ$1+1,0),"")</f>
        <v/>
      </c>
      <c r="AS296" s="133" t="str">
        <f>IF($A296&lt;&gt;0,VLOOKUP($A296,'0.Productos'!$A$3:$GG$587,'0.Productos'!CK$1+1,0),"")</f>
        <v/>
      </c>
      <c r="AT296" s="133" t="str">
        <f>IF($A296&lt;&gt;0,VLOOKUP($A296,'0.Productos'!$A$3:$GG$587,'0.Productos'!CL$1+1,0),"")</f>
        <v/>
      </c>
      <c r="AU296" s="133" t="str">
        <f>IF($A296&lt;&gt;0,VLOOKUP($A296,'0.Productos'!$A$3:$GG$587,'0.Productos'!CM$1+1,0),"")</f>
        <v/>
      </c>
      <c r="AV296" s="133" t="str">
        <f>IF($A296&lt;&gt;0,VLOOKUP($A296,'0.Productos'!$A$3:$GG$587,'0.Productos'!CN$1+1,0),"")</f>
        <v/>
      </c>
      <c r="AW296" s="133" t="str">
        <f>IF($A296&lt;&gt;0,VLOOKUP($A296,'0.Productos'!$A$3:$GG$587,'0.Productos'!CO$1+1,0),"")</f>
        <v/>
      </c>
      <c r="AX296" s="133" t="str">
        <f>IF($A296&lt;&gt;0,VLOOKUP($A296,'0.Productos'!$A$3:$GG$587,'0.Productos'!CP$1+1,0),"")</f>
        <v/>
      </c>
      <c r="AY296" s="133" t="str">
        <f>IF($A296&lt;&gt;0,VLOOKUP($A296,'0.Productos'!$A$3:$GG$587,'0.Productos'!CQ$1+1,0),"")</f>
        <v/>
      </c>
      <c r="AZ296" s="133" t="str">
        <f>IF($A296&lt;&gt;0,VLOOKUP($A296,'0.Productos'!$A$3:$GG$587,'0.Productos'!CR$1+1,0),"")</f>
        <v/>
      </c>
      <c r="BA296" s="133" t="str">
        <f>IF($A296&lt;&gt;0,VLOOKUP($A296,'0.Productos'!$A$3:$GG$587,'0.Productos'!CS$1+1,0),"")</f>
        <v/>
      </c>
      <c r="BB296" s="133" t="str">
        <f>IF($A296&lt;&gt;0,VLOOKUP($A296,'0.Productos'!$A$3:$GG$587,'0.Productos'!CT$1+1,0),"")</f>
        <v/>
      </c>
      <c r="BC296" s="133" t="str">
        <f>IF($A296&lt;&gt;0,VLOOKUP($A296,'0.Productos'!$A$3:$GG$587,'0.Productos'!CU$1+1,0),"")</f>
        <v/>
      </c>
      <c r="BD296" s="133" t="str">
        <f>IF($A296&lt;&gt;0,VLOOKUP($A296,'0.Productos'!$A$3:$GG$587,'0.Productos'!CV$1+1,0),"")</f>
        <v/>
      </c>
      <c r="BE296" s="133" t="str">
        <f>IF($A296&lt;&gt;0,VLOOKUP($A296,'0.Productos'!$A$3:$GG$587,'0.Productos'!CW$1+1,0),"")</f>
        <v/>
      </c>
      <c r="BF296" s="133" t="str">
        <f>IF($A296&lt;&gt;0,VLOOKUP($A296,'0.Productos'!$A$3:$GG$587,'0.Productos'!CX$1+1,0),"")</f>
        <v/>
      </c>
      <c r="BG296" s="133" t="str">
        <f>IF($A296&lt;&gt;0,VLOOKUP($A296,'0.Productos'!$A$3:$GG$587,'0.Productos'!CY$1+1,0),"")</f>
        <v/>
      </c>
      <c r="BH296" s="133" t="str">
        <f>IF($A296&lt;&gt;0,VLOOKUP($A296,'0.Productos'!$A$3:$GG$587,'0.Productos'!CZ$1+1,0),"")</f>
        <v/>
      </c>
      <c r="BI296" s="133" t="str">
        <f>IF($A296&lt;&gt;0,VLOOKUP($A296,'0.Productos'!$A$3:$GG$587,'0.Productos'!DA$1+1,0),"")</f>
        <v/>
      </c>
      <c r="BJ296" s="133" t="str">
        <f>IF($A296&lt;&gt;0,VLOOKUP($A296,'0.Productos'!$A$3:$GG$587,'0.Productos'!DB$1+1,0),"")</f>
        <v/>
      </c>
      <c r="BK296" s="133" t="str">
        <f>IF($A296&lt;&gt;0,VLOOKUP($A296,'0.Productos'!$A$3:$GG$587,'0.Productos'!DC$1+1,0),"")</f>
        <v/>
      </c>
      <c r="BL296" s="133" t="str">
        <f>IF($A296&lt;&gt;0,VLOOKUP($A296,'0.Productos'!$A$3:$GG$587,'0.Productos'!DD$1+1,0),"")</f>
        <v/>
      </c>
      <c r="BM296" s="133" t="str">
        <f>IF($A296&lt;&gt;0,VLOOKUP($A296,'0.Productos'!$A$3:$GG$587,'0.Productos'!DE$1+1,0),"")</f>
        <v/>
      </c>
      <c r="BN296" s="133" t="str">
        <f>IF($A296&lt;&gt;0,VLOOKUP($A296,'0.Productos'!$A$3:$GG$587,'0.Productos'!DF$1+1,0),"")</f>
        <v/>
      </c>
      <c r="BO296" s="133" t="str">
        <f>IF($A296&lt;&gt;0,VLOOKUP($A296,'0.Productos'!$A$3:$GG$587,'0.Productos'!DG$1+1,0),"")</f>
        <v/>
      </c>
      <c r="BP296" s="133" t="str">
        <f>IF($A296&lt;&gt;0,VLOOKUP($A296,'0.Productos'!$A$3:$GG$587,'0.Productos'!DH$1+1,0),"")</f>
        <v/>
      </c>
      <c r="BQ296" s="133" t="str">
        <f>IF($A296&lt;&gt;0,VLOOKUP($A296,'0.Productos'!$A$3:$GG$587,'0.Productos'!DI$1+1,0),"")</f>
        <v/>
      </c>
      <c r="BR296" s="133" t="str">
        <f>IF($A296&lt;&gt;0,VLOOKUP($A296,'0.Productos'!$A$3:$GG$587,'0.Productos'!DJ$1+1,0),"")</f>
        <v/>
      </c>
      <c r="BS296" s="133" t="str">
        <f>IF($A296&lt;&gt;0,VLOOKUP($A296,'0.Productos'!$A$3:$GG$587,'0.Productos'!DK$1+1,0),"")</f>
        <v/>
      </c>
      <c r="BT296" s="133" t="str">
        <f>IF($A296&lt;&gt;0,VLOOKUP($A296,'0.Productos'!$A$3:$GG$587,'0.Productos'!DL$1+1,0),"")</f>
        <v/>
      </c>
    </row>
    <row r="297" spans="1:72" x14ac:dyDescent="0.25">
      <c r="A297" s="17">
        <f>'0.Consolidado general'!A297</f>
        <v>0</v>
      </c>
      <c r="B297" s="133" t="str">
        <f>IF($A297&lt;&gt;0,VLOOKUP($A297,'0.Productos'!$A$3:$GG$587,'0.Productos'!AT$1+1,0),"")</f>
        <v/>
      </c>
      <c r="C297" s="133" t="str">
        <f>IF($A297&lt;&gt;0,VLOOKUP($A297,'0.Productos'!$A$3:$GG$587,'0.Productos'!AU$1+1,0),"")</f>
        <v/>
      </c>
      <c r="D297" s="133" t="str">
        <f>IF($A297&lt;&gt;0,VLOOKUP($A297,'0.Productos'!$A$3:$GG$587,'0.Productos'!AV$1+1,0),"")</f>
        <v/>
      </c>
      <c r="E297" s="133" t="str">
        <f>IF($A297&lt;&gt;0,VLOOKUP($A297,'0.Productos'!$A$3:$GG$587,'0.Productos'!AW$1+1,0),"")</f>
        <v/>
      </c>
      <c r="F297" s="133" t="str">
        <f>IF($A297&lt;&gt;0,VLOOKUP($A297,'0.Productos'!$A$3:$GG$587,'0.Productos'!AX$1+1,0),"")</f>
        <v/>
      </c>
      <c r="G297" s="133" t="str">
        <f>IF($A297&lt;&gt;0,VLOOKUP($A297,'0.Productos'!$A$3:$GG$587,'0.Productos'!AY$1+1,0),"")</f>
        <v/>
      </c>
      <c r="H297" s="133" t="str">
        <f>IF($A297&lt;&gt;0,VLOOKUP($A297,'0.Productos'!$A$3:$GG$587,'0.Productos'!AZ$1+1,0),"")</f>
        <v/>
      </c>
      <c r="I297" s="133" t="str">
        <f>IF($A297&lt;&gt;0,VLOOKUP($A297,'0.Productos'!$A$3:$GG$587,'0.Productos'!BA$1+1,0),"")</f>
        <v/>
      </c>
      <c r="J297" s="133" t="str">
        <f>IF($A297&lt;&gt;0,VLOOKUP($A297,'0.Productos'!$A$3:$GG$587,'0.Productos'!BB$1+1,0),"")</f>
        <v/>
      </c>
      <c r="K297" s="133" t="str">
        <f>IF($A297&lt;&gt;0,VLOOKUP($A297,'0.Productos'!$A$3:$GG$587,'0.Productos'!BC$1+1,0),"")</f>
        <v/>
      </c>
      <c r="L297" s="133" t="str">
        <f>IF($A297&lt;&gt;0,VLOOKUP($A297,'0.Productos'!$A$3:$GG$587,'0.Productos'!BD$1+1,0),"")</f>
        <v/>
      </c>
      <c r="M297" s="133" t="str">
        <f>IF($A297&lt;&gt;0,VLOOKUP($A297,'0.Productos'!$A$3:$GG$587,'0.Productos'!BE$1+1,0),"")</f>
        <v/>
      </c>
      <c r="N297" s="133" t="str">
        <f>IF($A297&lt;&gt;0,VLOOKUP($A297,'0.Productos'!$A$3:$GG$587,'0.Productos'!BF$1+1,0),"")</f>
        <v/>
      </c>
      <c r="O297" s="133" t="str">
        <f>IF($A297&lt;&gt;0,VLOOKUP($A297,'0.Productos'!$A$3:$GG$587,'0.Productos'!BG$1+1,0),"")</f>
        <v/>
      </c>
      <c r="P297" s="133" t="str">
        <f>IF($A297&lt;&gt;0,VLOOKUP($A297,'0.Productos'!$A$3:$GG$587,'0.Productos'!BH$1+1,0),"")</f>
        <v/>
      </c>
      <c r="Q297" s="133" t="str">
        <f>IF($A297&lt;&gt;0,VLOOKUP($A297,'0.Productos'!$A$3:$GG$587,'0.Productos'!BI$1+1,0),"")</f>
        <v/>
      </c>
      <c r="R297" s="133" t="str">
        <f>IF($A297&lt;&gt;0,VLOOKUP($A297,'0.Productos'!$A$3:$GG$587,'0.Productos'!BJ$1+1,0),"")</f>
        <v/>
      </c>
      <c r="S297" s="133" t="str">
        <f>IF($A297&lt;&gt;0,VLOOKUP($A297,'0.Productos'!$A$3:$GG$587,'0.Productos'!BK$1+1,0),"")</f>
        <v/>
      </c>
      <c r="T297" s="133" t="str">
        <f>IF($A297&lt;&gt;0,VLOOKUP($A297,'0.Productos'!$A$3:$GG$587,'0.Productos'!BL$1+1,0),"")</f>
        <v/>
      </c>
      <c r="U297" s="133" t="str">
        <f>IF($A297&lt;&gt;0,VLOOKUP($A297,'0.Productos'!$A$3:$GG$587,'0.Productos'!BM$1+1,0),"")</f>
        <v/>
      </c>
      <c r="V297" s="133" t="str">
        <f>IF($A297&lt;&gt;0,VLOOKUP($A297,'0.Productos'!$A$3:$GG$587,'0.Productos'!BN$1+1,0),"")</f>
        <v/>
      </c>
      <c r="W297" s="133" t="str">
        <f>IF($A297&lt;&gt;0,VLOOKUP($A297,'0.Productos'!$A$3:$GG$587,'0.Productos'!BO$1+1,0),"")</f>
        <v/>
      </c>
      <c r="X297" s="133" t="str">
        <f>IF($A297&lt;&gt;0,VLOOKUP($A297,'0.Productos'!$A$3:$GG$587,'0.Productos'!BP$1+1,0),"")</f>
        <v/>
      </c>
      <c r="Y297" s="133" t="str">
        <f>IF($A297&lt;&gt;0,VLOOKUP($A297,'0.Productos'!$A$3:$GG$587,'0.Productos'!BQ$1+1,0),"")</f>
        <v/>
      </c>
      <c r="Z297" s="133" t="str">
        <f>IF($A297&lt;&gt;0,VLOOKUP($A297,'0.Productos'!$A$3:$GG$587,'0.Productos'!BR$1+1,0),"")</f>
        <v/>
      </c>
      <c r="AA297" s="133" t="str">
        <f>IF($A297&lt;&gt;0,VLOOKUP($A297,'0.Productos'!$A$3:$GG$587,'0.Productos'!BS$1+1,0),"")</f>
        <v/>
      </c>
      <c r="AB297" s="133" t="str">
        <f>IF($A297&lt;&gt;0,VLOOKUP($A297,'0.Productos'!$A$3:$GG$587,'0.Productos'!BT$1+1,0),"")</f>
        <v/>
      </c>
      <c r="AC297" s="133" t="str">
        <f>IF($A297&lt;&gt;0,VLOOKUP($A297,'0.Productos'!$A$3:$GG$587,'0.Productos'!BU$1+1,0),"")</f>
        <v/>
      </c>
      <c r="AD297" s="133" t="str">
        <f>IF($A297&lt;&gt;0,VLOOKUP($A297,'0.Productos'!$A$3:$GG$587,'0.Productos'!BV$1+1,0),"")</f>
        <v/>
      </c>
      <c r="AE297" s="133" t="str">
        <f>IF($A297&lt;&gt;0,VLOOKUP($A297,'0.Productos'!$A$3:$GG$587,'0.Productos'!BW$1+1,0),"")</f>
        <v/>
      </c>
      <c r="AF297" s="133" t="str">
        <f>IF($A297&lt;&gt;0,VLOOKUP($A297,'0.Productos'!$A$3:$GG$587,'0.Productos'!BX$1+1,0),"")</f>
        <v/>
      </c>
      <c r="AG297" s="133" t="str">
        <f>IF($A297&lt;&gt;0,VLOOKUP($A297,'0.Productos'!$A$3:$GG$587,'0.Productos'!BY$1+1,0),"")</f>
        <v/>
      </c>
      <c r="AH297" s="133" t="str">
        <f>IF($A297&lt;&gt;0,VLOOKUP($A297,'0.Productos'!$A$3:$GG$587,'0.Productos'!BZ$1+1,0),"")</f>
        <v/>
      </c>
      <c r="AI297" s="133" t="str">
        <f>IF($A297&lt;&gt;0,VLOOKUP($A297,'0.Productos'!$A$3:$GG$587,'0.Productos'!CA$1+1,0),"")</f>
        <v/>
      </c>
      <c r="AJ297" s="133" t="str">
        <f>IF($A297&lt;&gt;0,VLOOKUP($A297,'0.Productos'!$A$3:$GG$587,'0.Productos'!CB$1+1,0),"")</f>
        <v/>
      </c>
      <c r="AK297" s="133" t="str">
        <f>IF($A297&lt;&gt;0,VLOOKUP($A297,'0.Productos'!$A$3:$GG$587,'0.Productos'!CC$1+1,0),"")</f>
        <v/>
      </c>
      <c r="AL297" s="133" t="str">
        <f>IF($A297&lt;&gt;0,VLOOKUP($A297,'0.Productos'!$A$3:$GG$587,'0.Productos'!CD$1+1,0),"")</f>
        <v/>
      </c>
      <c r="AM297" s="133" t="str">
        <f>IF($A297&lt;&gt;0,VLOOKUP($A297,'0.Productos'!$A$3:$GG$587,'0.Productos'!CE$1+1,0),"")</f>
        <v/>
      </c>
      <c r="AN297" s="133" t="str">
        <f>IF($A297&lt;&gt;0,VLOOKUP($A297,'0.Productos'!$A$3:$GG$587,'0.Productos'!CF$1+1,0),"")</f>
        <v/>
      </c>
      <c r="AO297" s="133" t="str">
        <f>IF($A297&lt;&gt;0,VLOOKUP($A297,'0.Productos'!$A$3:$GG$587,'0.Productos'!CG$1+1,0),"")</f>
        <v/>
      </c>
      <c r="AP297" s="133" t="str">
        <f>IF($A297&lt;&gt;0,VLOOKUP($A297,'0.Productos'!$A$3:$GG$587,'0.Productos'!CH$1+1,0),"")</f>
        <v/>
      </c>
      <c r="AQ297" s="133" t="str">
        <f>IF($A297&lt;&gt;0,VLOOKUP($A297,'0.Productos'!$A$3:$GG$587,'0.Productos'!CI$1+1,0),"")</f>
        <v/>
      </c>
      <c r="AR297" s="133" t="str">
        <f>IF($A297&lt;&gt;0,VLOOKUP($A297,'0.Productos'!$A$3:$GG$587,'0.Productos'!CJ$1+1,0),"")</f>
        <v/>
      </c>
      <c r="AS297" s="133" t="str">
        <f>IF($A297&lt;&gt;0,VLOOKUP($A297,'0.Productos'!$A$3:$GG$587,'0.Productos'!CK$1+1,0),"")</f>
        <v/>
      </c>
      <c r="AT297" s="133" t="str">
        <f>IF($A297&lt;&gt;0,VLOOKUP($A297,'0.Productos'!$A$3:$GG$587,'0.Productos'!CL$1+1,0),"")</f>
        <v/>
      </c>
      <c r="AU297" s="133" t="str">
        <f>IF($A297&lt;&gt;0,VLOOKUP($A297,'0.Productos'!$A$3:$GG$587,'0.Productos'!CM$1+1,0),"")</f>
        <v/>
      </c>
      <c r="AV297" s="133" t="str">
        <f>IF($A297&lt;&gt;0,VLOOKUP($A297,'0.Productos'!$A$3:$GG$587,'0.Productos'!CN$1+1,0),"")</f>
        <v/>
      </c>
      <c r="AW297" s="133" t="str">
        <f>IF($A297&lt;&gt;0,VLOOKUP($A297,'0.Productos'!$A$3:$GG$587,'0.Productos'!CO$1+1,0),"")</f>
        <v/>
      </c>
      <c r="AX297" s="133" t="str">
        <f>IF($A297&lt;&gt;0,VLOOKUP($A297,'0.Productos'!$A$3:$GG$587,'0.Productos'!CP$1+1,0),"")</f>
        <v/>
      </c>
      <c r="AY297" s="133" t="str">
        <f>IF($A297&lt;&gt;0,VLOOKUP($A297,'0.Productos'!$A$3:$GG$587,'0.Productos'!CQ$1+1,0),"")</f>
        <v/>
      </c>
      <c r="AZ297" s="133" t="str">
        <f>IF($A297&lt;&gt;0,VLOOKUP($A297,'0.Productos'!$A$3:$GG$587,'0.Productos'!CR$1+1,0),"")</f>
        <v/>
      </c>
      <c r="BA297" s="133" t="str">
        <f>IF($A297&lt;&gt;0,VLOOKUP($A297,'0.Productos'!$A$3:$GG$587,'0.Productos'!CS$1+1,0),"")</f>
        <v/>
      </c>
      <c r="BB297" s="133" t="str">
        <f>IF($A297&lt;&gt;0,VLOOKUP($A297,'0.Productos'!$A$3:$GG$587,'0.Productos'!CT$1+1,0),"")</f>
        <v/>
      </c>
      <c r="BC297" s="133" t="str">
        <f>IF($A297&lt;&gt;0,VLOOKUP($A297,'0.Productos'!$A$3:$GG$587,'0.Productos'!CU$1+1,0),"")</f>
        <v/>
      </c>
      <c r="BD297" s="133" t="str">
        <f>IF($A297&lt;&gt;0,VLOOKUP($A297,'0.Productos'!$A$3:$GG$587,'0.Productos'!CV$1+1,0),"")</f>
        <v/>
      </c>
      <c r="BE297" s="133" t="str">
        <f>IF($A297&lt;&gt;0,VLOOKUP($A297,'0.Productos'!$A$3:$GG$587,'0.Productos'!CW$1+1,0),"")</f>
        <v/>
      </c>
      <c r="BF297" s="133" t="str">
        <f>IF($A297&lt;&gt;0,VLOOKUP($A297,'0.Productos'!$A$3:$GG$587,'0.Productos'!CX$1+1,0),"")</f>
        <v/>
      </c>
      <c r="BG297" s="133" t="str">
        <f>IF($A297&lt;&gt;0,VLOOKUP($A297,'0.Productos'!$A$3:$GG$587,'0.Productos'!CY$1+1,0),"")</f>
        <v/>
      </c>
      <c r="BH297" s="133" t="str">
        <f>IF($A297&lt;&gt;0,VLOOKUP($A297,'0.Productos'!$A$3:$GG$587,'0.Productos'!CZ$1+1,0),"")</f>
        <v/>
      </c>
      <c r="BI297" s="133" t="str">
        <f>IF($A297&lt;&gt;0,VLOOKUP($A297,'0.Productos'!$A$3:$GG$587,'0.Productos'!DA$1+1,0),"")</f>
        <v/>
      </c>
      <c r="BJ297" s="133" t="str">
        <f>IF($A297&lt;&gt;0,VLOOKUP($A297,'0.Productos'!$A$3:$GG$587,'0.Productos'!DB$1+1,0),"")</f>
        <v/>
      </c>
      <c r="BK297" s="133" t="str">
        <f>IF($A297&lt;&gt;0,VLOOKUP($A297,'0.Productos'!$A$3:$GG$587,'0.Productos'!DC$1+1,0),"")</f>
        <v/>
      </c>
      <c r="BL297" s="133" t="str">
        <f>IF($A297&lt;&gt;0,VLOOKUP($A297,'0.Productos'!$A$3:$GG$587,'0.Productos'!DD$1+1,0),"")</f>
        <v/>
      </c>
      <c r="BM297" s="133" t="str">
        <f>IF($A297&lt;&gt;0,VLOOKUP($A297,'0.Productos'!$A$3:$GG$587,'0.Productos'!DE$1+1,0),"")</f>
        <v/>
      </c>
      <c r="BN297" s="133" t="str">
        <f>IF($A297&lt;&gt;0,VLOOKUP($A297,'0.Productos'!$A$3:$GG$587,'0.Productos'!DF$1+1,0),"")</f>
        <v/>
      </c>
      <c r="BO297" s="133" t="str">
        <f>IF($A297&lt;&gt;0,VLOOKUP($A297,'0.Productos'!$A$3:$GG$587,'0.Productos'!DG$1+1,0),"")</f>
        <v/>
      </c>
      <c r="BP297" s="133" t="str">
        <f>IF($A297&lt;&gt;0,VLOOKUP($A297,'0.Productos'!$A$3:$GG$587,'0.Productos'!DH$1+1,0),"")</f>
        <v/>
      </c>
      <c r="BQ297" s="133" t="str">
        <f>IF($A297&lt;&gt;0,VLOOKUP($A297,'0.Productos'!$A$3:$GG$587,'0.Productos'!DI$1+1,0),"")</f>
        <v/>
      </c>
      <c r="BR297" s="133" t="str">
        <f>IF($A297&lt;&gt;0,VLOOKUP($A297,'0.Productos'!$A$3:$GG$587,'0.Productos'!DJ$1+1,0),"")</f>
        <v/>
      </c>
      <c r="BS297" s="133" t="str">
        <f>IF($A297&lt;&gt;0,VLOOKUP($A297,'0.Productos'!$A$3:$GG$587,'0.Productos'!DK$1+1,0),"")</f>
        <v/>
      </c>
      <c r="BT297" s="133" t="str">
        <f>IF($A297&lt;&gt;0,VLOOKUP($A297,'0.Productos'!$A$3:$GG$587,'0.Productos'!DL$1+1,0),"")</f>
        <v/>
      </c>
    </row>
    <row r="298" spans="1:72" x14ac:dyDescent="0.25">
      <c r="A298" s="17">
        <f>'0.Consolidado general'!A298</f>
        <v>0</v>
      </c>
      <c r="B298" s="133" t="str">
        <f>IF($A298&lt;&gt;0,VLOOKUP($A298,'0.Productos'!$A$3:$GG$587,'0.Productos'!AT$1+1,0),"")</f>
        <v/>
      </c>
      <c r="C298" s="133" t="str">
        <f>IF($A298&lt;&gt;0,VLOOKUP($A298,'0.Productos'!$A$3:$GG$587,'0.Productos'!AU$1+1,0),"")</f>
        <v/>
      </c>
      <c r="D298" s="133" t="str">
        <f>IF($A298&lt;&gt;0,VLOOKUP($A298,'0.Productos'!$A$3:$GG$587,'0.Productos'!AV$1+1,0),"")</f>
        <v/>
      </c>
      <c r="E298" s="133" t="str">
        <f>IF($A298&lt;&gt;0,VLOOKUP($A298,'0.Productos'!$A$3:$GG$587,'0.Productos'!AW$1+1,0),"")</f>
        <v/>
      </c>
      <c r="F298" s="133" t="str">
        <f>IF($A298&lt;&gt;0,VLOOKUP($A298,'0.Productos'!$A$3:$GG$587,'0.Productos'!AX$1+1,0),"")</f>
        <v/>
      </c>
      <c r="G298" s="133" t="str">
        <f>IF($A298&lt;&gt;0,VLOOKUP($A298,'0.Productos'!$A$3:$GG$587,'0.Productos'!AY$1+1,0),"")</f>
        <v/>
      </c>
      <c r="H298" s="133" t="str">
        <f>IF($A298&lt;&gt;0,VLOOKUP($A298,'0.Productos'!$A$3:$GG$587,'0.Productos'!AZ$1+1,0),"")</f>
        <v/>
      </c>
      <c r="I298" s="133" t="str">
        <f>IF($A298&lt;&gt;0,VLOOKUP($A298,'0.Productos'!$A$3:$GG$587,'0.Productos'!BA$1+1,0),"")</f>
        <v/>
      </c>
      <c r="J298" s="133" t="str">
        <f>IF($A298&lt;&gt;0,VLOOKUP($A298,'0.Productos'!$A$3:$GG$587,'0.Productos'!BB$1+1,0),"")</f>
        <v/>
      </c>
      <c r="K298" s="133" t="str">
        <f>IF($A298&lt;&gt;0,VLOOKUP($A298,'0.Productos'!$A$3:$GG$587,'0.Productos'!BC$1+1,0),"")</f>
        <v/>
      </c>
      <c r="L298" s="133" t="str">
        <f>IF($A298&lt;&gt;0,VLOOKUP($A298,'0.Productos'!$A$3:$GG$587,'0.Productos'!BD$1+1,0),"")</f>
        <v/>
      </c>
      <c r="M298" s="133" t="str">
        <f>IF($A298&lt;&gt;0,VLOOKUP($A298,'0.Productos'!$A$3:$GG$587,'0.Productos'!BE$1+1,0),"")</f>
        <v/>
      </c>
      <c r="N298" s="133" t="str">
        <f>IF($A298&lt;&gt;0,VLOOKUP($A298,'0.Productos'!$A$3:$GG$587,'0.Productos'!BF$1+1,0),"")</f>
        <v/>
      </c>
      <c r="O298" s="133" t="str">
        <f>IF($A298&lt;&gt;0,VLOOKUP($A298,'0.Productos'!$A$3:$GG$587,'0.Productos'!BG$1+1,0),"")</f>
        <v/>
      </c>
      <c r="P298" s="133" t="str">
        <f>IF($A298&lt;&gt;0,VLOOKUP($A298,'0.Productos'!$A$3:$GG$587,'0.Productos'!BH$1+1,0),"")</f>
        <v/>
      </c>
      <c r="Q298" s="133" t="str">
        <f>IF($A298&lt;&gt;0,VLOOKUP($A298,'0.Productos'!$A$3:$GG$587,'0.Productos'!BI$1+1,0),"")</f>
        <v/>
      </c>
      <c r="R298" s="133" t="str">
        <f>IF($A298&lt;&gt;0,VLOOKUP($A298,'0.Productos'!$A$3:$GG$587,'0.Productos'!BJ$1+1,0),"")</f>
        <v/>
      </c>
      <c r="S298" s="133" t="str">
        <f>IF($A298&lt;&gt;0,VLOOKUP($A298,'0.Productos'!$A$3:$GG$587,'0.Productos'!BK$1+1,0),"")</f>
        <v/>
      </c>
      <c r="T298" s="133" t="str">
        <f>IF($A298&lt;&gt;0,VLOOKUP($A298,'0.Productos'!$A$3:$GG$587,'0.Productos'!BL$1+1,0),"")</f>
        <v/>
      </c>
      <c r="U298" s="133" t="str">
        <f>IF($A298&lt;&gt;0,VLOOKUP($A298,'0.Productos'!$A$3:$GG$587,'0.Productos'!BM$1+1,0),"")</f>
        <v/>
      </c>
      <c r="V298" s="133" t="str">
        <f>IF($A298&lt;&gt;0,VLOOKUP($A298,'0.Productos'!$A$3:$GG$587,'0.Productos'!BN$1+1,0),"")</f>
        <v/>
      </c>
      <c r="W298" s="133" t="str">
        <f>IF($A298&lt;&gt;0,VLOOKUP($A298,'0.Productos'!$A$3:$GG$587,'0.Productos'!BO$1+1,0),"")</f>
        <v/>
      </c>
      <c r="X298" s="133" t="str">
        <f>IF($A298&lt;&gt;0,VLOOKUP($A298,'0.Productos'!$A$3:$GG$587,'0.Productos'!BP$1+1,0),"")</f>
        <v/>
      </c>
      <c r="Y298" s="133" t="str">
        <f>IF($A298&lt;&gt;0,VLOOKUP($A298,'0.Productos'!$A$3:$GG$587,'0.Productos'!BQ$1+1,0),"")</f>
        <v/>
      </c>
      <c r="Z298" s="133" t="str">
        <f>IF($A298&lt;&gt;0,VLOOKUP($A298,'0.Productos'!$A$3:$GG$587,'0.Productos'!BR$1+1,0),"")</f>
        <v/>
      </c>
      <c r="AA298" s="133" t="str">
        <f>IF($A298&lt;&gt;0,VLOOKUP($A298,'0.Productos'!$A$3:$GG$587,'0.Productos'!BS$1+1,0),"")</f>
        <v/>
      </c>
      <c r="AB298" s="133" t="str">
        <f>IF($A298&lt;&gt;0,VLOOKUP($A298,'0.Productos'!$A$3:$GG$587,'0.Productos'!BT$1+1,0),"")</f>
        <v/>
      </c>
      <c r="AC298" s="133" t="str">
        <f>IF($A298&lt;&gt;0,VLOOKUP($A298,'0.Productos'!$A$3:$GG$587,'0.Productos'!BU$1+1,0),"")</f>
        <v/>
      </c>
      <c r="AD298" s="133" t="str">
        <f>IF($A298&lt;&gt;0,VLOOKUP($A298,'0.Productos'!$A$3:$GG$587,'0.Productos'!BV$1+1,0),"")</f>
        <v/>
      </c>
      <c r="AE298" s="133" t="str">
        <f>IF($A298&lt;&gt;0,VLOOKUP($A298,'0.Productos'!$A$3:$GG$587,'0.Productos'!BW$1+1,0),"")</f>
        <v/>
      </c>
      <c r="AF298" s="133" t="str">
        <f>IF($A298&lt;&gt;0,VLOOKUP($A298,'0.Productos'!$A$3:$GG$587,'0.Productos'!BX$1+1,0),"")</f>
        <v/>
      </c>
      <c r="AG298" s="133" t="str">
        <f>IF($A298&lt;&gt;0,VLOOKUP($A298,'0.Productos'!$A$3:$GG$587,'0.Productos'!BY$1+1,0),"")</f>
        <v/>
      </c>
      <c r="AH298" s="133" t="str">
        <f>IF($A298&lt;&gt;0,VLOOKUP($A298,'0.Productos'!$A$3:$GG$587,'0.Productos'!BZ$1+1,0),"")</f>
        <v/>
      </c>
      <c r="AI298" s="133" t="str">
        <f>IF($A298&lt;&gt;0,VLOOKUP($A298,'0.Productos'!$A$3:$GG$587,'0.Productos'!CA$1+1,0),"")</f>
        <v/>
      </c>
      <c r="AJ298" s="133" t="str">
        <f>IF($A298&lt;&gt;0,VLOOKUP($A298,'0.Productos'!$A$3:$GG$587,'0.Productos'!CB$1+1,0),"")</f>
        <v/>
      </c>
      <c r="AK298" s="133" t="str">
        <f>IF($A298&lt;&gt;0,VLOOKUP($A298,'0.Productos'!$A$3:$GG$587,'0.Productos'!CC$1+1,0),"")</f>
        <v/>
      </c>
      <c r="AL298" s="133" t="str">
        <f>IF($A298&lt;&gt;0,VLOOKUP($A298,'0.Productos'!$A$3:$GG$587,'0.Productos'!CD$1+1,0),"")</f>
        <v/>
      </c>
      <c r="AM298" s="133" t="str">
        <f>IF($A298&lt;&gt;0,VLOOKUP($A298,'0.Productos'!$A$3:$GG$587,'0.Productos'!CE$1+1,0),"")</f>
        <v/>
      </c>
      <c r="AN298" s="133" t="str">
        <f>IF($A298&lt;&gt;0,VLOOKUP($A298,'0.Productos'!$A$3:$GG$587,'0.Productos'!CF$1+1,0),"")</f>
        <v/>
      </c>
      <c r="AO298" s="133" t="str">
        <f>IF($A298&lt;&gt;0,VLOOKUP($A298,'0.Productos'!$A$3:$GG$587,'0.Productos'!CG$1+1,0),"")</f>
        <v/>
      </c>
      <c r="AP298" s="133" t="str">
        <f>IF($A298&lt;&gt;0,VLOOKUP($A298,'0.Productos'!$A$3:$GG$587,'0.Productos'!CH$1+1,0),"")</f>
        <v/>
      </c>
      <c r="AQ298" s="133" t="str">
        <f>IF($A298&lt;&gt;0,VLOOKUP($A298,'0.Productos'!$A$3:$GG$587,'0.Productos'!CI$1+1,0),"")</f>
        <v/>
      </c>
      <c r="AR298" s="133" t="str">
        <f>IF($A298&lt;&gt;0,VLOOKUP($A298,'0.Productos'!$A$3:$GG$587,'0.Productos'!CJ$1+1,0),"")</f>
        <v/>
      </c>
      <c r="AS298" s="133" t="str">
        <f>IF($A298&lt;&gt;0,VLOOKUP($A298,'0.Productos'!$A$3:$GG$587,'0.Productos'!CK$1+1,0),"")</f>
        <v/>
      </c>
      <c r="AT298" s="133" t="str">
        <f>IF($A298&lt;&gt;0,VLOOKUP($A298,'0.Productos'!$A$3:$GG$587,'0.Productos'!CL$1+1,0),"")</f>
        <v/>
      </c>
      <c r="AU298" s="133" t="str">
        <f>IF($A298&lt;&gt;0,VLOOKUP($A298,'0.Productos'!$A$3:$GG$587,'0.Productos'!CM$1+1,0),"")</f>
        <v/>
      </c>
      <c r="AV298" s="133" t="str">
        <f>IF($A298&lt;&gt;0,VLOOKUP($A298,'0.Productos'!$A$3:$GG$587,'0.Productos'!CN$1+1,0),"")</f>
        <v/>
      </c>
      <c r="AW298" s="133" t="str">
        <f>IF($A298&lt;&gt;0,VLOOKUP($A298,'0.Productos'!$A$3:$GG$587,'0.Productos'!CO$1+1,0),"")</f>
        <v/>
      </c>
      <c r="AX298" s="133" t="str">
        <f>IF($A298&lt;&gt;0,VLOOKUP($A298,'0.Productos'!$A$3:$GG$587,'0.Productos'!CP$1+1,0),"")</f>
        <v/>
      </c>
      <c r="AY298" s="133" t="str">
        <f>IF($A298&lt;&gt;0,VLOOKUP($A298,'0.Productos'!$A$3:$GG$587,'0.Productos'!CQ$1+1,0),"")</f>
        <v/>
      </c>
      <c r="AZ298" s="133" t="str">
        <f>IF($A298&lt;&gt;0,VLOOKUP($A298,'0.Productos'!$A$3:$GG$587,'0.Productos'!CR$1+1,0),"")</f>
        <v/>
      </c>
      <c r="BA298" s="133" t="str">
        <f>IF($A298&lt;&gt;0,VLOOKUP($A298,'0.Productos'!$A$3:$GG$587,'0.Productos'!CS$1+1,0),"")</f>
        <v/>
      </c>
      <c r="BB298" s="133" t="str">
        <f>IF($A298&lt;&gt;0,VLOOKUP($A298,'0.Productos'!$A$3:$GG$587,'0.Productos'!CT$1+1,0),"")</f>
        <v/>
      </c>
      <c r="BC298" s="133" t="str">
        <f>IF($A298&lt;&gt;0,VLOOKUP($A298,'0.Productos'!$A$3:$GG$587,'0.Productos'!CU$1+1,0),"")</f>
        <v/>
      </c>
      <c r="BD298" s="133" t="str">
        <f>IF($A298&lt;&gt;0,VLOOKUP($A298,'0.Productos'!$A$3:$GG$587,'0.Productos'!CV$1+1,0),"")</f>
        <v/>
      </c>
      <c r="BE298" s="133" t="str">
        <f>IF($A298&lt;&gt;0,VLOOKUP($A298,'0.Productos'!$A$3:$GG$587,'0.Productos'!CW$1+1,0),"")</f>
        <v/>
      </c>
      <c r="BF298" s="133" t="str">
        <f>IF($A298&lt;&gt;0,VLOOKUP($A298,'0.Productos'!$A$3:$GG$587,'0.Productos'!CX$1+1,0),"")</f>
        <v/>
      </c>
      <c r="BG298" s="133" t="str">
        <f>IF($A298&lt;&gt;0,VLOOKUP($A298,'0.Productos'!$A$3:$GG$587,'0.Productos'!CY$1+1,0),"")</f>
        <v/>
      </c>
      <c r="BH298" s="133" t="str">
        <f>IF($A298&lt;&gt;0,VLOOKUP($A298,'0.Productos'!$A$3:$GG$587,'0.Productos'!CZ$1+1,0),"")</f>
        <v/>
      </c>
      <c r="BI298" s="133" t="str">
        <f>IF($A298&lt;&gt;0,VLOOKUP($A298,'0.Productos'!$A$3:$GG$587,'0.Productos'!DA$1+1,0),"")</f>
        <v/>
      </c>
      <c r="BJ298" s="133" t="str">
        <f>IF($A298&lt;&gt;0,VLOOKUP($A298,'0.Productos'!$A$3:$GG$587,'0.Productos'!DB$1+1,0),"")</f>
        <v/>
      </c>
      <c r="BK298" s="133" t="str">
        <f>IF($A298&lt;&gt;0,VLOOKUP($A298,'0.Productos'!$A$3:$GG$587,'0.Productos'!DC$1+1,0),"")</f>
        <v/>
      </c>
      <c r="BL298" s="133" t="str">
        <f>IF($A298&lt;&gt;0,VLOOKUP($A298,'0.Productos'!$A$3:$GG$587,'0.Productos'!DD$1+1,0),"")</f>
        <v/>
      </c>
      <c r="BM298" s="133" t="str">
        <f>IF($A298&lt;&gt;0,VLOOKUP($A298,'0.Productos'!$A$3:$GG$587,'0.Productos'!DE$1+1,0),"")</f>
        <v/>
      </c>
      <c r="BN298" s="133" t="str">
        <f>IF($A298&lt;&gt;0,VLOOKUP($A298,'0.Productos'!$A$3:$GG$587,'0.Productos'!DF$1+1,0),"")</f>
        <v/>
      </c>
      <c r="BO298" s="133" t="str">
        <f>IF($A298&lt;&gt;0,VLOOKUP($A298,'0.Productos'!$A$3:$GG$587,'0.Productos'!DG$1+1,0),"")</f>
        <v/>
      </c>
      <c r="BP298" s="133" t="str">
        <f>IF($A298&lt;&gt;0,VLOOKUP($A298,'0.Productos'!$A$3:$GG$587,'0.Productos'!DH$1+1,0),"")</f>
        <v/>
      </c>
      <c r="BQ298" s="133" t="str">
        <f>IF($A298&lt;&gt;0,VLOOKUP($A298,'0.Productos'!$A$3:$GG$587,'0.Productos'!DI$1+1,0),"")</f>
        <v/>
      </c>
      <c r="BR298" s="133" t="str">
        <f>IF($A298&lt;&gt;0,VLOOKUP($A298,'0.Productos'!$A$3:$GG$587,'0.Productos'!DJ$1+1,0),"")</f>
        <v/>
      </c>
      <c r="BS298" s="133" t="str">
        <f>IF($A298&lt;&gt;0,VLOOKUP($A298,'0.Productos'!$A$3:$GG$587,'0.Productos'!DK$1+1,0),"")</f>
        <v/>
      </c>
      <c r="BT298" s="133" t="str">
        <f>IF($A298&lt;&gt;0,VLOOKUP($A298,'0.Productos'!$A$3:$GG$587,'0.Productos'!DL$1+1,0),"")</f>
        <v/>
      </c>
    </row>
    <row r="299" spans="1:72" x14ac:dyDescent="0.25">
      <c r="A299" s="17">
        <f>'0.Consolidado general'!A299</f>
        <v>0</v>
      </c>
      <c r="B299" s="133" t="str">
        <f>IF($A299&lt;&gt;0,VLOOKUP($A299,'0.Productos'!$A$3:$GG$587,'0.Productos'!AT$1+1,0),"")</f>
        <v/>
      </c>
      <c r="C299" s="133" t="str">
        <f>IF($A299&lt;&gt;0,VLOOKUP($A299,'0.Productos'!$A$3:$GG$587,'0.Productos'!AU$1+1,0),"")</f>
        <v/>
      </c>
      <c r="D299" s="133" t="str">
        <f>IF($A299&lt;&gt;0,VLOOKUP($A299,'0.Productos'!$A$3:$GG$587,'0.Productos'!AV$1+1,0),"")</f>
        <v/>
      </c>
      <c r="E299" s="133" t="str">
        <f>IF($A299&lt;&gt;0,VLOOKUP($A299,'0.Productos'!$A$3:$GG$587,'0.Productos'!AW$1+1,0),"")</f>
        <v/>
      </c>
      <c r="F299" s="133" t="str">
        <f>IF($A299&lt;&gt;0,VLOOKUP($A299,'0.Productos'!$A$3:$GG$587,'0.Productos'!AX$1+1,0),"")</f>
        <v/>
      </c>
      <c r="G299" s="133" t="str">
        <f>IF($A299&lt;&gt;0,VLOOKUP($A299,'0.Productos'!$A$3:$GG$587,'0.Productos'!AY$1+1,0),"")</f>
        <v/>
      </c>
      <c r="H299" s="133" t="str">
        <f>IF($A299&lt;&gt;0,VLOOKUP($A299,'0.Productos'!$A$3:$GG$587,'0.Productos'!AZ$1+1,0),"")</f>
        <v/>
      </c>
      <c r="I299" s="133" t="str">
        <f>IF($A299&lt;&gt;0,VLOOKUP($A299,'0.Productos'!$A$3:$GG$587,'0.Productos'!BA$1+1,0),"")</f>
        <v/>
      </c>
      <c r="J299" s="133" t="str">
        <f>IF($A299&lt;&gt;0,VLOOKUP($A299,'0.Productos'!$A$3:$GG$587,'0.Productos'!BB$1+1,0),"")</f>
        <v/>
      </c>
      <c r="K299" s="133" t="str">
        <f>IF($A299&lt;&gt;0,VLOOKUP($A299,'0.Productos'!$A$3:$GG$587,'0.Productos'!BC$1+1,0),"")</f>
        <v/>
      </c>
      <c r="L299" s="133" t="str">
        <f>IF($A299&lt;&gt;0,VLOOKUP($A299,'0.Productos'!$A$3:$GG$587,'0.Productos'!BD$1+1,0),"")</f>
        <v/>
      </c>
      <c r="M299" s="133" t="str">
        <f>IF($A299&lt;&gt;0,VLOOKUP($A299,'0.Productos'!$A$3:$GG$587,'0.Productos'!BE$1+1,0),"")</f>
        <v/>
      </c>
      <c r="N299" s="133" t="str">
        <f>IF($A299&lt;&gt;0,VLOOKUP($A299,'0.Productos'!$A$3:$GG$587,'0.Productos'!BF$1+1,0),"")</f>
        <v/>
      </c>
      <c r="O299" s="133" t="str">
        <f>IF($A299&lt;&gt;0,VLOOKUP($A299,'0.Productos'!$A$3:$GG$587,'0.Productos'!BG$1+1,0),"")</f>
        <v/>
      </c>
      <c r="P299" s="133" t="str">
        <f>IF($A299&lt;&gt;0,VLOOKUP($A299,'0.Productos'!$A$3:$GG$587,'0.Productos'!BH$1+1,0),"")</f>
        <v/>
      </c>
      <c r="Q299" s="133" t="str">
        <f>IF($A299&lt;&gt;0,VLOOKUP($A299,'0.Productos'!$A$3:$GG$587,'0.Productos'!BI$1+1,0),"")</f>
        <v/>
      </c>
      <c r="R299" s="133" t="str">
        <f>IF($A299&lt;&gt;0,VLOOKUP($A299,'0.Productos'!$A$3:$GG$587,'0.Productos'!BJ$1+1,0),"")</f>
        <v/>
      </c>
      <c r="S299" s="133" t="str">
        <f>IF($A299&lt;&gt;0,VLOOKUP($A299,'0.Productos'!$A$3:$GG$587,'0.Productos'!BK$1+1,0),"")</f>
        <v/>
      </c>
      <c r="T299" s="133" t="str">
        <f>IF($A299&lt;&gt;0,VLOOKUP($A299,'0.Productos'!$A$3:$GG$587,'0.Productos'!BL$1+1,0),"")</f>
        <v/>
      </c>
      <c r="U299" s="133" t="str">
        <f>IF($A299&lt;&gt;0,VLOOKUP($A299,'0.Productos'!$A$3:$GG$587,'0.Productos'!BM$1+1,0),"")</f>
        <v/>
      </c>
      <c r="V299" s="133" t="str">
        <f>IF($A299&lt;&gt;0,VLOOKUP($A299,'0.Productos'!$A$3:$GG$587,'0.Productos'!BN$1+1,0),"")</f>
        <v/>
      </c>
      <c r="W299" s="133" t="str">
        <f>IF($A299&lt;&gt;0,VLOOKUP($A299,'0.Productos'!$A$3:$GG$587,'0.Productos'!BO$1+1,0),"")</f>
        <v/>
      </c>
      <c r="X299" s="133" t="str">
        <f>IF($A299&lt;&gt;0,VLOOKUP($A299,'0.Productos'!$A$3:$GG$587,'0.Productos'!BP$1+1,0),"")</f>
        <v/>
      </c>
      <c r="Y299" s="133" t="str">
        <f>IF($A299&lt;&gt;0,VLOOKUP($A299,'0.Productos'!$A$3:$GG$587,'0.Productos'!BQ$1+1,0),"")</f>
        <v/>
      </c>
      <c r="Z299" s="133" t="str">
        <f>IF($A299&lt;&gt;0,VLOOKUP($A299,'0.Productos'!$A$3:$GG$587,'0.Productos'!BR$1+1,0),"")</f>
        <v/>
      </c>
      <c r="AA299" s="133" t="str">
        <f>IF($A299&lt;&gt;0,VLOOKUP($A299,'0.Productos'!$A$3:$GG$587,'0.Productos'!BS$1+1,0),"")</f>
        <v/>
      </c>
      <c r="AB299" s="133" t="str">
        <f>IF($A299&lt;&gt;0,VLOOKUP($A299,'0.Productos'!$A$3:$GG$587,'0.Productos'!BT$1+1,0),"")</f>
        <v/>
      </c>
      <c r="AC299" s="133" t="str">
        <f>IF($A299&lt;&gt;0,VLOOKUP($A299,'0.Productos'!$A$3:$GG$587,'0.Productos'!BU$1+1,0),"")</f>
        <v/>
      </c>
      <c r="AD299" s="133" t="str">
        <f>IF($A299&lt;&gt;0,VLOOKUP($A299,'0.Productos'!$A$3:$GG$587,'0.Productos'!BV$1+1,0),"")</f>
        <v/>
      </c>
      <c r="AE299" s="133" t="str">
        <f>IF($A299&lt;&gt;0,VLOOKUP($A299,'0.Productos'!$A$3:$GG$587,'0.Productos'!BW$1+1,0),"")</f>
        <v/>
      </c>
      <c r="AF299" s="133" t="str">
        <f>IF($A299&lt;&gt;0,VLOOKUP($A299,'0.Productos'!$A$3:$GG$587,'0.Productos'!BX$1+1,0),"")</f>
        <v/>
      </c>
      <c r="AG299" s="133" t="str">
        <f>IF($A299&lt;&gt;0,VLOOKUP($A299,'0.Productos'!$A$3:$GG$587,'0.Productos'!BY$1+1,0),"")</f>
        <v/>
      </c>
      <c r="AH299" s="133" t="str">
        <f>IF($A299&lt;&gt;0,VLOOKUP($A299,'0.Productos'!$A$3:$GG$587,'0.Productos'!BZ$1+1,0),"")</f>
        <v/>
      </c>
      <c r="AI299" s="133" t="str">
        <f>IF($A299&lt;&gt;0,VLOOKUP($A299,'0.Productos'!$A$3:$GG$587,'0.Productos'!CA$1+1,0),"")</f>
        <v/>
      </c>
      <c r="AJ299" s="133" t="str">
        <f>IF($A299&lt;&gt;0,VLOOKUP($A299,'0.Productos'!$A$3:$GG$587,'0.Productos'!CB$1+1,0),"")</f>
        <v/>
      </c>
      <c r="AK299" s="133" t="str">
        <f>IF($A299&lt;&gt;0,VLOOKUP($A299,'0.Productos'!$A$3:$GG$587,'0.Productos'!CC$1+1,0),"")</f>
        <v/>
      </c>
      <c r="AL299" s="133" t="str">
        <f>IF($A299&lt;&gt;0,VLOOKUP($A299,'0.Productos'!$A$3:$GG$587,'0.Productos'!CD$1+1,0),"")</f>
        <v/>
      </c>
      <c r="AM299" s="133" t="str">
        <f>IF($A299&lt;&gt;0,VLOOKUP($A299,'0.Productos'!$A$3:$GG$587,'0.Productos'!CE$1+1,0),"")</f>
        <v/>
      </c>
      <c r="AN299" s="133" t="str">
        <f>IF($A299&lt;&gt;0,VLOOKUP($A299,'0.Productos'!$A$3:$GG$587,'0.Productos'!CF$1+1,0),"")</f>
        <v/>
      </c>
      <c r="AO299" s="133" t="str">
        <f>IF($A299&lt;&gt;0,VLOOKUP($A299,'0.Productos'!$A$3:$GG$587,'0.Productos'!CG$1+1,0),"")</f>
        <v/>
      </c>
      <c r="AP299" s="133" t="str">
        <f>IF($A299&lt;&gt;0,VLOOKUP($A299,'0.Productos'!$A$3:$GG$587,'0.Productos'!CH$1+1,0),"")</f>
        <v/>
      </c>
      <c r="AQ299" s="133" t="str">
        <f>IF($A299&lt;&gt;0,VLOOKUP($A299,'0.Productos'!$A$3:$GG$587,'0.Productos'!CI$1+1,0),"")</f>
        <v/>
      </c>
      <c r="AR299" s="133" t="str">
        <f>IF($A299&lt;&gt;0,VLOOKUP($A299,'0.Productos'!$A$3:$GG$587,'0.Productos'!CJ$1+1,0),"")</f>
        <v/>
      </c>
      <c r="AS299" s="133" t="str">
        <f>IF($A299&lt;&gt;0,VLOOKUP($A299,'0.Productos'!$A$3:$GG$587,'0.Productos'!CK$1+1,0),"")</f>
        <v/>
      </c>
      <c r="AT299" s="133" t="str">
        <f>IF($A299&lt;&gt;0,VLOOKUP($A299,'0.Productos'!$A$3:$GG$587,'0.Productos'!CL$1+1,0),"")</f>
        <v/>
      </c>
      <c r="AU299" s="133" t="str">
        <f>IF($A299&lt;&gt;0,VLOOKUP($A299,'0.Productos'!$A$3:$GG$587,'0.Productos'!CM$1+1,0),"")</f>
        <v/>
      </c>
      <c r="AV299" s="133" t="str">
        <f>IF($A299&lt;&gt;0,VLOOKUP($A299,'0.Productos'!$A$3:$GG$587,'0.Productos'!CN$1+1,0),"")</f>
        <v/>
      </c>
      <c r="AW299" s="133" t="str">
        <f>IF($A299&lt;&gt;0,VLOOKUP($A299,'0.Productos'!$A$3:$GG$587,'0.Productos'!CO$1+1,0),"")</f>
        <v/>
      </c>
      <c r="AX299" s="133" t="str">
        <f>IF($A299&lt;&gt;0,VLOOKUP($A299,'0.Productos'!$A$3:$GG$587,'0.Productos'!CP$1+1,0),"")</f>
        <v/>
      </c>
      <c r="AY299" s="133" t="str">
        <f>IF($A299&lt;&gt;0,VLOOKUP($A299,'0.Productos'!$A$3:$GG$587,'0.Productos'!CQ$1+1,0),"")</f>
        <v/>
      </c>
      <c r="AZ299" s="133" t="str">
        <f>IF($A299&lt;&gt;0,VLOOKUP($A299,'0.Productos'!$A$3:$GG$587,'0.Productos'!CR$1+1,0),"")</f>
        <v/>
      </c>
      <c r="BA299" s="133" t="str">
        <f>IF($A299&lt;&gt;0,VLOOKUP($A299,'0.Productos'!$A$3:$GG$587,'0.Productos'!CS$1+1,0),"")</f>
        <v/>
      </c>
      <c r="BB299" s="133" t="str">
        <f>IF($A299&lt;&gt;0,VLOOKUP($A299,'0.Productos'!$A$3:$GG$587,'0.Productos'!CT$1+1,0),"")</f>
        <v/>
      </c>
      <c r="BC299" s="133" t="str">
        <f>IF($A299&lt;&gt;0,VLOOKUP($A299,'0.Productos'!$A$3:$GG$587,'0.Productos'!CU$1+1,0),"")</f>
        <v/>
      </c>
      <c r="BD299" s="133" t="str">
        <f>IF($A299&lt;&gt;0,VLOOKUP($A299,'0.Productos'!$A$3:$GG$587,'0.Productos'!CV$1+1,0),"")</f>
        <v/>
      </c>
      <c r="BE299" s="133" t="str">
        <f>IF($A299&lt;&gt;0,VLOOKUP($A299,'0.Productos'!$A$3:$GG$587,'0.Productos'!CW$1+1,0),"")</f>
        <v/>
      </c>
      <c r="BF299" s="133" t="str">
        <f>IF($A299&lt;&gt;0,VLOOKUP($A299,'0.Productos'!$A$3:$GG$587,'0.Productos'!CX$1+1,0),"")</f>
        <v/>
      </c>
      <c r="BG299" s="133" t="str">
        <f>IF($A299&lt;&gt;0,VLOOKUP($A299,'0.Productos'!$A$3:$GG$587,'0.Productos'!CY$1+1,0),"")</f>
        <v/>
      </c>
      <c r="BH299" s="133" t="str">
        <f>IF($A299&lt;&gt;0,VLOOKUP($A299,'0.Productos'!$A$3:$GG$587,'0.Productos'!CZ$1+1,0),"")</f>
        <v/>
      </c>
      <c r="BI299" s="133" t="str">
        <f>IF($A299&lt;&gt;0,VLOOKUP($A299,'0.Productos'!$A$3:$GG$587,'0.Productos'!DA$1+1,0),"")</f>
        <v/>
      </c>
      <c r="BJ299" s="133" t="str">
        <f>IF($A299&lt;&gt;0,VLOOKUP($A299,'0.Productos'!$A$3:$GG$587,'0.Productos'!DB$1+1,0),"")</f>
        <v/>
      </c>
      <c r="BK299" s="133" t="str">
        <f>IF($A299&lt;&gt;0,VLOOKUP($A299,'0.Productos'!$A$3:$GG$587,'0.Productos'!DC$1+1,0),"")</f>
        <v/>
      </c>
      <c r="BL299" s="133" t="str">
        <f>IF($A299&lt;&gt;0,VLOOKUP($A299,'0.Productos'!$A$3:$GG$587,'0.Productos'!DD$1+1,0),"")</f>
        <v/>
      </c>
      <c r="BM299" s="133" t="str">
        <f>IF($A299&lt;&gt;0,VLOOKUP($A299,'0.Productos'!$A$3:$GG$587,'0.Productos'!DE$1+1,0),"")</f>
        <v/>
      </c>
      <c r="BN299" s="133" t="str">
        <f>IF($A299&lt;&gt;0,VLOOKUP($A299,'0.Productos'!$A$3:$GG$587,'0.Productos'!DF$1+1,0),"")</f>
        <v/>
      </c>
      <c r="BO299" s="133" t="str">
        <f>IF($A299&lt;&gt;0,VLOOKUP($A299,'0.Productos'!$A$3:$GG$587,'0.Productos'!DG$1+1,0),"")</f>
        <v/>
      </c>
      <c r="BP299" s="133" t="str">
        <f>IF($A299&lt;&gt;0,VLOOKUP($A299,'0.Productos'!$A$3:$GG$587,'0.Productos'!DH$1+1,0),"")</f>
        <v/>
      </c>
      <c r="BQ299" s="133" t="str">
        <f>IF($A299&lt;&gt;0,VLOOKUP($A299,'0.Productos'!$A$3:$GG$587,'0.Productos'!DI$1+1,0),"")</f>
        <v/>
      </c>
      <c r="BR299" s="133" t="str">
        <f>IF($A299&lt;&gt;0,VLOOKUP($A299,'0.Productos'!$A$3:$GG$587,'0.Productos'!DJ$1+1,0),"")</f>
        <v/>
      </c>
      <c r="BS299" s="133" t="str">
        <f>IF($A299&lt;&gt;0,VLOOKUP($A299,'0.Productos'!$A$3:$GG$587,'0.Productos'!DK$1+1,0),"")</f>
        <v/>
      </c>
      <c r="BT299" s="133" t="str">
        <f>IF($A299&lt;&gt;0,VLOOKUP($A299,'0.Productos'!$A$3:$GG$587,'0.Productos'!DL$1+1,0),"")</f>
        <v/>
      </c>
    </row>
    <row r="300" spans="1:72" x14ac:dyDescent="0.25">
      <c r="A300" s="17">
        <f>'0.Consolidado general'!A300</f>
        <v>0</v>
      </c>
      <c r="B300" s="133" t="str">
        <f>IF($A300&lt;&gt;0,VLOOKUP($A300,'0.Productos'!$A$3:$GG$587,'0.Productos'!AT$1+1,0),"")</f>
        <v/>
      </c>
      <c r="C300" s="133" t="str">
        <f>IF($A300&lt;&gt;0,VLOOKUP($A300,'0.Productos'!$A$3:$GG$587,'0.Productos'!AU$1+1,0),"")</f>
        <v/>
      </c>
      <c r="D300" s="133" t="str">
        <f>IF($A300&lt;&gt;0,VLOOKUP($A300,'0.Productos'!$A$3:$GG$587,'0.Productos'!AV$1+1,0),"")</f>
        <v/>
      </c>
      <c r="E300" s="133" t="str">
        <f>IF($A300&lt;&gt;0,VLOOKUP($A300,'0.Productos'!$A$3:$GG$587,'0.Productos'!AW$1+1,0),"")</f>
        <v/>
      </c>
      <c r="F300" s="133" t="str">
        <f>IF($A300&lt;&gt;0,VLOOKUP($A300,'0.Productos'!$A$3:$GG$587,'0.Productos'!AX$1+1,0),"")</f>
        <v/>
      </c>
      <c r="G300" s="133" t="str">
        <f>IF($A300&lt;&gt;0,VLOOKUP($A300,'0.Productos'!$A$3:$GG$587,'0.Productos'!AY$1+1,0),"")</f>
        <v/>
      </c>
      <c r="H300" s="133" t="str">
        <f>IF($A300&lt;&gt;0,VLOOKUP($A300,'0.Productos'!$A$3:$GG$587,'0.Productos'!AZ$1+1,0),"")</f>
        <v/>
      </c>
      <c r="I300" s="133" t="str">
        <f>IF($A300&lt;&gt;0,VLOOKUP($A300,'0.Productos'!$A$3:$GG$587,'0.Productos'!BA$1+1,0),"")</f>
        <v/>
      </c>
      <c r="J300" s="133" t="str">
        <f>IF($A300&lt;&gt;0,VLOOKUP($A300,'0.Productos'!$A$3:$GG$587,'0.Productos'!BB$1+1,0),"")</f>
        <v/>
      </c>
      <c r="K300" s="133" t="str">
        <f>IF($A300&lt;&gt;0,VLOOKUP($A300,'0.Productos'!$A$3:$GG$587,'0.Productos'!BC$1+1,0),"")</f>
        <v/>
      </c>
      <c r="L300" s="133" t="str">
        <f>IF($A300&lt;&gt;0,VLOOKUP($A300,'0.Productos'!$A$3:$GG$587,'0.Productos'!BD$1+1,0),"")</f>
        <v/>
      </c>
      <c r="M300" s="133" t="str">
        <f>IF($A300&lt;&gt;0,VLOOKUP($A300,'0.Productos'!$A$3:$GG$587,'0.Productos'!BE$1+1,0),"")</f>
        <v/>
      </c>
      <c r="N300" s="133" t="str">
        <f>IF($A300&lt;&gt;0,VLOOKUP($A300,'0.Productos'!$A$3:$GG$587,'0.Productos'!BF$1+1,0),"")</f>
        <v/>
      </c>
      <c r="O300" s="133" t="str">
        <f>IF($A300&lt;&gt;0,VLOOKUP($A300,'0.Productos'!$A$3:$GG$587,'0.Productos'!BG$1+1,0),"")</f>
        <v/>
      </c>
      <c r="P300" s="133" t="str">
        <f>IF($A300&lt;&gt;0,VLOOKUP($A300,'0.Productos'!$A$3:$GG$587,'0.Productos'!BH$1+1,0),"")</f>
        <v/>
      </c>
      <c r="Q300" s="133" t="str">
        <f>IF($A300&lt;&gt;0,VLOOKUP($A300,'0.Productos'!$A$3:$GG$587,'0.Productos'!BI$1+1,0),"")</f>
        <v/>
      </c>
      <c r="R300" s="133" t="str">
        <f>IF($A300&lt;&gt;0,VLOOKUP($A300,'0.Productos'!$A$3:$GG$587,'0.Productos'!BJ$1+1,0),"")</f>
        <v/>
      </c>
      <c r="S300" s="133" t="str">
        <f>IF($A300&lt;&gt;0,VLOOKUP($A300,'0.Productos'!$A$3:$GG$587,'0.Productos'!BK$1+1,0),"")</f>
        <v/>
      </c>
      <c r="T300" s="133" t="str">
        <f>IF($A300&lt;&gt;0,VLOOKUP($A300,'0.Productos'!$A$3:$GG$587,'0.Productos'!BL$1+1,0),"")</f>
        <v/>
      </c>
      <c r="U300" s="133" t="str">
        <f>IF($A300&lt;&gt;0,VLOOKUP($A300,'0.Productos'!$A$3:$GG$587,'0.Productos'!BM$1+1,0),"")</f>
        <v/>
      </c>
      <c r="V300" s="133" t="str">
        <f>IF($A300&lt;&gt;0,VLOOKUP($A300,'0.Productos'!$A$3:$GG$587,'0.Productos'!BN$1+1,0),"")</f>
        <v/>
      </c>
      <c r="W300" s="133" t="str">
        <f>IF($A300&lt;&gt;0,VLOOKUP($A300,'0.Productos'!$A$3:$GG$587,'0.Productos'!BO$1+1,0),"")</f>
        <v/>
      </c>
      <c r="X300" s="133" t="str">
        <f>IF($A300&lt;&gt;0,VLOOKUP($A300,'0.Productos'!$A$3:$GG$587,'0.Productos'!BP$1+1,0),"")</f>
        <v/>
      </c>
      <c r="Y300" s="133" t="str">
        <f>IF($A300&lt;&gt;0,VLOOKUP($A300,'0.Productos'!$A$3:$GG$587,'0.Productos'!BQ$1+1,0),"")</f>
        <v/>
      </c>
      <c r="Z300" s="133" t="str">
        <f>IF($A300&lt;&gt;0,VLOOKUP($A300,'0.Productos'!$A$3:$GG$587,'0.Productos'!BR$1+1,0),"")</f>
        <v/>
      </c>
      <c r="AA300" s="133" t="str">
        <f>IF($A300&lt;&gt;0,VLOOKUP($A300,'0.Productos'!$A$3:$GG$587,'0.Productos'!BS$1+1,0),"")</f>
        <v/>
      </c>
      <c r="AB300" s="133" t="str">
        <f>IF($A300&lt;&gt;0,VLOOKUP($A300,'0.Productos'!$A$3:$GG$587,'0.Productos'!BT$1+1,0),"")</f>
        <v/>
      </c>
      <c r="AC300" s="133" t="str">
        <f>IF($A300&lt;&gt;0,VLOOKUP($A300,'0.Productos'!$A$3:$GG$587,'0.Productos'!BU$1+1,0),"")</f>
        <v/>
      </c>
      <c r="AD300" s="133" t="str">
        <f>IF($A300&lt;&gt;0,VLOOKUP($A300,'0.Productos'!$A$3:$GG$587,'0.Productos'!BV$1+1,0),"")</f>
        <v/>
      </c>
      <c r="AE300" s="133" t="str">
        <f>IF($A300&lt;&gt;0,VLOOKUP($A300,'0.Productos'!$A$3:$GG$587,'0.Productos'!BW$1+1,0),"")</f>
        <v/>
      </c>
      <c r="AF300" s="133" t="str">
        <f>IF($A300&lt;&gt;0,VLOOKUP($A300,'0.Productos'!$A$3:$GG$587,'0.Productos'!BX$1+1,0),"")</f>
        <v/>
      </c>
      <c r="AG300" s="133" t="str">
        <f>IF($A300&lt;&gt;0,VLOOKUP($A300,'0.Productos'!$A$3:$GG$587,'0.Productos'!BY$1+1,0),"")</f>
        <v/>
      </c>
      <c r="AH300" s="133" t="str">
        <f>IF($A300&lt;&gt;0,VLOOKUP($A300,'0.Productos'!$A$3:$GG$587,'0.Productos'!BZ$1+1,0),"")</f>
        <v/>
      </c>
      <c r="AI300" s="133" t="str">
        <f>IF($A300&lt;&gt;0,VLOOKUP($A300,'0.Productos'!$A$3:$GG$587,'0.Productos'!CA$1+1,0),"")</f>
        <v/>
      </c>
      <c r="AJ300" s="133" t="str">
        <f>IF($A300&lt;&gt;0,VLOOKUP($A300,'0.Productos'!$A$3:$GG$587,'0.Productos'!CB$1+1,0),"")</f>
        <v/>
      </c>
      <c r="AK300" s="133" t="str">
        <f>IF($A300&lt;&gt;0,VLOOKUP($A300,'0.Productos'!$A$3:$GG$587,'0.Productos'!CC$1+1,0),"")</f>
        <v/>
      </c>
      <c r="AL300" s="133" t="str">
        <f>IF($A300&lt;&gt;0,VLOOKUP($A300,'0.Productos'!$A$3:$GG$587,'0.Productos'!CD$1+1,0),"")</f>
        <v/>
      </c>
      <c r="AM300" s="133" t="str">
        <f>IF($A300&lt;&gt;0,VLOOKUP($A300,'0.Productos'!$A$3:$GG$587,'0.Productos'!CE$1+1,0),"")</f>
        <v/>
      </c>
      <c r="AN300" s="133" t="str">
        <f>IF($A300&lt;&gt;0,VLOOKUP($A300,'0.Productos'!$A$3:$GG$587,'0.Productos'!CF$1+1,0),"")</f>
        <v/>
      </c>
      <c r="AO300" s="133" t="str">
        <f>IF($A300&lt;&gt;0,VLOOKUP($A300,'0.Productos'!$A$3:$GG$587,'0.Productos'!CG$1+1,0),"")</f>
        <v/>
      </c>
      <c r="AP300" s="133" t="str">
        <f>IF($A300&lt;&gt;0,VLOOKUP($A300,'0.Productos'!$A$3:$GG$587,'0.Productos'!CH$1+1,0),"")</f>
        <v/>
      </c>
      <c r="AQ300" s="133" t="str">
        <f>IF($A300&lt;&gt;0,VLOOKUP($A300,'0.Productos'!$A$3:$GG$587,'0.Productos'!CI$1+1,0),"")</f>
        <v/>
      </c>
      <c r="AR300" s="133" t="str">
        <f>IF($A300&lt;&gt;0,VLOOKUP($A300,'0.Productos'!$A$3:$GG$587,'0.Productos'!CJ$1+1,0),"")</f>
        <v/>
      </c>
      <c r="AS300" s="133" t="str">
        <f>IF($A300&lt;&gt;0,VLOOKUP($A300,'0.Productos'!$A$3:$GG$587,'0.Productos'!CK$1+1,0),"")</f>
        <v/>
      </c>
      <c r="AT300" s="133" t="str">
        <f>IF($A300&lt;&gt;0,VLOOKUP($A300,'0.Productos'!$A$3:$GG$587,'0.Productos'!CL$1+1,0),"")</f>
        <v/>
      </c>
      <c r="AU300" s="133" t="str">
        <f>IF($A300&lt;&gt;0,VLOOKUP($A300,'0.Productos'!$A$3:$GG$587,'0.Productos'!CM$1+1,0),"")</f>
        <v/>
      </c>
      <c r="AV300" s="133" t="str">
        <f>IF($A300&lt;&gt;0,VLOOKUP($A300,'0.Productos'!$A$3:$GG$587,'0.Productos'!CN$1+1,0),"")</f>
        <v/>
      </c>
      <c r="AW300" s="133" t="str">
        <f>IF($A300&lt;&gt;0,VLOOKUP($A300,'0.Productos'!$A$3:$GG$587,'0.Productos'!CO$1+1,0),"")</f>
        <v/>
      </c>
      <c r="AX300" s="133" t="str">
        <f>IF($A300&lt;&gt;0,VLOOKUP($A300,'0.Productos'!$A$3:$GG$587,'0.Productos'!CP$1+1,0),"")</f>
        <v/>
      </c>
      <c r="AY300" s="133" t="str">
        <f>IF($A300&lt;&gt;0,VLOOKUP($A300,'0.Productos'!$A$3:$GG$587,'0.Productos'!CQ$1+1,0),"")</f>
        <v/>
      </c>
      <c r="AZ300" s="133" t="str">
        <f>IF($A300&lt;&gt;0,VLOOKUP($A300,'0.Productos'!$A$3:$GG$587,'0.Productos'!CR$1+1,0),"")</f>
        <v/>
      </c>
      <c r="BA300" s="133" t="str">
        <f>IF($A300&lt;&gt;0,VLOOKUP($A300,'0.Productos'!$A$3:$GG$587,'0.Productos'!CS$1+1,0),"")</f>
        <v/>
      </c>
      <c r="BB300" s="133" t="str">
        <f>IF($A300&lt;&gt;0,VLOOKUP($A300,'0.Productos'!$A$3:$GG$587,'0.Productos'!CT$1+1,0),"")</f>
        <v/>
      </c>
      <c r="BC300" s="133" t="str">
        <f>IF($A300&lt;&gt;0,VLOOKUP($A300,'0.Productos'!$A$3:$GG$587,'0.Productos'!CU$1+1,0),"")</f>
        <v/>
      </c>
      <c r="BD300" s="133" t="str">
        <f>IF($A300&lt;&gt;0,VLOOKUP($A300,'0.Productos'!$A$3:$GG$587,'0.Productos'!CV$1+1,0),"")</f>
        <v/>
      </c>
      <c r="BE300" s="133" t="str">
        <f>IF($A300&lt;&gt;0,VLOOKUP($A300,'0.Productos'!$A$3:$GG$587,'0.Productos'!CW$1+1,0),"")</f>
        <v/>
      </c>
      <c r="BF300" s="133" t="str">
        <f>IF($A300&lt;&gt;0,VLOOKUP($A300,'0.Productos'!$A$3:$GG$587,'0.Productos'!CX$1+1,0),"")</f>
        <v/>
      </c>
      <c r="BG300" s="133" t="str">
        <f>IF($A300&lt;&gt;0,VLOOKUP($A300,'0.Productos'!$A$3:$GG$587,'0.Productos'!CY$1+1,0),"")</f>
        <v/>
      </c>
      <c r="BH300" s="133" t="str">
        <f>IF($A300&lt;&gt;0,VLOOKUP($A300,'0.Productos'!$A$3:$GG$587,'0.Productos'!CZ$1+1,0),"")</f>
        <v/>
      </c>
      <c r="BI300" s="133" t="str">
        <f>IF($A300&lt;&gt;0,VLOOKUP($A300,'0.Productos'!$A$3:$GG$587,'0.Productos'!DA$1+1,0),"")</f>
        <v/>
      </c>
      <c r="BJ300" s="133" t="str">
        <f>IF($A300&lt;&gt;0,VLOOKUP($A300,'0.Productos'!$A$3:$GG$587,'0.Productos'!DB$1+1,0),"")</f>
        <v/>
      </c>
      <c r="BK300" s="133" t="str">
        <f>IF($A300&lt;&gt;0,VLOOKUP($A300,'0.Productos'!$A$3:$GG$587,'0.Productos'!DC$1+1,0),"")</f>
        <v/>
      </c>
      <c r="BL300" s="133" t="str">
        <f>IF($A300&lt;&gt;0,VLOOKUP($A300,'0.Productos'!$A$3:$GG$587,'0.Productos'!DD$1+1,0),"")</f>
        <v/>
      </c>
      <c r="BM300" s="133" t="str">
        <f>IF($A300&lt;&gt;0,VLOOKUP($A300,'0.Productos'!$A$3:$GG$587,'0.Productos'!DE$1+1,0),"")</f>
        <v/>
      </c>
      <c r="BN300" s="133" t="str">
        <f>IF($A300&lt;&gt;0,VLOOKUP($A300,'0.Productos'!$A$3:$GG$587,'0.Productos'!DF$1+1,0),"")</f>
        <v/>
      </c>
      <c r="BO300" s="133" t="str">
        <f>IF($A300&lt;&gt;0,VLOOKUP($A300,'0.Productos'!$A$3:$GG$587,'0.Productos'!DG$1+1,0),"")</f>
        <v/>
      </c>
      <c r="BP300" s="133" t="str">
        <f>IF($A300&lt;&gt;0,VLOOKUP($A300,'0.Productos'!$A$3:$GG$587,'0.Productos'!DH$1+1,0),"")</f>
        <v/>
      </c>
      <c r="BQ300" s="133" t="str">
        <f>IF($A300&lt;&gt;0,VLOOKUP($A300,'0.Productos'!$A$3:$GG$587,'0.Productos'!DI$1+1,0),"")</f>
        <v/>
      </c>
      <c r="BR300" s="133" t="str">
        <f>IF($A300&lt;&gt;0,VLOOKUP($A300,'0.Productos'!$A$3:$GG$587,'0.Productos'!DJ$1+1,0),"")</f>
        <v/>
      </c>
      <c r="BS300" s="133" t="str">
        <f>IF($A300&lt;&gt;0,VLOOKUP($A300,'0.Productos'!$A$3:$GG$587,'0.Productos'!DK$1+1,0),"")</f>
        <v/>
      </c>
      <c r="BT300" s="133" t="str">
        <f>IF($A300&lt;&gt;0,VLOOKUP($A300,'0.Productos'!$A$3:$GG$587,'0.Productos'!DL$1+1,0),"")</f>
        <v/>
      </c>
    </row>
    <row r="301" spans="1:72" x14ac:dyDescent="0.25">
      <c r="A301" s="17">
        <f>'0.Consolidado general'!A301</f>
        <v>0</v>
      </c>
      <c r="B301" s="133" t="str">
        <f>IF($A301&lt;&gt;0,VLOOKUP($A301,'0.Productos'!$A$3:$GG$587,'0.Productos'!AT$1+1,0),"")</f>
        <v/>
      </c>
      <c r="C301" s="133" t="str">
        <f>IF($A301&lt;&gt;0,VLOOKUP($A301,'0.Productos'!$A$3:$GG$587,'0.Productos'!AU$1+1,0),"")</f>
        <v/>
      </c>
      <c r="D301" s="133" t="str">
        <f>IF($A301&lt;&gt;0,VLOOKUP($A301,'0.Productos'!$A$3:$GG$587,'0.Productos'!AV$1+1,0),"")</f>
        <v/>
      </c>
      <c r="E301" s="133" t="str">
        <f>IF($A301&lt;&gt;0,VLOOKUP($A301,'0.Productos'!$A$3:$GG$587,'0.Productos'!AW$1+1,0),"")</f>
        <v/>
      </c>
      <c r="F301" s="133" t="str">
        <f>IF($A301&lt;&gt;0,VLOOKUP($A301,'0.Productos'!$A$3:$GG$587,'0.Productos'!AX$1+1,0),"")</f>
        <v/>
      </c>
      <c r="G301" s="133" t="str">
        <f>IF($A301&lt;&gt;0,VLOOKUP($A301,'0.Productos'!$A$3:$GG$587,'0.Productos'!AY$1+1,0),"")</f>
        <v/>
      </c>
      <c r="H301" s="133" t="str">
        <f>IF($A301&lt;&gt;0,VLOOKUP($A301,'0.Productos'!$A$3:$GG$587,'0.Productos'!AZ$1+1,0),"")</f>
        <v/>
      </c>
      <c r="I301" s="133" t="str">
        <f>IF($A301&lt;&gt;0,VLOOKUP($A301,'0.Productos'!$A$3:$GG$587,'0.Productos'!BA$1+1,0),"")</f>
        <v/>
      </c>
      <c r="J301" s="133" t="str">
        <f>IF($A301&lt;&gt;0,VLOOKUP($A301,'0.Productos'!$A$3:$GG$587,'0.Productos'!BB$1+1,0),"")</f>
        <v/>
      </c>
      <c r="K301" s="133" t="str">
        <f>IF($A301&lt;&gt;0,VLOOKUP($A301,'0.Productos'!$A$3:$GG$587,'0.Productos'!BC$1+1,0),"")</f>
        <v/>
      </c>
      <c r="L301" s="133" t="str">
        <f>IF($A301&lt;&gt;0,VLOOKUP($A301,'0.Productos'!$A$3:$GG$587,'0.Productos'!BD$1+1,0),"")</f>
        <v/>
      </c>
      <c r="M301" s="133" t="str">
        <f>IF($A301&lt;&gt;0,VLOOKUP($A301,'0.Productos'!$A$3:$GG$587,'0.Productos'!BE$1+1,0),"")</f>
        <v/>
      </c>
      <c r="N301" s="133" t="str">
        <f>IF($A301&lt;&gt;0,VLOOKUP($A301,'0.Productos'!$A$3:$GG$587,'0.Productos'!BF$1+1,0),"")</f>
        <v/>
      </c>
      <c r="O301" s="133" t="str">
        <f>IF($A301&lt;&gt;0,VLOOKUP($A301,'0.Productos'!$A$3:$GG$587,'0.Productos'!BG$1+1,0),"")</f>
        <v/>
      </c>
      <c r="P301" s="133" t="str">
        <f>IF($A301&lt;&gt;0,VLOOKUP($A301,'0.Productos'!$A$3:$GG$587,'0.Productos'!BH$1+1,0),"")</f>
        <v/>
      </c>
      <c r="Q301" s="133" t="str">
        <f>IF($A301&lt;&gt;0,VLOOKUP($A301,'0.Productos'!$A$3:$GG$587,'0.Productos'!BI$1+1,0),"")</f>
        <v/>
      </c>
      <c r="R301" s="133" t="str">
        <f>IF($A301&lt;&gt;0,VLOOKUP($A301,'0.Productos'!$A$3:$GG$587,'0.Productos'!BJ$1+1,0),"")</f>
        <v/>
      </c>
      <c r="S301" s="133" t="str">
        <f>IF($A301&lt;&gt;0,VLOOKUP($A301,'0.Productos'!$A$3:$GG$587,'0.Productos'!BK$1+1,0),"")</f>
        <v/>
      </c>
      <c r="T301" s="133" t="str">
        <f>IF($A301&lt;&gt;0,VLOOKUP($A301,'0.Productos'!$A$3:$GG$587,'0.Productos'!BL$1+1,0),"")</f>
        <v/>
      </c>
      <c r="U301" s="133" t="str">
        <f>IF($A301&lt;&gt;0,VLOOKUP($A301,'0.Productos'!$A$3:$GG$587,'0.Productos'!BM$1+1,0),"")</f>
        <v/>
      </c>
      <c r="V301" s="133" t="str">
        <f>IF($A301&lt;&gt;0,VLOOKUP($A301,'0.Productos'!$A$3:$GG$587,'0.Productos'!BN$1+1,0),"")</f>
        <v/>
      </c>
      <c r="W301" s="133" t="str">
        <f>IF($A301&lt;&gt;0,VLOOKUP($A301,'0.Productos'!$A$3:$GG$587,'0.Productos'!BO$1+1,0),"")</f>
        <v/>
      </c>
      <c r="X301" s="133" t="str">
        <f>IF($A301&lt;&gt;0,VLOOKUP($A301,'0.Productos'!$A$3:$GG$587,'0.Productos'!BP$1+1,0),"")</f>
        <v/>
      </c>
      <c r="Y301" s="133" t="str">
        <f>IF($A301&lt;&gt;0,VLOOKUP($A301,'0.Productos'!$A$3:$GG$587,'0.Productos'!BQ$1+1,0),"")</f>
        <v/>
      </c>
      <c r="Z301" s="133" t="str">
        <f>IF($A301&lt;&gt;0,VLOOKUP($A301,'0.Productos'!$A$3:$GG$587,'0.Productos'!BR$1+1,0),"")</f>
        <v/>
      </c>
      <c r="AA301" s="133" t="str">
        <f>IF($A301&lt;&gt;0,VLOOKUP($A301,'0.Productos'!$A$3:$GG$587,'0.Productos'!BS$1+1,0),"")</f>
        <v/>
      </c>
      <c r="AB301" s="133" t="str">
        <f>IF($A301&lt;&gt;0,VLOOKUP($A301,'0.Productos'!$A$3:$GG$587,'0.Productos'!BT$1+1,0),"")</f>
        <v/>
      </c>
      <c r="AC301" s="133" t="str">
        <f>IF($A301&lt;&gt;0,VLOOKUP($A301,'0.Productos'!$A$3:$GG$587,'0.Productos'!BU$1+1,0),"")</f>
        <v/>
      </c>
      <c r="AD301" s="133" t="str">
        <f>IF($A301&lt;&gt;0,VLOOKUP($A301,'0.Productos'!$A$3:$GG$587,'0.Productos'!BV$1+1,0),"")</f>
        <v/>
      </c>
      <c r="AE301" s="133" t="str">
        <f>IF($A301&lt;&gt;0,VLOOKUP($A301,'0.Productos'!$A$3:$GG$587,'0.Productos'!BW$1+1,0),"")</f>
        <v/>
      </c>
      <c r="AF301" s="133" t="str">
        <f>IF($A301&lt;&gt;0,VLOOKUP($A301,'0.Productos'!$A$3:$GG$587,'0.Productos'!BX$1+1,0),"")</f>
        <v/>
      </c>
      <c r="AG301" s="133" t="str">
        <f>IF($A301&lt;&gt;0,VLOOKUP($A301,'0.Productos'!$A$3:$GG$587,'0.Productos'!BY$1+1,0),"")</f>
        <v/>
      </c>
      <c r="AH301" s="133" t="str">
        <f>IF($A301&lt;&gt;0,VLOOKUP($A301,'0.Productos'!$A$3:$GG$587,'0.Productos'!BZ$1+1,0),"")</f>
        <v/>
      </c>
      <c r="AI301" s="133" t="str">
        <f>IF($A301&lt;&gt;0,VLOOKUP($A301,'0.Productos'!$A$3:$GG$587,'0.Productos'!CA$1+1,0),"")</f>
        <v/>
      </c>
      <c r="AJ301" s="133" t="str">
        <f>IF($A301&lt;&gt;0,VLOOKUP($A301,'0.Productos'!$A$3:$GG$587,'0.Productos'!CB$1+1,0),"")</f>
        <v/>
      </c>
      <c r="AK301" s="133" t="str">
        <f>IF($A301&lt;&gt;0,VLOOKUP($A301,'0.Productos'!$A$3:$GG$587,'0.Productos'!CC$1+1,0),"")</f>
        <v/>
      </c>
      <c r="AL301" s="133" t="str">
        <f>IF($A301&lt;&gt;0,VLOOKUP($A301,'0.Productos'!$A$3:$GG$587,'0.Productos'!CD$1+1,0),"")</f>
        <v/>
      </c>
      <c r="AM301" s="133" t="str">
        <f>IF($A301&lt;&gt;0,VLOOKUP($A301,'0.Productos'!$A$3:$GG$587,'0.Productos'!CE$1+1,0),"")</f>
        <v/>
      </c>
      <c r="AN301" s="133" t="str">
        <f>IF($A301&lt;&gt;0,VLOOKUP($A301,'0.Productos'!$A$3:$GG$587,'0.Productos'!CF$1+1,0),"")</f>
        <v/>
      </c>
      <c r="AO301" s="133" t="str">
        <f>IF($A301&lt;&gt;0,VLOOKUP($A301,'0.Productos'!$A$3:$GG$587,'0.Productos'!CG$1+1,0),"")</f>
        <v/>
      </c>
      <c r="AP301" s="133" t="str">
        <f>IF($A301&lt;&gt;0,VLOOKUP($A301,'0.Productos'!$A$3:$GG$587,'0.Productos'!CH$1+1,0),"")</f>
        <v/>
      </c>
      <c r="AQ301" s="133" t="str">
        <f>IF($A301&lt;&gt;0,VLOOKUP($A301,'0.Productos'!$A$3:$GG$587,'0.Productos'!CI$1+1,0),"")</f>
        <v/>
      </c>
      <c r="AR301" s="133" t="str">
        <f>IF($A301&lt;&gt;0,VLOOKUP($A301,'0.Productos'!$A$3:$GG$587,'0.Productos'!CJ$1+1,0),"")</f>
        <v/>
      </c>
      <c r="AS301" s="133" t="str">
        <f>IF($A301&lt;&gt;0,VLOOKUP($A301,'0.Productos'!$A$3:$GG$587,'0.Productos'!CK$1+1,0),"")</f>
        <v/>
      </c>
      <c r="AT301" s="133" t="str">
        <f>IF($A301&lt;&gt;0,VLOOKUP($A301,'0.Productos'!$A$3:$GG$587,'0.Productos'!CL$1+1,0),"")</f>
        <v/>
      </c>
      <c r="AU301" s="133" t="str">
        <f>IF($A301&lt;&gt;0,VLOOKUP($A301,'0.Productos'!$A$3:$GG$587,'0.Productos'!CM$1+1,0),"")</f>
        <v/>
      </c>
      <c r="AV301" s="133" t="str">
        <f>IF($A301&lt;&gt;0,VLOOKUP($A301,'0.Productos'!$A$3:$GG$587,'0.Productos'!CN$1+1,0),"")</f>
        <v/>
      </c>
      <c r="AW301" s="133" t="str">
        <f>IF($A301&lt;&gt;0,VLOOKUP($A301,'0.Productos'!$A$3:$GG$587,'0.Productos'!CO$1+1,0),"")</f>
        <v/>
      </c>
      <c r="AX301" s="133" t="str">
        <f>IF($A301&lt;&gt;0,VLOOKUP($A301,'0.Productos'!$A$3:$GG$587,'0.Productos'!CP$1+1,0),"")</f>
        <v/>
      </c>
      <c r="AY301" s="133" t="str">
        <f>IF($A301&lt;&gt;0,VLOOKUP($A301,'0.Productos'!$A$3:$GG$587,'0.Productos'!CQ$1+1,0),"")</f>
        <v/>
      </c>
      <c r="AZ301" s="133" t="str">
        <f>IF($A301&lt;&gt;0,VLOOKUP($A301,'0.Productos'!$A$3:$GG$587,'0.Productos'!CR$1+1,0),"")</f>
        <v/>
      </c>
      <c r="BA301" s="133" t="str">
        <f>IF($A301&lt;&gt;0,VLOOKUP($A301,'0.Productos'!$A$3:$GG$587,'0.Productos'!CS$1+1,0),"")</f>
        <v/>
      </c>
      <c r="BB301" s="133" t="str">
        <f>IF($A301&lt;&gt;0,VLOOKUP($A301,'0.Productos'!$A$3:$GG$587,'0.Productos'!CT$1+1,0),"")</f>
        <v/>
      </c>
      <c r="BC301" s="133" t="str">
        <f>IF($A301&lt;&gt;0,VLOOKUP($A301,'0.Productos'!$A$3:$GG$587,'0.Productos'!CU$1+1,0),"")</f>
        <v/>
      </c>
      <c r="BD301" s="133" t="str">
        <f>IF($A301&lt;&gt;0,VLOOKUP($A301,'0.Productos'!$A$3:$GG$587,'0.Productos'!CV$1+1,0),"")</f>
        <v/>
      </c>
      <c r="BE301" s="133" t="str">
        <f>IF($A301&lt;&gt;0,VLOOKUP($A301,'0.Productos'!$A$3:$GG$587,'0.Productos'!CW$1+1,0),"")</f>
        <v/>
      </c>
      <c r="BF301" s="133" t="str">
        <f>IF($A301&lt;&gt;0,VLOOKUP($A301,'0.Productos'!$A$3:$GG$587,'0.Productos'!CX$1+1,0),"")</f>
        <v/>
      </c>
      <c r="BG301" s="133" t="str">
        <f>IF($A301&lt;&gt;0,VLOOKUP($A301,'0.Productos'!$A$3:$GG$587,'0.Productos'!CY$1+1,0),"")</f>
        <v/>
      </c>
      <c r="BH301" s="133" t="str">
        <f>IF($A301&lt;&gt;0,VLOOKUP($A301,'0.Productos'!$A$3:$GG$587,'0.Productos'!CZ$1+1,0),"")</f>
        <v/>
      </c>
      <c r="BI301" s="133" t="str">
        <f>IF($A301&lt;&gt;0,VLOOKUP($A301,'0.Productos'!$A$3:$GG$587,'0.Productos'!DA$1+1,0),"")</f>
        <v/>
      </c>
      <c r="BJ301" s="133" t="str">
        <f>IF($A301&lt;&gt;0,VLOOKUP($A301,'0.Productos'!$A$3:$GG$587,'0.Productos'!DB$1+1,0),"")</f>
        <v/>
      </c>
      <c r="BK301" s="133" t="str">
        <f>IF($A301&lt;&gt;0,VLOOKUP($A301,'0.Productos'!$A$3:$GG$587,'0.Productos'!DC$1+1,0),"")</f>
        <v/>
      </c>
      <c r="BL301" s="133" t="str">
        <f>IF($A301&lt;&gt;0,VLOOKUP($A301,'0.Productos'!$A$3:$GG$587,'0.Productos'!DD$1+1,0),"")</f>
        <v/>
      </c>
      <c r="BM301" s="133" t="str">
        <f>IF($A301&lt;&gt;0,VLOOKUP($A301,'0.Productos'!$A$3:$GG$587,'0.Productos'!DE$1+1,0),"")</f>
        <v/>
      </c>
      <c r="BN301" s="133" t="str">
        <f>IF($A301&lt;&gt;0,VLOOKUP($A301,'0.Productos'!$A$3:$GG$587,'0.Productos'!DF$1+1,0),"")</f>
        <v/>
      </c>
      <c r="BO301" s="133" t="str">
        <f>IF($A301&lt;&gt;0,VLOOKUP($A301,'0.Productos'!$A$3:$GG$587,'0.Productos'!DG$1+1,0),"")</f>
        <v/>
      </c>
      <c r="BP301" s="133" t="str">
        <f>IF($A301&lt;&gt;0,VLOOKUP($A301,'0.Productos'!$A$3:$GG$587,'0.Productos'!DH$1+1,0),"")</f>
        <v/>
      </c>
      <c r="BQ301" s="133" t="str">
        <f>IF($A301&lt;&gt;0,VLOOKUP($A301,'0.Productos'!$A$3:$GG$587,'0.Productos'!DI$1+1,0),"")</f>
        <v/>
      </c>
      <c r="BR301" s="133" t="str">
        <f>IF($A301&lt;&gt;0,VLOOKUP($A301,'0.Productos'!$A$3:$GG$587,'0.Productos'!DJ$1+1,0),"")</f>
        <v/>
      </c>
      <c r="BS301" s="133" t="str">
        <f>IF($A301&lt;&gt;0,VLOOKUP($A301,'0.Productos'!$A$3:$GG$587,'0.Productos'!DK$1+1,0),"")</f>
        <v/>
      </c>
      <c r="BT301" s="133" t="str">
        <f>IF($A301&lt;&gt;0,VLOOKUP($A301,'0.Productos'!$A$3:$GG$587,'0.Productos'!DL$1+1,0),"")</f>
        <v/>
      </c>
    </row>
    <row r="302" spans="1:72" x14ac:dyDescent="0.25">
      <c r="A302" s="17">
        <f>'0.Consolidado general'!A302</f>
        <v>0</v>
      </c>
      <c r="B302" s="133" t="str">
        <f>IF($A302&lt;&gt;0,VLOOKUP($A302,'0.Productos'!$A$3:$GG$587,'0.Productos'!AT$1+1,0),"")</f>
        <v/>
      </c>
      <c r="C302" s="133" t="str">
        <f>IF($A302&lt;&gt;0,VLOOKUP($A302,'0.Productos'!$A$3:$GG$587,'0.Productos'!AU$1+1,0),"")</f>
        <v/>
      </c>
      <c r="D302" s="133" t="str">
        <f>IF($A302&lt;&gt;0,VLOOKUP($A302,'0.Productos'!$A$3:$GG$587,'0.Productos'!AV$1+1,0),"")</f>
        <v/>
      </c>
      <c r="E302" s="133" t="str">
        <f>IF($A302&lt;&gt;0,VLOOKUP($A302,'0.Productos'!$A$3:$GG$587,'0.Productos'!AW$1+1,0),"")</f>
        <v/>
      </c>
      <c r="F302" s="133" t="str">
        <f>IF($A302&lt;&gt;0,VLOOKUP($A302,'0.Productos'!$A$3:$GG$587,'0.Productos'!AX$1+1,0),"")</f>
        <v/>
      </c>
      <c r="G302" s="133" t="str">
        <f>IF($A302&lt;&gt;0,VLOOKUP($A302,'0.Productos'!$A$3:$GG$587,'0.Productos'!AY$1+1,0),"")</f>
        <v/>
      </c>
      <c r="H302" s="133" t="str">
        <f>IF($A302&lt;&gt;0,VLOOKUP($A302,'0.Productos'!$A$3:$GG$587,'0.Productos'!AZ$1+1,0),"")</f>
        <v/>
      </c>
      <c r="I302" s="133" t="str">
        <f>IF($A302&lt;&gt;0,VLOOKUP($A302,'0.Productos'!$A$3:$GG$587,'0.Productos'!BA$1+1,0),"")</f>
        <v/>
      </c>
      <c r="J302" s="133" t="str">
        <f>IF($A302&lt;&gt;0,VLOOKUP($A302,'0.Productos'!$A$3:$GG$587,'0.Productos'!BB$1+1,0),"")</f>
        <v/>
      </c>
      <c r="K302" s="133" t="str">
        <f>IF($A302&lt;&gt;0,VLOOKUP($A302,'0.Productos'!$A$3:$GG$587,'0.Productos'!BC$1+1,0),"")</f>
        <v/>
      </c>
      <c r="L302" s="133" t="str">
        <f>IF($A302&lt;&gt;0,VLOOKUP($A302,'0.Productos'!$A$3:$GG$587,'0.Productos'!BD$1+1,0),"")</f>
        <v/>
      </c>
      <c r="M302" s="133" t="str">
        <f>IF($A302&lt;&gt;0,VLOOKUP($A302,'0.Productos'!$A$3:$GG$587,'0.Productos'!BE$1+1,0),"")</f>
        <v/>
      </c>
      <c r="N302" s="133" t="str">
        <f>IF($A302&lt;&gt;0,VLOOKUP($A302,'0.Productos'!$A$3:$GG$587,'0.Productos'!BF$1+1,0),"")</f>
        <v/>
      </c>
      <c r="O302" s="133" t="str">
        <f>IF($A302&lt;&gt;0,VLOOKUP($A302,'0.Productos'!$A$3:$GG$587,'0.Productos'!BG$1+1,0),"")</f>
        <v/>
      </c>
      <c r="P302" s="133" t="str">
        <f>IF($A302&lt;&gt;0,VLOOKUP($A302,'0.Productos'!$A$3:$GG$587,'0.Productos'!BH$1+1,0),"")</f>
        <v/>
      </c>
      <c r="Q302" s="133" t="str">
        <f>IF($A302&lt;&gt;0,VLOOKUP($A302,'0.Productos'!$A$3:$GG$587,'0.Productos'!BI$1+1,0),"")</f>
        <v/>
      </c>
      <c r="R302" s="133" t="str">
        <f>IF($A302&lt;&gt;0,VLOOKUP($A302,'0.Productos'!$A$3:$GG$587,'0.Productos'!BJ$1+1,0),"")</f>
        <v/>
      </c>
      <c r="S302" s="133" t="str">
        <f>IF($A302&lt;&gt;0,VLOOKUP($A302,'0.Productos'!$A$3:$GG$587,'0.Productos'!BK$1+1,0),"")</f>
        <v/>
      </c>
      <c r="T302" s="133" t="str">
        <f>IF($A302&lt;&gt;0,VLOOKUP($A302,'0.Productos'!$A$3:$GG$587,'0.Productos'!BL$1+1,0),"")</f>
        <v/>
      </c>
      <c r="U302" s="133" t="str">
        <f>IF($A302&lt;&gt;0,VLOOKUP($A302,'0.Productos'!$A$3:$GG$587,'0.Productos'!BM$1+1,0),"")</f>
        <v/>
      </c>
      <c r="V302" s="133" t="str">
        <f>IF($A302&lt;&gt;0,VLOOKUP($A302,'0.Productos'!$A$3:$GG$587,'0.Productos'!BN$1+1,0),"")</f>
        <v/>
      </c>
      <c r="W302" s="133" t="str">
        <f>IF($A302&lt;&gt;0,VLOOKUP($A302,'0.Productos'!$A$3:$GG$587,'0.Productos'!BO$1+1,0),"")</f>
        <v/>
      </c>
      <c r="X302" s="133" t="str">
        <f>IF($A302&lt;&gt;0,VLOOKUP($A302,'0.Productos'!$A$3:$GG$587,'0.Productos'!BP$1+1,0),"")</f>
        <v/>
      </c>
      <c r="Y302" s="133" t="str">
        <f>IF($A302&lt;&gt;0,VLOOKUP($A302,'0.Productos'!$A$3:$GG$587,'0.Productos'!BQ$1+1,0),"")</f>
        <v/>
      </c>
      <c r="Z302" s="133" t="str">
        <f>IF($A302&lt;&gt;0,VLOOKUP($A302,'0.Productos'!$A$3:$GG$587,'0.Productos'!BR$1+1,0),"")</f>
        <v/>
      </c>
      <c r="AA302" s="133" t="str">
        <f>IF($A302&lt;&gt;0,VLOOKUP($A302,'0.Productos'!$A$3:$GG$587,'0.Productos'!BS$1+1,0),"")</f>
        <v/>
      </c>
      <c r="AB302" s="133" t="str">
        <f>IF($A302&lt;&gt;0,VLOOKUP($A302,'0.Productos'!$A$3:$GG$587,'0.Productos'!BT$1+1,0),"")</f>
        <v/>
      </c>
      <c r="AC302" s="133" t="str">
        <f>IF($A302&lt;&gt;0,VLOOKUP($A302,'0.Productos'!$A$3:$GG$587,'0.Productos'!BU$1+1,0),"")</f>
        <v/>
      </c>
      <c r="AD302" s="133" t="str">
        <f>IF($A302&lt;&gt;0,VLOOKUP($A302,'0.Productos'!$A$3:$GG$587,'0.Productos'!BV$1+1,0),"")</f>
        <v/>
      </c>
      <c r="AE302" s="133" t="str">
        <f>IF($A302&lt;&gt;0,VLOOKUP($A302,'0.Productos'!$A$3:$GG$587,'0.Productos'!BW$1+1,0),"")</f>
        <v/>
      </c>
      <c r="AF302" s="133" t="str">
        <f>IF($A302&lt;&gt;0,VLOOKUP($A302,'0.Productos'!$A$3:$GG$587,'0.Productos'!BX$1+1,0),"")</f>
        <v/>
      </c>
      <c r="AG302" s="133" t="str">
        <f>IF($A302&lt;&gt;0,VLOOKUP($A302,'0.Productos'!$A$3:$GG$587,'0.Productos'!BY$1+1,0),"")</f>
        <v/>
      </c>
      <c r="AH302" s="133" t="str">
        <f>IF($A302&lt;&gt;0,VLOOKUP($A302,'0.Productos'!$A$3:$GG$587,'0.Productos'!BZ$1+1,0),"")</f>
        <v/>
      </c>
      <c r="AI302" s="133" t="str">
        <f>IF($A302&lt;&gt;0,VLOOKUP($A302,'0.Productos'!$A$3:$GG$587,'0.Productos'!CA$1+1,0),"")</f>
        <v/>
      </c>
      <c r="AJ302" s="133" t="str">
        <f>IF($A302&lt;&gt;0,VLOOKUP($A302,'0.Productos'!$A$3:$GG$587,'0.Productos'!CB$1+1,0),"")</f>
        <v/>
      </c>
      <c r="AK302" s="133" t="str">
        <f>IF($A302&lt;&gt;0,VLOOKUP($A302,'0.Productos'!$A$3:$GG$587,'0.Productos'!CC$1+1,0),"")</f>
        <v/>
      </c>
      <c r="AL302" s="133" t="str">
        <f>IF($A302&lt;&gt;0,VLOOKUP($A302,'0.Productos'!$A$3:$GG$587,'0.Productos'!CD$1+1,0),"")</f>
        <v/>
      </c>
      <c r="AM302" s="133" t="str">
        <f>IF($A302&lt;&gt;0,VLOOKUP($A302,'0.Productos'!$A$3:$GG$587,'0.Productos'!CE$1+1,0),"")</f>
        <v/>
      </c>
      <c r="AN302" s="133" t="str">
        <f>IF($A302&lt;&gt;0,VLOOKUP($A302,'0.Productos'!$A$3:$GG$587,'0.Productos'!CF$1+1,0),"")</f>
        <v/>
      </c>
      <c r="AO302" s="133" t="str">
        <f>IF($A302&lt;&gt;0,VLOOKUP($A302,'0.Productos'!$A$3:$GG$587,'0.Productos'!CG$1+1,0),"")</f>
        <v/>
      </c>
      <c r="AP302" s="133" t="str">
        <f>IF($A302&lt;&gt;0,VLOOKUP($A302,'0.Productos'!$A$3:$GG$587,'0.Productos'!CH$1+1,0),"")</f>
        <v/>
      </c>
      <c r="AQ302" s="133" t="str">
        <f>IF($A302&lt;&gt;0,VLOOKUP($A302,'0.Productos'!$A$3:$GG$587,'0.Productos'!CI$1+1,0),"")</f>
        <v/>
      </c>
      <c r="AR302" s="133" t="str">
        <f>IF($A302&lt;&gt;0,VLOOKUP($A302,'0.Productos'!$A$3:$GG$587,'0.Productos'!CJ$1+1,0),"")</f>
        <v/>
      </c>
      <c r="AS302" s="133" t="str">
        <f>IF($A302&lt;&gt;0,VLOOKUP($A302,'0.Productos'!$A$3:$GG$587,'0.Productos'!CK$1+1,0),"")</f>
        <v/>
      </c>
      <c r="AT302" s="133" t="str">
        <f>IF($A302&lt;&gt;0,VLOOKUP($A302,'0.Productos'!$A$3:$GG$587,'0.Productos'!CL$1+1,0),"")</f>
        <v/>
      </c>
      <c r="AU302" s="133" t="str">
        <f>IF($A302&lt;&gt;0,VLOOKUP($A302,'0.Productos'!$A$3:$GG$587,'0.Productos'!CM$1+1,0),"")</f>
        <v/>
      </c>
      <c r="AV302" s="133" t="str">
        <f>IF($A302&lt;&gt;0,VLOOKUP($A302,'0.Productos'!$A$3:$GG$587,'0.Productos'!CN$1+1,0),"")</f>
        <v/>
      </c>
      <c r="AW302" s="133" t="str">
        <f>IF($A302&lt;&gt;0,VLOOKUP($A302,'0.Productos'!$A$3:$GG$587,'0.Productos'!CO$1+1,0),"")</f>
        <v/>
      </c>
      <c r="AX302" s="133" t="str">
        <f>IF($A302&lt;&gt;0,VLOOKUP($A302,'0.Productos'!$A$3:$GG$587,'0.Productos'!CP$1+1,0),"")</f>
        <v/>
      </c>
      <c r="AY302" s="133" t="str">
        <f>IF($A302&lt;&gt;0,VLOOKUP($A302,'0.Productos'!$A$3:$GG$587,'0.Productos'!CQ$1+1,0),"")</f>
        <v/>
      </c>
      <c r="AZ302" s="133" t="str">
        <f>IF($A302&lt;&gt;0,VLOOKUP($A302,'0.Productos'!$A$3:$GG$587,'0.Productos'!CR$1+1,0),"")</f>
        <v/>
      </c>
      <c r="BA302" s="133" t="str">
        <f>IF($A302&lt;&gt;0,VLOOKUP($A302,'0.Productos'!$A$3:$GG$587,'0.Productos'!CS$1+1,0),"")</f>
        <v/>
      </c>
      <c r="BB302" s="133" t="str">
        <f>IF($A302&lt;&gt;0,VLOOKUP($A302,'0.Productos'!$A$3:$GG$587,'0.Productos'!CT$1+1,0),"")</f>
        <v/>
      </c>
      <c r="BC302" s="133" t="str">
        <f>IF($A302&lt;&gt;0,VLOOKUP($A302,'0.Productos'!$A$3:$GG$587,'0.Productos'!CU$1+1,0),"")</f>
        <v/>
      </c>
      <c r="BD302" s="133" t="str">
        <f>IF($A302&lt;&gt;0,VLOOKUP($A302,'0.Productos'!$A$3:$GG$587,'0.Productos'!CV$1+1,0),"")</f>
        <v/>
      </c>
      <c r="BE302" s="133" t="str">
        <f>IF($A302&lt;&gt;0,VLOOKUP($A302,'0.Productos'!$A$3:$GG$587,'0.Productos'!CW$1+1,0),"")</f>
        <v/>
      </c>
      <c r="BF302" s="133" t="str">
        <f>IF($A302&lt;&gt;0,VLOOKUP($A302,'0.Productos'!$A$3:$GG$587,'0.Productos'!CX$1+1,0),"")</f>
        <v/>
      </c>
      <c r="BG302" s="133" t="str">
        <f>IF($A302&lt;&gt;0,VLOOKUP($A302,'0.Productos'!$A$3:$GG$587,'0.Productos'!CY$1+1,0),"")</f>
        <v/>
      </c>
      <c r="BH302" s="133" t="str">
        <f>IF($A302&lt;&gt;0,VLOOKUP($A302,'0.Productos'!$A$3:$GG$587,'0.Productos'!CZ$1+1,0),"")</f>
        <v/>
      </c>
      <c r="BI302" s="133" t="str">
        <f>IF($A302&lt;&gt;0,VLOOKUP($A302,'0.Productos'!$A$3:$GG$587,'0.Productos'!DA$1+1,0),"")</f>
        <v/>
      </c>
      <c r="BJ302" s="133" t="str">
        <f>IF($A302&lt;&gt;0,VLOOKUP($A302,'0.Productos'!$A$3:$GG$587,'0.Productos'!DB$1+1,0),"")</f>
        <v/>
      </c>
      <c r="BK302" s="133" t="str">
        <f>IF($A302&lt;&gt;0,VLOOKUP($A302,'0.Productos'!$A$3:$GG$587,'0.Productos'!DC$1+1,0),"")</f>
        <v/>
      </c>
      <c r="BL302" s="133" t="str">
        <f>IF($A302&lt;&gt;0,VLOOKUP($A302,'0.Productos'!$A$3:$GG$587,'0.Productos'!DD$1+1,0),"")</f>
        <v/>
      </c>
      <c r="BM302" s="133" t="str">
        <f>IF($A302&lt;&gt;0,VLOOKUP($A302,'0.Productos'!$A$3:$GG$587,'0.Productos'!DE$1+1,0),"")</f>
        <v/>
      </c>
      <c r="BN302" s="133" t="str">
        <f>IF($A302&lt;&gt;0,VLOOKUP($A302,'0.Productos'!$A$3:$GG$587,'0.Productos'!DF$1+1,0),"")</f>
        <v/>
      </c>
      <c r="BO302" s="133" t="str">
        <f>IF($A302&lt;&gt;0,VLOOKUP($A302,'0.Productos'!$A$3:$GG$587,'0.Productos'!DG$1+1,0),"")</f>
        <v/>
      </c>
      <c r="BP302" s="133" t="str">
        <f>IF($A302&lt;&gt;0,VLOOKUP($A302,'0.Productos'!$A$3:$GG$587,'0.Productos'!DH$1+1,0),"")</f>
        <v/>
      </c>
      <c r="BQ302" s="133" t="str">
        <f>IF($A302&lt;&gt;0,VLOOKUP($A302,'0.Productos'!$A$3:$GG$587,'0.Productos'!DI$1+1,0),"")</f>
        <v/>
      </c>
      <c r="BR302" s="133" t="str">
        <f>IF($A302&lt;&gt;0,VLOOKUP($A302,'0.Productos'!$A$3:$GG$587,'0.Productos'!DJ$1+1,0),"")</f>
        <v/>
      </c>
      <c r="BS302" s="133" t="str">
        <f>IF($A302&lt;&gt;0,VLOOKUP($A302,'0.Productos'!$A$3:$GG$587,'0.Productos'!DK$1+1,0),"")</f>
        <v/>
      </c>
      <c r="BT302" s="133" t="str">
        <f>IF($A302&lt;&gt;0,VLOOKUP($A302,'0.Productos'!$A$3:$GG$587,'0.Productos'!DL$1+1,0),"")</f>
        <v/>
      </c>
    </row>
    <row r="303" spans="1:72" x14ac:dyDescent="0.25">
      <c r="A303" s="17">
        <f>'0.Consolidado general'!A303</f>
        <v>0</v>
      </c>
      <c r="B303" s="133" t="str">
        <f>IF($A303&lt;&gt;0,VLOOKUP($A303,'0.Productos'!$A$3:$GG$587,'0.Productos'!AT$1+1,0),"")</f>
        <v/>
      </c>
      <c r="C303" s="133" t="str">
        <f>IF($A303&lt;&gt;0,VLOOKUP($A303,'0.Productos'!$A$3:$GG$587,'0.Productos'!AU$1+1,0),"")</f>
        <v/>
      </c>
      <c r="D303" s="133" t="str">
        <f>IF($A303&lt;&gt;0,VLOOKUP($A303,'0.Productos'!$A$3:$GG$587,'0.Productos'!AV$1+1,0),"")</f>
        <v/>
      </c>
      <c r="E303" s="133" t="str">
        <f>IF($A303&lt;&gt;0,VLOOKUP($A303,'0.Productos'!$A$3:$GG$587,'0.Productos'!AW$1+1,0),"")</f>
        <v/>
      </c>
      <c r="F303" s="133" t="str">
        <f>IF($A303&lt;&gt;0,VLOOKUP($A303,'0.Productos'!$A$3:$GG$587,'0.Productos'!AX$1+1,0),"")</f>
        <v/>
      </c>
      <c r="G303" s="133" t="str">
        <f>IF($A303&lt;&gt;0,VLOOKUP($A303,'0.Productos'!$A$3:$GG$587,'0.Productos'!AY$1+1,0),"")</f>
        <v/>
      </c>
      <c r="H303" s="133" t="str">
        <f>IF($A303&lt;&gt;0,VLOOKUP($A303,'0.Productos'!$A$3:$GG$587,'0.Productos'!AZ$1+1,0),"")</f>
        <v/>
      </c>
      <c r="I303" s="133" t="str">
        <f>IF($A303&lt;&gt;0,VLOOKUP($A303,'0.Productos'!$A$3:$GG$587,'0.Productos'!BA$1+1,0),"")</f>
        <v/>
      </c>
      <c r="J303" s="133" t="str">
        <f>IF($A303&lt;&gt;0,VLOOKUP($A303,'0.Productos'!$A$3:$GG$587,'0.Productos'!BB$1+1,0),"")</f>
        <v/>
      </c>
      <c r="K303" s="133" t="str">
        <f>IF($A303&lt;&gt;0,VLOOKUP($A303,'0.Productos'!$A$3:$GG$587,'0.Productos'!BC$1+1,0),"")</f>
        <v/>
      </c>
      <c r="L303" s="133" t="str">
        <f>IF($A303&lt;&gt;0,VLOOKUP($A303,'0.Productos'!$A$3:$GG$587,'0.Productos'!BD$1+1,0),"")</f>
        <v/>
      </c>
      <c r="M303" s="133" t="str">
        <f>IF($A303&lt;&gt;0,VLOOKUP($A303,'0.Productos'!$A$3:$GG$587,'0.Productos'!BE$1+1,0),"")</f>
        <v/>
      </c>
      <c r="N303" s="133" t="str">
        <f>IF($A303&lt;&gt;0,VLOOKUP($A303,'0.Productos'!$A$3:$GG$587,'0.Productos'!BF$1+1,0),"")</f>
        <v/>
      </c>
      <c r="O303" s="133" t="str">
        <f>IF($A303&lt;&gt;0,VLOOKUP($A303,'0.Productos'!$A$3:$GG$587,'0.Productos'!BG$1+1,0),"")</f>
        <v/>
      </c>
      <c r="P303" s="133" t="str">
        <f>IF($A303&lt;&gt;0,VLOOKUP($A303,'0.Productos'!$A$3:$GG$587,'0.Productos'!BH$1+1,0),"")</f>
        <v/>
      </c>
      <c r="Q303" s="133" t="str">
        <f>IF($A303&lt;&gt;0,VLOOKUP($A303,'0.Productos'!$A$3:$GG$587,'0.Productos'!BI$1+1,0),"")</f>
        <v/>
      </c>
      <c r="R303" s="133" t="str">
        <f>IF($A303&lt;&gt;0,VLOOKUP($A303,'0.Productos'!$A$3:$GG$587,'0.Productos'!BJ$1+1,0),"")</f>
        <v/>
      </c>
      <c r="S303" s="133" t="str">
        <f>IF($A303&lt;&gt;0,VLOOKUP($A303,'0.Productos'!$A$3:$GG$587,'0.Productos'!BK$1+1,0),"")</f>
        <v/>
      </c>
      <c r="T303" s="133" t="str">
        <f>IF($A303&lt;&gt;0,VLOOKUP($A303,'0.Productos'!$A$3:$GG$587,'0.Productos'!BL$1+1,0),"")</f>
        <v/>
      </c>
      <c r="U303" s="133" t="str">
        <f>IF($A303&lt;&gt;0,VLOOKUP($A303,'0.Productos'!$A$3:$GG$587,'0.Productos'!BM$1+1,0),"")</f>
        <v/>
      </c>
      <c r="V303" s="133" t="str">
        <f>IF($A303&lt;&gt;0,VLOOKUP($A303,'0.Productos'!$A$3:$GG$587,'0.Productos'!BN$1+1,0),"")</f>
        <v/>
      </c>
      <c r="W303" s="133" t="str">
        <f>IF($A303&lt;&gt;0,VLOOKUP($A303,'0.Productos'!$A$3:$GG$587,'0.Productos'!BO$1+1,0),"")</f>
        <v/>
      </c>
      <c r="X303" s="133" t="str">
        <f>IF($A303&lt;&gt;0,VLOOKUP($A303,'0.Productos'!$A$3:$GG$587,'0.Productos'!BP$1+1,0),"")</f>
        <v/>
      </c>
      <c r="Y303" s="133" t="str">
        <f>IF($A303&lt;&gt;0,VLOOKUP($A303,'0.Productos'!$A$3:$GG$587,'0.Productos'!BQ$1+1,0),"")</f>
        <v/>
      </c>
      <c r="Z303" s="133" t="str">
        <f>IF($A303&lt;&gt;0,VLOOKUP($A303,'0.Productos'!$A$3:$GG$587,'0.Productos'!BR$1+1,0),"")</f>
        <v/>
      </c>
      <c r="AA303" s="133" t="str">
        <f>IF($A303&lt;&gt;0,VLOOKUP($A303,'0.Productos'!$A$3:$GG$587,'0.Productos'!BS$1+1,0),"")</f>
        <v/>
      </c>
      <c r="AB303" s="133" t="str">
        <f>IF($A303&lt;&gt;0,VLOOKUP($A303,'0.Productos'!$A$3:$GG$587,'0.Productos'!BT$1+1,0),"")</f>
        <v/>
      </c>
      <c r="AC303" s="133" t="str">
        <f>IF($A303&lt;&gt;0,VLOOKUP($A303,'0.Productos'!$A$3:$GG$587,'0.Productos'!BU$1+1,0),"")</f>
        <v/>
      </c>
      <c r="AD303" s="133" t="str">
        <f>IF($A303&lt;&gt;0,VLOOKUP($A303,'0.Productos'!$A$3:$GG$587,'0.Productos'!BV$1+1,0),"")</f>
        <v/>
      </c>
      <c r="AE303" s="133" t="str">
        <f>IF($A303&lt;&gt;0,VLOOKUP($A303,'0.Productos'!$A$3:$GG$587,'0.Productos'!BW$1+1,0),"")</f>
        <v/>
      </c>
      <c r="AF303" s="133" t="str">
        <f>IF($A303&lt;&gt;0,VLOOKUP($A303,'0.Productos'!$A$3:$GG$587,'0.Productos'!BX$1+1,0),"")</f>
        <v/>
      </c>
      <c r="AG303" s="133" t="str">
        <f>IF($A303&lt;&gt;0,VLOOKUP($A303,'0.Productos'!$A$3:$GG$587,'0.Productos'!BY$1+1,0),"")</f>
        <v/>
      </c>
      <c r="AH303" s="133" t="str">
        <f>IF($A303&lt;&gt;0,VLOOKUP($A303,'0.Productos'!$A$3:$GG$587,'0.Productos'!BZ$1+1,0),"")</f>
        <v/>
      </c>
      <c r="AI303" s="133" t="str">
        <f>IF($A303&lt;&gt;0,VLOOKUP($A303,'0.Productos'!$A$3:$GG$587,'0.Productos'!CA$1+1,0),"")</f>
        <v/>
      </c>
      <c r="AJ303" s="133" t="str">
        <f>IF($A303&lt;&gt;0,VLOOKUP($A303,'0.Productos'!$A$3:$GG$587,'0.Productos'!CB$1+1,0),"")</f>
        <v/>
      </c>
      <c r="AK303" s="133" t="str">
        <f>IF($A303&lt;&gt;0,VLOOKUP($A303,'0.Productos'!$A$3:$GG$587,'0.Productos'!CC$1+1,0),"")</f>
        <v/>
      </c>
      <c r="AL303" s="133" t="str">
        <f>IF($A303&lt;&gt;0,VLOOKUP($A303,'0.Productos'!$A$3:$GG$587,'0.Productos'!CD$1+1,0),"")</f>
        <v/>
      </c>
      <c r="AM303" s="133" t="str">
        <f>IF($A303&lt;&gt;0,VLOOKUP($A303,'0.Productos'!$A$3:$GG$587,'0.Productos'!CE$1+1,0),"")</f>
        <v/>
      </c>
      <c r="AN303" s="133" t="str">
        <f>IF($A303&lt;&gt;0,VLOOKUP($A303,'0.Productos'!$A$3:$GG$587,'0.Productos'!CF$1+1,0),"")</f>
        <v/>
      </c>
      <c r="AO303" s="133" t="str">
        <f>IF($A303&lt;&gt;0,VLOOKUP($A303,'0.Productos'!$A$3:$GG$587,'0.Productos'!CG$1+1,0),"")</f>
        <v/>
      </c>
      <c r="AP303" s="133" t="str">
        <f>IF($A303&lt;&gt;0,VLOOKUP($A303,'0.Productos'!$A$3:$GG$587,'0.Productos'!CH$1+1,0),"")</f>
        <v/>
      </c>
      <c r="AQ303" s="133" t="str">
        <f>IF($A303&lt;&gt;0,VLOOKUP($A303,'0.Productos'!$A$3:$GG$587,'0.Productos'!CI$1+1,0),"")</f>
        <v/>
      </c>
      <c r="AR303" s="133" t="str">
        <f>IF($A303&lt;&gt;0,VLOOKUP($A303,'0.Productos'!$A$3:$GG$587,'0.Productos'!CJ$1+1,0),"")</f>
        <v/>
      </c>
      <c r="AS303" s="133" t="str">
        <f>IF($A303&lt;&gt;0,VLOOKUP($A303,'0.Productos'!$A$3:$GG$587,'0.Productos'!CK$1+1,0),"")</f>
        <v/>
      </c>
      <c r="AT303" s="133" t="str">
        <f>IF($A303&lt;&gt;0,VLOOKUP($A303,'0.Productos'!$A$3:$GG$587,'0.Productos'!CL$1+1,0),"")</f>
        <v/>
      </c>
      <c r="AU303" s="133" t="str">
        <f>IF($A303&lt;&gt;0,VLOOKUP($A303,'0.Productos'!$A$3:$GG$587,'0.Productos'!CM$1+1,0),"")</f>
        <v/>
      </c>
      <c r="AV303" s="133" t="str">
        <f>IF($A303&lt;&gt;0,VLOOKUP($A303,'0.Productos'!$A$3:$GG$587,'0.Productos'!CN$1+1,0),"")</f>
        <v/>
      </c>
      <c r="AW303" s="133" t="str">
        <f>IF($A303&lt;&gt;0,VLOOKUP($A303,'0.Productos'!$A$3:$GG$587,'0.Productos'!CO$1+1,0),"")</f>
        <v/>
      </c>
      <c r="AX303" s="133" t="str">
        <f>IF($A303&lt;&gt;0,VLOOKUP($A303,'0.Productos'!$A$3:$GG$587,'0.Productos'!CP$1+1,0),"")</f>
        <v/>
      </c>
      <c r="AY303" s="133" t="str">
        <f>IF($A303&lt;&gt;0,VLOOKUP($A303,'0.Productos'!$A$3:$GG$587,'0.Productos'!CQ$1+1,0),"")</f>
        <v/>
      </c>
      <c r="AZ303" s="133" t="str">
        <f>IF($A303&lt;&gt;0,VLOOKUP($A303,'0.Productos'!$A$3:$GG$587,'0.Productos'!CR$1+1,0),"")</f>
        <v/>
      </c>
      <c r="BA303" s="133" t="str">
        <f>IF($A303&lt;&gt;0,VLOOKUP($A303,'0.Productos'!$A$3:$GG$587,'0.Productos'!CS$1+1,0),"")</f>
        <v/>
      </c>
      <c r="BB303" s="133" t="str">
        <f>IF($A303&lt;&gt;0,VLOOKUP($A303,'0.Productos'!$A$3:$GG$587,'0.Productos'!CT$1+1,0),"")</f>
        <v/>
      </c>
      <c r="BC303" s="133" t="str">
        <f>IF($A303&lt;&gt;0,VLOOKUP($A303,'0.Productos'!$A$3:$GG$587,'0.Productos'!CU$1+1,0),"")</f>
        <v/>
      </c>
      <c r="BD303" s="133" t="str">
        <f>IF($A303&lt;&gt;0,VLOOKUP($A303,'0.Productos'!$A$3:$GG$587,'0.Productos'!CV$1+1,0),"")</f>
        <v/>
      </c>
      <c r="BE303" s="133" t="str">
        <f>IF($A303&lt;&gt;0,VLOOKUP($A303,'0.Productos'!$A$3:$GG$587,'0.Productos'!CW$1+1,0),"")</f>
        <v/>
      </c>
      <c r="BF303" s="133" t="str">
        <f>IF($A303&lt;&gt;0,VLOOKUP($A303,'0.Productos'!$A$3:$GG$587,'0.Productos'!CX$1+1,0),"")</f>
        <v/>
      </c>
      <c r="BG303" s="133" t="str">
        <f>IF($A303&lt;&gt;0,VLOOKUP($A303,'0.Productos'!$A$3:$GG$587,'0.Productos'!CY$1+1,0),"")</f>
        <v/>
      </c>
      <c r="BH303" s="133" t="str">
        <f>IF($A303&lt;&gt;0,VLOOKUP($A303,'0.Productos'!$A$3:$GG$587,'0.Productos'!CZ$1+1,0),"")</f>
        <v/>
      </c>
      <c r="BI303" s="133" t="str">
        <f>IF($A303&lt;&gt;0,VLOOKUP($A303,'0.Productos'!$A$3:$GG$587,'0.Productos'!DA$1+1,0),"")</f>
        <v/>
      </c>
      <c r="BJ303" s="133" t="str">
        <f>IF($A303&lt;&gt;0,VLOOKUP($A303,'0.Productos'!$A$3:$GG$587,'0.Productos'!DB$1+1,0),"")</f>
        <v/>
      </c>
      <c r="BK303" s="133" t="str">
        <f>IF($A303&lt;&gt;0,VLOOKUP($A303,'0.Productos'!$A$3:$GG$587,'0.Productos'!DC$1+1,0),"")</f>
        <v/>
      </c>
      <c r="BL303" s="133" t="str">
        <f>IF($A303&lt;&gt;0,VLOOKUP($A303,'0.Productos'!$A$3:$GG$587,'0.Productos'!DD$1+1,0),"")</f>
        <v/>
      </c>
      <c r="BM303" s="133" t="str">
        <f>IF($A303&lt;&gt;0,VLOOKUP($A303,'0.Productos'!$A$3:$GG$587,'0.Productos'!DE$1+1,0),"")</f>
        <v/>
      </c>
      <c r="BN303" s="133" t="str">
        <f>IF($A303&lt;&gt;0,VLOOKUP($A303,'0.Productos'!$A$3:$GG$587,'0.Productos'!DF$1+1,0),"")</f>
        <v/>
      </c>
      <c r="BO303" s="133" t="str">
        <f>IF($A303&lt;&gt;0,VLOOKUP($A303,'0.Productos'!$A$3:$GG$587,'0.Productos'!DG$1+1,0),"")</f>
        <v/>
      </c>
      <c r="BP303" s="133" t="str">
        <f>IF($A303&lt;&gt;0,VLOOKUP($A303,'0.Productos'!$A$3:$GG$587,'0.Productos'!DH$1+1,0),"")</f>
        <v/>
      </c>
      <c r="BQ303" s="133" t="str">
        <f>IF($A303&lt;&gt;0,VLOOKUP($A303,'0.Productos'!$A$3:$GG$587,'0.Productos'!DI$1+1,0),"")</f>
        <v/>
      </c>
      <c r="BR303" s="133" t="str">
        <f>IF($A303&lt;&gt;0,VLOOKUP($A303,'0.Productos'!$A$3:$GG$587,'0.Productos'!DJ$1+1,0),"")</f>
        <v/>
      </c>
      <c r="BS303" s="133" t="str">
        <f>IF($A303&lt;&gt;0,VLOOKUP($A303,'0.Productos'!$A$3:$GG$587,'0.Productos'!DK$1+1,0),"")</f>
        <v/>
      </c>
      <c r="BT303" s="133" t="str">
        <f>IF($A303&lt;&gt;0,VLOOKUP($A303,'0.Productos'!$A$3:$GG$587,'0.Productos'!DL$1+1,0),"")</f>
        <v/>
      </c>
    </row>
    <row r="304" spans="1:72" x14ac:dyDescent="0.25">
      <c r="A304" s="17">
        <f>'0.Consolidado general'!A304</f>
        <v>0</v>
      </c>
      <c r="B304" s="133" t="str">
        <f>IF($A304&lt;&gt;0,VLOOKUP($A304,'0.Productos'!$A$3:$GG$587,'0.Productos'!AT$1+1,0),"")</f>
        <v/>
      </c>
      <c r="C304" s="133" t="str">
        <f>IF($A304&lt;&gt;0,VLOOKUP($A304,'0.Productos'!$A$3:$GG$587,'0.Productos'!AU$1+1,0),"")</f>
        <v/>
      </c>
      <c r="D304" s="133" t="str">
        <f>IF($A304&lt;&gt;0,VLOOKUP($A304,'0.Productos'!$A$3:$GG$587,'0.Productos'!AV$1+1,0),"")</f>
        <v/>
      </c>
      <c r="E304" s="133" t="str">
        <f>IF($A304&lt;&gt;0,VLOOKUP($A304,'0.Productos'!$A$3:$GG$587,'0.Productos'!AW$1+1,0),"")</f>
        <v/>
      </c>
      <c r="F304" s="133" t="str">
        <f>IF($A304&lt;&gt;0,VLOOKUP($A304,'0.Productos'!$A$3:$GG$587,'0.Productos'!AX$1+1,0),"")</f>
        <v/>
      </c>
      <c r="G304" s="133" t="str">
        <f>IF($A304&lt;&gt;0,VLOOKUP($A304,'0.Productos'!$A$3:$GG$587,'0.Productos'!AY$1+1,0),"")</f>
        <v/>
      </c>
      <c r="H304" s="133" t="str">
        <f>IF($A304&lt;&gt;0,VLOOKUP($A304,'0.Productos'!$A$3:$GG$587,'0.Productos'!AZ$1+1,0),"")</f>
        <v/>
      </c>
      <c r="I304" s="133" t="str">
        <f>IF($A304&lt;&gt;0,VLOOKUP($A304,'0.Productos'!$A$3:$GG$587,'0.Productos'!BA$1+1,0),"")</f>
        <v/>
      </c>
      <c r="J304" s="133" t="str">
        <f>IF($A304&lt;&gt;0,VLOOKUP($A304,'0.Productos'!$A$3:$GG$587,'0.Productos'!BB$1+1,0),"")</f>
        <v/>
      </c>
      <c r="K304" s="133" t="str">
        <f>IF($A304&lt;&gt;0,VLOOKUP($A304,'0.Productos'!$A$3:$GG$587,'0.Productos'!BC$1+1,0),"")</f>
        <v/>
      </c>
      <c r="L304" s="133" t="str">
        <f>IF($A304&lt;&gt;0,VLOOKUP($A304,'0.Productos'!$A$3:$GG$587,'0.Productos'!BD$1+1,0),"")</f>
        <v/>
      </c>
      <c r="M304" s="133" t="str">
        <f>IF($A304&lt;&gt;0,VLOOKUP($A304,'0.Productos'!$A$3:$GG$587,'0.Productos'!BE$1+1,0),"")</f>
        <v/>
      </c>
      <c r="N304" s="133" t="str">
        <f>IF($A304&lt;&gt;0,VLOOKUP($A304,'0.Productos'!$A$3:$GG$587,'0.Productos'!BF$1+1,0),"")</f>
        <v/>
      </c>
      <c r="O304" s="133" t="str">
        <f>IF($A304&lt;&gt;0,VLOOKUP($A304,'0.Productos'!$A$3:$GG$587,'0.Productos'!BG$1+1,0),"")</f>
        <v/>
      </c>
      <c r="P304" s="133" t="str">
        <f>IF($A304&lt;&gt;0,VLOOKUP($A304,'0.Productos'!$A$3:$GG$587,'0.Productos'!BH$1+1,0),"")</f>
        <v/>
      </c>
      <c r="Q304" s="133" t="str">
        <f>IF($A304&lt;&gt;0,VLOOKUP($A304,'0.Productos'!$A$3:$GG$587,'0.Productos'!BI$1+1,0),"")</f>
        <v/>
      </c>
      <c r="R304" s="133" t="str">
        <f>IF($A304&lt;&gt;0,VLOOKUP($A304,'0.Productos'!$A$3:$GG$587,'0.Productos'!BJ$1+1,0),"")</f>
        <v/>
      </c>
      <c r="S304" s="133" t="str">
        <f>IF($A304&lt;&gt;0,VLOOKUP($A304,'0.Productos'!$A$3:$GG$587,'0.Productos'!BK$1+1,0),"")</f>
        <v/>
      </c>
      <c r="T304" s="133" t="str">
        <f>IF($A304&lt;&gt;0,VLOOKUP($A304,'0.Productos'!$A$3:$GG$587,'0.Productos'!BL$1+1,0),"")</f>
        <v/>
      </c>
      <c r="U304" s="133" t="str">
        <f>IF($A304&lt;&gt;0,VLOOKUP($A304,'0.Productos'!$A$3:$GG$587,'0.Productos'!BM$1+1,0),"")</f>
        <v/>
      </c>
      <c r="V304" s="133" t="str">
        <f>IF($A304&lt;&gt;0,VLOOKUP($A304,'0.Productos'!$A$3:$GG$587,'0.Productos'!BN$1+1,0),"")</f>
        <v/>
      </c>
      <c r="W304" s="133" t="str">
        <f>IF($A304&lt;&gt;0,VLOOKUP($A304,'0.Productos'!$A$3:$GG$587,'0.Productos'!BO$1+1,0),"")</f>
        <v/>
      </c>
      <c r="X304" s="133" t="str">
        <f>IF($A304&lt;&gt;0,VLOOKUP($A304,'0.Productos'!$A$3:$GG$587,'0.Productos'!BP$1+1,0),"")</f>
        <v/>
      </c>
      <c r="Y304" s="133" t="str">
        <f>IF($A304&lt;&gt;0,VLOOKUP($A304,'0.Productos'!$A$3:$GG$587,'0.Productos'!BQ$1+1,0),"")</f>
        <v/>
      </c>
      <c r="Z304" s="133" t="str">
        <f>IF($A304&lt;&gt;0,VLOOKUP($A304,'0.Productos'!$A$3:$GG$587,'0.Productos'!BR$1+1,0),"")</f>
        <v/>
      </c>
      <c r="AA304" s="133" t="str">
        <f>IF($A304&lt;&gt;0,VLOOKUP($A304,'0.Productos'!$A$3:$GG$587,'0.Productos'!BS$1+1,0),"")</f>
        <v/>
      </c>
      <c r="AB304" s="133" t="str">
        <f>IF($A304&lt;&gt;0,VLOOKUP($A304,'0.Productos'!$A$3:$GG$587,'0.Productos'!BT$1+1,0),"")</f>
        <v/>
      </c>
      <c r="AC304" s="133" t="str">
        <f>IF($A304&lt;&gt;0,VLOOKUP($A304,'0.Productos'!$A$3:$GG$587,'0.Productos'!BU$1+1,0),"")</f>
        <v/>
      </c>
      <c r="AD304" s="133" t="str">
        <f>IF($A304&lt;&gt;0,VLOOKUP($A304,'0.Productos'!$A$3:$GG$587,'0.Productos'!BV$1+1,0),"")</f>
        <v/>
      </c>
      <c r="AE304" s="133" t="str">
        <f>IF($A304&lt;&gt;0,VLOOKUP($A304,'0.Productos'!$A$3:$GG$587,'0.Productos'!BW$1+1,0),"")</f>
        <v/>
      </c>
      <c r="AF304" s="133" t="str">
        <f>IF($A304&lt;&gt;0,VLOOKUP($A304,'0.Productos'!$A$3:$GG$587,'0.Productos'!BX$1+1,0),"")</f>
        <v/>
      </c>
      <c r="AG304" s="133" t="str">
        <f>IF($A304&lt;&gt;0,VLOOKUP($A304,'0.Productos'!$A$3:$GG$587,'0.Productos'!BY$1+1,0),"")</f>
        <v/>
      </c>
      <c r="AH304" s="133" t="str">
        <f>IF($A304&lt;&gt;0,VLOOKUP($A304,'0.Productos'!$A$3:$GG$587,'0.Productos'!BZ$1+1,0),"")</f>
        <v/>
      </c>
      <c r="AI304" s="133" t="str">
        <f>IF($A304&lt;&gt;0,VLOOKUP($A304,'0.Productos'!$A$3:$GG$587,'0.Productos'!CA$1+1,0),"")</f>
        <v/>
      </c>
      <c r="AJ304" s="133" t="str">
        <f>IF($A304&lt;&gt;0,VLOOKUP($A304,'0.Productos'!$A$3:$GG$587,'0.Productos'!CB$1+1,0),"")</f>
        <v/>
      </c>
      <c r="AK304" s="133" t="str">
        <f>IF($A304&lt;&gt;0,VLOOKUP($A304,'0.Productos'!$A$3:$GG$587,'0.Productos'!CC$1+1,0),"")</f>
        <v/>
      </c>
      <c r="AL304" s="133" t="str">
        <f>IF($A304&lt;&gt;0,VLOOKUP($A304,'0.Productos'!$A$3:$GG$587,'0.Productos'!CD$1+1,0),"")</f>
        <v/>
      </c>
      <c r="AM304" s="133" t="str">
        <f>IF($A304&lt;&gt;0,VLOOKUP($A304,'0.Productos'!$A$3:$GG$587,'0.Productos'!CE$1+1,0),"")</f>
        <v/>
      </c>
      <c r="AN304" s="133" t="str">
        <f>IF($A304&lt;&gt;0,VLOOKUP($A304,'0.Productos'!$A$3:$GG$587,'0.Productos'!CF$1+1,0),"")</f>
        <v/>
      </c>
      <c r="AO304" s="133" t="str">
        <f>IF($A304&lt;&gt;0,VLOOKUP($A304,'0.Productos'!$A$3:$GG$587,'0.Productos'!CG$1+1,0),"")</f>
        <v/>
      </c>
      <c r="AP304" s="133" t="str">
        <f>IF($A304&lt;&gt;0,VLOOKUP($A304,'0.Productos'!$A$3:$GG$587,'0.Productos'!CH$1+1,0),"")</f>
        <v/>
      </c>
      <c r="AQ304" s="133" t="str">
        <f>IF($A304&lt;&gt;0,VLOOKUP($A304,'0.Productos'!$A$3:$GG$587,'0.Productos'!CI$1+1,0),"")</f>
        <v/>
      </c>
      <c r="AR304" s="133" t="str">
        <f>IF($A304&lt;&gt;0,VLOOKUP($A304,'0.Productos'!$A$3:$GG$587,'0.Productos'!CJ$1+1,0),"")</f>
        <v/>
      </c>
      <c r="AS304" s="133" t="str">
        <f>IF($A304&lt;&gt;0,VLOOKUP($A304,'0.Productos'!$A$3:$GG$587,'0.Productos'!CK$1+1,0),"")</f>
        <v/>
      </c>
      <c r="AT304" s="133" t="str">
        <f>IF($A304&lt;&gt;0,VLOOKUP($A304,'0.Productos'!$A$3:$GG$587,'0.Productos'!CL$1+1,0),"")</f>
        <v/>
      </c>
      <c r="AU304" s="133" t="str">
        <f>IF($A304&lt;&gt;0,VLOOKUP($A304,'0.Productos'!$A$3:$GG$587,'0.Productos'!CM$1+1,0),"")</f>
        <v/>
      </c>
      <c r="AV304" s="133" t="str">
        <f>IF($A304&lt;&gt;0,VLOOKUP($A304,'0.Productos'!$A$3:$GG$587,'0.Productos'!CN$1+1,0),"")</f>
        <v/>
      </c>
      <c r="AW304" s="133" t="str">
        <f>IF($A304&lt;&gt;0,VLOOKUP($A304,'0.Productos'!$A$3:$GG$587,'0.Productos'!CO$1+1,0),"")</f>
        <v/>
      </c>
      <c r="AX304" s="133" t="str">
        <f>IF($A304&lt;&gt;0,VLOOKUP($A304,'0.Productos'!$A$3:$GG$587,'0.Productos'!CP$1+1,0),"")</f>
        <v/>
      </c>
      <c r="AY304" s="133" t="str">
        <f>IF($A304&lt;&gt;0,VLOOKUP($A304,'0.Productos'!$A$3:$GG$587,'0.Productos'!CQ$1+1,0),"")</f>
        <v/>
      </c>
      <c r="AZ304" s="133" t="str">
        <f>IF($A304&lt;&gt;0,VLOOKUP($A304,'0.Productos'!$A$3:$GG$587,'0.Productos'!CR$1+1,0),"")</f>
        <v/>
      </c>
      <c r="BA304" s="133" t="str">
        <f>IF($A304&lt;&gt;0,VLOOKUP($A304,'0.Productos'!$A$3:$GG$587,'0.Productos'!CS$1+1,0),"")</f>
        <v/>
      </c>
      <c r="BB304" s="133" t="str">
        <f>IF($A304&lt;&gt;0,VLOOKUP($A304,'0.Productos'!$A$3:$GG$587,'0.Productos'!CT$1+1,0),"")</f>
        <v/>
      </c>
      <c r="BC304" s="133" t="str">
        <f>IF($A304&lt;&gt;0,VLOOKUP($A304,'0.Productos'!$A$3:$GG$587,'0.Productos'!CU$1+1,0),"")</f>
        <v/>
      </c>
      <c r="BD304" s="133" t="str">
        <f>IF($A304&lt;&gt;0,VLOOKUP($A304,'0.Productos'!$A$3:$GG$587,'0.Productos'!CV$1+1,0),"")</f>
        <v/>
      </c>
      <c r="BE304" s="133" t="str">
        <f>IF($A304&lt;&gt;0,VLOOKUP($A304,'0.Productos'!$A$3:$GG$587,'0.Productos'!CW$1+1,0),"")</f>
        <v/>
      </c>
      <c r="BF304" s="133" t="str">
        <f>IF($A304&lt;&gt;0,VLOOKUP($A304,'0.Productos'!$A$3:$GG$587,'0.Productos'!CX$1+1,0),"")</f>
        <v/>
      </c>
      <c r="BG304" s="133" t="str">
        <f>IF($A304&lt;&gt;0,VLOOKUP($A304,'0.Productos'!$A$3:$GG$587,'0.Productos'!CY$1+1,0),"")</f>
        <v/>
      </c>
      <c r="BH304" s="133" t="str">
        <f>IF($A304&lt;&gt;0,VLOOKUP($A304,'0.Productos'!$A$3:$GG$587,'0.Productos'!CZ$1+1,0),"")</f>
        <v/>
      </c>
      <c r="BI304" s="133" t="str">
        <f>IF($A304&lt;&gt;0,VLOOKUP($A304,'0.Productos'!$A$3:$GG$587,'0.Productos'!DA$1+1,0),"")</f>
        <v/>
      </c>
      <c r="BJ304" s="133" t="str">
        <f>IF($A304&lt;&gt;0,VLOOKUP($A304,'0.Productos'!$A$3:$GG$587,'0.Productos'!DB$1+1,0),"")</f>
        <v/>
      </c>
      <c r="BK304" s="133" t="str">
        <f>IF($A304&lt;&gt;0,VLOOKUP($A304,'0.Productos'!$A$3:$GG$587,'0.Productos'!DC$1+1,0),"")</f>
        <v/>
      </c>
      <c r="BL304" s="133" t="str">
        <f>IF($A304&lt;&gt;0,VLOOKUP($A304,'0.Productos'!$A$3:$GG$587,'0.Productos'!DD$1+1,0),"")</f>
        <v/>
      </c>
      <c r="BM304" s="133" t="str">
        <f>IF($A304&lt;&gt;0,VLOOKUP($A304,'0.Productos'!$A$3:$GG$587,'0.Productos'!DE$1+1,0),"")</f>
        <v/>
      </c>
      <c r="BN304" s="133" t="str">
        <f>IF($A304&lt;&gt;0,VLOOKUP($A304,'0.Productos'!$A$3:$GG$587,'0.Productos'!DF$1+1,0),"")</f>
        <v/>
      </c>
      <c r="BO304" s="133" t="str">
        <f>IF($A304&lt;&gt;0,VLOOKUP($A304,'0.Productos'!$A$3:$GG$587,'0.Productos'!DG$1+1,0),"")</f>
        <v/>
      </c>
      <c r="BP304" s="133" t="str">
        <f>IF($A304&lt;&gt;0,VLOOKUP($A304,'0.Productos'!$A$3:$GG$587,'0.Productos'!DH$1+1,0),"")</f>
        <v/>
      </c>
      <c r="BQ304" s="133" t="str">
        <f>IF($A304&lt;&gt;0,VLOOKUP($A304,'0.Productos'!$A$3:$GG$587,'0.Productos'!DI$1+1,0),"")</f>
        <v/>
      </c>
      <c r="BR304" s="133" t="str">
        <f>IF($A304&lt;&gt;0,VLOOKUP($A304,'0.Productos'!$A$3:$GG$587,'0.Productos'!DJ$1+1,0),"")</f>
        <v/>
      </c>
      <c r="BS304" s="133" t="str">
        <f>IF($A304&lt;&gt;0,VLOOKUP($A304,'0.Productos'!$A$3:$GG$587,'0.Productos'!DK$1+1,0),"")</f>
        <v/>
      </c>
      <c r="BT304" s="133" t="str">
        <f>IF($A304&lt;&gt;0,VLOOKUP($A304,'0.Productos'!$A$3:$GG$587,'0.Productos'!DL$1+1,0),"")</f>
        <v/>
      </c>
    </row>
    <row r="305" spans="1:72" x14ac:dyDescent="0.25">
      <c r="A305" s="17">
        <f>'0.Consolidado general'!A305</f>
        <v>0</v>
      </c>
      <c r="B305" s="133" t="str">
        <f>IF($A305&lt;&gt;0,VLOOKUP($A305,'0.Productos'!$A$3:$GG$587,'0.Productos'!AT$1+1,0),"")</f>
        <v/>
      </c>
      <c r="C305" s="133" t="str">
        <f>IF($A305&lt;&gt;0,VLOOKUP($A305,'0.Productos'!$A$3:$GG$587,'0.Productos'!AU$1+1,0),"")</f>
        <v/>
      </c>
      <c r="D305" s="133" t="str">
        <f>IF($A305&lt;&gt;0,VLOOKUP($A305,'0.Productos'!$A$3:$GG$587,'0.Productos'!AV$1+1,0),"")</f>
        <v/>
      </c>
      <c r="E305" s="133" t="str">
        <f>IF($A305&lt;&gt;0,VLOOKUP($A305,'0.Productos'!$A$3:$GG$587,'0.Productos'!AW$1+1,0),"")</f>
        <v/>
      </c>
      <c r="F305" s="133" t="str">
        <f>IF($A305&lt;&gt;0,VLOOKUP($A305,'0.Productos'!$A$3:$GG$587,'0.Productos'!AX$1+1,0),"")</f>
        <v/>
      </c>
      <c r="G305" s="133" t="str">
        <f>IF($A305&lt;&gt;0,VLOOKUP($A305,'0.Productos'!$A$3:$GG$587,'0.Productos'!AY$1+1,0),"")</f>
        <v/>
      </c>
      <c r="H305" s="133" t="str">
        <f>IF($A305&lt;&gt;0,VLOOKUP($A305,'0.Productos'!$A$3:$GG$587,'0.Productos'!AZ$1+1,0),"")</f>
        <v/>
      </c>
      <c r="I305" s="133" t="str">
        <f>IF($A305&lt;&gt;0,VLOOKUP($A305,'0.Productos'!$A$3:$GG$587,'0.Productos'!BA$1+1,0),"")</f>
        <v/>
      </c>
      <c r="J305" s="133" t="str">
        <f>IF($A305&lt;&gt;0,VLOOKUP($A305,'0.Productos'!$A$3:$GG$587,'0.Productos'!BB$1+1,0),"")</f>
        <v/>
      </c>
      <c r="K305" s="133" t="str">
        <f>IF($A305&lt;&gt;0,VLOOKUP($A305,'0.Productos'!$A$3:$GG$587,'0.Productos'!BC$1+1,0),"")</f>
        <v/>
      </c>
      <c r="L305" s="133" t="str">
        <f>IF($A305&lt;&gt;0,VLOOKUP($A305,'0.Productos'!$A$3:$GG$587,'0.Productos'!BD$1+1,0),"")</f>
        <v/>
      </c>
      <c r="M305" s="133" t="str">
        <f>IF($A305&lt;&gt;0,VLOOKUP($A305,'0.Productos'!$A$3:$GG$587,'0.Productos'!BE$1+1,0),"")</f>
        <v/>
      </c>
      <c r="N305" s="133" t="str">
        <f>IF($A305&lt;&gt;0,VLOOKUP($A305,'0.Productos'!$A$3:$GG$587,'0.Productos'!BF$1+1,0),"")</f>
        <v/>
      </c>
      <c r="O305" s="133" t="str">
        <f>IF($A305&lt;&gt;0,VLOOKUP($A305,'0.Productos'!$A$3:$GG$587,'0.Productos'!BG$1+1,0),"")</f>
        <v/>
      </c>
      <c r="P305" s="133" t="str">
        <f>IF($A305&lt;&gt;0,VLOOKUP($A305,'0.Productos'!$A$3:$GG$587,'0.Productos'!BH$1+1,0),"")</f>
        <v/>
      </c>
      <c r="Q305" s="133" t="str">
        <f>IF($A305&lt;&gt;0,VLOOKUP($A305,'0.Productos'!$A$3:$GG$587,'0.Productos'!BI$1+1,0),"")</f>
        <v/>
      </c>
      <c r="R305" s="133" t="str">
        <f>IF($A305&lt;&gt;0,VLOOKUP($A305,'0.Productos'!$A$3:$GG$587,'0.Productos'!BJ$1+1,0),"")</f>
        <v/>
      </c>
      <c r="S305" s="133" t="str">
        <f>IF($A305&lt;&gt;0,VLOOKUP($A305,'0.Productos'!$A$3:$GG$587,'0.Productos'!BK$1+1,0),"")</f>
        <v/>
      </c>
      <c r="T305" s="133" t="str">
        <f>IF($A305&lt;&gt;0,VLOOKUP($A305,'0.Productos'!$A$3:$GG$587,'0.Productos'!BL$1+1,0),"")</f>
        <v/>
      </c>
      <c r="U305" s="133" t="str">
        <f>IF($A305&lt;&gt;0,VLOOKUP($A305,'0.Productos'!$A$3:$GG$587,'0.Productos'!BM$1+1,0),"")</f>
        <v/>
      </c>
      <c r="V305" s="133" t="str">
        <f>IF($A305&lt;&gt;0,VLOOKUP($A305,'0.Productos'!$A$3:$GG$587,'0.Productos'!BN$1+1,0),"")</f>
        <v/>
      </c>
      <c r="W305" s="133" t="str">
        <f>IF($A305&lt;&gt;0,VLOOKUP($A305,'0.Productos'!$A$3:$GG$587,'0.Productos'!BO$1+1,0),"")</f>
        <v/>
      </c>
      <c r="X305" s="133" t="str">
        <f>IF($A305&lt;&gt;0,VLOOKUP($A305,'0.Productos'!$A$3:$GG$587,'0.Productos'!BP$1+1,0),"")</f>
        <v/>
      </c>
      <c r="Y305" s="133" t="str">
        <f>IF($A305&lt;&gt;0,VLOOKUP($A305,'0.Productos'!$A$3:$GG$587,'0.Productos'!BQ$1+1,0),"")</f>
        <v/>
      </c>
      <c r="Z305" s="133" t="str">
        <f>IF($A305&lt;&gt;0,VLOOKUP($A305,'0.Productos'!$A$3:$GG$587,'0.Productos'!BR$1+1,0),"")</f>
        <v/>
      </c>
      <c r="AA305" s="133" t="str">
        <f>IF($A305&lt;&gt;0,VLOOKUP($A305,'0.Productos'!$A$3:$GG$587,'0.Productos'!BS$1+1,0),"")</f>
        <v/>
      </c>
      <c r="AB305" s="133" t="str">
        <f>IF($A305&lt;&gt;0,VLOOKUP($A305,'0.Productos'!$A$3:$GG$587,'0.Productos'!BT$1+1,0),"")</f>
        <v/>
      </c>
      <c r="AC305" s="133" t="str">
        <f>IF($A305&lt;&gt;0,VLOOKUP($A305,'0.Productos'!$A$3:$GG$587,'0.Productos'!BU$1+1,0),"")</f>
        <v/>
      </c>
      <c r="AD305" s="133" t="str">
        <f>IF($A305&lt;&gt;0,VLOOKUP($A305,'0.Productos'!$A$3:$GG$587,'0.Productos'!BV$1+1,0),"")</f>
        <v/>
      </c>
      <c r="AE305" s="133" t="str">
        <f>IF($A305&lt;&gt;0,VLOOKUP($A305,'0.Productos'!$A$3:$GG$587,'0.Productos'!BW$1+1,0),"")</f>
        <v/>
      </c>
      <c r="AF305" s="133" t="str">
        <f>IF($A305&lt;&gt;0,VLOOKUP($A305,'0.Productos'!$A$3:$GG$587,'0.Productos'!BX$1+1,0),"")</f>
        <v/>
      </c>
      <c r="AG305" s="133" t="str">
        <f>IF($A305&lt;&gt;0,VLOOKUP($A305,'0.Productos'!$A$3:$GG$587,'0.Productos'!BY$1+1,0),"")</f>
        <v/>
      </c>
      <c r="AH305" s="133" t="str">
        <f>IF($A305&lt;&gt;0,VLOOKUP($A305,'0.Productos'!$A$3:$GG$587,'0.Productos'!BZ$1+1,0),"")</f>
        <v/>
      </c>
      <c r="AI305" s="133" t="str">
        <f>IF($A305&lt;&gt;0,VLOOKUP($A305,'0.Productos'!$A$3:$GG$587,'0.Productos'!CA$1+1,0),"")</f>
        <v/>
      </c>
      <c r="AJ305" s="133" t="str">
        <f>IF($A305&lt;&gt;0,VLOOKUP($A305,'0.Productos'!$A$3:$GG$587,'0.Productos'!CB$1+1,0),"")</f>
        <v/>
      </c>
      <c r="AK305" s="133" t="str">
        <f>IF($A305&lt;&gt;0,VLOOKUP($A305,'0.Productos'!$A$3:$GG$587,'0.Productos'!CC$1+1,0),"")</f>
        <v/>
      </c>
      <c r="AL305" s="133" t="str">
        <f>IF($A305&lt;&gt;0,VLOOKUP($A305,'0.Productos'!$A$3:$GG$587,'0.Productos'!CD$1+1,0),"")</f>
        <v/>
      </c>
      <c r="AM305" s="133" t="str">
        <f>IF($A305&lt;&gt;0,VLOOKUP($A305,'0.Productos'!$A$3:$GG$587,'0.Productos'!CE$1+1,0),"")</f>
        <v/>
      </c>
      <c r="AN305" s="133" t="str">
        <f>IF($A305&lt;&gt;0,VLOOKUP($A305,'0.Productos'!$A$3:$GG$587,'0.Productos'!CF$1+1,0),"")</f>
        <v/>
      </c>
      <c r="AO305" s="133" t="str">
        <f>IF($A305&lt;&gt;0,VLOOKUP($A305,'0.Productos'!$A$3:$GG$587,'0.Productos'!CG$1+1,0),"")</f>
        <v/>
      </c>
      <c r="AP305" s="133" t="str">
        <f>IF($A305&lt;&gt;0,VLOOKUP($A305,'0.Productos'!$A$3:$GG$587,'0.Productos'!CH$1+1,0),"")</f>
        <v/>
      </c>
      <c r="AQ305" s="133" t="str">
        <f>IF($A305&lt;&gt;0,VLOOKUP($A305,'0.Productos'!$A$3:$GG$587,'0.Productos'!CI$1+1,0),"")</f>
        <v/>
      </c>
      <c r="AR305" s="133" t="str">
        <f>IF($A305&lt;&gt;0,VLOOKUP($A305,'0.Productos'!$A$3:$GG$587,'0.Productos'!CJ$1+1,0),"")</f>
        <v/>
      </c>
      <c r="AS305" s="133" t="str">
        <f>IF($A305&lt;&gt;0,VLOOKUP($A305,'0.Productos'!$A$3:$GG$587,'0.Productos'!CK$1+1,0),"")</f>
        <v/>
      </c>
      <c r="AT305" s="133" t="str">
        <f>IF($A305&lt;&gt;0,VLOOKUP($A305,'0.Productos'!$A$3:$GG$587,'0.Productos'!CL$1+1,0),"")</f>
        <v/>
      </c>
      <c r="AU305" s="133" t="str">
        <f>IF($A305&lt;&gt;0,VLOOKUP($A305,'0.Productos'!$A$3:$GG$587,'0.Productos'!CM$1+1,0),"")</f>
        <v/>
      </c>
      <c r="AV305" s="133" t="str">
        <f>IF($A305&lt;&gt;0,VLOOKUP($A305,'0.Productos'!$A$3:$GG$587,'0.Productos'!CN$1+1,0),"")</f>
        <v/>
      </c>
      <c r="AW305" s="133" t="str">
        <f>IF($A305&lt;&gt;0,VLOOKUP($A305,'0.Productos'!$A$3:$GG$587,'0.Productos'!CO$1+1,0),"")</f>
        <v/>
      </c>
      <c r="AX305" s="133" t="str">
        <f>IF($A305&lt;&gt;0,VLOOKUP($A305,'0.Productos'!$A$3:$GG$587,'0.Productos'!CP$1+1,0),"")</f>
        <v/>
      </c>
      <c r="AY305" s="133" t="str">
        <f>IF($A305&lt;&gt;0,VLOOKUP($A305,'0.Productos'!$A$3:$GG$587,'0.Productos'!CQ$1+1,0),"")</f>
        <v/>
      </c>
      <c r="AZ305" s="133" t="str">
        <f>IF($A305&lt;&gt;0,VLOOKUP($A305,'0.Productos'!$A$3:$GG$587,'0.Productos'!CR$1+1,0),"")</f>
        <v/>
      </c>
      <c r="BA305" s="133" t="str">
        <f>IF($A305&lt;&gt;0,VLOOKUP($A305,'0.Productos'!$A$3:$GG$587,'0.Productos'!CS$1+1,0),"")</f>
        <v/>
      </c>
      <c r="BB305" s="133" t="str">
        <f>IF($A305&lt;&gt;0,VLOOKUP($A305,'0.Productos'!$A$3:$GG$587,'0.Productos'!CT$1+1,0),"")</f>
        <v/>
      </c>
      <c r="BC305" s="133" t="str">
        <f>IF($A305&lt;&gt;0,VLOOKUP($A305,'0.Productos'!$A$3:$GG$587,'0.Productos'!CU$1+1,0),"")</f>
        <v/>
      </c>
      <c r="BD305" s="133" t="str">
        <f>IF($A305&lt;&gt;0,VLOOKUP($A305,'0.Productos'!$A$3:$GG$587,'0.Productos'!CV$1+1,0),"")</f>
        <v/>
      </c>
      <c r="BE305" s="133" t="str">
        <f>IF($A305&lt;&gt;0,VLOOKUP($A305,'0.Productos'!$A$3:$GG$587,'0.Productos'!CW$1+1,0),"")</f>
        <v/>
      </c>
      <c r="BF305" s="133" t="str">
        <f>IF($A305&lt;&gt;0,VLOOKUP($A305,'0.Productos'!$A$3:$GG$587,'0.Productos'!CX$1+1,0),"")</f>
        <v/>
      </c>
      <c r="BG305" s="133" t="str">
        <f>IF($A305&lt;&gt;0,VLOOKUP($A305,'0.Productos'!$A$3:$GG$587,'0.Productos'!CY$1+1,0),"")</f>
        <v/>
      </c>
      <c r="BH305" s="133" t="str">
        <f>IF($A305&lt;&gt;0,VLOOKUP($A305,'0.Productos'!$A$3:$GG$587,'0.Productos'!CZ$1+1,0),"")</f>
        <v/>
      </c>
      <c r="BI305" s="133" t="str">
        <f>IF($A305&lt;&gt;0,VLOOKUP($A305,'0.Productos'!$A$3:$GG$587,'0.Productos'!DA$1+1,0),"")</f>
        <v/>
      </c>
      <c r="BJ305" s="133" t="str">
        <f>IF($A305&lt;&gt;0,VLOOKUP($A305,'0.Productos'!$A$3:$GG$587,'0.Productos'!DB$1+1,0),"")</f>
        <v/>
      </c>
      <c r="BK305" s="133" t="str">
        <f>IF($A305&lt;&gt;0,VLOOKUP($A305,'0.Productos'!$A$3:$GG$587,'0.Productos'!DC$1+1,0),"")</f>
        <v/>
      </c>
      <c r="BL305" s="133" t="str">
        <f>IF($A305&lt;&gt;0,VLOOKUP($A305,'0.Productos'!$A$3:$GG$587,'0.Productos'!DD$1+1,0),"")</f>
        <v/>
      </c>
      <c r="BM305" s="133" t="str">
        <f>IF($A305&lt;&gt;0,VLOOKUP($A305,'0.Productos'!$A$3:$GG$587,'0.Productos'!DE$1+1,0),"")</f>
        <v/>
      </c>
      <c r="BN305" s="133" t="str">
        <f>IF($A305&lt;&gt;0,VLOOKUP($A305,'0.Productos'!$A$3:$GG$587,'0.Productos'!DF$1+1,0),"")</f>
        <v/>
      </c>
      <c r="BO305" s="133" t="str">
        <f>IF($A305&lt;&gt;0,VLOOKUP($A305,'0.Productos'!$A$3:$GG$587,'0.Productos'!DG$1+1,0),"")</f>
        <v/>
      </c>
      <c r="BP305" s="133" t="str">
        <f>IF($A305&lt;&gt;0,VLOOKUP($A305,'0.Productos'!$A$3:$GG$587,'0.Productos'!DH$1+1,0),"")</f>
        <v/>
      </c>
      <c r="BQ305" s="133" t="str">
        <f>IF($A305&lt;&gt;0,VLOOKUP($A305,'0.Productos'!$A$3:$GG$587,'0.Productos'!DI$1+1,0),"")</f>
        <v/>
      </c>
      <c r="BR305" s="133" t="str">
        <f>IF($A305&lt;&gt;0,VLOOKUP($A305,'0.Productos'!$A$3:$GG$587,'0.Productos'!DJ$1+1,0),"")</f>
        <v/>
      </c>
      <c r="BS305" s="133" t="str">
        <f>IF($A305&lt;&gt;0,VLOOKUP($A305,'0.Productos'!$A$3:$GG$587,'0.Productos'!DK$1+1,0),"")</f>
        <v/>
      </c>
      <c r="BT305" s="133" t="str">
        <f>IF($A305&lt;&gt;0,VLOOKUP($A305,'0.Productos'!$A$3:$GG$587,'0.Productos'!DL$1+1,0),"")</f>
        <v/>
      </c>
    </row>
    <row r="306" spans="1:72" x14ac:dyDescent="0.25">
      <c r="A306" s="17">
        <f>'0.Consolidado general'!A306</f>
        <v>0</v>
      </c>
      <c r="B306" s="133" t="str">
        <f>IF($A306&lt;&gt;0,VLOOKUP($A306,'0.Productos'!$A$3:$GG$587,'0.Productos'!AT$1+1,0),"")</f>
        <v/>
      </c>
      <c r="C306" s="133" t="str">
        <f>IF($A306&lt;&gt;0,VLOOKUP($A306,'0.Productos'!$A$3:$GG$587,'0.Productos'!AU$1+1,0),"")</f>
        <v/>
      </c>
      <c r="D306" s="133" t="str">
        <f>IF($A306&lt;&gt;0,VLOOKUP($A306,'0.Productos'!$A$3:$GG$587,'0.Productos'!AV$1+1,0),"")</f>
        <v/>
      </c>
      <c r="E306" s="133" t="str">
        <f>IF($A306&lt;&gt;0,VLOOKUP($A306,'0.Productos'!$A$3:$GG$587,'0.Productos'!AW$1+1,0),"")</f>
        <v/>
      </c>
      <c r="F306" s="133" t="str">
        <f>IF($A306&lt;&gt;0,VLOOKUP($A306,'0.Productos'!$A$3:$GG$587,'0.Productos'!AX$1+1,0),"")</f>
        <v/>
      </c>
      <c r="G306" s="133" t="str">
        <f>IF($A306&lt;&gt;0,VLOOKUP($A306,'0.Productos'!$A$3:$GG$587,'0.Productos'!AY$1+1,0),"")</f>
        <v/>
      </c>
      <c r="H306" s="133" t="str">
        <f>IF($A306&lt;&gt;0,VLOOKUP($A306,'0.Productos'!$A$3:$GG$587,'0.Productos'!AZ$1+1,0),"")</f>
        <v/>
      </c>
      <c r="I306" s="133" t="str">
        <f>IF($A306&lt;&gt;0,VLOOKUP($A306,'0.Productos'!$A$3:$GG$587,'0.Productos'!BA$1+1,0),"")</f>
        <v/>
      </c>
      <c r="J306" s="133" t="str">
        <f>IF($A306&lt;&gt;0,VLOOKUP($A306,'0.Productos'!$A$3:$GG$587,'0.Productos'!BB$1+1,0),"")</f>
        <v/>
      </c>
      <c r="K306" s="133" t="str">
        <f>IF($A306&lt;&gt;0,VLOOKUP($A306,'0.Productos'!$A$3:$GG$587,'0.Productos'!BC$1+1,0),"")</f>
        <v/>
      </c>
      <c r="L306" s="133" t="str">
        <f>IF($A306&lt;&gt;0,VLOOKUP($A306,'0.Productos'!$A$3:$GG$587,'0.Productos'!BD$1+1,0),"")</f>
        <v/>
      </c>
      <c r="M306" s="133" t="str">
        <f>IF($A306&lt;&gt;0,VLOOKUP($A306,'0.Productos'!$A$3:$GG$587,'0.Productos'!BE$1+1,0),"")</f>
        <v/>
      </c>
      <c r="N306" s="133" t="str">
        <f>IF($A306&lt;&gt;0,VLOOKUP($A306,'0.Productos'!$A$3:$GG$587,'0.Productos'!BF$1+1,0),"")</f>
        <v/>
      </c>
      <c r="O306" s="133" t="str">
        <f>IF($A306&lt;&gt;0,VLOOKUP($A306,'0.Productos'!$A$3:$GG$587,'0.Productos'!BG$1+1,0),"")</f>
        <v/>
      </c>
      <c r="P306" s="133" t="str">
        <f>IF($A306&lt;&gt;0,VLOOKUP($A306,'0.Productos'!$A$3:$GG$587,'0.Productos'!BH$1+1,0),"")</f>
        <v/>
      </c>
      <c r="Q306" s="133" t="str">
        <f>IF($A306&lt;&gt;0,VLOOKUP($A306,'0.Productos'!$A$3:$GG$587,'0.Productos'!BI$1+1,0),"")</f>
        <v/>
      </c>
      <c r="R306" s="133" t="str">
        <f>IF($A306&lt;&gt;0,VLOOKUP($A306,'0.Productos'!$A$3:$GG$587,'0.Productos'!BJ$1+1,0),"")</f>
        <v/>
      </c>
      <c r="S306" s="133" t="str">
        <f>IF($A306&lt;&gt;0,VLOOKUP($A306,'0.Productos'!$A$3:$GG$587,'0.Productos'!BK$1+1,0),"")</f>
        <v/>
      </c>
      <c r="T306" s="133" t="str">
        <f>IF($A306&lt;&gt;0,VLOOKUP($A306,'0.Productos'!$A$3:$GG$587,'0.Productos'!BL$1+1,0),"")</f>
        <v/>
      </c>
      <c r="U306" s="133" t="str">
        <f>IF($A306&lt;&gt;0,VLOOKUP($A306,'0.Productos'!$A$3:$GG$587,'0.Productos'!BM$1+1,0),"")</f>
        <v/>
      </c>
      <c r="V306" s="133" t="str">
        <f>IF($A306&lt;&gt;0,VLOOKUP($A306,'0.Productos'!$A$3:$GG$587,'0.Productos'!BN$1+1,0),"")</f>
        <v/>
      </c>
      <c r="W306" s="133" t="str">
        <f>IF($A306&lt;&gt;0,VLOOKUP($A306,'0.Productos'!$A$3:$GG$587,'0.Productos'!BO$1+1,0),"")</f>
        <v/>
      </c>
      <c r="X306" s="133" t="str">
        <f>IF($A306&lt;&gt;0,VLOOKUP($A306,'0.Productos'!$A$3:$GG$587,'0.Productos'!BP$1+1,0),"")</f>
        <v/>
      </c>
      <c r="Y306" s="133" t="str">
        <f>IF($A306&lt;&gt;0,VLOOKUP($A306,'0.Productos'!$A$3:$GG$587,'0.Productos'!BQ$1+1,0),"")</f>
        <v/>
      </c>
      <c r="Z306" s="133" t="str">
        <f>IF($A306&lt;&gt;0,VLOOKUP($A306,'0.Productos'!$A$3:$GG$587,'0.Productos'!BR$1+1,0),"")</f>
        <v/>
      </c>
      <c r="AA306" s="133" t="str">
        <f>IF($A306&lt;&gt;0,VLOOKUP($A306,'0.Productos'!$A$3:$GG$587,'0.Productos'!BS$1+1,0),"")</f>
        <v/>
      </c>
      <c r="AB306" s="133" t="str">
        <f>IF($A306&lt;&gt;0,VLOOKUP($A306,'0.Productos'!$A$3:$GG$587,'0.Productos'!BT$1+1,0),"")</f>
        <v/>
      </c>
      <c r="AC306" s="133" t="str">
        <f>IF($A306&lt;&gt;0,VLOOKUP($A306,'0.Productos'!$A$3:$GG$587,'0.Productos'!BU$1+1,0),"")</f>
        <v/>
      </c>
      <c r="AD306" s="133" t="str">
        <f>IF($A306&lt;&gt;0,VLOOKUP($A306,'0.Productos'!$A$3:$GG$587,'0.Productos'!BV$1+1,0),"")</f>
        <v/>
      </c>
      <c r="AE306" s="133" t="str">
        <f>IF($A306&lt;&gt;0,VLOOKUP($A306,'0.Productos'!$A$3:$GG$587,'0.Productos'!BW$1+1,0),"")</f>
        <v/>
      </c>
      <c r="AF306" s="133" t="str">
        <f>IF($A306&lt;&gt;0,VLOOKUP($A306,'0.Productos'!$A$3:$GG$587,'0.Productos'!BX$1+1,0),"")</f>
        <v/>
      </c>
      <c r="AG306" s="133" t="str">
        <f>IF($A306&lt;&gt;0,VLOOKUP($A306,'0.Productos'!$A$3:$GG$587,'0.Productos'!BY$1+1,0),"")</f>
        <v/>
      </c>
      <c r="AH306" s="133" t="str">
        <f>IF($A306&lt;&gt;0,VLOOKUP($A306,'0.Productos'!$A$3:$GG$587,'0.Productos'!BZ$1+1,0),"")</f>
        <v/>
      </c>
      <c r="AI306" s="133" t="str">
        <f>IF($A306&lt;&gt;0,VLOOKUP($A306,'0.Productos'!$A$3:$GG$587,'0.Productos'!CA$1+1,0),"")</f>
        <v/>
      </c>
      <c r="AJ306" s="133" t="str">
        <f>IF($A306&lt;&gt;0,VLOOKUP($A306,'0.Productos'!$A$3:$GG$587,'0.Productos'!CB$1+1,0),"")</f>
        <v/>
      </c>
      <c r="AK306" s="133" t="str">
        <f>IF($A306&lt;&gt;0,VLOOKUP($A306,'0.Productos'!$A$3:$GG$587,'0.Productos'!CC$1+1,0),"")</f>
        <v/>
      </c>
      <c r="AL306" s="133" t="str">
        <f>IF($A306&lt;&gt;0,VLOOKUP($A306,'0.Productos'!$A$3:$GG$587,'0.Productos'!CD$1+1,0),"")</f>
        <v/>
      </c>
      <c r="AM306" s="133" t="str">
        <f>IF($A306&lt;&gt;0,VLOOKUP($A306,'0.Productos'!$A$3:$GG$587,'0.Productos'!CE$1+1,0),"")</f>
        <v/>
      </c>
      <c r="AN306" s="133" t="str">
        <f>IF($A306&lt;&gt;0,VLOOKUP($A306,'0.Productos'!$A$3:$GG$587,'0.Productos'!CF$1+1,0),"")</f>
        <v/>
      </c>
      <c r="AO306" s="133" t="str">
        <f>IF($A306&lt;&gt;0,VLOOKUP($A306,'0.Productos'!$A$3:$GG$587,'0.Productos'!CG$1+1,0),"")</f>
        <v/>
      </c>
      <c r="AP306" s="133" t="str">
        <f>IF($A306&lt;&gt;0,VLOOKUP($A306,'0.Productos'!$A$3:$GG$587,'0.Productos'!CH$1+1,0),"")</f>
        <v/>
      </c>
      <c r="AQ306" s="133" t="str">
        <f>IF($A306&lt;&gt;0,VLOOKUP($A306,'0.Productos'!$A$3:$GG$587,'0.Productos'!CI$1+1,0),"")</f>
        <v/>
      </c>
      <c r="AR306" s="133" t="str">
        <f>IF($A306&lt;&gt;0,VLOOKUP($A306,'0.Productos'!$A$3:$GG$587,'0.Productos'!CJ$1+1,0),"")</f>
        <v/>
      </c>
      <c r="AS306" s="133" t="str">
        <f>IF($A306&lt;&gt;0,VLOOKUP($A306,'0.Productos'!$A$3:$GG$587,'0.Productos'!CK$1+1,0),"")</f>
        <v/>
      </c>
      <c r="AT306" s="133" t="str">
        <f>IF($A306&lt;&gt;0,VLOOKUP($A306,'0.Productos'!$A$3:$GG$587,'0.Productos'!CL$1+1,0),"")</f>
        <v/>
      </c>
      <c r="AU306" s="133" t="str">
        <f>IF($A306&lt;&gt;0,VLOOKUP($A306,'0.Productos'!$A$3:$GG$587,'0.Productos'!CM$1+1,0),"")</f>
        <v/>
      </c>
      <c r="AV306" s="133" t="str">
        <f>IF($A306&lt;&gt;0,VLOOKUP($A306,'0.Productos'!$A$3:$GG$587,'0.Productos'!CN$1+1,0),"")</f>
        <v/>
      </c>
      <c r="AW306" s="133" t="str">
        <f>IF($A306&lt;&gt;0,VLOOKUP($A306,'0.Productos'!$A$3:$GG$587,'0.Productos'!CO$1+1,0),"")</f>
        <v/>
      </c>
      <c r="AX306" s="133" t="str">
        <f>IF($A306&lt;&gt;0,VLOOKUP($A306,'0.Productos'!$A$3:$GG$587,'0.Productos'!CP$1+1,0),"")</f>
        <v/>
      </c>
      <c r="AY306" s="133" t="str">
        <f>IF($A306&lt;&gt;0,VLOOKUP($A306,'0.Productos'!$A$3:$GG$587,'0.Productos'!CQ$1+1,0),"")</f>
        <v/>
      </c>
      <c r="AZ306" s="133" t="str">
        <f>IF($A306&lt;&gt;0,VLOOKUP($A306,'0.Productos'!$A$3:$GG$587,'0.Productos'!CR$1+1,0),"")</f>
        <v/>
      </c>
      <c r="BA306" s="133" t="str">
        <f>IF($A306&lt;&gt;0,VLOOKUP($A306,'0.Productos'!$A$3:$GG$587,'0.Productos'!CS$1+1,0),"")</f>
        <v/>
      </c>
      <c r="BB306" s="133" t="str">
        <f>IF($A306&lt;&gt;0,VLOOKUP($A306,'0.Productos'!$A$3:$GG$587,'0.Productos'!CT$1+1,0),"")</f>
        <v/>
      </c>
      <c r="BC306" s="133" t="str">
        <f>IF($A306&lt;&gt;0,VLOOKUP($A306,'0.Productos'!$A$3:$GG$587,'0.Productos'!CU$1+1,0),"")</f>
        <v/>
      </c>
      <c r="BD306" s="133" t="str">
        <f>IF($A306&lt;&gt;0,VLOOKUP($A306,'0.Productos'!$A$3:$GG$587,'0.Productos'!CV$1+1,0),"")</f>
        <v/>
      </c>
      <c r="BE306" s="133" t="str">
        <f>IF($A306&lt;&gt;0,VLOOKUP($A306,'0.Productos'!$A$3:$GG$587,'0.Productos'!CW$1+1,0),"")</f>
        <v/>
      </c>
      <c r="BF306" s="133" t="str">
        <f>IF($A306&lt;&gt;0,VLOOKUP($A306,'0.Productos'!$A$3:$GG$587,'0.Productos'!CX$1+1,0),"")</f>
        <v/>
      </c>
      <c r="BG306" s="133" t="str">
        <f>IF($A306&lt;&gt;0,VLOOKUP($A306,'0.Productos'!$A$3:$GG$587,'0.Productos'!CY$1+1,0),"")</f>
        <v/>
      </c>
      <c r="BH306" s="133" t="str">
        <f>IF($A306&lt;&gt;0,VLOOKUP($A306,'0.Productos'!$A$3:$GG$587,'0.Productos'!CZ$1+1,0),"")</f>
        <v/>
      </c>
      <c r="BI306" s="133" t="str">
        <f>IF($A306&lt;&gt;0,VLOOKUP($A306,'0.Productos'!$A$3:$GG$587,'0.Productos'!DA$1+1,0),"")</f>
        <v/>
      </c>
      <c r="BJ306" s="133" t="str">
        <f>IF($A306&lt;&gt;0,VLOOKUP($A306,'0.Productos'!$A$3:$GG$587,'0.Productos'!DB$1+1,0),"")</f>
        <v/>
      </c>
      <c r="BK306" s="133" t="str">
        <f>IF($A306&lt;&gt;0,VLOOKUP($A306,'0.Productos'!$A$3:$GG$587,'0.Productos'!DC$1+1,0),"")</f>
        <v/>
      </c>
      <c r="BL306" s="133" t="str">
        <f>IF($A306&lt;&gt;0,VLOOKUP($A306,'0.Productos'!$A$3:$GG$587,'0.Productos'!DD$1+1,0),"")</f>
        <v/>
      </c>
      <c r="BM306" s="133" t="str">
        <f>IF($A306&lt;&gt;0,VLOOKUP($A306,'0.Productos'!$A$3:$GG$587,'0.Productos'!DE$1+1,0),"")</f>
        <v/>
      </c>
      <c r="BN306" s="133" t="str">
        <f>IF($A306&lt;&gt;0,VLOOKUP($A306,'0.Productos'!$A$3:$GG$587,'0.Productos'!DF$1+1,0),"")</f>
        <v/>
      </c>
      <c r="BO306" s="133" t="str">
        <f>IF($A306&lt;&gt;0,VLOOKUP($A306,'0.Productos'!$A$3:$GG$587,'0.Productos'!DG$1+1,0),"")</f>
        <v/>
      </c>
      <c r="BP306" s="133" t="str">
        <f>IF($A306&lt;&gt;0,VLOOKUP($A306,'0.Productos'!$A$3:$GG$587,'0.Productos'!DH$1+1,0),"")</f>
        <v/>
      </c>
      <c r="BQ306" s="133" t="str">
        <f>IF($A306&lt;&gt;0,VLOOKUP($A306,'0.Productos'!$A$3:$GG$587,'0.Productos'!DI$1+1,0),"")</f>
        <v/>
      </c>
      <c r="BR306" s="133" t="str">
        <f>IF($A306&lt;&gt;0,VLOOKUP($A306,'0.Productos'!$A$3:$GG$587,'0.Productos'!DJ$1+1,0),"")</f>
        <v/>
      </c>
      <c r="BS306" s="133" t="str">
        <f>IF($A306&lt;&gt;0,VLOOKUP($A306,'0.Productos'!$A$3:$GG$587,'0.Productos'!DK$1+1,0),"")</f>
        <v/>
      </c>
      <c r="BT306" s="133" t="str">
        <f>IF($A306&lt;&gt;0,VLOOKUP($A306,'0.Productos'!$A$3:$GG$587,'0.Productos'!DL$1+1,0),"")</f>
        <v/>
      </c>
    </row>
    <row r="307" spans="1:72" x14ac:dyDescent="0.25">
      <c r="A307" s="17">
        <f>'0.Consolidado general'!A307</f>
        <v>0</v>
      </c>
      <c r="B307" s="133" t="str">
        <f>IF($A307&lt;&gt;0,VLOOKUP($A307,'0.Productos'!$A$3:$GG$587,'0.Productos'!AT$1+1,0),"")</f>
        <v/>
      </c>
      <c r="C307" s="133" t="str">
        <f>IF($A307&lt;&gt;0,VLOOKUP($A307,'0.Productos'!$A$3:$GG$587,'0.Productos'!AU$1+1,0),"")</f>
        <v/>
      </c>
      <c r="D307" s="133" t="str">
        <f>IF($A307&lt;&gt;0,VLOOKUP($A307,'0.Productos'!$A$3:$GG$587,'0.Productos'!AV$1+1,0),"")</f>
        <v/>
      </c>
      <c r="E307" s="133" t="str">
        <f>IF($A307&lt;&gt;0,VLOOKUP($A307,'0.Productos'!$A$3:$GG$587,'0.Productos'!AW$1+1,0),"")</f>
        <v/>
      </c>
      <c r="F307" s="133" t="str">
        <f>IF($A307&lt;&gt;0,VLOOKUP($A307,'0.Productos'!$A$3:$GG$587,'0.Productos'!AX$1+1,0),"")</f>
        <v/>
      </c>
      <c r="G307" s="133" t="str">
        <f>IF($A307&lt;&gt;0,VLOOKUP($A307,'0.Productos'!$A$3:$GG$587,'0.Productos'!AY$1+1,0),"")</f>
        <v/>
      </c>
      <c r="H307" s="133" t="str">
        <f>IF($A307&lt;&gt;0,VLOOKUP($A307,'0.Productos'!$A$3:$GG$587,'0.Productos'!AZ$1+1,0),"")</f>
        <v/>
      </c>
      <c r="I307" s="133" t="str">
        <f>IF($A307&lt;&gt;0,VLOOKUP($A307,'0.Productos'!$A$3:$GG$587,'0.Productos'!BA$1+1,0),"")</f>
        <v/>
      </c>
      <c r="J307" s="133" t="str">
        <f>IF($A307&lt;&gt;0,VLOOKUP($A307,'0.Productos'!$A$3:$GG$587,'0.Productos'!BB$1+1,0),"")</f>
        <v/>
      </c>
      <c r="K307" s="133" t="str">
        <f>IF($A307&lt;&gt;0,VLOOKUP($A307,'0.Productos'!$A$3:$GG$587,'0.Productos'!BC$1+1,0),"")</f>
        <v/>
      </c>
      <c r="L307" s="133" t="str">
        <f>IF($A307&lt;&gt;0,VLOOKUP($A307,'0.Productos'!$A$3:$GG$587,'0.Productos'!BD$1+1,0),"")</f>
        <v/>
      </c>
      <c r="M307" s="133" t="str">
        <f>IF($A307&lt;&gt;0,VLOOKUP($A307,'0.Productos'!$A$3:$GG$587,'0.Productos'!BE$1+1,0),"")</f>
        <v/>
      </c>
      <c r="N307" s="133" t="str">
        <f>IF($A307&lt;&gt;0,VLOOKUP($A307,'0.Productos'!$A$3:$GG$587,'0.Productos'!BF$1+1,0),"")</f>
        <v/>
      </c>
      <c r="O307" s="133" t="str">
        <f>IF($A307&lt;&gt;0,VLOOKUP($A307,'0.Productos'!$A$3:$GG$587,'0.Productos'!BG$1+1,0),"")</f>
        <v/>
      </c>
      <c r="P307" s="133" t="str">
        <f>IF($A307&lt;&gt;0,VLOOKUP($A307,'0.Productos'!$A$3:$GG$587,'0.Productos'!BH$1+1,0),"")</f>
        <v/>
      </c>
      <c r="Q307" s="133" t="str">
        <f>IF($A307&lt;&gt;0,VLOOKUP($A307,'0.Productos'!$A$3:$GG$587,'0.Productos'!BI$1+1,0),"")</f>
        <v/>
      </c>
      <c r="R307" s="133" t="str">
        <f>IF($A307&lt;&gt;0,VLOOKUP($A307,'0.Productos'!$A$3:$GG$587,'0.Productos'!BJ$1+1,0),"")</f>
        <v/>
      </c>
      <c r="S307" s="133" t="str">
        <f>IF($A307&lt;&gt;0,VLOOKUP($A307,'0.Productos'!$A$3:$GG$587,'0.Productos'!BK$1+1,0),"")</f>
        <v/>
      </c>
      <c r="T307" s="133" t="str">
        <f>IF($A307&lt;&gt;0,VLOOKUP($A307,'0.Productos'!$A$3:$GG$587,'0.Productos'!BL$1+1,0),"")</f>
        <v/>
      </c>
      <c r="U307" s="133" t="str">
        <f>IF($A307&lt;&gt;0,VLOOKUP($A307,'0.Productos'!$A$3:$GG$587,'0.Productos'!BM$1+1,0),"")</f>
        <v/>
      </c>
      <c r="V307" s="133" t="str">
        <f>IF($A307&lt;&gt;0,VLOOKUP($A307,'0.Productos'!$A$3:$GG$587,'0.Productos'!BN$1+1,0),"")</f>
        <v/>
      </c>
      <c r="W307" s="133" t="str">
        <f>IF($A307&lt;&gt;0,VLOOKUP($A307,'0.Productos'!$A$3:$GG$587,'0.Productos'!BO$1+1,0),"")</f>
        <v/>
      </c>
      <c r="X307" s="133" t="str">
        <f>IF($A307&lt;&gt;0,VLOOKUP($A307,'0.Productos'!$A$3:$GG$587,'0.Productos'!BP$1+1,0),"")</f>
        <v/>
      </c>
      <c r="Y307" s="133" t="str">
        <f>IF($A307&lt;&gt;0,VLOOKUP($A307,'0.Productos'!$A$3:$GG$587,'0.Productos'!BQ$1+1,0),"")</f>
        <v/>
      </c>
      <c r="Z307" s="133" t="str">
        <f>IF($A307&lt;&gt;0,VLOOKUP($A307,'0.Productos'!$A$3:$GG$587,'0.Productos'!BR$1+1,0),"")</f>
        <v/>
      </c>
      <c r="AA307" s="133" t="str">
        <f>IF($A307&lt;&gt;0,VLOOKUP($A307,'0.Productos'!$A$3:$GG$587,'0.Productos'!BS$1+1,0),"")</f>
        <v/>
      </c>
      <c r="AB307" s="133" t="str">
        <f>IF($A307&lt;&gt;0,VLOOKUP($A307,'0.Productos'!$A$3:$GG$587,'0.Productos'!BT$1+1,0),"")</f>
        <v/>
      </c>
      <c r="AC307" s="133" t="str">
        <f>IF($A307&lt;&gt;0,VLOOKUP($A307,'0.Productos'!$A$3:$GG$587,'0.Productos'!BU$1+1,0),"")</f>
        <v/>
      </c>
      <c r="AD307" s="133" t="str">
        <f>IF($A307&lt;&gt;0,VLOOKUP($A307,'0.Productos'!$A$3:$GG$587,'0.Productos'!BV$1+1,0),"")</f>
        <v/>
      </c>
      <c r="AE307" s="133" t="str">
        <f>IF($A307&lt;&gt;0,VLOOKUP($A307,'0.Productos'!$A$3:$GG$587,'0.Productos'!BW$1+1,0),"")</f>
        <v/>
      </c>
      <c r="AF307" s="133" t="str">
        <f>IF($A307&lt;&gt;0,VLOOKUP($A307,'0.Productos'!$A$3:$GG$587,'0.Productos'!BX$1+1,0),"")</f>
        <v/>
      </c>
      <c r="AG307" s="133" t="str">
        <f>IF($A307&lt;&gt;0,VLOOKUP($A307,'0.Productos'!$A$3:$GG$587,'0.Productos'!BY$1+1,0),"")</f>
        <v/>
      </c>
      <c r="AH307" s="133" t="str">
        <f>IF($A307&lt;&gt;0,VLOOKUP($A307,'0.Productos'!$A$3:$GG$587,'0.Productos'!BZ$1+1,0),"")</f>
        <v/>
      </c>
      <c r="AI307" s="133" t="str">
        <f>IF($A307&lt;&gt;0,VLOOKUP($A307,'0.Productos'!$A$3:$GG$587,'0.Productos'!CA$1+1,0),"")</f>
        <v/>
      </c>
      <c r="AJ307" s="133" t="str">
        <f>IF($A307&lt;&gt;0,VLOOKUP($A307,'0.Productos'!$A$3:$GG$587,'0.Productos'!CB$1+1,0),"")</f>
        <v/>
      </c>
      <c r="AK307" s="133" t="str">
        <f>IF($A307&lt;&gt;0,VLOOKUP($A307,'0.Productos'!$A$3:$GG$587,'0.Productos'!CC$1+1,0),"")</f>
        <v/>
      </c>
      <c r="AL307" s="133" t="str">
        <f>IF($A307&lt;&gt;0,VLOOKUP($A307,'0.Productos'!$A$3:$GG$587,'0.Productos'!CD$1+1,0),"")</f>
        <v/>
      </c>
      <c r="AM307" s="133" t="str">
        <f>IF($A307&lt;&gt;0,VLOOKUP($A307,'0.Productos'!$A$3:$GG$587,'0.Productos'!CE$1+1,0),"")</f>
        <v/>
      </c>
      <c r="AN307" s="133" t="str">
        <f>IF($A307&lt;&gt;0,VLOOKUP($A307,'0.Productos'!$A$3:$GG$587,'0.Productos'!CF$1+1,0),"")</f>
        <v/>
      </c>
      <c r="AO307" s="133" t="str">
        <f>IF($A307&lt;&gt;0,VLOOKUP($A307,'0.Productos'!$A$3:$GG$587,'0.Productos'!CG$1+1,0),"")</f>
        <v/>
      </c>
      <c r="AP307" s="133" t="str">
        <f>IF($A307&lt;&gt;0,VLOOKUP($A307,'0.Productos'!$A$3:$GG$587,'0.Productos'!CH$1+1,0),"")</f>
        <v/>
      </c>
      <c r="AQ307" s="133" t="str">
        <f>IF($A307&lt;&gt;0,VLOOKUP($A307,'0.Productos'!$A$3:$GG$587,'0.Productos'!CI$1+1,0),"")</f>
        <v/>
      </c>
      <c r="AR307" s="133" t="str">
        <f>IF($A307&lt;&gt;0,VLOOKUP($A307,'0.Productos'!$A$3:$GG$587,'0.Productos'!CJ$1+1,0),"")</f>
        <v/>
      </c>
      <c r="AS307" s="133" t="str">
        <f>IF($A307&lt;&gt;0,VLOOKUP($A307,'0.Productos'!$A$3:$GG$587,'0.Productos'!CK$1+1,0),"")</f>
        <v/>
      </c>
      <c r="AT307" s="133" t="str">
        <f>IF($A307&lt;&gt;0,VLOOKUP($A307,'0.Productos'!$A$3:$GG$587,'0.Productos'!CL$1+1,0),"")</f>
        <v/>
      </c>
      <c r="AU307" s="133" t="str">
        <f>IF($A307&lt;&gt;0,VLOOKUP($A307,'0.Productos'!$A$3:$GG$587,'0.Productos'!CM$1+1,0),"")</f>
        <v/>
      </c>
      <c r="AV307" s="133" t="str">
        <f>IF($A307&lt;&gt;0,VLOOKUP($A307,'0.Productos'!$A$3:$GG$587,'0.Productos'!CN$1+1,0),"")</f>
        <v/>
      </c>
      <c r="AW307" s="133" t="str">
        <f>IF($A307&lt;&gt;0,VLOOKUP($A307,'0.Productos'!$A$3:$GG$587,'0.Productos'!CO$1+1,0),"")</f>
        <v/>
      </c>
      <c r="AX307" s="133" t="str">
        <f>IF($A307&lt;&gt;0,VLOOKUP($A307,'0.Productos'!$A$3:$GG$587,'0.Productos'!CP$1+1,0),"")</f>
        <v/>
      </c>
      <c r="AY307" s="133" t="str">
        <f>IF($A307&lt;&gt;0,VLOOKUP($A307,'0.Productos'!$A$3:$GG$587,'0.Productos'!CQ$1+1,0),"")</f>
        <v/>
      </c>
      <c r="AZ307" s="133" t="str">
        <f>IF($A307&lt;&gt;0,VLOOKUP($A307,'0.Productos'!$A$3:$GG$587,'0.Productos'!CR$1+1,0),"")</f>
        <v/>
      </c>
      <c r="BA307" s="133" t="str">
        <f>IF($A307&lt;&gt;0,VLOOKUP($A307,'0.Productos'!$A$3:$GG$587,'0.Productos'!CS$1+1,0),"")</f>
        <v/>
      </c>
      <c r="BB307" s="133" t="str">
        <f>IF($A307&lt;&gt;0,VLOOKUP($A307,'0.Productos'!$A$3:$GG$587,'0.Productos'!CT$1+1,0),"")</f>
        <v/>
      </c>
      <c r="BC307" s="133" t="str">
        <f>IF($A307&lt;&gt;0,VLOOKUP($A307,'0.Productos'!$A$3:$GG$587,'0.Productos'!CU$1+1,0),"")</f>
        <v/>
      </c>
      <c r="BD307" s="133" t="str">
        <f>IF($A307&lt;&gt;0,VLOOKUP($A307,'0.Productos'!$A$3:$GG$587,'0.Productos'!CV$1+1,0),"")</f>
        <v/>
      </c>
      <c r="BE307" s="133" t="str">
        <f>IF($A307&lt;&gt;0,VLOOKUP($A307,'0.Productos'!$A$3:$GG$587,'0.Productos'!CW$1+1,0),"")</f>
        <v/>
      </c>
      <c r="BF307" s="133" t="str">
        <f>IF($A307&lt;&gt;0,VLOOKUP($A307,'0.Productos'!$A$3:$GG$587,'0.Productos'!CX$1+1,0),"")</f>
        <v/>
      </c>
      <c r="BG307" s="133" t="str">
        <f>IF($A307&lt;&gt;0,VLOOKUP($A307,'0.Productos'!$A$3:$GG$587,'0.Productos'!CY$1+1,0),"")</f>
        <v/>
      </c>
      <c r="BH307" s="133" t="str">
        <f>IF($A307&lt;&gt;0,VLOOKUP($A307,'0.Productos'!$A$3:$GG$587,'0.Productos'!CZ$1+1,0),"")</f>
        <v/>
      </c>
      <c r="BI307" s="133" t="str">
        <f>IF($A307&lt;&gt;0,VLOOKUP($A307,'0.Productos'!$A$3:$GG$587,'0.Productos'!DA$1+1,0),"")</f>
        <v/>
      </c>
      <c r="BJ307" s="133" t="str">
        <f>IF($A307&lt;&gt;0,VLOOKUP($A307,'0.Productos'!$A$3:$GG$587,'0.Productos'!DB$1+1,0),"")</f>
        <v/>
      </c>
      <c r="BK307" s="133" t="str">
        <f>IF($A307&lt;&gt;0,VLOOKUP($A307,'0.Productos'!$A$3:$GG$587,'0.Productos'!DC$1+1,0),"")</f>
        <v/>
      </c>
      <c r="BL307" s="133" t="str">
        <f>IF($A307&lt;&gt;0,VLOOKUP($A307,'0.Productos'!$A$3:$GG$587,'0.Productos'!DD$1+1,0),"")</f>
        <v/>
      </c>
      <c r="BM307" s="133" t="str">
        <f>IF($A307&lt;&gt;0,VLOOKUP($A307,'0.Productos'!$A$3:$GG$587,'0.Productos'!DE$1+1,0),"")</f>
        <v/>
      </c>
      <c r="BN307" s="133" t="str">
        <f>IF($A307&lt;&gt;0,VLOOKUP($A307,'0.Productos'!$A$3:$GG$587,'0.Productos'!DF$1+1,0),"")</f>
        <v/>
      </c>
      <c r="BO307" s="133" t="str">
        <f>IF($A307&lt;&gt;0,VLOOKUP($A307,'0.Productos'!$A$3:$GG$587,'0.Productos'!DG$1+1,0),"")</f>
        <v/>
      </c>
      <c r="BP307" s="133" t="str">
        <f>IF($A307&lt;&gt;0,VLOOKUP($A307,'0.Productos'!$A$3:$GG$587,'0.Productos'!DH$1+1,0),"")</f>
        <v/>
      </c>
      <c r="BQ307" s="133" t="str">
        <f>IF($A307&lt;&gt;0,VLOOKUP($A307,'0.Productos'!$A$3:$GG$587,'0.Productos'!DI$1+1,0),"")</f>
        <v/>
      </c>
      <c r="BR307" s="133" t="str">
        <f>IF($A307&lt;&gt;0,VLOOKUP($A307,'0.Productos'!$A$3:$GG$587,'0.Productos'!DJ$1+1,0),"")</f>
        <v/>
      </c>
      <c r="BS307" s="133" t="str">
        <f>IF($A307&lt;&gt;0,VLOOKUP($A307,'0.Productos'!$A$3:$GG$587,'0.Productos'!DK$1+1,0),"")</f>
        <v/>
      </c>
      <c r="BT307" s="133" t="str">
        <f>IF($A307&lt;&gt;0,VLOOKUP($A307,'0.Productos'!$A$3:$GG$587,'0.Productos'!DL$1+1,0),"")</f>
        <v/>
      </c>
    </row>
    <row r="308" spans="1:72" x14ac:dyDescent="0.25">
      <c r="A308" s="17">
        <f>'0.Consolidado general'!A308</f>
        <v>0</v>
      </c>
      <c r="B308" s="133" t="str">
        <f>IF($A308&lt;&gt;0,VLOOKUP($A308,'0.Productos'!$A$3:$GG$587,'0.Productos'!AT$1+1,0),"")</f>
        <v/>
      </c>
      <c r="C308" s="133" t="str">
        <f>IF($A308&lt;&gt;0,VLOOKUP($A308,'0.Productos'!$A$3:$GG$587,'0.Productos'!AU$1+1,0),"")</f>
        <v/>
      </c>
      <c r="D308" s="133" t="str">
        <f>IF($A308&lt;&gt;0,VLOOKUP($A308,'0.Productos'!$A$3:$GG$587,'0.Productos'!AV$1+1,0),"")</f>
        <v/>
      </c>
      <c r="E308" s="133" t="str">
        <f>IF($A308&lt;&gt;0,VLOOKUP($A308,'0.Productos'!$A$3:$GG$587,'0.Productos'!AW$1+1,0),"")</f>
        <v/>
      </c>
      <c r="F308" s="133" t="str">
        <f>IF($A308&lt;&gt;0,VLOOKUP($A308,'0.Productos'!$A$3:$GG$587,'0.Productos'!AX$1+1,0),"")</f>
        <v/>
      </c>
      <c r="G308" s="133" t="str">
        <f>IF($A308&lt;&gt;0,VLOOKUP($A308,'0.Productos'!$A$3:$GG$587,'0.Productos'!AY$1+1,0),"")</f>
        <v/>
      </c>
      <c r="H308" s="133" t="str">
        <f>IF($A308&lt;&gt;0,VLOOKUP($A308,'0.Productos'!$A$3:$GG$587,'0.Productos'!AZ$1+1,0),"")</f>
        <v/>
      </c>
      <c r="I308" s="133" t="str">
        <f>IF($A308&lt;&gt;0,VLOOKUP($A308,'0.Productos'!$A$3:$GG$587,'0.Productos'!BA$1+1,0),"")</f>
        <v/>
      </c>
      <c r="J308" s="133" t="str">
        <f>IF($A308&lt;&gt;0,VLOOKUP($A308,'0.Productos'!$A$3:$GG$587,'0.Productos'!BB$1+1,0),"")</f>
        <v/>
      </c>
      <c r="K308" s="133" t="str">
        <f>IF($A308&lt;&gt;0,VLOOKUP($A308,'0.Productos'!$A$3:$GG$587,'0.Productos'!BC$1+1,0),"")</f>
        <v/>
      </c>
      <c r="L308" s="133" t="str">
        <f>IF($A308&lt;&gt;0,VLOOKUP($A308,'0.Productos'!$A$3:$GG$587,'0.Productos'!BD$1+1,0),"")</f>
        <v/>
      </c>
      <c r="M308" s="133" t="str">
        <f>IF($A308&lt;&gt;0,VLOOKUP($A308,'0.Productos'!$A$3:$GG$587,'0.Productos'!BE$1+1,0),"")</f>
        <v/>
      </c>
      <c r="N308" s="133" t="str">
        <f>IF($A308&lt;&gt;0,VLOOKUP($A308,'0.Productos'!$A$3:$GG$587,'0.Productos'!BF$1+1,0),"")</f>
        <v/>
      </c>
      <c r="O308" s="133" t="str">
        <f>IF($A308&lt;&gt;0,VLOOKUP($A308,'0.Productos'!$A$3:$GG$587,'0.Productos'!BG$1+1,0),"")</f>
        <v/>
      </c>
      <c r="P308" s="133" t="str">
        <f>IF($A308&lt;&gt;0,VLOOKUP($A308,'0.Productos'!$A$3:$GG$587,'0.Productos'!BH$1+1,0),"")</f>
        <v/>
      </c>
      <c r="Q308" s="133" t="str">
        <f>IF($A308&lt;&gt;0,VLOOKUP($A308,'0.Productos'!$A$3:$GG$587,'0.Productos'!BI$1+1,0),"")</f>
        <v/>
      </c>
      <c r="R308" s="133" t="str">
        <f>IF($A308&lt;&gt;0,VLOOKUP($A308,'0.Productos'!$A$3:$GG$587,'0.Productos'!BJ$1+1,0),"")</f>
        <v/>
      </c>
      <c r="S308" s="133" t="str">
        <f>IF($A308&lt;&gt;0,VLOOKUP($A308,'0.Productos'!$A$3:$GG$587,'0.Productos'!BK$1+1,0),"")</f>
        <v/>
      </c>
      <c r="T308" s="133" t="str">
        <f>IF($A308&lt;&gt;0,VLOOKUP($A308,'0.Productos'!$A$3:$GG$587,'0.Productos'!BL$1+1,0),"")</f>
        <v/>
      </c>
      <c r="U308" s="133" t="str">
        <f>IF($A308&lt;&gt;0,VLOOKUP($A308,'0.Productos'!$A$3:$GG$587,'0.Productos'!BM$1+1,0),"")</f>
        <v/>
      </c>
      <c r="V308" s="133" t="str">
        <f>IF($A308&lt;&gt;0,VLOOKUP($A308,'0.Productos'!$A$3:$GG$587,'0.Productos'!BN$1+1,0),"")</f>
        <v/>
      </c>
      <c r="W308" s="133" t="str">
        <f>IF($A308&lt;&gt;0,VLOOKUP($A308,'0.Productos'!$A$3:$GG$587,'0.Productos'!BO$1+1,0),"")</f>
        <v/>
      </c>
      <c r="X308" s="133" t="str">
        <f>IF($A308&lt;&gt;0,VLOOKUP($A308,'0.Productos'!$A$3:$GG$587,'0.Productos'!BP$1+1,0),"")</f>
        <v/>
      </c>
      <c r="Y308" s="133" t="str">
        <f>IF($A308&lt;&gt;0,VLOOKUP($A308,'0.Productos'!$A$3:$GG$587,'0.Productos'!BQ$1+1,0),"")</f>
        <v/>
      </c>
      <c r="Z308" s="133" t="str">
        <f>IF($A308&lt;&gt;0,VLOOKUP($A308,'0.Productos'!$A$3:$GG$587,'0.Productos'!BR$1+1,0),"")</f>
        <v/>
      </c>
      <c r="AA308" s="133" t="str">
        <f>IF($A308&lt;&gt;0,VLOOKUP($A308,'0.Productos'!$A$3:$GG$587,'0.Productos'!BS$1+1,0),"")</f>
        <v/>
      </c>
      <c r="AB308" s="133" t="str">
        <f>IF($A308&lt;&gt;0,VLOOKUP($A308,'0.Productos'!$A$3:$GG$587,'0.Productos'!BT$1+1,0),"")</f>
        <v/>
      </c>
      <c r="AC308" s="133" t="str">
        <f>IF($A308&lt;&gt;0,VLOOKUP($A308,'0.Productos'!$A$3:$GG$587,'0.Productos'!BU$1+1,0),"")</f>
        <v/>
      </c>
      <c r="AD308" s="133" t="str">
        <f>IF($A308&lt;&gt;0,VLOOKUP($A308,'0.Productos'!$A$3:$GG$587,'0.Productos'!BV$1+1,0),"")</f>
        <v/>
      </c>
      <c r="AE308" s="133" t="str">
        <f>IF($A308&lt;&gt;0,VLOOKUP($A308,'0.Productos'!$A$3:$GG$587,'0.Productos'!BW$1+1,0),"")</f>
        <v/>
      </c>
      <c r="AF308" s="133" t="str">
        <f>IF($A308&lt;&gt;0,VLOOKUP($A308,'0.Productos'!$A$3:$GG$587,'0.Productos'!BX$1+1,0),"")</f>
        <v/>
      </c>
      <c r="AG308" s="133" t="str">
        <f>IF($A308&lt;&gt;0,VLOOKUP($A308,'0.Productos'!$A$3:$GG$587,'0.Productos'!BY$1+1,0),"")</f>
        <v/>
      </c>
      <c r="AH308" s="133" t="str">
        <f>IF($A308&lt;&gt;0,VLOOKUP($A308,'0.Productos'!$A$3:$GG$587,'0.Productos'!BZ$1+1,0),"")</f>
        <v/>
      </c>
      <c r="AI308" s="133" t="str">
        <f>IF($A308&lt;&gt;0,VLOOKUP($A308,'0.Productos'!$A$3:$GG$587,'0.Productos'!CA$1+1,0),"")</f>
        <v/>
      </c>
      <c r="AJ308" s="133" t="str">
        <f>IF($A308&lt;&gt;0,VLOOKUP($A308,'0.Productos'!$A$3:$GG$587,'0.Productos'!CB$1+1,0),"")</f>
        <v/>
      </c>
      <c r="AK308" s="133" t="str">
        <f>IF($A308&lt;&gt;0,VLOOKUP($A308,'0.Productos'!$A$3:$GG$587,'0.Productos'!CC$1+1,0),"")</f>
        <v/>
      </c>
      <c r="AL308" s="133" t="str">
        <f>IF($A308&lt;&gt;0,VLOOKUP($A308,'0.Productos'!$A$3:$GG$587,'0.Productos'!CD$1+1,0),"")</f>
        <v/>
      </c>
      <c r="AM308" s="133" t="str">
        <f>IF($A308&lt;&gt;0,VLOOKUP($A308,'0.Productos'!$A$3:$GG$587,'0.Productos'!CE$1+1,0),"")</f>
        <v/>
      </c>
      <c r="AN308" s="133" t="str">
        <f>IF($A308&lt;&gt;0,VLOOKUP($A308,'0.Productos'!$A$3:$GG$587,'0.Productos'!CF$1+1,0),"")</f>
        <v/>
      </c>
      <c r="AO308" s="133" t="str">
        <f>IF($A308&lt;&gt;0,VLOOKUP($A308,'0.Productos'!$A$3:$GG$587,'0.Productos'!CG$1+1,0),"")</f>
        <v/>
      </c>
      <c r="AP308" s="133" t="str">
        <f>IF($A308&lt;&gt;0,VLOOKUP($A308,'0.Productos'!$A$3:$GG$587,'0.Productos'!CH$1+1,0),"")</f>
        <v/>
      </c>
      <c r="AQ308" s="133" t="str">
        <f>IF($A308&lt;&gt;0,VLOOKUP($A308,'0.Productos'!$A$3:$GG$587,'0.Productos'!CI$1+1,0),"")</f>
        <v/>
      </c>
      <c r="AR308" s="133" t="str">
        <f>IF($A308&lt;&gt;0,VLOOKUP($A308,'0.Productos'!$A$3:$GG$587,'0.Productos'!CJ$1+1,0),"")</f>
        <v/>
      </c>
      <c r="AS308" s="133" t="str">
        <f>IF($A308&lt;&gt;0,VLOOKUP($A308,'0.Productos'!$A$3:$GG$587,'0.Productos'!CK$1+1,0),"")</f>
        <v/>
      </c>
      <c r="AT308" s="133" t="str">
        <f>IF($A308&lt;&gt;0,VLOOKUP($A308,'0.Productos'!$A$3:$GG$587,'0.Productos'!CL$1+1,0),"")</f>
        <v/>
      </c>
      <c r="AU308" s="133" t="str">
        <f>IF($A308&lt;&gt;0,VLOOKUP($A308,'0.Productos'!$A$3:$GG$587,'0.Productos'!CM$1+1,0),"")</f>
        <v/>
      </c>
      <c r="AV308" s="133" t="str">
        <f>IF($A308&lt;&gt;0,VLOOKUP($A308,'0.Productos'!$A$3:$GG$587,'0.Productos'!CN$1+1,0),"")</f>
        <v/>
      </c>
      <c r="AW308" s="133" t="str">
        <f>IF($A308&lt;&gt;0,VLOOKUP($A308,'0.Productos'!$A$3:$GG$587,'0.Productos'!CO$1+1,0),"")</f>
        <v/>
      </c>
      <c r="AX308" s="133" t="str">
        <f>IF($A308&lt;&gt;0,VLOOKUP($A308,'0.Productos'!$A$3:$GG$587,'0.Productos'!CP$1+1,0),"")</f>
        <v/>
      </c>
      <c r="AY308" s="133" t="str">
        <f>IF($A308&lt;&gt;0,VLOOKUP($A308,'0.Productos'!$A$3:$GG$587,'0.Productos'!CQ$1+1,0),"")</f>
        <v/>
      </c>
      <c r="AZ308" s="133" t="str">
        <f>IF($A308&lt;&gt;0,VLOOKUP($A308,'0.Productos'!$A$3:$GG$587,'0.Productos'!CR$1+1,0),"")</f>
        <v/>
      </c>
      <c r="BA308" s="133" t="str">
        <f>IF($A308&lt;&gt;0,VLOOKUP($A308,'0.Productos'!$A$3:$GG$587,'0.Productos'!CS$1+1,0),"")</f>
        <v/>
      </c>
      <c r="BB308" s="133" t="str">
        <f>IF($A308&lt;&gt;0,VLOOKUP($A308,'0.Productos'!$A$3:$GG$587,'0.Productos'!CT$1+1,0),"")</f>
        <v/>
      </c>
      <c r="BC308" s="133" t="str">
        <f>IF($A308&lt;&gt;0,VLOOKUP($A308,'0.Productos'!$A$3:$GG$587,'0.Productos'!CU$1+1,0),"")</f>
        <v/>
      </c>
      <c r="BD308" s="133" t="str">
        <f>IF($A308&lt;&gt;0,VLOOKUP($A308,'0.Productos'!$A$3:$GG$587,'0.Productos'!CV$1+1,0),"")</f>
        <v/>
      </c>
      <c r="BE308" s="133" t="str">
        <f>IF($A308&lt;&gt;0,VLOOKUP($A308,'0.Productos'!$A$3:$GG$587,'0.Productos'!CW$1+1,0),"")</f>
        <v/>
      </c>
      <c r="BF308" s="133" t="str">
        <f>IF($A308&lt;&gt;0,VLOOKUP($A308,'0.Productos'!$A$3:$GG$587,'0.Productos'!CX$1+1,0),"")</f>
        <v/>
      </c>
      <c r="BG308" s="133" t="str">
        <f>IF($A308&lt;&gt;0,VLOOKUP($A308,'0.Productos'!$A$3:$GG$587,'0.Productos'!CY$1+1,0),"")</f>
        <v/>
      </c>
      <c r="BH308" s="133" t="str">
        <f>IF($A308&lt;&gt;0,VLOOKUP($A308,'0.Productos'!$A$3:$GG$587,'0.Productos'!CZ$1+1,0),"")</f>
        <v/>
      </c>
      <c r="BI308" s="133" t="str">
        <f>IF($A308&lt;&gt;0,VLOOKUP($A308,'0.Productos'!$A$3:$GG$587,'0.Productos'!DA$1+1,0),"")</f>
        <v/>
      </c>
      <c r="BJ308" s="133" t="str">
        <f>IF($A308&lt;&gt;0,VLOOKUP($A308,'0.Productos'!$A$3:$GG$587,'0.Productos'!DB$1+1,0),"")</f>
        <v/>
      </c>
      <c r="BK308" s="133" t="str">
        <f>IF($A308&lt;&gt;0,VLOOKUP($A308,'0.Productos'!$A$3:$GG$587,'0.Productos'!DC$1+1,0),"")</f>
        <v/>
      </c>
      <c r="BL308" s="133" t="str">
        <f>IF($A308&lt;&gt;0,VLOOKUP($A308,'0.Productos'!$A$3:$GG$587,'0.Productos'!DD$1+1,0),"")</f>
        <v/>
      </c>
      <c r="BM308" s="133" t="str">
        <f>IF($A308&lt;&gt;0,VLOOKUP($A308,'0.Productos'!$A$3:$GG$587,'0.Productos'!DE$1+1,0),"")</f>
        <v/>
      </c>
      <c r="BN308" s="133" t="str">
        <f>IF($A308&lt;&gt;0,VLOOKUP($A308,'0.Productos'!$A$3:$GG$587,'0.Productos'!DF$1+1,0),"")</f>
        <v/>
      </c>
      <c r="BO308" s="133" t="str">
        <f>IF($A308&lt;&gt;0,VLOOKUP($A308,'0.Productos'!$A$3:$GG$587,'0.Productos'!DG$1+1,0),"")</f>
        <v/>
      </c>
      <c r="BP308" s="133" t="str">
        <f>IF($A308&lt;&gt;0,VLOOKUP($A308,'0.Productos'!$A$3:$GG$587,'0.Productos'!DH$1+1,0),"")</f>
        <v/>
      </c>
      <c r="BQ308" s="133" t="str">
        <f>IF($A308&lt;&gt;0,VLOOKUP($A308,'0.Productos'!$A$3:$GG$587,'0.Productos'!DI$1+1,0),"")</f>
        <v/>
      </c>
      <c r="BR308" s="133" t="str">
        <f>IF($A308&lt;&gt;0,VLOOKUP($A308,'0.Productos'!$A$3:$GG$587,'0.Productos'!DJ$1+1,0),"")</f>
        <v/>
      </c>
      <c r="BS308" s="133" t="str">
        <f>IF($A308&lt;&gt;0,VLOOKUP($A308,'0.Productos'!$A$3:$GG$587,'0.Productos'!DK$1+1,0),"")</f>
        <v/>
      </c>
      <c r="BT308" s="133" t="str">
        <f>IF($A308&lt;&gt;0,VLOOKUP($A308,'0.Productos'!$A$3:$GG$587,'0.Productos'!DL$1+1,0),"")</f>
        <v/>
      </c>
    </row>
    <row r="309" spans="1:72" x14ac:dyDescent="0.25">
      <c r="A309" s="17">
        <f>'0.Consolidado general'!A309</f>
        <v>0</v>
      </c>
      <c r="B309" s="133" t="str">
        <f>IF($A309&lt;&gt;0,VLOOKUP($A309,'0.Productos'!$A$3:$GG$587,'0.Productos'!AT$1+1,0),"")</f>
        <v/>
      </c>
      <c r="C309" s="133" t="str">
        <f>IF($A309&lt;&gt;0,VLOOKUP($A309,'0.Productos'!$A$3:$GG$587,'0.Productos'!AU$1+1,0),"")</f>
        <v/>
      </c>
      <c r="D309" s="133" t="str">
        <f>IF($A309&lt;&gt;0,VLOOKUP($A309,'0.Productos'!$A$3:$GG$587,'0.Productos'!AV$1+1,0),"")</f>
        <v/>
      </c>
      <c r="E309" s="133" t="str">
        <f>IF($A309&lt;&gt;0,VLOOKUP($A309,'0.Productos'!$A$3:$GG$587,'0.Productos'!AW$1+1,0),"")</f>
        <v/>
      </c>
      <c r="F309" s="133" t="str">
        <f>IF($A309&lt;&gt;0,VLOOKUP($A309,'0.Productos'!$A$3:$GG$587,'0.Productos'!AX$1+1,0),"")</f>
        <v/>
      </c>
      <c r="G309" s="133" t="str">
        <f>IF($A309&lt;&gt;0,VLOOKUP($A309,'0.Productos'!$A$3:$GG$587,'0.Productos'!AY$1+1,0),"")</f>
        <v/>
      </c>
      <c r="H309" s="133" t="str">
        <f>IF($A309&lt;&gt;0,VLOOKUP($A309,'0.Productos'!$A$3:$GG$587,'0.Productos'!AZ$1+1,0),"")</f>
        <v/>
      </c>
      <c r="I309" s="133" t="str">
        <f>IF($A309&lt;&gt;0,VLOOKUP($A309,'0.Productos'!$A$3:$GG$587,'0.Productos'!BA$1+1,0),"")</f>
        <v/>
      </c>
      <c r="J309" s="133" t="str">
        <f>IF($A309&lt;&gt;0,VLOOKUP($A309,'0.Productos'!$A$3:$GG$587,'0.Productos'!BB$1+1,0),"")</f>
        <v/>
      </c>
      <c r="K309" s="133" t="str">
        <f>IF($A309&lt;&gt;0,VLOOKUP($A309,'0.Productos'!$A$3:$GG$587,'0.Productos'!BC$1+1,0),"")</f>
        <v/>
      </c>
      <c r="L309" s="133" t="str">
        <f>IF($A309&lt;&gt;0,VLOOKUP($A309,'0.Productos'!$A$3:$GG$587,'0.Productos'!BD$1+1,0),"")</f>
        <v/>
      </c>
      <c r="M309" s="133" t="str">
        <f>IF($A309&lt;&gt;0,VLOOKUP($A309,'0.Productos'!$A$3:$GG$587,'0.Productos'!BE$1+1,0),"")</f>
        <v/>
      </c>
      <c r="N309" s="133" t="str">
        <f>IF($A309&lt;&gt;0,VLOOKUP($A309,'0.Productos'!$A$3:$GG$587,'0.Productos'!BF$1+1,0),"")</f>
        <v/>
      </c>
      <c r="O309" s="133" t="str">
        <f>IF($A309&lt;&gt;0,VLOOKUP($A309,'0.Productos'!$A$3:$GG$587,'0.Productos'!BG$1+1,0),"")</f>
        <v/>
      </c>
      <c r="P309" s="133" t="str">
        <f>IF($A309&lt;&gt;0,VLOOKUP($A309,'0.Productos'!$A$3:$GG$587,'0.Productos'!BH$1+1,0),"")</f>
        <v/>
      </c>
      <c r="Q309" s="133" t="str">
        <f>IF($A309&lt;&gt;0,VLOOKUP($A309,'0.Productos'!$A$3:$GG$587,'0.Productos'!BI$1+1,0),"")</f>
        <v/>
      </c>
      <c r="R309" s="133" t="str">
        <f>IF($A309&lt;&gt;0,VLOOKUP($A309,'0.Productos'!$A$3:$GG$587,'0.Productos'!BJ$1+1,0),"")</f>
        <v/>
      </c>
      <c r="S309" s="133" t="str">
        <f>IF($A309&lt;&gt;0,VLOOKUP($A309,'0.Productos'!$A$3:$GG$587,'0.Productos'!BK$1+1,0),"")</f>
        <v/>
      </c>
      <c r="T309" s="133" t="str">
        <f>IF($A309&lt;&gt;0,VLOOKUP($A309,'0.Productos'!$A$3:$GG$587,'0.Productos'!BL$1+1,0),"")</f>
        <v/>
      </c>
      <c r="U309" s="133" t="str">
        <f>IF($A309&lt;&gt;0,VLOOKUP($A309,'0.Productos'!$A$3:$GG$587,'0.Productos'!BM$1+1,0),"")</f>
        <v/>
      </c>
      <c r="V309" s="133" t="str">
        <f>IF($A309&lt;&gt;0,VLOOKUP($A309,'0.Productos'!$A$3:$GG$587,'0.Productos'!BN$1+1,0),"")</f>
        <v/>
      </c>
      <c r="W309" s="133" t="str">
        <f>IF($A309&lt;&gt;0,VLOOKUP($A309,'0.Productos'!$A$3:$GG$587,'0.Productos'!BO$1+1,0),"")</f>
        <v/>
      </c>
      <c r="X309" s="133" t="str">
        <f>IF($A309&lt;&gt;0,VLOOKUP($A309,'0.Productos'!$A$3:$GG$587,'0.Productos'!BP$1+1,0),"")</f>
        <v/>
      </c>
      <c r="Y309" s="133" t="str">
        <f>IF($A309&lt;&gt;0,VLOOKUP($A309,'0.Productos'!$A$3:$GG$587,'0.Productos'!BQ$1+1,0),"")</f>
        <v/>
      </c>
      <c r="Z309" s="133" t="str">
        <f>IF($A309&lt;&gt;0,VLOOKUP($A309,'0.Productos'!$A$3:$GG$587,'0.Productos'!BR$1+1,0),"")</f>
        <v/>
      </c>
      <c r="AA309" s="133" t="str">
        <f>IF($A309&lt;&gt;0,VLOOKUP($A309,'0.Productos'!$A$3:$GG$587,'0.Productos'!BS$1+1,0),"")</f>
        <v/>
      </c>
      <c r="AB309" s="133" t="str">
        <f>IF($A309&lt;&gt;0,VLOOKUP($A309,'0.Productos'!$A$3:$GG$587,'0.Productos'!BT$1+1,0),"")</f>
        <v/>
      </c>
      <c r="AC309" s="133" t="str">
        <f>IF($A309&lt;&gt;0,VLOOKUP($A309,'0.Productos'!$A$3:$GG$587,'0.Productos'!BU$1+1,0),"")</f>
        <v/>
      </c>
      <c r="AD309" s="133" t="str">
        <f>IF($A309&lt;&gt;0,VLOOKUP($A309,'0.Productos'!$A$3:$GG$587,'0.Productos'!BV$1+1,0),"")</f>
        <v/>
      </c>
      <c r="AE309" s="133" t="str">
        <f>IF($A309&lt;&gt;0,VLOOKUP($A309,'0.Productos'!$A$3:$GG$587,'0.Productos'!BW$1+1,0),"")</f>
        <v/>
      </c>
      <c r="AF309" s="133" t="str">
        <f>IF($A309&lt;&gt;0,VLOOKUP($A309,'0.Productos'!$A$3:$GG$587,'0.Productos'!BX$1+1,0),"")</f>
        <v/>
      </c>
      <c r="AG309" s="133" t="str">
        <f>IF($A309&lt;&gt;0,VLOOKUP($A309,'0.Productos'!$A$3:$GG$587,'0.Productos'!BY$1+1,0),"")</f>
        <v/>
      </c>
      <c r="AH309" s="133" t="str">
        <f>IF($A309&lt;&gt;0,VLOOKUP($A309,'0.Productos'!$A$3:$GG$587,'0.Productos'!BZ$1+1,0),"")</f>
        <v/>
      </c>
      <c r="AI309" s="133" t="str">
        <f>IF($A309&lt;&gt;0,VLOOKUP($A309,'0.Productos'!$A$3:$GG$587,'0.Productos'!CA$1+1,0),"")</f>
        <v/>
      </c>
      <c r="AJ309" s="133" t="str">
        <f>IF($A309&lt;&gt;0,VLOOKUP($A309,'0.Productos'!$A$3:$GG$587,'0.Productos'!CB$1+1,0),"")</f>
        <v/>
      </c>
      <c r="AK309" s="133" t="str">
        <f>IF($A309&lt;&gt;0,VLOOKUP($A309,'0.Productos'!$A$3:$GG$587,'0.Productos'!CC$1+1,0),"")</f>
        <v/>
      </c>
      <c r="AL309" s="133" t="str">
        <f>IF($A309&lt;&gt;0,VLOOKUP($A309,'0.Productos'!$A$3:$GG$587,'0.Productos'!CD$1+1,0),"")</f>
        <v/>
      </c>
      <c r="AM309" s="133" t="str">
        <f>IF($A309&lt;&gt;0,VLOOKUP($A309,'0.Productos'!$A$3:$GG$587,'0.Productos'!CE$1+1,0),"")</f>
        <v/>
      </c>
      <c r="AN309" s="133" t="str">
        <f>IF($A309&lt;&gt;0,VLOOKUP($A309,'0.Productos'!$A$3:$GG$587,'0.Productos'!CF$1+1,0),"")</f>
        <v/>
      </c>
      <c r="AO309" s="133" t="str">
        <f>IF($A309&lt;&gt;0,VLOOKUP($A309,'0.Productos'!$A$3:$GG$587,'0.Productos'!CG$1+1,0),"")</f>
        <v/>
      </c>
      <c r="AP309" s="133" t="str">
        <f>IF($A309&lt;&gt;0,VLOOKUP($A309,'0.Productos'!$A$3:$GG$587,'0.Productos'!CH$1+1,0),"")</f>
        <v/>
      </c>
      <c r="AQ309" s="133" t="str">
        <f>IF($A309&lt;&gt;0,VLOOKUP($A309,'0.Productos'!$A$3:$GG$587,'0.Productos'!CI$1+1,0),"")</f>
        <v/>
      </c>
      <c r="AR309" s="133" t="str">
        <f>IF($A309&lt;&gt;0,VLOOKUP($A309,'0.Productos'!$A$3:$GG$587,'0.Productos'!CJ$1+1,0),"")</f>
        <v/>
      </c>
      <c r="AS309" s="133" t="str">
        <f>IF($A309&lt;&gt;0,VLOOKUP($A309,'0.Productos'!$A$3:$GG$587,'0.Productos'!CK$1+1,0),"")</f>
        <v/>
      </c>
      <c r="AT309" s="133" t="str">
        <f>IF($A309&lt;&gt;0,VLOOKUP($A309,'0.Productos'!$A$3:$GG$587,'0.Productos'!CL$1+1,0),"")</f>
        <v/>
      </c>
      <c r="AU309" s="133" t="str">
        <f>IF($A309&lt;&gt;0,VLOOKUP($A309,'0.Productos'!$A$3:$GG$587,'0.Productos'!CM$1+1,0),"")</f>
        <v/>
      </c>
      <c r="AV309" s="133" t="str">
        <f>IF($A309&lt;&gt;0,VLOOKUP($A309,'0.Productos'!$A$3:$GG$587,'0.Productos'!CN$1+1,0),"")</f>
        <v/>
      </c>
      <c r="AW309" s="133" t="str">
        <f>IF($A309&lt;&gt;0,VLOOKUP($A309,'0.Productos'!$A$3:$GG$587,'0.Productos'!CO$1+1,0),"")</f>
        <v/>
      </c>
      <c r="AX309" s="133" t="str">
        <f>IF($A309&lt;&gt;0,VLOOKUP($A309,'0.Productos'!$A$3:$GG$587,'0.Productos'!CP$1+1,0),"")</f>
        <v/>
      </c>
      <c r="AY309" s="133" t="str">
        <f>IF($A309&lt;&gt;0,VLOOKUP($A309,'0.Productos'!$A$3:$GG$587,'0.Productos'!CQ$1+1,0),"")</f>
        <v/>
      </c>
      <c r="AZ309" s="133" t="str">
        <f>IF($A309&lt;&gt;0,VLOOKUP($A309,'0.Productos'!$A$3:$GG$587,'0.Productos'!CR$1+1,0),"")</f>
        <v/>
      </c>
      <c r="BA309" s="133" t="str">
        <f>IF($A309&lt;&gt;0,VLOOKUP($A309,'0.Productos'!$A$3:$GG$587,'0.Productos'!CS$1+1,0),"")</f>
        <v/>
      </c>
      <c r="BB309" s="133" t="str">
        <f>IF($A309&lt;&gt;0,VLOOKUP($A309,'0.Productos'!$A$3:$GG$587,'0.Productos'!CT$1+1,0),"")</f>
        <v/>
      </c>
      <c r="BC309" s="133" t="str">
        <f>IF($A309&lt;&gt;0,VLOOKUP($A309,'0.Productos'!$A$3:$GG$587,'0.Productos'!CU$1+1,0),"")</f>
        <v/>
      </c>
      <c r="BD309" s="133" t="str">
        <f>IF($A309&lt;&gt;0,VLOOKUP($A309,'0.Productos'!$A$3:$GG$587,'0.Productos'!CV$1+1,0),"")</f>
        <v/>
      </c>
      <c r="BE309" s="133" t="str">
        <f>IF($A309&lt;&gt;0,VLOOKUP($A309,'0.Productos'!$A$3:$GG$587,'0.Productos'!CW$1+1,0),"")</f>
        <v/>
      </c>
      <c r="BF309" s="133" t="str">
        <f>IF($A309&lt;&gt;0,VLOOKUP($A309,'0.Productos'!$A$3:$GG$587,'0.Productos'!CX$1+1,0),"")</f>
        <v/>
      </c>
      <c r="BG309" s="133" t="str">
        <f>IF($A309&lt;&gt;0,VLOOKUP($A309,'0.Productos'!$A$3:$GG$587,'0.Productos'!CY$1+1,0),"")</f>
        <v/>
      </c>
      <c r="BH309" s="133" t="str">
        <f>IF($A309&lt;&gt;0,VLOOKUP($A309,'0.Productos'!$A$3:$GG$587,'0.Productos'!CZ$1+1,0),"")</f>
        <v/>
      </c>
      <c r="BI309" s="133" t="str">
        <f>IF($A309&lt;&gt;0,VLOOKUP($A309,'0.Productos'!$A$3:$GG$587,'0.Productos'!DA$1+1,0),"")</f>
        <v/>
      </c>
      <c r="BJ309" s="133" t="str">
        <f>IF($A309&lt;&gt;0,VLOOKUP($A309,'0.Productos'!$A$3:$GG$587,'0.Productos'!DB$1+1,0),"")</f>
        <v/>
      </c>
      <c r="BK309" s="133" t="str">
        <f>IF($A309&lt;&gt;0,VLOOKUP($A309,'0.Productos'!$A$3:$GG$587,'0.Productos'!DC$1+1,0),"")</f>
        <v/>
      </c>
      <c r="BL309" s="133" t="str">
        <f>IF($A309&lt;&gt;0,VLOOKUP($A309,'0.Productos'!$A$3:$GG$587,'0.Productos'!DD$1+1,0),"")</f>
        <v/>
      </c>
      <c r="BM309" s="133" t="str">
        <f>IF($A309&lt;&gt;0,VLOOKUP($A309,'0.Productos'!$A$3:$GG$587,'0.Productos'!DE$1+1,0),"")</f>
        <v/>
      </c>
      <c r="BN309" s="133" t="str">
        <f>IF($A309&lt;&gt;0,VLOOKUP($A309,'0.Productos'!$A$3:$GG$587,'0.Productos'!DF$1+1,0),"")</f>
        <v/>
      </c>
      <c r="BO309" s="133" t="str">
        <f>IF($A309&lt;&gt;0,VLOOKUP($A309,'0.Productos'!$A$3:$GG$587,'0.Productos'!DG$1+1,0),"")</f>
        <v/>
      </c>
      <c r="BP309" s="133" t="str">
        <f>IF($A309&lt;&gt;0,VLOOKUP($A309,'0.Productos'!$A$3:$GG$587,'0.Productos'!DH$1+1,0),"")</f>
        <v/>
      </c>
      <c r="BQ309" s="133" t="str">
        <f>IF($A309&lt;&gt;0,VLOOKUP($A309,'0.Productos'!$A$3:$GG$587,'0.Productos'!DI$1+1,0),"")</f>
        <v/>
      </c>
      <c r="BR309" s="133" t="str">
        <f>IF($A309&lt;&gt;0,VLOOKUP($A309,'0.Productos'!$A$3:$GG$587,'0.Productos'!DJ$1+1,0),"")</f>
        <v/>
      </c>
      <c r="BS309" s="133" t="str">
        <f>IF($A309&lt;&gt;0,VLOOKUP($A309,'0.Productos'!$A$3:$GG$587,'0.Productos'!DK$1+1,0),"")</f>
        <v/>
      </c>
      <c r="BT309" s="133" t="str">
        <f>IF($A309&lt;&gt;0,VLOOKUP($A309,'0.Productos'!$A$3:$GG$587,'0.Productos'!DL$1+1,0),"")</f>
        <v/>
      </c>
    </row>
    <row r="310" spans="1:72" x14ac:dyDescent="0.25">
      <c r="A310" s="17">
        <f>'0.Consolidado general'!A310</f>
        <v>0</v>
      </c>
      <c r="B310" s="133" t="str">
        <f>IF($A310&lt;&gt;0,VLOOKUP($A310,'0.Productos'!$A$3:$GG$587,'0.Productos'!AT$1+1,0),"")</f>
        <v/>
      </c>
      <c r="C310" s="133" t="str">
        <f>IF($A310&lt;&gt;0,VLOOKUP($A310,'0.Productos'!$A$3:$GG$587,'0.Productos'!AU$1+1,0),"")</f>
        <v/>
      </c>
      <c r="D310" s="133" t="str">
        <f>IF($A310&lt;&gt;0,VLOOKUP($A310,'0.Productos'!$A$3:$GG$587,'0.Productos'!AV$1+1,0),"")</f>
        <v/>
      </c>
      <c r="E310" s="133" t="str">
        <f>IF($A310&lt;&gt;0,VLOOKUP($A310,'0.Productos'!$A$3:$GG$587,'0.Productos'!AW$1+1,0),"")</f>
        <v/>
      </c>
      <c r="F310" s="133" t="str">
        <f>IF($A310&lt;&gt;0,VLOOKUP($A310,'0.Productos'!$A$3:$GG$587,'0.Productos'!AX$1+1,0),"")</f>
        <v/>
      </c>
      <c r="G310" s="133" t="str">
        <f>IF($A310&lt;&gt;0,VLOOKUP($A310,'0.Productos'!$A$3:$GG$587,'0.Productos'!AY$1+1,0),"")</f>
        <v/>
      </c>
      <c r="H310" s="133" t="str">
        <f>IF($A310&lt;&gt;0,VLOOKUP($A310,'0.Productos'!$A$3:$GG$587,'0.Productos'!AZ$1+1,0),"")</f>
        <v/>
      </c>
      <c r="I310" s="133" t="str">
        <f>IF($A310&lt;&gt;0,VLOOKUP($A310,'0.Productos'!$A$3:$GG$587,'0.Productos'!BA$1+1,0),"")</f>
        <v/>
      </c>
      <c r="J310" s="133" t="str">
        <f>IF($A310&lt;&gt;0,VLOOKUP($A310,'0.Productos'!$A$3:$GG$587,'0.Productos'!BB$1+1,0),"")</f>
        <v/>
      </c>
      <c r="K310" s="133" t="str">
        <f>IF($A310&lt;&gt;0,VLOOKUP($A310,'0.Productos'!$A$3:$GG$587,'0.Productos'!BC$1+1,0),"")</f>
        <v/>
      </c>
      <c r="L310" s="133" t="str">
        <f>IF($A310&lt;&gt;0,VLOOKUP($A310,'0.Productos'!$A$3:$GG$587,'0.Productos'!BD$1+1,0),"")</f>
        <v/>
      </c>
      <c r="M310" s="133" t="str">
        <f>IF($A310&lt;&gt;0,VLOOKUP($A310,'0.Productos'!$A$3:$GG$587,'0.Productos'!BE$1+1,0),"")</f>
        <v/>
      </c>
      <c r="N310" s="133" t="str">
        <f>IF($A310&lt;&gt;0,VLOOKUP($A310,'0.Productos'!$A$3:$GG$587,'0.Productos'!BF$1+1,0),"")</f>
        <v/>
      </c>
      <c r="O310" s="133" t="str">
        <f>IF($A310&lt;&gt;0,VLOOKUP($A310,'0.Productos'!$A$3:$GG$587,'0.Productos'!BG$1+1,0),"")</f>
        <v/>
      </c>
      <c r="P310" s="133" t="str">
        <f>IF($A310&lt;&gt;0,VLOOKUP($A310,'0.Productos'!$A$3:$GG$587,'0.Productos'!BH$1+1,0),"")</f>
        <v/>
      </c>
      <c r="Q310" s="133" t="str">
        <f>IF($A310&lt;&gt;0,VLOOKUP($A310,'0.Productos'!$A$3:$GG$587,'0.Productos'!BI$1+1,0),"")</f>
        <v/>
      </c>
      <c r="R310" s="133" t="str">
        <f>IF($A310&lt;&gt;0,VLOOKUP($A310,'0.Productos'!$A$3:$GG$587,'0.Productos'!BJ$1+1,0),"")</f>
        <v/>
      </c>
      <c r="S310" s="133" t="str">
        <f>IF($A310&lt;&gt;0,VLOOKUP($A310,'0.Productos'!$A$3:$GG$587,'0.Productos'!BK$1+1,0),"")</f>
        <v/>
      </c>
      <c r="T310" s="133" t="str">
        <f>IF($A310&lt;&gt;0,VLOOKUP($A310,'0.Productos'!$A$3:$GG$587,'0.Productos'!BL$1+1,0),"")</f>
        <v/>
      </c>
      <c r="U310" s="133" t="str">
        <f>IF($A310&lt;&gt;0,VLOOKUP($A310,'0.Productos'!$A$3:$GG$587,'0.Productos'!BM$1+1,0),"")</f>
        <v/>
      </c>
      <c r="V310" s="133" t="str">
        <f>IF($A310&lt;&gt;0,VLOOKUP($A310,'0.Productos'!$A$3:$GG$587,'0.Productos'!BN$1+1,0),"")</f>
        <v/>
      </c>
      <c r="W310" s="133" t="str">
        <f>IF($A310&lt;&gt;0,VLOOKUP($A310,'0.Productos'!$A$3:$GG$587,'0.Productos'!BO$1+1,0),"")</f>
        <v/>
      </c>
      <c r="X310" s="133" t="str">
        <f>IF($A310&lt;&gt;0,VLOOKUP($A310,'0.Productos'!$A$3:$GG$587,'0.Productos'!BP$1+1,0),"")</f>
        <v/>
      </c>
      <c r="Y310" s="133" t="str">
        <f>IF($A310&lt;&gt;0,VLOOKUP($A310,'0.Productos'!$A$3:$GG$587,'0.Productos'!BQ$1+1,0),"")</f>
        <v/>
      </c>
      <c r="Z310" s="133" t="str">
        <f>IF($A310&lt;&gt;0,VLOOKUP($A310,'0.Productos'!$A$3:$GG$587,'0.Productos'!BR$1+1,0),"")</f>
        <v/>
      </c>
      <c r="AA310" s="133" t="str">
        <f>IF($A310&lt;&gt;0,VLOOKUP($A310,'0.Productos'!$A$3:$GG$587,'0.Productos'!BS$1+1,0),"")</f>
        <v/>
      </c>
      <c r="AB310" s="133" t="str">
        <f>IF($A310&lt;&gt;0,VLOOKUP($A310,'0.Productos'!$A$3:$GG$587,'0.Productos'!BT$1+1,0),"")</f>
        <v/>
      </c>
      <c r="AC310" s="133" t="str">
        <f>IF($A310&lt;&gt;0,VLOOKUP($A310,'0.Productos'!$A$3:$GG$587,'0.Productos'!BU$1+1,0),"")</f>
        <v/>
      </c>
      <c r="AD310" s="133" t="str">
        <f>IF($A310&lt;&gt;0,VLOOKUP($A310,'0.Productos'!$A$3:$GG$587,'0.Productos'!BV$1+1,0),"")</f>
        <v/>
      </c>
      <c r="AE310" s="133" t="str">
        <f>IF($A310&lt;&gt;0,VLOOKUP($A310,'0.Productos'!$A$3:$GG$587,'0.Productos'!BW$1+1,0),"")</f>
        <v/>
      </c>
      <c r="AF310" s="133" t="str">
        <f>IF($A310&lt;&gt;0,VLOOKUP($A310,'0.Productos'!$A$3:$GG$587,'0.Productos'!BX$1+1,0),"")</f>
        <v/>
      </c>
      <c r="AG310" s="133" t="str">
        <f>IF($A310&lt;&gt;0,VLOOKUP($A310,'0.Productos'!$A$3:$GG$587,'0.Productos'!BY$1+1,0),"")</f>
        <v/>
      </c>
      <c r="AH310" s="133" t="str">
        <f>IF($A310&lt;&gt;0,VLOOKUP($A310,'0.Productos'!$A$3:$GG$587,'0.Productos'!BZ$1+1,0),"")</f>
        <v/>
      </c>
      <c r="AI310" s="133" t="str">
        <f>IF($A310&lt;&gt;0,VLOOKUP($A310,'0.Productos'!$A$3:$GG$587,'0.Productos'!CA$1+1,0),"")</f>
        <v/>
      </c>
      <c r="AJ310" s="133" t="str">
        <f>IF($A310&lt;&gt;0,VLOOKUP($A310,'0.Productos'!$A$3:$GG$587,'0.Productos'!CB$1+1,0),"")</f>
        <v/>
      </c>
      <c r="AK310" s="133" t="str">
        <f>IF($A310&lt;&gt;0,VLOOKUP($A310,'0.Productos'!$A$3:$GG$587,'0.Productos'!CC$1+1,0),"")</f>
        <v/>
      </c>
      <c r="AL310" s="133" t="str">
        <f>IF($A310&lt;&gt;0,VLOOKUP($A310,'0.Productos'!$A$3:$GG$587,'0.Productos'!CD$1+1,0),"")</f>
        <v/>
      </c>
      <c r="AM310" s="133" t="str">
        <f>IF($A310&lt;&gt;0,VLOOKUP($A310,'0.Productos'!$A$3:$GG$587,'0.Productos'!CE$1+1,0),"")</f>
        <v/>
      </c>
      <c r="AN310" s="133" t="str">
        <f>IF($A310&lt;&gt;0,VLOOKUP($A310,'0.Productos'!$A$3:$GG$587,'0.Productos'!CF$1+1,0),"")</f>
        <v/>
      </c>
      <c r="AO310" s="133" t="str">
        <f>IF($A310&lt;&gt;0,VLOOKUP($A310,'0.Productos'!$A$3:$GG$587,'0.Productos'!CG$1+1,0),"")</f>
        <v/>
      </c>
      <c r="AP310" s="133" t="str">
        <f>IF($A310&lt;&gt;0,VLOOKUP($A310,'0.Productos'!$A$3:$GG$587,'0.Productos'!CH$1+1,0),"")</f>
        <v/>
      </c>
      <c r="AQ310" s="133" t="str">
        <f>IF($A310&lt;&gt;0,VLOOKUP($A310,'0.Productos'!$A$3:$GG$587,'0.Productos'!CI$1+1,0),"")</f>
        <v/>
      </c>
      <c r="AR310" s="133" t="str">
        <f>IF($A310&lt;&gt;0,VLOOKUP($A310,'0.Productos'!$A$3:$GG$587,'0.Productos'!CJ$1+1,0),"")</f>
        <v/>
      </c>
      <c r="AS310" s="133" t="str">
        <f>IF($A310&lt;&gt;0,VLOOKUP($A310,'0.Productos'!$A$3:$GG$587,'0.Productos'!CK$1+1,0),"")</f>
        <v/>
      </c>
      <c r="AT310" s="133" t="str">
        <f>IF($A310&lt;&gt;0,VLOOKUP($A310,'0.Productos'!$A$3:$GG$587,'0.Productos'!CL$1+1,0),"")</f>
        <v/>
      </c>
      <c r="AU310" s="133" t="str">
        <f>IF($A310&lt;&gt;0,VLOOKUP($A310,'0.Productos'!$A$3:$GG$587,'0.Productos'!CM$1+1,0),"")</f>
        <v/>
      </c>
      <c r="AV310" s="133" t="str">
        <f>IF($A310&lt;&gt;0,VLOOKUP($A310,'0.Productos'!$A$3:$GG$587,'0.Productos'!CN$1+1,0),"")</f>
        <v/>
      </c>
      <c r="AW310" s="133" t="str">
        <f>IF($A310&lt;&gt;0,VLOOKUP($A310,'0.Productos'!$A$3:$GG$587,'0.Productos'!CO$1+1,0),"")</f>
        <v/>
      </c>
      <c r="AX310" s="133" t="str">
        <f>IF($A310&lt;&gt;0,VLOOKUP($A310,'0.Productos'!$A$3:$GG$587,'0.Productos'!CP$1+1,0),"")</f>
        <v/>
      </c>
      <c r="AY310" s="133" t="str">
        <f>IF($A310&lt;&gt;0,VLOOKUP($A310,'0.Productos'!$A$3:$GG$587,'0.Productos'!CQ$1+1,0),"")</f>
        <v/>
      </c>
      <c r="AZ310" s="133" t="str">
        <f>IF($A310&lt;&gt;0,VLOOKUP($A310,'0.Productos'!$A$3:$GG$587,'0.Productos'!CR$1+1,0),"")</f>
        <v/>
      </c>
      <c r="BA310" s="133" t="str">
        <f>IF($A310&lt;&gt;0,VLOOKUP($A310,'0.Productos'!$A$3:$GG$587,'0.Productos'!CS$1+1,0),"")</f>
        <v/>
      </c>
      <c r="BB310" s="133" t="str">
        <f>IF($A310&lt;&gt;0,VLOOKUP($A310,'0.Productos'!$A$3:$GG$587,'0.Productos'!CT$1+1,0),"")</f>
        <v/>
      </c>
      <c r="BC310" s="133" t="str">
        <f>IF($A310&lt;&gt;0,VLOOKUP($A310,'0.Productos'!$A$3:$GG$587,'0.Productos'!CU$1+1,0),"")</f>
        <v/>
      </c>
      <c r="BD310" s="133" t="str">
        <f>IF($A310&lt;&gt;0,VLOOKUP($A310,'0.Productos'!$A$3:$GG$587,'0.Productos'!CV$1+1,0),"")</f>
        <v/>
      </c>
      <c r="BE310" s="133" t="str">
        <f>IF($A310&lt;&gt;0,VLOOKUP($A310,'0.Productos'!$A$3:$GG$587,'0.Productos'!CW$1+1,0),"")</f>
        <v/>
      </c>
      <c r="BF310" s="133" t="str">
        <f>IF($A310&lt;&gt;0,VLOOKUP($A310,'0.Productos'!$A$3:$GG$587,'0.Productos'!CX$1+1,0),"")</f>
        <v/>
      </c>
      <c r="BG310" s="133" t="str">
        <f>IF($A310&lt;&gt;0,VLOOKUP($A310,'0.Productos'!$A$3:$GG$587,'0.Productos'!CY$1+1,0),"")</f>
        <v/>
      </c>
      <c r="BH310" s="133" t="str">
        <f>IF($A310&lt;&gt;0,VLOOKUP($A310,'0.Productos'!$A$3:$GG$587,'0.Productos'!CZ$1+1,0),"")</f>
        <v/>
      </c>
      <c r="BI310" s="133" t="str">
        <f>IF($A310&lt;&gt;0,VLOOKUP($A310,'0.Productos'!$A$3:$GG$587,'0.Productos'!DA$1+1,0),"")</f>
        <v/>
      </c>
      <c r="BJ310" s="133" t="str">
        <f>IF($A310&lt;&gt;0,VLOOKUP($A310,'0.Productos'!$A$3:$GG$587,'0.Productos'!DB$1+1,0),"")</f>
        <v/>
      </c>
      <c r="BK310" s="133" t="str">
        <f>IF($A310&lt;&gt;0,VLOOKUP($A310,'0.Productos'!$A$3:$GG$587,'0.Productos'!DC$1+1,0),"")</f>
        <v/>
      </c>
      <c r="BL310" s="133" t="str">
        <f>IF($A310&lt;&gt;0,VLOOKUP($A310,'0.Productos'!$A$3:$GG$587,'0.Productos'!DD$1+1,0),"")</f>
        <v/>
      </c>
      <c r="BM310" s="133" t="str">
        <f>IF($A310&lt;&gt;0,VLOOKUP($A310,'0.Productos'!$A$3:$GG$587,'0.Productos'!DE$1+1,0),"")</f>
        <v/>
      </c>
      <c r="BN310" s="133" t="str">
        <f>IF($A310&lt;&gt;0,VLOOKUP($A310,'0.Productos'!$A$3:$GG$587,'0.Productos'!DF$1+1,0),"")</f>
        <v/>
      </c>
      <c r="BO310" s="133" t="str">
        <f>IF($A310&lt;&gt;0,VLOOKUP($A310,'0.Productos'!$A$3:$GG$587,'0.Productos'!DG$1+1,0),"")</f>
        <v/>
      </c>
      <c r="BP310" s="133" t="str">
        <f>IF($A310&lt;&gt;0,VLOOKUP($A310,'0.Productos'!$A$3:$GG$587,'0.Productos'!DH$1+1,0),"")</f>
        <v/>
      </c>
      <c r="BQ310" s="133" t="str">
        <f>IF($A310&lt;&gt;0,VLOOKUP($A310,'0.Productos'!$A$3:$GG$587,'0.Productos'!DI$1+1,0),"")</f>
        <v/>
      </c>
      <c r="BR310" s="133" t="str">
        <f>IF($A310&lt;&gt;0,VLOOKUP($A310,'0.Productos'!$A$3:$GG$587,'0.Productos'!DJ$1+1,0),"")</f>
        <v/>
      </c>
      <c r="BS310" s="133" t="str">
        <f>IF($A310&lt;&gt;0,VLOOKUP($A310,'0.Productos'!$A$3:$GG$587,'0.Productos'!DK$1+1,0),"")</f>
        <v/>
      </c>
      <c r="BT310" s="133" t="str">
        <f>IF($A310&lt;&gt;0,VLOOKUP($A310,'0.Productos'!$A$3:$GG$587,'0.Productos'!DL$1+1,0),"")</f>
        <v/>
      </c>
    </row>
    <row r="311" spans="1:72" x14ac:dyDescent="0.25">
      <c r="A311" s="17">
        <f>'0.Consolidado general'!A311</f>
        <v>0</v>
      </c>
      <c r="B311" s="133" t="str">
        <f>IF($A311&lt;&gt;0,VLOOKUP($A311,'0.Productos'!$A$3:$GG$587,'0.Productos'!AT$1+1,0),"")</f>
        <v/>
      </c>
      <c r="C311" s="133" t="str">
        <f>IF($A311&lt;&gt;0,VLOOKUP($A311,'0.Productos'!$A$3:$GG$587,'0.Productos'!AU$1+1,0),"")</f>
        <v/>
      </c>
      <c r="D311" s="133" t="str">
        <f>IF($A311&lt;&gt;0,VLOOKUP($A311,'0.Productos'!$A$3:$GG$587,'0.Productos'!AV$1+1,0),"")</f>
        <v/>
      </c>
      <c r="E311" s="133" t="str">
        <f>IF($A311&lt;&gt;0,VLOOKUP($A311,'0.Productos'!$A$3:$GG$587,'0.Productos'!AW$1+1,0),"")</f>
        <v/>
      </c>
      <c r="F311" s="133" t="str">
        <f>IF($A311&lt;&gt;0,VLOOKUP($A311,'0.Productos'!$A$3:$GG$587,'0.Productos'!AX$1+1,0),"")</f>
        <v/>
      </c>
      <c r="G311" s="133" t="str">
        <f>IF($A311&lt;&gt;0,VLOOKUP($A311,'0.Productos'!$A$3:$GG$587,'0.Productos'!AY$1+1,0),"")</f>
        <v/>
      </c>
      <c r="H311" s="133" t="str">
        <f>IF($A311&lt;&gt;0,VLOOKUP($A311,'0.Productos'!$A$3:$GG$587,'0.Productos'!AZ$1+1,0),"")</f>
        <v/>
      </c>
      <c r="I311" s="133" t="str">
        <f>IF($A311&lt;&gt;0,VLOOKUP($A311,'0.Productos'!$A$3:$GG$587,'0.Productos'!BA$1+1,0),"")</f>
        <v/>
      </c>
      <c r="J311" s="133" t="str">
        <f>IF($A311&lt;&gt;0,VLOOKUP($A311,'0.Productos'!$A$3:$GG$587,'0.Productos'!BB$1+1,0),"")</f>
        <v/>
      </c>
      <c r="K311" s="133" t="str">
        <f>IF($A311&lt;&gt;0,VLOOKUP($A311,'0.Productos'!$A$3:$GG$587,'0.Productos'!BC$1+1,0),"")</f>
        <v/>
      </c>
      <c r="L311" s="133" t="str">
        <f>IF($A311&lt;&gt;0,VLOOKUP($A311,'0.Productos'!$A$3:$GG$587,'0.Productos'!BD$1+1,0),"")</f>
        <v/>
      </c>
      <c r="M311" s="133" t="str">
        <f>IF($A311&lt;&gt;0,VLOOKUP($A311,'0.Productos'!$A$3:$GG$587,'0.Productos'!BE$1+1,0),"")</f>
        <v/>
      </c>
      <c r="N311" s="133" t="str">
        <f>IF($A311&lt;&gt;0,VLOOKUP($A311,'0.Productos'!$A$3:$GG$587,'0.Productos'!BF$1+1,0),"")</f>
        <v/>
      </c>
      <c r="O311" s="133" t="str">
        <f>IF($A311&lt;&gt;0,VLOOKUP($A311,'0.Productos'!$A$3:$GG$587,'0.Productos'!BG$1+1,0),"")</f>
        <v/>
      </c>
      <c r="P311" s="133" t="str">
        <f>IF($A311&lt;&gt;0,VLOOKUP($A311,'0.Productos'!$A$3:$GG$587,'0.Productos'!BH$1+1,0),"")</f>
        <v/>
      </c>
      <c r="Q311" s="133" t="str">
        <f>IF($A311&lt;&gt;0,VLOOKUP($A311,'0.Productos'!$A$3:$GG$587,'0.Productos'!BI$1+1,0),"")</f>
        <v/>
      </c>
      <c r="R311" s="133" t="str">
        <f>IF($A311&lt;&gt;0,VLOOKUP($A311,'0.Productos'!$A$3:$GG$587,'0.Productos'!BJ$1+1,0),"")</f>
        <v/>
      </c>
      <c r="S311" s="133" t="str">
        <f>IF($A311&lt;&gt;0,VLOOKUP($A311,'0.Productos'!$A$3:$GG$587,'0.Productos'!BK$1+1,0),"")</f>
        <v/>
      </c>
      <c r="T311" s="133" t="str">
        <f>IF($A311&lt;&gt;0,VLOOKUP($A311,'0.Productos'!$A$3:$GG$587,'0.Productos'!BL$1+1,0),"")</f>
        <v/>
      </c>
      <c r="U311" s="133" t="str">
        <f>IF($A311&lt;&gt;0,VLOOKUP($A311,'0.Productos'!$A$3:$GG$587,'0.Productos'!BM$1+1,0),"")</f>
        <v/>
      </c>
      <c r="V311" s="133" t="str">
        <f>IF($A311&lt;&gt;0,VLOOKUP($A311,'0.Productos'!$A$3:$GG$587,'0.Productos'!BN$1+1,0),"")</f>
        <v/>
      </c>
      <c r="W311" s="133" t="str">
        <f>IF($A311&lt;&gt;0,VLOOKUP($A311,'0.Productos'!$A$3:$GG$587,'0.Productos'!BO$1+1,0),"")</f>
        <v/>
      </c>
      <c r="X311" s="133" t="str">
        <f>IF($A311&lt;&gt;0,VLOOKUP($A311,'0.Productos'!$A$3:$GG$587,'0.Productos'!BP$1+1,0),"")</f>
        <v/>
      </c>
      <c r="Y311" s="133" t="str">
        <f>IF($A311&lt;&gt;0,VLOOKUP($A311,'0.Productos'!$A$3:$GG$587,'0.Productos'!BQ$1+1,0),"")</f>
        <v/>
      </c>
      <c r="Z311" s="133" t="str">
        <f>IF($A311&lt;&gt;0,VLOOKUP($A311,'0.Productos'!$A$3:$GG$587,'0.Productos'!BR$1+1,0),"")</f>
        <v/>
      </c>
      <c r="AA311" s="133" t="str">
        <f>IF($A311&lt;&gt;0,VLOOKUP($A311,'0.Productos'!$A$3:$GG$587,'0.Productos'!BS$1+1,0),"")</f>
        <v/>
      </c>
      <c r="AB311" s="133" t="str">
        <f>IF($A311&lt;&gt;0,VLOOKUP($A311,'0.Productos'!$A$3:$GG$587,'0.Productos'!BT$1+1,0),"")</f>
        <v/>
      </c>
      <c r="AC311" s="133" t="str">
        <f>IF($A311&lt;&gt;0,VLOOKUP($A311,'0.Productos'!$A$3:$GG$587,'0.Productos'!BU$1+1,0),"")</f>
        <v/>
      </c>
      <c r="AD311" s="133" t="str">
        <f>IF($A311&lt;&gt;0,VLOOKUP($A311,'0.Productos'!$A$3:$GG$587,'0.Productos'!BV$1+1,0),"")</f>
        <v/>
      </c>
      <c r="AE311" s="133" t="str">
        <f>IF($A311&lt;&gt;0,VLOOKUP($A311,'0.Productos'!$A$3:$GG$587,'0.Productos'!BW$1+1,0),"")</f>
        <v/>
      </c>
      <c r="AF311" s="133" t="str">
        <f>IF($A311&lt;&gt;0,VLOOKUP($A311,'0.Productos'!$A$3:$GG$587,'0.Productos'!BX$1+1,0),"")</f>
        <v/>
      </c>
      <c r="AG311" s="133" t="str">
        <f>IF($A311&lt;&gt;0,VLOOKUP($A311,'0.Productos'!$A$3:$GG$587,'0.Productos'!BY$1+1,0),"")</f>
        <v/>
      </c>
      <c r="AH311" s="133" t="str">
        <f>IF($A311&lt;&gt;0,VLOOKUP($A311,'0.Productos'!$A$3:$GG$587,'0.Productos'!BZ$1+1,0),"")</f>
        <v/>
      </c>
      <c r="AI311" s="133" t="str">
        <f>IF($A311&lt;&gt;0,VLOOKUP($A311,'0.Productos'!$A$3:$GG$587,'0.Productos'!CA$1+1,0),"")</f>
        <v/>
      </c>
      <c r="AJ311" s="133" t="str">
        <f>IF($A311&lt;&gt;0,VLOOKUP($A311,'0.Productos'!$A$3:$GG$587,'0.Productos'!CB$1+1,0),"")</f>
        <v/>
      </c>
      <c r="AK311" s="133" t="str">
        <f>IF($A311&lt;&gt;0,VLOOKUP($A311,'0.Productos'!$A$3:$GG$587,'0.Productos'!CC$1+1,0),"")</f>
        <v/>
      </c>
      <c r="AL311" s="133" t="str">
        <f>IF($A311&lt;&gt;0,VLOOKUP($A311,'0.Productos'!$A$3:$GG$587,'0.Productos'!CD$1+1,0),"")</f>
        <v/>
      </c>
      <c r="AM311" s="133" t="str">
        <f>IF($A311&lt;&gt;0,VLOOKUP($A311,'0.Productos'!$A$3:$GG$587,'0.Productos'!CE$1+1,0),"")</f>
        <v/>
      </c>
      <c r="AN311" s="133" t="str">
        <f>IF($A311&lt;&gt;0,VLOOKUP($A311,'0.Productos'!$A$3:$GG$587,'0.Productos'!CF$1+1,0),"")</f>
        <v/>
      </c>
      <c r="AO311" s="133" t="str">
        <f>IF($A311&lt;&gt;0,VLOOKUP($A311,'0.Productos'!$A$3:$GG$587,'0.Productos'!CG$1+1,0),"")</f>
        <v/>
      </c>
      <c r="AP311" s="133" t="str">
        <f>IF($A311&lt;&gt;0,VLOOKUP($A311,'0.Productos'!$A$3:$GG$587,'0.Productos'!CH$1+1,0),"")</f>
        <v/>
      </c>
      <c r="AQ311" s="133" t="str">
        <f>IF($A311&lt;&gt;0,VLOOKUP($A311,'0.Productos'!$A$3:$GG$587,'0.Productos'!CI$1+1,0),"")</f>
        <v/>
      </c>
      <c r="AR311" s="133" t="str">
        <f>IF($A311&lt;&gt;0,VLOOKUP($A311,'0.Productos'!$A$3:$GG$587,'0.Productos'!CJ$1+1,0),"")</f>
        <v/>
      </c>
      <c r="AS311" s="133" t="str">
        <f>IF($A311&lt;&gt;0,VLOOKUP($A311,'0.Productos'!$A$3:$GG$587,'0.Productos'!CK$1+1,0),"")</f>
        <v/>
      </c>
      <c r="AT311" s="133" t="str">
        <f>IF($A311&lt;&gt;0,VLOOKUP($A311,'0.Productos'!$A$3:$GG$587,'0.Productos'!CL$1+1,0),"")</f>
        <v/>
      </c>
      <c r="AU311" s="133" t="str">
        <f>IF($A311&lt;&gt;0,VLOOKUP($A311,'0.Productos'!$A$3:$GG$587,'0.Productos'!CM$1+1,0),"")</f>
        <v/>
      </c>
      <c r="AV311" s="133" t="str">
        <f>IF($A311&lt;&gt;0,VLOOKUP($A311,'0.Productos'!$A$3:$GG$587,'0.Productos'!CN$1+1,0),"")</f>
        <v/>
      </c>
      <c r="AW311" s="133" t="str">
        <f>IF($A311&lt;&gt;0,VLOOKUP($A311,'0.Productos'!$A$3:$GG$587,'0.Productos'!CO$1+1,0),"")</f>
        <v/>
      </c>
      <c r="AX311" s="133" t="str">
        <f>IF($A311&lt;&gt;0,VLOOKUP($A311,'0.Productos'!$A$3:$GG$587,'0.Productos'!CP$1+1,0),"")</f>
        <v/>
      </c>
      <c r="AY311" s="133" t="str">
        <f>IF($A311&lt;&gt;0,VLOOKUP($A311,'0.Productos'!$A$3:$GG$587,'0.Productos'!CQ$1+1,0),"")</f>
        <v/>
      </c>
      <c r="AZ311" s="133" t="str">
        <f>IF($A311&lt;&gt;0,VLOOKUP($A311,'0.Productos'!$A$3:$GG$587,'0.Productos'!CR$1+1,0),"")</f>
        <v/>
      </c>
      <c r="BA311" s="133" t="str">
        <f>IF($A311&lt;&gt;0,VLOOKUP($A311,'0.Productos'!$A$3:$GG$587,'0.Productos'!CS$1+1,0),"")</f>
        <v/>
      </c>
      <c r="BB311" s="133" t="str">
        <f>IF($A311&lt;&gt;0,VLOOKUP($A311,'0.Productos'!$A$3:$GG$587,'0.Productos'!CT$1+1,0),"")</f>
        <v/>
      </c>
      <c r="BC311" s="133" t="str">
        <f>IF($A311&lt;&gt;0,VLOOKUP($A311,'0.Productos'!$A$3:$GG$587,'0.Productos'!CU$1+1,0),"")</f>
        <v/>
      </c>
      <c r="BD311" s="133" t="str">
        <f>IF($A311&lt;&gt;0,VLOOKUP($A311,'0.Productos'!$A$3:$GG$587,'0.Productos'!CV$1+1,0),"")</f>
        <v/>
      </c>
      <c r="BE311" s="133" t="str">
        <f>IF($A311&lt;&gt;0,VLOOKUP($A311,'0.Productos'!$A$3:$GG$587,'0.Productos'!CW$1+1,0),"")</f>
        <v/>
      </c>
      <c r="BF311" s="133" t="str">
        <f>IF($A311&lt;&gt;0,VLOOKUP($A311,'0.Productos'!$A$3:$GG$587,'0.Productos'!CX$1+1,0),"")</f>
        <v/>
      </c>
      <c r="BG311" s="133" t="str">
        <f>IF($A311&lt;&gt;0,VLOOKUP($A311,'0.Productos'!$A$3:$GG$587,'0.Productos'!CY$1+1,0),"")</f>
        <v/>
      </c>
      <c r="BH311" s="133" t="str">
        <f>IF($A311&lt;&gt;0,VLOOKUP($A311,'0.Productos'!$A$3:$GG$587,'0.Productos'!CZ$1+1,0),"")</f>
        <v/>
      </c>
      <c r="BI311" s="133" t="str">
        <f>IF($A311&lt;&gt;0,VLOOKUP($A311,'0.Productos'!$A$3:$GG$587,'0.Productos'!DA$1+1,0),"")</f>
        <v/>
      </c>
      <c r="BJ311" s="133" t="str">
        <f>IF($A311&lt;&gt;0,VLOOKUP($A311,'0.Productos'!$A$3:$GG$587,'0.Productos'!DB$1+1,0),"")</f>
        <v/>
      </c>
      <c r="BK311" s="133" t="str">
        <f>IF($A311&lt;&gt;0,VLOOKUP($A311,'0.Productos'!$A$3:$GG$587,'0.Productos'!DC$1+1,0),"")</f>
        <v/>
      </c>
      <c r="BL311" s="133" t="str">
        <f>IF($A311&lt;&gt;0,VLOOKUP($A311,'0.Productos'!$A$3:$GG$587,'0.Productos'!DD$1+1,0),"")</f>
        <v/>
      </c>
      <c r="BM311" s="133" t="str">
        <f>IF($A311&lt;&gt;0,VLOOKUP($A311,'0.Productos'!$A$3:$GG$587,'0.Productos'!DE$1+1,0),"")</f>
        <v/>
      </c>
      <c r="BN311" s="133" t="str">
        <f>IF($A311&lt;&gt;0,VLOOKUP($A311,'0.Productos'!$A$3:$GG$587,'0.Productos'!DF$1+1,0),"")</f>
        <v/>
      </c>
      <c r="BO311" s="133" t="str">
        <f>IF($A311&lt;&gt;0,VLOOKUP($A311,'0.Productos'!$A$3:$GG$587,'0.Productos'!DG$1+1,0),"")</f>
        <v/>
      </c>
      <c r="BP311" s="133" t="str">
        <f>IF($A311&lt;&gt;0,VLOOKUP($A311,'0.Productos'!$A$3:$GG$587,'0.Productos'!DH$1+1,0),"")</f>
        <v/>
      </c>
      <c r="BQ311" s="133" t="str">
        <f>IF($A311&lt;&gt;0,VLOOKUP($A311,'0.Productos'!$A$3:$GG$587,'0.Productos'!DI$1+1,0),"")</f>
        <v/>
      </c>
      <c r="BR311" s="133" t="str">
        <f>IF($A311&lt;&gt;0,VLOOKUP($A311,'0.Productos'!$A$3:$GG$587,'0.Productos'!DJ$1+1,0),"")</f>
        <v/>
      </c>
      <c r="BS311" s="133" t="str">
        <f>IF($A311&lt;&gt;0,VLOOKUP($A311,'0.Productos'!$A$3:$GG$587,'0.Productos'!DK$1+1,0),"")</f>
        <v/>
      </c>
      <c r="BT311" s="133" t="str">
        <f>IF($A311&lt;&gt;0,VLOOKUP($A311,'0.Productos'!$A$3:$GG$587,'0.Productos'!DL$1+1,0),"")</f>
        <v/>
      </c>
    </row>
    <row r="312" spans="1:72" x14ac:dyDescent="0.25">
      <c r="A312" s="17">
        <f>'0.Consolidado general'!A312</f>
        <v>0</v>
      </c>
      <c r="B312" s="133" t="str">
        <f>IF($A312&lt;&gt;0,VLOOKUP($A312,'0.Productos'!$A$3:$GG$587,'0.Productos'!AT$1+1,0),"")</f>
        <v/>
      </c>
      <c r="C312" s="133" t="str">
        <f>IF($A312&lt;&gt;0,VLOOKUP($A312,'0.Productos'!$A$3:$GG$587,'0.Productos'!AU$1+1,0),"")</f>
        <v/>
      </c>
      <c r="D312" s="133" t="str">
        <f>IF($A312&lt;&gt;0,VLOOKUP($A312,'0.Productos'!$A$3:$GG$587,'0.Productos'!AV$1+1,0),"")</f>
        <v/>
      </c>
      <c r="E312" s="133" t="str">
        <f>IF($A312&lt;&gt;0,VLOOKUP($A312,'0.Productos'!$A$3:$GG$587,'0.Productos'!AW$1+1,0),"")</f>
        <v/>
      </c>
      <c r="F312" s="133" t="str">
        <f>IF($A312&lt;&gt;0,VLOOKUP($A312,'0.Productos'!$A$3:$GG$587,'0.Productos'!AX$1+1,0),"")</f>
        <v/>
      </c>
      <c r="G312" s="133" t="str">
        <f>IF($A312&lt;&gt;0,VLOOKUP($A312,'0.Productos'!$A$3:$GG$587,'0.Productos'!AY$1+1,0),"")</f>
        <v/>
      </c>
      <c r="H312" s="133" t="str">
        <f>IF($A312&lt;&gt;0,VLOOKUP($A312,'0.Productos'!$A$3:$GG$587,'0.Productos'!AZ$1+1,0),"")</f>
        <v/>
      </c>
      <c r="I312" s="133" t="str">
        <f>IF($A312&lt;&gt;0,VLOOKUP($A312,'0.Productos'!$A$3:$GG$587,'0.Productos'!BA$1+1,0),"")</f>
        <v/>
      </c>
      <c r="J312" s="133" t="str">
        <f>IF($A312&lt;&gt;0,VLOOKUP($A312,'0.Productos'!$A$3:$GG$587,'0.Productos'!BB$1+1,0),"")</f>
        <v/>
      </c>
      <c r="K312" s="133" t="str">
        <f>IF($A312&lt;&gt;0,VLOOKUP($A312,'0.Productos'!$A$3:$GG$587,'0.Productos'!BC$1+1,0),"")</f>
        <v/>
      </c>
      <c r="L312" s="133" t="str">
        <f>IF($A312&lt;&gt;0,VLOOKUP($A312,'0.Productos'!$A$3:$GG$587,'0.Productos'!BD$1+1,0),"")</f>
        <v/>
      </c>
      <c r="M312" s="133" t="str">
        <f>IF($A312&lt;&gt;0,VLOOKUP($A312,'0.Productos'!$A$3:$GG$587,'0.Productos'!BE$1+1,0),"")</f>
        <v/>
      </c>
      <c r="N312" s="133" t="str">
        <f>IF($A312&lt;&gt;0,VLOOKUP($A312,'0.Productos'!$A$3:$GG$587,'0.Productos'!BF$1+1,0),"")</f>
        <v/>
      </c>
      <c r="O312" s="133" t="str">
        <f>IF($A312&lt;&gt;0,VLOOKUP($A312,'0.Productos'!$A$3:$GG$587,'0.Productos'!BG$1+1,0),"")</f>
        <v/>
      </c>
      <c r="P312" s="133" t="str">
        <f>IF($A312&lt;&gt;0,VLOOKUP($A312,'0.Productos'!$A$3:$GG$587,'0.Productos'!BH$1+1,0),"")</f>
        <v/>
      </c>
      <c r="Q312" s="133" t="str">
        <f>IF($A312&lt;&gt;0,VLOOKUP($A312,'0.Productos'!$A$3:$GG$587,'0.Productos'!BI$1+1,0),"")</f>
        <v/>
      </c>
      <c r="R312" s="133" t="str">
        <f>IF($A312&lt;&gt;0,VLOOKUP($A312,'0.Productos'!$A$3:$GG$587,'0.Productos'!BJ$1+1,0),"")</f>
        <v/>
      </c>
      <c r="S312" s="133" t="str">
        <f>IF($A312&lt;&gt;0,VLOOKUP($A312,'0.Productos'!$A$3:$GG$587,'0.Productos'!BK$1+1,0),"")</f>
        <v/>
      </c>
      <c r="T312" s="133" t="str">
        <f>IF($A312&lt;&gt;0,VLOOKUP($A312,'0.Productos'!$A$3:$GG$587,'0.Productos'!BL$1+1,0),"")</f>
        <v/>
      </c>
      <c r="U312" s="133" t="str">
        <f>IF($A312&lt;&gt;0,VLOOKUP($A312,'0.Productos'!$A$3:$GG$587,'0.Productos'!BM$1+1,0),"")</f>
        <v/>
      </c>
      <c r="V312" s="133" t="str">
        <f>IF($A312&lt;&gt;0,VLOOKUP($A312,'0.Productos'!$A$3:$GG$587,'0.Productos'!BN$1+1,0),"")</f>
        <v/>
      </c>
      <c r="W312" s="133" t="str">
        <f>IF($A312&lt;&gt;0,VLOOKUP($A312,'0.Productos'!$A$3:$GG$587,'0.Productos'!BO$1+1,0),"")</f>
        <v/>
      </c>
      <c r="X312" s="133" t="str">
        <f>IF($A312&lt;&gt;0,VLOOKUP($A312,'0.Productos'!$A$3:$GG$587,'0.Productos'!BP$1+1,0),"")</f>
        <v/>
      </c>
      <c r="Y312" s="133" t="str">
        <f>IF($A312&lt;&gt;0,VLOOKUP($A312,'0.Productos'!$A$3:$GG$587,'0.Productos'!BQ$1+1,0),"")</f>
        <v/>
      </c>
      <c r="Z312" s="133" t="str">
        <f>IF($A312&lt;&gt;0,VLOOKUP($A312,'0.Productos'!$A$3:$GG$587,'0.Productos'!BR$1+1,0),"")</f>
        <v/>
      </c>
      <c r="AA312" s="133" t="str">
        <f>IF($A312&lt;&gt;0,VLOOKUP($A312,'0.Productos'!$A$3:$GG$587,'0.Productos'!BS$1+1,0),"")</f>
        <v/>
      </c>
      <c r="AB312" s="133" t="str">
        <f>IF($A312&lt;&gt;0,VLOOKUP($A312,'0.Productos'!$A$3:$GG$587,'0.Productos'!BT$1+1,0),"")</f>
        <v/>
      </c>
      <c r="AC312" s="133" t="str">
        <f>IF($A312&lt;&gt;0,VLOOKUP($A312,'0.Productos'!$A$3:$GG$587,'0.Productos'!BU$1+1,0),"")</f>
        <v/>
      </c>
      <c r="AD312" s="133" t="str">
        <f>IF($A312&lt;&gt;0,VLOOKUP($A312,'0.Productos'!$A$3:$GG$587,'0.Productos'!BV$1+1,0),"")</f>
        <v/>
      </c>
      <c r="AE312" s="133" t="str">
        <f>IF($A312&lt;&gt;0,VLOOKUP($A312,'0.Productos'!$A$3:$GG$587,'0.Productos'!BW$1+1,0),"")</f>
        <v/>
      </c>
      <c r="AF312" s="133" t="str">
        <f>IF($A312&lt;&gt;0,VLOOKUP($A312,'0.Productos'!$A$3:$GG$587,'0.Productos'!BX$1+1,0),"")</f>
        <v/>
      </c>
      <c r="AG312" s="133" t="str">
        <f>IF($A312&lt;&gt;0,VLOOKUP($A312,'0.Productos'!$A$3:$GG$587,'0.Productos'!BY$1+1,0),"")</f>
        <v/>
      </c>
      <c r="AH312" s="133" t="str">
        <f>IF($A312&lt;&gt;0,VLOOKUP($A312,'0.Productos'!$A$3:$GG$587,'0.Productos'!BZ$1+1,0),"")</f>
        <v/>
      </c>
      <c r="AI312" s="133" t="str">
        <f>IF($A312&lt;&gt;0,VLOOKUP($A312,'0.Productos'!$A$3:$GG$587,'0.Productos'!CA$1+1,0),"")</f>
        <v/>
      </c>
      <c r="AJ312" s="133" t="str">
        <f>IF($A312&lt;&gt;0,VLOOKUP($A312,'0.Productos'!$A$3:$GG$587,'0.Productos'!CB$1+1,0),"")</f>
        <v/>
      </c>
      <c r="AK312" s="133" t="str">
        <f>IF($A312&lt;&gt;0,VLOOKUP($A312,'0.Productos'!$A$3:$GG$587,'0.Productos'!CC$1+1,0),"")</f>
        <v/>
      </c>
      <c r="AL312" s="133" t="str">
        <f>IF($A312&lt;&gt;0,VLOOKUP($A312,'0.Productos'!$A$3:$GG$587,'0.Productos'!CD$1+1,0),"")</f>
        <v/>
      </c>
      <c r="AM312" s="133" t="str">
        <f>IF($A312&lt;&gt;0,VLOOKUP($A312,'0.Productos'!$A$3:$GG$587,'0.Productos'!CE$1+1,0),"")</f>
        <v/>
      </c>
      <c r="AN312" s="133" t="str">
        <f>IF($A312&lt;&gt;0,VLOOKUP($A312,'0.Productos'!$A$3:$GG$587,'0.Productos'!CF$1+1,0),"")</f>
        <v/>
      </c>
      <c r="AO312" s="133" t="str">
        <f>IF($A312&lt;&gt;0,VLOOKUP($A312,'0.Productos'!$A$3:$GG$587,'0.Productos'!CG$1+1,0),"")</f>
        <v/>
      </c>
      <c r="AP312" s="133" t="str">
        <f>IF($A312&lt;&gt;0,VLOOKUP($A312,'0.Productos'!$A$3:$GG$587,'0.Productos'!CH$1+1,0),"")</f>
        <v/>
      </c>
      <c r="AQ312" s="133" t="str">
        <f>IF($A312&lt;&gt;0,VLOOKUP($A312,'0.Productos'!$A$3:$GG$587,'0.Productos'!CI$1+1,0),"")</f>
        <v/>
      </c>
      <c r="AR312" s="133" t="str">
        <f>IF($A312&lt;&gt;0,VLOOKUP($A312,'0.Productos'!$A$3:$GG$587,'0.Productos'!CJ$1+1,0),"")</f>
        <v/>
      </c>
      <c r="AS312" s="133" t="str">
        <f>IF($A312&lt;&gt;0,VLOOKUP($A312,'0.Productos'!$A$3:$GG$587,'0.Productos'!CK$1+1,0),"")</f>
        <v/>
      </c>
      <c r="AT312" s="133" t="str">
        <f>IF($A312&lt;&gt;0,VLOOKUP($A312,'0.Productos'!$A$3:$GG$587,'0.Productos'!CL$1+1,0),"")</f>
        <v/>
      </c>
      <c r="AU312" s="133" t="str">
        <f>IF($A312&lt;&gt;0,VLOOKUP($A312,'0.Productos'!$A$3:$GG$587,'0.Productos'!CM$1+1,0),"")</f>
        <v/>
      </c>
      <c r="AV312" s="133" t="str">
        <f>IF($A312&lt;&gt;0,VLOOKUP($A312,'0.Productos'!$A$3:$GG$587,'0.Productos'!CN$1+1,0),"")</f>
        <v/>
      </c>
      <c r="AW312" s="133" t="str">
        <f>IF($A312&lt;&gt;0,VLOOKUP($A312,'0.Productos'!$A$3:$GG$587,'0.Productos'!CO$1+1,0),"")</f>
        <v/>
      </c>
      <c r="AX312" s="133" t="str">
        <f>IF($A312&lt;&gt;0,VLOOKUP($A312,'0.Productos'!$A$3:$GG$587,'0.Productos'!CP$1+1,0),"")</f>
        <v/>
      </c>
      <c r="AY312" s="133" t="str">
        <f>IF($A312&lt;&gt;0,VLOOKUP($A312,'0.Productos'!$A$3:$GG$587,'0.Productos'!CQ$1+1,0),"")</f>
        <v/>
      </c>
      <c r="AZ312" s="133" t="str">
        <f>IF($A312&lt;&gt;0,VLOOKUP($A312,'0.Productos'!$A$3:$GG$587,'0.Productos'!CR$1+1,0),"")</f>
        <v/>
      </c>
      <c r="BA312" s="133" t="str">
        <f>IF($A312&lt;&gt;0,VLOOKUP($A312,'0.Productos'!$A$3:$GG$587,'0.Productos'!CS$1+1,0),"")</f>
        <v/>
      </c>
      <c r="BB312" s="133" t="str">
        <f>IF($A312&lt;&gt;0,VLOOKUP($A312,'0.Productos'!$A$3:$GG$587,'0.Productos'!CT$1+1,0),"")</f>
        <v/>
      </c>
      <c r="BC312" s="133" t="str">
        <f>IF($A312&lt;&gt;0,VLOOKUP($A312,'0.Productos'!$A$3:$GG$587,'0.Productos'!CU$1+1,0),"")</f>
        <v/>
      </c>
      <c r="BD312" s="133" t="str">
        <f>IF($A312&lt;&gt;0,VLOOKUP($A312,'0.Productos'!$A$3:$GG$587,'0.Productos'!CV$1+1,0),"")</f>
        <v/>
      </c>
      <c r="BE312" s="133" t="str">
        <f>IF($A312&lt;&gt;0,VLOOKUP($A312,'0.Productos'!$A$3:$GG$587,'0.Productos'!CW$1+1,0),"")</f>
        <v/>
      </c>
      <c r="BF312" s="133" t="str">
        <f>IF($A312&lt;&gt;0,VLOOKUP($A312,'0.Productos'!$A$3:$GG$587,'0.Productos'!CX$1+1,0),"")</f>
        <v/>
      </c>
      <c r="BG312" s="133" t="str">
        <f>IF($A312&lt;&gt;0,VLOOKUP($A312,'0.Productos'!$A$3:$GG$587,'0.Productos'!CY$1+1,0),"")</f>
        <v/>
      </c>
      <c r="BH312" s="133" t="str">
        <f>IF($A312&lt;&gt;0,VLOOKUP($A312,'0.Productos'!$A$3:$GG$587,'0.Productos'!CZ$1+1,0),"")</f>
        <v/>
      </c>
      <c r="BI312" s="133" t="str">
        <f>IF($A312&lt;&gt;0,VLOOKUP($A312,'0.Productos'!$A$3:$GG$587,'0.Productos'!DA$1+1,0),"")</f>
        <v/>
      </c>
      <c r="BJ312" s="133" t="str">
        <f>IF($A312&lt;&gt;0,VLOOKUP($A312,'0.Productos'!$A$3:$GG$587,'0.Productos'!DB$1+1,0),"")</f>
        <v/>
      </c>
      <c r="BK312" s="133" t="str">
        <f>IF($A312&lt;&gt;0,VLOOKUP($A312,'0.Productos'!$A$3:$GG$587,'0.Productos'!DC$1+1,0),"")</f>
        <v/>
      </c>
      <c r="BL312" s="133" t="str">
        <f>IF($A312&lt;&gt;0,VLOOKUP($A312,'0.Productos'!$A$3:$GG$587,'0.Productos'!DD$1+1,0),"")</f>
        <v/>
      </c>
      <c r="BM312" s="133" t="str">
        <f>IF($A312&lt;&gt;0,VLOOKUP($A312,'0.Productos'!$A$3:$GG$587,'0.Productos'!DE$1+1,0),"")</f>
        <v/>
      </c>
      <c r="BN312" s="133" t="str">
        <f>IF($A312&lt;&gt;0,VLOOKUP($A312,'0.Productos'!$A$3:$GG$587,'0.Productos'!DF$1+1,0),"")</f>
        <v/>
      </c>
      <c r="BO312" s="133" t="str">
        <f>IF($A312&lt;&gt;0,VLOOKUP($A312,'0.Productos'!$A$3:$GG$587,'0.Productos'!DG$1+1,0),"")</f>
        <v/>
      </c>
      <c r="BP312" s="133" t="str">
        <f>IF($A312&lt;&gt;0,VLOOKUP($A312,'0.Productos'!$A$3:$GG$587,'0.Productos'!DH$1+1,0),"")</f>
        <v/>
      </c>
      <c r="BQ312" s="133" t="str">
        <f>IF($A312&lt;&gt;0,VLOOKUP($A312,'0.Productos'!$A$3:$GG$587,'0.Productos'!DI$1+1,0),"")</f>
        <v/>
      </c>
      <c r="BR312" s="133" t="str">
        <f>IF($A312&lt;&gt;0,VLOOKUP($A312,'0.Productos'!$A$3:$GG$587,'0.Productos'!DJ$1+1,0),"")</f>
        <v/>
      </c>
      <c r="BS312" s="133" t="str">
        <f>IF($A312&lt;&gt;0,VLOOKUP($A312,'0.Productos'!$A$3:$GG$587,'0.Productos'!DK$1+1,0),"")</f>
        <v/>
      </c>
      <c r="BT312" s="133" t="str">
        <f>IF($A312&lt;&gt;0,VLOOKUP($A312,'0.Productos'!$A$3:$GG$587,'0.Productos'!DL$1+1,0),"")</f>
        <v/>
      </c>
    </row>
    <row r="313" spans="1:72" x14ac:dyDescent="0.25">
      <c r="A313" s="17">
        <f>'0.Consolidado general'!A313</f>
        <v>0</v>
      </c>
      <c r="B313" s="133" t="str">
        <f>IF($A313&lt;&gt;0,VLOOKUP($A313,'0.Productos'!$A$3:$GG$587,'0.Productos'!AT$1+1,0),"")</f>
        <v/>
      </c>
      <c r="C313" s="133" t="str">
        <f>IF($A313&lt;&gt;0,VLOOKUP($A313,'0.Productos'!$A$3:$GG$587,'0.Productos'!AU$1+1,0),"")</f>
        <v/>
      </c>
      <c r="D313" s="133" t="str">
        <f>IF($A313&lt;&gt;0,VLOOKUP($A313,'0.Productos'!$A$3:$GG$587,'0.Productos'!AV$1+1,0),"")</f>
        <v/>
      </c>
      <c r="E313" s="133" t="str">
        <f>IF($A313&lt;&gt;0,VLOOKUP($A313,'0.Productos'!$A$3:$GG$587,'0.Productos'!AW$1+1,0),"")</f>
        <v/>
      </c>
      <c r="F313" s="133" t="str">
        <f>IF($A313&lt;&gt;0,VLOOKUP($A313,'0.Productos'!$A$3:$GG$587,'0.Productos'!AX$1+1,0),"")</f>
        <v/>
      </c>
      <c r="G313" s="133" t="str">
        <f>IF($A313&lt;&gt;0,VLOOKUP($A313,'0.Productos'!$A$3:$GG$587,'0.Productos'!AY$1+1,0),"")</f>
        <v/>
      </c>
      <c r="H313" s="133" t="str">
        <f>IF($A313&lt;&gt;0,VLOOKUP($A313,'0.Productos'!$A$3:$GG$587,'0.Productos'!AZ$1+1,0),"")</f>
        <v/>
      </c>
      <c r="I313" s="133" t="str">
        <f>IF($A313&lt;&gt;0,VLOOKUP($A313,'0.Productos'!$A$3:$GG$587,'0.Productos'!BA$1+1,0),"")</f>
        <v/>
      </c>
      <c r="J313" s="133" t="str">
        <f>IF($A313&lt;&gt;0,VLOOKUP($A313,'0.Productos'!$A$3:$GG$587,'0.Productos'!BB$1+1,0),"")</f>
        <v/>
      </c>
      <c r="K313" s="133" t="str">
        <f>IF($A313&lt;&gt;0,VLOOKUP($A313,'0.Productos'!$A$3:$GG$587,'0.Productos'!BC$1+1,0),"")</f>
        <v/>
      </c>
      <c r="L313" s="133" t="str">
        <f>IF($A313&lt;&gt;0,VLOOKUP($A313,'0.Productos'!$A$3:$GG$587,'0.Productos'!BD$1+1,0),"")</f>
        <v/>
      </c>
      <c r="M313" s="133" t="str">
        <f>IF($A313&lt;&gt;0,VLOOKUP($A313,'0.Productos'!$A$3:$GG$587,'0.Productos'!BE$1+1,0),"")</f>
        <v/>
      </c>
      <c r="N313" s="133" t="str">
        <f>IF($A313&lt;&gt;0,VLOOKUP($A313,'0.Productos'!$A$3:$GG$587,'0.Productos'!BF$1+1,0),"")</f>
        <v/>
      </c>
      <c r="O313" s="133" t="str">
        <f>IF($A313&lt;&gt;0,VLOOKUP($A313,'0.Productos'!$A$3:$GG$587,'0.Productos'!BG$1+1,0),"")</f>
        <v/>
      </c>
      <c r="P313" s="133" t="str">
        <f>IF($A313&lt;&gt;0,VLOOKUP($A313,'0.Productos'!$A$3:$GG$587,'0.Productos'!BH$1+1,0),"")</f>
        <v/>
      </c>
      <c r="Q313" s="133" t="str">
        <f>IF($A313&lt;&gt;0,VLOOKUP($A313,'0.Productos'!$A$3:$GG$587,'0.Productos'!BI$1+1,0),"")</f>
        <v/>
      </c>
      <c r="R313" s="133" t="str">
        <f>IF($A313&lt;&gt;0,VLOOKUP($A313,'0.Productos'!$A$3:$GG$587,'0.Productos'!BJ$1+1,0),"")</f>
        <v/>
      </c>
      <c r="S313" s="133" t="str">
        <f>IF($A313&lt;&gt;0,VLOOKUP($A313,'0.Productos'!$A$3:$GG$587,'0.Productos'!BK$1+1,0),"")</f>
        <v/>
      </c>
      <c r="T313" s="133" t="str">
        <f>IF($A313&lt;&gt;0,VLOOKUP($A313,'0.Productos'!$A$3:$GG$587,'0.Productos'!BL$1+1,0),"")</f>
        <v/>
      </c>
      <c r="U313" s="133" t="str">
        <f>IF($A313&lt;&gt;0,VLOOKUP($A313,'0.Productos'!$A$3:$GG$587,'0.Productos'!BM$1+1,0),"")</f>
        <v/>
      </c>
      <c r="V313" s="133" t="str">
        <f>IF($A313&lt;&gt;0,VLOOKUP($A313,'0.Productos'!$A$3:$GG$587,'0.Productos'!BN$1+1,0),"")</f>
        <v/>
      </c>
      <c r="W313" s="133" t="str">
        <f>IF($A313&lt;&gt;0,VLOOKUP($A313,'0.Productos'!$A$3:$GG$587,'0.Productos'!BO$1+1,0),"")</f>
        <v/>
      </c>
      <c r="X313" s="133" t="str">
        <f>IF($A313&lt;&gt;0,VLOOKUP($A313,'0.Productos'!$A$3:$GG$587,'0.Productos'!BP$1+1,0),"")</f>
        <v/>
      </c>
      <c r="Y313" s="133" t="str">
        <f>IF($A313&lt;&gt;0,VLOOKUP($A313,'0.Productos'!$A$3:$GG$587,'0.Productos'!BQ$1+1,0),"")</f>
        <v/>
      </c>
      <c r="Z313" s="133" t="str">
        <f>IF($A313&lt;&gt;0,VLOOKUP($A313,'0.Productos'!$A$3:$GG$587,'0.Productos'!BR$1+1,0),"")</f>
        <v/>
      </c>
      <c r="AA313" s="133" t="str">
        <f>IF($A313&lt;&gt;0,VLOOKUP($A313,'0.Productos'!$A$3:$GG$587,'0.Productos'!BS$1+1,0),"")</f>
        <v/>
      </c>
      <c r="AB313" s="133" t="str">
        <f>IF($A313&lt;&gt;0,VLOOKUP($A313,'0.Productos'!$A$3:$GG$587,'0.Productos'!BT$1+1,0),"")</f>
        <v/>
      </c>
      <c r="AC313" s="133" t="str">
        <f>IF($A313&lt;&gt;0,VLOOKUP($A313,'0.Productos'!$A$3:$GG$587,'0.Productos'!BU$1+1,0),"")</f>
        <v/>
      </c>
      <c r="AD313" s="133" t="str">
        <f>IF($A313&lt;&gt;0,VLOOKUP($A313,'0.Productos'!$A$3:$GG$587,'0.Productos'!BV$1+1,0),"")</f>
        <v/>
      </c>
      <c r="AE313" s="133" t="str">
        <f>IF($A313&lt;&gt;0,VLOOKUP($A313,'0.Productos'!$A$3:$GG$587,'0.Productos'!BW$1+1,0),"")</f>
        <v/>
      </c>
      <c r="AF313" s="133" t="str">
        <f>IF($A313&lt;&gt;0,VLOOKUP($A313,'0.Productos'!$A$3:$GG$587,'0.Productos'!BX$1+1,0),"")</f>
        <v/>
      </c>
      <c r="AG313" s="133" t="str">
        <f>IF($A313&lt;&gt;0,VLOOKUP($A313,'0.Productos'!$A$3:$GG$587,'0.Productos'!BY$1+1,0),"")</f>
        <v/>
      </c>
      <c r="AH313" s="133" t="str">
        <f>IF($A313&lt;&gt;0,VLOOKUP($A313,'0.Productos'!$A$3:$GG$587,'0.Productos'!BZ$1+1,0),"")</f>
        <v/>
      </c>
      <c r="AI313" s="133" t="str">
        <f>IF($A313&lt;&gt;0,VLOOKUP($A313,'0.Productos'!$A$3:$GG$587,'0.Productos'!CA$1+1,0),"")</f>
        <v/>
      </c>
      <c r="AJ313" s="133" t="str">
        <f>IF($A313&lt;&gt;0,VLOOKUP($A313,'0.Productos'!$A$3:$GG$587,'0.Productos'!CB$1+1,0),"")</f>
        <v/>
      </c>
      <c r="AK313" s="133" t="str">
        <f>IF($A313&lt;&gt;0,VLOOKUP($A313,'0.Productos'!$A$3:$GG$587,'0.Productos'!CC$1+1,0),"")</f>
        <v/>
      </c>
      <c r="AL313" s="133" t="str">
        <f>IF($A313&lt;&gt;0,VLOOKUP($A313,'0.Productos'!$A$3:$GG$587,'0.Productos'!CD$1+1,0),"")</f>
        <v/>
      </c>
      <c r="AM313" s="133" t="str">
        <f>IF($A313&lt;&gt;0,VLOOKUP($A313,'0.Productos'!$A$3:$GG$587,'0.Productos'!CE$1+1,0),"")</f>
        <v/>
      </c>
      <c r="AN313" s="133" t="str">
        <f>IF($A313&lt;&gt;0,VLOOKUP($A313,'0.Productos'!$A$3:$GG$587,'0.Productos'!CF$1+1,0),"")</f>
        <v/>
      </c>
      <c r="AO313" s="133" t="str">
        <f>IF($A313&lt;&gt;0,VLOOKUP($A313,'0.Productos'!$A$3:$GG$587,'0.Productos'!CG$1+1,0),"")</f>
        <v/>
      </c>
      <c r="AP313" s="133" t="str">
        <f>IF($A313&lt;&gt;0,VLOOKUP($A313,'0.Productos'!$A$3:$GG$587,'0.Productos'!CH$1+1,0),"")</f>
        <v/>
      </c>
      <c r="AQ313" s="133" t="str">
        <f>IF($A313&lt;&gt;0,VLOOKUP($A313,'0.Productos'!$A$3:$GG$587,'0.Productos'!CI$1+1,0),"")</f>
        <v/>
      </c>
      <c r="AR313" s="133" t="str">
        <f>IF($A313&lt;&gt;0,VLOOKUP($A313,'0.Productos'!$A$3:$GG$587,'0.Productos'!CJ$1+1,0),"")</f>
        <v/>
      </c>
      <c r="AS313" s="133" t="str">
        <f>IF($A313&lt;&gt;0,VLOOKUP($A313,'0.Productos'!$A$3:$GG$587,'0.Productos'!CK$1+1,0),"")</f>
        <v/>
      </c>
      <c r="AT313" s="133" t="str">
        <f>IF($A313&lt;&gt;0,VLOOKUP($A313,'0.Productos'!$A$3:$GG$587,'0.Productos'!CL$1+1,0),"")</f>
        <v/>
      </c>
      <c r="AU313" s="133" t="str">
        <f>IF($A313&lt;&gt;0,VLOOKUP($A313,'0.Productos'!$A$3:$GG$587,'0.Productos'!CM$1+1,0),"")</f>
        <v/>
      </c>
      <c r="AV313" s="133" t="str">
        <f>IF($A313&lt;&gt;0,VLOOKUP($A313,'0.Productos'!$A$3:$GG$587,'0.Productos'!CN$1+1,0),"")</f>
        <v/>
      </c>
      <c r="AW313" s="133" t="str">
        <f>IF($A313&lt;&gt;0,VLOOKUP($A313,'0.Productos'!$A$3:$GG$587,'0.Productos'!CO$1+1,0),"")</f>
        <v/>
      </c>
      <c r="AX313" s="133" t="str">
        <f>IF($A313&lt;&gt;0,VLOOKUP($A313,'0.Productos'!$A$3:$GG$587,'0.Productos'!CP$1+1,0),"")</f>
        <v/>
      </c>
      <c r="AY313" s="133" t="str">
        <f>IF($A313&lt;&gt;0,VLOOKUP($A313,'0.Productos'!$A$3:$GG$587,'0.Productos'!CQ$1+1,0),"")</f>
        <v/>
      </c>
      <c r="AZ313" s="133" t="str">
        <f>IF($A313&lt;&gt;0,VLOOKUP($A313,'0.Productos'!$A$3:$GG$587,'0.Productos'!CR$1+1,0),"")</f>
        <v/>
      </c>
      <c r="BA313" s="133" t="str">
        <f>IF($A313&lt;&gt;0,VLOOKUP($A313,'0.Productos'!$A$3:$GG$587,'0.Productos'!CS$1+1,0),"")</f>
        <v/>
      </c>
      <c r="BB313" s="133" t="str">
        <f>IF($A313&lt;&gt;0,VLOOKUP($A313,'0.Productos'!$A$3:$GG$587,'0.Productos'!CT$1+1,0),"")</f>
        <v/>
      </c>
      <c r="BC313" s="133" t="str">
        <f>IF($A313&lt;&gt;0,VLOOKUP($A313,'0.Productos'!$A$3:$GG$587,'0.Productos'!CU$1+1,0),"")</f>
        <v/>
      </c>
      <c r="BD313" s="133" t="str">
        <f>IF($A313&lt;&gt;0,VLOOKUP($A313,'0.Productos'!$A$3:$GG$587,'0.Productos'!CV$1+1,0),"")</f>
        <v/>
      </c>
      <c r="BE313" s="133" t="str">
        <f>IF($A313&lt;&gt;0,VLOOKUP($A313,'0.Productos'!$A$3:$GG$587,'0.Productos'!CW$1+1,0),"")</f>
        <v/>
      </c>
      <c r="BF313" s="133" t="str">
        <f>IF($A313&lt;&gt;0,VLOOKUP($A313,'0.Productos'!$A$3:$GG$587,'0.Productos'!CX$1+1,0),"")</f>
        <v/>
      </c>
      <c r="BG313" s="133" t="str">
        <f>IF($A313&lt;&gt;0,VLOOKUP($A313,'0.Productos'!$A$3:$GG$587,'0.Productos'!CY$1+1,0),"")</f>
        <v/>
      </c>
      <c r="BH313" s="133" t="str">
        <f>IF($A313&lt;&gt;0,VLOOKUP($A313,'0.Productos'!$A$3:$GG$587,'0.Productos'!CZ$1+1,0),"")</f>
        <v/>
      </c>
      <c r="BI313" s="133" t="str">
        <f>IF($A313&lt;&gt;0,VLOOKUP($A313,'0.Productos'!$A$3:$GG$587,'0.Productos'!DA$1+1,0),"")</f>
        <v/>
      </c>
      <c r="BJ313" s="133" t="str">
        <f>IF($A313&lt;&gt;0,VLOOKUP($A313,'0.Productos'!$A$3:$GG$587,'0.Productos'!DB$1+1,0),"")</f>
        <v/>
      </c>
      <c r="BK313" s="133" t="str">
        <f>IF($A313&lt;&gt;0,VLOOKUP($A313,'0.Productos'!$A$3:$GG$587,'0.Productos'!DC$1+1,0),"")</f>
        <v/>
      </c>
      <c r="BL313" s="133" t="str">
        <f>IF($A313&lt;&gt;0,VLOOKUP($A313,'0.Productos'!$A$3:$GG$587,'0.Productos'!DD$1+1,0),"")</f>
        <v/>
      </c>
      <c r="BM313" s="133" t="str">
        <f>IF($A313&lt;&gt;0,VLOOKUP($A313,'0.Productos'!$A$3:$GG$587,'0.Productos'!DE$1+1,0),"")</f>
        <v/>
      </c>
      <c r="BN313" s="133" t="str">
        <f>IF($A313&lt;&gt;0,VLOOKUP($A313,'0.Productos'!$A$3:$GG$587,'0.Productos'!DF$1+1,0),"")</f>
        <v/>
      </c>
      <c r="BO313" s="133" t="str">
        <f>IF($A313&lt;&gt;0,VLOOKUP($A313,'0.Productos'!$A$3:$GG$587,'0.Productos'!DG$1+1,0),"")</f>
        <v/>
      </c>
      <c r="BP313" s="133" t="str">
        <f>IF($A313&lt;&gt;0,VLOOKUP($A313,'0.Productos'!$A$3:$GG$587,'0.Productos'!DH$1+1,0),"")</f>
        <v/>
      </c>
      <c r="BQ313" s="133" t="str">
        <f>IF($A313&lt;&gt;0,VLOOKUP($A313,'0.Productos'!$A$3:$GG$587,'0.Productos'!DI$1+1,0),"")</f>
        <v/>
      </c>
      <c r="BR313" s="133" t="str">
        <f>IF($A313&lt;&gt;0,VLOOKUP($A313,'0.Productos'!$A$3:$GG$587,'0.Productos'!DJ$1+1,0),"")</f>
        <v/>
      </c>
      <c r="BS313" s="133" t="str">
        <f>IF($A313&lt;&gt;0,VLOOKUP($A313,'0.Productos'!$A$3:$GG$587,'0.Productos'!DK$1+1,0),"")</f>
        <v/>
      </c>
      <c r="BT313" s="133" t="str">
        <f>IF($A313&lt;&gt;0,VLOOKUP($A313,'0.Productos'!$A$3:$GG$587,'0.Productos'!DL$1+1,0),"")</f>
        <v/>
      </c>
    </row>
    <row r="314" spans="1:72" x14ac:dyDescent="0.25">
      <c r="A314" s="17">
        <f>'0.Consolidado general'!A314</f>
        <v>0</v>
      </c>
      <c r="B314" s="133" t="str">
        <f>IF($A314&lt;&gt;0,VLOOKUP($A314,'0.Productos'!$A$3:$GG$587,'0.Productos'!AT$1+1,0),"")</f>
        <v/>
      </c>
      <c r="C314" s="133" t="str">
        <f>IF($A314&lt;&gt;0,VLOOKUP($A314,'0.Productos'!$A$3:$GG$587,'0.Productos'!AU$1+1,0),"")</f>
        <v/>
      </c>
      <c r="D314" s="133" t="str">
        <f>IF($A314&lt;&gt;0,VLOOKUP($A314,'0.Productos'!$A$3:$GG$587,'0.Productos'!AV$1+1,0),"")</f>
        <v/>
      </c>
      <c r="E314" s="133" t="str">
        <f>IF($A314&lt;&gt;0,VLOOKUP($A314,'0.Productos'!$A$3:$GG$587,'0.Productos'!AW$1+1,0),"")</f>
        <v/>
      </c>
      <c r="F314" s="133" t="str">
        <f>IF($A314&lt;&gt;0,VLOOKUP($A314,'0.Productos'!$A$3:$GG$587,'0.Productos'!AX$1+1,0),"")</f>
        <v/>
      </c>
      <c r="G314" s="133" t="str">
        <f>IF($A314&lt;&gt;0,VLOOKUP($A314,'0.Productos'!$A$3:$GG$587,'0.Productos'!AY$1+1,0),"")</f>
        <v/>
      </c>
      <c r="H314" s="133" t="str">
        <f>IF($A314&lt;&gt;0,VLOOKUP($A314,'0.Productos'!$A$3:$GG$587,'0.Productos'!AZ$1+1,0),"")</f>
        <v/>
      </c>
      <c r="I314" s="133" t="str">
        <f>IF($A314&lt;&gt;0,VLOOKUP($A314,'0.Productos'!$A$3:$GG$587,'0.Productos'!BA$1+1,0),"")</f>
        <v/>
      </c>
      <c r="J314" s="133" t="str">
        <f>IF($A314&lt;&gt;0,VLOOKUP($A314,'0.Productos'!$A$3:$GG$587,'0.Productos'!BB$1+1,0),"")</f>
        <v/>
      </c>
      <c r="K314" s="133" t="str">
        <f>IF($A314&lt;&gt;0,VLOOKUP($A314,'0.Productos'!$A$3:$GG$587,'0.Productos'!BC$1+1,0),"")</f>
        <v/>
      </c>
      <c r="L314" s="133" t="str">
        <f>IF($A314&lt;&gt;0,VLOOKUP($A314,'0.Productos'!$A$3:$GG$587,'0.Productos'!BD$1+1,0),"")</f>
        <v/>
      </c>
      <c r="M314" s="133" t="str">
        <f>IF($A314&lt;&gt;0,VLOOKUP($A314,'0.Productos'!$A$3:$GG$587,'0.Productos'!BE$1+1,0),"")</f>
        <v/>
      </c>
      <c r="N314" s="133" t="str">
        <f>IF($A314&lt;&gt;0,VLOOKUP($A314,'0.Productos'!$A$3:$GG$587,'0.Productos'!BF$1+1,0),"")</f>
        <v/>
      </c>
      <c r="O314" s="133" t="str">
        <f>IF($A314&lt;&gt;0,VLOOKUP($A314,'0.Productos'!$A$3:$GG$587,'0.Productos'!BG$1+1,0),"")</f>
        <v/>
      </c>
      <c r="P314" s="133" t="str">
        <f>IF($A314&lt;&gt;0,VLOOKUP($A314,'0.Productos'!$A$3:$GG$587,'0.Productos'!BH$1+1,0),"")</f>
        <v/>
      </c>
      <c r="Q314" s="133" t="str">
        <f>IF($A314&lt;&gt;0,VLOOKUP($A314,'0.Productos'!$A$3:$GG$587,'0.Productos'!BI$1+1,0),"")</f>
        <v/>
      </c>
      <c r="R314" s="133" t="str">
        <f>IF($A314&lt;&gt;0,VLOOKUP($A314,'0.Productos'!$A$3:$GG$587,'0.Productos'!BJ$1+1,0),"")</f>
        <v/>
      </c>
      <c r="S314" s="133" t="str">
        <f>IF($A314&lt;&gt;0,VLOOKUP($A314,'0.Productos'!$A$3:$GG$587,'0.Productos'!BK$1+1,0),"")</f>
        <v/>
      </c>
      <c r="T314" s="133" t="str">
        <f>IF($A314&lt;&gt;0,VLOOKUP($A314,'0.Productos'!$A$3:$GG$587,'0.Productos'!BL$1+1,0),"")</f>
        <v/>
      </c>
      <c r="U314" s="133" t="str">
        <f>IF($A314&lt;&gt;0,VLOOKUP($A314,'0.Productos'!$A$3:$GG$587,'0.Productos'!BM$1+1,0),"")</f>
        <v/>
      </c>
      <c r="V314" s="133" t="str">
        <f>IF($A314&lt;&gt;0,VLOOKUP($A314,'0.Productos'!$A$3:$GG$587,'0.Productos'!BN$1+1,0),"")</f>
        <v/>
      </c>
      <c r="W314" s="133" t="str">
        <f>IF($A314&lt;&gt;0,VLOOKUP($A314,'0.Productos'!$A$3:$GG$587,'0.Productos'!BO$1+1,0),"")</f>
        <v/>
      </c>
      <c r="X314" s="133" t="str">
        <f>IF($A314&lt;&gt;0,VLOOKUP($A314,'0.Productos'!$A$3:$GG$587,'0.Productos'!BP$1+1,0),"")</f>
        <v/>
      </c>
      <c r="Y314" s="133" t="str">
        <f>IF($A314&lt;&gt;0,VLOOKUP($A314,'0.Productos'!$A$3:$GG$587,'0.Productos'!BQ$1+1,0),"")</f>
        <v/>
      </c>
      <c r="Z314" s="133" t="str">
        <f>IF($A314&lt;&gt;0,VLOOKUP($A314,'0.Productos'!$A$3:$GG$587,'0.Productos'!BR$1+1,0),"")</f>
        <v/>
      </c>
      <c r="AA314" s="133" t="str">
        <f>IF($A314&lt;&gt;0,VLOOKUP($A314,'0.Productos'!$A$3:$GG$587,'0.Productos'!BS$1+1,0),"")</f>
        <v/>
      </c>
      <c r="AB314" s="133" t="str">
        <f>IF($A314&lt;&gt;0,VLOOKUP($A314,'0.Productos'!$A$3:$GG$587,'0.Productos'!BT$1+1,0),"")</f>
        <v/>
      </c>
      <c r="AC314" s="133" t="str">
        <f>IF($A314&lt;&gt;0,VLOOKUP($A314,'0.Productos'!$A$3:$GG$587,'0.Productos'!BU$1+1,0),"")</f>
        <v/>
      </c>
      <c r="AD314" s="133" t="str">
        <f>IF($A314&lt;&gt;0,VLOOKUP($A314,'0.Productos'!$A$3:$GG$587,'0.Productos'!BV$1+1,0),"")</f>
        <v/>
      </c>
      <c r="AE314" s="133" t="str">
        <f>IF($A314&lt;&gt;0,VLOOKUP($A314,'0.Productos'!$A$3:$GG$587,'0.Productos'!BW$1+1,0),"")</f>
        <v/>
      </c>
      <c r="AF314" s="133" t="str">
        <f>IF($A314&lt;&gt;0,VLOOKUP($A314,'0.Productos'!$A$3:$GG$587,'0.Productos'!BX$1+1,0),"")</f>
        <v/>
      </c>
      <c r="AG314" s="133" t="str">
        <f>IF($A314&lt;&gt;0,VLOOKUP($A314,'0.Productos'!$A$3:$GG$587,'0.Productos'!BY$1+1,0),"")</f>
        <v/>
      </c>
      <c r="AH314" s="133" t="str">
        <f>IF($A314&lt;&gt;0,VLOOKUP($A314,'0.Productos'!$A$3:$GG$587,'0.Productos'!BZ$1+1,0),"")</f>
        <v/>
      </c>
      <c r="AI314" s="133" t="str">
        <f>IF($A314&lt;&gt;0,VLOOKUP($A314,'0.Productos'!$A$3:$GG$587,'0.Productos'!CA$1+1,0),"")</f>
        <v/>
      </c>
      <c r="AJ314" s="133" t="str">
        <f>IF($A314&lt;&gt;0,VLOOKUP($A314,'0.Productos'!$A$3:$GG$587,'0.Productos'!CB$1+1,0),"")</f>
        <v/>
      </c>
      <c r="AK314" s="133" t="str">
        <f>IF($A314&lt;&gt;0,VLOOKUP($A314,'0.Productos'!$A$3:$GG$587,'0.Productos'!CC$1+1,0),"")</f>
        <v/>
      </c>
      <c r="AL314" s="133" t="str">
        <f>IF($A314&lt;&gt;0,VLOOKUP($A314,'0.Productos'!$A$3:$GG$587,'0.Productos'!CD$1+1,0),"")</f>
        <v/>
      </c>
      <c r="AM314" s="133" t="str">
        <f>IF($A314&lt;&gt;0,VLOOKUP($A314,'0.Productos'!$A$3:$GG$587,'0.Productos'!CE$1+1,0),"")</f>
        <v/>
      </c>
      <c r="AN314" s="133" t="str">
        <f>IF($A314&lt;&gt;0,VLOOKUP($A314,'0.Productos'!$A$3:$GG$587,'0.Productos'!CF$1+1,0),"")</f>
        <v/>
      </c>
      <c r="AO314" s="133" t="str">
        <f>IF($A314&lt;&gt;0,VLOOKUP($A314,'0.Productos'!$A$3:$GG$587,'0.Productos'!CG$1+1,0),"")</f>
        <v/>
      </c>
      <c r="AP314" s="133" t="str">
        <f>IF($A314&lt;&gt;0,VLOOKUP($A314,'0.Productos'!$A$3:$GG$587,'0.Productos'!CH$1+1,0),"")</f>
        <v/>
      </c>
      <c r="AQ314" s="133" t="str">
        <f>IF($A314&lt;&gt;0,VLOOKUP($A314,'0.Productos'!$A$3:$GG$587,'0.Productos'!CI$1+1,0),"")</f>
        <v/>
      </c>
      <c r="AR314" s="133" t="str">
        <f>IF($A314&lt;&gt;0,VLOOKUP($A314,'0.Productos'!$A$3:$GG$587,'0.Productos'!CJ$1+1,0),"")</f>
        <v/>
      </c>
      <c r="AS314" s="133" t="str">
        <f>IF($A314&lt;&gt;0,VLOOKUP($A314,'0.Productos'!$A$3:$GG$587,'0.Productos'!CK$1+1,0),"")</f>
        <v/>
      </c>
      <c r="AT314" s="133" t="str">
        <f>IF($A314&lt;&gt;0,VLOOKUP($A314,'0.Productos'!$A$3:$GG$587,'0.Productos'!CL$1+1,0),"")</f>
        <v/>
      </c>
      <c r="AU314" s="133" t="str">
        <f>IF($A314&lt;&gt;0,VLOOKUP($A314,'0.Productos'!$A$3:$GG$587,'0.Productos'!CM$1+1,0),"")</f>
        <v/>
      </c>
      <c r="AV314" s="133" t="str">
        <f>IF($A314&lt;&gt;0,VLOOKUP($A314,'0.Productos'!$A$3:$GG$587,'0.Productos'!CN$1+1,0),"")</f>
        <v/>
      </c>
      <c r="AW314" s="133" t="str">
        <f>IF($A314&lt;&gt;0,VLOOKUP($A314,'0.Productos'!$A$3:$GG$587,'0.Productos'!CO$1+1,0),"")</f>
        <v/>
      </c>
      <c r="AX314" s="133" t="str">
        <f>IF($A314&lt;&gt;0,VLOOKUP($A314,'0.Productos'!$A$3:$GG$587,'0.Productos'!CP$1+1,0),"")</f>
        <v/>
      </c>
      <c r="AY314" s="133" t="str">
        <f>IF($A314&lt;&gt;0,VLOOKUP($A314,'0.Productos'!$A$3:$GG$587,'0.Productos'!CQ$1+1,0),"")</f>
        <v/>
      </c>
      <c r="AZ314" s="133" t="str">
        <f>IF($A314&lt;&gt;0,VLOOKUP($A314,'0.Productos'!$A$3:$GG$587,'0.Productos'!CR$1+1,0),"")</f>
        <v/>
      </c>
      <c r="BA314" s="133" t="str">
        <f>IF($A314&lt;&gt;0,VLOOKUP($A314,'0.Productos'!$A$3:$GG$587,'0.Productos'!CS$1+1,0),"")</f>
        <v/>
      </c>
      <c r="BB314" s="133" t="str">
        <f>IF($A314&lt;&gt;0,VLOOKUP($A314,'0.Productos'!$A$3:$GG$587,'0.Productos'!CT$1+1,0),"")</f>
        <v/>
      </c>
      <c r="BC314" s="133" t="str">
        <f>IF($A314&lt;&gt;0,VLOOKUP($A314,'0.Productos'!$A$3:$GG$587,'0.Productos'!CU$1+1,0),"")</f>
        <v/>
      </c>
      <c r="BD314" s="133" t="str">
        <f>IF($A314&lt;&gt;0,VLOOKUP($A314,'0.Productos'!$A$3:$GG$587,'0.Productos'!CV$1+1,0),"")</f>
        <v/>
      </c>
      <c r="BE314" s="133" t="str">
        <f>IF($A314&lt;&gt;0,VLOOKUP($A314,'0.Productos'!$A$3:$GG$587,'0.Productos'!CW$1+1,0),"")</f>
        <v/>
      </c>
      <c r="BF314" s="133" t="str">
        <f>IF($A314&lt;&gt;0,VLOOKUP($A314,'0.Productos'!$A$3:$GG$587,'0.Productos'!CX$1+1,0),"")</f>
        <v/>
      </c>
      <c r="BG314" s="133" t="str">
        <f>IF($A314&lt;&gt;0,VLOOKUP($A314,'0.Productos'!$A$3:$GG$587,'0.Productos'!CY$1+1,0),"")</f>
        <v/>
      </c>
      <c r="BH314" s="133" t="str">
        <f>IF($A314&lt;&gt;0,VLOOKUP($A314,'0.Productos'!$A$3:$GG$587,'0.Productos'!CZ$1+1,0),"")</f>
        <v/>
      </c>
      <c r="BI314" s="133" t="str">
        <f>IF($A314&lt;&gt;0,VLOOKUP($A314,'0.Productos'!$A$3:$GG$587,'0.Productos'!DA$1+1,0),"")</f>
        <v/>
      </c>
      <c r="BJ314" s="133" t="str">
        <f>IF($A314&lt;&gt;0,VLOOKUP($A314,'0.Productos'!$A$3:$GG$587,'0.Productos'!DB$1+1,0),"")</f>
        <v/>
      </c>
      <c r="BK314" s="133" t="str">
        <f>IF($A314&lt;&gt;0,VLOOKUP($A314,'0.Productos'!$A$3:$GG$587,'0.Productos'!DC$1+1,0),"")</f>
        <v/>
      </c>
      <c r="BL314" s="133" t="str">
        <f>IF($A314&lt;&gt;0,VLOOKUP($A314,'0.Productos'!$A$3:$GG$587,'0.Productos'!DD$1+1,0),"")</f>
        <v/>
      </c>
      <c r="BM314" s="133" t="str">
        <f>IF($A314&lt;&gt;0,VLOOKUP($A314,'0.Productos'!$A$3:$GG$587,'0.Productos'!DE$1+1,0),"")</f>
        <v/>
      </c>
      <c r="BN314" s="133" t="str">
        <f>IF($A314&lt;&gt;0,VLOOKUP($A314,'0.Productos'!$A$3:$GG$587,'0.Productos'!DF$1+1,0),"")</f>
        <v/>
      </c>
      <c r="BO314" s="133" t="str">
        <f>IF($A314&lt;&gt;0,VLOOKUP($A314,'0.Productos'!$A$3:$GG$587,'0.Productos'!DG$1+1,0),"")</f>
        <v/>
      </c>
      <c r="BP314" s="133" t="str">
        <f>IF($A314&lt;&gt;0,VLOOKUP($A314,'0.Productos'!$A$3:$GG$587,'0.Productos'!DH$1+1,0),"")</f>
        <v/>
      </c>
      <c r="BQ314" s="133" t="str">
        <f>IF($A314&lt;&gt;0,VLOOKUP($A314,'0.Productos'!$A$3:$GG$587,'0.Productos'!DI$1+1,0),"")</f>
        <v/>
      </c>
      <c r="BR314" s="133" t="str">
        <f>IF($A314&lt;&gt;0,VLOOKUP($A314,'0.Productos'!$A$3:$GG$587,'0.Productos'!DJ$1+1,0),"")</f>
        <v/>
      </c>
      <c r="BS314" s="133" t="str">
        <f>IF($A314&lt;&gt;0,VLOOKUP($A314,'0.Productos'!$A$3:$GG$587,'0.Productos'!DK$1+1,0),"")</f>
        <v/>
      </c>
      <c r="BT314" s="133" t="str">
        <f>IF($A314&lt;&gt;0,VLOOKUP($A314,'0.Productos'!$A$3:$GG$587,'0.Productos'!DL$1+1,0),"")</f>
        <v/>
      </c>
    </row>
    <row r="315" spans="1:72" x14ac:dyDescent="0.25">
      <c r="A315" s="17">
        <f>'0.Consolidado general'!A315</f>
        <v>0</v>
      </c>
      <c r="B315" s="133" t="str">
        <f>IF($A315&lt;&gt;0,VLOOKUP($A315,'0.Productos'!$A$3:$GG$587,'0.Productos'!AT$1+1,0),"")</f>
        <v/>
      </c>
      <c r="C315" s="133" t="str">
        <f>IF($A315&lt;&gt;0,VLOOKUP($A315,'0.Productos'!$A$3:$GG$587,'0.Productos'!AU$1+1,0),"")</f>
        <v/>
      </c>
      <c r="D315" s="133" t="str">
        <f>IF($A315&lt;&gt;0,VLOOKUP($A315,'0.Productos'!$A$3:$GG$587,'0.Productos'!AV$1+1,0),"")</f>
        <v/>
      </c>
      <c r="E315" s="133" t="str">
        <f>IF($A315&lt;&gt;0,VLOOKUP($A315,'0.Productos'!$A$3:$GG$587,'0.Productos'!AW$1+1,0),"")</f>
        <v/>
      </c>
      <c r="F315" s="133" t="str">
        <f>IF($A315&lt;&gt;0,VLOOKUP($A315,'0.Productos'!$A$3:$GG$587,'0.Productos'!AX$1+1,0),"")</f>
        <v/>
      </c>
      <c r="G315" s="133" t="str">
        <f>IF($A315&lt;&gt;0,VLOOKUP($A315,'0.Productos'!$A$3:$GG$587,'0.Productos'!AY$1+1,0),"")</f>
        <v/>
      </c>
      <c r="H315" s="133" t="str">
        <f>IF($A315&lt;&gt;0,VLOOKUP($A315,'0.Productos'!$A$3:$GG$587,'0.Productos'!AZ$1+1,0),"")</f>
        <v/>
      </c>
      <c r="I315" s="133" t="str">
        <f>IF($A315&lt;&gt;0,VLOOKUP($A315,'0.Productos'!$A$3:$GG$587,'0.Productos'!BA$1+1,0),"")</f>
        <v/>
      </c>
      <c r="J315" s="133" t="str">
        <f>IF($A315&lt;&gt;0,VLOOKUP($A315,'0.Productos'!$A$3:$GG$587,'0.Productos'!BB$1+1,0),"")</f>
        <v/>
      </c>
      <c r="K315" s="133" t="str">
        <f>IF($A315&lt;&gt;0,VLOOKUP($A315,'0.Productos'!$A$3:$GG$587,'0.Productos'!BC$1+1,0),"")</f>
        <v/>
      </c>
      <c r="L315" s="133" t="str">
        <f>IF($A315&lt;&gt;0,VLOOKUP($A315,'0.Productos'!$A$3:$GG$587,'0.Productos'!BD$1+1,0),"")</f>
        <v/>
      </c>
      <c r="M315" s="133" t="str">
        <f>IF($A315&lt;&gt;0,VLOOKUP($A315,'0.Productos'!$A$3:$GG$587,'0.Productos'!BE$1+1,0),"")</f>
        <v/>
      </c>
      <c r="N315" s="133" t="str">
        <f>IF($A315&lt;&gt;0,VLOOKUP($A315,'0.Productos'!$A$3:$GG$587,'0.Productos'!BF$1+1,0),"")</f>
        <v/>
      </c>
      <c r="O315" s="133" t="str">
        <f>IF($A315&lt;&gt;0,VLOOKUP($A315,'0.Productos'!$A$3:$GG$587,'0.Productos'!BG$1+1,0),"")</f>
        <v/>
      </c>
      <c r="P315" s="133" t="str">
        <f>IF($A315&lt;&gt;0,VLOOKUP($A315,'0.Productos'!$A$3:$GG$587,'0.Productos'!BH$1+1,0),"")</f>
        <v/>
      </c>
      <c r="Q315" s="133" t="str">
        <f>IF($A315&lt;&gt;0,VLOOKUP($A315,'0.Productos'!$A$3:$GG$587,'0.Productos'!BI$1+1,0),"")</f>
        <v/>
      </c>
      <c r="R315" s="133" t="str">
        <f>IF($A315&lt;&gt;0,VLOOKUP($A315,'0.Productos'!$A$3:$GG$587,'0.Productos'!BJ$1+1,0),"")</f>
        <v/>
      </c>
      <c r="S315" s="133" t="str">
        <f>IF($A315&lt;&gt;0,VLOOKUP($A315,'0.Productos'!$A$3:$GG$587,'0.Productos'!BK$1+1,0),"")</f>
        <v/>
      </c>
      <c r="T315" s="133" t="str">
        <f>IF($A315&lt;&gt;0,VLOOKUP($A315,'0.Productos'!$A$3:$GG$587,'0.Productos'!BL$1+1,0),"")</f>
        <v/>
      </c>
      <c r="U315" s="133" t="str">
        <f>IF($A315&lt;&gt;0,VLOOKUP($A315,'0.Productos'!$A$3:$GG$587,'0.Productos'!BM$1+1,0),"")</f>
        <v/>
      </c>
      <c r="V315" s="133" t="str">
        <f>IF($A315&lt;&gt;0,VLOOKUP($A315,'0.Productos'!$A$3:$GG$587,'0.Productos'!BN$1+1,0),"")</f>
        <v/>
      </c>
      <c r="W315" s="133" t="str">
        <f>IF($A315&lt;&gt;0,VLOOKUP($A315,'0.Productos'!$A$3:$GG$587,'0.Productos'!BO$1+1,0),"")</f>
        <v/>
      </c>
      <c r="X315" s="133" t="str">
        <f>IF($A315&lt;&gt;0,VLOOKUP($A315,'0.Productos'!$A$3:$GG$587,'0.Productos'!BP$1+1,0),"")</f>
        <v/>
      </c>
      <c r="Y315" s="133" t="str">
        <f>IF($A315&lt;&gt;0,VLOOKUP($A315,'0.Productos'!$A$3:$GG$587,'0.Productos'!BQ$1+1,0),"")</f>
        <v/>
      </c>
      <c r="Z315" s="133" t="str">
        <f>IF($A315&lt;&gt;0,VLOOKUP($A315,'0.Productos'!$A$3:$GG$587,'0.Productos'!BR$1+1,0),"")</f>
        <v/>
      </c>
      <c r="AA315" s="133" t="str">
        <f>IF($A315&lt;&gt;0,VLOOKUP($A315,'0.Productos'!$A$3:$GG$587,'0.Productos'!BS$1+1,0),"")</f>
        <v/>
      </c>
      <c r="AB315" s="133" t="str">
        <f>IF($A315&lt;&gt;0,VLOOKUP($A315,'0.Productos'!$A$3:$GG$587,'0.Productos'!BT$1+1,0),"")</f>
        <v/>
      </c>
      <c r="AC315" s="133" t="str">
        <f>IF($A315&lt;&gt;0,VLOOKUP($A315,'0.Productos'!$A$3:$GG$587,'0.Productos'!BU$1+1,0),"")</f>
        <v/>
      </c>
      <c r="AD315" s="133" t="str">
        <f>IF($A315&lt;&gt;0,VLOOKUP($A315,'0.Productos'!$A$3:$GG$587,'0.Productos'!BV$1+1,0),"")</f>
        <v/>
      </c>
      <c r="AE315" s="133" t="str">
        <f>IF($A315&lt;&gt;0,VLOOKUP($A315,'0.Productos'!$A$3:$GG$587,'0.Productos'!BW$1+1,0),"")</f>
        <v/>
      </c>
      <c r="AF315" s="133" t="str">
        <f>IF($A315&lt;&gt;0,VLOOKUP($A315,'0.Productos'!$A$3:$GG$587,'0.Productos'!BX$1+1,0),"")</f>
        <v/>
      </c>
      <c r="AG315" s="133" t="str">
        <f>IF($A315&lt;&gt;0,VLOOKUP($A315,'0.Productos'!$A$3:$GG$587,'0.Productos'!BY$1+1,0),"")</f>
        <v/>
      </c>
      <c r="AH315" s="133" t="str">
        <f>IF($A315&lt;&gt;0,VLOOKUP($A315,'0.Productos'!$A$3:$GG$587,'0.Productos'!BZ$1+1,0),"")</f>
        <v/>
      </c>
      <c r="AI315" s="133" t="str">
        <f>IF($A315&lt;&gt;0,VLOOKUP($A315,'0.Productos'!$A$3:$GG$587,'0.Productos'!CA$1+1,0),"")</f>
        <v/>
      </c>
      <c r="AJ315" s="133" t="str">
        <f>IF($A315&lt;&gt;0,VLOOKUP($A315,'0.Productos'!$A$3:$GG$587,'0.Productos'!CB$1+1,0),"")</f>
        <v/>
      </c>
      <c r="AK315" s="133" t="str">
        <f>IF($A315&lt;&gt;0,VLOOKUP($A315,'0.Productos'!$A$3:$GG$587,'0.Productos'!CC$1+1,0),"")</f>
        <v/>
      </c>
      <c r="AL315" s="133" t="str">
        <f>IF($A315&lt;&gt;0,VLOOKUP($A315,'0.Productos'!$A$3:$GG$587,'0.Productos'!CD$1+1,0),"")</f>
        <v/>
      </c>
      <c r="AM315" s="133" t="str">
        <f>IF($A315&lt;&gt;0,VLOOKUP($A315,'0.Productos'!$A$3:$GG$587,'0.Productos'!CE$1+1,0),"")</f>
        <v/>
      </c>
      <c r="AN315" s="133" t="str">
        <f>IF($A315&lt;&gt;0,VLOOKUP($A315,'0.Productos'!$A$3:$GG$587,'0.Productos'!CF$1+1,0),"")</f>
        <v/>
      </c>
      <c r="AO315" s="133" t="str">
        <f>IF($A315&lt;&gt;0,VLOOKUP($A315,'0.Productos'!$A$3:$GG$587,'0.Productos'!CG$1+1,0),"")</f>
        <v/>
      </c>
      <c r="AP315" s="133" t="str">
        <f>IF($A315&lt;&gt;0,VLOOKUP($A315,'0.Productos'!$A$3:$GG$587,'0.Productos'!CH$1+1,0),"")</f>
        <v/>
      </c>
      <c r="AQ315" s="133" t="str">
        <f>IF($A315&lt;&gt;0,VLOOKUP($A315,'0.Productos'!$A$3:$GG$587,'0.Productos'!CI$1+1,0),"")</f>
        <v/>
      </c>
      <c r="AR315" s="133" t="str">
        <f>IF($A315&lt;&gt;0,VLOOKUP($A315,'0.Productos'!$A$3:$GG$587,'0.Productos'!CJ$1+1,0),"")</f>
        <v/>
      </c>
      <c r="AS315" s="133" t="str">
        <f>IF($A315&lt;&gt;0,VLOOKUP($A315,'0.Productos'!$A$3:$GG$587,'0.Productos'!CK$1+1,0),"")</f>
        <v/>
      </c>
      <c r="AT315" s="133" t="str">
        <f>IF($A315&lt;&gt;0,VLOOKUP($A315,'0.Productos'!$A$3:$GG$587,'0.Productos'!CL$1+1,0),"")</f>
        <v/>
      </c>
      <c r="AU315" s="133" t="str">
        <f>IF($A315&lt;&gt;0,VLOOKUP($A315,'0.Productos'!$A$3:$GG$587,'0.Productos'!CM$1+1,0),"")</f>
        <v/>
      </c>
      <c r="AV315" s="133" t="str">
        <f>IF($A315&lt;&gt;0,VLOOKUP($A315,'0.Productos'!$A$3:$GG$587,'0.Productos'!CN$1+1,0),"")</f>
        <v/>
      </c>
      <c r="AW315" s="133" t="str">
        <f>IF($A315&lt;&gt;0,VLOOKUP($A315,'0.Productos'!$A$3:$GG$587,'0.Productos'!CO$1+1,0),"")</f>
        <v/>
      </c>
      <c r="AX315" s="133" t="str">
        <f>IF($A315&lt;&gt;0,VLOOKUP($A315,'0.Productos'!$A$3:$GG$587,'0.Productos'!CP$1+1,0),"")</f>
        <v/>
      </c>
      <c r="AY315" s="133" t="str">
        <f>IF($A315&lt;&gt;0,VLOOKUP($A315,'0.Productos'!$A$3:$GG$587,'0.Productos'!CQ$1+1,0),"")</f>
        <v/>
      </c>
      <c r="AZ315" s="133" t="str">
        <f>IF($A315&lt;&gt;0,VLOOKUP($A315,'0.Productos'!$A$3:$GG$587,'0.Productos'!CR$1+1,0),"")</f>
        <v/>
      </c>
      <c r="BA315" s="133" t="str">
        <f>IF($A315&lt;&gt;0,VLOOKUP($A315,'0.Productos'!$A$3:$GG$587,'0.Productos'!CS$1+1,0),"")</f>
        <v/>
      </c>
      <c r="BB315" s="133" t="str">
        <f>IF($A315&lt;&gt;0,VLOOKUP($A315,'0.Productos'!$A$3:$GG$587,'0.Productos'!CT$1+1,0),"")</f>
        <v/>
      </c>
      <c r="BC315" s="133" t="str">
        <f>IF($A315&lt;&gt;0,VLOOKUP($A315,'0.Productos'!$A$3:$GG$587,'0.Productos'!CU$1+1,0),"")</f>
        <v/>
      </c>
      <c r="BD315" s="133" t="str">
        <f>IF($A315&lt;&gt;0,VLOOKUP($A315,'0.Productos'!$A$3:$GG$587,'0.Productos'!CV$1+1,0),"")</f>
        <v/>
      </c>
      <c r="BE315" s="133" t="str">
        <f>IF($A315&lt;&gt;0,VLOOKUP($A315,'0.Productos'!$A$3:$GG$587,'0.Productos'!CW$1+1,0),"")</f>
        <v/>
      </c>
      <c r="BF315" s="133" t="str">
        <f>IF($A315&lt;&gt;0,VLOOKUP($A315,'0.Productos'!$A$3:$GG$587,'0.Productos'!CX$1+1,0),"")</f>
        <v/>
      </c>
      <c r="BG315" s="133" t="str">
        <f>IF($A315&lt;&gt;0,VLOOKUP($A315,'0.Productos'!$A$3:$GG$587,'0.Productos'!CY$1+1,0),"")</f>
        <v/>
      </c>
      <c r="BH315" s="133" t="str">
        <f>IF($A315&lt;&gt;0,VLOOKUP($A315,'0.Productos'!$A$3:$GG$587,'0.Productos'!CZ$1+1,0),"")</f>
        <v/>
      </c>
      <c r="BI315" s="133" t="str">
        <f>IF($A315&lt;&gt;0,VLOOKUP($A315,'0.Productos'!$A$3:$GG$587,'0.Productos'!DA$1+1,0),"")</f>
        <v/>
      </c>
      <c r="BJ315" s="133" t="str">
        <f>IF($A315&lt;&gt;0,VLOOKUP($A315,'0.Productos'!$A$3:$GG$587,'0.Productos'!DB$1+1,0),"")</f>
        <v/>
      </c>
      <c r="BK315" s="133" t="str">
        <f>IF($A315&lt;&gt;0,VLOOKUP($A315,'0.Productos'!$A$3:$GG$587,'0.Productos'!DC$1+1,0),"")</f>
        <v/>
      </c>
      <c r="BL315" s="133" t="str">
        <f>IF($A315&lt;&gt;0,VLOOKUP($A315,'0.Productos'!$A$3:$GG$587,'0.Productos'!DD$1+1,0),"")</f>
        <v/>
      </c>
      <c r="BM315" s="133" t="str">
        <f>IF($A315&lt;&gt;0,VLOOKUP($A315,'0.Productos'!$A$3:$GG$587,'0.Productos'!DE$1+1,0),"")</f>
        <v/>
      </c>
      <c r="BN315" s="133" t="str">
        <f>IF($A315&lt;&gt;0,VLOOKUP($A315,'0.Productos'!$A$3:$GG$587,'0.Productos'!DF$1+1,0),"")</f>
        <v/>
      </c>
      <c r="BO315" s="133" t="str">
        <f>IF($A315&lt;&gt;0,VLOOKUP($A315,'0.Productos'!$A$3:$GG$587,'0.Productos'!DG$1+1,0),"")</f>
        <v/>
      </c>
      <c r="BP315" s="133" t="str">
        <f>IF($A315&lt;&gt;0,VLOOKUP($A315,'0.Productos'!$A$3:$GG$587,'0.Productos'!DH$1+1,0),"")</f>
        <v/>
      </c>
      <c r="BQ315" s="133" t="str">
        <f>IF($A315&lt;&gt;0,VLOOKUP($A315,'0.Productos'!$A$3:$GG$587,'0.Productos'!DI$1+1,0),"")</f>
        <v/>
      </c>
      <c r="BR315" s="133" t="str">
        <f>IF($A315&lt;&gt;0,VLOOKUP($A315,'0.Productos'!$A$3:$GG$587,'0.Productos'!DJ$1+1,0),"")</f>
        <v/>
      </c>
      <c r="BS315" s="133" t="str">
        <f>IF($A315&lt;&gt;0,VLOOKUP($A315,'0.Productos'!$A$3:$GG$587,'0.Productos'!DK$1+1,0),"")</f>
        <v/>
      </c>
      <c r="BT315" s="133" t="str">
        <f>IF($A315&lt;&gt;0,VLOOKUP($A315,'0.Productos'!$A$3:$GG$587,'0.Productos'!DL$1+1,0),"")</f>
        <v/>
      </c>
    </row>
    <row r="316" spans="1:72" x14ac:dyDescent="0.25">
      <c r="A316" s="17">
        <f>'0.Consolidado general'!A316</f>
        <v>0</v>
      </c>
      <c r="B316" s="133" t="str">
        <f>IF($A316&lt;&gt;0,VLOOKUP($A316,'0.Productos'!$A$3:$GG$587,'0.Productos'!AT$1+1,0),"")</f>
        <v/>
      </c>
      <c r="C316" s="133" t="str">
        <f>IF($A316&lt;&gt;0,VLOOKUP($A316,'0.Productos'!$A$3:$GG$587,'0.Productos'!AU$1+1,0),"")</f>
        <v/>
      </c>
      <c r="D316" s="133" t="str">
        <f>IF($A316&lt;&gt;0,VLOOKUP($A316,'0.Productos'!$A$3:$GG$587,'0.Productos'!AV$1+1,0),"")</f>
        <v/>
      </c>
      <c r="E316" s="133" t="str">
        <f>IF($A316&lt;&gt;0,VLOOKUP($A316,'0.Productos'!$A$3:$GG$587,'0.Productos'!AW$1+1,0),"")</f>
        <v/>
      </c>
      <c r="F316" s="133" t="str">
        <f>IF($A316&lt;&gt;0,VLOOKUP($A316,'0.Productos'!$A$3:$GG$587,'0.Productos'!AX$1+1,0),"")</f>
        <v/>
      </c>
      <c r="G316" s="133" t="str">
        <f>IF($A316&lt;&gt;0,VLOOKUP($A316,'0.Productos'!$A$3:$GG$587,'0.Productos'!AY$1+1,0),"")</f>
        <v/>
      </c>
      <c r="H316" s="133" t="str">
        <f>IF($A316&lt;&gt;0,VLOOKUP($A316,'0.Productos'!$A$3:$GG$587,'0.Productos'!AZ$1+1,0),"")</f>
        <v/>
      </c>
      <c r="I316" s="133" t="str">
        <f>IF($A316&lt;&gt;0,VLOOKUP($A316,'0.Productos'!$A$3:$GG$587,'0.Productos'!BA$1+1,0),"")</f>
        <v/>
      </c>
      <c r="J316" s="133" t="str">
        <f>IF($A316&lt;&gt;0,VLOOKUP($A316,'0.Productos'!$A$3:$GG$587,'0.Productos'!BB$1+1,0),"")</f>
        <v/>
      </c>
      <c r="K316" s="133" t="str">
        <f>IF($A316&lt;&gt;0,VLOOKUP($A316,'0.Productos'!$A$3:$GG$587,'0.Productos'!BC$1+1,0),"")</f>
        <v/>
      </c>
      <c r="L316" s="133" t="str">
        <f>IF($A316&lt;&gt;0,VLOOKUP($A316,'0.Productos'!$A$3:$GG$587,'0.Productos'!BD$1+1,0),"")</f>
        <v/>
      </c>
      <c r="M316" s="133" t="str">
        <f>IF($A316&lt;&gt;0,VLOOKUP($A316,'0.Productos'!$A$3:$GG$587,'0.Productos'!BE$1+1,0),"")</f>
        <v/>
      </c>
      <c r="N316" s="133" t="str">
        <f>IF($A316&lt;&gt;0,VLOOKUP($A316,'0.Productos'!$A$3:$GG$587,'0.Productos'!BF$1+1,0),"")</f>
        <v/>
      </c>
      <c r="O316" s="133" t="str">
        <f>IF($A316&lt;&gt;0,VLOOKUP($A316,'0.Productos'!$A$3:$GG$587,'0.Productos'!BG$1+1,0),"")</f>
        <v/>
      </c>
      <c r="P316" s="133" t="str">
        <f>IF($A316&lt;&gt;0,VLOOKUP($A316,'0.Productos'!$A$3:$GG$587,'0.Productos'!BH$1+1,0),"")</f>
        <v/>
      </c>
      <c r="Q316" s="133" t="str">
        <f>IF($A316&lt;&gt;0,VLOOKUP($A316,'0.Productos'!$A$3:$GG$587,'0.Productos'!BI$1+1,0),"")</f>
        <v/>
      </c>
      <c r="R316" s="133" t="str">
        <f>IF($A316&lt;&gt;0,VLOOKUP($A316,'0.Productos'!$A$3:$GG$587,'0.Productos'!BJ$1+1,0),"")</f>
        <v/>
      </c>
      <c r="S316" s="133" t="str">
        <f>IF($A316&lt;&gt;0,VLOOKUP($A316,'0.Productos'!$A$3:$GG$587,'0.Productos'!BK$1+1,0),"")</f>
        <v/>
      </c>
      <c r="T316" s="133" t="str">
        <f>IF($A316&lt;&gt;0,VLOOKUP($A316,'0.Productos'!$A$3:$GG$587,'0.Productos'!BL$1+1,0),"")</f>
        <v/>
      </c>
      <c r="U316" s="133" t="str">
        <f>IF($A316&lt;&gt;0,VLOOKUP($A316,'0.Productos'!$A$3:$GG$587,'0.Productos'!BM$1+1,0),"")</f>
        <v/>
      </c>
      <c r="V316" s="133" t="str">
        <f>IF($A316&lt;&gt;0,VLOOKUP($A316,'0.Productos'!$A$3:$GG$587,'0.Productos'!BN$1+1,0),"")</f>
        <v/>
      </c>
      <c r="W316" s="133" t="str">
        <f>IF($A316&lt;&gt;0,VLOOKUP($A316,'0.Productos'!$A$3:$GG$587,'0.Productos'!BO$1+1,0),"")</f>
        <v/>
      </c>
      <c r="X316" s="133" t="str">
        <f>IF($A316&lt;&gt;0,VLOOKUP($A316,'0.Productos'!$A$3:$GG$587,'0.Productos'!BP$1+1,0),"")</f>
        <v/>
      </c>
      <c r="Y316" s="133" t="str">
        <f>IF($A316&lt;&gt;0,VLOOKUP($A316,'0.Productos'!$A$3:$GG$587,'0.Productos'!BQ$1+1,0),"")</f>
        <v/>
      </c>
      <c r="Z316" s="133" t="str">
        <f>IF($A316&lt;&gt;0,VLOOKUP($A316,'0.Productos'!$A$3:$GG$587,'0.Productos'!BR$1+1,0),"")</f>
        <v/>
      </c>
      <c r="AA316" s="133" t="str">
        <f>IF($A316&lt;&gt;0,VLOOKUP($A316,'0.Productos'!$A$3:$GG$587,'0.Productos'!BS$1+1,0),"")</f>
        <v/>
      </c>
      <c r="AB316" s="133" t="str">
        <f>IF($A316&lt;&gt;0,VLOOKUP($A316,'0.Productos'!$A$3:$GG$587,'0.Productos'!BT$1+1,0),"")</f>
        <v/>
      </c>
      <c r="AC316" s="133" t="str">
        <f>IF($A316&lt;&gt;0,VLOOKUP($A316,'0.Productos'!$A$3:$GG$587,'0.Productos'!BU$1+1,0),"")</f>
        <v/>
      </c>
      <c r="AD316" s="133" t="str">
        <f>IF($A316&lt;&gt;0,VLOOKUP($A316,'0.Productos'!$A$3:$GG$587,'0.Productos'!BV$1+1,0),"")</f>
        <v/>
      </c>
      <c r="AE316" s="133" t="str">
        <f>IF($A316&lt;&gt;0,VLOOKUP($A316,'0.Productos'!$A$3:$GG$587,'0.Productos'!BW$1+1,0),"")</f>
        <v/>
      </c>
      <c r="AF316" s="133" t="str">
        <f>IF($A316&lt;&gt;0,VLOOKUP($A316,'0.Productos'!$A$3:$GG$587,'0.Productos'!BX$1+1,0),"")</f>
        <v/>
      </c>
      <c r="AG316" s="133" t="str">
        <f>IF($A316&lt;&gt;0,VLOOKUP($A316,'0.Productos'!$A$3:$GG$587,'0.Productos'!BY$1+1,0),"")</f>
        <v/>
      </c>
      <c r="AH316" s="133" t="str">
        <f>IF($A316&lt;&gt;0,VLOOKUP($A316,'0.Productos'!$A$3:$GG$587,'0.Productos'!BZ$1+1,0),"")</f>
        <v/>
      </c>
      <c r="AI316" s="133" t="str">
        <f>IF($A316&lt;&gt;0,VLOOKUP($A316,'0.Productos'!$A$3:$GG$587,'0.Productos'!CA$1+1,0),"")</f>
        <v/>
      </c>
      <c r="AJ316" s="133" t="str">
        <f>IF($A316&lt;&gt;0,VLOOKUP($A316,'0.Productos'!$A$3:$GG$587,'0.Productos'!CB$1+1,0),"")</f>
        <v/>
      </c>
      <c r="AK316" s="133" t="str">
        <f>IF($A316&lt;&gt;0,VLOOKUP($A316,'0.Productos'!$A$3:$GG$587,'0.Productos'!CC$1+1,0),"")</f>
        <v/>
      </c>
      <c r="AL316" s="133" t="str">
        <f>IF($A316&lt;&gt;0,VLOOKUP($A316,'0.Productos'!$A$3:$GG$587,'0.Productos'!CD$1+1,0),"")</f>
        <v/>
      </c>
      <c r="AM316" s="133" t="str">
        <f>IF($A316&lt;&gt;0,VLOOKUP($A316,'0.Productos'!$A$3:$GG$587,'0.Productos'!CE$1+1,0),"")</f>
        <v/>
      </c>
      <c r="AN316" s="133" t="str">
        <f>IF($A316&lt;&gt;0,VLOOKUP($A316,'0.Productos'!$A$3:$GG$587,'0.Productos'!CF$1+1,0),"")</f>
        <v/>
      </c>
      <c r="AO316" s="133" t="str">
        <f>IF($A316&lt;&gt;0,VLOOKUP($A316,'0.Productos'!$A$3:$GG$587,'0.Productos'!CG$1+1,0),"")</f>
        <v/>
      </c>
      <c r="AP316" s="133" t="str">
        <f>IF($A316&lt;&gt;0,VLOOKUP($A316,'0.Productos'!$A$3:$GG$587,'0.Productos'!CH$1+1,0),"")</f>
        <v/>
      </c>
      <c r="AQ316" s="133" t="str">
        <f>IF($A316&lt;&gt;0,VLOOKUP($A316,'0.Productos'!$A$3:$GG$587,'0.Productos'!CI$1+1,0),"")</f>
        <v/>
      </c>
      <c r="AR316" s="133" t="str">
        <f>IF($A316&lt;&gt;0,VLOOKUP($A316,'0.Productos'!$A$3:$GG$587,'0.Productos'!CJ$1+1,0),"")</f>
        <v/>
      </c>
      <c r="AS316" s="133" t="str">
        <f>IF($A316&lt;&gt;0,VLOOKUP($A316,'0.Productos'!$A$3:$GG$587,'0.Productos'!CK$1+1,0),"")</f>
        <v/>
      </c>
      <c r="AT316" s="133" t="str">
        <f>IF($A316&lt;&gt;0,VLOOKUP($A316,'0.Productos'!$A$3:$GG$587,'0.Productos'!CL$1+1,0),"")</f>
        <v/>
      </c>
      <c r="AU316" s="133" t="str">
        <f>IF($A316&lt;&gt;0,VLOOKUP($A316,'0.Productos'!$A$3:$GG$587,'0.Productos'!CM$1+1,0),"")</f>
        <v/>
      </c>
      <c r="AV316" s="133" t="str">
        <f>IF($A316&lt;&gt;0,VLOOKUP($A316,'0.Productos'!$A$3:$GG$587,'0.Productos'!CN$1+1,0),"")</f>
        <v/>
      </c>
      <c r="AW316" s="133" t="str">
        <f>IF($A316&lt;&gt;0,VLOOKUP($A316,'0.Productos'!$A$3:$GG$587,'0.Productos'!CO$1+1,0),"")</f>
        <v/>
      </c>
      <c r="AX316" s="133" t="str">
        <f>IF($A316&lt;&gt;0,VLOOKUP($A316,'0.Productos'!$A$3:$GG$587,'0.Productos'!CP$1+1,0),"")</f>
        <v/>
      </c>
      <c r="AY316" s="133" t="str">
        <f>IF($A316&lt;&gt;0,VLOOKUP($A316,'0.Productos'!$A$3:$GG$587,'0.Productos'!CQ$1+1,0),"")</f>
        <v/>
      </c>
      <c r="AZ316" s="133" t="str">
        <f>IF($A316&lt;&gt;0,VLOOKUP($A316,'0.Productos'!$A$3:$GG$587,'0.Productos'!CR$1+1,0),"")</f>
        <v/>
      </c>
      <c r="BA316" s="133" t="str">
        <f>IF($A316&lt;&gt;0,VLOOKUP($A316,'0.Productos'!$A$3:$GG$587,'0.Productos'!CS$1+1,0),"")</f>
        <v/>
      </c>
      <c r="BB316" s="133" t="str">
        <f>IF($A316&lt;&gt;0,VLOOKUP($A316,'0.Productos'!$A$3:$GG$587,'0.Productos'!CT$1+1,0),"")</f>
        <v/>
      </c>
      <c r="BC316" s="133" t="str">
        <f>IF($A316&lt;&gt;0,VLOOKUP($A316,'0.Productos'!$A$3:$GG$587,'0.Productos'!CU$1+1,0),"")</f>
        <v/>
      </c>
      <c r="BD316" s="133" t="str">
        <f>IF($A316&lt;&gt;0,VLOOKUP($A316,'0.Productos'!$A$3:$GG$587,'0.Productos'!CV$1+1,0),"")</f>
        <v/>
      </c>
      <c r="BE316" s="133" t="str">
        <f>IF($A316&lt;&gt;0,VLOOKUP($A316,'0.Productos'!$A$3:$GG$587,'0.Productos'!CW$1+1,0),"")</f>
        <v/>
      </c>
      <c r="BF316" s="133" t="str">
        <f>IF($A316&lt;&gt;0,VLOOKUP($A316,'0.Productos'!$A$3:$GG$587,'0.Productos'!CX$1+1,0),"")</f>
        <v/>
      </c>
      <c r="BG316" s="133" t="str">
        <f>IF($A316&lt;&gt;0,VLOOKUP($A316,'0.Productos'!$A$3:$GG$587,'0.Productos'!CY$1+1,0),"")</f>
        <v/>
      </c>
      <c r="BH316" s="133" t="str">
        <f>IF($A316&lt;&gt;0,VLOOKUP($A316,'0.Productos'!$A$3:$GG$587,'0.Productos'!CZ$1+1,0),"")</f>
        <v/>
      </c>
      <c r="BI316" s="133" t="str">
        <f>IF($A316&lt;&gt;0,VLOOKUP($A316,'0.Productos'!$A$3:$GG$587,'0.Productos'!DA$1+1,0),"")</f>
        <v/>
      </c>
      <c r="BJ316" s="133" t="str">
        <f>IF($A316&lt;&gt;0,VLOOKUP($A316,'0.Productos'!$A$3:$GG$587,'0.Productos'!DB$1+1,0),"")</f>
        <v/>
      </c>
      <c r="BK316" s="133" t="str">
        <f>IF($A316&lt;&gt;0,VLOOKUP($A316,'0.Productos'!$A$3:$GG$587,'0.Productos'!DC$1+1,0),"")</f>
        <v/>
      </c>
      <c r="BL316" s="133" t="str">
        <f>IF($A316&lt;&gt;0,VLOOKUP($A316,'0.Productos'!$A$3:$GG$587,'0.Productos'!DD$1+1,0),"")</f>
        <v/>
      </c>
      <c r="BM316" s="133" t="str">
        <f>IF($A316&lt;&gt;0,VLOOKUP($A316,'0.Productos'!$A$3:$GG$587,'0.Productos'!DE$1+1,0),"")</f>
        <v/>
      </c>
      <c r="BN316" s="133" t="str">
        <f>IF($A316&lt;&gt;0,VLOOKUP($A316,'0.Productos'!$A$3:$GG$587,'0.Productos'!DF$1+1,0),"")</f>
        <v/>
      </c>
      <c r="BO316" s="133" t="str">
        <f>IF($A316&lt;&gt;0,VLOOKUP($A316,'0.Productos'!$A$3:$GG$587,'0.Productos'!DG$1+1,0),"")</f>
        <v/>
      </c>
      <c r="BP316" s="133" t="str">
        <f>IF($A316&lt;&gt;0,VLOOKUP($A316,'0.Productos'!$A$3:$GG$587,'0.Productos'!DH$1+1,0),"")</f>
        <v/>
      </c>
      <c r="BQ316" s="133" t="str">
        <f>IF($A316&lt;&gt;0,VLOOKUP($A316,'0.Productos'!$A$3:$GG$587,'0.Productos'!DI$1+1,0),"")</f>
        <v/>
      </c>
      <c r="BR316" s="133" t="str">
        <f>IF($A316&lt;&gt;0,VLOOKUP($A316,'0.Productos'!$A$3:$GG$587,'0.Productos'!DJ$1+1,0),"")</f>
        <v/>
      </c>
      <c r="BS316" s="133" t="str">
        <f>IF($A316&lt;&gt;0,VLOOKUP($A316,'0.Productos'!$A$3:$GG$587,'0.Productos'!DK$1+1,0),"")</f>
        <v/>
      </c>
      <c r="BT316" s="133" t="str">
        <f>IF($A316&lt;&gt;0,VLOOKUP($A316,'0.Productos'!$A$3:$GG$587,'0.Productos'!DL$1+1,0),"")</f>
        <v/>
      </c>
    </row>
    <row r="317" spans="1:72" x14ac:dyDescent="0.25">
      <c r="A317" s="17">
        <f>'0.Consolidado general'!A317</f>
        <v>0</v>
      </c>
      <c r="B317" s="133" t="str">
        <f>IF($A317&lt;&gt;0,VLOOKUP($A317,'0.Productos'!$A$3:$GG$587,'0.Productos'!AT$1+1,0),"")</f>
        <v/>
      </c>
      <c r="C317" s="133" t="str">
        <f>IF($A317&lt;&gt;0,VLOOKUP($A317,'0.Productos'!$A$3:$GG$587,'0.Productos'!AU$1+1,0),"")</f>
        <v/>
      </c>
      <c r="D317" s="133" t="str">
        <f>IF($A317&lt;&gt;0,VLOOKUP($A317,'0.Productos'!$A$3:$GG$587,'0.Productos'!AV$1+1,0),"")</f>
        <v/>
      </c>
      <c r="E317" s="133" t="str">
        <f>IF($A317&lt;&gt;0,VLOOKUP($A317,'0.Productos'!$A$3:$GG$587,'0.Productos'!AW$1+1,0),"")</f>
        <v/>
      </c>
      <c r="F317" s="133" t="str">
        <f>IF($A317&lt;&gt;0,VLOOKUP($A317,'0.Productos'!$A$3:$GG$587,'0.Productos'!AX$1+1,0),"")</f>
        <v/>
      </c>
      <c r="G317" s="133" t="str">
        <f>IF($A317&lt;&gt;0,VLOOKUP($A317,'0.Productos'!$A$3:$GG$587,'0.Productos'!AY$1+1,0),"")</f>
        <v/>
      </c>
      <c r="H317" s="133" t="str">
        <f>IF($A317&lt;&gt;0,VLOOKUP($A317,'0.Productos'!$A$3:$GG$587,'0.Productos'!AZ$1+1,0),"")</f>
        <v/>
      </c>
      <c r="I317" s="133" t="str">
        <f>IF($A317&lt;&gt;0,VLOOKUP($A317,'0.Productos'!$A$3:$GG$587,'0.Productos'!BA$1+1,0),"")</f>
        <v/>
      </c>
      <c r="J317" s="133" t="str">
        <f>IF($A317&lt;&gt;0,VLOOKUP($A317,'0.Productos'!$A$3:$GG$587,'0.Productos'!BB$1+1,0),"")</f>
        <v/>
      </c>
      <c r="K317" s="133" t="str">
        <f>IF($A317&lt;&gt;0,VLOOKUP($A317,'0.Productos'!$A$3:$GG$587,'0.Productos'!BC$1+1,0),"")</f>
        <v/>
      </c>
      <c r="L317" s="133" t="str">
        <f>IF($A317&lt;&gt;0,VLOOKUP($A317,'0.Productos'!$A$3:$GG$587,'0.Productos'!BD$1+1,0),"")</f>
        <v/>
      </c>
      <c r="M317" s="133" t="str">
        <f>IF($A317&lt;&gt;0,VLOOKUP($A317,'0.Productos'!$A$3:$GG$587,'0.Productos'!BE$1+1,0),"")</f>
        <v/>
      </c>
      <c r="N317" s="133" t="str">
        <f>IF($A317&lt;&gt;0,VLOOKUP($A317,'0.Productos'!$A$3:$GG$587,'0.Productos'!BF$1+1,0),"")</f>
        <v/>
      </c>
      <c r="O317" s="133" t="str">
        <f>IF($A317&lt;&gt;0,VLOOKUP($A317,'0.Productos'!$A$3:$GG$587,'0.Productos'!BG$1+1,0),"")</f>
        <v/>
      </c>
      <c r="P317" s="133" t="str">
        <f>IF($A317&lt;&gt;0,VLOOKUP($A317,'0.Productos'!$A$3:$GG$587,'0.Productos'!BH$1+1,0),"")</f>
        <v/>
      </c>
      <c r="Q317" s="133" t="str">
        <f>IF($A317&lt;&gt;0,VLOOKUP($A317,'0.Productos'!$A$3:$GG$587,'0.Productos'!BI$1+1,0),"")</f>
        <v/>
      </c>
      <c r="R317" s="133" t="str">
        <f>IF($A317&lt;&gt;0,VLOOKUP($A317,'0.Productos'!$A$3:$GG$587,'0.Productos'!BJ$1+1,0),"")</f>
        <v/>
      </c>
      <c r="S317" s="133" t="str">
        <f>IF($A317&lt;&gt;0,VLOOKUP($A317,'0.Productos'!$A$3:$GG$587,'0.Productos'!BK$1+1,0),"")</f>
        <v/>
      </c>
      <c r="T317" s="133" t="str">
        <f>IF($A317&lt;&gt;0,VLOOKUP($A317,'0.Productos'!$A$3:$GG$587,'0.Productos'!BL$1+1,0),"")</f>
        <v/>
      </c>
      <c r="U317" s="133" t="str">
        <f>IF($A317&lt;&gt;0,VLOOKUP($A317,'0.Productos'!$A$3:$GG$587,'0.Productos'!BM$1+1,0),"")</f>
        <v/>
      </c>
      <c r="V317" s="133" t="str">
        <f>IF($A317&lt;&gt;0,VLOOKUP($A317,'0.Productos'!$A$3:$GG$587,'0.Productos'!BN$1+1,0),"")</f>
        <v/>
      </c>
      <c r="W317" s="133" t="str">
        <f>IF($A317&lt;&gt;0,VLOOKUP($A317,'0.Productos'!$A$3:$GG$587,'0.Productos'!BO$1+1,0),"")</f>
        <v/>
      </c>
      <c r="X317" s="133" t="str">
        <f>IF($A317&lt;&gt;0,VLOOKUP($A317,'0.Productos'!$A$3:$GG$587,'0.Productos'!BP$1+1,0),"")</f>
        <v/>
      </c>
      <c r="Y317" s="133" t="str">
        <f>IF($A317&lt;&gt;0,VLOOKUP($A317,'0.Productos'!$A$3:$GG$587,'0.Productos'!BQ$1+1,0),"")</f>
        <v/>
      </c>
      <c r="Z317" s="133" t="str">
        <f>IF($A317&lt;&gt;0,VLOOKUP($A317,'0.Productos'!$A$3:$GG$587,'0.Productos'!BR$1+1,0),"")</f>
        <v/>
      </c>
      <c r="AA317" s="133" t="str">
        <f>IF($A317&lt;&gt;0,VLOOKUP($A317,'0.Productos'!$A$3:$GG$587,'0.Productos'!BS$1+1,0),"")</f>
        <v/>
      </c>
      <c r="AB317" s="133" t="str">
        <f>IF($A317&lt;&gt;0,VLOOKUP($A317,'0.Productos'!$A$3:$GG$587,'0.Productos'!BT$1+1,0),"")</f>
        <v/>
      </c>
      <c r="AC317" s="133" t="str">
        <f>IF($A317&lt;&gt;0,VLOOKUP($A317,'0.Productos'!$A$3:$GG$587,'0.Productos'!BU$1+1,0),"")</f>
        <v/>
      </c>
      <c r="AD317" s="133" t="str">
        <f>IF($A317&lt;&gt;0,VLOOKUP($A317,'0.Productos'!$A$3:$GG$587,'0.Productos'!BV$1+1,0),"")</f>
        <v/>
      </c>
      <c r="AE317" s="133" t="str">
        <f>IF($A317&lt;&gt;0,VLOOKUP($A317,'0.Productos'!$A$3:$GG$587,'0.Productos'!BW$1+1,0),"")</f>
        <v/>
      </c>
      <c r="AF317" s="133" t="str">
        <f>IF($A317&lt;&gt;0,VLOOKUP($A317,'0.Productos'!$A$3:$GG$587,'0.Productos'!BX$1+1,0),"")</f>
        <v/>
      </c>
      <c r="AG317" s="133" t="str">
        <f>IF($A317&lt;&gt;0,VLOOKUP($A317,'0.Productos'!$A$3:$GG$587,'0.Productos'!BY$1+1,0),"")</f>
        <v/>
      </c>
      <c r="AH317" s="133" t="str">
        <f>IF($A317&lt;&gt;0,VLOOKUP($A317,'0.Productos'!$A$3:$GG$587,'0.Productos'!BZ$1+1,0),"")</f>
        <v/>
      </c>
      <c r="AI317" s="133" t="str">
        <f>IF($A317&lt;&gt;0,VLOOKUP($A317,'0.Productos'!$A$3:$GG$587,'0.Productos'!CA$1+1,0),"")</f>
        <v/>
      </c>
      <c r="AJ317" s="133" t="str">
        <f>IF($A317&lt;&gt;0,VLOOKUP($A317,'0.Productos'!$A$3:$GG$587,'0.Productos'!CB$1+1,0),"")</f>
        <v/>
      </c>
      <c r="AK317" s="133" t="str">
        <f>IF($A317&lt;&gt;0,VLOOKUP($A317,'0.Productos'!$A$3:$GG$587,'0.Productos'!CC$1+1,0),"")</f>
        <v/>
      </c>
      <c r="AL317" s="133" t="str">
        <f>IF($A317&lt;&gt;0,VLOOKUP($A317,'0.Productos'!$A$3:$GG$587,'0.Productos'!CD$1+1,0),"")</f>
        <v/>
      </c>
      <c r="AM317" s="133" t="str">
        <f>IF($A317&lt;&gt;0,VLOOKUP($A317,'0.Productos'!$A$3:$GG$587,'0.Productos'!CE$1+1,0),"")</f>
        <v/>
      </c>
      <c r="AN317" s="133" t="str">
        <f>IF($A317&lt;&gt;0,VLOOKUP($A317,'0.Productos'!$A$3:$GG$587,'0.Productos'!CF$1+1,0),"")</f>
        <v/>
      </c>
      <c r="AO317" s="133" t="str">
        <f>IF($A317&lt;&gt;0,VLOOKUP($A317,'0.Productos'!$A$3:$GG$587,'0.Productos'!CG$1+1,0),"")</f>
        <v/>
      </c>
      <c r="AP317" s="133" t="str">
        <f>IF($A317&lt;&gt;0,VLOOKUP($A317,'0.Productos'!$A$3:$GG$587,'0.Productos'!CH$1+1,0),"")</f>
        <v/>
      </c>
      <c r="AQ317" s="133" t="str">
        <f>IF($A317&lt;&gt;0,VLOOKUP($A317,'0.Productos'!$A$3:$GG$587,'0.Productos'!CI$1+1,0),"")</f>
        <v/>
      </c>
      <c r="AR317" s="133" t="str">
        <f>IF($A317&lt;&gt;0,VLOOKUP($A317,'0.Productos'!$A$3:$GG$587,'0.Productos'!CJ$1+1,0),"")</f>
        <v/>
      </c>
      <c r="AS317" s="133" t="str">
        <f>IF($A317&lt;&gt;0,VLOOKUP($A317,'0.Productos'!$A$3:$GG$587,'0.Productos'!CK$1+1,0),"")</f>
        <v/>
      </c>
      <c r="AT317" s="133" t="str">
        <f>IF($A317&lt;&gt;0,VLOOKUP($A317,'0.Productos'!$A$3:$GG$587,'0.Productos'!CL$1+1,0),"")</f>
        <v/>
      </c>
      <c r="AU317" s="133" t="str">
        <f>IF($A317&lt;&gt;0,VLOOKUP($A317,'0.Productos'!$A$3:$GG$587,'0.Productos'!CM$1+1,0),"")</f>
        <v/>
      </c>
      <c r="AV317" s="133" t="str">
        <f>IF($A317&lt;&gt;0,VLOOKUP($A317,'0.Productos'!$A$3:$GG$587,'0.Productos'!CN$1+1,0),"")</f>
        <v/>
      </c>
      <c r="AW317" s="133" t="str">
        <f>IF($A317&lt;&gt;0,VLOOKUP($A317,'0.Productos'!$A$3:$GG$587,'0.Productos'!CO$1+1,0),"")</f>
        <v/>
      </c>
      <c r="AX317" s="133" t="str">
        <f>IF($A317&lt;&gt;0,VLOOKUP($A317,'0.Productos'!$A$3:$GG$587,'0.Productos'!CP$1+1,0),"")</f>
        <v/>
      </c>
      <c r="AY317" s="133" t="str">
        <f>IF($A317&lt;&gt;0,VLOOKUP($A317,'0.Productos'!$A$3:$GG$587,'0.Productos'!CQ$1+1,0),"")</f>
        <v/>
      </c>
      <c r="AZ317" s="133" t="str">
        <f>IF($A317&lt;&gt;0,VLOOKUP($A317,'0.Productos'!$A$3:$GG$587,'0.Productos'!CR$1+1,0),"")</f>
        <v/>
      </c>
      <c r="BA317" s="133" t="str">
        <f>IF($A317&lt;&gt;0,VLOOKUP($A317,'0.Productos'!$A$3:$GG$587,'0.Productos'!CS$1+1,0),"")</f>
        <v/>
      </c>
      <c r="BB317" s="133" t="str">
        <f>IF($A317&lt;&gt;0,VLOOKUP($A317,'0.Productos'!$A$3:$GG$587,'0.Productos'!CT$1+1,0),"")</f>
        <v/>
      </c>
      <c r="BC317" s="133" t="str">
        <f>IF($A317&lt;&gt;0,VLOOKUP($A317,'0.Productos'!$A$3:$GG$587,'0.Productos'!CU$1+1,0),"")</f>
        <v/>
      </c>
      <c r="BD317" s="133" t="str">
        <f>IF($A317&lt;&gt;0,VLOOKUP($A317,'0.Productos'!$A$3:$GG$587,'0.Productos'!CV$1+1,0),"")</f>
        <v/>
      </c>
      <c r="BE317" s="133" t="str">
        <f>IF($A317&lt;&gt;0,VLOOKUP($A317,'0.Productos'!$A$3:$GG$587,'0.Productos'!CW$1+1,0),"")</f>
        <v/>
      </c>
      <c r="BF317" s="133" t="str">
        <f>IF($A317&lt;&gt;0,VLOOKUP($A317,'0.Productos'!$A$3:$GG$587,'0.Productos'!CX$1+1,0),"")</f>
        <v/>
      </c>
      <c r="BG317" s="133" t="str">
        <f>IF($A317&lt;&gt;0,VLOOKUP($A317,'0.Productos'!$A$3:$GG$587,'0.Productos'!CY$1+1,0),"")</f>
        <v/>
      </c>
      <c r="BH317" s="133" t="str">
        <f>IF($A317&lt;&gt;0,VLOOKUP($A317,'0.Productos'!$A$3:$GG$587,'0.Productos'!CZ$1+1,0),"")</f>
        <v/>
      </c>
      <c r="BI317" s="133" t="str">
        <f>IF($A317&lt;&gt;0,VLOOKUP($A317,'0.Productos'!$A$3:$GG$587,'0.Productos'!DA$1+1,0),"")</f>
        <v/>
      </c>
      <c r="BJ317" s="133" t="str">
        <f>IF($A317&lt;&gt;0,VLOOKUP($A317,'0.Productos'!$A$3:$GG$587,'0.Productos'!DB$1+1,0),"")</f>
        <v/>
      </c>
      <c r="BK317" s="133" t="str">
        <f>IF($A317&lt;&gt;0,VLOOKUP($A317,'0.Productos'!$A$3:$GG$587,'0.Productos'!DC$1+1,0),"")</f>
        <v/>
      </c>
      <c r="BL317" s="133" t="str">
        <f>IF($A317&lt;&gt;0,VLOOKUP($A317,'0.Productos'!$A$3:$GG$587,'0.Productos'!DD$1+1,0),"")</f>
        <v/>
      </c>
      <c r="BM317" s="133" t="str">
        <f>IF($A317&lt;&gt;0,VLOOKUP($A317,'0.Productos'!$A$3:$GG$587,'0.Productos'!DE$1+1,0),"")</f>
        <v/>
      </c>
      <c r="BN317" s="133" t="str">
        <f>IF($A317&lt;&gt;0,VLOOKUP($A317,'0.Productos'!$A$3:$GG$587,'0.Productos'!DF$1+1,0),"")</f>
        <v/>
      </c>
      <c r="BO317" s="133" t="str">
        <f>IF($A317&lt;&gt;0,VLOOKUP($A317,'0.Productos'!$A$3:$GG$587,'0.Productos'!DG$1+1,0),"")</f>
        <v/>
      </c>
      <c r="BP317" s="133" t="str">
        <f>IF($A317&lt;&gt;0,VLOOKUP($A317,'0.Productos'!$A$3:$GG$587,'0.Productos'!DH$1+1,0),"")</f>
        <v/>
      </c>
      <c r="BQ317" s="133" t="str">
        <f>IF($A317&lt;&gt;0,VLOOKUP($A317,'0.Productos'!$A$3:$GG$587,'0.Productos'!DI$1+1,0),"")</f>
        <v/>
      </c>
      <c r="BR317" s="133" t="str">
        <f>IF($A317&lt;&gt;0,VLOOKUP($A317,'0.Productos'!$A$3:$GG$587,'0.Productos'!DJ$1+1,0),"")</f>
        <v/>
      </c>
      <c r="BS317" s="133" t="str">
        <f>IF($A317&lt;&gt;0,VLOOKUP($A317,'0.Productos'!$A$3:$GG$587,'0.Productos'!DK$1+1,0),"")</f>
        <v/>
      </c>
      <c r="BT317" s="133" t="str">
        <f>IF($A317&lt;&gt;0,VLOOKUP($A317,'0.Productos'!$A$3:$GG$587,'0.Productos'!DL$1+1,0),"")</f>
        <v/>
      </c>
    </row>
    <row r="318" spans="1:72" x14ac:dyDescent="0.25">
      <c r="A318" s="17">
        <f>'0.Consolidado general'!A318</f>
        <v>0</v>
      </c>
      <c r="B318" s="133" t="str">
        <f>IF($A318&lt;&gt;0,VLOOKUP($A318,'0.Productos'!$A$3:$GG$587,'0.Productos'!AT$1+1,0),"")</f>
        <v/>
      </c>
      <c r="C318" s="133" t="str">
        <f>IF($A318&lt;&gt;0,VLOOKUP($A318,'0.Productos'!$A$3:$GG$587,'0.Productos'!AU$1+1,0),"")</f>
        <v/>
      </c>
      <c r="D318" s="133" t="str">
        <f>IF($A318&lt;&gt;0,VLOOKUP($A318,'0.Productos'!$A$3:$GG$587,'0.Productos'!AV$1+1,0),"")</f>
        <v/>
      </c>
      <c r="E318" s="133" t="str">
        <f>IF($A318&lt;&gt;0,VLOOKUP($A318,'0.Productos'!$A$3:$GG$587,'0.Productos'!AW$1+1,0),"")</f>
        <v/>
      </c>
      <c r="F318" s="133" t="str">
        <f>IF($A318&lt;&gt;0,VLOOKUP($A318,'0.Productos'!$A$3:$GG$587,'0.Productos'!AX$1+1,0),"")</f>
        <v/>
      </c>
      <c r="G318" s="133" t="str">
        <f>IF($A318&lt;&gt;0,VLOOKUP($A318,'0.Productos'!$A$3:$GG$587,'0.Productos'!AY$1+1,0),"")</f>
        <v/>
      </c>
      <c r="H318" s="133" t="str">
        <f>IF($A318&lt;&gt;0,VLOOKUP($A318,'0.Productos'!$A$3:$GG$587,'0.Productos'!AZ$1+1,0),"")</f>
        <v/>
      </c>
      <c r="I318" s="133" t="str">
        <f>IF($A318&lt;&gt;0,VLOOKUP($A318,'0.Productos'!$A$3:$GG$587,'0.Productos'!BA$1+1,0),"")</f>
        <v/>
      </c>
      <c r="J318" s="133" t="str">
        <f>IF($A318&lt;&gt;0,VLOOKUP($A318,'0.Productos'!$A$3:$GG$587,'0.Productos'!BB$1+1,0),"")</f>
        <v/>
      </c>
      <c r="K318" s="133" t="str">
        <f>IF($A318&lt;&gt;0,VLOOKUP($A318,'0.Productos'!$A$3:$GG$587,'0.Productos'!BC$1+1,0),"")</f>
        <v/>
      </c>
      <c r="L318" s="133" t="str">
        <f>IF($A318&lt;&gt;0,VLOOKUP($A318,'0.Productos'!$A$3:$GG$587,'0.Productos'!BD$1+1,0),"")</f>
        <v/>
      </c>
      <c r="M318" s="133" t="str">
        <f>IF($A318&lt;&gt;0,VLOOKUP($A318,'0.Productos'!$A$3:$GG$587,'0.Productos'!BE$1+1,0),"")</f>
        <v/>
      </c>
      <c r="N318" s="133" t="str">
        <f>IF($A318&lt;&gt;0,VLOOKUP($A318,'0.Productos'!$A$3:$GG$587,'0.Productos'!BF$1+1,0),"")</f>
        <v/>
      </c>
      <c r="O318" s="133" t="str">
        <f>IF($A318&lt;&gt;0,VLOOKUP($A318,'0.Productos'!$A$3:$GG$587,'0.Productos'!BG$1+1,0),"")</f>
        <v/>
      </c>
      <c r="P318" s="133" t="str">
        <f>IF($A318&lt;&gt;0,VLOOKUP($A318,'0.Productos'!$A$3:$GG$587,'0.Productos'!BH$1+1,0),"")</f>
        <v/>
      </c>
      <c r="Q318" s="133" t="str">
        <f>IF($A318&lt;&gt;0,VLOOKUP($A318,'0.Productos'!$A$3:$GG$587,'0.Productos'!BI$1+1,0),"")</f>
        <v/>
      </c>
      <c r="R318" s="133" t="str">
        <f>IF($A318&lt;&gt;0,VLOOKUP($A318,'0.Productos'!$A$3:$GG$587,'0.Productos'!BJ$1+1,0),"")</f>
        <v/>
      </c>
      <c r="S318" s="133" t="str">
        <f>IF($A318&lt;&gt;0,VLOOKUP($A318,'0.Productos'!$A$3:$GG$587,'0.Productos'!BK$1+1,0),"")</f>
        <v/>
      </c>
      <c r="T318" s="133" t="str">
        <f>IF($A318&lt;&gt;0,VLOOKUP($A318,'0.Productos'!$A$3:$GG$587,'0.Productos'!BL$1+1,0),"")</f>
        <v/>
      </c>
      <c r="U318" s="133" t="str">
        <f>IF($A318&lt;&gt;0,VLOOKUP($A318,'0.Productos'!$A$3:$GG$587,'0.Productos'!BM$1+1,0),"")</f>
        <v/>
      </c>
      <c r="V318" s="133" t="str">
        <f>IF($A318&lt;&gt;0,VLOOKUP($A318,'0.Productos'!$A$3:$GG$587,'0.Productos'!BN$1+1,0),"")</f>
        <v/>
      </c>
      <c r="W318" s="133" t="str">
        <f>IF($A318&lt;&gt;0,VLOOKUP($A318,'0.Productos'!$A$3:$GG$587,'0.Productos'!BO$1+1,0),"")</f>
        <v/>
      </c>
      <c r="X318" s="133" t="str">
        <f>IF($A318&lt;&gt;0,VLOOKUP($A318,'0.Productos'!$A$3:$GG$587,'0.Productos'!BP$1+1,0),"")</f>
        <v/>
      </c>
      <c r="Y318" s="133" t="str">
        <f>IF($A318&lt;&gt;0,VLOOKUP($A318,'0.Productos'!$A$3:$GG$587,'0.Productos'!BQ$1+1,0),"")</f>
        <v/>
      </c>
      <c r="Z318" s="133" t="str">
        <f>IF($A318&lt;&gt;0,VLOOKUP($A318,'0.Productos'!$A$3:$GG$587,'0.Productos'!BR$1+1,0),"")</f>
        <v/>
      </c>
      <c r="AA318" s="133" t="str">
        <f>IF($A318&lt;&gt;0,VLOOKUP($A318,'0.Productos'!$A$3:$GG$587,'0.Productos'!BS$1+1,0),"")</f>
        <v/>
      </c>
      <c r="AB318" s="133" t="str">
        <f>IF($A318&lt;&gt;0,VLOOKUP($A318,'0.Productos'!$A$3:$GG$587,'0.Productos'!BT$1+1,0),"")</f>
        <v/>
      </c>
      <c r="AC318" s="133" t="str">
        <f>IF($A318&lt;&gt;0,VLOOKUP($A318,'0.Productos'!$A$3:$GG$587,'0.Productos'!BU$1+1,0),"")</f>
        <v/>
      </c>
      <c r="AD318" s="133" t="str">
        <f>IF($A318&lt;&gt;0,VLOOKUP($A318,'0.Productos'!$A$3:$GG$587,'0.Productos'!BV$1+1,0),"")</f>
        <v/>
      </c>
      <c r="AE318" s="133" t="str">
        <f>IF($A318&lt;&gt;0,VLOOKUP($A318,'0.Productos'!$A$3:$GG$587,'0.Productos'!BW$1+1,0),"")</f>
        <v/>
      </c>
      <c r="AF318" s="133" t="str">
        <f>IF($A318&lt;&gt;0,VLOOKUP($A318,'0.Productos'!$A$3:$GG$587,'0.Productos'!BX$1+1,0),"")</f>
        <v/>
      </c>
      <c r="AG318" s="133" t="str">
        <f>IF($A318&lt;&gt;0,VLOOKUP($A318,'0.Productos'!$A$3:$GG$587,'0.Productos'!BY$1+1,0),"")</f>
        <v/>
      </c>
      <c r="AH318" s="133" t="str">
        <f>IF($A318&lt;&gt;0,VLOOKUP($A318,'0.Productos'!$A$3:$GG$587,'0.Productos'!BZ$1+1,0),"")</f>
        <v/>
      </c>
      <c r="AI318" s="133" t="str">
        <f>IF($A318&lt;&gt;0,VLOOKUP($A318,'0.Productos'!$A$3:$GG$587,'0.Productos'!CA$1+1,0),"")</f>
        <v/>
      </c>
      <c r="AJ318" s="133" t="str">
        <f>IF($A318&lt;&gt;0,VLOOKUP($A318,'0.Productos'!$A$3:$GG$587,'0.Productos'!CB$1+1,0),"")</f>
        <v/>
      </c>
      <c r="AK318" s="133" t="str">
        <f>IF($A318&lt;&gt;0,VLOOKUP($A318,'0.Productos'!$A$3:$GG$587,'0.Productos'!CC$1+1,0),"")</f>
        <v/>
      </c>
      <c r="AL318" s="133" t="str">
        <f>IF($A318&lt;&gt;0,VLOOKUP($A318,'0.Productos'!$A$3:$GG$587,'0.Productos'!CD$1+1,0),"")</f>
        <v/>
      </c>
      <c r="AM318" s="133" t="str">
        <f>IF($A318&lt;&gt;0,VLOOKUP($A318,'0.Productos'!$A$3:$GG$587,'0.Productos'!CE$1+1,0),"")</f>
        <v/>
      </c>
      <c r="AN318" s="133" t="str">
        <f>IF($A318&lt;&gt;0,VLOOKUP($A318,'0.Productos'!$A$3:$GG$587,'0.Productos'!CF$1+1,0),"")</f>
        <v/>
      </c>
      <c r="AO318" s="133" t="str">
        <f>IF($A318&lt;&gt;0,VLOOKUP($A318,'0.Productos'!$A$3:$GG$587,'0.Productos'!CG$1+1,0),"")</f>
        <v/>
      </c>
      <c r="AP318" s="133" t="str">
        <f>IF($A318&lt;&gt;0,VLOOKUP($A318,'0.Productos'!$A$3:$GG$587,'0.Productos'!CH$1+1,0),"")</f>
        <v/>
      </c>
      <c r="AQ318" s="133" t="str">
        <f>IF($A318&lt;&gt;0,VLOOKUP($A318,'0.Productos'!$A$3:$GG$587,'0.Productos'!CI$1+1,0),"")</f>
        <v/>
      </c>
      <c r="AR318" s="133" t="str">
        <f>IF($A318&lt;&gt;0,VLOOKUP($A318,'0.Productos'!$A$3:$GG$587,'0.Productos'!CJ$1+1,0),"")</f>
        <v/>
      </c>
      <c r="AS318" s="133" t="str">
        <f>IF($A318&lt;&gt;0,VLOOKUP($A318,'0.Productos'!$A$3:$GG$587,'0.Productos'!CK$1+1,0),"")</f>
        <v/>
      </c>
      <c r="AT318" s="133" t="str">
        <f>IF($A318&lt;&gt;0,VLOOKUP($A318,'0.Productos'!$A$3:$GG$587,'0.Productos'!CL$1+1,0),"")</f>
        <v/>
      </c>
      <c r="AU318" s="133" t="str">
        <f>IF($A318&lt;&gt;0,VLOOKUP($A318,'0.Productos'!$A$3:$GG$587,'0.Productos'!CM$1+1,0),"")</f>
        <v/>
      </c>
      <c r="AV318" s="133" t="str">
        <f>IF($A318&lt;&gt;0,VLOOKUP($A318,'0.Productos'!$A$3:$GG$587,'0.Productos'!CN$1+1,0),"")</f>
        <v/>
      </c>
      <c r="AW318" s="133" t="str">
        <f>IF($A318&lt;&gt;0,VLOOKUP($A318,'0.Productos'!$A$3:$GG$587,'0.Productos'!CO$1+1,0),"")</f>
        <v/>
      </c>
      <c r="AX318" s="133" t="str">
        <f>IF($A318&lt;&gt;0,VLOOKUP($A318,'0.Productos'!$A$3:$GG$587,'0.Productos'!CP$1+1,0),"")</f>
        <v/>
      </c>
      <c r="AY318" s="133" t="str">
        <f>IF($A318&lt;&gt;0,VLOOKUP($A318,'0.Productos'!$A$3:$GG$587,'0.Productos'!CQ$1+1,0),"")</f>
        <v/>
      </c>
      <c r="AZ318" s="133" t="str">
        <f>IF($A318&lt;&gt;0,VLOOKUP($A318,'0.Productos'!$A$3:$GG$587,'0.Productos'!CR$1+1,0),"")</f>
        <v/>
      </c>
      <c r="BA318" s="133" t="str">
        <f>IF($A318&lt;&gt;0,VLOOKUP($A318,'0.Productos'!$A$3:$GG$587,'0.Productos'!CS$1+1,0),"")</f>
        <v/>
      </c>
      <c r="BB318" s="133" t="str">
        <f>IF($A318&lt;&gt;0,VLOOKUP($A318,'0.Productos'!$A$3:$GG$587,'0.Productos'!CT$1+1,0),"")</f>
        <v/>
      </c>
      <c r="BC318" s="133" t="str">
        <f>IF($A318&lt;&gt;0,VLOOKUP($A318,'0.Productos'!$A$3:$GG$587,'0.Productos'!CU$1+1,0),"")</f>
        <v/>
      </c>
      <c r="BD318" s="133" t="str">
        <f>IF($A318&lt;&gt;0,VLOOKUP($A318,'0.Productos'!$A$3:$GG$587,'0.Productos'!CV$1+1,0),"")</f>
        <v/>
      </c>
      <c r="BE318" s="133" t="str">
        <f>IF($A318&lt;&gt;0,VLOOKUP($A318,'0.Productos'!$A$3:$GG$587,'0.Productos'!CW$1+1,0),"")</f>
        <v/>
      </c>
      <c r="BF318" s="133" t="str">
        <f>IF($A318&lt;&gt;0,VLOOKUP($A318,'0.Productos'!$A$3:$GG$587,'0.Productos'!CX$1+1,0),"")</f>
        <v/>
      </c>
      <c r="BG318" s="133" t="str">
        <f>IF($A318&lt;&gt;0,VLOOKUP($A318,'0.Productos'!$A$3:$GG$587,'0.Productos'!CY$1+1,0),"")</f>
        <v/>
      </c>
      <c r="BH318" s="133" t="str">
        <f>IF($A318&lt;&gt;0,VLOOKUP($A318,'0.Productos'!$A$3:$GG$587,'0.Productos'!CZ$1+1,0),"")</f>
        <v/>
      </c>
      <c r="BI318" s="133" t="str">
        <f>IF($A318&lt;&gt;0,VLOOKUP($A318,'0.Productos'!$A$3:$GG$587,'0.Productos'!DA$1+1,0),"")</f>
        <v/>
      </c>
      <c r="BJ318" s="133" t="str">
        <f>IF($A318&lt;&gt;0,VLOOKUP($A318,'0.Productos'!$A$3:$GG$587,'0.Productos'!DB$1+1,0),"")</f>
        <v/>
      </c>
      <c r="BK318" s="133" t="str">
        <f>IF($A318&lt;&gt;0,VLOOKUP($A318,'0.Productos'!$A$3:$GG$587,'0.Productos'!DC$1+1,0),"")</f>
        <v/>
      </c>
      <c r="BL318" s="133" t="str">
        <f>IF($A318&lt;&gt;0,VLOOKUP($A318,'0.Productos'!$A$3:$GG$587,'0.Productos'!DD$1+1,0),"")</f>
        <v/>
      </c>
      <c r="BM318" s="133" t="str">
        <f>IF($A318&lt;&gt;0,VLOOKUP($A318,'0.Productos'!$A$3:$GG$587,'0.Productos'!DE$1+1,0),"")</f>
        <v/>
      </c>
      <c r="BN318" s="133" t="str">
        <f>IF($A318&lt;&gt;0,VLOOKUP($A318,'0.Productos'!$A$3:$GG$587,'0.Productos'!DF$1+1,0),"")</f>
        <v/>
      </c>
      <c r="BO318" s="133" t="str">
        <f>IF($A318&lt;&gt;0,VLOOKUP($A318,'0.Productos'!$A$3:$GG$587,'0.Productos'!DG$1+1,0),"")</f>
        <v/>
      </c>
      <c r="BP318" s="133" t="str">
        <f>IF($A318&lt;&gt;0,VLOOKUP($A318,'0.Productos'!$A$3:$GG$587,'0.Productos'!DH$1+1,0),"")</f>
        <v/>
      </c>
      <c r="BQ318" s="133" t="str">
        <f>IF($A318&lt;&gt;0,VLOOKUP($A318,'0.Productos'!$A$3:$GG$587,'0.Productos'!DI$1+1,0),"")</f>
        <v/>
      </c>
      <c r="BR318" s="133" t="str">
        <f>IF($A318&lt;&gt;0,VLOOKUP($A318,'0.Productos'!$A$3:$GG$587,'0.Productos'!DJ$1+1,0),"")</f>
        <v/>
      </c>
      <c r="BS318" s="133" t="str">
        <f>IF($A318&lt;&gt;0,VLOOKUP($A318,'0.Productos'!$A$3:$GG$587,'0.Productos'!DK$1+1,0),"")</f>
        <v/>
      </c>
      <c r="BT318" s="133" t="str">
        <f>IF($A318&lt;&gt;0,VLOOKUP($A318,'0.Productos'!$A$3:$GG$587,'0.Productos'!DL$1+1,0),"")</f>
        <v/>
      </c>
    </row>
    <row r="319" spans="1:72" x14ac:dyDescent="0.25">
      <c r="A319" s="17">
        <f>'0.Consolidado general'!A319</f>
        <v>0</v>
      </c>
      <c r="B319" s="133" t="str">
        <f>IF($A319&lt;&gt;0,VLOOKUP($A319,'0.Productos'!$A$3:$GG$587,'0.Productos'!AT$1+1,0),"")</f>
        <v/>
      </c>
      <c r="C319" s="133" t="str">
        <f>IF($A319&lt;&gt;0,VLOOKUP($A319,'0.Productos'!$A$3:$GG$587,'0.Productos'!AU$1+1,0),"")</f>
        <v/>
      </c>
      <c r="D319" s="133" t="str">
        <f>IF($A319&lt;&gt;0,VLOOKUP($A319,'0.Productos'!$A$3:$GG$587,'0.Productos'!AV$1+1,0),"")</f>
        <v/>
      </c>
      <c r="E319" s="133" t="str">
        <f>IF($A319&lt;&gt;0,VLOOKUP($A319,'0.Productos'!$A$3:$GG$587,'0.Productos'!AW$1+1,0),"")</f>
        <v/>
      </c>
      <c r="F319" s="133" t="str">
        <f>IF($A319&lt;&gt;0,VLOOKUP($A319,'0.Productos'!$A$3:$GG$587,'0.Productos'!AX$1+1,0),"")</f>
        <v/>
      </c>
      <c r="G319" s="133" t="str">
        <f>IF($A319&lt;&gt;0,VLOOKUP($A319,'0.Productos'!$A$3:$GG$587,'0.Productos'!AY$1+1,0),"")</f>
        <v/>
      </c>
      <c r="H319" s="133" t="str">
        <f>IF($A319&lt;&gt;0,VLOOKUP($A319,'0.Productos'!$A$3:$GG$587,'0.Productos'!AZ$1+1,0),"")</f>
        <v/>
      </c>
      <c r="I319" s="133" t="str">
        <f>IF($A319&lt;&gt;0,VLOOKUP($A319,'0.Productos'!$A$3:$GG$587,'0.Productos'!BA$1+1,0),"")</f>
        <v/>
      </c>
      <c r="J319" s="133" t="str">
        <f>IF($A319&lt;&gt;0,VLOOKUP($A319,'0.Productos'!$A$3:$GG$587,'0.Productos'!BB$1+1,0),"")</f>
        <v/>
      </c>
      <c r="K319" s="133" t="str">
        <f>IF($A319&lt;&gt;0,VLOOKUP($A319,'0.Productos'!$A$3:$GG$587,'0.Productos'!BC$1+1,0),"")</f>
        <v/>
      </c>
      <c r="L319" s="133" t="str">
        <f>IF($A319&lt;&gt;0,VLOOKUP($A319,'0.Productos'!$A$3:$GG$587,'0.Productos'!BD$1+1,0),"")</f>
        <v/>
      </c>
      <c r="M319" s="133" t="str">
        <f>IF($A319&lt;&gt;0,VLOOKUP($A319,'0.Productos'!$A$3:$GG$587,'0.Productos'!BE$1+1,0),"")</f>
        <v/>
      </c>
      <c r="N319" s="133" t="str">
        <f>IF($A319&lt;&gt;0,VLOOKUP($A319,'0.Productos'!$A$3:$GG$587,'0.Productos'!BF$1+1,0),"")</f>
        <v/>
      </c>
      <c r="O319" s="133" t="str">
        <f>IF($A319&lt;&gt;0,VLOOKUP($A319,'0.Productos'!$A$3:$GG$587,'0.Productos'!BG$1+1,0),"")</f>
        <v/>
      </c>
      <c r="P319" s="133" t="str">
        <f>IF($A319&lt;&gt;0,VLOOKUP($A319,'0.Productos'!$A$3:$GG$587,'0.Productos'!BH$1+1,0),"")</f>
        <v/>
      </c>
      <c r="Q319" s="133" t="str">
        <f>IF($A319&lt;&gt;0,VLOOKUP($A319,'0.Productos'!$A$3:$GG$587,'0.Productos'!BI$1+1,0),"")</f>
        <v/>
      </c>
      <c r="R319" s="133" t="str">
        <f>IF($A319&lt;&gt;0,VLOOKUP($A319,'0.Productos'!$A$3:$GG$587,'0.Productos'!BJ$1+1,0),"")</f>
        <v/>
      </c>
      <c r="S319" s="133" t="str">
        <f>IF($A319&lt;&gt;0,VLOOKUP($A319,'0.Productos'!$A$3:$GG$587,'0.Productos'!BK$1+1,0),"")</f>
        <v/>
      </c>
      <c r="T319" s="133" t="str">
        <f>IF($A319&lt;&gt;0,VLOOKUP($A319,'0.Productos'!$A$3:$GG$587,'0.Productos'!BL$1+1,0),"")</f>
        <v/>
      </c>
      <c r="U319" s="133" t="str">
        <f>IF($A319&lt;&gt;0,VLOOKUP($A319,'0.Productos'!$A$3:$GG$587,'0.Productos'!BM$1+1,0),"")</f>
        <v/>
      </c>
      <c r="V319" s="133" t="str">
        <f>IF($A319&lt;&gt;0,VLOOKUP($A319,'0.Productos'!$A$3:$GG$587,'0.Productos'!BN$1+1,0),"")</f>
        <v/>
      </c>
      <c r="W319" s="133" t="str">
        <f>IF($A319&lt;&gt;0,VLOOKUP($A319,'0.Productos'!$A$3:$GG$587,'0.Productos'!BO$1+1,0),"")</f>
        <v/>
      </c>
      <c r="X319" s="133" t="str">
        <f>IF($A319&lt;&gt;0,VLOOKUP($A319,'0.Productos'!$A$3:$GG$587,'0.Productos'!BP$1+1,0),"")</f>
        <v/>
      </c>
      <c r="Y319" s="133" t="str">
        <f>IF($A319&lt;&gt;0,VLOOKUP($A319,'0.Productos'!$A$3:$GG$587,'0.Productos'!BQ$1+1,0),"")</f>
        <v/>
      </c>
      <c r="Z319" s="133" t="str">
        <f>IF($A319&lt;&gt;0,VLOOKUP($A319,'0.Productos'!$A$3:$GG$587,'0.Productos'!BR$1+1,0),"")</f>
        <v/>
      </c>
      <c r="AA319" s="133" t="str">
        <f>IF($A319&lt;&gt;0,VLOOKUP($A319,'0.Productos'!$A$3:$GG$587,'0.Productos'!BS$1+1,0),"")</f>
        <v/>
      </c>
      <c r="AB319" s="133" t="str">
        <f>IF($A319&lt;&gt;0,VLOOKUP($A319,'0.Productos'!$A$3:$GG$587,'0.Productos'!BT$1+1,0),"")</f>
        <v/>
      </c>
      <c r="AC319" s="133" t="str">
        <f>IF($A319&lt;&gt;0,VLOOKUP($A319,'0.Productos'!$A$3:$GG$587,'0.Productos'!BU$1+1,0),"")</f>
        <v/>
      </c>
      <c r="AD319" s="133" t="str">
        <f>IF($A319&lt;&gt;0,VLOOKUP($A319,'0.Productos'!$A$3:$GG$587,'0.Productos'!BV$1+1,0),"")</f>
        <v/>
      </c>
      <c r="AE319" s="133" t="str">
        <f>IF($A319&lt;&gt;0,VLOOKUP($A319,'0.Productos'!$A$3:$GG$587,'0.Productos'!BW$1+1,0),"")</f>
        <v/>
      </c>
      <c r="AF319" s="133" t="str">
        <f>IF($A319&lt;&gt;0,VLOOKUP($A319,'0.Productos'!$A$3:$GG$587,'0.Productos'!BX$1+1,0),"")</f>
        <v/>
      </c>
      <c r="AG319" s="133" t="str">
        <f>IF($A319&lt;&gt;0,VLOOKUP($A319,'0.Productos'!$A$3:$GG$587,'0.Productos'!BY$1+1,0),"")</f>
        <v/>
      </c>
      <c r="AH319" s="133" t="str">
        <f>IF($A319&lt;&gt;0,VLOOKUP($A319,'0.Productos'!$A$3:$GG$587,'0.Productos'!BZ$1+1,0),"")</f>
        <v/>
      </c>
      <c r="AI319" s="133" t="str">
        <f>IF($A319&lt;&gt;0,VLOOKUP($A319,'0.Productos'!$A$3:$GG$587,'0.Productos'!CA$1+1,0),"")</f>
        <v/>
      </c>
      <c r="AJ319" s="133" t="str">
        <f>IF($A319&lt;&gt;0,VLOOKUP($A319,'0.Productos'!$A$3:$GG$587,'0.Productos'!CB$1+1,0),"")</f>
        <v/>
      </c>
      <c r="AK319" s="133" t="str">
        <f>IF($A319&lt;&gt;0,VLOOKUP($A319,'0.Productos'!$A$3:$GG$587,'0.Productos'!CC$1+1,0),"")</f>
        <v/>
      </c>
      <c r="AL319" s="133" t="str">
        <f>IF($A319&lt;&gt;0,VLOOKUP($A319,'0.Productos'!$A$3:$GG$587,'0.Productos'!CD$1+1,0),"")</f>
        <v/>
      </c>
      <c r="AM319" s="133" t="str">
        <f>IF($A319&lt;&gt;0,VLOOKUP($A319,'0.Productos'!$A$3:$GG$587,'0.Productos'!CE$1+1,0),"")</f>
        <v/>
      </c>
      <c r="AN319" s="133" t="str">
        <f>IF($A319&lt;&gt;0,VLOOKUP($A319,'0.Productos'!$A$3:$GG$587,'0.Productos'!CF$1+1,0),"")</f>
        <v/>
      </c>
      <c r="AO319" s="133" t="str">
        <f>IF($A319&lt;&gt;0,VLOOKUP($A319,'0.Productos'!$A$3:$GG$587,'0.Productos'!CG$1+1,0),"")</f>
        <v/>
      </c>
      <c r="AP319" s="133" t="str">
        <f>IF($A319&lt;&gt;0,VLOOKUP($A319,'0.Productos'!$A$3:$GG$587,'0.Productos'!CH$1+1,0),"")</f>
        <v/>
      </c>
      <c r="AQ319" s="133" t="str">
        <f>IF($A319&lt;&gt;0,VLOOKUP($A319,'0.Productos'!$A$3:$GG$587,'0.Productos'!CI$1+1,0),"")</f>
        <v/>
      </c>
      <c r="AR319" s="133" t="str">
        <f>IF($A319&lt;&gt;0,VLOOKUP($A319,'0.Productos'!$A$3:$GG$587,'0.Productos'!CJ$1+1,0),"")</f>
        <v/>
      </c>
      <c r="AS319" s="133" t="str">
        <f>IF($A319&lt;&gt;0,VLOOKUP($A319,'0.Productos'!$A$3:$GG$587,'0.Productos'!CK$1+1,0),"")</f>
        <v/>
      </c>
      <c r="AT319" s="133" t="str">
        <f>IF($A319&lt;&gt;0,VLOOKUP($A319,'0.Productos'!$A$3:$GG$587,'0.Productos'!CL$1+1,0),"")</f>
        <v/>
      </c>
      <c r="AU319" s="133" t="str">
        <f>IF($A319&lt;&gt;0,VLOOKUP($A319,'0.Productos'!$A$3:$GG$587,'0.Productos'!CM$1+1,0),"")</f>
        <v/>
      </c>
      <c r="AV319" s="133" t="str">
        <f>IF($A319&lt;&gt;0,VLOOKUP($A319,'0.Productos'!$A$3:$GG$587,'0.Productos'!CN$1+1,0),"")</f>
        <v/>
      </c>
      <c r="AW319" s="133" t="str">
        <f>IF($A319&lt;&gt;0,VLOOKUP($A319,'0.Productos'!$A$3:$GG$587,'0.Productos'!CO$1+1,0),"")</f>
        <v/>
      </c>
      <c r="AX319" s="133" t="str">
        <f>IF($A319&lt;&gt;0,VLOOKUP($A319,'0.Productos'!$A$3:$GG$587,'0.Productos'!CP$1+1,0),"")</f>
        <v/>
      </c>
      <c r="AY319" s="133" t="str">
        <f>IF($A319&lt;&gt;0,VLOOKUP($A319,'0.Productos'!$A$3:$GG$587,'0.Productos'!CQ$1+1,0),"")</f>
        <v/>
      </c>
      <c r="AZ319" s="133" t="str">
        <f>IF($A319&lt;&gt;0,VLOOKUP($A319,'0.Productos'!$A$3:$GG$587,'0.Productos'!CR$1+1,0),"")</f>
        <v/>
      </c>
      <c r="BA319" s="133" t="str">
        <f>IF($A319&lt;&gt;0,VLOOKUP($A319,'0.Productos'!$A$3:$GG$587,'0.Productos'!CS$1+1,0),"")</f>
        <v/>
      </c>
      <c r="BB319" s="133" t="str">
        <f>IF($A319&lt;&gt;0,VLOOKUP($A319,'0.Productos'!$A$3:$GG$587,'0.Productos'!CT$1+1,0),"")</f>
        <v/>
      </c>
      <c r="BC319" s="133" t="str">
        <f>IF($A319&lt;&gt;0,VLOOKUP($A319,'0.Productos'!$A$3:$GG$587,'0.Productos'!CU$1+1,0),"")</f>
        <v/>
      </c>
      <c r="BD319" s="133" t="str">
        <f>IF($A319&lt;&gt;0,VLOOKUP($A319,'0.Productos'!$A$3:$GG$587,'0.Productos'!CV$1+1,0),"")</f>
        <v/>
      </c>
      <c r="BE319" s="133" t="str">
        <f>IF($A319&lt;&gt;0,VLOOKUP($A319,'0.Productos'!$A$3:$GG$587,'0.Productos'!CW$1+1,0),"")</f>
        <v/>
      </c>
      <c r="BF319" s="133" t="str">
        <f>IF($A319&lt;&gt;0,VLOOKUP($A319,'0.Productos'!$A$3:$GG$587,'0.Productos'!CX$1+1,0),"")</f>
        <v/>
      </c>
      <c r="BG319" s="133" t="str">
        <f>IF($A319&lt;&gt;0,VLOOKUP($A319,'0.Productos'!$A$3:$GG$587,'0.Productos'!CY$1+1,0),"")</f>
        <v/>
      </c>
      <c r="BH319" s="133" t="str">
        <f>IF($A319&lt;&gt;0,VLOOKUP($A319,'0.Productos'!$A$3:$GG$587,'0.Productos'!CZ$1+1,0),"")</f>
        <v/>
      </c>
      <c r="BI319" s="133" t="str">
        <f>IF($A319&lt;&gt;0,VLOOKUP($A319,'0.Productos'!$A$3:$GG$587,'0.Productos'!DA$1+1,0),"")</f>
        <v/>
      </c>
      <c r="BJ319" s="133" t="str">
        <f>IF($A319&lt;&gt;0,VLOOKUP($A319,'0.Productos'!$A$3:$GG$587,'0.Productos'!DB$1+1,0),"")</f>
        <v/>
      </c>
      <c r="BK319" s="133" t="str">
        <f>IF($A319&lt;&gt;0,VLOOKUP($A319,'0.Productos'!$A$3:$GG$587,'0.Productos'!DC$1+1,0),"")</f>
        <v/>
      </c>
      <c r="BL319" s="133" t="str">
        <f>IF($A319&lt;&gt;0,VLOOKUP($A319,'0.Productos'!$A$3:$GG$587,'0.Productos'!DD$1+1,0),"")</f>
        <v/>
      </c>
      <c r="BM319" s="133" t="str">
        <f>IF($A319&lt;&gt;0,VLOOKUP($A319,'0.Productos'!$A$3:$GG$587,'0.Productos'!DE$1+1,0),"")</f>
        <v/>
      </c>
      <c r="BN319" s="133" t="str">
        <f>IF($A319&lt;&gt;0,VLOOKUP($A319,'0.Productos'!$A$3:$GG$587,'0.Productos'!DF$1+1,0),"")</f>
        <v/>
      </c>
      <c r="BO319" s="133" t="str">
        <f>IF($A319&lt;&gt;0,VLOOKUP($A319,'0.Productos'!$A$3:$GG$587,'0.Productos'!DG$1+1,0),"")</f>
        <v/>
      </c>
      <c r="BP319" s="133" t="str">
        <f>IF($A319&lt;&gt;0,VLOOKUP($A319,'0.Productos'!$A$3:$GG$587,'0.Productos'!DH$1+1,0),"")</f>
        <v/>
      </c>
      <c r="BQ319" s="133" t="str">
        <f>IF($A319&lt;&gt;0,VLOOKUP($A319,'0.Productos'!$A$3:$GG$587,'0.Productos'!DI$1+1,0),"")</f>
        <v/>
      </c>
      <c r="BR319" s="133" t="str">
        <f>IF($A319&lt;&gt;0,VLOOKUP($A319,'0.Productos'!$A$3:$GG$587,'0.Productos'!DJ$1+1,0),"")</f>
        <v/>
      </c>
      <c r="BS319" s="133" t="str">
        <f>IF($A319&lt;&gt;0,VLOOKUP($A319,'0.Productos'!$A$3:$GG$587,'0.Productos'!DK$1+1,0),"")</f>
        <v/>
      </c>
      <c r="BT319" s="133" t="str">
        <f>IF($A319&lt;&gt;0,VLOOKUP($A319,'0.Productos'!$A$3:$GG$587,'0.Productos'!DL$1+1,0),"")</f>
        <v/>
      </c>
    </row>
    <row r="320" spans="1:72" x14ac:dyDescent="0.25">
      <c r="A320" s="17">
        <f>'0.Consolidado general'!A320</f>
        <v>0</v>
      </c>
      <c r="B320" s="133" t="str">
        <f>IF($A320&lt;&gt;0,VLOOKUP($A320,'0.Productos'!$A$3:$GG$587,'0.Productos'!AT$1+1,0),"")</f>
        <v/>
      </c>
      <c r="C320" s="133" t="str">
        <f>IF($A320&lt;&gt;0,VLOOKUP($A320,'0.Productos'!$A$3:$GG$587,'0.Productos'!AU$1+1,0),"")</f>
        <v/>
      </c>
      <c r="D320" s="133" t="str">
        <f>IF($A320&lt;&gt;0,VLOOKUP($A320,'0.Productos'!$A$3:$GG$587,'0.Productos'!AV$1+1,0),"")</f>
        <v/>
      </c>
      <c r="E320" s="133" t="str">
        <f>IF($A320&lt;&gt;0,VLOOKUP($A320,'0.Productos'!$A$3:$GG$587,'0.Productos'!AW$1+1,0),"")</f>
        <v/>
      </c>
      <c r="F320" s="133" t="str">
        <f>IF($A320&lt;&gt;0,VLOOKUP($A320,'0.Productos'!$A$3:$GG$587,'0.Productos'!AX$1+1,0),"")</f>
        <v/>
      </c>
      <c r="G320" s="133" t="str">
        <f>IF($A320&lt;&gt;0,VLOOKUP($A320,'0.Productos'!$A$3:$GG$587,'0.Productos'!AY$1+1,0),"")</f>
        <v/>
      </c>
      <c r="H320" s="133" t="str">
        <f>IF($A320&lt;&gt;0,VLOOKUP($A320,'0.Productos'!$A$3:$GG$587,'0.Productos'!AZ$1+1,0),"")</f>
        <v/>
      </c>
      <c r="I320" s="133" t="str">
        <f>IF($A320&lt;&gt;0,VLOOKUP($A320,'0.Productos'!$A$3:$GG$587,'0.Productos'!BA$1+1,0),"")</f>
        <v/>
      </c>
      <c r="J320" s="133" t="str">
        <f>IF($A320&lt;&gt;0,VLOOKUP($A320,'0.Productos'!$A$3:$GG$587,'0.Productos'!BB$1+1,0),"")</f>
        <v/>
      </c>
      <c r="K320" s="133" t="str">
        <f>IF($A320&lt;&gt;0,VLOOKUP($A320,'0.Productos'!$A$3:$GG$587,'0.Productos'!BC$1+1,0),"")</f>
        <v/>
      </c>
      <c r="L320" s="133" t="str">
        <f>IF($A320&lt;&gt;0,VLOOKUP($A320,'0.Productos'!$A$3:$GG$587,'0.Productos'!BD$1+1,0),"")</f>
        <v/>
      </c>
      <c r="M320" s="133" t="str">
        <f>IF($A320&lt;&gt;0,VLOOKUP($A320,'0.Productos'!$A$3:$GG$587,'0.Productos'!BE$1+1,0),"")</f>
        <v/>
      </c>
      <c r="N320" s="133" t="str">
        <f>IF($A320&lt;&gt;0,VLOOKUP($A320,'0.Productos'!$A$3:$GG$587,'0.Productos'!BF$1+1,0),"")</f>
        <v/>
      </c>
      <c r="O320" s="133" t="str">
        <f>IF($A320&lt;&gt;0,VLOOKUP($A320,'0.Productos'!$A$3:$GG$587,'0.Productos'!BG$1+1,0),"")</f>
        <v/>
      </c>
      <c r="P320" s="133" t="str">
        <f>IF($A320&lt;&gt;0,VLOOKUP($A320,'0.Productos'!$A$3:$GG$587,'0.Productos'!BH$1+1,0),"")</f>
        <v/>
      </c>
      <c r="Q320" s="133" t="str">
        <f>IF($A320&lt;&gt;0,VLOOKUP($A320,'0.Productos'!$A$3:$GG$587,'0.Productos'!BI$1+1,0),"")</f>
        <v/>
      </c>
      <c r="R320" s="133" t="str">
        <f>IF($A320&lt;&gt;0,VLOOKUP($A320,'0.Productos'!$A$3:$GG$587,'0.Productos'!BJ$1+1,0),"")</f>
        <v/>
      </c>
      <c r="S320" s="133" t="str">
        <f>IF($A320&lt;&gt;0,VLOOKUP($A320,'0.Productos'!$A$3:$GG$587,'0.Productos'!BK$1+1,0),"")</f>
        <v/>
      </c>
      <c r="T320" s="133" t="str">
        <f>IF($A320&lt;&gt;0,VLOOKUP($A320,'0.Productos'!$A$3:$GG$587,'0.Productos'!BL$1+1,0),"")</f>
        <v/>
      </c>
      <c r="U320" s="133" t="str">
        <f>IF($A320&lt;&gt;0,VLOOKUP($A320,'0.Productos'!$A$3:$GG$587,'0.Productos'!BM$1+1,0),"")</f>
        <v/>
      </c>
      <c r="V320" s="133" t="str">
        <f>IF($A320&lt;&gt;0,VLOOKUP($A320,'0.Productos'!$A$3:$GG$587,'0.Productos'!BN$1+1,0),"")</f>
        <v/>
      </c>
      <c r="W320" s="133" t="str">
        <f>IF($A320&lt;&gt;0,VLOOKUP($A320,'0.Productos'!$A$3:$GG$587,'0.Productos'!BO$1+1,0),"")</f>
        <v/>
      </c>
      <c r="X320" s="133" t="str">
        <f>IF($A320&lt;&gt;0,VLOOKUP($A320,'0.Productos'!$A$3:$GG$587,'0.Productos'!BP$1+1,0),"")</f>
        <v/>
      </c>
      <c r="Y320" s="133" t="str">
        <f>IF($A320&lt;&gt;0,VLOOKUP($A320,'0.Productos'!$A$3:$GG$587,'0.Productos'!BQ$1+1,0),"")</f>
        <v/>
      </c>
      <c r="Z320" s="133" t="str">
        <f>IF($A320&lt;&gt;0,VLOOKUP($A320,'0.Productos'!$A$3:$GG$587,'0.Productos'!BR$1+1,0),"")</f>
        <v/>
      </c>
      <c r="AA320" s="133" t="str">
        <f>IF($A320&lt;&gt;0,VLOOKUP($A320,'0.Productos'!$A$3:$GG$587,'0.Productos'!BS$1+1,0),"")</f>
        <v/>
      </c>
      <c r="AB320" s="133" t="str">
        <f>IF($A320&lt;&gt;0,VLOOKUP($A320,'0.Productos'!$A$3:$GG$587,'0.Productos'!BT$1+1,0),"")</f>
        <v/>
      </c>
      <c r="AC320" s="133" t="str">
        <f>IF($A320&lt;&gt;0,VLOOKUP($A320,'0.Productos'!$A$3:$GG$587,'0.Productos'!BU$1+1,0),"")</f>
        <v/>
      </c>
      <c r="AD320" s="133" t="str">
        <f>IF($A320&lt;&gt;0,VLOOKUP($A320,'0.Productos'!$A$3:$GG$587,'0.Productos'!BV$1+1,0),"")</f>
        <v/>
      </c>
      <c r="AE320" s="133" t="str">
        <f>IF($A320&lt;&gt;0,VLOOKUP($A320,'0.Productos'!$A$3:$GG$587,'0.Productos'!BW$1+1,0),"")</f>
        <v/>
      </c>
      <c r="AF320" s="133" t="str">
        <f>IF($A320&lt;&gt;0,VLOOKUP($A320,'0.Productos'!$A$3:$GG$587,'0.Productos'!BX$1+1,0),"")</f>
        <v/>
      </c>
      <c r="AG320" s="133" t="str">
        <f>IF($A320&lt;&gt;0,VLOOKUP($A320,'0.Productos'!$A$3:$GG$587,'0.Productos'!BY$1+1,0),"")</f>
        <v/>
      </c>
      <c r="AH320" s="133" t="str">
        <f>IF($A320&lt;&gt;0,VLOOKUP($A320,'0.Productos'!$A$3:$GG$587,'0.Productos'!BZ$1+1,0),"")</f>
        <v/>
      </c>
      <c r="AI320" s="133" t="str">
        <f>IF($A320&lt;&gt;0,VLOOKUP($A320,'0.Productos'!$A$3:$GG$587,'0.Productos'!CA$1+1,0),"")</f>
        <v/>
      </c>
      <c r="AJ320" s="133" t="str">
        <f>IF($A320&lt;&gt;0,VLOOKUP($A320,'0.Productos'!$A$3:$GG$587,'0.Productos'!CB$1+1,0),"")</f>
        <v/>
      </c>
      <c r="AK320" s="133" t="str">
        <f>IF($A320&lt;&gt;0,VLOOKUP($A320,'0.Productos'!$A$3:$GG$587,'0.Productos'!CC$1+1,0),"")</f>
        <v/>
      </c>
      <c r="AL320" s="133" t="str">
        <f>IF($A320&lt;&gt;0,VLOOKUP($A320,'0.Productos'!$A$3:$GG$587,'0.Productos'!CD$1+1,0),"")</f>
        <v/>
      </c>
      <c r="AM320" s="133" t="str">
        <f>IF($A320&lt;&gt;0,VLOOKUP($A320,'0.Productos'!$A$3:$GG$587,'0.Productos'!CE$1+1,0),"")</f>
        <v/>
      </c>
      <c r="AN320" s="133" t="str">
        <f>IF($A320&lt;&gt;0,VLOOKUP($A320,'0.Productos'!$A$3:$GG$587,'0.Productos'!CF$1+1,0),"")</f>
        <v/>
      </c>
      <c r="AO320" s="133" t="str">
        <f>IF($A320&lt;&gt;0,VLOOKUP($A320,'0.Productos'!$A$3:$GG$587,'0.Productos'!CG$1+1,0),"")</f>
        <v/>
      </c>
      <c r="AP320" s="133" t="str">
        <f>IF($A320&lt;&gt;0,VLOOKUP($A320,'0.Productos'!$A$3:$GG$587,'0.Productos'!CH$1+1,0),"")</f>
        <v/>
      </c>
      <c r="AQ320" s="133" t="str">
        <f>IF($A320&lt;&gt;0,VLOOKUP($A320,'0.Productos'!$A$3:$GG$587,'0.Productos'!CI$1+1,0),"")</f>
        <v/>
      </c>
      <c r="AR320" s="133" t="str">
        <f>IF($A320&lt;&gt;0,VLOOKUP($A320,'0.Productos'!$A$3:$GG$587,'0.Productos'!CJ$1+1,0),"")</f>
        <v/>
      </c>
      <c r="AS320" s="133" t="str">
        <f>IF($A320&lt;&gt;0,VLOOKUP($A320,'0.Productos'!$A$3:$GG$587,'0.Productos'!CK$1+1,0),"")</f>
        <v/>
      </c>
      <c r="AT320" s="133" t="str">
        <f>IF($A320&lt;&gt;0,VLOOKUP($A320,'0.Productos'!$A$3:$GG$587,'0.Productos'!CL$1+1,0),"")</f>
        <v/>
      </c>
      <c r="AU320" s="133" t="str">
        <f>IF($A320&lt;&gt;0,VLOOKUP($A320,'0.Productos'!$A$3:$GG$587,'0.Productos'!CM$1+1,0),"")</f>
        <v/>
      </c>
      <c r="AV320" s="133" t="str">
        <f>IF($A320&lt;&gt;0,VLOOKUP($A320,'0.Productos'!$A$3:$GG$587,'0.Productos'!CN$1+1,0),"")</f>
        <v/>
      </c>
      <c r="AW320" s="133" t="str">
        <f>IF($A320&lt;&gt;0,VLOOKUP($A320,'0.Productos'!$A$3:$GG$587,'0.Productos'!CO$1+1,0),"")</f>
        <v/>
      </c>
      <c r="AX320" s="133" t="str">
        <f>IF($A320&lt;&gt;0,VLOOKUP($A320,'0.Productos'!$A$3:$GG$587,'0.Productos'!CP$1+1,0),"")</f>
        <v/>
      </c>
      <c r="AY320" s="133" t="str">
        <f>IF($A320&lt;&gt;0,VLOOKUP($A320,'0.Productos'!$A$3:$GG$587,'0.Productos'!CQ$1+1,0),"")</f>
        <v/>
      </c>
      <c r="AZ320" s="133" t="str">
        <f>IF($A320&lt;&gt;0,VLOOKUP($A320,'0.Productos'!$A$3:$GG$587,'0.Productos'!CR$1+1,0),"")</f>
        <v/>
      </c>
      <c r="BA320" s="133" t="str">
        <f>IF($A320&lt;&gt;0,VLOOKUP($A320,'0.Productos'!$A$3:$GG$587,'0.Productos'!CS$1+1,0),"")</f>
        <v/>
      </c>
      <c r="BB320" s="133" t="str">
        <f>IF($A320&lt;&gt;0,VLOOKUP($A320,'0.Productos'!$A$3:$GG$587,'0.Productos'!CT$1+1,0),"")</f>
        <v/>
      </c>
      <c r="BC320" s="133" t="str">
        <f>IF($A320&lt;&gt;0,VLOOKUP($A320,'0.Productos'!$A$3:$GG$587,'0.Productos'!CU$1+1,0),"")</f>
        <v/>
      </c>
      <c r="BD320" s="133" t="str">
        <f>IF($A320&lt;&gt;0,VLOOKUP($A320,'0.Productos'!$A$3:$GG$587,'0.Productos'!CV$1+1,0),"")</f>
        <v/>
      </c>
      <c r="BE320" s="133" t="str">
        <f>IF($A320&lt;&gt;0,VLOOKUP($A320,'0.Productos'!$A$3:$GG$587,'0.Productos'!CW$1+1,0),"")</f>
        <v/>
      </c>
      <c r="BF320" s="133" t="str">
        <f>IF($A320&lt;&gt;0,VLOOKUP($A320,'0.Productos'!$A$3:$GG$587,'0.Productos'!CX$1+1,0),"")</f>
        <v/>
      </c>
      <c r="BG320" s="133" t="str">
        <f>IF($A320&lt;&gt;0,VLOOKUP($A320,'0.Productos'!$A$3:$GG$587,'0.Productos'!CY$1+1,0),"")</f>
        <v/>
      </c>
      <c r="BH320" s="133" t="str">
        <f>IF($A320&lt;&gt;0,VLOOKUP($A320,'0.Productos'!$A$3:$GG$587,'0.Productos'!CZ$1+1,0),"")</f>
        <v/>
      </c>
      <c r="BI320" s="133" t="str">
        <f>IF($A320&lt;&gt;0,VLOOKUP($A320,'0.Productos'!$A$3:$GG$587,'0.Productos'!DA$1+1,0),"")</f>
        <v/>
      </c>
      <c r="BJ320" s="133" t="str">
        <f>IF($A320&lt;&gt;0,VLOOKUP($A320,'0.Productos'!$A$3:$GG$587,'0.Productos'!DB$1+1,0),"")</f>
        <v/>
      </c>
      <c r="BK320" s="133" t="str">
        <f>IF($A320&lt;&gt;0,VLOOKUP($A320,'0.Productos'!$A$3:$GG$587,'0.Productos'!DC$1+1,0),"")</f>
        <v/>
      </c>
      <c r="BL320" s="133" t="str">
        <f>IF($A320&lt;&gt;0,VLOOKUP($A320,'0.Productos'!$A$3:$GG$587,'0.Productos'!DD$1+1,0),"")</f>
        <v/>
      </c>
      <c r="BM320" s="133" t="str">
        <f>IF($A320&lt;&gt;0,VLOOKUP($A320,'0.Productos'!$A$3:$GG$587,'0.Productos'!DE$1+1,0),"")</f>
        <v/>
      </c>
      <c r="BN320" s="133" t="str">
        <f>IF($A320&lt;&gt;0,VLOOKUP($A320,'0.Productos'!$A$3:$GG$587,'0.Productos'!DF$1+1,0),"")</f>
        <v/>
      </c>
      <c r="BO320" s="133" t="str">
        <f>IF($A320&lt;&gt;0,VLOOKUP($A320,'0.Productos'!$A$3:$GG$587,'0.Productos'!DG$1+1,0),"")</f>
        <v/>
      </c>
      <c r="BP320" s="133" t="str">
        <f>IF($A320&lt;&gt;0,VLOOKUP($A320,'0.Productos'!$A$3:$GG$587,'0.Productos'!DH$1+1,0),"")</f>
        <v/>
      </c>
      <c r="BQ320" s="133" t="str">
        <f>IF($A320&lt;&gt;0,VLOOKUP($A320,'0.Productos'!$A$3:$GG$587,'0.Productos'!DI$1+1,0),"")</f>
        <v/>
      </c>
      <c r="BR320" s="133" t="str">
        <f>IF($A320&lt;&gt;0,VLOOKUP($A320,'0.Productos'!$A$3:$GG$587,'0.Productos'!DJ$1+1,0),"")</f>
        <v/>
      </c>
      <c r="BS320" s="133" t="str">
        <f>IF($A320&lt;&gt;0,VLOOKUP($A320,'0.Productos'!$A$3:$GG$587,'0.Productos'!DK$1+1,0),"")</f>
        <v/>
      </c>
      <c r="BT320" s="133" t="str">
        <f>IF($A320&lt;&gt;0,VLOOKUP($A320,'0.Productos'!$A$3:$GG$587,'0.Productos'!DL$1+1,0),"")</f>
        <v/>
      </c>
    </row>
    <row r="321" spans="1:72" x14ac:dyDescent="0.25">
      <c r="A321" s="17">
        <f>'0.Consolidado general'!A321</f>
        <v>0</v>
      </c>
      <c r="B321" s="133" t="str">
        <f>IF($A321&lt;&gt;0,VLOOKUP($A321,'0.Productos'!$A$3:$GG$587,'0.Productos'!AT$1+1,0),"")</f>
        <v/>
      </c>
      <c r="C321" s="133" t="str">
        <f>IF($A321&lt;&gt;0,VLOOKUP($A321,'0.Productos'!$A$3:$GG$587,'0.Productos'!AU$1+1,0),"")</f>
        <v/>
      </c>
      <c r="D321" s="133" t="str">
        <f>IF($A321&lt;&gt;0,VLOOKUP($A321,'0.Productos'!$A$3:$GG$587,'0.Productos'!AV$1+1,0),"")</f>
        <v/>
      </c>
      <c r="E321" s="133" t="str">
        <f>IF($A321&lt;&gt;0,VLOOKUP($A321,'0.Productos'!$A$3:$GG$587,'0.Productos'!AW$1+1,0),"")</f>
        <v/>
      </c>
      <c r="F321" s="133" t="str">
        <f>IF($A321&lt;&gt;0,VLOOKUP($A321,'0.Productos'!$A$3:$GG$587,'0.Productos'!AX$1+1,0),"")</f>
        <v/>
      </c>
      <c r="G321" s="133" t="str">
        <f>IF($A321&lt;&gt;0,VLOOKUP($A321,'0.Productos'!$A$3:$GG$587,'0.Productos'!AY$1+1,0),"")</f>
        <v/>
      </c>
      <c r="H321" s="133" t="str">
        <f>IF($A321&lt;&gt;0,VLOOKUP($A321,'0.Productos'!$A$3:$GG$587,'0.Productos'!AZ$1+1,0),"")</f>
        <v/>
      </c>
      <c r="I321" s="133" t="str">
        <f>IF($A321&lt;&gt;0,VLOOKUP($A321,'0.Productos'!$A$3:$GG$587,'0.Productos'!BA$1+1,0),"")</f>
        <v/>
      </c>
      <c r="J321" s="133" t="str">
        <f>IF($A321&lt;&gt;0,VLOOKUP($A321,'0.Productos'!$A$3:$GG$587,'0.Productos'!BB$1+1,0),"")</f>
        <v/>
      </c>
      <c r="K321" s="133" t="str">
        <f>IF($A321&lt;&gt;0,VLOOKUP($A321,'0.Productos'!$A$3:$GG$587,'0.Productos'!BC$1+1,0),"")</f>
        <v/>
      </c>
      <c r="L321" s="133" t="str">
        <f>IF($A321&lt;&gt;0,VLOOKUP($A321,'0.Productos'!$A$3:$GG$587,'0.Productos'!BD$1+1,0),"")</f>
        <v/>
      </c>
      <c r="M321" s="133" t="str">
        <f>IF($A321&lt;&gt;0,VLOOKUP($A321,'0.Productos'!$A$3:$GG$587,'0.Productos'!BE$1+1,0),"")</f>
        <v/>
      </c>
      <c r="N321" s="133" t="str">
        <f>IF($A321&lt;&gt;0,VLOOKUP($A321,'0.Productos'!$A$3:$GG$587,'0.Productos'!BF$1+1,0),"")</f>
        <v/>
      </c>
      <c r="O321" s="133" t="str">
        <f>IF($A321&lt;&gt;0,VLOOKUP($A321,'0.Productos'!$A$3:$GG$587,'0.Productos'!BG$1+1,0),"")</f>
        <v/>
      </c>
      <c r="P321" s="133" t="str">
        <f>IF($A321&lt;&gt;0,VLOOKUP($A321,'0.Productos'!$A$3:$GG$587,'0.Productos'!BH$1+1,0),"")</f>
        <v/>
      </c>
      <c r="Q321" s="133" t="str">
        <f>IF($A321&lt;&gt;0,VLOOKUP($A321,'0.Productos'!$A$3:$GG$587,'0.Productos'!BI$1+1,0),"")</f>
        <v/>
      </c>
      <c r="R321" s="133" t="str">
        <f>IF($A321&lt;&gt;0,VLOOKUP($A321,'0.Productos'!$A$3:$GG$587,'0.Productos'!BJ$1+1,0),"")</f>
        <v/>
      </c>
      <c r="S321" s="133" t="str">
        <f>IF($A321&lt;&gt;0,VLOOKUP($A321,'0.Productos'!$A$3:$GG$587,'0.Productos'!BK$1+1,0),"")</f>
        <v/>
      </c>
      <c r="T321" s="133" t="str">
        <f>IF($A321&lt;&gt;0,VLOOKUP($A321,'0.Productos'!$A$3:$GG$587,'0.Productos'!BL$1+1,0),"")</f>
        <v/>
      </c>
      <c r="U321" s="133" t="str">
        <f>IF($A321&lt;&gt;0,VLOOKUP($A321,'0.Productos'!$A$3:$GG$587,'0.Productos'!BM$1+1,0),"")</f>
        <v/>
      </c>
      <c r="V321" s="133" t="str">
        <f>IF($A321&lt;&gt;0,VLOOKUP($A321,'0.Productos'!$A$3:$GG$587,'0.Productos'!BN$1+1,0),"")</f>
        <v/>
      </c>
      <c r="W321" s="133" t="str">
        <f>IF($A321&lt;&gt;0,VLOOKUP($A321,'0.Productos'!$A$3:$GG$587,'0.Productos'!BO$1+1,0),"")</f>
        <v/>
      </c>
      <c r="X321" s="133" t="str">
        <f>IF($A321&lt;&gt;0,VLOOKUP($A321,'0.Productos'!$A$3:$GG$587,'0.Productos'!BP$1+1,0),"")</f>
        <v/>
      </c>
      <c r="Y321" s="133" t="str">
        <f>IF($A321&lt;&gt;0,VLOOKUP($A321,'0.Productos'!$A$3:$GG$587,'0.Productos'!BQ$1+1,0),"")</f>
        <v/>
      </c>
      <c r="Z321" s="133" t="str">
        <f>IF($A321&lt;&gt;0,VLOOKUP($A321,'0.Productos'!$A$3:$GG$587,'0.Productos'!BR$1+1,0),"")</f>
        <v/>
      </c>
      <c r="AA321" s="133" t="str">
        <f>IF($A321&lt;&gt;0,VLOOKUP($A321,'0.Productos'!$A$3:$GG$587,'0.Productos'!BS$1+1,0),"")</f>
        <v/>
      </c>
      <c r="AB321" s="133" t="str">
        <f>IF($A321&lt;&gt;0,VLOOKUP($A321,'0.Productos'!$A$3:$GG$587,'0.Productos'!BT$1+1,0),"")</f>
        <v/>
      </c>
      <c r="AC321" s="133" t="str">
        <f>IF($A321&lt;&gt;0,VLOOKUP($A321,'0.Productos'!$A$3:$GG$587,'0.Productos'!BU$1+1,0),"")</f>
        <v/>
      </c>
      <c r="AD321" s="133" t="str">
        <f>IF($A321&lt;&gt;0,VLOOKUP($A321,'0.Productos'!$A$3:$GG$587,'0.Productos'!BV$1+1,0),"")</f>
        <v/>
      </c>
      <c r="AE321" s="133" t="str">
        <f>IF($A321&lt;&gt;0,VLOOKUP($A321,'0.Productos'!$A$3:$GG$587,'0.Productos'!BW$1+1,0),"")</f>
        <v/>
      </c>
      <c r="AF321" s="133" t="str">
        <f>IF($A321&lt;&gt;0,VLOOKUP($A321,'0.Productos'!$A$3:$GG$587,'0.Productos'!BX$1+1,0),"")</f>
        <v/>
      </c>
      <c r="AG321" s="133" t="str">
        <f>IF($A321&lt;&gt;0,VLOOKUP($A321,'0.Productos'!$A$3:$GG$587,'0.Productos'!BY$1+1,0),"")</f>
        <v/>
      </c>
      <c r="AH321" s="133" t="str">
        <f>IF($A321&lt;&gt;0,VLOOKUP($A321,'0.Productos'!$A$3:$GG$587,'0.Productos'!BZ$1+1,0),"")</f>
        <v/>
      </c>
      <c r="AI321" s="133" t="str">
        <f>IF($A321&lt;&gt;0,VLOOKUP($A321,'0.Productos'!$A$3:$GG$587,'0.Productos'!CA$1+1,0),"")</f>
        <v/>
      </c>
      <c r="AJ321" s="133" t="str">
        <f>IF($A321&lt;&gt;0,VLOOKUP($A321,'0.Productos'!$A$3:$GG$587,'0.Productos'!CB$1+1,0),"")</f>
        <v/>
      </c>
      <c r="AK321" s="133" t="str">
        <f>IF($A321&lt;&gt;0,VLOOKUP($A321,'0.Productos'!$A$3:$GG$587,'0.Productos'!CC$1+1,0),"")</f>
        <v/>
      </c>
      <c r="AL321" s="133" t="str">
        <f>IF($A321&lt;&gt;0,VLOOKUP($A321,'0.Productos'!$A$3:$GG$587,'0.Productos'!CD$1+1,0),"")</f>
        <v/>
      </c>
      <c r="AM321" s="133" t="str">
        <f>IF($A321&lt;&gt;0,VLOOKUP($A321,'0.Productos'!$A$3:$GG$587,'0.Productos'!CE$1+1,0),"")</f>
        <v/>
      </c>
      <c r="AN321" s="133" t="str">
        <f>IF($A321&lt;&gt;0,VLOOKUP($A321,'0.Productos'!$A$3:$GG$587,'0.Productos'!CF$1+1,0),"")</f>
        <v/>
      </c>
      <c r="AO321" s="133" t="str">
        <f>IF($A321&lt;&gt;0,VLOOKUP($A321,'0.Productos'!$A$3:$GG$587,'0.Productos'!CG$1+1,0),"")</f>
        <v/>
      </c>
      <c r="AP321" s="133" t="str">
        <f>IF($A321&lt;&gt;0,VLOOKUP($A321,'0.Productos'!$A$3:$GG$587,'0.Productos'!CH$1+1,0),"")</f>
        <v/>
      </c>
      <c r="AQ321" s="133" t="str">
        <f>IF($A321&lt;&gt;0,VLOOKUP($A321,'0.Productos'!$A$3:$GG$587,'0.Productos'!CI$1+1,0),"")</f>
        <v/>
      </c>
      <c r="AR321" s="133" t="str">
        <f>IF($A321&lt;&gt;0,VLOOKUP($A321,'0.Productos'!$A$3:$GG$587,'0.Productos'!CJ$1+1,0),"")</f>
        <v/>
      </c>
      <c r="AS321" s="133" t="str">
        <f>IF($A321&lt;&gt;0,VLOOKUP($A321,'0.Productos'!$A$3:$GG$587,'0.Productos'!CK$1+1,0),"")</f>
        <v/>
      </c>
      <c r="AT321" s="133" t="str">
        <f>IF($A321&lt;&gt;0,VLOOKUP($A321,'0.Productos'!$A$3:$GG$587,'0.Productos'!CL$1+1,0),"")</f>
        <v/>
      </c>
      <c r="AU321" s="133" t="str">
        <f>IF($A321&lt;&gt;0,VLOOKUP($A321,'0.Productos'!$A$3:$GG$587,'0.Productos'!CM$1+1,0),"")</f>
        <v/>
      </c>
      <c r="AV321" s="133" t="str">
        <f>IF($A321&lt;&gt;0,VLOOKUP($A321,'0.Productos'!$A$3:$GG$587,'0.Productos'!CN$1+1,0),"")</f>
        <v/>
      </c>
      <c r="AW321" s="133" t="str">
        <f>IF($A321&lt;&gt;0,VLOOKUP($A321,'0.Productos'!$A$3:$GG$587,'0.Productos'!CO$1+1,0),"")</f>
        <v/>
      </c>
      <c r="AX321" s="133" t="str">
        <f>IF($A321&lt;&gt;0,VLOOKUP($A321,'0.Productos'!$A$3:$GG$587,'0.Productos'!CP$1+1,0),"")</f>
        <v/>
      </c>
      <c r="AY321" s="133" t="str">
        <f>IF($A321&lt;&gt;0,VLOOKUP($A321,'0.Productos'!$A$3:$GG$587,'0.Productos'!CQ$1+1,0),"")</f>
        <v/>
      </c>
      <c r="AZ321" s="133" t="str">
        <f>IF($A321&lt;&gt;0,VLOOKUP($A321,'0.Productos'!$A$3:$GG$587,'0.Productos'!CR$1+1,0),"")</f>
        <v/>
      </c>
      <c r="BA321" s="133" t="str">
        <f>IF($A321&lt;&gt;0,VLOOKUP($A321,'0.Productos'!$A$3:$GG$587,'0.Productos'!CS$1+1,0),"")</f>
        <v/>
      </c>
      <c r="BB321" s="133" t="str">
        <f>IF($A321&lt;&gt;0,VLOOKUP($A321,'0.Productos'!$A$3:$GG$587,'0.Productos'!CT$1+1,0),"")</f>
        <v/>
      </c>
      <c r="BC321" s="133" t="str">
        <f>IF($A321&lt;&gt;0,VLOOKUP($A321,'0.Productos'!$A$3:$GG$587,'0.Productos'!CU$1+1,0),"")</f>
        <v/>
      </c>
      <c r="BD321" s="133" t="str">
        <f>IF($A321&lt;&gt;0,VLOOKUP($A321,'0.Productos'!$A$3:$GG$587,'0.Productos'!CV$1+1,0),"")</f>
        <v/>
      </c>
      <c r="BE321" s="133" t="str">
        <f>IF($A321&lt;&gt;0,VLOOKUP($A321,'0.Productos'!$A$3:$GG$587,'0.Productos'!CW$1+1,0),"")</f>
        <v/>
      </c>
      <c r="BF321" s="133" t="str">
        <f>IF($A321&lt;&gt;0,VLOOKUP($A321,'0.Productos'!$A$3:$GG$587,'0.Productos'!CX$1+1,0),"")</f>
        <v/>
      </c>
      <c r="BG321" s="133" t="str">
        <f>IF($A321&lt;&gt;0,VLOOKUP($A321,'0.Productos'!$A$3:$GG$587,'0.Productos'!CY$1+1,0),"")</f>
        <v/>
      </c>
      <c r="BH321" s="133" t="str">
        <f>IF($A321&lt;&gt;0,VLOOKUP($A321,'0.Productos'!$A$3:$GG$587,'0.Productos'!CZ$1+1,0),"")</f>
        <v/>
      </c>
      <c r="BI321" s="133" t="str">
        <f>IF($A321&lt;&gt;0,VLOOKUP($A321,'0.Productos'!$A$3:$GG$587,'0.Productos'!DA$1+1,0),"")</f>
        <v/>
      </c>
      <c r="BJ321" s="133" t="str">
        <f>IF($A321&lt;&gt;0,VLOOKUP($A321,'0.Productos'!$A$3:$GG$587,'0.Productos'!DB$1+1,0),"")</f>
        <v/>
      </c>
      <c r="BK321" s="133" t="str">
        <f>IF($A321&lt;&gt;0,VLOOKUP($A321,'0.Productos'!$A$3:$GG$587,'0.Productos'!DC$1+1,0),"")</f>
        <v/>
      </c>
      <c r="BL321" s="133" t="str">
        <f>IF($A321&lt;&gt;0,VLOOKUP($A321,'0.Productos'!$A$3:$GG$587,'0.Productos'!DD$1+1,0),"")</f>
        <v/>
      </c>
      <c r="BM321" s="133" t="str">
        <f>IF($A321&lt;&gt;0,VLOOKUP($A321,'0.Productos'!$A$3:$GG$587,'0.Productos'!DE$1+1,0),"")</f>
        <v/>
      </c>
      <c r="BN321" s="133" t="str">
        <f>IF($A321&lt;&gt;0,VLOOKUP($A321,'0.Productos'!$A$3:$GG$587,'0.Productos'!DF$1+1,0),"")</f>
        <v/>
      </c>
      <c r="BO321" s="133" t="str">
        <f>IF($A321&lt;&gt;0,VLOOKUP($A321,'0.Productos'!$A$3:$GG$587,'0.Productos'!DG$1+1,0),"")</f>
        <v/>
      </c>
      <c r="BP321" s="133" t="str">
        <f>IF($A321&lt;&gt;0,VLOOKUP($A321,'0.Productos'!$A$3:$GG$587,'0.Productos'!DH$1+1,0),"")</f>
        <v/>
      </c>
      <c r="BQ321" s="133" t="str">
        <f>IF($A321&lt;&gt;0,VLOOKUP($A321,'0.Productos'!$A$3:$GG$587,'0.Productos'!DI$1+1,0),"")</f>
        <v/>
      </c>
      <c r="BR321" s="133" t="str">
        <f>IF($A321&lt;&gt;0,VLOOKUP($A321,'0.Productos'!$A$3:$GG$587,'0.Productos'!DJ$1+1,0),"")</f>
        <v/>
      </c>
      <c r="BS321" s="133" t="str">
        <f>IF($A321&lt;&gt;0,VLOOKUP($A321,'0.Productos'!$A$3:$GG$587,'0.Productos'!DK$1+1,0),"")</f>
        <v/>
      </c>
      <c r="BT321" s="133" t="str">
        <f>IF($A321&lt;&gt;0,VLOOKUP($A321,'0.Productos'!$A$3:$GG$587,'0.Productos'!DL$1+1,0),"")</f>
        <v/>
      </c>
    </row>
    <row r="322" spans="1:72" x14ac:dyDescent="0.25">
      <c r="A322" s="17">
        <f>'0.Consolidado general'!A322</f>
        <v>0</v>
      </c>
      <c r="B322" s="133" t="str">
        <f>IF($A322&lt;&gt;0,VLOOKUP($A322,'0.Productos'!$A$3:$GG$587,'0.Productos'!AT$1+1,0),"")</f>
        <v/>
      </c>
      <c r="C322" s="133" t="str">
        <f>IF($A322&lt;&gt;0,VLOOKUP($A322,'0.Productos'!$A$3:$GG$587,'0.Productos'!AU$1+1,0),"")</f>
        <v/>
      </c>
      <c r="D322" s="133" t="str">
        <f>IF($A322&lt;&gt;0,VLOOKUP($A322,'0.Productos'!$A$3:$GG$587,'0.Productos'!AV$1+1,0),"")</f>
        <v/>
      </c>
      <c r="E322" s="133" t="str">
        <f>IF($A322&lt;&gt;0,VLOOKUP($A322,'0.Productos'!$A$3:$GG$587,'0.Productos'!AW$1+1,0),"")</f>
        <v/>
      </c>
      <c r="F322" s="133" t="str">
        <f>IF($A322&lt;&gt;0,VLOOKUP($A322,'0.Productos'!$A$3:$GG$587,'0.Productos'!AX$1+1,0),"")</f>
        <v/>
      </c>
      <c r="G322" s="133" t="str">
        <f>IF($A322&lt;&gt;0,VLOOKUP($A322,'0.Productos'!$A$3:$GG$587,'0.Productos'!AY$1+1,0),"")</f>
        <v/>
      </c>
      <c r="H322" s="133" t="str">
        <f>IF($A322&lt;&gt;0,VLOOKUP($A322,'0.Productos'!$A$3:$GG$587,'0.Productos'!AZ$1+1,0),"")</f>
        <v/>
      </c>
      <c r="I322" s="133" t="str">
        <f>IF($A322&lt;&gt;0,VLOOKUP($A322,'0.Productos'!$A$3:$GG$587,'0.Productos'!BA$1+1,0),"")</f>
        <v/>
      </c>
      <c r="J322" s="133" t="str">
        <f>IF($A322&lt;&gt;0,VLOOKUP($A322,'0.Productos'!$A$3:$GG$587,'0.Productos'!BB$1+1,0),"")</f>
        <v/>
      </c>
      <c r="K322" s="133" t="str">
        <f>IF($A322&lt;&gt;0,VLOOKUP($A322,'0.Productos'!$A$3:$GG$587,'0.Productos'!BC$1+1,0),"")</f>
        <v/>
      </c>
      <c r="L322" s="133" t="str">
        <f>IF($A322&lt;&gt;0,VLOOKUP($A322,'0.Productos'!$A$3:$GG$587,'0.Productos'!BD$1+1,0),"")</f>
        <v/>
      </c>
      <c r="M322" s="133" t="str">
        <f>IF($A322&lt;&gt;0,VLOOKUP($A322,'0.Productos'!$A$3:$GG$587,'0.Productos'!BE$1+1,0),"")</f>
        <v/>
      </c>
      <c r="N322" s="133" t="str">
        <f>IF($A322&lt;&gt;0,VLOOKUP($A322,'0.Productos'!$A$3:$GG$587,'0.Productos'!BF$1+1,0),"")</f>
        <v/>
      </c>
      <c r="O322" s="133" t="str">
        <f>IF($A322&lt;&gt;0,VLOOKUP($A322,'0.Productos'!$A$3:$GG$587,'0.Productos'!BG$1+1,0),"")</f>
        <v/>
      </c>
      <c r="P322" s="133" t="str">
        <f>IF($A322&lt;&gt;0,VLOOKUP($A322,'0.Productos'!$A$3:$GG$587,'0.Productos'!BH$1+1,0),"")</f>
        <v/>
      </c>
      <c r="Q322" s="133" t="str">
        <f>IF($A322&lt;&gt;0,VLOOKUP($A322,'0.Productos'!$A$3:$GG$587,'0.Productos'!BI$1+1,0),"")</f>
        <v/>
      </c>
      <c r="R322" s="133" t="str">
        <f>IF($A322&lt;&gt;0,VLOOKUP($A322,'0.Productos'!$A$3:$GG$587,'0.Productos'!BJ$1+1,0),"")</f>
        <v/>
      </c>
      <c r="S322" s="133" t="str">
        <f>IF($A322&lt;&gt;0,VLOOKUP($A322,'0.Productos'!$A$3:$GG$587,'0.Productos'!BK$1+1,0),"")</f>
        <v/>
      </c>
      <c r="T322" s="133" t="str">
        <f>IF($A322&lt;&gt;0,VLOOKUP($A322,'0.Productos'!$A$3:$GG$587,'0.Productos'!BL$1+1,0),"")</f>
        <v/>
      </c>
      <c r="U322" s="133" t="str">
        <f>IF($A322&lt;&gt;0,VLOOKUP($A322,'0.Productos'!$A$3:$GG$587,'0.Productos'!BM$1+1,0),"")</f>
        <v/>
      </c>
      <c r="V322" s="133" t="str">
        <f>IF($A322&lt;&gt;0,VLOOKUP($A322,'0.Productos'!$A$3:$GG$587,'0.Productos'!BN$1+1,0),"")</f>
        <v/>
      </c>
      <c r="W322" s="133" t="str">
        <f>IF($A322&lt;&gt;0,VLOOKUP($A322,'0.Productos'!$A$3:$GG$587,'0.Productos'!BO$1+1,0),"")</f>
        <v/>
      </c>
      <c r="X322" s="133" t="str">
        <f>IF($A322&lt;&gt;0,VLOOKUP($A322,'0.Productos'!$A$3:$GG$587,'0.Productos'!BP$1+1,0),"")</f>
        <v/>
      </c>
      <c r="Y322" s="133" t="str">
        <f>IF($A322&lt;&gt;0,VLOOKUP($A322,'0.Productos'!$A$3:$GG$587,'0.Productos'!BQ$1+1,0),"")</f>
        <v/>
      </c>
      <c r="Z322" s="133" t="str">
        <f>IF($A322&lt;&gt;0,VLOOKUP($A322,'0.Productos'!$A$3:$GG$587,'0.Productos'!BR$1+1,0),"")</f>
        <v/>
      </c>
      <c r="AA322" s="133" t="str">
        <f>IF($A322&lt;&gt;0,VLOOKUP($A322,'0.Productos'!$A$3:$GG$587,'0.Productos'!BS$1+1,0),"")</f>
        <v/>
      </c>
      <c r="AB322" s="133" t="str">
        <f>IF($A322&lt;&gt;0,VLOOKUP($A322,'0.Productos'!$A$3:$GG$587,'0.Productos'!BT$1+1,0),"")</f>
        <v/>
      </c>
      <c r="AC322" s="133" t="str">
        <f>IF($A322&lt;&gt;0,VLOOKUP($A322,'0.Productos'!$A$3:$GG$587,'0.Productos'!BU$1+1,0),"")</f>
        <v/>
      </c>
      <c r="AD322" s="133" t="str">
        <f>IF($A322&lt;&gt;0,VLOOKUP($A322,'0.Productos'!$A$3:$GG$587,'0.Productos'!BV$1+1,0),"")</f>
        <v/>
      </c>
      <c r="AE322" s="133" t="str">
        <f>IF($A322&lt;&gt;0,VLOOKUP($A322,'0.Productos'!$A$3:$GG$587,'0.Productos'!BW$1+1,0),"")</f>
        <v/>
      </c>
      <c r="AF322" s="133" t="str">
        <f>IF($A322&lt;&gt;0,VLOOKUP($A322,'0.Productos'!$A$3:$GG$587,'0.Productos'!BX$1+1,0),"")</f>
        <v/>
      </c>
      <c r="AG322" s="133" t="str">
        <f>IF($A322&lt;&gt;0,VLOOKUP($A322,'0.Productos'!$A$3:$GG$587,'0.Productos'!BY$1+1,0),"")</f>
        <v/>
      </c>
      <c r="AH322" s="133" t="str">
        <f>IF($A322&lt;&gt;0,VLOOKUP($A322,'0.Productos'!$A$3:$GG$587,'0.Productos'!BZ$1+1,0),"")</f>
        <v/>
      </c>
      <c r="AI322" s="133" t="str">
        <f>IF($A322&lt;&gt;0,VLOOKUP($A322,'0.Productos'!$A$3:$GG$587,'0.Productos'!CA$1+1,0),"")</f>
        <v/>
      </c>
      <c r="AJ322" s="133" t="str">
        <f>IF($A322&lt;&gt;0,VLOOKUP($A322,'0.Productos'!$A$3:$GG$587,'0.Productos'!CB$1+1,0),"")</f>
        <v/>
      </c>
      <c r="AK322" s="133" t="str">
        <f>IF($A322&lt;&gt;0,VLOOKUP($A322,'0.Productos'!$A$3:$GG$587,'0.Productos'!CC$1+1,0),"")</f>
        <v/>
      </c>
      <c r="AL322" s="133" t="str">
        <f>IF($A322&lt;&gt;0,VLOOKUP($A322,'0.Productos'!$A$3:$GG$587,'0.Productos'!CD$1+1,0),"")</f>
        <v/>
      </c>
      <c r="AM322" s="133" t="str">
        <f>IF($A322&lt;&gt;0,VLOOKUP($A322,'0.Productos'!$A$3:$GG$587,'0.Productos'!CE$1+1,0),"")</f>
        <v/>
      </c>
      <c r="AN322" s="133" t="str">
        <f>IF($A322&lt;&gt;0,VLOOKUP($A322,'0.Productos'!$A$3:$GG$587,'0.Productos'!CF$1+1,0),"")</f>
        <v/>
      </c>
      <c r="AO322" s="133" t="str">
        <f>IF($A322&lt;&gt;0,VLOOKUP($A322,'0.Productos'!$A$3:$GG$587,'0.Productos'!CG$1+1,0),"")</f>
        <v/>
      </c>
      <c r="AP322" s="133" t="str">
        <f>IF($A322&lt;&gt;0,VLOOKUP($A322,'0.Productos'!$A$3:$GG$587,'0.Productos'!CH$1+1,0),"")</f>
        <v/>
      </c>
      <c r="AQ322" s="133" t="str">
        <f>IF($A322&lt;&gt;0,VLOOKUP($A322,'0.Productos'!$A$3:$GG$587,'0.Productos'!CI$1+1,0),"")</f>
        <v/>
      </c>
      <c r="AR322" s="133" t="str">
        <f>IF($A322&lt;&gt;0,VLOOKUP($A322,'0.Productos'!$A$3:$GG$587,'0.Productos'!CJ$1+1,0),"")</f>
        <v/>
      </c>
      <c r="AS322" s="133" t="str">
        <f>IF($A322&lt;&gt;0,VLOOKUP($A322,'0.Productos'!$A$3:$GG$587,'0.Productos'!CK$1+1,0),"")</f>
        <v/>
      </c>
      <c r="AT322" s="133" t="str">
        <f>IF($A322&lt;&gt;0,VLOOKUP($A322,'0.Productos'!$A$3:$GG$587,'0.Productos'!CL$1+1,0),"")</f>
        <v/>
      </c>
      <c r="AU322" s="133" t="str">
        <f>IF($A322&lt;&gt;0,VLOOKUP($A322,'0.Productos'!$A$3:$GG$587,'0.Productos'!CM$1+1,0),"")</f>
        <v/>
      </c>
      <c r="AV322" s="133" t="str">
        <f>IF($A322&lt;&gt;0,VLOOKUP($A322,'0.Productos'!$A$3:$GG$587,'0.Productos'!CN$1+1,0),"")</f>
        <v/>
      </c>
      <c r="AW322" s="133" t="str">
        <f>IF($A322&lt;&gt;0,VLOOKUP($A322,'0.Productos'!$A$3:$GG$587,'0.Productos'!CO$1+1,0),"")</f>
        <v/>
      </c>
      <c r="AX322" s="133" t="str">
        <f>IF($A322&lt;&gt;0,VLOOKUP($A322,'0.Productos'!$A$3:$GG$587,'0.Productos'!CP$1+1,0),"")</f>
        <v/>
      </c>
      <c r="AY322" s="133" t="str">
        <f>IF($A322&lt;&gt;0,VLOOKUP($A322,'0.Productos'!$A$3:$GG$587,'0.Productos'!CQ$1+1,0),"")</f>
        <v/>
      </c>
      <c r="AZ322" s="133" t="str">
        <f>IF($A322&lt;&gt;0,VLOOKUP($A322,'0.Productos'!$A$3:$GG$587,'0.Productos'!CR$1+1,0),"")</f>
        <v/>
      </c>
      <c r="BA322" s="133" t="str">
        <f>IF($A322&lt;&gt;0,VLOOKUP($A322,'0.Productos'!$A$3:$GG$587,'0.Productos'!CS$1+1,0),"")</f>
        <v/>
      </c>
      <c r="BB322" s="133" t="str">
        <f>IF($A322&lt;&gt;0,VLOOKUP($A322,'0.Productos'!$A$3:$GG$587,'0.Productos'!CT$1+1,0),"")</f>
        <v/>
      </c>
      <c r="BC322" s="133" t="str">
        <f>IF($A322&lt;&gt;0,VLOOKUP($A322,'0.Productos'!$A$3:$GG$587,'0.Productos'!CU$1+1,0),"")</f>
        <v/>
      </c>
      <c r="BD322" s="133" t="str">
        <f>IF($A322&lt;&gt;0,VLOOKUP($A322,'0.Productos'!$A$3:$GG$587,'0.Productos'!CV$1+1,0),"")</f>
        <v/>
      </c>
      <c r="BE322" s="133" t="str">
        <f>IF($A322&lt;&gt;0,VLOOKUP($A322,'0.Productos'!$A$3:$GG$587,'0.Productos'!CW$1+1,0),"")</f>
        <v/>
      </c>
      <c r="BF322" s="133" t="str">
        <f>IF($A322&lt;&gt;0,VLOOKUP($A322,'0.Productos'!$A$3:$GG$587,'0.Productos'!CX$1+1,0),"")</f>
        <v/>
      </c>
      <c r="BG322" s="133" t="str">
        <f>IF($A322&lt;&gt;0,VLOOKUP($A322,'0.Productos'!$A$3:$GG$587,'0.Productos'!CY$1+1,0),"")</f>
        <v/>
      </c>
      <c r="BH322" s="133" t="str">
        <f>IF($A322&lt;&gt;0,VLOOKUP($A322,'0.Productos'!$A$3:$GG$587,'0.Productos'!CZ$1+1,0),"")</f>
        <v/>
      </c>
      <c r="BI322" s="133" t="str">
        <f>IF($A322&lt;&gt;0,VLOOKUP($A322,'0.Productos'!$A$3:$GG$587,'0.Productos'!DA$1+1,0),"")</f>
        <v/>
      </c>
      <c r="BJ322" s="133" t="str">
        <f>IF($A322&lt;&gt;0,VLOOKUP($A322,'0.Productos'!$A$3:$GG$587,'0.Productos'!DB$1+1,0),"")</f>
        <v/>
      </c>
      <c r="BK322" s="133" t="str">
        <f>IF($A322&lt;&gt;0,VLOOKUP($A322,'0.Productos'!$A$3:$GG$587,'0.Productos'!DC$1+1,0),"")</f>
        <v/>
      </c>
      <c r="BL322" s="133" t="str">
        <f>IF($A322&lt;&gt;0,VLOOKUP($A322,'0.Productos'!$A$3:$GG$587,'0.Productos'!DD$1+1,0),"")</f>
        <v/>
      </c>
      <c r="BM322" s="133" t="str">
        <f>IF($A322&lt;&gt;0,VLOOKUP($A322,'0.Productos'!$A$3:$GG$587,'0.Productos'!DE$1+1,0),"")</f>
        <v/>
      </c>
      <c r="BN322" s="133" t="str">
        <f>IF($A322&lt;&gt;0,VLOOKUP($A322,'0.Productos'!$A$3:$GG$587,'0.Productos'!DF$1+1,0),"")</f>
        <v/>
      </c>
      <c r="BO322" s="133" t="str">
        <f>IF($A322&lt;&gt;0,VLOOKUP($A322,'0.Productos'!$A$3:$GG$587,'0.Productos'!DG$1+1,0),"")</f>
        <v/>
      </c>
      <c r="BP322" s="133" t="str">
        <f>IF($A322&lt;&gt;0,VLOOKUP($A322,'0.Productos'!$A$3:$GG$587,'0.Productos'!DH$1+1,0),"")</f>
        <v/>
      </c>
      <c r="BQ322" s="133" t="str">
        <f>IF($A322&lt;&gt;0,VLOOKUP($A322,'0.Productos'!$A$3:$GG$587,'0.Productos'!DI$1+1,0),"")</f>
        <v/>
      </c>
      <c r="BR322" s="133" t="str">
        <f>IF($A322&lt;&gt;0,VLOOKUP($A322,'0.Productos'!$A$3:$GG$587,'0.Productos'!DJ$1+1,0),"")</f>
        <v/>
      </c>
      <c r="BS322" s="133" t="str">
        <f>IF($A322&lt;&gt;0,VLOOKUP($A322,'0.Productos'!$A$3:$GG$587,'0.Productos'!DK$1+1,0),"")</f>
        <v/>
      </c>
      <c r="BT322" s="133" t="str">
        <f>IF($A322&lt;&gt;0,VLOOKUP($A322,'0.Productos'!$A$3:$GG$587,'0.Productos'!DL$1+1,0),"")</f>
        <v/>
      </c>
    </row>
    <row r="323" spans="1:72" x14ac:dyDescent="0.25">
      <c r="A323" s="17">
        <f>'0.Consolidado general'!A323</f>
        <v>0</v>
      </c>
      <c r="B323" s="133" t="str">
        <f>IF($A323&lt;&gt;0,VLOOKUP($A323,'0.Productos'!$A$3:$GG$587,'0.Productos'!AT$1+1,0),"")</f>
        <v/>
      </c>
      <c r="C323" s="133" t="str">
        <f>IF($A323&lt;&gt;0,VLOOKUP($A323,'0.Productos'!$A$3:$GG$587,'0.Productos'!AU$1+1,0),"")</f>
        <v/>
      </c>
      <c r="D323" s="133" t="str">
        <f>IF($A323&lt;&gt;0,VLOOKUP($A323,'0.Productos'!$A$3:$GG$587,'0.Productos'!AV$1+1,0),"")</f>
        <v/>
      </c>
      <c r="E323" s="133" t="str">
        <f>IF($A323&lt;&gt;0,VLOOKUP($A323,'0.Productos'!$A$3:$GG$587,'0.Productos'!AW$1+1,0),"")</f>
        <v/>
      </c>
      <c r="F323" s="133" t="str">
        <f>IF($A323&lt;&gt;0,VLOOKUP($A323,'0.Productos'!$A$3:$GG$587,'0.Productos'!AX$1+1,0),"")</f>
        <v/>
      </c>
      <c r="G323" s="133" t="str">
        <f>IF($A323&lt;&gt;0,VLOOKUP($A323,'0.Productos'!$A$3:$GG$587,'0.Productos'!AY$1+1,0),"")</f>
        <v/>
      </c>
      <c r="H323" s="133" t="str">
        <f>IF($A323&lt;&gt;0,VLOOKUP($A323,'0.Productos'!$A$3:$GG$587,'0.Productos'!AZ$1+1,0),"")</f>
        <v/>
      </c>
      <c r="I323" s="133" t="str">
        <f>IF($A323&lt;&gt;0,VLOOKUP($A323,'0.Productos'!$A$3:$GG$587,'0.Productos'!BA$1+1,0),"")</f>
        <v/>
      </c>
      <c r="J323" s="133" t="str">
        <f>IF($A323&lt;&gt;0,VLOOKUP($A323,'0.Productos'!$A$3:$GG$587,'0.Productos'!BB$1+1,0),"")</f>
        <v/>
      </c>
      <c r="K323" s="133" t="str">
        <f>IF($A323&lt;&gt;0,VLOOKUP($A323,'0.Productos'!$A$3:$GG$587,'0.Productos'!BC$1+1,0),"")</f>
        <v/>
      </c>
      <c r="L323" s="133" t="str">
        <f>IF($A323&lt;&gt;0,VLOOKUP($A323,'0.Productos'!$A$3:$GG$587,'0.Productos'!BD$1+1,0),"")</f>
        <v/>
      </c>
      <c r="M323" s="133" t="str">
        <f>IF($A323&lt;&gt;0,VLOOKUP($A323,'0.Productos'!$A$3:$GG$587,'0.Productos'!BE$1+1,0),"")</f>
        <v/>
      </c>
      <c r="N323" s="133" t="str">
        <f>IF($A323&lt;&gt;0,VLOOKUP($A323,'0.Productos'!$A$3:$GG$587,'0.Productos'!BF$1+1,0),"")</f>
        <v/>
      </c>
      <c r="O323" s="133" t="str">
        <f>IF($A323&lt;&gt;0,VLOOKUP($A323,'0.Productos'!$A$3:$GG$587,'0.Productos'!BG$1+1,0),"")</f>
        <v/>
      </c>
      <c r="P323" s="133" t="str">
        <f>IF($A323&lt;&gt;0,VLOOKUP($A323,'0.Productos'!$A$3:$GG$587,'0.Productos'!BH$1+1,0),"")</f>
        <v/>
      </c>
      <c r="Q323" s="133" t="str">
        <f>IF($A323&lt;&gt;0,VLOOKUP($A323,'0.Productos'!$A$3:$GG$587,'0.Productos'!BI$1+1,0),"")</f>
        <v/>
      </c>
      <c r="R323" s="133" t="str">
        <f>IF($A323&lt;&gt;0,VLOOKUP($A323,'0.Productos'!$A$3:$GG$587,'0.Productos'!BJ$1+1,0),"")</f>
        <v/>
      </c>
      <c r="S323" s="133" t="str">
        <f>IF($A323&lt;&gt;0,VLOOKUP($A323,'0.Productos'!$A$3:$GG$587,'0.Productos'!BK$1+1,0),"")</f>
        <v/>
      </c>
      <c r="T323" s="133" t="str">
        <f>IF($A323&lt;&gt;0,VLOOKUP($A323,'0.Productos'!$A$3:$GG$587,'0.Productos'!BL$1+1,0),"")</f>
        <v/>
      </c>
      <c r="U323" s="133" t="str">
        <f>IF($A323&lt;&gt;0,VLOOKUP($A323,'0.Productos'!$A$3:$GG$587,'0.Productos'!BM$1+1,0),"")</f>
        <v/>
      </c>
      <c r="V323" s="133" t="str">
        <f>IF($A323&lt;&gt;0,VLOOKUP($A323,'0.Productos'!$A$3:$GG$587,'0.Productos'!BN$1+1,0),"")</f>
        <v/>
      </c>
      <c r="W323" s="133" t="str">
        <f>IF($A323&lt;&gt;0,VLOOKUP($A323,'0.Productos'!$A$3:$GG$587,'0.Productos'!BO$1+1,0),"")</f>
        <v/>
      </c>
      <c r="X323" s="133" t="str">
        <f>IF($A323&lt;&gt;0,VLOOKUP($A323,'0.Productos'!$A$3:$GG$587,'0.Productos'!BP$1+1,0),"")</f>
        <v/>
      </c>
      <c r="Y323" s="133" t="str">
        <f>IF($A323&lt;&gt;0,VLOOKUP($A323,'0.Productos'!$A$3:$GG$587,'0.Productos'!BQ$1+1,0),"")</f>
        <v/>
      </c>
      <c r="Z323" s="133" t="str">
        <f>IF($A323&lt;&gt;0,VLOOKUP($A323,'0.Productos'!$A$3:$GG$587,'0.Productos'!BR$1+1,0),"")</f>
        <v/>
      </c>
      <c r="AA323" s="133" t="str">
        <f>IF($A323&lt;&gt;0,VLOOKUP($A323,'0.Productos'!$A$3:$GG$587,'0.Productos'!BS$1+1,0),"")</f>
        <v/>
      </c>
      <c r="AB323" s="133" t="str">
        <f>IF($A323&lt;&gt;0,VLOOKUP($A323,'0.Productos'!$A$3:$GG$587,'0.Productos'!BT$1+1,0),"")</f>
        <v/>
      </c>
      <c r="AC323" s="133" t="str">
        <f>IF($A323&lt;&gt;0,VLOOKUP($A323,'0.Productos'!$A$3:$GG$587,'0.Productos'!BU$1+1,0),"")</f>
        <v/>
      </c>
      <c r="AD323" s="133" t="str">
        <f>IF($A323&lt;&gt;0,VLOOKUP($A323,'0.Productos'!$A$3:$GG$587,'0.Productos'!BV$1+1,0),"")</f>
        <v/>
      </c>
      <c r="AE323" s="133" t="str">
        <f>IF($A323&lt;&gt;0,VLOOKUP($A323,'0.Productos'!$A$3:$GG$587,'0.Productos'!BW$1+1,0),"")</f>
        <v/>
      </c>
      <c r="AF323" s="133" t="str">
        <f>IF($A323&lt;&gt;0,VLOOKUP($A323,'0.Productos'!$A$3:$GG$587,'0.Productos'!BX$1+1,0),"")</f>
        <v/>
      </c>
      <c r="AG323" s="133" t="str">
        <f>IF($A323&lt;&gt;0,VLOOKUP($A323,'0.Productos'!$A$3:$GG$587,'0.Productos'!BY$1+1,0),"")</f>
        <v/>
      </c>
      <c r="AH323" s="133" t="str">
        <f>IF($A323&lt;&gt;0,VLOOKUP($A323,'0.Productos'!$A$3:$GG$587,'0.Productos'!BZ$1+1,0),"")</f>
        <v/>
      </c>
      <c r="AI323" s="133" t="str">
        <f>IF($A323&lt;&gt;0,VLOOKUP($A323,'0.Productos'!$A$3:$GG$587,'0.Productos'!CA$1+1,0),"")</f>
        <v/>
      </c>
      <c r="AJ323" s="133" t="str">
        <f>IF($A323&lt;&gt;0,VLOOKUP($A323,'0.Productos'!$A$3:$GG$587,'0.Productos'!CB$1+1,0),"")</f>
        <v/>
      </c>
      <c r="AK323" s="133" t="str">
        <f>IF($A323&lt;&gt;0,VLOOKUP($A323,'0.Productos'!$A$3:$GG$587,'0.Productos'!CC$1+1,0),"")</f>
        <v/>
      </c>
      <c r="AL323" s="133" t="str">
        <f>IF($A323&lt;&gt;0,VLOOKUP($A323,'0.Productos'!$A$3:$GG$587,'0.Productos'!CD$1+1,0),"")</f>
        <v/>
      </c>
      <c r="AM323" s="133" t="str">
        <f>IF($A323&lt;&gt;0,VLOOKUP($A323,'0.Productos'!$A$3:$GG$587,'0.Productos'!CE$1+1,0),"")</f>
        <v/>
      </c>
      <c r="AN323" s="133" t="str">
        <f>IF($A323&lt;&gt;0,VLOOKUP($A323,'0.Productos'!$A$3:$GG$587,'0.Productos'!CF$1+1,0),"")</f>
        <v/>
      </c>
      <c r="AO323" s="133" t="str">
        <f>IF($A323&lt;&gt;0,VLOOKUP($A323,'0.Productos'!$A$3:$GG$587,'0.Productos'!CG$1+1,0),"")</f>
        <v/>
      </c>
      <c r="AP323" s="133" t="str">
        <f>IF($A323&lt;&gt;0,VLOOKUP($A323,'0.Productos'!$A$3:$GG$587,'0.Productos'!CH$1+1,0),"")</f>
        <v/>
      </c>
      <c r="AQ323" s="133" t="str">
        <f>IF($A323&lt;&gt;0,VLOOKUP($A323,'0.Productos'!$A$3:$GG$587,'0.Productos'!CI$1+1,0),"")</f>
        <v/>
      </c>
      <c r="AR323" s="133" t="str">
        <f>IF($A323&lt;&gt;0,VLOOKUP($A323,'0.Productos'!$A$3:$GG$587,'0.Productos'!CJ$1+1,0),"")</f>
        <v/>
      </c>
      <c r="AS323" s="133" t="str">
        <f>IF($A323&lt;&gt;0,VLOOKUP($A323,'0.Productos'!$A$3:$GG$587,'0.Productos'!CK$1+1,0),"")</f>
        <v/>
      </c>
      <c r="AT323" s="133" t="str">
        <f>IF($A323&lt;&gt;0,VLOOKUP($A323,'0.Productos'!$A$3:$GG$587,'0.Productos'!CL$1+1,0),"")</f>
        <v/>
      </c>
      <c r="AU323" s="133" t="str">
        <f>IF($A323&lt;&gt;0,VLOOKUP($A323,'0.Productos'!$A$3:$GG$587,'0.Productos'!CM$1+1,0),"")</f>
        <v/>
      </c>
      <c r="AV323" s="133" t="str">
        <f>IF($A323&lt;&gt;0,VLOOKUP($A323,'0.Productos'!$A$3:$GG$587,'0.Productos'!CN$1+1,0),"")</f>
        <v/>
      </c>
      <c r="AW323" s="133" t="str">
        <f>IF($A323&lt;&gt;0,VLOOKUP($A323,'0.Productos'!$A$3:$GG$587,'0.Productos'!CO$1+1,0),"")</f>
        <v/>
      </c>
      <c r="AX323" s="133" t="str">
        <f>IF($A323&lt;&gt;0,VLOOKUP($A323,'0.Productos'!$A$3:$GG$587,'0.Productos'!CP$1+1,0),"")</f>
        <v/>
      </c>
      <c r="AY323" s="133" t="str">
        <f>IF($A323&lt;&gt;0,VLOOKUP($A323,'0.Productos'!$A$3:$GG$587,'0.Productos'!CQ$1+1,0),"")</f>
        <v/>
      </c>
      <c r="AZ323" s="133" t="str">
        <f>IF($A323&lt;&gt;0,VLOOKUP($A323,'0.Productos'!$A$3:$GG$587,'0.Productos'!CR$1+1,0),"")</f>
        <v/>
      </c>
      <c r="BA323" s="133" t="str">
        <f>IF($A323&lt;&gt;0,VLOOKUP($A323,'0.Productos'!$A$3:$GG$587,'0.Productos'!CS$1+1,0),"")</f>
        <v/>
      </c>
      <c r="BB323" s="133" t="str">
        <f>IF($A323&lt;&gt;0,VLOOKUP($A323,'0.Productos'!$A$3:$GG$587,'0.Productos'!CT$1+1,0),"")</f>
        <v/>
      </c>
      <c r="BC323" s="133" t="str">
        <f>IF($A323&lt;&gt;0,VLOOKUP($A323,'0.Productos'!$A$3:$GG$587,'0.Productos'!CU$1+1,0),"")</f>
        <v/>
      </c>
      <c r="BD323" s="133" t="str">
        <f>IF($A323&lt;&gt;0,VLOOKUP($A323,'0.Productos'!$A$3:$GG$587,'0.Productos'!CV$1+1,0),"")</f>
        <v/>
      </c>
      <c r="BE323" s="133" t="str">
        <f>IF($A323&lt;&gt;0,VLOOKUP($A323,'0.Productos'!$A$3:$GG$587,'0.Productos'!CW$1+1,0),"")</f>
        <v/>
      </c>
      <c r="BF323" s="133" t="str">
        <f>IF($A323&lt;&gt;0,VLOOKUP($A323,'0.Productos'!$A$3:$GG$587,'0.Productos'!CX$1+1,0),"")</f>
        <v/>
      </c>
      <c r="BG323" s="133" t="str">
        <f>IF($A323&lt;&gt;0,VLOOKUP($A323,'0.Productos'!$A$3:$GG$587,'0.Productos'!CY$1+1,0),"")</f>
        <v/>
      </c>
      <c r="BH323" s="133" t="str">
        <f>IF($A323&lt;&gt;0,VLOOKUP($A323,'0.Productos'!$A$3:$GG$587,'0.Productos'!CZ$1+1,0),"")</f>
        <v/>
      </c>
      <c r="BI323" s="133" t="str">
        <f>IF($A323&lt;&gt;0,VLOOKUP($A323,'0.Productos'!$A$3:$GG$587,'0.Productos'!DA$1+1,0),"")</f>
        <v/>
      </c>
      <c r="BJ323" s="133" t="str">
        <f>IF($A323&lt;&gt;0,VLOOKUP($A323,'0.Productos'!$A$3:$GG$587,'0.Productos'!DB$1+1,0),"")</f>
        <v/>
      </c>
      <c r="BK323" s="133" t="str">
        <f>IF($A323&lt;&gt;0,VLOOKUP($A323,'0.Productos'!$A$3:$GG$587,'0.Productos'!DC$1+1,0),"")</f>
        <v/>
      </c>
      <c r="BL323" s="133" t="str">
        <f>IF($A323&lt;&gt;0,VLOOKUP($A323,'0.Productos'!$A$3:$GG$587,'0.Productos'!DD$1+1,0),"")</f>
        <v/>
      </c>
      <c r="BM323" s="133" t="str">
        <f>IF($A323&lt;&gt;0,VLOOKUP($A323,'0.Productos'!$A$3:$GG$587,'0.Productos'!DE$1+1,0),"")</f>
        <v/>
      </c>
      <c r="BN323" s="133" t="str">
        <f>IF($A323&lt;&gt;0,VLOOKUP($A323,'0.Productos'!$A$3:$GG$587,'0.Productos'!DF$1+1,0),"")</f>
        <v/>
      </c>
      <c r="BO323" s="133" t="str">
        <f>IF($A323&lt;&gt;0,VLOOKUP($A323,'0.Productos'!$A$3:$GG$587,'0.Productos'!DG$1+1,0),"")</f>
        <v/>
      </c>
      <c r="BP323" s="133" t="str">
        <f>IF($A323&lt;&gt;0,VLOOKUP($A323,'0.Productos'!$A$3:$GG$587,'0.Productos'!DH$1+1,0),"")</f>
        <v/>
      </c>
      <c r="BQ323" s="133" t="str">
        <f>IF($A323&lt;&gt;0,VLOOKUP($A323,'0.Productos'!$A$3:$GG$587,'0.Productos'!DI$1+1,0),"")</f>
        <v/>
      </c>
      <c r="BR323" s="133" t="str">
        <f>IF($A323&lt;&gt;0,VLOOKUP($A323,'0.Productos'!$A$3:$GG$587,'0.Productos'!DJ$1+1,0),"")</f>
        <v/>
      </c>
      <c r="BS323" s="133" t="str">
        <f>IF($A323&lt;&gt;0,VLOOKUP($A323,'0.Productos'!$A$3:$GG$587,'0.Productos'!DK$1+1,0),"")</f>
        <v/>
      </c>
      <c r="BT323" s="133" t="str">
        <f>IF($A323&lt;&gt;0,VLOOKUP($A323,'0.Productos'!$A$3:$GG$587,'0.Productos'!DL$1+1,0),"")</f>
        <v/>
      </c>
    </row>
    <row r="324" spans="1:72" x14ac:dyDescent="0.25">
      <c r="A324" s="17">
        <f>'0.Consolidado general'!A324</f>
        <v>0</v>
      </c>
      <c r="B324" s="133" t="str">
        <f>IF($A324&lt;&gt;0,VLOOKUP($A324,'0.Productos'!$A$3:$GG$587,'0.Productos'!AT$1+1,0),"")</f>
        <v/>
      </c>
      <c r="C324" s="133" t="str">
        <f>IF($A324&lt;&gt;0,VLOOKUP($A324,'0.Productos'!$A$3:$GG$587,'0.Productos'!AU$1+1,0),"")</f>
        <v/>
      </c>
      <c r="D324" s="133" t="str">
        <f>IF($A324&lt;&gt;0,VLOOKUP($A324,'0.Productos'!$A$3:$GG$587,'0.Productos'!AV$1+1,0),"")</f>
        <v/>
      </c>
      <c r="E324" s="133" t="str">
        <f>IF($A324&lt;&gt;0,VLOOKUP($A324,'0.Productos'!$A$3:$GG$587,'0.Productos'!AW$1+1,0),"")</f>
        <v/>
      </c>
      <c r="F324" s="133" t="str">
        <f>IF($A324&lt;&gt;0,VLOOKUP($A324,'0.Productos'!$A$3:$GG$587,'0.Productos'!AX$1+1,0),"")</f>
        <v/>
      </c>
      <c r="G324" s="133" t="str">
        <f>IF($A324&lt;&gt;0,VLOOKUP($A324,'0.Productos'!$A$3:$GG$587,'0.Productos'!AY$1+1,0),"")</f>
        <v/>
      </c>
      <c r="H324" s="133" t="str">
        <f>IF($A324&lt;&gt;0,VLOOKUP($A324,'0.Productos'!$A$3:$GG$587,'0.Productos'!AZ$1+1,0),"")</f>
        <v/>
      </c>
      <c r="I324" s="133" t="str">
        <f>IF($A324&lt;&gt;0,VLOOKUP($A324,'0.Productos'!$A$3:$GG$587,'0.Productos'!BA$1+1,0),"")</f>
        <v/>
      </c>
      <c r="J324" s="133" t="str">
        <f>IF($A324&lt;&gt;0,VLOOKUP($A324,'0.Productos'!$A$3:$GG$587,'0.Productos'!BB$1+1,0),"")</f>
        <v/>
      </c>
      <c r="K324" s="133" t="str">
        <f>IF($A324&lt;&gt;0,VLOOKUP($A324,'0.Productos'!$A$3:$GG$587,'0.Productos'!BC$1+1,0),"")</f>
        <v/>
      </c>
      <c r="L324" s="133" t="str">
        <f>IF($A324&lt;&gt;0,VLOOKUP($A324,'0.Productos'!$A$3:$GG$587,'0.Productos'!BD$1+1,0),"")</f>
        <v/>
      </c>
      <c r="M324" s="133" t="str">
        <f>IF($A324&lt;&gt;0,VLOOKUP($A324,'0.Productos'!$A$3:$GG$587,'0.Productos'!BE$1+1,0),"")</f>
        <v/>
      </c>
      <c r="N324" s="133" t="str">
        <f>IF($A324&lt;&gt;0,VLOOKUP($A324,'0.Productos'!$A$3:$GG$587,'0.Productos'!BF$1+1,0),"")</f>
        <v/>
      </c>
      <c r="O324" s="133" t="str">
        <f>IF($A324&lt;&gt;0,VLOOKUP($A324,'0.Productos'!$A$3:$GG$587,'0.Productos'!BG$1+1,0),"")</f>
        <v/>
      </c>
      <c r="P324" s="133" t="str">
        <f>IF($A324&lt;&gt;0,VLOOKUP($A324,'0.Productos'!$A$3:$GG$587,'0.Productos'!BH$1+1,0),"")</f>
        <v/>
      </c>
      <c r="Q324" s="133" t="str">
        <f>IF($A324&lt;&gt;0,VLOOKUP($A324,'0.Productos'!$A$3:$GG$587,'0.Productos'!BI$1+1,0),"")</f>
        <v/>
      </c>
      <c r="R324" s="133" t="str">
        <f>IF($A324&lt;&gt;0,VLOOKUP($A324,'0.Productos'!$A$3:$GG$587,'0.Productos'!BJ$1+1,0),"")</f>
        <v/>
      </c>
      <c r="S324" s="133" t="str">
        <f>IF($A324&lt;&gt;0,VLOOKUP($A324,'0.Productos'!$A$3:$GG$587,'0.Productos'!BK$1+1,0),"")</f>
        <v/>
      </c>
      <c r="T324" s="133" t="str">
        <f>IF($A324&lt;&gt;0,VLOOKUP($A324,'0.Productos'!$A$3:$GG$587,'0.Productos'!BL$1+1,0),"")</f>
        <v/>
      </c>
      <c r="U324" s="133" t="str">
        <f>IF($A324&lt;&gt;0,VLOOKUP($A324,'0.Productos'!$A$3:$GG$587,'0.Productos'!BM$1+1,0),"")</f>
        <v/>
      </c>
      <c r="V324" s="133" t="str">
        <f>IF($A324&lt;&gt;0,VLOOKUP($A324,'0.Productos'!$A$3:$GG$587,'0.Productos'!BN$1+1,0),"")</f>
        <v/>
      </c>
      <c r="W324" s="133" t="str">
        <f>IF($A324&lt;&gt;0,VLOOKUP($A324,'0.Productos'!$A$3:$GG$587,'0.Productos'!BO$1+1,0),"")</f>
        <v/>
      </c>
      <c r="X324" s="133" t="str">
        <f>IF($A324&lt;&gt;0,VLOOKUP($A324,'0.Productos'!$A$3:$GG$587,'0.Productos'!BP$1+1,0),"")</f>
        <v/>
      </c>
      <c r="Y324" s="133" t="str">
        <f>IF($A324&lt;&gt;0,VLOOKUP($A324,'0.Productos'!$A$3:$GG$587,'0.Productos'!BQ$1+1,0),"")</f>
        <v/>
      </c>
      <c r="Z324" s="133" t="str">
        <f>IF($A324&lt;&gt;0,VLOOKUP($A324,'0.Productos'!$A$3:$GG$587,'0.Productos'!BR$1+1,0),"")</f>
        <v/>
      </c>
      <c r="AA324" s="133" t="str">
        <f>IF($A324&lt;&gt;0,VLOOKUP($A324,'0.Productos'!$A$3:$GG$587,'0.Productos'!BS$1+1,0),"")</f>
        <v/>
      </c>
      <c r="AB324" s="133" t="str">
        <f>IF($A324&lt;&gt;0,VLOOKUP($A324,'0.Productos'!$A$3:$GG$587,'0.Productos'!BT$1+1,0),"")</f>
        <v/>
      </c>
      <c r="AC324" s="133" t="str">
        <f>IF($A324&lt;&gt;0,VLOOKUP($A324,'0.Productos'!$A$3:$GG$587,'0.Productos'!BU$1+1,0),"")</f>
        <v/>
      </c>
      <c r="AD324" s="133" t="str">
        <f>IF($A324&lt;&gt;0,VLOOKUP($A324,'0.Productos'!$A$3:$GG$587,'0.Productos'!BV$1+1,0),"")</f>
        <v/>
      </c>
      <c r="AE324" s="133" t="str">
        <f>IF($A324&lt;&gt;0,VLOOKUP($A324,'0.Productos'!$A$3:$GG$587,'0.Productos'!BW$1+1,0),"")</f>
        <v/>
      </c>
      <c r="AF324" s="133" t="str">
        <f>IF($A324&lt;&gt;0,VLOOKUP($A324,'0.Productos'!$A$3:$GG$587,'0.Productos'!BX$1+1,0),"")</f>
        <v/>
      </c>
      <c r="AG324" s="133" t="str">
        <f>IF($A324&lt;&gt;0,VLOOKUP($A324,'0.Productos'!$A$3:$GG$587,'0.Productos'!BY$1+1,0),"")</f>
        <v/>
      </c>
      <c r="AH324" s="133" t="str">
        <f>IF($A324&lt;&gt;0,VLOOKUP($A324,'0.Productos'!$A$3:$GG$587,'0.Productos'!BZ$1+1,0),"")</f>
        <v/>
      </c>
      <c r="AI324" s="133" t="str">
        <f>IF($A324&lt;&gt;0,VLOOKUP($A324,'0.Productos'!$A$3:$GG$587,'0.Productos'!CA$1+1,0),"")</f>
        <v/>
      </c>
      <c r="AJ324" s="133" t="str">
        <f>IF($A324&lt;&gt;0,VLOOKUP($A324,'0.Productos'!$A$3:$GG$587,'0.Productos'!CB$1+1,0),"")</f>
        <v/>
      </c>
      <c r="AK324" s="133" t="str">
        <f>IF($A324&lt;&gt;0,VLOOKUP($A324,'0.Productos'!$A$3:$GG$587,'0.Productos'!CC$1+1,0),"")</f>
        <v/>
      </c>
      <c r="AL324" s="133" t="str">
        <f>IF($A324&lt;&gt;0,VLOOKUP($A324,'0.Productos'!$A$3:$GG$587,'0.Productos'!CD$1+1,0),"")</f>
        <v/>
      </c>
      <c r="AM324" s="133" t="str">
        <f>IF($A324&lt;&gt;0,VLOOKUP($A324,'0.Productos'!$A$3:$GG$587,'0.Productos'!CE$1+1,0),"")</f>
        <v/>
      </c>
      <c r="AN324" s="133" t="str">
        <f>IF($A324&lt;&gt;0,VLOOKUP($A324,'0.Productos'!$A$3:$GG$587,'0.Productos'!CF$1+1,0),"")</f>
        <v/>
      </c>
      <c r="AO324" s="133" t="str">
        <f>IF($A324&lt;&gt;0,VLOOKUP($A324,'0.Productos'!$A$3:$GG$587,'0.Productos'!CG$1+1,0),"")</f>
        <v/>
      </c>
      <c r="AP324" s="133" t="str">
        <f>IF($A324&lt;&gt;0,VLOOKUP($A324,'0.Productos'!$A$3:$GG$587,'0.Productos'!CH$1+1,0),"")</f>
        <v/>
      </c>
      <c r="AQ324" s="133" t="str">
        <f>IF($A324&lt;&gt;0,VLOOKUP($A324,'0.Productos'!$A$3:$GG$587,'0.Productos'!CI$1+1,0),"")</f>
        <v/>
      </c>
      <c r="AR324" s="133" t="str">
        <f>IF($A324&lt;&gt;0,VLOOKUP($A324,'0.Productos'!$A$3:$GG$587,'0.Productos'!CJ$1+1,0),"")</f>
        <v/>
      </c>
      <c r="AS324" s="133" t="str">
        <f>IF($A324&lt;&gt;0,VLOOKUP($A324,'0.Productos'!$A$3:$GG$587,'0.Productos'!CK$1+1,0),"")</f>
        <v/>
      </c>
      <c r="AT324" s="133" t="str">
        <f>IF($A324&lt;&gt;0,VLOOKUP($A324,'0.Productos'!$A$3:$GG$587,'0.Productos'!CL$1+1,0),"")</f>
        <v/>
      </c>
      <c r="AU324" s="133" t="str">
        <f>IF($A324&lt;&gt;0,VLOOKUP($A324,'0.Productos'!$A$3:$GG$587,'0.Productos'!CM$1+1,0),"")</f>
        <v/>
      </c>
      <c r="AV324" s="133" t="str">
        <f>IF($A324&lt;&gt;0,VLOOKUP($A324,'0.Productos'!$A$3:$GG$587,'0.Productos'!CN$1+1,0),"")</f>
        <v/>
      </c>
      <c r="AW324" s="133" t="str">
        <f>IF($A324&lt;&gt;0,VLOOKUP($A324,'0.Productos'!$A$3:$GG$587,'0.Productos'!CO$1+1,0),"")</f>
        <v/>
      </c>
      <c r="AX324" s="133" t="str">
        <f>IF($A324&lt;&gt;0,VLOOKUP($A324,'0.Productos'!$A$3:$GG$587,'0.Productos'!CP$1+1,0),"")</f>
        <v/>
      </c>
      <c r="AY324" s="133" t="str">
        <f>IF($A324&lt;&gt;0,VLOOKUP($A324,'0.Productos'!$A$3:$GG$587,'0.Productos'!CQ$1+1,0),"")</f>
        <v/>
      </c>
      <c r="AZ324" s="133" t="str">
        <f>IF($A324&lt;&gt;0,VLOOKUP($A324,'0.Productos'!$A$3:$GG$587,'0.Productos'!CR$1+1,0),"")</f>
        <v/>
      </c>
      <c r="BA324" s="133" t="str">
        <f>IF($A324&lt;&gt;0,VLOOKUP($A324,'0.Productos'!$A$3:$GG$587,'0.Productos'!CS$1+1,0),"")</f>
        <v/>
      </c>
      <c r="BB324" s="133" t="str">
        <f>IF($A324&lt;&gt;0,VLOOKUP($A324,'0.Productos'!$A$3:$GG$587,'0.Productos'!CT$1+1,0),"")</f>
        <v/>
      </c>
      <c r="BC324" s="133" t="str">
        <f>IF($A324&lt;&gt;0,VLOOKUP($A324,'0.Productos'!$A$3:$GG$587,'0.Productos'!CU$1+1,0),"")</f>
        <v/>
      </c>
      <c r="BD324" s="133" t="str">
        <f>IF($A324&lt;&gt;0,VLOOKUP($A324,'0.Productos'!$A$3:$GG$587,'0.Productos'!CV$1+1,0),"")</f>
        <v/>
      </c>
      <c r="BE324" s="133" t="str">
        <f>IF($A324&lt;&gt;0,VLOOKUP($A324,'0.Productos'!$A$3:$GG$587,'0.Productos'!CW$1+1,0),"")</f>
        <v/>
      </c>
      <c r="BF324" s="133" t="str">
        <f>IF($A324&lt;&gt;0,VLOOKUP($A324,'0.Productos'!$A$3:$GG$587,'0.Productos'!CX$1+1,0),"")</f>
        <v/>
      </c>
      <c r="BG324" s="133" t="str">
        <f>IF($A324&lt;&gt;0,VLOOKUP($A324,'0.Productos'!$A$3:$GG$587,'0.Productos'!CY$1+1,0),"")</f>
        <v/>
      </c>
      <c r="BH324" s="133" t="str">
        <f>IF($A324&lt;&gt;0,VLOOKUP($A324,'0.Productos'!$A$3:$GG$587,'0.Productos'!CZ$1+1,0),"")</f>
        <v/>
      </c>
      <c r="BI324" s="133" t="str">
        <f>IF($A324&lt;&gt;0,VLOOKUP($A324,'0.Productos'!$A$3:$GG$587,'0.Productos'!DA$1+1,0),"")</f>
        <v/>
      </c>
      <c r="BJ324" s="133" t="str">
        <f>IF($A324&lt;&gt;0,VLOOKUP($A324,'0.Productos'!$A$3:$GG$587,'0.Productos'!DB$1+1,0),"")</f>
        <v/>
      </c>
      <c r="BK324" s="133" t="str">
        <f>IF($A324&lt;&gt;0,VLOOKUP($A324,'0.Productos'!$A$3:$GG$587,'0.Productos'!DC$1+1,0),"")</f>
        <v/>
      </c>
      <c r="BL324" s="133" t="str">
        <f>IF($A324&lt;&gt;0,VLOOKUP($A324,'0.Productos'!$A$3:$GG$587,'0.Productos'!DD$1+1,0),"")</f>
        <v/>
      </c>
      <c r="BM324" s="133" t="str">
        <f>IF($A324&lt;&gt;0,VLOOKUP($A324,'0.Productos'!$A$3:$GG$587,'0.Productos'!DE$1+1,0),"")</f>
        <v/>
      </c>
      <c r="BN324" s="133" t="str">
        <f>IF($A324&lt;&gt;0,VLOOKUP($A324,'0.Productos'!$A$3:$GG$587,'0.Productos'!DF$1+1,0),"")</f>
        <v/>
      </c>
      <c r="BO324" s="133" t="str">
        <f>IF($A324&lt;&gt;0,VLOOKUP($A324,'0.Productos'!$A$3:$GG$587,'0.Productos'!DG$1+1,0),"")</f>
        <v/>
      </c>
      <c r="BP324" s="133" t="str">
        <f>IF($A324&lt;&gt;0,VLOOKUP($A324,'0.Productos'!$A$3:$GG$587,'0.Productos'!DH$1+1,0),"")</f>
        <v/>
      </c>
      <c r="BQ324" s="133" t="str">
        <f>IF($A324&lt;&gt;0,VLOOKUP($A324,'0.Productos'!$A$3:$GG$587,'0.Productos'!DI$1+1,0),"")</f>
        <v/>
      </c>
      <c r="BR324" s="133" t="str">
        <f>IF($A324&lt;&gt;0,VLOOKUP($A324,'0.Productos'!$A$3:$GG$587,'0.Productos'!DJ$1+1,0),"")</f>
        <v/>
      </c>
      <c r="BS324" s="133" t="str">
        <f>IF($A324&lt;&gt;0,VLOOKUP($A324,'0.Productos'!$A$3:$GG$587,'0.Productos'!DK$1+1,0),"")</f>
        <v/>
      </c>
      <c r="BT324" s="133" t="str">
        <f>IF($A324&lt;&gt;0,VLOOKUP($A324,'0.Productos'!$A$3:$GG$587,'0.Productos'!DL$1+1,0),"")</f>
        <v/>
      </c>
    </row>
    <row r="325" spans="1:72" x14ac:dyDescent="0.25">
      <c r="A325" s="17">
        <f>'0.Consolidado general'!A325</f>
        <v>0</v>
      </c>
      <c r="B325" s="133" t="str">
        <f>IF($A325&lt;&gt;0,VLOOKUP($A325,'0.Productos'!$A$3:$GG$587,'0.Productos'!AT$1+1,0),"")</f>
        <v/>
      </c>
      <c r="C325" s="133" t="str">
        <f>IF($A325&lt;&gt;0,VLOOKUP($A325,'0.Productos'!$A$3:$GG$587,'0.Productos'!AU$1+1,0),"")</f>
        <v/>
      </c>
      <c r="D325" s="133" t="str">
        <f>IF($A325&lt;&gt;0,VLOOKUP($A325,'0.Productos'!$A$3:$GG$587,'0.Productos'!AV$1+1,0),"")</f>
        <v/>
      </c>
      <c r="E325" s="133" t="str">
        <f>IF($A325&lt;&gt;0,VLOOKUP($A325,'0.Productos'!$A$3:$GG$587,'0.Productos'!AW$1+1,0),"")</f>
        <v/>
      </c>
      <c r="F325" s="133" t="str">
        <f>IF($A325&lt;&gt;0,VLOOKUP($A325,'0.Productos'!$A$3:$GG$587,'0.Productos'!AX$1+1,0),"")</f>
        <v/>
      </c>
      <c r="G325" s="133" t="str">
        <f>IF($A325&lt;&gt;0,VLOOKUP($A325,'0.Productos'!$A$3:$GG$587,'0.Productos'!AY$1+1,0),"")</f>
        <v/>
      </c>
      <c r="H325" s="133" t="str">
        <f>IF($A325&lt;&gt;0,VLOOKUP($A325,'0.Productos'!$A$3:$GG$587,'0.Productos'!AZ$1+1,0),"")</f>
        <v/>
      </c>
      <c r="I325" s="133" t="str">
        <f>IF($A325&lt;&gt;0,VLOOKUP($A325,'0.Productos'!$A$3:$GG$587,'0.Productos'!BA$1+1,0),"")</f>
        <v/>
      </c>
      <c r="J325" s="133" t="str">
        <f>IF($A325&lt;&gt;0,VLOOKUP($A325,'0.Productos'!$A$3:$GG$587,'0.Productos'!BB$1+1,0),"")</f>
        <v/>
      </c>
      <c r="K325" s="133" t="str">
        <f>IF($A325&lt;&gt;0,VLOOKUP($A325,'0.Productos'!$A$3:$GG$587,'0.Productos'!BC$1+1,0),"")</f>
        <v/>
      </c>
      <c r="L325" s="133" t="str">
        <f>IF($A325&lt;&gt;0,VLOOKUP($A325,'0.Productos'!$A$3:$GG$587,'0.Productos'!BD$1+1,0),"")</f>
        <v/>
      </c>
      <c r="M325" s="133" t="str">
        <f>IF($A325&lt;&gt;0,VLOOKUP($A325,'0.Productos'!$A$3:$GG$587,'0.Productos'!BE$1+1,0),"")</f>
        <v/>
      </c>
      <c r="N325" s="133" t="str">
        <f>IF($A325&lt;&gt;0,VLOOKUP($A325,'0.Productos'!$A$3:$GG$587,'0.Productos'!BF$1+1,0),"")</f>
        <v/>
      </c>
      <c r="O325" s="133" t="str">
        <f>IF($A325&lt;&gt;0,VLOOKUP($A325,'0.Productos'!$A$3:$GG$587,'0.Productos'!BG$1+1,0),"")</f>
        <v/>
      </c>
      <c r="P325" s="133" t="str">
        <f>IF($A325&lt;&gt;0,VLOOKUP($A325,'0.Productos'!$A$3:$GG$587,'0.Productos'!BH$1+1,0),"")</f>
        <v/>
      </c>
      <c r="Q325" s="133" t="str">
        <f>IF($A325&lt;&gt;0,VLOOKUP($A325,'0.Productos'!$A$3:$GG$587,'0.Productos'!BI$1+1,0),"")</f>
        <v/>
      </c>
      <c r="R325" s="133" t="str">
        <f>IF($A325&lt;&gt;0,VLOOKUP($A325,'0.Productos'!$A$3:$GG$587,'0.Productos'!BJ$1+1,0),"")</f>
        <v/>
      </c>
      <c r="S325" s="133" t="str">
        <f>IF($A325&lt;&gt;0,VLOOKUP($A325,'0.Productos'!$A$3:$GG$587,'0.Productos'!BK$1+1,0),"")</f>
        <v/>
      </c>
      <c r="T325" s="133" t="str">
        <f>IF($A325&lt;&gt;0,VLOOKUP($A325,'0.Productos'!$A$3:$GG$587,'0.Productos'!BL$1+1,0),"")</f>
        <v/>
      </c>
      <c r="U325" s="133" t="str">
        <f>IF($A325&lt;&gt;0,VLOOKUP($A325,'0.Productos'!$A$3:$GG$587,'0.Productos'!BM$1+1,0),"")</f>
        <v/>
      </c>
      <c r="V325" s="133" t="str">
        <f>IF($A325&lt;&gt;0,VLOOKUP($A325,'0.Productos'!$A$3:$GG$587,'0.Productos'!BN$1+1,0),"")</f>
        <v/>
      </c>
      <c r="W325" s="133" t="str">
        <f>IF($A325&lt;&gt;0,VLOOKUP($A325,'0.Productos'!$A$3:$GG$587,'0.Productos'!BO$1+1,0),"")</f>
        <v/>
      </c>
      <c r="X325" s="133" t="str">
        <f>IF($A325&lt;&gt;0,VLOOKUP($A325,'0.Productos'!$A$3:$GG$587,'0.Productos'!BP$1+1,0),"")</f>
        <v/>
      </c>
      <c r="Y325" s="133" t="str">
        <f>IF($A325&lt;&gt;0,VLOOKUP($A325,'0.Productos'!$A$3:$GG$587,'0.Productos'!BQ$1+1,0),"")</f>
        <v/>
      </c>
      <c r="Z325" s="133" t="str">
        <f>IF($A325&lt;&gt;0,VLOOKUP($A325,'0.Productos'!$A$3:$GG$587,'0.Productos'!BR$1+1,0),"")</f>
        <v/>
      </c>
      <c r="AA325" s="133" t="str">
        <f>IF($A325&lt;&gt;0,VLOOKUP($A325,'0.Productos'!$A$3:$GG$587,'0.Productos'!BS$1+1,0),"")</f>
        <v/>
      </c>
      <c r="AB325" s="133" t="str">
        <f>IF($A325&lt;&gt;0,VLOOKUP($A325,'0.Productos'!$A$3:$GG$587,'0.Productos'!BT$1+1,0),"")</f>
        <v/>
      </c>
      <c r="AC325" s="133" t="str">
        <f>IF($A325&lt;&gt;0,VLOOKUP($A325,'0.Productos'!$A$3:$GG$587,'0.Productos'!BU$1+1,0),"")</f>
        <v/>
      </c>
      <c r="AD325" s="133" t="str">
        <f>IF($A325&lt;&gt;0,VLOOKUP($A325,'0.Productos'!$A$3:$GG$587,'0.Productos'!BV$1+1,0),"")</f>
        <v/>
      </c>
      <c r="AE325" s="133" t="str">
        <f>IF($A325&lt;&gt;0,VLOOKUP($A325,'0.Productos'!$A$3:$GG$587,'0.Productos'!BW$1+1,0),"")</f>
        <v/>
      </c>
      <c r="AF325" s="133" t="str">
        <f>IF($A325&lt;&gt;0,VLOOKUP($A325,'0.Productos'!$A$3:$GG$587,'0.Productos'!BX$1+1,0),"")</f>
        <v/>
      </c>
      <c r="AG325" s="133" t="str">
        <f>IF($A325&lt;&gt;0,VLOOKUP($A325,'0.Productos'!$A$3:$GG$587,'0.Productos'!BY$1+1,0),"")</f>
        <v/>
      </c>
      <c r="AH325" s="133" t="str">
        <f>IF($A325&lt;&gt;0,VLOOKUP($A325,'0.Productos'!$A$3:$GG$587,'0.Productos'!BZ$1+1,0),"")</f>
        <v/>
      </c>
      <c r="AI325" s="133" t="str">
        <f>IF($A325&lt;&gt;0,VLOOKUP($A325,'0.Productos'!$A$3:$GG$587,'0.Productos'!CA$1+1,0),"")</f>
        <v/>
      </c>
      <c r="AJ325" s="133" t="str">
        <f>IF($A325&lt;&gt;0,VLOOKUP($A325,'0.Productos'!$A$3:$GG$587,'0.Productos'!CB$1+1,0),"")</f>
        <v/>
      </c>
      <c r="AK325" s="133" t="str">
        <f>IF($A325&lt;&gt;0,VLOOKUP($A325,'0.Productos'!$A$3:$GG$587,'0.Productos'!CC$1+1,0),"")</f>
        <v/>
      </c>
      <c r="AL325" s="133" t="str">
        <f>IF($A325&lt;&gt;0,VLOOKUP($A325,'0.Productos'!$A$3:$GG$587,'0.Productos'!CD$1+1,0),"")</f>
        <v/>
      </c>
      <c r="AM325" s="133" t="str">
        <f>IF($A325&lt;&gt;0,VLOOKUP($A325,'0.Productos'!$A$3:$GG$587,'0.Productos'!CE$1+1,0),"")</f>
        <v/>
      </c>
      <c r="AN325" s="133" t="str">
        <f>IF($A325&lt;&gt;0,VLOOKUP($A325,'0.Productos'!$A$3:$GG$587,'0.Productos'!CF$1+1,0),"")</f>
        <v/>
      </c>
      <c r="AO325" s="133" t="str">
        <f>IF($A325&lt;&gt;0,VLOOKUP($A325,'0.Productos'!$A$3:$GG$587,'0.Productos'!CG$1+1,0),"")</f>
        <v/>
      </c>
      <c r="AP325" s="133" t="str">
        <f>IF($A325&lt;&gt;0,VLOOKUP($A325,'0.Productos'!$A$3:$GG$587,'0.Productos'!CH$1+1,0),"")</f>
        <v/>
      </c>
      <c r="AQ325" s="133" t="str">
        <f>IF($A325&lt;&gt;0,VLOOKUP($A325,'0.Productos'!$A$3:$GG$587,'0.Productos'!CI$1+1,0),"")</f>
        <v/>
      </c>
      <c r="AR325" s="133" t="str">
        <f>IF($A325&lt;&gt;0,VLOOKUP($A325,'0.Productos'!$A$3:$GG$587,'0.Productos'!CJ$1+1,0),"")</f>
        <v/>
      </c>
      <c r="AS325" s="133" t="str">
        <f>IF($A325&lt;&gt;0,VLOOKUP($A325,'0.Productos'!$A$3:$GG$587,'0.Productos'!CK$1+1,0),"")</f>
        <v/>
      </c>
      <c r="AT325" s="133" t="str">
        <f>IF($A325&lt;&gt;0,VLOOKUP($A325,'0.Productos'!$A$3:$GG$587,'0.Productos'!CL$1+1,0),"")</f>
        <v/>
      </c>
      <c r="AU325" s="133" t="str">
        <f>IF($A325&lt;&gt;0,VLOOKUP($A325,'0.Productos'!$A$3:$GG$587,'0.Productos'!CM$1+1,0),"")</f>
        <v/>
      </c>
      <c r="AV325" s="133" t="str">
        <f>IF($A325&lt;&gt;0,VLOOKUP($A325,'0.Productos'!$A$3:$GG$587,'0.Productos'!CN$1+1,0),"")</f>
        <v/>
      </c>
      <c r="AW325" s="133" t="str">
        <f>IF($A325&lt;&gt;0,VLOOKUP($A325,'0.Productos'!$A$3:$GG$587,'0.Productos'!CO$1+1,0),"")</f>
        <v/>
      </c>
      <c r="AX325" s="133" t="str">
        <f>IF($A325&lt;&gt;0,VLOOKUP($A325,'0.Productos'!$A$3:$GG$587,'0.Productos'!CP$1+1,0),"")</f>
        <v/>
      </c>
      <c r="AY325" s="133" t="str">
        <f>IF($A325&lt;&gt;0,VLOOKUP($A325,'0.Productos'!$A$3:$GG$587,'0.Productos'!CQ$1+1,0),"")</f>
        <v/>
      </c>
      <c r="AZ325" s="133" t="str">
        <f>IF($A325&lt;&gt;0,VLOOKUP($A325,'0.Productos'!$A$3:$GG$587,'0.Productos'!CR$1+1,0),"")</f>
        <v/>
      </c>
      <c r="BA325" s="133" t="str">
        <f>IF($A325&lt;&gt;0,VLOOKUP($A325,'0.Productos'!$A$3:$GG$587,'0.Productos'!CS$1+1,0),"")</f>
        <v/>
      </c>
      <c r="BB325" s="133" t="str">
        <f>IF($A325&lt;&gt;0,VLOOKUP($A325,'0.Productos'!$A$3:$GG$587,'0.Productos'!CT$1+1,0),"")</f>
        <v/>
      </c>
      <c r="BC325" s="133" t="str">
        <f>IF($A325&lt;&gt;0,VLOOKUP($A325,'0.Productos'!$A$3:$GG$587,'0.Productos'!CU$1+1,0),"")</f>
        <v/>
      </c>
      <c r="BD325" s="133" t="str">
        <f>IF($A325&lt;&gt;0,VLOOKUP($A325,'0.Productos'!$A$3:$GG$587,'0.Productos'!CV$1+1,0),"")</f>
        <v/>
      </c>
      <c r="BE325" s="133" t="str">
        <f>IF($A325&lt;&gt;0,VLOOKUP($A325,'0.Productos'!$A$3:$GG$587,'0.Productos'!CW$1+1,0),"")</f>
        <v/>
      </c>
      <c r="BF325" s="133" t="str">
        <f>IF($A325&lt;&gt;0,VLOOKUP($A325,'0.Productos'!$A$3:$GG$587,'0.Productos'!CX$1+1,0),"")</f>
        <v/>
      </c>
      <c r="BG325" s="133" t="str">
        <f>IF($A325&lt;&gt;0,VLOOKUP($A325,'0.Productos'!$A$3:$GG$587,'0.Productos'!CY$1+1,0),"")</f>
        <v/>
      </c>
      <c r="BH325" s="133" t="str">
        <f>IF($A325&lt;&gt;0,VLOOKUP($A325,'0.Productos'!$A$3:$GG$587,'0.Productos'!CZ$1+1,0),"")</f>
        <v/>
      </c>
      <c r="BI325" s="133" t="str">
        <f>IF($A325&lt;&gt;0,VLOOKUP($A325,'0.Productos'!$A$3:$GG$587,'0.Productos'!DA$1+1,0),"")</f>
        <v/>
      </c>
      <c r="BJ325" s="133" t="str">
        <f>IF($A325&lt;&gt;0,VLOOKUP($A325,'0.Productos'!$A$3:$GG$587,'0.Productos'!DB$1+1,0),"")</f>
        <v/>
      </c>
      <c r="BK325" s="133" t="str">
        <f>IF($A325&lt;&gt;0,VLOOKUP($A325,'0.Productos'!$A$3:$GG$587,'0.Productos'!DC$1+1,0),"")</f>
        <v/>
      </c>
      <c r="BL325" s="133" t="str">
        <f>IF($A325&lt;&gt;0,VLOOKUP($A325,'0.Productos'!$A$3:$GG$587,'0.Productos'!DD$1+1,0),"")</f>
        <v/>
      </c>
      <c r="BM325" s="133" t="str">
        <f>IF($A325&lt;&gt;0,VLOOKUP($A325,'0.Productos'!$A$3:$GG$587,'0.Productos'!DE$1+1,0),"")</f>
        <v/>
      </c>
      <c r="BN325" s="133" t="str">
        <f>IF($A325&lt;&gt;0,VLOOKUP($A325,'0.Productos'!$A$3:$GG$587,'0.Productos'!DF$1+1,0),"")</f>
        <v/>
      </c>
      <c r="BO325" s="133" t="str">
        <f>IF($A325&lt;&gt;0,VLOOKUP($A325,'0.Productos'!$A$3:$GG$587,'0.Productos'!DG$1+1,0),"")</f>
        <v/>
      </c>
      <c r="BP325" s="133" t="str">
        <f>IF($A325&lt;&gt;0,VLOOKUP($A325,'0.Productos'!$A$3:$GG$587,'0.Productos'!DH$1+1,0),"")</f>
        <v/>
      </c>
      <c r="BQ325" s="133" t="str">
        <f>IF($A325&lt;&gt;0,VLOOKUP($A325,'0.Productos'!$A$3:$GG$587,'0.Productos'!DI$1+1,0),"")</f>
        <v/>
      </c>
      <c r="BR325" s="133" t="str">
        <f>IF($A325&lt;&gt;0,VLOOKUP($A325,'0.Productos'!$A$3:$GG$587,'0.Productos'!DJ$1+1,0),"")</f>
        <v/>
      </c>
      <c r="BS325" s="133" t="str">
        <f>IF($A325&lt;&gt;0,VLOOKUP($A325,'0.Productos'!$A$3:$GG$587,'0.Productos'!DK$1+1,0),"")</f>
        <v/>
      </c>
      <c r="BT325" s="133" t="str">
        <f>IF($A325&lt;&gt;0,VLOOKUP($A325,'0.Productos'!$A$3:$GG$587,'0.Productos'!DL$1+1,0),"")</f>
        <v/>
      </c>
    </row>
    <row r="326" spans="1:72" x14ac:dyDescent="0.25">
      <c r="A326" s="17">
        <f>'0.Consolidado general'!A326</f>
        <v>0</v>
      </c>
      <c r="B326" s="133" t="str">
        <f>IF($A326&lt;&gt;0,VLOOKUP($A326,'0.Productos'!$A$3:$GG$587,'0.Productos'!AT$1+1,0),"")</f>
        <v/>
      </c>
      <c r="C326" s="133" t="str">
        <f>IF($A326&lt;&gt;0,VLOOKUP($A326,'0.Productos'!$A$3:$GG$587,'0.Productos'!AU$1+1,0),"")</f>
        <v/>
      </c>
      <c r="D326" s="133" t="str">
        <f>IF($A326&lt;&gt;0,VLOOKUP($A326,'0.Productos'!$A$3:$GG$587,'0.Productos'!AV$1+1,0),"")</f>
        <v/>
      </c>
      <c r="E326" s="133" t="str">
        <f>IF($A326&lt;&gt;0,VLOOKUP($A326,'0.Productos'!$A$3:$GG$587,'0.Productos'!AW$1+1,0),"")</f>
        <v/>
      </c>
      <c r="F326" s="133" t="str">
        <f>IF($A326&lt;&gt;0,VLOOKUP($A326,'0.Productos'!$A$3:$GG$587,'0.Productos'!AX$1+1,0),"")</f>
        <v/>
      </c>
      <c r="G326" s="133" t="str">
        <f>IF($A326&lt;&gt;0,VLOOKUP($A326,'0.Productos'!$A$3:$GG$587,'0.Productos'!AY$1+1,0),"")</f>
        <v/>
      </c>
      <c r="H326" s="133" t="str">
        <f>IF($A326&lt;&gt;0,VLOOKUP($A326,'0.Productos'!$A$3:$GG$587,'0.Productos'!AZ$1+1,0),"")</f>
        <v/>
      </c>
      <c r="I326" s="133" t="str">
        <f>IF($A326&lt;&gt;0,VLOOKUP($A326,'0.Productos'!$A$3:$GG$587,'0.Productos'!BA$1+1,0),"")</f>
        <v/>
      </c>
      <c r="J326" s="133" t="str">
        <f>IF($A326&lt;&gt;0,VLOOKUP($A326,'0.Productos'!$A$3:$GG$587,'0.Productos'!BB$1+1,0),"")</f>
        <v/>
      </c>
      <c r="K326" s="133" t="str">
        <f>IF($A326&lt;&gt;0,VLOOKUP($A326,'0.Productos'!$A$3:$GG$587,'0.Productos'!BC$1+1,0),"")</f>
        <v/>
      </c>
      <c r="L326" s="133" t="str">
        <f>IF($A326&lt;&gt;0,VLOOKUP($A326,'0.Productos'!$A$3:$GG$587,'0.Productos'!BD$1+1,0),"")</f>
        <v/>
      </c>
      <c r="M326" s="133" t="str">
        <f>IF($A326&lt;&gt;0,VLOOKUP($A326,'0.Productos'!$A$3:$GG$587,'0.Productos'!BE$1+1,0),"")</f>
        <v/>
      </c>
      <c r="N326" s="133" t="str">
        <f>IF($A326&lt;&gt;0,VLOOKUP($A326,'0.Productos'!$A$3:$GG$587,'0.Productos'!BF$1+1,0),"")</f>
        <v/>
      </c>
      <c r="O326" s="133" t="str">
        <f>IF($A326&lt;&gt;0,VLOOKUP($A326,'0.Productos'!$A$3:$GG$587,'0.Productos'!BG$1+1,0),"")</f>
        <v/>
      </c>
      <c r="P326" s="133" t="str">
        <f>IF($A326&lt;&gt;0,VLOOKUP($A326,'0.Productos'!$A$3:$GG$587,'0.Productos'!BH$1+1,0),"")</f>
        <v/>
      </c>
      <c r="Q326" s="133" t="str">
        <f>IF($A326&lt;&gt;0,VLOOKUP($A326,'0.Productos'!$A$3:$GG$587,'0.Productos'!BI$1+1,0),"")</f>
        <v/>
      </c>
      <c r="R326" s="133" t="str">
        <f>IF($A326&lt;&gt;0,VLOOKUP($A326,'0.Productos'!$A$3:$GG$587,'0.Productos'!BJ$1+1,0),"")</f>
        <v/>
      </c>
      <c r="S326" s="133" t="str">
        <f>IF($A326&lt;&gt;0,VLOOKUP($A326,'0.Productos'!$A$3:$GG$587,'0.Productos'!BK$1+1,0),"")</f>
        <v/>
      </c>
      <c r="T326" s="133" t="str">
        <f>IF($A326&lt;&gt;0,VLOOKUP($A326,'0.Productos'!$A$3:$GG$587,'0.Productos'!BL$1+1,0),"")</f>
        <v/>
      </c>
      <c r="U326" s="133" t="str">
        <f>IF($A326&lt;&gt;0,VLOOKUP($A326,'0.Productos'!$A$3:$GG$587,'0.Productos'!BM$1+1,0),"")</f>
        <v/>
      </c>
      <c r="V326" s="133" t="str">
        <f>IF($A326&lt;&gt;0,VLOOKUP($A326,'0.Productos'!$A$3:$GG$587,'0.Productos'!BN$1+1,0),"")</f>
        <v/>
      </c>
      <c r="W326" s="133" t="str">
        <f>IF($A326&lt;&gt;0,VLOOKUP($A326,'0.Productos'!$A$3:$GG$587,'0.Productos'!BO$1+1,0),"")</f>
        <v/>
      </c>
      <c r="X326" s="133" t="str">
        <f>IF($A326&lt;&gt;0,VLOOKUP($A326,'0.Productos'!$A$3:$GG$587,'0.Productos'!BP$1+1,0),"")</f>
        <v/>
      </c>
      <c r="Y326" s="133" t="str">
        <f>IF($A326&lt;&gt;0,VLOOKUP($A326,'0.Productos'!$A$3:$GG$587,'0.Productos'!BQ$1+1,0),"")</f>
        <v/>
      </c>
      <c r="Z326" s="133" t="str">
        <f>IF($A326&lt;&gt;0,VLOOKUP($A326,'0.Productos'!$A$3:$GG$587,'0.Productos'!BR$1+1,0),"")</f>
        <v/>
      </c>
      <c r="AA326" s="133" t="str">
        <f>IF($A326&lt;&gt;0,VLOOKUP($A326,'0.Productos'!$A$3:$GG$587,'0.Productos'!BS$1+1,0),"")</f>
        <v/>
      </c>
      <c r="AB326" s="133" t="str">
        <f>IF($A326&lt;&gt;0,VLOOKUP($A326,'0.Productos'!$A$3:$GG$587,'0.Productos'!BT$1+1,0),"")</f>
        <v/>
      </c>
      <c r="AC326" s="133" t="str">
        <f>IF($A326&lt;&gt;0,VLOOKUP($A326,'0.Productos'!$A$3:$GG$587,'0.Productos'!BU$1+1,0),"")</f>
        <v/>
      </c>
      <c r="AD326" s="133" t="str">
        <f>IF($A326&lt;&gt;0,VLOOKUP($A326,'0.Productos'!$A$3:$GG$587,'0.Productos'!BV$1+1,0),"")</f>
        <v/>
      </c>
      <c r="AE326" s="133" t="str">
        <f>IF($A326&lt;&gt;0,VLOOKUP($A326,'0.Productos'!$A$3:$GG$587,'0.Productos'!BW$1+1,0),"")</f>
        <v/>
      </c>
      <c r="AF326" s="133" t="str">
        <f>IF($A326&lt;&gt;0,VLOOKUP($A326,'0.Productos'!$A$3:$GG$587,'0.Productos'!BX$1+1,0),"")</f>
        <v/>
      </c>
      <c r="AG326" s="133" t="str">
        <f>IF($A326&lt;&gt;0,VLOOKUP($A326,'0.Productos'!$A$3:$GG$587,'0.Productos'!BY$1+1,0),"")</f>
        <v/>
      </c>
      <c r="AH326" s="133" t="str">
        <f>IF($A326&lt;&gt;0,VLOOKUP($A326,'0.Productos'!$A$3:$GG$587,'0.Productos'!BZ$1+1,0),"")</f>
        <v/>
      </c>
      <c r="AI326" s="133" t="str">
        <f>IF($A326&lt;&gt;0,VLOOKUP($A326,'0.Productos'!$A$3:$GG$587,'0.Productos'!CA$1+1,0),"")</f>
        <v/>
      </c>
      <c r="AJ326" s="133" t="str">
        <f>IF($A326&lt;&gt;0,VLOOKUP($A326,'0.Productos'!$A$3:$GG$587,'0.Productos'!CB$1+1,0),"")</f>
        <v/>
      </c>
      <c r="AK326" s="133" t="str">
        <f>IF($A326&lt;&gt;0,VLOOKUP($A326,'0.Productos'!$A$3:$GG$587,'0.Productos'!CC$1+1,0),"")</f>
        <v/>
      </c>
      <c r="AL326" s="133" t="str">
        <f>IF($A326&lt;&gt;0,VLOOKUP($A326,'0.Productos'!$A$3:$GG$587,'0.Productos'!CD$1+1,0),"")</f>
        <v/>
      </c>
      <c r="AM326" s="133" t="str">
        <f>IF($A326&lt;&gt;0,VLOOKUP($A326,'0.Productos'!$A$3:$GG$587,'0.Productos'!CE$1+1,0),"")</f>
        <v/>
      </c>
      <c r="AN326" s="133" t="str">
        <f>IF($A326&lt;&gt;0,VLOOKUP($A326,'0.Productos'!$A$3:$GG$587,'0.Productos'!CF$1+1,0),"")</f>
        <v/>
      </c>
      <c r="AO326" s="133" t="str">
        <f>IF($A326&lt;&gt;0,VLOOKUP($A326,'0.Productos'!$A$3:$GG$587,'0.Productos'!CG$1+1,0),"")</f>
        <v/>
      </c>
      <c r="AP326" s="133" t="str">
        <f>IF($A326&lt;&gt;0,VLOOKUP($A326,'0.Productos'!$A$3:$GG$587,'0.Productos'!CH$1+1,0),"")</f>
        <v/>
      </c>
      <c r="AQ326" s="133" t="str">
        <f>IF($A326&lt;&gt;0,VLOOKUP($A326,'0.Productos'!$A$3:$GG$587,'0.Productos'!CI$1+1,0),"")</f>
        <v/>
      </c>
      <c r="AR326" s="133" t="str">
        <f>IF($A326&lt;&gt;0,VLOOKUP($A326,'0.Productos'!$A$3:$GG$587,'0.Productos'!CJ$1+1,0),"")</f>
        <v/>
      </c>
      <c r="AS326" s="133" t="str">
        <f>IF($A326&lt;&gt;0,VLOOKUP($A326,'0.Productos'!$A$3:$GG$587,'0.Productos'!CK$1+1,0),"")</f>
        <v/>
      </c>
      <c r="AT326" s="133" t="str">
        <f>IF($A326&lt;&gt;0,VLOOKUP($A326,'0.Productos'!$A$3:$GG$587,'0.Productos'!CL$1+1,0),"")</f>
        <v/>
      </c>
      <c r="AU326" s="133" t="str">
        <f>IF($A326&lt;&gt;0,VLOOKUP($A326,'0.Productos'!$A$3:$GG$587,'0.Productos'!CM$1+1,0),"")</f>
        <v/>
      </c>
      <c r="AV326" s="133" t="str">
        <f>IF($A326&lt;&gt;0,VLOOKUP($A326,'0.Productos'!$A$3:$GG$587,'0.Productos'!CN$1+1,0),"")</f>
        <v/>
      </c>
      <c r="AW326" s="133" t="str">
        <f>IF($A326&lt;&gt;0,VLOOKUP($A326,'0.Productos'!$A$3:$GG$587,'0.Productos'!CO$1+1,0),"")</f>
        <v/>
      </c>
      <c r="AX326" s="133" t="str">
        <f>IF($A326&lt;&gt;0,VLOOKUP($A326,'0.Productos'!$A$3:$GG$587,'0.Productos'!CP$1+1,0),"")</f>
        <v/>
      </c>
      <c r="AY326" s="133" t="str">
        <f>IF($A326&lt;&gt;0,VLOOKUP($A326,'0.Productos'!$A$3:$GG$587,'0.Productos'!CQ$1+1,0),"")</f>
        <v/>
      </c>
      <c r="AZ326" s="133" t="str">
        <f>IF($A326&lt;&gt;0,VLOOKUP($A326,'0.Productos'!$A$3:$GG$587,'0.Productos'!CR$1+1,0),"")</f>
        <v/>
      </c>
      <c r="BA326" s="133" t="str">
        <f>IF($A326&lt;&gt;0,VLOOKUP($A326,'0.Productos'!$A$3:$GG$587,'0.Productos'!CS$1+1,0),"")</f>
        <v/>
      </c>
      <c r="BB326" s="133" t="str">
        <f>IF($A326&lt;&gt;0,VLOOKUP($A326,'0.Productos'!$A$3:$GG$587,'0.Productos'!CT$1+1,0),"")</f>
        <v/>
      </c>
      <c r="BC326" s="133" t="str">
        <f>IF($A326&lt;&gt;0,VLOOKUP($A326,'0.Productos'!$A$3:$GG$587,'0.Productos'!CU$1+1,0),"")</f>
        <v/>
      </c>
      <c r="BD326" s="133" t="str">
        <f>IF($A326&lt;&gt;0,VLOOKUP($A326,'0.Productos'!$A$3:$GG$587,'0.Productos'!CV$1+1,0),"")</f>
        <v/>
      </c>
      <c r="BE326" s="133" t="str">
        <f>IF($A326&lt;&gt;0,VLOOKUP($A326,'0.Productos'!$A$3:$GG$587,'0.Productos'!CW$1+1,0),"")</f>
        <v/>
      </c>
      <c r="BF326" s="133" t="str">
        <f>IF($A326&lt;&gt;0,VLOOKUP($A326,'0.Productos'!$A$3:$GG$587,'0.Productos'!CX$1+1,0),"")</f>
        <v/>
      </c>
      <c r="BG326" s="133" t="str">
        <f>IF($A326&lt;&gt;0,VLOOKUP($A326,'0.Productos'!$A$3:$GG$587,'0.Productos'!CY$1+1,0),"")</f>
        <v/>
      </c>
      <c r="BH326" s="133" t="str">
        <f>IF($A326&lt;&gt;0,VLOOKUP($A326,'0.Productos'!$A$3:$GG$587,'0.Productos'!CZ$1+1,0),"")</f>
        <v/>
      </c>
      <c r="BI326" s="133" t="str">
        <f>IF($A326&lt;&gt;0,VLOOKUP($A326,'0.Productos'!$A$3:$GG$587,'0.Productos'!DA$1+1,0),"")</f>
        <v/>
      </c>
      <c r="BJ326" s="133" t="str">
        <f>IF($A326&lt;&gt;0,VLOOKUP($A326,'0.Productos'!$A$3:$GG$587,'0.Productos'!DB$1+1,0),"")</f>
        <v/>
      </c>
      <c r="BK326" s="133" t="str">
        <f>IF($A326&lt;&gt;0,VLOOKUP($A326,'0.Productos'!$A$3:$GG$587,'0.Productos'!DC$1+1,0),"")</f>
        <v/>
      </c>
      <c r="BL326" s="133" t="str">
        <f>IF($A326&lt;&gt;0,VLOOKUP($A326,'0.Productos'!$A$3:$GG$587,'0.Productos'!DD$1+1,0),"")</f>
        <v/>
      </c>
      <c r="BM326" s="133" t="str">
        <f>IF($A326&lt;&gt;0,VLOOKUP($A326,'0.Productos'!$A$3:$GG$587,'0.Productos'!DE$1+1,0),"")</f>
        <v/>
      </c>
      <c r="BN326" s="133" t="str">
        <f>IF($A326&lt;&gt;0,VLOOKUP($A326,'0.Productos'!$A$3:$GG$587,'0.Productos'!DF$1+1,0),"")</f>
        <v/>
      </c>
      <c r="BO326" s="133" t="str">
        <f>IF($A326&lt;&gt;0,VLOOKUP($A326,'0.Productos'!$A$3:$GG$587,'0.Productos'!DG$1+1,0),"")</f>
        <v/>
      </c>
      <c r="BP326" s="133" t="str">
        <f>IF($A326&lt;&gt;0,VLOOKUP($A326,'0.Productos'!$A$3:$GG$587,'0.Productos'!DH$1+1,0),"")</f>
        <v/>
      </c>
      <c r="BQ326" s="133" t="str">
        <f>IF($A326&lt;&gt;0,VLOOKUP($A326,'0.Productos'!$A$3:$GG$587,'0.Productos'!DI$1+1,0),"")</f>
        <v/>
      </c>
      <c r="BR326" s="133" t="str">
        <f>IF($A326&lt;&gt;0,VLOOKUP($A326,'0.Productos'!$A$3:$GG$587,'0.Productos'!DJ$1+1,0),"")</f>
        <v/>
      </c>
      <c r="BS326" s="133" t="str">
        <f>IF($A326&lt;&gt;0,VLOOKUP($A326,'0.Productos'!$A$3:$GG$587,'0.Productos'!DK$1+1,0),"")</f>
        <v/>
      </c>
      <c r="BT326" s="133" t="str">
        <f>IF($A326&lt;&gt;0,VLOOKUP($A326,'0.Productos'!$A$3:$GG$587,'0.Productos'!DL$1+1,0),"")</f>
        <v/>
      </c>
    </row>
    <row r="327" spans="1:72" x14ac:dyDescent="0.25">
      <c r="A327" s="17">
        <f>'0.Consolidado general'!A327</f>
        <v>0</v>
      </c>
      <c r="B327" s="133" t="str">
        <f>IF($A327&lt;&gt;0,VLOOKUP($A327,'0.Productos'!$A$3:$GG$587,'0.Productos'!AT$1+1,0),"")</f>
        <v/>
      </c>
      <c r="C327" s="133" t="str">
        <f>IF($A327&lt;&gt;0,VLOOKUP($A327,'0.Productos'!$A$3:$GG$587,'0.Productos'!AU$1+1,0),"")</f>
        <v/>
      </c>
      <c r="D327" s="133" t="str">
        <f>IF($A327&lt;&gt;0,VLOOKUP($A327,'0.Productos'!$A$3:$GG$587,'0.Productos'!AV$1+1,0),"")</f>
        <v/>
      </c>
      <c r="E327" s="133" t="str">
        <f>IF($A327&lt;&gt;0,VLOOKUP($A327,'0.Productos'!$A$3:$GG$587,'0.Productos'!AW$1+1,0),"")</f>
        <v/>
      </c>
      <c r="F327" s="133" t="str">
        <f>IF($A327&lt;&gt;0,VLOOKUP($A327,'0.Productos'!$A$3:$GG$587,'0.Productos'!AX$1+1,0),"")</f>
        <v/>
      </c>
      <c r="G327" s="133" t="str">
        <f>IF($A327&lt;&gt;0,VLOOKUP($A327,'0.Productos'!$A$3:$GG$587,'0.Productos'!AY$1+1,0),"")</f>
        <v/>
      </c>
      <c r="H327" s="133" t="str">
        <f>IF($A327&lt;&gt;0,VLOOKUP($A327,'0.Productos'!$A$3:$GG$587,'0.Productos'!AZ$1+1,0),"")</f>
        <v/>
      </c>
      <c r="I327" s="133" t="str">
        <f>IF($A327&lt;&gt;0,VLOOKUP($A327,'0.Productos'!$A$3:$GG$587,'0.Productos'!BA$1+1,0),"")</f>
        <v/>
      </c>
      <c r="J327" s="133" t="str">
        <f>IF($A327&lt;&gt;0,VLOOKUP($A327,'0.Productos'!$A$3:$GG$587,'0.Productos'!BB$1+1,0),"")</f>
        <v/>
      </c>
      <c r="K327" s="133" t="str">
        <f>IF($A327&lt;&gt;0,VLOOKUP($A327,'0.Productos'!$A$3:$GG$587,'0.Productos'!BC$1+1,0),"")</f>
        <v/>
      </c>
      <c r="L327" s="133" t="str">
        <f>IF($A327&lt;&gt;0,VLOOKUP($A327,'0.Productos'!$A$3:$GG$587,'0.Productos'!BD$1+1,0),"")</f>
        <v/>
      </c>
      <c r="M327" s="133" t="str">
        <f>IF($A327&lt;&gt;0,VLOOKUP($A327,'0.Productos'!$A$3:$GG$587,'0.Productos'!BE$1+1,0),"")</f>
        <v/>
      </c>
      <c r="N327" s="133" t="str">
        <f>IF($A327&lt;&gt;0,VLOOKUP($A327,'0.Productos'!$A$3:$GG$587,'0.Productos'!BF$1+1,0),"")</f>
        <v/>
      </c>
      <c r="O327" s="133" t="str">
        <f>IF($A327&lt;&gt;0,VLOOKUP($A327,'0.Productos'!$A$3:$GG$587,'0.Productos'!BG$1+1,0),"")</f>
        <v/>
      </c>
      <c r="P327" s="133" t="str">
        <f>IF($A327&lt;&gt;0,VLOOKUP($A327,'0.Productos'!$A$3:$GG$587,'0.Productos'!BH$1+1,0),"")</f>
        <v/>
      </c>
      <c r="Q327" s="133" t="str">
        <f>IF($A327&lt;&gt;0,VLOOKUP($A327,'0.Productos'!$A$3:$GG$587,'0.Productos'!BI$1+1,0),"")</f>
        <v/>
      </c>
      <c r="R327" s="133" t="str">
        <f>IF($A327&lt;&gt;0,VLOOKUP($A327,'0.Productos'!$A$3:$GG$587,'0.Productos'!BJ$1+1,0),"")</f>
        <v/>
      </c>
      <c r="S327" s="133" t="str">
        <f>IF($A327&lt;&gt;0,VLOOKUP($A327,'0.Productos'!$A$3:$GG$587,'0.Productos'!BK$1+1,0),"")</f>
        <v/>
      </c>
      <c r="T327" s="133" t="str">
        <f>IF($A327&lt;&gt;0,VLOOKUP($A327,'0.Productos'!$A$3:$GG$587,'0.Productos'!BL$1+1,0),"")</f>
        <v/>
      </c>
      <c r="U327" s="133" t="str">
        <f>IF($A327&lt;&gt;0,VLOOKUP($A327,'0.Productos'!$A$3:$GG$587,'0.Productos'!BM$1+1,0),"")</f>
        <v/>
      </c>
      <c r="V327" s="133" t="str">
        <f>IF($A327&lt;&gt;0,VLOOKUP($A327,'0.Productos'!$A$3:$GG$587,'0.Productos'!BN$1+1,0),"")</f>
        <v/>
      </c>
      <c r="W327" s="133" t="str">
        <f>IF($A327&lt;&gt;0,VLOOKUP($A327,'0.Productos'!$A$3:$GG$587,'0.Productos'!BO$1+1,0),"")</f>
        <v/>
      </c>
      <c r="X327" s="133" t="str">
        <f>IF($A327&lt;&gt;0,VLOOKUP($A327,'0.Productos'!$A$3:$GG$587,'0.Productos'!BP$1+1,0),"")</f>
        <v/>
      </c>
      <c r="Y327" s="133" t="str">
        <f>IF($A327&lt;&gt;0,VLOOKUP($A327,'0.Productos'!$A$3:$GG$587,'0.Productos'!BQ$1+1,0),"")</f>
        <v/>
      </c>
      <c r="Z327" s="133" t="str">
        <f>IF($A327&lt;&gt;0,VLOOKUP($A327,'0.Productos'!$A$3:$GG$587,'0.Productos'!BR$1+1,0),"")</f>
        <v/>
      </c>
      <c r="AA327" s="133" t="str">
        <f>IF($A327&lt;&gt;0,VLOOKUP($A327,'0.Productos'!$A$3:$GG$587,'0.Productos'!BS$1+1,0),"")</f>
        <v/>
      </c>
      <c r="AB327" s="133" t="str">
        <f>IF($A327&lt;&gt;0,VLOOKUP($A327,'0.Productos'!$A$3:$GG$587,'0.Productos'!BT$1+1,0),"")</f>
        <v/>
      </c>
      <c r="AC327" s="133" t="str">
        <f>IF($A327&lt;&gt;0,VLOOKUP($A327,'0.Productos'!$A$3:$GG$587,'0.Productos'!BU$1+1,0),"")</f>
        <v/>
      </c>
      <c r="AD327" s="133" t="str">
        <f>IF($A327&lt;&gt;0,VLOOKUP($A327,'0.Productos'!$A$3:$GG$587,'0.Productos'!BV$1+1,0),"")</f>
        <v/>
      </c>
      <c r="AE327" s="133" t="str">
        <f>IF($A327&lt;&gt;0,VLOOKUP($A327,'0.Productos'!$A$3:$GG$587,'0.Productos'!BW$1+1,0),"")</f>
        <v/>
      </c>
      <c r="AF327" s="133" t="str">
        <f>IF($A327&lt;&gt;0,VLOOKUP($A327,'0.Productos'!$A$3:$GG$587,'0.Productos'!BX$1+1,0),"")</f>
        <v/>
      </c>
      <c r="AG327" s="133" t="str">
        <f>IF($A327&lt;&gt;0,VLOOKUP($A327,'0.Productos'!$A$3:$GG$587,'0.Productos'!BY$1+1,0),"")</f>
        <v/>
      </c>
      <c r="AH327" s="133" t="str">
        <f>IF($A327&lt;&gt;0,VLOOKUP($A327,'0.Productos'!$A$3:$GG$587,'0.Productos'!BZ$1+1,0),"")</f>
        <v/>
      </c>
      <c r="AI327" s="133" t="str">
        <f>IF($A327&lt;&gt;0,VLOOKUP($A327,'0.Productos'!$A$3:$GG$587,'0.Productos'!CA$1+1,0),"")</f>
        <v/>
      </c>
      <c r="AJ327" s="133" t="str">
        <f>IF($A327&lt;&gt;0,VLOOKUP($A327,'0.Productos'!$A$3:$GG$587,'0.Productos'!CB$1+1,0),"")</f>
        <v/>
      </c>
      <c r="AK327" s="133" t="str">
        <f>IF($A327&lt;&gt;0,VLOOKUP($A327,'0.Productos'!$A$3:$GG$587,'0.Productos'!CC$1+1,0),"")</f>
        <v/>
      </c>
      <c r="AL327" s="133" t="str">
        <f>IF($A327&lt;&gt;0,VLOOKUP($A327,'0.Productos'!$A$3:$GG$587,'0.Productos'!CD$1+1,0),"")</f>
        <v/>
      </c>
      <c r="AM327" s="133" t="str">
        <f>IF($A327&lt;&gt;0,VLOOKUP($A327,'0.Productos'!$A$3:$GG$587,'0.Productos'!CE$1+1,0),"")</f>
        <v/>
      </c>
      <c r="AN327" s="133" t="str">
        <f>IF($A327&lt;&gt;0,VLOOKUP($A327,'0.Productos'!$A$3:$GG$587,'0.Productos'!CF$1+1,0),"")</f>
        <v/>
      </c>
      <c r="AO327" s="133" t="str">
        <f>IF($A327&lt;&gt;0,VLOOKUP($A327,'0.Productos'!$A$3:$GG$587,'0.Productos'!CG$1+1,0),"")</f>
        <v/>
      </c>
      <c r="AP327" s="133" t="str">
        <f>IF($A327&lt;&gt;0,VLOOKUP($A327,'0.Productos'!$A$3:$GG$587,'0.Productos'!CH$1+1,0),"")</f>
        <v/>
      </c>
      <c r="AQ327" s="133" t="str">
        <f>IF($A327&lt;&gt;0,VLOOKUP($A327,'0.Productos'!$A$3:$GG$587,'0.Productos'!CI$1+1,0),"")</f>
        <v/>
      </c>
      <c r="AR327" s="133" t="str">
        <f>IF($A327&lt;&gt;0,VLOOKUP($A327,'0.Productos'!$A$3:$GG$587,'0.Productos'!CJ$1+1,0),"")</f>
        <v/>
      </c>
      <c r="AS327" s="133" t="str">
        <f>IF($A327&lt;&gt;0,VLOOKUP($A327,'0.Productos'!$A$3:$GG$587,'0.Productos'!CK$1+1,0),"")</f>
        <v/>
      </c>
      <c r="AT327" s="133" t="str">
        <f>IF($A327&lt;&gt;0,VLOOKUP($A327,'0.Productos'!$A$3:$GG$587,'0.Productos'!CL$1+1,0),"")</f>
        <v/>
      </c>
      <c r="AU327" s="133" t="str">
        <f>IF($A327&lt;&gt;0,VLOOKUP($A327,'0.Productos'!$A$3:$GG$587,'0.Productos'!CM$1+1,0),"")</f>
        <v/>
      </c>
      <c r="AV327" s="133" t="str">
        <f>IF($A327&lt;&gt;0,VLOOKUP($A327,'0.Productos'!$A$3:$GG$587,'0.Productos'!CN$1+1,0),"")</f>
        <v/>
      </c>
      <c r="AW327" s="133" t="str">
        <f>IF($A327&lt;&gt;0,VLOOKUP($A327,'0.Productos'!$A$3:$GG$587,'0.Productos'!CO$1+1,0),"")</f>
        <v/>
      </c>
      <c r="AX327" s="133" t="str">
        <f>IF($A327&lt;&gt;0,VLOOKUP($A327,'0.Productos'!$A$3:$GG$587,'0.Productos'!CP$1+1,0),"")</f>
        <v/>
      </c>
      <c r="AY327" s="133" t="str">
        <f>IF($A327&lt;&gt;0,VLOOKUP($A327,'0.Productos'!$A$3:$GG$587,'0.Productos'!CQ$1+1,0),"")</f>
        <v/>
      </c>
      <c r="AZ327" s="133" t="str">
        <f>IF($A327&lt;&gt;0,VLOOKUP($A327,'0.Productos'!$A$3:$GG$587,'0.Productos'!CR$1+1,0),"")</f>
        <v/>
      </c>
      <c r="BA327" s="133" t="str">
        <f>IF($A327&lt;&gt;0,VLOOKUP($A327,'0.Productos'!$A$3:$GG$587,'0.Productos'!CS$1+1,0),"")</f>
        <v/>
      </c>
      <c r="BB327" s="133" t="str">
        <f>IF($A327&lt;&gt;0,VLOOKUP($A327,'0.Productos'!$A$3:$GG$587,'0.Productos'!CT$1+1,0),"")</f>
        <v/>
      </c>
      <c r="BC327" s="133" t="str">
        <f>IF($A327&lt;&gt;0,VLOOKUP($A327,'0.Productos'!$A$3:$GG$587,'0.Productos'!CU$1+1,0),"")</f>
        <v/>
      </c>
      <c r="BD327" s="133" t="str">
        <f>IF($A327&lt;&gt;0,VLOOKUP($A327,'0.Productos'!$A$3:$GG$587,'0.Productos'!CV$1+1,0),"")</f>
        <v/>
      </c>
      <c r="BE327" s="133" t="str">
        <f>IF($A327&lt;&gt;0,VLOOKUP($A327,'0.Productos'!$A$3:$GG$587,'0.Productos'!CW$1+1,0),"")</f>
        <v/>
      </c>
      <c r="BF327" s="133" t="str">
        <f>IF($A327&lt;&gt;0,VLOOKUP($A327,'0.Productos'!$A$3:$GG$587,'0.Productos'!CX$1+1,0),"")</f>
        <v/>
      </c>
      <c r="BG327" s="133" t="str">
        <f>IF($A327&lt;&gt;0,VLOOKUP($A327,'0.Productos'!$A$3:$GG$587,'0.Productos'!CY$1+1,0),"")</f>
        <v/>
      </c>
      <c r="BH327" s="133" t="str">
        <f>IF($A327&lt;&gt;0,VLOOKUP($A327,'0.Productos'!$A$3:$GG$587,'0.Productos'!CZ$1+1,0),"")</f>
        <v/>
      </c>
      <c r="BI327" s="133" t="str">
        <f>IF($A327&lt;&gt;0,VLOOKUP($A327,'0.Productos'!$A$3:$GG$587,'0.Productos'!DA$1+1,0),"")</f>
        <v/>
      </c>
      <c r="BJ327" s="133" t="str">
        <f>IF($A327&lt;&gt;0,VLOOKUP($A327,'0.Productos'!$A$3:$GG$587,'0.Productos'!DB$1+1,0),"")</f>
        <v/>
      </c>
      <c r="BK327" s="133" t="str">
        <f>IF($A327&lt;&gt;0,VLOOKUP($A327,'0.Productos'!$A$3:$GG$587,'0.Productos'!DC$1+1,0),"")</f>
        <v/>
      </c>
      <c r="BL327" s="133" t="str">
        <f>IF($A327&lt;&gt;0,VLOOKUP($A327,'0.Productos'!$A$3:$GG$587,'0.Productos'!DD$1+1,0),"")</f>
        <v/>
      </c>
      <c r="BM327" s="133" t="str">
        <f>IF($A327&lt;&gt;0,VLOOKUP($A327,'0.Productos'!$A$3:$GG$587,'0.Productos'!DE$1+1,0),"")</f>
        <v/>
      </c>
      <c r="BN327" s="133" t="str">
        <f>IF($A327&lt;&gt;0,VLOOKUP($A327,'0.Productos'!$A$3:$GG$587,'0.Productos'!DF$1+1,0),"")</f>
        <v/>
      </c>
      <c r="BO327" s="133" t="str">
        <f>IF($A327&lt;&gt;0,VLOOKUP($A327,'0.Productos'!$A$3:$GG$587,'0.Productos'!DG$1+1,0),"")</f>
        <v/>
      </c>
      <c r="BP327" s="133" t="str">
        <f>IF($A327&lt;&gt;0,VLOOKUP($A327,'0.Productos'!$A$3:$GG$587,'0.Productos'!DH$1+1,0),"")</f>
        <v/>
      </c>
      <c r="BQ327" s="133" t="str">
        <f>IF($A327&lt;&gt;0,VLOOKUP($A327,'0.Productos'!$A$3:$GG$587,'0.Productos'!DI$1+1,0),"")</f>
        <v/>
      </c>
      <c r="BR327" s="133" t="str">
        <f>IF($A327&lt;&gt;0,VLOOKUP($A327,'0.Productos'!$A$3:$GG$587,'0.Productos'!DJ$1+1,0),"")</f>
        <v/>
      </c>
      <c r="BS327" s="133" t="str">
        <f>IF($A327&lt;&gt;0,VLOOKUP($A327,'0.Productos'!$A$3:$GG$587,'0.Productos'!DK$1+1,0),"")</f>
        <v/>
      </c>
      <c r="BT327" s="133" t="str">
        <f>IF($A327&lt;&gt;0,VLOOKUP($A327,'0.Productos'!$A$3:$GG$587,'0.Productos'!DL$1+1,0),"")</f>
        <v/>
      </c>
    </row>
    <row r="328" spans="1:72" x14ac:dyDescent="0.25">
      <c r="A328" s="17">
        <f>'0.Consolidado general'!A328</f>
        <v>0</v>
      </c>
      <c r="B328" s="133" t="str">
        <f>IF($A328&lt;&gt;0,VLOOKUP($A328,'0.Productos'!$A$3:$GG$587,'0.Productos'!AT$1+1,0),"")</f>
        <v/>
      </c>
      <c r="C328" s="133" t="str">
        <f>IF($A328&lt;&gt;0,VLOOKUP($A328,'0.Productos'!$A$3:$GG$587,'0.Productos'!AU$1+1,0),"")</f>
        <v/>
      </c>
      <c r="D328" s="133" t="str">
        <f>IF($A328&lt;&gt;0,VLOOKUP($A328,'0.Productos'!$A$3:$GG$587,'0.Productos'!AV$1+1,0),"")</f>
        <v/>
      </c>
      <c r="E328" s="133" t="str">
        <f>IF($A328&lt;&gt;0,VLOOKUP($A328,'0.Productos'!$A$3:$GG$587,'0.Productos'!AW$1+1,0),"")</f>
        <v/>
      </c>
      <c r="F328" s="133" t="str">
        <f>IF($A328&lt;&gt;0,VLOOKUP($A328,'0.Productos'!$A$3:$GG$587,'0.Productos'!AX$1+1,0),"")</f>
        <v/>
      </c>
      <c r="G328" s="133" t="str">
        <f>IF($A328&lt;&gt;0,VLOOKUP($A328,'0.Productos'!$A$3:$GG$587,'0.Productos'!AY$1+1,0),"")</f>
        <v/>
      </c>
      <c r="H328" s="133" t="str">
        <f>IF($A328&lt;&gt;0,VLOOKUP($A328,'0.Productos'!$A$3:$GG$587,'0.Productos'!AZ$1+1,0),"")</f>
        <v/>
      </c>
      <c r="I328" s="133" t="str">
        <f>IF($A328&lt;&gt;0,VLOOKUP($A328,'0.Productos'!$A$3:$GG$587,'0.Productos'!BA$1+1,0),"")</f>
        <v/>
      </c>
      <c r="J328" s="133" t="str">
        <f>IF($A328&lt;&gt;0,VLOOKUP($A328,'0.Productos'!$A$3:$GG$587,'0.Productos'!BB$1+1,0),"")</f>
        <v/>
      </c>
      <c r="K328" s="133" t="str">
        <f>IF($A328&lt;&gt;0,VLOOKUP($A328,'0.Productos'!$A$3:$GG$587,'0.Productos'!BC$1+1,0),"")</f>
        <v/>
      </c>
      <c r="L328" s="133" t="str">
        <f>IF($A328&lt;&gt;0,VLOOKUP($A328,'0.Productos'!$A$3:$GG$587,'0.Productos'!BD$1+1,0),"")</f>
        <v/>
      </c>
      <c r="M328" s="133" t="str">
        <f>IF($A328&lt;&gt;0,VLOOKUP($A328,'0.Productos'!$A$3:$GG$587,'0.Productos'!BE$1+1,0),"")</f>
        <v/>
      </c>
      <c r="N328" s="133" t="str">
        <f>IF($A328&lt;&gt;0,VLOOKUP($A328,'0.Productos'!$A$3:$GG$587,'0.Productos'!BF$1+1,0),"")</f>
        <v/>
      </c>
      <c r="O328" s="133" t="str">
        <f>IF($A328&lt;&gt;0,VLOOKUP($A328,'0.Productos'!$A$3:$GG$587,'0.Productos'!BG$1+1,0),"")</f>
        <v/>
      </c>
      <c r="P328" s="133" t="str">
        <f>IF($A328&lt;&gt;0,VLOOKUP($A328,'0.Productos'!$A$3:$GG$587,'0.Productos'!BH$1+1,0),"")</f>
        <v/>
      </c>
      <c r="Q328" s="133" t="str">
        <f>IF($A328&lt;&gt;0,VLOOKUP($A328,'0.Productos'!$A$3:$GG$587,'0.Productos'!BI$1+1,0),"")</f>
        <v/>
      </c>
      <c r="R328" s="133" t="str">
        <f>IF($A328&lt;&gt;0,VLOOKUP($A328,'0.Productos'!$A$3:$GG$587,'0.Productos'!BJ$1+1,0),"")</f>
        <v/>
      </c>
      <c r="S328" s="133" t="str">
        <f>IF($A328&lt;&gt;0,VLOOKUP($A328,'0.Productos'!$A$3:$GG$587,'0.Productos'!BK$1+1,0),"")</f>
        <v/>
      </c>
      <c r="T328" s="133" t="str">
        <f>IF($A328&lt;&gt;0,VLOOKUP($A328,'0.Productos'!$A$3:$GG$587,'0.Productos'!BL$1+1,0),"")</f>
        <v/>
      </c>
      <c r="U328" s="133" t="str">
        <f>IF($A328&lt;&gt;0,VLOOKUP($A328,'0.Productos'!$A$3:$GG$587,'0.Productos'!BM$1+1,0),"")</f>
        <v/>
      </c>
      <c r="V328" s="133" t="str">
        <f>IF($A328&lt;&gt;0,VLOOKUP($A328,'0.Productos'!$A$3:$GG$587,'0.Productos'!BN$1+1,0),"")</f>
        <v/>
      </c>
      <c r="W328" s="133" t="str">
        <f>IF($A328&lt;&gt;0,VLOOKUP($A328,'0.Productos'!$A$3:$GG$587,'0.Productos'!BO$1+1,0),"")</f>
        <v/>
      </c>
      <c r="X328" s="133" t="str">
        <f>IF($A328&lt;&gt;0,VLOOKUP($A328,'0.Productos'!$A$3:$GG$587,'0.Productos'!BP$1+1,0),"")</f>
        <v/>
      </c>
      <c r="Y328" s="133" t="str">
        <f>IF($A328&lt;&gt;0,VLOOKUP($A328,'0.Productos'!$A$3:$GG$587,'0.Productos'!BQ$1+1,0),"")</f>
        <v/>
      </c>
      <c r="Z328" s="133" t="str">
        <f>IF($A328&lt;&gt;0,VLOOKUP($A328,'0.Productos'!$A$3:$GG$587,'0.Productos'!BR$1+1,0),"")</f>
        <v/>
      </c>
      <c r="AA328" s="133" t="str">
        <f>IF($A328&lt;&gt;0,VLOOKUP($A328,'0.Productos'!$A$3:$GG$587,'0.Productos'!BS$1+1,0),"")</f>
        <v/>
      </c>
      <c r="AB328" s="133" t="str">
        <f>IF($A328&lt;&gt;0,VLOOKUP($A328,'0.Productos'!$A$3:$GG$587,'0.Productos'!BT$1+1,0),"")</f>
        <v/>
      </c>
      <c r="AC328" s="133" t="str">
        <f>IF($A328&lt;&gt;0,VLOOKUP($A328,'0.Productos'!$A$3:$GG$587,'0.Productos'!BU$1+1,0),"")</f>
        <v/>
      </c>
      <c r="AD328" s="133" t="str">
        <f>IF($A328&lt;&gt;0,VLOOKUP($A328,'0.Productos'!$A$3:$GG$587,'0.Productos'!BV$1+1,0),"")</f>
        <v/>
      </c>
      <c r="AE328" s="133" t="str">
        <f>IF($A328&lt;&gt;0,VLOOKUP($A328,'0.Productos'!$A$3:$GG$587,'0.Productos'!BW$1+1,0),"")</f>
        <v/>
      </c>
      <c r="AF328" s="133" t="str">
        <f>IF($A328&lt;&gt;0,VLOOKUP($A328,'0.Productos'!$A$3:$GG$587,'0.Productos'!BX$1+1,0),"")</f>
        <v/>
      </c>
      <c r="AG328" s="133" t="str">
        <f>IF($A328&lt;&gt;0,VLOOKUP($A328,'0.Productos'!$A$3:$GG$587,'0.Productos'!BY$1+1,0),"")</f>
        <v/>
      </c>
      <c r="AH328" s="133" t="str">
        <f>IF($A328&lt;&gt;0,VLOOKUP($A328,'0.Productos'!$A$3:$GG$587,'0.Productos'!BZ$1+1,0),"")</f>
        <v/>
      </c>
      <c r="AI328" s="133" t="str">
        <f>IF($A328&lt;&gt;0,VLOOKUP($A328,'0.Productos'!$A$3:$GG$587,'0.Productos'!CA$1+1,0),"")</f>
        <v/>
      </c>
      <c r="AJ328" s="133" t="str">
        <f>IF($A328&lt;&gt;0,VLOOKUP($A328,'0.Productos'!$A$3:$GG$587,'0.Productos'!CB$1+1,0),"")</f>
        <v/>
      </c>
      <c r="AK328" s="133" t="str">
        <f>IF($A328&lt;&gt;0,VLOOKUP($A328,'0.Productos'!$A$3:$GG$587,'0.Productos'!CC$1+1,0),"")</f>
        <v/>
      </c>
      <c r="AL328" s="133" t="str">
        <f>IF($A328&lt;&gt;0,VLOOKUP($A328,'0.Productos'!$A$3:$GG$587,'0.Productos'!CD$1+1,0),"")</f>
        <v/>
      </c>
      <c r="AM328" s="133" t="str">
        <f>IF($A328&lt;&gt;0,VLOOKUP($A328,'0.Productos'!$A$3:$GG$587,'0.Productos'!CE$1+1,0),"")</f>
        <v/>
      </c>
      <c r="AN328" s="133" t="str">
        <f>IF($A328&lt;&gt;0,VLOOKUP($A328,'0.Productos'!$A$3:$GG$587,'0.Productos'!CF$1+1,0),"")</f>
        <v/>
      </c>
      <c r="AO328" s="133" t="str">
        <f>IF($A328&lt;&gt;0,VLOOKUP($A328,'0.Productos'!$A$3:$GG$587,'0.Productos'!CG$1+1,0),"")</f>
        <v/>
      </c>
      <c r="AP328" s="133" t="str">
        <f>IF($A328&lt;&gt;0,VLOOKUP($A328,'0.Productos'!$A$3:$GG$587,'0.Productos'!CH$1+1,0),"")</f>
        <v/>
      </c>
      <c r="AQ328" s="133" t="str">
        <f>IF($A328&lt;&gt;0,VLOOKUP($A328,'0.Productos'!$A$3:$GG$587,'0.Productos'!CI$1+1,0),"")</f>
        <v/>
      </c>
      <c r="AR328" s="133" t="str">
        <f>IF($A328&lt;&gt;0,VLOOKUP($A328,'0.Productos'!$A$3:$GG$587,'0.Productos'!CJ$1+1,0),"")</f>
        <v/>
      </c>
      <c r="AS328" s="133" t="str">
        <f>IF($A328&lt;&gt;0,VLOOKUP($A328,'0.Productos'!$A$3:$GG$587,'0.Productos'!CK$1+1,0),"")</f>
        <v/>
      </c>
      <c r="AT328" s="133" t="str">
        <f>IF($A328&lt;&gt;0,VLOOKUP($A328,'0.Productos'!$A$3:$GG$587,'0.Productos'!CL$1+1,0),"")</f>
        <v/>
      </c>
      <c r="AU328" s="133" t="str">
        <f>IF($A328&lt;&gt;0,VLOOKUP($A328,'0.Productos'!$A$3:$GG$587,'0.Productos'!CM$1+1,0),"")</f>
        <v/>
      </c>
      <c r="AV328" s="133" t="str">
        <f>IF($A328&lt;&gt;0,VLOOKUP($A328,'0.Productos'!$A$3:$GG$587,'0.Productos'!CN$1+1,0),"")</f>
        <v/>
      </c>
      <c r="AW328" s="133" t="str">
        <f>IF($A328&lt;&gt;0,VLOOKUP($A328,'0.Productos'!$A$3:$GG$587,'0.Productos'!CO$1+1,0),"")</f>
        <v/>
      </c>
      <c r="AX328" s="133" t="str">
        <f>IF($A328&lt;&gt;0,VLOOKUP($A328,'0.Productos'!$A$3:$GG$587,'0.Productos'!CP$1+1,0),"")</f>
        <v/>
      </c>
      <c r="AY328" s="133" t="str">
        <f>IF($A328&lt;&gt;0,VLOOKUP($A328,'0.Productos'!$A$3:$GG$587,'0.Productos'!CQ$1+1,0),"")</f>
        <v/>
      </c>
      <c r="AZ328" s="133" t="str">
        <f>IF($A328&lt;&gt;0,VLOOKUP($A328,'0.Productos'!$A$3:$GG$587,'0.Productos'!CR$1+1,0),"")</f>
        <v/>
      </c>
      <c r="BA328" s="133" t="str">
        <f>IF($A328&lt;&gt;0,VLOOKUP($A328,'0.Productos'!$A$3:$GG$587,'0.Productos'!CS$1+1,0),"")</f>
        <v/>
      </c>
      <c r="BB328" s="133" t="str">
        <f>IF($A328&lt;&gt;0,VLOOKUP($A328,'0.Productos'!$A$3:$GG$587,'0.Productos'!CT$1+1,0),"")</f>
        <v/>
      </c>
      <c r="BC328" s="133" t="str">
        <f>IF($A328&lt;&gt;0,VLOOKUP($A328,'0.Productos'!$A$3:$GG$587,'0.Productos'!CU$1+1,0),"")</f>
        <v/>
      </c>
      <c r="BD328" s="133" t="str">
        <f>IF($A328&lt;&gt;0,VLOOKUP($A328,'0.Productos'!$A$3:$GG$587,'0.Productos'!CV$1+1,0),"")</f>
        <v/>
      </c>
      <c r="BE328" s="133" t="str">
        <f>IF($A328&lt;&gt;0,VLOOKUP($A328,'0.Productos'!$A$3:$GG$587,'0.Productos'!CW$1+1,0),"")</f>
        <v/>
      </c>
      <c r="BF328" s="133" t="str">
        <f>IF($A328&lt;&gt;0,VLOOKUP($A328,'0.Productos'!$A$3:$GG$587,'0.Productos'!CX$1+1,0),"")</f>
        <v/>
      </c>
      <c r="BG328" s="133" t="str">
        <f>IF($A328&lt;&gt;0,VLOOKUP($A328,'0.Productos'!$A$3:$GG$587,'0.Productos'!CY$1+1,0),"")</f>
        <v/>
      </c>
      <c r="BH328" s="133" t="str">
        <f>IF($A328&lt;&gt;0,VLOOKUP($A328,'0.Productos'!$A$3:$GG$587,'0.Productos'!CZ$1+1,0),"")</f>
        <v/>
      </c>
      <c r="BI328" s="133" t="str">
        <f>IF($A328&lt;&gt;0,VLOOKUP($A328,'0.Productos'!$A$3:$GG$587,'0.Productos'!DA$1+1,0),"")</f>
        <v/>
      </c>
      <c r="BJ328" s="133" t="str">
        <f>IF($A328&lt;&gt;0,VLOOKUP($A328,'0.Productos'!$A$3:$GG$587,'0.Productos'!DB$1+1,0),"")</f>
        <v/>
      </c>
      <c r="BK328" s="133" t="str">
        <f>IF($A328&lt;&gt;0,VLOOKUP($A328,'0.Productos'!$A$3:$GG$587,'0.Productos'!DC$1+1,0),"")</f>
        <v/>
      </c>
      <c r="BL328" s="133" t="str">
        <f>IF($A328&lt;&gt;0,VLOOKUP($A328,'0.Productos'!$A$3:$GG$587,'0.Productos'!DD$1+1,0),"")</f>
        <v/>
      </c>
      <c r="BM328" s="133" t="str">
        <f>IF($A328&lt;&gt;0,VLOOKUP($A328,'0.Productos'!$A$3:$GG$587,'0.Productos'!DE$1+1,0),"")</f>
        <v/>
      </c>
      <c r="BN328" s="133" t="str">
        <f>IF($A328&lt;&gt;0,VLOOKUP($A328,'0.Productos'!$A$3:$GG$587,'0.Productos'!DF$1+1,0),"")</f>
        <v/>
      </c>
      <c r="BO328" s="133" t="str">
        <f>IF($A328&lt;&gt;0,VLOOKUP($A328,'0.Productos'!$A$3:$GG$587,'0.Productos'!DG$1+1,0),"")</f>
        <v/>
      </c>
      <c r="BP328" s="133" t="str">
        <f>IF($A328&lt;&gt;0,VLOOKUP($A328,'0.Productos'!$A$3:$GG$587,'0.Productos'!DH$1+1,0),"")</f>
        <v/>
      </c>
      <c r="BQ328" s="133" t="str">
        <f>IF($A328&lt;&gt;0,VLOOKUP($A328,'0.Productos'!$A$3:$GG$587,'0.Productos'!DI$1+1,0),"")</f>
        <v/>
      </c>
      <c r="BR328" s="133" t="str">
        <f>IF($A328&lt;&gt;0,VLOOKUP($A328,'0.Productos'!$A$3:$GG$587,'0.Productos'!DJ$1+1,0),"")</f>
        <v/>
      </c>
      <c r="BS328" s="133" t="str">
        <f>IF($A328&lt;&gt;0,VLOOKUP($A328,'0.Productos'!$A$3:$GG$587,'0.Productos'!DK$1+1,0),"")</f>
        <v/>
      </c>
      <c r="BT328" s="133" t="str">
        <f>IF($A328&lt;&gt;0,VLOOKUP($A328,'0.Productos'!$A$3:$GG$587,'0.Productos'!DL$1+1,0),"")</f>
        <v/>
      </c>
    </row>
    <row r="329" spans="1:72" x14ac:dyDescent="0.25">
      <c r="A329" s="17">
        <f>'0.Consolidado general'!A329</f>
        <v>0</v>
      </c>
      <c r="B329" s="133" t="str">
        <f>IF($A329&lt;&gt;0,VLOOKUP($A329,'0.Productos'!$A$3:$GG$587,'0.Productos'!AT$1+1,0),"")</f>
        <v/>
      </c>
      <c r="C329" s="133" t="str">
        <f>IF($A329&lt;&gt;0,VLOOKUP($A329,'0.Productos'!$A$3:$GG$587,'0.Productos'!AU$1+1,0),"")</f>
        <v/>
      </c>
      <c r="D329" s="133" t="str">
        <f>IF($A329&lt;&gt;0,VLOOKUP($A329,'0.Productos'!$A$3:$GG$587,'0.Productos'!AV$1+1,0),"")</f>
        <v/>
      </c>
      <c r="E329" s="133" t="str">
        <f>IF($A329&lt;&gt;0,VLOOKUP($A329,'0.Productos'!$A$3:$GG$587,'0.Productos'!AW$1+1,0),"")</f>
        <v/>
      </c>
      <c r="F329" s="133" t="str">
        <f>IF($A329&lt;&gt;0,VLOOKUP($A329,'0.Productos'!$A$3:$GG$587,'0.Productos'!AX$1+1,0),"")</f>
        <v/>
      </c>
      <c r="G329" s="133" t="str">
        <f>IF($A329&lt;&gt;0,VLOOKUP($A329,'0.Productos'!$A$3:$GG$587,'0.Productos'!AY$1+1,0),"")</f>
        <v/>
      </c>
      <c r="H329" s="133" t="str">
        <f>IF($A329&lt;&gt;0,VLOOKUP($A329,'0.Productos'!$A$3:$GG$587,'0.Productos'!AZ$1+1,0),"")</f>
        <v/>
      </c>
      <c r="I329" s="133" t="str">
        <f>IF($A329&lt;&gt;0,VLOOKUP($A329,'0.Productos'!$A$3:$GG$587,'0.Productos'!BA$1+1,0),"")</f>
        <v/>
      </c>
      <c r="J329" s="133" t="str">
        <f>IF($A329&lt;&gt;0,VLOOKUP($A329,'0.Productos'!$A$3:$GG$587,'0.Productos'!BB$1+1,0),"")</f>
        <v/>
      </c>
      <c r="K329" s="133" t="str">
        <f>IF($A329&lt;&gt;0,VLOOKUP($A329,'0.Productos'!$A$3:$GG$587,'0.Productos'!BC$1+1,0),"")</f>
        <v/>
      </c>
      <c r="L329" s="133" t="str">
        <f>IF($A329&lt;&gt;0,VLOOKUP($A329,'0.Productos'!$A$3:$GG$587,'0.Productos'!BD$1+1,0),"")</f>
        <v/>
      </c>
      <c r="M329" s="133" t="str">
        <f>IF($A329&lt;&gt;0,VLOOKUP($A329,'0.Productos'!$A$3:$GG$587,'0.Productos'!BE$1+1,0),"")</f>
        <v/>
      </c>
      <c r="N329" s="133" t="str">
        <f>IF($A329&lt;&gt;0,VLOOKUP($A329,'0.Productos'!$A$3:$GG$587,'0.Productos'!BF$1+1,0),"")</f>
        <v/>
      </c>
      <c r="O329" s="133" t="str">
        <f>IF($A329&lt;&gt;0,VLOOKUP($A329,'0.Productos'!$A$3:$GG$587,'0.Productos'!BG$1+1,0),"")</f>
        <v/>
      </c>
      <c r="P329" s="133" t="str">
        <f>IF($A329&lt;&gt;0,VLOOKUP($A329,'0.Productos'!$A$3:$GG$587,'0.Productos'!BH$1+1,0),"")</f>
        <v/>
      </c>
      <c r="Q329" s="133" t="str">
        <f>IF($A329&lt;&gt;0,VLOOKUP($A329,'0.Productos'!$A$3:$GG$587,'0.Productos'!BI$1+1,0),"")</f>
        <v/>
      </c>
      <c r="R329" s="133" t="str">
        <f>IF($A329&lt;&gt;0,VLOOKUP($A329,'0.Productos'!$A$3:$GG$587,'0.Productos'!BJ$1+1,0),"")</f>
        <v/>
      </c>
      <c r="S329" s="133" t="str">
        <f>IF($A329&lt;&gt;0,VLOOKUP($A329,'0.Productos'!$A$3:$GG$587,'0.Productos'!BK$1+1,0),"")</f>
        <v/>
      </c>
      <c r="T329" s="133" t="str">
        <f>IF($A329&lt;&gt;0,VLOOKUP($A329,'0.Productos'!$A$3:$GG$587,'0.Productos'!BL$1+1,0),"")</f>
        <v/>
      </c>
      <c r="U329" s="133" t="str">
        <f>IF($A329&lt;&gt;0,VLOOKUP($A329,'0.Productos'!$A$3:$GG$587,'0.Productos'!BM$1+1,0),"")</f>
        <v/>
      </c>
      <c r="V329" s="133" t="str">
        <f>IF($A329&lt;&gt;0,VLOOKUP($A329,'0.Productos'!$A$3:$GG$587,'0.Productos'!BN$1+1,0),"")</f>
        <v/>
      </c>
      <c r="W329" s="133" t="str">
        <f>IF($A329&lt;&gt;0,VLOOKUP($A329,'0.Productos'!$A$3:$GG$587,'0.Productos'!BO$1+1,0),"")</f>
        <v/>
      </c>
      <c r="X329" s="133" t="str">
        <f>IF($A329&lt;&gt;0,VLOOKUP($A329,'0.Productos'!$A$3:$GG$587,'0.Productos'!BP$1+1,0),"")</f>
        <v/>
      </c>
      <c r="Y329" s="133" t="str">
        <f>IF($A329&lt;&gt;0,VLOOKUP($A329,'0.Productos'!$A$3:$GG$587,'0.Productos'!BQ$1+1,0),"")</f>
        <v/>
      </c>
      <c r="Z329" s="133" t="str">
        <f>IF($A329&lt;&gt;0,VLOOKUP($A329,'0.Productos'!$A$3:$GG$587,'0.Productos'!BR$1+1,0),"")</f>
        <v/>
      </c>
      <c r="AA329" s="133" t="str">
        <f>IF($A329&lt;&gt;0,VLOOKUP($A329,'0.Productos'!$A$3:$GG$587,'0.Productos'!BS$1+1,0),"")</f>
        <v/>
      </c>
      <c r="AB329" s="133" t="str">
        <f>IF($A329&lt;&gt;0,VLOOKUP($A329,'0.Productos'!$A$3:$GG$587,'0.Productos'!BT$1+1,0),"")</f>
        <v/>
      </c>
      <c r="AC329" s="133" t="str">
        <f>IF($A329&lt;&gt;0,VLOOKUP($A329,'0.Productos'!$A$3:$GG$587,'0.Productos'!BU$1+1,0),"")</f>
        <v/>
      </c>
      <c r="AD329" s="133" t="str">
        <f>IF($A329&lt;&gt;0,VLOOKUP($A329,'0.Productos'!$A$3:$GG$587,'0.Productos'!BV$1+1,0),"")</f>
        <v/>
      </c>
      <c r="AE329" s="133" t="str">
        <f>IF($A329&lt;&gt;0,VLOOKUP($A329,'0.Productos'!$A$3:$GG$587,'0.Productos'!BW$1+1,0),"")</f>
        <v/>
      </c>
      <c r="AF329" s="133" t="str">
        <f>IF($A329&lt;&gt;0,VLOOKUP($A329,'0.Productos'!$A$3:$GG$587,'0.Productos'!BX$1+1,0),"")</f>
        <v/>
      </c>
      <c r="AG329" s="133" t="str">
        <f>IF($A329&lt;&gt;0,VLOOKUP($A329,'0.Productos'!$A$3:$GG$587,'0.Productos'!BY$1+1,0),"")</f>
        <v/>
      </c>
      <c r="AH329" s="133" t="str">
        <f>IF($A329&lt;&gt;0,VLOOKUP($A329,'0.Productos'!$A$3:$GG$587,'0.Productos'!BZ$1+1,0),"")</f>
        <v/>
      </c>
      <c r="AI329" s="133" t="str">
        <f>IF($A329&lt;&gt;0,VLOOKUP($A329,'0.Productos'!$A$3:$GG$587,'0.Productos'!CA$1+1,0),"")</f>
        <v/>
      </c>
      <c r="AJ329" s="133" t="str">
        <f>IF($A329&lt;&gt;0,VLOOKUP($A329,'0.Productos'!$A$3:$GG$587,'0.Productos'!CB$1+1,0),"")</f>
        <v/>
      </c>
      <c r="AK329" s="133" t="str">
        <f>IF($A329&lt;&gt;0,VLOOKUP($A329,'0.Productos'!$A$3:$GG$587,'0.Productos'!CC$1+1,0),"")</f>
        <v/>
      </c>
      <c r="AL329" s="133" t="str">
        <f>IF($A329&lt;&gt;0,VLOOKUP($A329,'0.Productos'!$A$3:$GG$587,'0.Productos'!CD$1+1,0),"")</f>
        <v/>
      </c>
      <c r="AM329" s="133" t="str">
        <f>IF($A329&lt;&gt;0,VLOOKUP($A329,'0.Productos'!$A$3:$GG$587,'0.Productos'!CE$1+1,0),"")</f>
        <v/>
      </c>
      <c r="AN329" s="133" t="str">
        <f>IF($A329&lt;&gt;0,VLOOKUP($A329,'0.Productos'!$A$3:$GG$587,'0.Productos'!CF$1+1,0),"")</f>
        <v/>
      </c>
      <c r="AO329" s="133" t="str">
        <f>IF($A329&lt;&gt;0,VLOOKUP($A329,'0.Productos'!$A$3:$GG$587,'0.Productos'!CG$1+1,0),"")</f>
        <v/>
      </c>
      <c r="AP329" s="133" t="str">
        <f>IF($A329&lt;&gt;0,VLOOKUP($A329,'0.Productos'!$A$3:$GG$587,'0.Productos'!CH$1+1,0),"")</f>
        <v/>
      </c>
      <c r="AQ329" s="133" t="str">
        <f>IF($A329&lt;&gt;0,VLOOKUP($A329,'0.Productos'!$A$3:$GG$587,'0.Productos'!CI$1+1,0),"")</f>
        <v/>
      </c>
      <c r="AR329" s="133" t="str">
        <f>IF($A329&lt;&gt;0,VLOOKUP($A329,'0.Productos'!$A$3:$GG$587,'0.Productos'!CJ$1+1,0),"")</f>
        <v/>
      </c>
      <c r="AS329" s="133" t="str">
        <f>IF($A329&lt;&gt;0,VLOOKUP($A329,'0.Productos'!$A$3:$GG$587,'0.Productos'!CK$1+1,0),"")</f>
        <v/>
      </c>
      <c r="AT329" s="133" t="str">
        <f>IF($A329&lt;&gt;0,VLOOKUP($A329,'0.Productos'!$A$3:$GG$587,'0.Productos'!CL$1+1,0),"")</f>
        <v/>
      </c>
      <c r="AU329" s="133" t="str">
        <f>IF($A329&lt;&gt;0,VLOOKUP($A329,'0.Productos'!$A$3:$GG$587,'0.Productos'!CM$1+1,0),"")</f>
        <v/>
      </c>
      <c r="AV329" s="133" t="str">
        <f>IF($A329&lt;&gt;0,VLOOKUP($A329,'0.Productos'!$A$3:$GG$587,'0.Productos'!CN$1+1,0),"")</f>
        <v/>
      </c>
      <c r="AW329" s="133" t="str">
        <f>IF($A329&lt;&gt;0,VLOOKUP($A329,'0.Productos'!$A$3:$GG$587,'0.Productos'!CO$1+1,0),"")</f>
        <v/>
      </c>
      <c r="AX329" s="133" t="str">
        <f>IF($A329&lt;&gt;0,VLOOKUP($A329,'0.Productos'!$A$3:$GG$587,'0.Productos'!CP$1+1,0),"")</f>
        <v/>
      </c>
      <c r="AY329" s="133" t="str">
        <f>IF($A329&lt;&gt;0,VLOOKUP($A329,'0.Productos'!$A$3:$GG$587,'0.Productos'!CQ$1+1,0),"")</f>
        <v/>
      </c>
      <c r="AZ329" s="133" t="str">
        <f>IF($A329&lt;&gt;0,VLOOKUP($A329,'0.Productos'!$A$3:$GG$587,'0.Productos'!CR$1+1,0),"")</f>
        <v/>
      </c>
      <c r="BA329" s="133" t="str">
        <f>IF($A329&lt;&gt;0,VLOOKUP($A329,'0.Productos'!$A$3:$GG$587,'0.Productos'!CS$1+1,0),"")</f>
        <v/>
      </c>
      <c r="BB329" s="133" t="str">
        <f>IF($A329&lt;&gt;0,VLOOKUP($A329,'0.Productos'!$A$3:$GG$587,'0.Productos'!CT$1+1,0),"")</f>
        <v/>
      </c>
      <c r="BC329" s="133" t="str">
        <f>IF($A329&lt;&gt;0,VLOOKUP($A329,'0.Productos'!$A$3:$GG$587,'0.Productos'!CU$1+1,0),"")</f>
        <v/>
      </c>
      <c r="BD329" s="133" t="str">
        <f>IF($A329&lt;&gt;0,VLOOKUP($A329,'0.Productos'!$A$3:$GG$587,'0.Productos'!CV$1+1,0),"")</f>
        <v/>
      </c>
      <c r="BE329" s="133" t="str">
        <f>IF($A329&lt;&gt;0,VLOOKUP($A329,'0.Productos'!$A$3:$GG$587,'0.Productos'!CW$1+1,0),"")</f>
        <v/>
      </c>
      <c r="BF329" s="133" t="str">
        <f>IF($A329&lt;&gt;0,VLOOKUP($A329,'0.Productos'!$A$3:$GG$587,'0.Productos'!CX$1+1,0),"")</f>
        <v/>
      </c>
      <c r="BG329" s="133" t="str">
        <f>IF($A329&lt;&gt;0,VLOOKUP($A329,'0.Productos'!$A$3:$GG$587,'0.Productos'!CY$1+1,0),"")</f>
        <v/>
      </c>
      <c r="BH329" s="133" t="str">
        <f>IF($A329&lt;&gt;0,VLOOKUP($A329,'0.Productos'!$A$3:$GG$587,'0.Productos'!CZ$1+1,0),"")</f>
        <v/>
      </c>
      <c r="BI329" s="133" t="str">
        <f>IF($A329&lt;&gt;0,VLOOKUP($A329,'0.Productos'!$A$3:$GG$587,'0.Productos'!DA$1+1,0),"")</f>
        <v/>
      </c>
      <c r="BJ329" s="133" t="str">
        <f>IF($A329&lt;&gt;0,VLOOKUP($A329,'0.Productos'!$A$3:$GG$587,'0.Productos'!DB$1+1,0),"")</f>
        <v/>
      </c>
      <c r="BK329" s="133" t="str">
        <f>IF($A329&lt;&gt;0,VLOOKUP($A329,'0.Productos'!$A$3:$GG$587,'0.Productos'!DC$1+1,0),"")</f>
        <v/>
      </c>
      <c r="BL329" s="133" t="str">
        <f>IF($A329&lt;&gt;0,VLOOKUP($A329,'0.Productos'!$A$3:$GG$587,'0.Productos'!DD$1+1,0),"")</f>
        <v/>
      </c>
      <c r="BM329" s="133" t="str">
        <f>IF($A329&lt;&gt;0,VLOOKUP($A329,'0.Productos'!$A$3:$GG$587,'0.Productos'!DE$1+1,0),"")</f>
        <v/>
      </c>
      <c r="BN329" s="133" t="str">
        <f>IF($A329&lt;&gt;0,VLOOKUP($A329,'0.Productos'!$A$3:$GG$587,'0.Productos'!DF$1+1,0),"")</f>
        <v/>
      </c>
      <c r="BO329" s="133" t="str">
        <f>IF($A329&lt;&gt;0,VLOOKUP($A329,'0.Productos'!$A$3:$GG$587,'0.Productos'!DG$1+1,0),"")</f>
        <v/>
      </c>
      <c r="BP329" s="133" t="str">
        <f>IF($A329&lt;&gt;0,VLOOKUP($A329,'0.Productos'!$A$3:$GG$587,'0.Productos'!DH$1+1,0),"")</f>
        <v/>
      </c>
      <c r="BQ329" s="133" t="str">
        <f>IF($A329&lt;&gt;0,VLOOKUP($A329,'0.Productos'!$A$3:$GG$587,'0.Productos'!DI$1+1,0),"")</f>
        <v/>
      </c>
      <c r="BR329" s="133" t="str">
        <f>IF($A329&lt;&gt;0,VLOOKUP($A329,'0.Productos'!$A$3:$GG$587,'0.Productos'!DJ$1+1,0),"")</f>
        <v/>
      </c>
      <c r="BS329" s="133" t="str">
        <f>IF($A329&lt;&gt;0,VLOOKUP($A329,'0.Productos'!$A$3:$GG$587,'0.Productos'!DK$1+1,0),"")</f>
        <v/>
      </c>
      <c r="BT329" s="133" t="str">
        <f>IF($A329&lt;&gt;0,VLOOKUP($A329,'0.Productos'!$A$3:$GG$587,'0.Productos'!DL$1+1,0),"")</f>
        <v/>
      </c>
    </row>
    <row r="330" spans="1:72" x14ac:dyDescent="0.25">
      <c r="A330" s="17">
        <f>'0.Consolidado general'!A330</f>
        <v>0</v>
      </c>
      <c r="B330" s="133" t="str">
        <f>IF($A330&lt;&gt;0,VLOOKUP($A330,'0.Productos'!$A$3:$GG$587,'0.Productos'!AT$1+1,0),"")</f>
        <v/>
      </c>
      <c r="C330" s="133" t="str">
        <f>IF($A330&lt;&gt;0,VLOOKUP($A330,'0.Productos'!$A$3:$GG$587,'0.Productos'!AU$1+1,0),"")</f>
        <v/>
      </c>
      <c r="D330" s="133" t="str">
        <f>IF($A330&lt;&gt;0,VLOOKUP($A330,'0.Productos'!$A$3:$GG$587,'0.Productos'!AV$1+1,0),"")</f>
        <v/>
      </c>
      <c r="E330" s="133" t="str">
        <f>IF($A330&lt;&gt;0,VLOOKUP($A330,'0.Productos'!$A$3:$GG$587,'0.Productos'!AW$1+1,0),"")</f>
        <v/>
      </c>
      <c r="F330" s="133" t="str">
        <f>IF($A330&lt;&gt;0,VLOOKUP($A330,'0.Productos'!$A$3:$GG$587,'0.Productos'!AX$1+1,0),"")</f>
        <v/>
      </c>
      <c r="G330" s="133" t="str">
        <f>IF($A330&lt;&gt;0,VLOOKUP($A330,'0.Productos'!$A$3:$GG$587,'0.Productos'!AY$1+1,0),"")</f>
        <v/>
      </c>
      <c r="H330" s="133" t="str">
        <f>IF($A330&lt;&gt;0,VLOOKUP($A330,'0.Productos'!$A$3:$GG$587,'0.Productos'!AZ$1+1,0),"")</f>
        <v/>
      </c>
      <c r="I330" s="133" t="str">
        <f>IF($A330&lt;&gt;0,VLOOKUP($A330,'0.Productos'!$A$3:$GG$587,'0.Productos'!BA$1+1,0),"")</f>
        <v/>
      </c>
      <c r="J330" s="133" t="str">
        <f>IF($A330&lt;&gt;0,VLOOKUP($A330,'0.Productos'!$A$3:$GG$587,'0.Productos'!BB$1+1,0),"")</f>
        <v/>
      </c>
      <c r="K330" s="133" t="str">
        <f>IF($A330&lt;&gt;0,VLOOKUP($A330,'0.Productos'!$A$3:$GG$587,'0.Productos'!BC$1+1,0),"")</f>
        <v/>
      </c>
      <c r="L330" s="133" t="str">
        <f>IF($A330&lt;&gt;0,VLOOKUP($A330,'0.Productos'!$A$3:$GG$587,'0.Productos'!BD$1+1,0),"")</f>
        <v/>
      </c>
      <c r="M330" s="133" t="str">
        <f>IF($A330&lt;&gt;0,VLOOKUP($A330,'0.Productos'!$A$3:$GG$587,'0.Productos'!BE$1+1,0),"")</f>
        <v/>
      </c>
      <c r="N330" s="133" t="str">
        <f>IF($A330&lt;&gt;0,VLOOKUP($A330,'0.Productos'!$A$3:$GG$587,'0.Productos'!BF$1+1,0),"")</f>
        <v/>
      </c>
      <c r="O330" s="133" t="str">
        <f>IF($A330&lt;&gt;0,VLOOKUP($A330,'0.Productos'!$A$3:$GG$587,'0.Productos'!BG$1+1,0),"")</f>
        <v/>
      </c>
      <c r="P330" s="133" t="str">
        <f>IF($A330&lt;&gt;0,VLOOKUP($A330,'0.Productos'!$A$3:$GG$587,'0.Productos'!BH$1+1,0),"")</f>
        <v/>
      </c>
      <c r="Q330" s="133" t="str">
        <f>IF($A330&lt;&gt;0,VLOOKUP($A330,'0.Productos'!$A$3:$GG$587,'0.Productos'!BI$1+1,0),"")</f>
        <v/>
      </c>
      <c r="R330" s="133" t="str">
        <f>IF($A330&lt;&gt;0,VLOOKUP($A330,'0.Productos'!$A$3:$GG$587,'0.Productos'!BJ$1+1,0),"")</f>
        <v/>
      </c>
      <c r="S330" s="133" t="str">
        <f>IF($A330&lt;&gt;0,VLOOKUP($A330,'0.Productos'!$A$3:$GG$587,'0.Productos'!BK$1+1,0),"")</f>
        <v/>
      </c>
      <c r="T330" s="133" t="str">
        <f>IF($A330&lt;&gt;0,VLOOKUP($A330,'0.Productos'!$A$3:$GG$587,'0.Productos'!BL$1+1,0),"")</f>
        <v/>
      </c>
      <c r="U330" s="133" t="str">
        <f>IF($A330&lt;&gt;0,VLOOKUP($A330,'0.Productos'!$A$3:$GG$587,'0.Productos'!BM$1+1,0),"")</f>
        <v/>
      </c>
      <c r="V330" s="133" t="str">
        <f>IF($A330&lt;&gt;0,VLOOKUP($A330,'0.Productos'!$A$3:$GG$587,'0.Productos'!BN$1+1,0),"")</f>
        <v/>
      </c>
      <c r="W330" s="133" t="str">
        <f>IF($A330&lt;&gt;0,VLOOKUP($A330,'0.Productos'!$A$3:$GG$587,'0.Productos'!BO$1+1,0),"")</f>
        <v/>
      </c>
      <c r="X330" s="133" t="str">
        <f>IF($A330&lt;&gt;0,VLOOKUP($A330,'0.Productos'!$A$3:$GG$587,'0.Productos'!BP$1+1,0),"")</f>
        <v/>
      </c>
      <c r="Y330" s="133" t="str">
        <f>IF($A330&lt;&gt;0,VLOOKUP($A330,'0.Productos'!$A$3:$GG$587,'0.Productos'!BQ$1+1,0),"")</f>
        <v/>
      </c>
      <c r="Z330" s="133" t="str">
        <f>IF($A330&lt;&gt;0,VLOOKUP($A330,'0.Productos'!$A$3:$GG$587,'0.Productos'!BR$1+1,0),"")</f>
        <v/>
      </c>
      <c r="AA330" s="133" t="str">
        <f>IF($A330&lt;&gt;0,VLOOKUP($A330,'0.Productos'!$A$3:$GG$587,'0.Productos'!BS$1+1,0),"")</f>
        <v/>
      </c>
      <c r="AB330" s="133" t="str">
        <f>IF($A330&lt;&gt;0,VLOOKUP($A330,'0.Productos'!$A$3:$GG$587,'0.Productos'!BT$1+1,0),"")</f>
        <v/>
      </c>
      <c r="AC330" s="133" t="str">
        <f>IF($A330&lt;&gt;0,VLOOKUP($A330,'0.Productos'!$A$3:$GG$587,'0.Productos'!BU$1+1,0),"")</f>
        <v/>
      </c>
      <c r="AD330" s="133" t="str">
        <f>IF($A330&lt;&gt;0,VLOOKUP($A330,'0.Productos'!$A$3:$GG$587,'0.Productos'!BV$1+1,0),"")</f>
        <v/>
      </c>
      <c r="AE330" s="133" t="str">
        <f>IF($A330&lt;&gt;0,VLOOKUP($A330,'0.Productos'!$A$3:$GG$587,'0.Productos'!BW$1+1,0),"")</f>
        <v/>
      </c>
      <c r="AF330" s="133" t="str">
        <f>IF($A330&lt;&gt;0,VLOOKUP($A330,'0.Productos'!$A$3:$GG$587,'0.Productos'!BX$1+1,0),"")</f>
        <v/>
      </c>
      <c r="AG330" s="133" t="str">
        <f>IF($A330&lt;&gt;0,VLOOKUP($A330,'0.Productos'!$A$3:$GG$587,'0.Productos'!BY$1+1,0),"")</f>
        <v/>
      </c>
      <c r="AH330" s="133" t="str">
        <f>IF($A330&lt;&gt;0,VLOOKUP($A330,'0.Productos'!$A$3:$GG$587,'0.Productos'!BZ$1+1,0),"")</f>
        <v/>
      </c>
      <c r="AI330" s="133" t="str">
        <f>IF($A330&lt;&gt;0,VLOOKUP($A330,'0.Productos'!$A$3:$GG$587,'0.Productos'!CA$1+1,0),"")</f>
        <v/>
      </c>
      <c r="AJ330" s="133" t="str">
        <f>IF($A330&lt;&gt;0,VLOOKUP($A330,'0.Productos'!$A$3:$GG$587,'0.Productos'!CB$1+1,0),"")</f>
        <v/>
      </c>
      <c r="AK330" s="133" t="str">
        <f>IF($A330&lt;&gt;0,VLOOKUP($A330,'0.Productos'!$A$3:$GG$587,'0.Productos'!CC$1+1,0),"")</f>
        <v/>
      </c>
      <c r="AL330" s="133" t="str">
        <f>IF($A330&lt;&gt;0,VLOOKUP($A330,'0.Productos'!$A$3:$GG$587,'0.Productos'!CD$1+1,0),"")</f>
        <v/>
      </c>
      <c r="AM330" s="133" t="str">
        <f>IF($A330&lt;&gt;0,VLOOKUP($A330,'0.Productos'!$A$3:$GG$587,'0.Productos'!CE$1+1,0),"")</f>
        <v/>
      </c>
      <c r="AN330" s="133" t="str">
        <f>IF($A330&lt;&gt;0,VLOOKUP($A330,'0.Productos'!$A$3:$GG$587,'0.Productos'!CF$1+1,0),"")</f>
        <v/>
      </c>
      <c r="AO330" s="133" t="str">
        <f>IF($A330&lt;&gt;0,VLOOKUP($A330,'0.Productos'!$A$3:$GG$587,'0.Productos'!CG$1+1,0),"")</f>
        <v/>
      </c>
      <c r="AP330" s="133" t="str">
        <f>IF($A330&lt;&gt;0,VLOOKUP($A330,'0.Productos'!$A$3:$GG$587,'0.Productos'!CH$1+1,0),"")</f>
        <v/>
      </c>
      <c r="AQ330" s="133" t="str">
        <f>IF($A330&lt;&gt;0,VLOOKUP($A330,'0.Productos'!$A$3:$GG$587,'0.Productos'!CI$1+1,0),"")</f>
        <v/>
      </c>
      <c r="AR330" s="133" t="str">
        <f>IF($A330&lt;&gt;0,VLOOKUP($A330,'0.Productos'!$A$3:$GG$587,'0.Productos'!CJ$1+1,0),"")</f>
        <v/>
      </c>
      <c r="AS330" s="133" t="str">
        <f>IF($A330&lt;&gt;0,VLOOKUP($A330,'0.Productos'!$A$3:$GG$587,'0.Productos'!CK$1+1,0),"")</f>
        <v/>
      </c>
      <c r="AT330" s="133" t="str">
        <f>IF($A330&lt;&gt;0,VLOOKUP($A330,'0.Productos'!$A$3:$GG$587,'0.Productos'!CL$1+1,0),"")</f>
        <v/>
      </c>
      <c r="AU330" s="133" t="str">
        <f>IF($A330&lt;&gt;0,VLOOKUP($A330,'0.Productos'!$A$3:$GG$587,'0.Productos'!CM$1+1,0),"")</f>
        <v/>
      </c>
      <c r="AV330" s="133" t="str">
        <f>IF($A330&lt;&gt;0,VLOOKUP($A330,'0.Productos'!$A$3:$GG$587,'0.Productos'!CN$1+1,0),"")</f>
        <v/>
      </c>
      <c r="AW330" s="133" t="str">
        <f>IF($A330&lt;&gt;0,VLOOKUP($A330,'0.Productos'!$A$3:$GG$587,'0.Productos'!CO$1+1,0),"")</f>
        <v/>
      </c>
      <c r="AX330" s="133" t="str">
        <f>IF($A330&lt;&gt;0,VLOOKUP($A330,'0.Productos'!$A$3:$GG$587,'0.Productos'!CP$1+1,0),"")</f>
        <v/>
      </c>
      <c r="AY330" s="133" t="str">
        <f>IF($A330&lt;&gt;0,VLOOKUP($A330,'0.Productos'!$A$3:$GG$587,'0.Productos'!CQ$1+1,0),"")</f>
        <v/>
      </c>
      <c r="AZ330" s="133" t="str">
        <f>IF($A330&lt;&gt;0,VLOOKUP($A330,'0.Productos'!$A$3:$GG$587,'0.Productos'!CR$1+1,0),"")</f>
        <v/>
      </c>
      <c r="BA330" s="133" t="str">
        <f>IF($A330&lt;&gt;0,VLOOKUP($A330,'0.Productos'!$A$3:$GG$587,'0.Productos'!CS$1+1,0),"")</f>
        <v/>
      </c>
      <c r="BB330" s="133" t="str">
        <f>IF($A330&lt;&gt;0,VLOOKUP($A330,'0.Productos'!$A$3:$GG$587,'0.Productos'!CT$1+1,0),"")</f>
        <v/>
      </c>
      <c r="BC330" s="133" t="str">
        <f>IF($A330&lt;&gt;0,VLOOKUP($A330,'0.Productos'!$A$3:$GG$587,'0.Productos'!CU$1+1,0),"")</f>
        <v/>
      </c>
      <c r="BD330" s="133" t="str">
        <f>IF($A330&lt;&gt;0,VLOOKUP($A330,'0.Productos'!$A$3:$GG$587,'0.Productos'!CV$1+1,0),"")</f>
        <v/>
      </c>
      <c r="BE330" s="133" t="str">
        <f>IF($A330&lt;&gt;0,VLOOKUP($A330,'0.Productos'!$A$3:$GG$587,'0.Productos'!CW$1+1,0),"")</f>
        <v/>
      </c>
      <c r="BF330" s="133" t="str">
        <f>IF($A330&lt;&gt;0,VLOOKUP($A330,'0.Productos'!$A$3:$GG$587,'0.Productos'!CX$1+1,0),"")</f>
        <v/>
      </c>
      <c r="BG330" s="133" t="str">
        <f>IF($A330&lt;&gt;0,VLOOKUP($A330,'0.Productos'!$A$3:$GG$587,'0.Productos'!CY$1+1,0),"")</f>
        <v/>
      </c>
      <c r="BH330" s="133" t="str">
        <f>IF($A330&lt;&gt;0,VLOOKUP($A330,'0.Productos'!$A$3:$GG$587,'0.Productos'!CZ$1+1,0),"")</f>
        <v/>
      </c>
      <c r="BI330" s="133" t="str">
        <f>IF($A330&lt;&gt;0,VLOOKUP($A330,'0.Productos'!$A$3:$GG$587,'0.Productos'!DA$1+1,0),"")</f>
        <v/>
      </c>
      <c r="BJ330" s="133" t="str">
        <f>IF($A330&lt;&gt;0,VLOOKUP($A330,'0.Productos'!$A$3:$GG$587,'0.Productos'!DB$1+1,0),"")</f>
        <v/>
      </c>
      <c r="BK330" s="133" t="str">
        <f>IF($A330&lt;&gt;0,VLOOKUP($A330,'0.Productos'!$A$3:$GG$587,'0.Productos'!DC$1+1,0),"")</f>
        <v/>
      </c>
      <c r="BL330" s="133" t="str">
        <f>IF($A330&lt;&gt;0,VLOOKUP($A330,'0.Productos'!$A$3:$GG$587,'0.Productos'!DD$1+1,0),"")</f>
        <v/>
      </c>
      <c r="BM330" s="133" t="str">
        <f>IF($A330&lt;&gt;0,VLOOKUP($A330,'0.Productos'!$A$3:$GG$587,'0.Productos'!DE$1+1,0),"")</f>
        <v/>
      </c>
      <c r="BN330" s="133" t="str">
        <f>IF($A330&lt;&gt;0,VLOOKUP($A330,'0.Productos'!$A$3:$GG$587,'0.Productos'!DF$1+1,0),"")</f>
        <v/>
      </c>
      <c r="BO330" s="133" t="str">
        <f>IF($A330&lt;&gt;0,VLOOKUP($A330,'0.Productos'!$A$3:$GG$587,'0.Productos'!DG$1+1,0),"")</f>
        <v/>
      </c>
      <c r="BP330" s="133" t="str">
        <f>IF($A330&lt;&gt;0,VLOOKUP($A330,'0.Productos'!$A$3:$GG$587,'0.Productos'!DH$1+1,0),"")</f>
        <v/>
      </c>
      <c r="BQ330" s="133" t="str">
        <f>IF($A330&lt;&gt;0,VLOOKUP($A330,'0.Productos'!$A$3:$GG$587,'0.Productos'!DI$1+1,0),"")</f>
        <v/>
      </c>
      <c r="BR330" s="133" t="str">
        <f>IF($A330&lt;&gt;0,VLOOKUP($A330,'0.Productos'!$A$3:$GG$587,'0.Productos'!DJ$1+1,0),"")</f>
        <v/>
      </c>
      <c r="BS330" s="133" t="str">
        <f>IF($A330&lt;&gt;0,VLOOKUP($A330,'0.Productos'!$A$3:$GG$587,'0.Productos'!DK$1+1,0),"")</f>
        <v/>
      </c>
      <c r="BT330" s="133" t="str">
        <f>IF($A330&lt;&gt;0,VLOOKUP($A330,'0.Productos'!$A$3:$GG$587,'0.Productos'!DL$1+1,0),"")</f>
        <v/>
      </c>
    </row>
    <row r="331" spans="1:72" x14ac:dyDescent="0.25">
      <c r="A331" s="17">
        <f>'0.Consolidado general'!A331</f>
        <v>0</v>
      </c>
      <c r="B331" s="133" t="str">
        <f>IF($A331&lt;&gt;0,VLOOKUP($A331,'0.Productos'!$A$3:$GG$587,'0.Productos'!AT$1+1,0),"")</f>
        <v/>
      </c>
      <c r="C331" s="133" t="str">
        <f>IF($A331&lt;&gt;0,VLOOKUP($A331,'0.Productos'!$A$3:$GG$587,'0.Productos'!AU$1+1,0),"")</f>
        <v/>
      </c>
      <c r="D331" s="133" t="str">
        <f>IF($A331&lt;&gt;0,VLOOKUP($A331,'0.Productos'!$A$3:$GG$587,'0.Productos'!AV$1+1,0),"")</f>
        <v/>
      </c>
      <c r="E331" s="133" t="str">
        <f>IF($A331&lt;&gt;0,VLOOKUP($A331,'0.Productos'!$A$3:$GG$587,'0.Productos'!AW$1+1,0),"")</f>
        <v/>
      </c>
      <c r="F331" s="133" t="str">
        <f>IF($A331&lt;&gt;0,VLOOKUP($A331,'0.Productos'!$A$3:$GG$587,'0.Productos'!AX$1+1,0),"")</f>
        <v/>
      </c>
      <c r="G331" s="133" t="str">
        <f>IF($A331&lt;&gt;0,VLOOKUP($A331,'0.Productos'!$A$3:$GG$587,'0.Productos'!AY$1+1,0),"")</f>
        <v/>
      </c>
      <c r="H331" s="133" t="str">
        <f>IF($A331&lt;&gt;0,VLOOKUP($A331,'0.Productos'!$A$3:$GG$587,'0.Productos'!AZ$1+1,0),"")</f>
        <v/>
      </c>
      <c r="I331" s="133" t="str">
        <f>IF($A331&lt;&gt;0,VLOOKUP($A331,'0.Productos'!$A$3:$GG$587,'0.Productos'!BA$1+1,0),"")</f>
        <v/>
      </c>
      <c r="J331" s="133" t="str">
        <f>IF($A331&lt;&gt;0,VLOOKUP($A331,'0.Productos'!$A$3:$GG$587,'0.Productos'!BB$1+1,0),"")</f>
        <v/>
      </c>
      <c r="K331" s="133" t="str">
        <f>IF($A331&lt;&gt;0,VLOOKUP($A331,'0.Productos'!$A$3:$GG$587,'0.Productos'!BC$1+1,0),"")</f>
        <v/>
      </c>
      <c r="L331" s="133" t="str">
        <f>IF($A331&lt;&gt;0,VLOOKUP($A331,'0.Productos'!$A$3:$GG$587,'0.Productos'!BD$1+1,0),"")</f>
        <v/>
      </c>
      <c r="M331" s="133" t="str">
        <f>IF($A331&lt;&gt;0,VLOOKUP($A331,'0.Productos'!$A$3:$GG$587,'0.Productos'!BE$1+1,0),"")</f>
        <v/>
      </c>
      <c r="N331" s="133" t="str">
        <f>IF($A331&lt;&gt;0,VLOOKUP($A331,'0.Productos'!$A$3:$GG$587,'0.Productos'!BF$1+1,0),"")</f>
        <v/>
      </c>
      <c r="O331" s="133" t="str">
        <f>IF($A331&lt;&gt;0,VLOOKUP($A331,'0.Productos'!$A$3:$GG$587,'0.Productos'!BG$1+1,0),"")</f>
        <v/>
      </c>
      <c r="P331" s="133" t="str">
        <f>IF($A331&lt;&gt;0,VLOOKUP($A331,'0.Productos'!$A$3:$GG$587,'0.Productos'!BH$1+1,0),"")</f>
        <v/>
      </c>
      <c r="Q331" s="133" t="str">
        <f>IF($A331&lt;&gt;0,VLOOKUP($A331,'0.Productos'!$A$3:$GG$587,'0.Productos'!BI$1+1,0),"")</f>
        <v/>
      </c>
      <c r="R331" s="133" t="str">
        <f>IF($A331&lt;&gt;0,VLOOKUP($A331,'0.Productos'!$A$3:$GG$587,'0.Productos'!BJ$1+1,0),"")</f>
        <v/>
      </c>
      <c r="S331" s="133" t="str">
        <f>IF($A331&lt;&gt;0,VLOOKUP($A331,'0.Productos'!$A$3:$GG$587,'0.Productos'!BK$1+1,0),"")</f>
        <v/>
      </c>
      <c r="T331" s="133" t="str">
        <f>IF($A331&lt;&gt;0,VLOOKUP($A331,'0.Productos'!$A$3:$GG$587,'0.Productos'!BL$1+1,0),"")</f>
        <v/>
      </c>
      <c r="U331" s="133" t="str">
        <f>IF($A331&lt;&gt;0,VLOOKUP($A331,'0.Productos'!$A$3:$GG$587,'0.Productos'!BM$1+1,0),"")</f>
        <v/>
      </c>
      <c r="V331" s="133" t="str">
        <f>IF($A331&lt;&gt;0,VLOOKUP($A331,'0.Productos'!$A$3:$GG$587,'0.Productos'!BN$1+1,0),"")</f>
        <v/>
      </c>
      <c r="W331" s="133" t="str">
        <f>IF($A331&lt;&gt;0,VLOOKUP($A331,'0.Productos'!$A$3:$GG$587,'0.Productos'!BO$1+1,0),"")</f>
        <v/>
      </c>
      <c r="X331" s="133" t="str">
        <f>IF($A331&lt;&gt;0,VLOOKUP($A331,'0.Productos'!$A$3:$GG$587,'0.Productos'!BP$1+1,0),"")</f>
        <v/>
      </c>
      <c r="Y331" s="133" t="str">
        <f>IF($A331&lt;&gt;0,VLOOKUP($A331,'0.Productos'!$A$3:$GG$587,'0.Productos'!BQ$1+1,0),"")</f>
        <v/>
      </c>
      <c r="Z331" s="133" t="str">
        <f>IF($A331&lt;&gt;0,VLOOKUP($A331,'0.Productos'!$A$3:$GG$587,'0.Productos'!BR$1+1,0),"")</f>
        <v/>
      </c>
      <c r="AA331" s="133" t="str">
        <f>IF($A331&lt;&gt;0,VLOOKUP($A331,'0.Productos'!$A$3:$GG$587,'0.Productos'!BS$1+1,0),"")</f>
        <v/>
      </c>
      <c r="AB331" s="133" t="str">
        <f>IF($A331&lt;&gt;0,VLOOKUP($A331,'0.Productos'!$A$3:$GG$587,'0.Productos'!BT$1+1,0),"")</f>
        <v/>
      </c>
      <c r="AC331" s="133" t="str">
        <f>IF($A331&lt;&gt;0,VLOOKUP($A331,'0.Productos'!$A$3:$GG$587,'0.Productos'!BU$1+1,0),"")</f>
        <v/>
      </c>
      <c r="AD331" s="133" t="str">
        <f>IF($A331&lt;&gt;0,VLOOKUP($A331,'0.Productos'!$A$3:$GG$587,'0.Productos'!BV$1+1,0),"")</f>
        <v/>
      </c>
      <c r="AE331" s="133" t="str">
        <f>IF($A331&lt;&gt;0,VLOOKUP($A331,'0.Productos'!$A$3:$GG$587,'0.Productos'!BW$1+1,0),"")</f>
        <v/>
      </c>
      <c r="AF331" s="133" t="str">
        <f>IF($A331&lt;&gt;0,VLOOKUP($A331,'0.Productos'!$A$3:$GG$587,'0.Productos'!BX$1+1,0),"")</f>
        <v/>
      </c>
      <c r="AG331" s="133" t="str">
        <f>IF($A331&lt;&gt;0,VLOOKUP($A331,'0.Productos'!$A$3:$GG$587,'0.Productos'!BY$1+1,0),"")</f>
        <v/>
      </c>
      <c r="AH331" s="133" t="str">
        <f>IF($A331&lt;&gt;0,VLOOKUP($A331,'0.Productos'!$A$3:$GG$587,'0.Productos'!BZ$1+1,0),"")</f>
        <v/>
      </c>
      <c r="AI331" s="133" t="str">
        <f>IF($A331&lt;&gt;0,VLOOKUP($A331,'0.Productos'!$A$3:$GG$587,'0.Productos'!CA$1+1,0),"")</f>
        <v/>
      </c>
      <c r="AJ331" s="133" t="str">
        <f>IF($A331&lt;&gt;0,VLOOKUP($A331,'0.Productos'!$A$3:$GG$587,'0.Productos'!CB$1+1,0),"")</f>
        <v/>
      </c>
      <c r="AK331" s="133" t="str">
        <f>IF($A331&lt;&gt;0,VLOOKUP($A331,'0.Productos'!$A$3:$GG$587,'0.Productos'!CC$1+1,0),"")</f>
        <v/>
      </c>
      <c r="AL331" s="133" t="str">
        <f>IF($A331&lt;&gt;0,VLOOKUP($A331,'0.Productos'!$A$3:$GG$587,'0.Productos'!CD$1+1,0),"")</f>
        <v/>
      </c>
      <c r="AM331" s="133" t="str">
        <f>IF($A331&lt;&gt;0,VLOOKUP($A331,'0.Productos'!$A$3:$GG$587,'0.Productos'!CE$1+1,0),"")</f>
        <v/>
      </c>
      <c r="AN331" s="133" t="str">
        <f>IF($A331&lt;&gt;0,VLOOKUP($A331,'0.Productos'!$A$3:$GG$587,'0.Productos'!CF$1+1,0),"")</f>
        <v/>
      </c>
      <c r="AO331" s="133" t="str">
        <f>IF($A331&lt;&gt;0,VLOOKUP($A331,'0.Productos'!$A$3:$GG$587,'0.Productos'!CG$1+1,0),"")</f>
        <v/>
      </c>
      <c r="AP331" s="133" t="str">
        <f>IF($A331&lt;&gt;0,VLOOKUP($A331,'0.Productos'!$A$3:$GG$587,'0.Productos'!CH$1+1,0),"")</f>
        <v/>
      </c>
      <c r="AQ331" s="133" t="str">
        <f>IF($A331&lt;&gt;0,VLOOKUP($A331,'0.Productos'!$A$3:$GG$587,'0.Productos'!CI$1+1,0),"")</f>
        <v/>
      </c>
      <c r="AR331" s="133" t="str">
        <f>IF($A331&lt;&gt;0,VLOOKUP($A331,'0.Productos'!$A$3:$GG$587,'0.Productos'!CJ$1+1,0),"")</f>
        <v/>
      </c>
      <c r="AS331" s="133" t="str">
        <f>IF($A331&lt;&gt;0,VLOOKUP($A331,'0.Productos'!$A$3:$GG$587,'0.Productos'!CK$1+1,0),"")</f>
        <v/>
      </c>
      <c r="AT331" s="133" t="str">
        <f>IF($A331&lt;&gt;0,VLOOKUP($A331,'0.Productos'!$A$3:$GG$587,'0.Productos'!CL$1+1,0),"")</f>
        <v/>
      </c>
      <c r="AU331" s="133" t="str">
        <f>IF($A331&lt;&gt;0,VLOOKUP($A331,'0.Productos'!$A$3:$GG$587,'0.Productos'!CM$1+1,0),"")</f>
        <v/>
      </c>
      <c r="AV331" s="133" t="str">
        <f>IF($A331&lt;&gt;0,VLOOKUP($A331,'0.Productos'!$A$3:$GG$587,'0.Productos'!CN$1+1,0),"")</f>
        <v/>
      </c>
      <c r="AW331" s="133" t="str">
        <f>IF($A331&lt;&gt;0,VLOOKUP($A331,'0.Productos'!$A$3:$GG$587,'0.Productos'!CO$1+1,0),"")</f>
        <v/>
      </c>
      <c r="AX331" s="133" t="str">
        <f>IF($A331&lt;&gt;0,VLOOKUP($A331,'0.Productos'!$A$3:$GG$587,'0.Productos'!CP$1+1,0),"")</f>
        <v/>
      </c>
      <c r="AY331" s="133" t="str">
        <f>IF($A331&lt;&gt;0,VLOOKUP($A331,'0.Productos'!$A$3:$GG$587,'0.Productos'!CQ$1+1,0),"")</f>
        <v/>
      </c>
      <c r="AZ331" s="133" t="str">
        <f>IF($A331&lt;&gt;0,VLOOKUP($A331,'0.Productos'!$A$3:$GG$587,'0.Productos'!CR$1+1,0),"")</f>
        <v/>
      </c>
      <c r="BA331" s="133" t="str">
        <f>IF($A331&lt;&gt;0,VLOOKUP($A331,'0.Productos'!$A$3:$GG$587,'0.Productos'!CS$1+1,0),"")</f>
        <v/>
      </c>
      <c r="BB331" s="133" t="str">
        <f>IF($A331&lt;&gt;0,VLOOKUP($A331,'0.Productos'!$A$3:$GG$587,'0.Productos'!CT$1+1,0),"")</f>
        <v/>
      </c>
      <c r="BC331" s="133" t="str">
        <f>IF($A331&lt;&gt;0,VLOOKUP($A331,'0.Productos'!$A$3:$GG$587,'0.Productos'!CU$1+1,0),"")</f>
        <v/>
      </c>
      <c r="BD331" s="133" t="str">
        <f>IF($A331&lt;&gt;0,VLOOKUP($A331,'0.Productos'!$A$3:$GG$587,'0.Productos'!CV$1+1,0),"")</f>
        <v/>
      </c>
      <c r="BE331" s="133" t="str">
        <f>IF($A331&lt;&gt;0,VLOOKUP($A331,'0.Productos'!$A$3:$GG$587,'0.Productos'!CW$1+1,0),"")</f>
        <v/>
      </c>
      <c r="BF331" s="133" t="str">
        <f>IF($A331&lt;&gt;0,VLOOKUP($A331,'0.Productos'!$A$3:$GG$587,'0.Productos'!CX$1+1,0),"")</f>
        <v/>
      </c>
      <c r="BG331" s="133" t="str">
        <f>IF($A331&lt;&gt;0,VLOOKUP($A331,'0.Productos'!$A$3:$GG$587,'0.Productos'!CY$1+1,0),"")</f>
        <v/>
      </c>
      <c r="BH331" s="133" t="str">
        <f>IF($A331&lt;&gt;0,VLOOKUP($A331,'0.Productos'!$A$3:$GG$587,'0.Productos'!CZ$1+1,0),"")</f>
        <v/>
      </c>
      <c r="BI331" s="133" t="str">
        <f>IF($A331&lt;&gt;0,VLOOKUP($A331,'0.Productos'!$A$3:$GG$587,'0.Productos'!DA$1+1,0),"")</f>
        <v/>
      </c>
      <c r="BJ331" s="133" t="str">
        <f>IF($A331&lt;&gt;0,VLOOKUP($A331,'0.Productos'!$A$3:$GG$587,'0.Productos'!DB$1+1,0),"")</f>
        <v/>
      </c>
      <c r="BK331" s="133" t="str">
        <f>IF($A331&lt;&gt;0,VLOOKUP($A331,'0.Productos'!$A$3:$GG$587,'0.Productos'!DC$1+1,0),"")</f>
        <v/>
      </c>
      <c r="BL331" s="133" t="str">
        <f>IF($A331&lt;&gt;0,VLOOKUP($A331,'0.Productos'!$A$3:$GG$587,'0.Productos'!DD$1+1,0),"")</f>
        <v/>
      </c>
      <c r="BM331" s="133" t="str">
        <f>IF($A331&lt;&gt;0,VLOOKUP($A331,'0.Productos'!$A$3:$GG$587,'0.Productos'!DE$1+1,0),"")</f>
        <v/>
      </c>
      <c r="BN331" s="133" t="str">
        <f>IF($A331&lt;&gt;0,VLOOKUP($A331,'0.Productos'!$A$3:$GG$587,'0.Productos'!DF$1+1,0),"")</f>
        <v/>
      </c>
      <c r="BO331" s="133" t="str">
        <f>IF($A331&lt;&gt;0,VLOOKUP($A331,'0.Productos'!$A$3:$GG$587,'0.Productos'!DG$1+1,0),"")</f>
        <v/>
      </c>
      <c r="BP331" s="133" t="str">
        <f>IF($A331&lt;&gt;0,VLOOKUP($A331,'0.Productos'!$A$3:$GG$587,'0.Productos'!DH$1+1,0),"")</f>
        <v/>
      </c>
      <c r="BQ331" s="133" t="str">
        <f>IF($A331&lt;&gt;0,VLOOKUP($A331,'0.Productos'!$A$3:$GG$587,'0.Productos'!DI$1+1,0),"")</f>
        <v/>
      </c>
      <c r="BR331" s="133" t="str">
        <f>IF($A331&lt;&gt;0,VLOOKUP($A331,'0.Productos'!$A$3:$GG$587,'0.Productos'!DJ$1+1,0),"")</f>
        <v/>
      </c>
      <c r="BS331" s="133" t="str">
        <f>IF($A331&lt;&gt;0,VLOOKUP($A331,'0.Productos'!$A$3:$GG$587,'0.Productos'!DK$1+1,0),"")</f>
        <v/>
      </c>
      <c r="BT331" s="133" t="str">
        <f>IF($A331&lt;&gt;0,VLOOKUP($A331,'0.Productos'!$A$3:$GG$587,'0.Productos'!DL$1+1,0),"")</f>
        <v/>
      </c>
    </row>
    <row r="332" spans="1:72" x14ac:dyDescent="0.25">
      <c r="A332" s="17">
        <f>'0.Consolidado general'!A332</f>
        <v>0</v>
      </c>
      <c r="B332" s="133" t="str">
        <f>IF($A332&lt;&gt;0,VLOOKUP($A332,'0.Productos'!$A$3:$GG$587,'0.Productos'!AT$1+1,0),"")</f>
        <v/>
      </c>
      <c r="C332" s="133" t="str">
        <f>IF($A332&lt;&gt;0,VLOOKUP($A332,'0.Productos'!$A$3:$GG$587,'0.Productos'!AU$1+1,0),"")</f>
        <v/>
      </c>
      <c r="D332" s="133" t="str">
        <f>IF($A332&lt;&gt;0,VLOOKUP($A332,'0.Productos'!$A$3:$GG$587,'0.Productos'!AV$1+1,0),"")</f>
        <v/>
      </c>
      <c r="E332" s="133" t="str">
        <f>IF($A332&lt;&gt;0,VLOOKUP($A332,'0.Productos'!$A$3:$GG$587,'0.Productos'!AW$1+1,0),"")</f>
        <v/>
      </c>
      <c r="F332" s="133" t="str">
        <f>IF($A332&lt;&gt;0,VLOOKUP($A332,'0.Productos'!$A$3:$GG$587,'0.Productos'!AX$1+1,0),"")</f>
        <v/>
      </c>
      <c r="G332" s="133" t="str">
        <f>IF($A332&lt;&gt;0,VLOOKUP($A332,'0.Productos'!$A$3:$GG$587,'0.Productos'!AY$1+1,0),"")</f>
        <v/>
      </c>
      <c r="H332" s="133" t="str">
        <f>IF($A332&lt;&gt;0,VLOOKUP($A332,'0.Productos'!$A$3:$GG$587,'0.Productos'!AZ$1+1,0),"")</f>
        <v/>
      </c>
      <c r="I332" s="133" t="str">
        <f>IF($A332&lt;&gt;0,VLOOKUP($A332,'0.Productos'!$A$3:$GG$587,'0.Productos'!BA$1+1,0),"")</f>
        <v/>
      </c>
      <c r="J332" s="133" t="str">
        <f>IF($A332&lt;&gt;0,VLOOKUP($A332,'0.Productos'!$A$3:$GG$587,'0.Productos'!BB$1+1,0),"")</f>
        <v/>
      </c>
      <c r="K332" s="133" t="str">
        <f>IF($A332&lt;&gt;0,VLOOKUP($A332,'0.Productos'!$A$3:$GG$587,'0.Productos'!BC$1+1,0),"")</f>
        <v/>
      </c>
      <c r="L332" s="133" t="str">
        <f>IF($A332&lt;&gt;0,VLOOKUP($A332,'0.Productos'!$A$3:$GG$587,'0.Productos'!BD$1+1,0),"")</f>
        <v/>
      </c>
      <c r="M332" s="133" t="str">
        <f>IF($A332&lt;&gt;0,VLOOKUP($A332,'0.Productos'!$A$3:$GG$587,'0.Productos'!BE$1+1,0),"")</f>
        <v/>
      </c>
      <c r="N332" s="133" t="str">
        <f>IF($A332&lt;&gt;0,VLOOKUP($A332,'0.Productos'!$A$3:$GG$587,'0.Productos'!BF$1+1,0),"")</f>
        <v/>
      </c>
      <c r="O332" s="133" t="str">
        <f>IF($A332&lt;&gt;0,VLOOKUP($A332,'0.Productos'!$A$3:$GG$587,'0.Productos'!BG$1+1,0),"")</f>
        <v/>
      </c>
      <c r="P332" s="133" t="str">
        <f>IF($A332&lt;&gt;0,VLOOKUP($A332,'0.Productos'!$A$3:$GG$587,'0.Productos'!BH$1+1,0),"")</f>
        <v/>
      </c>
      <c r="Q332" s="133" t="str">
        <f>IF($A332&lt;&gt;0,VLOOKUP($A332,'0.Productos'!$A$3:$GG$587,'0.Productos'!BI$1+1,0),"")</f>
        <v/>
      </c>
      <c r="R332" s="133" t="str">
        <f>IF($A332&lt;&gt;0,VLOOKUP($A332,'0.Productos'!$A$3:$GG$587,'0.Productos'!BJ$1+1,0),"")</f>
        <v/>
      </c>
      <c r="S332" s="133" t="str">
        <f>IF($A332&lt;&gt;0,VLOOKUP($A332,'0.Productos'!$A$3:$GG$587,'0.Productos'!BK$1+1,0),"")</f>
        <v/>
      </c>
      <c r="T332" s="133" t="str">
        <f>IF($A332&lt;&gt;0,VLOOKUP($A332,'0.Productos'!$A$3:$GG$587,'0.Productos'!BL$1+1,0),"")</f>
        <v/>
      </c>
      <c r="U332" s="133" t="str">
        <f>IF($A332&lt;&gt;0,VLOOKUP($A332,'0.Productos'!$A$3:$GG$587,'0.Productos'!BM$1+1,0),"")</f>
        <v/>
      </c>
      <c r="V332" s="133" t="str">
        <f>IF($A332&lt;&gt;0,VLOOKUP($A332,'0.Productos'!$A$3:$GG$587,'0.Productos'!BN$1+1,0),"")</f>
        <v/>
      </c>
      <c r="W332" s="133" t="str">
        <f>IF($A332&lt;&gt;0,VLOOKUP($A332,'0.Productos'!$A$3:$GG$587,'0.Productos'!BO$1+1,0),"")</f>
        <v/>
      </c>
      <c r="X332" s="133" t="str">
        <f>IF($A332&lt;&gt;0,VLOOKUP($A332,'0.Productos'!$A$3:$GG$587,'0.Productos'!BP$1+1,0),"")</f>
        <v/>
      </c>
      <c r="Y332" s="133" t="str">
        <f>IF($A332&lt;&gt;0,VLOOKUP($A332,'0.Productos'!$A$3:$GG$587,'0.Productos'!BQ$1+1,0),"")</f>
        <v/>
      </c>
      <c r="Z332" s="133" t="str">
        <f>IF($A332&lt;&gt;0,VLOOKUP($A332,'0.Productos'!$A$3:$GG$587,'0.Productos'!BR$1+1,0),"")</f>
        <v/>
      </c>
      <c r="AA332" s="133" t="str">
        <f>IF($A332&lt;&gt;0,VLOOKUP($A332,'0.Productos'!$A$3:$GG$587,'0.Productos'!BS$1+1,0),"")</f>
        <v/>
      </c>
      <c r="AB332" s="133" t="str">
        <f>IF($A332&lt;&gt;0,VLOOKUP($A332,'0.Productos'!$A$3:$GG$587,'0.Productos'!BT$1+1,0),"")</f>
        <v/>
      </c>
      <c r="AC332" s="133" t="str">
        <f>IF($A332&lt;&gt;0,VLOOKUP($A332,'0.Productos'!$A$3:$GG$587,'0.Productos'!BU$1+1,0),"")</f>
        <v/>
      </c>
      <c r="AD332" s="133" t="str">
        <f>IF($A332&lt;&gt;0,VLOOKUP($A332,'0.Productos'!$A$3:$GG$587,'0.Productos'!BV$1+1,0),"")</f>
        <v/>
      </c>
      <c r="AE332" s="133" t="str">
        <f>IF($A332&lt;&gt;0,VLOOKUP($A332,'0.Productos'!$A$3:$GG$587,'0.Productos'!BW$1+1,0),"")</f>
        <v/>
      </c>
      <c r="AF332" s="133" t="str">
        <f>IF($A332&lt;&gt;0,VLOOKUP($A332,'0.Productos'!$A$3:$GG$587,'0.Productos'!BX$1+1,0),"")</f>
        <v/>
      </c>
      <c r="AG332" s="133" t="str">
        <f>IF($A332&lt;&gt;0,VLOOKUP($A332,'0.Productos'!$A$3:$GG$587,'0.Productos'!BY$1+1,0),"")</f>
        <v/>
      </c>
      <c r="AH332" s="133" t="str">
        <f>IF($A332&lt;&gt;0,VLOOKUP($A332,'0.Productos'!$A$3:$GG$587,'0.Productos'!BZ$1+1,0),"")</f>
        <v/>
      </c>
      <c r="AI332" s="133" t="str">
        <f>IF($A332&lt;&gt;0,VLOOKUP($A332,'0.Productos'!$A$3:$GG$587,'0.Productos'!CA$1+1,0),"")</f>
        <v/>
      </c>
      <c r="AJ332" s="133" t="str">
        <f>IF($A332&lt;&gt;0,VLOOKUP($A332,'0.Productos'!$A$3:$GG$587,'0.Productos'!CB$1+1,0),"")</f>
        <v/>
      </c>
      <c r="AK332" s="133" t="str">
        <f>IF($A332&lt;&gt;0,VLOOKUP($A332,'0.Productos'!$A$3:$GG$587,'0.Productos'!CC$1+1,0),"")</f>
        <v/>
      </c>
      <c r="AL332" s="133" t="str">
        <f>IF($A332&lt;&gt;0,VLOOKUP($A332,'0.Productos'!$A$3:$GG$587,'0.Productos'!CD$1+1,0),"")</f>
        <v/>
      </c>
      <c r="AM332" s="133" t="str">
        <f>IF($A332&lt;&gt;0,VLOOKUP($A332,'0.Productos'!$A$3:$GG$587,'0.Productos'!CE$1+1,0),"")</f>
        <v/>
      </c>
      <c r="AN332" s="133" t="str">
        <f>IF($A332&lt;&gt;0,VLOOKUP($A332,'0.Productos'!$A$3:$GG$587,'0.Productos'!CF$1+1,0),"")</f>
        <v/>
      </c>
      <c r="AO332" s="133" t="str">
        <f>IF($A332&lt;&gt;0,VLOOKUP($A332,'0.Productos'!$A$3:$GG$587,'0.Productos'!CG$1+1,0),"")</f>
        <v/>
      </c>
      <c r="AP332" s="133" t="str">
        <f>IF($A332&lt;&gt;0,VLOOKUP($A332,'0.Productos'!$A$3:$GG$587,'0.Productos'!CH$1+1,0),"")</f>
        <v/>
      </c>
      <c r="AQ332" s="133" t="str">
        <f>IF($A332&lt;&gt;0,VLOOKUP($A332,'0.Productos'!$A$3:$GG$587,'0.Productos'!CI$1+1,0),"")</f>
        <v/>
      </c>
      <c r="AR332" s="133" t="str">
        <f>IF($A332&lt;&gt;0,VLOOKUP($A332,'0.Productos'!$A$3:$GG$587,'0.Productos'!CJ$1+1,0),"")</f>
        <v/>
      </c>
      <c r="AS332" s="133" t="str">
        <f>IF($A332&lt;&gt;0,VLOOKUP($A332,'0.Productos'!$A$3:$GG$587,'0.Productos'!CK$1+1,0),"")</f>
        <v/>
      </c>
      <c r="AT332" s="133" t="str">
        <f>IF($A332&lt;&gt;0,VLOOKUP($A332,'0.Productos'!$A$3:$GG$587,'0.Productos'!CL$1+1,0),"")</f>
        <v/>
      </c>
      <c r="AU332" s="133" t="str">
        <f>IF($A332&lt;&gt;0,VLOOKUP($A332,'0.Productos'!$A$3:$GG$587,'0.Productos'!CM$1+1,0),"")</f>
        <v/>
      </c>
      <c r="AV332" s="133" t="str">
        <f>IF($A332&lt;&gt;0,VLOOKUP($A332,'0.Productos'!$A$3:$GG$587,'0.Productos'!CN$1+1,0),"")</f>
        <v/>
      </c>
      <c r="AW332" s="133" t="str">
        <f>IF($A332&lt;&gt;0,VLOOKUP($A332,'0.Productos'!$A$3:$GG$587,'0.Productos'!CO$1+1,0),"")</f>
        <v/>
      </c>
      <c r="AX332" s="133" t="str">
        <f>IF($A332&lt;&gt;0,VLOOKUP($A332,'0.Productos'!$A$3:$GG$587,'0.Productos'!CP$1+1,0),"")</f>
        <v/>
      </c>
      <c r="AY332" s="133" t="str">
        <f>IF($A332&lt;&gt;0,VLOOKUP($A332,'0.Productos'!$A$3:$GG$587,'0.Productos'!CQ$1+1,0),"")</f>
        <v/>
      </c>
      <c r="AZ332" s="133" t="str">
        <f>IF($A332&lt;&gt;0,VLOOKUP($A332,'0.Productos'!$A$3:$GG$587,'0.Productos'!CR$1+1,0),"")</f>
        <v/>
      </c>
      <c r="BA332" s="133" t="str">
        <f>IF($A332&lt;&gt;0,VLOOKUP($A332,'0.Productos'!$A$3:$GG$587,'0.Productos'!CS$1+1,0),"")</f>
        <v/>
      </c>
      <c r="BB332" s="133" t="str">
        <f>IF($A332&lt;&gt;0,VLOOKUP($A332,'0.Productos'!$A$3:$GG$587,'0.Productos'!CT$1+1,0),"")</f>
        <v/>
      </c>
      <c r="BC332" s="133" t="str">
        <f>IF($A332&lt;&gt;0,VLOOKUP($A332,'0.Productos'!$A$3:$GG$587,'0.Productos'!CU$1+1,0),"")</f>
        <v/>
      </c>
      <c r="BD332" s="133" t="str">
        <f>IF($A332&lt;&gt;0,VLOOKUP($A332,'0.Productos'!$A$3:$GG$587,'0.Productos'!CV$1+1,0),"")</f>
        <v/>
      </c>
      <c r="BE332" s="133" t="str">
        <f>IF($A332&lt;&gt;0,VLOOKUP($A332,'0.Productos'!$A$3:$GG$587,'0.Productos'!CW$1+1,0),"")</f>
        <v/>
      </c>
      <c r="BF332" s="133" t="str">
        <f>IF($A332&lt;&gt;0,VLOOKUP($A332,'0.Productos'!$A$3:$GG$587,'0.Productos'!CX$1+1,0),"")</f>
        <v/>
      </c>
      <c r="BG332" s="133" t="str">
        <f>IF($A332&lt;&gt;0,VLOOKUP($A332,'0.Productos'!$A$3:$GG$587,'0.Productos'!CY$1+1,0),"")</f>
        <v/>
      </c>
      <c r="BH332" s="133" t="str">
        <f>IF($A332&lt;&gt;0,VLOOKUP($A332,'0.Productos'!$A$3:$GG$587,'0.Productos'!CZ$1+1,0),"")</f>
        <v/>
      </c>
      <c r="BI332" s="133" t="str">
        <f>IF($A332&lt;&gt;0,VLOOKUP($A332,'0.Productos'!$A$3:$GG$587,'0.Productos'!DA$1+1,0),"")</f>
        <v/>
      </c>
      <c r="BJ332" s="133" t="str">
        <f>IF($A332&lt;&gt;0,VLOOKUP($A332,'0.Productos'!$A$3:$GG$587,'0.Productos'!DB$1+1,0),"")</f>
        <v/>
      </c>
      <c r="BK332" s="133" t="str">
        <f>IF($A332&lt;&gt;0,VLOOKUP($A332,'0.Productos'!$A$3:$GG$587,'0.Productos'!DC$1+1,0),"")</f>
        <v/>
      </c>
      <c r="BL332" s="133" t="str">
        <f>IF($A332&lt;&gt;0,VLOOKUP($A332,'0.Productos'!$A$3:$GG$587,'0.Productos'!DD$1+1,0),"")</f>
        <v/>
      </c>
      <c r="BM332" s="133" t="str">
        <f>IF($A332&lt;&gt;0,VLOOKUP($A332,'0.Productos'!$A$3:$GG$587,'0.Productos'!DE$1+1,0),"")</f>
        <v/>
      </c>
      <c r="BN332" s="133" t="str">
        <f>IF($A332&lt;&gt;0,VLOOKUP($A332,'0.Productos'!$A$3:$GG$587,'0.Productos'!DF$1+1,0),"")</f>
        <v/>
      </c>
      <c r="BO332" s="133" t="str">
        <f>IF($A332&lt;&gt;0,VLOOKUP($A332,'0.Productos'!$A$3:$GG$587,'0.Productos'!DG$1+1,0),"")</f>
        <v/>
      </c>
      <c r="BP332" s="133" t="str">
        <f>IF($A332&lt;&gt;0,VLOOKUP($A332,'0.Productos'!$A$3:$GG$587,'0.Productos'!DH$1+1,0),"")</f>
        <v/>
      </c>
      <c r="BQ332" s="133" t="str">
        <f>IF($A332&lt;&gt;0,VLOOKUP($A332,'0.Productos'!$A$3:$GG$587,'0.Productos'!DI$1+1,0),"")</f>
        <v/>
      </c>
      <c r="BR332" s="133" t="str">
        <f>IF($A332&lt;&gt;0,VLOOKUP($A332,'0.Productos'!$A$3:$GG$587,'0.Productos'!DJ$1+1,0),"")</f>
        <v/>
      </c>
      <c r="BS332" s="133" t="str">
        <f>IF($A332&lt;&gt;0,VLOOKUP($A332,'0.Productos'!$A$3:$GG$587,'0.Productos'!DK$1+1,0),"")</f>
        <v/>
      </c>
      <c r="BT332" s="133" t="str">
        <f>IF($A332&lt;&gt;0,VLOOKUP($A332,'0.Productos'!$A$3:$GG$587,'0.Productos'!DL$1+1,0),"")</f>
        <v/>
      </c>
    </row>
    <row r="333" spans="1:72" x14ac:dyDescent="0.25">
      <c r="A333" s="17">
        <f>'0.Consolidado general'!A333</f>
        <v>0</v>
      </c>
      <c r="B333" s="133" t="str">
        <f>IF($A333&lt;&gt;0,VLOOKUP($A333,'0.Productos'!$A$3:$GG$587,'0.Productos'!AT$1+1,0),"")</f>
        <v/>
      </c>
      <c r="C333" s="133" t="str">
        <f>IF($A333&lt;&gt;0,VLOOKUP($A333,'0.Productos'!$A$3:$GG$587,'0.Productos'!AU$1+1,0),"")</f>
        <v/>
      </c>
      <c r="D333" s="133" t="str">
        <f>IF($A333&lt;&gt;0,VLOOKUP($A333,'0.Productos'!$A$3:$GG$587,'0.Productos'!AV$1+1,0),"")</f>
        <v/>
      </c>
      <c r="E333" s="133" t="str">
        <f>IF($A333&lt;&gt;0,VLOOKUP($A333,'0.Productos'!$A$3:$GG$587,'0.Productos'!AW$1+1,0),"")</f>
        <v/>
      </c>
      <c r="F333" s="133" t="str">
        <f>IF($A333&lt;&gt;0,VLOOKUP($A333,'0.Productos'!$A$3:$GG$587,'0.Productos'!AX$1+1,0),"")</f>
        <v/>
      </c>
      <c r="G333" s="133" t="str">
        <f>IF($A333&lt;&gt;0,VLOOKUP($A333,'0.Productos'!$A$3:$GG$587,'0.Productos'!AY$1+1,0),"")</f>
        <v/>
      </c>
      <c r="H333" s="133" t="str">
        <f>IF($A333&lt;&gt;0,VLOOKUP($A333,'0.Productos'!$A$3:$GG$587,'0.Productos'!AZ$1+1,0),"")</f>
        <v/>
      </c>
      <c r="I333" s="133" t="str">
        <f>IF($A333&lt;&gt;0,VLOOKUP($A333,'0.Productos'!$A$3:$GG$587,'0.Productos'!BA$1+1,0),"")</f>
        <v/>
      </c>
      <c r="J333" s="133" t="str">
        <f>IF($A333&lt;&gt;0,VLOOKUP($A333,'0.Productos'!$A$3:$GG$587,'0.Productos'!BB$1+1,0),"")</f>
        <v/>
      </c>
      <c r="K333" s="133" t="str">
        <f>IF($A333&lt;&gt;0,VLOOKUP($A333,'0.Productos'!$A$3:$GG$587,'0.Productos'!BC$1+1,0),"")</f>
        <v/>
      </c>
      <c r="L333" s="133" t="str">
        <f>IF($A333&lt;&gt;0,VLOOKUP($A333,'0.Productos'!$A$3:$GG$587,'0.Productos'!BD$1+1,0),"")</f>
        <v/>
      </c>
      <c r="M333" s="133" t="str">
        <f>IF($A333&lt;&gt;0,VLOOKUP($A333,'0.Productos'!$A$3:$GG$587,'0.Productos'!BE$1+1,0),"")</f>
        <v/>
      </c>
      <c r="N333" s="133" t="str">
        <f>IF($A333&lt;&gt;0,VLOOKUP($A333,'0.Productos'!$A$3:$GG$587,'0.Productos'!BF$1+1,0),"")</f>
        <v/>
      </c>
      <c r="O333" s="133" t="str">
        <f>IF($A333&lt;&gt;0,VLOOKUP($A333,'0.Productos'!$A$3:$GG$587,'0.Productos'!BG$1+1,0),"")</f>
        <v/>
      </c>
      <c r="P333" s="133" t="str">
        <f>IF($A333&lt;&gt;0,VLOOKUP($A333,'0.Productos'!$A$3:$GG$587,'0.Productos'!BH$1+1,0),"")</f>
        <v/>
      </c>
      <c r="Q333" s="133" t="str">
        <f>IF($A333&lt;&gt;0,VLOOKUP($A333,'0.Productos'!$A$3:$GG$587,'0.Productos'!BI$1+1,0),"")</f>
        <v/>
      </c>
      <c r="R333" s="133" t="str">
        <f>IF($A333&lt;&gt;0,VLOOKUP($A333,'0.Productos'!$A$3:$GG$587,'0.Productos'!BJ$1+1,0),"")</f>
        <v/>
      </c>
      <c r="S333" s="133" t="str">
        <f>IF($A333&lt;&gt;0,VLOOKUP($A333,'0.Productos'!$A$3:$GG$587,'0.Productos'!BK$1+1,0),"")</f>
        <v/>
      </c>
      <c r="T333" s="133" t="str">
        <f>IF($A333&lt;&gt;0,VLOOKUP($A333,'0.Productos'!$A$3:$GG$587,'0.Productos'!BL$1+1,0),"")</f>
        <v/>
      </c>
      <c r="U333" s="133" t="str">
        <f>IF($A333&lt;&gt;0,VLOOKUP($A333,'0.Productos'!$A$3:$GG$587,'0.Productos'!BM$1+1,0),"")</f>
        <v/>
      </c>
      <c r="V333" s="133" t="str">
        <f>IF($A333&lt;&gt;0,VLOOKUP($A333,'0.Productos'!$A$3:$GG$587,'0.Productos'!BN$1+1,0),"")</f>
        <v/>
      </c>
      <c r="W333" s="133" t="str">
        <f>IF($A333&lt;&gt;0,VLOOKUP($A333,'0.Productos'!$A$3:$GG$587,'0.Productos'!BO$1+1,0),"")</f>
        <v/>
      </c>
      <c r="X333" s="133" t="str">
        <f>IF($A333&lt;&gt;0,VLOOKUP($A333,'0.Productos'!$A$3:$GG$587,'0.Productos'!BP$1+1,0),"")</f>
        <v/>
      </c>
      <c r="Y333" s="133" t="str">
        <f>IF($A333&lt;&gt;0,VLOOKUP($A333,'0.Productos'!$A$3:$GG$587,'0.Productos'!BQ$1+1,0),"")</f>
        <v/>
      </c>
      <c r="Z333" s="133" t="str">
        <f>IF($A333&lt;&gt;0,VLOOKUP($A333,'0.Productos'!$A$3:$GG$587,'0.Productos'!BR$1+1,0),"")</f>
        <v/>
      </c>
      <c r="AA333" s="133" t="str">
        <f>IF($A333&lt;&gt;0,VLOOKUP($A333,'0.Productos'!$A$3:$GG$587,'0.Productos'!BS$1+1,0),"")</f>
        <v/>
      </c>
      <c r="AB333" s="133" t="str">
        <f>IF($A333&lt;&gt;0,VLOOKUP($A333,'0.Productos'!$A$3:$GG$587,'0.Productos'!BT$1+1,0),"")</f>
        <v/>
      </c>
      <c r="AC333" s="133" t="str">
        <f>IF($A333&lt;&gt;0,VLOOKUP($A333,'0.Productos'!$A$3:$GG$587,'0.Productos'!BU$1+1,0),"")</f>
        <v/>
      </c>
      <c r="AD333" s="133" t="str">
        <f>IF($A333&lt;&gt;0,VLOOKUP($A333,'0.Productos'!$A$3:$GG$587,'0.Productos'!BV$1+1,0),"")</f>
        <v/>
      </c>
      <c r="AE333" s="133" t="str">
        <f>IF($A333&lt;&gt;0,VLOOKUP($A333,'0.Productos'!$A$3:$GG$587,'0.Productos'!BW$1+1,0),"")</f>
        <v/>
      </c>
      <c r="AF333" s="133" t="str">
        <f>IF($A333&lt;&gt;0,VLOOKUP($A333,'0.Productos'!$A$3:$GG$587,'0.Productos'!BX$1+1,0),"")</f>
        <v/>
      </c>
      <c r="AG333" s="133" t="str">
        <f>IF($A333&lt;&gt;0,VLOOKUP($A333,'0.Productos'!$A$3:$GG$587,'0.Productos'!BY$1+1,0),"")</f>
        <v/>
      </c>
      <c r="AH333" s="133" t="str">
        <f>IF($A333&lt;&gt;0,VLOOKUP($A333,'0.Productos'!$A$3:$GG$587,'0.Productos'!BZ$1+1,0),"")</f>
        <v/>
      </c>
      <c r="AI333" s="133" t="str">
        <f>IF($A333&lt;&gt;0,VLOOKUP($A333,'0.Productos'!$A$3:$GG$587,'0.Productos'!CA$1+1,0),"")</f>
        <v/>
      </c>
      <c r="AJ333" s="133" t="str">
        <f>IF($A333&lt;&gt;0,VLOOKUP($A333,'0.Productos'!$A$3:$GG$587,'0.Productos'!CB$1+1,0),"")</f>
        <v/>
      </c>
      <c r="AK333" s="133" t="str">
        <f>IF($A333&lt;&gt;0,VLOOKUP($A333,'0.Productos'!$A$3:$GG$587,'0.Productos'!CC$1+1,0),"")</f>
        <v/>
      </c>
      <c r="AL333" s="133" t="str">
        <f>IF($A333&lt;&gt;0,VLOOKUP($A333,'0.Productos'!$A$3:$GG$587,'0.Productos'!CD$1+1,0),"")</f>
        <v/>
      </c>
      <c r="AM333" s="133" t="str">
        <f>IF($A333&lt;&gt;0,VLOOKUP($A333,'0.Productos'!$A$3:$GG$587,'0.Productos'!CE$1+1,0),"")</f>
        <v/>
      </c>
      <c r="AN333" s="133" t="str">
        <f>IF($A333&lt;&gt;0,VLOOKUP($A333,'0.Productos'!$A$3:$GG$587,'0.Productos'!CF$1+1,0),"")</f>
        <v/>
      </c>
      <c r="AO333" s="133" t="str">
        <f>IF($A333&lt;&gt;0,VLOOKUP($A333,'0.Productos'!$A$3:$GG$587,'0.Productos'!CG$1+1,0),"")</f>
        <v/>
      </c>
      <c r="AP333" s="133" t="str">
        <f>IF($A333&lt;&gt;0,VLOOKUP($A333,'0.Productos'!$A$3:$GG$587,'0.Productos'!CH$1+1,0),"")</f>
        <v/>
      </c>
      <c r="AQ333" s="133" t="str">
        <f>IF($A333&lt;&gt;0,VLOOKUP($A333,'0.Productos'!$A$3:$GG$587,'0.Productos'!CI$1+1,0),"")</f>
        <v/>
      </c>
      <c r="AR333" s="133" t="str">
        <f>IF($A333&lt;&gt;0,VLOOKUP($A333,'0.Productos'!$A$3:$GG$587,'0.Productos'!CJ$1+1,0),"")</f>
        <v/>
      </c>
      <c r="AS333" s="133" t="str">
        <f>IF($A333&lt;&gt;0,VLOOKUP($A333,'0.Productos'!$A$3:$GG$587,'0.Productos'!CK$1+1,0),"")</f>
        <v/>
      </c>
      <c r="AT333" s="133" t="str">
        <f>IF($A333&lt;&gt;0,VLOOKUP($A333,'0.Productos'!$A$3:$GG$587,'0.Productos'!CL$1+1,0),"")</f>
        <v/>
      </c>
      <c r="AU333" s="133" t="str">
        <f>IF($A333&lt;&gt;0,VLOOKUP($A333,'0.Productos'!$A$3:$GG$587,'0.Productos'!CM$1+1,0),"")</f>
        <v/>
      </c>
      <c r="AV333" s="133" t="str">
        <f>IF($A333&lt;&gt;0,VLOOKUP($A333,'0.Productos'!$A$3:$GG$587,'0.Productos'!CN$1+1,0),"")</f>
        <v/>
      </c>
      <c r="AW333" s="133" t="str">
        <f>IF($A333&lt;&gt;0,VLOOKUP($A333,'0.Productos'!$A$3:$GG$587,'0.Productos'!CO$1+1,0),"")</f>
        <v/>
      </c>
      <c r="AX333" s="133" t="str">
        <f>IF($A333&lt;&gt;0,VLOOKUP($A333,'0.Productos'!$A$3:$GG$587,'0.Productos'!CP$1+1,0),"")</f>
        <v/>
      </c>
      <c r="AY333" s="133" t="str">
        <f>IF($A333&lt;&gt;0,VLOOKUP($A333,'0.Productos'!$A$3:$GG$587,'0.Productos'!CQ$1+1,0),"")</f>
        <v/>
      </c>
      <c r="AZ333" s="133" t="str">
        <f>IF($A333&lt;&gt;0,VLOOKUP($A333,'0.Productos'!$A$3:$GG$587,'0.Productos'!CR$1+1,0),"")</f>
        <v/>
      </c>
      <c r="BA333" s="133" t="str">
        <f>IF($A333&lt;&gt;0,VLOOKUP($A333,'0.Productos'!$A$3:$GG$587,'0.Productos'!CS$1+1,0),"")</f>
        <v/>
      </c>
      <c r="BB333" s="133" t="str">
        <f>IF($A333&lt;&gt;0,VLOOKUP($A333,'0.Productos'!$A$3:$GG$587,'0.Productos'!CT$1+1,0),"")</f>
        <v/>
      </c>
      <c r="BC333" s="133" t="str">
        <f>IF($A333&lt;&gt;0,VLOOKUP($A333,'0.Productos'!$A$3:$GG$587,'0.Productos'!CU$1+1,0),"")</f>
        <v/>
      </c>
      <c r="BD333" s="133" t="str">
        <f>IF($A333&lt;&gt;0,VLOOKUP($A333,'0.Productos'!$A$3:$GG$587,'0.Productos'!CV$1+1,0),"")</f>
        <v/>
      </c>
      <c r="BE333" s="133" t="str">
        <f>IF($A333&lt;&gt;0,VLOOKUP($A333,'0.Productos'!$A$3:$GG$587,'0.Productos'!CW$1+1,0),"")</f>
        <v/>
      </c>
      <c r="BF333" s="133" t="str">
        <f>IF($A333&lt;&gt;0,VLOOKUP($A333,'0.Productos'!$A$3:$GG$587,'0.Productos'!CX$1+1,0),"")</f>
        <v/>
      </c>
      <c r="BG333" s="133" t="str">
        <f>IF($A333&lt;&gt;0,VLOOKUP($A333,'0.Productos'!$A$3:$GG$587,'0.Productos'!CY$1+1,0),"")</f>
        <v/>
      </c>
      <c r="BH333" s="133" t="str">
        <f>IF($A333&lt;&gt;0,VLOOKUP($A333,'0.Productos'!$A$3:$GG$587,'0.Productos'!CZ$1+1,0),"")</f>
        <v/>
      </c>
      <c r="BI333" s="133" t="str">
        <f>IF($A333&lt;&gt;0,VLOOKUP($A333,'0.Productos'!$A$3:$GG$587,'0.Productos'!DA$1+1,0),"")</f>
        <v/>
      </c>
      <c r="BJ333" s="133" t="str">
        <f>IF($A333&lt;&gt;0,VLOOKUP($A333,'0.Productos'!$A$3:$GG$587,'0.Productos'!DB$1+1,0),"")</f>
        <v/>
      </c>
      <c r="BK333" s="133" t="str">
        <f>IF($A333&lt;&gt;0,VLOOKUP($A333,'0.Productos'!$A$3:$GG$587,'0.Productos'!DC$1+1,0),"")</f>
        <v/>
      </c>
      <c r="BL333" s="133" t="str">
        <f>IF($A333&lt;&gt;0,VLOOKUP($A333,'0.Productos'!$A$3:$GG$587,'0.Productos'!DD$1+1,0),"")</f>
        <v/>
      </c>
      <c r="BM333" s="133" t="str">
        <f>IF($A333&lt;&gt;0,VLOOKUP($A333,'0.Productos'!$A$3:$GG$587,'0.Productos'!DE$1+1,0),"")</f>
        <v/>
      </c>
      <c r="BN333" s="133" t="str">
        <f>IF($A333&lt;&gt;0,VLOOKUP($A333,'0.Productos'!$A$3:$GG$587,'0.Productos'!DF$1+1,0),"")</f>
        <v/>
      </c>
      <c r="BO333" s="133" t="str">
        <f>IF($A333&lt;&gt;0,VLOOKUP($A333,'0.Productos'!$A$3:$GG$587,'0.Productos'!DG$1+1,0),"")</f>
        <v/>
      </c>
      <c r="BP333" s="133" t="str">
        <f>IF($A333&lt;&gt;0,VLOOKUP($A333,'0.Productos'!$A$3:$GG$587,'0.Productos'!DH$1+1,0),"")</f>
        <v/>
      </c>
      <c r="BQ333" s="133" t="str">
        <f>IF($A333&lt;&gt;0,VLOOKUP($A333,'0.Productos'!$A$3:$GG$587,'0.Productos'!DI$1+1,0),"")</f>
        <v/>
      </c>
      <c r="BR333" s="133" t="str">
        <f>IF($A333&lt;&gt;0,VLOOKUP($A333,'0.Productos'!$A$3:$GG$587,'0.Productos'!DJ$1+1,0),"")</f>
        <v/>
      </c>
      <c r="BS333" s="133" t="str">
        <f>IF($A333&lt;&gt;0,VLOOKUP($A333,'0.Productos'!$A$3:$GG$587,'0.Productos'!DK$1+1,0),"")</f>
        <v/>
      </c>
      <c r="BT333" s="133" t="str">
        <f>IF($A333&lt;&gt;0,VLOOKUP($A333,'0.Productos'!$A$3:$GG$587,'0.Productos'!DL$1+1,0),"")</f>
        <v/>
      </c>
    </row>
    <row r="334" spans="1:72" x14ac:dyDescent="0.25">
      <c r="A334" s="17">
        <f>'0.Consolidado general'!A334</f>
        <v>0</v>
      </c>
      <c r="B334" s="133" t="str">
        <f>IF($A334&lt;&gt;0,VLOOKUP($A334,'0.Productos'!$A$3:$GG$587,'0.Productos'!AT$1+1,0),"")</f>
        <v/>
      </c>
      <c r="C334" s="133" t="str">
        <f>IF($A334&lt;&gt;0,VLOOKUP($A334,'0.Productos'!$A$3:$GG$587,'0.Productos'!AU$1+1,0),"")</f>
        <v/>
      </c>
      <c r="D334" s="133" t="str">
        <f>IF($A334&lt;&gt;0,VLOOKUP($A334,'0.Productos'!$A$3:$GG$587,'0.Productos'!AV$1+1,0),"")</f>
        <v/>
      </c>
      <c r="E334" s="133" t="str">
        <f>IF($A334&lt;&gt;0,VLOOKUP($A334,'0.Productos'!$A$3:$GG$587,'0.Productos'!AW$1+1,0),"")</f>
        <v/>
      </c>
      <c r="F334" s="133" t="str">
        <f>IF($A334&lt;&gt;0,VLOOKUP($A334,'0.Productos'!$A$3:$GG$587,'0.Productos'!AX$1+1,0),"")</f>
        <v/>
      </c>
      <c r="G334" s="133" t="str">
        <f>IF($A334&lt;&gt;0,VLOOKUP($A334,'0.Productos'!$A$3:$GG$587,'0.Productos'!AY$1+1,0),"")</f>
        <v/>
      </c>
      <c r="H334" s="133" t="str">
        <f>IF($A334&lt;&gt;0,VLOOKUP($A334,'0.Productos'!$A$3:$GG$587,'0.Productos'!AZ$1+1,0),"")</f>
        <v/>
      </c>
      <c r="I334" s="133" t="str">
        <f>IF($A334&lt;&gt;0,VLOOKUP($A334,'0.Productos'!$A$3:$GG$587,'0.Productos'!BA$1+1,0),"")</f>
        <v/>
      </c>
      <c r="J334" s="133" t="str">
        <f>IF($A334&lt;&gt;0,VLOOKUP($A334,'0.Productos'!$A$3:$GG$587,'0.Productos'!BB$1+1,0),"")</f>
        <v/>
      </c>
      <c r="K334" s="133" t="str">
        <f>IF($A334&lt;&gt;0,VLOOKUP($A334,'0.Productos'!$A$3:$GG$587,'0.Productos'!BC$1+1,0),"")</f>
        <v/>
      </c>
      <c r="L334" s="133" t="str">
        <f>IF($A334&lt;&gt;0,VLOOKUP($A334,'0.Productos'!$A$3:$GG$587,'0.Productos'!BD$1+1,0),"")</f>
        <v/>
      </c>
      <c r="M334" s="133" t="str">
        <f>IF($A334&lt;&gt;0,VLOOKUP($A334,'0.Productos'!$A$3:$GG$587,'0.Productos'!BE$1+1,0),"")</f>
        <v/>
      </c>
      <c r="N334" s="133" t="str">
        <f>IF($A334&lt;&gt;0,VLOOKUP($A334,'0.Productos'!$A$3:$GG$587,'0.Productos'!BF$1+1,0),"")</f>
        <v/>
      </c>
      <c r="O334" s="133" t="str">
        <f>IF($A334&lt;&gt;0,VLOOKUP($A334,'0.Productos'!$A$3:$GG$587,'0.Productos'!BG$1+1,0),"")</f>
        <v/>
      </c>
      <c r="P334" s="133" t="str">
        <f>IF($A334&lt;&gt;0,VLOOKUP($A334,'0.Productos'!$A$3:$GG$587,'0.Productos'!BH$1+1,0),"")</f>
        <v/>
      </c>
      <c r="Q334" s="133" t="str">
        <f>IF($A334&lt;&gt;0,VLOOKUP($A334,'0.Productos'!$A$3:$GG$587,'0.Productos'!BI$1+1,0),"")</f>
        <v/>
      </c>
      <c r="R334" s="133" t="str">
        <f>IF($A334&lt;&gt;0,VLOOKUP($A334,'0.Productos'!$A$3:$GG$587,'0.Productos'!BJ$1+1,0),"")</f>
        <v/>
      </c>
      <c r="S334" s="133" t="str">
        <f>IF($A334&lt;&gt;0,VLOOKUP($A334,'0.Productos'!$A$3:$GG$587,'0.Productos'!BK$1+1,0),"")</f>
        <v/>
      </c>
      <c r="T334" s="133" t="str">
        <f>IF($A334&lt;&gt;0,VLOOKUP($A334,'0.Productos'!$A$3:$GG$587,'0.Productos'!BL$1+1,0),"")</f>
        <v/>
      </c>
      <c r="U334" s="133" t="str">
        <f>IF($A334&lt;&gt;0,VLOOKUP($A334,'0.Productos'!$A$3:$GG$587,'0.Productos'!BM$1+1,0),"")</f>
        <v/>
      </c>
      <c r="V334" s="133" t="str">
        <f>IF($A334&lt;&gt;0,VLOOKUP($A334,'0.Productos'!$A$3:$GG$587,'0.Productos'!BN$1+1,0),"")</f>
        <v/>
      </c>
      <c r="W334" s="133" t="str">
        <f>IF($A334&lt;&gt;0,VLOOKUP($A334,'0.Productos'!$A$3:$GG$587,'0.Productos'!BO$1+1,0),"")</f>
        <v/>
      </c>
      <c r="X334" s="133" t="str">
        <f>IF($A334&lt;&gt;0,VLOOKUP($A334,'0.Productos'!$A$3:$GG$587,'0.Productos'!BP$1+1,0),"")</f>
        <v/>
      </c>
      <c r="Y334" s="133" t="str">
        <f>IF($A334&lt;&gt;0,VLOOKUP($A334,'0.Productos'!$A$3:$GG$587,'0.Productos'!BQ$1+1,0),"")</f>
        <v/>
      </c>
      <c r="Z334" s="133" t="str">
        <f>IF($A334&lt;&gt;0,VLOOKUP($A334,'0.Productos'!$A$3:$GG$587,'0.Productos'!BR$1+1,0),"")</f>
        <v/>
      </c>
      <c r="AA334" s="133" t="str">
        <f>IF($A334&lt;&gt;0,VLOOKUP($A334,'0.Productos'!$A$3:$GG$587,'0.Productos'!BS$1+1,0),"")</f>
        <v/>
      </c>
      <c r="AB334" s="133" t="str">
        <f>IF($A334&lt;&gt;0,VLOOKUP($A334,'0.Productos'!$A$3:$GG$587,'0.Productos'!BT$1+1,0),"")</f>
        <v/>
      </c>
      <c r="AC334" s="133" t="str">
        <f>IF($A334&lt;&gt;0,VLOOKUP($A334,'0.Productos'!$A$3:$GG$587,'0.Productos'!BU$1+1,0),"")</f>
        <v/>
      </c>
      <c r="AD334" s="133" t="str">
        <f>IF($A334&lt;&gt;0,VLOOKUP($A334,'0.Productos'!$A$3:$GG$587,'0.Productos'!BV$1+1,0),"")</f>
        <v/>
      </c>
      <c r="AE334" s="133" t="str">
        <f>IF($A334&lt;&gt;0,VLOOKUP($A334,'0.Productos'!$A$3:$GG$587,'0.Productos'!BW$1+1,0),"")</f>
        <v/>
      </c>
      <c r="AF334" s="133" t="str">
        <f>IF($A334&lt;&gt;0,VLOOKUP($A334,'0.Productos'!$A$3:$GG$587,'0.Productos'!BX$1+1,0),"")</f>
        <v/>
      </c>
      <c r="AG334" s="133" t="str">
        <f>IF($A334&lt;&gt;0,VLOOKUP($A334,'0.Productos'!$A$3:$GG$587,'0.Productos'!BY$1+1,0),"")</f>
        <v/>
      </c>
      <c r="AH334" s="133" t="str">
        <f>IF($A334&lt;&gt;0,VLOOKUP($A334,'0.Productos'!$A$3:$GG$587,'0.Productos'!BZ$1+1,0),"")</f>
        <v/>
      </c>
      <c r="AI334" s="133" t="str">
        <f>IF($A334&lt;&gt;0,VLOOKUP($A334,'0.Productos'!$A$3:$GG$587,'0.Productos'!CA$1+1,0),"")</f>
        <v/>
      </c>
      <c r="AJ334" s="133" t="str">
        <f>IF($A334&lt;&gt;0,VLOOKUP($A334,'0.Productos'!$A$3:$GG$587,'0.Productos'!CB$1+1,0),"")</f>
        <v/>
      </c>
      <c r="AK334" s="133" t="str">
        <f>IF($A334&lt;&gt;0,VLOOKUP($A334,'0.Productos'!$A$3:$GG$587,'0.Productos'!CC$1+1,0),"")</f>
        <v/>
      </c>
      <c r="AL334" s="133" t="str">
        <f>IF($A334&lt;&gt;0,VLOOKUP($A334,'0.Productos'!$A$3:$GG$587,'0.Productos'!CD$1+1,0),"")</f>
        <v/>
      </c>
      <c r="AM334" s="133" t="str">
        <f>IF($A334&lt;&gt;0,VLOOKUP($A334,'0.Productos'!$A$3:$GG$587,'0.Productos'!CE$1+1,0),"")</f>
        <v/>
      </c>
      <c r="AN334" s="133" t="str">
        <f>IF($A334&lt;&gt;0,VLOOKUP($A334,'0.Productos'!$A$3:$GG$587,'0.Productos'!CF$1+1,0),"")</f>
        <v/>
      </c>
      <c r="AO334" s="133" t="str">
        <f>IF($A334&lt;&gt;0,VLOOKUP($A334,'0.Productos'!$A$3:$GG$587,'0.Productos'!CG$1+1,0),"")</f>
        <v/>
      </c>
      <c r="AP334" s="133" t="str">
        <f>IF($A334&lt;&gt;0,VLOOKUP($A334,'0.Productos'!$A$3:$GG$587,'0.Productos'!CH$1+1,0),"")</f>
        <v/>
      </c>
      <c r="AQ334" s="133" t="str">
        <f>IF($A334&lt;&gt;0,VLOOKUP($A334,'0.Productos'!$A$3:$GG$587,'0.Productos'!CI$1+1,0),"")</f>
        <v/>
      </c>
      <c r="AR334" s="133" t="str">
        <f>IF($A334&lt;&gt;0,VLOOKUP($A334,'0.Productos'!$A$3:$GG$587,'0.Productos'!CJ$1+1,0),"")</f>
        <v/>
      </c>
      <c r="AS334" s="133" t="str">
        <f>IF($A334&lt;&gt;0,VLOOKUP($A334,'0.Productos'!$A$3:$GG$587,'0.Productos'!CK$1+1,0),"")</f>
        <v/>
      </c>
      <c r="AT334" s="133" t="str">
        <f>IF($A334&lt;&gt;0,VLOOKUP($A334,'0.Productos'!$A$3:$GG$587,'0.Productos'!CL$1+1,0),"")</f>
        <v/>
      </c>
      <c r="AU334" s="133" t="str">
        <f>IF($A334&lt;&gt;0,VLOOKUP($A334,'0.Productos'!$A$3:$GG$587,'0.Productos'!CM$1+1,0),"")</f>
        <v/>
      </c>
      <c r="AV334" s="133" t="str">
        <f>IF($A334&lt;&gt;0,VLOOKUP($A334,'0.Productos'!$A$3:$GG$587,'0.Productos'!CN$1+1,0),"")</f>
        <v/>
      </c>
      <c r="AW334" s="133" t="str">
        <f>IF($A334&lt;&gt;0,VLOOKUP($A334,'0.Productos'!$A$3:$GG$587,'0.Productos'!CO$1+1,0),"")</f>
        <v/>
      </c>
      <c r="AX334" s="133" t="str">
        <f>IF($A334&lt;&gt;0,VLOOKUP($A334,'0.Productos'!$A$3:$GG$587,'0.Productos'!CP$1+1,0),"")</f>
        <v/>
      </c>
      <c r="AY334" s="133" t="str">
        <f>IF($A334&lt;&gt;0,VLOOKUP($A334,'0.Productos'!$A$3:$GG$587,'0.Productos'!CQ$1+1,0),"")</f>
        <v/>
      </c>
      <c r="AZ334" s="133" t="str">
        <f>IF($A334&lt;&gt;0,VLOOKUP($A334,'0.Productos'!$A$3:$GG$587,'0.Productos'!CR$1+1,0),"")</f>
        <v/>
      </c>
      <c r="BA334" s="133" t="str">
        <f>IF($A334&lt;&gt;0,VLOOKUP($A334,'0.Productos'!$A$3:$GG$587,'0.Productos'!CS$1+1,0),"")</f>
        <v/>
      </c>
      <c r="BB334" s="133" t="str">
        <f>IF($A334&lt;&gt;0,VLOOKUP($A334,'0.Productos'!$A$3:$GG$587,'0.Productos'!CT$1+1,0),"")</f>
        <v/>
      </c>
      <c r="BC334" s="133" t="str">
        <f>IF($A334&lt;&gt;0,VLOOKUP($A334,'0.Productos'!$A$3:$GG$587,'0.Productos'!CU$1+1,0),"")</f>
        <v/>
      </c>
      <c r="BD334" s="133" t="str">
        <f>IF($A334&lt;&gt;0,VLOOKUP($A334,'0.Productos'!$A$3:$GG$587,'0.Productos'!CV$1+1,0),"")</f>
        <v/>
      </c>
      <c r="BE334" s="133" t="str">
        <f>IF($A334&lt;&gt;0,VLOOKUP($A334,'0.Productos'!$A$3:$GG$587,'0.Productos'!CW$1+1,0),"")</f>
        <v/>
      </c>
      <c r="BF334" s="133" t="str">
        <f>IF($A334&lt;&gt;0,VLOOKUP($A334,'0.Productos'!$A$3:$GG$587,'0.Productos'!CX$1+1,0),"")</f>
        <v/>
      </c>
      <c r="BG334" s="133" t="str">
        <f>IF($A334&lt;&gt;0,VLOOKUP($A334,'0.Productos'!$A$3:$GG$587,'0.Productos'!CY$1+1,0),"")</f>
        <v/>
      </c>
      <c r="BH334" s="133" t="str">
        <f>IF($A334&lt;&gt;0,VLOOKUP($A334,'0.Productos'!$A$3:$GG$587,'0.Productos'!CZ$1+1,0),"")</f>
        <v/>
      </c>
      <c r="BI334" s="133" t="str">
        <f>IF($A334&lt;&gt;0,VLOOKUP($A334,'0.Productos'!$A$3:$GG$587,'0.Productos'!DA$1+1,0),"")</f>
        <v/>
      </c>
      <c r="BJ334" s="133" t="str">
        <f>IF($A334&lt;&gt;0,VLOOKUP($A334,'0.Productos'!$A$3:$GG$587,'0.Productos'!DB$1+1,0),"")</f>
        <v/>
      </c>
      <c r="BK334" s="133" t="str">
        <f>IF($A334&lt;&gt;0,VLOOKUP($A334,'0.Productos'!$A$3:$GG$587,'0.Productos'!DC$1+1,0),"")</f>
        <v/>
      </c>
      <c r="BL334" s="133" t="str">
        <f>IF($A334&lt;&gt;0,VLOOKUP($A334,'0.Productos'!$A$3:$GG$587,'0.Productos'!DD$1+1,0),"")</f>
        <v/>
      </c>
      <c r="BM334" s="133" t="str">
        <f>IF($A334&lt;&gt;0,VLOOKUP($A334,'0.Productos'!$A$3:$GG$587,'0.Productos'!DE$1+1,0),"")</f>
        <v/>
      </c>
      <c r="BN334" s="133" t="str">
        <f>IF($A334&lt;&gt;0,VLOOKUP($A334,'0.Productos'!$A$3:$GG$587,'0.Productos'!DF$1+1,0),"")</f>
        <v/>
      </c>
      <c r="BO334" s="133" t="str">
        <f>IF($A334&lt;&gt;0,VLOOKUP($A334,'0.Productos'!$A$3:$GG$587,'0.Productos'!DG$1+1,0),"")</f>
        <v/>
      </c>
      <c r="BP334" s="133" t="str">
        <f>IF($A334&lt;&gt;0,VLOOKUP($A334,'0.Productos'!$A$3:$GG$587,'0.Productos'!DH$1+1,0),"")</f>
        <v/>
      </c>
      <c r="BQ334" s="133" t="str">
        <f>IF($A334&lt;&gt;0,VLOOKUP($A334,'0.Productos'!$A$3:$GG$587,'0.Productos'!DI$1+1,0),"")</f>
        <v/>
      </c>
      <c r="BR334" s="133" t="str">
        <f>IF($A334&lt;&gt;0,VLOOKUP($A334,'0.Productos'!$A$3:$GG$587,'0.Productos'!DJ$1+1,0),"")</f>
        <v/>
      </c>
      <c r="BS334" s="133" t="str">
        <f>IF($A334&lt;&gt;0,VLOOKUP($A334,'0.Productos'!$A$3:$GG$587,'0.Productos'!DK$1+1,0),"")</f>
        <v/>
      </c>
      <c r="BT334" s="133" t="str">
        <f>IF($A334&lt;&gt;0,VLOOKUP($A334,'0.Productos'!$A$3:$GG$587,'0.Productos'!DL$1+1,0),"")</f>
        <v/>
      </c>
    </row>
    <row r="335" spans="1:72" x14ac:dyDescent="0.25">
      <c r="A335" s="17">
        <f>'0.Consolidado general'!A335</f>
        <v>0</v>
      </c>
      <c r="B335" s="133" t="str">
        <f>IF($A335&lt;&gt;0,VLOOKUP($A335,'0.Productos'!$A$3:$GG$587,'0.Productos'!AT$1+1,0),"")</f>
        <v/>
      </c>
      <c r="C335" s="133" t="str">
        <f>IF($A335&lt;&gt;0,VLOOKUP($A335,'0.Productos'!$A$3:$GG$587,'0.Productos'!AU$1+1,0),"")</f>
        <v/>
      </c>
      <c r="D335" s="133" t="str">
        <f>IF($A335&lt;&gt;0,VLOOKUP($A335,'0.Productos'!$A$3:$GG$587,'0.Productos'!AV$1+1,0),"")</f>
        <v/>
      </c>
      <c r="E335" s="133" t="str">
        <f>IF($A335&lt;&gt;0,VLOOKUP($A335,'0.Productos'!$A$3:$GG$587,'0.Productos'!AW$1+1,0),"")</f>
        <v/>
      </c>
      <c r="F335" s="133" t="str">
        <f>IF($A335&lt;&gt;0,VLOOKUP($A335,'0.Productos'!$A$3:$GG$587,'0.Productos'!AX$1+1,0),"")</f>
        <v/>
      </c>
      <c r="G335" s="133" t="str">
        <f>IF($A335&lt;&gt;0,VLOOKUP($A335,'0.Productos'!$A$3:$GG$587,'0.Productos'!AY$1+1,0),"")</f>
        <v/>
      </c>
      <c r="H335" s="133" t="str">
        <f>IF($A335&lt;&gt;0,VLOOKUP($A335,'0.Productos'!$A$3:$GG$587,'0.Productos'!AZ$1+1,0),"")</f>
        <v/>
      </c>
      <c r="I335" s="133" t="str">
        <f>IF($A335&lt;&gt;0,VLOOKUP($A335,'0.Productos'!$A$3:$GG$587,'0.Productos'!BA$1+1,0),"")</f>
        <v/>
      </c>
      <c r="J335" s="133" t="str">
        <f>IF($A335&lt;&gt;0,VLOOKUP($A335,'0.Productos'!$A$3:$GG$587,'0.Productos'!BB$1+1,0),"")</f>
        <v/>
      </c>
      <c r="K335" s="133" t="str">
        <f>IF($A335&lt;&gt;0,VLOOKUP($A335,'0.Productos'!$A$3:$GG$587,'0.Productos'!BC$1+1,0),"")</f>
        <v/>
      </c>
      <c r="L335" s="133" t="str">
        <f>IF($A335&lt;&gt;0,VLOOKUP($A335,'0.Productos'!$A$3:$GG$587,'0.Productos'!BD$1+1,0),"")</f>
        <v/>
      </c>
      <c r="M335" s="133" t="str">
        <f>IF($A335&lt;&gt;0,VLOOKUP($A335,'0.Productos'!$A$3:$GG$587,'0.Productos'!BE$1+1,0),"")</f>
        <v/>
      </c>
      <c r="N335" s="133" t="str">
        <f>IF($A335&lt;&gt;0,VLOOKUP($A335,'0.Productos'!$A$3:$GG$587,'0.Productos'!BF$1+1,0),"")</f>
        <v/>
      </c>
      <c r="O335" s="133" t="str">
        <f>IF($A335&lt;&gt;0,VLOOKUP($A335,'0.Productos'!$A$3:$GG$587,'0.Productos'!BG$1+1,0),"")</f>
        <v/>
      </c>
      <c r="P335" s="133" t="str">
        <f>IF($A335&lt;&gt;0,VLOOKUP($A335,'0.Productos'!$A$3:$GG$587,'0.Productos'!BH$1+1,0),"")</f>
        <v/>
      </c>
      <c r="Q335" s="133" t="str">
        <f>IF($A335&lt;&gt;0,VLOOKUP($A335,'0.Productos'!$A$3:$GG$587,'0.Productos'!BI$1+1,0),"")</f>
        <v/>
      </c>
      <c r="R335" s="133" t="str">
        <f>IF($A335&lt;&gt;0,VLOOKUP($A335,'0.Productos'!$A$3:$GG$587,'0.Productos'!BJ$1+1,0),"")</f>
        <v/>
      </c>
      <c r="S335" s="133" t="str">
        <f>IF($A335&lt;&gt;0,VLOOKUP($A335,'0.Productos'!$A$3:$GG$587,'0.Productos'!BK$1+1,0),"")</f>
        <v/>
      </c>
      <c r="T335" s="133" t="str">
        <f>IF($A335&lt;&gt;0,VLOOKUP($A335,'0.Productos'!$A$3:$GG$587,'0.Productos'!BL$1+1,0),"")</f>
        <v/>
      </c>
      <c r="U335" s="133" t="str">
        <f>IF($A335&lt;&gt;0,VLOOKUP($A335,'0.Productos'!$A$3:$GG$587,'0.Productos'!BM$1+1,0),"")</f>
        <v/>
      </c>
      <c r="V335" s="133" t="str">
        <f>IF($A335&lt;&gt;0,VLOOKUP($A335,'0.Productos'!$A$3:$GG$587,'0.Productos'!BN$1+1,0),"")</f>
        <v/>
      </c>
      <c r="W335" s="133" t="str">
        <f>IF($A335&lt;&gt;0,VLOOKUP($A335,'0.Productos'!$A$3:$GG$587,'0.Productos'!BO$1+1,0),"")</f>
        <v/>
      </c>
      <c r="X335" s="133" t="str">
        <f>IF($A335&lt;&gt;0,VLOOKUP($A335,'0.Productos'!$A$3:$GG$587,'0.Productos'!BP$1+1,0),"")</f>
        <v/>
      </c>
      <c r="Y335" s="133" t="str">
        <f>IF($A335&lt;&gt;0,VLOOKUP($A335,'0.Productos'!$A$3:$GG$587,'0.Productos'!BQ$1+1,0),"")</f>
        <v/>
      </c>
      <c r="Z335" s="133" t="str">
        <f>IF($A335&lt;&gt;0,VLOOKUP($A335,'0.Productos'!$A$3:$GG$587,'0.Productos'!BR$1+1,0),"")</f>
        <v/>
      </c>
      <c r="AA335" s="133" t="str">
        <f>IF($A335&lt;&gt;0,VLOOKUP($A335,'0.Productos'!$A$3:$GG$587,'0.Productos'!BS$1+1,0),"")</f>
        <v/>
      </c>
      <c r="AB335" s="133" t="str">
        <f>IF($A335&lt;&gt;0,VLOOKUP($A335,'0.Productos'!$A$3:$GG$587,'0.Productos'!BT$1+1,0),"")</f>
        <v/>
      </c>
      <c r="AC335" s="133" t="str">
        <f>IF($A335&lt;&gt;0,VLOOKUP($A335,'0.Productos'!$A$3:$GG$587,'0.Productos'!BU$1+1,0),"")</f>
        <v/>
      </c>
      <c r="AD335" s="133" t="str">
        <f>IF($A335&lt;&gt;0,VLOOKUP($A335,'0.Productos'!$A$3:$GG$587,'0.Productos'!BV$1+1,0),"")</f>
        <v/>
      </c>
      <c r="AE335" s="133" t="str">
        <f>IF($A335&lt;&gt;0,VLOOKUP($A335,'0.Productos'!$A$3:$GG$587,'0.Productos'!BW$1+1,0),"")</f>
        <v/>
      </c>
      <c r="AF335" s="133" t="str">
        <f>IF($A335&lt;&gt;0,VLOOKUP($A335,'0.Productos'!$A$3:$GG$587,'0.Productos'!BX$1+1,0),"")</f>
        <v/>
      </c>
      <c r="AG335" s="133" t="str">
        <f>IF($A335&lt;&gt;0,VLOOKUP($A335,'0.Productos'!$A$3:$GG$587,'0.Productos'!BY$1+1,0),"")</f>
        <v/>
      </c>
      <c r="AH335" s="133" t="str">
        <f>IF($A335&lt;&gt;0,VLOOKUP($A335,'0.Productos'!$A$3:$GG$587,'0.Productos'!BZ$1+1,0),"")</f>
        <v/>
      </c>
      <c r="AI335" s="133" t="str">
        <f>IF($A335&lt;&gt;0,VLOOKUP($A335,'0.Productos'!$A$3:$GG$587,'0.Productos'!CA$1+1,0),"")</f>
        <v/>
      </c>
      <c r="AJ335" s="133" t="str">
        <f>IF($A335&lt;&gt;0,VLOOKUP($A335,'0.Productos'!$A$3:$GG$587,'0.Productos'!CB$1+1,0),"")</f>
        <v/>
      </c>
      <c r="AK335" s="133" t="str">
        <f>IF($A335&lt;&gt;0,VLOOKUP($A335,'0.Productos'!$A$3:$GG$587,'0.Productos'!CC$1+1,0),"")</f>
        <v/>
      </c>
      <c r="AL335" s="133" t="str">
        <f>IF($A335&lt;&gt;0,VLOOKUP($A335,'0.Productos'!$A$3:$GG$587,'0.Productos'!CD$1+1,0),"")</f>
        <v/>
      </c>
      <c r="AM335" s="133" t="str">
        <f>IF($A335&lt;&gt;0,VLOOKUP($A335,'0.Productos'!$A$3:$GG$587,'0.Productos'!CE$1+1,0),"")</f>
        <v/>
      </c>
      <c r="AN335" s="133" t="str">
        <f>IF($A335&lt;&gt;0,VLOOKUP($A335,'0.Productos'!$A$3:$GG$587,'0.Productos'!CF$1+1,0),"")</f>
        <v/>
      </c>
      <c r="AO335" s="133" t="str">
        <f>IF($A335&lt;&gt;0,VLOOKUP($A335,'0.Productos'!$A$3:$GG$587,'0.Productos'!CG$1+1,0),"")</f>
        <v/>
      </c>
      <c r="AP335" s="133" t="str">
        <f>IF($A335&lt;&gt;0,VLOOKUP($A335,'0.Productos'!$A$3:$GG$587,'0.Productos'!CH$1+1,0),"")</f>
        <v/>
      </c>
      <c r="AQ335" s="133" t="str">
        <f>IF($A335&lt;&gt;0,VLOOKUP($A335,'0.Productos'!$A$3:$GG$587,'0.Productos'!CI$1+1,0),"")</f>
        <v/>
      </c>
      <c r="AR335" s="133" t="str">
        <f>IF($A335&lt;&gt;0,VLOOKUP($A335,'0.Productos'!$A$3:$GG$587,'0.Productos'!CJ$1+1,0),"")</f>
        <v/>
      </c>
      <c r="AS335" s="133" t="str">
        <f>IF($A335&lt;&gt;0,VLOOKUP($A335,'0.Productos'!$A$3:$GG$587,'0.Productos'!CK$1+1,0),"")</f>
        <v/>
      </c>
      <c r="AT335" s="133" t="str">
        <f>IF($A335&lt;&gt;0,VLOOKUP($A335,'0.Productos'!$A$3:$GG$587,'0.Productos'!CL$1+1,0),"")</f>
        <v/>
      </c>
      <c r="AU335" s="133" t="str">
        <f>IF($A335&lt;&gt;0,VLOOKUP($A335,'0.Productos'!$A$3:$GG$587,'0.Productos'!CM$1+1,0),"")</f>
        <v/>
      </c>
      <c r="AV335" s="133" t="str">
        <f>IF($A335&lt;&gt;0,VLOOKUP($A335,'0.Productos'!$A$3:$GG$587,'0.Productos'!CN$1+1,0),"")</f>
        <v/>
      </c>
      <c r="AW335" s="133" t="str">
        <f>IF($A335&lt;&gt;0,VLOOKUP($A335,'0.Productos'!$A$3:$GG$587,'0.Productos'!CO$1+1,0),"")</f>
        <v/>
      </c>
      <c r="AX335" s="133" t="str">
        <f>IF($A335&lt;&gt;0,VLOOKUP($A335,'0.Productos'!$A$3:$GG$587,'0.Productos'!CP$1+1,0),"")</f>
        <v/>
      </c>
      <c r="AY335" s="133" t="str">
        <f>IF($A335&lt;&gt;0,VLOOKUP($A335,'0.Productos'!$A$3:$GG$587,'0.Productos'!CQ$1+1,0),"")</f>
        <v/>
      </c>
      <c r="AZ335" s="133" t="str">
        <f>IF($A335&lt;&gt;0,VLOOKUP($A335,'0.Productos'!$A$3:$GG$587,'0.Productos'!CR$1+1,0),"")</f>
        <v/>
      </c>
      <c r="BA335" s="133" t="str">
        <f>IF($A335&lt;&gt;0,VLOOKUP($A335,'0.Productos'!$A$3:$GG$587,'0.Productos'!CS$1+1,0),"")</f>
        <v/>
      </c>
      <c r="BB335" s="133" t="str">
        <f>IF($A335&lt;&gt;0,VLOOKUP($A335,'0.Productos'!$A$3:$GG$587,'0.Productos'!CT$1+1,0),"")</f>
        <v/>
      </c>
      <c r="BC335" s="133" t="str">
        <f>IF($A335&lt;&gt;0,VLOOKUP($A335,'0.Productos'!$A$3:$GG$587,'0.Productos'!CU$1+1,0),"")</f>
        <v/>
      </c>
      <c r="BD335" s="133" t="str">
        <f>IF($A335&lt;&gt;0,VLOOKUP($A335,'0.Productos'!$A$3:$GG$587,'0.Productos'!CV$1+1,0),"")</f>
        <v/>
      </c>
      <c r="BE335" s="133" t="str">
        <f>IF($A335&lt;&gt;0,VLOOKUP($A335,'0.Productos'!$A$3:$GG$587,'0.Productos'!CW$1+1,0),"")</f>
        <v/>
      </c>
      <c r="BF335" s="133" t="str">
        <f>IF($A335&lt;&gt;0,VLOOKUP($A335,'0.Productos'!$A$3:$GG$587,'0.Productos'!CX$1+1,0),"")</f>
        <v/>
      </c>
      <c r="BG335" s="133" t="str">
        <f>IF($A335&lt;&gt;0,VLOOKUP($A335,'0.Productos'!$A$3:$GG$587,'0.Productos'!CY$1+1,0),"")</f>
        <v/>
      </c>
      <c r="BH335" s="133" t="str">
        <f>IF($A335&lt;&gt;0,VLOOKUP($A335,'0.Productos'!$A$3:$GG$587,'0.Productos'!CZ$1+1,0),"")</f>
        <v/>
      </c>
      <c r="BI335" s="133" t="str">
        <f>IF($A335&lt;&gt;0,VLOOKUP($A335,'0.Productos'!$A$3:$GG$587,'0.Productos'!DA$1+1,0),"")</f>
        <v/>
      </c>
      <c r="BJ335" s="133" t="str">
        <f>IF($A335&lt;&gt;0,VLOOKUP($A335,'0.Productos'!$A$3:$GG$587,'0.Productos'!DB$1+1,0),"")</f>
        <v/>
      </c>
      <c r="BK335" s="133" t="str">
        <f>IF($A335&lt;&gt;0,VLOOKUP($A335,'0.Productos'!$A$3:$GG$587,'0.Productos'!DC$1+1,0),"")</f>
        <v/>
      </c>
      <c r="BL335" s="133" t="str">
        <f>IF($A335&lt;&gt;0,VLOOKUP($A335,'0.Productos'!$A$3:$GG$587,'0.Productos'!DD$1+1,0),"")</f>
        <v/>
      </c>
      <c r="BM335" s="133" t="str">
        <f>IF($A335&lt;&gt;0,VLOOKUP($A335,'0.Productos'!$A$3:$GG$587,'0.Productos'!DE$1+1,0),"")</f>
        <v/>
      </c>
      <c r="BN335" s="133" t="str">
        <f>IF($A335&lt;&gt;0,VLOOKUP($A335,'0.Productos'!$A$3:$GG$587,'0.Productos'!DF$1+1,0),"")</f>
        <v/>
      </c>
      <c r="BO335" s="133" t="str">
        <f>IF($A335&lt;&gt;0,VLOOKUP($A335,'0.Productos'!$A$3:$GG$587,'0.Productos'!DG$1+1,0),"")</f>
        <v/>
      </c>
      <c r="BP335" s="133" t="str">
        <f>IF($A335&lt;&gt;0,VLOOKUP($A335,'0.Productos'!$A$3:$GG$587,'0.Productos'!DH$1+1,0),"")</f>
        <v/>
      </c>
      <c r="BQ335" s="133" t="str">
        <f>IF($A335&lt;&gt;0,VLOOKUP($A335,'0.Productos'!$A$3:$GG$587,'0.Productos'!DI$1+1,0),"")</f>
        <v/>
      </c>
      <c r="BR335" s="133" t="str">
        <f>IF($A335&lt;&gt;0,VLOOKUP($A335,'0.Productos'!$A$3:$GG$587,'0.Productos'!DJ$1+1,0),"")</f>
        <v/>
      </c>
      <c r="BS335" s="133" t="str">
        <f>IF($A335&lt;&gt;0,VLOOKUP($A335,'0.Productos'!$A$3:$GG$587,'0.Productos'!DK$1+1,0),"")</f>
        <v/>
      </c>
      <c r="BT335" s="133" t="str">
        <f>IF($A335&lt;&gt;0,VLOOKUP($A335,'0.Productos'!$A$3:$GG$587,'0.Productos'!DL$1+1,0),"")</f>
        <v/>
      </c>
    </row>
    <row r="336" spans="1:72" x14ac:dyDescent="0.25">
      <c r="A336" s="17">
        <f>'0.Consolidado general'!A336</f>
        <v>0</v>
      </c>
      <c r="B336" s="133" t="str">
        <f>IF($A336&lt;&gt;0,VLOOKUP($A336,'0.Productos'!$A$3:$GG$587,'0.Productos'!AT$1+1,0),"")</f>
        <v/>
      </c>
      <c r="C336" s="133" t="str">
        <f>IF($A336&lt;&gt;0,VLOOKUP($A336,'0.Productos'!$A$3:$GG$587,'0.Productos'!AU$1+1,0),"")</f>
        <v/>
      </c>
      <c r="D336" s="133" t="str">
        <f>IF($A336&lt;&gt;0,VLOOKUP($A336,'0.Productos'!$A$3:$GG$587,'0.Productos'!AV$1+1,0),"")</f>
        <v/>
      </c>
      <c r="E336" s="133" t="str">
        <f>IF($A336&lt;&gt;0,VLOOKUP($A336,'0.Productos'!$A$3:$GG$587,'0.Productos'!AW$1+1,0),"")</f>
        <v/>
      </c>
      <c r="F336" s="133" t="str">
        <f>IF($A336&lt;&gt;0,VLOOKUP($A336,'0.Productos'!$A$3:$GG$587,'0.Productos'!AX$1+1,0),"")</f>
        <v/>
      </c>
      <c r="G336" s="133" t="str">
        <f>IF($A336&lt;&gt;0,VLOOKUP($A336,'0.Productos'!$A$3:$GG$587,'0.Productos'!AY$1+1,0),"")</f>
        <v/>
      </c>
      <c r="H336" s="133" t="str">
        <f>IF($A336&lt;&gt;0,VLOOKUP($A336,'0.Productos'!$A$3:$GG$587,'0.Productos'!AZ$1+1,0),"")</f>
        <v/>
      </c>
      <c r="I336" s="133" t="str">
        <f>IF($A336&lt;&gt;0,VLOOKUP($A336,'0.Productos'!$A$3:$GG$587,'0.Productos'!BA$1+1,0),"")</f>
        <v/>
      </c>
      <c r="J336" s="133" t="str">
        <f>IF($A336&lt;&gt;0,VLOOKUP($A336,'0.Productos'!$A$3:$GG$587,'0.Productos'!BB$1+1,0),"")</f>
        <v/>
      </c>
      <c r="K336" s="133" t="str">
        <f>IF($A336&lt;&gt;0,VLOOKUP($A336,'0.Productos'!$A$3:$GG$587,'0.Productos'!BC$1+1,0),"")</f>
        <v/>
      </c>
      <c r="L336" s="133" t="str">
        <f>IF($A336&lt;&gt;0,VLOOKUP($A336,'0.Productos'!$A$3:$GG$587,'0.Productos'!BD$1+1,0),"")</f>
        <v/>
      </c>
      <c r="M336" s="133" t="str">
        <f>IF($A336&lt;&gt;0,VLOOKUP($A336,'0.Productos'!$A$3:$GG$587,'0.Productos'!BE$1+1,0),"")</f>
        <v/>
      </c>
      <c r="N336" s="133" t="str">
        <f>IF($A336&lt;&gt;0,VLOOKUP($A336,'0.Productos'!$A$3:$GG$587,'0.Productos'!BF$1+1,0),"")</f>
        <v/>
      </c>
      <c r="O336" s="133" t="str">
        <f>IF($A336&lt;&gt;0,VLOOKUP($A336,'0.Productos'!$A$3:$GG$587,'0.Productos'!BG$1+1,0),"")</f>
        <v/>
      </c>
      <c r="P336" s="133" t="str">
        <f>IF($A336&lt;&gt;0,VLOOKUP($A336,'0.Productos'!$A$3:$GG$587,'0.Productos'!BH$1+1,0),"")</f>
        <v/>
      </c>
      <c r="Q336" s="133" t="str">
        <f>IF($A336&lt;&gt;0,VLOOKUP($A336,'0.Productos'!$A$3:$GG$587,'0.Productos'!BI$1+1,0),"")</f>
        <v/>
      </c>
      <c r="R336" s="133" t="str">
        <f>IF($A336&lt;&gt;0,VLOOKUP($A336,'0.Productos'!$A$3:$GG$587,'0.Productos'!BJ$1+1,0),"")</f>
        <v/>
      </c>
      <c r="S336" s="133" t="str">
        <f>IF($A336&lt;&gt;0,VLOOKUP($A336,'0.Productos'!$A$3:$GG$587,'0.Productos'!BK$1+1,0),"")</f>
        <v/>
      </c>
      <c r="T336" s="133" t="str">
        <f>IF($A336&lt;&gt;0,VLOOKUP($A336,'0.Productos'!$A$3:$GG$587,'0.Productos'!BL$1+1,0),"")</f>
        <v/>
      </c>
      <c r="U336" s="133" t="str">
        <f>IF($A336&lt;&gt;0,VLOOKUP($A336,'0.Productos'!$A$3:$GG$587,'0.Productos'!BM$1+1,0),"")</f>
        <v/>
      </c>
      <c r="V336" s="133" t="str">
        <f>IF($A336&lt;&gt;0,VLOOKUP($A336,'0.Productos'!$A$3:$GG$587,'0.Productos'!BN$1+1,0),"")</f>
        <v/>
      </c>
      <c r="W336" s="133" t="str">
        <f>IF($A336&lt;&gt;0,VLOOKUP($A336,'0.Productos'!$A$3:$GG$587,'0.Productos'!BO$1+1,0),"")</f>
        <v/>
      </c>
      <c r="X336" s="133" t="str">
        <f>IF($A336&lt;&gt;0,VLOOKUP($A336,'0.Productos'!$A$3:$GG$587,'0.Productos'!BP$1+1,0),"")</f>
        <v/>
      </c>
      <c r="Y336" s="133" t="str">
        <f>IF($A336&lt;&gt;0,VLOOKUP($A336,'0.Productos'!$A$3:$GG$587,'0.Productos'!BQ$1+1,0),"")</f>
        <v/>
      </c>
      <c r="Z336" s="133" t="str">
        <f>IF($A336&lt;&gt;0,VLOOKUP($A336,'0.Productos'!$A$3:$GG$587,'0.Productos'!BR$1+1,0),"")</f>
        <v/>
      </c>
      <c r="AA336" s="133" t="str">
        <f>IF($A336&lt;&gt;0,VLOOKUP($A336,'0.Productos'!$A$3:$GG$587,'0.Productos'!BS$1+1,0),"")</f>
        <v/>
      </c>
      <c r="AB336" s="133" t="str">
        <f>IF($A336&lt;&gt;0,VLOOKUP($A336,'0.Productos'!$A$3:$GG$587,'0.Productos'!BT$1+1,0),"")</f>
        <v/>
      </c>
      <c r="AC336" s="133" t="str">
        <f>IF($A336&lt;&gt;0,VLOOKUP($A336,'0.Productos'!$A$3:$GG$587,'0.Productos'!BU$1+1,0),"")</f>
        <v/>
      </c>
      <c r="AD336" s="133" t="str">
        <f>IF($A336&lt;&gt;0,VLOOKUP($A336,'0.Productos'!$A$3:$GG$587,'0.Productos'!BV$1+1,0),"")</f>
        <v/>
      </c>
      <c r="AE336" s="133" t="str">
        <f>IF($A336&lt;&gt;0,VLOOKUP($A336,'0.Productos'!$A$3:$GG$587,'0.Productos'!BW$1+1,0),"")</f>
        <v/>
      </c>
      <c r="AF336" s="133" t="str">
        <f>IF($A336&lt;&gt;0,VLOOKUP($A336,'0.Productos'!$A$3:$GG$587,'0.Productos'!BX$1+1,0),"")</f>
        <v/>
      </c>
      <c r="AG336" s="133" t="str">
        <f>IF($A336&lt;&gt;0,VLOOKUP($A336,'0.Productos'!$A$3:$GG$587,'0.Productos'!BY$1+1,0),"")</f>
        <v/>
      </c>
      <c r="AH336" s="133" t="str">
        <f>IF($A336&lt;&gt;0,VLOOKUP($A336,'0.Productos'!$A$3:$GG$587,'0.Productos'!BZ$1+1,0),"")</f>
        <v/>
      </c>
      <c r="AI336" s="133" t="str">
        <f>IF($A336&lt;&gt;0,VLOOKUP($A336,'0.Productos'!$A$3:$GG$587,'0.Productos'!CA$1+1,0),"")</f>
        <v/>
      </c>
      <c r="AJ336" s="133" t="str">
        <f>IF($A336&lt;&gt;0,VLOOKUP($A336,'0.Productos'!$A$3:$GG$587,'0.Productos'!CB$1+1,0),"")</f>
        <v/>
      </c>
      <c r="AK336" s="133" t="str">
        <f>IF($A336&lt;&gt;0,VLOOKUP($A336,'0.Productos'!$A$3:$GG$587,'0.Productos'!CC$1+1,0),"")</f>
        <v/>
      </c>
      <c r="AL336" s="133" t="str">
        <f>IF($A336&lt;&gt;0,VLOOKUP($A336,'0.Productos'!$A$3:$GG$587,'0.Productos'!CD$1+1,0),"")</f>
        <v/>
      </c>
      <c r="AM336" s="133" t="str">
        <f>IF($A336&lt;&gt;0,VLOOKUP($A336,'0.Productos'!$A$3:$GG$587,'0.Productos'!CE$1+1,0),"")</f>
        <v/>
      </c>
      <c r="AN336" s="133" t="str">
        <f>IF($A336&lt;&gt;0,VLOOKUP($A336,'0.Productos'!$A$3:$GG$587,'0.Productos'!CF$1+1,0),"")</f>
        <v/>
      </c>
      <c r="AO336" s="133" t="str">
        <f>IF($A336&lt;&gt;0,VLOOKUP($A336,'0.Productos'!$A$3:$GG$587,'0.Productos'!CG$1+1,0),"")</f>
        <v/>
      </c>
      <c r="AP336" s="133" t="str">
        <f>IF($A336&lt;&gt;0,VLOOKUP($A336,'0.Productos'!$A$3:$GG$587,'0.Productos'!CH$1+1,0),"")</f>
        <v/>
      </c>
      <c r="AQ336" s="133" t="str">
        <f>IF($A336&lt;&gt;0,VLOOKUP($A336,'0.Productos'!$A$3:$GG$587,'0.Productos'!CI$1+1,0),"")</f>
        <v/>
      </c>
      <c r="AR336" s="133" t="str">
        <f>IF($A336&lt;&gt;0,VLOOKUP($A336,'0.Productos'!$A$3:$GG$587,'0.Productos'!CJ$1+1,0),"")</f>
        <v/>
      </c>
      <c r="AS336" s="133" t="str">
        <f>IF($A336&lt;&gt;0,VLOOKUP($A336,'0.Productos'!$A$3:$GG$587,'0.Productos'!CK$1+1,0),"")</f>
        <v/>
      </c>
      <c r="AT336" s="133" t="str">
        <f>IF($A336&lt;&gt;0,VLOOKUP($A336,'0.Productos'!$A$3:$GG$587,'0.Productos'!CL$1+1,0),"")</f>
        <v/>
      </c>
      <c r="AU336" s="133" t="str">
        <f>IF($A336&lt;&gt;0,VLOOKUP($A336,'0.Productos'!$A$3:$GG$587,'0.Productos'!CM$1+1,0),"")</f>
        <v/>
      </c>
      <c r="AV336" s="133" t="str">
        <f>IF($A336&lt;&gt;0,VLOOKUP($A336,'0.Productos'!$A$3:$GG$587,'0.Productos'!CN$1+1,0),"")</f>
        <v/>
      </c>
      <c r="AW336" s="133" t="str">
        <f>IF($A336&lt;&gt;0,VLOOKUP($A336,'0.Productos'!$A$3:$GG$587,'0.Productos'!CO$1+1,0),"")</f>
        <v/>
      </c>
      <c r="AX336" s="133" t="str">
        <f>IF($A336&lt;&gt;0,VLOOKUP($A336,'0.Productos'!$A$3:$GG$587,'0.Productos'!CP$1+1,0),"")</f>
        <v/>
      </c>
      <c r="AY336" s="133" t="str">
        <f>IF($A336&lt;&gt;0,VLOOKUP($A336,'0.Productos'!$A$3:$GG$587,'0.Productos'!CQ$1+1,0),"")</f>
        <v/>
      </c>
      <c r="AZ336" s="133" t="str">
        <f>IF($A336&lt;&gt;0,VLOOKUP($A336,'0.Productos'!$A$3:$GG$587,'0.Productos'!CR$1+1,0),"")</f>
        <v/>
      </c>
      <c r="BA336" s="133" t="str">
        <f>IF($A336&lt;&gt;0,VLOOKUP($A336,'0.Productos'!$A$3:$GG$587,'0.Productos'!CS$1+1,0),"")</f>
        <v/>
      </c>
      <c r="BB336" s="133" t="str">
        <f>IF($A336&lt;&gt;0,VLOOKUP($A336,'0.Productos'!$A$3:$GG$587,'0.Productos'!CT$1+1,0),"")</f>
        <v/>
      </c>
      <c r="BC336" s="133" t="str">
        <f>IF($A336&lt;&gt;0,VLOOKUP($A336,'0.Productos'!$A$3:$GG$587,'0.Productos'!CU$1+1,0),"")</f>
        <v/>
      </c>
      <c r="BD336" s="133" t="str">
        <f>IF($A336&lt;&gt;0,VLOOKUP($A336,'0.Productos'!$A$3:$GG$587,'0.Productos'!CV$1+1,0),"")</f>
        <v/>
      </c>
      <c r="BE336" s="133" t="str">
        <f>IF($A336&lt;&gt;0,VLOOKUP($A336,'0.Productos'!$A$3:$GG$587,'0.Productos'!CW$1+1,0),"")</f>
        <v/>
      </c>
      <c r="BF336" s="133" t="str">
        <f>IF($A336&lt;&gt;0,VLOOKUP($A336,'0.Productos'!$A$3:$GG$587,'0.Productos'!CX$1+1,0),"")</f>
        <v/>
      </c>
      <c r="BG336" s="133" t="str">
        <f>IF($A336&lt;&gt;0,VLOOKUP($A336,'0.Productos'!$A$3:$GG$587,'0.Productos'!CY$1+1,0),"")</f>
        <v/>
      </c>
      <c r="BH336" s="133" t="str">
        <f>IF($A336&lt;&gt;0,VLOOKUP($A336,'0.Productos'!$A$3:$GG$587,'0.Productos'!CZ$1+1,0),"")</f>
        <v/>
      </c>
      <c r="BI336" s="133" t="str">
        <f>IF($A336&lt;&gt;0,VLOOKUP($A336,'0.Productos'!$A$3:$GG$587,'0.Productos'!DA$1+1,0),"")</f>
        <v/>
      </c>
      <c r="BJ336" s="133" t="str">
        <f>IF($A336&lt;&gt;0,VLOOKUP($A336,'0.Productos'!$A$3:$GG$587,'0.Productos'!DB$1+1,0),"")</f>
        <v/>
      </c>
      <c r="BK336" s="133" t="str">
        <f>IF($A336&lt;&gt;0,VLOOKUP($A336,'0.Productos'!$A$3:$GG$587,'0.Productos'!DC$1+1,0),"")</f>
        <v/>
      </c>
      <c r="BL336" s="133" t="str">
        <f>IF($A336&lt;&gt;0,VLOOKUP($A336,'0.Productos'!$A$3:$GG$587,'0.Productos'!DD$1+1,0),"")</f>
        <v/>
      </c>
      <c r="BM336" s="133" t="str">
        <f>IF($A336&lt;&gt;0,VLOOKUP($A336,'0.Productos'!$A$3:$GG$587,'0.Productos'!DE$1+1,0),"")</f>
        <v/>
      </c>
      <c r="BN336" s="133" t="str">
        <f>IF($A336&lt;&gt;0,VLOOKUP($A336,'0.Productos'!$A$3:$GG$587,'0.Productos'!DF$1+1,0),"")</f>
        <v/>
      </c>
      <c r="BO336" s="133" t="str">
        <f>IF($A336&lt;&gt;0,VLOOKUP($A336,'0.Productos'!$A$3:$GG$587,'0.Productos'!DG$1+1,0),"")</f>
        <v/>
      </c>
      <c r="BP336" s="133" t="str">
        <f>IF($A336&lt;&gt;0,VLOOKUP($A336,'0.Productos'!$A$3:$GG$587,'0.Productos'!DH$1+1,0),"")</f>
        <v/>
      </c>
      <c r="BQ336" s="133" t="str">
        <f>IF($A336&lt;&gt;0,VLOOKUP($A336,'0.Productos'!$A$3:$GG$587,'0.Productos'!DI$1+1,0),"")</f>
        <v/>
      </c>
      <c r="BR336" s="133" t="str">
        <f>IF($A336&lt;&gt;0,VLOOKUP($A336,'0.Productos'!$A$3:$GG$587,'0.Productos'!DJ$1+1,0),"")</f>
        <v/>
      </c>
      <c r="BS336" s="133" t="str">
        <f>IF($A336&lt;&gt;0,VLOOKUP($A336,'0.Productos'!$A$3:$GG$587,'0.Productos'!DK$1+1,0),"")</f>
        <v/>
      </c>
      <c r="BT336" s="133" t="str">
        <f>IF($A336&lt;&gt;0,VLOOKUP($A336,'0.Productos'!$A$3:$GG$587,'0.Productos'!DL$1+1,0),"")</f>
        <v/>
      </c>
    </row>
    <row r="337" spans="1:72" x14ac:dyDescent="0.25">
      <c r="A337" s="17">
        <f>'0.Consolidado general'!A337</f>
        <v>0</v>
      </c>
      <c r="B337" s="133" t="str">
        <f>IF($A337&lt;&gt;0,VLOOKUP($A337,'0.Productos'!$A$3:$GG$587,'0.Productos'!AT$1+1,0),"")</f>
        <v/>
      </c>
      <c r="C337" s="133" t="str">
        <f>IF($A337&lt;&gt;0,VLOOKUP($A337,'0.Productos'!$A$3:$GG$587,'0.Productos'!AU$1+1,0),"")</f>
        <v/>
      </c>
      <c r="D337" s="133" t="str">
        <f>IF($A337&lt;&gt;0,VLOOKUP($A337,'0.Productos'!$A$3:$GG$587,'0.Productos'!AV$1+1,0),"")</f>
        <v/>
      </c>
      <c r="E337" s="133" t="str">
        <f>IF($A337&lt;&gt;0,VLOOKUP($A337,'0.Productos'!$A$3:$GG$587,'0.Productos'!AW$1+1,0),"")</f>
        <v/>
      </c>
      <c r="F337" s="133" t="str">
        <f>IF($A337&lt;&gt;0,VLOOKUP($A337,'0.Productos'!$A$3:$GG$587,'0.Productos'!AX$1+1,0),"")</f>
        <v/>
      </c>
      <c r="G337" s="133" t="str">
        <f>IF($A337&lt;&gt;0,VLOOKUP($A337,'0.Productos'!$A$3:$GG$587,'0.Productos'!AY$1+1,0),"")</f>
        <v/>
      </c>
      <c r="H337" s="133" t="str">
        <f>IF($A337&lt;&gt;0,VLOOKUP($A337,'0.Productos'!$A$3:$GG$587,'0.Productos'!AZ$1+1,0),"")</f>
        <v/>
      </c>
      <c r="I337" s="133" t="str">
        <f>IF($A337&lt;&gt;0,VLOOKUP($A337,'0.Productos'!$A$3:$GG$587,'0.Productos'!BA$1+1,0),"")</f>
        <v/>
      </c>
      <c r="J337" s="133" t="str">
        <f>IF($A337&lt;&gt;0,VLOOKUP($A337,'0.Productos'!$A$3:$GG$587,'0.Productos'!BB$1+1,0),"")</f>
        <v/>
      </c>
      <c r="K337" s="133" t="str">
        <f>IF($A337&lt;&gt;0,VLOOKUP($A337,'0.Productos'!$A$3:$GG$587,'0.Productos'!BC$1+1,0),"")</f>
        <v/>
      </c>
      <c r="L337" s="133" t="str">
        <f>IF($A337&lt;&gt;0,VLOOKUP($A337,'0.Productos'!$A$3:$GG$587,'0.Productos'!BD$1+1,0),"")</f>
        <v/>
      </c>
      <c r="M337" s="133" t="str">
        <f>IF($A337&lt;&gt;0,VLOOKUP($A337,'0.Productos'!$A$3:$GG$587,'0.Productos'!BE$1+1,0),"")</f>
        <v/>
      </c>
      <c r="N337" s="133" t="str">
        <f>IF($A337&lt;&gt;0,VLOOKUP($A337,'0.Productos'!$A$3:$GG$587,'0.Productos'!BF$1+1,0),"")</f>
        <v/>
      </c>
      <c r="O337" s="133" t="str">
        <f>IF($A337&lt;&gt;0,VLOOKUP($A337,'0.Productos'!$A$3:$GG$587,'0.Productos'!BG$1+1,0),"")</f>
        <v/>
      </c>
      <c r="P337" s="133" t="str">
        <f>IF($A337&lt;&gt;0,VLOOKUP($A337,'0.Productos'!$A$3:$GG$587,'0.Productos'!BH$1+1,0),"")</f>
        <v/>
      </c>
      <c r="Q337" s="133" t="str">
        <f>IF($A337&lt;&gt;0,VLOOKUP($A337,'0.Productos'!$A$3:$GG$587,'0.Productos'!BI$1+1,0),"")</f>
        <v/>
      </c>
      <c r="R337" s="133" t="str">
        <f>IF($A337&lt;&gt;0,VLOOKUP($A337,'0.Productos'!$A$3:$GG$587,'0.Productos'!BJ$1+1,0),"")</f>
        <v/>
      </c>
      <c r="S337" s="133" t="str">
        <f>IF($A337&lt;&gt;0,VLOOKUP($A337,'0.Productos'!$A$3:$GG$587,'0.Productos'!BK$1+1,0),"")</f>
        <v/>
      </c>
      <c r="T337" s="133" t="str">
        <f>IF($A337&lt;&gt;0,VLOOKUP($A337,'0.Productos'!$A$3:$GG$587,'0.Productos'!BL$1+1,0),"")</f>
        <v/>
      </c>
      <c r="U337" s="133" t="str">
        <f>IF($A337&lt;&gt;0,VLOOKUP($A337,'0.Productos'!$A$3:$GG$587,'0.Productos'!BM$1+1,0),"")</f>
        <v/>
      </c>
      <c r="V337" s="133" t="str">
        <f>IF($A337&lt;&gt;0,VLOOKUP($A337,'0.Productos'!$A$3:$GG$587,'0.Productos'!BN$1+1,0),"")</f>
        <v/>
      </c>
      <c r="W337" s="133" t="str">
        <f>IF($A337&lt;&gt;0,VLOOKUP($A337,'0.Productos'!$A$3:$GG$587,'0.Productos'!BO$1+1,0),"")</f>
        <v/>
      </c>
      <c r="X337" s="133" t="str">
        <f>IF($A337&lt;&gt;0,VLOOKUP($A337,'0.Productos'!$A$3:$GG$587,'0.Productos'!BP$1+1,0),"")</f>
        <v/>
      </c>
      <c r="Y337" s="133" t="str">
        <f>IF($A337&lt;&gt;0,VLOOKUP($A337,'0.Productos'!$A$3:$GG$587,'0.Productos'!BQ$1+1,0),"")</f>
        <v/>
      </c>
      <c r="Z337" s="133" t="str">
        <f>IF($A337&lt;&gt;0,VLOOKUP($A337,'0.Productos'!$A$3:$GG$587,'0.Productos'!BR$1+1,0),"")</f>
        <v/>
      </c>
      <c r="AA337" s="133" t="str">
        <f>IF($A337&lt;&gt;0,VLOOKUP($A337,'0.Productos'!$A$3:$GG$587,'0.Productos'!BS$1+1,0),"")</f>
        <v/>
      </c>
      <c r="AB337" s="133" t="str">
        <f>IF($A337&lt;&gt;0,VLOOKUP($A337,'0.Productos'!$A$3:$GG$587,'0.Productos'!BT$1+1,0),"")</f>
        <v/>
      </c>
      <c r="AC337" s="133" t="str">
        <f>IF($A337&lt;&gt;0,VLOOKUP($A337,'0.Productos'!$A$3:$GG$587,'0.Productos'!BU$1+1,0),"")</f>
        <v/>
      </c>
      <c r="AD337" s="133" t="str">
        <f>IF($A337&lt;&gt;0,VLOOKUP($A337,'0.Productos'!$A$3:$GG$587,'0.Productos'!BV$1+1,0),"")</f>
        <v/>
      </c>
      <c r="AE337" s="133" t="str">
        <f>IF($A337&lt;&gt;0,VLOOKUP($A337,'0.Productos'!$A$3:$GG$587,'0.Productos'!BW$1+1,0),"")</f>
        <v/>
      </c>
      <c r="AF337" s="133" t="str">
        <f>IF($A337&lt;&gt;0,VLOOKUP($A337,'0.Productos'!$A$3:$GG$587,'0.Productos'!BX$1+1,0),"")</f>
        <v/>
      </c>
      <c r="AG337" s="133" t="str">
        <f>IF($A337&lt;&gt;0,VLOOKUP($A337,'0.Productos'!$A$3:$GG$587,'0.Productos'!BY$1+1,0),"")</f>
        <v/>
      </c>
      <c r="AH337" s="133" t="str">
        <f>IF($A337&lt;&gt;0,VLOOKUP($A337,'0.Productos'!$A$3:$GG$587,'0.Productos'!BZ$1+1,0),"")</f>
        <v/>
      </c>
      <c r="AI337" s="133" t="str">
        <f>IF($A337&lt;&gt;0,VLOOKUP($A337,'0.Productos'!$A$3:$GG$587,'0.Productos'!CA$1+1,0),"")</f>
        <v/>
      </c>
      <c r="AJ337" s="133" t="str">
        <f>IF($A337&lt;&gt;0,VLOOKUP($A337,'0.Productos'!$A$3:$GG$587,'0.Productos'!CB$1+1,0),"")</f>
        <v/>
      </c>
      <c r="AK337" s="133" t="str">
        <f>IF($A337&lt;&gt;0,VLOOKUP($A337,'0.Productos'!$A$3:$GG$587,'0.Productos'!CC$1+1,0),"")</f>
        <v/>
      </c>
      <c r="AL337" s="133" t="str">
        <f>IF($A337&lt;&gt;0,VLOOKUP($A337,'0.Productos'!$A$3:$GG$587,'0.Productos'!CD$1+1,0),"")</f>
        <v/>
      </c>
      <c r="AM337" s="133" t="str">
        <f>IF($A337&lt;&gt;0,VLOOKUP($A337,'0.Productos'!$A$3:$GG$587,'0.Productos'!CE$1+1,0),"")</f>
        <v/>
      </c>
      <c r="AN337" s="133" t="str">
        <f>IF($A337&lt;&gt;0,VLOOKUP($A337,'0.Productos'!$A$3:$GG$587,'0.Productos'!CF$1+1,0),"")</f>
        <v/>
      </c>
      <c r="AO337" s="133" t="str">
        <f>IF($A337&lt;&gt;0,VLOOKUP($A337,'0.Productos'!$A$3:$GG$587,'0.Productos'!CG$1+1,0),"")</f>
        <v/>
      </c>
      <c r="AP337" s="133" t="str">
        <f>IF($A337&lt;&gt;0,VLOOKUP($A337,'0.Productos'!$A$3:$GG$587,'0.Productos'!CH$1+1,0),"")</f>
        <v/>
      </c>
      <c r="AQ337" s="133" t="str">
        <f>IF($A337&lt;&gt;0,VLOOKUP($A337,'0.Productos'!$A$3:$GG$587,'0.Productos'!CI$1+1,0),"")</f>
        <v/>
      </c>
      <c r="AR337" s="133" t="str">
        <f>IF($A337&lt;&gt;0,VLOOKUP($A337,'0.Productos'!$A$3:$GG$587,'0.Productos'!CJ$1+1,0),"")</f>
        <v/>
      </c>
      <c r="AS337" s="133" t="str">
        <f>IF($A337&lt;&gt;0,VLOOKUP($A337,'0.Productos'!$A$3:$GG$587,'0.Productos'!CK$1+1,0),"")</f>
        <v/>
      </c>
      <c r="AT337" s="133" t="str">
        <f>IF($A337&lt;&gt;0,VLOOKUP($A337,'0.Productos'!$A$3:$GG$587,'0.Productos'!CL$1+1,0),"")</f>
        <v/>
      </c>
      <c r="AU337" s="133" t="str">
        <f>IF($A337&lt;&gt;0,VLOOKUP($A337,'0.Productos'!$A$3:$GG$587,'0.Productos'!CM$1+1,0),"")</f>
        <v/>
      </c>
      <c r="AV337" s="133" t="str">
        <f>IF($A337&lt;&gt;0,VLOOKUP($A337,'0.Productos'!$A$3:$GG$587,'0.Productos'!CN$1+1,0),"")</f>
        <v/>
      </c>
      <c r="AW337" s="133" t="str">
        <f>IF($A337&lt;&gt;0,VLOOKUP($A337,'0.Productos'!$A$3:$GG$587,'0.Productos'!CO$1+1,0),"")</f>
        <v/>
      </c>
      <c r="AX337" s="133" t="str">
        <f>IF($A337&lt;&gt;0,VLOOKUP($A337,'0.Productos'!$A$3:$GG$587,'0.Productos'!CP$1+1,0),"")</f>
        <v/>
      </c>
      <c r="AY337" s="133" t="str">
        <f>IF($A337&lt;&gt;0,VLOOKUP($A337,'0.Productos'!$A$3:$GG$587,'0.Productos'!CQ$1+1,0),"")</f>
        <v/>
      </c>
      <c r="AZ337" s="133" t="str">
        <f>IF($A337&lt;&gt;0,VLOOKUP($A337,'0.Productos'!$A$3:$GG$587,'0.Productos'!CR$1+1,0),"")</f>
        <v/>
      </c>
      <c r="BA337" s="133" t="str">
        <f>IF($A337&lt;&gt;0,VLOOKUP($A337,'0.Productos'!$A$3:$GG$587,'0.Productos'!CS$1+1,0),"")</f>
        <v/>
      </c>
      <c r="BB337" s="133" t="str">
        <f>IF($A337&lt;&gt;0,VLOOKUP($A337,'0.Productos'!$A$3:$GG$587,'0.Productos'!CT$1+1,0),"")</f>
        <v/>
      </c>
      <c r="BC337" s="133" t="str">
        <f>IF($A337&lt;&gt;0,VLOOKUP($A337,'0.Productos'!$A$3:$GG$587,'0.Productos'!CU$1+1,0),"")</f>
        <v/>
      </c>
      <c r="BD337" s="133" t="str">
        <f>IF($A337&lt;&gt;0,VLOOKUP($A337,'0.Productos'!$A$3:$GG$587,'0.Productos'!CV$1+1,0),"")</f>
        <v/>
      </c>
      <c r="BE337" s="133" t="str">
        <f>IF($A337&lt;&gt;0,VLOOKUP($A337,'0.Productos'!$A$3:$GG$587,'0.Productos'!CW$1+1,0),"")</f>
        <v/>
      </c>
      <c r="BF337" s="133" t="str">
        <f>IF($A337&lt;&gt;0,VLOOKUP($A337,'0.Productos'!$A$3:$GG$587,'0.Productos'!CX$1+1,0),"")</f>
        <v/>
      </c>
      <c r="BG337" s="133" t="str">
        <f>IF($A337&lt;&gt;0,VLOOKUP($A337,'0.Productos'!$A$3:$GG$587,'0.Productos'!CY$1+1,0),"")</f>
        <v/>
      </c>
      <c r="BH337" s="133" t="str">
        <f>IF($A337&lt;&gt;0,VLOOKUP($A337,'0.Productos'!$A$3:$GG$587,'0.Productos'!CZ$1+1,0),"")</f>
        <v/>
      </c>
      <c r="BI337" s="133" t="str">
        <f>IF($A337&lt;&gt;0,VLOOKUP($A337,'0.Productos'!$A$3:$GG$587,'0.Productos'!DA$1+1,0),"")</f>
        <v/>
      </c>
      <c r="BJ337" s="133" t="str">
        <f>IF($A337&lt;&gt;0,VLOOKUP($A337,'0.Productos'!$A$3:$GG$587,'0.Productos'!DB$1+1,0),"")</f>
        <v/>
      </c>
      <c r="BK337" s="133" t="str">
        <f>IF($A337&lt;&gt;0,VLOOKUP($A337,'0.Productos'!$A$3:$GG$587,'0.Productos'!DC$1+1,0),"")</f>
        <v/>
      </c>
      <c r="BL337" s="133" t="str">
        <f>IF($A337&lt;&gt;0,VLOOKUP($A337,'0.Productos'!$A$3:$GG$587,'0.Productos'!DD$1+1,0),"")</f>
        <v/>
      </c>
      <c r="BM337" s="133" t="str">
        <f>IF($A337&lt;&gt;0,VLOOKUP($A337,'0.Productos'!$A$3:$GG$587,'0.Productos'!DE$1+1,0),"")</f>
        <v/>
      </c>
      <c r="BN337" s="133" t="str">
        <f>IF($A337&lt;&gt;0,VLOOKUP($A337,'0.Productos'!$A$3:$GG$587,'0.Productos'!DF$1+1,0),"")</f>
        <v/>
      </c>
      <c r="BO337" s="133" t="str">
        <f>IF($A337&lt;&gt;0,VLOOKUP($A337,'0.Productos'!$A$3:$GG$587,'0.Productos'!DG$1+1,0),"")</f>
        <v/>
      </c>
      <c r="BP337" s="133" t="str">
        <f>IF($A337&lt;&gt;0,VLOOKUP($A337,'0.Productos'!$A$3:$GG$587,'0.Productos'!DH$1+1,0),"")</f>
        <v/>
      </c>
      <c r="BQ337" s="133" t="str">
        <f>IF($A337&lt;&gt;0,VLOOKUP($A337,'0.Productos'!$A$3:$GG$587,'0.Productos'!DI$1+1,0),"")</f>
        <v/>
      </c>
      <c r="BR337" s="133" t="str">
        <f>IF($A337&lt;&gt;0,VLOOKUP($A337,'0.Productos'!$A$3:$GG$587,'0.Productos'!DJ$1+1,0),"")</f>
        <v/>
      </c>
      <c r="BS337" s="133" t="str">
        <f>IF($A337&lt;&gt;0,VLOOKUP($A337,'0.Productos'!$A$3:$GG$587,'0.Productos'!DK$1+1,0),"")</f>
        <v/>
      </c>
      <c r="BT337" s="133" t="str">
        <f>IF($A337&lt;&gt;0,VLOOKUP($A337,'0.Productos'!$A$3:$GG$587,'0.Productos'!DL$1+1,0),"")</f>
        <v/>
      </c>
    </row>
    <row r="338" spans="1:72" x14ac:dyDescent="0.25">
      <c r="A338" s="17">
        <f>'0.Consolidado general'!A338</f>
        <v>0</v>
      </c>
      <c r="B338" s="133" t="str">
        <f>IF($A338&lt;&gt;0,VLOOKUP($A338,'0.Productos'!$A$3:$GG$587,'0.Productos'!AT$1+1,0),"")</f>
        <v/>
      </c>
      <c r="C338" s="133" t="str">
        <f>IF($A338&lt;&gt;0,VLOOKUP($A338,'0.Productos'!$A$3:$GG$587,'0.Productos'!AU$1+1,0),"")</f>
        <v/>
      </c>
      <c r="D338" s="133" t="str">
        <f>IF($A338&lt;&gt;0,VLOOKUP($A338,'0.Productos'!$A$3:$GG$587,'0.Productos'!AV$1+1,0),"")</f>
        <v/>
      </c>
      <c r="E338" s="133" t="str">
        <f>IF($A338&lt;&gt;0,VLOOKUP($A338,'0.Productos'!$A$3:$GG$587,'0.Productos'!AW$1+1,0),"")</f>
        <v/>
      </c>
      <c r="F338" s="133" t="str">
        <f>IF($A338&lt;&gt;0,VLOOKUP($A338,'0.Productos'!$A$3:$GG$587,'0.Productos'!AX$1+1,0),"")</f>
        <v/>
      </c>
      <c r="G338" s="133" t="str">
        <f>IF($A338&lt;&gt;0,VLOOKUP($A338,'0.Productos'!$A$3:$GG$587,'0.Productos'!AY$1+1,0),"")</f>
        <v/>
      </c>
      <c r="H338" s="133" t="str">
        <f>IF($A338&lt;&gt;0,VLOOKUP($A338,'0.Productos'!$A$3:$GG$587,'0.Productos'!AZ$1+1,0),"")</f>
        <v/>
      </c>
      <c r="I338" s="133" t="str">
        <f>IF($A338&lt;&gt;0,VLOOKUP($A338,'0.Productos'!$A$3:$GG$587,'0.Productos'!BA$1+1,0),"")</f>
        <v/>
      </c>
      <c r="J338" s="133" t="str">
        <f>IF($A338&lt;&gt;0,VLOOKUP($A338,'0.Productos'!$A$3:$GG$587,'0.Productos'!BB$1+1,0),"")</f>
        <v/>
      </c>
      <c r="K338" s="133" t="str">
        <f>IF($A338&lt;&gt;0,VLOOKUP($A338,'0.Productos'!$A$3:$GG$587,'0.Productos'!BC$1+1,0),"")</f>
        <v/>
      </c>
      <c r="L338" s="133" t="str">
        <f>IF($A338&lt;&gt;0,VLOOKUP($A338,'0.Productos'!$A$3:$GG$587,'0.Productos'!BD$1+1,0),"")</f>
        <v/>
      </c>
      <c r="M338" s="133" t="str">
        <f>IF($A338&lt;&gt;0,VLOOKUP($A338,'0.Productos'!$A$3:$GG$587,'0.Productos'!BE$1+1,0),"")</f>
        <v/>
      </c>
      <c r="N338" s="133" t="str">
        <f>IF($A338&lt;&gt;0,VLOOKUP($A338,'0.Productos'!$A$3:$GG$587,'0.Productos'!BF$1+1,0),"")</f>
        <v/>
      </c>
      <c r="O338" s="133" t="str">
        <f>IF($A338&lt;&gt;0,VLOOKUP($A338,'0.Productos'!$A$3:$GG$587,'0.Productos'!BG$1+1,0),"")</f>
        <v/>
      </c>
      <c r="P338" s="133" t="str">
        <f>IF($A338&lt;&gt;0,VLOOKUP($A338,'0.Productos'!$A$3:$GG$587,'0.Productos'!BH$1+1,0),"")</f>
        <v/>
      </c>
      <c r="Q338" s="133" t="str">
        <f>IF($A338&lt;&gt;0,VLOOKUP($A338,'0.Productos'!$A$3:$GG$587,'0.Productos'!BI$1+1,0),"")</f>
        <v/>
      </c>
      <c r="R338" s="133" t="str">
        <f>IF($A338&lt;&gt;0,VLOOKUP($A338,'0.Productos'!$A$3:$GG$587,'0.Productos'!BJ$1+1,0),"")</f>
        <v/>
      </c>
      <c r="S338" s="133" t="str">
        <f>IF($A338&lt;&gt;0,VLOOKUP($A338,'0.Productos'!$A$3:$GG$587,'0.Productos'!BK$1+1,0),"")</f>
        <v/>
      </c>
      <c r="T338" s="133" t="str">
        <f>IF($A338&lt;&gt;0,VLOOKUP($A338,'0.Productos'!$A$3:$GG$587,'0.Productos'!BL$1+1,0),"")</f>
        <v/>
      </c>
      <c r="U338" s="133" t="str">
        <f>IF($A338&lt;&gt;0,VLOOKUP($A338,'0.Productos'!$A$3:$GG$587,'0.Productos'!BM$1+1,0),"")</f>
        <v/>
      </c>
      <c r="V338" s="133" t="str">
        <f>IF($A338&lt;&gt;0,VLOOKUP($A338,'0.Productos'!$A$3:$GG$587,'0.Productos'!BN$1+1,0),"")</f>
        <v/>
      </c>
      <c r="W338" s="133" t="str">
        <f>IF($A338&lt;&gt;0,VLOOKUP($A338,'0.Productos'!$A$3:$GG$587,'0.Productos'!BO$1+1,0),"")</f>
        <v/>
      </c>
      <c r="X338" s="133" t="str">
        <f>IF($A338&lt;&gt;0,VLOOKUP($A338,'0.Productos'!$A$3:$GG$587,'0.Productos'!BP$1+1,0),"")</f>
        <v/>
      </c>
      <c r="Y338" s="133" t="str">
        <f>IF($A338&lt;&gt;0,VLOOKUP($A338,'0.Productos'!$A$3:$GG$587,'0.Productos'!BQ$1+1,0),"")</f>
        <v/>
      </c>
      <c r="Z338" s="133" t="str">
        <f>IF($A338&lt;&gt;0,VLOOKUP($A338,'0.Productos'!$A$3:$GG$587,'0.Productos'!BR$1+1,0),"")</f>
        <v/>
      </c>
      <c r="AA338" s="133" t="str">
        <f>IF($A338&lt;&gt;0,VLOOKUP($A338,'0.Productos'!$A$3:$GG$587,'0.Productos'!BS$1+1,0),"")</f>
        <v/>
      </c>
      <c r="AB338" s="133" t="str">
        <f>IF($A338&lt;&gt;0,VLOOKUP($A338,'0.Productos'!$A$3:$GG$587,'0.Productos'!BT$1+1,0),"")</f>
        <v/>
      </c>
      <c r="AC338" s="133" t="str">
        <f>IF($A338&lt;&gt;0,VLOOKUP($A338,'0.Productos'!$A$3:$GG$587,'0.Productos'!BU$1+1,0),"")</f>
        <v/>
      </c>
      <c r="AD338" s="133" t="str">
        <f>IF($A338&lt;&gt;0,VLOOKUP($A338,'0.Productos'!$A$3:$GG$587,'0.Productos'!BV$1+1,0),"")</f>
        <v/>
      </c>
      <c r="AE338" s="133" t="str">
        <f>IF($A338&lt;&gt;0,VLOOKUP($A338,'0.Productos'!$A$3:$GG$587,'0.Productos'!BW$1+1,0),"")</f>
        <v/>
      </c>
      <c r="AF338" s="133" t="str">
        <f>IF($A338&lt;&gt;0,VLOOKUP($A338,'0.Productos'!$A$3:$GG$587,'0.Productos'!BX$1+1,0),"")</f>
        <v/>
      </c>
      <c r="AG338" s="133" t="str">
        <f>IF($A338&lt;&gt;0,VLOOKUP($A338,'0.Productos'!$A$3:$GG$587,'0.Productos'!BY$1+1,0),"")</f>
        <v/>
      </c>
      <c r="AH338" s="133" t="str">
        <f>IF($A338&lt;&gt;0,VLOOKUP($A338,'0.Productos'!$A$3:$GG$587,'0.Productos'!BZ$1+1,0),"")</f>
        <v/>
      </c>
      <c r="AI338" s="133" t="str">
        <f>IF($A338&lt;&gt;0,VLOOKUP($A338,'0.Productos'!$A$3:$GG$587,'0.Productos'!CA$1+1,0),"")</f>
        <v/>
      </c>
      <c r="AJ338" s="133" t="str">
        <f>IF($A338&lt;&gt;0,VLOOKUP($A338,'0.Productos'!$A$3:$GG$587,'0.Productos'!CB$1+1,0),"")</f>
        <v/>
      </c>
      <c r="AK338" s="133" t="str">
        <f>IF($A338&lt;&gt;0,VLOOKUP($A338,'0.Productos'!$A$3:$GG$587,'0.Productos'!CC$1+1,0),"")</f>
        <v/>
      </c>
      <c r="AL338" s="133" t="str">
        <f>IF($A338&lt;&gt;0,VLOOKUP($A338,'0.Productos'!$A$3:$GG$587,'0.Productos'!CD$1+1,0),"")</f>
        <v/>
      </c>
      <c r="AM338" s="133" t="str">
        <f>IF($A338&lt;&gt;0,VLOOKUP($A338,'0.Productos'!$A$3:$GG$587,'0.Productos'!CE$1+1,0),"")</f>
        <v/>
      </c>
      <c r="AN338" s="133" t="str">
        <f>IF($A338&lt;&gt;0,VLOOKUP($A338,'0.Productos'!$A$3:$GG$587,'0.Productos'!CF$1+1,0),"")</f>
        <v/>
      </c>
      <c r="AO338" s="133" t="str">
        <f>IF($A338&lt;&gt;0,VLOOKUP($A338,'0.Productos'!$A$3:$GG$587,'0.Productos'!CG$1+1,0),"")</f>
        <v/>
      </c>
      <c r="AP338" s="133" t="str">
        <f>IF($A338&lt;&gt;0,VLOOKUP($A338,'0.Productos'!$A$3:$GG$587,'0.Productos'!CH$1+1,0),"")</f>
        <v/>
      </c>
      <c r="AQ338" s="133" t="str">
        <f>IF($A338&lt;&gt;0,VLOOKUP($A338,'0.Productos'!$A$3:$GG$587,'0.Productos'!CI$1+1,0),"")</f>
        <v/>
      </c>
      <c r="AR338" s="133" t="str">
        <f>IF($A338&lt;&gt;0,VLOOKUP($A338,'0.Productos'!$A$3:$GG$587,'0.Productos'!CJ$1+1,0),"")</f>
        <v/>
      </c>
      <c r="AS338" s="133" t="str">
        <f>IF($A338&lt;&gt;0,VLOOKUP($A338,'0.Productos'!$A$3:$GG$587,'0.Productos'!CK$1+1,0),"")</f>
        <v/>
      </c>
      <c r="AT338" s="133" t="str">
        <f>IF($A338&lt;&gt;0,VLOOKUP($A338,'0.Productos'!$A$3:$GG$587,'0.Productos'!CL$1+1,0),"")</f>
        <v/>
      </c>
      <c r="AU338" s="133" t="str">
        <f>IF($A338&lt;&gt;0,VLOOKUP($A338,'0.Productos'!$A$3:$GG$587,'0.Productos'!CM$1+1,0),"")</f>
        <v/>
      </c>
      <c r="AV338" s="133" t="str">
        <f>IF($A338&lt;&gt;0,VLOOKUP($A338,'0.Productos'!$A$3:$GG$587,'0.Productos'!CN$1+1,0),"")</f>
        <v/>
      </c>
      <c r="AW338" s="133" t="str">
        <f>IF($A338&lt;&gt;0,VLOOKUP($A338,'0.Productos'!$A$3:$GG$587,'0.Productos'!CO$1+1,0),"")</f>
        <v/>
      </c>
      <c r="AX338" s="133" t="str">
        <f>IF($A338&lt;&gt;0,VLOOKUP($A338,'0.Productos'!$A$3:$GG$587,'0.Productos'!CP$1+1,0),"")</f>
        <v/>
      </c>
      <c r="AY338" s="133" t="str">
        <f>IF($A338&lt;&gt;0,VLOOKUP($A338,'0.Productos'!$A$3:$GG$587,'0.Productos'!CQ$1+1,0),"")</f>
        <v/>
      </c>
      <c r="AZ338" s="133" t="str">
        <f>IF($A338&lt;&gt;0,VLOOKUP($A338,'0.Productos'!$A$3:$GG$587,'0.Productos'!CR$1+1,0),"")</f>
        <v/>
      </c>
      <c r="BA338" s="133" t="str">
        <f>IF($A338&lt;&gt;0,VLOOKUP($A338,'0.Productos'!$A$3:$GG$587,'0.Productos'!CS$1+1,0),"")</f>
        <v/>
      </c>
      <c r="BB338" s="133" t="str">
        <f>IF($A338&lt;&gt;0,VLOOKUP($A338,'0.Productos'!$A$3:$GG$587,'0.Productos'!CT$1+1,0),"")</f>
        <v/>
      </c>
      <c r="BC338" s="133" t="str">
        <f>IF($A338&lt;&gt;0,VLOOKUP($A338,'0.Productos'!$A$3:$GG$587,'0.Productos'!CU$1+1,0),"")</f>
        <v/>
      </c>
      <c r="BD338" s="133" t="str">
        <f>IF($A338&lt;&gt;0,VLOOKUP($A338,'0.Productos'!$A$3:$GG$587,'0.Productos'!CV$1+1,0),"")</f>
        <v/>
      </c>
      <c r="BE338" s="133" t="str">
        <f>IF($A338&lt;&gt;0,VLOOKUP($A338,'0.Productos'!$A$3:$GG$587,'0.Productos'!CW$1+1,0),"")</f>
        <v/>
      </c>
      <c r="BF338" s="133" t="str">
        <f>IF($A338&lt;&gt;0,VLOOKUP($A338,'0.Productos'!$A$3:$GG$587,'0.Productos'!CX$1+1,0),"")</f>
        <v/>
      </c>
      <c r="BG338" s="133" t="str">
        <f>IF($A338&lt;&gt;0,VLOOKUP($A338,'0.Productos'!$A$3:$GG$587,'0.Productos'!CY$1+1,0),"")</f>
        <v/>
      </c>
      <c r="BH338" s="133" t="str">
        <f>IF($A338&lt;&gt;0,VLOOKUP($A338,'0.Productos'!$A$3:$GG$587,'0.Productos'!CZ$1+1,0),"")</f>
        <v/>
      </c>
      <c r="BI338" s="133" t="str">
        <f>IF($A338&lt;&gt;0,VLOOKUP($A338,'0.Productos'!$A$3:$GG$587,'0.Productos'!DA$1+1,0),"")</f>
        <v/>
      </c>
      <c r="BJ338" s="133" t="str">
        <f>IF($A338&lt;&gt;0,VLOOKUP($A338,'0.Productos'!$A$3:$GG$587,'0.Productos'!DB$1+1,0),"")</f>
        <v/>
      </c>
      <c r="BK338" s="133" t="str">
        <f>IF($A338&lt;&gt;0,VLOOKUP($A338,'0.Productos'!$A$3:$GG$587,'0.Productos'!DC$1+1,0),"")</f>
        <v/>
      </c>
      <c r="BL338" s="133" t="str">
        <f>IF($A338&lt;&gt;0,VLOOKUP($A338,'0.Productos'!$A$3:$GG$587,'0.Productos'!DD$1+1,0),"")</f>
        <v/>
      </c>
      <c r="BM338" s="133" t="str">
        <f>IF($A338&lt;&gt;0,VLOOKUP($A338,'0.Productos'!$A$3:$GG$587,'0.Productos'!DE$1+1,0),"")</f>
        <v/>
      </c>
      <c r="BN338" s="133" t="str">
        <f>IF($A338&lt;&gt;0,VLOOKUP($A338,'0.Productos'!$A$3:$GG$587,'0.Productos'!DF$1+1,0),"")</f>
        <v/>
      </c>
      <c r="BO338" s="133" t="str">
        <f>IF($A338&lt;&gt;0,VLOOKUP($A338,'0.Productos'!$A$3:$GG$587,'0.Productos'!DG$1+1,0),"")</f>
        <v/>
      </c>
      <c r="BP338" s="133" t="str">
        <f>IF($A338&lt;&gt;0,VLOOKUP($A338,'0.Productos'!$A$3:$GG$587,'0.Productos'!DH$1+1,0),"")</f>
        <v/>
      </c>
      <c r="BQ338" s="133" t="str">
        <f>IF($A338&lt;&gt;0,VLOOKUP($A338,'0.Productos'!$A$3:$GG$587,'0.Productos'!DI$1+1,0),"")</f>
        <v/>
      </c>
      <c r="BR338" s="133" t="str">
        <f>IF($A338&lt;&gt;0,VLOOKUP($A338,'0.Productos'!$A$3:$GG$587,'0.Productos'!DJ$1+1,0),"")</f>
        <v/>
      </c>
      <c r="BS338" s="133" t="str">
        <f>IF($A338&lt;&gt;0,VLOOKUP($A338,'0.Productos'!$A$3:$GG$587,'0.Productos'!DK$1+1,0),"")</f>
        <v/>
      </c>
      <c r="BT338" s="133" t="str">
        <f>IF($A338&lt;&gt;0,VLOOKUP($A338,'0.Productos'!$A$3:$GG$587,'0.Productos'!DL$1+1,0),"")</f>
        <v/>
      </c>
    </row>
    <row r="339" spans="1:72" x14ac:dyDescent="0.25">
      <c r="A339" s="17">
        <f>'0.Consolidado general'!A339</f>
        <v>0</v>
      </c>
      <c r="B339" s="133" t="str">
        <f>IF($A339&lt;&gt;0,VLOOKUP($A339,'0.Productos'!$A$3:$GG$587,'0.Productos'!AT$1+1,0),"")</f>
        <v/>
      </c>
      <c r="C339" s="133" t="str">
        <f>IF($A339&lt;&gt;0,VLOOKUP($A339,'0.Productos'!$A$3:$GG$587,'0.Productos'!AU$1+1,0),"")</f>
        <v/>
      </c>
      <c r="D339" s="133" t="str">
        <f>IF($A339&lt;&gt;0,VLOOKUP($A339,'0.Productos'!$A$3:$GG$587,'0.Productos'!AV$1+1,0),"")</f>
        <v/>
      </c>
      <c r="E339" s="133" t="str">
        <f>IF($A339&lt;&gt;0,VLOOKUP($A339,'0.Productos'!$A$3:$GG$587,'0.Productos'!AW$1+1,0),"")</f>
        <v/>
      </c>
      <c r="F339" s="133" t="str">
        <f>IF($A339&lt;&gt;0,VLOOKUP($A339,'0.Productos'!$A$3:$GG$587,'0.Productos'!AX$1+1,0),"")</f>
        <v/>
      </c>
      <c r="G339" s="133" t="str">
        <f>IF($A339&lt;&gt;0,VLOOKUP($A339,'0.Productos'!$A$3:$GG$587,'0.Productos'!AY$1+1,0),"")</f>
        <v/>
      </c>
      <c r="H339" s="133" t="str">
        <f>IF($A339&lt;&gt;0,VLOOKUP($A339,'0.Productos'!$A$3:$GG$587,'0.Productos'!AZ$1+1,0),"")</f>
        <v/>
      </c>
      <c r="I339" s="133" t="str">
        <f>IF($A339&lt;&gt;0,VLOOKUP($A339,'0.Productos'!$A$3:$GG$587,'0.Productos'!BA$1+1,0),"")</f>
        <v/>
      </c>
      <c r="J339" s="133" t="str">
        <f>IF($A339&lt;&gt;0,VLOOKUP($A339,'0.Productos'!$A$3:$GG$587,'0.Productos'!BB$1+1,0),"")</f>
        <v/>
      </c>
      <c r="K339" s="133" t="str">
        <f>IF($A339&lt;&gt;0,VLOOKUP($A339,'0.Productos'!$A$3:$GG$587,'0.Productos'!BC$1+1,0),"")</f>
        <v/>
      </c>
      <c r="L339" s="133" t="str">
        <f>IF($A339&lt;&gt;0,VLOOKUP($A339,'0.Productos'!$A$3:$GG$587,'0.Productos'!BD$1+1,0),"")</f>
        <v/>
      </c>
      <c r="M339" s="133" t="str">
        <f>IF($A339&lt;&gt;0,VLOOKUP($A339,'0.Productos'!$A$3:$GG$587,'0.Productos'!BE$1+1,0),"")</f>
        <v/>
      </c>
      <c r="N339" s="133" t="str">
        <f>IF($A339&lt;&gt;0,VLOOKUP($A339,'0.Productos'!$A$3:$GG$587,'0.Productos'!BF$1+1,0),"")</f>
        <v/>
      </c>
      <c r="O339" s="133" t="str">
        <f>IF($A339&lt;&gt;0,VLOOKUP($A339,'0.Productos'!$A$3:$GG$587,'0.Productos'!BG$1+1,0),"")</f>
        <v/>
      </c>
      <c r="P339" s="133" t="str">
        <f>IF($A339&lt;&gt;0,VLOOKUP($A339,'0.Productos'!$A$3:$GG$587,'0.Productos'!BH$1+1,0),"")</f>
        <v/>
      </c>
      <c r="Q339" s="133" t="str">
        <f>IF($A339&lt;&gt;0,VLOOKUP($A339,'0.Productos'!$A$3:$GG$587,'0.Productos'!BI$1+1,0),"")</f>
        <v/>
      </c>
      <c r="R339" s="133" t="str">
        <f>IF($A339&lt;&gt;0,VLOOKUP($A339,'0.Productos'!$A$3:$GG$587,'0.Productos'!BJ$1+1,0),"")</f>
        <v/>
      </c>
      <c r="S339" s="133" t="str">
        <f>IF($A339&lt;&gt;0,VLOOKUP($A339,'0.Productos'!$A$3:$GG$587,'0.Productos'!BK$1+1,0),"")</f>
        <v/>
      </c>
      <c r="T339" s="133" t="str">
        <f>IF($A339&lt;&gt;0,VLOOKUP($A339,'0.Productos'!$A$3:$GG$587,'0.Productos'!BL$1+1,0),"")</f>
        <v/>
      </c>
      <c r="U339" s="133" t="str">
        <f>IF($A339&lt;&gt;0,VLOOKUP($A339,'0.Productos'!$A$3:$GG$587,'0.Productos'!BM$1+1,0),"")</f>
        <v/>
      </c>
      <c r="V339" s="133" t="str">
        <f>IF($A339&lt;&gt;0,VLOOKUP($A339,'0.Productos'!$A$3:$GG$587,'0.Productos'!BN$1+1,0),"")</f>
        <v/>
      </c>
      <c r="W339" s="133" t="str">
        <f>IF($A339&lt;&gt;0,VLOOKUP($A339,'0.Productos'!$A$3:$GG$587,'0.Productos'!BO$1+1,0),"")</f>
        <v/>
      </c>
      <c r="X339" s="133" t="str">
        <f>IF($A339&lt;&gt;0,VLOOKUP($A339,'0.Productos'!$A$3:$GG$587,'0.Productos'!BP$1+1,0),"")</f>
        <v/>
      </c>
      <c r="Y339" s="133" t="str">
        <f>IF($A339&lt;&gt;0,VLOOKUP($A339,'0.Productos'!$A$3:$GG$587,'0.Productos'!BQ$1+1,0),"")</f>
        <v/>
      </c>
      <c r="Z339" s="133" t="str">
        <f>IF($A339&lt;&gt;0,VLOOKUP($A339,'0.Productos'!$A$3:$GG$587,'0.Productos'!BR$1+1,0),"")</f>
        <v/>
      </c>
      <c r="AA339" s="133" t="str">
        <f>IF($A339&lt;&gt;0,VLOOKUP($A339,'0.Productos'!$A$3:$GG$587,'0.Productos'!BS$1+1,0),"")</f>
        <v/>
      </c>
      <c r="AB339" s="133" t="str">
        <f>IF($A339&lt;&gt;0,VLOOKUP($A339,'0.Productos'!$A$3:$GG$587,'0.Productos'!BT$1+1,0),"")</f>
        <v/>
      </c>
      <c r="AC339" s="133" t="str">
        <f>IF($A339&lt;&gt;0,VLOOKUP($A339,'0.Productos'!$A$3:$GG$587,'0.Productos'!BU$1+1,0),"")</f>
        <v/>
      </c>
      <c r="AD339" s="133" t="str">
        <f>IF($A339&lt;&gt;0,VLOOKUP($A339,'0.Productos'!$A$3:$GG$587,'0.Productos'!BV$1+1,0),"")</f>
        <v/>
      </c>
      <c r="AE339" s="133" t="str">
        <f>IF($A339&lt;&gt;0,VLOOKUP($A339,'0.Productos'!$A$3:$GG$587,'0.Productos'!BW$1+1,0),"")</f>
        <v/>
      </c>
      <c r="AF339" s="133" t="str">
        <f>IF($A339&lt;&gt;0,VLOOKUP($A339,'0.Productos'!$A$3:$GG$587,'0.Productos'!BX$1+1,0),"")</f>
        <v/>
      </c>
      <c r="AG339" s="133" t="str">
        <f>IF($A339&lt;&gt;0,VLOOKUP($A339,'0.Productos'!$A$3:$GG$587,'0.Productos'!BY$1+1,0),"")</f>
        <v/>
      </c>
      <c r="AH339" s="133" t="str">
        <f>IF($A339&lt;&gt;0,VLOOKUP($A339,'0.Productos'!$A$3:$GG$587,'0.Productos'!BZ$1+1,0),"")</f>
        <v/>
      </c>
      <c r="AI339" s="133" t="str">
        <f>IF($A339&lt;&gt;0,VLOOKUP($A339,'0.Productos'!$A$3:$GG$587,'0.Productos'!CA$1+1,0),"")</f>
        <v/>
      </c>
      <c r="AJ339" s="133" t="str">
        <f>IF($A339&lt;&gt;0,VLOOKUP($A339,'0.Productos'!$A$3:$GG$587,'0.Productos'!CB$1+1,0),"")</f>
        <v/>
      </c>
      <c r="AK339" s="133" t="str">
        <f>IF($A339&lt;&gt;0,VLOOKUP($A339,'0.Productos'!$A$3:$GG$587,'0.Productos'!CC$1+1,0),"")</f>
        <v/>
      </c>
      <c r="AL339" s="133" t="str">
        <f>IF($A339&lt;&gt;0,VLOOKUP($A339,'0.Productos'!$A$3:$GG$587,'0.Productos'!CD$1+1,0),"")</f>
        <v/>
      </c>
      <c r="AM339" s="133" t="str">
        <f>IF($A339&lt;&gt;0,VLOOKUP($A339,'0.Productos'!$A$3:$GG$587,'0.Productos'!CE$1+1,0),"")</f>
        <v/>
      </c>
      <c r="AN339" s="133" t="str">
        <f>IF($A339&lt;&gt;0,VLOOKUP($A339,'0.Productos'!$A$3:$GG$587,'0.Productos'!CF$1+1,0),"")</f>
        <v/>
      </c>
      <c r="AO339" s="133" t="str">
        <f>IF($A339&lt;&gt;0,VLOOKUP($A339,'0.Productos'!$A$3:$GG$587,'0.Productos'!CG$1+1,0),"")</f>
        <v/>
      </c>
      <c r="AP339" s="133" t="str">
        <f>IF($A339&lt;&gt;0,VLOOKUP($A339,'0.Productos'!$A$3:$GG$587,'0.Productos'!CH$1+1,0),"")</f>
        <v/>
      </c>
      <c r="AQ339" s="133" t="str">
        <f>IF($A339&lt;&gt;0,VLOOKUP($A339,'0.Productos'!$A$3:$GG$587,'0.Productos'!CI$1+1,0),"")</f>
        <v/>
      </c>
      <c r="AR339" s="133" t="str">
        <f>IF($A339&lt;&gt;0,VLOOKUP($A339,'0.Productos'!$A$3:$GG$587,'0.Productos'!CJ$1+1,0),"")</f>
        <v/>
      </c>
      <c r="AS339" s="133" t="str">
        <f>IF($A339&lt;&gt;0,VLOOKUP($A339,'0.Productos'!$A$3:$GG$587,'0.Productos'!CK$1+1,0),"")</f>
        <v/>
      </c>
      <c r="AT339" s="133" t="str">
        <f>IF($A339&lt;&gt;0,VLOOKUP($A339,'0.Productos'!$A$3:$GG$587,'0.Productos'!CL$1+1,0),"")</f>
        <v/>
      </c>
      <c r="AU339" s="133" t="str">
        <f>IF($A339&lt;&gt;0,VLOOKUP($A339,'0.Productos'!$A$3:$GG$587,'0.Productos'!CM$1+1,0),"")</f>
        <v/>
      </c>
      <c r="AV339" s="133" t="str">
        <f>IF($A339&lt;&gt;0,VLOOKUP($A339,'0.Productos'!$A$3:$GG$587,'0.Productos'!CN$1+1,0),"")</f>
        <v/>
      </c>
      <c r="AW339" s="133" t="str">
        <f>IF($A339&lt;&gt;0,VLOOKUP($A339,'0.Productos'!$A$3:$GG$587,'0.Productos'!CO$1+1,0),"")</f>
        <v/>
      </c>
      <c r="AX339" s="133" t="str">
        <f>IF($A339&lt;&gt;0,VLOOKUP($A339,'0.Productos'!$A$3:$GG$587,'0.Productos'!CP$1+1,0),"")</f>
        <v/>
      </c>
      <c r="AY339" s="133" t="str">
        <f>IF($A339&lt;&gt;0,VLOOKUP($A339,'0.Productos'!$A$3:$GG$587,'0.Productos'!CQ$1+1,0),"")</f>
        <v/>
      </c>
      <c r="AZ339" s="133" t="str">
        <f>IF($A339&lt;&gt;0,VLOOKUP($A339,'0.Productos'!$A$3:$GG$587,'0.Productos'!CR$1+1,0),"")</f>
        <v/>
      </c>
      <c r="BA339" s="133" t="str">
        <f>IF($A339&lt;&gt;0,VLOOKUP($A339,'0.Productos'!$A$3:$GG$587,'0.Productos'!CS$1+1,0),"")</f>
        <v/>
      </c>
      <c r="BB339" s="133" t="str">
        <f>IF($A339&lt;&gt;0,VLOOKUP($A339,'0.Productos'!$A$3:$GG$587,'0.Productos'!CT$1+1,0),"")</f>
        <v/>
      </c>
      <c r="BC339" s="133" t="str">
        <f>IF($A339&lt;&gt;0,VLOOKUP($A339,'0.Productos'!$A$3:$GG$587,'0.Productos'!CU$1+1,0),"")</f>
        <v/>
      </c>
      <c r="BD339" s="133" t="str">
        <f>IF($A339&lt;&gt;0,VLOOKUP($A339,'0.Productos'!$A$3:$GG$587,'0.Productos'!CV$1+1,0),"")</f>
        <v/>
      </c>
      <c r="BE339" s="133" t="str">
        <f>IF($A339&lt;&gt;0,VLOOKUP($A339,'0.Productos'!$A$3:$GG$587,'0.Productos'!CW$1+1,0),"")</f>
        <v/>
      </c>
      <c r="BF339" s="133" t="str">
        <f>IF($A339&lt;&gt;0,VLOOKUP($A339,'0.Productos'!$A$3:$GG$587,'0.Productos'!CX$1+1,0),"")</f>
        <v/>
      </c>
      <c r="BG339" s="133" t="str">
        <f>IF($A339&lt;&gt;0,VLOOKUP($A339,'0.Productos'!$A$3:$GG$587,'0.Productos'!CY$1+1,0),"")</f>
        <v/>
      </c>
      <c r="BH339" s="133" t="str">
        <f>IF($A339&lt;&gt;0,VLOOKUP($A339,'0.Productos'!$A$3:$GG$587,'0.Productos'!CZ$1+1,0),"")</f>
        <v/>
      </c>
      <c r="BI339" s="133" t="str">
        <f>IF($A339&lt;&gt;0,VLOOKUP($A339,'0.Productos'!$A$3:$GG$587,'0.Productos'!DA$1+1,0),"")</f>
        <v/>
      </c>
      <c r="BJ339" s="133" t="str">
        <f>IF($A339&lt;&gt;0,VLOOKUP($A339,'0.Productos'!$A$3:$GG$587,'0.Productos'!DB$1+1,0),"")</f>
        <v/>
      </c>
      <c r="BK339" s="133" t="str">
        <f>IF($A339&lt;&gt;0,VLOOKUP($A339,'0.Productos'!$A$3:$GG$587,'0.Productos'!DC$1+1,0),"")</f>
        <v/>
      </c>
      <c r="BL339" s="133" t="str">
        <f>IF($A339&lt;&gt;0,VLOOKUP($A339,'0.Productos'!$A$3:$GG$587,'0.Productos'!DD$1+1,0),"")</f>
        <v/>
      </c>
      <c r="BM339" s="133" t="str">
        <f>IF($A339&lt;&gt;0,VLOOKUP($A339,'0.Productos'!$A$3:$GG$587,'0.Productos'!DE$1+1,0),"")</f>
        <v/>
      </c>
      <c r="BN339" s="133" t="str">
        <f>IF($A339&lt;&gt;0,VLOOKUP($A339,'0.Productos'!$A$3:$GG$587,'0.Productos'!DF$1+1,0),"")</f>
        <v/>
      </c>
      <c r="BO339" s="133" t="str">
        <f>IF($A339&lt;&gt;0,VLOOKUP($A339,'0.Productos'!$A$3:$GG$587,'0.Productos'!DG$1+1,0),"")</f>
        <v/>
      </c>
      <c r="BP339" s="133" t="str">
        <f>IF($A339&lt;&gt;0,VLOOKUP($A339,'0.Productos'!$A$3:$GG$587,'0.Productos'!DH$1+1,0),"")</f>
        <v/>
      </c>
      <c r="BQ339" s="133" t="str">
        <f>IF($A339&lt;&gt;0,VLOOKUP($A339,'0.Productos'!$A$3:$GG$587,'0.Productos'!DI$1+1,0),"")</f>
        <v/>
      </c>
      <c r="BR339" s="133" t="str">
        <f>IF($A339&lt;&gt;0,VLOOKUP($A339,'0.Productos'!$A$3:$GG$587,'0.Productos'!DJ$1+1,0),"")</f>
        <v/>
      </c>
      <c r="BS339" s="133" t="str">
        <f>IF($A339&lt;&gt;0,VLOOKUP($A339,'0.Productos'!$A$3:$GG$587,'0.Productos'!DK$1+1,0),"")</f>
        <v/>
      </c>
      <c r="BT339" s="133" t="str">
        <f>IF($A339&lt;&gt;0,VLOOKUP($A339,'0.Productos'!$A$3:$GG$587,'0.Productos'!DL$1+1,0),"")</f>
        <v/>
      </c>
    </row>
    <row r="340" spans="1:72" x14ac:dyDescent="0.25">
      <c r="A340" s="17">
        <f>'0.Consolidado general'!A340</f>
        <v>0</v>
      </c>
      <c r="B340" s="133" t="str">
        <f>IF($A340&lt;&gt;0,VLOOKUP($A340,'0.Productos'!$A$3:$GG$587,'0.Productos'!AT$1+1,0),"")</f>
        <v/>
      </c>
      <c r="C340" s="133" t="str">
        <f>IF($A340&lt;&gt;0,VLOOKUP($A340,'0.Productos'!$A$3:$GG$587,'0.Productos'!AU$1+1,0),"")</f>
        <v/>
      </c>
      <c r="D340" s="133" t="str">
        <f>IF($A340&lt;&gt;0,VLOOKUP($A340,'0.Productos'!$A$3:$GG$587,'0.Productos'!AV$1+1,0),"")</f>
        <v/>
      </c>
      <c r="E340" s="133" t="str">
        <f>IF($A340&lt;&gt;0,VLOOKUP($A340,'0.Productos'!$A$3:$GG$587,'0.Productos'!AW$1+1,0),"")</f>
        <v/>
      </c>
      <c r="F340" s="133" t="str">
        <f>IF($A340&lt;&gt;0,VLOOKUP($A340,'0.Productos'!$A$3:$GG$587,'0.Productos'!AX$1+1,0),"")</f>
        <v/>
      </c>
      <c r="G340" s="133" t="str">
        <f>IF($A340&lt;&gt;0,VLOOKUP($A340,'0.Productos'!$A$3:$GG$587,'0.Productos'!AY$1+1,0),"")</f>
        <v/>
      </c>
      <c r="H340" s="133" t="str">
        <f>IF($A340&lt;&gt;0,VLOOKUP($A340,'0.Productos'!$A$3:$GG$587,'0.Productos'!AZ$1+1,0),"")</f>
        <v/>
      </c>
      <c r="I340" s="133" t="str">
        <f>IF($A340&lt;&gt;0,VLOOKUP($A340,'0.Productos'!$A$3:$GG$587,'0.Productos'!BA$1+1,0),"")</f>
        <v/>
      </c>
      <c r="J340" s="133" t="str">
        <f>IF($A340&lt;&gt;0,VLOOKUP($A340,'0.Productos'!$A$3:$GG$587,'0.Productos'!BB$1+1,0),"")</f>
        <v/>
      </c>
      <c r="K340" s="133" t="str">
        <f>IF($A340&lt;&gt;0,VLOOKUP($A340,'0.Productos'!$A$3:$GG$587,'0.Productos'!BC$1+1,0),"")</f>
        <v/>
      </c>
      <c r="L340" s="133" t="str">
        <f>IF($A340&lt;&gt;0,VLOOKUP($A340,'0.Productos'!$A$3:$GG$587,'0.Productos'!BD$1+1,0),"")</f>
        <v/>
      </c>
      <c r="M340" s="133" t="str">
        <f>IF($A340&lt;&gt;0,VLOOKUP($A340,'0.Productos'!$A$3:$GG$587,'0.Productos'!BE$1+1,0),"")</f>
        <v/>
      </c>
      <c r="N340" s="133" t="str">
        <f>IF($A340&lt;&gt;0,VLOOKUP($A340,'0.Productos'!$A$3:$GG$587,'0.Productos'!BF$1+1,0),"")</f>
        <v/>
      </c>
      <c r="O340" s="133" t="str">
        <f>IF($A340&lt;&gt;0,VLOOKUP($A340,'0.Productos'!$A$3:$GG$587,'0.Productos'!BG$1+1,0),"")</f>
        <v/>
      </c>
      <c r="P340" s="133" t="str">
        <f>IF($A340&lt;&gt;0,VLOOKUP($A340,'0.Productos'!$A$3:$GG$587,'0.Productos'!BH$1+1,0),"")</f>
        <v/>
      </c>
      <c r="Q340" s="133" t="str">
        <f>IF($A340&lt;&gt;0,VLOOKUP($A340,'0.Productos'!$A$3:$GG$587,'0.Productos'!BI$1+1,0),"")</f>
        <v/>
      </c>
      <c r="R340" s="133" t="str">
        <f>IF($A340&lt;&gt;0,VLOOKUP($A340,'0.Productos'!$A$3:$GG$587,'0.Productos'!BJ$1+1,0),"")</f>
        <v/>
      </c>
      <c r="S340" s="133" t="str">
        <f>IF($A340&lt;&gt;0,VLOOKUP($A340,'0.Productos'!$A$3:$GG$587,'0.Productos'!BK$1+1,0),"")</f>
        <v/>
      </c>
      <c r="T340" s="133" t="str">
        <f>IF($A340&lt;&gt;0,VLOOKUP($A340,'0.Productos'!$A$3:$GG$587,'0.Productos'!BL$1+1,0),"")</f>
        <v/>
      </c>
      <c r="U340" s="133" t="str">
        <f>IF($A340&lt;&gt;0,VLOOKUP($A340,'0.Productos'!$A$3:$GG$587,'0.Productos'!BM$1+1,0),"")</f>
        <v/>
      </c>
      <c r="V340" s="133" t="str">
        <f>IF($A340&lt;&gt;0,VLOOKUP($A340,'0.Productos'!$A$3:$GG$587,'0.Productos'!BN$1+1,0),"")</f>
        <v/>
      </c>
      <c r="W340" s="133" t="str">
        <f>IF($A340&lt;&gt;0,VLOOKUP($A340,'0.Productos'!$A$3:$GG$587,'0.Productos'!BO$1+1,0),"")</f>
        <v/>
      </c>
      <c r="X340" s="133" t="str">
        <f>IF($A340&lt;&gt;0,VLOOKUP($A340,'0.Productos'!$A$3:$GG$587,'0.Productos'!BP$1+1,0),"")</f>
        <v/>
      </c>
      <c r="Y340" s="133" t="str">
        <f>IF($A340&lt;&gt;0,VLOOKUP($A340,'0.Productos'!$A$3:$GG$587,'0.Productos'!BQ$1+1,0),"")</f>
        <v/>
      </c>
      <c r="Z340" s="133" t="str">
        <f>IF($A340&lt;&gt;0,VLOOKUP($A340,'0.Productos'!$A$3:$GG$587,'0.Productos'!BR$1+1,0),"")</f>
        <v/>
      </c>
      <c r="AA340" s="133" t="str">
        <f>IF($A340&lt;&gt;0,VLOOKUP($A340,'0.Productos'!$A$3:$GG$587,'0.Productos'!BS$1+1,0),"")</f>
        <v/>
      </c>
      <c r="AB340" s="133" t="str">
        <f>IF($A340&lt;&gt;0,VLOOKUP($A340,'0.Productos'!$A$3:$GG$587,'0.Productos'!BT$1+1,0),"")</f>
        <v/>
      </c>
      <c r="AC340" s="133" t="str">
        <f>IF($A340&lt;&gt;0,VLOOKUP($A340,'0.Productos'!$A$3:$GG$587,'0.Productos'!BU$1+1,0),"")</f>
        <v/>
      </c>
      <c r="AD340" s="133" t="str">
        <f>IF($A340&lt;&gt;0,VLOOKUP($A340,'0.Productos'!$A$3:$GG$587,'0.Productos'!BV$1+1,0),"")</f>
        <v/>
      </c>
      <c r="AE340" s="133" t="str">
        <f>IF($A340&lt;&gt;0,VLOOKUP($A340,'0.Productos'!$A$3:$GG$587,'0.Productos'!BW$1+1,0),"")</f>
        <v/>
      </c>
      <c r="AF340" s="133" t="str">
        <f>IF($A340&lt;&gt;0,VLOOKUP($A340,'0.Productos'!$A$3:$GG$587,'0.Productos'!BX$1+1,0),"")</f>
        <v/>
      </c>
      <c r="AG340" s="133" t="str">
        <f>IF($A340&lt;&gt;0,VLOOKUP($A340,'0.Productos'!$A$3:$GG$587,'0.Productos'!BY$1+1,0),"")</f>
        <v/>
      </c>
      <c r="AH340" s="133" t="str">
        <f>IF($A340&lt;&gt;0,VLOOKUP($A340,'0.Productos'!$A$3:$GG$587,'0.Productos'!BZ$1+1,0),"")</f>
        <v/>
      </c>
      <c r="AI340" s="133" t="str">
        <f>IF($A340&lt;&gt;0,VLOOKUP($A340,'0.Productos'!$A$3:$GG$587,'0.Productos'!CA$1+1,0),"")</f>
        <v/>
      </c>
      <c r="AJ340" s="133" t="str">
        <f>IF($A340&lt;&gt;0,VLOOKUP($A340,'0.Productos'!$A$3:$GG$587,'0.Productos'!CB$1+1,0),"")</f>
        <v/>
      </c>
      <c r="AK340" s="133" t="str">
        <f>IF($A340&lt;&gt;0,VLOOKUP($A340,'0.Productos'!$A$3:$GG$587,'0.Productos'!CC$1+1,0),"")</f>
        <v/>
      </c>
      <c r="AL340" s="133" t="str">
        <f>IF($A340&lt;&gt;0,VLOOKUP($A340,'0.Productos'!$A$3:$GG$587,'0.Productos'!CD$1+1,0),"")</f>
        <v/>
      </c>
      <c r="AM340" s="133" t="str">
        <f>IF($A340&lt;&gt;0,VLOOKUP($A340,'0.Productos'!$A$3:$GG$587,'0.Productos'!CE$1+1,0),"")</f>
        <v/>
      </c>
      <c r="AN340" s="133" t="str">
        <f>IF($A340&lt;&gt;0,VLOOKUP($A340,'0.Productos'!$A$3:$GG$587,'0.Productos'!CF$1+1,0),"")</f>
        <v/>
      </c>
      <c r="AO340" s="133" t="str">
        <f>IF($A340&lt;&gt;0,VLOOKUP($A340,'0.Productos'!$A$3:$GG$587,'0.Productos'!CG$1+1,0),"")</f>
        <v/>
      </c>
      <c r="AP340" s="133" t="str">
        <f>IF($A340&lt;&gt;0,VLOOKUP($A340,'0.Productos'!$A$3:$GG$587,'0.Productos'!CH$1+1,0),"")</f>
        <v/>
      </c>
      <c r="AQ340" s="133" t="str">
        <f>IF($A340&lt;&gt;0,VLOOKUP($A340,'0.Productos'!$A$3:$GG$587,'0.Productos'!CI$1+1,0),"")</f>
        <v/>
      </c>
      <c r="AR340" s="133" t="str">
        <f>IF($A340&lt;&gt;0,VLOOKUP($A340,'0.Productos'!$A$3:$GG$587,'0.Productos'!CJ$1+1,0),"")</f>
        <v/>
      </c>
      <c r="AS340" s="133" t="str">
        <f>IF($A340&lt;&gt;0,VLOOKUP($A340,'0.Productos'!$A$3:$GG$587,'0.Productos'!CK$1+1,0),"")</f>
        <v/>
      </c>
      <c r="AT340" s="133" t="str">
        <f>IF($A340&lt;&gt;0,VLOOKUP($A340,'0.Productos'!$A$3:$GG$587,'0.Productos'!CL$1+1,0),"")</f>
        <v/>
      </c>
      <c r="AU340" s="133" t="str">
        <f>IF($A340&lt;&gt;0,VLOOKUP($A340,'0.Productos'!$A$3:$GG$587,'0.Productos'!CM$1+1,0),"")</f>
        <v/>
      </c>
      <c r="AV340" s="133" t="str">
        <f>IF($A340&lt;&gt;0,VLOOKUP($A340,'0.Productos'!$A$3:$GG$587,'0.Productos'!CN$1+1,0),"")</f>
        <v/>
      </c>
      <c r="AW340" s="133" t="str">
        <f>IF($A340&lt;&gt;0,VLOOKUP($A340,'0.Productos'!$A$3:$GG$587,'0.Productos'!CO$1+1,0),"")</f>
        <v/>
      </c>
      <c r="AX340" s="133" t="str">
        <f>IF($A340&lt;&gt;0,VLOOKUP($A340,'0.Productos'!$A$3:$GG$587,'0.Productos'!CP$1+1,0),"")</f>
        <v/>
      </c>
      <c r="AY340" s="133" t="str">
        <f>IF($A340&lt;&gt;0,VLOOKUP($A340,'0.Productos'!$A$3:$GG$587,'0.Productos'!CQ$1+1,0),"")</f>
        <v/>
      </c>
      <c r="AZ340" s="133" t="str">
        <f>IF($A340&lt;&gt;0,VLOOKUP($A340,'0.Productos'!$A$3:$GG$587,'0.Productos'!CR$1+1,0),"")</f>
        <v/>
      </c>
      <c r="BA340" s="133" t="str">
        <f>IF($A340&lt;&gt;0,VLOOKUP($A340,'0.Productos'!$A$3:$GG$587,'0.Productos'!CS$1+1,0),"")</f>
        <v/>
      </c>
      <c r="BB340" s="133" t="str">
        <f>IF($A340&lt;&gt;0,VLOOKUP($A340,'0.Productos'!$A$3:$GG$587,'0.Productos'!CT$1+1,0),"")</f>
        <v/>
      </c>
      <c r="BC340" s="133" t="str">
        <f>IF($A340&lt;&gt;0,VLOOKUP($A340,'0.Productos'!$A$3:$GG$587,'0.Productos'!CU$1+1,0),"")</f>
        <v/>
      </c>
      <c r="BD340" s="133" t="str">
        <f>IF($A340&lt;&gt;0,VLOOKUP($A340,'0.Productos'!$A$3:$GG$587,'0.Productos'!CV$1+1,0),"")</f>
        <v/>
      </c>
      <c r="BE340" s="133" t="str">
        <f>IF($A340&lt;&gt;0,VLOOKUP($A340,'0.Productos'!$A$3:$GG$587,'0.Productos'!CW$1+1,0),"")</f>
        <v/>
      </c>
      <c r="BF340" s="133" t="str">
        <f>IF($A340&lt;&gt;0,VLOOKUP($A340,'0.Productos'!$A$3:$GG$587,'0.Productos'!CX$1+1,0),"")</f>
        <v/>
      </c>
      <c r="BG340" s="133" t="str">
        <f>IF($A340&lt;&gt;0,VLOOKUP($A340,'0.Productos'!$A$3:$GG$587,'0.Productos'!CY$1+1,0),"")</f>
        <v/>
      </c>
      <c r="BH340" s="133" t="str">
        <f>IF($A340&lt;&gt;0,VLOOKUP($A340,'0.Productos'!$A$3:$GG$587,'0.Productos'!CZ$1+1,0),"")</f>
        <v/>
      </c>
      <c r="BI340" s="133" t="str">
        <f>IF($A340&lt;&gt;0,VLOOKUP($A340,'0.Productos'!$A$3:$GG$587,'0.Productos'!DA$1+1,0),"")</f>
        <v/>
      </c>
      <c r="BJ340" s="133" t="str">
        <f>IF($A340&lt;&gt;0,VLOOKUP($A340,'0.Productos'!$A$3:$GG$587,'0.Productos'!DB$1+1,0),"")</f>
        <v/>
      </c>
      <c r="BK340" s="133" t="str">
        <f>IF($A340&lt;&gt;0,VLOOKUP($A340,'0.Productos'!$A$3:$GG$587,'0.Productos'!DC$1+1,0),"")</f>
        <v/>
      </c>
      <c r="BL340" s="133" t="str">
        <f>IF($A340&lt;&gt;0,VLOOKUP($A340,'0.Productos'!$A$3:$GG$587,'0.Productos'!DD$1+1,0),"")</f>
        <v/>
      </c>
      <c r="BM340" s="133" t="str">
        <f>IF($A340&lt;&gt;0,VLOOKUP($A340,'0.Productos'!$A$3:$GG$587,'0.Productos'!DE$1+1,0),"")</f>
        <v/>
      </c>
      <c r="BN340" s="133" t="str">
        <f>IF($A340&lt;&gt;0,VLOOKUP($A340,'0.Productos'!$A$3:$GG$587,'0.Productos'!DF$1+1,0),"")</f>
        <v/>
      </c>
      <c r="BO340" s="133" t="str">
        <f>IF($A340&lt;&gt;0,VLOOKUP($A340,'0.Productos'!$A$3:$GG$587,'0.Productos'!DG$1+1,0),"")</f>
        <v/>
      </c>
      <c r="BP340" s="133" t="str">
        <f>IF($A340&lt;&gt;0,VLOOKUP($A340,'0.Productos'!$A$3:$GG$587,'0.Productos'!DH$1+1,0),"")</f>
        <v/>
      </c>
      <c r="BQ340" s="133" t="str">
        <f>IF($A340&lt;&gt;0,VLOOKUP($A340,'0.Productos'!$A$3:$GG$587,'0.Productos'!DI$1+1,0),"")</f>
        <v/>
      </c>
      <c r="BR340" s="133" t="str">
        <f>IF($A340&lt;&gt;0,VLOOKUP($A340,'0.Productos'!$A$3:$GG$587,'0.Productos'!DJ$1+1,0),"")</f>
        <v/>
      </c>
      <c r="BS340" s="133" t="str">
        <f>IF($A340&lt;&gt;0,VLOOKUP($A340,'0.Productos'!$A$3:$GG$587,'0.Productos'!DK$1+1,0),"")</f>
        <v/>
      </c>
      <c r="BT340" s="133" t="str">
        <f>IF($A340&lt;&gt;0,VLOOKUP($A340,'0.Productos'!$A$3:$GG$587,'0.Productos'!DL$1+1,0),"")</f>
        <v/>
      </c>
    </row>
    <row r="341" spans="1:72" x14ac:dyDescent="0.25">
      <c r="A341" s="17">
        <f>'0.Consolidado general'!A341</f>
        <v>0</v>
      </c>
      <c r="B341" s="133" t="str">
        <f>IF($A341&lt;&gt;0,VLOOKUP($A341,'0.Productos'!$A$3:$GG$587,'0.Productos'!AT$1+1,0),"")</f>
        <v/>
      </c>
      <c r="C341" s="133" t="str">
        <f>IF($A341&lt;&gt;0,VLOOKUP($A341,'0.Productos'!$A$3:$GG$587,'0.Productos'!AU$1+1,0),"")</f>
        <v/>
      </c>
      <c r="D341" s="133" t="str">
        <f>IF($A341&lt;&gt;0,VLOOKUP($A341,'0.Productos'!$A$3:$GG$587,'0.Productos'!AV$1+1,0),"")</f>
        <v/>
      </c>
      <c r="E341" s="133" t="str">
        <f>IF($A341&lt;&gt;0,VLOOKUP($A341,'0.Productos'!$A$3:$GG$587,'0.Productos'!AW$1+1,0),"")</f>
        <v/>
      </c>
      <c r="F341" s="133" t="str">
        <f>IF($A341&lt;&gt;0,VLOOKUP($A341,'0.Productos'!$A$3:$GG$587,'0.Productos'!AX$1+1,0),"")</f>
        <v/>
      </c>
      <c r="G341" s="133" t="str">
        <f>IF($A341&lt;&gt;0,VLOOKUP($A341,'0.Productos'!$A$3:$GG$587,'0.Productos'!AY$1+1,0),"")</f>
        <v/>
      </c>
      <c r="H341" s="133" t="str">
        <f>IF($A341&lt;&gt;0,VLOOKUP($A341,'0.Productos'!$A$3:$GG$587,'0.Productos'!AZ$1+1,0),"")</f>
        <v/>
      </c>
      <c r="I341" s="133" t="str">
        <f>IF($A341&lt;&gt;0,VLOOKUP($A341,'0.Productos'!$A$3:$GG$587,'0.Productos'!BA$1+1,0),"")</f>
        <v/>
      </c>
      <c r="J341" s="133" t="str">
        <f>IF($A341&lt;&gt;0,VLOOKUP($A341,'0.Productos'!$A$3:$GG$587,'0.Productos'!BB$1+1,0),"")</f>
        <v/>
      </c>
      <c r="K341" s="133" t="str">
        <f>IF($A341&lt;&gt;0,VLOOKUP($A341,'0.Productos'!$A$3:$GG$587,'0.Productos'!BC$1+1,0),"")</f>
        <v/>
      </c>
      <c r="L341" s="133" t="str">
        <f>IF($A341&lt;&gt;0,VLOOKUP($A341,'0.Productos'!$A$3:$GG$587,'0.Productos'!BD$1+1,0),"")</f>
        <v/>
      </c>
      <c r="M341" s="133" t="str">
        <f>IF($A341&lt;&gt;0,VLOOKUP($A341,'0.Productos'!$A$3:$GG$587,'0.Productos'!BE$1+1,0),"")</f>
        <v/>
      </c>
      <c r="N341" s="133" t="str">
        <f>IF($A341&lt;&gt;0,VLOOKUP($A341,'0.Productos'!$A$3:$GG$587,'0.Productos'!BF$1+1,0),"")</f>
        <v/>
      </c>
      <c r="O341" s="133" t="str">
        <f>IF($A341&lt;&gt;0,VLOOKUP($A341,'0.Productos'!$A$3:$GG$587,'0.Productos'!BG$1+1,0),"")</f>
        <v/>
      </c>
      <c r="P341" s="133" t="str">
        <f>IF($A341&lt;&gt;0,VLOOKUP($A341,'0.Productos'!$A$3:$GG$587,'0.Productos'!BH$1+1,0),"")</f>
        <v/>
      </c>
      <c r="Q341" s="133" t="str">
        <f>IF($A341&lt;&gt;0,VLOOKUP($A341,'0.Productos'!$A$3:$GG$587,'0.Productos'!BI$1+1,0),"")</f>
        <v/>
      </c>
      <c r="R341" s="133" t="str">
        <f>IF($A341&lt;&gt;0,VLOOKUP($A341,'0.Productos'!$A$3:$GG$587,'0.Productos'!BJ$1+1,0),"")</f>
        <v/>
      </c>
      <c r="S341" s="133" t="str">
        <f>IF($A341&lt;&gt;0,VLOOKUP($A341,'0.Productos'!$A$3:$GG$587,'0.Productos'!BK$1+1,0),"")</f>
        <v/>
      </c>
      <c r="T341" s="133" t="str">
        <f>IF($A341&lt;&gt;0,VLOOKUP($A341,'0.Productos'!$A$3:$GG$587,'0.Productos'!BL$1+1,0),"")</f>
        <v/>
      </c>
      <c r="U341" s="133" t="str">
        <f>IF($A341&lt;&gt;0,VLOOKUP($A341,'0.Productos'!$A$3:$GG$587,'0.Productos'!BM$1+1,0),"")</f>
        <v/>
      </c>
      <c r="V341" s="133" t="str">
        <f>IF($A341&lt;&gt;0,VLOOKUP($A341,'0.Productos'!$A$3:$GG$587,'0.Productos'!BN$1+1,0),"")</f>
        <v/>
      </c>
      <c r="W341" s="133" t="str">
        <f>IF($A341&lt;&gt;0,VLOOKUP($A341,'0.Productos'!$A$3:$GG$587,'0.Productos'!BO$1+1,0),"")</f>
        <v/>
      </c>
      <c r="X341" s="133" t="str">
        <f>IF($A341&lt;&gt;0,VLOOKUP($A341,'0.Productos'!$A$3:$GG$587,'0.Productos'!BP$1+1,0),"")</f>
        <v/>
      </c>
      <c r="Y341" s="133" t="str">
        <f>IF($A341&lt;&gt;0,VLOOKUP($A341,'0.Productos'!$A$3:$GG$587,'0.Productos'!BQ$1+1,0),"")</f>
        <v/>
      </c>
      <c r="Z341" s="133" t="str">
        <f>IF($A341&lt;&gt;0,VLOOKUP($A341,'0.Productos'!$A$3:$GG$587,'0.Productos'!BR$1+1,0),"")</f>
        <v/>
      </c>
      <c r="AA341" s="133" t="str">
        <f>IF($A341&lt;&gt;0,VLOOKUP($A341,'0.Productos'!$A$3:$GG$587,'0.Productos'!BS$1+1,0),"")</f>
        <v/>
      </c>
      <c r="AB341" s="133" t="str">
        <f>IF($A341&lt;&gt;0,VLOOKUP($A341,'0.Productos'!$A$3:$GG$587,'0.Productos'!BT$1+1,0),"")</f>
        <v/>
      </c>
      <c r="AC341" s="133" t="str">
        <f>IF($A341&lt;&gt;0,VLOOKUP($A341,'0.Productos'!$A$3:$GG$587,'0.Productos'!BU$1+1,0),"")</f>
        <v/>
      </c>
      <c r="AD341" s="133" t="str">
        <f>IF($A341&lt;&gt;0,VLOOKUP($A341,'0.Productos'!$A$3:$GG$587,'0.Productos'!BV$1+1,0),"")</f>
        <v/>
      </c>
      <c r="AE341" s="133" t="str">
        <f>IF($A341&lt;&gt;0,VLOOKUP($A341,'0.Productos'!$A$3:$GG$587,'0.Productos'!BW$1+1,0),"")</f>
        <v/>
      </c>
      <c r="AF341" s="133" t="str">
        <f>IF($A341&lt;&gt;0,VLOOKUP($A341,'0.Productos'!$A$3:$GG$587,'0.Productos'!BX$1+1,0),"")</f>
        <v/>
      </c>
      <c r="AG341" s="133" t="str">
        <f>IF($A341&lt;&gt;0,VLOOKUP($A341,'0.Productos'!$A$3:$GG$587,'0.Productos'!BY$1+1,0),"")</f>
        <v/>
      </c>
      <c r="AH341" s="133" t="str">
        <f>IF($A341&lt;&gt;0,VLOOKUP($A341,'0.Productos'!$A$3:$GG$587,'0.Productos'!BZ$1+1,0),"")</f>
        <v/>
      </c>
      <c r="AI341" s="133" t="str">
        <f>IF($A341&lt;&gt;0,VLOOKUP($A341,'0.Productos'!$A$3:$GG$587,'0.Productos'!CA$1+1,0),"")</f>
        <v/>
      </c>
      <c r="AJ341" s="133" t="str">
        <f>IF($A341&lt;&gt;0,VLOOKUP($A341,'0.Productos'!$A$3:$GG$587,'0.Productos'!CB$1+1,0),"")</f>
        <v/>
      </c>
      <c r="AK341" s="133" t="str">
        <f>IF($A341&lt;&gt;0,VLOOKUP($A341,'0.Productos'!$A$3:$GG$587,'0.Productos'!CC$1+1,0),"")</f>
        <v/>
      </c>
      <c r="AL341" s="133" t="str">
        <f>IF($A341&lt;&gt;0,VLOOKUP($A341,'0.Productos'!$A$3:$GG$587,'0.Productos'!CD$1+1,0),"")</f>
        <v/>
      </c>
      <c r="AM341" s="133" t="str">
        <f>IF($A341&lt;&gt;0,VLOOKUP($A341,'0.Productos'!$A$3:$GG$587,'0.Productos'!CE$1+1,0),"")</f>
        <v/>
      </c>
      <c r="AN341" s="133" t="str">
        <f>IF($A341&lt;&gt;0,VLOOKUP($A341,'0.Productos'!$A$3:$GG$587,'0.Productos'!CF$1+1,0),"")</f>
        <v/>
      </c>
      <c r="AO341" s="133" t="str">
        <f>IF($A341&lt;&gt;0,VLOOKUP($A341,'0.Productos'!$A$3:$GG$587,'0.Productos'!CG$1+1,0),"")</f>
        <v/>
      </c>
      <c r="AP341" s="133" t="str">
        <f>IF($A341&lt;&gt;0,VLOOKUP($A341,'0.Productos'!$A$3:$GG$587,'0.Productos'!CH$1+1,0),"")</f>
        <v/>
      </c>
      <c r="AQ341" s="133" t="str">
        <f>IF($A341&lt;&gt;0,VLOOKUP($A341,'0.Productos'!$A$3:$GG$587,'0.Productos'!CI$1+1,0),"")</f>
        <v/>
      </c>
      <c r="AR341" s="133" t="str">
        <f>IF($A341&lt;&gt;0,VLOOKUP($A341,'0.Productos'!$A$3:$GG$587,'0.Productos'!CJ$1+1,0),"")</f>
        <v/>
      </c>
      <c r="AS341" s="133" t="str">
        <f>IF($A341&lt;&gt;0,VLOOKUP($A341,'0.Productos'!$A$3:$GG$587,'0.Productos'!CK$1+1,0),"")</f>
        <v/>
      </c>
      <c r="AT341" s="133" t="str">
        <f>IF($A341&lt;&gt;0,VLOOKUP($A341,'0.Productos'!$A$3:$GG$587,'0.Productos'!CL$1+1,0),"")</f>
        <v/>
      </c>
      <c r="AU341" s="133" t="str">
        <f>IF($A341&lt;&gt;0,VLOOKUP($A341,'0.Productos'!$A$3:$GG$587,'0.Productos'!CM$1+1,0),"")</f>
        <v/>
      </c>
      <c r="AV341" s="133" t="str">
        <f>IF($A341&lt;&gt;0,VLOOKUP($A341,'0.Productos'!$A$3:$GG$587,'0.Productos'!CN$1+1,0),"")</f>
        <v/>
      </c>
      <c r="AW341" s="133" t="str">
        <f>IF($A341&lt;&gt;0,VLOOKUP($A341,'0.Productos'!$A$3:$GG$587,'0.Productos'!CO$1+1,0),"")</f>
        <v/>
      </c>
      <c r="AX341" s="133" t="str">
        <f>IF($A341&lt;&gt;0,VLOOKUP($A341,'0.Productos'!$A$3:$GG$587,'0.Productos'!CP$1+1,0),"")</f>
        <v/>
      </c>
      <c r="AY341" s="133" t="str">
        <f>IF($A341&lt;&gt;0,VLOOKUP($A341,'0.Productos'!$A$3:$GG$587,'0.Productos'!CQ$1+1,0),"")</f>
        <v/>
      </c>
      <c r="AZ341" s="133" t="str">
        <f>IF($A341&lt;&gt;0,VLOOKUP($A341,'0.Productos'!$A$3:$GG$587,'0.Productos'!CR$1+1,0),"")</f>
        <v/>
      </c>
      <c r="BA341" s="133" t="str">
        <f>IF($A341&lt;&gt;0,VLOOKUP($A341,'0.Productos'!$A$3:$GG$587,'0.Productos'!CS$1+1,0),"")</f>
        <v/>
      </c>
      <c r="BB341" s="133" t="str">
        <f>IF($A341&lt;&gt;0,VLOOKUP($A341,'0.Productos'!$A$3:$GG$587,'0.Productos'!CT$1+1,0),"")</f>
        <v/>
      </c>
      <c r="BC341" s="133" t="str">
        <f>IF($A341&lt;&gt;0,VLOOKUP($A341,'0.Productos'!$A$3:$GG$587,'0.Productos'!CU$1+1,0),"")</f>
        <v/>
      </c>
      <c r="BD341" s="133" t="str">
        <f>IF($A341&lt;&gt;0,VLOOKUP($A341,'0.Productos'!$A$3:$GG$587,'0.Productos'!CV$1+1,0),"")</f>
        <v/>
      </c>
      <c r="BE341" s="133" t="str">
        <f>IF($A341&lt;&gt;0,VLOOKUP($A341,'0.Productos'!$A$3:$GG$587,'0.Productos'!CW$1+1,0),"")</f>
        <v/>
      </c>
      <c r="BF341" s="133" t="str">
        <f>IF($A341&lt;&gt;0,VLOOKUP($A341,'0.Productos'!$A$3:$GG$587,'0.Productos'!CX$1+1,0),"")</f>
        <v/>
      </c>
      <c r="BG341" s="133" t="str">
        <f>IF($A341&lt;&gt;0,VLOOKUP($A341,'0.Productos'!$A$3:$GG$587,'0.Productos'!CY$1+1,0),"")</f>
        <v/>
      </c>
      <c r="BH341" s="133" t="str">
        <f>IF($A341&lt;&gt;0,VLOOKUP($A341,'0.Productos'!$A$3:$GG$587,'0.Productos'!CZ$1+1,0),"")</f>
        <v/>
      </c>
      <c r="BI341" s="133" t="str">
        <f>IF($A341&lt;&gt;0,VLOOKUP($A341,'0.Productos'!$A$3:$GG$587,'0.Productos'!DA$1+1,0),"")</f>
        <v/>
      </c>
      <c r="BJ341" s="133" t="str">
        <f>IF($A341&lt;&gt;0,VLOOKUP($A341,'0.Productos'!$A$3:$GG$587,'0.Productos'!DB$1+1,0),"")</f>
        <v/>
      </c>
      <c r="BK341" s="133" t="str">
        <f>IF($A341&lt;&gt;0,VLOOKUP($A341,'0.Productos'!$A$3:$GG$587,'0.Productos'!DC$1+1,0),"")</f>
        <v/>
      </c>
      <c r="BL341" s="133" t="str">
        <f>IF($A341&lt;&gt;0,VLOOKUP($A341,'0.Productos'!$A$3:$GG$587,'0.Productos'!DD$1+1,0),"")</f>
        <v/>
      </c>
      <c r="BM341" s="133" t="str">
        <f>IF($A341&lt;&gt;0,VLOOKUP($A341,'0.Productos'!$A$3:$GG$587,'0.Productos'!DE$1+1,0),"")</f>
        <v/>
      </c>
      <c r="BN341" s="133" t="str">
        <f>IF($A341&lt;&gt;0,VLOOKUP($A341,'0.Productos'!$A$3:$GG$587,'0.Productos'!DF$1+1,0),"")</f>
        <v/>
      </c>
      <c r="BO341" s="133" t="str">
        <f>IF($A341&lt;&gt;0,VLOOKUP($A341,'0.Productos'!$A$3:$GG$587,'0.Productos'!DG$1+1,0),"")</f>
        <v/>
      </c>
      <c r="BP341" s="133" t="str">
        <f>IF($A341&lt;&gt;0,VLOOKUP($A341,'0.Productos'!$A$3:$GG$587,'0.Productos'!DH$1+1,0),"")</f>
        <v/>
      </c>
      <c r="BQ341" s="133" t="str">
        <f>IF($A341&lt;&gt;0,VLOOKUP($A341,'0.Productos'!$A$3:$GG$587,'0.Productos'!DI$1+1,0),"")</f>
        <v/>
      </c>
      <c r="BR341" s="133" t="str">
        <f>IF($A341&lt;&gt;0,VLOOKUP($A341,'0.Productos'!$A$3:$GG$587,'0.Productos'!DJ$1+1,0),"")</f>
        <v/>
      </c>
      <c r="BS341" s="133" t="str">
        <f>IF($A341&lt;&gt;0,VLOOKUP($A341,'0.Productos'!$A$3:$GG$587,'0.Productos'!DK$1+1,0),"")</f>
        <v/>
      </c>
      <c r="BT341" s="133" t="str">
        <f>IF($A341&lt;&gt;0,VLOOKUP($A341,'0.Productos'!$A$3:$GG$587,'0.Productos'!DL$1+1,0),"")</f>
        <v/>
      </c>
    </row>
    <row r="342" spans="1:72" x14ac:dyDescent="0.25">
      <c r="A342" s="17">
        <f>'0.Consolidado general'!A342</f>
        <v>0</v>
      </c>
      <c r="B342" s="133" t="str">
        <f>IF($A342&lt;&gt;0,VLOOKUP($A342,'0.Productos'!$A$3:$GG$587,'0.Productos'!AT$1+1,0),"")</f>
        <v/>
      </c>
      <c r="C342" s="133" t="str">
        <f>IF($A342&lt;&gt;0,VLOOKUP($A342,'0.Productos'!$A$3:$GG$587,'0.Productos'!AU$1+1,0),"")</f>
        <v/>
      </c>
      <c r="D342" s="133" t="str">
        <f>IF($A342&lt;&gt;0,VLOOKUP($A342,'0.Productos'!$A$3:$GG$587,'0.Productos'!AV$1+1,0),"")</f>
        <v/>
      </c>
      <c r="E342" s="133" t="str">
        <f>IF($A342&lt;&gt;0,VLOOKUP($A342,'0.Productos'!$A$3:$GG$587,'0.Productos'!AW$1+1,0),"")</f>
        <v/>
      </c>
      <c r="F342" s="133" t="str">
        <f>IF($A342&lt;&gt;0,VLOOKUP($A342,'0.Productos'!$A$3:$GG$587,'0.Productos'!AX$1+1,0),"")</f>
        <v/>
      </c>
      <c r="G342" s="133" t="str">
        <f>IF($A342&lt;&gt;0,VLOOKUP($A342,'0.Productos'!$A$3:$GG$587,'0.Productos'!AY$1+1,0),"")</f>
        <v/>
      </c>
      <c r="H342" s="133" t="str">
        <f>IF($A342&lt;&gt;0,VLOOKUP($A342,'0.Productos'!$A$3:$GG$587,'0.Productos'!AZ$1+1,0),"")</f>
        <v/>
      </c>
      <c r="I342" s="133" t="str">
        <f>IF($A342&lt;&gt;0,VLOOKUP($A342,'0.Productos'!$A$3:$GG$587,'0.Productos'!BA$1+1,0),"")</f>
        <v/>
      </c>
      <c r="J342" s="133" t="str">
        <f>IF($A342&lt;&gt;0,VLOOKUP($A342,'0.Productos'!$A$3:$GG$587,'0.Productos'!BB$1+1,0),"")</f>
        <v/>
      </c>
      <c r="K342" s="133" t="str">
        <f>IF($A342&lt;&gt;0,VLOOKUP($A342,'0.Productos'!$A$3:$GG$587,'0.Productos'!BC$1+1,0),"")</f>
        <v/>
      </c>
      <c r="L342" s="133" t="str">
        <f>IF($A342&lt;&gt;0,VLOOKUP($A342,'0.Productos'!$A$3:$GG$587,'0.Productos'!BD$1+1,0),"")</f>
        <v/>
      </c>
      <c r="M342" s="133" t="str">
        <f>IF($A342&lt;&gt;0,VLOOKUP($A342,'0.Productos'!$A$3:$GG$587,'0.Productos'!BE$1+1,0),"")</f>
        <v/>
      </c>
      <c r="N342" s="133" t="str">
        <f>IF($A342&lt;&gt;0,VLOOKUP($A342,'0.Productos'!$A$3:$GG$587,'0.Productos'!BF$1+1,0),"")</f>
        <v/>
      </c>
      <c r="O342" s="133" t="str">
        <f>IF($A342&lt;&gt;0,VLOOKUP($A342,'0.Productos'!$A$3:$GG$587,'0.Productos'!BG$1+1,0),"")</f>
        <v/>
      </c>
      <c r="P342" s="133" t="str">
        <f>IF($A342&lt;&gt;0,VLOOKUP($A342,'0.Productos'!$A$3:$GG$587,'0.Productos'!BH$1+1,0),"")</f>
        <v/>
      </c>
      <c r="Q342" s="133" t="str">
        <f>IF($A342&lt;&gt;0,VLOOKUP($A342,'0.Productos'!$A$3:$GG$587,'0.Productos'!BI$1+1,0),"")</f>
        <v/>
      </c>
      <c r="R342" s="133" t="str">
        <f>IF($A342&lt;&gt;0,VLOOKUP($A342,'0.Productos'!$A$3:$GG$587,'0.Productos'!BJ$1+1,0),"")</f>
        <v/>
      </c>
      <c r="S342" s="133" t="str">
        <f>IF($A342&lt;&gt;0,VLOOKUP($A342,'0.Productos'!$A$3:$GG$587,'0.Productos'!BK$1+1,0),"")</f>
        <v/>
      </c>
      <c r="T342" s="133" t="str">
        <f>IF($A342&lt;&gt;0,VLOOKUP($A342,'0.Productos'!$A$3:$GG$587,'0.Productos'!BL$1+1,0),"")</f>
        <v/>
      </c>
      <c r="U342" s="133" t="str">
        <f>IF($A342&lt;&gt;0,VLOOKUP($A342,'0.Productos'!$A$3:$GG$587,'0.Productos'!BM$1+1,0),"")</f>
        <v/>
      </c>
      <c r="V342" s="133" t="str">
        <f>IF($A342&lt;&gt;0,VLOOKUP($A342,'0.Productos'!$A$3:$GG$587,'0.Productos'!BN$1+1,0),"")</f>
        <v/>
      </c>
      <c r="W342" s="133" t="str">
        <f>IF($A342&lt;&gt;0,VLOOKUP($A342,'0.Productos'!$A$3:$GG$587,'0.Productos'!BO$1+1,0),"")</f>
        <v/>
      </c>
      <c r="X342" s="133" t="str">
        <f>IF($A342&lt;&gt;0,VLOOKUP($A342,'0.Productos'!$A$3:$GG$587,'0.Productos'!BP$1+1,0),"")</f>
        <v/>
      </c>
      <c r="Y342" s="133" t="str">
        <f>IF($A342&lt;&gt;0,VLOOKUP($A342,'0.Productos'!$A$3:$GG$587,'0.Productos'!BQ$1+1,0),"")</f>
        <v/>
      </c>
      <c r="Z342" s="133" t="str">
        <f>IF($A342&lt;&gt;0,VLOOKUP($A342,'0.Productos'!$A$3:$GG$587,'0.Productos'!BR$1+1,0),"")</f>
        <v/>
      </c>
      <c r="AA342" s="133" t="str">
        <f>IF($A342&lt;&gt;0,VLOOKUP($A342,'0.Productos'!$A$3:$GG$587,'0.Productos'!BS$1+1,0),"")</f>
        <v/>
      </c>
      <c r="AB342" s="133" t="str">
        <f>IF($A342&lt;&gt;0,VLOOKUP($A342,'0.Productos'!$A$3:$GG$587,'0.Productos'!BT$1+1,0),"")</f>
        <v/>
      </c>
      <c r="AC342" s="133" t="str">
        <f>IF($A342&lt;&gt;0,VLOOKUP($A342,'0.Productos'!$A$3:$GG$587,'0.Productos'!BU$1+1,0),"")</f>
        <v/>
      </c>
      <c r="AD342" s="133" t="str">
        <f>IF($A342&lt;&gt;0,VLOOKUP($A342,'0.Productos'!$A$3:$GG$587,'0.Productos'!BV$1+1,0),"")</f>
        <v/>
      </c>
      <c r="AE342" s="133" t="str">
        <f>IF($A342&lt;&gt;0,VLOOKUP($A342,'0.Productos'!$A$3:$GG$587,'0.Productos'!BW$1+1,0),"")</f>
        <v/>
      </c>
      <c r="AF342" s="133" t="str">
        <f>IF($A342&lt;&gt;0,VLOOKUP($A342,'0.Productos'!$A$3:$GG$587,'0.Productos'!BX$1+1,0),"")</f>
        <v/>
      </c>
      <c r="AG342" s="133" t="str">
        <f>IF($A342&lt;&gt;0,VLOOKUP($A342,'0.Productos'!$A$3:$GG$587,'0.Productos'!BY$1+1,0),"")</f>
        <v/>
      </c>
      <c r="AH342" s="133" t="str">
        <f>IF($A342&lt;&gt;0,VLOOKUP($A342,'0.Productos'!$A$3:$GG$587,'0.Productos'!BZ$1+1,0),"")</f>
        <v/>
      </c>
      <c r="AI342" s="133" t="str">
        <f>IF($A342&lt;&gt;0,VLOOKUP($A342,'0.Productos'!$A$3:$GG$587,'0.Productos'!CA$1+1,0),"")</f>
        <v/>
      </c>
      <c r="AJ342" s="133" t="str">
        <f>IF($A342&lt;&gt;0,VLOOKUP($A342,'0.Productos'!$A$3:$GG$587,'0.Productos'!CB$1+1,0),"")</f>
        <v/>
      </c>
      <c r="AK342" s="133" t="str">
        <f>IF($A342&lt;&gt;0,VLOOKUP($A342,'0.Productos'!$A$3:$GG$587,'0.Productos'!CC$1+1,0),"")</f>
        <v/>
      </c>
      <c r="AL342" s="133" t="str">
        <f>IF($A342&lt;&gt;0,VLOOKUP($A342,'0.Productos'!$A$3:$GG$587,'0.Productos'!CD$1+1,0),"")</f>
        <v/>
      </c>
      <c r="AM342" s="133" t="str">
        <f>IF($A342&lt;&gt;0,VLOOKUP($A342,'0.Productos'!$A$3:$GG$587,'0.Productos'!CE$1+1,0),"")</f>
        <v/>
      </c>
      <c r="AN342" s="133" t="str">
        <f>IF($A342&lt;&gt;0,VLOOKUP($A342,'0.Productos'!$A$3:$GG$587,'0.Productos'!CF$1+1,0),"")</f>
        <v/>
      </c>
      <c r="AO342" s="133" t="str">
        <f>IF($A342&lt;&gt;0,VLOOKUP($A342,'0.Productos'!$A$3:$GG$587,'0.Productos'!CG$1+1,0),"")</f>
        <v/>
      </c>
      <c r="AP342" s="133" t="str">
        <f>IF($A342&lt;&gt;0,VLOOKUP($A342,'0.Productos'!$A$3:$GG$587,'0.Productos'!CH$1+1,0),"")</f>
        <v/>
      </c>
      <c r="AQ342" s="133" t="str">
        <f>IF($A342&lt;&gt;0,VLOOKUP($A342,'0.Productos'!$A$3:$GG$587,'0.Productos'!CI$1+1,0),"")</f>
        <v/>
      </c>
      <c r="AR342" s="133" t="str">
        <f>IF($A342&lt;&gt;0,VLOOKUP($A342,'0.Productos'!$A$3:$GG$587,'0.Productos'!CJ$1+1,0),"")</f>
        <v/>
      </c>
      <c r="AS342" s="133" t="str">
        <f>IF($A342&lt;&gt;0,VLOOKUP($A342,'0.Productos'!$A$3:$GG$587,'0.Productos'!CK$1+1,0),"")</f>
        <v/>
      </c>
      <c r="AT342" s="133" t="str">
        <f>IF($A342&lt;&gt;0,VLOOKUP($A342,'0.Productos'!$A$3:$GG$587,'0.Productos'!CL$1+1,0),"")</f>
        <v/>
      </c>
      <c r="AU342" s="133" t="str">
        <f>IF($A342&lt;&gt;0,VLOOKUP($A342,'0.Productos'!$A$3:$GG$587,'0.Productos'!CM$1+1,0),"")</f>
        <v/>
      </c>
      <c r="AV342" s="133" t="str">
        <f>IF($A342&lt;&gt;0,VLOOKUP($A342,'0.Productos'!$A$3:$GG$587,'0.Productos'!CN$1+1,0),"")</f>
        <v/>
      </c>
      <c r="AW342" s="133" t="str">
        <f>IF($A342&lt;&gt;0,VLOOKUP($A342,'0.Productos'!$A$3:$GG$587,'0.Productos'!CO$1+1,0),"")</f>
        <v/>
      </c>
      <c r="AX342" s="133" t="str">
        <f>IF($A342&lt;&gt;0,VLOOKUP($A342,'0.Productos'!$A$3:$GG$587,'0.Productos'!CP$1+1,0),"")</f>
        <v/>
      </c>
      <c r="AY342" s="133" t="str">
        <f>IF($A342&lt;&gt;0,VLOOKUP($A342,'0.Productos'!$A$3:$GG$587,'0.Productos'!CQ$1+1,0),"")</f>
        <v/>
      </c>
      <c r="AZ342" s="133" t="str">
        <f>IF($A342&lt;&gt;0,VLOOKUP($A342,'0.Productos'!$A$3:$GG$587,'0.Productos'!CR$1+1,0),"")</f>
        <v/>
      </c>
      <c r="BA342" s="133" t="str">
        <f>IF($A342&lt;&gt;0,VLOOKUP($A342,'0.Productos'!$A$3:$GG$587,'0.Productos'!CS$1+1,0),"")</f>
        <v/>
      </c>
      <c r="BB342" s="133" t="str">
        <f>IF($A342&lt;&gt;0,VLOOKUP($A342,'0.Productos'!$A$3:$GG$587,'0.Productos'!CT$1+1,0),"")</f>
        <v/>
      </c>
      <c r="BC342" s="133" t="str">
        <f>IF($A342&lt;&gt;0,VLOOKUP($A342,'0.Productos'!$A$3:$GG$587,'0.Productos'!CU$1+1,0),"")</f>
        <v/>
      </c>
      <c r="BD342" s="133" t="str">
        <f>IF($A342&lt;&gt;0,VLOOKUP($A342,'0.Productos'!$A$3:$GG$587,'0.Productos'!CV$1+1,0),"")</f>
        <v/>
      </c>
      <c r="BE342" s="133" t="str">
        <f>IF($A342&lt;&gt;0,VLOOKUP($A342,'0.Productos'!$A$3:$GG$587,'0.Productos'!CW$1+1,0),"")</f>
        <v/>
      </c>
      <c r="BF342" s="133" t="str">
        <f>IF($A342&lt;&gt;0,VLOOKUP($A342,'0.Productos'!$A$3:$GG$587,'0.Productos'!CX$1+1,0),"")</f>
        <v/>
      </c>
      <c r="BG342" s="133" t="str">
        <f>IF($A342&lt;&gt;0,VLOOKUP($A342,'0.Productos'!$A$3:$GG$587,'0.Productos'!CY$1+1,0),"")</f>
        <v/>
      </c>
      <c r="BH342" s="133" t="str">
        <f>IF($A342&lt;&gt;0,VLOOKUP($A342,'0.Productos'!$A$3:$GG$587,'0.Productos'!CZ$1+1,0),"")</f>
        <v/>
      </c>
      <c r="BI342" s="133" t="str">
        <f>IF($A342&lt;&gt;0,VLOOKUP($A342,'0.Productos'!$A$3:$GG$587,'0.Productos'!DA$1+1,0),"")</f>
        <v/>
      </c>
      <c r="BJ342" s="133" t="str">
        <f>IF($A342&lt;&gt;0,VLOOKUP($A342,'0.Productos'!$A$3:$GG$587,'0.Productos'!DB$1+1,0),"")</f>
        <v/>
      </c>
      <c r="BK342" s="133" t="str">
        <f>IF($A342&lt;&gt;0,VLOOKUP($A342,'0.Productos'!$A$3:$GG$587,'0.Productos'!DC$1+1,0),"")</f>
        <v/>
      </c>
      <c r="BL342" s="133" t="str">
        <f>IF($A342&lt;&gt;0,VLOOKUP($A342,'0.Productos'!$A$3:$GG$587,'0.Productos'!DD$1+1,0),"")</f>
        <v/>
      </c>
      <c r="BM342" s="133" t="str">
        <f>IF($A342&lt;&gt;0,VLOOKUP($A342,'0.Productos'!$A$3:$GG$587,'0.Productos'!DE$1+1,0),"")</f>
        <v/>
      </c>
      <c r="BN342" s="133" t="str">
        <f>IF($A342&lt;&gt;0,VLOOKUP($A342,'0.Productos'!$A$3:$GG$587,'0.Productos'!DF$1+1,0),"")</f>
        <v/>
      </c>
      <c r="BO342" s="133" t="str">
        <f>IF($A342&lt;&gt;0,VLOOKUP($A342,'0.Productos'!$A$3:$GG$587,'0.Productos'!DG$1+1,0),"")</f>
        <v/>
      </c>
      <c r="BP342" s="133" t="str">
        <f>IF($A342&lt;&gt;0,VLOOKUP($A342,'0.Productos'!$A$3:$GG$587,'0.Productos'!DH$1+1,0),"")</f>
        <v/>
      </c>
      <c r="BQ342" s="133" t="str">
        <f>IF($A342&lt;&gt;0,VLOOKUP($A342,'0.Productos'!$A$3:$GG$587,'0.Productos'!DI$1+1,0),"")</f>
        <v/>
      </c>
      <c r="BR342" s="133" t="str">
        <f>IF($A342&lt;&gt;0,VLOOKUP($A342,'0.Productos'!$A$3:$GG$587,'0.Productos'!DJ$1+1,0),"")</f>
        <v/>
      </c>
      <c r="BS342" s="133" t="str">
        <f>IF($A342&lt;&gt;0,VLOOKUP($A342,'0.Productos'!$A$3:$GG$587,'0.Productos'!DK$1+1,0),"")</f>
        <v/>
      </c>
      <c r="BT342" s="133" t="str">
        <f>IF($A342&lt;&gt;0,VLOOKUP($A342,'0.Productos'!$A$3:$GG$587,'0.Productos'!DL$1+1,0),"")</f>
        <v/>
      </c>
    </row>
    <row r="343" spans="1:72" x14ac:dyDescent="0.25">
      <c r="A343" s="17">
        <f>'0.Consolidado general'!A343</f>
        <v>0</v>
      </c>
      <c r="B343" s="133" t="str">
        <f>IF($A343&lt;&gt;0,VLOOKUP($A343,'0.Productos'!$A$3:$GG$587,'0.Productos'!AT$1+1,0),"")</f>
        <v/>
      </c>
      <c r="C343" s="133" t="str">
        <f>IF($A343&lt;&gt;0,VLOOKUP($A343,'0.Productos'!$A$3:$GG$587,'0.Productos'!AU$1+1,0),"")</f>
        <v/>
      </c>
      <c r="D343" s="133" t="str">
        <f>IF($A343&lt;&gt;0,VLOOKUP($A343,'0.Productos'!$A$3:$GG$587,'0.Productos'!AV$1+1,0),"")</f>
        <v/>
      </c>
      <c r="E343" s="133" t="str">
        <f>IF($A343&lt;&gt;0,VLOOKUP($A343,'0.Productos'!$A$3:$GG$587,'0.Productos'!AW$1+1,0),"")</f>
        <v/>
      </c>
      <c r="F343" s="133" t="str">
        <f>IF($A343&lt;&gt;0,VLOOKUP($A343,'0.Productos'!$A$3:$GG$587,'0.Productos'!AX$1+1,0),"")</f>
        <v/>
      </c>
      <c r="G343" s="133" t="str">
        <f>IF($A343&lt;&gt;0,VLOOKUP($A343,'0.Productos'!$A$3:$GG$587,'0.Productos'!AY$1+1,0),"")</f>
        <v/>
      </c>
      <c r="H343" s="133" t="str">
        <f>IF($A343&lt;&gt;0,VLOOKUP($A343,'0.Productos'!$A$3:$GG$587,'0.Productos'!AZ$1+1,0),"")</f>
        <v/>
      </c>
      <c r="I343" s="133" t="str">
        <f>IF($A343&lt;&gt;0,VLOOKUP($A343,'0.Productos'!$A$3:$GG$587,'0.Productos'!BA$1+1,0),"")</f>
        <v/>
      </c>
      <c r="J343" s="133" t="str">
        <f>IF($A343&lt;&gt;0,VLOOKUP($A343,'0.Productos'!$A$3:$GG$587,'0.Productos'!BB$1+1,0),"")</f>
        <v/>
      </c>
      <c r="K343" s="133" t="str">
        <f>IF($A343&lt;&gt;0,VLOOKUP($A343,'0.Productos'!$A$3:$GG$587,'0.Productos'!BC$1+1,0),"")</f>
        <v/>
      </c>
      <c r="L343" s="133" t="str">
        <f>IF($A343&lt;&gt;0,VLOOKUP($A343,'0.Productos'!$A$3:$GG$587,'0.Productos'!BD$1+1,0),"")</f>
        <v/>
      </c>
      <c r="M343" s="133" t="str">
        <f>IF($A343&lt;&gt;0,VLOOKUP($A343,'0.Productos'!$A$3:$GG$587,'0.Productos'!BE$1+1,0),"")</f>
        <v/>
      </c>
      <c r="N343" s="133" t="str">
        <f>IF($A343&lt;&gt;0,VLOOKUP($A343,'0.Productos'!$A$3:$GG$587,'0.Productos'!BF$1+1,0),"")</f>
        <v/>
      </c>
      <c r="O343" s="133" t="str">
        <f>IF($A343&lt;&gt;0,VLOOKUP($A343,'0.Productos'!$A$3:$GG$587,'0.Productos'!BG$1+1,0),"")</f>
        <v/>
      </c>
      <c r="P343" s="133" t="str">
        <f>IF($A343&lt;&gt;0,VLOOKUP($A343,'0.Productos'!$A$3:$GG$587,'0.Productos'!BH$1+1,0),"")</f>
        <v/>
      </c>
      <c r="Q343" s="133" t="str">
        <f>IF($A343&lt;&gt;0,VLOOKUP($A343,'0.Productos'!$A$3:$GG$587,'0.Productos'!BI$1+1,0),"")</f>
        <v/>
      </c>
      <c r="R343" s="133" t="str">
        <f>IF($A343&lt;&gt;0,VLOOKUP($A343,'0.Productos'!$A$3:$GG$587,'0.Productos'!BJ$1+1,0),"")</f>
        <v/>
      </c>
      <c r="S343" s="133" t="str">
        <f>IF($A343&lt;&gt;0,VLOOKUP($A343,'0.Productos'!$A$3:$GG$587,'0.Productos'!BK$1+1,0),"")</f>
        <v/>
      </c>
      <c r="T343" s="133" t="str">
        <f>IF($A343&lt;&gt;0,VLOOKUP($A343,'0.Productos'!$A$3:$GG$587,'0.Productos'!BL$1+1,0),"")</f>
        <v/>
      </c>
      <c r="U343" s="133" t="str">
        <f>IF($A343&lt;&gt;0,VLOOKUP($A343,'0.Productos'!$A$3:$GG$587,'0.Productos'!BM$1+1,0),"")</f>
        <v/>
      </c>
      <c r="V343" s="133" t="str">
        <f>IF($A343&lt;&gt;0,VLOOKUP($A343,'0.Productos'!$A$3:$GG$587,'0.Productos'!BN$1+1,0),"")</f>
        <v/>
      </c>
      <c r="W343" s="133" t="str">
        <f>IF($A343&lt;&gt;0,VLOOKUP($A343,'0.Productos'!$A$3:$GG$587,'0.Productos'!BO$1+1,0),"")</f>
        <v/>
      </c>
      <c r="X343" s="133" t="str">
        <f>IF($A343&lt;&gt;0,VLOOKUP($A343,'0.Productos'!$A$3:$GG$587,'0.Productos'!BP$1+1,0),"")</f>
        <v/>
      </c>
      <c r="Y343" s="133" t="str">
        <f>IF($A343&lt;&gt;0,VLOOKUP($A343,'0.Productos'!$A$3:$GG$587,'0.Productos'!BQ$1+1,0),"")</f>
        <v/>
      </c>
      <c r="Z343" s="133" t="str">
        <f>IF($A343&lt;&gt;0,VLOOKUP($A343,'0.Productos'!$A$3:$GG$587,'0.Productos'!BR$1+1,0),"")</f>
        <v/>
      </c>
      <c r="AA343" s="133" t="str">
        <f>IF($A343&lt;&gt;0,VLOOKUP($A343,'0.Productos'!$A$3:$GG$587,'0.Productos'!BS$1+1,0),"")</f>
        <v/>
      </c>
      <c r="AB343" s="133" t="str">
        <f>IF($A343&lt;&gt;0,VLOOKUP($A343,'0.Productos'!$A$3:$GG$587,'0.Productos'!BT$1+1,0),"")</f>
        <v/>
      </c>
      <c r="AC343" s="133" t="str">
        <f>IF($A343&lt;&gt;0,VLOOKUP($A343,'0.Productos'!$A$3:$GG$587,'0.Productos'!BU$1+1,0),"")</f>
        <v/>
      </c>
      <c r="AD343" s="133" t="str">
        <f>IF($A343&lt;&gt;0,VLOOKUP($A343,'0.Productos'!$A$3:$GG$587,'0.Productos'!BV$1+1,0),"")</f>
        <v/>
      </c>
      <c r="AE343" s="133" t="str">
        <f>IF($A343&lt;&gt;0,VLOOKUP($A343,'0.Productos'!$A$3:$GG$587,'0.Productos'!BW$1+1,0),"")</f>
        <v/>
      </c>
      <c r="AF343" s="133" t="str">
        <f>IF($A343&lt;&gt;0,VLOOKUP($A343,'0.Productos'!$A$3:$GG$587,'0.Productos'!BX$1+1,0),"")</f>
        <v/>
      </c>
      <c r="AG343" s="133" t="str">
        <f>IF($A343&lt;&gt;0,VLOOKUP($A343,'0.Productos'!$A$3:$GG$587,'0.Productos'!BY$1+1,0),"")</f>
        <v/>
      </c>
      <c r="AH343" s="133" t="str">
        <f>IF($A343&lt;&gt;0,VLOOKUP($A343,'0.Productos'!$A$3:$GG$587,'0.Productos'!BZ$1+1,0),"")</f>
        <v/>
      </c>
      <c r="AI343" s="133" t="str">
        <f>IF($A343&lt;&gt;0,VLOOKUP($A343,'0.Productos'!$A$3:$GG$587,'0.Productos'!CA$1+1,0),"")</f>
        <v/>
      </c>
      <c r="AJ343" s="133" t="str">
        <f>IF($A343&lt;&gt;0,VLOOKUP($A343,'0.Productos'!$A$3:$GG$587,'0.Productos'!CB$1+1,0),"")</f>
        <v/>
      </c>
      <c r="AK343" s="133" t="str">
        <f>IF($A343&lt;&gt;0,VLOOKUP($A343,'0.Productos'!$A$3:$GG$587,'0.Productos'!CC$1+1,0),"")</f>
        <v/>
      </c>
      <c r="AL343" s="133" t="str">
        <f>IF($A343&lt;&gt;0,VLOOKUP($A343,'0.Productos'!$A$3:$GG$587,'0.Productos'!CD$1+1,0),"")</f>
        <v/>
      </c>
      <c r="AM343" s="133" t="str">
        <f>IF($A343&lt;&gt;0,VLOOKUP($A343,'0.Productos'!$A$3:$GG$587,'0.Productos'!CE$1+1,0),"")</f>
        <v/>
      </c>
      <c r="AN343" s="133" t="str">
        <f>IF($A343&lt;&gt;0,VLOOKUP($A343,'0.Productos'!$A$3:$GG$587,'0.Productos'!CF$1+1,0),"")</f>
        <v/>
      </c>
      <c r="AO343" s="133" t="str">
        <f>IF($A343&lt;&gt;0,VLOOKUP($A343,'0.Productos'!$A$3:$GG$587,'0.Productos'!CG$1+1,0),"")</f>
        <v/>
      </c>
      <c r="AP343" s="133" t="str">
        <f>IF($A343&lt;&gt;0,VLOOKUP($A343,'0.Productos'!$A$3:$GG$587,'0.Productos'!CH$1+1,0),"")</f>
        <v/>
      </c>
      <c r="AQ343" s="133" t="str">
        <f>IF($A343&lt;&gt;0,VLOOKUP($A343,'0.Productos'!$A$3:$GG$587,'0.Productos'!CI$1+1,0),"")</f>
        <v/>
      </c>
      <c r="AR343" s="133" t="str">
        <f>IF($A343&lt;&gt;0,VLOOKUP($A343,'0.Productos'!$A$3:$GG$587,'0.Productos'!CJ$1+1,0),"")</f>
        <v/>
      </c>
      <c r="AS343" s="133" t="str">
        <f>IF($A343&lt;&gt;0,VLOOKUP($A343,'0.Productos'!$A$3:$GG$587,'0.Productos'!CK$1+1,0),"")</f>
        <v/>
      </c>
      <c r="AT343" s="133" t="str">
        <f>IF($A343&lt;&gt;0,VLOOKUP($A343,'0.Productos'!$A$3:$GG$587,'0.Productos'!CL$1+1,0),"")</f>
        <v/>
      </c>
      <c r="AU343" s="133" t="str">
        <f>IF($A343&lt;&gt;0,VLOOKUP($A343,'0.Productos'!$A$3:$GG$587,'0.Productos'!CM$1+1,0),"")</f>
        <v/>
      </c>
      <c r="AV343" s="133" t="str">
        <f>IF($A343&lt;&gt;0,VLOOKUP($A343,'0.Productos'!$A$3:$GG$587,'0.Productos'!CN$1+1,0),"")</f>
        <v/>
      </c>
      <c r="AW343" s="133" t="str">
        <f>IF($A343&lt;&gt;0,VLOOKUP($A343,'0.Productos'!$A$3:$GG$587,'0.Productos'!CO$1+1,0),"")</f>
        <v/>
      </c>
      <c r="AX343" s="133" t="str">
        <f>IF($A343&lt;&gt;0,VLOOKUP($A343,'0.Productos'!$A$3:$GG$587,'0.Productos'!CP$1+1,0),"")</f>
        <v/>
      </c>
      <c r="AY343" s="133" t="str">
        <f>IF($A343&lt;&gt;0,VLOOKUP($A343,'0.Productos'!$A$3:$GG$587,'0.Productos'!CQ$1+1,0),"")</f>
        <v/>
      </c>
      <c r="AZ343" s="133" t="str">
        <f>IF($A343&lt;&gt;0,VLOOKUP($A343,'0.Productos'!$A$3:$GG$587,'0.Productos'!CR$1+1,0),"")</f>
        <v/>
      </c>
      <c r="BA343" s="133" t="str">
        <f>IF($A343&lt;&gt;0,VLOOKUP($A343,'0.Productos'!$A$3:$GG$587,'0.Productos'!CS$1+1,0),"")</f>
        <v/>
      </c>
      <c r="BB343" s="133" t="str">
        <f>IF($A343&lt;&gt;0,VLOOKUP($A343,'0.Productos'!$A$3:$GG$587,'0.Productos'!CT$1+1,0),"")</f>
        <v/>
      </c>
      <c r="BC343" s="133" t="str">
        <f>IF($A343&lt;&gt;0,VLOOKUP($A343,'0.Productos'!$A$3:$GG$587,'0.Productos'!CU$1+1,0),"")</f>
        <v/>
      </c>
      <c r="BD343" s="133" t="str">
        <f>IF($A343&lt;&gt;0,VLOOKUP($A343,'0.Productos'!$A$3:$GG$587,'0.Productos'!CV$1+1,0),"")</f>
        <v/>
      </c>
      <c r="BE343" s="133" t="str">
        <f>IF($A343&lt;&gt;0,VLOOKUP($A343,'0.Productos'!$A$3:$GG$587,'0.Productos'!CW$1+1,0),"")</f>
        <v/>
      </c>
      <c r="BF343" s="133" t="str">
        <f>IF($A343&lt;&gt;0,VLOOKUP($A343,'0.Productos'!$A$3:$GG$587,'0.Productos'!CX$1+1,0),"")</f>
        <v/>
      </c>
      <c r="BG343" s="133" t="str">
        <f>IF($A343&lt;&gt;0,VLOOKUP($A343,'0.Productos'!$A$3:$GG$587,'0.Productos'!CY$1+1,0),"")</f>
        <v/>
      </c>
      <c r="BH343" s="133" t="str">
        <f>IF($A343&lt;&gt;0,VLOOKUP($A343,'0.Productos'!$A$3:$GG$587,'0.Productos'!CZ$1+1,0),"")</f>
        <v/>
      </c>
      <c r="BI343" s="133" t="str">
        <f>IF($A343&lt;&gt;0,VLOOKUP($A343,'0.Productos'!$A$3:$GG$587,'0.Productos'!DA$1+1,0),"")</f>
        <v/>
      </c>
      <c r="BJ343" s="133" t="str">
        <f>IF($A343&lt;&gt;0,VLOOKUP($A343,'0.Productos'!$A$3:$GG$587,'0.Productos'!DB$1+1,0),"")</f>
        <v/>
      </c>
      <c r="BK343" s="133" t="str">
        <f>IF($A343&lt;&gt;0,VLOOKUP($A343,'0.Productos'!$A$3:$GG$587,'0.Productos'!DC$1+1,0),"")</f>
        <v/>
      </c>
      <c r="BL343" s="133" t="str">
        <f>IF($A343&lt;&gt;0,VLOOKUP($A343,'0.Productos'!$A$3:$GG$587,'0.Productos'!DD$1+1,0),"")</f>
        <v/>
      </c>
      <c r="BM343" s="133" t="str">
        <f>IF($A343&lt;&gt;0,VLOOKUP($A343,'0.Productos'!$A$3:$GG$587,'0.Productos'!DE$1+1,0),"")</f>
        <v/>
      </c>
      <c r="BN343" s="133" t="str">
        <f>IF($A343&lt;&gt;0,VLOOKUP($A343,'0.Productos'!$A$3:$GG$587,'0.Productos'!DF$1+1,0),"")</f>
        <v/>
      </c>
      <c r="BO343" s="133" t="str">
        <f>IF($A343&lt;&gt;0,VLOOKUP($A343,'0.Productos'!$A$3:$GG$587,'0.Productos'!DG$1+1,0),"")</f>
        <v/>
      </c>
      <c r="BP343" s="133" t="str">
        <f>IF($A343&lt;&gt;0,VLOOKUP($A343,'0.Productos'!$A$3:$GG$587,'0.Productos'!DH$1+1,0),"")</f>
        <v/>
      </c>
      <c r="BQ343" s="133" t="str">
        <f>IF($A343&lt;&gt;0,VLOOKUP($A343,'0.Productos'!$A$3:$GG$587,'0.Productos'!DI$1+1,0),"")</f>
        <v/>
      </c>
      <c r="BR343" s="133" t="str">
        <f>IF($A343&lt;&gt;0,VLOOKUP($A343,'0.Productos'!$A$3:$GG$587,'0.Productos'!DJ$1+1,0),"")</f>
        <v/>
      </c>
      <c r="BS343" s="133" t="str">
        <f>IF($A343&lt;&gt;0,VLOOKUP($A343,'0.Productos'!$A$3:$GG$587,'0.Productos'!DK$1+1,0),"")</f>
        <v/>
      </c>
      <c r="BT343" s="133" t="str">
        <f>IF($A343&lt;&gt;0,VLOOKUP($A343,'0.Productos'!$A$3:$GG$587,'0.Productos'!DL$1+1,0),"")</f>
        <v/>
      </c>
    </row>
    <row r="344" spans="1:72" x14ac:dyDescent="0.25">
      <c r="A344" s="17">
        <f>'0.Consolidado general'!A344</f>
        <v>0</v>
      </c>
      <c r="B344" s="133" t="str">
        <f>IF($A344&lt;&gt;0,VLOOKUP($A344,'0.Productos'!$A$3:$GG$587,'0.Productos'!AT$1+1,0),"")</f>
        <v/>
      </c>
      <c r="C344" s="133" t="str">
        <f>IF($A344&lt;&gt;0,VLOOKUP($A344,'0.Productos'!$A$3:$GG$587,'0.Productos'!AU$1+1,0),"")</f>
        <v/>
      </c>
      <c r="D344" s="133" t="str">
        <f>IF($A344&lt;&gt;0,VLOOKUP($A344,'0.Productos'!$A$3:$GG$587,'0.Productos'!AV$1+1,0),"")</f>
        <v/>
      </c>
      <c r="E344" s="133" t="str">
        <f>IF($A344&lt;&gt;0,VLOOKUP($A344,'0.Productos'!$A$3:$GG$587,'0.Productos'!AW$1+1,0),"")</f>
        <v/>
      </c>
      <c r="F344" s="133" t="str">
        <f>IF($A344&lt;&gt;0,VLOOKUP($A344,'0.Productos'!$A$3:$GG$587,'0.Productos'!AX$1+1,0),"")</f>
        <v/>
      </c>
      <c r="G344" s="133" t="str">
        <f>IF($A344&lt;&gt;0,VLOOKUP($A344,'0.Productos'!$A$3:$GG$587,'0.Productos'!AY$1+1,0),"")</f>
        <v/>
      </c>
      <c r="H344" s="133" t="str">
        <f>IF($A344&lt;&gt;0,VLOOKUP($A344,'0.Productos'!$A$3:$GG$587,'0.Productos'!AZ$1+1,0),"")</f>
        <v/>
      </c>
      <c r="I344" s="133" t="str">
        <f>IF($A344&lt;&gt;0,VLOOKUP($A344,'0.Productos'!$A$3:$GG$587,'0.Productos'!BA$1+1,0),"")</f>
        <v/>
      </c>
      <c r="J344" s="133" t="str">
        <f>IF($A344&lt;&gt;0,VLOOKUP($A344,'0.Productos'!$A$3:$GG$587,'0.Productos'!BB$1+1,0),"")</f>
        <v/>
      </c>
      <c r="K344" s="133" t="str">
        <f>IF($A344&lt;&gt;0,VLOOKUP($A344,'0.Productos'!$A$3:$GG$587,'0.Productos'!BC$1+1,0),"")</f>
        <v/>
      </c>
      <c r="L344" s="133" t="str">
        <f>IF($A344&lt;&gt;0,VLOOKUP($A344,'0.Productos'!$A$3:$GG$587,'0.Productos'!BD$1+1,0),"")</f>
        <v/>
      </c>
      <c r="M344" s="133" t="str">
        <f>IF($A344&lt;&gt;0,VLOOKUP($A344,'0.Productos'!$A$3:$GG$587,'0.Productos'!BE$1+1,0),"")</f>
        <v/>
      </c>
      <c r="N344" s="133" t="str">
        <f>IF($A344&lt;&gt;0,VLOOKUP($A344,'0.Productos'!$A$3:$GG$587,'0.Productos'!BF$1+1,0),"")</f>
        <v/>
      </c>
      <c r="O344" s="133" t="str">
        <f>IF($A344&lt;&gt;0,VLOOKUP($A344,'0.Productos'!$A$3:$GG$587,'0.Productos'!BG$1+1,0),"")</f>
        <v/>
      </c>
      <c r="P344" s="133" t="str">
        <f>IF($A344&lt;&gt;0,VLOOKUP($A344,'0.Productos'!$A$3:$GG$587,'0.Productos'!BH$1+1,0),"")</f>
        <v/>
      </c>
      <c r="Q344" s="133" t="str">
        <f>IF($A344&lt;&gt;0,VLOOKUP($A344,'0.Productos'!$A$3:$GG$587,'0.Productos'!BI$1+1,0),"")</f>
        <v/>
      </c>
      <c r="R344" s="133" t="str">
        <f>IF($A344&lt;&gt;0,VLOOKUP($A344,'0.Productos'!$A$3:$GG$587,'0.Productos'!BJ$1+1,0),"")</f>
        <v/>
      </c>
      <c r="S344" s="133" t="str">
        <f>IF($A344&lt;&gt;0,VLOOKUP($A344,'0.Productos'!$A$3:$GG$587,'0.Productos'!BK$1+1,0),"")</f>
        <v/>
      </c>
      <c r="T344" s="133" t="str">
        <f>IF($A344&lt;&gt;0,VLOOKUP($A344,'0.Productos'!$A$3:$GG$587,'0.Productos'!BL$1+1,0),"")</f>
        <v/>
      </c>
      <c r="U344" s="133" t="str">
        <f>IF($A344&lt;&gt;0,VLOOKUP($A344,'0.Productos'!$A$3:$GG$587,'0.Productos'!BM$1+1,0),"")</f>
        <v/>
      </c>
      <c r="V344" s="133" t="str">
        <f>IF($A344&lt;&gt;0,VLOOKUP($A344,'0.Productos'!$A$3:$GG$587,'0.Productos'!BN$1+1,0),"")</f>
        <v/>
      </c>
      <c r="W344" s="133" t="str">
        <f>IF($A344&lt;&gt;0,VLOOKUP($A344,'0.Productos'!$A$3:$GG$587,'0.Productos'!BO$1+1,0),"")</f>
        <v/>
      </c>
      <c r="X344" s="133" t="str">
        <f>IF($A344&lt;&gt;0,VLOOKUP($A344,'0.Productos'!$A$3:$GG$587,'0.Productos'!BP$1+1,0),"")</f>
        <v/>
      </c>
      <c r="Y344" s="133" t="str">
        <f>IF($A344&lt;&gt;0,VLOOKUP($A344,'0.Productos'!$A$3:$GG$587,'0.Productos'!BQ$1+1,0),"")</f>
        <v/>
      </c>
      <c r="Z344" s="133" t="str">
        <f>IF($A344&lt;&gt;0,VLOOKUP($A344,'0.Productos'!$A$3:$GG$587,'0.Productos'!BR$1+1,0),"")</f>
        <v/>
      </c>
      <c r="AA344" s="133" t="str">
        <f>IF($A344&lt;&gt;0,VLOOKUP($A344,'0.Productos'!$A$3:$GG$587,'0.Productos'!BS$1+1,0),"")</f>
        <v/>
      </c>
      <c r="AB344" s="133" t="str">
        <f>IF($A344&lt;&gt;0,VLOOKUP($A344,'0.Productos'!$A$3:$GG$587,'0.Productos'!BT$1+1,0),"")</f>
        <v/>
      </c>
      <c r="AC344" s="133" t="str">
        <f>IF($A344&lt;&gt;0,VLOOKUP($A344,'0.Productos'!$A$3:$GG$587,'0.Productos'!BU$1+1,0),"")</f>
        <v/>
      </c>
      <c r="AD344" s="133" t="str">
        <f>IF($A344&lt;&gt;0,VLOOKUP($A344,'0.Productos'!$A$3:$GG$587,'0.Productos'!BV$1+1,0),"")</f>
        <v/>
      </c>
      <c r="AE344" s="133" t="str">
        <f>IF($A344&lt;&gt;0,VLOOKUP($A344,'0.Productos'!$A$3:$GG$587,'0.Productos'!BW$1+1,0),"")</f>
        <v/>
      </c>
      <c r="AF344" s="133" t="str">
        <f>IF($A344&lt;&gt;0,VLOOKUP($A344,'0.Productos'!$A$3:$GG$587,'0.Productos'!BX$1+1,0),"")</f>
        <v/>
      </c>
      <c r="AG344" s="133" t="str">
        <f>IF($A344&lt;&gt;0,VLOOKUP($A344,'0.Productos'!$A$3:$GG$587,'0.Productos'!BY$1+1,0),"")</f>
        <v/>
      </c>
      <c r="AH344" s="133" t="str">
        <f>IF($A344&lt;&gt;0,VLOOKUP($A344,'0.Productos'!$A$3:$GG$587,'0.Productos'!BZ$1+1,0),"")</f>
        <v/>
      </c>
      <c r="AI344" s="133" t="str">
        <f>IF($A344&lt;&gt;0,VLOOKUP($A344,'0.Productos'!$A$3:$GG$587,'0.Productos'!CA$1+1,0),"")</f>
        <v/>
      </c>
      <c r="AJ344" s="133" t="str">
        <f>IF($A344&lt;&gt;0,VLOOKUP($A344,'0.Productos'!$A$3:$GG$587,'0.Productos'!CB$1+1,0),"")</f>
        <v/>
      </c>
      <c r="AK344" s="133" t="str">
        <f>IF($A344&lt;&gt;0,VLOOKUP($A344,'0.Productos'!$A$3:$GG$587,'0.Productos'!CC$1+1,0),"")</f>
        <v/>
      </c>
      <c r="AL344" s="133" t="str">
        <f>IF($A344&lt;&gt;0,VLOOKUP($A344,'0.Productos'!$A$3:$GG$587,'0.Productos'!CD$1+1,0),"")</f>
        <v/>
      </c>
      <c r="AM344" s="133" t="str">
        <f>IF($A344&lt;&gt;0,VLOOKUP($A344,'0.Productos'!$A$3:$GG$587,'0.Productos'!CE$1+1,0),"")</f>
        <v/>
      </c>
      <c r="AN344" s="133" t="str">
        <f>IF($A344&lt;&gt;0,VLOOKUP($A344,'0.Productos'!$A$3:$GG$587,'0.Productos'!CF$1+1,0),"")</f>
        <v/>
      </c>
      <c r="AO344" s="133" t="str">
        <f>IF($A344&lt;&gt;0,VLOOKUP($A344,'0.Productos'!$A$3:$GG$587,'0.Productos'!CG$1+1,0),"")</f>
        <v/>
      </c>
      <c r="AP344" s="133" t="str">
        <f>IF($A344&lt;&gt;0,VLOOKUP($A344,'0.Productos'!$A$3:$GG$587,'0.Productos'!CH$1+1,0),"")</f>
        <v/>
      </c>
      <c r="AQ344" s="133" t="str">
        <f>IF($A344&lt;&gt;0,VLOOKUP($A344,'0.Productos'!$A$3:$GG$587,'0.Productos'!CI$1+1,0),"")</f>
        <v/>
      </c>
      <c r="AR344" s="133" t="str">
        <f>IF($A344&lt;&gt;0,VLOOKUP($A344,'0.Productos'!$A$3:$GG$587,'0.Productos'!CJ$1+1,0),"")</f>
        <v/>
      </c>
      <c r="AS344" s="133" t="str">
        <f>IF($A344&lt;&gt;0,VLOOKUP($A344,'0.Productos'!$A$3:$GG$587,'0.Productos'!CK$1+1,0),"")</f>
        <v/>
      </c>
      <c r="AT344" s="133" t="str">
        <f>IF($A344&lt;&gt;0,VLOOKUP($A344,'0.Productos'!$A$3:$GG$587,'0.Productos'!CL$1+1,0),"")</f>
        <v/>
      </c>
      <c r="AU344" s="133" t="str">
        <f>IF($A344&lt;&gt;0,VLOOKUP($A344,'0.Productos'!$A$3:$GG$587,'0.Productos'!CM$1+1,0),"")</f>
        <v/>
      </c>
      <c r="AV344" s="133" t="str">
        <f>IF($A344&lt;&gt;0,VLOOKUP($A344,'0.Productos'!$A$3:$GG$587,'0.Productos'!CN$1+1,0),"")</f>
        <v/>
      </c>
      <c r="AW344" s="133" t="str">
        <f>IF($A344&lt;&gt;0,VLOOKUP($A344,'0.Productos'!$A$3:$GG$587,'0.Productos'!CO$1+1,0),"")</f>
        <v/>
      </c>
      <c r="AX344" s="133" t="str">
        <f>IF($A344&lt;&gt;0,VLOOKUP($A344,'0.Productos'!$A$3:$GG$587,'0.Productos'!CP$1+1,0),"")</f>
        <v/>
      </c>
      <c r="AY344" s="133" t="str">
        <f>IF($A344&lt;&gt;0,VLOOKUP($A344,'0.Productos'!$A$3:$GG$587,'0.Productos'!CQ$1+1,0),"")</f>
        <v/>
      </c>
      <c r="AZ344" s="133" t="str">
        <f>IF($A344&lt;&gt;0,VLOOKUP($A344,'0.Productos'!$A$3:$GG$587,'0.Productos'!CR$1+1,0),"")</f>
        <v/>
      </c>
      <c r="BA344" s="133" t="str">
        <f>IF($A344&lt;&gt;0,VLOOKUP($A344,'0.Productos'!$A$3:$GG$587,'0.Productos'!CS$1+1,0),"")</f>
        <v/>
      </c>
      <c r="BB344" s="133" t="str">
        <f>IF($A344&lt;&gt;0,VLOOKUP($A344,'0.Productos'!$A$3:$GG$587,'0.Productos'!CT$1+1,0),"")</f>
        <v/>
      </c>
      <c r="BC344" s="133" t="str">
        <f>IF($A344&lt;&gt;0,VLOOKUP($A344,'0.Productos'!$A$3:$GG$587,'0.Productos'!CU$1+1,0),"")</f>
        <v/>
      </c>
      <c r="BD344" s="133" t="str">
        <f>IF($A344&lt;&gt;0,VLOOKUP($A344,'0.Productos'!$A$3:$GG$587,'0.Productos'!CV$1+1,0),"")</f>
        <v/>
      </c>
      <c r="BE344" s="133" t="str">
        <f>IF($A344&lt;&gt;0,VLOOKUP($A344,'0.Productos'!$A$3:$GG$587,'0.Productos'!CW$1+1,0),"")</f>
        <v/>
      </c>
      <c r="BF344" s="133" t="str">
        <f>IF($A344&lt;&gt;0,VLOOKUP($A344,'0.Productos'!$A$3:$GG$587,'0.Productos'!CX$1+1,0),"")</f>
        <v/>
      </c>
      <c r="BG344" s="133" t="str">
        <f>IF($A344&lt;&gt;0,VLOOKUP($A344,'0.Productos'!$A$3:$GG$587,'0.Productos'!CY$1+1,0),"")</f>
        <v/>
      </c>
      <c r="BH344" s="133" t="str">
        <f>IF($A344&lt;&gt;0,VLOOKUP($A344,'0.Productos'!$A$3:$GG$587,'0.Productos'!CZ$1+1,0),"")</f>
        <v/>
      </c>
      <c r="BI344" s="133" t="str">
        <f>IF($A344&lt;&gt;0,VLOOKUP($A344,'0.Productos'!$A$3:$GG$587,'0.Productos'!DA$1+1,0),"")</f>
        <v/>
      </c>
      <c r="BJ344" s="133" t="str">
        <f>IF($A344&lt;&gt;0,VLOOKUP($A344,'0.Productos'!$A$3:$GG$587,'0.Productos'!DB$1+1,0),"")</f>
        <v/>
      </c>
      <c r="BK344" s="133" t="str">
        <f>IF($A344&lt;&gt;0,VLOOKUP($A344,'0.Productos'!$A$3:$GG$587,'0.Productos'!DC$1+1,0),"")</f>
        <v/>
      </c>
      <c r="BL344" s="133" t="str">
        <f>IF($A344&lt;&gt;0,VLOOKUP($A344,'0.Productos'!$A$3:$GG$587,'0.Productos'!DD$1+1,0),"")</f>
        <v/>
      </c>
      <c r="BM344" s="133" t="str">
        <f>IF($A344&lt;&gt;0,VLOOKUP($A344,'0.Productos'!$A$3:$GG$587,'0.Productos'!DE$1+1,0),"")</f>
        <v/>
      </c>
      <c r="BN344" s="133" t="str">
        <f>IF($A344&lt;&gt;0,VLOOKUP($A344,'0.Productos'!$A$3:$GG$587,'0.Productos'!DF$1+1,0),"")</f>
        <v/>
      </c>
      <c r="BO344" s="133" t="str">
        <f>IF($A344&lt;&gt;0,VLOOKUP($A344,'0.Productos'!$A$3:$GG$587,'0.Productos'!DG$1+1,0),"")</f>
        <v/>
      </c>
      <c r="BP344" s="133" t="str">
        <f>IF($A344&lt;&gt;0,VLOOKUP($A344,'0.Productos'!$A$3:$GG$587,'0.Productos'!DH$1+1,0),"")</f>
        <v/>
      </c>
      <c r="BQ344" s="133" t="str">
        <f>IF($A344&lt;&gt;0,VLOOKUP($A344,'0.Productos'!$A$3:$GG$587,'0.Productos'!DI$1+1,0),"")</f>
        <v/>
      </c>
      <c r="BR344" s="133" t="str">
        <f>IF($A344&lt;&gt;0,VLOOKUP($A344,'0.Productos'!$A$3:$GG$587,'0.Productos'!DJ$1+1,0),"")</f>
        <v/>
      </c>
      <c r="BS344" s="133" t="str">
        <f>IF($A344&lt;&gt;0,VLOOKUP($A344,'0.Productos'!$A$3:$GG$587,'0.Productos'!DK$1+1,0),"")</f>
        <v/>
      </c>
      <c r="BT344" s="133" t="str">
        <f>IF($A344&lt;&gt;0,VLOOKUP($A344,'0.Productos'!$A$3:$GG$587,'0.Productos'!DL$1+1,0),"")</f>
        <v/>
      </c>
    </row>
    <row r="345" spans="1:72" x14ac:dyDescent="0.25">
      <c r="A345" s="17">
        <f>'0.Consolidado general'!A345</f>
        <v>0</v>
      </c>
      <c r="B345" s="133" t="str">
        <f>IF($A345&lt;&gt;0,VLOOKUP($A345,'0.Productos'!$A$3:$GG$587,'0.Productos'!AT$1+1,0),"")</f>
        <v/>
      </c>
      <c r="C345" s="133" t="str">
        <f>IF($A345&lt;&gt;0,VLOOKUP($A345,'0.Productos'!$A$3:$GG$587,'0.Productos'!AU$1+1,0),"")</f>
        <v/>
      </c>
      <c r="D345" s="133" t="str">
        <f>IF($A345&lt;&gt;0,VLOOKUP($A345,'0.Productos'!$A$3:$GG$587,'0.Productos'!AV$1+1,0),"")</f>
        <v/>
      </c>
      <c r="E345" s="133" t="str">
        <f>IF($A345&lt;&gt;0,VLOOKUP($A345,'0.Productos'!$A$3:$GG$587,'0.Productos'!AW$1+1,0),"")</f>
        <v/>
      </c>
      <c r="F345" s="133" t="str">
        <f>IF($A345&lt;&gt;0,VLOOKUP($A345,'0.Productos'!$A$3:$GG$587,'0.Productos'!AX$1+1,0),"")</f>
        <v/>
      </c>
      <c r="G345" s="133" t="str">
        <f>IF($A345&lt;&gt;0,VLOOKUP($A345,'0.Productos'!$A$3:$GG$587,'0.Productos'!AY$1+1,0),"")</f>
        <v/>
      </c>
      <c r="H345" s="133" t="str">
        <f>IF($A345&lt;&gt;0,VLOOKUP($A345,'0.Productos'!$A$3:$GG$587,'0.Productos'!AZ$1+1,0),"")</f>
        <v/>
      </c>
      <c r="I345" s="133" t="str">
        <f>IF($A345&lt;&gt;0,VLOOKUP($A345,'0.Productos'!$A$3:$GG$587,'0.Productos'!BA$1+1,0),"")</f>
        <v/>
      </c>
      <c r="J345" s="133" t="str">
        <f>IF($A345&lt;&gt;0,VLOOKUP($A345,'0.Productos'!$A$3:$GG$587,'0.Productos'!BB$1+1,0),"")</f>
        <v/>
      </c>
      <c r="K345" s="133" t="str">
        <f>IF($A345&lt;&gt;0,VLOOKUP($A345,'0.Productos'!$A$3:$GG$587,'0.Productos'!BC$1+1,0),"")</f>
        <v/>
      </c>
      <c r="L345" s="133" t="str">
        <f>IF($A345&lt;&gt;0,VLOOKUP($A345,'0.Productos'!$A$3:$GG$587,'0.Productos'!BD$1+1,0),"")</f>
        <v/>
      </c>
      <c r="M345" s="133" t="str">
        <f>IF($A345&lt;&gt;0,VLOOKUP($A345,'0.Productos'!$A$3:$GG$587,'0.Productos'!BE$1+1,0),"")</f>
        <v/>
      </c>
      <c r="N345" s="133" t="str">
        <f>IF($A345&lt;&gt;0,VLOOKUP($A345,'0.Productos'!$A$3:$GG$587,'0.Productos'!BF$1+1,0),"")</f>
        <v/>
      </c>
      <c r="O345" s="133" t="str">
        <f>IF($A345&lt;&gt;0,VLOOKUP($A345,'0.Productos'!$A$3:$GG$587,'0.Productos'!BG$1+1,0),"")</f>
        <v/>
      </c>
      <c r="P345" s="133" t="str">
        <f>IF($A345&lt;&gt;0,VLOOKUP($A345,'0.Productos'!$A$3:$GG$587,'0.Productos'!BH$1+1,0),"")</f>
        <v/>
      </c>
      <c r="Q345" s="133" t="str">
        <f>IF($A345&lt;&gt;0,VLOOKUP($A345,'0.Productos'!$A$3:$GG$587,'0.Productos'!BI$1+1,0),"")</f>
        <v/>
      </c>
      <c r="R345" s="133" t="str">
        <f>IF($A345&lt;&gt;0,VLOOKUP($A345,'0.Productos'!$A$3:$GG$587,'0.Productos'!BJ$1+1,0),"")</f>
        <v/>
      </c>
      <c r="S345" s="133" t="str">
        <f>IF($A345&lt;&gt;0,VLOOKUP($A345,'0.Productos'!$A$3:$GG$587,'0.Productos'!BK$1+1,0),"")</f>
        <v/>
      </c>
      <c r="T345" s="133" t="str">
        <f>IF($A345&lt;&gt;0,VLOOKUP($A345,'0.Productos'!$A$3:$GG$587,'0.Productos'!BL$1+1,0),"")</f>
        <v/>
      </c>
      <c r="U345" s="133" t="str">
        <f>IF($A345&lt;&gt;0,VLOOKUP($A345,'0.Productos'!$A$3:$GG$587,'0.Productos'!BM$1+1,0),"")</f>
        <v/>
      </c>
      <c r="V345" s="133" t="str">
        <f>IF($A345&lt;&gt;0,VLOOKUP($A345,'0.Productos'!$A$3:$GG$587,'0.Productos'!BN$1+1,0),"")</f>
        <v/>
      </c>
      <c r="W345" s="133" t="str">
        <f>IF($A345&lt;&gt;0,VLOOKUP($A345,'0.Productos'!$A$3:$GG$587,'0.Productos'!BO$1+1,0),"")</f>
        <v/>
      </c>
      <c r="X345" s="133" t="str">
        <f>IF($A345&lt;&gt;0,VLOOKUP($A345,'0.Productos'!$A$3:$GG$587,'0.Productos'!BP$1+1,0),"")</f>
        <v/>
      </c>
      <c r="Y345" s="133" t="str">
        <f>IF($A345&lt;&gt;0,VLOOKUP($A345,'0.Productos'!$A$3:$GG$587,'0.Productos'!BQ$1+1,0),"")</f>
        <v/>
      </c>
      <c r="Z345" s="133" t="str">
        <f>IF($A345&lt;&gt;0,VLOOKUP($A345,'0.Productos'!$A$3:$GG$587,'0.Productos'!BR$1+1,0),"")</f>
        <v/>
      </c>
      <c r="AA345" s="133" t="str">
        <f>IF($A345&lt;&gt;0,VLOOKUP($A345,'0.Productos'!$A$3:$GG$587,'0.Productos'!BS$1+1,0),"")</f>
        <v/>
      </c>
      <c r="AB345" s="133" t="str">
        <f>IF($A345&lt;&gt;0,VLOOKUP($A345,'0.Productos'!$A$3:$GG$587,'0.Productos'!BT$1+1,0),"")</f>
        <v/>
      </c>
      <c r="AC345" s="133" t="str">
        <f>IF($A345&lt;&gt;0,VLOOKUP($A345,'0.Productos'!$A$3:$GG$587,'0.Productos'!BU$1+1,0),"")</f>
        <v/>
      </c>
      <c r="AD345" s="133" t="str">
        <f>IF($A345&lt;&gt;0,VLOOKUP($A345,'0.Productos'!$A$3:$GG$587,'0.Productos'!BV$1+1,0),"")</f>
        <v/>
      </c>
      <c r="AE345" s="133" t="str">
        <f>IF($A345&lt;&gt;0,VLOOKUP($A345,'0.Productos'!$A$3:$GG$587,'0.Productos'!BW$1+1,0),"")</f>
        <v/>
      </c>
      <c r="AF345" s="133" t="str">
        <f>IF($A345&lt;&gt;0,VLOOKUP($A345,'0.Productos'!$A$3:$GG$587,'0.Productos'!BX$1+1,0),"")</f>
        <v/>
      </c>
      <c r="AG345" s="133" t="str">
        <f>IF($A345&lt;&gt;0,VLOOKUP($A345,'0.Productos'!$A$3:$GG$587,'0.Productos'!BY$1+1,0),"")</f>
        <v/>
      </c>
      <c r="AH345" s="133" t="str">
        <f>IF($A345&lt;&gt;0,VLOOKUP($A345,'0.Productos'!$A$3:$GG$587,'0.Productos'!BZ$1+1,0),"")</f>
        <v/>
      </c>
      <c r="AI345" s="133" t="str">
        <f>IF($A345&lt;&gt;0,VLOOKUP($A345,'0.Productos'!$A$3:$GG$587,'0.Productos'!CA$1+1,0),"")</f>
        <v/>
      </c>
      <c r="AJ345" s="133" t="str">
        <f>IF($A345&lt;&gt;0,VLOOKUP($A345,'0.Productos'!$A$3:$GG$587,'0.Productos'!CB$1+1,0),"")</f>
        <v/>
      </c>
      <c r="AK345" s="133" t="str">
        <f>IF($A345&lt;&gt;0,VLOOKUP($A345,'0.Productos'!$A$3:$GG$587,'0.Productos'!CC$1+1,0),"")</f>
        <v/>
      </c>
      <c r="AL345" s="133" t="str">
        <f>IF($A345&lt;&gt;0,VLOOKUP($A345,'0.Productos'!$A$3:$GG$587,'0.Productos'!CD$1+1,0),"")</f>
        <v/>
      </c>
      <c r="AM345" s="133" t="str">
        <f>IF($A345&lt;&gt;0,VLOOKUP($A345,'0.Productos'!$A$3:$GG$587,'0.Productos'!CE$1+1,0),"")</f>
        <v/>
      </c>
      <c r="AN345" s="133" t="str">
        <f>IF($A345&lt;&gt;0,VLOOKUP($A345,'0.Productos'!$A$3:$GG$587,'0.Productos'!CF$1+1,0),"")</f>
        <v/>
      </c>
      <c r="AO345" s="133" t="str">
        <f>IF($A345&lt;&gt;0,VLOOKUP($A345,'0.Productos'!$A$3:$GG$587,'0.Productos'!CG$1+1,0),"")</f>
        <v/>
      </c>
      <c r="AP345" s="133" t="str">
        <f>IF($A345&lt;&gt;0,VLOOKUP($A345,'0.Productos'!$A$3:$GG$587,'0.Productos'!CH$1+1,0),"")</f>
        <v/>
      </c>
      <c r="AQ345" s="133" t="str">
        <f>IF($A345&lt;&gt;0,VLOOKUP($A345,'0.Productos'!$A$3:$GG$587,'0.Productos'!CI$1+1,0),"")</f>
        <v/>
      </c>
      <c r="AR345" s="133" t="str">
        <f>IF($A345&lt;&gt;0,VLOOKUP($A345,'0.Productos'!$A$3:$GG$587,'0.Productos'!CJ$1+1,0),"")</f>
        <v/>
      </c>
      <c r="AS345" s="133" t="str">
        <f>IF($A345&lt;&gt;0,VLOOKUP($A345,'0.Productos'!$A$3:$GG$587,'0.Productos'!CK$1+1,0),"")</f>
        <v/>
      </c>
      <c r="AT345" s="133" t="str">
        <f>IF($A345&lt;&gt;0,VLOOKUP($A345,'0.Productos'!$A$3:$GG$587,'0.Productos'!CL$1+1,0),"")</f>
        <v/>
      </c>
      <c r="AU345" s="133" t="str">
        <f>IF($A345&lt;&gt;0,VLOOKUP($A345,'0.Productos'!$A$3:$GG$587,'0.Productos'!CM$1+1,0),"")</f>
        <v/>
      </c>
      <c r="AV345" s="133" t="str">
        <f>IF($A345&lt;&gt;0,VLOOKUP($A345,'0.Productos'!$A$3:$GG$587,'0.Productos'!CN$1+1,0),"")</f>
        <v/>
      </c>
      <c r="AW345" s="133" t="str">
        <f>IF($A345&lt;&gt;0,VLOOKUP($A345,'0.Productos'!$A$3:$GG$587,'0.Productos'!CO$1+1,0),"")</f>
        <v/>
      </c>
      <c r="AX345" s="133" t="str">
        <f>IF($A345&lt;&gt;0,VLOOKUP($A345,'0.Productos'!$A$3:$GG$587,'0.Productos'!CP$1+1,0),"")</f>
        <v/>
      </c>
      <c r="AY345" s="133" t="str">
        <f>IF($A345&lt;&gt;0,VLOOKUP($A345,'0.Productos'!$A$3:$GG$587,'0.Productos'!CQ$1+1,0),"")</f>
        <v/>
      </c>
      <c r="AZ345" s="133" t="str">
        <f>IF($A345&lt;&gt;0,VLOOKUP($A345,'0.Productos'!$A$3:$GG$587,'0.Productos'!CR$1+1,0),"")</f>
        <v/>
      </c>
      <c r="BA345" s="133" t="str">
        <f>IF($A345&lt;&gt;0,VLOOKUP($A345,'0.Productos'!$A$3:$GG$587,'0.Productos'!CS$1+1,0),"")</f>
        <v/>
      </c>
      <c r="BB345" s="133" t="str">
        <f>IF($A345&lt;&gt;0,VLOOKUP($A345,'0.Productos'!$A$3:$GG$587,'0.Productos'!CT$1+1,0),"")</f>
        <v/>
      </c>
      <c r="BC345" s="133" t="str">
        <f>IF($A345&lt;&gt;0,VLOOKUP($A345,'0.Productos'!$A$3:$GG$587,'0.Productos'!CU$1+1,0),"")</f>
        <v/>
      </c>
      <c r="BD345" s="133" t="str">
        <f>IF($A345&lt;&gt;0,VLOOKUP($A345,'0.Productos'!$A$3:$GG$587,'0.Productos'!CV$1+1,0),"")</f>
        <v/>
      </c>
      <c r="BE345" s="133" t="str">
        <f>IF($A345&lt;&gt;0,VLOOKUP($A345,'0.Productos'!$A$3:$GG$587,'0.Productos'!CW$1+1,0),"")</f>
        <v/>
      </c>
      <c r="BF345" s="133" t="str">
        <f>IF($A345&lt;&gt;0,VLOOKUP($A345,'0.Productos'!$A$3:$GG$587,'0.Productos'!CX$1+1,0),"")</f>
        <v/>
      </c>
      <c r="BG345" s="133" t="str">
        <f>IF($A345&lt;&gt;0,VLOOKUP($A345,'0.Productos'!$A$3:$GG$587,'0.Productos'!CY$1+1,0),"")</f>
        <v/>
      </c>
      <c r="BH345" s="133" t="str">
        <f>IF($A345&lt;&gt;0,VLOOKUP($A345,'0.Productos'!$A$3:$GG$587,'0.Productos'!CZ$1+1,0),"")</f>
        <v/>
      </c>
      <c r="BI345" s="133" t="str">
        <f>IF($A345&lt;&gt;0,VLOOKUP($A345,'0.Productos'!$A$3:$GG$587,'0.Productos'!DA$1+1,0),"")</f>
        <v/>
      </c>
      <c r="BJ345" s="133" t="str">
        <f>IF($A345&lt;&gt;0,VLOOKUP($A345,'0.Productos'!$A$3:$GG$587,'0.Productos'!DB$1+1,0),"")</f>
        <v/>
      </c>
      <c r="BK345" s="133" t="str">
        <f>IF($A345&lt;&gt;0,VLOOKUP($A345,'0.Productos'!$A$3:$GG$587,'0.Productos'!DC$1+1,0),"")</f>
        <v/>
      </c>
      <c r="BL345" s="133" t="str">
        <f>IF($A345&lt;&gt;0,VLOOKUP($A345,'0.Productos'!$A$3:$GG$587,'0.Productos'!DD$1+1,0),"")</f>
        <v/>
      </c>
      <c r="BM345" s="133" t="str">
        <f>IF($A345&lt;&gt;0,VLOOKUP($A345,'0.Productos'!$A$3:$GG$587,'0.Productos'!DE$1+1,0),"")</f>
        <v/>
      </c>
      <c r="BN345" s="133" t="str">
        <f>IF($A345&lt;&gt;0,VLOOKUP($A345,'0.Productos'!$A$3:$GG$587,'0.Productos'!DF$1+1,0),"")</f>
        <v/>
      </c>
      <c r="BO345" s="133" t="str">
        <f>IF($A345&lt;&gt;0,VLOOKUP($A345,'0.Productos'!$A$3:$GG$587,'0.Productos'!DG$1+1,0),"")</f>
        <v/>
      </c>
      <c r="BP345" s="133" t="str">
        <f>IF($A345&lt;&gt;0,VLOOKUP($A345,'0.Productos'!$A$3:$GG$587,'0.Productos'!DH$1+1,0),"")</f>
        <v/>
      </c>
      <c r="BQ345" s="133" t="str">
        <f>IF($A345&lt;&gt;0,VLOOKUP($A345,'0.Productos'!$A$3:$GG$587,'0.Productos'!DI$1+1,0),"")</f>
        <v/>
      </c>
      <c r="BR345" s="133" t="str">
        <f>IF($A345&lt;&gt;0,VLOOKUP($A345,'0.Productos'!$A$3:$GG$587,'0.Productos'!DJ$1+1,0),"")</f>
        <v/>
      </c>
      <c r="BS345" s="133" t="str">
        <f>IF($A345&lt;&gt;0,VLOOKUP($A345,'0.Productos'!$A$3:$GG$587,'0.Productos'!DK$1+1,0),"")</f>
        <v/>
      </c>
      <c r="BT345" s="133" t="str">
        <f>IF($A345&lt;&gt;0,VLOOKUP($A345,'0.Productos'!$A$3:$GG$587,'0.Productos'!DL$1+1,0),"")</f>
        <v/>
      </c>
    </row>
    <row r="346" spans="1:72" x14ac:dyDescent="0.25">
      <c r="A346" s="17">
        <f>'0.Consolidado general'!A346</f>
        <v>0</v>
      </c>
      <c r="B346" s="133" t="str">
        <f>IF($A346&lt;&gt;0,VLOOKUP($A346,'0.Productos'!$A$3:$GG$587,'0.Productos'!AT$1+1,0),"")</f>
        <v/>
      </c>
      <c r="C346" s="133" t="str">
        <f>IF($A346&lt;&gt;0,VLOOKUP($A346,'0.Productos'!$A$3:$GG$587,'0.Productos'!AU$1+1,0),"")</f>
        <v/>
      </c>
      <c r="D346" s="133" t="str">
        <f>IF($A346&lt;&gt;0,VLOOKUP($A346,'0.Productos'!$A$3:$GG$587,'0.Productos'!AV$1+1,0),"")</f>
        <v/>
      </c>
      <c r="E346" s="133" t="str">
        <f>IF($A346&lt;&gt;0,VLOOKUP($A346,'0.Productos'!$A$3:$GG$587,'0.Productos'!AW$1+1,0),"")</f>
        <v/>
      </c>
      <c r="F346" s="133" t="str">
        <f>IF($A346&lt;&gt;0,VLOOKUP($A346,'0.Productos'!$A$3:$GG$587,'0.Productos'!AX$1+1,0),"")</f>
        <v/>
      </c>
      <c r="G346" s="133" t="str">
        <f>IF($A346&lt;&gt;0,VLOOKUP($A346,'0.Productos'!$A$3:$GG$587,'0.Productos'!AY$1+1,0),"")</f>
        <v/>
      </c>
      <c r="H346" s="133" t="str">
        <f>IF($A346&lt;&gt;0,VLOOKUP($A346,'0.Productos'!$A$3:$GG$587,'0.Productos'!AZ$1+1,0),"")</f>
        <v/>
      </c>
      <c r="I346" s="133" t="str">
        <f>IF($A346&lt;&gt;0,VLOOKUP($A346,'0.Productos'!$A$3:$GG$587,'0.Productos'!BA$1+1,0),"")</f>
        <v/>
      </c>
      <c r="J346" s="133" t="str">
        <f>IF($A346&lt;&gt;0,VLOOKUP($A346,'0.Productos'!$A$3:$GG$587,'0.Productos'!BB$1+1,0),"")</f>
        <v/>
      </c>
      <c r="K346" s="133" t="str">
        <f>IF($A346&lt;&gt;0,VLOOKUP($A346,'0.Productos'!$A$3:$GG$587,'0.Productos'!BC$1+1,0),"")</f>
        <v/>
      </c>
      <c r="L346" s="133" t="str">
        <f>IF($A346&lt;&gt;0,VLOOKUP($A346,'0.Productos'!$A$3:$GG$587,'0.Productos'!BD$1+1,0),"")</f>
        <v/>
      </c>
      <c r="M346" s="133" t="str">
        <f>IF($A346&lt;&gt;0,VLOOKUP($A346,'0.Productos'!$A$3:$GG$587,'0.Productos'!BE$1+1,0),"")</f>
        <v/>
      </c>
      <c r="N346" s="133" t="str">
        <f>IF($A346&lt;&gt;0,VLOOKUP($A346,'0.Productos'!$A$3:$GG$587,'0.Productos'!BF$1+1,0),"")</f>
        <v/>
      </c>
      <c r="O346" s="133" t="str">
        <f>IF($A346&lt;&gt;0,VLOOKUP($A346,'0.Productos'!$A$3:$GG$587,'0.Productos'!BG$1+1,0),"")</f>
        <v/>
      </c>
      <c r="P346" s="133" t="str">
        <f>IF($A346&lt;&gt;0,VLOOKUP($A346,'0.Productos'!$A$3:$GG$587,'0.Productos'!BH$1+1,0),"")</f>
        <v/>
      </c>
      <c r="Q346" s="133" t="str">
        <f>IF($A346&lt;&gt;0,VLOOKUP($A346,'0.Productos'!$A$3:$GG$587,'0.Productos'!BI$1+1,0),"")</f>
        <v/>
      </c>
      <c r="R346" s="133" t="str">
        <f>IF($A346&lt;&gt;0,VLOOKUP($A346,'0.Productos'!$A$3:$GG$587,'0.Productos'!BJ$1+1,0),"")</f>
        <v/>
      </c>
      <c r="S346" s="133" t="str">
        <f>IF($A346&lt;&gt;0,VLOOKUP($A346,'0.Productos'!$A$3:$GG$587,'0.Productos'!BK$1+1,0),"")</f>
        <v/>
      </c>
      <c r="T346" s="133" t="str">
        <f>IF($A346&lt;&gt;0,VLOOKUP($A346,'0.Productos'!$A$3:$GG$587,'0.Productos'!BL$1+1,0),"")</f>
        <v/>
      </c>
      <c r="U346" s="133" t="str">
        <f>IF($A346&lt;&gt;0,VLOOKUP($A346,'0.Productos'!$A$3:$GG$587,'0.Productos'!BM$1+1,0),"")</f>
        <v/>
      </c>
      <c r="V346" s="133" t="str">
        <f>IF($A346&lt;&gt;0,VLOOKUP($A346,'0.Productos'!$A$3:$GG$587,'0.Productos'!BN$1+1,0),"")</f>
        <v/>
      </c>
      <c r="W346" s="133" t="str">
        <f>IF($A346&lt;&gt;0,VLOOKUP($A346,'0.Productos'!$A$3:$GG$587,'0.Productos'!BO$1+1,0),"")</f>
        <v/>
      </c>
      <c r="X346" s="133" t="str">
        <f>IF($A346&lt;&gt;0,VLOOKUP($A346,'0.Productos'!$A$3:$GG$587,'0.Productos'!BP$1+1,0),"")</f>
        <v/>
      </c>
      <c r="Y346" s="133" t="str">
        <f>IF($A346&lt;&gt;0,VLOOKUP($A346,'0.Productos'!$A$3:$GG$587,'0.Productos'!BQ$1+1,0),"")</f>
        <v/>
      </c>
      <c r="Z346" s="133" t="str">
        <f>IF($A346&lt;&gt;0,VLOOKUP($A346,'0.Productos'!$A$3:$GG$587,'0.Productos'!BR$1+1,0),"")</f>
        <v/>
      </c>
      <c r="AA346" s="133" t="str">
        <f>IF($A346&lt;&gt;0,VLOOKUP($A346,'0.Productos'!$A$3:$GG$587,'0.Productos'!BS$1+1,0),"")</f>
        <v/>
      </c>
      <c r="AB346" s="133" t="str">
        <f>IF($A346&lt;&gt;0,VLOOKUP($A346,'0.Productos'!$A$3:$GG$587,'0.Productos'!BT$1+1,0),"")</f>
        <v/>
      </c>
      <c r="AC346" s="133" t="str">
        <f>IF($A346&lt;&gt;0,VLOOKUP($A346,'0.Productos'!$A$3:$GG$587,'0.Productos'!BU$1+1,0),"")</f>
        <v/>
      </c>
      <c r="AD346" s="133" t="str">
        <f>IF($A346&lt;&gt;0,VLOOKUP($A346,'0.Productos'!$A$3:$GG$587,'0.Productos'!BV$1+1,0),"")</f>
        <v/>
      </c>
      <c r="AE346" s="133" t="str">
        <f>IF($A346&lt;&gt;0,VLOOKUP($A346,'0.Productos'!$A$3:$GG$587,'0.Productos'!BW$1+1,0),"")</f>
        <v/>
      </c>
      <c r="AF346" s="133" t="str">
        <f>IF($A346&lt;&gt;0,VLOOKUP($A346,'0.Productos'!$A$3:$GG$587,'0.Productos'!BX$1+1,0),"")</f>
        <v/>
      </c>
      <c r="AG346" s="133" t="str">
        <f>IF($A346&lt;&gt;0,VLOOKUP($A346,'0.Productos'!$A$3:$GG$587,'0.Productos'!BY$1+1,0),"")</f>
        <v/>
      </c>
      <c r="AH346" s="133" t="str">
        <f>IF($A346&lt;&gt;0,VLOOKUP($A346,'0.Productos'!$A$3:$GG$587,'0.Productos'!BZ$1+1,0),"")</f>
        <v/>
      </c>
      <c r="AI346" s="133" t="str">
        <f>IF($A346&lt;&gt;0,VLOOKUP($A346,'0.Productos'!$A$3:$GG$587,'0.Productos'!CA$1+1,0),"")</f>
        <v/>
      </c>
      <c r="AJ346" s="133" t="str">
        <f>IF($A346&lt;&gt;0,VLOOKUP($A346,'0.Productos'!$A$3:$GG$587,'0.Productos'!CB$1+1,0),"")</f>
        <v/>
      </c>
      <c r="AK346" s="133" t="str">
        <f>IF($A346&lt;&gt;0,VLOOKUP($A346,'0.Productos'!$A$3:$GG$587,'0.Productos'!CC$1+1,0),"")</f>
        <v/>
      </c>
      <c r="AL346" s="133" t="str">
        <f>IF($A346&lt;&gt;0,VLOOKUP($A346,'0.Productos'!$A$3:$GG$587,'0.Productos'!CD$1+1,0),"")</f>
        <v/>
      </c>
      <c r="AM346" s="133" t="str">
        <f>IF($A346&lt;&gt;0,VLOOKUP($A346,'0.Productos'!$A$3:$GG$587,'0.Productos'!CE$1+1,0),"")</f>
        <v/>
      </c>
      <c r="AN346" s="133" t="str">
        <f>IF($A346&lt;&gt;0,VLOOKUP($A346,'0.Productos'!$A$3:$GG$587,'0.Productos'!CF$1+1,0),"")</f>
        <v/>
      </c>
      <c r="AO346" s="133" t="str">
        <f>IF($A346&lt;&gt;0,VLOOKUP($A346,'0.Productos'!$A$3:$GG$587,'0.Productos'!CG$1+1,0),"")</f>
        <v/>
      </c>
      <c r="AP346" s="133" t="str">
        <f>IF($A346&lt;&gt;0,VLOOKUP($A346,'0.Productos'!$A$3:$GG$587,'0.Productos'!CH$1+1,0),"")</f>
        <v/>
      </c>
      <c r="AQ346" s="133" t="str">
        <f>IF($A346&lt;&gt;0,VLOOKUP($A346,'0.Productos'!$A$3:$GG$587,'0.Productos'!CI$1+1,0),"")</f>
        <v/>
      </c>
      <c r="AR346" s="133" t="str">
        <f>IF($A346&lt;&gt;0,VLOOKUP($A346,'0.Productos'!$A$3:$GG$587,'0.Productos'!CJ$1+1,0),"")</f>
        <v/>
      </c>
      <c r="AS346" s="133" t="str">
        <f>IF($A346&lt;&gt;0,VLOOKUP($A346,'0.Productos'!$A$3:$GG$587,'0.Productos'!CK$1+1,0),"")</f>
        <v/>
      </c>
      <c r="AT346" s="133" t="str">
        <f>IF($A346&lt;&gt;0,VLOOKUP($A346,'0.Productos'!$A$3:$GG$587,'0.Productos'!CL$1+1,0),"")</f>
        <v/>
      </c>
      <c r="AU346" s="133" t="str">
        <f>IF($A346&lt;&gt;0,VLOOKUP($A346,'0.Productos'!$A$3:$GG$587,'0.Productos'!CM$1+1,0),"")</f>
        <v/>
      </c>
      <c r="AV346" s="133" t="str">
        <f>IF($A346&lt;&gt;0,VLOOKUP($A346,'0.Productos'!$A$3:$GG$587,'0.Productos'!CN$1+1,0),"")</f>
        <v/>
      </c>
      <c r="AW346" s="133" t="str">
        <f>IF($A346&lt;&gt;0,VLOOKUP($A346,'0.Productos'!$A$3:$GG$587,'0.Productos'!CO$1+1,0),"")</f>
        <v/>
      </c>
      <c r="AX346" s="133" t="str">
        <f>IF($A346&lt;&gt;0,VLOOKUP($A346,'0.Productos'!$A$3:$GG$587,'0.Productos'!CP$1+1,0),"")</f>
        <v/>
      </c>
      <c r="AY346" s="133" t="str">
        <f>IF($A346&lt;&gt;0,VLOOKUP($A346,'0.Productos'!$A$3:$GG$587,'0.Productos'!CQ$1+1,0),"")</f>
        <v/>
      </c>
      <c r="AZ346" s="133" t="str">
        <f>IF($A346&lt;&gt;0,VLOOKUP($A346,'0.Productos'!$A$3:$GG$587,'0.Productos'!CR$1+1,0),"")</f>
        <v/>
      </c>
      <c r="BA346" s="133" t="str">
        <f>IF($A346&lt;&gt;0,VLOOKUP($A346,'0.Productos'!$A$3:$GG$587,'0.Productos'!CS$1+1,0),"")</f>
        <v/>
      </c>
      <c r="BB346" s="133" t="str">
        <f>IF($A346&lt;&gt;0,VLOOKUP($A346,'0.Productos'!$A$3:$GG$587,'0.Productos'!CT$1+1,0),"")</f>
        <v/>
      </c>
      <c r="BC346" s="133" t="str">
        <f>IF($A346&lt;&gt;0,VLOOKUP($A346,'0.Productos'!$A$3:$GG$587,'0.Productos'!CU$1+1,0),"")</f>
        <v/>
      </c>
      <c r="BD346" s="133" t="str">
        <f>IF($A346&lt;&gt;0,VLOOKUP($A346,'0.Productos'!$A$3:$GG$587,'0.Productos'!CV$1+1,0),"")</f>
        <v/>
      </c>
      <c r="BE346" s="133" t="str">
        <f>IF($A346&lt;&gt;0,VLOOKUP($A346,'0.Productos'!$A$3:$GG$587,'0.Productos'!CW$1+1,0),"")</f>
        <v/>
      </c>
      <c r="BF346" s="133" t="str">
        <f>IF($A346&lt;&gt;0,VLOOKUP($A346,'0.Productos'!$A$3:$GG$587,'0.Productos'!CX$1+1,0),"")</f>
        <v/>
      </c>
      <c r="BG346" s="133" t="str">
        <f>IF($A346&lt;&gt;0,VLOOKUP($A346,'0.Productos'!$A$3:$GG$587,'0.Productos'!CY$1+1,0),"")</f>
        <v/>
      </c>
      <c r="BH346" s="133" t="str">
        <f>IF($A346&lt;&gt;0,VLOOKUP($A346,'0.Productos'!$A$3:$GG$587,'0.Productos'!CZ$1+1,0),"")</f>
        <v/>
      </c>
      <c r="BI346" s="133" t="str">
        <f>IF($A346&lt;&gt;0,VLOOKUP($A346,'0.Productos'!$A$3:$GG$587,'0.Productos'!DA$1+1,0),"")</f>
        <v/>
      </c>
      <c r="BJ346" s="133" t="str">
        <f>IF($A346&lt;&gt;0,VLOOKUP($A346,'0.Productos'!$A$3:$GG$587,'0.Productos'!DB$1+1,0),"")</f>
        <v/>
      </c>
      <c r="BK346" s="133" t="str">
        <f>IF($A346&lt;&gt;0,VLOOKUP($A346,'0.Productos'!$A$3:$GG$587,'0.Productos'!DC$1+1,0),"")</f>
        <v/>
      </c>
      <c r="BL346" s="133" t="str">
        <f>IF($A346&lt;&gt;0,VLOOKUP($A346,'0.Productos'!$A$3:$GG$587,'0.Productos'!DD$1+1,0),"")</f>
        <v/>
      </c>
      <c r="BM346" s="133" t="str">
        <f>IF($A346&lt;&gt;0,VLOOKUP($A346,'0.Productos'!$A$3:$GG$587,'0.Productos'!DE$1+1,0),"")</f>
        <v/>
      </c>
      <c r="BN346" s="133" t="str">
        <f>IF($A346&lt;&gt;0,VLOOKUP($A346,'0.Productos'!$A$3:$GG$587,'0.Productos'!DF$1+1,0),"")</f>
        <v/>
      </c>
      <c r="BO346" s="133" t="str">
        <f>IF($A346&lt;&gt;0,VLOOKUP($A346,'0.Productos'!$A$3:$GG$587,'0.Productos'!DG$1+1,0),"")</f>
        <v/>
      </c>
      <c r="BP346" s="133" t="str">
        <f>IF($A346&lt;&gt;0,VLOOKUP($A346,'0.Productos'!$A$3:$GG$587,'0.Productos'!DH$1+1,0),"")</f>
        <v/>
      </c>
      <c r="BQ346" s="133" t="str">
        <f>IF($A346&lt;&gt;0,VLOOKUP($A346,'0.Productos'!$A$3:$GG$587,'0.Productos'!DI$1+1,0),"")</f>
        <v/>
      </c>
      <c r="BR346" s="133" t="str">
        <f>IF($A346&lt;&gt;0,VLOOKUP($A346,'0.Productos'!$A$3:$GG$587,'0.Productos'!DJ$1+1,0),"")</f>
        <v/>
      </c>
      <c r="BS346" s="133" t="str">
        <f>IF($A346&lt;&gt;0,VLOOKUP($A346,'0.Productos'!$A$3:$GG$587,'0.Productos'!DK$1+1,0),"")</f>
        <v/>
      </c>
      <c r="BT346" s="133" t="str">
        <f>IF($A346&lt;&gt;0,VLOOKUP($A346,'0.Productos'!$A$3:$GG$587,'0.Productos'!DL$1+1,0),"")</f>
        <v/>
      </c>
    </row>
    <row r="347" spans="1:72" x14ac:dyDescent="0.25">
      <c r="A347" s="17">
        <f>'0.Consolidado general'!A347</f>
        <v>0</v>
      </c>
      <c r="B347" s="133" t="str">
        <f>IF($A347&lt;&gt;0,VLOOKUP($A347,'0.Productos'!$A$3:$GG$587,'0.Productos'!AT$1+1,0),"")</f>
        <v/>
      </c>
      <c r="C347" s="133" t="str">
        <f>IF($A347&lt;&gt;0,VLOOKUP($A347,'0.Productos'!$A$3:$GG$587,'0.Productos'!AU$1+1,0),"")</f>
        <v/>
      </c>
      <c r="D347" s="133" t="str">
        <f>IF($A347&lt;&gt;0,VLOOKUP($A347,'0.Productos'!$A$3:$GG$587,'0.Productos'!AV$1+1,0),"")</f>
        <v/>
      </c>
      <c r="E347" s="133" t="str">
        <f>IF($A347&lt;&gt;0,VLOOKUP($A347,'0.Productos'!$A$3:$GG$587,'0.Productos'!AW$1+1,0),"")</f>
        <v/>
      </c>
      <c r="F347" s="133" t="str">
        <f>IF($A347&lt;&gt;0,VLOOKUP($A347,'0.Productos'!$A$3:$GG$587,'0.Productos'!AX$1+1,0),"")</f>
        <v/>
      </c>
      <c r="G347" s="133" t="str">
        <f>IF($A347&lt;&gt;0,VLOOKUP($A347,'0.Productos'!$A$3:$GG$587,'0.Productos'!AY$1+1,0),"")</f>
        <v/>
      </c>
      <c r="H347" s="133" t="str">
        <f>IF($A347&lt;&gt;0,VLOOKUP($A347,'0.Productos'!$A$3:$GG$587,'0.Productos'!AZ$1+1,0),"")</f>
        <v/>
      </c>
      <c r="I347" s="133" t="str">
        <f>IF($A347&lt;&gt;0,VLOOKUP($A347,'0.Productos'!$A$3:$GG$587,'0.Productos'!BA$1+1,0),"")</f>
        <v/>
      </c>
      <c r="J347" s="133" t="str">
        <f>IF($A347&lt;&gt;0,VLOOKUP($A347,'0.Productos'!$A$3:$GG$587,'0.Productos'!BB$1+1,0),"")</f>
        <v/>
      </c>
      <c r="K347" s="133" t="str">
        <f>IF($A347&lt;&gt;0,VLOOKUP($A347,'0.Productos'!$A$3:$GG$587,'0.Productos'!BC$1+1,0),"")</f>
        <v/>
      </c>
      <c r="L347" s="133" t="str">
        <f>IF($A347&lt;&gt;0,VLOOKUP($A347,'0.Productos'!$A$3:$GG$587,'0.Productos'!BD$1+1,0),"")</f>
        <v/>
      </c>
      <c r="M347" s="133" t="str">
        <f>IF($A347&lt;&gt;0,VLOOKUP($A347,'0.Productos'!$A$3:$GG$587,'0.Productos'!BE$1+1,0),"")</f>
        <v/>
      </c>
      <c r="N347" s="133" t="str">
        <f>IF($A347&lt;&gt;0,VLOOKUP($A347,'0.Productos'!$A$3:$GG$587,'0.Productos'!BF$1+1,0),"")</f>
        <v/>
      </c>
      <c r="O347" s="133" t="str">
        <f>IF($A347&lt;&gt;0,VLOOKUP($A347,'0.Productos'!$A$3:$GG$587,'0.Productos'!BG$1+1,0),"")</f>
        <v/>
      </c>
      <c r="P347" s="133" t="str">
        <f>IF($A347&lt;&gt;0,VLOOKUP($A347,'0.Productos'!$A$3:$GG$587,'0.Productos'!BH$1+1,0),"")</f>
        <v/>
      </c>
      <c r="Q347" s="133" t="str">
        <f>IF($A347&lt;&gt;0,VLOOKUP($A347,'0.Productos'!$A$3:$GG$587,'0.Productos'!BI$1+1,0),"")</f>
        <v/>
      </c>
      <c r="R347" s="133" t="str">
        <f>IF($A347&lt;&gt;0,VLOOKUP($A347,'0.Productos'!$A$3:$GG$587,'0.Productos'!BJ$1+1,0),"")</f>
        <v/>
      </c>
      <c r="S347" s="133" t="str">
        <f>IF($A347&lt;&gt;0,VLOOKUP($A347,'0.Productos'!$A$3:$GG$587,'0.Productos'!BK$1+1,0),"")</f>
        <v/>
      </c>
      <c r="T347" s="133" t="str">
        <f>IF($A347&lt;&gt;0,VLOOKUP($A347,'0.Productos'!$A$3:$GG$587,'0.Productos'!BL$1+1,0),"")</f>
        <v/>
      </c>
      <c r="U347" s="133" t="str">
        <f>IF($A347&lt;&gt;0,VLOOKUP($A347,'0.Productos'!$A$3:$GG$587,'0.Productos'!BM$1+1,0),"")</f>
        <v/>
      </c>
      <c r="V347" s="133" t="str">
        <f>IF($A347&lt;&gt;0,VLOOKUP($A347,'0.Productos'!$A$3:$GG$587,'0.Productos'!BN$1+1,0),"")</f>
        <v/>
      </c>
      <c r="W347" s="133" t="str">
        <f>IF($A347&lt;&gt;0,VLOOKUP($A347,'0.Productos'!$A$3:$GG$587,'0.Productos'!BO$1+1,0),"")</f>
        <v/>
      </c>
      <c r="X347" s="133" t="str">
        <f>IF($A347&lt;&gt;0,VLOOKUP($A347,'0.Productos'!$A$3:$GG$587,'0.Productos'!BP$1+1,0),"")</f>
        <v/>
      </c>
      <c r="Y347" s="133" t="str">
        <f>IF($A347&lt;&gt;0,VLOOKUP($A347,'0.Productos'!$A$3:$GG$587,'0.Productos'!BQ$1+1,0),"")</f>
        <v/>
      </c>
      <c r="Z347" s="133" t="str">
        <f>IF($A347&lt;&gt;0,VLOOKUP($A347,'0.Productos'!$A$3:$GG$587,'0.Productos'!BR$1+1,0),"")</f>
        <v/>
      </c>
      <c r="AA347" s="133" t="str">
        <f>IF($A347&lt;&gt;0,VLOOKUP($A347,'0.Productos'!$A$3:$GG$587,'0.Productos'!BS$1+1,0),"")</f>
        <v/>
      </c>
      <c r="AB347" s="133" t="str">
        <f>IF($A347&lt;&gt;0,VLOOKUP($A347,'0.Productos'!$A$3:$GG$587,'0.Productos'!BT$1+1,0),"")</f>
        <v/>
      </c>
      <c r="AC347" s="133" t="str">
        <f>IF($A347&lt;&gt;0,VLOOKUP($A347,'0.Productos'!$A$3:$GG$587,'0.Productos'!BU$1+1,0),"")</f>
        <v/>
      </c>
      <c r="AD347" s="133" t="str">
        <f>IF($A347&lt;&gt;0,VLOOKUP($A347,'0.Productos'!$A$3:$GG$587,'0.Productos'!BV$1+1,0),"")</f>
        <v/>
      </c>
      <c r="AE347" s="133" t="str">
        <f>IF($A347&lt;&gt;0,VLOOKUP($A347,'0.Productos'!$A$3:$GG$587,'0.Productos'!BW$1+1,0),"")</f>
        <v/>
      </c>
      <c r="AF347" s="133" t="str">
        <f>IF($A347&lt;&gt;0,VLOOKUP($A347,'0.Productos'!$A$3:$GG$587,'0.Productos'!BX$1+1,0),"")</f>
        <v/>
      </c>
      <c r="AG347" s="133" t="str">
        <f>IF($A347&lt;&gt;0,VLOOKUP($A347,'0.Productos'!$A$3:$GG$587,'0.Productos'!BY$1+1,0),"")</f>
        <v/>
      </c>
      <c r="AH347" s="133" t="str">
        <f>IF($A347&lt;&gt;0,VLOOKUP($A347,'0.Productos'!$A$3:$GG$587,'0.Productos'!BZ$1+1,0),"")</f>
        <v/>
      </c>
      <c r="AI347" s="133" t="str">
        <f>IF($A347&lt;&gt;0,VLOOKUP($A347,'0.Productos'!$A$3:$GG$587,'0.Productos'!CA$1+1,0),"")</f>
        <v/>
      </c>
      <c r="AJ347" s="133" t="str">
        <f>IF($A347&lt;&gt;0,VLOOKUP($A347,'0.Productos'!$A$3:$GG$587,'0.Productos'!CB$1+1,0),"")</f>
        <v/>
      </c>
      <c r="AK347" s="133" t="str">
        <f>IF($A347&lt;&gt;0,VLOOKUP($A347,'0.Productos'!$A$3:$GG$587,'0.Productos'!CC$1+1,0),"")</f>
        <v/>
      </c>
      <c r="AL347" s="133" t="str">
        <f>IF($A347&lt;&gt;0,VLOOKUP($A347,'0.Productos'!$A$3:$GG$587,'0.Productos'!CD$1+1,0),"")</f>
        <v/>
      </c>
      <c r="AM347" s="133" t="str">
        <f>IF($A347&lt;&gt;0,VLOOKUP($A347,'0.Productos'!$A$3:$GG$587,'0.Productos'!CE$1+1,0),"")</f>
        <v/>
      </c>
      <c r="AN347" s="133" t="str">
        <f>IF($A347&lt;&gt;0,VLOOKUP($A347,'0.Productos'!$A$3:$GG$587,'0.Productos'!CF$1+1,0),"")</f>
        <v/>
      </c>
      <c r="AO347" s="133" t="str">
        <f>IF($A347&lt;&gt;0,VLOOKUP($A347,'0.Productos'!$A$3:$GG$587,'0.Productos'!CG$1+1,0),"")</f>
        <v/>
      </c>
      <c r="AP347" s="133" t="str">
        <f>IF($A347&lt;&gt;0,VLOOKUP($A347,'0.Productos'!$A$3:$GG$587,'0.Productos'!CH$1+1,0),"")</f>
        <v/>
      </c>
      <c r="AQ347" s="133" t="str">
        <f>IF($A347&lt;&gt;0,VLOOKUP($A347,'0.Productos'!$A$3:$GG$587,'0.Productos'!CI$1+1,0),"")</f>
        <v/>
      </c>
      <c r="AR347" s="133" t="str">
        <f>IF($A347&lt;&gt;0,VLOOKUP($A347,'0.Productos'!$A$3:$GG$587,'0.Productos'!CJ$1+1,0),"")</f>
        <v/>
      </c>
      <c r="AS347" s="133" t="str">
        <f>IF($A347&lt;&gt;0,VLOOKUP($A347,'0.Productos'!$A$3:$GG$587,'0.Productos'!CK$1+1,0),"")</f>
        <v/>
      </c>
      <c r="AT347" s="133" t="str">
        <f>IF($A347&lt;&gt;0,VLOOKUP($A347,'0.Productos'!$A$3:$GG$587,'0.Productos'!CL$1+1,0),"")</f>
        <v/>
      </c>
      <c r="AU347" s="133" t="str">
        <f>IF($A347&lt;&gt;0,VLOOKUP($A347,'0.Productos'!$A$3:$GG$587,'0.Productos'!CM$1+1,0),"")</f>
        <v/>
      </c>
      <c r="AV347" s="133" t="str">
        <f>IF($A347&lt;&gt;0,VLOOKUP($A347,'0.Productos'!$A$3:$GG$587,'0.Productos'!CN$1+1,0),"")</f>
        <v/>
      </c>
      <c r="AW347" s="133" t="str">
        <f>IF($A347&lt;&gt;0,VLOOKUP($A347,'0.Productos'!$A$3:$GG$587,'0.Productos'!CO$1+1,0),"")</f>
        <v/>
      </c>
      <c r="AX347" s="133" t="str">
        <f>IF($A347&lt;&gt;0,VLOOKUP($A347,'0.Productos'!$A$3:$GG$587,'0.Productos'!CP$1+1,0),"")</f>
        <v/>
      </c>
      <c r="AY347" s="133" t="str">
        <f>IF($A347&lt;&gt;0,VLOOKUP($A347,'0.Productos'!$A$3:$GG$587,'0.Productos'!CQ$1+1,0),"")</f>
        <v/>
      </c>
      <c r="AZ347" s="133" t="str">
        <f>IF($A347&lt;&gt;0,VLOOKUP($A347,'0.Productos'!$A$3:$GG$587,'0.Productos'!CR$1+1,0),"")</f>
        <v/>
      </c>
      <c r="BA347" s="133" t="str">
        <f>IF($A347&lt;&gt;0,VLOOKUP($A347,'0.Productos'!$A$3:$GG$587,'0.Productos'!CS$1+1,0),"")</f>
        <v/>
      </c>
      <c r="BB347" s="133" t="str">
        <f>IF($A347&lt;&gt;0,VLOOKUP($A347,'0.Productos'!$A$3:$GG$587,'0.Productos'!CT$1+1,0),"")</f>
        <v/>
      </c>
      <c r="BC347" s="133" t="str">
        <f>IF($A347&lt;&gt;0,VLOOKUP($A347,'0.Productos'!$A$3:$GG$587,'0.Productos'!CU$1+1,0),"")</f>
        <v/>
      </c>
      <c r="BD347" s="133" t="str">
        <f>IF($A347&lt;&gt;0,VLOOKUP($A347,'0.Productos'!$A$3:$GG$587,'0.Productos'!CV$1+1,0),"")</f>
        <v/>
      </c>
      <c r="BE347" s="133" t="str">
        <f>IF($A347&lt;&gt;0,VLOOKUP($A347,'0.Productos'!$A$3:$GG$587,'0.Productos'!CW$1+1,0),"")</f>
        <v/>
      </c>
      <c r="BF347" s="133" t="str">
        <f>IF($A347&lt;&gt;0,VLOOKUP($A347,'0.Productos'!$A$3:$GG$587,'0.Productos'!CX$1+1,0),"")</f>
        <v/>
      </c>
      <c r="BG347" s="133" t="str">
        <f>IF($A347&lt;&gt;0,VLOOKUP($A347,'0.Productos'!$A$3:$GG$587,'0.Productos'!CY$1+1,0),"")</f>
        <v/>
      </c>
      <c r="BH347" s="133" t="str">
        <f>IF($A347&lt;&gt;0,VLOOKUP($A347,'0.Productos'!$A$3:$GG$587,'0.Productos'!CZ$1+1,0),"")</f>
        <v/>
      </c>
      <c r="BI347" s="133" t="str">
        <f>IF($A347&lt;&gt;0,VLOOKUP($A347,'0.Productos'!$A$3:$GG$587,'0.Productos'!DA$1+1,0),"")</f>
        <v/>
      </c>
      <c r="BJ347" s="133" t="str">
        <f>IF($A347&lt;&gt;0,VLOOKUP($A347,'0.Productos'!$A$3:$GG$587,'0.Productos'!DB$1+1,0),"")</f>
        <v/>
      </c>
      <c r="BK347" s="133" t="str">
        <f>IF($A347&lt;&gt;0,VLOOKUP($A347,'0.Productos'!$A$3:$GG$587,'0.Productos'!DC$1+1,0),"")</f>
        <v/>
      </c>
      <c r="BL347" s="133" t="str">
        <f>IF($A347&lt;&gt;0,VLOOKUP($A347,'0.Productos'!$A$3:$GG$587,'0.Productos'!DD$1+1,0),"")</f>
        <v/>
      </c>
      <c r="BM347" s="133" t="str">
        <f>IF($A347&lt;&gt;0,VLOOKUP($A347,'0.Productos'!$A$3:$GG$587,'0.Productos'!DE$1+1,0),"")</f>
        <v/>
      </c>
      <c r="BN347" s="133" t="str">
        <f>IF($A347&lt;&gt;0,VLOOKUP($A347,'0.Productos'!$A$3:$GG$587,'0.Productos'!DF$1+1,0),"")</f>
        <v/>
      </c>
      <c r="BO347" s="133" t="str">
        <f>IF($A347&lt;&gt;0,VLOOKUP($A347,'0.Productos'!$A$3:$GG$587,'0.Productos'!DG$1+1,0),"")</f>
        <v/>
      </c>
      <c r="BP347" s="133" t="str">
        <f>IF($A347&lt;&gt;0,VLOOKUP($A347,'0.Productos'!$A$3:$GG$587,'0.Productos'!DH$1+1,0),"")</f>
        <v/>
      </c>
      <c r="BQ347" s="133" t="str">
        <f>IF($A347&lt;&gt;0,VLOOKUP($A347,'0.Productos'!$A$3:$GG$587,'0.Productos'!DI$1+1,0),"")</f>
        <v/>
      </c>
      <c r="BR347" s="133" t="str">
        <f>IF($A347&lt;&gt;0,VLOOKUP($A347,'0.Productos'!$A$3:$GG$587,'0.Productos'!DJ$1+1,0),"")</f>
        <v/>
      </c>
      <c r="BS347" s="133" t="str">
        <f>IF($A347&lt;&gt;0,VLOOKUP($A347,'0.Productos'!$A$3:$GG$587,'0.Productos'!DK$1+1,0),"")</f>
        <v/>
      </c>
      <c r="BT347" s="133" t="str">
        <f>IF($A347&lt;&gt;0,VLOOKUP($A347,'0.Productos'!$A$3:$GG$587,'0.Productos'!DL$1+1,0),"")</f>
        <v/>
      </c>
    </row>
    <row r="348" spans="1:72" x14ac:dyDescent="0.25">
      <c r="A348" s="17">
        <f>'0.Consolidado general'!A348</f>
        <v>0</v>
      </c>
      <c r="B348" s="133" t="str">
        <f>IF($A348&lt;&gt;0,VLOOKUP($A348,'0.Productos'!$A$3:$GG$587,'0.Productos'!AT$1+1,0),"")</f>
        <v/>
      </c>
      <c r="C348" s="133" t="str">
        <f>IF($A348&lt;&gt;0,VLOOKUP($A348,'0.Productos'!$A$3:$GG$587,'0.Productos'!AU$1+1,0),"")</f>
        <v/>
      </c>
      <c r="D348" s="133" t="str">
        <f>IF($A348&lt;&gt;0,VLOOKUP($A348,'0.Productos'!$A$3:$GG$587,'0.Productos'!AV$1+1,0),"")</f>
        <v/>
      </c>
      <c r="E348" s="133" t="str">
        <f>IF($A348&lt;&gt;0,VLOOKUP($A348,'0.Productos'!$A$3:$GG$587,'0.Productos'!AW$1+1,0),"")</f>
        <v/>
      </c>
      <c r="F348" s="133" t="str">
        <f>IF($A348&lt;&gt;0,VLOOKUP($A348,'0.Productos'!$A$3:$GG$587,'0.Productos'!AX$1+1,0),"")</f>
        <v/>
      </c>
      <c r="G348" s="133" t="str">
        <f>IF($A348&lt;&gt;0,VLOOKUP($A348,'0.Productos'!$A$3:$GG$587,'0.Productos'!AY$1+1,0),"")</f>
        <v/>
      </c>
      <c r="H348" s="133" t="str">
        <f>IF($A348&lt;&gt;0,VLOOKUP($A348,'0.Productos'!$A$3:$GG$587,'0.Productos'!AZ$1+1,0),"")</f>
        <v/>
      </c>
      <c r="I348" s="133" t="str">
        <f>IF($A348&lt;&gt;0,VLOOKUP($A348,'0.Productos'!$A$3:$GG$587,'0.Productos'!BA$1+1,0),"")</f>
        <v/>
      </c>
      <c r="J348" s="133" t="str">
        <f>IF($A348&lt;&gt;0,VLOOKUP($A348,'0.Productos'!$A$3:$GG$587,'0.Productos'!BB$1+1,0),"")</f>
        <v/>
      </c>
      <c r="K348" s="133" t="str">
        <f>IF($A348&lt;&gt;0,VLOOKUP($A348,'0.Productos'!$A$3:$GG$587,'0.Productos'!BC$1+1,0),"")</f>
        <v/>
      </c>
      <c r="L348" s="133" t="str">
        <f>IF($A348&lt;&gt;0,VLOOKUP($A348,'0.Productos'!$A$3:$GG$587,'0.Productos'!BD$1+1,0),"")</f>
        <v/>
      </c>
      <c r="M348" s="133" t="str">
        <f>IF($A348&lt;&gt;0,VLOOKUP($A348,'0.Productos'!$A$3:$GG$587,'0.Productos'!BE$1+1,0),"")</f>
        <v/>
      </c>
      <c r="N348" s="133" t="str">
        <f>IF($A348&lt;&gt;0,VLOOKUP($A348,'0.Productos'!$A$3:$GG$587,'0.Productos'!BF$1+1,0),"")</f>
        <v/>
      </c>
      <c r="O348" s="133" t="str">
        <f>IF($A348&lt;&gt;0,VLOOKUP($A348,'0.Productos'!$A$3:$GG$587,'0.Productos'!BG$1+1,0),"")</f>
        <v/>
      </c>
      <c r="P348" s="133" t="str">
        <f>IF($A348&lt;&gt;0,VLOOKUP($A348,'0.Productos'!$A$3:$GG$587,'0.Productos'!BH$1+1,0),"")</f>
        <v/>
      </c>
      <c r="Q348" s="133" t="str">
        <f>IF($A348&lt;&gt;0,VLOOKUP($A348,'0.Productos'!$A$3:$GG$587,'0.Productos'!BI$1+1,0),"")</f>
        <v/>
      </c>
      <c r="R348" s="133" t="str">
        <f>IF($A348&lt;&gt;0,VLOOKUP($A348,'0.Productos'!$A$3:$GG$587,'0.Productos'!BJ$1+1,0),"")</f>
        <v/>
      </c>
      <c r="S348" s="133" t="str">
        <f>IF($A348&lt;&gt;0,VLOOKUP($A348,'0.Productos'!$A$3:$GG$587,'0.Productos'!BK$1+1,0),"")</f>
        <v/>
      </c>
      <c r="T348" s="133" t="str">
        <f>IF($A348&lt;&gt;0,VLOOKUP($A348,'0.Productos'!$A$3:$GG$587,'0.Productos'!BL$1+1,0),"")</f>
        <v/>
      </c>
      <c r="U348" s="133" t="str">
        <f>IF($A348&lt;&gt;0,VLOOKUP($A348,'0.Productos'!$A$3:$GG$587,'0.Productos'!BM$1+1,0),"")</f>
        <v/>
      </c>
      <c r="V348" s="133" t="str">
        <f>IF($A348&lt;&gt;0,VLOOKUP($A348,'0.Productos'!$A$3:$GG$587,'0.Productos'!BN$1+1,0),"")</f>
        <v/>
      </c>
      <c r="W348" s="133" t="str">
        <f>IF($A348&lt;&gt;0,VLOOKUP($A348,'0.Productos'!$A$3:$GG$587,'0.Productos'!BO$1+1,0),"")</f>
        <v/>
      </c>
      <c r="X348" s="133" t="str">
        <f>IF($A348&lt;&gt;0,VLOOKUP($A348,'0.Productos'!$A$3:$GG$587,'0.Productos'!BP$1+1,0),"")</f>
        <v/>
      </c>
      <c r="Y348" s="133" t="str">
        <f>IF($A348&lt;&gt;0,VLOOKUP($A348,'0.Productos'!$A$3:$GG$587,'0.Productos'!BQ$1+1,0),"")</f>
        <v/>
      </c>
      <c r="Z348" s="133" t="str">
        <f>IF($A348&lt;&gt;0,VLOOKUP($A348,'0.Productos'!$A$3:$GG$587,'0.Productos'!BR$1+1,0),"")</f>
        <v/>
      </c>
      <c r="AA348" s="133" t="str">
        <f>IF($A348&lt;&gt;0,VLOOKUP($A348,'0.Productos'!$A$3:$GG$587,'0.Productos'!BS$1+1,0),"")</f>
        <v/>
      </c>
      <c r="AB348" s="133" t="str">
        <f>IF($A348&lt;&gt;0,VLOOKUP($A348,'0.Productos'!$A$3:$GG$587,'0.Productos'!BT$1+1,0),"")</f>
        <v/>
      </c>
      <c r="AC348" s="133" t="str">
        <f>IF($A348&lt;&gt;0,VLOOKUP($A348,'0.Productos'!$A$3:$GG$587,'0.Productos'!BU$1+1,0),"")</f>
        <v/>
      </c>
      <c r="AD348" s="133" t="str">
        <f>IF($A348&lt;&gt;0,VLOOKUP($A348,'0.Productos'!$A$3:$GG$587,'0.Productos'!BV$1+1,0),"")</f>
        <v/>
      </c>
      <c r="AE348" s="133" t="str">
        <f>IF($A348&lt;&gt;0,VLOOKUP($A348,'0.Productos'!$A$3:$GG$587,'0.Productos'!BW$1+1,0),"")</f>
        <v/>
      </c>
      <c r="AF348" s="133" t="str">
        <f>IF($A348&lt;&gt;0,VLOOKUP($A348,'0.Productos'!$A$3:$GG$587,'0.Productos'!BX$1+1,0),"")</f>
        <v/>
      </c>
      <c r="AG348" s="133" t="str">
        <f>IF($A348&lt;&gt;0,VLOOKUP($A348,'0.Productos'!$A$3:$GG$587,'0.Productos'!BY$1+1,0),"")</f>
        <v/>
      </c>
      <c r="AH348" s="133" t="str">
        <f>IF($A348&lt;&gt;0,VLOOKUP($A348,'0.Productos'!$A$3:$GG$587,'0.Productos'!BZ$1+1,0),"")</f>
        <v/>
      </c>
      <c r="AI348" s="133" t="str">
        <f>IF($A348&lt;&gt;0,VLOOKUP($A348,'0.Productos'!$A$3:$GG$587,'0.Productos'!CA$1+1,0),"")</f>
        <v/>
      </c>
      <c r="AJ348" s="133" t="str">
        <f>IF($A348&lt;&gt;0,VLOOKUP($A348,'0.Productos'!$A$3:$GG$587,'0.Productos'!CB$1+1,0),"")</f>
        <v/>
      </c>
      <c r="AK348" s="133" t="str">
        <f>IF($A348&lt;&gt;0,VLOOKUP($A348,'0.Productos'!$A$3:$GG$587,'0.Productos'!CC$1+1,0),"")</f>
        <v/>
      </c>
      <c r="AL348" s="133" t="str">
        <f>IF($A348&lt;&gt;0,VLOOKUP($A348,'0.Productos'!$A$3:$GG$587,'0.Productos'!CD$1+1,0),"")</f>
        <v/>
      </c>
      <c r="AM348" s="133" t="str">
        <f>IF($A348&lt;&gt;0,VLOOKUP($A348,'0.Productos'!$A$3:$GG$587,'0.Productos'!CE$1+1,0),"")</f>
        <v/>
      </c>
      <c r="AN348" s="133" t="str">
        <f>IF($A348&lt;&gt;0,VLOOKUP($A348,'0.Productos'!$A$3:$GG$587,'0.Productos'!CF$1+1,0),"")</f>
        <v/>
      </c>
      <c r="AO348" s="133" t="str">
        <f>IF($A348&lt;&gt;0,VLOOKUP($A348,'0.Productos'!$A$3:$GG$587,'0.Productos'!CG$1+1,0),"")</f>
        <v/>
      </c>
      <c r="AP348" s="133" t="str">
        <f>IF($A348&lt;&gt;0,VLOOKUP($A348,'0.Productos'!$A$3:$GG$587,'0.Productos'!CH$1+1,0),"")</f>
        <v/>
      </c>
      <c r="AQ348" s="133" t="str">
        <f>IF($A348&lt;&gt;0,VLOOKUP($A348,'0.Productos'!$A$3:$GG$587,'0.Productos'!CI$1+1,0),"")</f>
        <v/>
      </c>
      <c r="AR348" s="133" t="str">
        <f>IF($A348&lt;&gt;0,VLOOKUP($A348,'0.Productos'!$A$3:$GG$587,'0.Productos'!CJ$1+1,0),"")</f>
        <v/>
      </c>
      <c r="AS348" s="133" t="str">
        <f>IF($A348&lt;&gt;0,VLOOKUP($A348,'0.Productos'!$A$3:$GG$587,'0.Productos'!CK$1+1,0),"")</f>
        <v/>
      </c>
      <c r="AT348" s="133" t="str">
        <f>IF($A348&lt;&gt;0,VLOOKUP($A348,'0.Productos'!$A$3:$GG$587,'0.Productos'!CL$1+1,0),"")</f>
        <v/>
      </c>
      <c r="AU348" s="133" t="str">
        <f>IF($A348&lt;&gt;0,VLOOKUP($A348,'0.Productos'!$A$3:$GG$587,'0.Productos'!CM$1+1,0),"")</f>
        <v/>
      </c>
      <c r="AV348" s="133" t="str">
        <f>IF($A348&lt;&gt;0,VLOOKUP($A348,'0.Productos'!$A$3:$GG$587,'0.Productos'!CN$1+1,0),"")</f>
        <v/>
      </c>
      <c r="AW348" s="133" t="str">
        <f>IF($A348&lt;&gt;0,VLOOKUP($A348,'0.Productos'!$A$3:$GG$587,'0.Productos'!CO$1+1,0),"")</f>
        <v/>
      </c>
      <c r="AX348" s="133" t="str">
        <f>IF($A348&lt;&gt;0,VLOOKUP($A348,'0.Productos'!$A$3:$GG$587,'0.Productos'!CP$1+1,0),"")</f>
        <v/>
      </c>
      <c r="AY348" s="133" t="str">
        <f>IF($A348&lt;&gt;0,VLOOKUP($A348,'0.Productos'!$A$3:$GG$587,'0.Productos'!CQ$1+1,0),"")</f>
        <v/>
      </c>
      <c r="AZ348" s="133" t="str">
        <f>IF($A348&lt;&gt;0,VLOOKUP($A348,'0.Productos'!$A$3:$GG$587,'0.Productos'!CR$1+1,0),"")</f>
        <v/>
      </c>
      <c r="BA348" s="133" t="str">
        <f>IF($A348&lt;&gt;0,VLOOKUP($A348,'0.Productos'!$A$3:$GG$587,'0.Productos'!CS$1+1,0),"")</f>
        <v/>
      </c>
      <c r="BB348" s="133" t="str">
        <f>IF($A348&lt;&gt;0,VLOOKUP($A348,'0.Productos'!$A$3:$GG$587,'0.Productos'!CT$1+1,0),"")</f>
        <v/>
      </c>
      <c r="BC348" s="133" t="str">
        <f>IF($A348&lt;&gt;0,VLOOKUP($A348,'0.Productos'!$A$3:$GG$587,'0.Productos'!CU$1+1,0),"")</f>
        <v/>
      </c>
      <c r="BD348" s="133" t="str">
        <f>IF($A348&lt;&gt;0,VLOOKUP($A348,'0.Productos'!$A$3:$GG$587,'0.Productos'!CV$1+1,0),"")</f>
        <v/>
      </c>
      <c r="BE348" s="133" t="str">
        <f>IF($A348&lt;&gt;0,VLOOKUP($A348,'0.Productos'!$A$3:$GG$587,'0.Productos'!CW$1+1,0),"")</f>
        <v/>
      </c>
      <c r="BF348" s="133" t="str">
        <f>IF($A348&lt;&gt;0,VLOOKUP($A348,'0.Productos'!$A$3:$GG$587,'0.Productos'!CX$1+1,0),"")</f>
        <v/>
      </c>
      <c r="BG348" s="133" t="str">
        <f>IF($A348&lt;&gt;0,VLOOKUP($A348,'0.Productos'!$A$3:$GG$587,'0.Productos'!CY$1+1,0),"")</f>
        <v/>
      </c>
      <c r="BH348" s="133" t="str">
        <f>IF($A348&lt;&gt;0,VLOOKUP($A348,'0.Productos'!$A$3:$GG$587,'0.Productos'!CZ$1+1,0),"")</f>
        <v/>
      </c>
      <c r="BI348" s="133" t="str">
        <f>IF($A348&lt;&gt;0,VLOOKUP($A348,'0.Productos'!$A$3:$GG$587,'0.Productos'!DA$1+1,0),"")</f>
        <v/>
      </c>
      <c r="BJ348" s="133" t="str">
        <f>IF($A348&lt;&gt;0,VLOOKUP($A348,'0.Productos'!$A$3:$GG$587,'0.Productos'!DB$1+1,0),"")</f>
        <v/>
      </c>
      <c r="BK348" s="133" t="str">
        <f>IF($A348&lt;&gt;0,VLOOKUP($A348,'0.Productos'!$A$3:$GG$587,'0.Productos'!DC$1+1,0),"")</f>
        <v/>
      </c>
      <c r="BL348" s="133" t="str">
        <f>IF($A348&lt;&gt;0,VLOOKUP($A348,'0.Productos'!$A$3:$GG$587,'0.Productos'!DD$1+1,0),"")</f>
        <v/>
      </c>
      <c r="BM348" s="133" t="str">
        <f>IF($A348&lt;&gt;0,VLOOKUP($A348,'0.Productos'!$A$3:$GG$587,'0.Productos'!DE$1+1,0),"")</f>
        <v/>
      </c>
      <c r="BN348" s="133" t="str">
        <f>IF($A348&lt;&gt;0,VLOOKUP($A348,'0.Productos'!$A$3:$GG$587,'0.Productos'!DF$1+1,0),"")</f>
        <v/>
      </c>
      <c r="BO348" s="133" t="str">
        <f>IF($A348&lt;&gt;0,VLOOKUP($A348,'0.Productos'!$A$3:$GG$587,'0.Productos'!DG$1+1,0),"")</f>
        <v/>
      </c>
      <c r="BP348" s="133" t="str">
        <f>IF($A348&lt;&gt;0,VLOOKUP($A348,'0.Productos'!$A$3:$GG$587,'0.Productos'!DH$1+1,0),"")</f>
        <v/>
      </c>
      <c r="BQ348" s="133" t="str">
        <f>IF($A348&lt;&gt;0,VLOOKUP($A348,'0.Productos'!$A$3:$GG$587,'0.Productos'!DI$1+1,0),"")</f>
        <v/>
      </c>
      <c r="BR348" s="133" t="str">
        <f>IF($A348&lt;&gt;0,VLOOKUP($A348,'0.Productos'!$A$3:$GG$587,'0.Productos'!DJ$1+1,0),"")</f>
        <v/>
      </c>
      <c r="BS348" s="133" t="str">
        <f>IF($A348&lt;&gt;0,VLOOKUP($A348,'0.Productos'!$A$3:$GG$587,'0.Productos'!DK$1+1,0),"")</f>
        <v/>
      </c>
      <c r="BT348" s="133" t="str">
        <f>IF($A348&lt;&gt;0,VLOOKUP($A348,'0.Productos'!$A$3:$GG$587,'0.Productos'!DL$1+1,0),"")</f>
        <v/>
      </c>
    </row>
    <row r="349" spans="1:72" x14ac:dyDescent="0.25">
      <c r="A349" s="17">
        <f>'0.Consolidado general'!A349</f>
        <v>0</v>
      </c>
      <c r="B349" s="133" t="str">
        <f>IF($A349&lt;&gt;0,VLOOKUP($A349,'0.Productos'!$A$3:$GG$587,'0.Productos'!AT$1+1,0),"")</f>
        <v/>
      </c>
      <c r="C349" s="133" t="str">
        <f>IF($A349&lt;&gt;0,VLOOKUP($A349,'0.Productos'!$A$3:$GG$587,'0.Productos'!AU$1+1,0),"")</f>
        <v/>
      </c>
      <c r="D349" s="133" t="str">
        <f>IF($A349&lt;&gt;0,VLOOKUP($A349,'0.Productos'!$A$3:$GG$587,'0.Productos'!AV$1+1,0),"")</f>
        <v/>
      </c>
      <c r="E349" s="133" t="str">
        <f>IF($A349&lt;&gt;0,VLOOKUP($A349,'0.Productos'!$A$3:$GG$587,'0.Productos'!AW$1+1,0),"")</f>
        <v/>
      </c>
      <c r="F349" s="133" t="str">
        <f>IF($A349&lt;&gt;0,VLOOKUP($A349,'0.Productos'!$A$3:$GG$587,'0.Productos'!AX$1+1,0),"")</f>
        <v/>
      </c>
      <c r="G349" s="133" t="str">
        <f>IF($A349&lt;&gt;0,VLOOKUP($A349,'0.Productos'!$A$3:$GG$587,'0.Productos'!AY$1+1,0),"")</f>
        <v/>
      </c>
      <c r="H349" s="133" t="str">
        <f>IF($A349&lt;&gt;0,VLOOKUP($A349,'0.Productos'!$A$3:$GG$587,'0.Productos'!AZ$1+1,0),"")</f>
        <v/>
      </c>
      <c r="I349" s="133" t="str">
        <f>IF($A349&lt;&gt;0,VLOOKUP($A349,'0.Productos'!$A$3:$GG$587,'0.Productos'!BA$1+1,0),"")</f>
        <v/>
      </c>
      <c r="J349" s="133" t="str">
        <f>IF($A349&lt;&gt;0,VLOOKUP($A349,'0.Productos'!$A$3:$GG$587,'0.Productos'!BB$1+1,0),"")</f>
        <v/>
      </c>
      <c r="K349" s="133" t="str">
        <f>IF($A349&lt;&gt;0,VLOOKUP($A349,'0.Productos'!$A$3:$GG$587,'0.Productos'!BC$1+1,0),"")</f>
        <v/>
      </c>
      <c r="L349" s="133" t="str">
        <f>IF($A349&lt;&gt;0,VLOOKUP($A349,'0.Productos'!$A$3:$GG$587,'0.Productos'!BD$1+1,0),"")</f>
        <v/>
      </c>
      <c r="M349" s="133" t="str">
        <f>IF($A349&lt;&gt;0,VLOOKUP($A349,'0.Productos'!$A$3:$GG$587,'0.Productos'!BE$1+1,0),"")</f>
        <v/>
      </c>
      <c r="N349" s="133" t="str">
        <f>IF($A349&lt;&gt;0,VLOOKUP($A349,'0.Productos'!$A$3:$GG$587,'0.Productos'!BF$1+1,0),"")</f>
        <v/>
      </c>
      <c r="O349" s="133" t="str">
        <f>IF($A349&lt;&gt;0,VLOOKUP($A349,'0.Productos'!$A$3:$GG$587,'0.Productos'!BG$1+1,0),"")</f>
        <v/>
      </c>
      <c r="P349" s="133" t="str">
        <f>IF($A349&lt;&gt;0,VLOOKUP($A349,'0.Productos'!$A$3:$GG$587,'0.Productos'!BH$1+1,0),"")</f>
        <v/>
      </c>
      <c r="Q349" s="133" t="str">
        <f>IF($A349&lt;&gt;0,VLOOKUP($A349,'0.Productos'!$A$3:$GG$587,'0.Productos'!BI$1+1,0),"")</f>
        <v/>
      </c>
      <c r="R349" s="133" t="str">
        <f>IF($A349&lt;&gt;0,VLOOKUP($A349,'0.Productos'!$A$3:$GG$587,'0.Productos'!BJ$1+1,0),"")</f>
        <v/>
      </c>
      <c r="S349" s="133" t="str">
        <f>IF($A349&lt;&gt;0,VLOOKUP($A349,'0.Productos'!$A$3:$GG$587,'0.Productos'!BK$1+1,0),"")</f>
        <v/>
      </c>
      <c r="T349" s="133" t="str">
        <f>IF($A349&lt;&gt;0,VLOOKUP($A349,'0.Productos'!$A$3:$GG$587,'0.Productos'!BL$1+1,0),"")</f>
        <v/>
      </c>
      <c r="U349" s="133" t="str">
        <f>IF($A349&lt;&gt;0,VLOOKUP($A349,'0.Productos'!$A$3:$GG$587,'0.Productos'!BM$1+1,0),"")</f>
        <v/>
      </c>
      <c r="V349" s="133" t="str">
        <f>IF($A349&lt;&gt;0,VLOOKUP($A349,'0.Productos'!$A$3:$GG$587,'0.Productos'!BN$1+1,0),"")</f>
        <v/>
      </c>
      <c r="W349" s="133" t="str">
        <f>IF($A349&lt;&gt;0,VLOOKUP($A349,'0.Productos'!$A$3:$GG$587,'0.Productos'!BO$1+1,0),"")</f>
        <v/>
      </c>
      <c r="X349" s="133" t="str">
        <f>IF($A349&lt;&gt;0,VLOOKUP($A349,'0.Productos'!$A$3:$GG$587,'0.Productos'!BP$1+1,0),"")</f>
        <v/>
      </c>
      <c r="Y349" s="133" t="str">
        <f>IF($A349&lt;&gt;0,VLOOKUP($A349,'0.Productos'!$A$3:$GG$587,'0.Productos'!BQ$1+1,0),"")</f>
        <v/>
      </c>
      <c r="Z349" s="133" t="str">
        <f>IF($A349&lt;&gt;0,VLOOKUP($A349,'0.Productos'!$A$3:$GG$587,'0.Productos'!BR$1+1,0),"")</f>
        <v/>
      </c>
      <c r="AA349" s="133" t="str">
        <f>IF($A349&lt;&gt;0,VLOOKUP($A349,'0.Productos'!$A$3:$GG$587,'0.Productos'!BS$1+1,0),"")</f>
        <v/>
      </c>
      <c r="AB349" s="133" t="str">
        <f>IF($A349&lt;&gt;0,VLOOKUP($A349,'0.Productos'!$A$3:$GG$587,'0.Productos'!BT$1+1,0),"")</f>
        <v/>
      </c>
      <c r="AC349" s="133" t="str">
        <f>IF($A349&lt;&gt;0,VLOOKUP($A349,'0.Productos'!$A$3:$GG$587,'0.Productos'!BU$1+1,0),"")</f>
        <v/>
      </c>
      <c r="AD349" s="133" t="str">
        <f>IF($A349&lt;&gt;0,VLOOKUP($A349,'0.Productos'!$A$3:$GG$587,'0.Productos'!BV$1+1,0),"")</f>
        <v/>
      </c>
      <c r="AE349" s="133" t="str">
        <f>IF($A349&lt;&gt;0,VLOOKUP($A349,'0.Productos'!$A$3:$GG$587,'0.Productos'!BW$1+1,0),"")</f>
        <v/>
      </c>
      <c r="AF349" s="133" t="str">
        <f>IF($A349&lt;&gt;0,VLOOKUP($A349,'0.Productos'!$A$3:$GG$587,'0.Productos'!BX$1+1,0),"")</f>
        <v/>
      </c>
      <c r="AG349" s="133" t="str">
        <f>IF($A349&lt;&gt;0,VLOOKUP($A349,'0.Productos'!$A$3:$GG$587,'0.Productos'!BY$1+1,0),"")</f>
        <v/>
      </c>
      <c r="AH349" s="133" t="str">
        <f>IF($A349&lt;&gt;0,VLOOKUP($A349,'0.Productos'!$A$3:$GG$587,'0.Productos'!BZ$1+1,0),"")</f>
        <v/>
      </c>
      <c r="AI349" s="133" t="str">
        <f>IF($A349&lt;&gt;0,VLOOKUP($A349,'0.Productos'!$A$3:$GG$587,'0.Productos'!CA$1+1,0),"")</f>
        <v/>
      </c>
      <c r="AJ349" s="133" t="str">
        <f>IF($A349&lt;&gt;0,VLOOKUP($A349,'0.Productos'!$A$3:$GG$587,'0.Productos'!CB$1+1,0),"")</f>
        <v/>
      </c>
      <c r="AK349" s="133" t="str">
        <f>IF($A349&lt;&gt;0,VLOOKUP($A349,'0.Productos'!$A$3:$GG$587,'0.Productos'!CC$1+1,0),"")</f>
        <v/>
      </c>
      <c r="AL349" s="133" t="str">
        <f>IF($A349&lt;&gt;0,VLOOKUP($A349,'0.Productos'!$A$3:$GG$587,'0.Productos'!CD$1+1,0),"")</f>
        <v/>
      </c>
      <c r="AM349" s="133" t="str">
        <f>IF($A349&lt;&gt;0,VLOOKUP($A349,'0.Productos'!$A$3:$GG$587,'0.Productos'!CE$1+1,0),"")</f>
        <v/>
      </c>
      <c r="AN349" s="133" t="str">
        <f>IF($A349&lt;&gt;0,VLOOKUP($A349,'0.Productos'!$A$3:$GG$587,'0.Productos'!CF$1+1,0),"")</f>
        <v/>
      </c>
      <c r="AO349" s="133" t="str">
        <f>IF($A349&lt;&gt;0,VLOOKUP($A349,'0.Productos'!$A$3:$GG$587,'0.Productos'!CG$1+1,0),"")</f>
        <v/>
      </c>
      <c r="AP349" s="133" t="str">
        <f>IF($A349&lt;&gt;0,VLOOKUP($A349,'0.Productos'!$A$3:$GG$587,'0.Productos'!CH$1+1,0),"")</f>
        <v/>
      </c>
      <c r="AQ349" s="133" t="str">
        <f>IF($A349&lt;&gt;0,VLOOKUP($A349,'0.Productos'!$A$3:$GG$587,'0.Productos'!CI$1+1,0),"")</f>
        <v/>
      </c>
      <c r="AR349" s="133" t="str">
        <f>IF($A349&lt;&gt;0,VLOOKUP($A349,'0.Productos'!$A$3:$GG$587,'0.Productos'!CJ$1+1,0),"")</f>
        <v/>
      </c>
      <c r="AS349" s="133" t="str">
        <f>IF($A349&lt;&gt;0,VLOOKUP($A349,'0.Productos'!$A$3:$GG$587,'0.Productos'!CK$1+1,0),"")</f>
        <v/>
      </c>
      <c r="AT349" s="133" t="str">
        <f>IF($A349&lt;&gt;0,VLOOKUP($A349,'0.Productos'!$A$3:$GG$587,'0.Productos'!CL$1+1,0),"")</f>
        <v/>
      </c>
      <c r="AU349" s="133" t="str">
        <f>IF($A349&lt;&gt;0,VLOOKUP($A349,'0.Productos'!$A$3:$GG$587,'0.Productos'!CM$1+1,0),"")</f>
        <v/>
      </c>
      <c r="AV349" s="133" t="str">
        <f>IF($A349&lt;&gt;0,VLOOKUP($A349,'0.Productos'!$A$3:$GG$587,'0.Productos'!CN$1+1,0),"")</f>
        <v/>
      </c>
      <c r="AW349" s="133" t="str">
        <f>IF($A349&lt;&gt;0,VLOOKUP($A349,'0.Productos'!$A$3:$GG$587,'0.Productos'!CO$1+1,0),"")</f>
        <v/>
      </c>
      <c r="AX349" s="133" t="str">
        <f>IF($A349&lt;&gt;0,VLOOKUP($A349,'0.Productos'!$A$3:$GG$587,'0.Productos'!CP$1+1,0),"")</f>
        <v/>
      </c>
      <c r="AY349" s="133" t="str">
        <f>IF($A349&lt;&gt;0,VLOOKUP($A349,'0.Productos'!$A$3:$GG$587,'0.Productos'!CQ$1+1,0),"")</f>
        <v/>
      </c>
      <c r="AZ349" s="133" t="str">
        <f>IF($A349&lt;&gt;0,VLOOKUP($A349,'0.Productos'!$A$3:$GG$587,'0.Productos'!CR$1+1,0),"")</f>
        <v/>
      </c>
      <c r="BA349" s="133" t="str">
        <f>IF($A349&lt;&gt;0,VLOOKUP($A349,'0.Productos'!$A$3:$GG$587,'0.Productos'!CS$1+1,0),"")</f>
        <v/>
      </c>
      <c r="BB349" s="133" t="str">
        <f>IF($A349&lt;&gt;0,VLOOKUP($A349,'0.Productos'!$A$3:$GG$587,'0.Productos'!CT$1+1,0),"")</f>
        <v/>
      </c>
      <c r="BC349" s="133" t="str">
        <f>IF($A349&lt;&gt;0,VLOOKUP($A349,'0.Productos'!$A$3:$GG$587,'0.Productos'!CU$1+1,0),"")</f>
        <v/>
      </c>
      <c r="BD349" s="133" t="str">
        <f>IF($A349&lt;&gt;0,VLOOKUP($A349,'0.Productos'!$A$3:$GG$587,'0.Productos'!CV$1+1,0),"")</f>
        <v/>
      </c>
      <c r="BE349" s="133" t="str">
        <f>IF($A349&lt;&gt;0,VLOOKUP($A349,'0.Productos'!$A$3:$GG$587,'0.Productos'!CW$1+1,0),"")</f>
        <v/>
      </c>
      <c r="BF349" s="133" t="str">
        <f>IF($A349&lt;&gt;0,VLOOKUP($A349,'0.Productos'!$A$3:$GG$587,'0.Productos'!CX$1+1,0),"")</f>
        <v/>
      </c>
      <c r="BG349" s="133" t="str">
        <f>IF($A349&lt;&gt;0,VLOOKUP($A349,'0.Productos'!$A$3:$GG$587,'0.Productos'!CY$1+1,0),"")</f>
        <v/>
      </c>
      <c r="BH349" s="133" t="str">
        <f>IF($A349&lt;&gt;0,VLOOKUP($A349,'0.Productos'!$A$3:$GG$587,'0.Productos'!CZ$1+1,0),"")</f>
        <v/>
      </c>
      <c r="BI349" s="133" t="str">
        <f>IF($A349&lt;&gt;0,VLOOKUP($A349,'0.Productos'!$A$3:$GG$587,'0.Productos'!DA$1+1,0),"")</f>
        <v/>
      </c>
      <c r="BJ349" s="133" t="str">
        <f>IF($A349&lt;&gt;0,VLOOKUP($A349,'0.Productos'!$A$3:$GG$587,'0.Productos'!DB$1+1,0),"")</f>
        <v/>
      </c>
      <c r="BK349" s="133" t="str">
        <f>IF($A349&lt;&gt;0,VLOOKUP($A349,'0.Productos'!$A$3:$GG$587,'0.Productos'!DC$1+1,0),"")</f>
        <v/>
      </c>
      <c r="BL349" s="133" t="str">
        <f>IF($A349&lt;&gt;0,VLOOKUP($A349,'0.Productos'!$A$3:$GG$587,'0.Productos'!DD$1+1,0),"")</f>
        <v/>
      </c>
      <c r="BM349" s="133" t="str">
        <f>IF($A349&lt;&gt;0,VLOOKUP($A349,'0.Productos'!$A$3:$GG$587,'0.Productos'!DE$1+1,0),"")</f>
        <v/>
      </c>
      <c r="BN349" s="133" t="str">
        <f>IF($A349&lt;&gt;0,VLOOKUP($A349,'0.Productos'!$A$3:$GG$587,'0.Productos'!DF$1+1,0),"")</f>
        <v/>
      </c>
      <c r="BO349" s="133" t="str">
        <f>IF($A349&lt;&gt;0,VLOOKUP($A349,'0.Productos'!$A$3:$GG$587,'0.Productos'!DG$1+1,0),"")</f>
        <v/>
      </c>
      <c r="BP349" s="133" t="str">
        <f>IF($A349&lt;&gt;0,VLOOKUP($A349,'0.Productos'!$A$3:$GG$587,'0.Productos'!DH$1+1,0),"")</f>
        <v/>
      </c>
      <c r="BQ349" s="133" t="str">
        <f>IF($A349&lt;&gt;0,VLOOKUP($A349,'0.Productos'!$A$3:$GG$587,'0.Productos'!DI$1+1,0),"")</f>
        <v/>
      </c>
      <c r="BR349" s="133" t="str">
        <f>IF($A349&lt;&gt;0,VLOOKUP($A349,'0.Productos'!$A$3:$GG$587,'0.Productos'!DJ$1+1,0),"")</f>
        <v/>
      </c>
      <c r="BS349" s="133" t="str">
        <f>IF($A349&lt;&gt;0,VLOOKUP($A349,'0.Productos'!$A$3:$GG$587,'0.Productos'!DK$1+1,0),"")</f>
        <v/>
      </c>
      <c r="BT349" s="133" t="str">
        <f>IF($A349&lt;&gt;0,VLOOKUP($A349,'0.Productos'!$A$3:$GG$587,'0.Productos'!DL$1+1,0),"")</f>
        <v/>
      </c>
    </row>
    <row r="350" spans="1:72" x14ac:dyDescent="0.25">
      <c r="A350" s="17">
        <f>'0.Consolidado general'!A350</f>
        <v>0</v>
      </c>
      <c r="B350" s="133" t="str">
        <f>IF($A350&lt;&gt;0,VLOOKUP($A350,'0.Productos'!$A$3:$GG$587,'0.Productos'!AT$1+1,0),"")</f>
        <v/>
      </c>
      <c r="C350" s="133" t="str">
        <f>IF($A350&lt;&gt;0,VLOOKUP($A350,'0.Productos'!$A$3:$GG$587,'0.Productos'!AU$1+1,0),"")</f>
        <v/>
      </c>
      <c r="D350" s="133" t="str">
        <f>IF($A350&lt;&gt;0,VLOOKUP($A350,'0.Productos'!$A$3:$GG$587,'0.Productos'!AV$1+1,0),"")</f>
        <v/>
      </c>
      <c r="E350" s="133" t="str">
        <f>IF($A350&lt;&gt;0,VLOOKUP($A350,'0.Productos'!$A$3:$GG$587,'0.Productos'!AW$1+1,0),"")</f>
        <v/>
      </c>
      <c r="F350" s="133" t="str">
        <f>IF($A350&lt;&gt;0,VLOOKUP($A350,'0.Productos'!$A$3:$GG$587,'0.Productos'!AX$1+1,0),"")</f>
        <v/>
      </c>
      <c r="G350" s="133" t="str">
        <f>IF($A350&lt;&gt;0,VLOOKUP($A350,'0.Productos'!$A$3:$GG$587,'0.Productos'!AY$1+1,0),"")</f>
        <v/>
      </c>
      <c r="H350" s="133" t="str">
        <f>IF($A350&lt;&gt;0,VLOOKUP($A350,'0.Productos'!$A$3:$GG$587,'0.Productos'!AZ$1+1,0),"")</f>
        <v/>
      </c>
      <c r="I350" s="133" t="str">
        <f>IF($A350&lt;&gt;0,VLOOKUP($A350,'0.Productos'!$A$3:$GG$587,'0.Productos'!BA$1+1,0),"")</f>
        <v/>
      </c>
      <c r="J350" s="133" t="str">
        <f>IF($A350&lt;&gt;0,VLOOKUP($A350,'0.Productos'!$A$3:$GG$587,'0.Productos'!BB$1+1,0),"")</f>
        <v/>
      </c>
      <c r="K350" s="133" t="str">
        <f>IF($A350&lt;&gt;0,VLOOKUP($A350,'0.Productos'!$A$3:$GG$587,'0.Productos'!BC$1+1,0),"")</f>
        <v/>
      </c>
      <c r="L350" s="133" t="str">
        <f>IF($A350&lt;&gt;0,VLOOKUP($A350,'0.Productos'!$A$3:$GG$587,'0.Productos'!BD$1+1,0),"")</f>
        <v/>
      </c>
      <c r="M350" s="133" t="str">
        <f>IF($A350&lt;&gt;0,VLOOKUP($A350,'0.Productos'!$A$3:$GG$587,'0.Productos'!BE$1+1,0),"")</f>
        <v/>
      </c>
      <c r="N350" s="133" t="str">
        <f>IF($A350&lt;&gt;0,VLOOKUP($A350,'0.Productos'!$A$3:$GG$587,'0.Productos'!BF$1+1,0),"")</f>
        <v/>
      </c>
      <c r="O350" s="133" t="str">
        <f>IF($A350&lt;&gt;0,VLOOKUP($A350,'0.Productos'!$A$3:$GG$587,'0.Productos'!BG$1+1,0),"")</f>
        <v/>
      </c>
      <c r="P350" s="133" t="str">
        <f>IF($A350&lt;&gt;0,VLOOKUP($A350,'0.Productos'!$A$3:$GG$587,'0.Productos'!BH$1+1,0),"")</f>
        <v/>
      </c>
      <c r="Q350" s="133" t="str">
        <f>IF($A350&lt;&gt;0,VLOOKUP($A350,'0.Productos'!$A$3:$GG$587,'0.Productos'!BI$1+1,0),"")</f>
        <v/>
      </c>
      <c r="R350" s="133" t="str">
        <f>IF($A350&lt;&gt;0,VLOOKUP($A350,'0.Productos'!$A$3:$GG$587,'0.Productos'!BJ$1+1,0),"")</f>
        <v/>
      </c>
      <c r="S350" s="133" t="str">
        <f>IF($A350&lt;&gt;0,VLOOKUP($A350,'0.Productos'!$A$3:$GG$587,'0.Productos'!BK$1+1,0),"")</f>
        <v/>
      </c>
      <c r="T350" s="133" t="str">
        <f>IF($A350&lt;&gt;0,VLOOKUP($A350,'0.Productos'!$A$3:$GG$587,'0.Productos'!BL$1+1,0),"")</f>
        <v/>
      </c>
      <c r="U350" s="133" t="str">
        <f>IF($A350&lt;&gt;0,VLOOKUP($A350,'0.Productos'!$A$3:$GG$587,'0.Productos'!BM$1+1,0),"")</f>
        <v/>
      </c>
      <c r="V350" s="133" t="str">
        <f>IF($A350&lt;&gt;0,VLOOKUP($A350,'0.Productos'!$A$3:$GG$587,'0.Productos'!BN$1+1,0),"")</f>
        <v/>
      </c>
      <c r="W350" s="133" t="str">
        <f>IF($A350&lt;&gt;0,VLOOKUP($A350,'0.Productos'!$A$3:$GG$587,'0.Productos'!BO$1+1,0),"")</f>
        <v/>
      </c>
      <c r="X350" s="133" t="str">
        <f>IF($A350&lt;&gt;0,VLOOKUP($A350,'0.Productos'!$A$3:$GG$587,'0.Productos'!BP$1+1,0),"")</f>
        <v/>
      </c>
      <c r="Y350" s="133" t="str">
        <f>IF($A350&lt;&gt;0,VLOOKUP($A350,'0.Productos'!$A$3:$GG$587,'0.Productos'!BQ$1+1,0),"")</f>
        <v/>
      </c>
      <c r="Z350" s="133" t="str">
        <f>IF($A350&lt;&gt;0,VLOOKUP($A350,'0.Productos'!$A$3:$GG$587,'0.Productos'!BR$1+1,0),"")</f>
        <v/>
      </c>
      <c r="AA350" s="133" t="str">
        <f>IF($A350&lt;&gt;0,VLOOKUP($A350,'0.Productos'!$A$3:$GG$587,'0.Productos'!BS$1+1,0),"")</f>
        <v/>
      </c>
      <c r="AB350" s="133" t="str">
        <f>IF($A350&lt;&gt;0,VLOOKUP($A350,'0.Productos'!$A$3:$GG$587,'0.Productos'!BT$1+1,0),"")</f>
        <v/>
      </c>
      <c r="AC350" s="133" t="str">
        <f>IF($A350&lt;&gt;0,VLOOKUP($A350,'0.Productos'!$A$3:$GG$587,'0.Productos'!BU$1+1,0),"")</f>
        <v/>
      </c>
      <c r="AD350" s="133" t="str">
        <f>IF($A350&lt;&gt;0,VLOOKUP($A350,'0.Productos'!$A$3:$GG$587,'0.Productos'!BV$1+1,0),"")</f>
        <v/>
      </c>
      <c r="AE350" s="133" t="str">
        <f>IF($A350&lt;&gt;0,VLOOKUP($A350,'0.Productos'!$A$3:$GG$587,'0.Productos'!BW$1+1,0),"")</f>
        <v/>
      </c>
      <c r="AF350" s="133" t="str">
        <f>IF($A350&lt;&gt;0,VLOOKUP($A350,'0.Productos'!$A$3:$GG$587,'0.Productos'!BX$1+1,0),"")</f>
        <v/>
      </c>
      <c r="AG350" s="133" t="str">
        <f>IF($A350&lt;&gt;0,VLOOKUP($A350,'0.Productos'!$A$3:$GG$587,'0.Productos'!BY$1+1,0),"")</f>
        <v/>
      </c>
      <c r="AH350" s="133" t="str">
        <f>IF($A350&lt;&gt;0,VLOOKUP($A350,'0.Productos'!$A$3:$GG$587,'0.Productos'!BZ$1+1,0),"")</f>
        <v/>
      </c>
      <c r="AI350" s="133" t="str">
        <f>IF($A350&lt;&gt;0,VLOOKUP($A350,'0.Productos'!$A$3:$GG$587,'0.Productos'!CA$1+1,0),"")</f>
        <v/>
      </c>
      <c r="AJ350" s="133" t="str">
        <f>IF($A350&lt;&gt;0,VLOOKUP($A350,'0.Productos'!$A$3:$GG$587,'0.Productos'!CB$1+1,0),"")</f>
        <v/>
      </c>
      <c r="AK350" s="133" t="str">
        <f>IF($A350&lt;&gt;0,VLOOKUP($A350,'0.Productos'!$A$3:$GG$587,'0.Productos'!CC$1+1,0),"")</f>
        <v/>
      </c>
      <c r="AL350" s="133" t="str">
        <f>IF($A350&lt;&gt;0,VLOOKUP($A350,'0.Productos'!$A$3:$GG$587,'0.Productos'!CD$1+1,0),"")</f>
        <v/>
      </c>
      <c r="AM350" s="133" t="str">
        <f>IF($A350&lt;&gt;0,VLOOKUP($A350,'0.Productos'!$A$3:$GG$587,'0.Productos'!CE$1+1,0),"")</f>
        <v/>
      </c>
      <c r="AN350" s="133" t="str">
        <f>IF($A350&lt;&gt;0,VLOOKUP($A350,'0.Productos'!$A$3:$GG$587,'0.Productos'!CF$1+1,0),"")</f>
        <v/>
      </c>
      <c r="AO350" s="133" t="str">
        <f>IF($A350&lt;&gt;0,VLOOKUP($A350,'0.Productos'!$A$3:$GG$587,'0.Productos'!CG$1+1,0),"")</f>
        <v/>
      </c>
      <c r="AP350" s="133" t="str">
        <f>IF($A350&lt;&gt;0,VLOOKUP($A350,'0.Productos'!$A$3:$GG$587,'0.Productos'!CH$1+1,0),"")</f>
        <v/>
      </c>
      <c r="AQ350" s="133" t="str">
        <f>IF($A350&lt;&gt;0,VLOOKUP($A350,'0.Productos'!$A$3:$GG$587,'0.Productos'!CI$1+1,0),"")</f>
        <v/>
      </c>
      <c r="AR350" s="133" t="str">
        <f>IF($A350&lt;&gt;0,VLOOKUP($A350,'0.Productos'!$A$3:$GG$587,'0.Productos'!CJ$1+1,0),"")</f>
        <v/>
      </c>
      <c r="AS350" s="133" t="str">
        <f>IF($A350&lt;&gt;0,VLOOKUP($A350,'0.Productos'!$A$3:$GG$587,'0.Productos'!CK$1+1,0),"")</f>
        <v/>
      </c>
      <c r="AT350" s="133" t="str">
        <f>IF($A350&lt;&gt;0,VLOOKUP($A350,'0.Productos'!$A$3:$GG$587,'0.Productos'!CL$1+1,0),"")</f>
        <v/>
      </c>
      <c r="AU350" s="133" t="str">
        <f>IF($A350&lt;&gt;0,VLOOKUP($A350,'0.Productos'!$A$3:$GG$587,'0.Productos'!CM$1+1,0),"")</f>
        <v/>
      </c>
      <c r="AV350" s="133" t="str">
        <f>IF($A350&lt;&gt;0,VLOOKUP($A350,'0.Productos'!$A$3:$GG$587,'0.Productos'!CN$1+1,0),"")</f>
        <v/>
      </c>
      <c r="AW350" s="133" t="str">
        <f>IF($A350&lt;&gt;0,VLOOKUP($A350,'0.Productos'!$A$3:$GG$587,'0.Productos'!CO$1+1,0),"")</f>
        <v/>
      </c>
      <c r="AX350" s="133" t="str">
        <f>IF($A350&lt;&gt;0,VLOOKUP($A350,'0.Productos'!$A$3:$GG$587,'0.Productos'!CP$1+1,0),"")</f>
        <v/>
      </c>
      <c r="AY350" s="133" t="str">
        <f>IF($A350&lt;&gt;0,VLOOKUP($A350,'0.Productos'!$A$3:$GG$587,'0.Productos'!CQ$1+1,0),"")</f>
        <v/>
      </c>
      <c r="AZ350" s="133" t="str">
        <f>IF($A350&lt;&gt;0,VLOOKUP($A350,'0.Productos'!$A$3:$GG$587,'0.Productos'!CR$1+1,0),"")</f>
        <v/>
      </c>
      <c r="BA350" s="133" t="str">
        <f>IF($A350&lt;&gt;0,VLOOKUP($A350,'0.Productos'!$A$3:$GG$587,'0.Productos'!CS$1+1,0),"")</f>
        <v/>
      </c>
      <c r="BB350" s="133" t="str">
        <f>IF($A350&lt;&gt;0,VLOOKUP($A350,'0.Productos'!$A$3:$GG$587,'0.Productos'!CT$1+1,0),"")</f>
        <v/>
      </c>
      <c r="BC350" s="133" t="str">
        <f>IF($A350&lt;&gt;0,VLOOKUP($A350,'0.Productos'!$A$3:$GG$587,'0.Productos'!CU$1+1,0),"")</f>
        <v/>
      </c>
      <c r="BD350" s="133" t="str">
        <f>IF($A350&lt;&gt;0,VLOOKUP($A350,'0.Productos'!$A$3:$GG$587,'0.Productos'!CV$1+1,0),"")</f>
        <v/>
      </c>
      <c r="BE350" s="133" t="str">
        <f>IF($A350&lt;&gt;0,VLOOKUP($A350,'0.Productos'!$A$3:$GG$587,'0.Productos'!CW$1+1,0),"")</f>
        <v/>
      </c>
      <c r="BF350" s="133" t="str">
        <f>IF($A350&lt;&gt;0,VLOOKUP($A350,'0.Productos'!$A$3:$GG$587,'0.Productos'!CX$1+1,0),"")</f>
        <v/>
      </c>
      <c r="BG350" s="133" t="str">
        <f>IF($A350&lt;&gt;0,VLOOKUP($A350,'0.Productos'!$A$3:$GG$587,'0.Productos'!CY$1+1,0),"")</f>
        <v/>
      </c>
      <c r="BH350" s="133" t="str">
        <f>IF($A350&lt;&gt;0,VLOOKUP($A350,'0.Productos'!$A$3:$GG$587,'0.Productos'!CZ$1+1,0),"")</f>
        <v/>
      </c>
      <c r="BI350" s="133" t="str">
        <f>IF($A350&lt;&gt;0,VLOOKUP($A350,'0.Productos'!$A$3:$GG$587,'0.Productos'!DA$1+1,0),"")</f>
        <v/>
      </c>
      <c r="BJ350" s="133" t="str">
        <f>IF($A350&lt;&gt;0,VLOOKUP($A350,'0.Productos'!$A$3:$GG$587,'0.Productos'!DB$1+1,0),"")</f>
        <v/>
      </c>
      <c r="BK350" s="133" t="str">
        <f>IF($A350&lt;&gt;0,VLOOKUP($A350,'0.Productos'!$A$3:$GG$587,'0.Productos'!DC$1+1,0),"")</f>
        <v/>
      </c>
      <c r="BL350" s="133" t="str">
        <f>IF($A350&lt;&gt;0,VLOOKUP($A350,'0.Productos'!$A$3:$GG$587,'0.Productos'!DD$1+1,0),"")</f>
        <v/>
      </c>
      <c r="BM350" s="133" t="str">
        <f>IF($A350&lt;&gt;0,VLOOKUP($A350,'0.Productos'!$A$3:$GG$587,'0.Productos'!DE$1+1,0),"")</f>
        <v/>
      </c>
      <c r="BN350" s="133" t="str">
        <f>IF($A350&lt;&gt;0,VLOOKUP($A350,'0.Productos'!$A$3:$GG$587,'0.Productos'!DF$1+1,0),"")</f>
        <v/>
      </c>
      <c r="BO350" s="133" t="str">
        <f>IF($A350&lt;&gt;0,VLOOKUP($A350,'0.Productos'!$A$3:$GG$587,'0.Productos'!DG$1+1,0),"")</f>
        <v/>
      </c>
      <c r="BP350" s="133" t="str">
        <f>IF($A350&lt;&gt;0,VLOOKUP($A350,'0.Productos'!$A$3:$GG$587,'0.Productos'!DH$1+1,0),"")</f>
        <v/>
      </c>
      <c r="BQ350" s="133" t="str">
        <f>IF($A350&lt;&gt;0,VLOOKUP($A350,'0.Productos'!$A$3:$GG$587,'0.Productos'!DI$1+1,0),"")</f>
        <v/>
      </c>
      <c r="BR350" s="133" t="str">
        <f>IF($A350&lt;&gt;0,VLOOKUP($A350,'0.Productos'!$A$3:$GG$587,'0.Productos'!DJ$1+1,0),"")</f>
        <v/>
      </c>
      <c r="BS350" s="133" t="str">
        <f>IF($A350&lt;&gt;0,VLOOKUP($A350,'0.Productos'!$A$3:$GG$587,'0.Productos'!DK$1+1,0),"")</f>
        <v/>
      </c>
      <c r="BT350" s="133" t="str">
        <f>IF($A350&lt;&gt;0,VLOOKUP($A350,'0.Productos'!$A$3:$GG$587,'0.Productos'!DL$1+1,0),"")</f>
        <v/>
      </c>
    </row>
    <row r="351" spans="1:72" x14ac:dyDescent="0.25">
      <c r="A351" s="17">
        <f>'0.Consolidado general'!A351</f>
        <v>0</v>
      </c>
      <c r="B351" s="133" t="str">
        <f>IF($A351&lt;&gt;0,VLOOKUP($A351,'0.Productos'!$A$3:$GG$587,'0.Productos'!AT$1+1,0),"")</f>
        <v/>
      </c>
      <c r="C351" s="133" t="str">
        <f>IF($A351&lt;&gt;0,VLOOKUP($A351,'0.Productos'!$A$3:$GG$587,'0.Productos'!AU$1+1,0),"")</f>
        <v/>
      </c>
      <c r="D351" s="133" t="str">
        <f>IF($A351&lt;&gt;0,VLOOKUP($A351,'0.Productos'!$A$3:$GG$587,'0.Productos'!AV$1+1,0),"")</f>
        <v/>
      </c>
      <c r="E351" s="133" t="str">
        <f>IF($A351&lt;&gt;0,VLOOKUP($A351,'0.Productos'!$A$3:$GG$587,'0.Productos'!AW$1+1,0),"")</f>
        <v/>
      </c>
      <c r="F351" s="133" t="str">
        <f>IF($A351&lt;&gt;0,VLOOKUP($A351,'0.Productos'!$A$3:$GG$587,'0.Productos'!AX$1+1,0),"")</f>
        <v/>
      </c>
      <c r="G351" s="133" t="str">
        <f>IF($A351&lt;&gt;0,VLOOKUP($A351,'0.Productos'!$A$3:$GG$587,'0.Productos'!AY$1+1,0),"")</f>
        <v/>
      </c>
      <c r="H351" s="133" t="str">
        <f>IF($A351&lt;&gt;0,VLOOKUP($A351,'0.Productos'!$A$3:$GG$587,'0.Productos'!AZ$1+1,0),"")</f>
        <v/>
      </c>
      <c r="I351" s="133" t="str">
        <f>IF($A351&lt;&gt;0,VLOOKUP($A351,'0.Productos'!$A$3:$GG$587,'0.Productos'!BA$1+1,0),"")</f>
        <v/>
      </c>
      <c r="J351" s="133" t="str">
        <f>IF($A351&lt;&gt;0,VLOOKUP($A351,'0.Productos'!$A$3:$GG$587,'0.Productos'!BB$1+1,0),"")</f>
        <v/>
      </c>
      <c r="K351" s="133" t="str">
        <f>IF($A351&lt;&gt;0,VLOOKUP($A351,'0.Productos'!$A$3:$GG$587,'0.Productos'!BC$1+1,0),"")</f>
        <v/>
      </c>
      <c r="L351" s="133" t="str">
        <f>IF($A351&lt;&gt;0,VLOOKUP($A351,'0.Productos'!$A$3:$GG$587,'0.Productos'!BD$1+1,0),"")</f>
        <v/>
      </c>
      <c r="M351" s="133" t="str">
        <f>IF($A351&lt;&gt;0,VLOOKUP($A351,'0.Productos'!$A$3:$GG$587,'0.Productos'!BE$1+1,0),"")</f>
        <v/>
      </c>
      <c r="N351" s="133" t="str">
        <f>IF($A351&lt;&gt;0,VLOOKUP($A351,'0.Productos'!$A$3:$GG$587,'0.Productos'!BF$1+1,0),"")</f>
        <v/>
      </c>
      <c r="O351" s="133" t="str">
        <f>IF($A351&lt;&gt;0,VLOOKUP($A351,'0.Productos'!$A$3:$GG$587,'0.Productos'!BG$1+1,0),"")</f>
        <v/>
      </c>
      <c r="P351" s="133" t="str">
        <f>IF($A351&lt;&gt;0,VLOOKUP($A351,'0.Productos'!$A$3:$GG$587,'0.Productos'!BH$1+1,0),"")</f>
        <v/>
      </c>
      <c r="Q351" s="133" t="str">
        <f>IF($A351&lt;&gt;0,VLOOKUP($A351,'0.Productos'!$A$3:$GG$587,'0.Productos'!BI$1+1,0),"")</f>
        <v/>
      </c>
      <c r="R351" s="133" t="str">
        <f>IF($A351&lt;&gt;0,VLOOKUP($A351,'0.Productos'!$A$3:$GG$587,'0.Productos'!BJ$1+1,0),"")</f>
        <v/>
      </c>
      <c r="S351" s="133" t="str">
        <f>IF($A351&lt;&gt;0,VLOOKUP($A351,'0.Productos'!$A$3:$GG$587,'0.Productos'!BK$1+1,0),"")</f>
        <v/>
      </c>
      <c r="T351" s="133" t="str">
        <f>IF($A351&lt;&gt;0,VLOOKUP($A351,'0.Productos'!$A$3:$GG$587,'0.Productos'!BL$1+1,0),"")</f>
        <v/>
      </c>
      <c r="U351" s="133" t="str">
        <f>IF($A351&lt;&gt;0,VLOOKUP($A351,'0.Productos'!$A$3:$GG$587,'0.Productos'!BM$1+1,0),"")</f>
        <v/>
      </c>
      <c r="V351" s="133" t="str">
        <f>IF($A351&lt;&gt;0,VLOOKUP($A351,'0.Productos'!$A$3:$GG$587,'0.Productos'!BN$1+1,0),"")</f>
        <v/>
      </c>
      <c r="W351" s="133" t="str">
        <f>IF($A351&lt;&gt;0,VLOOKUP($A351,'0.Productos'!$A$3:$GG$587,'0.Productos'!BO$1+1,0),"")</f>
        <v/>
      </c>
      <c r="X351" s="133" t="str">
        <f>IF($A351&lt;&gt;0,VLOOKUP($A351,'0.Productos'!$A$3:$GG$587,'0.Productos'!BP$1+1,0),"")</f>
        <v/>
      </c>
      <c r="Y351" s="133" t="str">
        <f>IF($A351&lt;&gt;0,VLOOKUP($A351,'0.Productos'!$A$3:$GG$587,'0.Productos'!BQ$1+1,0),"")</f>
        <v/>
      </c>
      <c r="Z351" s="133" t="str">
        <f>IF($A351&lt;&gt;0,VLOOKUP($A351,'0.Productos'!$A$3:$GG$587,'0.Productos'!BR$1+1,0),"")</f>
        <v/>
      </c>
      <c r="AA351" s="133" t="str">
        <f>IF($A351&lt;&gt;0,VLOOKUP($A351,'0.Productos'!$A$3:$GG$587,'0.Productos'!BS$1+1,0),"")</f>
        <v/>
      </c>
      <c r="AB351" s="133" t="str">
        <f>IF($A351&lt;&gt;0,VLOOKUP($A351,'0.Productos'!$A$3:$GG$587,'0.Productos'!BT$1+1,0),"")</f>
        <v/>
      </c>
      <c r="AC351" s="133" t="str">
        <f>IF($A351&lt;&gt;0,VLOOKUP($A351,'0.Productos'!$A$3:$GG$587,'0.Productos'!BU$1+1,0),"")</f>
        <v/>
      </c>
      <c r="AD351" s="133" t="str">
        <f>IF($A351&lt;&gt;0,VLOOKUP($A351,'0.Productos'!$A$3:$GG$587,'0.Productos'!BV$1+1,0),"")</f>
        <v/>
      </c>
      <c r="AE351" s="133" t="str">
        <f>IF($A351&lt;&gt;0,VLOOKUP($A351,'0.Productos'!$A$3:$GG$587,'0.Productos'!BW$1+1,0),"")</f>
        <v/>
      </c>
      <c r="AF351" s="133" t="str">
        <f>IF($A351&lt;&gt;0,VLOOKUP($A351,'0.Productos'!$A$3:$GG$587,'0.Productos'!BX$1+1,0),"")</f>
        <v/>
      </c>
      <c r="AG351" s="133" t="str">
        <f>IF($A351&lt;&gt;0,VLOOKUP($A351,'0.Productos'!$A$3:$GG$587,'0.Productos'!BY$1+1,0),"")</f>
        <v/>
      </c>
      <c r="AH351" s="133" t="str">
        <f>IF($A351&lt;&gt;0,VLOOKUP($A351,'0.Productos'!$A$3:$GG$587,'0.Productos'!BZ$1+1,0),"")</f>
        <v/>
      </c>
      <c r="AI351" s="133" t="str">
        <f>IF($A351&lt;&gt;0,VLOOKUP($A351,'0.Productos'!$A$3:$GG$587,'0.Productos'!CA$1+1,0),"")</f>
        <v/>
      </c>
      <c r="AJ351" s="133" t="str">
        <f>IF($A351&lt;&gt;0,VLOOKUP($A351,'0.Productos'!$A$3:$GG$587,'0.Productos'!CB$1+1,0),"")</f>
        <v/>
      </c>
      <c r="AK351" s="133" t="str">
        <f>IF($A351&lt;&gt;0,VLOOKUP($A351,'0.Productos'!$A$3:$GG$587,'0.Productos'!CC$1+1,0),"")</f>
        <v/>
      </c>
      <c r="AL351" s="133" t="str">
        <f>IF($A351&lt;&gt;0,VLOOKUP($A351,'0.Productos'!$A$3:$GG$587,'0.Productos'!CD$1+1,0),"")</f>
        <v/>
      </c>
      <c r="AM351" s="133" t="str">
        <f>IF($A351&lt;&gt;0,VLOOKUP($A351,'0.Productos'!$A$3:$GG$587,'0.Productos'!CE$1+1,0),"")</f>
        <v/>
      </c>
      <c r="AN351" s="133" t="str">
        <f>IF($A351&lt;&gt;0,VLOOKUP($A351,'0.Productos'!$A$3:$GG$587,'0.Productos'!CF$1+1,0),"")</f>
        <v/>
      </c>
      <c r="AO351" s="133" t="str">
        <f>IF($A351&lt;&gt;0,VLOOKUP($A351,'0.Productos'!$A$3:$GG$587,'0.Productos'!CG$1+1,0),"")</f>
        <v/>
      </c>
      <c r="AP351" s="133" t="str">
        <f>IF($A351&lt;&gt;0,VLOOKUP($A351,'0.Productos'!$A$3:$GG$587,'0.Productos'!CH$1+1,0),"")</f>
        <v/>
      </c>
      <c r="AQ351" s="133" t="str">
        <f>IF($A351&lt;&gt;0,VLOOKUP($A351,'0.Productos'!$A$3:$GG$587,'0.Productos'!CI$1+1,0),"")</f>
        <v/>
      </c>
      <c r="AR351" s="133" t="str">
        <f>IF($A351&lt;&gt;0,VLOOKUP($A351,'0.Productos'!$A$3:$GG$587,'0.Productos'!CJ$1+1,0),"")</f>
        <v/>
      </c>
      <c r="AS351" s="133" t="str">
        <f>IF($A351&lt;&gt;0,VLOOKUP($A351,'0.Productos'!$A$3:$GG$587,'0.Productos'!CK$1+1,0),"")</f>
        <v/>
      </c>
      <c r="AT351" s="133" t="str">
        <f>IF($A351&lt;&gt;0,VLOOKUP($A351,'0.Productos'!$A$3:$GG$587,'0.Productos'!CL$1+1,0),"")</f>
        <v/>
      </c>
      <c r="AU351" s="133" t="str">
        <f>IF($A351&lt;&gt;0,VLOOKUP($A351,'0.Productos'!$A$3:$GG$587,'0.Productos'!CM$1+1,0),"")</f>
        <v/>
      </c>
      <c r="AV351" s="133" t="str">
        <f>IF($A351&lt;&gt;0,VLOOKUP($A351,'0.Productos'!$A$3:$GG$587,'0.Productos'!CN$1+1,0),"")</f>
        <v/>
      </c>
      <c r="AW351" s="133" t="str">
        <f>IF($A351&lt;&gt;0,VLOOKUP($A351,'0.Productos'!$A$3:$GG$587,'0.Productos'!CO$1+1,0),"")</f>
        <v/>
      </c>
      <c r="AX351" s="133" t="str">
        <f>IF($A351&lt;&gt;0,VLOOKUP($A351,'0.Productos'!$A$3:$GG$587,'0.Productos'!CP$1+1,0),"")</f>
        <v/>
      </c>
      <c r="AY351" s="133" t="str">
        <f>IF($A351&lt;&gt;0,VLOOKUP($A351,'0.Productos'!$A$3:$GG$587,'0.Productos'!CQ$1+1,0),"")</f>
        <v/>
      </c>
      <c r="AZ351" s="133" t="str">
        <f>IF($A351&lt;&gt;0,VLOOKUP($A351,'0.Productos'!$A$3:$GG$587,'0.Productos'!CR$1+1,0),"")</f>
        <v/>
      </c>
      <c r="BA351" s="133" t="str">
        <f>IF($A351&lt;&gt;0,VLOOKUP($A351,'0.Productos'!$A$3:$GG$587,'0.Productos'!CS$1+1,0),"")</f>
        <v/>
      </c>
      <c r="BB351" s="133" t="str">
        <f>IF($A351&lt;&gt;0,VLOOKUP($A351,'0.Productos'!$A$3:$GG$587,'0.Productos'!CT$1+1,0),"")</f>
        <v/>
      </c>
      <c r="BC351" s="133" t="str">
        <f>IF($A351&lt;&gt;0,VLOOKUP($A351,'0.Productos'!$A$3:$GG$587,'0.Productos'!CU$1+1,0),"")</f>
        <v/>
      </c>
      <c r="BD351" s="133" t="str">
        <f>IF($A351&lt;&gt;0,VLOOKUP($A351,'0.Productos'!$A$3:$GG$587,'0.Productos'!CV$1+1,0),"")</f>
        <v/>
      </c>
      <c r="BE351" s="133" t="str">
        <f>IF($A351&lt;&gt;0,VLOOKUP($A351,'0.Productos'!$A$3:$GG$587,'0.Productos'!CW$1+1,0),"")</f>
        <v/>
      </c>
      <c r="BF351" s="133" t="str">
        <f>IF($A351&lt;&gt;0,VLOOKUP($A351,'0.Productos'!$A$3:$GG$587,'0.Productos'!CX$1+1,0),"")</f>
        <v/>
      </c>
      <c r="BG351" s="133" t="str">
        <f>IF($A351&lt;&gt;0,VLOOKUP($A351,'0.Productos'!$A$3:$GG$587,'0.Productos'!CY$1+1,0),"")</f>
        <v/>
      </c>
      <c r="BH351" s="133" t="str">
        <f>IF($A351&lt;&gt;0,VLOOKUP($A351,'0.Productos'!$A$3:$GG$587,'0.Productos'!CZ$1+1,0),"")</f>
        <v/>
      </c>
      <c r="BI351" s="133" t="str">
        <f>IF($A351&lt;&gt;0,VLOOKUP($A351,'0.Productos'!$A$3:$GG$587,'0.Productos'!DA$1+1,0),"")</f>
        <v/>
      </c>
      <c r="BJ351" s="133" t="str">
        <f>IF($A351&lt;&gt;0,VLOOKUP($A351,'0.Productos'!$A$3:$GG$587,'0.Productos'!DB$1+1,0),"")</f>
        <v/>
      </c>
      <c r="BK351" s="133" t="str">
        <f>IF($A351&lt;&gt;0,VLOOKUP($A351,'0.Productos'!$A$3:$GG$587,'0.Productos'!DC$1+1,0),"")</f>
        <v/>
      </c>
      <c r="BL351" s="133" t="str">
        <f>IF($A351&lt;&gt;0,VLOOKUP($A351,'0.Productos'!$A$3:$GG$587,'0.Productos'!DD$1+1,0),"")</f>
        <v/>
      </c>
      <c r="BM351" s="133" t="str">
        <f>IF($A351&lt;&gt;0,VLOOKUP($A351,'0.Productos'!$A$3:$GG$587,'0.Productos'!DE$1+1,0),"")</f>
        <v/>
      </c>
      <c r="BN351" s="133" t="str">
        <f>IF($A351&lt;&gt;0,VLOOKUP($A351,'0.Productos'!$A$3:$GG$587,'0.Productos'!DF$1+1,0),"")</f>
        <v/>
      </c>
      <c r="BO351" s="133" t="str">
        <f>IF($A351&lt;&gt;0,VLOOKUP($A351,'0.Productos'!$A$3:$GG$587,'0.Productos'!DG$1+1,0),"")</f>
        <v/>
      </c>
      <c r="BP351" s="133" t="str">
        <f>IF($A351&lt;&gt;0,VLOOKUP($A351,'0.Productos'!$A$3:$GG$587,'0.Productos'!DH$1+1,0),"")</f>
        <v/>
      </c>
      <c r="BQ351" s="133" t="str">
        <f>IF($A351&lt;&gt;0,VLOOKUP($A351,'0.Productos'!$A$3:$GG$587,'0.Productos'!DI$1+1,0),"")</f>
        <v/>
      </c>
      <c r="BR351" s="133" t="str">
        <f>IF($A351&lt;&gt;0,VLOOKUP($A351,'0.Productos'!$A$3:$GG$587,'0.Productos'!DJ$1+1,0),"")</f>
        <v/>
      </c>
      <c r="BS351" s="133" t="str">
        <f>IF($A351&lt;&gt;0,VLOOKUP($A351,'0.Productos'!$A$3:$GG$587,'0.Productos'!DK$1+1,0),"")</f>
        <v/>
      </c>
      <c r="BT351" s="133" t="str">
        <f>IF($A351&lt;&gt;0,VLOOKUP($A351,'0.Productos'!$A$3:$GG$587,'0.Productos'!DL$1+1,0),"")</f>
        <v/>
      </c>
    </row>
    <row r="352" spans="1:72" x14ac:dyDescent="0.25">
      <c r="A352" s="17">
        <f>'0.Consolidado general'!A352</f>
        <v>0</v>
      </c>
      <c r="B352" s="133" t="str">
        <f>IF($A352&lt;&gt;0,VLOOKUP($A352,'0.Productos'!$A$3:$GG$587,'0.Productos'!AT$1+1,0),"")</f>
        <v/>
      </c>
      <c r="C352" s="133" t="str">
        <f>IF($A352&lt;&gt;0,VLOOKUP($A352,'0.Productos'!$A$3:$GG$587,'0.Productos'!AU$1+1,0),"")</f>
        <v/>
      </c>
      <c r="D352" s="133" t="str">
        <f>IF($A352&lt;&gt;0,VLOOKUP($A352,'0.Productos'!$A$3:$GG$587,'0.Productos'!AV$1+1,0),"")</f>
        <v/>
      </c>
      <c r="E352" s="133" t="str">
        <f>IF($A352&lt;&gt;0,VLOOKUP($A352,'0.Productos'!$A$3:$GG$587,'0.Productos'!AW$1+1,0),"")</f>
        <v/>
      </c>
      <c r="F352" s="133" t="str">
        <f>IF($A352&lt;&gt;0,VLOOKUP($A352,'0.Productos'!$A$3:$GG$587,'0.Productos'!AX$1+1,0),"")</f>
        <v/>
      </c>
      <c r="G352" s="133" t="str">
        <f>IF($A352&lt;&gt;0,VLOOKUP($A352,'0.Productos'!$A$3:$GG$587,'0.Productos'!AY$1+1,0),"")</f>
        <v/>
      </c>
      <c r="H352" s="133" t="str">
        <f>IF($A352&lt;&gt;0,VLOOKUP($A352,'0.Productos'!$A$3:$GG$587,'0.Productos'!AZ$1+1,0),"")</f>
        <v/>
      </c>
      <c r="I352" s="133" t="str">
        <f>IF($A352&lt;&gt;0,VLOOKUP($A352,'0.Productos'!$A$3:$GG$587,'0.Productos'!BA$1+1,0),"")</f>
        <v/>
      </c>
      <c r="J352" s="133" t="str">
        <f>IF($A352&lt;&gt;0,VLOOKUP($A352,'0.Productos'!$A$3:$GG$587,'0.Productos'!BB$1+1,0),"")</f>
        <v/>
      </c>
      <c r="K352" s="133" t="str">
        <f>IF($A352&lt;&gt;0,VLOOKUP($A352,'0.Productos'!$A$3:$GG$587,'0.Productos'!BC$1+1,0),"")</f>
        <v/>
      </c>
      <c r="L352" s="133" t="str">
        <f>IF($A352&lt;&gt;0,VLOOKUP($A352,'0.Productos'!$A$3:$GG$587,'0.Productos'!BD$1+1,0),"")</f>
        <v/>
      </c>
      <c r="M352" s="133" t="str">
        <f>IF($A352&lt;&gt;0,VLOOKUP($A352,'0.Productos'!$A$3:$GG$587,'0.Productos'!BE$1+1,0),"")</f>
        <v/>
      </c>
      <c r="N352" s="133" t="str">
        <f>IF($A352&lt;&gt;0,VLOOKUP($A352,'0.Productos'!$A$3:$GG$587,'0.Productos'!BF$1+1,0),"")</f>
        <v/>
      </c>
      <c r="O352" s="133" t="str">
        <f>IF($A352&lt;&gt;0,VLOOKUP($A352,'0.Productos'!$A$3:$GG$587,'0.Productos'!BG$1+1,0),"")</f>
        <v/>
      </c>
      <c r="P352" s="133" t="str">
        <f>IF($A352&lt;&gt;0,VLOOKUP($A352,'0.Productos'!$A$3:$GG$587,'0.Productos'!BH$1+1,0),"")</f>
        <v/>
      </c>
      <c r="Q352" s="133" t="str">
        <f>IF($A352&lt;&gt;0,VLOOKUP($A352,'0.Productos'!$A$3:$GG$587,'0.Productos'!BI$1+1,0),"")</f>
        <v/>
      </c>
      <c r="R352" s="133" t="str">
        <f>IF($A352&lt;&gt;0,VLOOKUP($A352,'0.Productos'!$A$3:$GG$587,'0.Productos'!BJ$1+1,0),"")</f>
        <v/>
      </c>
      <c r="S352" s="133" t="str">
        <f>IF($A352&lt;&gt;0,VLOOKUP($A352,'0.Productos'!$A$3:$GG$587,'0.Productos'!BK$1+1,0),"")</f>
        <v/>
      </c>
      <c r="T352" s="133" t="str">
        <f>IF($A352&lt;&gt;0,VLOOKUP($A352,'0.Productos'!$A$3:$GG$587,'0.Productos'!BL$1+1,0),"")</f>
        <v/>
      </c>
      <c r="U352" s="133" t="str">
        <f>IF($A352&lt;&gt;0,VLOOKUP($A352,'0.Productos'!$A$3:$GG$587,'0.Productos'!BM$1+1,0),"")</f>
        <v/>
      </c>
      <c r="V352" s="133" t="str">
        <f>IF($A352&lt;&gt;0,VLOOKUP($A352,'0.Productos'!$A$3:$GG$587,'0.Productos'!BN$1+1,0),"")</f>
        <v/>
      </c>
      <c r="W352" s="133" t="str">
        <f>IF($A352&lt;&gt;0,VLOOKUP($A352,'0.Productos'!$A$3:$GG$587,'0.Productos'!BO$1+1,0),"")</f>
        <v/>
      </c>
      <c r="X352" s="133" t="str">
        <f>IF($A352&lt;&gt;0,VLOOKUP($A352,'0.Productos'!$A$3:$GG$587,'0.Productos'!BP$1+1,0),"")</f>
        <v/>
      </c>
      <c r="Y352" s="133" t="str">
        <f>IF($A352&lt;&gt;0,VLOOKUP($A352,'0.Productos'!$A$3:$GG$587,'0.Productos'!BQ$1+1,0),"")</f>
        <v/>
      </c>
      <c r="Z352" s="133" t="str">
        <f>IF($A352&lt;&gt;0,VLOOKUP($A352,'0.Productos'!$A$3:$GG$587,'0.Productos'!BR$1+1,0),"")</f>
        <v/>
      </c>
      <c r="AA352" s="133" t="str">
        <f>IF($A352&lt;&gt;0,VLOOKUP($A352,'0.Productos'!$A$3:$GG$587,'0.Productos'!BS$1+1,0),"")</f>
        <v/>
      </c>
      <c r="AB352" s="133" t="str">
        <f>IF($A352&lt;&gt;0,VLOOKUP($A352,'0.Productos'!$A$3:$GG$587,'0.Productos'!BT$1+1,0),"")</f>
        <v/>
      </c>
      <c r="AC352" s="133" t="str">
        <f>IF($A352&lt;&gt;0,VLOOKUP($A352,'0.Productos'!$A$3:$GG$587,'0.Productos'!BU$1+1,0),"")</f>
        <v/>
      </c>
      <c r="AD352" s="133" t="str">
        <f>IF($A352&lt;&gt;0,VLOOKUP($A352,'0.Productos'!$A$3:$GG$587,'0.Productos'!BV$1+1,0),"")</f>
        <v/>
      </c>
      <c r="AE352" s="133" t="str">
        <f>IF($A352&lt;&gt;0,VLOOKUP($A352,'0.Productos'!$A$3:$GG$587,'0.Productos'!BW$1+1,0),"")</f>
        <v/>
      </c>
      <c r="AF352" s="133" t="str">
        <f>IF($A352&lt;&gt;0,VLOOKUP($A352,'0.Productos'!$A$3:$GG$587,'0.Productos'!BX$1+1,0),"")</f>
        <v/>
      </c>
      <c r="AG352" s="133" t="str">
        <f>IF($A352&lt;&gt;0,VLOOKUP($A352,'0.Productos'!$A$3:$GG$587,'0.Productos'!BY$1+1,0),"")</f>
        <v/>
      </c>
      <c r="AH352" s="133" t="str">
        <f>IF($A352&lt;&gt;0,VLOOKUP($A352,'0.Productos'!$A$3:$GG$587,'0.Productos'!BZ$1+1,0),"")</f>
        <v/>
      </c>
      <c r="AI352" s="133" t="str">
        <f>IF($A352&lt;&gt;0,VLOOKUP($A352,'0.Productos'!$A$3:$GG$587,'0.Productos'!CA$1+1,0),"")</f>
        <v/>
      </c>
      <c r="AJ352" s="133" t="str">
        <f>IF($A352&lt;&gt;0,VLOOKUP($A352,'0.Productos'!$A$3:$GG$587,'0.Productos'!CB$1+1,0),"")</f>
        <v/>
      </c>
      <c r="AK352" s="133" t="str">
        <f>IF($A352&lt;&gt;0,VLOOKUP($A352,'0.Productos'!$A$3:$GG$587,'0.Productos'!CC$1+1,0),"")</f>
        <v/>
      </c>
      <c r="AL352" s="133" t="str">
        <f>IF($A352&lt;&gt;0,VLOOKUP($A352,'0.Productos'!$A$3:$GG$587,'0.Productos'!CD$1+1,0),"")</f>
        <v/>
      </c>
      <c r="AM352" s="133" t="str">
        <f>IF($A352&lt;&gt;0,VLOOKUP($A352,'0.Productos'!$A$3:$GG$587,'0.Productos'!CE$1+1,0),"")</f>
        <v/>
      </c>
      <c r="AN352" s="133" t="str">
        <f>IF($A352&lt;&gt;0,VLOOKUP($A352,'0.Productos'!$A$3:$GG$587,'0.Productos'!CF$1+1,0),"")</f>
        <v/>
      </c>
      <c r="AO352" s="133" t="str">
        <f>IF($A352&lt;&gt;0,VLOOKUP($A352,'0.Productos'!$A$3:$GG$587,'0.Productos'!CG$1+1,0),"")</f>
        <v/>
      </c>
      <c r="AP352" s="133" t="str">
        <f>IF($A352&lt;&gt;0,VLOOKUP($A352,'0.Productos'!$A$3:$GG$587,'0.Productos'!CH$1+1,0),"")</f>
        <v/>
      </c>
      <c r="AQ352" s="133" t="str">
        <f>IF($A352&lt;&gt;0,VLOOKUP($A352,'0.Productos'!$A$3:$GG$587,'0.Productos'!CI$1+1,0),"")</f>
        <v/>
      </c>
      <c r="AR352" s="133" t="str">
        <f>IF($A352&lt;&gt;0,VLOOKUP($A352,'0.Productos'!$A$3:$GG$587,'0.Productos'!CJ$1+1,0),"")</f>
        <v/>
      </c>
      <c r="AS352" s="133" t="str">
        <f>IF($A352&lt;&gt;0,VLOOKUP($A352,'0.Productos'!$A$3:$GG$587,'0.Productos'!CK$1+1,0),"")</f>
        <v/>
      </c>
      <c r="AT352" s="133" t="str">
        <f>IF($A352&lt;&gt;0,VLOOKUP($A352,'0.Productos'!$A$3:$GG$587,'0.Productos'!CL$1+1,0),"")</f>
        <v/>
      </c>
      <c r="AU352" s="133" t="str">
        <f>IF($A352&lt;&gt;0,VLOOKUP($A352,'0.Productos'!$A$3:$GG$587,'0.Productos'!CM$1+1,0),"")</f>
        <v/>
      </c>
      <c r="AV352" s="133" t="str">
        <f>IF($A352&lt;&gt;0,VLOOKUP($A352,'0.Productos'!$A$3:$GG$587,'0.Productos'!CN$1+1,0),"")</f>
        <v/>
      </c>
      <c r="AW352" s="133" t="str">
        <f>IF($A352&lt;&gt;0,VLOOKUP($A352,'0.Productos'!$A$3:$GG$587,'0.Productos'!CO$1+1,0),"")</f>
        <v/>
      </c>
      <c r="AX352" s="133" t="str">
        <f>IF($A352&lt;&gt;0,VLOOKUP($A352,'0.Productos'!$A$3:$GG$587,'0.Productos'!CP$1+1,0),"")</f>
        <v/>
      </c>
      <c r="AY352" s="133" t="str">
        <f>IF($A352&lt;&gt;0,VLOOKUP($A352,'0.Productos'!$A$3:$GG$587,'0.Productos'!CQ$1+1,0),"")</f>
        <v/>
      </c>
      <c r="AZ352" s="133" t="str">
        <f>IF($A352&lt;&gt;0,VLOOKUP($A352,'0.Productos'!$A$3:$GG$587,'0.Productos'!CR$1+1,0),"")</f>
        <v/>
      </c>
      <c r="BA352" s="133" t="str">
        <f>IF($A352&lt;&gt;0,VLOOKUP($A352,'0.Productos'!$A$3:$GG$587,'0.Productos'!CS$1+1,0),"")</f>
        <v/>
      </c>
      <c r="BB352" s="133" t="str">
        <f>IF($A352&lt;&gt;0,VLOOKUP($A352,'0.Productos'!$A$3:$GG$587,'0.Productos'!CT$1+1,0),"")</f>
        <v/>
      </c>
      <c r="BC352" s="133" t="str">
        <f>IF($A352&lt;&gt;0,VLOOKUP($A352,'0.Productos'!$A$3:$GG$587,'0.Productos'!CU$1+1,0),"")</f>
        <v/>
      </c>
      <c r="BD352" s="133" t="str">
        <f>IF($A352&lt;&gt;0,VLOOKUP($A352,'0.Productos'!$A$3:$GG$587,'0.Productos'!CV$1+1,0),"")</f>
        <v/>
      </c>
      <c r="BE352" s="133" t="str">
        <f>IF($A352&lt;&gt;0,VLOOKUP($A352,'0.Productos'!$A$3:$GG$587,'0.Productos'!CW$1+1,0),"")</f>
        <v/>
      </c>
      <c r="BF352" s="133" t="str">
        <f>IF($A352&lt;&gt;0,VLOOKUP($A352,'0.Productos'!$A$3:$GG$587,'0.Productos'!CX$1+1,0),"")</f>
        <v/>
      </c>
      <c r="BG352" s="133" t="str">
        <f>IF($A352&lt;&gt;0,VLOOKUP($A352,'0.Productos'!$A$3:$GG$587,'0.Productos'!CY$1+1,0),"")</f>
        <v/>
      </c>
      <c r="BH352" s="133" t="str">
        <f>IF($A352&lt;&gt;0,VLOOKUP($A352,'0.Productos'!$A$3:$GG$587,'0.Productos'!CZ$1+1,0),"")</f>
        <v/>
      </c>
      <c r="BI352" s="133" t="str">
        <f>IF($A352&lt;&gt;0,VLOOKUP($A352,'0.Productos'!$A$3:$GG$587,'0.Productos'!DA$1+1,0),"")</f>
        <v/>
      </c>
      <c r="BJ352" s="133" t="str">
        <f>IF($A352&lt;&gt;0,VLOOKUP($A352,'0.Productos'!$A$3:$GG$587,'0.Productos'!DB$1+1,0),"")</f>
        <v/>
      </c>
      <c r="BK352" s="133" t="str">
        <f>IF($A352&lt;&gt;0,VLOOKUP($A352,'0.Productos'!$A$3:$GG$587,'0.Productos'!DC$1+1,0),"")</f>
        <v/>
      </c>
      <c r="BL352" s="133" t="str">
        <f>IF($A352&lt;&gt;0,VLOOKUP($A352,'0.Productos'!$A$3:$GG$587,'0.Productos'!DD$1+1,0),"")</f>
        <v/>
      </c>
      <c r="BM352" s="133" t="str">
        <f>IF($A352&lt;&gt;0,VLOOKUP($A352,'0.Productos'!$A$3:$GG$587,'0.Productos'!DE$1+1,0),"")</f>
        <v/>
      </c>
      <c r="BN352" s="133" t="str">
        <f>IF($A352&lt;&gt;0,VLOOKUP($A352,'0.Productos'!$A$3:$GG$587,'0.Productos'!DF$1+1,0),"")</f>
        <v/>
      </c>
      <c r="BO352" s="133" t="str">
        <f>IF($A352&lt;&gt;0,VLOOKUP($A352,'0.Productos'!$A$3:$GG$587,'0.Productos'!DG$1+1,0),"")</f>
        <v/>
      </c>
      <c r="BP352" s="133" t="str">
        <f>IF($A352&lt;&gt;0,VLOOKUP($A352,'0.Productos'!$A$3:$GG$587,'0.Productos'!DH$1+1,0),"")</f>
        <v/>
      </c>
      <c r="BQ352" s="133" t="str">
        <f>IF($A352&lt;&gt;0,VLOOKUP($A352,'0.Productos'!$A$3:$GG$587,'0.Productos'!DI$1+1,0),"")</f>
        <v/>
      </c>
      <c r="BR352" s="133" t="str">
        <f>IF($A352&lt;&gt;0,VLOOKUP($A352,'0.Productos'!$A$3:$GG$587,'0.Productos'!DJ$1+1,0),"")</f>
        <v/>
      </c>
      <c r="BS352" s="133" t="str">
        <f>IF($A352&lt;&gt;0,VLOOKUP($A352,'0.Productos'!$A$3:$GG$587,'0.Productos'!DK$1+1,0),"")</f>
        <v/>
      </c>
      <c r="BT352" s="133" t="str">
        <f>IF($A352&lt;&gt;0,VLOOKUP($A352,'0.Productos'!$A$3:$GG$587,'0.Productos'!DL$1+1,0),"")</f>
        <v/>
      </c>
    </row>
    <row r="353" spans="1:72" x14ac:dyDescent="0.25">
      <c r="A353" s="17">
        <f>'0.Consolidado general'!A353</f>
        <v>0</v>
      </c>
      <c r="B353" s="133" t="str">
        <f>IF($A353&lt;&gt;0,VLOOKUP($A353,'0.Productos'!$A$3:$GG$587,'0.Productos'!AT$1+1,0),"")</f>
        <v/>
      </c>
      <c r="C353" s="133" t="str">
        <f>IF($A353&lt;&gt;0,VLOOKUP($A353,'0.Productos'!$A$3:$GG$587,'0.Productos'!AU$1+1,0),"")</f>
        <v/>
      </c>
      <c r="D353" s="133" t="str">
        <f>IF($A353&lt;&gt;0,VLOOKUP($A353,'0.Productos'!$A$3:$GG$587,'0.Productos'!AV$1+1,0),"")</f>
        <v/>
      </c>
      <c r="E353" s="133" t="str">
        <f>IF($A353&lt;&gt;0,VLOOKUP($A353,'0.Productos'!$A$3:$GG$587,'0.Productos'!AW$1+1,0),"")</f>
        <v/>
      </c>
      <c r="F353" s="133" t="str">
        <f>IF($A353&lt;&gt;0,VLOOKUP($A353,'0.Productos'!$A$3:$GG$587,'0.Productos'!AX$1+1,0),"")</f>
        <v/>
      </c>
      <c r="G353" s="133" t="str">
        <f>IF($A353&lt;&gt;0,VLOOKUP($A353,'0.Productos'!$A$3:$GG$587,'0.Productos'!AY$1+1,0),"")</f>
        <v/>
      </c>
      <c r="H353" s="133" t="str">
        <f>IF($A353&lt;&gt;0,VLOOKUP($A353,'0.Productos'!$A$3:$GG$587,'0.Productos'!AZ$1+1,0),"")</f>
        <v/>
      </c>
      <c r="I353" s="133" t="str">
        <f>IF($A353&lt;&gt;0,VLOOKUP($A353,'0.Productos'!$A$3:$GG$587,'0.Productos'!BA$1+1,0),"")</f>
        <v/>
      </c>
      <c r="J353" s="133" t="str">
        <f>IF($A353&lt;&gt;0,VLOOKUP($A353,'0.Productos'!$A$3:$GG$587,'0.Productos'!BB$1+1,0),"")</f>
        <v/>
      </c>
      <c r="K353" s="133" t="str">
        <f>IF($A353&lt;&gt;0,VLOOKUP($A353,'0.Productos'!$A$3:$GG$587,'0.Productos'!BC$1+1,0),"")</f>
        <v/>
      </c>
      <c r="L353" s="133" t="str">
        <f>IF($A353&lt;&gt;0,VLOOKUP($A353,'0.Productos'!$A$3:$GG$587,'0.Productos'!BD$1+1,0),"")</f>
        <v/>
      </c>
      <c r="M353" s="133" t="str">
        <f>IF($A353&lt;&gt;0,VLOOKUP($A353,'0.Productos'!$A$3:$GG$587,'0.Productos'!BE$1+1,0),"")</f>
        <v/>
      </c>
      <c r="N353" s="133" t="str">
        <f>IF($A353&lt;&gt;0,VLOOKUP($A353,'0.Productos'!$A$3:$GG$587,'0.Productos'!BF$1+1,0),"")</f>
        <v/>
      </c>
      <c r="O353" s="133" t="str">
        <f>IF($A353&lt;&gt;0,VLOOKUP($A353,'0.Productos'!$A$3:$GG$587,'0.Productos'!BG$1+1,0),"")</f>
        <v/>
      </c>
      <c r="P353" s="133" t="str">
        <f>IF($A353&lt;&gt;0,VLOOKUP($A353,'0.Productos'!$A$3:$GG$587,'0.Productos'!BH$1+1,0),"")</f>
        <v/>
      </c>
      <c r="Q353" s="133" t="str">
        <f>IF($A353&lt;&gt;0,VLOOKUP($A353,'0.Productos'!$A$3:$GG$587,'0.Productos'!BI$1+1,0),"")</f>
        <v/>
      </c>
      <c r="R353" s="133" t="str">
        <f>IF($A353&lt;&gt;0,VLOOKUP($A353,'0.Productos'!$A$3:$GG$587,'0.Productos'!BJ$1+1,0),"")</f>
        <v/>
      </c>
      <c r="S353" s="133" t="str">
        <f>IF($A353&lt;&gt;0,VLOOKUP($A353,'0.Productos'!$A$3:$GG$587,'0.Productos'!BK$1+1,0),"")</f>
        <v/>
      </c>
      <c r="T353" s="133" t="str">
        <f>IF($A353&lt;&gt;0,VLOOKUP($A353,'0.Productos'!$A$3:$GG$587,'0.Productos'!BL$1+1,0),"")</f>
        <v/>
      </c>
      <c r="U353" s="133" t="str">
        <f>IF($A353&lt;&gt;0,VLOOKUP($A353,'0.Productos'!$A$3:$GG$587,'0.Productos'!BM$1+1,0),"")</f>
        <v/>
      </c>
      <c r="V353" s="133" t="str">
        <f>IF($A353&lt;&gt;0,VLOOKUP($A353,'0.Productos'!$A$3:$GG$587,'0.Productos'!BN$1+1,0),"")</f>
        <v/>
      </c>
      <c r="W353" s="133" t="str">
        <f>IF($A353&lt;&gt;0,VLOOKUP($A353,'0.Productos'!$A$3:$GG$587,'0.Productos'!BO$1+1,0),"")</f>
        <v/>
      </c>
      <c r="X353" s="133" t="str">
        <f>IF($A353&lt;&gt;0,VLOOKUP($A353,'0.Productos'!$A$3:$GG$587,'0.Productos'!BP$1+1,0),"")</f>
        <v/>
      </c>
      <c r="Y353" s="133" t="str">
        <f>IF($A353&lt;&gt;0,VLOOKUP($A353,'0.Productos'!$A$3:$GG$587,'0.Productos'!BQ$1+1,0),"")</f>
        <v/>
      </c>
      <c r="Z353" s="133" t="str">
        <f>IF($A353&lt;&gt;0,VLOOKUP($A353,'0.Productos'!$A$3:$GG$587,'0.Productos'!BR$1+1,0),"")</f>
        <v/>
      </c>
      <c r="AA353" s="133" t="str">
        <f>IF($A353&lt;&gt;0,VLOOKUP($A353,'0.Productos'!$A$3:$GG$587,'0.Productos'!BS$1+1,0),"")</f>
        <v/>
      </c>
      <c r="AB353" s="133" t="str">
        <f>IF($A353&lt;&gt;0,VLOOKUP($A353,'0.Productos'!$A$3:$GG$587,'0.Productos'!BT$1+1,0),"")</f>
        <v/>
      </c>
      <c r="AC353" s="133" t="str">
        <f>IF($A353&lt;&gt;0,VLOOKUP($A353,'0.Productos'!$A$3:$GG$587,'0.Productos'!BU$1+1,0),"")</f>
        <v/>
      </c>
      <c r="AD353" s="133" t="str">
        <f>IF($A353&lt;&gt;0,VLOOKUP($A353,'0.Productos'!$A$3:$GG$587,'0.Productos'!BV$1+1,0),"")</f>
        <v/>
      </c>
      <c r="AE353" s="133" t="str">
        <f>IF($A353&lt;&gt;0,VLOOKUP($A353,'0.Productos'!$A$3:$GG$587,'0.Productos'!BW$1+1,0),"")</f>
        <v/>
      </c>
      <c r="AF353" s="133" t="str">
        <f>IF($A353&lt;&gt;0,VLOOKUP($A353,'0.Productos'!$A$3:$GG$587,'0.Productos'!BX$1+1,0),"")</f>
        <v/>
      </c>
      <c r="AG353" s="133" t="str">
        <f>IF($A353&lt;&gt;0,VLOOKUP($A353,'0.Productos'!$A$3:$GG$587,'0.Productos'!BY$1+1,0),"")</f>
        <v/>
      </c>
      <c r="AH353" s="133" t="str">
        <f>IF($A353&lt;&gt;0,VLOOKUP($A353,'0.Productos'!$A$3:$GG$587,'0.Productos'!BZ$1+1,0),"")</f>
        <v/>
      </c>
      <c r="AI353" s="133" t="str">
        <f>IF($A353&lt;&gt;0,VLOOKUP($A353,'0.Productos'!$A$3:$GG$587,'0.Productos'!CA$1+1,0),"")</f>
        <v/>
      </c>
      <c r="AJ353" s="133" t="str">
        <f>IF($A353&lt;&gt;0,VLOOKUP($A353,'0.Productos'!$A$3:$GG$587,'0.Productos'!CB$1+1,0),"")</f>
        <v/>
      </c>
      <c r="AK353" s="133" t="str">
        <f>IF($A353&lt;&gt;0,VLOOKUP($A353,'0.Productos'!$A$3:$GG$587,'0.Productos'!CC$1+1,0),"")</f>
        <v/>
      </c>
      <c r="AL353" s="133" t="str">
        <f>IF($A353&lt;&gt;0,VLOOKUP($A353,'0.Productos'!$A$3:$GG$587,'0.Productos'!CD$1+1,0),"")</f>
        <v/>
      </c>
      <c r="AM353" s="133" t="str">
        <f>IF($A353&lt;&gt;0,VLOOKUP($A353,'0.Productos'!$A$3:$GG$587,'0.Productos'!CE$1+1,0),"")</f>
        <v/>
      </c>
      <c r="AN353" s="133" t="str">
        <f>IF($A353&lt;&gt;0,VLOOKUP($A353,'0.Productos'!$A$3:$GG$587,'0.Productos'!CF$1+1,0),"")</f>
        <v/>
      </c>
      <c r="AO353" s="133" t="str">
        <f>IF($A353&lt;&gt;0,VLOOKUP($A353,'0.Productos'!$A$3:$GG$587,'0.Productos'!CG$1+1,0),"")</f>
        <v/>
      </c>
      <c r="AP353" s="133" t="str">
        <f>IF($A353&lt;&gt;0,VLOOKUP($A353,'0.Productos'!$A$3:$GG$587,'0.Productos'!CH$1+1,0),"")</f>
        <v/>
      </c>
      <c r="AQ353" s="133" t="str">
        <f>IF($A353&lt;&gt;0,VLOOKUP($A353,'0.Productos'!$A$3:$GG$587,'0.Productos'!CI$1+1,0),"")</f>
        <v/>
      </c>
      <c r="AR353" s="133" t="str">
        <f>IF($A353&lt;&gt;0,VLOOKUP($A353,'0.Productos'!$A$3:$GG$587,'0.Productos'!CJ$1+1,0),"")</f>
        <v/>
      </c>
      <c r="AS353" s="133" t="str">
        <f>IF($A353&lt;&gt;0,VLOOKUP($A353,'0.Productos'!$A$3:$GG$587,'0.Productos'!CK$1+1,0),"")</f>
        <v/>
      </c>
      <c r="AT353" s="133" t="str">
        <f>IF($A353&lt;&gt;0,VLOOKUP($A353,'0.Productos'!$A$3:$GG$587,'0.Productos'!CL$1+1,0),"")</f>
        <v/>
      </c>
      <c r="AU353" s="133" t="str">
        <f>IF($A353&lt;&gt;0,VLOOKUP($A353,'0.Productos'!$A$3:$GG$587,'0.Productos'!CM$1+1,0),"")</f>
        <v/>
      </c>
      <c r="AV353" s="133" t="str">
        <f>IF($A353&lt;&gt;0,VLOOKUP($A353,'0.Productos'!$A$3:$GG$587,'0.Productos'!CN$1+1,0),"")</f>
        <v/>
      </c>
      <c r="AW353" s="133" t="str">
        <f>IF($A353&lt;&gt;0,VLOOKUP($A353,'0.Productos'!$A$3:$GG$587,'0.Productos'!CO$1+1,0),"")</f>
        <v/>
      </c>
      <c r="AX353" s="133" t="str">
        <f>IF($A353&lt;&gt;0,VLOOKUP($A353,'0.Productos'!$A$3:$GG$587,'0.Productos'!CP$1+1,0),"")</f>
        <v/>
      </c>
      <c r="AY353" s="133" t="str">
        <f>IF($A353&lt;&gt;0,VLOOKUP($A353,'0.Productos'!$A$3:$GG$587,'0.Productos'!CQ$1+1,0),"")</f>
        <v/>
      </c>
      <c r="AZ353" s="133" t="str">
        <f>IF($A353&lt;&gt;0,VLOOKUP($A353,'0.Productos'!$A$3:$GG$587,'0.Productos'!CR$1+1,0),"")</f>
        <v/>
      </c>
      <c r="BA353" s="133" t="str">
        <f>IF($A353&lt;&gt;0,VLOOKUP($A353,'0.Productos'!$A$3:$GG$587,'0.Productos'!CS$1+1,0),"")</f>
        <v/>
      </c>
      <c r="BB353" s="133" t="str">
        <f>IF($A353&lt;&gt;0,VLOOKUP($A353,'0.Productos'!$A$3:$GG$587,'0.Productos'!CT$1+1,0),"")</f>
        <v/>
      </c>
      <c r="BC353" s="133" t="str">
        <f>IF($A353&lt;&gt;0,VLOOKUP($A353,'0.Productos'!$A$3:$GG$587,'0.Productos'!CU$1+1,0),"")</f>
        <v/>
      </c>
      <c r="BD353" s="133" t="str">
        <f>IF($A353&lt;&gt;0,VLOOKUP($A353,'0.Productos'!$A$3:$GG$587,'0.Productos'!CV$1+1,0),"")</f>
        <v/>
      </c>
      <c r="BE353" s="133" t="str">
        <f>IF($A353&lt;&gt;0,VLOOKUP($A353,'0.Productos'!$A$3:$GG$587,'0.Productos'!CW$1+1,0),"")</f>
        <v/>
      </c>
      <c r="BF353" s="133" t="str">
        <f>IF($A353&lt;&gt;0,VLOOKUP($A353,'0.Productos'!$A$3:$GG$587,'0.Productos'!CX$1+1,0),"")</f>
        <v/>
      </c>
      <c r="BG353" s="133" t="str">
        <f>IF($A353&lt;&gt;0,VLOOKUP($A353,'0.Productos'!$A$3:$GG$587,'0.Productos'!CY$1+1,0),"")</f>
        <v/>
      </c>
      <c r="BH353" s="133" t="str">
        <f>IF($A353&lt;&gt;0,VLOOKUP($A353,'0.Productos'!$A$3:$GG$587,'0.Productos'!CZ$1+1,0),"")</f>
        <v/>
      </c>
      <c r="BI353" s="133" t="str">
        <f>IF($A353&lt;&gt;0,VLOOKUP($A353,'0.Productos'!$A$3:$GG$587,'0.Productos'!DA$1+1,0),"")</f>
        <v/>
      </c>
      <c r="BJ353" s="133" t="str">
        <f>IF($A353&lt;&gt;0,VLOOKUP($A353,'0.Productos'!$A$3:$GG$587,'0.Productos'!DB$1+1,0),"")</f>
        <v/>
      </c>
      <c r="BK353" s="133" t="str">
        <f>IF($A353&lt;&gt;0,VLOOKUP($A353,'0.Productos'!$A$3:$GG$587,'0.Productos'!DC$1+1,0),"")</f>
        <v/>
      </c>
      <c r="BL353" s="133" t="str">
        <f>IF($A353&lt;&gt;0,VLOOKUP($A353,'0.Productos'!$A$3:$GG$587,'0.Productos'!DD$1+1,0),"")</f>
        <v/>
      </c>
      <c r="BM353" s="133" t="str">
        <f>IF($A353&lt;&gt;0,VLOOKUP($A353,'0.Productos'!$A$3:$GG$587,'0.Productos'!DE$1+1,0),"")</f>
        <v/>
      </c>
      <c r="BN353" s="133" t="str">
        <f>IF($A353&lt;&gt;0,VLOOKUP($A353,'0.Productos'!$A$3:$GG$587,'0.Productos'!DF$1+1,0),"")</f>
        <v/>
      </c>
      <c r="BO353" s="133" t="str">
        <f>IF($A353&lt;&gt;0,VLOOKUP($A353,'0.Productos'!$A$3:$GG$587,'0.Productos'!DG$1+1,0),"")</f>
        <v/>
      </c>
      <c r="BP353" s="133" t="str">
        <f>IF($A353&lt;&gt;0,VLOOKUP($A353,'0.Productos'!$A$3:$GG$587,'0.Productos'!DH$1+1,0),"")</f>
        <v/>
      </c>
      <c r="BQ353" s="133" t="str">
        <f>IF($A353&lt;&gt;0,VLOOKUP($A353,'0.Productos'!$A$3:$GG$587,'0.Productos'!DI$1+1,0),"")</f>
        <v/>
      </c>
      <c r="BR353" s="133" t="str">
        <f>IF($A353&lt;&gt;0,VLOOKUP($A353,'0.Productos'!$A$3:$GG$587,'0.Productos'!DJ$1+1,0),"")</f>
        <v/>
      </c>
      <c r="BS353" s="133" t="str">
        <f>IF($A353&lt;&gt;0,VLOOKUP($A353,'0.Productos'!$A$3:$GG$587,'0.Productos'!DK$1+1,0),"")</f>
        <v/>
      </c>
      <c r="BT353" s="133" t="str">
        <f>IF($A353&lt;&gt;0,VLOOKUP($A353,'0.Productos'!$A$3:$GG$587,'0.Productos'!DL$1+1,0),"")</f>
        <v/>
      </c>
    </row>
    <row r="354" spans="1:72" x14ac:dyDescent="0.25">
      <c r="A354" s="17">
        <f>'0.Consolidado general'!A354</f>
        <v>0</v>
      </c>
      <c r="B354" s="133" t="str">
        <f>IF($A354&lt;&gt;0,VLOOKUP($A354,'0.Productos'!$A$3:$GG$587,'0.Productos'!AT$1+1,0),"")</f>
        <v/>
      </c>
      <c r="C354" s="133" t="str">
        <f>IF($A354&lt;&gt;0,VLOOKUP($A354,'0.Productos'!$A$3:$GG$587,'0.Productos'!AU$1+1,0),"")</f>
        <v/>
      </c>
      <c r="D354" s="133" t="str">
        <f>IF($A354&lt;&gt;0,VLOOKUP($A354,'0.Productos'!$A$3:$GG$587,'0.Productos'!AV$1+1,0),"")</f>
        <v/>
      </c>
      <c r="E354" s="133" t="str">
        <f>IF($A354&lt;&gt;0,VLOOKUP($A354,'0.Productos'!$A$3:$GG$587,'0.Productos'!AW$1+1,0),"")</f>
        <v/>
      </c>
      <c r="F354" s="133" t="str">
        <f>IF($A354&lt;&gt;0,VLOOKUP($A354,'0.Productos'!$A$3:$GG$587,'0.Productos'!AX$1+1,0),"")</f>
        <v/>
      </c>
      <c r="G354" s="133" t="str">
        <f>IF($A354&lt;&gt;0,VLOOKUP($A354,'0.Productos'!$A$3:$GG$587,'0.Productos'!AY$1+1,0),"")</f>
        <v/>
      </c>
      <c r="H354" s="133" t="str">
        <f>IF($A354&lt;&gt;0,VLOOKUP($A354,'0.Productos'!$A$3:$GG$587,'0.Productos'!AZ$1+1,0),"")</f>
        <v/>
      </c>
      <c r="I354" s="133" t="str">
        <f>IF($A354&lt;&gt;0,VLOOKUP($A354,'0.Productos'!$A$3:$GG$587,'0.Productos'!BA$1+1,0),"")</f>
        <v/>
      </c>
      <c r="J354" s="133" t="str">
        <f>IF($A354&lt;&gt;0,VLOOKUP($A354,'0.Productos'!$A$3:$GG$587,'0.Productos'!BB$1+1,0),"")</f>
        <v/>
      </c>
      <c r="K354" s="133" t="str">
        <f>IF($A354&lt;&gt;0,VLOOKUP($A354,'0.Productos'!$A$3:$GG$587,'0.Productos'!BC$1+1,0),"")</f>
        <v/>
      </c>
      <c r="L354" s="133" t="str">
        <f>IF($A354&lt;&gt;0,VLOOKUP($A354,'0.Productos'!$A$3:$GG$587,'0.Productos'!BD$1+1,0),"")</f>
        <v/>
      </c>
      <c r="M354" s="133" t="str">
        <f>IF($A354&lt;&gt;0,VLOOKUP($A354,'0.Productos'!$A$3:$GG$587,'0.Productos'!BE$1+1,0),"")</f>
        <v/>
      </c>
      <c r="N354" s="133" t="str">
        <f>IF($A354&lt;&gt;0,VLOOKUP($A354,'0.Productos'!$A$3:$GG$587,'0.Productos'!BF$1+1,0),"")</f>
        <v/>
      </c>
      <c r="O354" s="133" t="str">
        <f>IF($A354&lt;&gt;0,VLOOKUP($A354,'0.Productos'!$A$3:$GG$587,'0.Productos'!BG$1+1,0),"")</f>
        <v/>
      </c>
      <c r="P354" s="133" t="str">
        <f>IF($A354&lt;&gt;0,VLOOKUP($A354,'0.Productos'!$A$3:$GG$587,'0.Productos'!BH$1+1,0),"")</f>
        <v/>
      </c>
      <c r="Q354" s="133" t="str">
        <f>IF($A354&lt;&gt;0,VLOOKUP($A354,'0.Productos'!$A$3:$GG$587,'0.Productos'!BI$1+1,0),"")</f>
        <v/>
      </c>
      <c r="R354" s="133" t="str">
        <f>IF($A354&lt;&gt;0,VLOOKUP($A354,'0.Productos'!$A$3:$GG$587,'0.Productos'!BJ$1+1,0),"")</f>
        <v/>
      </c>
      <c r="S354" s="133" t="str">
        <f>IF($A354&lt;&gt;0,VLOOKUP($A354,'0.Productos'!$A$3:$GG$587,'0.Productos'!BK$1+1,0),"")</f>
        <v/>
      </c>
      <c r="T354" s="133" t="str">
        <f>IF($A354&lt;&gt;0,VLOOKUP($A354,'0.Productos'!$A$3:$GG$587,'0.Productos'!BL$1+1,0),"")</f>
        <v/>
      </c>
      <c r="U354" s="133" t="str">
        <f>IF($A354&lt;&gt;0,VLOOKUP($A354,'0.Productos'!$A$3:$GG$587,'0.Productos'!BM$1+1,0),"")</f>
        <v/>
      </c>
      <c r="V354" s="133" t="str">
        <f>IF($A354&lt;&gt;0,VLOOKUP($A354,'0.Productos'!$A$3:$GG$587,'0.Productos'!BN$1+1,0),"")</f>
        <v/>
      </c>
      <c r="W354" s="133" t="str">
        <f>IF($A354&lt;&gt;0,VLOOKUP($A354,'0.Productos'!$A$3:$GG$587,'0.Productos'!BO$1+1,0),"")</f>
        <v/>
      </c>
      <c r="X354" s="133" t="str">
        <f>IF($A354&lt;&gt;0,VLOOKUP($A354,'0.Productos'!$A$3:$GG$587,'0.Productos'!BP$1+1,0),"")</f>
        <v/>
      </c>
      <c r="Y354" s="133" t="str">
        <f>IF($A354&lt;&gt;0,VLOOKUP($A354,'0.Productos'!$A$3:$GG$587,'0.Productos'!BQ$1+1,0),"")</f>
        <v/>
      </c>
      <c r="Z354" s="133" t="str">
        <f>IF($A354&lt;&gt;0,VLOOKUP($A354,'0.Productos'!$A$3:$GG$587,'0.Productos'!BR$1+1,0),"")</f>
        <v/>
      </c>
      <c r="AA354" s="133" t="str">
        <f>IF($A354&lt;&gt;0,VLOOKUP($A354,'0.Productos'!$A$3:$GG$587,'0.Productos'!BS$1+1,0),"")</f>
        <v/>
      </c>
      <c r="AB354" s="133" t="str">
        <f>IF($A354&lt;&gt;0,VLOOKUP($A354,'0.Productos'!$A$3:$GG$587,'0.Productos'!BT$1+1,0),"")</f>
        <v/>
      </c>
      <c r="AC354" s="133" t="str">
        <f>IF($A354&lt;&gt;0,VLOOKUP($A354,'0.Productos'!$A$3:$GG$587,'0.Productos'!BU$1+1,0),"")</f>
        <v/>
      </c>
      <c r="AD354" s="133" t="str">
        <f>IF($A354&lt;&gt;0,VLOOKUP($A354,'0.Productos'!$A$3:$GG$587,'0.Productos'!BV$1+1,0),"")</f>
        <v/>
      </c>
      <c r="AE354" s="133" t="str">
        <f>IF($A354&lt;&gt;0,VLOOKUP($A354,'0.Productos'!$A$3:$GG$587,'0.Productos'!BW$1+1,0),"")</f>
        <v/>
      </c>
      <c r="AF354" s="133" t="str">
        <f>IF($A354&lt;&gt;0,VLOOKUP($A354,'0.Productos'!$A$3:$GG$587,'0.Productos'!BX$1+1,0),"")</f>
        <v/>
      </c>
      <c r="AG354" s="133" t="str">
        <f>IF($A354&lt;&gt;0,VLOOKUP($A354,'0.Productos'!$A$3:$GG$587,'0.Productos'!BY$1+1,0),"")</f>
        <v/>
      </c>
      <c r="AH354" s="133" t="str">
        <f>IF($A354&lt;&gt;0,VLOOKUP($A354,'0.Productos'!$A$3:$GG$587,'0.Productos'!BZ$1+1,0),"")</f>
        <v/>
      </c>
      <c r="AI354" s="133" t="str">
        <f>IF($A354&lt;&gt;0,VLOOKUP($A354,'0.Productos'!$A$3:$GG$587,'0.Productos'!CA$1+1,0),"")</f>
        <v/>
      </c>
      <c r="AJ354" s="133" t="str">
        <f>IF($A354&lt;&gt;0,VLOOKUP($A354,'0.Productos'!$A$3:$GG$587,'0.Productos'!CB$1+1,0),"")</f>
        <v/>
      </c>
      <c r="AK354" s="133" t="str">
        <f>IF($A354&lt;&gt;0,VLOOKUP($A354,'0.Productos'!$A$3:$GG$587,'0.Productos'!CC$1+1,0),"")</f>
        <v/>
      </c>
      <c r="AL354" s="133" t="str">
        <f>IF($A354&lt;&gt;0,VLOOKUP($A354,'0.Productos'!$A$3:$GG$587,'0.Productos'!CD$1+1,0),"")</f>
        <v/>
      </c>
      <c r="AM354" s="133" t="str">
        <f>IF($A354&lt;&gt;0,VLOOKUP($A354,'0.Productos'!$A$3:$GG$587,'0.Productos'!CE$1+1,0),"")</f>
        <v/>
      </c>
      <c r="AN354" s="133" t="str">
        <f>IF($A354&lt;&gt;0,VLOOKUP($A354,'0.Productos'!$A$3:$GG$587,'0.Productos'!CF$1+1,0),"")</f>
        <v/>
      </c>
      <c r="AO354" s="133" t="str">
        <f>IF($A354&lt;&gt;0,VLOOKUP($A354,'0.Productos'!$A$3:$GG$587,'0.Productos'!CG$1+1,0),"")</f>
        <v/>
      </c>
      <c r="AP354" s="133" t="str">
        <f>IF($A354&lt;&gt;0,VLOOKUP($A354,'0.Productos'!$A$3:$GG$587,'0.Productos'!CH$1+1,0),"")</f>
        <v/>
      </c>
      <c r="AQ354" s="133" t="str">
        <f>IF($A354&lt;&gt;0,VLOOKUP($A354,'0.Productos'!$A$3:$GG$587,'0.Productos'!CI$1+1,0),"")</f>
        <v/>
      </c>
      <c r="AR354" s="133" t="str">
        <f>IF($A354&lt;&gt;0,VLOOKUP($A354,'0.Productos'!$A$3:$GG$587,'0.Productos'!CJ$1+1,0),"")</f>
        <v/>
      </c>
      <c r="AS354" s="133" t="str">
        <f>IF($A354&lt;&gt;0,VLOOKUP($A354,'0.Productos'!$A$3:$GG$587,'0.Productos'!CK$1+1,0),"")</f>
        <v/>
      </c>
      <c r="AT354" s="133" t="str">
        <f>IF($A354&lt;&gt;0,VLOOKUP($A354,'0.Productos'!$A$3:$GG$587,'0.Productos'!CL$1+1,0),"")</f>
        <v/>
      </c>
      <c r="AU354" s="133" t="str">
        <f>IF($A354&lt;&gt;0,VLOOKUP($A354,'0.Productos'!$A$3:$GG$587,'0.Productos'!CM$1+1,0),"")</f>
        <v/>
      </c>
      <c r="AV354" s="133" t="str">
        <f>IF($A354&lt;&gt;0,VLOOKUP($A354,'0.Productos'!$A$3:$GG$587,'0.Productos'!CN$1+1,0),"")</f>
        <v/>
      </c>
      <c r="AW354" s="133" t="str">
        <f>IF($A354&lt;&gt;0,VLOOKUP($A354,'0.Productos'!$A$3:$GG$587,'0.Productos'!CO$1+1,0),"")</f>
        <v/>
      </c>
      <c r="AX354" s="133" t="str">
        <f>IF($A354&lt;&gt;0,VLOOKUP($A354,'0.Productos'!$A$3:$GG$587,'0.Productos'!CP$1+1,0),"")</f>
        <v/>
      </c>
      <c r="AY354" s="133" t="str">
        <f>IF($A354&lt;&gt;0,VLOOKUP($A354,'0.Productos'!$A$3:$GG$587,'0.Productos'!CQ$1+1,0),"")</f>
        <v/>
      </c>
      <c r="AZ354" s="133" t="str">
        <f>IF($A354&lt;&gt;0,VLOOKUP($A354,'0.Productos'!$A$3:$GG$587,'0.Productos'!CR$1+1,0),"")</f>
        <v/>
      </c>
      <c r="BA354" s="133" t="str">
        <f>IF($A354&lt;&gt;0,VLOOKUP($A354,'0.Productos'!$A$3:$GG$587,'0.Productos'!CS$1+1,0),"")</f>
        <v/>
      </c>
      <c r="BB354" s="133" t="str">
        <f>IF($A354&lt;&gt;0,VLOOKUP($A354,'0.Productos'!$A$3:$GG$587,'0.Productos'!CT$1+1,0),"")</f>
        <v/>
      </c>
      <c r="BC354" s="133" t="str">
        <f>IF($A354&lt;&gt;0,VLOOKUP($A354,'0.Productos'!$A$3:$GG$587,'0.Productos'!CU$1+1,0),"")</f>
        <v/>
      </c>
      <c r="BD354" s="133" t="str">
        <f>IF($A354&lt;&gt;0,VLOOKUP($A354,'0.Productos'!$A$3:$GG$587,'0.Productos'!CV$1+1,0),"")</f>
        <v/>
      </c>
      <c r="BE354" s="133" t="str">
        <f>IF($A354&lt;&gt;0,VLOOKUP($A354,'0.Productos'!$A$3:$GG$587,'0.Productos'!CW$1+1,0),"")</f>
        <v/>
      </c>
      <c r="BF354" s="133" t="str">
        <f>IF($A354&lt;&gt;0,VLOOKUP($A354,'0.Productos'!$A$3:$GG$587,'0.Productos'!CX$1+1,0),"")</f>
        <v/>
      </c>
      <c r="BG354" s="133" t="str">
        <f>IF($A354&lt;&gt;0,VLOOKUP($A354,'0.Productos'!$A$3:$GG$587,'0.Productos'!CY$1+1,0),"")</f>
        <v/>
      </c>
      <c r="BH354" s="133" t="str">
        <f>IF($A354&lt;&gt;0,VLOOKUP($A354,'0.Productos'!$A$3:$GG$587,'0.Productos'!CZ$1+1,0),"")</f>
        <v/>
      </c>
      <c r="BI354" s="133" t="str">
        <f>IF($A354&lt;&gt;0,VLOOKUP($A354,'0.Productos'!$A$3:$GG$587,'0.Productos'!DA$1+1,0),"")</f>
        <v/>
      </c>
      <c r="BJ354" s="133" t="str">
        <f>IF($A354&lt;&gt;0,VLOOKUP($A354,'0.Productos'!$A$3:$GG$587,'0.Productos'!DB$1+1,0),"")</f>
        <v/>
      </c>
      <c r="BK354" s="133" t="str">
        <f>IF($A354&lt;&gt;0,VLOOKUP($A354,'0.Productos'!$A$3:$GG$587,'0.Productos'!DC$1+1,0),"")</f>
        <v/>
      </c>
      <c r="BL354" s="133" t="str">
        <f>IF($A354&lt;&gt;0,VLOOKUP($A354,'0.Productos'!$A$3:$GG$587,'0.Productos'!DD$1+1,0),"")</f>
        <v/>
      </c>
      <c r="BM354" s="133" t="str">
        <f>IF($A354&lt;&gt;0,VLOOKUP($A354,'0.Productos'!$A$3:$GG$587,'0.Productos'!DE$1+1,0),"")</f>
        <v/>
      </c>
      <c r="BN354" s="133" t="str">
        <f>IF($A354&lt;&gt;0,VLOOKUP($A354,'0.Productos'!$A$3:$GG$587,'0.Productos'!DF$1+1,0),"")</f>
        <v/>
      </c>
      <c r="BO354" s="133" t="str">
        <f>IF($A354&lt;&gt;0,VLOOKUP($A354,'0.Productos'!$A$3:$GG$587,'0.Productos'!DG$1+1,0),"")</f>
        <v/>
      </c>
      <c r="BP354" s="133" t="str">
        <f>IF($A354&lt;&gt;0,VLOOKUP($A354,'0.Productos'!$A$3:$GG$587,'0.Productos'!DH$1+1,0),"")</f>
        <v/>
      </c>
      <c r="BQ354" s="133" t="str">
        <f>IF($A354&lt;&gt;0,VLOOKUP($A354,'0.Productos'!$A$3:$GG$587,'0.Productos'!DI$1+1,0),"")</f>
        <v/>
      </c>
      <c r="BR354" s="133" t="str">
        <f>IF($A354&lt;&gt;0,VLOOKUP($A354,'0.Productos'!$A$3:$GG$587,'0.Productos'!DJ$1+1,0),"")</f>
        <v/>
      </c>
      <c r="BS354" s="133" t="str">
        <f>IF($A354&lt;&gt;0,VLOOKUP($A354,'0.Productos'!$A$3:$GG$587,'0.Productos'!DK$1+1,0),"")</f>
        <v/>
      </c>
      <c r="BT354" s="133" t="str">
        <f>IF($A354&lt;&gt;0,VLOOKUP($A354,'0.Productos'!$A$3:$GG$587,'0.Productos'!DL$1+1,0),"")</f>
        <v/>
      </c>
    </row>
    <row r="355" spans="1:72" x14ac:dyDescent="0.25">
      <c r="A355" s="17">
        <f>'0.Consolidado general'!A355</f>
        <v>0</v>
      </c>
      <c r="B355" s="133" t="str">
        <f>IF($A355&lt;&gt;0,VLOOKUP($A355,'0.Productos'!$A$3:$GG$587,'0.Productos'!AT$1+1,0),"")</f>
        <v/>
      </c>
      <c r="C355" s="133" t="str">
        <f>IF($A355&lt;&gt;0,VLOOKUP($A355,'0.Productos'!$A$3:$GG$587,'0.Productos'!AU$1+1,0),"")</f>
        <v/>
      </c>
      <c r="D355" s="133" t="str">
        <f>IF($A355&lt;&gt;0,VLOOKUP($A355,'0.Productos'!$A$3:$GG$587,'0.Productos'!AV$1+1,0),"")</f>
        <v/>
      </c>
      <c r="E355" s="133" t="str">
        <f>IF($A355&lt;&gt;0,VLOOKUP($A355,'0.Productos'!$A$3:$GG$587,'0.Productos'!AW$1+1,0),"")</f>
        <v/>
      </c>
      <c r="F355" s="133" t="str">
        <f>IF($A355&lt;&gt;0,VLOOKUP($A355,'0.Productos'!$A$3:$GG$587,'0.Productos'!AX$1+1,0),"")</f>
        <v/>
      </c>
      <c r="G355" s="133" t="str">
        <f>IF($A355&lt;&gt;0,VLOOKUP($A355,'0.Productos'!$A$3:$GG$587,'0.Productos'!AY$1+1,0),"")</f>
        <v/>
      </c>
      <c r="H355" s="133" t="str">
        <f>IF($A355&lt;&gt;0,VLOOKUP($A355,'0.Productos'!$A$3:$GG$587,'0.Productos'!AZ$1+1,0),"")</f>
        <v/>
      </c>
      <c r="I355" s="133" t="str">
        <f>IF($A355&lt;&gt;0,VLOOKUP($A355,'0.Productos'!$A$3:$GG$587,'0.Productos'!BA$1+1,0),"")</f>
        <v/>
      </c>
      <c r="J355" s="133" t="str">
        <f>IF($A355&lt;&gt;0,VLOOKUP($A355,'0.Productos'!$A$3:$GG$587,'0.Productos'!BB$1+1,0),"")</f>
        <v/>
      </c>
      <c r="K355" s="133" t="str">
        <f>IF($A355&lt;&gt;0,VLOOKUP($A355,'0.Productos'!$A$3:$GG$587,'0.Productos'!BC$1+1,0),"")</f>
        <v/>
      </c>
      <c r="L355" s="133" t="str">
        <f>IF($A355&lt;&gt;0,VLOOKUP($A355,'0.Productos'!$A$3:$GG$587,'0.Productos'!BD$1+1,0),"")</f>
        <v/>
      </c>
      <c r="M355" s="133" t="str">
        <f>IF($A355&lt;&gt;0,VLOOKUP($A355,'0.Productos'!$A$3:$GG$587,'0.Productos'!BE$1+1,0),"")</f>
        <v/>
      </c>
      <c r="N355" s="133" t="str">
        <f>IF($A355&lt;&gt;0,VLOOKUP($A355,'0.Productos'!$A$3:$GG$587,'0.Productos'!BF$1+1,0),"")</f>
        <v/>
      </c>
      <c r="O355" s="133" t="str">
        <f>IF($A355&lt;&gt;0,VLOOKUP($A355,'0.Productos'!$A$3:$GG$587,'0.Productos'!BG$1+1,0),"")</f>
        <v/>
      </c>
      <c r="P355" s="133" t="str">
        <f>IF($A355&lt;&gt;0,VLOOKUP($A355,'0.Productos'!$A$3:$GG$587,'0.Productos'!BH$1+1,0),"")</f>
        <v/>
      </c>
      <c r="Q355" s="133" t="str">
        <f>IF($A355&lt;&gt;0,VLOOKUP($A355,'0.Productos'!$A$3:$GG$587,'0.Productos'!BI$1+1,0),"")</f>
        <v/>
      </c>
      <c r="R355" s="133" t="str">
        <f>IF($A355&lt;&gt;0,VLOOKUP($A355,'0.Productos'!$A$3:$GG$587,'0.Productos'!BJ$1+1,0),"")</f>
        <v/>
      </c>
      <c r="S355" s="133" t="str">
        <f>IF($A355&lt;&gt;0,VLOOKUP($A355,'0.Productos'!$A$3:$GG$587,'0.Productos'!BK$1+1,0),"")</f>
        <v/>
      </c>
      <c r="T355" s="133" t="str">
        <f>IF($A355&lt;&gt;0,VLOOKUP($A355,'0.Productos'!$A$3:$GG$587,'0.Productos'!BL$1+1,0),"")</f>
        <v/>
      </c>
      <c r="U355" s="133" t="str">
        <f>IF($A355&lt;&gt;0,VLOOKUP($A355,'0.Productos'!$A$3:$GG$587,'0.Productos'!BM$1+1,0),"")</f>
        <v/>
      </c>
      <c r="V355" s="133" t="str">
        <f>IF($A355&lt;&gt;0,VLOOKUP($A355,'0.Productos'!$A$3:$GG$587,'0.Productos'!BN$1+1,0),"")</f>
        <v/>
      </c>
      <c r="W355" s="133" t="str">
        <f>IF($A355&lt;&gt;0,VLOOKUP($A355,'0.Productos'!$A$3:$GG$587,'0.Productos'!BO$1+1,0),"")</f>
        <v/>
      </c>
      <c r="X355" s="133" t="str">
        <f>IF($A355&lt;&gt;0,VLOOKUP($A355,'0.Productos'!$A$3:$GG$587,'0.Productos'!BP$1+1,0),"")</f>
        <v/>
      </c>
      <c r="Y355" s="133" t="str">
        <f>IF($A355&lt;&gt;0,VLOOKUP($A355,'0.Productos'!$A$3:$GG$587,'0.Productos'!BQ$1+1,0),"")</f>
        <v/>
      </c>
      <c r="Z355" s="133" t="str">
        <f>IF($A355&lt;&gt;0,VLOOKUP($A355,'0.Productos'!$A$3:$GG$587,'0.Productos'!BR$1+1,0),"")</f>
        <v/>
      </c>
      <c r="AA355" s="133" t="str">
        <f>IF($A355&lt;&gt;0,VLOOKUP($A355,'0.Productos'!$A$3:$GG$587,'0.Productos'!BS$1+1,0),"")</f>
        <v/>
      </c>
      <c r="AB355" s="133" t="str">
        <f>IF($A355&lt;&gt;0,VLOOKUP($A355,'0.Productos'!$A$3:$GG$587,'0.Productos'!BT$1+1,0),"")</f>
        <v/>
      </c>
      <c r="AC355" s="133" t="str">
        <f>IF($A355&lt;&gt;0,VLOOKUP($A355,'0.Productos'!$A$3:$GG$587,'0.Productos'!BU$1+1,0),"")</f>
        <v/>
      </c>
      <c r="AD355" s="133" t="str">
        <f>IF($A355&lt;&gt;0,VLOOKUP($A355,'0.Productos'!$A$3:$GG$587,'0.Productos'!BV$1+1,0),"")</f>
        <v/>
      </c>
      <c r="AE355" s="133" t="str">
        <f>IF($A355&lt;&gt;0,VLOOKUP($A355,'0.Productos'!$A$3:$GG$587,'0.Productos'!BW$1+1,0),"")</f>
        <v/>
      </c>
      <c r="AF355" s="133" t="str">
        <f>IF($A355&lt;&gt;0,VLOOKUP($A355,'0.Productos'!$A$3:$GG$587,'0.Productos'!BX$1+1,0),"")</f>
        <v/>
      </c>
      <c r="AG355" s="133" t="str">
        <f>IF($A355&lt;&gt;0,VLOOKUP($A355,'0.Productos'!$A$3:$GG$587,'0.Productos'!BY$1+1,0),"")</f>
        <v/>
      </c>
      <c r="AH355" s="133" t="str">
        <f>IF($A355&lt;&gt;0,VLOOKUP($A355,'0.Productos'!$A$3:$GG$587,'0.Productos'!BZ$1+1,0),"")</f>
        <v/>
      </c>
      <c r="AI355" s="133" t="str">
        <f>IF($A355&lt;&gt;0,VLOOKUP($A355,'0.Productos'!$A$3:$GG$587,'0.Productos'!CA$1+1,0),"")</f>
        <v/>
      </c>
      <c r="AJ355" s="133" t="str">
        <f>IF($A355&lt;&gt;0,VLOOKUP($A355,'0.Productos'!$A$3:$GG$587,'0.Productos'!CB$1+1,0),"")</f>
        <v/>
      </c>
      <c r="AK355" s="133" t="str">
        <f>IF($A355&lt;&gt;0,VLOOKUP($A355,'0.Productos'!$A$3:$GG$587,'0.Productos'!CC$1+1,0),"")</f>
        <v/>
      </c>
      <c r="AL355" s="133" t="str">
        <f>IF($A355&lt;&gt;0,VLOOKUP($A355,'0.Productos'!$A$3:$GG$587,'0.Productos'!CD$1+1,0),"")</f>
        <v/>
      </c>
      <c r="AM355" s="133" t="str">
        <f>IF($A355&lt;&gt;0,VLOOKUP($A355,'0.Productos'!$A$3:$GG$587,'0.Productos'!CE$1+1,0),"")</f>
        <v/>
      </c>
      <c r="AN355" s="133" t="str">
        <f>IF($A355&lt;&gt;0,VLOOKUP($A355,'0.Productos'!$A$3:$GG$587,'0.Productos'!CF$1+1,0),"")</f>
        <v/>
      </c>
      <c r="AO355" s="133" t="str">
        <f>IF($A355&lt;&gt;0,VLOOKUP($A355,'0.Productos'!$A$3:$GG$587,'0.Productos'!CG$1+1,0),"")</f>
        <v/>
      </c>
      <c r="AP355" s="133" t="str">
        <f>IF($A355&lt;&gt;0,VLOOKUP($A355,'0.Productos'!$A$3:$GG$587,'0.Productos'!CH$1+1,0),"")</f>
        <v/>
      </c>
      <c r="AQ355" s="133" t="str">
        <f>IF($A355&lt;&gt;0,VLOOKUP($A355,'0.Productos'!$A$3:$GG$587,'0.Productos'!CI$1+1,0),"")</f>
        <v/>
      </c>
      <c r="AR355" s="133" t="str">
        <f>IF($A355&lt;&gt;0,VLOOKUP($A355,'0.Productos'!$A$3:$GG$587,'0.Productos'!CJ$1+1,0),"")</f>
        <v/>
      </c>
      <c r="AS355" s="133" t="str">
        <f>IF($A355&lt;&gt;0,VLOOKUP($A355,'0.Productos'!$A$3:$GG$587,'0.Productos'!CK$1+1,0),"")</f>
        <v/>
      </c>
      <c r="AT355" s="133" t="str">
        <f>IF($A355&lt;&gt;0,VLOOKUP($A355,'0.Productos'!$A$3:$GG$587,'0.Productos'!CL$1+1,0),"")</f>
        <v/>
      </c>
      <c r="AU355" s="133" t="str">
        <f>IF($A355&lt;&gt;0,VLOOKUP($A355,'0.Productos'!$A$3:$GG$587,'0.Productos'!CM$1+1,0),"")</f>
        <v/>
      </c>
      <c r="AV355" s="133" t="str">
        <f>IF($A355&lt;&gt;0,VLOOKUP($A355,'0.Productos'!$A$3:$GG$587,'0.Productos'!CN$1+1,0),"")</f>
        <v/>
      </c>
      <c r="AW355" s="133" t="str">
        <f>IF($A355&lt;&gt;0,VLOOKUP($A355,'0.Productos'!$A$3:$GG$587,'0.Productos'!CO$1+1,0),"")</f>
        <v/>
      </c>
      <c r="AX355" s="133" t="str">
        <f>IF($A355&lt;&gt;0,VLOOKUP($A355,'0.Productos'!$A$3:$GG$587,'0.Productos'!CP$1+1,0),"")</f>
        <v/>
      </c>
      <c r="AY355" s="133" t="str">
        <f>IF($A355&lt;&gt;0,VLOOKUP($A355,'0.Productos'!$A$3:$GG$587,'0.Productos'!CQ$1+1,0),"")</f>
        <v/>
      </c>
      <c r="AZ355" s="133" t="str">
        <f>IF($A355&lt;&gt;0,VLOOKUP($A355,'0.Productos'!$A$3:$GG$587,'0.Productos'!CR$1+1,0),"")</f>
        <v/>
      </c>
      <c r="BA355" s="133" t="str">
        <f>IF($A355&lt;&gt;0,VLOOKUP($A355,'0.Productos'!$A$3:$GG$587,'0.Productos'!CS$1+1,0),"")</f>
        <v/>
      </c>
      <c r="BB355" s="133" t="str">
        <f>IF($A355&lt;&gt;0,VLOOKUP($A355,'0.Productos'!$A$3:$GG$587,'0.Productos'!CT$1+1,0),"")</f>
        <v/>
      </c>
      <c r="BC355" s="133" t="str">
        <f>IF($A355&lt;&gt;0,VLOOKUP($A355,'0.Productos'!$A$3:$GG$587,'0.Productos'!CU$1+1,0),"")</f>
        <v/>
      </c>
      <c r="BD355" s="133" t="str">
        <f>IF($A355&lt;&gt;0,VLOOKUP($A355,'0.Productos'!$A$3:$GG$587,'0.Productos'!CV$1+1,0),"")</f>
        <v/>
      </c>
      <c r="BE355" s="133" t="str">
        <f>IF($A355&lt;&gt;0,VLOOKUP($A355,'0.Productos'!$A$3:$GG$587,'0.Productos'!CW$1+1,0),"")</f>
        <v/>
      </c>
      <c r="BF355" s="133" t="str">
        <f>IF($A355&lt;&gt;0,VLOOKUP($A355,'0.Productos'!$A$3:$GG$587,'0.Productos'!CX$1+1,0),"")</f>
        <v/>
      </c>
      <c r="BG355" s="133" t="str">
        <f>IF($A355&lt;&gt;0,VLOOKUP($A355,'0.Productos'!$A$3:$GG$587,'0.Productos'!CY$1+1,0),"")</f>
        <v/>
      </c>
      <c r="BH355" s="133" t="str">
        <f>IF($A355&lt;&gt;0,VLOOKUP($A355,'0.Productos'!$A$3:$GG$587,'0.Productos'!CZ$1+1,0),"")</f>
        <v/>
      </c>
      <c r="BI355" s="133" t="str">
        <f>IF($A355&lt;&gt;0,VLOOKUP($A355,'0.Productos'!$A$3:$GG$587,'0.Productos'!DA$1+1,0),"")</f>
        <v/>
      </c>
      <c r="BJ355" s="133" t="str">
        <f>IF($A355&lt;&gt;0,VLOOKUP($A355,'0.Productos'!$A$3:$GG$587,'0.Productos'!DB$1+1,0),"")</f>
        <v/>
      </c>
      <c r="BK355" s="133" t="str">
        <f>IF($A355&lt;&gt;0,VLOOKUP($A355,'0.Productos'!$A$3:$GG$587,'0.Productos'!DC$1+1,0),"")</f>
        <v/>
      </c>
      <c r="BL355" s="133" t="str">
        <f>IF($A355&lt;&gt;0,VLOOKUP($A355,'0.Productos'!$A$3:$GG$587,'0.Productos'!DD$1+1,0),"")</f>
        <v/>
      </c>
      <c r="BM355" s="133" t="str">
        <f>IF($A355&lt;&gt;0,VLOOKUP($A355,'0.Productos'!$A$3:$GG$587,'0.Productos'!DE$1+1,0),"")</f>
        <v/>
      </c>
      <c r="BN355" s="133" t="str">
        <f>IF($A355&lt;&gt;0,VLOOKUP($A355,'0.Productos'!$A$3:$GG$587,'0.Productos'!DF$1+1,0),"")</f>
        <v/>
      </c>
      <c r="BO355" s="133" t="str">
        <f>IF($A355&lt;&gt;0,VLOOKUP($A355,'0.Productos'!$A$3:$GG$587,'0.Productos'!DG$1+1,0),"")</f>
        <v/>
      </c>
      <c r="BP355" s="133" t="str">
        <f>IF($A355&lt;&gt;0,VLOOKUP($A355,'0.Productos'!$A$3:$GG$587,'0.Productos'!DH$1+1,0),"")</f>
        <v/>
      </c>
      <c r="BQ355" s="133" t="str">
        <f>IF($A355&lt;&gt;0,VLOOKUP($A355,'0.Productos'!$A$3:$GG$587,'0.Productos'!DI$1+1,0),"")</f>
        <v/>
      </c>
      <c r="BR355" s="133" t="str">
        <f>IF($A355&lt;&gt;0,VLOOKUP($A355,'0.Productos'!$A$3:$GG$587,'0.Productos'!DJ$1+1,0),"")</f>
        <v/>
      </c>
      <c r="BS355" s="133" t="str">
        <f>IF($A355&lt;&gt;0,VLOOKUP($A355,'0.Productos'!$A$3:$GG$587,'0.Productos'!DK$1+1,0),"")</f>
        <v/>
      </c>
      <c r="BT355" s="133" t="str">
        <f>IF($A355&lt;&gt;0,VLOOKUP($A355,'0.Productos'!$A$3:$GG$587,'0.Productos'!DL$1+1,0),"")</f>
        <v/>
      </c>
    </row>
    <row r="356" spans="1:72" x14ac:dyDescent="0.25">
      <c r="A356" s="17">
        <f>'0.Consolidado general'!A356</f>
        <v>0</v>
      </c>
      <c r="B356" s="133" t="str">
        <f>IF($A356&lt;&gt;0,VLOOKUP($A356,'0.Productos'!$A$3:$GG$587,'0.Productos'!AT$1+1,0),"")</f>
        <v/>
      </c>
      <c r="C356" s="133" t="str">
        <f>IF($A356&lt;&gt;0,VLOOKUP($A356,'0.Productos'!$A$3:$GG$587,'0.Productos'!AU$1+1,0),"")</f>
        <v/>
      </c>
      <c r="D356" s="133" t="str">
        <f>IF($A356&lt;&gt;0,VLOOKUP($A356,'0.Productos'!$A$3:$GG$587,'0.Productos'!AV$1+1,0),"")</f>
        <v/>
      </c>
      <c r="E356" s="133" t="str">
        <f>IF($A356&lt;&gt;0,VLOOKUP($A356,'0.Productos'!$A$3:$GG$587,'0.Productos'!AW$1+1,0),"")</f>
        <v/>
      </c>
      <c r="F356" s="133" t="str">
        <f>IF($A356&lt;&gt;0,VLOOKUP($A356,'0.Productos'!$A$3:$GG$587,'0.Productos'!AX$1+1,0),"")</f>
        <v/>
      </c>
      <c r="G356" s="133" t="str">
        <f>IF($A356&lt;&gt;0,VLOOKUP($A356,'0.Productos'!$A$3:$GG$587,'0.Productos'!AY$1+1,0),"")</f>
        <v/>
      </c>
      <c r="H356" s="133" t="str">
        <f>IF($A356&lt;&gt;0,VLOOKUP($A356,'0.Productos'!$A$3:$GG$587,'0.Productos'!AZ$1+1,0),"")</f>
        <v/>
      </c>
      <c r="I356" s="133" t="str">
        <f>IF($A356&lt;&gt;0,VLOOKUP($A356,'0.Productos'!$A$3:$GG$587,'0.Productos'!BA$1+1,0),"")</f>
        <v/>
      </c>
      <c r="J356" s="133" t="str">
        <f>IF($A356&lt;&gt;0,VLOOKUP($A356,'0.Productos'!$A$3:$GG$587,'0.Productos'!BB$1+1,0),"")</f>
        <v/>
      </c>
      <c r="K356" s="133" t="str">
        <f>IF($A356&lt;&gt;0,VLOOKUP($A356,'0.Productos'!$A$3:$GG$587,'0.Productos'!BC$1+1,0),"")</f>
        <v/>
      </c>
      <c r="L356" s="133" t="str">
        <f>IF($A356&lt;&gt;0,VLOOKUP($A356,'0.Productos'!$A$3:$GG$587,'0.Productos'!BD$1+1,0),"")</f>
        <v/>
      </c>
      <c r="M356" s="133" t="str">
        <f>IF($A356&lt;&gt;0,VLOOKUP($A356,'0.Productos'!$A$3:$GG$587,'0.Productos'!BE$1+1,0),"")</f>
        <v/>
      </c>
      <c r="N356" s="133" t="str">
        <f>IF($A356&lt;&gt;0,VLOOKUP($A356,'0.Productos'!$A$3:$GG$587,'0.Productos'!BF$1+1,0),"")</f>
        <v/>
      </c>
      <c r="O356" s="133" t="str">
        <f>IF($A356&lt;&gt;0,VLOOKUP($A356,'0.Productos'!$A$3:$GG$587,'0.Productos'!BG$1+1,0),"")</f>
        <v/>
      </c>
      <c r="P356" s="133" t="str">
        <f>IF($A356&lt;&gt;0,VLOOKUP($A356,'0.Productos'!$A$3:$GG$587,'0.Productos'!BH$1+1,0),"")</f>
        <v/>
      </c>
      <c r="Q356" s="133" t="str">
        <f>IF($A356&lt;&gt;0,VLOOKUP($A356,'0.Productos'!$A$3:$GG$587,'0.Productos'!BI$1+1,0),"")</f>
        <v/>
      </c>
      <c r="R356" s="133" t="str">
        <f>IF($A356&lt;&gt;0,VLOOKUP($A356,'0.Productos'!$A$3:$GG$587,'0.Productos'!BJ$1+1,0),"")</f>
        <v/>
      </c>
      <c r="S356" s="133" t="str">
        <f>IF($A356&lt;&gt;0,VLOOKUP($A356,'0.Productos'!$A$3:$GG$587,'0.Productos'!BK$1+1,0),"")</f>
        <v/>
      </c>
      <c r="T356" s="133" t="str">
        <f>IF($A356&lt;&gt;0,VLOOKUP($A356,'0.Productos'!$A$3:$GG$587,'0.Productos'!BL$1+1,0),"")</f>
        <v/>
      </c>
      <c r="U356" s="133" t="str">
        <f>IF($A356&lt;&gt;0,VLOOKUP($A356,'0.Productos'!$A$3:$GG$587,'0.Productos'!BM$1+1,0),"")</f>
        <v/>
      </c>
      <c r="V356" s="133" t="str">
        <f>IF($A356&lt;&gt;0,VLOOKUP($A356,'0.Productos'!$A$3:$GG$587,'0.Productos'!BN$1+1,0),"")</f>
        <v/>
      </c>
      <c r="W356" s="133" t="str">
        <f>IF($A356&lt;&gt;0,VLOOKUP($A356,'0.Productos'!$A$3:$GG$587,'0.Productos'!BO$1+1,0),"")</f>
        <v/>
      </c>
      <c r="X356" s="133" t="str">
        <f>IF($A356&lt;&gt;0,VLOOKUP($A356,'0.Productos'!$A$3:$GG$587,'0.Productos'!BP$1+1,0),"")</f>
        <v/>
      </c>
      <c r="Y356" s="133" t="str">
        <f>IF($A356&lt;&gt;0,VLOOKUP($A356,'0.Productos'!$A$3:$GG$587,'0.Productos'!BQ$1+1,0),"")</f>
        <v/>
      </c>
      <c r="Z356" s="133" t="str">
        <f>IF($A356&lt;&gt;0,VLOOKUP($A356,'0.Productos'!$A$3:$GG$587,'0.Productos'!BR$1+1,0),"")</f>
        <v/>
      </c>
      <c r="AA356" s="133" t="str">
        <f>IF($A356&lt;&gt;0,VLOOKUP($A356,'0.Productos'!$A$3:$GG$587,'0.Productos'!BS$1+1,0),"")</f>
        <v/>
      </c>
      <c r="AB356" s="133" t="str">
        <f>IF($A356&lt;&gt;0,VLOOKUP($A356,'0.Productos'!$A$3:$GG$587,'0.Productos'!BT$1+1,0),"")</f>
        <v/>
      </c>
      <c r="AC356" s="133" t="str">
        <f>IF($A356&lt;&gt;0,VLOOKUP($A356,'0.Productos'!$A$3:$GG$587,'0.Productos'!BU$1+1,0),"")</f>
        <v/>
      </c>
      <c r="AD356" s="133" t="str">
        <f>IF($A356&lt;&gt;0,VLOOKUP($A356,'0.Productos'!$A$3:$GG$587,'0.Productos'!BV$1+1,0),"")</f>
        <v/>
      </c>
      <c r="AE356" s="133" t="str">
        <f>IF($A356&lt;&gt;0,VLOOKUP($A356,'0.Productos'!$A$3:$GG$587,'0.Productos'!BW$1+1,0),"")</f>
        <v/>
      </c>
      <c r="AF356" s="133" t="str">
        <f>IF($A356&lt;&gt;0,VLOOKUP($A356,'0.Productos'!$A$3:$GG$587,'0.Productos'!BX$1+1,0),"")</f>
        <v/>
      </c>
      <c r="AG356" s="133" t="str">
        <f>IF($A356&lt;&gt;0,VLOOKUP($A356,'0.Productos'!$A$3:$GG$587,'0.Productos'!BY$1+1,0),"")</f>
        <v/>
      </c>
      <c r="AH356" s="133" t="str">
        <f>IF($A356&lt;&gt;0,VLOOKUP($A356,'0.Productos'!$A$3:$GG$587,'0.Productos'!BZ$1+1,0),"")</f>
        <v/>
      </c>
      <c r="AI356" s="133" t="str">
        <f>IF($A356&lt;&gt;0,VLOOKUP($A356,'0.Productos'!$A$3:$GG$587,'0.Productos'!CA$1+1,0),"")</f>
        <v/>
      </c>
      <c r="AJ356" s="133" t="str">
        <f>IF($A356&lt;&gt;0,VLOOKUP($A356,'0.Productos'!$A$3:$GG$587,'0.Productos'!CB$1+1,0),"")</f>
        <v/>
      </c>
      <c r="AK356" s="133" t="str">
        <f>IF($A356&lt;&gt;0,VLOOKUP($A356,'0.Productos'!$A$3:$GG$587,'0.Productos'!CC$1+1,0),"")</f>
        <v/>
      </c>
      <c r="AL356" s="133" t="str">
        <f>IF($A356&lt;&gt;0,VLOOKUP($A356,'0.Productos'!$A$3:$GG$587,'0.Productos'!CD$1+1,0),"")</f>
        <v/>
      </c>
      <c r="AM356" s="133" t="str">
        <f>IF($A356&lt;&gt;0,VLOOKUP($A356,'0.Productos'!$A$3:$GG$587,'0.Productos'!CE$1+1,0),"")</f>
        <v/>
      </c>
      <c r="AN356" s="133" t="str">
        <f>IF($A356&lt;&gt;0,VLOOKUP($A356,'0.Productos'!$A$3:$GG$587,'0.Productos'!CF$1+1,0),"")</f>
        <v/>
      </c>
      <c r="AO356" s="133" t="str">
        <f>IF($A356&lt;&gt;0,VLOOKUP($A356,'0.Productos'!$A$3:$GG$587,'0.Productos'!CG$1+1,0),"")</f>
        <v/>
      </c>
      <c r="AP356" s="133" t="str">
        <f>IF($A356&lt;&gt;0,VLOOKUP($A356,'0.Productos'!$A$3:$GG$587,'0.Productos'!CH$1+1,0),"")</f>
        <v/>
      </c>
      <c r="AQ356" s="133" t="str">
        <f>IF($A356&lt;&gt;0,VLOOKUP($A356,'0.Productos'!$A$3:$GG$587,'0.Productos'!CI$1+1,0),"")</f>
        <v/>
      </c>
      <c r="AR356" s="133" t="str">
        <f>IF($A356&lt;&gt;0,VLOOKUP($A356,'0.Productos'!$A$3:$GG$587,'0.Productos'!CJ$1+1,0),"")</f>
        <v/>
      </c>
      <c r="AS356" s="133" t="str">
        <f>IF($A356&lt;&gt;0,VLOOKUP($A356,'0.Productos'!$A$3:$GG$587,'0.Productos'!CK$1+1,0),"")</f>
        <v/>
      </c>
      <c r="AT356" s="133" t="str">
        <f>IF($A356&lt;&gt;0,VLOOKUP($A356,'0.Productos'!$A$3:$GG$587,'0.Productos'!CL$1+1,0),"")</f>
        <v/>
      </c>
      <c r="AU356" s="133" t="str">
        <f>IF($A356&lt;&gt;0,VLOOKUP($A356,'0.Productos'!$A$3:$GG$587,'0.Productos'!CM$1+1,0),"")</f>
        <v/>
      </c>
      <c r="AV356" s="133" t="str">
        <f>IF($A356&lt;&gt;0,VLOOKUP($A356,'0.Productos'!$A$3:$GG$587,'0.Productos'!CN$1+1,0),"")</f>
        <v/>
      </c>
      <c r="AW356" s="133" t="str">
        <f>IF($A356&lt;&gt;0,VLOOKUP($A356,'0.Productos'!$A$3:$GG$587,'0.Productos'!CO$1+1,0),"")</f>
        <v/>
      </c>
      <c r="AX356" s="133" t="str">
        <f>IF($A356&lt;&gt;0,VLOOKUP($A356,'0.Productos'!$A$3:$GG$587,'0.Productos'!CP$1+1,0),"")</f>
        <v/>
      </c>
      <c r="AY356" s="133" t="str">
        <f>IF($A356&lt;&gt;0,VLOOKUP($A356,'0.Productos'!$A$3:$GG$587,'0.Productos'!CQ$1+1,0),"")</f>
        <v/>
      </c>
      <c r="AZ356" s="133" t="str">
        <f>IF($A356&lt;&gt;0,VLOOKUP($A356,'0.Productos'!$A$3:$GG$587,'0.Productos'!CR$1+1,0),"")</f>
        <v/>
      </c>
      <c r="BA356" s="133" t="str">
        <f>IF($A356&lt;&gt;0,VLOOKUP($A356,'0.Productos'!$A$3:$GG$587,'0.Productos'!CS$1+1,0),"")</f>
        <v/>
      </c>
      <c r="BB356" s="133" t="str">
        <f>IF($A356&lt;&gt;0,VLOOKUP($A356,'0.Productos'!$A$3:$GG$587,'0.Productos'!CT$1+1,0),"")</f>
        <v/>
      </c>
      <c r="BC356" s="133" t="str">
        <f>IF($A356&lt;&gt;0,VLOOKUP($A356,'0.Productos'!$A$3:$GG$587,'0.Productos'!CU$1+1,0),"")</f>
        <v/>
      </c>
      <c r="BD356" s="133" t="str">
        <f>IF($A356&lt;&gt;0,VLOOKUP($A356,'0.Productos'!$A$3:$GG$587,'0.Productos'!CV$1+1,0),"")</f>
        <v/>
      </c>
      <c r="BE356" s="133" t="str">
        <f>IF($A356&lt;&gt;0,VLOOKUP($A356,'0.Productos'!$A$3:$GG$587,'0.Productos'!CW$1+1,0),"")</f>
        <v/>
      </c>
      <c r="BF356" s="133" t="str">
        <f>IF($A356&lt;&gt;0,VLOOKUP($A356,'0.Productos'!$A$3:$GG$587,'0.Productos'!CX$1+1,0),"")</f>
        <v/>
      </c>
      <c r="BG356" s="133" t="str">
        <f>IF($A356&lt;&gt;0,VLOOKUP($A356,'0.Productos'!$A$3:$GG$587,'0.Productos'!CY$1+1,0),"")</f>
        <v/>
      </c>
      <c r="BH356" s="133" t="str">
        <f>IF($A356&lt;&gt;0,VLOOKUP($A356,'0.Productos'!$A$3:$GG$587,'0.Productos'!CZ$1+1,0),"")</f>
        <v/>
      </c>
      <c r="BI356" s="133" t="str">
        <f>IF($A356&lt;&gt;0,VLOOKUP($A356,'0.Productos'!$A$3:$GG$587,'0.Productos'!DA$1+1,0),"")</f>
        <v/>
      </c>
      <c r="BJ356" s="133" t="str">
        <f>IF($A356&lt;&gt;0,VLOOKUP($A356,'0.Productos'!$A$3:$GG$587,'0.Productos'!DB$1+1,0),"")</f>
        <v/>
      </c>
      <c r="BK356" s="133" t="str">
        <f>IF($A356&lt;&gt;0,VLOOKUP($A356,'0.Productos'!$A$3:$GG$587,'0.Productos'!DC$1+1,0),"")</f>
        <v/>
      </c>
      <c r="BL356" s="133" t="str">
        <f>IF($A356&lt;&gt;0,VLOOKUP($A356,'0.Productos'!$A$3:$GG$587,'0.Productos'!DD$1+1,0),"")</f>
        <v/>
      </c>
      <c r="BM356" s="133" t="str">
        <f>IF($A356&lt;&gt;0,VLOOKUP($A356,'0.Productos'!$A$3:$GG$587,'0.Productos'!DE$1+1,0),"")</f>
        <v/>
      </c>
      <c r="BN356" s="133" t="str">
        <f>IF($A356&lt;&gt;0,VLOOKUP($A356,'0.Productos'!$A$3:$GG$587,'0.Productos'!DF$1+1,0),"")</f>
        <v/>
      </c>
      <c r="BO356" s="133" t="str">
        <f>IF($A356&lt;&gt;0,VLOOKUP($A356,'0.Productos'!$A$3:$GG$587,'0.Productos'!DG$1+1,0),"")</f>
        <v/>
      </c>
      <c r="BP356" s="133" t="str">
        <f>IF($A356&lt;&gt;0,VLOOKUP($A356,'0.Productos'!$A$3:$GG$587,'0.Productos'!DH$1+1,0),"")</f>
        <v/>
      </c>
      <c r="BQ356" s="133" t="str">
        <f>IF($A356&lt;&gt;0,VLOOKUP($A356,'0.Productos'!$A$3:$GG$587,'0.Productos'!DI$1+1,0),"")</f>
        <v/>
      </c>
      <c r="BR356" s="133" t="str">
        <f>IF($A356&lt;&gt;0,VLOOKUP($A356,'0.Productos'!$A$3:$GG$587,'0.Productos'!DJ$1+1,0),"")</f>
        <v/>
      </c>
      <c r="BS356" s="133" t="str">
        <f>IF($A356&lt;&gt;0,VLOOKUP($A356,'0.Productos'!$A$3:$GG$587,'0.Productos'!DK$1+1,0),"")</f>
        <v/>
      </c>
      <c r="BT356" s="133" t="str">
        <f>IF($A356&lt;&gt;0,VLOOKUP($A356,'0.Productos'!$A$3:$GG$587,'0.Productos'!DL$1+1,0),"")</f>
        <v/>
      </c>
    </row>
    <row r="357" spans="1:72" x14ac:dyDescent="0.25">
      <c r="A357" s="17">
        <f>'0.Consolidado general'!A357</f>
        <v>0</v>
      </c>
      <c r="B357" s="133" t="str">
        <f>IF($A357&lt;&gt;0,VLOOKUP($A357,'0.Productos'!$A$3:$GG$587,'0.Productos'!AT$1+1,0),"")</f>
        <v/>
      </c>
      <c r="C357" s="133" t="str">
        <f>IF($A357&lt;&gt;0,VLOOKUP($A357,'0.Productos'!$A$3:$GG$587,'0.Productos'!AU$1+1,0),"")</f>
        <v/>
      </c>
      <c r="D357" s="133" t="str">
        <f>IF($A357&lt;&gt;0,VLOOKUP($A357,'0.Productos'!$A$3:$GG$587,'0.Productos'!AV$1+1,0),"")</f>
        <v/>
      </c>
      <c r="E357" s="133" t="str">
        <f>IF($A357&lt;&gt;0,VLOOKUP($A357,'0.Productos'!$A$3:$GG$587,'0.Productos'!AW$1+1,0),"")</f>
        <v/>
      </c>
      <c r="F357" s="133" t="str">
        <f>IF($A357&lt;&gt;0,VLOOKUP($A357,'0.Productos'!$A$3:$GG$587,'0.Productos'!AX$1+1,0),"")</f>
        <v/>
      </c>
      <c r="G357" s="133" t="str">
        <f>IF($A357&lt;&gt;0,VLOOKUP($A357,'0.Productos'!$A$3:$GG$587,'0.Productos'!AY$1+1,0),"")</f>
        <v/>
      </c>
      <c r="H357" s="133" t="str">
        <f>IF($A357&lt;&gt;0,VLOOKUP($A357,'0.Productos'!$A$3:$GG$587,'0.Productos'!AZ$1+1,0),"")</f>
        <v/>
      </c>
      <c r="I357" s="133" t="str">
        <f>IF($A357&lt;&gt;0,VLOOKUP($A357,'0.Productos'!$A$3:$GG$587,'0.Productos'!BA$1+1,0),"")</f>
        <v/>
      </c>
      <c r="J357" s="133" t="str">
        <f>IF($A357&lt;&gt;0,VLOOKUP($A357,'0.Productos'!$A$3:$GG$587,'0.Productos'!BB$1+1,0),"")</f>
        <v/>
      </c>
      <c r="K357" s="133" t="str">
        <f>IF($A357&lt;&gt;0,VLOOKUP($A357,'0.Productos'!$A$3:$GG$587,'0.Productos'!BC$1+1,0),"")</f>
        <v/>
      </c>
      <c r="L357" s="133" t="str">
        <f>IF($A357&lt;&gt;0,VLOOKUP($A357,'0.Productos'!$A$3:$GG$587,'0.Productos'!BD$1+1,0),"")</f>
        <v/>
      </c>
      <c r="M357" s="133" t="str">
        <f>IF($A357&lt;&gt;0,VLOOKUP($A357,'0.Productos'!$A$3:$GG$587,'0.Productos'!BE$1+1,0),"")</f>
        <v/>
      </c>
      <c r="N357" s="133" t="str">
        <f>IF($A357&lt;&gt;0,VLOOKUP($A357,'0.Productos'!$A$3:$GG$587,'0.Productos'!BF$1+1,0),"")</f>
        <v/>
      </c>
      <c r="O357" s="133" t="str">
        <f>IF($A357&lt;&gt;0,VLOOKUP($A357,'0.Productos'!$A$3:$GG$587,'0.Productos'!BG$1+1,0),"")</f>
        <v/>
      </c>
      <c r="P357" s="133" t="str">
        <f>IF($A357&lt;&gt;0,VLOOKUP($A357,'0.Productos'!$A$3:$GG$587,'0.Productos'!BH$1+1,0),"")</f>
        <v/>
      </c>
      <c r="Q357" s="133" t="str">
        <f>IF($A357&lt;&gt;0,VLOOKUP($A357,'0.Productos'!$A$3:$GG$587,'0.Productos'!BI$1+1,0),"")</f>
        <v/>
      </c>
      <c r="R357" s="133" t="str">
        <f>IF($A357&lt;&gt;0,VLOOKUP($A357,'0.Productos'!$A$3:$GG$587,'0.Productos'!BJ$1+1,0),"")</f>
        <v/>
      </c>
      <c r="S357" s="133" t="str">
        <f>IF($A357&lt;&gt;0,VLOOKUP($A357,'0.Productos'!$A$3:$GG$587,'0.Productos'!BK$1+1,0),"")</f>
        <v/>
      </c>
      <c r="T357" s="133" t="str">
        <f>IF($A357&lt;&gt;0,VLOOKUP($A357,'0.Productos'!$A$3:$GG$587,'0.Productos'!BL$1+1,0),"")</f>
        <v/>
      </c>
      <c r="U357" s="133" t="str">
        <f>IF($A357&lt;&gt;0,VLOOKUP($A357,'0.Productos'!$A$3:$GG$587,'0.Productos'!BM$1+1,0),"")</f>
        <v/>
      </c>
      <c r="V357" s="133" t="str">
        <f>IF($A357&lt;&gt;0,VLOOKUP($A357,'0.Productos'!$A$3:$GG$587,'0.Productos'!BN$1+1,0),"")</f>
        <v/>
      </c>
      <c r="W357" s="133" t="str">
        <f>IF($A357&lt;&gt;0,VLOOKUP($A357,'0.Productos'!$A$3:$GG$587,'0.Productos'!BO$1+1,0),"")</f>
        <v/>
      </c>
      <c r="X357" s="133" t="str">
        <f>IF($A357&lt;&gt;0,VLOOKUP($A357,'0.Productos'!$A$3:$GG$587,'0.Productos'!BP$1+1,0),"")</f>
        <v/>
      </c>
      <c r="Y357" s="133" t="str">
        <f>IF($A357&lt;&gt;0,VLOOKUP($A357,'0.Productos'!$A$3:$GG$587,'0.Productos'!BQ$1+1,0),"")</f>
        <v/>
      </c>
      <c r="Z357" s="133" t="str">
        <f>IF($A357&lt;&gt;0,VLOOKUP($A357,'0.Productos'!$A$3:$GG$587,'0.Productos'!BR$1+1,0),"")</f>
        <v/>
      </c>
      <c r="AA357" s="133" t="str">
        <f>IF($A357&lt;&gt;0,VLOOKUP($A357,'0.Productos'!$A$3:$GG$587,'0.Productos'!BS$1+1,0),"")</f>
        <v/>
      </c>
      <c r="AB357" s="133" t="str">
        <f>IF($A357&lt;&gt;0,VLOOKUP($A357,'0.Productos'!$A$3:$GG$587,'0.Productos'!BT$1+1,0),"")</f>
        <v/>
      </c>
      <c r="AC357" s="133" t="str">
        <f>IF($A357&lt;&gt;0,VLOOKUP($A357,'0.Productos'!$A$3:$GG$587,'0.Productos'!BU$1+1,0),"")</f>
        <v/>
      </c>
      <c r="AD357" s="133" t="str">
        <f>IF($A357&lt;&gt;0,VLOOKUP($A357,'0.Productos'!$A$3:$GG$587,'0.Productos'!BV$1+1,0),"")</f>
        <v/>
      </c>
      <c r="AE357" s="133" t="str">
        <f>IF($A357&lt;&gt;0,VLOOKUP($A357,'0.Productos'!$A$3:$GG$587,'0.Productos'!BW$1+1,0),"")</f>
        <v/>
      </c>
      <c r="AF357" s="133" t="str">
        <f>IF($A357&lt;&gt;0,VLOOKUP($A357,'0.Productos'!$A$3:$GG$587,'0.Productos'!BX$1+1,0),"")</f>
        <v/>
      </c>
      <c r="AG357" s="133" t="str">
        <f>IF($A357&lt;&gt;0,VLOOKUP($A357,'0.Productos'!$A$3:$GG$587,'0.Productos'!BY$1+1,0),"")</f>
        <v/>
      </c>
      <c r="AH357" s="133" t="str">
        <f>IF($A357&lt;&gt;0,VLOOKUP($A357,'0.Productos'!$A$3:$GG$587,'0.Productos'!BZ$1+1,0),"")</f>
        <v/>
      </c>
      <c r="AI357" s="133" t="str">
        <f>IF($A357&lt;&gt;0,VLOOKUP($A357,'0.Productos'!$A$3:$GG$587,'0.Productos'!CA$1+1,0),"")</f>
        <v/>
      </c>
      <c r="AJ357" s="133" t="str">
        <f>IF($A357&lt;&gt;0,VLOOKUP($A357,'0.Productos'!$A$3:$GG$587,'0.Productos'!CB$1+1,0),"")</f>
        <v/>
      </c>
      <c r="AK357" s="133" t="str">
        <f>IF($A357&lt;&gt;0,VLOOKUP($A357,'0.Productos'!$A$3:$GG$587,'0.Productos'!CC$1+1,0),"")</f>
        <v/>
      </c>
      <c r="AL357" s="133" t="str">
        <f>IF($A357&lt;&gt;0,VLOOKUP($A357,'0.Productos'!$A$3:$GG$587,'0.Productos'!CD$1+1,0),"")</f>
        <v/>
      </c>
      <c r="AM357" s="133" t="str">
        <f>IF($A357&lt;&gt;0,VLOOKUP($A357,'0.Productos'!$A$3:$GG$587,'0.Productos'!CE$1+1,0),"")</f>
        <v/>
      </c>
      <c r="AN357" s="133" t="str">
        <f>IF($A357&lt;&gt;0,VLOOKUP($A357,'0.Productos'!$A$3:$GG$587,'0.Productos'!CF$1+1,0),"")</f>
        <v/>
      </c>
      <c r="AO357" s="133" t="str">
        <f>IF($A357&lt;&gt;0,VLOOKUP($A357,'0.Productos'!$A$3:$GG$587,'0.Productos'!CG$1+1,0),"")</f>
        <v/>
      </c>
      <c r="AP357" s="133" t="str">
        <f>IF($A357&lt;&gt;0,VLOOKUP($A357,'0.Productos'!$A$3:$GG$587,'0.Productos'!CH$1+1,0),"")</f>
        <v/>
      </c>
      <c r="AQ357" s="133" t="str">
        <f>IF($A357&lt;&gt;0,VLOOKUP($A357,'0.Productos'!$A$3:$GG$587,'0.Productos'!CI$1+1,0),"")</f>
        <v/>
      </c>
      <c r="AR357" s="133" t="str">
        <f>IF($A357&lt;&gt;0,VLOOKUP($A357,'0.Productos'!$A$3:$GG$587,'0.Productos'!CJ$1+1,0),"")</f>
        <v/>
      </c>
      <c r="AS357" s="133" t="str">
        <f>IF($A357&lt;&gt;0,VLOOKUP($A357,'0.Productos'!$A$3:$GG$587,'0.Productos'!CK$1+1,0),"")</f>
        <v/>
      </c>
      <c r="AT357" s="133" t="str">
        <f>IF($A357&lt;&gt;0,VLOOKUP($A357,'0.Productos'!$A$3:$GG$587,'0.Productos'!CL$1+1,0),"")</f>
        <v/>
      </c>
      <c r="AU357" s="133" t="str">
        <f>IF($A357&lt;&gt;0,VLOOKUP($A357,'0.Productos'!$A$3:$GG$587,'0.Productos'!CM$1+1,0),"")</f>
        <v/>
      </c>
      <c r="AV357" s="133" t="str">
        <f>IF($A357&lt;&gt;0,VLOOKUP($A357,'0.Productos'!$A$3:$GG$587,'0.Productos'!CN$1+1,0),"")</f>
        <v/>
      </c>
      <c r="AW357" s="133" t="str">
        <f>IF($A357&lt;&gt;0,VLOOKUP($A357,'0.Productos'!$A$3:$GG$587,'0.Productos'!CO$1+1,0),"")</f>
        <v/>
      </c>
      <c r="AX357" s="133" t="str">
        <f>IF($A357&lt;&gt;0,VLOOKUP($A357,'0.Productos'!$A$3:$GG$587,'0.Productos'!CP$1+1,0),"")</f>
        <v/>
      </c>
      <c r="AY357" s="133" t="str">
        <f>IF($A357&lt;&gt;0,VLOOKUP($A357,'0.Productos'!$A$3:$GG$587,'0.Productos'!CQ$1+1,0),"")</f>
        <v/>
      </c>
      <c r="AZ357" s="133" t="str">
        <f>IF($A357&lt;&gt;0,VLOOKUP($A357,'0.Productos'!$A$3:$GG$587,'0.Productos'!CR$1+1,0),"")</f>
        <v/>
      </c>
      <c r="BA357" s="133" t="str">
        <f>IF($A357&lt;&gt;0,VLOOKUP($A357,'0.Productos'!$A$3:$GG$587,'0.Productos'!CS$1+1,0),"")</f>
        <v/>
      </c>
      <c r="BB357" s="133" t="str">
        <f>IF($A357&lt;&gt;0,VLOOKUP($A357,'0.Productos'!$A$3:$GG$587,'0.Productos'!CT$1+1,0),"")</f>
        <v/>
      </c>
      <c r="BC357" s="133" t="str">
        <f>IF($A357&lt;&gt;0,VLOOKUP($A357,'0.Productos'!$A$3:$GG$587,'0.Productos'!CU$1+1,0),"")</f>
        <v/>
      </c>
      <c r="BD357" s="133" t="str">
        <f>IF($A357&lt;&gt;0,VLOOKUP($A357,'0.Productos'!$A$3:$GG$587,'0.Productos'!CV$1+1,0),"")</f>
        <v/>
      </c>
      <c r="BE357" s="133" t="str">
        <f>IF($A357&lt;&gt;0,VLOOKUP($A357,'0.Productos'!$A$3:$GG$587,'0.Productos'!CW$1+1,0),"")</f>
        <v/>
      </c>
      <c r="BF357" s="133" t="str">
        <f>IF($A357&lt;&gt;0,VLOOKUP($A357,'0.Productos'!$A$3:$GG$587,'0.Productos'!CX$1+1,0),"")</f>
        <v/>
      </c>
      <c r="BG357" s="133" t="str">
        <f>IF($A357&lt;&gt;0,VLOOKUP($A357,'0.Productos'!$A$3:$GG$587,'0.Productos'!CY$1+1,0),"")</f>
        <v/>
      </c>
      <c r="BH357" s="133" t="str">
        <f>IF($A357&lt;&gt;0,VLOOKUP($A357,'0.Productos'!$A$3:$GG$587,'0.Productos'!CZ$1+1,0),"")</f>
        <v/>
      </c>
      <c r="BI357" s="133" t="str">
        <f>IF($A357&lt;&gt;0,VLOOKUP($A357,'0.Productos'!$A$3:$GG$587,'0.Productos'!DA$1+1,0),"")</f>
        <v/>
      </c>
      <c r="BJ357" s="133" t="str">
        <f>IF($A357&lt;&gt;0,VLOOKUP($A357,'0.Productos'!$A$3:$GG$587,'0.Productos'!DB$1+1,0),"")</f>
        <v/>
      </c>
      <c r="BK357" s="133" t="str">
        <f>IF($A357&lt;&gt;0,VLOOKUP($A357,'0.Productos'!$A$3:$GG$587,'0.Productos'!DC$1+1,0),"")</f>
        <v/>
      </c>
      <c r="BL357" s="133" t="str">
        <f>IF($A357&lt;&gt;0,VLOOKUP($A357,'0.Productos'!$A$3:$GG$587,'0.Productos'!DD$1+1,0),"")</f>
        <v/>
      </c>
      <c r="BM357" s="133" t="str">
        <f>IF($A357&lt;&gt;0,VLOOKUP($A357,'0.Productos'!$A$3:$GG$587,'0.Productos'!DE$1+1,0),"")</f>
        <v/>
      </c>
      <c r="BN357" s="133" t="str">
        <f>IF($A357&lt;&gt;0,VLOOKUP($A357,'0.Productos'!$A$3:$GG$587,'0.Productos'!DF$1+1,0),"")</f>
        <v/>
      </c>
      <c r="BO357" s="133" t="str">
        <f>IF($A357&lt;&gt;0,VLOOKUP($A357,'0.Productos'!$A$3:$GG$587,'0.Productos'!DG$1+1,0),"")</f>
        <v/>
      </c>
      <c r="BP357" s="133" t="str">
        <f>IF($A357&lt;&gt;0,VLOOKUP($A357,'0.Productos'!$A$3:$GG$587,'0.Productos'!DH$1+1,0),"")</f>
        <v/>
      </c>
      <c r="BQ357" s="133" t="str">
        <f>IF($A357&lt;&gt;0,VLOOKUP($A357,'0.Productos'!$A$3:$GG$587,'0.Productos'!DI$1+1,0),"")</f>
        <v/>
      </c>
      <c r="BR357" s="133" t="str">
        <f>IF($A357&lt;&gt;0,VLOOKUP($A357,'0.Productos'!$A$3:$GG$587,'0.Productos'!DJ$1+1,0),"")</f>
        <v/>
      </c>
      <c r="BS357" s="133" t="str">
        <f>IF($A357&lt;&gt;0,VLOOKUP($A357,'0.Productos'!$A$3:$GG$587,'0.Productos'!DK$1+1,0),"")</f>
        <v/>
      </c>
      <c r="BT357" s="133" t="str">
        <f>IF($A357&lt;&gt;0,VLOOKUP($A357,'0.Productos'!$A$3:$GG$587,'0.Productos'!DL$1+1,0),"")</f>
        <v/>
      </c>
    </row>
    <row r="358" spans="1:72" x14ac:dyDescent="0.25">
      <c r="A358" s="17">
        <f>'0.Consolidado general'!A358</f>
        <v>0</v>
      </c>
      <c r="B358" s="133" t="str">
        <f>IF($A358&lt;&gt;0,VLOOKUP($A358,'0.Productos'!$A$3:$GG$587,'0.Productos'!AT$1+1,0),"")</f>
        <v/>
      </c>
      <c r="C358" s="133" t="str">
        <f>IF($A358&lt;&gt;0,VLOOKUP($A358,'0.Productos'!$A$3:$GG$587,'0.Productos'!AU$1+1,0),"")</f>
        <v/>
      </c>
      <c r="D358" s="133" t="str">
        <f>IF($A358&lt;&gt;0,VLOOKUP($A358,'0.Productos'!$A$3:$GG$587,'0.Productos'!AV$1+1,0),"")</f>
        <v/>
      </c>
      <c r="E358" s="133" t="str">
        <f>IF($A358&lt;&gt;0,VLOOKUP($A358,'0.Productos'!$A$3:$GG$587,'0.Productos'!AW$1+1,0),"")</f>
        <v/>
      </c>
      <c r="F358" s="133" t="str">
        <f>IF($A358&lt;&gt;0,VLOOKUP($A358,'0.Productos'!$A$3:$GG$587,'0.Productos'!AX$1+1,0),"")</f>
        <v/>
      </c>
      <c r="G358" s="133" t="str">
        <f>IF($A358&lt;&gt;0,VLOOKUP($A358,'0.Productos'!$A$3:$GG$587,'0.Productos'!AY$1+1,0),"")</f>
        <v/>
      </c>
      <c r="H358" s="133" t="str">
        <f>IF($A358&lt;&gt;0,VLOOKUP($A358,'0.Productos'!$A$3:$GG$587,'0.Productos'!AZ$1+1,0),"")</f>
        <v/>
      </c>
      <c r="I358" s="133" t="str">
        <f>IF($A358&lt;&gt;0,VLOOKUP($A358,'0.Productos'!$A$3:$GG$587,'0.Productos'!BA$1+1,0),"")</f>
        <v/>
      </c>
      <c r="J358" s="133" t="str">
        <f>IF($A358&lt;&gt;0,VLOOKUP($A358,'0.Productos'!$A$3:$GG$587,'0.Productos'!BB$1+1,0),"")</f>
        <v/>
      </c>
      <c r="K358" s="133" t="str">
        <f>IF($A358&lt;&gt;0,VLOOKUP($A358,'0.Productos'!$A$3:$GG$587,'0.Productos'!BC$1+1,0),"")</f>
        <v/>
      </c>
      <c r="L358" s="133" t="str">
        <f>IF($A358&lt;&gt;0,VLOOKUP($A358,'0.Productos'!$A$3:$GG$587,'0.Productos'!BD$1+1,0),"")</f>
        <v/>
      </c>
      <c r="M358" s="133" t="str">
        <f>IF($A358&lt;&gt;0,VLOOKUP($A358,'0.Productos'!$A$3:$GG$587,'0.Productos'!BE$1+1,0),"")</f>
        <v/>
      </c>
      <c r="N358" s="133" t="str">
        <f>IF($A358&lt;&gt;0,VLOOKUP($A358,'0.Productos'!$A$3:$GG$587,'0.Productos'!BF$1+1,0),"")</f>
        <v/>
      </c>
      <c r="O358" s="133" t="str">
        <f>IF($A358&lt;&gt;0,VLOOKUP($A358,'0.Productos'!$A$3:$GG$587,'0.Productos'!BG$1+1,0),"")</f>
        <v/>
      </c>
      <c r="P358" s="133" t="str">
        <f>IF($A358&lt;&gt;0,VLOOKUP($A358,'0.Productos'!$A$3:$GG$587,'0.Productos'!BH$1+1,0),"")</f>
        <v/>
      </c>
      <c r="Q358" s="133" t="str">
        <f>IF($A358&lt;&gt;0,VLOOKUP($A358,'0.Productos'!$A$3:$GG$587,'0.Productos'!BI$1+1,0),"")</f>
        <v/>
      </c>
      <c r="R358" s="133" t="str">
        <f>IF($A358&lt;&gt;0,VLOOKUP($A358,'0.Productos'!$A$3:$GG$587,'0.Productos'!BJ$1+1,0),"")</f>
        <v/>
      </c>
      <c r="S358" s="133" t="str">
        <f>IF($A358&lt;&gt;0,VLOOKUP($A358,'0.Productos'!$A$3:$GG$587,'0.Productos'!BK$1+1,0),"")</f>
        <v/>
      </c>
      <c r="T358" s="133" t="str">
        <f>IF($A358&lt;&gt;0,VLOOKUP($A358,'0.Productos'!$A$3:$GG$587,'0.Productos'!BL$1+1,0),"")</f>
        <v/>
      </c>
      <c r="U358" s="133" t="str">
        <f>IF($A358&lt;&gt;0,VLOOKUP($A358,'0.Productos'!$A$3:$GG$587,'0.Productos'!BM$1+1,0),"")</f>
        <v/>
      </c>
      <c r="V358" s="133" t="str">
        <f>IF($A358&lt;&gt;0,VLOOKUP($A358,'0.Productos'!$A$3:$GG$587,'0.Productos'!BN$1+1,0),"")</f>
        <v/>
      </c>
      <c r="W358" s="133" t="str">
        <f>IF($A358&lt;&gt;0,VLOOKUP($A358,'0.Productos'!$A$3:$GG$587,'0.Productos'!BO$1+1,0),"")</f>
        <v/>
      </c>
      <c r="X358" s="133" t="str">
        <f>IF($A358&lt;&gt;0,VLOOKUP($A358,'0.Productos'!$A$3:$GG$587,'0.Productos'!BP$1+1,0),"")</f>
        <v/>
      </c>
      <c r="Y358" s="133" t="str">
        <f>IF($A358&lt;&gt;0,VLOOKUP($A358,'0.Productos'!$A$3:$GG$587,'0.Productos'!BQ$1+1,0),"")</f>
        <v/>
      </c>
      <c r="Z358" s="133" t="str">
        <f>IF($A358&lt;&gt;0,VLOOKUP($A358,'0.Productos'!$A$3:$GG$587,'0.Productos'!BR$1+1,0),"")</f>
        <v/>
      </c>
      <c r="AA358" s="133" t="str">
        <f>IF($A358&lt;&gt;0,VLOOKUP($A358,'0.Productos'!$A$3:$GG$587,'0.Productos'!BS$1+1,0),"")</f>
        <v/>
      </c>
      <c r="AB358" s="133" t="str">
        <f>IF($A358&lt;&gt;0,VLOOKUP($A358,'0.Productos'!$A$3:$GG$587,'0.Productos'!BT$1+1,0),"")</f>
        <v/>
      </c>
      <c r="AC358" s="133" t="str">
        <f>IF($A358&lt;&gt;0,VLOOKUP($A358,'0.Productos'!$A$3:$GG$587,'0.Productos'!BU$1+1,0),"")</f>
        <v/>
      </c>
      <c r="AD358" s="133" t="str">
        <f>IF($A358&lt;&gt;0,VLOOKUP($A358,'0.Productos'!$A$3:$GG$587,'0.Productos'!BV$1+1,0),"")</f>
        <v/>
      </c>
      <c r="AE358" s="133" t="str">
        <f>IF($A358&lt;&gt;0,VLOOKUP($A358,'0.Productos'!$A$3:$GG$587,'0.Productos'!BW$1+1,0),"")</f>
        <v/>
      </c>
      <c r="AF358" s="133" t="str">
        <f>IF($A358&lt;&gt;0,VLOOKUP($A358,'0.Productos'!$A$3:$GG$587,'0.Productos'!BX$1+1,0),"")</f>
        <v/>
      </c>
      <c r="AG358" s="133" t="str">
        <f>IF($A358&lt;&gt;0,VLOOKUP($A358,'0.Productos'!$A$3:$GG$587,'0.Productos'!BY$1+1,0),"")</f>
        <v/>
      </c>
      <c r="AH358" s="133" t="str">
        <f>IF($A358&lt;&gt;0,VLOOKUP($A358,'0.Productos'!$A$3:$GG$587,'0.Productos'!BZ$1+1,0),"")</f>
        <v/>
      </c>
      <c r="AI358" s="133" t="str">
        <f>IF($A358&lt;&gt;0,VLOOKUP($A358,'0.Productos'!$A$3:$GG$587,'0.Productos'!CA$1+1,0),"")</f>
        <v/>
      </c>
      <c r="AJ358" s="133" t="str">
        <f>IF($A358&lt;&gt;0,VLOOKUP($A358,'0.Productos'!$A$3:$GG$587,'0.Productos'!CB$1+1,0),"")</f>
        <v/>
      </c>
      <c r="AK358" s="133" t="str">
        <f>IF($A358&lt;&gt;0,VLOOKUP($A358,'0.Productos'!$A$3:$GG$587,'0.Productos'!CC$1+1,0),"")</f>
        <v/>
      </c>
      <c r="AL358" s="133" t="str">
        <f>IF($A358&lt;&gt;0,VLOOKUP($A358,'0.Productos'!$A$3:$GG$587,'0.Productos'!CD$1+1,0),"")</f>
        <v/>
      </c>
      <c r="AM358" s="133" t="str">
        <f>IF($A358&lt;&gt;0,VLOOKUP($A358,'0.Productos'!$A$3:$GG$587,'0.Productos'!CE$1+1,0),"")</f>
        <v/>
      </c>
      <c r="AN358" s="133" t="str">
        <f>IF($A358&lt;&gt;0,VLOOKUP($A358,'0.Productos'!$A$3:$GG$587,'0.Productos'!CF$1+1,0),"")</f>
        <v/>
      </c>
      <c r="AO358" s="133" t="str">
        <f>IF($A358&lt;&gt;0,VLOOKUP($A358,'0.Productos'!$A$3:$GG$587,'0.Productos'!CG$1+1,0),"")</f>
        <v/>
      </c>
      <c r="AP358" s="133" t="str">
        <f>IF($A358&lt;&gt;0,VLOOKUP($A358,'0.Productos'!$A$3:$GG$587,'0.Productos'!CH$1+1,0),"")</f>
        <v/>
      </c>
      <c r="AQ358" s="133" t="str">
        <f>IF($A358&lt;&gt;0,VLOOKUP($A358,'0.Productos'!$A$3:$GG$587,'0.Productos'!CI$1+1,0),"")</f>
        <v/>
      </c>
      <c r="AR358" s="133" t="str">
        <f>IF($A358&lt;&gt;0,VLOOKUP($A358,'0.Productos'!$A$3:$GG$587,'0.Productos'!CJ$1+1,0),"")</f>
        <v/>
      </c>
      <c r="AS358" s="133" t="str">
        <f>IF($A358&lt;&gt;0,VLOOKUP($A358,'0.Productos'!$A$3:$GG$587,'0.Productos'!CK$1+1,0),"")</f>
        <v/>
      </c>
      <c r="AT358" s="133" t="str">
        <f>IF($A358&lt;&gt;0,VLOOKUP($A358,'0.Productos'!$A$3:$GG$587,'0.Productos'!CL$1+1,0),"")</f>
        <v/>
      </c>
      <c r="AU358" s="133" t="str">
        <f>IF($A358&lt;&gt;0,VLOOKUP($A358,'0.Productos'!$A$3:$GG$587,'0.Productos'!CM$1+1,0),"")</f>
        <v/>
      </c>
      <c r="AV358" s="133" t="str">
        <f>IF($A358&lt;&gt;0,VLOOKUP($A358,'0.Productos'!$A$3:$GG$587,'0.Productos'!CN$1+1,0),"")</f>
        <v/>
      </c>
      <c r="AW358" s="133" t="str">
        <f>IF($A358&lt;&gt;0,VLOOKUP($A358,'0.Productos'!$A$3:$GG$587,'0.Productos'!CO$1+1,0),"")</f>
        <v/>
      </c>
      <c r="AX358" s="133" t="str">
        <f>IF($A358&lt;&gt;0,VLOOKUP($A358,'0.Productos'!$A$3:$GG$587,'0.Productos'!CP$1+1,0),"")</f>
        <v/>
      </c>
      <c r="AY358" s="133" t="str">
        <f>IF($A358&lt;&gt;0,VLOOKUP($A358,'0.Productos'!$A$3:$GG$587,'0.Productos'!CQ$1+1,0),"")</f>
        <v/>
      </c>
      <c r="AZ358" s="133" t="str">
        <f>IF($A358&lt;&gt;0,VLOOKUP($A358,'0.Productos'!$A$3:$GG$587,'0.Productos'!CR$1+1,0),"")</f>
        <v/>
      </c>
      <c r="BA358" s="133" t="str">
        <f>IF($A358&lt;&gt;0,VLOOKUP($A358,'0.Productos'!$A$3:$GG$587,'0.Productos'!CS$1+1,0),"")</f>
        <v/>
      </c>
      <c r="BB358" s="133" t="str">
        <f>IF($A358&lt;&gt;0,VLOOKUP($A358,'0.Productos'!$A$3:$GG$587,'0.Productos'!CT$1+1,0),"")</f>
        <v/>
      </c>
      <c r="BC358" s="133" t="str">
        <f>IF($A358&lt;&gt;0,VLOOKUP($A358,'0.Productos'!$A$3:$GG$587,'0.Productos'!CU$1+1,0),"")</f>
        <v/>
      </c>
      <c r="BD358" s="133" t="str">
        <f>IF($A358&lt;&gt;0,VLOOKUP($A358,'0.Productos'!$A$3:$GG$587,'0.Productos'!CV$1+1,0),"")</f>
        <v/>
      </c>
      <c r="BE358" s="133" t="str">
        <f>IF($A358&lt;&gt;0,VLOOKUP($A358,'0.Productos'!$A$3:$GG$587,'0.Productos'!CW$1+1,0),"")</f>
        <v/>
      </c>
      <c r="BF358" s="133" t="str">
        <f>IF($A358&lt;&gt;0,VLOOKUP($A358,'0.Productos'!$A$3:$GG$587,'0.Productos'!CX$1+1,0),"")</f>
        <v/>
      </c>
      <c r="BG358" s="133" t="str">
        <f>IF($A358&lt;&gt;0,VLOOKUP($A358,'0.Productos'!$A$3:$GG$587,'0.Productos'!CY$1+1,0),"")</f>
        <v/>
      </c>
      <c r="BH358" s="133" t="str">
        <f>IF($A358&lt;&gt;0,VLOOKUP($A358,'0.Productos'!$A$3:$GG$587,'0.Productos'!CZ$1+1,0),"")</f>
        <v/>
      </c>
      <c r="BI358" s="133" t="str">
        <f>IF($A358&lt;&gt;0,VLOOKUP($A358,'0.Productos'!$A$3:$GG$587,'0.Productos'!DA$1+1,0),"")</f>
        <v/>
      </c>
      <c r="BJ358" s="133" t="str">
        <f>IF($A358&lt;&gt;0,VLOOKUP($A358,'0.Productos'!$A$3:$GG$587,'0.Productos'!DB$1+1,0),"")</f>
        <v/>
      </c>
      <c r="BK358" s="133" t="str">
        <f>IF($A358&lt;&gt;0,VLOOKUP($A358,'0.Productos'!$A$3:$GG$587,'0.Productos'!DC$1+1,0),"")</f>
        <v/>
      </c>
      <c r="BL358" s="133" t="str">
        <f>IF($A358&lt;&gt;0,VLOOKUP($A358,'0.Productos'!$A$3:$GG$587,'0.Productos'!DD$1+1,0),"")</f>
        <v/>
      </c>
      <c r="BM358" s="133" t="str">
        <f>IF($A358&lt;&gt;0,VLOOKUP($A358,'0.Productos'!$A$3:$GG$587,'0.Productos'!DE$1+1,0),"")</f>
        <v/>
      </c>
      <c r="BN358" s="133" t="str">
        <f>IF($A358&lt;&gt;0,VLOOKUP($A358,'0.Productos'!$A$3:$GG$587,'0.Productos'!DF$1+1,0),"")</f>
        <v/>
      </c>
      <c r="BO358" s="133" t="str">
        <f>IF($A358&lt;&gt;0,VLOOKUP($A358,'0.Productos'!$A$3:$GG$587,'0.Productos'!DG$1+1,0),"")</f>
        <v/>
      </c>
      <c r="BP358" s="133" t="str">
        <f>IF($A358&lt;&gt;0,VLOOKUP($A358,'0.Productos'!$A$3:$GG$587,'0.Productos'!DH$1+1,0),"")</f>
        <v/>
      </c>
      <c r="BQ358" s="133" t="str">
        <f>IF($A358&lt;&gt;0,VLOOKUP($A358,'0.Productos'!$A$3:$GG$587,'0.Productos'!DI$1+1,0),"")</f>
        <v/>
      </c>
      <c r="BR358" s="133" t="str">
        <f>IF($A358&lt;&gt;0,VLOOKUP($A358,'0.Productos'!$A$3:$GG$587,'0.Productos'!DJ$1+1,0),"")</f>
        <v/>
      </c>
      <c r="BS358" s="133" t="str">
        <f>IF($A358&lt;&gt;0,VLOOKUP($A358,'0.Productos'!$A$3:$GG$587,'0.Productos'!DK$1+1,0),"")</f>
        <v/>
      </c>
      <c r="BT358" s="133" t="str">
        <f>IF($A358&lt;&gt;0,VLOOKUP($A358,'0.Productos'!$A$3:$GG$587,'0.Productos'!DL$1+1,0),"")</f>
        <v/>
      </c>
    </row>
    <row r="359" spans="1:72" x14ac:dyDescent="0.25">
      <c r="A359" s="17">
        <f>'0.Consolidado general'!A359</f>
        <v>0</v>
      </c>
      <c r="B359" s="133" t="str">
        <f>IF($A359&lt;&gt;0,VLOOKUP($A359,'0.Productos'!$A$3:$GG$587,'0.Productos'!AT$1+1,0),"")</f>
        <v/>
      </c>
      <c r="C359" s="133" t="str">
        <f>IF($A359&lt;&gt;0,VLOOKUP($A359,'0.Productos'!$A$3:$GG$587,'0.Productos'!AU$1+1,0),"")</f>
        <v/>
      </c>
      <c r="D359" s="133" t="str">
        <f>IF($A359&lt;&gt;0,VLOOKUP($A359,'0.Productos'!$A$3:$GG$587,'0.Productos'!AV$1+1,0),"")</f>
        <v/>
      </c>
      <c r="E359" s="133" t="str">
        <f>IF($A359&lt;&gt;0,VLOOKUP($A359,'0.Productos'!$A$3:$GG$587,'0.Productos'!AW$1+1,0),"")</f>
        <v/>
      </c>
      <c r="F359" s="133" t="str">
        <f>IF($A359&lt;&gt;0,VLOOKUP($A359,'0.Productos'!$A$3:$GG$587,'0.Productos'!AX$1+1,0),"")</f>
        <v/>
      </c>
      <c r="G359" s="133" t="str">
        <f>IF($A359&lt;&gt;0,VLOOKUP($A359,'0.Productos'!$A$3:$GG$587,'0.Productos'!AY$1+1,0),"")</f>
        <v/>
      </c>
      <c r="H359" s="133" t="str">
        <f>IF($A359&lt;&gt;0,VLOOKUP($A359,'0.Productos'!$A$3:$GG$587,'0.Productos'!AZ$1+1,0),"")</f>
        <v/>
      </c>
      <c r="I359" s="133" t="str">
        <f>IF($A359&lt;&gt;0,VLOOKUP($A359,'0.Productos'!$A$3:$GG$587,'0.Productos'!BA$1+1,0),"")</f>
        <v/>
      </c>
      <c r="J359" s="133" t="str">
        <f>IF($A359&lt;&gt;0,VLOOKUP($A359,'0.Productos'!$A$3:$GG$587,'0.Productos'!BB$1+1,0),"")</f>
        <v/>
      </c>
      <c r="K359" s="133" t="str">
        <f>IF($A359&lt;&gt;0,VLOOKUP($A359,'0.Productos'!$A$3:$GG$587,'0.Productos'!BC$1+1,0),"")</f>
        <v/>
      </c>
      <c r="L359" s="133" t="str">
        <f>IF($A359&lt;&gt;0,VLOOKUP($A359,'0.Productos'!$A$3:$GG$587,'0.Productos'!BD$1+1,0),"")</f>
        <v/>
      </c>
      <c r="M359" s="133" t="str">
        <f>IF($A359&lt;&gt;0,VLOOKUP($A359,'0.Productos'!$A$3:$GG$587,'0.Productos'!BE$1+1,0),"")</f>
        <v/>
      </c>
      <c r="N359" s="133" t="str">
        <f>IF($A359&lt;&gt;0,VLOOKUP($A359,'0.Productos'!$A$3:$GG$587,'0.Productos'!BF$1+1,0),"")</f>
        <v/>
      </c>
      <c r="O359" s="133" t="str">
        <f>IF($A359&lt;&gt;0,VLOOKUP($A359,'0.Productos'!$A$3:$GG$587,'0.Productos'!BG$1+1,0),"")</f>
        <v/>
      </c>
      <c r="P359" s="133" t="str">
        <f>IF($A359&lt;&gt;0,VLOOKUP($A359,'0.Productos'!$A$3:$GG$587,'0.Productos'!BH$1+1,0),"")</f>
        <v/>
      </c>
      <c r="Q359" s="133" t="str">
        <f>IF($A359&lt;&gt;0,VLOOKUP($A359,'0.Productos'!$A$3:$GG$587,'0.Productos'!BI$1+1,0),"")</f>
        <v/>
      </c>
      <c r="R359" s="133" t="str">
        <f>IF($A359&lt;&gt;0,VLOOKUP($A359,'0.Productos'!$A$3:$GG$587,'0.Productos'!BJ$1+1,0),"")</f>
        <v/>
      </c>
      <c r="S359" s="133" t="str">
        <f>IF($A359&lt;&gt;0,VLOOKUP($A359,'0.Productos'!$A$3:$GG$587,'0.Productos'!BK$1+1,0),"")</f>
        <v/>
      </c>
      <c r="T359" s="133" t="str">
        <f>IF($A359&lt;&gt;0,VLOOKUP($A359,'0.Productos'!$A$3:$GG$587,'0.Productos'!BL$1+1,0),"")</f>
        <v/>
      </c>
      <c r="U359" s="133" t="str">
        <f>IF($A359&lt;&gt;0,VLOOKUP($A359,'0.Productos'!$A$3:$GG$587,'0.Productos'!BM$1+1,0),"")</f>
        <v/>
      </c>
      <c r="V359" s="133" t="str">
        <f>IF($A359&lt;&gt;0,VLOOKUP($A359,'0.Productos'!$A$3:$GG$587,'0.Productos'!BN$1+1,0),"")</f>
        <v/>
      </c>
      <c r="W359" s="133" t="str">
        <f>IF($A359&lt;&gt;0,VLOOKUP($A359,'0.Productos'!$A$3:$GG$587,'0.Productos'!BO$1+1,0),"")</f>
        <v/>
      </c>
      <c r="X359" s="133" t="str">
        <f>IF($A359&lt;&gt;0,VLOOKUP($A359,'0.Productos'!$A$3:$GG$587,'0.Productos'!BP$1+1,0),"")</f>
        <v/>
      </c>
      <c r="Y359" s="133" t="str">
        <f>IF($A359&lt;&gt;0,VLOOKUP($A359,'0.Productos'!$A$3:$GG$587,'0.Productos'!BQ$1+1,0),"")</f>
        <v/>
      </c>
      <c r="Z359" s="133" t="str">
        <f>IF($A359&lt;&gt;0,VLOOKUP($A359,'0.Productos'!$A$3:$GG$587,'0.Productos'!BR$1+1,0),"")</f>
        <v/>
      </c>
      <c r="AA359" s="133" t="str">
        <f>IF($A359&lt;&gt;0,VLOOKUP($A359,'0.Productos'!$A$3:$GG$587,'0.Productos'!BS$1+1,0),"")</f>
        <v/>
      </c>
      <c r="AB359" s="133" t="str">
        <f>IF($A359&lt;&gt;0,VLOOKUP($A359,'0.Productos'!$A$3:$GG$587,'0.Productos'!BT$1+1,0),"")</f>
        <v/>
      </c>
      <c r="AC359" s="133" t="str">
        <f>IF($A359&lt;&gt;0,VLOOKUP($A359,'0.Productos'!$A$3:$GG$587,'0.Productos'!BU$1+1,0),"")</f>
        <v/>
      </c>
      <c r="AD359" s="133" t="str">
        <f>IF($A359&lt;&gt;0,VLOOKUP($A359,'0.Productos'!$A$3:$GG$587,'0.Productos'!BV$1+1,0),"")</f>
        <v/>
      </c>
      <c r="AE359" s="133" t="str">
        <f>IF($A359&lt;&gt;0,VLOOKUP($A359,'0.Productos'!$A$3:$GG$587,'0.Productos'!BW$1+1,0),"")</f>
        <v/>
      </c>
      <c r="AF359" s="133" t="str">
        <f>IF($A359&lt;&gt;0,VLOOKUP($A359,'0.Productos'!$A$3:$GG$587,'0.Productos'!BX$1+1,0),"")</f>
        <v/>
      </c>
      <c r="AG359" s="133" t="str">
        <f>IF($A359&lt;&gt;0,VLOOKUP($A359,'0.Productos'!$A$3:$GG$587,'0.Productos'!BY$1+1,0),"")</f>
        <v/>
      </c>
      <c r="AH359" s="133" t="str">
        <f>IF($A359&lt;&gt;0,VLOOKUP($A359,'0.Productos'!$A$3:$GG$587,'0.Productos'!BZ$1+1,0),"")</f>
        <v/>
      </c>
      <c r="AI359" s="133" t="str">
        <f>IF($A359&lt;&gt;0,VLOOKUP($A359,'0.Productos'!$A$3:$GG$587,'0.Productos'!CA$1+1,0),"")</f>
        <v/>
      </c>
      <c r="AJ359" s="133" t="str">
        <f>IF($A359&lt;&gt;0,VLOOKUP($A359,'0.Productos'!$A$3:$GG$587,'0.Productos'!CB$1+1,0),"")</f>
        <v/>
      </c>
      <c r="AK359" s="133" t="str">
        <f>IF($A359&lt;&gt;0,VLOOKUP($A359,'0.Productos'!$A$3:$GG$587,'0.Productos'!CC$1+1,0),"")</f>
        <v/>
      </c>
      <c r="AL359" s="133" t="str">
        <f>IF($A359&lt;&gt;0,VLOOKUP($A359,'0.Productos'!$A$3:$GG$587,'0.Productos'!CD$1+1,0),"")</f>
        <v/>
      </c>
      <c r="AM359" s="133" t="str">
        <f>IF($A359&lt;&gt;0,VLOOKUP($A359,'0.Productos'!$A$3:$GG$587,'0.Productos'!CE$1+1,0),"")</f>
        <v/>
      </c>
      <c r="AN359" s="133" t="str">
        <f>IF($A359&lt;&gt;0,VLOOKUP($A359,'0.Productos'!$A$3:$GG$587,'0.Productos'!CF$1+1,0),"")</f>
        <v/>
      </c>
      <c r="AO359" s="133" t="str">
        <f>IF($A359&lt;&gt;0,VLOOKUP($A359,'0.Productos'!$A$3:$GG$587,'0.Productos'!CG$1+1,0),"")</f>
        <v/>
      </c>
      <c r="AP359" s="133" t="str">
        <f>IF($A359&lt;&gt;0,VLOOKUP($A359,'0.Productos'!$A$3:$GG$587,'0.Productos'!CH$1+1,0),"")</f>
        <v/>
      </c>
      <c r="AQ359" s="133" t="str">
        <f>IF($A359&lt;&gt;0,VLOOKUP($A359,'0.Productos'!$A$3:$GG$587,'0.Productos'!CI$1+1,0),"")</f>
        <v/>
      </c>
      <c r="AR359" s="133" t="str">
        <f>IF($A359&lt;&gt;0,VLOOKUP($A359,'0.Productos'!$A$3:$GG$587,'0.Productos'!CJ$1+1,0),"")</f>
        <v/>
      </c>
      <c r="AS359" s="133" t="str">
        <f>IF($A359&lt;&gt;0,VLOOKUP($A359,'0.Productos'!$A$3:$GG$587,'0.Productos'!CK$1+1,0),"")</f>
        <v/>
      </c>
      <c r="AT359" s="133" t="str">
        <f>IF($A359&lt;&gt;0,VLOOKUP($A359,'0.Productos'!$A$3:$GG$587,'0.Productos'!CL$1+1,0),"")</f>
        <v/>
      </c>
      <c r="AU359" s="133" t="str">
        <f>IF($A359&lt;&gt;0,VLOOKUP($A359,'0.Productos'!$A$3:$GG$587,'0.Productos'!CM$1+1,0),"")</f>
        <v/>
      </c>
      <c r="AV359" s="133" t="str">
        <f>IF($A359&lt;&gt;0,VLOOKUP($A359,'0.Productos'!$A$3:$GG$587,'0.Productos'!CN$1+1,0),"")</f>
        <v/>
      </c>
      <c r="AW359" s="133" t="str">
        <f>IF($A359&lt;&gt;0,VLOOKUP($A359,'0.Productos'!$A$3:$GG$587,'0.Productos'!CO$1+1,0),"")</f>
        <v/>
      </c>
      <c r="AX359" s="133" t="str">
        <f>IF($A359&lt;&gt;0,VLOOKUP($A359,'0.Productos'!$A$3:$GG$587,'0.Productos'!CP$1+1,0),"")</f>
        <v/>
      </c>
      <c r="AY359" s="133" t="str">
        <f>IF($A359&lt;&gt;0,VLOOKUP($A359,'0.Productos'!$A$3:$GG$587,'0.Productos'!CQ$1+1,0),"")</f>
        <v/>
      </c>
      <c r="AZ359" s="133" t="str">
        <f>IF($A359&lt;&gt;0,VLOOKUP($A359,'0.Productos'!$A$3:$GG$587,'0.Productos'!CR$1+1,0),"")</f>
        <v/>
      </c>
      <c r="BA359" s="133" t="str">
        <f>IF($A359&lt;&gt;0,VLOOKUP($A359,'0.Productos'!$A$3:$GG$587,'0.Productos'!CS$1+1,0),"")</f>
        <v/>
      </c>
      <c r="BB359" s="133" t="str">
        <f>IF($A359&lt;&gt;0,VLOOKUP($A359,'0.Productos'!$A$3:$GG$587,'0.Productos'!CT$1+1,0),"")</f>
        <v/>
      </c>
      <c r="BC359" s="133" t="str">
        <f>IF($A359&lt;&gt;0,VLOOKUP($A359,'0.Productos'!$A$3:$GG$587,'0.Productos'!CU$1+1,0),"")</f>
        <v/>
      </c>
      <c r="BD359" s="133" t="str">
        <f>IF($A359&lt;&gt;0,VLOOKUP($A359,'0.Productos'!$A$3:$GG$587,'0.Productos'!CV$1+1,0),"")</f>
        <v/>
      </c>
      <c r="BE359" s="133" t="str">
        <f>IF($A359&lt;&gt;0,VLOOKUP($A359,'0.Productos'!$A$3:$GG$587,'0.Productos'!CW$1+1,0),"")</f>
        <v/>
      </c>
      <c r="BF359" s="133" t="str">
        <f>IF($A359&lt;&gt;0,VLOOKUP($A359,'0.Productos'!$A$3:$GG$587,'0.Productos'!CX$1+1,0),"")</f>
        <v/>
      </c>
      <c r="BG359" s="133" t="str">
        <f>IF($A359&lt;&gt;0,VLOOKUP($A359,'0.Productos'!$A$3:$GG$587,'0.Productos'!CY$1+1,0),"")</f>
        <v/>
      </c>
      <c r="BH359" s="133" t="str">
        <f>IF($A359&lt;&gt;0,VLOOKUP($A359,'0.Productos'!$A$3:$GG$587,'0.Productos'!CZ$1+1,0),"")</f>
        <v/>
      </c>
      <c r="BI359" s="133" t="str">
        <f>IF($A359&lt;&gt;0,VLOOKUP($A359,'0.Productos'!$A$3:$GG$587,'0.Productos'!DA$1+1,0),"")</f>
        <v/>
      </c>
      <c r="BJ359" s="133" t="str">
        <f>IF($A359&lt;&gt;0,VLOOKUP($A359,'0.Productos'!$A$3:$GG$587,'0.Productos'!DB$1+1,0),"")</f>
        <v/>
      </c>
      <c r="BK359" s="133" t="str">
        <f>IF($A359&lt;&gt;0,VLOOKUP($A359,'0.Productos'!$A$3:$GG$587,'0.Productos'!DC$1+1,0),"")</f>
        <v/>
      </c>
      <c r="BL359" s="133" t="str">
        <f>IF($A359&lt;&gt;0,VLOOKUP($A359,'0.Productos'!$A$3:$GG$587,'0.Productos'!DD$1+1,0),"")</f>
        <v/>
      </c>
      <c r="BM359" s="133" t="str">
        <f>IF($A359&lt;&gt;0,VLOOKUP($A359,'0.Productos'!$A$3:$GG$587,'0.Productos'!DE$1+1,0),"")</f>
        <v/>
      </c>
      <c r="BN359" s="133" t="str">
        <f>IF($A359&lt;&gt;0,VLOOKUP($A359,'0.Productos'!$A$3:$GG$587,'0.Productos'!DF$1+1,0),"")</f>
        <v/>
      </c>
      <c r="BO359" s="133" t="str">
        <f>IF($A359&lt;&gt;0,VLOOKUP($A359,'0.Productos'!$A$3:$GG$587,'0.Productos'!DG$1+1,0),"")</f>
        <v/>
      </c>
      <c r="BP359" s="133" t="str">
        <f>IF($A359&lt;&gt;0,VLOOKUP($A359,'0.Productos'!$A$3:$GG$587,'0.Productos'!DH$1+1,0),"")</f>
        <v/>
      </c>
      <c r="BQ359" s="133" t="str">
        <f>IF($A359&lt;&gt;0,VLOOKUP($A359,'0.Productos'!$A$3:$GG$587,'0.Productos'!DI$1+1,0),"")</f>
        <v/>
      </c>
      <c r="BR359" s="133" t="str">
        <f>IF($A359&lt;&gt;0,VLOOKUP($A359,'0.Productos'!$A$3:$GG$587,'0.Productos'!DJ$1+1,0),"")</f>
        <v/>
      </c>
      <c r="BS359" s="133" t="str">
        <f>IF($A359&lt;&gt;0,VLOOKUP($A359,'0.Productos'!$A$3:$GG$587,'0.Productos'!DK$1+1,0),"")</f>
        <v/>
      </c>
      <c r="BT359" s="133" t="str">
        <f>IF($A359&lt;&gt;0,VLOOKUP($A359,'0.Productos'!$A$3:$GG$587,'0.Productos'!DL$1+1,0),"")</f>
        <v/>
      </c>
    </row>
    <row r="360" spans="1:72" x14ac:dyDescent="0.25">
      <c r="A360" s="17">
        <f>'0.Consolidado general'!A360</f>
        <v>0</v>
      </c>
      <c r="B360" s="133" t="str">
        <f>IF($A360&lt;&gt;0,VLOOKUP($A360,'0.Productos'!$A$3:$GG$587,'0.Productos'!AT$1+1,0),"")</f>
        <v/>
      </c>
      <c r="C360" s="133" t="str">
        <f>IF($A360&lt;&gt;0,VLOOKUP($A360,'0.Productos'!$A$3:$GG$587,'0.Productos'!AU$1+1,0),"")</f>
        <v/>
      </c>
      <c r="D360" s="133" t="str">
        <f>IF($A360&lt;&gt;0,VLOOKUP($A360,'0.Productos'!$A$3:$GG$587,'0.Productos'!AV$1+1,0),"")</f>
        <v/>
      </c>
      <c r="E360" s="133" t="str">
        <f>IF($A360&lt;&gt;0,VLOOKUP($A360,'0.Productos'!$A$3:$GG$587,'0.Productos'!AW$1+1,0),"")</f>
        <v/>
      </c>
      <c r="F360" s="133" t="str">
        <f>IF($A360&lt;&gt;0,VLOOKUP($A360,'0.Productos'!$A$3:$GG$587,'0.Productos'!AX$1+1,0),"")</f>
        <v/>
      </c>
      <c r="G360" s="133" t="str">
        <f>IF($A360&lt;&gt;0,VLOOKUP($A360,'0.Productos'!$A$3:$GG$587,'0.Productos'!AY$1+1,0),"")</f>
        <v/>
      </c>
      <c r="H360" s="133" t="str">
        <f>IF($A360&lt;&gt;0,VLOOKUP($A360,'0.Productos'!$A$3:$GG$587,'0.Productos'!AZ$1+1,0),"")</f>
        <v/>
      </c>
      <c r="I360" s="133" t="str">
        <f>IF($A360&lt;&gt;0,VLOOKUP($A360,'0.Productos'!$A$3:$GG$587,'0.Productos'!BA$1+1,0),"")</f>
        <v/>
      </c>
      <c r="J360" s="133" t="str">
        <f>IF($A360&lt;&gt;0,VLOOKUP($A360,'0.Productos'!$A$3:$GG$587,'0.Productos'!BB$1+1,0),"")</f>
        <v/>
      </c>
      <c r="K360" s="133" t="str">
        <f>IF($A360&lt;&gt;0,VLOOKUP($A360,'0.Productos'!$A$3:$GG$587,'0.Productos'!BC$1+1,0),"")</f>
        <v/>
      </c>
      <c r="L360" s="133" t="str">
        <f>IF($A360&lt;&gt;0,VLOOKUP($A360,'0.Productos'!$A$3:$GG$587,'0.Productos'!BD$1+1,0),"")</f>
        <v/>
      </c>
      <c r="M360" s="133" t="str">
        <f>IF($A360&lt;&gt;0,VLOOKUP($A360,'0.Productos'!$A$3:$GG$587,'0.Productos'!BE$1+1,0),"")</f>
        <v/>
      </c>
      <c r="N360" s="133" t="str">
        <f>IF($A360&lt;&gt;0,VLOOKUP($A360,'0.Productos'!$A$3:$GG$587,'0.Productos'!BF$1+1,0),"")</f>
        <v/>
      </c>
      <c r="O360" s="133" t="str">
        <f>IF($A360&lt;&gt;0,VLOOKUP($A360,'0.Productos'!$A$3:$GG$587,'0.Productos'!BG$1+1,0),"")</f>
        <v/>
      </c>
      <c r="P360" s="133" t="str">
        <f>IF($A360&lt;&gt;0,VLOOKUP($A360,'0.Productos'!$A$3:$GG$587,'0.Productos'!BH$1+1,0),"")</f>
        <v/>
      </c>
      <c r="Q360" s="133" t="str">
        <f>IF($A360&lt;&gt;0,VLOOKUP($A360,'0.Productos'!$A$3:$GG$587,'0.Productos'!BI$1+1,0),"")</f>
        <v/>
      </c>
      <c r="R360" s="133" t="str">
        <f>IF($A360&lt;&gt;0,VLOOKUP($A360,'0.Productos'!$A$3:$GG$587,'0.Productos'!BJ$1+1,0),"")</f>
        <v/>
      </c>
      <c r="S360" s="133" t="str">
        <f>IF($A360&lt;&gt;0,VLOOKUP($A360,'0.Productos'!$A$3:$GG$587,'0.Productos'!BK$1+1,0),"")</f>
        <v/>
      </c>
      <c r="T360" s="133" t="str">
        <f>IF($A360&lt;&gt;0,VLOOKUP($A360,'0.Productos'!$A$3:$GG$587,'0.Productos'!BL$1+1,0),"")</f>
        <v/>
      </c>
      <c r="U360" s="133" t="str">
        <f>IF($A360&lt;&gt;0,VLOOKUP($A360,'0.Productos'!$A$3:$GG$587,'0.Productos'!BM$1+1,0),"")</f>
        <v/>
      </c>
      <c r="V360" s="133" t="str">
        <f>IF($A360&lt;&gt;0,VLOOKUP($A360,'0.Productos'!$A$3:$GG$587,'0.Productos'!BN$1+1,0),"")</f>
        <v/>
      </c>
      <c r="W360" s="133" t="str">
        <f>IF($A360&lt;&gt;0,VLOOKUP($A360,'0.Productos'!$A$3:$GG$587,'0.Productos'!BO$1+1,0),"")</f>
        <v/>
      </c>
      <c r="X360" s="133" t="str">
        <f>IF($A360&lt;&gt;0,VLOOKUP($A360,'0.Productos'!$A$3:$GG$587,'0.Productos'!BP$1+1,0),"")</f>
        <v/>
      </c>
      <c r="Y360" s="133" t="str">
        <f>IF($A360&lt;&gt;0,VLOOKUP($A360,'0.Productos'!$A$3:$GG$587,'0.Productos'!BQ$1+1,0),"")</f>
        <v/>
      </c>
      <c r="Z360" s="133" t="str">
        <f>IF($A360&lt;&gt;0,VLOOKUP($A360,'0.Productos'!$A$3:$GG$587,'0.Productos'!BR$1+1,0),"")</f>
        <v/>
      </c>
      <c r="AA360" s="133" t="str">
        <f>IF($A360&lt;&gt;0,VLOOKUP($A360,'0.Productos'!$A$3:$GG$587,'0.Productos'!BS$1+1,0),"")</f>
        <v/>
      </c>
      <c r="AB360" s="133" t="str">
        <f>IF($A360&lt;&gt;0,VLOOKUP($A360,'0.Productos'!$A$3:$GG$587,'0.Productos'!BT$1+1,0),"")</f>
        <v/>
      </c>
      <c r="AC360" s="133" t="str">
        <f>IF($A360&lt;&gt;0,VLOOKUP($A360,'0.Productos'!$A$3:$GG$587,'0.Productos'!BU$1+1,0),"")</f>
        <v/>
      </c>
      <c r="AD360" s="133" t="str">
        <f>IF($A360&lt;&gt;0,VLOOKUP($A360,'0.Productos'!$A$3:$GG$587,'0.Productos'!BV$1+1,0),"")</f>
        <v/>
      </c>
      <c r="AE360" s="133" t="str">
        <f>IF($A360&lt;&gt;0,VLOOKUP($A360,'0.Productos'!$A$3:$GG$587,'0.Productos'!BW$1+1,0),"")</f>
        <v/>
      </c>
      <c r="AF360" s="133" t="str">
        <f>IF($A360&lt;&gt;0,VLOOKUP($A360,'0.Productos'!$A$3:$GG$587,'0.Productos'!BX$1+1,0),"")</f>
        <v/>
      </c>
      <c r="AG360" s="133" t="str">
        <f>IF($A360&lt;&gt;0,VLOOKUP($A360,'0.Productos'!$A$3:$GG$587,'0.Productos'!BY$1+1,0),"")</f>
        <v/>
      </c>
      <c r="AH360" s="133" t="str">
        <f>IF($A360&lt;&gt;0,VLOOKUP($A360,'0.Productos'!$A$3:$GG$587,'0.Productos'!BZ$1+1,0),"")</f>
        <v/>
      </c>
      <c r="AI360" s="133" t="str">
        <f>IF($A360&lt;&gt;0,VLOOKUP($A360,'0.Productos'!$A$3:$GG$587,'0.Productos'!CA$1+1,0),"")</f>
        <v/>
      </c>
      <c r="AJ360" s="133" t="str">
        <f>IF($A360&lt;&gt;0,VLOOKUP($A360,'0.Productos'!$A$3:$GG$587,'0.Productos'!CB$1+1,0),"")</f>
        <v/>
      </c>
      <c r="AK360" s="133" t="str">
        <f>IF($A360&lt;&gt;0,VLOOKUP($A360,'0.Productos'!$A$3:$GG$587,'0.Productos'!CC$1+1,0),"")</f>
        <v/>
      </c>
      <c r="AL360" s="133" t="str">
        <f>IF($A360&lt;&gt;0,VLOOKUP($A360,'0.Productos'!$A$3:$GG$587,'0.Productos'!CD$1+1,0),"")</f>
        <v/>
      </c>
      <c r="AM360" s="133" t="str">
        <f>IF($A360&lt;&gt;0,VLOOKUP($A360,'0.Productos'!$A$3:$GG$587,'0.Productos'!CE$1+1,0),"")</f>
        <v/>
      </c>
      <c r="AN360" s="133" t="str">
        <f>IF($A360&lt;&gt;0,VLOOKUP($A360,'0.Productos'!$A$3:$GG$587,'0.Productos'!CF$1+1,0),"")</f>
        <v/>
      </c>
      <c r="AO360" s="133" t="str">
        <f>IF($A360&lt;&gt;0,VLOOKUP($A360,'0.Productos'!$A$3:$GG$587,'0.Productos'!CG$1+1,0),"")</f>
        <v/>
      </c>
      <c r="AP360" s="133" t="str">
        <f>IF($A360&lt;&gt;0,VLOOKUP($A360,'0.Productos'!$A$3:$GG$587,'0.Productos'!CH$1+1,0),"")</f>
        <v/>
      </c>
      <c r="AQ360" s="133" t="str">
        <f>IF($A360&lt;&gt;0,VLOOKUP($A360,'0.Productos'!$A$3:$GG$587,'0.Productos'!CI$1+1,0),"")</f>
        <v/>
      </c>
      <c r="AR360" s="133" t="str">
        <f>IF($A360&lt;&gt;0,VLOOKUP($A360,'0.Productos'!$A$3:$GG$587,'0.Productos'!CJ$1+1,0),"")</f>
        <v/>
      </c>
      <c r="AS360" s="133" t="str">
        <f>IF($A360&lt;&gt;0,VLOOKUP($A360,'0.Productos'!$A$3:$GG$587,'0.Productos'!CK$1+1,0),"")</f>
        <v/>
      </c>
      <c r="AT360" s="133" t="str">
        <f>IF($A360&lt;&gt;0,VLOOKUP($A360,'0.Productos'!$A$3:$GG$587,'0.Productos'!CL$1+1,0),"")</f>
        <v/>
      </c>
      <c r="AU360" s="133" t="str">
        <f>IF($A360&lt;&gt;0,VLOOKUP($A360,'0.Productos'!$A$3:$GG$587,'0.Productos'!CM$1+1,0),"")</f>
        <v/>
      </c>
      <c r="AV360" s="133" t="str">
        <f>IF($A360&lt;&gt;0,VLOOKUP($A360,'0.Productos'!$A$3:$GG$587,'0.Productos'!CN$1+1,0),"")</f>
        <v/>
      </c>
      <c r="AW360" s="133" t="str">
        <f>IF($A360&lt;&gt;0,VLOOKUP($A360,'0.Productos'!$A$3:$GG$587,'0.Productos'!CO$1+1,0),"")</f>
        <v/>
      </c>
      <c r="AX360" s="133" t="str">
        <f>IF($A360&lt;&gt;0,VLOOKUP($A360,'0.Productos'!$A$3:$GG$587,'0.Productos'!CP$1+1,0),"")</f>
        <v/>
      </c>
      <c r="AY360" s="133" t="str">
        <f>IF($A360&lt;&gt;0,VLOOKUP($A360,'0.Productos'!$A$3:$GG$587,'0.Productos'!CQ$1+1,0),"")</f>
        <v/>
      </c>
      <c r="AZ360" s="133" t="str">
        <f>IF($A360&lt;&gt;0,VLOOKUP($A360,'0.Productos'!$A$3:$GG$587,'0.Productos'!CR$1+1,0),"")</f>
        <v/>
      </c>
      <c r="BA360" s="133" t="str">
        <f>IF($A360&lt;&gt;0,VLOOKUP($A360,'0.Productos'!$A$3:$GG$587,'0.Productos'!CS$1+1,0),"")</f>
        <v/>
      </c>
      <c r="BB360" s="133" t="str">
        <f>IF($A360&lt;&gt;0,VLOOKUP($A360,'0.Productos'!$A$3:$GG$587,'0.Productos'!CT$1+1,0),"")</f>
        <v/>
      </c>
      <c r="BC360" s="133" t="str">
        <f>IF($A360&lt;&gt;0,VLOOKUP($A360,'0.Productos'!$A$3:$GG$587,'0.Productos'!CU$1+1,0),"")</f>
        <v/>
      </c>
      <c r="BD360" s="133" t="str">
        <f>IF($A360&lt;&gt;0,VLOOKUP($A360,'0.Productos'!$A$3:$GG$587,'0.Productos'!CV$1+1,0),"")</f>
        <v/>
      </c>
      <c r="BE360" s="133" t="str">
        <f>IF($A360&lt;&gt;0,VLOOKUP($A360,'0.Productos'!$A$3:$GG$587,'0.Productos'!CW$1+1,0),"")</f>
        <v/>
      </c>
      <c r="BF360" s="133" t="str">
        <f>IF($A360&lt;&gt;0,VLOOKUP($A360,'0.Productos'!$A$3:$GG$587,'0.Productos'!CX$1+1,0),"")</f>
        <v/>
      </c>
      <c r="BG360" s="133" t="str">
        <f>IF($A360&lt;&gt;0,VLOOKUP($A360,'0.Productos'!$A$3:$GG$587,'0.Productos'!CY$1+1,0),"")</f>
        <v/>
      </c>
      <c r="BH360" s="133" t="str">
        <f>IF($A360&lt;&gt;0,VLOOKUP($A360,'0.Productos'!$A$3:$GG$587,'0.Productos'!CZ$1+1,0),"")</f>
        <v/>
      </c>
      <c r="BI360" s="133" t="str">
        <f>IF($A360&lt;&gt;0,VLOOKUP($A360,'0.Productos'!$A$3:$GG$587,'0.Productos'!DA$1+1,0),"")</f>
        <v/>
      </c>
      <c r="BJ360" s="133" t="str">
        <f>IF($A360&lt;&gt;0,VLOOKUP($A360,'0.Productos'!$A$3:$GG$587,'0.Productos'!DB$1+1,0),"")</f>
        <v/>
      </c>
      <c r="BK360" s="133" t="str">
        <f>IF($A360&lt;&gt;0,VLOOKUP($A360,'0.Productos'!$A$3:$GG$587,'0.Productos'!DC$1+1,0),"")</f>
        <v/>
      </c>
      <c r="BL360" s="133" t="str">
        <f>IF($A360&lt;&gt;0,VLOOKUP($A360,'0.Productos'!$A$3:$GG$587,'0.Productos'!DD$1+1,0),"")</f>
        <v/>
      </c>
      <c r="BM360" s="133" t="str">
        <f>IF($A360&lt;&gt;0,VLOOKUP($A360,'0.Productos'!$A$3:$GG$587,'0.Productos'!DE$1+1,0),"")</f>
        <v/>
      </c>
      <c r="BN360" s="133" t="str">
        <f>IF($A360&lt;&gt;0,VLOOKUP($A360,'0.Productos'!$A$3:$GG$587,'0.Productos'!DF$1+1,0),"")</f>
        <v/>
      </c>
      <c r="BO360" s="133" t="str">
        <f>IF($A360&lt;&gt;0,VLOOKUP($A360,'0.Productos'!$A$3:$GG$587,'0.Productos'!DG$1+1,0),"")</f>
        <v/>
      </c>
      <c r="BP360" s="133" t="str">
        <f>IF($A360&lt;&gt;0,VLOOKUP($A360,'0.Productos'!$A$3:$GG$587,'0.Productos'!DH$1+1,0),"")</f>
        <v/>
      </c>
      <c r="BQ360" s="133" t="str">
        <f>IF($A360&lt;&gt;0,VLOOKUP($A360,'0.Productos'!$A$3:$GG$587,'0.Productos'!DI$1+1,0),"")</f>
        <v/>
      </c>
      <c r="BR360" s="133" t="str">
        <f>IF($A360&lt;&gt;0,VLOOKUP($A360,'0.Productos'!$A$3:$GG$587,'0.Productos'!DJ$1+1,0),"")</f>
        <v/>
      </c>
      <c r="BS360" s="133" t="str">
        <f>IF($A360&lt;&gt;0,VLOOKUP($A360,'0.Productos'!$A$3:$GG$587,'0.Productos'!DK$1+1,0),"")</f>
        <v/>
      </c>
      <c r="BT360" s="133" t="str">
        <f>IF($A360&lt;&gt;0,VLOOKUP($A360,'0.Productos'!$A$3:$GG$587,'0.Productos'!DL$1+1,0),"")</f>
        <v/>
      </c>
    </row>
    <row r="361" spans="1:72" x14ac:dyDescent="0.25">
      <c r="A361" s="17">
        <f>'0.Consolidado general'!A361</f>
        <v>0</v>
      </c>
      <c r="B361" s="133" t="str">
        <f>IF($A361&lt;&gt;0,VLOOKUP($A361,'0.Productos'!$A$3:$GG$587,'0.Productos'!AT$1+1,0),"")</f>
        <v/>
      </c>
      <c r="C361" s="133" t="str">
        <f>IF($A361&lt;&gt;0,VLOOKUP($A361,'0.Productos'!$A$3:$GG$587,'0.Productos'!AU$1+1,0),"")</f>
        <v/>
      </c>
      <c r="D361" s="133" t="str">
        <f>IF($A361&lt;&gt;0,VLOOKUP($A361,'0.Productos'!$A$3:$GG$587,'0.Productos'!AV$1+1,0),"")</f>
        <v/>
      </c>
      <c r="E361" s="133" t="str">
        <f>IF($A361&lt;&gt;0,VLOOKUP($A361,'0.Productos'!$A$3:$GG$587,'0.Productos'!AW$1+1,0),"")</f>
        <v/>
      </c>
      <c r="F361" s="133" t="str">
        <f>IF($A361&lt;&gt;0,VLOOKUP($A361,'0.Productos'!$A$3:$GG$587,'0.Productos'!AX$1+1,0),"")</f>
        <v/>
      </c>
      <c r="G361" s="133" t="str">
        <f>IF($A361&lt;&gt;0,VLOOKUP($A361,'0.Productos'!$A$3:$GG$587,'0.Productos'!AY$1+1,0),"")</f>
        <v/>
      </c>
      <c r="H361" s="133" t="str">
        <f>IF($A361&lt;&gt;0,VLOOKUP($A361,'0.Productos'!$A$3:$GG$587,'0.Productos'!AZ$1+1,0),"")</f>
        <v/>
      </c>
      <c r="I361" s="133" t="str">
        <f>IF($A361&lt;&gt;0,VLOOKUP($A361,'0.Productos'!$A$3:$GG$587,'0.Productos'!BA$1+1,0),"")</f>
        <v/>
      </c>
      <c r="J361" s="133" t="str">
        <f>IF($A361&lt;&gt;0,VLOOKUP($A361,'0.Productos'!$A$3:$GG$587,'0.Productos'!BB$1+1,0),"")</f>
        <v/>
      </c>
      <c r="K361" s="133" t="str">
        <f>IF($A361&lt;&gt;0,VLOOKUP($A361,'0.Productos'!$A$3:$GG$587,'0.Productos'!BC$1+1,0),"")</f>
        <v/>
      </c>
      <c r="L361" s="133" t="str">
        <f>IF($A361&lt;&gt;0,VLOOKUP($A361,'0.Productos'!$A$3:$GG$587,'0.Productos'!BD$1+1,0),"")</f>
        <v/>
      </c>
      <c r="M361" s="133" t="str">
        <f>IF($A361&lt;&gt;0,VLOOKUP($A361,'0.Productos'!$A$3:$GG$587,'0.Productos'!BE$1+1,0),"")</f>
        <v/>
      </c>
      <c r="N361" s="133" t="str">
        <f>IF($A361&lt;&gt;0,VLOOKUP($A361,'0.Productos'!$A$3:$GG$587,'0.Productos'!BF$1+1,0),"")</f>
        <v/>
      </c>
      <c r="O361" s="133" t="str">
        <f>IF($A361&lt;&gt;0,VLOOKUP($A361,'0.Productos'!$A$3:$GG$587,'0.Productos'!BG$1+1,0),"")</f>
        <v/>
      </c>
      <c r="P361" s="133" t="str">
        <f>IF($A361&lt;&gt;0,VLOOKUP($A361,'0.Productos'!$A$3:$GG$587,'0.Productos'!BH$1+1,0),"")</f>
        <v/>
      </c>
      <c r="Q361" s="133" t="str">
        <f>IF($A361&lt;&gt;0,VLOOKUP($A361,'0.Productos'!$A$3:$GG$587,'0.Productos'!BI$1+1,0),"")</f>
        <v/>
      </c>
      <c r="R361" s="133" t="str">
        <f>IF($A361&lt;&gt;0,VLOOKUP($A361,'0.Productos'!$A$3:$GG$587,'0.Productos'!BJ$1+1,0),"")</f>
        <v/>
      </c>
      <c r="S361" s="133" t="str">
        <f>IF($A361&lt;&gt;0,VLOOKUP($A361,'0.Productos'!$A$3:$GG$587,'0.Productos'!BK$1+1,0),"")</f>
        <v/>
      </c>
      <c r="T361" s="133" t="str">
        <f>IF($A361&lt;&gt;0,VLOOKUP($A361,'0.Productos'!$A$3:$GG$587,'0.Productos'!BL$1+1,0),"")</f>
        <v/>
      </c>
      <c r="U361" s="133" t="str">
        <f>IF($A361&lt;&gt;0,VLOOKUP($A361,'0.Productos'!$A$3:$GG$587,'0.Productos'!BM$1+1,0),"")</f>
        <v/>
      </c>
      <c r="V361" s="133" t="str">
        <f>IF($A361&lt;&gt;0,VLOOKUP($A361,'0.Productos'!$A$3:$GG$587,'0.Productos'!BN$1+1,0),"")</f>
        <v/>
      </c>
      <c r="W361" s="133" t="str">
        <f>IF($A361&lt;&gt;0,VLOOKUP($A361,'0.Productos'!$A$3:$GG$587,'0.Productos'!BO$1+1,0),"")</f>
        <v/>
      </c>
      <c r="X361" s="133" t="str">
        <f>IF($A361&lt;&gt;0,VLOOKUP($A361,'0.Productos'!$A$3:$GG$587,'0.Productos'!BP$1+1,0),"")</f>
        <v/>
      </c>
      <c r="Y361" s="133" t="str">
        <f>IF($A361&lt;&gt;0,VLOOKUP($A361,'0.Productos'!$A$3:$GG$587,'0.Productos'!BQ$1+1,0),"")</f>
        <v/>
      </c>
      <c r="Z361" s="133" t="str">
        <f>IF($A361&lt;&gt;0,VLOOKUP($A361,'0.Productos'!$A$3:$GG$587,'0.Productos'!BR$1+1,0),"")</f>
        <v/>
      </c>
      <c r="AA361" s="133" t="str">
        <f>IF($A361&lt;&gt;0,VLOOKUP($A361,'0.Productos'!$A$3:$GG$587,'0.Productos'!BS$1+1,0),"")</f>
        <v/>
      </c>
      <c r="AB361" s="133" t="str">
        <f>IF($A361&lt;&gt;0,VLOOKUP($A361,'0.Productos'!$A$3:$GG$587,'0.Productos'!BT$1+1,0),"")</f>
        <v/>
      </c>
      <c r="AC361" s="133" t="str">
        <f>IF($A361&lt;&gt;0,VLOOKUP($A361,'0.Productos'!$A$3:$GG$587,'0.Productos'!BU$1+1,0),"")</f>
        <v/>
      </c>
      <c r="AD361" s="133" t="str">
        <f>IF($A361&lt;&gt;0,VLOOKUP($A361,'0.Productos'!$A$3:$GG$587,'0.Productos'!BV$1+1,0),"")</f>
        <v/>
      </c>
      <c r="AE361" s="133" t="str">
        <f>IF($A361&lt;&gt;0,VLOOKUP($A361,'0.Productos'!$A$3:$GG$587,'0.Productos'!BW$1+1,0),"")</f>
        <v/>
      </c>
      <c r="AF361" s="133" t="str">
        <f>IF($A361&lt;&gt;0,VLOOKUP($A361,'0.Productos'!$A$3:$GG$587,'0.Productos'!BX$1+1,0),"")</f>
        <v/>
      </c>
      <c r="AG361" s="133" t="str">
        <f>IF($A361&lt;&gt;0,VLOOKUP($A361,'0.Productos'!$A$3:$GG$587,'0.Productos'!BY$1+1,0),"")</f>
        <v/>
      </c>
      <c r="AH361" s="133" t="str">
        <f>IF($A361&lt;&gt;0,VLOOKUP($A361,'0.Productos'!$A$3:$GG$587,'0.Productos'!BZ$1+1,0),"")</f>
        <v/>
      </c>
      <c r="AI361" s="133" t="str">
        <f>IF($A361&lt;&gt;0,VLOOKUP($A361,'0.Productos'!$A$3:$GG$587,'0.Productos'!CA$1+1,0),"")</f>
        <v/>
      </c>
      <c r="AJ361" s="133" t="str">
        <f>IF($A361&lt;&gt;0,VLOOKUP($A361,'0.Productos'!$A$3:$GG$587,'0.Productos'!CB$1+1,0),"")</f>
        <v/>
      </c>
      <c r="AK361" s="133" t="str">
        <f>IF($A361&lt;&gt;0,VLOOKUP($A361,'0.Productos'!$A$3:$GG$587,'0.Productos'!CC$1+1,0),"")</f>
        <v/>
      </c>
      <c r="AL361" s="133" t="str">
        <f>IF($A361&lt;&gt;0,VLOOKUP($A361,'0.Productos'!$A$3:$GG$587,'0.Productos'!CD$1+1,0),"")</f>
        <v/>
      </c>
      <c r="AM361" s="133" t="str">
        <f>IF($A361&lt;&gt;0,VLOOKUP($A361,'0.Productos'!$A$3:$GG$587,'0.Productos'!CE$1+1,0),"")</f>
        <v/>
      </c>
      <c r="AN361" s="133" t="str">
        <f>IF($A361&lt;&gt;0,VLOOKUP($A361,'0.Productos'!$A$3:$GG$587,'0.Productos'!CF$1+1,0),"")</f>
        <v/>
      </c>
      <c r="AO361" s="133" t="str">
        <f>IF($A361&lt;&gt;0,VLOOKUP($A361,'0.Productos'!$A$3:$GG$587,'0.Productos'!CG$1+1,0),"")</f>
        <v/>
      </c>
      <c r="AP361" s="133" t="str">
        <f>IF($A361&lt;&gt;0,VLOOKUP($A361,'0.Productos'!$A$3:$GG$587,'0.Productos'!CH$1+1,0),"")</f>
        <v/>
      </c>
      <c r="AQ361" s="133" t="str">
        <f>IF($A361&lt;&gt;0,VLOOKUP($A361,'0.Productos'!$A$3:$GG$587,'0.Productos'!CI$1+1,0),"")</f>
        <v/>
      </c>
      <c r="AR361" s="133" t="str">
        <f>IF($A361&lt;&gt;0,VLOOKUP($A361,'0.Productos'!$A$3:$GG$587,'0.Productos'!CJ$1+1,0),"")</f>
        <v/>
      </c>
      <c r="AS361" s="133" t="str">
        <f>IF($A361&lt;&gt;0,VLOOKUP($A361,'0.Productos'!$A$3:$GG$587,'0.Productos'!CK$1+1,0),"")</f>
        <v/>
      </c>
      <c r="AT361" s="133" t="str">
        <f>IF($A361&lt;&gt;0,VLOOKUP($A361,'0.Productos'!$A$3:$GG$587,'0.Productos'!CL$1+1,0),"")</f>
        <v/>
      </c>
      <c r="AU361" s="133" t="str">
        <f>IF($A361&lt;&gt;0,VLOOKUP($A361,'0.Productos'!$A$3:$GG$587,'0.Productos'!CM$1+1,0),"")</f>
        <v/>
      </c>
      <c r="AV361" s="133" t="str">
        <f>IF($A361&lt;&gt;0,VLOOKUP($A361,'0.Productos'!$A$3:$GG$587,'0.Productos'!CN$1+1,0),"")</f>
        <v/>
      </c>
      <c r="AW361" s="133" t="str">
        <f>IF($A361&lt;&gt;0,VLOOKUP($A361,'0.Productos'!$A$3:$GG$587,'0.Productos'!CO$1+1,0),"")</f>
        <v/>
      </c>
      <c r="AX361" s="133" t="str">
        <f>IF($A361&lt;&gt;0,VLOOKUP($A361,'0.Productos'!$A$3:$GG$587,'0.Productos'!CP$1+1,0),"")</f>
        <v/>
      </c>
      <c r="AY361" s="133" t="str">
        <f>IF($A361&lt;&gt;0,VLOOKUP($A361,'0.Productos'!$A$3:$GG$587,'0.Productos'!CQ$1+1,0),"")</f>
        <v/>
      </c>
      <c r="AZ361" s="133" t="str">
        <f>IF($A361&lt;&gt;0,VLOOKUP($A361,'0.Productos'!$A$3:$GG$587,'0.Productos'!CR$1+1,0),"")</f>
        <v/>
      </c>
      <c r="BA361" s="133" t="str">
        <f>IF($A361&lt;&gt;0,VLOOKUP($A361,'0.Productos'!$A$3:$GG$587,'0.Productos'!CS$1+1,0),"")</f>
        <v/>
      </c>
      <c r="BB361" s="133" t="str">
        <f>IF($A361&lt;&gt;0,VLOOKUP($A361,'0.Productos'!$A$3:$GG$587,'0.Productos'!CT$1+1,0),"")</f>
        <v/>
      </c>
      <c r="BC361" s="133" t="str">
        <f>IF($A361&lt;&gt;0,VLOOKUP($A361,'0.Productos'!$A$3:$GG$587,'0.Productos'!CU$1+1,0),"")</f>
        <v/>
      </c>
      <c r="BD361" s="133" t="str">
        <f>IF($A361&lt;&gt;0,VLOOKUP($A361,'0.Productos'!$A$3:$GG$587,'0.Productos'!CV$1+1,0),"")</f>
        <v/>
      </c>
      <c r="BE361" s="133" t="str">
        <f>IF($A361&lt;&gt;0,VLOOKUP($A361,'0.Productos'!$A$3:$GG$587,'0.Productos'!CW$1+1,0),"")</f>
        <v/>
      </c>
      <c r="BF361" s="133" t="str">
        <f>IF($A361&lt;&gt;0,VLOOKUP($A361,'0.Productos'!$A$3:$GG$587,'0.Productos'!CX$1+1,0),"")</f>
        <v/>
      </c>
      <c r="BG361" s="133" t="str">
        <f>IF($A361&lt;&gt;0,VLOOKUP($A361,'0.Productos'!$A$3:$GG$587,'0.Productos'!CY$1+1,0),"")</f>
        <v/>
      </c>
      <c r="BH361" s="133" t="str">
        <f>IF($A361&lt;&gt;0,VLOOKUP($A361,'0.Productos'!$A$3:$GG$587,'0.Productos'!CZ$1+1,0),"")</f>
        <v/>
      </c>
      <c r="BI361" s="133" t="str">
        <f>IF($A361&lt;&gt;0,VLOOKUP($A361,'0.Productos'!$A$3:$GG$587,'0.Productos'!DA$1+1,0),"")</f>
        <v/>
      </c>
      <c r="BJ361" s="133" t="str">
        <f>IF($A361&lt;&gt;0,VLOOKUP($A361,'0.Productos'!$A$3:$GG$587,'0.Productos'!DB$1+1,0),"")</f>
        <v/>
      </c>
      <c r="BK361" s="133" t="str">
        <f>IF($A361&lt;&gt;0,VLOOKUP($A361,'0.Productos'!$A$3:$GG$587,'0.Productos'!DC$1+1,0),"")</f>
        <v/>
      </c>
      <c r="BL361" s="133" t="str">
        <f>IF($A361&lt;&gt;0,VLOOKUP($A361,'0.Productos'!$A$3:$GG$587,'0.Productos'!DD$1+1,0),"")</f>
        <v/>
      </c>
      <c r="BM361" s="133" t="str">
        <f>IF($A361&lt;&gt;0,VLOOKUP($A361,'0.Productos'!$A$3:$GG$587,'0.Productos'!DE$1+1,0),"")</f>
        <v/>
      </c>
      <c r="BN361" s="133" t="str">
        <f>IF($A361&lt;&gt;0,VLOOKUP($A361,'0.Productos'!$A$3:$GG$587,'0.Productos'!DF$1+1,0),"")</f>
        <v/>
      </c>
      <c r="BO361" s="133" t="str">
        <f>IF($A361&lt;&gt;0,VLOOKUP($A361,'0.Productos'!$A$3:$GG$587,'0.Productos'!DG$1+1,0),"")</f>
        <v/>
      </c>
      <c r="BP361" s="133" t="str">
        <f>IF($A361&lt;&gt;0,VLOOKUP($A361,'0.Productos'!$A$3:$GG$587,'0.Productos'!DH$1+1,0),"")</f>
        <v/>
      </c>
      <c r="BQ361" s="133" t="str">
        <f>IF($A361&lt;&gt;0,VLOOKUP($A361,'0.Productos'!$A$3:$GG$587,'0.Productos'!DI$1+1,0),"")</f>
        <v/>
      </c>
      <c r="BR361" s="133" t="str">
        <f>IF($A361&lt;&gt;0,VLOOKUP($A361,'0.Productos'!$A$3:$GG$587,'0.Productos'!DJ$1+1,0),"")</f>
        <v/>
      </c>
      <c r="BS361" s="133" t="str">
        <f>IF($A361&lt;&gt;0,VLOOKUP($A361,'0.Productos'!$A$3:$GG$587,'0.Productos'!DK$1+1,0),"")</f>
        <v/>
      </c>
      <c r="BT361" s="133" t="str">
        <f>IF($A361&lt;&gt;0,VLOOKUP($A361,'0.Productos'!$A$3:$GG$587,'0.Productos'!DL$1+1,0),"")</f>
        <v/>
      </c>
    </row>
    <row r="362" spans="1:72" x14ac:dyDescent="0.25">
      <c r="A362" s="17">
        <f>'0.Consolidado general'!A362</f>
        <v>0</v>
      </c>
      <c r="B362" s="133" t="str">
        <f>IF($A362&lt;&gt;0,VLOOKUP($A362,'0.Productos'!$A$3:$GG$587,'0.Productos'!AT$1+1,0),"")</f>
        <v/>
      </c>
      <c r="C362" s="133" t="str">
        <f>IF($A362&lt;&gt;0,VLOOKUP($A362,'0.Productos'!$A$3:$GG$587,'0.Productos'!AU$1+1,0),"")</f>
        <v/>
      </c>
      <c r="D362" s="133" t="str">
        <f>IF($A362&lt;&gt;0,VLOOKUP($A362,'0.Productos'!$A$3:$GG$587,'0.Productos'!AV$1+1,0),"")</f>
        <v/>
      </c>
      <c r="E362" s="133" t="str">
        <f>IF($A362&lt;&gt;0,VLOOKUP($A362,'0.Productos'!$A$3:$GG$587,'0.Productos'!AW$1+1,0),"")</f>
        <v/>
      </c>
      <c r="F362" s="133" t="str">
        <f>IF($A362&lt;&gt;0,VLOOKUP($A362,'0.Productos'!$A$3:$GG$587,'0.Productos'!AX$1+1,0),"")</f>
        <v/>
      </c>
      <c r="G362" s="133" t="str">
        <f>IF($A362&lt;&gt;0,VLOOKUP($A362,'0.Productos'!$A$3:$GG$587,'0.Productos'!AY$1+1,0),"")</f>
        <v/>
      </c>
      <c r="H362" s="133" t="str">
        <f>IF($A362&lt;&gt;0,VLOOKUP($A362,'0.Productos'!$A$3:$GG$587,'0.Productos'!AZ$1+1,0),"")</f>
        <v/>
      </c>
      <c r="I362" s="133" t="str">
        <f>IF($A362&lt;&gt;0,VLOOKUP($A362,'0.Productos'!$A$3:$GG$587,'0.Productos'!BA$1+1,0),"")</f>
        <v/>
      </c>
      <c r="J362" s="133" t="str">
        <f>IF($A362&lt;&gt;0,VLOOKUP($A362,'0.Productos'!$A$3:$GG$587,'0.Productos'!BB$1+1,0),"")</f>
        <v/>
      </c>
      <c r="K362" s="133" t="str">
        <f>IF($A362&lt;&gt;0,VLOOKUP($A362,'0.Productos'!$A$3:$GG$587,'0.Productos'!BC$1+1,0),"")</f>
        <v/>
      </c>
      <c r="L362" s="133" t="str">
        <f>IF($A362&lt;&gt;0,VLOOKUP($A362,'0.Productos'!$A$3:$GG$587,'0.Productos'!BD$1+1,0),"")</f>
        <v/>
      </c>
      <c r="M362" s="133" t="str">
        <f>IF($A362&lt;&gt;0,VLOOKUP($A362,'0.Productos'!$A$3:$GG$587,'0.Productos'!BE$1+1,0),"")</f>
        <v/>
      </c>
      <c r="N362" s="133" t="str">
        <f>IF($A362&lt;&gt;0,VLOOKUP($A362,'0.Productos'!$A$3:$GG$587,'0.Productos'!BF$1+1,0),"")</f>
        <v/>
      </c>
      <c r="O362" s="133" t="str">
        <f>IF($A362&lt;&gt;0,VLOOKUP($A362,'0.Productos'!$A$3:$GG$587,'0.Productos'!BG$1+1,0),"")</f>
        <v/>
      </c>
      <c r="P362" s="133" t="str">
        <f>IF($A362&lt;&gt;0,VLOOKUP($A362,'0.Productos'!$A$3:$GG$587,'0.Productos'!BH$1+1,0),"")</f>
        <v/>
      </c>
      <c r="Q362" s="133" t="str">
        <f>IF($A362&lt;&gt;0,VLOOKUP($A362,'0.Productos'!$A$3:$GG$587,'0.Productos'!BI$1+1,0),"")</f>
        <v/>
      </c>
      <c r="R362" s="133" t="str">
        <f>IF($A362&lt;&gt;0,VLOOKUP($A362,'0.Productos'!$A$3:$GG$587,'0.Productos'!BJ$1+1,0),"")</f>
        <v/>
      </c>
      <c r="S362" s="133" t="str">
        <f>IF($A362&lt;&gt;0,VLOOKUP($A362,'0.Productos'!$A$3:$GG$587,'0.Productos'!BK$1+1,0),"")</f>
        <v/>
      </c>
      <c r="T362" s="133" t="str">
        <f>IF($A362&lt;&gt;0,VLOOKUP($A362,'0.Productos'!$A$3:$GG$587,'0.Productos'!BL$1+1,0),"")</f>
        <v/>
      </c>
      <c r="U362" s="133" t="str">
        <f>IF($A362&lt;&gt;0,VLOOKUP($A362,'0.Productos'!$A$3:$GG$587,'0.Productos'!BM$1+1,0),"")</f>
        <v/>
      </c>
      <c r="V362" s="133" t="str">
        <f>IF($A362&lt;&gt;0,VLOOKUP($A362,'0.Productos'!$A$3:$GG$587,'0.Productos'!BN$1+1,0),"")</f>
        <v/>
      </c>
      <c r="W362" s="133" t="str">
        <f>IF($A362&lt;&gt;0,VLOOKUP($A362,'0.Productos'!$A$3:$GG$587,'0.Productos'!BO$1+1,0),"")</f>
        <v/>
      </c>
      <c r="X362" s="133" t="str">
        <f>IF($A362&lt;&gt;0,VLOOKUP($A362,'0.Productos'!$A$3:$GG$587,'0.Productos'!BP$1+1,0),"")</f>
        <v/>
      </c>
      <c r="Y362" s="133" t="str">
        <f>IF($A362&lt;&gt;0,VLOOKUP($A362,'0.Productos'!$A$3:$GG$587,'0.Productos'!BQ$1+1,0),"")</f>
        <v/>
      </c>
      <c r="Z362" s="133" t="str">
        <f>IF($A362&lt;&gt;0,VLOOKUP($A362,'0.Productos'!$A$3:$GG$587,'0.Productos'!BR$1+1,0),"")</f>
        <v/>
      </c>
      <c r="AA362" s="133" t="str">
        <f>IF($A362&lt;&gt;0,VLOOKUP($A362,'0.Productos'!$A$3:$GG$587,'0.Productos'!BS$1+1,0),"")</f>
        <v/>
      </c>
      <c r="AB362" s="133" t="str">
        <f>IF($A362&lt;&gt;0,VLOOKUP($A362,'0.Productos'!$A$3:$GG$587,'0.Productos'!BT$1+1,0),"")</f>
        <v/>
      </c>
      <c r="AC362" s="133" t="str">
        <f>IF($A362&lt;&gt;0,VLOOKUP($A362,'0.Productos'!$A$3:$GG$587,'0.Productos'!BU$1+1,0),"")</f>
        <v/>
      </c>
      <c r="AD362" s="133" t="str">
        <f>IF($A362&lt;&gt;0,VLOOKUP($A362,'0.Productos'!$A$3:$GG$587,'0.Productos'!BV$1+1,0),"")</f>
        <v/>
      </c>
      <c r="AE362" s="133" t="str">
        <f>IF($A362&lt;&gt;0,VLOOKUP($A362,'0.Productos'!$A$3:$GG$587,'0.Productos'!BW$1+1,0),"")</f>
        <v/>
      </c>
      <c r="AF362" s="133" t="str">
        <f>IF($A362&lt;&gt;0,VLOOKUP($A362,'0.Productos'!$A$3:$GG$587,'0.Productos'!BX$1+1,0),"")</f>
        <v/>
      </c>
      <c r="AG362" s="133" t="str">
        <f>IF($A362&lt;&gt;0,VLOOKUP($A362,'0.Productos'!$A$3:$GG$587,'0.Productos'!BY$1+1,0),"")</f>
        <v/>
      </c>
      <c r="AH362" s="133" t="str">
        <f>IF($A362&lt;&gt;0,VLOOKUP($A362,'0.Productos'!$A$3:$GG$587,'0.Productos'!BZ$1+1,0),"")</f>
        <v/>
      </c>
      <c r="AI362" s="133" t="str">
        <f>IF($A362&lt;&gt;0,VLOOKUP($A362,'0.Productos'!$A$3:$GG$587,'0.Productos'!CA$1+1,0),"")</f>
        <v/>
      </c>
      <c r="AJ362" s="133" t="str">
        <f>IF($A362&lt;&gt;0,VLOOKUP($A362,'0.Productos'!$A$3:$GG$587,'0.Productos'!CB$1+1,0),"")</f>
        <v/>
      </c>
      <c r="AK362" s="133" t="str">
        <f>IF($A362&lt;&gt;0,VLOOKUP($A362,'0.Productos'!$A$3:$GG$587,'0.Productos'!CC$1+1,0),"")</f>
        <v/>
      </c>
      <c r="AL362" s="133" t="str">
        <f>IF($A362&lt;&gt;0,VLOOKUP($A362,'0.Productos'!$A$3:$GG$587,'0.Productos'!CD$1+1,0),"")</f>
        <v/>
      </c>
      <c r="AM362" s="133" t="str">
        <f>IF($A362&lt;&gt;0,VLOOKUP($A362,'0.Productos'!$A$3:$GG$587,'0.Productos'!CE$1+1,0),"")</f>
        <v/>
      </c>
      <c r="AN362" s="133" t="str">
        <f>IF($A362&lt;&gt;0,VLOOKUP($A362,'0.Productos'!$A$3:$GG$587,'0.Productos'!CF$1+1,0),"")</f>
        <v/>
      </c>
      <c r="AO362" s="133" t="str">
        <f>IF($A362&lt;&gt;0,VLOOKUP($A362,'0.Productos'!$A$3:$GG$587,'0.Productos'!CG$1+1,0),"")</f>
        <v/>
      </c>
      <c r="AP362" s="133" t="str">
        <f>IF($A362&lt;&gt;0,VLOOKUP($A362,'0.Productos'!$A$3:$GG$587,'0.Productos'!CH$1+1,0),"")</f>
        <v/>
      </c>
      <c r="AQ362" s="133" t="str">
        <f>IF($A362&lt;&gt;0,VLOOKUP($A362,'0.Productos'!$A$3:$GG$587,'0.Productos'!CI$1+1,0),"")</f>
        <v/>
      </c>
      <c r="AR362" s="133" t="str">
        <f>IF($A362&lt;&gt;0,VLOOKUP($A362,'0.Productos'!$A$3:$GG$587,'0.Productos'!CJ$1+1,0),"")</f>
        <v/>
      </c>
      <c r="AS362" s="133" t="str">
        <f>IF($A362&lt;&gt;0,VLOOKUP($A362,'0.Productos'!$A$3:$GG$587,'0.Productos'!CK$1+1,0),"")</f>
        <v/>
      </c>
      <c r="AT362" s="133" t="str">
        <f>IF($A362&lt;&gt;0,VLOOKUP($A362,'0.Productos'!$A$3:$GG$587,'0.Productos'!CL$1+1,0),"")</f>
        <v/>
      </c>
      <c r="AU362" s="133" t="str">
        <f>IF($A362&lt;&gt;0,VLOOKUP($A362,'0.Productos'!$A$3:$GG$587,'0.Productos'!CM$1+1,0),"")</f>
        <v/>
      </c>
      <c r="AV362" s="133" t="str">
        <f>IF($A362&lt;&gt;0,VLOOKUP($A362,'0.Productos'!$A$3:$GG$587,'0.Productos'!CN$1+1,0),"")</f>
        <v/>
      </c>
      <c r="AW362" s="133" t="str">
        <f>IF($A362&lt;&gt;0,VLOOKUP($A362,'0.Productos'!$A$3:$GG$587,'0.Productos'!CO$1+1,0),"")</f>
        <v/>
      </c>
      <c r="AX362" s="133" t="str">
        <f>IF($A362&lt;&gt;0,VLOOKUP($A362,'0.Productos'!$A$3:$GG$587,'0.Productos'!CP$1+1,0),"")</f>
        <v/>
      </c>
      <c r="AY362" s="133" t="str">
        <f>IF($A362&lt;&gt;0,VLOOKUP($A362,'0.Productos'!$A$3:$GG$587,'0.Productos'!CQ$1+1,0),"")</f>
        <v/>
      </c>
      <c r="AZ362" s="133" t="str">
        <f>IF($A362&lt;&gt;0,VLOOKUP($A362,'0.Productos'!$A$3:$GG$587,'0.Productos'!CR$1+1,0),"")</f>
        <v/>
      </c>
      <c r="BA362" s="133" t="str">
        <f>IF($A362&lt;&gt;0,VLOOKUP($A362,'0.Productos'!$A$3:$GG$587,'0.Productos'!CS$1+1,0),"")</f>
        <v/>
      </c>
      <c r="BB362" s="133" t="str">
        <f>IF($A362&lt;&gt;0,VLOOKUP($A362,'0.Productos'!$A$3:$GG$587,'0.Productos'!CT$1+1,0),"")</f>
        <v/>
      </c>
      <c r="BC362" s="133" t="str">
        <f>IF($A362&lt;&gt;0,VLOOKUP($A362,'0.Productos'!$A$3:$GG$587,'0.Productos'!CU$1+1,0),"")</f>
        <v/>
      </c>
      <c r="BD362" s="133" t="str">
        <f>IF($A362&lt;&gt;0,VLOOKUP($A362,'0.Productos'!$A$3:$GG$587,'0.Productos'!CV$1+1,0),"")</f>
        <v/>
      </c>
      <c r="BE362" s="133" t="str">
        <f>IF($A362&lt;&gt;0,VLOOKUP($A362,'0.Productos'!$A$3:$GG$587,'0.Productos'!CW$1+1,0),"")</f>
        <v/>
      </c>
      <c r="BF362" s="133" t="str">
        <f>IF($A362&lt;&gt;0,VLOOKUP($A362,'0.Productos'!$A$3:$GG$587,'0.Productos'!CX$1+1,0),"")</f>
        <v/>
      </c>
      <c r="BG362" s="133" t="str">
        <f>IF($A362&lt;&gt;0,VLOOKUP($A362,'0.Productos'!$A$3:$GG$587,'0.Productos'!CY$1+1,0),"")</f>
        <v/>
      </c>
      <c r="BH362" s="133" t="str">
        <f>IF($A362&lt;&gt;0,VLOOKUP($A362,'0.Productos'!$A$3:$GG$587,'0.Productos'!CZ$1+1,0),"")</f>
        <v/>
      </c>
      <c r="BI362" s="133" t="str">
        <f>IF($A362&lt;&gt;0,VLOOKUP($A362,'0.Productos'!$A$3:$GG$587,'0.Productos'!DA$1+1,0),"")</f>
        <v/>
      </c>
      <c r="BJ362" s="133" t="str">
        <f>IF($A362&lt;&gt;0,VLOOKUP($A362,'0.Productos'!$A$3:$GG$587,'0.Productos'!DB$1+1,0),"")</f>
        <v/>
      </c>
      <c r="BK362" s="133" t="str">
        <f>IF($A362&lt;&gt;0,VLOOKUP($A362,'0.Productos'!$A$3:$GG$587,'0.Productos'!DC$1+1,0),"")</f>
        <v/>
      </c>
      <c r="BL362" s="133" t="str">
        <f>IF($A362&lt;&gt;0,VLOOKUP($A362,'0.Productos'!$A$3:$GG$587,'0.Productos'!DD$1+1,0),"")</f>
        <v/>
      </c>
      <c r="BM362" s="133" t="str">
        <f>IF($A362&lt;&gt;0,VLOOKUP($A362,'0.Productos'!$A$3:$GG$587,'0.Productos'!DE$1+1,0),"")</f>
        <v/>
      </c>
      <c r="BN362" s="133" t="str">
        <f>IF($A362&lt;&gt;0,VLOOKUP($A362,'0.Productos'!$A$3:$GG$587,'0.Productos'!DF$1+1,0),"")</f>
        <v/>
      </c>
      <c r="BO362" s="133" t="str">
        <f>IF($A362&lt;&gt;0,VLOOKUP($A362,'0.Productos'!$A$3:$GG$587,'0.Productos'!DG$1+1,0),"")</f>
        <v/>
      </c>
      <c r="BP362" s="133" t="str">
        <f>IF($A362&lt;&gt;0,VLOOKUP($A362,'0.Productos'!$A$3:$GG$587,'0.Productos'!DH$1+1,0),"")</f>
        <v/>
      </c>
      <c r="BQ362" s="133" t="str">
        <f>IF($A362&lt;&gt;0,VLOOKUP($A362,'0.Productos'!$A$3:$GG$587,'0.Productos'!DI$1+1,0),"")</f>
        <v/>
      </c>
      <c r="BR362" s="133" t="str">
        <f>IF($A362&lt;&gt;0,VLOOKUP($A362,'0.Productos'!$A$3:$GG$587,'0.Productos'!DJ$1+1,0),"")</f>
        <v/>
      </c>
      <c r="BS362" s="133" t="str">
        <f>IF($A362&lt;&gt;0,VLOOKUP($A362,'0.Productos'!$A$3:$GG$587,'0.Productos'!DK$1+1,0),"")</f>
        <v/>
      </c>
      <c r="BT362" s="133" t="str">
        <f>IF($A362&lt;&gt;0,VLOOKUP($A362,'0.Productos'!$A$3:$GG$587,'0.Productos'!DL$1+1,0),"")</f>
        <v/>
      </c>
    </row>
    <row r="363" spans="1:72" x14ac:dyDescent="0.25">
      <c r="A363" s="17">
        <f>'0.Consolidado general'!A363</f>
        <v>0</v>
      </c>
      <c r="B363" s="133" t="str">
        <f>IF($A363&lt;&gt;0,VLOOKUP($A363,'0.Productos'!$A$3:$GG$587,'0.Productos'!AT$1+1,0),"")</f>
        <v/>
      </c>
      <c r="C363" s="133" t="str">
        <f>IF($A363&lt;&gt;0,VLOOKUP($A363,'0.Productos'!$A$3:$GG$587,'0.Productos'!AU$1+1,0),"")</f>
        <v/>
      </c>
      <c r="D363" s="133" t="str">
        <f>IF($A363&lt;&gt;0,VLOOKUP($A363,'0.Productos'!$A$3:$GG$587,'0.Productos'!AV$1+1,0),"")</f>
        <v/>
      </c>
      <c r="E363" s="133" t="str">
        <f>IF($A363&lt;&gt;0,VLOOKUP($A363,'0.Productos'!$A$3:$GG$587,'0.Productos'!AW$1+1,0),"")</f>
        <v/>
      </c>
      <c r="F363" s="133" t="str">
        <f>IF($A363&lt;&gt;0,VLOOKUP($A363,'0.Productos'!$A$3:$GG$587,'0.Productos'!AX$1+1,0),"")</f>
        <v/>
      </c>
      <c r="G363" s="133" t="str">
        <f>IF($A363&lt;&gt;0,VLOOKUP($A363,'0.Productos'!$A$3:$GG$587,'0.Productos'!AY$1+1,0),"")</f>
        <v/>
      </c>
      <c r="H363" s="133" t="str">
        <f>IF($A363&lt;&gt;0,VLOOKUP($A363,'0.Productos'!$A$3:$GG$587,'0.Productos'!AZ$1+1,0),"")</f>
        <v/>
      </c>
      <c r="I363" s="133" t="str">
        <f>IF($A363&lt;&gt;0,VLOOKUP($A363,'0.Productos'!$A$3:$GG$587,'0.Productos'!BA$1+1,0),"")</f>
        <v/>
      </c>
      <c r="J363" s="133" t="str">
        <f>IF($A363&lt;&gt;0,VLOOKUP($A363,'0.Productos'!$A$3:$GG$587,'0.Productos'!BB$1+1,0),"")</f>
        <v/>
      </c>
      <c r="K363" s="133" t="str">
        <f>IF($A363&lt;&gt;0,VLOOKUP($A363,'0.Productos'!$A$3:$GG$587,'0.Productos'!BC$1+1,0),"")</f>
        <v/>
      </c>
      <c r="L363" s="133" t="str">
        <f>IF($A363&lt;&gt;0,VLOOKUP($A363,'0.Productos'!$A$3:$GG$587,'0.Productos'!BD$1+1,0),"")</f>
        <v/>
      </c>
      <c r="M363" s="133" t="str">
        <f>IF($A363&lt;&gt;0,VLOOKUP($A363,'0.Productos'!$A$3:$GG$587,'0.Productos'!BE$1+1,0),"")</f>
        <v/>
      </c>
      <c r="N363" s="133" t="str">
        <f>IF($A363&lt;&gt;0,VLOOKUP($A363,'0.Productos'!$A$3:$GG$587,'0.Productos'!BF$1+1,0),"")</f>
        <v/>
      </c>
      <c r="O363" s="133" t="str">
        <f>IF($A363&lt;&gt;0,VLOOKUP($A363,'0.Productos'!$A$3:$GG$587,'0.Productos'!BG$1+1,0),"")</f>
        <v/>
      </c>
      <c r="P363" s="133" t="str">
        <f>IF($A363&lt;&gt;0,VLOOKUP($A363,'0.Productos'!$A$3:$GG$587,'0.Productos'!BH$1+1,0),"")</f>
        <v/>
      </c>
      <c r="Q363" s="133" t="str">
        <f>IF($A363&lt;&gt;0,VLOOKUP($A363,'0.Productos'!$A$3:$GG$587,'0.Productos'!BI$1+1,0),"")</f>
        <v/>
      </c>
      <c r="R363" s="133" t="str">
        <f>IF($A363&lt;&gt;0,VLOOKUP($A363,'0.Productos'!$A$3:$GG$587,'0.Productos'!BJ$1+1,0),"")</f>
        <v/>
      </c>
      <c r="S363" s="133" t="str">
        <f>IF($A363&lt;&gt;0,VLOOKUP($A363,'0.Productos'!$A$3:$GG$587,'0.Productos'!BK$1+1,0),"")</f>
        <v/>
      </c>
      <c r="T363" s="133" t="str">
        <f>IF($A363&lt;&gt;0,VLOOKUP($A363,'0.Productos'!$A$3:$GG$587,'0.Productos'!BL$1+1,0),"")</f>
        <v/>
      </c>
      <c r="U363" s="133" t="str">
        <f>IF($A363&lt;&gt;0,VLOOKUP($A363,'0.Productos'!$A$3:$GG$587,'0.Productos'!BM$1+1,0),"")</f>
        <v/>
      </c>
      <c r="V363" s="133" t="str">
        <f>IF($A363&lt;&gt;0,VLOOKUP($A363,'0.Productos'!$A$3:$GG$587,'0.Productos'!BN$1+1,0),"")</f>
        <v/>
      </c>
      <c r="W363" s="133" t="str">
        <f>IF($A363&lt;&gt;0,VLOOKUP($A363,'0.Productos'!$A$3:$GG$587,'0.Productos'!BO$1+1,0),"")</f>
        <v/>
      </c>
      <c r="X363" s="133" t="str">
        <f>IF($A363&lt;&gt;0,VLOOKUP($A363,'0.Productos'!$A$3:$GG$587,'0.Productos'!BP$1+1,0),"")</f>
        <v/>
      </c>
      <c r="Y363" s="133" t="str">
        <f>IF($A363&lt;&gt;0,VLOOKUP($A363,'0.Productos'!$A$3:$GG$587,'0.Productos'!BQ$1+1,0),"")</f>
        <v/>
      </c>
      <c r="Z363" s="133" t="str">
        <f>IF($A363&lt;&gt;0,VLOOKUP($A363,'0.Productos'!$A$3:$GG$587,'0.Productos'!BR$1+1,0),"")</f>
        <v/>
      </c>
      <c r="AA363" s="133" t="str">
        <f>IF($A363&lt;&gt;0,VLOOKUP($A363,'0.Productos'!$A$3:$GG$587,'0.Productos'!BS$1+1,0),"")</f>
        <v/>
      </c>
      <c r="AB363" s="133" t="str">
        <f>IF($A363&lt;&gt;0,VLOOKUP($A363,'0.Productos'!$A$3:$GG$587,'0.Productos'!BT$1+1,0),"")</f>
        <v/>
      </c>
      <c r="AC363" s="133" t="str">
        <f>IF($A363&lt;&gt;0,VLOOKUP($A363,'0.Productos'!$A$3:$GG$587,'0.Productos'!BU$1+1,0),"")</f>
        <v/>
      </c>
      <c r="AD363" s="133" t="str">
        <f>IF($A363&lt;&gt;0,VLOOKUP($A363,'0.Productos'!$A$3:$GG$587,'0.Productos'!BV$1+1,0),"")</f>
        <v/>
      </c>
      <c r="AE363" s="133" t="str">
        <f>IF($A363&lt;&gt;0,VLOOKUP($A363,'0.Productos'!$A$3:$GG$587,'0.Productos'!BW$1+1,0),"")</f>
        <v/>
      </c>
      <c r="AF363" s="133" t="str">
        <f>IF($A363&lt;&gt;0,VLOOKUP($A363,'0.Productos'!$A$3:$GG$587,'0.Productos'!BX$1+1,0),"")</f>
        <v/>
      </c>
      <c r="AG363" s="133" t="str">
        <f>IF($A363&lt;&gt;0,VLOOKUP($A363,'0.Productos'!$A$3:$GG$587,'0.Productos'!BY$1+1,0),"")</f>
        <v/>
      </c>
      <c r="AH363" s="133" t="str">
        <f>IF($A363&lt;&gt;0,VLOOKUP($A363,'0.Productos'!$A$3:$GG$587,'0.Productos'!BZ$1+1,0),"")</f>
        <v/>
      </c>
      <c r="AI363" s="133" t="str">
        <f>IF($A363&lt;&gt;0,VLOOKUP($A363,'0.Productos'!$A$3:$GG$587,'0.Productos'!CA$1+1,0),"")</f>
        <v/>
      </c>
      <c r="AJ363" s="133" t="str">
        <f>IF($A363&lt;&gt;0,VLOOKUP($A363,'0.Productos'!$A$3:$GG$587,'0.Productos'!CB$1+1,0),"")</f>
        <v/>
      </c>
      <c r="AK363" s="133" t="str">
        <f>IF($A363&lt;&gt;0,VLOOKUP($A363,'0.Productos'!$A$3:$GG$587,'0.Productos'!CC$1+1,0),"")</f>
        <v/>
      </c>
      <c r="AL363" s="133" t="str">
        <f>IF($A363&lt;&gt;0,VLOOKUP($A363,'0.Productos'!$A$3:$GG$587,'0.Productos'!CD$1+1,0),"")</f>
        <v/>
      </c>
      <c r="AM363" s="133" t="str">
        <f>IF($A363&lt;&gt;0,VLOOKUP($A363,'0.Productos'!$A$3:$GG$587,'0.Productos'!CE$1+1,0),"")</f>
        <v/>
      </c>
      <c r="AN363" s="133" t="str">
        <f>IF($A363&lt;&gt;0,VLOOKUP($A363,'0.Productos'!$A$3:$GG$587,'0.Productos'!CF$1+1,0),"")</f>
        <v/>
      </c>
      <c r="AO363" s="133" t="str">
        <f>IF($A363&lt;&gt;0,VLOOKUP($A363,'0.Productos'!$A$3:$GG$587,'0.Productos'!CG$1+1,0),"")</f>
        <v/>
      </c>
      <c r="AP363" s="133" t="str">
        <f>IF($A363&lt;&gt;0,VLOOKUP($A363,'0.Productos'!$A$3:$GG$587,'0.Productos'!CH$1+1,0),"")</f>
        <v/>
      </c>
      <c r="AQ363" s="133" t="str">
        <f>IF($A363&lt;&gt;0,VLOOKUP($A363,'0.Productos'!$A$3:$GG$587,'0.Productos'!CI$1+1,0),"")</f>
        <v/>
      </c>
      <c r="AR363" s="133" t="str">
        <f>IF($A363&lt;&gt;0,VLOOKUP($A363,'0.Productos'!$A$3:$GG$587,'0.Productos'!CJ$1+1,0),"")</f>
        <v/>
      </c>
      <c r="AS363" s="133" t="str">
        <f>IF($A363&lt;&gt;0,VLOOKUP($A363,'0.Productos'!$A$3:$GG$587,'0.Productos'!CK$1+1,0),"")</f>
        <v/>
      </c>
      <c r="AT363" s="133" t="str">
        <f>IF($A363&lt;&gt;0,VLOOKUP($A363,'0.Productos'!$A$3:$GG$587,'0.Productos'!CL$1+1,0),"")</f>
        <v/>
      </c>
      <c r="AU363" s="133" t="str">
        <f>IF($A363&lt;&gt;0,VLOOKUP($A363,'0.Productos'!$A$3:$GG$587,'0.Productos'!CM$1+1,0),"")</f>
        <v/>
      </c>
      <c r="AV363" s="133" t="str">
        <f>IF($A363&lt;&gt;0,VLOOKUP($A363,'0.Productos'!$A$3:$GG$587,'0.Productos'!CN$1+1,0),"")</f>
        <v/>
      </c>
      <c r="AW363" s="133" t="str">
        <f>IF($A363&lt;&gt;0,VLOOKUP($A363,'0.Productos'!$A$3:$GG$587,'0.Productos'!CO$1+1,0),"")</f>
        <v/>
      </c>
      <c r="AX363" s="133" t="str">
        <f>IF($A363&lt;&gt;0,VLOOKUP($A363,'0.Productos'!$A$3:$GG$587,'0.Productos'!CP$1+1,0),"")</f>
        <v/>
      </c>
      <c r="AY363" s="133" t="str">
        <f>IF($A363&lt;&gt;0,VLOOKUP($A363,'0.Productos'!$A$3:$GG$587,'0.Productos'!CQ$1+1,0),"")</f>
        <v/>
      </c>
      <c r="AZ363" s="133" t="str">
        <f>IF($A363&lt;&gt;0,VLOOKUP($A363,'0.Productos'!$A$3:$GG$587,'0.Productos'!CR$1+1,0),"")</f>
        <v/>
      </c>
      <c r="BA363" s="133" t="str">
        <f>IF($A363&lt;&gt;0,VLOOKUP($A363,'0.Productos'!$A$3:$GG$587,'0.Productos'!CS$1+1,0),"")</f>
        <v/>
      </c>
      <c r="BB363" s="133" t="str">
        <f>IF($A363&lt;&gt;0,VLOOKUP($A363,'0.Productos'!$A$3:$GG$587,'0.Productos'!CT$1+1,0),"")</f>
        <v/>
      </c>
      <c r="BC363" s="133" t="str">
        <f>IF($A363&lt;&gt;0,VLOOKUP($A363,'0.Productos'!$A$3:$GG$587,'0.Productos'!CU$1+1,0),"")</f>
        <v/>
      </c>
      <c r="BD363" s="133" t="str">
        <f>IF($A363&lt;&gt;0,VLOOKUP($A363,'0.Productos'!$A$3:$GG$587,'0.Productos'!CV$1+1,0),"")</f>
        <v/>
      </c>
      <c r="BE363" s="133" t="str">
        <f>IF($A363&lt;&gt;0,VLOOKUP($A363,'0.Productos'!$A$3:$GG$587,'0.Productos'!CW$1+1,0),"")</f>
        <v/>
      </c>
      <c r="BF363" s="133" t="str">
        <f>IF($A363&lt;&gt;0,VLOOKUP($A363,'0.Productos'!$A$3:$GG$587,'0.Productos'!CX$1+1,0),"")</f>
        <v/>
      </c>
      <c r="BG363" s="133" t="str">
        <f>IF($A363&lt;&gt;0,VLOOKUP($A363,'0.Productos'!$A$3:$GG$587,'0.Productos'!CY$1+1,0),"")</f>
        <v/>
      </c>
      <c r="BH363" s="133" t="str">
        <f>IF($A363&lt;&gt;0,VLOOKUP($A363,'0.Productos'!$A$3:$GG$587,'0.Productos'!CZ$1+1,0),"")</f>
        <v/>
      </c>
      <c r="BI363" s="133" t="str">
        <f>IF($A363&lt;&gt;0,VLOOKUP($A363,'0.Productos'!$A$3:$GG$587,'0.Productos'!DA$1+1,0),"")</f>
        <v/>
      </c>
      <c r="BJ363" s="133" t="str">
        <f>IF($A363&lt;&gt;0,VLOOKUP($A363,'0.Productos'!$A$3:$GG$587,'0.Productos'!DB$1+1,0),"")</f>
        <v/>
      </c>
      <c r="BK363" s="133" t="str">
        <f>IF($A363&lt;&gt;0,VLOOKUP($A363,'0.Productos'!$A$3:$GG$587,'0.Productos'!DC$1+1,0),"")</f>
        <v/>
      </c>
      <c r="BL363" s="133" t="str">
        <f>IF($A363&lt;&gt;0,VLOOKUP($A363,'0.Productos'!$A$3:$GG$587,'0.Productos'!DD$1+1,0),"")</f>
        <v/>
      </c>
      <c r="BM363" s="133" t="str">
        <f>IF($A363&lt;&gt;0,VLOOKUP($A363,'0.Productos'!$A$3:$GG$587,'0.Productos'!DE$1+1,0),"")</f>
        <v/>
      </c>
      <c r="BN363" s="133" t="str">
        <f>IF($A363&lt;&gt;0,VLOOKUP($A363,'0.Productos'!$A$3:$GG$587,'0.Productos'!DF$1+1,0),"")</f>
        <v/>
      </c>
      <c r="BO363" s="133" t="str">
        <f>IF($A363&lt;&gt;0,VLOOKUP($A363,'0.Productos'!$A$3:$GG$587,'0.Productos'!DG$1+1,0),"")</f>
        <v/>
      </c>
      <c r="BP363" s="133" t="str">
        <f>IF($A363&lt;&gt;0,VLOOKUP($A363,'0.Productos'!$A$3:$GG$587,'0.Productos'!DH$1+1,0),"")</f>
        <v/>
      </c>
      <c r="BQ363" s="133" t="str">
        <f>IF($A363&lt;&gt;0,VLOOKUP($A363,'0.Productos'!$A$3:$GG$587,'0.Productos'!DI$1+1,0),"")</f>
        <v/>
      </c>
      <c r="BR363" s="133" t="str">
        <f>IF($A363&lt;&gt;0,VLOOKUP($A363,'0.Productos'!$A$3:$GG$587,'0.Productos'!DJ$1+1,0),"")</f>
        <v/>
      </c>
      <c r="BS363" s="133" t="str">
        <f>IF($A363&lt;&gt;0,VLOOKUP($A363,'0.Productos'!$A$3:$GG$587,'0.Productos'!DK$1+1,0),"")</f>
        <v/>
      </c>
      <c r="BT363" s="133" t="str">
        <f>IF($A363&lt;&gt;0,VLOOKUP($A363,'0.Productos'!$A$3:$GG$587,'0.Productos'!DL$1+1,0),"")</f>
        <v/>
      </c>
    </row>
    <row r="364" spans="1:72" x14ac:dyDescent="0.25">
      <c r="A364" s="17">
        <f>'0.Consolidado general'!A364</f>
        <v>0</v>
      </c>
      <c r="B364" s="133" t="str">
        <f>IF($A364&lt;&gt;0,VLOOKUP($A364,'0.Productos'!$A$3:$GG$587,'0.Productos'!AT$1+1,0),"")</f>
        <v/>
      </c>
      <c r="C364" s="133" t="str">
        <f>IF($A364&lt;&gt;0,VLOOKUP($A364,'0.Productos'!$A$3:$GG$587,'0.Productos'!AU$1+1,0),"")</f>
        <v/>
      </c>
      <c r="D364" s="133" t="str">
        <f>IF($A364&lt;&gt;0,VLOOKUP($A364,'0.Productos'!$A$3:$GG$587,'0.Productos'!AV$1+1,0),"")</f>
        <v/>
      </c>
      <c r="E364" s="133" t="str">
        <f>IF($A364&lt;&gt;0,VLOOKUP($A364,'0.Productos'!$A$3:$GG$587,'0.Productos'!AW$1+1,0),"")</f>
        <v/>
      </c>
      <c r="F364" s="133" t="str">
        <f>IF($A364&lt;&gt;0,VLOOKUP($A364,'0.Productos'!$A$3:$GG$587,'0.Productos'!AX$1+1,0),"")</f>
        <v/>
      </c>
      <c r="G364" s="133" t="str">
        <f>IF($A364&lt;&gt;0,VLOOKUP($A364,'0.Productos'!$A$3:$GG$587,'0.Productos'!AY$1+1,0),"")</f>
        <v/>
      </c>
      <c r="H364" s="133" t="str">
        <f>IF($A364&lt;&gt;0,VLOOKUP($A364,'0.Productos'!$A$3:$GG$587,'0.Productos'!AZ$1+1,0),"")</f>
        <v/>
      </c>
      <c r="I364" s="133" t="str">
        <f>IF($A364&lt;&gt;0,VLOOKUP($A364,'0.Productos'!$A$3:$GG$587,'0.Productos'!BA$1+1,0),"")</f>
        <v/>
      </c>
      <c r="J364" s="133" t="str">
        <f>IF($A364&lt;&gt;0,VLOOKUP($A364,'0.Productos'!$A$3:$GG$587,'0.Productos'!BB$1+1,0),"")</f>
        <v/>
      </c>
      <c r="K364" s="133" t="str">
        <f>IF($A364&lt;&gt;0,VLOOKUP($A364,'0.Productos'!$A$3:$GG$587,'0.Productos'!BC$1+1,0),"")</f>
        <v/>
      </c>
      <c r="L364" s="133" t="str">
        <f>IF($A364&lt;&gt;0,VLOOKUP($A364,'0.Productos'!$A$3:$GG$587,'0.Productos'!BD$1+1,0),"")</f>
        <v/>
      </c>
      <c r="M364" s="133" t="str">
        <f>IF($A364&lt;&gt;0,VLOOKUP($A364,'0.Productos'!$A$3:$GG$587,'0.Productos'!BE$1+1,0),"")</f>
        <v/>
      </c>
      <c r="N364" s="133" t="str">
        <f>IF($A364&lt;&gt;0,VLOOKUP($A364,'0.Productos'!$A$3:$GG$587,'0.Productos'!BF$1+1,0),"")</f>
        <v/>
      </c>
      <c r="O364" s="133" t="str">
        <f>IF($A364&lt;&gt;0,VLOOKUP($A364,'0.Productos'!$A$3:$GG$587,'0.Productos'!BG$1+1,0),"")</f>
        <v/>
      </c>
      <c r="P364" s="133" t="str">
        <f>IF($A364&lt;&gt;0,VLOOKUP($A364,'0.Productos'!$A$3:$GG$587,'0.Productos'!BH$1+1,0),"")</f>
        <v/>
      </c>
      <c r="Q364" s="133" t="str">
        <f>IF($A364&lt;&gt;0,VLOOKUP($A364,'0.Productos'!$A$3:$GG$587,'0.Productos'!BI$1+1,0),"")</f>
        <v/>
      </c>
      <c r="R364" s="133" t="str">
        <f>IF($A364&lt;&gt;0,VLOOKUP($A364,'0.Productos'!$A$3:$GG$587,'0.Productos'!BJ$1+1,0),"")</f>
        <v/>
      </c>
      <c r="S364" s="133" t="str">
        <f>IF($A364&lt;&gt;0,VLOOKUP($A364,'0.Productos'!$A$3:$GG$587,'0.Productos'!BK$1+1,0),"")</f>
        <v/>
      </c>
      <c r="T364" s="133" t="str">
        <f>IF($A364&lt;&gt;0,VLOOKUP($A364,'0.Productos'!$A$3:$GG$587,'0.Productos'!BL$1+1,0),"")</f>
        <v/>
      </c>
      <c r="U364" s="133" t="str">
        <f>IF($A364&lt;&gt;0,VLOOKUP($A364,'0.Productos'!$A$3:$GG$587,'0.Productos'!BM$1+1,0),"")</f>
        <v/>
      </c>
      <c r="V364" s="133" t="str">
        <f>IF($A364&lt;&gt;0,VLOOKUP($A364,'0.Productos'!$A$3:$GG$587,'0.Productos'!BN$1+1,0),"")</f>
        <v/>
      </c>
      <c r="W364" s="133" t="str">
        <f>IF($A364&lt;&gt;0,VLOOKUP($A364,'0.Productos'!$A$3:$GG$587,'0.Productos'!BO$1+1,0),"")</f>
        <v/>
      </c>
      <c r="X364" s="133" t="str">
        <f>IF($A364&lt;&gt;0,VLOOKUP($A364,'0.Productos'!$A$3:$GG$587,'0.Productos'!BP$1+1,0),"")</f>
        <v/>
      </c>
      <c r="Y364" s="133" t="str">
        <f>IF($A364&lt;&gt;0,VLOOKUP($A364,'0.Productos'!$A$3:$GG$587,'0.Productos'!BQ$1+1,0),"")</f>
        <v/>
      </c>
      <c r="Z364" s="133" t="str">
        <f>IF($A364&lt;&gt;0,VLOOKUP($A364,'0.Productos'!$A$3:$GG$587,'0.Productos'!BR$1+1,0),"")</f>
        <v/>
      </c>
      <c r="AA364" s="133" t="str">
        <f>IF($A364&lt;&gt;0,VLOOKUP($A364,'0.Productos'!$A$3:$GG$587,'0.Productos'!BS$1+1,0),"")</f>
        <v/>
      </c>
      <c r="AB364" s="133" t="str">
        <f>IF($A364&lt;&gt;0,VLOOKUP($A364,'0.Productos'!$A$3:$GG$587,'0.Productos'!BT$1+1,0),"")</f>
        <v/>
      </c>
      <c r="AC364" s="133" t="str">
        <f>IF($A364&lt;&gt;0,VLOOKUP($A364,'0.Productos'!$A$3:$GG$587,'0.Productos'!BU$1+1,0),"")</f>
        <v/>
      </c>
      <c r="AD364" s="133" t="str">
        <f>IF($A364&lt;&gt;0,VLOOKUP($A364,'0.Productos'!$A$3:$GG$587,'0.Productos'!BV$1+1,0),"")</f>
        <v/>
      </c>
      <c r="AE364" s="133" t="str">
        <f>IF($A364&lt;&gt;0,VLOOKUP($A364,'0.Productos'!$A$3:$GG$587,'0.Productos'!BW$1+1,0),"")</f>
        <v/>
      </c>
      <c r="AF364" s="133" t="str">
        <f>IF($A364&lt;&gt;0,VLOOKUP($A364,'0.Productos'!$A$3:$GG$587,'0.Productos'!BX$1+1,0),"")</f>
        <v/>
      </c>
      <c r="AG364" s="133" t="str">
        <f>IF($A364&lt;&gt;0,VLOOKUP($A364,'0.Productos'!$A$3:$GG$587,'0.Productos'!BY$1+1,0),"")</f>
        <v/>
      </c>
      <c r="AH364" s="133" t="str">
        <f>IF($A364&lt;&gt;0,VLOOKUP($A364,'0.Productos'!$A$3:$GG$587,'0.Productos'!BZ$1+1,0),"")</f>
        <v/>
      </c>
      <c r="AI364" s="133" t="str">
        <f>IF($A364&lt;&gt;0,VLOOKUP($A364,'0.Productos'!$A$3:$GG$587,'0.Productos'!CA$1+1,0),"")</f>
        <v/>
      </c>
      <c r="AJ364" s="133" t="str">
        <f>IF($A364&lt;&gt;0,VLOOKUP($A364,'0.Productos'!$A$3:$GG$587,'0.Productos'!CB$1+1,0),"")</f>
        <v/>
      </c>
      <c r="AK364" s="133" t="str">
        <f>IF($A364&lt;&gt;0,VLOOKUP($A364,'0.Productos'!$A$3:$GG$587,'0.Productos'!CC$1+1,0),"")</f>
        <v/>
      </c>
      <c r="AL364" s="133" t="str">
        <f>IF($A364&lt;&gt;0,VLOOKUP($A364,'0.Productos'!$A$3:$GG$587,'0.Productos'!CD$1+1,0),"")</f>
        <v/>
      </c>
      <c r="AM364" s="133" t="str">
        <f>IF($A364&lt;&gt;0,VLOOKUP($A364,'0.Productos'!$A$3:$GG$587,'0.Productos'!CE$1+1,0),"")</f>
        <v/>
      </c>
      <c r="AN364" s="133" t="str">
        <f>IF($A364&lt;&gt;0,VLOOKUP($A364,'0.Productos'!$A$3:$GG$587,'0.Productos'!CF$1+1,0),"")</f>
        <v/>
      </c>
      <c r="AO364" s="133" t="str">
        <f>IF($A364&lt;&gt;0,VLOOKUP($A364,'0.Productos'!$A$3:$GG$587,'0.Productos'!CG$1+1,0),"")</f>
        <v/>
      </c>
      <c r="AP364" s="133" t="str">
        <f>IF($A364&lt;&gt;0,VLOOKUP($A364,'0.Productos'!$A$3:$GG$587,'0.Productos'!CH$1+1,0),"")</f>
        <v/>
      </c>
      <c r="AQ364" s="133" t="str">
        <f>IF($A364&lt;&gt;0,VLOOKUP($A364,'0.Productos'!$A$3:$GG$587,'0.Productos'!CI$1+1,0),"")</f>
        <v/>
      </c>
      <c r="AR364" s="133" t="str">
        <f>IF($A364&lt;&gt;0,VLOOKUP($A364,'0.Productos'!$A$3:$GG$587,'0.Productos'!CJ$1+1,0),"")</f>
        <v/>
      </c>
      <c r="AS364" s="133" t="str">
        <f>IF($A364&lt;&gt;0,VLOOKUP($A364,'0.Productos'!$A$3:$GG$587,'0.Productos'!CK$1+1,0),"")</f>
        <v/>
      </c>
      <c r="AT364" s="133" t="str">
        <f>IF($A364&lt;&gt;0,VLOOKUP($A364,'0.Productos'!$A$3:$GG$587,'0.Productos'!CL$1+1,0),"")</f>
        <v/>
      </c>
      <c r="AU364" s="133" t="str">
        <f>IF($A364&lt;&gt;0,VLOOKUP($A364,'0.Productos'!$A$3:$GG$587,'0.Productos'!CM$1+1,0),"")</f>
        <v/>
      </c>
      <c r="AV364" s="133" t="str">
        <f>IF($A364&lt;&gt;0,VLOOKUP($A364,'0.Productos'!$A$3:$GG$587,'0.Productos'!CN$1+1,0),"")</f>
        <v/>
      </c>
      <c r="AW364" s="133" t="str">
        <f>IF($A364&lt;&gt;0,VLOOKUP($A364,'0.Productos'!$A$3:$GG$587,'0.Productos'!CO$1+1,0),"")</f>
        <v/>
      </c>
      <c r="AX364" s="133" t="str">
        <f>IF($A364&lt;&gt;0,VLOOKUP($A364,'0.Productos'!$A$3:$GG$587,'0.Productos'!CP$1+1,0),"")</f>
        <v/>
      </c>
      <c r="AY364" s="133" t="str">
        <f>IF($A364&lt;&gt;0,VLOOKUP($A364,'0.Productos'!$A$3:$GG$587,'0.Productos'!CQ$1+1,0),"")</f>
        <v/>
      </c>
      <c r="AZ364" s="133" t="str">
        <f>IF($A364&lt;&gt;0,VLOOKUP($A364,'0.Productos'!$A$3:$GG$587,'0.Productos'!CR$1+1,0),"")</f>
        <v/>
      </c>
      <c r="BA364" s="133" t="str">
        <f>IF($A364&lt;&gt;0,VLOOKUP($A364,'0.Productos'!$A$3:$GG$587,'0.Productos'!CS$1+1,0),"")</f>
        <v/>
      </c>
      <c r="BB364" s="133" t="str">
        <f>IF($A364&lt;&gt;0,VLOOKUP($A364,'0.Productos'!$A$3:$GG$587,'0.Productos'!CT$1+1,0),"")</f>
        <v/>
      </c>
      <c r="BC364" s="133" t="str">
        <f>IF($A364&lt;&gt;0,VLOOKUP($A364,'0.Productos'!$A$3:$GG$587,'0.Productos'!CU$1+1,0),"")</f>
        <v/>
      </c>
      <c r="BD364" s="133" t="str">
        <f>IF($A364&lt;&gt;0,VLOOKUP($A364,'0.Productos'!$A$3:$GG$587,'0.Productos'!CV$1+1,0),"")</f>
        <v/>
      </c>
      <c r="BE364" s="133" t="str">
        <f>IF($A364&lt;&gt;0,VLOOKUP($A364,'0.Productos'!$A$3:$GG$587,'0.Productos'!CW$1+1,0),"")</f>
        <v/>
      </c>
      <c r="BF364" s="133" t="str">
        <f>IF($A364&lt;&gt;0,VLOOKUP($A364,'0.Productos'!$A$3:$GG$587,'0.Productos'!CX$1+1,0),"")</f>
        <v/>
      </c>
      <c r="BG364" s="133" t="str">
        <f>IF($A364&lt;&gt;0,VLOOKUP($A364,'0.Productos'!$A$3:$GG$587,'0.Productos'!CY$1+1,0),"")</f>
        <v/>
      </c>
      <c r="BH364" s="133" t="str">
        <f>IF($A364&lt;&gt;0,VLOOKUP($A364,'0.Productos'!$A$3:$GG$587,'0.Productos'!CZ$1+1,0),"")</f>
        <v/>
      </c>
      <c r="BI364" s="133" t="str">
        <f>IF($A364&lt;&gt;0,VLOOKUP($A364,'0.Productos'!$A$3:$GG$587,'0.Productos'!DA$1+1,0),"")</f>
        <v/>
      </c>
      <c r="BJ364" s="133" t="str">
        <f>IF($A364&lt;&gt;0,VLOOKUP($A364,'0.Productos'!$A$3:$GG$587,'0.Productos'!DB$1+1,0),"")</f>
        <v/>
      </c>
      <c r="BK364" s="133" t="str">
        <f>IF($A364&lt;&gt;0,VLOOKUP($A364,'0.Productos'!$A$3:$GG$587,'0.Productos'!DC$1+1,0),"")</f>
        <v/>
      </c>
      <c r="BL364" s="133" t="str">
        <f>IF($A364&lt;&gt;0,VLOOKUP($A364,'0.Productos'!$A$3:$GG$587,'0.Productos'!DD$1+1,0),"")</f>
        <v/>
      </c>
      <c r="BM364" s="133" t="str">
        <f>IF($A364&lt;&gt;0,VLOOKUP($A364,'0.Productos'!$A$3:$GG$587,'0.Productos'!DE$1+1,0),"")</f>
        <v/>
      </c>
      <c r="BN364" s="133" t="str">
        <f>IF($A364&lt;&gt;0,VLOOKUP($A364,'0.Productos'!$A$3:$GG$587,'0.Productos'!DF$1+1,0),"")</f>
        <v/>
      </c>
      <c r="BO364" s="133" t="str">
        <f>IF($A364&lt;&gt;0,VLOOKUP($A364,'0.Productos'!$A$3:$GG$587,'0.Productos'!DG$1+1,0),"")</f>
        <v/>
      </c>
      <c r="BP364" s="133" t="str">
        <f>IF($A364&lt;&gt;0,VLOOKUP($A364,'0.Productos'!$A$3:$GG$587,'0.Productos'!DH$1+1,0),"")</f>
        <v/>
      </c>
      <c r="BQ364" s="133" t="str">
        <f>IF($A364&lt;&gt;0,VLOOKUP($A364,'0.Productos'!$A$3:$GG$587,'0.Productos'!DI$1+1,0),"")</f>
        <v/>
      </c>
      <c r="BR364" s="133" t="str">
        <f>IF($A364&lt;&gt;0,VLOOKUP($A364,'0.Productos'!$A$3:$GG$587,'0.Productos'!DJ$1+1,0),"")</f>
        <v/>
      </c>
      <c r="BS364" s="133" t="str">
        <f>IF($A364&lt;&gt;0,VLOOKUP($A364,'0.Productos'!$A$3:$GG$587,'0.Productos'!DK$1+1,0),"")</f>
        <v/>
      </c>
      <c r="BT364" s="133" t="str">
        <f>IF($A364&lt;&gt;0,VLOOKUP($A364,'0.Productos'!$A$3:$GG$587,'0.Productos'!DL$1+1,0),"")</f>
        <v/>
      </c>
    </row>
    <row r="365" spans="1:72" x14ac:dyDescent="0.25">
      <c r="A365" s="17">
        <f>'0.Consolidado general'!A365</f>
        <v>0</v>
      </c>
      <c r="B365" s="133" t="str">
        <f>IF($A365&lt;&gt;0,VLOOKUP($A365,'0.Productos'!$A$3:$GG$587,'0.Productos'!AT$1+1,0),"")</f>
        <v/>
      </c>
      <c r="C365" s="133" t="str">
        <f>IF($A365&lt;&gt;0,VLOOKUP($A365,'0.Productos'!$A$3:$GG$587,'0.Productos'!AU$1+1,0),"")</f>
        <v/>
      </c>
      <c r="D365" s="133" t="str">
        <f>IF($A365&lt;&gt;0,VLOOKUP($A365,'0.Productos'!$A$3:$GG$587,'0.Productos'!AV$1+1,0),"")</f>
        <v/>
      </c>
      <c r="E365" s="133" t="str">
        <f>IF($A365&lt;&gt;0,VLOOKUP($A365,'0.Productos'!$A$3:$GG$587,'0.Productos'!AW$1+1,0),"")</f>
        <v/>
      </c>
      <c r="F365" s="133" t="str">
        <f>IF($A365&lt;&gt;0,VLOOKUP($A365,'0.Productos'!$A$3:$GG$587,'0.Productos'!AX$1+1,0),"")</f>
        <v/>
      </c>
      <c r="G365" s="133" t="str">
        <f>IF($A365&lt;&gt;0,VLOOKUP($A365,'0.Productos'!$A$3:$GG$587,'0.Productos'!AY$1+1,0),"")</f>
        <v/>
      </c>
      <c r="H365" s="133" t="str">
        <f>IF($A365&lt;&gt;0,VLOOKUP($A365,'0.Productos'!$A$3:$GG$587,'0.Productos'!AZ$1+1,0),"")</f>
        <v/>
      </c>
      <c r="I365" s="133" t="str">
        <f>IF($A365&lt;&gt;0,VLOOKUP($A365,'0.Productos'!$A$3:$GG$587,'0.Productos'!BA$1+1,0),"")</f>
        <v/>
      </c>
      <c r="J365" s="133" t="str">
        <f>IF($A365&lt;&gt;0,VLOOKUP($A365,'0.Productos'!$A$3:$GG$587,'0.Productos'!BB$1+1,0),"")</f>
        <v/>
      </c>
      <c r="K365" s="133" t="str">
        <f>IF($A365&lt;&gt;0,VLOOKUP($A365,'0.Productos'!$A$3:$GG$587,'0.Productos'!BC$1+1,0),"")</f>
        <v/>
      </c>
      <c r="L365" s="133" t="str">
        <f>IF($A365&lt;&gt;0,VLOOKUP($A365,'0.Productos'!$A$3:$GG$587,'0.Productos'!BD$1+1,0),"")</f>
        <v/>
      </c>
      <c r="M365" s="133" t="str">
        <f>IF($A365&lt;&gt;0,VLOOKUP($A365,'0.Productos'!$A$3:$GG$587,'0.Productos'!BE$1+1,0),"")</f>
        <v/>
      </c>
      <c r="N365" s="133" t="str">
        <f>IF($A365&lt;&gt;0,VLOOKUP($A365,'0.Productos'!$A$3:$GG$587,'0.Productos'!BF$1+1,0),"")</f>
        <v/>
      </c>
      <c r="O365" s="133" t="str">
        <f>IF($A365&lt;&gt;0,VLOOKUP($A365,'0.Productos'!$A$3:$GG$587,'0.Productos'!BG$1+1,0),"")</f>
        <v/>
      </c>
      <c r="P365" s="133" t="str">
        <f>IF($A365&lt;&gt;0,VLOOKUP($A365,'0.Productos'!$A$3:$GG$587,'0.Productos'!BH$1+1,0),"")</f>
        <v/>
      </c>
      <c r="Q365" s="133" t="str">
        <f>IF($A365&lt;&gt;0,VLOOKUP($A365,'0.Productos'!$A$3:$GG$587,'0.Productos'!BI$1+1,0),"")</f>
        <v/>
      </c>
      <c r="R365" s="133" t="str">
        <f>IF($A365&lt;&gt;0,VLOOKUP($A365,'0.Productos'!$A$3:$GG$587,'0.Productos'!BJ$1+1,0),"")</f>
        <v/>
      </c>
      <c r="S365" s="133" t="str">
        <f>IF($A365&lt;&gt;0,VLOOKUP($A365,'0.Productos'!$A$3:$GG$587,'0.Productos'!BK$1+1,0),"")</f>
        <v/>
      </c>
      <c r="T365" s="133" t="str">
        <f>IF($A365&lt;&gt;0,VLOOKUP($A365,'0.Productos'!$A$3:$GG$587,'0.Productos'!BL$1+1,0),"")</f>
        <v/>
      </c>
      <c r="U365" s="133" t="str">
        <f>IF($A365&lt;&gt;0,VLOOKUP($A365,'0.Productos'!$A$3:$GG$587,'0.Productos'!BM$1+1,0),"")</f>
        <v/>
      </c>
      <c r="V365" s="133" t="str">
        <f>IF($A365&lt;&gt;0,VLOOKUP($A365,'0.Productos'!$A$3:$GG$587,'0.Productos'!BN$1+1,0),"")</f>
        <v/>
      </c>
      <c r="W365" s="133" t="str">
        <f>IF($A365&lt;&gt;0,VLOOKUP($A365,'0.Productos'!$A$3:$GG$587,'0.Productos'!BO$1+1,0),"")</f>
        <v/>
      </c>
      <c r="X365" s="133" t="str">
        <f>IF($A365&lt;&gt;0,VLOOKUP($A365,'0.Productos'!$A$3:$GG$587,'0.Productos'!BP$1+1,0),"")</f>
        <v/>
      </c>
      <c r="Y365" s="133" t="str">
        <f>IF($A365&lt;&gt;0,VLOOKUP($A365,'0.Productos'!$A$3:$GG$587,'0.Productos'!BQ$1+1,0),"")</f>
        <v/>
      </c>
      <c r="Z365" s="133" t="str">
        <f>IF($A365&lt;&gt;0,VLOOKUP($A365,'0.Productos'!$A$3:$GG$587,'0.Productos'!BR$1+1,0),"")</f>
        <v/>
      </c>
      <c r="AA365" s="133" t="str">
        <f>IF($A365&lt;&gt;0,VLOOKUP($A365,'0.Productos'!$A$3:$GG$587,'0.Productos'!BS$1+1,0),"")</f>
        <v/>
      </c>
      <c r="AB365" s="133" t="str">
        <f>IF($A365&lt;&gt;0,VLOOKUP($A365,'0.Productos'!$A$3:$GG$587,'0.Productos'!BT$1+1,0),"")</f>
        <v/>
      </c>
      <c r="AC365" s="133" t="str">
        <f>IF($A365&lt;&gt;0,VLOOKUP($A365,'0.Productos'!$A$3:$GG$587,'0.Productos'!BU$1+1,0),"")</f>
        <v/>
      </c>
      <c r="AD365" s="133" t="str">
        <f>IF($A365&lt;&gt;0,VLOOKUP($A365,'0.Productos'!$A$3:$GG$587,'0.Productos'!BV$1+1,0),"")</f>
        <v/>
      </c>
      <c r="AE365" s="133" t="str">
        <f>IF($A365&lt;&gt;0,VLOOKUP($A365,'0.Productos'!$A$3:$GG$587,'0.Productos'!BW$1+1,0),"")</f>
        <v/>
      </c>
      <c r="AF365" s="133" t="str">
        <f>IF($A365&lt;&gt;0,VLOOKUP($A365,'0.Productos'!$A$3:$GG$587,'0.Productos'!BX$1+1,0),"")</f>
        <v/>
      </c>
      <c r="AG365" s="133" t="str">
        <f>IF($A365&lt;&gt;0,VLOOKUP($A365,'0.Productos'!$A$3:$GG$587,'0.Productos'!BY$1+1,0),"")</f>
        <v/>
      </c>
      <c r="AH365" s="133" t="str">
        <f>IF($A365&lt;&gt;0,VLOOKUP($A365,'0.Productos'!$A$3:$GG$587,'0.Productos'!BZ$1+1,0),"")</f>
        <v/>
      </c>
      <c r="AI365" s="133" t="str">
        <f>IF($A365&lt;&gt;0,VLOOKUP($A365,'0.Productos'!$A$3:$GG$587,'0.Productos'!CA$1+1,0),"")</f>
        <v/>
      </c>
      <c r="AJ365" s="133" t="str">
        <f>IF($A365&lt;&gt;0,VLOOKUP($A365,'0.Productos'!$A$3:$GG$587,'0.Productos'!CB$1+1,0),"")</f>
        <v/>
      </c>
      <c r="AK365" s="133" t="str">
        <f>IF($A365&lt;&gt;0,VLOOKUP($A365,'0.Productos'!$A$3:$GG$587,'0.Productos'!CC$1+1,0),"")</f>
        <v/>
      </c>
      <c r="AL365" s="133" t="str">
        <f>IF($A365&lt;&gt;0,VLOOKUP($A365,'0.Productos'!$A$3:$GG$587,'0.Productos'!CD$1+1,0),"")</f>
        <v/>
      </c>
      <c r="AM365" s="133" t="str">
        <f>IF($A365&lt;&gt;0,VLOOKUP($A365,'0.Productos'!$A$3:$GG$587,'0.Productos'!CE$1+1,0),"")</f>
        <v/>
      </c>
      <c r="AN365" s="133" t="str">
        <f>IF($A365&lt;&gt;0,VLOOKUP($A365,'0.Productos'!$A$3:$GG$587,'0.Productos'!CF$1+1,0),"")</f>
        <v/>
      </c>
      <c r="AO365" s="133" t="str">
        <f>IF($A365&lt;&gt;0,VLOOKUP($A365,'0.Productos'!$A$3:$GG$587,'0.Productos'!CG$1+1,0),"")</f>
        <v/>
      </c>
      <c r="AP365" s="133" t="str">
        <f>IF($A365&lt;&gt;0,VLOOKUP($A365,'0.Productos'!$A$3:$GG$587,'0.Productos'!CH$1+1,0),"")</f>
        <v/>
      </c>
      <c r="AQ365" s="133" t="str">
        <f>IF($A365&lt;&gt;0,VLOOKUP($A365,'0.Productos'!$A$3:$GG$587,'0.Productos'!CI$1+1,0),"")</f>
        <v/>
      </c>
      <c r="AR365" s="133" t="str">
        <f>IF($A365&lt;&gt;0,VLOOKUP($A365,'0.Productos'!$A$3:$GG$587,'0.Productos'!CJ$1+1,0),"")</f>
        <v/>
      </c>
      <c r="AS365" s="133" t="str">
        <f>IF($A365&lt;&gt;0,VLOOKUP($A365,'0.Productos'!$A$3:$GG$587,'0.Productos'!CK$1+1,0),"")</f>
        <v/>
      </c>
      <c r="AT365" s="133" t="str">
        <f>IF($A365&lt;&gt;0,VLOOKUP($A365,'0.Productos'!$A$3:$GG$587,'0.Productos'!CL$1+1,0),"")</f>
        <v/>
      </c>
      <c r="AU365" s="133" t="str">
        <f>IF($A365&lt;&gt;0,VLOOKUP($A365,'0.Productos'!$A$3:$GG$587,'0.Productos'!CM$1+1,0),"")</f>
        <v/>
      </c>
      <c r="AV365" s="133" t="str">
        <f>IF($A365&lt;&gt;0,VLOOKUP($A365,'0.Productos'!$A$3:$GG$587,'0.Productos'!CN$1+1,0),"")</f>
        <v/>
      </c>
      <c r="AW365" s="133" t="str">
        <f>IF($A365&lt;&gt;0,VLOOKUP($A365,'0.Productos'!$A$3:$GG$587,'0.Productos'!CO$1+1,0),"")</f>
        <v/>
      </c>
      <c r="AX365" s="133" t="str">
        <f>IF($A365&lt;&gt;0,VLOOKUP($A365,'0.Productos'!$A$3:$GG$587,'0.Productos'!CP$1+1,0),"")</f>
        <v/>
      </c>
      <c r="AY365" s="133" t="str">
        <f>IF($A365&lt;&gt;0,VLOOKUP($A365,'0.Productos'!$A$3:$GG$587,'0.Productos'!CQ$1+1,0),"")</f>
        <v/>
      </c>
      <c r="AZ365" s="133" t="str">
        <f>IF($A365&lt;&gt;0,VLOOKUP($A365,'0.Productos'!$A$3:$GG$587,'0.Productos'!CR$1+1,0),"")</f>
        <v/>
      </c>
      <c r="BA365" s="133" t="str">
        <f>IF($A365&lt;&gt;0,VLOOKUP($A365,'0.Productos'!$A$3:$GG$587,'0.Productos'!CS$1+1,0),"")</f>
        <v/>
      </c>
      <c r="BB365" s="133" t="str">
        <f>IF($A365&lt;&gt;0,VLOOKUP($A365,'0.Productos'!$A$3:$GG$587,'0.Productos'!CT$1+1,0),"")</f>
        <v/>
      </c>
      <c r="BC365" s="133" t="str">
        <f>IF($A365&lt;&gt;0,VLOOKUP($A365,'0.Productos'!$A$3:$GG$587,'0.Productos'!CU$1+1,0),"")</f>
        <v/>
      </c>
      <c r="BD365" s="133" t="str">
        <f>IF($A365&lt;&gt;0,VLOOKUP($A365,'0.Productos'!$A$3:$GG$587,'0.Productos'!CV$1+1,0),"")</f>
        <v/>
      </c>
      <c r="BE365" s="133" t="str">
        <f>IF($A365&lt;&gt;0,VLOOKUP($A365,'0.Productos'!$A$3:$GG$587,'0.Productos'!CW$1+1,0),"")</f>
        <v/>
      </c>
      <c r="BF365" s="133" t="str">
        <f>IF($A365&lt;&gt;0,VLOOKUP($A365,'0.Productos'!$A$3:$GG$587,'0.Productos'!CX$1+1,0),"")</f>
        <v/>
      </c>
      <c r="BG365" s="133" t="str">
        <f>IF($A365&lt;&gt;0,VLOOKUP($A365,'0.Productos'!$A$3:$GG$587,'0.Productos'!CY$1+1,0),"")</f>
        <v/>
      </c>
      <c r="BH365" s="133" t="str">
        <f>IF($A365&lt;&gt;0,VLOOKUP($A365,'0.Productos'!$A$3:$GG$587,'0.Productos'!CZ$1+1,0),"")</f>
        <v/>
      </c>
      <c r="BI365" s="133" t="str">
        <f>IF($A365&lt;&gt;0,VLOOKUP($A365,'0.Productos'!$A$3:$GG$587,'0.Productos'!DA$1+1,0),"")</f>
        <v/>
      </c>
      <c r="BJ365" s="133" t="str">
        <f>IF($A365&lt;&gt;0,VLOOKUP($A365,'0.Productos'!$A$3:$GG$587,'0.Productos'!DB$1+1,0),"")</f>
        <v/>
      </c>
      <c r="BK365" s="133" t="str">
        <f>IF($A365&lt;&gt;0,VLOOKUP($A365,'0.Productos'!$A$3:$GG$587,'0.Productos'!DC$1+1,0),"")</f>
        <v/>
      </c>
      <c r="BL365" s="133" t="str">
        <f>IF($A365&lt;&gt;0,VLOOKUP($A365,'0.Productos'!$A$3:$GG$587,'0.Productos'!DD$1+1,0),"")</f>
        <v/>
      </c>
      <c r="BM365" s="133" t="str">
        <f>IF($A365&lt;&gt;0,VLOOKUP($A365,'0.Productos'!$A$3:$GG$587,'0.Productos'!DE$1+1,0),"")</f>
        <v/>
      </c>
      <c r="BN365" s="133" t="str">
        <f>IF($A365&lt;&gt;0,VLOOKUP($A365,'0.Productos'!$A$3:$GG$587,'0.Productos'!DF$1+1,0),"")</f>
        <v/>
      </c>
      <c r="BO365" s="133" t="str">
        <f>IF($A365&lt;&gt;0,VLOOKUP($A365,'0.Productos'!$A$3:$GG$587,'0.Productos'!DG$1+1,0),"")</f>
        <v/>
      </c>
      <c r="BP365" s="133" t="str">
        <f>IF($A365&lt;&gt;0,VLOOKUP($A365,'0.Productos'!$A$3:$GG$587,'0.Productos'!DH$1+1,0),"")</f>
        <v/>
      </c>
      <c r="BQ365" s="133" t="str">
        <f>IF($A365&lt;&gt;0,VLOOKUP($A365,'0.Productos'!$A$3:$GG$587,'0.Productos'!DI$1+1,0),"")</f>
        <v/>
      </c>
      <c r="BR365" s="133" t="str">
        <f>IF($A365&lt;&gt;0,VLOOKUP($A365,'0.Productos'!$A$3:$GG$587,'0.Productos'!DJ$1+1,0),"")</f>
        <v/>
      </c>
      <c r="BS365" s="133" t="str">
        <f>IF($A365&lt;&gt;0,VLOOKUP($A365,'0.Productos'!$A$3:$GG$587,'0.Productos'!DK$1+1,0),"")</f>
        <v/>
      </c>
      <c r="BT365" s="133" t="str">
        <f>IF($A365&lt;&gt;0,VLOOKUP($A365,'0.Productos'!$A$3:$GG$587,'0.Productos'!DL$1+1,0),"")</f>
        <v/>
      </c>
    </row>
    <row r="366" spans="1:72" x14ac:dyDescent="0.25">
      <c r="A366" s="17">
        <f>'0.Consolidado general'!A366</f>
        <v>0</v>
      </c>
      <c r="B366" s="133" t="str">
        <f>IF($A366&lt;&gt;0,VLOOKUP($A366,'0.Productos'!$A$3:$GG$587,'0.Productos'!AT$1+1,0),"")</f>
        <v/>
      </c>
      <c r="C366" s="133" t="str">
        <f>IF($A366&lt;&gt;0,VLOOKUP($A366,'0.Productos'!$A$3:$GG$587,'0.Productos'!AU$1+1,0),"")</f>
        <v/>
      </c>
      <c r="D366" s="133" t="str">
        <f>IF($A366&lt;&gt;0,VLOOKUP($A366,'0.Productos'!$A$3:$GG$587,'0.Productos'!AV$1+1,0),"")</f>
        <v/>
      </c>
      <c r="E366" s="133" t="str">
        <f>IF($A366&lt;&gt;0,VLOOKUP($A366,'0.Productos'!$A$3:$GG$587,'0.Productos'!AW$1+1,0),"")</f>
        <v/>
      </c>
      <c r="F366" s="133" t="str">
        <f>IF($A366&lt;&gt;0,VLOOKUP($A366,'0.Productos'!$A$3:$GG$587,'0.Productos'!AX$1+1,0),"")</f>
        <v/>
      </c>
      <c r="G366" s="133" t="str">
        <f>IF($A366&lt;&gt;0,VLOOKUP($A366,'0.Productos'!$A$3:$GG$587,'0.Productos'!AY$1+1,0),"")</f>
        <v/>
      </c>
      <c r="H366" s="133" t="str">
        <f>IF($A366&lt;&gt;0,VLOOKUP($A366,'0.Productos'!$A$3:$GG$587,'0.Productos'!AZ$1+1,0),"")</f>
        <v/>
      </c>
      <c r="I366" s="133" t="str">
        <f>IF($A366&lt;&gt;0,VLOOKUP($A366,'0.Productos'!$A$3:$GG$587,'0.Productos'!BA$1+1,0),"")</f>
        <v/>
      </c>
      <c r="J366" s="133" t="str">
        <f>IF($A366&lt;&gt;0,VLOOKUP($A366,'0.Productos'!$A$3:$GG$587,'0.Productos'!BB$1+1,0),"")</f>
        <v/>
      </c>
      <c r="K366" s="133" t="str">
        <f>IF($A366&lt;&gt;0,VLOOKUP($A366,'0.Productos'!$A$3:$GG$587,'0.Productos'!BC$1+1,0),"")</f>
        <v/>
      </c>
      <c r="L366" s="133" t="str">
        <f>IF($A366&lt;&gt;0,VLOOKUP($A366,'0.Productos'!$A$3:$GG$587,'0.Productos'!BD$1+1,0),"")</f>
        <v/>
      </c>
      <c r="M366" s="133" t="str">
        <f>IF($A366&lt;&gt;0,VLOOKUP($A366,'0.Productos'!$A$3:$GG$587,'0.Productos'!BE$1+1,0),"")</f>
        <v/>
      </c>
      <c r="N366" s="133" t="str">
        <f>IF($A366&lt;&gt;0,VLOOKUP($A366,'0.Productos'!$A$3:$GG$587,'0.Productos'!BF$1+1,0),"")</f>
        <v/>
      </c>
      <c r="O366" s="133" t="str">
        <f>IF($A366&lt;&gt;0,VLOOKUP($A366,'0.Productos'!$A$3:$GG$587,'0.Productos'!BG$1+1,0),"")</f>
        <v/>
      </c>
      <c r="P366" s="133" t="str">
        <f>IF($A366&lt;&gt;0,VLOOKUP($A366,'0.Productos'!$A$3:$GG$587,'0.Productos'!BH$1+1,0),"")</f>
        <v/>
      </c>
      <c r="Q366" s="133" t="str">
        <f>IF($A366&lt;&gt;0,VLOOKUP($A366,'0.Productos'!$A$3:$GG$587,'0.Productos'!BI$1+1,0),"")</f>
        <v/>
      </c>
      <c r="R366" s="133" t="str">
        <f>IF($A366&lt;&gt;0,VLOOKUP($A366,'0.Productos'!$A$3:$GG$587,'0.Productos'!BJ$1+1,0),"")</f>
        <v/>
      </c>
      <c r="S366" s="133" t="str">
        <f>IF($A366&lt;&gt;0,VLOOKUP($A366,'0.Productos'!$A$3:$GG$587,'0.Productos'!BK$1+1,0),"")</f>
        <v/>
      </c>
      <c r="T366" s="133" t="str">
        <f>IF($A366&lt;&gt;0,VLOOKUP($A366,'0.Productos'!$A$3:$GG$587,'0.Productos'!BL$1+1,0),"")</f>
        <v/>
      </c>
      <c r="U366" s="133" t="str">
        <f>IF($A366&lt;&gt;0,VLOOKUP($A366,'0.Productos'!$A$3:$GG$587,'0.Productos'!BM$1+1,0),"")</f>
        <v/>
      </c>
      <c r="V366" s="133" t="str">
        <f>IF($A366&lt;&gt;0,VLOOKUP($A366,'0.Productos'!$A$3:$GG$587,'0.Productos'!BN$1+1,0),"")</f>
        <v/>
      </c>
      <c r="W366" s="133" t="str">
        <f>IF($A366&lt;&gt;0,VLOOKUP($A366,'0.Productos'!$A$3:$GG$587,'0.Productos'!BO$1+1,0),"")</f>
        <v/>
      </c>
      <c r="X366" s="133" t="str">
        <f>IF($A366&lt;&gt;0,VLOOKUP($A366,'0.Productos'!$A$3:$GG$587,'0.Productos'!BP$1+1,0),"")</f>
        <v/>
      </c>
      <c r="Y366" s="133" t="str">
        <f>IF($A366&lt;&gt;0,VLOOKUP($A366,'0.Productos'!$A$3:$GG$587,'0.Productos'!BQ$1+1,0),"")</f>
        <v/>
      </c>
      <c r="Z366" s="133" t="str">
        <f>IF($A366&lt;&gt;0,VLOOKUP($A366,'0.Productos'!$A$3:$GG$587,'0.Productos'!BR$1+1,0),"")</f>
        <v/>
      </c>
      <c r="AA366" s="133" t="str">
        <f>IF($A366&lt;&gt;0,VLOOKUP($A366,'0.Productos'!$A$3:$GG$587,'0.Productos'!BS$1+1,0),"")</f>
        <v/>
      </c>
      <c r="AB366" s="133" t="str">
        <f>IF($A366&lt;&gt;0,VLOOKUP($A366,'0.Productos'!$A$3:$GG$587,'0.Productos'!BT$1+1,0),"")</f>
        <v/>
      </c>
      <c r="AC366" s="133" t="str">
        <f>IF($A366&lt;&gt;0,VLOOKUP($A366,'0.Productos'!$A$3:$GG$587,'0.Productos'!BU$1+1,0),"")</f>
        <v/>
      </c>
      <c r="AD366" s="133" t="str">
        <f>IF($A366&lt;&gt;0,VLOOKUP($A366,'0.Productos'!$A$3:$GG$587,'0.Productos'!BV$1+1,0),"")</f>
        <v/>
      </c>
      <c r="AE366" s="133" t="str">
        <f>IF($A366&lt;&gt;0,VLOOKUP($A366,'0.Productos'!$A$3:$GG$587,'0.Productos'!BW$1+1,0),"")</f>
        <v/>
      </c>
      <c r="AF366" s="133" t="str">
        <f>IF($A366&lt;&gt;0,VLOOKUP($A366,'0.Productos'!$A$3:$GG$587,'0.Productos'!BX$1+1,0),"")</f>
        <v/>
      </c>
      <c r="AG366" s="133" t="str">
        <f>IF($A366&lt;&gt;0,VLOOKUP($A366,'0.Productos'!$A$3:$GG$587,'0.Productos'!BY$1+1,0),"")</f>
        <v/>
      </c>
      <c r="AH366" s="133" t="str">
        <f>IF($A366&lt;&gt;0,VLOOKUP($A366,'0.Productos'!$A$3:$GG$587,'0.Productos'!BZ$1+1,0),"")</f>
        <v/>
      </c>
      <c r="AI366" s="133" t="str">
        <f>IF($A366&lt;&gt;0,VLOOKUP($A366,'0.Productos'!$A$3:$GG$587,'0.Productos'!CA$1+1,0),"")</f>
        <v/>
      </c>
      <c r="AJ366" s="133" t="str">
        <f>IF($A366&lt;&gt;0,VLOOKUP($A366,'0.Productos'!$A$3:$GG$587,'0.Productos'!CB$1+1,0),"")</f>
        <v/>
      </c>
      <c r="AK366" s="133" t="str">
        <f>IF($A366&lt;&gt;0,VLOOKUP($A366,'0.Productos'!$A$3:$GG$587,'0.Productos'!CC$1+1,0),"")</f>
        <v/>
      </c>
      <c r="AL366" s="133" t="str">
        <f>IF($A366&lt;&gt;0,VLOOKUP($A366,'0.Productos'!$A$3:$GG$587,'0.Productos'!CD$1+1,0),"")</f>
        <v/>
      </c>
      <c r="AM366" s="133" t="str">
        <f>IF($A366&lt;&gt;0,VLOOKUP($A366,'0.Productos'!$A$3:$GG$587,'0.Productos'!CE$1+1,0),"")</f>
        <v/>
      </c>
      <c r="AN366" s="133" t="str">
        <f>IF($A366&lt;&gt;0,VLOOKUP($A366,'0.Productos'!$A$3:$GG$587,'0.Productos'!CF$1+1,0),"")</f>
        <v/>
      </c>
      <c r="AO366" s="133" t="str">
        <f>IF($A366&lt;&gt;0,VLOOKUP($A366,'0.Productos'!$A$3:$GG$587,'0.Productos'!CG$1+1,0),"")</f>
        <v/>
      </c>
      <c r="AP366" s="133" t="str">
        <f>IF($A366&lt;&gt;0,VLOOKUP($A366,'0.Productos'!$A$3:$GG$587,'0.Productos'!CH$1+1,0),"")</f>
        <v/>
      </c>
      <c r="AQ366" s="133" t="str">
        <f>IF($A366&lt;&gt;0,VLOOKUP($A366,'0.Productos'!$A$3:$GG$587,'0.Productos'!CI$1+1,0),"")</f>
        <v/>
      </c>
      <c r="AR366" s="133" t="str">
        <f>IF($A366&lt;&gt;0,VLOOKUP($A366,'0.Productos'!$A$3:$GG$587,'0.Productos'!CJ$1+1,0),"")</f>
        <v/>
      </c>
      <c r="AS366" s="133" t="str">
        <f>IF($A366&lt;&gt;0,VLOOKUP($A366,'0.Productos'!$A$3:$GG$587,'0.Productos'!CK$1+1,0),"")</f>
        <v/>
      </c>
      <c r="AT366" s="133" t="str">
        <f>IF($A366&lt;&gt;0,VLOOKUP($A366,'0.Productos'!$A$3:$GG$587,'0.Productos'!CL$1+1,0),"")</f>
        <v/>
      </c>
      <c r="AU366" s="133" t="str">
        <f>IF($A366&lt;&gt;0,VLOOKUP($A366,'0.Productos'!$A$3:$GG$587,'0.Productos'!CM$1+1,0),"")</f>
        <v/>
      </c>
      <c r="AV366" s="133" t="str">
        <f>IF($A366&lt;&gt;0,VLOOKUP($A366,'0.Productos'!$A$3:$GG$587,'0.Productos'!CN$1+1,0),"")</f>
        <v/>
      </c>
      <c r="AW366" s="133" t="str">
        <f>IF($A366&lt;&gt;0,VLOOKUP($A366,'0.Productos'!$A$3:$GG$587,'0.Productos'!CO$1+1,0),"")</f>
        <v/>
      </c>
      <c r="AX366" s="133" t="str">
        <f>IF($A366&lt;&gt;0,VLOOKUP($A366,'0.Productos'!$A$3:$GG$587,'0.Productos'!CP$1+1,0),"")</f>
        <v/>
      </c>
      <c r="AY366" s="133" t="str">
        <f>IF($A366&lt;&gt;0,VLOOKUP($A366,'0.Productos'!$A$3:$GG$587,'0.Productos'!CQ$1+1,0),"")</f>
        <v/>
      </c>
      <c r="AZ366" s="133" t="str">
        <f>IF($A366&lt;&gt;0,VLOOKUP($A366,'0.Productos'!$A$3:$GG$587,'0.Productos'!CR$1+1,0),"")</f>
        <v/>
      </c>
      <c r="BA366" s="133" t="str">
        <f>IF($A366&lt;&gt;0,VLOOKUP($A366,'0.Productos'!$A$3:$GG$587,'0.Productos'!CS$1+1,0),"")</f>
        <v/>
      </c>
      <c r="BB366" s="133" t="str">
        <f>IF($A366&lt;&gt;0,VLOOKUP($A366,'0.Productos'!$A$3:$GG$587,'0.Productos'!CT$1+1,0),"")</f>
        <v/>
      </c>
      <c r="BC366" s="133" t="str">
        <f>IF($A366&lt;&gt;0,VLOOKUP($A366,'0.Productos'!$A$3:$GG$587,'0.Productos'!CU$1+1,0),"")</f>
        <v/>
      </c>
      <c r="BD366" s="133" t="str">
        <f>IF($A366&lt;&gt;0,VLOOKUP($A366,'0.Productos'!$A$3:$GG$587,'0.Productos'!CV$1+1,0),"")</f>
        <v/>
      </c>
      <c r="BE366" s="133" t="str">
        <f>IF($A366&lt;&gt;0,VLOOKUP($A366,'0.Productos'!$A$3:$GG$587,'0.Productos'!CW$1+1,0),"")</f>
        <v/>
      </c>
      <c r="BF366" s="133" t="str">
        <f>IF($A366&lt;&gt;0,VLOOKUP($A366,'0.Productos'!$A$3:$GG$587,'0.Productos'!CX$1+1,0),"")</f>
        <v/>
      </c>
      <c r="BG366" s="133" t="str">
        <f>IF($A366&lt;&gt;0,VLOOKUP($A366,'0.Productos'!$A$3:$GG$587,'0.Productos'!CY$1+1,0),"")</f>
        <v/>
      </c>
      <c r="BH366" s="133" t="str">
        <f>IF($A366&lt;&gt;0,VLOOKUP($A366,'0.Productos'!$A$3:$GG$587,'0.Productos'!CZ$1+1,0),"")</f>
        <v/>
      </c>
      <c r="BI366" s="133" t="str">
        <f>IF($A366&lt;&gt;0,VLOOKUP($A366,'0.Productos'!$A$3:$GG$587,'0.Productos'!DA$1+1,0),"")</f>
        <v/>
      </c>
      <c r="BJ366" s="133" t="str">
        <f>IF($A366&lt;&gt;0,VLOOKUP($A366,'0.Productos'!$A$3:$GG$587,'0.Productos'!DB$1+1,0),"")</f>
        <v/>
      </c>
      <c r="BK366" s="133" t="str">
        <f>IF($A366&lt;&gt;0,VLOOKUP($A366,'0.Productos'!$A$3:$GG$587,'0.Productos'!DC$1+1,0),"")</f>
        <v/>
      </c>
      <c r="BL366" s="133" t="str">
        <f>IF($A366&lt;&gt;0,VLOOKUP($A366,'0.Productos'!$A$3:$GG$587,'0.Productos'!DD$1+1,0),"")</f>
        <v/>
      </c>
      <c r="BM366" s="133" t="str">
        <f>IF($A366&lt;&gt;0,VLOOKUP($A366,'0.Productos'!$A$3:$GG$587,'0.Productos'!DE$1+1,0),"")</f>
        <v/>
      </c>
      <c r="BN366" s="133" t="str">
        <f>IF($A366&lt;&gt;0,VLOOKUP($A366,'0.Productos'!$A$3:$GG$587,'0.Productos'!DF$1+1,0),"")</f>
        <v/>
      </c>
      <c r="BO366" s="133" t="str">
        <f>IF($A366&lt;&gt;0,VLOOKUP($A366,'0.Productos'!$A$3:$GG$587,'0.Productos'!DG$1+1,0),"")</f>
        <v/>
      </c>
      <c r="BP366" s="133" t="str">
        <f>IF($A366&lt;&gt;0,VLOOKUP($A366,'0.Productos'!$A$3:$GG$587,'0.Productos'!DH$1+1,0),"")</f>
        <v/>
      </c>
      <c r="BQ366" s="133" t="str">
        <f>IF($A366&lt;&gt;0,VLOOKUP($A366,'0.Productos'!$A$3:$GG$587,'0.Productos'!DI$1+1,0),"")</f>
        <v/>
      </c>
      <c r="BR366" s="133" t="str">
        <f>IF($A366&lt;&gt;0,VLOOKUP($A366,'0.Productos'!$A$3:$GG$587,'0.Productos'!DJ$1+1,0),"")</f>
        <v/>
      </c>
      <c r="BS366" s="133" t="str">
        <f>IF($A366&lt;&gt;0,VLOOKUP($A366,'0.Productos'!$A$3:$GG$587,'0.Productos'!DK$1+1,0),"")</f>
        <v/>
      </c>
      <c r="BT366" s="133" t="str">
        <f>IF($A366&lt;&gt;0,VLOOKUP($A366,'0.Productos'!$A$3:$GG$587,'0.Productos'!DL$1+1,0),"")</f>
        <v/>
      </c>
    </row>
    <row r="367" spans="1:72" x14ac:dyDescent="0.25">
      <c r="A367" s="17">
        <f>'0.Consolidado general'!A367</f>
        <v>0</v>
      </c>
      <c r="B367" s="133" t="str">
        <f>IF($A367&lt;&gt;0,VLOOKUP($A367,'0.Productos'!$A$3:$GG$587,'0.Productos'!AT$1+1,0),"")</f>
        <v/>
      </c>
      <c r="C367" s="133" t="str">
        <f>IF($A367&lt;&gt;0,VLOOKUP($A367,'0.Productos'!$A$3:$GG$587,'0.Productos'!AU$1+1,0),"")</f>
        <v/>
      </c>
      <c r="D367" s="133" t="str">
        <f>IF($A367&lt;&gt;0,VLOOKUP($A367,'0.Productos'!$A$3:$GG$587,'0.Productos'!AV$1+1,0),"")</f>
        <v/>
      </c>
      <c r="E367" s="133" t="str">
        <f>IF($A367&lt;&gt;0,VLOOKUP($A367,'0.Productos'!$A$3:$GG$587,'0.Productos'!AW$1+1,0),"")</f>
        <v/>
      </c>
      <c r="F367" s="133" t="str">
        <f>IF($A367&lt;&gt;0,VLOOKUP($A367,'0.Productos'!$A$3:$GG$587,'0.Productos'!AX$1+1,0),"")</f>
        <v/>
      </c>
      <c r="G367" s="133" t="str">
        <f>IF($A367&lt;&gt;0,VLOOKUP($A367,'0.Productos'!$A$3:$GG$587,'0.Productos'!AY$1+1,0),"")</f>
        <v/>
      </c>
      <c r="H367" s="133" t="str">
        <f>IF($A367&lt;&gt;0,VLOOKUP($A367,'0.Productos'!$A$3:$GG$587,'0.Productos'!AZ$1+1,0),"")</f>
        <v/>
      </c>
      <c r="I367" s="133" t="str">
        <f>IF($A367&lt;&gt;0,VLOOKUP($A367,'0.Productos'!$A$3:$GG$587,'0.Productos'!BA$1+1,0),"")</f>
        <v/>
      </c>
      <c r="J367" s="133" t="str">
        <f>IF($A367&lt;&gt;0,VLOOKUP($A367,'0.Productos'!$A$3:$GG$587,'0.Productos'!BB$1+1,0),"")</f>
        <v/>
      </c>
      <c r="K367" s="133" t="str">
        <f>IF($A367&lt;&gt;0,VLOOKUP($A367,'0.Productos'!$A$3:$GG$587,'0.Productos'!BC$1+1,0),"")</f>
        <v/>
      </c>
      <c r="L367" s="133" t="str">
        <f>IF($A367&lt;&gt;0,VLOOKUP($A367,'0.Productos'!$A$3:$GG$587,'0.Productos'!BD$1+1,0),"")</f>
        <v/>
      </c>
      <c r="M367" s="133" t="str">
        <f>IF($A367&lt;&gt;0,VLOOKUP($A367,'0.Productos'!$A$3:$GG$587,'0.Productos'!BE$1+1,0),"")</f>
        <v/>
      </c>
      <c r="N367" s="133" t="str">
        <f>IF($A367&lt;&gt;0,VLOOKUP($A367,'0.Productos'!$A$3:$GG$587,'0.Productos'!BF$1+1,0),"")</f>
        <v/>
      </c>
      <c r="O367" s="133" t="str">
        <f>IF($A367&lt;&gt;0,VLOOKUP($A367,'0.Productos'!$A$3:$GG$587,'0.Productos'!BG$1+1,0),"")</f>
        <v/>
      </c>
      <c r="P367" s="133" t="str">
        <f>IF($A367&lt;&gt;0,VLOOKUP($A367,'0.Productos'!$A$3:$GG$587,'0.Productos'!BH$1+1,0),"")</f>
        <v/>
      </c>
      <c r="Q367" s="133" t="str">
        <f>IF($A367&lt;&gt;0,VLOOKUP($A367,'0.Productos'!$A$3:$GG$587,'0.Productos'!BI$1+1,0),"")</f>
        <v/>
      </c>
      <c r="R367" s="133" t="str">
        <f>IF($A367&lt;&gt;0,VLOOKUP($A367,'0.Productos'!$A$3:$GG$587,'0.Productos'!BJ$1+1,0),"")</f>
        <v/>
      </c>
      <c r="S367" s="133" t="str">
        <f>IF($A367&lt;&gt;0,VLOOKUP($A367,'0.Productos'!$A$3:$GG$587,'0.Productos'!BK$1+1,0),"")</f>
        <v/>
      </c>
      <c r="T367" s="133" t="str">
        <f>IF($A367&lt;&gt;0,VLOOKUP($A367,'0.Productos'!$A$3:$GG$587,'0.Productos'!BL$1+1,0),"")</f>
        <v/>
      </c>
      <c r="U367" s="133" t="str">
        <f>IF($A367&lt;&gt;0,VLOOKUP($A367,'0.Productos'!$A$3:$GG$587,'0.Productos'!BM$1+1,0),"")</f>
        <v/>
      </c>
      <c r="V367" s="133" t="str">
        <f>IF($A367&lt;&gt;0,VLOOKUP($A367,'0.Productos'!$A$3:$GG$587,'0.Productos'!BN$1+1,0),"")</f>
        <v/>
      </c>
      <c r="W367" s="133" t="str">
        <f>IF($A367&lt;&gt;0,VLOOKUP($A367,'0.Productos'!$A$3:$GG$587,'0.Productos'!BO$1+1,0),"")</f>
        <v/>
      </c>
      <c r="X367" s="133" t="str">
        <f>IF($A367&lt;&gt;0,VLOOKUP($A367,'0.Productos'!$A$3:$GG$587,'0.Productos'!BP$1+1,0),"")</f>
        <v/>
      </c>
      <c r="Y367" s="133" t="str">
        <f>IF($A367&lt;&gt;0,VLOOKUP($A367,'0.Productos'!$A$3:$GG$587,'0.Productos'!BQ$1+1,0),"")</f>
        <v/>
      </c>
      <c r="Z367" s="133" t="str">
        <f>IF($A367&lt;&gt;0,VLOOKUP($A367,'0.Productos'!$A$3:$GG$587,'0.Productos'!BR$1+1,0),"")</f>
        <v/>
      </c>
      <c r="AA367" s="133" t="str">
        <f>IF($A367&lt;&gt;0,VLOOKUP($A367,'0.Productos'!$A$3:$GG$587,'0.Productos'!BS$1+1,0),"")</f>
        <v/>
      </c>
      <c r="AB367" s="133" t="str">
        <f>IF($A367&lt;&gt;0,VLOOKUP($A367,'0.Productos'!$A$3:$GG$587,'0.Productos'!BT$1+1,0),"")</f>
        <v/>
      </c>
      <c r="AC367" s="133" t="str">
        <f>IF($A367&lt;&gt;0,VLOOKUP($A367,'0.Productos'!$A$3:$GG$587,'0.Productos'!BU$1+1,0),"")</f>
        <v/>
      </c>
      <c r="AD367" s="133" t="str">
        <f>IF($A367&lt;&gt;0,VLOOKUP($A367,'0.Productos'!$A$3:$GG$587,'0.Productos'!BV$1+1,0),"")</f>
        <v/>
      </c>
      <c r="AE367" s="133" t="str">
        <f>IF($A367&lt;&gt;0,VLOOKUP($A367,'0.Productos'!$A$3:$GG$587,'0.Productos'!BW$1+1,0),"")</f>
        <v/>
      </c>
      <c r="AF367" s="133" t="str">
        <f>IF($A367&lt;&gt;0,VLOOKUP($A367,'0.Productos'!$A$3:$GG$587,'0.Productos'!BX$1+1,0),"")</f>
        <v/>
      </c>
      <c r="AG367" s="133" t="str">
        <f>IF($A367&lt;&gt;0,VLOOKUP($A367,'0.Productos'!$A$3:$GG$587,'0.Productos'!BY$1+1,0),"")</f>
        <v/>
      </c>
      <c r="AH367" s="133" t="str">
        <f>IF($A367&lt;&gt;0,VLOOKUP($A367,'0.Productos'!$A$3:$GG$587,'0.Productos'!BZ$1+1,0),"")</f>
        <v/>
      </c>
      <c r="AI367" s="133" t="str">
        <f>IF($A367&lt;&gt;0,VLOOKUP($A367,'0.Productos'!$A$3:$GG$587,'0.Productos'!CA$1+1,0),"")</f>
        <v/>
      </c>
      <c r="AJ367" s="133" t="str">
        <f>IF($A367&lt;&gt;0,VLOOKUP($A367,'0.Productos'!$A$3:$GG$587,'0.Productos'!CB$1+1,0),"")</f>
        <v/>
      </c>
      <c r="AK367" s="133" t="str">
        <f>IF($A367&lt;&gt;0,VLOOKUP($A367,'0.Productos'!$A$3:$GG$587,'0.Productos'!CC$1+1,0),"")</f>
        <v/>
      </c>
      <c r="AL367" s="133" t="str">
        <f>IF($A367&lt;&gt;0,VLOOKUP($A367,'0.Productos'!$A$3:$GG$587,'0.Productos'!CD$1+1,0),"")</f>
        <v/>
      </c>
      <c r="AM367" s="133" t="str">
        <f>IF($A367&lt;&gt;0,VLOOKUP($A367,'0.Productos'!$A$3:$GG$587,'0.Productos'!CE$1+1,0),"")</f>
        <v/>
      </c>
      <c r="AN367" s="133" t="str">
        <f>IF($A367&lt;&gt;0,VLOOKUP($A367,'0.Productos'!$A$3:$GG$587,'0.Productos'!CF$1+1,0),"")</f>
        <v/>
      </c>
      <c r="AO367" s="133" t="str">
        <f>IF($A367&lt;&gt;0,VLOOKUP($A367,'0.Productos'!$A$3:$GG$587,'0.Productos'!CG$1+1,0),"")</f>
        <v/>
      </c>
      <c r="AP367" s="133" t="str">
        <f>IF($A367&lt;&gt;0,VLOOKUP($A367,'0.Productos'!$A$3:$GG$587,'0.Productos'!CH$1+1,0),"")</f>
        <v/>
      </c>
      <c r="AQ367" s="133" t="str">
        <f>IF($A367&lt;&gt;0,VLOOKUP($A367,'0.Productos'!$A$3:$GG$587,'0.Productos'!CI$1+1,0),"")</f>
        <v/>
      </c>
      <c r="AR367" s="133" t="str">
        <f>IF($A367&lt;&gt;0,VLOOKUP($A367,'0.Productos'!$A$3:$GG$587,'0.Productos'!CJ$1+1,0),"")</f>
        <v/>
      </c>
      <c r="AS367" s="133" t="str">
        <f>IF($A367&lt;&gt;0,VLOOKUP($A367,'0.Productos'!$A$3:$GG$587,'0.Productos'!CK$1+1,0),"")</f>
        <v/>
      </c>
      <c r="AT367" s="133" t="str">
        <f>IF($A367&lt;&gt;0,VLOOKUP($A367,'0.Productos'!$A$3:$GG$587,'0.Productos'!CL$1+1,0),"")</f>
        <v/>
      </c>
      <c r="AU367" s="133" t="str">
        <f>IF($A367&lt;&gt;0,VLOOKUP($A367,'0.Productos'!$A$3:$GG$587,'0.Productos'!CM$1+1,0),"")</f>
        <v/>
      </c>
      <c r="AV367" s="133" t="str">
        <f>IF($A367&lt;&gt;0,VLOOKUP($A367,'0.Productos'!$A$3:$GG$587,'0.Productos'!CN$1+1,0),"")</f>
        <v/>
      </c>
      <c r="AW367" s="133" t="str">
        <f>IF($A367&lt;&gt;0,VLOOKUP($A367,'0.Productos'!$A$3:$GG$587,'0.Productos'!CO$1+1,0),"")</f>
        <v/>
      </c>
      <c r="AX367" s="133" t="str">
        <f>IF($A367&lt;&gt;0,VLOOKUP($A367,'0.Productos'!$A$3:$GG$587,'0.Productos'!CP$1+1,0),"")</f>
        <v/>
      </c>
      <c r="AY367" s="133" t="str">
        <f>IF($A367&lt;&gt;0,VLOOKUP($A367,'0.Productos'!$A$3:$GG$587,'0.Productos'!CQ$1+1,0),"")</f>
        <v/>
      </c>
      <c r="AZ367" s="133" t="str">
        <f>IF($A367&lt;&gt;0,VLOOKUP($A367,'0.Productos'!$A$3:$GG$587,'0.Productos'!CR$1+1,0),"")</f>
        <v/>
      </c>
      <c r="BA367" s="133" t="str">
        <f>IF($A367&lt;&gt;0,VLOOKUP($A367,'0.Productos'!$A$3:$GG$587,'0.Productos'!CS$1+1,0),"")</f>
        <v/>
      </c>
      <c r="BB367" s="133" t="str">
        <f>IF($A367&lt;&gt;0,VLOOKUP($A367,'0.Productos'!$A$3:$GG$587,'0.Productos'!CT$1+1,0),"")</f>
        <v/>
      </c>
      <c r="BC367" s="133" t="str">
        <f>IF($A367&lt;&gt;0,VLOOKUP($A367,'0.Productos'!$A$3:$GG$587,'0.Productos'!CU$1+1,0),"")</f>
        <v/>
      </c>
      <c r="BD367" s="133" t="str">
        <f>IF($A367&lt;&gt;0,VLOOKUP($A367,'0.Productos'!$A$3:$GG$587,'0.Productos'!CV$1+1,0),"")</f>
        <v/>
      </c>
      <c r="BE367" s="133" t="str">
        <f>IF($A367&lt;&gt;0,VLOOKUP($A367,'0.Productos'!$A$3:$GG$587,'0.Productos'!CW$1+1,0),"")</f>
        <v/>
      </c>
      <c r="BF367" s="133" t="str">
        <f>IF($A367&lt;&gt;0,VLOOKUP($A367,'0.Productos'!$A$3:$GG$587,'0.Productos'!CX$1+1,0),"")</f>
        <v/>
      </c>
      <c r="BG367" s="133" t="str">
        <f>IF($A367&lt;&gt;0,VLOOKUP($A367,'0.Productos'!$A$3:$GG$587,'0.Productos'!CY$1+1,0),"")</f>
        <v/>
      </c>
      <c r="BH367" s="133" t="str">
        <f>IF($A367&lt;&gt;0,VLOOKUP($A367,'0.Productos'!$A$3:$GG$587,'0.Productos'!CZ$1+1,0),"")</f>
        <v/>
      </c>
      <c r="BI367" s="133" t="str">
        <f>IF($A367&lt;&gt;0,VLOOKUP($A367,'0.Productos'!$A$3:$GG$587,'0.Productos'!DA$1+1,0),"")</f>
        <v/>
      </c>
      <c r="BJ367" s="133" t="str">
        <f>IF($A367&lt;&gt;0,VLOOKUP($A367,'0.Productos'!$A$3:$GG$587,'0.Productos'!DB$1+1,0),"")</f>
        <v/>
      </c>
      <c r="BK367" s="133" t="str">
        <f>IF($A367&lt;&gt;0,VLOOKUP($A367,'0.Productos'!$A$3:$GG$587,'0.Productos'!DC$1+1,0),"")</f>
        <v/>
      </c>
      <c r="BL367" s="133" t="str">
        <f>IF($A367&lt;&gt;0,VLOOKUP($A367,'0.Productos'!$A$3:$GG$587,'0.Productos'!DD$1+1,0),"")</f>
        <v/>
      </c>
      <c r="BM367" s="133" t="str">
        <f>IF($A367&lt;&gt;0,VLOOKUP($A367,'0.Productos'!$A$3:$GG$587,'0.Productos'!DE$1+1,0),"")</f>
        <v/>
      </c>
      <c r="BN367" s="133" t="str">
        <f>IF($A367&lt;&gt;0,VLOOKUP($A367,'0.Productos'!$A$3:$GG$587,'0.Productos'!DF$1+1,0),"")</f>
        <v/>
      </c>
      <c r="BO367" s="133" t="str">
        <f>IF($A367&lt;&gt;0,VLOOKUP($A367,'0.Productos'!$A$3:$GG$587,'0.Productos'!DG$1+1,0),"")</f>
        <v/>
      </c>
      <c r="BP367" s="133" t="str">
        <f>IF($A367&lt;&gt;0,VLOOKUP($A367,'0.Productos'!$A$3:$GG$587,'0.Productos'!DH$1+1,0),"")</f>
        <v/>
      </c>
      <c r="BQ367" s="133" t="str">
        <f>IF($A367&lt;&gt;0,VLOOKUP($A367,'0.Productos'!$A$3:$GG$587,'0.Productos'!DI$1+1,0),"")</f>
        <v/>
      </c>
      <c r="BR367" s="133" t="str">
        <f>IF($A367&lt;&gt;0,VLOOKUP($A367,'0.Productos'!$A$3:$GG$587,'0.Productos'!DJ$1+1,0),"")</f>
        <v/>
      </c>
      <c r="BS367" s="133" t="str">
        <f>IF($A367&lt;&gt;0,VLOOKUP($A367,'0.Productos'!$A$3:$GG$587,'0.Productos'!DK$1+1,0),"")</f>
        <v/>
      </c>
      <c r="BT367" s="133" t="str">
        <f>IF($A367&lt;&gt;0,VLOOKUP($A367,'0.Productos'!$A$3:$GG$587,'0.Productos'!DL$1+1,0),"")</f>
        <v/>
      </c>
    </row>
    <row r="368" spans="1:72" x14ac:dyDescent="0.25">
      <c r="A368" s="17">
        <f>'0.Consolidado general'!A368</f>
        <v>0</v>
      </c>
      <c r="B368" s="133" t="str">
        <f>IF($A368&lt;&gt;0,VLOOKUP($A368,'0.Productos'!$A$3:$GG$587,'0.Productos'!AT$1+1,0),"")</f>
        <v/>
      </c>
      <c r="C368" s="133" t="str">
        <f>IF($A368&lt;&gt;0,VLOOKUP($A368,'0.Productos'!$A$3:$GG$587,'0.Productos'!AU$1+1,0),"")</f>
        <v/>
      </c>
      <c r="D368" s="133" t="str">
        <f>IF($A368&lt;&gt;0,VLOOKUP($A368,'0.Productos'!$A$3:$GG$587,'0.Productos'!AV$1+1,0),"")</f>
        <v/>
      </c>
      <c r="E368" s="133" t="str">
        <f>IF($A368&lt;&gt;0,VLOOKUP($A368,'0.Productos'!$A$3:$GG$587,'0.Productos'!AW$1+1,0),"")</f>
        <v/>
      </c>
      <c r="F368" s="133" t="str">
        <f>IF($A368&lt;&gt;0,VLOOKUP($A368,'0.Productos'!$A$3:$GG$587,'0.Productos'!AX$1+1,0),"")</f>
        <v/>
      </c>
      <c r="G368" s="133" t="str">
        <f>IF($A368&lt;&gt;0,VLOOKUP($A368,'0.Productos'!$A$3:$GG$587,'0.Productos'!AY$1+1,0),"")</f>
        <v/>
      </c>
      <c r="H368" s="133" t="str">
        <f>IF($A368&lt;&gt;0,VLOOKUP($A368,'0.Productos'!$A$3:$GG$587,'0.Productos'!AZ$1+1,0),"")</f>
        <v/>
      </c>
      <c r="I368" s="133" t="str">
        <f>IF($A368&lt;&gt;0,VLOOKUP($A368,'0.Productos'!$A$3:$GG$587,'0.Productos'!BA$1+1,0),"")</f>
        <v/>
      </c>
      <c r="J368" s="133" t="str">
        <f>IF($A368&lt;&gt;0,VLOOKUP($A368,'0.Productos'!$A$3:$GG$587,'0.Productos'!BB$1+1,0),"")</f>
        <v/>
      </c>
      <c r="K368" s="133" t="str">
        <f>IF($A368&lt;&gt;0,VLOOKUP($A368,'0.Productos'!$A$3:$GG$587,'0.Productos'!BC$1+1,0),"")</f>
        <v/>
      </c>
      <c r="L368" s="133" t="str">
        <f>IF($A368&lt;&gt;0,VLOOKUP($A368,'0.Productos'!$A$3:$GG$587,'0.Productos'!BD$1+1,0),"")</f>
        <v/>
      </c>
      <c r="M368" s="133" t="str">
        <f>IF($A368&lt;&gt;0,VLOOKUP($A368,'0.Productos'!$A$3:$GG$587,'0.Productos'!BE$1+1,0),"")</f>
        <v/>
      </c>
      <c r="N368" s="133" t="str">
        <f>IF($A368&lt;&gt;0,VLOOKUP($A368,'0.Productos'!$A$3:$GG$587,'0.Productos'!BF$1+1,0),"")</f>
        <v/>
      </c>
      <c r="O368" s="133" t="str">
        <f>IF($A368&lt;&gt;0,VLOOKUP($A368,'0.Productos'!$A$3:$GG$587,'0.Productos'!BG$1+1,0),"")</f>
        <v/>
      </c>
      <c r="P368" s="133" t="str">
        <f>IF($A368&lt;&gt;0,VLOOKUP($A368,'0.Productos'!$A$3:$GG$587,'0.Productos'!BH$1+1,0),"")</f>
        <v/>
      </c>
      <c r="Q368" s="133" t="str">
        <f>IF($A368&lt;&gt;0,VLOOKUP($A368,'0.Productos'!$A$3:$GG$587,'0.Productos'!BI$1+1,0),"")</f>
        <v/>
      </c>
      <c r="R368" s="133" t="str">
        <f>IF($A368&lt;&gt;0,VLOOKUP($A368,'0.Productos'!$A$3:$GG$587,'0.Productos'!BJ$1+1,0),"")</f>
        <v/>
      </c>
      <c r="S368" s="133" t="str">
        <f>IF($A368&lt;&gt;0,VLOOKUP($A368,'0.Productos'!$A$3:$GG$587,'0.Productos'!BK$1+1,0),"")</f>
        <v/>
      </c>
      <c r="T368" s="133" t="str">
        <f>IF($A368&lt;&gt;0,VLOOKUP($A368,'0.Productos'!$A$3:$GG$587,'0.Productos'!BL$1+1,0),"")</f>
        <v/>
      </c>
      <c r="U368" s="133" t="str">
        <f>IF($A368&lt;&gt;0,VLOOKUP($A368,'0.Productos'!$A$3:$GG$587,'0.Productos'!BM$1+1,0),"")</f>
        <v/>
      </c>
      <c r="V368" s="133" t="str">
        <f>IF($A368&lt;&gt;0,VLOOKUP($A368,'0.Productos'!$A$3:$GG$587,'0.Productos'!BN$1+1,0),"")</f>
        <v/>
      </c>
      <c r="W368" s="133" t="str">
        <f>IF($A368&lt;&gt;0,VLOOKUP($A368,'0.Productos'!$A$3:$GG$587,'0.Productos'!BO$1+1,0),"")</f>
        <v/>
      </c>
      <c r="X368" s="133" t="str">
        <f>IF($A368&lt;&gt;0,VLOOKUP($A368,'0.Productos'!$A$3:$GG$587,'0.Productos'!BP$1+1,0),"")</f>
        <v/>
      </c>
      <c r="Y368" s="133" t="str">
        <f>IF($A368&lt;&gt;0,VLOOKUP($A368,'0.Productos'!$A$3:$GG$587,'0.Productos'!BQ$1+1,0),"")</f>
        <v/>
      </c>
      <c r="Z368" s="133" t="str">
        <f>IF($A368&lt;&gt;0,VLOOKUP($A368,'0.Productos'!$A$3:$GG$587,'0.Productos'!BR$1+1,0),"")</f>
        <v/>
      </c>
      <c r="AA368" s="133" t="str">
        <f>IF($A368&lt;&gt;0,VLOOKUP($A368,'0.Productos'!$A$3:$GG$587,'0.Productos'!BS$1+1,0),"")</f>
        <v/>
      </c>
      <c r="AB368" s="133" t="str">
        <f>IF($A368&lt;&gt;0,VLOOKUP($A368,'0.Productos'!$A$3:$GG$587,'0.Productos'!BT$1+1,0),"")</f>
        <v/>
      </c>
      <c r="AC368" s="133" t="str">
        <f>IF($A368&lt;&gt;0,VLOOKUP($A368,'0.Productos'!$A$3:$GG$587,'0.Productos'!BU$1+1,0),"")</f>
        <v/>
      </c>
      <c r="AD368" s="133" t="str">
        <f>IF($A368&lt;&gt;0,VLOOKUP($A368,'0.Productos'!$A$3:$GG$587,'0.Productos'!BV$1+1,0),"")</f>
        <v/>
      </c>
      <c r="AE368" s="133" t="str">
        <f>IF($A368&lt;&gt;0,VLOOKUP($A368,'0.Productos'!$A$3:$GG$587,'0.Productos'!BW$1+1,0),"")</f>
        <v/>
      </c>
      <c r="AF368" s="133" t="str">
        <f>IF($A368&lt;&gt;0,VLOOKUP($A368,'0.Productos'!$A$3:$GG$587,'0.Productos'!BX$1+1,0),"")</f>
        <v/>
      </c>
      <c r="AG368" s="133" t="str">
        <f>IF($A368&lt;&gt;0,VLOOKUP($A368,'0.Productos'!$A$3:$GG$587,'0.Productos'!BY$1+1,0),"")</f>
        <v/>
      </c>
      <c r="AH368" s="133" t="str">
        <f>IF($A368&lt;&gt;0,VLOOKUP($A368,'0.Productos'!$A$3:$GG$587,'0.Productos'!BZ$1+1,0),"")</f>
        <v/>
      </c>
      <c r="AI368" s="133" t="str">
        <f>IF($A368&lt;&gt;0,VLOOKUP($A368,'0.Productos'!$A$3:$GG$587,'0.Productos'!CA$1+1,0),"")</f>
        <v/>
      </c>
      <c r="AJ368" s="133" t="str">
        <f>IF($A368&lt;&gt;0,VLOOKUP($A368,'0.Productos'!$A$3:$GG$587,'0.Productos'!CB$1+1,0),"")</f>
        <v/>
      </c>
      <c r="AK368" s="133" t="str">
        <f>IF($A368&lt;&gt;0,VLOOKUP($A368,'0.Productos'!$A$3:$GG$587,'0.Productos'!CC$1+1,0),"")</f>
        <v/>
      </c>
      <c r="AL368" s="133" t="str">
        <f>IF($A368&lt;&gt;0,VLOOKUP($A368,'0.Productos'!$A$3:$GG$587,'0.Productos'!CD$1+1,0),"")</f>
        <v/>
      </c>
      <c r="AM368" s="133" t="str">
        <f>IF($A368&lt;&gt;0,VLOOKUP($A368,'0.Productos'!$A$3:$GG$587,'0.Productos'!CE$1+1,0),"")</f>
        <v/>
      </c>
      <c r="AN368" s="133" t="str">
        <f>IF($A368&lt;&gt;0,VLOOKUP($A368,'0.Productos'!$A$3:$GG$587,'0.Productos'!CF$1+1,0),"")</f>
        <v/>
      </c>
      <c r="AO368" s="133" t="str">
        <f>IF($A368&lt;&gt;0,VLOOKUP($A368,'0.Productos'!$A$3:$GG$587,'0.Productos'!CG$1+1,0),"")</f>
        <v/>
      </c>
      <c r="AP368" s="133" t="str">
        <f>IF($A368&lt;&gt;0,VLOOKUP($A368,'0.Productos'!$A$3:$GG$587,'0.Productos'!CH$1+1,0),"")</f>
        <v/>
      </c>
      <c r="AQ368" s="133" t="str">
        <f>IF($A368&lt;&gt;0,VLOOKUP($A368,'0.Productos'!$A$3:$GG$587,'0.Productos'!CI$1+1,0),"")</f>
        <v/>
      </c>
      <c r="AR368" s="133" t="str">
        <f>IF($A368&lt;&gt;0,VLOOKUP($A368,'0.Productos'!$A$3:$GG$587,'0.Productos'!CJ$1+1,0),"")</f>
        <v/>
      </c>
      <c r="AS368" s="133" t="str">
        <f>IF($A368&lt;&gt;0,VLOOKUP($A368,'0.Productos'!$A$3:$GG$587,'0.Productos'!CK$1+1,0),"")</f>
        <v/>
      </c>
      <c r="AT368" s="133" t="str">
        <f>IF($A368&lt;&gt;0,VLOOKUP($A368,'0.Productos'!$A$3:$GG$587,'0.Productos'!CL$1+1,0),"")</f>
        <v/>
      </c>
      <c r="AU368" s="133" t="str">
        <f>IF($A368&lt;&gt;0,VLOOKUP($A368,'0.Productos'!$A$3:$GG$587,'0.Productos'!CM$1+1,0),"")</f>
        <v/>
      </c>
      <c r="AV368" s="133" t="str">
        <f>IF($A368&lt;&gt;0,VLOOKUP($A368,'0.Productos'!$A$3:$GG$587,'0.Productos'!CN$1+1,0),"")</f>
        <v/>
      </c>
      <c r="AW368" s="133" t="str">
        <f>IF($A368&lt;&gt;0,VLOOKUP($A368,'0.Productos'!$A$3:$GG$587,'0.Productos'!CO$1+1,0),"")</f>
        <v/>
      </c>
      <c r="AX368" s="133" t="str">
        <f>IF($A368&lt;&gt;0,VLOOKUP($A368,'0.Productos'!$A$3:$GG$587,'0.Productos'!CP$1+1,0),"")</f>
        <v/>
      </c>
      <c r="AY368" s="133" t="str">
        <f>IF($A368&lt;&gt;0,VLOOKUP($A368,'0.Productos'!$A$3:$GG$587,'0.Productos'!CQ$1+1,0),"")</f>
        <v/>
      </c>
      <c r="AZ368" s="133" t="str">
        <f>IF($A368&lt;&gt;0,VLOOKUP($A368,'0.Productos'!$A$3:$GG$587,'0.Productos'!CR$1+1,0),"")</f>
        <v/>
      </c>
      <c r="BA368" s="133" t="str">
        <f>IF($A368&lt;&gt;0,VLOOKUP($A368,'0.Productos'!$A$3:$GG$587,'0.Productos'!CS$1+1,0),"")</f>
        <v/>
      </c>
      <c r="BB368" s="133" t="str">
        <f>IF($A368&lt;&gt;0,VLOOKUP($A368,'0.Productos'!$A$3:$GG$587,'0.Productos'!CT$1+1,0),"")</f>
        <v/>
      </c>
      <c r="BC368" s="133" t="str">
        <f>IF($A368&lt;&gt;0,VLOOKUP($A368,'0.Productos'!$A$3:$GG$587,'0.Productos'!CU$1+1,0),"")</f>
        <v/>
      </c>
      <c r="BD368" s="133" t="str">
        <f>IF($A368&lt;&gt;0,VLOOKUP($A368,'0.Productos'!$A$3:$GG$587,'0.Productos'!CV$1+1,0),"")</f>
        <v/>
      </c>
      <c r="BE368" s="133" t="str">
        <f>IF($A368&lt;&gt;0,VLOOKUP($A368,'0.Productos'!$A$3:$GG$587,'0.Productos'!CW$1+1,0),"")</f>
        <v/>
      </c>
      <c r="BF368" s="133" t="str">
        <f>IF($A368&lt;&gt;0,VLOOKUP($A368,'0.Productos'!$A$3:$GG$587,'0.Productos'!CX$1+1,0),"")</f>
        <v/>
      </c>
      <c r="BG368" s="133" t="str">
        <f>IF($A368&lt;&gt;0,VLOOKUP($A368,'0.Productos'!$A$3:$GG$587,'0.Productos'!CY$1+1,0),"")</f>
        <v/>
      </c>
      <c r="BH368" s="133" t="str">
        <f>IF($A368&lt;&gt;0,VLOOKUP($A368,'0.Productos'!$A$3:$GG$587,'0.Productos'!CZ$1+1,0),"")</f>
        <v/>
      </c>
      <c r="BI368" s="133" t="str">
        <f>IF($A368&lt;&gt;0,VLOOKUP($A368,'0.Productos'!$A$3:$GG$587,'0.Productos'!DA$1+1,0),"")</f>
        <v/>
      </c>
      <c r="BJ368" s="133" t="str">
        <f>IF($A368&lt;&gt;0,VLOOKUP($A368,'0.Productos'!$A$3:$GG$587,'0.Productos'!DB$1+1,0),"")</f>
        <v/>
      </c>
      <c r="BK368" s="133" t="str">
        <f>IF($A368&lt;&gt;0,VLOOKUP($A368,'0.Productos'!$A$3:$GG$587,'0.Productos'!DC$1+1,0),"")</f>
        <v/>
      </c>
      <c r="BL368" s="133" t="str">
        <f>IF($A368&lt;&gt;0,VLOOKUP($A368,'0.Productos'!$A$3:$GG$587,'0.Productos'!DD$1+1,0),"")</f>
        <v/>
      </c>
      <c r="BM368" s="133" t="str">
        <f>IF($A368&lt;&gt;0,VLOOKUP($A368,'0.Productos'!$A$3:$GG$587,'0.Productos'!DE$1+1,0),"")</f>
        <v/>
      </c>
      <c r="BN368" s="133" t="str">
        <f>IF($A368&lt;&gt;0,VLOOKUP($A368,'0.Productos'!$A$3:$GG$587,'0.Productos'!DF$1+1,0),"")</f>
        <v/>
      </c>
      <c r="BO368" s="133" t="str">
        <f>IF($A368&lt;&gt;0,VLOOKUP($A368,'0.Productos'!$A$3:$GG$587,'0.Productos'!DG$1+1,0),"")</f>
        <v/>
      </c>
      <c r="BP368" s="133" t="str">
        <f>IF($A368&lt;&gt;0,VLOOKUP($A368,'0.Productos'!$A$3:$GG$587,'0.Productos'!DH$1+1,0),"")</f>
        <v/>
      </c>
      <c r="BQ368" s="133" t="str">
        <f>IF($A368&lt;&gt;0,VLOOKUP($A368,'0.Productos'!$A$3:$GG$587,'0.Productos'!DI$1+1,0),"")</f>
        <v/>
      </c>
      <c r="BR368" s="133" t="str">
        <f>IF($A368&lt;&gt;0,VLOOKUP($A368,'0.Productos'!$A$3:$GG$587,'0.Productos'!DJ$1+1,0),"")</f>
        <v/>
      </c>
      <c r="BS368" s="133" t="str">
        <f>IF($A368&lt;&gt;0,VLOOKUP($A368,'0.Productos'!$A$3:$GG$587,'0.Productos'!DK$1+1,0),"")</f>
        <v/>
      </c>
      <c r="BT368" s="133" t="str">
        <f>IF($A368&lt;&gt;0,VLOOKUP($A368,'0.Productos'!$A$3:$GG$587,'0.Productos'!DL$1+1,0),"")</f>
        <v/>
      </c>
    </row>
    <row r="369" spans="1:72" x14ac:dyDescent="0.25">
      <c r="A369" s="17">
        <f>'0.Consolidado general'!A369</f>
        <v>0</v>
      </c>
      <c r="B369" s="133" t="str">
        <f>IF($A369&lt;&gt;0,VLOOKUP($A369,'0.Productos'!$A$3:$GG$587,'0.Productos'!AT$1+1,0),"")</f>
        <v/>
      </c>
      <c r="C369" s="133" t="str">
        <f>IF($A369&lt;&gt;0,VLOOKUP($A369,'0.Productos'!$A$3:$GG$587,'0.Productos'!AU$1+1,0),"")</f>
        <v/>
      </c>
      <c r="D369" s="133" t="str">
        <f>IF($A369&lt;&gt;0,VLOOKUP($A369,'0.Productos'!$A$3:$GG$587,'0.Productos'!AV$1+1,0),"")</f>
        <v/>
      </c>
      <c r="E369" s="133" t="str">
        <f>IF($A369&lt;&gt;0,VLOOKUP($A369,'0.Productos'!$A$3:$GG$587,'0.Productos'!AW$1+1,0),"")</f>
        <v/>
      </c>
      <c r="F369" s="133" t="str">
        <f>IF($A369&lt;&gt;0,VLOOKUP($A369,'0.Productos'!$A$3:$GG$587,'0.Productos'!AX$1+1,0),"")</f>
        <v/>
      </c>
      <c r="G369" s="133" t="str">
        <f>IF($A369&lt;&gt;0,VLOOKUP($A369,'0.Productos'!$A$3:$GG$587,'0.Productos'!AY$1+1,0),"")</f>
        <v/>
      </c>
      <c r="H369" s="133" t="str">
        <f>IF($A369&lt;&gt;0,VLOOKUP($A369,'0.Productos'!$A$3:$GG$587,'0.Productos'!AZ$1+1,0),"")</f>
        <v/>
      </c>
      <c r="I369" s="133" t="str">
        <f>IF($A369&lt;&gt;0,VLOOKUP($A369,'0.Productos'!$A$3:$GG$587,'0.Productos'!BA$1+1,0),"")</f>
        <v/>
      </c>
      <c r="J369" s="133" t="str">
        <f>IF($A369&lt;&gt;0,VLOOKUP($A369,'0.Productos'!$A$3:$GG$587,'0.Productos'!BB$1+1,0),"")</f>
        <v/>
      </c>
      <c r="K369" s="133" t="str">
        <f>IF($A369&lt;&gt;0,VLOOKUP($A369,'0.Productos'!$A$3:$GG$587,'0.Productos'!BC$1+1,0),"")</f>
        <v/>
      </c>
      <c r="L369" s="133" t="str">
        <f>IF($A369&lt;&gt;0,VLOOKUP($A369,'0.Productos'!$A$3:$GG$587,'0.Productos'!BD$1+1,0),"")</f>
        <v/>
      </c>
      <c r="M369" s="133" t="str">
        <f>IF($A369&lt;&gt;0,VLOOKUP($A369,'0.Productos'!$A$3:$GG$587,'0.Productos'!BE$1+1,0),"")</f>
        <v/>
      </c>
      <c r="N369" s="133" t="str">
        <f>IF($A369&lt;&gt;0,VLOOKUP($A369,'0.Productos'!$A$3:$GG$587,'0.Productos'!BF$1+1,0),"")</f>
        <v/>
      </c>
      <c r="O369" s="133" t="str">
        <f>IF($A369&lt;&gt;0,VLOOKUP($A369,'0.Productos'!$A$3:$GG$587,'0.Productos'!BG$1+1,0),"")</f>
        <v/>
      </c>
      <c r="P369" s="133" t="str">
        <f>IF($A369&lt;&gt;0,VLOOKUP($A369,'0.Productos'!$A$3:$GG$587,'0.Productos'!BH$1+1,0),"")</f>
        <v/>
      </c>
      <c r="Q369" s="133" t="str">
        <f>IF($A369&lt;&gt;0,VLOOKUP($A369,'0.Productos'!$A$3:$GG$587,'0.Productos'!BI$1+1,0),"")</f>
        <v/>
      </c>
      <c r="R369" s="133" t="str">
        <f>IF($A369&lt;&gt;0,VLOOKUP($A369,'0.Productos'!$A$3:$GG$587,'0.Productos'!BJ$1+1,0),"")</f>
        <v/>
      </c>
      <c r="S369" s="133" t="str">
        <f>IF($A369&lt;&gt;0,VLOOKUP($A369,'0.Productos'!$A$3:$GG$587,'0.Productos'!BK$1+1,0),"")</f>
        <v/>
      </c>
      <c r="T369" s="133" t="str">
        <f>IF($A369&lt;&gt;0,VLOOKUP($A369,'0.Productos'!$A$3:$GG$587,'0.Productos'!BL$1+1,0),"")</f>
        <v/>
      </c>
      <c r="U369" s="133" t="str">
        <f>IF($A369&lt;&gt;0,VLOOKUP($A369,'0.Productos'!$A$3:$GG$587,'0.Productos'!BM$1+1,0),"")</f>
        <v/>
      </c>
      <c r="V369" s="133" t="str">
        <f>IF($A369&lt;&gt;0,VLOOKUP($A369,'0.Productos'!$A$3:$GG$587,'0.Productos'!BN$1+1,0),"")</f>
        <v/>
      </c>
      <c r="W369" s="133" t="str">
        <f>IF($A369&lt;&gt;0,VLOOKUP($A369,'0.Productos'!$A$3:$GG$587,'0.Productos'!BO$1+1,0),"")</f>
        <v/>
      </c>
      <c r="X369" s="133" t="str">
        <f>IF($A369&lt;&gt;0,VLOOKUP($A369,'0.Productos'!$A$3:$GG$587,'0.Productos'!BP$1+1,0),"")</f>
        <v/>
      </c>
      <c r="Y369" s="133" t="str">
        <f>IF($A369&lt;&gt;0,VLOOKUP($A369,'0.Productos'!$A$3:$GG$587,'0.Productos'!BQ$1+1,0),"")</f>
        <v/>
      </c>
      <c r="Z369" s="133" t="str">
        <f>IF($A369&lt;&gt;0,VLOOKUP($A369,'0.Productos'!$A$3:$GG$587,'0.Productos'!BR$1+1,0),"")</f>
        <v/>
      </c>
      <c r="AA369" s="133" t="str">
        <f>IF($A369&lt;&gt;0,VLOOKUP($A369,'0.Productos'!$A$3:$GG$587,'0.Productos'!BS$1+1,0),"")</f>
        <v/>
      </c>
      <c r="AB369" s="133" t="str">
        <f>IF($A369&lt;&gt;0,VLOOKUP($A369,'0.Productos'!$A$3:$GG$587,'0.Productos'!BT$1+1,0),"")</f>
        <v/>
      </c>
      <c r="AC369" s="133" t="str">
        <f>IF($A369&lt;&gt;0,VLOOKUP($A369,'0.Productos'!$A$3:$GG$587,'0.Productos'!BU$1+1,0),"")</f>
        <v/>
      </c>
      <c r="AD369" s="133" t="str">
        <f>IF($A369&lt;&gt;0,VLOOKUP($A369,'0.Productos'!$A$3:$GG$587,'0.Productos'!BV$1+1,0),"")</f>
        <v/>
      </c>
      <c r="AE369" s="133" t="str">
        <f>IF($A369&lt;&gt;0,VLOOKUP($A369,'0.Productos'!$A$3:$GG$587,'0.Productos'!BW$1+1,0),"")</f>
        <v/>
      </c>
      <c r="AF369" s="133" t="str">
        <f>IF($A369&lt;&gt;0,VLOOKUP($A369,'0.Productos'!$A$3:$GG$587,'0.Productos'!BX$1+1,0),"")</f>
        <v/>
      </c>
      <c r="AG369" s="133" t="str">
        <f>IF($A369&lt;&gt;0,VLOOKUP($A369,'0.Productos'!$A$3:$GG$587,'0.Productos'!BY$1+1,0),"")</f>
        <v/>
      </c>
      <c r="AH369" s="133" t="str">
        <f>IF($A369&lt;&gt;0,VLOOKUP($A369,'0.Productos'!$A$3:$GG$587,'0.Productos'!BZ$1+1,0),"")</f>
        <v/>
      </c>
      <c r="AI369" s="133" t="str">
        <f>IF($A369&lt;&gt;0,VLOOKUP($A369,'0.Productos'!$A$3:$GG$587,'0.Productos'!CA$1+1,0),"")</f>
        <v/>
      </c>
      <c r="AJ369" s="133" t="str">
        <f>IF($A369&lt;&gt;0,VLOOKUP($A369,'0.Productos'!$A$3:$GG$587,'0.Productos'!CB$1+1,0),"")</f>
        <v/>
      </c>
      <c r="AK369" s="133" t="str">
        <f>IF($A369&lt;&gt;0,VLOOKUP($A369,'0.Productos'!$A$3:$GG$587,'0.Productos'!CC$1+1,0),"")</f>
        <v/>
      </c>
      <c r="AL369" s="133" t="str">
        <f>IF($A369&lt;&gt;0,VLOOKUP($A369,'0.Productos'!$A$3:$GG$587,'0.Productos'!CD$1+1,0),"")</f>
        <v/>
      </c>
      <c r="AM369" s="133" t="str">
        <f>IF($A369&lt;&gt;0,VLOOKUP($A369,'0.Productos'!$A$3:$GG$587,'0.Productos'!CE$1+1,0),"")</f>
        <v/>
      </c>
      <c r="AN369" s="133" t="str">
        <f>IF($A369&lt;&gt;0,VLOOKUP($A369,'0.Productos'!$A$3:$GG$587,'0.Productos'!CF$1+1,0),"")</f>
        <v/>
      </c>
      <c r="AO369" s="133" t="str">
        <f>IF($A369&lt;&gt;0,VLOOKUP($A369,'0.Productos'!$A$3:$GG$587,'0.Productos'!CG$1+1,0),"")</f>
        <v/>
      </c>
      <c r="AP369" s="133" t="str">
        <f>IF($A369&lt;&gt;0,VLOOKUP($A369,'0.Productos'!$A$3:$GG$587,'0.Productos'!CH$1+1,0),"")</f>
        <v/>
      </c>
      <c r="AQ369" s="133" t="str">
        <f>IF($A369&lt;&gt;0,VLOOKUP($A369,'0.Productos'!$A$3:$GG$587,'0.Productos'!CI$1+1,0),"")</f>
        <v/>
      </c>
      <c r="AR369" s="133" t="str">
        <f>IF($A369&lt;&gt;0,VLOOKUP($A369,'0.Productos'!$A$3:$GG$587,'0.Productos'!CJ$1+1,0),"")</f>
        <v/>
      </c>
      <c r="AS369" s="133" t="str">
        <f>IF($A369&lt;&gt;0,VLOOKUP($A369,'0.Productos'!$A$3:$GG$587,'0.Productos'!CK$1+1,0),"")</f>
        <v/>
      </c>
      <c r="AT369" s="133" t="str">
        <f>IF($A369&lt;&gt;0,VLOOKUP($A369,'0.Productos'!$A$3:$GG$587,'0.Productos'!CL$1+1,0),"")</f>
        <v/>
      </c>
      <c r="AU369" s="133" t="str">
        <f>IF($A369&lt;&gt;0,VLOOKUP($A369,'0.Productos'!$A$3:$GG$587,'0.Productos'!CM$1+1,0),"")</f>
        <v/>
      </c>
      <c r="AV369" s="133" t="str">
        <f>IF($A369&lt;&gt;0,VLOOKUP($A369,'0.Productos'!$A$3:$GG$587,'0.Productos'!CN$1+1,0),"")</f>
        <v/>
      </c>
      <c r="AW369" s="133" t="str">
        <f>IF($A369&lt;&gt;0,VLOOKUP($A369,'0.Productos'!$A$3:$GG$587,'0.Productos'!CO$1+1,0),"")</f>
        <v/>
      </c>
      <c r="AX369" s="133" t="str">
        <f>IF($A369&lt;&gt;0,VLOOKUP($A369,'0.Productos'!$A$3:$GG$587,'0.Productos'!CP$1+1,0),"")</f>
        <v/>
      </c>
      <c r="AY369" s="133" t="str">
        <f>IF($A369&lt;&gt;0,VLOOKUP($A369,'0.Productos'!$A$3:$GG$587,'0.Productos'!CQ$1+1,0),"")</f>
        <v/>
      </c>
      <c r="AZ369" s="133" t="str">
        <f>IF($A369&lt;&gt;0,VLOOKUP($A369,'0.Productos'!$A$3:$GG$587,'0.Productos'!CR$1+1,0),"")</f>
        <v/>
      </c>
      <c r="BA369" s="133" t="str">
        <f>IF($A369&lt;&gt;0,VLOOKUP($A369,'0.Productos'!$A$3:$GG$587,'0.Productos'!CS$1+1,0),"")</f>
        <v/>
      </c>
      <c r="BB369" s="133" t="str">
        <f>IF($A369&lt;&gt;0,VLOOKUP($A369,'0.Productos'!$A$3:$GG$587,'0.Productos'!CT$1+1,0),"")</f>
        <v/>
      </c>
      <c r="BC369" s="133" t="str">
        <f>IF($A369&lt;&gt;0,VLOOKUP($A369,'0.Productos'!$A$3:$GG$587,'0.Productos'!CU$1+1,0),"")</f>
        <v/>
      </c>
      <c r="BD369" s="133" t="str">
        <f>IF($A369&lt;&gt;0,VLOOKUP($A369,'0.Productos'!$A$3:$GG$587,'0.Productos'!CV$1+1,0),"")</f>
        <v/>
      </c>
      <c r="BE369" s="133" t="str">
        <f>IF($A369&lt;&gt;0,VLOOKUP($A369,'0.Productos'!$A$3:$GG$587,'0.Productos'!CW$1+1,0),"")</f>
        <v/>
      </c>
      <c r="BF369" s="133" t="str">
        <f>IF($A369&lt;&gt;0,VLOOKUP($A369,'0.Productos'!$A$3:$GG$587,'0.Productos'!CX$1+1,0),"")</f>
        <v/>
      </c>
      <c r="BG369" s="133" t="str">
        <f>IF($A369&lt;&gt;0,VLOOKUP($A369,'0.Productos'!$A$3:$GG$587,'0.Productos'!CY$1+1,0),"")</f>
        <v/>
      </c>
      <c r="BH369" s="133" t="str">
        <f>IF($A369&lt;&gt;0,VLOOKUP($A369,'0.Productos'!$A$3:$GG$587,'0.Productos'!CZ$1+1,0),"")</f>
        <v/>
      </c>
      <c r="BI369" s="133" t="str">
        <f>IF($A369&lt;&gt;0,VLOOKUP($A369,'0.Productos'!$A$3:$GG$587,'0.Productos'!DA$1+1,0),"")</f>
        <v/>
      </c>
      <c r="BJ369" s="133" t="str">
        <f>IF($A369&lt;&gt;0,VLOOKUP($A369,'0.Productos'!$A$3:$GG$587,'0.Productos'!DB$1+1,0),"")</f>
        <v/>
      </c>
      <c r="BK369" s="133" t="str">
        <f>IF($A369&lt;&gt;0,VLOOKUP($A369,'0.Productos'!$A$3:$GG$587,'0.Productos'!DC$1+1,0),"")</f>
        <v/>
      </c>
      <c r="BL369" s="133" t="str">
        <f>IF($A369&lt;&gt;0,VLOOKUP($A369,'0.Productos'!$A$3:$GG$587,'0.Productos'!DD$1+1,0),"")</f>
        <v/>
      </c>
      <c r="BM369" s="133" t="str">
        <f>IF($A369&lt;&gt;0,VLOOKUP($A369,'0.Productos'!$A$3:$GG$587,'0.Productos'!DE$1+1,0),"")</f>
        <v/>
      </c>
      <c r="BN369" s="133" t="str">
        <f>IF($A369&lt;&gt;0,VLOOKUP($A369,'0.Productos'!$A$3:$GG$587,'0.Productos'!DF$1+1,0),"")</f>
        <v/>
      </c>
      <c r="BO369" s="133" t="str">
        <f>IF($A369&lt;&gt;0,VLOOKUP($A369,'0.Productos'!$A$3:$GG$587,'0.Productos'!DG$1+1,0),"")</f>
        <v/>
      </c>
      <c r="BP369" s="133" t="str">
        <f>IF($A369&lt;&gt;0,VLOOKUP($A369,'0.Productos'!$A$3:$GG$587,'0.Productos'!DH$1+1,0),"")</f>
        <v/>
      </c>
      <c r="BQ369" s="133" t="str">
        <f>IF($A369&lt;&gt;0,VLOOKUP($A369,'0.Productos'!$A$3:$GG$587,'0.Productos'!DI$1+1,0),"")</f>
        <v/>
      </c>
      <c r="BR369" s="133" t="str">
        <f>IF($A369&lt;&gt;0,VLOOKUP($A369,'0.Productos'!$A$3:$GG$587,'0.Productos'!DJ$1+1,0),"")</f>
        <v/>
      </c>
      <c r="BS369" s="133" t="str">
        <f>IF($A369&lt;&gt;0,VLOOKUP($A369,'0.Productos'!$A$3:$GG$587,'0.Productos'!DK$1+1,0),"")</f>
        <v/>
      </c>
      <c r="BT369" s="133" t="str">
        <f>IF($A369&lt;&gt;0,VLOOKUP($A369,'0.Productos'!$A$3:$GG$587,'0.Productos'!DL$1+1,0),"")</f>
        <v/>
      </c>
    </row>
    <row r="370" spans="1:72" x14ac:dyDescent="0.25">
      <c r="A370" s="17">
        <f>'0.Consolidado general'!A370</f>
        <v>0</v>
      </c>
      <c r="B370" s="133" t="str">
        <f>IF($A370&lt;&gt;0,VLOOKUP($A370,'0.Productos'!$A$3:$GG$587,'0.Productos'!AT$1+1,0),"")</f>
        <v/>
      </c>
      <c r="C370" s="133" t="str">
        <f>IF($A370&lt;&gt;0,VLOOKUP($A370,'0.Productos'!$A$3:$GG$587,'0.Productos'!AU$1+1,0),"")</f>
        <v/>
      </c>
      <c r="D370" s="133" t="str">
        <f>IF($A370&lt;&gt;0,VLOOKUP($A370,'0.Productos'!$A$3:$GG$587,'0.Productos'!AV$1+1,0),"")</f>
        <v/>
      </c>
      <c r="E370" s="133" t="str">
        <f>IF($A370&lt;&gt;0,VLOOKUP($A370,'0.Productos'!$A$3:$GG$587,'0.Productos'!AW$1+1,0),"")</f>
        <v/>
      </c>
      <c r="F370" s="133" t="str">
        <f>IF($A370&lt;&gt;0,VLOOKUP($A370,'0.Productos'!$A$3:$GG$587,'0.Productos'!AX$1+1,0),"")</f>
        <v/>
      </c>
      <c r="G370" s="133" t="str">
        <f>IF($A370&lt;&gt;0,VLOOKUP($A370,'0.Productos'!$A$3:$GG$587,'0.Productos'!AY$1+1,0),"")</f>
        <v/>
      </c>
      <c r="H370" s="133" t="str">
        <f>IF($A370&lt;&gt;0,VLOOKUP($A370,'0.Productos'!$A$3:$GG$587,'0.Productos'!AZ$1+1,0),"")</f>
        <v/>
      </c>
      <c r="I370" s="133" t="str">
        <f>IF($A370&lt;&gt;0,VLOOKUP($A370,'0.Productos'!$A$3:$GG$587,'0.Productos'!BA$1+1,0),"")</f>
        <v/>
      </c>
      <c r="J370" s="133" t="str">
        <f>IF($A370&lt;&gt;0,VLOOKUP($A370,'0.Productos'!$A$3:$GG$587,'0.Productos'!BB$1+1,0),"")</f>
        <v/>
      </c>
      <c r="K370" s="133" t="str">
        <f>IF($A370&lt;&gt;0,VLOOKUP($A370,'0.Productos'!$A$3:$GG$587,'0.Productos'!BC$1+1,0),"")</f>
        <v/>
      </c>
      <c r="L370" s="133" t="str">
        <f>IF($A370&lt;&gt;0,VLOOKUP($A370,'0.Productos'!$A$3:$GG$587,'0.Productos'!BD$1+1,0),"")</f>
        <v/>
      </c>
      <c r="M370" s="133" t="str">
        <f>IF($A370&lt;&gt;0,VLOOKUP($A370,'0.Productos'!$A$3:$GG$587,'0.Productos'!BE$1+1,0),"")</f>
        <v/>
      </c>
      <c r="N370" s="133" t="str">
        <f>IF($A370&lt;&gt;0,VLOOKUP($A370,'0.Productos'!$A$3:$GG$587,'0.Productos'!BF$1+1,0),"")</f>
        <v/>
      </c>
      <c r="O370" s="133" t="str">
        <f>IF($A370&lt;&gt;0,VLOOKUP($A370,'0.Productos'!$A$3:$GG$587,'0.Productos'!BG$1+1,0),"")</f>
        <v/>
      </c>
      <c r="P370" s="133" t="str">
        <f>IF($A370&lt;&gt;0,VLOOKUP($A370,'0.Productos'!$A$3:$GG$587,'0.Productos'!BH$1+1,0),"")</f>
        <v/>
      </c>
      <c r="Q370" s="133" t="str">
        <f>IF($A370&lt;&gt;0,VLOOKUP($A370,'0.Productos'!$A$3:$GG$587,'0.Productos'!BI$1+1,0),"")</f>
        <v/>
      </c>
      <c r="R370" s="133" t="str">
        <f>IF($A370&lt;&gt;0,VLOOKUP($A370,'0.Productos'!$A$3:$GG$587,'0.Productos'!BJ$1+1,0),"")</f>
        <v/>
      </c>
      <c r="S370" s="133" t="str">
        <f>IF($A370&lt;&gt;0,VLOOKUP($A370,'0.Productos'!$A$3:$GG$587,'0.Productos'!BK$1+1,0),"")</f>
        <v/>
      </c>
      <c r="T370" s="133" t="str">
        <f>IF($A370&lt;&gt;0,VLOOKUP($A370,'0.Productos'!$A$3:$GG$587,'0.Productos'!BL$1+1,0),"")</f>
        <v/>
      </c>
      <c r="U370" s="133" t="str">
        <f>IF($A370&lt;&gt;0,VLOOKUP($A370,'0.Productos'!$A$3:$GG$587,'0.Productos'!BM$1+1,0),"")</f>
        <v/>
      </c>
      <c r="V370" s="133" t="str">
        <f>IF($A370&lt;&gt;0,VLOOKUP($A370,'0.Productos'!$A$3:$GG$587,'0.Productos'!BN$1+1,0),"")</f>
        <v/>
      </c>
      <c r="W370" s="133" t="str">
        <f>IF($A370&lt;&gt;0,VLOOKUP($A370,'0.Productos'!$A$3:$GG$587,'0.Productos'!BO$1+1,0),"")</f>
        <v/>
      </c>
      <c r="X370" s="133" t="str">
        <f>IF($A370&lt;&gt;0,VLOOKUP($A370,'0.Productos'!$A$3:$GG$587,'0.Productos'!BP$1+1,0),"")</f>
        <v/>
      </c>
      <c r="Y370" s="133" t="str">
        <f>IF($A370&lt;&gt;0,VLOOKUP($A370,'0.Productos'!$A$3:$GG$587,'0.Productos'!BQ$1+1,0),"")</f>
        <v/>
      </c>
      <c r="Z370" s="133" t="str">
        <f>IF($A370&lt;&gt;0,VLOOKUP($A370,'0.Productos'!$A$3:$GG$587,'0.Productos'!BR$1+1,0),"")</f>
        <v/>
      </c>
      <c r="AA370" s="133" t="str">
        <f>IF($A370&lt;&gt;0,VLOOKUP($A370,'0.Productos'!$A$3:$GG$587,'0.Productos'!BS$1+1,0),"")</f>
        <v/>
      </c>
      <c r="AB370" s="133" t="str">
        <f>IF($A370&lt;&gt;0,VLOOKUP($A370,'0.Productos'!$A$3:$GG$587,'0.Productos'!BT$1+1,0),"")</f>
        <v/>
      </c>
      <c r="AC370" s="133" t="str">
        <f>IF($A370&lt;&gt;0,VLOOKUP($A370,'0.Productos'!$A$3:$GG$587,'0.Productos'!BU$1+1,0),"")</f>
        <v/>
      </c>
      <c r="AD370" s="133" t="str">
        <f>IF($A370&lt;&gt;0,VLOOKUP($A370,'0.Productos'!$A$3:$GG$587,'0.Productos'!BV$1+1,0),"")</f>
        <v/>
      </c>
      <c r="AE370" s="133" t="str">
        <f>IF($A370&lt;&gt;0,VLOOKUP($A370,'0.Productos'!$A$3:$GG$587,'0.Productos'!BW$1+1,0),"")</f>
        <v/>
      </c>
      <c r="AF370" s="133" t="str">
        <f>IF($A370&lt;&gt;0,VLOOKUP($A370,'0.Productos'!$A$3:$GG$587,'0.Productos'!BX$1+1,0),"")</f>
        <v/>
      </c>
      <c r="AG370" s="133" t="str">
        <f>IF($A370&lt;&gt;0,VLOOKUP($A370,'0.Productos'!$A$3:$GG$587,'0.Productos'!BY$1+1,0),"")</f>
        <v/>
      </c>
      <c r="AH370" s="133" t="str">
        <f>IF($A370&lt;&gt;0,VLOOKUP($A370,'0.Productos'!$A$3:$GG$587,'0.Productos'!BZ$1+1,0),"")</f>
        <v/>
      </c>
      <c r="AI370" s="133" t="str">
        <f>IF($A370&lt;&gt;0,VLOOKUP($A370,'0.Productos'!$A$3:$GG$587,'0.Productos'!CA$1+1,0),"")</f>
        <v/>
      </c>
      <c r="AJ370" s="133" t="str">
        <f>IF($A370&lt;&gt;0,VLOOKUP($A370,'0.Productos'!$A$3:$GG$587,'0.Productos'!CB$1+1,0),"")</f>
        <v/>
      </c>
      <c r="AK370" s="133" t="str">
        <f>IF($A370&lt;&gt;0,VLOOKUP($A370,'0.Productos'!$A$3:$GG$587,'0.Productos'!CC$1+1,0),"")</f>
        <v/>
      </c>
      <c r="AL370" s="133" t="str">
        <f>IF($A370&lt;&gt;0,VLOOKUP($A370,'0.Productos'!$A$3:$GG$587,'0.Productos'!CD$1+1,0),"")</f>
        <v/>
      </c>
      <c r="AM370" s="133" t="str">
        <f>IF($A370&lt;&gt;0,VLOOKUP($A370,'0.Productos'!$A$3:$GG$587,'0.Productos'!CE$1+1,0),"")</f>
        <v/>
      </c>
      <c r="AN370" s="133" t="str">
        <f>IF($A370&lt;&gt;0,VLOOKUP($A370,'0.Productos'!$A$3:$GG$587,'0.Productos'!CF$1+1,0),"")</f>
        <v/>
      </c>
      <c r="AO370" s="133" t="str">
        <f>IF($A370&lt;&gt;0,VLOOKUP($A370,'0.Productos'!$A$3:$GG$587,'0.Productos'!CG$1+1,0),"")</f>
        <v/>
      </c>
      <c r="AP370" s="133" t="str">
        <f>IF($A370&lt;&gt;0,VLOOKUP($A370,'0.Productos'!$A$3:$GG$587,'0.Productos'!CH$1+1,0),"")</f>
        <v/>
      </c>
      <c r="AQ370" s="133" t="str">
        <f>IF($A370&lt;&gt;0,VLOOKUP($A370,'0.Productos'!$A$3:$GG$587,'0.Productos'!CI$1+1,0),"")</f>
        <v/>
      </c>
      <c r="AR370" s="133" t="str">
        <f>IF($A370&lt;&gt;0,VLOOKUP($A370,'0.Productos'!$A$3:$GG$587,'0.Productos'!CJ$1+1,0),"")</f>
        <v/>
      </c>
      <c r="AS370" s="133" t="str">
        <f>IF($A370&lt;&gt;0,VLOOKUP($A370,'0.Productos'!$A$3:$GG$587,'0.Productos'!CK$1+1,0),"")</f>
        <v/>
      </c>
      <c r="AT370" s="133" t="str">
        <f>IF($A370&lt;&gt;0,VLOOKUP($A370,'0.Productos'!$A$3:$GG$587,'0.Productos'!CL$1+1,0),"")</f>
        <v/>
      </c>
      <c r="AU370" s="133" t="str">
        <f>IF($A370&lt;&gt;0,VLOOKUP($A370,'0.Productos'!$A$3:$GG$587,'0.Productos'!CM$1+1,0),"")</f>
        <v/>
      </c>
      <c r="AV370" s="133" t="str">
        <f>IF($A370&lt;&gt;0,VLOOKUP($A370,'0.Productos'!$A$3:$GG$587,'0.Productos'!CN$1+1,0),"")</f>
        <v/>
      </c>
      <c r="AW370" s="133" t="str">
        <f>IF($A370&lt;&gt;0,VLOOKUP($A370,'0.Productos'!$A$3:$GG$587,'0.Productos'!CO$1+1,0),"")</f>
        <v/>
      </c>
      <c r="AX370" s="133" t="str">
        <f>IF($A370&lt;&gt;0,VLOOKUP($A370,'0.Productos'!$A$3:$GG$587,'0.Productos'!CP$1+1,0),"")</f>
        <v/>
      </c>
      <c r="AY370" s="133" t="str">
        <f>IF($A370&lt;&gt;0,VLOOKUP($A370,'0.Productos'!$A$3:$GG$587,'0.Productos'!CQ$1+1,0),"")</f>
        <v/>
      </c>
      <c r="AZ370" s="133" t="str">
        <f>IF($A370&lt;&gt;0,VLOOKUP($A370,'0.Productos'!$A$3:$GG$587,'0.Productos'!CR$1+1,0),"")</f>
        <v/>
      </c>
      <c r="BA370" s="133" t="str">
        <f>IF($A370&lt;&gt;0,VLOOKUP($A370,'0.Productos'!$A$3:$GG$587,'0.Productos'!CS$1+1,0),"")</f>
        <v/>
      </c>
      <c r="BB370" s="133" t="str">
        <f>IF($A370&lt;&gt;0,VLOOKUP($A370,'0.Productos'!$A$3:$GG$587,'0.Productos'!CT$1+1,0),"")</f>
        <v/>
      </c>
      <c r="BC370" s="133" t="str">
        <f>IF($A370&lt;&gt;0,VLOOKUP($A370,'0.Productos'!$A$3:$GG$587,'0.Productos'!CU$1+1,0),"")</f>
        <v/>
      </c>
      <c r="BD370" s="133" t="str">
        <f>IF($A370&lt;&gt;0,VLOOKUP($A370,'0.Productos'!$A$3:$GG$587,'0.Productos'!CV$1+1,0),"")</f>
        <v/>
      </c>
      <c r="BE370" s="133" t="str">
        <f>IF($A370&lt;&gt;0,VLOOKUP($A370,'0.Productos'!$A$3:$GG$587,'0.Productos'!CW$1+1,0),"")</f>
        <v/>
      </c>
      <c r="BF370" s="133" t="str">
        <f>IF($A370&lt;&gt;0,VLOOKUP($A370,'0.Productos'!$A$3:$GG$587,'0.Productos'!CX$1+1,0),"")</f>
        <v/>
      </c>
      <c r="BG370" s="133" t="str">
        <f>IF($A370&lt;&gt;0,VLOOKUP($A370,'0.Productos'!$A$3:$GG$587,'0.Productos'!CY$1+1,0),"")</f>
        <v/>
      </c>
      <c r="BH370" s="133" t="str">
        <f>IF($A370&lt;&gt;0,VLOOKUP($A370,'0.Productos'!$A$3:$GG$587,'0.Productos'!CZ$1+1,0),"")</f>
        <v/>
      </c>
      <c r="BI370" s="133" t="str">
        <f>IF($A370&lt;&gt;0,VLOOKUP($A370,'0.Productos'!$A$3:$GG$587,'0.Productos'!DA$1+1,0),"")</f>
        <v/>
      </c>
      <c r="BJ370" s="133" t="str">
        <f>IF($A370&lt;&gt;0,VLOOKUP($A370,'0.Productos'!$A$3:$GG$587,'0.Productos'!DB$1+1,0),"")</f>
        <v/>
      </c>
      <c r="BK370" s="133" t="str">
        <f>IF($A370&lt;&gt;0,VLOOKUP($A370,'0.Productos'!$A$3:$GG$587,'0.Productos'!DC$1+1,0),"")</f>
        <v/>
      </c>
      <c r="BL370" s="133" t="str">
        <f>IF($A370&lt;&gt;0,VLOOKUP($A370,'0.Productos'!$A$3:$GG$587,'0.Productos'!DD$1+1,0),"")</f>
        <v/>
      </c>
      <c r="BM370" s="133" t="str">
        <f>IF($A370&lt;&gt;0,VLOOKUP($A370,'0.Productos'!$A$3:$GG$587,'0.Productos'!DE$1+1,0),"")</f>
        <v/>
      </c>
      <c r="BN370" s="133" t="str">
        <f>IF($A370&lt;&gt;0,VLOOKUP($A370,'0.Productos'!$A$3:$GG$587,'0.Productos'!DF$1+1,0),"")</f>
        <v/>
      </c>
      <c r="BO370" s="133" t="str">
        <f>IF($A370&lt;&gt;0,VLOOKUP($A370,'0.Productos'!$A$3:$GG$587,'0.Productos'!DG$1+1,0),"")</f>
        <v/>
      </c>
      <c r="BP370" s="133" t="str">
        <f>IF($A370&lt;&gt;0,VLOOKUP($A370,'0.Productos'!$A$3:$GG$587,'0.Productos'!DH$1+1,0),"")</f>
        <v/>
      </c>
      <c r="BQ370" s="133" t="str">
        <f>IF($A370&lt;&gt;0,VLOOKUP($A370,'0.Productos'!$A$3:$GG$587,'0.Productos'!DI$1+1,0),"")</f>
        <v/>
      </c>
      <c r="BR370" s="133" t="str">
        <f>IF($A370&lt;&gt;0,VLOOKUP($A370,'0.Productos'!$A$3:$GG$587,'0.Productos'!DJ$1+1,0),"")</f>
        <v/>
      </c>
      <c r="BS370" s="133" t="str">
        <f>IF($A370&lt;&gt;0,VLOOKUP($A370,'0.Productos'!$A$3:$GG$587,'0.Productos'!DK$1+1,0),"")</f>
        <v/>
      </c>
      <c r="BT370" s="133" t="str">
        <f>IF($A370&lt;&gt;0,VLOOKUP($A370,'0.Productos'!$A$3:$GG$587,'0.Productos'!DL$1+1,0),"")</f>
        <v/>
      </c>
    </row>
    <row r="371" spans="1:72" x14ac:dyDescent="0.25">
      <c r="A371" s="17">
        <f>'0.Consolidado general'!A371</f>
        <v>0</v>
      </c>
      <c r="B371" s="133" t="str">
        <f>IF($A371&lt;&gt;0,VLOOKUP($A371,'0.Productos'!$A$3:$GG$587,'0.Productos'!AT$1+1,0),"")</f>
        <v/>
      </c>
      <c r="C371" s="133" t="str">
        <f>IF($A371&lt;&gt;0,VLOOKUP($A371,'0.Productos'!$A$3:$GG$587,'0.Productos'!AU$1+1,0),"")</f>
        <v/>
      </c>
      <c r="D371" s="133" t="str">
        <f>IF($A371&lt;&gt;0,VLOOKUP($A371,'0.Productos'!$A$3:$GG$587,'0.Productos'!AV$1+1,0),"")</f>
        <v/>
      </c>
      <c r="E371" s="133" t="str">
        <f>IF($A371&lt;&gt;0,VLOOKUP($A371,'0.Productos'!$A$3:$GG$587,'0.Productos'!AW$1+1,0),"")</f>
        <v/>
      </c>
      <c r="F371" s="133" t="str">
        <f>IF($A371&lt;&gt;0,VLOOKUP($A371,'0.Productos'!$A$3:$GG$587,'0.Productos'!AX$1+1,0),"")</f>
        <v/>
      </c>
      <c r="G371" s="133" t="str">
        <f>IF($A371&lt;&gt;0,VLOOKUP($A371,'0.Productos'!$A$3:$GG$587,'0.Productos'!AY$1+1,0),"")</f>
        <v/>
      </c>
      <c r="H371" s="133" t="str">
        <f>IF($A371&lt;&gt;0,VLOOKUP($A371,'0.Productos'!$A$3:$GG$587,'0.Productos'!AZ$1+1,0),"")</f>
        <v/>
      </c>
      <c r="I371" s="133" t="str">
        <f>IF($A371&lt;&gt;0,VLOOKUP($A371,'0.Productos'!$A$3:$GG$587,'0.Productos'!BA$1+1,0),"")</f>
        <v/>
      </c>
      <c r="J371" s="133" t="str">
        <f>IF($A371&lt;&gt;0,VLOOKUP($A371,'0.Productos'!$A$3:$GG$587,'0.Productos'!BB$1+1,0),"")</f>
        <v/>
      </c>
      <c r="K371" s="133" t="str">
        <f>IF($A371&lt;&gt;0,VLOOKUP($A371,'0.Productos'!$A$3:$GG$587,'0.Productos'!BC$1+1,0),"")</f>
        <v/>
      </c>
      <c r="L371" s="133" t="str">
        <f>IF($A371&lt;&gt;0,VLOOKUP($A371,'0.Productos'!$A$3:$GG$587,'0.Productos'!BD$1+1,0),"")</f>
        <v/>
      </c>
      <c r="M371" s="133" t="str">
        <f>IF($A371&lt;&gt;0,VLOOKUP($A371,'0.Productos'!$A$3:$GG$587,'0.Productos'!BE$1+1,0),"")</f>
        <v/>
      </c>
      <c r="N371" s="133" t="str">
        <f>IF($A371&lt;&gt;0,VLOOKUP($A371,'0.Productos'!$A$3:$GG$587,'0.Productos'!BF$1+1,0),"")</f>
        <v/>
      </c>
      <c r="O371" s="133" t="str">
        <f>IF($A371&lt;&gt;0,VLOOKUP($A371,'0.Productos'!$A$3:$GG$587,'0.Productos'!BG$1+1,0),"")</f>
        <v/>
      </c>
      <c r="P371" s="133" t="str">
        <f>IF($A371&lt;&gt;0,VLOOKUP($A371,'0.Productos'!$A$3:$GG$587,'0.Productos'!BH$1+1,0),"")</f>
        <v/>
      </c>
      <c r="Q371" s="133" t="str">
        <f>IF($A371&lt;&gt;0,VLOOKUP($A371,'0.Productos'!$A$3:$GG$587,'0.Productos'!BI$1+1,0),"")</f>
        <v/>
      </c>
      <c r="R371" s="133" t="str">
        <f>IF($A371&lt;&gt;0,VLOOKUP($A371,'0.Productos'!$A$3:$GG$587,'0.Productos'!BJ$1+1,0),"")</f>
        <v/>
      </c>
      <c r="S371" s="133" t="str">
        <f>IF($A371&lt;&gt;0,VLOOKUP($A371,'0.Productos'!$A$3:$GG$587,'0.Productos'!BK$1+1,0),"")</f>
        <v/>
      </c>
      <c r="T371" s="133" t="str">
        <f>IF($A371&lt;&gt;0,VLOOKUP($A371,'0.Productos'!$A$3:$GG$587,'0.Productos'!BL$1+1,0),"")</f>
        <v/>
      </c>
      <c r="U371" s="133" t="str">
        <f>IF($A371&lt;&gt;0,VLOOKUP($A371,'0.Productos'!$A$3:$GG$587,'0.Productos'!BM$1+1,0),"")</f>
        <v/>
      </c>
      <c r="V371" s="133" t="str">
        <f>IF($A371&lt;&gt;0,VLOOKUP($A371,'0.Productos'!$A$3:$GG$587,'0.Productos'!BN$1+1,0),"")</f>
        <v/>
      </c>
      <c r="W371" s="133" t="str">
        <f>IF($A371&lt;&gt;0,VLOOKUP($A371,'0.Productos'!$A$3:$GG$587,'0.Productos'!BO$1+1,0),"")</f>
        <v/>
      </c>
      <c r="X371" s="133" t="str">
        <f>IF($A371&lt;&gt;0,VLOOKUP($A371,'0.Productos'!$A$3:$GG$587,'0.Productos'!BP$1+1,0),"")</f>
        <v/>
      </c>
      <c r="Y371" s="133" t="str">
        <f>IF($A371&lt;&gt;0,VLOOKUP($A371,'0.Productos'!$A$3:$GG$587,'0.Productos'!BQ$1+1,0),"")</f>
        <v/>
      </c>
      <c r="Z371" s="133" t="str">
        <f>IF($A371&lt;&gt;0,VLOOKUP($A371,'0.Productos'!$A$3:$GG$587,'0.Productos'!BR$1+1,0),"")</f>
        <v/>
      </c>
      <c r="AA371" s="133" t="str">
        <f>IF($A371&lt;&gt;0,VLOOKUP($A371,'0.Productos'!$A$3:$GG$587,'0.Productos'!BS$1+1,0),"")</f>
        <v/>
      </c>
      <c r="AB371" s="133" t="str">
        <f>IF($A371&lt;&gt;0,VLOOKUP($A371,'0.Productos'!$A$3:$GG$587,'0.Productos'!BT$1+1,0),"")</f>
        <v/>
      </c>
      <c r="AC371" s="133" t="str">
        <f>IF($A371&lt;&gt;0,VLOOKUP($A371,'0.Productos'!$A$3:$GG$587,'0.Productos'!BU$1+1,0),"")</f>
        <v/>
      </c>
      <c r="AD371" s="133" t="str">
        <f>IF($A371&lt;&gt;0,VLOOKUP($A371,'0.Productos'!$A$3:$GG$587,'0.Productos'!BV$1+1,0),"")</f>
        <v/>
      </c>
      <c r="AE371" s="133" t="str">
        <f>IF($A371&lt;&gt;0,VLOOKUP($A371,'0.Productos'!$A$3:$GG$587,'0.Productos'!BW$1+1,0),"")</f>
        <v/>
      </c>
      <c r="AF371" s="133" t="str">
        <f>IF($A371&lt;&gt;0,VLOOKUP($A371,'0.Productos'!$A$3:$GG$587,'0.Productos'!BX$1+1,0),"")</f>
        <v/>
      </c>
      <c r="AG371" s="133" t="str">
        <f>IF($A371&lt;&gt;0,VLOOKUP($A371,'0.Productos'!$A$3:$GG$587,'0.Productos'!BY$1+1,0),"")</f>
        <v/>
      </c>
      <c r="AH371" s="133" t="str">
        <f>IF($A371&lt;&gt;0,VLOOKUP($A371,'0.Productos'!$A$3:$GG$587,'0.Productos'!BZ$1+1,0),"")</f>
        <v/>
      </c>
      <c r="AI371" s="133" t="str">
        <f>IF($A371&lt;&gt;0,VLOOKUP($A371,'0.Productos'!$A$3:$GG$587,'0.Productos'!CA$1+1,0),"")</f>
        <v/>
      </c>
      <c r="AJ371" s="133" t="str">
        <f>IF($A371&lt;&gt;0,VLOOKUP($A371,'0.Productos'!$A$3:$GG$587,'0.Productos'!CB$1+1,0),"")</f>
        <v/>
      </c>
      <c r="AK371" s="133" t="str">
        <f>IF($A371&lt;&gt;0,VLOOKUP($A371,'0.Productos'!$A$3:$GG$587,'0.Productos'!CC$1+1,0),"")</f>
        <v/>
      </c>
      <c r="AL371" s="133" t="str">
        <f>IF($A371&lt;&gt;0,VLOOKUP($A371,'0.Productos'!$A$3:$GG$587,'0.Productos'!CD$1+1,0),"")</f>
        <v/>
      </c>
      <c r="AM371" s="133" t="str">
        <f>IF($A371&lt;&gt;0,VLOOKUP($A371,'0.Productos'!$A$3:$GG$587,'0.Productos'!CE$1+1,0),"")</f>
        <v/>
      </c>
      <c r="AN371" s="133" t="str">
        <f>IF($A371&lt;&gt;0,VLOOKUP($A371,'0.Productos'!$A$3:$GG$587,'0.Productos'!CF$1+1,0),"")</f>
        <v/>
      </c>
      <c r="AO371" s="133" t="str">
        <f>IF($A371&lt;&gt;0,VLOOKUP($A371,'0.Productos'!$A$3:$GG$587,'0.Productos'!CG$1+1,0),"")</f>
        <v/>
      </c>
      <c r="AP371" s="133" t="str">
        <f>IF($A371&lt;&gt;0,VLOOKUP($A371,'0.Productos'!$A$3:$GG$587,'0.Productos'!CH$1+1,0),"")</f>
        <v/>
      </c>
      <c r="AQ371" s="133" t="str">
        <f>IF($A371&lt;&gt;0,VLOOKUP($A371,'0.Productos'!$A$3:$GG$587,'0.Productos'!CI$1+1,0),"")</f>
        <v/>
      </c>
      <c r="AR371" s="133" t="str">
        <f>IF($A371&lt;&gt;0,VLOOKUP($A371,'0.Productos'!$A$3:$GG$587,'0.Productos'!CJ$1+1,0),"")</f>
        <v/>
      </c>
      <c r="AS371" s="133" t="str">
        <f>IF($A371&lt;&gt;0,VLOOKUP($A371,'0.Productos'!$A$3:$GG$587,'0.Productos'!CK$1+1,0),"")</f>
        <v/>
      </c>
      <c r="AT371" s="133" t="str">
        <f>IF($A371&lt;&gt;0,VLOOKUP($A371,'0.Productos'!$A$3:$GG$587,'0.Productos'!CL$1+1,0),"")</f>
        <v/>
      </c>
      <c r="AU371" s="133" t="str">
        <f>IF($A371&lt;&gt;0,VLOOKUP($A371,'0.Productos'!$A$3:$GG$587,'0.Productos'!CM$1+1,0),"")</f>
        <v/>
      </c>
      <c r="AV371" s="133" t="str">
        <f>IF($A371&lt;&gt;0,VLOOKUP($A371,'0.Productos'!$A$3:$GG$587,'0.Productos'!CN$1+1,0),"")</f>
        <v/>
      </c>
      <c r="AW371" s="133" t="str">
        <f>IF($A371&lt;&gt;0,VLOOKUP($A371,'0.Productos'!$A$3:$GG$587,'0.Productos'!CO$1+1,0),"")</f>
        <v/>
      </c>
      <c r="AX371" s="133" t="str">
        <f>IF($A371&lt;&gt;0,VLOOKUP($A371,'0.Productos'!$A$3:$GG$587,'0.Productos'!CP$1+1,0),"")</f>
        <v/>
      </c>
      <c r="AY371" s="133" t="str">
        <f>IF($A371&lt;&gt;0,VLOOKUP($A371,'0.Productos'!$A$3:$GG$587,'0.Productos'!CQ$1+1,0),"")</f>
        <v/>
      </c>
      <c r="AZ371" s="133" t="str">
        <f>IF($A371&lt;&gt;0,VLOOKUP($A371,'0.Productos'!$A$3:$GG$587,'0.Productos'!CR$1+1,0),"")</f>
        <v/>
      </c>
      <c r="BA371" s="133" t="str">
        <f>IF($A371&lt;&gt;0,VLOOKUP($A371,'0.Productos'!$A$3:$GG$587,'0.Productos'!CS$1+1,0),"")</f>
        <v/>
      </c>
      <c r="BB371" s="133" t="str">
        <f>IF($A371&lt;&gt;0,VLOOKUP($A371,'0.Productos'!$A$3:$GG$587,'0.Productos'!CT$1+1,0),"")</f>
        <v/>
      </c>
      <c r="BC371" s="133" t="str">
        <f>IF($A371&lt;&gt;0,VLOOKUP($A371,'0.Productos'!$A$3:$GG$587,'0.Productos'!CU$1+1,0),"")</f>
        <v/>
      </c>
      <c r="BD371" s="133" t="str">
        <f>IF($A371&lt;&gt;0,VLOOKUP($A371,'0.Productos'!$A$3:$GG$587,'0.Productos'!CV$1+1,0),"")</f>
        <v/>
      </c>
      <c r="BE371" s="133" t="str">
        <f>IF($A371&lt;&gt;0,VLOOKUP($A371,'0.Productos'!$A$3:$GG$587,'0.Productos'!CW$1+1,0),"")</f>
        <v/>
      </c>
      <c r="BF371" s="133" t="str">
        <f>IF($A371&lt;&gt;0,VLOOKUP($A371,'0.Productos'!$A$3:$GG$587,'0.Productos'!CX$1+1,0),"")</f>
        <v/>
      </c>
      <c r="BG371" s="133" t="str">
        <f>IF($A371&lt;&gt;0,VLOOKUP($A371,'0.Productos'!$A$3:$GG$587,'0.Productos'!CY$1+1,0),"")</f>
        <v/>
      </c>
      <c r="BH371" s="133" t="str">
        <f>IF($A371&lt;&gt;0,VLOOKUP($A371,'0.Productos'!$A$3:$GG$587,'0.Productos'!CZ$1+1,0),"")</f>
        <v/>
      </c>
      <c r="BI371" s="133" t="str">
        <f>IF($A371&lt;&gt;0,VLOOKUP($A371,'0.Productos'!$A$3:$GG$587,'0.Productos'!DA$1+1,0),"")</f>
        <v/>
      </c>
      <c r="BJ371" s="133" t="str">
        <f>IF($A371&lt;&gt;0,VLOOKUP($A371,'0.Productos'!$A$3:$GG$587,'0.Productos'!DB$1+1,0),"")</f>
        <v/>
      </c>
      <c r="BK371" s="133" t="str">
        <f>IF($A371&lt;&gt;0,VLOOKUP($A371,'0.Productos'!$A$3:$GG$587,'0.Productos'!DC$1+1,0),"")</f>
        <v/>
      </c>
      <c r="BL371" s="133" t="str">
        <f>IF($A371&lt;&gt;0,VLOOKUP($A371,'0.Productos'!$A$3:$GG$587,'0.Productos'!DD$1+1,0),"")</f>
        <v/>
      </c>
      <c r="BM371" s="133" t="str">
        <f>IF($A371&lt;&gt;0,VLOOKUP($A371,'0.Productos'!$A$3:$GG$587,'0.Productos'!DE$1+1,0),"")</f>
        <v/>
      </c>
      <c r="BN371" s="133" t="str">
        <f>IF($A371&lt;&gt;0,VLOOKUP($A371,'0.Productos'!$A$3:$GG$587,'0.Productos'!DF$1+1,0),"")</f>
        <v/>
      </c>
      <c r="BO371" s="133" t="str">
        <f>IF($A371&lt;&gt;0,VLOOKUP($A371,'0.Productos'!$A$3:$GG$587,'0.Productos'!DG$1+1,0),"")</f>
        <v/>
      </c>
      <c r="BP371" s="133" t="str">
        <f>IF($A371&lt;&gt;0,VLOOKUP($A371,'0.Productos'!$A$3:$GG$587,'0.Productos'!DH$1+1,0),"")</f>
        <v/>
      </c>
      <c r="BQ371" s="133" t="str">
        <f>IF($A371&lt;&gt;0,VLOOKUP($A371,'0.Productos'!$A$3:$GG$587,'0.Productos'!DI$1+1,0),"")</f>
        <v/>
      </c>
      <c r="BR371" s="133" t="str">
        <f>IF($A371&lt;&gt;0,VLOOKUP($A371,'0.Productos'!$A$3:$GG$587,'0.Productos'!DJ$1+1,0),"")</f>
        <v/>
      </c>
      <c r="BS371" s="133" t="str">
        <f>IF($A371&lt;&gt;0,VLOOKUP($A371,'0.Productos'!$A$3:$GG$587,'0.Productos'!DK$1+1,0),"")</f>
        <v/>
      </c>
      <c r="BT371" s="133" t="str">
        <f>IF($A371&lt;&gt;0,VLOOKUP($A371,'0.Productos'!$A$3:$GG$587,'0.Productos'!DL$1+1,0),"")</f>
        <v/>
      </c>
    </row>
    <row r="372" spans="1:72" x14ac:dyDescent="0.25">
      <c r="A372" s="17">
        <f>'0.Consolidado general'!A372</f>
        <v>0</v>
      </c>
      <c r="B372" s="133" t="str">
        <f>IF($A372&lt;&gt;0,VLOOKUP($A372,'0.Productos'!$A$3:$GG$587,'0.Productos'!AT$1+1,0),"")</f>
        <v/>
      </c>
      <c r="C372" s="133" t="str">
        <f>IF($A372&lt;&gt;0,VLOOKUP($A372,'0.Productos'!$A$3:$GG$587,'0.Productos'!AU$1+1,0),"")</f>
        <v/>
      </c>
      <c r="D372" s="133" t="str">
        <f>IF($A372&lt;&gt;0,VLOOKUP($A372,'0.Productos'!$A$3:$GG$587,'0.Productos'!AV$1+1,0),"")</f>
        <v/>
      </c>
      <c r="E372" s="133" t="str">
        <f>IF($A372&lt;&gt;0,VLOOKUP($A372,'0.Productos'!$A$3:$GG$587,'0.Productos'!AW$1+1,0),"")</f>
        <v/>
      </c>
      <c r="F372" s="133" t="str">
        <f>IF($A372&lt;&gt;0,VLOOKUP($A372,'0.Productos'!$A$3:$GG$587,'0.Productos'!AX$1+1,0),"")</f>
        <v/>
      </c>
      <c r="G372" s="133" t="str">
        <f>IF($A372&lt;&gt;0,VLOOKUP($A372,'0.Productos'!$A$3:$GG$587,'0.Productos'!AY$1+1,0),"")</f>
        <v/>
      </c>
      <c r="H372" s="133" t="str">
        <f>IF($A372&lt;&gt;0,VLOOKUP($A372,'0.Productos'!$A$3:$GG$587,'0.Productos'!AZ$1+1,0),"")</f>
        <v/>
      </c>
      <c r="I372" s="133" t="str">
        <f>IF($A372&lt;&gt;0,VLOOKUP($A372,'0.Productos'!$A$3:$GG$587,'0.Productos'!BA$1+1,0),"")</f>
        <v/>
      </c>
      <c r="J372" s="133" t="str">
        <f>IF($A372&lt;&gt;0,VLOOKUP($A372,'0.Productos'!$A$3:$GG$587,'0.Productos'!BB$1+1,0),"")</f>
        <v/>
      </c>
      <c r="K372" s="133" t="str">
        <f>IF($A372&lt;&gt;0,VLOOKUP($A372,'0.Productos'!$A$3:$GG$587,'0.Productos'!BC$1+1,0),"")</f>
        <v/>
      </c>
      <c r="L372" s="133" t="str">
        <f>IF($A372&lt;&gt;0,VLOOKUP($A372,'0.Productos'!$A$3:$GG$587,'0.Productos'!BD$1+1,0),"")</f>
        <v/>
      </c>
      <c r="M372" s="133" t="str">
        <f>IF($A372&lt;&gt;0,VLOOKUP($A372,'0.Productos'!$A$3:$GG$587,'0.Productos'!BE$1+1,0),"")</f>
        <v/>
      </c>
      <c r="N372" s="133" t="str">
        <f>IF($A372&lt;&gt;0,VLOOKUP($A372,'0.Productos'!$A$3:$GG$587,'0.Productos'!BF$1+1,0),"")</f>
        <v/>
      </c>
      <c r="O372" s="133" t="str">
        <f>IF($A372&lt;&gt;0,VLOOKUP($A372,'0.Productos'!$A$3:$GG$587,'0.Productos'!BG$1+1,0),"")</f>
        <v/>
      </c>
      <c r="P372" s="133" t="str">
        <f>IF($A372&lt;&gt;0,VLOOKUP($A372,'0.Productos'!$A$3:$GG$587,'0.Productos'!BH$1+1,0),"")</f>
        <v/>
      </c>
      <c r="Q372" s="133" t="str">
        <f>IF($A372&lt;&gt;0,VLOOKUP($A372,'0.Productos'!$A$3:$GG$587,'0.Productos'!BI$1+1,0),"")</f>
        <v/>
      </c>
      <c r="R372" s="133" t="str">
        <f>IF($A372&lt;&gt;0,VLOOKUP($A372,'0.Productos'!$A$3:$GG$587,'0.Productos'!BJ$1+1,0),"")</f>
        <v/>
      </c>
      <c r="S372" s="133" t="str">
        <f>IF($A372&lt;&gt;0,VLOOKUP($A372,'0.Productos'!$A$3:$GG$587,'0.Productos'!BK$1+1,0),"")</f>
        <v/>
      </c>
      <c r="T372" s="133" t="str">
        <f>IF($A372&lt;&gt;0,VLOOKUP($A372,'0.Productos'!$A$3:$GG$587,'0.Productos'!BL$1+1,0),"")</f>
        <v/>
      </c>
      <c r="U372" s="133" t="str">
        <f>IF($A372&lt;&gt;0,VLOOKUP($A372,'0.Productos'!$A$3:$GG$587,'0.Productos'!BM$1+1,0),"")</f>
        <v/>
      </c>
      <c r="V372" s="133" t="str">
        <f>IF($A372&lt;&gt;0,VLOOKUP($A372,'0.Productos'!$A$3:$GG$587,'0.Productos'!BN$1+1,0),"")</f>
        <v/>
      </c>
      <c r="W372" s="133" t="str">
        <f>IF($A372&lt;&gt;0,VLOOKUP($A372,'0.Productos'!$A$3:$GG$587,'0.Productos'!BO$1+1,0),"")</f>
        <v/>
      </c>
      <c r="X372" s="133" t="str">
        <f>IF($A372&lt;&gt;0,VLOOKUP($A372,'0.Productos'!$A$3:$GG$587,'0.Productos'!BP$1+1,0),"")</f>
        <v/>
      </c>
      <c r="Y372" s="133" t="str">
        <f>IF($A372&lt;&gt;0,VLOOKUP($A372,'0.Productos'!$A$3:$GG$587,'0.Productos'!BQ$1+1,0),"")</f>
        <v/>
      </c>
      <c r="Z372" s="133" t="str">
        <f>IF($A372&lt;&gt;0,VLOOKUP($A372,'0.Productos'!$A$3:$GG$587,'0.Productos'!BR$1+1,0),"")</f>
        <v/>
      </c>
      <c r="AA372" s="133" t="str">
        <f>IF($A372&lt;&gt;0,VLOOKUP($A372,'0.Productos'!$A$3:$GG$587,'0.Productos'!BS$1+1,0),"")</f>
        <v/>
      </c>
      <c r="AB372" s="133" t="str">
        <f>IF($A372&lt;&gt;0,VLOOKUP($A372,'0.Productos'!$A$3:$GG$587,'0.Productos'!BT$1+1,0),"")</f>
        <v/>
      </c>
      <c r="AC372" s="133" t="str">
        <f>IF($A372&lt;&gt;0,VLOOKUP($A372,'0.Productos'!$A$3:$GG$587,'0.Productos'!BU$1+1,0),"")</f>
        <v/>
      </c>
      <c r="AD372" s="133" t="str">
        <f>IF($A372&lt;&gt;0,VLOOKUP($A372,'0.Productos'!$A$3:$GG$587,'0.Productos'!BV$1+1,0),"")</f>
        <v/>
      </c>
      <c r="AE372" s="133" t="str">
        <f>IF($A372&lt;&gt;0,VLOOKUP($A372,'0.Productos'!$A$3:$GG$587,'0.Productos'!BW$1+1,0),"")</f>
        <v/>
      </c>
      <c r="AF372" s="133" t="str">
        <f>IF($A372&lt;&gt;0,VLOOKUP($A372,'0.Productos'!$A$3:$GG$587,'0.Productos'!BX$1+1,0),"")</f>
        <v/>
      </c>
      <c r="AG372" s="133" t="str">
        <f>IF($A372&lt;&gt;0,VLOOKUP($A372,'0.Productos'!$A$3:$GG$587,'0.Productos'!BY$1+1,0),"")</f>
        <v/>
      </c>
      <c r="AH372" s="133" t="str">
        <f>IF($A372&lt;&gt;0,VLOOKUP($A372,'0.Productos'!$A$3:$GG$587,'0.Productos'!BZ$1+1,0),"")</f>
        <v/>
      </c>
      <c r="AI372" s="133" t="str">
        <f>IF($A372&lt;&gt;0,VLOOKUP($A372,'0.Productos'!$A$3:$GG$587,'0.Productos'!CA$1+1,0),"")</f>
        <v/>
      </c>
      <c r="AJ372" s="133" t="str">
        <f>IF($A372&lt;&gt;0,VLOOKUP($A372,'0.Productos'!$A$3:$GG$587,'0.Productos'!CB$1+1,0),"")</f>
        <v/>
      </c>
      <c r="AK372" s="133" t="str">
        <f>IF($A372&lt;&gt;0,VLOOKUP($A372,'0.Productos'!$A$3:$GG$587,'0.Productos'!CC$1+1,0),"")</f>
        <v/>
      </c>
      <c r="AL372" s="133" t="str">
        <f>IF($A372&lt;&gt;0,VLOOKUP($A372,'0.Productos'!$A$3:$GG$587,'0.Productos'!CD$1+1,0),"")</f>
        <v/>
      </c>
      <c r="AM372" s="133" t="str">
        <f>IF($A372&lt;&gt;0,VLOOKUP($A372,'0.Productos'!$A$3:$GG$587,'0.Productos'!CE$1+1,0),"")</f>
        <v/>
      </c>
      <c r="AN372" s="133" t="str">
        <f>IF($A372&lt;&gt;0,VLOOKUP($A372,'0.Productos'!$A$3:$GG$587,'0.Productos'!CF$1+1,0),"")</f>
        <v/>
      </c>
      <c r="AO372" s="133" t="str">
        <f>IF($A372&lt;&gt;0,VLOOKUP($A372,'0.Productos'!$A$3:$GG$587,'0.Productos'!CG$1+1,0),"")</f>
        <v/>
      </c>
      <c r="AP372" s="133" t="str">
        <f>IF($A372&lt;&gt;0,VLOOKUP($A372,'0.Productos'!$A$3:$GG$587,'0.Productos'!CH$1+1,0),"")</f>
        <v/>
      </c>
      <c r="AQ372" s="133" t="str">
        <f>IF($A372&lt;&gt;0,VLOOKUP($A372,'0.Productos'!$A$3:$GG$587,'0.Productos'!CI$1+1,0),"")</f>
        <v/>
      </c>
      <c r="AR372" s="133" t="str">
        <f>IF($A372&lt;&gt;0,VLOOKUP($A372,'0.Productos'!$A$3:$GG$587,'0.Productos'!CJ$1+1,0),"")</f>
        <v/>
      </c>
      <c r="AS372" s="133" t="str">
        <f>IF($A372&lt;&gt;0,VLOOKUP($A372,'0.Productos'!$A$3:$GG$587,'0.Productos'!CK$1+1,0),"")</f>
        <v/>
      </c>
      <c r="AT372" s="133" t="str">
        <f>IF($A372&lt;&gt;0,VLOOKUP($A372,'0.Productos'!$A$3:$GG$587,'0.Productos'!CL$1+1,0),"")</f>
        <v/>
      </c>
      <c r="AU372" s="133" t="str">
        <f>IF($A372&lt;&gt;0,VLOOKUP($A372,'0.Productos'!$A$3:$GG$587,'0.Productos'!CM$1+1,0),"")</f>
        <v/>
      </c>
      <c r="AV372" s="133" t="str">
        <f>IF($A372&lt;&gt;0,VLOOKUP($A372,'0.Productos'!$A$3:$GG$587,'0.Productos'!CN$1+1,0),"")</f>
        <v/>
      </c>
      <c r="AW372" s="133" t="str">
        <f>IF($A372&lt;&gt;0,VLOOKUP($A372,'0.Productos'!$A$3:$GG$587,'0.Productos'!CO$1+1,0),"")</f>
        <v/>
      </c>
      <c r="AX372" s="133" t="str">
        <f>IF($A372&lt;&gt;0,VLOOKUP($A372,'0.Productos'!$A$3:$GG$587,'0.Productos'!CP$1+1,0),"")</f>
        <v/>
      </c>
      <c r="AY372" s="133" t="str">
        <f>IF($A372&lt;&gt;0,VLOOKUP($A372,'0.Productos'!$A$3:$GG$587,'0.Productos'!CQ$1+1,0),"")</f>
        <v/>
      </c>
      <c r="AZ372" s="133" t="str">
        <f>IF($A372&lt;&gt;0,VLOOKUP($A372,'0.Productos'!$A$3:$GG$587,'0.Productos'!CR$1+1,0),"")</f>
        <v/>
      </c>
      <c r="BA372" s="133" t="str">
        <f>IF($A372&lt;&gt;0,VLOOKUP($A372,'0.Productos'!$A$3:$GG$587,'0.Productos'!CS$1+1,0),"")</f>
        <v/>
      </c>
      <c r="BB372" s="133" t="str">
        <f>IF($A372&lt;&gt;0,VLOOKUP($A372,'0.Productos'!$A$3:$GG$587,'0.Productos'!CT$1+1,0),"")</f>
        <v/>
      </c>
      <c r="BC372" s="133" t="str">
        <f>IF($A372&lt;&gt;0,VLOOKUP($A372,'0.Productos'!$A$3:$GG$587,'0.Productos'!CU$1+1,0),"")</f>
        <v/>
      </c>
      <c r="BD372" s="133" t="str">
        <f>IF($A372&lt;&gt;0,VLOOKUP($A372,'0.Productos'!$A$3:$GG$587,'0.Productos'!CV$1+1,0),"")</f>
        <v/>
      </c>
      <c r="BE372" s="133" t="str">
        <f>IF($A372&lt;&gt;0,VLOOKUP($A372,'0.Productos'!$A$3:$GG$587,'0.Productos'!CW$1+1,0),"")</f>
        <v/>
      </c>
      <c r="BF372" s="133" t="str">
        <f>IF($A372&lt;&gt;0,VLOOKUP($A372,'0.Productos'!$A$3:$GG$587,'0.Productos'!CX$1+1,0),"")</f>
        <v/>
      </c>
      <c r="BG372" s="133" t="str">
        <f>IF($A372&lt;&gt;0,VLOOKUP($A372,'0.Productos'!$A$3:$GG$587,'0.Productos'!CY$1+1,0),"")</f>
        <v/>
      </c>
      <c r="BH372" s="133" t="str">
        <f>IF($A372&lt;&gt;0,VLOOKUP($A372,'0.Productos'!$A$3:$GG$587,'0.Productos'!CZ$1+1,0),"")</f>
        <v/>
      </c>
      <c r="BI372" s="133" t="str">
        <f>IF($A372&lt;&gt;0,VLOOKUP($A372,'0.Productos'!$A$3:$GG$587,'0.Productos'!DA$1+1,0),"")</f>
        <v/>
      </c>
      <c r="BJ372" s="133" t="str">
        <f>IF($A372&lt;&gt;0,VLOOKUP($A372,'0.Productos'!$A$3:$GG$587,'0.Productos'!DB$1+1,0),"")</f>
        <v/>
      </c>
      <c r="BK372" s="133" t="str">
        <f>IF($A372&lt;&gt;0,VLOOKUP($A372,'0.Productos'!$A$3:$GG$587,'0.Productos'!DC$1+1,0),"")</f>
        <v/>
      </c>
      <c r="BL372" s="133" t="str">
        <f>IF($A372&lt;&gt;0,VLOOKUP($A372,'0.Productos'!$A$3:$GG$587,'0.Productos'!DD$1+1,0),"")</f>
        <v/>
      </c>
      <c r="BM372" s="133" t="str">
        <f>IF($A372&lt;&gt;0,VLOOKUP($A372,'0.Productos'!$A$3:$GG$587,'0.Productos'!DE$1+1,0),"")</f>
        <v/>
      </c>
      <c r="BN372" s="133" t="str">
        <f>IF($A372&lt;&gt;0,VLOOKUP($A372,'0.Productos'!$A$3:$GG$587,'0.Productos'!DF$1+1,0),"")</f>
        <v/>
      </c>
      <c r="BO372" s="133" t="str">
        <f>IF($A372&lt;&gt;0,VLOOKUP($A372,'0.Productos'!$A$3:$GG$587,'0.Productos'!DG$1+1,0),"")</f>
        <v/>
      </c>
      <c r="BP372" s="133" t="str">
        <f>IF($A372&lt;&gt;0,VLOOKUP($A372,'0.Productos'!$A$3:$GG$587,'0.Productos'!DH$1+1,0),"")</f>
        <v/>
      </c>
      <c r="BQ372" s="133" t="str">
        <f>IF($A372&lt;&gt;0,VLOOKUP($A372,'0.Productos'!$A$3:$GG$587,'0.Productos'!DI$1+1,0),"")</f>
        <v/>
      </c>
      <c r="BR372" s="133" t="str">
        <f>IF($A372&lt;&gt;0,VLOOKUP($A372,'0.Productos'!$A$3:$GG$587,'0.Productos'!DJ$1+1,0),"")</f>
        <v/>
      </c>
      <c r="BS372" s="133" t="str">
        <f>IF($A372&lt;&gt;0,VLOOKUP($A372,'0.Productos'!$A$3:$GG$587,'0.Productos'!DK$1+1,0),"")</f>
        <v/>
      </c>
      <c r="BT372" s="133" t="str">
        <f>IF($A372&lt;&gt;0,VLOOKUP($A372,'0.Productos'!$A$3:$GG$587,'0.Productos'!DL$1+1,0),"")</f>
        <v/>
      </c>
    </row>
    <row r="373" spans="1:72" x14ac:dyDescent="0.25">
      <c r="A373" s="17">
        <f>'0.Consolidado general'!A373</f>
        <v>0</v>
      </c>
      <c r="B373" s="133" t="str">
        <f>IF($A373&lt;&gt;0,VLOOKUP($A373,'0.Productos'!$A$3:$GG$587,'0.Productos'!AT$1+1,0),"")</f>
        <v/>
      </c>
      <c r="C373" s="133" t="str">
        <f>IF($A373&lt;&gt;0,VLOOKUP($A373,'0.Productos'!$A$3:$GG$587,'0.Productos'!AU$1+1,0),"")</f>
        <v/>
      </c>
      <c r="D373" s="133" t="str">
        <f>IF($A373&lt;&gt;0,VLOOKUP($A373,'0.Productos'!$A$3:$GG$587,'0.Productos'!AV$1+1,0),"")</f>
        <v/>
      </c>
      <c r="E373" s="133" t="str">
        <f>IF($A373&lt;&gt;0,VLOOKUP($A373,'0.Productos'!$A$3:$GG$587,'0.Productos'!AW$1+1,0),"")</f>
        <v/>
      </c>
      <c r="F373" s="133" t="str">
        <f>IF($A373&lt;&gt;0,VLOOKUP($A373,'0.Productos'!$A$3:$GG$587,'0.Productos'!AX$1+1,0),"")</f>
        <v/>
      </c>
      <c r="G373" s="133" t="str">
        <f>IF($A373&lt;&gt;0,VLOOKUP($A373,'0.Productos'!$A$3:$GG$587,'0.Productos'!AY$1+1,0),"")</f>
        <v/>
      </c>
      <c r="H373" s="133" t="str">
        <f>IF($A373&lt;&gt;0,VLOOKUP($A373,'0.Productos'!$A$3:$GG$587,'0.Productos'!AZ$1+1,0),"")</f>
        <v/>
      </c>
      <c r="I373" s="133" t="str">
        <f>IF($A373&lt;&gt;0,VLOOKUP($A373,'0.Productos'!$A$3:$GG$587,'0.Productos'!BA$1+1,0),"")</f>
        <v/>
      </c>
      <c r="J373" s="133" t="str">
        <f>IF($A373&lt;&gt;0,VLOOKUP($A373,'0.Productos'!$A$3:$GG$587,'0.Productos'!BB$1+1,0),"")</f>
        <v/>
      </c>
      <c r="K373" s="133" t="str">
        <f>IF($A373&lt;&gt;0,VLOOKUP($A373,'0.Productos'!$A$3:$GG$587,'0.Productos'!BC$1+1,0),"")</f>
        <v/>
      </c>
      <c r="L373" s="133" t="str">
        <f>IF($A373&lt;&gt;0,VLOOKUP($A373,'0.Productos'!$A$3:$GG$587,'0.Productos'!BD$1+1,0),"")</f>
        <v/>
      </c>
      <c r="M373" s="133" t="str">
        <f>IF($A373&lt;&gt;0,VLOOKUP($A373,'0.Productos'!$A$3:$GG$587,'0.Productos'!BE$1+1,0),"")</f>
        <v/>
      </c>
      <c r="N373" s="133" t="str">
        <f>IF($A373&lt;&gt;0,VLOOKUP($A373,'0.Productos'!$A$3:$GG$587,'0.Productos'!BF$1+1,0),"")</f>
        <v/>
      </c>
      <c r="O373" s="133" t="str">
        <f>IF($A373&lt;&gt;0,VLOOKUP($A373,'0.Productos'!$A$3:$GG$587,'0.Productos'!BG$1+1,0),"")</f>
        <v/>
      </c>
      <c r="P373" s="133" t="str">
        <f>IF($A373&lt;&gt;0,VLOOKUP($A373,'0.Productos'!$A$3:$GG$587,'0.Productos'!BH$1+1,0),"")</f>
        <v/>
      </c>
      <c r="Q373" s="133" t="str">
        <f>IF($A373&lt;&gt;0,VLOOKUP($A373,'0.Productos'!$A$3:$GG$587,'0.Productos'!BI$1+1,0),"")</f>
        <v/>
      </c>
      <c r="R373" s="133" t="str">
        <f>IF($A373&lt;&gt;0,VLOOKUP($A373,'0.Productos'!$A$3:$GG$587,'0.Productos'!BJ$1+1,0),"")</f>
        <v/>
      </c>
      <c r="S373" s="133" t="str">
        <f>IF($A373&lt;&gt;0,VLOOKUP($A373,'0.Productos'!$A$3:$GG$587,'0.Productos'!BK$1+1,0),"")</f>
        <v/>
      </c>
      <c r="T373" s="133" t="str">
        <f>IF($A373&lt;&gt;0,VLOOKUP($A373,'0.Productos'!$A$3:$GG$587,'0.Productos'!BL$1+1,0),"")</f>
        <v/>
      </c>
      <c r="U373" s="133" t="str">
        <f>IF($A373&lt;&gt;0,VLOOKUP($A373,'0.Productos'!$A$3:$GG$587,'0.Productos'!BM$1+1,0),"")</f>
        <v/>
      </c>
      <c r="V373" s="133" t="str">
        <f>IF($A373&lt;&gt;0,VLOOKUP($A373,'0.Productos'!$A$3:$GG$587,'0.Productos'!BN$1+1,0),"")</f>
        <v/>
      </c>
      <c r="W373" s="133" t="str">
        <f>IF($A373&lt;&gt;0,VLOOKUP($A373,'0.Productos'!$A$3:$GG$587,'0.Productos'!BO$1+1,0),"")</f>
        <v/>
      </c>
      <c r="X373" s="133" t="str">
        <f>IF($A373&lt;&gt;0,VLOOKUP($A373,'0.Productos'!$A$3:$GG$587,'0.Productos'!BP$1+1,0),"")</f>
        <v/>
      </c>
      <c r="Y373" s="133" t="str">
        <f>IF($A373&lt;&gt;0,VLOOKUP($A373,'0.Productos'!$A$3:$GG$587,'0.Productos'!BQ$1+1,0),"")</f>
        <v/>
      </c>
      <c r="Z373" s="133" t="str">
        <f>IF($A373&lt;&gt;0,VLOOKUP($A373,'0.Productos'!$A$3:$GG$587,'0.Productos'!BR$1+1,0),"")</f>
        <v/>
      </c>
      <c r="AA373" s="133" t="str">
        <f>IF($A373&lt;&gt;0,VLOOKUP($A373,'0.Productos'!$A$3:$GG$587,'0.Productos'!BS$1+1,0),"")</f>
        <v/>
      </c>
      <c r="AB373" s="133" t="str">
        <f>IF($A373&lt;&gt;0,VLOOKUP($A373,'0.Productos'!$A$3:$GG$587,'0.Productos'!BT$1+1,0),"")</f>
        <v/>
      </c>
      <c r="AC373" s="133" t="str">
        <f>IF($A373&lt;&gt;0,VLOOKUP($A373,'0.Productos'!$A$3:$GG$587,'0.Productos'!BU$1+1,0),"")</f>
        <v/>
      </c>
      <c r="AD373" s="133" t="str">
        <f>IF($A373&lt;&gt;0,VLOOKUP($A373,'0.Productos'!$A$3:$GG$587,'0.Productos'!BV$1+1,0),"")</f>
        <v/>
      </c>
      <c r="AE373" s="133" t="str">
        <f>IF($A373&lt;&gt;0,VLOOKUP($A373,'0.Productos'!$A$3:$GG$587,'0.Productos'!BW$1+1,0),"")</f>
        <v/>
      </c>
      <c r="AF373" s="133" t="str">
        <f>IF($A373&lt;&gt;0,VLOOKUP($A373,'0.Productos'!$A$3:$GG$587,'0.Productos'!BX$1+1,0),"")</f>
        <v/>
      </c>
      <c r="AG373" s="133" t="str">
        <f>IF($A373&lt;&gt;0,VLOOKUP($A373,'0.Productos'!$A$3:$GG$587,'0.Productos'!BY$1+1,0),"")</f>
        <v/>
      </c>
      <c r="AH373" s="133" t="str">
        <f>IF($A373&lt;&gt;0,VLOOKUP($A373,'0.Productos'!$A$3:$GG$587,'0.Productos'!BZ$1+1,0),"")</f>
        <v/>
      </c>
      <c r="AI373" s="133" t="str">
        <f>IF($A373&lt;&gt;0,VLOOKUP($A373,'0.Productos'!$A$3:$GG$587,'0.Productos'!CA$1+1,0),"")</f>
        <v/>
      </c>
      <c r="AJ373" s="133" t="str">
        <f>IF($A373&lt;&gt;0,VLOOKUP($A373,'0.Productos'!$A$3:$GG$587,'0.Productos'!CB$1+1,0),"")</f>
        <v/>
      </c>
      <c r="AK373" s="133" t="str">
        <f>IF($A373&lt;&gt;0,VLOOKUP($A373,'0.Productos'!$A$3:$GG$587,'0.Productos'!CC$1+1,0),"")</f>
        <v/>
      </c>
      <c r="AL373" s="133" t="str">
        <f>IF($A373&lt;&gt;0,VLOOKUP($A373,'0.Productos'!$A$3:$GG$587,'0.Productos'!CD$1+1,0),"")</f>
        <v/>
      </c>
      <c r="AM373" s="133" t="str">
        <f>IF($A373&lt;&gt;0,VLOOKUP($A373,'0.Productos'!$A$3:$GG$587,'0.Productos'!CE$1+1,0),"")</f>
        <v/>
      </c>
      <c r="AN373" s="133" t="str">
        <f>IF($A373&lt;&gt;0,VLOOKUP($A373,'0.Productos'!$A$3:$GG$587,'0.Productos'!CF$1+1,0),"")</f>
        <v/>
      </c>
      <c r="AO373" s="133" t="str">
        <f>IF($A373&lt;&gt;0,VLOOKUP($A373,'0.Productos'!$A$3:$GG$587,'0.Productos'!CG$1+1,0),"")</f>
        <v/>
      </c>
      <c r="AP373" s="133" t="str">
        <f>IF($A373&lt;&gt;0,VLOOKUP($A373,'0.Productos'!$A$3:$GG$587,'0.Productos'!CH$1+1,0),"")</f>
        <v/>
      </c>
      <c r="AQ373" s="133" t="str">
        <f>IF($A373&lt;&gt;0,VLOOKUP($A373,'0.Productos'!$A$3:$GG$587,'0.Productos'!CI$1+1,0),"")</f>
        <v/>
      </c>
      <c r="AR373" s="133" t="str">
        <f>IF($A373&lt;&gt;0,VLOOKUP($A373,'0.Productos'!$A$3:$GG$587,'0.Productos'!CJ$1+1,0),"")</f>
        <v/>
      </c>
      <c r="AS373" s="133" t="str">
        <f>IF($A373&lt;&gt;0,VLOOKUP($A373,'0.Productos'!$A$3:$GG$587,'0.Productos'!CK$1+1,0),"")</f>
        <v/>
      </c>
      <c r="AT373" s="133" t="str">
        <f>IF($A373&lt;&gt;0,VLOOKUP($A373,'0.Productos'!$A$3:$GG$587,'0.Productos'!CL$1+1,0),"")</f>
        <v/>
      </c>
      <c r="AU373" s="133" t="str">
        <f>IF($A373&lt;&gt;0,VLOOKUP($A373,'0.Productos'!$A$3:$GG$587,'0.Productos'!CM$1+1,0),"")</f>
        <v/>
      </c>
      <c r="AV373" s="133" t="str">
        <f>IF($A373&lt;&gt;0,VLOOKUP($A373,'0.Productos'!$A$3:$GG$587,'0.Productos'!CN$1+1,0),"")</f>
        <v/>
      </c>
      <c r="AW373" s="133" t="str">
        <f>IF($A373&lt;&gt;0,VLOOKUP($A373,'0.Productos'!$A$3:$GG$587,'0.Productos'!CO$1+1,0),"")</f>
        <v/>
      </c>
      <c r="AX373" s="133" t="str">
        <f>IF($A373&lt;&gt;0,VLOOKUP($A373,'0.Productos'!$A$3:$GG$587,'0.Productos'!CP$1+1,0),"")</f>
        <v/>
      </c>
      <c r="AY373" s="133" t="str">
        <f>IF($A373&lt;&gt;0,VLOOKUP($A373,'0.Productos'!$A$3:$GG$587,'0.Productos'!CQ$1+1,0),"")</f>
        <v/>
      </c>
      <c r="AZ373" s="133" t="str">
        <f>IF($A373&lt;&gt;0,VLOOKUP($A373,'0.Productos'!$A$3:$GG$587,'0.Productos'!CR$1+1,0),"")</f>
        <v/>
      </c>
      <c r="BA373" s="133" t="str">
        <f>IF($A373&lt;&gt;0,VLOOKUP($A373,'0.Productos'!$A$3:$GG$587,'0.Productos'!CS$1+1,0),"")</f>
        <v/>
      </c>
      <c r="BB373" s="133" t="str">
        <f>IF($A373&lt;&gt;0,VLOOKUP($A373,'0.Productos'!$A$3:$GG$587,'0.Productos'!CT$1+1,0),"")</f>
        <v/>
      </c>
      <c r="BC373" s="133" t="str">
        <f>IF($A373&lt;&gt;0,VLOOKUP($A373,'0.Productos'!$A$3:$GG$587,'0.Productos'!CU$1+1,0),"")</f>
        <v/>
      </c>
      <c r="BD373" s="133" t="str">
        <f>IF($A373&lt;&gt;0,VLOOKUP($A373,'0.Productos'!$A$3:$GG$587,'0.Productos'!CV$1+1,0),"")</f>
        <v/>
      </c>
      <c r="BE373" s="133" t="str">
        <f>IF($A373&lt;&gt;0,VLOOKUP($A373,'0.Productos'!$A$3:$GG$587,'0.Productos'!CW$1+1,0),"")</f>
        <v/>
      </c>
      <c r="BF373" s="133" t="str">
        <f>IF($A373&lt;&gt;0,VLOOKUP($A373,'0.Productos'!$A$3:$GG$587,'0.Productos'!CX$1+1,0),"")</f>
        <v/>
      </c>
      <c r="BG373" s="133" t="str">
        <f>IF($A373&lt;&gt;0,VLOOKUP($A373,'0.Productos'!$A$3:$GG$587,'0.Productos'!CY$1+1,0),"")</f>
        <v/>
      </c>
      <c r="BH373" s="133" t="str">
        <f>IF($A373&lt;&gt;0,VLOOKUP($A373,'0.Productos'!$A$3:$GG$587,'0.Productos'!CZ$1+1,0),"")</f>
        <v/>
      </c>
      <c r="BI373" s="133" t="str">
        <f>IF($A373&lt;&gt;0,VLOOKUP($A373,'0.Productos'!$A$3:$GG$587,'0.Productos'!DA$1+1,0),"")</f>
        <v/>
      </c>
      <c r="BJ373" s="133" t="str">
        <f>IF($A373&lt;&gt;0,VLOOKUP($A373,'0.Productos'!$A$3:$GG$587,'0.Productos'!DB$1+1,0),"")</f>
        <v/>
      </c>
      <c r="BK373" s="133" t="str">
        <f>IF($A373&lt;&gt;0,VLOOKUP($A373,'0.Productos'!$A$3:$GG$587,'0.Productos'!DC$1+1,0),"")</f>
        <v/>
      </c>
      <c r="BL373" s="133" t="str">
        <f>IF($A373&lt;&gt;0,VLOOKUP($A373,'0.Productos'!$A$3:$GG$587,'0.Productos'!DD$1+1,0),"")</f>
        <v/>
      </c>
      <c r="BM373" s="133" t="str">
        <f>IF($A373&lt;&gt;0,VLOOKUP($A373,'0.Productos'!$A$3:$GG$587,'0.Productos'!DE$1+1,0),"")</f>
        <v/>
      </c>
      <c r="BN373" s="133" t="str">
        <f>IF($A373&lt;&gt;0,VLOOKUP($A373,'0.Productos'!$A$3:$GG$587,'0.Productos'!DF$1+1,0),"")</f>
        <v/>
      </c>
      <c r="BO373" s="133" t="str">
        <f>IF($A373&lt;&gt;0,VLOOKUP($A373,'0.Productos'!$A$3:$GG$587,'0.Productos'!DG$1+1,0),"")</f>
        <v/>
      </c>
      <c r="BP373" s="133" t="str">
        <f>IF($A373&lt;&gt;0,VLOOKUP($A373,'0.Productos'!$A$3:$GG$587,'0.Productos'!DH$1+1,0),"")</f>
        <v/>
      </c>
      <c r="BQ373" s="133" t="str">
        <f>IF($A373&lt;&gt;0,VLOOKUP($A373,'0.Productos'!$A$3:$GG$587,'0.Productos'!DI$1+1,0),"")</f>
        <v/>
      </c>
      <c r="BR373" s="133" t="str">
        <f>IF($A373&lt;&gt;0,VLOOKUP($A373,'0.Productos'!$A$3:$GG$587,'0.Productos'!DJ$1+1,0),"")</f>
        <v/>
      </c>
      <c r="BS373" s="133" t="str">
        <f>IF($A373&lt;&gt;0,VLOOKUP($A373,'0.Productos'!$A$3:$GG$587,'0.Productos'!DK$1+1,0),"")</f>
        <v/>
      </c>
      <c r="BT373" s="133" t="str">
        <f>IF($A373&lt;&gt;0,VLOOKUP($A373,'0.Productos'!$A$3:$GG$587,'0.Productos'!DL$1+1,0),"")</f>
        <v/>
      </c>
    </row>
    <row r="374" spans="1:72" x14ac:dyDescent="0.25">
      <c r="A374" s="17">
        <f>'0.Consolidado general'!A374</f>
        <v>0</v>
      </c>
      <c r="B374" s="133" t="str">
        <f>IF($A374&lt;&gt;0,VLOOKUP($A374,'0.Productos'!$A$3:$GG$587,'0.Productos'!AT$1+1,0),"")</f>
        <v/>
      </c>
      <c r="C374" s="133" t="str">
        <f>IF($A374&lt;&gt;0,VLOOKUP($A374,'0.Productos'!$A$3:$GG$587,'0.Productos'!AU$1+1,0),"")</f>
        <v/>
      </c>
      <c r="D374" s="133" t="str">
        <f>IF($A374&lt;&gt;0,VLOOKUP($A374,'0.Productos'!$A$3:$GG$587,'0.Productos'!AV$1+1,0),"")</f>
        <v/>
      </c>
      <c r="E374" s="133" t="str">
        <f>IF($A374&lt;&gt;0,VLOOKUP($A374,'0.Productos'!$A$3:$GG$587,'0.Productos'!AW$1+1,0),"")</f>
        <v/>
      </c>
      <c r="F374" s="133" t="str">
        <f>IF($A374&lt;&gt;0,VLOOKUP($A374,'0.Productos'!$A$3:$GG$587,'0.Productos'!AX$1+1,0),"")</f>
        <v/>
      </c>
      <c r="G374" s="133" t="str">
        <f>IF($A374&lt;&gt;0,VLOOKUP($A374,'0.Productos'!$A$3:$GG$587,'0.Productos'!AY$1+1,0),"")</f>
        <v/>
      </c>
      <c r="H374" s="133" t="str">
        <f>IF($A374&lt;&gt;0,VLOOKUP($A374,'0.Productos'!$A$3:$GG$587,'0.Productos'!AZ$1+1,0),"")</f>
        <v/>
      </c>
      <c r="I374" s="133" t="str">
        <f>IF($A374&lt;&gt;0,VLOOKUP($A374,'0.Productos'!$A$3:$GG$587,'0.Productos'!BA$1+1,0),"")</f>
        <v/>
      </c>
      <c r="J374" s="133" t="str">
        <f>IF($A374&lt;&gt;0,VLOOKUP($A374,'0.Productos'!$A$3:$GG$587,'0.Productos'!BB$1+1,0),"")</f>
        <v/>
      </c>
      <c r="K374" s="133" t="str">
        <f>IF($A374&lt;&gt;0,VLOOKUP($A374,'0.Productos'!$A$3:$GG$587,'0.Productos'!BC$1+1,0),"")</f>
        <v/>
      </c>
      <c r="L374" s="133" t="str">
        <f>IF($A374&lt;&gt;0,VLOOKUP($A374,'0.Productos'!$A$3:$GG$587,'0.Productos'!BD$1+1,0),"")</f>
        <v/>
      </c>
      <c r="M374" s="133" t="str">
        <f>IF($A374&lt;&gt;0,VLOOKUP($A374,'0.Productos'!$A$3:$GG$587,'0.Productos'!BE$1+1,0),"")</f>
        <v/>
      </c>
      <c r="N374" s="133" t="str">
        <f>IF($A374&lt;&gt;0,VLOOKUP($A374,'0.Productos'!$A$3:$GG$587,'0.Productos'!BF$1+1,0),"")</f>
        <v/>
      </c>
      <c r="O374" s="133" t="str">
        <f>IF($A374&lt;&gt;0,VLOOKUP($A374,'0.Productos'!$A$3:$GG$587,'0.Productos'!BG$1+1,0),"")</f>
        <v/>
      </c>
      <c r="P374" s="133" t="str">
        <f>IF($A374&lt;&gt;0,VLOOKUP($A374,'0.Productos'!$A$3:$GG$587,'0.Productos'!BH$1+1,0),"")</f>
        <v/>
      </c>
      <c r="Q374" s="133" t="str">
        <f>IF($A374&lt;&gt;0,VLOOKUP($A374,'0.Productos'!$A$3:$GG$587,'0.Productos'!BI$1+1,0),"")</f>
        <v/>
      </c>
      <c r="R374" s="133" t="str">
        <f>IF($A374&lt;&gt;0,VLOOKUP($A374,'0.Productos'!$A$3:$GG$587,'0.Productos'!BJ$1+1,0),"")</f>
        <v/>
      </c>
      <c r="S374" s="133" t="str">
        <f>IF($A374&lt;&gt;0,VLOOKUP($A374,'0.Productos'!$A$3:$GG$587,'0.Productos'!BK$1+1,0),"")</f>
        <v/>
      </c>
      <c r="T374" s="133" t="str">
        <f>IF($A374&lt;&gt;0,VLOOKUP($A374,'0.Productos'!$A$3:$GG$587,'0.Productos'!BL$1+1,0),"")</f>
        <v/>
      </c>
      <c r="U374" s="133" t="str">
        <f>IF($A374&lt;&gt;0,VLOOKUP($A374,'0.Productos'!$A$3:$GG$587,'0.Productos'!BM$1+1,0),"")</f>
        <v/>
      </c>
      <c r="V374" s="133" t="str">
        <f>IF($A374&lt;&gt;0,VLOOKUP($A374,'0.Productos'!$A$3:$GG$587,'0.Productos'!BN$1+1,0),"")</f>
        <v/>
      </c>
      <c r="W374" s="133" t="str">
        <f>IF($A374&lt;&gt;0,VLOOKUP($A374,'0.Productos'!$A$3:$GG$587,'0.Productos'!BO$1+1,0),"")</f>
        <v/>
      </c>
      <c r="X374" s="133" t="str">
        <f>IF($A374&lt;&gt;0,VLOOKUP($A374,'0.Productos'!$A$3:$GG$587,'0.Productos'!BP$1+1,0),"")</f>
        <v/>
      </c>
      <c r="Y374" s="133" t="str">
        <f>IF($A374&lt;&gt;0,VLOOKUP($A374,'0.Productos'!$A$3:$GG$587,'0.Productos'!BQ$1+1,0),"")</f>
        <v/>
      </c>
      <c r="Z374" s="133" t="str">
        <f>IF($A374&lt;&gt;0,VLOOKUP($A374,'0.Productos'!$A$3:$GG$587,'0.Productos'!BR$1+1,0),"")</f>
        <v/>
      </c>
      <c r="AA374" s="133" t="str">
        <f>IF($A374&lt;&gt;0,VLOOKUP($A374,'0.Productos'!$A$3:$GG$587,'0.Productos'!BS$1+1,0),"")</f>
        <v/>
      </c>
      <c r="AB374" s="133" t="str">
        <f>IF($A374&lt;&gt;0,VLOOKUP($A374,'0.Productos'!$A$3:$GG$587,'0.Productos'!BT$1+1,0),"")</f>
        <v/>
      </c>
      <c r="AC374" s="133" t="str">
        <f>IF($A374&lt;&gt;0,VLOOKUP($A374,'0.Productos'!$A$3:$GG$587,'0.Productos'!BU$1+1,0),"")</f>
        <v/>
      </c>
      <c r="AD374" s="133" t="str">
        <f>IF($A374&lt;&gt;0,VLOOKUP($A374,'0.Productos'!$A$3:$GG$587,'0.Productos'!BV$1+1,0),"")</f>
        <v/>
      </c>
      <c r="AE374" s="133" t="str">
        <f>IF($A374&lt;&gt;0,VLOOKUP($A374,'0.Productos'!$A$3:$GG$587,'0.Productos'!BW$1+1,0),"")</f>
        <v/>
      </c>
      <c r="AF374" s="133" t="str">
        <f>IF($A374&lt;&gt;0,VLOOKUP($A374,'0.Productos'!$A$3:$GG$587,'0.Productos'!BX$1+1,0),"")</f>
        <v/>
      </c>
      <c r="AG374" s="133" t="str">
        <f>IF($A374&lt;&gt;0,VLOOKUP($A374,'0.Productos'!$A$3:$GG$587,'0.Productos'!BY$1+1,0),"")</f>
        <v/>
      </c>
      <c r="AH374" s="133" t="str">
        <f>IF($A374&lt;&gt;0,VLOOKUP($A374,'0.Productos'!$A$3:$GG$587,'0.Productos'!BZ$1+1,0),"")</f>
        <v/>
      </c>
      <c r="AI374" s="133" t="str">
        <f>IF($A374&lt;&gt;0,VLOOKUP($A374,'0.Productos'!$A$3:$GG$587,'0.Productos'!CA$1+1,0),"")</f>
        <v/>
      </c>
      <c r="AJ374" s="133" t="str">
        <f>IF($A374&lt;&gt;0,VLOOKUP($A374,'0.Productos'!$A$3:$GG$587,'0.Productos'!CB$1+1,0),"")</f>
        <v/>
      </c>
      <c r="AK374" s="133" t="str">
        <f>IF($A374&lt;&gt;0,VLOOKUP($A374,'0.Productos'!$A$3:$GG$587,'0.Productos'!CC$1+1,0),"")</f>
        <v/>
      </c>
      <c r="AL374" s="133" t="str">
        <f>IF($A374&lt;&gt;0,VLOOKUP($A374,'0.Productos'!$A$3:$GG$587,'0.Productos'!CD$1+1,0),"")</f>
        <v/>
      </c>
      <c r="AM374" s="133" t="str">
        <f>IF($A374&lt;&gt;0,VLOOKUP($A374,'0.Productos'!$A$3:$GG$587,'0.Productos'!CE$1+1,0),"")</f>
        <v/>
      </c>
      <c r="AN374" s="133" t="str">
        <f>IF($A374&lt;&gt;0,VLOOKUP($A374,'0.Productos'!$A$3:$GG$587,'0.Productos'!CF$1+1,0),"")</f>
        <v/>
      </c>
      <c r="AO374" s="133" t="str">
        <f>IF($A374&lt;&gt;0,VLOOKUP($A374,'0.Productos'!$A$3:$GG$587,'0.Productos'!CG$1+1,0),"")</f>
        <v/>
      </c>
      <c r="AP374" s="133" t="str">
        <f>IF($A374&lt;&gt;0,VLOOKUP($A374,'0.Productos'!$A$3:$GG$587,'0.Productos'!CH$1+1,0),"")</f>
        <v/>
      </c>
      <c r="AQ374" s="133" t="str">
        <f>IF($A374&lt;&gt;0,VLOOKUP($A374,'0.Productos'!$A$3:$GG$587,'0.Productos'!CI$1+1,0),"")</f>
        <v/>
      </c>
      <c r="AR374" s="133" t="str">
        <f>IF($A374&lt;&gt;0,VLOOKUP($A374,'0.Productos'!$A$3:$GG$587,'0.Productos'!CJ$1+1,0),"")</f>
        <v/>
      </c>
      <c r="AS374" s="133" t="str">
        <f>IF($A374&lt;&gt;0,VLOOKUP($A374,'0.Productos'!$A$3:$GG$587,'0.Productos'!CK$1+1,0),"")</f>
        <v/>
      </c>
      <c r="AT374" s="133" t="str">
        <f>IF($A374&lt;&gt;0,VLOOKUP($A374,'0.Productos'!$A$3:$GG$587,'0.Productos'!CL$1+1,0),"")</f>
        <v/>
      </c>
      <c r="AU374" s="133" t="str">
        <f>IF($A374&lt;&gt;0,VLOOKUP($A374,'0.Productos'!$A$3:$GG$587,'0.Productos'!CM$1+1,0),"")</f>
        <v/>
      </c>
      <c r="AV374" s="133" t="str">
        <f>IF($A374&lt;&gt;0,VLOOKUP($A374,'0.Productos'!$A$3:$GG$587,'0.Productos'!CN$1+1,0),"")</f>
        <v/>
      </c>
      <c r="AW374" s="133" t="str">
        <f>IF($A374&lt;&gt;0,VLOOKUP($A374,'0.Productos'!$A$3:$GG$587,'0.Productos'!CO$1+1,0),"")</f>
        <v/>
      </c>
      <c r="AX374" s="133" t="str">
        <f>IF($A374&lt;&gt;0,VLOOKUP($A374,'0.Productos'!$A$3:$GG$587,'0.Productos'!CP$1+1,0),"")</f>
        <v/>
      </c>
      <c r="AY374" s="133" t="str">
        <f>IF($A374&lt;&gt;0,VLOOKUP($A374,'0.Productos'!$A$3:$GG$587,'0.Productos'!CQ$1+1,0),"")</f>
        <v/>
      </c>
      <c r="AZ374" s="133" t="str">
        <f>IF($A374&lt;&gt;0,VLOOKUP($A374,'0.Productos'!$A$3:$GG$587,'0.Productos'!CR$1+1,0),"")</f>
        <v/>
      </c>
      <c r="BA374" s="133" t="str">
        <f>IF($A374&lt;&gt;0,VLOOKUP($A374,'0.Productos'!$A$3:$GG$587,'0.Productos'!CS$1+1,0),"")</f>
        <v/>
      </c>
      <c r="BB374" s="133" t="str">
        <f>IF($A374&lt;&gt;0,VLOOKUP($A374,'0.Productos'!$A$3:$GG$587,'0.Productos'!CT$1+1,0),"")</f>
        <v/>
      </c>
      <c r="BC374" s="133" t="str">
        <f>IF($A374&lt;&gt;0,VLOOKUP($A374,'0.Productos'!$A$3:$GG$587,'0.Productos'!CU$1+1,0),"")</f>
        <v/>
      </c>
      <c r="BD374" s="133" t="str">
        <f>IF($A374&lt;&gt;0,VLOOKUP($A374,'0.Productos'!$A$3:$GG$587,'0.Productos'!CV$1+1,0),"")</f>
        <v/>
      </c>
      <c r="BE374" s="133" t="str">
        <f>IF($A374&lt;&gt;0,VLOOKUP($A374,'0.Productos'!$A$3:$GG$587,'0.Productos'!CW$1+1,0),"")</f>
        <v/>
      </c>
      <c r="BF374" s="133" t="str">
        <f>IF($A374&lt;&gt;0,VLOOKUP($A374,'0.Productos'!$A$3:$GG$587,'0.Productos'!CX$1+1,0),"")</f>
        <v/>
      </c>
      <c r="BG374" s="133" t="str">
        <f>IF($A374&lt;&gt;0,VLOOKUP($A374,'0.Productos'!$A$3:$GG$587,'0.Productos'!CY$1+1,0),"")</f>
        <v/>
      </c>
      <c r="BH374" s="133" t="str">
        <f>IF($A374&lt;&gt;0,VLOOKUP($A374,'0.Productos'!$A$3:$GG$587,'0.Productos'!CZ$1+1,0),"")</f>
        <v/>
      </c>
      <c r="BI374" s="133" t="str">
        <f>IF($A374&lt;&gt;0,VLOOKUP($A374,'0.Productos'!$A$3:$GG$587,'0.Productos'!DA$1+1,0),"")</f>
        <v/>
      </c>
      <c r="BJ374" s="133" t="str">
        <f>IF($A374&lt;&gt;0,VLOOKUP($A374,'0.Productos'!$A$3:$GG$587,'0.Productos'!DB$1+1,0),"")</f>
        <v/>
      </c>
      <c r="BK374" s="133" t="str">
        <f>IF($A374&lt;&gt;0,VLOOKUP($A374,'0.Productos'!$A$3:$GG$587,'0.Productos'!DC$1+1,0),"")</f>
        <v/>
      </c>
      <c r="BL374" s="133" t="str">
        <f>IF($A374&lt;&gt;0,VLOOKUP($A374,'0.Productos'!$A$3:$GG$587,'0.Productos'!DD$1+1,0),"")</f>
        <v/>
      </c>
      <c r="BM374" s="133" t="str">
        <f>IF($A374&lt;&gt;0,VLOOKUP($A374,'0.Productos'!$A$3:$GG$587,'0.Productos'!DE$1+1,0),"")</f>
        <v/>
      </c>
      <c r="BN374" s="133" t="str">
        <f>IF($A374&lt;&gt;0,VLOOKUP($A374,'0.Productos'!$A$3:$GG$587,'0.Productos'!DF$1+1,0),"")</f>
        <v/>
      </c>
      <c r="BO374" s="133" t="str">
        <f>IF($A374&lt;&gt;0,VLOOKUP($A374,'0.Productos'!$A$3:$GG$587,'0.Productos'!DG$1+1,0),"")</f>
        <v/>
      </c>
      <c r="BP374" s="133" t="str">
        <f>IF($A374&lt;&gt;0,VLOOKUP($A374,'0.Productos'!$A$3:$GG$587,'0.Productos'!DH$1+1,0),"")</f>
        <v/>
      </c>
      <c r="BQ374" s="133" t="str">
        <f>IF($A374&lt;&gt;0,VLOOKUP($A374,'0.Productos'!$A$3:$GG$587,'0.Productos'!DI$1+1,0),"")</f>
        <v/>
      </c>
      <c r="BR374" s="133" t="str">
        <f>IF($A374&lt;&gt;0,VLOOKUP($A374,'0.Productos'!$A$3:$GG$587,'0.Productos'!DJ$1+1,0),"")</f>
        <v/>
      </c>
      <c r="BS374" s="133" t="str">
        <f>IF($A374&lt;&gt;0,VLOOKUP($A374,'0.Productos'!$A$3:$GG$587,'0.Productos'!DK$1+1,0),"")</f>
        <v/>
      </c>
      <c r="BT374" s="133" t="str">
        <f>IF($A374&lt;&gt;0,VLOOKUP($A374,'0.Productos'!$A$3:$GG$587,'0.Productos'!DL$1+1,0),"")</f>
        <v/>
      </c>
    </row>
    <row r="375" spans="1:72" x14ac:dyDescent="0.25">
      <c r="A375" s="17">
        <f>'0.Consolidado general'!A375</f>
        <v>0</v>
      </c>
      <c r="B375" s="133" t="str">
        <f>IF($A375&lt;&gt;0,VLOOKUP($A375,'0.Productos'!$A$3:$GG$587,'0.Productos'!AT$1+1,0),"")</f>
        <v/>
      </c>
      <c r="C375" s="133" t="str">
        <f>IF($A375&lt;&gt;0,VLOOKUP($A375,'0.Productos'!$A$3:$GG$587,'0.Productos'!AU$1+1,0),"")</f>
        <v/>
      </c>
      <c r="D375" s="133" t="str">
        <f>IF($A375&lt;&gt;0,VLOOKUP($A375,'0.Productos'!$A$3:$GG$587,'0.Productos'!AV$1+1,0),"")</f>
        <v/>
      </c>
      <c r="E375" s="133" t="str">
        <f>IF($A375&lt;&gt;0,VLOOKUP($A375,'0.Productos'!$A$3:$GG$587,'0.Productos'!AW$1+1,0),"")</f>
        <v/>
      </c>
      <c r="F375" s="133" t="str">
        <f>IF($A375&lt;&gt;0,VLOOKUP($A375,'0.Productos'!$A$3:$GG$587,'0.Productos'!AX$1+1,0),"")</f>
        <v/>
      </c>
      <c r="G375" s="133" t="str">
        <f>IF($A375&lt;&gt;0,VLOOKUP($A375,'0.Productos'!$A$3:$GG$587,'0.Productos'!AY$1+1,0),"")</f>
        <v/>
      </c>
      <c r="H375" s="133" t="str">
        <f>IF($A375&lt;&gt;0,VLOOKUP($A375,'0.Productos'!$A$3:$GG$587,'0.Productos'!AZ$1+1,0),"")</f>
        <v/>
      </c>
      <c r="I375" s="133" t="str">
        <f>IF($A375&lt;&gt;0,VLOOKUP($A375,'0.Productos'!$A$3:$GG$587,'0.Productos'!BA$1+1,0),"")</f>
        <v/>
      </c>
      <c r="J375" s="133" t="str">
        <f>IF($A375&lt;&gt;0,VLOOKUP($A375,'0.Productos'!$A$3:$GG$587,'0.Productos'!BB$1+1,0),"")</f>
        <v/>
      </c>
      <c r="K375" s="133" t="str">
        <f>IF($A375&lt;&gt;0,VLOOKUP($A375,'0.Productos'!$A$3:$GG$587,'0.Productos'!BC$1+1,0),"")</f>
        <v/>
      </c>
      <c r="L375" s="133" t="str">
        <f>IF($A375&lt;&gt;0,VLOOKUP($A375,'0.Productos'!$A$3:$GG$587,'0.Productos'!BD$1+1,0),"")</f>
        <v/>
      </c>
      <c r="M375" s="133" t="str">
        <f>IF($A375&lt;&gt;0,VLOOKUP($A375,'0.Productos'!$A$3:$GG$587,'0.Productos'!BE$1+1,0),"")</f>
        <v/>
      </c>
      <c r="N375" s="133" t="str">
        <f>IF($A375&lt;&gt;0,VLOOKUP($A375,'0.Productos'!$A$3:$GG$587,'0.Productos'!BF$1+1,0),"")</f>
        <v/>
      </c>
      <c r="O375" s="133" t="str">
        <f>IF($A375&lt;&gt;0,VLOOKUP($A375,'0.Productos'!$A$3:$GG$587,'0.Productos'!BG$1+1,0),"")</f>
        <v/>
      </c>
      <c r="P375" s="133" t="str">
        <f>IF($A375&lt;&gt;0,VLOOKUP($A375,'0.Productos'!$A$3:$GG$587,'0.Productos'!BH$1+1,0),"")</f>
        <v/>
      </c>
      <c r="Q375" s="133" t="str">
        <f>IF($A375&lt;&gt;0,VLOOKUP($A375,'0.Productos'!$A$3:$GG$587,'0.Productos'!BI$1+1,0),"")</f>
        <v/>
      </c>
      <c r="R375" s="133" t="str">
        <f>IF($A375&lt;&gt;0,VLOOKUP($A375,'0.Productos'!$A$3:$GG$587,'0.Productos'!BJ$1+1,0),"")</f>
        <v/>
      </c>
      <c r="S375" s="133" t="str">
        <f>IF($A375&lt;&gt;0,VLOOKUP($A375,'0.Productos'!$A$3:$GG$587,'0.Productos'!BK$1+1,0),"")</f>
        <v/>
      </c>
      <c r="T375" s="133" t="str">
        <f>IF($A375&lt;&gt;0,VLOOKUP($A375,'0.Productos'!$A$3:$GG$587,'0.Productos'!BL$1+1,0),"")</f>
        <v/>
      </c>
      <c r="U375" s="133" t="str">
        <f>IF($A375&lt;&gt;0,VLOOKUP($A375,'0.Productos'!$A$3:$GG$587,'0.Productos'!BM$1+1,0),"")</f>
        <v/>
      </c>
      <c r="V375" s="133" t="str">
        <f>IF($A375&lt;&gt;0,VLOOKUP($A375,'0.Productos'!$A$3:$GG$587,'0.Productos'!BN$1+1,0),"")</f>
        <v/>
      </c>
      <c r="W375" s="133" t="str">
        <f>IF($A375&lt;&gt;0,VLOOKUP($A375,'0.Productos'!$A$3:$GG$587,'0.Productos'!BO$1+1,0),"")</f>
        <v/>
      </c>
      <c r="X375" s="133" t="str">
        <f>IF($A375&lt;&gt;0,VLOOKUP($A375,'0.Productos'!$A$3:$GG$587,'0.Productos'!BP$1+1,0),"")</f>
        <v/>
      </c>
      <c r="Y375" s="133" t="str">
        <f>IF($A375&lt;&gt;0,VLOOKUP($A375,'0.Productos'!$A$3:$GG$587,'0.Productos'!BQ$1+1,0),"")</f>
        <v/>
      </c>
      <c r="Z375" s="133" t="str">
        <f>IF($A375&lt;&gt;0,VLOOKUP($A375,'0.Productos'!$A$3:$GG$587,'0.Productos'!BR$1+1,0),"")</f>
        <v/>
      </c>
      <c r="AA375" s="133" t="str">
        <f>IF($A375&lt;&gt;0,VLOOKUP($A375,'0.Productos'!$A$3:$GG$587,'0.Productos'!BS$1+1,0),"")</f>
        <v/>
      </c>
      <c r="AB375" s="133" t="str">
        <f>IF($A375&lt;&gt;0,VLOOKUP($A375,'0.Productos'!$A$3:$GG$587,'0.Productos'!BT$1+1,0),"")</f>
        <v/>
      </c>
      <c r="AC375" s="133" t="str">
        <f>IF($A375&lt;&gt;0,VLOOKUP($A375,'0.Productos'!$A$3:$GG$587,'0.Productos'!BU$1+1,0),"")</f>
        <v/>
      </c>
      <c r="AD375" s="133" t="str">
        <f>IF($A375&lt;&gt;0,VLOOKUP($A375,'0.Productos'!$A$3:$GG$587,'0.Productos'!BV$1+1,0),"")</f>
        <v/>
      </c>
      <c r="AE375" s="133" t="str">
        <f>IF($A375&lt;&gt;0,VLOOKUP($A375,'0.Productos'!$A$3:$GG$587,'0.Productos'!BW$1+1,0),"")</f>
        <v/>
      </c>
      <c r="AF375" s="133" t="str">
        <f>IF($A375&lt;&gt;0,VLOOKUP($A375,'0.Productos'!$A$3:$GG$587,'0.Productos'!BX$1+1,0),"")</f>
        <v/>
      </c>
      <c r="AG375" s="133" t="str">
        <f>IF($A375&lt;&gt;0,VLOOKUP($A375,'0.Productos'!$A$3:$GG$587,'0.Productos'!BY$1+1,0),"")</f>
        <v/>
      </c>
      <c r="AH375" s="133" t="str">
        <f>IF($A375&lt;&gt;0,VLOOKUP($A375,'0.Productos'!$A$3:$GG$587,'0.Productos'!BZ$1+1,0),"")</f>
        <v/>
      </c>
      <c r="AI375" s="133" t="str">
        <f>IF($A375&lt;&gt;0,VLOOKUP($A375,'0.Productos'!$A$3:$GG$587,'0.Productos'!CA$1+1,0),"")</f>
        <v/>
      </c>
      <c r="AJ375" s="133" t="str">
        <f>IF($A375&lt;&gt;0,VLOOKUP($A375,'0.Productos'!$A$3:$GG$587,'0.Productos'!CB$1+1,0),"")</f>
        <v/>
      </c>
      <c r="AK375" s="133" t="str">
        <f>IF($A375&lt;&gt;0,VLOOKUP($A375,'0.Productos'!$A$3:$GG$587,'0.Productos'!CC$1+1,0),"")</f>
        <v/>
      </c>
      <c r="AL375" s="133" t="str">
        <f>IF($A375&lt;&gt;0,VLOOKUP($A375,'0.Productos'!$A$3:$GG$587,'0.Productos'!CD$1+1,0),"")</f>
        <v/>
      </c>
      <c r="AM375" s="133" t="str">
        <f>IF($A375&lt;&gt;0,VLOOKUP($A375,'0.Productos'!$A$3:$GG$587,'0.Productos'!CE$1+1,0),"")</f>
        <v/>
      </c>
      <c r="AN375" s="133" t="str">
        <f>IF($A375&lt;&gt;0,VLOOKUP($A375,'0.Productos'!$A$3:$GG$587,'0.Productos'!CF$1+1,0),"")</f>
        <v/>
      </c>
      <c r="AO375" s="133" t="str">
        <f>IF($A375&lt;&gt;0,VLOOKUP($A375,'0.Productos'!$A$3:$GG$587,'0.Productos'!CG$1+1,0),"")</f>
        <v/>
      </c>
      <c r="AP375" s="133" t="str">
        <f>IF($A375&lt;&gt;0,VLOOKUP($A375,'0.Productos'!$A$3:$GG$587,'0.Productos'!CH$1+1,0),"")</f>
        <v/>
      </c>
      <c r="AQ375" s="133" t="str">
        <f>IF($A375&lt;&gt;0,VLOOKUP($A375,'0.Productos'!$A$3:$GG$587,'0.Productos'!CI$1+1,0),"")</f>
        <v/>
      </c>
      <c r="AR375" s="133" t="str">
        <f>IF($A375&lt;&gt;0,VLOOKUP($A375,'0.Productos'!$A$3:$GG$587,'0.Productos'!CJ$1+1,0),"")</f>
        <v/>
      </c>
      <c r="AS375" s="133" t="str">
        <f>IF($A375&lt;&gt;0,VLOOKUP($A375,'0.Productos'!$A$3:$GG$587,'0.Productos'!CK$1+1,0),"")</f>
        <v/>
      </c>
      <c r="AT375" s="133" t="str">
        <f>IF($A375&lt;&gt;0,VLOOKUP($A375,'0.Productos'!$A$3:$GG$587,'0.Productos'!CL$1+1,0),"")</f>
        <v/>
      </c>
      <c r="AU375" s="133" t="str">
        <f>IF($A375&lt;&gt;0,VLOOKUP($A375,'0.Productos'!$A$3:$GG$587,'0.Productos'!CM$1+1,0),"")</f>
        <v/>
      </c>
      <c r="AV375" s="133" t="str">
        <f>IF($A375&lt;&gt;0,VLOOKUP($A375,'0.Productos'!$A$3:$GG$587,'0.Productos'!CN$1+1,0),"")</f>
        <v/>
      </c>
      <c r="AW375" s="133" t="str">
        <f>IF($A375&lt;&gt;0,VLOOKUP($A375,'0.Productos'!$A$3:$GG$587,'0.Productos'!CO$1+1,0),"")</f>
        <v/>
      </c>
      <c r="AX375" s="133" t="str">
        <f>IF($A375&lt;&gt;0,VLOOKUP($A375,'0.Productos'!$A$3:$GG$587,'0.Productos'!CP$1+1,0),"")</f>
        <v/>
      </c>
      <c r="AY375" s="133" t="str">
        <f>IF($A375&lt;&gt;0,VLOOKUP($A375,'0.Productos'!$A$3:$GG$587,'0.Productos'!CQ$1+1,0),"")</f>
        <v/>
      </c>
      <c r="AZ375" s="133" t="str">
        <f>IF($A375&lt;&gt;0,VLOOKUP($A375,'0.Productos'!$A$3:$GG$587,'0.Productos'!CR$1+1,0),"")</f>
        <v/>
      </c>
      <c r="BA375" s="133" t="str">
        <f>IF($A375&lt;&gt;0,VLOOKUP($A375,'0.Productos'!$A$3:$GG$587,'0.Productos'!CS$1+1,0),"")</f>
        <v/>
      </c>
      <c r="BB375" s="133" t="str">
        <f>IF($A375&lt;&gt;0,VLOOKUP($A375,'0.Productos'!$A$3:$GG$587,'0.Productos'!CT$1+1,0),"")</f>
        <v/>
      </c>
      <c r="BC375" s="133" t="str">
        <f>IF($A375&lt;&gt;0,VLOOKUP($A375,'0.Productos'!$A$3:$GG$587,'0.Productos'!CU$1+1,0),"")</f>
        <v/>
      </c>
      <c r="BD375" s="133" t="str">
        <f>IF($A375&lt;&gt;0,VLOOKUP($A375,'0.Productos'!$A$3:$GG$587,'0.Productos'!CV$1+1,0),"")</f>
        <v/>
      </c>
      <c r="BE375" s="133" t="str">
        <f>IF($A375&lt;&gt;0,VLOOKUP($A375,'0.Productos'!$A$3:$GG$587,'0.Productos'!CW$1+1,0),"")</f>
        <v/>
      </c>
      <c r="BF375" s="133" t="str">
        <f>IF($A375&lt;&gt;0,VLOOKUP($A375,'0.Productos'!$A$3:$GG$587,'0.Productos'!CX$1+1,0),"")</f>
        <v/>
      </c>
      <c r="BG375" s="133" t="str">
        <f>IF($A375&lt;&gt;0,VLOOKUP($A375,'0.Productos'!$A$3:$GG$587,'0.Productos'!CY$1+1,0),"")</f>
        <v/>
      </c>
      <c r="BH375" s="133" t="str">
        <f>IF($A375&lt;&gt;0,VLOOKUP($A375,'0.Productos'!$A$3:$GG$587,'0.Productos'!CZ$1+1,0),"")</f>
        <v/>
      </c>
      <c r="BI375" s="133" t="str">
        <f>IF($A375&lt;&gt;0,VLOOKUP($A375,'0.Productos'!$A$3:$GG$587,'0.Productos'!DA$1+1,0),"")</f>
        <v/>
      </c>
      <c r="BJ375" s="133" t="str">
        <f>IF($A375&lt;&gt;0,VLOOKUP($A375,'0.Productos'!$A$3:$GG$587,'0.Productos'!DB$1+1,0),"")</f>
        <v/>
      </c>
      <c r="BK375" s="133" t="str">
        <f>IF($A375&lt;&gt;0,VLOOKUP($A375,'0.Productos'!$A$3:$GG$587,'0.Productos'!DC$1+1,0),"")</f>
        <v/>
      </c>
      <c r="BL375" s="133" t="str">
        <f>IF($A375&lt;&gt;0,VLOOKUP($A375,'0.Productos'!$A$3:$GG$587,'0.Productos'!DD$1+1,0),"")</f>
        <v/>
      </c>
      <c r="BM375" s="133" t="str">
        <f>IF($A375&lt;&gt;0,VLOOKUP($A375,'0.Productos'!$A$3:$GG$587,'0.Productos'!DE$1+1,0),"")</f>
        <v/>
      </c>
      <c r="BN375" s="133" t="str">
        <f>IF($A375&lt;&gt;0,VLOOKUP($A375,'0.Productos'!$A$3:$GG$587,'0.Productos'!DF$1+1,0),"")</f>
        <v/>
      </c>
      <c r="BO375" s="133" t="str">
        <f>IF($A375&lt;&gt;0,VLOOKUP($A375,'0.Productos'!$A$3:$GG$587,'0.Productos'!DG$1+1,0),"")</f>
        <v/>
      </c>
      <c r="BP375" s="133" t="str">
        <f>IF($A375&lt;&gt;0,VLOOKUP($A375,'0.Productos'!$A$3:$GG$587,'0.Productos'!DH$1+1,0),"")</f>
        <v/>
      </c>
      <c r="BQ375" s="133" t="str">
        <f>IF($A375&lt;&gt;0,VLOOKUP($A375,'0.Productos'!$A$3:$GG$587,'0.Productos'!DI$1+1,0),"")</f>
        <v/>
      </c>
      <c r="BR375" s="133" t="str">
        <f>IF($A375&lt;&gt;0,VLOOKUP($A375,'0.Productos'!$A$3:$GG$587,'0.Productos'!DJ$1+1,0),"")</f>
        <v/>
      </c>
      <c r="BS375" s="133" t="str">
        <f>IF($A375&lt;&gt;0,VLOOKUP($A375,'0.Productos'!$A$3:$GG$587,'0.Productos'!DK$1+1,0),"")</f>
        <v/>
      </c>
      <c r="BT375" s="133" t="str">
        <f>IF($A375&lt;&gt;0,VLOOKUP($A375,'0.Productos'!$A$3:$GG$587,'0.Productos'!DL$1+1,0),"")</f>
        <v/>
      </c>
    </row>
    <row r="376" spans="1:72" x14ac:dyDescent="0.25">
      <c r="A376" s="17">
        <f>'0.Consolidado general'!A376</f>
        <v>0</v>
      </c>
      <c r="B376" s="133" t="str">
        <f>IF($A376&lt;&gt;0,VLOOKUP($A376,'0.Productos'!$A$3:$GG$587,'0.Productos'!AT$1+1,0),"")</f>
        <v/>
      </c>
      <c r="C376" s="133" t="str">
        <f>IF($A376&lt;&gt;0,VLOOKUP($A376,'0.Productos'!$A$3:$GG$587,'0.Productos'!AU$1+1,0),"")</f>
        <v/>
      </c>
      <c r="D376" s="133" t="str">
        <f>IF($A376&lt;&gt;0,VLOOKUP($A376,'0.Productos'!$A$3:$GG$587,'0.Productos'!AV$1+1,0),"")</f>
        <v/>
      </c>
      <c r="E376" s="133" t="str">
        <f>IF($A376&lt;&gt;0,VLOOKUP($A376,'0.Productos'!$A$3:$GG$587,'0.Productos'!AW$1+1,0),"")</f>
        <v/>
      </c>
      <c r="F376" s="133" t="str">
        <f>IF($A376&lt;&gt;0,VLOOKUP($A376,'0.Productos'!$A$3:$GG$587,'0.Productos'!AX$1+1,0),"")</f>
        <v/>
      </c>
      <c r="G376" s="133" t="str">
        <f>IF($A376&lt;&gt;0,VLOOKUP($A376,'0.Productos'!$A$3:$GG$587,'0.Productos'!AY$1+1,0),"")</f>
        <v/>
      </c>
      <c r="H376" s="133" t="str">
        <f>IF($A376&lt;&gt;0,VLOOKUP($A376,'0.Productos'!$A$3:$GG$587,'0.Productos'!AZ$1+1,0),"")</f>
        <v/>
      </c>
      <c r="I376" s="133" t="str">
        <f>IF($A376&lt;&gt;0,VLOOKUP($A376,'0.Productos'!$A$3:$GG$587,'0.Productos'!BA$1+1,0),"")</f>
        <v/>
      </c>
      <c r="J376" s="133" t="str">
        <f>IF($A376&lt;&gt;0,VLOOKUP($A376,'0.Productos'!$A$3:$GG$587,'0.Productos'!BB$1+1,0),"")</f>
        <v/>
      </c>
      <c r="K376" s="133" t="str">
        <f>IF($A376&lt;&gt;0,VLOOKUP($A376,'0.Productos'!$A$3:$GG$587,'0.Productos'!BC$1+1,0),"")</f>
        <v/>
      </c>
      <c r="L376" s="133" t="str">
        <f>IF($A376&lt;&gt;0,VLOOKUP($A376,'0.Productos'!$A$3:$GG$587,'0.Productos'!BD$1+1,0),"")</f>
        <v/>
      </c>
      <c r="M376" s="133" t="str">
        <f>IF($A376&lt;&gt;0,VLOOKUP($A376,'0.Productos'!$A$3:$GG$587,'0.Productos'!BE$1+1,0),"")</f>
        <v/>
      </c>
      <c r="N376" s="133" t="str">
        <f>IF($A376&lt;&gt;0,VLOOKUP($A376,'0.Productos'!$A$3:$GG$587,'0.Productos'!BF$1+1,0),"")</f>
        <v/>
      </c>
      <c r="O376" s="133" t="str">
        <f>IF($A376&lt;&gt;0,VLOOKUP($A376,'0.Productos'!$A$3:$GG$587,'0.Productos'!BG$1+1,0),"")</f>
        <v/>
      </c>
      <c r="P376" s="133" t="str">
        <f>IF($A376&lt;&gt;0,VLOOKUP($A376,'0.Productos'!$A$3:$GG$587,'0.Productos'!BH$1+1,0),"")</f>
        <v/>
      </c>
      <c r="Q376" s="133" t="str">
        <f>IF($A376&lt;&gt;0,VLOOKUP($A376,'0.Productos'!$A$3:$GG$587,'0.Productos'!BI$1+1,0),"")</f>
        <v/>
      </c>
      <c r="R376" s="133" t="str">
        <f>IF($A376&lt;&gt;0,VLOOKUP($A376,'0.Productos'!$A$3:$GG$587,'0.Productos'!BJ$1+1,0),"")</f>
        <v/>
      </c>
      <c r="S376" s="133" t="str">
        <f>IF($A376&lt;&gt;0,VLOOKUP($A376,'0.Productos'!$A$3:$GG$587,'0.Productos'!BK$1+1,0),"")</f>
        <v/>
      </c>
      <c r="T376" s="133" t="str">
        <f>IF($A376&lt;&gt;0,VLOOKUP($A376,'0.Productos'!$A$3:$GG$587,'0.Productos'!BL$1+1,0),"")</f>
        <v/>
      </c>
      <c r="U376" s="133" t="str">
        <f>IF($A376&lt;&gt;0,VLOOKUP($A376,'0.Productos'!$A$3:$GG$587,'0.Productos'!BM$1+1,0),"")</f>
        <v/>
      </c>
      <c r="V376" s="133" t="str">
        <f>IF($A376&lt;&gt;0,VLOOKUP($A376,'0.Productos'!$A$3:$GG$587,'0.Productos'!BN$1+1,0),"")</f>
        <v/>
      </c>
      <c r="W376" s="133" t="str">
        <f>IF($A376&lt;&gt;0,VLOOKUP($A376,'0.Productos'!$A$3:$GG$587,'0.Productos'!BO$1+1,0),"")</f>
        <v/>
      </c>
      <c r="X376" s="133" t="str">
        <f>IF($A376&lt;&gt;0,VLOOKUP($A376,'0.Productos'!$A$3:$GG$587,'0.Productos'!BP$1+1,0),"")</f>
        <v/>
      </c>
      <c r="Y376" s="133" t="str">
        <f>IF($A376&lt;&gt;0,VLOOKUP($A376,'0.Productos'!$A$3:$GG$587,'0.Productos'!BQ$1+1,0),"")</f>
        <v/>
      </c>
      <c r="Z376" s="133" t="str">
        <f>IF($A376&lt;&gt;0,VLOOKUP($A376,'0.Productos'!$A$3:$GG$587,'0.Productos'!BR$1+1,0),"")</f>
        <v/>
      </c>
      <c r="AA376" s="133" t="str">
        <f>IF($A376&lt;&gt;0,VLOOKUP($A376,'0.Productos'!$A$3:$GG$587,'0.Productos'!BS$1+1,0),"")</f>
        <v/>
      </c>
      <c r="AB376" s="133" t="str">
        <f>IF($A376&lt;&gt;0,VLOOKUP($A376,'0.Productos'!$A$3:$GG$587,'0.Productos'!BT$1+1,0),"")</f>
        <v/>
      </c>
      <c r="AC376" s="133" t="str">
        <f>IF($A376&lt;&gt;0,VLOOKUP($A376,'0.Productos'!$A$3:$GG$587,'0.Productos'!BU$1+1,0),"")</f>
        <v/>
      </c>
      <c r="AD376" s="133" t="str">
        <f>IF($A376&lt;&gt;0,VLOOKUP($A376,'0.Productos'!$A$3:$GG$587,'0.Productos'!BV$1+1,0),"")</f>
        <v/>
      </c>
      <c r="AE376" s="133" t="str">
        <f>IF($A376&lt;&gt;0,VLOOKUP($A376,'0.Productos'!$A$3:$GG$587,'0.Productos'!BW$1+1,0),"")</f>
        <v/>
      </c>
      <c r="AF376" s="133" t="str">
        <f>IF($A376&lt;&gt;0,VLOOKUP($A376,'0.Productos'!$A$3:$GG$587,'0.Productos'!BX$1+1,0),"")</f>
        <v/>
      </c>
      <c r="AG376" s="133" t="str">
        <f>IF($A376&lt;&gt;0,VLOOKUP($A376,'0.Productos'!$A$3:$GG$587,'0.Productos'!BY$1+1,0),"")</f>
        <v/>
      </c>
      <c r="AH376" s="133" t="str">
        <f>IF($A376&lt;&gt;0,VLOOKUP($A376,'0.Productos'!$A$3:$GG$587,'0.Productos'!BZ$1+1,0),"")</f>
        <v/>
      </c>
      <c r="AI376" s="133" t="str">
        <f>IF($A376&lt;&gt;0,VLOOKUP($A376,'0.Productos'!$A$3:$GG$587,'0.Productos'!CA$1+1,0),"")</f>
        <v/>
      </c>
      <c r="AJ376" s="133" t="str">
        <f>IF($A376&lt;&gt;0,VLOOKUP($A376,'0.Productos'!$A$3:$GG$587,'0.Productos'!CB$1+1,0),"")</f>
        <v/>
      </c>
      <c r="AK376" s="133" t="str">
        <f>IF($A376&lt;&gt;0,VLOOKUP($A376,'0.Productos'!$A$3:$GG$587,'0.Productos'!CC$1+1,0),"")</f>
        <v/>
      </c>
      <c r="AL376" s="133" t="str">
        <f>IF($A376&lt;&gt;0,VLOOKUP($A376,'0.Productos'!$A$3:$GG$587,'0.Productos'!CD$1+1,0),"")</f>
        <v/>
      </c>
      <c r="AM376" s="133" t="str">
        <f>IF($A376&lt;&gt;0,VLOOKUP($A376,'0.Productos'!$A$3:$GG$587,'0.Productos'!CE$1+1,0),"")</f>
        <v/>
      </c>
      <c r="AN376" s="133" t="str">
        <f>IF($A376&lt;&gt;0,VLOOKUP($A376,'0.Productos'!$A$3:$GG$587,'0.Productos'!CF$1+1,0),"")</f>
        <v/>
      </c>
      <c r="AO376" s="133" t="str">
        <f>IF($A376&lt;&gt;0,VLOOKUP($A376,'0.Productos'!$A$3:$GG$587,'0.Productos'!CG$1+1,0),"")</f>
        <v/>
      </c>
      <c r="AP376" s="133" t="str">
        <f>IF($A376&lt;&gt;0,VLOOKUP($A376,'0.Productos'!$A$3:$GG$587,'0.Productos'!CH$1+1,0),"")</f>
        <v/>
      </c>
      <c r="AQ376" s="133" t="str">
        <f>IF($A376&lt;&gt;0,VLOOKUP($A376,'0.Productos'!$A$3:$GG$587,'0.Productos'!CI$1+1,0),"")</f>
        <v/>
      </c>
      <c r="AR376" s="133" t="str">
        <f>IF($A376&lt;&gt;0,VLOOKUP($A376,'0.Productos'!$A$3:$GG$587,'0.Productos'!CJ$1+1,0),"")</f>
        <v/>
      </c>
      <c r="AS376" s="133" t="str">
        <f>IF($A376&lt;&gt;0,VLOOKUP($A376,'0.Productos'!$A$3:$GG$587,'0.Productos'!CK$1+1,0),"")</f>
        <v/>
      </c>
      <c r="AT376" s="133" t="str">
        <f>IF($A376&lt;&gt;0,VLOOKUP($A376,'0.Productos'!$A$3:$GG$587,'0.Productos'!CL$1+1,0),"")</f>
        <v/>
      </c>
      <c r="AU376" s="133" t="str">
        <f>IF($A376&lt;&gt;0,VLOOKUP($A376,'0.Productos'!$A$3:$GG$587,'0.Productos'!CM$1+1,0),"")</f>
        <v/>
      </c>
      <c r="AV376" s="133" t="str">
        <f>IF($A376&lt;&gt;0,VLOOKUP($A376,'0.Productos'!$A$3:$GG$587,'0.Productos'!CN$1+1,0),"")</f>
        <v/>
      </c>
      <c r="AW376" s="133" t="str">
        <f>IF($A376&lt;&gt;0,VLOOKUP($A376,'0.Productos'!$A$3:$GG$587,'0.Productos'!CO$1+1,0),"")</f>
        <v/>
      </c>
      <c r="AX376" s="133" t="str">
        <f>IF($A376&lt;&gt;0,VLOOKUP($A376,'0.Productos'!$A$3:$GG$587,'0.Productos'!CP$1+1,0),"")</f>
        <v/>
      </c>
      <c r="AY376" s="133" t="str">
        <f>IF($A376&lt;&gt;0,VLOOKUP($A376,'0.Productos'!$A$3:$GG$587,'0.Productos'!CQ$1+1,0),"")</f>
        <v/>
      </c>
      <c r="AZ376" s="133" t="str">
        <f>IF($A376&lt;&gt;0,VLOOKUP($A376,'0.Productos'!$A$3:$GG$587,'0.Productos'!CR$1+1,0),"")</f>
        <v/>
      </c>
      <c r="BA376" s="133" t="str">
        <f>IF($A376&lt;&gt;0,VLOOKUP($A376,'0.Productos'!$A$3:$GG$587,'0.Productos'!CS$1+1,0),"")</f>
        <v/>
      </c>
      <c r="BB376" s="133" t="str">
        <f>IF($A376&lt;&gt;0,VLOOKUP($A376,'0.Productos'!$A$3:$GG$587,'0.Productos'!CT$1+1,0),"")</f>
        <v/>
      </c>
      <c r="BC376" s="133" t="str">
        <f>IF($A376&lt;&gt;0,VLOOKUP($A376,'0.Productos'!$A$3:$GG$587,'0.Productos'!CU$1+1,0),"")</f>
        <v/>
      </c>
      <c r="BD376" s="133" t="str">
        <f>IF($A376&lt;&gt;0,VLOOKUP($A376,'0.Productos'!$A$3:$GG$587,'0.Productos'!CV$1+1,0),"")</f>
        <v/>
      </c>
      <c r="BE376" s="133" t="str">
        <f>IF($A376&lt;&gt;0,VLOOKUP($A376,'0.Productos'!$A$3:$GG$587,'0.Productos'!CW$1+1,0),"")</f>
        <v/>
      </c>
      <c r="BF376" s="133" t="str">
        <f>IF($A376&lt;&gt;0,VLOOKUP($A376,'0.Productos'!$A$3:$GG$587,'0.Productos'!CX$1+1,0),"")</f>
        <v/>
      </c>
      <c r="BG376" s="133" t="str">
        <f>IF($A376&lt;&gt;0,VLOOKUP($A376,'0.Productos'!$A$3:$GG$587,'0.Productos'!CY$1+1,0),"")</f>
        <v/>
      </c>
      <c r="BH376" s="133" t="str">
        <f>IF($A376&lt;&gt;0,VLOOKUP($A376,'0.Productos'!$A$3:$GG$587,'0.Productos'!CZ$1+1,0),"")</f>
        <v/>
      </c>
      <c r="BI376" s="133" t="str">
        <f>IF($A376&lt;&gt;0,VLOOKUP($A376,'0.Productos'!$A$3:$GG$587,'0.Productos'!DA$1+1,0),"")</f>
        <v/>
      </c>
      <c r="BJ376" s="133" t="str">
        <f>IF($A376&lt;&gt;0,VLOOKUP($A376,'0.Productos'!$A$3:$GG$587,'0.Productos'!DB$1+1,0),"")</f>
        <v/>
      </c>
      <c r="BK376" s="133" t="str">
        <f>IF($A376&lt;&gt;0,VLOOKUP($A376,'0.Productos'!$A$3:$GG$587,'0.Productos'!DC$1+1,0),"")</f>
        <v/>
      </c>
      <c r="BL376" s="133" t="str">
        <f>IF($A376&lt;&gt;0,VLOOKUP($A376,'0.Productos'!$A$3:$GG$587,'0.Productos'!DD$1+1,0),"")</f>
        <v/>
      </c>
      <c r="BM376" s="133" t="str">
        <f>IF($A376&lt;&gt;0,VLOOKUP($A376,'0.Productos'!$A$3:$GG$587,'0.Productos'!DE$1+1,0),"")</f>
        <v/>
      </c>
      <c r="BN376" s="133" t="str">
        <f>IF($A376&lt;&gt;0,VLOOKUP($A376,'0.Productos'!$A$3:$GG$587,'0.Productos'!DF$1+1,0),"")</f>
        <v/>
      </c>
      <c r="BO376" s="133" t="str">
        <f>IF($A376&lt;&gt;0,VLOOKUP($A376,'0.Productos'!$A$3:$GG$587,'0.Productos'!DG$1+1,0),"")</f>
        <v/>
      </c>
      <c r="BP376" s="133" t="str">
        <f>IF($A376&lt;&gt;0,VLOOKUP($A376,'0.Productos'!$A$3:$GG$587,'0.Productos'!DH$1+1,0),"")</f>
        <v/>
      </c>
      <c r="BQ376" s="133" t="str">
        <f>IF($A376&lt;&gt;0,VLOOKUP($A376,'0.Productos'!$A$3:$GG$587,'0.Productos'!DI$1+1,0),"")</f>
        <v/>
      </c>
      <c r="BR376" s="133" t="str">
        <f>IF($A376&lt;&gt;0,VLOOKUP($A376,'0.Productos'!$A$3:$GG$587,'0.Productos'!DJ$1+1,0),"")</f>
        <v/>
      </c>
      <c r="BS376" s="133" t="str">
        <f>IF($A376&lt;&gt;0,VLOOKUP($A376,'0.Productos'!$A$3:$GG$587,'0.Productos'!DK$1+1,0),"")</f>
        <v/>
      </c>
      <c r="BT376" s="133" t="str">
        <f>IF($A376&lt;&gt;0,VLOOKUP($A376,'0.Productos'!$A$3:$GG$587,'0.Productos'!DL$1+1,0),"")</f>
        <v/>
      </c>
    </row>
    <row r="377" spans="1:72" x14ac:dyDescent="0.25">
      <c r="A377" s="17">
        <f>'0.Consolidado general'!A377</f>
        <v>0</v>
      </c>
      <c r="B377" s="133" t="str">
        <f>IF($A377&lt;&gt;0,VLOOKUP($A377,'0.Productos'!$A$3:$GG$587,'0.Productos'!AT$1+1,0),"")</f>
        <v/>
      </c>
      <c r="C377" s="133" t="str">
        <f>IF($A377&lt;&gt;0,VLOOKUP($A377,'0.Productos'!$A$3:$GG$587,'0.Productos'!AU$1+1,0),"")</f>
        <v/>
      </c>
      <c r="D377" s="133" t="str">
        <f>IF($A377&lt;&gt;0,VLOOKUP($A377,'0.Productos'!$A$3:$GG$587,'0.Productos'!AV$1+1,0),"")</f>
        <v/>
      </c>
      <c r="E377" s="133" t="str">
        <f>IF($A377&lt;&gt;0,VLOOKUP($A377,'0.Productos'!$A$3:$GG$587,'0.Productos'!AW$1+1,0),"")</f>
        <v/>
      </c>
      <c r="F377" s="133" t="str">
        <f>IF($A377&lt;&gt;0,VLOOKUP($A377,'0.Productos'!$A$3:$GG$587,'0.Productos'!AX$1+1,0),"")</f>
        <v/>
      </c>
      <c r="G377" s="133" t="str">
        <f>IF($A377&lt;&gt;0,VLOOKUP($A377,'0.Productos'!$A$3:$GG$587,'0.Productos'!AY$1+1,0),"")</f>
        <v/>
      </c>
      <c r="H377" s="133" t="str">
        <f>IF($A377&lt;&gt;0,VLOOKUP($A377,'0.Productos'!$A$3:$GG$587,'0.Productos'!AZ$1+1,0),"")</f>
        <v/>
      </c>
      <c r="I377" s="133" t="str">
        <f>IF($A377&lt;&gt;0,VLOOKUP($A377,'0.Productos'!$A$3:$GG$587,'0.Productos'!BA$1+1,0),"")</f>
        <v/>
      </c>
      <c r="J377" s="133" t="str">
        <f>IF($A377&lt;&gt;0,VLOOKUP($A377,'0.Productos'!$A$3:$GG$587,'0.Productos'!BB$1+1,0),"")</f>
        <v/>
      </c>
      <c r="K377" s="133" t="str">
        <f>IF($A377&lt;&gt;0,VLOOKUP($A377,'0.Productos'!$A$3:$GG$587,'0.Productos'!BC$1+1,0),"")</f>
        <v/>
      </c>
      <c r="L377" s="133" t="str">
        <f>IF($A377&lt;&gt;0,VLOOKUP($A377,'0.Productos'!$A$3:$GG$587,'0.Productos'!BD$1+1,0),"")</f>
        <v/>
      </c>
      <c r="M377" s="133" t="str">
        <f>IF($A377&lt;&gt;0,VLOOKUP($A377,'0.Productos'!$A$3:$GG$587,'0.Productos'!BE$1+1,0),"")</f>
        <v/>
      </c>
      <c r="N377" s="133" t="str">
        <f>IF($A377&lt;&gt;0,VLOOKUP($A377,'0.Productos'!$A$3:$GG$587,'0.Productos'!BF$1+1,0),"")</f>
        <v/>
      </c>
      <c r="O377" s="133" t="str">
        <f>IF($A377&lt;&gt;0,VLOOKUP($A377,'0.Productos'!$A$3:$GG$587,'0.Productos'!BG$1+1,0),"")</f>
        <v/>
      </c>
      <c r="P377" s="133" t="str">
        <f>IF($A377&lt;&gt;0,VLOOKUP($A377,'0.Productos'!$A$3:$GG$587,'0.Productos'!BH$1+1,0),"")</f>
        <v/>
      </c>
      <c r="Q377" s="133" t="str">
        <f>IF($A377&lt;&gt;0,VLOOKUP($A377,'0.Productos'!$A$3:$GG$587,'0.Productos'!BI$1+1,0),"")</f>
        <v/>
      </c>
      <c r="R377" s="133" t="str">
        <f>IF($A377&lt;&gt;0,VLOOKUP($A377,'0.Productos'!$A$3:$GG$587,'0.Productos'!BJ$1+1,0),"")</f>
        <v/>
      </c>
      <c r="S377" s="133" t="str">
        <f>IF($A377&lt;&gt;0,VLOOKUP($A377,'0.Productos'!$A$3:$GG$587,'0.Productos'!BK$1+1,0),"")</f>
        <v/>
      </c>
      <c r="T377" s="133" t="str">
        <f>IF($A377&lt;&gt;0,VLOOKUP($A377,'0.Productos'!$A$3:$GG$587,'0.Productos'!BL$1+1,0),"")</f>
        <v/>
      </c>
      <c r="U377" s="133" t="str">
        <f>IF($A377&lt;&gt;0,VLOOKUP($A377,'0.Productos'!$A$3:$GG$587,'0.Productos'!BM$1+1,0),"")</f>
        <v/>
      </c>
      <c r="V377" s="133" t="str">
        <f>IF($A377&lt;&gt;0,VLOOKUP($A377,'0.Productos'!$A$3:$GG$587,'0.Productos'!BN$1+1,0),"")</f>
        <v/>
      </c>
      <c r="W377" s="133" t="str">
        <f>IF($A377&lt;&gt;0,VLOOKUP($A377,'0.Productos'!$A$3:$GG$587,'0.Productos'!BO$1+1,0),"")</f>
        <v/>
      </c>
      <c r="X377" s="133" t="str">
        <f>IF($A377&lt;&gt;0,VLOOKUP($A377,'0.Productos'!$A$3:$GG$587,'0.Productos'!BP$1+1,0),"")</f>
        <v/>
      </c>
      <c r="Y377" s="133" t="str">
        <f>IF($A377&lt;&gt;0,VLOOKUP($A377,'0.Productos'!$A$3:$GG$587,'0.Productos'!BQ$1+1,0),"")</f>
        <v/>
      </c>
      <c r="Z377" s="133" t="str">
        <f>IF($A377&lt;&gt;0,VLOOKUP($A377,'0.Productos'!$A$3:$GG$587,'0.Productos'!BR$1+1,0),"")</f>
        <v/>
      </c>
      <c r="AA377" s="133" t="str">
        <f>IF($A377&lt;&gt;0,VLOOKUP($A377,'0.Productos'!$A$3:$GG$587,'0.Productos'!BS$1+1,0),"")</f>
        <v/>
      </c>
      <c r="AB377" s="133" t="str">
        <f>IF($A377&lt;&gt;0,VLOOKUP($A377,'0.Productos'!$A$3:$GG$587,'0.Productos'!BT$1+1,0),"")</f>
        <v/>
      </c>
      <c r="AC377" s="133" t="str">
        <f>IF($A377&lt;&gt;0,VLOOKUP($A377,'0.Productos'!$A$3:$GG$587,'0.Productos'!BU$1+1,0),"")</f>
        <v/>
      </c>
      <c r="AD377" s="133" t="str">
        <f>IF($A377&lt;&gt;0,VLOOKUP($A377,'0.Productos'!$A$3:$GG$587,'0.Productos'!BV$1+1,0),"")</f>
        <v/>
      </c>
      <c r="AE377" s="133" t="str">
        <f>IF($A377&lt;&gt;0,VLOOKUP($A377,'0.Productos'!$A$3:$GG$587,'0.Productos'!BW$1+1,0),"")</f>
        <v/>
      </c>
      <c r="AF377" s="133" t="str">
        <f>IF($A377&lt;&gt;0,VLOOKUP($A377,'0.Productos'!$A$3:$GG$587,'0.Productos'!BX$1+1,0),"")</f>
        <v/>
      </c>
      <c r="AG377" s="133" t="str">
        <f>IF($A377&lt;&gt;0,VLOOKUP($A377,'0.Productos'!$A$3:$GG$587,'0.Productos'!BY$1+1,0),"")</f>
        <v/>
      </c>
      <c r="AH377" s="133" t="str">
        <f>IF($A377&lt;&gt;0,VLOOKUP($A377,'0.Productos'!$A$3:$GG$587,'0.Productos'!BZ$1+1,0),"")</f>
        <v/>
      </c>
      <c r="AI377" s="133" t="str">
        <f>IF($A377&lt;&gt;0,VLOOKUP($A377,'0.Productos'!$A$3:$GG$587,'0.Productos'!CA$1+1,0),"")</f>
        <v/>
      </c>
      <c r="AJ377" s="133" t="str">
        <f>IF($A377&lt;&gt;0,VLOOKUP($A377,'0.Productos'!$A$3:$GG$587,'0.Productos'!CB$1+1,0),"")</f>
        <v/>
      </c>
      <c r="AK377" s="133" t="str">
        <f>IF($A377&lt;&gt;0,VLOOKUP($A377,'0.Productos'!$A$3:$GG$587,'0.Productos'!CC$1+1,0),"")</f>
        <v/>
      </c>
      <c r="AL377" s="133" t="str">
        <f>IF($A377&lt;&gt;0,VLOOKUP($A377,'0.Productos'!$A$3:$GG$587,'0.Productos'!CD$1+1,0),"")</f>
        <v/>
      </c>
      <c r="AM377" s="133" t="str">
        <f>IF($A377&lt;&gt;0,VLOOKUP($A377,'0.Productos'!$A$3:$GG$587,'0.Productos'!CE$1+1,0),"")</f>
        <v/>
      </c>
      <c r="AN377" s="133" t="str">
        <f>IF($A377&lt;&gt;0,VLOOKUP($A377,'0.Productos'!$A$3:$GG$587,'0.Productos'!CF$1+1,0),"")</f>
        <v/>
      </c>
      <c r="AO377" s="133" t="str">
        <f>IF($A377&lt;&gt;0,VLOOKUP($A377,'0.Productos'!$A$3:$GG$587,'0.Productos'!CG$1+1,0),"")</f>
        <v/>
      </c>
      <c r="AP377" s="133" t="str">
        <f>IF($A377&lt;&gt;0,VLOOKUP($A377,'0.Productos'!$A$3:$GG$587,'0.Productos'!CH$1+1,0),"")</f>
        <v/>
      </c>
      <c r="AQ377" s="133" t="str">
        <f>IF($A377&lt;&gt;0,VLOOKUP($A377,'0.Productos'!$A$3:$GG$587,'0.Productos'!CI$1+1,0),"")</f>
        <v/>
      </c>
      <c r="AR377" s="133" t="str">
        <f>IF($A377&lt;&gt;0,VLOOKUP($A377,'0.Productos'!$A$3:$GG$587,'0.Productos'!CJ$1+1,0),"")</f>
        <v/>
      </c>
      <c r="AS377" s="133" t="str">
        <f>IF($A377&lt;&gt;0,VLOOKUP($A377,'0.Productos'!$A$3:$GG$587,'0.Productos'!CK$1+1,0),"")</f>
        <v/>
      </c>
      <c r="AT377" s="133" t="str">
        <f>IF($A377&lt;&gt;0,VLOOKUP($A377,'0.Productos'!$A$3:$GG$587,'0.Productos'!CL$1+1,0),"")</f>
        <v/>
      </c>
      <c r="AU377" s="133" t="str">
        <f>IF($A377&lt;&gt;0,VLOOKUP($A377,'0.Productos'!$A$3:$GG$587,'0.Productos'!CM$1+1,0),"")</f>
        <v/>
      </c>
      <c r="AV377" s="133" t="str">
        <f>IF($A377&lt;&gt;0,VLOOKUP($A377,'0.Productos'!$A$3:$GG$587,'0.Productos'!CN$1+1,0),"")</f>
        <v/>
      </c>
      <c r="AW377" s="133" t="str">
        <f>IF($A377&lt;&gt;0,VLOOKUP($A377,'0.Productos'!$A$3:$GG$587,'0.Productos'!CO$1+1,0),"")</f>
        <v/>
      </c>
      <c r="AX377" s="133" t="str">
        <f>IF($A377&lt;&gt;0,VLOOKUP($A377,'0.Productos'!$A$3:$GG$587,'0.Productos'!CP$1+1,0),"")</f>
        <v/>
      </c>
      <c r="AY377" s="133" t="str">
        <f>IF($A377&lt;&gt;0,VLOOKUP($A377,'0.Productos'!$A$3:$GG$587,'0.Productos'!CQ$1+1,0),"")</f>
        <v/>
      </c>
      <c r="AZ377" s="133" t="str">
        <f>IF($A377&lt;&gt;0,VLOOKUP($A377,'0.Productos'!$A$3:$GG$587,'0.Productos'!CR$1+1,0),"")</f>
        <v/>
      </c>
      <c r="BA377" s="133" t="str">
        <f>IF($A377&lt;&gt;0,VLOOKUP($A377,'0.Productos'!$A$3:$GG$587,'0.Productos'!CS$1+1,0),"")</f>
        <v/>
      </c>
      <c r="BB377" s="133" t="str">
        <f>IF($A377&lt;&gt;0,VLOOKUP($A377,'0.Productos'!$A$3:$GG$587,'0.Productos'!CT$1+1,0),"")</f>
        <v/>
      </c>
      <c r="BC377" s="133" t="str">
        <f>IF($A377&lt;&gt;0,VLOOKUP($A377,'0.Productos'!$A$3:$GG$587,'0.Productos'!CU$1+1,0),"")</f>
        <v/>
      </c>
      <c r="BD377" s="133" t="str">
        <f>IF($A377&lt;&gt;0,VLOOKUP($A377,'0.Productos'!$A$3:$GG$587,'0.Productos'!CV$1+1,0),"")</f>
        <v/>
      </c>
      <c r="BE377" s="133" t="str">
        <f>IF($A377&lt;&gt;0,VLOOKUP($A377,'0.Productos'!$A$3:$GG$587,'0.Productos'!CW$1+1,0),"")</f>
        <v/>
      </c>
      <c r="BF377" s="133" t="str">
        <f>IF($A377&lt;&gt;0,VLOOKUP($A377,'0.Productos'!$A$3:$GG$587,'0.Productos'!CX$1+1,0),"")</f>
        <v/>
      </c>
      <c r="BG377" s="133" t="str">
        <f>IF($A377&lt;&gt;0,VLOOKUP($A377,'0.Productos'!$A$3:$GG$587,'0.Productos'!CY$1+1,0),"")</f>
        <v/>
      </c>
      <c r="BH377" s="133" t="str">
        <f>IF($A377&lt;&gt;0,VLOOKUP($A377,'0.Productos'!$A$3:$GG$587,'0.Productos'!CZ$1+1,0),"")</f>
        <v/>
      </c>
      <c r="BI377" s="133" t="str">
        <f>IF($A377&lt;&gt;0,VLOOKUP($A377,'0.Productos'!$A$3:$GG$587,'0.Productos'!DA$1+1,0),"")</f>
        <v/>
      </c>
      <c r="BJ377" s="133" t="str">
        <f>IF($A377&lt;&gt;0,VLOOKUP($A377,'0.Productos'!$A$3:$GG$587,'0.Productos'!DB$1+1,0),"")</f>
        <v/>
      </c>
      <c r="BK377" s="133" t="str">
        <f>IF($A377&lt;&gt;0,VLOOKUP($A377,'0.Productos'!$A$3:$GG$587,'0.Productos'!DC$1+1,0),"")</f>
        <v/>
      </c>
      <c r="BL377" s="133" t="str">
        <f>IF($A377&lt;&gt;0,VLOOKUP($A377,'0.Productos'!$A$3:$GG$587,'0.Productos'!DD$1+1,0),"")</f>
        <v/>
      </c>
      <c r="BM377" s="133" t="str">
        <f>IF($A377&lt;&gt;0,VLOOKUP($A377,'0.Productos'!$A$3:$GG$587,'0.Productos'!DE$1+1,0),"")</f>
        <v/>
      </c>
      <c r="BN377" s="133" t="str">
        <f>IF($A377&lt;&gt;0,VLOOKUP($A377,'0.Productos'!$A$3:$GG$587,'0.Productos'!DF$1+1,0),"")</f>
        <v/>
      </c>
      <c r="BO377" s="133" t="str">
        <f>IF($A377&lt;&gt;0,VLOOKUP($A377,'0.Productos'!$A$3:$GG$587,'0.Productos'!DG$1+1,0),"")</f>
        <v/>
      </c>
      <c r="BP377" s="133" t="str">
        <f>IF($A377&lt;&gt;0,VLOOKUP($A377,'0.Productos'!$A$3:$GG$587,'0.Productos'!DH$1+1,0),"")</f>
        <v/>
      </c>
      <c r="BQ377" s="133" t="str">
        <f>IF($A377&lt;&gt;0,VLOOKUP($A377,'0.Productos'!$A$3:$GG$587,'0.Productos'!DI$1+1,0),"")</f>
        <v/>
      </c>
      <c r="BR377" s="133" t="str">
        <f>IF($A377&lt;&gt;0,VLOOKUP($A377,'0.Productos'!$A$3:$GG$587,'0.Productos'!DJ$1+1,0),"")</f>
        <v/>
      </c>
      <c r="BS377" s="133" t="str">
        <f>IF($A377&lt;&gt;0,VLOOKUP($A377,'0.Productos'!$A$3:$GG$587,'0.Productos'!DK$1+1,0),"")</f>
        <v/>
      </c>
      <c r="BT377" s="133" t="str">
        <f>IF($A377&lt;&gt;0,VLOOKUP($A377,'0.Productos'!$A$3:$GG$587,'0.Productos'!DL$1+1,0),"")</f>
        <v/>
      </c>
    </row>
    <row r="378" spans="1:72" x14ac:dyDescent="0.25">
      <c r="A378" s="17">
        <f>'0.Consolidado general'!A378</f>
        <v>0</v>
      </c>
      <c r="B378" s="133" t="str">
        <f>IF($A378&lt;&gt;0,VLOOKUP($A378,'0.Productos'!$A$3:$GG$587,'0.Productos'!AT$1+1,0),"")</f>
        <v/>
      </c>
      <c r="C378" s="133" t="str">
        <f>IF($A378&lt;&gt;0,VLOOKUP($A378,'0.Productos'!$A$3:$GG$587,'0.Productos'!AU$1+1,0),"")</f>
        <v/>
      </c>
      <c r="D378" s="133" t="str">
        <f>IF($A378&lt;&gt;0,VLOOKUP($A378,'0.Productos'!$A$3:$GG$587,'0.Productos'!AV$1+1,0),"")</f>
        <v/>
      </c>
      <c r="E378" s="133" t="str">
        <f>IF($A378&lt;&gt;0,VLOOKUP($A378,'0.Productos'!$A$3:$GG$587,'0.Productos'!AW$1+1,0),"")</f>
        <v/>
      </c>
      <c r="F378" s="133" t="str">
        <f>IF($A378&lt;&gt;0,VLOOKUP($A378,'0.Productos'!$A$3:$GG$587,'0.Productos'!AX$1+1,0),"")</f>
        <v/>
      </c>
      <c r="G378" s="133" t="str">
        <f>IF($A378&lt;&gt;0,VLOOKUP($A378,'0.Productos'!$A$3:$GG$587,'0.Productos'!AY$1+1,0),"")</f>
        <v/>
      </c>
      <c r="H378" s="133" t="str">
        <f>IF($A378&lt;&gt;0,VLOOKUP($A378,'0.Productos'!$A$3:$GG$587,'0.Productos'!AZ$1+1,0),"")</f>
        <v/>
      </c>
      <c r="I378" s="133" t="str">
        <f>IF($A378&lt;&gt;0,VLOOKUP($A378,'0.Productos'!$A$3:$GG$587,'0.Productos'!BA$1+1,0),"")</f>
        <v/>
      </c>
      <c r="J378" s="133" t="str">
        <f>IF($A378&lt;&gt;0,VLOOKUP($A378,'0.Productos'!$A$3:$GG$587,'0.Productos'!BB$1+1,0),"")</f>
        <v/>
      </c>
      <c r="K378" s="133" t="str">
        <f>IF($A378&lt;&gt;0,VLOOKUP($A378,'0.Productos'!$A$3:$GG$587,'0.Productos'!BC$1+1,0),"")</f>
        <v/>
      </c>
      <c r="L378" s="133" t="str">
        <f>IF($A378&lt;&gt;0,VLOOKUP($A378,'0.Productos'!$A$3:$GG$587,'0.Productos'!BD$1+1,0),"")</f>
        <v/>
      </c>
      <c r="M378" s="133" t="str">
        <f>IF($A378&lt;&gt;0,VLOOKUP($A378,'0.Productos'!$A$3:$GG$587,'0.Productos'!BE$1+1,0),"")</f>
        <v/>
      </c>
      <c r="N378" s="133" t="str">
        <f>IF($A378&lt;&gt;0,VLOOKUP($A378,'0.Productos'!$A$3:$GG$587,'0.Productos'!BF$1+1,0),"")</f>
        <v/>
      </c>
      <c r="O378" s="133" t="str">
        <f>IF($A378&lt;&gt;0,VLOOKUP($A378,'0.Productos'!$A$3:$GG$587,'0.Productos'!BG$1+1,0),"")</f>
        <v/>
      </c>
      <c r="P378" s="133" t="str">
        <f>IF($A378&lt;&gt;0,VLOOKUP($A378,'0.Productos'!$A$3:$GG$587,'0.Productos'!BH$1+1,0),"")</f>
        <v/>
      </c>
      <c r="Q378" s="133" t="str">
        <f>IF($A378&lt;&gt;0,VLOOKUP($A378,'0.Productos'!$A$3:$GG$587,'0.Productos'!BI$1+1,0),"")</f>
        <v/>
      </c>
      <c r="R378" s="133" t="str">
        <f>IF($A378&lt;&gt;0,VLOOKUP($A378,'0.Productos'!$A$3:$GG$587,'0.Productos'!BJ$1+1,0),"")</f>
        <v/>
      </c>
      <c r="S378" s="133" t="str">
        <f>IF($A378&lt;&gt;0,VLOOKUP($A378,'0.Productos'!$A$3:$GG$587,'0.Productos'!BK$1+1,0),"")</f>
        <v/>
      </c>
      <c r="T378" s="133" t="str">
        <f>IF($A378&lt;&gt;0,VLOOKUP($A378,'0.Productos'!$A$3:$GG$587,'0.Productos'!BL$1+1,0),"")</f>
        <v/>
      </c>
      <c r="U378" s="133" t="str">
        <f>IF($A378&lt;&gt;0,VLOOKUP($A378,'0.Productos'!$A$3:$GG$587,'0.Productos'!BM$1+1,0),"")</f>
        <v/>
      </c>
      <c r="V378" s="133" t="str">
        <f>IF($A378&lt;&gt;0,VLOOKUP($A378,'0.Productos'!$A$3:$GG$587,'0.Productos'!BN$1+1,0),"")</f>
        <v/>
      </c>
      <c r="W378" s="133" t="str">
        <f>IF($A378&lt;&gt;0,VLOOKUP($A378,'0.Productos'!$A$3:$GG$587,'0.Productos'!BO$1+1,0),"")</f>
        <v/>
      </c>
      <c r="X378" s="133" t="str">
        <f>IF($A378&lt;&gt;0,VLOOKUP($A378,'0.Productos'!$A$3:$GG$587,'0.Productos'!BP$1+1,0),"")</f>
        <v/>
      </c>
      <c r="Y378" s="133" t="str">
        <f>IF($A378&lt;&gt;0,VLOOKUP($A378,'0.Productos'!$A$3:$GG$587,'0.Productos'!BQ$1+1,0),"")</f>
        <v/>
      </c>
      <c r="Z378" s="133" t="str">
        <f>IF($A378&lt;&gt;0,VLOOKUP($A378,'0.Productos'!$A$3:$GG$587,'0.Productos'!BR$1+1,0),"")</f>
        <v/>
      </c>
      <c r="AA378" s="133" t="str">
        <f>IF($A378&lt;&gt;0,VLOOKUP($A378,'0.Productos'!$A$3:$GG$587,'0.Productos'!BS$1+1,0),"")</f>
        <v/>
      </c>
      <c r="AB378" s="133" t="str">
        <f>IF($A378&lt;&gt;0,VLOOKUP($A378,'0.Productos'!$A$3:$GG$587,'0.Productos'!BT$1+1,0),"")</f>
        <v/>
      </c>
      <c r="AC378" s="133" t="str">
        <f>IF($A378&lt;&gt;0,VLOOKUP($A378,'0.Productos'!$A$3:$GG$587,'0.Productos'!BU$1+1,0),"")</f>
        <v/>
      </c>
      <c r="AD378" s="133" t="str">
        <f>IF($A378&lt;&gt;0,VLOOKUP($A378,'0.Productos'!$A$3:$GG$587,'0.Productos'!BV$1+1,0),"")</f>
        <v/>
      </c>
      <c r="AE378" s="133" t="str">
        <f>IF($A378&lt;&gt;0,VLOOKUP($A378,'0.Productos'!$A$3:$GG$587,'0.Productos'!BW$1+1,0),"")</f>
        <v/>
      </c>
      <c r="AF378" s="133" t="str">
        <f>IF($A378&lt;&gt;0,VLOOKUP($A378,'0.Productos'!$A$3:$GG$587,'0.Productos'!BX$1+1,0),"")</f>
        <v/>
      </c>
      <c r="AG378" s="133" t="str">
        <f>IF($A378&lt;&gt;0,VLOOKUP($A378,'0.Productos'!$A$3:$GG$587,'0.Productos'!BY$1+1,0),"")</f>
        <v/>
      </c>
      <c r="AH378" s="133" t="str">
        <f>IF($A378&lt;&gt;0,VLOOKUP($A378,'0.Productos'!$A$3:$GG$587,'0.Productos'!BZ$1+1,0),"")</f>
        <v/>
      </c>
      <c r="AI378" s="133" t="str">
        <f>IF($A378&lt;&gt;0,VLOOKUP($A378,'0.Productos'!$A$3:$GG$587,'0.Productos'!CA$1+1,0),"")</f>
        <v/>
      </c>
      <c r="AJ378" s="133" t="str">
        <f>IF($A378&lt;&gt;0,VLOOKUP($A378,'0.Productos'!$A$3:$GG$587,'0.Productos'!CB$1+1,0),"")</f>
        <v/>
      </c>
      <c r="AK378" s="133" t="str">
        <f>IF($A378&lt;&gt;0,VLOOKUP($A378,'0.Productos'!$A$3:$GG$587,'0.Productos'!CC$1+1,0),"")</f>
        <v/>
      </c>
      <c r="AL378" s="133" t="str">
        <f>IF($A378&lt;&gt;0,VLOOKUP($A378,'0.Productos'!$A$3:$GG$587,'0.Productos'!CD$1+1,0),"")</f>
        <v/>
      </c>
      <c r="AM378" s="133" t="str">
        <f>IF($A378&lt;&gt;0,VLOOKUP($A378,'0.Productos'!$A$3:$GG$587,'0.Productos'!CE$1+1,0),"")</f>
        <v/>
      </c>
      <c r="AN378" s="133" t="str">
        <f>IF($A378&lt;&gt;0,VLOOKUP($A378,'0.Productos'!$A$3:$GG$587,'0.Productos'!CF$1+1,0),"")</f>
        <v/>
      </c>
      <c r="AO378" s="133" t="str">
        <f>IF($A378&lt;&gt;0,VLOOKUP($A378,'0.Productos'!$A$3:$GG$587,'0.Productos'!CG$1+1,0),"")</f>
        <v/>
      </c>
      <c r="AP378" s="133" t="str">
        <f>IF($A378&lt;&gt;0,VLOOKUP($A378,'0.Productos'!$A$3:$GG$587,'0.Productos'!CH$1+1,0),"")</f>
        <v/>
      </c>
      <c r="AQ378" s="133" t="str">
        <f>IF($A378&lt;&gt;0,VLOOKUP($A378,'0.Productos'!$A$3:$GG$587,'0.Productos'!CI$1+1,0),"")</f>
        <v/>
      </c>
      <c r="AR378" s="133" t="str">
        <f>IF($A378&lt;&gt;0,VLOOKUP($A378,'0.Productos'!$A$3:$GG$587,'0.Productos'!CJ$1+1,0),"")</f>
        <v/>
      </c>
      <c r="AS378" s="133" t="str">
        <f>IF($A378&lt;&gt;0,VLOOKUP($A378,'0.Productos'!$A$3:$GG$587,'0.Productos'!CK$1+1,0),"")</f>
        <v/>
      </c>
      <c r="AT378" s="133" t="str">
        <f>IF($A378&lt;&gt;0,VLOOKUP($A378,'0.Productos'!$A$3:$GG$587,'0.Productos'!CL$1+1,0),"")</f>
        <v/>
      </c>
      <c r="AU378" s="133" t="str">
        <f>IF($A378&lt;&gt;0,VLOOKUP($A378,'0.Productos'!$A$3:$GG$587,'0.Productos'!CM$1+1,0),"")</f>
        <v/>
      </c>
      <c r="AV378" s="133" t="str">
        <f>IF($A378&lt;&gt;0,VLOOKUP($A378,'0.Productos'!$A$3:$GG$587,'0.Productos'!CN$1+1,0),"")</f>
        <v/>
      </c>
      <c r="AW378" s="133" t="str">
        <f>IF($A378&lt;&gt;0,VLOOKUP($A378,'0.Productos'!$A$3:$GG$587,'0.Productos'!CO$1+1,0),"")</f>
        <v/>
      </c>
      <c r="AX378" s="133" t="str">
        <f>IF($A378&lt;&gt;0,VLOOKUP($A378,'0.Productos'!$A$3:$GG$587,'0.Productos'!CP$1+1,0),"")</f>
        <v/>
      </c>
      <c r="AY378" s="133" t="str">
        <f>IF($A378&lt;&gt;0,VLOOKUP($A378,'0.Productos'!$A$3:$GG$587,'0.Productos'!CQ$1+1,0),"")</f>
        <v/>
      </c>
      <c r="AZ378" s="133" t="str">
        <f>IF($A378&lt;&gt;0,VLOOKUP($A378,'0.Productos'!$A$3:$GG$587,'0.Productos'!CR$1+1,0),"")</f>
        <v/>
      </c>
      <c r="BA378" s="133" t="str">
        <f>IF($A378&lt;&gt;0,VLOOKUP($A378,'0.Productos'!$A$3:$GG$587,'0.Productos'!CS$1+1,0),"")</f>
        <v/>
      </c>
      <c r="BB378" s="133" t="str">
        <f>IF($A378&lt;&gt;0,VLOOKUP($A378,'0.Productos'!$A$3:$GG$587,'0.Productos'!CT$1+1,0),"")</f>
        <v/>
      </c>
      <c r="BC378" s="133" t="str">
        <f>IF($A378&lt;&gt;0,VLOOKUP($A378,'0.Productos'!$A$3:$GG$587,'0.Productos'!CU$1+1,0),"")</f>
        <v/>
      </c>
      <c r="BD378" s="133" t="str">
        <f>IF($A378&lt;&gt;0,VLOOKUP($A378,'0.Productos'!$A$3:$GG$587,'0.Productos'!CV$1+1,0),"")</f>
        <v/>
      </c>
      <c r="BE378" s="133" t="str">
        <f>IF($A378&lt;&gt;0,VLOOKUP($A378,'0.Productos'!$A$3:$GG$587,'0.Productos'!CW$1+1,0),"")</f>
        <v/>
      </c>
      <c r="BF378" s="133" t="str">
        <f>IF($A378&lt;&gt;0,VLOOKUP($A378,'0.Productos'!$A$3:$GG$587,'0.Productos'!CX$1+1,0),"")</f>
        <v/>
      </c>
      <c r="BG378" s="133" t="str">
        <f>IF($A378&lt;&gt;0,VLOOKUP($A378,'0.Productos'!$A$3:$GG$587,'0.Productos'!CY$1+1,0),"")</f>
        <v/>
      </c>
      <c r="BH378" s="133" t="str">
        <f>IF($A378&lt;&gt;0,VLOOKUP($A378,'0.Productos'!$A$3:$GG$587,'0.Productos'!CZ$1+1,0),"")</f>
        <v/>
      </c>
      <c r="BI378" s="133" t="str">
        <f>IF($A378&lt;&gt;0,VLOOKUP($A378,'0.Productos'!$A$3:$GG$587,'0.Productos'!DA$1+1,0),"")</f>
        <v/>
      </c>
      <c r="BJ378" s="133" t="str">
        <f>IF($A378&lt;&gt;0,VLOOKUP($A378,'0.Productos'!$A$3:$GG$587,'0.Productos'!DB$1+1,0),"")</f>
        <v/>
      </c>
      <c r="BK378" s="133" t="str">
        <f>IF($A378&lt;&gt;0,VLOOKUP($A378,'0.Productos'!$A$3:$GG$587,'0.Productos'!DC$1+1,0),"")</f>
        <v/>
      </c>
      <c r="BL378" s="133" t="str">
        <f>IF($A378&lt;&gt;0,VLOOKUP($A378,'0.Productos'!$A$3:$GG$587,'0.Productos'!DD$1+1,0),"")</f>
        <v/>
      </c>
      <c r="BM378" s="133" t="str">
        <f>IF($A378&lt;&gt;0,VLOOKUP($A378,'0.Productos'!$A$3:$GG$587,'0.Productos'!DE$1+1,0),"")</f>
        <v/>
      </c>
      <c r="BN378" s="133" t="str">
        <f>IF($A378&lt;&gt;0,VLOOKUP($A378,'0.Productos'!$A$3:$GG$587,'0.Productos'!DF$1+1,0),"")</f>
        <v/>
      </c>
      <c r="BO378" s="133" t="str">
        <f>IF($A378&lt;&gt;0,VLOOKUP($A378,'0.Productos'!$A$3:$GG$587,'0.Productos'!DG$1+1,0),"")</f>
        <v/>
      </c>
      <c r="BP378" s="133" t="str">
        <f>IF($A378&lt;&gt;0,VLOOKUP($A378,'0.Productos'!$A$3:$GG$587,'0.Productos'!DH$1+1,0),"")</f>
        <v/>
      </c>
      <c r="BQ378" s="133" t="str">
        <f>IF($A378&lt;&gt;0,VLOOKUP($A378,'0.Productos'!$A$3:$GG$587,'0.Productos'!DI$1+1,0),"")</f>
        <v/>
      </c>
      <c r="BR378" s="133" t="str">
        <f>IF($A378&lt;&gt;0,VLOOKUP($A378,'0.Productos'!$A$3:$GG$587,'0.Productos'!DJ$1+1,0),"")</f>
        <v/>
      </c>
      <c r="BS378" s="133" t="str">
        <f>IF($A378&lt;&gt;0,VLOOKUP($A378,'0.Productos'!$A$3:$GG$587,'0.Productos'!DK$1+1,0),"")</f>
        <v/>
      </c>
      <c r="BT378" s="133" t="str">
        <f>IF($A378&lt;&gt;0,VLOOKUP($A378,'0.Productos'!$A$3:$GG$587,'0.Productos'!DL$1+1,0),"")</f>
        <v/>
      </c>
    </row>
    <row r="379" spans="1:72" x14ac:dyDescent="0.25">
      <c r="A379" s="17">
        <f>'0.Consolidado general'!A379</f>
        <v>0</v>
      </c>
      <c r="B379" s="133" t="str">
        <f>IF($A379&lt;&gt;0,VLOOKUP($A379,'0.Productos'!$A$3:$GG$587,'0.Productos'!AT$1+1,0),"")</f>
        <v/>
      </c>
      <c r="C379" s="133" t="str">
        <f>IF($A379&lt;&gt;0,VLOOKUP($A379,'0.Productos'!$A$3:$GG$587,'0.Productos'!AU$1+1,0),"")</f>
        <v/>
      </c>
      <c r="D379" s="133" t="str">
        <f>IF($A379&lt;&gt;0,VLOOKUP($A379,'0.Productos'!$A$3:$GG$587,'0.Productos'!AV$1+1,0),"")</f>
        <v/>
      </c>
      <c r="E379" s="133" t="str">
        <f>IF($A379&lt;&gt;0,VLOOKUP($A379,'0.Productos'!$A$3:$GG$587,'0.Productos'!AW$1+1,0),"")</f>
        <v/>
      </c>
      <c r="F379" s="133" t="str">
        <f>IF($A379&lt;&gt;0,VLOOKUP($A379,'0.Productos'!$A$3:$GG$587,'0.Productos'!AX$1+1,0),"")</f>
        <v/>
      </c>
      <c r="G379" s="133" t="str">
        <f>IF($A379&lt;&gt;0,VLOOKUP($A379,'0.Productos'!$A$3:$GG$587,'0.Productos'!AY$1+1,0),"")</f>
        <v/>
      </c>
      <c r="H379" s="133" t="str">
        <f>IF($A379&lt;&gt;0,VLOOKUP($A379,'0.Productos'!$A$3:$GG$587,'0.Productos'!AZ$1+1,0),"")</f>
        <v/>
      </c>
      <c r="I379" s="133" t="str">
        <f>IF($A379&lt;&gt;0,VLOOKUP($A379,'0.Productos'!$A$3:$GG$587,'0.Productos'!BA$1+1,0),"")</f>
        <v/>
      </c>
      <c r="J379" s="133" t="str">
        <f>IF($A379&lt;&gt;0,VLOOKUP($A379,'0.Productos'!$A$3:$GG$587,'0.Productos'!BB$1+1,0),"")</f>
        <v/>
      </c>
      <c r="K379" s="133" t="str">
        <f>IF($A379&lt;&gt;0,VLOOKUP($A379,'0.Productos'!$A$3:$GG$587,'0.Productos'!BC$1+1,0),"")</f>
        <v/>
      </c>
      <c r="L379" s="133" t="str">
        <f>IF($A379&lt;&gt;0,VLOOKUP($A379,'0.Productos'!$A$3:$GG$587,'0.Productos'!BD$1+1,0),"")</f>
        <v/>
      </c>
      <c r="M379" s="133" t="str">
        <f>IF($A379&lt;&gt;0,VLOOKUP($A379,'0.Productos'!$A$3:$GG$587,'0.Productos'!BE$1+1,0),"")</f>
        <v/>
      </c>
      <c r="N379" s="133" t="str">
        <f>IF($A379&lt;&gt;0,VLOOKUP($A379,'0.Productos'!$A$3:$GG$587,'0.Productos'!BF$1+1,0),"")</f>
        <v/>
      </c>
      <c r="O379" s="133" t="str">
        <f>IF($A379&lt;&gt;0,VLOOKUP($A379,'0.Productos'!$A$3:$GG$587,'0.Productos'!BG$1+1,0),"")</f>
        <v/>
      </c>
      <c r="P379" s="133" t="str">
        <f>IF($A379&lt;&gt;0,VLOOKUP($A379,'0.Productos'!$A$3:$GG$587,'0.Productos'!BH$1+1,0),"")</f>
        <v/>
      </c>
      <c r="Q379" s="133" t="str">
        <f>IF($A379&lt;&gt;0,VLOOKUP($A379,'0.Productos'!$A$3:$GG$587,'0.Productos'!BI$1+1,0),"")</f>
        <v/>
      </c>
      <c r="R379" s="133" t="str">
        <f>IF($A379&lt;&gt;0,VLOOKUP($A379,'0.Productos'!$A$3:$GG$587,'0.Productos'!BJ$1+1,0),"")</f>
        <v/>
      </c>
      <c r="S379" s="133" t="str">
        <f>IF($A379&lt;&gt;0,VLOOKUP($A379,'0.Productos'!$A$3:$GG$587,'0.Productos'!BK$1+1,0),"")</f>
        <v/>
      </c>
      <c r="T379" s="133" t="str">
        <f>IF($A379&lt;&gt;0,VLOOKUP($A379,'0.Productos'!$A$3:$GG$587,'0.Productos'!BL$1+1,0),"")</f>
        <v/>
      </c>
      <c r="U379" s="133" t="str">
        <f>IF($A379&lt;&gt;0,VLOOKUP($A379,'0.Productos'!$A$3:$GG$587,'0.Productos'!BM$1+1,0),"")</f>
        <v/>
      </c>
      <c r="V379" s="133" t="str">
        <f>IF($A379&lt;&gt;0,VLOOKUP($A379,'0.Productos'!$A$3:$GG$587,'0.Productos'!BN$1+1,0),"")</f>
        <v/>
      </c>
      <c r="W379" s="133" t="str">
        <f>IF($A379&lt;&gt;0,VLOOKUP($A379,'0.Productos'!$A$3:$GG$587,'0.Productos'!BO$1+1,0),"")</f>
        <v/>
      </c>
      <c r="X379" s="133" t="str">
        <f>IF($A379&lt;&gt;0,VLOOKUP($A379,'0.Productos'!$A$3:$GG$587,'0.Productos'!BP$1+1,0),"")</f>
        <v/>
      </c>
      <c r="Y379" s="133" t="str">
        <f>IF($A379&lt;&gt;0,VLOOKUP($A379,'0.Productos'!$A$3:$GG$587,'0.Productos'!BQ$1+1,0),"")</f>
        <v/>
      </c>
      <c r="Z379" s="133" t="str">
        <f>IF($A379&lt;&gt;0,VLOOKUP($A379,'0.Productos'!$A$3:$GG$587,'0.Productos'!BR$1+1,0),"")</f>
        <v/>
      </c>
      <c r="AA379" s="133" t="str">
        <f>IF($A379&lt;&gt;0,VLOOKUP($A379,'0.Productos'!$A$3:$GG$587,'0.Productos'!BS$1+1,0),"")</f>
        <v/>
      </c>
      <c r="AB379" s="133" t="str">
        <f>IF($A379&lt;&gt;0,VLOOKUP($A379,'0.Productos'!$A$3:$GG$587,'0.Productos'!BT$1+1,0),"")</f>
        <v/>
      </c>
      <c r="AC379" s="133" t="str">
        <f>IF($A379&lt;&gt;0,VLOOKUP($A379,'0.Productos'!$A$3:$GG$587,'0.Productos'!BU$1+1,0),"")</f>
        <v/>
      </c>
      <c r="AD379" s="133" t="str">
        <f>IF($A379&lt;&gt;0,VLOOKUP($A379,'0.Productos'!$A$3:$GG$587,'0.Productos'!BV$1+1,0),"")</f>
        <v/>
      </c>
      <c r="AE379" s="133" t="str">
        <f>IF($A379&lt;&gt;0,VLOOKUP($A379,'0.Productos'!$A$3:$GG$587,'0.Productos'!BW$1+1,0),"")</f>
        <v/>
      </c>
      <c r="AF379" s="133" t="str">
        <f>IF($A379&lt;&gt;0,VLOOKUP($A379,'0.Productos'!$A$3:$GG$587,'0.Productos'!BX$1+1,0),"")</f>
        <v/>
      </c>
      <c r="AG379" s="133" t="str">
        <f>IF($A379&lt;&gt;0,VLOOKUP($A379,'0.Productos'!$A$3:$GG$587,'0.Productos'!BY$1+1,0),"")</f>
        <v/>
      </c>
      <c r="AH379" s="133" t="str">
        <f>IF($A379&lt;&gt;0,VLOOKUP($A379,'0.Productos'!$A$3:$GG$587,'0.Productos'!BZ$1+1,0),"")</f>
        <v/>
      </c>
      <c r="AI379" s="133" t="str">
        <f>IF($A379&lt;&gt;0,VLOOKUP($A379,'0.Productos'!$A$3:$GG$587,'0.Productos'!CA$1+1,0),"")</f>
        <v/>
      </c>
      <c r="AJ379" s="133" t="str">
        <f>IF($A379&lt;&gt;0,VLOOKUP($A379,'0.Productos'!$A$3:$GG$587,'0.Productos'!CB$1+1,0),"")</f>
        <v/>
      </c>
      <c r="AK379" s="133" t="str">
        <f>IF($A379&lt;&gt;0,VLOOKUP($A379,'0.Productos'!$A$3:$GG$587,'0.Productos'!CC$1+1,0),"")</f>
        <v/>
      </c>
      <c r="AL379" s="133" t="str">
        <f>IF($A379&lt;&gt;0,VLOOKUP($A379,'0.Productos'!$A$3:$GG$587,'0.Productos'!CD$1+1,0),"")</f>
        <v/>
      </c>
      <c r="AM379" s="133" t="str">
        <f>IF($A379&lt;&gt;0,VLOOKUP($A379,'0.Productos'!$A$3:$GG$587,'0.Productos'!CE$1+1,0),"")</f>
        <v/>
      </c>
      <c r="AN379" s="133" t="str">
        <f>IF($A379&lt;&gt;0,VLOOKUP($A379,'0.Productos'!$A$3:$GG$587,'0.Productos'!CF$1+1,0),"")</f>
        <v/>
      </c>
      <c r="AO379" s="133" t="str">
        <f>IF($A379&lt;&gt;0,VLOOKUP($A379,'0.Productos'!$A$3:$GG$587,'0.Productos'!CG$1+1,0),"")</f>
        <v/>
      </c>
      <c r="AP379" s="133" t="str">
        <f>IF($A379&lt;&gt;0,VLOOKUP($A379,'0.Productos'!$A$3:$GG$587,'0.Productos'!CH$1+1,0),"")</f>
        <v/>
      </c>
      <c r="AQ379" s="133" t="str">
        <f>IF($A379&lt;&gt;0,VLOOKUP($A379,'0.Productos'!$A$3:$GG$587,'0.Productos'!CI$1+1,0),"")</f>
        <v/>
      </c>
      <c r="AR379" s="133" t="str">
        <f>IF($A379&lt;&gt;0,VLOOKUP($A379,'0.Productos'!$A$3:$GG$587,'0.Productos'!CJ$1+1,0),"")</f>
        <v/>
      </c>
      <c r="AS379" s="133" t="str">
        <f>IF($A379&lt;&gt;0,VLOOKUP($A379,'0.Productos'!$A$3:$GG$587,'0.Productos'!CK$1+1,0),"")</f>
        <v/>
      </c>
      <c r="AT379" s="133" t="str">
        <f>IF($A379&lt;&gt;0,VLOOKUP($A379,'0.Productos'!$A$3:$GG$587,'0.Productos'!CL$1+1,0),"")</f>
        <v/>
      </c>
      <c r="AU379" s="133" t="str">
        <f>IF($A379&lt;&gt;0,VLOOKUP($A379,'0.Productos'!$A$3:$GG$587,'0.Productos'!CM$1+1,0),"")</f>
        <v/>
      </c>
      <c r="AV379" s="133" t="str">
        <f>IF($A379&lt;&gt;0,VLOOKUP($A379,'0.Productos'!$A$3:$GG$587,'0.Productos'!CN$1+1,0),"")</f>
        <v/>
      </c>
      <c r="AW379" s="133" t="str">
        <f>IF($A379&lt;&gt;0,VLOOKUP($A379,'0.Productos'!$A$3:$GG$587,'0.Productos'!CO$1+1,0),"")</f>
        <v/>
      </c>
      <c r="AX379" s="133" t="str">
        <f>IF($A379&lt;&gt;0,VLOOKUP($A379,'0.Productos'!$A$3:$GG$587,'0.Productos'!CP$1+1,0),"")</f>
        <v/>
      </c>
      <c r="AY379" s="133" t="str">
        <f>IF($A379&lt;&gt;0,VLOOKUP($A379,'0.Productos'!$A$3:$GG$587,'0.Productos'!CQ$1+1,0),"")</f>
        <v/>
      </c>
      <c r="AZ379" s="133" t="str">
        <f>IF($A379&lt;&gt;0,VLOOKUP($A379,'0.Productos'!$A$3:$GG$587,'0.Productos'!CR$1+1,0),"")</f>
        <v/>
      </c>
      <c r="BA379" s="133" t="str">
        <f>IF($A379&lt;&gt;0,VLOOKUP($A379,'0.Productos'!$A$3:$GG$587,'0.Productos'!CS$1+1,0),"")</f>
        <v/>
      </c>
      <c r="BB379" s="133" t="str">
        <f>IF($A379&lt;&gt;0,VLOOKUP($A379,'0.Productos'!$A$3:$GG$587,'0.Productos'!CT$1+1,0),"")</f>
        <v/>
      </c>
      <c r="BC379" s="133" t="str">
        <f>IF($A379&lt;&gt;0,VLOOKUP($A379,'0.Productos'!$A$3:$GG$587,'0.Productos'!CU$1+1,0),"")</f>
        <v/>
      </c>
      <c r="BD379" s="133" t="str">
        <f>IF($A379&lt;&gt;0,VLOOKUP($A379,'0.Productos'!$A$3:$GG$587,'0.Productos'!CV$1+1,0),"")</f>
        <v/>
      </c>
      <c r="BE379" s="133" t="str">
        <f>IF($A379&lt;&gt;0,VLOOKUP($A379,'0.Productos'!$A$3:$GG$587,'0.Productos'!CW$1+1,0),"")</f>
        <v/>
      </c>
      <c r="BF379" s="133" t="str">
        <f>IF($A379&lt;&gt;0,VLOOKUP($A379,'0.Productos'!$A$3:$GG$587,'0.Productos'!CX$1+1,0),"")</f>
        <v/>
      </c>
      <c r="BG379" s="133" t="str">
        <f>IF($A379&lt;&gt;0,VLOOKUP($A379,'0.Productos'!$A$3:$GG$587,'0.Productos'!CY$1+1,0),"")</f>
        <v/>
      </c>
      <c r="BH379" s="133" t="str">
        <f>IF($A379&lt;&gt;0,VLOOKUP($A379,'0.Productos'!$A$3:$GG$587,'0.Productos'!CZ$1+1,0),"")</f>
        <v/>
      </c>
      <c r="BI379" s="133" t="str">
        <f>IF($A379&lt;&gt;0,VLOOKUP($A379,'0.Productos'!$A$3:$GG$587,'0.Productos'!DA$1+1,0),"")</f>
        <v/>
      </c>
      <c r="BJ379" s="133" t="str">
        <f>IF($A379&lt;&gt;0,VLOOKUP($A379,'0.Productos'!$A$3:$GG$587,'0.Productos'!DB$1+1,0),"")</f>
        <v/>
      </c>
      <c r="BK379" s="133" t="str">
        <f>IF($A379&lt;&gt;0,VLOOKUP($A379,'0.Productos'!$A$3:$GG$587,'0.Productos'!DC$1+1,0),"")</f>
        <v/>
      </c>
      <c r="BL379" s="133" t="str">
        <f>IF($A379&lt;&gt;0,VLOOKUP($A379,'0.Productos'!$A$3:$GG$587,'0.Productos'!DD$1+1,0),"")</f>
        <v/>
      </c>
      <c r="BM379" s="133" t="str">
        <f>IF($A379&lt;&gt;0,VLOOKUP($A379,'0.Productos'!$A$3:$GG$587,'0.Productos'!DE$1+1,0),"")</f>
        <v/>
      </c>
      <c r="BN379" s="133" t="str">
        <f>IF($A379&lt;&gt;0,VLOOKUP($A379,'0.Productos'!$A$3:$GG$587,'0.Productos'!DF$1+1,0),"")</f>
        <v/>
      </c>
      <c r="BO379" s="133" t="str">
        <f>IF($A379&lt;&gt;0,VLOOKUP($A379,'0.Productos'!$A$3:$GG$587,'0.Productos'!DG$1+1,0),"")</f>
        <v/>
      </c>
      <c r="BP379" s="133" t="str">
        <f>IF($A379&lt;&gt;0,VLOOKUP($A379,'0.Productos'!$A$3:$GG$587,'0.Productos'!DH$1+1,0),"")</f>
        <v/>
      </c>
      <c r="BQ379" s="133" t="str">
        <f>IF($A379&lt;&gt;0,VLOOKUP($A379,'0.Productos'!$A$3:$GG$587,'0.Productos'!DI$1+1,0),"")</f>
        <v/>
      </c>
      <c r="BR379" s="133" t="str">
        <f>IF($A379&lt;&gt;0,VLOOKUP($A379,'0.Productos'!$A$3:$GG$587,'0.Productos'!DJ$1+1,0),"")</f>
        <v/>
      </c>
      <c r="BS379" s="133" t="str">
        <f>IF($A379&lt;&gt;0,VLOOKUP($A379,'0.Productos'!$A$3:$GG$587,'0.Productos'!DK$1+1,0),"")</f>
        <v/>
      </c>
      <c r="BT379" s="133" t="str">
        <f>IF($A379&lt;&gt;0,VLOOKUP($A379,'0.Productos'!$A$3:$GG$587,'0.Productos'!DL$1+1,0),"")</f>
        <v/>
      </c>
    </row>
    <row r="380" spans="1:72" x14ac:dyDescent="0.25">
      <c r="A380" s="17">
        <f>'0.Consolidado general'!A380</f>
        <v>0</v>
      </c>
      <c r="B380" s="133" t="str">
        <f>IF($A380&lt;&gt;0,VLOOKUP($A380,'0.Productos'!$A$3:$GG$587,'0.Productos'!AT$1+1,0),"")</f>
        <v/>
      </c>
      <c r="C380" s="133" t="str">
        <f>IF($A380&lt;&gt;0,VLOOKUP($A380,'0.Productos'!$A$3:$GG$587,'0.Productos'!AU$1+1,0),"")</f>
        <v/>
      </c>
      <c r="D380" s="133" t="str">
        <f>IF($A380&lt;&gt;0,VLOOKUP($A380,'0.Productos'!$A$3:$GG$587,'0.Productos'!AV$1+1,0),"")</f>
        <v/>
      </c>
      <c r="E380" s="133" t="str">
        <f>IF($A380&lt;&gt;0,VLOOKUP($A380,'0.Productos'!$A$3:$GG$587,'0.Productos'!AW$1+1,0),"")</f>
        <v/>
      </c>
      <c r="F380" s="133" t="str">
        <f>IF($A380&lt;&gt;0,VLOOKUP($A380,'0.Productos'!$A$3:$GG$587,'0.Productos'!AX$1+1,0),"")</f>
        <v/>
      </c>
      <c r="G380" s="133" t="str">
        <f>IF($A380&lt;&gt;0,VLOOKUP($A380,'0.Productos'!$A$3:$GG$587,'0.Productos'!AY$1+1,0),"")</f>
        <v/>
      </c>
      <c r="H380" s="133" t="str">
        <f>IF($A380&lt;&gt;0,VLOOKUP($A380,'0.Productos'!$A$3:$GG$587,'0.Productos'!AZ$1+1,0),"")</f>
        <v/>
      </c>
      <c r="I380" s="133" t="str">
        <f>IF($A380&lt;&gt;0,VLOOKUP($A380,'0.Productos'!$A$3:$GG$587,'0.Productos'!BA$1+1,0),"")</f>
        <v/>
      </c>
      <c r="J380" s="133" t="str">
        <f>IF($A380&lt;&gt;0,VLOOKUP($A380,'0.Productos'!$A$3:$GG$587,'0.Productos'!BB$1+1,0),"")</f>
        <v/>
      </c>
      <c r="K380" s="133" t="str">
        <f>IF($A380&lt;&gt;0,VLOOKUP($A380,'0.Productos'!$A$3:$GG$587,'0.Productos'!BC$1+1,0),"")</f>
        <v/>
      </c>
      <c r="L380" s="133" t="str">
        <f>IF($A380&lt;&gt;0,VLOOKUP($A380,'0.Productos'!$A$3:$GG$587,'0.Productos'!BD$1+1,0),"")</f>
        <v/>
      </c>
      <c r="M380" s="133" t="str">
        <f>IF($A380&lt;&gt;0,VLOOKUP($A380,'0.Productos'!$A$3:$GG$587,'0.Productos'!BE$1+1,0),"")</f>
        <v/>
      </c>
      <c r="N380" s="133" t="str">
        <f>IF($A380&lt;&gt;0,VLOOKUP($A380,'0.Productos'!$A$3:$GG$587,'0.Productos'!BF$1+1,0),"")</f>
        <v/>
      </c>
      <c r="O380" s="133" t="str">
        <f>IF($A380&lt;&gt;0,VLOOKUP($A380,'0.Productos'!$A$3:$GG$587,'0.Productos'!BG$1+1,0),"")</f>
        <v/>
      </c>
      <c r="P380" s="133" t="str">
        <f>IF($A380&lt;&gt;0,VLOOKUP($A380,'0.Productos'!$A$3:$GG$587,'0.Productos'!BH$1+1,0),"")</f>
        <v/>
      </c>
      <c r="Q380" s="133" t="str">
        <f>IF($A380&lt;&gt;0,VLOOKUP($A380,'0.Productos'!$A$3:$GG$587,'0.Productos'!BI$1+1,0),"")</f>
        <v/>
      </c>
      <c r="R380" s="133" t="str">
        <f>IF($A380&lt;&gt;0,VLOOKUP($A380,'0.Productos'!$A$3:$GG$587,'0.Productos'!BJ$1+1,0),"")</f>
        <v/>
      </c>
      <c r="S380" s="133" t="str">
        <f>IF($A380&lt;&gt;0,VLOOKUP($A380,'0.Productos'!$A$3:$GG$587,'0.Productos'!BK$1+1,0),"")</f>
        <v/>
      </c>
      <c r="T380" s="133" t="str">
        <f>IF($A380&lt;&gt;0,VLOOKUP($A380,'0.Productos'!$A$3:$GG$587,'0.Productos'!BL$1+1,0),"")</f>
        <v/>
      </c>
      <c r="U380" s="133" t="str">
        <f>IF($A380&lt;&gt;0,VLOOKUP($A380,'0.Productos'!$A$3:$GG$587,'0.Productos'!BM$1+1,0),"")</f>
        <v/>
      </c>
      <c r="V380" s="133" t="str">
        <f>IF($A380&lt;&gt;0,VLOOKUP($A380,'0.Productos'!$A$3:$GG$587,'0.Productos'!BN$1+1,0),"")</f>
        <v/>
      </c>
      <c r="W380" s="133" t="str">
        <f>IF($A380&lt;&gt;0,VLOOKUP($A380,'0.Productos'!$A$3:$GG$587,'0.Productos'!BO$1+1,0),"")</f>
        <v/>
      </c>
      <c r="X380" s="133" t="str">
        <f>IF($A380&lt;&gt;0,VLOOKUP($A380,'0.Productos'!$A$3:$GG$587,'0.Productos'!BP$1+1,0),"")</f>
        <v/>
      </c>
      <c r="Y380" s="133" t="str">
        <f>IF($A380&lt;&gt;0,VLOOKUP($A380,'0.Productos'!$A$3:$GG$587,'0.Productos'!BQ$1+1,0),"")</f>
        <v/>
      </c>
      <c r="Z380" s="133" t="str">
        <f>IF($A380&lt;&gt;0,VLOOKUP($A380,'0.Productos'!$A$3:$GG$587,'0.Productos'!BR$1+1,0),"")</f>
        <v/>
      </c>
      <c r="AA380" s="133" t="str">
        <f>IF($A380&lt;&gt;0,VLOOKUP($A380,'0.Productos'!$A$3:$GG$587,'0.Productos'!BS$1+1,0),"")</f>
        <v/>
      </c>
      <c r="AB380" s="133" t="str">
        <f>IF($A380&lt;&gt;0,VLOOKUP($A380,'0.Productos'!$A$3:$GG$587,'0.Productos'!BT$1+1,0),"")</f>
        <v/>
      </c>
      <c r="AC380" s="133" t="str">
        <f>IF($A380&lt;&gt;0,VLOOKUP($A380,'0.Productos'!$A$3:$GG$587,'0.Productos'!BU$1+1,0),"")</f>
        <v/>
      </c>
      <c r="AD380" s="133" t="str">
        <f>IF($A380&lt;&gt;0,VLOOKUP($A380,'0.Productos'!$A$3:$GG$587,'0.Productos'!BV$1+1,0),"")</f>
        <v/>
      </c>
      <c r="AE380" s="133" t="str">
        <f>IF($A380&lt;&gt;0,VLOOKUP($A380,'0.Productos'!$A$3:$GG$587,'0.Productos'!BW$1+1,0),"")</f>
        <v/>
      </c>
      <c r="AF380" s="133" t="str">
        <f>IF($A380&lt;&gt;0,VLOOKUP($A380,'0.Productos'!$A$3:$GG$587,'0.Productos'!BX$1+1,0),"")</f>
        <v/>
      </c>
      <c r="AG380" s="133" t="str">
        <f>IF($A380&lt;&gt;0,VLOOKUP($A380,'0.Productos'!$A$3:$GG$587,'0.Productos'!BY$1+1,0),"")</f>
        <v/>
      </c>
      <c r="AH380" s="133" t="str">
        <f>IF($A380&lt;&gt;0,VLOOKUP($A380,'0.Productos'!$A$3:$GG$587,'0.Productos'!BZ$1+1,0),"")</f>
        <v/>
      </c>
      <c r="AI380" s="133" t="str">
        <f>IF($A380&lt;&gt;0,VLOOKUP($A380,'0.Productos'!$A$3:$GG$587,'0.Productos'!CA$1+1,0),"")</f>
        <v/>
      </c>
      <c r="AJ380" s="133" t="str">
        <f>IF($A380&lt;&gt;0,VLOOKUP($A380,'0.Productos'!$A$3:$GG$587,'0.Productos'!CB$1+1,0),"")</f>
        <v/>
      </c>
      <c r="AK380" s="133" t="str">
        <f>IF($A380&lt;&gt;0,VLOOKUP($A380,'0.Productos'!$A$3:$GG$587,'0.Productos'!CC$1+1,0),"")</f>
        <v/>
      </c>
      <c r="AL380" s="133" t="str">
        <f>IF($A380&lt;&gt;0,VLOOKUP($A380,'0.Productos'!$A$3:$GG$587,'0.Productos'!CD$1+1,0),"")</f>
        <v/>
      </c>
      <c r="AM380" s="133" t="str">
        <f>IF($A380&lt;&gt;0,VLOOKUP($A380,'0.Productos'!$A$3:$GG$587,'0.Productos'!CE$1+1,0),"")</f>
        <v/>
      </c>
      <c r="AN380" s="133" t="str">
        <f>IF($A380&lt;&gt;0,VLOOKUP($A380,'0.Productos'!$A$3:$GG$587,'0.Productos'!CF$1+1,0),"")</f>
        <v/>
      </c>
      <c r="AO380" s="133" t="str">
        <f>IF($A380&lt;&gt;0,VLOOKUP($A380,'0.Productos'!$A$3:$GG$587,'0.Productos'!CG$1+1,0),"")</f>
        <v/>
      </c>
      <c r="AP380" s="133" t="str">
        <f>IF($A380&lt;&gt;0,VLOOKUP($A380,'0.Productos'!$A$3:$GG$587,'0.Productos'!CH$1+1,0),"")</f>
        <v/>
      </c>
      <c r="AQ380" s="133" t="str">
        <f>IF($A380&lt;&gt;0,VLOOKUP($A380,'0.Productos'!$A$3:$GG$587,'0.Productos'!CI$1+1,0),"")</f>
        <v/>
      </c>
      <c r="AR380" s="133" t="str">
        <f>IF($A380&lt;&gt;0,VLOOKUP($A380,'0.Productos'!$A$3:$GG$587,'0.Productos'!CJ$1+1,0),"")</f>
        <v/>
      </c>
      <c r="AS380" s="133" t="str">
        <f>IF($A380&lt;&gt;0,VLOOKUP($A380,'0.Productos'!$A$3:$GG$587,'0.Productos'!CK$1+1,0),"")</f>
        <v/>
      </c>
      <c r="AT380" s="133" t="str">
        <f>IF($A380&lt;&gt;0,VLOOKUP($A380,'0.Productos'!$A$3:$GG$587,'0.Productos'!CL$1+1,0),"")</f>
        <v/>
      </c>
      <c r="AU380" s="133" t="str">
        <f>IF($A380&lt;&gt;0,VLOOKUP($A380,'0.Productos'!$A$3:$GG$587,'0.Productos'!CM$1+1,0),"")</f>
        <v/>
      </c>
      <c r="AV380" s="133" t="str">
        <f>IF($A380&lt;&gt;0,VLOOKUP($A380,'0.Productos'!$A$3:$GG$587,'0.Productos'!CN$1+1,0),"")</f>
        <v/>
      </c>
      <c r="AW380" s="133" t="str">
        <f>IF($A380&lt;&gt;0,VLOOKUP($A380,'0.Productos'!$A$3:$GG$587,'0.Productos'!CO$1+1,0),"")</f>
        <v/>
      </c>
      <c r="AX380" s="133" t="str">
        <f>IF($A380&lt;&gt;0,VLOOKUP($A380,'0.Productos'!$A$3:$GG$587,'0.Productos'!CP$1+1,0),"")</f>
        <v/>
      </c>
      <c r="AY380" s="133" t="str">
        <f>IF($A380&lt;&gt;0,VLOOKUP($A380,'0.Productos'!$A$3:$GG$587,'0.Productos'!CQ$1+1,0),"")</f>
        <v/>
      </c>
      <c r="AZ380" s="133" t="str">
        <f>IF($A380&lt;&gt;0,VLOOKUP($A380,'0.Productos'!$A$3:$GG$587,'0.Productos'!CR$1+1,0),"")</f>
        <v/>
      </c>
      <c r="BA380" s="133" t="str">
        <f>IF($A380&lt;&gt;0,VLOOKUP($A380,'0.Productos'!$A$3:$GG$587,'0.Productos'!CS$1+1,0),"")</f>
        <v/>
      </c>
      <c r="BB380" s="133" t="str">
        <f>IF($A380&lt;&gt;0,VLOOKUP($A380,'0.Productos'!$A$3:$GG$587,'0.Productos'!CT$1+1,0),"")</f>
        <v/>
      </c>
      <c r="BC380" s="133" t="str">
        <f>IF($A380&lt;&gt;0,VLOOKUP($A380,'0.Productos'!$A$3:$GG$587,'0.Productos'!CU$1+1,0),"")</f>
        <v/>
      </c>
      <c r="BD380" s="133" t="str">
        <f>IF($A380&lt;&gt;0,VLOOKUP($A380,'0.Productos'!$A$3:$GG$587,'0.Productos'!CV$1+1,0),"")</f>
        <v/>
      </c>
      <c r="BE380" s="133" t="str">
        <f>IF($A380&lt;&gt;0,VLOOKUP($A380,'0.Productos'!$A$3:$GG$587,'0.Productos'!CW$1+1,0),"")</f>
        <v/>
      </c>
      <c r="BF380" s="133" t="str">
        <f>IF($A380&lt;&gt;0,VLOOKUP($A380,'0.Productos'!$A$3:$GG$587,'0.Productos'!CX$1+1,0),"")</f>
        <v/>
      </c>
      <c r="BG380" s="133" t="str">
        <f>IF($A380&lt;&gt;0,VLOOKUP($A380,'0.Productos'!$A$3:$GG$587,'0.Productos'!CY$1+1,0),"")</f>
        <v/>
      </c>
      <c r="BH380" s="133" t="str">
        <f>IF($A380&lt;&gt;0,VLOOKUP($A380,'0.Productos'!$A$3:$GG$587,'0.Productos'!CZ$1+1,0),"")</f>
        <v/>
      </c>
      <c r="BI380" s="133" t="str">
        <f>IF($A380&lt;&gt;0,VLOOKUP($A380,'0.Productos'!$A$3:$GG$587,'0.Productos'!DA$1+1,0),"")</f>
        <v/>
      </c>
      <c r="BJ380" s="133" t="str">
        <f>IF($A380&lt;&gt;0,VLOOKUP($A380,'0.Productos'!$A$3:$GG$587,'0.Productos'!DB$1+1,0),"")</f>
        <v/>
      </c>
      <c r="BK380" s="133" t="str">
        <f>IF($A380&lt;&gt;0,VLOOKUP($A380,'0.Productos'!$A$3:$GG$587,'0.Productos'!DC$1+1,0),"")</f>
        <v/>
      </c>
      <c r="BL380" s="133" t="str">
        <f>IF($A380&lt;&gt;0,VLOOKUP($A380,'0.Productos'!$A$3:$GG$587,'0.Productos'!DD$1+1,0),"")</f>
        <v/>
      </c>
      <c r="BM380" s="133" t="str">
        <f>IF($A380&lt;&gt;0,VLOOKUP($A380,'0.Productos'!$A$3:$GG$587,'0.Productos'!DE$1+1,0),"")</f>
        <v/>
      </c>
      <c r="BN380" s="133" t="str">
        <f>IF($A380&lt;&gt;0,VLOOKUP($A380,'0.Productos'!$A$3:$GG$587,'0.Productos'!DF$1+1,0),"")</f>
        <v/>
      </c>
      <c r="BO380" s="133" t="str">
        <f>IF($A380&lt;&gt;0,VLOOKUP($A380,'0.Productos'!$A$3:$GG$587,'0.Productos'!DG$1+1,0),"")</f>
        <v/>
      </c>
      <c r="BP380" s="133" t="str">
        <f>IF($A380&lt;&gt;0,VLOOKUP($A380,'0.Productos'!$A$3:$GG$587,'0.Productos'!DH$1+1,0),"")</f>
        <v/>
      </c>
      <c r="BQ380" s="133" t="str">
        <f>IF($A380&lt;&gt;0,VLOOKUP($A380,'0.Productos'!$A$3:$GG$587,'0.Productos'!DI$1+1,0),"")</f>
        <v/>
      </c>
      <c r="BR380" s="133" t="str">
        <f>IF($A380&lt;&gt;0,VLOOKUP($A380,'0.Productos'!$A$3:$GG$587,'0.Productos'!DJ$1+1,0),"")</f>
        <v/>
      </c>
      <c r="BS380" s="133" t="str">
        <f>IF($A380&lt;&gt;0,VLOOKUP($A380,'0.Productos'!$A$3:$GG$587,'0.Productos'!DK$1+1,0),"")</f>
        <v/>
      </c>
      <c r="BT380" s="133" t="str">
        <f>IF($A380&lt;&gt;0,VLOOKUP($A380,'0.Productos'!$A$3:$GG$587,'0.Productos'!DL$1+1,0),"")</f>
        <v/>
      </c>
    </row>
    <row r="381" spans="1:72" x14ac:dyDescent="0.25">
      <c r="A381" s="17">
        <f>'0.Consolidado general'!A381</f>
        <v>0</v>
      </c>
      <c r="B381" s="133" t="str">
        <f>IF($A381&lt;&gt;0,VLOOKUP($A381,'0.Productos'!$A$3:$GG$587,'0.Productos'!AT$1+1,0),"")</f>
        <v/>
      </c>
      <c r="C381" s="133" t="str">
        <f>IF($A381&lt;&gt;0,VLOOKUP($A381,'0.Productos'!$A$3:$GG$587,'0.Productos'!AU$1+1,0),"")</f>
        <v/>
      </c>
      <c r="D381" s="133" t="str">
        <f>IF($A381&lt;&gt;0,VLOOKUP($A381,'0.Productos'!$A$3:$GG$587,'0.Productos'!AV$1+1,0),"")</f>
        <v/>
      </c>
      <c r="E381" s="133" t="str">
        <f>IF($A381&lt;&gt;0,VLOOKUP($A381,'0.Productos'!$A$3:$GG$587,'0.Productos'!AW$1+1,0),"")</f>
        <v/>
      </c>
      <c r="F381" s="133" t="str">
        <f>IF($A381&lt;&gt;0,VLOOKUP($A381,'0.Productos'!$A$3:$GG$587,'0.Productos'!AX$1+1,0),"")</f>
        <v/>
      </c>
      <c r="G381" s="133" t="str">
        <f>IF($A381&lt;&gt;0,VLOOKUP($A381,'0.Productos'!$A$3:$GG$587,'0.Productos'!AY$1+1,0),"")</f>
        <v/>
      </c>
      <c r="H381" s="133" t="str">
        <f>IF($A381&lt;&gt;0,VLOOKUP($A381,'0.Productos'!$A$3:$GG$587,'0.Productos'!AZ$1+1,0),"")</f>
        <v/>
      </c>
      <c r="I381" s="133" t="str">
        <f>IF($A381&lt;&gt;0,VLOOKUP($A381,'0.Productos'!$A$3:$GG$587,'0.Productos'!BA$1+1,0),"")</f>
        <v/>
      </c>
      <c r="J381" s="133" t="str">
        <f>IF($A381&lt;&gt;0,VLOOKUP($A381,'0.Productos'!$A$3:$GG$587,'0.Productos'!BB$1+1,0),"")</f>
        <v/>
      </c>
      <c r="K381" s="133" t="str">
        <f>IF($A381&lt;&gt;0,VLOOKUP($A381,'0.Productos'!$A$3:$GG$587,'0.Productos'!BC$1+1,0),"")</f>
        <v/>
      </c>
      <c r="L381" s="133" t="str">
        <f>IF($A381&lt;&gt;0,VLOOKUP($A381,'0.Productos'!$A$3:$GG$587,'0.Productos'!BD$1+1,0),"")</f>
        <v/>
      </c>
      <c r="M381" s="133" t="str">
        <f>IF($A381&lt;&gt;0,VLOOKUP($A381,'0.Productos'!$A$3:$GG$587,'0.Productos'!BE$1+1,0),"")</f>
        <v/>
      </c>
      <c r="N381" s="133" t="str">
        <f>IF($A381&lt;&gt;0,VLOOKUP($A381,'0.Productos'!$A$3:$GG$587,'0.Productos'!BF$1+1,0),"")</f>
        <v/>
      </c>
      <c r="O381" s="133" t="str">
        <f>IF($A381&lt;&gt;0,VLOOKUP($A381,'0.Productos'!$A$3:$GG$587,'0.Productos'!BG$1+1,0),"")</f>
        <v/>
      </c>
      <c r="P381" s="133" t="str">
        <f>IF($A381&lt;&gt;0,VLOOKUP($A381,'0.Productos'!$A$3:$GG$587,'0.Productos'!BH$1+1,0),"")</f>
        <v/>
      </c>
      <c r="Q381" s="133" t="str">
        <f>IF($A381&lt;&gt;0,VLOOKUP($A381,'0.Productos'!$A$3:$GG$587,'0.Productos'!BI$1+1,0),"")</f>
        <v/>
      </c>
      <c r="R381" s="133" t="str">
        <f>IF($A381&lt;&gt;0,VLOOKUP($A381,'0.Productos'!$A$3:$GG$587,'0.Productos'!BJ$1+1,0),"")</f>
        <v/>
      </c>
      <c r="S381" s="133" t="str">
        <f>IF($A381&lt;&gt;0,VLOOKUP($A381,'0.Productos'!$A$3:$GG$587,'0.Productos'!BK$1+1,0),"")</f>
        <v/>
      </c>
      <c r="T381" s="133" t="str">
        <f>IF($A381&lt;&gt;0,VLOOKUP($A381,'0.Productos'!$A$3:$GG$587,'0.Productos'!BL$1+1,0),"")</f>
        <v/>
      </c>
      <c r="U381" s="133" t="str">
        <f>IF($A381&lt;&gt;0,VLOOKUP($A381,'0.Productos'!$A$3:$GG$587,'0.Productos'!BM$1+1,0),"")</f>
        <v/>
      </c>
      <c r="V381" s="133" t="str">
        <f>IF($A381&lt;&gt;0,VLOOKUP($A381,'0.Productos'!$A$3:$GG$587,'0.Productos'!BN$1+1,0),"")</f>
        <v/>
      </c>
      <c r="W381" s="133" t="str">
        <f>IF($A381&lt;&gt;0,VLOOKUP($A381,'0.Productos'!$A$3:$GG$587,'0.Productos'!BO$1+1,0),"")</f>
        <v/>
      </c>
      <c r="X381" s="133" t="str">
        <f>IF($A381&lt;&gt;0,VLOOKUP($A381,'0.Productos'!$A$3:$GG$587,'0.Productos'!BP$1+1,0),"")</f>
        <v/>
      </c>
      <c r="Y381" s="133" t="str">
        <f>IF($A381&lt;&gt;0,VLOOKUP($A381,'0.Productos'!$A$3:$GG$587,'0.Productos'!BQ$1+1,0),"")</f>
        <v/>
      </c>
      <c r="Z381" s="133" t="str">
        <f>IF($A381&lt;&gt;0,VLOOKUP($A381,'0.Productos'!$A$3:$GG$587,'0.Productos'!BR$1+1,0),"")</f>
        <v/>
      </c>
      <c r="AA381" s="133" t="str">
        <f>IF($A381&lt;&gt;0,VLOOKUP($A381,'0.Productos'!$A$3:$GG$587,'0.Productos'!BS$1+1,0),"")</f>
        <v/>
      </c>
      <c r="AB381" s="133" t="str">
        <f>IF($A381&lt;&gt;0,VLOOKUP($A381,'0.Productos'!$A$3:$GG$587,'0.Productos'!BT$1+1,0),"")</f>
        <v/>
      </c>
      <c r="AC381" s="133" t="str">
        <f>IF($A381&lt;&gt;0,VLOOKUP($A381,'0.Productos'!$A$3:$GG$587,'0.Productos'!BU$1+1,0),"")</f>
        <v/>
      </c>
      <c r="AD381" s="133" t="str">
        <f>IF($A381&lt;&gt;0,VLOOKUP($A381,'0.Productos'!$A$3:$GG$587,'0.Productos'!BV$1+1,0),"")</f>
        <v/>
      </c>
      <c r="AE381" s="133" t="str">
        <f>IF($A381&lt;&gt;0,VLOOKUP($A381,'0.Productos'!$A$3:$GG$587,'0.Productos'!BW$1+1,0),"")</f>
        <v/>
      </c>
      <c r="AF381" s="133" t="str">
        <f>IF($A381&lt;&gt;0,VLOOKUP($A381,'0.Productos'!$A$3:$GG$587,'0.Productos'!BX$1+1,0),"")</f>
        <v/>
      </c>
      <c r="AG381" s="133" t="str">
        <f>IF($A381&lt;&gt;0,VLOOKUP($A381,'0.Productos'!$A$3:$GG$587,'0.Productos'!BY$1+1,0),"")</f>
        <v/>
      </c>
      <c r="AH381" s="133" t="str">
        <f>IF($A381&lt;&gt;0,VLOOKUP($A381,'0.Productos'!$A$3:$GG$587,'0.Productos'!BZ$1+1,0),"")</f>
        <v/>
      </c>
      <c r="AI381" s="133" t="str">
        <f>IF($A381&lt;&gt;0,VLOOKUP($A381,'0.Productos'!$A$3:$GG$587,'0.Productos'!CA$1+1,0),"")</f>
        <v/>
      </c>
      <c r="AJ381" s="133" t="str">
        <f>IF($A381&lt;&gt;0,VLOOKUP($A381,'0.Productos'!$A$3:$GG$587,'0.Productos'!CB$1+1,0),"")</f>
        <v/>
      </c>
      <c r="AK381" s="133" t="str">
        <f>IF($A381&lt;&gt;0,VLOOKUP($A381,'0.Productos'!$A$3:$GG$587,'0.Productos'!CC$1+1,0),"")</f>
        <v/>
      </c>
      <c r="AL381" s="133" t="str">
        <f>IF($A381&lt;&gt;0,VLOOKUP($A381,'0.Productos'!$A$3:$GG$587,'0.Productos'!CD$1+1,0),"")</f>
        <v/>
      </c>
      <c r="AM381" s="133" t="str">
        <f>IF($A381&lt;&gt;0,VLOOKUP($A381,'0.Productos'!$A$3:$GG$587,'0.Productos'!CE$1+1,0),"")</f>
        <v/>
      </c>
      <c r="AN381" s="133" t="str">
        <f>IF($A381&lt;&gt;0,VLOOKUP($A381,'0.Productos'!$A$3:$GG$587,'0.Productos'!CF$1+1,0),"")</f>
        <v/>
      </c>
      <c r="AO381" s="133" t="str">
        <f>IF($A381&lt;&gt;0,VLOOKUP($A381,'0.Productos'!$A$3:$GG$587,'0.Productos'!CG$1+1,0),"")</f>
        <v/>
      </c>
      <c r="AP381" s="133" t="str">
        <f>IF($A381&lt;&gt;0,VLOOKUP($A381,'0.Productos'!$A$3:$GG$587,'0.Productos'!CH$1+1,0),"")</f>
        <v/>
      </c>
      <c r="AQ381" s="133" t="str">
        <f>IF($A381&lt;&gt;0,VLOOKUP($A381,'0.Productos'!$A$3:$GG$587,'0.Productos'!CI$1+1,0),"")</f>
        <v/>
      </c>
      <c r="AR381" s="133" t="str">
        <f>IF($A381&lt;&gt;0,VLOOKUP($A381,'0.Productos'!$A$3:$GG$587,'0.Productos'!CJ$1+1,0),"")</f>
        <v/>
      </c>
      <c r="AS381" s="133" t="str">
        <f>IF($A381&lt;&gt;0,VLOOKUP($A381,'0.Productos'!$A$3:$GG$587,'0.Productos'!CK$1+1,0),"")</f>
        <v/>
      </c>
      <c r="AT381" s="133" t="str">
        <f>IF($A381&lt;&gt;0,VLOOKUP($A381,'0.Productos'!$A$3:$GG$587,'0.Productos'!CL$1+1,0),"")</f>
        <v/>
      </c>
      <c r="AU381" s="133" t="str">
        <f>IF($A381&lt;&gt;0,VLOOKUP($A381,'0.Productos'!$A$3:$GG$587,'0.Productos'!CM$1+1,0),"")</f>
        <v/>
      </c>
      <c r="AV381" s="133" t="str">
        <f>IF($A381&lt;&gt;0,VLOOKUP($A381,'0.Productos'!$A$3:$GG$587,'0.Productos'!CN$1+1,0),"")</f>
        <v/>
      </c>
      <c r="AW381" s="133" t="str">
        <f>IF($A381&lt;&gt;0,VLOOKUP($A381,'0.Productos'!$A$3:$GG$587,'0.Productos'!CO$1+1,0),"")</f>
        <v/>
      </c>
      <c r="AX381" s="133" t="str">
        <f>IF($A381&lt;&gt;0,VLOOKUP($A381,'0.Productos'!$A$3:$GG$587,'0.Productos'!CP$1+1,0),"")</f>
        <v/>
      </c>
      <c r="AY381" s="133" t="str">
        <f>IF($A381&lt;&gt;0,VLOOKUP($A381,'0.Productos'!$A$3:$GG$587,'0.Productos'!CQ$1+1,0),"")</f>
        <v/>
      </c>
      <c r="AZ381" s="133" t="str">
        <f>IF($A381&lt;&gt;0,VLOOKUP($A381,'0.Productos'!$A$3:$GG$587,'0.Productos'!CR$1+1,0),"")</f>
        <v/>
      </c>
      <c r="BA381" s="133" t="str">
        <f>IF($A381&lt;&gt;0,VLOOKUP($A381,'0.Productos'!$A$3:$GG$587,'0.Productos'!CS$1+1,0),"")</f>
        <v/>
      </c>
      <c r="BB381" s="133" t="str">
        <f>IF($A381&lt;&gt;0,VLOOKUP($A381,'0.Productos'!$A$3:$GG$587,'0.Productos'!CT$1+1,0),"")</f>
        <v/>
      </c>
      <c r="BC381" s="133" t="str">
        <f>IF($A381&lt;&gt;0,VLOOKUP($A381,'0.Productos'!$A$3:$GG$587,'0.Productos'!CU$1+1,0),"")</f>
        <v/>
      </c>
      <c r="BD381" s="133" t="str">
        <f>IF($A381&lt;&gt;0,VLOOKUP($A381,'0.Productos'!$A$3:$GG$587,'0.Productos'!CV$1+1,0),"")</f>
        <v/>
      </c>
      <c r="BE381" s="133" t="str">
        <f>IF($A381&lt;&gt;0,VLOOKUP($A381,'0.Productos'!$A$3:$GG$587,'0.Productos'!CW$1+1,0),"")</f>
        <v/>
      </c>
      <c r="BF381" s="133" t="str">
        <f>IF($A381&lt;&gt;0,VLOOKUP($A381,'0.Productos'!$A$3:$GG$587,'0.Productos'!CX$1+1,0),"")</f>
        <v/>
      </c>
      <c r="BG381" s="133" t="str">
        <f>IF($A381&lt;&gt;0,VLOOKUP($A381,'0.Productos'!$A$3:$GG$587,'0.Productos'!CY$1+1,0),"")</f>
        <v/>
      </c>
      <c r="BH381" s="133" t="str">
        <f>IF($A381&lt;&gt;0,VLOOKUP($A381,'0.Productos'!$A$3:$GG$587,'0.Productos'!CZ$1+1,0),"")</f>
        <v/>
      </c>
      <c r="BI381" s="133" t="str">
        <f>IF($A381&lt;&gt;0,VLOOKUP($A381,'0.Productos'!$A$3:$GG$587,'0.Productos'!DA$1+1,0),"")</f>
        <v/>
      </c>
      <c r="BJ381" s="133" t="str">
        <f>IF($A381&lt;&gt;0,VLOOKUP($A381,'0.Productos'!$A$3:$GG$587,'0.Productos'!DB$1+1,0),"")</f>
        <v/>
      </c>
      <c r="BK381" s="133" t="str">
        <f>IF($A381&lt;&gt;0,VLOOKUP($A381,'0.Productos'!$A$3:$GG$587,'0.Productos'!DC$1+1,0),"")</f>
        <v/>
      </c>
      <c r="BL381" s="133" t="str">
        <f>IF($A381&lt;&gt;0,VLOOKUP($A381,'0.Productos'!$A$3:$GG$587,'0.Productos'!DD$1+1,0),"")</f>
        <v/>
      </c>
      <c r="BM381" s="133" t="str">
        <f>IF($A381&lt;&gt;0,VLOOKUP($A381,'0.Productos'!$A$3:$GG$587,'0.Productos'!DE$1+1,0),"")</f>
        <v/>
      </c>
      <c r="BN381" s="133" t="str">
        <f>IF($A381&lt;&gt;0,VLOOKUP($A381,'0.Productos'!$A$3:$GG$587,'0.Productos'!DF$1+1,0),"")</f>
        <v/>
      </c>
      <c r="BO381" s="133" t="str">
        <f>IF($A381&lt;&gt;0,VLOOKUP($A381,'0.Productos'!$A$3:$GG$587,'0.Productos'!DG$1+1,0),"")</f>
        <v/>
      </c>
      <c r="BP381" s="133" t="str">
        <f>IF($A381&lt;&gt;0,VLOOKUP($A381,'0.Productos'!$A$3:$GG$587,'0.Productos'!DH$1+1,0),"")</f>
        <v/>
      </c>
      <c r="BQ381" s="133" t="str">
        <f>IF($A381&lt;&gt;0,VLOOKUP($A381,'0.Productos'!$A$3:$GG$587,'0.Productos'!DI$1+1,0),"")</f>
        <v/>
      </c>
      <c r="BR381" s="133" t="str">
        <f>IF($A381&lt;&gt;0,VLOOKUP($A381,'0.Productos'!$A$3:$GG$587,'0.Productos'!DJ$1+1,0),"")</f>
        <v/>
      </c>
      <c r="BS381" s="133" t="str">
        <f>IF($A381&lt;&gt;0,VLOOKUP($A381,'0.Productos'!$A$3:$GG$587,'0.Productos'!DK$1+1,0),"")</f>
        <v/>
      </c>
      <c r="BT381" s="133" t="str">
        <f>IF($A381&lt;&gt;0,VLOOKUP($A381,'0.Productos'!$A$3:$GG$587,'0.Productos'!DL$1+1,0),"")</f>
        <v/>
      </c>
    </row>
    <row r="382" spans="1:72" x14ac:dyDescent="0.25">
      <c r="A382" s="17">
        <f>'0.Consolidado general'!A382</f>
        <v>0</v>
      </c>
      <c r="B382" s="133" t="str">
        <f>IF($A382&lt;&gt;0,VLOOKUP($A382,'0.Productos'!$A$3:$GG$587,'0.Productos'!AT$1+1,0),"")</f>
        <v/>
      </c>
      <c r="C382" s="133" t="str">
        <f>IF($A382&lt;&gt;0,VLOOKUP($A382,'0.Productos'!$A$3:$GG$587,'0.Productos'!AU$1+1,0),"")</f>
        <v/>
      </c>
      <c r="D382" s="133" t="str">
        <f>IF($A382&lt;&gt;0,VLOOKUP($A382,'0.Productos'!$A$3:$GG$587,'0.Productos'!AV$1+1,0),"")</f>
        <v/>
      </c>
      <c r="E382" s="133" t="str">
        <f>IF($A382&lt;&gt;0,VLOOKUP($A382,'0.Productos'!$A$3:$GG$587,'0.Productos'!AW$1+1,0),"")</f>
        <v/>
      </c>
      <c r="F382" s="133" t="str">
        <f>IF($A382&lt;&gt;0,VLOOKUP($A382,'0.Productos'!$A$3:$GG$587,'0.Productos'!AX$1+1,0),"")</f>
        <v/>
      </c>
      <c r="G382" s="133" t="str">
        <f>IF($A382&lt;&gt;0,VLOOKUP($A382,'0.Productos'!$A$3:$GG$587,'0.Productos'!AY$1+1,0),"")</f>
        <v/>
      </c>
      <c r="H382" s="133" t="str">
        <f>IF($A382&lt;&gt;0,VLOOKUP($A382,'0.Productos'!$A$3:$GG$587,'0.Productos'!AZ$1+1,0),"")</f>
        <v/>
      </c>
      <c r="I382" s="133" t="str">
        <f>IF($A382&lt;&gt;0,VLOOKUP($A382,'0.Productos'!$A$3:$GG$587,'0.Productos'!BA$1+1,0),"")</f>
        <v/>
      </c>
      <c r="J382" s="133" t="str">
        <f>IF($A382&lt;&gt;0,VLOOKUP($A382,'0.Productos'!$A$3:$GG$587,'0.Productos'!BB$1+1,0),"")</f>
        <v/>
      </c>
      <c r="K382" s="133" t="str">
        <f>IF($A382&lt;&gt;0,VLOOKUP($A382,'0.Productos'!$A$3:$GG$587,'0.Productos'!BC$1+1,0),"")</f>
        <v/>
      </c>
      <c r="L382" s="133" t="str">
        <f>IF($A382&lt;&gt;0,VLOOKUP($A382,'0.Productos'!$A$3:$GG$587,'0.Productos'!BD$1+1,0),"")</f>
        <v/>
      </c>
      <c r="M382" s="133" t="str">
        <f>IF($A382&lt;&gt;0,VLOOKUP($A382,'0.Productos'!$A$3:$GG$587,'0.Productos'!BE$1+1,0),"")</f>
        <v/>
      </c>
      <c r="N382" s="133" t="str">
        <f>IF($A382&lt;&gt;0,VLOOKUP($A382,'0.Productos'!$A$3:$GG$587,'0.Productos'!BF$1+1,0),"")</f>
        <v/>
      </c>
      <c r="O382" s="133" t="str">
        <f>IF($A382&lt;&gt;0,VLOOKUP($A382,'0.Productos'!$A$3:$GG$587,'0.Productos'!BG$1+1,0),"")</f>
        <v/>
      </c>
      <c r="P382" s="133" t="str">
        <f>IF($A382&lt;&gt;0,VLOOKUP($A382,'0.Productos'!$A$3:$GG$587,'0.Productos'!BH$1+1,0),"")</f>
        <v/>
      </c>
      <c r="Q382" s="133" t="str">
        <f>IF($A382&lt;&gt;0,VLOOKUP($A382,'0.Productos'!$A$3:$GG$587,'0.Productos'!BI$1+1,0),"")</f>
        <v/>
      </c>
      <c r="R382" s="133" t="str">
        <f>IF($A382&lt;&gt;0,VLOOKUP($A382,'0.Productos'!$A$3:$GG$587,'0.Productos'!BJ$1+1,0),"")</f>
        <v/>
      </c>
      <c r="S382" s="133" t="str">
        <f>IF($A382&lt;&gt;0,VLOOKUP($A382,'0.Productos'!$A$3:$GG$587,'0.Productos'!BK$1+1,0),"")</f>
        <v/>
      </c>
      <c r="T382" s="133" t="str">
        <f>IF($A382&lt;&gt;0,VLOOKUP($A382,'0.Productos'!$A$3:$GG$587,'0.Productos'!BL$1+1,0),"")</f>
        <v/>
      </c>
      <c r="U382" s="133" t="str">
        <f>IF($A382&lt;&gt;0,VLOOKUP($A382,'0.Productos'!$A$3:$GG$587,'0.Productos'!BM$1+1,0),"")</f>
        <v/>
      </c>
      <c r="V382" s="133" t="str">
        <f>IF($A382&lt;&gt;0,VLOOKUP($A382,'0.Productos'!$A$3:$GG$587,'0.Productos'!BN$1+1,0),"")</f>
        <v/>
      </c>
      <c r="W382" s="133" t="str">
        <f>IF($A382&lt;&gt;0,VLOOKUP($A382,'0.Productos'!$A$3:$GG$587,'0.Productos'!BO$1+1,0),"")</f>
        <v/>
      </c>
      <c r="X382" s="133" t="str">
        <f>IF($A382&lt;&gt;0,VLOOKUP($A382,'0.Productos'!$A$3:$GG$587,'0.Productos'!BP$1+1,0),"")</f>
        <v/>
      </c>
      <c r="Y382" s="133" t="str">
        <f>IF($A382&lt;&gt;0,VLOOKUP($A382,'0.Productos'!$A$3:$GG$587,'0.Productos'!BQ$1+1,0),"")</f>
        <v/>
      </c>
      <c r="Z382" s="133" t="str">
        <f>IF($A382&lt;&gt;0,VLOOKUP($A382,'0.Productos'!$A$3:$GG$587,'0.Productos'!BR$1+1,0),"")</f>
        <v/>
      </c>
      <c r="AA382" s="133" t="str">
        <f>IF($A382&lt;&gt;0,VLOOKUP($A382,'0.Productos'!$A$3:$GG$587,'0.Productos'!BS$1+1,0),"")</f>
        <v/>
      </c>
      <c r="AB382" s="133" t="str">
        <f>IF($A382&lt;&gt;0,VLOOKUP($A382,'0.Productos'!$A$3:$GG$587,'0.Productos'!BT$1+1,0),"")</f>
        <v/>
      </c>
      <c r="AC382" s="133" t="str">
        <f>IF($A382&lt;&gt;0,VLOOKUP($A382,'0.Productos'!$A$3:$GG$587,'0.Productos'!BU$1+1,0),"")</f>
        <v/>
      </c>
      <c r="AD382" s="133" t="str">
        <f>IF($A382&lt;&gt;0,VLOOKUP($A382,'0.Productos'!$A$3:$GG$587,'0.Productos'!BV$1+1,0),"")</f>
        <v/>
      </c>
      <c r="AE382" s="133" t="str">
        <f>IF($A382&lt;&gt;0,VLOOKUP($A382,'0.Productos'!$A$3:$GG$587,'0.Productos'!BW$1+1,0),"")</f>
        <v/>
      </c>
      <c r="AF382" s="133" t="str">
        <f>IF($A382&lt;&gt;0,VLOOKUP($A382,'0.Productos'!$A$3:$GG$587,'0.Productos'!BX$1+1,0),"")</f>
        <v/>
      </c>
      <c r="AG382" s="133" t="str">
        <f>IF($A382&lt;&gt;0,VLOOKUP($A382,'0.Productos'!$A$3:$GG$587,'0.Productos'!BY$1+1,0),"")</f>
        <v/>
      </c>
      <c r="AH382" s="133" t="str">
        <f>IF($A382&lt;&gt;0,VLOOKUP($A382,'0.Productos'!$A$3:$GG$587,'0.Productos'!BZ$1+1,0),"")</f>
        <v/>
      </c>
      <c r="AI382" s="133" t="str">
        <f>IF($A382&lt;&gt;0,VLOOKUP($A382,'0.Productos'!$A$3:$GG$587,'0.Productos'!CA$1+1,0),"")</f>
        <v/>
      </c>
      <c r="AJ382" s="133" t="str">
        <f>IF($A382&lt;&gt;0,VLOOKUP($A382,'0.Productos'!$A$3:$GG$587,'0.Productos'!CB$1+1,0),"")</f>
        <v/>
      </c>
      <c r="AK382" s="133" t="str">
        <f>IF($A382&lt;&gt;0,VLOOKUP($A382,'0.Productos'!$A$3:$GG$587,'0.Productos'!CC$1+1,0),"")</f>
        <v/>
      </c>
      <c r="AL382" s="133" t="str">
        <f>IF($A382&lt;&gt;0,VLOOKUP($A382,'0.Productos'!$A$3:$GG$587,'0.Productos'!CD$1+1,0),"")</f>
        <v/>
      </c>
      <c r="AM382" s="133" t="str">
        <f>IF($A382&lt;&gt;0,VLOOKUP($A382,'0.Productos'!$A$3:$GG$587,'0.Productos'!CE$1+1,0),"")</f>
        <v/>
      </c>
      <c r="AN382" s="133" t="str">
        <f>IF($A382&lt;&gt;0,VLOOKUP($A382,'0.Productos'!$A$3:$GG$587,'0.Productos'!CF$1+1,0),"")</f>
        <v/>
      </c>
      <c r="AO382" s="133" t="str">
        <f>IF($A382&lt;&gt;0,VLOOKUP($A382,'0.Productos'!$A$3:$GG$587,'0.Productos'!CG$1+1,0),"")</f>
        <v/>
      </c>
      <c r="AP382" s="133" t="str">
        <f>IF($A382&lt;&gt;0,VLOOKUP($A382,'0.Productos'!$A$3:$GG$587,'0.Productos'!CH$1+1,0),"")</f>
        <v/>
      </c>
      <c r="AQ382" s="133" t="str">
        <f>IF($A382&lt;&gt;0,VLOOKUP($A382,'0.Productos'!$A$3:$GG$587,'0.Productos'!CI$1+1,0),"")</f>
        <v/>
      </c>
      <c r="AR382" s="133" t="str">
        <f>IF($A382&lt;&gt;0,VLOOKUP($A382,'0.Productos'!$A$3:$GG$587,'0.Productos'!CJ$1+1,0),"")</f>
        <v/>
      </c>
      <c r="AS382" s="133" t="str">
        <f>IF($A382&lt;&gt;0,VLOOKUP($A382,'0.Productos'!$A$3:$GG$587,'0.Productos'!CK$1+1,0),"")</f>
        <v/>
      </c>
      <c r="AT382" s="133" t="str">
        <f>IF($A382&lt;&gt;0,VLOOKUP($A382,'0.Productos'!$A$3:$GG$587,'0.Productos'!CL$1+1,0),"")</f>
        <v/>
      </c>
      <c r="AU382" s="133" t="str">
        <f>IF($A382&lt;&gt;0,VLOOKUP($A382,'0.Productos'!$A$3:$GG$587,'0.Productos'!CM$1+1,0),"")</f>
        <v/>
      </c>
      <c r="AV382" s="133" t="str">
        <f>IF($A382&lt;&gt;0,VLOOKUP($A382,'0.Productos'!$A$3:$GG$587,'0.Productos'!CN$1+1,0),"")</f>
        <v/>
      </c>
      <c r="AW382" s="133" t="str">
        <f>IF($A382&lt;&gt;0,VLOOKUP($A382,'0.Productos'!$A$3:$GG$587,'0.Productos'!CO$1+1,0),"")</f>
        <v/>
      </c>
      <c r="AX382" s="133" t="str">
        <f>IF($A382&lt;&gt;0,VLOOKUP($A382,'0.Productos'!$A$3:$GG$587,'0.Productos'!CP$1+1,0),"")</f>
        <v/>
      </c>
      <c r="AY382" s="133" t="str">
        <f>IF($A382&lt;&gt;0,VLOOKUP($A382,'0.Productos'!$A$3:$GG$587,'0.Productos'!CQ$1+1,0),"")</f>
        <v/>
      </c>
      <c r="AZ382" s="133" t="str">
        <f>IF($A382&lt;&gt;0,VLOOKUP($A382,'0.Productos'!$A$3:$GG$587,'0.Productos'!CR$1+1,0),"")</f>
        <v/>
      </c>
      <c r="BA382" s="133" t="str">
        <f>IF($A382&lt;&gt;0,VLOOKUP($A382,'0.Productos'!$A$3:$GG$587,'0.Productos'!CS$1+1,0),"")</f>
        <v/>
      </c>
      <c r="BB382" s="133" t="str">
        <f>IF($A382&lt;&gt;0,VLOOKUP($A382,'0.Productos'!$A$3:$GG$587,'0.Productos'!CT$1+1,0),"")</f>
        <v/>
      </c>
      <c r="BC382" s="133" t="str">
        <f>IF($A382&lt;&gt;0,VLOOKUP($A382,'0.Productos'!$A$3:$GG$587,'0.Productos'!CU$1+1,0),"")</f>
        <v/>
      </c>
      <c r="BD382" s="133" t="str">
        <f>IF($A382&lt;&gt;0,VLOOKUP($A382,'0.Productos'!$A$3:$GG$587,'0.Productos'!CV$1+1,0),"")</f>
        <v/>
      </c>
      <c r="BE382" s="133" t="str">
        <f>IF($A382&lt;&gt;0,VLOOKUP($A382,'0.Productos'!$A$3:$GG$587,'0.Productos'!CW$1+1,0),"")</f>
        <v/>
      </c>
      <c r="BF382" s="133" t="str">
        <f>IF($A382&lt;&gt;0,VLOOKUP($A382,'0.Productos'!$A$3:$GG$587,'0.Productos'!CX$1+1,0),"")</f>
        <v/>
      </c>
      <c r="BG382" s="133" t="str">
        <f>IF($A382&lt;&gt;0,VLOOKUP($A382,'0.Productos'!$A$3:$GG$587,'0.Productos'!CY$1+1,0),"")</f>
        <v/>
      </c>
      <c r="BH382" s="133" t="str">
        <f>IF($A382&lt;&gt;0,VLOOKUP($A382,'0.Productos'!$A$3:$GG$587,'0.Productos'!CZ$1+1,0),"")</f>
        <v/>
      </c>
      <c r="BI382" s="133" t="str">
        <f>IF($A382&lt;&gt;0,VLOOKUP($A382,'0.Productos'!$A$3:$GG$587,'0.Productos'!DA$1+1,0),"")</f>
        <v/>
      </c>
      <c r="BJ382" s="133" t="str">
        <f>IF($A382&lt;&gt;0,VLOOKUP($A382,'0.Productos'!$A$3:$GG$587,'0.Productos'!DB$1+1,0),"")</f>
        <v/>
      </c>
      <c r="BK382" s="133" t="str">
        <f>IF($A382&lt;&gt;0,VLOOKUP($A382,'0.Productos'!$A$3:$GG$587,'0.Productos'!DC$1+1,0),"")</f>
        <v/>
      </c>
      <c r="BL382" s="133" t="str">
        <f>IF($A382&lt;&gt;0,VLOOKUP($A382,'0.Productos'!$A$3:$GG$587,'0.Productos'!DD$1+1,0),"")</f>
        <v/>
      </c>
      <c r="BM382" s="133" t="str">
        <f>IF($A382&lt;&gt;0,VLOOKUP($A382,'0.Productos'!$A$3:$GG$587,'0.Productos'!DE$1+1,0),"")</f>
        <v/>
      </c>
      <c r="BN382" s="133" t="str">
        <f>IF($A382&lt;&gt;0,VLOOKUP($A382,'0.Productos'!$A$3:$GG$587,'0.Productos'!DF$1+1,0),"")</f>
        <v/>
      </c>
      <c r="BO382" s="133" t="str">
        <f>IF($A382&lt;&gt;0,VLOOKUP($A382,'0.Productos'!$A$3:$GG$587,'0.Productos'!DG$1+1,0),"")</f>
        <v/>
      </c>
      <c r="BP382" s="133" t="str">
        <f>IF($A382&lt;&gt;0,VLOOKUP($A382,'0.Productos'!$A$3:$GG$587,'0.Productos'!DH$1+1,0),"")</f>
        <v/>
      </c>
      <c r="BQ382" s="133" t="str">
        <f>IF($A382&lt;&gt;0,VLOOKUP($A382,'0.Productos'!$A$3:$GG$587,'0.Productos'!DI$1+1,0),"")</f>
        <v/>
      </c>
      <c r="BR382" s="133" t="str">
        <f>IF($A382&lt;&gt;0,VLOOKUP($A382,'0.Productos'!$A$3:$GG$587,'0.Productos'!DJ$1+1,0),"")</f>
        <v/>
      </c>
      <c r="BS382" s="133" t="str">
        <f>IF($A382&lt;&gt;0,VLOOKUP($A382,'0.Productos'!$A$3:$GG$587,'0.Productos'!DK$1+1,0),"")</f>
        <v/>
      </c>
      <c r="BT382" s="133" t="str">
        <f>IF($A382&lt;&gt;0,VLOOKUP($A382,'0.Productos'!$A$3:$GG$587,'0.Productos'!DL$1+1,0),"")</f>
        <v/>
      </c>
    </row>
    <row r="383" spans="1:72" x14ac:dyDescent="0.25">
      <c r="A383" s="17">
        <f>'0.Consolidado general'!A383</f>
        <v>0</v>
      </c>
      <c r="B383" s="133" t="str">
        <f>IF($A383&lt;&gt;0,VLOOKUP($A383,'0.Productos'!$A$3:$GG$587,'0.Productos'!AT$1+1,0),"")</f>
        <v/>
      </c>
      <c r="C383" s="133" t="str">
        <f>IF($A383&lt;&gt;0,VLOOKUP($A383,'0.Productos'!$A$3:$GG$587,'0.Productos'!AU$1+1,0),"")</f>
        <v/>
      </c>
      <c r="D383" s="133" t="str">
        <f>IF($A383&lt;&gt;0,VLOOKUP($A383,'0.Productos'!$A$3:$GG$587,'0.Productos'!AV$1+1,0),"")</f>
        <v/>
      </c>
      <c r="E383" s="133" t="str">
        <f>IF($A383&lt;&gt;0,VLOOKUP($A383,'0.Productos'!$A$3:$GG$587,'0.Productos'!AW$1+1,0),"")</f>
        <v/>
      </c>
      <c r="F383" s="133" t="str">
        <f>IF($A383&lt;&gt;0,VLOOKUP($A383,'0.Productos'!$A$3:$GG$587,'0.Productos'!AX$1+1,0),"")</f>
        <v/>
      </c>
      <c r="G383" s="133" t="str">
        <f>IF($A383&lt;&gt;0,VLOOKUP($A383,'0.Productos'!$A$3:$GG$587,'0.Productos'!AY$1+1,0),"")</f>
        <v/>
      </c>
      <c r="H383" s="133" t="str">
        <f>IF($A383&lt;&gt;0,VLOOKUP($A383,'0.Productos'!$A$3:$GG$587,'0.Productos'!AZ$1+1,0),"")</f>
        <v/>
      </c>
      <c r="I383" s="133" t="str">
        <f>IF($A383&lt;&gt;0,VLOOKUP($A383,'0.Productos'!$A$3:$GG$587,'0.Productos'!BA$1+1,0),"")</f>
        <v/>
      </c>
      <c r="J383" s="133" t="str">
        <f>IF($A383&lt;&gt;0,VLOOKUP($A383,'0.Productos'!$A$3:$GG$587,'0.Productos'!BB$1+1,0),"")</f>
        <v/>
      </c>
      <c r="K383" s="133" t="str">
        <f>IF($A383&lt;&gt;0,VLOOKUP($A383,'0.Productos'!$A$3:$GG$587,'0.Productos'!BC$1+1,0),"")</f>
        <v/>
      </c>
      <c r="L383" s="133" t="str">
        <f>IF($A383&lt;&gt;0,VLOOKUP($A383,'0.Productos'!$A$3:$GG$587,'0.Productos'!BD$1+1,0),"")</f>
        <v/>
      </c>
      <c r="M383" s="133" t="str">
        <f>IF($A383&lt;&gt;0,VLOOKUP($A383,'0.Productos'!$A$3:$GG$587,'0.Productos'!BE$1+1,0),"")</f>
        <v/>
      </c>
      <c r="N383" s="133" t="str">
        <f>IF($A383&lt;&gt;0,VLOOKUP($A383,'0.Productos'!$A$3:$GG$587,'0.Productos'!BF$1+1,0),"")</f>
        <v/>
      </c>
      <c r="O383" s="133" t="str">
        <f>IF($A383&lt;&gt;0,VLOOKUP($A383,'0.Productos'!$A$3:$GG$587,'0.Productos'!BG$1+1,0),"")</f>
        <v/>
      </c>
      <c r="P383" s="133" t="str">
        <f>IF($A383&lt;&gt;0,VLOOKUP($A383,'0.Productos'!$A$3:$GG$587,'0.Productos'!BH$1+1,0),"")</f>
        <v/>
      </c>
      <c r="Q383" s="133" t="str">
        <f>IF($A383&lt;&gt;0,VLOOKUP($A383,'0.Productos'!$A$3:$GG$587,'0.Productos'!BI$1+1,0),"")</f>
        <v/>
      </c>
      <c r="R383" s="133" t="str">
        <f>IF($A383&lt;&gt;0,VLOOKUP($A383,'0.Productos'!$A$3:$GG$587,'0.Productos'!BJ$1+1,0),"")</f>
        <v/>
      </c>
      <c r="S383" s="133" t="str">
        <f>IF($A383&lt;&gt;0,VLOOKUP($A383,'0.Productos'!$A$3:$GG$587,'0.Productos'!BK$1+1,0),"")</f>
        <v/>
      </c>
      <c r="T383" s="133" t="str">
        <f>IF($A383&lt;&gt;0,VLOOKUP($A383,'0.Productos'!$A$3:$GG$587,'0.Productos'!BL$1+1,0),"")</f>
        <v/>
      </c>
      <c r="U383" s="133" t="str">
        <f>IF($A383&lt;&gt;0,VLOOKUP($A383,'0.Productos'!$A$3:$GG$587,'0.Productos'!BM$1+1,0),"")</f>
        <v/>
      </c>
      <c r="V383" s="133" t="str">
        <f>IF($A383&lt;&gt;0,VLOOKUP($A383,'0.Productos'!$A$3:$GG$587,'0.Productos'!BN$1+1,0),"")</f>
        <v/>
      </c>
      <c r="W383" s="133" t="str">
        <f>IF($A383&lt;&gt;0,VLOOKUP($A383,'0.Productos'!$A$3:$GG$587,'0.Productos'!BO$1+1,0),"")</f>
        <v/>
      </c>
      <c r="X383" s="133" t="str">
        <f>IF($A383&lt;&gt;0,VLOOKUP($A383,'0.Productos'!$A$3:$GG$587,'0.Productos'!BP$1+1,0),"")</f>
        <v/>
      </c>
      <c r="Y383" s="133" t="str">
        <f>IF($A383&lt;&gt;0,VLOOKUP($A383,'0.Productos'!$A$3:$GG$587,'0.Productos'!BQ$1+1,0),"")</f>
        <v/>
      </c>
      <c r="Z383" s="133" t="str">
        <f>IF($A383&lt;&gt;0,VLOOKUP($A383,'0.Productos'!$A$3:$GG$587,'0.Productos'!BR$1+1,0),"")</f>
        <v/>
      </c>
      <c r="AA383" s="133" t="str">
        <f>IF($A383&lt;&gt;0,VLOOKUP($A383,'0.Productos'!$A$3:$GG$587,'0.Productos'!BS$1+1,0),"")</f>
        <v/>
      </c>
      <c r="AB383" s="133" t="str">
        <f>IF($A383&lt;&gt;0,VLOOKUP($A383,'0.Productos'!$A$3:$GG$587,'0.Productos'!BT$1+1,0),"")</f>
        <v/>
      </c>
      <c r="AC383" s="133" t="str">
        <f>IF($A383&lt;&gt;0,VLOOKUP($A383,'0.Productos'!$A$3:$GG$587,'0.Productos'!BU$1+1,0),"")</f>
        <v/>
      </c>
      <c r="AD383" s="133" t="str">
        <f>IF($A383&lt;&gt;0,VLOOKUP($A383,'0.Productos'!$A$3:$GG$587,'0.Productos'!BV$1+1,0),"")</f>
        <v/>
      </c>
      <c r="AE383" s="133" t="str">
        <f>IF($A383&lt;&gt;0,VLOOKUP($A383,'0.Productos'!$A$3:$GG$587,'0.Productos'!BW$1+1,0),"")</f>
        <v/>
      </c>
      <c r="AF383" s="133" t="str">
        <f>IF($A383&lt;&gt;0,VLOOKUP($A383,'0.Productos'!$A$3:$GG$587,'0.Productos'!BX$1+1,0),"")</f>
        <v/>
      </c>
      <c r="AG383" s="133" t="str">
        <f>IF($A383&lt;&gt;0,VLOOKUP($A383,'0.Productos'!$A$3:$GG$587,'0.Productos'!BY$1+1,0),"")</f>
        <v/>
      </c>
      <c r="AH383" s="133" t="str">
        <f>IF($A383&lt;&gt;0,VLOOKUP($A383,'0.Productos'!$A$3:$GG$587,'0.Productos'!BZ$1+1,0),"")</f>
        <v/>
      </c>
      <c r="AI383" s="133" t="str">
        <f>IF($A383&lt;&gt;0,VLOOKUP($A383,'0.Productos'!$A$3:$GG$587,'0.Productos'!CA$1+1,0),"")</f>
        <v/>
      </c>
      <c r="AJ383" s="133" t="str">
        <f>IF($A383&lt;&gt;0,VLOOKUP($A383,'0.Productos'!$A$3:$GG$587,'0.Productos'!CB$1+1,0),"")</f>
        <v/>
      </c>
      <c r="AK383" s="133" t="str">
        <f>IF($A383&lt;&gt;0,VLOOKUP($A383,'0.Productos'!$A$3:$GG$587,'0.Productos'!CC$1+1,0),"")</f>
        <v/>
      </c>
      <c r="AL383" s="133" t="str">
        <f>IF($A383&lt;&gt;0,VLOOKUP($A383,'0.Productos'!$A$3:$GG$587,'0.Productos'!CD$1+1,0),"")</f>
        <v/>
      </c>
      <c r="AM383" s="133" t="str">
        <f>IF($A383&lt;&gt;0,VLOOKUP($A383,'0.Productos'!$A$3:$GG$587,'0.Productos'!CE$1+1,0),"")</f>
        <v/>
      </c>
      <c r="AN383" s="133" t="str">
        <f>IF($A383&lt;&gt;0,VLOOKUP($A383,'0.Productos'!$A$3:$GG$587,'0.Productos'!CF$1+1,0),"")</f>
        <v/>
      </c>
      <c r="AO383" s="133" t="str">
        <f>IF($A383&lt;&gt;0,VLOOKUP($A383,'0.Productos'!$A$3:$GG$587,'0.Productos'!CG$1+1,0),"")</f>
        <v/>
      </c>
      <c r="AP383" s="133" t="str">
        <f>IF($A383&lt;&gt;0,VLOOKUP($A383,'0.Productos'!$A$3:$GG$587,'0.Productos'!CH$1+1,0),"")</f>
        <v/>
      </c>
      <c r="AQ383" s="133" t="str">
        <f>IF($A383&lt;&gt;0,VLOOKUP($A383,'0.Productos'!$A$3:$GG$587,'0.Productos'!CI$1+1,0),"")</f>
        <v/>
      </c>
      <c r="AR383" s="133" t="str">
        <f>IF($A383&lt;&gt;0,VLOOKUP($A383,'0.Productos'!$A$3:$GG$587,'0.Productos'!CJ$1+1,0),"")</f>
        <v/>
      </c>
      <c r="AS383" s="133" t="str">
        <f>IF($A383&lt;&gt;0,VLOOKUP($A383,'0.Productos'!$A$3:$GG$587,'0.Productos'!CK$1+1,0),"")</f>
        <v/>
      </c>
      <c r="AT383" s="133" t="str">
        <f>IF($A383&lt;&gt;0,VLOOKUP($A383,'0.Productos'!$A$3:$GG$587,'0.Productos'!CL$1+1,0),"")</f>
        <v/>
      </c>
      <c r="AU383" s="133" t="str">
        <f>IF($A383&lt;&gt;0,VLOOKUP($A383,'0.Productos'!$A$3:$GG$587,'0.Productos'!CM$1+1,0),"")</f>
        <v/>
      </c>
      <c r="AV383" s="133" t="str">
        <f>IF($A383&lt;&gt;0,VLOOKUP($A383,'0.Productos'!$A$3:$GG$587,'0.Productos'!CN$1+1,0),"")</f>
        <v/>
      </c>
      <c r="AW383" s="133" t="str">
        <f>IF($A383&lt;&gt;0,VLOOKUP($A383,'0.Productos'!$A$3:$GG$587,'0.Productos'!CO$1+1,0),"")</f>
        <v/>
      </c>
      <c r="AX383" s="133" t="str">
        <f>IF($A383&lt;&gt;0,VLOOKUP($A383,'0.Productos'!$A$3:$GG$587,'0.Productos'!CP$1+1,0),"")</f>
        <v/>
      </c>
      <c r="AY383" s="133" t="str">
        <f>IF($A383&lt;&gt;0,VLOOKUP($A383,'0.Productos'!$A$3:$GG$587,'0.Productos'!CQ$1+1,0),"")</f>
        <v/>
      </c>
      <c r="AZ383" s="133" t="str">
        <f>IF($A383&lt;&gt;0,VLOOKUP($A383,'0.Productos'!$A$3:$GG$587,'0.Productos'!CR$1+1,0),"")</f>
        <v/>
      </c>
      <c r="BA383" s="133" t="str">
        <f>IF($A383&lt;&gt;0,VLOOKUP($A383,'0.Productos'!$A$3:$GG$587,'0.Productos'!CS$1+1,0),"")</f>
        <v/>
      </c>
      <c r="BB383" s="133" t="str">
        <f>IF($A383&lt;&gt;0,VLOOKUP($A383,'0.Productos'!$A$3:$GG$587,'0.Productos'!CT$1+1,0),"")</f>
        <v/>
      </c>
      <c r="BC383" s="133" t="str">
        <f>IF($A383&lt;&gt;0,VLOOKUP($A383,'0.Productos'!$A$3:$GG$587,'0.Productos'!CU$1+1,0),"")</f>
        <v/>
      </c>
      <c r="BD383" s="133" t="str">
        <f>IF($A383&lt;&gt;0,VLOOKUP($A383,'0.Productos'!$A$3:$GG$587,'0.Productos'!CV$1+1,0),"")</f>
        <v/>
      </c>
      <c r="BE383" s="133" t="str">
        <f>IF($A383&lt;&gt;0,VLOOKUP($A383,'0.Productos'!$A$3:$GG$587,'0.Productos'!CW$1+1,0),"")</f>
        <v/>
      </c>
      <c r="BF383" s="133" t="str">
        <f>IF($A383&lt;&gt;0,VLOOKUP($A383,'0.Productos'!$A$3:$GG$587,'0.Productos'!CX$1+1,0),"")</f>
        <v/>
      </c>
      <c r="BG383" s="133" t="str">
        <f>IF($A383&lt;&gt;0,VLOOKUP($A383,'0.Productos'!$A$3:$GG$587,'0.Productos'!CY$1+1,0),"")</f>
        <v/>
      </c>
      <c r="BH383" s="133" t="str">
        <f>IF($A383&lt;&gt;0,VLOOKUP($A383,'0.Productos'!$A$3:$GG$587,'0.Productos'!CZ$1+1,0),"")</f>
        <v/>
      </c>
      <c r="BI383" s="133" t="str">
        <f>IF($A383&lt;&gt;0,VLOOKUP($A383,'0.Productos'!$A$3:$GG$587,'0.Productos'!DA$1+1,0),"")</f>
        <v/>
      </c>
      <c r="BJ383" s="133" t="str">
        <f>IF($A383&lt;&gt;0,VLOOKUP($A383,'0.Productos'!$A$3:$GG$587,'0.Productos'!DB$1+1,0),"")</f>
        <v/>
      </c>
      <c r="BK383" s="133" t="str">
        <f>IF($A383&lt;&gt;0,VLOOKUP($A383,'0.Productos'!$A$3:$GG$587,'0.Productos'!DC$1+1,0),"")</f>
        <v/>
      </c>
      <c r="BL383" s="133" t="str">
        <f>IF($A383&lt;&gt;0,VLOOKUP($A383,'0.Productos'!$A$3:$GG$587,'0.Productos'!DD$1+1,0),"")</f>
        <v/>
      </c>
      <c r="BM383" s="133" t="str">
        <f>IF($A383&lt;&gt;0,VLOOKUP($A383,'0.Productos'!$A$3:$GG$587,'0.Productos'!DE$1+1,0),"")</f>
        <v/>
      </c>
      <c r="BN383" s="133" t="str">
        <f>IF($A383&lt;&gt;0,VLOOKUP($A383,'0.Productos'!$A$3:$GG$587,'0.Productos'!DF$1+1,0),"")</f>
        <v/>
      </c>
      <c r="BO383" s="133" t="str">
        <f>IF($A383&lt;&gt;0,VLOOKUP($A383,'0.Productos'!$A$3:$GG$587,'0.Productos'!DG$1+1,0),"")</f>
        <v/>
      </c>
      <c r="BP383" s="133" t="str">
        <f>IF($A383&lt;&gt;0,VLOOKUP($A383,'0.Productos'!$A$3:$GG$587,'0.Productos'!DH$1+1,0),"")</f>
        <v/>
      </c>
      <c r="BQ383" s="133" t="str">
        <f>IF($A383&lt;&gt;0,VLOOKUP($A383,'0.Productos'!$A$3:$GG$587,'0.Productos'!DI$1+1,0),"")</f>
        <v/>
      </c>
      <c r="BR383" s="133" t="str">
        <f>IF($A383&lt;&gt;0,VLOOKUP($A383,'0.Productos'!$A$3:$GG$587,'0.Productos'!DJ$1+1,0),"")</f>
        <v/>
      </c>
      <c r="BS383" s="133" t="str">
        <f>IF($A383&lt;&gt;0,VLOOKUP($A383,'0.Productos'!$A$3:$GG$587,'0.Productos'!DK$1+1,0),"")</f>
        <v/>
      </c>
      <c r="BT383" s="133" t="str">
        <f>IF($A383&lt;&gt;0,VLOOKUP($A383,'0.Productos'!$A$3:$GG$587,'0.Productos'!DL$1+1,0),"")</f>
        <v/>
      </c>
    </row>
    <row r="384" spans="1:72" x14ac:dyDescent="0.25">
      <c r="A384" s="17">
        <f>'0.Consolidado general'!A384</f>
        <v>0</v>
      </c>
      <c r="B384" s="133" t="str">
        <f>IF($A384&lt;&gt;0,VLOOKUP($A384,'0.Productos'!$A$3:$GG$587,'0.Productos'!AT$1+1,0),"")</f>
        <v/>
      </c>
      <c r="C384" s="133" t="str">
        <f>IF($A384&lt;&gt;0,VLOOKUP($A384,'0.Productos'!$A$3:$GG$587,'0.Productos'!AU$1+1,0),"")</f>
        <v/>
      </c>
      <c r="D384" s="133" t="str">
        <f>IF($A384&lt;&gt;0,VLOOKUP($A384,'0.Productos'!$A$3:$GG$587,'0.Productos'!AV$1+1,0),"")</f>
        <v/>
      </c>
      <c r="E384" s="133" t="str">
        <f>IF($A384&lt;&gt;0,VLOOKUP($A384,'0.Productos'!$A$3:$GG$587,'0.Productos'!AW$1+1,0),"")</f>
        <v/>
      </c>
      <c r="F384" s="133" t="str">
        <f>IF($A384&lt;&gt;0,VLOOKUP($A384,'0.Productos'!$A$3:$GG$587,'0.Productos'!AX$1+1,0),"")</f>
        <v/>
      </c>
      <c r="G384" s="133" t="str">
        <f>IF($A384&lt;&gt;0,VLOOKUP($A384,'0.Productos'!$A$3:$GG$587,'0.Productos'!AY$1+1,0),"")</f>
        <v/>
      </c>
      <c r="H384" s="133" t="str">
        <f>IF($A384&lt;&gt;0,VLOOKUP($A384,'0.Productos'!$A$3:$GG$587,'0.Productos'!AZ$1+1,0),"")</f>
        <v/>
      </c>
      <c r="I384" s="133" t="str">
        <f>IF($A384&lt;&gt;0,VLOOKUP($A384,'0.Productos'!$A$3:$GG$587,'0.Productos'!BA$1+1,0),"")</f>
        <v/>
      </c>
      <c r="J384" s="133" t="str">
        <f>IF($A384&lt;&gt;0,VLOOKUP($A384,'0.Productos'!$A$3:$GG$587,'0.Productos'!BB$1+1,0),"")</f>
        <v/>
      </c>
      <c r="K384" s="133" t="str">
        <f>IF($A384&lt;&gt;0,VLOOKUP($A384,'0.Productos'!$A$3:$GG$587,'0.Productos'!BC$1+1,0),"")</f>
        <v/>
      </c>
      <c r="L384" s="133" t="str">
        <f>IF($A384&lt;&gt;0,VLOOKUP($A384,'0.Productos'!$A$3:$GG$587,'0.Productos'!BD$1+1,0),"")</f>
        <v/>
      </c>
      <c r="M384" s="133" t="str">
        <f>IF($A384&lt;&gt;0,VLOOKUP($A384,'0.Productos'!$A$3:$GG$587,'0.Productos'!BE$1+1,0),"")</f>
        <v/>
      </c>
      <c r="N384" s="133" t="str">
        <f>IF($A384&lt;&gt;0,VLOOKUP($A384,'0.Productos'!$A$3:$GG$587,'0.Productos'!BF$1+1,0),"")</f>
        <v/>
      </c>
      <c r="O384" s="133" t="str">
        <f>IF($A384&lt;&gt;0,VLOOKUP($A384,'0.Productos'!$A$3:$GG$587,'0.Productos'!BG$1+1,0),"")</f>
        <v/>
      </c>
      <c r="P384" s="133" t="str">
        <f>IF($A384&lt;&gt;0,VLOOKUP($A384,'0.Productos'!$A$3:$GG$587,'0.Productos'!BH$1+1,0),"")</f>
        <v/>
      </c>
      <c r="Q384" s="133" t="str">
        <f>IF($A384&lt;&gt;0,VLOOKUP($A384,'0.Productos'!$A$3:$GG$587,'0.Productos'!BI$1+1,0),"")</f>
        <v/>
      </c>
      <c r="R384" s="133" t="str">
        <f>IF($A384&lt;&gt;0,VLOOKUP($A384,'0.Productos'!$A$3:$GG$587,'0.Productos'!BJ$1+1,0),"")</f>
        <v/>
      </c>
      <c r="S384" s="133" t="str">
        <f>IF($A384&lt;&gt;0,VLOOKUP($A384,'0.Productos'!$A$3:$GG$587,'0.Productos'!BK$1+1,0),"")</f>
        <v/>
      </c>
      <c r="T384" s="133" t="str">
        <f>IF($A384&lt;&gt;0,VLOOKUP($A384,'0.Productos'!$A$3:$GG$587,'0.Productos'!BL$1+1,0),"")</f>
        <v/>
      </c>
      <c r="U384" s="133" t="str">
        <f>IF($A384&lt;&gt;0,VLOOKUP($A384,'0.Productos'!$A$3:$GG$587,'0.Productos'!BM$1+1,0),"")</f>
        <v/>
      </c>
      <c r="V384" s="133" t="str">
        <f>IF($A384&lt;&gt;0,VLOOKUP($A384,'0.Productos'!$A$3:$GG$587,'0.Productos'!BN$1+1,0),"")</f>
        <v/>
      </c>
      <c r="W384" s="133" t="str">
        <f>IF($A384&lt;&gt;0,VLOOKUP($A384,'0.Productos'!$A$3:$GG$587,'0.Productos'!BO$1+1,0),"")</f>
        <v/>
      </c>
      <c r="X384" s="133" t="str">
        <f>IF($A384&lt;&gt;0,VLOOKUP($A384,'0.Productos'!$A$3:$GG$587,'0.Productos'!BP$1+1,0),"")</f>
        <v/>
      </c>
      <c r="Y384" s="133" t="str">
        <f>IF($A384&lt;&gt;0,VLOOKUP($A384,'0.Productos'!$A$3:$GG$587,'0.Productos'!BQ$1+1,0),"")</f>
        <v/>
      </c>
      <c r="Z384" s="133" t="str">
        <f>IF($A384&lt;&gt;0,VLOOKUP($A384,'0.Productos'!$A$3:$GG$587,'0.Productos'!BR$1+1,0),"")</f>
        <v/>
      </c>
      <c r="AA384" s="133" t="str">
        <f>IF($A384&lt;&gt;0,VLOOKUP($A384,'0.Productos'!$A$3:$GG$587,'0.Productos'!BS$1+1,0),"")</f>
        <v/>
      </c>
      <c r="AB384" s="133" t="str">
        <f>IF($A384&lt;&gt;0,VLOOKUP($A384,'0.Productos'!$A$3:$GG$587,'0.Productos'!BT$1+1,0),"")</f>
        <v/>
      </c>
      <c r="AC384" s="133" t="str">
        <f>IF($A384&lt;&gt;0,VLOOKUP($A384,'0.Productos'!$A$3:$GG$587,'0.Productos'!BU$1+1,0),"")</f>
        <v/>
      </c>
      <c r="AD384" s="133" t="str">
        <f>IF($A384&lt;&gt;0,VLOOKUP($A384,'0.Productos'!$A$3:$GG$587,'0.Productos'!BV$1+1,0),"")</f>
        <v/>
      </c>
      <c r="AE384" s="133" t="str">
        <f>IF($A384&lt;&gt;0,VLOOKUP($A384,'0.Productos'!$A$3:$GG$587,'0.Productos'!BW$1+1,0),"")</f>
        <v/>
      </c>
      <c r="AF384" s="133" t="str">
        <f>IF($A384&lt;&gt;0,VLOOKUP($A384,'0.Productos'!$A$3:$GG$587,'0.Productos'!BX$1+1,0),"")</f>
        <v/>
      </c>
      <c r="AG384" s="133" t="str">
        <f>IF($A384&lt;&gt;0,VLOOKUP($A384,'0.Productos'!$A$3:$GG$587,'0.Productos'!BY$1+1,0),"")</f>
        <v/>
      </c>
      <c r="AH384" s="133" t="str">
        <f>IF($A384&lt;&gt;0,VLOOKUP($A384,'0.Productos'!$A$3:$GG$587,'0.Productos'!BZ$1+1,0),"")</f>
        <v/>
      </c>
      <c r="AI384" s="133" t="str">
        <f>IF($A384&lt;&gt;0,VLOOKUP($A384,'0.Productos'!$A$3:$GG$587,'0.Productos'!CA$1+1,0),"")</f>
        <v/>
      </c>
      <c r="AJ384" s="133" t="str">
        <f>IF($A384&lt;&gt;0,VLOOKUP($A384,'0.Productos'!$A$3:$GG$587,'0.Productos'!CB$1+1,0),"")</f>
        <v/>
      </c>
      <c r="AK384" s="133" t="str">
        <f>IF($A384&lt;&gt;0,VLOOKUP($A384,'0.Productos'!$A$3:$GG$587,'0.Productos'!CC$1+1,0),"")</f>
        <v/>
      </c>
      <c r="AL384" s="133" t="str">
        <f>IF($A384&lt;&gt;0,VLOOKUP($A384,'0.Productos'!$A$3:$GG$587,'0.Productos'!CD$1+1,0),"")</f>
        <v/>
      </c>
      <c r="AM384" s="133" t="str">
        <f>IF($A384&lt;&gt;0,VLOOKUP($A384,'0.Productos'!$A$3:$GG$587,'0.Productos'!CE$1+1,0),"")</f>
        <v/>
      </c>
      <c r="AN384" s="133" t="str">
        <f>IF($A384&lt;&gt;0,VLOOKUP($A384,'0.Productos'!$A$3:$GG$587,'0.Productos'!CF$1+1,0),"")</f>
        <v/>
      </c>
      <c r="AO384" s="133" t="str">
        <f>IF($A384&lt;&gt;0,VLOOKUP($A384,'0.Productos'!$A$3:$GG$587,'0.Productos'!CG$1+1,0),"")</f>
        <v/>
      </c>
      <c r="AP384" s="133" t="str">
        <f>IF($A384&lt;&gt;0,VLOOKUP($A384,'0.Productos'!$A$3:$GG$587,'0.Productos'!CH$1+1,0),"")</f>
        <v/>
      </c>
      <c r="AQ384" s="133" t="str">
        <f>IF($A384&lt;&gt;0,VLOOKUP($A384,'0.Productos'!$A$3:$GG$587,'0.Productos'!CI$1+1,0),"")</f>
        <v/>
      </c>
      <c r="AR384" s="133" t="str">
        <f>IF($A384&lt;&gt;0,VLOOKUP($A384,'0.Productos'!$A$3:$GG$587,'0.Productos'!CJ$1+1,0),"")</f>
        <v/>
      </c>
      <c r="AS384" s="133" t="str">
        <f>IF($A384&lt;&gt;0,VLOOKUP($A384,'0.Productos'!$A$3:$GG$587,'0.Productos'!CK$1+1,0),"")</f>
        <v/>
      </c>
      <c r="AT384" s="133" t="str">
        <f>IF($A384&lt;&gt;0,VLOOKUP($A384,'0.Productos'!$A$3:$GG$587,'0.Productos'!CL$1+1,0),"")</f>
        <v/>
      </c>
      <c r="AU384" s="133" t="str">
        <f>IF($A384&lt;&gt;0,VLOOKUP($A384,'0.Productos'!$A$3:$GG$587,'0.Productos'!CM$1+1,0),"")</f>
        <v/>
      </c>
      <c r="AV384" s="133" t="str">
        <f>IF($A384&lt;&gt;0,VLOOKUP($A384,'0.Productos'!$A$3:$GG$587,'0.Productos'!CN$1+1,0),"")</f>
        <v/>
      </c>
      <c r="AW384" s="133" t="str">
        <f>IF($A384&lt;&gt;0,VLOOKUP($A384,'0.Productos'!$A$3:$GG$587,'0.Productos'!CO$1+1,0),"")</f>
        <v/>
      </c>
      <c r="AX384" s="133" t="str">
        <f>IF($A384&lt;&gt;0,VLOOKUP($A384,'0.Productos'!$A$3:$GG$587,'0.Productos'!CP$1+1,0),"")</f>
        <v/>
      </c>
      <c r="AY384" s="133" t="str">
        <f>IF($A384&lt;&gt;0,VLOOKUP($A384,'0.Productos'!$A$3:$GG$587,'0.Productos'!CQ$1+1,0),"")</f>
        <v/>
      </c>
      <c r="AZ384" s="133" t="str">
        <f>IF($A384&lt;&gt;0,VLOOKUP($A384,'0.Productos'!$A$3:$GG$587,'0.Productos'!CR$1+1,0),"")</f>
        <v/>
      </c>
      <c r="BA384" s="133" t="str">
        <f>IF($A384&lt;&gt;0,VLOOKUP($A384,'0.Productos'!$A$3:$GG$587,'0.Productos'!CS$1+1,0),"")</f>
        <v/>
      </c>
      <c r="BB384" s="133" t="str">
        <f>IF($A384&lt;&gt;0,VLOOKUP($A384,'0.Productos'!$A$3:$GG$587,'0.Productos'!CT$1+1,0),"")</f>
        <v/>
      </c>
      <c r="BC384" s="133" t="str">
        <f>IF($A384&lt;&gt;0,VLOOKUP($A384,'0.Productos'!$A$3:$GG$587,'0.Productos'!CU$1+1,0),"")</f>
        <v/>
      </c>
      <c r="BD384" s="133" t="str">
        <f>IF($A384&lt;&gt;0,VLOOKUP($A384,'0.Productos'!$A$3:$GG$587,'0.Productos'!CV$1+1,0),"")</f>
        <v/>
      </c>
      <c r="BE384" s="133" t="str">
        <f>IF($A384&lt;&gt;0,VLOOKUP($A384,'0.Productos'!$A$3:$GG$587,'0.Productos'!CW$1+1,0),"")</f>
        <v/>
      </c>
      <c r="BF384" s="133" t="str">
        <f>IF($A384&lt;&gt;0,VLOOKUP($A384,'0.Productos'!$A$3:$GG$587,'0.Productos'!CX$1+1,0),"")</f>
        <v/>
      </c>
      <c r="BG384" s="133" t="str">
        <f>IF($A384&lt;&gt;0,VLOOKUP($A384,'0.Productos'!$A$3:$GG$587,'0.Productos'!CY$1+1,0),"")</f>
        <v/>
      </c>
      <c r="BH384" s="133" t="str">
        <f>IF($A384&lt;&gt;0,VLOOKUP($A384,'0.Productos'!$A$3:$GG$587,'0.Productos'!CZ$1+1,0),"")</f>
        <v/>
      </c>
      <c r="BI384" s="133" t="str">
        <f>IF($A384&lt;&gt;0,VLOOKUP($A384,'0.Productos'!$A$3:$GG$587,'0.Productos'!DA$1+1,0),"")</f>
        <v/>
      </c>
      <c r="BJ384" s="133" t="str">
        <f>IF($A384&lt;&gt;0,VLOOKUP($A384,'0.Productos'!$A$3:$GG$587,'0.Productos'!DB$1+1,0),"")</f>
        <v/>
      </c>
      <c r="BK384" s="133" t="str">
        <f>IF($A384&lt;&gt;0,VLOOKUP($A384,'0.Productos'!$A$3:$GG$587,'0.Productos'!DC$1+1,0),"")</f>
        <v/>
      </c>
      <c r="BL384" s="133" t="str">
        <f>IF($A384&lt;&gt;0,VLOOKUP($A384,'0.Productos'!$A$3:$GG$587,'0.Productos'!DD$1+1,0),"")</f>
        <v/>
      </c>
      <c r="BM384" s="133" t="str">
        <f>IF($A384&lt;&gt;0,VLOOKUP($A384,'0.Productos'!$A$3:$GG$587,'0.Productos'!DE$1+1,0),"")</f>
        <v/>
      </c>
      <c r="BN384" s="133" t="str">
        <f>IF($A384&lt;&gt;0,VLOOKUP($A384,'0.Productos'!$A$3:$GG$587,'0.Productos'!DF$1+1,0),"")</f>
        <v/>
      </c>
      <c r="BO384" s="133" t="str">
        <f>IF($A384&lt;&gt;0,VLOOKUP($A384,'0.Productos'!$A$3:$GG$587,'0.Productos'!DG$1+1,0),"")</f>
        <v/>
      </c>
      <c r="BP384" s="133" t="str">
        <f>IF($A384&lt;&gt;0,VLOOKUP($A384,'0.Productos'!$A$3:$GG$587,'0.Productos'!DH$1+1,0),"")</f>
        <v/>
      </c>
      <c r="BQ384" s="133" t="str">
        <f>IF($A384&lt;&gt;0,VLOOKUP($A384,'0.Productos'!$A$3:$GG$587,'0.Productos'!DI$1+1,0),"")</f>
        <v/>
      </c>
      <c r="BR384" s="133" t="str">
        <f>IF($A384&lt;&gt;0,VLOOKUP($A384,'0.Productos'!$A$3:$GG$587,'0.Productos'!DJ$1+1,0),"")</f>
        <v/>
      </c>
      <c r="BS384" s="133" t="str">
        <f>IF($A384&lt;&gt;0,VLOOKUP($A384,'0.Productos'!$A$3:$GG$587,'0.Productos'!DK$1+1,0),"")</f>
        <v/>
      </c>
      <c r="BT384" s="133" t="str">
        <f>IF($A384&lt;&gt;0,VLOOKUP($A384,'0.Productos'!$A$3:$GG$587,'0.Productos'!DL$1+1,0),"")</f>
        <v/>
      </c>
    </row>
    <row r="385" spans="1:72" x14ac:dyDescent="0.25">
      <c r="A385" s="17">
        <f>'0.Consolidado general'!A385</f>
        <v>0</v>
      </c>
      <c r="B385" s="133" t="str">
        <f>IF($A385&lt;&gt;0,VLOOKUP($A385,'0.Productos'!$A$3:$GG$587,'0.Productos'!AT$1+1,0),"")</f>
        <v/>
      </c>
      <c r="C385" s="133" t="str">
        <f>IF($A385&lt;&gt;0,VLOOKUP($A385,'0.Productos'!$A$3:$GG$587,'0.Productos'!AU$1+1,0),"")</f>
        <v/>
      </c>
      <c r="D385" s="133" t="str">
        <f>IF($A385&lt;&gt;0,VLOOKUP($A385,'0.Productos'!$A$3:$GG$587,'0.Productos'!AV$1+1,0),"")</f>
        <v/>
      </c>
      <c r="E385" s="133" t="str">
        <f>IF($A385&lt;&gt;0,VLOOKUP($A385,'0.Productos'!$A$3:$GG$587,'0.Productos'!AW$1+1,0),"")</f>
        <v/>
      </c>
      <c r="F385" s="133" t="str">
        <f>IF($A385&lt;&gt;0,VLOOKUP($A385,'0.Productos'!$A$3:$GG$587,'0.Productos'!AX$1+1,0),"")</f>
        <v/>
      </c>
      <c r="G385" s="133" t="str">
        <f>IF($A385&lt;&gt;0,VLOOKUP($A385,'0.Productos'!$A$3:$GG$587,'0.Productos'!AY$1+1,0),"")</f>
        <v/>
      </c>
      <c r="H385" s="133" t="str">
        <f>IF($A385&lt;&gt;0,VLOOKUP($A385,'0.Productos'!$A$3:$GG$587,'0.Productos'!AZ$1+1,0),"")</f>
        <v/>
      </c>
      <c r="I385" s="133" t="str">
        <f>IF($A385&lt;&gt;0,VLOOKUP($A385,'0.Productos'!$A$3:$GG$587,'0.Productos'!BA$1+1,0),"")</f>
        <v/>
      </c>
      <c r="J385" s="133" t="str">
        <f>IF($A385&lt;&gt;0,VLOOKUP($A385,'0.Productos'!$A$3:$GG$587,'0.Productos'!BB$1+1,0),"")</f>
        <v/>
      </c>
      <c r="K385" s="133" t="str">
        <f>IF($A385&lt;&gt;0,VLOOKUP($A385,'0.Productos'!$A$3:$GG$587,'0.Productos'!BC$1+1,0),"")</f>
        <v/>
      </c>
      <c r="L385" s="133" t="str">
        <f>IF($A385&lt;&gt;0,VLOOKUP($A385,'0.Productos'!$A$3:$GG$587,'0.Productos'!BD$1+1,0),"")</f>
        <v/>
      </c>
      <c r="M385" s="133" t="str">
        <f>IF($A385&lt;&gt;0,VLOOKUP($A385,'0.Productos'!$A$3:$GG$587,'0.Productos'!BE$1+1,0),"")</f>
        <v/>
      </c>
      <c r="N385" s="133" t="str">
        <f>IF($A385&lt;&gt;0,VLOOKUP($A385,'0.Productos'!$A$3:$GG$587,'0.Productos'!BF$1+1,0),"")</f>
        <v/>
      </c>
      <c r="O385" s="133" t="str">
        <f>IF($A385&lt;&gt;0,VLOOKUP($A385,'0.Productos'!$A$3:$GG$587,'0.Productos'!BG$1+1,0),"")</f>
        <v/>
      </c>
      <c r="P385" s="133" t="str">
        <f>IF($A385&lt;&gt;0,VLOOKUP($A385,'0.Productos'!$A$3:$GG$587,'0.Productos'!BH$1+1,0),"")</f>
        <v/>
      </c>
      <c r="Q385" s="133" t="str">
        <f>IF($A385&lt;&gt;0,VLOOKUP($A385,'0.Productos'!$A$3:$GG$587,'0.Productos'!BI$1+1,0),"")</f>
        <v/>
      </c>
      <c r="R385" s="133" t="str">
        <f>IF($A385&lt;&gt;0,VLOOKUP($A385,'0.Productos'!$A$3:$GG$587,'0.Productos'!BJ$1+1,0),"")</f>
        <v/>
      </c>
      <c r="S385" s="133" t="str">
        <f>IF($A385&lt;&gt;0,VLOOKUP($A385,'0.Productos'!$A$3:$GG$587,'0.Productos'!BK$1+1,0),"")</f>
        <v/>
      </c>
      <c r="T385" s="133" t="str">
        <f>IF($A385&lt;&gt;0,VLOOKUP($A385,'0.Productos'!$A$3:$GG$587,'0.Productos'!BL$1+1,0),"")</f>
        <v/>
      </c>
      <c r="U385" s="133" t="str">
        <f>IF($A385&lt;&gt;0,VLOOKUP($A385,'0.Productos'!$A$3:$GG$587,'0.Productos'!BM$1+1,0),"")</f>
        <v/>
      </c>
      <c r="V385" s="133" t="str">
        <f>IF($A385&lt;&gt;0,VLOOKUP($A385,'0.Productos'!$A$3:$GG$587,'0.Productos'!BN$1+1,0),"")</f>
        <v/>
      </c>
      <c r="W385" s="133" t="str">
        <f>IF($A385&lt;&gt;0,VLOOKUP($A385,'0.Productos'!$A$3:$GG$587,'0.Productos'!BO$1+1,0),"")</f>
        <v/>
      </c>
      <c r="X385" s="133" t="str">
        <f>IF($A385&lt;&gt;0,VLOOKUP($A385,'0.Productos'!$A$3:$GG$587,'0.Productos'!BP$1+1,0),"")</f>
        <v/>
      </c>
      <c r="Y385" s="133" t="str">
        <f>IF($A385&lt;&gt;0,VLOOKUP($A385,'0.Productos'!$A$3:$GG$587,'0.Productos'!BQ$1+1,0),"")</f>
        <v/>
      </c>
      <c r="Z385" s="133" t="str">
        <f>IF($A385&lt;&gt;0,VLOOKUP($A385,'0.Productos'!$A$3:$GG$587,'0.Productos'!BR$1+1,0),"")</f>
        <v/>
      </c>
      <c r="AA385" s="133" t="str">
        <f>IF($A385&lt;&gt;0,VLOOKUP($A385,'0.Productos'!$A$3:$GG$587,'0.Productos'!BS$1+1,0),"")</f>
        <v/>
      </c>
      <c r="AB385" s="133" t="str">
        <f>IF($A385&lt;&gt;0,VLOOKUP($A385,'0.Productos'!$A$3:$GG$587,'0.Productos'!BT$1+1,0),"")</f>
        <v/>
      </c>
      <c r="AC385" s="133" t="str">
        <f>IF($A385&lt;&gt;0,VLOOKUP($A385,'0.Productos'!$A$3:$GG$587,'0.Productos'!BU$1+1,0),"")</f>
        <v/>
      </c>
      <c r="AD385" s="133" t="str">
        <f>IF($A385&lt;&gt;0,VLOOKUP($A385,'0.Productos'!$A$3:$GG$587,'0.Productos'!BV$1+1,0),"")</f>
        <v/>
      </c>
      <c r="AE385" s="133" t="str">
        <f>IF($A385&lt;&gt;0,VLOOKUP($A385,'0.Productos'!$A$3:$GG$587,'0.Productos'!BW$1+1,0),"")</f>
        <v/>
      </c>
      <c r="AF385" s="133" t="str">
        <f>IF($A385&lt;&gt;0,VLOOKUP($A385,'0.Productos'!$A$3:$GG$587,'0.Productos'!BX$1+1,0),"")</f>
        <v/>
      </c>
      <c r="AG385" s="133" t="str">
        <f>IF($A385&lt;&gt;0,VLOOKUP($A385,'0.Productos'!$A$3:$GG$587,'0.Productos'!BY$1+1,0),"")</f>
        <v/>
      </c>
      <c r="AH385" s="133" t="str">
        <f>IF($A385&lt;&gt;0,VLOOKUP($A385,'0.Productos'!$A$3:$GG$587,'0.Productos'!BZ$1+1,0),"")</f>
        <v/>
      </c>
      <c r="AI385" s="133" t="str">
        <f>IF($A385&lt;&gt;0,VLOOKUP($A385,'0.Productos'!$A$3:$GG$587,'0.Productos'!CA$1+1,0),"")</f>
        <v/>
      </c>
      <c r="AJ385" s="133" t="str">
        <f>IF($A385&lt;&gt;0,VLOOKUP($A385,'0.Productos'!$A$3:$GG$587,'0.Productos'!CB$1+1,0),"")</f>
        <v/>
      </c>
      <c r="AK385" s="133" t="str">
        <f>IF($A385&lt;&gt;0,VLOOKUP($A385,'0.Productos'!$A$3:$GG$587,'0.Productos'!CC$1+1,0),"")</f>
        <v/>
      </c>
      <c r="AL385" s="133" t="str">
        <f>IF($A385&lt;&gt;0,VLOOKUP($A385,'0.Productos'!$A$3:$GG$587,'0.Productos'!CD$1+1,0),"")</f>
        <v/>
      </c>
      <c r="AM385" s="133" t="str">
        <f>IF($A385&lt;&gt;0,VLOOKUP($A385,'0.Productos'!$A$3:$GG$587,'0.Productos'!CE$1+1,0),"")</f>
        <v/>
      </c>
      <c r="AN385" s="133" t="str">
        <f>IF($A385&lt;&gt;0,VLOOKUP($A385,'0.Productos'!$A$3:$GG$587,'0.Productos'!CF$1+1,0),"")</f>
        <v/>
      </c>
      <c r="AO385" s="133" t="str">
        <f>IF($A385&lt;&gt;0,VLOOKUP($A385,'0.Productos'!$A$3:$GG$587,'0.Productos'!CG$1+1,0),"")</f>
        <v/>
      </c>
      <c r="AP385" s="133" t="str">
        <f>IF($A385&lt;&gt;0,VLOOKUP($A385,'0.Productos'!$A$3:$GG$587,'0.Productos'!CH$1+1,0),"")</f>
        <v/>
      </c>
      <c r="AQ385" s="133" t="str">
        <f>IF($A385&lt;&gt;0,VLOOKUP($A385,'0.Productos'!$A$3:$GG$587,'0.Productos'!CI$1+1,0),"")</f>
        <v/>
      </c>
      <c r="AR385" s="133" t="str">
        <f>IF($A385&lt;&gt;0,VLOOKUP($A385,'0.Productos'!$A$3:$GG$587,'0.Productos'!CJ$1+1,0),"")</f>
        <v/>
      </c>
      <c r="AS385" s="133" t="str">
        <f>IF($A385&lt;&gt;0,VLOOKUP($A385,'0.Productos'!$A$3:$GG$587,'0.Productos'!CK$1+1,0),"")</f>
        <v/>
      </c>
      <c r="AT385" s="133" t="str">
        <f>IF($A385&lt;&gt;0,VLOOKUP($A385,'0.Productos'!$A$3:$GG$587,'0.Productos'!CL$1+1,0),"")</f>
        <v/>
      </c>
      <c r="AU385" s="133" t="str">
        <f>IF($A385&lt;&gt;0,VLOOKUP($A385,'0.Productos'!$A$3:$GG$587,'0.Productos'!CM$1+1,0),"")</f>
        <v/>
      </c>
      <c r="AV385" s="133" t="str">
        <f>IF($A385&lt;&gt;0,VLOOKUP($A385,'0.Productos'!$A$3:$GG$587,'0.Productos'!CN$1+1,0),"")</f>
        <v/>
      </c>
      <c r="AW385" s="133" t="str">
        <f>IF($A385&lt;&gt;0,VLOOKUP($A385,'0.Productos'!$A$3:$GG$587,'0.Productos'!CO$1+1,0),"")</f>
        <v/>
      </c>
      <c r="AX385" s="133" t="str">
        <f>IF($A385&lt;&gt;0,VLOOKUP($A385,'0.Productos'!$A$3:$GG$587,'0.Productos'!CP$1+1,0),"")</f>
        <v/>
      </c>
      <c r="AY385" s="133" t="str">
        <f>IF($A385&lt;&gt;0,VLOOKUP($A385,'0.Productos'!$A$3:$GG$587,'0.Productos'!CQ$1+1,0),"")</f>
        <v/>
      </c>
      <c r="AZ385" s="133" t="str">
        <f>IF($A385&lt;&gt;0,VLOOKUP($A385,'0.Productos'!$A$3:$GG$587,'0.Productos'!CR$1+1,0),"")</f>
        <v/>
      </c>
      <c r="BA385" s="133" t="str">
        <f>IF($A385&lt;&gt;0,VLOOKUP($A385,'0.Productos'!$A$3:$GG$587,'0.Productos'!CS$1+1,0),"")</f>
        <v/>
      </c>
      <c r="BB385" s="133" t="str">
        <f>IF($A385&lt;&gt;0,VLOOKUP($A385,'0.Productos'!$A$3:$GG$587,'0.Productos'!CT$1+1,0),"")</f>
        <v/>
      </c>
      <c r="BC385" s="133" t="str">
        <f>IF($A385&lt;&gt;0,VLOOKUP($A385,'0.Productos'!$A$3:$GG$587,'0.Productos'!CU$1+1,0),"")</f>
        <v/>
      </c>
      <c r="BD385" s="133" t="str">
        <f>IF($A385&lt;&gt;0,VLOOKUP($A385,'0.Productos'!$A$3:$GG$587,'0.Productos'!CV$1+1,0),"")</f>
        <v/>
      </c>
      <c r="BE385" s="133" t="str">
        <f>IF($A385&lt;&gt;0,VLOOKUP($A385,'0.Productos'!$A$3:$GG$587,'0.Productos'!CW$1+1,0),"")</f>
        <v/>
      </c>
      <c r="BF385" s="133" t="str">
        <f>IF($A385&lt;&gt;0,VLOOKUP($A385,'0.Productos'!$A$3:$GG$587,'0.Productos'!CX$1+1,0),"")</f>
        <v/>
      </c>
      <c r="BG385" s="133" t="str">
        <f>IF($A385&lt;&gt;0,VLOOKUP($A385,'0.Productos'!$A$3:$GG$587,'0.Productos'!CY$1+1,0),"")</f>
        <v/>
      </c>
      <c r="BH385" s="133" t="str">
        <f>IF($A385&lt;&gt;0,VLOOKUP($A385,'0.Productos'!$A$3:$GG$587,'0.Productos'!CZ$1+1,0),"")</f>
        <v/>
      </c>
      <c r="BI385" s="133" t="str">
        <f>IF($A385&lt;&gt;0,VLOOKUP($A385,'0.Productos'!$A$3:$GG$587,'0.Productos'!DA$1+1,0),"")</f>
        <v/>
      </c>
      <c r="BJ385" s="133" t="str">
        <f>IF($A385&lt;&gt;0,VLOOKUP($A385,'0.Productos'!$A$3:$GG$587,'0.Productos'!DB$1+1,0),"")</f>
        <v/>
      </c>
      <c r="BK385" s="133" t="str">
        <f>IF($A385&lt;&gt;0,VLOOKUP($A385,'0.Productos'!$A$3:$GG$587,'0.Productos'!DC$1+1,0),"")</f>
        <v/>
      </c>
      <c r="BL385" s="133" t="str">
        <f>IF($A385&lt;&gt;0,VLOOKUP($A385,'0.Productos'!$A$3:$GG$587,'0.Productos'!DD$1+1,0),"")</f>
        <v/>
      </c>
      <c r="BM385" s="133" t="str">
        <f>IF($A385&lt;&gt;0,VLOOKUP($A385,'0.Productos'!$A$3:$GG$587,'0.Productos'!DE$1+1,0),"")</f>
        <v/>
      </c>
      <c r="BN385" s="133" t="str">
        <f>IF($A385&lt;&gt;0,VLOOKUP($A385,'0.Productos'!$A$3:$GG$587,'0.Productos'!DF$1+1,0),"")</f>
        <v/>
      </c>
      <c r="BO385" s="133" t="str">
        <f>IF($A385&lt;&gt;0,VLOOKUP($A385,'0.Productos'!$A$3:$GG$587,'0.Productos'!DG$1+1,0),"")</f>
        <v/>
      </c>
      <c r="BP385" s="133" t="str">
        <f>IF($A385&lt;&gt;0,VLOOKUP($A385,'0.Productos'!$A$3:$GG$587,'0.Productos'!DH$1+1,0),"")</f>
        <v/>
      </c>
      <c r="BQ385" s="133" t="str">
        <f>IF($A385&lt;&gt;0,VLOOKUP($A385,'0.Productos'!$A$3:$GG$587,'0.Productos'!DI$1+1,0),"")</f>
        <v/>
      </c>
      <c r="BR385" s="133" t="str">
        <f>IF($A385&lt;&gt;0,VLOOKUP($A385,'0.Productos'!$A$3:$GG$587,'0.Productos'!DJ$1+1,0),"")</f>
        <v/>
      </c>
      <c r="BS385" s="133" t="str">
        <f>IF($A385&lt;&gt;0,VLOOKUP($A385,'0.Productos'!$A$3:$GG$587,'0.Productos'!DK$1+1,0),"")</f>
        <v/>
      </c>
      <c r="BT385" s="133" t="str">
        <f>IF($A385&lt;&gt;0,VLOOKUP($A385,'0.Productos'!$A$3:$GG$587,'0.Productos'!DL$1+1,0),"")</f>
        <v/>
      </c>
    </row>
    <row r="386" spans="1:72" x14ac:dyDescent="0.25">
      <c r="A386" s="17">
        <f>'0.Consolidado general'!A386</f>
        <v>0</v>
      </c>
      <c r="B386" s="133" t="str">
        <f>IF($A386&lt;&gt;0,VLOOKUP($A386,'0.Productos'!$A$3:$GG$587,'0.Productos'!AT$1+1,0),"")</f>
        <v/>
      </c>
      <c r="C386" s="133" t="str">
        <f>IF($A386&lt;&gt;0,VLOOKUP($A386,'0.Productos'!$A$3:$GG$587,'0.Productos'!AU$1+1,0),"")</f>
        <v/>
      </c>
      <c r="D386" s="133" t="str">
        <f>IF($A386&lt;&gt;0,VLOOKUP($A386,'0.Productos'!$A$3:$GG$587,'0.Productos'!AV$1+1,0),"")</f>
        <v/>
      </c>
      <c r="E386" s="133" t="str">
        <f>IF($A386&lt;&gt;0,VLOOKUP($A386,'0.Productos'!$A$3:$GG$587,'0.Productos'!AW$1+1,0),"")</f>
        <v/>
      </c>
      <c r="F386" s="133" t="str">
        <f>IF($A386&lt;&gt;0,VLOOKUP($A386,'0.Productos'!$A$3:$GG$587,'0.Productos'!AX$1+1,0),"")</f>
        <v/>
      </c>
      <c r="G386" s="133" t="str">
        <f>IF($A386&lt;&gt;0,VLOOKUP($A386,'0.Productos'!$A$3:$GG$587,'0.Productos'!AY$1+1,0),"")</f>
        <v/>
      </c>
      <c r="H386" s="133" t="str">
        <f>IF($A386&lt;&gt;0,VLOOKUP($A386,'0.Productos'!$A$3:$GG$587,'0.Productos'!AZ$1+1,0),"")</f>
        <v/>
      </c>
      <c r="I386" s="133" t="str">
        <f>IF($A386&lt;&gt;0,VLOOKUP($A386,'0.Productos'!$A$3:$GG$587,'0.Productos'!BA$1+1,0),"")</f>
        <v/>
      </c>
      <c r="J386" s="133" t="str">
        <f>IF($A386&lt;&gt;0,VLOOKUP($A386,'0.Productos'!$A$3:$GG$587,'0.Productos'!BB$1+1,0),"")</f>
        <v/>
      </c>
      <c r="K386" s="133" t="str">
        <f>IF($A386&lt;&gt;0,VLOOKUP($A386,'0.Productos'!$A$3:$GG$587,'0.Productos'!BC$1+1,0),"")</f>
        <v/>
      </c>
      <c r="L386" s="133" t="str">
        <f>IF($A386&lt;&gt;0,VLOOKUP($A386,'0.Productos'!$A$3:$GG$587,'0.Productos'!BD$1+1,0),"")</f>
        <v/>
      </c>
      <c r="M386" s="133" t="str">
        <f>IF($A386&lt;&gt;0,VLOOKUP($A386,'0.Productos'!$A$3:$GG$587,'0.Productos'!BE$1+1,0),"")</f>
        <v/>
      </c>
      <c r="N386" s="133" t="str">
        <f>IF($A386&lt;&gt;0,VLOOKUP($A386,'0.Productos'!$A$3:$GG$587,'0.Productos'!BF$1+1,0),"")</f>
        <v/>
      </c>
      <c r="O386" s="133" t="str">
        <f>IF($A386&lt;&gt;0,VLOOKUP($A386,'0.Productos'!$A$3:$GG$587,'0.Productos'!BG$1+1,0),"")</f>
        <v/>
      </c>
      <c r="P386" s="133" t="str">
        <f>IF($A386&lt;&gt;0,VLOOKUP($A386,'0.Productos'!$A$3:$GG$587,'0.Productos'!BH$1+1,0),"")</f>
        <v/>
      </c>
      <c r="Q386" s="133" t="str">
        <f>IF($A386&lt;&gt;0,VLOOKUP($A386,'0.Productos'!$A$3:$GG$587,'0.Productos'!BI$1+1,0),"")</f>
        <v/>
      </c>
      <c r="R386" s="133" t="str">
        <f>IF($A386&lt;&gt;0,VLOOKUP($A386,'0.Productos'!$A$3:$GG$587,'0.Productos'!BJ$1+1,0),"")</f>
        <v/>
      </c>
      <c r="S386" s="133" t="str">
        <f>IF($A386&lt;&gt;0,VLOOKUP($A386,'0.Productos'!$A$3:$GG$587,'0.Productos'!BK$1+1,0),"")</f>
        <v/>
      </c>
      <c r="T386" s="133" t="str">
        <f>IF($A386&lt;&gt;0,VLOOKUP($A386,'0.Productos'!$A$3:$GG$587,'0.Productos'!BL$1+1,0),"")</f>
        <v/>
      </c>
      <c r="U386" s="133" t="str">
        <f>IF($A386&lt;&gt;0,VLOOKUP($A386,'0.Productos'!$A$3:$GG$587,'0.Productos'!BM$1+1,0),"")</f>
        <v/>
      </c>
      <c r="V386" s="133" t="str">
        <f>IF($A386&lt;&gt;0,VLOOKUP($A386,'0.Productos'!$A$3:$GG$587,'0.Productos'!BN$1+1,0),"")</f>
        <v/>
      </c>
      <c r="W386" s="133" t="str">
        <f>IF($A386&lt;&gt;0,VLOOKUP($A386,'0.Productos'!$A$3:$GG$587,'0.Productos'!BO$1+1,0),"")</f>
        <v/>
      </c>
      <c r="X386" s="133" t="str">
        <f>IF($A386&lt;&gt;0,VLOOKUP($A386,'0.Productos'!$A$3:$GG$587,'0.Productos'!BP$1+1,0),"")</f>
        <v/>
      </c>
      <c r="Y386" s="133" t="str">
        <f>IF($A386&lt;&gt;0,VLOOKUP($A386,'0.Productos'!$A$3:$GG$587,'0.Productos'!BQ$1+1,0),"")</f>
        <v/>
      </c>
      <c r="Z386" s="133" t="str">
        <f>IF($A386&lt;&gt;0,VLOOKUP($A386,'0.Productos'!$A$3:$GG$587,'0.Productos'!BR$1+1,0),"")</f>
        <v/>
      </c>
      <c r="AA386" s="133" t="str">
        <f>IF($A386&lt;&gt;0,VLOOKUP($A386,'0.Productos'!$A$3:$GG$587,'0.Productos'!BS$1+1,0),"")</f>
        <v/>
      </c>
      <c r="AB386" s="133" t="str">
        <f>IF($A386&lt;&gt;0,VLOOKUP($A386,'0.Productos'!$A$3:$GG$587,'0.Productos'!BT$1+1,0),"")</f>
        <v/>
      </c>
      <c r="AC386" s="133" t="str">
        <f>IF($A386&lt;&gt;0,VLOOKUP($A386,'0.Productos'!$A$3:$GG$587,'0.Productos'!BU$1+1,0),"")</f>
        <v/>
      </c>
      <c r="AD386" s="133" t="str">
        <f>IF($A386&lt;&gt;0,VLOOKUP($A386,'0.Productos'!$A$3:$GG$587,'0.Productos'!BV$1+1,0),"")</f>
        <v/>
      </c>
      <c r="AE386" s="133" t="str">
        <f>IF($A386&lt;&gt;0,VLOOKUP($A386,'0.Productos'!$A$3:$GG$587,'0.Productos'!BW$1+1,0),"")</f>
        <v/>
      </c>
      <c r="AF386" s="133" t="str">
        <f>IF($A386&lt;&gt;0,VLOOKUP($A386,'0.Productos'!$A$3:$GG$587,'0.Productos'!BX$1+1,0),"")</f>
        <v/>
      </c>
      <c r="AG386" s="133" t="str">
        <f>IF($A386&lt;&gt;0,VLOOKUP($A386,'0.Productos'!$A$3:$GG$587,'0.Productos'!BY$1+1,0),"")</f>
        <v/>
      </c>
      <c r="AH386" s="133" t="str">
        <f>IF($A386&lt;&gt;0,VLOOKUP($A386,'0.Productos'!$A$3:$GG$587,'0.Productos'!BZ$1+1,0),"")</f>
        <v/>
      </c>
      <c r="AI386" s="133" t="str">
        <f>IF($A386&lt;&gt;0,VLOOKUP($A386,'0.Productos'!$A$3:$GG$587,'0.Productos'!CA$1+1,0),"")</f>
        <v/>
      </c>
      <c r="AJ386" s="133" t="str">
        <f>IF($A386&lt;&gt;0,VLOOKUP($A386,'0.Productos'!$A$3:$GG$587,'0.Productos'!CB$1+1,0),"")</f>
        <v/>
      </c>
      <c r="AK386" s="133" t="str">
        <f>IF($A386&lt;&gt;0,VLOOKUP($A386,'0.Productos'!$A$3:$GG$587,'0.Productos'!CC$1+1,0),"")</f>
        <v/>
      </c>
      <c r="AL386" s="133" t="str">
        <f>IF($A386&lt;&gt;0,VLOOKUP($A386,'0.Productos'!$A$3:$GG$587,'0.Productos'!CD$1+1,0),"")</f>
        <v/>
      </c>
      <c r="AM386" s="133" t="str">
        <f>IF($A386&lt;&gt;0,VLOOKUP($A386,'0.Productos'!$A$3:$GG$587,'0.Productos'!CE$1+1,0),"")</f>
        <v/>
      </c>
      <c r="AN386" s="133" t="str">
        <f>IF($A386&lt;&gt;0,VLOOKUP($A386,'0.Productos'!$A$3:$GG$587,'0.Productos'!CF$1+1,0),"")</f>
        <v/>
      </c>
      <c r="AO386" s="133" t="str">
        <f>IF($A386&lt;&gt;0,VLOOKUP($A386,'0.Productos'!$A$3:$GG$587,'0.Productos'!CG$1+1,0),"")</f>
        <v/>
      </c>
      <c r="AP386" s="133" t="str">
        <f>IF($A386&lt;&gt;0,VLOOKUP($A386,'0.Productos'!$A$3:$GG$587,'0.Productos'!CH$1+1,0),"")</f>
        <v/>
      </c>
      <c r="AQ386" s="133" t="str">
        <f>IF($A386&lt;&gt;0,VLOOKUP($A386,'0.Productos'!$A$3:$GG$587,'0.Productos'!CI$1+1,0),"")</f>
        <v/>
      </c>
      <c r="AR386" s="133" t="str">
        <f>IF($A386&lt;&gt;0,VLOOKUP($A386,'0.Productos'!$A$3:$GG$587,'0.Productos'!CJ$1+1,0),"")</f>
        <v/>
      </c>
      <c r="AS386" s="133" t="str">
        <f>IF($A386&lt;&gt;0,VLOOKUP($A386,'0.Productos'!$A$3:$GG$587,'0.Productos'!CK$1+1,0),"")</f>
        <v/>
      </c>
      <c r="AT386" s="133" t="str">
        <f>IF($A386&lt;&gt;0,VLOOKUP($A386,'0.Productos'!$A$3:$GG$587,'0.Productos'!CL$1+1,0),"")</f>
        <v/>
      </c>
      <c r="AU386" s="133" t="str">
        <f>IF($A386&lt;&gt;0,VLOOKUP($A386,'0.Productos'!$A$3:$GG$587,'0.Productos'!CM$1+1,0),"")</f>
        <v/>
      </c>
      <c r="AV386" s="133" t="str">
        <f>IF($A386&lt;&gt;0,VLOOKUP($A386,'0.Productos'!$A$3:$GG$587,'0.Productos'!CN$1+1,0),"")</f>
        <v/>
      </c>
      <c r="AW386" s="133" t="str">
        <f>IF($A386&lt;&gt;0,VLOOKUP($A386,'0.Productos'!$A$3:$GG$587,'0.Productos'!CO$1+1,0),"")</f>
        <v/>
      </c>
      <c r="AX386" s="133" t="str">
        <f>IF($A386&lt;&gt;0,VLOOKUP($A386,'0.Productos'!$A$3:$GG$587,'0.Productos'!CP$1+1,0),"")</f>
        <v/>
      </c>
      <c r="AY386" s="133" t="str">
        <f>IF($A386&lt;&gt;0,VLOOKUP($A386,'0.Productos'!$A$3:$GG$587,'0.Productos'!CQ$1+1,0),"")</f>
        <v/>
      </c>
      <c r="AZ386" s="133" t="str">
        <f>IF($A386&lt;&gt;0,VLOOKUP($A386,'0.Productos'!$A$3:$GG$587,'0.Productos'!CR$1+1,0),"")</f>
        <v/>
      </c>
      <c r="BA386" s="133" t="str">
        <f>IF($A386&lt;&gt;0,VLOOKUP($A386,'0.Productos'!$A$3:$GG$587,'0.Productos'!CS$1+1,0),"")</f>
        <v/>
      </c>
      <c r="BB386" s="133" t="str">
        <f>IF($A386&lt;&gt;0,VLOOKUP($A386,'0.Productos'!$A$3:$GG$587,'0.Productos'!CT$1+1,0),"")</f>
        <v/>
      </c>
      <c r="BC386" s="133" t="str">
        <f>IF($A386&lt;&gt;0,VLOOKUP($A386,'0.Productos'!$A$3:$GG$587,'0.Productos'!CU$1+1,0),"")</f>
        <v/>
      </c>
      <c r="BD386" s="133" t="str">
        <f>IF($A386&lt;&gt;0,VLOOKUP($A386,'0.Productos'!$A$3:$GG$587,'0.Productos'!CV$1+1,0),"")</f>
        <v/>
      </c>
      <c r="BE386" s="133" t="str">
        <f>IF($A386&lt;&gt;0,VLOOKUP($A386,'0.Productos'!$A$3:$GG$587,'0.Productos'!CW$1+1,0),"")</f>
        <v/>
      </c>
      <c r="BF386" s="133" t="str">
        <f>IF($A386&lt;&gt;0,VLOOKUP($A386,'0.Productos'!$A$3:$GG$587,'0.Productos'!CX$1+1,0),"")</f>
        <v/>
      </c>
      <c r="BG386" s="133" t="str">
        <f>IF($A386&lt;&gt;0,VLOOKUP($A386,'0.Productos'!$A$3:$GG$587,'0.Productos'!CY$1+1,0),"")</f>
        <v/>
      </c>
      <c r="BH386" s="133" t="str">
        <f>IF($A386&lt;&gt;0,VLOOKUP($A386,'0.Productos'!$A$3:$GG$587,'0.Productos'!CZ$1+1,0),"")</f>
        <v/>
      </c>
      <c r="BI386" s="133" t="str">
        <f>IF($A386&lt;&gt;0,VLOOKUP($A386,'0.Productos'!$A$3:$GG$587,'0.Productos'!DA$1+1,0),"")</f>
        <v/>
      </c>
      <c r="BJ386" s="133" t="str">
        <f>IF($A386&lt;&gt;0,VLOOKUP($A386,'0.Productos'!$A$3:$GG$587,'0.Productos'!DB$1+1,0),"")</f>
        <v/>
      </c>
      <c r="BK386" s="133" t="str">
        <f>IF($A386&lt;&gt;0,VLOOKUP($A386,'0.Productos'!$A$3:$GG$587,'0.Productos'!DC$1+1,0),"")</f>
        <v/>
      </c>
      <c r="BL386" s="133" t="str">
        <f>IF($A386&lt;&gt;0,VLOOKUP($A386,'0.Productos'!$A$3:$GG$587,'0.Productos'!DD$1+1,0),"")</f>
        <v/>
      </c>
      <c r="BM386" s="133" t="str">
        <f>IF($A386&lt;&gt;0,VLOOKUP($A386,'0.Productos'!$A$3:$GG$587,'0.Productos'!DE$1+1,0),"")</f>
        <v/>
      </c>
      <c r="BN386" s="133" t="str">
        <f>IF($A386&lt;&gt;0,VLOOKUP($A386,'0.Productos'!$A$3:$GG$587,'0.Productos'!DF$1+1,0),"")</f>
        <v/>
      </c>
      <c r="BO386" s="133" t="str">
        <f>IF($A386&lt;&gt;0,VLOOKUP($A386,'0.Productos'!$A$3:$GG$587,'0.Productos'!DG$1+1,0),"")</f>
        <v/>
      </c>
      <c r="BP386" s="133" t="str">
        <f>IF($A386&lt;&gt;0,VLOOKUP($A386,'0.Productos'!$A$3:$GG$587,'0.Productos'!DH$1+1,0),"")</f>
        <v/>
      </c>
      <c r="BQ386" s="133" t="str">
        <f>IF($A386&lt;&gt;0,VLOOKUP($A386,'0.Productos'!$A$3:$GG$587,'0.Productos'!DI$1+1,0),"")</f>
        <v/>
      </c>
      <c r="BR386" s="133" t="str">
        <f>IF($A386&lt;&gt;0,VLOOKUP($A386,'0.Productos'!$A$3:$GG$587,'0.Productos'!DJ$1+1,0),"")</f>
        <v/>
      </c>
      <c r="BS386" s="133" t="str">
        <f>IF($A386&lt;&gt;0,VLOOKUP($A386,'0.Productos'!$A$3:$GG$587,'0.Productos'!DK$1+1,0),"")</f>
        <v/>
      </c>
      <c r="BT386" s="133" t="str">
        <f>IF($A386&lt;&gt;0,VLOOKUP($A386,'0.Productos'!$A$3:$GG$587,'0.Productos'!DL$1+1,0),"")</f>
        <v/>
      </c>
    </row>
    <row r="387" spans="1:72" x14ac:dyDescent="0.25">
      <c r="A387" s="17">
        <f>'0.Consolidado general'!A387</f>
        <v>0</v>
      </c>
      <c r="B387" s="133" t="str">
        <f>IF($A387&lt;&gt;0,VLOOKUP($A387,'0.Productos'!$A$3:$GG$587,'0.Productos'!AT$1+1,0),"")</f>
        <v/>
      </c>
      <c r="C387" s="133" t="str">
        <f>IF($A387&lt;&gt;0,VLOOKUP($A387,'0.Productos'!$A$3:$GG$587,'0.Productos'!AU$1+1,0),"")</f>
        <v/>
      </c>
      <c r="D387" s="133" t="str">
        <f>IF($A387&lt;&gt;0,VLOOKUP($A387,'0.Productos'!$A$3:$GG$587,'0.Productos'!AV$1+1,0),"")</f>
        <v/>
      </c>
      <c r="E387" s="133" t="str">
        <f>IF($A387&lt;&gt;0,VLOOKUP($A387,'0.Productos'!$A$3:$GG$587,'0.Productos'!AW$1+1,0),"")</f>
        <v/>
      </c>
      <c r="F387" s="133" t="str">
        <f>IF($A387&lt;&gt;0,VLOOKUP($A387,'0.Productos'!$A$3:$GG$587,'0.Productos'!AX$1+1,0),"")</f>
        <v/>
      </c>
      <c r="G387" s="133" t="str">
        <f>IF($A387&lt;&gt;0,VLOOKUP($A387,'0.Productos'!$A$3:$GG$587,'0.Productos'!AY$1+1,0),"")</f>
        <v/>
      </c>
      <c r="H387" s="133" t="str">
        <f>IF($A387&lt;&gt;0,VLOOKUP($A387,'0.Productos'!$A$3:$GG$587,'0.Productos'!AZ$1+1,0),"")</f>
        <v/>
      </c>
      <c r="I387" s="133" t="str">
        <f>IF($A387&lt;&gt;0,VLOOKUP($A387,'0.Productos'!$A$3:$GG$587,'0.Productos'!BA$1+1,0),"")</f>
        <v/>
      </c>
      <c r="J387" s="133" t="str">
        <f>IF($A387&lt;&gt;0,VLOOKUP($A387,'0.Productos'!$A$3:$GG$587,'0.Productos'!BB$1+1,0),"")</f>
        <v/>
      </c>
      <c r="K387" s="133" t="str">
        <f>IF($A387&lt;&gt;0,VLOOKUP($A387,'0.Productos'!$A$3:$GG$587,'0.Productos'!BC$1+1,0),"")</f>
        <v/>
      </c>
      <c r="L387" s="133" t="str">
        <f>IF($A387&lt;&gt;0,VLOOKUP($A387,'0.Productos'!$A$3:$GG$587,'0.Productos'!BD$1+1,0),"")</f>
        <v/>
      </c>
      <c r="M387" s="133" t="str">
        <f>IF($A387&lt;&gt;0,VLOOKUP($A387,'0.Productos'!$A$3:$GG$587,'0.Productos'!BE$1+1,0),"")</f>
        <v/>
      </c>
      <c r="N387" s="133" t="str">
        <f>IF($A387&lt;&gt;0,VLOOKUP($A387,'0.Productos'!$A$3:$GG$587,'0.Productos'!BF$1+1,0),"")</f>
        <v/>
      </c>
      <c r="O387" s="133" t="str">
        <f>IF($A387&lt;&gt;0,VLOOKUP($A387,'0.Productos'!$A$3:$GG$587,'0.Productos'!BG$1+1,0),"")</f>
        <v/>
      </c>
      <c r="P387" s="133" t="str">
        <f>IF($A387&lt;&gt;0,VLOOKUP($A387,'0.Productos'!$A$3:$GG$587,'0.Productos'!BH$1+1,0),"")</f>
        <v/>
      </c>
      <c r="Q387" s="133" t="str">
        <f>IF($A387&lt;&gt;0,VLOOKUP($A387,'0.Productos'!$A$3:$GG$587,'0.Productos'!BI$1+1,0),"")</f>
        <v/>
      </c>
      <c r="R387" s="133" t="str">
        <f>IF($A387&lt;&gt;0,VLOOKUP($A387,'0.Productos'!$A$3:$GG$587,'0.Productos'!BJ$1+1,0),"")</f>
        <v/>
      </c>
      <c r="S387" s="133" t="str">
        <f>IF($A387&lt;&gt;0,VLOOKUP($A387,'0.Productos'!$A$3:$GG$587,'0.Productos'!BK$1+1,0),"")</f>
        <v/>
      </c>
      <c r="T387" s="133" t="str">
        <f>IF($A387&lt;&gt;0,VLOOKUP($A387,'0.Productos'!$A$3:$GG$587,'0.Productos'!BL$1+1,0),"")</f>
        <v/>
      </c>
      <c r="U387" s="133" t="str">
        <f>IF($A387&lt;&gt;0,VLOOKUP($A387,'0.Productos'!$A$3:$GG$587,'0.Productos'!BM$1+1,0),"")</f>
        <v/>
      </c>
      <c r="V387" s="133" t="str">
        <f>IF($A387&lt;&gt;0,VLOOKUP($A387,'0.Productos'!$A$3:$GG$587,'0.Productos'!BN$1+1,0),"")</f>
        <v/>
      </c>
      <c r="W387" s="133" t="str">
        <f>IF($A387&lt;&gt;0,VLOOKUP($A387,'0.Productos'!$A$3:$GG$587,'0.Productos'!BO$1+1,0),"")</f>
        <v/>
      </c>
      <c r="X387" s="133" t="str">
        <f>IF($A387&lt;&gt;0,VLOOKUP($A387,'0.Productos'!$A$3:$GG$587,'0.Productos'!BP$1+1,0),"")</f>
        <v/>
      </c>
      <c r="Y387" s="133" t="str">
        <f>IF($A387&lt;&gt;0,VLOOKUP($A387,'0.Productos'!$A$3:$GG$587,'0.Productos'!BQ$1+1,0),"")</f>
        <v/>
      </c>
      <c r="Z387" s="133" t="str">
        <f>IF($A387&lt;&gt;0,VLOOKUP($A387,'0.Productos'!$A$3:$GG$587,'0.Productos'!BR$1+1,0),"")</f>
        <v/>
      </c>
      <c r="AA387" s="133" t="str">
        <f>IF($A387&lt;&gt;0,VLOOKUP($A387,'0.Productos'!$A$3:$GG$587,'0.Productos'!BS$1+1,0),"")</f>
        <v/>
      </c>
      <c r="AB387" s="133" t="str">
        <f>IF($A387&lt;&gt;0,VLOOKUP($A387,'0.Productos'!$A$3:$GG$587,'0.Productos'!BT$1+1,0),"")</f>
        <v/>
      </c>
      <c r="AC387" s="133" t="str">
        <f>IF($A387&lt;&gt;0,VLOOKUP($A387,'0.Productos'!$A$3:$GG$587,'0.Productos'!BU$1+1,0),"")</f>
        <v/>
      </c>
      <c r="AD387" s="133" t="str">
        <f>IF($A387&lt;&gt;0,VLOOKUP($A387,'0.Productos'!$A$3:$GG$587,'0.Productos'!BV$1+1,0),"")</f>
        <v/>
      </c>
      <c r="AE387" s="133" t="str">
        <f>IF($A387&lt;&gt;0,VLOOKUP($A387,'0.Productos'!$A$3:$GG$587,'0.Productos'!BW$1+1,0),"")</f>
        <v/>
      </c>
      <c r="AF387" s="133" t="str">
        <f>IF($A387&lt;&gt;0,VLOOKUP($A387,'0.Productos'!$A$3:$GG$587,'0.Productos'!BX$1+1,0),"")</f>
        <v/>
      </c>
      <c r="AG387" s="133" t="str">
        <f>IF($A387&lt;&gt;0,VLOOKUP($A387,'0.Productos'!$A$3:$GG$587,'0.Productos'!BY$1+1,0),"")</f>
        <v/>
      </c>
      <c r="AH387" s="133" t="str">
        <f>IF($A387&lt;&gt;0,VLOOKUP($A387,'0.Productos'!$A$3:$GG$587,'0.Productos'!BZ$1+1,0),"")</f>
        <v/>
      </c>
      <c r="AI387" s="133" t="str">
        <f>IF($A387&lt;&gt;0,VLOOKUP($A387,'0.Productos'!$A$3:$GG$587,'0.Productos'!CA$1+1,0),"")</f>
        <v/>
      </c>
      <c r="AJ387" s="133" t="str">
        <f>IF($A387&lt;&gt;0,VLOOKUP($A387,'0.Productos'!$A$3:$GG$587,'0.Productos'!CB$1+1,0),"")</f>
        <v/>
      </c>
      <c r="AK387" s="133" t="str">
        <f>IF($A387&lt;&gt;0,VLOOKUP($A387,'0.Productos'!$A$3:$GG$587,'0.Productos'!CC$1+1,0),"")</f>
        <v/>
      </c>
      <c r="AL387" s="133" t="str">
        <f>IF($A387&lt;&gt;0,VLOOKUP($A387,'0.Productos'!$A$3:$GG$587,'0.Productos'!CD$1+1,0),"")</f>
        <v/>
      </c>
      <c r="AM387" s="133" t="str">
        <f>IF($A387&lt;&gt;0,VLOOKUP($A387,'0.Productos'!$A$3:$GG$587,'0.Productos'!CE$1+1,0),"")</f>
        <v/>
      </c>
      <c r="AN387" s="133" t="str">
        <f>IF($A387&lt;&gt;0,VLOOKUP($A387,'0.Productos'!$A$3:$GG$587,'0.Productos'!CF$1+1,0),"")</f>
        <v/>
      </c>
      <c r="AO387" s="133" t="str">
        <f>IF($A387&lt;&gt;0,VLOOKUP($A387,'0.Productos'!$A$3:$GG$587,'0.Productos'!CG$1+1,0),"")</f>
        <v/>
      </c>
      <c r="AP387" s="133" t="str">
        <f>IF($A387&lt;&gt;0,VLOOKUP($A387,'0.Productos'!$A$3:$GG$587,'0.Productos'!CH$1+1,0),"")</f>
        <v/>
      </c>
      <c r="AQ387" s="133" t="str">
        <f>IF($A387&lt;&gt;0,VLOOKUP($A387,'0.Productos'!$A$3:$GG$587,'0.Productos'!CI$1+1,0),"")</f>
        <v/>
      </c>
      <c r="AR387" s="133" t="str">
        <f>IF($A387&lt;&gt;0,VLOOKUP($A387,'0.Productos'!$A$3:$GG$587,'0.Productos'!CJ$1+1,0),"")</f>
        <v/>
      </c>
      <c r="AS387" s="133" t="str">
        <f>IF($A387&lt;&gt;0,VLOOKUP($A387,'0.Productos'!$A$3:$GG$587,'0.Productos'!CK$1+1,0),"")</f>
        <v/>
      </c>
      <c r="AT387" s="133" t="str">
        <f>IF($A387&lt;&gt;0,VLOOKUP($A387,'0.Productos'!$A$3:$GG$587,'0.Productos'!CL$1+1,0),"")</f>
        <v/>
      </c>
      <c r="AU387" s="133" t="str">
        <f>IF($A387&lt;&gt;0,VLOOKUP($A387,'0.Productos'!$A$3:$GG$587,'0.Productos'!CM$1+1,0),"")</f>
        <v/>
      </c>
      <c r="AV387" s="133" t="str">
        <f>IF($A387&lt;&gt;0,VLOOKUP($A387,'0.Productos'!$A$3:$GG$587,'0.Productos'!CN$1+1,0),"")</f>
        <v/>
      </c>
      <c r="AW387" s="133" t="str">
        <f>IF($A387&lt;&gt;0,VLOOKUP($A387,'0.Productos'!$A$3:$GG$587,'0.Productos'!CO$1+1,0),"")</f>
        <v/>
      </c>
      <c r="AX387" s="133" t="str">
        <f>IF($A387&lt;&gt;0,VLOOKUP($A387,'0.Productos'!$A$3:$GG$587,'0.Productos'!CP$1+1,0),"")</f>
        <v/>
      </c>
      <c r="AY387" s="133" t="str">
        <f>IF($A387&lt;&gt;0,VLOOKUP($A387,'0.Productos'!$A$3:$GG$587,'0.Productos'!CQ$1+1,0),"")</f>
        <v/>
      </c>
      <c r="AZ387" s="133" t="str">
        <f>IF($A387&lt;&gt;0,VLOOKUP($A387,'0.Productos'!$A$3:$GG$587,'0.Productos'!CR$1+1,0),"")</f>
        <v/>
      </c>
      <c r="BA387" s="133" t="str">
        <f>IF($A387&lt;&gt;0,VLOOKUP($A387,'0.Productos'!$A$3:$GG$587,'0.Productos'!CS$1+1,0),"")</f>
        <v/>
      </c>
      <c r="BB387" s="133" t="str">
        <f>IF($A387&lt;&gt;0,VLOOKUP($A387,'0.Productos'!$A$3:$GG$587,'0.Productos'!CT$1+1,0),"")</f>
        <v/>
      </c>
      <c r="BC387" s="133" t="str">
        <f>IF($A387&lt;&gt;0,VLOOKUP($A387,'0.Productos'!$A$3:$GG$587,'0.Productos'!CU$1+1,0),"")</f>
        <v/>
      </c>
      <c r="BD387" s="133" t="str">
        <f>IF($A387&lt;&gt;0,VLOOKUP($A387,'0.Productos'!$A$3:$GG$587,'0.Productos'!CV$1+1,0),"")</f>
        <v/>
      </c>
      <c r="BE387" s="133" t="str">
        <f>IF($A387&lt;&gt;0,VLOOKUP($A387,'0.Productos'!$A$3:$GG$587,'0.Productos'!CW$1+1,0),"")</f>
        <v/>
      </c>
      <c r="BF387" s="133" t="str">
        <f>IF($A387&lt;&gt;0,VLOOKUP($A387,'0.Productos'!$A$3:$GG$587,'0.Productos'!CX$1+1,0),"")</f>
        <v/>
      </c>
      <c r="BG387" s="133" t="str">
        <f>IF($A387&lt;&gt;0,VLOOKUP($A387,'0.Productos'!$A$3:$GG$587,'0.Productos'!CY$1+1,0),"")</f>
        <v/>
      </c>
      <c r="BH387" s="133" t="str">
        <f>IF($A387&lt;&gt;0,VLOOKUP($A387,'0.Productos'!$A$3:$GG$587,'0.Productos'!CZ$1+1,0),"")</f>
        <v/>
      </c>
      <c r="BI387" s="133" t="str">
        <f>IF($A387&lt;&gt;0,VLOOKUP($A387,'0.Productos'!$A$3:$GG$587,'0.Productos'!DA$1+1,0),"")</f>
        <v/>
      </c>
      <c r="BJ387" s="133" t="str">
        <f>IF($A387&lt;&gt;0,VLOOKUP($A387,'0.Productos'!$A$3:$GG$587,'0.Productos'!DB$1+1,0),"")</f>
        <v/>
      </c>
      <c r="BK387" s="133" t="str">
        <f>IF($A387&lt;&gt;0,VLOOKUP($A387,'0.Productos'!$A$3:$GG$587,'0.Productos'!DC$1+1,0),"")</f>
        <v/>
      </c>
      <c r="BL387" s="133" t="str">
        <f>IF($A387&lt;&gt;0,VLOOKUP($A387,'0.Productos'!$A$3:$GG$587,'0.Productos'!DD$1+1,0),"")</f>
        <v/>
      </c>
      <c r="BM387" s="133" t="str">
        <f>IF($A387&lt;&gt;0,VLOOKUP($A387,'0.Productos'!$A$3:$GG$587,'0.Productos'!DE$1+1,0),"")</f>
        <v/>
      </c>
      <c r="BN387" s="133" t="str">
        <f>IF($A387&lt;&gt;0,VLOOKUP($A387,'0.Productos'!$A$3:$GG$587,'0.Productos'!DF$1+1,0),"")</f>
        <v/>
      </c>
      <c r="BO387" s="133" t="str">
        <f>IF($A387&lt;&gt;0,VLOOKUP($A387,'0.Productos'!$A$3:$GG$587,'0.Productos'!DG$1+1,0),"")</f>
        <v/>
      </c>
      <c r="BP387" s="133" t="str">
        <f>IF($A387&lt;&gt;0,VLOOKUP($A387,'0.Productos'!$A$3:$GG$587,'0.Productos'!DH$1+1,0),"")</f>
        <v/>
      </c>
      <c r="BQ387" s="133" t="str">
        <f>IF($A387&lt;&gt;0,VLOOKUP($A387,'0.Productos'!$A$3:$GG$587,'0.Productos'!DI$1+1,0),"")</f>
        <v/>
      </c>
      <c r="BR387" s="133" t="str">
        <f>IF($A387&lt;&gt;0,VLOOKUP($A387,'0.Productos'!$A$3:$GG$587,'0.Productos'!DJ$1+1,0),"")</f>
        <v/>
      </c>
      <c r="BS387" s="133" t="str">
        <f>IF($A387&lt;&gt;0,VLOOKUP($A387,'0.Productos'!$A$3:$GG$587,'0.Productos'!DK$1+1,0),"")</f>
        <v/>
      </c>
      <c r="BT387" s="133" t="str">
        <f>IF($A387&lt;&gt;0,VLOOKUP($A387,'0.Productos'!$A$3:$GG$587,'0.Productos'!DL$1+1,0),"")</f>
        <v/>
      </c>
    </row>
    <row r="388" spans="1:72" x14ac:dyDescent="0.25">
      <c r="A388" s="17">
        <f>'0.Consolidado general'!A388</f>
        <v>0</v>
      </c>
      <c r="B388" s="133" t="str">
        <f>IF($A388&lt;&gt;0,VLOOKUP($A388,'0.Productos'!$A$3:$GG$587,'0.Productos'!AT$1+1,0),"")</f>
        <v/>
      </c>
      <c r="C388" s="133" t="str">
        <f>IF($A388&lt;&gt;0,VLOOKUP($A388,'0.Productos'!$A$3:$GG$587,'0.Productos'!AU$1+1,0),"")</f>
        <v/>
      </c>
      <c r="D388" s="133" t="str">
        <f>IF($A388&lt;&gt;0,VLOOKUP($A388,'0.Productos'!$A$3:$GG$587,'0.Productos'!AV$1+1,0),"")</f>
        <v/>
      </c>
      <c r="E388" s="133" t="str">
        <f>IF($A388&lt;&gt;0,VLOOKUP($A388,'0.Productos'!$A$3:$GG$587,'0.Productos'!AW$1+1,0),"")</f>
        <v/>
      </c>
      <c r="F388" s="133" t="str">
        <f>IF($A388&lt;&gt;0,VLOOKUP($A388,'0.Productos'!$A$3:$GG$587,'0.Productos'!AX$1+1,0),"")</f>
        <v/>
      </c>
      <c r="G388" s="133" t="str">
        <f>IF($A388&lt;&gt;0,VLOOKUP($A388,'0.Productos'!$A$3:$GG$587,'0.Productos'!AY$1+1,0),"")</f>
        <v/>
      </c>
      <c r="H388" s="133" t="str">
        <f>IF($A388&lt;&gt;0,VLOOKUP($A388,'0.Productos'!$A$3:$GG$587,'0.Productos'!AZ$1+1,0),"")</f>
        <v/>
      </c>
      <c r="I388" s="133" t="str">
        <f>IF($A388&lt;&gt;0,VLOOKUP($A388,'0.Productos'!$A$3:$GG$587,'0.Productos'!BA$1+1,0),"")</f>
        <v/>
      </c>
      <c r="J388" s="133" t="str">
        <f>IF($A388&lt;&gt;0,VLOOKUP($A388,'0.Productos'!$A$3:$GG$587,'0.Productos'!BB$1+1,0),"")</f>
        <v/>
      </c>
      <c r="K388" s="133" t="str">
        <f>IF($A388&lt;&gt;0,VLOOKUP($A388,'0.Productos'!$A$3:$GG$587,'0.Productos'!BC$1+1,0),"")</f>
        <v/>
      </c>
      <c r="L388" s="133" t="str">
        <f>IF($A388&lt;&gt;0,VLOOKUP($A388,'0.Productos'!$A$3:$GG$587,'0.Productos'!BD$1+1,0),"")</f>
        <v/>
      </c>
      <c r="M388" s="133" t="str">
        <f>IF($A388&lt;&gt;0,VLOOKUP($A388,'0.Productos'!$A$3:$GG$587,'0.Productos'!BE$1+1,0),"")</f>
        <v/>
      </c>
      <c r="N388" s="133" t="str">
        <f>IF($A388&lt;&gt;0,VLOOKUP($A388,'0.Productos'!$A$3:$GG$587,'0.Productos'!BF$1+1,0),"")</f>
        <v/>
      </c>
      <c r="O388" s="133" t="str">
        <f>IF($A388&lt;&gt;0,VLOOKUP($A388,'0.Productos'!$A$3:$GG$587,'0.Productos'!BG$1+1,0),"")</f>
        <v/>
      </c>
      <c r="P388" s="133" t="str">
        <f>IF($A388&lt;&gt;0,VLOOKUP($A388,'0.Productos'!$A$3:$GG$587,'0.Productos'!BH$1+1,0),"")</f>
        <v/>
      </c>
      <c r="Q388" s="133" t="str">
        <f>IF($A388&lt;&gt;0,VLOOKUP($A388,'0.Productos'!$A$3:$GG$587,'0.Productos'!BI$1+1,0),"")</f>
        <v/>
      </c>
      <c r="R388" s="133" t="str">
        <f>IF($A388&lt;&gt;0,VLOOKUP($A388,'0.Productos'!$A$3:$GG$587,'0.Productos'!BJ$1+1,0),"")</f>
        <v/>
      </c>
      <c r="S388" s="133" t="str">
        <f>IF($A388&lt;&gt;0,VLOOKUP($A388,'0.Productos'!$A$3:$GG$587,'0.Productos'!BK$1+1,0),"")</f>
        <v/>
      </c>
      <c r="T388" s="133" t="str">
        <f>IF($A388&lt;&gt;0,VLOOKUP($A388,'0.Productos'!$A$3:$GG$587,'0.Productos'!BL$1+1,0),"")</f>
        <v/>
      </c>
      <c r="U388" s="133" t="str">
        <f>IF($A388&lt;&gt;0,VLOOKUP($A388,'0.Productos'!$A$3:$GG$587,'0.Productos'!BM$1+1,0),"")</f>
        <v/>
      </c>
      <c r="V388" s="133" t="str">
        <f>IF($A388&lt;&gt;0,VLOOKUP($A388,'0.Productos'!$A$3:$GG$587,'0.Productos'!BN$1+1,0),"")</f>
        <v/>
      </c>
      <c r="W388" s="133" t="str">
        <f>IF($A388&lt;&gt;0,VLOOKUP($A388,'0.Productos'!$A$3:$GG$587,'0.Productos'!BO$1+1,0),"")</f>
        <v/>
      </c>
      <c r="X388" s="133" t="str">
        <f>IF($A388&lt;&gt;0,VLOOKUP($A388,'0.Productos'!$A$3:$GG$587,'0.Productos'!BP$1+1,0),"")</f>
        <v/>
      </c>
      <c r="Y388" s="133" t="str">
        <f>IF($A388&lt;&gt;0,VLOOKUP($A388,'0.Productos'!$A$3:$GG$587,'0.Productos'!BQ$1+1,0),"")</f>
        <v/>
      </c>
      <c r="Z388" s="133" t="str">
        <f>IF($A388&lt;&gt;0,VLOOKUP($A388,'0.Productos'!$A$3:$GG$587,'0.Productos'!BR$1+1,0),"")</f>
        <v/>
      </c>
      <c r="AA388" s="133" t="str">
        <f>IF($A388&lt;&gt;0,VLOOKUP($A388,'0.Productos'!$A$3:$GG$587,'0.Productos'!BS$1+1,0),"")</f>
        <v/>
      </c>
      <c r="AB388" s="133" t="str">
        <f>IF($A388&lt;&gt;0,VLOOKUP($A388,'0.Productos'!$A$3:$GG$587,'0.Productos'!BT$1+1,0),"")</f>
        <v/>
      </c>
      <c r="AC388" s="133" t="str">
        <f>IF($A388&lt;&gt;0,VLOOKUP($A388,'0.Productos'!$A$3:$GG$587,'0.Productos'!BU$1+1,0),"")</f>
        <v/>
      </c>
      <c r="AD388" s="133" t="str">
        <f>IF($A388&lt;&gt;0,VLOOKUP($A388,'0.Productos'!$A$3:$GG$587,'0.Productos'!BV$1+1,0),"")</f>
        <v/>
      </c>
      <c r="AE388" s="133" t="str">
        <f>IF($A388&lt;&gt;0,VLOOKUP($A388,'0.Productos'!$A$3:$GG$587,'0.Productos'!BW$1+1,0),"")</f>
        <v/>
      </c>
      <c r="AF388" s="133" t="str">
        <f>IF($A388&lt;&gt;0,VLOOKUP($A388,'0.Productos'!$A$3:$GG$587,'0.Productos'!BX$1+1,0),"")</f>
        <v/>
      </c>
      <c r="AG388" s="133" t="str">
        <f>IF($A388&lt;&gt;0,VLOOKUP($A388,'0.Productos'!$A$3:$GG$587,'0.Productos'!BY$1+1,0),"")</f>
        <v/>
      </c>
      <c r="AH388" s="133" t="str">
        <f>IF($A388&lt;&gt;0,VLOOKUP($A388,'0.Productos'!$A$3:$GG$587,'0.Productos'!BZ$1+1,0),"")</f>
        <v/>
      </c>
      <c r="AI388" s="133" t="str">
        <f>IF($A388&lt;&gt;0,VLOOKUP($A388,'0.Productos'!$A$3:$GG$587,'0.Productos'!CA$1+1,0),"")</f>
        <v/>
      </c>
      <c r="AJ388" s="133" t="str">
        <f>IF($A388&lt;&gt;0,VLOOKUP($A388,'0.Productos'!$A$3:$GG$587,'0.Productos'!CB$1+1,0),"")</f>
        <v/>
      </c>
      <c r="AK388" s="133" t="str">
        <f>IF($A388&lt;&gt;0,VLOOKUP($A388,'0.Productos'!$A$3:$GG$587,'0.Productos'!CC$1+1,0),"")</f>
        <v/>
      </c>
      <c r="AL388" s="133" t="str">
        <f>IF($A388&lt;&gt;0,VLOOKUP($A388,'0.Productos'!$A$3:$GG$587,'0.Productos'!CD$1+1,0),"")</f>
        <v/>
      </c>
      <c r="AM388" s="133" t="str">
        <f>IF($A388&lt;&gt;0,VLOOKUP($A388,'0.Productos'!$A$3:$GG$587,'0.Productos'!CE$1+1,0),"")</f>
        <v/>
      </c>
      <c r="AN388" s="133" t="str">
        <f>IF($A388&lt;&gt;0,VLOOKUP($A388,'0.Productos'!$A$3:$GG$587,'0.Productos'!CF$1+1,0),"")</f>
        <v/>
      </c>
      <c r="AO388" s="133" t="str">
        <f>IF($A388&lt;&gt;0,VLOOKUP($A388,'0.Productos'!$A$3:$GG$587,'0.Productos'!CG$1+1,0),"")</f>
        <v/>
      </c>
      <c r="AP388" s="133" t="str">
        <f>IF($A388&lt;&gt;0,VLOOKUP($A388,'0.Productos'!$A$3:$GG$587,'0.Productos'!CH$1+1,0),"")</f>
        <v/>
      </c>
      <c r="AQ388" s="133" t="str">
        <f>IF($A388&lt;&gt;0,VLOOKUP($A388,'0.Productos'!$A$3:$GG$587,'0.Productos'!CI$1+1,0),"")</f>
        <v/>
      </c>
      <c r="AR388" s="133" t="str">
        <f>IF($A388&lt;&gt;0,VLOOKUP($A388,'0.Productos'!$A$3:$GG$587,'0.Productos'!CJ$1+1,0),"")</f>
        <v/>
      </c>
      <c r="AS388" s="133" t="str">
        <f>IF($A388&lt;&gt;0,VLOOKUP($A388,'0.Productos'!$A$3:$GG$587,'0.Productos'!CK$1+1,0),"")</f>
        <v/>
      </c>
      <c r="AT388" s="133" t="str">
        <f>IF($A388&lt;&gt;0,VLOOKUP($A388,'0.Productos'!$A$3:$GG$587,'0.Productos'!CL$1+1,0),"")</f>
        <v/>
      </c>
      <c r="AU388" s="133" t="str">
        <f>IF($A388&lt;&gt;0,VLOOKUP($A388,'0.Productos'!$A$3:$GG$587,'0.Productos'!CM$1+1,0),"")</f>
        <v/>
      </c>
      <c r="AV388" s="133" t="str">
        <f>IF($A388&lt;&gt;0,VLOOKUP($A388,'0.Productos'!$A$3:$GG$587,'0.Productos'!CN$1+1,0),"")</f>
        <v/>
      </c>
      <c r="AW388" s="133" t="str">
        <f>IF($A388&lt;&gt;0,VLOOKUP($A388,'0.Productos'!$A$3:$GG$587,'0.Productos'!CO$1+1,0),"")</f>
        <v/>
      </c>
      <c r="AX388" s="133" t="str">
        <f>IF($A388&lt;&gt;0,VLOOKUP($A388,'0.Productos'!$A$3:$GG$587,'0.Productos'!CP$1+1,0),"")</f>
        <v/>
      </c>
      <c r="AY388" s="133" t="str">
        <f>IF($A388&lt;&gt;0,VLOOKUP($A388,'0.Productos'!$A$3:$GG$587,'0.Productos'!CQ$1+1,0),"")</f>
        <v/>
      </c>
      <c r="AZ388" s="133" t="str">
        <f>IF($A388&lt;&gt;0,VLOOKUP($A388,'0.Productos'!$A$3:$GG$587,'0.Productos'!CR$1+1,0),"")</f>
        <v/>
      </c>
      <c r="BA388" s="133" t="str">
        <f>IF($A388&lt;&gt;0,VLOOKUP($A388,'0.Productos'!$A$3:$GG$587,'0.Productos'!CS$1+1,0),"")</f>
        <v/>
      </c>
      <c r="BB388" s="133" t="str">
        <f>IF($A388&lt;&gt;0,VLOOKUP($A388,'0.Productos'!$A$3:$GG$587,'0.Productos'!CT$1+1,0),"")</f>
        <v/>
      </c>
      <c r="BC388" s="133" t="str">
        <f>IF($A388&lt;&gt;0,VLOOKUP($A388,'0.Productos'!$A$3:$GG$587,'0.Productos'!CU$1+1,0),"")</f>
        <v/>
      </c>
      <c r="BD388" s="133" t="str">
        <f>IF($A388&lt;&gt;0,VLOOKUP($A388,'0.Productos'!$A$3:$GG$587,'0.Productos'!CV$1+1,0),"")</f>
        <v/>
      </c>
      <c r="BE388" s="133" t="str">
        <f>IF($A388&lt;&gt;0,VLOOKUP($A388,'0.Productos'!$A$3:$GG$587,'0.Productos'!CW$1+1,0),"")</f>
        <v/>
      </c>
      <c r="BF388" s="133" t="str">
        <f>IF($A388&lt;&gt;0,VLOOKUP($A388,'0.Productos'!$A$3:$GG$587,'0.Productos'!CX$1+1,0),"")</f>
        <v/>
      </c>
      <c r="BG388" s="133" t="str">
        <f>IF($A388&lt;&gt;0,VLOOKUP($A388,'0.Productos'!$A$3:$GG$587,'0.Productos'!CY$1+1,0),"")</f>
        <v/>
      </c>
      <c r="BH388" s="133" t="str">
        <f>IF($A388&lt;&gt;0,VLOOKUP($A388,'0.Productos'!$A$3:$GG$587,'0.Productos'!CZ$1+1,0),"")</f>
        <v/>
      </c>
      <c r="BI388" s="133" t="str">
        <f>IF($A388&lt;&gt;0,VLOOKUP($A388,'0.Productos'!$A$3:$GG$587,'0.Productos'!DA$1+1,0),"")</f>
        <v/>
      </c>
      <c r="BJ388" s="133" t="str">
        <f>IF($A388&lt;&gt;0,VLOOKUP($A388,'0.Productos'!$A$3:$GG$587,'0.Productos'!DB$1+1,0),"")</f>
        <v/>
      </c>
      <c r="BK388" s="133" t="str">
        <f>IF($A388&lt;&gt;0,VLOOKUP($A388,'0.Productos'!$A$3:$GG$587,'0.Productos'!DC$1+1,0),"")</f>
        <v/>
      </c>
      <c r="BL388" s="133" t="str">
        <f>IF($A388&lt;&gt;0,VLOOKUP($A388,'0.Productos'!$A$3:$GG$587,'0.Productos'!DD$1+1,0),"")</f>
        <v/>
      </c>
      <c r="BM388" s="133" t="str">
        <f>IF($A388&lt;&gt;0,VLOOKUP($A388,'0.Productos'!$A$3:$GG$587,'0.Productos'!DE$1+1,0),"")</f>
        <v/>
      </c>
      <c r="BN388" s="133" t="str">
        <f>IF($A388&lt;&gt;0,VLOOKUP($A388,'0.Productos'!$A$3:$GG$587,'0.Productos'!DF$1+1,0),"")</f>
        <v/>
      </c>
      <c r="BO388" s="133" t="str">
        <f>IF($A388&lt;&gt;0,VLOOKUP($A388,'0.Productos'!$A$3:$GG$587,'0.Productos'!DG$1+1,0),"")</f>
        <v/>
      </c>
      <c r="BP388" s="133" t="str">
        <f>IF($A388&lt;&gt;0,VLOOKUP($A388,'0.Productos'!$A$3:$GG$587,'0.Productos'!DH$1+1,0),"")</f>
        <v/>
      </c>
      <c r="BQ388" s="133" t="str">
        <f>IF($A388&lt;&gt;0,VLOOKUP($A388,'0.Productos'!$A$3:$GG$587,'0.Productos'!DI$1+1,0),"")</f>
        <v/>
      </c>
      <c r="BR388" s="133" t="str">
        <f>IF($A388&lt;&gt;0,VLOOKUP($A388,'0.Productos'!$A$3:$GG$587,'0.Productos'!DJ$1+1,0),"")</f>
        <v/>
      </c>
      <c r="BS388" s="133" t="str">
        <f>IF($A388&lt;&gt;0,VLOOKUP($A388,'0.Productos'!$A$3:$GG$587,'0.Productos'!DK$1+1,0),"")</f>
        <v/>
      </c>
      <c r="BT388" s="133" t="str">
        <f>IF($A388&lt;&gt;0,VLOOKUP($A388,'0.Productos'!$A$3:$GG$587,'0.Productos'!DL$1+1,0),"")</f>
        <v/>
      </c>
    </row>
    <row r="389" spans="1:72" x14ac:dyDescent="0.25">
      <c r="A389" s="17">
        <f>'0.Consolidado general'!A389</f>
        <v>0</v>
      </c>
      <c r="B389" s="133" t="str">
        <f>IF($A389&lt;&gt;0,VLOOKUP($A389,'0.Productos'!$A$3:$GG$587,'0.Productos'!AT$1+1,0),"")</f>
        <v/>
      </c>
      <c r="C389" s="133" t="str">
        <f>IF($A389&lt;&gt;0,VLOOKUP($A389,'0.Productos'!$A$3:$GG$587,'0.Productos'!AU$1+1,0),"")</f>
        <v/>
      </c>
      <c r="D389" s="133" t="str">
        <f>IF($A389&lt;&gt;0,VLOOKUP($A389,'0.Productos'!$A$3:$GG$587,'0.Productos'!AV$1+1,0),"")</f>
        <v/>
      </c>
      <c r="E389" s="133" t="str">
        <f>IF($A389&lt;&gt;0,VLOOKUP($A389,'0.Productos'!$A$3:$GG$587,'0.Productos'!AW$1+1,0),"")</f>
        <v/>
      </c>
      <c r="F389" s="133" t="str">
        <f>IF($A389&lt;&gt;0,VLOOKUP($A389,'0.Productos'!$A$3:$GG$587,'0.Productos'!AX$1+1,0),"")</f>
        <v/>
      </c>
      <c r="G389" s="133" t="str">
        <f>IF($A389&lt;&gt;0,VLOOKUP($A389,'0.Productos'!$A$3:$GG$587,'0.Productos'!AY$1+1,0),"")</f>
        <v/>
      </c>
      <c r="H389" s="133" t="str">
        <f>IF($A389&lt;&gt;0,VLOOKUP($A389,'0.Productos'!$A$3:$GG$587,'0.Productos'!AZ$1+1,0),"")</f>
        <v/>
      </c>
      <c r="I389" s="133" t="str">
        <f>IF($A389&lt;&gt;0,VLOOKUP($A389,'0.Productos'!$A$3:$GG$587,'0.Productos'!BA$1+1,0),"")</f>
        <v/>
      </c>
      <c r="J389" s="133" t="str">
        <f>IF($A389&lt;&gt;0,VLOOKUP($A389,'0.Productos'!$A$3:$GG$587,'0.Productos'!BB$1+1,0),"")</f>
        <v/>
      </c>
      <c r="K389" s="133" t="str">
        <f>IF($A389&lt;&gt;0,VLOOKUP($A389,'0.Productos'!$A$3:$GG$587,'0.Productos'!BC$1+1,0),"")</f>
        <v/>
      </c>
      <c r="L389" s="133" t="str">
        <f>IF($A389&lt;&gt;0,VLOOKUP($A389,'0.Productos'!$A$3:$GG$587,'0.Productos'!BD$1+1,0),"")</f>
        <v/>
      </c>
      <c r="M389" s="133" t="str">
        <f>IF($A389&lt;&gt;0,VLOOKUP($A389,'0.Productos'!$A$3:$GG$587,'0.Productos'!BE$1+1,0),"")</f>
        <v/>
      </c>
      <c r="N389" s="133" t="str">
        <f>IF($A389&lt;&gt;0,VLOOKUP($A389,'0.Productos'!$A$3:$GG$587,'0.Productos'!BF$1+1,0),"")</f>
        <v/>
      </c>
      <c r="O389" s="133" t="str">
        <f>IF($A389&lt;&gt;0,VLOOKUP($A389,'0.Productos'!$A$3:$GG$587,'0.Productos'!BG$1+1,0),"")</f>
        <v/>
      </c>
      <c r="P389" s="133" t="str">
        <f>IF($A389&lt;&gt;0,VLOOKUP($A389,'0.Productos'!$A$3:$GG$587,'0.Productos'!BH$1+1,0),"")</f>
        <v/>
      </c>
      <c r="Q389" s="133" t="str">
        <f>IF($A389&lt;&gt;0,VLOOKUP($A389,'0.Productos'!$A$3:$GG$587,'0.Productos'!BI$1+1,0),"")</f>
        <v/>
      </c>
      <c r="R389" s="133" t="str">
        <f>IF($A389&lt;&gt;0,VLOOKUP($A389,'0.Productos'!$A$3:$GG$587,'0.Productos'!BJ$1+1,0),"")</f>
        <v/>
      </c>
      <c r="S389" s="133" t="str">
        <f>IF($A389&lt;&gt;0,VLOOKUP($A389,'0.Productos'!$A$3:$GG$587,'0.Productos'!BK$1+1,0),"")</f>
        <v/>
      </c>
      <c r="T389" s="133" t="str">
        <f>IF($A389&lt;&gt;0,VLOOKUP($A389,'0.Productos'!$A$3:$GG$587,'0.Productos'!BL$1+1,0),"")</f>
        <v/>
      </c>
      <c r="U389" s="133" t="str">
        <f>IF($A389&lt;&gt;0,VLOOKUP($A389,'0.Productos'!$A$3:$GG$587,'0.Productos'!BM$1+1,0),"")</f>
        <v/>
      </c>
      <c r="V389" s="133" t="str">
        <f>IF($A389&lt;&gt;0,VLOOKUP($A389,'0.Productos'!$A$3:$GG$587,'0.Productos'!BN$1+1,0),"")</f>
        <v/>
      </c>
      <c r="W389" s="133" t="str">
        <f>IF($A389&lt;&gt;0,VLOOKUP($A389,'0.Productos'!$A$3:$GG$587,'0.Productos'!BO$1+1,0),"")</f>
        <v/>
      </c>
      <c r="X389" s="133" t="str">
        <f>IF($A389&lt;&gt;0,VLOOKUP($A389,'0.Productos'!$A$3:$GG$587,'0.Productos'!BP$1+1,0),"")</f>
        <v/>
      </c>
      <c r="Y389" s="133" t="str">
        <f>IF($A389&lt;&gt;0,VLOOKUP($A389,'0.Productos'!$A$3:$GG$587,'0.Productos'!BQ$1+1,0),"")</f>
        <v/>
      </c>
      <c r="Z389" s="133" t="str">
        <f>IF($A389&lt;&gt;0,VLOOKUP($A389,'0.Productos'!$A$3:$GG$587,'0.Productos'!BR$1+1,0),"")</f>
        <v/>
      </c>
      <c r="AA389" s="133" t="str">
        <f>IF($A389&lt;&gt;0,VLOOKUP($A389,'0.Productos'!$A$3:$GG$587,'0.Productos'!BS$1+1,0),"")</f>
        <v/>
      </c>
      <c r="AB389" s="133" t="str">
        <f>IF($A389&lt;&gt;0,VLOOKUP($A389,'0.Productos'!$A$3:$GG$587,'0.Productos'!BT$1+1,0),"")</f>
        <v/>
      </c>
      <c r="AC389" s="133" t="str">
        <f>IF($A389&lt;&gt;0,VLOOKUP($A389,'0.Productos'!$A$3:$GG$587,'0.Productos'!BU$1+1,0),"")</f>
        <v/>
      </c>
      <c r="AD389" s="133" t="str">
        <f>IF($A389&lt;&gt;0,VLOOKUP($A389,'0.Productos'!$A$3:$GG$587,'0.Productos'!BV$1+1,0),"")</f>
        <v/>
      </c>
      <c r="AE389" s="133" t="str">
        <f>IF($A389&lt;&gt;0,VLOOKUP($A389,'0.Productos'!$A$3:$GG$587,'0.Productos'!BW$1+1,0),"")</f>
        <v/>
      </c>
      <c r="AF389" s="133" t="str">
        <f>IF($A389&lt;&gt;0,VLOOKUP($A389,'0.Productos'!$A$3:$GG$587,'0.Productos'!BX$1+1,0),"")</f>
        <v/>
      </c>
      <c r="AG389" s="133" t="str">
        <f>IF($A389&lt;&gt;0,VLOOKUP($A389,'0.Productos'!$A$3:$GG$587,'0.Productos'!BY$1+1,0),"")</f>
        <v/>
      </c>
      <c r="AH389" s="133" t="str">
        <f>IF($A389&lt;&gt;0,VLOOKUP($A389,'0.Productos'!$A$3:$GG$587,'0.Productos'!BZ$1+1,0),"")</f>
        <v/>
      </c>
      <c r="AI389" s="133" t="str">
        <f>IF($A389&lt;&gt;0,VLOOKUP($A389,'0.Productos'!$A$3:$GG$587,'0.Productos'!CA$1+1,0),"")</f>
        <v/>
      </c>
      <c r="AJ389" s="133" t="str">
        <f>IF($A389&lt;&gt;0,VLOOKUP($A389,'0.Productos'!$A$3:$GG$587,'0.Productos'!CB$1+1,0),"")</f>
        <v/>
      </c>
      <c r="AK389" s="133" t="str">
        <f>IF($A389&lt;&gt;0,VLOOKUP($A389,'0.Productos'!$A$3:$GG$587,'0.Productos'!CC$1+1,0),"")</f>
        <v/>
      </c>
      <c r="AL389" s="133" t="str">
        <f>IF($A389&lt;&gt;0,VLOOKUP($A389,'0.Productos'!$A$3:$GG$587,'0.Productos'!CD$1+1,0),"")</f>
        <v/>
      </c>
      <c r="AM389" s="133" t="str">
        <f>IF($A389&lt;&gt;0,VLOOKUP($A389,'0.Productos'!$A$3:$GG$587,'0.Productos'!CE$1+1,0),"")</f>
        <v/>
      </c>
      <c r="AN389" s="133" t="str">
        <f>IF($A389&lt;&gt;0,VLOOKUP($A389,'0.Productos'!$A$3:$GG$587,'0.Productos'!CF$1+1,0),"")</f>
        <v/>
      </c>
      <c r="AO389" s="133" t="str">
        <f>IF($A389&lt;&gt;0,VLOOKUP($A389,'0.Productos'!$A$3:$GG$587,'0.Productos'!CG$1+1,0),"")</f>
        <v/>
      </c>
      <c r="AP389" s="133" t="str">
        <f>IF($A389&lt;&gt;0,VLOOKUP($A389,'0.Productos'!$A$3:$GG$587,'0.Productos'!CH$1+1,0),"")</f>
        <v/>
      </c>
      <c r="AQ389" s="133" t="str">
        <f>IF($A389&lt;&gt;0,VLOOKUP($A389,'0.Productos'!$A$3:$GG$587,'0.Productos'!CI$1+1,0),"")</f>
        <v/>
      </c>
      <c r="AR389" s="133" t="str">
        <f>IF($A389&lt;&gt;0,VLOOKUP($A389,'0.Productos'!$A$3:$GG$587,'0.Productos'!CJ$1+1,0),"")</f>
        <v/>
      </c>
      <c r="AS389" s="133" t="str">
        <f>IF($A389&lt;&gt;0,VLOOKUP($A389,'0.Productos'!$A$3:$GG$587,'0.Productos'!CK$1+1,0),"")</f>
        <v/>
      </c>
      <c r="AT389" s="133" t="str">
        <f>IF($A389&lt;&gt;0,VLOOKUP($A389,'0.Productos'!$A$3:$GG$587,'0.Productos'!CL$1+1,0),"")</f>
        <v/>
      </c>
      <c r="AU389" s="133" t="str">
        <f>IF($A389&lt;&gt;0,VLOOKUP($A389,'0.Productos'!$A$3:$GG$587,'0.Productos'!CM$1+1,0),"")</f>
        <v/>
      </c>
      <c r="AV389" s="133" t="str">
        <f>IF($A389&lt;&gt;0,VLOOKUP($A389,'0.Productos'!$A$3:$GG$587,'0.Productos'!CN$1+1,0),"")</f>
        <v/>
      </c>
      <c r="AW389" s="133" t="str">
        <f>IF($A389&lt;&gt;0,VLOOKUP($A389,'0.Productos'!$A$3:$GG$587,'0.Productos'!CO$1+1,0),"")</f>
        <v/>
      </c>
      <c r="AX389" s="133" t="str">
        <f>IF($A389&lt;&gt;0,VLOOKUP($A389,'0.Productos'!$A$3:$GG$587,'0.Productos'!CP$1+1,0),"")</f>
        <v/>
      </c>
      <c r="AY389" s="133" t="str">
        <f>IF($A389&lt;&gt;0,VLOOKUP($A389,'0.Productos'!$A$3:$GG$587,'0.Productos'!CQ$1+1,0),"")</f>
        <v/>
      </c>
      <c r="AZ389" s="133" t="str">
        <f>IF($A389&lt;&gt;0,VLOOKUP($A389,'0.Productos'!$A$3:$GG$587,'0.Productos'!CR$1+1,0),"")</f>
        <v/>
      </c>
      <c r="BA389" s="133" t="str">
        <f>IF($A389&lt;&gt;0,VLOOKUP($A389,'0.Productos'!$A$3:$GG$587,'0.Productos'!CS$1+1,0),"")</f>
        <v/>
      </c>
      <c r="BB389" s="133" t="str">
        <f>IF($A389&lt;&gt;0,VLOOKUP($A389,'0.Productos'!$A$3:$GG$587,'0.Productos'!CT$1+1,0),"")</f>
        <v/>
      </c>
      <c r="BC389" s="133" t="str">
        <f>IF($A389&lt;&gt;0,VLOOKUP($A389,'0.Productos'!$A$3:$GG$587,'0.Productos'!CU$1+1,0),"")</f>
        <v/>
      </c>
      <c r="BD389" s="133" t="str">
        <f>IF($A389&lt;&gt;0,VLOOKUP($A389,'0.Productos'!$A$3:$GG$587,'0.Productos'!CV$1+1,0),"")</f>
        <v/>
      </c>
      <c r="BE389" s="133" t="str">
        <f>IF($A389&lt;&gt;0,VLOOKUP($A389,'0.Productos'!$A$3:$GG$587,'0.Productos'!CW$1+1,0),"")</f>
        <v/>
      </c>
      <c r="BF389" s="133" t="str">
        <f>IF($A389&lt;&gt;0,VLOOKUP($A389,'0.Productos'!$A$3:$GG$587,'0.Productos'!CX$1+1,0),"")</f>
        <v/>
      </c>
      <c r="BG389" s="133" t="str">
        <f>IF($A389&lt;&gt;0,VLOOKUP($A389,'0.Productos'!$A$3:$GG$587,'0.Productos'!CY$1+1,0),"")</f>
        <v/>
      </c>
      <c r="BH389" s="133" t="str">
        <f>IF($A389&lt;&gt;0,VLOOKUP($A389,'0.Productos'!$A$3:$GG$587,'0.Productos'!CZ$1+1,0),"")</f>
        <v/>
      </c>
      <c r="BI389" s="133" t="str">
        <f>IF($A389&lt;&gt;0,VLOOKUP($A389,'0.Productos'!$A$3:$GG$587,'0.Productos'!DA$1+1,0),"")</f>
        <v/>
      </c>
      <c r="BJ389" s="133" t="str">
        <f>IF($A389&lt;&gt;0,VLOOKUP($A389,'0.Productos'!$A$3:$GG$587,'0.Productos'!DB$1+1,0),"")</f>
        <v/>
      </c>
      <c r="BK389" s="133" t="str">
        <f>IF($A389&lt;&gt;0,VLOOKUP($A389,'0.Productos'!$A$3:$GG$587,'0.Productos'!DC$1+1,0),"")</f>
        <v/>
      </c>
      <c r="BL389" s="133" t="str">
        <f>IF($A389&lt;&gt;0,VLOOKUP($A389,'0.Productos'!$A$3:$GG$587,'0.Productos'!DD$1+1,0),"")</f>
        <v/>
      </c>
      <c r="BM389" s="133" t="str">
        <f>IF($A389&lt;&gt;0,VLOOKUP($A389,'0.Productos'!$A$3:$GG$587,'0.Productos'!DE$1+1,0),"")</f>
        <v/>
      </c>
      <c r="BN389" s="133" t="str">
        <f>IF($A389&lt;&gt;0,VLOOKUP($A389,'0.Productos'!$A$3:$GG$587,'0.Productos'!DF$1+1,0),"")</f>
        <v/>
      </c>
      <c r="BO389" s="133" t="str">
        <f>IF($A389&lt;&gt;0,VLOOKUP($A389,'0.Productos'!$A$3:$GG$587,'0.Productos'!DG$1+1,0),"")</f>
        <v/>
      </c>
      <c r="BP389" s="133" t="str">
        <f>IF($A389&lt;&gt;0,VLOOKUP($A389,'0.Productos'!$A$3:$GG$587,'0.Productos'!DH$1+1,0),"")</f>
        <v/>
      </c>
      <c r="BQ389" s="133" t="str">
        <f>IF($A389&lt;&gt;0,VLOOKUP($A389,'0.Productos'!$A$3:$GG$587,'0.Productos'!DI$1+1,0),"")</f>
        <v/>
      </c>
      <c r="BR389" s="133" t="str">
        <f>IF($A389&lt;&gt;0,VLOOKUP($A389,'0.Productos'!$A$3:$GG$587,'0.Productos'!DJ$1+1,0),"")</f>
        <v/>
      </c>
      <c r="BS389" s="133" t="str">
        <f>IF($A389&lt;&gt;0,VLOOKUP($A389,'0.Productos'!$A$3:$GG$587,'0.Productos'!DK$1+1,0),"")</f>
        <v/>
      </c>
      <c r="BT389" s="133" t="str">
        <f>IF($A389&lt;&gt;0,VLOOKUP($A389,'0.Productos'!$A$3:$GG$587,'0.Productos'!DL$1+1,0),"")</f>
        <v/>
      </c>
    </row>
    <row r="390" spans="1:72" x14ac:dyDescent="0.25">
      <c r="A390" s="17">
        <f>'0.Consolidado general'!A390</f>
        <v>0</v>
      </c>
      <c r="B390" s="133" t="str">
        <f>IF($A390&lt;&gt;0,VLOOKUP($A390,'0.Productos'!$A$3:$GG$587,'0.Productos'!AT$1+1,0),"")</f>
        <v/>
      </c>
      <c r="C390" s="133" t="str">
        <f>IF($A390&lt;&gt;0,VLOOKUP($A390,'0.Productos'!$A$3:$GG$587,'0.Productos'!AU$1+1,0),"")</f>
        <v/>
      </c>
      <c r="D390" s="133" t="str">
        <f>IF($A390&lt;&gt;0,VLOOKUP($A390,'0.Productos'!$A$3:$GG$587,'0.Productos'!AV$1+1,0),"")</f>
        <v/>
      </c>
      <c r="E390" s="133" t="str">
        <f>IF($A390&lt;&gt;0,VLOOKUP($A390,'0.Productos'!$A$3:$GG$587,'0.Productos'!AW$1+1,0),"")</f>
        <v/>
      </c>
      <c r="F390" s="133" t="str">
        <f>IF($A390&lt;&gt;0,VLOOKUP($A390,'0.Productos'!$A$3:$GG$587,'0.Productos'!AX$1+1,0),"")</f>
        <v/>
      </c>
      <c r="G390" s="133" t="str">
        <f>IF($A390&lt;&gt;0,VLOOKUP($A390,'0.Productos'!$A$3:$GG$587,'0.Productos'!AY$1+1,0),"")</f>
        <v/>
      </c>
      <c r="H390" s="133" t="str">
        <f>IF($A390&lt;&gt;0,VLOOKUP($A390,'0.Productos'!$A$3:$GG$587,'0.Productos'!AZ$1+1,0),"")</f>
        <v/>
      </c>
      <c r="I390" s="133" t="str">
        <f>IF($A390&lt;&gt;0,VLOOKUP($A390,'0.Productos'!$A$3:$GG$587,'0.Productos'!BA$1+1,0),"")</f>
        <v/>
      </c>
      <c r="J390" s="133" t="str">
        <f>IF($A390&lt;&gt;0,VLOOKUP($A390,'0.Productos'!$A$3:$GG$587,'0.Productos'!BB$1+1,0),"")</f>
        <v/>
      </c>
      <c r="K390" s="133" t="str">
        <f>IF($A390&lt;&gt;0,VLOOKUP($A390,'0.Productos'!$A$3:$GG$587,'0.Productos'!BC$1+1,0),"")</f>
        <v/>
      </c>
      <c r="L390" s="133" t="str">
        <f>IF($A390&lt;&gt;0,VLOOKUP($A390,'0.Productos'!$A$3:$GG$587,'0.Productos'!BD$1+1,0),"")</f>
        <v/>
      </c>
      <c r="M390" s="133" t="str">
        <f>IF($A390&lt;&gt;0,VLOOKUP($A390,'0.Productos'!$A$3:$GG$587,'0.Productos'!BE$1+1,0),"")</f>
        <v/>
      </c>
      <c r="N390" s="133" t="str">
        <f>IF($A390&lt;&gt;0,VLOOKUP($A390,'0.Productos'!$A$3:$GG$587,'0.Productos'!BF$1+1,0),"")</f>
        <v/>
      </c>
      <c r="O390" s="133" t="str">
        <f>IF($A390&lt;&gt;0,VLOOKUP($A390,'0.Productos'!$A$3:$GG$587,'0.Productos'!BG$1+1,0),"")</f>
        <v/>
      </c>
      <c r="P390" s="133" t="str">
        <f>IF($A390&lt;&gt;0,VLOOKUP($A390,'0.Productos'!$A$3:$GG$587,'0.Productos'!BH$1+1,0),"")</f>
        <v/>
      </c>
      <c r="Q390" s="133" t="str">
        <f>IF($A390&lt;&gt;0,VLOOKUP($A390,'0.Productos'!$A$3:$GG$587,'0.Productos'!BI$1+1,0),"")</f>
        <v/>
      </c>
      <c r="R390" s="133" t="str">
        <f>IF($A390&lt;&gt;0,VLOOKUP($A390,'0.Productos'!$A$3:$GG$587,'0.Productos'!BJ$1+1,0),"")</f>
        <v/>
      </c>
      <c r="S390" s="133" t="str">
        <f>IF($A390&lt;&gt;0,VLOOKUP($A390,'0.Productos'!$A$3:$GG$587,'0.Productos'!BK$1+1,0),"")</f>
        <v/>
      </c>
      <c r="T390" s="133" t="str">
        <f>IF($A390&lt;&gt;0,VLOOKUP($A390,'0.Productos'!$A$3:$GG$587,'0.Productos'!BL$1+1,0),"")</f>
        <v/>
      </c>
      <c r="U390" s="133" t="str">
        <f>IF($A390&lt;&gt;0,VLOOKUP($A390,'0.Productos'!$A$3:$GG$587,'0.Productos'!BM$1+1,0),"")</f>
        <v/>
      </c>
      <c r="V390" s="133" t="str">
        <f>IF($A390&lt;&gt;0,VLOOKUP($A390,'0.Productos'!$A$3:$GG$587,'0.Productos'!BN$1+1,0),"")</f>
        <v/>
      </c>
      <c r="W390" s="133" t="str">
        <f>IF($A390&lt;&gt;0,VLOOKUP($A390,'0.Productos'!$A$3:$GG$587,'0.Productos'!BO$1+1,0),"")</f>
        <v/>
      </c>
      <c r="X390" s="133" t="str">
        <f>IF($A390&lt;&gt;0,VLOOKUP($A390,'0.Productos'!$A$3:$GG$587,'0.Productos'!BP$1+1,0),"")</f>
        <v/>
      </c>
      <c r="Y390" s="133" t="str">
        <f>IF($A390&lt;&gt;0,VLOOKUP($A390,'0.Productos'!$A$3:$GG$587,'0.Productos'!BQ$1+1,0),"")</f>
        <v/>
      </c>
      <c r="Z390" s="133" t="str">
        <f>IF($A390&lt;&gt;0,VLOOKUP($A390,'0.Productos'!$A$3:$GG$587,'0.Productos'!BR$1+1,0),"")</f>
        <v/>
      </c>
      <c r="AA390" s="133" t="str">
        <f>IF($A390&lt;&gt;0,VLOOKUP($A390,'0.Productos'!$A$3:$GG$587,'0.Productos'!BS$1+1,0),"")</f>
        <v/>
      </c>
      <c r="AB390" s="133" t="str">
        <f>IF($A390&lt;&gt;0,VLOOKUP($A390,'0.Productos'!$A$3:$GG$587,'0.Productos'!BT$1+1,0),"")</f>
        <v/>
      </c>
      <c r="AC390" s="133" t="str">
        <f>IF($A390&lt;&gt;0,VLOOKUP($A390,'0.Productos'!$A$3:$GG$587,'0.Productos'!BU$1+1,0),"")</f>
        <v/>
      </c>
      <c r="AD390" s="133" t="str">
        <f>IF($A390&lt;&gt;0,VLOOKUP($A390,'0.Productos'!$A$3:$GG$587,'0.Productos'!BV$1+1,0),"")</f>
        <v/>
      </c>
      <c r="AE390" s="133" t="str">
        <f>IF($A390&lt;&gt;0,VLOOKUP($A390,'0.Productos'!$A$3:$GG$587,'0.Productos'!BW$1+1,0),"")</f>
        <v/>
      </c>
      <c r="AF390" s="133" t="str">
        <f>IF($A390&lt;&gt;0,VLOOKUP($A390,'0.Productos'!$A$3:$GG$587,'0.Productos'!BX$1+1,0),"")</f>
        <v/>
      </c>
      <c r="AG390" s="133" t="str">
        <f>IF($A390&lt;&gt;0,VLOOKUP($A390,'0.Productos'!$A$3:$GG$587,'0.Productos'!BY$1+1,0),"")</f>
        <v/>
      </c>
      <c r="AH390" s="133" t="str">
        <f>IF($A390&lt;&gt;0,VLOOKUP($A390,'0.Productos'!$A$3:$GG$587,'0.Productos'!BZ$1+1,0),"")</f>
        <v/>
      </c>
      <c r="AI390" s="133" t="str">
        <f>IF($A390&lt;&gt;0,VLOOKUP($A390,'0.Productos'!$A$3:$GG$587,'0.Productos'!CA$1+1,0),"")</f>
        <v/>
      </c>
      <c r="AJ390" s="133" t="str">
        <f>IF($A390&lt;&gt;0,VLOOKUP($A390,'0.Productos'!$A$3:$GG$587,'0.Productos'!CB$1+1,0),"")</f>
        <v/>
      </c>
      <c r="AK390" s="133" t="str">
        <f>IF($A390&lt;&gt;0,VLOOKUP($A390,'0.Productos'!$A$3:$GG$587,'0.Productos'!CC$1+1,0),"")</f>
        <v/>
      </c>
      <c r="AL390" s="133" t="str">
        <f>IF($A390&lt;&gt;0,VLOOKUP($A390,'0.Productos'!$A$3:$GG$587,'0.Productos'!CD$1+1,0),"")</f>
        <v/>
      </c>
      <c r="AM390" s="133" t="str">
        <f>IF($A390&lt;&gt;0,VLOOKUP($A390,'0.Productos'!$A$3:$GG$587,'0.Productos'!CE$1+1,0),"")</f>
        <v/>
      </c>
      <c r="AN390" s="133" t="str">
        <f>IF($A390&lt;&gt;0,VLOOKUP($A390,'0.Productos'!$A$3:$GG$587,'0.Productos'!CF$1+1,0),"")</f>
        <v/>
      </c>
      <c r="AO390" s="133" t="str">
        <f>IF($A390&lt;&gt;0,VLOOKUP($A390,'0.Productos'!$A$3:$GG$587,'0.Productos'!CG$1+1,0),"")</f>
        <v/>
      </c>
      <c r="AP390" s="133" t="str">
        <f>IF($A390&lt;&gt;0,VLOOKUP($A390,'0.Productos'!$A$3:$GG$587,'0.Productos'!CH$1+1,0),"")</f>
        <v/>
      </c>
      <c r="AQ390" s="133" t="str">
        <f>IF($A390&lt;&gt;0,VLOOKUP($A390,'0.Productos'!$A$3:$GG$587,'0.Productos'!CI$1+1,0),"")</f>
        <v/>
      </c>
      <c r="AR390" s="133" t="str">
        <f>IF($A390&lt;&gt;0,VLOOKUP($A390,'0.Productos'!$A$3:$GG$587,'0.Productos'!CJ$1+1,0),"")</f>
        <v/>
      </c>
      <c r="AS390" s="133" t="str">
        <f>IF($A390&lt;&gt;0,VLOOKUP($A390,'0.Productos'!$A$3:$GG$587,'0.Productos'!CK$1+1,0),"")</f>
        <v/>
      </c>
      <c r="AT390" s="133" t="str">
        <f>IF($A390&lt;&gt;0,VLOOKUP($A390,'0.Productos'!$A$3:$GG$587,'0.Productos'!CL$1+1,0),"")</f>
        <v/>
      </c>
      <c r="AU390" s="133" t="str">
        <f>IF($A390&lt;&gt;0,VLOOKUP($A390,'0.Productos'!$A$3:$GG$587,'0.Productos'!CM$1+1,0),"")</f>
        <v/>
      </c>
      <c r="AV390" s="133" t="str">
        <f>IF($A390&lt;&gt;0,VLOOKUP($A390,'0.Productos'!$A$3:$GG$587,'0.Productos'!CN$1+1,0),"")</f>
        <v/>
      </c>
      <c r="AW390" s="133" t="str">
        <f>IF($A390&lt;&gt;0,VLOOKUP($A390,'0.Productos'!$A$3:$GG$587,'0.Productos'!CO$1+1,0),"")</f>
        <v/>
      </c>
      <c r="AX390" s="133" t="str">
        <f>IF($A390&lt;&gt;0,VLOOKUP($A390,'0.Productos'!$A$3:$GG$587,'0.Productos'!CP$1+1,0),"")</f>
        <v/>
      </c>
      <c r="AY390" s="133" t="str">
        <f>IF($A390&lt;&gt;0,VLOOKUP($A390,'0.Productos'!$A$3:$GG$587,'0.Productos'!CQ$1+1,0),"")</f>
        <v/>
      </c>
      <c r="AZ390" s="133" t="str">
        <f>IF($A390&lt;&gt;0,VLOOKUP($A390,'0.Productos'!$A$3:$GG$587,'0.Productos'!CR$1+1,0),"")</f>
        <v/>
      </c>
      <c r="BA390" s="133" t="str">
        <f>IF($A390&lt;&gt;0,VLOOKUP($A390,'0.Productos'!$A$3:$GG$587,'0.Productos'!CS$1+1,0),"")</f>
        <v/>
      </c>
      <c r="BB390" s="133" t="str">
        <f>IF($A390&lt;&gt;0,VLOOKUP($A390,'0.Productos'!$A$3:$GG$587,'0.Productos'!CT$1+1,0),"")</f>
        <v/>
      </c>
      <c r="BC390" s="133" t="str">
        <f>IF($A390&lt;&gt;0,VLOOKUP($A390,'0.Productos'!$A$3:$GG$587,'0.Productos'!CU$1+1,0),"")</f>
        <v/>
      </c>
      <c r="BD390" s="133" t="str">
        <f>IF($A390&lt;&gt;0,VLOOKUP($A390,'0.Productos'!$A$3:$GG$587,'0.Productos'!CV$1+1,0),"")</f>
        <v/>
      </c>
      <c r="BE390" s="133" t="str">
        <f>IF($A390&lt;&gt;0,VLOOKUP($A390,'0.Productos'!$A$3:$GG$587,'0.Productos'!CW$1+1,0),"")</f>
        <v/>
      </c>
      <c r="BF390" s="133" t="str">
        <f>IF($A390&lt;&gt;0,VLOOKUP($A390,'0.Productos'!$A$3:$GG$587,'0.Productos'!CX$1+1,0),"")</f>
        <v/>
      </c>
      <c r="BG390" s="133" t="str">
        <f>IF($A390&lt;&gt;0,VLOOKUP($A390,'0.Productos'!$A$3:$GG$587,'0.Productos'!CY$1+1,0),"")</f>
        <v/>
      </c>
      <c r="BH390" s="133" t="str">
        <f>IF($A390&lt;&gt;0,VLOOKUP($A390,'0.Productos'!$A$3:$GG$587,'0.Productos'!CZ$1+1,0),"")</f>
        <v/>
      </c>
      <c r="BI390" s="133" t="str">
        <f>IF($A390&lt;&gt;0,VLOOKUP($A390,'0.Productos'!$A$3:$GG$587,'0.Productos'!DA$1+1,0),"")</f>
        <v/>
      </c>
      <c r="BJ390" s="133" t="str">
        <f>IF($A390&lt;&gt;0,VLOOKUP($A390,'0.Productos'!$A$3:$GG$587,'0.Productos'!DB$1+1,0),"")</f>
        <v/>
      </c>
      <c r="BK390" s="133" t="str">
        <f>IF($A390&lt;&gt;0,VLOOKUP($A390,'0.Productos'!$A$3:$GG$587,'0.Productos'!DC$1+1,0),"")</f>
        <v/>
      </c>
      <c r="BL390" s="133" t="str">
        <f>IF($A390&lt;&gt;0,VLOOKUP($A390,'0.Productos'!$A$3:$GG$587,'0.Productos'!DD$1+1,0),"")</f>
        <v/>
      </c>
      <c r="BM390" s="133" t="str">
        <f>IF($A390&lt;&gt;0,VLOOKUP($A390,'0.Productos'!$A$3:$GG$587,'0.Productos'!DE$1+1,0),"")</f>
        <v/>
      </c>
      <c r="BN390" s="133" t="str">
        <f>IF($A390&lt;&gt;0,VLOOKUP($A390,'0.Productos'!$A$3:$GG$587,'0.Productos'!DF$1+1,0),"")</f>
        <v/>
      </c>
      <c r="BO390" s="133" t="str">
        <f>IF($A390&lt;&gt;0,VLOOKUP($A390,'0.Productos'!$A$3:$GG$587,'0.Productos'!DG$1+1,0),"")</f>
        <v/>
      </c>
      <c r="BP390" s="133" t="str">
        <f>IF($A390&lt;&gt;0,VLOOKUP($A390,'0.Productos'!$A$3:$GG$587,'0.Productos'!DH$1+1,0),"")</f>
        <v/>
      </c>
      <c r="BQ390" s="133" t="str">
        <f>IF($A390&lt;&gt;0,VLOOKUP($A390,'0.Productos'!$A$3:$GG$587,'0.Productos'!DI$1+1,0),"")</f>
        <v/>
      </c>
      <c r="BR390" s="133" t="str">
        <f>IF($A390&lt;&gt;0,VLOOKUP($A390,'0.Productos'!$A$3:$GG$587,'0.Productos'!DJ$1+1,0),"")</f>
        <v/>
      </c>
      <c r="BS390" s="133" t="str">
        <f>IF($A390&lt;&gt;0,VLOOKUP($A390,'0.Productos'!$A$3:$GG$587,'0.Productos'!DK$1+1,0),"")</f>
        <v/>
      </c>
      <c r="BT390" s="133" t="str">
        <f>IF($A390&lt;&gt;0,VLOOKUP($A390,'0.Productos'!$A$3:$GG$587,'0.Productos'!DL$1+1,0),"")</f>
        <v/>
      </c>
    </row>
    <row r="391" spans="1:72" x14ac:dyDescent="0.25">
      <c r="A391" s="17">
        <f>'0.Consolidado general'!A391</f>
        <v>0</v>
      </c>
      <c r="B391" s="133" t="str">
        <f>IF($A391&lt;&gt;0,VLOOKUP($A391,'0.Productos'!$A$3:$GG$587,'0.Productos'!AT$1+1,0),"")</f>
        <v/>
      </c>
      <c r="C391" s="133" t="str">
        <f>IF($A391&lt;&gt;0,VLOOKUP($A391,'0.Productos'!$A$3:$GG$587,'0.Productos'!AU$1+1,0),"")</f>
        <v/>
      </c>
      <c r="D391" s="133" t="str">
        <f>IF($A391&lt;&gt;0,VLOOKUP($A391,'0.Productos'!$A$3:$GG$587,'0.Productos'!AV$1+1,0),"")</f>
        <v/>
      </c>
      <c r="E391" s="133" t="str">
        <f>IF($A391&lt;&gt;0,VLOOKUP($A391,'0.Productos'!$A$3:$GG$587,'0.Productos'!AW$1+1,0),"")</f>
        <v/>
      </c>
      <c r="F391" s="133" t="str">
        <f>IF($A391&lt;&gt;0,VLOOKUP($A391,'0.Productos'!$A$3:$GG$587,'0.Productos'!AX$1+1,0),"")</f>
        <v/>
      </c>
      <c r="G391" s="133" t="str">
        <f>IF($A391&lt;&gt;0,VLOOKUP($A391,'0.Productos'!$A$3:$GG$587,'0.Productos'!AY$1+1,0),"")</f>
        <v/>
      </c>
      <c r="H391" s="133" t="str">
        <f>IF($A391&lt;&gt;0,VLOOKUP($A391,'0.Productos'!$A$3:$GG$587,'0.Productos'!AZ$1+1,0),"")</f>
        <v/>
      </c>
      <c r="I391" s="133" t="str">
        <f>IF($A391&lt;&gt;0,VLOOKUP($A391,'0.Productos'!$A$3:$GG$587,'0.Productos'!BA$1+1,0),"")</f>
        <v/>
      </c>
      <c r="J391" s="133" t="str">
        <f>IF($A391&lt;&gt;0,VLOOKUP($A391,'0.Productos'!$A$3:$GG$587,'0.Productos'!BB$1+1,0),"")</f>
        <v/>
      </c>
      <c r="K391" s="133" t="str">
        <f>IF($A391&lt;&gt;0,VLOOKUP($A391,'0.Productos'!$A$3:$GG$587,'0.Productos'!BC$1+1,0),"")</f>
        <v/>
      </c>
      <c r="L391" s="133" t="str">
        <f>IF($A391&lt;&gt;0,VLOOKUP($A391,'0.Productos'!$A$3:$GG$587,'0.Productos'!BD$1+1,0),"")</f>
        <v/>
      </c>
      <c r="M391" s="133" t="str">
        <f>IF($A391&lt;&gt;0,VLOOKUP($A391,'0.Productos'!$A$3:$GG$587,'0.Productos'!BE$1+1,0),"")</f>
        <v/>
      </c>
      <c r="N391" s="133" t="str">
        <f>IF($A391&lt;&gt;0,VLOOKUP($A391,'0.Productos'!$A$3:$GG$587,'0.Productos'!BF$1+1,0),"")</f>
        <v/>
      </c>
      <c r="O391" s="133" t="str">
        <f>IF($A391&lt;&gt;0,VLOOKUP($A391,'0.Productos'!$A$3:$GG$587,'0.Productos'!BG$1+1,0),"")</f>
        <v/>
      </c>
      <c r="P391" s="133" t="str">
        <f>IF($A391&lt;&gt;0,VLOOKUP($A391,'0.Productos'!$A$3:$GG$587,'0.Productos'!BH$1+1,0),"")</f>
        <v/>
      </c>
      <c r="Q391" s="133" t="str">
        <f>IF($A391&lt;&gt;0,VLOOKUP($A391,'0.Productos'!$A$3:$GG$587,'0.Productos'!BI$1+1,0),"")</f>
        <v/>
      </c>
      <c r="R391" s="133" t="str">
        <f>IF($A391&lt;&gt;0,VLOOKUP($A391,'0.Productos'!$A$3:$GG$587,'0.Productos'!BJ$1+1,0),"")</f>
        <v/>
      </c>
      <c r="S391" s="133" t="str">
        <f>IF($A391&lt;&gt;0,VLOOKUP($A391,'0.Productos'!$A$3:$GG$587,'0.Productos'!BK$1+1,0),"")</f>
        <v/>
      </c>
      <c r="T391" s="133" t="str">
        <f>IF($A391&lt;&gt;0,VLOOKUP($A391,'0.Productos'!$A$3:$GG$587,'0.Productos'!BL$1+1,0),"")</f>
        <v/>
      </c>
      <c r="U391" s="133" t="str">
        <f>IF($A391&lt;&gt;0,VLOOKUP($A391,'0.Productos'!$A$3:$GG$587,'0.Productos'!BM$1+1,0),"")</f>
        <v/>
      </c>
      <c r="V391" s="133" t="str">
        <f>IF($A391&lt;&gt;0,VLOOKUP($A391,'0.Productos'!$A$3:$GG$587,'0.Productos'!BN$1+1,0),"")</f>
        <v/>
      </c>
      <c r="W391" s="133" t="str">
        <f>IF($A391&lt;&gt;0,VLOOKUP($A391,'0.Productos'!$A$3:$GG$587,'0.Productos'!BO$1+1,0),"")</f>
        <v/>
      </c>
      <c r="X391" s="133" t="str">
        <f>IF($A391&lt;&gt;0,VLOOKUP($A391,'0.Productos'!$A$3:$GG$587,'0.Productos'!BP$1+1,0),"")</f>
        <v/>
      </c>
      <c r="Y391" s="133" t="str">
        <f>IF($A391&lt;&gt;0,VLOOKUP($A391,'0.Productos'!$A$3:$GG$587,'0.Productos'!BQ$1+1,0),"")</f>
        <v/>
      </c>
      <c r="Z391" s="133" t="str">
        <f>IF($A391&lt;&gt;0,VLOOKUP($A391,'0.Productos'!$A$3:$GG$587,'0.Productos'!BR$1+1,0),"")</f>
        <v/>
      </c>
      <c r="AA391" s="133" t="str">
        <f>IF($A391&lt;&gt;0,VLOOKUP($A391,'0.Productos'!$A$3:$GG$587,'0.Productos'!BS$1+1,0),"")</f>
        <v/>
      </c>
      <c r="AB391" s="133" t="str">
        <f>IF($A391&lt;&gt;0,VLOOKUP($A391,'0.Productos'!$A$3:$GG$587,'0.Productos'!BT$1+1,0),"")</f>
        <v/>
      </c>
      <c r="AC391" s="133" t="str">
        <f>IF($A391&lt;&gt;0,VLOOKUP($A391,'0.Productos'!$A$3:$GG$587,'0.Productos'!BU$1+1,0),"")</f>
        <v/>
      </c>
      <c r="AD391" s="133" t="str">
        <f>IF($A391&lt;&gt;0,VLOOKUP($A391,'0.Productos'!$A$3:$GG$587,'0.Productos'!BV$1+1,0),"")</f>
        <v/>
      </c>
      <c r="AE391" s="133" t="str">
        <f>IF($A391&lt;&gt;0,VLOOKUP($A391,'0.Productos'!$A$3:$GG$587,'0.Productos'!BW$1+1,0),"")</f>
        <v/>
      </c>
      <c r="AF391" s="133" t="str">
        <f>IF($A391&lt;&gt;0,VLOOKUP($A391,'0.Productos'!$A$3:$GG$587,'0.Productos'!BX$1+1,0),"")</f>
        <v/>
      </c>
      <c r="AG391" s="133" t="str">
        <f>IF($A391&lt;&gt;0,VLOOKUP($A391,'0.Productos'!$A$3:$GG$587,'0.Productos'!BY$1+1,0),"")</f>
        <v/>
      </c>
      <c r="AH391" s="133" t="str">
        <f>IF($A391&lt;&gt;0,VLOOKUP($A391,'0.Productos'!$A$3:$GG$587,'0.Productos'!BZ$1+1,0),"")</f>
        <v/>
      </c>
      <c r="AI391" s="133" t="str">
        <f>IF($A391&lt;&gt;0,VLOOKUP($A391,'0.Productos'!$A$3:$GG$587,'0.Productos'!CA$1+1,0),"")</f>
        <v/>
      </c>
      <c r="AJ391" s="133" t="str">
        <f>IF($A391&lt;&gt;0,VLOOKUP($A391,'0.Productos'!$A$3:$GG$587,'0.Productos'!CB$1+1,0),"")</f>
        <v/>
      </c>
      <c r="AK391" s="133" t="str">
        <f>IF($A391&lt;&gt;0,VLOOKUP($A391,'0.Productos'!$A$3:$GG$587,'0.Productos'!CC$1+1,0),"")</f>
        <v/>
      </c>
      <c r="AL391" s="133" t="str">
        <f>IF($A391&lt;&gt;0,VLOOKUP($A391,'0.Productos'!$A$3:$GG$587,'0.Productos'!CD$1+1,0),"")</f>
        <v/>
      </c>
      <c r="AM391" s="133" t="str">
        <f>IF($A391&lt;&gt;0,VLOOKUP($A391,'0.Productos'!$A$3:$GG$587,'0.Productos'!CE$1+1,0),"")</f>
        <v/>
      </c>
      <c r="AN391" s="133" t="str">
        <f>IF($A391&lt;&gt;0,VLOOKUP($A391,'0.Productos'!$A$3:$GG$587,'0.Productos'!CF$1+1,0),"")</f>
        <v/>
      </c>
      <c r="AO391" s="133" t="str">
        <f>IF($A391&lt;&gt;0,VLOOKUP($A391,'0.Productos'!$A$3:$GG$587,'0.Productos'!CG$1+1,0),"")</f>
        <v/>
      </c>
      <c r="AP391" s="133" t="str">
        <f>IF($A391&lt;&gt;0,VLOOKUP($A391,'0.Productos'!$A$3:$GG$587,'0.Productos'!CH$1+1,0),"")</f>
        <v/>
      </c>
      <c r="AQ391" s="133" t="str">
        <f>IF($A391&lt;&gt;0,VLOOKUP($A391,'0.Productos'!$A$3:$GG$587,'0.Productos'!CI$1+1,0),"")</f>
        <v/>
      </c>
      <c r="AR391" s="133" t="str">
        <f>IF($A391&lt;&gt;0,VLOOKUP($A391,'0.Productos'!$A$3:$GG$587,'0.Productos'!CJ$1+1,0),"")</f>
        <v/>
      </c>
      <c r="AS391" s="133" t="str">
        <f>IF($A391&lt;&gt;0,VLOOKUP($A391,'0.Productos'!$A$3:$GG$587,'0.Productos'!CK$1+1,0),"")</f>
        <v/>
      </c>
      <c r="AT391" s="133" t="str">
        <f>IF($A391&lt;&gt;0,VLOOKUP($A391,'0.Productos'!$A$3:$GG$587,'0.Productos'!CL$1+1,0),"")</f>
        <v/>
      </c>
      <c r="AU391" s="133" t="str">
        <f>IF($A391&lt;&gt;0,VLOOKUP($A391,'0.Productos'!$A$3:$GG$587,'0.Productos'!CM$1+1,0),"")</f>
        <v/>
      </c>
      <c r="AV391" s="133" t="str">
        <f>IF($A391&lt;&gt;0,VLOOKUP($A391,'0.Productos'!$A$3:$GG$587,'0.Productos'!CN$1+1,0),"")</f>
        <v/>
      </c>
      <c r="AW391" s="133" t="str">
        <f>IF($A391&lt;&gt;0,VLOOKUP($A391,'0.Productos'!$A$3:$GG$587,'0.Productos'!CO$1+1,0),"")</f>
        <v/>
      </c>
      <c r="AX391" s="133" t="str">
        <f>IF($A391&lt;&gt;0,VLOOKUP($A391,'0.Productos'!$A$3:$GG$587,'0.Productos'!CP$1+1,0),"")</f>
        <v/>
      </c>
      <c r="AY391" s="133" t="str">
        <f>IF($A391&lt;&gt;0,VLOOKUP($A391,'0.Productos'!$A$3:$GG$587,'0.Productos'!CQ$1+1,0),"")</f>
        <v/>
      </c>
      <c r="AZ391" s="133" t="str">
        <f>IF($A391&lt;&gt;0,VLOOKUP($A391,'0.Productos'!$A$3:$GG$587,'0.Productos'!CR$1+1,0),"")</f>
        <v/>
      </c>
      <c r="BA391" s="133" t="str">
        <f>IF($A391&lt;&gt;0,VLOOKUP($A391,'0.Productos'!$A$3:$GG$587,'0.Productos'!CS$1+1,0),"")</f>
        <v/>
      </c>
      <c r="BB391" s="133" t="str">
        <f>IF($A391&lt;&gt;0,VLOOKUP($A391,'0.Productos'!$A$3:$GG$587,'0.Productos'!CT$1+1,0),"")</f>
        <v/>
      </c>
      <c r="BC391" s="133" t="str">
        <f>IF($A391&lt;&gt;0,VLOOKUP($A391,'0.Productos'!$A$3:$GG$587,'0.Productos'!CU$1+1,0),"")</f>
        <v/>
      </c>
      <c r="BD391" s="133" t="str">
        <f>IF($A391&lt;&gt;0,VLOOKUP($A391,'0.Productos'!$A$3:$GG$587,'0.Productos'!CV$1+1,0),"")</f>
        <v/>
      </c>
      <c r="BE391" s="133" t="str">
        <f>IF($A391&lt;&gt;0,VLOOKUP($A391,'0.Productos'!$A$3:$GG$587,'0.Productos'!CW$1+1,0),"")</f>
        <v/>
      </c>
      <c r="BF391" s="133" t="str">
        <f>IF($A391&lt;&gt;0,VLOOKUP($A391,'0.Productos'!$A$3:$GG$587,'0.Productos'!CX$1+1,0),"")</f>
        <v/>
      </c>
      <c r="BG391" s="133" t="str">
        <f>IF($A391&lt;&gt;0,VLOOKUP($A391,'0.Productos'!$A$3:$GG$587,'0.Productos'!CY$1+1,0),"")</f>
        <v/>
      </c>
      <c r="BH391" s="133" t="str">
        <f>IF($A391&lt;&gt;0,VLOOKUP($A391,'0.Productos'!$A$3:$GG$587,'0.Productos'!CZ$1+1,0),"")</f>
        <v/>
      </c>
      <c r="BI391" s="133" t="str">
        <f>IF($A391&lt;&gt;0,VLOOKUP($A391,'0.Productos'!$A$3:$GG$587,'0.Productos'!DA$1+1,0),"")</f>
        <v/>
      </c>
      <c r="BJ391" s="133" t="str">
        <f>IF($A391&lt;&gt;0,VLOOKUP($A391,'0.Productos'!$A$3:$GG$587,'0.Productos'!DB$1+1,0),"")</f>
        <v/>
      </c>
      <c r="BK391" s="133" t="str">
        <f>IF($A391&lt;&gt;0,VLOOKUP($A391,'0.Productos'!$A$3:$GG$587,'0.Productos'!DC$1+1,0),"")</f>
        <v/>
      </c>
      <c r="BL391" s="133" t="str">
        <f>IF($A391&lt;&gt;0,VLOOKUP($A391,'0.Productos'!$A$3:$GG$587,'0.Productos'!DD$1+1,0),"")</f>
        <v/>
      </c>
      <c r="BM391" s="133" t="str">
        <f>IF($A391&lt;&gt;0,VLOOKUP($A391,'0.Productos'!$A$3:$GG$587,'0.Productos'!DE$1+1,0),"")</f>
        <v/>
      </c>
      <c r="BN391" s="133" t="str">
        <f>IF($A391&lt;&gt;0,VLOOKUP($A391,'0.Productos'!$A$3:$GG$587,'0.Productos'!DF$1+1,0),"")</f>
        <v/>
      </c>
      <c r="BO391" s="133" t="str">
        <f>IF($A391&lt;&gt;0,VLOOKUP($A391,'0.Productos'!$A$3:$GG$587,'0.Productos'!DG$1+1,0),"")</f>
        <v/>
      </c>
      <c r="BP391" s="133" t="str">
        <f>IF($A391&lt;&gt;0,VLOOKUP($A391,'0.Productos'!$A$3:$GG$587,'0.Productos'!DH$1+1,0),"")</f>
        <v/>
      </c>
      <c r="BQ391" s="133" t="str">
        <f>IF($A391&lt;&gt;0,VLOOKUP($A391,'0.Productos'!$A$3:$GG$587,'0.Productos'!DI$1+1,0),"")</f>
        <v/>
      </c>
      <c r="BR391" s="133" t="str">
        <f>IF($A391&lt;&gt;0,VLOOKUP($A391,'0.Productos'!$A$3:$GG$587,'0.Productos'!DJ$1+1,0),"")</f>
        <v/>
      </c>
      <c r="BS391" s="133" t="str">
        <f>IF($A391&lt;&gt;0,VLOOKUP($A391,'0.Productos'!$A$3:$GG$587,'0.Productos'!DK$1+1,0),"")</f>
        <v/>
      </c>
      <c r="BT391" s="133" t="str">
        <f>IF($A391&lt;&gt;0,VLOOKUP($A391,'0.Productos'!$A$3:$GG$587,'0.Productos'!DL$1+1,0),"")</f>
        <v/>
      </c>
    </row>
    <row r="392" spans="1:72" x14ac:dyDescent="0.25">
      <c r="A392" s="17">
        <f>'0.Consolidado general'!A392</f>
        <v>0</v>
      </c>
      <c r="B392" s="133" t="str">
        <f>IF($A392&lt;&gt;0,VLOOKUP($A392,'0.Productos'!$A$3:$GG$587,'0.Productos'!AT$1+1,0),"")</f>
        <v/>
      </c>
      <c r="C392" s="133" t="str">
        <f>IF($A392&lt;&gt;0,VLOOKUP($A392,'0.Productos'!$A$3:$GG$587,'0.Productos'!AU$1+1,0),"")</f>
        <v/>
      </c>
      <c r="D392" s="133" t="str">
        <f>IF($A392&lt;&gt;0,VLOOKUP($A392,'0.Productos'!$A$3:$GG$587,'0.Productos'!AV$1+1,0),"")</f>
        <v/>
      </c>
      <c r="E392" s="133" t="str">
        <f>IF($A392&lt;&gt;0,VLOOKUP($A392,'0.Productos'!$A$3:$GG$587,'0.Productos'!AW$1+1,0),"")</f>
        <v/>
      </c>
      <c r="F392" s="133" t="str">
        <f>IF($A392&lt;&gt;0,VLOOKUP($A392,'0.Productos'!$A$3:$GG$587,'0.Productos'!AX$1+1,0),"")</f>
        <v/>
      </c>
      <c r="G392" s="133" t="str">
        <f>IF($A392&lt;&gt;0,VLOOKUP($A392,'0.Productos'!$A$3:$GG$587,'0.Productos'!AY$1+1,0),"")</f>
        <v/>
      </c>
      <c r="H392" s="133" t="str">
        <f>IF($A392&lt;&gt;0,VLOOKUP($A392,'0.Productos'!$A$3:$GG$587,'0.Productos'!AZ$1+1,0),"")</f>
        <v/>
      </c>
      <c r="I392" s="133" t="str">
        <f>IF($A392&lt;&gt;0,VLOOKUP($A392,'0.Productos'!$A$3:$GG$587,'0.Productos'!BA$1+1,0),"")</f>
        <v/>
      </c>
      <c r="J392" s="133" t="str">
        <f>IF($A392&lt;&gt;0,VLOOKUP($A392,'0.Productos'!$A$3:$GG$587,'0.Productos'!BB$1+1,0),"")</f>
        <v/>
      </c>
      <c r="K392" s="133" t="str">
        <f>IF($A392&lt;&gt;0,VLOOKUP($A392,'0.Productos'!$A$3:$GG$587,'0.Productos'!BC$1+1,0),"")</f>
        <v/>
      </c>
      <c r="L392" s="133" t="str">
        <f>IF($A392&lt;&gt;0,VLOOKUP($A392,'0.Productos'!$A$3:$GG$587,'0.Productos'!BD$1+1,0),"")</f>
        <v/>
      </c>
      <c r="M392" s="133" t="str">
        <f>IF($A392&lt;&gt;0,VLOOKUP($A392,'0.Productos'!$A$3:$GG$587,'0.Productos'!BE$1+1,0),"")</f>
        <v/>
      </c>
      <c r="N392" s="133" t="str">
        <f>IF($A392&lt;&gt;0,VLOOKUP($A392,'0.Productos'!$A$3:$GG$587,'0.Productos'!BF$1+1,0),"")</f>
        <v/>
      </c>
      <c r="O392" s="133" t="str">
        <f>IF($A392&lt;&gt;0,VLOOKUP($A392,'0.Productos'!$A$3:$GG$587,'0.Productos'!BG$1+1,0),"")</f>
        <v/>
      </c>
      <c r="P392" s="133" t="str">
        <f>IF($A392&lt;&gt;0,VLOOKUP($A392,'0.Productos'!$A$3:$GG$587,'0.Productos'!BH$1+1,0),"")</f>
        <v/>
      </c>
      <c r="Q392" s="133" t="str">
        <f>IF($A392&lt;&gt;0,VLOOKUP($A392,'0.Productos'!$A$3:$GG$587,'0.Productos'!BI$1+1,0),"")</f>
        <v/>
      </c>
      <c r="R392" s="133" t="str">
        <f>IF($A392&lt;&gt;0,VLOOKUP($A392,'0.Productos'!$A$3:$GG$587,'0.Productos'!BJ$1+1,0),"")</f>
        <v/>
      </c>
      <c r="S392" s="133" t="str">
        <f>IF($A392&lt;&gt;0,VLOOKUP($A392,'0.Productos'!$A$3:$GG$587,'0.Productos'!BK$1+1,0),"")</f>
        <v/>
      </c>
      <c r="T392" s="133" t="str">
        <f>IF($A392&lt;&gt;0,VLOOKUP($A392,'0.Productos'!$A$3:$GG$587,'0.Productos'!BL$1+1,0),"")</f>
        <v/>
      </c>
      <c r="U392" s="133" t="str">
        <f>IF($A392&lt;&gt;0,VLOOKUP($A392,'0.Productos'!$A$3:$GG$587,'0.Productos'!BM$1+1,0),"")</f>
        <v/>
      </c>
      <c r="V392" s="133" t="str">
        <f>IF($A392&lt;&gt;0,VLOOKUP($A392,'0.Productos'!$A$3:$GG$587,'0.Productos'!BN$1+1,0),"")</f>
        <v/>
      </c>
      <c r="W392" s="133" t="str">
        <f>IF($A392&lt;&gt;0,VLOOKUP($A392,'0.Productos'!$A$3:$GG$587,'0.Productos'!BO$1+1,0),"")</f>
        <v/>
      </c>
      <c r="X392" s="133" t="str">
        <f>IF($A392&lt;&gt;0,VLOOKUP($A392,'0.Productos'!$A$3:$GG$587,'0.Productos'!BP$1+1,0),"")</f>
        <v/>
      </c>
      <c r="Y392" s="133" t="str">
        <f>IF($A392&lt;&gt;0,VLOOKUP($A392,'0.Productos'!$A$3:$GG$587,'0.Productos'!BQ$1+1,0),"")</f>
        <v/>
      </c>
      <c r="Z392" s="133" t="str">
        <f>IF($A392&lt;&gt;0,VLOOKUP($A392,'0.Productos'!$A$3:$GG$587,'0.Productos'!BR$1+1,0),"")</f>
        <v/>
      </c>
      <c r="AA392" s="133" t="str">
        <f>IF($A392&lt;&gt;0,VLOOKUP($A392,'0.Productos'!$A$3:$GG$587,'0.Productos'!BS$1+1,0),"")</f>
        <v/>
      </c>
      <c r="AB392" s="133" t="str">
        <f>IF($A392&lt;&gt;0,VLOOKUP($A392,'0.Productos'!$A$3:$GG$587,'0.Productos'!BT$1+1,0),"")</f>
        <v/>
      </c>
      <c r="AC392" s="133" t="str">
        <f>IF($A392&lt;&gt;0,VLOOKUP($A392,'0.Productos'!$A$3:$GG$587,'0.Productos'!BU$1+1,0),"")</f>
        <v/>
      </c>
      <c r="AD392" s="133" t="str">
        <f>IF($A392&lt;&gt;0,VLOOKUP($A392,'0.Productos'!$A$3:$GG$587,'0.Productos'!BV$1+1,0),"")</f>
        <v/>
      </c>
      <c r="AE392" s="133" t="str">
        <f>IF($A392&lt;&gt;0,VLOOKUP($A392,'0.Productos'!$A$3:$GG$587,'0.Productos'!BW$1+1,0),"")</f>
        <v/>
      </c>
      <c r="AF392" s="133" t="str">
        <f>IF($A392&lt;&gt;0,VLOOKUP($A392,'0.Productos'!$A$3:$GG$587,'0.Productos'!BX$1+1,0),"")</f>
        <v/>
      </c>
      <c r="AG392" s="133" t="str">
        <f>IF($A392&lt;&gt;0,VLOOKUP($A392,'0.Productos'!$A$3:$GG$587,'0.Productos'!BY$1+1,0),"")</f>
        <v/>
      </c>
      <c r="AH392" s="133" t="str">
        <f>IF($A392&lt;&gt;0,VLOOKUP($A392,'0.Productos'!$A$3:$GG$587,'0.Productos'!BZ$1+1,0),"")</f>
        <v/>
      </c>
      <c r="AI392" s="133" t="str">
        <f>IF($A392&lt;&gt;0,VLOOKUP($A392,'0.Productos'!$A$3:$GG$587,'0.Productos'!CA$1+1,0),"")</f>
        <v/>
      </c>
      <c r="AJ392" s="133" t="str">
        <f>IF($A392&lt;&gt;0,VLOOKUP($A392,'0.Productos'!$A$3:$GG$587,'0.Productos'!CB$1+1,0),"")</f>
        <v/>
      </c>
      <c r="AK392" s="133" t="str">
        <f>IF($A392&lt;&gt;0,VLOOKUP($A392,'0.Productos'!$A$3:$GG$587,'0.Productos'!CC$1+1,0),"")</f>
        <v/>
      </c>
      <c r="AL392" s="133" t="str">
        <f>IF($A392&lt;&gt;0,VLOOKUP($A392,'0.Productos'!$A$3:$GG$587,'0.Productos'!CD$1+1,0),"")</f>
        <v/>
      </c>
      <c r="AM392" s="133" t="str">
        <f>IF($A392&lt;&gt;0,VLOOKUP($A392,'0.Productos'!$A$3:$GG$587,'0.Productos'!CE$1+1,0),"")</f>
        <v/>
      </c>
      <c r="AN392" s="133" t="str">
        <f>IF($A392&lt;&gt;0,VLOOKUP($A392,'0.Productos'!$A$3:$GG$587,'0.Productos'!CF$1+1,0),"")</f>
        <v/>
      </c>
      <c r="AO392" s="133" t="str">
        <f>IF($A392&lt;&gt;0,VLOOKUP($A392,'0.Productos'!$A$3:$GG$587,'0.Productos'!CG$1+1,0),"")</f>
        <v/>
      </c>
      <c r="AP392" s="133" t="str">
        <f>IF($A392&lt;&gt;0,VLOOKUP($A392,'0.Productos'!$A$3:$GG$587,'0.Productos'!CH$1+1,0),"")</f>
        <v/>
      </c>
      <c r="AQ392" s="133" t="str">
        <f>IF($A392&lt;&gt;0,VLOOKUP($A392,'0.Productos'!$A$3:$GG$587,'0.Productos'!CI$1+1,0),"")</f>
        <v/>
      </c>
      <c r="AR392" s="133" t="str">
        <f>IF($A392&lt;&gt;0,VLOOKUP($A392,'0.Productos'!$A$3:$GG$587,'0.Productos'!CJ$1+1,0),"")</f>
        <v/>
      </c>
      <c r="AS392" s="133" t="str">
        <f>IF($A392&lt;&gt;0,VLOOKUP($A392,'0.Productos'!$A$3:$GG$587,'0.Productos'!CK$1+1,0),"")</f>
        <v/>
      </c>
      <c r="AT392" s="133" t="str">
        <f>IF($A392&lt;&gt;0,VLOOKUP($A392,'0.Productos'!$A$3:$GG$587,'0.Productos'!CL$1+1,0),"")</f>
        <v/>
      </c>
      <c r="AU392" s="133" t="str">
        <f>IF($A392&lt;&gt;0,VLOOKUP($A392,'0.Productos'!$A$3:$GG$587,'0.Productos'!CM$1+1,0),"")</f>
        <v/>
      </c>
      <c r="AV392" s="133" t="str">
        <f>IF($A392&lt;&gt;0,VLOOKUP($A392,'0.Productos'!$A$3:$GG$587,'0.Productos'!CN$1+1,0),"")</f>
        <v/>
      </c>
      <c r="AW392" s="133" t="str">
        <f>IF($A392&lt;&gt;0,VLOOKUP($A392,'0.Productos'!$A$3:$GG$587,'0.Productos'!CO$1+1,0),"")</f>
        <v/>
      </c>
      <c r="AX392" s="133" t="str">
        <f>IF($A392&lt;&gt;0,VLOOKUP($A392,'0.Productos'!$A$3:$GG$587,'0.Productos'!CP$1+1,0),"")</f>
        <v/>
      </c>
      <c r="AY392" s="133" t="str">
        <f>IF($A392&lt;&gt;0,VLOOKUP($A392,'0.Productos'!$A$3:$GG$587,'0.Productos'!CQ$1+1,0),"")</f>
        <v/>
      </c>
      <c r="AZ392" s="133" t="str">
        <f>IF($A392&lt;&gt;0,VLOOKUP($A392,'0.Productos'!$A$3:$GG$587,'0.Productos'!CR$1+1,0),"")</f>
        <v/>
      </c>
      <c r="BA392" s="133" t="str">
        <f>IF($A392&lt;&gt;0,VLOOKUP($A392,'0.Productos'!$A$3:$GG$587,'0.Productos'!CS$1+1,0),"")</f>
        <v/>
      </c>
      <c r="BB392" s="133" t="str">
        <f>IF($A392&lt;&gt;0,VLOOKUP($A392,'0.Productos'!$A$3:$GG$587,'0.Productos'!CT$1+1,0),"")</f>
        <v/>
      </c>
      <c r="BC392" s="133" t="str">
        <f>IF($A392&lt;&gt;0,VLOOKUP($A392,'0.Productos'!$A$3:$GG$587,'0.Productos'!CU$1+1,0),"")</f>
        <v/>
      </c>
      <c r="BD392" s="133" t="str">
        <f>IF($A392&lt;&gt;0,VLOOKUP($A392,'0.Productos'!$A$3:$GG$587,'0.Productos'!CV$1+1,0),"")</f>
        <v/>
      </c>
      <c r="BE392" s="133" t="str">
        <f>IF($A392&lt;&gt;0,VLOOKUP($A392,'0.Productos'!$A$3:$GG$587,'0.Productos'!CW$1+1,0),"")</f>
        <v/>
      </c>
      <c r="BF392" s="133" t="str">
        <f>IF($A392&lt;&gt;0,VLOOKUP($A392,'0.Productos'!$A$3:$GG$587,'0.Productos'!CX$1+1,0),"")</f>
        <v/>
      </c>
      <c r="BG392" s="133" t="str">
        <f>IF($A392&lt;&gt;0,VLOOKUP($A392,'0.Productos'!$A$3:$GG$587,'0.Productos'!CY$1+1,0),"")</f>
        <v/>
      </c>
      <c r="BH392" s="133" t="str">
        <f>IF($A392&lt;&gt;0,VLOOKUP($A392,'0.Productos'!$A$3:$GG$587,'0.Productos'!CZ$1+1,0),"")</f>
        <v/>
      </c>
      <c r="BI392" s="133" t="str">
        <f>IF($A392&lt;&gt;0,VLOOKUP($A392,'0.Productos'!$A$3:$GG$587,'0.Productos'!DA$1+1,0),"")</f>
        <v/>
      </c>
      <c r="BJ392" s="133" t="str">
        <f>IF($A392&lt;&gt;0,VLOOKUP($A392,'0.Productos'!$A$3:$GG$587,'0.Productos'!DB$1+1,0),"")</f>
        <v/>
      </c>
      <c r="BK392" s="133" t="str">
        <f>IF($A392&lt;&gt;0,VLOOKUP($A392,'0.Productos'!$A$3:$GG$587,'0.Productos'!DC$1+1,0),"")</f>
        <v/>
      </c>
      <c r="BL392" s="133" t="str">
        <f>IF($A392&lt;&gt;0,VLOOKUP($A392,'0.Productos'!$A$3:$GG$587,'0.Productos'!DD$1+1,0),"")</f>
        <v/>
      </c>
      <c r="BM392" s="133" t="str">
        <f>IF($A392&lt;&gt;0,VLOOKUP($A392,'0.Productos'!$A$3:$GG$587,'0.Productos'!DE$1+1,0),"")</f>
        <v/>
      </c>
      <c r="BN392" s="133" t="str">
        <f>IF($A392&lt;&gt;0,VLOOKUP($A392,'0.Productos'!$A$3:$GG$587,'0.Productos'!DF$1+1,0),"")</f>
        <v/>
      </c>
      <c r="BO392" s="133" t="str">
        <f>IF($A392&lt;&gt;0,VLOOKUP($A392,'0.Productos'!$A$3:$GG$587,'0.Productos'!DG$1+1,0),"")</f>
        <v/>
      </c>
      <c r="BP392" s="133" t="str">
        <f>IF($A392&lt;&gt;0,VLOOKUP($A392,'0.Productos'!$A$3:$GG$587,'0.Productos'!DH$1+1,0),"")</f>
        <v/>
      </c>
      <c r="BQ392" s="133" t="str">
        <f>IF($A392&lt;&gt;0,VLOOKUP($A392,'0.Productos'!$A$3:$GG$587,'0.Productos'!DI$1+1,0),"")</f>
        <v/>
      </c>
      <c r="BR392" s="133" t="str">
        <f>IF($A392&lt;&gt;0,VLOOKUP($A392,'0.Productos'!$A$3:$GG$587,'0.Productos'!DJ$1+1,0),"")</f>
        <v/>
      </c>
      <c r="BS392" s="133" t="str">
        <f>IF($A392&lt;&gt;0,VLOOKUP($A392,'0.Productos'!$A$3:$GG$587,'0.Productos'!DK$1+1,0),"")</f>
        <v/>
      </c>
      <c r="BT392" s="133" t="str">
        <f>IF($A392&lt;&gt;0,VLOOKUP($A392,'0.Productos'!$A$3:$GG$587,'0.Productos'!DL$1+1,0),"")</f>
        <v/>
      </c>
    </row>
    <row r="393" spans="1:72" x14ac:dyDescent="0.25">
      <c r="A393" s="17">
        <f>'0.Consolidado general'!A393</f>
        <v>0</v>
      </c>
      <c r="B393" s="133" t="str">
        <f>IF($A393&lt;&gt;0,VLOOKUP($A393,'0.Productos'!$A$3:$GG$587,'0.Productos'!AT$1+1,0),"")</f>
        <v/>
      </c>
      <c r="C393" s="133" t="str">
        <f>IF($A393&lt;&gt;0,VLOOKUP($A393,'0.Productos'!$A$3:$GG$587,'0.Productos'!AU$1+1,0),"")</f>
        <v/>
      </c>
      <c r="D393" s="133" t="str">
        <f>IF($A393&lt;&gt;0,VLOOKUP($A393,'0.Productos'!$A$3:$GG$587,'0.Productos'!AV$1+1,0),"")</f>
        <v/>
      </c>
      <c r="E393" s="133" t="str">
        <f>IF($A393&lt;&gt;0,VLOOKUP($A393,'0.Productos'!$A$3:$GG$587,'0.Productos'!AW$1+1,0),"")</f>
        <v/>
      </c>
      <c r="F393" s="133" t="str">
        <f>IF($A393&lt;&gt;0,VLOOKUP($A393,'0.Productos'!$A$3:$GG$587,'0.Productos'!AX$1+1,0),"")</f>
        <v/>
      </c>
      <c r="G393" s="133" t="str">
        <f>IF($A393&lt;&gt;0,VLOOKUP($A393,'0.Productos'!$A$3:$GG$587,'0.Productos'!AY$1+1,0),"")</f>
        <v/>
      </c>
      <c r="H393" s="133" t="str">
        <f>IF($A393&lt;&gt;0,VLOOKUP($A393,'0.Productos'!$A$3:$GG$587,'0.Productos'!AZ$1+1,0),"")</f>
        <v/>
      </c>
      <c r="I393" s="133" t="str">
        <f>IF($A393&lt;&gt;0,VLOOKUP($A393,'0.Productos'!$A$3:$GG$587,'0.Productos'!BA$1+1,0),"")</f>
        <v/>
      </c>
      <c r="J393" s="133" t="str">
        <f>IF($A393&lt;&gt;0,VLOOKUP($A393,'0.Productos'!$A$3:$GG$587,'0.Productos'!BB$1+1,0),"")</f>
        <v/>
      </c>
      <c r="K393" s="133" t="str">
        <f>IF($A393&lt;&gt;0,VLOOKUP($A393,'0.Productos'!$A$3:$GG$587,'0.Productos'!BC$1+1,0),"")</f>
        <v/>
      </c>
      <c r="L393" s="133" t="str">
        <f>IF($A393&lt;&gt;0,VLOOKUP($A393,'0.Productos'!$A$3:$GG$587,'0.Productos'!BD$1+1,0),"")</f>
        <v/>
      </c>
      <c r="M393" s="133" t="str">
        <f>IF($A393&lt;&gt;0,VLOOKUP($A393,'0.Productos'!$A$3:$GG$587,'0.Productos'!BE$1+1,0),"")</f>
        <v/>
      </c>
      <c r="N393" s="133" t="str">
        <f>IF($A393&lt;&gt;0,VLOOKUP($A393,'0.Productos'!$A$3:$GG$587,'0.Productos'!BF$1+1,0),"")</f>
        <v/>
      </c>
      <c r="O393" s="133" t="str">
        <f>IF($A393&lt;&gt;0,VLOOKUP($A393,'0.Productos'!$A$3:$GG$587,'0.Productos'!BG$1+1,0),"")</f>
        <v/>
      </c>
      <c r="P393" s="133" t="str">
        <f>IF($A393&lt;&gt;0,VLOOKUP($A393,'0.Productos'!$A$3:$GG$587,'0.Productos'!BH$1+1,0),"")</f>
        <v/>
      </c>
      <c r="Q393" s="133" t="str">
        <f>IF($A393&lt;&gt;0,VLOOKUP($A393,'0.Productos'!$A$3:$GG$587,'0.Productos'!BI$1+1,0),"")</f>
        <v/>
      </c>
      <c r="R393" s="133" t="str">
        <f>IF($A393&lt;&gt;0,VLOOKUP($A393,'0.Productos'!$A$3:$GG$587,'0.Productos'!BJ$1+1,0),"")</f>
        <v/>
      </c>
      <c r="S393" s="133" t="str">
        <f>IF($A393&lt;&gt;0,VLOOKUP($A393,'0.Productos'!$A$3:$GG$587,'0.Productos'!BK$1+1,0),"")</f>
        <v/>
      </c>
      <c r="T393" s="133" t="str">
        <f>IF($A393&lt;&gt;0,VLOOKUP($A393,'0.Productos'!$A$3:$GG$587,'0.Productos'!BL$1+1,0),"")</f>
        <v/>
      </c>
      <c r="U393" s="133" t="str">
        <f>IF($A393&lt;&gt;0,VLOOKUP($A393,'0.Productos'!$A$3:$GG$587,'0.Productos'!BM$1+1,0),"")</f>
        <v/>
      </c>
      <c r="V393" s="133" t="str">
        <f>IF($A393&lt;&gt;0,VLOOKUP($A393,'0.Productos'!$A$3:$GG$587,'0.Productos'!BN$1+1,0),"")</f>
        <v/>
      </c>
      <c r="W393" s="133" t="str">
        <f>IF($A393&lt;&gt;0,VLOOKUP($A393,'0.Productos'!$A$3:$GG$587,'0.Productos'!BO$1+1,0),"")</f>
        <v/>
      </c>
      <c r="X393" s="133" t="str">
        <f>IF($A393&lt;&gt;0,VLOOKUP($A393,'0.Productos'!$A$3:$GG$587,'0.Productos'!BP$1+1,0),"")</f>
        <v/>
      </c>
      <c r="Y393" s="133" t="str">
        <f>IF($A393&lt;&gt;0,VLOOKUP($A393,'0.Productos'!$A$3:$GG$587,'0.Productos'!BQ$1+1,0),"")</f>
        <v/>
      </c>
      <c r="Z393" s="133" t="str">
        <f>IF($A393&lt;&gt;0,VLOOKUP($A393,'0.Productos'!$A$3:$GG$587,'0.Productos'!BR$1+1,0),"")</f>
        <v/>
      </c>
      <c r="AA393" s="133" t="str">
        <f>IF($A393&lt;&gt;0,VLOOKUP($A393,'0.Productos'!$A$3:$GG$587,'0.Productos'!BS$1+1,0),"")</f>
        <v/>
      </c>
      <c r="AB393" s="133" t="str">
        <f>IF($A393&lt;&gt;0,VLOOKUP($A393,'0.Productos'!$A$3:$GG$587,'0.Productos'!BT$1+1,0),"")</f>
        <v/>
      </c>
      <c r="AC393" s="133" t="str">
        <f>IF($A393&lt;&gt;0,VLOOKUP($A393,'0.Productos'!$A$3:$GG$587,'0.Productos'!BU$1+1,0),"")</f>
        <v/>
      </c>
      <c r="AD393" s="133" t="str">
        <f>IF($A393&lt;&gt;0,VLOOKUP($A393,'0.Productos'!$A$3:$GG$587,'0.Productos'!BV$1+1,0),"")</f>
        <v/>
      </c>
      <c r="AE393" s="133" t="str">
        <f>IF($A393&lt;&gt;0,VLOOKUP($A393,'0.Productos'!$A$3:$GG$587,'0.Productos'!BW$1+1,0),"")</f>
        <v/>
      </c>
      <c r="AF393" s="133" t="str">
        <f>IF($A393&lt;&gt;0,VLOOKUP($A393,'0.Productos'!$A$3:$GG$587,'0.Productos'!BX$1+1,0),"")</f>
        <v/>
      </c>
      <c r="AG393" s="133" t="str">
        <f>IF($A393&lt;&gt;0,VLOOKUP($A393,'0.Productos'!$A$3:$GG$587,'0.Productos'!BY$1+1,0),"")</f>
        <v/>
      </c>
      <c r="AH393" s="133" t="str">
        <f>IF($A393&lt;&gt;0,VLOOKUP($A393,'0.Productos'!$A$3:$GG$587,'0.Productos'!BZ$1+1,0),"")</f>
        <v/>
      </c>
      <c r="AI393" s="133" t="str">
        <f>IF($A393&lt;&gt;0,VLOOKUP($A393,'0.Productos'!$A$3:$GG$587,'0.Productos'!CA$1+1,0),"")</f>
        <v/>
      </c>
      <c r="AJ393" s="133" t="str">
        <f>IF($A393&lt;&gt;0,VLOOKUP($A393,'0.Productos'!$A$3:$GG$587,'0.Productos'!CB$1+1,0),"")</f>
        <v/>
      </c>
      <c r="AK393" s="133" t="str">
        <f>IF($A393&lt;&gt;0,VLOOKUP($A393,'0.Productos'!$A$3:$GG$587,'0.Productos'!CC$1+1,0),"")</f>
        <v/>
      </c>
      <c r="AL393" s="133" t="str">
        <f>IF($A393&lt;&gt;0,VLOOKUP($A393,'0.Productos'!$A$3:$GG$587,'0.Productos'!CD$1+1,0),"")</f>
        <v/>
      </c>
      <c r="AM393" s="133" t="str">
        <f>IF($A393&lt;&gt;0,VLOOKUP($A393,'0.Productos'!$A$3:$GG$587,'0.Productos'!CE$1+1,0),"")</f>
        <v/>
      </c>
      <c r="AN393" s="133" t="str">
        <f>IF($A393&lt;&gt;0,VLOOKUP($A393,'0.Productos'!$A$3:$GG$587,'0.Productos'!CF$1+1,0),"")</f>
        <v/>
      </c>
      <c r="AO393" s="133" t="str">
        <f>IF($A393&lt;&gt;0,VLOOKUP($A393,'0.Productos'!$A$3:$GG$587,'0.Productos'!CG$1+1,0),"")</f>
        <v/>
      </c>
      <c r="AP393" s="133" t="str">
        <f>IF($A393&lt;&gt;0,VLOOKUP($A393,'0.Productos'!$A$3:$GG$587,'0.Productos'!CH$1+1,0),"")</f>
        <v/>
      </c>
      <c r="AQ393" s="133" t="str">
        <f>IF($A393&lt;&gt;0,VLOOKUP($A393,'0.Productos'!$A$3:$GG$587,'0.Productos'!CI$1+1,0),"")</f>
        <v/>
      </c>
      <c r="AR393" s="133" t="str">
        <f>IF($A393&lt;&gt;0,VLOOKUP($A393,'0.Productos'!$A$3:$GG$587,'0.Productos'!CJ$1+1,0),"")</f>
        <v/>
      </c>
      <c r="AS393" s="133" t="str">
        <f>IF($A393&lt;&gt;0,VLOOKUP($A393,'0.Productos'!$A$3:$GG$587,'0.Productos'!CK$1+1,0),"")</f>
        <v/>
      </c>
      <c r="AT393" s="133" t="str">
        <f>IF($A393&lt;&gt;0,VLOOKUP($A393,'0.Productos'!$A$3:$GG$587,'0.Productos'!CL$1+1,0),"")</f>
        <v/>
      </c>
      <c r="AU393" s="133" t="str">
        <f>IF($A393&lt;&gt;0,VLOOKUP($A393,'0.Productos'!$A$3:$GG$587,'0.Productos'!CM$1+1,0),"")</f>
        <v/>
      </c>
      <c r="AV393" s="133" t="str">
        <f>IF($A393&lt;&gt;0,VLOOKUP($A393,'0.Productos'!$A$3:$GG$587,'0.Productos'!CN$1+1,0),"")</f>
        <v/>
      </c>
      <c r="AW393" s="133" t="str">
        <f>IF($A393&lt;&gt;0,VLOOKUP($A393,'0.Productos'!$A$3:$GG$587,'0.Productos'!CO$1+1,0),"")</f>
        <v/>
      </c>
      <c r="AX393" s="133" t="str">
        <f>IF($A393&lt;&gt;0,VLOOKUP($A393,'0.Productos'!$A$3:$GG$587,'0.Productos'!CP$1+1,0),"")</f>
        <v/>
      </c>
      <c r="AY393" s="133" t="str">
        <f>IF($A393&lt;&gt;0,VLOOKUP($A393,'0.Productos'!$A$3:$GG$587,'0.Productos'!CQ$1+1,0),"")</f>
        <v/>
      </c>
      <c r="AZ393" s="133" t="str">
        <f>IF($A393&lt;&gt;0,VLOOKUP($A393,'0.Productos'!$A$3:$GG$587,'0.Productos'!CR$1+1,0),"")</f>
        <v/>
      </c>
      <c r="BA393" s="133" t="str">
        <f>IF($A393&lt;&gt;0,VLOOKUP($A393,'0.Productos'!$A$3:$GG$587,'0.Productos'!CS$1+1,0),"")</f>
        <v/>
      </c>
      <c r="BB393" s="133" t="str">
        <f>IF($A393&lt;&gt;0,VLOOKUP($A393,'0.Productos'!$A$3:$GG$587,'0.Productos'!CT$1+1,0),"")</f>
        <v/>
      </c>
      <c r="BC393" s="133" t="str">
        <f>IF($A393&lt;&gt;0,VLOOKUP($A393,'0.Productos'!$A$3:$GG$587,'0.Productos'!CU$1+1,0),"")</f>
        <v/>
      </c>
      <c r="BD393" s="133" t="str">
        <f>IF($A393&lt;&gt;0,VLOOKUP($A393,'0.Productos'!$A$3:$GG$587,'0.Productos'!CV$1+1,0),"")</f>
        <v/>
      </c>
      <c r="BE393" s="133" t="str">
        <f>IF($A393&lt;&gt;0,VLOOKUP($A393,'0.Productos'!$A$3:$GG$587,'0.Productos'!CW$1+1,0),"")</f>
        <v/>
      </c>
      <c r="BF393" s="133" t="str">
        <f>IF($A393&lt;&gt;0,VLOOKUP($A393,'0.Productos'!$A$3:$GG$587,'0.Productos'!CX$1+1,0),"")</f>
        <v/>
      </c>
      <c r="BG393" s="133" t="str">
        <f>IF($A393&lt;&gt;0,VLOOKUP($A393,'0.Productos'!$A$3:$GG$587,'0.Productos'!CY$1+1,0),"")</f>
        <v/>
      </c>
      <c r="BH393" s="133" t="str">
        <f>IF($A393&lt;&gt;0,VLOOKUP($A393,'0.Productos'!$A$3:$GG$587,'0.Productos'!CZ$1+1,0),"")</f>
        <v/>
      </c>
      <c r="BI393" s="133" t="str">
        <f>IF($A393&lt;&gt;0,VLOOKUP($A393,'0.Productos'!$A$3:$GG$587,'0.Productos'!DA$1+1,0),"")</f>
        <v/>
      </c>
      <c r="BJ393" s="133" t="str">
        <f>IF($A393&lt;&gt;0,VLOOKUP($A393,'0.Productos'!$A$3:$GG$587,'0.Productos'!DB$1+1,0),"")</f>
        <v/>
      </c>
      <c r="BK393" s="133" t="str">
        <f>IF($A393&lt;&gt;0,VLOOKUP($A393,'0.Productos'!$A$3:$GG$587,'0.Productos'!DC$1+1,0),"")</f>
        <v/>
      </c>
      <c r="BL393" s="133" t="str">
        <f>IF($A393&lt;&gt;0,VLOOKUP($A393,'0.Productos'!$A$3:$GG$587,'0.Productos'!DD$1+1,0),"")</f>
        <v/>
      </c>
      <c r="BM393" s="133" t="str">
        <f>IF($A393&lt;&gt;0,VLOOKUP($A393,'0.Productos'!$A$3:$GG$587,'0.Productos'!DE$1+1,0),"")</f>
        <v/>
      </c>
      <c r="BN393" s="133" t="str">
        <f>IF($A393&lt;&gt;0,VLOOKUP($A393,'0.Productos'!$A$3:$GG$587,'0.Productos'!DF$1+1,0),"")</f>
        <v/>
      </c>
      <c r="BO393" s="133" t="str">
        <f>IF($A393&lt;&gt;0,VLOOKUP($A393,'0.Productos'!$A$3:$GG$587,'0.Productos'!DG$1+1,0),"")</f>
        <v/>
      </c>
      <c r="BP393" s="133" t="str">
        <f>IF($A393&lt;&gt;0,VLOOKUP($A393,'0.Productos'!$A$3:$GG$587,'0.Productos'!DH$1+1,0),"")</f>
        <v/>
      </c>
      <c r="BQ393" s="133" t="str">
        <f>IF($A393&lt;&gt;0,VLOOKUP($A393,'0.Productos'!$A$3:$GG$587,'0.Productos'!DI$1+1,0),"")</f>
        <v/>
      </c>
      <c r="BR393" s="133" t="str">
        <f>IF($A393&lt;&gt;0,VLOOKUP($A393,'0.Productos'!$A$3:$GG$587,'0.Productos'!DJ$1+1,0),"")</f>
        <v/>
      </c>
      <c r="BS393" s="133" t="str">
        <f>IF($A393&lt;&gt;0,VLOOKUP($A393,'0.Productos'!$A$3:$GG$587,'0.Productos'!DK$1+1,0),"")</f>
        <v/>
      </c>
      <c r="BT393" s="133" t="str">
        <f>IF($A393&lt;&gt;0,VLOOKUP($A393,'0.Productos'!$A$3:$GG$587,'0.Productos'!DL$1+1,0),"")</f>
        <v/>
      </c>
    </row>
    <row r="394" spans="1:72" x14ac:dyDescent="0.25">
      <c r="A394" s="17">
        <f>'0.Consolidado general'!A394</f>
        <v>0</v>
      </c>
      <c r="B394" s="133" t="str">
        <f>IF($A394&lt;&gt;0,VLOOKUP($A394,'0.Productos'!$A$3:$GG$587,'0.Productos'!AT$1+1,0),"")</f>
        <v/>
      </c>
      <c r="C394" s="133" t="str">
        <f>IF($A394&lt;&gt;0,VLOOKUP($A394,'0.Productos'!$A$3:$GG$587,'0.Productos'!AU$1+1,0),"")</f>
        <v/>
      </c>
      <c r="D394" s="133" t="str">
        <f>IF($A394&lt;&gt;0,VLOOKUP($A394,'0.Productos'!$A$3:$GG$587,'0.Productos'!AV$1+1,0),"")</f>
        <v/>
      </c>
      <c r="E394" s="133" t="str">
        <f>IF($A394&lt;&gt;0,VLOOKUP($A394,'0.Productos'!$A$3:$GG$587,'0.Productos'!AW$1+1,0),"")</f>
        <v/>
      </c>
      <c r="F394" s="133" t="str">
        <f>IF($A394&lt;&gt;0,VLOOKUP($A394,'0.Productos'!$A$3:$GG$587,'0.Productos'!AX$1+1,0),"")</f>
        <v/>
      </c>
      <c r="G394" s="133" t="str">
        <f>IF($A394&lt;&gt;0,VLOOKUP($A394,'0.Productos'!$A$3:$GG$587,'0.Productos'!AY$1+1,0),"")</f>
        <v/>
      </c>
      <c r="H394" s="133" t="str">
        <f>IF($A394&lt;&gt;0,VLOOKUP($A394,'0.Productos'!$A$3:$GG$587,'0.Productos'!AZ$1+1,0),"")</f>
        <v/>
      </c>
      <c r="I394" s="133" t="str">
        <f>IF($A394&lt;&gt;0,VLOOKUP($A394,'0.Productos'!$A$3:$GG$587,'0.Productos'!BA$1+1,0),"")</f>
        <v/>
      </c>
      <c r="J394" s="133" t="str">
        <f>IF($A394&lt;&gt;0,VLOOKUP($A394,'0.Productos'!$A$3:$GG$587,'0.Productos'!BB$1+1,0),"")</f>
        <v/>
      </c>
      <c r="K394" s="133" t="str">
        <f>IF($A394&lt;&gt;0,VLOOKUP($A394,'0.Productos'!$A$3:$GG$587,'0.Productos'!BC$1+1,0),"")</f>
        <v/>
      </c>
      <c r="L394" s="133" t="str">
        <f>IF($A394&lt;&gt;0,VLOOKUP($A394,'0.Productos'!$A$3:$GG$587,'0.Productos'!BD$1+1,0),"")</f>
        <v/>
      </c>
      <c r="M394" s="133" t="str">
        <f>IF($A394&lt;&gt;0,VLOOKUP($A394,'0.Productos'!$A$3:$GG$587,'0.Productos'!BE$1+1,0),"")</f>
        <v/>
      </c>
      <c r="N394" s="133" t="str">
        <f>IF($A394&lt;&gt;0,VLOOKUP($A394,'0.Productos'!$A$3:$GG$587,'0.Productos'!BF$1+1,0),"")</f>
        <v/>
      </c>
      <c r="O394" s="133" t="str">
        <f>IF($A394&lt;&gt;0,VLOOKUP($A394,'0.Productos'!$A$3:$GG$587,'0.Productos'!BG$1+1,0),"")</f>
        <v/>
      </c>
      <c r="P394" s="133" t="str">
        <f>IF($A394&lt;&gt;0,VLOOKUP($A394,'0.Productos'!$A$3:$GG$587,'0.Productos'!BH$1+1,0),"")</f>
        <v/>
      </c>
      <c r="Q394" s="133" t="str">
        <f>IF($A394&lt;&gt;0,VLOOKUP($A394,'0.Productos'!$A$3:$GG$587,'0.Productos'!BI$1+1,0),"")</f>
        <v/>
      </c>
      <c r="R394" s="133" t="str">
        <f>IF($A394&lt;&gt;0,VLOOKUP($A394,'0.Productos'!$A$3:$GG$587,'0.Productos'!BJ$1+1,0),"")</f>
        <v/>
      </c>
      <c r="S394" s="133" t="str">
        <f>IF($A394&lt;&gt;0,VLOOKUP($A394,'0.Productos'!$A$3:$GG$587,'0.Productos'!BK$1+1,0),"")</f>
        <v/>
      </c>
      <c r="T394" s="133" t="str">
        <f>IF($A394&lt;&gt;0,VLOOKUP($A394,'0.Productos'!$A$3:$GG$587,'0.Productos'!BL$1+1,0),"")</f>
        <v/>
      </c>
      <c r="U394" s="133" t="str">
        <f>IF($A394&lt;&gt;0,VLOOKUP($A394,'0.Productos'!$A$3:$GG$587,'0.Productos'!BM$1+1,0),"")</f>
        <v/>
      </c>
      <c r="V394" s="133" t="str">
        <f>IF($A394&lt;&gt;0,VLOOKUP($A394,'0.Productos'!$A$3:$GG$587,'0.Productos'!BN$1+1,0),"")</f>
        <v/>
      </c>
      <c r="W394" s="133" t="str">
        <f>IF($A394&lt;&gt;0,VLOOKUP($A394,'0.Productos'!$A$3:$GG$587,'0.Productos'!BO$1+1,0),"")</f>
        <v/>
      </c>
      <c r="X394" s="133" t="str">
        <f>IF($A394&lt;&gt;0,VLOOKUP($A394,'0.Productos'!$A$3:$GG$587,'0.Productos'!BP$1+1,0),"")</f>
        <v/>
      </c>
      <c r="Y394" s="133" t="str">
        <f>IF($A394&lt;&gt;0,VLOOKUP($A394,'0.Productos'!$A$3:$GG$587,'0.Productos'!BQ$1+1,0),"")</f>
        <v/>
      </c>
      <c r="Z394" s="133" t="str">
        <f>IF($A394&lt;&gt;0,VLOOKUP($A394,'0.Productos'!$A$3:$GG$587,'0.Productos'!BR$1+1,0),"")</f>
        <v/>
      </c>
      <c r="AA394" s="133" t="str">
        <f>IF($A394&lt;&gt;0,VLOOKUP($A394,'0.Productos'!$A$3:$GG$587,'0.Productos'!BS$1+1,0),"")</f>
        <v/>
      </c>
      <c r="AB394" s="133" t="str">
        <f>IF($A394&lt;&gt;0,VLOOKUP($A394,'0.Productos'!$A$3:$GG$587,'0.Productos'!BT$1+1,0),"")</f>
        <v/>
      </c>
      <c r="AC394" s="133" t="str">
        <f>IF($A394&lt;&gt;0,VLOOKUP($A394,'0.Productos'!$A$3:$GG$587,'0.Productos'!BU$1+1,0),"")</f>
        <v/>
      </c>
      <c r="AD394" s="133" t="str">
        <f>IF($A394&lt;&gt;0,VLOOKUP($A394,'0.Productos'!$A$3:$GG$587,'0.Productos'!BV$1+1,0),"")</f>
        <v/>
      </c>
      <c r="AE394" s="133" t="str">
        <f>IF($A394&lt;&gt;0,VLOOKUP($A394,'0.Productos'!$A$3:$GG$587,'0.Productos'!BW$1+1,0),"")</f>
        <v/>
      </c>
      <c r="AF394" s="133" t="str">
        <f>IF($A394&lt;&gt;0,VLOOKUP($A394,'0.Productos'!$A$3:$GG$587,'0.Productos'!BX$1+1,0),"")</f>
        <v/>
      </c>
      <c r="AG394" s="133" t="str">
        <f>IF($A394&lt;&gt;0,VLOOKUP($A394,'0.Productos'!$A$3:$GG$587,'0.Productos'!BY$1+1,0),"")</f>
        <v/>
      </c>
      <c r="AH394" s="133" t="str">
        <f>IF($A394&lt;&gt;0,VLOOKUP($A394,'0.Productos'!$A$3:$GG$587,'0.Productos'!BZ$1+1,0),"")</f>
        <v/>
      </c>
      <c r="AI394" s="133" t="str">
        <f>IF($A394&lt;&gt;0,VLOOKUP($A394,'0.Productos'!$A$3:$GG$587,'0.Productos'!CA$1+1,0),"")</f>
        <v/>
      </c>
      <c r="AJ394" s="133" t="str">
        <f>IF($A394&lt;&gt;0,VLOOKUP($A394,'0.Productos'!$A$3:$GG$587,'0.Productos'!CB$1+1,0),"")</f>
        <v/>
      </c>
      <c r="AK394" s="133" t="str">
        <f>IF($A394&lt;&gt;0,VLOOKUP($A394,'0.Productos'!$A$3:$GG$587,'0.Productos'!CC$1+1,0),"")</f>
        <v/>
      </c>
      <c r="AL394" s="133" t="str">
        <f>IF($A394&lt;&gt;0,VLOOKUP($A394,'0.Productos'!$A$3:$GG$587,'0.Productos'!CD$1+1,0),"")</f>
        <v/>
      </c>
      <c r="AM394" s="133" t="str">
        <f>IF($A394&lt;&gt;0,VLOOKUP($A394,'0.Productos'!$A$3:$GG$587,'0.Productos'!CE$1+1,0),"")</f>
        <v/>
      </c>
      <c r="AN394" s="133" t="str">
        <f>IF($A394&lt;&gt;0,VLOOKUP($A394,'0.Productos'!$A$3:$GG$587,'0.Productos'!CF$1+1,0),"")</f>
        <v/>
      </c>
      <c r="AO394" s="133" t="str">
        <f>IF($A394&lt;&gt;0,VLOOKUP($A394,'0.Productos'!$A$3:$GG$587,'0.Productos'!CG$1+1,0),"")</f>
        <v/>
      </c>
      <c r="AP394" s="133" t="str">
        <f>IF($A394&lt;&gt;0,VLOOKUP($A394,'0.Productos'!$A$3:$GG$587,'0.Productos'!CH$1+1,0),"")</f>
        <v/>
      </c>
      <c r="AQ394" s="133" t="str">
        <f>IF($A394&lt;&gt;0,VLOOKUP($A394,'0.Productos'!$A$3:$GG$587,'0.Productos'!CI$1+1,0),"")</f>
        <v/>
      </c>
      <c r="AR394" s="133" t="str">
        <f>IF($A394&lt;&gt;0,VLOOKUP($A394,'0.Productos'!$A$3:$GG$587,'0.Productos'!CJ$1+1,0),"")</f>
        <v/>
      </c>
      <c r="AS394" s="133" t="str">
        <f>IF($A394&lt;&gt;0,VLOOKUP($A394,'0.Productos'!$A$3:$GG$587,'0.Productos'!CK$1+1,0),"")</f>
        <v/>
      </c>
      <c r="AT394" s="133" t="str">
        <f>IF($A394&lt;&gt;0,VLOOKUP($A394,'0.Productos'!$A$3:$GG$587,'0.Productos'!CL$1+1,0),"")</f>
        <v/>
      </c>
      <c r="AU394" s="133" t="str">
        <f>IF($A394&lt;&gt;0,VLOOKUP($A394,'0.Productos'!$A$3:$GG$587,'0.Productos'!CM$1+1,0),"")</f>
        <v/>
      </c>
      <c r="AV394" s="133" t="str">
        <f>IF($A394&lt;&gt;0,VLOOKUP($A394,'0.Productos'!$A$3:$GG$587,'0.Productos'!CN$1+1,0),"")</f>
        <v/>
      </c>
      <c r="AW394" s="133" t="str">
        <f>IF($A394&lt;&gt;0,VLOOKUP($A394,'0.Productos'!$A$3:$GG$587,'0.Productos'!CO$1+1,0),"")</f>
        <v/>
      </c>
      <c r="AX394" s="133" t="str">
        <f>IF($A394&lt;&gt;0,VLOOKUP($A394,'0.Productos'!$A$3:$GG$587,'0.Productos'!CP$1+1,0),"")</f>
        <v/>
      </c>
      <c r="AY394" s="133" t="str">
        <f>IF($A394&lt;&gt;0,VLOOKUP($A394,'0.Productos'!$A$3:$GG$587,'0.Productos'!CQ$1+1,0),"")</f>
        <v/>
      </c>
      <c r="AZ394" s="133" t="str">
        <f>IF($A394&lt;&gt;0,VLOOKUP($A394,'0.Productos'!$A$3:$GG$587,'0.Productos'!CR$1+1,0),"")</f>
        <v/>
      </c>
      <c r="BA394" s="133" t="str">
        <f>IF($A394&lt;&gt;0,VLOOKUP($A394,'0.Productos'!$A$3:$GG$587,'0.Productos'!CS$1+1,0),"")</f>
        <v/>
      </c>
      <c r="BB394" s="133" t="str">
        <f>IF($A394&lt;&gt;0,VLOOKUP($A394,'0.Productos'!$A$3:$GG$587,'0.Productos'!CT$1+1,0),"")</f>
        <v/>
      </c>
      <c r="BC394" s="133" t="str">
        <f>IF($A394&lt;&gt;0,VLOOKUP($A394,'0.Productos'!$A$3:$GG$587,'0.Productos'!CU$1+1,0),"")</f>
        <v/>
      </c>
      <c r="BD394" s="133" t="str">
        <f>IF($A394&lt;&gt;0,VLOOKUP($A394,'0.Productos'!$A$3:$GG$587,'0.Productos'!CV$1+1,0),"")</f>
        <v/>
      </c>
      <c r="BE394" s="133" t="str">
        <f>IF($A394&lt;&gt;0,VLOOKUP($A394,'0.Productos'!$A$3:$GG$587,'0.Productos'!CW$1+1,0),"")</f>
        <v/>
      </c>
      <c r="BF394" s="133" t="str">
        <f>IF($A394&lt;&gt;0,VLOOKUP($A394,'0.Productos'!$A$3:$GG$587,'0.Productos'!CX$1+1,0),"")</f>
        <v/>
      </c>
      <c r="BG394" s="133" t="str">
        <f>IF($A394&lt;&gt;0,VLOOKUP($A394,'0.Productos'!$A$3:$GG$587,'0.Productos'!CY$1+1,0),"")</f>
        <v/>
      </c>
      <c r="BH394" s="133" t="str">
        <f>IF($A394&lt;&gt;0,VLOOKUP($A394,'0.Productos'!$A$3:$GG$587,'0.Productos'!CZ$1+1,0),"")</f>
        <v/>
      </c>
      <c r="BI394" s="133" t="str">
        <f>IF($A394&lt;&gt;0,VLOOKUP($A394,'0.Productos'!$A$3:$GG$587,'0.Productos'!DA$1+1,0),"")</f>
        <v/>
      </c>
      <c r="BJ394" s="133" t="str">
        <f>IF($A394&lt;&gt;0,VLOOKUP($A394,'0.Productos'!$A$3:$GG$587,'0.Productos'!DB$1+1,0),"")</f>
        <v/>
      </c>
      <c r="BK394" s="133" t="str">
        <f>IF($A394&lt;&gt;0,VLOOKUP($A394,'0.Productos'!$A$3:$GG$587,'0.Productos'!DC$1+1,0),"")</f>
        <v/>
      </c>
      <c r="BL394" s="133" t="str">
        <f>IF($A394&lt;&gt;0,VLOOKUP($A394,'0.Productos'!$A$3:$GG$587,'0.Productos'!DD$1+1,0),"")</f>
        <v/>
      </c>
      <c r="BM394" s="133" t="str">
        <f>IF($A394&lt;&gt;0,VLOOKUP($A394,'0.Productos'!$A$3:$GG$587,'0.Productos'!DE$1+1,0),"")</f>
        <v/>
      </c>
      <c r="BN394" s="133" t="str">
        <f>IF($A394&lt;&gt;0,VLOOKUP($A394,'0.Productos'!$A$3:$GG$587,'0.Productos'!DF$1+1,0),"")</f>
        <v/>
      </c>
      <c r="BO394" s="133" t="str">
        <f>IF($A394&lt;&gt;0,VLOOKUP($A394,'0.Productos'!$A$3:$GG$587,'0.Productos'!DG$1+1,0),"")</f>
        <v/>
      </c>
      <c r="BP394" s="133" t="str">
        <f>IF($A394&lt;&gt;0,VLOOKUP($A394,'0.Productos'!$A$3:$GG$587,'0.Productos'!DH$1+1,0),"")</f>
        <v/>
      </c>
      <c r="BQ394" s="133" t="str">
        <f>IF($A394&lt;&gt;0,VLOOKUP($A394,'0.Productos'!$A$3:$GG$587,'0.Productos'!DI$1+1,0),"")</f>
        <v/>
      </c>
      <c r="BR394" s="133" t="str">
        <f>IF($A394&lt;&gt;0,VLOOKUP($A394,'0.Productos'!$A$3:$GG$587,'0.Productos'!DJ$1+1,0),"")</f>
        <v/>
      </c>
      <c r="BS394" s="133" t="str">
        <f>IF($A394&lt;&gt;0,VLOOKUP($A394,'0.Productos'!$A$3:$GG$587,'0.Productos'!DK$1+1,0),"")</f>
        <v/>
      </c>
      <c r="BT394" s="133" t="str">
        <f>IF($A394&lt;&gt;0,VLOOKUP($A394,'0.Productos'!$A$3:$GG$587,'0.Productos'!DL$1+1,0),"")</f>
        <v/>
      </c>
    </row>
    <row r="395" spans="1:72" x14ac:dyDescent="0.25">
      <c r="A395" s="17">
        <f>'0.Consolidado general'!A395</f>
        <v>0</v>
      </c>
      <c r="B395" s="133" t="str">
        <f>IF($A395&lt;&gt;0,VLOOKUP($A395,'0.Productos'!$A$3:$GG$587,'0.Productos'!AT$1+1,0),"")</f>
        <v/>
      </c>
      <c r="C395" s="133" t="str">
        <f>IF($A395&lt;&gt;0,VLOOKUP($A395,'0.Productos'!$A$3:$GG$587,'0.Productos'!AU$1+1,0),"")</f>
        <v/>
      </c>
      <c r="D395" s="133" t="str">
        <f>IF($A395&lt;&gt;0,VLOOKUP($A395,'0.Productos'!$A$3:$GG$587,'0.Productos'!AV$1+1,0),"")</f>
        <v/>
      </c>
      <c r="E395" s="133" t="str">
        <f>IF($A395&lt;&gt;0,VLOOKUP($A395,'0.Productos'!$A$3:$GG$587,'0.Productos'!AW$1+1,0),"")</f>
        <v/>
      </c>
      <c r="F395" s="133" t="str">
        <f>IF($A395&lt;&gt;0,VLOOKUP($A395,'0.Productos'!$A$3:$GG$587,'0.Productos'!AX$1+1,0),"")</f>
        <v/>
      </c>
      <c r="G395" s="133" t="str">
        <f>IF($A395&lt;&gt;0,VLOOKUP($A395,'0.Productos'!$A$3:$GG$587,'0.Productos'!AY$1+1,0),"")</f>
        <v/>
      </c>
      <c r="H395" s="133" t="str">
        <f>IF($A395&lt;&gt;0,VLOOKUP($A395,'0.Productos'!$A$3:$GG$587,'0.Productos'!AZ$1+1,0),"")</f>
        <v/>
      </c>
      <c r="I395" s="133" t="str">
        <f>IF($A395&lt;&gt;0,VLOOKUP($A395,'0.Productos'!$A$3:$GG$587,'0.Productos'!BA$1+1,0),"")</f>
        <v/>
      </c>
      <c r="J395" s="133" t="str">
        <f>IF($A395&lt;&gt;0,VLOOKUP($A395,'0.Productos'!$A$3:$GG$587,'0.Productos'!BB$1+1,0),"")</f>
        <v/>
      </c>
      <c r="K395" s="133" t="str">
        <f>IF($A395&lt;&gt;0,VLOOKUP($A395,'0.Productos'!$A$3:$GG$587,'0.Productos'!BC$1+1,0),"")</f>
        <v/>
      </c>
      <c r="L395" s="133" t="str">
        <f>IF($A395&lt;&gt;0,VLOOKUP($A395,'0.Productos'!$A$3:$GG$587,'0.Productos'!BD$1+1,0),"")</f>
        <v/>
      </c>
      <c r="M395" s="133" t="str">
        <f>IF($A395&lt;&gt;0,VLOOKUP($A395,'0.Productos'!$A$3:$GG$587,'0.Productos'!BE$1+1,0),"")</f>
        <v/>
      </c>
      <c r="N395" s="133" t="str">
        <f>IF($A395&lt;&gt;0,VLOOKUP($A395,'0.Productos'!$A$3:$GG$587,'0.Productos'!BF$1+1,0),"")</f>
        <v/>
      </c>
      <c r="O395" s="133" t="str">
        <f>IF($A395&lt;&gt;0,VLOOKUP($A395,'0.Productos'!$A$3:$GG$587,'0.Productos'!BG$1+1,0),"")</f>
        <v/>
      </c>
      <c r="P395" s="133" t="str">
        <f>IF($A395&lt;&gt;0,VLOOKUP($A395,'0.Productos'!$A$3:$GG$587,'0.Productos'!BH$1+1,0),"")</f>
        <v/>
      </c>
      <c r="Q395" s="133" t="str">
        <f>IF($A395&lt;&gt;0,VLOOKUP($A395,'0.Productos'!$A$3:$GG$587,'0.Productos'!BI$1+1,0),"")</f>
        <v/>
      </c>
      <c r="R395" s="133" t="str">
        <f>IF($A395&lt;&gt;0,VLOOKUP($A395,'0.Productos'!$A$3:$GG$587,'0.Productos'!BJ$1+1,0),"")</f>
        <v/>
      </c>
      <c r="S395" s="133" t="str">
        <f>IF($A395&lt;&gt;0,VLOOKUP($A395,'0.Productos'!$A$3:$GG$587,'0.Productos'!BK$1+1,0),"")</f>
        <v/>
      </c>
      <c r="T395" s="133" t="str">
        <f>IF($A395&lt;&gt;0,VLOOKUP($A395,'0.Productos'!$A$3:$GG$587,'0.Productos'!BL$1+1,0),"")</f>
        <v/>
      </c>
      <c r="U395" s="133" t="str">
        <f>IF($A395&lt;&gt;0,VLOOKUP($A395,'0.Productos'!$A$3:$GG$587,'0.Productos'!BM$1+1,0),"")</f>
        <v/>
      </c>
      <c r="V395" s="133" t="str">
        <f>IF($A395&lt;&gt;0,VLOOKUP($A395,'0.Productos'!$A$3:$GG$587,'0.Productos'!BN$1+1,0),"")</f>
        <v/>
      </c>
      <c r="W395" s="133" t="str">
        <f>IF($A395&lt;&gt;0,VLOOKUP($A395,'0.Productos'!$A$3:$GG$587,'0.Productos'!BO$1+1,0),"")</f>
        <v/>
      </c>
      <c r="X395" s="133" t="str">
        <f>IF($A395&lt;&gt;0,VLOOKUP($A395,'0.Productos'!$A$3:$GG$587,'0.Productos'!BP$1+1,0),"")</f>
        <v/>
      </c>
      <c r="Y395" s="133" t="str">
        <f>IF($A395&lt;&gt;0,VLOOKUP($A395,'0.Productos'!$A$3:$GG$587,'0.Productos'!BQ$1+1,0),"")</f>
        <v/>
      </c>
      <c r="Z395" s="133" t="str">
        <f>IF($A395&lt;&gt;0,VLOOKUP($A395,'0.Productos'!$A$3:$GG$587,'0.Productos'!BR$1+1,0),"")</f>
        <v/>
      </c>
      <c r="AA395" s="133" t="str">
        <f>IF($A395&lt;&gt;0,VLOOKUP($A395,'0.Productos'!$A$3:$GG$587,'0.Productos'!BS$1+1,0),"")</f>
        <v/>
      </c>
      <c r="AB395" s="133" t="str">
        <f>IF($A395&lt;&gt;0,VLOOKUP($A395,'0.Productos'!$A$3:$GG$587,'0.Productos'!BT$1+1,0),"")</f>
        <v/>
      </c>
      <c r="AC395" s="133" t="str">
        <f>IF($A395&lt;&gt;0,VLOOKUP($A395,'0.Productos'!$A$3:$GG$587,'0.Productos'!BU$1+1,0),"")</f>
        <v/>
      </c>
      <c r="AD395" s="133" t="str">
        <f>IF($A395&lt;&gt;0,VLOOKUP($A395,'0.Productos'!$A$3:$GG$587,'0.Productos'!BV$1+1,0),"")</f>
        <v/>
      </c>
      <c r="AE395" s="133" t="str">
        <f>IF($A395&lt;&gt;0,VLOOKUP($A395,'0.Productos'!$A$3:$GG$587,'0.Productos'!BW$1+1,0),"")</f>
        <v/>
      </c>
      <c r="AF395" s="133" t="str">
        <f>IF($A395&lt;&gt;0,VLOOKUP($A395,'0.Productos'!$A$3:$GG$587,'0.Productos'!BX$1+1,0),"")</f>
        <v/>
      </c>
      <c r="AG395" s="133" t="str">
        <f>IF($A395&lt;&gt;0,VLOOKUP($A395,'0.Productos'!$A$3:$GG$587,'0.Productos'!BY$1+1,0),"")</f>
        <v/>
      </c>
      <c r="AH395" s="133" t="str">
        <f>IF($A395&lt;&gt;0,VLOOKUP($A395,'0.Productos'!$A$3:$GG$587,'0.Productos'!BZ$1+1,0),"")</f>
        <v/>
      </c>
      <c r="AI395" s="133" t="str">
        <f>IF($A395&lt;&gt;0,VLOOKUP($A395,'0.Productos'!$A$3:$GG$587,'0.Productos'!CA$1+1,0),"")</f>
        <v/>
      </c>
      <c r="AJ395" s="133" t="str">
        <f>IF($A395&lt;&gt;0,VLOOKUP($A395,'0.Productos'!$A$3:$GG$587,'0.Productos'!CB$1+1,0),"")</f>
        <v/>
      </c>
      <c r="AK395" s="133" t="str">
        <f>IF($A395&lt;&gt;0,VLOOKUP($A395,'0.Productos'!$A$3:$GG$587,'0.Productos'!CC$1+1,0),"")</f>
        <v/>
      </c>
      <c r="AL395" s="133" t="str">
        <f>IF($A395&lt;&gt;0,VLOOKUP($A395,'0.Productos'!$A$3:$GG$587,'0.Productos'!CD$1+1,0),"")</f>
        <v/>
      </c>
      <c r="AM395" s="133" t="str">
        <f>IF($A395&lt;&gt;0,VLOOKUP($A395,'0.Productos'!$A$3:$GG$587,'0.Productos'!CE$1+1,0),"")</f>
        <v/>
      </c>
      <c r="AN395" s="133" t="str">
        <f>IF($A395&lt;&gt;0,VLOOKUP($A395,'0.Productos'!$A$3:$GG$587,'0.Productos'!CF$1+1,0),"")</f>
        <v/>
      </c>
      <c r="AO395" s="133" t="str">
        <f>IF($A395&lt;&gt;0,VLOOKUP($A395,'0.Productos'!$A$3:$GG$587,'0.Productos'!CG$1+1,0),"")</f>
        <v/>
      </c>
      <c r="AP395" s="133" t="str">
        <f>IF($A395&lt;&gt;0,VLOOKUP($A395,'0.Productos'!$A$3:$GG$587,'0.Productos'!CH$1+1,0),"")</f>
        <v/>
      </c>
      <c r="AQ395" s="133" t="str">
        <f>IF($A395&lt;&gt;0,VLOOKUP($A395,'0.Productos'!$A$3:$GG$587,'0.Productos'!CI$1+1,0),"")</f>
        <v/>
      </c>
      <c r="AR395" s="133" t="str">
        <f>IF($A395&lt;&gt;0,VLOOKUP($A395,'0.Productos'!$A$3:$GG$587,'0.Productos'!CJ$1+1,0),"")</f>
        <v/>
      </c>
      <c r="AS395" s="133" t="str">
        <f>IF($A395&lt;&gt;0,VLOOKUP($A395,'0.Productos'!$A$3:$GG$587,'0.Productos'!CK$1+1,0),"")</f>
        <v/>
      </c>
      <c r="AT395" s="133" t="str">
        <f>IF($A395&lt;&gt;0,VLOOKUP($A395,'0.Productos'!$A$3:$GG$587,'0.Productos'!CL$1+1,0),"")</f>
        <v/>
      </c>
      <c r="AU395" s="133" t="str">
        <f>IF($A395&lt;&gt;0,VLOOKUP($A395,'0.Productos'!$A$3:$GG$587,'0.Productos'!CM$1+1,0),"")</f>
        <v/>
      </c>
      <c r="AV395" s="133" t="str">
        <f>IF($A395&lt;&gt;0,VLOOKUP($A395,'0.Productos'!$A$3:$GG$587,'0.Productos'!CN$1+1,0),"")</f>
        <v/>
      </c>
      <c r="AW395" s="133" t="str">
        <f>IF($A395&lt;&gt;0,VLOOKUP($A395,'0.Productos'!$A$3:$GG$587,'0.Productos'!CO$1+1,0),"")</f>
        <v/>
      </c>
      <c r="AX395" s="133" t="str">
        <f>IF($A395&lt;&gt;0,VLOOKUP($A395,'0.Productos'!$A$3:$GG$587,'0.Productos'!CP$1+1,0),"")</f>
        <v/>
      </c>
      <c r="AY395" s="133" t="str">
        <f>IF($A395&lt;&gt;0,VLOOKUP($A395,'0.Productos'!$A$3:$GG$587,'0.Productos'!CQ$1+1,0),"")</f>
        <v/>
      </c>
      <c r="AZ395" s="133" t="str">
        <f>IF($A395&lt;&gt;0,VLOOKUP($A395,'0.Productos'!$A$3:$GG$587,'0.Productos'!CR$1+1,0),"")</f>
        <v/>
      </c>
      <c r="BA395" s="133" t="str">
        <f>IF($A395&lt;&gt;0,VLOOKUP($A395,'0.Productos'!$A$3:$GG$587,'0.Productos'!CS$1+1,0),"")</f>
        <v/>
      </c>
      <c r="BB395" s="133" t="str">
        <f>IF($A395&lt;&gt;0,VLOOKUP($A395,'0.Productos'!$A$3:$GG$587,'0.Productos'!CT$1+1,0),"")</f>
        <v/>
      </c>
      <c r="BC395" s="133" t="str">
        <f>IF($A395&lt;&gt;0,VLOOKUP($A395,'0.Productos'!$A$3:$GG$587,'0.Productos'!CU$1+1,0),"")</f>
        <v/>
      </c>
      <c r="BD395" s="133" t="str">
        <f>IF($A395&lt;&gt;0,VLOOKUP($A395,'0.Productos'!$A$3:$GG$587,'0.Productos'!CV$1+1,0),"")</f>
        <v/>
      </c>
      <c r="BE395" s="133" t="str">
        <f>IF($A395&lt;&gt;0,VLOOKUP($A395,'0.Productos'!$A$3:$GG$587,'0.Productos'!CW$1+1,0),"")</f>
        <v/>
      </c>
      <c r="BF395" s="133" t="str">
        <f>IF($A395&lt;&gt;0,VLOOKUP($A395,'0.Productos'!$A$3:$GG$587,'0.Productos'!CX$1+1,0),"")</f>
        <v/>
      </c>
      <c r="BG395" s="133" t="str">
        <f>IF($A395&lt;&gt;0,VLOOKUP($A395,'0.Productos'!$A$3:$GG$587,'0.Productos'!CY$1+1,0),"")</f>
        <v/>
      </c>
      <c r="BH395" s="133" t="str">
        <f>IF($A395&lt;&gt;0,VLOOKUP($A395,'0.Productos'!$A$3:$GG$587,'0.Productos'!CZ$1+1,0),"")</f>
        <v/>
      </c>
      <c r="BI395" s="133" t="str">
        <f>IF($A395&lt;&gt;0,VLOOKUP($A395,'0.Productos'!$A$3:$GG$587,'0.Productos'!DA$1+1,0),"")</f>
        <v/>
      </c>
      <c r="BJ395" s="133" t="str">
        <f>IF($A395&lt;&gt;0,VLOOKUP($A395,'0.Productos'!$A$3:$GG$587,'0.Productos'!DB$1+1,0),"")</f>
        <v/>
      </c>
      <c r="BK395" s="133" t="str">
        <f>IF($A395&lt;&gt;0,VLOOKUP($A395,'0.Productos'!$A$3:$GG$587,'0.Productos'!DC$1+1,0),"")</f>
        <v/>
      </c>
      <c r="BL395" s="133" t="str">
        <f>IF($A395&lt;&gt;0,VLOOKUP($A395,'0.Productos'!$A$3:$GG$587,'0.Productos'!DD$1+1,0),"")</f>
        <v/>
      </c>
      <c r="BM395" s="133" t="str">
        <f>IF($A395&lt;&gt;0,VLOOKUP($A395,'0.Productos'!$A$3:$GG$587,'0.Productos'!DE$1+1,0),"")</f>
        <v/>
      </c>
      <c r="BN395" s="133" t="str">
        <f>IF($A395&lt;&gt;0,VLOOKUP($A395,'0.Productos'!$A$3:$GG$587,'0.Productos'!DF$1+1,0),"")</f>
        <v/>
      </c>
      <c r="BO395" s="133" t="str">
        <f>IF($A395&lt;&gt;0,VLOOKUP($A395,'0.Productos'!$A$3:$GG$587,'0.Productos'!DG$1+1,0),"")</f>
        <v/>
      </c>
      <c r="BP395" s="133" t="str">
        <f>IF($A395&lt;&gt;0,VLOOKUP($A395,'0.Productos'!$A$3:$GG$587,'0.Productos'!DH$1+1,0),"")</f>
        <v/>
      </c>
      <c r="BQ395" s="133" t="str">
        <f>IF($A395&lt;&gt;0,VLOOKUP($A395,'0.Productos'!$A$3:$GG$587,'0.Productos'!DI$1+1,0),"")</f>
        <v/>
      </c>
      <c r="BR395" s="133" t="str">
        <f>IF($A395&lt;&gt;0,VLOOKUP($A395,'0.Productos'!$A$3:$GG$587,'0.Productos'!DJ$1+1,0),"")</f>
        <v/>
      </c>
      <c r="BS395" s="133" t="str">
        <f>IF($A395&lt;&gt;0,VLOOKUP($A395,'0.Productos'!$A$3:$GG$587,'0.Productos'!DK$1+1,0),"")</f>
        <v/>
      </c>
      <c r="BT395" s="133" t="str">
        <f>IF($A395&lt;&gt;0,VLOOKUP($A395,'0.Productos'!$A$3:$GG$587,'0.Productos'!DL$1+1,0),"")</f>
        <v/>
      </c>
    </row>
    <row r="396" spans="1:72" x14ac:dyDescent="0.25">
      <c r="A396" s="17">
        <f>'0.Consolidado general'!A396</f>
        <v>0</v>
      </c>
      <c r="B396" s="133" t="str">
        <f>IF($A396&lt;&gt;0,VLOOKUP($A396,'0.Productos'!$A$3:$GG$587,'0.Productos'!AT$1+1,0),"")</f>
        <v/>
      </c>
      <c r="C396" s="133" t="str">
        <f>IF($A396&lt;&gt;0,VLOOKUP($A396,'0.Productos'!$A$3:$GG$587,'0.Productos'!AU$1+1,0),"")</f>
        <v/>
      </c>
      <c r="D396" s="133" t="str">
        <f>IF($A396&lt;&gt;0,VLOOKUP($A396,'0.Productos'!$A$3:$GG$587,'0.Productos'!AV$1+1,0),"")</f>
        <v/>
      </c>
      <c r="E396" s="133" t="str">
        <f>IF($A396&lt;&gt;0,VLOOKUP($A396,'0.Productos'!$A$3:$GG$587,'0.Productos'!AW$1+1,0),"")</f>
        <v/>
      </c>
      <c r="F396" s="133" t="str">
        <f>IF($A396&lt;&gt;0,VLOOKUP($A396,'0.Productos'!$A$3:$GG$587,'0.Productos'!AX$1+1,0),"")</f>
        <v/>
      </c>
      <c r="G396" s="133" t="str">
        <f>IF($A396&lt;&gt;0,VLOOKUP($A396,'0.Productos'!$A$3:$GG$587,'0.Productos'!AY$1+1,0),"")</f>
        <v/>
      </c>
      <c r="H396" s="133" t="str">
        <f>IF($A396&lt;&gt;0,VLOOKUP($A396,'0.Productos'!$A$3:$GG$587,'0.Productos'!AZ$1+1,0),"")</f>
        <v/>
      </c>
      <c r="I396" s="133" t="str">
        <f>IF($A396&lt;&gt;0,VLOOKUP($A396,'0.Productos'!$A$3:$GG$587,'0.Productos'!BA$1+1,0),"")</f>
        <v/>
      </c>
      <c r="J396" s="133" t="str">
        <f>IF($A396&lt;&gt;0,VLOOKUP($A396,'0.Productos'!$A$3:$GG$587,'0.Productos'!BB$1+1,0),"")</f>
        <v/>
      </c>
      <c r="K396" s="133" t="str">
        <f>IF($A396&lt;&gt;0,VLOOKUP($A396,'0.Productos'!$A$3:$GG$587,'0.Productos'!BC$1+1,0),"")</f>
        <v/>
      </c>
      <c r="L396" s="133" t="str">
        <f>IF($A396&lt;&gt;0,VLOOKUP($A396,'0.Productos'!$A$3:$GG$587,'0.Productos'!BD$1+1,0),"")</f>
        <v/>
      </c>
      <c r="M396" s="133" t="str">
        <f>IF($A396&lt;&gt;0,VLOOKUP($A396,'0.Productos'!$A$3:$GG$587,'0.Productos'!BE$1+1,0),"")</f>
        <v/>
      </c>
      <c r="N396" s="133" t="str">
        <f>IF($A396&lt;&gt;0,VLOOKUP($A396,'0.Productos'!$A$3:$GG$587,'0.Productos'!BF$1+1,0),"")</f>
        <v/>
      </c>
      <c r="O396" s="133" t="str">
        <f>IF($A396&lt;&gt;0,VLOOKUP($A396,'0.Productos'!$A$3:$GG$587,'0.Productos'!BG$1+1,0),"")</f>
        <v/>
      </c>
      <c r="P396" s="133" t="str">
        <f>IF($A396&lt;&gt;0,VLOOKUP($A396,'0.Productos'!$A$3:$GG$587,'0.Productos'!BH$1+1,0),"")</f>
        <v/>
      </c>
      <c r="Q396" s="133" t="str">
        <f>IF($A396&lt;&gt;0,VLOOKUP($A396,'0.Productos'!$A$3:$GG$587,'0.Productos'!BI$1+1,0),"")</f>
        <v/>
      </c>
      <c r="R396" s="133" t="str">
        <f>IF($A396&lt;&gt;0,VLOOKUP($A396,'0.Productos'!$A$3:$GG$587,'0.Productos'!BJ$1+1,0),"")</f>
        <v/>
      </c>
      <c r="S396" s="133" t="str">
        <f>IF($A396&lt;&gt;0,VLOOKUP($A396,'0.Productos'!$A$3:$GG$587,'0.Productos'!BK$1+1,0),"")</f>
        <v/>
      </c>
      <c r="T396" s="133" t="str">
        <f>IF($A396&lt;&gt;0,VLOOKUP($A396,'0.Productos'!$A$3:$GG$587,'0.Productos'!BL$1+1,0),"")</f>
        <v/>
      </c>
      <c r="U396" s="133" t="str">
        <f>IF($A396&lt;&gt;0,VLOOKUP($A396,'0.Productos'!$A$3:$GG$587,'0.Productos'!BM$1+1,0),"")</f>
        <v/>
      </c>
      <c r="V396" s="133" t="str">
        <f>IF($A396&lt;&gt;0,VLOOKUP($A396,'0.Productos'!$A$3:$GG$587,'0.Productos'!BN$1+1,0),"")</f>
        <v/>
      </c>
      <c r="W396" s="133" t="str">
        <f>IF($A396&lt;&gt;0,VLOOKUP($A396,'0.Productos'!$A$3:$GG$587,'0.Productos'!BO$1+1,0),"")</f>
        <v/>
      </c>
      <c r="X396" s="133" t="str">
        <f>IF($A396&lt;&gt;0,VLOOKUP($A396,'0.Productos'!$A$3:$GG$587,'0.Productos'!BP$1+1,0),"")</f>
        <v/>
      </c>
      <c r="Y396" s="133" t="str">
        <f>IF($A396&lt;&gt;0,VLOOKUP($A396,'0.Productos'!$A$3:$GG$587,'0.Productos'!BQ$1+1,0),"")</f>
        <v/>
      </c>
      <c r="Z396" s="133" t="str">
        <f>IF($A396&lt;&gt;0,VLOOKUP($A396,'0.Productos'!$A$3:$GG$587,'0.Productos'!BR$1+1,0),"")</f>
        <v/>
      </c>
      <c r="AA396" s="133" t="str">
        <f>IF($A396&lt;&gt;0,VLOOKUP($A396,'0.Productos'!$A$3:$GG$587,'0.Productos'!BS$1+1,0),"")</f>
        <v/>
      </c>
      <c r="AB396" s="133" t="str">
        <f>IF($A396&lt;&gt;0,VLOOKUP($A396,'0.Productos'!$A$3:$GG$587,'0.Productos'!BT$1+1,0),"")</f>
        <v/>
      </c>
      <c r="AC396" s="133" t="str">
        <f>IF($A396&lt;&gt;0,VLOOKUP($A396,'0.Productos'!$A$3:$GG$587,'0.Productos'!BU$1+1,0),"")</f>
        <v/>
      </c>
      <c r="AD396" s="133" t="str">
        <f>IF($A396&lt;&gt;0,VLOOKUP($A396,'0.Productos'!$A$3:$GG$587,'0.Productos'!BV$1+1,0),"")</f>
        <v/>
      </c>
      <c r="AE396" s="133" t="str">
        <f>IF($A396&lt;&gt;0,VLOOKUP($A396,'0.Productos'!$A$3:$GG$587,'0.Productos'!BW$1+1,0),"")</f>
        <v/>
      </c>
      <c r="AF396" s="133" t="str">
        <f>IF($A396&lt;&gt;0,VLOOKUP($A396,'0.Productos'!$A$3:$GG$587,'0.Productos'!BX$1+1,0),"")</f>
        <v/>
      </c>
      <c r="AG396" s="133" t="str">
        <f>IF($A396&lt;&gt;0,VLOOKUP($A396,'0.Productos'!$A$3:$GG$587,'0.Productos'!BY$1+1,0),"")</f>
        <v/>
      </c>
      <c r="AH396" s="133" t="str">
        <f>IF($A396&lt;&gt;0,VLOOKUP($A396,'0.Productos'!$A$3:$GG$587,'0.Productos'!BZ$1+1,0),"")</f>
        <v/>
      </c>
      <c r="AI396" s="133" t="str">
        <f>IF($A396&lt;&gt;0,VLOOKUP($A396,'0.Productos'!$A$3:$GG$587,'0.Productos'!CA$1+1,0),"")</f>
        <v/>
      </c>
      <c r="AJ396" s="133" t="str">
        <f>IF($A396&lt;&gt;0,VLOOKUP($A396,'0.Productos'!$A$3:$GG$587,'0.Productos'!CB$1+1,0),"")</f>
        <v/>
      </c>
      <c r="AK396" s="133" t="str">
        <f>IF($A396&lt;&gt;0,VLOOKUP($A396,'0.Productos'!$A$3:$GG$587,'0.Productos'!CC$1+1,0),"")</f>
        <v/>
      </c>
      <c r="AL396" s="133" t="str">
        <f>IF($A396&lt;&gt;0,VLOOKUP($A396,'0.Productos'!$A$3:$GG$587,'0.Productos'!CD$1+1,0),"")</f>
        <v/>
      </c>
      <c r="AM396" s="133" t="str">
        <f>IF($A396&lt;&gt;0,VLOOKUP($A396,'0.Productos'!$A$3:$GG$587,'0.Productos'!CE$1+1,0),"")</f>
        <v/>
      </c>
      <c r="AN396" s="133" t="str">
        <f>IF($A396&lt;&gt;0,VLOOKUP($A396,'0.Productos'!$A$3:$GG$587,'0.Productos'!CF$1+1,0),"")</f>
        <v/>
      </c>
      <c r="AO396" s="133" t="str">
        <f>IF($A396&lt;&gt;0,VLOOKUP($A396,'0.Productos'!$A$3:$GG$587,'0.Productos'!CG$1+1,0),"")</f>
        <v/>
      </c>
      <c r="AP396" s="133" t="str">
        <f>IF($A396&lt;&gt;0,VLOOKUP($A396,'0.Productos'!$A$3:$GG$587,'0.Productos'!CH$1+1,0),"")</f>
        <v/>
      </c>
      <c r="AQ396" s="133" t="str">
        <f>IF($A396&lt;&gt;0,VLOOKUP($A396,'0.Productos'!$A$3:$GG$587,'0.Productos'!CI$1+1,0),"")</f>
        <v/>
      </c>
      <c r="AR396" s="133" t="str">
        <f>IF($A396&lt;&gt;0,VLOOKUP($A396,'0.Productos'!$A$3:$GG$587,'0.Productos'!CJ$1+1,0),"")</f>
        <v/>
      </c>
      <c r="AS396" s="133" t="str">
        <f>IF($A396&lt;&gt;0,VLOOKUP($A396,'0.Productos'!$A$3:$GG$587,'0.Productos'!CK$1+1,0),"")</f>
        <v/>
      </c>
      <c r="AT396" s="133" t="str">
        <f>IF($A396&lt;&gt;0,VLOOKUP($A396,'0.Productos'!$A$3:$GG$587,'0.Productos'!CL$1+1,0),"")</f>
        <v/>
      </c>
      <c r="AU396" s="133" t="str">
        <f>IF($A396&lt;&gt;0,VLOOKUP($A396,'0.Productos'!$A$3:$GG$587,'0.Productos'!CM$1+1,0),"")</f>
        <v/>
      </c>
      <c r="AV396" s="133" t="str">
        <f>IF($A396&lt;&gt;0,VLOOKUP($A396,'0.Productos'!$A$3:$GG$587,'0.Productos'!CN$1+1,0),"")</f>
        <v/>
      </c>
      <c r="AW396" s="133" t="str">
        <f>IF($A396&lt;&gt;0,VLOOKUP($A396,'0.Productos'!$A$3:$GG$587,'0.Productos'!CO$1+1,0),"")</f>
        <v/>
      </c>
      <c r="AX396" s="133" t="str">
        <f>IF($A396&lt;&gt;0,VLOOKUP($A396,'0.Productos'!$A$3:$GG$587,'0.Productos'!CP$1+1,0),"")</f>
        <v/>
      </c>
      <c r="AY396" s="133" t="str">
        <f>IF($A396&lt;&gt;0,VLOOKUP($A396,'0.Productos'!$A$3:$GG$587,'0.Productos'!CQ$1+1,0),"")</f>
        <v/>
      </c>
      <c r="AZ396" s="133" t="str">
        <f>IF($A396&lt;&gt;0,VLOOKUP($A396,'0.Productos'!$A$3:$GG$587,'0.Productos'!CR$1+1,0),"")</f>
        <v/>
      </c>
      <c r="BA396" s="133" t="str">
        <f>IF($A396&lt;&gt;0,VLOOKUP($A396,'0.Productos'!$A$3:$GG$587,'0.Productos'!CS$1+1,0),"")</f>
        <v/>
      </c>
      <c r="BB396" s="133" t="str">
        <f>IF($A396&lt;&gt;0,VLOOKUP($A396,'0.Productos'!$A$3:$GG$587,'0.Productos'!CT$1+1,0),"")</f>
        <v/>
      </c>
      <c r="BC396" s="133" t="str">
        <f>IF($A396&lt;&gt;0,VLOOKUP($A396,'0.Productos'!$A$3:$GG$587,'0.Productos'!CU$1+1,0),"")</f>
        <v/>
      </c>
      <c r="BD396" s="133" t="str">
        <f>IF($A396&lt;&gt;0,VLOOKUP($A396,'0.Productos'!$A$3:$GG$587,'0.Productos'!CV$1+1,0),"")</f>
        <v/>
      </c>
      <c r="BE396" s="133" t="str">
        <f>IF($A396&lt;&gt;0,VLOOKUP($A396,'0.Productos'!$A$3:$GG$587,'0.Productos'!CW$1+1,0),"")</f>
        <v/>
      </c>
      <c r="BF396" s="133" t="str">
        <f>IF($A396&lt;&gt;0,VLOOKUP($A396,'0.Productos'!$A$3:$GG$587,'0.Productos'!CX$1+1,0),"")</f>
        <v/>
      </c>
      <c r="BG396" s="133" t="str">
        <f>IF($A396&lt;&gt;0,VLOOKUP($A396,'0.Productos'!$A$3:$GG$587,'0.Productos'!CY$1+1,0),"")</f>
        <v/>
      </c>
      <c r="BH396" s="133" t="str">
        <f>IF($A396&lt;&gt;0,VLOOKUP($A396,'0.Productos'!$A$3:$GG$587,'0.Productos'!CZ$1+1,0),"")</f>
        <v/>
      </c>
      <c r="BI396" s="133" t="str">
        <f>IF($A396&lt;&gt;0,VLOOKUP($A396,'0.Productos'!$A$3:$GG$587,'0.Productos'!DA$1+1,0),"")</f>
        <v/>
      </c>
      <c r="BJ396" s="133" t="str">
        <f>IF($A396&lt;&gt;0,VLOOKUP($A396,'0.Productos'!$A$3:$GG$587,'0.Productos'!DB$1+1,0),"")</f>
        <v/>
      </c>
      <c r="BK396" s="133" t="str">
        <f>IF($A396&lt;&gt;0,VLOOKUP($A396,'0.Productos'!$A$3:$GG$587,'0.Productos'!DC$1+1,0),"")</f>
        <v/>
      </c>
      <c r="BL396" s="133" t="str">
        <f>IF($A396&lt;&gt;0,VLOOKUP($A396,'0.Productos'!$A$3:$GG$587,'0.Productos'!DD$1+1,0),"")</f>
        <v/>
      </c>
      <c r="BM396" s="133" t="str">
        <f>IF($A396&lt;&gt;0,VLOOKUP($A396,'0.Productos'!$A$3:$GG$587,'0.Productos'!DE$1+1,0),"")</f>
        <v/>
      </c>
      <c r="BN396" s="133" t="str">
        <f>IF($A396&lt;&gt;0,VLOOKUP($A396,'0.Productos'!$A$3:$GG$587,'0.Productos'!DF$1+1,0),"")</f>
        <v/>
      </c>
      <c r="BO396" s="133" t="str">
        <f>IF($A396&lt;&gt;0,VLOOKUP($A396,'0.Productos'!$A$3:$GG$587,'0.Productos'!DG$1+1,0),"")</f>
        <v/>
      </c>
      <c r="BP396" s="133" t="str">
        <f>IF($A396&lt;&gt;0,VLOOKUP($A396,'0.Productos'!$A$3:$GG$587,'0.Productos'!DH$1+1,0),"")</f>
        <v/>
      </c>
      <c r="BQ396" s="133" t="str">
        <f>IF($A396&lt;&gt;0,VLOOKUP($A396,'0.Productos'!$A$3:$GG$587,'0.Productos'!DI$1+1,0),"")</f>
        <v/>
      </c>
      <c r="BR396" s="133" t="str">
        <f>IF($A396&lt;&gt;0,VLOOKUP($A396,'0.Productos'!$A$3:$GG$587,'0.Productos'!DJ$1+1,0),"")</f>
        <v/>
      </c>
      <c r="BS396" s="133" t="str">
        <f>IF($A396&lt;&gt;0,VLOOKUP($A396,'0.Productos'!$A$3:$GG$587,'0.Productos'!DK$1+1,0),"")</f>
        <v/>
      </c>
      <c r="BT396" s="133" t="str">
        <f>IF($A396&lt;&gt;0,VLOOKUP($A396,'0.Productos'!$A$3:$GG$587,'0.Productos'!DL$1+1,0),"")</f>
        <v/>
      </c>
    </row>
    <row r="397" spans="1:72" x14ac:dyDescent="0.25">
      <c r="A397" s="17">
        <f>'0.Consolidado general'!A397</f>
        <v>0</v>
      </c>
      <c r="B397" s="133" t="str">
        <f>IF($A397&lt;&gt;0,VLOOKUP($A397,'0.Productos'!$A$3:$GG$587,'0.Productos'!AT$1+1,0),"")</f>
        <v/>
      </c>
      <c r="C397" s="133" t="str">
        <f>IF($A397&lt;&gt;0,VLOOKUP($A397,'0.Productos'!$A$3:$GG$587,'0.Productos'!AU$1+1,0),"")</f>
        <v/>
      </c>
      <c r="D397" s="133" t="str">
        <f>IF($A397&lt;&gt;0,VLOOKUP($A397,'0.Productos'!$A$3:$GG$587,'0.Productos'!AV$1+1,0),"")</f>
        <v/>
      </c>
      <c r="E397" s="133" t="str">
        <f>IF($A397&lt;&gt;0,VLOOKUP($A397,'0.Productos'!$A$3:$GG$587,'0.Productos'!AW$1+1,0),"")</f>
        <v/>
      </c>
      <c r="F397" s="133" t="str">
        <f>IF($A397&lt;&gt;0,VLOOKUP($A397,'0.Productos'!$A$3:$GG$587,'0.Productos'!AX$1+1,0),"")</f>
        <v/>
      </c>
      <c r="G397" s="133" t="str">
        <f>IF($A397&lt;&gt;0,VLOOKUP($A397,'0.Productos'!$A$3:$GG$587,'0.Productos'!AY$1+1,0),"")</f>
        <v/>
      </c>
      <c r="H397" s="133" t="str">
        <f>IF($A397&lt;&gt;0,VLOOKUP($A397,'0.Productos'!$A$3:$GG$587,'0.Productos'!AZ$1+1,0),"")</f>
        <v/>
      </c>
      <c r="I397" s="133" t="str">
        <f>IF($A397&lt;&gt;0,VLOOKUP($A397,'0.Productos'!$A$3:$GG$587,'0.Productos'!BA$1+1,0),"")</f>
        <v/>
      </c>
      <c r="J397" s="133" t="str">
        <f>IF($A397&lt;&gt;0,VLOOKUP($A397,'0.Productos'!$A$3:$GG$587,'0.Productos'!BB$1+1,0),"")</f>
        <v/>
      </c>
      <c r="K397" s="133" t="str">
        <f>IF($A397&lt;&gt;0,VLOOKUP($A397,'0.Productos'!$A$3:$GG$587,'0.Productos'!BC$1+1,0),"")</f>
        <v/>
      </c>
      <c r="L397" s="133" t="str">
        <f>IF($A397&lt;&gt;0,VLOOKUP($A397,'0.Productos'!$A$3:$GG$587,'0.Productos'!BD$1+1,0),"")</f>
        <v/>
      </c>
      <c r="M397" s="133" t="str">
        <f>IF($A397&lt;&gt;0,VLOOKUP($A397,'0.Productos'!$A$3:$GG$587,'0.Productos'!BE$1+1,0),"")</f>
        <v/>
      </c>
      <c r="N397" s="133" t="str">
        <f>IF($A397&lt;&gt;0,VLOOKUP($A397,'0.Productos'!$A$3:$GG$587,'0.Productos'!BF$1+1,0),"")</f>
        <v/>
      </c>
      <c r="O397" s="133" t="str">
        <f>IF($A397&lt;&gt;0,VLOOKUP($A397,'0.Productos'!$A$3:$GG$587,'0.Productos'!BG$1+1,0),"")</f>
        <v/>
      </c>
      <c r="P397" s="133" t="str">
        <f>IF($A397&lt;&gt;0,VLOOKUP($A397,'0.Productos'!$A$3:$GG$587,'0.Productos'!BH$1+1,0),"")</f>
        <v/>
      </c>
      <c r="Q397" s="133" t="str">
        <f>IF($A397&lt;&gt;0,VLOOKUP($A397,'0.Productos'!$A$3:$GG$587,'0.Productos'!BI$1+1,0),"")</f>
        <v/>
      </c>
      <c r="R397" s="133" t="str">
        <f>IF($A397&lt;&gt;0,VLOOKUP($A397,'0.Productos'!$A$3:$GG$587,'0.Productos'!BJ$1+1,0),"")</f>
        <v/>
      </c>
      <c r="S397" s="133" t="str">
        <f>IF($A397&lt;&gt;0,VLOOKUP($A397,'0.Productos'!$A$3:$GG$587,'0.Productos'!BK$1+1,0),"")</f>
        <v/>
      </c>
      <c r="T397" s="133" t="str">
        <f>IF($A397&lt;&gt;0,VLOOKUP($A397,'0.Productos'!$A$3:$GG$587,'0.Productos'!BL$1+1,0),"")</f>
        <v/>
      </c>
      <c r="U397" s="133" t="str">
        <f>IF($A397&lt;&gt;0,VLOOKUP($A397,'0.Productos'!$A$3:$GG$587,'0.Productos'!BM$1+1,0),"")</f>
        <v/>
      </c>
      <c r="V397" s="133" t="str">
        <f>IF($A397&lt;&gt;0,VLOOKUP($A397,'0.Productos'!$A$3:$GG$587,'0.Productos'!BN$1+1,0),"")</f>
        <v/>
      </c>
      <c r="W397" s="133" t="str">
        <f>IF($A397&lt;&gt;0,VLOOKUP($A397,'0.Productos'!$A$3:$GG$587,'0.Productos'!BO$1+1,0),"")</f>
        <v/>
      </c>
      <c r="X397" s="133" t="str">
        <f>IF($A397&lt;&gt;0,VLOOKUP($A397,'0.Productos'!$A$3:$GG$587,'0.Productos'!BP$1+1,0),"")</f>
        <v/>
      </c>
      <c r="Y397" s="133" t="str">
        <f>IF($A397&lt;&gt;0,VLOOKUP($A397,'0.Productos'!$A$3:$GG$587,'0.Productos'!BQ$1+1,0),"")</f>
        <v/>
      </c>
      <c r="Z397" s="133" t="str">
        <f>IF($A397&lt;&gt;0,VLOOKUP($A397,'0.Productos'!$A$3:$GG$587,'0.Productos'!BR$1+1,0),"")</f>
        <v/>
      </c>
      <c r="AA397" s="133" t="str">
        <f>IF($A397&lt;&gt;0,VLOOKUP($A397,'0.Productos'!$A$3:$GG$587,'0.Productos'!BS$1+1,0),"")</f>
        <v/>
      </c>
      <c r="AB397" s="133" t="str">
        <f>IF($A397&lt;&gt;0,VLOOKUP($A397,'0.Productos'!$A$3:$GG$587,'0.Productos'!BT$1+1,0),"")</f>
        <v/>
      </c>
      <c r="AC397" s="133" t="str">
        <f>IF($A397&lt;&gt;0,VLOOKUP($A397,'0.Productos'!$A$3:$GG$587,'0.Productos'!BU$1+1,0),"")</f>
        <v/>
      </c>
      <c r="AD397" s="133" t="str">
        <f>IF($A397&lt;&gt;0,VLOOKUP($A397,'0.Productos'!$A$3:$GG$587,'0.Productos'!BV$1+1,0),"")</f>
        <v/>
      </c>
      <c r="AE397" s="133" t="str">
        <f>IF($A397&lt;&gt;0,VLOOKUP($A397,'0.Productos'!$A$3:$GG$587,'0.Productos'!BW$1+1,0),"")</f>
        <v/>
      </c>
      <c r="AF397" s="133" t="str">
        <f>IF($A397&lt;&gt;0,VLOOKUP($A397,'0.Productos'!$A$3:$GG$587,'0.Productos'!BX$1+1,0),"")</f>
        <v/>
      </c>
      <c r="AG397" s="133" t="str">
        <f>IF($A397&lt;&gt;0,VLOOKUP($A397,'0.Productos'!$A$3:$GG$587,'0.Productos'!BY$1+1,0),"")</f>
        <v/>
      </c>
      <c r="AH397" s="133" t="str">
        <f>IF($A397&lt;&gt;0,VLOOKUP($A397,'0.Productos'!$A$3:$GG$587,'0.Productos'!BZ$1+1,0),"")</f>
        <v/>
      </c>
      <c r="AI397" s="133" t="str">
        <f>IF($A397&lt;&gt;0,VLOOKUP($A397,'0.Productos'!$A$3:$GG$587,'0.Productos'!CA$1+1,0),"")</f>
        <v/>
      </c>
      <c r="AJ397" s="133" t="str">
        <f>IF($A397&lt;&gt;0,VLOOKUP($A397,'0.Productos'!$A$3:$GG$587,'0.Productos'!CB$1+1,0),"")</f>
        <v/>
      </c>
      <c r="AK397" s="133" t="str">
        <f>IF($A397&lt;&gt;0,VLOOKUP($A397,'0.Productos'!$A$3:$GG$587,'0.Productos'!CC$1+1,0),"")</f>
        <v/>
      </c>
      <c r="AL397" s="133" t="str">
        <f>IF($A397&lt;&gt;0,VLOOKUP($A397,'0.Productos'!$A$3:$GG$587,'0.Productos'!CD$1+1,0),"")</f>
        <v/>
      </c>
      <c r="AM397" s="133" t="str">
        <f>IF($A397&lt;&gt;0,VLOOKUP($A397,'0.Productos'!$A$3:$GG$587,'0.Productos'!CE$1+1,0),"")</f>
        <v/>
      </c>
      <c r="AN397" s="133" t="str">
        <f>IF($A397&lt;&gt;0,VLOOKUP($A397,'0.Productos'!$A$3:$GG$587,'0.Productos'!CF$1+1,0),"")</f>
        <v/>
      </c>
      <c r="AO397" s="133" t="str">
        <f>IF($A397&lt;&gt;0,VLOOKUP($A397,'0.Productos'!$A$3:$GG$587,'0.Productos'!CG$1+1,0),"")</f>
        <v/>
      </c>
      <c r="AP397" s="133" t="str">
        <f>IF($A397&lt;&gt;0,VLOOKUP($A397,'0.Productos'!$A$3:$GG$587,'0.Productos'!CH$1+1,0),"")</f>
        <v/>
      </c>
      <c r="AQ397" s="133" t="str">
        <f>IF($A397&lt;&gt;0,VLOOKUP($A397,'0.Productos'!$A$3:$GG$587,'0.Productos'!CI$1+1,0),"")</f>
        <v/>
      </c>
      <c r="AR397" s="133" t="str">
        <f>IF($A397&lt;&gt;0,VLOOKUP($A397,'0.Productos'!$A$3:$GG$587,'0.Productos'!CJ$1+1,0),"")</f>
        <v/>
      </c>
      <c r="AS397" s="133" t="str">
        <f>IF($A397&lt;&gt;0,VLOOKUP($A397,'0.Productos'!$A$3:$GG$587,'0.Productos'!CK$1+1,0),"")</f>
        <v/>
      </c>
      <c r="AT397" s="133" t="str">
        <f>IF($A397&lt;&gt;0,VLOOKUP($A397,'0.Productos'!$A$3:$GG$587,'0.Productos'!CL$1+1,0),"")</f>
        <v/>
      </c>
      <c r="AU397" s="133" t="str">
        <f>IF($A397&lt;&gt;0,VLOOKUP($A397,'0.Productos'!$A$3:$GG$587,'0.Productos'!CM$1+1,0),"")</f>
        <v/>
      </c>
      <c r="AV397" s="133" t="str">
        <f>IF($A397&lt;&gt;0,VLOOKUP($A397,'0.Productos'!$A$3:$GG$587,'0.Productos'!CN$1+1,0),"")</f>
        <v/>
      </c>
      <c r="AW397" s="133" t="str">
        <f>IF($A397&lt;&gt;0,VLOOKUP($A397,'0.Productos'!$A$3:$GG$587,'0.Productos'!CO$1+1,0),"")</f>
        <v/>
      </c>
      <c r="AX397" s="133" t="str">
        <f>IF($A397&lt;&gt;0,VLOOKUP($A397,'0.Productos'!$A$3:$GG$587,'0.Productos'!CP$1+1,0),"")</f>
        <v/>
      </c>
      <c r="AY397" s="133" t="str">
        <f>IF($A397&lt;&gt;0,VLOOKUP($A397,'0.Productos'!$A$3:$GG$587,'0.Productos'!CQ$1+1,0),"")</f>
        <v/>
      </c>
      <c r="AZ397" s="133" t="str">
        <f>IF($A397&lt;&gt;0,VLOOKUP($A397,'0.Productos'!$A$3:$GG$587,'0.Productos'!CR$1+1,0),"")</f>
        <v/>
      </c>
      <c r="BA397" s="133" t="str">
        <f>IF($A397&lt;&gt;0,VLOOKUP($A397,'0.Productos'!$A$3:$GG$587,'0.Productos'!CS$1+1,0),"")</f>
        <v/>
      </c>
      <c r="BB397" s="133" t="str">
        <f>IF($A397&lt;&gt;0,VLOOKUP($A397,'0.Productos'!$A$3:$GG$587,'0.Productos'!CT$1+1,0),"")</f>
        <v/>
      </c>
      <c r="BC397" s="133" t="str">
        <f>IF($A397&lt;&gt;0,VLOOKUP($A397,'0.Productos'!$A$3:$GG$587,'0.Productos'!CU$1+1,0),"")</f>
        <v/>
      </c>
      <c r="BD397" s="133" t="str">
        <f>IF($A397&lt;&gt;0,VLOOKUP($A397,'0.Productos'!$A$3:$GG$587,'0.Productos'!CV$1+1,0),"")</f>
        <v/>
      </c>
      <c r="BE397" s="133" t="str">
        <f>IF($A397&lt;&gt;0,VLOOKUP($A397,'0.Productos'!$A$3:$GG$587,'0.Productos'!CW$1+1,0),"")</f>
        <v/>
      </c>
      <c r="BF397" s="133" t="str">
        <f>IF($A397&lt;&gt;0,VLOOKUP($A397,'0.Productos'!$A$3:$GG$587,'0.Productos'!CX$1+1,0),"")</f>
        <v/>
      </c>
      <c r="BG397" s="133" t="str">
        <f>IF($A397&lt;&gt;0,VLOOKUP($A397,'0.Productos'!$A$3:$GG$587,'0.Productos'!CY$1+1,0),"")</f>
        <v/>
      </c>
      <c r="BH397" s="133" t="str">
        <f>IF($A397&lt;&gt;0,VLOOKUP($A397,'0.Productos'!$A$3:$GG$587,'0.Productos'!CZ$1+1,0),"")</f>
        <v/>
      </c>
      <c r="BI397" s="133" t="str">
        <f>IF($A397&lt;&gt;0,VLOOKUP($A397,'0.Productos'!$A$3:$GG$587,'0.Productos'!DA$1+1,0),"")</f>
        <v/>
      </c>
      <c r="BJ397" s="133" t="str">
        <f>IF($A397&lt;&gt;0,VLOOKUP($A397,'0.Productos'!$A$3:$GG$587,'0.Productos'!DB$1+1,0),"")</f>
        <v/>
      </c>
      <c r="BK397" s="133" t="str">
        <f>IF($A397&lt;&gt;0,VLOOKUP($A397,'0.Productos'!$A$3:$GG$587,'0.Productos'!DC$1+1,0),"")</f>
        <v/>
      </c>
      <c r="BL397" s="133" t="str">
        <f>IF($A397&lt;&gt;0,VLOOKUP($A397,'0.Productos'!$A$3:$GG$587,'0.Productos'!DD$1+1,0),"")</f>
        <v/>
      </c>
      <c r="BM397" s="133" t="str">
        <f>IF($A397&lt;&gt;0,VLOOKUP($A397,'0.Productos'!$A$3:$GG$587,'0.Productos'!DE$1+1,0),"")</f>
        <v/>
      </c>
      <c r="BN397" s="133" t="str">
        <f>IF($A397&lt;&gt;0,VLOOKUP($A397,'0.Productos'!$A$3:$GG$587,'0.Productos'!DF$1+1,0),"")</f>
        <v/>
      </c>
      <c r="BO397" s="133" t="str">
        <f>IF($A397&lt;&gt;0,VLOOKUP($A397,'0.Productos'!$A$3:$GG$587,'0.Productos'!DG$1+1,0),"")</f>
        <v/>
      </c>
      <c r="BP397" s="133" t="str">
        <f>IF($A397&lt;&gt;0,VLOOKUP($A397,'0.Productos'!$A$3:$GG$587,'0.Productos'!DH$1+1,0),"")</f>
        <v/>
      </c>
      <c r="BQ397" s="133" t="str">
        <f>IF($A397&lt;&gt;0,VLOOKUP($A397,'0.Productos'!$A$3:$GG$587,'0.Productos'!DI$1+1,0),"")</f>
        <v/>
      </c>
      <c r="BR397" s="133" t="str">
        <f>IF($A397&lt;&gt;0,VLOOKUP($A397,'0.Productos'!$A$3:$GG$587,'0.Productos'!DJ$1+1,0),"")</f>
        <v/>
      </c>
      <c r="BS397" s="133" t="str">
        <f>IF($A397&lt;&gt;0,VLOOKUP($A397,'0.Productos'!$A$3:$GG$587,'0.Productos'!DK$1+1,0),"")</f>
        <v/>
      </c>
      <c r="BT397" s="133" t="str">
        <f>IF($A397&lt;&gt;0,VLOOKUP($A397,'0.Productos'!$A$3:$GG$587,'0.Productos'!DL$1+1,0),"")</f>
        <v/>
      </c>
    </row>
    <row r="398" spans="1:72" x14ac:dyDescent="0.25">
      <c r="A398" s="17">
        <f>'0.Consolidado general'!A398</f>
        <v>0</v>
      </c>
      <c r="B398" s="133" t="str">
        <f>IF($A398&lt;&gt;0,VLOOKUP($A398,'0.Productos'!$A$3:$GG$587,'0.Productos'!AT$1+1,0),"")</f>
        <v/>
      </c>
      <c r="C398" s="133" t="str">
        <f>IF($A398&lt;&gt;0,VLOOKUP($A398,'0.Productos'!$A$3:$GG$587,'0.Productos'!AU$1+1,0),"")</f>
        <v/>
      </c>
      <c r="D398" s="133" t="str">
        <f>IF($A398&lt;&gt;0,VLOOKUP($A398,'0.Productos'!$A$3:$GG$587,'0.Productos'!AV$1+1,0),"")</f>
        <v/>
      </c>
      <c r="E398" s="133" t="str">
        <f>IF($A398&lt;&gt;0,VLOOKUP($A398,'0.Productos'!$A$3:$GG$587,'0.Productos'!AW$1+1,0),"")</f>
        <v/>
      </c>
      <c r="F398" s="133" t="str">
        <f>IF($A398&lt;&gt;0,VLOOKUP($A398,'0.Productos'!$A$3:$GG$587,'0.Productos'!AX$1+1,0),"")</f>
        <v/>
      </c>
      <c r="G398" s="133" t="str">
        <f>IF($A398&lt;&gt;0,VLOOKUP($A398,'0.Productos'!$A$3:$GG$587,'0.Productos'!AY$1+1,0),"")</f>
        <v/>
      </c>
      <c r="H398" s="133" t="str">
        <f>IF($A398&lt;&gt;0,VLOOKUP($A398,'0.Productos'!$A$3:$GG$587,'0.Productos'!AZ$1+1,0),"")</f>
        <v/>
      </c>
      <c r="I398" s="133" t="str">
        <f>IF($A398&lt;&gt;0,VLOOKUP($A398,'0.Productos'!$A$3:$GG$587,'0.Productos'!BA$1+1,0),"")</f>
        <v/>
      </c>
      <c r="J398" s="133" t="str">
        <f>IF($A398&lt;&gt;0,VLOOKUP($A398,'0.Productos'!$A$3:$GG$587,'0.Productos'!BB$1+1,0),"")</f>
        <v/>
      </c>
      <c r="K398" s="133" t="str">
        <f>IF($A398&lt;&gt;0,VLOOKUP($A398,'0.Productos'!$A$3:$GG$587,'0.Productos'!BC$1+1,0),"")</f>
        <v/>
      </c>
      <c r="L398" s="133" t="str">
        <f>IF($A398&lt;&gt;0,VLOOKUP($A398,'0.Productos'!$A$3:$GG$587,'0.Productos'!BD$1+1,0),"")</f>
        <v/>
      </c>
      <c r="M398" s="133" t="str">
        <f>IF($A398&lt;&gt;0,VLOOKUP($A398,'0.Productos'!$A$3:$GG$587,'0.Productos'!BE$1+1,0),"")</f>
        <v/>
      </c>
      <c r="N398" s="133" t="str">
        <f>IF($A398&lt;&gt;0,VLOOKUP($A398,'0.Productos'!$A$3:$GG$587,'0.Productos'!BF$1+1,0),"")</f>
        <v/>
      </c>
      <c r="O398" s="133" t="str">
        <f>IF($A398&lt;&gt;0,VLOOKUP($A398,'0.Productos'!$A$3:$GG$587,'0.Productos'!BG$1+1,0),"")</f>
        <v/>
      </c>
      <c r="P398" s="133" t="str">
        <f>IF($A398&lt;&gt;0,VLOOKUP($A398,'0.Productos'!$A$3:$GG$587,'0.Productos'!BH$1+1,0),"")</f>
        <v/>
      </c>
      <c r="Q398" s="133" t="str">
        <f>IF($A398&lt;&gt;0,VLOOKUP($A398,'0.Productos'!$A$3:$GG$587,'0.Productos'!BI$1+1,0),"")</f>
        <v/>
      </c>
      <c r="R398" s="133" t="str">
        <f>IF($A398&lt;&gt;0,VLOOKUP($A398,'0.Productos'!$A$3:$GG$587,'0.Productos'!BJ$1+1,0),"")</f>
        <v/>
      </c>
      <c r="S398" s="133" t="str">
        <f>IF($A398&lt;&gt;0,VLOOKUP($A398,'0.Productos'!$A$3:$GG$587,'0.Productos'!BK$1+1,0),"")</f>
        <v/>
      </c>
      <c r="T398" s="133" t="str">
        <f>IF($A398&lt;&gt;0,VLOOKUP($A398,'0.Productos'!$A$3:$GG$587,'0.Productos'!BL$1+1,0),"")</f>
        <v/>
      </c>
      <c r="U398" s="133" t="str">
        <f>IF($A398&lt;&gt;0,VLOOKUP($A398,'0.Productos'!$A$3:$GG$587,'0.Productos'!BM$1+1,0),"")</f>
        <v/>
      </c>
      <c r="V398" s="133" t="str">
        <f>IF($A398&lt;&gt;0,VLOOKUP($A398,'0.Productos'!$A$3:$GG$587,'0.Productos'!BN$1+1,0),"")</f>
        <v/>
      </c>
      <c r="W398" s="133" t="str">
        <f>IF($A398&lt;&gt;0,VLOOKUP($A398,'0.Productos'!$A$3:$GG$587,'0.Productos'!BO$1+1,0),"")</f>
        <v/>
      </c>
      <c r="X398" s="133" t="str">
        <f>IF($A398&lt;&gt;0,VLOOKUP($A398,'0.Productos'!$A$3:$GG$587,'0.Productos'!BP$1+1,0),"")</f>
        <v/>
      </c>
      <c r="Y398" s="133" t="str">
        <f>IF($A398&lt;&gt;0,VLOOKUP($A398,'0.Productos'!$A$3:$GG$587,'0.Productos'!BQ$1+1,0),"")</f>
        <v/>
      </c>
      <c r="Z398" s="133" t="str">
        <f>IF($A398&lt;&gt;0,VLOOKUP($A398,'0.Productos'!$A$3:$GG$587,'0.Productos'!BR$1+1,0),"")</f>
        <v/>
      </c>
      <c r="AA398" s="133" t="str">
        <f>IF($A398&lt;&gt;0,VLOOKUP($A398,'0.Productos'!$A$3:$GG$587,'0.Productos'!BS$1+1,0),"")</f>
        <v/>
      </c>
      <c r="AB398" s="133" t="str">
        <f>IF($A398&lt;&gt;0,VLOOKUP($A398,'0.Productos'!$A$3:$GG$587,'0.Productos'!BT$1+1,0),"")</f>
        <v/>
      </c>
      <c r="AC398" s="133" t="str">
        <f>IF($A398&lt;&gt;0,VLOOKUP($A398,'0.Productos'!$A$3:$GG$587,'0.Productos'!BU$1+1,0),"")</f>
        <v/>
      </c>
      <c r="AD398" s="133" t="str">
        <f>IF($A398&lt;&gt;0,VLOOKUP($A398,'0.Productos'!$A$3:$GG$587,'0.Productos'!BV$1+1,0),"")</f>
        <v/>
      </c>
      <c r="AE398" s="133" t="str">
        <f>IF($A398&lt;&gt;0,VLOOKUP($A398,'0.Productos'!$A$3:$GG$587,'0.Productos'!BW$1+1,0),"")</f>
        <v/>
      </c>
      <c r="AF398" s="133" t="str">
        <f>IF($A398&lt;&gt;0,VLOOKUP($A398,'0.Productos'!$A$3:$GG$587,'0.Productos'!BX$1+1,0),"")</f>
        <v/>
      </c>
      <c r="AG398" s="133" t="str">
        <f>IF($A398&lt;&gt;0,VLOOKUP($A398,'0.Productos'!$A$3:$GG$587,'0.Productos'!BY$1+1,0),"")</f>
        <v/>
      </c>
      <c r="AH398" s="133" t="str">
        <f>IF($A398&lt;&gt;0,VLOOKUP($A398,'0.Productos'!$A$3:$GG$587,'0.Productos'!BZ$1+1,0),"")</f>
        <v/>
      </c>
      <c r="AI398" s="133" t="str">
        <f>IF($A398&lt;&gt;0,VLOOKUP($A398,'0.Productos'!$A$3:$GG$587,'0.Productos'!CA$1+1,0),"")</f>
        <v/>
      </c>
      <c r="AJ398" s="133" t="str">
        <f>IF($A398&lt;&gt;0,VLOOKUP($A398,'0.Productos'!$A$3:$GG$587,'0.Productos'!CB$1+1,0),"")</f>
        <v/>
      </c>
      <c r="AK398" s="133" t="str">
        <f>IF($A398&lt;&gt;0,VLOOKUP($A398,'0.Productos'!$A$3:$GG$587,'0.Productos'!CC$1+1,0),"")</f>
        <v/>
      </c>
      <c r="AL398" s="133" t="str">
        <f>IF($A398&lt;&gt;0,VLOOKUP($A398,'0.Productos'!$A$3:$GG$587,'0.Productos'!CD$1+1,0),"")</f>
        <v/>
      </c>
      <c r="AM398" s="133" t="str">
        <f>IF($A398&lt;&gt;0,VLOOKUP($A398,'0.Productos'!$A$3:$GG$587,'0.Productos'!CE$1+1,0),"")</f>
        <v/>
      </c>
      <c r="AN398" s="133" t="str">
        <f>IF($A398&lt;&gt;0,VLOOKUP($A398,'0.Productos'!$A$3:$GG$587,'0.Productos'!CF$1+1,0),"")</f>
        <v/>
      </c>
      <c r="AO398" s="133" t="str">
        <f>IF($A398&lt;&gt;0,VLOOKUP($A398,'0.Productos'!$A$3:$GG$587,'0.Productos'!CG$1+1,0),"")</f>
        <v/>
      </c>
      <c r="AP398" s="133" t="str">
        <f>IF($A398&lt;&gt;0,VLOOKUP($A398,'0.Productos'!$A$3:$GG$587,'0.Productos'!CH$1+1,0),"")</f>
        <v/>
      </c>
      <c r="AQ398" s="133" t="str">
        <f>IF($A398&lt;&gt;0,VLOOKUP($A398,'0.Productos'!$A$3:$GG$587,'0.Productos'!CI$1+1,0),"")</f>
        <v/>
      </c>
      <c r="AR398" s="133" t="str">
        <f>IF($A398&lt;&gt;0,VLOOKUP($A398,'0.Productos'!$A$3:$GG$587,'0.Productos'!CJ$1+1,0),"")</f>
        <v/>
      </c>
      <c r="AS398" s="133" t="str">
        <f>IF($A398&lt;&gt;0,VLOOKUP($A398,'0.Productos'!$A$3:$GG$587,'0.Productos'!CK$1+1,0),"")</f>
        <v/>
      </c>
      <c r="AT398" s="133" t="str">
        <f>IF($A398&lt;&gt;0,VLOOKUP($A398,'0.Productos'!$A$3:$GG$587,'0.Productos'!CL$1+1,0),"")</f>
        <v/>
      </c>
      <c r="AU398" s="133" t="str">
        <f>IF($A398&lt;&gt;0,VLOOKUP($A398,'0.Productos'!$A$3:$GG$587,'0.Productos'!CM$1+1,0),"")</f>
        <v/>
      </c>
      <c r="AV398" s="133" t="str">
        <f>IF($A398&lt;&gt;0,VLOOKUP($A398,'0.Productos'!$A$3:$GG$587,'0.Productos'!CN$1+1,0),"")</f>
        <v/>
      </c>
      <c r="AW398" s="133" t="str">
        <f>IF($A398&lt;&gt;0,VLOOKUP($A398,'0.Productos'!$A$3:$GG$587,'0.Productos'!CO$1+1,0),"")</f>
        <v/>
      </c>
      <c r="AX398" s="133" t="str">
        <f>IF($A398&lt;&gt;0,VLOOKUP($A398,'0.Productos'!$A$3:$GG$587,'0.Productos'!CP$1+1,0),"")</f>
        <v/>
      </c>
      <c r="AY398" s="133" t="str">
        <f>IF($A398&lt;&gt;0,VLOOKUP($A398,'0.Productos'!$A$3:$GG$587,'0.Productos'!CQ$1+1,0),"")</f>
        <v/>
      </c>
      <c r="AZ398" s="133" t="str">
        <f>IF($A398&lt;&gt;0,VLOOKUP($A398,'0.Productos'!$A$3:$GG$587,'0.Productos'!CR$1+1,0),"")</f>
        <v/>
      </c>
      <c r="BA398" s="133" t="str">
        <f>IF($A398&lt;&gt;0,VLOOKUP($A398,'0.Productos'!$A$3:$GG$587,'0.Productos'!CS$1+1,0),"")</f>
        <v/>
      </c>
      <c r="BB398" s="133" t="str">
        <f>IF($A398&lt;&gt;0,VLOOKUP($A398,'0.Productos'!$A$3:$GG$587,'0.Productos'!CT$1+1,0),"")</f>
        <v/>
      </c>
      <c r="BC398" s="133" t="str">
        <f>IF($A398&lt;&gt;0,VLOOKUP($A398,'0.Productos'!$A$3:$GG$587,'0.Productos'!CU$1+1,0),"")</f>
        <v/>
      </c>
      <c r="BD398" s="133" t="str">
        <f>IF($A398&lt;&gt;0,VLOOKUP($A398,'0.Productos'!$A$3:$GG$587,'0.Productos'!CV$1+1,0),"")</f>
        <v/>
      </c>
      <c r="BE398" s="133" t="str">
        <f>IF($A398&lt;&gt;0,VLOOKUP($A398,'0.Productos'!$A$3:$GG$587,'0.Productos'!CW$1+1,0),"")</f>
        <v/>
      </c>
      <c r="BF398" s="133" t="str">
        <f>IF($A398&lt;&gt;0,VLOOKUP($A398,'0.Productos'!$A$3:$GG$587,'0.Productos'!CX$1+1,0),"")</f>
        <v/>
      </c>
      <c r="BG398" s="133" t="str">
        <f>IF($A398&lt;&gt;0,VLOOKUP($A398,'0.Productos'!$A$3:$GG$587,'0.Productos'!CY$1+1,0),"")</f>
        <v/>
      </c>
      <c r="BH398" s="133" t="str">
        <f>IF($A398&lt;&gt;0,VLOOKUP($A398,'0.Productos'!$A$3:$GG$587,'0.Productos'!CZ$1+1,0),"")</f>
        <v/>
      </c>
      <c r="BI398" s="133" t="str">
        <f>IF($A398&lt;&gt;0,VLOOKUP($A398,'0.Productos'!$A$3:$GG$587,'0.Productos'!DA$1+1,0),"")</f>
        <v/>
      </c>
      <c r="BJ398" s="133" t="str">
        <f>IF($A398&lt;&gt;0,VLOOKUP($A398,'0.Productos'!$A$3:$GG$587,'0.Productos'!DB$1+1,0),"")</f>
        <v/>
      </c>
      <c r="BK398" s="133" t="str">
        <f>IF($A398&lt;&gt;0,VLOOKUP($A398,'0.Productos'!$A$3:$GG$587,'0.Productos'!DC$1+1,0),"")</f>
        <v/>
      </c>
      <c r="BL398" s="133" t="str">
        <f>IF($A398&lt;&gt;0,VLOOKUP($A398,'0.Productos'!$A$3:$GG$587,'0.Productos'!DD$1+1,0),"")</f>
        <v/>
      </c>
      <c r="BM398" s="133" t="str">
        <f>IF($A398&lt;&gt;0,VLOOKUP($A398,'0.Productos'!$A$3:$GG$587,'0.Productos'!DE$1+1,0),"")</f>
        <v/>
      </c>
      <c r="BN398" s="133" t="str">
        <f>IF($A398&lt;&gt;0,VLOOKUP($A398,'0.Productos'!$A$3:$GG$587,'0.Productos'!DF$1+1,0),"")</f>
        <v/>
      </c>
      <c r="BO398" s="133" t="str">
        <f>IF($A398&lt;&gt;0,VLOOKUP($A398,'0.Productos'!$A$3:$GG$587,'0.Productos'!DG$1+1,0),"")</f>
        <v/>
      </c>
      <c r="BP398" s="133" t="str">
        <f>IF($A398&lt;&gt;0,VLOOKUP($A398,'0.Productos'!$A$3:$GG$587,'0.Productos'!DH$1+1,0),"")</f>
        <v/>
      </c>
      <c r="BQ398" s="133" t="str">
        <f>IF($A398&lt;&gt;0,VLOOKUP($A398,'0.Productos'!$A$3:$GG$587,'0.Productos'!DI$1+1,0),"")</f>
        <v/>
      </c>
      <c r="BR398" s="133" t="str">
        <f>IF($A398&lt;&gt;0,VLOOKUP($A398,'0.Productos'!$A$3:$GG$587,'0.Productos'!DJ$1+1,0),"")</f>
        <v/>
      </c>
      <c r="BS398" s="133" t="str">
        <f>IF($A398&lt;&gt;0,VLOOKUP($A398,'0.Productos'!$A$3:$GG$587,'0.Productos'!DK$1+1,0),"")</f>
        <v/>
      </c>
      <c r="BT398" s="133" t="str">
        <f>IF($A398&lt;&gt;0,VLOOKUP($A398,'0.Productos'!$A$3:$GG$587,'0.Productos'!DL$1+1,0),"")</f>
        <v/>
      </c>
    </row>
    <row r="399" spans="1:72" x14ac:dyDescent="0.25">
      <c r="A399" s="17">
        <f>'0.Consolidado general'!A399</f>
        <v>0</v>
      </c>
      <c r="B399" s="133" t="str">
        <f>IF($A399&lt;&gt;0,VLOOKUP($A399,'0.Productos'!$A$3:$GG$587,'0.Productos'!AT$1+1,0),"")</f>
        <v/>
      </c>
      <c r="C399" s="133" t="str">
        <f>IF($A399&lt;&gt;0,VLOOKUP($A399,'0.Productos'!$A$3:$GG$587,'0.Productos'!AU$1+1,0),"")</f>
        <v/>
      </c>
      <c r="D399" s="133" t="str">
        <f>IF($A399&lt;&gt;0,VLOOKUP($A399,'0.Productos'!$A$3:$GG$587,'0.Productos'!AV$1+1,0),"")</f>
        <v/>
      </c>
      <c r="E399" s="133" t="str">
        <f>IF($A399&lt;&gt;0,VLOOKUP($A399,'0.Productos'!$A$3:$GG$587,'0.Productos'!AW$1+1,0),"")</f>
        <v/>
      </c>
      <c r="F399" s="133" t="str">
        <f>IF($A399&lt;&gt;0,VLOOKUP($A399,'0.Productos'!$A$3:$GG$587,'0.Productos'!AX$1+1,0),"")</f>
        <v/>
      </c>
      <c r="G399" s="133" t="str">
        <f>IF($A399&lt;&gt;0,VLOOKUP($A399,'0.Productos'!$A$3:$GG$587,'0.Productos'!AY$1+1,0),"")</f>
        <v/>
      </c>
      <c r="H399" s="133" t="str">
        <f>IF($A399&lt;&gt;0,VLOOKUP($A399,'0.Productos'!$A$3:$GG$587,'0.Productos'!AZ$1+1,0),"")</f>
        <v/>
      </c>
      <c r="I399" s="133" t="str">
        <f>IF($A399&lt;&gt;0,VLOOKUP($A399,'0.Productos'!$A$3:$GG$587,'0.Productos'!BA$1+1,0),"")</f>
        <v/>
      </c>
      <c r="J399" s="133" t="str">
        <f>IF($A399&lt;&gt;0,VLOOKUP($A399,'0.Productos'!$A$3:$GG$587,'0.Productos'!BB$1+1,0),"")</f>
        <v/>
      </c>
      <c r="K399" s="133" t="str">
        <f>IF($A399&lt;&gt;0,VLOOKUP($A399,'0.Productos'!$A$3:$GG$587,'0.Productos'!BC$1+1,0),"")</f>
        <v/>
      </c>
      <c r="L399" s="133" t="str">
        <f>IF($A399&lt;&gt;0,VLOOKUP($A399,'0.Productos'!$A$3:$GG$587,'0.Productos'!BD$1+1,0),"")</f>
        <v/>
      </c>
      <c r="M399" s="133" t="str">
        <f>IF($A399&lt;&gt;0,VLOOKUP($A399,'0.Productos'!$A$3:$GG$587,'0.Productos'!BE$1+1,0),"")</f>
        <v/>
      </c>
      <c r="N399" s="133" t="str">
        <f>IF($A399&lt;&gt;0,VLOOKUP($A399,'0.Productos'!$A$3:$GG$587,'0.Productos'!BF$1+1,0),"")</f>
        <v/>
      </c>
      <c r="O399" s="133" t="str">
        <f>IF($A399&lt;&gt;0,VLOOKUP($A399,'0.Productos'!$A$3:$GG$587,'0.Productos'!BG$1+1,0),"")</f>
        <v/>
      </c>
      <c r="P399" s="133" t="str">
        <f>IF($A399&lt;&gt;0,VLOOKUP($A399,'0.Productos'!$A$3:$GG$587,'0.Productos'!BH$1+1,0),"")</f>
        <v/>
      </c>
      <c r="Q399" s="133" t="str">
        <f>IF($A399&lt;&gt;0,VLOOKUP($A399,'0.Productos'!$A$3:$GG$587,'0.Productos'!BI$1+1,0),"")</f>
        <v/>
      </c>
      <c r="R399" s="133" t="str">
        <f>IF($A399&lt;&gt;0,VLOOKUP($A399,'0.Productos'!$A$3:$GG$587,'0.Productos'!BJ$1+1,0),"")</f>
        <v/>
      </c>
      <c r="S399" s="133" t="str">
        <f>IF($A399&lt;&gt;0,VLOOKUP($A399,'0.Productos'!$A$3:$GG$587,'0.Productos'!BK$1+1,0),"")</f>
        <v/>
      </c>
      <c r="T399" s="133" t="str">
        <f>IF($A399&lt;&gt;0,VLOOKUP($A399,'0.Productos'!$A$3:$GG$587,'0.Productos'!BL$1+1,0),"")</f>
        <v/>
      </c>
      <c r="U399" s="133" t="str">
        <f>IF($A399&lt;&gt;0,VLOOKUP($A399,'0.Productos'!$A$3:$GG$587,'0.Productos'!BM$1+1,0),"")</f>
        <v/>
      </c>
      <c r="V399" s="133" t="str">
        <f>IF($A399&lt;&gt;0,VLOOKUP($A399,'0.Productos'!$A$3:$GG$587,'0.Productos'!BN$1+1,0),"")</f>
        <v/>
      </c>
      <c r="W399" s="133" t="str">
        <f>IF($A399&lt;&gt;0,VLOOKUP($A399,'0.Productos'!$A$3:$GG$587,'0.Productos'!BO$1+1,0),"")</f>
        <v/>
      </c>
      <c r="X399" s="133" t="str">
        <f>IF($A399&lt;&gt;0,VLOOKUP($A399,'0.Productos'!$A$3:$GG$587,'0.Productos'!BP$1+1,0),"")</f>
        <v/>
      </c>
      <c r="Y399" s="133" t="str">
        <f>IF($A399&lt;&gt;0,VLOOKUP($A399,'0.Productos'!$A$3:$GG$587,'0.Productos'!BQ$1+1,0),"")</f>
        <v/>
      </c>
      <c r="Z399" s="133" t="str">
        <f>IF($A399&lt;&gt;0,VLOOKUP($A399,'0.Productos'!$A$3:$GG$587,'0.Productos'!BR$1+1,0),"")</f>
        <v/>
      </c>
      <c r="AA399" s="133" t="str">
        <f>IF($A399&lt;&gt;0,VLOOKUP($A399,'0.Productos'!$A$3:$GG$587,'0.Productos'!BS$1+1,0),"")</f>
        <v/>
      </c>
      <c r="AB399" s="133" t="str">
        <f>IF($A399&lt;&gt;0,VLOOKUP($A399,'0.Productos'!$A$3:$GG$587,'0.Productos'!BT$1+1,0),"")</f>
        <v/>
      </c>
      <c r="AC399" s="133" t="str">
        <f>IF($A399&lt;&gt;0,VLOOKUP($A399,'0.Productos'!$A$3:$GG$587,'0.Productos'!BU$1+1,0),"")</f>
        <v/>
      </c>
      <c r="AD399" s="133" t="str">
        <f>IF($A399&lt;&gt;0,VLOOKUP($A399,'0.Productos'!$A$3:$GG$587,'0.Productos'!BV$1+1,0),"")</f>
        <v/>
      </c>
      <c r="AE399" s="133" t="str">
        <f>IF($A399&lt;&gt;0,VLOOKUP($A399,'0.Productos'!$A$3:$GG$587,'0.Productos'!BW$1+1,0),"")</f>
        <v/>
      </c>
      <c r="AF399" s="133" t="str">
        <f>IF($A399&lt;&gt;0,VLOOKUP($A399,'0.Productos'!$A$3:$GG$587,'0.Productos'!BX$1+1,0),"")</f>
        <v/>
      </c>
      <c r="AG399" s="133" t="str">
        <f>IF($A399&lt;&gt;0,VLOOKUP($A399,'0.Productos'!$A$3:$GG$587,'0.Productos'!BY$1+1,0),"")</f>
        <v/>
      </c>
      <c r="AH399" s="133" t="str">
        <f>IF($A399&lt;&gt;0,VLOOKUP($A399,'0.Productos'!$A$3:$GG$587,'0.Productos'!BZ$1+1,0),"")</f>
        <v/>
      </c>
      <c r="AI399" s="133" t="str">
        <f>IF($A399&lt;&gt;0,VLOOKUP($A399,'0.Productos'!$A$3:$GG$587,'0.Productos'!CA$1+1,0),"")</f>
        <v/>
      </c>
      <c r="AJ399" s="133" t="str">
        <f>IF($A399&lt;&gt;0,VLOOKUP($A399,'0.Productos'!$A$3:$GG$587,'0.Productos'!CB$1+1,0),"")</f>
        <v/>
      </c>
      <c r="AK399" s="133" t="str">
        <f>IF($A399&lt;&gt;0,VLOOKUP($A399,'0.Productos'!$A$3:$GG$587,'0.Productos'!CC$1+1,0),"")</f>
        <v/>
      </c>
      <c r="AL399" s="133" t="str">
        <f>IF($A399&lt;&gt;0,VLOOKUP($A399,'0.Productos'!$A$3:$GG$587,'0.Productos'!CD$1+1,0),"")</f>
        <v/>
      </c>
      <c r="AM399" s="133" t="str">
        <f>IF($A399&lt;&gt;0,VLOOKUP($A399,'0.Productos'!$A$3:$GG$587,'0.Productos'!CE$1+1,0),"")</f>
        <v/>
      </c>
      <c r="AN399" s="133" t="str">
        <f>IF($A399&lt;&gt;0,VLOOKUP($A399,'0.Productos'!$A$3:$GG$587,'0.Productos'!CF$1+1,0),"")</f>
        <v/>
      </c>
      <c r="AO399" s="133" t="str">
        <f>IF($A399&lt;&gt;0,VLOOKUP($A399,'0.Productos'!$A$3:$GG$587,'0.Productos'!CG$1+1,0),"")</f>
        <v/>
      </c>
      <c r="AP399" s="133" t="str">
        <f>IF($A399&lt;&gt;0,VLOOKUP($A399,'0.Productos'!$A$3:$GG$587,'0.Productos'!CH$1+1,0),"")</f>
        <v/>
      </c>
      <c r="AQ399" s="133" t="str">
        <f>IF($A399&lt;&gt;0,VLOOKUP($A399,'0.Productos'!$A$3:$GG$587,'0.Productos'!CI$1+1,0),"")</f>
        <v/>
      </c>
      <c r="AR399" s="133" t="str">
        <f>IF($A399&lt;&gt;0,VLOOKUP($A399,'0.Productos'!$A$3:$GG$587,'0.Productos'!CJ$1+1,0),"")</f>
        <v/>
      </c>
      <c r="AS399" s="133" t="str">
        <f>IF($A399&lt;&gt;0,VLOOKUP($A399,'0.Productos'!$A$3:$GG$587,'0.Productos'!CK$1+1,0),"")</f>
        <v/>
      </c>
      <c r="AT399" s="133" t="str">
        <f>IF($A399&lt;&gt;0,VLOOKUP($A399,'0.Productos'!$A$3:$GG$587,'0.Productos'!CL$1+1,0),"")</f>
        <v/>
      </c>
      <c r="AU399" s="133" t="str">
        <f>IF($A399&lt;&gt;0,VLOOKUP($A399,'0.Productos'!$A$3:$GG$587,'0.Productos'!CM$1+1,0),"")</f>
        <v/>
      </c>
      <c r="AV399" s="133" t="str">
        <f>IF($A399&lt;&gt;0,VLOOKUP($A399,'0.Productos'!$A$3:$GG$587,'0.Productos'!CN$1+1,0),"")</f>
        <v/>
      </c>
      <c r="AW399" s="133" t="str">
        <f>IF($A399&lt;&gt;0,VLOOKUP($A399,'0.Productos'!$A$3:$GG$587,'0.Productos'!CO$1+1,0),"")</f>
        <v/>
      </c>
      <c r="AX399" s="133" t="str">
        <f>IF($A399&lt;&gt;0,VLOOKUP($A399,'0.Productos'!$A$3:$GG$587,'0.Productos'!CP$1+1,0),"")</f>
        <v/>
      </c>
      <c r="AY399" s="133" t="str">
        <f>IF($A399&lt;&gt;0,VLOOKUP($A399,'0.Productos'!$A$3:$GG$587,'0.Productos'!CQ$1+1,0),"")</f>
        <v/>
      </c>
      <c r="AZ399" s="133" t="str">
        <f>IF($A399&lt;&gt;0,VLOOKUP($A399,'0.Productos'!$A$3:$GG$587,'0.Productos'!CR$1+1,0),"")</f>
        <v/>
      </c>
      <c r="BA399" s="133" t="str">
        <f>IF($A399&lt;&gt;0,VLOOKUP($A399,'0.Productos'!$A$3:$GG$587,'0.Productos'!CS$1+1,0),"")</f>
        <v/>
      </c>
      <c r="BB399" s="133" t="str">
        <f>IF($A399&lt;&gt;0,VLOOKUP($A399,'0.Productos'!$A$3:$GG$587,'0.Productos'!CT$1+1,0),"")</f>
        <v/>
      </c>
      <c r="BC399" s="133" t="str">
        <f>IF($A399&lt;&gt;0,VLOOKUP($A399,'0.Productos'!$A$3:$GG$587,'0.Productos'!CU$1+1,0),"")</f>
        <v/>
      </c>
      <c r="BD399" s="133" t="str">
        <f>IF($A399&lt;&gt;0,VLOOKUP($A399,'0.Productos'!$A$3:$GG$587,'0.Productos'!CV$1+1,0),"")</f>
        <v/>
      </c>
      <c r="BE399" s="133" t="str">
        <f>IF($A399&lt;&gt;0,VLOOKUP($A399,'0.Productos'!$A$3:$GG$587,'0.Productos'!CW$1+1,0),"")</f>
        <v/>
      </c>
      <c r="BF399" s="133" t="str">
        <f>IF($A399&lt;&gt;0,VLOOKUP($A399,'0.Productos'!$A$3:$GG$587,'0.Productos'!CX$1+1,0),"")</f>
        <v/>
      </c>
      <c r="BG399" s="133" t="str">
        <f>IF($A399&lt;&gt;0,VLOOKUP($A399,'0.Productos'!$A$3:$GG$587,'0.Productos'!CY$1+1,0),"")</f>
        <v/>
      </c>
      <c r="BH399" s="133" t="str">
        <f>IF($A399&lt;&gt;0,VLOOKUP($A399,'0.Productos'!$A$3:$GG$587,'0.Productos'!CZ$1+1,0),"")</f>
        <v/>
      </c>
      <c r="BI399" s="133" t="str">
        <f>IF($A399&lt;&gt;0,VLOOKUP($A399,'0.Productos'!$A$3:$GG$587,'0.Productos'!DA$1+1,0),"")</f>
        <v/>
      </c>
      <c r="BJ399" s="133" t="str">
        <f>IF($A399&lt;&gt;0,VLOOKUP($A399,'0.Productos'!$A$3:$GG$587,'0.Productos'!DB$1+1,0),"")</f>
        <v/>
      </c>
      <c r="BK399" s="133" t="str">
        <f>IF($A399&lt;&gt;0,VLOOKUP($A399,'0.Productos'!$A$3:$GG$587,'0.Productos'!DC$1+1,0),"")</f>
        <v/>
      </c>
      <c r="BL399" s="133" t="str">
        <f>IF($A399&lt;&gt;0,VLOOKUP($A399,'0.Productos'!$A$3:$GG$587,'0.Productos'!DD$1+1,0),"")</f>
        <v/>
      </c>
      <c r="BM399" s="133" t="str">
        <f>IF($A399&lt;&gt;0,VLOOKUP($A399,'0.Productos'!$A$3:$GG$587,'0.Productos'!DE$1+1,0),"")</f>
        <v/>
      </c>
      <c r="BN399" s="133" t="str">
        <f>IF($A399&lt;&gt;0,VLOOKUP($A399,'0.Productos'!$A$3:$GG$587,'0.Productos'!DF$1+1,0),"")</f>
        <v/>
      </c>
      <c r="BO399" s="133" t="str">
        <f>IF($A399&lt;&gt;0,VLOOKUP($A399,'0.Productos'!$A$3:$GG$587,'0.Productos'!DG$1+1,0),"")</f>
        <v/>
      </c>
      <c r="BP399" s="133" t="str">
        <f>IF($A399&lt;&gt;0,VLOOKUP($A399,'0.Productos'!$A$3:$GG$587,'0.Productos'!DH$1+1,0),"")</f>
        <v/>
      </c>
      <c r="BQ399" s="133" t="str">
        <f>IF($A399&lt;&gt;0,VLOOKUP($A399,'0.Productos'!$A$3:$GG$587,'0.Productos'!DI$1+1,0),"")</f>
        <v/>
      </c>
      <c r="BR399" s="133" t="str">
        <f>IF($A399&lt;&gt;0,VLOOKUP($A399,'0.Productos'!$A$3:$GG$587,'0.Productos'!DJ$1+1,0),"")</f>
        <v/>
      </c>
      <c r="BS399" s="133" t="str">
        <f>IF($A399&lt;&gt;0,VLOOKUP($A399,'0.Productos'!$A$3:$GG$587,'0.Productos'!DK$1+1,0),"")</f>
        <v/>
      </c>
      <c r="BT399" s="133" t="str">
        <f>IF($A399&lt;&gt;0,VLOOKUP($A399,'0.Productos'!$A$3:$GG$587,'0.Productos'!DL$1+1,0),"")</f>
        <v/>
      </c>
    </row>
    <row r="400" spans="1:72" x14ac:dyDescent="0.25">
      <c r="A400" s="17">
        <f>'0.Consolidado general'!A400</f>
        <v>0</v>
      </c>
      <c r="B400" s="133" t="str">
        <f>IF($A400&lt;&gt;0,VLOOKUP($A400,'0.Productos'!$A$3:$GG$587,'0.Productos'!AT$1+1,0),"")</f>
        <v/>
      </c>
      <c r="C400" s="133" t="str">
        <f>IF($A400&lt;&gt;0,VLOOKUP($A400,'0.Productos'!$A$3:$GG$587,'0.Productos'!AU$1+1,0),"")</f>
        <v/>
      </c>
      <c r="D400" s="133" t="str">
        <f>IF($A400&lt;&gt;0,VLOOKUP($A400,'0.Productos'!$A$3:$GG$587,'0.Productos'!AV$1+1,0),"")</f>
        <v/>
      </c>
      <c r="E400" s="133" t="str">
        <f>IF($A400&lt;&gt;0,VLOOKUP($A400,'0.Productos'!$A$3:$GG$587,'0.Productos'!AW$1+1,0),"")</f>
        <v/>
      </c>
      <c r="F400" s="133" t="str">
        <f>IF($A400&lt;&gt;0,VLOOKUP($A400,'0.Productos'!$A$3:$GG$587,'0.Productos'!AX$1+1,0),"")</f>
        <v/>
      </c>
      <c r="G400" s="133" t="str">
        <f>IF($A400&lt;&gt;0,VLOOKUP($A400,'0.Productos'!$A$3:$GG$587,'0.Productos'!AY$1+1,0),"")</f>
        <v/>
      </c>
      <c r="H400" s="133" t="str">
        <f>IF($A400&lt;&gt;0,VLOOKUP($A400,'0.Productos'!$A$3:$GG$587,'0.Productos'!AZ$1+1,0),"")</f>
        <v/>
      </c>
      <c r="I400" s="133" t="str">
        <f>IF($A400&lt;&gt;0,VLOOKUP($A400,'0.Productos'!$A$3:$GG$587,'0.Productos'!BA$1+1,0),"")</f>
        <v/>
      </c>
      <c r="J400" s="133" t="str">
        <f>IF($A400&lt;&gt;0,VLOOKUP($A400,'0.Productos'!$A$3:$GG$587,'0.Productos'!BB$1+1,0),"")</f>
        <v/>
      </c>
      <c r="K400" s="133" t="str">
        <f>IF($A400&lt;&gt;0,VLOOKUP($A400,'0.Productos'!$A$3:$GG$587,'0.Productos'!BC$1+1,0),"")</f>
        <v/>
      </c>
      <c r="L400" s="133" t="str">
        <f>IF($A400&lt;&gt;0,VLOOKUP($A400,'0.Productos'!$A$3:$GG$587,'0.Productos'!BD$1+1,0),"")</f>
        <v/>
      </c>
      <c r="M400" s="133" t="str">
        <f>IF($A400&lt;&gt;0,VLOOKUP($A400,'0.Productos'!$A$3:$GG$587,'0.Productos'!BE$1+1,0),"")</f>
        <v/>
      </c>
      <c r="N400" s="133" t="str">
        <f>IF($A400&lt;&gt;0,VLOOKUP($A400,'0.Productos'!$A$3:$GG$587,'0.Productos'!BF$1+1,0),"")</f>
        <v/>
      </c>
      <c r="O400" s="133" t="str">
        <f>IF($A400&lt;&gt;0,VLOOKUP($A400,'0.Productos'!$A$3:$GG$587,'0.Productos'!BG$1+1,0),"")</f>
        <v/>
      </c>
      <c r="P400" s="133" t="str">
        <f>IF($A400&lt;&gt;0,VLOOKUP($A400,'0.Productos'!$A$3:$GG$587,'0.Productos'!BH$1+1,0),"")</f>
        <v/>
      </c>
      <c r="Q400" s="133" t="str">
        <f>IF($A400&lt;&gt;0,VLOOKUP($A400,'0.Productos'!$A$3:$GG$587,'0.Productos'!BI$1+1,0),"")</f>
        <v/>
      </c>
      <c r="R400" s="133" t="str">
        <f>IF($A400&lt;&gt;0,VLOOKUP($A400,'0.Productos'!$A$3:$GG$587,'0.Productos'!BJ$1+1,0),"")</f>
        <v/>
      </c>
      <c r="S400" s="133" t="str">
        <f>IF($A400&lt;&gt;0,VLOOKUP($A400,'0.Productos'!$A$3:$GG$587,'0.Productos'!BK$1+1,0),"")</f>
        <v/>
      </c>
      <c r="T400" s="133" t="str">
        <f>IF($A400&lt;&gt;0,VLOOKUP($A400,'0.Productos'!$A$3:$GG$587,'0.Productos'!BL$1+1,0),"")</f>
        <v/>
      </c>
      <c r="U400" s="133" t="str">
        <f>IF($A400&lt;&gt;0,VLOOKUP($A400,'0.Productos'!$A$3:$GG$587,'0.Productos'!BM$1+1,0),"")</f>
        <v/>
      </c>
      <c r="V400" s="133" t="str">
        <f>IF($A400&lt;&gt;0,VLOOKUP($A400,'0.Productos'!$A$3:$GG$587,'0.Productos'!BN$1+1,0),"")</f>
        <v/>
      </c>
      <c r="W400" s="133" t="str">
        <f>IF($A400&lt;&gt;0,VLOOKUP($A400,'0.Productos'!$A$3:$GG$587,'0.Productos'!BO$1+1,0),"")</f>
        <v/>
      </c>
      <c r="X400" s="133" t="str">
        <f>IF($A400&lt;&gt;0,VLOOKUP($A400,'0.Productos'!$A$3:$GG$587,'0.Productos'!BP$1+1,0),"")</f>
        <v/>
      </c>
      <c r="Y400" s="133" t="str">
        <f>IF($A400&lt;&gt;0,VLOOKUP($A400,'0.Productos'!$A$3:$GG$587,'0.Productos'!BQ$1+1,0),"")</f>
        <v/>
      </c>
      <c r="Z400" s="133" t="str">
        <f>IF($A400&lt;&gt;0,VLOOKUP($A400,'0.Productos'!$A$3:$GG$587,'0.Productos'!BR$1+1,0),"")</f>
        <v/>
      </c>
      <c r="AA400" s="133" t="str">
        <f>IF($A400&lt;&gt;0,VLOOKUP($A400,'0.Productos'!$A$3:$GG$587,'0.Productos'!BS$1+1,0),"")</f>
        <v/>
      </c>
      <c r="AB400" s="133" t="str">
        <f>IF($A400&lt;&gt;0,VLOOKUP($A400,'0.Productos'!$A$3:$GG$587,'0.Productos'!BT$1+1,0),"")</f>
        <v/>
      </c>
      <c r="AC400" s="133" t="str">
        <f>IF($A400&lt;&gt;0,VLOOKUP($A400,'0.Productos'!$A$3:$GG$587,'0.Productos'!BU$1+1,0),"")</f>
        <v/>
      </c>
      <c r="AD400" s="133" t="str">
        <f>IF($A400&lt;&gt;0,VLOOKUP($A400,'0.Productos'!$A$3:$GG$587,'0.Productos'!BV$1+1,0),"")</f>
        <v/>
      </c>
      <c r="AE400" s="133" t="str">
        <f>IF($A400&lt;&gt;0,VLOOKUP($A400,'0.Productos'!$A$3:$GG$587,'0.Productos'!BW$1+1,0),"")</f>
        <v/>
      </c>
      <c r="AF400" s="133" t="str">
        <f>IF($A400&lt;&gt;0,VLOOKUP($A400,'0.Productos'!$A$3:$GG$587,'0.Productos'!BX$1+1,0),"")</f>
        <v/>
      </c>
      <c r="AG400" s="133" t="str">
        <f>IF($A400&lt;&gt;0,VLOOKUP($A400,'0.Productos'!$A$3:$GG$587,'0.Productos'!BY$1+1,0),"")</f>
        <v/>
      </c>
      <c r="AH400" s="133" t="str">
        <f>IF($A400&lt;&gt;0,VLOOKUP($A400,'0.Productos'!$A$3:$GG$587,'0.Productos'!BZ$1+1,0),"")</f>
        <v/>
      </c>
      <c r="AI400" s="133" t="str">
        <f>IF($A400&lt;&gt;0,VLOOKUP($A400,'0.Productos'!$A$3:$GG$587,'0.Productos'!CA$1+1,0),"")</f>
        <v/>
      </c>
      <c r="AJ400" s="133" t="str">
        <f>IF($A400&lt;&gt;0,VLOOKUP($A400,'0.Productos'!$A$3:$GG$587,'0.Productos'!CB$1+1,0),"")</f>
        <v/>
      </c>
      <c r="AK400" s="133" t="str">
        <f>IF($A400&lt;&gt;0,VLOOKUP($A400,'0.Productos'!$A$3:$GG$587,'0.Productos'!CC$1+1,0),"")</f>
        <v/>
      </c>
      <c r="AL400" s="133" t="str">
        <f>IF($A400&lt;&gt;0,VLOOKUP($A400,'0.Productos'!$A$3:$GG$587,'0.Productos'!CD$1+1,0),"")</f>
        <v/>
      </c>
      <c r="AM400" s="133" t="str">
        <f>IF($A400&lt;&gt;0,VLOOKUP($A400,'0.Productos'!$A$3:$GG$587,'0.Productos'!CE$1+1,0),"")</f>
        <v/>
      </c>
      <c r="AN400" s="133" t="str">
        <f>IF($A400&lt;&gt;0,VLOOKUP($A400,'0.Productos'!$A$3:$GG$587,'0.Productos'!CF$1+1,0),"")</f>
        <v/>
      </c>
      <c r="AO400" s="133" t="str">
        <f>IF($A400&lt;&gt;0,VLOOKUP($A400,'0.Productos'!$A$3:$GG$587,'0.Productos'!CG$1+1,0),"")</f>
        <v/>
      </c>
      <c r="AP400" s="133" t="str">
        <f>IF($A400&lt;&gt;0,VLOOKUP($A400,'0.Productos'!$A$3:$GG$587,'0.Productos'!CH$1+1,0),"")</f>
        <v/>
      </c>
      <c r="AQ400" s="133" t="str">
        <f>IF($A400&lt;&gt;0,VLOOKUP($A400,'0.Productos'!$A$3:$GG$587,'0.Productos'!CI$1+1,0),"")</f>
        <v/>
      </c>
      <c r="AR400" s="133" t="str">
        <f>IF($A400&lt;&gt;0,VLOOKUP($A400,'0.Productos'!$A$3:$GG$587,'0.Productos'!CJ$1+1,0),"")</f>
        <v/>
      </c>
      <c r="AS400" s="133" t="str">
        <f>IF($A400&lt;&gt;0,VLOOKUP($A400,'0.Productos'!$A$3:$GG$587,'0.Productos'!CK$1+1,0),"")</f>
        <v/>
      </c>
      <c r="AT400" s="133" t="str">
        <f>IF($A400&lt;&gt;0,VLOOKUP($A400,'0.Productos'!$A$3:$GG$587,'0.Productos'!CL$1+1,0),"")</f>
        <v/>
      </c>
      <c r="AU400" s="133" t="str">
        <f>IF($A400&lt;&gt;0,VLOOKUP($A400,'0.Productos'!$A$3:$GG$587,'0.Productos'!CM$1+1,0),"")</f>
        <v/>
      </c>
      <c r="AV400" s="133" t="str">
        <f>IF($A400&lt;&gt;0,VLOOKUP($A400,'0.Productos'!$A$3:$GG$587,'0.Productos'!CN$1+1,0),"")</f>
        <v/>
      </c>
      <c r="AW400" s="133" t="str">
        <f>IF($A400&lt;&gt;0,VLOOKUP($A400,'0.Productos'!$A$3:$GG$587,'0.Productos'!CO$1+1,0),"")</f>
        <v/>
      </c>
      <c r="AX400" s="133" t="str">
        <f>IF($A400&lt;&gt;0,VLOOKUP($A400,'0.Productos'!$A$3:$GG$587,'0.Productos'!CP$1+1,0),"")</f>
        <v/>
      </c>
      <c r="AY400" s="133" t="str">
        <f>IF($A400&lt;&gt;0,VLOOKUP($A400,'0.Productos'!$A$3:$GG$587,'0.Productos'!CQ$1+1,0),"")</f>
        <v/>
      </c>
      <c r="AZ400" s="133" t="str">
        <f>IF($A400&lt;&gt;0,VLOOKUP($A400,'0.Productos'!$A$3:$GG$587,'0.Productos'!CR$1+1,0),"")</f>
        <v/>
      </c>
      <c r="BA400" s="133" t="str">
        <f>IF($A400&lt;&gt;0,VLOOKUP($A400,'0.Productos'!$A$3:$GG$587,'0.Productos'!CS$1+1,0),"")</f>
        <v/>
      </c>
      <c r="BB400" s="133" t="str">
        <f>IF($A400&lt;&gt;0,VLOOKUP($A400,'0.Productos'!$A$3:$GG$587,'0.Productos'!CT$1+1,0),"")</f>
        <v/>
      </c>
      <c r="BC400" s="133" t="str">
        <f>IF($A400&lt;&gt;0,VLOOKUP($A400,'0.Productos'!$A$3:$GG$587,'0.Productos'!CU$1+1,0),"")</f>
        <v/>
      </c>
      <c r="BD400" s="133" t="str">
        <f>IF($A400&lt;&gt;0,VLOOKUP($A400,'0.Productos'!$A$3:$GG$587,'0.Productos'!CV$1+1,0),"")</f>
        <v/>
      </c>
      <c r="BE400" s="133" t="str">
        <f>IF($A400&lt;&gt;0,VLOOKUP($A400,'0.Productos'!$A$3:$GG$587,'0.Productos'!CW$1+1,0),"")</f>
        <v/>
      </c>
      <c r="BF400" s="133" t="str">
        <f>IF($A400&lt;&gt;0,VLOOKUP($A400,'0.Productos'!$A$3:$GG$587,'0.Productos'!CX$1+1,0),"")</f>
        <v/>
      </c>
      <c r="BG400" s="133" t="str">
        <f>IF($A400&lt;&gt;0,VLOOKUP($A400,'0.Productos'!$A$3:$GG$587,'0.Productos'!CY$1+1,0),"")</f>
        <v/>
      </c>
      <c r="BH400" s="133" t="str">
        <f>IF($A400&lt;&gt;0,VLOOKUP($A400,'0.Productos'!$A$3:$GG$587,'0.Productos'!CZ$1+1,0),"")</f>
        <v/>
      </c>
      <c r="BI400" s="133" t="str">
        <f>IF($A400&lt;&gt;0,VLOOKUP($A400,'0.Productos'!$A$3:$GG$587,'0.Productos'!DA$1+1,0),"")</f>
        <v/>
      </c>
      <c r="BJ400" s="133" t="str">
        <f>IF($A400&lt;&gt;0,VLOOKUP($A400,'0.Productos'!$A$3:$GG$587,'0.Productos'!DB$1+1,0),"")</f>
        <v/>
      </c>
      <c r="BK400" s="133" t="str">
        <f>IF($A400&lt;&gt;0,VLOOKUP($A400,'0.Productos'!$A$3:$GG$587,'0.Productos'!DC$1+1,0),"")</f>
        <v/>
      </c>
      <c r="BL400" s="133" t="str">
        <f>IF($A400&lt;&gt;0,VLOOKUP($A400,'0.Productos'!$A$3:$GG$587,'0.Productos'!DD$1+1,0),"")</f>
        <v/>
      </c>
      <c r="BM400" s="133" t="str">
        <f>IF($A400&lt;&gt;0,VLOOKUP($A400,'0.Productos'!$A$3:$GG$587,'0.Productos'!DE$1+1,0),"")</f>
        <v/>
      </c>
      <c r="BN400" s="133" t="str">
        <f>IF($A400&lt;&gt;0,VLOOKUP($A400,'0.Productos'!$A$3:$GG$587,'0.Productos'!DF$1+1,0),"")</f>
        <v/>
      </c>
      <c r="BO400" s="133" t="str">
        <f>IF($A400&lt;&gt;0,VLOOKUP($A400,'0.Productos'!$A$3:$GG$587,'0.Productos'!DG$1+1,0),"")</f>
        <v/>
      </c>
      <c r="BP400" s="133" t="str">
        <f>IF($A400&lt;&gt;0,VLOOKUP($A400,'0.Productos'!$A$3:$GG$587,'0.Productos'!DH$1+1,0),"")</f>
        <v/>
      </c>
      <c r="BQ400" s="133" t="str">
        <f>IF($A400&lt;&gt;0,VLOOKUP($A400,'0.Productos'!$A$3:$GG$587,'0.Productos'!DI$1+1,0),"")</f>
        <v/>
      </c>
      <c r="BR400" s="133" t="str">
        <f>IF($A400&lt;&gt;0,VLOOKUP($A400,'0.Productos'!$A$3:$GG$587,'0.Productos'!DJ$1+1,0),"")</f>
        <v/>
      </c>
      <c r="BS400" s="133" t="str">
        <f>IF($A400&lt;&gt;0,VLOOKUP($A400,'0.Productos'!$A$3:$GG$587,'0.Productos'!DK$1+1,0),"")</f>
        <v/>
      </c>
      <c r="BT400" s="133" t="str">
        <f>IF($A400&lt;&gt;0,VLOOKUP($A400,'0.Productos'!$A$3:$GG$587,'0.Productos'!DL$1+1,0),"")</f>
        <v/>
      </c>
    </row>
    <row r="401" spans="1:72" x14ac:dyDescent="0.25">
      <c r="A401" s="17">
        <f>'0.Consolidado general'!A401</f>
        <v>0</v>
      </c>
      <c r="B401" s="133" t="str">
        <f>IF($A401&lt;&gt;0,VLOOKUP($A401,'0.Productos'!$A$3:$GG$587,'0.Productos'!AT$1+1,0),"")</f>
        <v/>
      </c>
      <c r="C401" s="133" t="str">
        <f>IF($A401&lt;&gt;0,VLOOKUP($A401,'0.Productos'!$A$3:$GG$587,'0.Productos'!AU$1+1,0),"")</f>
        <v/>
      </c>
      <c r="D401" s="133" t="str">
        <f>IF($A401&lt;&gt;0,VLOOKUP($A401,'0.Productos'!$A$3:$GG$587,'0.Productos'!AV$1+1,0),"")</f>
        <v/>
      </c>
      <c r="E401" s="133" t="str">
        <f>IF($A401&lt;&gt;0,VLOOKUP($A401,'0.Productos'!$A$3:$GG$587,'0.Productos'!AW$1+1,0),"")</f>
        <v/>
      </c>
      <c r="F401" s="133" t="str">
        <f>IF($A401&lt;&gt;0,VLOOKUP($A401,'0.Productos'!$A$3:$GG$587,'0.Productos'!AX$1+1,0),"")</f>
        <v/>
      </c>
      <c r="G401" s="133" t="str">
        <f>IF($A401&lt;&gt;0,VLOOKUP($A401,'0.Productos'!$A$3:$GG$587,'0.Productos'!AY$1+1,0),"")</f>
        <v/>
      </c>
      <c r="H401" s="133" t="str">
        <f>IF($A401&lt;&gt;0,VLOOKUP($A401,'0.Productos'!$A$3:$GG$587,'0.Productos'!AZ$1+1,0),"")</f>
        <v/>
      </c>
      <c r="I401" s="133" t="str">
        <f>IF($A401&lt;&gt;0,VLOOKUP($A401,'0.Productos'!$A$3:$GG$587,'0.Productos'!BA$1+1,0),"")</f>
        <v/>
      </c>
      <c r="J401" s="133" t="str">
        <f>IF($A401&lt;&gt;0,VLOOKUP($A401,'0.Productos'!$A$3:$GG$587,'0.Productos'!BB$1+1,0),"")</f>
        <v/>
      </c>
      <c r="K401" s="133" t="str">
        <f>IF($A401&lt;&gt;0,VLOOKUP($A401,'0.Productos'!$A$3:$GG$587,'0.Productos'!BC$1+1,0),"")</f>
        <v/>
      </c>
      <c r="L401" s="133" t="str">
        <f>IF($A401&lt;&gt;0,VLOOKUP($A401,'0.Productos'!$A$3:$GG$587,'0.Productos'!BD$1+1,0),"")</f>
        <v/>
      </c>
      <c r="M401" s="133" t="str">
        <f>IF($A401&lt;&gt;0,VLOOKUP($A401,'0.Productos'!$A$3:$GG$587,'0.Productos'!BE$1+1,0),"")</f>
        <v/>
      </c>
      <c r="N401" s="133" t="str">
        <f>IF($A401&lt;&gt;0,VLOOKUP($A401,'0.Productos'!$A$3:$GG$587,'0.Productos'!BF$1+1,0),"")</f>
        <v/>
      </c>
      <c r="O401" s="133" t="str">
        <f>IF($A401&lt;&gt;0,VLOOKUP($A401,'0.Productos'!$A$3:$GG$587,'0.Productos'!BG$1+1,0),"")</f>
        <v/>
      </c>
      <c r="P401" s="133" t="str">
        <f>IF($A401&lt;&gt;0,VLOOKUP($A401,'0.Productos'!$A$3:$GG$587,'0.Productos'!BH$1+1,0),"")</f>
        <v/>
      </c>
      <c r="Q401" s="133" t="str">
        <f>IF($A401&lt;&gt;0,VLOOKUP($A401,'0.Productos'!$A$3:$GG$587,'0.Productos'!BI$1+1,0),"")</f>
        <v/>
      </c>
      <c r="R401" s="133" t="str">
        <f>IF($A401&lt;&gt;0,VLOOKUP($A401,'0.Productos'!$A$3:$GG$587,'0.Productos'!BJ$1+1,0),"")</f>
        <v/>
      </c>
      <c r="S401" s="133" t="str">
        <f>IF($A401&lt;&gt;0,VLOOKUP($A401,'0.Productos'!$A$3:$GG$587,'0.Productos'!BK$1+1,0),"")</f>
        <v/>
      </c>
      <c r="T401" s="133" t="str">
        <f>IF($A401&lt;&gt;0,VLOOKUP($A401,'0.Productos'!$A$3:$GG$587,'0.Productos'!BL$1+1,0),"")</f>
        <v/>
      </c>
      <c r="U401" s="133" t="str">
        <f>IF($A401&lt;&gt;0,VLOOKUP($A401,'0.Productos'!$A$3:$GG$587,'0.Productos'!BM$1+1,0),"")</f>
        <v/>
      </c>
      <c r="V401" s="133" t="str">
        <f>IF($A401&lt;&gt;0,VLOOKUP($A401,'0.Productos'!$A$3:$GG$587,'0.Productos'!BN$1+1,0),"")</f>
        <v/>
      </c>
      <c r="W401" s="133" t="str">
        <f>IF($A401&lt;&gt;0,VLOOKUP($A401,'0.Productos'!$A$3:$GG$587,'0.Productos'!BO$1+1,0),"")</f>
        <v/>
      </c>
      <c r="X401" s="133" t="str">
        <f>IF($A401&lt;&gt;0,VLOOKUP($A401,'0.Productos'!$A$3:$GG$587,'0.Productos'!BP$1+1,0),"")</f>
        <v/>
      </c>
      <c r="Y401" s="133" t="str">
        <f>IF($A401&lt;&gt;0,VLOOKUP($A401,'0.Productos'!$A$3:$GG$587,'0.Productos'!BQ$1+1,0),"")</f>
        <v/>
      </c>
      <c r="Z401" s="133" t="str">
        <f>IF($A401&lt;&gt;0,VLOOKUP($A401,'0.Productos'!$A$3:$GG$587,'0.Productos'!BR$1+1,0),"")</f>
        <v/>
      </c>
      <c r="AA401" s="133" t="str">
        <f>IF($A401&lt;&gt;0,VLOOKUP($A401,'0.Productos'!$A$3:$GG$587,'0.Productos'!BS$1+1,0),"")</f>
        <v/>
      </c>
      <c r="AB401" s="133" t="str">
        <f>IF($A401&lt;&gt;0,VLOOKUP($A401,'0.Productos'!$A$3:$GG$587,'0.Productos'!BT$1+1,0),"")</f>
        <v/>
      </c>
      <c r="AC401" s="133" t="str">
        <f>IF($A401&lt;&gt;0,VLOOKUP($A401,'0.Productos'!$A$3:$GG$587,'0.Productos'!BU$1+1,0),"")</f>
        <v/>
      </c>
      <c r="AD401" s="133" t="str">
        <f>IF($A401&lt;&gt;0,VLOOKUP($A401,'0.Productos'!$A$3:$GG$587,'0.Productos'!BV$1+1,0),"")</f>
        <v/>
      </c>
      <c r="AE401" s="133" t="str">
        <f>IF($A401&lt;&gt;0,VLOOKUP($A401,'0.Productos'!$A$3:$GG$587,'0.Productos'!BW$1+1,0),"")</f>
        <v/>
      </c>
      <c r="AF401" s="133" t="str">
        <f>IF($A401&lt;&gt;0,VLOOKUP($A401,'0.Productos'!$A$3:$GG$587,'0.Productos'!BX$1+1,0),"")</f>
        <v/>
      </c>
      <c r="AG401" s="133" t="str">
        <f>IF($A401&lt;&gt;0,VLOOKUP($A401,'0.Productos'!$A$3:$GG$587,'0.Productos'!BY$1+1,0),"")</f>
        <v/>
      </c>
      <c r="AH401" s="133" t="str">
        <f>IF($A401&lt;&gt;0,VLOOKUP($A401,'0.Productos'!$A$3:$GG$587,'0.Productos'!BZ$1+1,0),"")</f>
        <v/>
      </c>
      <c r="AI401" s="133" t="str">
        <f>IF($A401&lt;&gt;0,VLOOKUP($A401,'0.Productos'!$A$3:$GG$587,'0.Productos'!CA$1+1,0),"")</f>
        <v/>
      </c>
      <c r="AJ401" s="133" t="str">
        <f>IF($A401&lt;&gt;0,VLOOKUP($A401,'0.Productos'!$A$3:$GG$587,'0.Productos'!CB$1+1,0),"")</f>
        <v/>
      </c>
      <c r="AK401" s="133" t="str">
        <f>IF($A401&lt;&gt;0,VLOOKUP($A401,'0.Productos'!$A$3:$GG$587,'0.Productos'!CC$1+1,0),"")</f>
        <v/>
      </c>
      <c r="AL401" s="133" t="str">
        <f>IF($A401&lt;&gt;0,VLOOKUP($A401,'0.Productos'!$A$3:$GG$587,'0.Productos'!CD$1+1,0),"")</f>
        <v/>
      </c>
      <c r="AM401" s="133" t="str">
        <f>IF($A401&lt;&gt;0,VLOOKUP($A401,'0.Productos'!$A$3:$GG$587,'0.Productos'!CE$1+1,0),"")</f>
        <v/>
      </c>
      <c r="AN401" s="133" t="str">
        <f>IF($A401&lt;&gt;0,VLOOKUP($A401,'0.Productos'!$A$3:$GG$587,'0.Productos'!CF$1+1,0),"")</f>
        <v/>
      </c>
      <c r="AO401" s="133" t="str">
        <f>IF($A401&lt;&gt;0,VLOOKUP($A401,'0.Productos'!$A$3:$GG$587,'0.Productos'!CG$1+1,0),"")</f>
        <v/>
      </c>
      <c r="AP401" s="133" t="str">
        <f>IF($A401&lt;&gt;0,VLOOKUP($A401,'0.Productos'!$A$3:$GG$587,'0.Productos'!CH$1+1,0),"")</f>
        <v/>
      </c>
      <c r="AQ401" s="133" t="str">
        <f>IF($A401&lt;&gt;0,VLOOKUP($A401,'0.Productos'!$A$3:$GG$587,'0.Productos'!CI$1+1,0),"")</f>
        <v/>
      </c>
      <c r="AR401" s="133" t="str">
        <f>IF($A401&lt;&gt;0,VLOOKUP($A401,'0.Productos'!$A$3:$GG$587,'0.Productos'!CJ$1+1,0),"")</f>
        <v/>
      </c>
      <c r="AS401" s="133" t="str">
        <f>IF($A401&lt;&gt;0,VLOOKUP($A401,'0.Productos'!$A$3:$GG$587,'0.Productos'!CK$1+1,0),"")</f>
        <v/>
      </c>
      <c r="AT401" s="133" t="str">
        <f>IF($A401&lt;&gt;0,VLOOKUP($A401,'0.Productos'!$A$3:$GG$587,'0.Productos'!CL$1+1,0),"")</f>
        <v/>
      </c>
      <c r="AU401" s="133" t="str">
        <f>IF($A401&lt;&gt;0,VLOOKUP($A401,'0.Productos'!$A$3:$GG$587,'0.Productos'!CM$1+1,0),"")</f>
        <v/>
      </c>
      <c r="AV401" s="133" t="str">
        <f>IF($A401&lt;&gt;0,VLOOKUP($A401,'0.Productos'!$A$3:$GG$587,'0.Productos'!CN$1+1,0),"")</f>
        <v/>
      </c>
      <c r="AW401" s="133" t="str">
        <f>IF($A401&lt;&gt;0,VLOOKUP($A401,'0.Productos'!$A$3:$GG$587,'0.Productos'!CO$1+1,0),"")</f>
        <v/>
      </c>
      <c r="AX401" s="133" t="str">
        <f>IF($A401&lt;&gt;0,VLOOKUP($A401,'0.Productos'!$A$3:$GG$587,'0.Productos'!CP$1+1,0),"")</f>
        <v/>
      </c>
      <c r="AY401" s="133" t="str">
        <f>IF($A401&lt;&gt;0,VLOOKUP($A401,'0.Productos'!$A$3:$GG$587,'0.Productos'!CQ$1+1,0),"")</f>
        <v/>
      </c>
      <c r="AZ401" s="133" t="str">
        <f>IF($A401&lt;&gt;0,VLOOKUP($A401,'0.Productos'!$A$3:$GG$587,'0.Productos'!CR$1+1,0),"")</f>
        <v/>
      </c>
      <c r="BA401" s="133" t="str">
        <f>IF($A401&lt;&gt;0,VLOOKUP($A401,'0.Productos'!$A$3:$GG$587,'0.Productos'!CS$1+1,0),"")</f>
        <v/>
      </c>
      <c r="BB401" s="133" t="str">
        <f>IF($A401&lt;&gt;0,VLOOKUP($A401,'0.Productos'!$A$3:$GG$587,'0.Productos'!CT$1+1,0),"")</f>
        <v/>
      </c>
      <c r="BC401" s="133" t="str">
        <f>IF($A401&lt;&gt;0,VLOOKUP($A401,'0.Productos'!$A$3:$GG$587,'0.Productos'!CU$1+1,0),"")</f>
        <v/>
      </c>
      <c r="BD401" s="133" t="str">
        <f>IF($A401&lt;&gt;0,VLOOKUP($A401,'0.Productos'!$A$3:$GG$587,'0.Productos'!CV$1+1,0),"")</f>
        <v/>
      </c>
      <c r="BE401" s="133" t="str">
        <f>IF($A401&lt;&gt;0,VLOOKUP($A401,'0.Productos'!$A$3:$GG$587,'0.Productos'!CW$1+1,0),"")</f>
        <v/>
      </c>
      <c r="BF401" s="133" t="str">
        <f>IF($A401&lt;&gt;0,VLOOKUP($A401,'0.Productos'!$A$3:$GG$587,'0.Productos'!CX$1+1,0),"")</f>
        <v/>
      </c>
      <c r="BG401" s="133" t="str">
        <f>IF($A401&lt;&gt;0,VLOOKUP($A401,'0.Productos'!$A$3:$GG$587,'0.Productos'!CY$1+1,0),"")</f>
        <v/>
      </c>
      <c r="BH401" s="133" t="str">
        <f>IF($A401&lt;&gt;0,VLOOKUP($A401,'0.Productos'!$A$3:$GG$587,'0.Productos'!CZ$1+1,0),"")</f>
        <v/>
      </c>
      <c r="BI401" s="133" t="str">
        <f>IF($A401&lt;&gt;0,VLOOKUP($A401,'0.Productos'!$A$3:$GG$587,'0.Productos'!DA$1+1,0),"")</f>
        <v/>
      </c>
      <c r="BJ401" s="133" t="str">
        <f>IF($A401&lt;&gt;0,VLOOKUP($A401,'0.Productos'!$A$3:$GG$587,'0.Productos'!DB$1+1,0),"")</f>
        <v/>
      </c>
      <c r="BK401" s="133" t="str">
        <f>IF($A401&lt;&gt;0,VLOOKUP($A401,'0.Productos'!$A$3:$GG$587,'0.Productos'!DC$1+1,0),"")</f>
        <v/>
      </c>
      <c r="BL401" s="133" t="str">
        <f>IF($A401&lt;&gt;0,VLOOKUP($A401,'0.Productos'!$A$3:$GG$587,'0.Productos'!DD$1+1,0),"")</f>
        <v/>
      </c>
      <c r="BM401" s="133" t="str">
        <f>IF($A401&lt;&gt;0,VLOOKUP($A401,'0.Productos'!$A$3:$GG$587,'0.Productos'!DE$1+1,0),"")</f>
        <v/>
      </c>
      <c r="BN401" s="133" t="str">
        <f>IF($A401&lt;&gt;0,VLOOKUP($A401,'0.Productos'!$A$3:$GG$587,'0.Productos'!DF$1+1,0),"")</f>
        <v/>
      </c>
      <c r="BO401" s="133" t="str">
        <f>IF($A401&lt;&gt;0,VLOOKUP($A401,'0.Productos'!$A$3:$GG$587,'0.Productos'!DG$1+1,0),"")</f>
        <v/>
      </c>
      <c r="BP401" s="133" t="str">
        <f>IF($A401&lt;&gt;0,VLOOKUP($A401,'0.Productos'!$A$3:$GG$587,'0.Productos'!DH$1+1,0),"")</f>
        <v/>
      </c>
      <c r="BQ401" s="133" t="str">
        <f>IF($A401&lt;&gt;0,VLOOKUP($A401,'0.Productos'!$A$3:$GG$587,'0.Productos'!DI$1+1,0),"")</f>
        <v/>
      </c>
      <c r="BR401" s="133" t="str">
        <f>IF($A401&lt;&gt;0,VLOOKUP($A401,'0.Productos'!$A$3:$GG$587,'0.Productos'!DJ$1+1,0),"")</f>
        <v/>
      </c>
      <c r="BS401" s="133" t="str">
        <f>IF($A401&lt;&gt;0,VLOOKUP($A401,'0.Productos'!$A$3:$GG$587,'0.Productos'!DK$1+1,0),"")</f>
        <v/>
      </c>
      <c r="BT401" s="133" t="str">
        <f>IF($A401&lt;&gt;0,VLOOKUP($A401,'0.Productos'!$A$3:$GG$587,'0.Productos'!DL$1+1,0),"")</f>
        <v/>
      </c>
    </row>
    <row r="402" spans="1:72" x14ac:dyDescent="0.25">
      <c r="A402" s="17">
        <f>'0.Consolidado general'!A402</f>
        <v>0</v>
      </c>
      <c r="B402" s="133" t="str">
        <f>IF($A402&lt;&gt;0,VLOOKUP($A402,'0.Productos'!$A$3:$GG$587,'0.Productos'!AT$1+1,0),"")</f>
        <v/>
      </c>
      <c r="C402" s="133" t="str">
        <f>IF($A402&lt;&gt;0,VLOOKUP($A402,'0.Productos'!$A$3:$GG$587,'0.Productos'!AU$1+1,0),"")</f>
        <v/>
      </c>
      <c r="D402" s="133" t="str">
        <f>IF($A402&lt;&gt;0,VLOOKUP($A402,'0.Productos'!$A$3:$GG$587,'0.Productos'!AV$1+1,0),"")</f>
        <v/>
      </c>
      <c r="E402" s="133" t="str">
        <f>IF($A402&lt;&gt;0,VLOOKUP($A402,'0.Productos'!$A$3:$GG$587,'0.Productos'!AW$1+1,0),"")</f>
        <v/>
      </c>
      <c r="F402" s="133" t="str">
        <f>IF($A402&lt;&gt;0,VLOOKUP($A402,'0.Productos'!$A$3:$GG$587,'0.Productos'!AX$1+1,0),"")</f>
        <v/>
      </c>
      <c r="G402" s="133" t="str">
        <f>IF($A402&lt;&gt;0,VLOOKUP($A402,'0.Productos'!$A$3:$GG$587,'0.Productos'!AY$1+1,0),"")</f>
        <v/>
      </c>
      <c r="H402" s="133" t="str">
        <f>IF($A402&lt;&gt;0,VLOOKUP($A402,'0.Productos'!$A$3:$GG$587,'0.Productos'!AZ$1+1,0),"")</f>
        <v/>
      </c>
      <c r="I402" s="133" t="str">
        <f>IF($A402&lt;&gt;0,VLOOKUP($A402,'0.Productos'!$A$3:$GG$587,'0.Productos'!BA$1+1,0),"")</f>
        <v/>
      </c>
      <c r="J402" s="133" t="str">
        <f>IF($A402&lt;&gt;0,VLOOKUP($A402,'0.Productos'!$A$3:$GG$587,'0.Productos'!BB$1+1,0),"")</f>
        <v/>
      </c>
      <c r="K402" s="133" t="str">
        <f>IF($A402&lt;&gt;0,VLOOKUP($A402,'0.Productos'!$A$3:$GG$587,'0.Productos'!BC$1+1,0),"")</f>
        <v/>
      </c>
      <c r="L402" s="133" t="str">
        <f>IF($A402&lt;&gt;0,VLOOKUP($A402,'0.Productos'!$A$3:$GG$587,'0.Productos'!BD$1+1,0),"")</f>
        <v/>
      </c>
      <c r="M402" s="133" t="str">
        <f>IF($A402&lt;&gt;0,VLOOKUP($A402,'0.Productos'!$A$3:$GG$587,'0.Productos'!BE$1+1,0),"")</f>
        <v/>
      </c>
      <c r="N402" s="133" t="str">
        <f>IF($A402&lt;&gt;0,VLOOKUP($A402,'0.Productos'!$A$3:$GG$587,'0.Productos'!BF$1+1,0),"")</f>
        <v/>
      </c>
      <c r="O402" s="133" t="str">
        <f>IF($A402&lt;&gt;0,VLOOKUP($A402,'0.Productos'!$A$3:$GG$587,'0.Productos'!BG$1+1,0),"")</f>
        <v/>
      </c>
      <c r="P402" s="133" t="str">
        <f>IF($A402&lt;&gt;0,VLOOKUP($A402,'0.Productos'!$A$3:$GG$587,'0.Productos'!BH$1+1,0),"")</f>
        <v/>
      </c>
      <c r="Q402" s="133" t="str">
        <f>IF($A402&lt;&gt;0,VLOOKUP($A402,'0.Productos'!$A$3:$GG$587,'0.Productos'!BI$1+1,0),"")</f>
        <v/>
      </c>
      <c r="R402" s="133" t="str">
        <f>IF($A402&lt;&gt;0,VLOOKUP($A402,'0.Productos'!$A$3:$GG$587,'0.Productos'!BJ$1+1,0),"")</f>
        <v/>
      </c>
      <c r="S402" s="133" t="str">
        <f>IF($A402&lt;&gt;0,VLOOKUP($A402,'0.Productos'!$A$3:$GG$587,'0.Productos'!BK$1+1,0),"")</f>
        <v/>
      </c>
      <c r="T402" s="133" t="str">
        <f>IF($A402&lt;&gt;0,VLOOKUP($A402,'0.Productos'!$A$3:$GG$587,'0.Productos'!BL$1+1,0),"")</f>
        <v/>
      </c>
      <c r="U402" s="133" t="str">
        <f>IF($A402&lt;&gt;0,VLOOKUP($A402,'0.Productos'!$A$3:$GG$587,'0.Productos'!BM$1+1,0),"")</f>
        <v/>
      </c>
      <c r="V402" s="133" t="str">
        <f>IF($A402&lt;&gt;0,VLOOKUP($A402,'0.Productos'!$A$3:$GG$587,'0.Productos'!BN$1+1,0),"")</f>
        <v/>
      </c>
      <c r="W402" s="133" t="str">
        <f>IF($A402&lt;&gt;0,VLOOKUP($A402,'0.Productos'!$A$3:$GG$587,'0.Productos'!BO$1+1,0),"")</f>
        <v/>
      </c>
      <c r="X402" s="133" t="str">
        <f>IF($A402&lt;&gt;0,VLOOKUP($A402,'0.Productos'!$A$3:$GG$587,'0.Productos'!BP$1+1,0),"")</f>
        <v/>
      </c>
      <c r="Y402" s="133" t="str">
        <f>IF($A402&lt;&gt;0,VLOOKUP($A402,'0.Productos'!$A$3:$GG$587,'0.Productos'!BQ$1+1,0),"")</f>
        <v/>
      </c>
      <c r="Z402" s="133" t="str">
        <f>IF($A402&lt;&gt;0,VLOOKUP($A402,'0.Productos'!$A$3:$GG$587,'0.Productos'!BR$1+1,0),"")</f>
        <v/>
      </c>
      <c r="AA402" s="133" t="str">
        <f>IF($A402&lt;&gt;0,VLOOKUP($A402,'0.Productos'!$A$3:$GG$587,'0.Productos'!BS$1+1,0),"")</f>
        <v/>
      </c>
      <c r="AB402" s="133" t="str">
        <f>IF($A402&lt;&gt;0,VLOOKUP($A402,'0.Productos'!$A$3:$GG$587,'0.Productos'!BT$1+1,0),"")</f>
        <v/>
      </c>
      <c r="AC402" s="133" t="str">
        <f>IF($A402&lt;&gt;0,VLOOKUP($A402,'0.Productos'!$A$3:$GG$587,'0.Productos'!BU$1+1,0),"")</f>
        <v/>
      </c>
      <c r="AD402" s="133" t="str">
        <f>IF($A402&lt;&gt;0,VLOOKUP($A402,'0.Productos'!$A$3:$GG$587,'0.Productos'!BV$1+1,0),"")</f>
        <v/>
      </c>
      <c r="AE402" s="133" t="str">
        <f>IF($A402&lt;&gt;0,VLOOKUP($A402,'0.Productos'!$A$3:$GG$587,'0.Productos'!BW$1+1,0),"")</f>
        <v/>
      </c>
      <c r="AF402" s="133" t="str">
        <f>IF($A402&lt;&gt;0,VLOOKUP($A402,'0.Productos'!$A$3:$GG$587,'0.Productos'!BX$1+1,0),"")</f>
        <v/>
      </c>
      <c r="AG402" s="133" t="str">
        <f>IF($A402&lt;&gt;0,VLOOKUP($A402,'0.Productos'!$A$3:$GG$587,'0.Productos'!BY$1+1,0),"")</f>
        <v/>
      </c>
      <c r="AH402" s="133" t="str">
        <f>IF($A402&lt;&gt;0,VLOOKUP($A402,'0.Productos'!$A$3:$GG$587,'0.Productos'!BZ$1+1,0),"")</f>
        <v/>
      </c>
      <c r="AI402" s="133" t="str">
        <f>IF($A402&lt;&gt;0,VLOOKUP($A402,'0.Productos'!$A$3:$GG$587,'0.Productos'!CA$1+1,0),"")</f>
        <v/>
      </c>
      <c r="AJ402" s="133" t="str">
        <f>IF($A402&lt;&gt;0,VLOOKUP($A402,'0.Productos'!$A$3:$GG$587,'0.Productos'!CB$1+1,0),"")</f>
        <v/>
      </c>
      <c r="AK402" s="133" t="str">
        <f>IF($A402&lt;&gt;0,VLOOKUP($A402,'0.Productos'!$A$3:$GG$587,'0.Productos'!CC$1+1,0),"")</f>
        <v/>
      </c>
      <c r="AL402" s="133" t="str">
        <f>IF($A402&lt;&gt;0,VLOOKUP($A402,'0.Productos'!$A$3:$GG$587,'0.Productos'!CD$1+1,0),"")</f>
        <v/>
      </c>
      <c r="AM402" s="133" t="str">
        <f>IF($A402&lt;&gt;0,VLOOKUP($A402,'0.Productos'!$A$3:$GG$587,'0.Productos'!CE$1+1,0),"")</f>
        <v/>
      </c>
      <c r="AN402" s="133" t="str">
        <f>IF($A402&lt;&gt;0,VLOOKUP($A402,'0.Productos'!$A$3:$GG$587,'0.Productos'!CF$1+1,0),"")</f>
        <v/>
      </c>
      <c r="AO402" s="133" t="str">
        <f>IF($A402&lt;&gt;0,VLOOKUP($A402,'0.Productos'!$A$3:$GG$587,'0.Productos'!CG$1+1,0),"")</f>
        <v/>
      </c>
      <c r="AP402" s="133" t="str">
        <f>IF($A402&lt;&gt;0,VLOOKUP($A402,'0.Productos'!$A$3:$GG$587,'0.Productos'!CH$1+1,0),"")</f>
        <v/>
      </c>
      <c r="AQ402" s="133" t="str">
        <f>IF($A402&lt;&gt;0,VLOOKUP($A402,'0.Productos'!$A$3:$GG$587,'0.Productos'!CI$1+1,0),"")</f>
        <v/>
      </c>
      <c r="AR402" s="133" t="str">
        <f>IF($A402&lt;&gt;0,VLOOKUP($A402,'0.Productos'!$A$3:$GG$587,'0.Productos'!CJ$1+1,0),"")</f>
        <v/>
      </c>
      <c r="AS402" s="133" t="str">
        <f>IF($A402&lt;&gt;0,VLOOKUP($A402,'0.Productos'!$A$3:$GG$587,'0.Productos'!CK$1+1,0),"")</f>
        <v/>
      </c>
      <c r="AT402" s="133" t="str">
        <f>IF($A402&lt;&gt;0,VLOOKUP($A402,'0.Productos'!$A$3:$GG$587,'0.Productos'!CL$1+1,0),"")</f>
        <v/>
      </c>
      <c r="AU402" s="133" t="str">
        <f>IF($A402&lt;&gt;0,VLOOKUP($A402,'0.Productos'!$A$3:$GG$587,'0.Productos'!CM$1+1,0),"")</f>
        <v/>
      </c>
      <c r="AV402" s="133" t="str">
        <f>IF($A402&lt;&gt;0,VLOOKUP($A402,'0.Productos'!$A$3:$GG$587,'0.Productos'!CN$1+1,0),"")</f>
        <v/>
      </c>
      <c r="AW402" s="133" t="str">
        <f>IF($A402&lt;&gt;0,VLOOKUP($A402,'0.Productos'!$A$3:$GG$587,'0.Productos'!CO$1+1,0),"")</f>
        <v/>
      </c>
      <c r="AX402" s="133" t="str">
        <f>IF($A402&lt;&gt;0,VLOOKUP($A402,'0.Productos'!$A$3:$GG$587,'0.Productos'!CP$1+1,0),"")</f>
        <v/>
      </c>
      <c r="AY402" s="133" t="str">
        <f>IF($A402&lt;&gt;0,VLOOKUP($A402,'0.Productos'!$A$3:$GG$587,'0.Productos'!CQ$1+1,0),"")</f>
        <v/>
      </c>
      <c r="AZ402" s="133" t="str">
        <f>IF($A402&lt;&gt;0,VLOOKUP($A402,'0.Productos'!$A$3:$GG$587,'0.Productos'!CR$1+1,0),"")</f>
        <v/>
      </c>
      <c r="BA402" s="133" t="str">
        <f>IF($A402&lt;&gt;0,VLOOKUP($A402,'0.Productos'!$A$3:$GG$587,'0.Productos'!CS$1+1,0),"")</f>
        <v/>
      </c>
      <c r="BB402" s="133" t="str">
        <f>IF($A402&lt;&gt;0,VLOOKUP($A402,'0.Productos'!$A$3:$GG$587,'0.Productos'!CT$1+1,0),"")</f>
        <v/>
      </c>
      <c r="BC402" s="133" t="str">
        <f>IF($A402&lt;&gt;0,VLOOKUP($A402,'0.Productos'!$A$3:$GG$587,'0.Productos'!CU$1+1,0),"")</f>
        <v/>
      </c>
      <c r="BD402" s="133" t="str">
        <f>IF($A402&lt;&gt;0,VLOOKUP($A402,'0.Productos'!$A$3:$GG$587,'0.Productos'!CV$1+1,0),"")</f>
        <v/>
      </c>
      <c r="BE402" s="133" t="str">
        <f>IF($A402&lt;&gt;0,VLOOKUP($A402,'0.Productos'!$A$3:$GG$587,'0.Productos'!CW$1+1,0),"")</f>
        <v/>
      </c>
      <c r="BF402" s="133" t="str">
        <f>IF($A402&lt;&gt;0,VLOOKUP($A402,'0.Productos'!$A$3:$GG$587,'0.Productos'!CX$1+1,0),"")</f>
        <v/>
      </c>
      <c r="BG402" s="133" t="str">
        <f>IF($A402&lt;&gt;0,VLOOKUP($A402,'0.Productos'!$A$3:$GG$587,'0.Productos'!CY$1+1,0),"")</f>
        <v/>
      </c>
      <c r="BH402" s="133" t="str">
        <f>IF($A402&lt;&gt;0,VLOOKUP($A402,'0.Productos'!$A$3:$GG$587,'0.Productos'!CZ$1+1,0),"")</f>
        <v/>
      </c>
      <c r="BI402" s="133" t="str">
        <f>IF($A402&lt;&gt;0,VLOOKUP($A402,'0.Productos'!$A$3:$GG$587,'0.Productos'!DA$1+1,0),"")</f>
        <v/>
      </c>
      <c r="BJ402" s="133" t="str">
        <f>IF($A402&lt;&gt;0,VLOOKUP($A402,'0.Productos'!$A$3:$GG$587,'0.Productos'!DB$1+1,0),"")</f>
        <v/>
      </c>
      <c r="BK402" s="133" t="str">
        <f>IF($A402&lt;&gt;0,VLOOKUP($A402,'0.Productos'!$A$3:$GG$587,'0.Productos'!DC$1+1,0),"")</f>
        <v/>
      </c>
      <c r="BL402" s="133" t="str">
        <f>IF($A402&lt;&gt;0,VLOOKUP($A402,'0.Productos'!$A$3:$GG$587,'0.Productos'!DD$1+1,0),"")</f>
        <v/>
      </c>
      <c r="BM402" s="133" t="str">
        <f>IF($A402&lt;&gt;0,VLOOKUP($A402,'0.Productos'!$A$3:$GG$587,'0.Productos'!DE$1+1,0),"")</f>
        <v/>
      </c>
      <c r="BN402" s="133" t="str">
        <f>IF($A402&lt;&gt;0,VLOOKUP($A402,'0.Productos'!$A$3:$GG$587,'0.Productos'!DF$1+1,0),"")</f>
        <v/>
      </c>
      <c r="BO402" s="133" t="str">
        <f>IF($A402&lt;&gt;0,VLOOKUP($A402,'0.Productos'!$A$3:$GG$587,'0.Productos'!DG$1+1,0),"")</f>
        <v/>
      </c>
      <c r="BP402" s="133" t="str">
        <f>IF($A402&lt;&gt;0,VLOOKUP($A402,'0.Productos'!$A$3:$GG$587,'0.Productos'!DH$1+1,0),"")</f>
        <v/>
      </c>
      <c r="BQ402" s="133" t="str">
        <f>IF($A402&lt;&gt;0,VLOOKUP($A402,'0.Productos'!$A$3:$GG$587,'0.Productos'!DI$1+1,0),"")</f>
        <v/>
      </c>
      <c r="BR402" s="133" t="str">
        <f>IF($A402&lt;&gt;0,VLOOKUP($A402,'0.Productos'!$A$3:$GG$587,'0.Productos'!DJ$1+1,0),"")</f>
        <v/>
      </c>
      <c r="BS402" s="133" t="str">
        <f>IF($A402&lt;&gt;0,VLOOKUP($A402,'0.Productos'!$A$3:$GG$587,'0.Productos'!DK$1+1,0),"")</f>
        <v/>
      </c>
      <c r="BT402" s="133" t="str">
        <f>IF($A402&lt;&gt;0,VLOOKUP($A402,'0.Productos'!$A$3:$GG$587,'0.Productos'!DL$1+1,0),"")</f>
        <v/>
      </c>
    </row>
    <row r="403" spans="1:72" x14ac:dyDescent="0.25">
      <c r="A403" s="17">
        <f>'0.Consolidado general'!A403</f>
        <v>0</v>
      </c>
      <c r="B403" s="133" t="str">
        <f>IF($A403&lt;&gt;0,VLOOKUP($A403,'0.Productos'!$A$3:$GG$587,'0.Productos'!AT$1+1,0),"")</f>
        <v/>
      </c>
      <c r="C403" s="133" t="str">
        <f>IF($A403&lt;&gt;0,VLOOKUP($A403,'0.Productos'!$A$3:$GG$587,'0.Productos'!AU$1+1,0),"")</f>
        <v/>
      </c>
      <c r="D403" s="133" t="str">
        <f>IF($A403&lt;&gt;0,VLOOKUP($A403,'0.Productos'!$A$3:$GG$587,'0.Productos'!AV$1+1,0),"")</f>
        <v/>
      </c>
      <c r="E403" s="133" t="str">
        <f>IF($A403&lt;&gt;0,VLOOKUP($A403,'0.Productos'!$A$3:$GG$587,'0.Productos'!AW$1+1,0),"")</f>
        <v/>
      </c>
      <c r="F403" s="133" t="str">
        <f>IF($A403&lt;&gt;0,VLOOKUP($A403,'0.Productos'!$A$3:$GG$587,'0.Productos'!AX$1+1,0),"")</f>
        <v/>
      </c>
      <c r="G403" s="133" t="str">
        <f>IF($A403&lt;&gt;0,VLOOKUP($A403,'0.Productos'!$A$3:$GG$587,'0.Productos'!AY$1+1,0),"")</f>
        <v/>
      </c>
      <c r="H403" s="133" t="str">
        <f>IF($A403&lt;&gt;0,VLOOKUP($A403,'0.Productos'!$A$3:$GG$587,'0.Productos'!AZ$1+1,0),"")</f>
        <v/>
      </c>
      <c r="I403" s="133" t="str">
        <f>IF($A403&lt;&gt;0,VLOOKUP($A403,'0.Productos'!$A$3:$GG$587,'0.Productos'!BA$1+1,0),"")</f>
        <v/>
      </c>
      <c r="J403" s="133" t="str">
        <f>IF($A403&lt;&gt;0,VLOOKUP($A403,'0.Productos'!$A$3:$GG$587,'0.Productos'!BB$1+1,0),"")</f>
        <v/>
      </c>
      <c r="K403" s="133" t="str">
        <f>IF($A403&lt;&gt;0,VLOOKUP($A403,'0.Productos'!$A$3:$GG$587,'0.Productos'!BC$1+1,0),"")</f>
        <v/>
      </c>
      <c r="L403" s="133" t="str">
        <f>IF($A403&lt;&gt;0,VLOOKUP($A403,'0.Productos'!$A$3:$GG$587,'0.Productos'!BD$1+1,0),"")</f>
        <v/>
      </c>
      <c r="M403" s="133" t="str">
        <f>IF($A403&lt;&gt;0,VLOOKUP($A403,'0.Productos'!$A$3:$GG$587,'0.Productos'!BE$1+1,0),"")</f>
        <v/>
      </c>
      <c r="N403" s="133" t="str">
        <f>IF($A403&lt;&gt;0,VLOOKUP($A403,'0.Productos'!$A$3:$GG$587,'0.Productos'!BF$1+1,0),"")</f>
        <v/>
      </c>
      <c r="O403" s="133" t="str">
        <f>IF($A403&lt;&gt;0,VLOOKUP($A403,'0.Productos'!$A$3:$GG$587,'0.Productos'!BG$1+1,0),"")</f>
        <v/>
      </c>
      <c r="P403" s="133" t="str">
        <f>IF($A403&lt;&gt;0,VLOOKUP($A403,'0.Productos'!$A$3:$GG$587,'0.Productos'!BH$1+1,0),"")</f>
        <v/>
      </c>
      <c r="Q403" s="133" t="str">
        <f>IF($A403&lt;&gt;0,VLOOKUP($A403,'0.Productos'!$A$3:$GG$587,'0.Productos'!BI$1+1,0),"")</f>
        <v/>
      </c>
      <c r="R403" s="133" t="str">
        <f>IF($A403&lt;&gt;0,VLOOKUP($A403,'0.Productos'!$A$3:$GG$587,'0.Productos'!BJ$1+1,0),"")</f>
        <v/>
      </c>
      <c r="S403" s="133" t="str">
        <f>IF($A403&lt;&gt;0,VLOOKUP($A403,'0.Productos'!$A$3:$GG$587,'0.Productos'!BK$1+1,0),"")</f>
        <v/>
      </c>
      <c r="T403" s="133" t="str">
        <f>IF($A403&lt;&gt;0,VLOOKUP($A403,'0.Productos'!$A$3:$GG$587,'0.Productos'!BL$1+1,0),"")</f>
        <v/>
      </c>
      <c r="U403" s="133" t="str">
        <f>IF($A403&lt;&gt;0,VLOOKUP($A403,'0.Productos'!$A$3:$GG$587,'0.Productos'!BM$1+1,0),"")</f>
        <v/>
      </c>
      <c r="V403" s="133" t="str">
        <f>IF($A403&lt;&gt;0,VLOOKUP($A403,'0.Productos'!$A$3:$GG$587,'0.Productos'!BN$1+1,0),"")</f>
        <v/>
      </c>
      <c r="W403" s="133" t="str">
        <f>IF($A403&lt;&gt;0,VLOOKUP($A403,'0.Productos'!$A$3:$GG$587,'0.Productos'!BO$1+1,0),"")</f>
        <v/>
      </c>
      <c r="X403" s="133" t="str">
        <f>IF($A403&lt;&gt;0,VLOOKUP($A403,'0.Productos'!$A$3:$GG$587,'0.Productos'!BP$1+1,0),"")</f>
        <v/>
      </c>
      <c r="Y403" s="133" t="str">
        <f>IF($A403&lt;&gt;0,VLOOKUP($A403,'0.Productos'!$A$3:$GG$587,'0.Productos'!BQ$1+1,0),"")</f>
        <v/>
      </c>
      <c r="Z403" s="133" t="str">
        <f>IF($A403&lt;&gt;0,VLOOKUP($A403,'0.Productos'!$A$3:$GG$587,'0.Productos'!BR$1+1,0),"")</f>
        <v/>
      </c>
      <c r="AA403" s="133" t="str">
        <f>IF($A403&lt;&gt;0,VLOOKUP($A403,'0.Productos'!$A$3:$GG$587,'0.Productos'!BS$1+1,0),"")</f>
        <v/>
      </c>
      <c r="AB403" s="133" t="str">
        <f>IF($A403&lt;&gt;0,VLOOKUP($A403,'0.Productos'!$A$3:$GG$587,'0.Productos'!BT$1+1,0),"")</f>
        <v/>
      </c>
      <c r="AC403" s="133" t="str">
        <f>IF($A403&lt;&gt;0,VLOOKUP($A403,'0.Productos'!$A$3:$GG$587,'0.Productos'!BU$1+1,0),"")</f>
        <v/>
      </c>
      <c r="AD403" s="133" t="str">
        <f>IF($A403&lt;&gt;0,VLOOKUP($A403,'0.Productos'!$A$3:$GG$587,'0.Productos'!BV$1+1,0),"")</f>
        <v/>
      </c>
      <c r="AE403" s="133" t="str">
        <f>IF($A403&lt;&gt;0,VLOOKUP($A403,'0.Productos'!$A$3:$GG$587,'0.Productos'!BW$1+1,0),"")</f>
        <v/>
      </c>
      <c r="AF403" s="133" t="str">
        <f>IF($A403&lt;&gt;0,VLOOKUP($A403,'0.Productos'!$A$3:$GG$587,'0.Productos'!BX$1+1,0),"")</f>
        <v/>
      </c>
      <c r="AG403" s="133" t="str">
        <f>IF($A403&lt;&gt;0,VLOOKUP($A403,'0.Productos'!$A$3:$GG$587,'0.Productos'!BY$1+1,0),"")</f>
        <v/>
      </c>
      <c r="AH403" s="133" t="str">
        <f>IF($A403&lt;&gt;0,VLOOKUP($A403,'0.Productos'!$A$3:$GG$587,'0.Productos'!BZ$1+1,0),"")</f>
        <v/>
      </c>
      <c r="AI403" s="133" t="str">
        <f>IF($A403&lt;&gt;0,VLOOKUP($A403,'0.Productos'!$A$3:$GG$587,'0.Productos'!CA$1+1,0),"")</f>
        <v/>
      </c>
      <c r="AJ403" s="133" t="str">
        <f>IF($A403&lt;&gt;0,VLOOKUP($A403,'0.Productos'!$A$3:$GG$587,'0.Productos'!CB$1+1,0),"")</f>
        <v/>
      </c>
      <c r="AK403" s="133" t="str">
        <f>IF($A403&lt;&gt;0,VLOOKUP($A403,'0.Productos'!$A$3:$GG$587,'0.Productos'!CC$1+1,0),"")</f>
        <v/>
      </c>
      <c r="AL403" s="133" t="str">
        <f>IF($A403&lt;&gt;0,VLOOKUP($A403,'0.Productos'!$A$3:$GG$587,'0.Productos'!CD$1+1,0),"")</f>
        <v/>
      </c>
      <c r="AM403" s="133" t="str">
        <f>IF($A403&lt;&gt;0,VLOOKUP($A403,'0.Productos'!$A$3:$GG$587,'0.Productos'!CE$1+1,0),"")</f>
        <v/>
      </c>
      <c r="AN403" s="133" t="str">
        <f>IF($A403&lt;&gt;0,VLOOKUP($A403,'0.Productos'!$A$3:$GG$587,'0.Productos'!CF$1+1,0),"")</f>
        <v/>
      </c>
      <c r="AO403" s="133" t="str">
        <f>IF($A403&lt;&gt;0,VLOOKUP($A403,'0.Productos'!$A$3:$GG$587,'0.Productos'!CG$1+1,0),"")</f>
        <v/>
      </c>
      <c r="AP403" s="133" t="str">
        <f>IF($A403&lt;&gt;0,VLOOKUP($A403,'0.Productos'!$A$3:$GG$587,'0.Productos'!CH$1+1,0),"")</f>
        <v/>
      </c>
      <c r="AQ403" s="133" t="str">
        <f>IF($A403&lt;&gt;0,VLOOKUP($A403,'0.Productos'!$A$3:$GG$587,'0.Productos'!CI$1+1,0),"")</f>
        <v/>
      </c>
      <c r="AR403" s="133" t="str">
        <f>IF($A403&lt;&gt;0,VLOOKUP($A403,'0.Productos'!$A$3:$GG$587,'0.Productos'!CJ$1+1,0),"")</f>
        <v/>
      </c>
      <c r="AS403" s="133" t="str">
        <f>IF($A403&lt;&gt;0,VLOOKUP($A403,'0.Productos'!$A$3:$GG$587,'0.Productos'!CK$1+1,0),"")</f>
        <v/>
      </c>
      <c r="AT403" s="133" t="str">
        <f>IF($A403&lt;&gt;0,VLOOKUP($A403,'0.Productos'!$A$3:$GG$587,'0.Productos'!CL$1+1,0),"")</f>
        <v/>
      </c>
      <c r="AU403" s="133" t="str">
        <f>IF($A403&lt;&gt;0,VLOOKUP($A403,'0.Productos'!$A$3:$GG$587,'0.Productos'!CM$1+1,0),"")</f>
        <v/>
      </c>
      <c r="AV403" s="133" t="str">
        <f>IF($A403&lt;&gt;0,VLOOKUP($A403,'0.Productos'!$A$3:$GG$587,'0.Productos'!CN$1+1,0),"")</f>
        <v/>
      </c>
      <c r="AW403" s="133" t="str">
        <f>IF($A403&lt;&gt;0,VLOOKUP($A403,'0.Productos'!$A$3:$GG$587,'0.Productos'!CO$1+1,0),"")</f>
        <v/>
      </c>
      <c r="AX403" s="133" t="str">
        <f>IF($A403&lt;&gt;0,VLOOKUP($A403,'0.Productos'!$A$3:$GG$587,'0.Productos'!CP$1+1,0),"")</f>
        <v/>
      </c>
      <c r="AY403" s="133" t="str">
        <f>IF($A403&lt;&gt;0,VLOOKUP($A403,'0.Productos'!$A$3:$GG$587,'0.Productos'!CQ$1+1,0),"")</f>
        <v/>
      </c>
      <c r="AZ403" s="133" t="str">
        <f>IF($A403&lt;&gt;0,VLOOKUP($A403,'0.Productos'!$A$3:$GG$587,'0.Productos'!CR$1+1,0),"")</f>
        <v/>
      </c>
      <c r="BA403" s="133" t="str">
        <f>IF($A403&lt;&gt;0,VLOOKUP($A403,'0.Productos'!$A$3:$GG$587,'0.Productos'!CS$1+1,0),"")</f>
        <v/>
      </c>
      <c r="BB403" s="133" t="str">
        <f>IF($A403&lt;&gt;0,VLOOKUP($A403,'0.Productos'!$A$3:$GG$587,'0.Productos'!CT$1+1,0),"")</f>
        <v/>
      </c>
      <c r="BC403" s="133" t="str">
        <f>IF($A403&lt;&gt;0,VLOOKUP($A403,'0.Productos'!$A$3:$GG$587,'0.Productos'!CU$1+1,0),"")</f>
        <v/>
      </c>
      <c r="BD403" s="133" t="str">
        <f>IF($A403&lt;&gt;0,VLOOKUP($A403,'0.Productos'!$A$3:$GG$587,'0.Productos'!CV$1+1,0),"")</f>
        <v/>
      </c>
      <c r="BE403" s="133" t="str">
        <f>IF($A403&lt;&gt;0,VLOOKUP($A403,'0.Productos'!$A$3:$GG$587,'0.Productos'!CW$1+1,0),"")</f>
        <v/>
      </c>
      <c r="BF403" s="133" t="str">
        <f>IF($A403&lt;&gt;0,VLOOKUP($A403,'0.Productos'!$A$3:$GG$587,'0.Productos'!CX$1+1,0),"")</f>
        <v/>
      </c>
      <c r="BG403" s="133" t="str">
        <f>IF($A403&lt;&gt;0,VLOOKUP($A403,'0.Productos'!$A$3:$GG$587,'0.Productos'!CY$1+1,0),"")</f>
        <v/>
      </c>
      <c r="BH403" s="133" t="str">
        <f>IF($A403&lt;&gt;0,VLOOKUP($A403,'0.Productos'!$A$3:$GG$587,'0.Productos'!CZ$1+1,0),"")</f>
        <v/>
      </c>
      <c r="BI403" s="133" t="str">
        <f>IF($A403&lt;&gt;0,VLOOKUP($A403,'0.Productos'!$A$3:$GG$587,'0.Productos'!DA$1+1,0),"")</f>
        <v/>
      </c>
      <c r="BJ403" s="133" t="str">
        <f>IF($A403&lt;&gt;0,VLOOKUP($A403,'0.Productos'!$A$3:$GG$587,'0.Productos'!DB$1+1,0),"")</f>
        <v/>
      </c>
      <c r="BK403" s="133" t="str">
        <f>IF($A403&lt;&gt;0,VLOOKUP($A403,'0.Productos'!$A$3:$GG$587,'0.Productos'!DC$1+1,0),"")</f>
        <v/>
      </c>
      <c r="BL403" s="133" t="str">
        <f>IF($A403&lt;&gt;0,VLOOKUP($A403,'0.Productos'!$A$3:$GG$587,'0.Productos'!DD$1+1,0),"")</f>
        <v/>
      </c>
      <c r="BM403" s="133" t="str">
        <f>IF($A403&lt;&gt;0,VLOOKUP($A403,'0.Productos'!$A$3:$GG$587,'0.Productos'!DE$1+1,0),"")</f>
        <v/>
      </c>
      <c r="BN403" s="133" t="str">
        <f>IF($A403&lt;&gt;0,VLOOKUP($A403,'0.Productos'!$A$3:$GG$587,'0.Productos'!DF$1+1,0),"")</f>
        <v/>
      </c>
      <c r="BO403" s="133" t="str">
        <f>IF($A403&lt;&gt;0,VLOOKUP($A403,'0.Productos'!$A$3:$GG$587,'0.Productos'!DG$1+1,0),"")</f>
        <v/>
      </c>
      <c r="BP403" s="133" t="str">
        <f>IF($A403&lt;&gt;0,VLOOKUP($A403,'0.Productos'!$A$3:$GG$587,'0.Productos'!DH$1+1,0),"")</f>
        <v/>
      </c>
      <c r="BQ403" s="133" t="str">
        <f>IF($A403&lt;&gt;0,VLOOKUP($A403,'0.Productos'!$A$3:$GG$587,'0.Productos'!DI$1+1,0),"")</f>
        <v/>
      </c>
      <c r="BR403" s="133" t="str">
        <f>IF($A403&lt;&gt;0,VLOOKUP($A403,'0.Productos'!$A$3:$GG$587,'0.Productos'!DJ$1+1,0),"")</f>
        <v/>
      </c>
      <c r="BS403" s="133" t="str">
        <f>IF($A403&lt;&gt;0,VLOOKUP($A403,'0.Productos'!$A$3:$GG$587,'0.Productos'!DK$1+1,0),"")</f>
        <v/>
      </c>
      <c r="BT403" s="133" t="str">
        <f>IF($A403&lt;&gt;0,VLOOKUP($A403,'0.Productos'!$A$3:$GG$587,'0.Productos'!DL$1+1,0),"")</f>
        <v/>
      </c>
    </row>
    <row r="404" spans="1:72" x14ac:dyDescent="0.25">
      <c r="A404" s="17">
        <f>'0.Consolidado general'!A404</f>
        <v>0</v>
      </c>
      <c r="B404" s="133" t="str">
        <f>IF($A404&lt;&gt;0,VLOOKUP($A404,'0.Productos'!$A$3:$GG$587,'0.Productos'!AT$1+1,0),"")</f>
        <v/>
      </c>
      <c r="C404" s="133" t="str">
        <f>IF($A404&lt;&gt;0,VLOOKUP($A404,'0.Productos'!$A$3:$GG$587,'0.Productos'!AU$1+1,0),"")</f>
        <v/>
      </c>
      <c r="D404" s="133" t="str">
        <f>IF($A404&lt;&gt;0,VLOOKUP($A404,'0.Productos'!$A$3:$GG$587,'0.Productos'!AV$1+1,0),"")</f>
        <v/>
      </c>
      <c r="E404" s="133" t="str">
        <f>IF($A404&lt;&gt;0,VLOOKUP($A404,'0.Productos'!$A$3:$GG$587,'0.Productos'!AW$1+1,0),"")</f>
        <v/>
      </c>
      <c r="F404" s="133" t="str">
        <f>IF($A404&lt;&gt;0,VLOOKUP($A404,'0.Productos'!$A$3:$GG$587,'0.Productos'!AX$1+1,0),"")</f>
        <v/>
      </c>
      <c r="G404" s="133" t="str">
        <f>IF($A404&lt;&gt;0,VLOOKUP($A404,'0.Productos'!$A$3:$GG$587,'0.Productos'!AY$1+1,0),"")</f>
        <v/>
      </c>
      <c r="H404" s="133" t="str">
        <f>IF($A404&lt;&gt;0,VLOOKUP($A404,'0.Productos'!$A$3:$GG$587,'0.Productos'!AZ$1+1,0),"")</f>
        <v/>
      </c>
      <c r="I404" s="133" t="str">
        <f>IF($A404&lt;&gt;0,VLOOKUP($A404,'0.Productos'!$A$3:$GG$587,'0.Productos'!BA$1+1,0),"")</f>
        <v/>
      </c>
      <c r="J404" s="133" t="str">
        <f>IF($A404&lt;&gt;0,VLOOKUP($A404,'0.Productos'!$A$3:$GG$587,'0.Productos'!BB$1+1,0),"")</f>
        <v/>
      </c>
      <c r="K404" s="133" t="str">
        <f>IF($A404&lt;&gt;0,VLOOKUP($A404,'0.Productos'!$A$3:$GG$587,'0.Productos'!BC$1+1,0),"")</f>
        <v/>
      </c>
      <c r="L404" s="133" t="str">
        <f>IF($A404&lt;&gt;0,VLOOKUP($A404,'0.Productos'!$A$3:$GG$587,'0.Productos'!BD$1+1,0),"")</f>
        <v/>
      </c>
      <c r="M404" s="133" t="str">
        <f>IF($A404&lt;&gt;0,VLOOKUP($A404,'0.Productos'!$A$3:$GG$587,'0.Productos'!BE$1+1,0),"")</f>
        <v/>
      </c>
      <c r="N404" s="133" t="str">
        <f>IF($A404&lt;&gt;0,VLOOKUP($A404,'0.Productos'!$A$3:$GG$587,'0.Productos'!BF$1+1,0),"")</f>
        <v/>
      </c>
      <c r="O404" s="133" t="str">
        <f>IF($A404&lt;&gt;0,VLOOKUP($A404,'0.Productos'!$A$3:$GG$587,'0.Productos'!BG$1+1,0),"")</f>
        <v/>
      </c>
      <c r="P404" s="133" t="str">
        <f>IF($A404&lt;&gt;0,VLOOKUP($A404,'0.Productos'!$A$3:$GG$587,'0.Productos'!BH$1+1,0),"")</f>
        <v/>
      </c>
      <c r="Q404" s="133" t="str">
        <f>IF($A404&lt;&gt;0,VLOOKUP($A404,'0.Productos'!$A$3:$GG$587,'0.Productos'!BI$1+1,0),"")</f>
        <v/>
      </c>
      <c r="R404" s="133" t="str">
        <f>IF($A404&lt;&gt;0,VLOOKUP($A404,'0.Productos'!$A$3:$GG$587,'0.Productos'!BJ$1+1,0),"")</f>
        <v/>
      </c>
      <c r="S404" s="133" t="str">
        <f>IF($A404&lt;&gt;0,VLOOKUP($A404,'0.Productos'!$A$3:$GG$587,'0.Productos'!BK$1+1,0),"")</f>
        <v/>
      </c>
      <c r="T404" s="133" t="str">
        <f>IF($A404&lt;&gt;0,VLOOKUP($A404,'0.Productos'!$A$3:$GG$587,'0.Productos'!BL$1+1,0),"")</f>
        <v/>
      </c>
      <c r="U404" s="133" t="str">
        <f>IF($A404&lt;&gt;0,VLOOKUP($A404,'0.Productos'!$A$3:$GG$587,'0.Productos'!BM$1+1,0),"")</f>
        <v/>
      </c>
      <c r="V404" s="133" t="str">
        <f>IF($A404&lt;&gt;0,VLOOKUP($A404,'0.Productos'!$A$3:$GG$587,'0.Productos'!BN$1+1,0),"")</f>
        <v/>
      </c>
      <c r="W404" s="133" t="str">
        <f>IF($A404&lt;&gt;0,VLOOKUP($A404,'0.Productos'!$A$3:$GG$587,'0.Productos'!BO$1+1,0),"")</f>
        <v/>
      </c>
      <c r="X404" s="133" t="str">
        <f>IF($A404&lt;&gt;0,VLOOKUP($A404,'0.Productos'!$A$3:$GG$587,'0.Productos'!BP$1+1,0),"")</f>
        <v/>
      </c>
      <c r="Y404" s="133" t="str">
        <f>IF($A404&lt;&gt;0,VLOOKUP($A404,'0.Productos'!$A$3:$GG$587,'0.Productos'!BQ$1+1,0),"")</f>
        <v/>
      </c>
      <c r="Z404" s="133" t="str">
        <f>IF($A404&lt;&gt;0,VLOOKUP($A404,'0.Productos'!$A$3:$GG$587,'0.Productos'!BR$1+1,0),"")</f>
        <v/>
      </c>
      <c r="AA404" s="133" t="str">
        <f>IF($A404&lt;&gt;0,VLOOKUP($A404,'0.Productos'!$A$3:$GG$587,'0.Productos'!BS$1+1,0),"")</f>
        <v/>
      </c>
      <c r="AB404" s="133" t="str">
        <f>IF($A404&lt;&gt;0,VLOOKUP($A404,'0.Productos'!$A$3:$GG$587,'0.Productos'!BT$1+1,0),"")</f>
        <v/>
      </c>
      <c r="AC404" s="133" t="str">
        <f>IF($A404&lt;&gt;0,VLOOKUP($A404,'0.Productos'!$A$3:$GG$587,'0.Productos'!BU$1+1,0),"")</f>
        <v/>
      </c>
      <c r="AD404" s="133" t="str">
        <f>IF($A404&lt;&gt;0,VLOOKUP($A404,'0.Productos'!$A$3:$GG$587,'0.Productos'!BV$1+1,0),"")</f>
        <v/>
      </c>
      <c r="AE404" s="133" t="str">
        <f>IF($A404&lt;&gt;0,VLOOKUP($A404,'0.Productos'!$A$3:$GG$587,'0.Productos'!BW$1+1,0),"")</f>
        <v/>
      </c>
      <c r="AF404" s="133" t="str">
        <f>IF($A404&lt;&gt;0,VLOOKUP($A404,'0.Productos'!$A$3:$GG$587,'0.Productos'!BX$1+1,0),"")</f>
        <v/>
      </c>
      <c r="AG404" s="133" t="str">
        <f>IF($A404&lt;&gt;0,VLOOKUP($A404,'0.Productos'!$A$3:$GG$587,'0.Productos'!BY$1+1,0),"")</f>
        <v/>
      </c>
      <c r="AH404" s="133" t="str">
        <f>IF($A404&lt;&gt;0,VLOOKUP($A404,'0.Productos'!$A$3:$GG$587,'0.Productos'!BZ$1+1,0),"")</f>
        <v/>
      </c>
      <c r="AI404" s="133" t="str">
        <f>IF($A404&lt;&gt;0,VLOOKUP($A404,'0.Productos'!$A$3:$GG$587,'0.Productos'!CA$1+1,0),"")</f>
        <v/>
      </c>
      <c r="AJ404" s="133" t="str">
        <f>IF($A404&lt;&gt;0,VLOOKUP($A404,'0.Productos'!$A$3:$GG$587,'0.Productos'!CB$1+1,0),"")</f>
        <v/>
      </c>
      <c r="AK404" s="133" t="str">
        <f>IF($A404&lt;&gt;0,VLOOKUP($A404,'0.Productos'!$A$3:$GG$587,'0.Productos'!CC$1+1,0),"")</f>
        <v/>
      </c>
      <c r="AL404" s="133" t="str">
        <f>IF($A404&lt;&gt;0,VLOOKUP($A404,'0.Productos'!$A$3:$GG$587,'0.Productos'!CD$1+1,0),"")</f>
        <v/>
      </c>
      <c r="AM404" s="133" t="str">
        <f>IF($A404&lt;&gt;0,VLOOKUP($A404,'0.Productos'!$A$3:$GG$587,'0.Productos'!CE$1+1,0),"")</f>
        <v/>
      </c>
      <c r="AN404" s="133" t="str">
        <f>IF($A404&lt;&gt;0,VLOOKUP($A404,'0.Productos'!$A$3:$GG$587,'0.Productos'!CF$1+1,0),"")</f>
        <v/>
      </c>
      <c r="AO404" s="133" t="str">
        <f>IF($A404&lt;&gt;0,VLOOKUP($A404,'0.Productos'!$A$3:$GG$587,'0.Productos'!CG$1+1,0),"")</f>
        <v/>
      </c>
      <c r="AP404" s="133" t="str">
        <f>IF($A404&lt;&gt;0,VLOOKUP($A404,'0.Productos'!$A$3:$GG$587,'0.Productos'!CH$1+1,0),"")</f>
        <v/>
      </c>
      <c r="AQ404" s="133" t="str">
        <f>IF($A404&lt;&gt;0,VLOOKUP($A404,'0.Productos'!$A$3:$GG$587,'0.Productos'!CI$1+1,0),"")</f>
        <v/>
      </c>
      <c r="AR404" s="133" t="str">
        <f>IF($A404&lt;&gt;0,VLOOKUP($A404,'0.Productos'!$A$3:$GG$587,'0.Productos'!CJ$1+1,0),"")</f>
        <v/>
      </c>
      <c r="AS404" s="133" t="str">
        <f>IF($A404&lt;&gt;0,VLOOKUP($A404,'0.Productos'!$A$3:$GG$587,'0.Productos'!CK$1+1,0),"")</f>
        <v/>
      </c>
      <c r="AT404" s="133" t="str">
        <f>IF($A404&lt;&gt;0,VLOOKUP($A404,'0.Productos'!$A$3:$GG$587,'0.Productos'!CL$1+1,0),"")</f>
        <v/>
      </c>
      <c r="AU404" s="133" t="str">
        <f>IF($A404&lt;&gt;0,VLOOKUP($A404,'0.Productos'!$A$3:$GG$587,'0.Productos'!CM$1+1,0),"")</f>
        <v/>
      </c>
      <c r="AV404" s="133" t="str">
        <f>IF($A404&lt;&gt;0,VLOOKUP($A404,'0.Productos'!$A$3:$GG$587,'0.Productos'!CN$1+1,0),"")</f>
        <v/>
      </c>
      <c r="AW404" s="133" t="str">
        <f>IF($A404&lt;&gt;0,VLOOKUP($A404,'0.Productos'!$A$3:$GG$587,'0.Productos'!CO$1+1,0),"")</f>
        <v/>
      </c>
      <c r="AX404" s="133" t="str">
        <f>IF($A404&lt;&gt;0,VLOOKUP($A404,'0.Productos'!$A$3:$GG$587,'0.Productos'!CP$1+1,0),"")</f>
        <v/>
      </c>
      <c r="AY404" s="133" t="str">
        <f>IF($A404&lt;&gt;0,VLOOKUP($A404,'0.Productos'!$A$3:$GG$587,'0.Productos'!CQ$1+1,0),"")</f>
        <v/>
      </c>
      <c r="AZ404" s="133" t="str">
        <f>IF($A404&lt;&gt;0,VLOOKUP($A404,'0.Productos'!$A$3:$GG$587,'0.Productos'!CR$1+1,0),"")</f>
        <v/>
      </c>
      <c r="BA404" s="133" t="str">
        <f>IF($A404&lt;&gt;0,VLOOKUP($A404,'0.Productos'!$A$3:$GG$587,'0.Productos'!CS$1+1,0),"")</f>
        <v/>
      </c>
      <c r="BB404" s="133" t="str">
        <f>IF($A404&lt;&gt;0,VLOOKUP($A404,'0.Productos'!$A$3:$GG$587,'0.Productos'!CT$1+1,0),"")</f>
        <v/>
      </c>
      <c r="BC404" s="133" t="str">
        <f>IF($A404&lt;&gt;0,VLOOKUP($A404,'0.Productos'!$A$3:$GG$587,'0.Productos'!CU$1+1,0),"")</f>
        <v/>
      </c>
      <c r="BD404" s="133" t="str">
        <f>IF($A404&lt;&gt;0,VLOOKUP($A404,'0.Productos'!$A$3:$GG$587,'0.Productos'!CV$1+1,0),"")</f>
        <v/>
      </c>
      <c r="BE404" s="133" t="str">
        <f>IF($A404&lt;&gt;0,VLOOKUP($A404,'0.Productos'!$A$3:$GG$587,'0.Productos'!CW$1+1,0),"")</f>
        <v/>
      </c>
      <c r="BF404" s="133" t="str">
        <f>IF($A404&lt;&gt;0,VLOOKUP($A404,'0.Productos'!$A$3:$GG$587,'0.Productos'!CX$1+1,0),"")</f>
        <v/>
      </c>
      <c r="BG404" s="133" t="str">
        <f>IF($A404&lt;&gt;0,VLOOKUP($A404,'0.Productos'!$A$3:$GG$587,'0.Productos'!CY$1+1,0),"")</f>
        <v/>
      </c>
      <c r="BH404" s="133" t="str">
        <f>IF($A404&lt;&gt;0,VLOOKUP($A404,'0.Productos'!$A$3:$GG$587,'0.Productos'!CZ$1+1,0),"")</f>
        <v/>
      </c>
      <c r="BI404" s="133" t="str">
        <f>IF($A404&lt;&gt;0,VLOOKUP($A404,'0.Productos'!$A$3:$GG$587,'0.Productos'!DA$1+1,0),"")</f>
        <v/>
      </c>
      <c r="BJ404" s="133" t="str">
        <f>IF($A404&lt;&gt;0,VLOOKUP($A404,'0.Productos'!$A$3:$GG$587,'0.Productos'!DB$1+1,0),"")</f>
        <v/>
      </c>
      <c r="BK404" s="133" t="str">
        <f>IF($A404&lt;&gt;0,VLOOKUP($A404,'0.Productos'!$A$3:$GG$587,'0.Productos'!DC$1+1,0),"")</f>
        <v/>
      </c>
      <c r="BL404" s="133" t="str">
        <f>IF($A404&lt;&gt;0,VLOOKUP($A404,'0.Productos'!$A$3:$GG$587,'0.Productos'!DD$1+1,0),"")</f>
        <v/>
      </c>
      <c r="BM404" s="133" t="str">
        <f>IF($A404&lt;&gt;0,VLOOKUP($A404,'0.Productos'!$A$3:$GG$587,'0.Productos'!DE$1+1,0),"")</f>
        <v/>
      </c>
      <c r="BN404" s="133" t="str">
        <f>IF($A404&lt;&gt;0,VLOOKUP($A404,'0.Productos'!$A$3:$GG$587,'0.Productos'!DF$1+1,0),"")</f>
        <v/>
      </c>
      <c r="BO404" s="133" t="str">
        <f>IF($A404&lt;&gt;0,VLOOKUP($A404,'0.Productos'!$A$3:$GG$587,'0.Productos'!DG$1+1,0),"")</f>
        <v/>
      </c>
      <c r="BP404" s="133" t="str">
        <f>IF($A404&lt;&gt;0,VLOOKUP($A404,'0.Productos'!$A$3:$GG$587,'0.Productos'!DH$1+1,0),"")</f>
        <v/>
      </c>
      <c r="BQ404" s="133" t="str">
        <f>IF($A404&lt;&gt;0,VLOOKUP($A404,'0.Productos'!$A$3:$GG$587,'0.Productos'!DI$1+1,0),"")</f>
        <v/>
      </c>
      <c r="BR404" s="133" t="str">
        <f>IF($A404&lt;&gt;0,VLOOKUP($A404,'0.Productos'!$A$3:$GG$587,'0.Productos'!DJ$1+1,0),"")</f>
        <v/>
      </c>
      <c r="BS404" s="133" t="str">
        <f>IF($A404&lt;&gt;0,VLOOKUP($A404,'0.Productos'!$A$3:$GG$587,'0.Productos'!DK$1+1,0),"")</f>
        <v/>
      </c>
      <c r="BT404" s="133" t="str">
        <f>IF($A404&lt;&gt;0,VLOOKUP($A404,'0.Productos'!$A$3:$GG$587,'0.Productos'!DL$1+1,0),"")</f>
        <v/>
      </c>
    </row>
    <row r="405" spans="1:72" x14ac:dyDescent="0.25">
      <c r="A405" s="17">
        <f>'0.Consolidado general'!A405</f>
        <v>0</v>
      </c>
      <c r="B405" s="133" t="str">
        <f>IF($A405&lt;&gt;0,VLOOKUP($A405,'0.Productos'!$A$3:$GG$587,'0.Productos'!AT$1+1,0),"")</f>
        <v/>
      </c>
      <c r="C405" s="133" t="str">
        <f>IF($A405&lt;&gt;0,VLOOKUP($A405,'0.Productos'!$A$3:$GG$587,'0.Productos'!AU$1+1,0),"")</f>
        <v/>
      </c>
      <c r="D405" s="133" t="str">
        <f>IF($A405&lt;&gt;0,VLOOKUP($A405,'0.Productos'!$A$3:$GG$587,'0.Productos'!AV$1+1,0),"")</f>
        <v/>
      </c>
      <c r="E405" s="133" t="str">
        <f>IF($A405&lt;&gt;0,VLOOKUP($A405,'0.Productos'!$A$3:$GG$587,'0.Productos'!AW$1+1,0),"")</f>
        <v/>
      </c>
      <c r="F405" s="133" t="str">
        <f>IF($A405&lt;&gt;0,VLOOKUP($A405,'0.Productos'!$A$3:$GG$587,'0.Productos'!AX$1+1,0),"")</f>
        <v/>
      </c>
      <c r="G405" s="133" t="str">
        <f>IF($A405&lt;&gt;0,VLOOKUP($A405,'0.Productos'!$A$3:$GG$587,'0.Productos'!AY$1+1,0),"")</f>
        <v/>
      </c>
      <c r="H405" s="133" t="str">
        <f>IF($A405&lt;&gt;0,VLOOKUP($A405,'0.Productos'!$A$3:$GG$587,'0.Productos'!AZ$1+1,0),"")</f>
        <v/>
      </c>
      <c r="I405" s="133" t="str">
        <f>IF($A405&lt;&gt;0,VLOOKUP($A405,'0.Productos'!$A$3:$GG$587,'0.Productos'!BA$1+1,0),"")</f>
        <v/>
      </c>
      <c r="J405" s="133" t="str">
        <f>IF($A405&lt;&gt;0,VLOOKUP($A405,'0.Productos'!$A$3:$GG$587,'0.Productos'!BB$1+1,0),"")</f>
        <v/>
      </c>
      <c r="K405" s="133" t="str">
        <f>IF($A405&lt;&gt;0,VLOOKUP($A405,'0.Productos'!$A$3:$GG$587,'0.Productos'!BC$1+1,0),"")</f>
        <v/>
      </c>
      <c r="L405" s="133" t="str">
        <f>IF($A405&lt;&gt;0,VLOOKUP($A405,'0.Productos'!$A$3:$GG$587,'0.Productos'!BD$1+1,0),"")</f>
        <v/>
      </c>
      <c r="M405" s="133" t="str">
        <f>IF($A405&lt;&gt;0,VLOOKUP($A405,'0.Productos'!$A$3:$GG$587,'0.Productos'!BE$1+1,0),"")</f>
        <v/>
      </c>
      <c r="N405" s="133" t="str">
        <f>IF($A405&lt;&gt;0,VLOOKUP($A405,'0.Productos'!$A$3:$GG$587,'0.Productos'!BF$1+1,0),"")</f>
        <v/>
      </c>
      <c r="O405" s="133" t="str">
        <f>IF($A405&lt;&gt;0,VLOOKUP($A405,'0.Productos'!$A$3:$GG$587,'0.Productos'!BG$1+1,0),"")</f>
        <v/>
      </c>
      <c r="P405" s="133" t="str">
        <f>IF($A405&lt;&gt;0,VLOOKUP($A405,'0.Productos'!$A$3:$GG$587,'0.Productos'!BH$1+1,0),"")</f>
        <v/>
      </c>
      <c r="Q405" s="133" t="str">
        <f>IF($A405&lt;&gt;0,VLOOKUP($A405,'0.Productos'!$A$3:$GG$587,'0.Productos'!BI$1+1,0),"")</f>
        <v/>
      </c>
      <c r="R405" s="133" t="str">
        <f>IF($A405&lt;&gt;0,VLOOKUP($A405,'0.Productos'!$A$3:$GG$587,'0.Productos'!BJ$1+1,0),"")</f>
        <v/>
      </c>
      <c r="S405" s="133" t="str">
        <f>IF($A405&lt;&gt;0,VLOOKUP($A405,'0.Productos'!$A$3:$GG$587,'0.Productos'!BK$1+1,0),"")</f>
        <v/>
      </c>
      <c r="T405" s="133" t="str">
        <f>IF($A405&lt;&gt;0,VLOOKUP($A405,'0.Productos'!$A$3:$GG$587,'0.Productos'!BL$1+1,0),"")</f>
        <v/>
      </c>
      <c r="U405" s="133" t="str">
        <f>IF($A405&lt;&gt;0,VLOOKUP($A405,'0.Productos'!$A$3:$GG$587,'0.Productos'!BM$1+1,0),"")</f>
        <v/>
      </c>
      <c r="V405" s="133" t="str">
        <f>IF($A405&lt;&gt;0,VLOOKUP($A405,'0.Productos'!$A$3:$GG$587,'0.Productos'!BN$1+1,0),"")</f>
        <v/>
      </c>
      <c r="W405" s="133" t="str">
        <f>IF($A405&lt;&gt;0,VLOOKUP($A405,'0.Productos'!$A$3:$GG$587,'0.Productos'!BO$1+1,0),"")</f>
        <v/>
      </c>
      <c r="X405" s="133" t="str">
        <f>IF($A405&lt;&gt;0,VLOOKUP($A405,'0.Productos'!$A$3:$GG$587,'0.Productos'!BP$1+1,0),"")</f>
        <v/>
      </c>
      <c r="Y405" s="133" t="str">
        <f>IF($A405&lt;&gt;0,VLOOKUP($A405,'0.Productos'!$A$3:$GG$587,'0.Productos'!BQ$1+1,0),"")</f>
        <v/>
      </c>
      <c r="Z405" s="133" t="str">
        <f>IF($A405&lt;&gt;0,VLOOKUP($A405,'0.Productos'!$A$3:$GG$587,'0.Productos'!BR$1+1,0),"")</f>
        <v/>
      </c>
      <c r="AA405" s="133" t="str">
        <f>IF($A405&lt;&gt;0,VLOOKUP($A405,'0.Productos'!$A$3:$GG$587,'0.Productos'!BS$1+1,0),"")</f>
        <v/>
      </c>
      <c r="AB405" s="133" t="str">
        <f>IF($A405&lt;&gt;0,VLOOKUP($A405,'0.Productos'!$A$3:$GG$587,'0.Productos'!BT$1+1,0),"")</f>
        <v/>
      </c>
      <c r="AC405" s="133" t="str">
        <f>IF($A405&lt;&gt;0,VLOOKUP($A405,'0.Productos'!$A$3:$GG$587,'0.Productos'!BU$1+1,0),"")</f>
        <v/>
      </c>
      <c r="AD405" s="133" t="str">
        <f>IF($A405&lt;&gt;0,VLOOKUP($A405,'0.Productos'!$A$3:$GG$587,'0.Productos'!BV$1+1,0),"")</f>
        <v/>
      </c>
      <c r="AE405" s="133" t="str">
        <f>IF($A405&lt;&gt;0,VLOOKUP($A405,'0.Productos'!$A$3:$GG$587,'0.Productos'!BW$1+1,0),"")</f>
        <v/>
      </c>
      <c r="AF405" s="133" t="str">
        <f>IF($A405&lt;&gt;0,VLOOKUP($A405,'0.Productos'!$A$3:$GG$587,'0.Productos'!BX$1+1,0),"")</f>
        <v/>
      </c>
      <c r="AG405" s="133" t="str">
        <f>IF($A405&lt;&gt;0,VLOOKUP($A405,'0.Productos'!$A$3:$GG$587,'0.Productos'!BY$1+1,0),"")</f>
        <v/>
      </c>
      <c r="AH405" s="133" t="str">
        <f>IF($A405&lt;&gt;0,VLOOKUP($A405,'0.Productos'!$A$3:$GG$587,'0.Productos'!BZ$1+1,0),"")</f>
        <v/>
      </c>
      <c r="AI405" s="133" t="str">
        <f>IF($A405&lt;&gt;0,VLOOKUP($A405,'0.Productos'!$A$3:$GG$587,'0.Productos'!CA$1+1,0),"")</f>
        <v/>
      </c>
      <c r="AJ405" s="133" t="str">
        <f>IF($A405&lt;&gt;0,VLOOKUP($A405,'0.Productos'!$A$3:$GG$587,'0.Productos'!CB$1+1,0),"")</f>
        <v/>
      </c>
      <c r="AK405" s="133" t="str">
        <f>IF($A405&lt;&gt;0,VLOOKUP($A405,'0.Productos'!$A$3:$GG$587,'0.Productos'!CC$1+1,0),"")</f>
        <v/>
      </c>
      <c r="AL405" s="133" t="str">
        <f>IF($A405&lt;&gt;0,VLOOKUP($A405,'0.Productos'!$A$3:$GG$587,'0.Productos'!CD$1+1,0),"")</f>
        <v/>
      </c>
      <c r="AM405" s="133" t="str">
        <f>IF($A405&lt;&gt;0,VLOOKUP($A405,'0.Productos'!$A$3:$GG$587,'0.Productos'!CE$1+1,0),"")</f>
        <v/>
      </c>
      <c r="AN405" s="133" t="str">
        <f>IF($A405&lt;&gt;0,VLOOKUP($A405,'0.Productos'!$A$3:$GG$587,'0.Productos'!CF$1+1,0),"")</f>
        <v/>
      </c>
      <c r="AO405" s="133" t="str">
        <f>IF($A405&lt;&gt;0,VLOOKUP($A405,'0.Productos'!$A$3:$GG$587,'0.Productos'!CG$1+1,0),"")</f>
        <v/>
      </c>
      <c r="AP405" s="133" t="str">
        <f>IF($A405&lt;&gt;0,VLOOKUP($A405,'0.Productos'!$A$3:$GG$587,'0.Productos'!CH$1+1,0),"")</f>
        <v/>
      </c>
      <c r="AQ405" s="133" t="str">
        <f>IF($A405&lt;&gt;0,VLOOKUP($A405,'0.Productos'!$A$3:$GG$587,'0.Productos'!CI$1+1,0),"")</f>
        <v/>
      </c>
      <c r="AR405" s="133" t="str">
        <f>IF($A405&lt;&gt;0,VLOOKUP($A405,'0.Productos'!$A$3:$GG$587,'0.Productos'!CJ$1+1,0),"")</f>
        <v/>
      </c>
      <c r="AS405" s="133" t="str">
        <f>IF($A405&lt;&gt;0,VLOOKUP($A405,'0.Productos'!$A$3:$GG$587,'0.Productos'!CK$1+1,0),"")</f>
        <v/>
      </c>
      <c r="AT405" s="133" t="str">
        <f>IF($A405&lt;&gt;0,VLOOKUP($A405,'0.Productos'!$A$3:$GG$587,'0.Productos'!CL$1+1,0),"")</f>
        <v/>
      </c>
      <c r="AU405" s="133" t="str">
        <f>IF($A405&lt;&gt;0,VLOOKUP($A405,'0.Productos'!$A$3:$GG$587,'0.Productos'!CM$1+1,0),"")</f>
        <v/>
      </c>
      <c r="AV405" s="133" t="str">
        <f>IF($A405&lt;&gt;0,VLOOKUP($A405,'0.Productos'!$A$3:$GG$587,'0.Productos'!CN$1+1,0),"")</f>
        <v/>
      </c>
      <c r="AW405" s="133" t="str">
        <f>IF($A405&lt;&gt;0,VLOOKUP($A405,'0.Productos'!$A$3:$GG$587,'0.Productos'!CO$1+1,0),"")</f>
        <v/>
      </c>
      <c r="AX405" s="133" t="str">
        <f>IF($A405&lt;&gt;0,VLOOKUP($A405,'0.Productos'!$A$3:$GG$587,'0.Productos'!CP$1+1,0),"")</f>
        <v/>
      </c>
      <c r="AY405" s="133" t="str">
        <f>IF($A405&lt;&gt;0,VLOOKUP($A405,'0.Productos'!$A$3:$GG$587,'0.Productos'!CQ$1+1,0),"")</f>
        <v/>
      </c>
      <c r="AZ405" s="133" t="str">
        <f>IF($A405&lt;&gt;0,VLOOKUP($A405,'0.Productos'!$A$3:$GG$587,'0.Productos'!CR$1+1,0),"")</f>
        <v/>
      </c>
      <c r="BA405" s="133" t="str">
        <f>IF($A405&lt;&gt;0,VLOOKUP($A405,'0.Productos'!$A$3:$GG$587,'0.Productos'!CS$1+1,0),"")</f>
        <v/>
      </c>
      <c r="BB405" s="133" t="str">
        <f>IF($A405&lt;&gt;0,VLOOKUP($A405,'0.Productos'!$A$3:$GG$587,'0.Productos'!CT$1+1,0),"")</f>
        <v/>
      </c>
      <c r="BC405" s="133" t="str">
        <f>IF($A405&lt;&gt;0,VLOOKUP($A405,'0.Productos'!$A$3:$GG$587,'0.Productos'!CU$1+1,0),"")</f>
        <v/>
      </c>
      <c r="BD405" s="133" t="str">
        <f>IF($A405&lt;&gt;0,VLOOKUP($A405,'0.Productos'!$A$3:$GG$587,'0.Productos'!CV$1+1,0),"")</f>
        <v/>
      </c>
      <c r="BE405" s="133" t="str">
        <f>IF($A405&lt;&gt;0,VLOOKUP($A405,'0.Productos'!$A$3:$GG$587,'0.Productos'!CW$1+1,0),"")</f>
        <v/>
      </c>
      <c r="BF405" s="133" t="str">
        <f>IF($A405&lt;&gt;0,VLOOKUP($A405,'0.Productos'!$A$3:$GG$587,'0.Productos'!CX$1+1,0),"")</f>
        <v/>
      </c>
      <c r="BG405" s="133" t="str">
        <f>IF($A405&lt;&gt;0,VLOOKUP($A405,'0.Productos'!$A$3:$GG$587,'0.Productos'!CY$1+1,0),"")</f>
        <v/>
      </c>
      <c r="BH405" s="133" t="str">
        <f>IF($A405&lt;&gt;0,VLOOKUP($A405,'0.Productos'!$A$3:$GG$587,'0.Productos'!CZ$1+1,0),"")</f>
        <v/>
      </c>
      <c r="BI405" s="133" t="str">
        <f>IF($A405&lt;&gt;0,VLOOKUP($A405,'0.Productos'!$A$3:$GG$587,'0.Productos'!DA$1+1,0),"")</f>
        <v/>
      </c>
      <c r="BJ405" s="133" t="str">
        <f>IF($A405&lt;&gt;0,VLOOKUP($A405,'0.Productos'!$A$3:$GG$587,'0.Productos'!DB$1+1,0),"")</f>
        <v/>
      </c>
      <c r="BK405" s="133" t="str">
        <f>IF($A405&lt;&gt;0,VLOOKUP($A405,'0.Productos'!$A$3:$GG$587,'0.Productos'!DC$1+1,0),"")</f>
        <v/>
      </c>
      <c r="BL405" s="133" t="str">
        <f>IF($A405&lt;&gt;0,VLOOKUP($A405,'0.Productos'!$A$3:$GG$587,'0.Productos'!DD$1+1,0),"")</f>
        <v/>
      </c>
      <c r="BM405" s="133" t="str">
        <f>IF($A405&lt;&gt;0,VLOOKUP($A405,'0.Productos'!$A$3:$GG$587,'0.Productos'!DE$1+1,0),"")</f>
        <v/>
      </c>
      <c r="BN405" s="133" t="str">
        <f>IF($A405&lt;&gt;0,VLOOKUP($A405,'0.Productos'!$A$3:$GG$587,'0.Productos'!DF$1+1,0),"")</f>
        <v/>
      </c>
      <c r="BO405" s="133" t="str">
        <f>IF($A405&lt;&gt;0,VLOOKUP($A405,'0.Productos'!$A$3:$GG$587,'0.Productos'!DG$1+1,0),"")</f>
        <v/>
      </c>
      <c r="BP405" s="133" t="str">
        <f>IF($A405&lt;&gt;0,VLOOKUP($A405,'0.Productos'!$A$3:$GG$587,'0.Productos'!DH$1+1,0),"")</f>
        <v/>
      </c>
      <c r="BQ405" s="133" t="str">
        <f>IF($A405&lt;&gt;0,VLOOKUP($A405,'0.Productos'!$A$3:$GG$587,'0.Productos'!DI$1+1,0),"")</f>
        <v/>
      </c>
      <c r="BR405" s="133" t="str">
        <f>IF($A405&lt;&gt;0,VLOOKUP($A405,'0.Productos'!$A$3:$GG$587,'0.Productos'!DJ$1+1,0),"")</f>
        <v/>
      </c>
      <c r="BS405" s="133" t="str">
        <f>IF($A405&lt;&gt;0,VLOOKUP($A405,'0.Productos'!$A$3:$GG$587,'0.Productos'!DK$1+1,0),"")</f>
        <v/>
      </c>
      <c r="BT405" s="133" t="str">
        <f>IF($A405&lt;&gt;0,VLOOKUP($A405,'0.Productos'!$A$3:$GG$587,'0.Productos'!DL$1+1,0),"")</f>
        <v/>
      </c>
    </row>
    <row r="406" spans="1:72" x14ac:dyDescent="0.25">
      <c r="A406" s="17">
        <f>'0.Consolidado general'!A406</f>
        <v>0</v>
      </c>
      <c r="B406" s="133" t="str">
        <f>IF($A406&lt;&gt;0,VLOOKUP($A406,'0.Productos'!$A$3:$GG$587,'0.Productos'!AT$1+1,0),"")</f>
        <v/>
      </c>
      <c r="C406" s="133" t="str">
        <f>IF($A406&lt;&gt;0,VLOOKUP($A406,'0.Productos'!$A$3:$GG$587,'0.Productos'!AU$1+1,0),"")</f>
        <v/>
      </c>
      <c r="D406" s="133" t="str">
        <f>IF($A406&lt;&gt;0,VLOOKUP($A406,'0.Productos'!$A$3:$GG$587,'0.Productos'!AV$1+1,0),"")</f>
        <v/>
      </c>
      <c r="E406" s="133" t="str">
        <f>IF($A406&lt;&gt;0,VLOOKUP($A406,'0.Productos'!$A$3:$GG$587,'0.Productos'!AW$1+1,0),"")</f>
        <v/>
      </c>
      <c r="F406" s="133" t="str">
        <f>IF($A406&lt;&gt;0,VLOOKUP($A406,'0.Productos'!$A$3:$GG$587,'0.Productos'!AX$1+1,0),"")</f>
        <v/>
      </c>
      <c r="G406" s="133" t="str">
        <f>IF($A406&lt;&gt;0,VLOOKUP($A406,'0.Productos'!$A$3:$GG$587,'0.Productos'!AY$1+1,0),"")</f>
        <v/>
      </c>
      <c r="H406" s="133" t="str">
        <f>IF($A406&lt;&gt;0,VLOOKUP($A406,'0.Productos'!$A$3:$GG$587,'0.Productos'!AZ$1+1,0),"")</f>
        <v/>
      </c>
      <c r="I406" s="133" t="str">
        <f>IF($A406&lt;&gt;0,VLOOKUP($A406,'0.Productos'!$A$3:$GG$587,'0.Productos'!BA$1+1,0),"")</f>
        <v/>
      </c>
      <c r="J406" s="133" t="str">
        <f>IF($A406&lt;&gt;0,VLOOKUP($A406,'0.Productos'!$A$3:$GG$587,'0.Productos'!BB$1+1,0),"")</f>
        <v/>
      </c>
      <c r="K406" s="133" t="str">
        <f>IF($A406&lt;&gt;0,VLOOKUP($A406,'0.Productos'!$A$3:$GG$587,'0.Productos'!BC$1+1,0),"")</f>
        <v/>
      </c>
      <c r="L406" s="133" t="str">
        <f>IF($A406&lt;&gt;0,VLOOKUP($A406,'0.Productos'!$A$3:$GG$587,'0.Productos'!BD$1+1,0),"")</f>
        <v/>
      </c>
      <c r="M406" s="133" t="str">
        <f>IF($A406&lt;&gt;0,VLOOKUP($A406,'0.Productos'!$A$3:$GG$587,'0.Productos'!BE$1+1,0),"")</f>
        <v/>
      </c>
      <c r="N406" s="133" t="str">
        <f>IF($A406&lt;&gt;0,VLOOKUP($A406,'0.Productos'!$A$3:$GG$587,'0.Productos'!BF$1+1,0),"")</f>
        <v/>
      </c>
      <c r="O406" s="133" t="str">
        <f>IF($A406&lt;&gt;0,VLOOKUP($A406,'0.Productos'!$A$3:$GG$587,'0.Productos'!BG$1+1,0),"")</f>
        <v/>
      </c>
      <c r="P406" s="133" t="str">
        <f>IF($A406&lt;&gt;0,VLOOKUP($A406,'0.Productos'!$A$3:$GG$587,'0.Productos'!BH$1+1,0),"")</f>
        <v/>
      </c>
      <c r="Q406" s="133" t="str">
        <f>IF($A406&lt;&gt;0,VLOOKUP($A406,'0.Productos'!$A$3:$GG$587,'0.Productos'!BI$1+1,0),"")</f>
        <v/>
      </c>
      <c r="R406" s="133" t="str">
        <f>IF($A406&lt;&gt;0,VLOOKUP($A406,'0.Productos'!$A$3:$GG$587,'0.Productos'!BJ$1+1,0),"")</f>
        <v/>
      </c>
      <c r="S406" s="133" t="str">
        <f>IF($A406&lt;&gt;0,VLOOKUP($A406,'0.Productos'!$A$3:$GG$587,'0.Productos'!BK$1+1,0),"")</f>
        <v/>
      </c>
      <c r="T406" s="133" t="str">
        <f>IF($A406&lt;&gt;0,VLOOKUP($A406,'0.Productos'!$A$3:$GG$587,'0.Productos'!BL$1+1,0),"")</f>
        <v/>
      </c>
      <c r="U406" s="133" t="str">
        <f>IF($A406&lt;&gt;0,VLOOKUP($A406,'0.Productos'!$A$3:$GG$587,'0.Productos'!BM$1+1,0),"")</f>
        <v/>
      </c>
      <c r="V406" s="133" t="str">
        <f>IF($A406&lt;&gt;0,VLOOKUP($A406,'0.Productos'!$A$3:$GG$587,'0.Productos'!BN$1+1,0),"")</f>
        <v/>
      </c>
      <c r="W406" s="133" t="str">
        <f>IF($A406&lt;&gt;0,VLOOKUP($A406,'0.Productos'!$A$3:$GG$587,'0.Productos'!BO$1+1,0),"")</f>
        <v/>
      </c>
      <c r="X406" s="133" t="str">
        <f>IF($A406&lt;&gt;0,VLOOKUP($A406,'0.Productos'!$A$3:$GG$587,'0.Productos'!BP$1+1,0),"")</f>
        <v/>
      </c>
      <c r="Y406" s="133" t="str">
        <f>IF($A406&lt;&gt;0,VLOOKUP($A406,'0.Productos'!$A$3:$GG$587,'0.Productos'!BQ$1+1,0),"")</f>
        <v/>
      </c>
      <c r="Z406" s="133" t="str">
        <f>IF($A406&lt;&gt;0,VLOOKUP($A406,'0.Productos'!$A$3:$GG$587,'0.Productos'!BR$1+1,0),"")</f>
        <v/>
      </c>
      <c r="AA406" s="133" t="str">
        <f>IF($A406&lt;&gt;0,VLOOKUP($A406,'0.Productos'!$A$3:$GG$587,'0.Productos'!BS$1+1,0),"")</f>
        <v/>
      </c>
      <c r="AB406" s="133" t="str">
        <f>IF($A406&lt;&gt;0,VLOOKUP($A406,'0.Productos'!$A$3:$GG$587,'0.Productos'!BT$1+1,0),"")</f>
        <v/>
      </c>
      <c r="AC406" s="133" t="str">
        <f>IF($A406&lt;&gt;0,VLOOKUP($A406,'0.Productos'!$A$3:$GG$587,'0.Productos'!BU$1+1,0),"")</f>
        <v/>
      </c>
      <c r="AD406" s="133" t="str">
        <f>IF($A406&lt;&gt;0,VLOOKUP($A406,'0.Productos'!$A$3:$GG$587,'0.Productos'!BV$1+1,0),"")</f>
        <v/>
      </c>
      <c r="AE406" s="133" t="str">
        <f>IF($A406&lt;&gt;0,VLOOKUP($A406,'0.Productos'!$A$3:$GG$587,'0.Productos'!BW$1+1,0),"")</f>
        <v/>
      </c>
      <c r="AF406" s="133" t="str">
        <f>IF($A406&lt;&gt;0,VLOOKUP($A406,'0.Productos'!$A$3:$GG$587,'0.Productos'!BX$1+1,0),"")</f>
        <v/>
      </c>
      <c r="AG406" s="133" t="str">
        <f>IF($A406&lt;&gt;0,VLOOKUP($A406,'0.Productos'!$A$3:$GG$587,'0.Productos'!BY$1+1,0),"")</f>
        <v/>
      </c>
      <c r="AH406" s="133" t="str">
        <f>IF($A406&lt;&gt;0,VLOOKUP($A406,'0.Productos'!$A$3:$GG$587,'0.Productos'!BZ$1+1,0),"")</f>
        <v/>
      </c>
      <c r="AI406" s="133" t="str">
        <f>IF($A406&lt;&gt;0,VLOOKUP($A406,'0.Productos'!$A$3:$GG$587,'0.Productos'!CA$1+1,0),"")</f>
        <v/>
      </c>
      <c r="AJ406" s="133" t="str">
        <f>IF($A406&lt;&gt;0,VLOOKUP($A406,'0.Productos'!$A$3:$GG$587,'0.Productos'!CB$1+1,0),"")</f>
        <v/>
      </c>
      <c r="AK406" s="133" t="str">
        <f>IF($A406&lt;&gt;0,VLOOKUP($A406,'0.Productos'!$A$3:$GG$587,'0.Productos'!CC$1+1,0),"")</f>
        <v/>
      </c>
      <c r="AL406" s="133" t="str">
        <f>IF($A406&lt;&gt;0,VLOOKUP($A406,'0.Productos'!$A$3:$GG$587,'0.Productos'!CD$1+1,0),"")</f>
        <v/>
      </c>
      <c r="AM406" s="133" t="str">
        <f>IF($A406&lt;&gt;0,VLOOKUP($A406,'0.Productos'!$A$3:$GG$587,'0.Productos'!CE$1+1,0),"")</f>
        <v/>
      </c>
      <c r="AN406" s="133" t="str">
        <f>IF($A406&lt;&gt;0,VLOOKUP($A406,'0.Productos'!$A$3:$GG$587,'0.Productos'!CF$1+1,0),"")</f>
        <v/>
      </c>
      <c r="AO406" s="133" t="str">
        <f>IF($A406&lt;&gt;0,VLOOKUP($A406,'0.Productos'!$A$3:$GG$587,'0.Productos'!CG$1+1,0),"")</f>
        <v/>
      </c>
      <c r="AP406" s="133" t="str">
        <f>IF($A406&lt;&gt;0,VLOOKUP($A406,'0.Productos'!$A$3:$GG$587,'0.Productos'!CH$1+1,0),"")</f>
        <v/>
      </c>
      <c r="AQ406" s="133" t="str">
        <f>IF($A406&lt;&gt;0,VLOOKUP($A406,'0.Productos'!$A$3:$GG$587,'0.Productos'!CI$1+1,0),"")</f>
        <v/>
      </c>
      <c r="AR406" s="133" t="str">
        <f>IF($A406&lt;&gt;0,VLOOKUP($A406,'0.Productos'!$A$3:$GG$587,'0.Productos'!CJ$1+1,0),"")</f>
        <v/>
      </c>
      <c r="AS406" s="133" t="str">
        <f>IF($A406&lt;&gt;0,VLOOKUP($A406,'0.Productos'!$A$3:$GG$587,'0.Productos'!CK$1+1,0),"")</f>
        <v/>
      </c>
      <c r="AT406" s="133" t="str">
        <f>IF($A406&lt;&gt;0,VLOOKUP($A406,'0.Productos'!$A$3:$GG$587,'0.Productos'!CL$1+1,0),"")</f>
        <v/>
      </c>
      <c r="AU406" s="133" t="str">
        <f>IF($A406&lt;&gt;0,VLOOKUP($A406,'0.Productos'!$A$3:$GG$587,'0.Productos'!CM$1+1,0),"")</f>
        <v/>
      </c>
      <c r="AV406" s="133" t="str">
        <f>IF($A406&lt;&gt;0,VLOOKUP($A406,'0.Productos'!$A$3:$GG$587,'0.Productos'!CN$1+1,0),"")</f>
        <v/>
      </c>
      <c r="AW406" s="133" t="str">
        <f>IF($A406&lt;&gt;0,VLOOKUP($A406,'0.Productos'!$A$3:$GG$587,'0.Productos'!CO$1+1,0),"")</f>
        <v/>
      </c>
      <c r="AX406" s="133" t="str">
        <f>IF($A406&lt;&gt;0,VLOOKUP($A406,'0.Productos'!$A$3:$GG$587,'0.Productos'!CP$1+1,0),"")</f>
        <v/>
      </c>
      <c r="AY406" s="133" t="str">
        <f>IF($A406&lt;&gt;0,VLOOKUP($A406,'0.Productos'!$A$3:$GG$587,'0.Productos'!CQ$1+1,0),"")</f>
        <v/>
      </c>
      <c r="AZ406" s="133" t="str">
        <f>IF($A406&lt;&gt;0,VLOOKUP($A406,'0.Productos'!$A$3:$GG$587,'0.Productos'!CR$1+1,0),"")</f>
        <v/>
      </c>
      <c r="BA406" s="133" t="str">
        <f>IF($A406&lt;&gt;0,VLOOKUP($A406,'0.Productos'!$A$3:$GG$587,'0.Productos'!CS$1+1,0),"")</f>
        <v/>
      </c>
      <c r="BB406" s="133" t="str">
        <f>IF($A406&lt;&gt;0,VLOOKUP($A406,'0.Productos'!$A$3:$GG$587,'0.Productos'!CT$1+1,0),"")</f>
        <v/>
      </c>
      <c r="BC406" s="133" t="str">
        <f>IF($A406&lt;&gt;0,VLOOKUP($A406,'0.Productos'!$A$3:$GG$587,'0.Productos'!CU$1+1,0),"")</f>
        <v/>
      </c>
      <c r="BD406" s="133" t="str">
        <f>IF($A406&lt;&gt;0,VLOOKUP($A406,'0.Productos'!$A$3:$GG$587,'0.Productos'!CV$1+1,0),"")</f>
        <v/>
      </c>
      <c r="BE406" s="133" t="str">
        <f>IF($A406&lt;&gt;0,VLOOKUP($A406,'0.Productos'!$A$3:$GG$587,'0.Productos'!CW$1+1,0),"")</f>
        <v/>
      </c>
      <c r="BF406" s="133" t="str">
        <f>IF($A406&lt;&gt;0,VLOOKUP($A406,'0.Productos'!$A$3:$GG$587,'0.Productos'!CX$1+1,0),"")</f>
        <v/>
      </c>
      <c r="BG406" s="133" t="str">
        <f>IF($A406&lt;&gt;0,VLOOKUP($A406,'0.Productos'!$A$3:$GG$587,'0.Productos'!CY$1+1,0),"")</f>
        <v/>
      </c>
      <c r="BH406" s="133" t="str">
        <f>IF($A406&lt;&gt;0,VLOOKUP($A406,'0.Productos'!$A$3:$GG$587,'0.Productos'!CZ$1+1,0),"")</f>
        <v/>
      </c>
      <c r="BI406" s="133" t="str">
        <f>IF($A406&lt;&gt;0,VLOOKUP($A406,'0.Productos'!$A$3:$GG$587,'0.Productos'!DA$1+1,0),"")</f>
        <v/>
      </c>
      <c r="BJ406" s="133" t="str">
        <f>IF($A406&lt;&gt;0,VLOOKUP($A406,'0.Productos'!$A$3:$GG$587,'0.Productos'!DB$1+1,0),"")</f>
        <v/>
      </c>
      <c r="BK406" s="133" t="str">
        <f>IF($A406&lt;&gt;0,VLOOKUP($A406,'0.Productos'!$A$3:$GG$587,'0.Productos'!DC$1+1,0),"")</f>
        <v/>
      </c>
      <c r="BL406" s="133" t="str">
        <f>IF($A406&lt;&gt;0,VLOOKUP($A406,'0.Productos'!$A$3:$GG$587,'0.Productos'!DD$1+1,0),"")</f>
        <v/>
      </c>
      <c r="BM406" s="133" t="str">
        <f>IF($A406&lt;&gt;0,VLOOKUP($A406,'0.Productos'!$A$3:$GG$587,'0.Productos'!DE$1+1,0),"")</f>
        <v/>
      </c>
      <c r="BN406" s="133" t="str">
        <f>IF($A406&lt;&gt;0,VLOOKUP($A406,'0.Productos'!$A$3:$GG$587,'0.Productos'!DF$1+1,0),"")</f>
        <v/>
      </c>
      <c r="BO406" s="133" t="str">
        <f>IF($A406&lt;&gt;0,VLOOKUP($A406,'0.Productos'!$A$3:$GG$587,'0.Productos'!DG$1+1,0),"")</f>
        <v/>
      </c>
      <c r="BP406" s="133" t="str">
        <f>IF($A406&lt;&gt;0,VLOOKUP($A406,'0.Productos'!$A$3:$GG$587,'0.Productos'!DH$1+1,0),"")</f>
        <v/>
      </c>
      <c r="BQ406" s="133" t="str">
        <f>IF($A406&lt;&gt;0,VLOOKUP($A406,'0.Productos'!$A$3:$GG$587,'0.Productos'!DI$1+1,0),"")</f>
        <v/>
      </c>
      <c r="BR406" s="133" t="str">
        <f>IF($A406&lt;&gt;0,VLOOKUP($A406,'0.Productos'!$A$3:$GG$587,'0.Productos'!DJ$1+1,0),"")</f>
        <v/>
      </c>
      <c r="BS406" s="133" t="str">
        <f>IF($A406&lt;&gt;0,VLOOKUP($A406,'0.Productos'!$A$3:$GG$587,'0.Productos'!DK$1+1,0),"")</f>
        <v/>
      </c>
      <c r="BT406" s="133" t="str">
        <f>IF($A406&lt;&gt;0,VLOOKUP($A406,'0.Productos'!$A$3:$GG$587,'0.Productos'!DL$1+1,0),"")</f>
        <v/>
      </c>
    </row>
    <row r="407" spans="1:72" x14ac:dyDescent="0.25">
      <c r="A407" s="17">
        <f>'0.Consolidado general'!A407</f>
        <v>0</v>
      </c>
      <c r="B407" s="133" t="str">
        <f>IF($A407&lt;&gt;0,VLOOKUP($A407,'0.Productos'!$A$3:$GG$587,'0.Productos'!AT$1+1,0),"")</f>
        <v/>
      </c>
      <c r="C407" s="133" t="str">
        <f>IF($A407&lt;&gt;0,VLOOKUP($A407,'0.Productos'!$A$3:$GG$587,'0.Productos'!AU$1+1,0),"")</f>
        <v/>
      </c>
      <c r="D407" s="133" t="str">
        <f>IF($A407&lt;&gt;0,VLOOKUP($A407,'0.Productos'!$A$3:$GG$587,'0.Productos'!AV$1+1,0),"")</f>
        <v/>
      </c>
      <c r="E407" s="133" t="str">
        <f>IF($A407&lt;&gt;0,VLOOKUP($A407,'0.Productos'!$A$3:$GG$587,'0.Productos'!AW$1+1,0),"")</f>
        <v/>
      </c>
      <c r="F407" s="133" t="str">
        <f>IF($A407&lt;&gt;0,VLOOKUP($A407,'0.Productos'!$A$3:$GG$587,'0.Productos'!AX$1+1,0),"")</f>
        <v/>
      </c>
      <c r="G407" s="133" t="str">
        <f>IF($A407&lt;&gt;0,VLOOKUP($A407,'0.Productos'!$A$3:$GG$587,'0.Productos'!AY$1+1,0),"")</f>
        <v/>
      </c>
      <c r="H407" s="133" t="str">
        <f>IF($A407&lt;&gt;0,VLOOKUP($A407,'0.Productos'!$A$3:$GG$587,'0.Productos'!AZ$1+1,0),"")</f>
        <v/>
      </c>
      <c r="I407" s="133" t="str">
        <f>IF($A407&lt;&gt;0,VLOOKUP($A407,'0.Productos'!$A$3:$GG$587,'0.Productos'!BA$1+1,0),"")</f>
        <v/>
      </c>
      <c r="J407" s="133" t="str">
        <f>IF($A407&lt;&gt;0,VLOOKUP($A407,'0.Productos'!$A$3:$GG$587,'0.Productos'!BB$1+1,0),"")</f>
        <v/>
      </c>
      <c r="K407" s="133" t="str">
        <f>IF($A407&lt;&gt;0,VLOOKUP($A407,'0.Productos'!$A$3:$GG$587,'0.Productos'!BC$1+1,0),"")</f>
        <v/>
      </c>
      <c r="L407" s="133" t="str">
        <f>IF($A407&lt;&gt;0,VLOOKUP($A407,'0.Productos'!$A$3:$GG$587,'0.Productos'!BD$1+1,0),"")</f>
        <v/>
      </c>
      <c r="M407" s="133" t="str">
        <f>IF($A407&lt;&gt;0,VLOOKUP($A407,'0.Productos'!$A$3:$GG$587,'0.Productos'!BE$1+1,0),"")</f>
        <v/>
      </c>
      <c r="N407" s="133" t="str">
        <f>IF($A407&lt;&gt;0,VLOOKUP($A407,'0.Productos'!$A$3:$GG$587,'0.Productos'!BF$1+1,0),"")</f>
        <v/>
      </c>
      <c r="O407" s="133" t="str">
        <f>IF($A407&lt;&gt;0,VLOOKUP($A407,'0.Productos'!$A$3:$GG$587,'0.Productos'!BG$1+1,0),"")</f>
        <v/>
      </c>
      <c r="P407" s="133" t="str">
        <f>IF($A407&lt;&gt;0,VLOOKUP($A407,'0.Productos'!$A$3:$GG$587,'0.Productos'!BH$1+1,0),"")</f>
        <v/>
      </c>
      <c r="Q407" s="133" t="str">
        <f>IF($A407&lt;&gt;0,VLOOKUP($A407,'0.Productos'!$A$3:$GG$587,'0.Productos'!BI$1+1,0),"")</f>
        <v/>
      </c>
      <c r="R407" s="133" t="str">
        <f>IF($A407&lt;&gt;0,VLOOKUP($A407,'0.Productos'!$A$3:$GG$587,'0.Productos'!BJ$1+1,0),"")</f>
        <v/>
      </c>
      <c r="S407" s="133" t="str">
        <f>IF($A407&lt;&gt;0,VLOOKUP($A407,'0.Productos'!$A$3:$GG$587,'0.Productos'!BK$1+1,0),"")</f>
        <v/>
      </c>
      <c r="T407" s="133" t="str">
        <f>IF($A407&lt;&gt;0,VLOOKUP($A407,'0.Productos'!$A$3:$GG$587,'0.Productos'!BL$1+1,0),"")</f>
        <v/>
      </c>
      <c r="U407" s="133" t="str">
        <f>IF($A407&lt;&gt;0,VLOOKUP($A407,'0.Productos'!$A$3:$GG$587,'0.Productos'!BM$1+1,0),"")</f>
        <v/>
      </c>
      <c r="V407" s="133" t="str">
        <f>IF($A407&lt;&gt;0,VLOOKUP($A407,'0.Productos'!$A$3:$GG$587,'0.Productos'!BN$1+1,0),"")</f>
        <v/>
      </c>
      <c r="W407" s="133" t="str">
        <f>IF($A407&lt;&gt;0,VLOOKUP($A407,'0.Productos'!$A$3:$GG$587,'0.Productos'!BO$1+1,0),"")</f>
        <v/>
      </c>
      <c r="X407" s="133" t="str">
        <f>IF($A407&lt;&gt;0,VLOOKUP($A407,'0.Productos'!$A$3:$GG$587,'0.Productos'!BP$1+1,0),"")</f>
        <v/>
      </c>
      <c r="Y407" s="133" t="str">
        <f>IF($A407&lt;&gt;0,VLOOKUP($A407,'0.Productos'!$A$3:$GG$587,'0.Productos'!BQ$1+1,0),"")</f>
        <v/>
      </c>
      <c r="Z407" s="133" t="str">
        <f>IF($A407&lt;&gt;0,VLOOKUP($A407,'0.Productos'!$A$3:$GG$587,'0.Productos'!BR$1+1,0),"")</f>
        <v/>
      </c>
      <c r="AA407" s="133" t="str">
        <f>IF($A407&lt;&gt;0,VLOOKUP($A407,'0.Productos'!$A$3:$GG$587,'0.Productos'!BS$1+1,0),"")</f>
        <v/>
      </c>
      <c r="AB407" s="133" t="str">
        <f>IF($A407&lt;&gt;0,VLOOKUP($A407,'0.Productos'!$A$3:$GG$587,'0.Productos'!BT$1+1,0),"")</f>
        <v/>
      </c>
      <c r="AC407" s="133" t="str">
        <f>IF($A407&lt;&gt;0,VLOOKUP($A407,'0.Productos'!$A$3:$GG$587,'0.Productos'!BU$1+1,0),"")</f>
        <v/>
      </c>
      <c r="AD407" s="133" t="str">
        <f>IF($A407&lt;&gt;0,VLOOKUP($A407,'0.Productos'!$A$3:$GG$587,'0.Productos'!BV$1+1,0),"")</f>
        <v/>
      </c>
      <c r="AE407" s="133" t="str">
        <f>IF($A407&lt;&gt;0,VLOOKUP($A407,'0.Productos'!$A$3:$GG$587,'0.Productos'!BW$1+1,0),"")</f>
        <v/>
      </c>
      <c r="AF407" s="133" t="str">
        <f>IF($A407&lt;&gt;0,VLOOKUP($A407,'0.Productos'!$A$3:$GG$587,'0.Productos'!BX$1+1,0),"")</f>
        <v/>
      </c>
      <c r="AG407" s="133" t="str">
        <f>IF($A407&lt;&gt;0,VLOOKUP($A407,'0.Productos'!$A$3:$GG$587,'0.Productos'!BY$1+1,0),"")</f>
        <v/>
      </c>
      <c r="AH407" s="133" t="str">
        <f>IF($A407&lt;&gt;0,VLOOKUP($A407,'0.Productos'!$A$3:$GG$587,'0.Productos'!BZ$1+1,0),"")</f>
        <v/>
      </c>
      <c r="AI407" s="133" t="str">
        <f>IF($A407&lt;&gt;0,VLOOKUP($A407,'0.Productos'!$A$3:$GG$587,'0.Productos'!CA$1+1,0),"")</f>
        <v/>
      </c>
      <c r="AJ407" s="133" t="str">
        <f>IF($A407&lt;&gt;0,VLOOKUP($A407,'0.Productos'!$A$3:$GG$587,'0.Productos'!CB$1+1,0),"")</f>
        <v/>
      </c>
      <c r="AK407" s="133" t="str">
        <f>IF($A407&lt;&gt;0,VLOOKUP($A407,'0.Productos'!$A$3:$GG$587,'0.Productos'!CC$1+1,0),"")</f>
        <v/>
      </c>
      <c r="AL407" s="133" t="str">
        <f>IF($A407&lt;&gt;0,VLOOKUP($A407,'0.Productos'!$A$3:$GG$587,'0.Productos'!CD$1+1,0),"")</f>
        <v/>
      </c>
      <c r="AM407" s="133" t="str">
        <f>IF($A407&lt;&gt;0,VLOOKUP($A407,'0.Productos'!$A$3:$GG$587,'0.Productos'!CE$1+1,0),"")</f>
        <v/>
      </c>
      <c r="AN407" s="133" t="str">
        <f>IF($A407&lt;&gt;0,VLOOKUP($A407,'0.Productos'!$A$3:$GG$587,'0.Productos'!CF$1+1,0),"")</f>
        <v/>
      </c>
      <c r="AO407" s="133" t="str">
        <f>IF($A407&lt;&gt;0,VLOOKUP($A407,'0.Productos'!$A$3:$GG$587,'0.Productos'!CG$1+1,0),"")</f>
        <v/>
      </c>
      <c r="AP407" s="133" t="str">
        <f>IF($A407&lt;&gt;0,VLOOKUP($A407,'0.Productos'!$A$3:$GG$587,'0.Productos'!CH$1+1,0),"")</f>
        <v/>
      </c>
      <c r="AQ407" s="133" t="str">
        <f>IF($A407&lt;&gt;0,VLOOKUP($A407,'0.Productos'!$A$3:$GG$587,'0.Productos'!CI$1+1,0),"")</f>
        <v/>
      </c>
      <c r="AR407" s="133" t="str">
        <f>IF($A407&lt;&gt;0,VLOOKUP($A407,'0.Productos'!$A$3:$GG$587,'0.Productos'!CJ$1+1,0),"")</f>
        <v/>
      </c>
      <c r="AS407" s="133" t="str">
        <f>IF($A407&lt;&gt;0,VLOOKUP($A407,'0.Productos'!$A$3:$GG$587,'0.Productos'!CK$1+1,0),"")</f>
        <v/>
      </c>
      <c r="AT407" s="133" t="str">
        <f>IF($A407&lt;&gt;0,VLOOKUP($A407,'0.Productos'!$A$3:$GG$587,'0.Productos'!CL$1+1,0),"")</f>
        <v/>
      </c>
      <c r="AU407" s="133" t="str">
        <f>IF($A407&lt;&gt;0,VLOOKUP($A407,'0.Productos'!$A$3:$GG$587,'0.Productos'!CM$1+1,0),"")</f>
        <v/>
      </c>
      <c r="AV407" s="133" t="str">
        <f>IF($A407&lt;&gt;0,VLOOKUP($A407,'0.Productos'!$A$3:$GG$587,'0.Productos'!CN$1+1,0),"")</f>
        <v/>
      </c>
      <c r="AW407" s="133" t="str">
        <f>IF($A407&lt;&gt;0,VLOOKUP($A407,'0.Productos'!$A$3:$GG$587,'0.Productos'!CO$1+1,0),"")</f>
        <v/>
      </c>
      <c r="AX407" s="133" t="str">
        <f>IF($A407&lt;&gt;0,VLOOKUP($A407,'0.Productos'!$A$3:$GG$587,'0.Productos'!CP$1+1,0),"")</f>
        <v/>
      </c>
      <c r="AY407" s="133" t="str">
        <f>IF($A407&lt;&gt;0,VLOOKUP($A407,'0.Productos'!$A$3:$GG$587,'0.Productos'!CQ$1+1,0),"")</f>
        <v/>
      </c>
      <c r="AZ407" s="133" t="str">
        <f>IF($A407&lt;&gt;0,VLOOKUP($A407,'0.Productos'!$A$3:$GG$587,'0.Productos'!CR$1+1,0),"")</f>
        <v/>
      </c>
      <c r="BA407" s="133" t="str">
        <f>IF($A407&lt;&gt;0,VLOOKUP($A407,'0.Productos'!$A$3:$GG$587,'0.Productos'!CS$1+1,0),"")</f>
        <v/>
      </c>
      <c r="BB407" s="133" t="str">
        <f>IF($A407&lt;&gt;0,VLOOKUP($A407,'0.Productos'!$A$3:$GG$587,'0.Productos'!CT$1+1,0),"")</f>
        <v/>
      </c>
      <c r="BC407" s="133" t="str">
        <f>IF($A407&lt;&gt;0,VLOOKUP($A407,'0.Productos'!$A$3:$GG$587,'0.Productos'!CU$1+1,0),"")</f>
        <v/>
      </c>
      <c r="BD407" s="133" t="str">
        <f>IF($A407&lt;&gt;0,VLOOKUP($A407,'0.Productos'!$A$3:$GG$587,'0.Productos'!CV$1+1,0),"")</f>
        <v/>
      </c>
      <c r="BE407" s="133" t="str">
        <f>IF($A407&lt;&gt;0,VLOOKUP($A407,'0.Productos'!$A$3:$GG$587,'0.Productos'!CW$1+1,0),"")</f>
        <v/>
      </c>
      <c r="BF407" s="133" t="str">
        <f>IF($A407&lt;&gt;0,VLOOKUP($A407,'0.Productos'!$A$3:$GG$587,'0.Productos'!CX$1+1,0),"")</f>
        <v/>
      </c>
      <c r="BG407" s="133" t="str">
        <f>IF($A407&lt;&gt;0,VLOOKUP($A407,'0.Productos'!$A$3:$GG$587,'0.Productos'!CY$1+1,0),"")</f>
        <v/>
      </c>
      <c r="BH407" s="133" t="str">
        <f>IF($A407&lt;&gt;0,VLOOKUP($A407,'0.Productos'!$A$3:$GG$587,'0.Productos'!CZ$1+1,0),"")</f>
        <v/>
      </c>
      <c r="BI407" s="133" t="str">
        <f>IF($A407&lt;&gt;0,VLOOKUP($A407,'0.Productos'!$A$3:$GG$587,'0.Productos'!DA$1+1,0),"")</f>
        <v/>
      </c>
      <c r="BJ407" s="133" t="str">
        <f>IF($A407&lt;&gt;0,VLOOKUP($A407,'0.Productos'!$A$3:$GG$587,'0.Productos'!DB$1+1,0),"")</f>
        <v/>
      </c>
      <c r="BK407" s="133" t="str">
        <f>IF($A407&lt;&gt;0,VLOOKUP($A407,'0.Productos'!$A$3:$GG$587,'0.Productos'!DC$1+1,0),"")</f>
        <v/>
      </c>
      <c r="BL407" s="133" t="str">
        <f>IF($A407&lt;&gt;0,VLOOKUP($A407,'0.Productos'!$A$3:$GG$587,'0.Productos'!DD$1+1,0),"")</f>
        <v/>
      </c>
      <c r="BM407" s="133" t="str">
        <f>IF($A407&lt;&gt;0,VLOOKUP($A407,'0.Productos'!$A$3:$GG$587,'0.Productos'!DE$1+1,0),"")</f>
        <v/>
      </c>
      <c r="BN407" s="133" t="str">
        <f>IF($A407&lt;&gt;0,VLOOKUP($A407,'0.Productos'!$A$3:$GG$587,'0.Productos'!DF$1+1,0),"")</f>
        <v/>
      </c>
      <c r="BO407" s="133" t="str">
        <f>IF($A407&lt;&gt;0,VLOOKUP($A407,'0.Productos'!$A$3:$GG$587,'0.Productos'!DG$1+1,0),"")</f>
        <v/>
      </c>
      <c r="BP407" s="133" t="str">
        <f>IF($A407&lt;&gt;0,VLOOKUP($A407,'0.Productos'!$A$3:$GG$587,'0.Productos'!DH$1+1,0),"")</f>
        <v/>
      </c>
      <c r="BQ407" s="133" t="str">
        <f>IF($A407&lt;&gt;0,VLOOKUP($A407,'0.Productos'!$A$3:$GG$587,'0.Productos'!DI$1+1,0),"")</f>
        <v/>
      </c>
      <c r="BR407" s="133" t="str">
        <f>IF($A407&lt;&gt;0,VLOOKUP($A407,'0.Productos'!$A$3:$GG$587,'0.Productos'!DJ$1+1,0),"")</f>
        <v/>
      </c>
      <c r="BS407" s="133" t="str">
        <f>IF($A407&lt;&gt;0,VLOOKUP($A407,'0.Productos'!$A$3:$GG$587,'0.Productos'!DK$1+1,0),"")</f>
        <v/>
      </c>
      <c r="BT407" s="133" t="str">
        <f>IF($A407&lt;&gt;0,VLOOKUP($A407,'0.Productos'!$A$3:$GG$587,'0.Productos'!DL$1+1,0),"")</f>
        <v/>
      </c>
    </row>
    <row r="408" spans="1:72" x14ac:dyDescent="0.25">
      <c r="A408" s="17">
        <f>'0.Consolidado general'!A408</f>
        <v>0</v>
      </c>
      <c r="B408" s="133" t="str">
        <f>IF($A408&lt;&gt;0,VLOOKUP($A408,'0.Productos'!$A$3:$GG$587,'0.Productos'!AT$1+1,0),"")</f>
        <v/>
      </c>
      <c r="C408" s="133" t="str">
        <f>IF($A408&lt;&gt;0,VLOOKUP($A408,'0.Productos'!$A$3:$GG$587,'0.Productos'!AU$1+1,0),"")</f>
        <v/>
      </c>
      <c r="D408" s="133" t="str">
        <f>IF($A408&lt;&gt;0,VLOOKUP($A408,'0.Productos'!$A$3:$GG$587,'0.Productos'!AV$1+1,0),"")</f>
        <v/>
      </c>
      <c r="E408" s="133" t="str">
        <f>IF($A408&lt;&gt;0,VLOOKUP($A408,'0.Productos'!$A$3:$GG$587,'0.Productos'!AW$1+1,0),"")</f>
        <v/>
      </c>
      <c r="F408" s="133" t="str">
        <f>IF($A408&lt;&gt;0,VLOOKUP($A408,'0.Productos'!$A$3:$GG$587,'0.Productos'!AX$1+1,0),"")</f>
        <v/>
      </c>
      <c r="G408" s="133" t="str">
        <f>IF($A408&lt;&gt;0,VLOOKUP($A408,'0.Productos'!$A$3:$GG$587,'0.Productos'!AY$1+1,0),"")</f>
        <v/>
      </c>
      <c r="H408" s="133" t="str">
        <f>IF($A408&lt;&gt;0,VLOOKUP($A408,'0.Productos'!$A$3:$GG$587,'0.Productos'!AZ$1+1,0),"")</f>
        <v/>
      </c>
      <c r="I408" s="133" t="str">
        <f>IF($A408&lt;&gt;0,VLOOKUP($A408,'0.Productos'!$A$3:$GG$587,'0.Productos'!BA$1+1,0),"")</f>
        <v/>
      </c>
      <c r="J408" s="133" t="str">
        <f>IF($A408&lt;&gt;0,VLOOKUP($A408,'0.Productos'!$A$3:$GG$587,'0.Productos'!BB$1+1,0),"")</f>
        <v/>
      </c>
      <c r="K408" s="133" t="str">
        <f>IF($A408&lt;&gt;0,VLOOKUP($A408,'0.Productos'!$A$3:$GG$587,'0.Productos'!BC$1+1,0),"")</f>
        <v/>
      </c>
      <c r="L408" s="133" t="str">
        <f>IF($A408&lt;&gt;0,VLOOKUP($A408,'0.Productos'!$A$3:$GG$587,'0.Productos'!BD$1+1,0),"")</f>
        <v/>
      </c>
      <c r="M408" s="133" t="str">
        <f>IF($A408&lt;&gt;0,VLOOKUP($A408,'0.Productos'!$A$3:$GG$587,'0.Productos'!BE$1+1,0),"")</f>
        <v/>
      </c>
      <c r="N408" s="133" t="str">
        <f>IF($A408&lt;&gt;0,VLOOKUP($A408,'0.Productos'!$A$3:$GG$587,'0.Productos'!BF$1+1,0),"")</f>
        <v/>
      </c>
      <c r="O408" s="133" t="str">
        <f>IF($A408&lt;&gt;0,VLOOKUP($A408,'0.Productos'!$A$3:$GG$587,'0.Productos'!BG$1+1,0),"")</f>
        <v/>
      </c>
      <c r="P408" s="133" t="str">
        <f>IF($A408&lt;&gt;0,VLOOKUP($A408,'0.Productos'!$A$3:$GG$587,'0.Productos'!BH$1+1,0),"")</f>
        <v/>
      </c>
      <c r="Q408" s="133" t="str">
        <f>IF($A408&lt;&gt;0,VLOOKUP($A408,'0.Productos'!$A$3:$GG$587,'0.Productos'!BI$1+1,0),"")</f>
        <v/>
      </c>
      <c r="R408" s="133" t="str">
        <f>IF($A408&lt;&gt;0,VLOOKUP($A408,'0.Productos'!$A$3:$GG$587,'0.Productos'!BJ$1+1,0),"")</f>
        <v/>
      </c>
      <c r="S408" s="133" t="str">
        <f>IF($A408&lt;&gt;0,VLOOKUP($A408,'0.Productos'!$A$3:$GG$587,'0.Productos'!BK$1+1,0),"")</f>
        <v/>
      </c>
      <c r="T408" s="133" t="str">
        <f>IF($A408&lt;&gt;0,VLOOKUP($A408,'0.Productos'!$A$3:$GG$587,'0.Productos'!BL$1+1,0),"")</f>
        <v/>
      </c>
      <c r="U408" s="133" t="str">
        <f>IF($A408&lt;&gt;0,VLOOKUP($A408,'0.Productos'!$A$3:$GG$587,'0.Productos'!BM$1+1,0),"")</f>
        <v/>
      </c>
      <c r="V408" s="133" t="str">
        <f>IF($A408&lt;&gt;0,VLOOKUP($A408,'0.Productos'!$A$3:$GG$587,'0.Productos'!BN$1+1,0),"")</f>
        <v/>
      </c>
      <c r="W408" s="133" t="str">
        <f>IF($A408&lt;&gt;0,VLOOKUP($A408,'0.Productos'!$A$3:$GG$587,'0.Productos'!BO$1+1,0),"")</f>
        <v/>
      </c>
      <c r="X408" s="133" t="str">
        <f>IF($A408&lt;&gt;0,VLOOKUP($A408,'0.Productos'!$A$3:$GG$587,'0.Productos'!BP$1+1,0),"")</f>
        <v/>
      </c>
      <c r="Y408" s="133" t="str">
        <f>IF($A408&lt;&gt;0,VLOOKUP($A408,'0.Productos'!$A$3:$GG$587,'0.Productos'!BQ$1+1,0),"")</f>
        <v/>
      </c>
      <c r="Z408" s="133" t="str">
        <f>IF($A408&lt;&gt;0,VLOOKUP($A408,'0.Productos'!$A$3:$GG$587,'0.Productos'!BR$1+1,0),"")</f>
        <v/>
      </c>
      <c r="AA408" s="133" t="str">
        <f>IF($A408&lt;&gt;0,VLOOKUP($A408,'0.Productos'!$A$3:$GG$587,'0.Productos'!BS$1+1,0),"")</f>
        <v/>
      </c>
      <c r="AB408" s="133" t="str">
        <f>IF($A408&lt;&gt;0,VLOOKUP($A408,'0.Productos'!$A$3:$GG$587,'0.Productos'!BT$1+1,0),"")</f>
        <v/>
      </c>
      <c r="AC408" s="133" t="str">
        <f>IF($A408&lt;&gt;0,VLOOKUP($A408,'0.Productos'!$A$3:$GG$587,'0.Productos'!BU$1+1,0),"")</f>
        <v/>
      </c>
      <c r="AD408" s="133" t="str">
        <f>IF($A408&lt;&gt;0,VLOOKUP($A408,'0.Productos'!$A$3:$GG$587,'0.Productos'!BV$1+1,0),"")</f>
        <v/>
      </c>
      <c r="AE408" s="133" t="str">
        <f>IF($A408&lt;&gt;0,VLOOKUP($A408,'0.Productos'!$A$3:$GG$587,'0.Productos'!BW$1+1,0),"")</f>
        <v/>
      </c>
      <c r="AF408" s="133" t="str">
        <f>IF($A408&lt;&gt;0,VLOOKUP($A408,'0.Productos'!$A$3:$GG$587,'0.Productos'!BX$1+1,0),"")</f>
        <v/>
      </c>
      <c r="AG408" s="133" t="str">
        <f>IF($A408&lt;&gt;0,VLOOKUP($A408,'0.Productos'!$A$3:$GG$587,'0.Productos'!BY$1+1,0),"")</f>
        <v/>
      </c>
      <c r="AH408" s="133" t="str">
        <f>IF($A408&lt;&gt;0,VLOOKUP($A408,'0.Productos'!$A$3:$GG$587,'0.Productos'!BZ$1+1,0),"")</f>
        <v/>
      </c>
      <c r="AI408" s="133" t="str">
        <f>IF($A408&lt;&gt;0,VLOOKUP($A408,'0.Productos'!$A$3:$GG$587,'0.Productos'!CA$1+1,0),"")</f>
        <v/>
      </c>
      <c r="AJ408" s="133" t="str">
        <f>IF($A408&lt;&gt;0,VLOOKUP($A408,'0.Productos'!$A$3:$GG$587,'0.Productos'!CB$1+1,0),"")</f>
        <v/>
      </c>
      <c r="AK408" s="133" t="str">
        <f>IF($A408&lt;&gt;0,VLOOKUP($A408,'0.Productos'!$A$3:$GG$587,'0.Productos'!CC$1+1,0),"")</f>
        <v/>
      </c>
      <c r="AL408" s="133" t="str">
        <f>IF($A408&lt;&gt;0,VLOOKUP($A408,'0.Productos'!$A$3:$GG$587,'0.Productos'!CD$1+1,0),"")</f>
        <v/>
      </c>
      <c r="AM408" s="133" t="str">
        <f>IF($A408&lt;&gt;0,VLOOKUP($A408,'0.Productos'!$A$3:$GG$587,'0.Productos'!CE$1+1,0),"")</f>
        <v/>
      </c>
      <c r="AN408" s="133" t="str">
        <f>IF($A408&lt;&gt;0,VLOOKUP($A408,'0.Productos'!$A$3:$GG$587,'0.Productos'!CF$1+1,0),"")</f>
        <v/>
      </c>
      <c r="AO408" s="133" t="str">
        <f>IF($A408&lt;&gt;0,VLOOKUP($A408,'0.Productos'!$A$3:$GG$587,'0.Productos'!CG$1+1,0),"")</f>
        <v/>
      </c>
      <c r="AP408" s="133" t="str">
        <f>IF($A408&lt;&gt;0,VLOOKUP($A408,'0.Productos'!$A$3:$GG$587,'0.Productos'!CH$1+1,0),"")</f>
        <v/>
      </c>
      <c r="AQ408" s="133" t="str">
        <f>IF($A408&lt;&gt;0,VLOOKUP($A408,'0.Productos'!$A$3:$GG$587,'0.Productos'!CI$1+1,0),"")</f>
        <v/>
      </c>
      <c r="AR408" s="133" t="str">
        <f>IF($A408&lt;&gt;0,VLOOKUP($A408,'0.Productos'!$A$3:$GG$587,'0.Productos'!CJ$1+1,0),"")</f>
        <v/>
      </c>
      <c r="AS408" s="133" t="str">
        <f>IF($A408&lt;&gt;0,VLOOKUP($A408,'0.Productos'!$A$3:$GG$587,'0.Productos'!CK$1+1,0),"")</f>
        <v/>
      </c>
      <c r="AT408" s="133" t="str">
        <f>IF($A408&lt;&gt;0,VLOOKUP($A408,'0.Productos'!$A$3:$GG$587,'0.Productos'!CL$1+1,0),"")</f>
        <v/>
      </c>
      <c r="AU408" s="133" t="str">
        <f>IF($A408&lt;&gt;0,VLOOKUP($A408,'0.Productos'!$A$3:$GG$587,'0.Productos'!CM$1+1,0),"")</f>
        <v/>
      </c>
      <c r="AV408" s="133" t="str">
        <f>IF($A408&lt;&gt;0,VLOOKUP($A408,'0.Productos'!$A$3:$GG$587,'0.Productos'!CN$1+1,0),"")</f>
        <v/>
      </c>
      <c r="AW408" s="133" t="str">
        <f>IF($A408&lt;&gt;0,VLOOKUP($A408,'0.Productos'!$A$3:$GG$587,'0.Productos'!CO$1+1,0),"")</f>
        <v/>
      </c>
      <c r="AX408" s="133" t="str">
        <f>IF($A408&lt;&gt;0,VLOOKUP($A408,'0.Productos'!$A$3:$GG$587,'0.Productos'!CP$1+1,0),"")</f>
        <v/>
      </c>
      <c r="AY408" s="133" t="str">
        <f>IF($A408&lt;&gt;0,VLOOKUP($A408,'0.Productos'!$A$3:$GG$587,'0.Productos'!CQ$1+1,0),"")</f>
        <v/>
      </c>
      <c r="AZ408" s="133" t="str">
        <f>IF($A408&lt;&gt;0,VLOOKUP($A408,'0.Productos'!$A$3:$GG$587,'0.Productos'!CR$1+1,0),"")</f>
        <v/>
      </c>
      <c r="BA408" s="133" t="str">
        <f>IF($A408&lt;&gt;0,VLOOKUP($A408,'0.Productos'!$A$3:$GG$587,'0.Productos'!CS$1+1,0),"")</f>
        <v/>
      </c>
      <c r="BB408" s="133" t="str">
        <f>IF($A408&lt;&gt;0,VLOOKUP($A408,'0.Productos'!$A$3:$GG$587,'0.Productos'!CT$1+1,0),"")</f>
        <v/>
      </c>
      <c r="BC408" s="133" t="str">
        <f>IF($A408&lt;&gt;0,VLOOKUP($A408,'0.Productos'!$A$3:$GG$587,'0.Productos'!CU$1+1,0),"")</f>
        <v/>
      </c>
      <c r="BD408" s="133" t="str">
        <f>IF($A408&lt;&gt;0,VLOOKUP($A408,'0.Productos'!$A$3:$GG$587,'0.Productos'!CV$1+1,0),"")</f>
        <v/>
      </c>
      <c r="BE408" s="133" t="str">
        <f>IF($A408&lt;&gt;0,VLOOKUP($A408,'0.Productos'!$A$3:$GG$587,'0.Productos'!CW$1+1,0),"")</f>
        <v/>
      </c>
      <c r="BF408" s="133" t="str">
        <f>IF($A408&lt;&gt;0,VLOOKUP($A408,'0.Productos'!$A$3:$GG$587,'0.Productos'!CX$1+1,0),"")</f>
        <v/>
      </c>
      <c r="BG408" s="133" t="str">
        <f>IF($A408&lt;&gt;0,VLOOKUP($A408,'0.Productos'!$A$3:$GG$587,'0.Productos'!CY$1+1,0),"")</f>
        <v/>
      </c>
      <c r="BH408" s="133" t="str">
        <f>IF($A408&lt;&gt;0,VLOOKUP($A408,'0.Productos'!$A$3:$GG$587,'0.Productos'!CZ$1+1,0),"")</f>
        <v/>
      </c>
      <c r="BI408" s="133" t="str">
        <f>IF($A408&lt;&gt;0,VLOOKUP($A408,'0.Productos'!$A$3:$GG$587,'0.Productos'!DA$1+1,0),"")</f>
        <v/>
      </c>
      <c r="BJ408" s="133" t="str">
        <f>IF($A408&lt;&gt;0,VLOOKUP($A408,'0.Productos'!$A$3:$GG$587,'0.Productos'!DB$1+1,0),"")</f>
        <v/>
      </c>
      <c r="BK408" s="133" t="str">
        <f>IF($A408&lt;&gt;0,VLOOKUP($A408,'0.Productos'!$A$3:$GG$587,'0.Productos'!DC$1+1,0),"")</f>
        <v/>
      </c>
      <c r="BL408" s="133" t="str">
        <f>IF($A408&lt;&gt;0,VLOOKUP($A408,'0.Productos'!$A$3:$GG$587,'0.Productos'!DD$1+1,0),"")</f>
        <v/>
      </c>
      <c r="BM408" s="133" t="str">
        <f>IF($A408&lt;&gt;0,VLOOKUP($A408,'0.Productos'!$A$3:$GG$587,'0.Productos'!DE$1+1,0),"")</f>
        <v/>
      </c>
      <c r="BN408" s="133" t="str">
        <f>IF($A408&lt;&gt;0,VLOOKUP($A408,'0.Productos'!$A$3:$GG$587,'0.Productos'!DF$1+1,0),"")</f>
        <v/>
      </c>
      <c r="BO408" s="133" t="str">
        <f>IF($A408&lt;&gt;0,VLOOKUP($A408,'0.Productos'!$A$3:$GG$587,'0.Productos'!DG$1+1,0),"")</f>
        <v/>
      </c>
      <c r="BP408" s="133" t="str">
        <f>IF($A408&lt;&gt;0,VLOOKUP($A408,'0.Productos'!$A$3:$GG$587,'0.Productos'!DH$1+1,0),"")</f>
        <v/>
      </c>
      <c r="BQ408" s="133" t="str">
        <f>IF($A408&lt;&gt;0,VLOOKUP($A408,'0.Productos'!$A$3:$GG$587,'0.Productos'!DI$1+1,0),"")</f>
        <v/>
      </c>
      <c r="BR408" s="133" t="str">
        <f>IF($A408&lt;&gt;0,VLOOKUP($A408,'0.Productos'!$A$3:$GG$587,'0.Productos'!DJ$1+1,0),"")</f>
        <v/>
      </c>
      <c r="BS408" s="133" t="str">
        <f>IF($A408&lt;&gt;0,VLOOKUP($A408,'0.Productos'!$A$3:$GG$587,'0.Productos'!DK$1+1,0),"")</f>
        <v/>
      </c>
      <c r="BT408" s="133" t="str">
        <f>IF($A408&lt;&gt;0,VLOOKUP($A408,'0.Productos'!$A$3:$GG$587,'0.Productos'!DL$1+1,0),"")</f>
        <v/>
      </c>
    </row>
    <row r="409" spans="1:72" x14ac:dyDescent="0.25">
      <c r="A409" s="17">
        <f>'0.Consolidado general'!A409</f>
        <v>0</v>
      </c>
      <c r="B409" s="133" t="str">
        <f>IF($A409&lt;&gt;0,VLOOKUP($A409,'0.Productos'!$A$3:$GG$587,'0.Productos'!AT$1+1,0),"")</f>
        <v/>
      </c>
      <c r="C409" s="133" t="str">
        <f>IF($A409&lt;&gt;0,VLOOKUP($A409,'0.Productos'!$A$3:$GG$587,'0.Productos'!AU$1+1,0),"")</f>
        <v/>
      </c>
      <c r="D409" s="133" t="str">
        <f>IF($A409&lt;&gt;0,VLOOKUP($A409,'0.Productos'!$A$3:$GG$587,'0.Productos'!AV$1+1,0),"")</f>
        <v/>
      </c>
      <c r="E409" s="133" t="str">
        <f>IF($A409&lt;&gt;0,VLOOKUP($A409,'0.Productos'!$A$3:$GG$587,'0.Productos'!AW$1+1,0),"")</f>
        <v/>
      </c>
      <c r="F409" s="133" t="str">
        <f>IF($A409&lt;&gt;0,VLOOKUP($A409,'0.Productos'!$A$3:$GG$587,'0.Productos'!AX$1+1,0),"")</f>
        <v/>
      </c>
      <c r="G409" s="133" t="str">
        <f>IF($A409&lt;&gt;0,VLOOKUP($A409,'0.Productos'!$A$3:$GG$587,'0.Productos'!AY$1+1,0),"")</f>
        <v/>
      </c>
      <c r="H409" s="133" t="str">
        <f>IF($A409&lt;&gt;0,VLOOKUP($A409,'0.Productos'!$A$3:$GG$587,'0.Productos'!AZ$1+1,0),"")</f>
        <v/>
      </c>
      <c r="I409" s="133" t="str">
        <f>IF($A409&lt;&gt;0,VLOOKUP($A409,'0.Productos'!$A$3:$GG$587,'0.Productos'!BA$1+1,0),"")</f>
        <v/>
      </c>
      <c r="J409" s="133" t="str">
        <f>IF($A409&lt;&gt;0,VLOOKUP($A409,'0.Productos'!$A$3:$GG$587,'0.Productos'!BB$1+1,0),"")</f>
        <v/>
      </c>
      <c r="K409" s="133" t="str">
        <f>IF($A409&lt;&gt;0,VLOOKUP($A409,'0.Productos'!$A$3:$GG$587,'0.Productos'!BC$1+1,0),"")</f>
        <v/>
      </c>
      <c r="L409" s="133" t="str">
        <f>IF($A409&lt;&gt;0,VLOOKUP($A409,'0.Productos'!$A$3:$GG$587,'0.Productos'!BD$1+1,0),"")</f>
        <v/>
      </c>
      <c r="M409" s="133" t="str">
        <f>IF($A409&lt;&gt;0,VLOOKUP($A409,'0.Productos'!$A$3:$GG$587,'0.Productos'!BE$1+1,0),"")</f>
        <v/>
      </c>
      <c r="N409" s="133" t="str">
        <f>IF($A409&lt;&gt;0,VLOOKUP($A409,'0.Productos'!$A$3:$GG$587,'0.Productos'!BF$1+1,0),"")</f>
        <v/>
      </c>
      <c r="O409" s="133" t="str">
        <f>IF($A409&lt;&gt;0,VLOOKUP($A409,'0.Productos'!$A$3:$GG$587,'0.Productos'!BG$1+1,0),"")</f>
        <v/>
      </c>
      <c r="P409" s="133" t="str">
        <f>IF($A409&lt;&gt;0,VLOOKUP($A409,'0.Productos'!$A$3:$GG$587,'0.Productos'!BH$1+1,0),"")</f>
        <v/>
      </c>
      <c r="Q409" s="133" t="str">
        <f>IF($A409&lt;&gt;0,VLOOKUP($A409,'0.Productos'!$A$3:$GG$587,'0.Productos'!BI$1+1,0),"")</f>
        <v/>
      </c>
      <c r="R409" s="133" t="str">
        <f>IF($A409&lt;&gt;0,VLOOKUP($A409,'0.Productos'!$A$3:$GG$587,'0.Productos'!BJ$1+1,0),"")</f>
        <v/>
      </c>
      <c r="S409" s="133" t="str">
        <f>IF($A409&lt;&gt;0,VLOOKUP($A409,'0.Productos'!$A$3:$GG$587,'0.Productos'!BK$1+1,0),"")</f>
        <v/>
      </c>
      <c r="T409" s="133" t="str">
        <f>IF($A409&lt;&gt;0,VLOOKUP($A409,'0.Productos'!$A$3:$GG$587,'0.Productos'!BL$1+1,0),"")</f>
        <v/>
      </c>
      <c r="U409" s="133" t="str">
        <f>IF($A409&lt;&gt;0,VLOOKUP($A409,'0.Productos'!$A$3:$GG$587,'0.Productos'!BM$1+1,0),"")</f>
        <v/>
      </c>
      <c r="V409" s="133" t="str">
        <f>IF($A409&lt;&gt;0,VLOOKUP($A409,'0.Productos'!$A$3:$GG$587,'0.Productos'!BN$1+1,0),"")</f>
        <v/>
      </c>
      <c r="W409" s="133" t="str">
        <f>IF($A409&lt;&gt;0,VLOOKUP($A409,'0.Productos'!$A$3:$GG$587,'0.Productos'!BO$1+1,0),"")</f>
        <v/>
      </c>
      <c r="X409" s="133" t="str">
        <f>IF($A409&lt;&gt;0,VLOOKUP($A409,'0.Productos'!$A$3:$GG$587,'0.Productos'!BP$1+1,0),"")</f>
        <v/>
      </c>
      <c r="Y409" s="133" t="str">
        <f>IF($A409&lt;&gt;0,VLOOKUP($A409,'0.Productos'!$A$3:$GG$587,'0.Productos'!BQ$1+1,0),"")</f>
        <v/>
      </c>
      <c r="Z409" s="133" t="str">
        <f>IF($A409&lt;&gt;0,VLOOKUP($A409,'0.Productos'!$A$3:$GG$587,'0.Productos'!BR$1+1,0),"")</f>
        <v/>
      </c>
      <c r="AA409" s="133" t="str">
        <f>IF($A409&lt;&gt;0,VLOOKUP($A409,'0.Productos'!$A$3:$GG$587,'0.Productos'!BS$1+1,0),"")</f>
        <v/>
      </c>
      <c r="AB409" s="133" t="str">
        <f>IF($A409&lt;&gt;0,VLOOKUP($A409,'0.Productos'!$A$3:$GG$587,'0.Productos'!BT$1+1,0),"")</f>
        <v/>
      </c>
      <c r="AC409" s="133" t="str">
        <f>IF($A409&lt;&gt;0,VLOOKUP($A409,'0.Productos'!$A$3:$GG$587,'0.Productos'!BU$1+1,0),"")</f>
        <v/>
      </c>
      <c r="AD409" s="133" t="str">
        <f>IF($A409&lt;&gt;0,VLOOKUP($A409,'0.Productos'!$A$3:$GG$587,'0.Productos'!BV$1+1,0),"")</f>
        <v/>
      </c>
      <c r="AE409" s="133" t="str">
        <f>IF($A409&lt;&gt;0,VLOOKUP($A409,'0.Productos'!$A$3:$GG$587,'0.Productos'!BW$1+1,0),"")</f>
        <v/>
      </c>
      <c r="AF409" s="133" t="str">
        <f>IF($A409&lt;&gt;0,VLOOKUP($A409,'0.Productos'!$A$3:$GG$587,'0.Productos'!BX$1+1,0),"")</f>
        <v/>
      </c>
      <c r="AG409" s="133" t="str">
        <f>IF($A409&lt;&gt;0,VLOOKUP($A409,'0.Productos'!$A$3:$GG$587,'0.Productos'!BY$1+1,0),"")</f>
        <v/>
      </c>
      <c r="AH409" s="133" t="str">
        <f>IF($A409&lt;&gt;0,VLOOKUP($A409,'0.Productos'!$A$3:$GG$587,'0.Productos'!BZ$1+1,0),"")</f>
        <v/>
      </c>
      <c r="AI409" s="133" t="str">
        <f>IF($A409&lt;&gt;0,VLOOKUP($A409,'0.Productos'!$A$3:$GG$587,'0.Productos'!CA$1+1,0),"")</f>
        <v/>
      </c>
      <c r="AJ409" s="133" t="str">
        <f>IF($A409&lt;&gt;0,VLOOKUP($A409,'0.Productos'!$A$3:$GG$587,'0.Productos'!CB$1+1,0),"")</f>
        <v/>
      </c>
      <c r="AK409" s="133" t="str">
        <f>IF($A409&lt;&gt;0,VLOOKUP($A409,'0.Productos'!$A$3:$GG$587,'0.Productos'!CC$1+1,0),"")</f>
        <v/>
      </c>
      <c r="AL409" s="133" t="str">
        <f>IF($A409&lt;&gt;0,VLOOKUP($A409,'0.Productos'!$A$3:$GG$587,'0.Productos'!CD$1+1,0),"")</f>
        <v/>
      </c>
      <c r="AM409" s="133" t="str">
        <f>IF($A409&lt;&gt;0,VLOOKUP($A409,'0.Productos'!$A$3:$GG$587,'0.Productos'!CE$1+1,0),"")</f>
        <v/>
      </c>
      <c r="AN409" s="133" t="str">
        <f>IF($A409&lt;&gt;0,VLOOKUP($A409,'0.Productos'!$A$3:$GG$587,'0.Productos'!CF$1+1,0),"")</f>
        <v/>
      </c>
      <c r="AO409" s="133" t="str">
        <f>IF($A409&lt;&gt;0,VLOOKUP($A409,'0.Productos'!$A$3:$GG$587,'0.Productos'!CG$1+1,0),"")</f>
        <v/>
      </c>
      <c r="AP409" s="133" t="str">
        <f>IF($A409&lt;&gt;0,VLOOKUP($A409,'0.Productos'!$A$3:$GG$587,'0.Productos'!CH$1+1,0),"")</f>
        <v/>
      </c>
      <c r="AQ409" s="133" t="str">
        <f>IF($A409&lt;&gt;0,VLOOKUP($A409,'0.Productos'!$A$3:$GG$587,'0.Productos'!CI$1+1,0),"")</f>
        <v/>
      </c>
      <c r="AR409" s="133" t="str">
        <f>IF($A409&lt;&gt;0,VLOOKUP($A409,'0.Productos'!$A$3:$GG$587,'0.Productos'!CJ$1+1,0),"")</f>
        <v/>
      </c>
      <c r="AS409" s="133" t="str">
        <f>IF($A409&lt;&gt;0,VLOOKUP($A409,'0.Productos'!$A$3:$GG$587,'0.Productos'!CK$1+1,0),"")</f>
        <v/>
      </c>
      <c r="AT409" s="133" t="str">
        <f>IF($A409&lt;&gt;0,VLOOKUP($A409,'0.Productos'!$A$3:$GG$587,'0.Productos'!CL$1+1,0),"")</f>
        <v/>
      </c>
      <c r="AU409" s="133" t="str">
        <f>IF($A409&lt;&gt;0,VLOOKUP($A409,'0.Productos'!$A$3:$GG$587,'0.Productos'!CM$1+1,0),"")</f>
        <v/>
      </c>
      <c r="AV409" s="133" t="str">
        <f>IF($A409&lt;&gt;0,VLOOKUP($A409,'0.Productos'!$A$3:$GG$587,'0.Productos'!CN$1+1,0),"")</f>
        <v/>
      </c>
      <c r="AW409" s="133" t="str">
        <f>IF($A409&lt;&gt;0,VLOOKUP($A409,'0.Productos'!$A$3:$GG$587,'0.Productos'!CO$1+1,0),"")</f>
        <v/>
      </c>
      <c r="AX409" s="133" t="str">
        <f>IF($A409&lt;&gt;0,VLOOKUP($A409,'0.Productos'!$A$3:$GG$587,'0.Productos'!CP$1+1,0),"")</f>
        <v/>
      </c>
      <c r="AY409" s="133" t="str">
        <f>IF($A409&lt;&gt;0,VLOOKUP($A409,'0.Productos'!$A$3:$GG$587,'0.Productos'!CQ$1+1,0),"")</f>
        <v/>
      </c>
      <c r="AZ409" s="133" t="str">
        <f>IF($A409&lt;&gt;0,VLOOKUP($A409,'0.Productos'!$A$3:$GG$587,'0.Productos'!CR$1+1,0),"")</f>
        <v/>
      </c>
      <c r="BA409" s="133" t="str">
        <f>IF($A409&lt;&gt;0,VLOOKUP($A409,'0.Productos'!$A$3:$GG$587,'0.Productos'!CS$1+1,0),"")</f>
        <v/>
      </c>
      <c r="BB409" s="133" t="str">
        <f>IF($A409&lt;&gt;0,VLOOKUP($A409,'0.Productos'!$A$3:$GG$587,'0.Productos'!CT$1+1,0),"")</f>
        <v/>
      </c>
      <c r="BC409" s="133" t="str">
        <f>IF($A409&lt;&gt;0,VLOOKUP($A409,'0.Productos'!$A$3:$GG$587,'0.Productos'!CU$1+1,0),"")</f>
        <v/>
      </c>
      <c r="BD409" s="133" t="str">
        <f>IF($A409&lt;&gt;0,VLOOKUP($A409,'0.Productos'!$A$3:$GG$587,'0.Productos'!CV$1+1,0),"")</f>
        <v/>
      </c>
      <c r="BE409" s="133" t="str">
        <f>IF($A409&lt;&gt;0,VLOOKUP($A409,'0.Productos'!$A$3:$GG$587,'0.Productos'!CW$1+1,0),"")</f>
        <v/>
      </c>
      <c r="BF409" s="133" t="str">
        <f>IF($A409&lt;&gt;0,VLOOKUP($A409,'0.Productos'!$A$3:$GG$587,'0.Productos'!CX$1+1,0),"")</f>
        <v/>
      </c>
      <c r="BG409" s="133" t="str">
        <f>IF($A409&lt;&gt;0,VLOOKUP($A409,'0.Productos'!$A$3:$GG$587,'0.Productos'!CY$1+1,0),"")</f>
        <v/>
      </c>
      <c r="BH409" s="133" t="str">
        <f>IF($A409&lt;&gt;0,VLOOKUP($A409,'0.Productos'!$A$3:$GG$587,'0.Productos'!CZ$1+1,0),"")</f>
        <v/>
      </c>
      <c r="BI409" s="133" t="str">
        <f>IF($A409&lt;&gt;0,VLOOKUP($A409,'0.Productos'!$A$3:$GG$587,'0.Productos'!DA$1+1,0),"")</f>
        <v/>
      </c>
      <c r="BJ409" s="133" t="str">
        <f>IF($A409&lt;&gt;0,VLOOKUP($A409,'0.Productos'!$A$3:$GG$587,'0.Productos'!DB$1+1,0),"")</f>
        <v/>
      </c>
      <c r="BK409" s="133" t="str">
        <f>IF($A409&lt;&gt;0,VLOOKUP($A409,'0.Productos'!$A$3:$GG$587,'0.Productos'!DC$1+1,0),"")</f>
        <v/>
      </c>
      <c r="BL409" s="133" t="str">
        <f>IF($A409&lt;&gt;0,VLOOKUP($A409,'0.Productos'!$A$3:$GG$587,'0.Productos'!DD$1+1,0),"")</f>
        <v/>
      </c>
      <c r="BM409" s="133" t="str">
        <f>IF($A409&lt;&gt;0,VLOOKUP($A409,'0.Productos'!$A$3:$GG$587,'0.Productos'!DE$1+1,0),"")</f>
        <v/>
      </c>
      <c r="BN409" s="133" t="str">
        <f>IF($A409&lt;&gt;0,VLOOKUP($A409,'0.Productos'!$A$3:$GG$587,'0.Productos'!DF$1+1,0),"")</f>
        <v/>
      </c>
      <c r="BO409" s="133" t="str">
        <f>IF($A409&lt;&gt;0,VLOOKUP($A409,'0.Productos'!$A$3:$GG$587,'0.Productos'!DG$1+1,0),"")</f>
        <v/>
      </c>
      <c r="BP409" s="133" t="str">
        <f>IF($A409&lt;&gt;0,VLOOKUP($A409,'0.Productos'!$A$3:$GG$587,'0.Productos'!DH$1+1,0),"")</f>
        <v/>
      </c>
      <c r="BQ409" s="133" t="str">
        <f>IF($A409&lt;&gt;0,VLOOKUP($A409,'0.Productos'!$A$3:$GG$587,'0.Productos'!DI$1+1,0),"")</f>
        <v/>
      </c>
      <c r="BR409" s="133" t="str">
        <f>IF($A409&lt;&gt;0,VLOOKUP($A409,'0.Productos'!$A$3:$GG$587,'0.Productos'!DJ$1+1,0),"")</f>
        <v/>
      </c>
      <c r="BS409" s="133" t="str">
        <f>IF($A409&lt;&gt;0,VLOOKUP($A409,'0.Productos'!$A$3:$GG$587,'0.Productos'!DK$1+1,0),"")</f>
        <v/>
      </c>
      <c r="BT409" s="133" t="str">
        <f>IF($A409&lt;&gt;0,VLOOKUP($A409,'0.Productos'!$A$3:$GG$587,'0.Productos'!DL$1+1,0),"")</f>
        <v/>
      </c>
    </row>
    <row r="410" spans="1:72" x14ac:dyDescent="0.25">
      <c r="A410" s="17">
        <f>'0.Consolidado general'!A410</f>
        <v>0</v>
      </c>
      <c r="B410" s="133" t="str">
        <f>IF($A410&lt;&gt;0,VLOOKUP($A410,'0.Productos'!$A$3:$GG$587,'0.Productos'!AT$1+1,0),"")</f>
        <v/>
      </c>
      <c r="C410" s="133" t="str">
        <f>IF($A410&lt;&gt;0,VLOOKUP($A410,'0.Productos'!$A$3:$GG$587,'0.Productos'!AU$1+1,0),"")</f>
        <v/>
      </c>
      <c r="D410" s="133" t="str">
        <f>IF($A410&lt;&gt;0,VLOOKUP($A410,'0.Productos'!$A$3:$GG$587,'0.Productos'!AV$1+1,0),"")</f>
        <v/>
      </c>
      <c r="E410" s="133" t="str">
        <f>IF($A410&lt;&gt;0,VLOOKUP($A410,'0.Productos'!$A$3:$GG$587,'0.Productos'!AW$1+1,0),"")</f>
        <v/>
      </c>
      <c r="F410" s="133" t="str">
        <f>IF($A410&lt;&gt;0,VLOOKUP($A410,'0.Productos'!$A$3:$GG$587,'0.Productos'!AX$1+1,0),"")</f>
        <v/>
      </c>
      <c r="G410" s="133" t="str">
        <f>IF($A410&lt;&gt;0,VLOOKUP($A410,'0.Productos'!$A$3:$GG$587,'0.Productos'!AY$1+1,0),"")</f>
        <v/>
      </c>
      <c r="H410" s="133" t="str">
        <f>IF($A410&lt;&gt;0,VLOOKUP($A410,'0.Productos'!$A$3:$GG$587,'0.Productos'!AZ$1+1,0),"")</f>
        <v/>
      </c>
      <c r="I410" s="133" t="str">
        <f>IF($A410&lt;&gt;0,VLOOKUP($A410,'0.Productos'!$A$3:$GG$587,'0.Productos'!BA$1+1,0),"")</f>
        <v/>
      </c>
      <c r="J410" s="133" t="str">
        <f>IF($A410&lt;&gt;0,VLOOKUP($A410,'0.Productos'!$A$3:$GG$587,'0.Productos'!BB$1+1,0),"")</f>
        <v/>
      </c>
      <c r="K410" s="133" t="str">
        <f>IF($A410&lt;&gt;0,VLOOKUP($A410,'0.Productos'!$A$3:$GG$587,'0.Productos'!BC$1+1,0),"")</f>
        <v/>
      </c>
      <c r="L410" s="133" t="str">
        <f>IF($A410&lt;&gt;0,VLOOKUP($A410,'0.Productos'!$A$3:$GG$587,'0.Productos'!BD$1+1,0),"")</f>
        <v/>
      </c>
      <c r="M410" s="133" t="str">
        <f>IF($A410&lt;&gt;0,VLOOKUP($A410,'0.Productos'!$A$3:$GG$587,'0.Productos'!BE$1+1,0),"")</f>
        <v/>
      </c>
      <c r="N410" s="133" t="str">
        <f>IF($A410&lt;&gt;0,VLOOKUP($A410,'0.Productos'!$A$3:$GG$587,'0.Productos'!BF$1+1,0),"")</f>
        <v/>
      </c>
      <c r="O410" s="133" t="str">
        <f>IF($A410&lt;&gt;0,VLOOKUP($A410,'0.Productos'!$A$3:$GG$587,'0.Productos'!BG$1+1,0),"")</f>
        <v/>
      </c>
      <c r="P410" s="133" t="str">
        <f>IF($A410&lt;&gt;0,VLOOKUP($A410,'0.Productos'!$A$3:$GG$587,'0.Productos'!BH$1+1,0),"")</f>
        <v/>
      </c>
      <c r="Q410" s="133" t="str">
        <f>IF($A410&lt;&gt;0,VLOOKUP($A410,'0.Productos'!$A$3:$GG$587,'0.Productos'!BI$1+1,0),"")</f>
        <v/>
      </c>
      <c r="R410" s="133" t="str">
        <f>IF($A410&lt;&gt;0,VLOOKUP($A410,'0.Productos'!$A$3:$GG$587,'0.Productos'!BJ$1+1,0),"")</f>
        <v/>
      </c>
      <c r="S410" s="133" t="str">
        <f>IF($A410&lt;&gt;0,VLOOKUP($A410,'0.Productos'!$A$3:$GG$587,'0.Productos'!BK$1+1,0),"")</f>
        <v/>
      </c>
      <c r="T410" s="133" t="str">
        <f>IF($A410&lt;&gt;0,VLOOKUP($A410,'0.Productos'!$A$3:$GG$587,'0.Productos'!BL$1+1,0),"")</f>
        <v/>
      </c>
      <c r="U410" s="133" t="str">
        <f>IF($A410&lt;&gt;0,VLOOKUP($A410,'0.Productos'!$A$3:$GG$587,'0.Productos'!BM$1+1,0),"")</f>
        <v/>
      </c>
      <c r="V410" s="133" t="str">
        <f>IF($A410&lt;&gt;0,VLOOKUP($A410,'0.Productos'!$A$3:$GG$587,'0.Productos'!BN$1+1,0),"")</f>
        <v/>
      </c>
      <c r="W410" s="133" t="str">
        <f>IF($A410&lt;&gt;0,VLOOKUP($A410,'0.Productos'!$A$3:$GG$587,'0.Productos'!BO$1+1,0),"")</f>
        <v/>
      </c>
      <c r="X410" s="133" t="str">
        <f>IF($A410&lt;&gt;0,VLOOKUP($A410,'0.Productos'!$A$3:$GG$587,'0.Productos'!BP$1+1,0),"")</f>
        <v/>
      </c>
      <c r="Y410" s="133" t="str">
        <f>IF($A410&lt;&gt;0,VLOOKUP($A410,'0.Productos'!$A$3:$GG$587,'0.Productos'!BQ$1+1,0),"")</f>
        <v/>
      </c>
      <c r="Z410" s="133" t="str">
        <f>IF($A410&lt;&gt;0,VLOOKUP($A410,'0.Productos'!$A$3:$GG$587,'0.Productos'!BR$1+1,0),"")</f>
        <v/>
      </c>
      <c r="AA410" s="133" t="str">
        <f>IF($A410&lt;&gt;0,VLOOKUP($A410,'0.Productos'!$A$3:$GG$587,'0.Productos'!BS$1+1,0),"")</f>
        <v/>
      </c>
      <c r="AB410" s="133" t="str">
        <f>IF($A410&lt;&gt;0,VLOOKUP($A410,'0.Productos'!$A$3:$GG$587,'0.Productos'!BT$1+1,0),"")</f>
        <v/>
      </c>
      <c r="AC410" s="133" t="str">
        <f>IF($A410&lt;&gt;0,VLOOKUP($A410,'0.Productos'!$A$3:$GG$587,'0.Productos'!BU$1+1,0),"")</f>
        <v/>
      </c>
      <c r="AD410" s="133" t="str">
        <f>IF($A410&lt;&gt;0,VLOOKUP($A410,'0.Productos'!$A$3:$GG$587,'0.Productos'!BV$1+1,0),"")</f>
        <v/>
      </c>
      <c r="AE410" s="133" t="str">
        <f>IF($A410&lt;&gt;0,VLOOKUP($A410,'0.Productos'!$A$3:$GG$587,'0.Productos'!BW$1+1,0),"")</f>
        <v/>
      </c>
      <c r="AF410" s="133" t="str">
        <f>IF($A410&lt;&gt;0,VLOOKUP($A410,'0.Productos'!$A$3:$GG$587,'0.Productos'!BX$1+1,0),"")</f>
        <v/>
      </c>
      <c r="AG410" s="133" t="str">
        <f>IF($A410&lt;&gt;0,VLOOKUP($A410,'0.Productos'!$A$3:$GG$587,'0.Productos'!BY$1+1,0),"")</f>
        <v/>
      </c>
      <c r="AH410" s="133" t="str">
        <f>IF($A410&lt;&gt;0,VLOOKUP($A410,'0.Productos'!$A$3:$GG$587,'0.Productos'!BZ$1+1,0),"")</f>
        <v/>
      </c>
      <c r="AI410" s="133" t="str">
        <f>IF($A410&lt;&gt;0,VLOOKUP($A410,'0.Productos'!$A$3:$GG$587,'0.Productos'!CA$1+1,0),"")</f>
        <v/>
      </c>
      <c r="AJ410" s="133" t="str">
        <f>IF($A410&lt;&gt;0,VLOOKUP($A410,'0.Productos'!$A$3:$GG$587,'0.Productos'!CB$1+1,0),"")</f>
        <v/>
      </c>
      <c r="AK410" s="133" t="str">
        <f>IF($A410&lt;&gt;0,VLOOKUP($A410,'0.Productos'!$A$3:$GG$587,'0.Productos'!CC$1+1,0),"")</f>
        <v/>
      </c>
      <c r="AL410" s="133" t="str">
        <f>IF($A410&lt;&gt;0,VLOOKUP($A410,'0.Productos'!$A$3:$GG$587,'0.Productos'!CD$1+1,0),"")</f>
        <v/>
      </c>
      <c r="AM410" s="133" t="str">
        <f>IF($A410&lt;&gt;0,VLOOKUP($A410,'0.Productos'!$A$3:$GG$587,'0.Productos'!CE$1+1,0),"")</f>
        <v/>
      </c>
      <c r="AN410" s="133" t="str">
        <f>IF($A410&lt;&gt;0,VLOOKUP($A410,'0.Productos'!$A$3:$GG$587,'0.Productos'!CF$1+1,0),"")</f>
        <v/>
      </c>
      <c r="AO410" s="133" t="str">
        <f>IF($A410&lt;&gt;0,VLOOKUP($A410,'0.Productos'!$A$3:$GG$587,'0.Productos'!CG$1+1,0),"")</f>
        <v/>
      </c>
      <c r="AP410" s="133" t="str">
        <f>IF($A410&lt;&gt;0,VLOOKUP($A410,'0.Productos'!$A$3:$GG$587,'0.Productos'!CH$1+1,0),"")</f>
        <v/>
      </c>
      <c r="AQ410" s="133" t="str">
        <f>IF($A410&lt;&gt;0,VLOOKUP($A410,'0.Productos'!$A$3:$GG$587,'0.Productos'!CI$1+1,0),"")</f>
        <v/>
      </c>
      <c r="AR410" s="133" t="str">
        <f>IF($A410&lt;&gt;0,VLOOKUP($A410,'0.Productos'!$A$3:$GG$587,'0.Productos'!CJ$1+1,0),"")</f>
        <v/>
      </c>
      <c r="AS410" s="133" t="str">
        <f>IF($A410&lt;&gt;0,VLOOKUP($A410,'0.Productos'!$A$3:$GG$587,'0.Productos'!CK$1+1,0),"")</f>
        <v/>
      </c>
      <c r="AT410" s="133" t="str">
        <f>IF($A410&lt;&gt;0,VLOOKUP($A410,'0.Productos'!$A$3:$GG$587,'0.Productos'!CL$1+1,0),"")</f>
        <v/>
      </c>
      <c r="AU410" s="133" t="str">
        <f>IF($A410&lt;&gt;0,VLOOKUP($A410,'0.Productos'!$A$3:$GG$587,'0.Productos'!CM$1+1,0),"")</f>
        <v/>
      </c>
      <c r="AV410" s="133" t="str">
        <f>IF($A410&lt;&gt;0,VLOOKUP($A410,'0.Productos'!$A$3:$GG$587,'0.Productos'!CN$1+1,0),"")</f>
        <v/>
      </c>
      <c r="AW410" s="133" t="str">
        <f>IF($A410&lt;&gt;0,VLOOKUP($A410,'0.Productos'!$A$3:$GG$587,'0.Productos'!CO$1+1,0),"")</f>
        <v/>
      </c>
      <c r="AX410" s="133" t="str">
        <f>IF($A410&lt;&gt;0,VLOOKUP($A410,'0.Productos'!$A$3:$GG$587,'0.Productos'!CP$1+1,0),"")</f>
        <v/>
      </c>
      <c r="AY410" s="133" t="str">
        <f>IF($A410&lt;&gt;0,VLOOKUP($A410,'0.Productos'!$A$3:$GG$587,'0.Productos'!CQ$1+1,0),"")</f>
        <v/>
      </c>
      <c r="AZ410" s="133" t="str">
        <f>IF($A410&lt;&gt;0,VLOOKUP($A410,'0.Productos'!$A$3:$GG$587,'0.Productos'!CR$1+1,0),"")</f>
        <v/>
      </c>
      <c r="BA410" s="133" t="str">
        <f>IF($A410&lt;&gt;0,VLOOKUP($A410,'0.Productos'!$A$3:$GG$587,'0.Productos'!CS$1+1,0),"")</f>
        <v/>
      </c>
      <c r="BB410" s="133" t="str">
        <f>IF($A410&lt;&gt;0,VLOOKUP($A410,'0.Productos'!$A$3:$GG$587,'0.Productos'!CT$1+1,0),"")</f>
        <v/>
      </c>
      <c r="BC410" s="133" t="str">
        <f>IF($A410&lt;&gt;0,VLOOKUP($A410,'0.Productos'!$A$3:$GG$587,'0.Productos'!CU$1+1,0),"")</f>
        <v/>
      </c>
      <c r="BD410" s="133" t="str">
        <f>IF($A410&lt;&gt;0,VLOOKUP($A410,'0.Productos'!$A$3:$GG$587,'0.Productos'!CV$1+1,0),"")</f>
        <v/>
      </c>
      <c r="BE410" s="133" t="str">
        <f>IF($A410&lt;&gt;0,VLOOKUP($A410,'0.Productos'!$A$3:$GG$587,'0.Productos'!CW$1+1,0),"")</f>
        <v/>
      </c>
      <c r="BF410" s="133" t="str">
        <f>IF($A410&lt;&gt;0,VLOOKUP($A410,'0.Productos'!$A$3:$GG$587,'0.Productos'!CX$1+1,0),"")</f>
        <v/>
      </c>
      <c r="BG410" s="133" t="str">
        <f>IF($A410&lt;&gt;0,VLOOKUP($A410,'0.Productos'!$A$3:$GG$587,'0.Productos'!CY$1+1,0),"")</f>
        <v/>
      </c>
      <c r="BH410" s="133" t="str">
        <f>IF($A410&lt;&gt;0,VLOOKUP($A410,'0.Productos'!$A$3:$GG$587,'0.Productos'!CZ$1+1,0),"")</f>
        <v/>
      </c>
      <c r="BI410" s="133" t="str">
        <f>IF($A410&lt;&gt;0,VLOOKUP($A410,'0.Productos'!$A$3:$GG$587,'0.Productos'!DA$1+1,0),"")</f>
        <v/>
      </c>
      <c r="BJ410" s="133" t="str">
        <f>IF($A410&lt;&gt;0,VLOOKUP($A410,'0.Productos'!$A$3:$GG$587,'0.Productos'!DB$1+1,0),"")</f>
        <v/>
      </c>
      <c r="BK410" s="133" t="str">
        <f>IF($A410&lt;&gt;0,VLOOKUP($A410,'0.Productos'!$A$3:$GG$587,'0.Productos'!DC$1+1,0),"")</f>
        <v/>
      </c>
      <c r="BL410" s="133" t="str">
        <f>IF($A410&lt;&gt;0,VLOOKUP($A410,'0.Productos'!$A$3:$GG$587,'0.Productos'!DD$1+1,0),"")</f>
        <v/>
      </c>
      <c r="BM410" s="133" t="str">
        <f>IF($A410&lt;&gt;0,VLOOKUP($A410,'0.Productos'!$A$3:$GG$587,'0.Productos'!DE$1+1,0),"")</f>
        <v/>
      </c>
      <c r="BN410" s="133" t="str">
        <f>IF($A410&lt;&gt;0,VLOOKUP($A410,'0.Productos'!$A$3:$GG$587,'0.Productos'!DF$1+1,0),"")</f>
        <v/>
      </c>
      <c r="BO410" s="133" t="str">
        <f>IF($A410&lt;&gt;0,VLOOKUP($A410,'0.Productos'!$A$3:$GG$587,'0.Productos'!DG$1+1,0),"")</f>
        <v/>
      </c>
      <c r="BP410" s="133" t="str">
        <f>IF($A410&lt;&gt;0,VLOOKUP($A410,'0.Productos'!$A$3:$GG$587,'0.Productos'!DH$1+1,0),"")</f>
        <v/>
      </c>
      <c r="BQ410" s="133" t="str">
        <f>IF($A410&lt;&gt;0,VLOOKUP($A410,'0.Productos'!$A$3:$GG$587,'0.Productos'!DI$1+1,0),"")</f>
        <v/>
      </c>
      <c r="BR410" s="133" t="str">
        <f>IF($A410&lt;&gt;0,VLOOKUP($A410,'0.Productos'!$A$3:$GG$587,'0.Productos'!DJ$1+1,0),"")</f>
        <v/>
      </c>
      <c r="BS410" s="133" t="str">
        <f>IF($A410&lt;&gt;0,VLOOKUP($A410,'0.Productos'!$A$3:$GG$587,'0.Productos'!DK$1+1,0),"")</f>
        <v/>
      </c>
      <c r="BT410" s="133" t="str">
        <f>IF($A410&lt;&gt;0,VLOOKUP($A410,'0.Productos'!$A$3:$GG$587,'0.Productos'!DL$1+1,0),"")</f>
        <v/>
      </c>
    </row>
    <row r="411" spans="1:72" x14ac:dyDescent="0.25">
      <c r="A411" s="17">
        <f>'0.Consolidado general'!A411</f>
        <v>0</v>
      </c>
      <c r="B411" s="133" t="str">
        <f>IF($A411&lt;&gt;0,VLOOKUP($A411,'0.Productos'!$A$3:$GG$587,'0.Productos'!AT$1+1,0),"")</f>
        <v/>
      </c>
      <c r="C411" s="133" t="str">
        <f>IF($A411&lt;&gt;0,VLOOKUP($A411,'0.Productos'!$A$3:$GG$587,'0.Productos'!AU$1+1,0),"")</f>
        <v/>
      </c>
      <c r="D411" s="133" t="str">
        <f>IF($A411&lt;&gt;0,VLOOKUP($A411,'0.Productos'!$A$3:$GG$587,'0.Productos'!AV$1+1,0),"")</f>
        <v/>
      </c>
      <c r="E411" s="133" t="str">
        <f>IF($A411&lt;&gt;0,VLOOKUP($A411,'0.Productos'!$A$3:$GG$587,'0.Productos'!AW$1+1,0),"")</f>
        <v/>
      </c>
      <c r="F411" s="133" t="str">
        <f>IF($A411&lt;&gt;0,VLOOKUP($A411,'0.Productos'!$A$3:$GG$587,'0.Productos'!AX$1+1,0),"")</f>
        <v/>
      </c>
      <c r="G411" s="133" t="str">
        <f>IF($A411&lt;&gt;0,VLOOKUP($A411,'0.Productos'!$A$3:$GG$587,'0.Productos'!AY$1+1,0),"")</f>
        <v/>
      </c>
      <c r="H411" s="133" t="str">
        <f>IF($A411&lt;&gt;0,VLOOKUP($A411,'0.Productos'!$A$3:$GG$587,'0.Productos'!AZ$1+1,0),"")</f>
        <v/>
      </c>
      <c r="I411" s="133" t="str">
        <f>IF($A411&lt;&gt;0,VLOOKUP($A411,'0.Productos'!$A$3:$GG$587,'0.Productos'!BA$1+1,0),"")</f>
        <v/>
      </c>
      <c r="J411" s="133" t="str">
        <f>IF($A411&lt;&gt;0,VLOOKUP($A411,'0.Productos'!$A$3:$GG$587,'0.Productos'!BB$1+1,0),"")</f>
        <v/>
      </c>
      <c r="K411" s="133" t="str">
        <f>IF($A411&lt;&gt;0,VLOOKUP($A411,'0.Productos'!$A$3:$GG$587,'0.Productos'!BC$1+1,0),"")</f>
        <v/>
      </c>
      <c r="L411" s="133" t="str">
        <f>IF($A411&lt;&gt;0,VLOOKUP($A411,'0.Productos'!$A$3:$GG$587,'0.Productos'!BD$1+1,0),"")</f>
        <v/>
      </c>
      <c r="M411" s="133" t="str">
        <f>IF($A411&lt;&gt;0,VLOOKUP($A411,'0.Productos'!$A$3:$GG$587,'0.Productos'!BE$1+1,0),"")</f>
        <v/>
      </c>
      <c r="N411" s="133" t="str">
        <f>IF($A411&lt;&gt;0,VLOOKUP($A411,'0.Productos'!$A$3:$GG$587,'0.Productos'!BF$1+1,0),"")</f>
        <v/>
      </c>
      <c r="O411" s="133" t="str">
        <f>IF($A411&lt;&gt;0,VLOOKUP($A411,'0.Productos'!$A$3:$GG$587,'0.Productos'!BG$1+1,0),"")</f>
        <v/>
      </c>
      <c r="P411" s="133" t="str">
        <f>IF($A411&lt;&gt;0,VLOOKUP($A411,'0.Productos'!$A$3:$GG$587,'0.Productos'!BH$1+1,0),"")</f>
        <v/>
      </c>
      <c r="Q411" s="133" t="str">
        <f>IF($A411&lt;&gt;0,VLOOKUP($A411,'0.Productos'!$A$3:$GG$587,'0.Productos'!BI$1+1,0),"")</f>
        <v/>
      </c>
      <c r="R411" s="133" t="str">
        <f>IF($A411&lt;&gt;0,VLOOKUP($A411,'0.Productos'!$A$3:$GG$587,'0.Productos'!BJ$1+1,0),"")</f>
        <v/>
      </c>
      <c r="S411" s="133" t="str">
        <f>IF($A411&lt;&gt;0,VLOOKUP($A411,'0.Productos'!$A$3:$GG$587,'0.Productos'!BK$1+1,0),"")</f>
        <v/>
      </c>
      <c r="T411" s="133" t="str">
        <f>IF($A411&lt;&gt;0,VLOOKUP($A411,'0.Productos'!$A$3:$GG$587,'0.Productos'!BL$1+1,0),"")</f>
        <v/>
      </c>
      <c r="U411" s="133" t="str">
        <f>IF($A411&lt;&gt;0,VLOOKUP($A411,'0.Productos'!$A$3:$GG$587,'0.Productos'!BM$1+1,0),"")</f>
        <v/>
      </c>
      <c r="V411" s="133" t="str">
        <f>IF($A411&lt;&gt;0,VLOOKUP($A411,'0.Productos'!$A$3:$GG$587,'0.Productos'!BN$1+1,0),"")</f>
        <v/>
      </c>
      <c r="W411" s="133" t="str">
        <f>IF($A411&lt;&gt;0,VLOOKUP($A411,'0.Productos'!$A$3:$GG$587,'0.Productos'!BO$1+1,0),"")</f>
        <v/>
      </c>
      <c r="X411" s="133" t="str">
        <f>IF($A411&lt;&gt;0,VLOOKUP($A411,'0.Productos'!$A$3:$GG$587,'0.Productos'!BP$1+1,0),"")</f>
        <v/>
      </c>
      <c r="Y411" s="133" t="str">
        <f>IF($A411&lt;&gt;0,VLOOKUP($A411,'0.Productos'!$A$3:$GG$587,'0.Productos'!BQ$1+1,0),"")</f>
        <v/>
      </c>
      <c r="Z411" s="133" t="str">
        <f>IF($A411&lt;&gt;0,VLOOKUP($A411,'0.Productos'!$A$3:$GG$587,'0.Productos'!BR$1+1,0),"")</f>
        <v/>
      </c>
      <c r="AA411" s="133" t="str">
        <f>IF($A411&lt;&gt;0,VLOOKUP($A411,'0.Productos'!$A$3:$GG$587,'0.Productos'!BS$1+1,0),"")</f>
        <v/>
      </c>
      <c r="AB411" s="133" t="str">
        <f>IF($A411&lt;&gt;0,VLOOKUP($A411,'0.Productos'!$A$3:$GG$587,'0.Productos'!BT$1+1,0),"")</f>
        <v/>
      </c>
      <c r="AC411" s="133" t="str">
        <f>IF($A411&lt;&gt;0,VLOOKUP($A411,'0.Productos'!$A$3:$GG$587,'0.Productos'!BU$1+1,0),"")</f>
        <v/>
      </c>
      <c r="AD411" s="133" t="str">
        <f>IF($A411&lt;&gt;0,VLOOKUP($A411,'0.Productos'!$A$3:$GG$587,'0.Productos'!BV$1+1,0),"")</f>
        <v/>
      </c>
      <c r="AE411" s="133" t="str">
        <f>IF($A411&lt;&gt;0,VLOOKUP($A411,'0.Productos'!$A$3:$GG$587,'0.Productos'!BW$1+1,0),"")</f>
        <v/>
      </c>
      <c r="AF411" s="133" t="str">
        <f>IF($A411&lt;&gt;0,VLOOKUP($A411,'0.Productos'!$A$3:$GG$587,'0.Productos'!BX$1+1,0),"")</f>
        <v/>
      </c>
      <c r="AG411" s="133" t="str">
        <f>IF($A411&lt;&gt;0,VLOOKUP($A411,'0.Productos'!$A$3:$GG$587,'0.Productos'!BY$1+1,0),"")</f>
        <v/>
      </c>
      <c r="AH411" s="133" t="str">
        <f>IF($A411&lt;&gt;0,VLOOKUP($A411,'0.Productos'!$A$3:$GG$587,'0.Productos'!BZ$1+1,0),"")</f>
        <v/>
      </c>
      <c r="AI411" s="133" t="str">
        <f>IF($A411&lt;&gt;0,VLOOKUP($A411,'0.Productos'!$A$3:$GG$587,'0.Productos'!CA$1+1,0),"")</f>
        <v/>
      </c>
      <c r="AJ411" s="133" t="str">
        <f>IF($A411&lt;&gt;0,VLOOKUP($A411,'0.Productos'!$A$3:$GG$587,'0.Productos'!CB$1+1,0),"")</f>
        <v/>
      </c>
      <c r="AK411" s="133" t="str">
        <f>IF($A411&lt;&gt;0,VLOOKUP($A411,'0.Productos'!$A$3:$GG$587,'0.Productos'!CC$1+1,0),"")</f>
        <v/>
      </c>
      <c r="AL411" s="133" t="str">
        <f>IF($A411&lt;&gt;0,VLOOKUP($A411,'0.Productos'!$A$3:$GG$587,'0.Productos'!CD$1+1,0),"")</f>
        <v/>
      </c>
      <c r="AM411" s="133" t="str">
        <f>IF($A411&lt;&gt;0,VLOOKUP($A411,'0.Productos'!$A$3:$GG$587,'0.Productos'!CE$1+1,0),"")</f>
        <v/>
      </c>
      <c r="AN411" s="133" t="str">
        <f>IF($A411&lt;&gt;0,VLOOKUP($A411,'0.Productos'!$A$3:$GG$587,'0.Productos'!CF$1+1,0),"")</f>
        <v/>
      </c>
      <c r="AO411" s="133" t="str">
        <f>IF($A411&lt;&gt;0,VLOOKUP($A411,'0.Productos'!$A$3:$GG$587,'0.Productos'!CG$1+1,0),"")</f>
        <v/>
      </c>
      <c r="AP411" s="133" t="str">
        <f>IF($A411&lt;&gt;0,VLOOKUP($A411,'0.Productos'!$A$3:$GG$587,'0.Productos'!CH$1+1,0),"")</f>
        <v/>
      </c>
      <c r="AQ411" s="133" t="str">
        <f>IF($A411&lt;&gt;0,VLOOKUP($A411,'0.Productos'!$A$3:$GG$587,'0.Productos'!CI$1+1,0),"")</f>
        <v/>
      </c>
      <c r="AR411" s="133" t="str">
        <f>IF($A411&lt;&gt;0,VLOOKUP($A411,'0.Productos'!$A$3:$GG$587,'0.Productos'!CJ$1+1,0),"")</f>
        <v/>
      </c>
      <c r="AS411" s="133" t="str">
        <f>IF($A411&lt;&gt;0,VLOOKUP($A411,'0.Productos'!$A$3:$GG$587,'0.Productos'!CK$1+1,0),"")</f>
        <v/>
      </c>
      <c r="AT411" s="133" t="str">
        <f>IF($A411&lt;&gt;0,VLOOKUP($A411,'0.Productos'!$A$3:$GG$587,'0.Productos'!CL$1+1,0),"")</f>
        <v/>
      </c>
      <c r="AU411" s="133" t="str">
        <f>IF($A411&lt;&gt;0,VLOOKUP($A411,'0.Productos'!$A$3:$GG$587,'0.Productos'!CM$1+1,0),"")</f>
        <v/>
      </c>
      <c r="AV411" s="133" t="str">
        <f>IF($A411&lt;&gt;0,VLOOKUP($A411,'0.Productos'!$A$3:$GG$587,'0.Productos'!CN$1+1,0),"")</f>
        <v/>
      </c>
      <c r="AW411" s="133" t="str">
        <f>IF($A411&lt;&gt;0,VLOOKUP($A411,'0.Productos'!$A$3:$GG$587,'0.Productos'!CO$1+1,0),"")</f>
        <v/>
      </c>
      <c r="AX411" s="133" t="str">
        <f>IF($A411&lt;&gt;0,VLOOKUP($A411,'0.Productos'!$A$3:$GG$587,'0.Productos'!CP$1+1,0),"")</f>
        <v/>
      </c>
      <c r="AY411" s="133" t="str">
        <f>IF($A411&lt;&gt;0,VLOOKUP($A411,'0.Productos'!$A$3:$GG$587,'0.Productos'!CQ$1+1,0),"")</f>
        <v/>
      </c>
      <c r="AZ411" s="133" t="str">
        <f>IF($A411&lt;&gt;0,VLOOKUP($A411,'0.Productos'!$A$3:$GG$587,'0.Productos'!CR$1+1,0),"")</f>
        <v/>
      </c>
      <c r="BA411" s="133" t="str">
        <f>IF($A411&lt;&gt;0,VLOOKUP($A411,'0.Productos'!$A$3:$GG$587,'0.Productos'!CS$1+1,0),"")</f>
        <v/>
      </c>
      <c r="BB411" s="133" t="str">
        <f>IF($A411&lt;&gt;0,VLOOKUP($A411,'0.Productos'!$A$3:$GG$587,'0.Productos'!CT$1+1,0),"")</f>
        <v/>
      </c>
      <c r="BC411" s="133" t="str">
        <f>IF($A411&lt;&gt;0,VLOOKUP($A411,'0.Productos'!$A$3:$GG$587,'0.Productos'!CU$1+1,0),"")</f>
        <v/>
      </c>
      <c r="BD411" s="133" t="str">
        <f>IF($A411&lt;&gt;0,VLOOKUP($A411,'0.Productos'!$A$3:$GG$587,'0.Productos'!CV$1+1,0),"")</f>
        <v/>
      </c>
      <c r="BE411" s="133" t="str">
        <f>IF($A411&lt;&gt;0,VLOOKUP($A411,'0.Productos'!$A$3:$GG$587,'0.Productos'!CW$1+1,0),"")</f>
        <v/>
      </c>
      <c r="BF411" s="133" t="str">
        <f>IF($A411&lt;&gt;0,VLOOKUP($A411,'0.Productos'!$A$3:$GG$587,'0.Productos'!CX$1+1,0),"")</f>
        <v/>
      </c>
      <c r="BG411" s="133" t="str">
        <f>IF($A411&lt;&gt;0,VLOOKUP($A411,'0.Productos'!$A$3:$GG$587,'0.Productos'!CY$1+1,0),"")</f>
        <v/>
      </c>
      <c r="BH411" s="133" t="str">
        <f>IF($A411&lt;&gt;0,VLOOKUP($A411,'0.Productos'!$A$3:$GG$587,'0.Productos'!CZ$1+1,0),"")</f>
        <v/>
      </c>
      <c r="BI411" s="133" t="str">
        <f>IF($A411&lt;&gt;0,VLOOKUP($A411,'0.Productos'!$A$3:$GG$587,'0.Productos'!DA$1+1,0),"")</f>
        <v/>
      </c>
      <c r="BJ411" s="133" t="str">
        <f>IF($A411&lt;&gt;0,VLOOKUP($A411,'0.Productos'!$A$3:$GG$587,'0.Productos'!DB$1+1,0),"")</f>
        <v/>
      </c>
      <c r="BK411" s="133" t="str">
        <f>IF($A411&lt;&gt;0,VLOOKUP($A411,'0.Productos'!$A$3:$GG$587,'0.Productos'!DC$1+1,0),"")</f>
        <v/>
      </c>
      <c r="BL411" s="133" t="str">
        <f>IF($A411&lt;&gt;0,VLOOKUP($A411,'0.Productos'!$A$3:$GG$587,'0.Productos'!DD$1+1,0),"")</f>
        <v/>
      </c>
      <c r="BM411" s="133" t="str">
        <f>IF($A411&lt;&gt;0,VLOOKUP($A411,'0.Productos'!$A$3:$GG$587,'0.Productos'!DE$1+1,0),"")</f>
        <v/>
      </c>
      <c r="BN411" s="133" t="str">
        <f>IF($A411&lt;&gt;0,VLOOKUP($A411,'0.Productos'!$A$3:$GG$587,'0.Productos'!DF$1+1,0),"")</f>
        <v/>
      </c>
      <c r="BO411" s="133" t="str">
        <f>IF($A411&lt;&gt;0,VLOOKUP($A411,'0.Productos'!$A$3:$GG$587,'0.Productos'!DG$1+1,0),"")</f>
        <v/>
      </c>
      <c r="BP411" s="133" t="str">
        <f>IF($A411&lt;&gt;0,VLOOKUP($A411,'0.Productos'!$A$3:$GG$587,'0.Productos'!DH$1+1,0),"")</f>
        <v/>
      </c>
      <c r="BQ411" s="133" t="str">
        <f>IF($A411&lt;&gt;0,VLOOKUP($A411,'0.Productos'!$A$3:$GG$587,'0.Productos'!DI$1+1,0),"")</f>
        <v/>
      </c>
      <c r="BR411" s="133" t="str">
        <f>IF($A411&lt;&gt;0,VLOOKUP($A411,'0.Productos'!$A$3:$GG$587,'0.Productos'!DJ$1+1,0),"")</f>
        <v/>
      </c>
      <c r="BS411" s="133" t="str">
        <f>IF($A411&lt;&gt;0,VLOOKUP($A411,'0.Productos'!$A$3:$GG$587,'0.Productos'!DK$1+1,0),"")</f>
        <v/>
      </c>
      <c r="BT411" s="133" t="str">
        <f>IF($A411&lt;&gt;0,VLOOKUP($A411,'0.Productos'!$A$3:$GG$587,'0.Productos'!DL$1+1,0),"")</f>
        <v/>
      </c>
    </row>
    <row r="412" spans="1:72" x14ac:dyDescent="0.25">
      <c r="A412" s="17">
        <f>'0.Consolidado general'!A412</f>
        <v>0</v>
      </c>
      <c r="B412" s="133" t="str">
        <f>IF($A412&lt;&gt;0,VLOOKUP($A412,'0.Productos'!$A$3:$GG$587,'0.Productos'!AT$1+1,0),"")</f>
        <v/>
      </c>
      <c r="C412" s="133" t="str">
        <f>IF($A412&lt;&gt;0,VLOOKUP($A412,'0.Productos'!$A$3:$GG$587,'0.Productos'!AU$1+1,0),"")</f>
        <v/>
      </c>
      <c r="D412" s="133" t="str">
        <f>IF($A412&lt;&gt;0,VLOOKUP($A412,'0.Productos'!$A$3:$GG$587,'0.Productos'!AV$1+1,0),"")</f>
        <v/>
      </c>
      <c r="E412" s="133" t="str">
        <f>IF($A412&lt;&gt;0,VLOOKUP($A412,'0.Productos'!$A$3:$GG$587,'0.Productos'!AW$1+1,0),"")</f>
        <v/>
      </c>
      <c r="F412" s="133" t="str">
        <f>IF($A412&lt;&gt;0,VLOOKUP($A412,'0.Productos'!$A$3:$GG$587,'0.Productos'!AX$1+1,0),"")</f>
        <v/>
      </c>
      <c r="G412" s="133" t="str">
        <f>IF($A412&lt;&gt;0,VLOOKUP($A412,'0.Productos'!$A$3:$GG$587,'0.Productos'!AY$1+1,0),"")</f>
        <v/>
      </c>
      <c r="H412" s="133" t="str">
        <f>IF($A412&lt;&gt;0,VLOOKUP($A412,'0.Productos'!$A$3:$GG$587,'0.Productos'!AZ$1+1,0),"")</f>
        <v/>
      </c>
      <c r="I412" s="133" t="str">
        <f>IF($A412&lt;&gt;0,VLOOKUP($A412,'0.Productos'!$A$3:$GG$587,'0.Productos'!BA$1+1,0),"")</f>
        <v/>
      </c>
      <c r="J412" s="133" t="str">
        <f>IF($A412&lt;&gt;0,VLOOKUP($A412,'0.Productos'!$A$3:$GG$587,'0.Productos'!BB$1+1,0),"")</f>
        <v/>
      </c>
      <c r="K412" s="133" t="str">
        <f>IF($A412&lt;&gt;0,VLOOKUP($A412,'0.Productos'!$A$3:$GG$587,'0.Productos'!BC$1+1,0),"")</f>
        <v/>
      </c>
      <c r="L412" s="133" t="str">
        <f>IF($A412&lt;&gt;0,VLOOKUP($A412,'0.Productos'!$A$3:$GG$587,'0.Productos'!BD$1+1,0),"")</f>
        <v/>
      </c>
      <c r="M412" s="133" t="str">
        <f>IF($A412&lt;&gt;0,VLOOKUP($A412,'0.Productos'!$A$3:$GG$587,'0.Productos'!BE$1+1,0),"")</f>
        <v/>
      </c>
      <c r="N412" s="133" t="str">
        <f>IF($A412&lt;&gt;0,VLOOKUP($A412,'0.Productos'!$A$3:$GG$587,'0.Productos'!BF$1+1,0),"")</f>
        <v/>
      </c>
      <c r="O412" s="133" t="str">
        <f>IF($A412&lt;&gt;0,VLOOKUP($A412,'0.Productos'!$A$3:$GG$587,'0.Productos'!BG$1+1,0),"")</f>
        <v/>
      </c>
      <c r="P412" s="133" t="str">
        <f>IF($A412&lt;&gt;0,VLOOKUP($A412,'0.Productos'!$A$3:$GG$587,'0.Productos'!BH$1+1,0),"")</f>
        <v/>
      </c>
      <c r="Q412" s="133" t="str">
        <f>IF($A412&lt;&gt;0,VLOOKUP($A412,'0.Productos'!$A$3:$GG$587,'0.Productos'!BI$1+1,0),"")</f>
        <v/>
      </c>
      <c r="R412" s="133" t="str">
        <f>IF($A412&lt;&gt;0,VLOOKUP($A412,'0.Productos'!$A$3:$GG$587,'0.Productos'!BJ$1+1,0),"")</f>
        <v/>
      </c>
      <c r="S412" s="133" t="str">
        <f>IF($A412&lt;&gt;0,VLOOKUP($A412,'0.Productos'!$A$3:$GG$587,'0.Productos'!BK$1+1,0),"")</f>
        <v/>
      </c>
      <c r="T412" s="133" t="str">
        <f>IF($A412&lt;&gt;0,VLOOKUP($A412,'0.Productos'!$A$3:$GG$587,'0.Productos'!BL$1+1,0),"")</f>
        <v/>
      </c>
      <c r="U412" s="133" t="str">
        <f>IF($A412&lt;&gt;0,VLOOKUP($A412,'0.Productos'!$A$3:$GG$587,'0.Productos'!BM$1+1,0),"")</f>
        <v/>
      </c>
      <c r="V412" s="133" t="str">
        <f>IF($A412&lt;&gt;0,VLOOKUP($A412,'0.Productos'!$A$3:$GG$587,'0.Productos'!BN$1+1,0),"")</f>
        <v/>
      </c>
      <c r="W412" s="133" t="str">
        <f>IF($A412&lt;&gt;0,VLOOKUP($A412,'0.Productos'!$A$3:$GG$587,'0.Productos'!BO$1+1,0),"")</f>
        <v/>
      </c>
      <c r="X412" s="133" t="str">
        <f>IF($A412&lt;&gt;0,VLOOKUP($A412,'0.Productos'!$A$3:$GG$587,'0.Productos'!BP$1+1,0),"")</f>
        <v/>
      </c>
      <c r="Y412" s="133" t="str">
        <f>IF($A412&lt;&gt;0,VLOOKUP($A412,'0.Productos'!$A$3:$GG$587,'0.Productos'!BQ$1+1,0),"")</f>
        <v/>
      </c>
      <c r="Z412" s="133" t="str">
        <f>IF($A412&lt;&gt;0,VLOOKUP($A412,'0.Productos'!$A$3:$GG$587,'0.Productos'!BR$1+1,0),"")</f>
        <v/>
      </c>
      <c r="AA412" s="133" t="str">
        <f>IF($A412&lt;&gt;0,VLOOKUP($A412,'0.Productos'!$A$3:$GG$587,'0.Productos'!BS$1+1,0),"")</f>
        <v/>
      </c>
      <c r="AB412" s="133" t="str">
        <f>IF($A412&lt;&gt;0,VLOOKUP($A412,'0.Productos'!$A$3:$GG$587,'0.Productos'!BT$1+1,0),"")</f>
        <v/>
      </c>
      <c r="AC412" s="133" t="str">
        <f>IF($A412&lt;&gt;0,VLOOKUP($A412,'0.Productos'!$A$3:$GG$587,'0.Productos'!BU$1+1,0),"")</f>
        <v/>
      </c>
      <c r="AD412" s="133" t="str">
        <f>IF($A412&lt;&gt;0,VLOOKUP($A412,'0.Productos'!$A$3:$GG$587,'0.Productos'!BV$1+1,0),"")</f>
        <v/>
      </c>
      <c r="AE412" s="133" t="str">
        <f>IF($A412&lt;&gt;0,VLOOKUP($A412,'0.Productos'!$A$3:$GG$587,'0.Productos'!BW$1+1,0),"")</f>
        <v/>
      </c>
      <c r="AF412" s="133" t="str">
        <f>IF($A412&lt;&gt;0,VLOOKUP($A412,'0.Productos'!$A$3:$GG$587,'0.Productos'!BX$1+1,0),"")</f>
        <v/>
      </c>
      <c r="AG412" s="133" t="str">
        <f>IF($A412&lt;&gt;0,VLOOKUP($A412,'0.Productos'!$A$3:$GG$587,'0.Productos'!BY$1+1,0),"")</f>
        <v/>
      </c>
      <c r="AH412" s="133" t="str">
        <f>IF($A412&lt;&gt;0,VLOOKUP($A412,'0.Productos'!$A$3:$GG$587,'0.Productos'!BZ$1+1,0),"")</f>
        <v/>
      </c>
      <c r="AI412" s="133" t="str">
        <f>IF($A412&lt;&gt;0,VLOOKUP($A412,'0.Productos'!$A$3:$GG$587,'0.Productos'!CA$1+1,0),"")</f>
        <v/>
      </c>
      <c r="AJ412" s="133" t="str">
        <f>IF($A412&lt;&gt;0,VLOOKUP($A412,'0.Productos'!$A$3:$GG$587,'0.Productos'!CB$1+1,0),"")</f>
        <v/>
      </c>
      <c r="AK412" s="133" t="str">
        <f>IF($A412&lt;&gt;0,VLOOKUP($A412,'0.Productos'!$A$3:$GG$587,'0.Productos'!CC$1+1,0),"")</f>
        <v/>
      </c>
      <c r="AL412" s="133" t="str">
        <f>IF($A412&lt;&gt;0,VLOOKUP($A412,'0.Productos'!$A$3:$GG$587,'0.Productos'!CD$1+1,0),"")</f>
        <v/>
      </c>
      <c r="AM412" s="133" t="str">
        <f>IF($A412&lt;&gt;0,VLOOKUP($A412,'0.Productos'!$A$3:$GG$587,'0.Productos'!CE$1+1,0),"")</f>
        <v/>
      </c>
      <c r="AN412" s="133" t="str">
        <f>IF($A412&lt;&gt;0,VLOOKUP($A412,'0.Productos'!$A$3:$GG$587,'0.Productos'!CF$1+1,0),"")</f>
        <v/>
      </c>
      <c r="AO412" s="133" t="str">
        <f>IF($A412&lt;&gt;0,VLOOKUP($A412,'0.Productos'!$A$3:$GG$587,'0.Productos'!CG$1+1,0),"")</f>
        <v/>
      </c>
      <c r="AP412" s="133" t="str">
        <f>IF($A412&lt;&gt;0,VLOOKUP($A412,'0.Productos'!$A$3:$GG$587,'0.Productos'!CH$1+1,0),"")</f>
        <v/>
      </c>
      <c r="AQ412" s="133" t="str">
        <f>IF($A412&lt;&gt;0,VLOOKUP($A412,'0.Productos'!$A$3:$GG$587,'0.Productos'!CI$1+1,0),"")</f>
        <v/>
      </c>
      <c r="AR412" s="133" t="str">
        <f>IF($A412&lt;&gt;0,VLOOKUP($A412,'0.Productos'!$A$3:$GG$587,'0.Productos'!CJ$1+1,0),"")</f>
        <v/>
      </c>
      <c r="AS412" s="133" t="str">
        <f>IF($A412&lt;&gt;0,VLOOKUP($A412,'0.Productos'!$A$3:$GG$587,'0.Productos'!CK$1+1,0),"")</f>
        <v/>
      </c>
      <c r="AT412" s="133" t="str">
        <f>IF($A412&lt;&gt;0,VLOOKUP($A412,'0.Productos'!$A$3:$GG$587,'0.Productos'!CL$1+1,0),"")</f>
        <v/>
      </c>
      <c r="AU412" s="133" t="str">
        <f>IF($A412&lt;&gt;0,VLOOKUP($A412,'0.Productos'!$A$3:$GG$587,'0.Productos'!CM$1+1,0),"")</f>
        <v/>
      </c>
      <c r="AV412" s="133" t="str">
        <f>IF($A412&lt;&gt;0,VLOOKUP($A412,'0.Productos'!$A$3:$GG$587,'0.Productos'!CN$1+1,0),"")</f>
        <v/>
      </c>
      <c r="AW412" s="133" t="str">
        <f>IF($A412&lt;&gt;0,VLOOKUP($A412,'0.Productos'!$A$3:$GG$587,'0.Productos'!CO$1+1,0),"")</f>
        <v/>
      </c>
      <c r="AX412" s="133" t="str">
        <f>IF($A412&lt;&gt;0,VLOOKUP($A412,'0.Productos'!$A$3:$GG$587,'0.Productos'!CP$1+1,0),"")</f>
        <v/>
      </c>
      <c r="AY412" s="133" t="str">
        <f>IF($A412&lt;&gt;0,VLOOKUP($A412,'0.Productos'!$A$3:$GG$587,'0.Productos'!CQ$1+1,0),"")</f>
        <v/>
      </c>
      <c r="AZ412" s="133" t="str">
        <f>IF($A412&lt;&gt;0,VLOOKUP($A412,'0.Productos'!$A$3:$GG$587,'0.Productos'!CR$1+1,0),"")</f>
        <v/>
      </c>
      <c r="BA412" s="133" t="str">
        <f>IF($A412&lt;&gt;0,VLOOKUP($A412,'0.Productos'!$A$3:$GG$587,'0.Productos'!CS$1+1,0),"")</f>
        <v/>
      </c>
      <c r="BB412" s="133" t="str">
        <f>IF($A412&lt;&gt;0,VLOOKUP($A412,'0.Productos'!$A$3:$GG$587,'0.Productos'!CT$1+1,0),"")</f>
        <v/>
      </c>
      <c r="BC412" s="133" t="str">
        <f>IF($A412&lt;&gt;0,VLOOKUP($A412,'0.Productos'!$A$3:$GG$587,'0.Productos'!CU$1+1,0),"")</f>
        <v/>
      </c>
      <c r="BD412" s="133" t="str">
        <f>IF($A412&lt;&gt;0,VLOOKUP($A412,'0.Productos'!$A$3:$GG$587,'0.Productos'!CV$1+1,0),"")</f>
        <v/>
      </c>
      <c r="BE412" s="133" t="str">
        <f>IF($A412&lt;&gt;0,VLOOKUP($A412,'0.Productos'!$A$3:$GG$587,'0.Productos'!CW$1+1,0),"")</f>
        <v/>
      </c>
      <c r="BF412" s="133" t="str">
        <f>IF($A412&lt;&gt;0,VLOOKUP($A412,'0.Productos'!$A$3:$GG$587,'0.Productos'!CX$1+1,0),"")</f>
        <v/>
      </c>
      <c r="BG412" s="133" t="str">
        <f>IF($A412&lt;&gt;0,VLOOKUP($A412,'0.Productos'!$A$3:$GG$587,'0.Productos'!CY$1+1,0),"")</f>
        <v/>
      </c>
      <c r="BH412" s="133" t="str">
        <f>IF($A412&lt;&gt;0,VLOOKUP($A412,'0.Productos'!$A$3:$GG$587,'0.Productos'!CZ$1+1,0),"")</f>
        <v/>
      </c>
      <c r="BI412" s="133" t="str">
        <f>IF($A412&lt;&gt;0,VLOOKUP($A412,'0.Productos'!$A$3:$GG$587,'0.Productos'!DA$1+1,0),"")</f>
        <v/>
      </c>
      <c r="BJ412" s="133" t="str">
        <f>IF($A412&lt;&gt;0,VLOOKUP($A412,'0.Productos'!$A$3:$GG$587,'0.Productos'!DB$1+1,0),"")</f>
        <v/>
      </c>
      <c r="BK412" s="133" t="str">
        <f>IF($A412&lt;&gt;0,VLOOKUP($A412,'0.Productos'!$A$3:$GG$587,'0.Productos'!DC$1+1,0),"")</f>
        <v/>
      </c>
      <c r="BL412" s="133" t="str">
        <f>IF($A412&lt;&gt;0,VLOOKUP($A412,'0.Productos'!$A$3:$GG$587,'0.Productos'!DD$1+1,0),"")</f>
        <v/>
      </c>
      <c r="BM412" s="133" t="str">
        <f>IF($A412&lt;&gt;0,VLOOKUP($A412,'0.Productos'!$A$3:$GG$587,'0.Productos'!DE$1+1,0),"")</f>
        <v/>
      </c>
      <c r="BN412" s="133" t="str">
        <f>IF($A412&lt;&gt;0,VLOOKUP($A412,'0.Productos'!$A$3:$GG$587,'0.Productos'!DF$1+1,0),"")</f>
        <v/>
      </c>
      <c r="BO412" s="133" t="str">
        <f>IF($A412&lt;&gt;0,VLOOKUP($A412,'0.Productos'!$A$3:$GG$587,'0.Productos'!DG$1+1,0),"")</f>
        <v/>
      </c>
      <c r="BP412" s="133" t="str">
        <f>IF($A412&lt;&gt;0,VLOOKUP($A412,'0.Productos'!$A$3:$GG$587,'0.Productos'!DH$1+1,0),"")</f>
        <v/>
      </c>
      <c r="BQ412" s="133" t="str">
        <f>IF($A412&lt;&gt;0,VLOOKUP($A412,'0.Productos'!$A$3:$GG$587,'0.Productos'!DI$1+1,0),"")</f>
        <v/>
      </c>
      <c r="BR412" s="133" t="str">
        <f>IF($A412&lt;&gt;0,VLOOKUP($A412,'0.Productos'!$A$3:$GG$587,'0.Productos'!DJ$1+1,0),"")</f>
        <v/>
      </c>
      <c r="BS412" s="133" t="str">
        <f>IF($A412&lt;&gt;0,VLOOKUP($A412,'0.Productos'!$A$3:$GG$587,'0.Productos'!DK$1+1,0),"")</f>
        <v/>
      </c>
      <c r="BT412" s="133" t="str">
        <f>IF($A412&lt;&gt;0,VLOOKUP($A412,'0.Productos'!$A$3:$GG$587,'0.Productos'!DL$1+1,0),"")</f>
        <v/>
      </c>
    </row>
    <row r="413" spans="1:72" x14ac:dyDescent="0.25">
      <c r="A413" s="17">
        <f>'0.Consolidado general'!A413</f>
        <v>0</v>
      </c>
      <c r="B413" s="133" t="str">
        <f>IF($A413&lt;&gt;0,VLOOKUP($A413,'0.Productos'!$A$3:$GG$587,'0.Productos'!AT$1+1,0),"")</f>
        <v/>
      </c>
      <c r="C413" s="133" t="str">
        <f>IF($A413&lt;&gt;0,VLOOKUP($A413,'0.Productos'!$A$3:$GG$587,'0.Productos'!AU$1+1,0),"")</f>
        <v/>
      </c>
      <c r="D413" s="133" t="str">
        <f>IF($A413&lt;&gt;0,VLOOKUP($A413,'0.Productos'!$A$3:$GG$587,'0.Productos'!AV$1+1,0),"")</f>
        <v/>
      </c>
      <c r="E413" s="133" t="str">
        <f>IF($A413&lt;&gt;0,VLOOKUP($A413,'0.Productos'!$A$3:$GG$587,'0.Productos'!AW$1+1,0),"")</f>
        <v/>
      </c>
      <c r="F413" s="133" t="str">
        <f>IF($A413&lt;&gt;0,VLOOKUP($A413,'0.Productos'!$A$3:$GG$587,'0.Productos'!AX$1+1,0),"")</f>
        <v/>
      </c>
      <c r="G413" s="133" t="str">
        <f>IF($A413&lt;&gt;0,VLOOKUP($A413,'0.Productos'!$A$3:$GG$587,'0.Productos'!AY$1+1,0),"")</f>
        <v/>
      </c>
      <c r="H413" s="133" t="str">
        <f>IF($A413&lt;&gt;0,VLOOKUP($A413,'0.Productos'!$A$3:$GG$587,'0.Productos'!AZ$1+1,0),"")</f>
        <v/>
      </c>
      <c r="I413" s="133" t="str">
        <f>IF($A413&lt;&gt;0,VLOOKUP($A413,'0.Productos'!$A$3:$GG$587,'0.Productos'!BA$1+1,0),"")</f>
        <v/>
      </c>
      <c r="J413" s="133" t="str">
        <f>IF($A413&lt;&gt;0,VLOOKUP($A413,'0.Productos'!$A$3:$GG$587,'0.Productos'!BB$1+1,0),"")</f>
        <v/>
      </c>
      <c r="K413" s="133" t="str">
        <f>IF($A413&lt;&gt;0,VLOOKUP($A413,'0.Productos'!$A$3:$GG$587,'0.Productos'!BC$1+1,0),"")</f>
        <v/>
      </c>
      <c r="L413" s="133" t="str">
        <f>IF($A413&lt;&gt;0,VLOOKUP($A413,'0.Productos'!$A$3:$GG$587,'0.Productos'!BD$1+1,0),"")</f>
        <v/>
      </c>
      <c r="M413" s="133" t="str">
        <f>IF($A413&lt;&gt;0,VLOOKUP($A413,'0.Productos'!$A$3:$GG$587,'0.Productos'!BE$1+1,0),"")</f>
        <v/>
      </c>
      <c r="N413" s="133" t="str">
        <f>IF($A413&lt;&gt;0,VLOOKUP($A413,'0.Productos'!$A$3:$GG$587,'0.Productos'!BF$1+1,0),"")</f>
        <v/>
      </c>
      <c r="O413" s="133" t="str">
        <f>IF($A413&lt;&gt;0,VLOOKUP($A413,'0.Productos'!$A$3:$GG$587,'0.Productos'!BG$1+1,0),"")</f>
        <v/>
      </c>
      <c r="P413" s="133" t="str">
        <f>IF($A413&lt;&gt;0,VLOOKUP($A413,'0.Productos'!$A$3:$GG$587,'0.Productos'!BH$1+1,0),"")</f>
        <v/>
      </c>
      <c r="Q413" s="133" t="str">
        <f>IF($A413&lt;&gt;0,VLOOKUP($A413,'0.Productos'!$A$3:$GG$587,'0.Productos'!BI$1+1,0),"")</f>
        <v/>
      </c>
      <c r="R413" s="133" t="str">
        <f>IF($A413&lt;&gt;0,VLOOKUP($A413,'0.Productos'!$A$3:$GG$587,'0.Productos'!BJ$1+1,0),"")</f>
        <v/>
      </c>
      <c r="S413" s="133" t="str">
        <f>IF($A413&lt;&gt;0,VLOOKUP($A413,'0.Productos'!$A$3:$GG$587,'0.Productos'!BK$1+1,0),"")</f>
        <v/>
      </c>
      <c r="T413" s="133" t="str">
        <f>IF($A413&lt;&gt;0,VLOOKUP($A413,'0.Productos'!$A$3:$GG$587,'0.Productos'!BL$1+1,0),"")</f>
        <v/>
      </c>
      <c r="U413" s="133" t="str">
        <f>IF($A413&lt;&gt;0,VLOOKUP($A413,'0.Productos'!$A$3:$GG$587,'0.Productos'!BM$1+1,0),"")</f>
        <v/>
      </c>
      <c r="V413" s="133" t="str">
        <f>IF($A413&lt;&gt;0,VLOOKUP($A413,'0.Productos'!$A$3:$GG$587,'0.Productos'!BN$1+1,0),"")</f>
        <v/>
      </c>
      <c r="W413" s="133" t="str">
        <f>IF($A413&lt;&gt;0,VLOOKUP($A413,'0.Productos'!$A$3:$GG$587,'0.Productos'!BO$1+1,0),"")</f>
        <v/>
      </c>
      <c r="X413" s="133" t="str">
        <f>IF($A413&lt;&gt;0,VLOOKUP($A413,'0.Productos'!$A$3:$GG$587,'0.Productos'!BP$1+1,0),"")</f>
        <v/>
      </c>
      <c r="Y413" s="133" t="str">
        <f>IF($A413&lt;&gt;0,VLOOKUP($A413,'0.Productos'!$A$3:$GG$587,'0.Productos'!BQ$1+1,0),"")</f>
        <v/>
      </c>
      <c r="Z413" s="133" t="str">
        <f>IF($A413&lt;&gt;0,VLOOKUP($A413,'0.Productos'!$A$3:$GG$587,'0.Productos'!BR$1+1,0),"")</f>
        <v/>
      </c>
      <c r="AA413" s="133" t="str">
        <f>IF($A413&lt;&gt;0,VLOOKUP($A413,'0.Productos'!$A$3:$GG$587,'0.Productos'!BS$1+1,0),"")</f>
        <v/>
      </c>
      <c r="AB413" s="133" t="str">
        <f>IF($A413&lt;&gt;0,VLOOKUP($A413,'0.Productos'!$A$3:$GG$587,'0.Productos'!BT$1+1,0),"")</f>
        <v/>
      </c>
      <c r="AC413" s="133" t="str">
        <f>IF($A413&lt;&gt;0,VLOOKUP($A413,'0.Productos'!$A$3:$GG$587,'0.Productos'!BU$1+1,0),"")</f>
        <v/>
      </c>
      <c r="AD413" s="133" t="str">
        <f>IF($A413&lt;&gt;0,VLOOKUP($A413,'0.Productos'!$A$3:$GG$587,'0.Productos'!BV$1+1,0),"")</f>
        <v/>
      </c>
      <c r="AE413" s="133" t="str">
        <f>IF($A413&lt;&gt;0,VLOOKUP($A413,'0.Productos'!$A$3:$GG$587,'0.Productos'!BW$1+1,0),"")</f>
        <v/>
      </c>
      <c r="AF413" s="133" t="str">
        <f>IF($A413&lt;&gt;0,VLOOKUP($A413,'0.Productos'!$A$3:$GG$587,'0.Productos'!BX$1+1,0),"")</f>
        <v/>
      </c>
      <c r="AG413" s="133" t="str">
        <f>IF($A413&lt;&gt;0,VLOOKUP($A413,'0.Productos'!$A$3:$GG$587,'0.Productos'!BY$1+1,0),"")</f>
        <v/>
      </c>
      <c r="AH413" s="133" t="str">
        <f>IF($A413&lt;&gt;0,VLOOKUP($A413,'0.Productos'!$A$3:$GG$587,'0.Productos'!BZ$1+1,0),"")</f>
        <v/>
      </c>
      <c r="AI413" s="133" t="str">
        <f>IF($A413&lt;&gt;0,VLOOKUP($A413,'0.Productos'!$A$3:$GG$587,'0.Productos'!CA$1+1,0),"")</f>
        <v/>
      </c>
      <c r="AJ413" s="133" t="str">
        <f>IF($A413&lt;&gt;0,VLOOKUP($A413,'0.Productos'!$A$3:$GG$587,'0.Productos'!CB$1+1,0),"")</f>
        <v/>
      </c>
      <c r="AK413" s="133" t="str">
        <f>IF($A413&lt;&gt;0,VLOOKUP($A413,'0.Productos'!$A$3:$GG$587,'0.Productos'!CC$1+1,0),"")</f>
        <v/>
      </c>
      <c r="AL413" s="133" t="str">
        <f>IF($A413&lt;&gt;0,VLOOKUP($A413,'0.Productos'!$A$3:$GG$587,'0.Productos'!CD$1+1,0),"")</f>
        <v/>
      </c>
      <c r="AM413" s="133" t="str">
        <f>IF($A413&lt;&gt;0,VLOOKUP($A413,'0.Productos'!$A$3:$GG$587,'0.Productos'!CE$1+1,0),"")</f>
        <v/>
      </c>
      <c r="AN413" s="133" t="str">
        <f>IF($A413&lt;&gt;0,VLOOKUP($A413,'0.Productos'!$A$3:$GG$587,'0.Productos'!CF$1+1,0),"")</f>
        <v/>
      </c>
      <c r="AO413" s="133" t="str">
        <f>IF($A413&lt;&gt;0,VLOOKUP($A413,'0.Productos'!$A$3:$GG$587,'0.Productos'!CG$1+1,0),"")</f>
        <v/>
      </c>
      <c r="AP413" s="133" t="str">
        <f>IF($A413&lt;&gt;0,VLOOKUP($A413,'0.Productos'!$A$3:$GG$587,'0.Productos'!CH$1+1,0),"")</f>
        <v/>
      </c>
      <c r="AQ413" s="133" t="str">
        <f>IF($A413&lt;&gt;0,VLOOKUP($A413,'0.Productos'!$A$3:$GG$587,'0.Productos'!CI$1+1,0),"")</f>
        <v/>
      </c>
      <c r="AR413" s="133" t="str">
        <f>IF($A413&lt;&gt;0,VLOOKUP($A413,'0.Productos'!$A$3:$GG$587,'0.Productos'!CJ$1+1,0),"")</f>
        <v/>
      </c>
      <c r="AS413" s="133" t="str">
        <f>IF($A413&lt;&gt;0,VLOOKUP($A413,'0.Productos'!$A$3:$GG$587,'0.Productos'!CK$1+1,0),"")</f>
        <v/>
      </c>
      <c r="AT413" s="133" t="str">
        <f>IF($A413&lt;&gt;0,VLOOKUP($A413,'0.Productos'!$A$3:$GG$587,'0.Productos'!CL$1+1,0),"")</f>
        <v/>
      </c>
      <c r="AU413" s="133" t="str">
        <f>IF($A413&lt;&gt;0,VLOOKUP($A413,'0.Productos'!$A$3:$GG$587,'0.Productos'!CM$1+1,0),"")</f>
        <v/>
      </c>
      <c r="AV413" s="133" t="str">
        <f>IF($A413&lt;&gt;0,VLOOKUP($A413,'0.Productos'!$A$3:$GG$587,'0.Productos'!CN$1+1,0),"")</f>
        <v/>
      </c>
      <c r="AW413" s="133" t="str">
        <f>IF($A413&lt;&gt;0,VLOOKUP($A413,'0.Productos'!$A$3:$GG$587,'0.Productos'!CO$1+1,0),"")</f>
        <v/>
      </c>
      <c r="AX413" s="133" t="str">
        <f>IF($A413&lt;&gt;0,VLOOKUP($A413,'0.Productos'!$A$3:$GG$587,'0.Productos'!CP$1+1,0),"")</f>
        <v/>
      </c>
      <c r="AY413" s="133" t="str">
        <f>IF($A413&lt;&gt;0,VLOOKUP($A413,'0.Productos'!$A$3:$GG$587,'0.Productos'!CQ$1+1,0),"")</f>
        <v/>
      </c>
      <c r="AZ413" s="133" t="str">
        <f>IF($A413&lt;&gt;0,VLOOKUP($A413,'0.Productos'!$A$3:$GG$587,'0.Productos'!CR$1+1,0),"")</f>
        <v/>
      </c>
      <c r="BA413" s="133" t="str">
        <f>IF($A413&lt;&gt;0,VLOOKUP($A413,'0.Productos'!$A$3:$GG$587,'0.Productos'!CS$1+1,0),"")</f>
        <v/>
      </c>
      <c r="BB413" s="133" t="str">
        <f>IF($A413&lt;&gt;0,VLOOKUP($A413,'0.Productos'!$A$3:$GG$587,'0.Productos'!CT$1+1,0),"")</f>
        <v/>
      </c>
      <c r="BC413" s="133" t="str">
        <f>IF($A413&lt;&gt;0,VLOOKUP($A413,'0.Productos'!$A$3:$GG$587,'0.Productos'!CU$1+1,0),"")</f>
        <v/>
      </c>
      <c r="BD413" s="133" t="str">
        <f>IF($A413&lt;&gt;0,VLOOKUP($A413,'0.Productos'!$A$3:$GG$587,'0.Productos'!CV$1+1,0),"")</f>
        <v/>
      </c>
      <c r="BE413" s="133" t="str">
        <f>IF($A413&lt;&gt;0,VLOOKUP($A413,'0.Productos'!$A$3:$GG$587,'0.Productos'!CW$1+1,0),"")</f>
        <v/>
      </c>
      <c r="BF413" s="133" t="str">
        <f>IF($A413&lt;&gt;0,VLOOKUP($A413,'0.Productos'!$A$3:$GG$587,'0.Productos'!CX$1+1,0),"")</f>
        <v/>
      </c>
      <c r="BG413" s="133" t="str">
        <f>IF($A413&lt;&gt;0,VLOOKUP($A413,'0.Productos'!$A$3:$GG$587,'0.Productos'!CY$1+1,0),"")</f>
        <v/>
      </c>
      <c r="BH413" s="133" t="str">
        <f>IF($A413&lt;&gt;0,VLOOKUP($A413,'0.Productos'!$A$3:$GG$587,'0.Productos'!CZ$1+1,0),"")</f>
        <v/>
      </c>
      <c r="BI413" s="133" t="str">
        <f>IF($A413&lt;&gt;0,VLOOKUP($A413,'0.Productos'!$A$3:$GG$587,'0.Productos'!DA$1+1,0),"")</f>
        <v/>
      </c>
      <c r="BJ413" s="133" t="str">
        <f>IF($A413&lt;&gt;0,VLOOKUP($A413,'0.Productos'!$A$3:$GG$587,'0.Productos'!DB$1+1,0),"")</f>
        <v/>
      </c>
      <c r="BK413" s="133" t="str">
        <f>IF($A413&lt;&gt;0,VLOOKUP($A413,'0.Productos'!$A$3:$GG$587,'0.Productos'!DC$1+1,0),"")</f>
        <v/>
      </c>
      <c r="BL413" s="133" t="str">
        <f>IF($A413&lt;&gt;0,VLOOKUP($A413,'0.Productos'!$A$3:$GG$587,'0.Productos'!DD$1+1,0),"")</f>
        <v/>
      </c>
      <c r="BM413" s="133" t="str">
        <f>IF($A413&lt;&gt;0,VLOOKUP($A413,'0.Productos'!$A$3:$GG$587,'0.Productos'!DE$1+1,0),"")</f>
        <v/>
      </c>
      <c r="BN413" s="133" t="str">
        <f>IF($A413&lt;&gt;0,VLOOKUP($A413,'0.Productos'!$A$3:$GG$587,'0.Productos'!DF$1+1,0),"")</f>
        <v/>
      </c>
      <c r="BO413" s="133" t="str">
        <f>IF($A413&lt;&gt;0,VLOOKUP($A413,'0.Productos'!$A$3:$GG$587,'0.Productos'!DG$1+1,0),"")</f>
        <v/>
      </c>
      <c r="BP413" s="133" t="str">
        <f>IF($A413&lt;&gt;0,VLOOKUP($A413,'0.Productos'!$A$3:$GG$587,'0.Productos'!DH$1+1,0),"")</f>
        <v/>
      </c>
      <c r="BQ413" s="133" t="str">
        <f>IF($A413&lt;&gt;0,VLOOKUP($A413,'0.Productos'!$A$3:$GG$587,'0.Productos'!DI$1+1,0),"")</f>
        <v/>
      </c>
      <c r="BR413" s="133" t="str">
        <f>IF($A413&lt;&gt;0,VLOOKUP($A413,'0.Productos'!$A$3:$GG$587,'0.Productos'!DJ$1+1,0),"")</f>
        <v/>
      </c>
      <c r="BS413" s="133" t="str">
        <f>IF($A413&lt;&gt;0,VLOOKUP($A413,'0.Productos'!$A$3:$GG$587,'0.Productos'!DK$1+1,0),"")</f>
        <v/>
      </c>
      <c r="BT413" s="133" t="str">
        <f>IF($A413&lt;&gt;0,VLOOKUP($A413,'0.Productos'!$A$3:$GG$587,'0.Productos'!DL$1+1,0),"")</f>
        <v/>
      </c>
    </row>
    <row r="414" spans="1:72" x14ac:dyDescent="0.25">
      <c r="A414" s="17">
        <f>'0.Consolidado general'!A414</f>
        <v>0</v>
      </c>
      <c r="B414" s="133" t="str">
        <f>IF($A414&lt;&gt;0,VLOOKUP($A414,'0.Productos'!$A$3:$GG$587,'0.Productos'!AT$1+1,0),"")</f>
        <v/>
      </c>
      <c r="C414" s="133" t="str">
        <f>IF($A414&lt;&gt;0,VLOOKUP($A414,'0.Productos'!$A$3:$GG$587,'0.Productos'!AU$1+1,0),"")</f>
        <v/>
      </c>
      <c r="D414" s="133" t="str">
        <f>IF($A414&lt;&gt;0,VLOOKUP($A414,'0.Productos'!$A$3:$GG$587,'0.Productos'!AV$1+1,0),"")</f>
        <v/>
      </c>
      <c r="E414" s="133" t="str">
        <f>IF($A414&lt;&gt;0,VLOOKUP($A414,'0.Productos'!$A$3:$GG$587,'0.Productos'!AW$1+1,0),"")</f>
        <v/>
      </c>
      <c r="F414" s="133" t="str">
        <f>IF($A414&lt;&gt;0,VLOOKUP($A414,'0.Productos'!$A$3:$GG$587,'0.Productos'!AX$1+1,0),"")</f>
        <v/>
      </c>
      <c r="G414" s="133" t="str">
        <f>IF($A414&lt;&gt;0,VLOOKUP($A414,'0.Productos'!$A$3:$GG$587,'0.Productos'!AY$1+1,0),"")</f>
        <v/>
      </c>
      <c r="H414" s="133" t="str">
        <f>IF($A414&lt;&gt;0,VLOOKUP($A414,'0.Productos'!$A$3:$GG$587,'0.Productos'!AZ$1+1,0),"")</f>
        <v/>
      </c>
      <c r="I414" s="133" t="str">
        <f>IF($A414&lt;&gt;0,VLOOKUP($A414,'0.Productos'!$A$3:$GG$587,'0.Productos'!BA$1+1,0),"")</f>
        <v/>
      </c>
      <c r="J414" s="133" t="str">
        <f>IF($A414&lt;&gt;0,VLOOKUP($A414,'0.Productos'!$A$3:$GG$587,'0.Productos'!BB$1+1,0),"")</f>
        <v/>
      </c>
      <c r="K414" s="133" t="str">
        <f>IF($A414&lt;&gt;0,VLOOKUP($A414,'0.Productos'!$A$3:$GG$587,'0.Productos'!BC$1+1,0),"")</f>
        <v/>
      </c>
      <c r="L414" s="133" t="str">
        <f>IF($A414&lt;&gt;0,VLOOKUP($A414,'0.Productos'!$A$3:$GG$587,'0.Productos'!BD$1+1,0),"")</f>
        <v/>
      </c>
      <c r="M414" s="133" t="str">
        <f>IF($A414&lt;&gt;0,VLOOKUP($A414,'0.Productos'!$A$3:$GG$587,'0.Productos'!BE$1+1,0),"")</f>
        <v/>
      </c>
      <c r="N414" s="133" t="str">
        <f>IF($A414&lt;&gt;0,VLOOKUP($A414,'0.Productos'!$A$3:$GG$587,'0.Productos'!BF$1+1,0),"")</f>
        <v/>
      </c>
      <c r="O414" s="133" t="str">
        <f>IF($A414&lt;&gt;0,VLOOKUP($A414,'0.Productos'!$A$3:$GG$587,'0.Productos'!BG$1+1,0),"")</f>
        <v/>
      </c>
      <c r="P414" s="133" t="str">
        <f>IF($A414&lt;&gt;0,VLOOKUP($A414,'0.Productos'!$A$3:$GG$587,'0.Productos'!BH$1+1,0),"")</f>
        <v/>
      </c>
      <c r="Q414" s="133" t="str">
        <f>IF($A414&lt;&gt;0,VLOOKUP($A414,'0.Productos'!$A$3:$GG$587,'0.Productos'!BI$1+1,0),"")</f>
        <v/>
      </c>
      <c r="R414" s="133" t="str">
        <f>IF($A414&lt;&gt;0,VLOOKUP($A414,'0.Productos'!$A$3:$GG$587,'0.Productos'!BJ$1+1,0),"")</f>
        <v/>
      </c>
      <c r="S414" s="133" t="str">
        <f>IF($A414&lt;&gt;0,VLOOKUP($A414,'0.Productos'!$A$3:$GG$587,'0.Productos'!BK$1+1,0),"")</f>
        <v/>
      </c>
      <c r="T414" s="133" t="str">
        <f>IF($A414&lt;&gt;0,VLOOKUP($A414,'0.Productos'!$A$3:$GG$587,'0.Productos'!BL$1+1,0),"")</f>
        <v/>
      </c>
      <c r="U414" s="133" t="str">
        <f>IF($A414&lt;&gt;0,VLOOKUP($A414,'0.Productos'!$A$3:$GG$587,'0.Productos'!BM$1+1,0),"")</f>
        <v/>
      </c>
      <c r="V414" s="133" t="str">
        <f>IF($A414&lt;&gt;0,VLOOKUP($A414,'0.Productos'!$A$3:$GG$587,'0.Productos'!BN$1+1,0),"")</f>
        <v/>
      </c>
      <c r="W414" s="133" t="str">
        <f>IF($A414&lt;&gt;0,VLOOKUP($A414,'0.Productos'!$A$3:$GG$587,'0.Productos'!BO$1+1,0),"")</f>
        <v/>
      </c>
      <c r="X414" s="133" t="str">
        <f>IF($A414&lt;&gt;0,VLOOKUP($A414,'0.Productos'!$A$3:$GG$587,'0.Productos'!BP$1+1,0),"")</f>
        <v/>
      </c>
      <c r="Y414" s="133" t="str">
        <f>IF($A414&lt;&gt;0,VLOOKUP($A414,'0.Productos'!$A$3:$GG$587,'0.Productos'!BQ$1+1,0),"")</f>
        <v/>
      </c>
      <c r="Z414" s="133" t="str">
        <f>IF($A414&lt;&gt;0,VLOOKUP($A414,'0.Productos'!$A$3:$GG$587,'0.Productos'!BR$1+1,0),"")</f>
        <v/>
      </c>
      <c r="AA414" s="133" t="str">
        <f>IF($A414&lt;&gt;0,VLOOKUP($A414,'0.Productos'!$A$3:$GG$587,'0.Productos'!BS$1+1,0),"")</f>
        <v/>
      </c>
      <c r="AB414" s="133" t="str">
        <f>IF($A414&lt;&gt;0,VLOOKUP($A414,'0.Productos'!$A$3:$GG$587,'0.Productos'!BT$1+1,0),"")</f>
        <v/>
      </c>
      <c r="AC414" s="133" t="str">
        <f>IF($A414&lt;&gt;0,VLOOKUP($A414,'0.Productos'!$A$3:$GG$587,'0.Productos'!BU$1+1,0),"")</f>
        <v/>
      </c>
      <c r="AD414" s="133" t="str">
        <f>IF($A414&lt;&gt;0,VLOOKUP($A414,'0.Productos'!$A$3:$GG$587,'0.Productos'!BV$1+1,0),"")</f>
        <v/>
      </c>
      <c r="AE414" s="133" t="str">
        <f>IF($A414&lt;&gt;0,VLOOKUP($A414,'0.Productos'!$A$3:$GG$587,'0.Productos'!BW$1+1,0),"")</f>
        <v/>
      </c>
      <c r="AF414" s="133" t="str">
        <f>IF($A414&lt;&gt;0,VLOOKUP($A414,'0.Productos'!$A$3:$GG$587,'0.Productos'!BX$1+1,0),"")</f>
        <v/>
      </c>
      <c r="AG414" s="133" t="str">
        <f>IF($A414&lt;&gt;0,VLOOKUP($A414,'0.Productos'!$A$3:$GG$587,'0.Productos'!BY$1+1,0),"")</f>
        <v/>
      </c>
      <c r="AH414" s="133" t="str">
        <f>IF($A414&lt;&gt;0,VLOOKUP($A414,'0.Productos'!$A$3:$GG$587,'0.Productos'!BZ$1+1,0),"")</f>
        <v/>
      </c>
      <c r="AI414" s="133" t="str">
        <f>IF($A414&lt;&gt;0,VLOOKUP($A414,'0.Productos'!$A$3:$GG$587,'0.Productos'!CA$1+1,0),"")</f>
        <v/>
      </c>
      <c r="AJ414" s="133" t="str">
        <f>IF($A414&lt;&gt;0,VLOOKUP($A414,'0.Productos'!$A$3:$GG$587,'0.Productos'!CB$1+1,0),"")</f>
        <v/>
      </c>
      <c r="AK414" s="133" t="str">
        <f>IF($A414&lt;&gt;0,VLOOKUP($A414,'0.Productos'!$A$3:$GG$587,'0.Productos'!CC$1+1,0),"")</f>
        <v/>
      </c>
      <c r="AL414" s="133" t="str">
        <f>IF($A414&lt;&gt;0,VLOOKUP($A414,'0.Productos'!$A$3:$GG$587,'0.Productos'!CD$1+1,0),"")</f>
        <v/>
      </c>
      <c r="AM414" s="133" t="str">
        <f>IF($A414&lt;&gt;0,VLOOKUP($A414,'0.Productos'!$A$3:$GG$587,'0.Productos'!CE$1+1,0),"")</f>
        <v/>
      </c>
      <c r="AN414" s="133" t="str">
        <f>IF($A414&lt;&gt;0,VLOOKUP($A414,'0.Productos'!$A$3:$GG$587,'0.Productos'!CF$1+1,0),"")</f>
        <v/>
      </c>
      <c r="AO414" s="133" t="str">
        <f>IF($A414&lt;&gt;0,VLOOKUP($A414,'0.Productos'!$A$3:$GG$587,'0.Productos'!CG$1+1,0),"")</f>
        <v/>
      </c>
      <c r="AP414" s="133" t="str">
        <f>IF($A414&lt;&gt;0,VLOOKUP($A414,'0.Productos'!$A$3:$GG$587,'0.Productos'!CH$1+1,0),"")</f>
        <v/>
      </c>
      <c r="AQ414" s="133" t="str">
        <f>IF($A414&lt;&gt;0,VLOOKUP($A414,'0.Productos'!$A$3:$GG$587,'0.Productos'!CI$1+1,0),"")</f>
        <v/>
      </c>
      <c r="AR414" s="133" t="str">
        <f>IF($A414&lt;&gt;0,VLOOKUP($A414,'0.Productos'!$A$3:$GG$587,'0.Productos'!CJ$1+1,0),"")</f>
        <v/>
      </c>
      <c r="AS414" s="133" t="str">
        <f>IF($A414&lt;&gt;0,VLOOKUP($A414,'0.Productos'!$A$3:$GG$587,'0.Productos'!CK$1+1,0),"")</f>
        <v/>
      </c>
      <c r="AT414" s="133" t="str">
        <f>IF($A414&lt;&gt;0,VLOOKUP($A414,'0.Productos'!$A$3:$GG$587,'0.Productos'!CL$1+1,0),"")</f>
        <v/>
      </c>
      <c r="AU414" s="133" t="str">
        <f>IF($A414&lt;&gt;0,VLOOKUP($A414,'0.Productos'!$A$3:$GG$587,'0.Productos'!CM$1+1,0),"")</f>
        <v/>
      </c>
      <c r="AV414" s="133" t="str">
        <f>IF($A414&lt;&gt;0,VLOOKUP($A414,'0.Productos'!$A$3:$GG$587,'0.Productos'!CN$1+1,0),"")</f>
        <v/>
      </c>
      <c r="AW414" s="133" t="str">
        <f>IF($A414&lt;&gt;0,VLOOKUP($A414,'0.Productos'!$A$3:$GG$587,'0.Productos'!CO$1+1,0),"")</f>
        <v/>
      </c>
      <c r="AX414" s="133" t="str">
        <f>IF($A414&lt;&gt;0,VLOOKUP($A414,'0.Productos'!$A$3:$GG$587,'0.Productos'!CP$1+1,0),"")</f>
        <v/>
      </c>
      <c r="AY414" s="133" t="str">
        <f>IF($A414&lt;&gt;0,VLOOKUP($A414,'0.Productos'!$A$3:$GG$587,'0.Productos'!CQ$1+1,0),"")</f>
        <v/>
      </c>
      <c r="AZ414" s="133" t="str">
        <f>IF($A414&lt;&gt;0,VLOOKUP($A414,'0.Productos'!$A$3:$GG$587,'0.Productos'!CR$1+1,0),"")</f>
        <v/>
      </c>
      <c r="BA414" s="133" t="str">
        <f>IF($A414&lt;&gt;0,VLOOKUP($A414,'0.Productos'!$A$3:$GG$587,'0.Productos'!CS$1+1,0),"")</f>
        <v/>
      </c>
      <c r="BB414" s="133" t="str">
        <f>IF($A414&lt;&gt;0,VLOOKUP($A414,'0.Productos'!$A$3:$GG$587,'0.Productos'!CT$1+1,0),"")</f>
        <v/>
      </c>
      <c r="BC414" s="133" t="str">
        <f>IF($A414&lt;&gt;0,VLOOKUP($A414,'0.Productos'!$A$3:$GG$587,'0.Productos'!CU$1+1,0),"")</f>
        <v/>
      </c>
      <c r="BD414" s="133" t="str">
        <f>IF($A414&lt;&gt;0,VLOOKUP($A414,'0.Productos'!$A$3:$GG$587,'0.Productos'!CV$1+1,0),"")</f>
        <v/>
      </c>
      <c r="BE414" s="133" t="str">
        <f>IF($A414&lt;&gt;0,VLOOKUP($A414,'0.Productos'!$A$3:$GG$587,'0.Productos'!CW$1+1,0),"")</f>
        <v/>
      </c>
      <c r="BF414" s="133" t="str">
        <f>IF($A414&lt;&gt;0,VLOOKUP($A414,'0.Productos'!$A$3:$GG$587,'0.Productos'!CX$1+1,0),"")</f>
        <v/>
      </c>
      <c r="BG414" s="133" t="str">
        <f>IF($A414&lt;&gt;0,VLOOKUP($A414,'0.Productos'!$A$3:$GG$587,'0.Productos'!CY$1+1,0),"")</f>
        <v/>
      </c>
      <c r="BH414" s="133" t="str">
        <f>IF($A414&lt;&gt;0,VLOOKUP($A414,'0.Productos'!$A$3:$GG$587,'0.Productos'!CZ$1+1,0),"")</f>
        <v/>
      </c>
      <c r="BI414" s="133" t="str">
        <f>IF($A414&lt;&gt;0,VLOOKUP($A414,'0.Productos'!$A$3:$GG$587,'0.Productos'!DA$1+1,0),"")</f>
        <v/>
      </c>
      <c r="BJ414" s="133" t="str">
        <f>IF($A414&lt;&gt;0,VLOOKUP($A414,'0.Productos'!$A$3:$GG$587,'0.Productos'!DB$1+1,0),"")</f>
        <v/>
      </c>
      <c r="BK414" s="133" t="str">
        <f>IF($A414&lt;&gt;0,VLOOKUP($A414,'0.Productos'!$A$3:$GG$587,'0.Productos'!DC$1+1,0),"")</f>
        <v/>
      </c>
      <c r="BL414" s="133" t="str">
        <f>IF($A414&lt;&gt;0,VLOOKUP($A414,'0.Productos'!$A$3:$GG$587,'0.Productos'!DD$1+1,0),"")</f>
        <v/>
      </c>
      <c r="BM414" s="133" t="str">
        <f>IF($A414&lt;&gt;0,VLOOKUP($A414,'0.Productos'!$A$3:$GG$587,'0.Productos'!DE$1+1,0),"")</f>
        <v/>
      </c>
      <c r="BN414" s="133" t="str">
        <f>IF($A414&lt;&gt;0,VLOOKUP($A414,'0.Productos'!$A$3:$GG$587,'0.Productos'!DF$1+1,0),"")</f>
        <v/>
      </c>
      <c r="BO414" s="133" t="str">
        <f>IF($A414&lt;&gt;0,VLOOKUP($A414,'0.Productos'!$A$3:$GG$587,'0.Productos'!DG$1+1,0),"")</f>
        <v/>
      </c>
      <c r="BP414" s="133" t="str">
        <f>IF($A414&lt;&gt;0,VLOOKUP($A414,'0.Productos'!$A$3:$GG$587,'0.Productos'!DH$1+1,0),"")</f>
        <v/>
      </c>
      <c r="BQ414" s="133" t="str">
        <f>IF($A414&lt;&gt;0,VLOOKUP($A414,'0.Productos'!$A$3:$GG$587,'0.Productos'!DI$1+1,0),"")</f>
        <v/>
      </c>
      <c r="BR414" s="133" t="str">
        <f>IF($A414&lt;&gt;0,VLOOKUP($A414,'0.Productos'!$A$3:$GG$587,'0.Productos'!DJ$1+1,0),"")</f>
        <v/>
      </c>
      <c r="BS414" s="133" t="str">
        <f>IF($A414&lt;&gt;0,VLOOKUP($A414,'0.Productos'!$A$3:$GG$587,'0.Productos'!DK$1+1,0),"")</f>
        <v/>
      </c>
      <c r="BT414" s="133" t="str">
        <f>IF($A414&lt;&gt;0,VLOOKUP($A414,'0.Productos'!$A$3:$GG$587,'0.Productos'!DL$1+1,0),"")</f>
        <v/>
      </c>
    </row>
    <row r="415" spans="1:72" x14ac:dyDescent="0.25">
      <c r="A415" s="17">
        <f>'0.Consolidado general'!A415</f>
        <v>0</v>
      </c>
      <c r="B415" s="133" t="str">
        <f>IF($A415&lt;&gt;0,VLOOKUP($A415,'0.Productos'!$A$3:$GG$587,'0.Productos'!AT$1+1,0),"")</f>
        <v/>
      </c>
      <c r="C415" s="133" t="str">
        <f>IF($A415&lt;&gt;0,VLOOKUP($A415,'0.Productos'!$A$3:$GG$587,'0.Productos'!AU$1+1,0),"")</f>
        <v/>
      </c>
      <c r="D415" s="133" t="str">
        <f>IF($A415&lt;&gt;0,VLOOKUP($A415,'0.Productos'!$A$3:$GG$587,'0.Productos'!AV$1+1,0),"")</f>
        <v/>
      </c>
      <c r="E415" s="133" t="str">
        <f>IF($A415&lt;&gt;0,VLOOKUP($A415,'0.Productos'!$A$3:$GG$587,'0.Productos'!AW$1+1,0),"")</f>
        <v/>
      </c>
      <c r="F415" s="133" t="str">
        <f>IF($A415&lt;&gt;0,VLOOKUP($A415,'0.Productos'!$A$3:$GG$587,'0.Productos'!AX$1+1,0),"")</f>
        <v/>
      </c>
      <c r="G415" s="133" t="str">
        <f>IF($A415&lt;&gt;0,VLOOKUP($A415,'0.Productos'!$A$3:$GG$587,'0.Productos'!AY$1+1,0),"")</f>
        <v/>
      </c>
      <c r="H415" s="133" t="str">
        <f>IF($A415&lt;&gt;0,VLOOKUP($A415,'0.Productos'!$A$3:$GG$587,'0.Productos'!AZ$1+1,0),"")</f>
        <v/>
      </c>
      <c r="I415" s="133" t="str">
        <f>IF($A415&lt;&gt;0,VLOOKUP($A415,'0.Productos'!$A$3:$GG$587,'0.Productos'!BA$1+1,0),"")</f>
        <v/>
      </c>
      <c r="J415" s="133" t="str">
        <f>IF($A415&lt;&gt;0,VLOOKUP($A415,'0.Productos'!$A$3:$GG$587,'0.Productos'!BB$1+1,0),"")</f>
        <v/>
      </c>
      <c r="K415" s="133" t="str">
        <f>IF($A415&lt;&gt;0,VLOOKUP($A415,'0.Productos'!$A$3:$GG$587,'0.Productos'!BC$1+1,0),"")</f>
        <v/>
      </c>
      <c r="L415" s="133" t="str">
        <f>IF($A415&lt;&gt;0,VLOOKUP($A415,'0.Productos'!$A$3:$GG$587,'0.Productos'!BD$1+1,0),"")</f>
        <v/>
      </c>
      <c r="M415" s="133" t="str">
        <f>IF($A415&lt;&gt;0,VLOOKUP($A415,'0.Productos'!$A$3:$GG$587,'0.Productos'!BE$1+1,0),"")</f>
        <v/>
      </c>
      <c r="N415" s="133" t="str">
        <f>IF($A415&lt;&gt;0,VLOOKUP($A415,'0.Productos'!$A$3:$GG$587,'0.Productos'!BF$1+1,0),"")</f>
        <v/>
      </c>
      <c r="O415" s="133" t="str">
        <f>IF($A415&lt;&gt;0,VLOOKUP($A415,'0.Productos'!$A$3:$GG$587,'0.Productos'!BG$1+1,0),"")</f>
        <v/>
      </c>
      <c r="P415" s="133" t="str">
        <f>IF($A415&lt;&gt;0,VLOOKUP($A415,'0.Productos'!$A$3:$GG$587,'0.Productos'!BH$1+1,0),"")</f>
        <v/>
      </c>
      <c r="Q415" s="133" t="str">
        <f>IF($A415&lt;&gt;0,VLOOKUP($A415,'0.Productos'!$A$3:$GG$587,'0.Productos'!BI$1+1,0),"")</f>
        <v/>
      </c>
      <c r="R415" s="133" t="str">
        <f>IF($A415&lt;&gt;0,VLOOKUP($A415,'0.Productos'!$A$3:$GG$587,'0.Productos'!BJ$1+1,0),"")</f>
        <v/>
      </c>
      <c r="S415" s="133" t="str">
        <f>IF($A415&lt;&gt;0,VLOOKUP($A415,'0.Productos'!$A$3:$GG$587,'0.Productos'!BK$1+1,0),"")</f>
        <v/>
      </c>
      <c r="T415" s="133" t="str">
        <f>IF($A415&lt;&gt;0,VLOOKUP($A415,'0.Productos'!$A$3:$GG$587,'0.Productos'!BL$1+1,0),"")</f>
        <v/>
      </c>
      <c r="U415" s="133" t="str">
        <f>IF($A415&lt;&gt;0,VLOOKUP($A415,'0.Productos'!$A$3:$GG$587,'0.Productos'!BM$1+1,0),"")</f>
        <v/>
      </c>
      <c r="V415" s="133" t="str">
        <f>IF($A415&lt;&gt;0,VLOOKUP($A415,'0.Productos'!$A$3:$GG$587,'0.Productos'!BN$1+1,0),"")</f>
        <v/>
      </c>
      <c r="W415" s="133" t="str">
        <f>IF($A415&lt;&gt;0,VLOOKUP($A415,'0.Productos'!$A$3:$GG$587,'0.Productos'!BO$1+1,0),"")</f>
        <v/>
      </c>
      <c r="X415" s="133" t="str">
        <f>IF($A415&lt;&gt;0,VLOOKUP($A415,'0.Productos'!$A$3:$GG$587,'0.Productos'!BP$1+1,0),"")</f>
        <v/>
      </c>
      <c r="Y415" s="133" t="str">
        <f>IF($A415&lt;&gt;0,VLOOKUP($A415,'0.Productos'!$A$3:$GG$587,'0.Productos'!BQ$1+1,0),"")</f>
        <v/>
      </c>
      <c r="Z415" s="133" t="str">
        <f>IF($A415&lt;&gt;0,VLOOKUP($A415,'0.Productos'!$A$3:$GG$587,'0.Productos'!BR$1+1,0),"")</f>
        <v/>
      </c>
      <c r="AA415" s="133" t="str">
        <f>IF($A415&lt;&gt;0,VLOOKUP($A415,'0.Productos'!$A$3:$GG$587,'0.Productos'!BS$1+1,0),"")</f>
        <v/>
      </c>
      <c r="AB415" s="133" t="str">
        <f>IF($A415&lt;&gt;0,VLOOKUP($A415,'0.Productos'!$A$3:$GG$587,'0.Productos'!BT$1+1,0),"")</f>
        <v/>
      </c>
      <c r="AC415" s="133" t="str">
        <f>IF($A415&lt;&gt;0,VLOOKUP($A415,'0.Productos'!$A$3:$GG$587,'0.Productos'!BU$1+1,0),"")</f>
        <v/>
      </c>
      <c r="AD415" s="133" t="str">
        <f>IF($A415&lt;&gt;0,VLOOKUP($A415,'0.Productos'!$A$3:$GG$587,'0.Productos'!BV$1+1,0),"")</f>
        <v/>
      </c>
      <c r="AE415" s="133" t="str">
        <f>IF($A415&lt;&gt;0,VLOOKUP($A415,'0.Productos'!$A$3:$GG$587,'0.Productos'!BW$1+1,0),"")</f>
        <v/>
      </c>
      <c r="AF415" s="133" t="str">
        <f>IF($A415&lt;&gt;0,VLOOKUP($A415,'0.Productos'!$A$3:$GG$587,'0.Productos'!BX$1+1,0),"")</f>
        <v/>
      </c>
      <c r="AG415" s="133" t="str">
        <f>IF($A415&lt;&gt;0,VLOOKUP($A415,'0.Productos'!$A$3:$GG$587,'0.Productos'!BY$1+1,0),"")</f>
        <v/>
      </c>
      <c r="AH415" s="133" t="str">
        <f>IF($A415&lt;&gt;0,VLOOKUP($A415,'0.Productos'!$A$3:$GG$587,'0.Productos'!BZ$1+1,0),"")</f>
        <v/>
      </c>
      <c r="AI415" s="133" t="str">
        <f>IF($A415&lt;&gt;0,VLOOKUP($A415,'0.Productos'!$A$3:$GG$587,'0.Productos'!CA$1+1,0),"")</f>
        <v/>
      </c>
      <c r="AJ415" s="133" t="str">
        <f>IF($A415&lt;&gt;0,VLOOKUP($A415,'0.Productos'!$A$3:$GG$587,'0.Productos'!CB$1+1,0),"")</f>
        <v/>
      </c>
      <c r="AK415" s="133" t="str">
        <f>IF($A415&lt;&gt;0,VLOOKUP($A415,'0.Productos'!$A$3:$GG$587,'0.Productos'!CC$1+1,0),"")</f>
        <v/>
      </c>
      <c r="AL415" s="133" t="str">
        <f>IF($A415&lt;&gt;0,VLOOKUP($A415,'0.Productos'!$A$3:$GG$587,'0.Productos'!CD$1+1,0),"")</f>
        <v/>
      </c>
      <c r="AM415" s="133" t="str">
        <f>IF($A415&lt;&gt;0,VLOOKUP($A415,'0.Productos'!$A$3:$GG$587,'0.Productos'!CE$1+1,0),"")</f>
        <v/>
      </c>
      <c r="AN415" s="133" t="str">
        <f>IF($A415&lt;&gt;0,VLOOKUP($A415,'0.Productos'!$A$3:$GG$587,'0.Productos'!CF$1+1,0),"")</f>
        <v/>
      </c>
      <c r="AO415" s="133" t="str">
        <f>IF($A415&lt;&gt;0,VLOOKUP($A415,'0.Productos'!$A$3:$GG$587,'0.Productos'!CG$1+1,0),"")</f>
        <v/>
      </c>
      <c r="AP415" s="133" t="str">
        <f>IF($A415&lt;&gt;0,VLOOKUP($A415,'0.Productos'!$A$3:$GG$587,'0.Productos'!CH$1+1,0),"")</f>
        <v/>
      </c>
      <c r="AQ415" s="133" t="str">
        <f>IF($A415&lt;&gt;0,VLOOKUP($A415,'0.Productos'!$A$3:$GG$587,'0.Productos'!CI$1+1,0),"")</f>
        <v/>
      </c>
      <c r="AR415" s="133" t="str">
        <f>IF($A415&lt;&gt;0,VLOOKUP($A415,'0.Productos'!$A$3:$GG$587,'0.Productos'!CJ$1+1,0),"")</f>
        <v/>
      </c>
      <c r="AS415" s="133" t="str">
        <f>IF($A415&lt;&gt;0,VLOOKUP($A415,'0.Productos'!$A$3:$GG$587,'0.Productos'!CK$1+1,0),"")</f>
        <v/>
      </c>
      <c r="AT415" s="133" t="str">
        <f>IF($A415&lt;&gt;0,VLOOKUP($A415,'0.Productos'!$A$3:$GG$587,'0.Productos'!CL$1+1,0),"")</f>
        <v/>
      </c>
      <c r="AU415" s="133" t="str">
        <f>IF($A415&lt;&gt;0,VLOOKUP($A415,'0.Productos'!$A$3:$GG$587,'0.Productos'!CM$1+1,0),"")</f>
        <v/>
      </c>
      <c r="AV415" s="133" t="str">
        <f>IF($A415&lt;&gt;0,VLOOKUP($A415,'0.Productos'!$A$3:$GG$587,'0.Productos'!CN$1+1,0),"")</f>
        <v/>
      </c>
      <c r="AW415" s="133" t="str">
        <f>IF($A415&lt;&gt;0,VLOOKUP($A415,'0.Productos'!$A$3:$GG$587,'0.Productos'!CO$1+1,0),"")</f>
        <v/>
      </c>
      <c r="AX415" s="133" t="str">
        <f>IF($A415&lt;&gt;0,VLOOKUP($A415,'0.Productos'!$A$3:$GG$587,'0.Productos'!CP$1+1,0),"")</f>
        <v/>
      </c>
      <c r="AY415" s="133" t="str">
        <f>IF($A415&lt;&gt;0,VLOOKUP($A415,'0.Productos'!$A$3:$GG$587,'0.Productos'!CQ$1+1,0),"")</f>
        <v/>
      </c>
      <c r="AZ415" s="133" t="str">
        <f>IF($A415&lt;&gt;0,VLOOKUP($A415,'0.Productos'!$A$3:$GG$587,'0.Productos'!CR$1+1,0),"")</f>
        <v/>
      </c>
      <c r="BA415" s="133" t="str">
        <f>IF($A415&lt;&gt;0,VLOOKUP($A415,'0.Productos'!$A$3:$GG$587,'0.Productos'!CS$1+1,0),"")</f>
        <v/>
      </c>
      <c r="BB415" s="133" t="str">
        <f>IF($A415&lt;&gt;0,VLOOKUP($A415,'0.Productos'!$A$3:$GG$587,'0.Productos'!CT$1+1,0),"")</f>
        <v/>
      </c>
      <c r="BC415" s="133" t="str">
        <f>IF($A415&lt;&gt;0,VLOOKUP($A415,'0.Productos'!$A$3:$GG$587,'0.Productos'!CU$1+1,0),"")</f>
        <v/>
      </c>
      <c r="BD415" s="133" t="str">
        <f>IF($A415&lt;&gt;0,VLOOKUP($A415,'0.Productos'!$A$3:$GG$587,'0.Productos'!CV$1+1,0),"")</f>
        <v/>
      </c>
      <c r="BE415" s="133" t="str">
        <f>IF($A415&lt;&gt;0,VLOOKUP($A415,'0.Productos'!$A$3:$GG$587,'0.Productos'!CW$1+1,0),"")</f>
        <v/>
      </c>
      <c r="BF415" s="133" t="str">
        <f>IF($A415&lt;&gt;0,VLOOKUP($A415,'0.Productos'!$A$3:$GG$587,'0.Productos'!CX$1+1,0),"")</f>
        <v/>
      </c>
      <c r="BG415" s="133" t="str">
        <f>IF($A415&lt;&gt;0,VLOOKUP($A415,'0.Productos'!$A$3:$GG$587,'0.Productos'!CY$1+1,0),"")</f>
        <v/>
      </c>
      <c r="BH415" s="133" t="str">
        <f>IF($A415&lt;&gt;0,VLOOKUP($A415,'0.Productos'!$A$3:$GG$587,'0.Productos'!CZ$1+1,0),"")</f>
        <v/>
      </c>
      <c r="BI415" s="133" t="str">
        <f>IF($A415&lt;&gt;0,VLOOKUP($A415,'0.Productos'!$A$3:$GG$587,'0.Productos'!DA$1+1,0),"")</f>
        <v/>
      </c>
      <c r="BJ415" s="133" t="str">
        <f>IF($A415&lt;&gt;0,VLOOKUP($A415,'0.Productos'!$A$3:$GG$587,'0.Productos'!DB$1+1,0),"")</f>
        <v/>
      </c>
      <c r="BK415" s="133" t="str">
        <f>IF($A415&lt;&gt;0,VLOOKUP($A415,'0.Productos'!$A$3:$GG$587,'0.Productos'!DC$1+1,0),"")</f>
        <v/>
      </c>
      <c r="BL415" s="133" t="str">
        <f>IF($A415&lt;&gt;0,VLOOKUP($A415,'0.Productos'!$A$3:$GG$587,'0.Productos'!DD$1+1,0),"")</f>
        <v/>
      </c>
      <c r="BM415" s="133" t="str">
        <f>IF($A415&lt;&gt;0,VLOOKUP($A415,'0.Productos'!$A$3:$GG$587,'0.Productos'!DE$1+1,0),"")</f>
        <v/>
      </c>
      <c r="BN415" s="133" t="str">
        <f>IF($A415&lt;&gt;0,VLOOKUP($A415,'0.Productos'!$A$3:$GG$587,'0.Productos'!DF$1+1,0),"")</f>
        <v/>
      </c>
      <c r="BO415" s="133" t="str">
        <f>IF($A415&lt;&gt;0,VLOOKUP($A415,'0.Productos'!$A$3:$GG$587,'0.Productos'!DG$1+1,0),"")</f>
        <v/>
      </c>
      <c r="BP415" s="133" t="str">
        <f>IF($A415&lt;&gt;0,VLOOKUP($A415,'0.Productos'!$A$3:$GG$587,'0.Productos'!DH$1+1,0),"")</f>
        <v/>
      </c>
      <c r="BQ415" s="133" t="str">
        <f>IF($A415&lt;&gt;0,VLOOKUP($A415,'0.Productos'!$A$3:$GG$587,'0.Productos'!DI$1+1,0),"")</f>
        <v/>
      </c>
      <c r="BR415" s="133" t="str">
        <f>IF($A415&lt;&gt;0,VLOOKUP($A415,'0.Productos'!$A$3:$GG$587,'0.Productos'!DJ$1+1,0),"")</f>
        <v/>
      </c>
      <c r="BS415" s="133" t="str">
        <f>IF($A415&lt;&gt;0,VLOOKUP($A415,'0.Productos'!$A$3:$GG$587,'0.Productos'!DK$1+1,0),"")</f>
        <v/>
      </c>
      <c r="BT415" s="133" t="str">
        <f>IF($A415&lt;&gt;0,VLOOKUP($A415,'0.Productos'!$A$3:$GG$587,'0.Productos'!DL$1+1,0),"")</f>
        <v/>
      </c>
    </row>
    <row r="416" spans="1:72" x14ac:dyDescent="0.25">
      <c r="A416" s="17">
        <f>'0.Consolidado general'!A416</f>
        <v>0</v>
      </c>
      <c r="B416" s="133" t="str">
        <f>IF($A416&lt;&gt;0,VLOOKUP($A416,'0.Productos'!$A$3:$GG$587,'0.Productos'!AT$1+1,0),"")</f>
        <v/>
      </c>
      <c r="C416" s="133" t="str">
        <f>IF($A416&lt;&gt;0,VLOOKUP($A416,'0.Productos'!$A$3:$GG$587,'0.Productos'!AU$1+1,0),"")</f>
        <v/>
      </c>
      <c r="D416" s="133" t="str">
        <f>IF($A416&lt;&gt;0,VLOOKUP($A416,'0.Productos'!$A$3:$GG$587,'0.Productos'!AV$1+1,0),"")</f>
        <v/>
      </c>
      <c r="E416" s="133" t="str">
        <f>IF($A416&lt;&gt;0,VLOOKUP($A416,'0.Productos'!$A$3:$GG$587,'0.Productos'!AW$1+1,0),"")</f>
        <v/>
      </c>
      <c r="F416" s="133" t="str">
        <f>IF($A416&lt;&gt;0,VLOOKUP($A416,'0.Productos'!$A$3:$GG$587,'0.Productos'!AX$1+1,0),"")</f>
        <v/>
      </c>
      <c r="G416" s="133" t="str">
        <f>IF($A416&lt;&gt;0,VLOOKUP($A416,'0.Productos'!$A$3:$GG$587,'0.Productos'!AY$1+1,0),"")</f>
        <v/>
      </c>
      <c r="H416" s="133" t="str">
        <f>IF($A416&lt;&gt;0,VLOOKUP($A416,'0.Productos'!$A$3:$GG$587,'0.Productos'!AZ$1+1,0),"")</f>
        <v/>
      </c>
      <c r="I416" s="133" t="str">
        <f>IF($A416&lt;&gt;0,VLOOKUP($A416,'0.Productos'!$A$3:$GG$587,'0.Productos'!BA$1+1,0),"")</f>
        <v/>
      </c>
      <c r="J416" s="133" t="str">
        <f>IF($A416&lt;&gt;0,VLOOKUP($A416,'0.Productos'!$A$3:$GG$587,'0.Productos'!BB$1+1,0),"")</f>
        <v/>
      </c>
      <c r="K416" s="133" t="str">
        <f>IF($A416&lt;&gt;0,VLOOKUP($A416,'0.Productos'!$A$3:$GG$587,'0.Productos'!BC$1+1,0),"")</f>
        <v/>
      </c>
      <c r="L416" s="133" t="str">
        <f>IF($A416&lt;&gt;0,VLOOKUP($A416,'0.Productos'!$A$3:$GG$587,'0.Productos'!BD$1+1,0),"")</f>
        <v/>
      </c>
      <c r="M416" s="133" t="str">
        <f>IF($A416&lt;&gt;0,VLOOKUP($A416,'0.Productos'!$A$3:$GG$587,'0.Productos'!BE$1+1,0),"")</f>
        <v/>
      </c>
      <c r="N416" s="133" t="str">
        <f>IF($A416&lt;&gt;0,VLOOKUP($A416,'0.Productos'!$A$3:$GG$587,'0.Productos'!BF$1+1,0),"")</f>
        <v/>
      </c>
      <c r="O416" s="133" t="str">
        <f>IF($A416&lt;&gt;0,VLOOKUP($A416,'0.Productos'!$A$3:$GG$587,'0.Productos'!BG$1+1,0),"")</f>
        <v/>
      </c>
      <c r="P416" s="133" t="str">
        <f>IF($A416&lt;&gt;0,VLOOKUP($A416,'0.Productos'!$A$3:$GG$587,'0.Productos'!BH$1+1,0),"")</f>
        <v/>
      </c>
      <c r="Q416" s="133" t="str">
        <f>IF($A416&lt;&gt;0,VLOOKUP($A416,'0.Productos'!$A$3:$GG$587,'0.Productos'!BI$1+1,0),"")</f>
        <v/>
      </c>
      <c r="R416" s="133" t="str">
        <f>IF($A416&lt;&gt;0,VLOOKUP($A416,'0.Productos'!$A$3:$GG$587,'0.Productos'!BJ$1+1,0),"")</f>
        <v/>
      </c>
      <c r="S416" s="133" t="str">
        <f>IF($A416&lt;&gt;0,VLOOKUP($A416,'0.Productos'!$A$3:$GG$587,'0.Productos'!BK$1+1,0),"")</f>
        <v/>
      </c>
      <c r="T416" s="133" t="str">
        <f>IF($A416&lt;&gt;0,VLOOKUP($A416,'0.Productos'!$A$3:$GG$587,'0.Productos'!BL$1+1,0),"")</f>
        <v/>
      </c>
      <c r="U416" s="133" t="str">
        <f>IF($A416&lt;&gt;0,VLOOKUP($A416,'0.Productos'!$A$3:$GG$587,'0.Productos'!BM$1+1,0),"")</f>
        <v/>
      </c>
      <c r="V416" s="133" t="str">
        <f>IF($A416&lt;&gt;0,VLOOKUP($A416,'0.Productos'!$A$3:$GG$587,'0.Productos'!BN$1+1,0),"")</f>
        <v/>
      </c>
      <c r="W416" s="133" t="str">
        <f>IF($A416&lt;&gt;0,VLOOKUP($A416,'0.Productos'!$A$3:$GG$587,'0.Productos'!BO$1+1,0),"")</f>
        <v/>
      </c>
      <c r="X416" s="133" t="str">
        <f>IF($A416&lt;&gt;0,VLOOKUP($A416,'0.Productos'!$A$3:$GG$587,'0.Productos'!BP$1+1,0),"")</f>
        <v/>
      </c>
      <c r="Y416" s="133" t="str">
        <f>IF($A416&lt;&gt;0,VLOOKUP($A416,'0.Productos'!$A$3:$GG$587,'0.Productos'!BQ$1+1,0),"")</f>
        <v/>
      </c>
      <c r="Z416" s="133" t="str">
        <f>IF($A416&lt;&gt;0,VLOOKUP($A416,'0.Productos'!$A$3:$GG$587,'0.Productos'!BR$1+1,0),"")</f>
        <v/>
      </c>
      <c r="AA416" s="133" t="str">
        <f>IF($A416&lt;&gt;0,VLOOKUP($A416,'0.Productos'!$A$3:$GG$587,'0.Productos'!BS$1+1,0),"")</f>
        <v/>
      </c>
      <c r="AB416" s="133" t="str">
        <f>IF($A416&lt;&gt;0,VLOOKUP($A416,'0.Productos'!$A$3:$GG$587,'0.Productos'!BT$1+1,0),"")</f>
        <v/>
      </c>
      <c r="AC416" s="133" t="str">
        <f>IF($A416&lt;&gt;0,VLOOKUP($A416,'0.Productos'!$A$3:$GG$587,'0.Productos'!BU$1+1,0),"")</f>
        <v/>
      </c>
      <c r="AD416" s="133" t="str">
        <f>IF($A416&lt;&gt;0,VLOOKUP($A416,'0.Productos'!$A$3:$GG$587,'0.Productos'!BV$1+1,0),"")</f>
        <v/>
      </c>
      <c r="AE416" s="133" t="str">
        <f>IF($A416&lt;&gt;0,VLOOKUP($A416,'0.Productos'!$A$3:$GG$587,'0.Productos'!BW$1+1,0),"")</f>
        <v/>
      </c>
      <c r="AF416" s="133" t="str">
        <f>IF($A416&lt;&gt;0,VLOOKUP($A416,'0.Productos'!$A$3:$GG$587,'0.Productos'!BX$1+1,0),"")</f>
        <v/>
      </c>
      <c r="AG416" s="133" t="str">
        <f>IF($A416&lt;&gt;0,VLOOKUP($A416,'0.Productos'!$A$3:$GG$587,'0.Productos'!BY$1+1,0),"")</f>
        <v/>
      </c>
      <c r="AH416" s="133" t="str">
        <f>IF($A416&lt;&gt;0,VLOOKUP($A416,'0.Productos'!$A$3:$GG$587,'0.Productos'!BZ$1+1,0),"")</f>
        <v/>
      </c>
      <c r="AI416" s="133" t="str">
        <f>IF($A416&lt;&gt;0,VLOOKUP($A416,'0.Productos'!$A$3:$GG$587,'0.Productos'!CA$1+1,0),"")</f>
        <v/>
      </c>
      <c r="AJ416" s="133" t="str">
        <f>IF($A416&lt;&gt;0,VLOOKUP($A416,'0.Productos'!$A$3:$GG$587,'0.Productos'!CB$1+1,0),"")</f>
        <v/>
      </c>
      <c r="AK416" s="133" t="str">
        <f>IF($A416&lt;&gt;0,VLOOKUP($A416,'0.Productos'!$A$3:$GG$587,'0.Productos'!CC$1+1,0),"")</f>
        <v/>
      </c>
      <c r="AL416" s="133" t="str">
        <f>IF($A416&lt;&gt;0,VLOOKUP($A416,'0.Productos'!$A$3:$GG$587,'0.Productos'!CD$1+1,0),"")</f>
        <v/>
      </c>
      <c r="AM416" s="133" t="str">
        <f>IF($A416&lt;&gt;0,VLOOKUP($A416,'0.Productos'!$A$3:$GG$587,'0.Productos'!CE$1+1,0),"")</f>
        <v/>
      </c>
      <c r="AN416" s="133" t="str">
        <f>IF($A416&lt;&gt;0,VLOOKUP($A416,'0.Productos'!$A$3:$GG$587,'0.Productos'!CF$1+1,0),"")</f>
        <v/>
      </c>
      <c r="AO416" s="133" t="str">
        <f>IF($A416&lt;&gt;0,VLOOKUP($A416,'0.Productos'!$A$3:$GG$587,'0.Productos'!CG$1+1,0),"")</f>
        <v/>
      </c>
      <c r="AP416" s="133" t="str">
        <f>IF($A416&lt;&gt;0,VLOOKUP($A416,'0.Productos'!$A$3:$GG$587,'0.Productos'!CH$1+1,0),"")</f>
        <v/>
      </c>
      <c r="AQ416" s="133" t="str">
        <f>IF($A416&lt;&gt;0,VLOOKUP($A416,'0.Productos'!$A$3:$GG$587,'0.Productos'!CI$1+1,0),"")</f>
        <v/>
      </c>
      <c r="AR416" s="133" t="str">
        <f>IF($A416&lt;&gt;0,VLOOKUP($A416,'0.Productos'!$A$3:$GG$587,'0.Productos'!CJ$1+1,0),"")</f>
        <v/>
      </c>
      <c r="AS416" s="133" t="str">
        <f>IF($A416&lt;&gt;0,VLOOKUP($A416,'0.Productos'!$A$3:$GG$587,'0.Productos'!CK$1+1,0),"")</f>
        <v/>
      </c>
      <c r="AT416" s="133" t="str">
        <f>IF($A416&lt;&gt;0,VLOOKUP($A416,'0.Productos'!$A$3:$GG$587,'0.Productos'!CL$1+1,0),"")</f>
        <v/>
      </c>
      <c r="AU416" s="133" t="str">
        <f>IF($A416&lt;&gt;0,VLOOKUP($A416,'0.Productos'!$A$3:$GG$587,'0.Productos'!CM$1+1,0),"")</f>
        <v/>
      </c>
      <c r="AV416" s="133" t="str">
        <f>IF($A416&lt;&gt;0,VLOOKUP($A416,'0.Productos'!$A$3:$GG$587,'0.Productos'!CN$1+1,0),"")</f>
        <v/>
      </c>
      <c r="AW416" s="133" t="str">
        <f>IF($A416&lt;&gt;0,VLOOKUP($A416,'0.Productos'!$A$3:$GG$587,'0.Productos'!CO$1+1,0),"")</f>
        <v/>
      </c>
      <c r="AX416" s="133" t="str">
        <f>IF($A416&lt;&gt;0,VLOOKUP($A416,'0.Productos'!$A$3:$GG$587,'0.Productos'!CP$1+1,0),"")</f>
        <v/>
      </c>
      <c r="AY416" s="133" t="str">
        <f>IF($A416&lt;&gt;0,VLOOKUP($A416,'0.Productos'!$A$3:$GG$587,'0.Productos'!CQ$1+1,0),"")</f>
        <v/>
      </c>
      <c r="AZ416" s="133" t="str">
        <f>IF($A416&lt;&gt;0,VLOOKUP($A416,'0.Productos'!$A$3:$GG$587,'0.Productos'!CR$1+1,0),"")</f>
        <v/>
      </c>
      <c r="BA416" s="133" t="str">
        <f>IF($A416&lt;&gt;0,VLOOKUP($A416,'0.Productos'!$A$3:$GG$587,'0.Productos'!CS$1+1,0),"")</f>
        <v/>
      </c>
      <c r="BB416" s="133" t="str">
        <f>IF($A416&lt;&gt;0,VLOOKUP($A416,'0.Productos'!$A$3:$GG$587,'0.Productos'!CT$1+1,0),"")</f>
        <v/>
      </c>
      <c r="BC416" s="133" t="str">
        <f>IF($A416&lt;&gt;0,VLOOKUP($A416,'0.Productos'!$A$3:$GG$587,'0.Productos'!CU$1+1,0),"")</f>
        <v/>
      </c>
      <c r="BD416" s="133" t="str">
        <f>IF($A416&lt;&gt;0,VLOOKUP($A416,'0.Productos'!$A$3:$GG$587,'0.Productos'!CV$1+1,0),"")</f>
        <v/>
      </c>
      <c r="BE416" s="133" t="str">
        <f>IF($A416&lt;&gt;0,VLOOKUP($A416,'0.Productos'!$A$3:$GG$587,'0.Productos'!CW$1+1,0),"")</f>
        <v/>
      </c>
      <c r="BF416" s="133" t="str">
        <f>IF($A416&lt;&gt;0,VLOOKUP($A416,'0.Productos'!$A$3:$GG$587,'0.Productos'!CX$1+1,0),"")</f>
        <v/>
      </c>
      <c r="BG416" s="133" t="str">
        <f>IF($A416&lt;&gt;0,VLOOKUP($A416,'0.Productos'!$A$3:$GG$587,'0.Productos'!CY$1+1,0),"")</f>
        <v/>
      </c>
      <c r="BH416" s="133" t="str">
        <f>IF($A416&lt;&gt;0,VLOOKUP($A416,'0.Productos'!$A$3:$GG$587,'0.Productos'!CZ$1+1,0),"")</f>
        <v/>
      </c>
      <c r="BI416" s="133" t="str">
        <f>IF($A416&lt;&gt;0,VLOOKUP($A416,'0.Productos'!$A$3:$GG$587,'0.Productos'!DA$1+1,0),"")</f>
        <v/>
      </c>
      <c r="BJ416" s="133" t="str">
        <f>IF($A416&lt;&gt;0,VLOOKUP($A416,'0.Productos'!$A$3:$GG$587,'0.Productos'!DB$1+1,0),"")</f>
        <v/>
      </c>
      <c r="BK416" s="133" t="str">
        <f>IF($A416&lt;&gt;0,VLOOKUP($A416,'0.Productos'!$A$3:$GG$587,'0.Productos'!DC$1+1,0),"")</f>
        <v/>
      </c>
      <c r="BL416" s="133" t="str">
        <f>IF($A416&lt;&gt;0,VLOOKUP($A416,'0.Productos'!$A$3:$GG$587,'0.Productos'!DD$1+1,0),"")</f>
        <v/>
      </c>
      <c r="BM416" s="133" t="str">
        <f>IF($A416&lt;&gt;0,VLOOKUP($A416,'0.Productos'!$A$3:$GG$587,'0.Productos'!DE$1+1,0),"")</f>
        <v/>
      </c>
      <c r="BN416" s="133" t="str">
        <f>IF($A416&lt;&gt;0,VLOOKUP($A416,'0.Productos'!$A$3:$GG$587,'0.Productos'!DF$1+1,0),"")</f>
        <v/>
      </c>
      <c r="BO416" s="133" t="str">
        <f>IF($A416&lt;&gt;0,VLOOKUP($A416,'0.Productos'!$A$3:$GG$587,'0.Productos'!DG$1+1,0),"")</f>
        <v/>
      </c>
      <c r="BP416" s="133" t="str">
        <f>IF($A416&lt;&gt;0,VLOOKUP($A416,'0.Productos'!$A$3:$GG$587,'0.Productos'!DH$1+1,0),"")</f>
        <v/>
      </c>
      <c r="BQ416" s="133" t="str">
        <f>IF($A416&lt;&gt;0,VLOOKUP($A416,'0.Productos'!$A$3:$GG$587,'0.Productos'!DI$1+1,0),"")</f>
        <v/>
      </c>
      <c r="BR416" s="133" t="str">
        <f>IF($A416&lt;&gt;0,VLOOKUP($A416,'0.Productos'!$A$3:$GG$587,'0.Productos'!DJ$1+1,0),"")</f>
        <v/>
      </c>
      <c r="BS416" s="133" t="str">
        <f>IF($A416&lt;&gt;0,VLOOKUP($A416,'0.Productos'!$A$3:$GG$587,'0.Productos'!DK$1+1,0),"")</f>
        <v/>
      </c>
      <c r="BT416" s="133" t="str">
        <f>IF($A416&lt;&gt;0,VLOOKUP($A416,'0.Productos'!$A$3:$GG$587,'0.Productos'!DL$1+1,0),"")</f>
        <v/>
      </c>
    </row>
    <row r="417" spans="1:72" x14ac:dyDescent="0.25">
      <c r="A417" s="17">
        <f>'0.Consolidado general'!A417</f>
        <v>0</v>
      </c>
      <c r="B417" s="133" t="str">
        <f>IF($A417&lt;&gt;0,VLOOKUP($A417,'0.Productos'!$A$3:$GG$587,'0.Productos'!AT$1+1,0),"")</f>
        <v/>
      </c>
      <c r="C417" s="133" t="str">
        <f>IF($A417&lt;&gt;0,VLOOKUP($A417,'0.Productos'!$A$3:$GG$587,'0.Productos'!AU$1+1,0),"")</f>
        <v/>
      </c>
      <c r="D417" s="133" t="str">
        <f>IF($A417&lt;&gt;0,VLOOKUP($A417,'0.Productos'!$A$3:$GG$587,'0.Productos'!AV$1+1,0),"")</f>
        <v/>
      </c>
      <c r="E417" s="133" t="str">
        <f>IF($A417&lt;&gt;0,VLOOKUP($A417,'0.Productos'!$A$3:$GG$587,'0.Productos'!AW$1+1,0),"")</f>
        <v/>
      </c>
      <c r="F417" s="133" t="str">
        <f>IF($A417&lt;&gt;0,VLOOKUP($A417,'0.Productos'!$A$3:$GG$587,'0.Productos'!AX$1+1,0),"")</f>
        <v/>
      </c>
      <c r="G417" s="133" t="str">
        <f>IF($A417&lt;&gt;0,VLOOKUP($A417,'0.Productos'!$A$3:$GG$587,'0.Productos'!AY$1+1,0),"")</f>
        <v/>
      </c>
      <c r="H417" s="133" t="str">
        <f>IF($A417&lt;&gt;0,VLOOKUP($A417,'0.Productos'!$A$3:$GG$587,'0.Productos'!AZ$1+1,0),"")</f>
        <v/>
      </c>
      <c r="I417" s="133" t="str">
        <f>IF($A417&lt;&gt;0,VLOOKUP($A417,'0.Productos'!$A$3:$GG$587,'0.Productos'!BA$1+1,0),"")</f>
        <v/>
      </c>
      <c r="J417" s="133" t="str">
        <f>IF($A417&lt;&gt;0,VLOOKUP($A417,'0.Productos'!$A$3:$GG$587,'0.Productos'!BB$1+1,0),"")</f>
        <v/>
      </c>
      <c r="K417" s="133" t="str">
        <f>IF($A417&lt;&gt;0,VLOOKUP($A417,'0.Productos'!$A$3:$GG$587,'0.Productos'!BC$1+1,0),"")</f>
        <v/>
      </c>
      <c r="L417" s="133" t="str">
        <f>IF($A417&lt;&gt;0,VLOOKUP($A417,'0.Productos'!$A$3:$GG$587,'0.Productos'!BD$1+1,0),"")</f>
        <v/>
      </c>
      <c r="M417" s="133" t="str">
        <f>IF($A417&lt;&gt;0,VLOOKUP($A417,'0.Productos'!$A$3:$GG$587,'0.Productos'!BE$1+1,0),"")</f>
        <v/>
      </c>
      <c r="N417" s="133" t="str">
        <f>IF($A417&lt;&gt;0,VLOOKUP($A417,'0.Productos'!$A$3:$GG$587,'0.Productos'!BF$1+1,0),"")</f>
        <v/>
      </c>
      <c r="O417" s="133" t="str">
        <f>IF($A417&lt;&gt;0,VLOOKUP($A417,'0.Productos'!$A$3:$GG$587,'0.Productos'!BG$1+1,0),"")</f>
        <v/>
      </c>
      <c r="P417" s="133" t="str">
        <f>IF($A417&lt;&gt;0,VLOOKUP($A417,'0.Productos'!$A$3:$GG$587,'0.Productos'!BH$1+1,0),"")</f>
        <v/>
      </c>
      <c r="Q417" s="133" t="str">
        <f>IF($A417&lt;&gt;0,VLOOKUP($A417,'0.Productos'!$A$3:$GG$587,'0.Productos'!BI$1+1,0),"")</f>
        <v/>
      </c>
      <c r="R417" s="133" t="str">
        <f>IF($A417&lt;&gt;0,VLOOKUP($A417,'0.Productos'!$A$3:$GG$587,'0.Productos'!BJ$1+1,0),"")</f>
        <v/>
      </c>
      <c r="S417" s="133" t="str">
        <f>IF($A417&lt;&gt;0,VLOOKUP($A417,'0.Productos'!$A$3:$GG$587,'0.Productos'!BK$1+1,0),"")</f>
        <v/>
      </c>
      <c r="T417" s="133" t="str">
        <f>IF($A417&lt;&gt;0,VLOOKUP($A417,'0.Productos'!$A$3:$GG$587,'0.Productos'!BL$1+1,0),"")</f>
        <v/>
      </c>
      <c r="U417" s="133" t="str">
        <f>IF($A417&lt;&gt;0,VLOOKUP($A417,'0.Productos'!$A$3:$GG$587,'0.Productos'!BM$1+1,0),"")</f>
        <v/>
      </c>
      <c r="V417" s="133" t="str">
        <f>IF($A417&lt;&gt;0,VLOOKUP($A417,'0.Productos'!$A$3:$GG$587,'0.Productos'!BN$1+1,0),"")</f>
        <v/>
      </c>
      <c r="W417" s="133" t="str">
        <f>IF($A417&lt;&gt;0,VLOOKUP($A417,'0.Productos'!$A$3:$GG$587,'0.Productos'!BO$1+1,0),"")</f>
        <v/>
      </c>
      <c r="X417" s="133" t="str">
        <f>IF($A417&lt;&gt;0,VLOOKUP($A417,'0.Productos'!$A$3:$GG$587,'0.Productos'!BP$1+1,0),"")</f>
        <v/>
      </c>
      <c r="Y417" s="133" t="str">
        <f>IF($A417&lt;&gt;0,VLOOKUP($A417,'0.Productos'!$A$3:$GG$587,'0.Productos'!BQ$1+1,0),"")</f>
        <v/>
      </c>
      <c r="Z417" s="133" t="str">
        <f>IF($A417&lt;&gt;0,VLOOKUP($A417,'0.Productos'!$A$3:$GG$587,'0.Productos'!BR$1+1,0),"")</f>
        <v/>
      </c>
      <c r="AA417" s="133" t="str">
        <f>IF($A417&lt;&gt;0,VLOOKUP($A417,'0.Productos'!$A$3:$GG$587,'0.Productos'!BS$1+1,0),"")</f>
        <v/>
      </c>
      <c r="AB417" s="133" t="str">
        <f>IF($A417&lt;&gt;0,VLOOKUP($A417,'0.Productos'!$A$3:$GG$587,'0.Productos'!BT$1+1,0),"")</f>
        <v/>
      </c>
      <c r="AC417" s="133" t="str">
        <f>IF($A417&lt;&gt;0,VLOOKUP($A417,'0.Productos'!$A$3:$GG$587,'0.Productos'!BU$1+1,0),"")</f>
        <v/>
      </c>
      <c r="AD417" s="133" t="str">
        <f>IF($A417&lt;&gt;0,VLOOKUP($A417,'0.Productos'!$A$3:$GG$587,'0.Productos'!BV$1+1,0),"")</f>
        <v/>
      </c>
      <c r="AE417" s="133" t="str">
        <f>IF($A417&lt;&gt;0,VLOOKUP($A417,'0.Productos'!$A$3:$GG$587,'0.Productos'!BW$1+1,0),"")</f>
        <v/>
      </c>
      <c r="AF417" s="133" t="str">
        <f>IF($A417&lt;&gt;0,VLOOKUP($A417,'0.Productos'!$A$3:$GG$587,'0.Productos'!BX$1+1,0),"")</f>
        <v/>
      </c>
      <c r="AG417" s="133" t="str">
        <f>IF($A417&lt;&gt;0,VLOOKUP($A417,'0.Productos'!$A$3:$GG$587,'0.Productos'!BY$1+1,0),"")</f>
        <v/>
      </c>
      <c r="AH417" s="133" t="str">
        <f>IF($A417&lt;&gt;0,VLOOKUP($A417,'0.Productos'!$A$3:$GG$587,'0.Productos'!BZ$1+1,0),"")</f>
        <v/>
      </c>
      <c r="AI417" s="133" t="str">
        <f>IF($A417&lt;&gt;0,VLOOKUP($A417,'0.Productos'!$A$3:$GG$587,'0.Productos'!CA$1+1,0),"")</f>
        <v/>
      </c>
      <c r="AJ417" s="133" t="str">
        <f>IF($A417&lt;&gt;0,VLOOKUP($A417,'0.Productos'!$A$3:$GG$587,'0.Productos'!CB$1+1,0),"")</f>
        <v/>
      </c>
      <c r="AK417" s="133" t="str">
        <f>IF($A417&lt;&gt;0,VLOOKUP($A417,'0.Productos'!$A$3:$GG$587,'0.Productos'!CC$1+1,0),"")</f>
        <v/>
      </c>
      <c r="AL417" s="133" t="str">
        <f>IF($A417&lt;&gt;0,VLOOKUP($A417,'0.Productos'!$A$3:$GG$587,'0.Productos'!CD$1+1,0),"")</f>
        <v/>
      </c>
      <c r="AM417" s="133" t="str">
        <f>IF($A417&lt;&gt;0,VLOOKUP($A417,'0.Productos'!$A$3:$GG$587,'0.Productos'!CE$1+1,0),"")</f>
        <v/>
      </c>
      <c r="AN417" s="133" t="str">
        <f>IF($A417&lt;&gt;0,VLOOKUP($A417,'0.Productos'!$A$3:$GG$587,'0.Productos'!CF$1+1,0),"")</f>
        <v/>
      </c>
      <c r="AO417" s="133" t="str">
        <f>IF($A417&lt;&gt;0,VLOOKUP($A417,'0.Productos'!$A$3:$GG$587,'0.Productos'!CG$1+1,0),"")</f>
        <v/>
      </c>
      <c r="AP417" s="133" t="str">
        <f>IF($A417&lt;&gt;0,VLOOKUP($A417,'0.Productos'!$A$3:$GG$587,'0.Productos'!CH$1+1,0),"")</f>
        <v/>
      </c>
      <c r="AQ417" s="133" t="str">
        <f>IF($A417&lt;&gt;0,VLOOKUP($A417,'0.Productos'!$A$3:$GG$587,'0.Productos'!CI$1+1,0),"")</f>
        <v/>
      </c>
      <c r="AR417" s="133" t="str">
        <f>IF($A417&lt;&gt;0,VLOOKUP($A417,'0.Productos'!$A$3:$GG$587,'0.Productos'!CJ$1+1,0),"")</f>
        <v/>
      </c>
      <c r="AS417" s="133" t="str">
        <f>IF($A417&lt;&gt;0,VLOOKUP($A417,'0.Productos'!$A$3:$GG$587,'0.Productos'!CK$1+1,0),"")</f>
        <v/>
      </c>
      <c r="AT417" s="133" t="str">
        <f>IF($A417&lt;&gt;0,VLOOKUP($A417,'0.Productos'!$A$3:$GG$587,'0.Productos'!CL$1+1,0),"")</f>
        <v/>
      </c>
      <c r="AU417" s="133" t="str">
        <f>IF($A417&lt;&gt;0,VLOOKUP($A417,'0.Productos'!$A$3:$GG$587,'0.Productos'!CM$1+1,0),"")</f>
        <v/>
      </c>
      <c r="AV417" s="133" t="str">
        <f>IF($A417&lt;&gt;0,VLOOKUP($A417,'0.Productos'!$A$3:$GG$587,'0.Productos'!CN$1+1,0),"")</f>
        <v/>
      </c>
      <c r="AW417" s="133" t="str">
        <f>IF($A417&lt;&gt;0,VLOOKUP($A417,'0.Productos'!$A$3:$GG$587,'0.Productos'!CO$1+1,0),"")</f>
        <v/>
      </c>
      <c r="AX417" s="133" t="str">
        <f>IF($A417&lt;&gt;0,VLOOKUP($A417,'0.Productos'!$A$3:$GG$587,'0.Productos'!CP$1+1,0),"")</f>
        <v/>
      </c>
      <c r="AY417" s="133" t="str">
        <f>IF($A417&lt;&gt;0,VLOOKUP($A417,'0.Productos'!$A$3:$GG$587,'0.Productos'!CQ$1+1,0),"")</f>
        <v/>
      </c>
      <c r="AZ417" s="133" t="str">
        <f>IF($A417&lt;&gt;0,VLOOKUP($A417,'0.Productos'!$A$3:$GG$587,'0.Productos'!CR$1+1,0),"")</f>
        <v/>
      </c>
      <c r="BA417" s="133" t="str">
        <f>IF($A417&lt;&gt;0,VLOOKUP($A417,'0.Productos'!$A$3:$GG$587,'0.Productos'!CS$1+1,0),"")</f>
        <v/>
      </c>
      <c r="BB417" s="133" t="str">
        <f>IF($A417&lt;&gt;0,VLOOKUP($A417,'0.Productos'!$A$3:$GG$587,'0.Productos'!CT$1+1,0),"")</f>
        <v/>
      </c>
      <c r="BC417" s="133" t="str">
        <f>IF($A417&lt;&gt;0,VLOOKUP($A417,'0.Productos'!$A$3:$GG$587,'0.Productos'!CU$1+1,0),"")</f>
        <v/>
      </c>
      <c r="BD417" s="133" t="str">
        <f>IF($A417&lt;&gt;0,VLOOKUP($A417,'0.Productos'!$A$3:$GG$587,'0.Productos'!CV$1+1,0),"")</f>
        <v/>
      </c>
      <c r="BE417" s="133" t="str">
        <f>IF($A417&lt;&gt;0,VLOOKUP($A417,'0.Productos'!$A$3:$GG$587,'0.Productos'!CW$1+1,0),"")</f>
        <v/>
      </c>
      <c r="BF417" s="133" t="str">
        <f>IF($A417&lt;&gt;0,VLOOKUP($A417,'0.Productos'!$A$3:$GG$587,'0.Productos'!CX$1+1,0),"")</f>
        <v/>
      </c>
      <c r="BG417" s="133" t="str">
        <f>IF($A417&lt;&gt;0,VLOOKUP($A417,'0.Productos'!$A$3:$GG$587,'0.Productos'!CY$1+1,0),"")</f>
        <v/>
      </c>
      <c r="BH417" s="133" t="str">
        <f>IF($A417&lt;&gt;0,VLOOKUP($A417,'0.Productos'!$A$3:$GG$587,'0.Productos'!CZ$1+1,0),"")</f>
        <v/>
      </c>
      <c r="BI417" s="133" t="str">
        <f>IF($A417&lt;&gt;0,VLOOKUP($A417,'0.Productos'!$A$3:$GG$587,'0.Productos'!DA$1+1,0),"")</f>
        <v/>
      </c>
      <c r="BJ417" s="133" t="str">
        <f>IF($A417&lt;&gt;0,VLOOKUP($A417,'0.Productos'!$A$3:$GG$587,'0.Productos'!DB$1+1,0),"")</f>
        <v/>
      </c>
      <c r="BK417" s="133" t="str">
        <f>IF($A417&lt;&gt;0,VLOOKUP($A417,'0.Productos'!$A$3:$GG$587,'0.Productos'!DC$1+1,0),"")</f>
        <v/>
      </c>
      <c r="BL417" s="133" t="str">
        <f>IF($A417&lt;&gt;0,VLOOKUP($A417,'0.Productos'!$A$3:$GG$587,'0.Productos'!DD$1+1,0),"")</f>
        <v/>
      </c>
      <c r="BM417" s="133" t="str">
        <f>IF($A417&lt;&gt;0,VLOOKUP($A417,'0.Productos'!$A$3:$GG$587,'0.Productos'!DE$1+1,0),"")</f>
        <v/>
      </c>
      <c r="BN417" s="133" t="str">
        <f>IF($A417&lt;&gt;0,VLOOKUP($A417,'0.Productos'!$A$3:$GG$587,'0.Productos'!DF$1+1,0),"")</f>
        <v/>
      </c>
      <c r="BO417" s="133" t="str">
        <f>IF($A417&lt;&gt;0,VLOOKUP($A417,'0.Productos'!$A$3:$GG$587,'0.Productos'!DG$1+1,0),"")</f>
        <v/>
      </c>
      <c r="BP417" s="133" t="str">
        <f>IF($A417&lt;&gt;0,VLOOKUP($A417,'0.Productos'!$A$3:$GG$587,'0.Productos'!DH$1+1,0),"")</f>
        <v/>
      </c>
      <c r="BQ417" s="133" t="str">
        <f>IF($A417&lt;&gt;0,VLOOKUP($A417,'0.Productos'!$A$3:$GG$587,'0.Productos'!DI$1+1,0),"")</f>
        <v/>
      </c>
      <c r="BR417" s="133" t="str">
        <f>IF($A417&lt;&gt;0,VLOOKUP($A417,'0.Productos'!$A$3:$GG$587,'0.Productos'!DJ$1+1,0),"")</f>
        <v/>
      </c>
      <c r="BS417" s="133" t="str">
        <f>IF($A417&lt;&gt;0,VLOOKUP($A417,'0.Productos'!$A$3:$GG$587,'0.Productos'!DK$1+1,0),"")</f>
        <v/>
      </c>
      <c r="BT417" s="133" t="str">
        <f>IF($A417&lt;&gt;0,VLOOKUP($A417,'0.Productos'!$A$3:$GG$587,'0.Productos'!DL$1+1,0),"")</f>
        <v/>
      </c>
    </row>
    <row r="418" spans="1:72" x14ac:dyDescent="0.25">
      <c r="A418" s="17">
        <f>'0.Consolidado general'!A418</f>
        <v>0</v>
      </c>
      <c r="B418" s="133" t="str">
        <f>IF($A418&lt;&gt;0,VLOOKUP($A418,'0.Productos'!$A$3:$GG$587,'0.Productos'!AT$1+1,0),"")</f>
        <v/>
      </c>
      <c r="C418" s="133" t="str">
        <f>IF($A418&lt;&gt;0,VLOOKUP($A418,'0.Productos'!$A$3:$GG$587,'0.Productos'!AU$1+1,0),"")</f>
        <v/>
      </c>
      <c r="D418" s="133" t="str">
        <f>IF($A418&lt;&gt;0,VLOOKUP($A418,'0.Productos'!$A$3:$GG$587,'0.Productos'!AV$1+1,0),"")</f>
        <v/>
      </c>
      <c r="E418" s="133" t="str">
        <f>IF($A418&lt;&gt;0,VLOOKUP($A418,'0.Productos'!$A$3:$GG$587,'0.Productos'!AW$1+1,0),"")</f>
        <v/>
      </c>
      <c r="F418" s="133" t="str">
        <f>IF($A418&lt;&gt;0,VLOOKUP($A418,'0.Productos'!$A$3:$GG$587,'0.Productos'!AX$1+1,0),"")</f>
        <v/>
      </c>
      <c r="G418" s="133" t="str">
        <f>IF($A418&lt;&gt;0,VLOOKUP($A418,'0.Productos'!$A$3:$GG$587,'0.Productos'!AY$1+1,0),"")</f>
        <v/>
      </c>
      <c r="H418" s="133" t="str">
        <f>IF($A418&lt;&gt;0,VLOOKUP($A418,'0.Productos'!$A$3:$GG$587,'0.Productos'!AZ$1+1,0),"")</f>
        <v/>
      </c>
      <c r="I418" s="133" t="str">
        <f>IF($A418&lt;&gt;0,VLOOKUP($A418,'0.Productos'!$A$3:$GG$587,'0.Productos'!BA$1+1,0),"")</f>
        <v/>
      </c>
      <c r="J418" s="133" t="str">
        <f>IF($A418&lt;&gt;0,VLOOKUP($A418,'0.Productos'!$A$3:$GG$587,'0.Productos'!BB$1+1,0),"")</f>
        <v/>
      </c>
      <c r="K418" s="133" t="str">
        <f>IF($A418&lt;&gt;0,VLOOKUP($A418,'0.Productos'!$A$3:$GG$587,'0.Productos'!BC$1+1,0),"")</f>
        <v/>
      </c>
      <c r="L418" s="133" t="str">
        <f>IF($A418&lt;&gt;0,VLOOKUP($A418,'0.Productos'!$A$3:$GG$587,'0.Productos'!BD$1+1,0),"")</f>
        <v/>
      </c>
      <c r="M418" s="133" t="str">
        <f>IF($A418&lt;&gt;0,VLOOKUP($A418,'0.Productos'!$A$3:$GG$587,'0.Productos'!BE$1+1,0),"")</f>
        <v/>
      </c>
      <c r="N418" s="133" t="str">
        <f>IF($A418&lt;&gt;0,VLOOKUP($A418,'0.Productos'!$A$3:$GG$587,'0.Productos'!BF$1+1,0),"")</f>
        <v/>
      </c>
      <c r="O418" s="133" t="str">
        <f>IF($A418&lt;&gt;0,VLOOKUP($A418,'0.Productos'!$A$3:$GG$587,'0.Productos'!BG$1+1,0),"")</f>
        <v/>
      </c>
      <c r="P418" s="133" t="str">
        <f>IF($A418&lt;&gt;0,VLOOKUP($A418,'0.Productos'!$A$3:$GG$587,'0.Productos'!BH$1+1,0),"")</f>
        <v/>
      </c>
      <c r="Q418" s="133" t="str">
        <f>IF($A418&lt;&gt;0,VLOOKUP($A418,'0.Productos'!$A$3:$GG$587,'0.Productos'!BI$1+1,0),"")</f>
        <v/>
      </c>
      <c r="R418" s="133" t="str">
        <f>IF($A418&lt;&gt;0,VLOOKUP($A418,'0.Productos'!$A$3:$GG$587,'0.Productos'!BJ$1+1,0),"")</f>
        <v/>
      </c>
      <c r="S418" s="133" t="str">
        <f>IF($A418&lt;&gt;0,VLOOKUP($A418,'0.Productos'!$A$3:$GG$587,'0.Productos'!BK$1+1,0),"")</f>
        <v/>
      </c>
      <c r="T418" s="133" t="str">
        <f>IF($A418&lt;&gt;0,VLOOKUP($A418,'0.Productos'!$A$3:$GG$587,'0.Productos'!BL$1+1,0),"")</f>
        <v/>
      </c>
      <c r="U418" s="133" t="str">
        <f>IF($A418&lt;&gt;0,VLOOKUP($A418,'0.Productos'!$A$3:$GG$587,'0.Productos'!BM$1+1,0),"")</f>
        <v/>
      </c>
      <c r="V418" s="133" t="str">
        <f>IF($A418&lt;&gt;0,VLOOKUP($A418,'0.Productos'!$A$3:$GG$587,'0.Productos'!BN$1+1,0),"")</f>
        <v/>
      </c>
      <c r="W418" s="133" t="str">
        <f>IF($A418&lt;&gt;0,VLOOKUP($A418,'0.Productos'!$A$3:$GG$587,'0.Productos'!BO$1+1,0),"")</f>
        <v/>
      </c>
      <c r="X418" s="133" t="str">
        <f>IF($A418&lt;&gt;0,VLOOKUP($A418,'0.Productos'!$A$3:$GG$587,'0.Productos'!BP$1+1,0),"")</f>
        <v/>
      </c>
      <c r="Y418" s="133" t="str">
        <f>IF($A418&lt;&gt;0,VLOOKUP($A418,'0.Productos'!$A$3:$GG$587,'0.Productos'!BQ$1+1,0),"")</f>
        <v/>
      </c>
      <c r="Z418" s="133" t="str">
        <f>IF($A418&lt;&gt;0,VLOOKUP($A418,'0.Productos'!$A$3:$GG$587,'0.Productos'!BR$1+1,0),"")</f>
        <v/>
      </c>
      <c r="AA418" s="133" t="str">
        <f>IF($A418&lt;&gt;0,VLOOKUP($A418,'0.Productos'!$A$3:$GG$587,'0.Productos'!BS$1+1,0),"")</f>
        <v/>
      </c>
      <c r="AB418" s="133" t="str">
        <f>IF($A418&lt;&gt;0,VLOOKUP($A418,'0.Productos'!$A$3:$GG$587,'0.Productos'!BT$1+1,0),"")</f>
        <v/>
      </c>
      <c r="AC418" s="133" t="str">
        <f>IF($A418&lt;&gt;0,VLOOKUP($A418,'0.Productos'!$A$3:$GG$587,'0.Productos'!BU$1+1,0),"")</f>
        <v/>
      </c>
      <c r="AD418" s="133" t="str">
        <f>IF($A418&lt;&gt;0,VLOOKUP($A418,'0.Productos'!$A$3:$GG$587,'0.Productos'!BV$1+1,0),"")</f>
        <v/>
      </c>
      <c r="AE418" s="133" t="str">
        <f>IF($A418&lt;&gt;0,VLOOKUP($A418,'0.Productos'!$A$3:$GG$587,'0.Productos'!BW$1+1,0),"")</f>
        <v/>
      </c>
      <c r="AF418" s="133" t="str">
        <f>IF($A418&lt;&gt;0,VLOOKUP($A418,'0.Productos'!$A$3:$GG$587,'0.Productos'!BX$1+1,0),"")</f>
        <v/>
      </c>
      <c r="AG418" s="133" t="str">
        <f>IF($A418&lt;&gt;0,VLOOKUP($A418,'0.Productos'!$A$3:$GG$587,'0.Productos'!BY$1+1,0),"")</f>
        <v/>
      </c>
      <c r="AH418" s="133" t="str">
        <f>IF($A418&lt;&gt;0,VLOOKUP($A418,'0.Productos'!$A$3:$GG$587,'0.Productos'!BZ$1+1,0),"")</f>
        <v/>
      </c>
      <c r="AI418" s="133" t="str">
        <f>IF($A418&lt;&gt;0,VLOOKUP($A418,'0.Productos'!$A$3:$GG$587,'0.Productos'!CA$1+1,0),"")</f>
        <v/>
      </c>
      <c r="AJ418" s="133" t="str">
        <f>IF($A418&lt;&gt;0,VLOOKUP($A418,'0.Productos'!$A$3:$GG$587,'0.Productos'!CB$1+1,0),"")</f>
        <v/>
      </c>
      <c r="AK418" s="133" t="str">
        <f>IF($A418&lt;&gt;0,VLOOKUP($A418,'0.Productos'!$A$3:$GG$587,'0.Productos'!CC$1+1,0),"")</f>
        <v/>
      </c>
      <c r="AL418" s="133" t="str">
        <f>IF($A418&lt;&gt;0,VLOOKUP($A418,'0.Productos'!$A$3:$GG$587,'0.Productos'!CD$1+1,0),"")</f>
        <v/>
      </c>
      <c r="AM418" s="133" t="str">
        <f>IF($A418&lt;&gt;0,VLOOKUP($A418,'0.Productos'!$A$3:$GG$587,'0.Productos'!CE$1+1,0),"")</f>
        <v/>
      </c>
      <c r="AN418" s="133" t="str">
        <f>IF($A418&lt;&gt;0,VLOOKUP($A418,'0.Productos'!$A$3:$GG$587,'0.Productos'!CF$1+1,0),"")</f>
        <v/>
      </c>
      <c r="AO418" s="133" t="str">
        <f>IF($A418&lt;&gt;0,VLOOKUP($A418,'0.Productos'!$A$3:$GG$587,'0.Productos'!CG$1+1,0),"")</f>
        <v/>
      </c>
      <c r="AP418" s="133" t="str">
        <f>IF($A418&lt;&gt;0,VLOOKUP($A418,'0.Productos'!$A$3:$GG$587,'0.Productos'!CH$1+1,0),"")</f>
        <v/>
      </c>
      <c r="AQ418" s="133" t="str">
        <f>IF($A418&lt;&gt;0,VLOOKUP($A418,'0.Productos'!$A$3:$GG$587,'0.Productos'!CI$1+1,0),"")</f>
        <v/>
      </c>
      <c r="AR418" s="133" t="str">
        <f>IF($A418&lt;&gt;0,VLOOKUP($A418,'0.Productos'!$A$3:$GG$587,'0.Productos'!CJ$1+1,0),"")</f>
        <v/>
      </c>
      <c r="AS418" s="133" t="str">
        <f>IF($A418&lt;&gt;0,VLOOKUP($A418,'0.Productos'!$A$3:$GG$587,'0.Productos'!CK$1+1,0),"")</f>
        <v/>
      </c>
      <c r="AT418" s="133" t="str">
        <f>IF($A418&lt;&gt;0,VLOOKUP($A418,'0.Productos'!$A$3:$GG$587,'0.Productos'!CL$1+1,0),"")</f>
        <v/>
      </c>
      <c r="AU418" s="133" t="str">
        <f>IF($A418&lt;&gt;0,VLOOKUP($A418,'0.Productos'!$A$3:$GG$587,'0.Productos'!CM$1+1,0),"")</f>
        <v/>
      </c>
      <c r="AV418" s="133" t="str">
        <f>IF($A418&lt;&gt;0,VLOOKUP($A418,'0.Productos'!$A$3:$GG$587,'0.Productos'!CN$1+1,0),"")</f>
        <v/>
      </c>
      <c r="AW418" s="133" t="str">
        <f>IF($A418&lt;&gt;0,VLOOKUP($A418,'0.Productos'!$A$3:$GG$587,'0.Productos'!CO$1+1,0),"")</f>
        <v/>
      </c>
      <c r="AX418" s="133" t="str">
        <f>IF($A418&lt;&gt;0,VLOOKUP($A418,'0.Productos'!$A$3:$GG$587,'0.Productos'!CP$1+1,0),"")</f>
        <v/>
      </c>
      <c r="AY418" s="133" t="str">
        <f>IF($A418&lt;&gt;0,VLOOKUP($A418,'0.Productos'!$A$3:$GG$587,'0.Productos'!CQ$1+1,0),"")</f>
        <v/>
      </c>
      <c r="AZ418" s="133" t="str">
        <f>IF($A418&lt;&gt;0,VLOOKUP($A418,'0.Productos'!$A$3:$GG$587,'0.Productos'!CR$1+1,0),"")</f>
        <v/>
      </c>
      <c r="BA418" s="133" t="str">
        <f>IF($A418&lt;&gt;0,VLOOKUP($A418,'0.Productos'!$A$3:$GG$587,'0.Productos'!CS$1+1,0),"")</f>
        <v/>
      </c>
      <c r="BB418" s="133" t="str">
        <f>IF($A418&lt;&gt;0,VLOOKUP($A418,'0.Productos'!$A$3:$GG$587,'0.Productos'!CT$1+1,0),"")</f>
        <v/>
      </c>
      <c r="BC418" s="133" t="str">
        <f>IF($A418&lt;&gt;0,VLOOKUP($A418,'0.Productos'!$A$3:$GG$587,'0.Productos'!CU$1+1,0),"")</f>
        <v/>
      </c>
      <c r="BD418" s="133" t="str">
        <f>IF($A418&lt;&gt;0,VLOOKUP($A418,'0.Productos'!$A$3:$GG$587,'0.Productos'!CV$1+1,0),"")</f>
        <v/>
      </c>
      <c r="BE418" s="133" t="str">
        <f>IF($A418&lt;&gt;0,VLOOKUP($A418,'0.Productos'!$A$3:$GG$587,'0.Productos'!CW$1+1,0),"")</f>
        <v/>
      </c>
      <c r="BF418" s="133" t="str">
        <f>IF($A418&lt;&gt;0,VLOOKUP($A418,'0.Productos'!$A$3:$GG$587,'0.Productos'!CX$1+1,0),"")</f>
        <v/>
      </c>
      <c r="BG418" s="133" t="str">
        <f>IF($A418&lt;&gt;0,VLOOKUP($A418,'0.Productos'!$A$3:$GG$587,'0.Productos'!CY$1+1,0),"")</f>
        <v/>
      </c>
      <c r="BH418" s="133" t="str">
        <f>IF($A418&lt;&gt;0,VLOOKUP($A418,'0.Productos'!$A$3:$GG$587,'0.Productos'!CZ$1+1,0),"")</f>
        <v/>
      </c>
      <c r="BI418" s="133" t="str">
        <f>IF($A418&lt;&gt;0,VLOOKUP($A418,'0.Productos'!$A$3:$GG$587,'0.Productos'!DA$1+1,0),"")</f>
        <v/>
      </c>
      <c r="BJ418" s="133" t="str">
        <f>IF($A418&lt;&gt;0,VLOOKUP($A418,'0.Productos'!$A$3:$GG$587,'0.Productos'!DB$1+1,0),"")</f>
        <v/>
      </c>
      <c r="BK418" s="133" t="str">
        <f>IF($A418&lt;&gt;0,VLOOKUP($A418,'0.Productos'!$A$3:$GG$587,'0.Productos'!DC$1+1,0),"")</f>
        <v/>
      </c>
      <c r="BL418" s="133" t="str">
        <f>IF($A418&lt;&gt;0,VLOOKUP($A418,'0.Productos'!$A$3:$GG$587,'0.Productos'!DD$1+1,0),"")</f>
        <v/>
      </c>
      <c r="BM418" s="133" t="str">
        <f>IF($A418&lt;&gt;0,VLOOKUP($A418,'0.Productos'!$A$3:$GG$587,'0.Productos'!DE$1+1,0),"")</f>
        <v/>
      </c>
      <c r="BN418" s="133" t="str">
        <f>IF($A418&lt;&gt;0,VLOOKUP($A418,'0.Productos'!$A$3:$GG$587,'0.Productos'!DF$1+1,0),"")</f>
        <v/>
      </c>
      <c r="BO418" s="133" t="str">
        <f>IF($A418&lt;&gt;0,VLOOKUP($A418,'0.Productos'!$A$3:$GG$587,'0.Productos'!DG$1+1,0),"")</f>
        <v/>
      </c>
      <c r="BP418" s="133" t="str">
        <f>IF($A418&lt;&gt;0,VLOOKUP($A418,'0.Productos'!$A$3:$GG$587,'0.Productos'!DH$1+1,0),"")</f>
        <v/>
      </c>
      <c r="BQ418" s="133" t="str">
        <f>IF($A418&lt;&gt;0,VLOOKUP($A418,'0.Productos'!$A$3:$GG$587,'0.Productos'!DI$1+1,0),"")</f>
        <v/>
      </c>
      <c r="BR418" s="133" t="str">
        <f>IF($A418&lt;&gt;0,VLOOKUP($A418,'0.Productos'!$A$3:$GG$587,'0.Productos'!DJ$1+1,0),"")</f>
        <v/>
      </c>
      <c r="BS418" s="133" t="str">
        <f>IF($A418&lt;&gt;0,VLOOKUP($A418,'0.Productos'!$A$3:$GG$587,'0.Productos'!DK$1+1,0),"")</f>
        <v/>
      </c>
      <c r="BT418" s="133" t="str">
        <f>IF($A418&lt;&gt;0,VLOOKUP($A418,'0.Productos'!$A$3:$GG$587,'0.Productos'!DL$1+1,0),"")</f>
        <v/>
      </c>
    </row>
    <row r="419" spans="1:72" x14ac:dyDescent="0.25">
      <c r="A419" s="17">
        <f>'0.Consolidado general'!A419</f>
        <v>0</v>
      </c>
      <c r="B419" s="133" t="str">
        <f>IF($A419&lt;&gt;0,VLOOKUP($A419,'0.Productos'!$A$3:$GG$587,'0.Productos'!AT$1+1,0),"")</f>
        <v/>
      </c>
      <c r="C419" s="133" t="str">
        <f>IF($A419&lt;&gt;0,VLOOKUP($A419,'0.Productos'!$A$3:$GG$587,'0.Productos'!AU$1+1,0),"")</f>
        <v/>
      </c>
      <c r="D419" s="133" t="str">
        <f>IF($A419&lt;&gt;0,VLOOKUP($A419,'0.Productos'!$A$3:$GG$587,'0.Productos'!AV$1+1,0),"")</f>
        <v/>
      </c>
      <c r="E419" s="133" t="str">
        <f>IF($A419&lt;&gt;0,VLOOKUP($A419,'0.Productos'!$A$3:$GG$587,'0.Productos'!AW$1+1,0),"")</f>
        <v/>
      </c>
      <c r="F419" s="133" t="str">
        <f>IF($A419&lt;&gt;0,VLOOKUP($A419,'0.Productos'!$A$3:$GG$587,'0.Productos'!AX$1+1,0),"")</f>
        <v/>
      </c>
      <c r="G419" s="133" t="str">
        <f>IF($A419&lt;&gt;0,VLOOKUP($A419,'0.Productos'!$A$3:$GG$587,'0.Productos'!AY$1+1,0),"")</f>
        <v/>
      </c>
      <c r="H419" s="133" t="str">
        <f>IF($A419&lt;&gt;0,VLOOKUP($A419,'0.Productos'!$A$3:$GG$587,'0.Productos'!AZ$1+1,0),"")</f>
        <v/>
      </c>
      <c r="I419" s="133" t="str">
        <f>IF($A419&lt;&gt;0,VLOOKUP($A419,'0.Productos'!$A$3:$GG$587,'0.Productos'!BA$1+1,0),"")</f>
        <v/>
      </c>
      <c r="J419" s="133" t="str">
        <f>IF($A419&lt;&gt;0,VLOOKUP($A419,'0.Productos'!$A$3:$GG$587,'0.Productos'!BB$1+1,0),"")</f>
        <v/>
      </c>
      <c r="K419" s="133" t="str">
        <f>IF($A419&lt;&gt;0,VLOOKUP($A419,'0.Productos'!$A$3:$GG$587,'0.Productos'!BC$1+1,0),"")</f>
        <v/>
      </c>
      <c r="L419" s="133" t="str">
        <f>IF($A419&lt;&gt;0,VLOOKUP($A419,'0.Productos'!$A$3:$GG$587,'0.Productos'!BD$1+1,0),"")</f>
        <v/>
      </c>
      <c r="M419" s="133" t="str">
        <f>IF($A419&lt;&gt;0,VLOOKUP($A419,'0.Productos'!$A$3:$GG$587,'0.Productos'!BE$1+1,0),"")</f>
        <v/>
      </c>
      <c r="N419" s="133" t="str">
        <f>IF($A419&lt;&gt;0,VLOOKUP($A419,'0.Productos'!$A$3:$GG$587,'0.Productos'!BF$1+1,0),"")</f>
        <v/>
      </c>
      <c r="O419" s="133" t="str">
        <f>IF($A419&lt;&gt;0,VLOOKUP($A419,'0.Productos'!$A$3:$GG$587,'0.Productos'!BG$1+1,0),"")</f>
        <v/>
      </c>
      <c r="P419" s="133" t="str">
        <f>IF($A419&lt;&gt;0,VLOOKUP($A419,'0.Productos'!$A$3:$GG$587,'0.Productos'!BH$1+1,0),"")</f>
        <v/>
      </c>
      <c r="Q419" s="133" t="str">
        <f>IF($A419&lt;&gt;0,VLOOKUP($A419,'0.Productos'!$A$3:$GG$587,'0.Productos'!BI$1+1,0),"")</f>
        <v/>
      </c>
      <c r="R419" s="133" t="str">
        <f>IF($A419&lt;&gt;0,VLOOKUP($A419,'0.Productos'!$A$3:$GG$587,'0.Productos'!BJ$1+1,0),"")</f>
        <v/>
      </c>
      <c r="S419" s="133" t="str">
        <f>IF($A419&lt;&gt;0,VLOOKUP($A419,'0.Productos'!$A$3:$GG$587,'0.Productos'!BK$1+1,0),"")</f>
        <v/>
      </c>
      <c r="T419" s="133" t="str">
        <f>IF($A419&lt;&gt;0,VLOOKUP($A419,'0.Productos'!$A$3:$GG$587,'0.Productos'!BL$1+1,0),"")</f>
        <v/>
      </c>
      <c r="U419" s="133" t="str">
        <f>IF($A419&lt;&gt;0,VLOOKUP($A419,'0.Productos'!$A$3:$GG$587,'0.Productos'!BM$1+1,0),"")</f>
        <v/>
      </c>
      <c r="V419" s="133" t="str">
        <f>IF($A419&lt;&gt;0,VLOOKUP($A419,'0.Productos'!$A$3:$GG$587,'0.Productos'!BN$1+1,0),"")</f>
        <v/>
      </c>
      <c r="W419" s="133" t="str">
        <f>IF($A419&lt;&gt;0,VLOOKUP($A419,'0.Productos'!$A$3:$GG$587,'0.Productos'!BO$1+1,0),"")</f>
        <v/>
      </c>
      <c r="X419" s="133" t="str">
        <f>IF($A419&lt;&gt;0,VLOOKUP($A419,'0.Productos'!$A$3:$GG$587,'0.Productos'!BP$1+1,0),"")</f>
        <v/>
      </c>
      <c r="Y419" s="133" t="str">
        <f>IF($A419&lt;&gt;0,VLOOKUP($A419,'0.Productos'!$A$3:$GG$587,'0.Productos'!BQ$1+1,0),"")</f>
        <v/>
      </c>
      <c r="Z419" s="133" t="str">
        <f>IF($A419&lt;&gt;0,VLOOKUP($A419,'0.Productos'!$A$3:$GG$587,'0.Productos'!BR$1+1,0),"")</f>
        <v/>
      </c>
      <c r="AA419" s="133" t="str">
        <f>IF($A419&lt;&gt;0,VLOOKUP($A419,'0.Productos'!$A$3:$GG$587,'0.Productos'!BS$1+1,0),"")</f>
        <v/>
      </c>
      <c r="AB419" s="133" t="str">
        <f>IF($A419&lt;&gt;0,VLOOKUP($A419,'0.Productos'!$A$3:$GG$587,'0.Productos'!BT$1+1,0),"")</f>
        <v/>
      </c>
      <c r="AC419" s="133" t="str">
        <f>IF($A419&lt;&gt;0,VLOOKUP($A419,'0.Productos'!$A$3:$GG$587,'0.Productos'!BU$1+1,0),"")</f>
        <v/>
      </c>
      <c r="AD419" s="133" t="str">
        <f>IF($A419&lt;&gt;0,VLOOKUP($A419,'0.Productos'!$A$3:$GG$587,'0.Productos'!BV$1+1,0),"")</f>
        <v/>
      </c>
      <c r="AE419" s="133" t="str">
        <f>IF($A419&lt;&gt;0,VLOOKUP($A419,'0.Productos'!$A$3:$GG$587,'0.Productos'!BW$1+1,0),"")</f>
        <v/>
      </c>
      <c r="AF419" s="133" t="str">
        <f>IF($A419&lt;&gt;0,VLOOKUP($A419,'0.Productos'!$A$3:$GG$587,'0.Productos'!BX$1+1,0),"")</f>
        <v/>
      </c>
      <c r="AG419" s="133" t="str">
        <f>IF($A419&lt;&gt;0,VLOOKUP($A419,'0.Productos'!$A$3:$GG$587,'0.Productos'!BY$1+1,0),"")</f>
        <v/>
      </c>
      <c r="AH419" s="133" t="str">
        <f>IF($A419&lt;&gt;0,VLOOKUP($A419,'0.Productos'!$A$3:$GG$587,'0.Productos'!BZ$1+1,0),"")</f>
        <v/>
      </c>
      <c r="AI419" s="133" t="str">
        <f>IF($A419&lt;&gt;0,VLOOKUP($A419,'0.Productos'!$A$3:$GG$587,'0.Productos'!CA$1+1,0),"")</f>
        <v/>
      </c>
      <c r="AJ419" s="133" t="str">
        <f>IF($A419&lt;&gt;0,VLOOKUP($A419,'0.Productos'!$A$3:$GG$587,'0.Productos'!CB$1+1,0),"")</f>
        <v/>
      </c>
      <c r="AK419" s="133" t="str">
        <f>IF($A419&lt;&gt;0,VLOOKUP($A419,'0.Productos'!$A$3:$GG$587,'0.Productos'!CC$1+1,0),"")</f>
        <v/>
      </c>
      <c r="AL419" s="133" t="str">
        <f>IF($A419&lt;&gt;0,VLOOKUP($A419,'0.Productos'!$A$3:$GG$587,'0.Productos'!CD$1+1,0),"")</f>
        <v/>
      </c>
      <c r="AM419" s="133" t="str">
        <f>IF($A419&lt;&gt;0,VLOOKUP($A419,'0.Productos'!$A$3:$GG$587,'0.Productos'!CE$1+1,0),"")</f>
        <v/>
      </c>
      <c r="AN419" s="133" t="str">
        <f>IF($A419&lt;&gt;0,VLOOKUP($A419,'0.Productos'!$A$3:$GG$587,'0.Productos'!CF$1+1,0),"")</f>
        <v/>
      </c>
      <c r="AO419" s="133" t="str">
        <f>IF($A419&lt;&gt;0,VLOOKUP($A419,'0.Productos'!$A$3:$GG$587,'0.Productos'!CG$1+1,0),"")</f>
        <v/>
      </c>
      <c r="AP419" s="133" t="str">
        <f>IF($A419&lt;&gt;0,VLOOKUP($A419,'0.Productos'!$A$3:$GG$587,'0.Productos'!CH$1+1,0),"")</f>
        <v/>
      </c>
      <c r="AQ419" s="133" t="str">
        <f>IF($A419&lt;&gt;0,VLOOKUP($A419,'0.Productos'!$A$3:$GG$587,'0.Productos'!CI$1+1,0),"")</f>
        <v/>
      </c>
      <c r="AR419" s="133" t="str">
        <f>IF($A419&lt;&gt;0,VLOOKUP($A419,'0.Productos'!$A$3:$GG$587,'0.Productos'!CJ$1+1,0),"")</f>
        <v/>
      </c>
      <c r="AS419" s="133" t="str">
        <f>IF($A419&lt;&gt;0,VLOOKUP($A419,'0.Productos'!$A$3:$GG$587,'0.Productos'!CK$1+1,0),"")</f>
        <v/>
      </c>
      <c r="AT419" s="133" t="str">
        <f>IF($A419&lt;&gt;0,VLOOKUP($A419,'0.Productos'!$A$3:$GG$587,'0.Productos'!CL$1+1,0),"")</f>
        <v/>
      </c>
      <c r="AU419" s="133" t="str">
        <f>IF($A419&lt;&gt;0,VLOOKUP($A419,'0.Productos'!$A$3:$GG$587,'0.Productos'!CM$1+1,0),"")</f>
        <v/>
      </c>
      <c r="AV419" s="133" t="str">
        <f>IF($A419&lt;&gt;0,VLOOKUP($A419,'0.Productos'!$A$3:$GG$587,'0.Productos'!CN$1+1,0),"")</f>
        <v/>
      </c>
      <c r="AW419" s="133" t="str">
        <f>IF($A419&lt;&gt;0,VLOOKUP($A419,'0.Productos'!$A$3:$GG$587,'0.Productos'!CO$1+1,0),"")</f>
        <v/>
      </c>
      <c r="AX419" s="133" t="str">
        <f>IF($A419&lt;&gt;0,VLOOKUP($A419,'0.Productos'!$A$3:$GG$587,'0.Productos'!CP$1+1,0),"")</f>
        <v/>
      </c>
      <c r="AY419" s="133" t="str">
        <f>IF($A419&lt;&gt;0,VLOOKUP($A419,'0.Productos'!$A$3:$GG$587,'0.Productos'!CQ$1+1,0),"")</f>
        <v/>
      </c>
      <c r="AZ419" s="133" t="str">
        <f>IF($A419&lt;&gt;0,VLOOKUP($A419,'0.Productos'!$A$3:$GG$587,'0.Productos'!CR$1+1,0),"")</f>
        <v/>
      </c>
      <c r="BA419" s="133" t="str">
        <f>IF($A419&lt;&gt;0,VLOOKUP($A419,'0.Productos'!$A$3:$GG$587,'0.Productos'!CS$1+1,0),"")</f>
        <v/>
      </c>
      <c r="BB419" s="133" t="str">
        <f>IF($A419&lt;&gt;0,VLOOKUP($A419,'0.Productos'!$A$3:$GG$587,'0.Productos'!CT$1+1,0),"")</f>
        <v/>
      </c>
      <c r="BC419" s="133" t="str">
        <f>IF($A419&lt;&gt;0,VLOOKUP($A419,'0.Productos'!$A$3:$GG$587,'0.Productos'!CU$1+1,0),"")</f>
        <v/>
      </c>
      <c r="BD419" s="133" t="str">
        <f>IF($A419&lt;&gt;0,VLOOKUP($A419,'0.Productos'!$A$3:$GG$587,'0.Productos'!CV$1+1,0),"")</f>
        <v/>
      </c>
      <c r="BE419" s="133" t="str">
        <f>IF($A419&lt;&gt;0,VLOOKUP($A419,'0.Productos'!$A$3:$GG$587,'0.Productos'!CW$1+1,0),"")</f>
        <v/>
      </c>
      <c r="BF419" s="133" t="str">
        <f>IF($A419&lt;&gt;0,VLOOKUP($A419,'0.Productos'!$A$3:$GG$587,'0.Productos'!CX$1+1,0),"")</f>
        <v/>
      </c>
      <c r="BG419" s="133" t="str">
        <f>IF($A419&lt;&gt;0,VLOOKUP($A419,'0.Productos'!$A$3:$GG$587,'0.Productos'!CY$1+1,0),"")</f>
        <v/>
      </c>
      <c r="BH419" s="133" t="str">
        <f>IF($A419&lt;&gt;0,VLOOKUP($A419,'0.Productos'!$A$3:$GG$587,'0.Productos'!CZ$1+1,0),"")</f>
        <v/>
      </c>
      <c r="BI419" s="133" t="str">
        <f>IF($A419&lt;&gt;0,VLOOKUP($A419,'0.Productos'!$A$3:$GG$587,'0.Productos'!DA$1+1,0),"")</f>
        <v/>
      </c>
      <c r="BJ419" s="133" t="str">
        <f>IF($A419&lt;&gt;0,VLOOKUP($A419,'0.Productos'!$A$3:$GG$587,'0.Productos'!DB$1+1,0),"")</f>
        <v/>
      </c>
      <c r="BK419" s="133" t="str">
        <f>IF($A419&lt;&gt;0,VLOOKUP($A419,'0.Productos'!$A$3:$GG$587,'0.Productos'!DC$1+1,0),"")</f>
        <v/>
      </c>
      <c r="BL419" s="133" t="str">
        <f>IF($A419&lt;&gt;0,VLOOKUP($A419,'0.Productos'!$A$3:$GG$587,'0.Productos'!DD$1+1,0),"")</f>
        <v/>
      </c>
      <c r="BM419" s="133" t="str">
        <f>IF($A419&lt;&gt;0,VLOOKUP($A419,'0.Productos'!$A$3:$GG$587,'0.Productos'!DE$1+1,0),"")</f>
        <v/>
      </c>
      <c r="BN419" s="133" t="str">
        <f>IF($A419&lt;&gt;0,VLOOKUP($A419,'0.Productos'!$A$3:$GG$587,'0.Productos'!DF$1+1,0),"")</f>
        <v/>
      </c>
      <c r="BO419" s="133" t="str">
        <f>IF($A419&lt;&gt;0,VLOOKUP($A419,'0.Productos'!$A$3:$GG$587,'0.Productos'!DG$1+1,0),"")</f>
        <v/>
      </c>
      <c r="BP419" s="133" t="str">
        <f>IF($A419&lt;&gt;0,VLOOKUP($A419,'0.Productos'!$A$3:$GG$587,'0.Productos'!DH$1+1,0),"")</f>
        <v/>
      </c>
      <c r="BQ419" s="133" t="str">
        <f>IF($A419&lt;&gt;0,VLOOKUP($A419,'0.Productos'!$A$3:$GG$587,'0.Productos'!DI$1+1,0),"")</f>
        <v/>
      </c>
      <c r="BR419" s="133" t="str">
        <f>IF($A419&lt;&gt;0,VLOOKUP($A419,'0.Productos'!$A$3:$GG$587,'0.Productos'!DJ$1+1,0),"")</f>
        <v/>
      </c>
      <c r="BS419" s="133" t="str">
        <f>IF($A419&lt;&gt;0,VLOOKUP($A419,'0.Productos'!$A$3:$GG$587,'0.Productos'!DK$1+1,0),"")</f>
        <v/>
      </c>
      <c r="BT419" s="133" t="str">
        <f>IF($A419&lt;&gt;0,VLOOKUP($A419,'0.Productos'!$A$3:$GG$587,'0.Productos'!DL$1+1,0),"")</f>
        <v/>
      </c>
    </row>
    <row r="420" spans="1:72" x14ac:dyDescent="0.25">
      <c r="A420" s="17">
        <f>'0.Consolidado general'!A420</f>
        <v>0</v>
      </c>
      <c r="B420" s="133" t="str">
        <f>IF($A420&lt;&gt;0,VLOOKUP($A420,'0.Productos'!$A$3:$GG$587,'0.Productos'!AT$1+1,0),"")</f>
        <v/>
      </c>
      <c r="C420" s="133" t="str">
        <f>IF($A420&lt;&gt;0,VLOOKUP($A420,'0.Productos'!$A$3:$GG$587,'0.Productos'!AU$1+1,0),"")</f>
        <v/>
      </c>
      <c r="D420" s="133" t="str">
        <f>IF($A420&lt;&gt;0,VLOOKUP($A420,'0.Productos'!$A$3:$GG$587,'0.Productos'!AV$1+1,0),"")</f>
        <v/>
      </c>
      <c r="E420" s="133" t="str">
        <f>IF($A420&lt;&gt;0,VLOOKUP($A420,'0.Productos'!$A$3:$GG$587,'0.Productos'!AW$1+1,0),"")</f>
        <v/>
      </c>
      <c r="F420" s="133" t="str">
        <f>IF($A420&lt;&gt;0,VLOOKUP($A420,'0.Productos'!$A$3:$GG$587,'0.Productos'!AX$1+1,0),"")</f>
        <v/>
      </c>
      <c r="G420" s="133" t="str">
        <f>IF($A420&lt;&gt;0,VLOOKUP($A420,'0.Productos'!$A$3:$GG$587,'0.Productos'!AY$1+1,0),"")</f>
        <v/>
      </c>
      <c r="H420" s="133" t="str">
        <f>IF($A420&lt;&gt;0,VLOOKUP($A420,'0.Productos'!$A$3:$GG$587,'0.Productos'!AZ$1+1,0),"")</f>
        <v/>
      </c>
      <c r="I420" s="133" t="str">
        <f>IF($A420&lt;&gt;0,VLOOKUP($A420,'0.Productos'!$A$3:$GG$587,'0.Productos'!BA$1+1,0),"")</f>
        <v/>
      </c>
      <c r="J420" s="133" t="str">
        <f>IF($A420&lt;&gt;0,VLOOKUP($A420,'0.Productos'!$A$3:$GG$587,'0.Productos'!BB$1+1,0),"")</f>
        <v/>
      </c>
      <c r="K420" s="133" t="str">
        <f>IF($A420&lt;&gt;0,VLOOKUP($A420,'0.Productos'!$A$3:$GG$587,'0.Productos'!BC$1+1,0),"")</f>
        <v/>
      </c>
      <c r="L420" s="133" t="str">
        <f>IF($A420&lt;&gt;0,VLOOKUP($A420,'0.Productos'!$A$3:$GG$587,'0.Productos'!BD$1+1,0),"")</f>
        <v/>
      </c>
      <c r="M420" s="133" t="str">
        <f>IF($A420&lt;&gt;0,VLOOKUP($A420,'0.Productos'!$A$3:$GG$587,'0.Productos'!BE$1+1,0),"")</f>
        <v/>
      </c>
      <c r="N420" s="133" t="str">
        <f>IF($A420&lt;&gt;0,VLOOKUP($A420,'0.Productos'!$A$3:$GG$587,'0.Productos'!BF$1+1,0),"")</f>
        <v/>
      </c>
      <c r="O420" s="133" t="str">
        <f>IF($A420&lt;&gt;0,VLOOKUP($A420,'0.Productos'!$A$3:$GG$587,'0.Productos'!BG$1+1,0),"")</f>
        <v/>
      </c>
      <c r="P420" s="133" t="str">
        <f>IF($A420&lt;&gt;0,VLOOKUP($A420,'0.Productos'!$A$3:$GG$587,'0.Productos'!BH$1+1,0),"")</f>
        <v/>
      </c>
      <c r="Q420" s="133" t="str">
        <f>IF($A420&lt;&gt;0,VLOOKUP($A420,'0.Productos'!$A$3:$GG$587,'0.Productos'!BI$1+1,0),"")</f>
        <v/>
      </c>
      <c r="R420" s="133" t="str">
        <f>IF($A420&lt;&gt;0,VLOOKUP($A420,'0.Productos'!$A$3:$GG$587,'0.Productos'!BJ$1+1,0),"")</f>
        <v/>
      </c>
      <c r="S420" s="133" t="str">
        <f>IF($A420&lt;&gt;0,VLOOKUP($A420,'0.Productos'!$A$3:$GG$587,'0.Productos'!BK$1+1,0),"")</f>
        <v/>
      </c>
      <c r="T420" s="133" t="str">
        <f>IF($A420&lt;&gt;0,VLOOKUP($A420,'0.Productos'!$A$3:$GG$587,'0.Productos'!BL$1+1,0),"")</f>
        <v/>
      </c>
      <c r="U420" s="133" t="str">
        <f>IF($A420&lt;&gt;0,VLOOKUP($A420,'0.Productos'!$A$3:$GG$587,'0.Productos'!BM$1+1,0),"")</f>
        <v/>
      </c>
      <c r="V420" s="133" t="str">
        <f>IF($A420&lt;&gt;0,VLOOKUP($A420,'0.Productos'!$A$3:$GG$587,'0.Productos'!BN$1+1,0),"")</f>
        <v/>
      </c>
      <c r="W420" s="133" t="str">
        <f>IF($A420&lt;&gt;0,VLOOKUP($A420,'0.Productos'!$A$3:$GG$587,'0.Productos'!BO$1+1,0),"")</f>
        <v/>
      </c>
      <c r="X420" s="133" t="str">
        <f>IF($A420&lt;&gt;0,VLOOKUP($A420,'0.Productos'!$A$3:$GG$587,'0.Productos'!BP$1+1,0),"")</f>
        <v/>
      </c>
      <c r="Y420" s="133" t="str">
        <f>IF($A420&lt;&gt;0,VLOOKUP($A420,'0.Productos'!$A$3:$GG$587,'0.Productos'!BQ$1+1,0),"")</f>
        <v/>
      </c>
      <c r="Z420" s="133" t="str">
        <f>IF($A420&lt;&gt;0,VLOOKUP($A420,'0.Productos'!$A$3:$GG$587,'0.Productos'!BR$1+1,0),"")</f>
        <v/>
      </c>
      <c r="AA420" s="133" t="str">
        <f>IF($A420&lt;&gt;0,VLOOKUP($A420,'0.Productos'!$A$3:$GG$587,'0.Productos'!BS$1+1,0),"")</f>
        <v/>
      </c>
      <c r="AB420" s="133" t="str">
        <f>IF($A420&lt;&gt;0,VLOOKUP($A420,'0.Productos'!$A$3:$GG$587,'0.Productos'!BT$1+1,0),"")</f>
        <v/>
      </c>
      <c r="AC420" s="133" t="str">
        <f>IF($A420&lt;&gt;0,VLOOKUP($A420,'0.Productos'!$A$3:$GG$587,'0.Productos'!BU$1+1,0),"")</f>
        <v/>
      </c>
      <c r="AD420" s="133" t="str">
        <f>IF($A420&lt;&gt;0,VLOOKUP($A420,'0.Productos'!$A$3:$GG$587,'0.Productos'!BV$1+1,0),"")</f>
        <v/>
      </c>
      <c r="AE420" s="133" t="str">
        <f>IF($A420&lt;&gt;0,VLOOKUP($A420,'0.Productos'!$A$3:$GG$587,'0.Productos'!BW$1+1,0),"")</f>
        <v/>
      </c>
      <c r="AF420" s="133" t="str">
        <f>IF($A420&lt;&gt;0,VLOOKUP($A420,'0.Productos'!$A$3:$GG$587,'0.Productos'!BX$1+1,0),"")</f>
        <v/>
      </c>
      <c r="AG420" s="133" t="str">
        <f>IF($A420&lt;&gt;0,VLOOKUP($A420,'0.Productos'!$A$3:$GG$587,'0.Productos'!BY$1+1,0),"")</f>
        <v/>
      </c>
      <c r="AH420" s="133" t="str">
        <f>IF($A420&lt;&gt;0,VLOOKUP($A420,'0.Productos'!$A$3:$GG$587,'0.Productos'!BZ$1+1,0),"")</f>
        <v/>
      </c>
      <c r="AI420" s="133" t="str">
        <f>IF($A420&lt;&gt;0,VLOOKUP($A420,'0.Productos'!$A$3:$GG$587,'0.Productos'!CA$1+1,0),"")</f>
        <v/>
      </c>
      <c r="AJ420" s="133" t="str">
        <f>IF($A420&lt;&gt;0,VLOOKUP($A420,'0.Productos'!$A$3:$GG$587,'0.Productos'!CB$1+1,0),"")</f>
        <v/>
      </c>
      <c r="AK420" s="133" t="str">
        <f>IF($A420&lt;&gt;0,VLOOKUP($A420,'0.Productos'!$A$3:$GG$587,'0.Productos'!CC$1+1,0),"")</f>
        <v/>
      </c>
      <c r="AL420" s="133" t="str">
        <f>IF($A420&lt;&gt;0,VLOOKUP($A420,'0.Productos'!$A$3:$GG$587,'0.Productos'!CD$1+1,0),"")</f>
        <v/>
      </c>
      <c r="AM420" s="133" t="str">
        <f>IF($A420&lt;&gt;0,VLOOKUP($A420,'0.Productos'!$A$3:$GG$587,'0.Productos'!CE$1+1,0),"")</f>
        <v/>
      </c>
      <c r="AN420" s="133" t="str">
        <f>IF($A420&lt;&gt;0,VLOOKUP($A420,'0.Productos'!$A$3:$GG$587,'0.Productos'!CF$1+1,0),"")</f>
        <v/>
      </c>
      <c r="AO420" s="133" t="str">
        <f>IF($A420&lt;&gt;0,VLOOKUP($A420,'0.Productos'!$A$3:$GG$587,'0.Productos'!CG$1+1,0),"")</f>
        <v/>
      </c>
      <c r="AP420" s="133" t="str">
        <f>IF($A420&lt;&gt;0,VLOOKUP($A420,'0.Productos'!$A$3:$GG$587,'0.Productos'!CH$1+1,0),"")</f>
        <v/>
      </c>
      <c r="AQ420" s="133" t="str">
        <f>IF($A420&lt;&gt;0,VLOOKUP($A420,'0.Productos'!$A$3:$GG$587,'0.Productos'!CI$1+1,0),"")</f>
        <v/>
      </c>
      <c r="AR420" s="133" t="str">
        <f>IF($A420&lt;&gt;0,VLOOKUP($A420,'0.Productos'!$A$3:$GG$587,'0.Productos'!CJ$1+1,0),"")</f>
        <v/>
      </c>
      <c r="AS420" s="133" t="str">
        <f>IF($A420&lt;&gt;0,VLOOKUP($A420,'0.Productos'!$A$3:$GG$587,'0.Productos'!CK$1+1,0),"")</f>
        <v/>
      </c>
      <c r="AT420" s="133" t="str">
        <f>IF($A420&lt;&gt;0,VLOOKUP($A420,'0.Productos'!$A$3:$GG$587,'0.Productos'!CL$1+1,0),"")</f>
        <v/>
      </c>
      <c r="AU420" s="133" t="str">
        <f>IF($A420&lt;&gt;0,VLOOKUP($A420,'0.Productos'!$A$3:$GG$587,'0.Productos'!CM$1+1,0),"")</f>
        <v/>
      </c>
      <c r="AV420" s="133" t="str">
        <f>IF($A420&lt;&gt;0,VLOOKUP($A420,'0.Productos'!$A$3:$GG$587,'0.Productos'!CN$1+1,0),"")</f>
        <v/>
      </c>
      <c r="AW420" s="133" t="str">
        <f>IF($A420&lt;&gt;0,VLOOKUP($A420,'0.Productos'!$A$3:$GG$587,'0.Productos'!CO$1+1,0),"")</f>
        <v/>
      </c>
      <c r="AX420" s="133" t="str">
        <f>IF($A420&lt;&gt;0,VLOOKUP($A420,'0.Productos'!$A$3:$GG$587,'0.Productos'!CP$1+1,0),"")</f>
        <v/>
      </c>
      <c r="AY420" s="133" t="str">
        <f>IF($A420&lt;&gt;0,VLOOKUP($A420,'0.Productos'!$A$3:$GG$587,'0.Productos'!CQ$1+1,0),"")</f>
        <v/>
      </c>
      <c r="AZ420" s="133" t="str">
        <f>IF($A420&lt;&gt;0,VLOOKUP($A420,'0.Productos'!$A$3:$GG$587,'0.Productos'!CR$1+1,0),"")</f>
        <v/>
      </c>
      <c r="BA420" s="133" t="str">
        <f>IF($A420&lt;&gt;0,VLOOKUP($A420,'0.Productos'!$A$3:$GG$587,'0.Productos'!CS$1+1,0),"")</f>
        <v/>
      </c>
      <c r="BB420" s="133" t="str">
        <f>IF($A420&lt;&gt;0,VLOOKUP($A420,'0.Productos'!$A$3:$GG$587,'0.Productos'!CT$1+1,0),"")</f>
        <v/>
      </c>
      <c r="BC420" s="133" t="str">
        <f>IF($A420&lt;&gt;0,VLOOKUP($A420,'0.Productos'!$A$3:$GG$587,'0.Productos'!CU$1+1,0),"")</f>
        <v/>
      </c>
      <c r="BD420" s="133" t="str">
        <f>IF($A420&lt;&gt;0,VLOOKUP($A420,'0.Productos'!$A$3:$GG$587,'0.Productos'!CV$1+1,0),"")</f>
        <v/>
      </c>
      <c r="BE420" s="133" t="str">
        <f>IF($A420&lt;&gt;0,VLOOKUP($A420,'0.Productos'!$A$3:$GG$587,'0.Productos'!CW$1+1,0),"")</f>
        <v/>
      </c>
      <c r="BF420" s="133" t="str">
        <f>IF($A420&lt;&gt;0,VLOOKUP($A420,'0.Productos'!$A$3:$GG$587,'0.Productos'!CX$1+1,0),"")</f>
        <v/>
      </c>
      <c r="BG420" s="133" t="str">
        <f>IF($A420&lt;&gt;0,VLOOKUP($A420,'0.Productos'!$A$3:$GG$587,'0.Productos'!CY$1+1,0),"")</f>
        <v/>
      </c>
      <c r="BH420" s="133" t="str">
        <f>IF($A420&lt;&gt;0,VLOOKUP($A420,'0.Productos'!$A$3:$GG$587,'0.Productos'!CZ$1+1,0),"")</f>
        <v/>
      </c>
      <c r="BI420" s="133" t="str">
        <f>IF($A420&lt;&gt;0,VLOOKUP($A420,'0.Productos'!$A$3:$GG$587,'0.Productos'!DA$1+1,0),"")</f>
        <v/>
      </c>
      <c r="BJ420" s="133" t="str">
        <f>IF($A420&lt;&gt;0,VLOOKUP($A420,'0.Productos'!$A$3:$GG$587,'0.Productos'!DB$1+1,0),"")</f>
        <v/>
      </c>
      <c r="BK420" s="133" t="str">
        <f>IF($A420&lt;&gt;0,VLOOKUP($A420,'0.Productos'!$A$3:$GG$587,'0.Productos'!DC$1+1,0),"")</f>
        <v/>
      </c>
      <c r="BL420" s="133" t="str">
        <f>IF($A420&lt;&gt;0,VLOOKUP($A420,'0.Productos'!$A$3:$GG$587,'0.Productos'!DD$1+1,0),"")</f>
        <v/>
      </c>
      <c r="BM420" s="133" t="str">
        <f>IF($A420&lt;&gt;0,VLOOKUP($A420,'0.Productos'!$A$3:$GG$587,'0.Productos'!DE$1+1,0),"")</f>
        <v/>
      </c>
      <c r="BN420" s="133" t="str">
        <f>IF($A420&lt;&gt;0,VLOOKUP($A420,'0.Productos'!$A$3:$GG$587,'0.Productos'!DF$1+1,0),"")</f>
        <v/>
      </c>
      <c r="BO420" s="133" t="str">
        <f>IF($A420&lt;&gt;0,VLOOKUP($A420,'0.Productos'!$A$3:$GG$587,'0.Productos'!DG$1+1,0),"")</f>
        <v/>
      </c>
      <c r="BP420" s="133" t="str">
        <f>IF($A420&lt;&gt;0,VLOOKUP($A420,'0.Productos'!$A$3:$GG$587,'0.Productos'!DH$1+1,0),"")</f>
        <v/>
      </c>
      <c r="BQ420" s="133" t="str">
        <f>IF($A420&lt;&gt;0,VLOOKUP($A420,'0.Productos'!$A$3:$GG$587,'0.Productos'!DI$1+1,0),"")</f>
        <v/>
      </c>
      <c r="BR420" s="133" t="str">
        <f>IF($A420&lt;&gt;0,VLOOKUP($A420,'0.Productos'!$A$3:$GG$587,'0.Productos'!DJ$1+1,0),"")</f>
        <v/>
      </c>
      <c r="BS420" s="133" t="str">
        <f>IF($A420&lt;&gt;0,VLOOKUP($A420,'0.Productos'!$A$3:$GG$587,'0.Productos'!DK$1+1,0),"")</f>
        <v/>
      </c>
      <c r="BT420" s="133" t="str">
        <f>IF($A420&lt;&gt;0,VLOOKUP($A420,'0.Productos'!$A$3:$GG$587,'0.Productos'!DL$1+1,0),"")</f>
        <v/>
      </c>
    </row>
    <row r="421" spans="1:72" x14ac:dyDescent="0.25">
      <c r="A421" s="17">
        <f>'0.Consolidado general'!A421</f>
        <v>0</v>
      </c>
      <c r="B421" s="133" t="str">
        <f>IF($A421&lt;&gt;0,VLOOKUP($A421,'0.Productos'!$A$3:$GG$587,'0.Productos'!AT$1+1,0),"")</f>
        <v/>
      </c>
      <c r="C421" s="133" t="str">
        <f>IF($A421&lt;&gt;0,VLOOKUP($A421,'0.Productos'!$A$3:$GG$587,'0.Productos'!AU$1+1,0),"")</f>
        <v/>
      </c>
      <c r="D421" s="133" t="str">
        <f>IF($A421&lt;&gt;0,VLOOKUP($A421,'0.Productos'!$A$3:$GG$587,'0.Productos'!AV$1+1,0),"")</f>
        <v/>
      </c>
      <c r="E421" s="133" t="str">
        <f>IF($A421&lt;&gt;0,VLOOKUP($A421,'0.Productos'!$A$3:$GG$587,'0.Productos'!AW$1+1,0),"")</f>
        <v/>
      </c>
      <c r="F421" s="133" t="str">
        <f>IF($A421&lt;&gt;0,VLOOKUP($A421,'0.Productos'!$A$3:$GG$587,'0.Productos'!AX$1+1,0),"")</f>
        <v/>
      </c>
      <c r="G421" s="133" t="str">
        <f>IF($A421&lt;&gt;0,VLOOKUP($A421,'0.Productos'!$A$3:$GG$587,'0.Productos'!AY$1+1,0),"")</f>
        <v/>
      </c>
      <c r="H421" s="133" t="str">
        <f>IF($A421&lt;&gt;0,VLOOKUP($A421,'0.Productos'!$A$3:$GG$587,'0.Productos'!AZ$1+1,0),"")</f>
        <v/>
      </c>
      <c r="I421" s="133" t="str">
        <f>IF($A421&lt;&gt;0,VLOOKUP($A421,'0.Productos'!$A$3:$GG$587,'0.Productos'!BA$1+1,0),"")</f>
        <v/>
      </c>
      <c r="J421" s="133" t="str">
        <f>IF($A421&lt;&gt;0,VLOOKUP($A421,'0.Productos'!$A$3:$GG$587,'0.Productos'!BB$1+1,0),"")</f>
        <v/>
      </c>
      <c r="K421" s="133" t="str">
        <f>IF($A421&lt;&gt;0,VLOOKUP($A421,'0.Productos'!$A$3:$GG$587,'0.Productos'!BC$1+1,0),"")</f>
        <v/>
      </c>
      <c r="L421" s="133" t="str">
        <f>IF($A421&lt;&gt;0,VLOOKUP($A421,'0.Productos'!$A$3:$GG$587,'0.Productos'!BD$1+1,0),"")</f>
        <v/>
      </c>
      <c r="M421" s="133" t="str">
        <f>IF($A421&lt;&gt;0,VLOOKUP($A421,'0.Productos'!$A$3:$GG$587,'0.Productos'!BE$1+1,0),"")</f>
        <v/>
      </c>
      <c r="N421" s="133" t="str">
        <f>IF($A421&lt;&gt;0,VLOOKUP($A421,'0.Productos'!$A$3:$GG$587,'0.Productos'!BF$1+1,0),"")</f>
        <v/>
      </c>
      <c r="O421" s="133" t="str">
        <f>IF($A421&lt;&gt;0,VLOOKUP($A421,'0.Productos'!$A$3:$GG$587,'0.Productos'!BG$1+1,0),"")</f>
        <v/>
      </c>
      <c r="P421" s="133" t="str">
        <f>IF($A421&lt;&gt;0,VLOOKUP($A421,'0.Productos'!$A$3:$GG$587,'0.Productos'!BH$1+1,0),"")</f>
        <v/>
      </c>
      <c r="Q421" s="133" t="str">
        <f>IF($A421&lt;&gt;0,VLOOKUP($A421,'0.Productos'!$A$3:$GG$587,'0.Productos'!BI$1+1,0),"")</f>
        <v/>
      </c>
      <c r="R421" s="133" t="str">
        <f>IF($A421&lt;&gt;0,VLOOKUP($A421,'0.Productos'!$A$3:$GG$587,'0.Productos'!BJ$1+1,0),"")</f>
        <v/>
      </c>
      <c r="S421" s="133" t="str">
        <f>IF($A421&lt;&gt;0,VLOOKUP($A421,'0.Productos'!$A$3:$GG$587,'0.Productos'!BK$1+1,0),"")</f>
        <v/>
      </c>
      <c r="T421" s="133" t="str">
        <f>IF($A421&lt;&gt;0,VLOOKUP($A421,'0.Productos'!$A$3:$GG$587,'0.Productos'!BL$1+1,0),"")</f>
        <v/>
      </c>
      <c r="U421" s="133" t="str">
        <f>IF($A421&lt;&gt;0,VLOOKUP($A421,'0.Productos'!$A$3:$GG$587,'0.Productos'!BM$1+1,0),"")</f>
        <v/>
      </c>
      <c r="V421" s="133" t="str">
        <f>IF($A421&lt;&gt;0,VLOOKUP($A421,'0.Productos'!$A$3:$GG$587,'0.Productos'!BN$1+1,0),"")</f>
        <v/>
      </c>
      <c r="W421" s="133" t="str">
        <f>IF($A421&lt;&gt;0,VLOOKUP($A421,'0.Productos'!$A$3:$GG$587,'0.Productos'!BO$1+1,0),"")</f>
        <v/>
      </c>
      <c r="X421" s="133" t="str">
        <f>IF($A421&lt;&gt;0,VLOOKUP($A421,'0.Productos'!$A$3:$GG$587,'0.Productos'!BP$1+1,0),"")</f>
        <v/>
      </c>
      <c r="Y421" s="133" t="str">
        <f>IF($A421&lt;&gt;0,VLOOKUP($A421,'0.Productos'!$A$3:$GG$587,'0.Productos'!BQ$1+1,0),"")</f>
        <v/>
      </c>
      <c r="Z421" s="133" t="str">
        <f>IF($A421&lt;&gt;0,VLOOKUP($A421,'0.Productos'!$A$3:$GG$587,'0.Productos'!BR$1+1,0),"")</f>
        <v/>
      </c>
      <c r="AA421" s="133" t="str">
        <f>IF($A421&lt;&gt;0,VLOOKUP($A421,'0.Productos'!$A$3:$GG$587,'0.Productos'!BS$1+1,0),"")</f>
        <v/>
      </c>
      <c r="AB421" s="133" t="str">
        <f>IF($A421&lt;&gt;0,VLOOKUP($A421,'0.Productos'!$A$3:$GG$587,'0.Productos'!BT$1+1,0),"")</f>
        <v/>
      </c>
      <c r="AC421" s="133" t="str">
        <f>IF($A421&lt;&gt;0,VLOOKUP($A421,'0.Productos'!$A$3:$GG$587,'0.Productos'!BU$1+1,0),"")</f>
        <v/>
      </c>
      <c r="AD421" s="133" t="str">
        <f>IF($A421&lt;&gt;0,VLOOKUP($A421,'0.Productos'!$A$3:$GG$587,'0.Productos'!BV$1+1,0),"")</f>
        <v/>
      </c>
      <c r="AE421" s="133" t="str">
        <f>IF($A421&lt;&gt;0,VLOOKUP($A421,'0.Productos'!$A$3:$GG$587,'0.Productos'!BW$1+1,0),"")</f>
        <v/>
      </c>
      <c r="AF421" s="133" t="str">
        <f>IF($A421&lt;&gt;0,VLOOKUP($A421,'0.Productos'!$A$3:$GG$587,'0.Productos'!BX$1+1,0),"")</f>
        <v/>
      </c>
      <c r="AG421" s="133" t="str">
        <f>IF($A421&lt;&gt;0,VLOOKUP($A421,'0.Productos'!$A$3:$GG$587,'0.Productos'!BY$1+1,0),"")</f>
        <v/>
      </c>
      <c r="AH421" s="133" t="str">
        <f>IF($A421&lt;&gt;0,VLOOKUP($A421,'0.Productos'!$A$3:$GG$587,'0.Productos'!BZ$1+1,0),"")</f>
        <v/>
      </c>
      <c r="AI421" s="133" t="str">
        <f>IF($A421&lt;&gt;0,VLOOKUP($A421,'0.Productos'!$A$3:$GG$587,'0.Productos'!CA$1+1,0),"")</f>
        <v/>
      </c>
      <c r="AJ421" s="133" t="str">
        <f>IF($A421&lt;&gt;0,VLOOKUP($A421,'0.Productos'!$A$3:$GG$587,'0.Productos'!CB$1+1,0),"")</f>
        <v/>
      </c>
      <c r="AK421" s="133" t="str">
        <f>IF($A421&lt;&gt;0,VLOOKUP($A421,'0.Productos'!$A$3:$GG$587,'0.Productos'!CC$1+1,0),"")</f>
        <v/>
      </c>
      <c r="AL421" s="133" t="str">
        <f>IF($A421&lt;&gt;0,VLOOKUP($A421,'0.Productos'!$A$3:$GG$587,'0.Productos'!CD$1+1,0),"")</f>
        <v/>
      </c>
      <c r="AM421" s="133" t="str">
        <f>IF($A421&lt;&gt;0,VLOOKUP($A421,'0.Productos'!$A$3:$GG$587,'0.Productos'!CE$1+1,0),"")</f>
        <v/>
      </c>
      <c r="AN421" s="133" t="str">
        <f>IF($A421&lt;&gt;0,VLOOKUP($A421,'0.Productos'!$A$3:$GG$587,'0.Productos'!CF$1+1,0),"")</f>
        <v/>
      </c>
      <c r="AO421" s="133" t="str">
        <f>IF($A421&lt;&gt;0,VLOOKUP($A421,'0.Productos'!$A$3:$GG$587,'0.Productos'!CG$1+1,0),"")</f>
        <v/>
      </c>
      <c r="AP421" s="133" t="str">
        <f>IF($A421&lt;&gt;0,VLOOKUP($A421,'0.Productos'!$A$3:$GG$587,'0.Productos'!CH$1+1,0),"")</f>
        <v/>
      </c>
      <c r="AQ421" s="133" t="str">
        <f>IF($A421&lt;&gt;0,VLOOKUP($A421,'0.Productos'!$A$3:$GG$587,'0.Productos'!CI$1+1,0),"")</f>
        <v/>
      </c>
      <c r="AR421" s="133" t="str">
        <f>IF($A421&lt;&gt;0,VLOOKUP($A421,'0.Productos'!$A$3:$GG$587,'0.Productos'!CJ$1+1,0),"")</f>
        <v/>
      </c>
      <c r="AS421" s="133" t="str">
        <f>IF($A421&lt;&gt;0,VLOOKUP($A421,'0.Productos'!$A$3:$GG$587,'0.Productos'!CK$1+1,0),"")</f>
        <v/>
      </c>
      <c r="AT421" s="133" t="str">
        <f>IF($A421&lt;&gt;0,VLOOKUP($A421,'0.Productos'!$A$3:$GG$587,'0.Productos'!CL$1+1,0),"")</f>
        <v/>
      </c>
      <c r="AU421" s="133" t="str">
        <f>IF($A421&lt;&gt;0,VLOOKUP($A421,'0.Productos'!$A$3:$GG$587,'0.Productos'!CM$1+1,0),"")</f>
        <v/>
      </c>
      <c r="AV421" s="133" t="str">
        <f>IF($A421&lt;&gt;0,VLOOKUP($A421,'0.Productos'!$A$3:$GG$587,'0.Productos'!CN$1+1,0),"")</f>
        <v/>
      </c>
      <c r="AW421" s="133" t="str">
        <f>IF($A421&lt;&gt;0,VLOOKUP($A421,'0.Productos'!$A$3:$GG$587,'0.Productos'!CO$1+1,0),"")</f>
        <v/>
      </c>
      <c r="AX421" s="133" t="str">
        <f>IF($A421&lt;&gt;0,VLOOKUP($A421,'0.Productos'!$A$3:$GG$587,'0.Productos'!CP$1+1,0),"")</f>
        <v/>
      </c>
      <c r="AY421" s="133" t="str">
        <f>IF($A421&lt;&gt;0,VLOOKUP($A421,'0.Productos'!$A$3:$GG$587,'0.Productos'!CQ$1+1,0),"")</f>
        <v/>
      </c>
      <c r="AZ421" s="133" t="str">
        <f>IF($A421&lt;&gt;0,VLOOKUP($A421,'0.Productos'!$A$3:$GG$587,'0.Productos'!CR$1+1,0),"")</f>
        <v/>
      </c>
      <c r="BA421" s="133" t="str">
        <f>IF($A421&lt;&gt;0,VLOOKUP($A421,'0.Productos'!$A$3:$GG$587,'0.Productos'!CS$1+1,0),"")</f>
        <v/>
      </c>
      <c r="BB421" s="133" t="str">
        <f>IF($A421&lt;&gt;0,VLOOKUP($A421,'0.Productos'!$A$3:$GG$587,'0.Productos'!CT$1+1,0),"")</f>
        <v/>
      </c>
      <c r="BC421" s="133" t="str">
        <f>IF($A421&lt;&gt;0,VLOOKUP($A421,'0.Productos'!$A$3:$GG$587,'0.Productos'!CU$1+1,0),"")</f>
        <v/>
      </c>
      <c r="BD421" s="133" t="str">
        <f>IF($A421&lt;&gt;0,VLOOKUP($A421,'0.Productos'!$A$3:$GG$587,'0.Productos'!CV$1+1,0),"")</f>
        <v/>
      </c>
      <c r="BE421" s="133" t="str">
        <f>IF($A421&lt;&gt;0,VLOOKUP($A421,'0.Productos'!$A$3:$GG$587,'0.Productos'!CW$1+1,0),"")</f>
        <v/>
      </c>
      <c r="BF421" s="133" t="str">
        <f>IF($A421&lt;&gt;0,VLOOKUP($A421,'0.Productos'!$A$3:$GG$587,'0.Productos'!CX$1+1,0),"")</f>
        <v/>
      </c>
      <c r="BG421" s="133" t="str">
        <f>IF($A421&lt;&gt;0,VLOOKUP($A421,'0.Productos'!$A$3:$GG$587,'0.Productos'!CY$1+1,0),"")</f>
        <v/>
      </c>
      <c r="BH421" s="133" t="str">
        <f>IF($A421&lt;&gt;0,VLOOKUP($A421,'0.Productos'!$A$3:$GG$587,'0.Productos'!CZ$1+1,0),"")</f>
        <v/>
      </c>
      <c r="BI421" s="133" t="str">
        <f>IF($A421&lt;&gt;0,VLOOKUP($A421,'0.Productos'!$A$3:$GG$587,'0.Productos'!DA$1+1,0),"")</f>
        <v/>
      </c>
      <c r="BJ421" s="133" t="str">
        <f>IF($A421&lt;&gt;0,VLOOKUP($A421,'0.Productos'!$A$3:$GG$587,'0.Productos'!DB$1+1,0),"")</f>
        <v/>
      </c>
      <c r="BK421" s="133" t="str">
        <f>IF($A421&lt;&gt;0,VLOOKUP($A421,'0.Productos'!$A$3:$GG$587,'0.Productos'!DC$1+1,0),"")</f>
        <v/>
      </c>
      <c r="BL421" s="133" t="str">
        <f>IF($A421&lt;&gt;0,VLOOKUP($A421,'0.Productos'!$A$3:$GG$587,'0.Productos'!DD$1+1,0),"")</f>
        <v/>
      </c>
      <c r="BM421" s="133" t="str">
        <f>IF($A421&lt;&gt;0,VLOOKUP($A421,'0.Productos'!$A$3:$GG$587,'0.Productos'!DE$1+1,0),"")</f>
        <v/>
      </c>
      <c r="BN421" s="133" t="str">
        <f>IF($A421&lt;&gt;0,VLOOKUP($A421,'0.Productos'!$A$3:$GG$587,'0.Productos'!DF$1+1,0),"")</f>
        <v/>
      </c>
      <c r="BO421" s="133" t="str">
        <f>IF($A421&lt;&gt;0,VLOOKUP($A421,'0.Productos'!$A$3:$GG$587,'0.Productos'!DG$1+1,0),"")</f>
        <v/>
      </c>
      <c r="BP421" s="133" t="str">
        <f>IF($A421&lt;&gt;0,VLOOKUP($A421,'0.Productos'!$A$3:$GG$587,'0.Productos'!DH$1+1,0),"")</f>
        <v/>
      </c>
      <c r="BQ421" s="133" t="str">
        <f>IF($A421&lt;&gt;0,VLOOKUP($A421,'0.Productos'!$A$3:$GG$587,'0.Productos'!DI$1+1,0),"")</f>
        <v/>
      </c>
      <c r="BR421" s="133" t="str">
        <f>IF($A421&lt;&gt;0,VLOOKUP($A421,'0.Productos'!$A$3:$GG$587,'0.Productos'!DJ$1+1,0),"")</f>
        <v/>
      </c>
      <c r="BS421" s="133" t="str">
        <f>IF($A421&lt;&gt;0,VLOOKUP($A421,'0.Productos'!$A$3:$GG$587,'0.Productos'!DK$1+1,0),"")</f>
        <v/>
      </c>
      <c r="BT421" s="133" t="str">
        <f>IF($A421&lt;&gt;0,VLOOKUP($A421,'0.Productos'!$A$3:$GG$587,'0.Productos'!DL$1+1,0),"")</f>
        <v/>
      </c>
    </row>
    <row r="422" spans="1:72" x14ac:dyDescent="0.25">
      <c r="A422" s="17">
        <f>'0.Consolidado general'!A422</f>
        <v>0</v>
      </c>
      <c r="B422" s="133" t="str">
        <f>IF($A422&lt;&gt;0,VLOOKUP($A422,'0.Productos'!$A$3:$GG$587,'0.Productos'!AT$1+1,0),"")</f>
        <v/>
      </c>
      <c r="C422" s="133" t="str">
        <f>IF($A422&lt;&gt;0,VLOOKUP($A422,'0.Productos'!$A$3:$GG$587,'0.Productos'!AU$1+1,0),"")</f>
        <v/>
      </c>
      <c r="D422" s="133" t="str">
        <f>IF($A422&lt;&gt;0,VLOOKUP($A422,'0.Productos'!$A$3:$GG$587,'0.Productos'!AV$1+1,0),"")</f>
        <v/>
      </c>
      <c r="E422" s="133" t="str">
        <f>IF($A422&lt;&gt;0,VLOOKUP($A422,'0.Productos'!$A$3:$GG$587,'0.Productos'!AW$1+1,0),"")</f>
        <v/>
      </c>
      <c r="F422" s="133" t="str">
        <f>IF($A422&lt;&gt;0,VLOOKUP($A422,'0.Productos'!$A$3:$GG$587,'0.Productos'!AX$1+1,0),"")</f>
        <v/>
      </c>
      <c r="G422" s="133" t="str">
        <f>IF($A422&lt;&gt;0,VLOOKUP($A422,'0.Productos'!$A$3:$GG$587,'0.Productos'!AY$1+1,0),"")</f>
        <v/>
      </c>
      <c r="H422" s="133" t="str">
        <f>IF($A422&lt;&gt;0,VLOOKUP($A422,'0.Productos'!$A$3:$GG$587,'0.Productos'!AZ$1+1,0),"")</f>
        <v/>
      </c>
      <c r="I422" s="133" t="str">
        <f>IF($A422&lt;&gt;0,VLOOKUP($A422,'0.Productos'!$A$3:$GG$587,'0.Productos'!BA$1+1,0),"")</f>
        <v/>
      </c>
      <c r="J422" s="133" t="str">
        <f>IF($A422&lt;&gt;0,VLOOKUP($A422,'0.Productos'!$A$3:$GG$587,'0.Productos'!BB$1+1,0),"")</f>
        <v/>
      </c>
      <c r="K422" s="133" t="str">
        <f>IF($A422&lt;&gt;0,VLOOKUP($A422,'0.Productos'!$A$3:$GG$587,'0.Productos'!BC$1+1,0),"")</f>
        <v/>
      </c>
      <c r="L422" s="133" t="str">
        <f>IF($A422&lt;&gt;0,VLOOKUP($A422,'0.Productos'!$A$3:$GG$587,'0.Productos'!BD$1+1,0),"")</f>
        <v/>
      </c>
      <c r="M422" s="133" t="str">
        <f>IF($A422&lt;&gt;0,VLOOKUP($A422,'0.Productos'!$A$3:$GG$587,'0.Productos'!BE$1+1,0),"")</f>
        <v/>
      </c>
      <c r="N422" s="133" t="str">
        <f>IF($A422&lt;&gt;0,VLOOKUP($A422,'0.Productos'!$A$3:$GG$587,'0.Productos'!BF$1+1,0),"")</f>
        <v/>
      </c>
      <c r="O422" s="133" t="str">
        <f>IF($A422&lt;&gt;0,VLOOKUP($A422,'0.Productos'!$A$3:$GG$587,'0.Productos'!BG$1+1,0),"")</f>
        <v/>
      </c>
      <c r="P422" s="133" t="str">
        <f>IF($A422&lt;&gt;0,VLOOKUP($A422,'0.Productos'!$A$3:$GG$587,'0.Productos'!BH$1+1,0),"")</f>
        <v/>
      </c>
      <c r="Q422" s="133" t="str">
        <f>IF($A422&lt;&gt;0,VLOOKUP($A422,'0.Productos'!$A$3:$GG$587,'0.Productos'!BI$1+1,0),"")</f>
        <v/>
      </c>
      <c r="R422" s="133" t="str">
        <f>IF($A422&lt;&gt;0,VLOOKUP($A422,'0.Productos'!$A$3:$GG$587,'0.Productos'!BJ$1+1,0),"")</f>
        <v/>
      </c>
      <c r="S422" s="133" t="str">
        <f>IF($A422&lt;&gt;0,VLOOKUP($A422,'0.Productos'!$A$3:$GG$587,'0.Productos'!BK$1+1,0),"")</f>
        <v/>
      </c>
      <c r="T422" s="133" t="str">
        <f>IF($A422&lt;&gt;0,VLOOKUP($A422,'0.Productos'!$A$3:$GG$587,'0.Productos'!BL$1+1,0),"")</f>
        <v/>
      </c>
      <c r="U422" s="133" t="str">
        <f>IF($A422&lt;&gt;0,VLOOKUP($A422,'0.Productos'!$A$3:$GG$587,'0.Productos'!BM$1+1,0),"")</f>
        <v/>
      </c>
      <c r="V422" s="133" t="str">
        <f>IF($A422&lt;&gt;0,VLOOKUP($A422,'0.Productos'!$A$3:$GG$587,'0.Productos'!BN$1+1,0),"")</f>
        <v/>
      </c>
      <c r="W422" s="133" t="str">
        <f>IF($A422&lt;&gt;0,VLOOKUP($A422,'0.Productos'!$A$3:$GG$587,'0.Productos'!BO$1+1,0),"")</f>
        <v/>
      </c>
      <c r="X422" s="133" t="str">
        <f>IF($A422&lt;&gt;0,VLOOKUP($A422,'0.Productos'!$A$3:$GG$587,'0.Productos'!BP$1+1,0),"")</f>
        <v/>
      </c>
      <c r="Y422" s="133" t="str">
        <f>IF($A422&lt;&gt;0,VLOOKUP($A422,'0.Productos'!$A$3:$GG$587,'0.Productos'!BQ$1+1,0),"")</f>
        <v/>
      </c>
      <c r="Z422" s="133" t="str">
        <f>IF($A422&lt;&gt;0,VLOOKUP($A422,'0.Productos'!$A$3:$GG$587,'0.Productos'!BR$1+1,0),"")</f>
        <v/>
      </c>
      <c r="AA422" s="133" t="str">
        <f>IF($A422&lt;&gt;0,VLOOKUP($A422,'0.Productos'!$A$3:$GG$587,'0.Productos'!BS$1+1,0),"")</f>
        <v/>
      </c>
      <c r="AB422" s="133" t="str">
        <f>IF($A422&lt;&gt;0,VLOOKUP($A422,'0.Productos'!$A$3:$GG$587,'0.Productos'!BT$1+1,0),"")</f>
        <v/>
      </c>
      <c r="AC422" s="133" t="str">
        <f>IF($A422&lt;&gt;0,VLOOKUP($A422,'0.Productos'!$A$3:$GG$587,'0.Productos'!BU$1+1,0),"")</f>
        <v/>
      </c>
      <c r="AD422" s="133" t="str">
        <f>IF($A422&lt;&gt;0,VLOOKUP($A422,'0.Productos'!$A$3:$GG$587,'0.Productos'!BV$1+1,0),"")</f>
        <v/>
      </c>
      <c r="AE422" s="133" t="str">
        <f>IF($A422&lt;&gt;0,VLOOKUP($A422,'0.Productos'!$A$3:$GG$587,'0.Productos'!BW$1+1,0),"")</f>
        <v/>
      </c>
      <c r="AF422" s="133" t="str">
        <f>IF($A422&lt;&gt;0,VLOOKUP($A422,'0.Productos'!$A$3:$GG$587,'0.Productos'!BX$1+1,0),"")</f>
        <v/>
      </c>
      <c r="AG422" s="133" t="str">
        <f>IF($A422&lt;&gt;0,VLOOKUP($A422,'0.Productos'!$A$3:$GG$587,'0.Productos'!BY$1+1,0),"")</f>
        <v/>
      </c>
      <c r="AH422" s="133" t="str">
        <f>IF($A422&lt;&gt;0,VLOOKUP($A422,'0.Productos'!$A$3:$GG$587,'0.Productos'!BZ$1+1,0),"")</f>
        <v/>
      </c>
      <c r="AI422" s="133" t="str">
        <f>IF($A422&lt;&gt;0,VLOOKUP($A422,'0.Productos'!$A$3:$GG$587,'0.Productos'!CA$1+1,0),"")</f>
        <v/>
      </c>
      <c r="AJ422" s="133" t="str">
        <f>IF($A422&lt;&gt;0,VLOOKUP($A422,'0.Productos'!$A$3:$GG$587,'0.Productos'!CB$1+1,0),"")</f>
        <v/>
      </c>
      <c r="AK422" s="133" t="str">
        <f>IF($A422&lt;&gt;0,VLOOKUP($A422,'0.Productos'!$A$3:$GG$587,'0.Productos'!CC$1+1,0),"")</f>
        <v/>
      </c>
      <c r="AL422" s="133" t="str">
        <f>IF($A422&lt;&gt;0,VLOOKUP($A422,'0.Productos'!$A$3:$GG$587,'0.Productos'!CD$1+1,0),"")</f>
        <v/>
      </c>
      <c r="AM422" s="133" t="str">
        <f>IF($A422&lt;&gt;0,VLOOKUP($A422,'0.Productos'!$A$3:$GG$587,'0.Productos'!CE$1+1,0),"")</f>
        <v/>
      </c>
      <c r="AN422" s="133" t="str">
        <f>IF($A422&lt;&gt;0,VLOOKUP($A422,'0.Productos'!$A$3:$GG$587,'0.Productos'!CF$1+1,0),"")</f>
        <v/>
      </c>
      <c r="AO422" s="133" t="str">
        <f>IF($A422&lt;&gt;0,VLOOKUP($A422,'0.Productos'!$A$3:$GG$587,'0.Productos'!CG$1+1,0),"")</f>
        <v/>
      </c>
      <c r="AP422" s="133" t="str">
        <f>IF($A422&lt;&gt;0,VLOOKUP($A422,'0.Productos'!$A$3:$GG$587,'0.Productos'!CH$1+1,0),"")</f>
        <v/>
      </c>
      <c r="AQ422" s="133" t="str">
        <f>IF($A422&lt;&gt;0,VLOOKUP($A422,'0.Productos'!$A$3:$GG$587,'0.Productos'!CI$1+1,0),"")</f>
        <v/>
      </c>
      <c r="AR422" s="133" t="str">
        <f>IF($A422&lt;&gt;0,VLOOKUP($A422,'0.Productos'!$A$3:$GG$587,'0.Productos'!CJ$1+1,0),"")</f>
        <v/>
      </c>
      <c r="AS422" s="133" t="str">
        <f>IF($A422&lt;&gt;0,VLOOKUP($A422,'0.Productos'!$A$3:$GG$587,'0.Productos'!CK$1+1,0),"")</f>
        <v/>
      </c>
      <c r="AT422" s="133" t="str">
        <f>IF($A422&lt;&gt;0,VLOOKUP($A422,'0.Productos'!$A$3:$GG$587,'0.Productos'!CL$1+1,0),"")</f>
        <v/>
      </c>
      <c r="AU422" s="133" t="str">
        <f>IF($A422&lt;&gt;0,VLOOKUP($A422,'0.Productos'!$A$3:$GG$587,'0.Productos'!CM$1+1,0),"")</f>
        <v/>
      </c>
      <c r="AV422" s="133" t="str">
        <f>IF($A422&lt;&gt;0,VLOOKUP($A422,'0.Productos'!$A$3:$GG$587,'0.Productos'!CN$1+1,0),"")</f>
        <v/>
      </c>
      <c r="AW422" s="133" t="str">
        <f>IF($A422&lt;&gt;0,VLOOKUP($A422,'0.Productos'!$A$3:$GG$587,'0.Productos'!CO$1+1,0),"")</f>
        <v/>
      </c>
      <c r="AX422" s="133" t="str">
        <f>IF($A422&lt;&gt;0,VLOOKUP($A422,'0.Productos'!$A$3:$GG$587,'0.Productos'!CP$1+1,0),"")</f>
        <v/>
      </c>
      <c r="AY422" s="133" t="str">
        <f>IF($A422&lt;&gt;0,VLOOKUP($A422,'0.Productos'!$A$3:$GG$587,'0.Productos'!CQ$1+1,0),"")</f>
        <v/>
      </c>
      <c r="AZ422" s="133" t="str">
        <f>IF($A422&lt;&gt;0,VLOOKUP($A422,'0.Productos'!$A$3:$GG$587,'0.Productos'!CR$1+1,0),"")</f>
        <v/>
      </c>
      <c r="BA422" s="133" t="str">
        <f>IF($A422&lt;&gt;0,VLOOKUP($A422,'0.Productos'!$A$3:$GG$587,'0.Productos'!CS$1+1,0),"")</f>
        <v/>
      </c>
      <c r="BB422" s="133" t="str">
        <f>IF($A422&lt;&gt;0,VLOOKUP($A422,'0.Productos'!$A$3:$GG$587,'0.Productos'!CT$1+1,0),"")</f>
        <v/>
      </c>
      <c r="BC422" s="133" t="str">
        <f>IF($A422&lt;&gt;0,VLOOKUP($A422,'0.Productos'!$A$3:$GG$587,'0.Productos'!CU$1+1,0),"")</f>
        <v/>
      </c>
      <c r="BD422" s="133" t="str">
        <f>IF($A422&lt;&gt;0,VLOOKUP($A422,'0.Productos'!$A$3:$GG$587,'0.Productos'!CV$1+1,0),"")</f>
        <v/>
      </c>
      <c r="BE422" s="133" t="str">
        <f>IF($A422&lt;&gt;0,VLOOKUP($A422,'0.Productos'!$A$3:$GG$587,'0.Productos'!CW$1+1,0),"")</f>
        <v/>
      </c>
      <c r="BF422" s="133" t="str">
        <f>IF($A422&lt;&gt;0,VLOOKUP($A422,'0.Productos'!$A$3:$GG$587,'0.Productos'!CX$1+1,0),"")</f>
        <v/>
      </c>
      <c r="BG422" s="133" t="str">
        <f>IF($A422&lt;&gt;0,VLOOKUP($A422,'0.Productos'!$A$3:$GG$587,'0.Productos'!CY$1+1,0),"")</f>
        <v/>
      </c>
      <c r="BH422" s="133" t="str">
        <f>IF($A422&lt;&gt;0,VLOOKUP($A422,'0.Productos'!$A$3:$GG$587,'0.Productos'!CZ$1+1,0),"")</f>
        <v/>
      </c>
      <c r="BI422" s="133" t="str">
        <f>IF($A422&lt;&gt;0,VLOOKUP($A422,'0.Productos'!$A$3:$GG$587,'0.Productos'!DA$1+1,0),"")</f>
        <v/>
      </c>
      <c r="BJ422" s="133" t="str">
        <f>IF($A422&lt;&gt;0,VLOOKUP($A422,'0.Productos'!$A$3:$GG$587,'0.Productos'!DB$1+1,0),"")</f>
        <v/>
      </c>
      <c r="BK422" s="133" t="str">
        <f>IF($A422&lt;&gt;0,VLOOKUP($A422,'0.Productos'!$A$3:$GG$587,'0.Productos'!DC$1+1,0),"")</f>
        <v/>
      </c>
      <c r="BL422" s="133" t="str">
        <f>IF($A422&lt;&gt;0,VLOOKUP($A422,'0.Productos'!$A$3:$GG$587,'0.Productos'!DD$1+1,0),"")</f>
        <v/>
      </c>
      <c r="BM422" s="133" t="str">
        <f>IF($A422&lt;&gt;0,VLOOKUP($A422,'0.Productos'!$A$3:$GG$587,'0.Productos'!DE$1+1,0),"")</f>
        <v/>
      </c>
      <c r="BN422" s="133" t="str">
        <f>IF($A422&lt;&gt;0,VLOOKUP($A422,'0.Productos'!$A$3:$GG$587,'0.Productos'!DF$1+1,0),"")</f>
        <v/>
      </c>
      <c r="BO422" s="133" t="str">
        <f>IF($A422&lt;&gt;0,VLOOKUP($A422,'0.Productos'!$A$3:$GG$587,'0.Productos'!DG$1+1,0),"")</f>
        <v/>
      </c>
      <c r="BP422" s="133" t="str">
        <f>IF($A422&lt;&gt;0,VLOOKUP($A422,'0.Productos'!$A$3:$GG$587,'0.Productos'!DH$1+1,0),"")</f>
        <v/>
      </c>
      <c r="BQ422" s="133" t="str">
        <f>IF($A422&lt;&gt;0,VLOOKUP($A422,'0.Productos'!$A$3:$GG$587,'0.Productos'!DI$1+1,0),"")</f>
        <v/>
      </c>
      <c r="BR422" s="133" t="str">
        <f>IF($A422&lt;&gt;0,VLOOKUP($A422,'0.Productos'!$A$3:$GG$587,'0.Productos'!DJ$1+1,0),"")</f>
        <v/>
      </c>
      <c r="BS422" s="133" t="str">
        <f>IF($A422&lt;&gt;0,VLOOKUP($A422,'0.Productos'!$A$3:$GG$587,'0.Productos'!DK$1+1,0),"")</f>
        <v/>
      </c>
      <c r="BT422" s="133" t="str">
        <f>IF($A422&lt;&gt;0,VLOOKUP($A422,'0.Productos'!$A$3:$GG$587,'0.Productos'!DL$1+1,0),"")</f>
        <v/>
      </c>
    </row>
    <row r="423" spans="1:72" x14ac:dyDescent="0.25">
      <c r="A423" s="17">
        <f>'0.Consolidado general'!A423</f>
        <v>0</v>
      </c>
      <c r="B423" s="133" t="str">
        <f>IF($A423&lt;&gt;0,VLOOKUP($A423,'0.Productos'!$A$3:$GG$587,'0.Productos'!AT$1+1,0),"")</f>
        <v/>
      </c>
      <c r="C423" s="133" t="str">
        <f>IF($A423&lt;&gt;0,VLOOKUP($A423,'0.Productos'!$A$3:$GG$587,'0.Productos'!AU$1+1,0),"")</f>
        <v/>
      </c>
      <c r="D423" s="133" t="str">
        <f>IF($A423&lt;&gt;0,VLOOKUP($A423,'0.Productos'!$A$3:$GG$587,'0.Productos'!AV$1+1,0),"")</f>
        <v/>
      </c>
      <c r="E423" s="133" t="str">
        <f>IF($A423&lt;&gt;0,VLOOKUP($A423,'0.Productos'!$A$3:$GG$587,'0.Productos'!AW$1+1,0),"")</f>
        <v/>
      </c>
      <c r="F423" s="133" t="str">
        <f>IF($A423&lt;&gt;0,VLOOKUP($A423,'0.Productos'!$A$3:$GG$587,'0.Productos'!AX$1+1,0),"")</f>
        <v/>
      </c>
      <c r="G423" s="133" t="str">
        <f>IF($A423&lt;&gt;0,VLOOKUP($A423,'0.Productos'!$A$3:$GG$587,'0.Productos'!AY$1+1,0),"")</f>
        <v/>
      </c>
      <c r="H423" s="133" t="str">
        <f>IF($A423&lt;&gt;0,VLOOKUP($A423,'0.Productos'!$A$3:$GG$587,'0.Productos'!AZ$1+1,0),"")</f>
        <v/>
      </c>
      <c r="I423" s="133" t="str">
        <f>IF($A423&lt;&gt;0,VLOOKUP($A423,'0.Productos'!$A$3:$GG$587,'0.Productos'!BA$1+1,0),"")</f>
        <v/>
      </c>
      <c r="J423" s="133" t="str">
        <f>IF($A423&lt;&gt;0,VLOOKUP($A423,'0.Productos'!$A$3:$GG$587,'0.Productos'!BB$1+1,0),"")</f>
        <v/>
      </c>
      <c r="K423" s="133" t="str">
        <f>IF($A423&lt;&gt;0,VLOOKUP($A423,'0.Productos'!$A$3:$GG$587,'0.Productos'!BC$1+1,0),"")</f>
        <v/>
      </c>
      <c r="L423" s="133" t="str">
        <f>IF($A423&lt;&gt;0,VLOOKUP($A423,'0.Productos'!$A$3:$GG$587,'0.Productos'!BD$1+1,0),"")</f>
        <v/>
      </c>
      <c r="M423" s="133" t="str">
        <f>IF($A423&lt;&gt;0,VLOOKUP($A423,'0.Productos'!$A$3:$GG$587,'0.Productos'!BE$1+1,0),"")</f>
        <v/>
      </c>
      <c r="N423" s="133" t="str">
        <f>IF($A423&lt;&gt;0,VLOOKUP($A423,'0.Productos'!$A$3:$GG$587,'0.Productos'!BF$1+1,0),"")</f>
        <v/>
      </c>
      <c r="O423" s="133" t="str">
        <f>IF($A423&lt;&gt;0,VLOOKUP($A423,'0.Productos'!$A$3:$GG$587,'0.Productos'!BG$1+1,0),"")</f>
        <v/>
      </c>
      <c r="P423" s="133" t="str">
        <f>IF($A423&lt;&gt;0,VLOOKUP($A423,'0.Productos'!$A$3:$GG$587,'0.Productos'!BH$1+1,0),"")</f>
        <v/>
      </c>
      <c r="Q423" s="133" t="str">
        <f>IF($A423&lt;&gt;0,VLOOKUP($A423,'0.Productos'!$A$3:$GG$587,'0.Productos'!BI$1+1,0),"")</f>
        <v/>
      </c>
      <c r="R423" s="133" t="str">
        <f>IF($A423&lt;&gt;0,VLOOKUP($A423,'0.Productos'!$A$3:$GG$587,'0.Productos'!BJ$1+1,0),"")</f>
        <v/>
      </c>
      <c r="S423" s="133" t="str">
        <f>IF($A423&lt;&gt;0,VLOOKUP($A423,'0.Productos'!$A$3:$GG$587,'0.Productos'!BK$1+1,0),"")</f>
        <v/>
      </c>
      <c r="T423" s="133" t="str">
        <f>IF($A423&lt;&gt;0,VLOOKUP($A423,'0.Productos'!$A$3:$GG$587,'0.Productos'!BL$1+1,0),"")</f>
        <v/>
      </c>
      <c r="U423" s="133" t="str">
        <f>IF($A423&lt;&gt;0,VLOOKUP($A423,'0.Productos'!$A$3:$GG$587,'0.Productos'!BM$1+1,0),"")</f>
        <v/>
      </c>
      <c r="V423" s="133" t="str">
        <f>IF($A423&lt;&gt;0,VLOOKUP($A423,'0.Productos'!$A$3:$GG$587,'0.Productos'!BN$1+1,0),"")</f>
        <v/>
      </c>
      <c r="W423" s="133" t="str">
        <f>IF($A423&lt;&gt;0,VLOOKUP($A423,'0.Productos'!$A$3:$GG$587,'0.Productos'!BO$1+1,0),"")</f>
        <v/>
      </c>
      <c r="X423" s="133" t="str">
        <f>IF($A423&lt;&gt;0,VLOOKUP($A423,'0.Productos'!$A$3:$GG$587,'0.Productos'!BP$1+1,0),"")</f>
        <v/>
      </c>
      <c r="Y423" s="133" t="str">
        <f>IF($A423&lt;&gt;0,VLOOKUP($A423,'0.Productos'!$A$3:$GG$587,'0.Productos'!BQ$1+1,0),"")</f>
        <v/>
      </c>
      <c r="Z423" s="133" t="str">
        <f>IF($A423&lt;&gt;0,VLOOKUP($A423,'0.Productos'!$A$3:$GG$587,'0.Productos'!BR$1+1,0),"")</f>
        <v/>
      </c>
      <c r="AA423" s="133" t="str">
        <f>IF($A423&lt;&gt;0,VLOOKUP($A423,'0.Productos'!$A$3:$GG$587,'0.Productos'!BS$1+1,0),"")</f>
        <v/>
      </c>
      <c r="AB423" s="133" t="str">
        <f>IF($A423&lt;&gt;0,VLOOKUP($A423,'0.Productos'!$A$3:$GG$587,'0.Productos'!BT$1+1,0),"")</f>
        <v/>
      </c>
      <c r="AC423" s="133" t="str">
        <f>IF($A423&lt;&gt;0,VLOOKUP($A423,'0.Productos'!$A$3:$GG$587,'0.Productos'!BU$1+1,0),"")</f>
        <v/>
      </c>
      <c r="AD423" s="133" t="str">
        <f>IF($A423&lt;&gt;0,VLOOKUP($A423,'0.Productos'!$A$3:$GG$587,'0.Productos'!BV$1+1,0),"")</f>
        <v/>
      </c>
      <c r="AE423" s="133" t="str">
        <f>IF($A423&lt;&gt;0,VLOOKUP($A423,'0.Productos'!$A$3:$GG$587,'0.Productos'!BW$1+1,0),"")</f>
        <v/>
      </c>
      <c r="AF423" s="133" t="str">
        <f>IF($A423&lt;&gt;0,VLOOKUP($A423,'0.Productos'!$A$3:$GG$587,'0.Productos'!BX$1+1,0),"")</f>
        <v/>
      </c>
      <c r="AG423" s="133" t="str">
        <f>IF($A423&lt;&gt;0,VLOOKUP($A423,'0.Productos'!$A$3:$GG$587,'0.Productos'!BY$1+1,0),"")</f>
        <v/>
      </c>
      <c r="AH423" s="133" t="str">
        <f>IF($A423&lt;&gt;0,VLOOKUP($A423,'0.Productos'!$A$3:$GG$587,'0.Productos'!BZ$1+1,0),"")</f>
        <v/>
      </c>
      <c r="AI423" s="133" t="str">
        <f>IF($A423&lt;&gt;0,VLOOKUP($A423,'0.Productos'!$A$3:$GG$587,'0.Productos'!CA$1+1,0),"")</f>
        <v/>
      </c>
      <c r="AJ423" s="133" t="str">
        <f>IF($A423&lt;&gt;0,VLOOKUP($A423,'0.Productos'!$A$3:$GG$587,'0.Productos'!CB$1+1,0),"")</f>
        <v/>
      </c>
      <c r="AK423" s="133" t="str">
        <f>IF($A423&lt;&gt;0,VLOOKUP($A423,'0.Productos'!$A$3:$GG$587,'0.Productos'!CC$1+1,0),"")</f>
        <v/>
      </c>
      <c r="AL423" s="133" t="str">
        <f>IF($A423&lt;&gt;0,VLOOKUP($A423,'0.Productos'!$A$3:$GG$587,'0.Productos'!CD$1+1,0),"")</f>
        <v/>
      </c>
      <c r="AM423" s="133" t="str">
        <f>IF($A423&lt;&gt;0,VLOOKUP($A423,'0.Productos'!$A$3:$GG$587,'0.Productos'!CE$1+1,0),"")</f>
        <v/>
      </c>
      <c r="AN423" s="133" t="str">
        <f>IF($A423&lt;&gt;0,VLOOKUP($A423,'0.Productos'!$A$3:$GG$587,'0.Productos'!CF$1+1,0),"")</f>
        <v/>
      </c>
      <c r="AO423" s="133" t="str">
        <f>IF($A423&lt;&gt;0,VLOOKUP($A423,'0.Productos'!$A$3:$GG$587,'0.Productos'!CG$1+1,0),"")</f>
        <v/>
      </c>
      <c r="AP423" s="133" t="str">
        <f>IF($A423&lt;&gt;0,VLOOKUP($A423,'0.Productos'!$A$3:$GG$587,'0.Productos'!CH$1+1,0),"")</f>
        <v/>
      </c>
      <c r="AQ423" s="133" t="str">
        <f>IF($A423&lt;&gt;0,VLOOKUP($A423,'0.Productos'!$A$3:$GG$587,'0.Productos'!CI$1+1,0),"")</f>
        <v/>
      </c>
      <c r="AR423" s="133" t="str">
        <f>IF($A423&lt;&gt;0,VLOOKUP($A423,'0.Productos'!$A$3:$GG$587,'0.Productos'!CJ$1+1,0),"")</f>
        <v/>
      </c>
      <c r="AS423" s="133" t="str">
        <f>IF($A423&lt;&gt;0,VLOOKUP($A423,'0.Productos'!$A$3:$GG$587,'0.Productos'!CK$1+1,0),"")</f>
        <v/>
      </c>
      <c r="AT423" s="133" t="str">
        <f>IF($A423&lt;&gt;0,VLOOKUP($A423,'0.Productos'!$A$3:$GG$587,'0.Productos'!CL$1+1,0),"")</f>
        <v/>
      </c>
      <c r="AU423" s="133" t="str">
        <f>IF($A423&lt;&gt;0,VLOOKUP($A423,'0.Productos'!$A$3:$GG$587,'0.Productos'!CM$1+1,0),"")</f>
        <v/>
      </c>
      <c r="AV423" s="133" t="str">
        <f>IF($A423&lt;&gt;0,VLOOKUP($A423,'0.Productos'!$A$3:$GG$587,'0.Productos'!CN$1+1,0),"")</f>
        <v/>
      </c>
      <c r="AW423" s="133" t="str">
        <f>IF($A423&lt;&gt;0,VLOOKUP($A423,'0.Productos'!$A$3:$GG$587,'0.Productos'!CO$1+1,0),"")</f>
        <v/>
      </c>
      <c r="AX423" s="133" t="str">
        <f>IF($A423&lt;&gt;0,VLOOKUP($A423,'0.Productos'!$A$3:$GG$587,'0.Productos'!CP$1+1,0),"")</f>
        <v/>
      </c>
      <c r="AY423" s="133" t="str">
        <f>IF($A423&lt;&gt;0,VLOOKUP($A423,'0.Productos'!$A$3:$GG$587,'0.Productos'!CQ$1+1,0),"")</f>
        <v/>
      </c>
      <c r="AZ423" s="133" t="str">
        <f>IF($A423&lt;&gt;0,VLOOKUP($A423,'0.Productos'!$A$3:$GG$587,'0.Productos'!CR$1+1,0),"")</f>
        <v/>
      </c>
      <c r="BA423" s="133" t="str">
        <f>IF($A423&lt;&gt;0,VLOOKUP($A423,'0.Productos'!$A$3:$GG$587,'0.Productos'!CS$1+1,0),"")</f>
        <v/>
      </c>
      <c r="BB423" s="133" t="str">
        <f>IF($A423&lt;&gt;0,VLOOKUP($A423,'0.Productos'!$A$3:$GG$587,'0.Productos'!CT$1+1,0),"")</f>
        <v/>
      </c>
      <c r="BC423" s="133" t="str">
        <f>IF($A423&lt;&gt;0,VLOOKUP($A423,'0.Productos'!$A$3:$GG$587,'0.Productos'!CU$1+1,0),"")</f>
        <v/>
      </c>
      <c r="BD423" s="133" t="str">
        <f>IF($A423&lt;&gt;0,VLOOKUP($A423,'0.Productos'!$A$3:$GG$587,'0.Productos'!CV$1+1,0),"")</f>
        <v/>
      </c>
      <c r="BE423" s="133" t="str">
        <f>IF($A423&lt;&gt;0,VLOOKUP($A423,'0.Productos'!$A$3:$GG$587,'0.Productos'!CW$1+1,0),"")</f>
        <v/>
      </c>
      <c r="BF423" s="133" t="str">
        <f>IF($A423&lt;&gt;0,VLOOKUP($A423,'0.Productos'!$A$3:$GG$587,'0.Productos'!CX$1+1,0),"")</f>
        <v/>
      </c>
      <c r="BG423" s="133" t="str">
        <f>IF($A423&lt;&gt;0,VLOOKUP($A423,'0.Productos'!$A$3:$GG$587,'0.Productos'!CY$1+1,0),"")</f>
        <v/>
      </c>
      <c r="BH423" s="133" t="str">
        <f>IF($A423&lt;&gt;0,VLOOKUP($A423,'0.Productos'!$A$3:$GG$587,'0.Productos'!CZ$1+1,0),"")</f>
        <v/>
      </c>
      <c r="BI423" s="133" t="str">
        <f>IF($A423&lt;&gt;0,VLOOKUP($A423,'0.Productos'!$A$3:$GG$587,'0.Productos'!DA$1+1,0),"")</f>
        <v/>
      </c>
      <c r="BJ423" s="133" t="str">
        <f>IF($A423&lt;&gt;0,VLOOKUP($A423,'0.Productos'!$A$3:$GG$587,'0.Productos'!DB$1+1,0),"")</f>
        <v/>
      </c>
      <c r="BK423" s="133" t="str">
        <f>IF($A423&lt;&gt;0,VLOOKUP($A423,'0.Productos'!$A$3:$GG$587,'0.Productos'!DC$1+1,0),"")</f>
        <v/>
      </c>
      <c r="BL423" s="133" t="str">
        <f>IF($A423&lt;&gt;0,VLOOKUP($A423,'0.Productos'!$A$3:$GG$587,'0.Productos'!DD$1+1,0),"")</f>
        <v/>
      </c>
      <c r="BM423" s="133" t="str">
        <f>IF($A423&lt;&gt;0,VLOOKUP($A423,'0.Productos'!$A$3:$GG$587,'0.Productos'!DE$1+1,0),"")</f>
        <v/>
      </c>
      <c r="BN423" s="133" t="str">
        <f>IF($A423&lt;&gt;0,VLOOKUP($A423,'0.Productos'!$A$3:$GG$587,'0.Productos'!DF$1+1,0),"")</f>
        <v/>
      </c>
      <c r="BO423" s="133" t="str">
        <f>IF($A423&lt;&gt;0,VLOOKUP($A423,'0.Productos'!$A$3:$GG$587,'0.Productos'!DG$1+1,0),"")</f>
        <v/>
      </c>
      <c r="BP423" s="133" t="str">
        <f>IF($A423&lt;&gt;0,VLOOKUP($A423,'0.Productos'!$A$3:$GG$587,'0.Productos'!DH$1+1,0),"")</f>
        <v/>
      </c>
      <c r="BQ423" s="133" t="str">
        <f>IF($A423&lt;&gt;0,VLOOKUP($A423,'0.Productos'!$A$3:$GG$587,'0.Productos'!DI$1+1,0),"")</f>
        <v/>
      </c>
      <c r="BR423" s="133" t="str">
        <f>IF($A423&lt;&gt;0,VLOOKUP($A423,'0.Productos'!$A$3:$GG$587,'0.Productos'!DJ$1+1,0),"")</f>
        <v/>
      </c>
      <c r="BS423" s="133" t="str">
        <f>IF($A423&lt;&gt;0,VLOOKUP($A423,'0.Productos'!$A$3:$GG$587,'0.Productos'!DK$1+1,0),"")</f>
        <v/>
      </c>
      <c r="BT423" s="133" t="str">
        <f>IF($A423&lt;&gt;0,VLOOKUP($A423,'0.Productos'!$A$3:$GG$587,'0.Productos'!DL$1+1,0),"")</f>
        <v/>
      </c>
    </row>
    <row r="424" spans="1:72" x14ac:dyDescent="0.25">
      <c r="A424" s="17">
        <f>'0.Consolidado general'!A424</f>
        <v>0</v>
      </c>
      <c r="B424" s="133" t="str">
        <f>IF($A424&lt;&gt;0,VLOOKUP($A424,'0.Productos'!$A$3:$GG$587,'0.Productos'!AT$1+1,0),"")</f>
        <v/>
      </c>
      <c r="C424" s="133" t="str">
        <f>IF($A424&lt;&gt;0,VLOOKUP($A424,'0.Productos'!$A$3:$GG$587,'0.Productos'!AU$1+1,0),"")</f>
        <v/>
      </c>
      <c r="D424" s="133" t="str">
        <f>IF($A424&lt;&gt;0,VLOOKUP($A424,'0.Productos'!$A$3:$GG$587,'0.Productos'!AV$1+1,0),"")</f>
        <v/>
      </c>
      <c r="E424" s="133" t="str">
        <f>IF($A424&lt;&gt;0,VLOOKUP($A424,'0.Productos'!$A$3:$GG$587,'0.Productos'!AW$1+1,0),"")</f>
        <v/>
      </c>
      <c r="F424" s="133" t="str">
        <f>IF($A424&lt;&gt;0,VLOOKUP($A424,'0.Productos'!$A$3:$GG$587,'0.Productos'!AX$1+1,0),"")</f>
        <v/>
      </c>
      <c r="G424" s="133" t="str">
        <f>IF($A424&lt;&gt;0,VLOOKUP($A424,'0.Productos'!$A$3:$GG$587,'0.Productos'!AY$1+1,0),"")</f>
        <v/>
      </c>
      <c r="H424" s="133" t="str">
        <f>IF($A424&lt;&gt;0,VLOOKUP($A424,'0.Productos'!$A$3:$GG$587,'0.Productos'!AZ$1+1,0),"")</f>
        <v/>
      </c>
      <c r="I424" s="133" t="str">
        <f>IF($A424&lt;&gt;0,VLOOKUP($A424,'0.Productos'!$A$3:$GG$587,'0.Productos'!BA$1+1,0),"")</f>
        <v/>
      </c>
      <c r="J424" s="133" t="str">
        <f>IF($A424&lt;&gt;0,VLOOKUP($A424,'0.Productos'!$A$3:$GG$587,'0.Productos'!BB$1+1,0),"")</f>
        <v/>
      </c>
      <c r="K424" s="133" t="str">
        <f>IF($A424&lt;&gt;0,VLOOKUP($A424,'0.Productos'!$A$3:$GG$587,'0.Productos'!BC$1+1,0),"")</f>
        <v/>
      </c>
      <c r="L424" s="133" t="str">
        <f>IF($A424&lt;&gt;0,VLOOKUP($A424,'0.Productos'!$A$3:$GG$587,'0.Productos'!BD$1+1,0),"")</f>
        <v/>
      </c>
      <c r="M424" s="133" t="str">
        <f>IF($A424&lt;&gt;0,VLOOKUP($A424,'0.Productos'!$A$3:$GG$587,'0.Productos'!BE$1+1,0),"")</f>
        <v/>
      </c>
      <c r="N424" s="133" t="str">
        <f>IF($A424&lt;&gt;0,VLOOKUP($A424,'0.Productos'!$A$3:$GG$587,'0.Productos'!BF$1+1,0),"")</f>
        <v/>
      </c>
      <c r="O424" s="133" t="str">
        <f>IF($A424&lt;&gt;0,VLOOKUP($A424,'0.Productos'!$A$3:$GG$587,'0.Productos'!BG$1+1,0),"")</f>
        <v/>
      </c>
      <c r="P424" s="133" t="str">
        <f>IF($A424&lt;&gt;0,VLOOKUP($A424,'0.Productos'!$A$3:$GG$587,'0.Productos'!BH$1+1,0),"")</f>
        <v/>
      </c>
      <c r="Q424" s="133" t="str">
        <f>IF($A424&lt;&gt;0,VLOOKUP($A424,'0.Productos'!$A$3:$GG$587,'0.Productos'!BI$1+1,0),"")</f>
        <v/>
      </c>
      <c r="R424" s="133" t="str">
        <f>IF($A424&lt;&gt;0,VLOOKUP($A424,'0.Productos'!$A$3:$GG$587,'0.Productos'!BJ$1+1,0),"")</f>
        <v/>
      </c>
      <c r="S424" s="133" t="str">
        <f>IF($A424&lt;&gt;0,VLOOKUP($A424,'0.Productos'!$A$3:$GG$587,'0.Productos'!BK$1+1,0),"")</f>
        <v/>
      </c>
      <c r="T424" s="133" t="str">
        <f>IF($A424&lt;&gt;0,VLOOKUP($A424,'0.Productos'!$A$3:$GG$587,'0.Productos'!BL$1+1,0),"")</f>
        <v/>
      </c>
      <c r="U424" s="133" t="str">
        <f>IF($A424&lt;&gt;0,VLOOKUP($A424,'0.Productos'!$A$3:$GG$587,'0.Productos'!BM$1+1,0),"")</f>
        <v/>
      </c>
      <c r="V424" s="133" t="str">
        <f>IF($A424&lt;&gt;0,VLOOKUP($A424,'0.Productos'!$A$3:$GG$587,'0.Productos'!BN$1+1,0),"")</f>
        <v/>
      </c>
      <c r="W424" s="133" t="str">
        <f>IF($A424&lt;&gt;0,VLOOKUP($A424,'0.Productos'!$A$3:$GG$587,'0.Productos'!BO$1+1,0),"")</f>
        <v/>
      </c>
      <c r="X424" s="133" t="str">
        <f>IF($A424&lt;&gt;0,VLOOKUP($A424,'0.Productos'!$A$3:$GG$587,'0.Productos'!BP$1+1,0),"")</f>
        <v/>
      </c>
      <c r="Y424" s="133" t="str">
        <f>IF($A424&lt;&gt;0,VLOOKUP($A424,'0.Productos'!$A$3:$GG$587,'0.Productos'!BQ$1+1,0),"")</f>
        <v/>
      </c>
      <c r="Z424" s="133" t="str">
        <f>IF($A424&lt;&gt;0,VLOOKUP($A424,'0.Productos'!$A$3:$GG$587,'0.Productos'!BR$1+1,0),"")</f>
        <v/>
      </c>
      <c r="AA424" s="133" t="str">
        <f>IF($A424&lt;&gt;0,VLOOKUP($A424,'0.Productos'!$A$3:$GG$587,'0.Productos'!BS$1+1,0),"")</f>
        <v/>
      </c>
      <c r="AB424" s="133" t="str">
        <f>IF($A424&lt;&gt;0,VLOOKUP($A424,'0.Productos'!$A$3:$GG$587,'0.Productos'!BT$1+1,0),"")</f>
        <v/>
      </c>
      <c r="AC424" s="133" t="str">
        <f>IF($A424&lt;&gt;0,VLOOKUP($A424,'0.Productos'!$A$3:$GG$587,'0.Productos'!BU$1+1,0),"")</f>
        <v/>
      </c>
      <c r="AD424" s="133" t="str">
        <f>IF($A424&lt;&gt;0,VLOOKUP($A424,'0.Productos'!$A$3:$GG$587,'0.Productos'!BV$1+1,0),"")</f>
        <v/>
      </c>
      <c r="AE424" s="133" t="str">
        <f>IF($A424&lt;&gt;0,VLOOKUP($A424,'0.Productos'!$A$3:$GG$587,'0.Productos'!BW$1+1,0),"")</f>
        <v/>
      </c>
      <c r="AF424" s="133" t="str">
        <f>IF($A424&lt;&gt;0,VLOOKUP($A424,'0.Productos'!$A$3:$GG$587,'0.Productos'!BX$1+1,0),"")</f>
        <v/>
      </c>
      <c r="AG424" s="133" t="str">
        <f>IF($A424&lt;&gt;0,VLOOKUP($A424,'0.Productos'!$A$3:$GG$587,'0.Productos'!BY$1+1,0),"")</f>
        <v/>
      </c>
      <c r="AH424" s="133" t="str">
        <f>IF($A424&lt;&gt;0,VLOOKUP($A424,'0.Productos'!$A$3:$GG$587,'0.Productos'!BZ$1+1,0),"")</f>
        <v/>
      </c>
      <c r="AI424" s="133" t="str">
        <f>IF($A424&lt;&gt;0,VLOOKUP($A424,'0.Productos'!$A$3:$GG$587,'0.Productos'!CA$1+1,0),"")</f>
        <v/>
      </c>
      <c r="AJ424" s="133" t="str">
        <f>IF($A424&lt;&gt;0,VLOOKUP($A424,'0.Productos'!$A$3:$GG$587,'0.Productos'!CB$1+1,0),"")</f>
        <v/>
      </c>
      <c r="AK424" s="133" t="str">
        <f>IF($A424&lt;&gt;0,VLOOKUP($A424,'0.Productos'!$A$3:$GG$587,'0.Productos'!CC$1+1,0),"")</f>
        <v/>
      </c>
      <c r="AL424" s="133" t="str">
        <f>IF($A424&lt;&gt;0,VLOOKUP($A424,'0.Productos'!$A$3:$GG$587,'0.Productos'!CD$1+1,0),"")</f>
        <v/>
      </c>
      <c r="AM424" s="133" t="str">
        <f>IF($A424&lt;&gt;0,VLOOKUP($A424,'0.Productos'!$A$3:$GG$587,'0.Productos'!CE$1+1,0),"")</f>
        <v/>
      </c>
      <c r="AN424" s="133" t="str">
        <f>IF($A424&lt;&gt;0,VLOOKUP($A424,'0.Productos'!$A$3:$GG$587,'0.Productos'!CF$1+1,0),"")</f>
        <v/>
      </c>
      <c r="AO424" s="133" t="str">
        <f>IF($A424&lt;&gt;0,VLOOKUP($A424,'0.Productos'!$A$3:$GG$587,'0.Productos'!CG$1+1,0),"")</f>
        <v/>
      </c>
      <c r="AP424" s="133" t="str">
        <f>IF($A424&lt;&gt;0,VLOOKUP($A424,'0.Productos'!$A$3:$GG$587,'0.Productos'!CH$1+1,0),"")</f>
        <v/>
      </c>
      <c r="AQ424" s="133" t="str">
        <f>IF($A424&lt;&gt;0,VLOOKUP($A424,'0.Productos'!$A$3:$GG$587,'0.Productos'!CI$1+1,0),"")</f>
        <v/>
      </c>
      <c r="AR424" s="133" t="str">
        <f>IF($A424&lt;&gt;0,VLOOKUP($A424,'0.Productos'!$A$3:$GG$587,'0.Productos'!CJ$1+1,0),"")</f>
        <v/>
      </c>
      <c r="AS424" s="133" t="str">
        <f>IF($A424&lt;&gt;0,VLOOKUP($A424,'0.Productos'!$A$3:$GG$587,'0.Productos'!CK$1+1,0),"")</f>
        <v/>
      </c>
      <c r="AT424" s="133" t="str">
        <f>IF($A424&lt;&gt;0,VLOOKUP($A424,'0.Productos'!$A$3:$GG$587,'0.Productos'!CL$1+1,0),"")</f>
        <v/>
      </c>
      <c r="AU424" s="133" t="str">
        <f>IF($A424&lt;&gt;0,VLOOKUP($A424,'0.Productos'!$A$3:$GG$587,'0.Productos'!CM$1+1,0),"")</f>
        <v/>
      </c>
      <c r="AV424" s="133" t="str">
        <f>IF($A424&lt;&gt;0,VLOOKUP($A424,'0.Productos'!$A$3:$GG$587,'0.Productos'!CN$1+1,0),"")</f>
        <v/>
      </c>
      <c r="AW424" s="133" t="str">
        <f>IF($A424&lt;&gt;0,VLOOKUP($A424,'0.Productos'!$A$3:$GG$587,'0.Productos'!CO$1+1,0),"")</f>
        <v/>
      </c>
      <c r="AX424" s="133" t="str">
        <f>IF($A424&lt;&gt;0,VLOOKUP($A424,'0.Productos'!$A$3:$GG$587,'0.Productos'!CP$1+1,0),"")</f>
        <v/>
      </c>
      <c r="AY424" s="133" t="str">
        <f>IF($A424&lt;&gt;0,VLOOKUP($A424,'0.Productos'!$A$3:$GG$587,'0.Productos'!CQ$1+1,0),"")</f>
        <v/>
      </c>
      <c r="AZ424" s="133" t="str">
        <f>IF($A424&lt;&gt;0,VLOOKUP($A424,'0.Productos'!$A$3:$GG$587,'0.Productos'!CR$1+1,0),"")</f>
        <v/>
      </c>
      <c r="BA424" s="133" t="str">
        <f>IF($A424&lt;&gt;0,VLOOKUP($A424,'0.Productos'!$A$3:$GG$587,'0.Productos'!CS$1+1,0),"")</f>
        <v/>
      </c>
      <c r="BB424" s="133" t="str">
        <f>IF($A424&lt;&gt;0,VLOOKUP($A424,'0.Productos'!$A$3:$GG$587,'0.Productos'!CT$1+1,0),"")</f>
        <v/>
      </c>
      <c r="BC424" s="133" t="str">
        <f>IF($A424&lt;&gt;0,VLOOKUP($A424,'0.Productos'!$A$3:$GG$587,'0.Productos'!CU$1+1,0),"")</f>
        <v/>
      </c>
      <c r="BD424" s="133" t="str">
        <f>IF($A424&lt;&gt;0,VLOOKUP($A424,'0.Productos'!$A$3:$GG$587,'0.Productos'!CV$1+1,0),"")</f>
        <v/>
      </c>
      <c r="BE424" s="133" t="str">
        <f>IF($A424&lt;&gt;0,VLOOKUP($A424,'0.Productos'!$A$3:$GG$587,'0.Productos'!CW$1+1,0),"")</f>
        <v/>
      </c>
      <c r="BF424" s="133" t="str">
        <f>IF($A424&lt;&gt;0,VLOOKUP($A424,'0.Productos'!$A$3:$GG$587,'0.Productos'!CX$1+1,0),"")</f>
        <v/>
      </c>
      <c r="BG424" s="133" t="str">
        <f>IF($A424&lt;&gt;0,VLOOKUP($A424,'0.Productos'!$A$3:$GG$587,'0.Productos'!CY$1+1,0),"")</f>
        <v/>
      </c>
      <c r="BH424" s="133" t="str">
        <f>IF($A424&lt;&gt;0,VLOOKUP($A424,'0.Productos'!$A$3:$GG$587,'0.Productos'!CZ$1+1,0),"")</f>
        <v/>
      </c>
      <c r="BI424" s="133" t="str">
        <f>IF($A424&lt;&gt;0,VLOOKUP($A424,'0.Productos'!$A$3:$GG$587,'0.Productos'!DA$1+1,0),"")</f>
        <v/>
      </c>
      <c r="BJ424" s="133" t="str">
        <f>IF($A424&lt;&gt;0,VLOOKUP($A424,'0.Productos'!$A$3:$GG$587,'0.Productos'!DB$1+1,0),"")</f>
        <v/>
      </c>
      <c r="BK424" s="133" t="str">
        <f>IF($A424&lt;&gt;0,VLOOKUP($A424,'0.Productos'!$A$3:$GG$587,'0.Productos'!DC$1+1,0),"")</f>
        <v/>
      </c>
      <c r="BL424" s="133" t="str">
        <f>IF($A424&lt;&gt;0,VLOOKUP($A424,'0.Productos'!$A$3:$GG$587,'0.Productos'!DD$1+1,0),"")</f>
        <v/>
      </c>
      <c r="BM424" s="133" t="str">
        <f>IF($A424&lt;&gt;0,VLOOKUP($A424,'0.Productos'!$A$3:$GG$587,'0.Productos'!DE$1+1,0),"")</f>
        <v/>
      </c>
      <c r="BN424" s="133" t="str">
        <f>IF($A424&lt;&gt;0,VLOOKUP($A424,'0.Productos'!$A$3:$GG$587,'0.Productos'!DF$1+1,0),"")</f>
        <v/>
      </c>
      <c r="BO424" s="133" t="str">
        <f>IF($A424&lt;&gt;0,VLOOKUP($A424,'0.Productos'!$A$3:$GG$587,'0.Productos'!DG$1+1,0),"")</f>
        <v/>
      </c>
      <c r="BP424" s="133" t="str">
        <f>IF($A424&lt;&gt;0,VLOOKUP($A424,'0.Productos'!$A$3:$GG$587,'0.Productos'!DH$1+1,0),"")</f>
        <v/>
      </c>
      <c r="BQ424" s="133" t="str">
        <f>IF($A424&lt;&gt;0,VLOOKUP($A424,'0.Productos'!$A$3:$GG$587,'0.Productos'!DI$1+1,0),"")</f>
        <v/>
      </c>
      <c r="BR424" s="133" t="str">
        <f>IF($A424&lt;&gt;0,VLOOKUP($A424,'0.Productos'!$A$3:$GG$587,'0.Productos'!DJ$1+1,0),"")</f>
        <v/>
      </c>
      <c r="BS424" s="133" t="str">
        <f>IF($A424&lt;&gt;0,VLOOKUP($A424,'0.Productos'!$A$3:$GG$587,'0.Productos'!DK$1+1,0),"")</f>
        <v/>
      </c>
      <c r="BT424" s="133" t="str">
        <f>IF($A424&lt;&gt;0,VLOOKUP($A424,'0.Productos'!$A$3:$GG$587,'0.Productos'!DL$1+1,0),"")</f>
        <v/>
      </c>
    </row>
    <row r="425" spans="1:72" x14ac:dyDescent="0.25">
      <c r="A425" s="17">
        <f>'0.Consolidado general'!A425</f>
        <v>0</v>
      </c>
      <c r="B425" s="133" t="str">
        <f>IF($A425&lt;&gt;0,VLOOKUP($A425,'0.Productos'!$A$3:$GG$587,'0.Productos'!AT$1+1,0),"")</f>
        <v/>
      </c>
      <c r="C425" s="133" t="str">
        <f>IF($A425&lt;&gt;0,VLOOKUP($A425,'0.Productos'!$A$3:$GG$587,'0.Productos'!AU$1+1,0),"")</f>
        <v/>
      </c>
      <c r="D425" s="133" t="str">
        <f>IF($A425&lt;&gt;0,VLOOKUP($A425,'0.Productos'!$A$3:$GG$587,'0.Productos'!AV$1+1,0),"")</f>
        <v/>
      </c>
      <c r="E425" s="133" t="str">
        <f>IF($A425&lt;&gt;0,VLOOKUP($A425,'0.Productos'!$A$3:$GG$587,'0.Productos'!AW$1+1,0),"")</f>
        <v/>
      </c>
      <c r="F425" s="133" t="str">
        <f>IF($A425&lt;&gt;0,VLOOKUP($A425,'0.Productos'!$A$3:$GG$587,'0.Productos'!AX$1+1,0),"")</f>
        <v/>
      </c>
      <c r="G425" s="133" t="str">
        <f>IF($A425&lt;&gt;0,VLOOKUP($A425,'0.Productos'!$A$3:$GG$587,'0.Productos'!AY$1+1,0),"")</f>
        <v/>
      </c>
      <c r="H425" s="133" t="str">
        <f>IF($A425&lt;&gt;0,VLOOKUP($A425,'0.Productos'!$A$3:$GG$587,'0.Productos'!AZ$1+1,0),"")</f>
        <v/>
      </c>
      <c r="I425" s="133" t="str">
        <f>IF($A425&lt;&gt;0,VLOOKUP($A425,'0.Productos'!$A$3:$GG$587,'0.Productos'!BA$1+1,0),"")</f>
        <v/>
      </c>
      <c r="J425" s="133" t="str">
        <f>IF($A425&lt;&gt;0,VLOOKUP($A425,'0.Productos'!$A$3:$GG$587,'0.Productos'!BB$1+1,0),"")</f>
        <v/>
      </c>
      <c r="K425" s="133" t="str">
        <f>IF($A425&lt;&gt;0,VLOOKUP($A425,'0.Productos'!$A$3:$GG$587,'0.Productos'!BC$1+1,0),"")</f>
        <v/>
      </c>
      <c r="L425" s="133" t="str">
        <f>IF($A425&lt;&gt;0,VLOOKUP($A425,'0.Productos'!$A$3:$GG$587,'0.Productos'!BD$1+1,0),"")</f>
        <v/>
      </c>
      <c r="M425" s="133" t="str">
        <f>IF($A425&lt;&gt;0,VLOOKUP($A425,'0.Productos'!$A$3:$GG$587,'0.Productos'!BE$1+1,0),"")</f>
        <v/>
      </c>
      <c r="N425" s="133" t="str">
        <f>IF($A425&lt;&gt;0,VLOOKUP($A425,'0.Productos'!$A$3:$GG$587,'0.Productos'!BF$1+1,0),"")</f>
        <v/>
      </c>
      <c r="O425" s="133" t="str">
        <f>IF($A425&lt;&gt;0,VLOOKUP($A425,'0.Productos'!$A$3:$GG$587,'0.Productos'!BG$1+1,0),"")</f>
        <v/>
      </c>
      <c r="P425" s="133" t="str">
        <f>IF($A425&lt;&gt;0,VLOOKUP($A425,'0.Productos'!$A$3:$GG$587,'0.Productos'!BH$1+1,0),"")</f>
        <v/>
      </c>
      <c r="Q425" s="133" t="str">
        <f>IF($A425&lt;&gt;0,VLOOKUP($A425,'0.Productos'!$A$3:$GG$587,'0.Productos'!BI$1+1,0),"")</f>
        <v/>
      </c>
      <c r="R425" s="133" t="str">
        <f>IF($A425&lt;&gt;0,VLOOKUP($A425,'0.Productos'!$A$3:$GG$587,'0.Productos'!BJ$1+1,0),"")</f>
        <v/>
      </c>
      <c r="S425" s="133" t="str">
        <f>IF($A425&lt;&gt;0,VLOOKUP($A425,'0.Productos'!$A$3:$GG$587,'0.Productos'!BK$1+1,0),"")</f>
        <v/>
      </c>
      <c r="T425" s="133" t="str">
        <f>IF($A425&lt;&gt;0,VLOOKUP($A425,'0.Productos'!$A$3:$GG$587,'0.Productos'!BL$1+1,0),"")</f>
        <v/>
      </c>
      <c r="U425" s="133" t="str">
        <f>IF($A425&lt;&gt;0,VLOOKUP($A425,'0.Productos'!$A$3:$GG$587,'0.Productos'!BM$1+1,0),"")</f>
        <v/>
      </c>
      <c r="V425" s="133" t="str">
        <f>IF($A425&lt;&gt;0,VLOOKUP($A425,'0.Productos'!$A$3:$GG$587,'0.Productos'!BN$1+1,0),"")</f>
        <v/>
      </c>
      <c r="W425" s="133" t="str">
        <f>IF($A425&lt;&gt;0,VLOOKUP($A425,'0.Productos'!$A$3:$GG$587,'0.Productos'!BO$1+1,0),"")</f>
        <v/>
      </c>
      <c r="X425" s="133" t="str">
        <f>IF($A425&lt;&gt;0,VLOOKUP($A425,'0.Productos'!$A$3:$GG$587,'0.Productos'!BP$1+1,0),"")</f>
        <v/>
      </c>
      <c r="Y425" s="133" t="str">
        <f>IF($A425&lt;&gt;0,VLOOKUP($A425,'0.Productos'!$A$3:$GG$587,'0.Productos'!BQ$1+1,0),"")</f>
        <v/>
      </c>
      <c r="Z425" s="133" t="str">
        <f>IF($A425&lt;&gt;0,VLOOKUP($A425,'0.Productos'!$A$3:$GG$587,'0.Productos'!BR$1+1,0),"")</f>
        <v/>
      </c>
      <c r="AA425" s="133" t="str">
        <f>IF($A425&lt;&gt;0,VLOOKUP($A425,'0.Productos'!$A$3:$GG$587,'0.Productos'!BS$1+1,0),"")</f>
        <v/>
      </c>
      <c r="AB425" s="133" t="str">
        <f>IF($A425&lt;&gt;0,VLOOKUP($A425,'0.Productos'!$A$3:$GG$587,'0.Productos'!BT$1+1,0),"")</f>
        <v/>
      </c>
      <c r="AC425" s="133" t="str">
        <f>IF($A425&lt;&gt;0,VLOOKUP($A425,'0.Productos'!$A$3:$GG$587,'0.Productos'!BU$1+1,0),"")</f>
        <v/>
      </c>
      <c r="AD425" s="133" t="str">
        <f>IF($A425&lt;&gt;0,VLOOKUP($A425,'0.Productos'!$A$3:$GG$587,'0.Productos'!BV$1+1,0),"")</f>
        <v/>
      </c>
      <c r="AE425" s="133" t="str">
        <f>IF($A425&lt;&gt;0,VLOOKUP($A425,'0.Productos'!$A$3:$GG$587,'0.Productos'!BW$1+1,0),"")</f>
        <v/>
      </c>
      <c r="AF425" s="133" t="str">
        <f>IF($A425&lt;&gt;0,VLOOKUP($A425,'0.Productos'!$A$3:$GG$587,'0.Productos'!BX$1+1,0),"")</f>
        <v/>
      </c>
      <c r="AG425" s="133" t="str">
        <f>IF($A425&lt;&gt;0,VLOOKUP($A425,'0.Productos'!$A$3:$GG$587,'0.Productos'!BY$1+1,0),"")</f>
        <v/>
      </c>
      <c r="AH425" s="133" t="str">
        <f>IF($A425&lt;&gt;0,VLOOKUP($A425,'0.Productos'!$A$3:$GG$587,'0.Productos'!BZ$1+1,0),"")</f>
        <v/>
      </c>
      <c r="AI425" s="133" t="str">
        <f>IF($A425&lt;&gt;0,VLOOKUP($A425,'0.Productos'!$A$3:$GG$587,'0.Productos'!CA$1+1,0),"")</f>
        <v/>
      </c>
      <c r="AJ425" s="133" t="str">
        <f>IF($A425&lt;&gt;0,VLOOKUP($A425,'0.Productos'!$A$3:$GG$587,'0.Productos'!CB$1+1,0),"")</f>
        <v/>
      </c>
      <c r="AK425" s="133" t="str">
        <f>IF($A425&lt;&gt;0,VLOOKUP($A425,'0.Productos'!$A$3:$GG$587,'0.Productos'!CC$1+1,0),"")</f>
        <v/>
      </c>
      <c r="AL425" s="133" t="str">
        <f>IF($A425&lt;&gt;0,VLOOKUP($A425,'0.Productos'!$A$3:$GG$587,'0.Productos'!CD$1+1,0),"")</f>
        <v/>
      </c>
      <c r="AM425" s="133" t="str">
        <f>IF($A425&lt;&gt;0,VLOOKUP($A425,'0.Productos'!$A$3:$GG$587,'0.Productos'!CE$1+1,0),"")</f>
        <v/>
      </c>
      <c r="AN425" s="133" t="str">
        <f>IF($A425&lt;&gt;0,VLOOKUP($A425,'0.Productos'!$A$3:$GG$587,'0.Productos'!CF$1+1,0),"")</f>
        <v/>
      </c>
      <c r="AO425" s="133" t="str">
        <f>IF($A425&lt;&gt;0,VLOOKUP($A425,'0.Productos'!$A$3:$GG$587,'0.Productos'!CG$1+1,0),"")</f>
        <v/>
      </c>
      <c r="AP425" s="133" t="str">
        <f>IF($A425&lt;&gt;0,VLOOKUP($A425,'0.Productos'!$A$3:$GG$587,'0.Productos'!CH$1+1,0),"")</f>
        <v/>
      </c>
      <c r="AQ425" s="133" t="str">
        <f>IF($A425&lt;&gt;0,VLOOKUP($A425,'0.Productos'!$A$3:$GG$587,'0.Productos'!CI$1+1,0),"")</f>
        <v/>
      </c>
      <c r="AR425" s="133" t="str">
        <f>IF($A425&lt;&gt;0,VLOOKUP($A425,'0.Productos'!$A$3:$GG$587,'0.Productos'!CJ$1+1,0),"")</f>
        <v/>
      </c>
      <c r="AS425" s="133" t="str">
        <f>IF($A425&lt;&gt;0,VLOOKUP($A425,'0.Productos'!$A$3:$GG$587,'0.Productos'!CK$1+1,0),"")</f>
        <v/>
      </c>
      <c r="AT425" s="133" t="str">
        <f>IF($A425&lt;&gt;0,VLOOKUP($A425,'0.Productos'!$A$3:$GG$587,'0.Productos'!CL$1+1,0),"")</f>
        <v/>
      </c>
      <c r="AU425" s="133" t="str">
        <f>IF($A425&lt;&gt;0,VLOOKUP($A425,'0.Productos'!$A$3:$GG$587,'0.Productos'!CM$1+1,0),"")</f>
        <v/>
      </c>
      <c r="AV425" s="133" t="str">
        <f>IF($A425&lt;&gt;0,VLOOKUP($A425,'0.Productos'!$A$3:$GG$587,'0.Productos'!CN$1+1,0),"")</f>
        <v/>
      </c>
      <c r="AW425" s="133" t="str">
        <f>IF($A425&lt;&gt;0,VLOOKUP($A425,'0.Productos'!$A$3:$GG$587,'0.Productos'!CO$1+1,0),"")</f>
        <v/>
      </c>
      <c r="AX425" s="133" t="str">
        <f>IF($A425&lt;&gt;0,VLOOKUP($A425,'0.Productos'!$A$3:$GG$587,'0.Productos'!CP$1+1,0),"")</f>
        <v/>
      </c>
      <c r="AY425" s="133" t="str">
        <f>IF($A425&lt;&gt;0,VLOOKUP($A425,'0.Productos'!$A$3:$GG$587,'0.Productos'!CQ$1+1,0),"")</f>
        <v/>
      </c>
      <c r="AZ425" s="133" t="str">
        <f>IF($A425&lt;&gt;0,VLOOKUP($A425,'0.Productos'!$A$3:$GG$587,'0.Productos'!CR$1+1,0),"")</f>
        <v/>
      </c>
      <c r="BA425" s="133" t="str">
        <f>IF($A425&lt;&gt;0,VLOOKUP($A425,'0.Productos'!$A$3:$GG$587,'0.Productos'!CS$1+1,0),"")</f>
        <v/>
      </c>
      <c r="BB425" s="133" t="str">
        <f>IF($A425&lt;&gt;0,VLOOKUP($A425,'0.Productos'!$A$3:$GG$587,'0.Productos'!CT$1+1,0),"")</f>
        <v/>
      </c>
      <c r="BC425" s="133" t="str">
        <f>IF($A425&lt;&gt;0,VLOOKUP($A425,'0.Productos'!$A$3:$GG$587,'0.Productos'!CU$1+1,0),"")</f>
        <v/>
      </c>
      <c r="BD425" s="133" t="str">
        <f>IF($A425&lt;&gt;0,VLOOKUP($A425,'0.Productos'!$A$3:$GG$587,'0.Productos'!CV$1+1,0),"")</f>
        <v/>
      </c>
      <c r="BE425" s="133" t="str">
        <f>IF($A425&lt;&gt;0,VLOOKUP($A425,'0.Productos'!$A$3:$GG$587,'0.Productos'!CW$1+1,0),"")</f>
        <v/>
      </c>
      <c r="BF425" s="133" t="str">
        <f>IF($A425&lt;&gt;0,VLOOKUP($A425,'0.Productos'!$A$3:$GG$587,'0.Productos'!CX$1+1,0),"")</f>
        <v/>
      </c>
      <c r="BG425" s="133" t="str">
        <f>IF($A425&lt;&gt;0,VLOOKUP($A425,'0.Productos'!$A$3:$GG$587,'0.Productos'!CY$1+1,0),"")</f>
        <v/>
      </c>
      <c r="BH425" s="133" t="str">
        <f>IF($A425&lt;&gt;0,VLOOKUP($A425,'0.Productos'!$A$3:$GG$587,'0.Productos'!CZ$1+1,0),"")</f>
        <v/>
      </c>
      <c r="BI425" s="133" t="str">
        <f>IF($A425&lt;&gt;0,VLOOKUP($A425,'0.Productos'!$A$3:$GG$587,'0.Productos'!DA$1+1,0),"")</f>
        <v/>
      </c>
      <c r="BJ425" s="133" t="str">
        <f>IF($A425&lt;&gt;0,VLOOKUP($A425,'0.Productos'!$A$3:$GG$587,'0.Productos'!DB$1+1,0),"")</f>
        <v/>
      </c>
      <c r="BK425" s="133" t="str">
        <f>IF($A425&lt;&gt;0,VLOOKUP($A425,'0.Productos'!$A$3:$GG$587,'0.Productos'!DC$1+1,0),"")</f>
        <v/>
      </c>
      <c r="BL425" s="133" t="str">
        <f>IF($A425&lt;&gt;0,VLOOKUP($A425,'0.Productos'!$A$3:$GG$587,'0.Productos'!DD$1+1,0),"")</f>
        <v/>
      </c>
      <c r="BM425" s="133" t="str">
        <f>IF($A425&lt;&gt;0,VLOOKUP($A425,'0.Productos'!$A$3:$GG$587,'0.Productos'!DE$1+1,0),"")</f>
        <v/>
      </c>
      <c r="BN425" s="133" t="str">
        <f>IF($A425&lt;&gt;0,VLOOKUP($A425,'0.Productos'!$A$3:$GG$587,'0.Productos'!DF$1+1,0),"")</f>
        <v/>
      </c>
      <c r="BO425" s="133" t="str">
        <f>IF($A425&lt;&gt;0,VLOOKUP($A425,'0.Productos'!$A$3:$GG$587,'0.Productos'!DG$1+1,0),"")</f>
        <v/>
      </c>
      <c r="BP425" s="133" t="str">
        <f>IF($A425&lt;&gt;0,VLOOKUP($A425,'0.Productos'!$A$3:$GG$587,'0.Productos'!DH$1+1,0),"")</f>
        <v/>
      </c>
      <c r="BQ425" s="133" t="str">
        <f>IF($A425&lt;&gt;0,VLOOKUP($A425,'0.Productos'!$A$3:$GG$587,'0.Productos'!DI$1+1,0),"")</f>
        <v/>
      </c>
      <c r="BR425" s="133" t="str">
        <f>IF($A425&lt;&gt;0,VLOOKUP($A425,'0.Productos'!$A$3:$GG$587,'0.Productos'!DJ$1+1,0),"")</f>
        <v/>
      </c>
      <c r="BS425" s="133" t="str">
        <f>IF($A425&lt;&gt;0,VLOOKUP($A425,'0.Productos'!$A$3:$GG$587,'0.Productos'!DK$1+1,0),"")</f>
        <v/>
      </c>
      <c r="BT425" s="133" t="str">
        <f>IF($A425&lt;&gt;0,VLOOKUP($A425,'0.Productos'!$A$3:$GG$587,'0.Productos'!DL$1+1,0),"")</f>
        <v/>
      </c>
    </row>
    <row r="426" spans="1:72" x14ac:dyDescent="0.25">
      <c r="A426" s="17">
        <f>'0.Consolidado general'!A426</f>
        <v>0</v>
      </c>
      <c r="B426" s="133" t="str">
        <f>IF($A426&lt;&gt;0,VLOOKUP($A426,'0.Productos'!$A$3:$GG$587,'0.Productos'!AT$1+1,0),"")</f>
        <v/>
      </c>
      <c r="C426" s="133" t="str">
        <f>IF($A426&lt;&gt;0,VLOOKUP($A426,'0.Productos'!$A$3:$GG$587,'0.Productos'!AU$1+1,0),"")</f>
        <v/>
      </c>
      <c r="D426" s="133" t="str">
        <f>IF($A426&lt;&gt;0,VLOOKUP($A426,'0.Productos'!$A$3:$GG$587,'0.Productos'!AV$1+1,0),"")</f>
        <v/>
      </c>
      <c r="E426" s="133" t="str">
        <f>IF($A426&lt;&gt;0,VLOOKUP($A426,'0.Productos'!$A$3:$GG$587,'0.Productos'!AW$1+1,0),"")</f>
        <v/>
      </c>
      <c r="F426" s="133" t="str">
        <f>IF($A426&lt;&gt;0,VLOOKUP($A426,'0.Productos'!$A$3:$GG$587,'0.Productos'!AX$1+1,0),"")</f>
        <v/>
      </c>
      <c r="G426" s="133" t="str">
        <f>IF($A426&lt;&gt;0,VLOOKUP($A426,'0.Productos'!$A$3:$GG$587,'0.Productos'!AY$1+1,0),"")</f>
        <v/>
      </c>
      <c r="H426" s="133" t="str">
        <f>IF($A426&lt;&gt;0,VLOOKUP($A426,'0.Productos'!$A$3:$GG$587,'0.Productos'!AZ$1+1,0),"")</f>
        <v/>
      </c>
      <c r="I426" s="133" t="str">
        <f>IF($A426&lt;&gt;0,VLOOKUP($A426,'0.Productos'!$A$3:$GG$587,'0.Productos'!BA$1+1,0),"")</f>
        <v/>
      </c>
      <c r="J426" s="133" t="str">
        <f>IF($A426&lt;&gt;0,VLOOKUP($A426,'0.Productos'!$A$3:$GG$587,'0.Productos'!BB$1+1,0),"")</f>
        <v/>
      </c>
      <c r="K426" s="133" t="str">
        <f>IF($A426&lt;&gt;0,VLOOKUP($A426,'0.Productos'!$A$3:$GG$587,'0.Productos'!BC$1+1,0),"")</f>
        <v/>
      </c>
      <c r="L426" s="133" t="str">
        <f>IF($A426&lt;&gt;0,VLOOKUP($A426,'0.Productos'!$A$3:$GG$587,'0.Productos'!BD$1+1,0),"")</f>
        <v/>
      </c>
      <c r="M426" s="133" t="str">
        <f>IF($A426&lt;&gt;0,VLOOKUP($A426,'0.Productos'!$A$3:$GG$587,'0.Productos'!BE$1+1,0),"")</f>
        <v/>
      </c>
      <c r="N426" s="133" t="str">
        <f>IF($A426&lt;&gt;0,VLOOKUP($A426,'0.Productos'!$A$3:$GG$587,'0.Productos'!BF$1+1,0),"")</f>
        <v/>
      </c>
      <c r="O426" s="133" t="str">
        <f>IF($A426&lt;&gt;0,VLOOKUP($A426,'0.Productos'!$A$3:$GG$587,'0.Productos'!BG$1+1,0),"")</f>
        <v/>
      </c>
      <c r="P426" s="133" t="str">
        <f>IF($A426&lt;&gt;0,VLOOKUP($A426,'0.Productos'!$A$3:$GG$587,'0.Productos'!BH$1+1,0),"")</f>
        <v/>
      </c>
      <c r="Q426" s="133" t="str">
        <f>IF($A426&lt;&gt;0,VLOOKUP($A426,'0.Productos'!$A$3:$GG$587,'0.Productos'!BI$1+1,0),"")</f>
        <v/>
      </c>
      <c r="R426" s="133" t="str">
        <f>IF($A426&lt;&gt;0,VLOOKUP($A426,'0.Productos'!$A$3:$GG$587,'0.Productos'!BJ$1+1,0),"")</f>
        <v/>
      </c>
      <c r="S426" s="133" t="str">
        <f>IF($A426&lt;&gt;0,VLOOKUP($A426,'0.Productos'!$A$3:$GG$587,'0.Productos'!BK$1+1,0),"")</f>
        <v/>
      </c>
      <c r="T426" s="133" t="str">
        <f>IF($A426&lt;&gt;0,VLOOKUP($A426,'0.Productos'!$A$3:$GG$587,'0.Productos'!BL$1+1,0),"")</f>
        <v/>
      </c>
      <c r="U426" s="133" t="str">
        <f>IF($A426&lt;&gt;0,VLOOKUP($A426,'0.Productos'!$A$3:$GG$587,'0.Productos'!BM$1+1,0),"")</f>
        <v/>
      </c>
      <c r="V426" s="133" t="str">
        <f>IF($A426&lt;&gt;0,VLOOKUP($A426,'0.Productos'!$A$3:$GG$587,'0.Productos'!BN$1+1,0),"")</f>
        <v/>
      </c>
      <c r="W426" s="133" t="str">
        <f>IF($A426&lt;&gt;0,VLOOKUP($A426,'0.Productos'!$A$3:$GG$587,'0.Productos'!BO$1+1,0),"")</f>
        <v/>
      </c>
      <c r="X426" s="133" t="str">
        <f>IF($A426&lt;&gt;0,VLOOKUP($A426,'0.Productos'!$A$3:$GG$587,'0.Productos'!BP$1+1,0),"")</f>
        <v/>
      </c>
      <c r="Y426" s="133" t="str">
        <f>IF($A426&lt;&gt;0,VLOOKUP($A426,'0.Productos'!$A$3:$GG$587,'0.Productos'!BQ$1+1,0),"")</f>
        <v/>
      </c>
      <c r="Z426" s="133" t="str">
        <f>IF($A426&lt;&gt;0,VLOOKUP($A426,'0.Productos'!$A$3:$GG$587,'0.Productos'!BR$1+1,0),"")</f>
        <v/>
      </c>
      <c r="AA426" s="133" t="str">
        <f>IF($A426&lt;&gt;0,VLOOKUP($A426,'0.Productos'!$A$3:$GG$587,'0.Productos'!BS$1+1,0),"")</f>
        <v/>
      </c>
      <c r="AB426" s="133" t="str">
        <f>IF($A426&lt;&gt;0,VLOOKUP($A426,'0.Productos'!$A$3:$GG$587,'0.Productos'!BT$1+1,0),"")</f>
        <v/>
      </c>
      <c r="AC426" s="133" t="str">
        <f>IF($A426&lt;&gt;0,VLOOKUP($A426,'0.Productos'!$A$3:$GG$587,'0.Productos'!BU$1+1,0),"")</f>
        <v/>
      </c>
      <c r="AD426" s="133" t="str">
        <f>IF($A426&lt;&gt;0,VLOOKUP($A426,'0.Productos'!$A$3:$GG$587,'0.Productos'!BV$1+1,0),"")</f>
        <v/>
      </c>
      <c r="AE426" s="133" t="str">
        <f>IF($A426&lt;&gt;0,VLOOKUP($A426,'0.Productos'!$A$3:$GG$587,'0.Productos'!BW$1+1,0),"")</f>
        <v/>
      </c>
      <c r="AF426" s="133" t="str">
        <f>IF($A426&lt;&gt;0,VLOOKUP($A426,'0.Productos'!$A$3:$GG$587,'0.Productos'!BX$1+1,0),"")</f>
        <v/>
      </c>
      <c r="AG426" s="133" t="str">
        <f>IF($A426&lt;&gt;0,VLOOKUP($A426,'0.Productos'!$A$3:$GG$587,'0.Productos'!BY$1+1,0),"")</f>
        <v/>
      </c>
      <c r="AH426" s="133" t="str">
        <f>IF($A426&lt;&gt;0,VLOOKUP($A426,'0.Productos'!$A$3:$GG$587,'0.Productos'!BZ$1+1,0),"")</f>
        <v/>
      </c>
      <c r="AI426" s="133" t="str">
        <f>IF($A426&lt;&gt;0,VLOOKUP($A426,'0.Productos'!$A$3:$GG$587,'0.Productos'!CA$1+1,0),"")</f>
        <v/>
      </c>
      <c r="AJ426" s="133" t="str">
        <f>IF($A426&lt;&gt;0,VLOOKUP($A426,'0.Productos'!$A$3:$GG$587,'0.Productos'!CB$1+1,0),"")</f>
        <v/>
      </c>
      <c r="AK426" s="133" t="str">
        <f>IF($A426&lt;&gt;0,VLOOKUP($A426,'0.Productos'!$A$3:$GG$587,'0.Productos'!CC$1+1,0),"")</f>
        <v/>
      </c>
      <c r="AL426" s="133" t="str">
        <f>IF($A426&lt;&gt;0,VLOOKUP($A426,'0.Productos'!$A$3:$GG$587,'0.Productos'!CD$1+1,0),"")</f>
        <v/>
      </c>
      <c r="AM426" s="133" t="str">
        <f>IF($A426&lt;&gt;0,VLOOKUP($A426,'0.Productos'!$A$3:$GG$587,'0.Productos'!CE$1+1,0),"")</f>
        <v/>
      </c>
      <c r="AN426" s="133" t="str">
        <f>IF($A426&lt;&gt;0,VLOOKUP($A426,'0.Productos'!$A$3:$GG$587,'0.Productos'!CF$1+1,0),"")</f>
        <v/>
      </c>
      <c r="AO426" s="133" t="str">
        <f>IF($A426&lt;&gt;0,VLOOKUP($A426,'0.Productos'!$A$3:$GG$587,'0.Productos'!CG$1+1,0),"")</f>
        <v/>
      </c>
      <c r="AP426" s="133" t="str">
        <f>IF($A426&lt;&gt;0,VLOOKUP($A426,'0.Productos'!$A$3:$GG$587,'0.Productos'!CH$1+1,0),"")</f>
        <v/>
      </c>
      <c r="AQ426" s="133" t="str">
        <f>IF($A426&lt;&gt;0,VLOOKUP($A426,'0.Productos'!$A$3:$GG$587,'0.Productos'!CI$1+1,0),"")</f>
        <v/>
      </c>
      <c r="AR426" s="133" t="str">
        <f>IF($A426&lt;&gt;0,VLOOKUP($A426,'0.Productos'!$A$3:$GG$587,'0.Productos'!CJ$1+1,0),"")</f>
        <v/>
      </c>
      <c r="AS426" s="133" t="str">
        <f>IF($A426&lt;&gt;0,VLOOKUP($A426,'0.Productos'!$A$3:$GG$587,'0.Productos'!CK$1+1,0),"")</f>
        <v/>
      </c>
      <c r="AT426" s="133" t="str">
        <f>IF($A426&lt;&gt;0,VLOOKUP($A426,'0.Productos'!$A$3:$GG$587,'0.Productos'!CL$1+1,0),"")</f>
        <v/>
      </c>
      <c r="AU426" s="133" t="str">
        <f>IF($A426&lt;&gt;0,VLOOKUP($A426,'0.Productos'!$A$3:$GG$587,'0.Productos'!CM$1+1,0),"")</f>
        <v/>
      </c>
      <c r="AV426" s="133" t="str">
        <f>IF($A426&lt;&gt;0,VLOOKUP($A426,'0.Productos'!$A$3:$GG$587,'0.Productos'!CN$1+1,0),"")</f>
        <v/>
      </c>
      <c r="AW426" s="133" t="str">
        <f>IF($A426&lt;&gt;0,VLOOKUP($A426,'0.Productos'!$A$3:$GG$587,'0.Productos'!CO$1+1,0),"")</f>
        <v/>
      </c>
      <c r="AX426" s="133" t="str">
        <f>IF($A426&lt;&gt;0,VLOOKUP($A426,'0.Productos'!$A$3:$GG$587,'0.Productos'!CP$1+1,0),"")</f>
        <v/>
      </c>
      <c r="AY426" s="133" t="str">
        <f>IF($A426&lt;&gt;0,VLOOKUP($A426,'0.Productos'!$A$3:$GG$587,'0.Productos'!CQ$1+1,0),"")</f>
        <v/>
      </c>
      <c r="AZ426" s="133" t="str">
        <f>IF($A426&lt;&gt;0,VLOOKUP($A426,'0.Productos'!$A$3:$GG$587,'0.Productos'!CR$1+1,0),"")</f>
        <v/>
      </c>
      <c r="BA426" s="133" t="str">
        <f>IF($A426&lt;&gt;0,VLOOKUP($A426,'0.Productos'!$A$3:$GG$587,'0.Productos'!CS$1+1,0),"")</f>
        <v/>
      </c>
      <c r="BB426" s="133" t="str">
        <f>IF($A426&lt;&gt;0,VLOOKUP($A426,'0.Productos'!$A$3:$GG$587,'0.Productos'!CT$1+1,0),"")</f>
        <v/>
      </c>
      <c r="BC426" s="133" t="str">
        <f>IF($A426&lt;&gt;0,VLOOKUP($A426,'0.Productos'!$A$3:$GG$587,'0.Productos'!CU$1+1,0),"")</f>
        <v/>
      </c>
      <c r="BD426" s="133" t="str">
        <f>IF($A426&lt;&gt;0,VLOOKUP($A426,'0.Productos'!$A$3:$GG$587,'0.Productos'!CV$1+1,0),"")</f>
        <v/>
      </c>
      <c r="BE426" s="133" t="str">
        <f>IF($A426&lt;&gt;0,VLOOKUP($A426,'0.Productos'!$A$3:$GG$587,'0.Productos'!CW$1+1,0),"")</f>
        <v/>
      </c>
      <c r="BF426" s="133" t="str">
        <f>IF($A426&lt;&gt;0,VLOOKUP($A426,'0.Productos'!$A$3:$GG$587,'0.Productos'!CX$1+1,0),"")</f>
        <v/>
      </c>
      <c r="BG426" s="133" t="str">
        <f>IF($A426&lt;&gt;0,VLOOKUP($A426,'0.Productos'!$A$3:$GG$587,'0.Productos'!CY$1+1,0),"")</f>
        <v/>
      </c>
      <c r="BH426" s="133" t="str">
        <f>IF($A426&lt;&gt;0,VLOOKUP($A426,'0.Productos'!$A$3:$GG$587,'0.Productos'!CZ$1+1,0),"")</f>
        <v/>
      </c>
      <c r="BI426" s="133" t="str">
        <f>IF($A426&lt;&gt;0,VLOOKUP($A426,'0.Productos'!$A$3:$GG$587,'0.Productos'!DA$1+1,0),"")</f>
        <v/>
      </c>
      <c r="BJ426" s="133" t="str">
        <f>IF($A426&lt;&gt;0,VLOOKUP($A426,'0.Productos'!$A$3:$GG$587,'0.Productos'!DB$1+1,0),"")</f>
        <v/>
      </c>
      <c r="BK426" s="133" t="str">
        <f>IF($A426&lt;&gt;0,VLOOKUP($A426,'0.Productos'!$A$3:$GG$587,'0.Productos'!DC$1+1,0),"")</f>
        <v/>
      </c>
      <c r="BL426" s="133" t="str">
        <f>IF($A426&lt;&gt;0,VLOOKUP($A426,'0.Productos'!$A$3:$GG$587,'0.Productos'!DD$1+1,0),"")</f>
        <v/>
      </c>
      <c r="BM426" s="133" t="str">
        <f>IF($A426&lt;&gt;0,VLOOKUP($A426,'0.Productos'!$A$3:$GG$587,'0.Productos'!DE$1+1,0),"")</f>
        <v/>
      </c>
      <c r="BN426" s="133" t="str">
        <f>IF($A426&lt;&gt;0,VLOOKUP($A426,'0.Productos'!$A$3:$GG$587,'0.Productos'!DF$1+1,0),"")</f>
        <v/>
      </c>
      <c r="BO426" s="133" t="str">
        <f>IF($A426&lt;&gt;0,VLOOKUP($A426,'0.Productos'!$A$3:$GG$587,'0.Productos'!DG$1+1,0),"")</f>
        <v/>
      </c>
      <c r="BP426" s="133" t="str">
        <f>IF($A426&lt;&gt;0,VLOOKUP($A426,'0.Productos'!$A$3:$GG$587,'0.Productos'!DH$1+1,0),"")</f>
        <v/>
      </c>
      <c r="BQ426" s="133" t="str">
        <f>IF($A426&lt;&gt;0,VLOOKUP($A426,'0.Productos'!$A$3:$GG$587,'0.Productos'!DI$1+1,0),"")</f>
        <v/>
      </c>
      <c r="BR426" s="133" t="str">
        <f>IF($A426&lt;&gt;0,VLOOKUP($A426,'0.Productos'!$A$3:$GG$587,'0.Productos'!DJ$1+1,0),"")</f>
        <v/>
      </c>
      <c r="BS426" s="133" t="str">
        <f>IF($A426&lt;&gt;0,VLOOKUP($A426,'0.Productos'!$A$3:$GG$587,'0.Productos'!DK$1+1,0),"")</f>
        <v/>
      </c>
      <c r="BT426" s="133" t="str">
        <f>IF($A426&lt;&gt;0,VLOOKUP($A426,'0.Productos'!$A$3:$GG$587,'0.Productos'!DL$1+1,0),"")</f>
        <v/>
      </c>
    </row>
    <row r="427" spans="1:72" x14ac:dyDescent="0.25">
      <c r="A427" s="17">
        <f>'0.Consolidado general'!A427</f>
        <v>0</v>
      </c>
      <c r="B427" s="133" t="str">
        <f>IF($A427&lt;&gt;0,VLOOKUP($A427,'0.Productos'!$A$3:$GG$587,'0.Productos'!AT$1+1,0),"")</f>
        <v/>
      </c>
      <c r="C427" s="133" t="str">
        <f>IF($A427&lt;&gt;0,VLOOKUP($A427,'0.Productos'!$A$3:$GG$587,'0.Productos'!AU$1+1,0),"")</f>
        <v/>
      </c>
      <c r="D427" s="133" t="str">
        <f>IF($A427&lt;&gt;0,VLOOKUP($A427,'0.Productos'!$A$3:$GG$587,'0.Productos'!AV$1+1,0),"")</f>
        <v/>
      </c>
      <c r="E427" s="133" t="str">
        <f>IF($A427&lt;&gt;0,VLOOKUP($A427,'0.Productos'!$A$3:$GG$587,'0.Productos'!AW$1+1,0),"")</f>
        <v/>
      </c>
      <c r="F427" s="133" t="str">
        <f>IF($A427&lt;&gt;0,VLOOKUP($A427,'0.Productos'!$A$3:$GG$587,'0.Productos'!AX$1+1,0),"")</f>
        <v/>
      </c>
      <c r="G427" s="133" t="str">
        <f>IF($A427&lt;&gt;0,VLOOKUP($A427,'0.Productos'!$A$3:$GG$587,'0.Productos'!AY$1+1,0),"")</f>
        <v/>
      </c>
      <c r="H427" s="133" t="str">
        <f>IF($A427&lt;&gt;0,VLOOKUP($A427,'0.Productos'!$A$3:$GG$587,'0.Productos'!AZ$1+1,0),"")</f>
        <v/>
      </c>
      <c r="I427" s="133" t="str">
        <f>IF($A427&lt;&gt;0,VLOOKUP($A427,'0.Productos'!$A$3:$GG$587,'0.Productos'!BA$1+1,0),"")</f>
        <v/>
      </c>
      <c r="J427" s="133" t="str">
        <f>IF($A427&lt;&gt;0,VLOOKUP($A427,'0.Productos'!$A$3:$GG$587,'0.Productos'!BB$1+1,0),"")</f>
        <v/>
      </c>
      <c r="K427" s="133" t="str">
        <f>IF($A427&lt;&gt;0,VLOOKUP($A427,'0.Productos'!$A$3:$GG$587,'0.Productos'!BC$1+1,0),"")</f>
        <v/>
      </c>
      <c r="L427" s="133" t="str">
        <f>IF($A427&lt;&gt;0,VLOOKUP($A427,'0.Productos'!$A$3:$GG$587,'0.Productos'!BD$1+1,0),"")</f>
        <v/>
      </c>
      <c r="M427" s="133" t="str">
        <f>IF($A427&lt;&gt;0,VLOOKUP($A427,'0.Productos'!$A$3:$GG$587,'0.Productos'!BE$1+1,0),"")</f>
        <v/>
      </c>
      <c r="N427" s="133" t="str">
        <f>IF($A427&lt;&gt;0,VLOOKUP($A427,'0.Productos'!$A$3:$GG$587,'0.Productos'!BF$1+1,0),"")</f>
        <v/>
      </c>
      <c r="O427" s="133" t="str">
        <f>IF($A427&lt;&gt;0,VLOOKUP($A427,'0.Productos'!$A$3:$GG$587,'0.Productos'!BG$1+1,0),"")</f>
        <v/>
      </c>
      <c r="P427" s="133" t="str">
        <f>IF($A427&lt;&gt;0,VLOOKUP($A427,'0.Productos'!$A$3:$GG$587,'0.Productos'!BH$1+1,0),"")</f>
        <v/>
      </c>
      <c r="Q427" s="133" t="str">
        <f>IF($A427&lt;&gt;0,VLOOKUP($A427,'0.Productos'!$A$3:$GG$587,'0.Productos'!BI$1+1,0),"")</f>
        <v/>
      </c>
      <c r="R427" s="133" t="str">
        <f>IF($A427&lt;&gt;0,VLOOKUP($A427,'0.Productos'!$A$3:$GG$587,'0.Productos'!BJ$1+1,0),"")</f>
        <v/>
      </c>
      <c r="S427" s="133" t="str">
        <f>IF($A427&lt;&gt;0,VLOOKUP($A427,'0.Productos'!$A$3:$GG$587,'0.Productos'!BK$1+1,0),"")</f>
        <v/>
      </c>
      <c r="T427" s="133" t="str">
        <f>IF($A427&lt;&gt;0,VLOOKUP($A427,'0.Productos'!$A$3:$GG$587,'0.Productos'!BL$1+1,0),"")</f>
        <v/>
      </c>
      <c r="U427" s="133" t="str">
        <f>IF($A427&lt;&gt;0,VLOOKUP($A427,'0.Productos'!$A$3:$GG$587,'0.Productos'!BM$1+1,0),"")</f>
        <v/>
      </c>
      <c r="V427" s="133" t="str">
        <f>IF($A427&lt;&gt;0,VLOOKUP($A427,'0.Productos'!$A$3:$GG$587,'0.Productos'!BN$1+1,0),"")</f>
        <v/>
      </c>
      <c r="W427" s="133" t="str">
        <f>IF($A427&lt;&gt;0,VLOOKUP($A427,'0.Productos'!$A$3:$GG$587,'0.Productos'!BO$1+1,0),"")</f>
        <v/>
      </c>
      <c r="X427" s="133" t="str">
        <f>IF($A427&lt;&gt;0,VLOOKUP($A427,'0.Productos'!$A$3:$GG$587,'0.Productos'!BP$1+1,0),"")</f>
        <v/>
      </c>
      <c r="Y427" s="133" t="str">
        <f>IF($A427&lt;&gt;0,VLOOKUP($A427,'0.Productos'!$A$3:$GG$587,'0.Productos'!BQ$1+1,0),"")</f>
        <v/>
      </c>
      <c r="Z427" s="133" t="str">
        <f>IF($A427&lt;&gt;0,VLOOKUP($A427,'0.Productos'!$A$3:$GG$587,'0.Productos'!BR$1+1,0),"")</f>
        <v/>
      </c>
      <c r="AA427" s="133" t="str">
        <f>IF($A427&lt;&gt;0,VLOOKUP($A427,'0.Productos'!$A$3:$GG$587,'0.Productos'!BS$1+1,0),"")</f>
        <v/>
      </c>
      <c r="AB427" s="133" t="str">
        <f>IF($A427&lt;&gt;0,VLOOKUP($A427,'0.Productos'!$A$3:$GG$587,'0.Productos'!BT$1+1,0),"")</f>
        <v/>
      </c>
      <c r="AC427" s="133" t="str">
        <f>IF($A427&lt;&gt;0,VLOOKUP($A427,'0.Productos'!$A$3:$GG$587,'0.Productos'!BU$1+1,0),"")</f>
        <v/>
      </c>
      <c r="AD427" s="133" t="str">
        <f>IF($A427&lt;&gt;0,VLOOKUP($A427,'0.Productos'!$A$3:$GG$587,'0.Productos'!BV$1+1,0),"")</f>
        <v/>
      </c>
      <c r="AE427" s="133" t="str">
        <f>IF($A427&lt;&gt;0,VLOOKUP($A427,'0.Productos'!$A$3:$GG$587,'0.Productos'!BW$1+1,0),"")</f>
        <v/>
      </c>
      <c r="AF427" s="133" t="str">
        <f>IF($A427&lt;&gt;0,VLOOKUP($A427,'0.Productos'!$A$3:$GG$587,'0.Productos'!BX$1+1,0),"")</f>
        <v/>
      </c>
      <c r="AG427" s="133" t="str">
        <f>IF($A427&lt;&gt;0,VLOOKUP($A427,'0.Productos'!$A$3:$GG$587,'0.Productos'!BY$1+1,0),"")</f>
        <v/>
      </c>
      <c r="AH427" s="133" t="str">
        <f>IF($A427&lt;&gt;0,VLOOKUP($A427,'0.Productos'!$A$3:$GG$587,'0.Productos'!BZ$1+1,0),"")</f>
        <v/>
      </c>
      <c r="AI427" s="133" t="str">
        <f>IF($A427&lt;&gt;0,VLOOKUP($A427,'0.Productos'!$A$3:$GG$587,'0.Productos'!CA$1+1,0),"")</f>
        <v/>
      </c>
      <c r="AJ427" s="133" t="str">
        <f>IF($A427&lt;&gt;0,VLOOKUP($A427,'0.Productos'!$A$3:$GG$587,'0.Productos'!CB$1+1,0),"")</f>
        <v/>
      </c>
      <c r="AK427" s="133" t="str">
        <f>IF($A427&lt;&gt;0,VLOOKUP($A427,'0.Productos'!$A$3:$GG$587,'0.Productos'!CC$1+1,0),"")</f>
        <v/>
      </c>
      <c r="AL427" s="133" t="str">
        <f>IF($A427&lt;&gt;0,VLOOKUP($A427,'0.Productos'!$A$3:$GG$587,'0.Productos'!CD$1+1,0),"")</f>
        <v/>
      </c>
      <c r="AM427" s="133" t="str">
        <f>IF($A427&lt;&gt;0,VLOOKUP($A427,'0.Productos'!$A$3:$GG$587,'0.Productos'!CE$1+1,0),"")</f>
        <v/>
      </c>
      <c r="AN427" s="133" t="str">
        <f>IF($A427&lt;&gt;0,VLOOKUP($A427,'0.Productos'!$A$3:$GG$587,'0.Productos'!CF$1+1,0),"")</f>
        <v/>
      </c>
      <c r="AO427" s="133" t="str">
        <f>IF($A427&lt;&gt;0,VLOOKUP($A427,'0.Productos'!$A$3:$GG$587,'0.Productos'!CG$1+1,0),"")</f>
        <v/>
      </c>
      <c r="AP427" s="133" t="str">
        <f>IF($A427&lt;&gt;0,VLOOKUP($A427,'0.Productos'!$A$3:$GG$587,'0.Productos'!CH$1+1,0),"")</f>
        <v/>
      </c>
      <c r="AQ427" s="133" t="str">
        <f>IF($A427&lt;&gt;0,VLOOKUP($A427,'0.Productos'!$A$3:$GG$587,'0.Productos'!CI$1+1,0),"")</f>
        <v/>
      </c>
      <c r="AR427" s="133" t="str">
        <f>IF($A427&lt;&gt;0,VLOOKUP($A427,'0.Productos'!$A$3:$GG$587,'0.Productos'!CJ$1+1,0),"")</f>
        <v/>
      </c>
      <c r="AS427" s="133" t="str">
        <f>IF($A427&lt;&gt;0,VLOOKUP($A427,'0.Productos'!$A$3:$GG$587,'0.Productos'!CK$1+1,0),"")</f>
        <v/>
      </c>
      <c r="AT427" s="133" t="str">
        <f>IF($A427&lt;&gt;0,VLOOKUP($A427,'0.Productos'!$A$3:$GG$587,'0.Productos'!CL$1+1,0),"")</f>
        <v/>
      </c>
      <c r="AU427" s="133" t="str">
        <f>IF($A427&lt;&gt;0,VLOOKUP($A427,'0.Productos'!$A$3:$GG$587,'0.Productos'!CM$1+1,0),"")</f>
        <v/>
      </c>
      <c r="AV427" s="133" t="str">
        <f>IF($A427&lt;&gt;0,VLOOKUP($A427,'0.Productos'!$A$3:$GG$587,'0.Productos'!CN$1+1,0),"")</f>
        <v/>
      </c>
      <c r="AW427" s="133" t="str">
        <f>IF($A427&lt;&gt;0,VLOOKUP($A427,'0.Productos'!$A$3:$GG$587,'0.Productos'!CO$1+1,0),"")</f>
        <v/>
      </c>
      <c r="AX427" s="133" t="str">
        <f>IF($A427&lt;&gt;0,VLOOKUP($A427,'0.Productos'!$A$3:$GG$587,'0.Productos'!CP$1+1,0),"")</f>
        <v/>
      </c>
      <c r="AY427" s="133" t="str">
        <f>IF($A427&lt;&gt;0,VLOOKUP($A427,'0.Productos'!$A$3:$GG$587,'0.Productos'!CQ$1+1,0),"")</f>
        <v/>
      </c>
      <c r="AZ427" s="133" t="str">
        <f>IF($A427&lt;&gt;0,VLOOKUP($A427,'0.Productos'!$A$3:$GG$587,'0.Productos'!CR$1+1,0),"")</f>
        <v/>
      </c>
      <c r="BA427" s="133" t="str">
        <f>IF($A427&lt;&gt;0,VLOOKUP($A427,'0.Productos'!$A$3:$GG$587,'0.Productos'!CS$1+1,0),"")</f>
        <v/>
      </c>
      <c r="BB427" s="133" t="str">
        <f>IF($A427&lt;&gt;0,VLOOKUP($A427,'0.Productos'!$A$3:$GG$587,'0.Productos'!CT$1+1,0),"")</f>
        <v/>
      </c>
      <c r="BC427" s="133" t="str">
        <f>IF($A427&lt;&gt;0,VLOOKUP($A427,'0.Productos'!$A$3:$GG$587,'0.Productos'!CU$1+1,0),"")</f>
        <v/>
      </c>
      <c r="BD427" s="133" t="str">
        <f>IF($A427&lt;&gt;0,VLOOKUP($A427,'0.Productos'!$A$3:$GG$587,'0.Productos'!CV$1+1,0),"")</f>
        <v/>
      </c>
      <c r="BE427" s="133" t="str">
        <f>IF($A427&lt;&gt;0,VLOOKUP($A427,'0.Productos'!$A$3:$GG$587,'0.Productos'!CW$1+1,0),"")</f>
        <v/>
      </c>
      <c r="BF427" s="133" t="str">
        <f>IF($A427&lt;&gt;0,VLOOKUP($A427,'0.Productos'!$A$3:$GG$587,'0.Productos'!CX$1+1,0),"")</f>
        <v/>
      </c>
      <c r="BG427" s="133" t="str">
        <f>IF($A427&lt;&gt;0,VLOOKUP($A427,'0.Productos'!$A$3:$GG$587,'0.Productos'!CY$1+1,0),"")</f>
        <v/>
      </c>
      <c r="BH427" s="133" t="str">
        <f>IF($A427&lt;&gt;0,VLOOKUP($A427,'0.Productos'!$A$3:$GG$587,'0.Productos'!CZ$1+1,0),"")</f>
        <v/>
      </c>
      <c r="BI427" s="133" t="str">
        <f>IF($A427&lt;&gt;0,VLOOKUP($A427,'0.Productos'!$A$3:$GG$587,'0.Productos'!DA$1+1,0),"")</f>
        <v/>
      </c>
      <c r="BJ427" s="133" t="str">
        <f>IF($A427&lt;&gt;0,VLOOKUP($A427,'0.Productos'!$A$3:$GG$587,'0.Productos'!DB$1+1,0),"")</f>
        <v/>
      </c>
      <c r="BK427" s="133" t="str">
        <f>IF($A427&lt;&gt;0,VLOOKUP($A427,'0.Productos'!$A$3:$GG$587,'0.Productos'!DC$1+1,0),"")</f>
        <v/>
      </c>
      <c r="BL427" s="133" t="str">
        <f>IF($A427&lt;&gt;0,VLOOKUP($A427,'0.Productos'!$A$3:$GG$587,'0.Productos'!DD$1+1,0),"")</f>
        <v/>
      </c>
      <c r="BM427" s="133" t="str">
        <f>IF($A427&lt;&gt;0,VLOOKUP($A427,'0.Productos'!$A$3:$GG$587,'0.Productos'!DE$1+1,0),"")</f>
        <v/>
      </c>
      <c r="BN427" s="133" t="str">
        <f>IF($A427&lt;&gt;0,VLOOKUP($A427,'0.Productos'!$A$3:$GG$587,'0.Productos'!DF$1+1,0),"")</f>
        <v/>
      </c>
      <c r="BO427" s="133" t="str">
        <f>IF($A427&lt;&gt;0,VLOOKUP($A427,'0.Productos'!$A$3:$GG$587,'0.Productos'!DG$1+1,0),"")</f>
        <v/>
      </c>
      <c r="BP427" s="133" t="str">
        <f>IF($A427&lt;&gt;0,VLOOKUP($A427,'0.Productos'!$A$3:$GG$587,'0.Productos'!DH$1+1,0),"")</f>
        <v/>
      </c>
      <c r="BQ427" s="133" t="str">
        <f>IF($A427&lt;&gt;0,VLOOKUP($A427,'0.Productos'!$A$3:$GG$587,'0.Productos'!DI$1+1,0),"")</f>
        <v/>
      </c>
      <c r="BR427" s="133" t="str">
        <f>IF($A427&lt;&gt;0,VLOOKUP($A427,'0.Productos'!$A$3:$GG$587,'0.Productos'!DJ$1+1,0),"")</f>
        <v/>
      </c>
      <c r="BS427" s="133" t="str">
        <f>IF($A427&lt;&gt;0,VLOOKUP($A427,'0.Productos'!$A$3:$GG$587,'0.Productos'!DK$1+1,0),"")</f>
        <v/>
      </c>
      <c r="BT427" s="133" t="str">
        <f>IF($A427&lt;&gt;0,VLOOKUP($A427,'0.Productos'!$A$3:$GG$587,'0.Productos'!DL$1+1,0),"")</f>
        <v/>
      </c>
    </row>
    <row r="428" spans="1:72" x14ac:dyDescent="0.25">
      <c r="A428" s="17">
        <f>'0.Consolidado general'!A428</f>
        <v>0</v>
      </c>
      <c r="B428" s="133" t="str">
        <f>IF($A428&lt;&gt;0,VLOOKUP($A428,'0.Productos'!$A$3:$GG$587,'0.Productos'!AT$1+1,0),"")</f>
        <v/>
      </c>
      <c r="C428" s="133" t="str">
        <f>IF($A428&lt;&gt;0,VLOOKUP($A428,'0.Productos'!$A$3:$GG$587,'0.Productos'!AU$1+1,0),"")</f>
        <v/>
      </c>
      <c r="D428" s="133" t="str">
        <f>IF($A428&lt;&gt;0,VLOOKUP($A428,'0.Productos'!$A$3:$GG$587,'0.Productos'!AV$1+1,0),"")</f>
        <v/>
      </c>
      <c r="E428" s="133" t="str">
        <f>IF($A428&lt;&gt;0,VLOOKUP($A428,'0.Productos'!$A$3:$GG$587,'0.Productos'!AW$1+1,0),"")</f>
        <v/>
      </c>
      <c r="F428" s="133" t="str">
        <f>IF($A428&lt;&gt;0,VLOOKUP($A428,'0.Productos'!$A$3:$GG$587,'0.Productos'!AX$1+1,0),"")</f>
        <v/>
      </c>
      <c r="G428" s="133" t="str">
        <f>IF($A428&lt;&gt;0,VLOOKUP($A428,'0.Productos'!$A$3:$GG$587,'0.Productos'!AY$1+1,0),"")</f>
        <v/>
      </c>
      <c r="H428" s="133" t="str">
        <f>IF($A428&lt;&gt;0,VLOOKUP($A428,'0.Productos'!$A$3:$GG$587,'0.Productos'!AZ$1+1,0),"")</f>
        <v/>
      </c>
      <c r="I428" s="133" t="str">
        <f>IF($A428&lt;&gt;0,VLOOKUP($A428,'0.Productos'!$A$3:$GG$587,'0.Productos'!BA$1+1,0),"")</f>
        <v/>
      </c>
      <c r="J428" s="133" t="str">
        <f>IF($A428&lt;&gt;0,VLOOKUP($A428,'0.Productos'!$A$3:$GG$587,'0.Productos'!BB$1+1,0),"")</f>
        <v/>
      </c>
      <c r="K428" s="133" t="str">
        <f>IF($A428&lt;&gt;0,VLOOKUP($A428,'0.Productos'!$A$3:$GG$587,'0.Productos'!BC$1+1,0),"")</f>
        <v/>
      </c>
      <c r="L428" s="133" t="str">
        <f>IF($A428&lt;&gt;0,VLOOKUP($A428,'0.Productos'!$A$3:$GG$587,'0.Productos'!BD$1+1,0),"")</f>
        <v/>
      </c>
      <c r="M428" s="133" t="str">
        <f>IF($A428&lt;&gt;0,VLOOKUP($A428,'0.Productos'!$A$3:$GG$587,'0.Productos'!BE$1+1,0),"")</f>
        <v/>
      </c>
      <c r="N428" s="133" t="str">
        <f>IF($A428&lt;&gt;0,VLOOKUP($A428,'0.Productos'!$A$3:$GG$587,'0.Productos'!BF$1+1,0),"")</f>
        <v/>
      </c>
      <c r="O428" s="133" t="str">
        <f>IF($A428&lt;&gt;0,VLOOKUP($A428,'0.Productos'!$A$3:$GG$587,'0.Productos'!BG$1+1,0),"")</f>
        <v/>
      </c>
      <c r="P428" s="133" t="str">
        <f>IF($A428&lt;&gt;0,VLOOKUP($A428,'0.Productos'!$A$3:$GG$587,'0.Productos'!BH$1+1,0),"")</f>
        <v/>
      </c>
      <c r="Q428" s="133" t="str">
        <f>IF($A428&lt;&gt;0,VLOOKUP($A428,'0.Productos'!$A$3:$GG$587,'0.Productos'!BI$1+1,0),"")</f>
        <v/>
      </c>
      <c r="R428" s="133" t="str">
        <f>IF($A428&lt;&gt;0,VLOOKUP($A428,'0.Productos'!$A$3:$GG$587,'0.Productos'!BJ$1+1,0),"")</f>
        <v/>
      </c>
      <c r="S428" s="133" t="str">
        <f>IF($A428&lt;&gt;0,VLOOKUP($A428,'0.Productos'!$A$3:$GG$587,'0.Productos'!BK$1+1,0),"")</f>
        <v/>
      </c>
      <c r="T428" s="133" t="str">
        <f>IF($A428&lt;&gt;0,VLOOKUP($A428,'0.Productos'!$A$3:$GG$587,'0.Productos'!BL$1+1,0),"")</f>
        <v/>
      </c>
      <c r="U428" s="133" t="str">
        <f>IF($A428&lt;&gt;0,VLOOKUP($A428,'0.Productos'!$A$3:$GG$587,'0.Productos'!BM$1+1,0),"")</f>
        <v/>
      </c>
      <c r="V428" s="133" t="str">
        <f>IF($A428&lt;&gt;0,VLOOKUP($A428,'0.Productos'!$A$3:$GG$587,'0.Productos'!BN$1+1,0),"")</f>
        <v/>
      </c>
      <c r="W428" s="133" t="str">
        <f>IF($A428&lt;&gt;0,VLOOKUP($A428,'0.Productos'!$A$3:$GG$587,'0.Productos'!BO$1+1,0),"")</f>
        <v/>
      </c>
      <c r="X428" s="133" t="str">
        <f>IF($A428&lt;&gt;0,VLOOKUP($A428,'0.Productos'!$A$3:$GG$587,'0.Productos'!BP$1+1,0),"")</f>
        <v/>
      </c>
      <c r="Y428" s="133" t="str">
        <f>IF($A428&lt;&gt;0,VLOOKUP($A428,'0.Productos'!$A$3:$GG$587,'0.Productos'!BQ$1+1,0),"")</f>
        <v/>
      </c>
      <c r="Z428" s="133" t="str">
        <f>IF($A428&lt;&gt;0,VLOOKUP($A428,'0.Productos'!$A$3:$GG$587,'0.Productos'!BR$1+1,0),"")</f>
        <v/>
      </c>
      <c r="AA428" s="133" t="str">
        <f>IF($A428&lt;&gt;0,VLOOKUP($A428,'0.Productos'!$A$3:$GG$587,'0.Productos'!BS$1+1,0),"")</f>
        <v/>
      </c>
      <c r="AB428" s="133" t="str">
        <f>IF($A428&lt;&gt;0,VLOOKUP($A428,'0.Productos'!$A$3:$GG$587,'0.Productos'!BT$1+1,0),"")</f>
        <v/>
      </c>
      <c r="AC428" s="133" t="str">
        <f>IF($A428&lt;&gt;0,VLOOKUP($A428,'0.Productos'!$A$3:$GG$587,'0.Productos'!BU$1+1,0),"")</f>
        <v/>
      </c>
      <c r="AD428" s="133" t="str">
        <f>IF($A428&lt;&gt;0,VLOOKUP($A428,'0.Productos'!$A$3:$GG$587,'0.Productos'!BV$1+1,0),"")</f>
        <v/>
      </c>
      <c r="AE428" s="133" t="str">
        <f>IF($A428&lt;&gt;0,VLOOKUP($A428,'0.Productos'!$A$3:$GG$587,'0.Productos'!BW$1+1,0),"")</f>
        <v/>
      </c>
      <c r="AF428" s="133" t="str">
        <f>IF($A428&lt;&gt;0,VLOOKUP($A428,'0.Productos'!$A$3:$GG$587,'0.Productos'!BX$1+1,0),"")</f>
        <v/>
      </c>
      <c r="AG428" s="133" t="str">
        <f>IF($A428&lt;&gt;0,VLOOKUP($A428,'0.Productos'!$A$3:$GG$587,'0.Productos'!BY$1+1,0),"")</f>
        <v/>
      </c>
      <c r="AH428" s="133" t="str">
        <f>IF($A428&lt;&gt;0,VLOOKUP($A428,'0.Productos'!$A$3:$GG$587,'0.Productos'!BZ$1+1,0),"")</f>
        <v/>
      </c>
      <c r="AI428" s="133" t="str">
        <f>IF($A428&lt;&gt;0,VLOOKUP($A428,'0.Productos'!$A$3:$GG$587,'0.Productos'!CA$1+1,0),"")</f>
        <v/>
      </c>
      <c r="AJ428" s="133" t="str">
        <f>IF($A428&lt;&gt;0,VLOOKUP($A428,'0.Productos'!$A$3:$GG$587,'0.Productos'!CB$1+1,0),"")</f>
        <v/>
      </c>
      <c r="AK428" s="133" t="str">
        <f>IF($A428&lt;&gt;0,VLOOKUP($A428,'0.Productos'!$A$3:$GG$587,'0.Productos'!CC$1+1,0),"")</f>
        <v/>
      </c>
      <c r="AL428" s="133" t="str">
        <f>IF($A428&lt;&gt;0,VLOOKUP($A428,'0.Productos'!$A$3:$GG$587,'0.Productos'!CD$1+1,0),"")</f>
        <v/>
      </c>
      <c r="AM428" s="133" t="str">
        <f>IF($A428&lt;&gt;0,VLOOKUP($A428,'0.Productos'!$A$3:$GG$587,'0.Productos'!CE$1+1,0),"")</f>
        <v/>
      </c>
      <c r="AN428" s="133" t="str">
        <f>IF($A428&lt;&gt;0,VLOOKUP($A428,'0.Productos'!$A$3:$GG$587,'0.Productos'!CF$1+1,0),"")</f>
        <v/>
      </c>
      <c r="AO428" s="133" t="str">
        <f>IF($A428&lt;&gt;0,VLOOKUP($A428,'0.Productos'!$A$3:$GG$587,'0.Productos'!CG$1+1,0),"")</f>
        <v/>
      </c>
      <c r="AP428" s="133" t="str">
        <f>IF($A428&lt;&gt;0,VLOOKUP($A428,'0.Productos'!$A$3:$GG$587,'0.Productos'!CH$1+1,0),"")</f>
        <v/>
      </c>
      <c r="AQ428" s="133" t="str">
        <f>IF($A428&lt;&gt;0,VLOOKUP($A428,'0.Productos'!$A$3:$GG$587,'0.Productos'!CI$1+1,0),"")</f>
        <v/>
      </c>
      <c r="AR428" s="133" t="str">
        <f>IF($A428&lt;&gt;0,VLOOKUP($A428,'0.Productos'!$A$3:$GG$587,'0.Productos'!CJ$1+1,0),"")</f>
        <v/>
      </c>
      <c r="AS428" s="133" t="str">
        <f>IF($A428&lt;&gt;0,VLOOKUP($A428,'0.Productos'!$A$3:$GG$587,'0.Productos'!CK$1+1,0),"")</f>
        <v/>
      </c>
      <c r="AT428" s="133" t="str">
        <f>IF($A428&lt;&gt;0,VLOOKUP($A428,'0.Productos'!$A$3:$GG$587,'0.Productos'!CL$1+1,0),"")</f>
        <v/>
      </c>
      <c r="AU428" s="133" t="str">
        <f>IF($A428&lt;&gt;0,VLOOKUP($A428,'0.Productos'!$A$3:$GG$587,'0.Productos'!CM$1+1,0),"")</f>
        <v/>
      </c>
      <c r="AV428" s="133" t="str">
        <f>IF($A428&lt;&gt;0,VLOOKUP($A428,'0.Productos'!$A$3:$GG$587,'0.Productos'!CN$1+1,0),"")</f>
        <v/>
      </c>
      <c r="AW428" s="133" t="str">
        <f>IF($A428&lt;&gt;0,VLOOKUP($A428,'0.Productos'!$A$3:$GG$587,'0.Productos'!CO$1+1,0),"")</f>
        <v/>
      </c>
      <c r="AX428" s="133" t="str">
        <f>IF($A428&lt;&gt;0,VLOOKUP($A428,'0.Productos'!$A$3:$GG$587,'0.Productos'!CP$1+1,0),"")</f>
        <v/>
      </c>
      <c r="AY428" s="133" t="str">
        <f>IF($A428&lt;&gt;0,VLOOKUP($A428,'0.Productos'!$A$3:$GG$587,'0.Productos'!CQ$1+1,0),"")</f>
        <v/>
      </c>
      <c r="AZ428" s="133" t="str">
        <f>IF($A428&lt;&gt;0,VLOOKUP($A428,'0.Productos'!$A$3:$GG$587,'0.Productos'!CR$1+1,0),"")</f>
        <v/>
      </c>
      <c r="BA428" s="133" t="str">
        <f>IF($A428&lt;&gt;0,VLOOKUP($A428,'0.Productos'!$A$3:$GG$587,'0.Productos'!CS$1+1,0),"")</f>
        <v/>
      </c>
      <c r="BB428" s="133" t="str">
        <f>IF($A428&lt;&gt;0,VLOOKUP($A428,'0.Productos'!$A$3:$GG$587,'0.Productos'!CT$1+1,0),"")</f>
        <v/>
      </c>
      <c r="BC428" s="133" t="str">
        <f>IF($A428&lt;&gt;0,VLOOKUP($A428,'0.Productos'!$A$3:$GG$587,'0.Productos'!CU$1+1,0),"")</f>
        <v/>
      </c>
      <c r="BD428" s="133" t="str">
        <f>IF($A428&lt;&gt;0,VLOOKUP($A428,'0.Productos'!$A$3:$GG$587,'0.Productos'!CV$1+1,0),"")</f>
        <v/>
      </c>
      <c r="BE428" s="133" t="str">
        <f>IF($A428&lt;&gt;0,VLOOKUP($A428,'0.Productos'!$A$3:$GG$587,'0.Productos'!CW$1+1,0),"")</f>
        <v/>
      </c>
      <c r="BF428" s="133" t="str">
        <f>IF($A428&lt;&gt;0,VLOOKUP($A428,'0.Productos'!$A$3:$GG$587,'0.Productos'!CX$1+1,0),"")</f>
        <v/>
      </c>
      <c r="BG428" s="133" t="str">
        <f>IF($A428&lt;&gt;0,VLOOKUP($A428,'0.Productos'!$A$3:$GG$587,'0.Productos'!CY$1+1,0),"")</f>
        <v/>
      </c>
      <c r="BH428" s="133" t="str">
        <f>IF($A428&lt;&gt;0,VLOOKUP($A428,'0.Productos'!$A$3:$GG$587,'0.Productos'!CZ$1+1,0),"")</f>
        <v/>
      </c>
      <c r="BI428" s="133" t="str">
        <f>IF($A428&lt;&gt;0,VLOOKUP($A428,'0.Productos'!$A$3:$GG$587,'0.Productos'!DA$1+1,0),"")</f>
        <v/>
      </c>
      <c r="BJ428" s="133" t="str">
        <f>IF($A428&lt;&gt;0,VLOOKUP($A428,'0.Productos'!$A$3:$GG$587,'0.Productos'!DB$1+1,0),"")</f>
        <v/>
      </c>
      <c r="BK428" s="133" t="str">
        <f>IF($A428&lt;&gt;0,VLOOKUP($A428,'0.Productos'!$A$3:$GG$587,'0.Productos'!DC$1+1,0),"")</f>
        <v/>
      </c>
      <c r="BL428" s="133" t="str">
        <f>IF($A428&lt;&gt;0,VLOOKUP($A428,'0.Productos'!$A$3:$GG$587,'0.Productos'!DD$1+1,0),"")</f>
        <v/>
      </c>
      <c r="BM428" s="133" t="str">
        <f>IF($A428&lt;&gt;0,VLOOKUP($A428,'0.Productos'!$A$3:$GG$587,'0.Productos'!DE$1+1,0),"")</f>
        <v/>
      </c>
      <c r="BN428" s="133" t="str">
        <f>IF($A428&lt;&gt;0,VLOOKUP($A428,'0.Productos'!$A$3:$GG$587,'0.Productos'!DF$1+1,0),"")</f>
        <v/>
      </c>
      <c r="BO428" s="133" t="str">
        <f>IF($A428&lt;&gt;0,VLOOKUP($A428,'0.Productos'!$A$3:$GG$587,'0.Productos'!DG$1+1,0),"")</f>
        <v/>
      </c>
      <c r="BP428" s="133" t="str">
        <f>IF($A428&lt;&gt;0,VLOOKUP($A428,'0.Productos'!$A$3:$GG$587,'0.Productos'!DH$1+1,0),"")</f>
        <v/>
      </c>
      <c r="BQ428" s="133" t="str">
        <f>IF($A428&lt;&gt;0,VLOOKUP($A428,'0.Productos'!$A$3:$GG$587,'0.Productos'!DI$1+1,0),"")</f>
        <v/>
      </c>
      <c r="BR428" s="133" t="str">
        <f>IF($A428&lt;&gt;0,VLOOKUP($A428,'0.Productos'!$A$3:$GG$587,'0.Productos'!DJ$1+1,0),"")</f>
        <v/>
      </c>
      <c r="BS428" s="133" t="str">
        <f>IF($A428&lt;&gt;0,VLOOKUP($A428,'0.Productos'!$A$3:$GG$587,'0.Productos'!DK$1+1,0),"")</f>
        <v/>
      </c>
      <c r="BT428" s="133" t="str">
        <f>IF($A428&lt;&gt;0,VLOOKUP($A428,'0.Productos'!$A$3:$GG$587,'0.Productos'!DL$1+1,0),"")</f>
        <v/>
      </c>
    </row>
    <row r="429" spans="1:72" x14ac:dyDescent="0.25">
      <c r="A429" s="17">
        <f>'0.Consolidado general'!A429</f>
        <v>0</v>
      </c>
      <c r="B429" s="133" t="str">
        <f>IF($A429&lt;&gt;0,VLOOKUP($A429,'0.Productos'!$A$3:$GG$587,'0.Productos'!AT$1+1,0),"")</f>
        <v/>
      </c>
      <c r="C429" s="133" t="str">
        <f>IF($A429&lt;&gt;0,VLOOKUP($A429,'0.Productos'!$A$3:$GG$587,'0.Productos'!AU$1+1,0),"")</f>
        <v/>
      </c>
      <c r="D429" s="133" t="str">
        <f>IF($A429&lt;&gt;0,VLOOKUP($A429,'0.Productos'!$A$3:$GG$587,'0.Productos'!AV$1+1,0),"")</f>
        <v/>
      </c>
      <c r="E429" s="133" t="str">
        <f>IF($A429&lt;&gt;0,VLOOKUP($A429,'0.Productos'!$A$3:$GG$587,'0.Productos'!AW$1+1,0),"")</f>
        <v/>
      </c>
      <c r="F429" s="133" t="str">
        <f>IF($A429&lt;&gt;0,VLOOKUP($A429,'0.Productos'!$A$3:$GG$587,'0.Productos'!AX$1+1,0),"")</f>
        <v/>
      </c>
      <c r="G429" s="133" t="str">
        <f>IF($A429&lt;&gt;0,VLOOKUP($A429,'0.Productos'!$A$3:$GG$587,'0.Productos'!AY$1+1,0),"")</f>
        <v/>
      </c>
      <c r="H429" s="133" t="str">
        <f>IF($A429&lt;&gt;0,VLOOKUP($A429,'0.Productos'!$A$3:$GG$587,'0.Productos'!AZ$1+1,0),"")</f>
        <v/>
      </c>
      <c r="I429" s="133" t="str">
        <f>IF($A429&lt;&gt;0,VLOOKUP($A429,'0.Productos'!$A$3:$GG$587,'0.Productos'!BA$1+1,0),"")</f>
        <v/>
      </c>
      <c r="J429" s="133" t="str">
        <f>IF($A429&lt;&gt;0,VLOOKUP($A429,'0.Productos'!$A$3:$GG$587,'0.Productos'!BB$1+1,0),"")</f>
        <v/>
      </c>
      <c r="K429" s="133" t="str">
        <f>IF($A429&lt;&gt;0,VLOOKUP($A429,'0.Productos'!$A$3:$GG$587,'0.Productos'!BC$1+1,0),"")</f>
        <v/>
      </c>
      <c r="L429" s="133" t="str">
        <f>IF($A429&lt;&gt;0,VLOOKUP($A429,'0.Productos'!$A$3:$GG$587,'0.Productos'!BD$1+1,0),"")</f>
        <v/>
      </c>
      <c r="M429" s="133" t="str">
        <f>IF($A429&lt;&gt;0,VLOOKUP($A429,'0.Productos'!$A$3:$GG$587,'0.Productos'!BE$1+1,0),"")</f>
        <v/>
      </c>
      <c r="N429" s="133" t="str">
        <f>IF($A429&lt;&gt;0,VLOOKUP($A429,'0.Productos'!$A$3:$GG$587,'0.Productos'!BF$1+1,0),"")</f>
        <v/>
      </c>
      <c r="O429" s="133" t="str">
        <f>IF($A429&lt;&gt;0,VLOOKUP($A429,'0.Productos'!$A$3:$GG$587,'0.Productos'!BG$1+1,0),"")</f>
        <v/>
      </c>
      <c r="P429" s="133" t="str">
        <f>IF($A429&lt;&gt;0,VLOOKUP($A429,'0.Productos'!$A$3:$GG$587,'0.Productos'!BH$1+1,0),"")</f>
        <v/>
      </c>
      <c r="Q429" s="133" t="str">
        <f>IF($A429&lt;&gt;0,VLOOKUP($A429,'0.Productos'!$A$3:$GG$587,'0.Productos'!BI$1+1,0),"")</f>
        <v/>
      </c>
      <c r="R429" s="133" t="str">
        <f>IF($A429&lt;&gt;0,VLOOKUP($A429,'0.Productos'!$A$3:$GG$587,'0.Productos'!BJ$1+1,0),"")</f>
        <v/>
      </c>
      <c r="S429" s="133" t="str">
        <f>IF($A429&lt;&gt;0,VLOOKUP($A429,'0.Productos'!$A$3:$GG$587,'0.Productos'!BK$1+1,0),"")</f>
        <v/>
      </c>
      <c r="T429" s="133" t="str">
        <f>IF($A429&lt;&gt;0,VLOOKUP($A429,'0.Productos'!$A$3:$GG$587,'0.Productos'!BL$1+1,0),"")</f>
        <v/>
      </c>
      <c r="U429" s="133" t="str">
        <f>IF($A429&lt;&gt;0,VLOOKUP($A429,'0.Productos'!$A$3:$GG$587,'0.Productos'!BM$1+1,0),"")</f>
        <v/>
      </c>
      <c r="V429" s="133" t="str">
        <f>IF($A429&lt;&gt;0,VLOOKUP($A429,'0.Productos'!$A$3:$GG$587,'0.Productos'!BN$1+1,0),"")</f>
        <v/>
      </c>
      <c r="W429" s="133" t="str">
        <f>IF($A429&lt;&gt;0,VLOOKUP($A429,'0.Productos'!$A$3:$GG$587,'0.Productos'!BO$1+1,0),"")</f>
        <v/>
      </c>
      <c r="X429" s="133" t="str">
        <f>IF($A429&lt;&gt;0,VLOOKUP($A429,'0.Productos'!$A$3:$GG$587,'0.Productos'!BP$1+1,0),"")</f>
        <v/>
      </c>
      <c r="Y429" s="133" t="str">
        <f>IF($A429&lt;&gt;0,VLOOKUP($A429,'0.Productos'!$A$3:$GG$587,'0.Productos'!BQ$1+1,0),"")</f>
        <v/>
      </c>
      <c r="Z429" s="133" t="str">
        <f>IF($A429&lt;&gt;0,VLOOKUP($A429,'0.Productos'!$A$3:$GG$587,'0.Productos'!BR$1+1,0),"")</f>
        <v/>
      </c>
      <c r="AA429" s="133" t="str">
        <f>IF($A429&lt;&gt;0,VLOOKUP($A429,'0.Productos'!$A$3:$GG$587,'0.Productos'!BS$1+1,0),"")</f>
        <v/>
      </c>
      <c r="AB429" s="133" t="str">
        <f>IF($A429&lt;&gt;0,VLOOKUP($A429,'0.Productos'!$A$3:$GG$587,'0.Productos'!BT$1+1,0),"")</f>
        <v/>
      </c>
      <c r="AC429" s="133" t="str">
        <f>IF($A429&lt;&gt;0,VLOOKUP($A429,'0.Productos'!$A$3:$GG$587,'0.Productos'!BU$1+1,0),"")</f>
        <v/>
      </c>
      <c r="AD429" s="133" t="str">
        <f>IF($A429&lt;&gt;0,VLOOKUP($A429,'0.Productos'!$A$3:$GG$587,'0.Productos'!BV$1+1,0),"")</f>
        <v/>
      </c>
      <c r="AE429" s="133" t="str">
        <f>IF($A429&lt;&gt;0,VLOOKUP($A429,'0.Productos'!$A$3:$GG$587,'0.Productos'!BW$1+1,0),"")</f>
        <v/>
      </c>
      <c r="AF429" s="133" t="str">
        <f>IF($A429&lt;&gt;0,VLOOKUP($A429,'0.Productos'!$A$3:$GG$587,'0.Productos'!BX$1+1,0),"")</f>
        <v/>
      </c>
      <c r="AG429" s="133" t="str">
        <f>IF($A429&lt;&gt;0,VLOOKUP($A429,'0.Productos'!$A$3:$GG$587,'0.Productos'!BY$1+1,0),"")</f>
        <v/>
      </c>
      <c r="AH429" s="133" t="str">
        <f>IF($A429&lt;&gt;0,VLOOKUP($A429,'0.Productos'!$A$3:$GG$587,'0.Productos'!BZ$1+1,0),"")</f>
        <v/>
      </c>
      <c r="AI429" s="133" t="str">
        <f>IF($A429&lt;&gt;0,VLOOKUP($A429,'0.Productos'!$A$3:$GG$587,'0.Productos'!CA$1+1,0),"")</f>
        <v/>
      </c>
      <c r="AJ429" s="133" t="str">
        <f>IF($A429&lt;&gt;0,VLOOKUP($A429,'0.Productos'!$A$3:$GG$587,'0.Productos'!CB$1+1,0),"")</f>
        <v/>
      </c>
      <c r="AK429" s="133" t="str">
        <f>IF($A429&lt;&gt;0,VLOOKUP($A429,'0.Productos'!$A$3:$GG$587,'0.Productos'!CC$1+1,0),"")</f>
        <v/>
      </c>
      <c r="AL429" s="133" t="str">
        <f>IF($A429&lt;&gt;0,VLOOKUP($A429,'0.Productos'!$A$3:$GG$587,'0.Productos'!CD$1+1,0),"")</f>
        <v/>
      </c>
      <c r="AM429" s="133" t="str">
        <f>IF($A429&lt;&gt;0,VLOOKUP($A429,'0.Productos'!$A$3:$GG$587,'0.Productos'!CE$1+1,0),"")</f>
        <v/>
      </c>
      <c r="AN429" s="133" t="str">
        <f>IF($A429&lt;&gt;0,VLOOKUP($A429,'0.Productos'!$A$3:$GG$587,'0.Productos'!CF$1+1,0),"")</f>
        <v/>
      </c>
      <c r="AO429" s="133" t="str">
        <f>IF($A429&lt;&gt;0,VLOOKUP($A429,'0.Productos'!$A$3:$GG$587,'0.Productos'!CG$1+1,0),"")</f>
        <v/>
      </c>
      <c r="AP429" s="133" t="str">
        <f>IF($A429&lt;&gt;0,VLOOKUP($A429,'0.Productos'!$A$3:$GG$587,'0.Productos'!CH$1+1,0),"")</f>
        <v/>
      </c>
      <c r="AQ429" s="133" t="str">
        <f>IF($A429&lt;&gt;0,VLOOKUP($A429,'0.Productos'!$A$3:$GG$587,'0.Productos'!CI$1+1,0),"")</f>
        <v/>
      </c>
      <c r="AR429" s="133" t="str">
        <f>IF($A429&lt;&gt;0,VLOOKUP($A429,'0.Productos'!$A$3:$GG$587,'0.Productos'!CJ$1+1,0),"")</f>
        <v/>
      </c>
      <c r="AS429" s="133" t="str">
        <f>IF($A429&lt;&gt;0,VLOOKUP($A429,'0.Productos'!$A$3:$GG$587,'0.Productos'!CK$1+1,0),"")</f>
        <v/>
      </c>
      <c r="AT429" s="133" t="str">
        <f>IF($A429&lt;&gt;0,VLOOKUP($A429,'0.Productos'!$A$3:$GG$587,'0.Productos'!CL$1+1,0),"")</f>
        <v/>
      </c>
      <c r="AU429" s="133" t="str">
        <f>IF($A429&lt;&gt;0,VLOOKUP($A429,'0.Productos'!$A$3:$GG$587,'0.Productos'!CM$1+1,0),"")</f>
        <v/>
      </c>
      <c r="AV429" s="133" t="str">
        <f>IF($A429&lt;&gt;0,VLOOKUP($A429,'0.Productos'!$A$3:$GG$587,'0.Productos'!CN$1+1,0),"")</f>
        <v/>
      </c>
      <c r="AW429" s="133" t="str">
        <f>IF($A429&lt;&gt;0,VLOOKUP($A429,'0.Productos'!$A$3:$GG$587,'0.Productos'!CO$1+1,0),"")</f>
        <v/>
      </c>
      <c r="AX429" s="133" t="str">
        <f>IF($A429&lt;&gt;0,VLOOKUP($A429,'0.Productos'!$A$3:$GG$587,'0.Productos'!CP$1+1,0),"")</f>
        <v/>
      </c>
      <c r="AY429" s="133" t="str">
        <f>IF($A429&lt;&gt;0,VLOOKUP($A429,'0.Productos'!$A$3:$GG$587,'0.Productos'!CQ$1+1,0),"")</f>
        <v/>
      </c>
      <c r="AZ429" s="133" t="str">
        <f>IF($A429&lt;&gt;0,VLOOKUP($A429,'0.Productos'!$A$3:$GG$587,'0.Productos'!CR$1+1,0),"")</f>
        <v/>
      </c>
      <c r="BA429" s="133" t="str">
        <f>IF($A429&lt;&gt;0,VLOOKUP($A429,'0.Productos'!$A$3:$GG$587,'0.Productos'!CS$1+1,0),"")</f>
        <v/>
      </c>
      <c r="BB429" s="133" t="str">
        <f>IF($A429&lt;&gt;0,VLOOKUP($A429,'0.Productos'!$A$3:$GG$587,'0.Productos'!CT$1+1,0),"")</f>
        <v/>
      </c>
      <c r="BC429" s="133" t="str">
        <f>IF($A429&lt;&gt;0,VLOOKUP($A429,'0.Productos'!$A$3:$GG$587,'0.Productos'!CU$1+1,0),"")</f>
        <v/>
      </c>
      <c r="BD429" s="133" t="str">
        <f>IF($A429&lt;&gt;0,VLOOKUP($A429,'0.Productos'!$A$3:$GG$587,'0.Productos'!CV$1+1,0),"")</f>
        <v/>
      </c>
      <c r="BE429" s="133" t="str">
        <f>IF($A429&lt;&gt;0,VLOOKUP($A429,'0.Productos'!$A$3:$GG$587,'0.Productos'!CW$1+1,0),"")</f>
        <v/>
      </c>
      <c r="BF429" s="133" t="str">
        <f>IF($A429&lt;&gt;0,VLOOKUP($A429,'0.Productos'!$A$3:$GG$587,'0.Productos'!CX$1+1,0),"")</f>
        <v/>
      </c>
      <c r="BG429" s="133" t="str">
        <f>IF($A429&lt;&gt;0,VLOOKUP($A429,'0.Productos'!$A$3:$GG$587,'0.Productos'!CY$1+1,0),"")</f>
        <v/>
      </c>
      <c r="BH429" s="133" t="str">
        <f>IF($A429&lt;&gt;0,VLOOKUP($A429,'0.Productos'!$A$3:$GG$587,'0.Productos'!CZ$1+1,0),"")</f>
        <v/>
      </c>
      <c r="BI429" s="133" t="str">
        <f>IF($A429&lt;&gt;0,VLOOKUP($A429,'0.Productos'!$A$3:$GG$587,'0.Productos'!DA$1+1,0),"")</f>
        <v/>
      </c>
      <c r="BJ429" s="133" t="str">
        <f>IF($A429&lt;&gt;0,VLOOKUP($A429,'0.Productos'!$A$3:$GG$587,'0.Productos'!DB$1+1,0),"")</f>
        <v/>
      </c>
      <c r="BK429" s="133" t="str">
        <f>IF($A429&lt;&gt;0,VLOOKUP($A429,'0.Productos'!$A$3:$GG$587,'0.Productos'!DC$1+1,0),"")</f>
        <v/>
      </c>
      <c r="BL429" s="133" t="str">
        <f>IF($A429&lt;&gt;0,VLOOKUP($A429,'0.Productos'!$A$3:$GG$587,'0.Productos'!DD$1+1,0),"")</f>
        <v/>
      </c>
      <c r="BM429" s="133" t="str">
        <f>IF($A429&lt;&gt;0,VLOOKUP($A429,'0.Productos'!$A$3:$GG$587,'0.Productos'!DE$1+1,0),"")</f>
        <v/>
      </c>
      <c r="BN429" s="133" t="str">
        <f>IF($A429&lt;&gt;0,VLOOKUP($A429,'0.Productos'!$A$3:$GG$587,'0.Productos'!DF$1+1,0),"")</f>
        <v/>
      </c>
      <c r="BO429" s="133" t="str">
        <f>IF($A429&lt;&gt;0,VLOOKUP($A429,'0.Productos'!$A$3:$GG$587,'0.Productos'!DG$1+1,0),"")</f>
        <v/>
      </c>
      <c r="BP429" s="133" t="str">
        <f>IF($A429&lt;&gt;0,VLOOKUP($A429,'0.Productos'!$A$3:$GG$587,'0.Productos'!DH$1+1,0),"")</f>
        <v/>
      </c>
      <c r="BQ429" s="133" t="str">
        <f>IF($A429&lt;&gt;0,VLOOKUP($A429,'0.Productos'!$A$3:$GG$587,'0.Productos'!DI$1+1,0),"")</f>
        <v/>
      </c>
      <c r="BR429" s="133" t="str">
        <f>IF($A429&lt;&gt;0,VLOOKUP($A429,'0.Productos'!$A$3:$GG$587,'0.Productos'!DJ$1+1,0),"")</f>
        <v/>
      </c>
      <c r="BS429" s="133" t="str">
        <f>IF($A429&lt;&gt;0,VLOOKUP($A429,'0.Productos'!$A$3:$GG$587,'0.Productos'!DK$1+1,0),"")</f>
        <v/>
      </c>
      <c r="BT429" s="133" t="str">
        <f>IF($A429&lt;&gt;0,VLOOKUP($A429,'0.Productos'!$A$3:$GG$587,'0.Productos'!DL$1+1,0),"")</f>
        <v/>
      </c>
    </row>
    <row r="430" spans="1:72" x14ac:dyDescent="0.25">
      <c r="A430" s="17">
        <f>'0.Consolidado general'!A430</f>
        <v>0</v>
      </c>
      <c r="B430" s="133" t="str">
        <f>IF($A430&lt;&gt;0,VLOOKUP($A430,'0.Productos'!$A$3:$GG$587,'0.Productos'!AT$1+1,0),"")</f>
        <v/>
      </c>
      <c r="C430" s="133" t="str">
        <f>IF($A430&lt;&gt;0,VLOOKUP($A430,'0.Productos'!$A$3:$GG$587,'0.Productos'!AU$1+1,0),"")</f>
        <v/>
      </c>
      <c r="D430" s="133" t="str">
        <f>IF($A430&lt;&gt;0,VLOOKUP($A430,'0.Productos'!$A$3:$GG$587,'0.Productos'!AV$1+1,0),"")</f>
        <v/>
      </c>
      <c r="E430" s="133" t="str">
        <f>IF($A430&lt;&gt;0,VLOOKUP($A430,'0.Productos'!$A$3:$GG$587,'0.Productos'!AW$1+1,0),"")</f>
        <v/>
      </c>
      <c r="F430" s="133" t="str">
        <f>IF($A430&lt;&gt;0,VLOOKUP($A430,'0.Productos'!$A$3:$GG$587,'0.Productos'!AX$1+1,0),"")</f>
        <v/>
      </c>
      <c r="G430" s="133" t="str">
        <f>IF($A430&lt;&gt;0,VLOOKUP($A430,'0.Productos'!$A$3:$GG$587,'0.Productos'!AY$1+1,0),"")</f>
        <v/>
      </c>
      <c r="H430" s="133" t="str">
        <f>IF($A430&lt;&gt;0,VLOOKUP($A430,'0.Productos'!$A$3:$GG$587,'0.Productos'!AZ$1+1,0),"")</f>
        <v/>
      </c>
      <c r="I430" s="133" t="str">
        <f>IF($A430&lt;&gt;0,VLOOKUP($A430,'0.Productos'!$A$3:$GG$587,'0.Productos'!BA$1+1,0),"")</f>
        <v/>
      </c>
      <c r="J430" s="133" t="str">
        <f>IF($A430&lt;&gt;0,VLOOKUP($A430,'0.Productos'!$A$3:$GG$587,'0.Productos'!BB$1+1,0),"")</f>
        <v/>
      </c>
      <c r="K430" s="133" t="str">
        <f>IF($A430&lt;&gt;0,VLOOKUP($A430,'0.Productos'!$A$3:$GG$587,'0.Productos'!BC$1+1,0),"")</f>
        <v/>
      </c>
      <c r="L430" s="133" t="str">
        <f>IF($A430&lt;&gt;0,VLOOKUP($A430,'0.Productos'!$A$3:$GG$587,'0.Productos'!BD$1+1,0),"")</f>
        <v/>
      </c>
      <c r="M430" s="133" t="str">
        <f>IF($A430&lt;&gt;0,VLOOKUP($A430,'0.Productos'!$A$3:$GG$587,'0.Productos'!BE$1+1,0),"")</f>
        <v/>
      </c>
      <c r="N430" s="133" t="str">
        <f>IF($A430&lt;&gt;0,VLOOKUP($A430,'0.Productos'!$A$3:$GG$587,'0.Productos'!BF$1+1,0),"")</f>
        <v/>
      </c>
      <c r="O430" s="133" t="str">
        <f>IF($A430&lt;&gt;0,VLOOKUP($A430,'0.Productos'!$A$3:$GG$587,'0.Productos'!BG$1+1,0),"")</f>
        <v/>
      </c>
      <c r="P430" s="133" t="str">
        <f>IF($A430&lt;&gt;0,VLOOKUP($A430,'0.Productos'!$A$3:$GG$587,'0.Productos'!BH$1+1,0),"")</f>
        <v/>
      </c>
      <c r="Q430" s="133" t="str">
        <f>IF($A430&lt;&gt;0,VLOOKUP($A430,'0.Productos'!$A$3:$GG$587,'0.Productos'!BI$1+1,0),"")</f>
        <v/>
      </c>
      <c r="R430" s="133" t="str">
        <f>IF($A430&lt;&gt;0,VLOOKUP($A430,'0.Productos'!$A$3:$GG$587,'0.Productos'!BJ$1+1,0),"")</f>
        <v/>
      </c>
      <c r="S430" s="133" t="str">
        <f>IF($A430&lt;&gt;0,VLOOKUP($A430,'0.Productos'!$A$3:$GG$587,'0.Productos'!BK$1+1,0),"")</f>
        <v/>
      </c>
      <c r="T430" s="133" t="str">
        <f>IF($A430&lt;&gt;0,VLOOKUP($A430,'0.Productos'!$A$3:$GG$587,'0.Productos'!BL$1+1,0),"")</f>
        <v/>
      </c>
      <c r="U430" s="133" t="str">
        <f>IF($A430&lt;&gt;0,VLOOKUP($A430,'0.Productos'!$A$3:$GG$587,'0.Productos'!BM$1+1,0),"")</f>
        <v/>
      </c>
      <c r="V430" s="133" t="str">
        <f>IF($A430&lt;&gt;0,VLOOKUP($A430,'0.Productos'!$A$3:$GG$587,'0.Productos'!BN$1+1,0),"")</f>
        <v/>
      </c>
      <c r="W430" s="133" t="str">
        <f>IF($A430&lt;&gt;0,VLOOKUP($A430,'0.Productos'!$A$3:$GG$587,'0.Productos'!BO$1+1,0),"")</f>
        <v/>
      </c>
      <c r="X430" s="133" t="str">
        <f>IF($A430&lt;&gt;0,VLOOKUP($A430,'0.Productos'!$A$3:$GG$587,'0.Productos'!BP$1+1,0),"")</f>
        <v/>
      </c>
      <c r="Y430" s="133" t="str">
        <f>IF($A430&lt;&gt;0,VLOOKUP($A430,'0.Productos'!$A$3:$GG$587,'0.Productos'!BQ$1+1,0),"")</f>
        <v/>
      </c>
      <c r="Z430" s="133" t="str">
        <f>IF($A430&lt;&gt;0,VLOOKUP($A430,'0.Productos'!$A$3:$GG$587,'0.Productos'!BR$1+1,0),"")</f>
        <v/>
      </c>
      <c r="AA430" s="133" t="str">
        <f>IF($A430&lt;&gt;0,VLOOKUP($A430,'0.Productos'!$A$3:$GG$587,'0.Productos'!BS$1+1,0),"")</f>
        <v/>
      </c>
      <c r="AB430" s="133" t="str">
        <f>IF($A430&lt;&gt;0,VLOOKUP($A430,'0.Productos'!$A$3:$GG$587,'0.Productos'!BT$1+1,0),"")</f>
        <v/>
      </c>
      <c r="AC430" s="133" t="str">
        <f>IF($A430&lt;&gt;0,VLOOKUP($A430,'0.Productos'!$A$3:$GG$587,'0.Productos'!BU$1+1,0),"")</f>
        <v/>
      </c>
      <c r="AD430" s="133" t="str">
        <f>IF($A430&lt;&gt;0,VLOOKUP($A430,'0.Productos'!$A$3:$GG$587,'0.Productos'!BV$1+1,0),"")</f>
        <v/>
      </c>
      <c r="AE430" s="133" t="str">
        <f>IF($A430&lt;&gt;0,VLOOKUP($A430,'0.Productos'!$A$3:$GG$587,'0.Productos'!BW$1+1,0),"")</f>
        <v/>
      </c>
      <c r="AF430" s="133" t="str">
        <f>IF($A430&lt;&gt;0,VLOOKUP($A430,'0.Productos'!$A$3:$GG$587,'0.Productos'!BX$1+1,0),"")</f>
        <v/>
      </c>
      <c r="AG430" s="133" t="str">
        <f>IF($A430&lt;&gt;0,VLOOKUP($A430,'0.Productos'!$A$3:$GG$587,'0.Productos'!BY$1+1,0),"")</f>
        <v/>
      </c>
      <c r="AH430" s="133" t="str">
        <f>IF($A430&lt;&gt;0,VLOOKUP($A430,'0.Productos'!$A$3:$GG$587,'0.Productos'!BZ$1+1,0),"")</f>
        <v/>
      </c>
      <c r="AI430" s="133" t="str">
        <f>IF($A430&lt;&gt;0,VLOOKUP($A430,'0.Productos'!$A$3:$GG$587,'0.Productos'!CA$1+1,0),"")</f>
        <v/>
      </c>
      <c r="AJ430" s="133" t="str">
        <f>IF($A430&lt;&gt;0,VLOOKUP($A430,'0.Productos'!$A$3:$GG$587,'0.Productos'!CB$1+1,0),"")</f>
        <v/>
      </c>
      <c r="AK430" s="133" t="str">
        <f>IF($A430&lt;&gt;0,VLOOKUP($A430,'0.Productos'!$A$3:$GG$587,'0.Productos'!CC$1+1,0),"")</f>
        <v/>
      </c>
      <c r="AL430" s="133" t="str">
        <f>IF($A430&lt;&gt;0,VLOOKUP($A430,'0.Productos'!$A$3:$GG$587,'0.Productos'!CD$1+1,0),"")</f>
        <v/>
      </c>
      <c r="AM430" s="133" t="str">
        <f>IF($A430&lt;&gt;0,VLOOKUP($A430,'0.Productos'!$A$3:$GG$587,'0.Productos'!CE$1+1,0),"")</f>
        <v/>
      </c>
      <c r="AN430" s="133" t="str">
        <f>IF($A430&lt;&gt;0,VLOOKUP($A430,'0.Productos'!$A$3:$GG$587,'0.Productos'!CF$1+1,0),"")</f>
        <v/>
      </c>
      <c r="AO430" s="133" t="str">
        <f>IF($A430&lt;&gt;0,VLOOKUP($A430,'0.Productos'!$A$3:$GG$587,'0.Productos'!CG$1+1,0),"")</f>
        <v/>
      </c>
      <c r="AP430" s="133" t="str">
        <f>IF($A430&lt;&gt;0,VLOOKUP($A430,'0.Productos'!$A$3:$GG$587,'0.Productos'!CH$1+1,0),"")</f>
        <v/>
      </c>
      <c r="AQ430" s="133" t="str">
        <f>IF($A430&lt;&gt;0,VLOOKUP($A430,'0.Productos'!$A$3:$GG$587,'0.Productos'!CI$1+1,0),"")</f>
        <v/>
      </c>
      <c r="AR430" s="133" t="str">
        <f>IF($A430&lt;&gt;0,VLOOKUP($A430,'0.Productos'!$A$3:$GG$587,'0.Productos'!CJ$1+1,0),"")</f>
        <v/>
      </c>
      <c r="AS430" s="133" t="str">
        <f>IF($A430&lt;&gt;0,VLOOKUP($A430,'0.Productos'!$A$3:$GG$587,'0.Productos'!CK$1+1,0),"")</f>
        <v/>
      </c>
      <c r="AT430" s="133" t="str">
        <f>IF($A430&lt;&gt;0,VLOOKUP($A430,'0.Productos'!$A$3:$GG$587,'0.Productos'!CL$1+1,0),"")</f>
        <v/>
      </c>
      <c r="AU430" s="133" t="str">
        <f>IF($A430&lt;&gt;0,VLOOKUP($A430,'0.Productos'!$A$3:$GG$587,'0.Productos'!CM$1+1,0),"")</f>
        <v/>
      </c>
      <c r="AV430" s="133" t="str">
        <f>IF($A430&lt;&gt;0,VLOOKUP($A430,'0.Productos'!$A$3:$GG$587,'0.Productos'!CN$1+1,0),"")</f>
        <v/>
      </c>
      <c r="AW430" s="133" t="str">
        <f>IF($A430&lt;&gt;0,VLOOKUP($A430,'0.Productos'!$A$3:$GG$587,'0.Productos'!CO$1+1,0),"")</f>
        <v/>
      </c>
      <c r="AX430" s="133" t="str">
        <f>IF($A430&lt;&gt;0,VLOOKUP($A430,'0.Productos'!$A$3:$GG$587,'0.Productos'!CP$1+1,0),"")</f>
        <v/>
      </c>
      <c r="AY430" s="133" t="str">
        <f>IF($A430&lt;&gt;0,VLOOKUP($A430,'0.Productos'!$A$3:$GG$587,'0.Productos'!CQ$1+1,0),"")</f>
        <v/>
      </c>
      <c r="AZ430" s="133" t="str">
        <f>IF($A430&lt;&gt;0,VLOOKUP($A430,'0.Productos'!$A$3:$GG$587,'0.Productos'!CR$1+1,0),"")</f>
        <v/>
      </c>
      <c r="BA430" s="133" t="str">
        <f>IF($A430&lt;&gt;0,VLOOKUP($A430,'0.Productos'!$A$3:$GG$587,'0.Productos'!CS$1+1,0),"")</f>
        <v/>
      </c>
      <c r="BB430" s="133" t="str">
        <f>IF($A430&lt;&gt;0,VLOOKUP($A430,'0.Productos'!$A$3:$GG$587,'0.Productos'!CT$1+1,0),"")</f>
        <v/>
      </c>
      <c r="BC430" s="133" t="str">
        <f>IF($A430&lt;&gt;0,VLOOKUP($A430,'0.Productos'!$A$3:$GG$587,'0.Productos'!CU$1+1,0),"")</f>
        <v/>
      </c>
      <c r="BD430" s="133" t="str">
        <f>IF($A430&lt;&gt;0,VLOOKUP($A430,'0.Productos'!$A$3:$GG$587,'0.Productos'!CV$1+1,0),"")</f>
        <v/>
      </c>
      <c r="BE430" s="133" t="str">
        <f>IF($A430&lt;&gt;0,VLOOKUP($A430,'0.Productos'!$A$3:$GG$587,'0.Productos'!CW$1+1,0),"")</f>
        <v/>
      </c>
      <c r="BF430" s="133" t="str">
        <f>IF($A430&lt;&gt;0,VLOOKUP($A430,'0.Productos'!$A$3:$GG$587,'0.Productos'!CX$1+1,0),"")</f>
        <v/>
      </c>
      <c r="BG430" s="133" t="str">
        <f>IF($A430&lt;&gt;0,VLOOKUP($A430,'0.Productos'!$A$3:$GG$587,'0.Productos'!CY$1+1,0),"")</f>
        <v/>
      </c>
      <c r="BH430" s="133" t="str">
        <f>IF($A430&lt;&gt;0,VLOOKUP($A430,'0.Productos'!$A$3:$GG$587,'0.Productos'!CZ$1+1,0),"")</f>
        <v/>
      </c>
      <c r="BI430" s="133" t="str">
        <f>IF($A430&lt;&gt;0,VLOOKUP($A430,'0.Productos'!$A$3:$GG$587,'0.Productos'!DA$1+1,0),"")</f>
        <v/>
      </c>
      <c r="BJ430" s="133" t="str">
        <f>IF($A430&lt;&gt;0,VLOOKUP($A430,'0.Productos'!$A$3:$GG$587,'0.Productos'!DB$1+1,0),"")</f>
        <v/>
      </c>
      <c r="BK430" s="133" t="str">
        <f>IF($A430&lt;&gt;0,VLOOKUP($A430,'0.Productos'!$A$3:$GG$587,'0.Productos'!DC$1+1,0),"")</f>
        <v/>
      </c>
      <c r="BL430" s="133" t="str">
        <f>IF($A430&lt;&gt;0,VLOOKUP($A430,'0.Productos'!$A$3:$GG$587,'0.Productos'!DD$1+1,0),"")</f>
        <v/>
      </c>
      <c r="BM430" s="133" t="str">
        <f>IF($A430&lt;&gt;0,VLOOKUP($A430,'0.Productos'!$A$3:$GG$587,'0.Productos'!DE$1+1,0),"")</f>
        <v/>
      </c>
      <c r="BN430" s="133" t="str">
        <f>IF($A430&lt;&gt;0,VLOOKUP($A430,'0.Productos'!$A$3:$GG$587,'0.Productos'!DF$1+1,0),"")</f>
        <v/>
      </c>
      <c r="BO430" s="133" t="str">
        <f>IF($A430&lt;&gt;0,VLOOKUP($A430,'0.Productos'!$A$3:$GG$587,'0.Productos'!DG$1+1,0),"")</f>
        <v/>
      </c>
      <c r="BP430" s="133" t="str">
        <f>IF($A430&lt;&gt;0,VLOOKUP($A430,'0.Productos'!$A$3:$GG$587,'0.Productos'!DH$1+1,0),"")</f>
        <v/>
      </c>
      <c r="BQ430" s="133" t="str">
        <f>IF($A430&lt;&gt;0,VLOOKUP($A430,'0.Productos'!$A$3:$GG$587,'0.Productos'!DI$1+1,0),"")</f>
        <v/>
      </c>
      <c r="BR430" s="133" t="str">
        <f>IF($A430&lt;&gt;0,VLOOKUP($A430,'0.Productos'!$A$3:$GG$587,'0.Productos'!DJ$1+1,0),"")</f>
        <v/>
      </c>
      <c r="BS430" s="133" t="str">
        <f>IF($A430&lt;&gt;0,VLOOKUP($A430,'0.Productos'!$A$3:$GG$587,'0.Productos'!DK$1+1,0),"")</f>
        <v/>
      </c>
      <c r="BT430" s="133" t="str">
        <f>IF($A430&lt;&gt;0,VLOOKUP($A430,'0.Productos'!$A$3:$GG$587,'0.Productos'!DL$1+1,0),"")</f>
        <v/>
      </c>
    </row>
    <row r="431" spans="1:72" x14ac:dyDescent="0.25">
      <c r="A431" s="17">
        <f>'0.Consolidado general'!A431</f>
        <v>0</v>
      </c>
      <c r="B431" s="133" t="str">
        <f>IF($A431&lt;&gt;0,VLOOKUP($A431,'0.Productos'!$A$3:$GG$587,'0.Productos'!AT$1+1,0),"")</f>
        <v/>
      </c>
      <c r="C431" s="133" t="str">
        <f>IF($A431&lt;&gt;0,VLOOKUP($A431,'0.Productos'!$A$3:$GG$587,'0.Productos'!AU$1+1,0),"")</f>
        <v/>
      </c>
      <c r="D431" s="133" t="str">
        <f>IF($A431&lt;&gt;0,VLOOKUP($A431,'0.Productos'!$A$3:$GG$587,'0.Productos'!AV$1+1,0),"")</f>
        <v/>
      </c>
      <c r="E431" s="133" t="str">
        <f>IF($A431&lt;&gt;0,VLOOKUP($A431,'0.Productos'!$A$3:$GG$587,'0.Productos'!AW$1+1,0),"")</f>
        <v/>
      </c>
      <c r="F431" s="133" t="str">
        <f>IF($A431&lt;&gt;0,VLOOKUP($A431,'0.Productos'!$A$3:$GG$587,'0.Productos'!AX$1+1,0),"")</f>
        <v/>
      </c>
      <c r="G431" s="133" t="str">
        <f>IF($A431&lt;&gt;0,VLOOKUP($A431,'0.Productos'!$A$3:$GG$587,'0.Productos'!AY$1+1,0),"")</f>
        <v/>
      </c>
      <c r="H431" s="133" t="str">
        <f>IF($A431&lt;&gt;0,VLOOKUP($A431,'0.Productos'!$A$3:$GG$587,'0.Productos'!AZ$1+1,0),"")</f>
        <v/>
      </c>
      <c r="I431" s="133" t="str">
        <f>IF($A431&lt;&gt;0,VLOOKUP($A431,'0.Productos'!$A$3:$GG$587,'0.Productos'!BA$1+1,0),"")</f>
        <v/>
      </c>
      <c r="J431" s="133" t="str">
        <f>IF($A431&lt;&gt;0,VLOOKUP($A431,'0.Productos'!$A$3:$GG$587,'0.Productos'!BB$1+1,0),"")</f>
        <v/>
      </c>
      <c r="K431" s="133" t="str">
        <f>IF($A431&lt;&gt;0,VLOOKUP($A431,'0.Productos'!$A$3:$GG$587,'0.Productos'!BC$1+1,0),"")</f>
        <v/>
      </c>
      <c r="L431" s="133" t="str">
        <f>IF($A431&lt;&gt;0,VLOOKUP($A431,'0.Productos'!$A$3:$GG$587,'0.Productos'!BD$1+1,0),"")</f>
        <v/>
      </c>
      <c r="M431" s="133" t="str">
        <f>IF($A431&lt;&gt;0,VLOOKUP($A431,'0.Productos'!$A$3:$GG$587,'0.Productos'!BE$1+1,0),"")</f>
        <v/>
      </c>
      <c r="N431" s="133" t="str">
        <f>IF($A431&lt;&gt;0,VLOOKUP($A431,'0.Productos'!$A$3:$GG$587,'0.Productos'!BF$1+1,0),"")</f>
        <v/>
      </c>
      <c r="O431" s="133" t="str">
        <f>IF($A431&lt;&gt;0,VLOOKUP($A431,'0.Productos'!$A$3:$GG$587,'0.Productos'!BG$1+1,0),"")</f>
        <v/>
      </c>
      <c r="P431" s="133" t="str">
        <f>IF($A431&lt;&gt;0,VLOOKUP($A431,'0.Productos'!$A$3:$GG$587,'0.Productos'!BH$1+1,0),"")</f>
        <v/>
      </c>
      <c r="Q431" s="133" t="str">
        <f>IF($A431&lt;&gt;0,VLOOKUP($A431,'0.Productos'!$A$3:$GG$587,'0.Productos'!BI$1+1,0),"")</f>
        <v/>
      </c>
      <c r="R431" s="133" t="str">
        <f>IF($A431&lt;&gt;0,VLOOKUP($A431,'0.Productos'!$A$3:$GG$587,'0.Productos'!BJ$1+1,0),"")</f>
        <v/>
      </c>
      <c r="S431" s="133" t="str">
        <f>IF($A431&lt;&gt;0,VLOOKUP($A431,'0.Productos'!$A$3:$GG$587,'0.Productos'!BK$1+1,0),"")</f>
        <v/>
      </c>
      <c r="T431" s="133" t="str">
        <f>IF($A431&lt;&gt;0,VLOOKUP($A431,'0.Productos'!$A$3:$GG$587,'0.Productos'!BL$1+1,0),"")</f>
        <v/>
      </c>
      <c r="U431" s="133" t="str">
        <f>IF($A431&lt;&gt;0,VLOOKUP($A431,'0.Productos'!$A$3:$GG$587,'0.Productos'!BM$1+1,0),"")</f>
        <v/>
      </c>
      <c r="V431" s="133" t="str">
        <f>IF($A431&lt;&gt;0,VLOOKUP($A431,'0.Productos'!$A$3:$GG$587,'0.Productos'!BN$1+1,0),"")</f>
        <v/>
      </c>
      <c r="W431" s="133" t="str">
        <f>IF($A431&lt;&gt;0,VLOOKUP($A431,'0.Productos'!$A$3:$GG$587,'0.Productos'!BO$1+1,0),"")</f>
        <v/>
      </c>
      <c r="X431" s="133" t="str">
        <f>IF($A431&lt;&gt;0,VLOOKUP($A431,'0.Productos'!$A$3:$GG$587,'0.Productos'!BP$1+1,0),"")</f>
        <v/>
      </c>
      <c r="Y431" s="133" t="str">
        <f>IF($A431&lt;&gt;0,VLOOKUP($A431,'0.Productos'!$A$3:$GG$587,'0.Productos'!BQ$1+1,0),"")</f>
        <v/>
      </c>
      <c r="Z431" s="133" t="str">
        <f>IF($A431&lt;&gt;0,VLOOKUP($A431,'0.Productos'!$A$3:$GG$587,'0.Productos'!BR$1+1,0),"")</f>
        <v/>
      </c>
      <c r="AA431" s="133" t="str">
        <f>IF($A431&lt;&gt;0,VLOOKUP($A431,'0.Productos'!$A$3:$GG$587,'0.Productos'!BS$1+1,0),"")</f>
        <v/>
      </c>
      <c r="AB431" s="133" t="str">
        <f>IF($A431&lt;&gt;0,VLOOKUP($A431,'0.Productos'!$A$3:$GG$587,'0.Productos'!BT$1+1,0),"")</f>
        <v/>
      </c>
      <c r="AC431" s="133" t="str">
        <f>IF($A431&lt;&gt;0,VLOOKUP($A431,'0.Productos'!$A$3:$GG$587,'0.Productos'!BU$1+1,0),"")</f>
        <v/>
      </c>
      <c r="AD431" s="133" t="str">
        <f>IF($A431&lt;&gt;0,VLOOKUP($A431,'0.Productos'!$A$3:$GG$587,'0.Productos'!BV$1+1,0),"")</f>
        <v/>
      </c>
      <c r="AE431" s="133" t="str">
        <f>IF($A431&lt;&gt;0,VLOOKUP($A431,'0.Productos'!$A$3:$GG$587,'0.Productos'!BW$1+1,0),"")</f>
        <v/>
      </c>
      <c r="AF431" s="133" t="str">
        <f>IF($A431&lt;&gt;0,VLOOKUP($A431,'0.Productos'!$A$3:$GG$587,'0.Productos'!BX$1+1,0),"")</f>
        <v/>
      </c>
      <c r="AG431" s="133" t="str">
        <f>IF($A431&lt;&gt;0,VLOOKUP($A431,'0.Productos'!$A$3:$GG$587,'0.Productos'!BY$1+1,0),"")</f>
        <v/>
      </c>
      <c r="AH431" s="133" t="str">
        <f>IF($A431&lt;&gt;0,VLOOKUP($A431,'0.Productos'!$A$3:$GG$587,'0.Productos'!BZ$1+1,0),"")</f>
        <v/>
      </c>
      <c r="AI431" s="133" t="str">
        <f>IF($A431&lt;&gt;0,VLOOKUP($A431,'0.Productos'!$A$3:$GG$587,'0.Productos'!CA$1+1,0),"")</f>
        <v/>
      </c>
      <c r="AJ431" s="133" t="str">
        <f>IF($A431&lt;&gt;0,VLOOKUP($A431,'0.Productos'!$A$3:$GG$587,'0.Productos'!CB$1+1,0),"")</f>
        <v/>
      </c>
      <c r="AK431" s="133" t="str">
        <f>IF($A431&lt;&gt;0,VLOOKUP($A431,'0.Productos'!$A$3:$GG$587,'0.Productos'!CC$1+1,0),"")</f>
        <v/>
      </c>
      <c r="AL431" s="133" t="str">
        <f>IF($A431&lt;&gt;0,VLOOKUP($A431,'0.Productos'!$A$3:$GG$587,'0.Productos'!CD$1+1,0),"")</f>
        <v/>
      </c>
      <c r="AM431" s="133" t="str">
        <f>IF($A431&lt;&gt;0,VLOOKUP($A431,'0.Productos'!$A$3:$GG$587,'0.Productos'!CE$1+1,0),"")</f>
        <v/>
      </c>
      <c r="AN431" s="133" t="str">
        <f>IF($A431&lt;&gt;0,VLOOKUP($A431,'0.Productos'!$A$3:$GG$587,'0.Productos'!CF$1+1,0),"")</f>
        <v/>
      </c>
      <c r="AO431" s="133" t="str">
        <f>IF($A431&lt;&gt;0,VLOOKUP($A431,'0.Productos'!$A$3:$GG$587,'0.Productos'!CG$1+1,0),"")</f>
        <v/>
      </c>
      <c r="AP431" s="133" t="str">
        <f>IF($A431&lt;&gt;0,VLOOKUP($A431,'0.Productos'!$A$3:$GG$587,'0.Productos'!CH$1+1,0),"")</f>
        <v/>
      </c>
      <c r="AQ431" s="133" t="str">
        <f>IF($A431&lt;&gt;0,VLOOKUP($A431,'0.Productos'!$A$3:$GG$587,'0.Productos'!CI$1+1,0),"")</f>
        <v/>
      </c>
      <c r="AR431" s="133" t="str">
        <f>IF($A431&lt;&gt;0,VLOOKUP($A431,'0.Productos'!$A$3:$GG$587,'0.Productos'!CJ$1+1,0),"")</f>
        <v/>
      </c>
      <c r="AS431" s="133" t="str">
        <f>IF($A431&lt;&gt;0,VLOOKUP($A431,'0.Productos'!$A$3:$GG$587,'0.Productos'!CK$1+1,0),"")</f>
        <v/>
      </c>
      <c r="AT431" s="133" t="str">
        <f>IF($A431&lt;&gt;0,VLOOKUP($A431,'0.Productos'!$A$3:$GG$587,'0.Productos'!CL$1+1,0),"")</f>
        <v/>
      </c>
      <c r="AU431" s="133" t="str">
        <f>IF($A431&lt;&gt;0,VLOOKUP($A431,'0.Productos'!$A$3:$GG$587,'0.Productos'!CM$1+1,0),"")</f>
        <v/>
      </c>
      <c r="AV431" s="133" t="str">
        <f>IF($A431&lt;&gt;0,VLOOKUP($A431,'0.Productos'!$A$3:$GG$587,'0.Productos'!CN$1+1,0),"")</f>
        <v/>
      </c>
      <c r="AW431" s="133" t="str">
        <f>IF($A431&lt;&gt;0,VLOOKUP($A431,'0.Productos'!$A$3:$GG$587,'0.Productos'!CO$1+1,0),"")</f>
        <v/>
      </c>
      <c r="AX431" s="133" t="str">
        <f>IF($A431&lt;&gt;0,VLOOKUP($A431,'0.Productos'!$A$3:$GG$587,'0.Productos'!CP$1+1,0),"")</f>
        <v/>
      </c>
      <c r="AY431" s="133" t="str">
        <f>IF($A431&lt;&gt;0,VLOOKUP($A431,'0.Productos'!$A$3:$GG$587,'0.Productos'!CQ$1+1,0),"")</f>
        <v/>
      </c>
      <c r="AZ431" s="133" t="str">
        <f>IF($A431&lt;&gt;0,VLOOKUP($A431,'0.Productos'!$A$3:$GG$587,'0.Productos'!CR$1+1,0),"")</f>
        <v/>
      </c>
      <c r="BA431" s="133" t="str">
        <f>IF($A431&lt;&gt;0,VLOOKUP($A431,'0.Productos'!$A$3:$GG$587,'0.Productos'!CS$1+1,0),"")</f>
        <v/>
      </c>
      <c r="BB431" s="133" t="str">
        <f>IF($A431&lt;&gt;0,VLOOKUP($A431,'0.Productos'!$A$3:$GG$587,'0.Productos'!CT$1+1,0),"")</f>
        <v/>
      </c>
      <c r="BC431" s="133" t="str">
        <f>IF($A431&lt;&gt;0,VLOOKUP($A431,'0.Productos'!$A$3:$GG$587,'0.Productos'!CU$1+1,0),"")</f>
        <v/>
      </c>
      <c r="BD431" s="133" t="str">
        <f>IF($A431&lt;&gt;0,VLOOKUP($A431,'0.Productos'!$A$3:$GG$587,'0.Productos'!CV$1+1,0),"")</f>
        <v/>
      </c>
      <c r="BE431" s="133" t="str">
        <f>IF($A431&lt;&gt;0,VLOOKUP($A431,'0.Productos'!$A$3:$GG$587,'0.Productos'!CW$1+1,0),"")</f>
        <v/>
      </c>
      <c r="BF431" s="133" t="str">
        <f>IF($A431&lt;&gt;0,VLOOKUP($A431,'0.Productos'!$A$3:$GG$587,'0.Productos'!CX$1+1,0),"")</f>
        <v/>
      </c>
      <c r="BG431" s="133" t="str">
        <f>IF($A431&lt;&gt;0,VLOOKUP($A431,'0.Productos'!$A$3:$GG$587,'0.Productos'!CY$1+1,0),"")</f>
        <v/>
      </c>
      <c r="BH431" s="133" t="str">
        <f>IF($A431&lt;&gt;0,VLOOKUP($A431,'0.Productos'!$A$3:$GG$587,'0.Productos'!CZ$1+1,0),"")</f>
        <v/>
      </c>
      <c r="BI431" s="133" t="str">
        <f>IF($A431&lt;&gt;0,VLOOKUP($A431,'0.Productos'!$A$3:$GG$587,'0.Productos'!DA$1+1,0),"")</f>
        <v/>
      </c>
      <c r="BJ431" s="133" t="str">
        <f>IF($A431&lt;&gt;0,VLOOKUP($A431,'0.Productos'!$A$3:$GG$587,'0.Productos'!DB$1+1,0),"")</f>
        <v/>
      </c>
      <c r="BK431" s="133" t="str">
        <f>IF($A431&lt;&gt;0,VLOOKUP($A431,'0.Productos'!$A$3:$GG$587,'0.Productos'!DC$1+1,0),"")</f>
        <v/>
      </c>
      <c r="BL431" s="133" t="str">
        <f>IF($A431&lt;&gt;0,VLOOKUP($A431,'0.Productos'!$A$3:$GG$587,'0.Productos'!DD$1+1,0),"")</f>
        <v/>
      </c>
      <c r="BM431" s="133" t="str">
        <f>IF($A431&lt;&gt;0,VLOOKUP($A431,'0.Productos'!$A$3:$GG$587,'0.Productos'!DE$1+1,0),"")</f>
        <v/>
      </c>
      <c r="BN431" s="133" t="str">
        <f>IF($A431&lt;&gt;0,VLOOKUP($A431,'0.Productos'!$A$3:$GG$587,'0.Productos'!DF$1+1,0),"")</f>
        <v/>
      </c>
      <c r="BO431" s="133" t="str">
        <f>IF($A431&lt;&gt;0,VLOOKUP($A431,'0.Productos'!$A$3:$GG$587,'0.Productos'!DG$1+1,0),"")</f>
        <v/>
      </c>
      <c r="BP431" s="133" t="str">
        <f>IF($A431&lt;&gt;0,VLOOKUP($A431,'0.Productos'!$A$3:$GG$587,'0.Productos'!DH$1+1,0),"")</f>
        <v/>
      </c>
      <c r="BQ431" s="133" t="str">
        <f>IF($A431&lt;&gt;0,VLOOKUP($A431,'0.Productos'!$A$3:$GG$587,'0.Productos'!DI$1+1,0),"")</f>
        <v/>
      </c>
      <c r="BR431" s="133" t="str">
        <f>IF($A431&lt;&gt;0,VLOOKUP($A431,'0.Productos'!$A$3:$GG$587,'0.Productos'!DJ$1+1,0),"")</f>
        <v/>
      </c>
      <c r="BS431" s="133" t="str">
        <f>IF($A431&lt;&gt;0,VLOOKUP($A431,'0.Productos'!$A$3:$GG$587,'0.Productos'!DK$1+1,0),"")</f>
        <v/>
      </c>
      <c r="BT431" s="133" t="str">
        <f>IF($A431&lt;&gt;0,VLOOKUP($A431,'0.Productos'!$A$3:$GG$587,'0.Productos'!DL$1+1,0),"")</f>
        <v/>
      </c>
    </row>
    <row r="432" spans="1:72" x14ac:dyDescent="0.25">
      <c r="A432" s="17">
        <f>'0.Consolidado general'!A432</f>
        <v>0</v>
      </c>
      <c r="B432" s="133" t="str">
        <f>IF($A432&lt;&gt;0,VLOOKUP($A432,'0.Productos'!$A$3:$GG$587,'0.Productos'!AT$1+1,0),"")</f>
        <v/>
      </c>
      <c r="C432" s="133" t="str">
        <f>IF($A432&lt;&gt;0,VLOOKUP($A432,'0.Productos'!$A$3:$GG$587,'0.Productos'!AU$1+1,0),"")</f>
        <v/>
      </c>
      <c r="D432" s="133" t="str">
        <f>IF($A432&lt;&gt;0,VLOOKUP($A432,'0.Productos'!$A$3:$GG$587,'0.Productos'!AV$1+1,0),"")</f>
        <v/>
      </c>
      <c r="E432" s="133" t="str">
        <f>IF($A432&lt;&gt;0,VLOOKUP($A432,'0.Productos'!$A$3:$GG$587,'0.Productos'!AW$1+1,0),"")</f>
        <v/>
      </c>
      <c r="F432" s="133" t="str">
        <f>IF($A432&lt;&gt;0,VLOOKUP($A432,'0.Productos'!$A$3:$GG$587,'0.Productos'!AX$1+1,0),"")</f>
        <v/>
      </c>
      <c r="G432" s="133" t="str">
        <f>IF($A432&lt;&gt;0,VLOOKUP($A432,'0.Productos'!$A$3:$GG$587,'0.Productos'!AY$1+1,0),"")</f>
        <v/>
      </c>
      <c r="H432" s="133" t="str">
        <f>IF($A432&lt;&gt;0,VLOOKUP($A432,'0.Productos'!$A$3:$GG$587,'0.Productos'!AZ$1+1,0),"")</f>
        <v/>
      </c>
      <c r="I432" s="133" t="str">
        <f>IF($A432&lt;&gt;0,VLOOKUP($A432,'0.Productos'!$A$3:$GG$587,'0.Productos'!BA$1+1,0),"")</f>
        <v/>
      </c>
      <c r="J432" s="133" t="str">
        <f>IF($A432&lt;&gt;0,VLOOKUP($A432,'0.Productos'!$A$3:$GG$587,'0.Productos'!BB$1+1,0),"")</f>
        <v/>
      </c>
      <c r="K432" s="133" t="str">
        <f>IF($A432&lt;&gt;0,VLOOKUP($A432,'0.Productos'!$A$3:$GG$587,'0.Productos'!BC$1+1,0),"")</f>
        <v/>
      </c>
      <c r="L432" s="133" t="str">
        <f>IF($A432&lt;&gt;0,VLOOKUP($A432,'0.Productos'!$A$3:$GG$587,'0.Productos'!BD$1+1,0),"")</f>
        <v/>
      </c>
      <c r="M432" s="133" t="str">
        <f>IF($A432&lt;&gt;0,VLOOKUP($A432,'0.Productos'!$A$3:$GG$587,'0.Productos'!BE$1+1,0),"")</f>
        <v/>
      </c>
      <c r="N432" s="133" t="str">
        <f>IF($A432&lt;&gt;0,VLOOKUP($A432,'0.Productos'!$A$3:$GG$587,'0.Productos'!BF$1+1,0),"")</f>
        <v/>
      </c>
      <c r="O432" s="133" t="str">
        <f>IF($A432&lt;&gt;0,VLOOKUP($A432,'0.Productos'!$A$3:$GG$587,'0.Productos'!BG$1+1,0),"")</f>
        <v/>
      </c>
      <c r="P432" s="133" t="str">
        <f>IF($A432&lt;&gt;0,VLOOKUP($A432,'0.Productos'!$A$3:$GG$587,'0.Productos'!BH$1+1,0),"")</f>
        <v/>
      </c>
      <c r="Q432" s="133" t="str">
        <f>IF($A432&lt;&gt;0,VLOOKUP($A432,'0.Productos'!$A$3:$GG$587,'0.Productos'!BI$1+1,0),"")</f>
        <v/>
      </c>
      <c r="R432" s="133" t="str">
        <f>IF($A432&lt;&gt;0,VLOOKUP($A432,'0.Productos'!$A$3:$GG$587,'0.Productos'!BJ$1+1,0),"")</f>
        <v/>
      </c>
      <c r="S432" s="133" t="str">
        <f>IF($A432&lt;&gt;0,VLOOKUP($A432,'0.Productos'!$A$3:$GG$587,'0.Productos'!BK$1+1,0),"")</f>
        <v/>
      </c>
      <c r="T432" s="133" t="str">
        <f>IF($A432&lt;&gt;0,VLOOKUP($A432,'0.Productos'!$A$3:$GG$587,'0.Productos'!BL$1+1,0),"")</f>
        <v/>
      </c>
      <c r="U432" s="133" t="str">
        <f>IF($A432&lt;&gt;0,VLOOKUP($A432,'0.Productos'!$A$3:$GG$587,'0.Productos'!BM$1+1,0),"")</f>
        <v/>
      </c>
      <c r="V432" s="133" t="str">
        <f>IF($A432&lt;&gt;0,VLOOKUP($A432,'0.Productos'!$A$3:$GG$587,'0.Productos'!BN$1+1,0),"")</f>
        <v/>
      </c>
      <c r="W432" s="133" t="str">
        <f>IF($A432&lt;&gt;0,VLOOKUP($A432,'0.Productos'!$A$3:$GG$587,'0.Productos'!BO$1+1,0),"")</f>
        <v/>
      </c>
      <c r="X432" s="133" t="str">
        <f>IF($A432&lt;&gt;0,VLOOKUP($A432,'0.Productos'!$A$3:$GG$587,'0.Productos'!BP$1+1,0),"")</f>
        <v/>
      </c>
      <c r="Y432" s="133" t="str">
        <f>IF($A432&lt;&gt;0,VLOOKUP($A432,'0.Productos'!$A$3:$GG$587,'0.Productos'!BQ$1+1,0),"")</f>
        <v/>
      </c>
      <c r="Z432" s="133" t="str">
        <f>IF($A432&lt;&gt;0,VLOOKUP($A432,'0.Productos'!$A$3:$GG$587,'0.Productos'!BR$1+1,0),"")</f>
        <v/>
      </c>
      <c r="AA432" s="133" t="str">
        <f>IF($A432&lt;&gt;0,VLOOKUP($A432,'0.Productos'!$A$3:$GG$587,'0.Productos'!BS$1+1,0),"")</f>
        <v/>
      </c>
      <c r="AB432" s="133" t="str">
        <f>IF($A432&lt;&gt;0,VLOOKUP($A432,'0.Productos'!$A$3:$GG$587,'0.Productos'!BT$1+1,0),"")</f>
        <v/>
      </c>
      <c r="AC432" s="133" t="str">
        <f>IF($A432&lt;&gt;0,VLOOKUP($A432,'0.Productos'!$A$3:$GG$587,'0.Productos'!BU$1+1,0),"")</f>
        <v/>
      </c>
      <c r="AD432" s="133" t="str">
        <f>IF($A432&lt;&gt;0,VLOOKUP($A432,'0.Productos'!$A$3:$GG$587,'0.Productos'!BV$1+1,0),"")</f>
        <v/>
      </c>
      <c r="AE432" s="133" t="str">
        <f>IF($A432&lt;&gt;0,VLOOKUP($A432,'0.Productos'!$A$3:$GG$587,'0.Productos'!BW$1+1,0),"")</f>
        <v/>
      </c>
      <c r="AF432" s="133" t="str">
        <f>IF($A432&lt;&gt;0,VLOOKUP($A432,'0.Productos'!$A$3:$GG$587,'0.Productos'!BX$1+1,0),"")</f>
        <v/>
      </c>
      <c r="AG432" s="133" t="str">
        <f>IF($A432&lt;&gt;0,VLOOKUP($A432,'0.Productos'!$A$3:$GG$587,'0.Productos'!BY$1+1,0),"")</f>
        <v/>
      </c>
      <c r="AH432" s="133" t="str">
        <f>IF($A432&lt;&gt;0,VLOOKUP($A432,'0.Productos'!$A$3:$GG$587,'0.Productos'!BZ$1+1,0),"")</f>
        <v/>
      </c>
      <c r="AI432" s="133" t="str">
        <f>IF($A432&lt;&gt;0,VLOOKUP($A432,'0.Productos'!$A$3:$GG$587,'0.Productos'!CA$1+1,0),"")</f>
        <v/>
      </c>
      <c r="AJ432" s="133" t="str">
        <f>IF($A432&lt;&gt;0,VLOOKUP($A432,'0.Productos'!$A$3:$GG$587,'0.Productos'!CB$1+1,0),"")</f>
        <v/>
      </c>
      <c r="AK432" s="133" t="str">
        <f>IF($A432&lt;&gt;0,VLOOKUP($A432,'0.Productos'!$A$3:$GG$587,'0.Productos'!CC$1+1,0),"")</f>
        <v/>
      </c>
      <c r="AL432" s="133" t="str">
        <f>IF($A432&lt;&gt;0,VLOOKUP($A432,'0.Productos'!$A$3:$GG$587,'0.Productos'!CD$1+1,0),"")</f>
        <v/>
      </c>
      <c r="AM432" s="133" t="str">
        <f>IF($A432&lt;&gt;0,VLOOKUP($A432,'0.Productos'!$A$3:$GG$587,'0.Productos'!CE$1+1,0),"")</f>
        <v/>
      </c>
      <c r="AN432" s="133" t="str">
        <f>IF($A432&lt;&gt;0,VLOOKUP($A432,'0.Productos'!$A$3:$GG$587,'0.Productos'!CF$1+1,0),"")</f>
        <v/>
      </c>
      <c r="AO432" s="133" t="str">
        <f>IF($A432&lt;&gt;0,VLOOKUP($A432,'0.Productos'!$A$3:$GG$587,'0.Productos'!CG$1+1,0),"")</f>
        <v/>
      </c>
      <c r="AP432" s="133" t="str">
        <f>IF($A432&lt;&gt;0,VLOOKUP($A432,'0.Productos'!$A$3:$GG$587,'0.Productos'!CH$1+1,0),"")</f>
        <v/>
      </c>
      <c r="AQ432" s="133" t="str">
        <f>IF($A432&lt;&gt;0,VLOOKUP($A432,'0.Productos'!$A$3:$GG$587,'0.Productos'!CI$1+1,0),"")</f>
        <v/>
      </c>
      <c r="AR432" s="133" t="str">
        <f>IF($A432&lt;&gt;0,VLOOKUP($A432,'0.Productos'!$A$3:$GG$587,'0.Productos'!CJ$1+1,0),"")</f>
        <v/>
      </c>
      <c r="AS432" s="133" t="str">
        <f>IF($A432&lt;&gt;0,VLOOKUP($A432,'0.Productos'!$A$3:$GG$587,'0.Productos'!CK$1+1,0),"")</f>
        <v/>
      </c>
      <c r="AT432" s="133" t="str">
        <f>IF($A432&lt;&gt;0,VLOOKUP($A432,'0.Productos'!$A$3:$GG$587,'0.Productos'!CL$1+1,0),"")</f>
        <v/>
      </c>
      <c r="AU432" s="133" t="str">
        <f>IF($A432&lt;&gt;0,VLOOKUP($A432,'0.Productos'!$A$3:$GG$587,'0.Productos'!CM$1+1,0),"")</f>
        <v/>
      </c>
      <c r="AV432" s="133" t="str">
        <f>IF($A432&lt;&gt;0,VLOOKUP($A432,'0.Productos'!$A$3:$GG$587,'0.Productos'!CN$1+1,0),"")</f>
        <v/>
      </c>
      <c r="AW432" s="133" t="str">
        <f>IF($A432&lt;&gt;0,VLOOKUP($A432,'0.Productos'!$A$3:$GG$587,'0.Productos'!CO$1+1,0),"")</f>
        <v/>
      </c>
      <c r="AX432" s="133" t="str">
        <f>IF($A432&lt;&gt;0,VLOOKUP($A432,'0.Productos'!$A$3:$GG$587,'0.Productos'!CP$1+1,0),"")</f>
        <v/>
      </c>
      <c r="AY432" s="133" t="str">
        <f>IF($A432&lt;&gt;0,VLOOKUP($A432,'0.Productos'!$A$3:$GG$587,'0.Productos'!CQ$1+1,0),"")</f>
        <v/>
      </c>
      <c r="AZ432" s="133" t="str">
        <f>IF($A432&lt;&gt;0,VLOOKUP($A432,'0.Productos'!$A$3:$GG$587,'0.Productos'!CR$1+1,0),"")</f>
        <v/>
      </c>
      <c r="BA432" s="133" t="str">
        <f>IF($A432&lt;&gt;0,VLOOKUP($A432,'0.Productos'!$A$3:$GG$587,'0.Productos'!CS$1+1,0),"")</f>
        <v/>
      </c>
      <c r="BB432" s="133" t="str">
        <f>IF($A432&lt;&gt;0,VLOOKUP($A432,'0.Productos'!$A$3:$GG$587,'0.Productos'!CT$1+1,0),"")</f>
        <v/>
      </c>
      <c r="BC432" s="133" t="str">
        <f>IF($A432&lt;&gt;0,VLOOKUP($A432,'0.Productos'!$A$3:$GG$587,'0.Productos'!CU$1+1,0),"")</f>
        <v/>
      </c>
      <c r="BD432" s="133" t="str">
        <f>IF($A432&lt;&gt;0,VLOOKUP($A432,'0.Productos'!$A$3:$GG$587,'0.Productos'!CV$1+1,0),"")</f>
        <v/>
      </c>
      <c r="BE432" s="133" t="str">
        <f>IF($A432&lt;&gt;0,VLOOKUP($A432,'0.Productos'!$A$3:$GG$587,'0.Productos'!CW$1+1,0),"")</f>
        <v/>
      </c>
      <c r="BF432" s="133" t="str">
        <f>IF($A432&lt;&gt;0,VLOOKUP($A432,'0.Productos'!$A$3:$GG$587,'0.Productos'!CX$1+1,0),"")</f>
        <v/>
      </c>
      <c r="BG432" s="133" t="str">
        <f>IF($A432&lt;&gt;0,VLOOKUP($A432,'0.Productos'!$A$3:$GG$587,'0.Productos'!CY$1+1,0),"")</f>
        <v/>
      </c>
      <c r="BH432" s="133" t="str">
        <f>IF($A432&lt;&gt;0,VLOOKUP($A432,'0.Productos'!$A$3:$GG$587,'0.Productos'!CZ$1+1,0),"")</f>
        <v/>
      </c>
      <c r="BI432" s="133" t="str">
        <f>IF($A432&lt;&gt;0,VLOOKUP($A432,'0.Productos'!$A$3:$GG$587,'0.Productos'!DA$1+1,0),"")</f>
        <v/>
      </c>
      <c r="BJ432" s="133" t="str">
        <f>IF($A432&lt;&gt;0,VLOOKUP($A432,'0.Productos'!$A$3:$GG$587,'0.Productos'!DB$1+1,0),"")</f>
        <v/>
      </c>
      <c r="BK432" s="133" t="str">
        <f>IF($A432&lt;&gt;0,VLOOKUP($A432,'0.Productos'!$A$3:$GG$587,'0.Productos'!DC$1+1,0),"")</f>
        <v/>
      </c>
      <c r="BL432" s="133" t="str">
        <f>IF($A432&lt;&gt;0,VLOOKUP($A432,'0.Productos'!$A$3:$GG$587,'0.Productos'!DD$1+1,0),"")</f>
        <v/>
      </c>
      <c r="BM432" s="133" t="str">
        <f>IF($A432&lt;&gt;0,VLOOKUP($A432,'0.Productos'!$A$3:$GG$587,'0.Productos'!DE$1+1,0),"")</f>
        <v/>
      </c>
      <c r="BN432" s="133" t="str">
        <f>IF($A432&lt;&gt;0,VLOOKUP($A432,'0.Productos'!$A$3:$GG$587,'0.Productos'!DF$1+1,0),"")</f>
        <v/>
      </c>
      <c r="BO432" s="133" t="str">
        <f>IF($A432&lt;&gt;0,VLOOKUP($A432,'0.Productos'!$A$3:$GG$587,'0.Productos'!DG$1+1,0),"")</f>
        <v/>
      </c>
      <c r="BP432" s="133" t="str">
        <f>IF($A432&lt;&gt;0,VLOOKUP($A432,'0.Productos'!$A$3:$GG$587,'0.Productos'!DH$1+1,0),"")</f>
        <v/>
      </c>
      <c r="BQ432" s="133" t="str">
        <f>IF($A432&lt;&gt;0,VLOOKUP($A432,'0.Productos'!$A$3:$GG$587,'0.Productos'!DI$1+1,0),"")</f>
        <v/>
      </c>
      <c r="BR432" s="133" t="str">
        <f>IF($A432&lt;&gt;0,VLOOKUP($A432,'0.Productos'!$A$3:$GG$587,'0.Productos'!DJ$1+1,0),"")</f>
        <v/>
      </c>
      <c r="BS432" s="133" t="str">
        <f>IF($A432&lt;&gt;0,VLOOKUP($A432,'0.Productos'!$A$3:$GG$587,'0.Productos'!DK$1+1,0),"")</f>
        <v/>
      </c>
      <c r="BT432" s="133" t="str">
        <f>IF($A432&lt;&gt;0,VLOOKUP($A432,'0.Productos'!$A$3:$GG$587,'0.Productos'!DL$1+1,0),"")</f>
        <v/>
      </c>
    </row>
    <row r="433" spans="1:72" x14ac:dyDescent="0.25">
      <c r="A433" s="17">
        <f>'0.Consolidado general'!A433</f>
        <v>0</v>
      </c>
      <c r="B433" s="133" t="str">
        <f>IF($A433&lt;&gt;0,VLOOKUP($A433,'0.Productos'!$A$3:$GG$587,'0.Productos'!AT$1+1,0),"")</f>
        <v/>
      </c>
      <c r="C433" s="133" t="str">
        <f>IF($A433&lt;&gt;0,VLOOKUP($A433,'0.Productos'!$A$3:$GG$587,'0.Productos'!AU$1+1,0),"")</f>
        <v/>
      </c>
      <c r="D433" s="133" t="str">
        <f>IF($A433&lt;&gt;0,VLOOKUP($A433,'0.Productos'!$A$3:$GG$587,'0.Productos'!AV$1+1,0),"")</f>
        <v/>
      </c>
      <c r="E433" s="133" t="str">
        <f>IF($A433&lt;&gt;0,VLOOKUP($A433,'0.Productos'!$A$3:$GG$587,'0.Productos'!AW$1+1,0),"")</f>
        <v/>
      </c>
      <c r="F433" s="133" t="str">
        <f>IF($A433&lt;&gt;0,VLOOKUP($A433,'0.Productos'!$A$3:$GG$587,'0.Productos'!AX$1+1,0),"")</f>
        <v/>
      </c>
      <c r="G433" s="133" t="str">
        <f>IF($A433&lt;&gt;0,VLOOKUP($A433,'0.Productos'!$A$3:$GG$587,'0.Productos'!AY$1+1,0),"")</f>
        <v/>
      </c>
      <c r="H433" s="133" t="str">
        <f>IF($A433&lt;&gt;0,VLOOKUP($A433,'0.Productos'!$A$3:$GG$587,'0.Productos'!AZ$1+1,0),"")</f>
        <v/>
      </c>
      <c r="I433" s="133" t="str">
        <f>IF($A433&lt;&gt;0,VLOOKUP($A433,'0.Productos'!$A$3:$GG$587,'0.Productos'!BA$1+1,0),"")</f>
        <v/>
      </c>
      <c r="J433" s="133" t="str">
        <f>IF($A433&lt;&gt;0,VLOOKUP($A433,'0.Productos'!$A$3:$GG$587,'0.Productos'!BB$1+1,0),"")</f>
        <v/>
      </c>
      <c r="K433" s="133" t="str">
        <f>IF($A433&lt;&gt;0,VLOOKUP($A433,'0.Productos'!$A$3:$GG$587,'0.Productos'!BC$1+1,0),"")</f>
        <v/>
      </c>
      <c r="L433" s="133" t="str">
        <f>IF($A433&lt;&gt;0,VLOOKUP($A433,'0.Productos'!$A$3:$GG$587,'0.Productos'!BD$1+1,0),"")</f>
        <v/>
      </c>
      <c r="M433" s="133" t="str">
        <f>IF($A433&lt;&gt;0,VLOOKUP($A433,'0.Productos'!$A$3:$GG$587,'0.Productos'!BE$1+1,0),"")</f>
        <v/>
      </c>
      <c r="N433" s="133" t="str">
        <f>IF($A433&lt;&gt;0,VLOOKUP($A433,'0.Productos'!$A$3:$GG$587,'0.Productos'!BF$1+1,0),"")</f>
        <v/>
      </c>
      <c r="O433" s="133" t="str">
        <f>IF($A433&lt;&gt;0,VLOOKUP($A433,'0.Productos'!$A$3:$GG$587,'0.Productos'!BG$1+1,0),"")</f>
        <v/>
      </c>
      <c r="P433" s="133" t="str">
        <f>IF($A433&lt;&gt;0,VLOOKUP($A433,'0.Productos'!$A$3:$GG$587,'0.Productos'!BH$1+1,0),"")</f>
        <v/>
      </c>
      <c r="Q433" s="133" t="str">
        <f>IF($A433&lt;&gt;0,VLOOKUP($A433,'0.Productos'!$A$3:$GG$587,'0.Productos'!BI$1+1,0),"")</f>
        <v/>
      </c>
      <c r="R433" s="133" t="str">
        <f>IF($A433&lt;&gt;0,VLOOKUP($A433,'0.Productos'!$A$3:$GG$587,'0.Productos'!BJ$1+1,0),"")</f>
        <v/>
      </c>
      <c r="S433" s="133" t="str">
        <f>IF($A433&lt;&gt;0,VLOOKUP($A433,'0.Productos'!$A$3:$GG$587,'0.Productos'!BK$1+1,0),"")</f>
        <v/>
      </c>
      <c r="T433" s="133" t="str">
        <f>IF($A433&lt;&gt;0,VLOOKUP($A433,'0.Productos'!$A$3:$GG$587,'0.Productos'!BL$1+1,0),"")</f>
        <v/>
      </c>
      <c r="U433" s="133" t="str">
        <f>IF($A433&lt;&gt;0,VLOOKUP($A433,'0.Productos'!$A$3:$GG$587,'0.Productos'!BM$1+1,0),"")</f>
        <v/>
      </c>
      <c r="V433" s="133" t="str">
        <f>IF($A433&lt;&gt;0,VLOOKUP($A433,'0.Productos'!$A$3:$GG$587,'0.Productos'!BN$1+1,0),"")</f>
        <v/>
      </c>
      <c r="W433" s="133" t="str">
        <f>IF($A433&lt;&gt;0,VLOOKUP($A433,'0.Productos'!$A$3:$GG$587,'0.Productos'!BO$1+1,0),"")</f>
        <v/>
      </c>
      <c r="X433" s="133" t="str">
        <f>IF($A433&lt;&gt;0,VLOOKUP($A433,'0.Productos'!$A$3:$GG$587,'0.Productos'!BP$1+1,0),"")</f>
        <v/>
      </c>
      <c r="Y433" s="133" t="str">
        <f>IF($A433&lt;&gt;0,VLOOKUP($A433,'0.Productos'!$A$3:$GG$587,'0.Productos'!BQ$1+1,0),"")</f>
        <v/>
      </c>
      <c r="Z433" s="133" t="str">
        <f>IF($A433&lt;&gt;0,VLOOKUP($A433,'0.Productos'!$A$3:$GG$587,'0.Productos'!BR$1+1,0),"")</f>
        <v/>
      </c>
      <c r="AA433" s="133" t="str">
        <f>IF($A433&lt;&gt;0,VLOOKUP($A433,'0.Productos'!$A$3:$GG$587,'0.Productos'!BS$1+1,0),"")</f>
        <v/>
      </c>
      <c r="AB433" s="133" t="str">
        <f>IF($A433&lt;&gt;0,VLOOKUP($A433,'0.Productos'!$A$3:$GG$587,'0.Productos'!BT$1+1,0),"")</f>
        <v/>
      </c>
      <c r="AC433" s="133" t="str">
        <f>IF($A433&lt;&gt;0,VLOOKUP($A433,'0.Productos'!$A$3:$GG$587,'0.Productos'!BU$1+1,0),"")</f>
        <v/>
      </c>
      <c r="AD433" s="133" t="str">
        <f>IF($A433&lt;&gt;0,VLOOKUP($A433,'0.Productos'!$A$3:$GG$587,'0.Productos'!BV$1+1,0),"")</f>
        <v/>
      </c>
      <c r="AE433" s="133" t="str">
        <f>IF($A433&lt;&gt;0,VLOOKUP($A433,'0.Productos'!$A$3:$GG$587,'0.Productos'!BW$1+1,0),"")</f>
        <v/>
      </c>
      <c r="AF433" s="133" t="str">
        <f>IF($A433&lt;&gt;0,VLOOKUP($A433,'0.Productos'!$A$3:$GG$587,'0.Productos'!BX$1+1,0),"")</f>
        <v/>
      </c>
      <c r="AG433" s="133" t="str">
        <f>IF($A433&lt;&gt;0,VLOOKUP($A433,'0.Productos'!$A$3:$GG$587,'0.Productos'!BY$1+1,0),"")</f>
        <v/>
      </c>
      <c r="AH433" s="133" t="str">
        <f>IF($A433&lt;&gt;0,VLOOKUP($A433,'0.Productos'!$A$3:$GG$587,'0.Productos'!BZ$1+1,0),"")</f>
        <v/>
      </c>
      <c r="AI433" s="133" t="str">
        <f>IF($A433&lt;&gt;0,VLOOKUP($A433,'0.Productos'!$A$3:$GG$587,'0.Productos'!CA$1+1,0),"")</f>
        <v/>
      </c>
      <c r="AJ433" s="133" t="str">
        <f>IF($A433&lt;&gt;0,VLOOKUP($A433,'0.Productos'!$A$3:$GG$587,'0.Productos'!CB$1+1,0),"")</f>
        <v/>
      </c>
      <c r="AK433" s="133" t="str">
        <f>IF($A433&lt;&gt;0,VLOOKUP($A433,'0.Productos'!$A$3:$GG$587,'0.Productos'!CC$1+1,0),"")</f>
        <v/>
      </c>
      <c r="AL433" s="133" t="str">
        <f>IF($A433&lt;&gt;0,VLOOKUP($A433,'0.Productos'!$A$3:$GG$587,'0.Productos'!CD$1+1,0),"")</f>
        <v/>
      </c>
      <c r="AM433" s="133" t="str">
        <f>IF($A433&lt;&gt;0,VLOOKUP($A433,'0.Productos'!$A$3:$GG$587,'0.Productos'!CE$1+1,0),"")</f>
        <v/>
      </c>
      <c r="AN433" s="133" t="str">
        <f>IF($A433&lt;&gt;0,VLOOKUP($A433,'0.Productos'!$A$3:$GG$587,'0.Productos'!CF$1+1,0),"")</f>
        <v/>
      </c>
      <c r="AO433" s="133" t="str">
        <f>IF($A433&lt;&gt;0,VLOOKUP($A433,'0.Productos'!$A$3:$GG$587,'0.Productos'!CG$1+1,0),"")</f>
        <v/>
      </c>
      <c r="AP433" s="133" t="str">
        <f>IF($A433&lt;&gt;0,VLOOKUP($A433,'0.Productos'!$A$3:$GG$587,'0.Productos'!CH$1+1,0),"")</f>
        <v/>
      </c>
      <c r="AQ433" s="133" t="str">
        <f>IF($A433&lt;&gt;0,VLOOKUP($A433,'0.Productos'!$A$3:$GG$587,'0.Productos'!CI$1+1,0),"")</f>
        <v/>
      </c>
      <c r="AR433" s="133" t="str">
        <f>IF($A433&lt;&gt;0,VLOOKUP($A433,'0.Productos'!$A$3:$GG$587,'0.Productos'!CJ$1+1,0),"")</f>
        <v/>
      </c>
      <c r="AS433" s="133" t="str">
        <f>IF($A433&lt;&gt;0,VLOOKUP($A433,'0.Productos'!$A$3:$GG$587,'0.Productos'!CK$1+1,0),"")</f>
        <v/>
      </c>
      <c r="AT433" s="133" t="str">
        <f>IF($A433&lt;&gt;0,VLOOKUP($A433,'0.Productos'!$A$3:$GG$587,'0.Productos'!CL$1+1,0),"")</f>
        <v/>
      </c>
      <c r="AU433" s="133" t="str">
        <f>IF($A433&lt;&gt;0,VLOOKUP($A433,'0.Productos'!$A$3:$GG$587,'0.Productos'!CM$1+1,0),"")</f>
        <v/>
      </c>
      <c r="AV433" s="133" t="str">
        <f>IF($A433&lt;&gt;0,VLOOKUP($A433,'0.Productos'!$A$3:$GG$587,'0.Productos'!CN$1+1,0),"")</f>
        <v/>
      </c>
      <c r="AW433" s="133" t="str">
        <f>IF($A433&lt;&gt;0,VLOOKUP($A433,'0.Productos'!$A$3:$GG$587,'0.Productos'!CO$1+1,0),"")</f>
        <v/>
      </c>
      <c r="AX433" s="133" t="str">
        <f>IF($A433&lt;&gt;0,VLOOKUP($A433,'0.Productos'!$A$3:$GG$587,'0.Productos'!CP$1+1,0),"")</f>
        <v/>
      </c>
      <c r="AY433" s="133" t="str">
        <f>IF($A433&lt;&gt;0,VLOOKUP($A433,'0.Productos'!$A$3:$GG$587,'0.Productos'!CQ$1+1,0),"")</f>
        <v/>
      </c>
      <c r="AZ433" s="133" t="str">
        <f>IF($A433&lt;&gt;0,VLOOKUP($A433,'0.Productos'!$A$3:$GG$587,'0.Productos'!CR$1+1,0),"")</f>
        <v/>
      </c>
      <c r="BA433" s="133" t="str">
        <f>IF($A433&lt;&gt;0,VLOOKUP($A433,'0.Productos'!$A$3:$GG$587,'0.Productos'!CS$1+1,0),"")</f>
        <v/>
      </c>
      <c r="BB433" s="133" t="str">
        <f>IF($A433&lt;&gt;0,VLOOKUP($A433,'0.Productos'!$A$3:$GG$587,'0.Productos'!CT$1+1,0),"")</f>
        <v/>
      </c>
      <c r="BC433" s="133" t="str">
        <f>IF($A433&lt;&gt;0,VLOOKUP($A433,'0.Productos'!$A$3:$GG$587,'0.Productos'!CU$1+1,0),"")</f>
        <v/>
      </c>
      <c r="BD433" s="133" t="str">
        <f>IF($A433&lt;&gt;0,VLOOKUP($A433,'0.Productos'!$A$3:$GG$587,'0.Productos'!CV$1+1,0),"")</f>
        <v/>
      </c>
      <c r="BE433" s="133" t="str">
        <f>IF($A433&lt;&gt;0,VLOOKUP($A433,'0.Productos'!$A$3:$GG$587,'0.Productos'!CW$1+1,0),"")</f>
        <v/>
      </c>
      <c r="BF433" s="133" t="str">
        <f>IF($A433&lt;&gt;0,VLOOKUP($A433,'0.Productos'!$A$3:$GG$587,'0.Productos'!CX$1+1,0),"")</f>
        <v/>
      </c>
      <c r="BG433" s="133" t="str">
        <f>IF($A433&lt;&gt;0,VLOOKUP($A433,'0.Productos'!$A$3:$GG$587,'0.Productos'!CY$1+1,0),"")</f>
        <v/>
      </c>
      <c r="BH433" s="133" t="str">
        <f>IF($A433&lt;&gt;0,VLOOKUP($A433,'0.Productos'!$A$3:$GG$587,'0.Productos'!CZ$1+1,0),"")</f>
        <v/>
      </c>
      <c r="BI433" s="133" t="str">
        <f>IF($A433&lt;&gt;0,VLOOKUP($A433,'0.Productos'!$A$3:$GG$587,'0.Productos'!DA$1+1,0),"")</f>
        <v/>
      </c>
      <c r="BJ433" s="133" t="str">
        <f>IF($A433&lt;&gt;0,VLOOKUP($A433,'0.Productos'!$A$3:$GG$587,'0.Productos'!DB$1+1,0),"")</f>
        <v/>
      </c>
      <c r="BK433" s="133" t="str">
        <f>IF($A433&lt;&gt;0,VLOOKUP($A433,'0.Productos'!$A$3:$GG$587,'0.Productos'!DC$1+1,0),"")</f>
        <v/>
      </c>
      <c r="BL433" s="133" t="str">
        <f>IF($A433&lt;&gt;0,VLOOKUP($A433,'0.Productos'!$A$3:$GG$587,'0.Productos'!DD$1+1,0),"")</f>
        <v/>
      </c>
      <c r="BM433" s="133" t="str">
        <f>IF($A433&lt;&gt;0,VLOOKUP($A433,'0.Productos'!$A$3:$GG$587,'0.Productos'!DE$1+1,0),"")</f>
        <v/>
      </c>
      <c r="BN433" s="133" t="str">
        <f>IF($A433&lt;&gt;0,VLOOKUP($A433,'0.Productos'!$A$3:$GG$587,'0.Productos'!DF$1+1,0),"")</f>
        <v/>
      </c>
      <c r="BO433" s="133" t="str">
        <f>IF($A433&lt;&gt;0,VLOOKUP($A433,'0.Productos'!$A$3:$GG$587,'0.Productos'!DG$1+1,0),"")</f>
        <v/>
      </c>
      <c r="BP433" s="133" t="str">
        <f>IF($A433&lt;&gt;0,VLOOKUP($A433,'0.Productos'!$A$3:$GG$587,'0.Productos'!DH$1+1,0),"")</f>
        <v/>
      </c>
      <c r="BQ433" s="133" t="str">
        <f>IF($A433&lt;&gt;0,VLOOKUP($A433,'0.Productos'!$A$3:$GG$587,'0.Productos'!DI$1+1,0),"")</f>
        <v/>
      </c>
      <c r="BR433" s="133" t="str">
        <f>IF($A433&lt;&gt;0,VLOOKUP($A433,'0.Productos'!$A$3:$GG$587,'0.Productos'!DJ$1+1,0),"")</f>
        <v/>
      </c>
      <c r="BS433" s="133" t="str">
        <f>IF($A433&lt;&gt;0,VLOOKUP($A433,'0.Productos'!$A$3:$GG$587,'0.Productos'!DK$1+1,0),"")</f>
        <v/>
      </c>
      <c r="BT433" s="133" t="str">
        <f>IF($A433&lt;&gt;0,VLOOKUP($A433,'0.Productos'!$A$3:$GG$587,'0.Productos'!DL$1+1,0),"")</f>
        <v/>
      </c>
    </row>
    <row r="434" spans="1:72" x14ac:dyDescent="0.25">
      <c r="A434" s="17">
        <f>'0.Consolidado general'!A434</f>
        <v>0</v>
      </c>
      <c r="B434" s="133" t="str">
        <f>IF($A434&lt;&gt;0,VLOOKUP($A434,'0.Productos'!$A$3:$GG$587,'0.Productos'!AT$1+1,0),"")</f>
        <v/>
      </c>
      <c r="C434" s="133" t="str">
        <f>IF($A434&lt;&gt;0,VLOOKUP($A434,'0.Productos'!$A$3:$GG$587,'0.Productos'!AU$1+1,0),"")</f>
        <v/>
      </c>
      <c r="D434" s="133" t="str">
        <f>IF($A434&lt;&gt;0,VLOOKUP($A434,'0.Productos'!$A$3:$GG$587,'0.Productos'!AV$1+1,0),"")</f>
        <v/>
      </c>
      <c r="E434" s="133" t="str">
        <f>IF($A434&lt;&gt;0,VLOOKUP($A434,'0.Productos'!$A$3:$GG$587,'0.Productos'!AW$1+1,0),"")</f>
        <v/>
      </c>
      <c r="F434" s="133" t="str">
        <f>IF($A434&lt;&gt;0,VLOOKUP($A434,'0.Productos'!$A$3:$GG$587,'0.Productos'!AX$1+1,0),"")</f>
        <v/>
      </c>
      <c r="G434" s="133" t="str">
        <f>IF($A434&lt;&gt;0,VLOOKUP($A434,'0.Productos'!$A$3:$GG$587,'0.Productos'!AY$1+1,0),"")</f>
        <v/>
      </c>
      <c r="H434" s="133" t="str">
        <f>IF($A434&lt;&gt;0,VLOOKUP($A434,'0.Productos'!$A$3:$GG$587,'0.Productos'!AZ$1+1,0),"")</f>
        <v/>
      </c>
      <c r="I434" s="133" t="str">
        <f>IF($A434&lt;&gt;0,VLOOKUP($A434,'0.Productos'!$A$3:$GG$587,'0.Productos'!BA$1+1,0),"")</f>
        <v/>
      </c>
      <c r="J434" s="133" t="str">
        <f>IF($A434&lt;&gt;0,VLOOKUP($A434,'0.Productos'!$A$3:$GG$587,'0.Productos'!BB$1+1,0),"")</f>
        <v/>
      </c>
      <c r="K434" s="133" t="str">
        <f>IF($A434&lt;&gt;0,VLOOKUP($A434,'0.Productos'!$A$3:$GG$587,'0.Productos'!BC$1+1,0),"")</f>
        <v/>
      </c>
      <c r="L434" s="133" t="str">
        <f>IF($A434&lt;&gt;0,VLOOKUP($A434,'0.Productos'!$A$3:$GG$587,'0.Productos'!BD$1+1,0),"")</f>
        <v/>
      </c>
      <c r="M434" s="133" t="str">
        <f>IF($A434&lt;&gt;0,VLOOKUP($A434,'0.Productos'!$A$3:$GG$587,'0.Productos'!BE$1+1,0),"")</f>
        <v/>
      </c>
      <c r="N434" s="133" t="str">
        <f>IF($A434&lt;&gt;0,VLOOKUP($A434,'0.Productos'!$A$3:$GG$587,'0.Productos'!BF$1+1,0),"")</f>
        <v/>
      </c>
      <c r="O434" s="133" t="str">
        <f>IF($A434&lt;&gt;0,VLOOKUP($A434,'0.Productos'!$A$3:$GG$587,'0.Productos'!BG$1+1,0),"")</f>
        <v/>
      </c>
      <c r="P434" s="133" t="str">
        <f>IF($A434&lt;&gt;0,VLOOKUP($A434,'0.Productos'!$A$3:$GG$587,'0.Productos'!BH$1+1,0),"")</f>
        <v/>
      </c>
      <c r="Q434" s="133" t="str">
        <f>IF($A434&lt;&gt;0,VLOOKUP($A434,'0.Productos'!$A$3:$GG$587,'0.Productos'!BI$1+1,0),"")</f>
        <v/>
      </c>
      <c r="R434" s="133" t="str">
        <f>IF($A434&lt;&gt;0,VLOOKUP($A434,'0.Productos'!$A$3:$GG$587,'0.Productos'!BJ$1+1,0),"")</f>
        <v/>
      </c>
      <c r="S434" s="133" t="str">
        <f>IF($A434&lt;&gt;0,VLOOKUP($A434,'0.Productos'!$A$3:$GG$587,'0.Productos'!BK$1+1,0),"")</f>
        <v/>
      </c>
      <c r="T434" s="133" t="str">
        <f>IF($A434&lt;&gt;0,VLOOKUP($A434,'0.Productos'!$A$3:$GG$587,'0.Productos'!BL$1+1,0),"")</f>
        <v/>
      </c>
      <c r="U434" s="133" t="str">
        <f>IF($A434&lt;&gt;0,VLOOKUP($A434,'0.Productos'!$A$3:$GG$587,'0.Productos'!BM$1+1,0),"")</f>
        <v/>
      </c>
      <c r="V434" s="133" t="str">
        <f>IF($A434&lt;&gt;0,VLOOKUP($A434,'0.Productos'!$A$3:$GG$587,'0.Productos'!BN$1+1,0),"")</f>
        <v/>
      </c>
      <c r="W434" s="133" t="str">
        <f>IF($A434&lt;&gt;0,VLOOKUP($A434,'0.Productos'!$A$3:$GG$587,'0.Productos'!BO$1+1,0),"")</f>
        <v/>
      </c>
      <c r="X434" s="133" t="str">
        <f>IF($A434&lt;&gt;0,VLOOKUP($A434,'0.Productos'!$A$3:$GG$587,'0.Productos'!BP$1+1,0),"")</f>
        <v/>
      </c>
      <c r="Y434" s="133" t="str">
        <f>IF($A434&lt;&gt;0,VLOOKUP($A434,'0.Productos'!$A$3:$GG$587,'0.Productos'!BQ$1+1,0),"")</f>
        <v/>
      </c>
      <c r="Z434" s="133" t="str">
        <f>IF($A434&lt;&gt;0,VLOOKUP($A434,'0.Productos'!$A$3:$GG$587,'0.Productos'!BR$1+1,0),"")</f>
        <v/>
      </c>
      <c r="AA434" s="133" t="str">
        <f>IF($A434&lt;&gt;0,VLOOKUP($A434,'0.Productos'!$A$3:$GG$587,'0.Productos'!BS$1+1,0),"")</f>
        <v/>
      </c>
      <c r="AB434" s="133" t="str">
        <f>IF($A434&lt;&gt;0,VLOOKUP($A434,'0.Productos'!$A$3:$GG$587,'0.Productos'!BT$1+1,0),"")</f>
        <v/>
      </c>
      <c r="AC434" s="133" t="str">
        <f>IF($A434&lt;&gt;0,VLOOKUP($A434,'0.Productos'!$A$3:$GG$587,'0.Productos'!BU$1+1,0),"")</f>
        <v/>
      </c>
      <c r="AD434" s="133" t="str">
        <f>IF($A434&lt;&gt;0,VLOOKUP($A434,'0.Productos'!$A$3:$GG$587,'0.Productos'!BV$1+1,0),"")</f>
        <v/>
      </c>
      <c r="AE434" s="133" t="str">
        <f>IF($A434&lt;&gt;0,VLOOKUP($A434,'0.Productos'!$A$3:$GG$587,'0.Productos'!BW$1+1,0),"")</f>
        <v/>
      </c>
      <c r="AF434" s="133" t="str">
        <f>IF($A434&lt;&gt;0,VLOOKUP($A434,'0.Productos'!$A$3:$GG$587,'0.Productos'!BX$1+1,0),"")</f>
        <v/>
      </c>
      <c r="AG434" s="133" t="str">
        <f>IF($A434&lt;&gt;0,VLOOKUP($A434,'0.Productos'!$A$3:$GG$587,'0.Productos'!BY$1+1,0),"")</f>
        <v/>
      </c>
      <c r="AH434" s="133" t="str">
        <f>IF($A434&lt;&gt;0,VLOOKUP($A434,'0.Productos'!$A$3:$GG$587,'0.Productos'!BZ$1+1,0),"")</f>
        <v/>
      </c>
      <c r="AI434" s="133" t="str">
        <f>IF($A434&lt;&gt;0,VLOOKUP($A434,'0.Productos'!$A$3:$GG$587,'0.Productos'!CA$1+1,0),"")</f>
        <v/>
      </c>
      <c r="AJ434" s="133" t="str">
        <f>IF($A434&lt;&gt;0,VLOOKUP($A434,'0.Productos'!$A$3:$GG$587,'0.Productos'!CB$1+1,0),"")</f>
        <v/>
      </c>
      <c r="AK434" s="133" t="str">
        <f>IF($A434&lt;&gt;0,VLOOKUP($A434,'0.Productos'!$A$3:$GG$587,'0.Productos'!CC$1+1,0),"")</f>
        <v/>
      </c>
      <c r="AL434" s="133" t="str">
        <f>IF($A434&lt;&gt;0,VLOOKUP($A434,'0.Productos'!$A$3:$GG$587,'0.Productos'!CD$1+1,0),"")</f>
        <v/>
      </c>
      <c r="AM434" s="133" t="str">
        <f>IF($A434&lt;&gt;0,VLOOKUP($A434,'0.Productos'!$A$3:$GG$587,'0.Productos'!CE$1+1,0),"")</f>
        <v/>
      </c>
      <c r="AN434" s="133" t="str">
        <f>IF($A434&lt;&gt;0,VLOOKUP($A434,'0.Productos'!$A$3:$GG$587,'0.Productos'!CF$1+1,0),"")</f>
        <v/>
      </c>
      <c r="AO434" s="133" t="str">
        <f>IF($A434&lt;&gt;0,VLOOKUP($A434,'0.Productos'!$A$3:$GG$587,'0.Productos'!CG$1+1,0),"")</f>
        <v/>
      </c>
      <c r="AP434" s="133" t="str">
        <f>IF($A434&lt;&gt;0,VLOOKUP($A434,'0.Productos'!$A$3:$GG$587,'0.Productos'!CH$1+1,0),"")</f>
        <v/>
      </c>
      <c r="AQ434" s="133" t="str">
        <f>IF($A434&lt;&gt;0,VLOOKUP($A434,'0.Productos'!$A$3:$GG$587,'0.Productos'!CI$1+1,0),"")</f>
        <v/>
      </c>
      <c r="AR434" s="133" t="str">
        <f>IF($A434&lt;&gt;0,VLOOKUP($A434,'0.Productos'!$A$3:$GG$587,'0.Productos'!CJ$1+1,0),"")</f>
        <v/>
      </c>
      <c r="AS434" s="133" t="str">
        <f>IF($A434&lt;&gt;0,VLOOKUP($A434,'0.Productos'!$A$3:$GG$587,'0.Productos'!CK$1+1,0),"")</f>
        <v/>
      </c>
      <c r="AT434" s="133" t="str">
        <f>IF($A434&lt;&gt;0,VLOOKUP($A434,'0.Productos'!$A$3:$GG$587,'0.Productos'!CL$1+1,0),"")</f>
        <v/>
      </c>
      <c r="AU434" s="133" t="str">
        <f>IF($A434&lt;&gt;0,VLOOKUP($A434,'0.Productos'!$A$3:$GG$587,'0.Productos'!CM$1+1,0),"")</f>
        <v/>
      </c>
      <c r="AV434" s="133" t="str">
        <f>IF($A434&lt;&gt;0,VLOOKUP($A434,'0.Productos'!$A$3:$GG$587,'0.Productos'!CN$1+1,0),"")</f>
        <v/>
      </c>
      <c r="AW434" s="133" t="str">
        <f>IF($A434&lt;&gt;0,VLOOKUP($A434,'0.Productos'!$A$3:$GG$587,'0.Productos'!CO$1+1,0),"")</f>
        <v/>
      </c>
      <c r="AX434" s="133" t="str">
        <f>IF($A434&lt;&gt;0,VLOOKUP($A434,'0.Productos'!$A$3:$GG$587,'0.Productos'!CP$1+1,0),"")</f>
        <v/>
      </c>
      <c r="AY434" s="133" t="str">
        <f>IF($A434&lt;&gt;0,VLOOKUP($A434,'0.Productos'!$A$3:$GG$587,'0.Productos'!CQ$1+1,0),"")</f>
        <v/>
      </c>
      <c r="AZ434" s="133" t="str">
        <f>IF($A434&lt;&gt;0,VLOOKUP($A434,'0.Productos'!$A$3:$GG$587,'0.Productos'!CR$1+1,0),"")</f>
        <v/>
      </c>
      <c r="BA434" s="133" t="str">
        <f>IF($A434&lt;&gt;0,VLOOKUP($A434,'0.Productos'!$A$3:$GG$587,'0.Productos'!CS$1+1,0),"")</f>
        <v/>
      </c>
      <c r="BB434" s="133" t="str">
        <f>IF($A434&lt;&gt;0,VLOOKUP($A434,'0.Productos'!$A$3:$GG$587,'0.Productos'!CT$1+1,0),"")</f>
        <v/>
      </c>
      <c r="BC434" s="133" t="str">
        <f>IF($A434&lt;&gt;0,VLOOKUP($A434,'0.Productos'!$A$3:$GG$587,'0.Productos'!CU$1+1,0),"")</f>
        <v/>
      </c>
      <c r="BD434" s="133" t="str">
        <f>IF($A434&lt;&gt;0,VLOOKUP($A434,'0.Productos'!$A$3:$GG$587,'0.Productos'!CV$1+1,0),"")</f>
        <v/>
      </c>
      <c r="BE434" s="133" t="str">
        <f>IF($A434&lt;&gt;0,VLOOKUP($A434,'0.Productos'!$A$3:$GG$587,'0.Productos'!CW$1+1,0),"")</f>
        <v/>
      </c>
      <c r="BF434" s="133" t="str">
        <f>IF($A434&lt;&gt;0,VLOOKUP($A434,'0.Productos'!$A$3:$GG$587,'0.Productos'!CX$1+1,0),"")</f>
        <v/>
      </c>
      <c r="BG434" s="133" t="str">
        <f>IF($A434&lt;&gt;0,VLOOKUP($A434,'0.Productos'!$A$3:$GG$587,'0.Productos'!CY$1+1,0),"")</f>
        <v/>
      </c>
      <c r="BH434" s="133" t="str">
        <f>IF($A434&lt;&gt;0,VLOOKUP($A434,'0.Productos'!$A$3:$GG$587,'0.Productos'!CZ$1+1,0),"")</f>
        <v/>
      </c>
      <c r="BI434" s="133" t="str">
        <f>IF($A434&lt;&gt;0,VLOOKUP($A434,'0.Productos'!$A$3:$GG$587,'0.Productos'!DA$1+1,0),"")</f>
        <v/>
      </c>
      <c r="BJ434" s="133" t="str">
        <f>IF($A434&lt;&gt;0,VLOOKUP($A434,'0.Productos'!$A$3:$GG$587,'0.Productos'!DB$1+1,0),"")</f>
        <v/>
      </c>
      <c r="BK434" s="133" t="str">
        <f>IF($A434&lt;&gt;0,VLOOKUP($A434,'0.Productos'!$A$3:$GG$587,'0.Productos'!DC$1+1,0),"")</f>
        <v/>
      </c>
      <c r="BL434" s="133" t="str">
        <f>IF($A434&lt;&gt;0,VLOOKUP($A434,'0.Productos'!$A$3:$GG$587,'0.Productos'!DD$1+1,0),"")</f>
        <v/>
      </c>
      <c r="BM434" s="133" t="str">
        <f>IF($A434&lt;&gt;0,VLOOKUP($A434,'0.Productos'!$A$3:$GG$587,'0.Productos'!DE$1+1,0),"")</f>
        <v/>
      </c>
      <c r="BN434" s="133" t="str">
        <f>IF($A434&lt;&gt;0,VLOOKUP($A434,'0.Productos'!$A$3:$GG$587,'0.Productos'!DF$1+1,0),"")</f>
        <v/>
      </c>
      <c r="BO434" s="133" t="str">
        <f>IF($A434&lt;&gt;0,VLOOKUP($A434,'0.Productos'!$A$3:$GG$587,'0.Productos'!DG$1+1,0),"")</f>
        <v/>
      </c>
      <c r="BP434" s="133" t="str">
        <f>IF($A434&lt;&gt;0,VLOOKUP($A434,'0.Productos'!$A$3:$GG$587,'0.Productos'!DH$1+1,0),"")</f>
        <v/>
      </c>
      <c r="BQ434" s="133" t="str">
        <f>IF($A434&lt;&gt;0,VLOOKUP($A434,'0.Productos'!$A$3:$GG$587,'0.Productos'!DI$1+1,0),"")</f>
        <v/>
      </c>
      <c r="BR434" s="133" t="str">
        <f>IF($A434&lt;&gt;0,VLOOKUP($A434,'0.Productos'!$A$3:$GG$587,'0.Productos'!DJ$1+1,0),"")</f>
        <v/>
      </c>
      <c r="BS434" s="133" t="str">
        <f>IF($A434&lt;&gt;0,VLOOKUP($A434,'0.Productos'!$A$3:$GG$587,'0.Productos'!DK$1+1,0),"")</f>
        <v/>
      </c>
      <c r="BT434" s="133" t="str">
        <f>IF($A434&lt;&gt;0,VLOOKUP($A434,'0.Productos'!$A$3:$GG$587,'0.Productos'!DL$1+1,0),"")</f>
        <v/>
      </c>
    </row>
    <row r="435" spans="1:72" x14ac:dyDescent="0.25">
      <c r="A435" s="17">
        <f>'0.Consolidado general'!A435</f>
        <v>0</v>
      </c>
      <c r="B435" s="133" t="str">
        <f>IF($A435&lt;&gt;0,VLOOKUP($A435,'0.Productos'!$A$3:$GG$587,'0.Productos'!AT$1+1,0),"")</f>
        <v/>
      </c>
      <c r="C435" s="133" t="str">
        <f>IF($A435&lt;&gt;0,VLOOKUP($A435,'0.Productos'!$A$3:$GG$587,'0.Productos'!AU$1+1,0),"")</f>
        <v/>
      </c>
      <c r="D435" s="133" t="str">
        <f>IF($A435&lt;&gt;0,VLOOKUP($A435,'0.Productos'!$A$3:$GG$587,'0.Productos'!AV$1+1,0),"")</f>
        <v/>
      </c>
      <c r="E435" s="133" t="str">
        <f>IF($A435&lt;&gt;0,VLOOKUP($A435,'0.Productos'!$A$3:$GG$587,'0.Productos'!AW$1+1,0),"")</f>
        <v/>
      </c>
      <c r="F435" s="133" t="str">
        <f>IF($A435&lt;&gt;0,VLOOKUP($A435,'0.Productos'!$A$3:$GG$587,'0.Productos'!AX$1+1,0),"")</f>
        <v/>
      </c>
      <c r="G435" s="133" t="str">
        <f>IF($A435&lt;&gt;0,VLOOKUP($A435,'0.Productos'!$A$3:$GG$587,'0.Productos'!AY$1+1,0),"")</f>
        <v/>
      </c>
      <c r="H435" s="133" t="str">
        <f>IF($A435&lt;&gt;0,VLOOKUP($A435,'0.Productos'!$A$3:$GG$587,'0.Productos'!AZ$1+1,0),"")</f>
        <v/>
      </c>
      <c r="I435" s="133" t="str">
        <f>IF($A435&lt;&gt;0,VLOOKUP($A435,'0.Productos'!$A$3:$GG$587,'0.Productos'!BA$1+1,0),"")</f>
        <v/>
      </c>
      <c r="J435" s="133" t="str">
        <f>IF($A435&lt;&gt;0,VLOOKUP($A435,'0.Productos'!$A$3:$GG$587,'0.Productos'!BB$1+1,0),"")</f>
        <v/>
      </c>
      <c r="K435" s="133" t="str">
        <f>IF($A435&lt;&gt;0,VLOOKUP($A435,'0.Productos'!$A$3:$GG$587,'0.Productos'!BC$1+1,0),"")</f>
        <v/>
      </c>
      <c r="L435" s="133" t="str">
        <f>IF($A435&lt;&gt;0,VLOOKUP($A435,'0.Productos'!$A$3:$GG$587,'0.Productos'!BD$1+1,0),"")</f>
        <v/>
      </c>
      <c r="M435" s="133" t="str">
        <f>IF($A435&lt;&gt;0,VLOOKUP($A435,'0.Productos'!$A$3:$GG$587,'0.Productos'!BE$1+1,0),"")</f>
        <v/>
      </c>
      <c r="N435" s="133" t="str">
        <f>IF($A435&lt;&gt;0,VLOOKUP($A435,'0.Productos'!$A$3:$GG$587,'0.Productos'!BF$1+1,0),"")</f>
        <v/>
      </c>
      <c r="O435" s="133" t="str">
        <f>IF($A435&lt;&gt;0,VLOOKUP($A435,'0.Productos'!$A$3:$GG$587,'0.Productos'!BG$1+1,0),"")</f>
        <v/>
      </c>
      <c r="P435" s="133" t="str">
        <f>IF($A435&lt;&gt;0,VLOOKUP($A435,'0.Productos'!$A$3:$GG$587,'0.Productos'!BH$1+1,0),"")</f>
        <v/>
      </c>
      <c r="Q435" s="133" t="str">
        <f>IF($A435&lt;&gt;0,VLOOKUP($A435,'0.Productos'!$A$3:$GG$587,'0.Productos'!BI$1+1,0),"")</f>
        <v/>
      </c>
      <c r="R435" s="133" t="str">
        <f>IF($A435&lt;&gt;0,VLOOKUP($A435,'0.Productos'!$A$3:$GG$587,'0.Productos'!BJ$1+1,0),"")</f>
        <v/>
      </c>
      <c r="S435" s="133" t="str">
        <f>IF($A435&lt;&gt;0,VLOOKUP($A435,'0.Productos'!$A$3:$GG$587,'0.Productos'!BK$1+1,0),"")</f>
        <v/>
      </c>
      <c r="T435" s="133" t="str">
        <f>IF($A435&lt;&gt;0,VLOOKUP($A435,'0.Productos'!$A$3:$GG$587,'0.Productos'!BL$1+1,0),"")</f>
        <v/>
      </c>
      <c r="U435" s="133" t="str">
        <f>IF($A435&lt;&gt;0,VLOOKUP($A435,'0.Productos'!$A$3:$GG$587,'0.Productos'!BM$1+1,0),"")</f>
        <v/>
      </c>
      <c r="V435" s="133" t="str">
        <f>IF($A435&lt;&gt;0,VLOOKUP($A435,'0.Productos'!$A$3:$GG$587,'0.Productos'!BN$1+1,0),"")</f>
        <v/>
      </c>
      <c r="W435" s="133" t="str">
        <f>IF($A435&lt;&gt;0,VLOOKUP($A435,'0.Productos'!$A$3:$GG$587,'0.Productos'!BO$1+1,0),"")</f>
        <v/>
      </c>
      <c r="X435" s="133" t="str">
        <f>IF($A435&lt;&gt;0,VLOOKUP($A435,'0.Productos'!$A$3:$GG$587,'0.Productos'!BP$1+1,0),"")</f>
        <v/>
      </c>
      <c r="Y435" s="133" t="str">
        <f>IF($A435&lt;&gt;0,VLOOKUP($A435,'0.Productos'!$A$3:$GG$587,'0.Productos'!BQ$1+1,0),"")</f>
        <v/>
      </c>
      <c r="Z435" s="133" t="str">
        <f>IF($A435&lt;&gt;0,VLOOKUP($A435,'0.Productos'!$A$3:$GG$587,'0.Productos'!BR$1+1,0),"")</f>
        <v/>
      </c>
      <c r="AA435" s="133" t="str">
        <f>IF($A435&lt;&gt;0,VLOOKUP($A435,'0.Productos'!$A$3:$GG$587,'0.Productos'!BS$1+1,0),"")</f>
        <v/>
      </c>
      <c r="AB435" s="133" t="str">
        <f>IF($A435&lt;&gt;0,VLOOKUP($A435,'0.Productos'!$A$3:$GG$587,'0.Productos'!BT$1+1,0),"")</f>
        <v/>
      </c>
      <c r="AC435" s="133" t="str">
        <f>IF($A435&lt;&gt;0,VLOOKUP($A435,'0.Productos'!$A$3:$GG$587,'0.Productos'!BU$1+1,0),"")</f>
        <v/>
      </c>
      <c r="AD435" s="133" t="str">
        <f>IF($A435&lt;&gt;0,VLOOKUP($A435,'0.Productos'!$A$3:$GG$587,'0.Productos'!BV$1+1,0),"")</f>
        <v/>
      </c>
      <c r="AE435" s="133" t="str">
        <f>IF($A435&lt;&gt;0,VLOOKUP($A435,'0.Productos'!$A$3:$GG$587,'0.Productos'!BW$1+1,0),"")</f>
        <v/>
      </c>
      <c r="AF435" s="133" t="str">
        <f>IF($A435&lt;&gt;0,VLOOKUP($A435,'0.Productos'!$A$3:$GG$587,'0.Productos'!BX$1+1,0),"")</f>
        <v/>
      </c>
      <c r="AG435" s="133" t="str">
        <f>IF($A435&lt;&gt;0,VLOOKUP($A435,'0.Productos'!$A$3:$GG$587,'0.Productos'!BY$1+1,0),"")</f>
        <v/>
      </c>
      <c r="AH435" s="133" t="str">
        <f>IF($A435&lt;&gt;0,VLOOKUP($A435,'0.Productos'!$A$3:$GG$587,'0.Productos'!BZ$1+1,0),"")</f>
        <v/>
      </c>
      <c r="AI435" s="133" t="str">
        <f>IF($A435&lt;&gt;0,VLOOKUP($A435,'0.Productos'!$A$3:$GG$587,'0.Productos'!CA$1+1,0),"")</f>
        <v/>
      </c>
      <c r="AJ435" s="133" t="str">
        <f>IF($A435&lt;&gt;0,VLOOKUP($A435,'0.Productos'!$A$3:$GG$587,'0.Productos'!CB$1+1,0),"")</f>
        <v/>
      </c>
      <c r="AK435" s="133" t="str">
        <f>IF($A435&lt;&gt;0,VLOOKUP($A435,'0.Productos'!$A$3:$GG$587,'0.Productos'!CC$1+1,0),"")</f>
        <v/>
      </c>
      <c r="AL435" s="133" t="str">
        <f>IF($A435&lt;&gt;0,VLOOKUP($A435,'0.Productos'!$A$3:$GG$587,'0.Productos'!CD$1+1,0),"")</f>
        <v/>
      </c>
      <c r="AM435" s="133" t="str">
        <f>IF($A435&lt;&gt;0,VLOOKUP($A435,'0.Productos'!$A$3:$GG$587,'0.Productos'!CE$1+1,0),"")</f>
        <v/>
      </c>
      <c r="AN435" s="133" t="str">
        <f>IF($A435&lt;&gt;0,VLOOKUP($A435,'0.Productos'!$A$3:$GG$587,'0.Productos'!CF$1+1,0),"")</f>
        <v/>
      </c>
      <c r="AO435" s="133" t="str">
        <f>IF($A435&lt;&gt;0,VLOOKUP($A435,'0.Productos'!$A$3:$GG$587,'0.Productos'!CG$1+1,0),"")</f>
        <v/>
      </c>
      <c r="AP435" s="133" t="str">
        <f>IF($A435&lt;&gt;0,VLOOKUP($A435,'0.Productos'!$A$3:$GG$587,'0.Productos'!CH$1+1,0),"")</f>
        <v/>
      </c>
      <c r="AQ435" s="133" t="str">
        <f>IF($A435&lt;&gt;0,VLOOKUP($A435,'0.Productos'!$A$3:$GG$587,'0.Productos'!CI$1+1,0),"")</f>
        <v/>
      </c>
      <c r="AR435" s="133" t="str">
        <f>IF($A435&lt;&gt;0,VLOOKUP($A435,'0.Productos'!$A$3:$GG$587,'0.Productos'!CJ$1+1,0),"")</f>
        <v/>
      </c>
      <c r="AS435" s="133" t="str">
        <f>IF($A435&lt;&gt;0,VLOOKUP($A435,'0.Productos'!$A$3:$GG$587,'0.Productos'!CK$1+1,0),"")</f>
        <v/>
      </c>
      <c r="AT435" s="133" t="str">
        <f>IF($A435&lt;&gt;0,VLOOKUP($A435,'0.Productos'!$A$3:$GG$587,'0.Productos'!CL$1+1,0),"")</f>
        <v/>
      </c>
      <c r="AU435" s="133" t="str">
        <f>IF($A435&lt;&gt;0,VLOOKUP($A435,'0.Productos'!$A$3:$GG$587,'0.Productos'!CM$1+1,0),"")</f>
        <v/>
      </c>
      <c r="AV435" s="133" t="str">
        <f>IF($A435&lt;&gt;0,VLOOKUP($A435,'0.Productos'!$A$3:$GG$587,'0.Productos'!CN$1+1,0),"")</f>
        <v/>
      </c>
      <c r="AW435" s="133" t="str">
        <f>IF($A435&lt;&gt;0,VLOOKUP($A435,'0.Productos'!$A$3:$GG$587,'0.Productos'!CO$1+1,0),"")</f>
        <v/>
      </c>
      <c r="AX435" s="133" t="str">
        <f>IF($A435&lt;&gt;0,VLOOKUP($A435,'0.Productos'!$A$3:$GG$587,'0.Productos'!CP$1+1,0),"")</f>
        <v/>
      </c>
      <c r="AY435" s="133" t="str">
        <f>IF($A435&lt;&gt;0,VLOOKUP($A435,'0.Productos'!$A$3:$GG$587,'0.Productos'!CQ$1+1,0),"")</f>
        <v/>
      </c>
      <c r="AZ435" s="133" t="str">
        <f>IF($A435&lt;&gt;0,VLOOKUP($A435,'0.Productos'!$A$3:$GG$587,'0.Productos'!CR$1+1,0),"")</f>
        <v/>
      </c>
      <c r="BA435" s="133" t="str">
        <f>IF($A435&lt;&gt;0,VLOOKUP($A435,'0.Productos'!$A$3:$GG$587,'0.Productos'!CS$1+1,0),"")</f>
        <v/>
      </c>
      <c r="BB435" s="133" t="str">
        <f>IF($A435&lt;&gt;0,VLOOKUP($A435,'0.Productos'!$A$3:$GG$587,'0.Productos'!CT$1+1,0),"")</f>
        <v/>
      </c>
      <c r="BC435" s="133" t="str">
        <f>IF($A435&lt;&gt;0,VLOOKUP($A435,'0.Productos'!$A$3:$GG$587,'0.Productos'!CU$1+1,0),"")</f>
        <v/>
      </c>
      <c r="BD435" s="133" t="str">
        <f>IF($A435&lt;&gt;0,VLOOKUP($A435,'0.Productos'!$A$3:$GG$587,'0.Productos'!CV$1+1,0),"")</f>
        <v/>
      </c>
      <c r="BE435" s="133" t="str">
        <f>IF($A435&lt;&gt;0,VLOOKUP($A435,'0.Productos'!$A$3:$GG$587,'0.Productos'!CW$1+1,0),"")</f>
        <v/>
      </c>
      <c r="BF435" s="133" t="str">
        <f>IF($A435&lt;&gt;0,VLOOKUP($A435,'0.Productos'!$A$3:$GG$587,'0.Productos'!CX$1+1,0),"")</f>
        <v/>
      </c>
      <c r="BG435" s="133" t="str">
        <f>IF($A435&lt;&gt;0,VLOOKUP($A435,'0.Productos'!$A$3:$GG$587,'0.Productos'!CY$1+1,0),"")</f>
        <v/>
      </c>
      <c r="BH435" s="133" t="str">
        <f>IF($A435&lt;&gt;0,VLOOKUP($A435,'0.Productos'!$A$3:$GG$587,'0.Productos'!CZ$1+1,0),"")</f>
        <v/>
      </c>
      <c r="BI435" s="133" t="str">
        <f>IF($A435&lt;&gt;0,VLOOKUP($A435,'0.Productos'!$A$3:$GG$587,'0.Productos'!DA$1+1,0),"")</f>
        <v/>
      </c>
      <c r="BJ435" s="133" t="str">
        <f>IF($A435&lt;&gt;0,VLOOKUP($A435,'0.Productos'!$A$3:$GG$587,'0.Productos'!DB$1+1,0),"")</f>
        <v/>
      </c>
      <c r="BK435" s="133" t="str">
        <f>IF($A435&lt;&gt;0,VLOOKUP($A435,'0.Productos'!$A$3:$GG$587,'0.Productos'!DC$1+1,0),"")</f>
        <v/>
      </c>
      <c r="BL435" s="133" t="str">
        <f>IF($A435&lt;&gt;0,VLOOKUP($A435,'0.Productos'!$A$3:$GG$587,'0.Productos'!DD$1+1,0),"")</f>
        <v/>
      </c>
      <c r="BM435" s="133" t="str">
        <f>IF($A435&lt;&gt;0,VLOOKUP($A435,'0.Productos'!$A$3:$GG$587,'0.Productos'!DE$1+1,0),"")</f>
        <v/>
      </c>
      <c r="BN435" s="133" t="str">
        <f>IF($A435&lt;&gt;0,VLOOKUP($A435,'0.Productos'!$A$3:$GG$587,'0.Productos'!DF$1+1,0),"")</f>
        <v/>
      </c>
      <c r="BO435" s="133" t="str">
        <f>IF($A435&lt;&gt;0,VLOOKUP($A435,'0.Productos'!$A$3:$GG$587,'0.Productos'!DG$1+1,0),"")</f>
        <v/>
      </c>
      <c r="BP435" s="133" t="str">
        <f>IF($A435&lt;&gt;0,VLOOKUP($A435,'0.Productos'!$A$3:$GG$587,'0.Productos'!DH$1+1,0),"")</f>
        <v/>
      </c>
      <c r="BQ435" s="133" t="str">
        <f>IF($A435&lt;&gt;0,VLOOKUP($A435,'0.Productos'!$A$3:$GG$587,'0.Productos'!DI$1+1,0),"")</f>
        <v/>
      </c>
      <c r="BR435" s="133" t="str">
        <f>IF($A435&lt;&gt;0,VLOOKUP($A435,'0.Productos'!$A$3:$GG$587,'0.Productos'!DJ$1+1,0),"")</f>
        <v/>
      </c>
      <c r="BS435" s="133" t="str">
        <f>IF($A435&lt;&gt;0,VLOOKUP($A435,'0.Productos'!$A$3:$GG$587,'0.Productos'!DK$1+1,0),"")</f>
        <v/>
      </c>
      <c r="BT435" s="133" t="str">
        <f>IF($A435&lt;&gt;0,VLOOKUP($A435,'0.Productos'!$A$3:$GG$587,'0.Productos'!DL$1+1,0),"")</f>
        <v/>
      </c>
    </row>
    <row r="436" spans="1:72" x14ac:dyDescent="0.25">
      <c r="A436" s="17">
        <f>'0.Consolidado general'!A436</f>
        <v>0</v>
      </c>
      <c r="B436" s="133" t="str">
        <f>IF($A436&lt;&gt;0,VLOOKUP($A436,'0.Productos'!$A$3:$GG$587,'0.Productos'!AT$1+1,0),"")</f>
        <v/>
      </c>
      <c r="C436" s="133" t="str">
        <f>IF($A436&lt;&gt;0,VLOOKUP($A436,'0.Productos'!$A$3:$GG$587,'0.Productos'!AU$1+1,0),"")</f>
        <v/>
      </c>
      <c r="D436" s="133" t="str">
        <f>IF($A436&lt;&gt;0,VLOOKUP($A436,'0.Productos'!$A$3:$GG$587,'0.Productos'!AV$1+1,0),"")</f>
        <v/>
      </c>
      <c r="E436" s="133" t="str">
        <f>IF($A436&lt;&gt;0,VLOOKUP($A436,'0.Productos'!$A$3:$GG$587,'0.Productos'!AW$1+1,0),"")</f>
        <v/>
      </c>
      <c r="F436" s="133" t="str">
        <f>IF($A436&lt;&gt;0,VLOOKUP($A436,'0.Productos'!$A$3:$GG$587,'0.Productos'!AX$1+1,0),"")</f>
        <v/>
      </c>
      <c r="G436" s="133" t="str">
        <f>IF($A436&lt;&gt;0,VLOOKUP($A436,'0.Productos'!$A$3:$GG$587,'0.Productos'!AY$1+1,0),"")</f>
        <v/>
      </c>
      <c r="H436" s="133" t="str">
        <f>IF($A436&lt;&gt;0,VLOOKUP($A436,'0.Productos'!$A$3:$GG$587,'0.Productos'!AZ$1+1,0),"")</f>
        <v/>
      </c>
      <c r="I436" s="133" t="str">
        <f>IF($A436&lt;&gt;0,VLOOKUP($A436,'0.Productos'!$A$3:$GG$587,'0.Productos'!BA$1+1,0),"")</f>
        <v/>
      </c>
      <c r="J436" s="133" t="str">
        <f>IF($A436&lt;&gt;0,VLOOKUP($A436,'0.Productos'!$A$3:$GG$587,'0.Productos'!BB$1+1,0),"")</f>
        <v/>
      </c>
      <c r="K436" s="133" t="str">
        <f>IF($A436&lt;&gt;0,VLOOKUP($A436,'0.Productos'!$A$3:$GG$587,'0.Productos'!BC$1+1,0),"")</f>
        <v/>
      </c>
      <c r="L436" s="133" t="str">
        <f>IF($A436&lt;&gt;0,VLOOKUP($A436,'0.Productos'!$A$3:$GG$587,'0.Productos'!BD$1+1,0),"")</f>
        <v/>
      </c>
      <c r="M436" s="133" t="str">
        <f>IF($A436&lt;&gt;0,VLOOKUP($A436,'0.Productos'!$A$3:$GG$587,'0.Productos'!BE$1+1,0),"")</f>
        <v/>
      </c>
      <c r="N436" s="133" t="str">
        <f>IF($A436&lt;&gt;0,VLOOKUP($A436,'0.Productos'!$A$3:$GG$587,'0.Productos'!BF$1+1,0),"")</f>
        <v/>
      </c>
      <c r="O436" s="133" t="str">
        <f>IF($A436&lt;&gt;0,VLOOKUP($A436,'0.Productos'!$A$3:$GG$587,'0.Productos'!BG$1+1,0),"")</f>
        <v/>
      </c>
      <c r="P436" s="133" t="str">
        <f>IF($A436&lt;&gt;0,VLOOKUP($A436,'0.Productos'!$A$3:$GG$587,'0.Productos'!BH$1+1,0),"")</f>
        <v/>
      </c>
      <c r="Q436" s="133" t="str">
        <f>IF($A436&lt;&gt;0,VLOOKUP($A436,'0.Productos'!$A$3:$GG$587,'0.Productos'!BI$1+1,0),"")</f>
        <v/>
      </c>
      <c r="R436" s="133" t="str">
        <f>IF($A436&lt;&gt;0,VLOOKUP($A436,'0.Productos'!$A$3:$GG$587,'0.Productos'!BJ$1+1,0),"")</f>
        <v/>
      </c>
      <c r="S436" s="133" t="str">
        <f>IF($A436&lt;&gt;0,VLOOKUP($A436,'0.Productos'!$A$3:$GG$587,'0.Productos'!BK$1+1,0),"")</f>
        <v/>
      </c>
      <c r="T436" s="133" t="str">
        <f>IF($A436&lt;&gt;0,VLOOKUP($A436,'0.Productos'!$A$3:$GG$587,'0.Productos'!BL$1+1,0),"")</f>
        <v/>
      </c>
      <c r="U436" s="133" t="str">
        <f>IF($A436&lt;&gt;0,VLOOKUP($A436,'0.Productos'!$A$3:$GG$587,'0.Productos'!BM$1+1,0),"")</f>
        <v/>
      </c>
      <c r="V436" s="133" t="str">
        <f>IF($A436&lt;&gt;0,VLOOKUP($A436,'0.Productos'!$A$3:$GG$587,'0.Productos'!BN$1+1,0),"")</f>
        <v/>
      </c>
      <c r="W436" s="133" t="str">
        <f>IF($A436&lt;&gt;0,VLOOKUP($A436,'0.Productos'!$A$3:$GG$587,'0.Productos'!BO$1+1,0),"")</f>
        <v/>
      </c>
      <c r="X436" s="133" t="str">
        <f>IF($A436&lt;&gt;0,VLOOKUP($A436,'0.Productos'!$A$3:$GG$587,'0.Productos'!BP$1+1,0),"")</f>
        <v/>
      </c>
      <c r="Y436" s="133" t="str">
        <f>IF($A436&lt;&gt;0,VLOOKUP($A436,'0.Productos'!$A$3:$GG$587,'0.Productos'!BQ$1+1,0),"")</f>
        <v/>
      </c>
      <c r="Z436" s="133" t="str">
        <f>IF($A436&lt;&gt;0,VLOOKUP($A436,'0.Productos'!$A$3:$GG$587,'0.Productos'!BR$1+1,0),"")</f>
        <v/>
      </c>
      <c r="AA436" s="133" t="str">
        <f>IF($A436&lt;&gt;0,VLOOKUP($A436,'0.Productos'!$A$3:$GG$587,'0.Productos'!BS$1+1,0),"")</f>
        <v/>
      </c>
      <c r="AB436" s="133" t="str">
        <f>IF($A436&lt;&gt;0,VLOOKUP($A436,'0.Productos'!$A$3:$GG$587,'0.Productos'!BT$1+1,0),"")</f>
        <v/>
      </c>
      <c r="AC436" s="133" t="str">
        <f>IF($A436&lt;&gt;0,VLOOKUP($A436,'0.Productos'!$A$3:$GG$587,'0.Productos'!BU$1+1,0),"")</f>
        <v/>
      </c>
      <c r="AD436" s="133" t="str">
        <f>IF($A436&lt;&gt;0,VLOOKUP($A436,'0.Productos'!$A$3:$GG$587,'0.Productos'!BV$1+1,0),"")</f>
        <v/>
      </c>
      <c r="AE436" s="133" t="str">
        <f>IF($A436&lt;&gt;0,VLOOKUP($A436,'0.Productos'!$A$3:$GG$587,'0.Productos'!BW$1+1,0),"")</f>
        <v/>
      </c>
      <c r="AF436" s="133" t="str">
        <f>IF($A436&lt;&gt;0,VLOOKUP($A436,'0.Productos'!$A$3:$GG$587,'0.Productos'!BX$1+1,0),"")</f>
        <v/>
      </c>
      <c r="AG436" s="133" t="str">
        <f>IF($A436&lt;&gt;0,VLOOKUP($A436,'0.Productos'!$A$3:$GG$587,'0.Productos'!BY$1+1,0),"")</f>
        <v/>
      </c>
      <c r="AH436" s="133" t="str">
        <f>IF($A436&lt;&gt;0,VLOOKUP($A436,'0.Productos'!$A$3:$GG$587,'0.Productos'!BZ$1+1,0),"")</f>
        <v/>
      </c>
      <c r="AI436" s="133" t="str">
        <f>IF($A436&lt;&gt;0,VLOOKUP($A436,'0.Productos'!$A$3:$GG$587,'0.Productos'!CA$1+1,0),"")</f>
        <v/>
      </c>
      <c r="AJ436" s="133" t="str">
        <f>IF($A436&lt;&gt;0,VLOOKUP($A436,'0.Productos'!$A$3:$GG$587,'0.Productos'!CB$1+1,0),"")</f>
        <v/>
      </c>
      <c r="AK436" s="133" t="str">
        <f>IF($A436&lt;&gt;0,VLOOKUP($A436,'0.Productos'!$A$3:$GG$587,'0.Productos'!CC$1+1,0),"")</f>
        <v/>
      </c>
      <c r="AL436" s="133" t="str">
        <f>IF($A436&lt;&gt;0,VLOOKUP($A436,'0.Productos'!$A$3:$GG$587,'0.Productos'!CD$1+1,0),"")</f>
        <v/>
      </c>
      <c r="AM436" s="133" t="str">
        <f>IF($A436&lt;&gt;0,VLOOKUP($A436,'0.Productos'!$A$3:$GG$587,'0.Productos'!CE$1+1,0),"")</f>
        <v/>
      </c>
      <c r="AN436" s="133" t="str">
        <f>IF($A436&lt;&gt;0,VLOOKUP($A436,'0.Productos'!$A$3:$GG$587,'0.Productos'!CF$1+1,0),"")</f>
        <v/>
      </c>
      <c r="AO436" s="133" t="str">
        <f>IF($A436&lt;&gt;0,VLOOKUP($A436,'0.Productos'!$A$3:$GG$587,'0.Productos'!CG$1+1,0),"")</f>
        <v/>
      </c>
      <c r="AP436" s="133" t="str">
        <f>IF($A436&lt;&gt;0,VLOOKUP($A436,'0.Productos'!$A$3:$GG$587,'0.Productos'!CH$1+1,0),"")</f>
        <v/>
      </c>
      <c r="AQ436" s="133" t="str">
        <f>IF($A436&lt;&gt;0,VLOOKUP($A436,'0.Productos'!$A$3:$GG$587,'0.Productos'!CI$1+1,0),"")</f>
        <v/>
      </c>
      <c r="AR436" s="133" t="str">
        <f>IF($A436&lt;&gt;0,VLOOKUP($A436,'0.Productos'!$A$3:$GG$587,'0.Productos'!CJ$1+1,0),"")</f>
        <v/>
      </c>
      <c r="AS436" s="133" t="str">
        <f>IF($A436&lt;&gt;0,VLOOKUP($A436,'0.Productos'!$A$3:$GG$587,'0.Productos'!CK$1+1,0),"")</f>
        <v/>
      </c>
      <c r="AT436" s="133" t="str">
        <f>IF($A436&lt;&gt;0,VLOOKUP($A436,'0.Productos'!$A$3:$GG$587,'0.Productos'!CL$1+1,0),"")</f>
        <v/>
      </c>
      <c r="AU436" s="133" t="str">
        <f>IF($A436&lt;&gt;0,VLOOKUP($A436,'0.Productos'!$A$3:$GG$587,'0.Productos'!CM$1+1,0),"")</f>
        <v/>
      </c>
      <c r="AV436" s="133" t="str">
        <f>IF($A436&lt;&gt;0,VLOOKUP($A436,'0.Productos'!$A$3:$GG$587,'0.Productos'!CN$1+1,0),"")</f>
        <v/>
      </c>
      <c r="AW436" s="133" t="str">
        <f>IF($A436&lt;&gt;0,VLOOKUP($A436,'0.Productos'!$A$3:$GG$587,'0.Productos'!CO$1+1,0),"")</f>
        <v/>
      </c>
      <c r="AX436" s="133" t="str">
        <f>IF($A436&lt;&gt;0,VLOOKUP($A436,'0.Productos'!$A$3:$GG$587,'0.Productos'!CP$1+1,0),"")</f>
        <v/>
      </c>
      <c r="AY436" s="133" t="str">
        <f>IF($A436&lt;&gt;0,VLOOKUP($A436,'0.Productos'!$A$3:$GG$587,'0.Productos'!CQ$1+1,0),"")</f>
        <v/>
      </c>
      <c r="AZ436" s="133" t="str">
        <f>IF($A436&lt;&gt;0,VLOOKUP($A436,'0.Productos'!$A$3:$GG$587,'0.Productos'!CR$1+1,0),"")</f>
        <v/>
      </c>
      <c r="BA436" s="133" t="str">
        <f>IF($A436&lt;&gt;0,VLOOKUP($A436,'0.Productos'!$A$3:$GG$587,'0.Productos'!CS$1+1,0),"")</f>
        <v/>
      </c>
      <c r="BB436" s="133" t="str">
        <f>IF($A436&lt;&gt;0,VLOOKUP($A436,'0.Productos'!$A$3:$GG$587,'0.Productos'!CT$1+1,0),"")</f>
        <v/>
      </c>
      <c r="BC436" s="133" t="str">
        <f>IF($A436&lt;&gt;0,VLOOKUP($A436,'0.Productos'!$A$3:$GG$587,'0.Productos'!CU$1+1,0),"")</f>
        <v/>
      </c>
      <c r="BD436" s="133" t="str">
        <f>IF($A436&lt;&gt;0,VLOOKUP($A436,'0.Productos'!$A$3:$GG$587,'0.Productos'!CV$1+1,0),"")</f>
        <v/>
      </c>
      <c r="BE436" s="133" t="str">
        <f>IF($A436&lt;&gt;0,VLOOKUP($A436,'0.Productos'!$A$3:$GG$587,'0.Productos'!CW$1+1,0),"")</f>
        <v/>
      </c>
      <c r="BF436" s="133" t="str">
        <f>IF($A436&lt;&gt;0,VLOOKUP($A436,'0.Productos'!$A$3:$GG$587,'0.Productos'!CX$1+1,0),"")</f>
        <v/>
      </c>
      <c r="BG436" s="133" t="str">
        <f>IF($A436&lt;&gt;0,VLOOKUP($A436,'0.Productos'!$A$3:$GG$587,'0.Productos'!CY$1+1,0),"")</f>
        <v/>
      </c>
      <c r="BH436" s="133" t="str">
        <f>IF($A436&lt;&gt;0,VLOOKUP($A436,'0.Productos'!$A$3:$GG$587,'0.Productos'!CZ$1+1,0),"")</f>
        <v/>
      </c>
      <c r="BI436" s="133" t="str">
        <f>IF($A436&lt;&gt;0,VLOOKUP($A436,'0.Productos'!$A$3:$GG$587,'0.Productos'!DA$1+1,0),"")</f>
        <v/>
      </c>
      <c r="BJ436" s="133" t="str">
        <f>IF($A436&lt;&gt;0,VLOOKUP($A436,'0.Productos'!$A$3:$GG$587,'0.Productos'!DB$1+1,0),"")</f>
        <v/>
      </c>
      <c r="BK436" s="133" t="str">
        <f>IF($A436&lt;&gt;0,VLOOKUP($A436,'0.Productos'!$A$3:$GG$587,'0.Productos'!DC$1+1,0),"")</f>
        <v/>
      </c>
      <c r="BL436" s="133" t="str">
        <f>IF($A436&lt;&gt;0,VLOOKUP($A436,'0.Productos'!$A$3:$GG$587,'0.Productos'!DD$1+1,0),"")</f>
        <v/>
      </c>
      <c r="BM436" s="133" t="str">
        <f>IF($A436&lt;&gt;0,VLOOKUP($A436,'0.Productos'!$A$3:$GG$587,'0.Productos'!DE$1+1,0),"")</f>
        <v/>
      </c>
      <c r="BN436" s="133" t="str">
        <f>IF($A436&lt;&gt;0,VLOOKUP($A436,'0.Productos'!$A$3:$GG$587,'0.Productos'!DF$1+1,0),"")</f>
        <v/>
      </c>
      <c r="BO436" s="133" t="str">
        <f>IF($A436&lt;&gt;0,VLOOKUP($A436,'0.Productos'!$A$3:$GG$587,'0.Productos'!DG$1+1,0),"")</f>
        <v/>
      </c>
      <c r="BP436" s="133" t="str">
        <f>IF($A436&lt;&gt;0,VLOOKUP($A436,'0.Productos'!$A$3:$GG$587,'0.Productos'!DH$1+1,0),"")</f>
        <v/>
      </c>
      <c r="BQ436" s="133" t="str">
        <f>IF($A436&lt;&gt;0,VLOOKUP($A436,'0.Productos'!$A$3:$GG$587,'0.Productos'!DI$1+1,0),"")</f>
        <v/>
      </c>
      <c r="BR436" s="133" t="str">
        <f>IF($A436&lt;&gt;0,VLOOKUP($A436,'0.Productos'!$A$3:$GG$587,'0.Productos'!DJ$1+1,0),"")</f>
        <v/>
      </c>
      <c r="BS436" s="133" t="str">
        <f>IF($A436&lt;&gt;0,VLOOKUP($A436,'0.Productos'!$A$3:$GG$587,'0.Productos'!DK$1+1,0),"")</f>
        <v/>
      </c>
      <c r="BT436" s="133" t="str">
        <f>IF($A436&lt;&gt;0,VLOOKUP($A436,'0.Productos'!$A$3:$GG$587,'0.Productos'!DL$1+1,0),"")</f>
        <v/>
      </c>
    </row>
    <row r="437" spans="1:72" x14ac:dyDescent="0.25">
      <c r="A437" s="17">
        <f>'0.Consolidado general'!A437</f>
        <v>0</v>
      </c>
      <c r="B437" s="133" t="str">
        <f>IF($A437&lt;&gt;0,VLOOKUP($A437,'0.Productos'!$A$3:$GG$587,'0.Productos'!AT$1+1,0),"")</f>
        <v/>
      </c>
      <c r="C437" s="133" t="str">
        <f>IF($A437&lt;&gt;0,VLOOKUP($A437,'0.Productos'!$A$3:$GG$587,'0.Productos'!AU$1+1,0),"")</f>
        <v/>
      </c>
      <c r="D437" s="133" t="str">
        <f>IF($A437&lt;&gt;0,VLOOKUP($A437,'0.Productos'!$A$3:$GG$587,'0.Productos'!AV$1+1,0),"")</f>
        <v/>
      </c>
      <c r="E437" s="133" t="str">
        <f>IF($A437&lt;&gt;0,VLOOKUP($A437,'0.Productos'!$A$3:$GG$587,'0.Productos'!AW$1+1,0),"")</f>
        <v/>
      </c>
      <c r="F437" s="133" t="str">
        <f>IF($A437&lt;&gt;0,VLOOKUP($A437,'0.Productos'!$A$3:$GG$587,'0.Productos'!AX$1+1,0),"")</f>
        <v/>
      </c>
      <c r="G437" s="133" t="str">
        <f>IF($A437&lt;&gt;0,VLOOKUP($A437,'0.Productos'!$A$3:$GG$587,'0.Productos'!AY$1+1,0),"")</f>
        <v/>
      </c>
      <c r="H437" s="133" t="str">
        <f>IF($A437&lt;&gt;0,VLOOKUP($A437,'0.Productos'!$A$3:$GG$587,'0.Productos'!AZ$1+1,0),"")</f>
        <v/>
      </c>
      <c r="I437" s="133" t="str">
        <f>IF($A437&lt;&gt;0,VLOOKUP($A437,'0.Productos'!$A$3:$GG$587,'0.Productos'!BA$1+1,0),"")</f>
        <v/>
      </c>
      <c r="J437" s="133" t="str">
        <f>IF($A437&lt;&gt;0,VLOOKUP($A437,'0.Productos'!$A$3:$GG$587,'0.Productos'!BB$1+1,0),"")</f>
        <v/>
      </c>
      <c r="K437" s="133" t="str">
        <f>IF($A437&lt;&gt;0,VLOOKUP($A437,'0.Productos'!$A$3:$GG$587,'0.Productos'!BC$1+1,0),"")</f>
        <v/>
      </c>
      <c r="L437" s="133" t="str">
        <f>IF($A437&lt;&gt;0,VLOOKUP($A437,'0.Productos'!$A$3:$GG$587,'0.Productos'!BD$1+1,0),"")</f>
        <v/>
      </c>
      <c r="M437" s="133" t="str">
        <f>IF($A437&lt;&gt;0,VLOOKUP($A437,'0.Productos'!$A$3:$GG$587,'0.Productos'!BE$1+1,0),"")</f>
        <v/>
      </c>
      <c r="N437" s="133" t="str">
        <f>IF($A437&lt;&gt;0,VLOOKUP($A437,'0.Productos'!$A$3:$GG$587,'0.Productos'!BF$1+1,0),"")</f>
        <v/>
      </c>
      <c r="O437" s="133" t="str">
        <f>IF($A437&lt;&gt;0,VLOOKUP($A437,'0.Productos'!$A$3:$GG$587,'0.Productos'!BG$1+1,0),"")</f>
        <v/>
      </c>
      <c r="P437" s="133" t="str">
        <f>IF($A437&lt;&gt;0,VLOOKUP($A437,'0.Productos'!$A$3:$GG$587,'0.Productos'!BH$1+1,0),"")</f>
        <v/>
      </c>
      <c r="Q437" s="133" t="str">
        <f>IF($A437&lt;&gt;0,VLOOKUP($A437,'0.Productos'!$A$3:$GG$587,'0.Productos'!BI$1+1,0),"")</f>
        <v/>
      </c>
      <c r="R437" s="133" t="str">
        <f>IF($A437&lt;&gt;0,VLOOKUP($A437,'0.Productos'!$A$3:$GG$587,'0.Productos'!BJ$1+1,0),"")</f>
        <v/>
      </c>
      <c r="S437" s="133" t="str">
        <f>IF($A437&lt;&gt;0,VLOOKUP($A437,'0.Productos'!$A$3:$GG$587,'0.Productos'!BK$1+1,0),"")</f>
        <v/>
      </c>
      <c r="T437" s="133" t="str">
        <f>IF($A437&lt;&gt;0,VLOOKUP($A437,'0.Productos'!$A$3:$GG$587,'0.Productos'!BL$1+1,0),"")</f>
        <v/>
      </c>
      <c r="U437" s="133" t="str">
        <f>IF($A437&lt;&gt;0,VLOOKUP($A437,'0.Productos'!$A$3:$GG$587,'0.Productos'!BM$1+1,0),"")</f>
        <v/>
      </c>
      <c r="V437" s="133" t="str">
        <f>IF($A437&lt;&gt;0,VLOOKUP($A437,'0.Productos'!$A$3:$GG$587,'0.Productos'!BN$1+1,0),"")</f>
        <v/>
      </c>
      <c r="W437" s="133" t="str">
        <f>IF($A437&lt;&gt;0,VLOOKUP($A437,'0.Productos'!$A$3:$GG$587,'0.Productos'!BO$1+1,0),"")</f>
        <v/>
      </c>
      <c r="X437" s="133" t="str">
        <f>IF($A437&lt;&gt;0,VLOOKUP($A437,'0.Productos'!$A$3:$GG$587,'0.Productos'!BP$1+1,0),"")</f>
        <v/>
      </c>
      <c r="Y437" s="133" t="str">
        <f>IF($A437&lt;&gt;0,VLOOKUP($A437,'0.Productos'!$A$3:$GG$587,'0.Productos'!BQ$1+1,0),"")</f>
        <v/>
      </c>
      <c r="Z437" s="133" t="str">
        <f>IF($A437&lt;&gt;0,VLOOKUP($A437,'0.Productos'!$A$3:$GG$587,'0.Productos'!BR$1+1,0),"")</f>
        <v/>
      </c>
      <c r="AA437" s="133" t="str">
        <f>IF($A437&lt;&gt;0,VLOOKUP($A437,'0.Productos'!$A$3:$GG$587,'0.Productos'!BS$1+1,0),"")</f>
        <v/>
      </c>
      <c r="AB437" s="133" t="str">
        <f>IF($A437&lt;&gt;0,VLOOKUP($A437,'0.Productos'!$A$3:$GG$587,'0.Productos'!BT$1+1,0),"")</f>
        <v/>
      </c>
      <c r="AC437" s="133" t="str">
        <f>IF($A437&lt;&gt;0,VLOOKUP($A437,'0.Productos'!$A$3:$GG$587,'0.Productos'!BU$1+1,0),"")</f>
        <v/>
      </c>
      <c r="AD437" s="133" t="str">
        <f>IF($A437&lt;&gt;0,VLOOKUP($A437,'0.Productos'!$A$3:$GG$587,'0.Productos'!BV$1+1,0),"")</f>
        <v/>
      </c>
      <c r="AE437" s="133" t="str">
        <f>IF($A437&lt;&gt;0,VLOOKUP($A437,'0.Productos'!$A$3:$GG$587,'0.Productos'!BW$1+1,0),"")</f>
        <v/>
      </c>
      <c r="AF437" s="133" t="str">
        <f>IF($A437&lt;&gt;0,VLOOKUP($A437,'0.Productos'!$A$3:$GG$587,'0.Productos'!BX$1+1,0),"")</f>
        <v/>
      </c>
      <c r="AG437" s="133" t="str">
        <f>IF($A437&lt;&gt;0,VLOOKUP($A437,'0.Productos'!$A$3:$GG$587,'0.Productos'!BY$1+1,0),"")</f>
        <v/>
      </c>
      <c r="AH437" s="133" t="str">
        <f>IF($A437&lt;&gt;0,VLOOKUP($A437,'0.Productos'!$A$3:$GG$587,'0.Productos'!BZ$1+1,0),"")</f>
        <v/>
      </c>
      <c r="AI437" s="133" t="str">
        <f>IF($A437&lt;&gt;0,VLOOKUP($A437,'0.Productos'!$A$3:$GG$587,'0.Productos'!CA$1+1,0),"")</f>
        <v/>
      </c>
      <c r="AJ437" s="133" t="str">
        <f>IF($A437&lt;&gt;0,VLOOKUP($A437,'0.Productos'!$A$3:$GG$587,'0.Productos'!CB$1+1,0),"")</f>
        <v/>
      </c>
      <c r="AK437" s="133" t="str">
        <f>IF($A437&lt;&gt;0,VLOOKUP($A437,'0.Productos'!$A$3:$GG$587,'0.Productos'!CC$1+1,0),"")</f>
        <v/>
      </c>
      <c r="AL437" s="133" t="str">
        <f>IF($A437&lt;&gt;0,VLOOKUP($A437,'0.Productos'!$A$3:$GG$587,'0.Productos'!CD$1+1,0),"")</f>
        <v/>
      </c>
      <c r="AM437" s="133" t="str">
        <f>IF($A437&lt;&gt;0,VLOOKUP($A437,'0.Productos'!$A$3:$GG$587,'0.Productos'!CE$1+1,0),"")</f>
        <v/>
      </c>
      <c r="AN437" s="133" t="str">
        <f>IF($A437&lt;&gt;0,VLOOKUP($A437,'0.Productos'!$A$3:$GG$587,'0.Productos'!CF$1+1,0),"")</f>
        <v/>
      </c>
      <c r="AO437" s="133" t="str">
        <f>IF($A437&lt;&gt;0,VLOOKUP($A437,'0.Productos'!$A$3:$GG$587,'0.Productos'!CG$1+1,0),"")</f>
        <v/>
      </c>
      <c r="AP437" s="133" t="str">
        <f>IF($A437&lt;&gt;0,VLOOKUP($A437,'0.Productos'!$A$3:$GG$587,'0.Productos'!CH$1+1,0),"")</f>
        <v/>
      </c>
      <c r="AQ437" s="133" t="str">
        <f>IF($A437&lt;&gt;0,VLOOKUP($A437,'0.Productos'!$A$3:$GG$587,'0.Productos'!CI$1+1,0),"")</f>
        <v/>
      </c>
      <c r="AR437" s="133" t="str">
        <f>IF($A437&lt;&gt;0,VLOOKUP($A437,'0.Productos'!$A$3:$GG$587,'0.Productos'!CJ$1+1,0),"")</f>
        <v/>
      </c>
      <c r="AS437" s="133" t="str">
        <f>IF($A437&lt;&gt;0,VLOOKUP($A437,'0.Productos'!$A$3:$GG$587,'0.Productos'!CK$1+1,0),"")</f>
        <v/>
      </c>
      <c r="AT437" s="133" t="str">
        <f>IF($A437&lt;&gt;0,VLOOKUP($A437,'0.Productos'!$A$3:$GG$587,'0.Productos'!CL$1+1,0),"")</f>
        <v/>
      </c>
      <c r="AU437" s="133" t="str">
        <f>IF($A437&lt;&gt;0,VLOOKUP($A437,'0.Productos'!$A$3:$GG$587,'0.Productos'!CM$1+1,0),"")</f>
        <v/>
      </c>
      <c r="AV437" s="133" t="str">
        <f>IF($A437&lt;&gt;0,VLOOKUP($A437,'0.Productos'!$A$3:$GG$587,'0.Productos'!CN$1+1,0),"")</f>
        <v/>
      </c>
      <c r="AW437" s="133" t="str">
        <f>IF($A437&lt;&gt;0,VLOOKUP($A437,'0.Productos'!$A$3:$GG$587,'0.Productos'!CO$1+1,0),"")</f>
        <v/>
      </c>
      <c r="AX437" s="133" t="str">
        <f>IF($A437&lt;&gt;0,VLOOKUP($A437,'0.Productos'!$A$3:$GG$587,'0.Productos'!CP$1+1,0),"")</f>
        <v/>
      </c>
      <c r="AY437" s="133" t="str">
        <f>IF($A437&lt;&gt;0,VLOOKUP($A437,'0.Productos'!$A$3:$GG$587,'0.Productos'!CQ$1+1,0),"")</f>
        <v/>
      </c>
      <c r="AZ437" s="133" t="str">
        <f>IF($A437&lt;&gt;0,VLOOKUP($A437,'0.Productos'!$A$3:$GG$587,'0.Productos'!CR$1+1,0),"")</f>
        <v/>
      </c>
      <c r="BA437" s="133" t="str">
        <f>IF($A437&lt;&gt;0,VLOOKUP($A437,'0.Productos'!$A$3:$GG$587,'0.Productos'!CS$1+1,0),"")</f>
        <v/>
      </c>
      <c r="BB437" s="133" t="str">
        <f>IF($A437&lt;&gt;0,VLOOKUP($A437,'0.Productos'!$A$3:$GG$587,'0.Productos'!CT$1+1,0),"")</f>
        <v/>
      </c>
      <c r="BC437" s="133" t="str">
        <f>IF($A437&lt;&gt;0,VLOOKUP($A437,'0.Productos'!$A$3:$GG$587,'0.Productos'!CU$1+1,0),"")</f>
        <v/>
      </c>
      <c r="BD437" s="133" t="str">
        <f>IF($A437&lt;&gt;0,VLOOKUP($A437,'0.Productos'!$A$3:$GG$587,'0.Productos'!CV$1+1,0),"")</f>
        <v/>
      </c>
      <c r="BE437" s="133" t="str">
        <f>IF($A437&lt;&gt;0,VLOOKUP($A437,'0.Productos'!$A$3:$GG$587,'0.Productos'!CW$1+1,0),"")</f>
        <v/>
      </c>
      <c r="BF437" s="133" t="str">
        <f>IF($A437&lt;&gt;0,VLOOKUP($A437,'0.Productos'!$A$3:$GG$587,'0.Productos'!CX$1+1,0),"")</f>
        <v/>
      </c>
      <c r="BG437" s="133" t="str">
        <f>IF($A437&lt;&gt;0,VLOOKUP($A437,'0.Productos'!$A$3:$GG$587,'0.Productos'!CY$1+1,0),"")</f>
        <v/>
      </c>
      <c r="BH437" s="133" t="str">
        <f>IF($A437&lt;&gt;0,VLOOKUP($A437,'0.Productos'!$A$3:$GG$587,'0.Productos'!CZ$1+1,0),"")</f>
        <v/>
      </c>
      <c r="BI437" s="133" t="str">
        <f>IF($A437&lt;&gt;0,VLOOKUP($A437,'0.Productos'!$A$3:$GG$587,'0.Productos'!DA$1+1,0),"")</f>
        <v/>
      </c>
      <c r="BJ437" s="133" t="str">
        <f>IF($A437&lt;&gt;0,VLOOKUP($A437,'0.Productos'!$A$3:$GG$587,'0.Productos'!DB$1+1,0),"")</f>
        <v/>
      </c>
      <c r="BK437" s="133" t="str">
        <f>IF($A437&lt;&gt;0,VLOOKUP($A437,'0.Productos'!$A$3:$GG$587,'0.Productos'!DC$1+1,0),"")</f>
        <v/>
      </c>
      <c r="BL437" s="133" t="str">
        <f>IF($A437&lt;&gt;0,VLOOKUP($A437,'0.Productos'!$A$3:$GG$587,'0.Productos'!DD$1+1,0),"")</f>
        <v/>
      </c>
      <c r="BM437" s="133" t="str">
        <f>IF($A437&lt;&gt;0,VLOOKUP($A437,'0.Productos'!$A$3:$GG$587,'0.Productos'!DE$1+1,0),"")</f>
        <v/>
      </c>
      <c r="BN437" s="133" t="str">
        <f>IF($A437&lt;&gt;0,VLOOKUP($A437,'0.Productos'!$A$3:$GG$587,'0.Productos'!DF$1+1,0),"")</f>
        <v/>
      </c>
      <c r="BO437" s="133" t="str">
        <f>IF($A437&lt;&gt;0,VLOOKUP($A437,'0.Productos'!$A$3:$GG$587,'0.Productos'!DG$1+1,0),"")</f>
        <v/>
      </c>
      <c r="BP437" s="133" t="str">
        <f>IF($A437&lt;&gt;0,VLOOKUP($A437,'0.Productos'!$A$3:$GG$587,'0.Productos'!DH$1+1,0),"")</f>
        <v/>
      </c>
      <c r="BQ437" s="133" t="str">
        <f>IF($A437&lt;&gt;0,VLOOKUP($A437,'0.Productos'!$A$3:$GG$587,'0.Productos'!DI$1+1,0),"")</f>
        <v/>
      </c>
      <c r="BR437" s="133" t="str">
        <f>IF($A437&lt;&gt;0,VLOOKUP($A437,'0.Productos'!$A$3:$GG$587,'0.Productos'!DJ$1+1,0),"")</f>
        <v/>
      </c>
      <c r="BS437" s="133" t="str">
        <f>IF($A437&lt;&gt;0,VLOOKUP($A437,'0.Productos'!$A$3:$GG$587,'0.Productos'!DK$1+1,0),"")</f>
        <v/>
      </c>
      <c r="BT437" s="133" t="str">
        <f>IF($A437&lt;&gt;0,VLOOKUP($A437,'0.Productos'!$A$3:$GG$587,'0.Productos'!DL$1+1,0),"")</f>
        <v/>
      </c>
    </row>
    <row r="438" spans="1:72" x14ac:dyDescent="0.25">
      <c r="A438" s="17">
        <f>'0.Consolidado general'!A438</f>
        <v>0</v>
      </c>
      <c r="B438" s="133" t="str">
        <f>IF($A438&lt;&gt;0,VLOOKUP($A438,'0.Productos'!$A$3:$GG$587,'0.Productos'!AT$1+1,0),"")</f>
        <v/>
      </c>
      <c r="C438" s="133" t="str">
        <f>IF($A438&lt;&gt;0,VLOOKUP($A438,'0.Productos'!$A$3:$GG$587,'0.Productos'!AU$1+1,0),"")</f>
        <v/>
      </c>
      <c r="D438" s="133" t="str">
        <f>IF($A438&lt;&gt;0,VLOOKUP($A438,'0.Productos'!$A$3:$GG$587,'0.Productos'!AV$1+1,0),"")</f>
        <v/>
      </c>
      <c r="E438" s="133" t="str">
        <f>IF($A438&lt;&gt;0,VLOOKUP($A438,'0.Productos'!$A$3:$GG$587,'0.Productos'!AW$1+1,0),"")</f>
        <v/>
      </c>
      <c r="F438" s="133" t="str">
        <f>IF($A438&lt;&gt;0,VLOOKUP($A438,'0.Productos'!$A$3:$GG$587,'0.Productos'!AX$1+1,0),"")</f>
        <v/>
      </c>
      <c r="G438" s="133" t="str">
        <f>IF($A438&lt;&gt;0,VLOOKUP($A438,'0.Productos'!$A$3:$GG$587,'0.Productos'!AY$1+1,0),"")</f>
        <v/>
      </c>
      <c r="H438" s="133" t="str">
        <f>IF($A438&lt;&gt;0,VLOOKUP($A438,'0.Productos'!$A$3:$GG$587,'0.Productos'!AZ$1+1,0),"")</f>
        <v/>
      </c>
      <c r="I438" s="133" t="str">
        <f>IF($A438&lt;&gt;0,VLOOKUP($A438,'0.Productos'!$A$3:$GG$587,'0.Productos'!BA$1+1,0),"")</f>
        <v/>
      </c>
      <c r="J438" s="133" t="str">
        <f>IF($A438&lt;&gt;0,VLOOKUP($A438,'0.Productos'!$A$3:$GG$587,'0.Productos'!BB$1+1,0),"")</f>
        <v/>
      </c>
      <c r="K438" s="133" t="str">
        <f>IF($A438&lt;&gt;0,VLOOKUP($A438,'0.Productos'!$A$3:$GG$587,'0.Productos'!BC$1+1,0),"")</f>
        <v/>
      </c>
      <c r="L438" s="133" t="str">
        <f>IF($A438&lt;&gt;0,VLOOKUP($A438,'0.Productos'!$A$3:$GG$587,'0.Productos'!BD$1+1,0),"")</f>
        <v/>
      </c>
      <c r="M438" s="133" t="str">
        <f>IF($A438&lt;&gt;0,VLOOKUP($A438,'0.Productos'!$A$3:$GG$587,'0.Productos'!BE$1+1,0),"")</f>
        <v/>
      </c>
      <c r="N438" s="133" t="str">
        <f>IF($A438&lt;&gt;0,VLOOKUP($A438,'0.Productos'!$A$3:$GG$587,'0.Productos'!BF$1+1,0),"")</f>
        <v/>
      </c>
      <c r="O438" s="133" t="str">
        <f>IF($A438&lt;&gt;0,VLOOKUP($A438,'0.Productos'!$A$3:$GG$587,'0.Productos'!BG$1+1,0),"")</f>
        <v/>
      </c>
      <c r="P438" s="133" t="str">
        <f>IF($A438&lt;&gt;0,VLOOKUP($A438,'0.Productos'!$A$3:$GG$587,'0.Productos'!BH$1+1,0),"")</f>
        <v/>
      </c>
      <c r="Q438" s="133" t="str">
        <f>IF($A438&lt;&gt;0,VLOOKUP($A438,'0.Productos'!$A$3:$GG$587,'0.Productos'!BI$1+1,0),"")</f>
        <v/>
      </c>
      <c r="R438" s="133" t="str">
        <f>IF($A438&lt;&gt;0,VLOOKUP($A438,'0.Productos'!$A$3:$GG$587,'0.Productos'!BJ$1+1,0),"")</f>
        <v/>
      </c>
      <c r="S438" s="133" t="str">
        <f>IF($A438&lt;&gt;0,VLOOKUP($A438,'0.Productos'!$A$3:$GG$587,'0.Productos'!BK$1+1,0),"")</f>
        <v/>
      </c>
      <c r="T438" s="133" t="str">
        <f>IF($A438&lt;&gt;0,VLOOKUP($A438,'0.Productos'!$A$3:$GG$587,'0.Productos'!BL$1+1,0),"")</f>
        <v/>
      </c>
      <c r="U438" s="133" t="str">
        <f>IF($A438&lt;&gt;0,VLOOKUP($A438,'0.Productos'!$A$3:$GG$587,'0.Productos'!BM$1+1,0),"")</f>
        <v/>
      </c>
      <c r="V438" s="133" t="str">
        <f>IF($A438&lt;&gt;0,VLOOKUP($A438,'0.Productos'!$A$3:$GG$587,'0.Productos'!BN$1+1,0),"")</f>
        <v/>
      </c>
      <c r="W438" s="133" t="str">
        <f>IF($A438&lt;&gt;0,VLOOKUP($A438,'0.Productos'!$A$3:$GG$587,'0.Productos'!BO$1+1,0),"")</f>
        <v/>
      </c>
      <c r="X438" s="133" t="str">
        <f>IF($A438&lt;&gt;0,VLOOKUP($A438,'0.Productos'!$A$3:$GG$587,'0.Productos'!BP$1+1,0),"")</f>
        <v/>
      </c>
      <c r="Y438" s="133" t="str">
        <f>IF($A438&lt;&gt;0,VLOOKUP($A438,'0.Productos'!$A$3:$GG$587,'0.Productos'!BQ$1+1,0),"")</f>
        <v/>
      </c>
      <c r="Z438" s="133" t="str">
        <f>IF($A438&lt;&gt;0,VLOOKUP($A438,'0.Productos'!$A$3:$GG$587,'0.Productos'!BR$1+1,0),"")</f>
        <v/>
      </c>
      <c r="AA438" s="133" t="str">
        <f>IF($A438&lt;&gt;0,VLOOKUP($A438,'0.Productos'!$A$3:$GG$587,'0.Productos'!BS$1+1,0),"")</f>
        <v/>
      </c>
      <c r="AB438" s="133" t="str">
        <f>IF($A438&lt;&gt;0,VLOOKUP($A438,'0.Productos'!$A$3:$GG$587,'0.Productos'!BT$1+1,0),"")</f>
        <v/>
      </c>
      <c r="AC438" s="133" t="str">
        <f>IF($A438&lt;&gt;0,VLOOKUP($A438,'0.Productos'!$A$3:$GG$587,'0.Productos'!BU$1+1,0),"")</f>
        <v/>
      </c>
      <c r="AD438" s="133" t="str">
        <f>IF($A438&lt;&gt;0,VLOOKUP($A438,'0.Productos'!$A$3:$GG$587,'0.Productos'!BV$1+1,0),"")</f>
        <v/>
      </c>
      <c r="AE438" s="133" t="str">
        <f>IF($A438&lt;&gt;0,VLOOKUP($A438,'0.Productos'!$A$3:$GG$587,'0.Productos'!BW$1+1,0),"")</f>
        <v/>
      </c>
      <c r="AF438" s="133" t="str">
        <f>IF($A438&lt;&gt;0,VLOOKUP($A438,'0.Productos'!$A$3:$GG$587,'0.Productos'!BX$1+1,0),"")</f>
        <v/>
      </c>
      <c r="AG438" s="133" t="str">
        <f>IF($A438&lt;&gt;0,VLOOKUP($A438,'0.Productos'!$A$3:$GG$587,'0.Productos'!BY$1+1,0),"")</f>
        <v/>
      </c>
      <c r="AH438" s="133" t="str">
        <f>IF($A438&lt;&gt;0,VLOOKUP($A438,'0.Productos'!$A$3:$GG$587,'0.Productos'!BZ$1+1,0),"")</f>
        <v/>
      </c>
      <c r="AI438" s="133" t="str">
        <f>IF($A438&lt;&gt;0,VLOOKUP($A438,'0.Productos'!$A$3:$GG$587,'0.Productos'!CA$1+1,0),"")</f>
        <v/>
      </c>
      <c r="AJ438" s="133" t="str">
        <f>IF($A438&lt;&gt;0,VLOOKUP($A438,'0.Productos'!$A$3:$GG$587,'0.Productos'!CB$1+1,0),"")</f>
        <v/>
      </c>
      <c r="AK438" s="133" t="str">
        <f>IF($A438&lt;&gt;0,VLOOKUP($A438,'0.Productos'!$A$3:$GG$587,'0.Productos'!CC$1+1,0),"")</f>
        <v/>
      </c>
      <c r="AL438" s="133" t="str">
        <f>IF($A438&lt;&gt;0,VLOOKUP($A438,'0.Productos'!$A$3:$GG$587,'0.Productos'!CD$1+1,0),"")</f>
        <v/>
      </c>
      <c r="AM438" s="133" t="str">
        <f>IF($A438&lt;&gt;0,VLOOKUP($A438,'0.Productos'!$A$3:$GG$587,'0.Productos'!CE$1+1,0),"")</f>
        <v/>
      </c>
      <c r="AN438" s="133" t="str">
        <f>IF($A438&lt;&gt;0,VLOOKUP($A438,'0.Productos'!$A$3:$GG$587,'0.Productos'!CF$1+1,0),"")</f>
        <v/>
      </c>
      <c r="AO438" s="133" t="str">
        <f>IF($A438&lt;&gt;0,VLOOKUP($A438,'0.Productos'!$A$3:$GG$587,'0.Productos'!CG$1+1,0),"")</f>
        <v/>
      </c>
      <c r="AP438" s="133" t="str">
        <f>IF($A438&lt;&gt;0,VLOOKUP($A438,'0.Productos'!$A$3:$GG$587,'0.Productos'!CH$1+1,0),"")</f>
        <v/>
      </c>
      <c r="AQ438" s="133" t="str">
        <f>IF($A438&lt;&gt;0,VLOOKUP($A438,'0.Productos'!$A$3:$GG$587,'0.Productos'!CI$1+1,0),"")</f>
        <v/>
      </c>
      <c r="AR438" s="133" t="str">
        <f>IF($A438&lt;&gt;0,VLOOKUP($A438,'0.Productos'!$A$3:$GG$587,'0.Productos'!CJ$1+1,0),"")</f>
        <v/>
      </c>
      <c r="AS438" s="133" t="str">
        <f>IF($A438&lt;&gt;0,VLOOKUP($A438,'0.Productos'!$A$3:$GG$587,'0.Productos'!CK$1+1,0),"")</f>
        <v/>
      </c>
      <c r="AT438" s="133" t="str">
        <f>IF($A438&lt;&gt;0,VLOOKUP($A438,'0.Productos'!$A$3:$GG$587,'0.Productos'!CL$1+1,0),"")</f>
        <v/>
      </c>
      <c r="AU438" s="133" t="str">
        <f>IF($A438&lt;&gt;0,VLOOKUP($A438,'0.Productos'!$A$3:$GG$587,'0.Productos'!CM$1+1,0),"")</f>
        <v/>
      </c>
      <c r="AV438" s="133" t="str">
        <f>IF($A438&lt;&gt;0,VLOOKUP($A438,'0.Productos'!$A$3:$GG$587,'0.Productos'!CN$1+1,0),"")</f>
        <v/>
      </c>
      <c r="AW438" s="133" t="str">
        <f>IF($A438&lt;&gt;0,VLOOKUP($A438,'0.Productos'!$A$3:$GG$587,'0.Productos'!CO$1+1,0),"")</f>
        <v/>
      </c>
      <c r="AX438" s="133" t="str">
        <f>IF($A438&lt;&gt;0,VLOOKUP($A438,'0.Productos'!$A$3:$GG$587,'0.Productos'!CP$1+1,0),"")</f>
        <v/>
      </c>
      <c r="AY438" s="133" t="str">
        <f>IF($A438&lt;&gt;0,VLOOKUP($A438,'0.Productos'!$A$3:$GG$587,'0.Productos'!CQ$1+1,0),"")</f>
        <v/>
      </c>
      <c r="AZ438" s="133" t="str">
        <f>IF($A438&lt;&gt;0,VLOOKUP($A438,'0.Productos'!$A$3:$GG$587,'0.Productos'!CR$1+1,0),"")</f>
        <v/>
      </c>
      <c r="BA438" s="133" t="str">
        <f>IF($A438&lt;&gt;0,VLOOKUP($A438,'0.Productos'!$A$3:$GG$587,'0.Productos'!CS$1+1,0),"")</f>
        <v/>
      </c>
      <c r="BB438" s="133" t="str">
        <f>IF($A438&lt;&gt;0,VLOOKUP($A438,'0.Productos'!$A$3:$GG$587,'0.Productos'!CT$1+1,0),"")</f>
        <v/>
      </c>
      <c r="BC438" s="133" t="str">
        <f>IF($A438&lt;&gt;0,VLOOKUP($A438,'0.Productos'!$A$3:$GG$587,'0.Productos'!CU$1+1,0),"")</f>
        <v/>
      </c>
      <c r="BD438" s="133" t="str">
        <f>IF($A438&lt;&gt;0,VLOOKUP($A438,'0.Productos'!$A$3:$GG$587,'0.Productos'!CV$1+1,0),"")</f>
        <v/>
      </c>
      <c r="BE438" s="133" t="str">
        <f>IF($A438&lt;&gt;0,VLOOKUP($A438,'0.Productos'!$A$3:$GG$587,'0.Productos'!CW$1+1,0),"")</f>
        <v/>
      </c>
      <c r="BF438" s="133" t="str">
        <f>IF($A438&lt;&gt;0,VLOOKUP($A438,'0.Productos'!$A$3:$GG$587,'0.Productos'!CX$1+1,0),"")</f>
        <v/>
      </c>
      <c r="BG438" s="133" t="str">
        <f>IF($A438&lt;&gt;0,VLOOKUP($A438,'0.Productos'!$A$3:$GG$587,'0.Productos'!CY$1+1,0),"")</f>
        <v/>
      </c>
      <c r="BH438" s="133" t="str">
        <f>IF($A438&lt;&gt;0,VLOOKUP($A438,'0.Productos'!$A$3:$GG$587,'0.Productos'!CZ$1+1,0),"")</f>
        <v/>
      </c>
      <c r="BI438" s="133" t="str">
        <f>IF($A438&lt;&gt;0,VLOOKUP($A438,'0.Productos'!$A$3:$GG$587,'0.Productos'!DA$1+1,0),"")</f>
        <v/>
      </c>
      <c r="BJ438" s="133" t="str">
        <f>IF($A438&lt;&gt;0,VLOOKUP($A438,'0.Productos'!$A$3:$GG$587,'0.Productos'!DB$1+1,0),"")</f>
        <v/>
      </c>
      <c r="BK438" s="133" t="str">
        <f>IF($A438&lt;&gt;0,VLOOKUP($A438,'0.Productos'!$A$3:$GG$587,'0.Productos'!DC$1+1,0),"")</f>
        <v/>
      </c>
      <c r="BL438" s="133" t="str">
        <f>IF($A438&lt;&gt;0,VLOOKUP($A438,'0.Productos'!$A$3:$GG$587,'0.Productos'!DD$1+1,0),"")</f>
        <v/>
      </c>
      <c r="BM438" s="133" t="str">
        <f>IF($A438&lt;&gt;0,VLOOKUP($A438,'0.Productos'!$A$3:$GG$587,'0.Productos'!DE$1+1,0),"")</f>
        <v/>
      </c>
      <c r="BN438" s="133" t="str">
        <f>IF($A438&lt;&gt;0,VLOOKUP($A438,'0.Productos'!$A$3:$GG$587,'0.Productos'!DF$1+1,0),"")</f>
        <v/>
      </c>
      <c r="BO438" s="133" t="str">
        <f>IF($A438&lt;&gt;0,VLOOKUP($A438,'0.Productos'!$A$3:$GG$587,'0.Productos'!DG$1+1,0),"")</f>
        <v/>
      </c>
      <c r="BP438" s="133" t="str">
        <f>IF($A438&lt;&gt;0,VLOOKUP($A438,'0.Productos'!$A$3:$GG$587,'0.Productos'!DH$1+1,0),"")</f>
        <v/>
      </c>
      <c r="BQ438" s="133" t="str">
        <f>IF($A438&lt;&gt;0,VLOOKUP($A438,'0.Productos'!$A$3:$GG$587,'0.Productos'!DI$1+1,0),"")</f>
        <v/>
      </c>
      <c r="BR438" s="133" t="str">
        <f>IF($A438&lt;&gt;0,VLOOKUP($A438,'0.Productos'!$A$3:$GG$587,'0.Productos'!DJ$1+1,0),"")</f>
        <v/>
      </c>
      <c r="BS438" s="133" t="str">
        <f>IF($A438&lt;&gt;0,VLOOKUP($A438,'0.Productos'!$A$3:$GG$587,'0.Productos'!DK$1+1,0),"")</f>
        <v/>
      </c>
      <c r="BT438" s="133" t="str">
        <f>IF($A438&lt;&gt;0,VLOOKUP($A438,'0.Productos'!$A$3:$GG$587,'0.Productos'!DL$1+1,0),"")</f>
        <v/>
      </c>
    </row>
    <row r="439" spans="1:72" x14ac:dyDescent="0.25">
      <c r="A439" s="17">
        <f>'0.Consolidado general'!A439</f>
        <v>0</v>
      </c>
      <c r="B439" s="133" t="str">
        <f>IF($A439&lt;&gt;0,VLOOKUP($A439,'0.Productos'!$A$3:$GG$587,'0.Productos'!AT$1+1,0),"")</f>
        <v/>
      </c>
      <c r="C439" s="133" t="str">
        <f>IF($A439&lt;&gt;0,VLOOKUP($A439,'0.Productos'!$A$3:$GG$587,'0.Productos'!AU$1+1,0),"")</f>
        <v/>
      </c>
      <c r="D439" s="133" t="str">
        <f>IF($A439&lt;&gt;0,VLOOKUP($A439,'0.Productos'!$A$3:$GG$587,'0.Productos'!AV$1+1,0),"")</f>
        <v/>
      </c>
      <c r="E439" s="133" t="str">
        <f>IF($A439&lt;&gt;0,VLOOKUP($A439,'0.Productos'!$A$3:$GG$587,'0.Productos'!AW$1+1,0),"")</f>
        <v/>
      </c>
      <c r="F439" s="133" t="str">
        <f>IF($A439&lt;&gt;0,VLOOKUP($A439,'0.Productos'!$A$3:$GG$587,'0.Productos'!AX$1+1,0),"")</f>
        <v/>
      </c>
      <c r="G439" s="133" t="str">
        <f>IF($A439&lt;&gt;0,VLOOKUP($A439,'0.Productos'!$A$3:$GG$587,'0.Productos'!AY$1+1,0),"")</f>
        <v/>
      </c>
      <c r="H439" s="133" t="str">
        <f>IF($A439&lt;&gt;0,VLOOKUP($A439,'0.Productos'!$A$3:$GG$587,'0.Productos'!AZ$1+1,0),"")</f>
        <v/>
      </c>
      <c r="I439" s="133" t="str">
        <f>IF($A439&lt;&gt;0,VLOOKUP($A439,'0.Productos'!$A$3:$GG$587,'0.Productos'!BA$1+1,0),"")</f>
        <v/>
      </c>
      <c r="J439" s="133" t="str">
        <f>IF($A439&lt;&gt;0,VLOOKUP($A439,'0.Productos'!$A$3:$GG$587,'0.Productos'!BB$1+1,0),"")</f>
        <v/>
      </c>
      <c r="K439" s="133" t="str">
        <f>IF($A439&lt;&gt;0,VLOOKUP($A439,'0.Productos'!$A$3:$GG$587,'0.Productos'!BC$1+1,0),"")</f>
        <v/>
      </c>
      <c r="L439" s="133" t="str">
        <f>IF($A439&lt;&gt;0,VLOOKUP($A439,'0.Productos'!$A$3:$GG$587,'0.Productos'!BD$1+1,0),"")</f>
        <v/>
      </c>
      <c r="M439" s="133" t="str">
        <f>IF($A439&lt;&gt;0,VLOOKUP($A439,'0.Productos'!$A$3:$GG$587,'0.Productos'!BE$1+1,0),"")</f>
        <v/>
      </c>
      <c r="N439" s="133" t="str">
        <f>IF($A439&lt;&gt;0,VLOOKUP($A439,'0.Productos'!$A$3:$GG$587,'0.Productos'!BF$1+1,0),"")</f>
        <v/>
      </c>
      <c r="O439" s="133" t="str">
        <f>IF($A439&lt;&gt;0,VLOOKUP($A439,'0.Productos'!$A$3:$GG$587,'0.Productos'!BG$1+1,0),"")</f>
        <v/>
      </c>
      <c r="P439" s="133" t="str">
        <f>IF($A439&lt;&gt;0,VLOOKUP($A439,'0.Productos'!$A$3:$GG$587,'0.Productos'!BH$1+1,0),"")</f>
        <v/>
      </c>
      <c r="Q439" s="133" t="str">
        <f>IF($A439&lt;&gt;0,VLOOKUP($A439,'0.Productos'!$A$3:$GG$587,'0.Productos'!BI$1+1,0),"")</f>
        <v/>
      </c>
      <c r="R439" s="133" t="str">
        <f>IF($A439&lt;&gt;0,VLOOKUP($A439,'0.Productos'!$A$3:$GG$587,'0.Productos'!BJ$1+1,0),"")</f>
        <v/>
      </c>
      <c r="S439" s="133" t="str">
        <f>IF($A439&lt;&gt;0,VLOOKUP($A439,'0.Productos'!$A$3:$GG$587,'0.Productos'!BK$1+1,0),"")</f>
        <v/>
      </c>
      <c r="T439" s="133" t="str">
        <f>IF($A439&lt;&gt;0,VLOOKUP($A439,'0.Productos'!$A$3:$GG$587,'0.Productos'!BL$1+1,0),"")</f>
        <v/>
      </c>
      <c r="U439" s="133" t="str">
        <f>IF($A439&lt;&gt;0,VLOOKUP($A439,'0.Productos'!$A$3:$GG$587,'0.Productos'!BM$1+1,0),"")</f>
        <v/>
      </c>
      <c r="V439" s="133" t="str">
        <f>IF($A439&lt;&gt;0,VLOOKUP($A439,'0.Productos'!$A$3:$GG$587,'0.Productos'!BN$1+1,0),"")</f>
        <v/>
      </c>
      <c r="W439" s="133" t="str">
        <f>IF($A439&lt;&gt;0,VLOOKUP($A439,'0.Productos'!$A$3:$GG$587,'0.Productos'!BO$1+1,0),"")</f>
        <v/>
      </c>
      <c r="X439" s="133" t="str">
        <f>IF($A439&lt;&gt;0,VLOOKUP($A439,'0.Productos'!$A$3:$GG$587,'0.Productos'!BP$1+1,0),"")</f>
        <v/>
      </c>
      <c r="Y439" s="133" t="str">
        <f>IF($A439&lt;&gt;0,VLOOKUP($A439,'0.Productos'!$A$3:$GG$587,'0.Productos'!BQ$1+1,0),"")</f>
        <v/>
      </c>
      <c r="Z439" s="133" t="str">
        <f>IF($A439&lt;&gt;0,VLOOKUP($A439,'0.Productos'!$A$3:$GG$587,'0.Productos'!BR$1+1,0),"")</f>
        <v/>
      </c>
      <c r="AA439" s="133" t="str">
        <f>IF($A439&lt;&gt;0,VLOOKUP($A439,'0.Productos'!$A$3:$GG$587,'0.Productos'!BS$1+1,0),"")</f>
        <v/>
      </c>
      <c r="AB439" s="133" t="str">
        <f>IF($A439&lt;&gt;0,VLOOKUP($A439,'0.Productos'!$A$3:$GG$587,'0.Productos'!BT$1+1,0),"")</f>
        <v/>
      </c>
      <c r="AC439" s="133" t="str">
        <f>IF($A439&lt;&gt;0,VLOOKUP($A439,'0.Productos'!$A$3:$GG$587,'0.Productos'!BU$1+1,0),"")</f>
        <v/>
      </c>
      <c r="AD439" s="133" t="str">
        <f>IF($A439&lt;&gt;0,VLOOKUP($A439,'0.Productos'!$A$3:$GG$587,'0.Productos'!BV$1+1,0),"")</f>
        <v/>
      </c>
      <c r="AE439" s="133" t="str">
        <f>IF($A439&lt;&gt;0,VLOOKUP($A439,'0.Productos'!$A$3:$GG$587,'0.Productos'!BW$1+1,0),"")</f>
        <v/>
      </c>
      <c r="AF439" s="133" t="str">
        <f>IF($A439&lt;&gt;0,VLOOKUP($A439,'0.Productos'!$A$3:$GG$587,'0.Productos'!BX$1+1,0),"")</f>
        <v/>
      </c>
      <c r="AG439" s="133" t="str">
        <f>IF($A439&lt;&gt;0,VLOOKUP($A439,'0.Productos'!$A$3:$GG$587,'0.Productos'!BY$1+1,0),"")</f>
        <v/>
      </c>
      <c r="AH439" s="133" t="str">
        <f>IF($A439&lt;&gt;0,VLOOKUP($A439,'0.Productos'!$A$3:$GG$587,'0.Productos'!BZ$1+1,0),"")</f>
        <v/>
      </c>
      <c r="AI439" s="133" t="str">
        <f>IF($A439&lt;&gt;0,VLOOKUP($A439,'0.Productos'!$A$3:$GG$587,'0.Productos'!CA$1+1,0),"")</f>
        <v/>
      </c>
      <c r="AJ439" s="133" t="str">
        <f>IF($A439&lt;&gt;0,VLOOKUP($A439,'0.Productos'!$A$3:$GG$587,'0.Productos'!CB$1+1,0),"")</f>
        <v/>
      </c>
      <c r="AK439" s="133" t="str">
        <f>IF($A439&lt;&gt;0,VLOOKUP($A439,'0.Productos'!$A$3:$GG$587,'0.Productos'!CC$1+1,0),"")</f>
        <v/>
      </c>
      <c r="AL439" s="133" t="str">
        <f>IF($A439&lt;&gt;0,VLOOKUP($A439,'0.Productos'!$A$3:$GG$587,'0.Productos'!CD$1+1,0),"")</f>
        <v/>
      </c>
      <c r="AM439" s="133" t="str">
        <f>IF($A439&lt;&gt;0,VLOOKUP($A439,'0.Productos'!$A$3:$GG$587,'0.Productos'!CE$1+1,0),"")</f>
        <v/>
      </c>
      <c r="AN439" s="133" t="str">
        <f>IF($A439&lt;&gt;0,VLOOKUP($A439,'0.Productos'!$A$3:$GG$587,'0.Productos'!CF$1+1,0),"")</f>
        <v/>
      </c>
      <c r="AO439" s="133" t="str">
        <f>IF($A439&lt;&gt;0,VLOOKUP($A439,'0.Productos'!$A$3:$GG$587,'0.Productos'!CG$1+1,0),"")</f>
        <v/>
      </c>
      <c r="AP439" s="133" t="str">
        <f>IF($A439&lt;&gt;0,VLOOKUP($A439,'0.Productos'!$A$3:$GG$587,'0.Productos'!CH$1+1,0),"")</f>
        <v/>
      </c>
      <c r="AQ439" s="133" t="str">
        <f>IF($A439&lt;&gt;0,VLOOKUP($A439,'0.Productos'!$A$3:$GG$587,'0.Productos'!CI$1+1,0),"")</f>
        <v/>
      </c>
      <c r="AR439" s="133" t="str">
        <f>IF($A439&lt;&gt;0,VLOOKUP($A439,'0.Productos'!$A$3:$GG$587,'0.Productos'!CJ$1+1,0),"")</f>
        <v/>
      </c>
      <c r="AS439" s="133" t="str">
        <f>IF($A439&lt;&gt;0,VLOOKUP($A439,'0.Productos'!$A$3:$GG$587,'0.Productos'!CK$1+1,0),"")</f>
        <v/>
      </c>
      <c r="AT439" s="133" t="str">
        <f>IF($A439&lt;&gt;0,VLOOKUP($A439,'0.Productos'!$A$3:$GG$587,'0.Productos'!CL$1+1,0),"")</f>
        <v/>
      </c>
      <c r="AU439" s="133" t="str">
        <f>IF($A439&lt;&gt;0,VLOOKUP($A439,'0.Productos'!$A$3:$GG$587,'0.Productos'!CM$1+1,0),"")</f>
        <v/>
      </c>
      <c r="AV439" s="133" t="str">
        <f>IF($A439&lt;&gt;0,VLOOKUP($A439,'0.Productos'!$A$3:$GG$587,'0.Productos'!CN$1+1,0),"")</f>
        <v/>
      </c>
      <c r="AW439" s="133" t="str">
        <f>IF($A439&lt;&gt;0,VLOOKUP($A439,'0.Productos'!$A$3:$GG$587,'0.Productos'!CO$1+1,0),"")</f>
        <v/>
      </c>
      <c r="AX439" s="133" t="str">
        <f>IF($A439&lt;&gt;0,VLOOKUP($A439,'0.Productos'!$A$3:$GG$587,'0.Productos'!CP$1+1,0),"")</f>
        <v/>
      </c>
      <c r="AY439" s="133" t="str">
        <f>IF($A439&lt;&gt;0,VLOOKUP($A439,'0.Productos'!$A$3:$GG$587,'0.Productos'!CQ$1+1,0),"")</f>
        <v/>
      </c>
      <c r="AZ439" s="133" t="str">
        <f>IF($A439&lt;&gt;0,VLOOKUP($A439,'0.Productos'!$A$3:$GG$587,'0.Productos'!CR$1+1,0),"")</f>
        <v/>
      </c>
      <c r="BA439" s="133" t="str">
        <f>IF($A439&lt;&gt;0,VLOOKUP($A439,'0.Productos'!$A$3:$GG$587,'0.Productos'!CS$1+1,0),"")</f>
        <v/>
      </c>
      <c r="BB439" s="133" t="str">
        <f>IF($A439&lt;&gt;0,VLOOKUP($A439,'0.Productos'!$A$3:$GG$587,'0.Productos'!CT$1+1,0),"")</f>
        <v/>
      </c>
      <c r="BC439" s="133" t="str">
        <f>IF($A439&lt;&gt;0,VLOOKUP($A439,'0.Productos'!$A$3:$GG$587,'0.Productos'!CU$1+1,0),"")</f>
        <v/>
      </c>
      <c r="BD439" s="133" t="str">
        <f>IF($A439&lt;&gt;0,VLOOKUP($A439,'0.Productos'!$A$3:$GG$587,'0.Productos'!CV$1+1,0),"")</f>
        <v/>
      </c>
      <c r="BE439" s="133" t="str">
        <f>IF($A439&lt;&gt;0,VLOOKUP($A439,'0.Productos'!$A$3:$GG$587,'0.Productos'!CW$1+1,0),"")</f>
        <v/>
      </c>
      <c r="BF439" s="133" t="str">
        <f>IF($A439&lt;&gt;0,VLOOKUP($A439,'0.Productos'!$A$3:$GG$587,'0.Productos'!CX$1+1,0),"")</f>
        <v/>
      </c>
      <c r="BG439" s="133" t="str">
        <f>IF($A439&lt;&gt;0,VLOOKUP($A439,'0.Productos'!$A$3:$GG$587,'0.Productos'!CY$1+1,0),"")</f>
        <v/>
      </c>
      <c r="BH439" s="133" t="str">
        <f>IF($A439&lt;&gt;0,VLOOKUP($A439,'0.Productos'!$A$3:$GG$587,'0.Productos'!CZ$1+1,0),"")</f>
        <v/>
      </c>
      <c r="BI439" s="133" t="str">
        <f>IF($A439&lt;&gt;0,VLOOKUP($A439,'0.Productos'!$A$3:$GG$587,'0.Productos'!DA$1+1,0),"")</f>
        <v/>
      </c>
      <c r="BJ439" s="133" t="str">
        <f>IF($A439&lt;&gt;0,VLOOKUP($A439,'0.Productos'!$A$3:$GG$587,'0.Productos'!DB$1+1,0),"")</f>
        <v/>
      </c>
      <c r="BK439" s="133" t="str">
        <f>IF($A439&lt;&gt;0,VLOOKUP($A439,'0.Productos'!$A$3:$GG$587,'0.Productos'!DC$1+1,0),"")</f>
        <v/>
      </c>
      <c r="BL439" s="133" t="str">
        <f>IF($A439&lt;&gt;0,VLOOKUP($A439,'0.Productos'!$A$3:$GG$587,'0.Productos'!DD$1+1,0),"")</f>
        <v/>
      </c>
      <c r="BM439" s="133" t="str">
        <f>IF($A439&lt;&gt;0,VLOOKUP($A439,'0.Productos'!$A$3:$GG$587,'0.Productos'!DE$1+1,0),"")</f>
        <v/>
      </c>
      <c r="BN439" s="133" t="str">
        <f>IF($A439&lt;&gt;0,VLOOKUP($A439,'0.Productos'!$A$3:$GG$587,'0.Productos'!DF$1+1,0),"")</f>
        <v/>
      </c>
      <c r="BO439" s="133" t="str">
        <f>IF($A439&lt;&gt;0,VLOOKUP($A439,'0.Productos'!$A$3:$GG$587,'0.Productos'!DG$1+1,0),"")</f>
        <v/>
      </c>
      <c r="BP439" s="133" t="str">
        <f>IF($A439&lt;&gt;0,VLOOKUP($A439,'0.Productos'!$A$3:$GG$587,'0.Productos'!DH$1+1,0),"")</f>
        <v/>
      </c>
      <c r="BQ439" s="133" t="str">
        <f>IF($A439&lt;&gt;0,VLOOKUP($A439,'0.Productos'!$A$3:$GG$587,'0.Productos'!DI$1+1,0),"")</f>
        <v/>
      </c>
      <c r="BR439" s="133" t="str">
        <f>IF($A439&lt;&gt;0,VLOOKUP($A439,'0.Productos'!$A$3:$GG$587,'0.Productos'!DJ$1+1,0),"")</f>
        <v/>
      </c>
      <c r="BS439" s="133" t="str">
        <f>IF($A439&lt;&gt;0,VLOOKUP($A439,'0.Productos'!$A$3:$GG$587,'0.Productos'!DK$1+1,0),"")</f>
        <v/>
      </c>
      <c r="BT439" s="133" t="str">
        <f>IF($A439&lt;&gt;0,VLOOKUP($A439,'0.Productos'!$A$3:$GG$587,'0.Productos'!DL$1+1,0),"")</f>
        <v/>
      </c>
    </row>
    <row r="440" spans="1:72" x14ac:dyDescent="0.25">
      <c r="A440" s="17">
        <f>'0.Consolidado general'!A440</f>
        <v>0</v>
      </c>
      <c r="B440" s="133" t="str">
        <f>IF($A440&lt;&gt;0,VLOOKUP($A440,'0.Productos'!$A$3:$GG$587,'0.Productos'!AT$1+1,0),"")</f>
        <v/>
      </c>
      <c r="C440" s="133" t="str">
        <f>IF($A440&lt;&gt;0,VLOOKUP($A440,'0.Productos'!$A$3:$GG$587,'0.Productos'!AU$1+1,0),"")</f>
        <v/>
      </c>
      <c r="D440" s="133" t="str">
        <f>IF($A440&lt;&gt;0,VLOOKUP($A440,'0.Productos'!$A$3:$GG$587,'0.Productos'!AV$1+1,0),"")</f>
        <v/>
      </c>
      <c r="E440" s="133" t="str">
        <f>IF($A440&lt;&gt;0,VLOOKUP($A440,'0.Productos'!$A$3:$GG$587,'0.Productos'!AW$1+1,0),"")</f>
        <v/>
      </c>
      <c r="F440" s="133" t="str">
        <f>IF($A440&lt;&gt;0,VLOOKUP($A440,'0.Productos'!$A$3:$GG$587,'0.Productos'!AX$1+1,0),"")</f>
        <v/>
      </c>
      <c r="G440" s="133" t="str">
        <f>IF($A440&lt;&gt;0,VLOOKUP($A440,'0.Productos'!$A$3:$GG$587,'0.Productos'!AY$1+1,0),"")</f>
        <v/>
      </c>
      <c r="H440" s="133" t="str">
        <f>IF($A440&lt;&gt;0,VLOOKUP($A440,'0.Productos'!$A$3:$GG$587,'0.Productos'!AZ$1+1,0),"")</f>
        <v/>
      </c>
      <c r="I440" s="133" t="str">
        <f>IF($A440&lt;&gt;0,VLOOKUP($A440,'0.Productos'!$A$3:$GG$587,'0.Productos'!BA$1+1,0),"")</f>
        <v/>
      </c>
      <c r="J440" s="133" t="str">
        <f>IF($A440&lt;&gt;0,VLOOKUP($A440,'0.Productos'!$A$3:$GG$587,'0.Productos'!BB$1+1,0),"")</f>
        <v/>
      </c>
      <c r="K440" s="133" t="str">
        <f>IF($A440&lt;&gt;0,VLOOKUP($A440,'0.Productos'!$A$3:$GG$587,'0.Productos'!BC$1+1,0),"")</f>
        <v/>
      </c>
      <c r="L440" s="133" t="str">
        <f>IF($A440&lt;&gt;0,VLOOKUP($A440,'0.Productos'!$A$3:$GG$587,'0.Productos'!BD$1+1,0),"")</f>
        <v/>
      </c>
      <c r="M440" s="133" t="str">
        <f>IF($A440&lt;&gt;0,VLOOKUP($A440,'0.Productos'!$A$3:$GG$587,'0.Productos'!BE$1+1,0),"")</f>
        <v/>
      </c>
      <c r="N440" s="133" t="str">
        <f>IF($A440&lt;&gt;0,VLOOKUP($A440,'0.Productos'!$A$3:$GG$587,'0.Productos'!BF$1+1,0),"")</f>
        <v/>
      </c>
      <c r="O440" s="133" t="str">
        <f>IF($A440&lt;&gt;0,VLOOKUP($A440,'0.Productos'!$A$3:$GG$587,'0.Productos'!BG$1+1,0),"")</f>
        <v/>
      </c>
      <c r="P440" s="133" t="str">
        <f>IF($A440&lt;&gt;0,VLOOKUP($A440,'0.Productos'!$A$3:$GG$587,'0.Productos'!BH$1+1,0),"")</f>
        <v/>
      </c>
      <c r="Q440" s="133" t="str">
        <f>IF($A440&lt;&gt;0,VLOOKUP($A440,'0.Productos'!$A$3:$GG$587,'0.Productos'!BI$1+1,0),"")</f>
        <v/>
      </c>
      <c r="R440" s="133" t="str">
        <f>IF($A440&lt;&gt;0,VLOOKUP($A440,'0.Productos'!$A$3:$GG$587,'0.Productos'!BJ$1+1,0),"")</f>
        <v/>
      </c>
      <c r="S440" s="133" t="str">
        <f>IF($A440&lt;&gt;0,VLOOKUP($A440,'0.Productos'!$A$3:$GG$587,'0.Productos'!BK$1+1,0),"")</f>
        <v/>
      </c>
      <c r="T440" s="133" t="str">
        <f>IF($A440&lt;&gt;0,VLOOKUP($A440,'0.Productos'!$A$3:$GG$587,'0.Productos'!BL$1+1,0),"")</f>
        <v/>
      </c>
      <c r="U440" s="133" t="str">
        <f>IF($A440&lt;&gt;0,VLOOKUP($A440,'0.Productos'!$A$3:$GG$587,'0.Productos'!BM$1+1,0),"")</f>
        <v/>
      </c>
      <c r="V440" s="133" t="str">
        <f>IF($A440&lt;&gt;0,VLOOKUP($A440,'0.Productos'!$A$3:$GG$587,'0.Productos'!BN$1+1,0),"")</f>
        <v/>
      </c>
      <c r="W440" s="133" t="str">
        <f>IF($A440&lt;&gt;0,VLOOKUP($A440,'0.Productos'!$A$3:$GG$587,'0.Productos'!BO$1+1,0),"")</f>
        <v/>
      </c>
      <c r="X440" s="133" t="str">
        <f>IF($A440&lt;&gt;0,VLOOKUP($A440,'0.Productos'!$A$3:$GG$587,'0.Productos'!BP$1+1,0),"")</f>
        <v/>
      </c>
      <c r="Y440" s="133" t="str">
        <f>IF($A440&lt;&gt;0,VLOOKUP($A440,'0.Productos'!$A$3:$GG$587,'0.Productos'!BQ$1+1,0),"")</f>
        <v/>
      </c>
      <c r="Z440" s="133" t="str">
        <f>IF($A440&lt;&gt;0,VLOOKUP($A440,'0.Productos'!$A$3:$GG$587,'0.Productos'!BR$1+1,0),"")</f>
        <v/>
      </c>
      <c r="AA440" s="133" t="str">
        <f>IF($A440&lt;&gt;0,VLOOKUP($A440,'0.Productos'!$A$3:$GG$587,'0.Productos'!BS$1+1,0),"")</f>
        <v/>
      </c>
      <c r="AB440" s="133" t="str">
        <f>IF($A440&lt;&gt;0,VLOOKUP($A440,'0.Productos'!$A$3:$GG$587,'0.Productos'!BT$1+1,0),"")</f>
        <v/>
      </c>
      <c r="AC440" s="133" t="str">
        <f>IF($A440&lt;&gt;0,VLOOKUP($A440,'0.Productos'!$A$3:$GG$587,'0.Productos'!BU$1+1,0),"")</f>
        <v/>
      </c>
      <c r="AD440" s="133" t="str">
        <f>IF($A440&lt;&gt;0,VLOOKUP($A440,'0.Productos'!$A$3:$GG$587,'0.Productos'!BV$1+1,0),"")</f>
        <v/>
      </c>
      <c r="AE440" s="133" t="str">
        <f>IF($A440&lt;&gt;0,VLOOKUP($A440,'0.Productos'!$A$3:$GG$587,'0.Productos'!BW$1+1,0),"")</f>
        <v/>
      </c>
      <c r="AF440" s="133" t="str">
        <f>IF($A440&lt;&gt;0,VLOOKUP($A440,'0.Productos'!$A$3:$GG$587,'0.Productos'!BX$1+1,0),"")</f>
        <v/>
      </c>
      <c r="AG440" s="133" t="str">
        <f>IF($A440&lt;&gt;0,VLOOKUP($A440,'0.Productos'!$A$3:$GG$587,'0.Productos'!BY$1+1,0),"")</f>
        <v/>
      </c>
      <c r="AH440" s="133" t="str">
        <f>IF($A440&lt;&gt;0,VLOOKUP($A440,'0.Productos'!$A$3:$GG$587,'0.Productos'!BZ$1+1,0),"")</f>
        <v/>
      </c>
      <c r="AI440" s="133" t="str">
        <f>IF($A440&lt;&gt;0,VLOOKUP($A440,'0.Productos'!$A$3:$GG$587,'0.Productos'!CA$1+1,0),"")</f>
        <v/>
      </c>
      <c r="AJ440" s="133" t="str">
        <f>IF($A440&lt;&gt;0,VLOOKUP($A440,'0.Productos'!$A$3:$GG$587,'0.Productos'!CB$1+1,0),"")</f>
        <v/>
      </c>
      <c r="AK440" s="133" t="str">
        <f>IF($A440&lt;&gt;0,VLOOKUP($A440,'0.Productos'!$A$3:$GG$587,'0.Productos'!CC$1+1,0),"")</f>
        <v/>
      </c>
      <c r="AL440" s="133" t="str">
        <f>IF($A440&lt;&gt;0,VLOOKUP($A440,'0.Productos'!$A$3:$GG$587,'0.Productos'!CD$1+1,0),"")</f>
        <v/>
      </c>
      <c r="AM440" s="133" t="str">
        <f>IF($A440&lt;&gt;0,VLOOKUP($A440,'0.Productos'!$A$3:$GG$587,'0.Productos'!CE$1+1,0),"")</f>
        <v/>
      </c>
      <c r="AN440" s="133" t="str">
        <f>IF($A440&lt;&gt;0,VLOOKUP($A440,'0.Productos'!$A$3:$GG$587,'0.Productos'!CF$1+1,0),"")</f>
        <v/>
      </c>
      <c r="AO440" s="133" t="str">
        <f>IF($A440&lt;&gt;0,VLOOKUP($A440,'0.Productos'!$A$3:$GG$587,'0.Productos'!CG$1+1,0),"")</f>
        <v/>
      </c>
      <c r="AP440" s="133" t="str">
        <f>IF($A440&lt;&gt;0,VLOOKUP($A440,'0.Productos'!$A$3:$GG$587,'0.Productos'!CH$1+1,0),"")</f>
        <v/>
      </c>
      <c r="AQ440" s="133" t="str">
        <f>IF($A440&lt;&gt;0,VLOOKUP($A440,'0.Productos'!$A$3:$GG$587,'0.Productos'!CI$1+1,0),"")</f>
        <v/>
      </c>
      <c r="AR440" s="133" t="str">
        <f>IF($A440&lt;&gt;0,VLOOKUP($A440,'0.Productos'!$A$3:$GG$587,'0.Productos'!CJ$1+1,0),"")</f>
        <v/>
      </c>
      <c r="AS440" s="133" t="str">
        <f>IF($A440&lt;&gt;0,VLOOKUP($A440,'0.Productos'!$A$3:$GG$587,'0.Productos'!CK$1+1,0),"")</f>
        <v/>
      </c>
      <c r="AT440" s="133" t="str">
        <f>IF($A440&lt;&gt;0,VLOOKUP($A440,'0.Productos'!$A$3:$GG$587,'0.Productos'!CL$1+1,0),"")</f>
        <v/>
      </c>
      <c r="AU440" s="133" t="str">
        <f>IF($A440&lt;&gt;0,VLOOKUP($A440,'0.Productos'!$A$3:$GG$587,'0.Productos'!CM$1+1,0),"")</f>
        <v/>
      </c>
      <c r="AV440" s="133" t="str">
        <f>IF($A440&lt;&gt;0,VLOOKUP($A440,'0.Productos'!$A$3:$GG$587,'0.Productos'!CN$1+1,0),"")</f>
        <v/>
      </c>
      <c r="AW440" s="133" t="str">
        <f>IF($A440&lt;&gt;0,VLOOKUP($A440,'0.Productos'!$A$3:$GG$587,'0.Productos'!CO$1+1,0),"")</f>
        <v/>
      </c>
      <c r="AX440" s="133" t="str">
        <f>IF($A440&lt;&gt;0,VLOOKUP($A440,'0.Productos'!$A$3:$GG$587,'0.Productos'!CP$1+1,0),"")</f>
        <v/>
      </c>
      <c r="AY440" s="133" t="str">
        <f>IF($A440&lt;&gt;0,VLOOKUP($A440,'0.Productos'!$A$3:$GG$587,'0.Productos'!CQ$1+1,0),"")</f>
        <v/>
      </c>
      <c r="AZ440" s="133" t="str">
        <f>IF($A440&lt;&gt;0,VLOOKUP($A440,'0.Productos'!$A$3:$GG$587,'0.Productos'!CR$1+1,0),"")</f>
        <v/>
      </c>
      <c r="BA440" s="133" t="str">
        <f>IF($A440&lt;&gt;0,VLOOKUP($A440,'0.Productos'!$A$3:$GG$587,'0.Productos'!CS$1+1,0),"")</f>
        <v/>
      </c>
      <c r="BB440" s="133" t="str">
        <f>IF($A440&lt;&gt;0,VLOOKUP($A440,'0.Productos'!$A$3:$GG$587,'0.Productos'!CT$1+1,0),"")</f>
        <v/>
      </c>
      <c r="BC440" s="133" t="str">
        <f>IF($A440&lt;&gt;0,VLOOKUP($A440,'0.Productos'!$A$3:$GG$587,'0.Productos'!CU$1+1,0),"")</f>
        <v/>
      </c>
      <c r="BD440" s="133" t="str">
        <f>IF($A440&lt;&gt;0,VLOOKUP($A440,'0.Productos'!$A$3:$GG$587,'0.Productos'!CV$1+1,0),"")</f>
        <v/>
      </c>
      <c r="BE440" s="133" t="str">
        <f>IF($A440&lt;&gt;0,VLOOKUP($A440,'0.Productos'!$A$3:$GG$587,'0.Productos'!CW$1+1,0),"")</f>
        <v/>
      </c>
      <c r="BF440" s="133" t="str">
        <f>IF($A440&lt;&gt;0,VLOOKUP($A440,'0.Productos'!$A$3:$GG$587,'0.Productos'!CX$1+1,0),"")</f>
        <v/>
      </c>
      <c r="BG440" s="133" t="str">
        <f>IF($A440&lt;&gt;0,VLOOKUP($A440,'0.Productos'!$A$3:$GG$587,'0.Productos'!CY$1+1,0),"")</f>
        <v/>
      </c>
      <c r="BH440" s="133" t="str">
        <f>IF($A440&lt;&gt;0,VLOOKUP($A440,'0.Productos'!$A$3:$GG$587,'0.Productos'!CZ$1+1,0),"")</f>
        <v/>
      </c>
      <c r="BI440" s="133" t="str">
        <f>IF($A440&lt;&gt;0,VLOOKUP($A440,'0.Productos'!$A$3:$GG$587,'0.Productos'!DA$1+1,0),"")</f>
        <v/>
      </c>
      <c r="BJ440" s="133" t="str">
        <f>IF($A440&lt;&gt;0,VLOOKUP($A440,'0.Productos'!$A$3:$GG$587,'0.Productos'!DB$1+1,0),"")</f>
        <v/>
      </c>
      <c r="BK440" s="133" t="str">
        <f>IF($A440&lt;&gt;0,VLOOKUP($A440,'0.Productos'!$A$3:$GG$587,'0.Productos'!DC$1+1,0),"")</f>
        <v/>
      </c>
      <c r="BL440" s="133" t="str">
        <f>IF($A440&lt;&gt;0,VLOOKUP($A440,'0.Productos'!$A$3:$GG$587,'0.Productos'!DD$1+1,0),"")</f>
        <v/>
      </c>
      <c r="BM440" s="133" t="str">
        <f>IF($A440&lt;&gt;0,VLOOKUP($A440,'0.Productos'!$A$3:$GG$587,'0.Productos'!DE$1+1,0),"")</f>
        <v/>
      </c>
      <c r="BN440" s="133" t="str">
        <f>IF($A440&lt;&gt;0,VLOOKUP($A440,'0.Productos'!$A$3:$GG$587,'0.Productos'!DF$1+1,0),"")</f>
        <v/>
      </c>
      <c r="BO440" s="133" t="str">
        <f>IF($A440&lt;&gt;0,VLOOKUP($A440,'0.Productos'!$A$3:$GG$587,'0.Productos'!DG$1+1,0),"")</f>
        <v/>
      </c>
      <c r="BP440" s="133" t="str">
        <f>IF($A440&lt;&gt;0,VLOOKUP($A440,'0.Productos'!$A$3:$GG$587,'0.Productos'!DH$1+1,0),"")</f>
        <v/>
      </c>
      <c r="BQ440" s="133" t="str">
        <f>IF($A440&lt;&gt;0,VLOOKUP($A440,'0.Productos'!$A$3:$GG$587,'0.Productos'!DI$1+1,0),"")</f>
        <v/>
      </c>
      <c r="BR440" s="133" t="str">
        <f>IF($A440&lt;&gt;0,VLOOKUP($A440,'0.Productos'!$A$3:$GG$587,'0.Productos'!DJ$1+1,0),"")</f>
        <v/>
      </c>
      <c r="BS440" s="133" t="str">
        <f>IF($A440&lt;&gt;0,VLOOKUP($A440,'0.Productos'!$A$3:$GG$587,'0.Productos'!DK$1+1,0),"")</f>
        <v/>
      </c>
      <c r="BT440" s="133" t="str">
        <f>IF($A440&lt;&gt;0,VLOOKUP($A440,'0.Productos'!$A$3:$GG$587,'0.Productos'!DL$1+1,0),"")</f>
        <v/>
      </c>
    </row>
    <row r="441" spans="1:72" x14ac:dyDescent="0.25">
      <c r="A441" s="17">
        <f>'0.Consolidado general'!A441</f>
        <v>0</v>
      </c>
      <c r="B441" s="133" t="str">
        <f>IF($A441&lt;&gt;0,VLOOKUP($A441,'0.Productos'!$A$3:$GG$587,'0.Productos'!AT$1+1,0),"")</f>
        <v/>
      </c>
      <c r="C441" s="133" t="str">
        <f>IF($A441&lt;&gt;0,VLOOKUP($A441,'0.Productos'!$A$3:$GG$587,'0.Productos'!AU$1+1,0),"")</f>
        <v/>
      </c>
      <c r="D441" s="133" t="str">
        <f>IF($A441&lt;&gt;0,VLOOKUP($A441,'0.Productos'!$A$3:$GG$587,'0.Productos'!AV$1+1,0),"")</f>
        <v/>
      </c>
      <c r="E441" s="133" t="str">
        <f>IF($A441&lt;&gt;0,VLOOKUP($A441,'0.Productos'!$A$3:$GG$587,'0.Productos'!AW$1+1,0),"")</f>
        <v/>
      </c>
      <c r="F441" s="133" t="str">
        <f>IF($A441&lt;&gt;0,VLOOKUP($A441,'0.Productos'!$A$3:$GG$587,'0.Productos'!AX$1+1,0),"")</f>
        <v/>
      </c>
      <c r="G441" s="133" t="str">
        <f>IF($A441&lt;&gt;0,VLOOKUP($A441,'0.Productos'!$A$3:$GG$587,'0.Productos'!AY$1+1,0),"")</f>
        <v/>
      </c>
      <c r="H441" s="133" t="str">
        <f>IF($A441&lt;&gt;0,VLOOKUP($A441,'0.Productos'!$A$3:$GG$587,'0.Productos'!AZ$1+1,0),"")</f>
        <v/>
      </c>
      <c r="I441" s="133" t="str">
        <f>IF($A441&lt;&gt;0,VLOOKUP($A441,'0.Productos'!$A$3:$GG$587,'0.Productos'!BA$1+1,0),"")</f>
        <v/>
      </c>
      <c r="J441" s="133" t="str">
        <f>IF($A441&lt;&gt;0,VLOOKUP($A441,'0.Productos'!$A$3:$GG$587,'0.Productos'!BB$1+1,0),"")</f>
        <v/>
      </c>
      <c r="K441" s="133" t="str">
        <f>IF($A441&lt;&gt;0,VLOOKUP($A441,'0.Productos'!$A$3:$GG$587,'0.Productos'!BC$1+1,0),"")</f>
        <v/>
      </c>
      <c r="L441" s="133" t="str">
        <f>IF($A441&lt;&gt;0,VLOOKUP($A441,'0.Productos'!$A$3:$GG$587,'0.Productos'!BD$1+1,0),"")</f>
        <v/>
      </c>
      <c r="M441" s="133" t="str">
        <f>IF($A441&lt;&gt;0,VLOOKUP($A441,'0.Productos'!$A$3:$GG$587,'0.Productos'!BE$1+1,0),"")</f>
        <v/>
      </c>
      <c r="N441" s="133" t="str">
        <f>IF($A441&lt;&gt;0,VLOOKUP($A441,'0.Productos'!$A$3:$GG$587,'0.Productos'!BF$1+1,0),"")</f>
        <v/>
      </c>
      <c r="O441" s="133" t="str">
        <f>IF($A441&lt;&gt;0,VLOOKUP($A441,'0.Productos'!$A$3:$GG$587,'0.Productos'!BG$1+1,0),"")</f>
        <v/>
      </c>
      <c r="P441" s="133" t="str">
        <f>IF($A441&lt;&gt;0,VLOOKUP($A441,'0.Productos'!$A$3:$GG$587,'0.Productos'!BH$1+1,0),"")</f>
        <v/>
      </c>
      <c r="Q441" s="133" t="str">
        <f>IF($A441&lt;&gt;0,VLOOKUP($A441,'0.Productos'!$A$3:$GG$587,'0.Productos'!BI$1+1,0),"")</f>
        <v/>
      </c>
      <c r="R441" s="133" t="str">
        <f>IF($A441&lt;&gt;0,VLOOKUP($A441,'0.Productos'!$A$3:$GG$587,'0.Productos'!BJ$1+1,0),"")</f>
        <v/>
      </c>
      <c r="S441" s="133" t="str">
        <f>IF($A441&lt;&gt;0,VLOOKUP($A441,'0.Productos'!$A$3:$GG$587,'0.Productos'!BK$1+1,0),"")</f>
        <v/>
      </c>
      <c r="T441" s="133" t="str">
        <f>IF($A441&lt;&gt;0,VLOOKUP($A441,'0.Productos'!$A$3:$GG$587,'0.Productos'!BL$1+1,0),"")</f>
        <v/>
      </c>
      <c r="U441" s="133" t="str">
        <f>IF($A441&lt;&gt;0,VLOOKUP($A441,'0.Productos'!$A$3:$GG$587,'0.Productos'!BM$1+1,0),"")</f>
        <v/>
      </c>
      <c r="V441" s="133" t="str">
        <f>IF($A441&lt;&gt;0,VLOOKUP($A441,'0.Productos'!$A$3:$GG$587,'0.Productos'!BN$1+1,0),"")</f>
        <v/>
      </c>
      <c r="W441" s="133" t="str">
        <f>IF($A441&lt;&gt;0,VLOOKUP($A441,'0.Productos'!$A$3:$GG$587,'0.Productos'!BO$1+1,0),"")</f>
        <v/>
      </c>
      <c r="X441" s="133" t="str">
        <f>IF($A441&lt;&gt;0,VLOOKUP($A441,'0.Productos'!$A$3:$GG$587,'0.Productos'!BP$1+1,0),"")</f>
        <v/>
      </c>
      <c r="Y441" s="133" t="str">
        <f>IF($A441&lt;&gt;0,VLOOKUP($A441,'0.Productos'!$A$3:$GG$587,'0.Productos'!BQ$1+1,0),"")</f>
        <v/>
      </c>
      <c r="Z441" s="133" t="str">
        <f>IF($A441&lt;&gt;0,VLOOKUP($A441,'0.Productos'!$A$3:$GG$587,'0.Productos'!BR$1+1,0),"")</f>
        <v/>
      </c>
      <c r="AA441" s="133" t="str">
        <f>IF($A441&lt;&gt;0,VLOOKUP($A441,'0.Productos'!$A$3:$GG$587,'0.Productos'!BS$1+1,0),"")</f>
        <v/>
      </c>
      <c r="AB441" s="133" t="str">
        <f>IF($A441&lt;&gt;0,VLOOKUP($A441,'0.Productos'!$A$3:$GG$587,'0.Productos'!BT$1+1,0),"")</f>
        <v/>
      </c>
      <c r="AC441" s="133" t="str">
        <f>IF($A441&lt;&gt;0,VLOOKUP($A441,'0.Productos'!$A$3:$GG$587,'0.Productos'!BU$1+1,0),"")</f>
        <v/>
      </c>
      <c r="AD441" s="133" t="str">
        <f>IF($A441&lt;&gt;0,VLOOKUP($A441,'0.Productos'!$A$3:$GG$587,'0.Productos'!BV$1+1,0),"")</f>
        <v/>
      </c>
      <c r="AE441" s="133" t="str">
        <f>IF($A441&lt;&gt;0,VLOOKUP($A441,'0.Productos'!$A$3:$GG$587,'0.Productos'!BW$1+1,0),"")</f>
        <v/>
      </c>
      <c r="AF441" s="133" t="str">
        <f>IF($A441&lt;&gt;0,VLOOKUP($A441,'0.Productos'!$A$3:$GG$587,'0.Productos'!BX$1+1,0),"")</f>
        <v/>
      </c>
      <c r="AG441" s="133" t="str">
        <f>IF($A441&lt;&gt;0,VLOOKUP($A441,'0.Productos'!$A$3:$GG$587,'0.Productos'!BY$1+1,0),"")</f>
        <v/>
      </c>
      <c r="AH441" s="133" t="str">
        <f>IF($A441&lt;&gt;0,VLOOKUP($A441,'0.Productos'!$A$3:$GG$587,'0.Productos'!BZ$1+1,0),"")</f>
        <v/>
      </c>
      <c r="AI441" s="133" t="str">
        <f>IF($A441&lt;&gt;0,VLOOKUP($A441,'0.Productos'!$A$3:$GG$587,'0.Productos'!CA$1+1,0),"")</f>
        <v/>
      </c>
      <c r="AJ441" s="133" t="str">
        <f>IF($A441&lt;&gt;0,VLOOKUP($A441,'0.Productos'!$A$3:$GG$587,'0.Productos'!CB$1+1,0),"")</f>
        <v/>
      </c>
      <c r="AK441" s="133" t="str">
        <f>IF($A441&lt;&gt;0,VLOOKUP($A441,'0.Productos'!$A$3:$GG$587,'0.Productos'!CC$1+1,0),"")</f>
        <v/>
      </c>
      <c r="AL441" s="133" t="str">
        <f>IF($A441&lt;&gt;0,VLOOKUP($A441,'0.Productos'!$A$3:$GG$587,'0.Productos'!CD$1+1,0),"")</f>
        <v/>
      </c>
      <c r="AM441" s="133" t="str">
        <f>IF($A441&lt;&gt;0,VLOOKUP($A441,'0.Productos'!$A$3:$GG$587,'0.Productos'!CE$1+1,0),"")</f>
        <v/>
      </c>
      <c r="AN441" s="133" t="str">
        <f>IF($A441&lt;&gt;0,VLOOKUP($A441,'0.Productos'!$A$3:$GG$587,'0.Productos'!CF$1+1,0),"")</f>
        <v/>
      </c>
      <c r="AO441" s="133" t="str">
        <f>IF($A441&lt;&gt;0,VLOOKUP($A441,'0.Productos'!$A$3:$GG$587,'0.Productos'!CG$1+1,0),"")</f>
        <v/>
      </c>
      <c r="AP441" s="133" t="str">
        <f>IF($A441&lt;&gt;0,VLOOKUP($A441,'0.Productos'!$A$3:$GG$587,'0.Productos'!CH$1+1,0),"")</f>
        <v/>
      </c>
      <c r="AQ441" s="133" t="str">
        <f>IF($A441&lt;&gt;0,VLOOKUP($A441,'0.Productos'!$A$3:$GG$587,'0.Productos'!CI$1+1,0),"")</f>
        <v/>
      </c>
      <c r="AR441" s="133" t="str">
        <f>IF($A441&lt;&gt;0,VLOOKUP($A441,'0.Productos'!$A$3:$GG$587,'0.Productos'!CJ$1+1,0),"")</f>
        <v/>
      </c>
      <c r="AS441" s="133" t="str">
        <f>IF($A441&lt;&gt;0,VLOOKUP($A441,'0.Productos'!$A$3:$GG$587,'0.Productos'!CK$1+1,0),"")</f>
        <v/>
      </c>
      <c r="AT441" s="133" t="str">
        <f>IF($A441&lt;&gt;0,VLOOKUP($A441,'0.Productos'!$A$3:$GG$587,'0.Productos'!CL$1+1,0),"")</f>
        <v/>
      </c>
      <c r="AU441" s="133" t="str">
        <f>IF($A441&lt;&gt;0,VLOOKUP($A441,'0.Productos'!$A$3:$GG$587,'0.Productos'!CM$1+1,0),"")</f>
        <v/>
      </c>
      <c r="AV441" s="133" t="str">
        <f>IF($A441&lt;&gt;0,VLOOKUP($A441,'0.Productos'!$A$3:$GG$587,'0.Productos'!CN$1+1,0),"")</f>
        <v/>
      </c>
      <c r="AW441" s="133" t="str">
        <f>IF($A441&lt;&gt;0,VLOOKUP($A441,'0.Productos'!$A$3:$GG$587,'0.Productos'!CO$1+1,0),"")</f>
        <v/>
      </c>
      <c r="AX441" s="133" t="str">
        <f>IF($A441&lt;&gt;0,VLOOKUP($A441,'0.Productos'!$A$3:$GG$587,'0.Productos'!CP$1+1,0),"")</f>
        <v/>
      </c>
      <c r="AY441" s="133" t="str">
        <f>IF($A441&lt;&gt;0,VLOOKUP($A441,'0.Productos'!$A$3:$GG$587,'0.Productos'!CQ$1+1,0),"")</f>
        <v/>
      </c>
      <c r="AZ441" s="133" t="str">
        <f>IF($A441&lt;&gt;0,VLOOKUP($A441,'0.Productos'!$A$3:$GG$587,'0.Productos'!CR$1+1,0),"")</f>
        <v/>
      </c>
      <c r="BA441" s="133" t="str">
        <f>IF($A441&lt;&gt;0,VLOOKUP($A441,'0.Productos'!$A$3:$GG$587,'0.Productos'!CS$1+1,0),"")</f>
        <v/>
      </c>
      <c r="BB441" s="133" t="str">
        <f>IF($A441&lt;&gt;0,VLOOKUP($A441,'0.Productos'!$A$3:$GG$587,'0.Productos'!CT$1+1,0),"")</f>
        <v/>
      </c>
      <c r="BC441" s="133" t="str">
        <f>IF($A441&lt;&gt;0,VLOOKUP($A441,'0.Productos'!$A$3:$GG$587,'0.Productos'!CU$1+1,0),"")</f>
        <v/>
      </c>
      <c r="BD441" s="133" t="str">
        <f>IF($A441&lt;&gt;0,VLOOKUP($A441,'0.Productos'!$A$3:$GG$587,'0.Productos'!CV$1+1,0),"")</f>
        <v/>
      </c>
      <c r="BE441" s="133" t="str">
        <f>IF($A441&lt;&gt;0,VLOOKUP($A441,'0.Productos'!$A$3:$GG$587,'0.Productos'!CW$1+1,0),"")</f>
        <v/>
      </c>
      <c r="BF441" s="133" t="str">
        <f>IF($A441&lt;&gt;0,VLOOKUP($A441,'0.Productos'!$A$3:$GG$587,'0.Productos'!CX$1+1,0),"")</f>
        <v/>
      </c>
      <c r="BG441" s="133" t="str">
        <f>IF($A441&lt;&gt;0,VLOOKUP($A441,'0.Productos'!$A$3:$GG$587,'0.Productos'!CY$1+1,0),"")</f>
        <v/>
      </c>
      <c r="BH441" s="133" t="str">
        <f>IF($A441&lt;&gt;0,VLOOKUP($A441,'0.Productos'!$A$3:$GG$587,'0.Productos'!CZ$1+1,0),"")</f>
        <v/>
      </c>
      <c r="BI441" s="133" t="str">
        <f>IF($A441&lt;&gt;0,VLOOKUP($A441,'0.Productos'!$A$3:$GG$587,'0.Productos'!DA$1+1,0),"")</f>
        <v/>
      </c>
      <c r="BJ441" s="133" t="str">
        <f>IF($A441&lt;&gt;0,VLOOKUP($A441,'0.Productos'!$A$3:$GG$587,'0.Productos'!DB$1+1,0),"")</f>
        <v/>
      </c>
      <c r="BK441" s="133" t="str">
        <f>IF($A441&lt;&gt;0,VLOOKUP($A441,'0.Productos'!$A$3:$GG$587,'0.Productos'!DC$1+1,0),"")</f>
        <v/>
      </c>
      <c r="BL441" s="133" t="str">
        <f>IF($A441&lt;&gt;0,VLOOKUP($A441,'0.Productos'!$A$3:$GG$587,'0.Productos'!DD$1+1,0),"")</f>
        <v/>
      </c>
      <c r="BM441" s="133" t="str">
        <f>IF($A441&lt;&gt;0,VLOOKUP($A441,'0.Productos'!$A$3:$GG$587,'0.Productos'!DE$1+1,0),"")</f>
        <v/>
      </c>
      <c r="BN441" s="133" t="str">
        <f>IF($A441&lt;&gt;0,VLOOKUP($A441,'0.Productos'!$A$3:$GG$587,'0.Productos'!DF$1+1,0),"")</f>
        <v/>
      </c>
      <c r="BO441" s="133" t="str">
        <f>IF($A441&lt;&gt;0,VLOOKUP($A441,'0.Productos'!$A$3:$GG$587,'0.Productos'!DG$1+1,0),"")</f>
        <v/>
      </c>
      <c r="BP441" s="133" t="str">
        <f>IF($A441&lt;&gt;0,VLOOKUP($A441,'0.Productos'!$A$3:$GG$587,'0.Productos'!DH$1+1,0),"")</f>
        <v/>
      </c>
      <c r="BQ441" s="133" t="str">
        <f>IF($A441&lt;&gt;0,VLOOKUP($A441,'0.Productos'!$A$3:$GG$587,'0.Productos'!DI$1+1,0),"")</f>
        <v/>
      </c>
      <c r="BR441" s="133" t="str">
        <f>IF($A441&lt;&gt;0,VLOOKUP($A441,'0.Productos'!$A$3:$GG$587,'0.Productos'!DJ$1+1,0),"")</f>
        <v/>
      </c>
      <c r="BS441" s="133" t="str">
        <f>IF($A441&lt;&gt;0,VLOOKUP($A441,'0.Productos'!$A$3:$GG$587,'0.Productos'!DK$1+1,0),"")</f>
        <v/>
      </c>
      <c r="BT441" s="133" t="str">
        <f>IF($A441&lt;&gt;0,VLOOKUP($A441,'0.Productos'!$A$3:$GG$587,'0.Productos'!DL$1+1,0),"")</f>
        <v/>
      </c>
    </row>
    <row r="442" spans="1:72" x14ac:dyDescent="0.25">
      <c r="A442" s="17">
        <f>'0.Consolidado general'!A442</f>
        <v>0</v>
      </c>
      <c r="B442" s="133" t="str">
        <f>IF($A442&lt;&gt;0,VLOOKUP($A442,'0.Productos'!$A$3:$GG$587,'0.Productos'!AT$1+1,0),"")</f>
        <v/>
      </c>
      <c r="C442" s="133" t="str">
        <f>IF($A442&lt;&gt;0,VLOOKUP($A442,'0.Productos'!$A$3:$GG$587,'0.Productos'!AU$1+1,0),"")</f>
        <v/>
      </c>
      <c r="D442" s="133" t="str">
        <f>IF($A442&lt;&gt;0,VLOOKUP($A442,'0.Productos'!$A$3:$GG$587,'0.Productos'!AV$1+1,0),"")</f>
        <v/>
      </c>
      <c r="E442" s="133" t="str">
        <f>IF($A442&lt;&gt;0,VLOOKUP($A442,'0.Productos'!$A$3:$GG$587,'0.Productos'!AW$1+1,0),"")</f>
        <v/>
      </c>
      <c r="F442" s="133" t="str">
        <f>IF($A442&lt;&gt;0,VLOOKUP($A442,'0.Productos'!$A$3:$GG$587,'0.Productos'!AX$1+1,0),"")</f>
        <v/>
      </c>
      <c r="G442" s="133" t="str">
        <f>IF($A442&lt;&gt;0,VLOOKUP($A442,'0.Productos'!$A$3:$GG$587,'0.Productos'!AY$1+1,0),"")</f>
        <v/>
      </c>
      <c r="H442" s="133" t="str">
        <f>IF($A442&lt;&gt;0,VLOOKUP($A442,'0.Productos'!$A$3:$GG$587,'0.Productos'!AZ$1+1,0),"")</f>
        <v/>
      </c>
      <c r="I442" s="133" t="str">
        <f>IF($A442&lt;&gt;0,VLOOKUP($A442,'0.Productos'!$A$3:$GG$587,'0.Productos'!BA$1+1,0),"")</f>
        <v/>
      </c>
      <c r="J442" s="133" t="str">
        <f>IF($A442&lt;&gt;0,VLOOKUP($A442,'0.Productos'!$A$3:$GG$587,'0.Productos'!BB$1+1,0),"")</f>
        <v/>
      </c>
      <c r="K442" s="133" t="str">
        <f>IF($A442&lt;&gt;0,VLOOKUP($A442,'0.Productos'!$A$3:$GG$587,'0.Productos'!BC$1+1,0),"")</f>
        <v/>
      </c>
      <c r="L442" s="133" t="str">
        <f>IF($A442&lt;&gt;0,VLOOKUP($A442,'0.Productos'!$A$3:$GG$587,'0.Productos'!BD$1+1,0),"")</f>
        <v/>
      </c>
      <c r="M442" s="133" t="str">
        <f>IF($A442&lt;&gt;0,VLOOKUP($A442,'0.Productos'!$A$3:$GG$587,'0.Productos'!BE$1+1,0),"")</f>
        <v/>
      </c>
      <c r="N442" s="133" t="str">
        <f>IF($A442&lt;&gt;0,VLOOKUP($A442,'0.Productos'!$A$3:$GG$587,'0.Productos'!BF$1+1,0),"")</f>
        <v/>
      </c>
      <c r="O442" s="133" t="str">
        <f>IF($A442&lt;&gt;0,VLOOKUP($A442,'0.Productos'!$A$3:$GG$587,'0.Productos'!BG$1+1,0),"")</f>
        <v/>
      </c>
      <c r="P442" s="133" t="str">
        <f>IF($A442&lt;&gt;0,VLOOKUP($A442,'0.Productos'!$A$3:$GG$587,'0.Productos'!BH$1+1,0),"")</f>
        <v/>
      </c>
      <c r="Q442" s="133" t="str">
        <f>IF($A442&lt;&gt;0,VLOOKUP($A442,'0.Productos'!$A$3:$GG$587,'0.Productos'!BI$1+1,0),"")</f>
        <v/>
      </c>
      <c r="R442" s="133" t="str">
        <f>IF($A442&lt;&gt;0,VLOOKUP($A442,'0.Productos'!$A$3:$GG$587,'0.Productos'!BJ$1+1,0),"")</f>
        <v/>
      </c>
      <c r="S442" s="133" t="str">
        <f>IF($A442&lt;&gt;0,VLOOKUP($A442,'0.Productos'!$A$3:$GG$587,'0.Productos'!BK$1+1,0),"")</f>
        <v/>
      </c>
      <c r="T442" s="133" t="str">
        <f>IF($A442&lt;&gt;0,VLOOKUP($A442,'0.Productos'!$A$3:$GG$587,'0.Productos'!BL$1+1,0),"")</f>
        <v/>
      </c>
      <c r="U442" s="133" t="str">
        <f>IF($A442&lt;&gt;0,VLOOKUP($A442,'0.Productos'!$A$3:$GG$587,'0.Productos'!BM$1+1,0),"")</f>
        <v/>
      </c>
      <c r="V442" s="133" t="str">
        <f>IF($A442&lt;&gt;0,VLOOKUP($A442,'0.Productos'!$A$3:$GG$587,'0.Productos'!BN$1+1,0),"")</f>
        <v/>
      </c>
      <c r="W442" s="133" t="str">
        <f>IF($A442&lt;&gt;0,VLOOKUP($A442,'0.Productos'!$A$3:$GG$587,'0.Productos'!BO$1+1,0),"")</f>
        <v/>
      </c>
      <c r="X442" s="133" t="str">
        <f>IF($A442&lt;&gt;0,VLOOKUP($A442,'0.Productos'!$A$3:$GG$587,'0.Productos'!BP$1+1,0),"")</f>
        <v/>
      </c>
      <c r="Y442" s="133" t="str">
        <f>IF($A442&lt;&gt;0,VLOOKUP($A442,'0.Productos'!$A$3:$GG$587,'0.Productos'!BQ$1+1,0),"")</f>
        <v/>
      </c>
      <c r="Z442" s="133" t="str">
        <f>IF($A442&lt;&gt;0,VLOOKUP($A442,'0.Productos'!$A$3:$GG$587,'0.Productos'!BR$1+1,0),"")</f>
        <v/>
      </c>
      <c r="AA442" s="133" t="str">
        <f>IF($A442&lt;&gt;0,VLOOKUP($A442,'0.Productos'!$A$3:$GG$587,'0.Productos'!BS$1+1,0),"")</f>
        <v/>
      </c>
      <c r="AB442" s="133" t="str">
        <f>IF($A442&lt;&gt;0,VLOOKUP($A442,'0.Productos'!$A$3:$GG$587,'0.Productos'!BT$1+1,0),"")</f>
        <v/>
      </c>
      <c r="AC442" s="133" t="str">
        <f>IF($A442&lt;&gt;0,VLOOKUP($A442,'0.Productos'!$A$3:$GG$587,'0.Productos'!BU$1+1,0),"")</f>
        <v/>
      </c>
      <c r="AD442" s="133" t="str">
        <f>IF($A442&lt;&gt;0,VLOOKUP($A442,'0.Productos'!$A$3:$GG$587,'0.Productos'!BV$1+1,0),"")</f>
        <v/>
      </c>
      <c r="AE442" s="133" t="str">
        <f>IF($A442&lt;&gt;0,VLOOKUP($A442,'0.Productos'!$A$3:$GG$587,'0.Productos'!BW$1+1,0),"")</f>
        <v/>
      </c>
      <c r="AF442" s="133" t="str">
        <f>IF($A442&lt;&gt;0,VLOOKUP($A442,'0.Productos'!$A$3:$GG$587,'0.Productos'!BX$1+1,0),"")</f>
        <v/>
      </c>
      <c r="AG442" s="133" t="str">
        <f>IF($A442&lt;&gt;0,VLOOKUP($A442,'0.Productos'!$A$3:$GG$587,'0.Productos'!BY$1+1,0),"")</f>
        <v/>
      </c>
      <c r="AH442" s="133" t="str">
        <f>IF($A442&lt;&gt;0,VLOOKUP($A442,'0.Productos'!$A$3:$GG$587,'0.Productos'!BZ$1+1,0),"")</f>
        <v/>
      </c>
      <c r="AI442" s="133" t="str">
        <f>IF($A442&lt;&gt;0,VLOOKUP($A442,'0.Productos'!$A$3:$GG$587,'0.Productos'!CA$1+1,0),"")</f>
        <v/>
      </c>
      <c r="AJ442" s="133" t="str">
        <f>IF($A442&lt;&gt;0,VLOOKUP($A442,'0.Productos'!$A$3:$GG$587,'0.Productos'!CB$1+1,0),"")</f>
        <v/>
      </c>
      <c r="AK442" s="133" t="str">
        <f>IF($A442&lt;&gt;0,VLOOKUP($A442,'0.Productos'!$A$3:$GG$587,'0.Productos'!CC$1+1,0),"")</f>
        <v/>
      </c>
      <c r="AL442" s="133" t="str">
        <f>IF($A442&lt;&gt;0,VLOOKUP($A442,'0.Productos'!$A$3:$GG$587,'0.Productos'!CD$1+1,0),"")</f>
        <v/>
      </c>
      <c r="AM442" s="133" t="str">
        <f>IF($A442&lt;&gt;0,VLOOKUP($A442,'0.Productos'!$A$3:$GG$587,'0.Productos'!CE$1+1,0),"")</f>
        <v/>
      </c>
      <c r="AN442" s="133" t="str">
        <f>IF($A442&lt;&gt;0,VLOOKUP($A442,'0.Productos'!$A$3:$GG$587,'0.Productos'!CF$1+1,0),"")</f>
        <v/>
      </c>
      <c r="AO442" s="133" t="str">
        <f>IF($A442&lt;&gt;0,VLOOKUP($A442,'0.Productos'!$A$3:$GG$587,'0.Productos'!CG$1+1,0),"")</f>
        <v/>
      </c>
      <c r="AP442" s="133" t="str">
        <f>IF($A442&lt;&gt;0,VLOOKUP($A442,'0.Productos'!$A$3:$GG$587,'0.Productos'!CH$1+1,0),"")</f>
        <v/>
      </c>
      <c r="AQ442" s="133" t="str">
        <f>IF($A442&lt;&gt;0,VLOOKUP($A442,'0.Productos'!$A$3:$GG$587,'0.Productos'!CI$1+1,0),"")</f>
        <v/>
      </c>
      <c r="AR442" s="133" t="str">
        <f>IF($A442&lt;&gt;0,VLOOKUP($A442,'0.Productos'!$A$3:$GG$587,'0.Productos'!CJ$1+1,0),"")</f>
        <v/>
      </c>
      <c r="AS442" s="133" t="str">
        <f>IF($A442&lt;&gt;0,VLOOKUP($A442,'0.Productos'!$A$3:$GG$587,'0.Productos'!CK$1+1,0),"")</f>
        <v/>
      </c>
      <c r="AT442" s="133" t="str">
        <f>IF($A442&lt;&gt;0,VLOOKUP($A442,'0.Productos'!$A$3:$GG$587,'0.Productos'!CL$1+1,0),"")</f>
        <v/>
      </c>
      <c r="AU442" s="133" t="str">
        <f>IF($A442&lt;&gt;0,VLOOKUP($A442,'0.Productos'!$A$3:$GG$587,'0.Productos'!CM$1+1,0),"")</f>
        <v/>
      </c>
      <c r="AV442" s="133" t="str">
        <f>IF($A442&lt;&gt;0,VLOOKUP($A442,'0.Productos'!$A$3:$GG$587,'0.Productos'!CN$1+1,0),"")</f>
        <v/>
      </c>
      <c r="AW442" s="133" t="str">
        <f>IF($A442&lt;&gt;0,VLOOKUP($A442,'0.Productos'!$A$3:$GG$587,'0.Productos'!CO$1+1,0),"")</f>
        <v/>
      </c>
      <c r="AX442" s="133" t="str">
        <f>IF($A442&lt;&gt;0,VLOOKUP($A442,'0.Productos'!$A$3:$GG$587,'0.Productos'!CP$1+1,0),"")</f>
        <v/>
      </c>
      <c r="AY442" s="133" t="str">
        <f>IF($A442&lt;&gt;0,VLOOKUP($A442,'0.Productos'!$A$3:$GG$587,'0.Productos'!CQ$1+1,0),"")</f>
        <v/>
      </c>
      <c r="AZ442" s="133" t="str">
        <f>IF($A442&lt;&gt;0,VLOOKUP($A442,'0.Productos'!$A$3:$GG$587,'0.Productos'!CR$1+1,0),"")</f>
        <v/>
      </c>
      <c r="BA442" s="133" t="str">
        <f>IF($A442&lt;&gt;0,VLOOKUP($A442,'0.Productos'!$A$3:$GG$587,'0.Productos'!CS$1+1,0),"")</f>
        <v/>
      </c>
      <c r="BB442" s="133" t="str">
        <f>IF($A442&lt;&gt;0,VLOOKUP($A442,'0.Productos'!$A$3:$GG$587,'0.Productos'!CT$1+1,0),"")</f>
        <v/>
      </c>
      <c r="BC442" s="133" t="str">
        <f>IF($A442&lt;&gt;0,VLOOKUP($A442,'0.Productos'!$A$3:$GG$587,'0.Productos'!CU$1+1,0),"")</f>
        <v/>
      </c>
      <c r="BD442" s="133" t="str">
        <f>IF($A442&lt;&gt;0,VLOOKUP($A442,'0.Productos'!$A$3:$GG$587,'0.Productos'!CV$1+1,0),"")</f>
        <v/>
      </c>
      <c r="BE442" s="133" t="str">
        <f>IF($A442&lt;&gt;0,VLOOKUP($A442,'0.Productos'!$A$3:$GG$587,'0.Productos'!CW$1+1,0),"")</f>
        <v/>
      </c>
      <c r="BF442" s="133" t="str">
        <f>IF($A442&lt;&gt;0,VLOOKUP($A442,'0.Productos'!$A$3:$GG$587,'0.Productos'!CX$1+1,0),"")</f>
        <v/>
      </c>
      <c r="BG442" s="133" t="str">
        <f>IF($A442&lt;&gt;0,VLOOKUP($A442,'0.Productos'!$A$3:$GG$587,'0.Productos'!CY$1+1,0),"")</f>
        <v/>
      </c>
      <c r="BH442" s="133" t="str">
        <f>IF($A442&lt;&gt;0,VLOOKUP($A442,'0.Productos'!$A$3:$GG$587,'0.Productos'!CZ$1+1,0),"")</f>
        <v/>
      </c>
      <c r="BI442" s="133" t="str">
        <f>IF($A442&lt;&gt;0,VLOOKUP($A442,'0.Productos'!$A$3:$GG$587,'0.Productos'!DA$1+1,0),"")</f>
        <v/>
      </c>
      <c r="BJ442" s="133" t="str">
        <f>IF($A442&lt;&gt;0,VLOOKUP($A442,'0.Productos'!$A$3:$GG$587,'0.Productos'!DB$1+1,0),"")</f>
        <v/>
      </c>
      <c r="BK442" s="133" t="str">
        <f>IF($A442&lt;&gt;0,VLOOKUP($A442,'0.Productos'!$A$3:$GG$587,'0.Productos'!DC$1+1,0),"")</f>
        <v/>
      </c>
      <c r="BL442" s="133" t="str">
        <f>IF($A442&lt;&gt;0,VLOOKUP($A442,'0.Productos'!$A$3:$GG$587,'0.Productos'!DD$1+1,0),"")</f>
        <v/>
      </c>
      <c r="BM442" s="133" t="str">
        <f>IF($A442&lt;&gt;0,VLOOKUP($A442,'0.Productos'!$A$3:$GG$587,'0.Productos'!DE$1+1,0),"")</f>
        <v/>
      </c>
      <c r="BN442" s="133" t="str">
        <f>IF($A442&lt;&gt;0,VLOOKUP($A442,'0.Productos'!$A$3:$GG$587,'0.Productos'!DF$1+1,0),"")</f>
        <v/>
      </c>
      <c r="BO442" s="133" t="str">
        <f>IF($A442&lt;&gt;0,VLOOKUP($A442,'0.Productos'!$A$3:$GG$587,'0.Productos'!DG$1+1,0),"")</f>
        <v/>
      </c>
      <c r="BP442" s="133" t="str">
        <f>IF($A442&lt;&gt;0,VLOOKUP($A442,'0.Productos'!$A$3:$GG$587,'0.Productos'!DH$1+1,0),"")</f>
        <v/>
      </c>
      <c r="BQ442" s="133" t="str">
        <f>IF($A442&lt;&gt;0,VLOOKUP($A442,'0.Productos'!$A$3:$GG$587,'0.Productos'!DI$1+1,0),"")</f>
        <v/>
      </c>
      <c r="BR442" s="133" t="str">
        <f>IF($A442&lt;&gt;0,VLOOKUP($A442,'0.Productos'!$A$3:$GG$587,'0.Productos'!DJ$1+1,0),"")</f>
        <v/>
      </c>
      <c r="BS442" s="133" t="str">
        <f>IF($A442&lt;&gt;0,VLOOKUP($A442,'0.Productos'!$A$3:$GG$587,'0.Productos'!DK$1+1,0),"")</f>
        <v/>
      </c>
      <c r="BT442" s="133" t="str">
        <f>IF($A442&lt;&gt;0,VLOOKUP($A442,'0.Productos'!$A$3:$GG$587,'0.Productos'!DL$1+1,0),"")</f>
        <v/>
      </c>
    </row>
    <row r="443" spans="1:72" x14ac:dyDescent="0.25">
      <c r="A443" s="17">
        <f>'0.Consolidado general'!A443</f>
        <v>0</v>
      </c>
      <c r="B443" s="133" t="str">
        <f>IF($A443&lt;&gt;0,VLOOKUP($A443,'0.Productos'!$A$3:$GG$587,'0.Productos'!AT$1+1,0),"")</f>
        <v/>
      </c>
      <c r="C443" s="133" t="str">
        <f>IF($A443&lt;&gt;0,VLOOKUP($A443,'0.Productos'!$A$3:$GG$587,'0.Productos'!AU$1+1,0),"")</f>
        <v/>
      </c>
      <c r="D443" s="133" t="str">
        <f>IF($A443&lt;&gt;0,VLOOKUP($A443,'0.Productos'!$A$3:$GG$587,'0.Productos'!AV$1+1,0),"")</f>
        <v/>
      </c>
      <c r="E443" s="133" t="str">
        <f>IF($A443&lt;&gt;0,VLOOKUP($A443,'0.Productos'!$A$3:$GG$587,'0.Productos'!AW$1+1,0),"")</f>
        <v/>
      </c>
      <c r="F443" s="133" t="str">
        <f>IF($A443&lt;&gt;0,VLOOKUP($A443,'0.Productos'!$A$3:$GG$587,'0.Productos'!AX$1+1,0),"")</f>
        <v/>
      </c>
      <c r="G443" s="133" t="str">
        <f>IF($A443&lt;&gt;0,VLOOKUP($A443,'0.Productos'!$A$3:$GG$587,'0.Productos'!AY$1+1,0),"")</f>
        <v/>
      </c>
      <c r="H443" s="133" t="str">
        <f>IF($A443&lt;&gt;0,VLOOKUP($A443,'0.Productos'!$A$3:$GG$587,'0.Productos'!AZ$1+1,0),"")</f>
        <v/>
      </c>
      <c r="I443" s="133" t="str">
        <f>IF($A443&lt;&gt;0,VLOOKUP($A443,'0.Productos'!$A$3:$GG$587,'0.Productos'!BA$1+1,0),"")</f>
        <v/>
      </c>
      <c r="J443" s="133" t="str">
        <f>IF($A443&lt;&gt;0,VLOOKUP($A443,'0.Productos'!$A$3:$GG$587,'0.Productos'!BB$1+1,0),"")</f>
        <v/>
      </c>
      <c r="K443" s="133" t="str">
        <f>IF($A443&lt;&gt;0,VLOOKUP($A443,'0.Productos'!$A$3:$GG$587,'0.Productos'!BC$1+1,0),"")</f>
        <v/>
      </c>
      <c r="L443" s="133" t="str">
        <f>IF($A443&lt;&gt;0,VLOOKUP($A443,'0.Productos'!$A$3:$GG$587,'0.Productos'!BD$1+1,0),"")</f>
        <v/>
      </c>
      <c r="M443" s="133" t="str">
        <f>IF($A443&lt;&gt;0,VLOOKUP($A443,'0.Productos'!$A$3:$GG$587,'0.Productos'!BE$1+1,0),"")</f>
        <v/>
      </c>
      <c r="N443" s="133" t="str">
        <f>IF($A443&lt;&gt;0,VLOOKUP($A443,'0.Productos'!$A$3:$GG$587,'0.Productos'!BF$1+1,0),"")</f>
        <v/>
      </c>
      <c r="O443" s="133" t="str">
        <f>IF($A443&lt;&gt;0,VLOOKUP($A443,'0.Productos'!$A$3:$GG$587,'0.Productos'!BG$1+1,0),"")</f>
        <v/>
      </c>
      <c r="P443" s="133" t="str">
        <f>IF($A443&lt;&gt;0,VLOOKUP($A443,'0.Productos'!$A$3:$GG$587,'0.Productos'!BH$1+1,0),"")</f>
        <v/>
      </c>
      <c r="Q443" s="133" t="str">
        <f>IF($A443&lt;&gt;0,VLOOKUP($A443,'0.Productos'!$A$3:$GG$587,'0.Productos'!BI$1+1,0),"")</f>
        <v/>
      </c>
      <c r="R443" s="133" t="str">
        <f>IF($A443&lt;&gt;0,VLOOKUP($A443,'0.Productos'!$A$3:$GG$587,'0.Productos'!BJ$1+1,0),"")</f>
        <v/>
      </c>
      <c r="S443" s="133" t="str">
        <f>IF($A443&lt;&gt;0,VLOOKUP($A443,'0.Productos'!$A$3:$GG$587,'0.Productos'!BK$1+1,0),"")</f>
        <v/>
      </c>
      <c r="T443" s="133" t="str">
        <f>IF($A443&lt;&gt;0,VLOOKUP($A443,'0.Productos'!$A$3:$GG$587,'0.Productos'!BL$1+1,0),"")</f>
        <v/>
      </c>
      <c r="U443" s="133" t="str">
        <f>IF($A443&lt;&gt;0,VLOOKUP($A443,'0.Productos'!$A$3:$GG$587,'0.Productos'!BM$1+1,0),"")</f>
        <v/>
      </c>
      <c r="V443" s="133" t="str">
        <f>IF($A443&lt;&gt;0,VLOOKUP($A443,'0.Productos'!$A$3:$GG$587,'0.Productos'!BN$1+1,0),"")</f>
        <v/>
      </c>
      <c r="W443" s="133" t="str">
        <f>IF($A443&lt;&gt;0,VLOOKUP($A443,'0.Productos'!$A$3:$GG$587,'0.Productos'!BO$1+1,0),"")</f>
        <v/>
      </c>
      <c r="X443" s="133" t="str">
        <f>IF($A443&lt;&gt;0,VLOOKUP($A443,'0.Productos'!$A$3:$GG$587,'0.Productos'!BP$1+1,0),"")</f>
        <v/>
      </c>
      <c r="Y443" s="133" t="str">
        <f>IF($A443&lt;&gt;0,VLOOKUP($A443,'0.Productos'!$A$3:$GG$587,'0.Productos'!BQ$1+1,0),"")</f>
        <v/>
      </c>
      <c r="Z443" s="133" t="str">
        <f>IF($A443&lt;&gt;0,VLOOKUP($A443,'0.Productos'!$A$3:$GG$587,'0.Productos'!BR$1+1,0),"")</f>
        <v/>
      </c>
      <c r="AA443" s="133" t="str">
        <f>IF($A443&lt;&gt;0,VLOOKUP($A443,'0.Productos'!$A$3:$GG$587,'0.Productos'!BS$1+1,0),"")</f>
        <v/>
      </c>
      <c r="AB443" s="133" t="str">
        <f>IF($A443&lt;&gt;0,VLOOKUP($A443,'0.Productos'!$A$3:$GG$587,'0.Productos'!BT$1+1,0),"")</f>
        <v/>
      </c>
      <c r="AC443" s="133" t="str">
        <f>IF($A443&lt;&gt;0,VLOOKUP($A443,'0.Productos'!$A$3:$GG$587,'0.Productos'!BU$1+1,0),"")</f>
        <v/>
      </c>
      <c r="AD443" s="133" t="str">
        <f>IF($A443&lt;&gt;0,VLOOKUP($A443,'0.Productos'!$A$3:$GG$587,'0.Productos'!BV$1+1,0),"")</f>
        <v/>
      </c>
      <c r="AE443" s="133" t="str">
        <f>IF($A443&lt;&gt;0,VLOOKUP($A443,'0.Productos'!$A$3:$GG$587,'0.Productos'!BW$1+1,0),"")</f>
        <v/>
      </c>
      <c r="AF443" s="133" t="str">
        <f>IF($A443&lt;&gt;0,VLOOKUP($A443,'0.Productos'!$A$3:$GG$587,'0.Productos'!BX$1+1,0),"")</f>
        <v/>
      </c>
      <c r="AG443" s="133" t="str">
        <f>IF($A443&lt;&gt;0,VLOOKUP($A443,'0.Productos'!$A$3:$GG$587,'0.Productos'!BY$1+1,0),"")</f>
        <v/>
      </c>
      <c r="AH443" s="133" t="str">
        <f>IF($A443&lt;&gt;0,VLOOKUP($A443,'0.Productos'!$A$3:$GG$587,'0.Productos'!BZ$1+1,0),"")</f>
        <v/>
      </c>
      <c r="AI443" s="133" t="str">
        <f>IF($A443&lt;&gt;0,VLOOKUP($A443,'0.Productos'!$A$3:$GG$587,'0.Productos'!CA$1+1,0),"")</f>
        <v/>
      </c>
      <c r="AJ443" s="133" t="str">
        <f>IF($A443&lt;&gt;0,VLOOKUP($A443,'0.Productos'!$A$3:$GG$587,'0.Productos'!CB$1+1,0),"")</f>
        <v/>
      </c>
      <c r="AK443" s="133" t="str">
        <f>IF($A443&lt;&gt;0,VLOOKUP($A443,'0.Productos'!$A$3:$GG$587,'0.Productos'!CC$1+1,0),"")</f>
        <v/>
      </c>
      <c r="AL443" s="133" t="str">
        <f>IF($A443&lt;&gt;0,VLOOKUP($A443,'0.Productos'!$A$3:$GG$587,'0.Productos'!CD$1+1,0),"")</f>
        <v/>
      </c>
      <c r="AM443" s="133" t="str">
        <f>IF($A443&lt;&gt;0,VLOOKUP($A443,'0.Productos'!$A$3:$GG$587,'0.Productos'!CE$1+1,0),"")</f>
        <v/>
      </c>
      <c r="AN443" s="133" t="str">
        <f>IF($A443&lt;&gt;0,VLOOKUP($A443,'0.Productos'!$A$3:$GG$587,'0.Productos'!CF$1+1,0),"")</f>
        <v/>
      </c>
      <c r="AO443" s="133" t="str">
        <f>IF($A443&lt;&gt;0,VLOOKUP($A443,'0.Productos'!$A$3:$GG$587,'0.Productos'!CG$1+1,0),"")</f>
        <v/>
      </c>
      <c r="AP443" s="133" t="str">
        <f>IF($A443&lt;&gt;0,VLOOKUP($A443,'0.Productos'!$A$3:$GG$587,'0.Productos'!CH$1+1,0),"")</f>
        <v/>
      </c>
      <c r="AQ443" s="133" t="str">
        <f>IF($A443&lt;&gt;0,VLOOKUP($A443,'0.Productos'!$A$3:$GG$587,'0.Productos'!CI$1+1,0),"")</f>
        <v/>
      </c>
      <c r="AR443" s="133" t="str">
        <f>IF($A443&lt;&gt;0,VLOOKUP($A443,'0.Productos'!$A$3:$GG$587,'0.Productos'!CJ$1+1,0),"")</f>
        <v/>
      </c>
      <c r="AS443" s="133" t="str">
        <f>IF($A443&lt;&gt;0,VLOOKUP($A443,'0.Productos'!$A$3:$GG$587,'0.Productos'!CK$1+1,0),"")</f>
        <v/>
      </c>
      <c r="AT443" s="133" t="str">
        <f>IF($A443&lt;&gt;0,VLOOKUP($A443,'0.Productos'!$A$3:$GG$587,'0.Productos'!CL$1+1,0),"")</f>
        <v/>
      </c>
      <c r="AU443" s="133" t="str">
        <f>IF($A443&lt;&gt;0,VLOOKUP($A443,'0.Productos'!$A$3:$GG$587,'0.Productos'!CM$1+1,0),"")</f>
        <v/>
      </c>
      <c r="AV443" s="133" t="str">
        <f>IF($A443&lt;&gt;0,VLOOKUP($A443,'0.Productos'!$A$3:$GG$587,'0.Productos'!CN$1+1,0),"")</f>
        <v/>
      </c>
      <c r="AW443" s="133" t="str">
        <f>IF($A443&lt;&gt;0,VLOOKUP($A443,'0.Productos'!$A$3:$GG$587,'0.Productos'!CO$1+1,0),"")</f>
        <v/>
      </c>
      <c r="AX443" s="133" t="str">
        <f>IF($A443&lt;&gt;0,VLOOKUP($A443,'0.Productos'!$A$3:$GG$587,'0.Productos'!CP$1+1,0),"")</f>
        <v/>
      </c>
      <c r="AY443" s="133" t="str">
        <f>IF($A443&lt;&gt;0,VLOOKUP($A443,'0.Productos'!$A$3:$GG$587,'0.Productos'!CQ$1+1,0),"")</f>
        <v/>
      </c>
      <c r="AZ443" s="133" t="str">
        <f>IF($A443&lt;&gt;0,VLOOKUP($A443,'0.Productos'!$A$3:$GG$587,'0.Productos'!CR$1+1,0),"")</f>
        <v/>
      </c>
      <c r="BA443" s="133" t="str">
        <f>IF($A443&lt;&gt;0,VLOOKUP($A443,'0.Productos'!$A$3:$GG$587,'0.Productos'!CS$1+1,0),"")</f>
        <v/>
      </c>
      <c r="BB443" s="133" t="str">
        <f>IF($A443&lt;&gt;0,VLOOKUP($A443,'0.Productos'!$A$3:$GG$587,'0.Productos'!CT$1+1,0),"")</f>
        <v/>
      </c>
      <c r="BC443" s="133" t="str">
        <f>IF($A443&lt;&gt;0,VLOOKUP($A443,'0.Productos'!$A$3:$GG$587,'0.Productos'!CU$1+1,0),"")</f>
        <v/>
      </c>
      <c r="BD443" s="133" t="str">
        <f>IF($A443&lt;&gt;0,VLOOKUP($A443,'0.Productos'!$A$3:$GG$587,'0.Productos'!CV$1+1,0),"")</f>
        <v/>
      </c>
      <c r="BE443" s="133" t="str">
        <f>IF($A443&lt;&gt;0,VLOOKUP($A443,'0.Productos'!$A$3:$GG$587,'0.Productos'!CW$1+1,0),"")</f>
        <v/>
      </c>
      <c r="BF443" s="133" t="str">
        <f>IF($A443&lt;&gt;0,VLOOKUP($A443,'0.Productos'!$A$3:$GG$587,'0.Productos'!CX$1+1,0),"")</f>
        <v/>
      </c>
      <c r="BG443" s="133" t="str">
        <f>IF($A443&lt;&gt;0,VLOOKUP($A443,'0.Productos'!$A$3:$GG$587,'0.Productos'!CY$1+1,0),"")</f>
        <v/>
      </c>
      <c r="BH443" s="133" t="str">
        <f>IF($A443&lt;&gt;0,VLOOKUP($A443,'0.Productos'!$A$3:$GG$587,'0.Productos'!CZ$1+1,0),"")</f>
        <v/>
      </c>
      <c r="BI443" s="133" t="str">
        <f>IF($A443&lt;&gt;0,VLOOKUP($A443,'0.Productos'!$A$3:$GG$587,'0.Productos'!DA$1+1,0),"")</f>
        <v/>
      </c>
      <c r="BJ443" s="133" t="str">
        <f>IF($A443&lt;&gt;0,VLOOKUP($A443,'0.Productos'!$A$3:$GG$587,'0.Productos'!DB$1+1,0),"")</f>
        <v/>
      </c>
      <c r="BK443" s="133" t="str">
        <f>IF($A443&lt;&gt;0,VLOOKUP($A443,'0.Productos'!$A$3:$GG$587,'0.Productos'!DC$1+1,0),"")</f>
        <v/>
      </c>
      <c r="BL443" s="133" t="str">
        <f>IF($A443&lt;&gt;0,VLOOKUP($A443,'0.Productos'!$A$3:$GG$587,'0.Productos'!DD$1+1,0),"")</f>
        <v/>
      </c>
      <c r="BM443" s="133" t="str">
        <f>IF($A443&lt;&gt;0,VLOOKUP($A443,'0.Productos'!$A$3:$GG$587,'0.Productos'!DE$1+1,0),"")</f>
        <v/>
      </c>
      <c r="BN443" s="133" t="str">
        <f>IF($A443&lt;&gt;0,VLOOKUP($A443,'0.Productos'!$A$3:$GG$587,'0.Productos'!DF$1+1,0),"")</f>
        <v/>
      </c>
      <c r="BO443" s="133" t="str">
        <f>IF($A443&lt;&gt;0,VLOOKUP($A443,'0.Productos'!$A$3:$GG$587,'0.Productos'!DG$1+1,0),"")</f>
        <v/>
      </c>
      <c r="BP443" s="133" t="str">
        <f>IF($A443&lt;&gt;0,VLOOKUP($A443,'0.Productos'!$A$3:$GG$587,'0.Productos'!DH$1+1,0),"")</f>
        <v/>
      </c>
      <c r="BQ443" s="133" t="str">
        <f>IF($A443&lt;&gt;0,VLOOKUP($A443,'0.Productos'!$A$3:$GG$587,'0.Productos'!DI$1+1,0),"")</f>
        <v/>
      </c>
      <c r="BR443" s="133" t="str">
        <f>IF($A443&lt;&gt;0,VLOOKUP($A443,'0.Productos'!$A$3:$GG$587,'0.Productos'!DJ$1+1,0),"")</f>
        <v/>
      </c>
      <c r="BS443" s="133" t="str">
        <f>IF($A443&lt;&gt;0,VLOOKUP($A443,'0.Productos'!$A$3:$GG$587,'0.Productos'!DK$1+1,0),"")</f>
        <v/>
      </c>
      <c r="BT443" s="133" t="str">
        <f>IF($A443&lt;&gt;0,VLOOKUP($A443,'0.Productos'!$A$3:$GG$587,'0.Productos'!DL$1+1,0),"")</f>
        <v/>
      </c>
    </row>
    <row r="444" spans="1:72" x14ac:dyDescent="0.25">
      <c r="A444" s="17">
        <f>'0.Consolidado general'!A444</f>
        <v>0</v>
      </c>
      <c r="B444" s="133" t="str">
        <f>IF($A444&lt;&gt;0,VLOOKUP($A444,'0.Productos'!$A$3:$GG$587,'0.Productos'!AT$1+1,0),"")</f>
        <v/>
      </c>
      <c r="C444" s="133" t="str">
        <f>IF($A444&lt;&gt;0,VLOOKUP($A444,'0.Productos'!$A$3:$GG$587,'0.Productos'!AU$1+1,0),"")</f>
        <v/>
      </c>
      <c r="D444" s="133" t="str">
        <f>IF($A444&lt;&gt;0,VLOOKUP($A444,'0.Productos'!$A$3:$GG$587,'0.Productos'!AV$1+1,0),"")</f>
        <v/>
      </c>
      <c r="E444" s="133" t="str">
        <f>IF($A444&lt;&gt;0,VLOOKUP($A444,'0.Productos'!$A$3:$GG$587,'0.Productos'!AW$1+1,0),"")</f>
        <v/>
      </c>
      <c r="F444" s="133" t="str">
        <f>IF($A444&lt;&gt;0,VLOOKUP($A444,'0.Productos'!$A$3:$GG$587,'0.Productos'!AX$1+1,0),"")</f>
        <v/>
      </c>
      <c r="G444" s="133" t="str">
        <f>IF($A444&lt;&gt;0,VLOOKUP($A444,'0.Productos'!$A$3:$GG$587,'0.Productos'!AY$1+1,0),"")</f>
        <v/>
      </c>
      <c r="H444" s="133" t="str">
        <f>IF($A444&lt;&gt;0,VLOOKUP($A444,'0.Productos'!$A$3:$GG$587,'0.Productos'!AZ$1+1,0),"")</f>
        <v/>
      </c>
      <c r="I444" s="133" t="str">
        <f>IF($A444&lt;&gt;0,VLOOKUP($A444,'0.Productos'!$A$3:$GG$587,'0.Productos'!BA$1+1,0),"")</f>
        <v/>
      </c>
      <c r="J444" s="133" t="str">
        <f>IF($A444&lt;&gt;0,VLOOKUP($A444,'0.Productos'!$A$3:$GG$587,'0.Productos'!BB$1+1,0),"")</f>
        <v/>
      </c>
      <c r="K444" s="133" t="str">
        <f>IF($A444&lt;&gt;0,VLOOKUP($A444,'0.Productos'!$A$3:$GG$587,'0.Productos'!BC$1+1,0),"")</f>
        <v/>
      </c>
      <c r="L444" s="133" t="str">
        <f>IF($A444&lt;&gt;0,VLOOKUP($A444,'0.Productos'!$A$3:$GG$587,'0.Productos'!BD$1+1,0),"")</f>
        <v/>
      </c>
      <c r="M444" s="133" t="str">
        <f>IF($A444&lt;&gt;0,VLOOKUP($A444,'0.Productos'!$A$3:$GG$587,'0.Productos'!BE$1+1,0),"")</f>
        <v/>
      </c>
      <c r="N444" s="133" t="str">
        <f>IF($A444&lt;&gt;0,VLOOKUP($A444,'0.Productos'!$A$3:$GG$587,'0.Productos'!BF$1+1,0),"")</f>
        <v/>
      </c>
      <c r="O444" s="133" t="str">
        <f>IF($A444&lt;&gt;0,VLOOKUP($A444,'0.Productos'!$A$3:$GG$587,'0.Productos'!BG$1+1,0),"")</f>
        <v/>
      </c>
      <c r="P444" s="133" t="str">
        <f>IF($A444&lt;&gt;0,VLOOKUP($A444,'0.Productos'!$A$3:$GG$587,'0.Productos'!BH$1+1,0),"")</f>
        <v/>
      </c>
      <c r="Q444" s="133" t="str">
        <f>IF($A444&lt;&gt;0,VLOOKUP($A444,'0.Productos'!$A$3:$GG$587,'0.Productos'!BI$1+1,0),"")</f>
        <v/>
      </c>
      <c r="R444" s="133" t="str">
        <f>IF($A444&lt;&gt;0,VLOOKUP($A444,'0.Productos'!$A$3:$GG$587,'0.Productos'!BJ$1+1,0),"")</f>
        <v/>
      </c>
      <c r="S444" s="133" t="str">
        <f>IF($A444&lt;&gt;0,VLOOKUP($A444,'0.Productos'!$A$3:$GG$587,'0.Productos'!BK$1+1,0),"")</f>
        <v/>
      </c>
      <c r="T444" s="133" t="str">
        <f>IF($A444&lt;&gt;0,VLOOKUP($A444,'0.Productos'!$A$3:$GG$587,'0.Productos'!BL$1+1,0),"")</f>
        <v/>
      </c>
      <c r="U444" s="133" t="str">
        <f>IF($A444&lt;&gt;0,VLOOKUP($A444,'0.Productos'!$A$3:$GG$587,'0.Productos'!BM$1+1,0),"")</f>
        <v/>
      </c>
      <c r="V444" s="133" t="str">
        <f>IF($A444&lt;&gt;0,VLOOKUP($A444,'0.Productos'!$A$3:$GG$587,'0.Productos'!BN$1+1,0),"")</f>
        <v/>
      </c>
      <c r="W444" s="133" t="str">
        <f>IF($A444&lt;&gt;0,VLOOKUP($A444,'0.Productos'!$A$3:$GG$587,'0.Productos'!BO$1+1,0),"")</f>
        <v/>
      </c>
      <c r="X444" s="133" t="str">
        <f>IF($A444&lt;&gt;0,VLOOKUP($A444,'0.Productos'!$A$3:$GG$587,'0.Productos'!BP$1+1,0),"")</f>
        <v/>
      </c>
      <c r="Y444" s="133" t="str">
        <f>IF($A444&lt;&gt;0,VLOOKUP($A444,'0.Productos'!$A$3:$GG$587,'0.Productos'!BQ$1+1,0),"")</f>
        <v/>
      </c>
      <c r="Z444" s="133" t="str">
        <f>IF($A444&lt;&gt;0,VLOOKUP($A444,'0.Productos'!$A$3:$GG$587,'0.Productos'!BR$1+1,0),"")</f>
        <v/>
      </c>
      <c r="AA444" s="133" t="str">
        <f>IF($A444&lt;&gt;0,VLOOKUP($A444,'0.Productos'!$A$3:$GG$587,'0.Productos'!BS$1+1,0),"")</f>
        <v/>
      </c>
      <c r="AB444" s="133" t="str">
        <f>IF($A444&lt;&gt;0,VLOOKUP($A444,'0.Productos'!$A$3:$GG$587,'0.Productos'!BT$1+1,0),"")</f>
        <v/>
      </c>
      <c r="AC444" s="133" t="str">
        <f>IF($A444&lt;&gt;0,VLOOKUP($A444,'0.Productos'!$A$3:$GG$587,'0.Productos'!BU$1+1,0),"")</f>
        <v/>
      </c>
      <c r="AD444" s="133" t="str">
        <f>IF($A444&lt;&gt;0,VLOOKUP($A444,'0.Productos'!$A$3:$GG$587,'0.Productos'!BV$1+1,0),"")</f>
        <v/>
      </c>
      <c r="AE444" s="133" t="str">
        <f>IF($A444&lt;&gt;0,VLOOKUP($A444,'0.Productos'!$A$3:$GG$587,'0.Productos'!BW$1+1,0),"")</f>
        <v/>
      </c>
      <c r="AF444" s="133" t="str">
        <f>IF($A444&lt;&gt;0,VLOOKUP($A444,'0.Productos'!$A$3:$GG$587,'0.Productos'!BX$1+1,0),"")</f>
        <v/>
      </c>
      <c r="AG444" s="133" t="str">
        <f>IF($A444&lt;&gt;0,VLOOKUP($A444,'0.Productos'!$A$3:$GG$587,'0.Productos'!BY$1+1,0),"")</f>
        <v/>
      </c>
      <c r="AH444" s="133" t="str">
        <f>IF($A444&lt;&gt;0,VLOOKUP($A444,'0.Productos'!$A$3:$GG$587,'0.Productos'!BZ$1+1,0),"")</f>
        <v/>
      </c>
      <c r="AI444" s="133" t="str">
        <f>IF($A444&lt;&gt;0,VLOOKUP($A444,'0.Productos'!$A$3:$GG$587,'0.Productos'!CA$1+1,0),"")</f>
        <v/>
      </c>
      <c r="AJ444" s="133" t="str">
        <f>IF($A444&lt;&gt;0,VLOOKUP($A444,'0.Productos'!$A$3:$GG$587,'0.Productos'!CB$1+1,0),"")</f>
        <v/>
      </c>
      <c r="AK444" s="133" t="str">
        <f>IF($A444&lt;&gt;0,VLOOKUP($A444,'0.Productos'!$A$3:$GG$587,'0.Productos'!CC$1+1,0),"")</f>
        <v/>
      </c>
      <c r="AL444" s="133" t="str">
        <f>IF($A444&lt;&gt;0,VLOOKUP($A444,'0.Productos'!$A$3:$GG$587,'0.Productos'!CD$1+1,0),"")</f>
        <v/>
      </c>
      <c r="AM444" s="133" t="str">
        <f>IF($A444&lt;&gt;0,VLOOKUP($A444,'0.Productos'!$A$3:$GG$587,'0.Productos'!CE$1+1,0),"")</f>
        <v/>
      </c>
      <c r="AN444" s="133" t="str">
        <f>IF($A444&lt;&gt;0,VLOOKUP($A444,'0.Productos'!$A$3:$GG$587,'0.Productos'!CF$1+1,0),"")</f>
        <v/>
      </c>
      <c r="AO444" s="133" t="str">
        <f>IF($A444&lt;&gt;0,VLOOKUP($A444,'0.Productos'!$A$3:$GG$587,'0.Productos'!CG$1+1,0),"")</f>
        <v/>
      </c>
      <c r="AP444" s="133" t="str">
        <f>IF($A444&lt;&gt;0,VLOOKUP($A444,'0.Productos'!$A$3:$GG$587,'0.Productos'!CH$1+1,0),"")</f>
        <v/>
      </c>
      <c r="AQ444" s="133" t="str">
        <f>IF($A444&lt;&gt;0,VLOOKUP($A444,'0.Productos'!$A$3:$GG$587,'0.Productos'!CI$1+1,0),"")</f>
        <v/>
      </c>
      <c r="AR444" s="133" t="str">
        <f>IF($A444&lt;&gt;0,VLOOKUP($A444,'0.Productos'!$A$3:$GG$587,'0.Productos'!CJ$1+1,0),"")</f>
        <v/>
      </c>
      <c r="AS444" s="133" t="str">
        <f>IF($A444&lt;&gt;0,VLOOKUP($A444,'0.Productos'!$A$3:$GG$587,'0.Productos'!CK$1+1,0),"")</f>
        <v/>
      </c>
      <c r="AT444" s="133" t="str">
        <f>IF($A444&lt;&gt;0,VLOOKUP($A444,'0.Productos'!$A$3:$GG$587,'0.Productos'!CL$1+1,0),"")</f>
        <v/>
      </c>
      <c r="AU444" s="133" t="str">
        <f>IF($A444&lt;&gt;0,VLOOKUP($A444,'0.Productos'!$A$3:$GG$587,'0.Productos'!CM$1+1,0),"")</f>
        <v/>
      </c>
      <c r="AV444" s="133" t="str">
        <f>IF($A444&lt;&gt;0,VLOOKUP($A444,'0.Productos'!$A$3:$GG$587,'0.Productos'!CN$1+1,0),"")</f>
        <v/>
      </c>
      <c r="AW444" s="133" t="str">
        <f>IF($A444&lt;&gt;0,VLOOKUP($A444,'0.Productos'!$A$3:$GG$587,'0.Productos'!CO$1+1,0),"")</f>
        <v/>
      </c>
      <c r="AX444" s="133" t="str">
        <f>IF($A444&lt;&gt;0,VLOOKUP($A444,'0.Productos'!$A$3:$GG$587,'0.Productos'!CP$1+1,0),"")</f>
        <v/>
      </c>
      <c r="AY444" s="133" t="str">
        <f>IF($A444&lt;&gt;0,VLOOKUP($A444,'0.Productos'!$A$3:$GG$587,'0.Productos'!CQ$1+1,0),"")</f>
        <v/>
      </c>
      <c r="AZ444" s="133" t="str">
        <f>IF($A444&lt;&gt;0,VLOOKUP($A444,'0.Productos'!$A$3:$GG$587,'0.Productos'!CR$1+1,0),"")</f>
        <v/>
      </c>
      <c r="BA444" s="133" t="str">
        <f>IF($A444&lt;&gt;0,VLOOKUP($A444,'0.Productos'!$A$3:$GG$587,'0.Productos'!CS$1+1,0),"")</f>
        <v/>
      </c>
      <c r="BB444" s="133" t="str">
        <f>IF($A444&lt;&gt;0,VLOOKUP($A444,'0.Productos'!$A$3:$GG$587,'0.Productos'!CT$1+1,0),"")</f>
        <v/>
      </c>
      <c r="BC444" s="133" t="str">
        <f>IF($A444&lt;&gt;0,VLOOKUP($A444,'0.Productos'!$A$3:$GG$587,'0.Productos'!CU$1+1,0),"")</f>
        <v/>
      </c>
      <c r="BD444" s="133" t="str">
        <f>IF($A444&lt;&gt;0,VLOOKUP($A444,'0.Productos'!$A$3:$GG$587,'0.Productos'!CV$1+1,0),"")</f>
        <v/>
      </c>
      <c r="BE444" s="133" t="str">
        <f>IF($A444&lt;&gt;0,VLOOKUP($A444,'0.Productos'!$A$3:$GG$587,'0.Productos'!CW$1+1,0),"")</f>
        <v/>
      </c>
      <c r="BF444" s="133" t="str">
        <f>IF($A444&lt;&gt;0,VLOOKUP($A444,'0.Productos'!$A$3:$GG$587,'0.Productos'!CX$1+1,0),"")</f>
        <v/>
      </c>
      <c r="BG444" s="133" t="str">
        <f>IF($A444&lt;&gt;0,VLOOKUP($A444,'0.Productos'!$A$3:$GG$587,'0.Productos'!CY$1+1,0),"")</f>
        <v/>
      </c>
      <c r="BH444" s="133" t="str">
        <f>IF($A444&lt;&gt;0,VLOOKUP($A444,'0.Productos'!$A$3:$GG$587,'0.Productos'!CZ$1+1,0),"")</f>
        <v/>
      </c>
      <c r="BI444" s="133" t="str">
        <f>IF($A444&lt;&gt;0,VLOOKUP($A444,'0.Productos'!$A$3:$GG$587,'0.Productos'!DA$1+1,0),"")</f>
        <v/>
      </c>
      <c r="BJ444" s="133" t="str">
        <f>IF($A444&lt;&gt;0,VLOOKUP($A444,'0.Productos'!$A$3:$GG$587,'0.Productos'!DB$1+1,0),"")</f>
        <v/>
      </c>
      <c r="BK444" s="133" t="str">
        <f>IF($A444&lt;&gt;0,VLOOKUP($A444,'0.Productos'!$A$3:$GG$587,'0.Productos'!DC$1+1,0),"")</f>
        <v/>
      </c>
      <c r="BL444" s="133" t="str">
        <f>IF($A444&lt;&gt;0,VLOOKUP($A444,'0.Productos'!$A$3:$GG$587,'0.Productos'!DD$1+1,0),"")</f>
        <v/>
      </c>
      <c r="BM444" s="133" t="str">
        <f>IF($A444&lt;&gt;0,VLOOKUP($A444,'0.Productos'!$A$3:$GG$587,'0.Productos'!DE$1+1,0),"")</f>
        <v/>
      </c>
      <c r="BN444" s="133" t="str">
        <f>IF($A444&lt;&gt;0,VLOOKUP($A444,'0.Productos'!$A$3:$GG$587,'0.Productos'!DF$1+1,0),"")</f>
        <v/>
      </c>
      <c r="BO444" s="133" t="str">
        <f>IF($A444&lt;&gt;0,VLOOKUP($A444,'0.Productos'!$A$3:$GG$587,'0.Productos'!DG$1+1,0),"")</f>
        <v/>
      </c>
      <c r="BP444" s="133" t="str">
        <f>IF($A444&lt;&gt;0,VLOOKUP($A444,'0.Productos'!$A$3:$GG$587,'0.Productos'!DH$1+1,0),"")</f>
        <v/>
      </c>
      <c r="BQ444" s="133" t="str">
        <f>IF($A444&lt;&gt;0,VLOOKUP($A444,'0.Productos'!$A$3:$GG$587,'0.Productos'!DI$1+1,0),"")</f>
        <v/>
      </c>
      <c r="BR444" s="133" t="str">
        <f>IF($A444&lt;&gt;0,VLOOKUP($A444,'0.Productos'!$A$3:$GG$587,'0.Productos'!DJ$1+1,0),"")</f>
        <v/>
      </c>
      <c r="BS444" s="133" t="str">
        <f>IF($A444&lt;&gt;0,VLOOKUP($A444,'0.Productos'!$A$3:$GG$587,'0.Productos'!DK$1+1,0),"")</f>
        <v/>
      </c>
      <c r="BT444" s="133" t="str">
        <f>IF($A444&lt;&gt;0,VLOOKUP($A444,'0.Productos'!$A$3:$GG$587,'0.Productos'!DL$1+1,0),"")</f>
        <v/>
      </c>
    </row>
    <row r="445" spans="1:72" x14ac:dyDescent="0.25">
      <c r="A445" s="17">
        <f>'0.Consolidado general'!A445</f>
        <v>0</v>
      </c>
      <c r="B445" s="133" t="str">
        <f>IF($A445&lt;&gt;0,VLOOKUP($A445,'0.Productos'!$A$3:$GG$587,'0.Productos'!AT$1+1,0),"")</f>
        <v/>
      </c>
      <c r="C445" s="133" t="str">
        <f>IF($A445&lt;&gt;0,VLOOKUP($A445,'0.Productos'!$A$3:$GG$587,'0.Productos'!AU$1+1,0),"")</f>
        <v/>
      </c>
      <c r="D445" s="133" t="str">
        <f>IF($A445&lt;&gt;0,VLOOKUP($A445,'0.Productos'!$A$3:$GG$587,'0.Productos'!AV$1+1,0),"")</f>
        <v/>
      </c>
      <c r="E445" s="133" t="str">
        <f>IF($A445&lt;&gt;0,VLOOKUP($A445,'0.Productos'!$A$3:$GG$587,'0.Productos'!AW$1+1,0),"")</f>
        <v/>
      </c>
      <c r="F445" s="133" t="str">
        <f>IF($A445&lt;&gt;0,VLOOKUP($A445,'0.Productos'!$A$3:$GG$587,'0.Productos'!AX$1+1,0),"")</f>
        <v/>
      </c>
      <c r="G445" s="133" t="str">
        <f>IF($A445&lt;&gt;0,VLOOKUP($A445,'0.Productos'!$A$3:$GG$587,'0.Productos'!AY$1+1,0),"")</f>
        <v/>
      </c>
      <c r="H445" s="133" t="str">
        <f>IF($A445&lt;&gt;0,VLOOKUP($A445,'0.Productos'!$A$3:$GG$587,'0.Productos'!AZ$1+1,0),"")</f>
        <v/>
      </c>
      <c r="I445" s="133" t="str">
        <f>IF($A445&lt;&gt;0,VLOOKUP($A445,'0.Productos'!$A$3:$GG$587,'0.Productos'!BA$1+1,0),"")</f>
        <v/>
      </c>
      <c r="J445" s="133" t="str">
        <f>IF($A445&lt;&gt;0,VLOOKUP($A445,'0.Productos'!$A$3:$GG$587,'0.Productos'!BB$1+1,0),"")</f>
        <v/>
      </c>
      <c r="K445" s="133" t="str">
        <f>IF($A445&lt;&gt;0,VLOOKUP($A445,'0.Productos'!$A$3:$GG$587,'0.Productos'!BC$1+1,0),"")</f>
        <v/>
      </c>
      <c r="L445" s="133" t="str">
        <f>IF($A445&lt;&gt;0,VLOOKUP($A445,'0.Productos'!$A$3:$GG$587,'0.Productos'!BD$1+1,0),"")</f>
        <v/>
      </c>
      <c r="M445" s="133" t="str">
        <f>IF($A445&lt;&gt;0,VLOOKUP($A445,'0.Productos'!$A$3:$GG$587,'0.Productos'!BE$1+1,0),"")</f>
        <v/>
      </c>
      <c r="N445" s="133" t="str">
        <f>IF($A445&lt;&gt;0,VLOOKUP($A445,'0.Productos'!$A$3:$GG$587,'0.Productos'!BF$1+1,0),"")</f>
        <v/>
      </c>
      <c r="O445" s="133" t="str">
        <f>IF($A445&lt;&gt;0,VLOOKUP($A445,'0.Productos'!$A$3:$GG$587,'0.Productos'!BG$1+1,0),"")</f>
        <v/>
      </c>
      <c r="P445" s="133" t="str">
        <f>IF($A445&lt;&gt;0,VLOOKUP($A445,'0.Productos'!$A$3:$GG$587,'0.Productos'!BH$1+1,0),"")</f>
        <v/>
      </c>
      <c r="Q445" s="133" t="str">
        <f>IF($A445&lt;&gt;0,VLOOKUP($A445,'0.Productos'!$A$3:$GG$587,'0.Productos'!BI$1+1,0),"")</f>
        <v/>
      </c>
      <c r="R445" s="133" t="str">
        <f>IF($A445&lt;&gt;0,VLOOKUP($A445,'0.Productos'!$A$3:$GG$587,'0.Productos'!BJ$1+1,0),"")</f>
        <v/>
      </c>
      <c r="S445" s="133" t="str">
        <f>IF($A445&lt;&gt;0,VLOOKUP($A445,'0.Productos'!$A$3:$GG$587,'0.Productos'!BK$1+1,0),"")</f>
        <v/>
      </c>
      <c r="T445" s="133" t="str">
        <f>IF($A445&lt;&gt;0,VLOOKUP($A445,'0.Productos'!$A$3:$GG$587,'0.Productos'!BL$1+1,0),"")</f>
        <v/>
      </c>
      <c r="U445" s="133" t="str">
        <f>IF($A445&lt;&gt;0,VLOOKUP($A445,'0.Productos'!$A$3:$GG$587,'0.Productos'!BM$1+1,0),"")</f>
        <v/>
      </c>
      <c r="V445" s="133" t="str">
        <f>IF($A445&lt;&gt;0,VLOOKUP($A445,'0.Productos'!$A$3:$GG$587,'0.Productos'!BN$1+1,0),"")</f>
        <v/>
      </c>
      <c r="W445" s="133" t="str">
        <f>IF($A445&lt;&gt;0,VLOOKUP($A445,'0.Productos'!$A$3:$GG$587,'0.Productos'!BO$1+1,0),"")</f>
        <v/>
      </c>
      <c r="X445" s="133" t="str">
        <f>IF($A445&lt;&gt;0,VLOOKUP($A445,'0.Productos'!$A$3:$GG$587,'0.Productos'!BP$1+1,0),"")</f>
        <v/>
      </c>
      <c r="Y445" s="133" t="str">
        <f>IF($A445&lt;&gt;0,VLOOKUP($A445,'0.Productos'!$A$3:$GG$587,'0.Productos'!BQ$1+1,0),"")</f>
        <v/>
      </c>
      <c r="Z445" s="133" t="str">
        <f>IF($A445&lt;&gt;0,VLOOKUP($A445,'0.Productos'!$A$3:$GG$587,'0.Productos'!BR$1+1,0),"")</f>
        <v/>
      </c>
      <c r="AA445" s="133" t="str">
        <f>IF($A445&lt;&gt;0,VLOOKUP($A445,'0.Productos'!$A$3:$GG$587,'0.Productos'!BS$1+1,0),"")</f>
        <v/>
      </c>
      <c r="AB445" s="133" t="str">
        <f>IF($A445&lt;&gt;0,VLOOKUP($A445,'0.Productos'!$A$3:$GG$587,'0.Productos'!BT$1+1,0),"")</f>
        <v/>
      </c>
      <c r="AC445" s="133" t="str">
        <f>IF($A445&lt;&gt;0,VLOOKUP($A445,'0.Productos'!$A$3:$GG$587,'0.Productos'!BU$1+1,0),"")</f>
        <v/>
      </c>
      <c r="AD445" s="133" t="str">
        <f>IF($A445&lt;&gt;0,VLOOKUP($A445,'0.Productos'!$A$3:$GG$587,'0.Productos'!BV$1+1,0),"")</f>
        <v/>
      </c>
      <c r="AE445" s="133" t="str">
        <f>IF($A445&lt;&gt;0,VLOOKUP($A445,'0.Productos'!$A$3:$GG$587,'0.Productos'!BW$1+1,0),"")</f>
        <v/>
      </c>
      <c r="AF445" s="133" t="str">
        <f>IF($A445&lt;&gt;0,VLOOKUP($A445,'0.Productos'!$A$3:$GG$587,'0.Productos'!BX$1+1,0),"")</f>
        <v/>
      </c>
      <c r="AG445" s="133" t="str">
        <f>IF($A445&lt;&gt;0,VLOOKUP($A445,'0.Productos'!$A$3:$GG$587,'0.Productos'!BY$1+1,0),"")</f>
        <v/>
      </c>
      <c r="AH445" s="133" t="str">
        <f>IF($A445&lt;&gt;0,VLOOKUP($A445,'0.Productos'!$A$3:$GG$587,'0.Productos'!BZ$1+1,0),"")</f>
        <v/>
      </c>
      <c r="AI445" s="133" t="str">
        <f>IF($A445&lt;&gt;0,VLOOKUP($A445,'0.Productos'!$A$3:$GG$587,'0.Productos'!CA$1+1,0),"")</f>
        <v/>
      </c>
      <c r="AJ445" s="133" t="str">
        <f>IF($A445&lt;&gt;0,VLOOKUP($A445,'0.Productos'!$A$3:$GG$587,'0.Productos'!CB$1+1,0),"")</f>
        <v/>
      </c>
      <c r="AK445" s="133" t="str">
        <f>IF($A445&lt;&gt;0,VLOOKUP($A445,'0.Productos'!$A$3:$GG$587,'0.Productos'!CC$1+1,0),"")</f>
        <v/>
      </c>
      <c r="AL445" s="133" t="str">
        <f>IF($A445&lt;&gt;0,VLOOKUP($A445,'0.Productos'!$A$3:$GG$587,'0.Productos'!CD$1+1,0),"")</f>
        <v/>
      </c>
      <c r="AM445" s="133" t="str">
        <f>IF($A445&lt;&gt;0,VLOOKUP($A445,'0.Productos'!$A$3:$GG$587,'0.Productos'!CE$1+1,0),"")</f>
        <v/>
      </c>
      <c r="AN445" s="133" t="str">
        <f>IF($A445&lt;&gt;0,VLOOKUP($A445,'0.Productos'!$A$3:$GG$587,'0.Productos'!CF$1+1,0),"")</f>
        <v/>
      </c>
      <c r="AO445" s="133" t="str">
        <f>IF($A445&lt;&gt;0,VLOOKUP($A445,'0.Productos'!$A$3:$GG$587,'0.Productos'!CG$1+1,0),"")</f>
        <v/>
      </c>
      <c r="AP445" s="133" t="str">
        <f>IF($A445&lt;&gt;0,VLOOKUP($A445,'0.Productos'!$A$3:$GG$587,'0.Productos'!CH$1+1,0),"")</f>
        <v/>
      </c>
      <c r="AQ445" s="133" t="str">
        <f>IF($A445&lt;&gt;0,VLOOKUP($A445,'0.Productos'!$A$3:$GG$587,'0.Productos'!CI$1+1,0),"")</f>
        <v/>
      </c>
      <c r="AR445" s="133" t="str">
        <f>IF($A445&lt;&gt;0,VLOOKUP($A445,'0.Productos'!$A$3:$GG$587,'0.Productos'!CJ$1+1,0),"")</f>
        <v/>
      </c>
      <c r="AS445" s="133" t="str">
        <f>IF($A445&lt;&gt;0,VLOOKUP($A445,'0.Productos'!$A$3:$GG$587,'0.Productos'!CK$1+1,0),"")</f>
        <v/>
      </c>
      <c r="AT445" s="133" t="str">
        <f>IF($A445&lt;&gt;0,VLOOKUP($A445,'0.Productos'!$A$3:$GG$587,'0.Productos'!CL$1+1,0),"")</f>
        <v/>
      </c>
      <c r="AU445" s="133" t="str">
        <f>IF($A445&lt;&gt;0,VLOOKUP($A445,'0.Productos'!$A$3:$GG$587,'0.Productos'!CM$1+1,0),"")</f>
        <v/>
      </c>
      <c r="AV445" s="133" t="str">
        <f>IF($A445&lt;&gt;0,VLOOKUP($A445,'0.Productos'!$A$3:$GG$587,'0.Productos'!CN$1+1,0),"")</f>
        <v/>
      </c>
      <c r="AW445" s="133" t="str">
        <f>IF($A445&lt;&gt;0,VLOOKUP($A445,'0.Productos'!$A$3:$GG$587,'0.Productos'!CO$1+1,0),"")</f>
        <v/>
      </c>
      <c r="AX445" s="133" t="str">
        <f>IF($A445&lt;&gt;0,VLOOKUP($A445,'0.Productos'!$A$3:$GG$587,'0.Productos'!CP$1+1,0),"")</f>
        <v/>
      </c>
      <c r="AY445" s="133" t="str">
        <f>IF($A445&lt;&gt;0,VLOOKUP($A445,'0.Productos'!$A$3:$GG$587,'0.Productos'!CQ$1+1,0),"")</f>
        <v/>
      </c>
      <c r="AZ445" s="133" t="str">
        <f>IF($A445&lt;&gt;0,VLOOKUP($A445,'0.Productos'!$A$3:$GG$587,'0.Productos'!CR$1+1,0),"")</f>
        <v/>
      </c>
      <c r="BA445" s="133" t="str">
        <f>IF($A445&lt;&gt;0,VLOOKUP($A445,'0.Productos'!$A$3:$GG$587,'0.Productos'!CS$1+1,0),"")</f>
        <v/>
      </c>
      <c r="BB445" s="133" t="str">
        <f>IF($A445&lt;&gt;0,VLOOKUP($A445,'0.Productos'!$A$3:$GG$587,'0.Productos'!CT$1+1,0),"")</f>
        <v/>
      </c>
      <c r="BC445" s="133" t="str">
        <f>IF($A445&lt;&gt;0,VLOOKUP($A445,'0.Productos'!$A$3:$GG$587,'0.Productos'!CU$1+1,0),"")</f>
        <v/>
      </c>
      <c r="BD445" s="133" t="str">
        <f>IF($A445&lt;&gt;0,VLOOKUP($A445,'0.Productos'!$A$3:$GG$587,'0.Productos'!CV$1+1,0),"")</f>
        <v/>
      </c>
      <c r="BE445" s="133" t="str">
        <f>IF($A445&lt;&gt;0,VLOOKUP($A445,'0.Productos'!$A$3:$GG$587,'0.Productos'!CW$1+1,0),"")</f>
        <v/>
      </c>
      <c r="BF445" s="133" t="str">
        <f>IF($A445&lt;&gt;0,VLOOKUP($A445,'0.Productos'!$A$3:$GG$587,'0.Productos'!CX$1+1,0),"")</f>
        <v/>
      </c>
      <c r="BG445" s="133" t="str">
        <f>IF($A445&lt;&gt;0,VLOOKUP($A445,'0.Productos'!$A$3:$GG$587,'0.Productos'!CY$1+1,0),"")</f>
        <v/>
      </c>
      <c r="BH445" s="133" t="str">
        <f>IF($A445&lt;&gt;0,VLOOKUP($A445,'0.Productos'!$A$3:$GG$587,'0.Productos'!CZ$1+1,0),"")</f>
        <v/>
      </c>
      <c r="BI445" s="133" t="str">
        <f>IF($A445&lt;&gt;0,VLOOKUP($A445,'0.Productos'!$A$3:$GG$587,'0.Productos'!DA$1+1,0),"")</f>
        <v/>
      </c>
      <c r="BJ445" s="133" t="str">
        <f>IF($A445&lt;&gt;0,VLOOKUP($A445,'0.Productos'!$A$3:$GG$587,'0.Productos'!DB$1+1,0),"")</f>
        <v/>
      </c>
      <c r="BK445" s="133" t="str">
        <f>IF($A445&lt;&gt;0,VLOOKUP($A445,'0.Productos'!$A$3:$GG$587,'0.Productos'!DC$1+1,0),"")</f>
        <v/>
      </c>
      <c r="BL445" s="133" t="str">
        <f>IF($A445&lt;&gt;0,VLOOKUP($A445,'0.Productos'!$A$3:$GG$587,'0.Productos'!DD$1+1,0),"")</f>
        <v/>
      </c>
      <c r="BM445" s="133" t="str">
        <f>IF($A445&lt;&gt;0,VLOOKUP($A445,'0.Productos'!$A$3:$GG$587,'0.Productos'!DE$1+1,0),"")</f>
        <v/>
      </c>
      <c r="BN445" s="133" t="str">
        <f>IF($A445&lt;&gt;0,VLOOKUP($A445,'0.Productos'!$A$3:$GG$587,'0.Productos'!DF$1+1,0),"")</f>
        <v/>
      </c>
      <c r="BO445" s="133" t="str">
        <f>IF($A445&lt;&gt;0,VLOOKUP($A445,'0.Productos'!$A$3:$GG$587,'0.Productos'!DG$1+1,0),"")</f>
        <v/>
      </c>
      <c r="BP445" s="133" t="str">
        <f>IF($A445&lt;&gt;0,VLOOKUP($A445,'0.Productos'!$A$3:$GG$587,'0.Productos'!DH$1+1,0),"")</f>
        <v/>
      </c>
      <c r="BQ445" s="133" t="str">
        <f>IF($A445&lt;&gt;0,VLOOKUP($A445,'0.Productos'!$A$3:$GG$587,'0.Productos'!DI$1+1,0),"")</f>
        <v/>
      </c>
      <c r="BR445" s="133" t="str">
        <f>IF($A445&lt;&gt;0,VLOOKUP($A445,'0.Productos'!$A$3:$GG$587,'0.Productos'!DJ$1+1,0),"")</f>
        <v/>
      </c>
      <c r="BS445" s="133" t="str">
        <f>IF($A445&lt;&gt;0,VLOOKUP($A445,'0.Productos'!$A$3:$GG$587,'0.Productos'!DK$1+1,0),"")</f>
        <v/>
      </c>
      <c r="BT445" s="133" t="str">
        <f>IF($A445&lt;&gt;0,VLOOKUP($A445,'0.Productos'!$A$3:$GG$587,'0.Productos'!DL$1+1,0),"")</f>
        <v/>
      </c>
    </row>
    <row r="446" spans="1:72" x14ac:dyDescent="0.25">
      <c r="A446" s="17">
        <f>'0.Consolidado general'!A446</f>
        <v>0</v>
      </c>
      <c r="B446" s="133" t="str">
        <f>IF($A446&lt;&gt;0,VLOOKUP($A446,'0.Productos'!$A$3:$GG$587,'0.Productos'!AT$1+1,0),"")</f>
        <v/>
      </c>
      <c r="C446" s="133" t="str">
        <f>IF($A446&lt;&gt;0,VLOOKUP($A446,'0.Productos'!$A$3:$GG$587,'0.Productos'!AU$1+1,0),"")</f>
        <v/>
      </c>
      <c r="D446" s="133" t="str">
        <f>IF($A446&lt;&gt;0,VLOOKUP($A446,'0.Productos'!$A$3:$GG$587,'0.Productos'!AV$1+1,0),"")</f>
        <v/>
      </c>
      <c r="E446" s="133" t="str">
        <f>IF($A446&lt;&gt;0,VLOOKUP($A446,'0.Productos'!$A$3:$GG$587,'0.Productos'!AW$1+1,0),"")</f>
        <v/>
      </c>
      <c r="F446" s="133" t="str">
        <f>IF($A446&lt;&gt;0,VLOOKUP($A446,'0.Productos'!$A$3:$GG$587,'0.Productos'!AX$1+1,0),"")</f>
        <v/>
      </c>
      <c r="G446" s="133" t="str">
        <f>IF($A446&lt;&gt;0,VLOOKUP($A446,'0.Productos'!$A$3:$GG$587,'0.Productos'!AY$1+1,0),"")</f>
        <v/>
      </c>
      <c r="H446" s="133" t="str">
        <f>IF($A446&lt;&gt;0,VLOOKUP($A446,'0.Productos'!$A$3:$GG$587,'0.Productos'!AZ$1+1,0),"")</f>
        <v/>
      </c>
      <c r="I446" s="133" t="str">
        <f>IF($A446&lt;&gt;0,VLOOKUP($A446,'0.Productos'!$A$3:$GG$587,'0.Productos'!BA$1+1,0),"")</f>
        <v/>
      </c>
      <c r="J446" s="133" t="str">
        <f>IF($A446&lt;&gt;0,VLOOKUP($A446,'0.Productos'!$A$3:$GG$587,'0.Productos'!BB$1+1,0),"")</f>
        <v/>
      </c>
      <c r="K446" s="133" t="str">
        <f>IF($A446&lt;&gt;0,VLOOKUP($A446,'0.Productos'!$A$3:$GG$587,'0.Productos'!BC$1+1,0),"")</f>
        <v/>
      </c>
      <c r="L446" s="133" t="str">
        <f>IF($A446&lt;&gt;0,VLOOKUP($A446,'0.Productos'!$A$3:$GG$587,'0.Productos'!BD$1+1,0),"")</f>
        <v/>
      </c>
      <c r="M446" s="133" t="str">
        <f>IF($A446&lt;&gt;0,VLOOKUP($A446,'0.Productos'!$A$3:$GG$587,'0.Productos'!BE$1+1,0),"")</f>
        <v/>
      </c>
      <c r="N446" s="133" t="str">
        <f>IF($A446&lt;&gt;0,VLOOKUP($A446,'0.Productos'!$A$3:$GG$587,'0.Productos'!BF$1+1,0),"")</f>
        <v/>
      </c>
      <c r="O446" s="133" t="str">
        <f>IF($A446&lt;&gt;0,VLOOKUP($A446,'0.Productos'!$A$3:$GG$587,'0.Productos'!BG$1+1,0),"")</f>
        <v/>
      </c>
      <c r="P446" s="133" t="str">
        <f>IF($A446&lt;&gt;0,VLOOKUP($A446,'0.Productos'!$A$3:$GG$587,'0.Productos'!BH$1+1,0),"")</f>
        <v/>
      </c>
      <c r="Q446" s="133" t="str">
        <f>IF($A446&lt;&gt;0,VLOOKUP($A446,'0.Productos'!$A$3:$GG$587,'0.Productos'!BI$1+1,0),"")</f>
        <v/>
      </c>
      <c r="R446" s="133" t="str">
        <f>IF($A446&lt;&gt;0,VLOOKUP($A446,'0.Productos'!$A$3:$GG$587,'0.Productos'!BJ$1+1,0),"")</f>
        <v/>
      </c>
      <c r="S446" s="133" t="str">
        <f>IF($A446&lt;&gt;0,VLOOKUP($A446,'0.Productos'!$A$3:$GG$587,'0.Productos'!BK$1+1,0),"")</f>
        <v/>
      </c>
      <c r="T446" s="133" t="str">
        <f>IF($A446&lt;&gt;0,VLOOKUP($A446,'0.Productos'!$A$3:$GG$587,'0.Productos'!BL$1+1,0),"")</f>
        <v/>
      </c>
      <c r="U446" s="133" t="str">
        <f>IF($A446&lt;&gt;0,VLOOKUP($A446,'0.Productos'!$A$3:$GG$587,'0.Productos'!BM$1+1,0),"")</f>
        <v/>
      </c>
      <c r="V446" s="133" t="str">
        <f>IF($A446&lt;&gt;0,VLOOKUP($A446,'0.Productos'!$A$3:$GG$587,'0.Productos'!BN$1+1,0),"")</f>
        <v/>
      </c>
      <c r="W446" s="133" t="str">
        <f>IF($A446&lt;&gt;0,VLOOKUP($A446,'0.Productos'!$A$3:$GG$587,'0.Productos'!BO$1+1,0),"")</f>
        <v/>
      </c>
      <c r="X446" s="133" t="str">
        <f>IF($A446&lt;&gt;0,VLOOKUP($A446,'0.Productos'!$A$3:$GG$587,'0.Productos'!BP$1+1,0),"")</f>
        <v/>
      </c>
      <c r="Y446" s="133" t="str">
        <f>IF($A446&lt;&gt;0,VLOOKUP($A446,'0.Productos'!$A$3:$GG$587,'0.Productos'!BQ$1+1,0),"")</f>
        <v/>
      </c>
      <c r="Z446" s="133" t="str">
        <f>IF($A446&lt;&gt;0,VLOOKUP($A446,'0.Productos'!$A$3:$GG$587,'0.Productos'!BR$1+1,0),"")</f>
        <v/>
      </c>
      <c r="AA446" s="133" t="str">
        <f>IF($A446&lt;&gt;0,VLOOKUP($A446,'0.Productos'!$A$3:$GG$587,'0.Productos'!BS$1+1,0),"")</f>
        <v/>
      </c>
      <c r="AB446" s="133" t="str">
        <f>IF($A446&lt;&gt;0,VLOOKUP($A446,'0.Productos'!$A$3:$GG$587,'0.Productos'!BT$1+1,0),"")</f>
        <v/>
      </c>
      <c r="AC446" s="133" t="str">
        <f>IF($A446&lt;&gt;0,VLOOKUP($A446,'0.Productos'!$A$3:$GG$587,'0.Productos'!BU$1+1,0),"")</f>
        <v/>
      </c>
      <c r="AD446" s="133" t="str">
        <f>IF($A446&lt;&gt;0,VLOOKUP($A446,'0.Productos'!$A$3:$GG$587,'0.Productos'!BV$1+1,0),"")</f>
        <v/>
      </c>
      <c r="AE446" s="133" t="str">
        <f>IF($A446&lt;&gt;0,VLOOKUP($A446,'0.Productos'!$A$3:$GG$587,'0.Productos'!BW$1+1,0),"")</f>
        <v/>
      </c>
      <c r="AF446" s="133" t="str">
        <f>IF($A446&lt;&gt;0,VLOOKUP($A446,'0.Productos'!$A$3:$GG$587,'0.Productos'!BX$1+1,0),"")</f>
        <v/>
      </c>
      <c r="AG446" s="133" t="str">
        <f>IF($A446&lt;&gt;0,VLOOKUP($A446,'0.Productos'!$A$3:$GG$587,'0.Productos'!BY$1+1,0),"")</f>
        <v/>
      </c>
      <c r="AH446" s="133" t="str">
        <f>IF($A446&lt;&gt;0,VLOOKUP($A446,'0.Productos'!$A$3:$GG$587,'0.Productos'!BZ$1+1,0),"")</f>
        <v/>
      </c>
      <c r="AI446" s="133" t="str">
        <f>IF($A446&lt;&gt;0,VLOOKUP($A446,'0.Productos'!$A$3:$GG$587,'0.Productos'!CA$1+1,0),"")</f>
        <v/>
      </c>
      <c r="AJ446" s="133" t="str">
        <f>IF($A446&lt;&gt;0,VLOOKUP($A446,'0.Productos'!$A$3:$GG$587,'0.Productos'!CB$1+1,0),"")</f>
        <v/>
      </c>
      <c r="AK446" s="133" t="str">
        <f>IF($A446&lt;&gt;0,VLOOKUP($A446,'0.Productos'!$A$3:$GG$587,'0.Productos'!CC$1+1,0),"")</f>
        <v/>
      </c>
      <c r="AL446" s="133" t="str">
        <f>IF($A446&lt;&gt;0,VLOOKUP($A446,'0.Productos'!$A$3:$GG$587,'0.Productos'!CD$1+1,0),"")</f>
        <v/>
      </c>
      <c r="AM446" s="133" t="str">
        <f>IF($A446&lt;&gt;0,VLOOKUP($A446,'0.Productos'!$A$3:$GG$587,'0.Productos'!CE$1+1,0),"")</f>
        <v/>
      </c>
      <c r="AN446" s="133" t="str">
        <f>IF($A446&lt;&gt;0,VLOOKUP($A446,'0.Productos'!$A$3:$GG$587,'0.Productos'!CF$1+1,0),"")</f>
        <v/>
      </c>
      <c r="AO446" s="133" t="str">
        <f>IF($A446&lt;&gt;0,VLOOKUP($A446,'0.Productos'!$A$3:$GG$587,'0.Productos'!CG$1+1,0),"")</f>
        <v/>
      </c>
      <c r="AP446" s="133" t="str">
        <f>IF($A446&lt;&gt;0,VLOOKUP($A446,'0.Productos'!$A$3:$GG$587,'0.Productos'!CH$1+1,0),"")</f>
        <v/>
      </c>
      <c r="AQ446" s="133" t="str">
        <f>IF($A446&lt;&gt;0,VLOOKUP($A446,'0.Productos'!$A$3:$GG$587,'0.Productos'!CI$1+1,0),"")</f>
        <v/>
      </c>
      <c r="AR446" s="133" t="str">
        <f>IF($A446&lt;&gt;0,VLOOKUP($A446,'0.Productos'!$A$3:$GG$587,'0.Productos'!CJ$1+1,0),"")</f>
        <v/>
      </c>
      <c r="AS446" s="133" t="str">
        <f>IF($A446&lt;&gt;0,VLOOKUP($A446,'0.Productos'!$A$3:$GG$587,'0.Productos'!CK$1+1,0),"")</f>
        <v/>
      </c>
      <c r="AT446" s="133" t="str">
        <f>IF($A446&lt;&gt;0,VLOOKUP($A446,'0.Productos'!$A$3:$GG$587,'0.Productos'!CL$1+1,0),"")</f>
        <v/>
      </c>
      <c r="AU446" s="133" t="str">
        <f>IF($A446&lt;&gt;0,VLOOKUP($A446,'0.Productos'!$A$3:$GG$587,'0.Productos'!CM$1+1,0),"")</f>
        <v/>
      </c>
      <c r="AV446" s="133" t="str">
        <f>IF($A446&lt;&gt;0,VLOOKUP($A446,'0.Productos'!$A$3:$GG$587,'0.Productos'!CN$1+1,0),"")</f>
        <v/>
      </c>
      <c r="AW446" s="133" t="str">
        <f>IF($A446&lt;&gt;0,VLOOKUP($A446,'0.Productos'!$A$3:$GG$587,'0.Productos'!CO$1+1,0),"")</f>
        <v/>
      </c>
      <c r="AX446" s="133" t="str">
        <f>IF($A446&lt;&gt;0,VLOOKUP($A446,'0.Productos'!$A$3:$GG$587,'0.Productos'!CP$1+1,0),"")</f>
        <v/>
      </c>
      <c r="AY446" s="133" t="str">
        <f>IF($A446&lt;&gt;0,VLOOKUP($A446,'0.Productos'!$A$3:$GG$587,'0.Productos'!CQ$1+1,0),"")</f>
        <v/>
      </c>
      <c r="AZ446" s="133" t="str">
        <f>IF($A446&lt;&gt;0,VLOOKUP($A446,'0.Productos'!$A$3:$GG$587,'0.Productos'!CR$1+1,0),"")</f>
        <v/>
      </c>
      <c r="BA446" s="133" t="str">
        <f>IF($A446&lt;&gt;0,VLOOKUP($A446,'0.Productos'!$A$3:$GG$587,'0.Productos'!CS$1+1,0),"")</f>
        <v/>
      </c>
      <c r="BB446" s="133" t="str">
        <f>IF($A446&lt;&gt;0,VLOOKUP($A446,'0.Productos'!$A$3:$GG$587,'0.Productos'!CT$1+1,0),"")</f>
        <v/>
      </c>
      <c r="BC446" s="133" t="str">
        <f>IF($A446&lt;&gt;0,VLOOKUP($A446,'0.Productos'!$A$3:$GG$587,'0.Productos'!CU$1+1,0),"")</f>
        <v/>
      </c>
      <c r="BD446" s="133" t="str">
        <f>IF($A446&lt;&gt;0,VLOOKUP($A446,'0.Productos'!$A$3:$GG$587,'0.Productos'!CV$1+1,0),"")</f>
        <v/>
      </c>
      <c r="BE446" s="133" t="str">
        <f>IF($A446&lt;&gt;0,VLOOKUP($A446,'0.Productos'!$A$3:$GG$587,'0.Productos'!CW$1+1,0),"")</f>
        <v/>
      </c>
      <c r="BF446" s="133" t="str">
        <f>IF($A446&lt;&gt;0,VLOOKUP($A446,'0.Productos'!$A$3:$GG$587,'0.Productos'!CX$1+1,0),"")</f>
        <v/>
      </c>
      <c r="BG446" s="133" t="str">
        <f>IF($A446&lt;&gt;0,VLOOKUP($A446,'0.Productos'!$A$3:$GG$587,'0.Productos'!CY$1+1,0),"")</f>
        <v/>
      </c>
      <c r="BH446" s="133" t="str">
        <f>IF($A446&lt;&gt;0,VLOOKUP($A446,'0.Productos'!$A$3:$GG$587,'0.Productos'!CZ$1+1,0),"")</f>
        <v/>
      </c>
      <c r="BI446" s="133" t="str">
        <f>IF($A446&lt;&gt;0,VLOOKUP($A446,'0.Productos'!$A$3:$GG$587,'0.Productos'!DA$1+1,0),"")</f>
        <v/>
      </c>
      <c r="BJ446" s="133" t="str">
        <f>IF($A446&lt;&gt;0,VLOOKUP($A446,'0.Productos'!$A$3:$GG$587,'0.Productos'!DB$1+1,0),"")</f>
        <v/>
      </c>
      <c r="BK446" s="133" t="str">
        <f>IF($A446&lt;&gt;0,VLOOKUP($A446,'0.Productos'!$A$3:$GG$587,'0.Productos'!DC$1+1,0),"")</f>
        <v/>
      </c>
      <c r="BL446" s="133" t="str">
        <f>IF($A446&lt;&gt;0,VLOOKUP($A446,'0.Productos'!$A$3:$GG$587,'0.Productos'!DD$1+1,0),"")</f>
        <v/>
      </c>
      <c r="BM446" s="133" t="str">
        <f>IF($A446&lt;&gt;0,VLOOKUP($A446,'0.Productos'!$A$3:$GG$587,'0.Productos'!DE$1+1,0),"")</f>
        <v/>
      </c>
      <c r="BN446" s="133" t="str">
        <f>IF($A446&lt;&gt;0,VLOOKUP($A446,'0.Productos'!$A$3:$GG$587,'0.Productos'!DF$1+1,0),"")</f>
        <v/>
      </c>
      <c r="BO446" s="133" t="str">
        <f>IF($A446&lt;&gt;0,VLOOKUP($A446,'0.Productos'!$A$3:$GG$587,'0.Productos'!DG$1+1,0),"")</f>
        <v/>
      </c>
      <c r="BP446" s="133" t="str">
        <f>IF($A446&lt;&gt;0,VLOOKUP($A446,'0.Productos'!$A$3:$GG$587,'0.Productos'!DH$1+1,0),"")</f>
        <v/>
      </c>
      <c r="BQ446" s="133" t="str">
        <f>IF($A446&lt;&gt;0,VLOOKUP($A446,'0.Productos'!$A$3:$GG$587,'0.Productos'!DI$1+1,0),"")</f>
        <v/>
      </c>
      <c r="BR446" s="133" t="str">
        <f>IF($A446&lt;&gt;0,VLOOKUP($A446,'0.Productos'!$A$3:$GG$587,'0.Productos'!DJ$1+1,0),"")</f>
        <v/>
      </c>
      <c r="BS446" s="133" t="str">
        <f>IF($A446&lt;&gt;0,VLOOKUP($A446,'0.Productos'!$A$3:$GG$587,'0.Productos'!DK$1+1,0),"")</f>
        <v/>
      </c>
      <c r="BT446" s="133" t="str">
        <f>IF($A446&lt;&gt;0,VLOOKUP($A446,'0.Productos'!$A$3:$GG$587,'0.Productos'!DL$1+1,0),"")</f>
        <v/>
      </c>
    </row>
    <row r="447" spans="1:72" x14ac:dyDescent="0.25">
      <c r="A447" s="17">
        <f>'0.Consolidado general'!A447</f>
        <v>0</v>
      </c>
      <c r="B447" s="133" t="str">
        <f>IF($A447&lt;&gt;0,VLOOKUP($A447,'0.Productos'!$A$3:$GG$587,'0.Productos'!AT$1+1,0),"")</f>
        <v/>
      </c>
      <c r="C447" s="133" t="str">
        <f>IF($A447&lt;&gt;0,VLOOKUP($A447,'0.Productos'!$A$3:$GG$587,'0.Productos'!AU$1+1,0),"")</f>
        <v/>
      </c>
      <c r="D447" s="133" t="str">
        <f>IF($A447&lt;&gt;0,VLOOKUP($A447,'0.Productos'!$A$3:$GG$587,'0.Productos'!AV$1+1,0),"")</f>
        <v/>
      </c>
      <c r="E447" s="133" t="str">
        <f>IF($A447&lt;&gt;0,VLOOKUP($A447,'0.Productos'!$A$3:$GG$587,'0.Productos'!AW$1+1,0),"")</f>
        <v/>
      </c>
      <c r="F447" s="133" t="str">
        <f>IF($A447&lt;&gt;0,VLOOKUP($A447,'0.Productos'!$A$3:$GG$587,'0.Productos'!AX$1+1,0),"")</f>
        <v/>
      </c>
      <c r="G447" s="133" t="str">
        <f>IF($A447&lt;&gt;0,VLOOKUP($A447,'0.Productos'!$A$3:$GG$587,'0.Productos'!AY$1+1,0),"")</f>
        <v/>
      </c>
      <c r="H447" s="133" t="str">
        <f>IF($A447&lt;&gt;0,VLOOKUP($A447,'0.Productos'!$A$3:$GG$587,'0.Productos'!AZ$1+1,0),"")</f>
        <v/>
      </c>
      <c r="I447" s="133" t="str">
        <f>IF($A447&lt;&gt;0,VLOOKUP($A447,'0.Productos'!$A$3:$GG$587,'0.Productos'!BA$1+1,0),"")</f>
        <v/>
      </c>
      <c r="J447" s="133" t="str">
        <f>IF($A447&lt;&gt;0,VLOOKUP($A447,'0.Productos'!$A$3:$GG$587,'0.Productos'!BB$1+1,0),"")</f>
        <v/>
      </c>
      <c r="K447" s="133" t="str">
        <f>IF($A447&lt;&gt;0,VLOOKUP($A447,'0.Productos'!$A$3:$GG$587,'0.Productos'!BC$1+1,0),"")</f>
        <v/>
      </c>
      <c r="L447" s="133" t="str">
        <f>IF($A447&lt;&gt;0,VLOOKUP($A447,'0.Productos'!$A$3:$GG$587,'0.Productos'!BD$1+1,0),"")</f>
        <v/>
      </c>
      <c r="M447" s="133" t="str">
        <f>IF($A447&lt;&gt;0,VLOOKUP($A447,'0.Productos'!$A$3:$GG$587,'0.Productos'!BE$1+1,0),"")</f>
        <v/>
      </c>
      <c r="N447" s="133" t="str">
        <f>IF($A447&lt;&gt;0,VLOOKUP($A447,'0.Productos'!$A$3:$GG$587,'0.Productos'!BF$1+1,0),"")</f>
        <v/>
      </c>
      <c r="O447" s="133" t="str">
        <f>IF($A447&lt;&gt;0,VLOOKUP($A447,'0.Productos'!$A$3:$GG$587,'0.Productos'!BG$1+1,0),"")</f>
        <v/>
      </c>
      <c r="P447" s="133" t="str">
        <f>IF($A447&lt;&gt;0,VLOOKUP($A447,'0.Productos'!$A$3:$GG$587,'0.Productos'!BH$1+1,0),"")</f>
        <v/>
      </c>
      <c r="Q447" s="133" t="str">
        <f>IF($A447&lt;&gt;0,VLOOKUP($A447,'0.Productos'!$A$3:$GG$587,'0.Productos'!BI$1+1,0),"")</f>
        <v/>
      </c>
      <c r="R447" s="133" t="str">
        <f>IF($A447&lt;&gt;0,VLOOKUP($A447,'0.Productos'!$A$3:$GG$587,'0.Productos'!BJ$1+1,0),"")</f>
        <v/>
      </c>
      <c r="S447" s="133" t="str">
        <f>IF($A447&lt;&gt;0,VLOOKUP($A447,'0.Productos'!$A$3:$GG$587,'0.Productos'!BK$1+1,0),"")</f>
        <v/>
      </c>
      <c r="T447" s="133" t="str">
        <f>IF($A447&lt;&gt;0,VLOOKUP($A447,'0.Productos'!$A$3:$GG$587,'0.Productos'!BL$1+1,0),"")</f>
        <v/>
      </c>
      <c r="U447" s="133" t="str">
        <f>IF($A447&lt;&gt;0,VLOOKUP($A447,'0.Productos'!$A$3:$GG$587,'0.Productos'!BM$1+1,0),"")</f>
        <v/>
      </c>
      <c r="V447" s="133" t="str">
        <f>IF($A447&lt;&gt;0,VLOOKUP($A447,'0.Productos'!$A$3:$GG$587,'0.Productos'!BN$1+1,0),"")</f>
        <v/>
      </c>
      <c r="W447" s="133" t="str">
        <f>IF($A447&lt;&gt;0,VLOOKUP($A447,'0.Productos'!$A$3:$GG$587,'0.Productos'!BO$1+1,0),"")</f>
        <v/>
      </c>
      <c r="X447" s="133" t="str">
        <f>IF($A447&lt;&gt;0,VLOOKUP($A447,'0.Productos'!$A$3:$GG$587,'0.Productos'!BP$1+1,0),"")</f>
        <v/>
      </c>
      <c r="Y447" s="133" t="str">
        <f>IF($A447&lt;&gt;0,VLOOKUP($A447,'0.Productos'!$A$3:$GG$587,'0.Productos'!BQ$1+1,0),"")</f>
        <v/>
      </c>
      <c r="Z447" s="133" t="str">
        <f>IF($A447&lt;&gt;0,VLOOKUP($A447,'0.Productos'!$A$3:$GG$587,'0.Productos'!BR$1+1,0),"")</f>
        <v/>
      </c>
      <c r="AA447" s="133" t="str">
        <f>IF($A447&lt;&gt;0,VLOOKUP($A447,'0.Productos'!$A$3:$GG$587,'0.Productos'!BS$1+1,0),"")</f>
        <v/>
      </c>
      <c r="AB447" s="133" t="str">
        <f>IF($A447&lt;&gt;0,VLOOKUP($A447,'0.Productos'!$A$3:$GG$587,'0.Productos'!BT$1+1,0),"")</f>
        <v/>
      </c>
      <c r="AC447" s="133" t="str">
        <f>IF($A447&lt;&gt;0,VLOOKUP($A447,'0.Productos'!$A$3:$GG$587,'0.Productos'!BU$1+1,0),"")</f>
        <v/>
      </c>
      <c r="AD447" s="133" t="str">
        <f>IF($A447&lt;&gt;0,VLOOKUP($A447,'0.Productos'!$A$3:$GG$587,'0.Productos'!BV$1+1,0),"")</f>
        <v/>
      </c>
      <c r="AE447" s="133" t="str">
        <f>IF($A447&lt;&gt;0,VLOOKUP($A447,'0.Productos'!$A$3:$GG$587,'0.Productos'!BW$1+1,0),"")</f>
        <v/>
      </c>
      <c r="AF447" s="133" t="str">
        <f>IF($A447&lt;&gt;0,VLOOKUP($A447,'0.Productos'!$A$3:$GG$587,'0.Productos'!BX$1+1,0),"")</f>
        <v/>
      </c>
      <c r="AG447" s="133" t="str">
        <f>IF($A447&lt;&gt;0,VLOOKUP($A447,'0.Productos'!$A$3:$GG$587,'0.Productos'!BY$1+1,0),"")</f>
        <v/>
      </c>
      <c r="AH447" s="133" t="str">
        <f>IF($A447&lt;&gt;0,VLOOKUP($A447,'0.Productos'!$A$3:$GG$587,'0.Productos'!BZ$1+1,0),"")</f>
        <v/>
      </c>
      <c r="AI447" s="133" t="str">
        <f>IF($A447&lt;&gt;0,VLOOKUP($A447,'0.Productos'!$A$3:$GG$587,'0.Productos'!CA$1+1,0),"")</f>
        <v/>
      </c>
      <c r="AJ447" s="133" t="str">
        <f>IF($A447&lt;&gt;0,VLOOKUP($A447,'0.Productos'!$A$3:$GG$587,'0.Productos'!CB$1+1,0),"")</f>
        <v/>
      </c>
      <c r="AK447" s="133" t="str">
        <f>IF($A447&lt;&gt;0,VLOOKUP($A447,'0.Productos'!$A$3:$GG$587,'0.Productos'!CC$1+1,0),"")</f>
        <v/>
      </c>
      <c r="AL447" s="133" t="str">
        <f>IF($A447&lt;&gt;0,VLOOKUP($A447,'0.Productos'!$A$3:$GG$587,'0.Productos'!CD$1+1,0),"")</f>
        <v/>
      </c>
      <c r="AM447" s="133" t="str">
        <f>IF($A447&lt;&gt;0,VLOOKUP($A447,'0.Productos'!$A$3:$GG$587,'0.Productos'!CE$1+1,0),"")</f>
        <v/>
      </c>
      <c r="AN447" s="133" t="str">
        <f>IF($A447&lt;&gt;0,VLOOKUP($A447,'0.Productos'!$A$3:$GG$587,'0.Productos'!CF$1+1,0),"")</f>
        <v/>
      </c>
      <c r="AO447" s="133" t="str">
        <f>IF($A447&lt;&gt;0,VLOOKUP($A447,'0.Productos'!$A$3:$GG$587,'0.Productos'!CG$1+1,0),"")</f>
        <v/>
      </c>
      <c r="AP447" s="133" t="str">
        <f>IF($A447&lt;&gt;0,VLOOKUP($A447,'0.Productos'!$A$3:$GG$587,'0.Productos'!CH$1+1,0),"")</f>
        <v/>
      </c>
      <c r="AQ447" s="133" t="str">
        <f>IF($A447&lt;&gt;0,VLOOKUP($A447,'0.Productos'!$A$3:$GG$587,'0.Productos'!CI$1+1,0),"")</f>
        <v/>
      </c>
      <c r="AR447" s="133" t="str">
        <f>IF($A447&lt;&gt;0,VLOOKUP($A447,'0.Productos'!$A$3:$GG$587,'0.Productos'!CJ$1+1,0),"")</f>
        <v/>
      </c>
      <c r="AS447" s="133" t="str">
        <f>IF($A447&lt;&gt;0,VLOOKUP($A447,'0.Productos'!$A$3:$GG$587,'0.Productos'!CK$1+1,0),"")</f>
        <v/>
      </c>
      <c r="AT447" s="133" t="str">
        <f>IF($A447&lt;&gt;0,VLOOKUP($A447,'0.Productos'!$A$3:$GG$587,'0.Productos'!CL$1+1,0),"")</f>
        <v/>
      </c>
      <c r="AU447" s="133" t="str">
        <f>IF($A447&lt;&gt;0,VLOOKUP($A447,'0.Productos'!$A$3:$GG$587,'0.Productos'!CM$1+1,0),"")</f>
        <v/>
      </c>
      <c r="AV447" s="133" t="str">
        <f>IF($A447&lt;&gt;0,VLOOKUP($A447,'0.Productos'!$A$3:$GG$587,'0.Productos'!CN$1+1,0),"")</f>
        <v/>
      </c>
      <c r="AW447" s="133" t="str">
        <f>IF($A447&lt;&gt;0,VLOOKUP($A447,'0.Productos'!$A$3:$GG$587,'0.Productos'!CO$1+1,0),"")</f>
        <v/>
      </c>
      <c r="AX447" s="133" t="str">
        <f>IF($A447&lt;&gt;0,VLOOKUP($A447,'0.Productos'!$A$3:$GG$587,'0.Productos'!CP$1+1,0),"")</f>
        <v/>
      </c>
      <c r="AY447" s="133" t="str">
        <f>IF($A447&lt;&gt;0,VLOOKUP($A447,'0.Productos'!$A$3:$GG$587,'0.Productos'!CQ$1+1,0),"")</f>
        <v/>
      </c>
      <c r="AZ447" s="133" t="str">
        <f>IF($A447&lt;&gt;0,VLOOKUP($A447,'0.Productos'!$A$3:$GG$587,'0.Productos'!CR$1+1,0),"")</f>
        <v/>
      </c>
      <c r="BA447" s="133" t="str">
        <f>IF($A447&lt;&gt;0,VLOOKUP($A447,'0.Productos'!$A$3:$GG$587,'0.Productos'!CS$1+1,0),"")</f>
        <v/>
      </c>
      <c r="BB447" s="133" t="str">
        <f>IF($A447&lt;&gt;0,VLOOKUP($A447,'0.Productos'!$A$3:$GG$587,'0.Productos'!CT$1+1,0),"")</f>
        <v/>
      </c>
      <c r="BC447" s="133" t="str">
        <f>IF($A447&lt;&gt;0,VLOOKUP($A447,'0.Productos'!$A$3:$GG$587,'0.Productos'!CU$1+1,0),"")</f>
        <v/>
      </c>
      <c r="BD447" s="133" t="str">
        <f>IF($A447&lt;&gt;0,VLOOKUP($A447,'0.Productos'!$A$3:$GG$587,'0.Productos'!CV$1+1,0),"")</f>
        <v/>
      </c>
      <c r="BE447" s="133" t="str">
        <f>IF($A447&lt;&gt;0,VLOOKUP($A447,'0.Productos'!$A$3:$GG$587,'0.Productos'!CW$1+1,0),"")</f>
        <v/>
      </c>
      <c r="BF447" s="133" t="str">
        <f>IF($A447&lt;&gt;0,VLOOKUP($A447,'0.Productos'!$A$3:$GG$587,'0.Productos'!CX$1+1,0),"")</f>
        <v/>
      </c>
      <c r="BG447" s="133" t="str">
        <f>IF($A447&lt;&gt;0,VLOOKUP($A447,'0.Productos'!$A$3:$GG$587,'0.Productos'!CY$1+1,0),"")</f>
        <v/>
      </c>
      <c r="BH447" s="133" t="str">
        <f>IF($A447&lt;&gt;0,VLOOKUP($A447,'0.Productos'!$A$3:$GG$587,'0.Productos'!CZ$1+1,0),"")</f>
        <v/>
      </c>
      <c r="BI447" s="133" t="str">
        <f>IF($A447&lt;&gt;0,VLOOKUP($A447,'0.Productos'!$A$3:$GG$587,'0.Productos'!DA$1+1,0),"")</f>
        <v/>
      </c>
      <c r="BJ447" s="133" t="str">
        <f>IF($A447&lt;&gt;0,VLOOKUP($A447,'0.Productos'!$A$3:$GG$587,'0.Productos'!DB$1+1,0),"")</f>
        <v/>
      </c>
      <c r="BK447" s="133" t="str">
        <f>IF($A447&lt;&gt;0,VLOOKUP($A447,'0.Productos'!$A$3:$GG$587,'0.Productos'!DC$1+1,0),"")</f>
        <v/>
      </c>
      <c r="BL447" s="133" t="str">
        <f>IF($A447&lt;&gt;0,VLOOKUP($A447,'0.Productos'!$A$3:$GG$587,'0.Productos'!DD$1+1,0),"")</f>
        <v/>
      </c>
      <c r="BM447" s="133" t="str">
        <f>IF($A447&lt;&gt;0,VLOOKUP($A447,'0.Productos'!$A$3:$GG$587,'0.Productos'!DE$1+1,0),"")</f>
        <v/>
      </c>
      <c r="BN447" s="133" t="str">
        <f>IF($A447&lt;&gt;0,VLOOKUP($A447,'0.Productos'!$A$3:$GG$587,'0.Productos'!DF$1+1,0),"")</f>
        <v/>
      </c>
      <c r="BO447" s="133" t="str">
        <f>IF($A447&lt;&gt;0,VLOOKUP($A447,'0.Productos'!$A$3:$GG$587,'0.Productos'!DG$1+1,0),"")</f>
        <v/>
      </c>
      <c r="BP447" s="133" t="str">
        <f>IF($A447&lt;&gt;0,VLOOKUP($A447,'0.Productos'!$A$3:$GG$587,'0.Productos'!DH$1+1,0),"")</f>
        <v/>
      </c>
      <c r="BQ447" s="133" t="str">
        <f>IF($A447&lt;&gt;0,VLOOKUP($A447,'0.Productos'!$A$3:$GG$587,'0.Productos'!DI$1+1,0),"")</f>
        <v/>
      </c>
      <c r="BR447" s="133" t="str">
        <f>IF($A447&lt;&gt;0,VLOOKUP($A447,'0.Productos'!$A$3:$GG$587,'0.Productos'!DJ$1+1,0),"")</f>
        <v/>
      </c>
      <c r="BS447" s="133" t="str">
        <f>IF($A447&lt;&gt;0,VLOOKUP($A447,'0.Productos'!$A$3:$GG$587,'0.Productos'!DK$1+1,0),"")</f>
        <v/>
      </c>
      <c r="BT447" s="133" t="str">
        <f>IF($A447&lt;&gt;0,VLOOKUP($A447,'0.Productos'!$A$3:$GG$587,'0.Productos'!DL$1+1,0),"")</f>
        <v/>
      </c>
    </row>
    <row r="448" spans="1:72" x14ac:dyDescent="0.25">
      <c r="A448" s="17">
        <f>'0.Consolidado general'!A448</f>
        <v>0</v>
      </c>
      <c r="B448" s="133" t="str">
        <f>IF($A448&lt;&gt;0,VLOOKUP($A448,'0.Productos'!$A$3:$GG$587,'0.Productos'!AT$1+1,0),"")</f>
        <v/>
      </c>
      <c r="C448" s="133" t="str">
        <f>IF($A448&lt;&gt;0,VLOOKUP($A448,'0.Productos'!$A$3:$GG$587,'0.Productos'!AU$1+1,0),"")</f>
        <v/>
      </c>
      <c r="D448" s="133" t="str">
        <f>IF($A448&lt;&gt;0,VLOOKUP($A448,'0.Productos'!$A$3:$GG$587,'0.Productos'!AV$1+1,0),"")</f>
        <v/>
      </c>
      <c r="E448" s="133" t="str">
        <f>IF($A448&lt;&gt;0,VLOOKUP($A448,'0.Productos'!$A$3:$GG$587,'0.Productos'!AW$1+1,0),"")</f>
        <v/>
      </c>
      <c r="F448" s="133" t="str">
        <f>IF($A448&lt;&gt;0,VLOOKUP($A448,'0.Productos'!$A$3:$GG$587,'0.Productos'!AX$1+1,0),"")</f>
        <v/>
      </c>
      <c r="G448" s="133" t="str">
        <f>IF($A448&lt;&gt;0,VLOOKUP($A448,'0.Productos'!$A$3:$GG$587,'0.Productos'!AY$1+1,0),"")</f>
        <v/>
      </c>
      <c r="H448" s="133" t="str">
        <f>IF($A448&lt;&gt;0,VLOOKUP($A448,'0.Productos'!$A$3:$GG$587,'0.Productos'!AZ$1+1,0),"")</f>
        <v/>
      </c>
      <c r="I448" s="133" t="str">
        <f>IF($A448&lt;&gt;0,VLOOKUP($A448,'0.Productos'!$A$3:$GG$587,'0.Productos'!BA$1+1,0),"")</f>
        <v/>
      </c>
      <c r="J448" s="133" t="str">
        <f>IF($A448&lt;&gt;0,VLOOKUP($A448,'0.Productos'!$A$3:$GG$587,'0.Productos'!BB$1+1,0),"")</f>
        <v/>
      </c>
      <c r="K448" s="133" t="str">
        <f>IF($A448&lt;&gt;0,VLOOKUP($A448,'0.Productos'!$A$3:$GG$587,'0.Productos'!BC$1+1,0),"")</f>
        <v/>
      </c>
      <c r="L448" s="133" t="str">
        <f>IF($A448&lt;&gt;0,VLOOKUP($A448,'0.Productos'!$A$3:$GG$587,'0.Productos'!BD$1+1,0),"")</f>
        <v/>
      </c>
      <c r="M448" s="133" t="str">
        <f>IF($A448&lt;&gt;0,VLOOKUP($A448,'0.Productos'!$A$3:$GG$587,'0.Productos'!BE$1+1,0),"")</f>
        <v/>
      </c>
      <c r="N448" s="133" t="str">
        <f>IF($A448&lt;&gt;0,VLOOKUP($A448,'0.Productos'!$A$3:$GG$587,'0.Productos'!BF$1+1,0),"")</f>
        <v/>
      </c>
      <c r="O448" s="133" t="str">
        <f>IF($A448&lt;&gt;0,VLOOKUP($A448,'0.Productos'!$A$3:$GG$587,'0.Productos'!BG$1+1,0),"")</f>
        <v/>
      </c>
      <c r="P448" s="133" t="str">
        <f>IF($A448&lt;&gt;0,VLOOKUP($A448,'0.Productos'!$A$3:$GG$587,'0.Productos'!BH$1+1,0),"")</f>
        <v/>
      </c>
      <c r="Q448" s="133" t="str">
        <f>IF($A448&lt;&gt;0,VLOOKUP($A448,'0.Productos'!$A$3:$GG$587,'0.Productos'!BI$1+1,0),"")</f>
        <v/>
      </c>
      <c r="R448" s="133" t="str">
        <f>IF($A448&lt;&gt;0,VLOOKUP($A448,'0.Productos'!$A$3:$GG$587,'0.Productos'!BJ$1+1,0),"")</f>
        <v/>
      </c>
      <c r="S448" s="133" t="str">
        <f>IF($A448&lt;&gt;0,VLOOKUP($A448,'0.Productos'!$A$3:$GG$587,'0.Productos'!BK$1+1,0),"")</f>
        <v/>
      </c>
      <c r="T448" s="133" t="str">
        <f>IF($A448&lt;&gt;0,VLOOKUP($A448,'0.Productos'!$A$3:$GG$587,'0.Productos'!BL$1+1,0),"")</f>
        <v/>
      </c>
      <c r="U448" s="133" t="str">
        <f>IF($A448&lt;&gt;0,VLOOKUP($A448,'0.Productos'!$A$3:$GG$587,'0.Productos'!BM$1+1,0),"")</f>
        <v/>
      </c>
      <c r="V448" s="133" t="str">
        <f>IF($A448&lt;&gt;0,VLOOKUP($A448,'0.Productos'!$A$3:$GG$587,'0.Productos'!BN$1+1,0),"")</f>
        <v/>
      </c>
      <c r="W448" s="133" t="str">
        <f>IF($A448&lt;&gt;0,VLOOKUP($A448,'0.Productos'!$A$3:$GG$587,'0.Productos'!BO$1+1,0),"")</f>
        <v/>
      </c>
      <c r="X448" s="133" t="str">
        <f>IF($A448&lt;&gt;0,VLOOKUP($A448,'0.Productos'!$A$3:$GG$587,'0.Productos'!BP$1+1,0),"")</f>
        <v/>
      </c>
      <c r="Y448" s="133" t="str">
        <f>IF($A448&lt;&gt;0,VLOOKUP($A448,'0.Productos'!$A$3:$GG$587,'0.Productos'!BQ$1+1,0),"")</f>
        <v/>
      </c>
      <c r="Z448" s="133" t="str">
        <f>IF($A448&lt;&gt;0,VLOOKUP($A448,'0.Productos'!$A$3:$GG$587,'0.Productos'!BR$1+1,0),"")</f>
        <v/>
      </c>
      <c r="AA448" s="133" t="str">
        <f>IF($A448&lt;&gt;0,VLOOKUP($A448,'0.Productos'!$A$3:$GG$587,'0.Productos'!BS$1+1,0),"")</f>
        <v/>
      </c>
      <c r="AB448" s="133" t="str">
        <f>IF($A448&lt;&gt;0,VLOOKUP($A448,'0.Productos'!$A$3:$GG$587,'0.Productos'!BT$1+1,0),"")</f>
        <v/>
      </c>
      <c r="AC448" s="133" t="str">
        <f>IF($A448&lt;&gt;0,VLOOKUP($A448,'0.Productos'!$A$3:$GG$587,'0.Productos'!BU$1+1,0),"")</f>
        <v/>
      </c>
      <c r="AD448" s="133" t="str">
        <f>IF($A448&lt;&gt;0,VLOOKUP($A448,'0.Productos'!$A$3:$GG$587,'0.Productos'!BV$1+1,0),"")</f>
        <v/>
      </c>
      <c r="AE448" s="133" t="str">
        <f>IF($A448&lt;&gt;0,VLOOKUP($A448,'0.Productos'!$A$3:$GG$587,'0.Productos'!BW$1+1,0),"")</f>
        <v/>
      </c>
      <c r="AF448" s="133" t="str">
        <f>IF($A448&lt;&gt;0,VLOOKUP($A448,'0.Productos'!$A$3:$GG$587,'0.Productos'!BX$1+1,0),"")</f>
        <v/>
      </c>
      <c r="AG448" s="133" t="str">
        <f>IF($A448&lt;&gt;0,VLOOKUP($A448,'0.Productos'!$A$3:$GG$587,'0.Productos'!BY$1+1,0),"")</f>
        <v/>
      </c>
      <c r="AH448" s="133" t="str">
        <f>IF($A448&lt;&gt;0,VLOOKUP($A448,'0.Productos'!$A$3:$GG$587,'0.Productos'!BZ$1+1,0),"")</f>
        <v/>
      </c>
      <c r="AI448" s="133" t="str">
        <f>IF($A448&lt;&gt;0,VLOOKUP($A448,'0.Productos'!$A$3:$GG$587,'0.Productos'!CA$1+1,0),"")</f>
        <v/>
      </c>
      <c r="AJ448" s="133" t="str">
        <f>IF($A448&lt;&gt;0,VLOOKUP($A448,'0.Productos'!$A$3:$GG$587,'0.Productos'!CB$1+1,0),"")</f>
        <v/>
      </c>
      <c r="AK448" s="133" t="str">
        <f>IF($A448&lt;&gt;0,VLOOKUP($A448,'0.Productos'!$A$3:$GG$587,'0.Productos'!CC$1+1,0),"")</f>
        <v/>
      </c>
      <c r="AL448" s="133" t="str">
        <f>IF($A448&lt;&gt;0,VLOOKUP($A448,'0.Productos'!$A$3:$GG$587,'0.Productos'!CD$1+1,0),"")</f>
        <v/>
      </c>
      <c r="AM448" s="133" t="str">
        <f>IF($A448&lt;&gt;0,VLOOKUP($A448,'0.Productos'!$A$3:$GG$587,'0.Productos'!CE$1+1,0),"")</f>
        <v/>
      </c>
      <c r="AN448" s="133" t="str">
        <f>IF($A448&lt;&gt;0,VLOOKUP($A448,'0.Productos'!$A$3:$GG$587,'0.Productos'!CF$1+1,0),"")</f>
        <v/>
      </c>
      <c r="AO448" s="133" t="str">
        <f>IF($A448&lt;&gt;0,VLOOKUP($A448,'0.Productos'!$A$3:$GG$587,'0.Productos'!CG$1+1,0),"")</f>
        <v/>
      </c>
      <c r="AP448" s="133" t="str">
        <f>IF($A448&lt;&gt;0,VLOOKUP($A448,'0.Productos'!$A$3:$GG$587,'0.Productos'!CH$1+1,0),"")</f>
        <v/>
      </c>
      <c r="AQ448" s="133" t="str">
        <f>IF($A448&lt;&gt;0,VLOOKUP($A448,'0.Productos'!$A$3:$GG$587,'0.Productos'!CI$1+1,0),"")</f>
        <v/>
      </c>
      <c r="AR448" s="133" t="str">
        <f>IF($A448&lt;&gt;0,VLOOKUP($A448,'0.Productos'!$A$3:$GG$587,'0.Productos'!CJ$1+1,0),"")</f>
        <v/>
      </c>
      <c r="AS448" s="133" t="str">
        <f>IF($A448&lt;&gt;0,VLOOKUP($A448,'0.Productos'!$A$3:$GG$587,'0.Productos'!CK$1+1,0),"")</f>
        <v/>
      </c>
      <c r="AT448" s="133" t="str">
        <f>IF($A448&lt;&gt;0,VLOOKUP($A448,'0.Productos'!$A$3:$GG$587,'0.Productos'!CL$1+1,0),"")</f>
        <v/>
      </c>
      <c r="AU448" s="133" t="str">
        <f>IF($A448&lt;&gt;0,VLOOKUP($A448,'0.Productos'!$A$3:$GG$587,'0.Productos'!CM$1+1,0),"")</f>
        <v/>
      </c>
      <c r="AV448" s="133" t="str">
        <f>IF($A448&lt;&gt;0,VLOOKUP($A448,'0.Productos'!$A$3:$GG$587,'0.Productos'!CN$1+1,0),"")</f>
        <v/>
      </c>
      <c r="AW448" s="133" t="str">
        <f>IF($A448&lt;&gt;0,VLOOKUP($A448,'0.Productos'!$A$3:$GG$587,'0.Productos'!CO$1+1,0),"")</f>
        <v/>
      </c>
      <c r="AX448" s="133" t="str">
        <f>IF($A448&lt;&gt;0,VLOOKUP($A448,'0.Productos'!$A$3:$GG$587,'0.Productos'!CP$1+1,0),"")</f>
        <v/>
      </c>
      <c r="AY448" s="133" t="str">
        <f>IF($A448&lt;&gt;0,VLOOKUP($A448,'0.Productos'!$A$3:$GG$587,'0.Productos'!CQ$1+1,0),"")</f>
        <v/>
      </c>
      <c r="AZ448" s="133" t="str">
        <f>IF($A448&lt;&gt;0,VLOOKUP($A448,'0.Productos'!$A$3:$GG$587,'0.Productos'!CR$1+1,0),"")</f>
        <v/>
      </c>
      <c r="BA448" s="133" t="str">
        <f>IF($A448&lt;&gt;0,VLOOKUP($A448,'0.Productos'!$A$3:$GG$587,'0.Productos'!CS$1+1,0),"")</f>
        <v/>
      </c>
      <c r="BB448" s="133" t="str">
        <f>IF($A448&lt;&gt;0,VLOOKUP($A448,'0.Productos'!$A$3:$GG$587,'0.Productos'!CT$1+1,0),"")</f>
        <v/>
      </c>
      <c r="BC448" s="133" t="str">
        <f>IF($A448&lt;&gt;0,VLOOKUP($A448,'0.Productos'!$A$3:$GG$587,'0.Productos'!CU$1+1,0),"")</f>
        <v/>
      </c>
      <c r="BD448" s="133" t="str">
        <f>IF($A448&lt;&gt;0,VLOOKUP($A448,'0.Productos'!$A$3:$GG$587,'0.Productos'!CV$1+1,0),"")</f>
        <v/>
      </c>
      <c r="BE448" s="133" t="str">
        <f>IF($A448&lt;&gt;0,VLOOKUP($A448,'0.Productos'!$A$3:$GG$587,'0.Productos'!CW$1+1,0),"")</f>
        <v/>
      </c>
      <c r="BF448" s="133" t="str">
        <f>IF($A448&lt;&gt;0,VLOOKUP($A448,'0.Productos'!$A$3:$GG$587,'0.Productos'!CX$1+1,0),"")</f>
        <v/>
      </c>
      <c r="BG448" s="133" t="str">
        <f>IF($A448&lt;&gt;0,VLOOKUP($A448,'0.Productos'!$A$3:$GG$587,'0.Productos'!CY$1+1,0),"")</f>
        <v/>
      </c>
      <c r="BH448" s="133" t="str">
        <f>IF($A448&lt;&gt;0,VLOOKUP($A448,'0.Productos'!$A$3:$GG$587,'0.Productos'!CZ$1+1,0),"")</f>
        <v/>
      </c>
      <c r="BI448" s="133" t="str">
        <f>IF($A448&lt;&gt;0,VLOOKUP($A448,'0.Productos'!$A$3:$GG$587,'0.Productos'!DA$1+1,0),"")</f>
        <v/>
      </c>
      <c r="BJ448" s="133" t="str">
        <f>IF($A448&lt;&gt;0,VLOOKUP($A448,'0.Productos'!$A$3:$GG$587,'0.Productos'!DB$1+1,0),"")</f>
        <v/>
      </c>
      <c r="BK448" s="133" t="str">
        <f>IF($A448&lt;&gt;0,VLOOKUP($A448,'0.Productos'!$A$3:$GG$587,'0.Productos'!DC$1+1,0),"")</f>
        <v/>
      </c>
      <c r="BL448" s="133" t="str">
        <f>IF($A448&lt;&gt;0,VLOOKUP($A448,'0.Productos'!$A$3:$GG$587,'0.Productos'!DD$1+1,0),"")</f>
        <v/>
      </c>
      <c r="BM448" s="133" t="str">
        <f>IF($A448&lt;&gt;0,VLOOKUP($A448,'0.Productos'!$A$3:$GG$587,'0.Productos'!DE$1+1,0),"")</f>
        <v/>
      </c>
      <c r="BN448" s="133" t="str">
        <f>IF($A448&lt;&gt;0,VLOOKUP($A448,'0.Productos'!$A$3:$GG$587,'0.Productos'!DF$1+1,0),"")</f>
        <v/>
      </c>
      <c r="BO448" s="133" t="str">
        <f>IF($A448&lt;&gt;0,VLOOKUP($A448,'0.Productos'!$A$3:$GG$587,'0.Productos'!DG$1+1,0),"")</f>
        <v/>
      </c>
      <c r="BP448" s="133" t="str">
        <f>IF($A448&lt;&gt;0,VLOOKUP($A448,'0.Productos'!$A$3:$GG$587,'0.Productos'!DH$1+1,0),"")</f>
        <v/>
      </c>
      <c r="BQ448" s="133" t="str">
        <f>IF($A448&lt;&gt;0,VLOOKUP($A448,'0.Productos'!$A$3:$GG$587,'0.Productos'!DI$1+1,0),"")</f>
        <v/>
      </c>
      <c r="BR448" s="133" t="str">
        <f>IF($A448&lt;&gt;0,VLOOKUP($A448,'0.Productos'!$A$3:$GG$587,'0.Productos'!DJ$1+1,0),"")</f>
        <v/>
      </c>
      <c r="BS448" s="133" t="str">
        <f>IF($A448&lt;&gt;0,VLOOKUP($A448,'0.Productos'!$A$3:$GG$587,'0.Productos'!DK$1+1,0),"")</f>
        <v/>
      </c>
      <c r="BT448" s="133" t="str">
        <f>IF($A448&lt;&gt;0,VLOOKUP($A448,'0.Productos'!$A$3:$GG$587,'0.Productos'!DL$1+1,0),"")</f>
        <v/>
      </c>
    </row>
    <row r="449" spans="1:72" x14ac:dyDescent="0.25">
      <c r="A449" s="17">
        <f>'0.Consolidado general'!A449</f>
        <v>0</v>
      </c>
      <c r="B449" s="133" t="str">
        <f>IF($A449&lt;&gt;0,VLOOKUP($A449,'0.Productos'!$A$3:$GG$587,'0.Productos'!AT$1+1,0),"")</f>
        <v/>
      </c>
      <c r="C449" s="133" t="str">
        <f>IF($A449&lt;&gt;0,VLOOKUP($A449,'0.Productos'!$A$3:$GG$587,'0.Productos'!AU$1+1,0),"")</f>
        <v/>
      </c>
      <c r="D449" s="133" t="str">
        <f>IF($A449&lt;&gt;0,VLOOKUP($A449,'0.Productos'!$A$3:$GG$587,'0.Productos'!AV$1+1,0),"")</f>
        <v/>
      </c>
      <c r="E449" s="133" t="str">
        <f>IF($A449&lt;&gt;0,VLOOKUP($A449,'0.Productos'!$A$3:$GG$587,'0.Productos'!AW$1+1,0),"")</f>
        <v/>
      </c>
      <c r="F449" s="133" t="str">
        <f>IF($A449&lt;&gt;0,VLOOKUP($A449,'0.Productos'!$A$3:$GG$587,'0.Productos'!AX$1+1,0),"")</f>
        <v/>
      </c>
      <c r="G449" s="133" t="str">
        <f>IF($A449&lt;&gt;0,VLOOKUP($A449,'0.Productos'!$A$3:$GG$587,'0.Productos'!AY$1+1,0),"")</f>
        <v/>
      </c>
      <c r="H449" s="133" t="str">
        <f>IF($A449&lt;&gt;0,VLOOKUP($A449,'0.Productos'!$A$3:$GG$587,'0.Productos'!AZ$1+1,0),"")</f>
        <v/>
      </c>
      <c r="I449" s="133" t="str">
        <f>IF($A449&lt;&gt;0,VLOOKUP($A449,'0.Productos'!$A$3:$GG$587,'0.Productos'!BA$1+1,0),"")</f>
        <v/>
      </c>
      <c r="J449" s="133" t="str">
        <f>IF($A449&lt;&gt;0,VLOOKUP($A449,'0.Productos'!$A$3:$GG$587,'0.Productos'!BB$1+1,0),"")</f>
        <v/>
      </c>
      <c r="K449" s="133" t="str">
        <f>IF($A449&lt;&gt;0,VLOOKUP($A449,'0.Productos'!$A$3:$GG$587,'0.Productos'!BC$1+1,0),"")</f>
        <v/>
      </c>
      <c r="L449" s="133" t="str">
        <f>IF($A449&lt;&gt;0,VLOOKUP($A449,'0.Productos'!$A$3:$GG$587,'0.Productos'!BD$1+1,0),"")</f>
        <v/>
      </c>
      <c r="M449" s="133" t="str">
        <f>IF($A449&lt;&gt;0,VLOOKUP($A449,'0.Productos'!$A$3:$GG$587,'0.Productos'!BE$1+1,0),"")</f>
        <v/>
      </c>
      <c r="N449" s="133" t="str">
        <f>IF($A449&lt;&gt;0,VLOOKUP($A449,'0.Productos'!$A$3:$GG$587,'0.Productos'!BF$1+1,0),"")</f>
        <v/>
      </c>
      <c r="O449" s="133" t="str">
        <f>IF($A449&lt;&gt;0,VLOOKUP($A449,'0.Productos'!$A$3:$GG$587,'0.Productos'!BG$1+1,0),"")</f>
        <v/>
      </c>
      <c r="P449" s="133" t="str">
        <f>IF($A449&lt;&gt;0,VLOOKUP($A449,'0.Productos'!$A$3:$GG$587,'0.Productos'!BH$1+1,0),"")</f>
        <v/>
      </c>
      <c r="Q449" s="133" t="str">
        <f>IF($A449&lt;&gt;0,VLOOKUP($A449,'0.Productos'!$A$3:$GG$587,'0.Productos'!BI$1+1,0),"")</f>
        <v/>
      </c>
      <c r="R449" s="133" t="str">
        <f>IF($A449&lt;&gt;0,VLOOKUP($A449,'0.Productos'!$A$3:$GG$587,'0.Productos'!BJ$1+1,0),"")</f>
        <v/>
      </c>
      <c r="S449" s="133" t="str">
        <f>IF($A449&lt;&gt;0,VLOOKUP($A449,'0.Productos'!$A$3:$GG$587,'0.Productos'!BK$1+1,0),"")</f>
        <v/>
      </c>
      <c r="T449" s="133" t="str">
        <f>IF($A449&lt;&gt;0,VLOOKUP($A449,'0.Productos'!$A$3:$GG$587,'0.Productos'!BL$1+1,0),"")</f>
        <v/>
      </c>
      <c r="U449" s="133" t="str">
        <f>IF($A449&lt;&gt;0,VLOOKUP($A449,'0.Productos'!$A$3:$GG$587,'0.Productos'!BM$1+1,0),"")</f>
        <v/>
      </c>
      <c r="V449" s="133" t="str">
        <f>IF($A449&lt;&gt;0,VLOOKUP($A449,'0.Productos'!$A$3:$GG$587,'0.Productos'!BN$1+1,0),"")</f>
        <v/>
      </c>
      <c r="W449" s="133" t="str">
        <f>IF($A449&lt;&gt;0,VLOOKUP($A449,'0.Productos'!$A$3:$GG$587,'0.Productos'!BO$1+1,0),"")</f>
        <v/>
      </c>
      <c r="X449" s="133" t="str">
        <f>IF($A449&lt;&gt;0,VLOOKUP($A449,'0.Productos'!$A$3:$GG$587,'0.Productos'!BP$1+1,0),"")</f>
        <v/>
      </c>
      <c r="Y449" s="133" t="str">
        <f>IF($A449&lt;&gt;0,VLOOKUP($A449,'0.Productos'!$A$3:$GG$587,'0.Productos'!BQ$1+1,0),"")</f>
        <v/>
      </c>
      <c r="Z449" s="133" t="str">
        <f>IF($A449&lt;&gt;0,VLOOKUP($A449,'0.Productos'!$A$3:$GG$587,'0.Productos'!BR$1+1,0),"")</f>
        <v/>
      </c>
      <c r="AA449" s="133" t="str">
        <f>IF($A449&lt;&gt;0,VLOOKUP($A449,'0.Productos'!$A$3:$GG$587,'0.Productos'!BS$1+1,0),"")</f>
        <v/>
      </c>
      <c r="AB449" s="133" t="str">
        <f>IF($A449&lt;&gt;0,VLOOKUP($A449,'0.Productos'!$A$3:$GG$587,'0.Productos'!BT$1+1,0),"")</f>
        <v/>
      </c>
      <c r="AC449" s="133" t="str">
        <f>IF($A449&lt;&gt;0,VLOOKUP($A449,'0.Productos'!$A$3:$GG$587,'0.Productos'!BU$1+1,0),"")</f>
        <v/>
      </c>
      <c r="AD449" s="133" t="str">
        <f>IF($A449&lt;&gt;0,VLOOKUP($A449,'0.Productos'!$A$3:$GG$587,'0.Productos'!BV$1+1,0),"")</f>
        <v/>
      </c>
      <c r="AE449" s="133" t="str">
        <f>IF($A449&lt;&gt;0,VLOOKUP($A449,'0.Productos'!$A$3:$GG$587,'0.Productos'!BW$1+1,0),"")</f>
        <v/>
      </c>
      <c r="AF449" s="133" t="str">
        <f>IF($A449&lt;&gt;0,VLOOKUP($A449,'0.Productos'!$A$3:$GG$587,'0.Productos'!BX$1+1,0),"")</f>
        <v/>
      </c>
      <c r="AG449" s="133" t="str">
        <f>IF($A449&lt;&gt;0,VLOOKUP($A449,'0.Productos'!$A$3:$GG$587,'0.Productos'!BY$1+1,0),"")</f>
        <v/>
      </c>
      <c r="AH449" s="133" t="str">
        <f>IF($A449&lt;&gt;0,VLOOKUP($A449,'0.Productos'!$A$3:$GG$587,'0.Productos'!BZ$1+1,0),"")</f>
        <v/>
      </c>
      <c r="AI449" s="133" t="str">
        <f>IF($A449&lt;&gt;0,VLOOKUP($A449,'0.Productos'!$A$3:$GG$587,'0.Productos'!CA$1+1,0),"")</f>
        <v/>
      </c>
      <c r="AJ449" s="133" t="str">
        <f>IF($A449&lt;&gt;0,VLOOKUP($A449,'0.Productos'!$A$3:$GG$587,'0.Productos'!CB$1+1,0),"")</f>
        <v/>
      </c>
      <c r="AK449" s="133" t="str">
        <f>IF($A449&lt;&gt;0,VLOOKUP($A449,'0.Productos'!$A$3:$GG$587,'0.Productos'!CC$1+1,0),"")</f>
        <v/>
      </c>
      <c r="AL449" s="133" t="str">
        <f>IF($A449&lt;&gt;0,VLOOKUP($A449,'0.Productos'!$A$3:$GG$587,'0.Productos'!CD$1+1,0),"")</f>
        <v/>
      </c>
      <c r="AM449" s="133" t="str">
        <f>IF($A449&lt;&gt;0,VLOOKUP($A449,'0.Productos'!$A$3:$GG$587,'0.Productos'!CE$1+1,0),"")</f>
        <v/>
      </c>
      <c r="AN449" s="133" t="str">
        <f>IF($A449&lt;&gt;0,VLOOKUP($A449,'0.Productos'!$A$3:$GG$587,'0.Productos'!CF$1+1,0),"")</f>
        <v/>
      </c>
      <c r="AO449" s="133" t="str">
        <f>IF($A449&lt;&gt;0,VLOOKUP($A449,'0.Productos'!$A$3:$GG$587,'0.Productos'!CG$1+1,0),"")</f>
        <v/>
      </c>
      <c r="AP449" s="133" t="str">
        <f>IF($A449&lt;&gt;0,VLOOKUP($A449,'0.Productos'!$A$3:$GG$587,'0.Productos'!CH$1+1,0),"")</f>
        <v/>
      </c>
      <c r="AQ449" s="133" t="str">
        <f>IF($A449&lt;&gt;0,VLOOKUP($A449,'0.Productos'!$A$3:$GG$587,'0.Productos'!CI$1+1,0),"")</f>
        <v/>
      </c>
      <c r="AR449" s="133" t="str">
        <f>IF($A449&lt;&gt;0,VLOOKUP($A449,'0.Productos'!$A$3:$GG$587,'0.Productos'!CJ$1+1,0),"")</f>
        <v/>
      </c>
      <c r="AS449" s="133" t="str">
        <f>IF($A449&lt;&gt;0,VLOOKUP($A449,'0.Productos'!$A$3:$GG$587,'0.Productos'!CK$1+1,0),"")</f>
        <v/>
      </c>
      <c r="AT449" s="133" t="str">
        <f>IF($A449&lt;&gt;0,VLOOKUP($A449,'0.Productos'!$A$3:$GG$587,'0.Productos'!CL$1+1,0),"")</f>
        <v/>
      </c>
      <c r="AU449" s="133" t="str">
        <f>IF($A449&lt;&gt;0,VLOOKUP($A449,'0.Productos'!$A$3:$GG$587,'0.Productos'!CM$1+1,0),"")</f>
        <v/>
      </c>
      <c r="AV449" s="133" t="str">
        <f>IF($A449&lt;&gt;0,VLOOKUP($A449,'0.Productos'!$A$3:$GG$587,'0.Productos'!CN$1+1,0),"")</f>
        <v/>
      </c>
      <c r="AW449" s="133" t="str">
        <f>IF($A449&lt;&gt;0,VLOOKUP($A449,'0.Productos'!$A$3:$GG$587,'0.Productos'!CO$1+1,0),"")</f>
        <v/>
      </c>
      <c r="AX449" s="133" t="str">
        <f>IF($A449&lt;&gt;0,VLOOKUP($A449,'0.Productos'!$A$3:$GG$587,'0.Productos'!CP$1+1,0),"")</f>
        <v/>
      </c>
      <c r="AY449" s="133" t="str">
        <f>IF($A449&lt;&gt;0,VLOOKUP($A449,'0.Productos'!$A$3:$GG$587,'0.Productos'!CQ$1+1,0),"")</f>
        <v/>
      </c>
      <c r="AZ449" s="133" t="str">
        <f>IF($A449&lt;&gt;0,VLOOKUP($A449,'0.Productos'!$A$3:$GG$587,'0.Productos'!CR$1+1,0),"")</f>
        <v/>
      </c>
      <c r="BA449" s="133" t="str">
        <f>IF($A449&lt;&gt;0,VLOOKUP($A449,'0.Productos'!$A$3:$GG$587,'0.Productos'!CS$1+1,0),"")</f>
        <v/>
      </c>
      <c r="BB449" s="133" t="str">
        <f>IF($A449&lt;&gt;0,VLOOKUP($A449,'0.Productos'!$A$3:$GG$587,'0.Productos'!CT$1+1,0),"")</f>
        <v/>
      </c>
      <c r="BC449" s="133" t="str">
        <f>IF($A449&lt;&gt;0,VLOOKUP($A449,'0.Productos'!$A$3:$GG$587,'0.Productos'!CU$1+1,0),"")</f>
        <v/>
      </c>
      <c r="BD449" s="133" t="str">
        <f>IF($A449&lt;&gt;0,VLOOKUP($A449,'0.Productos'!$A$3:$GG$587,'0.Productos'!CV$1+1,0),"")</f>
        <v/>
      </c>
      <c r="BE449" s="133" t="str">
        <f>IF($A449&lt;&gt;0,VLOOKUP($A449,'0.Productos'!$A$3:$GG$587,'0.Productos'!CW$1+1,0),"")</f>
        <v/>
      </c>
      <c r="BF449" s="133" t="str">
        <f>IF($A449&lt;&gt;0,VLOOKUP($A449,'0.Productos'!$A$3:$GG$587,'0.Productos'!CX$1+1,0),"")</f>
        <v/>
      </c>
      <c r="BG449" s="133" t="str">
        <f>IF($A449&lt;&gt;0,VLOOKUP($A449,'0.Productos'!$A$3:$GG$587,'0.Productos'!CY$1+1,0),"")</f>
        <v/>
      </c>
      <c r="BH449" s="133" t="str">
        <f>IF($A449&lt;&gt;0,VLOOKUP($A449,'0.Productos'!$A$3:$GG$587,'0.Productos'!CZ$1+1,0),"")</f>
        <v/>
      </c>
      <c r="BI449" s="133" t="str">
        <f>IF($A449&lt;&gt;0,VLOOKUP($A449,'0.Productos'!$A$3:$GG$587,'0.Productos'!DA$1+1,0),"")</f>
        <v/>
      </c>
      <c r="BJ449" s="133" t="str">
        <f>IF($A449&lt;&gt;0,VLOOKUP($A449,'0.Productos'!$A$3:$GG$587,'0.Productos'!DB$1+1,0),"")</f>
        <v/>
      </c>
      <c r="BK449" s="133" t="str">
        <f>IF($A449&lt;&gt;0,VLOOKUP($A449,'0.Productos'!$A$3:$GG$587,'0.Productos'!DC$1+1,0),"")</f>
        <v/>
      </c>
      <c r="BL449" s="133" t="str">
        <f>IF($A449&lt;&gt;0,VLOOKUP($A449,'0.Productos'!$A$3:$GG$587,'0.Productos'!DD$1+1,0),"")</f>
        <v/>
      </c>
      <c r="BM449" s="133" t="str">
        <f>IF($A449&lt;&gt;0,VLOOKUP($A449,'0.Productos'!$A$3:$GG$587,'0.Productos'!DE$1+1,0),"")</f>
        <v/>
      </c>
      <c r="BN449" s="133" t="str">
        <f>IF($A449&lt;&gt;0,VLOOKUP($A449,'0.Productos'!$A$3:$GG$587,'0.Productos'!DF$1+1,0),"")</f>
        <v/>
      </c>
      <c r="BO449" s="133" t="str">
        <f>IF($A449&lt;&gt;0,VLOOKUP($A449,'0.Productos'!$A$3:$GG$587,'0.Productos'!DG$1+1,0),"")</f>
        <v/>
      </c>
      <c r="BP449" s="133" t="str">
        <f>IF($A449&lt;&gt;0,VLOOKUP($A449,'0.Productos'!$A$3:$GG$587,'0.Productos'!DH$1+1,0),"")</f>
        <v/>
      </c>
      <c r="BQ449" s="133" t="str">
        <f>IF($A449&lt;&gt;0,VLOOKUP($A449,'0.Productos'!$A$3:$GG$587,'0.Productos'!DI$1+1,0),"")</f>
        <v/>
      </c>
      <c r="BR449" s="133" t="str">
        <f>IF($A449&lt;&gt;0,VLOOKUP($A449,'0.Productos'!$A$3:$GG$587,'0.Productos'!DJ$1+1,0),"")</f>
        <v/>
      </c>
      <c r="BS449" s="133" t="str">
        <f>IF($A449&lt;&gt;0,VLOOKUP($A449,'0.Productos'!$A$3:$GG$587,'0.Productos'!DK$1+1,0),"")</f>
        <v/>
      </c>
      <c r="BT449" s="133" t="str">
        <f>IF($A449&lt;&gt;0,VLOOKUP($A449,'0.Productos'!$A$3:$GG$587,'0.Productos'!DL$1+1,0),"")</f>
        <v/>
      </c>
    </row>
    <row r="450" spans="1:72" x14ac:dyDescent="0.25">
      <c r="A450" s="17">
        <f>'0.Consolidado general'!A450</f>
        <v>0</v>
      </c>
      <c r="B450" s="133" t="str">
        <f>IF($A450&lt;&gt;0,VLOOKUP($A450,'0.Productos'!$A$3:$GG$587,'0.Productos'!AT$1+1,0),"")</f>
        <v/>
      </c>
      <c r="C450" s="133" t="str">
        <f>IF($A450&lt;&gt;0,VLOOKUP($A450,'0.Productos'!$A$3:$GG$587,'0.Productos'!AU$1+1,0),"")</f>
        <v/>
      </c>
      <c r="D450" s="133" t="str">
        <f>IF($A450&lt;&gt;0,VLOOKUP($A450,'0.Productos'!$A$3:$GG$587,'0.Productos'!AV$1+1,0),"")</f>
        <v/>
      </c>
      <c r="E450" s="133" t="str">
        <f>IF($A450&lt;&gt;0,VLOOKUP($A450,'0.Productos'!$A$3:$GG$587,'0.Productos'!AW$1+1,0),"")</f>
        <v/>
      </c>
      <c r="F450" s="133" t="str">
        <f>IF($A450&lt;&gt;0,VLOOKUP($A450,'0.Productos'!$A$3:$GG$587,'0.Productos'!AX$1+1,0),"")</f>
        <v/>
      </c>
      <c r="G450" s="133" t="str">
        <f>IF($A450&lt;&gt;0,VLOOKUP($A450,'0.Productos'!$A$3:$GG$587,'0.Productos'!AY$1+1,0),"")</f>
        <v/>
      </c>
      <c r="H450" s="133" t="str">
        <f>IF($A450&lt;&gt;0,VLOOKUP($A450,'0.Productos'!$A$3:$GG$587,'0.Productos'!AZ$1+1,0),"")</f>
        <v/>
      </c>
      <c r="I450" s="133" t="str">
        <f>IF($A450&lt;&gt;0,VLOOKUP($A450,'0.Productos'!$A$3:$GG$587,'0.Productos'!BA$1+1,0),"")</f>
        <v/>
      </c>
      <c r="J450" s="133" t="str">
        <f>IF($A450&lt;&gt;0,VLOOKUP($A450,'0.Productos'!$A$3:$GG$587,'0.Productos'!BB$1+1,0),"")</f>
        <v/>
      </c>
      <c r="K450" s="133" t="str">
        <f>IF($A450&lt;&gt;0,VLOOKUP($A450,'0.Productos'!$A$3:$GG$587,'0.Productos'!BC$1+1,0),"")</f>
        <v/>
      </c>
      <c r="L450" s="133" t="str">
        <f>IF($A450&lt;&gt;0,VLOOKUP($A450,'0.Productos'!$A$3:$GG$587,'0.Productos'!BD$1+1,0),"")</f>
        <v/>
      </c>
      <c r="M450" s="133" t="str">
        <f>IF($A450&lt;&gt;0,VLOOKUP($A450,'0.Productos'!$A$3:$GG$587,'0.Productos'!BE$1+1,0),"")</f>
        <v/>
      </c>
      <c r="N450" s="133" t="str">
        <f>IF($A450&lt;&gt;0,VLOOKUP($A450,'0.Productos'!$A$3:$GG$587,'0.Productos'!BF$1+1,0),"")</f>
        <v/>
      </c>
      <c r="O450" s="133" t="str">
        <f>IF($A450&lt;&gt;0,VLOOKUP($A450,'0.Productos'!$A$3:$GG$587,'0.Productos'!BG$1+1,0),"")</f>
        <v/>
      </c>
      <c r="P450" s="133" t="str">
        <f>IF($A450&lt;&gt;0,VLOOKUP($A450,'0.Productos'!$A$3:$GG$587,'0.Productos'!BH$1+1,0),"")</f>
        <v/>
      </c>
      <c r="Q450" s="133" t="str">
        <f>IF($A450&lt;&gt;0,VLOOKUP($A450,'0.Productos'!$A$3:$GG$587,'0.Productos'!BI$1+1,0),"")</f>
        <v/>
      </c>
      <c r="R450" s="133" t="str">
        <f>IF($A450&lt;&gt;0,VLOOKUP($A450,'0.Productos'!$A$3:$GG$587,'0.Productos'!BJ$1+1,0),"")</f>
        <v/>
      </c>
      <c r="S450" s="133" t="str">
        <f>IF($A450&lt;&gt;0,VLOOKUP($A450,'0.Productos'!$A$3:$GG$587,'0.Productos'!BK$1+1,0),"")</f>
        <v/>
      </c>
      <c r="T450" s="133" t="str">
        <f>IF($A450&lt;&gt;0,VLOOKUP($A450,'0.Productos'!$A$3:$GG$587,'0.Productos'!BL$1+1,0),"")</f>
        <v/>
      </c>
      <c r="U450" s="133" t="str">
        <f>IF($A450&lt;&gt;0,VLOOKUP($A450,'0.Productos'!$A$3:$GG$587,'0.Productos'!BM$1+1,0),"")</f>
        <v/>
      </c>
      <c r="V450" s="133" t="str">
        <f>IF($A450&lt;&gt;0,VLOOKUP($A450,'0.Productos'!$A$3:$GG$587,'0.Productos'!BN$1+1,0),"")</f>
        <v/>
      </c>
      <c r="W450" s="133" t="str">
        <f>IF($A450&lt;&gt;0,VLOOKUP($A450,'0.Productos'!$A$3:$GG$587,'0.Productos'!BO$1+1,0),"")</f>
        <v/>
      </c>
      <c r="X450" s="133" t="str">
        <f>IF($A450&lt;&gt;0,VLOOKUP($A450,'0.Productos'!$A$3:$GG$587,'0.Productos'!BP$1+1,0),"")</f>
        <v/>
      </c>
      <c r="Y450" s="133" t="str">
        <f>IF($A450&lt;&gt;0,VLOOKUP($A450,'0.Productos'!$A$3:$GG$587,'0.Productos'!BQ$1+1,0),"")</f>
        <v/>
      </c>
      <c r="Z450" s="133" t="str">
        <f>IF($A450&lt;&gt;0,VLOOKUP($A450,'0.Productos'!$A$3:$GG$587,'0.Productos'!BR$1+1,0),"")</f>
        <v/>
      </c>
      <c r="AA450" s="133" t="str">
        <f>IF($A450&lt;&gt;0,VLOOKUP($A450,'0.Productos'!$A$3:$GG$587,'0.Productos'!BS$1+1,0),"")</f>
        <v/>
      </c>
      <c r="AB450" s="133" t="str">
        <f>IF($A450&lt;&gt;0,VLOOKUP($A450,'0.Productos'!$A$3:$GG$587,'0.Productos'!BT$1+1,0),"")</f>
        <v/>
      </c>
      <c r="AC450" s="133" t="str">
        <f>IF($A450&lt;&gt;0,VLOOKUP($A450,'0.Productos'!$A$3:$GG$587,'0.Productos'!BU$1+1,0),"")</f>
        <v/>
      </c>
      <c r="AD450" s="133" t="str">
        <f>IF($A450&lt;&gt;0,VLOOKUP($A450,'0.Productos'!$A$3:$GG$587,'0.Productos'!BV$1+1,0),"")</f>
        <v/>
      </c>
      <c r="AE450" s="133" t="str">
        <f>IF($A450&lt;&gt;0,VLOOKUP($A450,'0.Productos'!$A$3:$GG$587,'0.Productos'!BW$1+1,0),"")</f>
        <v/>
      </c>
      <c r="AF450" s="133" t="str">
        <f>IF($A450&lt;&gt;0,VLOOKUP($A450,'0.Productos'!$A$3:$GG$587,'0.Productos'!BX$1+1,0),"")</f>
        <v/>
      </c>
      <c r="AG450" s="133" t="str">
        <f>IF($A450&lt;&gt;0,VLOOKUP($A450,'0.Productos'!$A$3:$GG$587,'0.Productos'!BY$1+1,0),"")</f>
        <v/>
      </c>
      <c r="AH450" s="133" t="str">
        <f>IF($A450&lt;&gt;0,VLOOKUP($A450,'0.Productos'!$A$3:$GG$587,'0.Productos'!BZ$1+1,0),"")</f>
        <v/>
      </c>
      <c r="AI450" s="133" t="str">
        <f>IF($A450&lt;&gt;0,VLOOKUP($A450,'0.Productos'!$A$3:$GG$587,'0.Productos'!CA$1+1,0),"")</f>
        <v/>
      </c>
      <c r="AJ450" s="133" t="str">
        <f>IF($A450&lt;&gt;0,VLOOKUP($A450,'0.Productos'!$A$3:$GG$587,'0.Productos'!CB$1+1,0),"")</f>
        <v/>
      </c>
      <c r="AK450" s="133" t="str">
        <f>IF($A450&lt;&gt;0,VLOOKUP($A450,'0.Productos'!$A$3:$GG$587,'0.Productos'!CC$1+1,0),"")</f>
        <v/>
      </c>
      <c r="AL450" s="133" t="str">
        <f>IF($A450&lt;&gt;0,VLOOKUP($A450,'0.Productos'!$A$3:$GG$587,'0.Productos'!CD$1+1,0),"")</f>
        <v/>
      </c>
      <c r="AM450" s="133" t="str">
        <f>IF($A450&lt;&gt;0,VLOOKUP($A450,'0.Productos'!$A$3:$GG$587,'0.Productos'!CE$1+1,0),"")</f>
        <v/>
      </c>
      <c r="AN450" s="133" t="str">
        <f>IF($A450&lt;&gt;0,VLOOKUP($A450,'0.Productos'!$A$3:$GG$587,'0.Productos'!CF$1+1,0),"")</f>
        <v/>
      </c>
      <c r="AO450" s="133" t="str">
        <f>IF($A450&lt;&gt;0,VLOOKUP($A450,'0.Productos'!$A$3:$GG$587,'0.Productos'!CG$1+1,0),"")</f>
        <v/>
      </c>
      <c r="AP450" s="133" t="str">
        <f>IF($A450&lt;&gt;0,VLOOKUP($A450,'0.Productos'!$A$3:$GG$587,'0.Productos'!CH$1+1,0),"")</f>
        <v/>
      </c>
      <c r="AQ450" s="133" t="str">
        <f>IF($A450&lt;&gt;0,VLOOKUP($A450,'0.Productos'!$A$3:$GG$587,'0.Productos'!CI$1+1,0),"")</f>
        <v/>
      </c>
      <c r="AR450" s="133" t="str">
        <f>IF($A450&lt;&gt;0,VLOOKUP($A450,'0.Productos'!$A$3:$GG$587,'0.Productos'!CJ$1+1,0),"")</f>
        <v/>
      </c>
      <c r="AS450" s="133" t="str">
        <f>IF($A450&lt;&gt;0,VLOOKUP($A450,'0.Productos'!$A$3:$GG$587,'0.Productos'!CK$1+1,0),"")</f>
        <v/>
      </c>
      <c r="AT450" s="133" t="str">
        <f>IF($A450&lt;&gt;0,VLOOKUP($A450,'0.Productos'!$A$3:$GG$587,'0.Productos'!CL$1+1,0),"")</f>
        <v/>
      </c>
      <c r="AU450" s="133" t="str">
        <f>IF($A450&lt;&gt;0,VLOOKUP($A450,'0.Productos'!$A$3:$GG$587,'0.Productos'!CM$1+1,0),"")</f>
        <v/>
      </c>
      <c r="AV450" s="133" t="str">
        <f>IF($A450&lt;&gt;0,VLOOKUP($A450,'0.Productos'!$A$3:$GG$587,'0.Productos'!CN$1+1,0),"")</f>
        <v/>
      </c>
      <c r="AW450" s="133" t="str">
        <f>IF($A450&lt;&gt;0,VLOOKUP($A450,'0.Productos'!$A$3:$GG$587,'0.Productos'!CO$1+1,0),"")</f>
        <v/>
      </c>
      <c r="AX450" s="133" t="str">
        <f>IF($A450&lt;&gt;0,VLOOKUP($A450,'0.Productos'!$A$3:$GG$587,'0.Productos'!CP$1+1,0),"")</f>
        <v/>
      </c>
      <c r="AY450" s="133" t="str">
        <f>IF($A450&lt;&gt;0,VLOOKUP($A450,'0.Productos'!$A$3:$GG$587,'0.Productos'!CQ$1+1,0),"")</f>
        <v/>
      </c>
      <c r="AZ450" s="133" t="str">
        <f>IF($A450&lt;&gt;0,VLOOKUP($A450,'0.Productos'!$A$3:$GG$587,'0.Productos'!CR$1+1,0),"")</f>
        <v/>
      </c>
      <c r="BA450" s="133" t="str">
        <f>IF($A450&lt;&gt;0,VLOOKUP($A450,'0.Productos'!$A$3:$GG$587,'0.Productos'!CS$1+1,0),"")</f>
        <v/>
      </c>
      <c r="BB450" s="133" t="str">
        <f>IF($A450&lt;&gt;0,VLOOKUP($A450,'0.Productos'!$A$3:$GG$587,'0.Productos'!CT$1+1,0),"")</f>
        <v/>
      </c>
      <c r="BC450" s="133" t="str">
        <f>IF($A450&lt;&gt;0,VLOOKUP($A450,'0.Productos'!$A$3:$GG$587,'0.Productos'!CU$1+1,0),"")</f>
        <v/>
      </c>
      <c r="BD450" s="133" t="str">
        <f>IF($A450&lt;&gt;0,VLOOKUP($A450,'0.Productos'!$A$3:$GG$587,'0.Productos'!CV$1+1,0),"")</f>
        <v/>
      </c>
      <c r="BE450" s="133" t="str">
        <f>IF($A450&lt;&gt;0,VLOOKUP($A450,'0.Productos'!$A$3:$GG$587,'0.Productos'!CW$1+1,0),"")</f>
        <v/>
      </c>
      <c r="BF450" s="133" t="str">
        <f>IF($A450&lt;&gt;0,VLOOKUP($A450,'0.Productos'!$A$3:$GG$587,'0.Productos'!CX$1+1,0),"")</f>
        <v/>
      </c>
      <c r="BG450" s="133" t="str">
        <f>IF($A450&lt;&gt;0,VLOOKUP($A450,'0.Productos'!$A$3:$GG$587,'0.Productos'!CY$1+1,0),"")</f>
        <v/>
      </c>
      <c r="BH450" s="133" t="str">
        <f>IF($A450&lt;&gt;0,VLOOKUP($A450,'0.Productos'!$A$3:$GG$587,'0.Productos'!CZ$1+1,0),"")</f>
        <v/>
      </c>
      <c r="BI450" s="133" t="str">
        <f>IF($A450&lt;&gt;0,VLOOKUP($A450,'0.Productos'!$A$3:$GG$587,'0.Productos'!DA$1+1,0),"")</f>
        <v/>
      </c>
      <c r="BJ450" s="133" t="str">
        <f>IF($A450&lt;&gt;0,VLOOKUP($A450,'0.Productos'!$A$3:$GG$587,'0.Productos'!DB$1+1,0),"")</f>
        <v/>
      </c>
      <c r="BK450" s="133" t="str">
        <f>IF($A450&lt;&gt;0,VLOOKUP($A450,'0.Productos'!$A$3:$GG$587,'0.Productos'!DC$1+1,0),"")</f>
        <v/>
      </c>
      <c r="BL450" s="133" t="str">
        <f>IF($A450&lt;&gt;0,VLOOKUP($A450,'0.Productos'!$A$3:$GG$587,'0.Productos'!DD$1+1,0),"")</f>
        <v/>
      </c>
      <c r="BM450" s="133" t="str">
        <f>IF($A450&lt;&gt;0,VLOOKUP($A450,'0.Productos'!$A$3:$GG$587,'0.Productos'!DE$1+1,0),"")</f>
        <v/>
      </c>
      <c r="BN450" s="133" t="str">
        <f>IF($A450&lt;&gt;0,VLOOKUP($A450,'0.Productos'!$A$3:$GG$587,'0.Productos'!DF$1+1,0),"")</f>
        <v/>
      </c>
      <c r="BO450" s="133" t="str">
        <f>IF($A450&lt;&gt;0,VLOOKUP($A450,'0.Productos'!$A$3:$GG$587,'0.Productos'!DG$1+1,0),"")</f>
        <v/>
      </c>
      <c r="BP450" s="133" t="str">
        <f>IF($A450&lt;&gt;0,VLOOKUP($A450,'0.Productos'!$A$3:$GG$587,'0.Productos'!DH$1+1,0),"")</f>
        <v/>
      </c>
      <c r="BQ450" s="133" t="str">
        <f>IF($A450&lt;&gt;0,VLOOKUP($A450,'0.Productos'!$A$3:$GG$587,'0.Productos'!DI$1+1,0),"")</f>
        <v/>
      </c>
      <c r="BR450" s="133" t="str">
        <f>IF($A450&lt;&gt;0,VLOOKUP($A450,'0.Productos'!$A$3:$GG$587,'0.Productos'!DJ$1+1,0),"")</f>
        <v/>
      </c>
      <c r="BS450" s="133" t="str">
        <f>IF($A450&lt;&gt;0,VLOOKUP($A450,'0.Productos'!$A$3:$GG$587,'0.Productos'!DK$1+1,0),"")</f>
        <v/>
      </c>
      <c r="BT450" s="133" t="str">
        <f>IF($A450&lt;&gt;0,VLOOKUP($A450,'0.Productos'!$A$3:$GG$587,'0.Productos'!DL$1+1,0),"")</f>
        <v/>
      </c>
    </row>
    <row r="451" spans="1:72" x14ac:dyDescent="0.25">
      <c r="A451" s="17">
        <f>'0.Consolidado general'!A451</f>
        <v>0</v>
      </c>
      <c r="B451" s="133" t="str">
        <f>IF($A451&lt;&gt;0,VLOOKUP($A451,'0.Productos'!$A$3:$GG$587,'0.Productos'!AT$1+1,0),"")</f>
        <v/>
      </c>
      <c r="C451" s="133" t="str">
        <f>IF($A451&lt;&gt;0,VLOOKUP($A451,'0.Productos'!$A$3:$GG$587,'0.Productos'!AU$1+1,0),"")</f>
        <v/>
      </c>
      <c r="D451" s="133" t="str">
        <f>IF($A451&lt;&gt;0,VLOOKUP($A451,'0.Productos'!$A$3:$GG$587,'0.Productos'!AV$1+1,0),"")</f>
        <v/>
      </c>
      <c r="E451" s="133" t="str">
        <f>IF($A451&lt;&gt;0,VLOOKUP($A451,'0.Productos'!$A$3:$GG$587,'0.Productos'!AW$1+1,0),"")</f>
        <v/>
      </c>
      <c r="F451" s="133" t="str">
        <f>IF($A451&lt;&gt;0,VLOOKUP($A451,'0.Productos'!$A$3:$GG$587,'0.Productos'!AX$1+1,0),"")</f>
        <v/>
      </c>
      <c r="G451" s="133" t="str">
        <f>IF($A451&lt;&gt;0,VLOOKUP($A451,'0.Productos'!$A$3:$GG$587,'0.Productos'!AY$1+1,0),"")</f>
        <v/>
      </c>
      <c r="H451" s="133" t="str">
        <f>IF($A451&lt;&gt;0,VLOOKUP($A451,'0.Productos'!$A$3:$GG$587,'0.Productos'!AZ$1+1,0),"")</f>
        <v/>
      </c>
      <c r="I451" s="133" t="str">
        <f>IF($A451&lt;&gt;0,VLOOKUP($A451,'0.Productos'!$A$3:$GG$587,'0.Productos'!BA$1+1,0),"")</f>
        <v/>
      </c>
      <c r="J451" s="133" t="str">
        <f>IF($A451&lt;&gt;0,VLOOKUP($A451,'0.Productos'!$A$3:$GG$587,'0.Productos'!BB$1+1,0),"")</f>
        <v/>
      </c>
      <c r="K451" s="133" t="str">
        <f>IF($A451&lt;&gt;0,VLOOKUP($A451,'0.Productos'!$A$3:$GG$587,'0.Productos'!BC$1+1,0),"")</f>
        <v/>
      </c>
      <c r="L451" s="133" t="str">
        <f>IF($A451&lt;&gt;0,VLOOKUP($A451,'0.Productos'!$A$3:$GG$587,'0.Productos'!BD$1+1,0),"")</f>
        <v/>
      </c>
      <c r="M451" s="133" t="str">
        <f>IF($A451&lt;&gt;0,VLOOKUP($A451,'0.Productos'!$A$3:$GG$587,'0.Productos'!BE$1+1,0),"")</f>
        <v/>
      </c>
      <c r="N451" s="133" t="str">
        <f>IF($A451&lt;&gt;0,VLOOKUP($A451,'0.Productos'!$A$3:$GG$587,'0.Productos'!BF$1+1,0),"")</f>
        <v/>
      </c>
      <c r="O451" s="133" t="str">
        <f>IF($A451&lt;&gt;0,VLOOKUP($A451,'0.Productos'!$A$3:$GG$587,'0.Productos'!BG$1+1,0),"")</f>
        <v/>
      </c>
      <c r="P451" s="133" t="str">
        <f>IF($A451&lt;&gt;0,VLOOKUP($A451,'0.Productos'!$A$3:$GG$587,'0.Productos'!BH$1+1,0),"")</f>
        <v/>
      </c>
      <c r="Q451" s="133" t="str">
        <f>IF($A451&lt;&gt;0,VLOOKUP($A451,'0.Productos'!$A$3:$GG$587,'0.Productos'!BI$1+1,0),"")</f>
        <v/>
      </c>
      <c r="R451" s="133" t="str">
        <f>IF($A451&lt;&gt;0,VLOOKUP($A451,'0.Productos'!$A$3:$GG$587,'0.Productos'!BJ$1+1,0),"")</f>
        <v/>
      </c>
      <c r="S451" s="133" t="str">
        <f>IF($A451&lt;&gt;0,VLOOKUP($A451,'0.Productos'!$A$3:$GG$587,'0.Productos'!BK$1+1,0),"")</f>
        <v/>
      </c>
      <c r="T451" s="133" t="str">
        <f>IF($A451&lt;&gt;0,VLOOKUP($A451,'0.Productos'!$A$3:$GG$587,'0.Productos'!BL$1+1,0),"")</f>
        <v/>
      </c>
      <c r="U451" s="133" t="str">
        <f>IF($A451&lt;&gt;0,VLOOKUP($A451,'0.Productos'!$A$3:$GG$587,'0.Productos'!BM$1+1,0),"")</f>
        <v/>
      </c>
      <c r="V451" s="133" t="str">
        <f>IF($A451&lt;&gt;0,VLOOKUP($A451,'0.Productos'!$A$3:$GG$587,'0.Productos'!BN$1+1,0),"")</f>
        <v/>
      </c>
      <c r="W451" s="133" t="str">
        <f>IF($A451&lt;&gt;0,VLOOKUP($A451,'0.Productos'!$A$3:$GG$587,'0.Productos'!BO$1+1,0),"")</f>
        <v/>
      </c>
      <c r="X451" s="133" t="str">
        <f>IF($A451&lt;&gt;0,VLOOKUP($A451,'0.Productos'!$A$3:$GG$587,'0.Productos'!BP$1+1,0),"")</f>
        <v/>
      </c>
      <c r="Y451" s="133" t="str">
        <f>IF($A451&lt;&gt;0,VLOOKUP($A451,'0.Productos'!$A$3:$GG$587,'0.Productos'!BQ$1+1,0),"")</f>
        <v/>
      </c>
      <c r="Z451" s="133" t="str">
        <f>IF($A451&lt;&gt;0,VLOOKUP($A451,'0.Productos'!$A$3:$GG$587,'0.Productos'!BR$1+1,0),"")</f>
        <v/>
      </c>
      <c r="AA451" s="133" t="str">
        <f>IF($A451&lt;&gt;0,VLOOKUP($A451,'0.Productos'!$A$3:$GG$587,'0.Productos'!BS$1+1,0),"")</f>
        <v/>
      </c>
      <c r="AB451" s="133" t="str">
        <f>IF($A451&lt;&gt;0,VLOOKUP($A451,'0.Productos'!$A$3:$GG$587,'0.Productos'!BT$1+1,0),"")</f>
        <v/>
      </c>
      <c r="AC451" s="133" t="str">
        <f>IF($A451&lt;&gt;0,VLOOKUP($A451,'0.Productos'!$A$3:$GG$587,'0.Productos'!BU$1+1,0),"")</f>
        <v/>
      </c>
      <c r="AD451" s="133" t="str">
        <f>IF($A451&lt;&gt;0,VLOOKUP($A451,'0.Productos'!$A$3:$GG$587,'0.Productos'!BV$1+1,0),"")</f>
        <v/>
      </c>
      <c r="AE451" s="133" t="str">
        <f>IF($A451&lt;&gt;0,VLOOKUP($A451,'0.Productos'!$A$3:$GG$587,'0.Productos'!BW$1+1,0),"")</f>
        <v/>
      </c>
      <c r="AF451" s="133" t="str">
        <f>IF($A451&lt;&gt;0,VLOOKUP($A451,'0.Productos'!$A$3:$GG$587,'0.Productos'!BX$1+1,0),"")</f>
        <v/>
      </c>
      <c r="AG451" s="133" t="str">
        <f>IF($A451&lt;&gt;0,VLOOKUP($A451,'0.Productos'!$A$3:$GG$587,'0.Productos'!BY$1+1,0),"")</f>
        <v/>
      </c>
      <c r="AH451" s="133" t="str">
        <f>IF($A451&lt;&gt;0,VLOOKUP($A451,'0.Productos'!$A$3:$GG$587,'0.Productos'!BZ$1+1,0),"")</f>
        <v/>
      </c>
      <c r="AI451" s="133" t="str">
        <f>IF($A451&lt;&gt;0,VLOOKUP($A451,'0.Productos'!$A$3:$GG$587,'0.Productos'!CA$1+1,0),"")</f>
        <v/>
      </c>
      <c r="AJ451" s="133" t="str">
        <f>IF($A451&lt;&gt;0,VLOOKUP($A451,'0.Productos'!$A$3:$GG$587,'0.Productos'!CB$1+1,0),"")</f>
        <v/>
      </c>
      <c r="AK451" s="133" t="str">
        <f>IF($A451&lt;&gt;0,VLOOKUP($A451,'0.Productos'!$A$3:$GG$587,'0.Productos'!CC$1+1,0),"")</f>
        <v/>
      </c>
      <c r="AL451" s="133" t="str">
        <f>IF($A451&lt;&gt;0,VLOOKUP($A451,'0.Productos'!$A$3:$GG$587,'0.Productos'!CD$1+1,0),"")</f>
        <v/>
      </c>
      <c r="AM451" s="133" t="str">
        <f>IF($A451&lt;&gt;0,VLOOKUP($A451,'0.Productos'!$A$3:$GG$587,'0.Productos'!CE$1+1,0),"")</f>
        <v/>
      </c>
      <c r="AN451" s="133" t="str">
        <f>IF($A451&lt;&gt;0,VLOOKUP($A451,'0.Productos'!$A$3:$GG$587,'0.Productos'!CF$1+1,0),"")</f>
        <v/>
      </c>
      <c r="AO451" s="133" t="str">
        <f>IF($A451&lt;&gt;0,VLOOKUP($A451,'0.Productos'!$A$3:$GG$587,'0.Productos'!CG$1+1,0),"")</f>
        <v/>
      </c>
      <c r="AP451" s="133" t="str">
        <f>IF($A451&lt;&gt;0,VLOOKUP($A451,'0.Productos'!$A$3:$GG$587,'0.Productos'!CH$1+1,0),"")</f>
        <v/>
      </c>
      <c r="AQ451" s="133" t="str">
        <f>IF($A451&lt;&gt;0,VLOOKUP($A451,'0.Productos'!$A$3:$GG$587,'0.Productos'!CI$1+1,0),"")</f>
        <v/>
      </c>
      <c r="AR451" s="133" t="str">
        <f>IF($A451&lt;&gt;0,VLOOKUP($A451,'0.Productos'!$A$3:$GG$587,'0.Productos'!CJ$1+1,0),"")</f>
        <v/>
      </c>
      <c r="AS451" s="133" t="str">
        <f>IF($A451&lt;&gt;0,VLOOKUP($A451,'0.Productos'!$A$3:$GG$587,'0.Productos'!CK$1+1,0),"")</f>
        <v/>
      </c>
      <c r="AT451" s="133" t="str">
        <f>IF($A451&lt;&gt;0,VLOOKUP($A451,'0.Productos'!$A$3:$GG$587,'0.Productos'!CL$1+1,0),"")</f>
        <v/>
      </c>
      <c r="AU451" s="133" t="str">
        <f>IF($A451&lt;&gt;0,VLOOKUP($A451,'0.Productos'!$A$3:$GG$587,'0.Productos'!CM$1+1,0),"")</f>
        <v/>
      </c>
      <c r="AV451" s="133" t="str">
        <f>IF($A451&lt;&gt;0,VLOOKUP($A451,'0.Productos'!$A$3:$GG$587,'0.Productos'!CN$1+1,0),"")</f>
        <v/>
      </c>
      <c r="AW451" s="133" t="str">
        <f>IF($A451&lt;&gt;0,VLOOKUP($A451,'0.Productos'!$A$3:$GG$587,'0.Productos'!CO$1+1,0),"")</f>
        <v/>
      </c>
      <c r="AX451" s="133" t="str">
        <f>IF($A451&lt;&gt;0,VLOOKUP($A451,'0.Productos'!$A$3:$GG$587,'0.Productos'!CP$1+1,0),"")</f>
        <v/>
      </c>
      <c r="AY451" s="133" t="str">
        <f>IF($A451&lt;&gt;0,VLOOKUP($A451,'0.Productos'!$A$3:$GG$587,'0.Productos'!CQ$1+1,0),"")</f>
        <v/>
      </c>
      <c r="AZ451" s="133" t="str">
        <f>IF($A451&lt;&gt;0,VLOOKUP($A451,'0.Productos'!$A$3:$GG$587,'0.Productos'!CR$1+1,0),"")</f>
        <v/>
      </c>
      <c r="BA451" s="133" t="str">
        <f>IF($A451&lt;&gt;0,VLOOKUP($A451,'0.Productos'!$A$3:$GG$587,'0.Productos'!CS$1+1,0),"")</f>
        <v/>
      </c>
      <c r="BB451" s="133" t="str">
        <f>IF($A451&lt;&gt;0,VLOOKUP($A451,'0.Productos'!$A$3:$GG$587,'0.Productos'!CT$1+1,0),"")</f>
        <v/>
      </c>
      <c r="BC451" s="133" t="str">
        <f>IF($A451&lt;&gt;0,VLOOKUP($A451,'0.Productos'!$A$3:$GG$587,'0.Productos'!CU$1+1,0),"")</f>
        <v/>
      </c>
      <c r="BD451" s="133" t="str">
        <f>IF($A451&lt;&gt;0,VLOOKUP($A451,'0.Productos'!$A$3:$GG$587,'0.Productos'!CV$1+1,0),"")</f>
        <v/>
      </c>
      <c r="BE451" s="133" t="str">
        <f>IF($A451&lt;&gt;0,VLOOKUP($A451,'0.Productos'!$A$3:$GG$587,'0.Productos'!CW$1+1,0),"")</f>
        <v/>
      </c>
      <c r="BF451" s="133" t="str">
        <f>IF($A451&lt;&gt;0,VLOOKUP($A451,'0.Productos'!$A$3:$GG$587,'0.Productos'!CX$1+1,0),"")</f>
        <v/>
      </c>
      <c r="BG451" s="133" t="str">
        <f>IF($A451&lt;&gt;0,VLOOKUP($A451,'0.Productos'!$A$3:$GG$587,'0.Productos'!CY$1+1,0),"")</f>
        <v/>
      </c>
      <c r="BH451" s="133" t="str">
        <f>IF($A451&lt;&gt;0,VLOOKUP($A451,'0.Productos'!$A$3:$GG$587,'0.Productos'!CZ$1+1,0),"")</f>
        <v/>
      </c>
      <c r="BI451" s="133" t="str">
        <f>IF($A451&lt;&gt;0,VLOOKUP($A451,'0.Productos'!$A$3:$GG$587,'0.Productos'!DA$1+1,0),"")</f>
        <v/>
      </c>
      <c r="BJ451" s="133" t="str">
        <f>IF($A451&lt;&gt;0,VLOOKUP($A451,'0.Productos'!$A$3:$GG$587,'0.Productos'!DB$1+1,0),"")</f>
        <v/>
      </c>
      <c r="BK451" s="133" t="str">
        <f>IF($A451&lt;&gt;0,VLOOKUP($A451,'0.Productos'!$A$3:$GG$587,'0.Productos'!DC$1+1,0),"")</f>
        <v/>
      </c>
      <c r="BL451" s="133" t="str">
        <f>IF($A451&lt;&gt;0,VLOOKUP($A451,'0.Productos'!$A$3:$GG$587,'0.Productos'!DD$1+1,0),"")</f>
        <v/>
      </c>
      <c r="BM451" s="133" t="str">
        <f>IF($A451&lt;&gt;0,VLOOKUP($A451,'0.Productos'!$A$3:$GG$587,'0.Productos'!DE$1+1,0),"")</f>
        <v/>
      </c>
      <c r="BN451" s="133" t="str">
        <f>IF($A451&lt;&gt;0,VLOOKUP($A451,'0.Productos'!$A$3:$GG$587,'0.Productos'!DF$1+1,0),"")</f>
        <v/>
      </c>
      <c r="BO451" s="133" t="str">
        <f>IF($A451&lt;&gt;0,VLOOKUP($A451,'0.Productos'!$A$3:$GG$587,'0.Productos'!DG$1+1,0),"")</f>
        <v/>
      </c>
      <c r="BP451" s="133" t="str">
        <f>IF($A451&lt;&gt;0,VLOOKUP($A451,'0.Productos'!$A$3:$GG$587,'0.Productos'!DH$1+1,0),"")</f>
        <v/>
      </c>
      <c r="BQ451" s="133" t="str">
        <f>IF($A451&lt;&gt;0,VLOOKUP($A451,'0.Productos'!$A$3:$GG$587,'0.Productos'!DI$1+1,0),"")</f>
        <v/>
      </c>
      <c r="BR451" s="133" t="str">
        <f>IF($A451&lt;&gt;0,VLOOKUP($A451,'0.Productos'!$A$3:$GG$587,'0.Productos'!DJ$1+1,0),"")</f>
        <v/>
      </c>
      <c r="BS451" s="133" t="str">
        <f>IF($A451&lt;&gt;0,VLOOKUP($A451,'0.Productos'!$A$3:$GG$587,'0.Productos'!DK$1+1,0),"")</f>
        <v/>
      </c>
      <c r="BT451" s="133" t="str">
        <f>IF($A451&lt;&gt;0,VLOOKUP($A451,'0.Productos'!$A$3:$GG$587,'0.Productos'!DL$1+1,0),"")</f>
        <v/>
      </c>
    </row>
    <row r="452" spans="1:72" x14ac:dyDescent="0.25">
      <c r="A452" s="17">
        <f>'0.Consolidado general'!A452</f>
        <v>0</v>
      </c>
      <c r="B452" s="133" t="str">
        <f>IF($A452&lt;&gt;0,VLOOKUP($A452,'0.Productos'!$A$3:$GG$587,'0.Productos'!AT$1+1,0),"")</f>
        <v/>
      </c>
      <c r="C452" s="133" t="str">
        <f>IF($A452&lt;&gt;0,VLOOKUP($A452,'0.Productos'!$A$3:$GG$587,'0.Productos'!AU$1+1,0),"")</f>
        <v/>
      </c>
      <c r="D452" s="133" t="str">
        <f>IF($A452&lt;&gt;0,VLOOKUP($A452,'0.Productos'!$A$3:$GG$587,'0.Productos'!AV$1+1,0),"")</f>
        <v/>
      </c>
      <c r="E452" s="133" t="str">
        <f>IF($A452&lt;&gt;0,VLOOKUP($A452,'0.Productos'!$A$3:$GG$587,'0.Productos'!AW$1+1,0),"")</f>
        <v/>
      </c>
      <c r="F452" s="133" t="str">
        <f>IF($A452&lt;&gt;0,VLOOKUP($A452,'0.Productos'!$A$3:$GG$587,'0.Productos'!AX$1+1,0),"")</f>
        <v/>
      </c>
      <c r="G452" s="133" t="str">
        <f>IF($A452&lt;&gt;0,VLOOKUP($A452,'0.Productos'!$A$3:$GG$587,'0.Productos'!AY$1+1,0),"")</f>
        <v/>
      </c>
      <c r="H452" s="133" t="str">
        <f>IF($A452&lt;&gt;0,VLOOKUP($A452,'0.Productos'!$A$3:$GG$587,'0.Productos'!AZ$1+1,0),"")</f>
        <v/>
      </c>
      <c r="I452" s="133" t="str">
        <f>IF($A452&lt;&gt;0,VLOOKUP($A452,'0.Productos'!$A$3:$GG$587,'0.Productos'!BA$1+1,0),"")</f>
        <v/>
      </c>
      <c r="J452" s="133" t="str">
        <f>IF($A452&lt;&gt;0,VLOOKUP($A452,'0.Productos'!$A$3:$GG$587,'0.Productos'!BB$1+1,0),"")</f>
        <v/>
      </c>
      <c r="K452" s="133" t="str">
        <f>IF($A452&lt;&gt;0,VLOOKUP($A452,'0.Productos'!$A$3:$GG$587,'0.Productos'!BC$1+1,0),"")</f>
        <v/>
      </c>
      <c r="L452" s="133" t="str">
        <f>IF($A452&lt;&gt;0,VLOOKUP($A452,'0.Productos'!$A$3:$GG$587,'0.Productos'!BD$1+1,0),"")</f>
        <v/>
      </c>
      <c r="M452" s="133" t="str">
        <f>IF($A452&lt;&gt;0,VLOOKUP($A452,'0.Productos'!$A$3:$GG$587,'0.Productos'!BE$1+1,0),"")</f>
        <v/>
      </c>
      <c r="N452" s="133" t="str">
        <f>IF($A452&lt;&gt;0,VLOOKUP($A452,'0.Productos'!$A$3:$GG$587,'0.Productos'!BF$1+1,0),"")</f>
        <v/>
      </c>
      <c r="O452" s="133" t="str">
        <f>IF($A452&lt;&gt;0,VLOOKUP($A452,'0.Productos'!$A$3:$GG$587,'0.Productos'!BG$1+1,0),"")</f>
        <v/>
      </c>
      <c r="P452" s="133" t="str">
        <f>IF($A452&lt;&gt;0,VLOOKUP($A452,'0.Productos'!$A$3:$GG$587,'0.Productos'!BH$1+1,0),"")</f>
        <v/>
      </c>
      <c r="Q452" s="133" t="str">
        <f>IF($A452&lt;&gt;0,VLOOKUP($A452,'0.Productos'!$A$3:$GG$587,'0.Productos'!BI$1+1,0),"")</f>
        <v/>
      </c>
      <c r="R452" s="133" t="str">
        <f>IF($A452&lt;&gt;0,VLOOKUP($A452,'0.Productos'!$A$3:$GG$587,'0.Productos'!BJ$1+1,0),"")</f>
        <v/>
      </c>
      <c r="S452" s="133" t="str">
        <f>IF($A452&lt;&gt;0,VLOOKUP($A452,'0.Productos'!$A$3:$GG$587,'0.Productos'!BK$1+1,0),"")</f>
        <v/>
      </c>
      <c r="T452" s="133" t="str">
        <f>IF($A452&lt;&gt;0,VLOOKUP($A452,'0.Productos'!$A$3:$GG$587,'0.Productos'!BL$1+1,0),"")</f>
        <v/>
      </c>
      <c r="U452" s="133" t="str">
        <f>IF($A452&lt;&gt;0,VLOOKUP($A452,'0.Productos'!$A$3:$GG$587,'0.Productos'!BM$1+1,0),"")</f>
        <v/>
      </c>
      <c r="V452" s="133" t="str">
        <f>IF($A452&lt;&gt;0,VLOOKUP($A452,'0.Productos'!$A$3:$GG$587,'0.Productos'!BN$1+1,0),"")</f>
        <v/>
      </c>
      <c r="W452" s="133" t="str">
        <f>IF($A452&lt;&gt;0,VLOOKUP($A452,'0.Productos'!$A$3:$GG$587,'0.Productos'!BO$1+1,0),"")</f>
        <v/>
      </c>
      <c r="X452" s="133" t="str">
        <f>IF($A452&lt;&gt;0,VLOOKUP($A452,'0.Productos'!$A$3:$GG$587,'0.Productos'!BP$1+1,0),"")</f>
        <v/>
      </c>
      <c r="Y452" s="133" t="str">
        <f>IF($A452&lt;&gt;0,VLOOKUP($A452,'0.Productos'!$A$3:$GG$587,'0.Productos'!BQ$1+1,0),"")</f>
        <v/>
      </c>
      <c r="Z452" s="133" t="str">
        <f>IF($A452&lt;&gt;0,VLOOKUP($A452,'0.Productos'!$A$3:$GG$587,'0.Productos'!BR$1+1,0),"")</f>
        <v/>
      </c>
      <c r="AA452" s="133" t="str">
        <f>IF($A452&lt;&gt;0,VLOOKUP($A452,'0.Productos'!$A$3:$GG$587,'0.Productos'!BS$1+1,0),"")</f>
        <v/>
      </c>
      <c r="AB452" s="133" t="str">
        <f>IF($A452&lt;&gt;0,VLOOKUP($A452,'0.Productos'!$A$3:$GG$587,'0.Productos'!BT$1+1,0),"")</f>
        <v/>
      </c>
      <c r="AC452" s="133" t="str">
        <f>IF($A452&lt;&gt;0,VLOOKUP($A452,'0.Productos'!$A$3:$GG$587,'0.Productos'!BU$1+1,0),"")</f>
        <v/>
      </c>
      <c r="AD452" s="133" t="str">
        <f>IF($A452&lt;&gt;0,VLOOKUP($A452,'0.Productos'!$A$3:$GG$587,'0.Productos'!BV$1+1,0),"")</f>
        <v/>
      </c>
      <c r="AE452" s="133" t="str">
        <f>IF($A452&lt;&gt;0,VLOOKUP($A452,'0.Productos'!$A$3:$GG$587,'0.Productos'!BW$1+1,0),"")</f>
        <v/>
      </c>
      <c r="AF452" s="133" t="str">
        <f>IF($A452&lt;&gt;0,VLOOKUP($A452,'0.Productos'!$A$3:$GG$587,'0.Productos'!BX$1+1,0),"")</f>
        <v/>
      </c>
      <c r="AG452" s="133" t="str">
        <f>IF($A452&lt;&gt;0,VLOOKUP($A452,'0.Productos'!$A$3:$GG$587,'0.Productos'!BY$1+1,0),"")</f>
        <v/>
      </c>
      <c r="AH452" s="133" t="str">
        <f>IF($A452&lt;&gt;0,VLOOKUP($A452,'0.Productos'!$A$3:$GG$587,'0.Productos'!BZ$1+1,0),"")</f>
        <v/>
      </c>
      <c r="AI452" s="133" t="str">
        <f>IF($A452&lt;&gt;0,VLOOKUP($A452,'0.Productos'!$A$3:$GG$587,'0.Productos'!CA$1+1,0),"")</f>
        <v/>
      </c>
      <c r="AJ452" s="133" t="str">
        <f>IF($A452&lt;&gt;0,VLOOKUP($A452,'0.Productos'!$A$3:$GG$587,'0.Productos'!CB$1+1,0),"")</f>
        <v/>
      </c>
      <c r="AK452" s="133" t="str">
        <f>IF($A452&lt;&gt;0,VLOOKUP($A452,'0.Productos'!$A$3:$GG$587,'0.Productos'!CC$1+1,0),"")</f>
        <v/>
      </c>
      <c r="AL452" s="133" t="str">
        <f>IF($A452&lt;&gt;0,VLOOKUP($A452,'0.Productos'!$A$3:$GG$587,'0.Productos'!CD$1+1,0),"")</f>
        <v/>
      </c>
      <c r="AM452" s="133" t="str">
        <f>IF($A452&lt;&gt;0,VLOOKUP($A452,'0.Productos'!$A$3:$GG$587,'0.Productos'!CE$1+1,0),"")</f>
        <v/>
      </c>
      <c r="AN452" s="133" t="str">
        <f>IF($A452&lt;&gt;0,VLOOKUP($A452,'0.Productos'!$A$3:$GG$587,'0.Productos'!CF$1+1,0),"")</f>
        <v/>
      </c>
      <c r="AO452" s="133" t="str">
        <f>IF($A452&lt;&gt;0,VLOOKUP($A452,'0.Productos'!$A$3:$GG$587,'0.Productos'!CG$1+1,0),"")</f>
        <v/>
      </c>
      <c r="AP452" s="133" t="str">
        <f>IF($A452&lt;&gt;0,VLOOKUP($A452,'0.Productos'!$A$3:$GG$587,'0.Productos'!CH$1+1,0),"")</f>
        <v/>
      </c>
      <c r="AQ452" s="133" t="str">
        <f>IF($A452&lt;&gt;0,VLOOKUP($A452,'0.Productos'!$A$3:$GG$587,'0.Productos'!CI$1+1,0),"")</f>
        <v/>
      </c>
      <c r="AR452" s="133" t="str">
        <f>IF($A452&lt;&gt;0,VLOOKUP($A452,'0.Productos'!$A$3:$GG$587,'0.Productos'!CJ$1+1,0),"")</f>
        <v/>
      </c>
      <c r="AS452" s="133" t="str">
        <f>IF($A452&lt;&gt;0,VLOOKUP($A452,'0.Productos'!$A$3:$GG$587,'0.Productos'!CK$1+1,0),"")</f>
        <v/>
      </c>
      <c r="AT452" s="133" t="str">
        <f>IF($A452&lt;&gt;0,VLOOKUP($A452,'0.Productos'!$A$3:$GG$587,'0.Productos'!CL$1+1,0),"")</f>
        <v/>
      </c>
      <c r="AU452" s="133" t="str">
        <f>IF($A452&lt;&gt;0,VLOOKUP($A452,'0.Productos'!$A$3:$GG$587,'0.Productos'!CM$1+1,0),"")</f>
        <v/>
      </c>
      <c r="AV452" s="133" t="str">
        <f>IF($A452&lt;&gt;0,VLOOKUP($A452,'0.Productos'!$A$3:$GG$587,'0.Productos'!CN$1+1,0),"")</f>
        <v/>
      </c>
      <c r="AW452" s="133" t="str">
        <f>IF($A452&lt;&gt;0,VLOOKUP($A452,'0.Productos'!$A$3:$GG$587,'0.Productos'!CO$1+1,0),"")</f>
        <v/>
      </c>
      <c r="AX452" s="133" t="str">
        <f>IF($A452&lt;&gt;0,VLOOKUP($A452,'0.Productos'!$A$3:$GG$587,'0.Productos'!CP$1+1,0),"")</f>
        <v/>
      </c>
      <c r="AY452" s="133" t="str">
        <f>IF($A452&lt;&gt;0,VLOOKUP($A452,'0.Productos'!$A$3:$GG$587,'0.Productos'!CQ$1+1,0),"")</f>
        <v/>
      </c>
      <c r="AZ452" s="133" t="str">
        <f>IF($A452&lt;&gt;0,VLOOKUP($A452,'0.Productos'!$A$3:$GG$587,'0.Productos'!CR$1+1,0),"")</f>
        <v/>
      </c>
      <c r="BA452" s="133" t="str">
        <f>IF($A452&lt;&gt;0,VLOOKUP($A452,'0.Productos'!$A$3:$GG$587,'0.Productos'!CS$1+1,0),"")</f>
        <v/>
      </c>
      <c r="BB452" s="133" t="str">
        <f>IF($A452&lt;&gt;0,VLOOKUP($A452,'0.Productos'!$A$3:$GG$587,'0.Productos'!CT$1+1,0),"")</f>
        <v/>
      </c>
      <c r="BC452" s="133" t="str">
        <f>IF($A452&lt;&gt;0,VLOOKUP($A452,'0.Productos'!$A$3:$GG$587,'0.Productos'!CU$1+1,0),"")</f>
        <v/>
      </c>
      <c r="BD452" s="133" t="str">
        <f>IF($A452&lt;&gt;0,VLOOKUP($A452,'0.Productos'!$A$3:$GG$587,'0.Productos'!CV$1+1,0),"")</f>
        <v/>
      </c>
      <c r="BE452" s="133" t="str">
        <f>IF($A452&lt;&gt;0,VLOOKUP($A452,'0.Productos'!$A$3:$GG$587,'0.Productos'!CW$1+1,0),"")</f>
        <v/>
      </c>
      <c r="BF452" s="133" t="str">
        <f>IF($A452&lt;&gt;0,VLOOKUP($A452,'0.Productos'!$A$3:$GG$587,'0.Productos'!CX$1+1,0),"")</f>
        <v/>
      </c>
      <c r="BG452" s="133" t="str">
        <f>IF($A452&lt;&gt;0,VLOOKUP($A452,'0.Productos'!$A$3:$GG$587,'0.Productos'!CY$1+1,0),"")</f>
        <v/>
      </c>
      <c r="BH452" s="133" t="str">
        <f>IF($A452&lt;&gt;0,VLOOKUP($A452,'0.Productos'!$A$3:$GG$587,'0.Productos'!CZ$1+1,0),"")</f>
        <v/>
      </c>
      <c r="BI452" s="133" t="str">
        <f>IF($A452&lt;&gt;0,VLOOKUP($A452,'0.Productos'!$A$3:$GG$587,'0.Productos'!DA$1+1,0),"")</f>
        <v/>
      </c>
      <c r="BJ452" s="133" t="str">
        <f>IF($A452&lt;&gt;0,VLOOKUP($A452,'0.Productos'!$A$3:$GG$587,'0.Productos'!DB$1+1,0),"")</f>
        <v/>
      </c>
      <c r="BK452" s="133" t="str">
        <f>IF($A452&lt;&gt;0,VLOOKUP($A452,'0.Productos'!$A$3:$GG$587,'0.Productos'!DC$1+1,0),"")</f>
        <v/>
      </c>
      <c r="BL452" s="133" t="str">
        <f>IF($A452&lt;&gt;0,VLOOKUP($A452,'0.Productos'!$A$3:$GG$587,'0.Productos'!DD$1+1,0),"")</f>
        <v/>
      </c>
      <c r="BM452" s="133" t="str">
        <f>IF($A452&lt;&gt;0,VLOOKUP($A452,'0.Productos'!$A$3:$GG$587,'0.Productos'!DE$1+1,0),"")</f>
        <v/>
      </c>
      <c r="BN452" s="133" t="str">
        <f>IF($A452&lt;&gt;0,VLOOKUP($A452,'0.Productos'!$A$3:$GG$587,'0.Productos'!DF$1+1,0),"")</f>
        <v/>
      </c>
      <c r="BO452" s="133" t="str">
        <f>IF($A452&lt;&gt;0,VLOOKUP($A452,'0.Productos'!$A$3:$GG$587,'0.Productos'!DG$1+1,0),"")</f>
        <v/>
      </c>
      <c r="BP452" s="133" t="str">
        <f>IF($A452&lt;&gt;0,VLOOKUP($A452,'0.Productos'!$A$3:$GG$587,'0.Productos'!DH$1+1,0),"")</f>
        <v/>
      </c>
      <c r="BQ452" s="133" t="str">
        <f>IF($A452&lt;&gt;0,VLOOKUP($A452,'0.Productos'!$A$3:$GG$587,'0.Productos'!DI$1+1,0),"")</f>
        <v/>
      </c>
      <c r="BR452" s="133" t="str">
        <f>IF($A452&lt;&gt;0,VLOOKUP($A452,'0.Productos'!$A$3:$GG$587,'0.Productos'!DJ$1+1,0),"")</f>
        <v/>
      </c>
      <c r="BS452" s="133" t="str">
        <f>IF($A452&lt;&gt;0,VLOOKUP($A452,'0.Productos'!$A$3:$GG$587,'0.Productos'!DK$1+1,0),"")</f>
        <v/>
      </c>
      <c r="BT452" s="133" t="str">
        <f>IF($A452&lt;&gt;0,VLOOKUP($A452,'0.Productos'!$A$3:$GG$587,'0.Productos'!DL$1+1,0),"")</f>
        <v/>
      </c>
    </row>
    <row r="453" spans="1:72" x14ac:dyDescent="0.25">
      <c r="A453" s="17">
        <f>'0.Consolidado general'!A453</f>
        <v>0</v>
      </c>
      <c r="B453" s="133" t="str">
        <f>IF($A453&lt;&gt;0,VLOOKUP($A453,'0.Productos'!$A$3:$GG$587,'0.Productos'!AT$1+1,0),"")</f>
        <v/>
      </c>
      <c r="C453" s="133" t="str">
        <f>IF($A453&lt;&gt;0,VLOOKUP($A453,'0.Productos'!$A$3:$GG$587,'0.Productos'!AU$1+1,0),"")</f>
        <v/>
      </c>
      <c r="D453" s="133" t="str">
        <f>IF($A453&lt;&gt;0,VLOOKUP($A453,'0.Productos'!$A$3:$GG$587,'0.Productos'!AV$1+1,0),"")</f>
        <v/>
      </c>
      <c r="E453" s="133" t="str">
        <f>IF($A453&lt;&gt;0,VLOOKUP($A453,'0.Productos'!$A$3:$GG$587,'0.Productos'!AW$1+1,0),"")</f>
        <v/>
      </c>
      <c r="F453" s="133" t="str">
        <f>IF($A453&lt;&gt;0,VLOOKUP($A453,'0.Productos'!$A$3:$GG$587,'0.Productos'!AX$1+1,0),"")</f>
        <v/>
      </c>
      <c r="G453" s="133" t="str">
        <f>IF($A453&lt;&gt;0,VLOOKUP($A453,'0.Productos'!$A$3:$GG$587,'0.Productos'!AY$1+1,0),"")</f>
        <v/>
      </c>
      <c r="H453" s="133" t="str">
        <f>IF($A453&lt;&gt;0,VLOOKUP($A453,'0.Productos'!$A$3:$GG$587,'0.Productos'!AZ$1+1,0),"")</f>
        <v/>
      </c>
      <c r="I453" s="133" t="str">
        <f>IF($A453&lt;&gt;0,VLOOKUP($A453,'0.Productos'!$A$3:$GG$587,'0.Productos'!BA$1+1,0),"")</f>
        <v/>
      </c>
      <c r="J453" s="133" t="str">
        <f>IF($A453&lt;&gt;0,VLOOKUP($A453,'0.Productos'!$A$3:$GG$587,'0.Productos'!BB$1+1,0),"")</f>
        <v/>
      </c>
      <c r="K453" s="133" t="str">
        <f>IF($A453&lt;&gt;0,VLOOKUP($A453,'0.Productos'!$A$3:$GG$587,'0.Productos'!BC$1+1,0),"")</f>
        <v/>
      </c>
      <c r="L453" s="133" t="str">
        <f>IF($A453&lt;&gt;0,VLOOKUP($A453,'0.Productos'!$A$3:$GG$587,'0.Productos'!BD$1+1,0),"")</f>
        <v/>
      </c>
      <c r="M453" s="133" t="str">
        <f>IF($A453&lt;&gt;0,VLOOKUP($A453,'0.Productos'!$A$3:$GG$587,'0.Productos'!BE$1+1,0),"")</f>
        <v/>
      </c>
      <c r="N453" s="133" t="str">
        <f>IF($A453&lt;&gt;0,VLOOKUP($A453,'0.Productos'!$A$3:$GG$587,'0.Productos'!BF$1+1,0),"")</f>
        <v/>
      </c>
      <c r="O453" s="133" t="str">
        <f>IF($A453&lt;&gt;0,VLOOKUP($A453,'0.Productos'!$A$3:$GG$587,'0.Productos'!BG$1+1,0),"")</f>
        <v/>
      </c>
      <c r="P453" s="133" t="str">
        <f>IF($A453&lt;&gt;0,VLOOKUP($A453,'0.Productos'!$A$3:$GG$587,'0.Productos'!BH$1+1,0),"")</f>
        <v/>
      </c>
      <c r="Q453" s="133" t="str">
        <f>IF($A453&lt;&gt;0,VLOOKUP($A453,'0.Productos'!$A$3:$GG$587,'0.Productos'!BI$1+1,0),"")</f>
        <v/>
      </c>
      <c r="R453" s="133" t="str">
        <f>IF($A453&lt;&gt;0,VLOOKUP($A453,'0.Productos'!$A$3:$GG$587,'0.Productos'!BJ$1+1,0),"")</f>
        <v/>
      </c>
      <c r="S453" s="133" t="str">
        <f>IF($A453&lt;&gt;0,VLOOKUP($A453,'0.Productos'!$A$3:$GG$587,'0.Productos'!BK$1+1,0),"")</f>
        <v/>
      </c>
      <c r="T453" s="133" t="str">
        <f>IF($A453&lt;&gt;0,VLOOKUP($A453,'0.Productos'!$A$3:$GG$587,'0.Productos'!BL$1+1,0),"")</f>
        <v/>
      </c>
      <c r="U453" s="133" t="str">
        <f>IF($A453&lt;&gt;0,VLOOKUP($A453,'0.Productos'!$A$3:$GG$587,'0.Productos'!BM$1+1,0),"")</f>
        <v/>
      </c>
      <c r="V453" s="133" t="str">
        <f>IF($A453&lt;&gt;0,VLOOKUP($A453,'0.Productos'!$A$3:$GG$587,'0.Productos'!BN$1+1,0),"")</f>
        <v/>
      </c>
      <c r="W453" s="133" t="str">
        <f>IF($A453&lt;&gt;0,VLOOKUP($A453,'0.Productos'!$A$3:$GG$587,'0.Productos'!BO$1+1,0),"")</f>
        <v/>
      </c>
      <c r="X453" s="133" t="str">
        <f>IF($A453&lt;&gt;0,VLOOKUP($A453,'0.Productos'!$A$3:$GG$587,'0.Productos'!BP$1+1,0),"")</f>
        <v/>
      </c>
      <c r="Y453" s="133" t="str">
        <f>IF($A453&lt;&gt;0,VLOOKUP($A453,'0.Productos'!$A$3:$GG$587,'0.Productos'!BQ$1+1,0),"")</f>
        <v/>
      </c>
      <c r="Z453" s="133" t="str">
        <f>IF($A453&lt;&gt;0,VLOOKUP($A453,'0.Productos'!$A$3:$GG$587,'0.Productos'!BR$1+1,0),"")</f>
        <v/>
      </c>
      <c r="AA453" s="133" t="str">
        <f>IF($A453&lt;&gt;0,VLOOKUP($A453,'0.Productos'!$A$3:$GG$587,'0.Productos'!BS$1+1,0),"")</f>
        <v/>
      </c>
      <c r="AB453" s="133" t="str">
        <f>IF($A453&lt;&gt;0,VLOOKUP($A453,'0.Productos'!$A$3:$GG$587,'0.Productos'!BT$1+1,0),"")</f>
        <v/>
      </c>
      <c r="AC453" s="133" t="str">
        <f>IF($A453&lt;&gt;0,VLOOKUP($A453,'0.Productos'!$A$3:$GG$587,'0.Productos'!BU$1+1,0),"")</f>
        <v/>
      </c>
      <c r="AD453" s="133" t="str">
        <f>IF($A453&lt;&gt;0,VLOOKUP($A453,'0.Productos'!$A$3:$GG$587,'0.Productos'!BV$1+1,0),"")</f>
        <v/>
      </c>
      <c r="AE453" s="133" t="str">
        <f>IF($A453&lt;&gt;0,VLOOKUP($A453,'0.Productos'!$A$3:$GG$587,'0.Productos'!BW$1+1,0),"")</f>
        <v/>
      </c>
      <c r="AF453" s="133" t="str">
        <f>IF($A453&lt;&gt;0,VLOOKUP($A453,'0.Productos'!$A$3:$GG$587,'0.Productos'!BX$1+1,0),"")</f>
        <v/>
      </c>
      <c r="AG453" s="133" t="str">
        <f>IF($A453&lt;&gt;0,VLOOKUP($A453,'0.Productos'!$A$3:$GG$587,'0.Productos'!BY$1+1,0),"")</f>
        <v/>
      </c>
      <c r="AH453" s="133" t="str">
        <f>IF($A453&lt;&gt;0,VLOOKUP($A453,'0.Productos'!$A$3:$GG$587,'0.Productos'!BZ$1+1,0),"")</f>
        <v/>
      </c>
      <c r="AI453" s="133" t="str">
        <f>IF($A453&lt;&gt;0,VLOOKUP($A453,'0.Productos'!$A$3:$GG$587,'0.Productos'!CA$1+1,0),"")</f>
        <v/>
      </c>
      <c r="AJ453" s="133" t="str">
        <f>IF($A453&lt;&gt;0,VLOOKUP($A453,'0.Productos'!$A$3:$GG$587,'0.Productos'!CB$1+1,0),"")</f>
        <v/>
      </c>
      <c r="AK453" s="133" t="str">
        <f>IF($A453&lt;&gt;0,VLOOKUP($A453,'0.Productos'!$A$3:$GG$587,'0.Productos'!CC$1+1,0),"")</f>
        <v/>
      </c>
      <c r="AL453" s="133" t="str">
        <f>IF($A453&lt;&gt;0,VLOOKUP($A453,'0.Productos'!$A$3:$GG$587,'0.Productos'!CD$1+1,0),"")</f>
        <v/>
      </c>
      <c r="AM453" s="133" t="str">
        <f>IF($A453&lt;&gt;0,VLOOKUP($A453,'0.Productos'!$A$3:$GG$587,'0.Productos'!CE$1+1,0),"")</f>
        <v/>
      </c>
      <c r="AN453" s="133" t="str">
        <f>IF($A453&lt;&gt;0,VLOOKUP($A453,'0.Productos'!$A$3:$GG$587,'0.Productos'!CF$1+1,0),"")</f>
        <v/>
      </c>
      <c r="AO453" s="133" t="str">
        <f>IF($A453&lt;&gt;0,VLOOKUP($A453,'0.Productos'!$A$3:$GG$587,'0.Productos'!CG$1+1,0),"")</f>
        <v/>
      </c>
      <c r="AP453" s="133" t="str">
        <f>IF($A453&lt;&gt;0,VLOOKUP($A453,'0.Productos'!$A$3:$GG$587,'0.Productos'!CH$1+1,0),"")</f>
        <v/>
      </c>
      <c r="AQ453" s="133" t="str">
        <f>IF($A453&lt;&gt;0,VLOOKUP($A453,'0.Productos'!$A$3:$GG$587,'0.Productos'!CI$1+1,0),"")</f>
        <v/>
      </c>
      <c r="AR453" s="133" t="str">
        <f>IF($A453&lt;&gt;0,VLOOKUP($A453,'0.Productos'!$A$3:$GG$587,'0.Productos'!CJ$1+1,0),"")</f>
        <v/>
      </c>
      <c r="AS453" s="133" t="str">
        <f>IF($A453&lt;&gt;0,VLOOKUP($A453,'0.Productos'!$A$3:$GG$587,'0.Productos'!CK$1+1,0),"")</f>
        <v/>
      </c>
      <c r="AT453" s="133" t="str">
        <f>IF($A453&lt;&gt;0,VLOOKUP($A453,'0.Productos'!$A$3:$GG$587,'0.Productos'!CL$1+1,0),"")</f>
        <v/>
      </c>
      <c r="AU453" s="133" t="str">
        <f>IF($A453&lt;&gt;0,VLOOKUP($A453,'0.Productos'!$A$3:$GG$587,'0.Productos'!CM$1+1,0),"")</f>
        <v/>
      </c>
      <c r="AV453" s="133" t="str">
        <f>IF($A453&lt;&gt;0,VLOOKUP($A453,'0.Productos'!$A$3:$GG$587,'0.Productos'!CN$1+1,0),"")</f>
        <v/>
      </c>
      <c r="AW453" s="133" t="str">
        <f>IF($A453&lt;&gt;0,VLOOKUP($A453,'0.Productos'!$A$3:$GG$587,'0.Productos'!CO$1+1,0),"")</f>
        <v/>
      </c>
      <c r="AX453" s="133" t="str">
        <f>IF($A453&lt;&gt;0,VLOOKUP($A453,'0.Productos'!$A$3:$GG$587,'0.Productos'!CP$1+1,0),"")</f>
        <v/>
      </c>
      <c r="AY453" s="133" t="str">
        <f>IF($A453&lt;&gt;0,VLOOKUP($A453,'0.Productos'!$A$3:$GG$587,'0.Productos'!CQ$1+1,0),"")</f>
        <v/>
      </c>
      <c r="AZ453" s="133" t="str">
        <f>IF($A453&lt;&gt;0,VLOOKUP($A453,'0.Productos'!$A$3:$GG$587,'0.Productos'!CR$1+1,0),"")</f>
        <v/>
      </c>
      <c r="BA453" s="133" t="str">
        <f>IF($A453&lt;&gt;0,VLOOKUP($A453,'0.Productos'!$A$3:$GG$587,'0.Productos'!CS$1+1,0),"")</f>
        <v/>
      </c>
      <c r="BB453" s="133" t="str">
        <f>IF($A453&lt;&gt;0,VLOOKUP($A453,'0.Productos'!$A$3:$GG$587,'0.Productos'!CT$1+1,0),"")</f>
        <v/>
      </c>
      <c r="BC453" s="133" t="str">
        <f>IF($A453&lt;&gt;0,VLOOKUP($A453,'0.Productos'!$A$3:$GG$587,'0.Productos'!CU$1+1,0),"")</f>
        <v/>
      </c>
      <c r="BD453" s="133" t="str">
        <f>IF($A453&lt;&gt;0,VLOOKUP($A453,'0.Productos'!$A$3:$GG$587,'0.Productos'!CV$1+1,0),"")</f>
        <v/>
      </c>
      <c r="BE453" s="133" t="str">
        <f>IF($A453&lt;&gt;0,VLOOKUP($A453,'0.Productos'!$A$3:$GG$587,'0.Productos'!CW$1+1,0),"")</f>
        <v/>
      </c>
      <c r="BF453" s="133" t="str">
        <f>IF($A453&lt;&gt;0,VLOOKUP($A453,'0.Productos'!$A$3:$GG$587,'0.Productos'!CX$1+1,0),"")</f>
        <v/>
      </c>
      <c r="BG453" s="133" t="str">
        <f>IF($A453&lt;&gt;0,VLOOKUP($A453,'0.Productos'!$A$3:$GG$587,'0.Productos'!CY$1+1,0),"")</f>
        <v/>
      </c>
      <c r="BH453" s="133" t="str">
        <f>IF($A453&lt;&gt;0,VLOOKUP($A453,'0.Productos'!$A$3:$GG$587,'0.Productos'!CZ$1+1,0),"")</f>
        <v/>
      </c>
      <c r="BI453" s="133" t="str">
        <f>IF($A453&lt;&gt;0,VLOOKUP($A453,'0.Productos'!$A$3:$GG$587,'0.Productos'!DA$1+1,0),"")</f>
        <v/>
      </c>
      <c r="BJ453" s="133" t="str">
        <f>IF($A453&lt;&gt;0,VLOOKUP($A453,'0.Productos'!$A$3:$GG$587,'0.Productos'!DB$1+1,0),"")</f>
        <v/>
      </c>
      <c r="BK453" s="133" t="str">
        <f>IF($A453&lt;&gt;0,VLOOKUP($A453,'0.Productos'!$A$3:$GG$587,'0.Productos'!DC$1+1,0),"")</f>
        <v/>
      </c>
      <c r="BL453" s="133" t="str">
        <f>IF($A453&lt;&gt;0,VLOOKUP($A453,'0.Productos'!$A$3:$GG$587,'0.Productos'!DD$1+1,0),"")</f>
        <v/>
      </c>
      <c r="BM453" s="133" t="str">
        <f>IF($A453&lt;&gt;0,VLOOKUP($A453,'0.Productos'!$A$3:$GG$587,'0.Productos'!DE$1+1,0),"")</f>
        <v/>
      </c>
      <c r="BN453" s="133" t="str">
        <f>IF($A453&lt;&gt;0,VLOOKUP($A453,'0.Productos'!$A$3:$GG$587,'0.Productos'!DF$1+1,0),"")</f>
        <v/>
      </c>
      <c r="BO453" s="133" t="str">
        <f>IF($A453&lt;&gt;0,VLOOKUP($A453,'0.Productos'!$A$3:$GG$587,'0.Productos'!DG$1+1,0),"")</f>
        <v/>
      </c>
      <c r="BP453" s="133" t="str">
        <f>IF($A453&lt;&gt;0,VLOOKUP($A453,'0.Productos'!$A$3:$GG$587,'0.Productos'!DH$1+1,0),"")</f>
        <v/>
      </c>
      <c r="BQ453" s="133" t="str">
        <f>IF($A453&lt;&gt;0,VLOOKUP($A453,'0.Productos'!$A$3:$GG$587,'0.Productos'!DI$1+1,0),"")</f>
        <v/>
      </c>
      <c r="BR453" s="133" t="str">
        <f>IF($A453&lt;&gt;0,VLOOKUP($A453,'0.Productos'!$A$3:$GG$587,'0.Productos'!DJ$1+1,0),"")</f>
        <v/>
      </c>
      <c r="BS453" s="133" t="str">
        <f>IF($A453&lt;&gt;0,VLOOKUP($A453,'0.Productos'!$A$3:$GG$587,'0.Productos'!DK$1+1,0),"")</f>
        <v/>
      </c>
      <c r="BT453" s="133" t="str">
        <f>IF($A453&lt;&gt;0,VLOOKUP($A453,'0.Productos'!$A$3:$GG$587,'0.Productos'!DL$1+1,0),"")</f>
        <v/>
      </c>
    </row>
    <row r="454" spans="1:72" x14ac:dyDescent="0.25">
      <c r="A454" s="17">
        <f>'0.Consolidado general'!A454</f>
        <v>0</v>
      </c>
      <c r="B454" s="133" t="str">
        <f>IF($A454&lt;&gt;0,VLOOKUP($A454,'0.Productos'!$A$3:$GG$587,'0.Productos'!AT$1+1,0),"")</f>
        <v/>
      </c>
      <c r="C454" s="133" t="str">
        <f>IF($A454&lt;&gt;0,VLOOKUP($A454,'0.Productos'!$A$3:$GG$587,'0.Productos'!AU$1+1,0),"")</f>
        <v/>
      </c>
      <c r="D454" s="133" t="str">
        <f>IF($A454&lt;&gt;0,VLOOKUP($A454,'0.Productos'!$A$3:$GG$587,'0.Productos'!AV$1+1,0),"")</f>
        <v/>
      </c>
      <c r="E454" s="133" t="str">
        <f>IF($A454&lt;&gt;0,VLOOKUP($A454,'0.Productos'!$A$3:$GG$587,'0.Productos'!AW$1+1,0),"")</f>
        <v/>
      </c>
      <c r="F454" s="133" t="str">
        <f>IF($A454&lt;&gt;0,VLOOKUP($A454,'0.Productos'!$A$3:$GG$587,'0.Productos'!AX$1+1,0),"")</f>
        <v/>
      </c>
      <c r="G454" s="133" t="str">
        <f>IF($A454&lt;&gt;0,VLOOKUP($A454,'0.Productos'!$A$3:$GG$587,'0.Productos'!AY$1+1,0),"")</f>
        <v/>
      </c>
      <c r="H454" s="133" t="str">
        <f>IF($A454&lt;&gt;0,VLOOKUP($A454,'0.Productos'!$A$3:$GG$587,'0.Productos'!AZ$1+1,0),"")</f>
        <v/>
      </c>
      <c r="I454" s="133" t="str">
        <f>IF($A454&lt;&gt;0,VLOOKUP($A454,'0.Productos'!$A$3:$GG$587,'0.Productos'!BA$1+1,0),"")</f>
        <v/>
      </c>
      <c r="J454" s="133" t="str">
        <f>IF($A454&lt;&gt;0,VLOOKUP($A454,'0.Productos'!$A$3:$GG$587,'0.Productos'!BB$1+1,0),"")</f>
        <v/>
      </c>
      <c r="K454" s="133" t="str">
        <f>IF($A454&lt;&gt;0,VLOOKUP($A454,'0.Productos'!$A$3:$GG$587,'0.Productos'!BC$1+1,0),"")</f>
        <v/>
      </c>
      <c r="L454" s="133" t="str">
        <f>IF($A454&lt;&gt;0,VLOOKUP($A454,'0.Productos'!$A$3:$GG$587,'0.Productos'!BD$1+1,0),"")</f>
        <v/>
      </c>
      <c r="M454" s="133" t="str">
        <f>IF($A454&lt;&gt;0,VLOOKUP($A454,'0.Productos'!$A$3:$GG$587,'0.Productos'!BE$1+1,0),"")</f>
        <v/>
      </c>
      <c r="N454" s="133" t="str">
        <f>IF($A454&lt;&gt;0,VLOOKUP($A454,'0.Productos'!$A$3:$GG$587,'0.Productos'!BF$1+1,0),"")</f>
        <v/>
      </c>
      <c r="O454" s="133" t="str">
        <f>IF($A454&lt;&gt;0,VLOOKUP($A454,'0.Productos'!$A$3:$GG$587,'0.Productos'!BG$1+1,0),"")</f>
        <v/>
      </c>
      <c r="P454" s="133" t="str">
        <f>IF($A454&lt;&gt;0,VLOOKUP($A454,'0.Productos'!$A$3:$GG$587,'0.Productos'!BH$1+1,0),"")</f>
        <v/>
      </c>
      <c r="Q454" s="133" t="str">
        <f>IF($A454&lt;&gt;0,VLOOKUP($A454,'0.Productos'!$A$3:$GG$587,'0.Productos'!BI$1+1,0),"")</f>
        <v/>
      </c>
      <c r="R454" s="133" t="str">
        <f>IF($A454&lt;&gt;0,VLOOKUP($A454,'0.Productos'!$A$3:$GG$587,'0.Productos'!BJ$1+1,0),"")</f>
        <v/>
      </c>
      <c r="S454" s="133" t="str">
        <f>IF($A454&lt;&gt;0,VLOOKUP($A454,'0.Productos'!$A$3:$GG$587,'0.Productos'!BK$1+1,0),"")</f>
        <v/>
      </c>
      <c r="T454" s="133" t="str">
        <f>IF($A454&lt;&gt;0,VLOOKUP($A454,'0.Productos'!$A$3:$GG$587,'0.Productos'!BL$1+1,0),"")</f>
        <v/>
      </c>
      <c r="U454" s="133" t="str">
        <f>IF($A454&lt;&gt;0,VLOOKUP($A454,'0.Productos'!$A$3:$GG$587,'0.Productos'!BM$1+1,0),"")</f>
        <v/>
      </c>
      <c r="V454" s="133" t="str">
        <f>IF($A454&lt;&gt;0,VLOOKUP($A454,'0.Productos'!$A$3:$GG$587,'0.Productos'!BN$1+1,0),"")</f>
        <v/>
      </c>
      <c r="W454" s="133" t="str">
        <f>IF($A454&lt;&gt;0,VLOOKUP($A454,'0.Productos'!$A$3:$GG$587,'0.Productos'!BO$1+1,0),"")</f>
        <v/>
      </c>
      <c r="X454" s="133" t="str">
        <f>IF($A454&lt;&gt;0,VLOOKUP($A454,'0.Productos'!$A$3:$GG$587,'0.Productos'!BP$1+1,0),"")</f>
        <v/>
      </c>
      <c r="Y454" s="133" t="str">
        <f>IF($A454&lt;&gt;0,VLOOKUP($A454,'0.Productos'!$A$3:$GG$587,'0.Productos'!BQ$1+1,0),"")</f>
        <v/>
      </c>
      <c r="Z454" s="133" t="str">
        <f>IF($A454&lt;&gt;0,VLOOKUP($A454,'0.Productos'!$A$3:$GG$587,'0.Productos'!BR$1+1,0),"")</f>
        <v/>
      </c>
      <c r="AA454" s="133" t="str">
        <f>IF($A454&lt;&gt;0,VLOOKUP($A454,'0.Productos'!$A$3:$GG$587,'0.Productos'!BS$1+1,0),"")</f>
        <v/>
      </c>
      <c r="AB454" s="133" t="str">
        <f>IF($A454&lt;&gt;0,VLOOKUP($A454,'0.Productos'!$A$3:$GG$587,'0.Productos'!BT$1+1,0),"")</f>
        <v/>
      </c>
      <c r="AC454" s="133" t="str">
        <f>IF($A454&lt;&gt;0,VLOOKUP($A454,'0.Productos'!$A$3:$GG$587,'0.Productos'!BU$1+1,0),"")</f>
        <v/>
      </c>
      <c r="AD454" s="133" t="str">
        <f>IF($A454&lt;&gt;0,VLOOKUP($A454,'0.Productos'!$A$3:$GG$587,'0.Productos'!BV$1+1,0),"")</f>
        <v/>
      </c>
      <c r="AE454" s="133" t="str">
        <f>IF($A454&lt;&gt;0,VLOOKUP($A454,'0.Productos'!$A$3:$GG$587,'0.Productos'!BW$1+1,0),"")</f>
        <v/>
      </c>
      <c r="AF454" s="133" t="str">
        <f>IF($A454&lt;&gt;0,VLOOKUP($A454,'0.Productos'!$A$3:$GG$587,'0.Productos'!BX$1+1,0),"")</f>
        <v/>
      </c>
      <c r="AG454" s="133" t="str">
        <f>IF($A454&lt;&gt;0,VLOOKUP($A454,'0.Productos'!$A$3:$GG$587,'0.Productos'!BY$1+1,0),"")</f>
        <v/>
      </c>
      <c r="AH454" s="133" t="str">
        <f>IF($A454&lt;&gt;0,VLOOKUP($A454,'0.Productos'!$A$3:$GG$587,'0.Productos'!BZ$1+1,0),"")</f>
        <v/>
      </c>
      <c r="AI454" s="133" t="str">
        <f>IF($A454&lt;&gt;0,VLOOKUP($A454,'0.Productos'!$A$3:$GG$587,'0.Productos'!CA$1+1,0),"")</f>
        <v/>
      </c>
      <c r="AJ454" s="133" t="str">
        <f>IF($A454&lt;&gt;0,VLOOKUP($A454,'0.Productos'!$A$3:$GG$587,'0.Productos'!CB$1+1,0),"")</f>
        <v/>
      </c>
      <c r="AK454" s="133" t="str">
        <f>IF($A454&lt;&gt;0,VLOOKUP($A454,'0.Productos'!$A$3:$GG$587,'0.Productos'!CC$1+1,0),"")</f>
        <v/>
      </c>
      <c r="AL454" s="133" t="str">
        <f>IF($A454&lt;&gt;0,VLOOKUP($A454,'0.Productos'!$A$3:$GG$587,'0.Productos'!CD$1+1,0),"")</f>
        <v/>
      </c>
      <c r="AM454" s="133" t="str">
        <f>IF($A454&lt;&gt;0,VLOOKUP($A454,'0.Productos'!$A$3:$GG$587,'0.Productos'!CE$1+1,0),"")</f>
        <v/>
      </c>
      <c r="AN454" s="133" t="str">
        <f>IF($A454&lt;&gt;0,VLOOKUP($A454,'0.Productos'!$A$3:$GG$587,'0.Productos'!CF$1+1,0),"")</f>
        <v/>
      </c>
      <c r="AO454" s="133" t="str">
        <f>IF($A454&lt;&gt;0,VLOOKUP($A454,'0.Productos'!$A$3:$GG$587,'0.Productos'!CG$1+1,0),"")</f>
        <v/>
      </c>
      <c r="AP454" s="133" t="str">
        <f>IF($A454&lt;&gt;0,VLOOKUP($A454,'0.Productos'!$A$3:$GG$587,'0.Productos'!CH$1+1,0),"")</f>
        <v/>
      </c>
      <c r="AQ454" s="133" t="str">
        <f>IF($A454&lt;&gt;0,VLOOKUP($A454,'0.Productos'!$A$3:$GG$587,'0.Productos'!CI$1+1,0),"")</f>
        <v/>
      </c>
      <c r="AR454" s="133" t="str">
        <f>IF($A454&lt;&gt;0,VLOOKUP($A454,'0.Productos'!$A$3:$GG$587,'0.Productos'!CJ$1+1,0),"")</f>
        <v/>
      </c>
      <c r="AS454" s="133" t="str">
        <f>IF($A454&lt;&gt;0,VLOOKUP($A454,'0.Productos'!$A$3:$GG$587,'0.Productos'!CK$1+1,0),"")</f>
        <v/>
      </c>
      <c r="AT454" s="133" t="str">
        <f>IF($A454&lt;&gt;0,VLOOKUP($A454,'0.Productos'!$A$3:$GG$587,'0.Productos'!CL$1+1,0),"")</f>
        <v/>
      </c>
      <c r="AU454" s="133" t="str">
        <f>IF($A454&lt;&gt;0,VLOOKUP($A454,'0.Productos'!$A$3:$GG$587,'0.Productos'!CM$1+1,0),"")</f>
        <v/>
      </c>
      <c r="AV454" s="133" t="str">
        <f>IF($A454&lt;&gt;0,VLOOKUP($A454,'0.Productos'!$A$3:$GG$587,'0.Productos'!CN$1+1,0),"")</f>
        <v/>
      </c>
      <c r="AW454" s="133" t="str">
        <f>IF($A454&lt;&gt;0,VLOOKUP($A454,'0.Productos'!$A$3:$GG$587,'0.Productos'!CO$1+1,0),"")</f>
        <v/>
      </c>
      <c r="AX454" s="133" t="str">
        <f>IF($A454&lt;&gt;0,VLOOKUP($A454,'0.Productos'!$A$3:$GG$587,'0.Productos'!CP$1+1,0),"")</f>
        <v/>
      </c>
      <c r="AY454" s="133" t="str">
        <f>IF($A454&lt;&gt;0,VLOOKUP($A454,'0.Productos'!$A$3:$GG$587,'0.Productos'!CQ$1+1,0),"")</f>
        <v/>
      </c>
      <c r="AZ454" s="133" t="str">
        <f>IF($A454&lt;&gt;0,VLOOKUP($A454,'0.Productos'!$A$3:$GG$587,'0.Productos'!CR$1+1,0),"")</f>
        <v/>
      </c>
      <c r="BA454" s="133" t="str">
        <f>IF($A454&lt;&gt;0,VLOOKUP($A454,'0.Productos'!$A$3:$GG$587,'0.Productos'!CS$1+1,0),"")</f>
        <v/>
      </c>
      <c r="BB454" s="133" t="str">
        <f>IF($A454&lt;&gt;0,VLOOKUP($A454,'0.Productos'!$A$3:$GG$587,'0.Productos'!CT$1+1,0),"")</f>
        <v/>
      </c>
      <c r="BC454" s="133" t="str">
        <f>IF($A454&lt;&gt;0,VLOOKUP($A454,'0.Productos'!$A$3:$GG$587,'0.Productos'!CU$1+1,0),"")</f>
        <v/>
      </c>
      <c r="BD454" s="133" t="str">
        <f>IF($A454&lt;&gt;0,VLOOKUP($A454,'0.Productos'!$A$3:$GG$587,'0.Productos'!CV$1+1,0),"")</f>
        <v/>
      </c>
      <c r="BE454" s="133" t="str">
        <f>IF($A454&lt;&gt;0,VLOOKUP($A454,'0.Productos'!$A$3:$GG$587,'0.Productos'!CW$1+1,0),"")</f>
        <v/>
      </c>
      <c r="BF454" s="133" t="str">
        <f>IF($A454&lt;&gt;0,VLOOKUP($A454,'0.Productos'!$A$3:$GG$587,'0.Productos'!CX$1+1,0),"")</f>
        <v/>
      </c>
      <c r="BG454" s="133" t="str">
        <f>IF($A454&lt;&gt;0,VLOOKUP($A454,'0.Productos'!$A$3:$GG$587,'0.Productos'!CY$1+1,0),"")</f>
        <v/>
      </c>
      <c r="BH454" s="133" t="str">
        <f>IF($A454&lt;&gt;0,VLOOKUP($A454,'0.Productos'!$A$3:$GG$587,'0.Productos'!CZ$1+1,0),"")</f>
        <v/>
      </c>
      <c r="BI454" s="133" t="str">
        <f>IF($A454&lt;&gt;0,VLOOKUP($A454,'0.Productos'!$A$3:$GG$587,'0.Productos'!DA$1+1,0),"")</f>
        <v/>
      </c>
      <c r="BJ454" s="133" t="str">
        <f>IF($A454&lt;&gt;0,VLOOKUP($A454,'0.Productos'!$A$3:$GG$587,'0.Productos'!DB$1+1,0),"")</f>
        <v/>
      </c>
      <c r="BK454" s="133" t="str">
        <f>IF($A454&lt;&gt;0,VLOOKUP($A454,'0.Productos'!$A$3:$GG$587,'0.Productos'!DC$1+1,0),"")</f>
        <v/>
      </c>
      <c r="BL454" s="133" t="str">
        <f>IF($A454&lt;&gt;0,VLOOKUP($A454,'0.Productos'!$A$3:$GG$587,'0.Productos'!DD$1+1,0),"")</f>
        <v/>
      </c>
      <c r="BM454" s="133" t="str">
        <f>IF($A454&lt;&gt;0,VLOOKUP($A454,'0.Productos'!$A$3:$GG$587,'0.Productos'!DE$1+1,0),"")</f>
        <v/>
      </c>
      <c r="BN454" s="133" t="str">
        <f>IF($A454&lt;&gt;0,VLOOKUP($A454,'0.Productos'!$A$3:$GG$587,'0.Productos'!DF$1+1,0),"")</f>
        <v/>
      </c>
      <c r="BO454" s="133" t="str">
        <f>IF($A454&lt;&gt;0,VLOOKUP($A454,'0.Productos'!$A$3:$GG$587,'0.Productos'!DG$1+1,0),"")</f>
        <v/>
      </c>
      <c r="BP454" s="133" t="str">
        <f>IF($A454&lt;&gt;0,VLOOKUP($A454,'0.Productos'!$A$3:$GG$587,'0.Productos'!DH$1+1,0),"")</f>
        <v/>
      </c>
      <c r="BQ454" s="133" t="str">
        <f>IF($A454&lt;&gt;0,VLOOKUP($A454,'0.Productos'!$A$3:$GG$587,'0.Productos'!DI$1+1,0),"")</f>
        <v/>
      </c>
      <c r="BR454" s="133" t="str">
        <f>IF($A454&lt;&gt;0,VLOOKUP($A454,'0.Productos'!$A$3:$GG$587,'0.Productos'!DJ$1+1,0),"")</f>
        <v/>
      </c>
      <c r="BS454" s="133" t="str">
        <f>IF($A454&lt;&gt;0,VLOOKUP($A454,'0.Productos'!$A$3:$GG$587,'0.Productos'!DK$1+1,0),"")</f>
        <v/>
      </c>
      <c r="BT454" s="133" t="str">
        <f>IF($A454&lt;&gt;0,VLOOKUP($A454,'0.Productos'!$A$3:$GG$587,'0.Productos'!DL$1+1,0),"")</f>
        <v/>
      </c>
    </row>
    <row r="455" spans="1:72" x14ac:dyDescent="0.25">
      <c r="A455" s="17">
        <f>'0.Consolidado general'!A455</f>
        <v>0</v>
      </c>
      <c r="B455" s="133" t="str">
        <f>IF($A455&lt;&gt;0,VLOOKUP($A455,'0.Productos'!$A$3:$GG$587,'0.Productos'!AT$1+1,0),"")</f>
        <v/>
      </c>
      <c r="C455" s="133" t="str">
        <f>IF($A455&lt;&gt;0,VLOOKUP($A455,'0.Productos'!$A$3:$GG$587,'0.Productos'!AU$1+1,0),"")</f>
        <v/>
      </c>
      <c r="D455" s="133" t="str">
        <f>IF($A455&lt;&gt;0,VLOOKUP($A455,'0.Productos'!$A$3:$GG$587,'0.Productos'!AV$1+1,0),"")</f>
        <v/>
      </c>
      <c r="E455" s="133" t="str">
        <f>IF($A455&lt;&gt;0,VLOOKUP($A455,'0.Productos'!$A$3:$GG$587,'0.Productos'!AW$1+1,0),"")</f>
        <v/>
      </c>
      <c r="F455" s="133" t="str">
        <f>IF($A455&lt;&gt;0,VLOOKUP($A455,'0.Productos'!$A$3:$GG$587,'0.Productos'!AX$1+1,0),"")</f>
        <v/>
      </c>
      <c r="G455" s="133" t="str">
        <f>IF($A455&lt;&gt;0,VLOOKUP($A455,'0.Productos'!$A$3:$GG$587,'0.Productos'!AY$1+1,0),"")</f>
        <v/>
      </c>
      <c r="H455" s="133" t="str">
        <f>IF($A455&lt;&gt;0,VLOOKUP($A455,'0.Productos'!$A$3:$GG$587,'0.Productos'!AZ$1+1,0),"")</f>
        <v/>
      </c>
      <c r="I455" s="133" t="str">
        <f>IF($A455&lt;&gt;0,VLOOKUP($A455,'0.Productos'!$A$3:$GG$587,'0.Productos'!BA$1+1,0),"")</f>
        <v/>
      </c>
      <c r="J455" s="133" t="str">
        <f>IF($A455&lt;&gt;0,VLOOKUP($A455,'0.Productos'!$A$3:$GG$587,'0.Productos'!BB$1+1,0),"")</f>
        <v/>
      </c>
      <c r="K455" s="133" t="str">
        <f>IF($A455&lt;&gt;0,VLOOKUP($A455,'0.Productos'!$A$3:$GG$587,'0.Productos'!BC$1+1,0),"")</f>
        <v/>
      </c>
      <c r="L455" s="133" t="str">
        <f>IF($A455&lt;&gt;0,VLOOKUP($A455,'0.Productos'!$A$3:$GG$587,'0.Productos'!BD$1+1,0),"")</f>
        <v/>
      </c>
      <c r="M455" s="133" t="str">
        <f>IF($A455&lt;&gt;0,VLOOKUP($A455,'0.Productos'!$A$3:$GG$587,'0.Productos'!BE$1+1,0),"")</f>
        <v/>
      </c>
      <c r="N455" s="133" t="str">
        <f>IF($A455&lt;&gt;0,VLOOKUP($A455,'0.Productos'!$A$3:$GG$587,'0.Productos'!BF$1+1,0),"")</f>
        <v/>
      </c>
      <c r="O455" s="133" t="str">
        <f>IF($A455&lt;&gt;0,VLOOKUP($A455,'0.Productos'!$A$3:$GG$587,'0.Productos'!BG$1+1,0),"")</f>
        <v/>
      </c>
      <c r="P455" s="133" t="str">
        <f>IF($A455&lt;&gt;0,VLOOKUP($A455,'0.Productos'!$A$3:$GG$587,'0.Productos'!BH$1+1,0),"")</f>
        <v/>
      </c>
      <c r="Q455" s="133" t="str">
        <f>IF($A455&lt;&gt;0,VLOOKUP($A455,'0.Productos'!$A$3:$GG$587,'0.Productos'!BI$1+1,0),"")</f>
        <v/>
      </c>
      <c r="R455" s="133" t="str">
        <f>IF($A455&lt;&gt;0,VLOOKUP($A455,'0.Productos'!$A$3:$GG$587,'0.Productos'!BJ$1+1,0),"")</f>
        <v/>
      </c>
      <c r="S455" s="133" t="str">
        <f>IF($A455&lt;&gt;0,VLOOKUP($A455,'0.Productos'!$A$3:$GG$587,'0.Productos'!BK$1+1,0),"")</f>
        <v/>
      </c>
      <c r="T455" s="133" t="str">
        <f>IF($A455&lt;&gt;0,VLOOKUP($A455,'0.Productos'!$A$3:$GG$587,'0.Productos'!BL$1+1,0),"")</f>
        <v/>
      </c>
      <c r="U455" s="133" t="str">
        <f>IF($A455&lt;&gt;0,VLOOKUP($A455,'0.Productos'!$A$3:$GG$587,'0.Productos'!BM$1+1,0),"")</f>
        <v/>
      </c>
      <c r="V455" s="133" t="str">
        <f>IF($A455&lt;&gt;0,VLOOKUP($A455,'0.Productos'!$A$3:$GG$587,'0.Productos'!BN$1+1,0),"")</f>
        <v/>
      </c>
      <c r="W455" s="133" t="str">
        <f>IF($A455&lt;&gt;0,VLOOKUP($A455,'0.Productos'!$A$3:$GG$587,'0.Productos'!BO$1+1,0),"")</f>
        <v/>
      </c>
      <c r="X455" s="133" t="str">
        <f>IF($A455&lt;&gt;0,VLOOKUP($A455,'0.Productos'!$A$3:$GG$587,'0.Productos'!BP$1+1,0),"")</f>
        <v/>
      </c>
      <c r="Y455" s="133" t="str">
        <f>IF($A455&lt;&gt;0,VLOOKUP($A455,'0.Productos'!$A$3:$GG$587,'0.Productos'!BQ$1+1,0),"")</f>
        <v/>
      </c>
      <c r="Z455" s="133" t="str">
        <f>IF($A455&lt;&gt;0,VLOOKUP($A455,'0.Productos'!$A$3:$GG$587,'0.Productos'!BR$1+1,0),"")</f>
        <v/>
      </c>
      <c r="AA455" s="133" t="str">
        <f>IF($A455&lt;&gt;0,VLOOKUP($A455,'0.Productos'!$A$3:$GG$587,'0.Productos'!BS$1+1,0),"")</f>
        <v/>
      </c>
      <c r="AB455" s="133" t="str">
        <f>IF($A455&lt;&gt;0,VLOOKUP($A455,'0.Productos'!$A$3:$GG$587,'0.Productos'!BT$1+1,0),"")</f>
        <v/>
      </c>
      <c r="AC455" s="133" t="str">
        <f>IF($A455&lt;&gt;0,VLOOKUP($A455,'0.Productos'!$A$3:$GG$587,'0.Productos'!BU$1+1,0),"")</f>
        <v/>
      </c>
      <c r="AD455" s="133" t="str">
        <f>IF($A455&lt;&gt;0,VLOOKUP($A455,'0.Productos'!$A$3:$GG$587,'0.Productos'!BV$1+1,0),"")</f>
        <v/>
      </c>
      <c r="AE455" s="133" t="str">
        <f>IF($A455&lt;&gt;0,VLOOKUP($A455,'0.Productos'!$A$3:$GG$587,'0.Productos'!BW$1+1,0),"")</f>
        <v/>
      </c>
      <c r="AF455" s="133" t="str">
        <f>IF($A455&lt;&gt;0,VLOOKUP($A455,'0.Productos'!$A$3:$GG$587,'0.Productos'!BX$1+1,0),"")</f>
        <v/>
      </c>
      <c r="AG455" s="133" t="str">
        <f>IF($A455&lt;&gt;0,VLOOKUP($A455,'0.Productos'!$A$3:$GG$587,'0.Productos'!BY$1+1,0),"")</f>
        <v/>
      </c>
      <c r="AH455" s="133" t="str">
        <f>IF($A455&lt;&gt;0,VLOOKUP($A455,'0.Productos'!$A$3:$GG$587,'0.Productos'!BZ$1+1,0),"")</f>
        <v/>
      </c>
      <c r="AI455" s="133" t="str">
        <f>IF($A455&lt;&gt;0,VLOOKUP($A455,'0.Productos'!$A$3:$GG$587,'0.Productos'!CA$1+1,0),"")</f>
        <v/>
      </c>
      <c r="AJ455" s="133" t="str">
        <f>IF($A455&lt;&gt;0,VLOOKUP($A455,'0.Productos'!$A$3:$GG$587,'0.Productos'!CB$1+1,0),"")</f>
        <v/>
      </c>
      <c r="AK455" s="133" t="str">
        <f>IF($A455&lt;&gt;0,VLOOKUP($A455,'0.Productos'!$A$3:$GG$587,'0.Productos'!CC$1+1,0),"")</f>
        <v/>
      </c>
      <c r="AL455" s="133" t="str">
        <f>IF($A455&lt;&gt;0,VLOOKUP($A455,'0.Productos'!$A$3:$GG$587,'0.Productos'!CD$1+1,0),"")</f>
        <v/>
      </c>
      <c r="AM455" s="133" t="str">
        <f>IF($A455&lt;&gt;0,VLOOKUP($A455,'0.Productos'!$A$3:$GG$587,'0.Productos'!CE$1+1,0),"")</f>
        <v/>
      </c>
      <c r="AN455" s="133" t="str">
        <f>IF($A455&lt;&gt;0,VLOOKUP($A455,'0.Productos'!$A$3:$GG$587,'0.Productos'!CF$1+1,0),"")</f>
        <v/>
      </c>
      <c r="AO455" s="133" t="str">
        <f>IF($A455&lt;&gt;0,VLOOKUP($A455,'0.Productos'!$A$3:$GG$587,'0.Productos'!CG$1+1,0),"")</f>
        <v/>
      </c>
      <c r="AP455" s="133" t="str">
        <f>IF($A455&lt;&gt;0,VLOOKUP($A455,'0.Productos'!$A$3:$GG$587,'0.Productos'!CH$1+1,0),"")</f>
        <v/>
      </c>
      <c r="AQ455" s="133" t="str">
        <f>IF($A455&lt;&gt;0,VLOOKUP($A455,'0.Productos'!$A$3:$GG$587,'0.Productos'!CI$1+1,0),"")</f>
        <v/>
      </c>
      <c r="AR455" s="133" t="str">
        <f>IF($A455&lt;&gt;0,VLOOKUP($A455,'0.Productos'!$A$3:$GG$587,'0.Productos'!CJ$1+1,0),"")</f>
        <v/>
      </c>
      <c r="AS455" s="133" t="str">
        <f>IF($A455&lt;&gt;0,VLOOKUP($A455,'0.Productos'!$A$3:$GG$587,'0.Productos'!CK$1+1,0),"")</f>
        <v/>
      </c>
      <c r="AT455" s="133" t="str">
        <f>IF($A455&lt;&gt;0,VLOOKUP($A455,'0.Productos'!$A$3:$GG$587,'0.Productos'!CL$1+1,0),"")</f>
        <v/>
      </c>
      <c r="AU455" s="133" t="str">
        <f>IF($A455&lt;&gt;0,VLOOKUP($A455,'0.Productos'!$A$3:$GG$587,'0.Productos'!CM$1+1,0),"")</f>
        <v/>
      </c>
      <c r="AV455" s="133" t="str">
        <f>IF($A455&lt;&gt;0,VLOOKUP($A455,'0.Productos'!$A$3:$GG$587,'0.Productos'!CN$1+1,0),"")</f>
        <v/>
      </c>
      <c r="AW455" s="133" t="str">
        <f>IF($A455&lt;&gt;0,VLOOKUP($A455,'0.Productos'!$A$3:$GG$587,'0.Productos'!CO$1+1,0),"")</f>
        <v/>
      </c>
      <c r="AX455" s="133" t="str">
        <f>IF($A455&lt;&gt;0,VLOOKUP($A455,'0.Productos'!$A$3:$GG$587,'0.Productos'!CP$1+1,0),"")</f>
        <v/>
      </c>
      <c r="AY455" s="133" t="str">
        <f>IF($A455&lt;&gt;0,VLOOKUP($A455,'0.Productos'!$A$3:$GG$587,'0.Productos'!CQ$1+1,0),"")</f>
        <v/>
      </c>
      <c r="AZ455" s="133" t="str">
        <f>IF($A455&lt;&gt;0,VLOOKUP($A455,'0.Productos'!$A$3:$GG$587,'0.Productos'!CR$1+1,0),"")</f>
        <v/>
      </c>
      <c r="BA455" s="133" t="str">
        <f>IF($A455&lt;&gt;0,VLOOKUP($A455,'0.Productos'!$A$3:$GG$587,'0.Productos'!CS$1+1,0),"")</f>
        <v/>
      </c>
      <c r="BB455" s="133" t="str">
        <f>IF($A455&lt;&gt;0,VLOOKUP($A455,'0.Productos'!$A$3:$GG$587,'0.Productos'!CT$1+1,0),"")</f>
        <v/>
      </c>
      <c r="BC455" s="133" t="str">
        <f>IF($A455&lt;&gt;0,VLOOKUP($A455,'0.Productos'!$A$3:$GG$587,'0.Productos'!CU$1+1,0),"")</f>
        <v/>
      </c>
      <c r="BD455" s="133" t="str">
        <f>IF($A455&lt;&gt;0,VLOOKUP($A455,'0.Productos'!$A$3:$GG$587,'0.Productos'!CV$1+1,0),"")</f>
        <v/>
      </c>
      <c r="BE455" s="133" t="str">
        <f>IF($A455&lt;&gt;0,VLOOKUP($A455,'0.Productos'!$A$3:$GG$587,'0.Productos'!CW$1+1,0),"")</f>
        <v/>
      </c>
      <c r="BF455" s="133" t="str">
        <f>IF($A455&lt;&gt;0,VLOOKUP($A455,'0.Productos'!$A$3:$GG$587,'0.Productos'!CX$1+1,0),"")</f>
        <v/>
      </c>
      <c r="BG455" s="133" t="str">
        <f>IF($A455&lt;&gt;0,VLOOKUP($A455,'0.Productos'!$A$3:$GG$587,'0.Productos'!CY$1+1,0),"")</f>
        <v/>
      </c>
      <c r="BH455" s="133" t="str">
        <f>IF($A455&lt;&gt;0,VLOOKUP($A455,'0.Productos'!$A$3:$GG$587,'0.Productos'!CZ$1+1,0),"")</f>
        <v/>
      </c>
      <c r="BI455" s="133" t="str">
        <f>IF($A455&lt;&gt;0,VLOOKUP($A455,'0.Productos'!$A$3:$GG$587,'0.Productos'!DA$1+1,0),"")</f>
        <v/>
      </c>
      <c r="BJ455" s="133" t="str">
        <f>IF($A455&lt;&gt;0,VLOOKUP($A455,'0.Productos'!$A$3:$GG$587,'0.Productos'!DB$1+1,0),"")</f>
        <v/>
      </c>
      <c r="BK455" s="133" t="str">
        <f>IF($A455&lt;&gt;0,VLOOKUP($A455,'0.Productos'!$A$3:$GG$587,'0.Productos'!DC$1+1,0),"")</f>
        <v/>
      </c>
      <c r="BL455" s="133" t="str">
        <f>IF($A455&lt;&gt;0,VLOOKUP($A455,'0.Productos'!$A$3:$GG$587,'0.Productos'!DD$1+1,0),"")</f>
        <v/>
      </c>
      <c r="BM455" s="133" t="str">
        <f>IF($A455&lt;&gt;0,VLOOKUP($A455,'0.Productos'!$A$3:$GG$587,'0.Productos'!DE$1+1,0),"")</f>
        <v/>
      </c>
      <c r="BN455" s="133" t="str">
        <f>IF($A455&lt;&gt;0,VLOOKUP($A455,'0.Productos'!$A$3:$GG$587,'0.Productos'!DF$1+1,0),"")</f>
        <v/>
      </c>
      <c r="BO455" s="133" t="str">
        <f>IF($A455&lt;&gt;0,VLOOKUP($A455,'0.Productos'!$A$3:$GG$587,'0.Productos'!DG$1+1,0),"")</f>
        <v/>
      </c>
      <c r="BP455" s="133" t="str">
        <f>IF($A455&lt;&gt;0,VLOOKUP($A455,'0.Productos'!$A$3:$GG$587,'0.Productos'!DH$1+1,0),"")</f>
        <v/>
      </c>
      <c r="BQ455" s="133" t="str">
        <f>IF($A455&lt;&gt;0,VLOOKUP($A455,'0.Productos'!$A$3:$GG$587,'0.Productos'!DI$1+1,0),"")</f>
        <v/>
      </c>
      <c r="BR455" s="133" t="str">
        <f>IF($A455&lt;&gt;0,VLOOKUP($A455,'0.Productos'!$A$3:$GG$587,'0.Productos'!DJ$1+1,0),"")</f>
        <v/>
      </c>
      <c r="BS455" s="133" t="str">
        <f>IF($A455&lt;&gt;0,VLOOKUP($A455,'0.Productos'!$A$3:$GG$587,'0.Productos'!DK$1+1,0),"")</f>
        <v/>
      </c>
      <c r="BT455" s="133" t="str">
        <f>IF($A455&lt;&gt;0,VLOOKUP($A455,'0.Productos'!$A$3:$GG$587,'0.Productos'!DL$1+1,0),"")</f>
        <v/>
      </c>
    </row>
    <row r="456" spans="1:72" x14ac:dyDescent="0.25">
      <c r="A456" s="17">
        <f>'0.Consolidado general'!A456</f>
        <v>0</v>
      </c>
      <c r="B456" s="133" t="str">
        <f>IF($A456&lt;&gt;0,VLOOKUP($A456,'0.Productos'!$A$3:$GG$587,'0.Productos'!AT$1+1,0),"")</f>
        <v/>
      </c>
      <c r="C456" s="133" t="str">
        <f>IF($A456&lt;&gt;0,VLOOKUP($A456,'0.Productos'!$A$3:$GG$587,'0.Productos'!AU$1+1,0),"")</f>
        <v/>
      </c>
      <c r="D456" s="133" t="str">
        <f>IF($A456&lt;&gt;0,VLOOKUP($A456,'0.Productos'!$A$3:$GG$587,'0.Productos'!AV$1+1,0),"")</f>
        <v/>
      </c>
      <c r="E456" s="133" t="str">
        <f>IF($A456&lt;&gt;0,VLOOKUP($A456,'0.Productos'!$A$3:$GG$587,'0.Productos'!AW$1+1,0),"")</f>
        <v/>
      </c>
      <c r="F456" s="133" t="str">
        <f>IF($A456&lt;&gt;0,VLOOKUP($A456,'0.Productos'!$A$3:$GG$587,'0.Productos'!AX$1+1,0),"")</f>
        <v/>
      </c>
      <c r="G456" s="133" t="str">
        <f>IF($A456&lt;&gt;0,VLOOKUP($A456,'0.Productos'!$A$3:$GG$587,'0.Productos'!AY$1+1,0),"")</f>
        <v/>
      </c>
      <c r="H456" s="133" t="str">
        <f>IF($A456&lt;&gt;0,VLOOKUP($A456,'0.Productos'!$A$3:$GG$587,'0.Productos'!AZ$1+1,0),"")</f>
        <v/>
      </c>
      <c r="I456" s="133" t="str">
        <f>IF($A456&lt;&gt;0,VLOOKUP($A456,'0.Productos'!$A$3:$GG$587,'0.Productos'!BA$1+1,0),"")</f>
        <v/>
      </c>
      <c r="J456" s="133" t="str">
        <f>IF($A456&lt;&gt;0,VLOOKUP($A456,'0.Productos'!$A$3:$GG$587,'0.Productos'!BB$1+1,0),"")</f>
        <v/>
      </c>
      <c r="K456" s="133" t="str">
        <f>IF($A456&lt;&gt;0,VLOOKUP($A456,'0.Productos'!$A$3:$GG$587,'0.Productos'!BC$1+1,0),"")</f>
        <v/>
      </c>
      <c r="L456" s="133" t="str">
        <f>IF($A456&lt;&gt;0,VLOOKUP($A456,'0.Productos'!$A$3:$GG$587,'0.Productos'!BD$1+1,0),"")</f>
        <v/>
      </c>
      <c r="M456" s="133" t="str">
        <f>IF($A456&lt;&gt;0,VLOOKUP($A456,'0.Productos'!$A$3:$GG$587,'0.Productos'!BE$1+1,0),"")</f>
        <v/>
      </c>
      <c r="N456" s="133" t="str">
        <f>IF($A456&lt;&gt;0,VLOOKUP($A456,'0.Productos'!$A$3:$GG$587,'0.Productos'!BF$1+1,0),"")</f>
        <v/>
      </c>
      <c r="O456" s="133" t="str">
        <f>IF($A456&lt;&gt;0,VLOOKUP($A456,'0.Productos'!$A$3:$GG$587,'0.Productos'!BG$1+1,0),"")</f>
        <v/>
      </c>
      <c r="P456" s="133" t="str">
        <f>IF($A456&lt;&gt;0,VLOOKUP($A456,'0.Productos'!$A$3:$GG$587,'0.Productos'!BH$1+1,0),"")</f>
        <v/>
      </c>
      <c r="Q456" s="133" t="str">
        <f>IF($A456&lt;&gt;0,VLOOKUP($A456,'0.Productos'!$A$3:$GG$587,'0.Productos'!BI$1+1,0),"")</f>
        <v/>
      </c>
      <c r="R456" s="133" t="str">
        <f>IF($A456&lt;&gt;0,VLOOKUP($A456,'0.Productos'!$A$3:$GG$587,'0.Productos'!BJ$1+1,0),"")</f>
        <v/>
      </c>
      <c r="S456" s="133" t="str">
        <f>IF($A456&lt;&gt;0,VLOOKUP($A456,'0.Productos'!$A$3:$GG$587,'0.Productos'!BK$1+1,0),"")</f>
        <v/>
      </c>
      <c r="T456" s="133" t="str">
        <f>IF($A456&lt;&gt;0,VLOOKUP($A456,'0.Productos'!$A$3:$GG$587,'0.Productos'!BL$1+1,0),"")</f>
        <v/>
      </c>
      <c r="U456" s="133" t="str">
        <f>IF($A456&lt;&gt;0,VLOOKUP($A456,'0.Productos'!$A$3:$GG$587,'0.Productos'!BM$1+1,0),"")</f>
        <v/>
      </c>
      <c r="V456" s="133" t="str">
        <f>IF($A456&lt;&gt;0,VLOOKUP($A456,'0.Productos'!$A$3:$GG$587,'0.Productos'!BN$1+1,0),"")</f>
        <v/>
      </c>
      <c r="W456" s="133" t="str">
        <f>IF($A456&lt;&gt;0,VLOOKUP($A456,'0.Productos'!$A$3:$GG$587,'0.Productos'!BO$1+1,0),"")</f>
        <v/>
      </c>
      <c r="X456" s="133" t="str">
        <f>IF($A456&lt;&gt;0,VLOOKUP($A456,'0.Productos'!$A$3:$GG$587,'0.Productos'!BP$1+1,0),"")</f>
        <v/>
      </c>
      <c r="Y456" s="133" t="str">
        <f>IF($A456&lt;&gt;0,VLOOKUP($A456,'0.Productos'!$A$3:$GG$587,'0.Productos'!BQ$1+1,0),"")</f>
        <v/>
      </c>
      <c r="Z456" s="133" t="str">
        <f>IF($A456&lt;&gt;0,VLOOKUP($A456,'0.Productos'!$A$3:$GG$587,'0.Productos'!BR$1+1,0),"")</f>
        <v/>
      </c>
      <c r="AA456" s="133" t="str">
        <f>IF($A456&lt;&gt;0,VLOOKUP($A456,'0.Productos'!$A$3:$GG$587,'0.Productos'!BS$1+1,0),"")</f>
        <v/>
      </c>
      <c r="AB456" s="133" t="str">
        <f>IF($A456&lt;&gt;0,VLOOKUP($A456,'0.Productos'!$A$3:$GG$587,'0.Productos'!BT$1+1,0),"")</f>
        <v/>
      </c>
      <c r="AC456" s="133" t="str">
        <f>IF($A456&lt;&gt;0,VLOOKUP($A456,'0.Productos'!$A$3:$GG$587,'0.Productos'!BU$1+1,0),"")</f>
        <v/>
      </c>
      <c r="AD456" s="133" t="str">
        <f>IF($A456&lt;&gt;0,VLOOKUP($A456,'0.Productos'!$A$3:$GG$587,'0.Productos'!BV$1+1,0),"")</f>
        <v/>
      </c>
      <c r="AE456" s="133" t="str">
        <f>IF($A456&lt;&gt;0,VLOOKUP($A456,'0.Productos'!$A$3:$GG$587,'0.Productos'!BW$1+1,0),"")</f>
        <v/>
      </c>
      <c r="AF456" s="133" t="str">
        <f>IF($A456&lt;&gt;0,VLOOKUP($A456,'0.Productos'!$A$3:$GG$587,'0.Productos'!BX$1+1,0),"")</f>
        <v/>
      </c>
      <c r="AG456" s="133" t="str">
        <f>IF($A456&lt;&gt;0,VLOOKUP($A456,'0.Productos'!$A$3:$GG$587,'0.Productos'!BY$1+1,0),"")</f>
        <v/>
      </c>
      <c r="AH456" s="133" t="str">
        <f>IF($A456&lt;&gt;0,VLOOKUP($A456,'0.Productos'!$A$3:$GG$587,'0.Productos'!BZ$1+1,0),"")</f>
        <v/>
      </c>
      <c r="AI456" s="133" t="str">
        <f>IF($A456&lt;&gt;0,VLOOKUP($A456,'0.Productos'!$A$3:$GG$587,'0.Productos'!CA$1+1,0),"")</f>
        <v/>
      </c>
      <c r="AJ456" s="133" t="str">
        <f>IF($A456&lt;&gt;0,VLOOKUP($A456,'0.Productos'!$A$3:$GG$587,'0.Productos'!CB$1+1,0),"")</f>
        <v/>
      </c>
      <c r="AK456" s="133" t="str">
        <f>IF($A456&lt;&gt;0,VLOOKUP($A456,'0.Productos'!$A$3:$GG$587,'0.Productos'!CC$1+1,0),"")</f>
        <v/>
      </c>
      <c r="AL456" s="133" t="str">
        <f>IF($A456&lt;&gt;0,VLOOKUP($A456,'0.Productos'!$A$3:$GG$587,'0.Productos'!CD$1+1,0),"")</f>
        <v/>
      </c>
      <c r="AM456" s="133" t="str">
        <f>IF($A456&lt;&gt;0,VLOOKUP($A456,'0.Productos'!$A$3:$GG$587,'0.Productos'!CE$1+1,0),"")</f>
        <v/>
      </c>
      <c r="AN456" s="133" t="str">
        <f>IF($A456&lt;&gt;0,VLOOKUP($A456,'0.Productos'!$A$3:$GG$587,'0.Productos'!CF$1+1,0),"")</f>
        <v/>
      </c>
      <c r="AO456" s="133" t="str">
        <f>IF($A456&lt;&gt;0,VLOOKUP($A456,'0.Productos'!$A$3:$GG$587,'0.Productos'!CG$1+1,0),"")</f>
        <v/>
      </c>
      <c r="AP456" s="133" t="str">
        <f>IF($A456&lt;&gt;0,VLOOKUP($A456,'0.Productos'!$A$3:$GG$587,'0.Productos'!CH$1+1,0),"")</f>
        <v/>
      </c>
      <c r="AQ456" s="133" t="str">
        <f>IF($A456&lt;&gt;0,VLOOKUP($A456,'0.Productos'!$A$3:$GG$587,'0.Productos'!CI$1+1,0),"")</f>
        <v/>
      </c>
      <c r="AR456" s="133" t="str">
        <f>IF($A456&lt;&gt;0,VLOOKUP($A456,'0.Productos'!$A$3:$GG$587,'0.Productos'!CJ$1+1,0),"")</f>
        <v/>
      </c>
      <c r="AS456" s="133" t="str">
        <f>IF($A456&lt;&gt;0,VLOOKUP($A456,'0.Productos'!$A$3:$GG$587,'0.Productos'!CK$1+1,0),"")</f>
        <v/>
      </c>
      <c r="AT456" s="133" t="str">
        <f>IF($A456&lt;&gt;0,VLOOKUP($A456,'0.Productos'!$A$3:$GG$587,'0.Productos'!CL$1+1,0),"")</f>
        <v/>
      </c>
      <c r="AU456" s="133" t="str">
        <f>IF($A456&lt;&gt;0,VLOOKUP($A456,'0.Productos'!$A$3:$GG$587,'0.Productos'!CM$1+1,0),"")</f>
        <v/>
      </c>
      <c r="AV456" s="133" t="str">
        <f>IF($A456&lt;&gt;0,VLOOKUP($A456,'0.Productos'!$A$3:$GG$587,'0.Productos'!CN$1+1,0),"")</f>
        <v/>
      </c>
      <c r="AW456" s="133" t="str">
        <f>IF($A456&lt;&gt;0,VLOOKUP($A456,'0.Productos'!$A$3:$GG$587,'0.Productos'!CO$1+1,0),"")</f>
        <v/>
      </c>
      <c r="AX456" s="133" t="str">
        <f>IF($A456&lt;&gt;0,VLOOKUP($A456,'0.Productos'!$A$3:$GG$587,'0.Productos'!CP$1+1,0),"")</f>
        <v/>
      </c>
      <c r="AY456" s="133" t="str">
        <f>IF($A456&lt;&gt;0,VLOOKUP($A456,'0.Productos'!$A$3:$GG$587,'0.Productos'!CQ$1+1,0),"")</f>
        <v/>
      </c>
      <c r="AZ456" s="133" t="str">
        <f>IF($A456&lt;&gt;0,VLOOKUP($A456,'0.Productos'!$A$3:$GG$587,'0.Productos'!CR$1+1,0),"")</f>
        <v/>
      </c>
      <c r="BA456" s="133" t="str">
        <f>IF($A456&lt;&gt;0,VLOOKUP($A456,'0.Productos'!$A$3:$GG$587,'0.Productos'!CS$1+1,0),"")</f>
        <v/>
      </c>
      <c r="BB456" s="133" t="str">
        <f>IF($A456&lt;&gt;0,VLOOKUP($A456,'0.Productos'!$A$3:$GG$587,'0.Productos'!CT$1+1,0),"")</f>
        <v/>
      </c>
      <c r="BC456" s="133" t="str">
        <f>IF($A456&lt;&gt;0,VLOOKUP($A456,'0.Productos'!$A$3:$GG$587,'0.Productos'!CU$1+1,0),"")</f>
        <v/>
      </c>
      <c r="BD456" s="133" t="str">
        <f>IF($A456&lt;&gt;0,VLOOKUP($A456,'0.Productos'!$A$3:$GG$587,'0.Productos'!CV$1+1,0),"")</f>
        <v/>
      </c>
      <c r="BE456" s="133" t="str">
        <f>IF($A456&lt;&gt;0,VLOOKUP($A456,'0.Productos'!$A$3:$GG$587,'0.Productos'!CW$1+1,0),"")</f>
        <v/>
      </c>
      <c r="BF456" s="133" t="str">
        <f>IF($A456&lt;&gt;0,VLOOKUP($A456,'0.Productos'!$A$3:$GG$587,'0.Productos'!CX$1+1,0),"")</f>
        <v/>
      </c>
      <c r="BG456" s="133" t="str">
        <f>IF($A456&lt;&gt;0,VLOOKUP($A456,'0.Productos'!$A$3:$GG$587,'0.Productos'!CY$1+1,0),"")</f>
        <v/>
      </c>
      <c r="BH456" s="133" t="str">
        <f>IF($A456&lt;&gt;0,VLOOKUP($A456,'0.Productos'!$A$3:$GG$587,'0.Productos'!CZ$1+1,0),"")</f>
        <v/>
      </c>
      <c r="BI456" s="133" t="str">
        <f>IF($A456&lt;&gt;0,VLOOKUP($A456,'0.Productos'!$A$3:$GG$587,'0.Productos'!DA$1+1,0),"")</f>
        <v/>
      </c>
      <c r="BJ456" s="133" t="str">
        <f>IF($A456&lt;&gt;0,VLOOKUP($A456,'0.Productos'!$A$3:$GG$587,'0.Productos'!DB$1+1,0),"")</f>
        <v/>
      </c>
      <c r="BK456" s="133" t="str">
        <f>IF($A456&lt;&gt;0,VLOOKUP($A456,'0.Productos'!$A$3:$GG$587,'0.Productos'!DC$1+1,0),"")</f>
        <v/>
      </c>
      <c r="BL456" s="133" t="str">
        <f>IF($A456&lt;&gt;0,VLOOKUP($A456,'0.Productos'!$A$3:$GG$587,'0.Productos'!DD$1+1,0),"")</f>
        <v/>
      </c>
      <c r="BM456" s="133" t="str">
        <f>IF($A456&lt;&gt;0,VLOOKUP($A456,'0.Productos'!$A$3:$GG$587,'0.Productos'!DE$1+1,0),"")</f>
        <v/>
      </c>
      <c r="BN456" s="133" t="str">
        <f>IF($A456&lt;&gt;0,VLOOKUP($A456,'0.Productos'!$A$3:$GG$587,'0.Productos'!DF$1+1,0),"")</f>
        <v/>
      </c>
      <c r="BO456" s="133" t="str">
        <f>IF($A456&lt;&gt;0,VLOOKUP($A456,'0.Productos'!$A$3:$GG$587,'0.Productos'!DG$1+1,0),"")</f>
        <v/>
      </c>
      <c r="BP456" s="133" t="str">
        <f>IF($A456&lt;&gt;0,VLOOKUP($A456,'0.Productos'!$A$3:$GG$587,'0.Productos'!DH$1+1,0),"")</f>
        <v/>
      </c>
      <c r="BQ456" s="133" t="str">
        <f>IF($A456&lt;&gt;0,VLOOKUP($A456,'0.Productos'!$A$3:$GG$587,'0.Productos'!DI$1+1,0),"")</f>
        <v/>
      </c>
      <c r="BR456" s="133" t="str">
        <f>IF($A456&lt;&gt;0,VLOOKUP($A456,'0.Productos'!$A$3:$GG$587,'0.Productos'!DJ$1+1,0),"")</f>
        <v/>
      </c>
      <c r="BS456" s="133" t="str">
        <f>IF($A456&lt;&gt;0,VLOOKUP($A456,'0.Productos'!$A$3:$GG$587,'0.Productos'!DK$1+1,0),"")</f>
        <v/>
      </c>
      <c r="BT456" s="133" t="str">
        <f>IF($A456&lt;&gt;0,VLOOKUP($A456,'0.Productos'!$A$3:$GG$587,'0.Productos'!DL$1+1,0),"")</f>
        <v/>
      </c>
    </row>
    <row r="457" spans="1:72" x14ac:dyDescent="0.25">
      <c r="A457" s="17">
        <f>'0.Consolidado general'!A457</f>
        <v>0</v>
      </c>
      <c r="B457" s="133" t="str">
        <f>IF($A457&lt;&gt;0,VLOOKUP($A457,'0.Productos'!$A$3:$GG$587,'0.Productos'!AT$1+1,0),"")</f>
        <v/>
      </c>
      <c r="C457" s="133" t="str">
        <f>IF($A457&lt;&gt;0,VLOOKUP($A457,'0.Productos'!$A$3:$GG$587,'0.Productos'!AU$1+1,0),"")</f>
        <v/>
      </c>
      <c r="D457" s="133" t="str">
        <f>IF($A457&lt;&gt;0,VLOOKUP($A457,'0.Productos'!$A$3:$GG$587,'0.Productos'!AV$1+1,0),"")</f>
        <v/>
      </c>
      <c r="E457" s="133" t="str">
        <f>IF($A457&lt;&gt;0,VLOOKUP($A457,'0.Productos'!$A$3:$GG$587,'0.Productos'!AW$1+1,0),"")</f>
        <v/>
      </c>
      <c r="F457" s="133" t="str">
        <f>IF($A457&lt;&gt;0,VLOOKUP($A457,'0.Productos'!$A$3:$GG$587,'0.Productos'!AX$1+1,0),"")</f>
        <v/>
      </c>
      <c r="G457" s="133" t="str">
        <f>IF($A457&lt;&gt;0,VLOOKUP($A457,'0.Productos'!$A$3:$GG$587,'0.Productos'!AY$1+1,0),"")</f>
        <v/>
      </c>
      <c r="H457" s="133" t="str">
        <f>IF($A457&lt;&gt;0,VLOOKUP($A457,'0.Productos'!$A$3:$GG$587,'0.Productos'!AZ$1+1,0),"")</f>
        <v/>
      </c>
      <c r="I457" s="133" t="str">
        <f>IF($A457&lt;&gt;0,VLOOKUP($A457,'0.Productos'!$A$3:$GG$587,'0.Productos'!BA$1+1,0),"")</f>
        <v/>
      </c>
      <c r="J457" s="133" t="str">
        <f>IF($A457&lt;&gt;0,VLOOKUP($A457,'0.Productos'!$A$3:$GG$587,'0.Productos'!BB$1+1,0),"")</f>
        <v/>
      </c>
      <c r="K457" s="133" t="str">
        <f>IF($A457&lt;&gt;0,VLOOKUP($A457,'0.Productos'!$A$3:$GG$587,'0.Productos'!BC$1+1,0),"")</f>
        <v/>
      </c>
      <c r="L457" s="133" t="str">
        <f>IF($A457&lt;&gt;0,VLOOKUP($A457,'0.Productos'!$A$3:$GG$587,'0.Productos'!BD$1+1,0),"")</f>
        <v/>
      </c>
      <c r="M457" s="133" t="str">
        <f>IF($A457&lt;&gt;0,VLOOKUP($A457,'0.Productos'!$A$3:$GG$587,'0.Productos'!BE$1+1,0),"")</f>
        <v/>
      </c>
      <c r="N457" s="133" t="str">
        <f>IF($A457&lt;&gt;0,VLOOKUP($A457,'0.Productos'!$A$3:$GG$587,'0.Productos'!BF$1+1,0),"")</f>
        <v/>
      </c>
      <c r="O457" s="133" t="str">
        <f>IF($A457&lt;&gt;0,VLOOKUP($A457,'0.Productos'!$A$3:$GG$587,'0.Productos'!BG$1+1,0),"")</f>
        <v/>
      </c>
      <c r="P457" s="133" t="str">
        <f>IF($A457&lt;&gt;0,VLOOKUP($A457,'0.Productos'!$A$3:$GG$587,'0.Productos'!BH$1+1,0),"")</f>
        <v/>
      </c>
      <c r="Q457" s="133" t="str">
        <f>IF($A457&lt;&gt;0,VLOOKUP($A457,'0.Productos'!$A$3:$GG$587,'0.Productos'!BI$1+1,0),"")</f>
        <v/>
      </c>
      <c r="R457" s="133" t="str">
        <f>IF($A457&lt;&gt;0,VLOOKUP($A457,'0.Productos'!$A$3:$GG$587,'0.Productos'!BJ$1+1,0),"")</f>
        <v/>
      </c>
      <c r="S457" s="133" t="str">
        <f>IF($A457&lt;&gt;0,VLOOKUP($A457,'0.Productos'!$A$3:$GG$587,'0.Productos'!BK$1+1,0),"")</f>
        <v/>
      </c>
      <c r="T457" s="133" t="str">
        <f>IF($A457&lt;&gt;0,VLOOKUP($A457,'0.Productos'!$A$3:$GG$587,'0.Productos'!BL$1+1,0),"")</f>
        <v/>
      </c>
      <c r="U457" s="133" t="str">
        <f>IF($A457&lt;&gt;0,VLOOKUP($A457,'0.Productos'!$A$3:$GG$587,'0.Productos'!BM$1+1,0),"")</f>
        <v/>
      </c>
      <c r="V457" s="133" t="str">
        <f>IF($A457&lt;&gt;0,VLOOKUP($A457,'0.Productos'!$A$3:$GG$587,'0.Productos'!BN$1+1,0),"")</f>
        <v/>
      </c>
      <c r="W457" s="133" t="str">
        <f>IF($A457&lt;&gt;0,VLOOKUP($A457,'0.Productos'!$A$3:$GG$587,'0.Productos'!BO$1+1,0),"")</f>
        <v/>
      </c>
      <c r="X457" s="133" t="str">
        <f>IF($A457&lt;&gt;0,VLOOKUP($A457,'0.Productos'!$A$3:$GG$587,'0.Productos'!BP$1+1,0),"")</f>
        <v/>
      </c>
      <c r="Y457" s="133" t="str">
        <f>IF($A457&lt;&gt;0,VLOOKUP($A457,'0.Productos'!$A$3:$GG$587,'0.Productos'!BQ$1+1,0),"")</f>
        <v/>
      </c>
      <c r="Z457" s="133" t="str">
        <f>IF($A457&lt;&gt;0,VLOOKUP($A457,'0.Productos'!$A$3:$GG$587,'0.Productos'!BR$1+1,0),"")</f>
        <v/>
      </c>
      <c r="AA457" s="133" t="str">
        <f>IF($A457&lt;&gt;0,VLOOKUP($A457,'0.Productos'!$A$3:$GG$587,'0.Productos'!BS$1+1,0),"")</f>
        <v/>
      </c>
      <c r="AB457" s="133" t="str">
        <f>IF($A457&lt;&gt;0,VLOOKUP($A457,'0.Productos'!$A$3:$GG$587,'0.Productos'!BT$1+1,0),"")</f>
        <v/>
      </c>
      <c r="AC457" s="133" t="str">
        <f>IF($A457&lt;&gt;0,VLOOKUP($A457,'0.Productos'!$A$3:$GG$587,'0.Productos'!BU$1+1,0),"")</f>
        <v/>
      </c>
      <c r="AD457" s="133" t="str">
        <f>IF($A457&lt;&gt;0,VLOOKUP($A457,'0.Productos'!$A$3:$GG$587,'0.Productos'!BV$1+1,0),"")</f>
        <v/>
      </c>
      <c r="AE457" s="133" t="str">
        <f>IF($A457&lt;&gt;0,VLOOKUP($A457,'0.Productos'!$A$3:$GG$587,'0.Productos'!BW$1+1,0),"")</f>
        <v/>
      </c>
      <c r="AF457" s="133" t="str">
        <f>IF($A457&lt;&gt;0,VLOOKUP($A457,'0.Productos'!$A$3:$GG$587,'0.Productos'!BX$1+1,0),"")</f>
        <v/>
      </c>
      <c r="AG457" s="133" t="str">
        <f>IF($A457&lt;&gt;0,VLOOKUP($A457,'0.Productos'!$A$3:$GG$587,'0.Productos'!BY$1+1,0),"")</f>
        <v/>
      </c>
      <c r="AH457" s="133" t="str">
        <f>IF($A457&lt;&gt;0,VLOOKUP($A457,'0.Productos'!$A$3:$GG$587,'0.Productos'!BZ$1+1,0),"")</f>
        <v/>
      </c>
      <c r="AI457" s="133" t="str">
        <f>IF($A457&lt;&gt;0,VLOOKUP($A457,'0.Productos'!$A$3:$GG$587,'0.Productos'!CA$1+1,0),"")</f>
        <v/>
      </c>
      <c r="AJ457" s="133" t="str">
        <f>IF($A457&lt;&gt;0,VLOOKUP($A457,'0.Productos'!$A$3:$GG$587,'0.Productos'!CB$1+1,0),"")</f>
        <v/>
      </c>
      <c r="AK457" s="133" t="str">
        <f>IF($A457&lt;&gt;0,VLOOKUP($A457,'0.Productos'!$A$3:$GG$587,'0.Productos'!CC$1+1,0),"")</f>
        <v/>
      </c>
      <c r="AL457" s="133" t="str">
        <f>IF($A457&lt;&gt;0,VLOOKUP($A457,'0.Productos'!$A$3:$GG$587,'0.Productos'!CD$1+1,0),"")</f>
        <v/>
      </c>
      <c r="AM457" s="133" t="str">
        <f>IF($A457&lt;&gt;0,VLOOKUP($A457,'0.Productos'!$A$3:$GG$587,'0.Productos'!CE$1+1,0),"")</f>
        <v/>
      </c>
      <c r="AN457" s="133" t="str">
        <f>IF($A457&lt;&gt;0,VLOOKUP($A457,'0.Productos'!$A$3:$GG$587,'0.Productos'!CF$1+1,0),"")</f>
        <v/>
      </c>
      <c r="AO457" s="133" t="str">
        <f>IF($A457&lt;&gt;0,VLOOKUP($A457,'0.Productos'!$A$3:$GG$587,'0.Productos'!CG$1+1,0),"")</f>
        <v/>
      </c>
      <c r="AP457" s="133" t="str">
        <f>IF($A457&lt;&gt;0,VLOOKUP($A457,'0.Productos'!$A$3:$GG$587,'0.Productos'!CH$1+1,0),"")</f>
        <v/>
      </c>
      <c r="AQ457" s="133" t="str">
        <f>IF($A457&lt;&gt;0,VLOOKUP($A457,'0.Productos'!$A$3:$GG$587,'0.Productos'!CI$1+1,0),"")</f>
        <v/>
      </c>
      <c r="AR457" s="133" t="str">
        <f>IF($A457&lt;&gt;0,VLOOKUP($A457,'0.Productos'!$A$3:$GG$587,'0.Productos'!CJ$1+1,0),"")</f>
        <v/>
      </c>
      <c r="AS457" s="133" t="str">
        <f>IF($A457&lt;&gt;0,VLOOKUP($A457,'0.Productos'!$A$3:$GG$587,'0.Productos'!CK$1+1,0),"")</f>
        <v/>
      </c>
      <c r="AT457" s="133" t="str">
        <f>IF($A457&lt;&gt;0,VLOOKUP($A457,'0.Productos'!$A$3:$GG$587,'0.Productos'!CL$1+1,0),"")</f>
        <v/>
      </c>
      <c r="AU457" s="133" t="str">
        <f>IF($A457&lt;&gt;0,VLOOKUP($A457,'0.Productos'!$A$3:$GG$587,'0.Productos'!CM$1+1,0),"")</f>
        <v/>
      </c>
      <c r="AV457" s="133" t="str">
        <f>IF($A457&lt;&gt;0,VLOOKUP($A457,'0.Productos'!$A$3:$GG$587,'0.Productos'!CN$1+1,0),"")</f>
        <v/>
      </c>
      <c r="AW457" s="133" t="str">
        <f>IF($A457&lt;&gt;0,VLOOKUP($A457,'0.Productos'!$A$3:$GG$587,'0.Productos'!CO$1+1,0),"")</f>
        <v/>
      </c>
      <c r="AX457" s="133" t="str">
        <f>IF($A457&lt;&gt;0,VLOOKUP($A457,'0.Productos'!$A$3:$GG$587,'0.Productos'!CP$1+1,0),"")</f>
        <v/>
      </c>
      <c r="AY457" s="133" t="str">
        <f>IF($A457&lt;&gt;0,VLOOKUP($A457,'0.Productos'!$A$3:$GG$587,'0.Productos'!CQ$1+1,0),"")</f>
        <v/>
      </c>
      <c r="AZ457" s="133" t="str">
        <f>IF($A457&lt;&gt;0,VLOOKUP($A457,'0.Productos'!$A$3:$GG$587,'0.Productos'!CR$1+1,0),"")</f>
        <v/>
      </c>
      <c r="BA457" s="133" t="str">
        <f>IF($A457&lt;&gt;0,VLOOKUP($A457,'0.Productos'!$A$3:$GG$587,'0.Productos'!CS$1+1,0),"")</f>
        <v/>
      </c>
      <c r="BB457" s="133" t="str">
        <f>IF($A457&lt;&gt;0,VLOOKUP($A457,'0.Productos'!$A$3:$GG$587,'0.Productos'!CT$1+1,0),"")</f>
        <v/>
      </c>
      <c r="BC457" s="133" t="str">
        <f>IF($A457&lt;&gt;0,VLOOKUP($A457,'0.Productos'!$A$3:$GG$587,'0.Productos'!CU$1+1,0),"")</f>
        <v/>
      </c>
      <c r="BD457" s="133" t="str">
        <f>IF($A457&lt;&gt;0,VLOOKUP($A457,'0.Productos'!$A$3:$GG$587,'0.Productos'!CV$1+1,0),"")</f>
        <v/>
      </c>
      <c r="BE457" s="133" t="str">
        <f>IF($A457&lt;&gt;0,VLOOKUP($A457,'0.Productos'!$A$3:$GG$587,'0.Productos'!CW$1+1,0),"")</f>
        <v/>
      </c>
      <c r="BF457" s="133" t="str">
        <f>IF($A457&lt;&gt;0,VLOOKUP($A457,'0.Productos'!$A$3:$GG$587,'0.Productos'!CX$1+1,0),"")</f>
        <v/>
      </c>
      <c r="BG457" s="133" t="str">
        <f>IF($A457&lt;&gt;0,VLOOKUP($A457,'0.Productos'!$A$3:$GG$587,'0.Productos'!CY$1+1,0),"")</f>
        <v/>
      </c>
      <c r="BH457" s="133" t="str">
        <f>IF($A457&lt;&gt;0,VLOOKUP($A457,'0.Productos'!$A$3:$GG$587,'0.Productos'!CZ$1+1,0),"")</f>
        <v/>
      </c>
      <c r="BI457" s="133" t="str">
        <f>IF($A457&lt;&gt;0,VLOOKUP($A457,'0.Productos'!$A$3:$GG$587,'0.Productos'!DA$1+1,0),"")</f>
        <v/>
      </c>
      <c r="BJ457" s="133" t="str">
        <f>IF($A457&lt;&gt;0,VLOOKUP($A457,'0.Productos'!$A$3:$GG$587,'0.Productos'!DB$1+1,0),"")</f>
        <v/>
      </c>
      <c r="BK457" s="133" t="str">
        <f>IF($A457&lt;&gt;0,VLOOKUP($A457,'0.Productos'!$A$3:$GG$587,'0.Productos'!DC$1+1,0),"")</f>
        <v/>
      </c>
      <c r="BL457" s="133" t="str">
        <f>IF($A457&lt;&gt;0,VLOOKUP($A457,'0.Productos'!$A$3:$GG$587,'0.Productos'!DD$1+1,0),"")</f>
        <v/>
      </c>
      <c r="BM457" s="133" t="str">
        <f>IF($A457&lt;&gt;0,VLOOKUP($A457,'0.Productos'!$A$3:$GG$587,'0.Productos'!DE$1+1,0),"")</f>
        <v/>
      </c>
      <c r="BN457" s="133" t="str">
        <f>IF($A457&lt;&gt;0,VLOOKUP($A457,'0.Productos'!$A$3:$GG$587,'0.Productos'!DF$1+1,0),"")</f>
        <v/>
      </c>
      <c r="BO457" s="133" t="str">
        <f>IF($A457&lt;&gt;0,VLOOKUP($A457,'0.Productos'!$A$3:$GG$587,'0.Productos'!DG$1+1,0),"")</f>
        <v/>
      </c>
      <c r="BP457" s="133" t="str">
        <f>IF($A457&lt;&gt;0,VLOOKUP($A457,'0.Productos'!$A$3:$GG$587,'0.Productos'!DH$1+1,0),"")</f>
        <v/>
      </c>
      <c r="BQ457" s="133" t="str">
        <f>IF($A457&lt;&gt;0,VLOOKUP($A457,'0.Productos'!$A$3:$GG$587,'0.Productos'!DI$1+1,0),"")</f>
        <v/>
      </c>
      <c r="BR457" s="133" t="str">
        <f>IF($A457&lt;&gt;0,VLOOKUP($A457,'0.Productos'!$A$3:$GG$587,'0.Productos'!DJ$1+1,0),"")</f>
        <v/>
      </c>
      <c r="BS457" s="133" t="str">
        <f>IF($A457&lt;&gt;0,VLOOKUP($A457,'0.Productos'!$A$3:$GG$587,'0.Productos'!DK$1+1,0),"")</f>
        <v/>
      </c>
      <c r="BT457" s="133" t="str">
        <f>IF($A457&lt;&gt;0,VLOOKUP($A457,'0.Productos'!$A$3:$GG$587,'0.Productos'!DL$1+1,0),"")</f>
        <v/>
      </c>
    </row>
    <row r="458" spans="1:72" x14ac:dyDescent="0.25">
      <c r="A458" s="17">
        <f>'0.Consolidado general'!A458</f>
        <v>0</v>
      </c>
      <c r="B458" s="133" t="str">
        <f>IF($A458&lt;&gt;0,VLOOKUP($A458,'0.Productos'!$A$3:$GG$587,'0.Productos'!AT$1+1,0),"")</f>
        <v/>
      </c>
      <c r="C458" s="133" t="str">
        <f>IF($A458&lt;&gt;0,VLOOKUP($A458,'0.Productos'!$A$3:$GG$587,'0.Productos'!AU$1+1,0),"")</f>
        <v/>
      </c>
      <c r="D458" s="133" t="str">
        <f>IF($A458&lt;&gt;0,VLOOKUP($A458,'0.Productos'!$A$3:$GG$587,'0.Productos'!AV$1+1,0),"")</f>
        <v/>
      </c>
      <c r="E458" s="133" t="str">
        <f>IF($A458&lt;&gt;0,VLOOKUP($A458,'0.Productos'!$A$3:$GG$587,'0.Productos'!AW$1+1,0),"")</f>
        <v/>
      </c>
      <c r="F458" s="133" t="str">
        <f>IF($A458&lt;&gt;0,VLOOKUP($A458,'0.Productos'!$A$3:$GG$587,'0.Productos'!AX$1+1,0),"")</f>
        <v/>
      </c>
      <c r="G458" s="133" t="str">
        <f>IF($A458&lt;&gt;0,VLOOKUP($A458,'0.Productos'!$A$3:$GG$587,'0.Productos'!AY$1+1,0),"")</f>
        <v/>
      </c>
      <c r="H458" s="133" t="str">
        <f>IF($A458&lt;&gt;0,VLOOKUP($A458,'0.Productos'!$A$3:$GG$587,'0.Productos'!AZ$1+1,0),"")</f>
        <v/>
      </c>
      <c r="I458" s="133" t="str">
        <f>IF($A458&lt;&gt;0,VLOOKUP($A458,'0.Productos'!$A$3:$GG$587,'0.Productos'!BA$1+1,0),"")</f>
        <v/>
      </c>
      <c r="J458" s="133" t="str">
        <f>IF($A458&lt;&gt;0,VLOOKUP($A458,'0.Productos'!$A$3:$GG$587,'0.Productos'!BB$1+1,0),"")</f>
        <v/>
      </c>
      <c r="K458" s="133" t="str">
        <f>IF($A458&lt;&gt;0,VLOOKUP($A458,'0.Productos'!$A$3:$GG$587,'0.Productos'!BC$1+1,0),"")</f>
        <v/>
      </c>
      <c r="L458" s="133" t="str">
        <f>IF($A458&lt;&gt;0,VLOOKUP($A458,'0.Productos'!$A$3:$GG$587,'0.Productos'!BD$1+1,0),"")</f>
        <v/>
      </c>
      <c r="M458" s="133" t="str">
        <f>IF($A458&lt;&gt;0,VLOOKUP($A458,'0.Productos'!$A$3:$GG$587,'0.Productos'!BE$1+1,0),"")</f>
        <v/>
      </c>
      <c r="N458" s="133" t="str">
        <f>IF($A458&lt;&gt;0,VLOOKUP($A458,'0.Productos'!$A$3:$GG$587,'0.Productos'!BF$1+1,0),"")</f>
        <v/>
      </c>
      <c r="O458" s="133" t="str">
        <f>IF($A458&lt;&gt;0,VLOOKUP($A458,'0.Productos'!$A$3:$GG$587,'0.Productos'!BG$1+1,0),"")</f>
        <v/>
      </c>
      <c r="P458" s="133" t="str">
        <f>IF($A458&lt;&gt;0,VLOOKUP($A458,'0.Productos'!$A$3:$GG$587,'0.Productos'!BH$1+1,0),"")</f>
        <v/>
      </c>
      <c r="Q458" s="133" t="str">
        <f>IF($A458&lt;&gt;0,VLOOKUP($A458,'0.Productos'!$A$3:$GG$587,'0.Productos'!BI$1+1,0),"")</f>
        <v/>
      </c>
      <c r="R458" s="133" t="str">
        <f>IF($A458&lt;&gt;0,VLOOKUP($A458,'0.Productos'!$A$3:$GG$587,'0.Productos'!BJ$1+1,0),"")</f>
        <v/>
      </c>
      <c r="S458" s="133" t="str">
        <f>IF($A458&lt;&gt;0,VLOOKUP($A458,'0.Productos'!$A$3:$GG$587,'0.Productos'!BK$1+1,0),"")</f>
        <v/>
      </c>
      <c r="T458" s="133" t="str">
        <f>IF($A458&lt;&gt;0,VLOOKUP($A458,'0.Productos'!$A$3:$GG$587,'0.Productos'!BL$1+1,0),"")</f>
        <v/>
      </c>
      <c r="U458" s="133" t="str">
        <f>IF($A458&lt;&gt;0,VLOOKUP($A458,'0.Productos'!$A$3:$GG$587,'0.Productos'!BM$1+1,0),"")</f>
        <v/>
      </c>
      <c r="V458" s="133" t="str">
        <f>IF($A458&lt;&gt;0,VLOOKUP($A458,'0.Productos'!$A$3:$GG$587,'0.Productos'!BN$1+1,0),"")</f>
        <v/>
      </c>
      <c r="W458" s="133" t="str">
        <f>IF($A458&lt;&gt;0,VLOOKUP($A458,'0.Productos'!$A$3:$GG$587,'0.Productos'!BO$1+1,0),"")</f>
        <v/>
      </c>
      <c r="X458" s="133" t="str">
        <f>IF($A458&lt;&gt;0,VLOOKUP($A458,'0.Productos'!$A$3:$GG$587,'0.Productos'!BP$1+1,0),"")</f>
        <v/>
      </c>
      <c r="Y458" s="133" t="str">
        <f>IF($A458&lt;&gt;0,VLOOKUP($A458,'0.Productos'!$A$3:$GG$587,'0.Productos'!BQ$1+1,0),"")</f>
        <v/>
      </c>
      <c r="Z458" s="133" t="str">
        <f>IF($A458&lt;&gt;0,VLOOKUP($A458,'0.Productos'!$A$3:$GG$587,'0.Productos'!BR$1+1,0),"")</f>
        <v/>
      </c>
      <c r="AA458" s="133" t="str">
        <f>IF($A458&lt;&gt;0,VLOOKUP($A458,'0.Productos'!$A$3:$GG$587,'0.Productos'!BS$1+1,0),"")</f>
        <v/>
      </c>
      <c r="AB458" s="133" t="str">
        <f>IF($A458&lt;&gt;0,VLOOKUP($A458,'0.Productos'!$A$3:$GG$587,'0.Productos'!BT$1+1,0),"")</f>
        <v/>
      </c>
      <c r="AC458" s="133" t="str">
        <f>IF($A458&lt;&gt;0,VLOOKUP($A458,'0.Productos'!$A$3:$GG$587,'0.Productos'!BU$1+1,0),"")</f>
        <v/>
      </c>
      <c r="AD458" s="133" t="str">
        <f>IF($A458&lt;&gt;0,VLOOKUP($A458,'0.Productos'!$A$3:$GG$587,'0.Productos'!BV$1+1,0),"")</f>
        <v/>
      </c>
      <c r="AE458" s="133" t="str">
        <f>IF($A458&lt;&gt;0,VLOOKUP($A458,'0.Productos'!$A$3:$GG$587,'0.Productos'!BW$1+1,0),"")</f>
        <v/>
      </c>
      <c r="AF458" s="133" t="str">
        <f>IF($A458&lt;&gt;0,VLOOKUP($A458,'0.Productos'!$A$3:$GG$587,'0.Productos'!BX$1+1,0),"")</f>
        <v/>
      </c>
      <c r="AG458" s="133" t="str">
        <f>IF($A458&lt;&gt;0,VLOOKUP($A458,'0.Productos'!$A$3:$GG$587,'0.Productos'!BY$1+1,0),"")</f>
        <v/>
      </c>
      <c r="AH458" s="133" t="str">
        <f>IF($A458&lt;&gt;0,VLOOKUP($A458,'0.Productos'!$A$3:$GG$587,'0.Productos'!BZ$1+1,0),"")</f>
        <v/>
      </c>
      <c r="AI458" s="133" t="str">
        <f>IF($A458&lt;&gt;0,VLOOKUP($A458,'0.Productos'!$A$3:$GG$587,'0.Productos'!CA$1+1,0),"")</f>
        <v/>
      </c>
      <c r="AJ458" s="133" t="str">
        <f>IF($A458&lt;&gt;0,VLOOKUP($A458,'0.Productos'!$A$3:$GG$587,'0.Productos'!CB$1+1,0),"")</f>
        <v/>
      </c>
      <c r="AK458" s="133" t="str">
        <f>IF($A458&lt;&gt;0,VLOOKUP($A458,'0.Productos'!$A$3:$GG$587,'0.Productos'!CC$1+1,0),"")</f>
        <v/>
      </c>
      <c r="AL458" s="133" t="str">
        <f>IF($A458&lt;&gt;0,VLOOKUP($A458,'0.Productos'!$A$3:$GG$587,'0.Productos'!CD$1+1,0),"")</f>
        <v/>
      </c>
      <c r="AM458" s="133" t="str">
        <f>IF($A458&lt;&gt;0,VLOOKUP($A458,'0.Productos'!$A$3:$GG$587,'0.Productos'!CE$1+1,0),"")</f>
        <v/>
      </c>
      <c r="AN458" s="133" t="str">
        <f>IF($A458&lt;&gt;0,VLOOKUP($A458,'0.Productos'!$A$3:$GG$587,'0.Productos'!CF$1+1,0),"")</f>
        <v/>
      </c>
      <c r="AO458" s="133" t="str">
        <f>IF($A458&lt;&gt;0,VLOOKUP($A458,'0.Productos'!$A$3:$GG$587,'0.Productos'!CG$1+1,0),"")</f>
        <v/>
      </c>
      <c r="AP458" s="133" t="str">
        <f>IF($A458&lt;&gt;0,VLOOKUP($A458,'0.Productos'!$A$3:$GG$587,'0.Productos'!CH$1+1,0),"")</f>
        <v/>
      </c>
      <c r="AQ458" s="133" t="str">
        <f>IF($A458&lt;&gt;0,VLOOKUP($A458,'0.Productos'!$A$3:$GG$587,'0.Productos'!CI$1+1,0),"")</f>
        <v/>
      </c>
      <c r="AR458" s="133" t="str">
        <f>IF($A458&lt;&gt;0,VLOOKUP($A458,'0.Productos'!$A$3:$GG$587,'0.Productos'!CJ$1+1,0),"")</f>
        <v/>
      </c>
      <c r="AS458" s="133" t="str">
        <f>IF($A458&lt;&gt;0,VLOOKUP($A458,'0.Productos'!$A$3:$GG$587,'0.Productos'!CK$1+1,0),"")</f>
        <v/>
      </c>
      <c r="AT458" s="133" t="str">
        <f>IF($A458&lt;&gt;0,VLOOKUP($A458,'0.Productos'!$A$3:$GG$587,'0.Productos'!CL$1+1,0),"")</f>
        <v/>
      </c>
      <c r="AU458" s="133" t="str">
        <f>IF($A458&lt;&gt;0,VLOOKUP($A458,'0.Productos'!$A$3:$GG$587,'0.Productos'!CM$1+1,0),"")</f>
        <v/>
      </c>
      <c r="AV458" s="133" t="str">
        <f>IF($A458&lt;&gt;0,VLOOKUP($A458,'0.Productos'!$A$3:$GG$587,'0.Productos'!CN$1+1,0),"")</f>
        <v/>
      </c>
      <c r="AW458" s="133" t="str">
        <f>IF($A458&lt;&gt;0,VLOOKUP($A458,'0.Productos'!$A$3:$GG$587,'0.Productos'!CO$1+1,0),"")</f>
        <v/>
      </c>
      <c r="AX458" s="133" t="str">
        <f>IF($A458&lt;&gt;0,VLOOKUP($A458,'0.Productos'!$A$3:$GG$587,'0.Productos'!CP$1+1,0),"")</f>
        <v/>
      </c>
      <c r="AY458" s="133" t="str">
        <f>IF($A458&lt;&gt;0,VLOOKUP($A458,'0.Productos'!$A$3:$GG$587,'0.Productos'!CQ$1+1,0),"")</f>
        <v/>
      </c>
      <c r="AZ458" s="133" t="str">
        <f>IF($A458&lt;&gt;0,VLOOKUP($A458,'0.Productos'!$A$3:$GG$587,'0.Productos'!CR$1+1,0),"")</f>
        <v/>
      </c>
      <c r="BA458" s="133" t="str">
        <f>IF($A458&lt;&gt;0,VLOOKUP($A458,'0.Productos'!$A$3:$GG$587,'0.Productos'!CS$1+1,0),"")</f>
        <v/>
      </c>
      <c r="BB458" s="133" t="str">
        <f>IF($A458&lt;&gt;0,VLOOKUP($A458,'0.Productos'!$A$3:$GG$587,'0.Productos'!CT$1+1,0),"")</f>
        <v/>
      </c>
      <c r="BC458" s="133" t="str">
        <f>IF($A458&lt;&gt;0,VLOOKUP($A458,'0.Productos'!$A$3:$GG$587,'0.Productos'!CU$1+1,0),"")</f>
        <v/>
      </c>
      <c r="BD458" s="133" t="str">
        <f>IF($A458&lt;&gt;0,VLOOKUP($A458,'0.Productos'!$A$3:$GG$587,'0.Productos'!CV$1+1,0),"")</f>
        <v/>
      </c>
      <c r="BE458" s="133" t="str">
        <f>IF($A458&lt;&gt;0,VLOOKUP($A458,'0.Productos'!$A$3:$GG$587,'0.Productos'!CW$1+1,0),"")</f>
        <v/>
      </c>
      <c r="BF458" s="133" t="str">
        <f>IF($A458&lt;&gt;0,VLOOKUP($A458,'0.Productos'!$A$3:$GG$587,'0.Productos'!CX$1+1,0),"")</f>
        <v/>
      </c>
      <c r="BG458" s="133" t="str">
        <f>IF($A458&lt;&gt;0,VLOOKUP($A458,'0.Productos'!$A$3:$GG$587,'0.Productos'!CY$1+1,0),"")</f>
        <v/>
      </c>
      <c r="BH458" s="133" t="str">
        <f>IF($A458&lt;&gt;0,VLOOKUP($A458,'0.Productos'!$A$3:$GG$587,'0.Productos'!CZ$1+1,0),"")</f>
        <v/>
      </c>
      <c r="BI458" s="133" t="str">
        <f>IF($A458&lt;&gt;0,VLOOKUP($A458,'0.Productos'!$A$3:$GG$587,'0.Productos'!DA$1+1,0),"")</f>
        <v/>
      </c>
      <c r="BJ458" s="133" t="str">
        <f>IF($A458&lt;&gt;0,VLOOKUP($A458,'0.Productos'!$A$3:$GG$587,'0.Productos'!DB$1+1,0),"")</f>
        <v/>
      </c>
      <c r="BK458" s="133" t="str">
        <f>IF($A458&lt;&gt;0,VLOOKUP($A458,'0.Productos'!$A$3:$GG$587,'0.Productos'!DC$1+1,0),"")</f>
        <v/>
      </c>
      <c r="BL458" s="133" t="str">
        <f>IF($A458&lt;&gt;0,VLOOKUP($A458,'0.Productos'!$A$3:$GG$587,'0.Productos'!DD$1+1,0),"")</f>
        <v/>
      </c>
      <c r="BM458" s="133" t="str">
        <f>IF($A458&lt;&gt;0,VLOOKUP($A458,'0.Productos'!$A$3:$GG$587,'0.Productos'!DE$1+1,0),"")</f>
        <v/>
      </c>
      <c r="BN458" s="133" t="str">
        <f>IF($A458&lt;&gt;0,VLOOKUP($A458,'0.Productos'!$A$3:$GG$587,'0.Productos'!DF$1+1,0),"")</f>
        <v/>
      </c>
      <c r="BO458" s="133" t="str">
        <f>IF($A458&lt;&gt;0,VLOOKUP($A458,'0.Productos'!$A$3:$GG$587,'0.Productos'!DG$1+1,0),"")</f>
        <v/>
      </c>
      <c r="BP458" s="133" t="str">
        <f>IF($A458&lt;&gt;0,VLOOKUP($A458,'0.Productos'!$A$3:$GG$587,'0.Productos'!DH$1+1,0),"")</f>
        <v/>
      </c>
      <c r="BQ458" s="133" t="str">
        <f>IF($A458&lt;&gt;0,VLOOKUP($A458,'0.Productos'!$A$3:$GG$587,'0.Productos'!DI$1+1,0),"")</f>
        <v/>
      </c>
      <c r="BR458" s="133" t="str">
        <f>IF($A458&lt;&gt;0,VLOOKUP($A458,'0.Productos'!$A$3:$GG$587,'0.Productos'!DJ$1+1,0),"")</f>
        <v/>
      </c>
      <c r="BS458" s="133" t="str">
        <f>IF($A458&lt;&gt;0,VLOOKUP($A458,'0.Productos'!$A$3:$GG$587,'0.Productos'!DK$1+1,0),"")</f>
        <v/>
      </c>
      <c r="BT458" s="133" t="str">
        <f>IF($A458&lt;&gt;0,VLOOKUP($A458,'0.Productos'!$A$3:$GG$587,'0.Productos'!DL$1+1,0),"")</f>
        <v/>
      </c>
    </row>
    <row r="459" spans="1:72" x14ac:dyDescent="0.25">
      <c r="A459" s="17">
        <f>'0.Consolidado general'!A459</f>
        <v>0</v>
      </c>
      <c r="B459" s="133" t="str">
        <f>IF($A459&lt;&gt;0,VLOOKUP($A459,'0.Productos'!$A$3:$GG$587,'0.Productos'!AT$1+1,0),"")</f>
        <v/>
      </c>
      <c r="C459" s="133" t="str">
        <f>IF($A459&lt;&gt;0,VLOOKUP($A459,'0.Productos'!$A$3:$GG$587,'0.Productos'!AU$1+1,0),"")</f>
        <v/>
      </c>
      <c r="D459" s="133" t="str">
        <f>IF($A459&lt;&gt;0,VLOOKUP($A459,'0.Productos'!$A$3:$GG$587,'0.Productos'!AV$1+1,0),"")</f>
        <v/>
      </c>
      <c r="E459" s="133" t="str">
        <f>IF($A459&lt;&gt;0,VLOOKUP($A459,'0.Productos'!$A$3:$GG$587,'0.Productos'!AW$1+1,0),"")</f>
        <v/>
      </c>
      <c r="F459" s="133" t="str">
        <f>IF($A459&lt;&gt;0,VLOOKUP($A459,'0.Productos'!$A$3:$GG$587,'0.Productos'!AX$1+1,0),"")</f>
        <v/>
      </c>
      <c r="G459" s="133" t="str">
        <f>IF($A459&lt;&gt;0,VLOOKUP($A459,'0.Productos'!$A$3:$GG$587,'0.Productos'!AY$1+1,0),"")</f>
        <v/>
      </c>
      <c r="H459" s="133" t="str">
        <f>IF($A459&lt;&gt;0,VLOOKUP($A459,'0.Productos'!$A$3:$GG$587,'0.Productos'!AZ$1+1,0),"")</f>
        <v/>
      </c>
      <c r="I459" s="133" t="str">
        <f>IF($A459&lt;&gt;0,VLOOKUP($A459,'0.Productos'!$A$3:$GG$587,'0.Productos'!BA$1+1,0),"")</f>
        <v/>
      </c>
      <c r="J459" s="133" t="str">
        <f>IF($A459&lt;&gt;0,VLOOKUP($A459,'0.Productos'!$A$3:$GG$587,'0.Productos'!BB$1+1,0),"")</f>
        <v/>
      </c>
      <c r="K459" s="133" t="str">
        <f>IF($A459&lt;&gt;0,VLOOKUP($A459,'0.Productos'!$A$3:$GG$587,'0.Productos'!BC$1+1,0),"")</f>
        <v/>
      </c>
      <c r="L459" s="133" t="str">
        <f>IF($A459&lt;&gt;0,VLOOKUP($A459,'0.Productos'!$A$3:$GG$587,'0.Productos'!BD$1+1,0),"")</f>
        <v/>
      </c>
      <c r="M459" s="133" t="str">
        <f>IF($A459&lt;&gt;0,VLOOKUP($A459,'0.Productos'!$A$3:$GG$587,'0.Productos'!BE$1+1,0),"")</f>
        <v/>
      </c>
      <c r="N459" s="133" t="str">
        <f>IF($A459&lt;&gt;0,VLOOKUP($A459,'0.Productos'!$A$3:$GG$587,'0.Productos'!BF$1+1,0),"")</f>
        <v/>
      </c>
      <c r="O459" s="133" t="str">
        <f>IF($A459&lt;&gt;0,VLOOKUP($A459,'0.Productos'!$A$3:$GG$587,'0.Productos'!BG$1+1,0),"")</f>
        <v/>
      </c>
      <c r="P459" s="133" t="str">
        <f>IF($A459&lt;&gt;0,VLOOKUP($A459,'0.Productos'!$A$3:$GG$587,'0.Productos'!BH$1+1,0),"")</f>
        <v/>
      </c>
      <c r="Q459" s="133" t="str">
        <f>IF($A459&lt;&gt;0,VLOOKUP($A459,'0.Productos'!$A$3:$GG$587,'0.Productos'!BI$1+1,0),"")</f>
        <v/>
      </c>
      <c r="R459" s="133" t="str">
        <f>IF($A459&lt;&gt;0,VLOOKUP($A459,'0.Productos'!$A$3:$GG$587,'0.Productos'!BJ$1+1,0),"")</f>
        <v/>
      </c>
      <c r="S459" s="133" t="str">
        <f>IF($A459&lt;&gt;0,VLOOKUP($A459,'0.Productos'!$A$3:$GG$587,'0.Productos'!BK$1+1,0),"")</f>
        <v/>
      </c>
      <c r="T459" s="133" t="str">
        <f>IF($A459&lt;&gt;0,VLOOKUP($A459,'0.Productos'!$A$3:$GG$587,'0.Productos'!BL$1+1,0),"")</f>
        <v/>
      </c>
      <c r="U459" s="133" t="str">
        <f>IF($A459&lt;&gt;0,VLOOKUP($A459,'0.Productos'!$A$3:$GG$587,'0.Productos'!BM$1+1,0),"")</f>
        <v/>
      </c>
      <c r="V459" s="133" t="str">
        <f>IF($A459&lt;&gt;0,VLOOKUP($A459,'0.Productos'!$A$3:$GG$587,'0.Productos'!BN$1+1,0),"")</f>
        <v/>
      </c>
      <c r="W459" s="133" t="str">
        <f>IF($A459&lt;&gt;0,VLOOKUP($A459,'0.Productos'!$A$3:$GG$587,'0.Productos'!BO$1+1,0),"")</f>
        <v/>
      </c>
      <c r="X459" s="133" t="str">
        <f>IF($A459&lt;&gt;0,VLOOKUP($A459,'0.Productos'!$A$3:$GG$587,'0.Productos'!BP$1+1,0),"")</f>
        <v/>
      </c>
      <c r="Y459" s="133" t="str">
        <f>IF($A459&lt;&gt;0,VLOOKUP($A459,'0.Productos'!$A$3:$GG$587,'0.Productos'!BQ$1+1,0),"")</f>
        <v/>
      </c>
      <c r="Z459" s="133" t="str">
        <f>IF($A459&lt;&gt;0,VLOOKUP($A459,'0.Productos'!$A$3:$GG$587,'0.Productos'!BR$1+1,0),"")</f>
        <v/>
      </c>
      <c r="AA459" s="133" t="str">
        <f>IF($A459&lt;&gt;0,VLOOKUP($A459,'0.Productos'!$A$3:$GG$587,'0.Productos'!BS$1+1,0),"")</f>
        <v/>
      </c>
      <c r="AB459" s="133" t="str">
        <f>IF($A459&lt;&gt;0,VLOOKUP($A459,'0.Productos'!$A$3:$GG$587,'0.Productos'!BT$1+1,0),"")</f>
        <v/>
      </c>
      <c r="AC459" s="133" t="str">
        <f>IF($A459&lt;&gt;0,VLOOKUP($A459,'0.Productos'!$A$3:$GG$587,'0.Productos'!BU$1+1,0),"")</f>
        <v/>
      </c>
      <c r="AD459" s="133" t="str">
        <f>IF($A459&lt;&gt;0,VLOOKUP($A459,'0.Productos'!$A$3:$GG$587,'0.Productos'!BV$1+1,0),"")</f>
        <v/>
      </c>
      <c r="AE459" s="133" t="str">
        <f>IF($A459&lt;&gt;0,VLOOKUP($A459,'0.Productos'!$A$3:$GG$587,'0.Productos'!BW$1+1,0),"")</f>
        <v/>
      </c>
      <c r="AF459" s="133" t="str">
        <f>IF($A459&lt;&gt;0,VLOOKUP($A459,'0.Productos'!$A$3:$GG$587,'0.Productos'!BX$1+1,0),"")</f>
        <v/>
      </c>
      <c r="AG459" s="133" t="str">
        <f>IF($A459&lt;&gt;0,VLOOKUP($A459,'0.Productos'!$A$3:$GG$587,'0.Productos'!BY$1+1,0),"")</f>
        <v/>
      </c>
      <c r="AH459" s="133" t="str">
        <f>IF($A459&lt;&gt;0,VLOOKUP($A459,'0.Productos'!$A$3:$GG$587,'0.Productos'!BZ$1+1,0),"")</f>
        <v/>
      </c>
      <c r="AI459" s="133" t="str">
        <f>IF($A459&lt;&gt;0,VLOOKUP($A459,'0.Productos'!$A$3:$GG$587,'0.Productos'!CA$1+1,0),"")</f>
        <v/>
      </c>
      <c r="AJ459" s="133" t="str">
        <f>IF($A459&lt;&gt;0,VLOOKUP($A459,'0.Productos'!$A$3:$GG$587,'0.Productos'!CB$1+1,0),"")</f>
        <v/>
      </c>
      <c r="AK459" s="133" t="str">
        <f>IF($A459&lt;&gt;0,VLOOKUP($A459,'0.Productos'!$A$3:$GG$587,'0.Productos'!CC$1+1,0),"")</f>
        <v/>
      </c>
      <c r="AL459" s="133" t="str">
        <f>IF($A459&lt;&gt;0,VLOOKUP($A459,'0.Productos'!$A$3:$GG$587,'0.Productos'!CD$1+1,0),"")</f>
        <v/>
      </c>
      <c r="AM459" s="133" t="str">
        <f>IF($A459&lt;&gt;0,VLOOKUP($A459,'0.Productos'!$A$3:$GG$587,'0.Productos'!CE$1+1,0),"")</f>
        <v/>
      </c>
      <c r="AN459" s="133" t="str">
        <f>IF($A459&lt;&gt;0,VLOOKUP($A459,'0.Productos'!$A$3:$GG$587,'0.Productos'!CF$1+1,0),"")</f>
        <v/>
      </c>
      <c r="AO459" s="133" t="str">
        <f>IF($A459&lt;&gt;0,VLOOKUP($A459,'0.Productos'!$A$3:$GG$587,'0.Productos'!CG$1+1,0),"")</f>
        <v/>
      </c>
      <c r="AP459" s="133" t="str">
        <f>IF($A459&lt;&gt;0,VLOOKUP($A459,'0.Productos'!$A$3:$GG$587,'0.Productos'!CH$1+1,0),"")</f>
        <v/>
      </c>
      <c r="AQ459" s="133" t="str">
        <f>IF($A459&lt;&gt;0,VLOOKUP($A459,'0.Productos'!$A$3:$GG$587,'0.Productos'!CI$1+1,0),"")</f>
        <v/>
      </c>
      <c r="AR459" s="133" t="str">
        <f>IF($A459&lt;&gt;0,VLOOKUP($A459,'0.Productos'!$A$3:$GG$587,'0.Productos'!CJ$1+1,0),"")</f>
        <v/>
      </c>
      <c r="AS459" s="133" t="str">
        <f>IF($A459&lt;&gt;0,VLOOKUP($A459,'0.Productos'!$A$3:$GG$587,'0.Productos'!CK$1+1,0),"")</f>
        <v/>
      </c>
      <c r="AT459" s="133" t="str">
        <f>IF($A459&lt;&gt;0,VLOOKUP($A459,'0.Productos'!$A$3:$GG$587,'0.Productos'!CL$1+1,0),"")</f>
        <v/>
      </c>
      <c r="AU459" s="133" t="str">
        <f>IF($A459&lt;&gt;0,VLOOKUP($A459,'0.Productos'!$A$3:$GG$587,'0.Productos'!CM$1+1,0),"")</f>
        <v/>
      </c>
      <c r="AV459" s="133" t="str">
        <f>IF($A459&lt;&gt;0,VLOOKUP($A459,'0.Productos'!$A$3:$GG$587,'0.Productos'!CN$1+1,0),"")</f>
        <v/>
      </c>
      <c r="AW459" s="133" t="str">
        <f>IF($A459&lt;&gt;0,VLOOKUP($A459,'0.Productos'!$A$3:$GG$587,'0.Productos'!CO$1+1,0),"")</f>
        <v/>
      </c>
      <c r="AX459" s="133" t="str">
        <f>IF($A459&lt;&gt;0,VLOOKUP($A459,'0.Productos'!$A$3:$GG$587,'0.Productos'!CP$1+1,0),"")</f>
        <v/>
      </c>
      <c r="AY459" s="133" t="str">
        <f>IF($A459&lt;&gt;0,VLOOKUP($A459,'0.Productos'!$A$3:$GG$587,'0.Productos'!CQ$1+1,0),"")</f>
        <v/>
      </c>
      <c r="AZ459" s="133" t="str">
        <f>IF($A459&lt;&gt;0,VLOOKUP($A459,'0.Productos'!$A$3:$GG$587,'0.Productos'!CR$1+1,0),"")</f>
        <v/>
      </c>
      <c r="BA459" s="133" t="str">
        <f>IF($A459&lt;&gt;0,VLOOKUP($A459,'0.Productos'!$A$3:$GG$587,'0.Productos'!CS$1+1,0),"")</f>
        <v/>
      </c>
      <c r="BB459" s="133" t="str">
        <f>IF($A459&lt;&gt;0,VLOOKUP($A459,'0.Productos'!$A$3:$GG$587,'0.Productos'!CT$1+1,0),"")</f>
        <v/>
      </c>
      <c r="BC459" s="133" t="str">
        <f>IF($A459&lt;&gt;0,VLOOKUP($A459,'0.Productos'!$A$3:$GG$587,'0.Productos'!CU$1+1,0),"")</f>
        <v/>
      </c>
      <c r="BD459" s="133" t="str">
        <f>IF($A459&lt;&gt;0,VLOOKUP($A459,'0.Productos'!$A$3:$GG$587,'0.Productos'!CV$1+1,0),"")</f>
        <v/>
      </c>
      <c r="BE459" s="133" t="str">
        <f>IF($A459&lt;&gt;0,VLOOKUP($A459,'0.Productos'!$A$3:$GG$587,'0.Productos'!CW$1+1,0),"")</f>
        <v/>
      </c>
      <c r="BF459" s="133" t="str">
        <f>IF($A459&lt;&gt;0,VLOOKUP($A459,'0.Productos'!$A$3:$GG$587,'0.Productos'!CX$1+1,0),"")</f>
        <v/>
      </c>
      <c r="BG459" s="133" t="str">
        <f>IF($A459&lt;&gt;0,VLOOKUP($A459,'0.Productos'!$A$3:$GG$587,'0.Productos'!CY$1+1,0),"")</f>
        <v/>
      </c>
      <c r="BH459" s="133" t="str">
        <f>IF($A459&lt;&gt;0,VLOOKUP($A459,'0.Productos'!$A$3:$GG$587,'0.Productos'!CZ$1+1,0),"")</f>
        <v/>
      </c>
      <c r="BI459" s="133" t="str">
        <f>IF($A459&lt;&gt;0,VLOOKUP($A459,'0.Productos'!$A$3:$GG$587,'0.Productos'!DA$1+1,0),"")</f>
        <v/>
      </c>
      <c r="BJ459" s="133" t="str">
        <f>IF($A459&lt;&gt;0,VLOOKUP($A459,'0.Productos'!$A$3:$GG$587,'0.Productos'!DB$1+1,0),"")</f>
        <v/>
      </c>
      <c r="BK459" s="133" t="str">
        <f>IF($A459&lt;&gt;0,VLOOKUP($A459,'0.Productos'!$A$3:$GG$587,'0.Productos'!DC$1+1,0),"")</f>
        <v/>
      </c>
      <c r="BL459" s="133" t="str">
        <f>IF($A459&lt;&gt;0,VLOOKUP($A459,'0.Productos'!$A$3:$GG$587,'0.Productos'!DD$1+1,0),"")</f>
        <v/>
      </c>
      <c r="BM459" s="133" t="str">
        <f>IF($A459&lt;&gt;0,VLOOKUP($A459,'0.Productos'!$A$3:$GG$587,'0.Productos'!DE$1+1,0),"")</f>
        <v/>
      </c>
      <c r="BN459" s="133" t="str">
        <f>IF($A459&lt;&gt;0,VLOOKUP($A459,'0.Productos'!$A$3:$GG$587,'0.Productos'!DF$1+1,0),"")</f>
        <v/>
      </c>
      <c r="BO459" s="133" t="str">
        <f>IF($A459&lt;&gt;0,VLOOKUP($A459,'0.Productos'!$A$3:$GG$587,'0.Productos'!DG$1+1,0),"")</f>
        <v/>
      </c>
      <c r="BP459" s="133" t="str">
        <f>IF($A459&lt;&gt;0,VLOOKUP($A459,'0.Productos'!$A$3:$GG$587,'0.Productos'!DH$1+1,0),"")</f>
        <v/>
      </c>
      <c r="BQ459" s="133" t="str">
        <f>IF($A459&lt;&gt;0,VLOOKUP($A459,'0.Productos'!$A$3:$GG$587,'0.Productos'!DI$1+1,0),"")</f>
        <v/>
      </c>
      <c r="BR459" s="133" t="str">
        <f>IF($A459&lt;&gt;0,VLOOKUP($A459,'0.Productos'!$A$3:$GG$587,'0.Productos'!DJ$1+1,0),"")</f>
        <v/>
      </c>
      <c r="BS459" s="133" t="str">
        <f>IF($A459&lt;&gt;0,VLOOKUP($A459,'0.Productos'!$A$3:$GG$587,'0.Productos'!DK$1+1,0),"")</f>
        <v/>
      </c>
      <c r="BT459" s="133" t="str">
        <f>IF($A459&lt;&gt;0,VLOOKUP($A459,'0.Productos'!$A$3:$GG$587,'0.Productos'!DL$1+1,0),"")</f>
        <v/>
      </c>
    </row>
    <row r="460" spans="1:72" x14ac:dyDescent="0.25">
      <c r="A460" s="17">
        <f>'0.Consolidado general'!A460</f>
        <v>0</v>
      </c>
      <c r="B460" s="133" t="str">
        <f>IF($A460&lt;&gt;0,VLOOKUP($A460,'0.Productos'!$A$3:$GG$587,'0.Productos'!AT$1+1,0),"")</f>
        <v/>
      </c>
      <c r="C460" s="133" t="str">
        <f>IF($A460&lt;&gt;0,VLOOKUP($A460,'0.Productos'!$A$3:$GG$587,'0.Productos'!AU$1+1,0),"")</f>
        <v/>
      </c>
      <c r="D460" s="133" t="str">
        <f>IF($A460&lt;&gt;0,VLOOKUP($A460,'0.Productos'!$A$3:$GG$587,'0.Productos'!AV$1+1,0),"")</f>
        <v/>
      </c>
      <c r="E460" s="133" t="str">
        <f>IF($A460&lt;&gt;0,VLOOKUP($A460,'0.Productos'!$A$3:$GG$587,'0.Productos'!AW$1+1,0),"")</f>
        <v/>
      </c>
      <c r="F460" s="133" t="str">
        <f>IF($A460&lt;&gt;0,VLOOKUP($A460,'0.Productos'!$A$3:$GG$587,'0.Productos'!AX$1+1,0),"")</f>
        <v/>
      </c>
      <c r="G460" s="133" t="str">
        <f>IF($A460&lt;&gt;0,VLOOKUP($A460,'0.Productos'!$A$3:$GG$587,'0.Productos'!AY$1+1,0),"")</f>
        <v/>
      </c>
      <c r="H460" s="133" t="str">
        <f>IF($A460&lt;&gt;0,VLOOKUP($A460,'0.Productos'!$A$3:$GG$587,'0.Productos'!AZ$1+1,0),"")</f>
        <v/>
      </c>
      <c r="I460" s="133" t="str">
        <f>IF($A460&lt;&gt;0,VLOOKUP($A460,'0.Productos'!$A$3:$GG$587,'0.Productos'!BA$1+1,0),"")</f>
        <v/>
      </c>
      <c r="J460" s="133" t="str">
        <f>IF($A460&lt;&gt;0,VLOOKUP($A460,'0.Productos'!$A$3:$GG$587,'0.Productos'!BB$1+1,0),"")</f>
        <v/>
      </c>
      <c r="K460" s="133" t="str">
        <f>IF($A460&lt;&gt;0,VLOOKUP($A460,'0.Productos'!$A$3:$GG$587,'0.Productos'!BC$1+1,0),"")</f>
        <v/>
      </c>
      <c r="L460" s="133" t="str">
        <f>IF($A460&lt;&gt;0,VLOOKUP($A460,'0.Productos'!$A$3:$GG$587,'0.Productos'!BD$1+1,0),"")</f>
        <v/>
      </c>
      <c r="M460" s="133" t="str">
        <f>IF($A460&lt;&gt;0,VLOOKUP($A460,'0.Productos'!$A$3:$GG$587,'0.Productos'!BE$1+1,0),"")</f>
        <v/>
      </c>
      <c r="N460" s="133" t="str">
        <f>IF($A460&lt;&gt;0,VLOOKUP($A460,'0.Productos'!$A$3:$GG$587,'0.Productos'!BF$1+1,0),"")</f>
        <v/>
      </c>
      <c r="O460" s="133" t="str">
        <f>IF($A460&lt;&gt;0,VLOOKUP($A460,'0.Productos'!$A$3:$GG$587,'0.Productos'!BG$1+1,0),"")</f>
        <v/>
      </c>
      <c r="P460" s="133" t="str">
        <f>IF($A460&lt;&gt;0,VLOOKUP($A460,'0.Productos'!$A$3:$GG$587,'0.Productos'!BH$1+1,0),"")</f>
        <v/>
      </c>
      <c r="Q460" s="133" t="str">
        <f>IF($A460&lt;&gt;0,VLOOKUP($A460,'0.Productos'!$A$3:$GG$587,'0.Productos'!BI$1+1,0),"")</f>
        <v/>
      </c>
      <c r="R460" s="133" t="str">
        <f>IF($A460&lt;&gt;0,VLOOKUP($A460,'0.Productos'!$A$3:$GG$587,'0.Productos'!BJ$1+1,0),"")</f>
        <v/>
      </c>
      <c r="S460" s="133" t="str">
        <f>IF($A460&lt;&gt;0,VLOOKUP($A460,'0.Productos'!$A$3:$GG$587,'0.Productos'!BK$1+1,0),"")</f>
        <v/>
      </c>
      <c r="T460" s="133" t="str">
        <f>IF($A460&lt;&gt;0,VLOOKUP($A460,'0.Productos'!$A$3:$GG$587,'0.Productos'!BL$1+1,0),"")</f>
        <v/>
      </c>
      <c r="U460" s="133" t="str">
        <f>IF($A460&lt;&gt;0,VLOOKUP($A460,'0.Productos'!$A$3:$GG$587,'0.Productos'!BM$1+1,0),"")</f>
        <v/>
      </c>
      <c r="V460" s="133" t="str">
        <f>IF($A460&lt;&gt;0,VLOOKUP($A460,'0.Productos'!$A$3:$GG$587,'0.Productos'!BN$1+1,0),"")</f>
        <v/>
      </c>
      <c r="W460" s="133" t="str">
        <f>IF($A460&lt;&gt;0,VLOOKUP($A460,'0.Productos'!$A$3:$GG$587,'0.Productos'!BO$1+1,0),"")</f>
        <v/>
      </c>
      <c r="X460" s="133" t="str">
        <f>IF($A460&lt;&gt;0,VLOOKUP($A460,'0.Productos'!$A$3:$GG$587,'0.Productos'!BP$1+1,0),"")</f>
        <v/>
      </c>
      <c r="Y460" s="133" t="str">
        <f>IF($A460&lt;&gt;0,VLOOKUP($A460,'0.Productos'!$A$3:$GG$587,'0.Productos'!BQ$1+1,0),"")</f>
        <v/>
      </c>
      <c r="Z460" s="133" t="str">
        <f>IF($A460&lt;&gt;0,VLOOKUP($A460,'0.Productos'!$A$3:$GG$587,'0.Productos'!BR$1+1,0),"")</f>
        <v/>
      </c>
      <c r="AA460" s="133" t="str">
        <f>IF($A460&lt;&gt;0,VLOOKUP($A460,'0.Productos'!$A$3:$GG$587,'0.Productos'!BS$1+1,0),"")</f>
        <v/>
      </c>
      <c r="AB460" s="133" t="str">
        <f>IF($A460&lt;&gt;0,VLOOKUP($A460,'0.Productos'!$A$3:$GG$587,'0.Productos'!BT$1+1,0),"")</f>
        <v/>
      </c>
      <c r="AC460" s="133" t="str">
        <f>IF($A460&lt;&gt;0,VLOOKUP($A460,'0.Productos'!$A$3:$GG$587,'0.Productos'!BU$1+1,0),"")</f>
        <v/>
      </c>
      <c r="AD460" s="133" t="str">
        <f>IF($A460&lt;&gt;0,VLOOKUP($A460,'0.Productos'!$A$3:$GG$587,'0.Productos'!BV$1+1,0),"")</f>
        <v/>
      </c>
      <c r="AE460" s="133" t="str">
        <f>IF($A460&lt;&gt;0,VLOOKUP($A460,'0.Productos'!$A$3:$GG$587,'0.Productos'!BW$1+1,0),"")</f>
        <v/>
      </c>
      <c r="AF460" s="133" t="str">
        <f>IF($A460&lt;&gt;0,VLOOKUP($A460,'0.Productos'!$A$3:$GG$587,'0.Productos'!BX$1+1,0),"")</f>
        <v/>
      </c>
      <c r="AG460" s="133" t="str">
        <f>IF($A460&lt;&gt;0,VLOOKUP($A460,'0.Productos'!$A$3:$GG$587,'0.Productos'!BY$1+1,0),"")</f>
        <v/>
      </c>
      <c r="AH460" s="133" t="str">
        <f>IF($A460&lt;&gt;0,VLOOKUP($A460,'0.Productos'!$A$3:$GG$587,'0.Productos'!BZ$1+1,0),"")</f>
        <v/>
      </c>
      <c r="AI460" s="133" t="str">
        <f>IF($A460&lt;&gt;0,VLOOKUP($A460,'0.Productos'!$A$3:$GG$587,'0.Productos'!CA$1+1,0),"")</f>
        <v/>
      </c>
      <c r="AJ460" s="133" t="str">
        <f>IF($A460&lt;&gt;0,VLOOKUP($A460,'0.Productos'!$A$3:$GG$587,'0.Productos'!CB$1+1,0),"")</f>
        <v/>
      </c>
      <c r="AK460" s="133" t="str">
        <f>IF($A460&lt;&gt;0,VLOOKUP($A460,'0.Productos'!$A$3:$GG$587,'0.Productos'!CC$1+1,0),"")</f>
        <v/>
      </c>
      <c r="AL460" s="133" t="str">
        <f>IF($A460&lt;&gt;0,VLOOKUP($A460,'0.Productos'!$A$3:$GG$587,'0.Productos'!CD$1+1,0),"")</f>
        <v/>
      </c>
      <c r="AM460" s="133" t="str">
        <f>IF($A460&lt;&gt;0,VLOOKUP($A460,'0.Productos'!$A$3:$GG$587,'0.Productos'!CE$1+1,0),"")</f>
        <v/>
      </c>
      <c r="AN460" s="133" t="str">
        <f>IF($A460&lt;&gt;0,VLOOKUP($A460,'0.Productos'!$A$3:$GG$587,'0.Productos'!CF$1+1,0),"")</f>
        <v/>
      </c>
      <c r="AO460" s="133" t="str">
        <f>IF($A460&lt;&gt;0,VLOOKUP($A460,'0.Productos'!$A$3:$GG$587,'0.Productos'!CG$1+1,0),"")</f>
        <v/>
      </c>
      <c r="AP460" s="133" t="str">
        <f>IF($A460&lt;&gt;0,VLOOKUP($A460,'0.Productos'!$A$3:$GG$587,'0.Productos'!CH$1+1,0),"")</f>
        <v/>
      </c>
      <c r="AQ460" s="133" t="str">
        <f>IF($A460&lt;&gt;0,VLOOKUP($A460,'0.Productos'!$A$3:$GG$587,'0.Productos'!CI$1+1,0),"")</f>
        <v/>
      </c>
      <c r="AR460" s="133" t="str">
        <f>IF($A460&lt;&gt;0,VLOOKUP($A460,'0.Productos'!$A$3:$GG$587,'0.Productos'!CJ$1+1,0),"")</f>
        <v/>
      </c>
      <c r="AS460" s="133" t="str">
        <f>IF($A460&lt;&gt;0,VLOOKUP($A460,'0.Productos'!$A$3:$GG$587,'0.Productos'!CK$1+1,0),"")</f>
        <v/>
      </c>
      <c r="AT460" s="133" t="str">
        <f>IF($A460&lt;&gt;0,VLOOKUP($A460,'0.Productos'!$A$3:$GG$587,'0.Productos'!CL$1+1,0),"")</f>
        <v/>
      </c>
      <c r="AU460" s="133" t="str">
        <f>IF($A460&lt;&gt;0,VLOOKUP($A460,'0.Productos'!$A$3:$GG$587,'0.Productos'!CM$1+1,0),"")</f>
        <v/>
      </c>
      <c r="AV460" s="133" t="str">
        <f>IF($A460&lt;&gt;0,VLOOKUP($A460,'0.Productos'!$A$3:$GG$587,'0.Productos'!CN$1+1,0),"")</f>
        <v/>
      </c>
      <c r="AW460" s="133" t="str">
        <f>IF($A460&lt;&gt;0,VLOOKUP($A460,'0.Productos'!$A$3:$GG$587,'0.Productos'!CO$1+1,0),"")</f>
        <v/>
      </c>
      <c r="AX460" s="133" t="str">
        <f>IF($A460&lt;&gt;0,VLOOKUP($A460,'0.Productos'!$A$3:$GG$587,'0.Productos'!CP$1+1,0),"")</f>
        <v/>
      </c>
      <c r="AY460" s="133" t="str">
        <f>IF($A460&lt;&gt;0,VLOOKUP($A460,'0.Productos'!$A$3:$GG$587,'0.Productos'!CQ$1+1,0),"")</f>
        <v/>
      </c>
      <c r="AZ460" s="133" t="str">
        <f>IF($A460&lt;&gt;0,VLOOKUP($A460,'0.Productos'!$A$3:$GG$587,'0.Productos'!CR$1+1,0),"")</f>
        <v/>
      </c>
      <c r="BA460" s="133" t="str">
        <f>IF($A460&lt;&gt;0,VLOOKUP($A460,'0.Productos'!$A$3:$GG$587,'0.Productos'!CS$1+1,0),"")</f>
        <v/>
      </c>
      <c r="BB460" s="133" t="str">
        <f>IF($A460&lt;&gt;0,VLOOKUP($A460,'0.Productos'!$A$3:$GG$587,'0.Productos'!CT$1+1,0),"")</f>
        <v/>
      </c>
      <c r="BC460" s="133" t="str">
        <f>IF($A460&lt;&gt;0,VLOOKUP($A460,'0.Productos'!$A$3:$GG$587,'0.Productos'!CU$1+1,0),"")</f>
        <v/>
      </c>
      <c r="BD460" s="133" t="str">
        <f>IF($A460&lt;&gt;0,VLOOKUP($A460,'0.Productos'!$A$3:$GG$587,'0.Productos'!CV$1+1,0),"")</f>
        <v/>
      </c>
      <c r="BE460" s="133" t="str">
        <f>IF($A460&lt;&gt;0,VLOOKUP($A460,'0.Productos'!$A$3:$GG$587,'0.Productos'!CW$1+1,0),"")</f>
        <v/>
      </c>
      <c r="BF460" s="133" t="str">
        <f>IF($A460&lt;&gt;0,VLOOKUP($A460,'0.Productos'!$A$3:$GG$587,'0.Productos'!CX$1+1,0),"")</f>
        <v/>
      </c>
      <c r="BG460" s="133" t="str">
        <f>IF($A460&lt;&gt;0,VLOOKUP($A460,'0.Productos'!$A$3:$GG$587,'0.Productos'!CY$1+1,0),"")</f>
        <v/>
      </c>
      <c r="BH460" s="133" t="str">
        <f>IF($A460&lt;&gt;0,VLOOKUP($A460,'0.Productos'!$A$3:$GG$587,'0.Productos'!CZ$1+1,0),"")</f>
        <v/>
      </c>
      <c r="BI460" s="133" t="str">
        <f>IF($A460&lt;&gt;0,VLOOKUP($A460,'0.Productos'!$A$3:$GG$587,'0.Productos'!DA$1+1,0),"")</f>
        <v/>
      </c>
      <c r="BJ460" s="133" t="str">
        <f>IF($A460&lt;&gt;0,VLOOKUP($A460,'0.Productos'!$A$3:$GG$587,'0.Productos'!DB$1+1,0),"")</f>
        <v/>
      </c>
      <c r="BK460" s="133" t="str">
        <f>IF($A460&lt;&gt;0,VLOOKUP($A460,'0.Productos'!$A$3:$GG$587,'0.Productos'!DC$1+1,0),"")</f>
        <v/>
      </c>
      <c r="BL460" s="133" t="str">
        <f>IF($A460&lt;&gt;0,VLOOKUP($A460,'0.Productos'!$A$3:$GG$587,'0.Productos'!DD$1+1,0),"")</f>
        <v/>
      </c>
      <c r="BM460" s="133" t="str">
        <f>IF($A460&lt;&gt;0,VLOOKUP($A460,'0.Productos'!$A$3:$GG$587,'0.Productos'!DE$1+1,0),"")</f>
        <v/>
      </c>
      <c r="BN460" s="133" t="str">
        <f>IF($A460&lt;&gt;0,VLOOKUP($A460,'0.Productos'!$A$3:$GG$587,'0.Productos'!DF$1+1,0),"")</f>
        <v/>
      </c>
      <c r="BO460" s="133" t="str">
        <f>IF($A460&lt;&gt;0,VLOOKUP($A460,'0.Productos'!$A$3:$GG$587,'0.Productos'!DG$1+1,0),"")</f>
        <v/>
      </c>
      <c r="BP460" s="133" t="str">
        <f>IF($A460&lt;&gt;0,VLOOKUP($A460,'0.Productos'!$A$3:$GG$587,'0.Productos'!DH$1+1,0),"")</f>
        <v/>
      </c>
      <c r="BQ460" s="133" t="str">
        <f>IF($A460&lt;&gt;0,VLOOKUP($A460,'0.Productos'!$A$3:$GG$587,'0.Productos'!DI$1+1,0),"")</f>
        <v/>
      </c>
      <c r="BR460" s="133" t="str">
        <f>IF($A460&lt;&gt;0,VLOOKUP($A460,'0.Productos'!$A$3:$GG$587,'0.Productos'!DJ$1+1,0),"")</f>
        <v/>
      </c>
      <c r="BS460" s="133" t="str">
        <f>IF($A460&lt;&gt;0,VLOOKUP($A460,'0.Productos'!$A$3:$GG$587,'0.Productos'!DK$1+1,0),"")</f>
        <v/>
      </c>
      <c r="BT460" s="133" t="str">
        <f>IF($A460&lt;&gt;0,VLOOKUP($A460,'0.Productos'!$A$3:$GG$587,'0.Productos'!DL$1+1,0),"")</f>
        <v/>
      </c>
    </row>
    <row r="461" spans="1:72" x14ac:dyDescent="0.25">
      <c r="A461" s="17">
        <f>'0.Consolidado general'!A461</f>
        <v>0</v>
      </c>
      <c r="B461" s="133" t="str">
        <f>IF($A461&lt;&gt;0,VLOOKUP($A461,'0.Productos'!$A$3:$GG$587,'0.Productos'!AT$1+1,0),"")</f>
        <v/>
      </c>
      <c r="C461" s="133" t="str">
        <f>IF($A461&lt;&gt;0,VLOOKUP($A461,'0.Productos'!$A$3:$GG$587,'0.Productos'!AU$1+1,0),"")</f>
        <v/>
      </c>
      <c r="D461" s="133" t="str">
        <f>IF($A461&lt;&gt;0,VLOOKUP($A461,'0.Productos'!$A$3:$GG$587,'0.Productos'!AV$1+1,0),"")</f>
        <v/>
      </c>
      <c r="E461" s="133" t="str">
        <f>IF($A461&lt;&gt;0,VLOOKUP($A461,'0.Productos'!$A$3:$GG$587,'0.Productos'!AW$1+1,0),"")</f>
        <v/>
      </c>
      <c r="F461" s="133" t="str">
        <f>IF($A461&lt;&gt;0,VLOOKUP($A461,'0.Productos'!$A$3:$GG$587,'0.Productos'!AX$1+1,0),"")</f>
        <v/>
      </c>
      <c r="G461" s="133" t="str">
        <f>IF($A461&lt;&gt;0,VLOOKUP($A461,'0.Productos'!$A$3:$GG$587,'0.Productos'!AY$1+1,0),"")</f>
        <v/>
      </c>
      <c r="H461" s="133" t="str">
        <f>IF($A461&lt;&gt;0,VLOOKUP($A461,'0.Productos'!$A$3:$GG$587,'0.Productos'!AZ$1+1,0),"")</f>
        <v/>
      </c>
      <c r="I461" s="133" t="str">
        <f>IF($A461&lt;&gt;0,VLOOKUP($A461,'0.Productos'!$A$3:$GG$587,'0.Productos'!BA$1+1,0),"")</f>
        <v/>
      </c>
      <c r="J461" s="133" t="str">
        <f>IF($A461&lt;&gt;0,VLOOKUP($A461,'0.Productos'!$A$3:$GG$587,'0.Productos'!BB$1+1,0),"")</f>
        <v/>
      </c>
      <c r="K461" s="133" t="str">
        <f>IF($A461&lt;&gt;0,VLOOKUP($A461,'0.Productos'!$A$3:$GG$587,'0.Productos'!BC$1+1,0),"")</f>
        <v/>
      </c>
      <c r="L461" s="133" t="str">
        <f>IF($A461&lt;&gt;0,VLOOKUP($A461,'0.Productos'!$A$3:$GG$587,'0.Productos'!BD$1+1,0),"")</f>
        <v/>
      </c>
      <c r="M461" s="133" t="str">
        <f>IF($A461&lt;&gt;0,VLOOKUP($A461,'0.Productos'!$A$3:$GG$587,'0.Productos'!BE$1+1,0),"")</f>
        <v/>
      </c>
      <c r="N461" s="133" t="str">
        <f>IF($A461&lt;&gt;0,VLOOKUP($A461,'0.Productos'!$A$3:$GG$587,'0.Productos'!BF$1+1,0),"")</f>
        <v/>
      </c>
      <c r="O461" s="133" t="str">
        <f>IF($A461&lt;&gt;0,VLOOKUP($A461,'0.Productos'!$A$3:$GG$587,'0.Productos'!BG$1+1,0),"")</f>
        <v/>
      </c>
      <c r="P461" s="133" t="str">
        <f>IF($A461&lt;&gt;0,VLOOKUP($A461,'0.Productos'!$A$3:$GG$587,'0.Productos'!BH$1+1,0),"")</f>
        <v/>
      </c>
      <c r="Q461" s="133" t="str">
        <f>IF($A461&lt;&gt;0,VLOOKUP($A461,'0.Productos'!$A$3:$GG$587,'0.Productos'!BI$1+1,0),"")</f>
        <v/>
      </c>
      <c r="R461" s="133" t="str">
        <f>IF($A461&lt;&gt;0,VLOOKUP($A461,'0.Productos'!$A$3:$GG$587,'0.Productos'!BJ$1+1,0),"")</f>
        <v/>
      </c>
      <c r="S461" s="133" t="str">
        <f>IF($A461&lt;&gt;0,VLOOKUP($A461,'0.Productos'!$A$3:$GG$587,'0.Productos'!BK$1+1,0),"")</f>
        <v/>
      </c>
      <c r="T461" s="133" t="str">
        <f>IF($A461&lt;&gt;0,VLOOKUP($A461,'0.Productos'!$A$3:$GG$587,'0.Productos'!BL$1+1,0),"")</f>
        <v/>
      </c>
      <c r="U461" s="133" t="str">
        <f>IF($A461&lt;&gt;0,VLOOKUP($A461,'0.Productos'!$A$3:$GG$587,'0.Productos'!BM$1+1,0),"")</f>
        <v/>
      </c>
      <c r="V461" s="133" t="str">
        <f>IF($A461&lt;&gt;0,VLOOKUP($A461,'0.Productos'!$A$3:$GG$587,'0.Productos'!BN$1+1,0),"")</f>
        <v/>
      </c>
      <c r="W461" s="133" t="str">
        <f>IF($A461&lt;&gt;0,VLOOKUP($A461,'0.Productos'!$A$3:$GG$587,'0.Productos'!BO$1+1,0),"")</f>
        <v/>
      </c>
      <c r="X461" s="133" t="str">
        <f>IF($A461&lt;&gt;0,VLOOKUP($A461,'0.Productos'!$A$3:$GG$587,'0.Productos'!BP$1+1,0),"")</f>
        <v/>
      </c>
      <c r="Y461" s="133" t="str">
        <f>IF($A461&lt;&gt;0,VLOOKUP($A461,'0.Productos'!$A$3:$GG$587,'0.Productos'!BQ$1+1,0),"")</f>
        <v/>
      </c>
      <c r="Z461" s="133" t="str">
        <f>IF($A461&lt;&gt;0,VLOOKUP($A461,'0.Productos'!$A$3:$GG$587,'0.Productos'!BR$1+1,0),"")</f>
        <v/>
      </c>
      <c r="AA461" s="133" t="str">
        <f>IF($A461&lt;&gt;0,VLOOKUP($A461,'0.Productos'!$A$3:$GG$587,'0.Productos'!BS$1+1,0),"")</f>
        <v/>
      </c>
      <c r="AB461" s="133" t="str">
        <f>IF($A461&lt;&gt;0,VLOOKUP($A461,'0.Productos'!$A$3:$GG$587,'0.Productos'!BT$1+1,0),"")</f>
        <v/>
      </c>
      <c r="AC461" s="133" t="str">
        <f>IF($A461&lt;&gt;0,VLOOKUP($A461,'0.Productos'!$A$3:$GG$587,'0.Productos'!BU$1+1,0),"")</f>
        <v/>
      </c>
      <c r="AD461" s="133" t="str">
        <f>IF($A461&lt;&gt;0,VLOOKUP($A461,'0.Productos'!$A$3:$GG$587,'0.Productos'!BV$1+1,0),"")</f>
        <v/>
      </c>
      <c r="AE461" s="133" t="str">
        <f>IF($A461&lt;&gt;0,VLOOKUP($A461,'0.Productos'!$A$3:$GG$587,'0.Productos'!BW$1+1,0),"")</f>
        <v/>
      </c>
      <c r="AF461" s="133" t="str">
        <f>IF($A461&lt;&gt;0,VLOOKUP($A461,'0.Productos'!$A$3:$GG$587,'0.Productos'!BX$1+1,0),"")</f>
        <v/>
      </c>
      <c r="AG461" s="133" t="str">
        <f>IF($A461&lt;&gt;0,VLOOKUP($A461,'0.Productos'!$A$3:$GG$587,'0.Productos'!BY$1+1,0),"")</f>
        <v/>
      </c>
      <c r="AH461" s="133" t="str">
        <f>IF($A461&lt;&gt;0,VLOOKUP($A461,'0.Productos'!$A$3:$GG$587,'0.Productos'!BZ$1+1,0),"")</f>
        <v/>
      </c>
      <c r="AI461" s="133" t="str">
        <f>IF($A461&lt;&gt;0,VLOOKUP($A461,'0.Productos'!$A$3:$GG$587,'0.Productos'!CA$1+1,0),"")</f>
        <v/>
      </c>
      <c r="AJ461" s="133" t="str">
        <f>IF($A461&lt;&gt;0,VLOOKUP($A461,'0.Productos'!$A$3:$GG$587,'0.Productos'!CB$1+1,0),"")</f>
        <v/>
      </c>
      <c r="AK461" s="133" t="str">
        <f>IF($A461&lt;&gt;0,VLOOKUP($A461,'0.Productos'!$A$3:$GG$587,'0.Productos'!CC$1+1,0),"")</f>
        <v/>
      </c>
      <c r="AL461" s="133" t="str">
        <f>IF($A461&lt;&gt;0,VLOOKUP($A461,'0.Productos'!$A$3:$GG$587,'0.Productos'!CD$1+1,0),"")</f>
        <v/>
      </c>
      <c r="AM461" s="133" t="str">
        <f>IF($A461&lt;&gt;0,VLOOKUP($A461,'0.Productos'!$A$3:$GG$587,'0.Productos'!CE$1+1,0),"")</f>
        <v/>
      </c>
      <c r="AN461" s="133" t="str">
        <f>IF($A461&lt;&gt;0,VLOOKUP($A461,'0.Productos'!$A$3:$GG$587,'0.Productos'!CF$1+1,0),"")</f>
        <v/>
      </c>
      <c r="AO461" s="133" t="str">
        <f>IF($A461&lt;&gt;0,VLOOKUP($A461,'0.Productos'!$A$3:$GG$587,'0.Productos'!CG$1+1,0),"")</f>
        <v/>
      </c>
      <c r="AP461" s="133" t="str">
        <f>IF($A461&lt;&gt;0,VLOOKUP($A461,'0.Productos'!$A$3:$GG$587,'0.Productos'!CH$1+1,0),"")</f>
        <v/>
      </c>
      <c r="AQ461" s="133" t="str">
        <f>IF($A461&lt;&gt;0,VLOOKUP($A461,'0.Productos'!$A$3:$GG$587,'0.Productos'!CI$1+1,0),"")</f>
        <v/>
      </c>
      <c r="AR461" s="133" t="str">
        <f>IF($A461&lt;&gt;0,VLOOKUP($A461,'0.Productos'!$A$3:$GG$587,'0.Productos'!CJ$1+1,0),"")</f>
        <v/>
      </c>
      <c r="AS461" s="133" t="str">
        <f>IF($A461&lt;&gt;0,VLOOKUP($A461,'0.Productos'!$A$3:$GG$587,'0.Productos'!CK$1+1,0),"")</f>
        <v/>
      </c>
      <c r="AT461" s="133" t="str">
        <f>IF($A461&lt;&gt;0,VLOOKUP($A461,'0.Productos'!$A$3:$GG$587,'0.Productos'!CL$1+1,0),"")</f>
        <v/>
      </c>
      <c r="AU461" s="133" t="str">
        <f>IF($A461&lt;&gt;0,VLOOKUP($A461,'0.Productos'!$A$3:$GG$587,'0.Productos'!CM$1+1,0),"")</f>
        <v/>
      </c>
      <c r="AV461" s="133" t="str">
        <f>IF($A461&lt;&gt;0,VLOOKUP($A461,'0.Productos'!$A$3:$GG$587,'0.Productos'!CN$1+1,0),"")</f>
        <v/>
      </c>
      <c r="AW461" s="133" t="str">
        <f>IF($A461&lt;&gt;0,VLOOKUP($A461,'0.Productos'!$A$3:$GG$587,'0.Productos'!CO$1+1,0),"")</f>
        <v/>
      </c>
      <c r="AX461" s="133" t="str">
        <f>IF($A461&lt;&gt;0,VLOOKUP($A461,'0.Productos'!$A$3:$GG$587,'0.Productos'!CP$1+1,0),"")</f>
        <v/>
      </c>
      <c r="AY461" s="133" t="str">
        <f>IF($A461&lt;&gt;0,VLOOKUP($A461,'0.Productos'!$A$3:$GG$587,'0.Productos'!CQ$1+1,0),"")</f>
        <v/>
      </c>
      <c r="AZ461" s="133" t="str">
        <f>IF($A461&lt;&gt;0,VLOOKUP($A461,'0.Productos'!$A$3:$GG$587,'0.Productos'!CR$1+1,0),"")</f>
        <v/>
      </c>
      <c r="BA461" s="133" t="str">
        <f>IF($A461&lt;&gt;0,VLOOKUP($A461,'0.Productos'!$A$3:$GG$587,'0.Productos'!CS$1+1,0),"")</f>
        <v/>
      </c>
      <c r="BB461" s="133" t="str">
        <f>IF($A461&lt;&gt;0,VLOOKUP($A461,'0.Productos'!$A$3:$GG$587,'0.Productos'!CT$1+1,0),"")</f>
        <v/>
      </c>
      <c r="BC461" s="133" t="str">
        <f>IF($A461&lt;&gt;0,VLOOKUP($A461,'0.Productos'!$A$3:$GG$587,'0.Productos'!CU$1+1,0),"")</f>
        <v/>
      </c>
      <c r="BD461" s="133" t="str">
        <f>IF($A461&lt;&gt;0,VLOOKUP($A461,'0.Productos'!$A$3:$GG$587,'0.Productos'!CV$1+1,0),"")</f>
        <v/>
      </c>
      <c r="BE461" s="133" t="str">
        <f>IF($A461&lt;&gt;0,VLOOKUP($A461,'0.Productos'!$A$3:$GG$587,'0.Productos'!CW$1+1,0),"")</f>
        <v/>
      </c>
      <c r="BF461" s="133" t="str">
        <f>IF($A461&lt;&gt;0,VLOOKUP($A461,'0.Productos'!$A$3:$GG$587,'0.Productos'!CX$1+1,0),"")</f>
        <v/>
      </c>
      <c r="BG461" s="133" t="str">
        <f>IF($A461&lt;&gt;0,VLOOKUP($A461,'0.Productos'!$A$3:$GG$587,'0.Productos'!CY$1+1,0),"")</f>
        <v/>
      </c>
      <c r="BH461" s="133" t="str">
        <f>IF($A461&lt;&gt;0,VLOOKUP($A461,'0.Productos'!$A$3:$GG$587,'0.Productos'!CZ$1+1,0),"")</f>
        <v/>
      </c>
      <c r="BI461" s="133" t="str">
        <f>IF($A461&lt;&gt;0,VLOOKUP($A461,'0.Productos'!$A$3:$GG$587,'0.Productos'!DA$1+1,0),"")</f>
        <v/>
      </c>
      <c r="BJ461" s="133" t="str">
        <f>IF($A461&lt;&gt;0,VLOOKUP($A461,'0.Productos'!$A$3:$GG$587,'0.Productos'!DB$1+1,0),"")</f>
        <v/>
      </c>
      <c r="BK461" s="133" t="str">
        <f>IF($A461&lt;&gt;0,VLOOKUP($A461,'0.Productos'!$A$3:$GG$587,'0.Productos'!DC$1+1,0),"")</f>
        <v/>
      </c>
      <c r="BL461" s="133" t="str">
        <f>IF($A461&lt;&gt;0,VLOOKUP($A461,'0.Productos'!$A$3:$GG$587,'0.Productos'!DD$1+1,0),"")</f>
        <v/>
      </c>
      <c r="BM461" s="133" t="str">
        <f>IF($A461&lt;&gt;0,VLOOKUP($A461,'0.Productos'!$A$3:$GG$587,'0.Productos'!DE$1+1,0),"")</f>
        <v/>
      </c>
      <c r="BN461" s="133" t="str">
        <f>IF($A461&lt;&gt;0,VLOOKUP($A461,'0.Productos'!$A$3:$GG$587,'0.Productos'!DF$1+1,0),"")</f>
        <v/>
      </c>
      <c r="BO461" s="133" t="str">
        <f>IF($A461&lt;&gt;0,VLOOKUP($A461,'0.Productos'!$A$3:$GG$587,'0.Productos'!DG$1+1,0),"")</f>
        <v/>
      </c>
      <c r="BP461" s="133" t="str">
        <f>IF($A461&lt;&gt;0,VLOOKUP($A461,'0.Productos'!$A$3:$GG$587,'0.Productos'!DH$1+1,0),"")</f>
        <v/>
      </c>
      <c r="BQ461" s="133" t="str">
        <f>IF($A461&lt;&gt;0,VLOOKUP($A461,'0.Productos'!$A$3:$GG$587,'0.Productos'!DI$1+1,0),"")</f>
        <v/>
      </c>
      <c r="BR461" s="133" t="str">
        <f>IF($A461&lt;&gt;0,VLOOKUP($A461,'0.Productos'!$A$3:$GG$587,'0.Productos'!DJ$1+1,0),"")</f>
        <v/>
      </c>
      <c r="BS461" s="133" t="str">
        <f>IF($A461&lt;&gt;0,VLOOKUP($A461,'0.Productos'!$A$3:$GG$587,'0.Productos'!DK$1+1,0),"")</f>
        <v/>
      </c>
      <c r="BT461" s="133" t="str">
        <f>IF($A461&lt;&gt;0,VLOOKUP($A461,'0.Productos'!$A$3:$GG$587,'0.Productos'!DL$1+1,0),"")</f>
        <v/>
      </c>
    </row>
    <row r="462" spans="1:72" x14ac:dyDescent="0.25">
      <c r="A462" s="17">
        <f>'0.Consolidado general'!A462</f>
        <v>0</v>
      </c>
      <c r="B462" s="133" t="str">
        <f>IF($A462&lt;&gt;0,VLOOKUP($A462,'0.Productos'!$A$3:$GG$587,'0.Productos'!AT$1+1,0),"")</f>
        <v/>
      </c>
      <c r="C462" s="133" t="str">
        <f>IF($A462&lt;&gt;0,VLOOKUP($A462,'0.Productos'!$A$3:$GG$587,'0.Productos'!AU$1+1,0),"")</f>
        <v/>
      </c>
      <c r="D462" s="133" t="str">
        <f>IF($A462&lt;&gt;0,VLOOKUP($A462,'0.Productos'!$A$3:$GG$587,'0.Productos'!AV$1+1,0),"")</f>
        <v/>
      </c>
      <c r="E462" s="133" t="str">
        <f>IF($A462&lt;&gt;0,VLOOKUP($A462,'0.Productos'!$A$3:$GG$587,'0.Productos'!AW$1+1,0),"")</f>
        <v/>
      </c>
      <c r="F462" s="133" t="str">
        <f>IF($A462&lt;&gt;0,VLOOKUP($A462,'0.Productos'!$A$3:$GG$587,'0.Productos'!AX$1+1,0),"")</f>
        <v/>
      </c>
      <c r="G462" s="133" t="str">
        <f>IF($A462&lt;&gt;0,VLOOKUP($A462,'0.Productos'!$A$3:$GG$587,'0.Productos'!AY$1+1,0),"")</f>
        <v/>
      </c>
      <c r="H462" s="133" t="str">
        <f>IF($A462&lt;&gt;0,VLOOKUP($A462,'0.Productos'!$A$3:$GG$587,'0.Productos'!AZ$1+1,0),"")</f>
        <v/>
      </c>
      <c r="I462" s="133" t="str">
        <f>IF($A462&lt;&gt;0,VLOOKUP($A462,'0.Productos'!$A$3:$GG$587,'0.Productos'!BA$1+1,0),"")</f>
        <v/>
      </c>
      <c r="J462" s="133" t="str">
        <f>IF($A462&lt;&gt;0,VLOOKUP($A462,'0.Productos'!$A$3:$GG$587,'0.Productos'!BB$1+1,0),"")</f>
        <v/>
      </c>
      <c r="K462" s="133" t="str">
        <f>IF($A462&lt;&gt;0,VLOOKUP($A462,'0.Productos'!$A$3:$GG$587,'0.Productos'!BC$1+1,0),"")</f>
        <v/>
      </c>
      <c r="L462" s="133" t="str">
        <f>IF($A462&lt;&gt;0,VLOOKUP($A462,'0.Productos'!$A$3:$GG$587,'0.Productos'!BD$1+1,0),"")</f>
        <v/>
      </c>
      <c r="M462" s="133" t="str">
        <f>IF($A462&lt;&gt;0,VLOOKUP($A462,'0.Productos'!$A$3:$GG$587,'0.Productos'!BE$1+1,0),"")</f>
        <v/>
      </c>
      <c r="N462" s="133" t="str">
        <f>IF($A462&lt;&gt;0,VLOOKUP($A462,'0.Productos'!$A$3:$GG$587,'0.Productos'!BF$1+1,0),"")</f>
        <v/>
      </c>
      <c r="O462" s="133" t="str">
        <f>IF($A462&lt;&gt;0,VLOOKUP($A462,'0.Productos'!$A$3:$GG$587,'0.Productos'!BG$1+1,0),"")</f>
        <v/>
      </c>
      <c r="P462" s="133" t="str">
        <f>IF($A462&lt;&gt;0,VLOOKUP($A462,'0.Productos'!$A$3:$GG$587,'0.Productos'!BH$1+1,0),"")</f>
        <v/>
      </c>
      <c r="Q462" s="133" t="str">
        <f>IF($A462&lt;&gt;0,VLOOKUP($A462,'0.Productos'!$A$3:$GG$587,'0.Productos'!BI$1+1,0),"")</f>
        <v/>
      </c>
      <c r="R462" s="133" t="str">
        <f>IF($A462&lt;&gt;0,VLOOKUP($A462,'0.Productos'!$A$3:$GG$587,'0.Productos'!BJ$1+1,0),"")</f>
        <v/>
      </c>
      <c r="S462" s="133" t="str">
        <f>IF($A462&lt;&gt;0,VLOOKUP($A462,'0.Productos'!$A$3:$GG$587,'0.Productos'!BK$1+1,0),"")</f>
        <v/>
      </c>
      <c r="T462" s="133" t="str">
        <f>IF($A462&lt;&gt;0,VLOOKUP($A462,'0.Productos'!$A$3:$GG$587,'0.Productos'!BL$1+1,0),"")</f>
        <v/>
      </c>
      <c r="U462" s="133" t="str">
        <f>IF($A462&lt;&gt;0,VLOOKUP($A462,'0.Productos'!$A$3:$GG$587,'0.Productos'!BM$1+1,0),"")</f>
        <v/>
      </c>
      <c r="V462" s="133" t="str">
        <f>IF($A462&lt;&gt;0,VLOOKUP($A462,'0.Productos'!$A$3:$GG$587,'0.Productos'!BN$1+1,0),"")</f>
        <v/>
      </c>
      <c r="W462" s="133" t="str">
        <f>IF($A462&lt;&gt;0,VLOOKUP($A462,'0.Productos'!$A$3:$GG$587,'0.Productos'!BO$1+1,0),"")</f>
        <v/>
      </c>
      <c r="X462" s="133" t="str">
        <f>IF($A462&lt;&gt;0,VLOOKUP($A462,'0.Productos'!$A$3:$GG$587,'0.Productos'!BP$1+1,0),"")</f>
        <v/>
      </c>
      <c r="Y462" s="133" t="str">
        <f>IF($A462&lt;&gt;0,VLOOKUP($A462,'0.Productos'!$A$3:$GG$587,'0.Productos'!BQ$1+1,0),"")</f>
        <v/>
      </c>
      <c r="Z462" s="133" t="str">
        <f>IF($A462&lt;&gt;0,VLOOKUP($A462,'0.Productos'!$A$3:$GG$587,'0.Productos'!BR$1+1,0),"")</f>
        <v/>
      </c>
      <c r="AA462" s="133" t="str">
        <f>IF($A462&lt;&gt;0,VLOOKUP($A462,'0.Productos'!$A$3:$GG$587,'0.Productos'!BS$1+1,0),"")</f>
        <v/>
      </c>
      <c r="AB462" s="133" t="str">
        <f>IF($A462&lt;&gt;0,VLOOKUP($A462,'0.Productos'!$A$3:$GG$587,'0.Productos'!BT$1+1,0),"")</f>
        <v/>
      </c>
      <c r="AC462" s="133" t="str">
        <f>IF($A462&lt;&gt;0,VLOOKUP($A462,'0.Productos'!$A$3:$GG$587,'0.Productos'!BU$1+1,0),"")</f>
        <v/>
      </c>
      <c r="AD462" s="133" t="str">
        <f>IF($A462&lt;&gt;0,VLOOKUP($A462,'0.Productos'!$A$3:$GG$587,'0.Productos'!BV$1+1,0),"")</f>
        <v/>
      </c>
      <c r="AE462" s="133" t="str">
        <f>IF($A462&lt;&gt;0,VLOOKUP($A462,'0.Productos'!$A$3:$GG$587,'0.Productos'!BW$1+1,0),"")</f>
        <v/>
      </c>
      <c r="AF462" s="133" t="str">
        <f>IF($A462&lt;&gt;0,VLOOKUP($A462,'0.Productos'!$A$3:$GG$587,'0.Productos'!BX$1+1,0),"")</f>
        <v/>
      </c>
      <c r="AG462" s="133" t="str">
        <f>IF($A462&lt;&gt;0,VLOOKUP($A462,'0.Productos'!$A$3:$GG$587,'0.Productos'!BY$1+1,0),"")</f>
        <v/>
      </c>
      <c r="AH462" s="133" t="str">
        <f>IF($A462&lt;&gt;0,VLOOKUP($A462,'0.Productos'!$A$3:$GG$587,'0.Productos'!BZ$1+1,0),"")</f>
        <v/>
      </c>
      <c r="AI462" s="133" t="str">
        <f>IF($A462&lt;&gt;0,VLOOKUP($A462,'0.Productos'!$A$3:$GG$587,'0.Productos'!CA$1+1,0),"")</f>
        <v/>
      </c>
      <c r="AJ462" s="133" t="str">
        <f>IF($A462&lt;&gt;0,VLOOKUP($A462,'0.Productos'!$A$3:$GG$587,'0.Productos'!CB$1+1,0),"")</f>
        <v/>
      </c>
      <c r="AK462" s="133" t="str">
        <f>IF($A462&lt;&gt;0,VLOOKUP($A462,'0.Productos'!$A$3:$GG$587,'0.Productos'!CC$1+1,0),"")</f>
        <v/>
      </c>
      <c r="AL462" s="133" t="str">
        <f>IF($A462&lt;&gt;0,VLOOKUP($A462,'0.Productos'!$A$3:$GG$587,'0.Productos'!CD$1+1,0),"")</f>
        <v/>
      </c>
      <c r="AM462" s="133" t="str">
        <f>IF($A462&lt;&gt;0,VLOOKUP($A462,'0.Productos'!$A$3:$GG$587,'0.Productos'!CE$1+1,0),"")</f>
        <v/>
      </c>
      <c r="AN462" s="133" t="str">
        <f>IF($A462&lt;&gt;0,VLOOKUP($A462,'0.Productos'!$A$3:$GG$587,'0.Productos'!CF$1+1,0),"")</f>
        <v/>
      </c>
      <c r="AO462" s="133" t="str">
        <f>IF($A462&lt;&gt;0,VLOOKUP($A462,'0.Productos'!$A$3:$GG$587,'0.Productos'!CG$1+1,0),"")</f>
        <v/>
      </c>
      <c r="AP462" s="133" t="str">
        <f>IF($A462&lt;&gt;0,VLOOKUP($A462,'0.Productos'!$A$3:$GG$587,'0.Productos'!CH$1+1,0),"")</f>
        <v/>
      </c>
      <c r="AQ462" s="133" t="str">
        <f>IF($A462&lt;&gt;0,VLOOKUP($A462,'0.Productos'!$A$3:$GG$587,'0.Productos'!CI$1+1,0),"")</f>
        <v/>
      </c>
      <c r="AR462" s="133" t="str">
        <f>IF($A462&lt;&gt;0,VLOOKUP($A462,'0.Productos'!$A$3:$GG$587,'0.Productos'!CJ$1+1,0),"")</f>
        <v/>
      </c>
      <c r="AS462" s="133" t="str">
        <f>IF($A462&lt;&gt;0,VLOOKUP($A462,'0.Productos'!$A$3:$GG$587,'0.Productos'!CK$1+1,0),"")</f>
        <v/>
      </c>
      <c r="AT462" s="133" t="str">
        <f>IF($A462&lt;&gt;0,VLOOKUP($A462,'0.Productos'!$A$3:$GG$587,'0.Productos'!CL$1+1,0),"")</f>
        <v/>
      </c>
      <c r="AU462" s="133" t="str">
        <f>IF($A462&lt;&gt;0,VLOOKUP($A462,'0.Productos'!$A$3:$GG$587,'0.Productos'!CM$1+1,0),"")</f>
        <v/>
      </c>
      <c r="AV462" s="133" t="str">
        <f>IF($A462&lt;&gt;0,VLOOKUP($A462,'0.Productos'!$A$3:$GG$587,'0.Productos'!CN$1+1,0),"")</f>
        <v/>
      </c>
      <c r="AW462" s="133" t="str">
        <f>IF($A462&lt;&gt;0,VLOOKUP($A462,'0.Productos'!$A$3:$GG$587,'0.Productos'!CO$1+1,0),"")</f>
        <v/>
      </c>
      <c r="AX462" s="133" t="str">
        <f>IF($A462&lt;&gt;0,VLOOKUP($A462,'0.Productos'!$A$3:$GG$587,'0.Productos'!CP$1+1,0),"")</f>
        <v/>
      </c>
      <c r="AY462" s="133" t="str">
        <f>IF($A462&lt;&gt;0,VLOOKUP($A462,'0.Productos'!$A$3:$GG$587,'0.Productos'!CQ$1+1,0),"")</f>
        <v/>
      </c>
      <c r="AZ462" s="133" t="str">
        <f>IF($A462&lt;&gt;0,VLOOKUP($A462,'0.Productos'!$A$3:$GG$587,'0.Productos'!CR$1+1,0),"")</f>
        <v/>
      </c>
      <c r="BA462" s="133" t="str">
        <f>IF($A462&lt;&gt;0,VLOOKUP($A462,'0.Productos'!$A$3:$GG$587,'0.Productos'!CS$1+1,0),"")</f>
        <v/>
      </c>
      <c r="BB462" s="133" t="str">
        <f>IF($A462&lt;&gt;0,VLOOKUP($A462,'0.Productos'!$A$3:$GG$587,'0.Productos'!CT$1+1,0),"")</f>
        <v/>
      </c>
      <c r="BC462" s="133" t="str">
        <f>IF($A462&lt;&gt;0,VLOOKUP($A462,'0.Productos'!$A$3:$GG$587,'0.Productos'!CU$1+1,0),"")</f>
        <v/>
      </c>
      <c r="BD462" s="133" t="str">
        <f>IF($A462&lt;&gt;0,VLOOKUP($A462,'0.Productos'!$A$3:$GG$587,'0.Productos'!CV$1+1,0),"")</f>
        <v/>
      </c>
      <c r="BE462" s="133" t="str">
        <f>IF($A462&lt;&gt;0,VLOOKUP($A462,'0.Productos'!$A$3:$GG$587,'0.Productos'!CW$1+1,0),"")</f>
        <v/>
      </c>
      <c r="BF462" s="133" t="str">
        <f>IF($A462&lt;&gt;0,VLOOKUP($A462,'0.Productos'!$A$3:$GG$587,'0.Productos'!CX$1+1,0),"")</f>
        <v/>
      </c>
      <c r="BG462" s="133" t="str">
        <f>IF($A462&lt;&gt;0,VLOOKUP($A462,'0.Productos'!$A$3:$GG$587,'0.Productos'!CY$1+1,0),"")</f>
        <v/>
      </c>
      <c r="BH462" s="133" t="str">
        <f>IF($A462&lt;&gt;0,VLOOKUP($A462,'0.Productos'!$A$3:$GG$587,'0.Productos'!CZ$1+1,0),"")</f>
        <v/>
      </c>
      <c r="BI462" s="133" t="str">
        <f>IF($A462&lt;&gt;0,VLOOKUP($A462,'0.Productos'!$A$3:$GG$587,'0.Productos'!DA$1+1,0),"")</f>
        <v/>
      </c>
      <c r="BJ462" s="133" t="str">
        <f>IF($A462&lt;&gt;0,VLOOKUP($A462,'0.Productos'!$A$3:$GG$587,'0.Productos'!DB$1+1,0),"")</f>
        <v/>
      </c>
      <c r="BK462" s="133" t="str">
        <f>IF($A462&lt;&gt;0,VLOOKUP($A462,'0.Productos'!$A$3:$GG$587,'0.Productos'!DC$1+1,0),"")</f>
        <v/>
      </c>
      <c r="BL462" s="133" t="str">
        <f>IF($A462&lt;&gt;0,VLOOKUP($A462,'0.Productos'!$A$3:$GG$587,'0.Productos'!DD$1+1,0),"")</f>
        <v/>
      </c>
      <c r="BM462" s="133" t="str">
        <f>IF($A462&lt;&gt;0,VLOOKUP($A462,'0.Productos'!$A$3:$GG$587,'0.Productos'!DE$1+1,0),"")</f>
        <v/>
      </c>
      <c r="BN462" s="133" t="str">
        <f>IF($A462&lt;&gt;0,VLOOKUP($A462,'0.Productos'!$A$3:$GG$587,'0.Productos'!DF$1+1,0),"")</f>
        <v/>
      </c>
      <c r="BO462" s="133" t="str">
        <f>IF($A462&lt;&gt;0,VLOOKUP($A462,'0.Productos'!$A$3:$GG$587,'0.Productos'!DG$1+1,0),"")</f>
        <v/>
      </c>
      <c r="BP462" s="133" t="str">
        <f>IF($A462&lt;&gt;0,VLOOKUP($A462,'0.Productos'!$A$3:$GG$587,'0.Productos'!DH$1+1,0),"")</f>
        <v/>
      </c>
      <c r="BQ462" s="133" t="str">
        <f>IF($A462&lt;&gt;0,VLOOKUP($A462,'0.Productos'!$A$3:$GG$587,'0.Productos'!DI$1+1,0),"")</f>
        <v/>
      </c>
      <c r="BR462" s="133" t="str">
        <f>IF($A462&lt;&gt;0,VLOOKUP($A462,'0.Productos'!$A$3:$GG$587,'0.Productos'!DJ$1+1,0),"")</f>
        <v/>
      </c>
      <c r="BS462" s="133" t="str">
        <f>IF($A462&lt;&gt;0,VLOOKUP($A462,'0.Productos'!$A$3:$GG$587,'0.Productos'!DK$1+1,0),"")</f>
        <v/>
      </c>
      <c r="BT462" s="133" t="str">
        <f>IF($A462&lt;&gt;0,VLOOKUP($A462,'0.Productos'!$A$3:$GG$587,'0.Productos'!DL$1+1,0),"")</f>
        <v/>
      </c>
    </row>
    <row r="463" spans="1:72" x14ac:dyDescent="0.25">
      <c r="A463" s="17">
        <f>'0.Consolidado general'!A463</f>
        <v>0</v>
      </c>
      <c r="B463" s="133" t="str">
        <f>IF($A463&lt;&gt;0,VLOOKUP($A463,'0.Productos'!$A$3:$GG$587,'0.Productos'!AT$1+1,0),"")</f>
        <v/>
      </c>
      <c r="C463" s="133" t="str">
        <f>IF($A463&lt;&gt;0,VLOOKUP($A463,'0.Productos'!$A$3:$GG$587,'0.Productos'!AU$1+1,0),"")</f>
        <v/>
      </c>
      <c r="D463" s="133" t="str">
        <f>IF($A463&lt;&gt;0,VLOOKUP($A463,'0.Productos'!$A$3:$GG$587,'0.Productos'!AV$1+1,0),"")</f>
        <v/>
      </c>
      <c r="E463" s="133" t="str">
        <f>IF($A463&lt;&gt;0,VLOOKUP($A463,'0.Productos'!$A$3:$GG$587,'0.Productos'!AW$1+1,0),"")</f>
        <v/>
      </c>
      <c r="F463" s="133" t="str">
        <f>IF($A463&lt;&gt;0,VLOOKUP($A463,'0.Productos'!$A$3:$GG$587,'0.Productos'!AX$1+1,0),"")</f>
        <v/>
      </c>
      <c r="G463" s="133" t="str">
        <f>IF($A463&lt;&gt;0,VLOOKUP($A463,'0.Productos'!$A$3:$GG$587,'0.Productos'!AY$1+1,0),"")</f>
        <v/>
      </c>
      <c r="H463" s="133" t="str">
        <f>IF($A463&lt;&gt;0,VLOOKUP($A463,'0.Productos'!$A$3:$GG$587,'0.Productos'!AZ$1+1,0),"")</f>
        <v/>
      </c>
      <c r="I463" s="133" t="str">
        <f>IF($A463&lt;&gt;0,VLOOKUP($A463,'0.Productos'!$A$3:$GG$587,'0.Productos'!BA$1+1,0),"")</f>
        <v/>
      </c>
      <c r="J463" s="133" t="str">
        <f>IF($A463&lt;&gt;0,VLOOKUP($A463,'0.Productos'!$A$3:$GG$587,'0.Productos'!BB$1+1,0),"")</f>
        <v/>
      </c>
      <c r="K463" s="133" t="str">
        <f>IF($A463&lt;&gt;0,VLOOKUP($A463,'0.Productos'!$A$3:$GG$587,'0.Productos'!BC$1+1,0),"")</f>
        <v/>
      </c>
      <c r="L463" s="133" t="str">
        <f>IF($A463&lt;&gt;0,VLOOKUP($A463,'0.Productos'!$A$3:$GG$587,'0.Productos'!BD$1+1,0),"")</f>
        <v/>
      </c>
      <c r="M463" s="133" t="str">
        <f>IF($A463&lt;&gt;0,VLOOKUP($A463,'0.Productos'!$A$3:$GG$587,'0.Productos'!BE$1+1,0),"")</f>
        <v/>
      </c>
      <c r="N463" s="133" t="str">
        <f>IF($A463&lt;&gt;0,VLOOKUP($A463,'0.Productos'!$A$3:$GG$587,'0.Productos'!BF$1+1,0),"")</f>
        <v/>
      </c>
      <c r="O463" s="133" t="str">
        <f>IF($A463&lt;&gt;0,VLOOKUP($A463,'0.Productos'!$A$3:$GG$587,'0.Productos'!BG$1+1,0),"")</f>
        <v/>
      </c>
      <c r="P463" s="133" t="str">
        <f>IF($A463&lt;&gt;0,VLOOKUP($A463,'0.Productos'!$A$3:$GG$587,'0.Productos'!BH$1+1,0),"")</f>
        <v/>
      </c>
      <c r="Q463" s="133" t="str">
        <f>IF($A463&lt;&gt;0,VLOOKUP($A463,'0.Productos'!$A$3:$GG$587,'0.Productos'!BI$1+1,0),"")</f>
        <v/>
      </c>
      <c r="R463" s="133" t="str">
        <f>IF($A463&lt;&gt;0,VLOOKUP($A463,'0.Productos'!$A$3:$GG$587,'0.Productos'!BJ$1+1,0),"")</f>
        <v/>
      </c>
      <c r="S463" s="133" t="str">
        <f>IF($A463&lt;&gt;0,VLOOKUP($A463,'0.Productos'!$A$3:$GG$587,'0.Productos'!BK$1+1,0),"")</f>
        <v/>
      </c>
      <c r="T463" s="133" t="str">
        <f>IF($A463&lt;&gt;0,VLOOKUP($A463,'0.Productos'!$A$3:$GG$587,'0.Productos'!BL$1+1,0),"")</f>
        <v/>
      </c>
      <c r="U463" s="133" t="str">
        <f>IF($A463&lt;&gt;0,VLOOKUP($A463,'0.Productos'!$A$3:$GG$587,'0.Productos'!BM$1+1,0),"")</f>
        <v/>
      </c>
      <c r="V463" s="133" t="str">
        <f>IF($A463&lt;&gt;0,VLOOKUP($A463,'0.Productos'!$A$3:$GG$587,'0.Productos'!BN$1+1,0),"")</f>
        <v/>
      </c>
      <c r="W463" s="133" t="str">
        <f>IF($A463&lt;&gt;0,VLOOKUP($A463,'0.Productos'!$A$3:$GG$587,'0.Productos'!BO$1+1,0),"")</f>
        <v/>
      </c>
      <c r="X463" s="133" t="str">
        <f>IF($A463&lt;&gt;0,VLOOKUP($A463,'0.Productos'!$A$3:$GG$587,'0.Productos'!BP$1+1,0),"")</f>
        <v/>
      </c>
      <c r="Y463" s="133" t="str">
        <f>IF($A463&lt;&gt;0,VLOOKUP($A463,'0.Productos'!$A$3:$GG$587,'0.Productos'!BQ$1+1,0),"")</f>
        <v/>
      </c>
      <c r="Z463" s="133" t="str">
        <f>IF($A463&lt;&gt;0,VLOOKUP($A463,'0.Productos'!$A$3:$GG$587,'0.Productos'!BR$1+1,0),"")</f>
        <v/>
      </c>
      <c r="AA463" s="133" t="str">
        <f>IF($A463&lt;&gt;0,VLOOKUP($A463,'0.Productos'!$A$3:$GG$587,'0.Productos'!BS$1+1,0),"")</f>
        <v/>
      </c>
      <c r="AB463" s="133" t="str">
        <f>IF($A463&lt;&gt;0,VLOOKUP($A463,'0.Productos'!$A$3:$GG$587,'0.Productos'!BT$1+1,0),"")</f>
        <v/>
      </c>
      <c r="AC463" s="133" t="str">
        <f>IF($A463&lt;&gt;0,VLOOKUP($A463,'0.Productos'!$A$3:$GG$587,'0.Productos'!BU$1+1,0),"")</f>
        <v/>
      </c>
      <c r="AD463" s="133" t="str">
        <f>IF($A463&lt;&gt;0,VLOOKUP($A463,'0.Productos'!$A$3:$GG$587,'0.Productos'!BV$1+1,0),"")</f>
        <v/>
      </c>
      <c r="AE463" s="133" t="str">
        <f>IF($A463&lt;&gt;0,VLOOKUP($A463,'0.Productos'!$A$3:$GG$587,'0.Productos'!BW$1+1,0),"")</f>
        <v/>
      </c>
      <c r="AF463" s="133" t="str">
        <f>IF($A463&lt;&gt;0,VLOOKUP($A463,'0.Productos'!$A$3:$GG$587,'0.Productos'!BX$1+1,0),"")</f>
        <v/>
      </c>
      <c r="AG463" s="133" t="str">
        <f>IF($A463&lt;&gt;0,VLOOKUP($A463,'0.Productos'!$A$3:$GG$587,'0.Productos'!BY$1+1,0),"")</f>
        <v/>
      </c>
      <c r="AH463" s="133" t="str">
        <f>IF($A463&lt;&gt;0,VLOOKUP($A463,'0.Productos'!$A$3:$GG$587,'0.Productos'!BZ$1+1,0),"")</f>
        <v/>
      </c>
      <c r="AI463" s="133" t="str">
        <f>IF($A463&lt;&gt;0,VLOOKUP($A463,'0.Productos'!$A$3:$GG$587,'0.Productos'!CA$1+1,0),"")</f>
        <v/>
      </c>
      <c r="AJ463" s="133" t="str">
        <f>IF($A463&lt;&gt;0,VLOOKUP($A463,'0.Productos'!$A$3:$GG$587,'0.Productos'!CB$1+1,0),"")</f>
        <v/>
      </c>
      <c r="AK463" s="133" t="str">
        <f>IF($A463&lt;&gt;0,VLOOKUP($A463,'0.Productos'!$A$3:$GG$587,'0.Productos'!CC$1+1,0),"")</f>
        <v/>
      </c>
      <c r="AL463" s="133" t="str">
        <f>IF($A463&lt;&gt;0,VLOOKUP($A463,'0.Productos'!$A$3:$GG$587,'0.Productos'!CD$1+1,0),"")</f>
        <v/>
      </c>
      <c r="AM463" s="133" t="str">
        <f>IF($A463&lt;&gt;0,VLOOKUP($A463,'0.Productos'!$A$3:$GG$587,'0.Productos'!CE$1+1,0),"")</f>
        <v/>
      </c>
      <c r="AN463" s="133" t="str">
        <f>IF($A463&lt;&gt;0,VLOOKUP($A463,'0.Productos'!$A$3:$GG$587,'0.Productos'!CF$1+1,0),"")</f>
        <v/>
      </c>
      <c r="AO463" s="133" t="str">
        <f>IF($A463&lt;&gt;0,VLOOKUP($A463,'0.Productos'!$A$3:$GG$587,'0.Productos'!CG$1+1,0),"")</f>
        <v/>
      </c>
      <c r="AP463" s="133" t="str">
        <f>IF($A463&lt;&gt;0,VLOOKUP($A463,'0.Productos'!$A$3:$GG$587,'0.Productos'!CH$1+1,0),"")</f>
        <v/>
      </c>
      <c r="AQ463" s="133" t="str">
        <f>IF($A463&lt;&gt;0,VLOOKUP($A463,'0.Productos'!$A$3:$GG$587,'0.Productos'!CI$1+1,0),"")</f>
        <v/>
      </c>
      <c r="AR463" s="133" t="str">
        <f>IF($A463&lt;&gt;0,VLOOKUP($A463,'0.Productos'!$A$3:$GG$587,'0.Productos'!CJ$1+1,0),"")</f>
        <v/>
      </c>
      <c r="AS463" s="133" t="str">
        <f>IF($A463&lt;&gt;0,VLOOKUP($A463,'0.Productos'!$A$3:$GG$587,'0.Productos'!CK$1+1,0),"")</f>
        <v/>
      </c>
      <c r="AT463" s="133" t="str">
        <f>IF($A463&lt;&gt;0,VLOOKUP($A463,'0.Productos'!$A$3:$GG$587,'0.Productos'!CL$1+1,0),"")</f>
        <v/>
      </c>
      <c r="AU463" s="133" t="str">
        <f>IF($A463&lt;&gt;0,VLOOKUP($A463,'0.Productos'!$A$3:$GG$587,'0.Productos'!CM$1+1,0),"")</f>
        <v/>
      </c>
      <c r="AV463" s="133" t="str">
        <f>IF($A463&lt;&gt;0,VLOOKUP($A463,'0.Productos'!$A$3:$GG$587,'0.Productos'!CN$1+1,0),"")</f>
        <v/>
      </c>
      <c r="AW463" s="133" t="str">
        <f>IF($A463&lt;&gt;0,VLOOKUP($A463,'0.Productos'!$A$3:$GG$587,'0.Productos'!CO$1+1,0),"")</f>
        <v/>
      </c>
      <c r="AX463" s="133" t="str">
        <f>IF($A463&lt;&gt;0,VLOOKUP($A463,'0.Productos'!$A$3:$GG$587,'0.Productos'!CP$1+1,0),"")</f>
        <v/>
      </c>
      <c r="AY463" s="133" t="str">
        <f>IF($A463&lt;&gt;0,VLOOKUP($A463,'0.Productos'!$A$3:$GG$587,'0.Productos'!CQ$1+1,0),"")</f>
        <v/>
      </c>
      <c r="AZ463" s="133" t="str">
        <f>IF($A463&lt;&gt;0,VLOOKUP($A463,'0.Productos'!$A$3:$GG$587,'0.Productos'!CR$1+1,0),"")</f>
        <v/>
      </c>
      <c r="BA463" s="133" t="str">
        <f>IF($A463&lt;&gt;0,VLOOKUP($A463,'0.Productos'!$A$3:$GG$587,'0.Productos'!CS$1+1,0),"")</f>
        <v/>
      </c>
      <c r="BB463" s="133" t="str">
        <f>IF($A463&lt;&gt;0,VLOOKUP($A463,'0.Productos'!$A$3:$GG$587,'0.Productos'!CT$1+1,0),"")</f>
        <v/>
      </c>
      <c r="BC463" s="133" t="str">
        <f>IF($A463&lt;&gt;0,VLOOKUP($A463,'0.Productos'!$A$3:$GG$587,'0.Productos'!CU$1+1,0),"")</f>
        <v/>
      </c>
      <c r="BD463" s="133" t="str">
        <f>IF($A463&lt;&gt;0,VLOOKUP($A463,'0.Productos'!$A$3:$GG$587,'0.Productos'!CV$1+1,0),"")</f>
        <v/>
      </c>
      <c r="BE463" s="133" t="str">
        <f>IF($A463&lt;&gt;0,VLOOKUP($A463,'0.Productos'!$A$3:$GG$587,'0.Productos'!CW$1+1,0),"")</f>
        <v/>
      </c>
      <c r="BF463" s="133" t="str">
        <f>IF($A463&lt;&gt;0,VLOOKUP($A463,'0.Productos'!$A$3:$GG$587,'0.Productos'!CX$1+1,0),"")</f>
        <v/>
      </c>
      <c r="BG463" s="133" t="str">
        <f>IF($A463&lt;&gt;0,VLOOKUP($A463,'0.Productos'!$A$3:$GG$587,'0.Productos'!CY$1+1,0),"")</f>
        <v/>
      </c>
      <c r="BH463" s="133" t="str">
        <f>IF($A463&lt;&gt;0,VLOOKUP($A463,'0.Productos'!$A$3:$GG$587,'0.Productos'!CZ$1+1,0),"")</f>
        <v/>
      </c>
      <c r="BI463" s="133" t="str">
        <f>IF($A463&lt;&gt;0,VLOOKUP($A463,'0.Productos'!$A$3:$GG$587,'0.Productos'!DA$1+1,0),"")</f>
        <v/>
      </c>
      <c r="BJ463" s="133" t="str">
        <f>IF($A463&lt;&gt;0,VLOOKUP($A463,'0.Productos'!$A$3:$GG$587,'0.Productos'!DB$1+1,0),"")</f>
        <v/>
      </c>
      <c r="BK463" s="133" t="str">
        <f>IF($A463&lt;&gt;0,VLOOKUP($A463,'0.Productos'!$A$3:$GG$587,'0.Productos'!DC$1+1,0),"")</f>
        <v/>
      </c>
      <c r="BL463" s="133" t="str">
        <f>IF($A463&lt;&gt;0,VLOOKUP($A463,'0.Productos'!$A$3:$GG$587,'0.Productos'!DD$1+1,0),"")</f>
        <v/>
      </c>
      <c r="BM463" s="133" t="str">
        <f>IF($A463&lt;&gt;0,VLOOKUP($A463,'0.Productos'!$A$3:$GG$587,'0.Productos'!DE$1+1,0),"")</f>
        <v/>
      </c>
      <c r="BN463" s="133" t="str">
        <f>IF($A463&lt;&gt;0,VLOOKUP($A463,'0.Productos'!$A$3:$GG$587,'0.Productos'!DF$1+1,0),"")</f>
        <v/>
      </c>
      <c r="BO463" s="133" t="str">
        <f>IF($A463&lt;&gt;0,VLOOKUP($A463,'0.Productos'!$A$3:$GG$587,'0.Productos'!DG$1+1,0),"")</f>
        <v/>
      </c>
      <c r="BP463" s="133" t="str">
        <f>IF($A463&lt;&gt;0,VLOOKUP($A463,'0.Productos'!$A$3:$GG$587,'0.Productos'!DH$1+1,0),"")</f>
        <v/>
      </c>
      <c r="BQ463" s="133" t="str">
        <f>IF($A463&lt;&gt;0,VLOOKUP($A463,'0.Productos'!$A$3:$GG$587,'0.Productos'!DI$1+1,0),"")</f>
        <v/>
      </c>
      <c r="BR463" s="133" t="str">
        <f>IF($A463&lt;&gt;0,VLOOKUP($A463,'0.Productos'!$A$3:$GG$587,'0.Productos'!DJ$1+1,0),"")</f>
        <v/>
      </c>
      <c r="BS463" s="133" t="str">
        <f>IF($A463&lt;&gt;0,VLOOKUP($A463,'0.Productos'!$A$3:$GG$587,'0.Productos'!DK$1+1,0),"")</f>
        <v/>
      </c>
      <c r="BT463" s="133" t="str">
        <f>IF($A463&lt;&gt;0,VLOOKUP($A463,'0.Productos'!$A$3:$GG$587,'0.Productos'!DL$1+1,0),"")</f>
        <v/>
      </c>
    </row>
    <row r="464" spans="1:72" x14ac:dyDescent="0.25">
      <c r="A464" s="17">
        <f>'0.Consolidado general'!A464</f>
        <v>0</v>
      </c>
      <c r="B464" s="133" t="str">
        <f>IF($A464&lt;&gt;0,VLOOKUP($A464,'0.Productos'!$A$3:$GG$587,'0.Productos'!AT$1+1,0),"")</f>
        <v/>
      </c>
      <c r="C464" s="133" t="str">
        <f>IF($A464&lt;&gt;0,VLOOKUP($A464,'0.Productos'!$A$3:$GG$587,'0.Productos'!AU$1+1,0),"")</f>
        <v/>
      </c>
      <c r="D464" s="133" t="str">
        <f>IF($A464&lt;&gt;0,VLOOKUP($A464,'0.Productos'!$A$3:$GG$587,'0.Productos'!AV$1+1,0),"")</f>
        <v/>
      </c>
      <c r="E464" s="133" t="str">
        <f>IF($A464&lt;&gt;0,VLOOKUP($A464,'0.Productos'!$A$3:$GG$587,'0.Productos'!AW$1+1,0),"")</f>
        <v/>
      </c>
      <c r="F464" s="133" t="str">
        <f>IF($A464&lt;&gt;0,VLOOKUP($A464,'0.Productos'!$A$3:$GG$587,'0.Productos'!AX$1+1,0),"")</f>
        <v/>
      </c>
      <c r="G464" s="133" t="str">
        <f>IF($A464&lt;&gt;0,VLOOKUP($A464,'0.Productos'!$A$3:$GG$587,'0.Productos'!AY$1+1,0),"")</f>
        <v/>
      </c>
      <c r="H464" s="133" t="str">
        <f>IF($A464&lt;&gt;0,VLOOKUP($A464,'0.Productos'!$A$3:$GG$587,'0.Productos'!AZ$1+1,0),"")</f>
        <v/>
      </c>
      <c r="I464" s="133" t="str">
        <f>IF($A464&lt;&gt;0,VLOOKUP($A464,'0.Productos'!$A$3:$GG$587,'0.Productos'!BA$1+1,0),"")</f>
        <v/>
      </c>
      <c r="J464" s="133" t="str">
        <f>IF($A464&lt;&gt;0,VLOOKUP($A464,'0.Productos'!$A$3:$GG$587,'0.Productos'!BB$1+1,0),"")</f>
        <v/>
      </c>
      <c r="K464" s="133" t="str">
        <f>IF($A464&lt;&gt;0,VLOOKUP($A464,'0.Productos'!$A$3:$GG$587,'0.Productos'!BC$1+1,0),"")</f>
        <v/>
      </c>
      <c r="L464" s="133" t="str">
        <f>IF($A464&lt;&gt;0,VLOOKUP($A464,'0.Productos'!$A$3:$GG$587,'0.Productos'!BD$1+1,0),"")</f>
        <v/>
      </c>
      <c r="M464" s="133" t="str">
        <f>IF($A464&lt;&gt;0,VLOOKUP($A464,'0.Productos'!$A$3:$GG$587,'0.Productos'!BE$1+1,0),"")</f>
        <v/>
      </c>
      <c r="N464" s="133" t="str">
        <f>IF($A464&lt;&gt;0,VLOOKUP($A464,'0.Productos'!$A$3:$GG$587,'0.Productos'!BF$1+1,0),"")</f>
        <v/>
      </c>
      <c r="O464" s="133" t="str">
        <f>IF($A464&lt;&gt;0,VLOOKUP($A464,'0.Productos'!$A$3:$GG$587,'0.Productos'!BG$1+1,0),"")</f>
        <v/>
      </c>
      <c r="P464" s="133" t="str">
        <f>IF($A464&lt;&gt;0,VLOOKUP($A464,'0.Productos'!$A$3:$GG$587,'0.Productos'!BH$1+1,0),"")</f>
        <v/>
      </c>
      <c r="Q464" s="133" t="str">
        <f>IF($A464&lt;&gt;0,VLOOKUP($A464,'0.Productos'!$A$3:$GG$587,'0.Productos'!BI$1+1,0),"")</f>
        <v/>
      </c>
      <c r="R464" s="133" t="str">
        <f>IF($A464&lt;&gt;0,VLOOKUP($A464,'0.Productos'!$A$3:$GG$587,'0.Productos'!BJ$1+1,0),"")</f>
        <v/>
      </c>
      <c r="S464" s="133" t="str">
        <f>IF($A464&lt;&gt;0,VLOOKUP($A464,'0.Productos'!$A$3:$GG$587,'0.Productos'!BK$1+1,0),"")</f>
        <v/>
      </c>
      <c r="T464" s="133" t="str">
        <f>IF($A464&lt;&gt;0,VLOOKUP($A464,'0.Productos'!$A$3:$GG$587,'0.Productos'!BL$1+1,0),"")</f>
        <v/>
      </c>
      <c r="U464" s="133" t="str">
        <f>IF($A464&lt;&gt;0,VLOOKUP($A464,'0.Productos'!$A$3:$GG$587,'0.Productos'!BM$1+1,0),"")</f>
        <v/>
      </c>
      <c r="V464" s="133" t="str">
        <f>IF($A464&lt;&gt;0,VLOOKUP($A464,'0.Productos'!$A$3:$GG$587,'0.Productos'!BN$1+1,0),"")</f>
        <v/>
      </c>
      <c r="W464" s="133" t="str">
        <f>IF($A464&lt;&gt;0,VLOOKUP($A464,'0.Productos'!$A$3:$GG$587,'0.Productos'!BO$1+1,0),"")</f>
        <v/>
      </c>
      <c r="X464" s="133" t="str">
        <f>IF($A464&lt;&gt;0,VLOOKUP($A464,'0.Productos'!$A$3:$GG$587,'0.Productos'!BP$1+1,0),"")</f>
        <v/>
      </c>
      <c r="Y464" s="133" t="str">
        <f>IF($A464&lt;&gt;0,VLOOKUP($A464,'0.Productos'!$A$3:$GG$587,'0.Productos'!BQ$1+1,0),"")</f>
        <v/>
      </c>
      <c r="Z464" s="133" t="str">
        <f>IF($A464&lt;&gt;0,VLOOKUP($A464,'0.Productos'!$A$3:$GG$587,'0.Productos'!BR$1+1,0),"")</f>
        <v/>
      </c>
      <c r="AA464" s="133" t="str">
        <f>IF($A464&lt;&gt;0,VLOOKUP($A464,'0.Productos'!$A$3:$GG$587,'0.Productos'!BS$1+1,0),"")</f>
        <v/>
      </c>
      <c r="AB464" s="133" t="str">
        <f>IF($A464&lt;&gt;0,VLOOKUP($A464,'0.Productos'!$A$3:$GG$587,'0.Productos'!BT$1+1,0),"")</f>
        <v/>
      </c>
      <c r="AC464" s="133" t="str">
        <f>IF($A464&lt;&gt;0,VLOOKUP($A464,'0.Productos'!$A$3:$GG$587,'0.Productos'!BU$1+1,0),"")</f>
        <v/>
      </c>
      <c r="AD464" s="133" t="str">
        <f>IF($A464&lt;&gt;0,VLOOKUP($A464,'0.Productos'!$A$3:$GG$587,'0.Productos'!BV$1+1,0),"")</f>
        <v/>
      </c>
      <c r="AE464" s="133" t="str">
        <f>IF($A464&lt;&gt;0,VLOOKUP($A464,'0.Productos'!$A$3:$GG$587,'0.Productos'!BW$1+1,0),"")</f>
        <v/>
      </c>
      <c r="AF464" s="133" t="str">
        <f>IF($A464&lt;&gt;0,VLOOKUP($A464,'0.Productos'!$A$3:$GG$587,'0.Productos'!BX$1+1,0),"")</f>
        <v/>
      </c>
      <c r="AG464" s="133" t="str">
        <f>IF($A464&lt;&gt;0,VLOOKUP($A464,'0.Productos'!$A$3:$GG$587,'0.Productos'!BY$1+1,0),"")</f>
        <v/>
      </c>
      <c r="AH464" s="133" t="str">
        <f>IF($A464&lt;&gt;0,VLOOKUP($A464,'0.Productos'!$A$3:$GG$587,'0.Productos'!BZ$1+1,0),"")</f>
        <v/>
      </c>
      <c r="AI464" s="133" t="str">
        <f>IF($A464&lt;&gt;0,VLOOKUP($A464,'0.Productos'!$A$3:$GG$587,'0.Productos'!CA$1+1,0),"")</f>
        <v/>
      </c>
      <c r="AJ464" s="133" t="str">
        <f>IF($A464&lt;&gt;0,VLOOKUP($A464,'0.Productos'!$A$3:$GG$587,'0.Productos'!CB$1+1,0),"")</f>
        <v/>
      </c>
      <c r="AK464" s="133" t="str">
        <f>IF($A464&lt;&gt;0,VLOOKUP($A464,'0.Productos'!$A$3:$GG$587,'0.Productos'!CC$1+1,0),"")</f>
        <v/>
      </c>
      <c r="AL464" s="133" t="str">
        <f>IF($A464&lt;&gt;0,VLOOKUP($A464,'0.Productos'!$A$3:$GG$587,'0.Productos'!CD$1+1,0),"")</f>
        <v/>
      </c>
      <c r="AM464" s="133" t="str">
        <f>IF($A464&lt;&gt;0,VLOOKUP($A464,'0.Productos'!$A$3:$GG$587,'0.Productos'!CE$1+1,0),"")</f>
        <v/>
      </c>
      <c r="AN464" s="133" t="str">
        <f>IF($A464&lt;&gt;0,VLOOKUP($A464,'0.Productos'!$A$3:$GG$587,'0.Productos'!CF$1+1,0),"")</f>
        <v/>
      </c>
      <c r="AO464" s="133" t="str">
        <f>IF($A464&lt;&gt;0,VLOOKUP($A464,'0.Productos'!$A$3:$GG$587,'0.Productos'!CG$1+1,0),"")</f>
        <v/>
      </c>
      <c r="AP464" s="133" t="str">
        <f>IF($A464&lt;&gt;0,VLOOKUP($A464,'0.Productos'!$A$3:$GG$587,'0.Productos'!CH$1+1,0),"")</f>
        <v/>
      </c>
      <c r="AQ464" s="133" t="str">
        <f>IF($A464&lt;&gt;0,VLOOKUP($A464,'0.Productos'!$A$3:$GG$587,'0.Productos'!CI$1+1,0),"")</f>
        <v/>
      </c>
      <c r="AR464" s="133" t="str">
        <f>IF($A464&lt;&gt;0,VLOOKUP($A464,'0.Productos'!$A$3:$GG$587,'0.Productos'!CJ$1+1,0),"")</f>
        <v/>
      </c>
      <c r="AS464" s="133" t="str">
        <f>IF($A464&lt;&gt;0,VLOOKUP($A464,'0.Productos'!$A$3:$GG$587,'0.Productos'!CK$1+1,0),"")</f>
        <v/>
      </c>
      <c r="AT464" s="133" t="str">
        <f>IF($A464&lt;&gt;0,VLOOKUP($A464,'0.Productos'!$A$3:$GG$587,'0.Productos'!CL$1+1,0),"")</f>
        <v/>
      </c>
      <c r="AU464" s="133" t="str">
        <f>IF($A464&lt;&gt;0,VLOOKUP($A464,'0.Productos'!$A$3:$GG$587,'0.Productos'!CM$1+1,0),"")</f>
        <v/>
      </c>
      <c r="AV464" s="133" t="str">
        <f>IF($A464&lt;&gt;0,VLOOKUP($A464,'0.Productos'!$A$3:$GG$587,'0.Productos'!CN$1+1,0),"")</f>
        <v/>
      </c>
      <c r="AW464" s="133" t="str">
        <f>IF($A464&lt;&gt;0,VLOOKUP($A464,'0.Productos'!$A$3:$GG$587,'0.Productos'!CO$1+1,0),"")</f>
        <v/>
      </c>
      <c r="AX464" s="133" t="str">
        <f>IF($A464&lt;&gt;0,VLOOKUP($A464,'0.Productos'!$A$3:$GG$587,'0.Productos'!CP$1+1,0),"")</f>
        <v/>
      </c>
      <c r="AY464" s="133" t="str">
        <f>IF($A464&lt;&gt;0,VLOOKUP($A464,'0.Productos'!$A$3:$GG$587,'0.Productos'!CQ$1+1,0),"")</f>
        <v/>
      </c>
      <c r="AZ464" s="133" t="str">
        <f>IF($A464&lt;&gt;0,VLOOKUP($A464,'0.Productos'!$A$3:$GG$587,'0.Productos'!CR$1+1,0),"")</f>
        <v/>
      </c>
      <c r="BA464" s="133" t="str">
        <f>IF($A464&lt;&gt;0,VLOOKUP($A464,'0.Productos'!$A$3:$GG$587,'0.Productos'!CS$1+1,0),"")</f>
        <v/>
      </c>
      <c r="BB464" s="133" t="str">
        <f>IF($A464&lt;&gt;0,VLOOKUP($A464,'0.Productos'!$A$3:$GG$587,'0.Productos'!CT$1+1,0),"")</f>
        <v/>
      </c>
      <c r="BC464" s="133" t="str">
        <f>IF($A464&lt;&gt;0,VLOOKUP($A464,'0.Productos'!$A$3:$GG$587,'0.Productos'!CU$1+1,0),"")</f>
        <v/>
      </c>
      <c r="BD464" s="133" t="str">
        <f>IF($A464&lt;&gt;0,VLOOKUP($A464,'0.Productos'!$A$3:$GG$587,'0.Productos'!CV$1+1,0),"")</f>
        <v/>
      </c>
      <c r="BE464" s="133" t="str">
        <f>IF($A464&lt;&gt;0,VLOOKUP($A464,'0.Productos'!$A$3:$GG$587,'0.Productos'!CW$1+1,0),"")</f>
        <v/>
      </c>
      <c r="BF464" s="133" t="str">
        <f>IF($A464&lt;&gt;0,VLOOKUP($A464,'0.Productos'!$A$3:$GG$587,'0.Productos'!CX$1+1,0),"")</f>
        <v/>
      </c>
      <c r="BG464" s="133" t="str">
        <f>IF($A464&lt;&gt;0,VLOOKUP($A464,'0.Productos'!$A$3:$GG$587,'0.Productos'!CY$1+1,0),"")</f>
        <v/>
      </c>
      <c r="BH464" s="133" t="str">
        <f>IF($A464&lt;&gt;0,VLOOKUP($A464,'0.Productos'!$A$3:$GG$587,'0.Productos'!CZ$1+1,0),"")</f>
        <v/>
      </c>
      <c r="BI464" s="133" t="str">
        <f>IF($A464&lt;&gt;0,VLOOKUP($A464,'0.Productos'!$A$3:$GG$587,'0.Productos'!DA$1+1,0),"")</f>
        <v/>
      </c>
      <c r="BJ464" s="133" t="str">
        <f>IF($A464&lt;&gt;0,VLOOKUP($A464,'0.Productos'!$A$3:$GG$587,'0.Productos'!DB$1+1,0),"")</f>
        <v/>
      </c>
      <c r="BK464" s="133" t="str">
        <f>IF($A464&lt;&gt;0,VLOOKUP($A464,'0.Productos'!$A$3:$GG$587,'0.Productos'!DC$1+1,0),"")</f>
        <v/>
      </c>
      <c r="BL464" s="133" t="str">
        <f>IF($A464&lt;&gt;0,VLOOKUP($A464,'0.Productos'!$A$3:$GG$587,'0.Productos'!DD$1+1,0),"")</f>
        <v/>
      </c>
      <c r="BM464" s="133" t="str">
        <f>IF($A464&lt;&gt;0,VLOOKUP($A464,'0.Productos'!$A$3:$GG$587,'0.Productos'!DE$1+1,0),"")</f>
        <v/>
      </c>
      <c r="BN464" s="133" t="str">
        <f>IF($A464&lt;&gt;0,VLOOKUP($A464,'0.Productos'!$A$3:$GG$587,'0.Productos'!DF$1+1,0),"")</f>
        <v/>
      </c>
      <c r="BO464" s="133" t="str">
        <f>IF($A464&lt;&gt;0,VLOOKUP($A464,'0.Productos'!$A$3:$GG$587,'0.Productos'!DG$1+1,0),"")</f>
        <v/>
      </c>
      <c r="BP464" s="133" t="str">
        <f>IF($A464&lt;&gt;0,VLOOKUP($A464,'0.Productos'!$A$3:$GG$587,'0.Productos'!DH$1+1,0),"")</f>
        <v/>
      </c>
      <c r="BQ464" s="133" t="str">
        <f>IF($A464&lt;&gt;0,VLOOKUP($A464,'0.Productos'!$A$3:$GG$587,'0.Productos'!DI$1+1,0),"")</f>
        <v/>
      </c>
      <c r="BR464" s="133" t="str">
        <f>IF($A464&lt;&gt;0,VLOOKUP($A464,'0.Productos'!$A$3:$GG$587,'0.Productos'!DJ$1+1,0),"")</f>
        <v/>
      </c>
      <c r="BS464" s="133" t="str">
        <f>IF($A464&lt;&gt;0,VLOOKUP($A464,'0.Productos'!$A$3:$GG$587,'0.Productos'!DK$1+1,0),"")</f>
        <v/>
      </c>
      <c r="BT464" s="133" t="str">
        <f>IF($A464&lt;&gt;0,VLOOKUP($A464,'0.Productos'!$A$3:$GG$587,'0.Productos'!DL$1+1,0),"")</f>
        <v/>
      </c>
    </row>
    <row r="465" spans="1:72" x14ac:dyDescent="0.25">
      <c r="A465" s="17">
        <f>'0.Consolidado general'!A465</f>
        <v>0</v>
      </c>
      <c r="B465" s="133" t="str">
        <f>IF($A465&lt;&gt;0,VLOOKUP($A465,'0.Productos'!$A$3:$GG$587,'0.Productos'!AT$1+1,0),"")</f>
        <v/>
      </c>
      <c r="C465" s="133" t="str">
        <f>IF($A465&lt;&gt;0,VLOOKUP($A465,'0.Productos'!$A$3:$GG$587,'0.Productos'!AU$1+1,0),"")</f>
        <v/>
      </c>
      <c r="D465" s="133" t="str">
        <f>IF($A465&lt;&gt;0,VLOOKUP($A465,'0.Productos'!$A$3:$GG$587,'0.Productos'!AV$1+1,0),"")</f>
        <v/>
      </c>
      <c r="E465" s="133" t="str">
        <f>IF($A465&lt;&gt;0,VLOOKUP($A465,'0.Productos'!$A$3:$GG$587,'0.Productos'!AW$1+1,0),"")</f>
        <v/>
      </c>
      <c r="F465" s="133" t="str">
        <f>IF($A465&lt;&gt;0,VLOOKUP($A465,'0.Productos'!$A$3:$GG$587,'0.Productos'!AX$1+1,0),"")</f>
        <v/>
      </c>
      <c r="G465" s="133" t="str">
        <f>IF($A465&lt;&gt;0,VLOOKUP($A465,'0.Productos'!$A$3:$GG$587,'0.Productos'!AY$1+1,0),"")</f>
        <v/>
      </c>
      <c r="H465" s="133" t="str">
        <f>IF($A465&lt;&gt;0,VLOOKUP($A465,'0.Productos'!$A$3:$GG$587,'0.Productos'!AZ$1+1,0),"")</f>
        <v/>
      </c>
      <c r="I465" s="133" t="str">
        <f>IF($A465&lt;&gt;0,VLOOKUP($A465,'0.Productos'!$A$3:$GG$587,'0.Productos'!BA$1+1,0),"")</f>
        <v/>
      </c>
      <c r="J465" s="133" t="str">
        <f>IF($A465&lt;&gt;0,VLOOKUP($A465,'0.Productos'!$A$3:$GG$587,'0.Productos'!BB$1+1,0),"")</f>
        <v/>
      </c>
      <c r="K465" s="133" t="str">
        <f>IF($A465&lt;&gt;0,VLOOKUP($A465,'0.Productos'!$A$3:$GG$587,'0.Productos'!BC$1+1,0),"")</f>
        <v/>
      </c>
      <c r="L465" s="133" t="str">
        <f>IF($A465&lt;&gt;0,VLOOKUP($A465,'0.Productos'!$A$3:$GG$587,'0.Productos'!BD$1+1,0),"")</f>
        <v/>
      </c>
      <c r="M465" s="133" t="str">
        <f>IF($A465&lt;&gt;0,VLOOKUP($A465,'0.Productos'!$A$3:$GG$587,'0.Productos'!BE$1+1,0),"")</f>
        <v/>
      </c>
      <c r="N465" s="133" t="str">
        <f>IF($A465&lt;&gt;0,VLOOKUP($A465,'0.Productos'!$A$3:$GG$587,'0.Productos'!BF$1+1,0),"")</f>
        <v/>
      </c>
      <c r="O465" s="133" t="str">
        <f>IF($A465&lt;&gt;0,VLOOKUP($A465,'0.Productos'!$A$3:$GG$587,'0.Productos'!BG$1+1,0),"")</f>
        <v/>
      </c>
      <c r="P465" s="133" t="str">
        <f>IF($A465&lt;&gt;0,VLOOKUP($A465,'0.Productos'!$A$3:$GG$587,'0.Productos'!BH$1+1,0),"")</f>
        <v/>
      </c>
      <c r="Q465" s="133" t="str">
        <f>IF($A465&lt;&gt;0,VLOOKUP($A465,'0.Productos'!$A$3:$GG$587,'0.Productos'!BI$1+1,0),"")</f>
        <v/>
      </c>
      <c r="R465" s="133" t="str">
        <f>IF($A465&lt;&gt;0,VLOOKUP($A465,'0.Productos'!$A$3:$GG$587,'0.Productos'!BJ$1+1,0),"")</f>
        <v/>
      </c>
      <c r="S465" s="133" t="str">
        <f>IF($A465&lt;&gt;0,VLOOKUP($A465,'0.Productos'!$A$3:$GG$587,'0.Productos'!BK$1+1,0),"")</f>
        <v/>
      </c>
      <c r="T465" s="133" t="str">
        <f>IF($A465&lt;&gt;0,VLOOKUP($A465,'0.Productos'!$A$3:$GG$587,'0.Productos'!BL$1+1,0),"")</f>
        <v/>
      </c>
      <c r="U465" s="133" t="str">
        <f>IF($A465&lt;&gt;0,VLOOKUP($A465,'0.Productos'!$A$3:$GG$587,'0.Productos'!BM$1+1,0),"")</f>
        <v/>
      </c>
      <c r="V465" s="133" t="str">
        <f>IF($A465&lt;&gt;0,VLOOKUP($A465,'0.Productos'!$A$3:$GG$587,'0.Productos'!BN$1+1,0),"")</f>
        <v/>
      </c>
      <c r="W465" s="133" t="str">
        <f>IF($A465&lt;&gt;0,VLOOKUP($A465,'0.Productos'!$A$3:$GG$587,'0.Productos'!BO$1+1,0),"")</f>
        <v/>
      </c>
      <c r="X465" s="133" t="str">
        <f>IF($A465&lt;&gt;0,VLOOKUP($A465,'0.Productos'!$A$3:$GG$587,'0.Productos'!BP$1+1,0),"")</f>
        <v/>
      </c>
      <c r="Y465" s="133" t="str">
        <f>IF($A465&lt;&gt;0,VLOOKUP($A465,'0.Productos'!$A$3:$GG$587,'0.Productos'!BQ$1+1,0),"")</f>
        <v/>
      </c>
      <c r="Z465" s="133" t="str">
        <f>IF($A465&lt;&gt;0,VLOOKUP($A465,'0.Productos'!$A$3:$GG$587,'0.Productos'!BR$1+1,0),"")</f>
        <v/>
      </c>
      <c r="AA465" s="133" t="str">
        <f>IF($A465&lt;&gt;0,VLOOKUP($A465,'0.Productos'!$A$3:$GG$587,'0.Productos'!BS$1+1,0),"")</f>
        <v/>
      </c>
      <c r="AB465" s="133" t="str">
        <f>IF($A465&lt;&gt;0,VLOOKUP($A465,'0.Productos'!$A$3:$GG$587,'0.Productos'!BT$1+1,0),"")</f>
        <v/>
      </c>
      <c r="AC465" s="133" t="str">
        <f>IF($A465&lt;&gt;0,VLOOKUP($A465,'0.Productos'!$A$3:$GG$587,'0.Productos'!BU$1+1,0),"")</f>
        <v/>
      </c>
      <c r="AD465" s="133" t="str">
        <f>IF($A465&lt;&gt;0,VLOOKUP($A465,'0.Productos'!$A$3:$GG$587,'0.Productos'!BV$1+1,0),"")</f>
        <v/>
      </c>
      <c r="AE465" s="133" t="str">
        <f>IF($A465&lt;&gt;0,VLOOKUP($A465,'0.Productos'!$A$3:$GG$587,'0.Productos'!BW$1+1,0),"")</f>
        <v/>
      </c>
      <c r="AF465" s="133" t="str">
        <f>IF($A465&lt;&gt;0,VLOOKUP($A465,'0.Productos'!$A$3:$GG$587,'0.Productos'!BX$1+1,0),"")</f>
        <v/>
      </c>
      <c r="AG465" s="133" t="str">
        <f>IF($A465&lt;&gt;0,VLOOKUP($A465,'0.Productos'!$A$3:$GG$587,'0.Productos'!BY$1+1,0),"")</f>
        <v/>
      </c>
      <c r="AH465" s="133" t="str">
        <f>IF($A465&lt;&gt;0,VLOOKUP($A465,'0.Productos'!$A$3:$GG$587,'0.Productos'!BZ$1+1,0),"")</f>
        <v/>
      </c>
      <c r="AI465" s="133" t="str">
        <f>IF($A465&lt;&gt;0,VLOOKUP($A465,'0.Productos'!$A$3:$GG$587,'0.Productos'!CA$1+1,0),"")</f>
        <v/>
      </c>
      <c r="AJ465" s="133" t="str">
        <f>IF($A465&lt;&gt;0,VLOOKUP($A465,'0.Productos'!$A$3:$GG$587,'0.Productos'!CB$1+1,0),"")</f>
        <v/>
      </c>
      <c r="AK465" s="133" t="str">
        <f>IF($A465&lt;&gt;0,VLOOKUP($A465,'0.Productos'!$A$3:$GG$587,'0.Productos'!CC$1+1,0),"")</f>
        <v/>
      </c>
      <c r="AL465" s="133" t="str">
        <f>IF($A465&lt;&gt;0,VLOOKUP($A465,'0.Productos'!$A$3:$GG$587,'0.Productos'!CD$1+1,0),"")</f>
        <v/>
      </c>
      <c r="AM465" s="133" t="str">
        <f>IF($A465&lt;&gt;0,VLOOKUP($A465,'0.Productos'!$A$3:$GG$587,'0.Productos'!CE$1+1,0),"")</f>
        <v/>
      </c>
      <c r="AN465" s="133" t="str">
        <f>IF($A465&lt;&gt;0,VLOOKUP($A465,'0.Productos'!$A$3:$GG$587,'0.Productos'!CF$1+1,0),"")</f>
        <v/>
      </c>
      <c r="AO465" s="133" t="str">
        <f>IF($A465&lt;&gt;0,VLOOKUP($A465,'0.Productos'!$A$3:$GG$587,'0.Productos'!CG$1+1,0),"")</f>
        <v/>
      </c>
      <c r="AP465" s="133" t="str">
        <f>IF($A465&lt;&gt;0,VLOOKUP($A465,'0.Productos'!$A$3:$GG$587,'0.Productos'!CH$1+1,0),"")</f>
        <v/>
      </c>
      <c r="AQ465" s="133" t="str">
        <f>IF($A465&lt;&gt;0,VLOOKUP($A465,'0.Productos'!$A$3:$GG$587,'0.Productos'!CI$1+1,0),"")</f>
        <v/>
      </c>
      <c r="AR465" s="133" t="str">
        <f>IF($A465&lt;&gt;0,VLOOKUP($A465,'0.Productos'!$A$3:$GG$587,'0.Productos'!CJ$1+1,0),"")</f>
        <v/>
      </c>
      <c r="AS465" s="133" t="str">
        <f>IF($A465&lt;&gt;0,VLOOKUP($A465,'0.Productos'!$A$3:$GG$587,'0.Productos'!CK$1+1,0),"")</f>
        <v/>
      </c>
      <c r="AT465" s="133" t="str">
        <f>IF($A465&lt;&gt;0,VLOOKUP($A465,'0.Productos'!$A$3:$GG$587,'0.Productos'!CL$1+1,0),"")</f>
        <v/>
      </c>
      <c r="AU465" s="133" t="str">
        <f>IF($A465&lt;&gt;0,VLOOKUP($A465,'0.Productos'!$A$3:$GG$587,'0.Productos'!CM$1+1,0),"")</f>
        <v/>
      </c>
      <c r="AV465" s="133" t="str">
        <f>IF($A465&lt;&gt;0,VLOOKUP($A465,'0.Productos'!$A$3:$GG$587,'0.Productos'!CN$1+1,0),"")</f>
        <v/>
      </c>
      <c r="AW465" s="133" t="str">
        <f>IF($A465&lt;&gt;0,VLOOKUP($A465,'0.Productos'!$A$3:$GG$587,'0.Productos'!CO$1+1,0),"")</f>
        <v/>
      </c>
      <c r="AX465" s="133" t="str">
        <f>IF($A465&lt;&gt;0,VLOOKUP($A465,'0.Productos'!$A$3:$GG$587,'0.Productos'!CP$1+1,0),"")</f>
        <v/>
      </c>
      <c r="AY465" s="133" t="str">
        <f>IF($A465&lt;&gt;0,VLOOKUP($A465,'0.Productos'!$A$3:$GG$587,'0.Productos'!CQ$1+1,0),"")</f>
        <v/>
      </c>
      <c r="AZ465" s="133" t="str">
        <f>IF($A465&lt;&gt;0,VLOOKUP($A465,'0.Productos'!$A$3:$GG$587,'0.Productos'!CR$1+1,0),"")</f>
        <v/>
      </c>
      <c r="BA465" s="133" t="str">
        <f>IF($A465&lt;&gt;0,VLOOKUP($A465,'0.Productos'!$A$3:$GG$587,'0.Productos'!CS$1+1,0),"")</f>
        <v/>
      </c>
      <c r="BB465" s="133" t="str">
        <f>IF($A465&lt;&gt;0,VLOOKUP($A465,'0.Productos'!$A$3:$GG$587,'0.Productos'!CT$1+1,0),"")</f>
        <v/>
      </c>
      <c r="BC465" s="133" t="str">
        <f>IF($A465&lt;&gt;0,VLOOKUP($A465,'0.Productos'!$A$3:$GG$587,'0.Productos'!CU$1+1,0),"")</f>
        <v/>
      </c>
      <c r="BD465" s="133" t="str">
        <f>IF($A465&lt;&gt;0,VLOOKUP($A465,'0.Productos'!$A$3:$GG$587,'0.Productos'!CV$1+1,0),"")</f>
        <v/>
      </c>
      <c r="BE465" s="133" t="str">
        <f>IF($A465&lt;&gt;0,VLOOKUP($A465,'0.Productos'!$A$3:$GG$587,'0.Productos'!CW$1+1,0),"")</f>
        <v/>
      </c>
      <c r="BF465" s="133" t="str">
        <f>IF($A465&lt;&gt;0,VLOOKUP($A465,'0.Productos'!$A$3:$GG$587,'0.Productos'!CX$1+1,0),"")</f>
        <v/>
      </c>
      <c r="BG465" s="133" t="str">
        <f>IF($A465&lt;&gt;0,VLOOKUP($A465,'0.Productos'!$A$3:$GG$587,'0.Productos'!CY$1+1,0),"")</f>
        <v/>
      </c>
      <c r="BH465" s="133" t="str">
        <f>IF($A465&lt;&gt;0,VLOOKUP($A465,'0.Productos'!$A$3:$GG$587,'0.Productos'!CZ$1+1,0),"")</f>
        <v/>
      </c>
      <c r="BI465" s="133" t="str">
        <f>IF($A465&lt;&gt;0,VLOOKUP($A465,'0.Productos'!$A$3:$GG$587,'0.Productos'!DA$1+1,0),"")</f>
        <v/>
      </c>
      <c r="BJ465" s="133" t="str">
        <f>IF($A465&lt;&gt;0,VLOOKUP($A465,'0.Productos'!$A$3:$GG$587,'0.Productos'!DB$1+1,0),"")</f>
        <v/>
      </c>
      <c r="BK465" s="133" t="str">
        <f>IF($A465&lt;&gt;0,VLOOKUP($A465,'0.Productos'!$A$3:$GG$587,'0.Productos'!DC$1+1,0),"")</f>
        <v/>
      </c>
      <c r="BL465" s="133" t="str">
        <f>IF($A465&lt;&gt;0,VLOOKUP($A465,'0.Productos'!$A$3:$GG$587,'0.Productos'!DD$1+1,0),"")</f>
        <v/>
      </c>
      <c r="BM465" s="133" t="str">
        <f>IF($A465&lt;&gt;0,VLOOKUP($A465,'0.Productos'!$A$3:$GG$587,'0.Productos'!DE$1+1,0),"")</f>
        <v/>
      </c>
      <c r="BN465" s="133" t="str">
        <f>IF($A465&lt;&gt;0,VLOOKUP($A465,'0.Productos'!$A$3:$GG$587,'0.Productos'!DF$1+1,0),"")</f>
        <v/>
      </c>
      <c r="BO465" s="133" t="str">
        <f>IF($A465&lt;&gt;0,VLOOKUP($A465,'0.Productos'!$A$3:$GG$587,'0.Productos'!DG$1+1,0),"")</f>
        <v/>
      </c>
      <c r="BP465" s="133" t="str">
        <f>IF($A465&lt;&gt;0,VLOOKUP($A465,'0.Productos'!$A$3:$GG$587,'0.Productos'!DH$1+1,0),"")</f>
        <v/>
      </c>
      <c r="BQ465" s="133" t="str">
        <f>IF($A465&lt;&gt;0,VLOOKUP($A465,'0.Productos'!$A$3:$GG$587,'0.Productos'!DI$1+1,0),"")</f>
        <v/>
      </c>
      <c r="BR465" s="133" t="str">
        <f>IF($A465&lt;&gt;0,VLOOKUP($A465,'0.Productos'!$A$3:$GG$587,'0.Productos'!DJ$1+1,0),"")</f>
        <v/>
      </c>
      <c r="BS465" s="133" t="str">
        <f>IF($A465&lt;&gt;0,VLOOKUP($A465,'0.Productos'!$A$3:$GG$587,'0.Productos'!DK$1+1,0),"")</f>
        <v/>
      </c>
      <c r="BT465" s="133" t="str">
        <f>IF($A465&lt;&gt;0,VLOOKUP($A465,'0.Productos'!$A$3:$GG$587,'0.Productos'!DL$1+1,0),"")</f>
        <v/>
      </c>
    </row>
    <row r="466" spans="1:72" x14ac:dyDescent="0.25">
      <c r="A466" s="17">
        <f>'0.Consolidado general'!A466</f>
        <v>0</v>
      </c>
      <c r="B466" s="133" t="str">
        <f>IF($A466&lt;&gt;0,VLOOKUP($A466,'0.Productos'!$A$3:$GG$587,'0.Productos'!AT$1+1,0),"")</f>
        <v/>
      </c>
      <c r="C466" s="133" t="str">
        <f>IF($A466&lt;&gt;0,VLOOKUP($A466,'0.Productos'!$A$3:$GG$587,'0.Productos'!AU$1+1,0),"")</f>
        <v/>
      </c>
      <c r="D466" s="133" t="str">
        <f>IF($A466&lt;&gt;0,VLOOKUP($A466,'0.Productos'!$A$3:$GG$587,'0.Productos'!AV$1+1,0),"")</f>
        <v/>
      </c>
      <c r="E466" s="133" t="str">
        <f>IF($A466&lt;&gt;0,VLOOKUP($A466,'0.Productos'!$A$3:$GG$587,'0.Productos'!AW$1+1,0),"")</f>
        <v/>
      </c>
      <c r="F466" s="133" t="str">
        <f>IF($A466&lt;&gt;0,VLOOKUP($A466,'0.Productos'!$A$3:$GG$587,'0.Productos'!AX$1+1,0),"")</f>
        <v/>
      </c>
      <c r="G466" s="133" t="str">
        <f>IF($A466&lt;&gt;0,VLOOKUP($A466,'0.Productos'!$A$3:$GG$587,'0.Productos'!AY$1+1,0),"")</f>
        <v/>
      </c>
      <c r="H466" s="133" t="str">
        <f>IF($A466&lt;&gt;0,VLOOKUP($A466,'0.Productos'!$A$3:$GG$587,'0.Productos'!AZ$1+1,0),"")</f>
        <v/>
      </c>
      <c r="I466" s="133" t="str">
        <f>IF($A466&lt;&gt;0,VLOOKUP($A466,'0.Productos'!$A$3:$GG$587,'0.Productos'!BA$1+1,0),"")</f>
        <v/>
      </c>
      <c r="J466" s="133" t="str">
        <f>IF($A466&lt;&gt;0,VLOOKUP($A466,'0.Productos'!$A$3:$GG$587,'0.Productos'!BB$1+1,0),"")</f>
        <v/>
      </c>
      <c r="K466" s="133" t="str">
        <f>IF($A466&lt;&gt;0,VLOOKUP($A466,'0.Productos'!$A$3:$GG$587,'0.Productos'!BC$1+1,0),"")</f>
        <v/>
      </c>
      <c r="L466" s="133" t="str">
        <f>IF($A466&lt;&gt;0,VLOOKUP($A466,'0.Productos'!$A$3:$GG$587,'0.Productos'!BD$1+1,0),"")</f>
        <v/>
      </c>
      <c r="M466" s="133" t="str">
        <f>IF($A466&lt;&gt;0,VLOOKUP($A466,'0.Productos'!$A$3:$GG$587,'0.Productos'!BE$1+1,0),"")</f>
        <v/>
      </c>
      <c r="N466" s="133" t="str">
        <f>IF($A466&lt;&gt;0,VLOOKUP($A466,'0.Productos'!$A$3:$GG$587,'0.Productos'!BF$1+1,0),"")</f>
        <v/>
      </c>
      <c r="O466" s="133" t="str">
        <f>IF($A466&lt;&gt;0,VLOOKUP($A466,'0.Productos'!$A$3:$GG$587,'0.Productos'!BG$1+1,0),"")</f>
        <v/>
      </c>
      <c r="P466" s="133" t="str">
        <f>IF($A466&lt;&gt;0,VLOOKUP($A466,'0.Productos'!$A$3:$GG$587,'0.Productos'!BH$1+1,0),"")</f>
        <v/>
      </c>
      <c r="Q466" s="133" t="str">
        <f>IF($A466&lt;&gt;0,VLOOKUP($A466,'0.Productos'!$A$3:$GG$587,'0.Productos'!BI$1+1,0),"")</f>
        <v/>
      </c>
      <c r="R466" s="133" t="str">
        <f>IF($A466&lt;&gt;0,VLOOKUP($A466,'0.Productos'!$A$3:$GG$587,'0.Productos'!BJ$1+1,0),"")</f>
        <v/>
      </c>
      <c r="S466" s="133" t="str">
        <f>IF($A466&lt;&gt;0,VLOOKUP($A466,'0.Productos'!$A$3:$GG$587,'0.Productos'!BK$1+1,0),"")</f>
        <v/>
      </c>
      <c r="T466" s="133" t="str">
        <f>IF($A466&lt;&gt;0,VLOOKUP($A466,'0.Productos'!$A$3:$GG$587,'0.Productos'!BL$1+1,0),"")</f>
        <v/>
      </c>
      <c r="U466" s="133" t="str">
        <f>IF($A466&lt;&gt;0,VLOOKUP($A466,'0.Productos'!$A$3:$GG$587,'0.Productos'!BM$1+1,0),"")</f>
        <v/>
      </c>
      <c r="V466" s="133" t="str">
        <f>IF($A466&lt;&gt;0,VLOOKUP($A466,'0.Productos'!$A$3:$GG$587,'0.Productos'!BN$1+1,0),"")</f>
        <v/>
      </c>
      <c r="W466" s="133" t="str">
        <f>IF($A466&lt;&gt;0,VLOOKUP($A466,'0.Productos'!$A$3:$GG$587,'0.Productos'!BO$1+1,0),"")</f>
        <v/>
      </c>
      <c r="X466" s="133" t="str">
        <f>IF($A466&lt;&gt;0,VLOOKUP($A466,'0.Productos'!$A$3:$GG$587,'0.Productos'!BP$1+1,0),"")</f>
        <v/>
      </c>
      <c r="Y466" s="133" t="str">
        <f>IF($A466&lt;&gt;0,VLOOKUP($A466,'0.Productos'!$A$3:$GG$587,'0.Productos'!BQ$1+1,0),"")</f>
        <v/>
      </c>
      <c r="Z466" s="133" t="str">
        <f>IF($A466&lt;&gt;0,VLOOKUP($A466,'0.Productos'!$A$3:$GG$587,'0.Productos'!BR$1+1,0),"")</f>
        <v/>
      </c>
      <c r="AA466" s="133" t="str">
        <f>IF($A466&lt;&gt;0,VLOOKUP($A466,'0.Productos'!$A$3:$GG$587,'0.Productos'!BS$1+1,0),"")</f>
        <v/>
      </c>
      <c r="AB466" s="133" t="str">
        <f>IF($A466&lt;&gt;0,VLOOKUP($A466,'0.Productos'!$A$3:$GG$587,'0.Productos'!BT$1+1,0),"")</f>
        <v/>
      </c>
      <c r="AC466" s="133" t="str">
        <f>IF($A466&lt;&gt;0,VLOOKUP($A466,'0.Productos'!$A$3:$GG$587,'0.Productos'!BU$1+1,0),"")</f>
        <v/>
      </c>
      <c r="AD466" s="133" t="str">
        <f>IF($A466&lt;&gt;0,VLOOKUP($A466,'0.Productos'!$A$3:$GG$587,'0.Productos'!BV$1+1,0),"")</f>
        <v/>
      </c>
      <c r="AE466" s="133" t="str">
        <f>IF($A466&lt;&gt;0,VLOOKUP($A466,'0.Productos'!$A$3:$GG$587,'0.Productos'!BW$1+1,0),"")</f>
        <v/>
      </c>
      <c r="AF466" s="133" t="str">
        <f>IF($A466&lt;&gt;0,VLOOKUP($A466,'0.Productos'!$A$3:$GG$587,'0.Productos'!BX$1+1,0),"")</f>
        <v/>
      </c>
      <c r="AG466" s="133" t="str">
        <f>IF($A466&lt;&gt;0,VLOOKUP($A466,'0.Productos'!$A$3:$GG$587,'0.Productos'!BY$1+1,0),"")</f>
        <v/>
      </c>
      <c r="AH466" s="133" t="str">
        <f>IF($A466&lt;&gt;0,VLOOKUP($A466,'0.Productos'!$A$3:$GG$587,'0.Productos'!BZ$1+1,0),"")</f>
        <v/>
      </c>
      <c r="AI466" s="133" t="str">
        <f>IF($A466&lt;&gt;0,VLOOKUP($A466,'0.Productos'!$A$3:$GG$587,'0.Productos'!CA$1+1,0),"")</f>
        <v/>
      </c>
      <c r="AJ466" s="133" t="str">
        <f>IF($A466&lt;&gt;0,VLOOKUP($A466,'0.Productos'!$A$3:$GG$587,'0.Productos'!CB$1+1,0),"")</f>
        <v/>
      </c>
      <c r="AK466" s="133" t="str">
        <f>IF($A466&lt;&gt;0,VLOOKUP($A466,'0.Productos'!$A$3:$GG$587,'0.Productos'!CC$1+1,0),"")</f>
        <v/>
      </c>
      <c r="AL466" s="133" t="str">
        <f>IF($A466&lt;&gt;0,VLOOKUP($A466,'0.Productos'!$A$3:$GG$587,'0.Productos'!CD$1+1,0),"")</f>
        <v/>
      </c>
      <c r="AM466" s="133" t="str">
        <f>IF($A466&lt;&gt;0,VLOOKUP($A466,'0.Productos'!$A$3:$GG$587,'0.Productos'!CE$1+1,0),"")</f>
        <v/>
      </c>
      <c r="AN466" s="133" t="str">
        <f>IF($A466&lt;&gt;0,VLOOKUP($A466,'0.Productos'!$A$3:$GG$587,'0.Productos'!CF$1+1,0),"")</f>
        <v/>
      </c>
      <c r="AO466" s="133" t="str">
        <f>IF($A466&lt;&gt;0,VLOOKUP($A466,'0.Productos'!$A$3:$GG$587,'0.Productos'!CG$1+1,0),"")</f>
        <v/>
      </c>
      <c r="AP466" s="133" t="str">
        <f>IF($A466&lt;&gt;0,VLOOKUP($A466,'0.Productos'!$A$3:$GG$587,'0.Productos'!CH$1+1,0),"")</f>
        <v/>
      </c>
      <c r="AQ466" s="133" t="str">
        <f>IF($A466&lt;&gt;0,VLOOKUP($A466,'0.Productos'!$A$3:$GG$587,'0.Productos'!CI$1+1,0),"")</f>
        <v/>
      </c>
      <c r="AR466" s="133" t="str">
        <f>IF($A466&lt;&gt;0,VLOOKUP($A466,'0.Productos'!$A$3:$GG$587,'0.Productos'!CJ$1+1,0),"")</f>
        <v/>
      </c>
      <c r="AS466" s="133" t="str">
        <f>IF($A466&lt;&gt;0,VLOOKUP($A466,'0.Productos'!$A$3:$GG$587,'0.Productos'!CK$1+1,0),"")</f>
        <v/>
      </c>
      <c r="AT466" s="133" t="str">
        <f>IF($A466&lt;&gt;0,VLOOKUP($A466,'0.Productos'!$A$3:$GG$587,'0.Productos'!CL$1+1,0),"")</f>
        <v/>
      </c>
      <c r="AU466" s="133" t="str">
        <f>IF($A466&lt;&gt;0,VLOOKUP($A466,'0.Productos'!$A$3:$GG$587,'0.Productos'!CM$1+1,0),"")</f>
        <v/>
      </c>
      <c r="AV466" s="133" t="str">
        <f>IF($A466&lt;&gt;0,VLOOKUP($A466,'0.Productos'!$A$3:$GG$587,'0.Productos'!CN$1+1,0),"")</f>
        <v/>
      </c>
      <c r="AW466" s="133" t="str">
        <f>IF($A466&lt;&gt;0,VLOOKUP($A466,'0.Productos'!$A$3:$GG$587,'0.Productos'!CO$1+1,0),"")</f>
        <v/>
      </c>
      <c r="AX466" s="133" t="str">
        <f>IF($A466&lt;&gt;0,VLOOKUP($A466,'0.Productos'!$A$3:$GG$587,'0.Productos'!CP$1+1,0),"")</f>
        <v/>
      </c>
      <c r="AY466" s="133" t="str">
        <f>IF($A466&lt;&gt;0,VLOOKUP($A466,'0.Productos'!$A$3:$GG$587,'0.Productos'!CQ$1+1,0),"")</f>
        <v/>
      </c>
      <c r="AZ466" s="133" t="str">
        <f>IF($A466&lt;&gt;0,VLOOKUP($A466,'0.Productos'!$A$3:$GG$587,'0.Productos'!CR$1+1,0),"")</f>
        <v/>
      </c>
      <c r="BA466" s="133" t="str">
        <f>IF($A466&lt;&gt;0,VLOOKUP($A466,'0.Productos'!$A$3:$GG$587,'0.Productos'!CS$1+1,0),"")</f>
        <v/>
      </c>
      <c r="BB466" s="133" t="str">
        <f>IF($A466&lt;&gt;0,VLOOKUP($A466,'0.Productos'!$A$3:$GG$587,'0.Productos'!CT$1+1,0),"")</f>
        <v/>
      </c>
      <c r="BC466" s="133" t="str">
        <f>IF($A466&lt;&gt;0,VLOOKUP($A466,'0.Productos'!$A$3:$GG$587,'0.Productos'!CU$1+1,0),"")</f>
        <v/>
      </c>
      <c r="BD466" s="133" t="str">
        <f>IF($A466&lt;&gt;0,VLOOKUP($A466,'0.Productos'!$A$3:$GG$587,'0.Productos'!CV$1+1,0),"")</f>
        <v/>
      </c>
      <c r="BE466" s="133" t="str">
        <f>IF($A466&lt;&gt;0,VLOOKUP($A466,'0.Productos'!$A$3:$GG$587,'0.Productos'!CW$1+1,0),"")</f>
        <v/>
      </c>
      <c r="BF466" s="133" t="str">
        <f>IF($A466&lt;&gt;0,VLOOKUP($A466,'0.Productos'!$A$3:$GG$587,'0.Productos'!CX$1+1,0),"")</f>
        <v/>
      </c>
      <c r="BG466" s="133" t="str">
        <f>IF($A466&lt;&gt;0,VLOOKUP($A466,'0.Productos'!$A$3:$GG$587,'0.Productos'!CY$1+1,0),"")</f>
        <v/>
      </c>
      <c r="BH466" s="133" t="str">
        <f>IF($A466&lt;&gt;0,VLOOKUP($A466,'0.Productos'!$A$3:$GG$587,'0.Productos'!CZ$1+1,0),"")</f>
        <v/>
      </c>
      <c r="BI466" s="133" t="str">
        <f>IF($A466&lt;&gt;0,VLOOKUP($A466,'0.Productos'!$A$3:$GG$587,'0.Productos'!DA$1+1,0),"")</f>
        <v/>
      </c>
      <c r="BJ466" s="133" t="str">
        <f>IF($A466&lt;&gt;0,VLOOKUP($A466,'0.Productos'!$A$3:$GG$587,'0.Productos'!DB$1+1,0),"")</f>
        <v/>
      </c>
      <c r="BK466" s="133" t="str">
        <f>IF($A466&lt;&gt;0,VLOOKUP($A466,'0.Productos'!$A$3:$GG$587,'0.Productos'!DC$1+1,0),"")</f>
        <v/>
      </c>
      <c r="BL466" s="133" t="str">
        <f>IF($A466&lt;&gt;0,VLOOKUP($A466,'0.Productos'!$A$3:$GG$587,'0.Productos'!DD$1+1,0),"")</f>
        <v/>
      </c>
      <c r="BM466" s="133" t="str">
        <f>IF($A466&lt;&gt;0,VLOOKUP($A466,'0.Productos'!$A$3:$GG$587,'0.Productos'!DE$1+1,0),"")</f>
        <v/>
      </c>
      <c r="BN466" s="133" t="str">
        <f>IF($A466&lt;&gt;0,VLOOKUP($A466,'0.Productos'!$A$3:$GG$587,'0.Productos'!DF$1+1,0),"")</f>
        <v/>
      </c>
      <c r="BO466" s="133" t="str">
        <f>IF($A466&lt;&gt;0,VLOOKUP($A466,'0.Productos'!$A$3:$GG$587,'0.Productos'!DG$1+1,0),"")</f>
        <v/>
      </c>
      <c r="BP466" s="133" t="str">
        <f>IF($A466&lt;&gt;0,VLOOKUP($A466,'0.Productos'!$A$3:$GG$587,'0.Productos'!DH$1+1,0),"")</f>
        <v/>
      </c>
      <c r="BQ466" s="133" t="str">
        <f>IF($A466&lt;&gt;0,VLOOKUP($A466,'0.Productos'!$A$3:$GG$587,'0.Productos'!DI$1+1,0),"")</f>
        <v/>
      </c>
      <c r="BR466" s="133" t="str">
        <f>IF($A466&lt;&gt;0,VLOOKUP($A466,'0.Productos'!$A$3:$GG$587,'0.Productos'!DJ$1+1,0),"")</f>
        <v/>
      </c>
      <c r="BS466" s="133" t="str">
        <f>IF($A466&lt;&gt;0,VLOOKUP($A466,'0.Productos'!$A$3:$GG$587,'0.Productos'!DK$1+1,0),"")</f>
        <v/>
      </c>
      <c r="BT466" s="133" t="str">
        <f>IF($A466&lt;&gt;0,VLOOKUP($A466,'0.Productos'!$A$3:$GG$587,'0.Productos'!DL$1+1,0),"")</f>
        <v/>
      </c>
    </row>
    <row r="467" spans="1:72" x14ac:dyDescent="0.25">
      <c r="A467" s="17">
        <f>'0.Consolidado general'!A467</f>
        <v>0</v>
      </c>
      <c r="B467" s="133" t="str">
        <f>IF($A467&lt;&gt;0,VLOOKUP($A467,'0.Productos'!$A$3:$GG$587,'0.Productos'!AT$1+1,0),"")</f>
        <v/>
      </c>
      <c r="C467" s="133" t="str">
        <f>IF($A467&lt;&gt;0,VLOOKUP($A467,'0.Productos'!$A$3:$GG$587,'0.Productos'!AU$1+1,0),"")</f>
        <v/>
      </c>
      <c r="D467" s="133" t="str">
        <f>IF($A467&lt;&gt;0,VLOOKUP($A467,'0.Productos'!$A$3:$GG$587,'0.Productos'!AV$1+1,0),"")</f>
        <v/>
      </c>
      <c r="E467" s="133" t="str">
        <f>IF($A467&lt;&gt;0,VLOOKUP($A467,'0.Productos'!$A$3:$GG$587,'0.Productos'!AW$1+1,0),"")</f>
        <v/>
      </c>
      <c r="F467" s="133" t="str">
        <f>IF($A467&lt;&gt;0,VLOOKUP($A467,'0.Productos'!$A$3:$GG$587,'0.Productos'!AX$1+1,0),"")</f>
        <v/>
      </c>
      <c r="G467" s="133" t="str">
        <f>IF($A467&lt;&gt;0,VLOOKUP($A467,'0.Productos'!$A$3:$GG$587,'0.Productos'!AY$1+1,0),"")</f>
        <v/>
      </c>
      <c r="H467" s="133" t="str">
        <f>IF($A467&lt;&gt;0,VLOOKUP($A467,'0.Productos'!$A$3:$GG$587,'0.Productos'!AZ$1+1,0),"")</f>
        <v/>
      </c>
      <c r="I467" s="133" t="str">
        <f>IF($A467&lt;&gt;0,VLOOKUP($A467,'0.Productos'!$A$3:$GG$587,'0.Productos'!BA$1+1,0),"")</f>
        <v/>
      </c>
      <c r="J467" s="133" t="str">
        <f>IF($A467&lt;&gt;0,VLOOKUP($A467,'0.Productos'!$A$3:$GG$587,'0.Productos'!BB$1+1,0),"")</f>
        <v/>
      </c>
      <c r="K467" s="133" t="str">
        <f>IF($A467&lt;&gt;0,VLOOKUP($A467,'0.Productos'!$A$3:$GG$587,'0.Productos'!BC$1+1,0),"")</f>
        <v/>
      </c>
      <c r="L467" s="133" t="str">
        <f>IF($A467&lt;&gt;0,VLOOKUP($A467,'0.Productos'!$A$3:$GG$587,'0.Productos'!BD$1+1,0),"")</f>
        <v/>
      </c>
      <c r="M467" s="133" t="str">
        <f>IF($A467&lt;&gt;0,VLOOKUP($A467,'0.Productos'!$A$3:$GG$587,'0.Productos'!BE$1+1,0),"")</f>
        <v/>
      </c>
      <c r="N467" s="133" t="str">
        <f>IF($A467&lt;&gt;0,VLOOKUP($A467,'0.Productos'!$A$3:$GG$587,'0.Productos'!BF$1+1,0),"")</f>
        <v/>
      </c>
      <c r="O467" s="133" t="str">
        <f>IF($A467&lt;&gt;0,VLOOKUP($A467,'0.Productos'!$A$3:$GG$587,'0.Productos'!BG$1+1,0),"")</f>
        <v/>
      </c>
      <c r="P467" s="133" t="str">
        <f>IF($A467&lt;&gt;0,VLOOKUP($A467,'0.Productos'!$A$3:$GG$587,'0.Productos'!BH$1+1,0),"")</f>
        <v/>
      </c>
      <c r="Q467" s="133" t="str">
        <f>IF($A467&lt;&gt;0,VLOOKUP($A467,'0.Productos'!$A$3:$GG$587,'0.Productos'!BI$1+1,0),"")</f>
        <v/>
      </c>
      <c r="R467" s="133" t="str">
        <f>IF($A467&lt;&gt;0,VLOOKUP($A467,'0.Productos'!$A$3:$GG$587,'0.Productos'!BJ$1+1,0),"")</f>
        <v/>
      </c>
      <c r="S467" s="133" t="str">
        <f>IF($A467&lt;&gt;0,VLOOKUP($A467,'0.Productos'!$A$3:$GG$587,'0.Productos'!BK$1+1,0),"")</f>
        <v/>
      </c>
      <c r="T467" s="133" t="str">
        <f>IF($A467&lt;&gt;0,VLOOKUP($A467,'0.Productos'!$A$3:$GG$587,'0.Productos'!BL$1+1,0),"")</f>
        <v/>
      </c>
      <c r="U467" s="133" t="str">
        <f>IF($A467&lt;&gt;0,VLOOKUP($A467,'0.Productos'!$A$3:$GG$587,'0.Productos'!BM$1+1,0),"")</f>
        <v/>
      </c>
      <c r="V467" s="133" t="str">
        <f>IF($A467&lt;&gt;0,VLOOKUP($A467,'0.Productos'!$A$3:$GG$587,'0.Productos'!BN$1+1,0),"")</f>
        <v/>
      </c>
      <c r="W467" s="133" t="str">
        <f>IF($A467&lt;&gt;0,VLOOKUP($A467,'0.Productos'!$A$3:$GG$587,'0.Productos'!BO$1+1,0),"")</f>
        <v/>
      </c>
      <c r="X467" s="133" t="str">
        <f>IF($A467&lt;&gt;0,VLOOKUP($A467,'0.Productos'!$A$3:$GG$587,'0.Productos'!BP$1+1,0),"")</f>
        <v/>
      </c>
      <c r="Y467" s="133" t="str">
        <f>IF($A467&lt;&gt;0,VLOOKUP($A467,'0.Productos'!$A$3:$GG$587,'0.Productos'!BQ$1+1,0),"")</f>
        <v/>
      </c>
      <c r="Z467" s="133" t="str">
        <f>IF($A467&lt;&gt;0,VLOOKUP($A467,'0.Productos'!$A$3:$GG$587,'0.Productos'!BR$1+1,0),"")</f>
        <v/>
      </c>
      <c r="AA467" s="133" t="str">
        <f>IF($A467&lt;&gt;0,VLOOKUP($A467,'0.Productos'!$A$3:$GG$587,'0.Productos'!BS$1+1,0),"")</f>
        <v/>
      </c>
      <c r="AB467" s="133" t="str">
        <f>IF($A467&lt;&gt;0,VLOOKUP($A467,'0.Productos'!$A$3:$GG$587,'0.Productos'!BT$1+1,0),"")</f>
        <v/>
      </c>
      <c r="AC467" s="133" t="str">
        <f>IF($A467&lt;&gt;0,VLOOKUP($A467,'0.Productos'!$A$3:$GG$587,'0.Productos'!BU$1+1,0),"")</f>
        <v/>
      </c>
      <c r="AD467" s="133" t="str">
        <f>IF($A467&lt;&gt;0,VLOOKUP($A467,'0.Productos'!$A$3:$GG$587,'0.Productos'!BV$1+1,0),"")</f>
        <v/>
      </c>
      <c r="AE467" s="133" t="str">
        <f>IF($A467&lt;&gt;0,VLOOKUP($A467,'0.Productos'!$A$3:$GG$587,'0.Productos'!BW$1+1,0),"")</f>
        <v/>
      </c>
      <c r="AF467" s="133" t="str">
        <f>IF($A467&lt;&gt;0,VLOOKUP($A467,'0.Productos'!$A$3:$GG$587,'0.Productos'!BX$1+1,0),"")</f>
        <v/>
      </c>
      <c r="AG467" s="133" t="str">
        <f>IF($A467&lt;&gt;0,VLOOKUP($A467,'0.Productos'!$A$3:$GG$587,'0.Productos'!BY$1+1,0),"")</f>
        <v/>
      </c>
      <c r="AH467" s="133" t="str">
        <f>IF($A467&lt;&gt;0,VLOOKUP($A467,'0.Productos'!$A$3:$GG$587,'0.Productos'!BZ$1+1,0),"")</f>
        <v/>
      </c>
      <c r="AI467" s="133" t="str">
        <f>IF($A467&lt;&gt;0,VLOOKUP($A467,'0.Productos'!$A$3:$GG$587,'0.Productos'!CA$1+1,0),"")</f>
        <v/>
      </c>
      <c r="AJ467" s="133" t="str">
        <f>IF($A467&lt;&gt;0,VLOOKUP($A467,'0.Productos'!$A$3:$GG$587,'0.Productos'!CB$1+1,0),"")</f>
        <v/>
      </c>
      <c r="AK467" s="133" t="str">
        <f>IF($A467&lt;&gt;0,VLOOKUP($A467,'0.Productos'!$A$3:$GG$587,'0.Productos'!CC$1+1,0),"")</f>
        <v/>
      </c>
      <c r="AL467" s="133" t="str">
        <f>IF($A467&lt;&gt;0,VLOOKUP($A467,'0.Productos'!$A$3:$GG$587,'0.Productos'!CD$1+1,0),"")</f>
        <v/>
      </c>
      <c r="AM467" s="133" t="str">
        <f>IF($A467&lt;&gt;0,VLOOKUP($A467,'0.Productos'!$A$3:$GG$587,'0.Productos'!CE$1+1,0),"")</f>
        <v/>
      </c>
      <c r="AN467" s="133" t="str">
        <f>IF($A467&lt;&gt;0,VLOOKUP($A467,'0.Productos'!$A$3:$GG$587,'0.Productos'!CF$1+1,0),"")</f>
        <v/>
      </c>
      <c r="AO467" s="133" t="str">
        <f>IF($A467&lt;&gt;0,VLOOKUP($A467,'0.Productos'!$A$3:$GG$587,'0.Productos'!CG$1+1,0),"")</f>
        <v/>
      </c>
      <c r="AP467" s="133" t="str">
        <f>IF($A467&lt;&gt;0,VLOOKUP($A467,'0.Productos'!$A$3:$GG$587,'0.Productos'!CH$1+1,0),"")</f>
        <v/>
      </c>
      <c r="AQ467" s="133" t="str">
        <f>IF($A467&lt;&gt;0,VLOOKUP($A467,'0.Productos'!$A$3:$GG$587,'0.Productos'!CI$1+1,0),"")</f>
        <v/>
      </c>
      <c r="AR467" s="133" t="str">
        <f>IF($A467&lt;&gt;0,VLOOKUP($A467,'0.Productos'!$A$3:$GG$587,'0.Productos'!CJ$1+1,0),"")</f>
        <v/>
      </c>
      <c r="AS467" s="133" t="str">
        <f>IF($A467&lt;&gt;0,VLOOKUP($A467,'0.Productos'!$A$3:$GG$587,'0.Productos'!CK$1+1,0),"")</f>
        <v/>
      </c>
      <c r="AT467" s="133" t="str">
        <f>IF($A467&lt;&gt;0,VLOOKUP($A467,'0.Productos'!$A$3:$GG$587,'0.Productos'!CL$1+1,0),"")</f>
        <v/>
      </c>
      <c r="AU467" s="133" t="str">
        <f>IF($A467&lt;&gt;0,VLOOKUP($A467,'0.Productos'!$A$3:$GG$587,'0.Productos'!CM$1+1,0),"")</f>
        <v/>
      </c>
      <c r="AV467" s="133" t="str">
        <f>IF($A467&lt;&gt;0,VLOOKUP($A467,'0.Productos'!$A$3:$GG$587,'0.Productos'!CN$1+1,0),"")</f>
        <v/>
      </c>
      <c r="AW467" s="133" t="str">
        <f>IF($A467&lt;&gt;0,VLOOKUP($A467,'0.Productos'!$A$3:$GG$587,'0.Productos'!CO$1+1,0),"")</f>
        <v/>
      </c>
      <c r="AX467" s="133" t="str">
        <f>IF($A467&lt;&gt;0,VLOOKUP($A467,'0.Productos'!$A$3:$GG$587,'0.Productos'!CP$1+1,0),"")</f>
        <v/>
      </c>
      <c r="AY467" s="133" t="str">
        <f>IF($A467&lt;&gt;0,VLOOKUP($A467,'0.Productos'!$A$3:$GG$587,'0.Productos'!CQ$1+1,0),"")</f>
        <v/>
      </c>
      <c r="AZ467" s="133" t="str">
        <f>IF($A467&lt;&gt;0,VLOOKUP($A467,'0.Productos'!$A$3:$GG$587,'0.Productos'!CR$1+1,0),"")</f>
        <v/>
      </c>
      <c r="BA467" s="133" t="str">
        <f>IF($A467&lt;&gt;0,VLOOKUP($A467,'0.Productos'!$A$3:$GG$587,'0.Productos'!CS$1+1,0),"")</f>
        <v/>
      </c>
      <c r="BB467" s="133" t="str">
        <f>IF($A467&lt;&gt;0,VLOOKUP($A467,'0.Productos'!$A$3:$GG$587,'0.Productos'!CT$1+1,0),"")</f>
        <v/>
      </c>
      <c r="BC467" s="133" t="str">
        <f>IF($A467&lt;&gt;0,VLOOKUP($A467,'0.Productos'!$A$3:$GG$587,'0.Productos'!CU$1+1,0),"")</f>
        <v/>
      </c>
      <c r="BD467" s="133" t="str">
        <f>IF($A467&lt;&gt;0,VLOOKUP($A467,'0.Productos'!$A$3:$GG$587,'0.Productos'!CV$1+1,0),"")</f>
        <v/>
      </c>
      <c r="BE467" s="133" t="str">
        <f>IF($A467&lt;&gt;0,VLOOKUP($A467,'0.Productos'!$A$3:$GG$587,'0.Productos'!CW$1+1,0),"")</f>
        <v/>
      </c>
      <c r="BF467" s="133" t="str">
        <f>IF($A467&lt;&gt;0,VLOOKUP($A467,'0.Productos'!$A$3:$GG$587,'0.Productos'!CX$1+1,0),"")</f>
        <v/>
      </c>
      <c r="BG467" s="133" t="str">
        <f>IF($A467&lt;&gt;0,VLOOKUP($A467,'0.Productos'!$A$3:$GG$587,'0.Productos'!CY$1+1,0),"")</f>
        <v/>
      </c>
      <c r="BH467" s="133" t="str">
        <f>IF($A467&lt;&gt;0,VLOOKUP($A467,'0.Productos'!$A$3:$GG$587,'0.Productos'!CZ$1+1,0),"")</f>
        <v/>
      </c>
      <c r="BI467" s="133" t="str">
        <f>IF($A467&lt;&gt;0,VLOOKUP($A467,'0.Productos'!$A$3:$GG$587,'0.Productos'!DA$1+1,0),"")</f>
        <v/>
      </c>
      <c r="BJ467" s="133" t="str">
        <f>IF($A467&lt;&gt;0,VLOOKUP($A467,'0.Productos'!$A$3:$GG$587,'0.Productos'!DB$1+1,0),"")</f>
        <v/>
      </c>
      <c r="BK467" s="133" t="str">
        <f>IF($A467&lt;&gt;0,VLOOKUP($A467,'0.Productos'!$A$3:$GG$587,'0.Productos'!DC$1+1,0),"")</f>
        <v/>
      </c>
      <c r="BL467" s="133" t="str">
        <f>IF($A467&lt;&gt;0,VLOOKUP($A467,'0.Productos'!$A$3:$GG$587,'0.Productos'!DD$1+1,0),"")</f>
        <v/>
      </c>
      <c r="BM467" s="133" t="str">
        <f>IF($A467&lt;&gt;0,VLOOKUP($A467,'0.Productos'!$A$3:$GG$587,'0.Productos'!DE$1+1,0),"")</f>
        <v/>
      </c>
      <c r="BN467" s="133" t="str">
        <f>IF($A467&lt;&gt;0,VLOOKUP($A467,'0.Productos'!$A$3:$GG$587,'0.Productos'!DF$1+1,0),"")</f>
        <v/>
      </c>
      <c r="BO467" s="133" t="str">
        <f>IF($A467&lt;&gt;0,VLOOKUP($A467,'0.Productos'!$A$3:$GG$587,'0.Productos'!DG$1+1,0),"")</f>
        <v/>
      </c>
      <c r="BP467" s="133" t="str">
        <f>IF($A467&lt;&gt;0,VLOOKUP($A467,'0.Productos'!$A$3:$GG$587,'0.Productos'!DH$1+1,0),"")</f>
        <v/>
      </c>
      <c r="BQ467" s="133" t="str">
        <f>IF($A467&lt;&gt;0,VLOOKUP($A467,'0.Productos'!$A$3:$GG$587,'0.Productos'!DI$1+1,0),"")</f>
        <v/>
      </c>
      <c r="BR467" s="133" t="str">
        <f>IF($A467&lt;&gt;0,VLOOKUP($A467,'0.Productos'!$A$3:$GG$587,'0.Productos'!DJ$1+1,0),"")</f>
        <v/>
      </c>
      <c r="BS467" s="133" t="str">
        <f>IF($A467&lt;&gt;0,VLOOKUP($A467,'0.Productos'!$A$3:$GG$587,'0.Productos'!DK$1+1,0),"")</f>
        <v/>
      </c>
      <c r="BT467" s="133" t="str">
        <f>IF($A467&lt;&gt;0,VLOOKUP($A467,'0.Productos'!$A$3:$GG$587,'0.Productos'!DL$1+1,0),"")</f>
        <v/>
      </c>
    </row>
    <row r="468" spans="1:72" x14ac:dyDescent="0.25">
      <c r="A468" s="17">
        <f>'0.Consolidado general'!A468</f>
        <v>0</v>
      </c>
      <c r="B468" s="133" t="str">
        <f>IF($A468&lt;&gt;0,VLOOKUP($A468,'0.Productos'!$A$3:$GG$587,'0.Productos'!AT$1+1,0),"")</f>
        <v/>
      </c>
      <c r="C468" s="133" t="str">
        <f>IF($A468&lt;&gt;0,VLOOKUP($A468,'0.Productos'!$A$3:$GG$587,'0.Productos'!AU$1+1,0),"")</f>
        <v/>
      </c>
      <c r="D468" s="133" t="str">
        <f>IF($A468&lt;&gt;0,VLOOKUP($A468,'0.Productos'!$A$3:$GG$587,'0.Productos'!AV$1+1,0),"")</f>
        <v/>
      </c>
      <c r="E468" s="133" t="str">
        <f>IF($A468&lt;&gt;0,VLOOKUP($A468,'0.Productos'!$A$3:$GG$587,'0.Productos'!AW$1+1,0),"")</f>
        <v/>
      </c>
      <c r="F468" s="133" t="str">
        <f>IF($A468&lt;&gt;0,VLOOKUP($A468,'0.Productos'!$A$3:$GG$587,'0.Productos'!AX$1+1,0),"")</f>
        <v/>
      </c>
      <c r="G468" s="133" t="str">
        <f>IF($A468&lt;&gt;0,VLOOKUP($A468,'0.Productos'!$A$3:$GG$587,'0.Productos'!AY$1+1,0),"")</f>
        <v/>
      </c>
      <c r="H468" s="133" t="str">
        <f>IF($A468&lt;&gt;0,VLOOKUP($A468,'0.Productos'!$A$3:$GG$587,'0.Productos'!AZ$1+1,0),"")</f>
        <v/>
      </c>
      <c r="I468" s="133" t="str">
        <f>IF($A468&lt;&gt;0,VLOOKUP($A468,'0.Productos'!$A$3:$GG$587,'0.Productos'!BA$1+1,0),"")</f>
        <v/>
      </c>
      <c r="J468" s="133" t="str">
        <f>IF($A468&lt;&gt;0,VLOOKUP($A468,'0.Productos'!$A$3:$GG$587,'0.Productos'!BB$1+1,0),"")</f>
        <v/>
      </c>
      <c r="K468" s="133" t="str">
        <f>IF($A468&lt;&gt;0,VLOOKUP($A468,'0.Productos'!$A$3:$GG$587,'0.Productos'!BC$1+1,0),"")</f>
        <v/>
      </c>
      <c r="L468" s="133" t="str">
        <f>IF($A468&lt;&gt;0,VLOOKUP($A468,'0.Productos'!$A$3:$GG$587,'0.Productos'!BD$1+1,0),"")</f>
        <v/>
      </c>
      <c r="M468" s="133" t="str">
        <f>IF($A468&lt;&gt;0,VLOOKUP($A468,'0.Productos'!$A$3:$GG$587,'0.Productos'!BE$1+1,0),"")</f>
        <v/>
      </c>
      <c r="N468" s="133" t="str">
        <f>IF($A468&lt;&gt;0,VLOOKUP($A468,'0.Productos'!$A$3:$GG$587,'0.Productos'!BF$1+1,0),"")</f>
        <v/>
      </c>
      <c r="O468" s="133" t="str">
        <f>IF($A468&lt;&gt;0,VLOOKUP($A468,'0.Productos'!$A$3:$GG$587,'0.Productos'!BG$1+1,0),"")</f>
        <v/>
      </c>
      <c r="P468" s="133" t="str">
        <f>IF($A468&lt;&gt;0,VLOOKUP($A468,'0.Productos'!$A$3:$GG$587,'0.Productos'!BH$1+1,0),"")</f>
        <v/>
      </c>
      <c r="Q468" s="133" t="str">
        <f>IF($A468&lt;&gt;0,VLOOKUP($A468,'0.Productos'!$A$3:$GG$587,'0.Productos'!BI$1+1,0),"")</f>
        <v/>
      </c>
      <c r="R468" s="133" t="str">
        <f>IF($A468&lt;&gt;0,VLOOKUP($A468,'0.Productos'!$A$3:$GG$587,'0.Productos'!BJ$1+1,0),"")</f>
        <v/>
      </c>
      <c r="S468" s="133" t="str">
        <f>IF($A468&lt;&gt;0,VLOOKUP($A468,'0.Productos'!$A$3:$GG$587,'0.Productos'!BK$1+1,0),"")</f>
        <v/>
      </c>
      <c r="T468" s="133" t="str">
        <f>IF($A468&lt;&gt;0,VLOOKUP($A468,'0.Productos'!$A$3:$GG$587,'0.Productos'!BL$1+1,0),"")</f>
        <v/>
      </c>
      <c r="U468" s="133" t="str">
        <f>IF($A468&lt;&gt;0,VLOOKUP($A468,'0.Productos'!$A$3:$GG$587,'0.Productos'!BM$1+1,0),"")</f>
        <v/>
      </c>
      <c r="V468" s="133" t="str">
        <f>IF($A468&lt;&gt;0,VLOOKUP($A468,'0.Productos'!$A$3:$GG$587,'0.Productos'!BN$1+1,0),"")</f>
        <v/>
      </c>
      <c r="W468" s="133" t="str">
        <f>IF($A468&lt;&gt;0,VLOOKUP($A468,'0.Productos'!$A$3:$GG$587,'0.Productos'!BO$1+1,0),"")</f>
        <v/>
      </c>
      <c r="X468" s="133" t="str">
        <f>IF($A468&lt;&gt;0,VLOOKUP($A468,'0.Productos'!$A$3:$GG$587,'0.Productos'!BP$1+1,0),"")</f>
        <v/>
      </c>
      <c r="Y468" s="133" t="str">
        <f>IF($A468&lt;&gt;0,VLOOKUP($A468,'0.Productos'!$A$3:$GG$587,'0.Productos'!BQ$1+1,0),"")</f>
        <v/>
      </c>
      <c r="Z468" s="133" t="str">
        <f>IF($A468&lt;&gt;0,VLOOKUP($A468,'0.Productos'!$A$3:$GG$587,'0.Productos'!BR$1+1,0),"")</f>
        <v/>
      </c>
      <c r="AA468" s="133" t="str">
        <f>IF($A468&lt;&gt;0,VLOOKUP($A468,'0.Productos'!$A$3:$GG$587,'0.Productos'!BS$1+1,0),"")</f>
        <v/>
      </c>
      <c r="AB468" s="133" t="str">
        <f>IF($A468&lt;&gt;0,VLOOKUP($A468,'0.Productos'!$A$3:$GG$587,'0.Productos'!BT$1+1,0),"")</f>
        <v/>
      </c>
      <c r="AC468" s="133" t="str">
        <f>IF($A468&lt;&gt;0,VLOOKUP($A468,'0.Productos'!$A$3:$GG$587,'0.Productos'!BU$1+1,0),"")</f>
        <v/>
      </c>
      <c r="AD468" s="133" t="str">
        <f>IF($A468&lt;&gt;0,VLOOKUP($A468,'0.Productos'!$A$3:$GG$587,'0.Productos'!BV$1+1,0),"")</f>
        <v/>
      </c>
      <c r="AE468" s="133" t="str">
        <f>IF($A468&lt;&gt;0,VLOOKUP($A468,'0.Productos'!$A$3:$GG$587,'0.Productos'!BW$1+1,0),"")</f>
        <v/>
      </c>
      <c r="AF468" s="133" t="str">
        <f>IF($A468&lt;&gt;0,VLOOKUP($A468,'0.Productos'!$A$3:$GG$587,'0.Productos'!BX$1+1,0),"")</f>
        <v/>
      </c>
      <c r="AG468" s="133" t="str">
        <f>IF($A468&lt;&gt;0,VLOOKUP($A468,'0.Productos'!$A$3:$GG$587,'0.Productos'!BY$1+1,0),"")</f>
        <v/>
      </c>
      <c r="AH468" s="133" t="str">
        <f>IF($A468&lt;&gt;0,VLOOKUP($A468,'0.Productos'!$A$3:$GG$587,'0.Productos'!BZ$1+1,0),"")</f>
        <v/>
      </c>
      <c r="AI468" s="133" t="str">
        <f>IF($A468&lt;&gt;0,VLOOKUP($A468,'0.Productos'!$A$3:$GG$587,'0.Productos'!CA$1+1,0),"")</f>
        <v/>
      </c>
      <c r="AJ468" s="133" t="str">
        <f>IF($A468&lt;&gt;0,VLOOKUP($A468,'0.Productos'!$A$3:$GG$587,'0.Productos'!CB$1+1,0),"")</f>
        <v/>
      </c>
      <c r="AK468" s="133" t="str">
        <f>IF($A468&lt;&gt;0,VLOOKUP($A468,'0.Productos'!$A$3:$GG$587,'0.Productos'!CC$1+1,0),"")</f>
        <v/>
      </c>
      <c r="AL468" s="133" t="str">
        <f>IF($A468&lt;&gt;0,VLOOKUP($A468,'0.Productos'!$A$3:$GG$587,'0.Productos'!CD$1+1,0),"")</f>
        <v/>
      </c>
      <c r="AM468" s="133" t="str">
        <f>IF($A468&lt;&gt;0,VLOOKUP($A468,'0.Productos'!$A$3:$GG$587,'0.Productos'!CE$1+1,0),"")</f>
        <v/>
      </c>
      <c r="AN468" s="133" t="str">
        <f>IF($A468&lt;&gt;0,VLOOKUP($A468,'0.Productos'!$A$3:$GG$587,'0.Productos'!CF$1+1,0),"")</f>
        <v/>
      </c>
      <c r="AO468" s="133" t="str">
        <f>IF($A468&lt;&gt;0,VLOOKUP($A468,'0.Productos'!$A$3:$GG$587,'0.Productos'!CG$1+1,0),"")</f>
        <v/>
      </c>
      <c r="AP468" s="133" t="str">
        <f>IF($A468&lt;&gt;0,VLOOKUP($A468,'0.Productos'!$A$3:$GG$587,'0.Productos'!CH$1+1,0),"")</f>
        <v/>
      </c>
      <c r="AQ468" s="133" t="str">
        <f>IF($A468&lt;&gt;0,VLOOKUP($A468,'0.Productos'!$A$3:$GG$587,'0.Productos'!CI$1+1,0),"")</f>
        <v/>
      </c>
      <c r="AR468" s="133" t="str">
        <f>IF($A468&lt;&gt;0,VLOOKUP($A468,'0.Productos'!$A$3:$GG$587,'0.Productos'!CJ$1+1,0),"")</f>
        <v/>
      </c>
      <c r="AS468" s="133" t="str">
        <f>IF($A468&lt;&gt;0,VLOOKUP($A468,'0.Productos'!$A$3:$GG$587,'0.Productos'!CK$1+1,0),"")</f>
        <v/>
      </c>
      <c r="AT468" s="133" t="str">
        <f>IF($A468&lt;&gt;0,VLOOKUP($A468,'0.Productos'!$A$3:$GG$587,'0.Productos'!CL$1+1,0),"")</f>
        <v/>
      </c>
      <c r="AU468" s="133" t="str">
        <f>IF($A468&lt;&gt;0,VLOOKUP($A468,'0.Productos'!$A$3:$GG$587,'0.Productos'!CM$1+1,0),"")</f>
        <v/>
      </c>
      <c r="AV468" s="133" t="str">
        <f>IF($A468&lt;&gt;0,VLOOKUP($A468,'0.Productos'!$A$3:$GG$587,'0.Productos'!CN$1+1,0),"")</f>
        <v/>
      </c>
      <c r="AW468" s="133" t="str">
        <f>IF($A468&lt;&gt;0,VLOOKUP($A468,'0.Productos'!$A$3:$GG$587,'0.Productos'!CO$1+1,0),"")</f>
        <v/>
      </c>
      <c r="AX468" s="133" t="str">
        <f>IF($A468&lt;&gt;0,VLOOKUP($A468,'0.Productos'!$A$3:$GG$587,'0.Productos'!CP$1+1,0),"")</f>
        <v/>
      </c>
      <c r="AY468" s="133" t="str">
        <f>IF($A468&lt;&gt;0,VLOOKUP($A468,'0.Productos'!$A$3:$GG$587,'0.Productos'!CQ$1+1,0),"")</f>
        <v/>
      </c>
      <c r="AZ468" s="133" t="str">
        <f>IF($A468&lt;&gt;0,VLOOKUP($A468,'0.Productos'!$A$3:$GG$587,'0.Productos'!CR$1+1,0),"")</f>
        <v/>
      </c>
      <c r="BA468" s="133" t="str">
        <f>IF($A468&lt;&gt;0,VLOOKUP($A468,'0.Productos'!$A$3:$GG$587,'0.Productos'!CS$1+1,0),"")</f>
        <v/>
      </c>
      <c r="BB468" s="133" t="str">
        <f>IF($A468&lt;&gt;0,VLOOKUP($A468,'0.Productos'!$A$3:$GG$587,'0.Productos'!CT$1+1,0),"")</f>
        <v/>
      </c>
      <c r="BC468" s="133" t="str">
        <f>IF($A468&lt;&gt;0,VLOOKUP($A468,'0.Productos'!$A$3:$GG$587,'0.Productos'!CU$1+1,0),"")</f>
        <v/>
      </c>
      <c r="BD468" s="133" t="str">
        <f>IF($A468&lt;&gt;0,VLOOKUP($A468,'0.Productos'!$A$3:$GG$587,'0.Productos'!CV$1+1,0),"")</f>
        <v/>
      </c>
      <c r="BE468" s="133" t="str">
        <f>IF($A468&lt;&gt;0,VLOOKUP($A468,'0.Productos'!$A$3:$GG$587,'0.Productos'!CW$1+1,0),"")</f>
        <v/>
      </c>
      <c r="BF468" s="133" t="str">
        <f>IF($A468&lt;&gt;0,VLOOKUP($A468,'0.Productos'!$A$3:$GG$587,'0.Productos'!CX$1+1,0),"")</f>
        <v/>
      </c>
      <c r="BG468" s="133" t="str">
        <f>IF($A468&lt;&gt;0,VLOOKUP($A468,'0.Productos'!$A$3:$GG$587,'0.Productos'!CY$1+1,0),"")</f>
        <v/>
      </c>
      <c r="BH468" s="133" t="str">
        <f>IF($A468&lt;&gt;0,VLOOKUP($A468,'0.Productos'!$A$3:$GG$587,'0.Productos'!CZ$1+1,0),"")</f>
        <v/>
      </c>
      <c r="BI468" s="133" t="str">
        <f>IF($A468&lt;&gt;0,VLOOKUP($A468,'0.Productos'!$A$3:$GG$587,'0.Productos'!DA$1+1,0),"")</f>
        <v/>
      </c>
      <c r="BJ468" s="133" t="str">
        <f>IF($A468&lt;&gt;0,VLOOKUP($A468,'0.Productos'!$A$3:$GG$587,'0.Productos'!DB$1+1,0),"")</f>
        <v/>
      </c>
      <c r="BK468" s="133" t="str">
        <f>IF($A468&lt;&gt;0,VLOOKUP($A468,'0.Productos'!$A$3:$GG$587,'0.Productos'!DC$1+1,0),"")</f>
        <v/>
      </c>
      <c r="BL468" s="133" t="str">
        <f>IF($A468&lt;&gt;0,VLOOKUP($A468,'0.Productos'!$A$3:$GG$587,'0.Productos'!DD$1+1,0),"")</f>
        <v/>
      </c>
      <c r="BM468" s="133" t="str">
        <f>IF($A468&lt;&gt;0,VLOOKUP($A468,'0.Productos'!$A$3:$GG$587,'0.Productos'!DE$1+1,0),"")</f>
        <v/>
      </c>
      <c r="BN468" s="133" t="str">
        <f>IF($A468&lt;&gt;0,VLOOKUP($A468,'0.Productos'!$A$3:$GG$587,'0.Productos'!DF$1+1,0),"")</f>
        <v/>
      </c>
      <c r="BO468" s="133" t="str">
        <f>IF($A468&lt;&gt;0,VLOOKUP($A468,'0.Productos'!$A$3:$GG$587,'0.Productos'!DG$1+1,0),"")</f>
        <v/>
      </c>
      <c r="BP468" s="133" t="str">
        <f>IF($A468&lt;&gt;0,VLOOKUP($A468,'0.Productos'!$A$3:$GG$587,'0.Productos'!DH$1+1,0),"")</f>
        <v/>
      </c>
      <c r="BQ468" s="133" t="str">
        <f>IF($A468&lt;&gt;0,VLOOKUP($A468,'0.Productos'!$A$3:$GG$587,'0.Productos'!DI$1+1,0),"")</f>
        <v/>
      </c>
      <c r="BR468" s="133" t="str">
        <f>IF($A468&lt;&gt;0,VLOOKUP($A468,'0.Productos'!$A$3:$GG$587,'0.Productos'!DJ$1+1,0),"")</f>
        <v/>
      </c>
      <c r="BS468" s="133" t="str">
        <f>IF($A468&lt;&gt;0,VLOOKUP($A468,'0.Productos'!$A$3:$GG$587,'0.Productos'!DK$1+1,0),"")</f>
        <v/>
      </c>
      <c r="BT468" s="133" t="str">
        <f>IF($A468&lt;&gt;0,VLOOKUP($A468,'0.Productos'!$A$3:$GG$587,'0.Productos'!DL$1+1,0),"")</f>
        <v/>
      </c>
    </row>
    <row r="469" spans="1:72" x14ac:dyDescent="0.25">
      <c r="A469" s="17">
        <f>'0.Consolidado general'!A469</f>
        <v>0</v>
      </c>
      <c r="B469" s="133" t="str">
        <f>IF($A469&lt;&gt;0,VLOOKUP($A469,'0.Productos'!$A$3:$GG$587,'0.Productos'!AT$1+1,0),"")</f>
        <v/>
      </c>
      <c r="C469" s="133" t="str">
        <f>IF($A469&lt;&gt;0,VLOOKUP($A469,'0.Productos'!$A$3:$GG$587,'0.Productos'!AU$1+1,0),"")</f>
        <v/>
      </c>
      <c r="D469" s="133" t="str">
        <f>IF($A469&lt;&gt;0,VLOOKUP($A469,'0.Productos'!$A$3:$GG$587,'0.Productos'!AV$1+1,0),"")</f>
        <v/>
      </c>
      <c r="E469" s="133" t="str">
        <f>IF($A469&lt;&gt;0,VLOOKUP($A469,'0.Productos'!$A$3:$GG$587,'0.Productos'!AW$1+1,0),"")</f>
        <v/>
      </c>
      <c r="F469" s="133" t="str">
        <f>IF($A469&lt;&gt;0,VLOOKUP($A469,'0.Productos'!$A$3:$GG$587,'0.Productos'!AX$1+1,0),"")</f>
        <v/>
      </c>
      <c r="G469" s="133" t="str">
        <f>IF($A469&lt;&gt;0,VLOOKUP($A469,'0.Productos'!$A$3:$GG$587,'0.Productos'!AY$1+1,0),"")</f>
        <v/>
      </c>
      <c r="H469" s="133" t="str">
        <f>IF($A469&lt;&gt;0,VLOOKUP($A469,'0.Productos'!$A$3:$GG$587,'0.Productos'!AZ$1+1,0),"")</f>
        <v/>
      </c>
      <c r="I469" s="133" t="str">
        <f>IF($A469&lt;&gt;0,VLOOKUP($A469,'0.Productos'!$A$3:$GG$587,'0.Productos'!BA$1+1,0),"")</f>
        <v/>
      </c>
      <c r="J469" s="133" t="str">
        <f>IF($A469&lt;&gt;0,VLOOKUP($A469,'0.Productos'!$A$3:$GG$587,'0.Productos'!BB$1+1,0),"")</f>
        <v/>
      </c>
      <c r="K469" s="133" t="str">
        <f>IF($A469&lt;&gt;0,VLOOKUP($A469,'0.Productos'!$A$3:$GG$587,'0.Productos'!BC$1+1,0),"")</f>
        <v/>
      </c>
      <c r="L469" s="133" t="str">
        <f>IF($A469&lt;&gt;0,VLOOKUP($A469,'0.Productos'!$A$3:$GG$587,'0.Productos'!BD$1+1,0),"")</f>
        <v/>
      </c>
      <c r="M469" s="133" t="str">
        <f>IF($A469&lt;&gt;0,VLOOKUP($A469,'0.Productos'!$A$3:$GG$587,'0.Productos'!BE$1+1,0),"")</f>
        <v/>
      </c>
      <c r="N469" s="133" t="str">
        <f>IF($A469&lt;&gt;0,VLOOKUP($A469,'0.Productos'!$A$3:$GG$587,'0.Productos'!BF$1+1,0),"")</f>
        <v/>
      </c>
      <c r="O469" s="133" t="str">
        <f>IF($A469&lt;&gt;0,VLOOKUP($A469,'0.Productos'!$A$3:$GG$587,'0.Productos'!BG$1+1,0),"")</f>
        <v/>
      </c>
      <c r="P469" s="133" t="str">
        <f>IF($A469&lt;&gt;0,VLOOKUP($A469,'0.Productos'!$A$3:$GG$587,'0.Productos'!BH$1+1,0),"")</f>
        <v/>
      </c>
      <c r="Q469" s="133" t="str">
        <f>IF($A469&lt;&gt;0,VLOOKUP($A469,'0.Productos'!$A$3:$GG$587,'0.Productos'!BI$1+1,0),"")</f>
        <v/>
      </c>
      <c r="R469" s="133" t="str">
        <f>IF($A469&lt;&gt;0,VLOOKUP($A469,'0.Productos'!$A$3:$GG$587,'0.Productos'!BJ$1+1,0),"")</f>
        <v/>
      </c>
      <c r="S469" s="133" t="str">
        <f>IF($A469&lt;&gt;0,VLOOKUP($A469,'0.Productos'!$A$3:$GG$587,'0.Productos'!BK$1+1,0),"")</f>
        <v/>
      </c>
      <c r="T469" s="133" t="str">
        <f>IF($A469&lt;&gt;0,VLOOKUP($A469,'0.Productos'!$A$3:$GG$587,'0.Productos'!BL$1+1,0),"")</f>
        <v/>
      </c>
      <c r="U469" s="133" t="str">
        <f>IF($A469&lt;&gt;0,VLOOKUP($A469,'0.Productos'!$A$3:$GG$587,'0.Productos'!BM$1+1,0),"")</f>
        <v/>
      </c>
      <c r="V469" s="133" t="str">
        <f>IF($A469&lt;&gt;0,VLOOKUP($A469,'0.Productos'!$A$3:$GG$587,'0.Productos'!BN$1+1,0),"")</f>
        <v/>
      </c>
      <c r="W469" s="133" t="str">
        <f>IF($A469&lt;&gt;0,VLOOKUP($A469,'0.Productos'!$A$3:$GG$587,'0.Productos'!BO$1+1,0),"")</f>
        <v/>
      </c>
      <c r="X469" s="133" t="str">
        <f>IF($A469&lt;&gt;0,VLOOKUP($A469,'0.Productos'!$A$3:$GG$587,'0.Productos'!BP$1+1,0),"")</f>
        <v/>
      </c>
      <c r="Y469" s="133" t="str">
        <f>IF($A469&lt;&gt;0,VLOOKUP($A469,'0.Productos'!$A$3:$GG$587,'0.Productos'!BQ$1+1,0),"")</f>
        <v/>
      </c>
      <c r="Z469" s="133" t="str">
        <f>IF($A469&lt;&gt;0,VLOOKUP($A469,'0.Productos'!$A$3:$GG$587,'0.Productos'!BR$1+1,0),"")</f>
        <v/>
      </c>
      <c r="AA469" s="133" t="str">
        <f>IF($A469&lt;&gt;0,VLOOKUP($A469,'0.Productos'!$A$3:$GG$587,'0.Productos'!BS$1+1,0),"")</f>
        <v/>
      </c>
      <c r="AB469" s="133" t="str">
        <f>IF($A469&lt;&gt;0,VLOOKUP($A469,'0.Productos'!$A$3:$GG$587,'0.Productos'!BT$1+1,0),"")</f>
        <v/>
      </c>
      <c r="AC469" s="133" t="str">
        <f>IF($A469&lt;&gt;0,VLOOKUP($A469,'0.Productos'!$A$3:$GG$587,'0.Productos'!BU$1+1,0),"")</f>
        <v/>
      </c>
      <c r="AD469" s="133" t="str">
        <f>IF($A469&lt;&gt;0,VLOOKUP($A469,'0.Productos'!$A$3:$GG$587,'0.Productos'!BV$1+1,0),"")</f>
        <v/>
      </c>
      <c r="AE469" s="133" t="str">
        <f>IF($A469&lt;&gt;0,VLOOKUP($A469,'0.Productos'!$A$3:$GG$587,'0.Productos'!BW$1+1,0),"")</f>
        <v/>
      </c>
      <c r="AF469" s="133" t="str">
        <f>IF($A469&lt;&gt;0,VLOOKUP($A469,'0.Productos'!$A$3:$GG$587,'0.Productos'!BX$1+1,0),"")</f>
        <v/>
      </c>
      <c r="AG469" s="133" t="str">
        <f>IF($A469&lt;&gt;0,VLOOKUP($A469,'0.Productos'!$A$3:$GG$587,'0.Productos'!BY$1+1,0),"")</f>
        <v/>
      </c>
      <c r="AH469" s="133" t="str">
        <f>IF($A469&lt;&gt;0,VLOOKUP($A469,'0.Productos'!$A$3:$GG$587,'0.Productos'!BZ$1+1,0),"")</f>
        <v/>
      </c>
      <c r="AI469" s="133" t="str">
        <f>IF($A469&lt;&gt;0,VLOOKUP($A469,'0.Productos'!$A$3:$GG$587,'0.Productos'!CA$1+1,0),"")</f>
        <v/>
      </c>
      <c r="AJ469" s="133" t="str">
        <f>IF($A469&lt;&gt;0,VLOOKUP($A469,'0.Productos'!$A$3:$GG$587,'0.Productos'!CB$1+1,0),"")</f>
        <v/>
      </c>
      <c r="AK469" s="133" t="str">
        <f>IF($A469&lt;&gt;0,VLOOKUP($A469,'0.Productos'!$A$3:$GG$587,'0.Productos'!CC$1+1,0),"")</f>
        <v/>
      </c>
      <c r="AL469" s="133" t="str">
        <f>IF($A469&lt;&gt;0,VLOOKUP($A469,'0.Productos'!$A$3:$GG$587,'0.Productos'!CD$1+1,0),"")</f>
        <v/>
      </c>
      <c r="AM469" s="133" t="str">
        <f>IF($A469&lt;&gt;0,VLOOKUP($A469,'0.Productos'!$A$3:$GG$587,'0.Productos'!CE$1+1,0),"")</f>
        <v/>
      </c>
      <c r="AN469" s="133" t="str">
        <f>IF($A469&lt;&gt;0,VLOOKUP($A469,'0.Productos'!$A$3:$GG$587,'0.Productos'!CF$1+1,0),"")</f>
        <v/>
      </c>
      <c r="AO469" s="133" t="str">
        <f>IF($A469&lt;&gt;0,VLOOKUP($A469,'0.Productos'!$A$3:$GG$587,'0.Productos'!CG$1+1,0),"")</f>
        <v/>
      </c>
      <c r="AP469" s="133" t="str">
        <f>IF($A469&lt;&gt;0,VLOOKUP($A469,'0.Productos'!$A$3:$GG$587,'0.Productos'!CH$1+1,0),"")</f>
        <v/>
      </c>
      <c r="AQ469" s="133" t="str">
        <f>IF($A469&lt;&gt;0,VLOOKUP($A469,'0.Productos'!$A$3:$GG$587,'0.Productos'!CI$1+1,0),"")</f>
        <v/>
      </c>
      <c r="AR469" s="133" t="str">
        <f>IF($A469&lt;&gt;0,VLOOKUP($A469,'0.Productos'!$A$3:$GG$587,'0.Productos'!CJ$1+1,0),"")</f>
        <v/>
      </c>
      <c r="AS469" s="133" t="str">
        <f>IF($A469&lt;&gt;0,VLOOKUP($A469,'0.Productos'!$A$3:$GG$587,'0.Productos'!CK$1+1,0),"")</f>
        <v/>
      </c>
      <c r="AT469" s="133" t="str">
        <f>IF($A469&lt;&gt;0,VLOOKUP($A469,'0.Productos'!$A$3:$GG$587,'0.Productos'!CL$1+1,0),"")</f>
        <v/>
      </c>
      <c r="AU469" s="133" t="str">
        <f>IF($A469&lt;&gt;0,VLOOKUP($A469,'0.Productos'!$A$3:$GG$587,'0.Productos'!CM$1+1,0),"")</f>
        <v/>
      </c>
      <c r="AV469" s="133" t="str">
        <f>IF($A469&lt;&gt;0,VLOOKUP($A469,'0.Productos'!$A$3:$GG$587,'0.Productos'!CN$1+1,0),"")</f>
        <v/>
      </c>
      <c r="AW469" s="133" t="str">
        <f>IF($A469&lt;&gt;0,VLOOKUP($A469,'0.Productos'!$A$3:$GG$587,'0.Productos'!CO$1+1,0),"")</f>
        <v/>
      </c>
      <c r="AX469" s="133" t="str">
        <f>IF($A469&lt;&gt;0,VLOOKUP($A469,'0.Productos'!$A$3:$GG$587,'0.Productos'!CP$1+1,0),"")</f>
        <v/>
      </c>
      <c r="AY469" s="133" t="str">
        <f>IF($A469&lt;&gt;0,VLOOKUP($A469,'0.Productos'!$A$3:$GG$587,'0.Productos'!CQ$1+1,0),"")</f>
        <v/>
      </c>
      <c r="AZ469" s="133" t="str">
        <f>IF($A469&lt;&gt;0,VLOOKUP($A469,'0.Productos'!$A$3:$GG$587,'0.Productos'!CR$1+1,0),"")</f>
        <v/>
      </c>
      <c r="BA469" s="133" t="str">
        <f>IF($A469&lt;&gt;0,VLOOKUP($A469,'0.Productos'!$A$3:$GG$587,'0.Productos'!CS$1+1,0),"")</f>
        <v/>
      </c>
      <c r="BB469" s="133" t="str">
        <f>IF($A469&lt;&gt;0,VLOOKUP($A469,'0.Productos'!$A$3:$GG$587,'0.Productos'!CT$1+1,0),"")</f>
        <v/>
      </c>
      <c r="BC469" s="133" t="str">
        <f>IF($A469&lt;&gt;0,VLOOKUP($A469,'0.Productos'!$A$3:$GG$587,'0.Productos'!CU$1+1,0),"")</f>
        <v/>
      </c>
      <c r="BD469" s="133" t="str">
        <f>IF($A469&lt;&gt;0,VLOOKUP($A469,'0.Productos'!$A$3:$GG$587,'0.Productos'!CV$1+1,0),"")</f>
        <v/>
      </c>
      <c r="BE469" s="133" t="str">
        <f>IF($A469&lt;&gt;0,VLOOKUP($A469,'0.Productos'!$A$3:$GG$587,'0.Productos'!CW$1+1,0),"")</f>
        <v/>
      </c>
      <c r="BF469" s="133" t="str">
        <f>IF($A469&lt;&gt;0,VLOOKUP($A469,'0.Productos'!$A$3:$GG$587,'0.Productos'!CX$1+1,0),"")</f>
        <v/>
      </c>
      <c r="BG469" s="133" t="str">
        <f>IF($A469&lt;&gt;0,VLOOKUP($A469,'0.Productos'!$A$3:$GG$587,'0.Productos'!CY$1+1,0),"")</f>
        <v/>
      </c>
      <c r="BH469" s="133" t="str">
        <f>IF($A469&lt;&gt;0,VLOOKUP($A469,'0.Productos'!$A$3:$GG$587,'0.Productos'!CZ$1+1,0),"")</f>
        <v/>
      </c>
      <c r="BI469" s="133" t="str">
        <f>IF($A469&lt;&gt;0,VLOOKUP($A469,'0.Productos'!$A$3:$GG$587,'0.Productos'!DA$1+1,0),"")</f>
        <v/>
      </c>
      <c r="BJ469" s="133" t="str">
        <f>IF($A469&lt;&gt;0,VLOOKUP($A469,'0.Productos'!$A$3:$GG$587,'0.Productos'!DB$1+1,0),"")</f>
        <v/>
      </c>
      <c r="BK469" s="133" t="str">
        <f>IF($A469&lt;&gt;0,VLOOKUP($A469,'0.Productos'!$A$3:$GG$587,'0.Productos'!DC$1+1,0),"")</f>
        <v/>
      </c>
      <c r="BL469" s="133" t="str">
        <f>IF($A469&lt;&gt;0,VLOOKUP($A469,'0.Productos'!$A$3:$GG$587,'0.Productos'!DD$1+1,0),"")</f>
        <v/>
      </c>
      <c r="BM469" s="133" t="str">
        <f>IF($A469&lt;&gt;0,VLOOKUP($A469,'0.Productos'!$A$3:$GG$587,'0.Productos'!DE$1+1,0),"")</f>
        <v/>
      </c>
      <c r="BN469" s="133" t="str">
        <f>IF($A469&lt;&gt;0,VLOOKUP($A469,'0.Productos'!$A$3:$GG$587,'0.Productos'!DF$1+1,0),"")</f>
        <v/>
      </c>
      <c r="BO469" s="133" t="str">
        <f>IF($A469&lt;&gt;0,VLOOKUP($A469,'0.Productos'!$A$3:$GG$587,'0.Productos'!DG$1+1,0),"")</f>
        <v/>
      </c>
      <c r="BP469" s="133" t="str">
        <f>IF($A469&lt;&gt;0,VLOOKUP($A469,'0.Productos'!$A$3:$GG$587,'0.Productos'!DH$1+1,0),"")</f>
        <v/>
      </c>
      <c r="BQ469" s="133" t="str">
        <f>IF($A469&lt;&gt;0,VLOOKUP($A469,'0.Productos'!$A$3:$GG$587,'0.Productos'!DI$1+1,0),"")</f>
        <v/>
      </c>
      <c r="BR469" s="133" t="str">
        <f>IF($A469&lt;&gt;0,VLOOKUP($A469,'0.Productos'!$A$3:$GG$587,'0.Productos'!DJ$1+1,0),"")</f>
        <v/>
      </c>
      <c r="BS469" s="133" t="str">
        <f>IF($A469&lt;&gt;0,VLOOKUP($A469,'0.Productos'!$A$3:$GG$587,'0.Productos'!DK$1+1,0),"")</f>
        <v/>
      </c>
      <c r="BT469" s="133" t="str">
        <f>IF($A469&lt;&gt;0,VLOOKUP($A469,'0.Productos'!$A$3:$GG$587,'0.Productos'!DL$1+1,0),"")</f>
        <v/>
      </c>
    </row>
    <row r="470" spans="1:72" x14ac:dyDescent="0.25">
      <c r="A470" s="17">
        <f>'0.Consolidado general'!A470</f>
        <v>0</v>
      </c>
      <c r="B470" s="133" t="str">
        <f>IF($A470&lt;&gt;0,VLOOKUP($A470,'0.Productos'!$A$3:$GG$587,'0.Productos'!AT$1+1,0),"")</f>
        <v/>
      </c>
      <c r="C470" s="133" t="str">
        <f>IF($A470&lt;&gt;0,VLOOKUP($A470,'0.Productos'!$A$3:$GG$587,'0.Productos'!AU$1+1,0),"")</f>
        <v/>
      </c>
      <c r="D470" s="133" t="str">
        <f>IF($A470&lt;&gt;0,VLOOKUP($A470,'0.Productos'!$A$3:$GG$587,'0.Productos'!AV$1+1,0),"")</f>
        <v/>
      </c>
      <c r="E470" s="133" t="str">
        <f>IF($A470&lt;&gt;0,VLOOKUP($A470,'0.Productos'!$A$3:$GG$587,'0.Productos'!AW$1+1,0),"")</f>
        <v/>
      </c>
      <c r="F470" s="133" t="str">
        <f>IF($A470&lt;&gt;0,VLOOKUP($A470,'0.Productos'!$A$3:$GG$587,'0.Productos'!AX$1+1,0),"")</f>
        <v/>
      </c>
      <c r="G470" s="133" t="str">
        <f>IF($A470&lt;&gt;0,VLOOKUP($A470,'0.Productos'!$A$3:$GG$587,'0.Productos'!AY$1+1,0),"")</f>
        <v/>
      </c>
      <c r="H470" s="133" t="str">
        <f>IF($A470&lt;&gt;0,VLOOKUP($A470,'0.Productos'!$A$3:$GG$587,'0.Productos'!AZ$1+1,0),"")</f>
        <v/>
      </c>
      <c r="I470" s="133" t="str">
        <f>IF($A470&lt;&gt;0,VLOOKUP($A470,'0.Productos'!$A$3:$GG$587,'0.Productos'!BA$1+1,0),"")</f>
        <v/>
      </c>
      <c r="J470" s="133" t="str">
        <f>IF($A470&lt;&gt;0,VLOOKUP($A470,'0.Productos'!$A$3:$GG$587,'0.Productos'!BB$1+1,0),"")</f>
        <v/>
      </c>
      <c r="K470" s="133" t="str">
        <f>IF($A470&lt;&gt;0,VLOOKUP($A470,'0.Productos'!$A$3:$GG$587,'0.Productos'!BC$1+1,0),"")</f>
        <v/>
      </c>
      <c r="L470" s="133" t="str">
        <f>IF($A470&lt;&gt;0,VLOOKUP($A470,'0.Productos'!$A$3:$GG$587,'0.Productos'!BD$1+1,0),"")</f>
        <v/>
      </c>
      <c r="M470" s="133" t="str">
        <f>IF($A470&lt;&gt;0,VLOOKUP($A470,'0.Productos'!$A$3:$GG$587,'0.Productos'!BE$1+1,0),"")</f>
        <v/>
      </c>
      <c r="N470" s="133" t="str">
        <f>IF($A470&lt;&gt;0,VLOOKUP($A470,'0.Productos'!$A$3:$GG$587,'0.Productos'!BF$1+1,0),"")</f>
        <v/>
      </c>
      <c r="O470" s="133" t="str">
        <f>IF($A470&lt;&gt;0,VLOOKUP($A470,'0.Productos'!$A$3:$GG$587,'0.Productos'!BG$1+1,0),"")</f>
        <v/>
      </c>
      <c r="P470" s="133" t="str">
        <f>IF($A470&lt;&gt;0,VLOOKUP($A470,'0.Productos'!$A$3:$GG$587,'0.Productos'!BH$1+1,0),"")</f>
        <v/>
      </c>
      <c r="Q470" s="133" t="str">
        <f>IF($A470&lt;&gt;0,VLOOKUP($A470,'0.Productos'!$A$3:$GG$587,'0.Productos'!BI$1+1,0),"")</f>
        <v/>
      </c>
      <c r="R470" s="133" t="str">
        <f>IF($A470&lt;&gt;0,VLOOKUP($A470,'0.Productos'!$A$3:$GG$587,'0.Productos'!BJ$1+1,0),"")</f>
        <v/>
      </c>
      <c r="S470" s="133" t="str">
        <f>IF($A470&lt;&gt;0,VLOOKUP($A470,'0.Productos'!$A$3:$GG$587,'0.Productos'!BK$1+1,0),"")</f>
        <v/>
      </c>
      <c r="T470" s="133" t="str">
        <f>IF($A470&lt;&gt;0,VLOOKUP($A470,'0.Productos'!$A$3:$GG$587,'0.Productos'!BL$1+1,0),"")</f>
        <v/>
      </c>
      <c r="U470" s="133" t="str">
        <f>IF($A470&lt;&gt;0,VLOOKUP($A470,'0.Productos'!$A$3:$GG$587,'0.Productos'!BM$1+1,0),"")</f>
        <v/>
      </c>
      <c r="V470" s="133" t="str">
        <f>IF($A470&lt;&gt;0,VLOOKUP($A470,'0.Productos'!$A$3:$GG$587,'0.Productos'!BN$1+1,0),"")</f>
        <v/>
      </c>
      <c r="W470" s="133" t="str">
        <f>IF($A470&lt;&gt;0,VLOOKUP($A470,'0.Productos'!$A$3:$GG$587,'0.Productos'!BO$1+1,0),"")</f>
        <v/>
      </c>
      <c r="X470" s="133" t="str">
        <f>IF($A470&lt;&gt;0,VLOOKUP($A470,'0.Productos'!$A$3:$GG$587,'0.Productos'!BP$1+1,0),"")</f>
        <v/>
      </c>
      <c r="Y470" s="133" t="str">
        <f>IF($A470&lt;&gt;0,VLOOKUP($A470,'0.Productos'!$A$3:$GG$587,'0.Productos'!BQ$1+1,0),"")</f>
        <v/>
      </c>
      <c r="Z470" s="133" t="str">
        <f>IF($A470&lt;&gt;0,VLOOKUP($A470,'0.Productos'!$A$3:$GG$587,'0.Productos'!BR$1+1,0),"")</f>
        <v/>
      </c>
      <c r="AA470" s="133" t="str">
        <f>IF($A470&lt;&gt;0,VLOOKUP($A470,'0.Productos'!$A$3:$GG$587,'0.Productos'!BS$1+1,0),"")</f>
        <v/>
      </c>
      <c r="AB470" s="133" t="str">
        <f>IF($A470&lt;&gt;0,VLOOKUP($A470,'0.Productos'!$A$3:$GG$587,'0.Productos'!BT$1+1,0),"")</f>
        <v/>
      </c>
      <c r="AC470" s="133" t="str">
        <f>IF($A470&lt;&gt;0,VLOOKUP($A470,'0.Productos'!$A$3:$GG$587,'0.Productos'!BU$1+1,0),"")</f>
        <v/>
      </c>
      <c r="AD470" s="133" t="str">
        <f>IF($A470&lt;&gt;0,VLOOKUP($A470,'0.Productos'!$A$3:$GG$587,'0.Productos'!BV$1+1,0),"")</f>
        <v/>
      </c>
      <c r="AE470" s="133" t="str">
        <f>IF($A470&lt;&gt;0,VLOOKUP($A470,'0.Productos'!$A$3:$GG$587,'0.Productos'!BW$1+1,0),"")</f>
        <v/>
      </c>
      <c r="AF470" s="133" t="str">
        <f>IF($A470&lt;&gt;0,VLOOKUP($A470,'0.Productos'!$A$3:$GG$587,'0.Productos'!BX$1+1,0),"")</f>
        <v/>
      </c>
      <c r="AG470" s="133" t="str">
        <f>IF($A470&lt;&gt;0,VLOOKUP($A470,'0.Productos'!$A$3:$GG$587,'0.Productos'!BY$1+1,0),"")</f>
        <v/>
      </c>
      <c r="AH470" s="133" t="str">
        <f>IF($A470&lt;&gt;0,VLOOKUP($A470,'0.Productos'!$A$3:$GG$587,'0.Productos'!BZ$1+1,0),"")</f>
        <v/>
      </c>
      <c r="AI470" s="133" t="str">
        <f>IF($A470&lt;&gt;0,VLOOKUP($A470,'0.Productos'!$A$3:$GG$587,'0.Productos'!CA$1+1,0),"")</f>
        <v/>
      </c>
      <c r="AJ470" s="133" t="str">
        <f>IF($A470&lt;&gt;0,VLOOKUP($A470,'0.Productos'!$A$3:$GG$587,'0.Productos'!CB$1+1,0),"")</f>
        <v/>
      </c>
      <c r="AK470" s="133" t="str">
        <f>IF($A470&lt;&gt;0,VLOOKUP($A470,'0.Productos'!$A$3:$GG$587,'0.Productos'!CC$1+1,0),"")</f>
        <v/>
      </c>
      <c r="AL470" s="133" t="str">
        <f>IF($A470&lt;&gt;0,VLOOKUP($A470,'0.Productos'!$A$3:$GG$587,'0.Productos'!CD$1+1,0),"")</f>
        <v/>
      </c>
      <c r="AM470" s="133" t="str">
        <f>IF($A470&lt;&gt;0,VLOOKUP($A470,'0.Productos'!$A$3:$GG$587,'0.Productos'!CE$1+1,0),"")</f>
        <v/>
      </c>
      <c r="AN470" s="133" t="str">
        <f>IF($A470&lt;&gt;0,VLOOKUP($A470,'0.Productos'!$A$3:$GG$587,'0.Productos'!CF$1+1,0),"")</f>
        <v/>
      </c>
      <c r="AO470" s="133" t="str">
        <f>IF($A470&lt;&gt;0,VLOOKUP($A470,'0.Productos'!$A$3:$GG$587,'0.Productos'!CG$1+1,0),"")</f>
        <v/>
      </c>
      <c r="AP470" s="133" t="str">
        <f>IF($A470&lt;&gt;0,VLOOKUP($A470,'0.Productos'!$A$3:$GG$587,'0.Productos'!CH$1+1,0),"")</f>
        <v/>
      </c>
      <c r="AQ470" s="133" t="str">
        <f>IF($A470&lt;&gt;0,VLOOKUP($A470,'0.Productos'!$A$3:$GG$587,'0.Productos'!CI$1+1,0),"")</f>
        <v/>
      </c>
      <c r="AR470" s="133" t="str">
        <f>IF($A470&lt;&gt;0,VLOOKUP($A470,'0.Productos'!$A$3:$GG$587,'0.Productos'!CJ$1+1,0),"")</f>
        <v/>
      </c>
      <c r="AS470" s="133" t="str">
        <f>IF($A470&lt;&gt;0,VLOOKUP($A470,'0.Productos'!$A$3:$GG$587,'0.Productos'!CK$1+1,0),"")</f>
        <v/>
      </c>
      <c r="AT470" s="133" t="str">
        <f>IF($A470&lt;&gt;0,VLOOKUP($A470,'0.Productos'!$A$3:$GG$587,'0.Productos'!CL$1+1,0),"")</f>
        <v/>
      </c>
      <c r="AU470" s="133" t="str">
        <f>IF($A470&lt;&gt;0,VLOOKUP($A470,'0.Productos'!$A$3:$GG$587,'0.Productos'!CM$1+1,0),"")</f>
        <v/>
      </c>
      <c r="AV470" s="133" t="str">
        <f>IF($A470&lt;&gt;0,VLOOKUP($A470,'0.Productos'!$A$3:$GG$587,'0.Productos'!CN$1+1,0),"")</f>
        <v/>
      </c>
      <c r="AW470" s="133" t="str">
        <f>IF($A470&lt;&gt;0,VLOOKUP($A470,'0.Productos'!$A$3:$GG$587,'0.Productos'!CO$1+1,0),"")</f>
        <v/>
      </c>
      <c r="AX470" s="133" t="str">
        <f>IF($A470&lt;&gt;0,VLOOKUP($A470,'0.Productos'!$A$3:$GG$587,'0.Productos'!CP$1+1,0),"")</f>
        <v/>
      </c>
      <c r="AY470" s="133" t="str">
        <f>IF($A470&lt;&gt;0,VLOOKUP($A470,'0.Productos'!$A$3:$GG$587,'0.Productos'!CQ$1+1,0),"")</f>
        <v/>
      </c>
      <c r="AZ470" s="133" t="str">
        <f>IF($A470&lt;&gt;0,VLOOKUP($A470,'0.Productos'!$A$3:$GG$587,'0.Productos'!CR$1+1,0),"")</f>
        <v/>
      </c>
      <c r="BA470" s="133" t="str">
        <f>IF($A470&lt;&gt;0,VLOOKUP($A470,'0.Productos'!$A$3:$GG$587,'0.Productos'!CS$1+1,0),"")</f>
        <v/>
      </c>
      <c r="BB470" s="133" t="str">
        <f>IF($A470&lt;&gt;0,VLOOKUP($A470,'0.Productos'!$A$3:$GG$587,'0.Productos'!CT$1+1,0),"")</f>
        <v/>
      </c>
      <c r="BC470" s="133" t="str">
        <f>IF($A470&lt;&gt;0,VLOOKUP($A470,'0.Productos'!$A$3:$GG$587,'0.Productos'!CU$1+1,0),"")</f>
        <v/>
      </c>
      <c r="BD470" s="133" t="str">
        <f>IF($A470&lt;&gt;0,VLOOKUP($A470,'0.Productos'!$A$3:$GG$587,'0.Productos'!CV$1+1,0),"")</f>
        <v/>
      </c>
      <c r="BE470" s="133" t="str">
        <f>IF($A470&lt;&gt;0,VLOOKUP($A470,'0.Productos'!$A$3:$GG$587,'0.Productos'!CW$1+1,0),"")</f>
        <v/>
      </c>
      <c r="BF470" s="133" t="str">
        <f>IF($A470&lt;&gt;0,VLOOKUP($A470,'0.Productos'!$A$3:$GG$587,'0.Productos'!CX$1+1,0),"")</f>
        <v/>
      </c>
      <c r="BG470" s="133" t="str">
        <f>IF($A470&lt;&gt;0,VLOOKUP($A470,'0.Productos'!$A$3:$GG$587,'0.Productos'!CY$1+1,0),"")</f>
        <v/>
      </c>
      <c r="BH470" s="133" t="str">
        <f>IF($A470&lt;&gt;0,VLOOKUP($A470,'0.Productos'!$A$3:$GG$587,'0.Productos'!CZ$1+1,0),"")</f>
        <v/>
      </c>
      <c r="BI470" s="133" t="str">
        <f>IF($A470&lt;&gt;0,VLOOKUP($A470,'0.Productos'!$A$3:$GG$587,'0.Productos'!DA$1+1,0),"")</f>
        <v/>
      </c>
      <c r="BJ470" s="133" t="str">
        <f>IF($A470&lt;&gt;0,VLOOKUP($A470,'0.Productos'!$A$3:$GG$587,'0.Productos'!DB$1+1,0),"")</f>
        <v/>
      </c>
      <c r="BK470" s="133" t="str">
        <f>IF($A470&lt;&gt;0,VLOOKUP($A470,'0.Productos'!$A$3:$GG$587,'0.Productos'!DC$1+1,0),"")</f>
        <v/>
      </c>
      <c r="BL470" s="133" t="str">
        <f>IF($A470&lt;&gt;0,VLOOKUP($A470,'0.Productos'!$A$3:$GG$587,'0.Productos'!DD$1+1,0),"")</f>
        <v/>
      </c>
      <c r="BM470" s="133" t="str">
        <f>IF($A470&lt;&gt;0,VLOOKUP($A470,'0.Productos'!$A$3:$GG$587,'0.Productos'!DE$1+1,0),"")</f>
        <v/>
      </c>
      <c r="BN470" s="133" t="str">
        <f>IF($A470&lt;&gt;0,VLOOKUP($A470,'0.Productos'!$A$3:$GG$587,'0.Productos'!DF$1+1,0),"")</f>
        <v/>
      </c>
      <c r="BO470" s="133" t="str">
        <f>IF($A470&lt;&gt;0,VLOOKUP($A470,'0.Productos'!$A$3:$GG$587,'0.Productos'!DG$1+1,0),"")</f>
        <v/>
      </c>
      <c r="BP470" s="133" t="str">
        <f>IF($A470&lt;&gt;0,VLOOKUP($A470,'0.Productos'!$A$3:$GG$587,'0.Productos'!DH$1+1,0),"")</f>
        <v/>
      </c>
      <c r="BQ470" s="133" t="str">
        <f>IF($A470&lt;&gt;0,VLOOKUP($A470,'0.Productos'!$A$3:$GG$587,'0.Productos'!DI$1+1,0),"")</f>
        <v/>
      </c>
      <c r="BR470" s="133" t="str">
        <f>IF($A470&lt;&gt;0,VLOOKUP($A470,'0.Productos'!$A$3:$GG$587,'0.Productos'!DJ$1+1,0),"")</f>
        <v/>
      </c>
      <c r="BS470" s="133" t="str">
        <f>IF($A470&lt;&gt;0,VLOOKUP($A470,'0.Productos'!$A$3:$GG$587,'0.Productos'!DK$1+1,0),"")</f>
        <v/>
      </c>
      <c r="BT470" s="133" t="str">
        <f>IF($A470&lt;&gt;0,VLOOKUP($A470,'0.Productos'!$A$3:$GG$587,'0.Productos'!DL$1+1,0),"")</f>
        <v/>
      </c>
    </row>
    <row r="471" spans="1:72" x14ac:dyDescent="0.25">
      <c r="A471" s="17">
        <f>'0.Consolidado general'!A471</f>
        <v>0</v>
      </c>
      <c r="B471" s="133" t="str">
        <f>IF($A471&lt;&gt;0,VLOOKUP($A471,'0.Productos'!$A$3:$GG$587,'0.Productos'!AT$1+1,0),"")</f>
        <v/>
      </c>
      <c r="C471" s="133" t="str">
        <f>IF($A471&lt;&gt;0,VLOOKUP($A471,'0.Productos'!$A$3:$GG$587,'0.Productos'!AU$1+1,0),"")</f>
        <v/>
      </c>
      <c r="D471" s="133" t="str">
        <f>IF($A471&lt;&gt;0,VLOOKUP($A471,'0.Productos'!$A$3:$GG$587,'0.Productos'!AV$1+1,0),"")</f>
        <v/>
      </c>
      <c r="E471" s="133" t="str">
        <f>IF($A471&lt;&gt;0,VLOOKUP($A471,'0.Productos'!$A$3:$GG$587,'0.Productos'!AW$1+1,0),"")</f>
        <v/>
      </c>
      <c r="F471" s="133" t="str">
        <f>IF($A471&lt;&gt;0,VLOOKUP($A471,'0.Productos'!$A$3:$GG$587,'0.Productos'!AX$1+1,0),"")</f>
        <v/>
      </c>
      <c r="G471" s="133" t="str">
        <f>IF($A471&lt;&gt;0,VLOOKUP($A471,'0.Productos'!$A$3:$GG$587,'0.Productos'!AY$1+1,0),"")</f>
        <v/>
      </c>
      <c r="H471" s="133" t="str">
        <f>IF($A471&lt;&gt;0,VLOOKUP($A471,'0.Productos'!$A$3:$GG$587,'0.Productos'!AZ$1+1,0),"")</f>
        <v/>
      </c>
      <c r="I471" s="133" t="str">
        <f>IF($A471&lt;&gt;0,VLOOKUP($A471,'0.Productos'!$A$3:$GG$587,'0.Productos'!BA$1+1,0),"")</f>
        <v/>
      </c>
      <c r="J471" s="133" t="str">
        <f>IF($A471&lt;&gt;0,VLOOKUP($A471,'0.Productos'!$A$3:$GG$587,'0.Productos'!BB$1+1,0),"")</f>
        <v/>
      </c>
      <c r="K471" s="133" t="str">
        <f>IF($A471&lt;&gt;0,VLOOKUP($A471,'0.Productos'!$A$3:$GG$587,'0.Productos'!BC$1+1,0),"")</f>
        <v/>
      </c>
      <c r="L471" s="133" t="str">
        <f>IF($A471&lt;&gt;0,VLOOKUP($A471,'0.Productos'!$A$3:$GG$587,'0.Productos'!BD$1+1,0),"")</f>
        <v/>
      </c>
      <c r="M471" s="133" t="str">
        <f>IF($A471&lt;&gt;0,VLOOKUP($A471,'0.Productos'!$A$3:$GG$587,'0.Productos'!BE$1+1,0),"")</f>
        <v/>
      </c>
      <c r="N471" s="133" t="str">
        <f>IF($A471&lt;&gt;0,VLOOKUP($A471,'0.Productos'!$A$3:$GG$587,'0.Productos'!BF$1+1,0),"")</f>
        <v/>
      </c>
      <c r="O471" s="133" t="str">
        <f>IF($A471&lt;&gt;0,VLOOKUP($A471,'0.Productos'!$A$3:$GG$587,'0.Productos'!BG$1+1,0),"")</f>
        <v/>
      </c>
      <c r="P471" s="133" t="str">
        <f>IF($A471&lt;&gt;0,VLOOKUP($A471,'0.Productos'!$A$3:$GG$587,'0.Productos'!BH$1+1,0),"")</f>
        <v/>
      </c>
      <c r="Q471" s="133" t="str">
        <f>IF($A471&lt;&gt;0,VLOOKUP($A471,'0.Productos'!$A$3:$GG$587,'0.Productos'!BI$1+1,0),"")</f>
        <v/>
      </c>
      <c r="R471" s="133" t="str">
        <f>IF($A471&lt;&gt;0,VLOOKUP($A471,'0.Productos'!$A$3:$GG$587,'0.Productos'!BJ$1+1,0),"")</f>
        <v/>
      </c>
      <c r="S471" s="133" t="str">
        <f>IF($A471&lt;&gt;0,VLOOKUP($A471,'0.Productos'!$A$3:$GG$587,'0.Productos'!BK$1+1,0),"")</f>
        <v/>
      </c>
      <c r="T471" s="133" t="str">
        <f>IF($A471&lt;&gt;0,VLOOKUP($A471,'0.Productos'!$A$3:$GG$587,'0.Productos'!BL$1+1,0),"")</f>
        <v/>
      </c>
      <c r="U471" s="133" t="str">
        <f>IF($A471&lt;&gt;0,VLOOKUP($A471,'0.Productos'!$A$3:$GG$587,'0.Productos'!BM$1+1,0),"")</f>
        <v/>
      </c>
      <c r="V471" s="133" t="str">
        <f>IF($A471&lt;&gt;0,VLOOKUP($A471,'0.Productos'!$A$3:$GG$587,'0.Productos'!BN$1+1,0),"")</f>
        <v/>
      </c>
      <c r="W471" s="133" t="str">
        <f>IF($A471&lt;&gt;0,VLOOKUP($A471,'0.Productos'!$A$3:$GG$587,'0.Productos'!BO$1+1,0),"")</f>
        <v/>
      </c>
      <c r="X471" s="133" t="str">
        <f>IF($A471&lt;&gt;0,VLOOKUP($A471,'0.Productos'!$A$3:$GG$587,'0.Productos'!BP$1+1,0),"")</f>
        <v/>
      </c>
      <c r="Y471" s="133" t="str">
        <f>IF($A471&lt;&gt;0,VLOOKUP($A471,'0.Productos'!$A$3:$GG$587,'0.Productos'!BQ$1+1,0),"")</f>
        <v/>
      </c>
      <c r="Z471" s="133" t="str">
        <f>IF($A471&lt;&gt;0,VLOOKUP($A471,'0.Productos'!$A$3:$GG$587,'0.Productos'!BR$1+1,0),"")</f>
        <v/>
      </c>
      <c r="AA471" s="133" t="str">
        <f>IF($A471&lt;&gt;0,VLOOKUP($A471,'0.Productos'!$A$3:$GG$587,'0.Productos'!BS$1+1,0),"")</f>
        <v/>
      </c>
      <c r="AB471" s="133" t="str">
        <f>IF($A471&lt;&gt;0,VLOOKUP($A471,'0.Productos'!$A$3:$GG$587,'0.Productos'!BT$1+1,0),"")</f>
        <v/>
      </c>
      <c r="AC471" s="133" t="str">
        <f>IF($A471&lt;&gt;0,VLOOKUP($A471,'0.Productos'!$A$3:$GG$587,'0.Productos'!BU$1+1,0),"")</f>
        <v/>
      </c>
      <c r="AD471" s="133" t="str">
        <f>IF($A471&lt;&gt;0,VLOOKUP($A471,'0.Productos'!$A$3:$GG$587,'0.Productos'!BV$1+1,0),"")</f>
        <v/>
      </c>
      <c r="AE471" s="133" t="str">
        <f>IF($A471&lt;&gt;0,VLOOKUP($A471,'0.Productos'!$A$3:$GG$587,'0.Productos'!BW$1+1,0),"")</f>
        <v/>
      </c>
      <c r="AF471" s="133" t="str">
        <f>IF($A471&lt;&gt;0,VLOOKUP($A471,'0.Productos'!$A$3:$GG$587,'0.Productos'!BX$1+1,0),"")</f>
        <v/>
      </c>
      <c r="AG471" s="133" t="str">
        <f>IF($A471&lt;&gt;0,VLOOKUP($A471,'0.Productos'!$A$3:$GG$587,'0.Productos'!BY$1+1,0),"")</f>
        <v/>
      </c>
      <c r="AH471" s="133" t="str">
        <f>IF($A471&lt;&gt;0,VLOOKUP($A471,'0.Productos'!$A$3:$GG$587,'0.Productos'!BZ$1+1,0),"")</f>
        <v/>
      </c>
      <c r="AI471" s="133" t="str">
        <f>IF($A471&lt;&gt;0,VLOOKUP($A471,'0.Productos'!$A$3:$GG$587,'0.Productos'!CA$1+1,0),"")</f>
        <v/>
      </c>
      <c r="AJ471" s="133" t="str">
        <f>IF($A471&lt;&gt;0,VLOOKUP($A471,'0.Productos'!$A$3:$GG$587,'0.Productos'!CB$1+1,0),"")</f>
        <v/>
      </c>
      <c r="AK471" s="133" t="str">
        <f>IF($A471&lt;&gt;0,VLOOKUP($A471,'0.Productos'!$A$3:$GG$587,'0.Productos'!CC$1+1,0),"")</f>
        <v/>
      </c>
      <c r="AL471" s="133" t="str">
        <f>IF($A471&lt;&gt;0,VLOOKUP($A471,'0.Productos'!$A$3:$GG$587,'0.Productos'!CD$1+1,0),"")</f>
        <v/>
      </c>
      <c r="AM471" s="133" t="str">
        <f>IF($A471&lt;&gt;0,VLOOKUP($A471,'0.Productos'!$A$3:$GG$587,'0.Productos'!CE$1+1,0),"")</f>
        <v/>
      </c>
      <c r="AN471" s="133" t="str">
        <f>IF($A471&lt;&gt;0,VLOOKUP($A471,'0.Productos'!$A$3:$GG$587,'0.Productos'!CF$1+1,0),"")</f>
        <v/>
      </c>
      <c r="AO471" s="133" t="str">
        <f>IF($A471&lt;&gt;0,VLOOKUP($A471,'0.Productos'!$A$3:$GG$587,'0.Productos'!CG$1+1,0),"")</f>
        <v/>
      </c>
      <c r="AP471" s="133" t="str">
        <f>IF($A471&lt;&gt;0,VLOOKUP($A471,'0.Productos'!$A$3:$GG$587,'0.Productos'!CH$1+1,0),"")</f>
        <v/>
      </c>
      <c r="AQ471" s="133" t="str">
        <f>IF($A471&lt;&gt;0,VLOOKUP($A471,'0.Productos'!$A$3:$GG$587,'0.Productos'!CI$1+1,0),"")</f>
        <v/>
      </c>
      <c r="AR471" s="133" t="str">
        <f>IF($A471&lt;&gt;0,VLOOKUP($A471,'0.Productos'!$A$3:$GG$587,'0.Productos'!CJ$1+1,0),"")</f>
        <v/>
      </c>
      <c r="AS471" s="133" t="str">
        <f>IF($A471&lt;&gt;0,VLOOKUP($A471,'0.Productos'!$A$3:$GG$587,'0.Productos'!CK$1+1,0),"")</f>
        <v/>
      </c>
      <c r="AT471" s="133" t="str">
        <f>IF($A471&lt;&gt;0,VLOOKUP($A471,'0.Productos'!$A$3:$GG$587,'0.Productos'!CL$1+1,0),"")</f>
        <v/>
      </c>
      <c r="AU471" s="133" t="str">
        <f>IF($A471&lt;&gt;0,VLOOKUP($A471,'0.Productos'!$A$3:$GG$587,'0.Productos'!CM$1+1,0),"")</f>
        <v/>
      </c>
      <c r="AV471" s="133" t="str">
        <f>IF($A471&lt;&gt;0,VLOOKUP($A471,'0.Productos'!$A$3:$GG$587,'0.Productos'!CN$1+1,0),"")</f>
        <v/>
      </c>
      <c r="AW471" s="133" t="str">
        <f>IF($A471&lt;&gt;0,VLOOKUP($A471,'0.Productos'!$A$3:$GG$587,'0.Productos'!CO$1+1,0),"")</f>
        <v/>
      </c>
      <c r="AX471" s="133" t="str">
        <f>IF($A471&lt;&gt;0,VLOOKUP($A471,'0.Productos'!$A$3:$GG$587,'0.Productos'!CP$1+1,0),"")</f>
        <v/>
      </c>
      <c r="AY471" s="133" t="str">
        <f>IF($A471&lt;&gt;0,VLOOKUP($A471,'0.Productos'!$A$3:$GG$587,'0.Productos'!CQ$1+1,0),"")</f>
        <v/>
      </c>
      <c r="AZ471" s="133" t="str">
        <f>IF($A471&lt;&gt;0,VLOOKUP($A471,'0.Productos'!$A$3:$GG$587,'0.Productos'!CR$1+1,0),"")</f>
        <v/>
      </c>
      <c r="BA471" s="133" t="str">
        <f>IF($A471&lt;&gt;0,VLOOKUP($A471,'0.Productos'!$A$3:$GG$587,'0.Productos'!CS$1+1,0),"")</f>
        <v/>
      </c>
      <c r="BB471" s="133" t="str">
        <f>IF($A471&lt;&gt;0,VLOOKUP($A471,'0.Productos'!$A$3:$GG$587,'0.Productos'!CT$1+1,0),"")</f>
        <v/>
      </c>
      <c r="BC471" s="133" t="str">
        <f>IF($A471&lt;&gt;0,VLOOKUP($A471,'0.Productos'!$A$3:$GG$587,'0.Productos'!CU$1+1,0),"")</f>
        <v/>
      </c>
      <c r="BD471" s="133" t="str">
        <f>IF($A471&lt;&gt;0,VLOOKUP($A471,'0.Productos'!$A$3:$GG$587,'0.Productos'!CV$1+1,0),"")</f>
        <v/>
      </c>
      <c r="BE471" s="133" t="str">
        <f>IF($A471&lt;&gt;0,VLOOKUP($A471,'0.Productos'!$A$3:$GG$587,'0.Productos'!CW$1+1,0),"")</f>
        <v/>
      </c>
      <c r="BF471" s="133" t="str">
        <f>IF($A471&lt;&gt;0,VLOOKUP($A471,'0.Productos'!$A$3:$GG$587,'0.Productos'!CX$1+1,0),"")</f>
        <v/>
      </c>
      <c r="BG471" s="133" t="str">
        <f>IF($A471&lt;&gt;0,VLOOKUP($A471,'0.Productos'!$A$3:$GG$587,'0.Productos'!CY$1+1,0),"")</f>
        <v/>
      </c>
      <c r="BH471" s="133" t="str">
        <f>IF($A471&lt;&gt;0,VLOOKUP($A471,'0.Productos'!$A$3:$GG$587,'0.Productos'!CZ$1+1,0),"")</f>
        <v/>
      </c>
      <c r="BI471" s="133" t="str">
        <f>IF($A471&lt;&gt;0,VLOOKUP($A471,'0.Productos'!$A$3:$GG$587,'0.Productos'!DA$1+1,0),"")</f>
        <v/>
      </c>
      <c r="BJ471" s="133" t="str">
        <f>IF($A471&lt;&gt;0,VLOOKUP($A471,'0.Productos'!$A$3:$GG$587,'0.Productos'!DB$1+1,0),"")</f>
        <v/>
      </c>
      <c r="BK471" s="133" t="str">
        <f>IF($A471&lt;&gt;0,VLOOKUP($A471,'0.Productos'!$A$3:$GG$587,'0.Productos'!DC$1+1,0),"")</f>
        <v/>
      </c>
      <c r="BL471" s="133" t="str">
        <f>IF($A471&lt;&gt;0,VLOOKUP($A471,'0.Productos'!$A$3:$GG$587,'0.Productos'!DD$1+1,0),"")</f>
        <v/>
      </c>
      <c r="BM471" s="133" t="str">
        <f>IF($A471&lt;&gt;0,VLOOKUP($A471,'0.Productos'!$A$3:$GG$587,'0.Productos'!DE$1+1,0),"")</f>
        <v/>
      </c>
      <c r="BN471" s="133" t="str">
        <f>IF($A471&lt;&gt;0,VLOOKUP($A471,'0.Productos'!$A$3:$GG$587,'0.Productos'!DF$1+1,0),"")</f>
        <v/>
      </c>
      <c r="BO471" s="133" t="str">
        <f>IF($A471&lt;&gt;0,VLOOKUP($A471,'0.Productos'!$A$3:$GG$587,'0.Productos'!DG$1+1,0),"")</f>
        <v/>
      </c>
      <c r="BP471" s="133" t="str">
        <f>IF($A471&lt;&gt;0,VLOOKUP($A471,'0.Productos'!$A$3:$GG$587,'0.Productos'!DH$1+1,0),"")</f>
        <v/>
      </c>
      <c r="BQ471" s="133" t="str">
        <f>IF($A471&lt;&gt;0,VLOOKUP($A471,'0.Productos'!$A$3:$GG$587,'0.Productos'!DI$1+1,0),"")</f>
        <v/>
      </c>
      <c r="BR471" s="133" t="str">
        <f>IF($A471&lt;&gt;0,VLOOKUP($A471,'0.Productos'!$A$3:$GG$587,'0.Productos'!DJ$1+1,0),"")</f>
        <v/>
      </c>
      <c r="BS471" s="133" t="str">
        <f>IF($A471&lt;&gt;0,VLOOKUP($A471,'0.Productos'!$A$3:$GG$587,'0.Productos'!DK$1+1,0),"")</f>
        <v/>
      </c>
      <c r="BT471" s="133" t="str">
        <f>IF($A471&lt;&gt;0,VLOOKUP($A471,'0.Productos'!$A$3:$GG$587,'0.Productos'!DL$1+1,0),"")</f>
        <v/>
      </c>
    </row>
    <row r="472" spans="1:72" x14ac:dyDescent="0.25">
      <c r="A472" s="17">
        <f>'0.Consolidado general'!A472</f>
        <v>0</v>
      </c>
      <c r="B472" s="133" t="str">
        <f>IF($A472&lt;&gt;0,VLOOKUP($A472,'0.Productos'!$A$3:$GG$587,'0.Productos'!AT$1+1,0),"")</f>
        <v/>
      </c>
      <c r="C472" s="133" t="str">
        <f>IF($A472&lt;&gt;0,VLOOKUP($A472,'0.Productos'!$A$3:$GG$587,'0.Productos'!AU$1+1,0),"")</f>
        <v/>
      </c>
      <c r="D472" s="133" t="str">
        <f>IF($A472&lt;&gt;0,VLOOKUP($A472,'0.Productos'!$A$3:$GG$587,'0.Productos'!AV$1+1,0),"")</f>
        <v/>
      </c>
      <c r="E472" s="133" t="str">
        <f>IF($A472&lt;&gt;0,VLOOKUP($A472,'0.Productos'!$A$3:$GG$587,'0.Productos'!AW$1+1,0),"")</f>
        <v/>
      </c>
      <c r="F472" s="133" t="str">
        <f>IF($A472&lt;&gt;0,VLOOKUP($A472,'0.Productos'!$A$3:$GG$587,'0.Productos'!AX$1+1,0),"")</f>
        <v/>
      </c>
      <c r="G472" s="133" t="str">
        <f>IF($A472&lt;&gt;0,VLOOKUP($A472,'0.Productos'!$A$3:$GG$587,'0.Productos'!AY$1+1,0),"")</f>
        <v/>
      </c>
      <c r="H472" s="133" t="str">
        <f>IF($A472&lt;&gt;0,VLOOKUP($A472,'0.Productos'!$A$3:$GG$587,'0.Productos'!AZ$1+1,0),"")</f>
        <v/>
      </c>
      <c r="I472" s="133" t="str">
        <f>IF($A472&lt;&gt;0,VLOOKUP($A472,'0.Productos'!$A$3:$GG$587,'0.Productos'!BA$1+1,0),"")</f>
        <v/>
      </c>
      <c r="J472" s="133" t="str">
        <f>IF($A472&lt;&gt;0,VLOOKUP($A472,'0.Productos'!$A$3:$GG$587,'0.Productos'!BB$1+1,0),"")</f>
        <v/>
      </c>
      <c r="K472" s="133" t="str">
        <f>IF($A472&lt;&gt;0,VLOOKUP($A472,'0.Productos'!$A$3:$GG$587,'0.Productos'!BC$1+1,0),"")</f>
        <v/>
      </c>
      <c r="L472" s="133" t="str">
        <f>IF($A472&lt;&gt;0,VLOOKUP($A472,'0.Productos'!$A$3:$GG$587,'0.Productos'!BD$1+1,0),"")</f>
        <v/>
      </c>
      <c r="M472" s="133" t="str">
        <f>IF($A472&lt;&gt;0,VLOOKUP($A472,'0.Productos'!$A$3:$GG$587,'0.Productos'!BE$1+1,0),"")</f>
        <v/>
      </c>
      <c r="N472" s="133" t="str">
        <f>IF($A472&lt;&gt;0,VLOOKUP($A472,'0.Productos'!$A$3:$GG$587,'0.Productos'!BF$1+1,0),"")</f>
        <v/>
      </c>
      <c r="O472" s="133" t="str">
        <f>IF($A472&lt;&gt;0,VLOOKUP($A472,'0.Productos'!$A$3:$GG$587,'0.Productos'!BG$1+1,0),"")</f>
        <v/>
      </c>
      <c r="P472" s="133" t="str">
        <f>IF($A472&lt;&gt;0,VLOOKUP($A472,'0.Productos'!$A$3:$GG$587,'0.Productos'!BH$1+1,0),"")</f>
        <v/>
      </c>
      <c r="Q472" s="133" t="str">
        <f>IF($A472&lt;&gt;0,VLOOKUP($A472,'0.Productos'!$A$3:$GG$587,'0.Productos'!BI$1+1,0),"")</f>
        <v/>
      </c>
      <c r="R472" s="133" t="str">
        <f>IF($A472&lt;&gt;0,VLOOKUP($A472,'0.Productos'!$A$3:$GG$587,'0.Productos'!BJ$1+1,0),"")</f>
        <v/>
      </c>
      <c r="S472" s="133" t="str">
        <f>IF($A472&lt;&gt;0,VLOOKUP($A472,'0.Productos'!$A$3:$GG$587,'0.Productos'!BK$1+1,0),"")</f>
        <v/>
      </c>
      <c r="T472" s="133" t="str">
        <f>IF($A472&lt;&gt;0,VLOOKUP($A472,'0.Productos'!$A$3:$GG$587,'0.Productos'!BL$1+1,0),"")</f>
        <v/>
      </c>
      <c r="U472" s="133" t="str">
        <f>IF($A472&lt;&gt;0,VLOOKUP($A472,'0.Productos'!$A$3:$GG$587,'0.Productos'!BM$1+1,0),"")</f>
        <v/>
      </c>
      <c r="V472" s="133" t="str">
        <f>IF($A472&lt;&gt;0,VLOOKUP($A472,'0.Productos'!$A$3:$GG$587,'0.Productos'!BN$1+1,0),"")</f>
        <v/>
      </c>
      <c r="W472" s="133" t="str">
        <f>IF($A472&lt;&gt;0,VLOOKUP($A472,'0.Productos'!$A$3:$GG$587,'0.Productos'!BO$1+1,0),"")</f>
        <v/>
      </c>
      <c r="X472" s="133" t="str">
        <f>IF($A472&lt;&gt;0,VLOOKUP($A472,'0.Productos'!$A$3:$GG$587,'0.Productos'!BP$1+1,0),"")</f>
        <v/>
      </c>
      <c r="Y472" s="133" t="str">
        <f>IF($A472&lt;&gt;0,VLOOKUP($A472,'0.Productos'!$A$3:$GG$587,'0.Productos'!BQ$1+1,0),"")</f>
        <v/>
      </c>
      <c r="Z472" s="133" t="str">
        <f>IF($A472&lt;&gt;0,VLOOKUP($A472,'0.Productos'!$A$3:$GG$587,'0.Productos'!BR$1+1,0),"")</f>
        <v/>
      </c>
      <c r="AA472" s="133" t="str">
        <f>IF($A472&lt;&gt;0,VLOOKUP($A472,'0.Productos'!$A$3:$GG$587,'0.Productos'!BS$1+1,0),"")</f>
        <v/>
      </c>
      <c r="AB472" s="133" t="str">
        <f>IF($A472&lt;&gt;0,VLOOKUP($A472,'0.Productos'!$A$3:$GG$587,'0.Productos'!BT$1+1,0),"")</f>
        <v/>
      </c>
      <c r="AC472" s="133" t="str">
        <f>IF($A472&lt;&gt;0,VLOOKUP($A472,'0.Productos'!$A$3:$GG$587,'0.Productos'!BU$1+1,0),"")</f>
        <v/>
      </c>
      <c r="AD472" s="133" t="str">
        <f>IF($A472&lt;&gt;0,VLOOKUP($A472,'0.Productos'!$A$3:$GG$587,'0.Productos'!BV$1+1,0),"")</f>
        <v/>
      </c>
      <c r="AE472" s="133" t="str">
        <f>IF($A472&lt;&gt;0,VLOOKUP($A472,'0.Productos'!$A$3:$GG$587,'0.Productos'!BW$1+1,0),"")</f>
        <v/>
      </c>
      <c r="AF472" s="133" t="str">
        <f>IF($A472&lt;&gt;0,VLOOKUP($A472,'0.Productos'!$A$3:$GG$587,'0.Productos'!BX$1+1,0),"")</f>
        <v/>
      </c>
      <c r="AG472" s="133" t="str">
        <f>IF($A472&lt;&gt;0,VLOOKUP($A472,'0.Productos'!$A$3:$GG$587,'0.Productos'!BY$1+1,0),"")</f>
        <v/>
      </c>
      <c r="AH472" s="133" t="str">
        <f>IF($A472&lt;&gt;0,VLOOKUP($A472,'0.Productos'!$A$3:$GG$587,'0.Productos'!BZ$1+1,0),"")</f>
        <v/>
      </c>
      <c r="AI472" s="133" t="str">
        <f>IF($A472&lt;&gt;0,VLOOKUP($A472,'0.Productos'!$A$3:$GG$587,'0.Productos'!CA$1+1,0),"")</f>
        <v/>
      </c>
      <c r="AJ472" s="133" t="str">
        <f>IF($A472&lt;&gt;0,VLOOKUP($A472,'0.Productos'!$A$3:$GG$587,'0.Productos'!CB$1+1,0),"")</f>
        <v/>
      </c>
      <c r="AK472" s="133" t="str">
        <f>IF($A472&lt;&gt;0,VLOOKUP($A472,'0.Productos'!$A$3:$GG$587,'0.Productos'!CC$1+1,0),"")</f>
        <v/>
      </c>
      <c r="AL472" s="133" t="str">
        <f>IF($A472&lt;&gt;0,VLOOKUP($A472,'0.Productos'!$A$3:$GG$587,'0.Productos'!CD$1+1,0),"")</f>
        <v/>
      </c>
      <c r="AM472" s="133" t="str">
        <f>IF($A472&lt;&gt;0,VLOOKUP($A472,'0.Productos'!$A$3:$GG$587,'0.Productos'!CE$1+1,0),"")</f>
        <v/>
      </c>
      <c r="AN472" s="133" t="str">
        <f>IF($A472&lt;&gt;0,VLOOKUP($A472,'0.Productos'!$A$3:$GG$587,'0.Productos'!CF$1+1,0),"")</f>
        <v/>
      </c>
      <c r="AO472" s="133" t="str">
        <f>IF($A472&lt;&gt;0,VLOOKUP($A472,'0.Productos'!$A$3:$GG$587,'0.Productos'!CG$1+1,0),"")</f>
        <v/>
      </c>
      <c r="AP472" s="133" t="str">
        <f>IF($A472&lt;&gt;0,VLOOKUP($A472,'0.Productos'!$A$3:$GG$587,'0.Productos'!CH$1+1,0),"")</f>
        <v/>
      </c>
      <c r="AQ472" s="133" t="str">
        <f>IF($A472&lt;&gt;0,VLOOKUP($A472,'0.Productos'!$A$3:$GG$587,'0.Productos'!CI$1+1,0),"")</f>
        <v/>
      </c>
      <c r="AR472" s="133" t="str">
        <f>IF($A472&lt;&gt;0,VLOOKUP($A472,'0.Productos'!$A$3:$GG$587,'0.Productos'!CJ$1+1,0),"")</f>
        <v/>
      </c>
      <c r="AS472" s="133" t="str">
        <f>IF($A472&lt;&gt;0,VLOOKUP($A472,'0.Productos'!$A$3:$GG$587,'0.Productos'!CK$1+1,0),"")</f>
        <v/>
      </c>
      <c r="AT472" s="133" t="str">
        <f>IF($A472&lt;&gt;0,VLOOKUP($A472,'0.Productos'!$A$3:$GG$587,'0.Productos'!CL$1+1,0),"")</f>
        <v/>
      </c>
      <c r="AU472" s="133" t="str">
        <f>IF($A472&lt;&gt;0,VLOOKUP($A472,'0.Productos'!$A$3:$GG$587,'0.Productos'!CM$1+1,0),"")</f>
        <v/>
      </c>
      <c r="AV472" s="133" t="str">
        <f>IF($A472&lt;&gt;0,VLOOKUP($A472,'0.Productos'!$A$3:$GG$587,'0.Productos'!CN$1+1,0),"")</f>
        <v/>
      </c>
      <c r="AW472" s="133" t="str">
        <f>IF($A472&lt;&gt;0,VLOOKUP($A472,'0.Productos'!$A$3:$GG$587,'0.Productos'!CO$1+1,0),"")</f>
        <v/>
      </c>
      <c r="AX472" s="133" t="str">
        <f>IF($A472&lt;&gt;0,VLOOKUP($A472,'0.Productos'!$A$3:$GG$587,'0.Productos'!CP$1+1,0),"")</f>
        <v/>
      </c>
      <c r="AY472" s="133" t="str">
        <f>IF($A472&lt;&gt;0,VLOOKUP($A472,'0.Productos'!$A$3:$GG$587,'0.Productos'!CQ$1+1,0),"")</f>
        <v/>
      </c>
      <c r="AZ472" s="133" t="str">
        <f>IF($A472&lt;&gt;0,VLOOKUP($A472,'0.Productos'!$A$3:$GG$587,'0.Productos'!CR$1+1,0),"")</f>
        <v/>
      </c>
      <c r="BA472" s="133" t="str">
        <f>IF($A472&lt;&gt;0,VLOOKUP($A472,'0.Productos'!$A$3:$GG$587,'0.Productos'!CS$1+1,0),"")</f>
        <v/>
      </c>
      <c r="BB472" s="133" t="str">
        <f>IF($A472&lt;&gt;0,VLOOKUP($A472,'0.Productos'!$A$3:$GG$587,'0.Productos'!CT$1+1,0),"")</f>
        <v/>
      </c>
      <c r="BC472" s="133" t="str">
        <f>IF($A472&lt;&gt;0,VLOOKUP($A472,'0.Productos'!$A$3:$GG$587,'0.Productos'!CU$1+1,0),"")</f>
        <v/>
      </c>
      <c r="BD472" s="133" t="str">
        <f>IF($A472&lt;&gt;0,VLOOKUP($A472,'0.Productos'!$A$3:$GG$587,'0.Productos'!CV$1+1,0),"")</f>
        <v/>
      </c>
      <c r="BE472" s="133" t="str">
        <f>IF($A472&lt;&gt;0,VLOOKUP($A472,'0.Productos'!$A$3:$GG$587,'0.Productos'!CW$1+1,0),"")</f>
        <v/>
      </c>
      <c r="BF472" s="133" t="str">
        <f>IF($A472&lt;&gt;0,VLOOKUP($A472,'0.Productos'!$A$3:$GG$587,'0.Productos'!CX$1+1,0),"")</f>
        <v/>
      </c>
      <c r="BG472" s="133" t="str">
        <f>IF($A472&lt;&gt;0,VLOOKUP($A472,'0.Productos'!$A$3:$GG$587,'0.Productos'!CY$1+1,0),"")</f>
        <v/>
      </c>
      <c r="BH472" s="133" t="str">
        <f>IF($A472&lt;&gt;0,VLOOKUP($A472,'0.Productos'!$A$3:$GG$587,'0.Productos'!CZ$1+1,0),"")</f>
        <v/>
      </c>
      <c r="BI472" s="133" t="str">
        <f>IF($A472&lt;&gt;0,VLOOKUP($A472,'0.Productos'!$A$3:$GG$587,'0.Productos'!DA$1+1,0),"")</f>
        <v/>
      </c>
      <c r="BJ472" s="133" t="str">
        <f>IF($A472&lt;&gt;0,VLOOKUP($A472,'0.Productos'!$A$3:$GG$587,'0.Productos'!DB$1+1,0),"")</f>
        <v/>
      </c>
      <c r="BK472" s="133" t="str">
        <f>IF($A472&lt;&gt;0,VLOOKUP($A472,'0.Productos'!$A$3:$GG$587,'0.Productos'!DC$1+1,0),"")</f>
        <v/>
      </c>
      <c r="BL472" s="133" t="str">
        <f>IF($A472&lt;&gt;0,VLOOKUP($A472,'0.Productos'!$A$3:$GG$587,'0.Productos'!DD$1+1,0),"")</f>
        <v/>
      </c>
      <c r="BM472" s="133" t="str">
        <f>IF($A472&lt;&gt;0,VLOOKUP($A472,'0.Productos'!$A$3:$GG$587,'0.Productos'!DE$1+1,0),"")</f>
        <v/>
      </c>
      <c r="BN472" s="133" t="str">
        <f>IF($A472&lt;&gt;0,VLOOKUP($A472,'0.Productos'!$A$3:$GG$587,'0.Productos'!DF$1+1,0),"")</f>
        <v/>
      </c>
      <c r="BO472" s="133" t="str">
        <f>IF($A472&lt;&gt;0,VLOOKUP($A472,'0.Productos'!$A$3:$GG$587,'0.Productos'!DG$1+1,0),"")</f>
        <v/>
      </c>
      <c r="BP472" s="133" t="str">
        <f>IF($A472&lt;&gt;0,VLOOKUP($A472,'0.Productos'!$A$3:$GG$587,'0.Productos'!DH$1+1,0),"")</f>
        <v/>
      </c>
      <c r="BQ472" s="133" t="str">
        <f>IF($A472&lt;&gt;0,VLOOKUP($A472,'0.Productos'!$A$3:$GG$587,'0.Productos'!DI$1+1,0),"")</f>
        <v/>
      </c>
      <c r="BR472" s="133" t="str">
        <f>IF($A472&lt;&gt;0,VLOOKUP($A472,'0.Productos'!$A$3:$GG$587,'0.Productos'!DJ$1+1,0),"")</f>
        <v/>
      </c>
      <c r="BS472" s="133" t="str">
        <f>IF($A472&lt;&gt;0,VLOOKUP($A472,'0.Productos'!$A$3:$GG$587,'0.Productos'!DK$1+1,0),"")</f>
        <v/>
      </c>
      <c r="BT472" s="133" t="str">
        <f>IF($A472&lt;&gt;0,VLOOKUP($A472,'0.Productos'!$A$3:$GG$587,'0.Productos'!DL$1+1,0),"")</f>
        <v/>
      </c>
    </row>
    <row r="473" spans="1:72" x14ac:dyDescent="0.25">
      <c r="A473" s="17">
        <f>'0.Consolidado general'!A473</f>
        <v>0</v>
      </c>
      <c r="B473" s="133" t="str">
        <f>IF($A473&lt;&gt;0,VLOOKUP($A473,'0.Productos'!$A$3:$GG$587,'0.Productos'!AT$1+1,0),"")</f>
        <v/>
      </c>
      <c r="C473" s="133" t="str">
        <f>IF($A473&lt;&gt;0,VLOOKUP($A473,'0.Productos'!$A$3:$GG$587,'0.Productos'!AU$1+1,0),"")</f>
        <v/>
      </c>
      <c r="D473" s="133" t="str">
        <f>IF($A473&lt;&gt;0,VLOOKUP($A473,'0.Productos'!$A$3:$GG$587,'0.Productos'!AV$1+1,0),"")</f>
        <v/>
      </c>
      <c r="E473" s="133" t="str">
        <f>IF($A473&lt;&gt;0,VLOOKUP($A473,'0.Productos'!$A$3:$GG$587,'0.Productos'!AW$1+1,0),"")</f>
        <v/>
      </c>
      <c r="F473" s="133" t="str">
        <f>IF($A473&lt;&gt;0,VLOOKUP($A473,'0.Productos'!$A$3:$GG$587,'0.Productos'!AX$1+1,0),"")</f>
        <v/>
      </c>
      <c r="G473" s="133" t="str">
        <f>IF($A473&lt;&gt;0,VLOOKUP($A473,'0.Productos'!$A$3:$GG$587,'0.Productos'!AY$1+1,0),"")</f>
        <v/>
      </c>
      <c r="H473" s="133" t="str">
        <f>IF($A473&lt;&gt;0,VLOOKUP($A473,'0.Productos'!$A$3:$GG$587,'0.Productos'!AZ$1+1,0),"")</f>
        <v/>
      </c>
      <c r="I473" s="133" t="str">
        <f>IF($A473&lt;&gt;0,VLOOKUP($A473,'0.Productos'!$A$3:$GG$587,'0.Productos'!BA$1+1,0),"")</f>
        <v/>
      </c>
      <c r="J473" s="133" t="str">
        <f>IF($A473&lt;&gt;0,VLOOKUP($A473,'0.Productos'!$A$3:$GG$587,'0.Productos'!BB$1+1,0),"")</f>
        <v/>
      </c>
      <c r="K473" s="133" t="str">
        <f>IF($A473&lt;&gt;0,VLOOKUP($A473,'0.Productos'!$A$3:$GG$587,'0.Productos'!BC$1+1,0),"")</f>
        <v/>
      </c>
      <c r="L473" s="133" t="str">
        <f>IF($A473&lt;&gt;0,VLOOKUP($A473,'0.Productos'!$A$3:$GG$587,'0.Productos'!BD$1+1,0),"")</f>
        <v/>
      </c>
      <c r="M473" s="133" t="str">
        <f>IF($A473&lt;&gt;0,VLOOKUP($A473,'0.Productos'!$A$3:$GG$587,'0.Productos'!BE$1+1,0),"")</f>
        <v/>
      </c>
      <c r="N473" s="133" t="str">
        <f>IF($A473&lt;&gt;0,VLOOKUP($A473,'0.Productos'!$A$3:$GG$587,'0.Productos'!BF$1+1,0),"")</f>
        <v/>
      </c>
      <c r="O473" s="133" t="str">
        <f>IF($A473&lt;&gt;0,VLOOKUP($A473,'0.Productos'!$A$3:$GG$587,'0.Productos'!BG$1+1,0),"")</f>
        <v/>
      </c>
      <c r="P473" s="133" t="str">
        <f>IF($A473&lt;&gt;0,VLOOKUP($A473,'0.Productos'!$A$3:$GG$587,'0.Productos'!BH$1+1,0),"")</f>
        <v/>
      </c>
      <c r="Q473" s="133" t="str">
        <f>IF($A473&lt;&gt;0,VLOOKUP($A473,'0.Productos'!$A$3:$GG$587,'0.Productos'!BI$1+1,0),"")</f>
        <v/>
      </c>
      <c r="R473" s="133" t="str">
        <f>IF($A473&lt;&gt;0,VLOOKUP($A473,'0.Productos'!$A$3:$GG$587,'0.Productos'!BJ$1+1,0),"")</f>
        <v/>
      </c>
      <c r="S473" s="133" t="str">
        <f>IF($A473&lt;&gt;0,VLOOKUP($A473,'0.Productos'!$A$3:$GG$587,'0.Productos'!BK$1+1,0),"")</f>
        <v/>
      </c>
      <c r="T473" s="133" t="str">
        <f>IF($A473&lt;&gt;0,VLOOKUP($A473,'0.Productos'!$A$3:$GG$587,'0.Productos'!BL$1+1,0),"")</f>
        <v/>
      </c>
      <c r="U473" s="133" t="str">
        <f>IF($A473&lt;&gt;0,VLOOKUP($A473,'0.Productos'!$A$3:$GG$587,'0.Productos'!BM$1+1,0),"")</f>
        <v/>
      </c>
      <c r="V473" s="133" t="str">
        <f>IF($A473&lt;&gt;0,VLOOKUP($A473,'0.Productos'!$A$3:$GG$587,'0.Productos'!BN$1+1,0),"")</f>
        <v/>
      </c>
      <c r="W473" s="133" t="str">
        <f>IF($A473&lt;&gt;0,VLOOKUP($A473,'0.Productos'!$A$3:$GG$587,'0.Productos'!BO$1+1,0),"")</f>
        <v/>
      </c>
      <c r="X473" s="133" t="str">
        <f>IF($A473&lt;&gt;0,VLOOKUP($A473,'0.Productos'!$A$3:$GG$587,'0.Productos'!BP$1+1,0),"")</f>
        <v/>
      </c>
      <c r="Y473" s="133" t="str">
        <f>IF($A473&lt;&gt;0,VLOOKUP($A473,'0.Productos'!$A$3:$GG$587,'0.Productos'!BQ$1+1,0),"")</f>
        <v/>
      </c>
      <c r="Z473" s="133" t="str">
        <f>IF($A473&lt;&gt;0,VLOOKUP($A473,'0.Productos'!$A$3:$GG$587,'0.Productos'!BR$1+1,0),"")</f>
        <v/>
      </c>
      <c r="AA473" s="133" t="str">
        <f>IF($A473&lt;&gt;0,VLOOKUP($A473,'0.Productos'!$A$3:$GG$587,'0.Productos'!BS$1+1,0),"")</f>
        <v/>
      </c>
      <c r="AB473" s="133" t="str">
        <f>IF($A473&lt;&gt;0,VLOOKUP($A473,'0.Productos'!$A$3:$GG$587,'0.Productos'!BT$1+1,0),"")</f>
        <v/>
      </c>
      <c r="AC473" s="133" t="str">
        <f>IF($A473&lt;&gt;0,VLOOKUP($A473,'0.Productos'!$A$3:$GG$587,'0.Productos'!BU$1+1,0),"")</f>
        <v/>
      </c>
      <c r="AD473" s="133" t="str">
        <f>IF($A473&lt;&gt;0,VLOOKUP($A473,'0.Productos'!$A$3:$GG$587,'0.Productos'!BV$1+1,0),"")</f>
        <v/>
      </c>
      <c r="AE473" s="133" t="str">
        <f>IF($A473&lt;&gt;0,VLOOKUP($A473,'0.Productos'!$A$3:$GG$587,'0.Productos'!BW$1+1,0),"")</f>
        <v/>
      </c>
      <c r="AF473" s="133" t="str">
        <f>IF($A473&lt;&gt;0,VLOOKUP($A473,'0.Productos'!$A$3:$GG$587,'0.Productos'!BX$1+1,0),"")</f>
        <v/>
      </c>
      <c r="AG473" s="133" t="str">
        <f>IF($A473&lt;&gt;0,VLOOKUP($A473,'0.Productos'!$A$3:$GG$587,'0.Productos'!BY$1+1,0),"")</f>
        <v/>
      </c>
      <c r="AH473" s="133" t="str">
        <f>IF($A473&lt;&gt;0,VLOOKUP($A473,'0.Productos'!$A$3:$GG$587,'0.Productos'!BZ$1+1,0),"")</f>
        <v/>
      </c>
      <c r="AI473" s="133" t="str">
        <f>IF($A473&lt;&gt;0,VLOOKUP($A473,'0.Productos'!$A$3:$GG$587,'0.Productos'!CA$1+1,0),"")</f>
        <v/>
      </c>
      <c r="AJ473" s="133" t="str">
        <f>IF($A473&lt;&gt;0,VLOOKUP($A473,'0.Productos'!$A$3:$GG$587,'0.Productos'!CB$1+1,0),"")</f>
        <v/>
      </c>
      <c r="AK473" s="133" t="str">
        <f>IF($A473&lt;&gt;0,VLOOKUP($A473,'0.Productos'!$A$3:$GG$587,'0.Productos'!CC$1+1,0),"")</f>
        <v/>
      </c>
      <c r="AL473" s="133" t="str">
        <f>IF($A473&lt;&gt;0,VLOOKUP($A473,'0.Productos'!$A$3:$GG$587,'0.Productos'!CD$1+1,0),"")</f>
        <v/>
      </c>
      <c r="AM473" s="133" t="str">
        <f>IF($A473&lt;&gt;0,VLOOKUP($A473,'0.Productos'!$A$3:$GG$587,'0.Productos'!CE$1+1,0),"")</f>
        <v/>
      </c>
      <c r="AN473" s="133" t="str">
        <f>IF($A473&lt;&gt;0,VLOOKUP($A473,'0.Productos'!$A$3:$GG$587,'0.Productos'!CF$1+1,0),"")</f>
        <v/>
      </c>
      <c r="AO473" s="133" t="str">
        <f>IF($A473&lt;&gt;0,VLOOKUP($A473,'0.Productos'!$A$3:$GG$587,'0.Productos'!CG$1+1,0),"")</f>
        <v/>
      </c>
      <c r="AP473" s="133" t="str">
        <f>IF($A473&lt;&gt;0,VLOOKUP($A473,'0.Productos'!$A$3:$GG$587,'0.Productos'!CH$1+1,0),"")</f>
        <v/>
      </c>
      <c r="AQ473" s="133" t="str">
        <f>IF($A473&lt;&gt;0,VLOOKUP($A473,'0.Productos'!$A$3:$GG$587,'0.Productos'!CI$1+1,0),"")</f>
        <v/>
      </c>
      <c r="AR473" s="133" t="str">
        <f>IF($A473&lt;&gt;0,VLOOKUP($A473,'0.Productos'!$A$3:$GG$587,'0.Productos'!CJ$1+1,0),"")</f>
        <v/>
      </c>
      <c r="AS473" s="133" t="str">
        <f>IF($A473&lt;&gt;0,VLOOKUP($A473,'0.Productos'!$A$3:$GG$587,'0.Productos'!CK$1+1,0),"")</f>
        <v/>
      </c>
      <c r="AT473" s="133" t="str">
        <f>IF($A473&lt;&gt;0,VLOOKUP($A473,'0.Productos'!$A$3:$GG$587,'0.Productos'!CL$1+1,0),"")</f>
        <v/>
      </c>
      <c r="AU473" s="133" t="str">
        <f>IF($A473&lt;&gt;0,VLOOKUP($A473,'0.Productos'!$A$3:$GG$587,'0.Productos'!CM$1+1,0),"")</f>
        <v/>
      </c>
      <c r="AV473" s="133" t="str">
        <f>IF($A473&lt;&gt;0,VLOOKUP($A473,'0.Productos'!$A$3:$GG$587,'0.Productos'!CN$1+1,0),"")</f>
        <v/>
      </c>
      <c r="AW473" s="133" t="str">
        <f>IF($A473&lt;&gt;0,VLOOKUP($A473,'0.Productos'!$A$3:$GG$587,'0.Productos'!CO$1+1,0),"")</f>
        <v/>
      </c>
      <c r="AX473" s="133" t="str">
        <f>IF($A473&lt;&gt;0,VLOOKUP($A473,'0.Productos'!$A$3:$GG$587,'0.Productos'!CP$1+1,0),"")</f>
        <v/>
      </c>
      <c r="AY473" s="133" t="str">
        <f>IF($A473&lt;&gt;0,VLOOKUP($A473,'0.Productos'!$A$3:$GG$587,'0.Productos'!CQ$1+1,0),"")</f>
        <v/>
      </c>
      <c r="AZ473" s="133" t="str">
        <f>IF($A473&lt;&gt;0,VLOOKUP($A473,'0.Productos'!$A$3:$GG$587,'0.Productos'!CR$1+1,0),"")</f>
        <v/>
      </c>
      <c r="BA473" s="133" t="str">
        <f>IF($A473&lt;&gt;0,VLOOKUP($A473,'0.Productos'!$A$3:$GG$587,'0.Productos'!CS$1+1,0),"")</f>
        <v/>
      </c>
      <c r="BB473" s="133" t="str">
        <f>IF($A473&lt;&gt;0,VLOOKUP($A473,'0.Productos'!$A$3:$GG$587,'0.Productos'!CT$1+1,0),"")</f>
        <v/>
      </c>
      <c r="BC473" s="133" t="str">
        <f>IF($A473&lt;&gt;0,VLOOKUP($A473,'0.Productos'!$A$3:$GG$587,'0.Productos'!CU$1+1,0),"")</f>
        <v/>
      </c>
      <c r="BD473" s="133" t="str">
        <f>IF($A473&lt;&gt;0,VLOOKUP($A473,'0.Productos'!$A$3:$GG$587,'0.Productos'!CV$1+1,0),"")</f>
        <v/>
      </c>
      <c r="BE473" s="133" t="str">
        <f>IF($A473&lt;&gt;0,VLOOKUP($A473,'0.Productos'!$A$3:$GG$587,'0.Productos'!CW$1+1,0),"")</f>
        <v/>
      </c>
      <c r="BF473" s="133" t="str">
        <f>IF($A473&lt;&gt;0,VLOOKUP($A473,'0.Productos'!$A$3:$GG$587,'0.Productos'!CX$1+1,0),"")</f>
        <v/>
      </c>
      <c r="BG473" s="133" t="str">
        <f>IF($A473&lt;&gt;0,VLOOKUP($A473,'0.Productos'!$A$3:$GG$587,'0.Productos'!CY$1+1,0),"")</f>
        <v/>
      </c>
      <c r="BH473" s="133" t="str">
        <f>IF($A473&lt;&gt;0,VLOOKUP($A473,'0.Productos'!$A$3:$GG$587,'0.Productos'!CZ$1+1,0),"")</f>
        <v/>
      </c>
      <c r="BI473" s="133" t="str">
        <f>IF($A473&lt;&gt;0,VLOOKUP($A473,'0.Productos'!$A$3:$GG$587,'0.Productos'!DA$1+1,0),"")</f>
        <v/>
      </c>
      <c r="BJ473" s="133" t="str">
        <f>IF($A473&lt;&gt;0,VLOOKUP($A473,'0.Productos'!$A$3:$GG$587,'0.Productos'!DB$1+1,0),"")</f>
        <v/>
      </c>
      <c r="BK473" s="133" t="str">
        <f>IF($A473&lt;&gt;0,VLOOKUP($A473,'0.Productos'!$A$3:$GG$587,'0.Productos'!DC$1+1,0),"")</f>
        <v/>
      </c>
      <c r="BL473" s="133" t="str">
        <f>IF($A473&lt;&gt;0,VLOOKUP($A473,'0.Productos'!$A$3:$GG$587,'0.Productos'!DD$1+1,0),"")</f>
        <v/>
      </c>
      <c r="BM473" s="133" t="str">
        <f>IF($A473&lt;&gt;0,VLOOKUP($A473,'0.Productos'!$A$3:$GG$587,'0.Productos'!DE$1+1,0),"")</f>
        <v/>
      </c>
      <c r="BN473" s="133" t="str">
        <f>IF($A473&lt;&gt;0,VLOOKUP($A473,'0.Productos'!$A$3:$GG$587,'0.Productos'!DF$1+1,0),"")</f>
        <v/>
      </c>
      <c r="BO473" s="133" t="str">
        <f>IF($A473&lt;&gt;0,VLOOKUP($A473,'0.Productos'!$A$3:$GG$587,'0.Productos'!DG$1+1,0),"")</f>
        <v/>
      </c>
      <c r="BP473" s="133" t="str">
        <f>IF($A473&lt;&gt;0,VLOOKUP($A473,'0.Productos'!$A$3:$GG$587,'0.Productos'!DH$1+1,0),"")</f>
        <v/>
      </c>
      <c r="BQ473" s="133" t="str">
        <f>IF($A473&lt;&gt;0,VLOOKUP($A473,'0.Productos'!$A$3:$GG$587,'0.Productos'!DI$1+1,0),"")</f>
        <v/>
      </c>
      <c r="BR473" s="133" t="str">
        <f>IF($A473&lt;&gt;0,VLOOKUP($A473,'0.Productos'!$A$3:$GG$587,'0.Productos'!DJ$1+1,0),"")</f>
        <v/>
      </c>
      <c r="BS473" s="133" t="str">
        <f>IF($A473&lt;&gt;0,VLOOKUP($A473,'0.Productos'!$A$3:$GG$587,'0.Productos'!DK$1+1,0),"")</f>
        <v/>
      </c>
      <c r="BT473" s="133" t="str">
        <f>IF($A473&lt;&gt;0,VLOOKUP($A473,'0.Productos'!$A$3:$GG$587,'0.Productos'!DL$1+1,0),"")</f>
        <v/>
      </c>
    </row>
    <row r="474" spans="1:72" x14ac:dyDescent="0.25">
      <c r="A474" s="17">
        <f>'0.Consolidado general'!A474</f>
        <v>0</v>
      </c>
      <c r="B474" s="133" t="str">
        <f>IF($A474&lt;&gt;0,VLOOKUP($A474,'0.Productos'!$A$3:$GG$587,'0.Productos'!AT$1+1,0),"")</f>
        <v/>
      </c>
      <c r="C474" s="133" t="str">
        <f>IF($A474&lt;&gt;0,VLOOKUP($A474,'0.Productos'!$A$3:$GG$587,'0.Productos'!AU$1+1,0),"")</f>
        <v/>
      </c>
      <c r="D474" s="133" t="str">
        <f>IF($A474&lt;&gt;0,VLOOKUP($A474,'0.Productos'!$A$3:$GG$587,'0.Productos'!AV$1+1,0),"")</f>
        <v/>
      </c>
      <c r="E474" s="133" t="str">
        <f>IF($A474&lt;&gt;0,VLOOKUP($A474,'0.Productos'!$A$3:$GG$587,'0.Productos'!AW$1+1,0),"")</f>
        <v/>
      </c>
      <c r="F474" s="133" t="str">
        <f>IF($A474&lt;&gt;0,VLOOKUP($A474,'0.Productos'!$A$3:$GG$587,'0.Productos'!AX$1+1,0),"")</f>
        <v/>
      </c>
      <c r="G474" s="133" t="str">
        <f>IF($A474&lt;&gt;0,VLOOKUP($A474,'0.Productos'!$A$3:$GG$587,'0.Productos'!AY$1+1,0),"")</f>
        <v/>
      </c>
      <c r="H474" s="133" t="str">
        <f>IF($A474&lt;&gt;0,VLOOKUP($A474,'0.Productos'!$A$3:$GG$587,'0.Productos'!AZ$1+1,0),"")</f>
        <v/>
      </c>
      <c r="I474" s="133" t="str">
        <f>IF($A474&lt;&gt;0,VLOOKUP($A474,'0.Productos'!$A$3:$GG$587,'0.Productos'!BA$1+1,0),"")</f>
        <v/>
      </c>
      <c r="J474" s="133" t="str">
        <f>IF($A474&lt;&gt;0,VLOOKUP($A474,'0.Productos'!$A$3:$GG$587,'0.Productos'!BB$1+1,0),"")</f>
        <v/>
      </c>
      <c r="K474" s="133" t="str">
        <f>IF($A474&lt;&gt;0,VLOOKUP($A474,'0.Productos'!$A$3:$GG$587,'0.Productos'!BC$1+1,0),"")</f>
        <v/>
      </c>
      <c r="L474" s="133" t="str">
        <f>IF($A474&lt;&gt;0,VLOOKUP($A474,'0.Productos'!$A$3:$GG$587,'0.Productos'!BD$1+1,0),"")</f>
        <v/>
      </c>
      <c r="M474" s="133" t="str">
        <f>IF($A474&lt;&gt;0,VLOOKUP($A474,'0.Productos'!$A$3:$GG$587,'0.Productos'!BE$1+1,0),"")</f>
        <v/>
      </c>
      <c r="N474" s="133" t="str">
        <f>IF($A474&lt;&gt;0,VLOOKUP($A474,'0.Productos'!$A$3:$GG$587,'0.Productos'!BF$1+1,0),"")</f>
        <v/>
      </c>
      <c r="O474" s="133" t="str">
        <f>IF($A474&lt;&gt;0,VLOOKUP($A474,'0.Productos'!$A$3:$GG$587,'0.Productos'!BG$1+1,0),"")</f>
        <v/>
      </c>
      <c r="P474" s="133" t="str">
        <f>IF($A474&lt;&gt;0,VLOOKUP($A474,'0.Productos'!$A$3:$GG$587,'0.Productos'!BH$1+1,0),"")</f>
        <v/>
      </c>
      <c r="Q474" s="133" t="str">
        <f>IF($A474&lt;&gt;0,VLOOKUP($A474,'0.Productos'!$A$3:$GG$587,'0.Productos'!BI$1+1,0),"")</f>
        <v/>
      </c>
      <c r="R474" s="133" t="str">
        <f>IF($A474&lt;&gt;0,VLOOKUP($A474,'0.Productos'!$A$3:$GG$587,'0.Productos'!BJ$1+1,0),"")</f>
        <v/>
      </c>
      <c r="S474" s="133" t="str">
        <f>IF($A474&lt;&gt;0,VLOOKUP($A474,'0.Productos'!$A$3:$GG$587,'0.Productos'!BK$1+1,0),"")</f>
        <v/>
      </c>
      <c r="T474" s="133" t="str">
        <f>IF($A474&lt;&gt;0,VLOOKUP($A474,'0.Productos'!$A$3:$GG$587,'0.Productos'!BL$1+1,0),"")</f>
        <v/>
      </c>
      <c r="U474" s="133" t="str">
        <f>IF($A474&lt;&gt;0,VLOOKUP($A474,'0.Productos'!$A$3:$GG$587,'0.Productos'!BM$1+1,0),"")</f>
        <v/>
      </c>
      <c r="V474" s="133" t="str">
        <f>IF($A474&lt;&gt;0,VLOOKUP($A474,'0.Productos'!$A$3:$GG$587,'0.Productos'!BN$1+1,0),"")</f>
        <v/>
      </c>
      <c r="W474" s="133" t="str">
        <f>IF($A474&lt;&gt;0,VLOOKUP($A474,'0.Productos'!$A$3:$GG$587,'0.Productos'!BO$1+1,0),"")</f>
        <v/>
      </c>
      <c r="X474" s="133" t="str">
        <f>IF($A474&lt;&gt;0,VLOOKUP($A474,'0.Productos'!$A$3:$GG$587,'0.Productos'!BP$1+1,0),"")</f>
        <v/>
      </c>
      <c r="Y474" s="133" t="str">
        <f>IF($A474&lt;&gt;0,VLOOKUP($A474,'0.Productos'!$A$3:$GG$587,'0.Productos'!BQ$1+1,0),"")</f>
        <v/>
      </c>
      <c r="Z474" s="133" t="str">
        <f>IF($A474&lt;&gt;0,VLOOKUP($A474,'0.Productos'!$A$3:$GG$587,'0.Productos'!BR$1+1,0),"")</f>
        <v/>
      </c>
      <c r="AA474" s="133" t="str">
        <f>IF($A474&lt;&gt;0,VLOOKUP($A474,'0.Productos'!$A$3:$GG$587,'0.Productos'!BS$1+1,0),"")</f>
        <v/>
      </c>
      <c r="AB474" s="133" t="str">
        <f>IF($A474&lt;&gt;0,VLOOKUP($A474,'0.Productos'!$A$3:$GG$587,'0.Productos'!BT$1+1,0),"")</f>
        <v/>
      </c>
      <c r="AC474" s="133" t="str">
        <f>IF($A474&lt;&gt;0,VLOOKUP($A474,'0.Productos'!$A$3:$GG$587,'0.Productos'!BU$1+1,0),"")</f>
        <v/>
      </c>
      <c r="AD474" s="133" t="str">
        <f>IF($A474&lt;&gt;0,VLOOKUP($A474,'0.Productos'!$A$3:$GG$587,'0.Productos'!BV$1+1,0),"")</f>
        <v/>
      </c>
      <c r="AE474" s="133" t="str">
        <f>IF($A474&lt;&gt;0,VLOOKUP($A474,'0.Productos'!$A$3:$GG$587,'0.Productos'!BW$1+1,0),"")</f>
        <v/>
      </c>
      <c r="AF474" s="133" t="str">
        <f>IF($A474&lt;&gt;0,VLOOKUP($A474,'0.Productos'!$A$3:$GG$587,'0.Productos'!BX$1+1,0),"")</f>
        <v/>
      </c>
      <c r="AG474" s="133" t="str">
        <f>IF($A474&lt;&gt;0,VLOOKUP($A474,'0.Productos'!$A$3:$GG$587,'0.Productos'!BY$1+1,0),"")</f>
        <v/>
      </c>
      <c r="AH474" s="133" t="str">
        <f>IF($A474&lt;&gt;0,VLOOKUP($A474,'0.Productos'!$A$3:$GG$587,'0.Productos'!BZ$1+1,0),"")</f>
        <v/>
      </c>
      <c r="AI474" s="133" t="str">
        <f>IF($A474&lt;&gt;0,VLOOKUP($A474,'0.Productos'!$A$3:$GG$587,'0.Productos'!CA$1+1,0),"")</f>
        <v/>
      </c>
      <c r="AJ474" s="133" t="str">
        <f>IF($A474&lt;&gt;0,VLOOKUP($A474,'0.Productos'!$A$3:$GG$587,'0.Productos'!CB$1+1,0),"")</f>
        <v/>
      </c>
      <c r="AK474" s="133" t="str">
        <f>IF($A474&lt;&gt;0,VLOOKUP($A474,'0.Productos'!$A$3:$GG$587,'0.Productos'!CC$1+1,0),"")</f>
        <v/>
      </c>
      <c r="AL474" s="133" t="str">
        <f>IF($A474&lt;&gt;0,VLOOKUP($A474,'0.Productos'!$A$3:$GG$587,'0.Productos'!CD$1+1,0),"")</f>
        <v/>
      </c>
      <c r="AM474" s="133" t="str">
        <f>IF($A474&lt;&gt;0,VLOOKUP($A474,'0.Productos'!$A$3:$GG$587,'0.Productos'!CE$1+1,0),"")</f>
        <v/>
      </c>
      <c r="AN474" s="133" t="str">
        <f>IF($A474&lt;&gt;0,VLOOKUP($A474,'0.Productos'!$A$3:$GG$587,'0.Productos'!CF$1+1,0),"")</f>
        <v/>
      </c>
      <c r="AO474" s="133" t="str">
        <f>IF($A474&lt;&gt;0,VLOOKUP($A474,'0.Productos'!$A$3:$GG$587,'0.Productos'!CG$1+1,0),"")</f>
        <v/>
      </c>
      <c r="AP474" s="133" t="str">
        <f>IF($A474&lt;&gt;0,VLOOKUP($A474,'0.Productos'!$A$3:$GG$587,'0.Productos'!CH$1+1,0),"")</f>
        <v/>
      </c>
      <c r="AQ474" s="133" t="str">
        <f>IF($A474&lt;&gt;0,VLOOKUP($A474,'0.Productos'!$A$3:$GG$587,'0.Productos'!CI$1+1,0),"")</f>
        <v/>
      </c>
      <c r="AR474" s="133" t="str">
        <f>IF($A474&lt;&gt;0,VLOOKUP($A474,'0.Productos'!$A$3:$GG$587,'0.Productos'!CJ$1+1,0),"")</f>
        <v/>
      </c>
      <c r="AS474" s="133" t="str">
        <f>IF($A474&lt;&gt;0,VLOOKUP($A474,'0.Productos'!$A$3:$GG$587,'0.Productos'!CK$1+1,0),"")</f>
        <v/>
      </c>
      <c r="AT474" s="133" t="str">
        <f>IF($A474&lt;&gt;0,VLOOKUP($A474,'0.Productos'!$A$3:$GG$587,'0.Productos'!CL$1+1,0),"")</f>
        <v/>
      </c>
      <c r="AU474" s="133" t="str">
        <f>IF($A474&lt;&gt;0,VLOOKUP($A474,'0.Productos'!$A$3:$GG$587,'0.Productos'!CM$1+1,0),"")</f>
        <v/>
      </c>
      <c r="AV474" s="133" t="str">
        <f>IF($A474&lt;&gt;0,VLOOKUP($A474,'0.Productos'!$A$3:$GG$587,'0.Productos'!CN$1+1,0),"")</f>
        <v/>
      </c>
      <c r="AW474" s="133" t="str">
        <f>IF($A474&lt;&gt;0,VLOOKUP($A474,'0.Productos'!$A$3:$GG$587,'0.Productos'!CO$1+1,0),"")</f>
        <v/>
      </c>
      <c r="AX474" s="133" t="str">
        <f>IF($A474&lt;&gt;0,VLOOKUP($A474,'0.Productos'!$A$3:$GG$587,'0.Productos'!CP$1+1,0),"")</f>
        <v/>
      </c>
      <c r="AY474" s="133" t="str">
        <f>IF($A474&lt;&gt;0,VLOOKUP($A474,'0.Productos'!$A$3:$GG$587,'0.Productos'!CQ$1+1,0),"")</f>
        <v/>
      </c>
      <c r="AZ474" s="133" t="str">
        <f>IF($A474&lt;&gt;0,VLOOKUP($A474,'0.Productos'!$A$3:$GG$587,'0.Productos'!CR$1+1,0),"")</f>
        <v/>
      </c>
      <c r="BA474" s="133" t="str">
        <f>IF($A474&lt;&gt;0,VLOOKUP($A474,'0.Productos'!$A$3:$GG$587,'0.Productos'!CS$1+1,0),"")</f>
        <v/>
      </c>
      <c r="BB474" s="133" t="str">
        <f>IF($A474&lt;&gt;0,VLOOKUP($A474,'0.Productos'!$A$3:$GG$587,'0.Productos'!CT$1+1,0),"")</f>
        <v/>
      </c>
      <c r="BC474" s="133" t="str">
        <f>IF($A474&lt;&gt;0,VLOOKUP($A474,'0.Productos'!$A$3:$GG$587,'0.Productos'!CU$1+1,0),"")</f>
        <v/>
      </c>
      <c r="BD474" s="133" t="str">
        <f>IF($A474&lt;&gt;0,VLOOKUP($A474,'0.Productos'!$A$3:$GG$587,'0.Productos'!CV$1+1,0),"")</f>
        <v/>
      </c>
      <c r="BE474" s="133" t="str">
        <f>IF($A474&lt;&gt;0,VLOOKUP($A474,'0.Productos'!$A$3:$GG$587,'0.Productos'!CW$1+1,0),"")</f>
        <v/>
      </c>
      <c r="BF474" s="133" t="str">
        <f>IF($A474&lt;&gt;0,VLOOKUP($A474,'0.Productos'!$A$3:$GG$587,'0.Productos'!CX$1+1,0),"")</f>
        <v/>
      </c>
      <c r="BG474" s="133" t="str">
        <f>IF($A474&lt;&gt;0,VLOOKUP($A474,'0.Productos'!$A$3:$GG$587,'0.Productos'!CY$1+1,0),"")</f>
        <v/>
      </c>
      <c r="BH474" s="133" t="str">
        <f>IF($A474&lt;&gt;0,VLOOKUP($A474,'0.Productos'!$A$3:$GG$587,'0.Productos'!CZ$1+1,0),"")</f>
        <v/>
      </c>
      <c r="BI474" s="133" t="str">
        <f>IF($A474&lt;&gt;0,VLOOKUP($A474,'0.Productos'!$A$3:$GG$587,'0.Productos'!DA$1+1,0),"")</f>
        <v/>
      </c>
      <c r="BJ474" s="133" t="str">
        <f>IF($A474&lt;&gt;0,VLOOKUP($A474,'0.Productos'!$A$3:$GG$587,'0.Productos'!DB$1+1,0),"")</f>
        <v/>
      </c>
      <c r="BK474" s="133" t="str">
        <f>IF($A474&lt;&gt;0,VLOOKUP($A474,'0.Productos'!$A$3:$GG$587,'0.Productos'!DC$1+1,0),"")</f>
        <v/>
      </c>
      <c r="BL474" s="133" t="str">
        <f>IF($A474&lt;&gt;0,VLOOKUP($A474,'0.Productos'!$A$3:$GG$587,'0.Productos'!DD$1+1,0),"")</f>
        <v/>
      </c>
      <c r="BM474" s="133" t="str">
        <f>IF($A474&lt;&gt;0,VLOOKUP($A474,'0.Productos'!$A$3:$GG$587,'0.Productos'!DE$1+1,0),"")</f>
        <v/>
      </c>
      <c r="BN474" s="133" t="str">
        <f>IF($A474&lt;&gt;0,VLOOKUP($A474,'0.Productos'!$A$3:$GG$587,'0.Productos'!DF$1+1,0),"")</f>
        <v/>
      </c>
      <c r="BO474" s="133" t="str">
        <f>IF($A474&lt;&gt;0,VLOOKUP($A474,'0.Productos'!$A$3:$GG$587,'0.Productos'!DG$1+1,0),"")</f>
        <v/>
      </c>
      <c r="BP474" s="133" t="str">
        <f>IF($A474&lt;&gt;0,VLOOKUP($A474,'0.Productos'!$A$3:$GG$587,'0.Productos'!DH$1+1,0),"")</f>
        <v/>
      </c>
      <c r="BQ474" s="133" t="str">
        <f>IF($A474&lt;&gt;0,VLOOKUP($A474,'0.Productos'!$A$3:$GG$587,'0.Productos'!DI$1+1,0),"")</f>
        <v/>
      </c>
      <c r="BR474" s="133" t="str">
        <f>IF($A474&lt;&gt;0,VLOOKUP($A474,'0.Productos'!$A$3:$GG$587,'0.Productos'!DJ$1+1,0),"")</f>
        <v/>
      </c>
      <c r="BS474" s="133" t="str">
        <f>IF($A474&lt;&gt;0,VLOOKUP($A474,'0.Productos'!$A$3:$GG$587,'0.Productos'!DK$1+1,0),"")</f>
        <v/>
      </c>
      <c r="BT474" s="133" t="str">
        <f>IF($A474&lt;&gt;0,VLOOKUP($A474,'0.Productos'!$A$3:$GG$587,'0.Productos'!DL$1+1,0),"")</f>
        <v/>
      </c>
    </row>
    <row r="475" spans="1:72" x14ac:dyDescent="0.25">
      <c r="A475" s="17">
        <f>'0.Consolidado general'!A475</f>
        <v>0</v>
      </c>
      <c r="B475" s="133" t="str">
        <f>IF($A475&lt;&gt;0,VLOOKUP($A475,'0.Productos'!$A$3:$GG$587,'0.Productos'!AT$1+1,0),"")</f>
        <v/>
      </c>
      <c r="C475" s="133" t="str">
        <f>IF($A475&lt;&gt;0,VLOOKUP($A475,'0.Productos'!$A$3:$GG$587,'0.Productos'!AU$1+1,0),"")</f>
        <v/>
      </c>
      <c r="D475" s="133" t="str">
        <f>IF($A475&lt;&gt;0,VLOOKUP($A475,'0.Productos'!$A$3:$GG$587,'0.Productos'!AV$1+1,0),"")</f>
        <v/>
      </c>
      <c r="E475" s="133" t="str">
        <f>IF($A475&lt;&gt;0,VLOOKUP($A475,'0.Productos'!$A$3:$GG$587,'0.Productos'!AW$1+1,0),"")</f>
        <v/>
      </c>
      <c r="F475" s="133" t="str">
        <f>IF($A475&lt;&gt;0,VLOOKUP($A475,'0.Productos'!$A$3:$GG$587,'0.Productos'!AX$1+1,0),"")</f>
        <v/>
      </c>
      <c r="G475" s="133" t="str">
        <f>IF($A475&lt;&gt;0,VLOOKUP($A475,'0.Productos'!$A$3:$GG$587,'0.Productos'!AY$1+1,0),"")</f>
        <v/>
      </c>
      <c r="H475" s="133" t="str">
        <f>IF($A475&lt;&gt;0,VLOOKUP($A475,'0.Productos'!$A$3:$GG$587,'0.Productos'!AZ$1+1,0),"")</f>
        <v/>
      </c>
      <c r="I475" s="133" t="str">
        <f>IF($A475&lt;&gt;0,VLOOKUP($A475,'0.Productos'!$A$3:$GG$587,'0.Productos'!BA$1+1,0),"")</f>
        <v/>
      </c>
      <c r="J475" s="133" t="str">
        <f>IF($A475&lt;&gt;0,VLOOKUP($A475,'0.Productos'!$A$3:$GG$587,'0.Productos'!BB$1+1,0),"")</f>
        <v/>
      </c>
      <c r="K475" s="133" t="str">
        <f>IF($A475&lt;&gt;0,VLOOKUP($A475,'0.Productos'!$A$3:$GG$587,'0.Productos'!BC$1+1,0),"")</f>
        <v/>
      </c>
      <c r="L475" s="133" t="str">
        <f>IF($A475&lt;&gt;0,VLOOKUP($A475,'0.Productos'!$A$3:$GG$587,'0.Productos'!BD$1+1,0),"")</f>
        <v/>
      </c>
      <c r="M475" s="133" t="str">
        <f>IF($A475&lt;&gt;0,VLOOKUP($A475,'0.Productos'!$A$3:$GG$587,'0.Productos'!BE$1+1,0),"")</f>
        <v/>
      </c>
      <c r="N475" s="133" t="str">
        <f>IF($A475&lt;&gt;0,VLOOKUP($A475,'0.Productos'!$A$3:$GG$587,'0.Productos'!BF$1+1,0),"")</f>
        <v/>
      </c>
      <c r="O475" s="133" t="str">
        <f>IF($A475&lt;&gt;0,VLOOKUP($A475,'0.Productos'!$A$3:$GG$587,'0.Productos'!BG$1+1,0),"")</f>
        <v/>
      </c>
      <c r="P475" s="133" t="str">
        <f>IF($A475&lt;&gt;0,VLOOKUP($A475,'0.Productos'!$A$3:$GG$587,'0.Productos'!BH$1+1,0),"")</f>
        <v/>
      </c>
      <c r="Q475" s="133" t="str">
        <f>IF($A475&lt;&gt;0,VLOOKUP($A475,'0.Productos'!$A$3:$GG$587,'0.Productos'!BI$1+1,0),"")</f>
        <v/>
      </c>
      <c r="R475" s="133" t="str">
        <f>IF($A475&lt;&gt;0,VLOOKUP($A475,'0.Productos'!$A$3:$GG$587,'0.Productos'!BJ$1+1,0),"")</f>
        <v/>
      </c>
      <c r="S475" s="133" t="str">
        <f>IF($A475&lt;&gt;0,VLOOKUP($A475,'0.Productos'!$A$3:$GG$587,'0.Productos'!BK$1+1,0),"")</f>
        <v/>
      </c>
      <c r="T475" s="133" t="str">
        <f>IF($A475&lt;&gt;0,VLOOKUP($A475,'0.Productos'!$A$3:$GG$587,'0.Productos'!BL$1+1,0),"")</f>
        <v/>
      </c>
      <c r="U475" s="133" t="str">
        <f>IF($A475&lt;&gt;0,VLOOKUP($A475,'0.Productos'!$A$3:$GG$587,'0.Productos'!BM$1+1,0),"")</f>
        <v/>
      </c>
      <c r="V475" s="133" t="str">
        <f>IF($A475&lt;&gt;0,VLOOKUP($A475,'0.Productos'!$A$3:$GG$587,'0.Productos'!BN$1+1,0),"")</f>
        <v/>
      </c>
      <c r="W475" s="133" t="str">
        <f>IF($A475&lt;&gt;0,VLOOKUP($A475,'0.Productos'!$A$3:$GG$587,'0.Productos'!BO$1+1,0),"")</f>
        <v/>
      </c>
      <c r="X475" s="133" t="str">
        <f>IF($A475&lt;&gt;0,VLOOKUP($A475,'0.Productos'!$A$3:$GG$587,'0.Productos'!BP$1+1,0),"")</f>
        <v/>
      </c>
      <c r="Y475" s="133" t="str">
        <f>IF($A475&lt;&gt;0,VLOOKUP($A475,'0.Productos'!$A$3:$GG$587,'0.Productos'!BQ$1+1,0),"")</f>
        <v/>
      </c>
      <c r="Z475" s="133" t="str">
        <f>IF($A475&lt;&gt;0,VLOOKUP($A475,'0.Productos'!$A$3:$GG$587,'0.Productos'!BR$1+1,0),"")</f>
        <v/>
      </c>
      <c r="AA475" s="133" t="str">
        <f>IF($A475&lt;&gt;0,VLOOKUP($A475,'0.Productos'!$A$3:$GG$587,'0.Productos'!BS$1+1,0),"")</f>
        <v/>
      </c>
      <c r="AB475" s="133" t="str">
        <f>IF($A475&lt;&gt;0,VLOOKUP($A475,'0.Productos'!$A$3:$GG$587,'0.Productos'!BT$1+1,0),"")</f>
        <v/>
      </c>
      <c r="AC475" s="133" t="str">
        <f>IF($A475&lt;&gt;0,VLOOKUP($A475,'0.Productos'!$A$3:$GG$587,'0.Productos'!BU$1+1,0),"")</f>
        <v/>
      </c>
      <c r="AD475" s="133" t="str">
        <f>IF($A475&lt;&gt;0,VLOOKUP($A475,'0.Productos'!$A$3:$GG$587,'0.Productos'!BV$1+1,0),"")</f>
        <v/>
      </c>
      <c r="AE475" s="133" t="str">
        <f>IF($A475&lt;&gt;0,VLOOKUP($A475,'0.Productos'!$A$3:$GG$587,'0.Productos'!BW$1+1,0),"")</f>
        <v/>
      </c>
      <c r="AF475" s="133" t="str">
        <f>IF($A475&lt;&gt;0,VLOOKUP($A475,'0.Productos'!$A$3:$GG$587,'0.Productos'!BX$1+1,0),"")</f>
        <v/>
      </c>
      <c r="AG475" s="133" t="str">
        <f>IF($A475&lt;&gt;0,VLOOKUP($A475,'0.Productos'!$A$3:$GG$587,'0.Productos'!BY$1+1,0),"")</f>
        <v/>
      </c>
      <c r="AH475" s="133" t="str">
        <f>IF($A475&lt;&gt;0,VLOOKUP($A475,'0.Productos'!$A$3:$GG$587,'0.Productos'!BZ$1+1,0),"")</f>
        <v/>
      </c>
      <c r="AI475" s="133" t="str">
        <f>IF($A475&lt;&gt;0,VLOOKUP($A475,'0.Productos'!$A$3:$GG$587,'0.Productos'!CA$1+1,0),"")</f>
        <v/>
      </c>
      <c r="AJ475" s="133" t="str">
        <f>IF($A475&lt;&gt;0,VLOOKUP($A475,'0.Productos'!$A$3:$GG$587,'0.Productos'!CB$1+1,0),"")</f>
        <v/>
      </c>
      <c r="AK475" s="133" t="str">
        <f>IF($A475&lt;&gt;0,VLOOKUP($A475,'0.Productos'!$A$3:$GG$587,'0.Productos'!CC$1+1,0),"")</f>
        <v/>
      </c>
      <c r="AL475" s="133" t="str">
        <f>IF($A475&lt;&gt;0,VLOOKUP($A475,'0.Productos'!$A$3:$GG$587,'0.Productos'!CD$1+1,0),"")</f>
        <v/>
      </c>
      <c r="AM475" s="133" t="str">
        <f>IF($A475&lt;&gt;0,VLOOKUP($A475,'0.Productos'!$A$3:$GG$587,'0.Productos'!CE$1+1,0),"")</f>
        <v/>
      </c>
      <c r="AN475" s="133" t="str">
        <f>IF($A475&lt;&gt;0,VLOOKUP($A475,'0.Productos'!$A$3:$GG$587,'0.Productos'!CF$1+1,0),"")</f>
        <v/>
      </c>
      <c r="AO475" s="133" t="str">
        <f>IF($A475&lt;&gt;0,VLOOKUP($A475,'0.Productos'!$A$3:$GG$587,'0.Productos'!CG$1+1,0),"")</f>
        <v/>
      </c>
      <c r="AP475" s="133" t="str">
        <f>IF($A475&lt;&gt;0,VLOOKUP($A475,'0.Productos'!$A$3:$GG$587,'0.Productos'!CH$1+1,0),"")</f>
        <v/>
      </c>
      <c r="AQ475" s="133" t="str">
        <f>IF($A475&lt;&gt;0,VLOOKUP($A475,'0.Productos'!$A$3:$GG$587,'0.Productos'!CI$1+1,0),"")</f>
        <v/>
      </c>
      <c r="AR475" s="133" t="str">
        <f>IF($A475&lt;&gt;0,VLOOKUP($A475,'0.Productos'!$A$3:$GG$587,'0.Productos'!CJ$1+1,0),"")</f>
        <v/>
      </c>
      <c r="AS475" s="133" t="str">
        <f>IF($A475&lt;&gt;0,VLOOKUP($A475,'0.Productos'!$A$3:$GG$587,'0.Productos'!CK$1+1,0),"")</f>
        <v/>
      </c>
      <c r="AT475" s="133" t="str">
        <f>IF($A475&lt;&gt;0,VLOOKUP($A475,'0.Productos'!$A$3:$GG$587,'0.Productos'!CL$1+1,0),"")</f>
        <v/>
      </c>
      <c r="AU475" s="133" t="str">
        <f>IF($A475&lt;&gt;0,VLOOKUP($A475,'0.Productos'!$A$3:$GG$587,'0.Productos'!CM$1+1,0),"")</f>
        <v/>
      </c>
      <c r="AV475" s="133" t="str">
        <f>IF($A475&lt;&gt;0,VLOOKUP($A475,'0.Productos'!$A$3:$GG$587,'0.Productos'!CN$1+1,0),"")</f>
        <v/>
      </c>
      <c r="AW475" s="133" t="str">
        <f>IF($A475&lt;&gt;0,VLOOKUP($A475,'0.Productos'!$A$3:$GG$587,'0.Productos'!CO$1+1,0),"")</f>
        <v/>
      </c>
      <c r="AX475" s="133" t="str">
        <f>IF($A475&lt;&gt;0,VLOOKUP($A475,'0.Productos'!$A$3:$GG$587,'0.Productos'!CP$1+1,0),"")</f>
        <v/>
      </c>
      <c r="AY475" s="133" t="str">
        <f>IF($A475&lt;&gt;0,VLOOKUP($A475,'0.Productos'!$A$3:$GG$587,'0.Productos'!CQ$1+1,0),"")</f>
        <v/>
      </c>
      <c r="AZ475" s="133" t="str">
        <f>IF($A475&lt;&gt;0,VLOOKUP($A475,'0.Productos'!$A$3:$GG$587,'0.Productos'!CR$1+1,0),"")</f>
        <v/>
      </c>
      <c r="BA475" s="133" t="str">
        <f>IF($A475&lt;&gt;0,VLOOKUP($A475,'0.Productos'!$A$3:$GG$587,'0.Productos'!CS$1+1,0),"")</f>
        <v/>
      </c>
      <c r="BB475" s="133" t="str">
        <f>IF($A475&lt;&gt;0,VLOOKUP($A475,'0.Productos'!$A$3:$GG$587,'0.Productos'!CT$1+1,0),"")</f>
        <v/>
      </c>
      <c r="BC475" s="133" t="str">
        <f>IF($A475&lt;&gt;0,VLOOKUP($A475,'0.Productos'!$A$3:$GG$587,'0.Productos'!CU$1+1,0),"")</f>
        <v/>
      </c>
      <c r="BD475" s="133" t="str">
        <f>IF($A475&lt;&gt;0,VLOOKUP($A475,'0.Productos'!$A$3:$GG$587,'0.Productos'!CV$1+1,0),"")</f>
        <v/>
      </c>
      <c r="BE475" s="133" t="str">
        <f>IF($A475&lt;&gt;0,VLOOKUP($A475,'0.Productos'!$A$3:$GG$587,'0.Productos'!CW$1+1,0),"")</f>
        <v/>
      </c>
      <c r="BF475" s="133" t="str">
        <f>IF($A475&lt;&gt;0,VLOOKUP($A475,'0.Productos'!$A$3:$GG$587,'0.Productos'!CX$1+1,0),"")</f>
        <v/>
      </c>
      <c r="BG475" s="133" t="str">
        <f>IF($A475&lt;&gt;0,VLOOKUP($A475,'0.Productos'!$A$3:$GG$587,'0.Productos'!CY$1+1,0),"")</f>
        <v/>
      </c>
      <c r="BH475" s="133" t="str">
        <f>IF($A475&lt;&gt;0,VLOOKUP($A475,'0.Productos'!$A$3:$GG$587,'0.Productos'!CZ$1+1,0),"")</f>
        <v/>
      </c>
      <c r="BI475" s="133" t="str">
        <f>IF($A475&lt;&gt;0,VLOOKUP($A475,'0.Productos'!$A$3:$GG$587,'0.Productos'!DA$1+1,0),"")</f>
        <v/>
      </c>
      <c r="BJ475" s="133" t="str">
        <f>IF($A475&lt;&gt;0,VLOOKUP($A475,'0.Productos'!$A$3:$GG$587,'0.Productos'!DB$1+1,0),"")</f>
        <v/>
      </c>
      <c r="BK475" s="133" t="str">
        <f>IF($A475&lt;&gt;0,VLOOKUP($A475,'0.Productos'!$A$3:$GG$587,'0.Productos'!DC$1+1,0),"")</f>
        <v/>
      </c>
      <c r="BL475" s="133" t="str">
        <f>IF($A475&lt;&gt;0,VLOOKUP($A475,'0.Productos'!$A$3:$GG$587,'0.Productos'!DD$1+1,0),"")</f>
        <v/>
      </c>
      <c r="BM475" s="133" t="str">
        <f>IF($A475&lt;&gt;0,VLOOKUP($A475,'0.Productos'!$A$3:$GG$587,'0.Productos'!DE$1+1,0),"")</f>
        <v/>
      </c>
      <c r="BN475" s="133" t="str">
        <f>IF($A475&lt;&gt;0,VLOOKUP($A475,'0.Productos'!$A$3:$GG$587,'0.Productos'!DF$1+1,0),"")</f>
        <v/>
      </c>
      <c r="BO475" s="133" t="str">
        <f>IF($A475&lt;&gt;0,VLOOKUP($A475,'0.Productos'!$A$3:$GG$587,'0.Productos'!DG$1+1,0),"")</f>
        <v/>
      </c>
      <c r="BP475" s="133" t="str">
        <f>IF($A475&lt;&gt;0,VLOOKUP($A475,'0.Productos'!$A$3:$GG$587,'0.Productos'!DH$1+1,0),"")</f>
        <v/>
      </c>
      <c r="BQ475" s="133" t="str">
        <f>IF($A475&lt;&gt;0,VLOOKUP($A475,'0.Productos'!$A$3:$GG$587,'0.Productos'!DI$1+1,0),"")</f>
        <v/>
      </c>
      <c r="BR475" s="133" t="str">
        <f>IF($A475&lt;&gt;0,VLOOKUP($A475,'0.Productos'!$A$3:$GG$587,'0.Productos'!DJ$1+1,0),"")</f>
        <v/>
      </c>
      <c r="BS475" s="133" t="str">
        <f>IF($A475&lt;&gt;0,VLOOKUP($A475,'0.Productos'!$A$3:$GG$587,'0.Productos'!DK$1+1,0),"")</f>
        <v/>
      </c>
      <c r="BT475" s="133" t="str">
        <f>IF($A475&lt;&gt;0,VLOOKUP($A475,'0.Productos'!$A$3:$GG$587,'0.Productos'!DL$1+1,0),"")</f>
        <v/>
      </c>
    </row>
    <row r="476" spans="1:72" x14ac:dyDescent="0.25">
      <c r="A476" s="17">
        <f>'0.Consolidado general'!A476</f>
        <v>0</v>
      </c>
      <c r="B476" s="133" t="str">
        <f>IF($A476&lt;&gt;0,VLOOKUP($A476,'0.Productos'!$A$3:$GG$587,'0.Productos'!AT$1+1,0),"")</f>
        <v/>
      </c>
      <c r="C476" s="133" t="str">
        <f>IF($A476&lt;&gt;0,VLOOKUP($A476,'0.Productos'!$A$3:$GG$587,'0.Productos'!AU$1+1,0),"")</f>
        <v/>
      </c>
      <c r="D476" s="133" t="str">
        <f>IF($A476&lt;&gt;0,VLOOKUP($A476,'0.Productos'!$A$3:$GG$587,'0.Productos'!AV$1+1,0),"")</f>
        <v/>
      </c>
      <c r="E476" s="133" t="str">
        <f>IF($A476&lt;&gt;0,VLOOKUP($A476,'0.Productos'!$A$3:$GG$587,'0.Productos'!AW$1+1,0),"")</f>
        <v/>
      </c>
      <c r="F476" s="133" t="str">
        <f>IF($A476&lt;&gt;0,VLOOKUP($A476,'0.Productos'!$A$3:$GG$587,'0.Productos'!AX$1+1,0),"")</f>
        <v/>
      </c>
      <c r="G476" s="133" t="str">
        <f>IF($A476&lt;&gt;0,VLOOKUP($A476,'0.Productos'!$A$3:$GG$587,'0.Productos'!AY$1+1,0),"")</f>
        <v/>
      </c>
      <c r="H476" s="133" t="str">
        <f>IF($A476&lt;&gt;0,VLOOKUP($A476,'0.Productos'!$A$3:$GG$587,'0.Productos'!AZ$1+1,0),"")</f>
        <v/>
      </c>
      <c r="I476" s="133" t="str">
        <f>IF($A476&lt;&gt;0,VLOOKUP($A476,'0.Productos'!$A$3:$GG$587,'0.Productos'!BA$1+1,0),"")</f>
        <v/>
      </c>
      <c r="J476" s="133" t="str">
        <f>IF($A476&lt;&gt;0,VLOOKUP($A476,'0.Productos'!$A$3:$GG$587,'0.Productos'!BB$1+1,0),"")</f>
        <v/>
      </c>
      <c r="K476" s="133" t="str">
        <f>IF($A476&lt;&gt;0,VLOOKUP($A476,'0.Productos'!$A$3:$GG$587,'0.Productos'!BC$1+1,0),"")</f>
        <v/>
      </c>
      <c r="L476" s="133" t="str">
        <f>IF($A476&lt;&gt;0,VLOOKUP($A476,'0.Productos'!$A$3:$GG$587,'0.Productos'!BD$1+1,0),"")</f>
        <v/>
      </c>
      <c r="M476" s="133" t="str">
        <f>IF($A476&lt;&gt;0,VLOOKUP($A476,'0.Productos'!$A$3:$GG$587,'0.Productos'!BE$1+1,0),"")</f>
        <v/>
      </c>
      <c r="N476" s="133" t="str">
        <f>IF($A476&lt;&gt;0,VLOOKUP($A476,'0.Productos'!$A$3:$GG$587,'0.Productos'!BF$1+1,0),"")</f>
        <v/>
      </c>
      <c r="O476" s="133" t="str">
        <f>IF($A476&lt;&gt;0,VLOOKUP($A476,'0.Productos'!$A$3:$GG$587,'0.Productos'!BG$1+1,0),"")</f>
        <v/>
      </c>
      <c r="P476" s="133" t="str">
        <f>IF($A476&lt;&gt;0,VLOOKUP($A476,'0.Productos'!$A$3:$GG$587,'0.Productos'!BH$1+1,0),"")</f>
        <v/>
      </c>
      <c r="Q476" s="133" t="str">
        <f>IF($A476&lt;&gt;0,VLOOKUP($A476,'0.Productos'!$A$3:$GG$587,'0.Productos'!BI$1+1,0),"")</f>
        <v/>
      </c>
      <c r="R476" s="133" t="str">
        <f>IF($A476&lt;&gt;0,VLOOKUP($A476,'0.Productos'!$A$3:$GG$587,'0.Productos'!BJ$1+1,0),"")</f>
        <v/>
      </c>
      <c r="S476" s="133" t="str">
        <f>IF($A476&lt;&gt;0,VLOOKUP($A476,'0.Productos'!$A$3:$GG$587,'0.Productos'!BK$1+1,0),"")</f>
        <v/>
      </c>
      <c r="T476" s="133" t="str">
        <f>IF($A476&lt;&gt;0,VLOOKUP($A476,'0.Productos'!$A$3:$GG$587,'0.Productos'!BL$1+1,0),"")</f>
        <v/>
      </c>
      <c r="U476" s="133" t="str">
        <f>IF($A476&lt;&gt;0,VLOOKUP($A476,'0.Productos'!$A$3:$GG$587,'0.Productos'!BM$1+1,0),"")</f>
        <v/>
      </c>
      <c r="V476" s="133" t="str">
        <f>IF($A476&lt;&gt;0,VLOOKUP($A476,'0.Productos'!$A$3:$GG$587,'0.Productos'!BN$1+1,0),"")</f>
        <v/>
      </c>
      <c r="W476" s="133" t="str">
        <f>IF($A476&lt;&gt;0,VLOOKUP($A476,'0.Productos'!$A$3:$GG$587,'0.Productos'!BO$1+1,0),"")</f>
        <v/>
      </c>
      <c r="X476" s="133" t="str">
        <f>IF($A476&lt;&gt;0,VLOOKUP($A476,'0.Productos'!$A$3:$GG$587,'0.Productos'!BP$1+1,0),"")</f>
        <v/>
      </c>
      <c r="Y476" s="133" t="str">
        <f>IF($A476&lt;&gt;0,VLOOKUP($A476,'0.Productos'!$A$3:$GG$587,'0.Productos'!BQ$1+1,0),"")</f>
        <v/>
      </c>
      <c r="Z476" s="133" t="str">
        <f>IF($A476&lt;&gt;0,VLOOKUP($A476,'0.Productos'!$A$3:$GG$587,'0.Productos'!BR$1+1,0),"")</f>
        <v/>
      </c>
      <c r="AA476" s="133" t="str">
        <f>IF($A476&lt;&gt;0,VLOOKUP($A476,'0.Productos'!$A$3:$GG$587,'0.Productos'!BS$1+1,0),"")</f>
        <v/>
      </c>
      <c r="AB476" s="133" t="str">
        <f>IF($A476&lt;&gt;0,VLOOKUP($A476,'0.Productos'!$A$3:$GG$587,'0.Productos'!BT$1+1,0),"")</f>
        <v/>
      </c>
      <c r="AC476" s="133" t="str">
        <f>IF($A476&lt;&gt;0,VLOOKUP($A476,'0.Productos'!$A$3:$GG$587,'0.Productos'!BU$1+1,0),"")</f>
        <v/>
      </c>
      <c r="AD476" s="133" t="str">
        <f>IF($A476&lt;&gt;0,VLOOKUP($A476,'0.Productos'!$A$3:$GG$587,'0.Productos'!BV$1+1,0),"")</f>
        <v/>
      </c>
      <c r="AE476" s="133" t="str">
        <f>IF($A476&lt;&gt;0,VLOOKUP($A476,'0.Productos'!$A$3:$GG$587,'0.Productos'!BW$1+1,0),"")</f>
        <v/>
      </c>
      <c r="AF476" s="133" t="str">
        <f>IF($A476&lt;&gt;0,VLOOKUP($A476,'0.Productos'!$A$3:$GG$587,'0.Productos'!BX$1+1,0),"")</f>
        <v/>
      </c>
      <c r="AG476" s="133" t="str">
        <f>IF($A476&lt;&gt;0,VLOOKUP($A476,'0.Productos'!$A$3:$GG$587,'0.Productos'!BY$1+1,0),"")</f>
        <v/>
      </c>
      <c r="AH476" s="133" t="str">
        <f>IF($A476&lt;&gt;0,VLOOKUP($A476,'0.Productos'!$A$3:$GG$587,'0.Productos'!BZ$1+1,0),"")</f>
        <v/>
      </c>
      <c r="AI476" s="133" t="str">
        <f>IF($A476&lt;&gt;0,VLOOKUP($A476,'0.Productos'!$A$3:$GG$587,'0.Productos'!CA$1+1,0),"")</f>
        <v/>
      </c>
      <c r="AJ476" s="133" t="str">
        <f>IF($A476&lt;&gt;0,VLOOKUP($A476,'0.Productos'!$A$3:$GG$587,'0.Productos'!CB$1+1,0),"")</f>
        <v/>
      </c>
      <c r="AK476" s="133" t="str">
        <f>IF($A476&lt;&gt;0,VLOOKUP($A476,'0.Productos'!$A$3:$GG$587,'0.Productos'!CC$1+1,0),"")</f>
        <v/>
      </c>
      <c r="AL476" s="133" t="str">
        <f>IF($A476&lt;&gt;0,VLOOKUP($A476,'0.Productos'!$A$3:$GG$587,'0.Productos'!CD$1+1,0),"")</f>
        <v/>
      </c>
      <c r="AM476" s="133" t="str">
        <f>IF($A476&lt;&gt;0,VLOOKUP($A476,'0.Productos'!$A$3:$GG$587,'0.Productos'!CE$1+1,0),"")</f>
        <v/>
      </c>
      <c r="AN476" s="133" t="str">
        <f>IF($A476&lt;&gt;0,VLOOKUP($A476,'0.Productos'!$A$3:$GG$587,'0.Productos'!CF$1+1,0),"")</f>
        <v/>
      </c>
      <c r="AO476" s="133" t="str">
        <f>IF($A476&lt;&gt;0,VLOOKUP($A476,'0.Productos'!$A$3:$GG$587,'0.Productos'!CG$1+1,0),"")</f>
        <v/>
      </c>
      <c r="AP476" s="133" t="str">
        <f>IF($A476&lt;&gt;0,VLOOKUP($A476,'0.Productos'!$A$3:$GG$587,'0.Productos'!CH$1+1,0),"")</f>
        <v/>
      </c>
      <c r="AQ476" s="133" t="str">
        <f>IF($A476&lt;&gt;0,VLOOKUP($A476,'0.Productos'!$A$3:$GG$587,'0.Productos'!CI$1+1,0),"")</f>
        <v/>
      </c>
      <c r="AR476" s="133" t="str">
        <f>IF($A476&lt;&gt;0,VLOOKUP($A476,'0.Productos'!$A$3:$GG$587,'0.Productos'!CJ$1+1,0),"")</f>
        <v/>
      </c>
      <c r="AS476" s="133" t="str">
        <f>IF($A476&lt;&gt;0,VLOOKUP($A476,'0.Productos'!$A$3:$GG$587,'0.Productos'!CK$1+1,0),"")</f>
        <v/>
      </c>
      <c r="AT476" s="133" t="str">
        <f>IF($A476&lt;&gt;0,VLOOKUP($A476,'0.Productos'!$A$3:$GG$587,'0.Productos'!CL$1+1,0),"")</f>
        <v/>
      </c>
      <c r="AU476" s="133" t="str">
        <f>IF($A476&lt;&gt;0,VLOOKUP($A476,'0.Productos'!$A$3:$GG$587,'0.Productos'!CM$1+1,0),"")</f>
        <v/>
      </c>
      <c r="AV476" s="133" t="str">
        <f>IF($A476&lt;&gt;0,VLOOKUP($A476,'0.Productos'!$A$3:$GG$587,'0.Productos'!CN$1+1,0),"")</f>
        <v/>
      </c>
      <c r="AW476" s="133" t="str">
        <f>IF($A476&lt;&gt;0,VLOOKUP($A476,'0.Productos'!$A$3:$GG$587,'0.Productos'!CO$1+1,0),"")</f>
        <v/>
      </c>
      <c r="AX476" s="133" t="str">
        <f>IF($A476&lt;&gt;0,VLOOKUP($A476,'0.Productos'!$A$3:$GG$587,'0.Productos'!CP$1+1,0),"")</f>
        <v/>
      </c>
      <c r="AY476" s="133" t="str">
        <f>IF($A476&lt;&gt;0,VLOOKUP($A476,'0.Productos'!$A$3:$GG$587,'0.Productos'!CQ$1+1,0),"")</f>
        <v/>
      </c>
      <c r="AZ476" s="133" t="str">
        <f>IF($A476&lt;&gt;0,VLOOKUP($A476,'0.Productos'!$A$3:$GG$587,'0.Productos'!CR$1+1,0),"")</f>
        <v/>
      </c>
      <c r="BA476" s="133" t="str">
        <f>IF($A476&lt;&gt;0,VLOOKUP($A476,'0.Productos'!$A$3:$GG$587,'0.Productos'!CS$1+1,0),"")</f>
        <v/>
      </c>
      <c r="BB476" s="133" t="str">
        <f>IF($A476&lt;&gt;0,VLOOKUP($A476,'0.Productos'!$A$3:$GG$587,'0.Productos'!CT$1+1,0),"")</f>
        <v/>
      </c>
      <c r="BC476" s="133" t="str">
        <f>IF($A476&lt;&gt;0,VLOOKUP($A476,'0.Productos'!$A$3:$GG$587,'0.Productos'!CU$1+1,0),"")</f>
        <v/>
      </c>
      <c r="BD476" s="133" t="str">
        <f>IF($A476&lt;&gt;0,VLOOKUP($A476,'0.Productos'!$A$3:$GG$587,'0.Productos'!CV$1+1,0),"")</f>
        <v/>
      </c>
      <c r="BE476" s="133" t="str">
        <f>IF($A476&lt;&gt;0,VLOOKUP($A476,'0.Productos'!$A$3:$GG$587,'0.Productos'!CW$1+1,0),"")</f>
        <v/>
      </c>
      <c r="BF476" s="133" t="str">
        <f>IF($A476&lt;&gt;0,VLOOKUP($A476,'0.Productos'!$A$3:$GG$587,'0.Productos'!CX$1+1,0),"")</f>
        <v/>
      </c>
      <c r="BG476" s="133" t="str">
        <f>IF($A476&lt;&gt;0,VLOOKUP($A476,'0.Productos'!$A$3:$GG$587,'0.Productos'!CY$1+1,0),"")</f>
        <v/>
      </c>
      <c r="BH476" s="133" t="str">
        <f>IF($A476&lt;&gt;0,VLOOKUP($A476,'0.Productos'!$A$3:$GG$587,'0.Productos'!CZ$1+1,0),"")</f>
        <v/>
      </c>
      <c r="BI476" s="133" t="str">
        <f>IF($A476&lt;&gt;0,VLOOKUP($A476,'0.Productos'!$A$3:$GG$587,'0.Productos'!DA$1+1,0),"")</f>
        <v/>
      </c>
      <c r="BJ476" s="133" t="str">
        <f>IF($A476&lt;&gt;0,VLOOKUP($A476,'0.Productos'!$A$3:$GG$587,'0.Productos'!DB$1+1,0),"")</f>
        <v/>
      </c>
      <c r="BK476" s="133" t="str">
        <f>IF($A476&lt;&gt;0,VLOOKUP($A476,'0.Productos'!$A$3:$GG$587,'0.Productos'!DC$1+1,0),"")</f>
        <v/>
      </c>
      <c r="BL476" s="133" t="str">
        <f>IF($A476&lt;&gt;0,VLOOKUP($A476,'0.Productos'!$A$3:$GG$587,'0.Productos'!DD$1+1,0),"")</f>
        <v/>
      </c>
      <c r="BM476" s="133" t="str">
        <f>IF($A476&lt;&gt;0,VLOOKUP($A476,'0.Productos'!$A$3:$GG$587,'0.Productos'!DE$1+1,0),"")</f>
        <v/>
      </c>
      <c r="BN476" s="133" t="str">
        <f>IF($A476&lt;&gt;0,VLOOKUP($A476,'0.Productos'!$A$3:$GG$587,'0.Productos'!DF$1+1,0),"")</f>
        <v/>
      </c>
      <c r="BO476" s="133" t="str">
        <f>IF($A476&lt;&gt;0,VLOOKUP($A476,'0.Productos'!$A$3:$GG$587,'0.Productos'!DG$1+1,0),"")</f>
        <v/>
      </c>
      <c r="BP476" s="133" t="str">
        <f>IF($A476&lt;&gt;0,VLOOKUP($A476,'0.Productos'!$A$3:$GG$587,'0.Productos'!DH$1+1,0),"")</f>
        <v/>
      </c>
      <c r="BQ476" s="133" t="str">
        <f>IF($A476&lt;&gt;0,VLOOKUP($A476,'0.Productos'!$A$3:$GG$587,'0.Productos'!DI$1+1,0),"")</f>
        <v/>
      </c>
      <c r="BR476" s="133" t="str">
        <f>IF($A476&lt;&gt;0,VLOOKUP($A476,'0.Productos'!$A$3:$GG$587,'0.Productos'!DJ$1+1,0),"")</f>
        <v/>
      </c>
      <c r="BS476" s="133" t="str">
        <f>IF($A476&lt;&gt;0,VLOOKUP($A476,'0.Productos'!$A$3:$GG$587,'0.Productos'!DK$1+1,0),"")</f>
        <v/>
      </c>
      <c r="BT476" s="133" t="str">
        <f>IF($A476&lt;&gt;0,VLOOKUP($A476,'0.Productos'!$A$3:$GG$587,'0.Productos'!DL$1+1,0),"")</f>
        <v/>
      </c>
    </row>
    <row r="477" spans="1:72" x14ac:dyDescent="0.25">
      <c r="A477" s="17">
        <f>'0.Consolidado general'!A477</f>
        <v>0</v>
      </c>
      <c r="B477" s="133" t="str">
        <f>IF($A477&lt;&gt;0,VLOOKUP($A477,'0.Productos'!$A$3:$GG$587,'0.Productos'!AT$1+1,0),"")</f>
        <v/>
      </c>
      <c r="C477" s="133" t="str">
        <f>IF($A477&lt;&gt;0,VLOOKUP($A477,'0.Productos'!$A$3:$GG$587,'0.Productos'!AU$1+1,0),"")</f>
        <v/>
      </c>
      <c r="D477" s="133" t="str">
        <f>IF($A477&lt;&gt;0,VLOOKUP($A477,'0.Productos'!$A$3:$GG$587,'0.Productos'!AV$1+1,0),"")</f>
        <v/>
      </c>
      <c r="E477" s="133" t="str">
        <f>IF($A477&lt;&gt;0,VLOOKUP($A477,'0.Productos'!$A$3:$GG$587,'0.Productos'!AW$1+1,0),"")</f>
        <v/>
      </c>
      <c r="F477" s="133" t="str">
        <f>IF($A477&lt;&gt;0,VLOOKUP($A477,'0.Productos'!$A$3:$GG$587,'0.Productos'!AX$1+1,0),"")</f>
        <v/>
      </c>
      <c r="G477" s="133" t="str">
        <f>IF($A477&lt;&gt;0,VLOOKUP($A477,'0.Productos'!$A$3:$GG$587,'0.Productos'!AY$1+1,0),"")</f>
        <v/>
      </c>
      <c r="H477" s="133" t="str">
        <f>IF($A477&lt;&gt;0,VLOOKUP($A477,'0.Productos'!$A$3:$GG$587,'0.Productos'!AZ$1+1,0),"")</f>
        <v/>
      </c>
      <c r="I477" s="133" t="str">
        <f>IF($A477&lt;&gt;0,VLOOKUP($A477,'0.Productos'!$A$3:$GG$587,'0.Productos'!BA$1+1,0),"")</f>
        <v/>
      </c>
      <c r="J477" s="133" t="str">
        <f>IF($A477&lt;&gt;0,VLOOKUP($A477,'0.Productos'!$A$3:$GG$587,'0.Productos'!BB$1+1,0),"")</f>
        <v/>
      </c>
      <c r="K477" s="133" t="str">
        <f>IF($A477&lt;&gt;0,VLOOKUP($A477,'0.Productos'!$A$3:$GG$587,'0.Productos'!BC$1+1,0),"")</f>
        <v/>
      </c>
      <c r="L477" s="133" t="str">
        <f>IF($A477&lt;&gt;0,VLOOKUP($A477,'0.Productos'!$A$3:$GG$587,'0.Productos'!BD$1+1,0),"")</f>
        <v/>
      </c>
      <c r="M477" s="133" t="str">
        <f>IF($A477&lt;&gt;0,VLOOKUP($A477,'0.Productos'!$A$3:$GG$587,'0.Productos'!BE$1+1,0),"")</f>
        <v/>
      </c>
      <c r="N477" s="133" t="str">
        <f>IF($A477&lt;&gt;0,VLOOKUP($A477,'0.Productos'!$A$3:$GG$587,'0.Productos'!BF$1+1,0),"")</f>
        <v/>
      </c>
      <c r="O477" s="133" t="str">
        <f>IF($A477&lt;&gt;0,VLOOKUP($A477,'0.Productos'!$A$3:$GG$587,'0.Productos'!BG$1+1,0),"")</f>
        <v/>
      </c>
      <c r="P477" s="133" t="str">
        <f>IF($A477&lt;&gt;0,VLOOKUP($A477,'0.Productos'!$A$3:$GG$587,'0.Productos'!BH$1+1,0),"")</f>
        <v/>
      </c>
      <c r="Q477" s="133" t="str">
        <f>IF($A477&lt;&gt;0,VLOOKUP($A477,'0.Productos'!$A$3:$GG$587,'0.Productos'!BI$1+1,0),"")</f>
        <v/>
      </c>
      <c r="R477" s="133" t="str">
        <f>IF($A477&lt;&gt;0,VLOOKUP($A477,'0.Productos'!$A$3:$GG$587,'0.Productos'!BJ$1+1,0),"")</f>
        <v/>
      </c>
      <c r="S477" s="133" t="str">
        <f>IF($A477&lt;&gt;0,VLOOKUP($A477,'0.Productos'!$A$3:$GG$587,'0.Productos'!BK$1+1,0),"")</f>
        <v/>
      </c>
      <c r="T477" s="133" t="str">
        <f>IF($A477&lt;&gt;0,VLOOKUP($A477,'0.Productos'!$A$3:$GG$587,'0.Productos'!BL$1+1,0),"")</f>
        <v/>
      </c>
      <c r="U477" s="133" t="str">
        <f>IF($A477&lt;&gt;0,VLOOKUP($A477,'0.Productos'!$A$3:$GG$587,'0.Productos'!BM$1+1,0),"")</f>
        <v/>
      </c>
      <c r="V477" s="133" t="str">
        <f>IF($A477&lt;&gt;0,VLOOKUP($A477,'0.Productos'!$A$3:$GG$587,'0.Productos'!BN$1+1,0),"")</f>
        <v/>
      </c>
      <c r="W477" s="133" t="str">
        <f>IF($A477&lt;&gt;0,VLOOKUP($A477,'0.Productos'!$A$3:$GG$587,'0.Productos'!BO$1+1,0),"")</f>
        <v/>
      </c>
      <c r="X477" s="133" t="str">
        <f>IF($A477&lt;&gt;0,VLOOKUP($A477,'0.Productos'!$A$3:$GG$587,'0.Productos'!BP$1+1,0),"")</f>
        <v/>
      </c>
      <c r="Y477" s="133" t="str">
        <f>IF($A477&lt;&gt;0,VLOOKUP($A477,'0.Productos'!$A$3:$GG$587,'0.Productos'!BQ$1+1,0),"")</f>
        <v/>
      </c>
      <c r="Z477" s="133" t="str">
        <f>IF($A477&lt;&gt;0,VLOOKUP($A477,'0.Productos'!$A$3:$GG$587,'0.Productos'!BR$1+1,0),"")</f>
        <v/>
      </c>
      <c r="AA477" s="133" t="str">
        <f>IF($A477&lt;&gt;0,VLOOKUP($A477,'0.Productos'!$A$3:$GG$587,'0.Productos'!BS$1+1,0),"")</f>
        <v/>
      </c>
      <c r="AB477" s="133" t="str">
        <f>IF($A477&lt;&gt;0,VLOOKUP($A477,'0.Productos'!$A$3:$GG$587,'0.Productos'!BT$1+1,0),"")</f>
        <v/>
      </c>
      <c r="AC477" s="133" t="str">
        <f>IF($A477&lt;&gt;0,VLOOKUP($A477,'0.Productos'!$A$3:$GG$587,'0.Productos'!BU$1+1,0),"")</f>
        <v/>
      </c>
      <c r="AD477" s="133" t="str">
        <f>IF($A477&lt;&gt;0,VLOOKUP($A477,'0.Productos'!$A$3:$GG$587,'0.Productos'!BV$1+1,0),"")</f>
        <v/>
      </c>
      <c r="AE477" s="133" t="str">
        <f>IF($A477&lt;&gt;0,VLOOKUP($A477,'0.Productos'!$A$3:$GG$587,'0.Productos'!BW$1+1,0),"")</f>
        <v/>
      </c>
      <c r="AF477" s="133" t="str">
        <f>IF($A477&lt;&gt;0,VLOOKUP($A477,'0.Productos'!$A$3:$GG$587,'0.Productos'!BX$1+1,0),"")</f>
        <v/>
      </c>
      <c r="AG477" s="133" t="str">
        <f>IF($A477&lt;&gt;0,VLOOKUP($A477,'0.Productos'!$A$3:$GG$587,'0.Productos'!BY$1+1,0),"")</f>
        <v/>
      </c>
      <c r="AH477" s="133" t="str">
        <f>IF($A477&lt;&gt;0,VLOOKUP($A477,'0.Productos'!$A$3:$GG$587,'0.Productos'!BZ$1+1,0),"")</f>
        <v/>
      </c>
      <c r="AI477" s="133" t="str">
        <f>IF($A477&lt;&gt;0,VLOOKUP($A477,'0.Productos'!$A$3:$GG$587,'0.Productos'!CA$1+1,0),"")</f>
        <v/>
      </c>
      <c r="AJ477" s="133" t="str">
        <f>IF($A477&lt;&gt;0,VLOOKUP($A477,'0.Productos'!$A$3:$GG$587,'0.Productos'!CB$1+1,0),"")</f>
        <v/>
      </c>
      <c r="AK477" s="133" t="str">
        <f>IF($A477&lt;&gt;0,VLOOKUP($A477,'0.Productos'!$A$3:$GG$587,'0.Productos'!CC$1+1,0),"")</f>
        <v/>
      </c>
      <c r="AL477" s="133" t="str">
        <f>IF($A477&lt;&gt;0,VLOOKUP($A477,'0.Productos'!$A$3:$GG$587,'0.Productos'!CD$1+1,0),"")</f>
        <v/>
      </c>
      <c r="AM477" s="133" t="str">
        <f>IF($A477&lt;&gt;0,VLOOKUP($A477,'0.Productos'!$A$3:$GG$587,'0.Productos'!CE$1+1,0),"")</f>
        <v/>
      </c>
      <c r="AN477" s="133" t="str">
        <f>IF($A477&lt;&gt;0,VLOOKUP($A477,'0.Productos'!$A$3:$GG$587,'0.Productos'!CF$1+1,0),"")</f>
        <v/>
      </c>
      <c r="AO477" s="133" t="str">
        <f>IF($A477&lt;&gt;0,VLOOKUP($A477,'0.Productos'!$A$3:$GG$587,'0.Productos'!CG$1+1,0),"")</f>
        <v/>
      </c>
      <c r="AP477" s="133" t="str">
        <f>IF($A477&lt;&gt;0,VLOOKUP($A477,'0.Productos'!$A$3:$GG$587,'0.Productos'!CH$1+1,0),"")</f>
        <v/>
      </c>
      <c r="AQ477" s="133" t="str">
        <f>IF($A477&lt;&gt;0,VLOOKUP($A477,'0.Productos'!$A$3:$GG$587,'0.Productos'!CI$1+1,0),"")</f>
        <v/>
      </c>
      <c r="AR477" s="133" t="str">
        <f>IF($A477&lt;&gt;0,VLOOKUP($A477,'0.Productos'!$A$3:$GG$587,'0.Productos'!CJ$1+1,0),"")</f>
        <v/>
      </c>
      <c r="AS477" s="133" t="str">
        <f>IF($A477&lt;&gt;0,VLOOKUP($A477,'0.Productos'!$A$3:$GG$587,'0.Productos'!CK$1+1,0),"")</f>
        <v/>
      </c>
      <c r="AT477" s="133" t="str">
        <f>IF($A477&lt;&gt;0,VLOOKUP($A477,'0.Productos'!$A$3:$GG$587,'0.Productos'!CL$1+1,0),"")</f>
        <v/>
      </c>
      <c r="AU477" s="133" t="str">
        <f>IF($A477&lt;&gt;0,VLOOKUP($A477,'0.Productos'!$A$3:$GG$587,'0.Productos'!CM$1+1,0),"")</f>
        <v/>
      </c>
      <c r="AV477" s="133" t="str">
        <f>IF($A477&lt;&gt;0,VLOOKUP($A477,'0.Productos'!$A$3:$GG$587,'0.Productos'!CN$1+1,0),"")</f>
        <v/>
      </c>
      <c r="AW477" s="133" t="str">
        <f>IF($A477&lt;&gt;0,VLOOKUP($A477,'0.Productos'!$A$3:$GG$587,'0.Productos'!CO$1+1,0),"")</f>
        <v/>
      </c>
      <c r="AX477" s="133" t="str">
        <f>IF($A477&lt;&gt;0,VLOOKUP($A477,'0.Productos'!$A$3:$GG$587,'0.Productos'!CP$1+1,0),"")</f>
        <v/>
      </c>
      <c r="AY477" s="133" t="str">
        <f>IF($A477&lt;&gt;0,VLOOKUP($A477,'0.Productos'!$A$3:$GG$587,'0.Productos'!CQ$1+1,0),"")</f>
        <v/>
      </c>
      <c r="AZ477" s="133" t="str">
        <f>IF($A477&lt;&gt;0,VLOOKUP($A477,'0.Productos'!$A$3:$GG$587,'0.Productos'!CR$1+1,0),"")</f>
        <v/>
      </c>
      <c r="BA477" s="133" t="str">
        <f>IF($A477&lt;&gt;0,VLOOKUP($A477,'0.Productos'!$A$3:$GG$587,'0.Productos'!CS$1+1,0),"")</f>
        <v/>
      </c>
      <c r="BB477" s="133" t="str">
        <f>IF($A477&lt;&gt;0,VLOOKUP($A477,'0.Productos'!$A$3:$GG$587,'0.Productos'!CT$1+1,0),"")</f>
        <v/>
      </c>
      <c r="BC477" s="133" t="str">
        <f>IF($A477&lt;&gt;0,VLOOKUP($A477,'0.Productos'!$A$3:$GG$587,'0.Productos'!CU$1+1,0),"")</f>
        <v/>
      </c>
      <c r="BD477" s="133" t="str">
        <f>IF($A477&lt;&gt;0,VLOOKUP($A477,'0.Productos'!$A$3:$GG$587,'0.Productos'!CV$1+1,0),"")</f>
        <v/>
      </c>
      <c r="BE477" s="133" t="str">
        <f>IF($A477&lt;&gt;0,VLOOKUP($A477,'0.Productos'!$A$3:$GG$587,'0.Productos'!CW$1+1,0),"")</f>
        <v/>
      </c>
      <c r="BF477" s="133" t="str">
        <f>IF($A477&lt;&gt;0,VLOOKUP($A477,'0.Productos'!$A$3:$GG$587,'0.Productos'!CX$1+1,0),"")</f>
        <v/>
      </c>
      <c r="BG477" s="133" t="str">
        <f>IF($A477&lt;&gt;0,VLOOKUP($A477,'0.Productos'!$A$3:$GG$587,'0.Productos'!CY$1+1,0),"")</f>
        <v/>
      </c>
      <c r="BH477" s="133" t="str">
        <f>IF($A477&lt;&gt;0,VLOOKUP($A477,'0.Productos'!$A$3:$GG$587,'0.Productos'!CZ$1+1,0),"")</f>
        <v/>
      </c>
      <c r="BI477" s="133" t="str">
        <f>IF($A477&lt;&gt;0,VLOOKUP($A477,'0.Productos'!$A$3:$GG$587,'0.Productos'!DA$1+1,0),"")</f>
        <v/>
      </c>
      <c r="BJ477" s="133" t="str">
        <f>IF($A477&lt;&gt;0,VLOOKUP($A477,'0.Productos'!$A$3:$GG$587,'0.Productos'!DB$1+1,0),"")</f>
        <v/>
      </c>
      <c r="BK477" s="133" t="str">
        <f>IF($A477&lt;&gt;0,VLOOKUP($A477,'0.Productos'!$A$3:$GG$587,'0.Productos'!DC$1+1,0),"")</f>
        <v/>
      </c>
      <c r="BL477" s="133" t="str">
        <f>IF($A477&lt;&gt;0,VLOOKUP($A477,'0.Productos'!$A$3:$GG$587,'0.Productos'!DD$1+1,0),"")</f>
        <v/>
      </c>
      <c r="BM477" s="133" t="str">
        <f>IF($A477&lt;&gt;0,VLOOKUP($A477,'0.Productos'!$A$3:$GG$587,'0.Productos'!DE$1+1,0),"")</f>
        <v/>
      </c>
      <c r="BN477" s="133" t="str">
        <f>IF($A477&lt;&gt;0,VLOOKUP($A477,'0.Productos'!$A$3:$GG$587,'0.Productos'!DF$1+1,0),"")</f>
        <v/>
      </c>
      <c r="BO477" s="133" t="str">
        <f>IF($A477&lt;&gt;0,VLOOKUP($A477,'0.Productos'!$A$3:$GG$587,'0.Productos'!DG$1+1,0),"")</f>
        <v/>
      </c>
      <c r="BP477" s="133" t="str">
        <f>IF($A477&lt;&gt;0,VLOOKUP($A477,'0.Productos'!$A$3:$GG$587,'0.Productos'!DH$1+1,0),"")</f>
        <v/>
      </c>
      <c r="BQ477" s="133" t="str">
        <f>IF($A477&lt;&gt;0,VLOOKUP($A477,'0.Productos'!$A$3:$GG$587,'0.Productos'!DI$1+1,0),"")</f>
        <v/>
      </c>
      <c r="BR477" s="133" t="str">
        <f>IF($A477&lt;&gt;0,VLOOKUP($A477,'0.Productos'!$A$3:$GG$587,'0.Productos'!DJ$1+1,0),"")</f>
        <v/>
      </c>
      <c r="BS477" s="133" t="str">
        <f>IF($A477&lt;&gt;0,VLOOKUP($A477,'0.Productos'!$A$3:$GG$587,'0.Productos'!DK$1+1,0),"")</f>
        <v/>
      </c>
      <c r="BT477" s="133" t="str">
        <f>IF($A477&lt;&gt;0,VLOOKUP($A477,'0.Productos'!$A$3:$GG$587,'0.Productos'!DL$1+1,0),"")</f>
        <v/>
      </c>
    </row>
    <row r="478" spans="1:72" x14ac:dyDescent="0.25">
      <c r="A478" s="17">
        <f>'0.Consolidado general'!A478</f>
        <v>0</v>
      </c>
      <c r="B478" s="133" t="str">
        <f>IF($A478&lt;&gt;0,VLOOKUP($A478,'0.Productos'!$A$3:$GG$587,'0.Productos'!AT$1+1,0),"")</f>
        <v/>
      </c>
      <c r="C478" s="133" t="str">
        <f>IF($A478&lt;&gt;0,VLOOKUP($A478,'0.Productos'!$A$3:$GG$587,'0.Productos'!AU$1+1,0),"")</f>
        <v/>
      </c>
      <c r="D478" s="133" t="str">
        <f>IF($A478&lt;&gt;0,VLOOKUP($A478,'0.Productos'!$A$3:$GG$587,'0.Productos'!AV$1+1,0),"")</f>
        <v/>
      </c>
      <c r="E478" s="133" t="str">
        <f>IF($A478&lt;&gt;0,VLOOKUP($A478,'0.Productos'!$A$3:$GG$587,'0.Productos'!AW$1+1,0),"")</f>
        <v/>
      </c>
      <c r="F478" s="133" t="str">
        <f>IF($A478&lt;&gt;0,VLOOKUP($A478,'0.Productos'!$A$3:$GG$587,'0.Productos'!AX$1+1,0),"")</f>
        <v/>
      </c>
      <c r="G478" s="133" t="str">
        <f>IF($A478&lt;&gt;0,VLOOKUP($A478,'0.Productos'!$A$3:$GG$587,'0.Productos'!AY$1+1,0),"")</f>
        <v/>
      </c>
      <c r="H478" s="133" t="str">
        <f>IF($A478&lt;&gt;0,VLOOKUP($A478,'0.Productos'!$A$3:$GG$587,'0.Productos'!AZ$1+1,0),"")</f>
        <v/>
      </c>
      <c r="I478" s="133" t="str">
        <f>IF($A478&lt;&gt;0,VLOOKUP($A478,'0.Productos'!$A$3:$GG$587,'0.Productos'!BA$1+1,0),"")</f>
        <v/>
      </c>
      <c r="J478" s="133" t="str">
        <f>IF($A478&lt;&gt;0,VLOOKUP($A478,'0.Productos'!$A$3:$GG$587,'0.Productos'!BB$1+1,0),"")</f>
        <v/>
      </c>
      <c r="K478" s="133" t="str">
        <f>IF($A478&lt;&gt;0,VLOOKUP($A478,'0.Productos'!$A$3:$GG$587,'0.Productos'!BC$1+1,0),"")</f>
        <v/>
      </c>
      <c r="L478" s="133" t="str">
        <f>IF($A478&lt;&gt;0,VLOOKUP($A478,'0.Productos'!$A$3:$GG$587,'0.Productos'!BD$1+1,0),"")</f>
        <v/>
      </c>
      <c r="M478" s="133" t="str">
        <f>IF($A478&lt;&gt;0,VLOOKUP($A478,'0.Productos'!$A$3:$GG$587,'0.Productos'!BE$1+1,0),"")</f>
        <v/>
      </c>
      <c r="N478" s="133" t="str">
        <f>IF($A478&lt;&gt;0,VLOOKUP($A478,'0.Productos'!$A$3:$GG$587,'0.Productos'!BF$1+1,0),"")</f>
        <v/>
      </c>
      <c r="O478" s="133" t="str">
        <f>IF($A478&lt;&gt;0,VLOOKUP($A478,'0.Productos'!$A$3:$GG$587,'0.Productos'!BG$1+1,0),"")</f>
        <v/>
      </c>
      <c r="P478" s="133" t="str">
        <f>IF($A478&lt;&gt;0,VLOOKUP($A478,'0.Productos'!$A$3:$GG$587,'0.Productos'!BH$1+1,0),"")</f>
        <v/>
      </c>
      <c r="Q478" s="133" t="str">
        <f>IF($A478&lt;&gt;0,VLOOKUP($A478,'0.Productos'!$A$3:$GG$587,'0.Productos'!BI$1+1,0),"")</f>
        <v/>
      </c>
      <c r="R478" s="133" t="str">
        <f>IF($A478&lt;&gt;0,VLOOKUP($A478,'0.Productos'!$A$3:$GG$587,'0.Productos'!BJ$1+1,0),"")</f>
        <v/>
      </c>
      <c r="S478" s="133" t="str">
        <f>IF($A478&lt;&gt;0,VLOOKUP($A478,'0.Productos'!$A$3:$GG$587,'0.Productos'!BK$1+1,0),"")</f>
        <v/>
      </c>
      <c r="T478" s="133" t="str">
        <f>IF($A478&lt;&gt;0,VLOOKUP($A478,'0.Productos'!$A$3:$GG$587,'0.Productos'!BL$1+1,0),"")</f>
        <v/>
      </c>
      <c r="U478" s="133" t="str">
        <f>IF($A478&lt;&gt;0,VLOOKUP($A478,'0.Productos'!$A$3:$GG$587,'0.Productos'!BM$1+1,0),"")</f>
        <v/>
      </c>
      <c r="V478" s="133" t="str">
        <f>IF($A478&lt;&gt;0,VLOOKUP($A478,'0.Productos'!$A$3:$GG$587,'0.Productos'!BN$1+1,0),"")</f>
        <v/>
      </c>
      <c r="W478" s="133" t="str">
        <f>IF($A478&lt;&gt;0,VLOOKUP($A478,'0.Productos'!$A$3:$GG$587,'0.Productos'!BO$1+1,0),"")</f>
        <v/>
      </c>
      <c r="X478" s="133" t="str">
        <f>IF($A478&lt;&gt;0,VLOOKUP($A478,'0.Productos'!$A$3:$GG$587,'0.Productos'!BP$1+1,0),"")</f>
        <v/>
      </c>
      <c r="Y478" s="133" t="str">
        <f>IF($A478&lt;&gt;0,VLOOKUP($A478,'0.Productos'!$A$3:$GG$587,'0.Productos'!BQ$1+1,0),"")</f>
        <v/>
      </c>
      <c r="Z478" s="133" t="str">
        <f>IF($A478&lt;&gt;0,VLOOKUP($A478,'0.Productos'!$A$3:$GG$587,'0.Productos'!BR$1+1,0),"")</f>
        <v/>
      </c>
      <c r="AA478" s="133" t="str">
        <f>IF($A478&lt;&gt;0,VLOOKUP($A478,'0.Productos'!$A$3:$GG$587,'0.Productos'!BS$1+1,0),"")</f>
        <v/>
      </c>
      <c r="AB478" s="133" t="str">
        <f>IF($A478&lt;&gt;0,VLOOKUP($A478,'0.Productos'!$A$3:$GG$587,'0.Productos'!BT$1+1,0),"")</f>
        <v/>
      </c>
      <c r="AC478" s="133" t="str">
        <f>IF($A478&lt;&gt;0,VLOOKUP($A478,'0.Productos'!$A$3:$GG$587,'0.Productos'!BU$1+1,0),"")</f>
        <v/>
      </c>
      <c r="AD478" s="133" t="str">
        <f>IF($A478&lt;&gt;0,VLOOKUP($A478,'0.Productos'!$A$3:$GG$587,'0.Productos'!BV$1+1,0),"")</f>
        <v/>
      </c>
      <c r="AE478" s="133" t="str">
        <f>IF($A478&lt;&gt;0,VLOOKUP($A478,'0.Productos'!$A$3:$GG$587,'0.Productos'!BW$1+1,0),"")</f>
        <v/>
      </c>
      <c r="AF478" s="133" t="str">
        <f>IF($A478&lt;&gt;0,VLOOKUP($A478,'0.Productos'!$A$3:$GG$587,'0.Productos'!BX$1+1,0),"")</f>
        <v/>
      </c>
      <c r="AG478" s="133" t="str">
        <f>IF($A478&lt;&gt;0,VLOOKUP($A478,'0.Productos'!$A$3:$GG$587,'0.Productos'!BY$1+1,0),"")</f>
        <v/>
      </c>
      <c r="AH478" s="133" t="str">
        <f>IF($A478&lt;&gt;0,VLOOKUP($A478,'0.Productos'!$A$3:$GG$587,'0.Productos'!BZ$1+1,0),"")</f>
        <v/>
      </c>
      <c r="AI478" s="133" t="str">
        <f>IF($A478&lt;&gt;0,VLOOKUP($A478,'0.Productos'!$A$3:$GG$587,'0.Productos'!CA$1+1,0),"")</f>
        <v/>
      </c>
      <c r="AJ478" s="133" t="str">
        <f>IF($A478&lt;&gt;0,VLOOKUP($A478,'0.Productos'!$A$3:$GG$587,'0.Productos'!CB$1+1,0),"")</f>
        <v/>
      </c>
      <c r="AK478" s="133" t="str">
        <f>IF($A478&lt;&gt;0,VLOOKUP($A478,'0.Productos'!$A$3:$GG$587,'0.Productos'!CC$1+1,0),"")</f>
        <v/>
      </c>
      <c r="AL478" s="133" t="str">
        <f>IF($A478&lt;&gt;0,VLOOKUP($A478,'0.Productos'!$A$3:$GG$587,'0.Productos'!CD$1+1,0),"")</f>
        <v/>
      </c>
      <c r="AM478" s="133" t="str">
        <f>IF($A478&lt;&gt;0,VLOOKUP($A478,'0.Productos'!$A$3:$GG$587,'0.Productos'!CE$1+1,0),"")</f>
        <v/>
      </c>
      <c r="AN478" s="133" t="str">
        <f>IF($A478&lt;&gt;0,VLOOKUP($A478,'0.Productos'!$A$3:$GG$587,'0.Productos'!CF$1+1,0),"")</f>
        <v/>
      </c>
      <c r="AO478" s="133" t="str">
        <f>IF($A478&lt;&gt;0,VLOOKUP($A478,'0.Productos'!$A$3:$GG$587,'0.Productos'!CG$1+1,0),"")</f>
        <v/>
      </c>
      <c r="AP478" s="133" t="str">
        <f>IF($A478&lt;&gt;0,VLOOKUP($A478,'0.Productos'!$A$3:$GG$587,'0.Productos'!CH$1+1,0),"")</f>
        <v/>
      </c>
      <c r="AQ478" s="133" t="str">
        <f>IF($A478&lt;&gt;0,VLOOKUP($A478,'0.Productos'!$A$3:$GG$587,'0.Productos'!CI$1+1,0),"")</f>
        <v/>
      </c>
      <c r="AR478" s="133" t="str">
        <f>IF($A478&lt;&gt;0,VLOOKUP($A478,'0.Productos'!$A$3:$GG$587,'0.Productos'!CJ$1+1,0),"")</f>
        <v/>
      </c>
      <c r="AS478" s="133" t="str">
        <f>IF($A478&lt;&gt;0,VLOOKUP($A478,'0.Productos'!$A$3:$GG$587,'0.Productos'!CK$1+1,0),"")</f>
        <v/>
      </c>
      <c r="AT478" s="133" t="str">
        <f>IF($A478&lt;&gt;0,VLOOKUP($A478,'0.Productos'!$A$3:$GG$587,'0.Productos'!CL$1+1,0),"")</f>
        <v/>
      </c>
      <c r="AU478" s="133" t="str">
        <f>IF($A478&lt;&gt;0,VLOOKUP($A478,'0.Productos'!$A$3:$GG$587,'0.Productos'!CM$1+1,0),"")</f>
        <v/>
      </c>
      <c r="AV478" s="133" t="str">
        <f>IF($A478&lt;&gt;0,VLOOKUP($A478,'0.Productos'!$A$3:$GG$587,'0.Productos'!CN$1+1,0),"")</f>
        <v/>
      </c>
      <c r="AW478" s="133" t="str">
        <f>IF($A478&lt;&gt;0,VLOOKUP($A478,'0.Productos'!$A$3:$GG$587,'0.Productos'!CO$1+1,0),"")</f>
        <v/>
      </c>
      <c r="AX478" s="133" t="str">
        <f>IF($A478&lt;&gt;0,VLOOKUP($A478,'0.Productos'!$A$3:$GG$587,'0.Productos'!CP$1+1,0),"")</f>
        <v/>
      </c>
      <c r="AY478" s="133" t="str">
        <f>IF($A478&lt;&gt;0,VLOOKUP($A478,'0.Productos'!$A$3:$GG$587,'0.Productos'!CQ$1+1,0),"")</f>
        <v/>
      </c>
      <c r="AZ478" s="133" t="str">
        <f>IF($A478&lt;&gt;0,VLOOKUP($A478,'0.Productos'!$A$3:$GG$587,'0.Productos'!CR$1+1,0),"")</f>
        <v/>
      </c>
      <c r="BA478" s="133" t="str">
        <f>IF($A478&lt;&gt;0,VLOOKUP($A478,'0.Productos'!$A$3:$GG$587,'0.Productos'!CS$1+1,0),"")</f>
        <v/>
      </c>
      <c r="BB478" s="133" t="str">
        <f>IF($A478&lt;&gt;0,VLOOKUP($A478,'0.Productos'!$A$3:$GG$587,'0.Productos'!CT$1+1,0),"")</f>
        <v/>
      </c>
      <c r="BC478" s="133" t="str">
        <f>IF($A478&lt;&gt;0,VLOOKUP($A478,'0.Productos'!$A$3:$GG$587,'0.Productos'!CU$1+1,0),"")</f>
        <v/>
      </c>
      <c r="BD478" s="133" t="str">
        <f>IF($A478&lt;&gt;0,VLOOKUP($A478,'0.Productos'!$A$3:$GG$587,'0.Productos'!CV$1+1,0),"")</f>
        <v/>
      </c>
      <c r="BE478" s="133" t="str">
        <f>IF($A478&lt;&gt;0,VLOOKUP($A478,'0.Productos'!$A$3:$GG$587,'0.Productos'!CW$1+1,0),"")</f>
        <v/>
      </c>
      <c r="BF478" s="133" t="str">
        <f>IF($A478&lt;&gt;0,VLOOKUP($A478,'0.Productos'!$A$3:$GG$587,'0.Productos'!CX$1+1,0),"")</f>
        <v/>
      </c>
      <c r="BG478" s="133" t="str">
        <f>IF($A478&lt;&gt;0,VLOOKUP($A478,'0.Productos'!$A$3:$GG$587,'0.Productos'!CY$1+1,0),"")</f>
        <v/>
      </c>
      <c r="BH478" s="133" t="str">
        <f>IF($A478&lt;&gt;0,VLOOKUP($A478,'0.Productos'!$A$3:$GG$587,'0.Productos'!CZ$1+1,0),"")</f>
        <v/>
      </c>
      <c r="BI478" s="133" t="str">
        <f>IF($A478&lt;&gt;0,VLOOKUP($A478,'0.Productos'!$A$3:$GG$587,'0.Productos'!DA$1+1,0),"")</f>
        <v/>
      </c>
      <c r="BJ478" s="133" t="str">
        <f>IF($A478&lt;&gt;0,VLOOKUP($A478,'0.Productos'!$A$3:$GG$587,'0.Productos'!DB$1+1,0),"")</f>
        <v/>
      </c>
      <c r="BK478" s="133" t="str">
        <f>IF($A478&lt;&gt;0,VLOOKUP($A478,'0.Productos'!$A$3:$GG$587,'0.Productos'!DC$1+1,0),"")</f>
        <v/>
      </c>
      <c r="BL478" s="133" t="str">
        <f>IF($A478&lt;&gt;0,VLOOKUP($A478,'0.Productos'!$A$3:$GG$587,'0.Productos'!DD$1+1,0),"")</f>
        <v/>
      </c>
      <c r="BM478" s="133" t="str">
        <f>IF($A478&lt;&gt;0,VLOOKUP($A478,'0.Productos'!$A$3:$GG$587,'0.Productos'!DE$1+1,0),"")</f>
        <v/>
      </c>
      <c r="BN478" s="133" t="str">
        <f>IF($A478&lt;&gt;0,VLOOKUP($A478,'0.Productos'!$A$3:$GG$587,'0.Productos'!DF$1+1,0),"")</f>
        <v/>
      </c>
      <c r="BO478" s="133" t="str">
        <f>IF($A478&lt;&gt;0,VLOOKUP($A478,'0.Productos'!$A$3:$GG$587,'0.Productos'!DG$1+1,0),"")</f>
        <v/>
      </c>
      <c r="BP478" s="133" t="str">
        <f>IF($A478&lt;&gt;0,VLOOKUP($A478,'0.Productos'!$A$3:$GG$587,'0.Productos'!DH$1+1,0),"")</f>
        <v/>
      </c>
      <c r="BQ478" s="133" t="str">
        <f>IF($A478&lt;&gt;0,VLOOKUP($A478,'0.Productos'!$A$3:$GG$587,'0.Productos'!DI$1+1,0),"")</f>
        <v/>
      </c>
      <c r="BR478" s="133" t="str">
        <f>IF($A478&lt;&gt;0,VLOOKUP($A478,'0.Productos'!$A$3:$GG$587,'0.Productos'!DJ$1+1,0),"")</f>
        <v/>
      </c>
      <c r="BS478" s="133" t="str">
        <f>IF($A478&lt;&gt;0,VLOOKUP($A478,'0.Productos'!$A$3:$GG$587,'0.Productos'!DK$1+1,0),"")</f>
        <v/>
      </c>
      <c r="BT478" s="133" t="str">
        <f>IF($A478&lt;&gt;0,VLOOKUP($A478,'0.Productos'!$A$3:$GG$587,'0.Productos'!DL$1+1,0),"")</f>
        <v/>
      </c>
    </row>
    <row r="479" spans="1:72" x14ac:dyDescent="0.25">
      <c r="A479" s="17">
        <f>'0.Consolidado general'!A479</f>
        <v>0</v>
      </c>
      <c r="B479" s="133" t="str">
        <f>IF($A479&lt;&gt;0,VLOOKUP($A479,'0.Productos'!$A$3:$GG$587,'0.Productos'!AT$1+1,0),"")</f>
        <v/>
      </c>
      <c r="C479" s="133" t="str">
        <f>IF($A479&lt;&gt;0,VLOOKUP($A479,'0.Productos'!$A$3:$GG$587,'0.Productos'!AU$1+1,0),"")</f>
        <v/>
      </c>
      <c r="D479" s="133" t="str">
        <f>IF($A479&lt;&gt;0,VLOOKUP($A479,'0.Productos'!$A$3:$GG$587,'0.Productos'!AV$1+1,0),"")</f>
        <v/>
      </c>
      <c r="E479" s="133" t="str">
        <f>IF($A479&lt;&gt;0,VLOOKUP($A479,'0.Productos'!$A$3:$GG$587,'0.Productos'!AW$1+1,0),"")</f>
        <v/>
      </c>
      <c r="F479" s="133" t="str">
        <f>IF($A479&lt;&gt;0,VLOOKUP($A479,'0.Productos'!$A$3:$GG$587,'0.Productos'!AX$1+1,0),"")</f>
        <v/>
      </c>
      <c r="G479" s="133" t="str">
        <f>IF($A479&lt;&gt;0,VLOOKUP($A479,'0.Productos'!$A$3:$GG$587,'0.Productos'!AY$1+1,0),"")</f>
        <v/>
      </c>
      <c r="H479" s="133" t="str">
        <f>IF($A479&lt;&gt;0,VLOOKUP($A479,'0.Productos'!$A$3:$GG$587,'0.Productos'!AZ$1+1,0),"")</f>
        <v/>
      </c>
      <c r="I479" s="133" t="str">
        <f>IF($A479&lt;&gt;0,VLOOKUP($A479,'0.Productos'!$A$3:$GG$587,'0.Productos'!BA$1+1,0),"")</f>
        <v/>
      </c>
      <c r="J479" s="133" t="str">
        <f>IF($A479&lt;&gt;0,VLOOKUP($A479,'0.Productos'!$A$3:$GG$587,'0.Productos'!BB$1+1,0),"")</f>
        <v/>
      </c>
      <c r="K479" s="133" t="str">
        <f>IF($A479&lt;&gt;0,VLOOKUP($A479,'0.Productos'!$A$3:$GG$587,'0.Productos'!BC$1+1,0),"")</f>
        <v/>
      </c>
      <c r="L479" s="133" t="str">
        <f>IF($A479&lt;&gt;0,VLOOKUP($A479,'0.Productos'!$A$3:$GG$587,'0.Productos'!BD$1+1,0),"")</f>
        <v/>
      </c>
      <c r="M479" s="133" t="str">
        <f>IF($A479&lt;&gt;0,VLOOKUP($A479,'0.Productos'!$A$3:$GG$587,'0.Productos'!BE$1+1,0),"")</f>
        <v/>
      </c>
      <c r="N479" s="133" t="str">
        <f>IF($A479&lt;&gt;0,VLOOKUP($A479,'0.Productos'!$A$3:$GG$587,'0.Productos'!BF$1+1,0),"")</f>
        <v/>
      </c>
      <c r="O479" s="133" t="str">
        <f>IF($A479&lt;&gt;0,VLOOKUP($A479,'0.Productos'!$A$3:$GG$587,'0.Productos'!BG$1+1,0),"")</f>
        <v/>
      </c>
      <c r="P479" s="133" t="str">
        <f>IF($A479&lt;&gt;0,VLOOKUP($A479,'0.Productos'!$A$3:$GG$587,'0.Productos'!BH$1+1,0),"")</f>
        <v/>
      </c>
      <c r="Q479" s="133" t="str">
        <f>IF($A479&lt;&gt;0,VLOOKUP($A479,'0.Productos'!$A$3:$GG$587,'0.Productos'!BI$1+1,0),"")</f>
        <v/>
      </c>
      <c r="R479" s="133" t="str">
        <f>IF($A479&lt;&gt;0,VLOOKUP($A479,'0.Productos'!$A$3:$GG$587,'0.Productos'!BJ$1+1,0),"")</f>
        <v/>
      </c>
      <c r="S479" s="133" t="str">
        <f>IF($A479&lt;&gt;0,VLOOKUP($A479,'0.Productos'!$A$3:$GG$587,'0.Productos'!BK$1+1,0),"")</f>
        <v/>
      </c>
      <c r="T479" s="133" t="str">
        <f>IF($A479&lt;&gt;0,VLOOKUP($A479,'0.Productos'!$A$3:$GG$587,'0.Productos'!BL$1+1,0),"")</f>
        <v/>
      </c>
      <c r="U479" s="133" t="str">
        <f>IF($A479&lt;&gt;0,VLOOKUP($A479,'0.Productos'!$A$3:$GG$587,'0.Productos'!BM$1+1,0),"")</f>
        <v/>
      </c>
      <c r="V479" s="133" t="str">
        <f>IF($A479&lt;&gt;0,VLOOKUP($A479,'0.Productos'!$A$3:$GG$587,'0.Productos'!BN$1+1,0),"")</f>
        <v/>
      </c>
      <c r="W479" s="133" t="str">
        <f>IF($A479&lt;&gt;0,VLOOKUP($A479,'0.Productos'!$A$3:$GG$587,'0.Productos'!BO$1+1,0),"")</f>
        <v/>
      </c>
      <c r="X479" s="133" t="str">
        <f>IF($A479&lt;&gt;0,VLOOKUP($A479,'0.Productos'!$A$3:$GG$587,'0.Productos'!BP$1+1,0),"")</f>
        <v/>
      </c>
      <c r="Y479" s="133" t="str">
        <f>IF($A479&lt;&gt;0,VLOOKUP($A479,'0.Productos'!$A$3:$GG$587,'0.Productos'!BQ$1+1,0),"")</f>
        <v/>
      </c>
      <c r="Z479" s="133" t="str">
        <f>IF($A479&lt;&gt;0,VLOOKUP($A479,'0.Productos'!$A$3:$GG$587,'0.Productos'!BR$1+1,0),"")</f>
        <v/>
      </c>
      <c r="AA479" s="133" t="str">
        <f>IF($A479&lt;&gt;0,VLOOKUP($A479,'0.Productos'!$A$3:$GG$587,'0.Productos'!BS$1+1,0),"")</f>
        <v/>
      </c>
      <c r="AB479" s="133" t="str">
        <f>IF($A479&lt;&gt;0,VLOOKUP($A479,'0.Productos'!$A$3:$GG$587,'0.Productos'!BT$1+1,0),"")</f>
        <v/>
      </c>
      <c r="AC479" s="133" t="str">
        <f>IF($A479&lt;&gt;0,VLOOKUP($A479,'0.Productos'!$A$3:$GG$587,'0.Productos'!BU$1+1,0),"")</f>
        <v/>
      </c>
      <c r="AD479" s="133" t="str">
        <f>IF($A479&lt;&gt;0,VLOOKUP($A479,'0.Productos'!$A$3:$GG$587,'0.Productos'!BV$1+1,0),"")</f>
        <v/>
      </c>
      <c r="AE479" s="133" t="str">
        <f>IF($A479&lt;&gt;0,VLOOKUP($A479,'0.Productos'!$A$3:$GG$587,'0.Productos'!BW$1+1,0),"")</f>
        <v/>
      </c>
      <c r="AF479" s="133" t="str">
        <f>IF($A479&lt;&gt;0,VLOOKUP($A479,'0.Productos'!$A$3:$GG$587,'0.Productos'!BX$1+1,0),"")</f>
        <v/>
      </c>
      <c r="AG479" s="133" t="str">
        <f>IF($A479&lt;&gt;0,VLOOKUP($A479,'0.Productos'!$A$3:$GG$587,'0.Productos'!BY$1+1,0),"")</f>
        <v/>
      </c>
      <c r="AH479" s="133" t="str">
        <f>IF($A479&lt;&gt;0,VLOOKUP($A479,'0.Productos'!$A$3:$GG$587,'0.Productos'!BZ$1+1,0),"")</f>
        <v/>
      </c>
      <c r="AI479" s="133" t="str">
        <f>IF($A479&lt;&gt;0,VLOOKUP($A479,'0.Productos'!$A$3:$GG$587,'0.Productos'!CA$1+1,0),"")</f>
        <v/>
      </c>
      <c r="AJ479" s="133" t="str">
        <f>IF($A479&lt;&gt;0,VLOOKUP($A479,'0.Productos'!$A$3:$GG$587,'0.Productos'!CB$1+1,0),"")</f>
        <v/>
      </c>
      <c r="AK479" s="133" t="str">
        <f>IF($A479&lt;&gt;0,VLOOKUP($A479,'0.Productos'!$A$3:$GG$587,'0.Productos'!CC$1+1,0),"")</f>
        <v/>
      </c>
      <c r="AL479" s="133" t="str">
        <f>IF($A479&lt;&gt;0,VLOOKUP($A479,'0.Productos'!$A$3:$GG$587,'0.Productos'!CD$1+1,0),"")</f>
        <v/>
      </c>
      <c r="AM479" s="133" t="str">
        <f>IF($A479&lt;&gt;0,VLOOKUP($A479,'0.Productos'!$A$3:$GG$587,'0.Productos'!CE$1+1,0),"")</f>
        <v/>
      </c>
      <c r="AN479" s="133" t="str">
        <f>IF($A479&lt;&gt;0,VLOOKUP($A479,'0.Productos'!$A$3:$GG$587,'0.Productos'!CF$1+1,0),"")</f>
        <v/>
      </c>
      <c r="AO479" s="133" t="str">
        <f>IF($A479&lt;&gt;0,VLOOKUP($A479,'0.Productos'!$A$3:$GG$587,'0.Productos'!CG$1+1,0),"")</f>
        <v/>
      </c>
      <c r="AP479" s="133" t="str">
        <f>IF($A479&lt;&gt;0,VLOOKUP($A479,'0.Productos'!$A$3:$GG$587,'0.Productos'!CH$1+1,0),"")</f>
        <v/>
      </c>
      <c r="AQ479" s="133" t="str">
        <f>IF($A479&lt;&gt;0,VLOOKUP($A479,'0.Productos'!$A$3:$GG$587,'0.Productos'!CI$1+1,0),"")</f>
        <v/>
      </c>
      <c r="AR479" s="133" t="str">
        <f>IF($A479&lt;&gt;0,VLOOKUP($A479,'0.Productos'!$A$3:$GG$587,'0.Productos'!CJ$1+1,0),"")</f>
        <v/>
      </c>
      <c r="AS479" s="133" t="str">
        <f>IF($A479&lt;&gt;0,VLOOKUP($A479,'0.Productos'!$A$3:$GG$587,'0.Productos'!CK$1+1,0),"")</f>
        <v/>
      </c>
      <c r="AT479" s="133" t="str">
        <f>IF($A479&lt;&gt;0,VLOOKUP($A479,'0.Productos'!$A$3:$GG$587,'0.Productos'!CL$1+1,0),"")</f>
        <v/>
      </c>
      <c r="AU479" s="133" t="str">
        <f>IF($A479&lt;&gt;0,VLOOKUP($A479,'0.Productos'!$A$3:$GG$587,'0.Productos'!CM$1+1,0),"")</f>
        <v/>
      </c>
      <c r="AV479" s="133" t="str">
        <f>IF($A479&lt;&gt;0,VLOOKUP($A479,'0.Productos'!$A$3:$GG$587,'0.Productos'!CN$1+1,0),"")</f>
        <v/>
      </c>
      <c r="AW479" s="133" t="str">
        <f>IF($A479&lt;&gt;0,VLOOKUP($A479,'0.Productos'!$A$3:$GG$587,'0.Productos'!CO$1+1,0),"")</f>
        <v/>
      </c>
      <c r="AX479" s="133" t="str">
        <f>IF($A479&lt;&gt;0,VLOOKUP($A479,'0.Productos'!$A$3:$GG$587,'0.Productos'!CP$1+1,0),"")</f>
        <v/>
      </c>
      <c r="AY479" s="133" t="str">
        <f>IF($A479&lt;&gt;0,VLOOKUP($A479,'0.Productos'!$A$3:$GG$587,'0.Productos'!CQ$1+1,0),"")</f>
        <v/>
      </c>
      <c r="AZ479" s="133" t="str">
        <f>IF($A479&lt;&gt;0,VLOOKUP($A479,'0.Productos'!$A$3:$GG$587,'0.Productos'!CR$1+1,0),"")</f>
        <v/>
      </c>
      <c r="BA479" s="133" t="str">
        <f>IF($A479&lt;&gt;0,VLOOKUP($A479,'0.Productos'!$A$3:$GG$587,'0.Productos'!CS$1+1,0),"")</f>
        <v/>
      </c>
      <c r="BB479" s="133" t="str">
        <f>IF($A479&lt;&gt;0,VLOOKUP($A479,'0.Productos'!$A$3:$GG$587,'0.Productos'!CT$1+1,0),"")</f>
        <v/>
      </c>
      <c r="BC479" s="133" t="str">
        <f>IF($A479&lt;&gt;0,VLOOKUP($A479,'0.Productos'!$A$3:$GG$587,'0.Productos'!CU$1+1,0),"")</f>
        <v/>
      </c>
      <c r="BD479" s="133" t="str">
        <f>IF($A479&lt;&gt;0,VLOOKUP($A479,'0.Productos'!$A$3:$GG$587,'0.Productos'!CV$1+1,0),"")</f>
        <v/>
      </c>
      <c r="BE479" s="133" t="str">
        <f>IF($A479&lt;&gt;0,VLOOKUP($A479,'0.Productos'!$A$3:$GG$587,'0.Productos'!CW$1+1,0),"")</f>
        <v/>
      </c>
      <c r="BF479" s="133" t="str">
        <f>IF($A479&lt;&gt;0,VLOOKUP($A479,'0.Productos'!$A$3:$GG$587,'0.Productos'!CX$1+1,0),"")</f>
        <v/>
      </c>
      <c r="BG479" s="133" t="str">
        <f>IF($A479&lt;&gt;0,VLOOKUP($A479,'0.Productos'!$A$3:$GG$587,'0.Productos'!CY$1+1,0),"")</f>
        <v/>
      </c>
      <c r="BH479" s="133" t="str">
        <f>IF($A479&lt;&gt;0,VLOOKUP($A479,'0.Productos'!$A$3:$GG$587,'0.Productos'!CZ$1+1,0),"")</f>
        <v/>
      </c>
      <c r="BI479" s="133" t="str">
        <f>IF($A479&lt;&gt;0,VLOOKUP($A479,'0.Productos'!$A$3:$GG$587,'0.Productos'!DA$1+1,0),"")</f>
        <v/>
      </c>
      <c r="BJ479" s="133" t="str">
        <f>IF($A479&lt;&gt;0,VLOOKUP($A479,'0.Productos'!$A$3:$GG$587,'0.Productos'!DB$1+1,0),"")</f>
        <v/>
      </c>
      <c r="BK479" s="133" t="str">
        <f>IF($A479&lt;&gt;0,VLOOKUP($A479,'0.Productos'!$A$3:$GG$587,'0.Productos'!DC$1+1,0),"")</f>
        <v/>
      </c>
      <c r="BL479" s="133" t="str">
        <f>IF($A479&lt;&gt;0,VLOOKUP($A479,'0.Productos'!$A$3:$GG$587,'0.Productos'!DD$1+1,0),"")</f>
        <v/>
      </c>
      <c r="BM479" s="133" t="str">
        <f>IF($A479&lt;&gt;0,VLOOKUP($A479,'0.Productos'!$A$3:$GG$587,'0.Productos'!DE$1+1,0),"")</f>
        <v/>
      </c>
      <c r="BN479" s="133" t="str">
        <f>IF($A479&lt;&gt;0,VLOOKUP($A479,'0.Productos'!$A$3:$GG$587,'0.Productos'!DF$1+1,0),"")</f>
        <v/>
      </c>
      <c r="BO479" s="133" t="str">
        <f>IF($A479&lt;&gt;0,VLOOKUP($A479,'0.Productos'!$A$3:$GG$587,'0.Productos'!DG$1+1,0),"")</f>
        <v/>
      </c>
      <c r="BP479" s="133" t="str">
        <f>IF($A479&lt;&gt;0,VLOOKUP($A479,'0.Productos'!$A$3:$GG$587,'0.Productos'!DH$1+1,0),"")</f>
        <v/>
      </c>
      <c r="BQ479" s="133" t="str">
        <f>IF($A479&lt;&gt;0,VLOOKUP($A479,'0.Productos'!$A$3:$GG$587,'0.Productos'!DI$1+1,0),"")</f>
        <v/>
      </c>
      <c r="BR479" s="133" t="str">
        <f>IF($A479&lt;&gt;0,VLOOKUP($A479,'0.Productos'!$A$3:$GG$587,'0.Productos'!DJ$1+1,0),"")</f>
        <v/>
      </c>
      <c r="BS479" s="133" t="str">
        <f>IF($A479&lt;&gt;0,VLOOKUP($A479,'0.Productos'!$A$3:$GG$587,'0.Productos'!DK$1+1,0),"")</f>
        <v/>
      </c>
      <c r="BT479" s="133" t="str">
        <f>IF($A479&lt;&gt;0,VLOOKUP($A479,'0.Productos'!$A$3:$GG$587,'0.Productos'!DL$1+1,0),"")</f>
        <v/>
      </c>
    </row>
    <row r="480" spans="1:72" x14ac:dyDescent="0.25">
      <c r="A480" s="17">
        <f>'0.Consolidado general'!A480</f>
        <v>0</v>
      </c>
      <c r="B480" s="133" t="str">
        <f>IF($A480&lt;&gt;0,VLOOKUP($A480,'0.Productos'!$A$3:$GG$587,'0.Productos'!AT$1+1,0),"")</f>
        <v/>
      </c>
      <c r="C480" s="133" t="str">
        <f>IF($A480&lt;&gt;0,VLOOKUP($A480,'0.Productos'!$A$3:$GG$587,'0.Productos'!AU$1+1,0),"")</f>
        <v/>
      </c>
      <c r="D480" s="133" t="str">
        <f>IF($A480&lt;&gt;0,VLOOKUP($A480,'0.Productos'!$A$3:$GG$587,'0.Productos'!AV$1+1,0),"")</f>
        <v/>
      </c>
      <c r="E480" s="133" t="str">
        <f>IF($A480&lt;&gt;0,VLOOKUP($A480,'0.Productos'!$A$3:$GG$587,'0.Productos'!AW$1+1,0),"")</f>
        <v/>
      </c>
      <c r="F480" s="133" t="str">
        <f>IF($A480&lt;&gt;0,VLOOKUP($A480,'0.Productos'!$A$3:$GG$587,'0.Productos'!AX$1+1,0),"")</f>
        <v/>
      </c>
      <c r="G480" s="133" t="str">
        <f>IF($A480&lt;&gt;0,VLOOKUP($A480,'0.Productos'!$A$3:$GG$587,'0.Productos'!AY$1+1,0),"")</f>
        <v/>
      </c>
      <c r="H480" s="133" t="str">
        <f>IF($A480&lt;&gt;0,VLOOKUP($A480,'0.Productos'!$A$3:$GG$587,'0.Productos'!AZ$1+1,0),"")</f>
        <v/>
      </c>
      <c r="I480" s="133" t="str">
        <f>IF($A480&lt;&gt;0,VLOOKUP($A480,'0.Productos'!$A$3:$GG$587,'0.Productos'!BA$1+1,0),"")</f>
        <v/>
      </c>
      <c r="J480" s="133" t="str">
        <f>IF($A480&lt;&gt;0,VLOOKUP($A480,'0.Productos'!$A$3:$GG$587,'0.Productos'!BB$1+1,0),"")</f>
        <v/>
      </c>
      <c r="K480" s="133" t="str">
        <f>IF($A480&lt;&gt;0,VLOOKUP($A480,'0.Productos'!$A$3:$GG$587,'0.Productos'!BC$1+1,0),"")</f>
        <v/>
      </c>
      <c r="L480" s="133" t="str">
        <f>IF($A480&lt;&gt;0,VLOOKUP($A480,'0.Productos'!$A$3:$GG$587,'0.Productos'!BD$1+1,0),"")</f>
        <v/>
      </c>
      <c r="M480" s="133" t="str">
        <f>IF($A480&lt;&gt;0,VLOOKUP($A480,'0.Productos'!$A$3:$GG$587,'0.Productos'!BE$1+1,0),"")</f>
        <v/>
      </c>
      <c r="N480" s="133" t="str">
        <f>IF($A480&lt;&gt;0,VLOOKUP($A480,'0.Productos'!$A$3:$GG$587,'0.Productos'!BF$1+1,0),"")</f>
        <v/>
      </c>
      <c r="O480" s="133" t="str">
        <f>IF($A480&lt;&gt;0,VLOOKUP($A480,'0.Productos'!$A$3:$GG$587,'0.Productos'!BG$1+1,0),"")</f>
        <v/>
      </c>
      <c r="P480" s="133" t="str">
        <f>IF($A480&lt;&gt;0,VLOOKUP($A480,'0.Productos'!$A$3:$GG$587,'0.Productos'!BH$1+1,0),"")</f>
        <v/>
      </c>
      <c r="Q480" s="133" t="str">
        <f>IF($A480&lt;&gt;0,VLOOKUP($A480,'0.Productos'!$A$3:$GG$587,'0.Productos'!BI$1+1,0),"")</f>
        <v/>
      </c>
      <c r="R480" s="133" t="str">
        <f>IF($A480&lt;&gt;0,VLOOKUP($A480,'0.Productos'!$A$3:$GG$587,'0.Productos'!BJ$1+1,0),"")</f>
        <v/>
      </c>
      <c r="S480" s="133" t="str">
        <f>IF($A480&lt;&gt;0,VLOOKUP($A480,'0.Productos'!$A$3:$GG$587,'0.Productos'!BK$1+1,0),"")</f>
        <v/>
      </c>
      <c r="T480" s="133" t="str">
        <f>IF($A480&lt;&gt;0,VLOOKUP($A480,'0.Productos'!$A$3:$GG$587,'0.Productos'!BL$1+1,0),"")</f>
        <v/>
      </c>
      <c r="U480" s="133" t="str">
        <f>IF($A480&lt;&gt;0,VLOOKUP($A480,'0.Productos'!$A$3:$GG$587,'0.Productos'!BM$1+1,0),"")</f>
        <v/>
      </c>
      <c r="V480" s="133" t="str">
        <f>IF($A480&lt;&gt;0,VLOOKUP($A480,'0.Productos'!$A$3:$GG$587,'0.Productos'!BN$1+1,0),"")</f>
        <v/>
      </c>
      <c r="W480" s="133" t="str">
        <f>IF($A480&lt;&gt;0,VLOOKUP($A480,'0.Productos'!$A$3:$GG$587,'0.Productos'!BO$1+1,0),"")</f>
        <v/>
      </c>
      <c r="X480" s="133" t="str">
        <f>IF($A480&lt;&gt;0,VLOOKUP($A480,'0.Productos'!$A$3:$GG$587,'0.Productos'!BP$1+1,0),"")</f>
        <v/>
      </c>
      <c r="Y480" s="133" t="str">
        <f>IF($A480&lt;&gt;0,VLOOKUP($A480,'0.Productos'!$A$3:$GG$587,'0.Productos'!BQ$1+1,0),"")</f>
        <v/>
      </c>
      <c r="Z480" s="133" t="str">
        <f>IF($A480&lt;&gt;0,VLOOKUP($A480,'0.Productos'!$A$3:$GG$587,'0.Productos'!BR$1+1,0),"")</f>
        <v/>
      </c>
      <c r="AA480" s="133" t="str">
        <f>IF($A480&lt;&gt;0,VLOOKUP($A480,'0.Productos'!$A$3:$GG$587,'0.Productos'!BS$1+1,0),"")</f>
        <v/>
      </c>
      <c r="AB480" s="133" t="str">
        <f>IF($A480&lt;&gt;0,VLOOKUP($A480,'0.Productos'!$A$3:$GG$587,'0.Productos'!BT$1+1,0),"")</f>
        <v/>
      </c>
      <c r="AC480" s="133" t="str">
        <f>IF($A480&lt;&gt;0,VLOOKUP($A480,'0.Productos'!$A$3:$GG$587,'0.Productos'!BU$1+1,0),"")</f>
        <v/>
      </c>
      <c r="AD480" s="133" t="str">
        <f>IF($A480&lt;&gt;0,VLOOKUP($A480,'0.Productos'!$A$3:$GG$587,'0.Productos'!BV$1+1,0),"")</f>
        <v/>
      </c>
      <c r="AE480" s="133" t="str">
        <f>IF($A480&lt;&gt;0,VLOOKUP($A480,'0.Productos'!$A$3:$GG$587,'0.Productos'!BW$1+1,0),"")</f>
        <v/>
      </c>
      <c r="AF480" s="133" t="str">
        <f>IF($A480&lt;&gt;0,VLOOKUP($A480,'0.Productos'!$A$3:$GG$587,'0.Productos'!BX$1+1,0),"")</f>
        <v/>
      </c>
      <c r="AG480" s="133" t="str">
        <f>IF($A480&lt;&gt;0,VLOOKUP($A480,'0.Productos'!$A$3:$GG$587,'0.Productos'!BY$1+1,0),"")</f>
        <v/>
      </c>
      <c r="AH480" s="133" t="str">
        <f>IF($A480&lt;&gt;0,VLOOKUP($A480,'0.Productos'!$A$3:$GG$587,'0.Productos'!BZ$1+1,0),"")</f>
        <v/>
      </c>
      <c r="AI480" s="133" t="str">
        <f>IF($A480&lt;&gt;0,VLOOKUP($A480,'0.Productos'!$A$3:$GG$587,'0.Productos'!CA$1+1,0),"")</f>
        <v/>
      </c>
      <c r="AJ480" s="133" t="str">
        <f>IF($A480&lt;&gt;0,VLOOKUP($A480,'0.Productos'!$A$3:$GG$587,'0.Productos'!CB$1+1,0),"")</f>
        <v/>
      </c>
      <c r="AK480" s="133" t="str">
        <f>IF($A480&lt;&gt;0,VLOOKUP($A480,'0.Productos'!$A$3:$GG$587,'0.Productos'!CC$1+1,0),"")</f>
        <v/>
      </c>
      <c r="AL480" s="133" t="str">
        <f>IF($A480&lt;&gt;0,VLOOKUP($A480,'0.Productos'!$A$3:$GG$587,'0.Productos'!CD$1+1,0),"")</f>
        <v/>
      </c>
      <c r="AM480" s="133" t="str">
        <f>IF($A480&lt;&gt;0,VLOOKUP($A480,'0.Productos'!$A$3:$GG$587,'0.Productos'!CE$1+1,0),"")</f>
        <v/>
      </c>
      <c r="AN480" s="133" t="str">
        <f>IF($A480&lt;&gt;0,VLOOKUP($A480,'0.Productos'!$A$3:$GG$587,'0.Productos'!CF$1+1,0),"")</f>
        <v/>
      </c>
      <c r="AO480" s="133" t="str">
        <f>IF($A480&lt;&gt;0,VLOOKUP($A480,'0.Productos'!$A$3:$GG$587,'0.Productos'!CG$1+1,0),"")</f>
        <v/>
      </c>
      <c r="AP480" s="133" t="str">
        <f>IF($A480&lt;&gt;0,VLOOKUP($A480,'0.Productos'!$A$3:$GG$587,'0.Productos'!CH$1+1,0),"")</f>
        <v/>
      </c>
      <c r="AQ480" s="133" t="str">
        <f>IF($A480&lt;&gt;0,VLOOKUP($A480,'0.Productos'!$A$3:$GG$587,'0.Productos'!CI$1+1,0),"")</f>
        <v/>
      </c>
      <c r="AR480" s="133" t="str">
        <f>IF($A480&lt;&gt;0,VLOOKUP($A480,'0.Productos'!$A$3:$GG$587,'0.Productos'!CJ$1+1,0),"")</f>
        <v/>
      </c>
      <c r="AS480" s="133" t="str">
        <f>IF($A480&lt;&gt;0,VLOOKUP($A480,'0.Productos'!$A$3:$GG$587,'0.Productos'!CK$1+1,0),"")</f>
        <v/>
      </c>
      <c r="AT480" s="133" t="str">
        <f>IF($A480&lt;&gt;0,VLOOKUP($A480,'0.Productos'!$A$3:$GG$587,'0.Productos'!CL$1+1,0),"")</f>
        <v/>
      </c>
      <c r="AU480" s="133" t="str">
        <f>IF($A480&lt;&gt;0,VLOOKUP($A480,'0.Productos'!$A$3:$GG$587,'0.Productos'!CM$1+1,0),"")</f>
        <v/>
      </c>
      <c r="AV480" s="133" t="str">
        <f>IF($A480&lt;&gt;0,VLOOKUP($A480,'0.Productos'!$A$3:$GG$587,'0.Productos'!CN$1+1,0),"")</f>
        <v/>
      </c>
      <c r="AW480" s="133" t="str">
        <f>IF($A480&lt;&gt;0,VLOOKUP($A480,'0.Productos'!$A$3:$GG$587,'0.Productos'!CO$1+1,0),"")</f>
        <v/>
      </c>
      <c r="AX480" s="133" t="str">
        <f>IF($A480&lt;&gt;0,VLOOKUP($A480,'0.Productos'!$A$3:$GG$587,'0.Productos'!CP$1+1,0),"")</f>
        <v/>
      </c>
      <c r="AY480" s="133" t="str">
        <f>IF($A480&lt;&gt;0,VLOOKUP($A480,'0.Productos'!$A$3:$GG$587,'0.Productos'!CQ$1+1,0),"")</f>
        <v/>
      </c>
      <c r="AZ480" s="133" t="str">
        <f>IF($A480&lt;&gt;0,VLOOKUP($A480,'0.Productos'!$A$3:$GG$587,'0.Productos'!CR$1+1,0),"")</f>
        <v/>
      </c>
      <c r="BA480" s="133" t="str">
        <f>IF($A480&lt;&gt;0,VLOOKUP($A480,'0.Productos'!$A$3:$GG$587,'0.Productos'!CS$1+1,0),"")</f>
        <v/>
      </c>
      <c r="BB480" s="133" t="str">
        <f>IF($A480&lt;&gt;0,VLOOKUP($A480,'0.Productos'!$A$3:$GG$587,'0.Productos'!CT$1+1,0),"")</f>
        <v/>
      </c>
      <c r="BC480" s="133" t="str">
        <f>IF($A480&lt;&gt;0,VLOOKUP($A480,'0.Productos'!$A$3:$GG$587,'0.Productos'!CU$1+1,0),"")</f>
        <v/>
      </c>
      <c r="BD480" s="133" t="str">
        <f>IF($A480&lt;&gt;0,VLOOKUP($A480,'0.Productos'!$A$3:$GG$587,'0.Productos'!CV$1+1,0),"")</f>
        <v/>
      </c>
      <c r="BE480" s="133" t="str">
        <f>IF($A480&lt;&gt;0,VLOOKUP($A480,'0.Productos'!$A$3:$GG$587,'0.Productos'!CW$1+1,0),"")</f>
        <v/>
      </c>
      <c r="BF480" s="133" t="str">
        <f>IF($A480&lt;&gt;0,VLOOKUP($A480,'0.Productos'!$A$3:$GG$587,'0.Productos'!CX$1+1,0),"")</f>
        <v/>
      </c>
      <c r="BG480" s="133" t="str">
        <f>IF($A480&lt;&gt;0,VLOOKUP($A480,'0.Productos'!$A$3:$GG$587,'0.Productos'!CY$1+1,0),"")</f>
        <v/>
      </c>
      <c r="BH480" s="133" t="str">
        <f>IF($A480&lt;&gt;0,VLOOKUP($A480,'0.Productos'!$A$3:$GG$587,'0.Productos'!CZ$1+1,0),"")</f>
        <v/>
      </c>
      <c r="BI480" s="133" t="str">
        <f>IF($A480&lt;&gt;0,VLOOKUP($A480,'0.Productos'!$A$3:$GG$587,'0.Productos'!DA$1+1,0),"")</f>
        <v/>
      </c>
      <c r="BJ480" s="133" t="str">
        <f>IF($A480&lt;&gt;0,VLOOKUP($A480,'0.Productos'!$A$3:$GG$587,'0.Productos'!DB$1+1,0),"")</f>
        <v/>
      </c>
      <c r="BK480" s="133" t="str">
        <f>IF($A480&lt;&gt;0,VLOOKUP($A480,'0.Productos'!$A$3:$GG$587,'0.Productos'!DC$1+1,0),"")</f>
        <v/>
      </c>
      <c r="BL480" s="133" t="str">
        <f>IF($A480&lt;&gt;0,VLOOKUP($A480,'0.Productos'!$A$3:$GG$587,'0.Productos'!DD$1+1,0),"")</f>
        <v/>
      </c>
      <c r="BM480" s="133" t="str">
        <f>IF($A480&lt;&gt;0,VLOOKUP($A480,'0.Productos'!$A$3:$GG$587,'0.Productos'!DE$1+1,0),"")</f>
        <v/>
      </c>
      <c r="BN480" s="133" t="str">
        <f>IF($A480&lt;&gt;0,VLOOKUP($A480,'0.Productos'!$A$3:$GG$587,'0.Productos'!DF$1+1,0),"")</f>
        <v/>
      </c>
      <c r="BO480" s="133" t="str">
        <f>IF($A480&lt;&gt;0,VLOOKUP($A480,'0.Productos'!$A$3:$GG$587,'0.Productos'!DG$1+1,0),"")</f>
        <v/>
      </c>
      <c r="BP480" s="133" t="str">
        <f>IF($A480&lt;&gt;0,VLOOKUP($A480,'0.Productos'!$A$3:$GG$587,'0.Productos'!DH$1+1,0),"")</f>
        <v/>
      </c>
      <c r="BQ480" s="133" t="str">
        <f>IF($A480&lt;&gt;0,VLOOKUP($A480,'0.Productos'!$A$3:$GG$587,'0.Productos'!DI$1+1,0),"")</f>
        <v/>
      </c>
      <c r="BR480" s="133" t="str">
        <f>IF($A480&lt;&gt;0,VLOOKUP($A480,'0.Productos'!$A$3:$GG$587,'0.Productos'!DJ$1+1,0),"")</f>
        <v/>
      </c>
      <c r="BS480" s="133" t="str">
        <f>IF($A480&lt;&gt;0,VLOOKUP($A480,'0.Productos'!$A$3:$GG$587,'0.Productos'!DK$1+1,0),"")</f>
        <v/>
      </c>
      <c r="BT480" s="133" t="str">
        <f>IF($A480&lt;&gt;0,VLOOKUP($A480,'0.Productos'!$A$3:$GG$587,'0.Productos'!DL$1+1,0),"")</f>
        <v/>
      </c>
    </row>
    <row r="481" spans="1:72" x14ac:dyDescent="0.25">
      <c r="A481" s="17">
        <f>'0.Consolidado general'!A481</f>
        <v>0</v>
      </c>
      <c r="B481" s="133" t="str">
        <f>IF($A481&lt;&gt;0,VLOOKUP($A481,'0.Productos'!$A$3:$GG$587,'0.Productos'!AT$1+1,0),"")</f>
        <v/>
      </c>
      <c r="C481" s="133" t="str">
        <f>IF($A481&lt;&gt;0,VLOOKUP($A481,'0.Productos'!$A$3:$GG$587,'0.Productos'!AU$1+1,0),"")</f>
        <v/>
      </c>
      <c r="D481" s="133" t="str">
        <f>IF($A481&lt;&gt;0,VLOOKUP($A481,'0.Productos'!$A$3:$GG$587,'0.Productos'!AV$1+1,0),"")</f>
        <v/>
      </c>
      <c r="E481" s="133" t="str">
        <f>IF($A481&lt;&gt;0,VLOOKUP($A481,'0.Productos'!$A$3:$GG$587,'0.Productos'!AW$1+1,0),"")</f>
        <v/>
      </c>
      <c r="F481" s="133" t="str">
        <f>IF($A481&lt;&gt;0,VLOOKUP($A481,'0.Productos'!$A$3:$GG$587,'0.Productos'!AX$1+1,0),"")</f>
        <v/>
      </c>
      <c r="G481" s="133" t="str">
        <f>IF($A481&lt;&gt;0,VLOOKUP($A481,'0.Productos'!$A$3:$GG$587,'0.Productos'!AY$1+1,0),"")</f>
        <v/>
      </c>
      <c r="H481" s="133" t="str">
        <f>IF($A481&lt;&gt;0,VLOOKUP($A481,'0.Productos'!$A$3:$GG$587,'0.Productos'!AZ$1+1,0),"")</f>
        <v/>
      </c>
      <c r="I481" s="133" t="str">
        <f>IF($A481&lt;&gt;0,VLOOKUP($A481,'0.Productos'!$A$3:$GG$587,'0.Productos'!BA$1+1,0),"")</f>
        <v/>
      </c>
      <c r="J481" s="133" t="str">
        <f>IF($A481&lt;&gt;0,VLOOKUP($A481,'0.Productos'!$A$3:$GG$587,'0.Productos'!BB$1+1,0),"")</f>
        <v/>
      </c>
      <c r="K481" s="133" t="str">
        <f>IF($A481&lt;&gt;0,VLOOKUP($A481,'0.Productos'!$A$3:$GG$587,'0.Productos'!BC$1+1,0),"")</f>
        <v/>
      </c>
      <c r="L481" s="133" t="str">
        <f>IF($A481&lt;&gt;0,VLOOKUP($A481,'0.Productos'!$A$3:$GG$587,'0.Productos'!BD$1+1,0),"")</f>
        <v/>
      </c>
      <c r="M481" s="133" t="str">
        <f>IF($A481&lt;&gt;0,VLOOKUP($A481,'0.Productos'!$A$3:$GG$587,'0.Productos'!BE$1+1,0),"")</f>
        <v/>
      </c>
      <c r="N481" s="133" t="str">
        <f>IF($A481&lt;&gt;0,VLOOKUP($A481,'0.Productos'!$A$3:$GG$587,'0.Productos'!BF$1+1,0),"")</f>
        <v/>
      </c>
      <c r="O481" s="133" t="str">
        <f>IF($A481&lt;&gt;0,VLOOKUP($A481,'0.Productos'!$A$3:$GG$587,'0.Productos'!BG$1+1,0),"")</f>
        <v/>
      </c>
      <c r="P481" s="133" t="str">
        <f>IF($A481&lt;&gt;0,VLOOKUP($A481,'0.Productos'!$A$3:$GG$587,'0.Productos'!BH$1+1,0),"")</f>
        <v/>
      </c>
      <c r="Q481" s="133" t="str">
        <f>IF($A481&lt;&gt;0,VLOOKUP($A481,'0.Productos'!$A$3:$GG$587,'0.Productos'!BI$1+1,0),"")</f>
        <v/>
      </c>
      <c r="R481" s="133" t="str">
        <f>IF($A481&lt;&gt;0,VLOOKUP($A481,'0.Productos'!$A$3:$GG$587,'0.Productos'!BJ$1+1,0),"")</f>
        <v/>
      </c>
      <c r="S481" s="133" t="str">
        <f>IF($A481&lt;&gt;0,VLOOKUP($A481,'0.Productos'!$A$3:$GG$587,'0.Productos'!BK$1+1,0),"")</f>
        <v/>
      </c>
      <c r="T481" s="133" t="str">
        <f>IF($A481&lt;&gt;0,VLOOKUP($A481,'0.Productos'!$A$3:$GG$587,'0.Productos'!BL$1+1,0),"")</f>
        <v/>
      </c>
      <c r="U481" s="133" t="str">
        <f>IF($A481&lt;&gt;0,VLOOKUP($A481,'0.Productos'!$A$3:$GG$587,'0.Productos'!BM$1+1,0),"")</f>
        <v/>
      </c>
      <c r="V481" s="133" t="str">
        <f>IF($A481&lt;&gt;0,VLOOKUP($A481,'0.Productos'!$A$3:$GG$587,'0.Productos'!BN$1+1,0),"")</f>
        <v/>
      </c>
      <c r="W481" s="133" t="str">
        <f>IF($A481&lt;&gt;0,VLOOKUP($A481,'0.Productos'!$A$3:$GG$587,'0.Productos'!BO$1+1,0),"")</f>
        <v/>
      </c>
      <c r="X481" s="133" t="str">
        <f>IF($A481&lt;&gt;0,VLOOKUP($A481,'0.Productos'!$A$3:$GG$587,'0.Productos'!BP$1+1,0),"")</f>
        <v/>
      </c>
      <c r="Y481" s="133" t="str">
        <f>IF($A481&lt;&gt;0,VLOOKUP($A481,'0.Productos'!$A$3:$GG$587,'0.Productos'!BQ$1+1,0),"")</f>
        <v/>
      </c>
      <c r="Z481" s="133" t="str">
        <f>IF($A481&lt;&gt;0,VLOOKUP($A481,'0.Productos'!$A$3:$GG$587,'0.Productos'!BR$1+1,0),"")</f>
        <v/>
      </c>
      <c r="AA481" s="133" t="str">
        <f>IF($A481&lt;&gt;0,VLOOKUP($A481,'0.Productos'!$A$3:$GG$587,'0.Productos'!BS$1+1,0),"")</f>
        <v/>
      </c>
      <c r="AB481" s="133" t="str">
        <f>IF($A481&lt;&gt;0,VLOOKUP($A481,'0.Productos'!$A$3:$GG$587,'0.Productos'!BT$1+1,0),"")</f>
        <v/>
      </c>
      <c r="AC481" s="133" t="str">
        <f>IF($A481&lt;&gt;0,VLOOKUP($A481,'0.Productos'!$A$3:$GG$587,'0.Productos'!BU$1+1,0),"")</f>
        <v/>
      </c>
      <c r="AD481" s="133" t="str">
        <f>IF($A481&lt;&gt;0,VLOOKUP($A481,'0.Productos'!$A$3:$GG$587,'0.Productos'!BV$1+1,0),"")</f>
        <v/>
      </c>
      <c r="AE481" s="133" t="str">
        <f>IF($A481&lt;&gt;0,VLOOKUP($A481,'0.Productos'!$A$3:$GG$587,'0.Productos'!BW$1+1,0),"")</f>
        <v/>
      </c>
      <c r="AF481" s="133" t="str">
        <f>IF($A481&lt;&gt;0,VLOOKUP($A481,'0.Productos'!$A$3:$GG$587,'0.Productos'!BX$1+1,0),"")</f>
        <v/>
      </c>
      <c r="AG481" s="133" t="str">
        <f>IF($A481&lt;&gt;0,VLOOKUP($A481,'0.Productos'!$A$3:$GG$587,'0.Productos'!BY$1+1,0),"")</f>
        <v/>
      </c>
      <c r="AH481" s="133" t="str">
        <f>IF($A481&lt;&gt;0,VLOOKUP($A481,'0.Productos'!$A$3:$GG$587,'0.Productos'!BZ$1+1,0),"")</f>
        <v/>
      </c>
      <c r="AI481" s="133" t="str">
        <f>IF($A481&lt;&gt;0,VLOOKUP($A481,'0.Productos'!$A$3:$GG$587,'0.Productos'!CA$1+1,0),"")</f>
        <v/>
      </c>
      <c r="AJ481" s="133" t="str">
        <f>IF($A481&lt;&gt;0,VLOOKUP($A481,'0.Productos'!$A$3:$GG$587,'0.Productos'!CB$1+1,0),"")</f>
        <v/>
      </c>
      <c r="AK481" s="133" t="str">
        <f>IF($A481&lt;&gt;0,VLOOKUP($A481,'0.Productos'!$A$3:$GG$587,'0.Productos'!CC$1+1,0),"")</f>
        <v/>
      </c>
      <c r="AL481" s="133" t="str">
        <f>IF($A481&lt;&gt;0,VLOOKUP($A481,'0.Productos'!$A$3:$GG$587,'0.Productos'!CD$1+1,0),"")</f>
        <v/>
      </c>
      <c r="AM481" s="133" t="str">
        <f>IF($A481&lt;&gt;0,VLOOKUP($A481,'0.Productos'!$A$3:$GG$587,'0.Productos'!CE$1+1,0),"")</f>
        <v/>
      </c>
      <c r="AN481" s="133" t="str">
        <f>IF($A481&lt;&gt;0,VLOOKUP($A481,'0.Productos'!$A$3:$GG$587,'0.Productos'!CF$1+1,0),"")</f>
        <v/>
      </c>
      <c r="AO481" s="133" t="str">
        <f>IF($A481&lt;&gt;0,VLOOKUP($A481,'0.Productos'!$A$3:$GG$587,'0.Productos'!CG$1+1,0),"")</f>
        <v/>
      </c>
      <c r="AP481" s="133" t="str">
        <f>IF($A481&lt;&gt;0,VLOOKUP($A481,'0.Productos'!$A$3:$GG$587,'0.Productos'!CH$1+1,0),"")</f>
        <v/>
      </c>
      <c r="AQ481" s="133" t="str">
        <f>IF($A481&lt;&gt;0,VLOOKUP($A481,'0.Productos'!$A$3:$GG$587,'0.Productos'!CI$1+1,0),"")</f>
        <v/>
      </c>
      <c r="AR481" s="133" t="str">
        <f>IF($A481&lt;&gt;0,VLOOKUP($A481,'0.Productos'!$A$3:$GG$587,'0.Productos'!CJ$1+1,0),"")</f>
        <v/>
      </c>
      <c r="AS481" s="133" t="str">
        <f>IF($A481&lt;&gt;0,VLOOKUP($A481,'0.Productos'!$A$3:$GG$587,'0.Productos'!CK$1+1,0),"")</f>
        <v/>
      </c>
      <c r="AT481" s="133" t="str">
        <f>IF($A481&lt;&gt;0,VLOOKUP($A481,'0.Productos'!$A$3:$GG$587,'0.Productos'!CL$1+1,0),"")</f>
        <v/>
      </c>
      <c r="AU481" s="133" t="str">
        <f>IF($A481&lt;&gt;0,VLOOKUP($A481,'0.Productos'!$A$3:$GG$587,'0.Productos'!CM$1+1,0),"")</f>
        <v/>
      </c>
      <c r="AV481" s="133" t="str">
        <f>IF($A481&lt;&gt;0,VLOOKUP($A481,'0.Productos'!$A$3:$GG$587,'0.Productos'!CN$1+1,0),"")</f>
        <v/>
      </c>
      <c r="AW481" s="133" t="str">
        <f>IF($A481&lt;&gt;0,VLOOKUP($A481,'0.Productos'!$A$3:$GG$587,'0.Productos'!CO$1+1,0),"")</f>
        <v/>
      </c>
      <c r="AX481" s="133" t="str">
        <f>IF($A481&lt;&gt;0,VLOOKUP($A481,'0.Productos'!$A$3:$GG$587,'0.Productos'!CP$1+1,0),"")</f>
        <v/>
      </c>
      <c r="AY481" s="133" t="str">
        <f>IF($A481&lt;&gt;0,VLOOKUP($A481,'0.Productos'!$A$3:$GG$587,'0.Productos'!CQ$1+1,0),"")</f>
        <v/>
      </c>
      <c r="AZ481" s="133" t="str">
        <f>IF($A481&lt;&gt;0,VLOOKUP($A481,'0.Productos'!$A$3:$GG$587,'0.Productos'!CR$1+1,0),"")</f>
        <v/>
      </c>
      <c r="BA481" s="133" t="str">
        <f>IF($A481&lt;&gt;0,VLOOKUP($A481,'0.Productos'!$A$3:$GG$587,'0.Productos'!CS$1+1,0),"")</f>
        <v/>
      </c>
      <c r="BB481" s="133" t="str">
        <f>IF($A481&lt;&gt;0,VLOOKUP($A481,'0.Productos'!$A$3:$GG$587,'0.Productos'!CT$1+1,0),"")</f>
        <v/>
      </c>
      <c r="BC481" s="133" t="str">
        <f>IF($A481&lt;&gt;0,VLOOKUP($A481,'0.Productos'!$A$3:$GG$587,'0.Productos'!CU$1+1,0),"")</f>
        <v/>
      </c>
      <c r="BD481" s="133" t="str">
        <f>IF($A481&lt;&gt;0,VLOOKUP($A481,'0.Productos'!$A$3:$GG$587,'0.Productos'!CV$1+1,0),"")</f>
        <v/>
      </c>
      <c r="BE481" s="133" t="str">
        <f>IF($A481&lt;&gt;0,VLOOKUP($A481,'0.Productos'!$A$3:$GG$587,'0.Productos'!CW$1+1,0),"")</f>
        <v/>
      </c>
      <c r="BF481" s="133" t="str">
        <f>IF($A481&lt;&gt;0,VLOOKUP($A481,'0.Productos'!$A$3:$GG$587,'0.Productos'!CX$1+1,0),"")</f>
        <v/>
      </c>
      <c r="BG481" s="133" t="str">
        <f>IF($A481&lt;&gt;0,VLOOKUP($A481,'0.Productos'!$A$3:$GG$587,'0.Productos'!CY$1+1,0),"")</f>
        <v/>
      </c>
      <c r="BH481" s="133" t="str">
        <f>IF($A481&lt;&gt;0,VLOOKUP($A481,'0.Productos'!$A$3:$GG$587,'0.Productos'!CZ$1+1,0),"")</f>
        <v/>
      </c>
      <c r="BI481" s="133" t="str">
        <f>IF($A481&lt;&gt;0,VLOOKUP($A481,'0.Productos'!$A$3:$GG$587,'0.Productos'!DA$1+1,0),"")</f>
        <v/>
      </c>
      <c r="BJ481" s="133" t="str">
        <f>IF($A481&lt;&gt;0,VLOOKUP($A481,'0.Productos'!$A$3:$GG$587,'0.Productos'!DB$1+1,0),"")</f>
        <v/>
      </c>
      <c r="BK481" s="133" t="str">
        <f>IF($A481&lt;&gt;0,VLOOKUP($A481,'0.Productos'!$A$3:$GG$587,'0.Productos'!DC$1+1,0),"")</f>
        <v/>
      </c>
      <c r="BL481" s="133" t="str">
        <f>IF($A481&lt;&gt;0,VLOOKUP($A481,'0.Productos'!$A$3:$GG$587,'0.Productos'!DD$1+1,0),"")</f>
        <v/>
      </c>
      <c r="BM481" s="133" t="str">
        <f>IF($A481&lt;&gt;0,VLOOKUP($A481,'0.Productos'!$A$3:$GG$587,'0.Productos'!DE$1+1,0),"")</f>
        <v/>
      </c>
      <c r="BN481" s="133" t="str">
        <f>IF($A481&lt;&gt;0,VLOOKUP($A481,'0.Productos'!$A$3:$GG$587,'0.Productos'!DF$1+1,0),"")</f>
        <v/>
      </c>
      <c r="BO481" s="133" t="str">
        <f>IF($A481&lt;&gt;0,VLOOKUP($A481,'0.Productos'!$A$3:$GG$587,'0.Productos'!DG$1+1,0),"")</f>
        <v/>
      </c>
      <c r="BP481" s="133" t="str">
        <f>IF($A481&lt;&gt;0,VLOOKUP($A481,'0.Productos'!$A$3:$GG$587,'0.Productos'!DH$1+1,0),"")</f>
        <v/>
      </c>
      <c r="BQ481" s="133" t="str">
        <f>IF($A481&lt;&gt;0,VLOOKUP($A481,'0.Productos'!$A$3:$GG$587,'0.Productos'!DI$1+1,0),"")</f>
        <v/>
      </c>
      <c r="BR481" s="133" t="str">
        <f>IF($A481&lt;&gt;0,VLOOKUP($A481,'0.Productos'!$A$3:$GG$587,'0.Productos'!DJ$1+1,0),"")</f>
        <v/>
      </c>
      <c r="BS481" s="133" t="str">
        <f>IF($A481&lt;&gt;0,VLOOKUP($A481,'0.Productos'!$A$3:$GG$587,'0.Productos'!DK$1+1,0),"")</f>
        <v/>
      </c>
      <c r="BT481" s="133" t="str">
        <f>IF($A481&lt;&gt;0,VLOOKUP($A481,'0.Productos'!$A$3:$GG$587,'0.Productos'!DL$1+1,0),"")</f>
        <v/>
      </c>
    </row>
    <row r="482" spans="1:72" x14ac:dyDescent="0.25">
      <c r="A482" s="17">
        <f>'0.Consolidado general'!A482</f>
        <v>0</v>
      </c>
      <c r="B482" s="133" t="str">
        <f>IF($A482&lt;&gt;0,VLOOKUP($A482,'0.Productos'!$A$3:$GG$587,'0.Productos'!AT$1+1,0),"")</f>
        <v/>
      </c>
      <c r="C482" s="133" t="str">
        <f>IF($A482&lt;&gt;0,VLOOKUP($A482,'0.Productos'!$A$3:$GG$587,'0.Productos'!AU$1+1,0),"")</f>
        <v/>
      </c>
      <c r="D482" s="133" t="str">
        <f>IF($A482&lt;&gt;0,VLOOKUP($A482,'0.Productos'!$A$3:$GG$587,'0.Productos'!AV$1+1,0),"")</f>
        <v/>
      </c>
      <c r="E482" s="133" t="str">
        <f>IF($A482&lt;&gt;0,VLOOKUP($A482,'0.Productos'!$A$3:$GG$587,'0.Productos'!AW$1+1,0),"")</f>
        <v/>
      </c>
      <c r="F482" s="133" t="str">
        <f>IF($A482&lt;&gt;0,VLOOKUP($A482,'0.Productos'!$A$3:$GG$587,'0.Productos'!AX$1+1,0),"")</f>
        <v/>
      </c>
      <c r="G482" s="133" t="str">
        <f>IF($A482&lt;&gt;0,VLOOKUP($A482,'0.Productos'!$A$3:$GG$587,'0.Productos'!AY$1+1,0),"")</f>
        <v/>
      </c>
      <c r="H482" s="133" t="str">
        <f>IF($A482&lt;&gt;0,VLOOKUP($A482,'0.Productos'!$A$3:$GG$587,'0.Productos'!AZ$1+1,0),"")</f>
        <v/>
      </c>
      <c r="I482" s="133" t="str">
        <f>IF($A482&lt;&gt;0,VLOOKUP($A482,'0.Productos'!$A$3:$GG$587,'0.Productos'!BA$1+1,0),"")</f>
        <v/>
      </c>
      <c r="J482" s="133" t="str">
        <f>IF($A482&lt;&gt;0,VLOOKUP($A482,'0.Productos'!$A$3:$GG$587,'0.Productos'!BB$1+1,0),"")</f>
        <v/>
      </c>
      <c r="K482" s="133" t="str">
        <f>IF($A482&lt;&gt;0,VLOOKUP($A482,'0.Productos'!$A$3:$GG$587,'0.Productos'!BC$1+1,0),"")</f>
        <v/>
      </c>
      <c r="L482" s="133" t="str">
        <f>IF($A482&lt;&gt;0,VLOOKUP($A482,'0.Productos'!$A$3:$GG$587,'0.Productos'!BD$1+1,0),"")</f>
        <v/>
      </c>
      <c r="M482" s="133" t="str">
        <f>IF($A482&lt;&gt;0,VLOOKUP($A482,'0.Productos'!$A$3:$GG$587,'0.Productos'!BE$1+1,0),"")</f>
        <v/>
      </c>
      <c r="N482" s="133" t="str">
        <f>IF($A482&lt;&gt;0,VLOOKUP($A482,'0.Productos'!$A$3:$GG$587,'0.Productos'!BF$1+1,0),"")</f>
        <v/>
      </c>
      <c r="O482" s="133" t="str">
        <f>IF($A482&lt;&gt;0,VLOOKUP($A482,'0.Productos'!$A$3:$GG$587,'0.Productos'!BG$1+1,0),"")</f>
        <v/>
      </c>
      <c r="P482" s="133" t="str">
        <f>IF($A482&lt;&gt;0,VLOOKUP($A482,'0.Productos'!$A$3:$GG$587,'0.Productos'!BH$1+1,0),"")</f>
        <v/>
      </c>
      <c r="Q482" s="133" t="str">
        <f>IF($A482&lt;&gt;0,VLOOKUP($A482,'0.Productos'!$A$3:$GG$587,'0.Productos'!BI$1+1,0),"")</f>
        <v/>
      </c>
      <c r="R482" s="133" t="str">
        <f>IF($A482&lt;&gt;0,VLOOKUP($A482,'0.Productos'!$A$3:$GG$587,'0.Productos'!BJ$1+1,0),"")</f>
        <v/>
      </c>
      <c r="S482" s="133" t="str">
        <f>IF($A482&lt;&gt;0,VLOOKUP($A482,'0.Productos'!$A$3:$GG$587,'0.Productos'!BK$1+1,0),"")</f>
        <v/>
      </c>
      <c r="T482" s="133" t="str">
        <f>IF($A482&lt;&gt;0,VLOOKUP($A482,'0.Productos'!$A$3:$GG$587,'0.Productos'!BL$1+1,0),"")</f>
        <v/>
      </c>
      <c r="U482" s="133" t="str">
        <f>IF($A482&lt;&gt;0,VLOOKUP($A482,'0.Productos'!$A$3:$GG$587,'0.Productos'!BM$1+1,0),"")</f>
        <v/>
      </c>
      <c r="V482" s="133" t="str">
        <f>IF($A482&lt;&gt;0,VLOOKUP($A482,'0.Productos'!$A$3:$GG$587,'0.Productos'!BN$1+1,0),"")</f>
        <v/>
      </c>
      <c r="W482" s="133" t="str">
        <f>IF($A482&lt;&gt;0,VLOOKUP($A482,'0.Productos'!$A$3:$GG$587,'0.Productos'!BO$1+1,0),"")</f>
        <v/>
      </c>
      <c r="X482" s="133" t="str">
        <f>IF($A482&lt;&gt;0,VLOOKUP($A482,'0.Productos'!$A$3:$GG$587,'0.Productos'!BP$1+1,0),"")</f>
        <v/>
      </c>
      <c r="Y482" s="133" t="str">
        <f>IF($A482&lt;&gt;0,VLOOKUP($A482,'0.Productos'!$A$3:$GG$587,'0.Productos'!BQ$1+1,0),"")</f>
        <v/>
      </c>
      <c r="Z482" s="133" t="str">
        <f>IF($A482&lt;&gt;0,VLOOKUP($A482,'0.Productos'!$A$3:$GG$587,'0.Productos'!BR$1+1,0),"")</f>
        <v/>
      </c>
      <c r="AA482" s="133" t="str">
        <f>IF($A482&lt;&gt;0,VLOOKUP($A482,'0.Productos'!$A$3:$GG$587,'0.Productos'!BS$1+1,0),"")</f>
        <v/>
      </c>
      <c r="AB482" s="133" t="str">
        <f>IF($A482&lt;&gt;0,VLOOKUP($A482,'0.Productos'!$A$3:$GG$587,'0.Productos'!BT$1+1,0),"")</f>
        <v/>
      </c>
      <c r="AC482" s="133" t="str">
        <f>IF($A482&lt;&gt;0,VLOOKUP($A482,'0.Productos'!$A$3:$GG$587,'0.Productos'!BU$1+1,0),"")</f>
        <v/>
      </c>
      <c r="AD482" s="133" t="str">
        <f>IF($A482&lt;&gt;0,VLOOKUP($A482,'0.Productos'!$A$3:$GG$587,'0.Productos'!BV$1+1,0),"")</f>
        <v/>
      </c>
      <c r="AE482" s="133" t="str">
        <f>IF($A482&lt;&gt;0,VLOOKUP($A482,'0.Productos'!$A$3:$GG$587,'0.Productos'!BW$1+1,0),"")</f>
        <v/>
      </c>
      <c r="AF482" s="133" t="str">
        <f>IF($A482&lt;&gt;0,VLOOKUP($A482,'0.Productos'!$A$3:$GG$587,'0.Productos'!BX$1+1,0),"")</f>
        <v/>
      </c>
      <c r="AG482" s="133" t="str">
        <f>IF($A482&lt;&gt;0,VLOOKUP($A482,'0.Productos'!$A$3:$GG$587,'0.Productos'!BY$1+1,0),"")</f>
        <v/>
      </c>
      <c r="AH482" s="133" t="str">
        <f>IF($A482&lt;&gt;0,VLOOKUP($A482,'0.Productos'!$A$3:$GG$587,'0.Productos'!BZ$1+1,0),"")</f>
        <v/>
      </c>
      <c r="AI482" s="133" t="str">
        <f>IF($A482&lt;&gt;0,VLOOKUP($A482,'0.Productos'!$A$3:$GG$587,'0.Productos'!CA$1+1,0),"")</f>
        <v/>
      </c>
      <c r="AJ482" s="133" t="str">
        <f>IF($A482&lt;&gt;0,VLOOKUP($A482,'0.Productos'!$A$3:$GG$587,'0.Productos'!CB$1+1,0),"")</f>
        <v/>
      </c>
      <c r="AK482" s="133" t="str">
        <f>IF($A482&lt;&gt;0,VLOOKUP($A482,'0.Productos'!$A$3:$GG$587,'0.Productos'!CC$1+1,0),"")</f>
        <v/>
      </c>
      <c r="AL482" s="133" t="str">
        <f>IF($A482&lt;&gt;0,VLOOKUP($A482,'0.Productos'!$A$3:$GG$587,'0.Productos'!CD$1+1,0),"")</f>
        <v/>
      </c>
      <c r="AM482" s="133" t="str">
        <f>IF($A482&lt;&gt;0,VLOOKUP($A482,'0.Productos'!$A$3:$GG$587,'0.Productos'!CE$1+1,0),"")</f>
        <v/>
      </c>
      <c r="AN482" s="133" t="str">
        <f>IF($A482&lt;&gt;0,VLOOKUP($A482,'0.Productos'!$A$3:$GG$587,'0.Productos'!CF$1+1,0),"")</f>
        <v/>
      </c>
      <c r="AO482" s="133" t="str">
        <f>IF($A482&lt;&gt;0,VLOOKUP($A482,'0.Productos'!$A$3:$GG$587,'0.Productos'!CG$1+1,0),"")</f>
        <v/>
      </c>
      <c r="AP482" s="133" t="str">
        <f>IF($A482&lt;&gt;0,VLOOKUP($A482,'0.Productos'!$A$3:$GG$587,'0.Productos'!CH$1+1,0),"")</f>
        <v/>
      </c>
      <c r="AQ482" s="133" t="str">
        <f>IF($A482&lt;&gt;0,VLOOKUP($A482,'0.Productos'!$A$3:$GG$587,'0.Productos'!CI$1+1,0),"")</f>
        <v/>
      </c>
      <c r="AR482" s="133" t="str">
        <f>IF($A482&lt;&gt;0,VLOOKUP($A482,'0.Productos'!$A$3:$GG$587,'0.Productos'!CJ$1+1,0),"")</f>
        <v/>
      </c>
      <c r="AS482" s="133" t="str">
        <f>IF($A482&lt;&gt;0,VLOOKUP($A482,'0.Productos'!$A$3:$GG$587,'0.Productos'!CK$1+1,0),"")</f>
        <v/>
      </c>
      <c r="AT482" s="133" t="str">
        <f>IF($A482&lt;&gt;0,VLOOKUP($A482,'0.Productos'!$A$3:$GG$587,'0.Productos'!CL$1+1,0),"")</f>
        <v/>
      </c>
      <c r="AU482" s="133" t="str">
        <f>IF($A482&lt;&gt;0,VLOOKUP($A482,'0.Productos'!$A$3:$GG$587,'0.Productos'!CM$1+1,0),"")</f>
        <v/>
      </c>
      <c r="AV482" s="133" t="str">
        <f>IF($A482&lt;&gt;0,VLOOKUP($A482,'0.Productos'!$A$3:$GG$587,'0.Productos'!CN$1+1,0),"")</f>
        <v/>
      </c>
      <c r="AW482" s="133" t="str">
        <f>IF($A482&lt;&gt;0,VLOOKUP($A482,'0.Productos'!$A$3:$GG$587,'0.Productos'!CO$1+1,0),"")</f>
        <v/>
      </c>
      <c r="AX482" s="133" t="str">
        <f>IF($A482&lt;&gt;0,VLOOKUP($A482,'0.Productos'!$A$3:$GG$587,'0.Productos'!CP$1+1,0),"")</f>
        <v/>
      </c>
      <c r="AY482" s="133" t="str">
        <f>IF($A482&lt;&gt;0,VLOOKUP($A482,'0.Productos'!$A$3:$GG$587,'0.Productos'!CQ$1+1,0),"")</f>
        <v/>
      </c>
      <c r="AZ482" s="133" t="str">
        <f>IF($A482&lt;&gt;0,VLOOKUP($A482,'0.Productos'!$A$3:$GG$587,'0.Productos'!CR$1+1,0),"")</f>
        <v/>
      </c>
      <c r="BA482" s="133" t="str">
        <f>IF($A482&lt;&gt;0,VLOOKUP($A482,'0.Productos'!$A$3:$GG$587,'0.Productos'!CS$1+1,0),"")</f>
        <v/>
      </c>
      <c r="BB482" s="133" t="str">
        <f>IF($A482&lt;&gt;0,VLOOKUP($A482,'0.Productos'!$A$3:$GG$587,'0.Productos'!CT$1+1,0),"")</f>
        <v/>
      </c>
      <c r="BC482" s="133" t="str">
        <f>IF($A482&lt;&gt;0,VLOOKUP($A482,'0.Productos'!$A$3:$GG$587,'0.Productos'!CU$1+1,0),"")</f>
        <v/>
      </c>
      <c r="BD482" s="133" t="str">
        <f>IF($A482&lt;&gt;0,VLOOKUP($A482,'0.Productos'!$A$3:$GG$587,'0.Productos'!CV$1+1,0),"")</f>
        <v/>
      </c>
      <c r="BE482" s="133" t="str">
        <f>IF($A482&lt;&gt;0,VLOOKUP($A482,'0.Productos'!$A$3:$GG$587,'0.Productos'!CW$1+1,0),"")</f>
        <v/>
      </c>
      <c r="BF482" s="133" t="str">
        <f>IF($A482&lt;&gt;0,VLOOKUP($A482,'0.Productos'!$A$3:$GG$587,'0.Productos'!CX$1+1,0),"")</f>
        <v/>
      </c>
      <c r="BG482" s="133" t="str">
        <f>IF($A482&lt;&gt;0,VLOOKUP($A482,'0.Productos'!$A$3:$GG$587,'0.Productos'!CY$1+1,0),"")</f>
        <v/>
      </c>
      <c r="BH482" s="133" t="str">
        <f>IF($A482&lt;&gt;0,VLOOKUP($A482,'0.Productos'!$A$3:$GG$587,'0.Productos'!CZ$1+1,0),"")</f>
        <v/>
      </c>
      <c r="BI482" s="133" t="str">
        <f>IF($A482&lt;&gt;0,VLOOKUP($A482,'0.Productos'!$A$3:$GG$587,'0.Productos'!DA$1+1,0),"")</f>
        <v/>
      </c>
      <c r="BJ482" s="133" t="str">
        <f>IF($A482&lt;&gt;0,VLOOKUP($A482,'0.Productos'!$A$3:$GG$587,'0.Productos'!DB$1+1,0),"")</f>
        <v/>
      </c>
      <c r="BK482" s="133" t="str">
        <f>IF($A482&lt;&gt;0,VLOOKUP($A482,'0.Productos'!$A$3:$GG$587,'0.Productos'!DC$1+1,0),"")</f>
        <v/>
      </c>
      <c r="BL482" s="133" t="str">
        <f>IF($A482&lt;&gt;0,VLOOKUP($A482,'0.Productos'!$A$3:$GG$587,'0.Productos'!DD$1+1,0),"")</f>
        <v/>
      </c>
      <c r="BM482" s="133" t="str">
        <f>IF($A482&lt;&gt;0,VLOOKUP($A482,'0.Productos'!$A$3:$GG$587,'0.Productos'!DE$1+1,0),"")</f>
        <v/>
      </c>
      <c r="BN482" s="133" t="str">
        <f>IF($A482&lt;&gt;0,VLOOKUP($A482,'0.Productos'!$A$3:$GG$587,'0.Productos'!DF$1+1,0),"")</f>
        <v/>
      </c>
      <c r="BO482" s="133" t="str">
        <f>IF($A482&lt;&gt;0,VLOOKUP($A482,'0.Productos'!$A$3:$GG$587,'0.Productos'!DG$1+1,0),"")</f>
        <v/>
      </c>
      <c r="BP482" s="133" t="str">
        <f>IF($A482&lt;&gt;0,VLOOKUP($A482,'0.Productos'!$A$3:$GG$587,'0.Productos'!DH$1+1,0),"")</f>
        <v/>
      </c>
      <c r="BQ482" s="133" t="str">
        <f>IF($A482&lt;&gt;0,VLOOKUP($A482,'0.Productos'!$A$3:$GG$587,'0.Productos'!DI$1+1,0),"")</f>
        <v/>
      </c>
      <c r="BR482" s="133" t="str">
        <f>IF($A482&lt;&gt;0,VLOOKUP($A482,'0.Productos'!$A$3:$GG$587,'0.Productos'!DJ$1+1,0),"")</f>
        <v/>
      </c>
      <c r="BS482" s="133" t="str">
        <f>IF($A482&lt;&gt;0,VLOOKUP($A482,'0.Productos'!$A$3:$GG$587,'0.Productos'!DK$1+1,0),"")</f>
        <v/>
      </c>
      <c r="BT482" s="133" t="str">
        <f>IF($A482&lt;&gt;0,VLOOKUP($A482,'0.Productos'!$A$3:$GG$587,'0.Productos'!DL$1+1,0),"")</f>
        <v/>
      </c>
    </row>
    <row r="483" spans="1:72" x14ac:dyDescent="0.25">
      <c r="A483" s="17">
        <f>'0.Consolidado general'!A483</f>
        <v>0</v>
      </c>
      <c r="B483" s="133" t="str">
        <f>IF($A483&lt;&gt;0,VLOOKUP($A483,'0.Productos'!$A$3:$GG$587,'0.Productos'!AT$1+1,0),"")</f>
        <v/>
      </c>
      <c r="C483" s="133" t="str">
        <f>IF($A483&lt;&gt;0,VLOOKUP($A483,'0.Productos'!$A$3:$GG$587,'0.Productos'!AU$1+1,0),"")</f>
        <v/>
      </c>
      <c r="D483" s="133" t="str">
        <f>IF($A483&lt;&gt;0,VLOOKUP($A483,'0.Productos'!$A$3:$GG$587,'0.Productos'!AV$1+1,0),"")</f>
        <v/>
      </c>
      <c r="E483" s="133" t="str">
        <f>IF($A483&lt;&gt;0,VLOOKUP($A483,'0.Productos'!$A$3:$GG$587,'0.Productos'!AW$1+1,0),"")</f>
        <v/>
      </c>
      <c r="F483" s="133" t="str">
        <f>IF($A483&lt;&gt;0,VLOOKUP($A483,'0.Productos'!$A$3:$GG$587,'0.Productos'!AX$1+1,0),"")</f>
        <v/>
      </c>
      <c r="G483" s="133" t="str">
        <f>IF($A483&lt;&gt;0,VLOOKUP($A483,'0.Productos'!$A$3:$GG$587,'0.Productos'!AY$1+1,0),"")</f>
        <v/>
      </c>
      <c r="H483" s="133" t="str">
        <f>IF($A483&lt;&gt;0,VLOOKUP($A483,'0.Productos'!$A$3:$GG$587,'0.Productos'!AZ$1+1,0),"")</f>
        <v/>
      </c>
      <c r="I483" s="133" t="str">
        <f>IF($A483&lt;&gt;0,VLOOKUP($A483,'0.Productos'!$A$3:$GG$587,'0.Productos'!BA$1+1,0),"")</f>
        <v/>
      </c>
      <c r="J483" s="133" t="str">
        <f>IF($A483&lt;&gt;0,VLOOKUP($A483,'0.Productos'!$A$3:$GG$587,'0.Productos'!BB$1+1,0),"")</f>
        <v/>
      </c>
      <c r="K483" s="133" t="str">
        <f>IF($A483&lt;&gt;0,VLOOKUP($A483,'0.Productos'!$A$3:$GG$587,'0.Productos'!BC$1+1,0),"")</f>
        <v/>
      </c>
      <c r="L483" s="133" t="str">
        <f>IF($A483&lt;&gt;0,VLOOKUP($A483,'0.Productos'!$A$3:$GG$587,'0.Productos'!BD$1+1,0),"")</f>
        <v/>
      </c>
      <c r="M483" s="133" t="str">
        <f>IF($A483&lt;&gt;0,VLOOKUP($A483,'0.Productos'!$A$3:$GG$587,'0.Productos'!BE$1+1,0),"")</f>
        <v/>
      </c>
      <c r="N483" s="133" t="str">
        <f>IF($A483&lt;&gt;0,VLOOKUP($A483,'0.Productos'!$A$3:$GG$587,'0.Productos'!BF$1+1,0),"")</f>
        <v/>
      </c>
      <c r="O483" s="133" t="str">
        <f>IF($A483&lt;&gt;0,VLOOKUP($A483,'0.Productos'!$A$3:$GG$587,'0.Productos'!BG$1+1,0),"")</f>
        <v/>
      </c>
      <c r="P483" s="133" t="str">
        <f>IF($A483&lt;&gt;0,VLOOKUP($A483,'0.Productos'!$A$3:$GG$587,'0.Productos'!BH$1+1,0),"")</f>
        <v/>
      </c>
      <c r="Q483" s="133" t="str">
        <f>IF($A483&lt;&gt;0,VLOOKUP($A483,'0.Productos'!$A$3:$GG$587,'0.Productos'!BI$1+1,0),"")</f>
        <v/>
      </c>
      <c r="R483" s="133" t="str">
        <f>IF($A483&lt;&gt;0,VLOOKUP($A483,'0.Productos'!$A$3:$GG$587,'0.Productos'!BJ$1+1,0),"")</f>
        <v/>
      </c>
      <c r="S483" s="133" t="str">
        <f>IF($A483&lt;&gt;0,VLOOKUP($A483,'0.Productos'!$A$3:$GG$587,'0.Productos'!BK$1+1,0),"")</f>
        <v/>
      </c>
      <c r="T483" s="133" t="str">
        <f>IF($A483&lt;&gt;0,VLOOKUP($A483,'0.Productos'!$A$3:$GG$587,'0.Productos'!BL$1+1,0),"")</f>
        <v/>
      </c>
      <c r="U483" s="133" t="str">
        <f>IF($A483&lt;&gt;0,VLOOKUP($A483,'0.Productos'!$A$3:$GG$587,'0.Productos'!BM$1+1,0),"")</f>
        <v/>
      </c>
      <c r="V483" s="133" t="str">
        <f>IF($A483&lt;&gt;0,VLOOKUP($A483,'0.Productos'!$A$3:$GG$587,'0.Productos'!BN$1+1,0),"")</f>
        <v/>
      </c>
      <c r="W483" s="133" t="str">
        <f>IF($A483&lt;&gt;0,VLOOKUP($A483,'0.Productos'!$A$3:$GG$587,'0.Productos'!BO$1+1,0),"")</f>
        <v/>
      </c>
      <c r="X483" s="133" t="str">
        <f>IF($A483&lt;&gt;0,VLOOKUP($A483,'0.Productos'!$A$3:$GG$587,'0.Productos'!BP$1+1,0),"")</f>
        <v/>
      </c>
      <c r="Y483" s="133" t="str">
        <f>IF($A483&lt;&gt;0,VLOOKUP($A483,'0.Productos'!$A$3:$GG$587,'0.Productos'!BQ$1+1,0),"")</f>
        <v/>
      </c>
      <c r="Z483" s="133" t="str">
        <f>IF($A483&lt;&gt;0,VLOOKUP($A483,'0.Productos'!$A$3:$GG$587,'0.Productos'!BR$1+1,0),"")</f>
        <v/>
      </c>
      <c r="AA483" s="133" t="str">
        <f>IF($A483&lt;&gt;0,VLOOKUP($A483,'0.Productos'!$A$3:$GG$587,'0.Productos'!BS$1+1,0),"")</f>
        <v/>
      </c>
      <c r="AB483" s="133" t="str">
        <f>IF($A483&lt;&gt;0,VLOOKUP($A483,'0.Productos'!$A$3:$GG$587,'0.Productos'!BT$1+1,0),"")</f>
        <v/>
      </c>
      <c r="AC483" s="133" t="str">
        <f>IF($A483&lt;&gt;0,VLOOKUP($A483,'0.Productos'!$A$3:$GG$587,'0.Productos'!BU$1+1,0),"")</f>
        <v/>
      </c>
      <c r="AD483" s="133" t="str">
        <f>IF($A483&lt;&gt;0,VLOOKUP($A483,'0.Productos'!$A$3:$GG$587,'0.Productos'!BV$1+1,0),"")</f>
        <v/>
      </c>
      <c r="AE483" s="133" t="str">
        <f>IF($A483&lt;&gt;0,VLOOKUP($A483,'0.Productos'!$A$3:$GG$587,'0.Productos'!BW$1+1,0),"")</f>
        <v/>
      </c>
      <c r="AF483" s="133" t="str">
        <f>IF($A483&lt;&gt;0,VLOOKUP($A483,'0.Productos'!$A$3:$GG$587,'0.Productos'!BX$1+1,0),"")</f>
        <v/>
      </c>
      <c r="AG483" s="133" t="str">
        <f>IF($A483&lt;&gt;0,VLOOKUP($A483,'0.Productos'!$A$3:$GG$587,'0.Productos'!BY$1+1,0),"")</f>
        <v/>
      </c>
      <c r="AH483" s="133" t="str">
        <f>IF($A483&lt;&gt;0,VLOOKUP($A483,'0.Productos'!$A$3:$GG$587,'0.Productos'!BZ$1+1,0),"")</f>
        <v/>
      </c>
      <c r="AI483" s="133" t="str">
        <f>IF($A483&lt;&gt;0,VLOOKUP($A483,'0.Productos'!$A$3:$GG$587,'0.Productos'!CA$1+1,0),"")</f>
        <v/>
      </c>
      <c r="AJ483" s="133" t="str">
        <f>IF($A483&lt;&gt;0,VLOOKUP($A483,'0.Productos'!$A$3:$GG$587,'0.Productos'!CB$1+1,0),"")</f>
        <v/>
      </c>
      <c r="AK483" s="133" t="str">
        <f>IF($A483&lt;&gt;0,VLOOKUP($A483,'0.Productos'!$A$3:$GG$587,'0.Productos'!CC$1+1,0),"")</f>
        <v/>
      </c>
      <c r="AL483" s="133" t="str">
        <f>IF($A483&lt;&gt;0,VLOOKUP($A483,'0.Productos'!$A$3:$GG$587,'0.Productos'!CD$1+1,0),"")</f>
        <v/>
      </c>
      <c r="AM483" s="133" t="str">
        <f>IF($A483&lt;&gt;0,VLOOKUP($A483,'0.Productos'!$A$3:$GG$587,'0.Productos'!CE$1+1,0),"")</f>
        <v/>
      </c>
      <c r="AN483" s="133" t="str">
        <f>IF($A483&lt;&gt;0,VLOOKUP($A483,'0.Productos'!$A$3:$GG$587,'0.Productos'!CF$1+1,0),"")</f>
        <v/>
      </c>
      <c r="AO483" s="133" t="str">
        <f>IF($A483&lt;&gt;0,VLOOKUP($A483,'0.Productos'!$A$3:$GG$587,'0.Productos'!CG$1+1,0),"")</f>
        <v/>
      </c>
      <c r="AP483" s="133" t="str">
        <f>IF($A483&lt;&gt;0,VLOOKUP($A483,'0.Productos'!$A$3:$GG$587,'0.Productos'!CH$1+1,0),"")</f>
        <v/>
      </c>
      <c r="AQ483" s="133" t="str">
        <f>IF($A483&lt;&gt;0,VLOOKUP($A483,'0.Productos'!$A$3:$GG$587,'0.Productos'!CI$1+1,0),"")</f>
        <v/>
      </c>
      <c r="AR483" s="133" t="str">
        <f>IF($A483&lt;&gt;0,VLOOKUP($A483,'0.Productos'!$A$3:$GG$587,'0.Productos'!CJ$1+1,0),"")</f>
        <v/>
      </c>
      <c r="AS483" s="133" t="str">
        <f>IF($A483&lt;&gt;0,VLOOKUP($A483,'0.Productos'!$A$3:$GG$587,'0.Productos'!CK$1+1,0),"")</f>
        <v/>
      </c>
      <c r="AT483" s="133" t="str">
        <f>IF($A483&lt;&gt;0,VLOOKUP($A483,'0.Productos'!$A$3:$GG$587,'0.Productos'!CL$1+1,0),"")</f>
        <v/>
      </c>
      <c r="AU483" s="133" t="str">
        <f>IF($A483&lt;&gt;0,VLOOKUP($A483,'0.Productos'!$A$3:$GG$587,'0.Productos'!CM$1+1,0),"")</f>
        <v/>
      </c>
      <c r="AV483" s="133" t="str">
        <f>IF($A483&lt;&gt;0,VLOOKUP($A483,'0.Productos'!$A$3:$GG$587,'0.Productos'!CN$1+1,0),"")</f>
        <v/>
      </c>
      <c r="AW483" s="133" t="str">
        <f>IF($A483&lt;&gt;0,VLOOKUP($A483,'0.Productos'!$A$3:$GG$587,'0.Productos'!CO$1+1,0),"")</f>
        <v/>
      </c>
      <c r="AX483" s="133" t="str">
        <f>IF($A483&lt;&gt;0,VLOOKUP($A483,'0.Productos'!$A$3:$GG$587,'0.Productos'!CP$1+1,0),"")</f>
        <v/>
      </c>
      <c r="AY483" s="133" t="str">
        <f>IF($A483&lt;&gt;0,VLOOKUP($A483,'0.Productos'!$A$3:$GG$587,'0.Productos'!CQ$1+1,0),"")</f>
        <v/>
      </c>
      <c r="AZ483" s="133" t="str">
        <f>IF($A483&lt;&gt;0,VLOOKUP($A483,'0.Productos'!$A$3:$GG$587,'0.Productos'!CR$1+1,0),"")</f>
        <v/>
      </c>
      <c r="BA483" s="133" t="str">
        <f>IF($A483&lt;&gt;0,VLOOKUP($A483,'0.Productos'!$A$3:$GG$587,'0.Productos'!CS$1+1,0),"")</f>
        <v/>
      </c>
      <c r="BB483" s="133" t="str">
        <f>IF($A483&lt;&gt;0,VLOOKUP($A483,'0.Productos'!$A$3:$GG$587,'0.Productos'!CT$1+1,0),"")</f>
        <v/>
      </c>
      <c r="BC483" s="133" t="str">
        <f>IF($A483&lt;&gt;0,VLOOKUP($A483,'0.Productos'!$A$3:$GG$587,'0.Productos'!CU$1+1,0),"")</f>
        <v/>
      </c>
      <c r="BD483" s="133" t="str">
        <f>IF($A483&lt;&gt;0,VLOOKUP($A483,'0.Productos'!$A$3:$GG$587,'0.Productos'!CV$1+1,0),"")</f>
        <v/>
      </c>
      <c r="BE483" s="133" t="str">
        <f>IF($A483&lt;&gt;0,VLOOKUP($A483,'0.Productos'!$A$3:$GG$587,'0.Productos'!CW$1+1,0),"")</f>
        <v/>
      </c>
      <c r="BF483" s="133" t="str">
        <f>IF($A483&lt;&gt;0,VLOOKUP($A483,'0.Productos'!$A$3:$GG$587,'0.Productos'!CX$1+1,0),"")</f>
        <v/>
      </c>
      <c r="BG483" s="133" t="str">
        <f>IF($A483&lt;&gt;0,VLOOKUP($A483,'0.Productos'!$A$3:$GG$587,'0.Productos'!CY$1+1,0),"")</f>
        <v/>
      </c>
      <c r="BH483" s="133" t="str">
        <f>IF($A483&lt;&gt;0,VLOOKUP($A483,'0.Productos'!$A$3:$GG$587,'0.Productos'!CZ$1+1,0),"")</f>
        <v/>
      </c>
      <c r="BI483" s="133" t="str">
        <f>IF($A483&lt;&gt;0,VLOOKUP($A483,'0.Productos'!$A$3:$GG$587,'0.Productos'!DA$1+1,0),"")</f>
        <v/>
      </c>
      <c r="BJ483" s="133" t="str">
        <f>IF($A483&lt;&gt;0,VLOOKUP($A483,'0.Productos'!$A$3:$GG$587,'0.Productos'!DB$1+1,0),"")</f>
        <v/>
      </c>
      <c r="BK483" s="133" t="str">
        <f>IF($A483&lt;&gt;0,VLOOKUP($A483,'0.Productos'!$A$3:$GG$587,'0.Productos'!DC$1+1,0),"")</f>
        <v/>
      </c>
      <c r="BL483" s="133" t="str">
        <f>IF($A483&lt;&gt;0,VLOOKUP($A483,'0.Productos'!$A$3:$GG$587,'0.Productos'!DD$1+1,0),"")</f>
        <v/>
      </c>
      <c r="BM483" s="133" t="str">
        <f>IF($A483&lt;&gt;0,VLOOKUP($A483,'0.Productos'!$A$3:$GG$587,'0.Productos'!DE$1+1,0),"")</f>
        <v/>
      </c>
      <c r="BN483" s="133" t="str">
        <f>IF($A483&lt;&gt;0,VLOOKUP($A483,'0.Productos'!$A$3:$GG$587,'0.Productos'!DF$1+1,0),"")</f>
        <v/>
      </c>
      <c r="BO483" s="133" t="str">
        <f>IF($A483&lt;&gt;0,VLOOKUP($A483,'0.Productos'!$A$3:$GG$587,'0.Productos'!DG$1+1,0),"")</f>
        <v/>
      </c>
      <c r="BP483" s="133" t="str">
        <f>IF($A483&lt;&gt;0,VLOOKUP($A483,'0.Productos'!$A$3:$GG$587,'0.Productos'!DH$1+1,0),"")</f>
        <v/>
      </c>
      <c r="BQ483" s="133" t="str">
        <f>IF($A483&lt;&gt;0,VLOOKUP($A483,'0.Productos'!$A$3:$GG$587,'0.Productos'!DI$1+1,0),"")</f>
        <v/>
      </c>
      <c r="BR483" s="133" t="str">
        <f>IF($A483&lt;&gt;0,VLOOKUP($A483,'0.Productos'!$A$3:$GG$587,'0.Productos'!DJ$1+1,0),"")</f>
        <v/>
      </c>
      <c r="BS483" s="133" t="str">
        <f>IF($A483&lt;&gt;0,VLOOKUP($A483,'0.Productos'!$A$3:$GG$587,'0.Productos'!DK$1+1,0),"")</f>
        <v/>
      </c>
      <c r="BT483" s="133" t="str">
        <f>IF($A483&lt;&gt;0,VLOOKUP($A483,'0.Productos'!$A$3:$GG$587,'0.Productos'!DL$1+1,0),"")</f>
        <v/>
      </c>
    </row>
    <row r="484" spans="1:72" x14ac:dyDescent="0.25">
      <c r="A484" s="17">
        <f>'0.Consolidado general'!A484</f>
        <v>0</v>
      </c>
      <c r="B484" s="133" t="str">
        <f>IF($A484&lt;&gt;0,VLOOKUP($A484,'0.Productos'!$A$3:$GG$587,'0.Productos'!AT$1+1,0),"")</f>
        <v/>
      </c>
      <c r="C484" s="133" t="str">
        <f>IF($A484&lt;&gt;0,VLOOKUP($A484,'0.Productos'!$A$3:$GG$587,'0.Productos'!AU$1+1,0),"")</f>
        <v/>
      </c>
      <c r="D484" s="133" t="str">
        <f>IF($A484&lt;&gt;0,VLOOKUP($A484,'0.Productos'!$A$3:$GG$587,'0.Productos'!AV$1+1,0),"")</f>
        <v/>
      </c>
      <c r="E484" s="133" t="str">
        <f>IF($A484&lt;&gt;0,VLOOKUP($A484,'0.Productos'!$A$3:$GG$587,'0.Productos'!AW$1+1,0),"")</f>
        <v/>
      </c>
      <c r="F484" s="133" t="str">
        <f>IF($A484&lt;&gt;0,VLOOKUP($A484,'0.Productos'!$A$3:$GG$587,'0.Productos'!AX$1+1,0),"")</f>
        <v/>
      </c>
      <c r="G484" s="133" t="str">
        <f>IF($A484&lt;&gt;0,VLOOKUP($A484,'0.Productos'!$A$3:$GG$587,'0.Productos'!AY$1+1,0),"")</f>
        <v/>
      </c>
      <c r="H484" s="133" t="str">
        <f>IF($A484&lt;&gt;0,VLOOKUP($A484,'0.Productos'!$A$3:$GG$587,'0.Productos'!AZ$1+1,0),"")</f>
        <v/>
      </c>
      <c r="I484" s="133" t="str">
        <f>IF($A484&lt;&gt;0,VLOOKUP($A484,'0.Productos'!$A$3:$GG$587,'0.Productos'!BA$1+1,0),"")</f>
        <v/>
      </c>
      <c r="J484" s="133" t="str">
        <f>IF($A484&lt;&gt;0,VLOOKUP($A484,'0.Productos'!$A$3:$GG$587,'0.Productos'!BB$1+1,0),"")</f>
        <v/>
      </c>
      <c r="K484" s="133" t="str">
        <f>IF($A484&lt;&gt;0,VLOOKUP($A484,'0.Productos'!$A$3:$GG$587,'0.Productos'!BC$1+1,0),"")</f>
        <v/>
      </c>
      <c r="L484" s="133" t="str">
        <f>IF($A484&lt;&gt;0,VLOOKUP($A484,'0.Productos'!$A$3:$GG$587,'0.Productos'!BD$1+1,0),"")</f>
        <v/>
      </c>
      <c r="M484" s="133" t="str">
        <f>IF($A484&lt;&gt;0,VLOOKUP($A484,'0.Productos'!$A$3:$GG$587,'0.Productos'!BE$1+1,0),"")</f>
        <v/>
      </c>
      <c r="N484" s="133" t="str">
        <f>IF($A484&lt;&gt;0,VLOOKUP($A484,'0.Productos'!$A$3:$GG$587,'0.Productos'!BF$1+1,0),"")</f>
        <v/>
      </c>
      <c r="O484" s="133" t="str">
        <f>IF($A484&lt;&gt;0,VLOOKUP($A484,'0.Productos'!$A$3:$GG$587,'0.Productos'!BG$1+1,0),"")</f>
        <v/>
      </c>
      <c r="P484" s="133" t="str">
        <f>IF($A484&lt;&gt;0,VLOOKUP($A484,'0.Productos'!$A$3:$GG$587,'0.Productos'!BH$1+1,0),"")</f>
        <v/>
      </c>
      <c r="Q484" s="133" t="str">
        <f>IF($A484&lt;&gt;0,VLOOKUP($A484,'0.Productos'!$A$3:$GG$587,'0.Productos'!BI$1+1,0),"")</f>
        <v/>
      </c>
      <c r="R484" s="133" t="str">
        <f>IF($A484&lt;&gt;0,VLOOKUP($A484,'0.Productos'!$A$3:$GG$587,'0.Productos'!BJ$1+1,0),"")</f>
        <v/>
      </c>
      <c r="S484" s="133" t="str">
        <f>IF($A484&lt;&gt;0,VLOOKUP($A484,'0.Productos'!$A$3:$GG$587,'0.Productos'!BK$1+1,0),"")</f>
        <v/>
      </c>
      <c r="T484" s="133" t="str">
        <f>IF($A484&lt;&gt;0,VLOOKUP($A484,'0.Productos'!$A$3:$GG$587,'0.Productos'!BL$1+1,0),"")</f>
        <v/>
      </c>
      <c r="U484" s="133" t="str">
        <f>IF($A484&lt;&gt;0,VLOOKUP($A484,'0.Productos'!$A$3:$GG$587,'0.Productos'!BM$1+1,0),"")</f>
        <v/>
      </c>
      <c r="V484" s="133" t="str">
        <f>IF($A484&lt;&gt;0,VLOOKUP($A484,'0.Productos'!$A$3:$GG$587,'0.Productos'!BN$1+1,0),"")</f>
        <v/>
      </c>
      <c r="W484" s="133" t="str">
        <f>IF($A484&lt;&gt;0,VLOOKUP($A484,'0.Productos'!$A$3:$GG$587,'0.Productos'!BO$1+1,0),"")</f>
        <v/>
      </c>
      <c r="X484" s="133" t="str">
        <f>IF($A484&lt;&gt;0,VLOOKUP($A484,'0.Productos'!$A$3:$GG$587,'0.Productos'!BP$1+1,0),"")</f>
        <v/>
      </c>
      <c r="Y484" s="133" t="str">
        <f>IF($A484&lt;&gt;0,VLOOKUP($A484,'0.Productos'!$A$3:$GG$587,'0.Productos'!BQ$1+1,0),"")</f>
        <v/>
      </c>
      <c r="Z484" s="133" t="str">
        <f>IF($A484&lt;&gt;0,VLOOKUP($A484,'0.Productos'!$A$3:$GG$587,'0.Productos'!BR$1+1,0),"")</f>
        <v/>
      </c>
      <c r="AA484" s="133" t="str">
        <f>IF($A484&lt;&gt;0,VLOOKUP($A484,'0.Productos'!$A$3:$GG$587,'0.Productos'!BS$1+1,0),"")</f>
        <v/>
      </c>
      <c r="AB484" s="133" t="str">
        <f>IF($A484&lt;&gt;0,VLOOKUP($A484,'0.Productos'!$A$3:$GG$587,'0.Productos'!BT$1+1,0),"")</f>
        <v/>
      </c>
      <c r="AC484" s="133" t="str">
        <f>IF($A484&lt;&gt;0,VLOOKUP($A484,'0.Productos'!$A$3:$GG$587,'0.Productos'!BU$1+1,0),"")</f>
        <v/>
      </c>
      <c r="AD484" s="133" t="str">
        <f>IF($A484&lt;&gt;0,VLOOKUP($A484,'0.Productos'!$A$3:$GG$587,'0.Productos'!BV$1+1,0),"")</f>
        <v/>
      </c>
      <c r="AE484" s="133" t="str">
        <f>IF($A484&lt;&gt;0,VLOOKUP($A484,'0.Productos'!$A$3:$GG$587,'0.Productos'!BW$1+1,0),"")</f>
        <v/>
      </c>
      <c r="AF484" s="133" t="str">
        <f>IF($A484&lt;&gt;0,VLOOKUP($A484,'0.Productos'!$A$3:$GG$587,'0.Productos'!BX$1+1,0),"")</f>
        <v/>
      </c>
      <c r="AG484" s="133" t="str">
        <f>IF($A484&lt;&gt;0,VLOOKUP($A484,'0.Productos'!$A$3:$GG$587,'0.Productos'!BY$1+1,0),"")</f>
        <v/>
      </c>
      <c r="AH484" s="133" t="str">
        <f>IF($A484&lt;&gt;0,VLOOKUP($A484,'0.Productos'!$A$3:$GG$587,'0.Productos'!BZ$1+1,0),"")</f>
        <v/>
      </c>
      <c r="AI484" s="133" t="str">
        <f>IF($A484&lt;&gt;0,VLOOKUP($A484,'0.Productos'!$A$3:$GG$587,'0.Productos'!CA$1+1,0),"")</f>
        <v/>
      </c>
      <c r="AJ484" s="133" t="str">
        <f>IF($A484&lt;&gt;0,VLOOKUP($A484,'0.Productos'!$A$3:$GG$587,'0.Productos'!CB$1+1,0),"")</f>
        <v/>
      </c>
      <c r="AK484" s="133" t="str">
        <f>IF($A484&lt;&gt;0,VLOOKUP($A484,'0.Productos'!$A$3:$GG$587,'0.Productos'!CC$1+1,0),"")</f>
        <v/>
      </c>
      <c r="AL484" s="133" t="str">
        <f>IF($A484&lt;&gt;0,VLOOKUP($A484,'0.Productos'!$A$3:$GG$587,'0.Productos'!CD$1+1,0),"")</f>
        <v/>
      </c>
      <c r="AM484" s="133" t="str">
        <f>IF($A484&lt;&gt;0,VLOOKUP($A484,'0.Productos'!$A$3:$GG$587,'0.Productos'!CE$1+1,0),"")</f>
        <v/>
      </c>
      <c r="AN484" s="133" t="str">
        <f>IF($A484&lt;&gt;0,VLOOKUP($A484,'0.Productos'!$A$3:$GG$587,'0.Productos'!CF$1+1,0),"")</f>
        <v/>
      </c>
      <c r="AO484" s="133" t="str">
        <f>IF($A484&lt;&gt;0,VLOOKUP($A484,'0.Productos'!$A$3:$GG$587,'0.Productos'!CG$1+1,0),"")</f>
        <v/>
      </c>
      <c r="AP484" s="133" t="str">
        <f>IF($A484&lt;&gt;0,VLOOKUP($A484,'0.Productos'!$A$3:$GG$587,'0.Productos'!CH$1+1,0),"")</f>
        <v/>
      </c>
      <c r="AQ484" s="133" t="str">
        <f>IF($A484&lt;&gt;0,VLOOKUP($A484,'0.Productos'!$A$3:$GG$587,'0.Productos'!CI$1+1,0),"")</f>
        <v/>
      </c>
      <c r="AR484" s="133" t="str">
        <f>IF($A484&lt;&gt;0,VLOOKUP($A484,'0.Productos'!$A$3:$GG$587,'0.Productos'!CJ$1+1,0),"")</f>
        <v/>
      </c>
      <c r="AS484" s="133" t="str">
        <f>IF($A484&lt;&gt;0,VLOOKUP($A484,'0.Productos'!$A$3:$GG$587,'0.Productos'!CK$1+1,0),"")</f>
        <v/>
      </c>
      <c r="AT484" s="133" t="str">
        <f>IF($A484&lt;&gt;0,VLOOKUP($A484,'0.Productos'!$A$3:$GG$587,'0.Productos'!CL$1+1,0),"")</f>
        <v/>
      </c>
      <c r="AU484" s="133" t="str">
        <f>IF($A484&lt;&gt;0,VLOOKUP($A484,'0.Productos'!$A$3:$GG$587,'0.Productos'!CM$1+1,0),"")</f>
        <v/>
      </c>
      <c r="AV484" s="133" t="str">
        <f>IF($A484&lt;&gt;0,VLOOKUP($A484,'0.Productos'!$A$3:$GG$587,'0.Productos'!CN$1+1,0),"")</f>
        <v/>
      </c>
      <c r="AW484" s="133" t="str">
        <f>IF($A484&lt;&gt;0,VLOOKUP($A484,'0.Productos'!$A$3:$GG$587,'0.Productos'!CO$1+1,0),"")</f>
        <v/>
      </c>
      <c r="AX484" s="133" t="str">
        <f>IF($A484&lt;&gt;0,VLOOKUP($A484,'0.Productos'!$A$3:$GG$587,'0.Productos'!CP$1+1,0),"")</f>
        <v/>
      </c>
      <c r="AY484" s="133" t="str">
        <f>IF($A484&lt;&gt;0,VLOOKUP($A484,'0.Productos'!$A$3:$GG$587,'0.Productos'!CQ$1+1,0),"")</f>
        <v/>
      </c>
      <c r="AZ484" s="133" t="str">
        <f>IF($A484&lt;&gt;0,VLOOKUP($A484,'0.Productos'!$A$3:$GG$587,'0.Productos'!CR$1+1,0),"")</f>
        <v/>
      </c>
      <c r="BA484" s="133" t="str">
        <f>IF($A484&lt;&gt;0,VLOOKUP($A484,'0.Productos'!$A$3:$GG$587,'0.Productos'!CS$1+1,0),"")</f>
        <v/>
      </c>
      <c r="BB484" s="133" t="str">
        <f>IF($A484&lt;&gt;0,VLOOKUP($A484,'0.Productos'!$A$3:$GG$587,'0.Productos'!CT$1+1,0),"")</f>
        <v/>
      </c>
      <c r="BC484" s="133" t="str">
        <f>IF($A484&lt;&gt;0,VLOOKUP($A484,'0.Productos'!$A$3:$GG$587,'0.Productos'!CU$1+1,0),"")</f>
        <v/>
      </c>
      <c r="BD484" s="133" t="str">
        <f>IF($A484&lt;&gt;0,VLOOKUP($A484,'0.Productos'!$A$3:$GG$587,'0.Productos'!CV$1+1,0),"")</f>
        <v/>
      </c>
      <c r="BE484" s="133" t="str">
        <f>IF($A484&lt;&gt;0,VLOOKUP($A484,'0.Productos'!$A$3:$GG$587,'0.Productos'!CW$1+1,0),"")</f>
        <v/>
      </c>
      <c r="BF484" s="133" t="str">
        <f>IF($A484&lt;&gt;0,VLOOKUP($A484,'0.Productos'!$A$3:$GG$587,'0.Productos'!CX$1+1,0),"")</f>
        <v/>
      </c>
      <c r="BG484" s="133" t="str">
        <f>IF($A484&lt;&gt;0,VLOOKUP($A484,'0.Productos'!$A$3:$GG$587,'0.Productos'!CY$1+1,0),"")</f>
        <v/>
      </c>
      <c r="BH484" s="133" t="str">
        <f>IF($A484&lt;&gt;0,VLOOKUP($A484,'0.Productos'!$A$3:$GG$587,'0.Productos'!CZ$1+1,0),"")</f>
        <v/>
      </c>
      <c r="BI484" s="133" t="str">
        <f>IF($A484&lt;&gt;0,VLOOKUP($A484,'0.Productos'!$A$3:$GG$587,'0.Productos'!DA$1+1,0),"")</f>
        <v/>
      </c>
      <c r="BJ484" s="133" t="str">
        <f>IF($A484&lt;&gt;0,VLOOKUP($A484,'0.Productos'!$A$3:$GG$587,'0.Productos'!DB$1+1,0),"")</f>
        <v/>
      </c>
      <c r="BK484" s="133" t="str">
        <f>IF($A484&lt;&gt;0,VLOOKUP($A484,'0.Productos'!$A$3:$GG$587,'0.Productos'!DC$1+1,0),"")</f>
        <v/>
      </c>
      <c r="BL484" s="133" t="str">
        <f>IF($A484&lt;&gt;0,VLOOKUP($A484,'0.Productos'!$A$3:$GG$587,'0.Productos'!DD$1+1,0),"")</f>
        <v/>
      </c>
      <c r="BM484" s="133" t="str">
        <f>IF($A484&lt;&gt;0,VLOOKUP($A484,'0.Productos'!$A$3:$GG$587,'0.Productos'!DE$1+1,0),"")</f>
        <v/>
      </c>
      <c r="BN484" s="133" t="str">
        <f>IF($A484&lt;&gt;0,VLOOKUP($A484,'0.Productos'!$A$3:$GG$587,'0.Productos'!DF$1+1,0),"")</f>
        <v/>
      </c>
      <c r="BO484" s="133" t="str">
        <f>IF($A484&lt;&gt;0,VLOOKUP($A484,'0.Productos'!$A$3:$GG$587,'0.Productos'!DG$1+1,0),"")</f>
        <v/>
      </c>
      <c r="BP484" s="133" t="str">
        <f>IF($A484&lt;&gt;0,VLOOKUP($A484,'0.Productos'!$A$3:$GG$587,'0.Productos'!DH$1+1,0),"")</f>
        <v/>
      </c>
      <c r="BQ484" s="133" t="str">
        <f>IF($A484&lt;&gt;0,VLOOKUP($A484,'0.Productos'!$A$3:$GG$587,'0.Productos'!DI$1+1,0),"")</f>
        <v/>
      </c>
      <c r="BR484" s="133" t="str">
        <f>IF($A484&lt;&gt;0,VLOOKUP($A484,'0.Productos'!$A$3:$GG$587,'0.Productos'!DJ$1+1,0),"")</f>
        <v/>
      </c>
      <c r="BS484" s="133" t="str">
        <f>IF($A484&lt;&gt;0,VLOOKUP($A484,'0.Productos'!$A$3:$GG$587,'0.Productos'!DK$1+1,0),"")</f>
        <v/>
      </c>
      <c r="BT484" s="133" t="str">
        <f>IF($A484&lt;&gt;0,VLOOKUP($A484,'0.Productos'!$A$3:$GG$587,'0.Productos'!DL$1+1,0),"")</f>
        <v/>
      </c>
    </row>
    <row r="485" spans="1:72" x14ac:dyDescent="0.25">
      <c r="A485" s="17">
        <f>'0.Consolidado general'!A485</f>
        <v>0</v>
      </c>
      <c r="B485" s="133" t="str">
        <f>IF($A485&lt;&gt;0,VLOOKUP($A485,'0.Productos'!$A$3:$GG$587,'0.Productos'!AT$1+1,0),"")</f>
        <v/>
      </c>
      <c r="C485" s="133" t="str">
        <f>IF($A485&lt;&gt;0,VLOOKUP($A485,'0.Productos'!$A$3:$GG$587,'0.Productos'!AU$1+1,0),"")</f>
        <v/>
      </c>
      <c r="D485" s="133" t="str">
        <f>IF($A485&lt;&gt;0,VLOOKUP($A485,'0.Productos'!$A$3:$GG$587,'0.Productos'!AV$1+1,0),"")</f>
        <v/>
      </c>
      <c r="E485" s="133" t="str">
        <f>IF($A485&lt;&gt;0,VLOOKUP($A485,'0.Productos'!$A$3:$GG$587,'0.Productos'!AW$1+1,0),"")</f>
        <v/>
      </c>
      <c r="F485" s="133" t="str">
        <f>IF($A485&lt;&gt;0,VLOOKUP($A485,'0.Productos'!$A$3:$GG$587,'0.Productos'!AX$1+1,0),"")</f>
        <v/>
      </c>
      <c r="G485" s="133" t="str">
        <f>IF($A485&lt;&gt;0,VLOOKUP($A485,'0.Productos'!$A$3:$GG$587,'0.Productos'!AY$1+1,0),"")</f>
        <v/>
      </c>
      <c r="H485" s="133" t="str">
        <f>IF($A485&lt;&gt;0,VLOOKUP($A485,'0.Productos'!$A$3:$GG$587,'0.Productos'!AZ$1+1,0),"")</f>
        <v/>
      </c>
      <c r="I485" s="133" t="str">
        <f>IF($A485&lt;&gt;0,VLOOKUP($A485,'0.Productos'!$A$3:$GG$587,'0.Productos'!BA$1+1,0),"")</f>
        <v/>
      </c>
      <c r="J485" s="133" t="str">
        <f>IF($A485&lt;&gt;0,VLOOKUP($A485,'0.Productos'!$A$3:$GG$587,'0.Productos'!BB$1+1,0),"")</f>
        <v/>
      </c>
      <c r="K485" s="133" t="str">
        <f>IF($A485&lt;&gt;0,VLOOKUP($A485,'0.Productos'!$A$3:$GG$587,'0.Productos'!BC$1+1,0),"")</f>
        <v/>
      </c>
      <c r="L485" s="133" t="str">
        <f>IF($A485&lt;&gt;0,VLOOKUP($A485,'0.Productos'!$A$3:$GG$587,'0.Productos'!BD$1+1,0),"")</f>
        <v/>
      </c>
      <c r="M485" s="133" t="str">
        <f>IF($A485&lt;&gt;0,VLOOKUP($A485,'0.Productos'!$A$3:$GG$587,'0.Productos'!BE$1+1,0),"")</f>
        <v/>
      </c>
      <c r="N485" s="133" t="str">
        <f>IF($A485&lt;&gt;0,VLOOKUP($A485,'0.Productos'!$A$3:$GG$587,'0.Productos'!BF$1+1,0),"")</f>
        <v/>
      </c>
      <c r="O485" s="133" t="str">
        <f>IF($A485&lt;&gt;0,VLOOKUP($A485,'0.Productos'!$A$3:$GG$587,'0.Productos'!BG$1+1,0),"")</f>
        <v/>
      </c>
      <c r="P485" s="133" t="str">
        <f>IF($A485&lt;&gt;0,VLOOKUP($A485,'0.Productos'!$A$3:$GG$587,'0.Productos'!BH$1+1,0),"")</f>
        <v/>
      </c>
      <c r="Q485" s="133" t="str">
        <f>IF($A485&lt;&gt;0,VLOOKUP($A485,'0.Productos'!$A$3:$GG$587,'0.Productos'!BI$1+1,0),"")</f>
        <v/>
      </c>
      <c r="R485" s="133" t="str">
        <f>IF($A485&lt;&gt;0,VLOOKUP($A485,'0.Productos'!$A$3:$GG$587,'0.Productos'!BJ$1+1,0),"")</f>
        <v/>
      </c>
      <c r="S485" s="133" t="str">
        <f>IF($A485&lt;&gt;0,VLOOKUP($A485,'0.Productos'!$A$3:$GG$587,'0.Productos'!BK$1+1,0),"")</f>
        <v/>
      </c>
      <c r="T485" s="133" t="str">
        <f>IF($A485&lt;&gt;0,VLOOKUP($A485,'0.Productos'!$A$3:$GG$587,'0.Productos'!BL$1+1,0),"")</f>
        <v/>
      </c>
      <c r="U485" s="133" t="str">
        <f>IF($A485&lt;&gt;0,VLOOKUP($A485,'0.Productos'!$A$3:$GG$587,'0.Productos'!BM$1+1,0),"")</f>
        <v/>
      </c>
      <c r="V485" s="133" t="str">
        <f>IF($A485&lt;&gt;0,VLOOKUP($A485,'0.Productos'!$A$3:$GG$587,'0.Productos'!BN$1+1,0),"")</f>
        <v/>
      </c>
      <c r="W485" s="133" t="str">
        <f>IF($A485&lt;&gt;0,VLOOKUP($A485,'0.Productos'!$A$3:$GG$587,'0.Productos'!BO$1+1,0),"")</f>
        <v/>
      </c>
      <c r="X485" s="133" t="str">
        <f>IF($A485&lt;&gt;0,VLOOKUP($A485,'0.Productos'!$A$3:$GG$587,'0.Productos'!BP$1+1,0),"")</f>
        <v/>
      </c>
      <c r="Y485" s="133" t="str">
        <f>IF($A485&lt;&gt;0,VLOOKUP($A485,'0.Productos'!$A$3:$GG$587,'0.Productos'!BQ$1+1,0),"")</f>
        <v/>
      </c>
      <c r="Z485" s="133" t="str">
        <f>IF($A485&lt;&gt;0,VLOOKUP($A485,'0.Productos'!$A$3:$GG$587,'0.Productos'!BR$1+1,0),"")</f>
        <v/>
      </c>
      <c r="AA485" s="133" t="str">
        <f>IF($A485&lt;&gt;0,VLOOKUP($A485,'0.Productos'!$A$3:$GG$587,'0.Productos'!BS$1+1,0),"")</f>
        <v/>
      </c>
      <c r="AB485" s="133" t="str">
        <f>IF($A485&lt;&gt;0,VLOOKUP($A485,'0.Productos'!$A$3:$GG$587,'0.Productos'!BT$1+1,0),"")</f>
        <v/>
      </c>
      <c r="AC485" s="133" t="str">
        <f>IF($A485&lt;&gt;0,VLOOKUP($A485,'0.Productos'!$A$3:$GG$587,'0.Productos'!BU$1+1,0),"")</f>
        <v/>
      </c>
      <c r="AD485" s="133" t="str">
        <f>IF($A485&lt;&gt;0,VLOOKUP($A485,'0.Productos'!$A$3:$GG$587,'0.Productos'!BV$1+1,0),"")</f>
        <v/>
      </c>
      <c r="AE485" s="133" t="str">
        <f>IF($A485&lt;&gt;0,VLOOKUP($A485,'0.Productos'!$A$3:$GG$587,'0.Productos'!BW$1+1,0),"")</f>
        <v/>
      </c>
      <c r="AF485" s="133" t="str">
        <f>IF($A485&lt;&gt;0,VLOOKUP($A485,'0.Productos'!$A$3:$GG$587,'0.Productos'!BX$1+1,0),"")</f>
        <v/>
      </c>
      <c r="AG485" s="133" t="str">
        <f>IF($A485&lt;&gt;0,VLOOKUP($A485,'0.Productos'!$A$3:$GG$587,'0.Productos'!BY$1+1,0),"")</f>
        <v/>
      </c>
      <c r="AH485" s="133" t="str">
        <f>IF($A485&lt;&gt;0,VLOOKUP($A485,'0.Productos'!$A$3:$GG$587,'0.Productos'!BZ$1+1,0),"")</f>
        <v/>
      </c>
      <c r="AI485" s="133" t="str">
        <f>IF($A485&lt;&gt;0,VLOOKUP($A485,'0.Productos'!$A$3:$GG$587,'0.Productos'!CA$1+1,0),"")</f>
        <v/>
      </c>
      <c r="AJ485" s="133" t="str">
        <f>IF($A485&lt;&gt;0,VLOOKUP($A485,'0.Productos'!$A$3:$GG$587,'0.Productos'!CB$1+1,0),"")</f>
        <v/>
      </c>
      <c r="AK485" s="133" t="str">
        <f>IF($A485&lt;&gt;0,VLOOKUP($A485,'0.Productos'!$A$3:$GG$587,'0.Productos'!CC$1+1,0),"")</f>
        <v/>
      </c>
      <c r="AL485" s="133" t="str">
        <f>IF($A485&lt;&gt;0,VLOOKUP($A485,'0.Productos'!$A$3:$GG$587,'0.Productos'!CD$1+1,0),"")</f>
        <v/>
      </c>
      <c r="AM485" s="133" t="str">
        <f>IF($A485&lt;&gt;0,VLOOKUP($A485,'0.Productos'!$A$3:$GG$587,'0.Productos'!CE$1+1,0),"")</f>
        <v/>
      </c>
      <c r="AN485" s="133" t="str">
        <f>IF($A485&lt;&gt;0,VLOOKUP($A485,'0.Productos'!$A$3:$GG$587,'0.Productos'!CF$1+1,0),"")</f>
        <v/>
      </c>
      <c r="AO485" s="133" t="str">
        <f>IF($A485&lt;&gt;0,VLOOKUP($A485,'0.Productos'!$A$3:$GG$587,'0.Productos'!CG$1+1,0),"")</f>
        <v/>
      </c>
      <c r="AP485" s="133" t="str">
        <f>IF($A485&lt;&gt;0,VLOOKUP($A485,'0.Productos'!$A$3:$GG$587,'0.Productos'!CH$1+1,0),"")</f>
        <v/>
      </c>
      <c r="AQ485" s="133" t="str">
        <f>IF($A485&lt;&gt;0,VLOOKUP($A485,'0.Productos'!$A$3:$GG$587,'0.Productos'!CI$1+1,0),"")</f>
        <v/>
      </c>
      <c r="AR485" s="133" t="str">
        <f>IF($A485&lt;&gt;0,VLOOKUP($A485,'0.Productos'!$A$3:$GG$587,'0.Productos'!CJ$1+1,0),"")</f>
        <v/>
      </c>
      <c r="AS485" s="133" t="str">
        <f>IF($A485&lt;&gt;0,VLOOKUP($A485,'0.Productos'!$A$3:$GG$587,'0.Productos'!CK$1+1,0),"")</f>
        <v/>
      </c>
      <c r="AT485" s="133" t="str">
        <f>IF($A485&lt;&gt;0,VLOOKUP($A485,'0.Productos'!$A$3:$GG$587,'0.Productos'!CL$1+1,0),"")</f>
        <v/>
      </c>
      <c r="AU485" s="133" t="str">
        <f>IF($A485&lt;&gt;0,VLOOKUP($A485,'0.Productos'!$A$3:$GG$587,'0.Productos'!CM$1+1,0),"")</f>
        <v/>
      </c>
      <c r="AV485" s="133" t="str">
        <f>IF($A485&lt;&gt;0,VLOOKUP($A485,'0.Productos'!$A$3:$GG$587,'0.Productos'!CN$1+1,0),"")</f>
        <v/>
      </c>
      <c r="AW485" s="133" t="str">
        <f>IF($A485&lt;&gt;0,VLOOKUP($A485,'0.Productos'!$A$3:$GG$587,'0.Productos'!CO$1+1,0),"")</f>
        <v/>
      </c>
      <c r="AX485" s="133" t="str">
        <f>IF($A485&lt;&gt;0,VLOOKUP($A485,'0.Productos'!$A$3:$GG$587,'0.Productos'!CP$1+1,0),"")</f>
        <v/>
      </c>
      <c r="AY485" s="133" t="str">
        <f>IF($A485&lt;&gt;0,VLOOKUP($A485,'0.Productos'!$A$3:$GG$587,'0.Productos'!CQ$1+1,0),"")</f>
        <v/>
      </c>
      <c r="AZ485" s="133" t="str">
        <f>IF($A485&lt;&gt;0,VLOOKUP($A485,'0.Productos'!$A$3:$GG$587,'0.Productos'!CR$1+1,0),"")</f>
        <v/>
      </c>
      <c r="BA485" s="133" t="str">
        <f>IF($A485&lt;&gt;0,VLOOKUP($A485,'0.Productos'!$A$3:$GG$587,'0.Productos'!CS$1+1,0),"")</f>
        <v/>
      </c>
      <c r="BB485" s="133" t="str">
        <f>IF($A485&lt;&gt;0,VLOOKUP($A485,'0.Productos'!$A$3:$GG$587,'0.Productos'!CT$1+1,0),"")</f>
        <v/>
      </c>
      <c r="BC485" s="133" t="str">
        <f>IF($A485&lt;&gt;0,VLOOKUP($A485,'0.Productos'!$A$3:$GG$587,'0.Productos'!CU$1+1,0),"")</f>
        <v/>
      </c>
      <c r="BD485" s="133" t="str">
        <f>IF($A485&lt;&gt;0,VLOOKUP($A485,'0.Productos'!$A$3:$GG$587,'0.Productos'!CV$1+1,0),"")</f>
        <v/>
      </c>
      <c r="BE485" s="133" t="str">
        <f>IF($A485&lt;&gt;0,VLOOKUP($A485,'0.Productos'!$A$3:$GG$587,'0.Productos'!CW$1+1,0),"")</f>
        <v/>
      </c>
      <c r="BF485" s="133" t="str">
        <f>IF($A485&lt;&gt;0,VLOOKUP($A485,'0.Productos'!$A$3:$GG$587,'0.Productos'!CX$1+1,0),"")</f>
        <v/>
      </c>
      <c r="BG485" s="133" t="str">
        <f>IF($A485&lt;&gt;0,VLOOKUP($A485,'0.Productos'!$A$3:$GG$587,'0.Productos'!CY$1+1,0),"")</f>
        <v/>
      </c>
      <c r="BH485" s="133" t="str">
        <f>IF($A485&lt;&gt;0,VLOOKUP($A485,'0.Productos'!$A$3:$GG$587,'0.Productos'!CZ$1+1,0),"")</f>
        <v/>
      </c>
      <c r="BI485" s="133" t="str">
        <f>IF($A485&lt;&gt;0,VLOOKUP($A485,'0.Productos'!$A$3:$GG$587,'0.Productos'!DA$1+1,0),"")</f>
        <v/>
      </c>
      <c r="BJ485" s="133" t="str">
        <f>IF($A485&lt;&gt;0,VLOOKUP($A485,'0.Productos'!$A$3:$GG$587,'0.Productos'!DB$1+1,0),"")</f>
        <v/>
      </c>
      <c r="BK485" s="133" t="str">
        <f>IF($A485&lt;&gt;0,VLOOKUP($A485,'0.Productos'!$A$3:$GG$587,'0.Productos'!DC$1+1,0),"")</f>
        <v/>
      </c>
      <c r="BL485" s="133" t="str">
        <f>IF($A485&lt;&gt;0,VLOOKUP($A485,'0.Productos'!$A$3:$GG$587,'0.Productos'!DD$1+1,0),"")</f>
        <v/>
      </c>
      <c r="BM485" s="133" t="str">
        <f>IF($A485&lt;&gt;0,VLOOKUP($A485,'0.Productos'!$A$3:$GG$587,'0.Productos'!DE$1+1,0),"")</f>
        <v/>
      </c>
      <c r="BN485" s="133" t="str">
        <f>IF($A485&lt;&gt;0,VLOOKUP($A485,'0.Productos'!$A$3:$GG$587,'0.Productos'!DF$1+1,0),"")</f>
        <v/>
      </c>
      <c r="BO485" s="133" t="str">
        <f>IF($A485&lt;&gt;0,VLOOKUP($A485,'0.Productos'!$A$3:$GG$587,'0.Productos'!DG$1+1,0),"")</f>
        <v/>
      </c>
      <c r="BP485" s="133" t="str">
        <f>IF($A485&lt;&gt;0,VLOOKUP($A485,'0.Productos'!$A$3:$GG$587,'0.Productos'!DH$1+1,0),"")</f>
        <v/>
      </c>
      <c r="BQ485" s="133" t="str">
        <f>IF($A485&lt;&gt;0,VLOOKUP($A485,'0.Productos'!$A$3:$GG$587,'0.Productos'!DI$1+1,0),"")</f>
        <v/>
      </c>
      <c r="BR485" s="133" t="str">
        <f>IF($A485&lt;&gt;0,VLOOKUP($A485,'0.Productos'!$A$3:$GG$587,'0.Productos'!DJ$1+1,0),"")</f>
        <v/>
      </c>
      <c r="BS485" s="133" t="str">
        <f>IF($A485&lt;&gt;0,VLOOKUP($A485,'0.Productos'!$A$3:$GG$587,'0.Productos'!DK$1+1,0),"")</f>
        <v/>
      </c>
      <c r="BT485" s="133" t="str">
        <f>IF($A485&lt;&gt;0,VLOOKUP($A485,'0.Productos'!$A$3:$GG$587,'0.Productos'!DL$1+1,0),"")</f>
        <v/>
      </c>
    </row>
    <row r="486" spans="1:72" x14ac:dyDescent="0.25">
      <c r="A486" s="17">
        <f>'0.Consolidado general'!A486</f>
        <v>0</v>
      </c>
      <c r="B486" s="133" t="str">
        <f>IF($A486&lt;&gt;0,VLOOKUP($A486,'0.Productos'!$A$3:$GG$587,'0.Productos'!AT$1+1,0),"")</f>
        <v/>
      </c>
      <c r="C486" s="133" t="str">
        <f>IF($A486&lt;&gt;0,VLOOKUP($A486,'0.Productos'!$A$3:$GG$587,'0.Productos'!AU$1+1,0),"")</f>
        <v/>
      </c>
      <c r="D486" s="133" t="str">
        <f>IF($A486&lt;&gt;0,VLOOKUP($A486,'0.Productos'!$A$3:$GG$587,'0.Productos'!AV$1+1,0),"")</f>
        <v/>
      </c>
      <c r="E486" s="133" t="str">
        <f>IF($A486&lt;&gt;0,VLOOKUP($A486,'0.Productos'!$A$3:$GG$587,'0.Productos'!AW$1+1,0),"")</f>
        <v/>
      </c>
      <c r="F486" s="133" t="str">
        <f>IF($A486&lt;&gt;0,VLOOKUP($A486,'0.Productos'!$A$3:$GG$587,'0.Productos'!AX$1+1,0),"")</f>
        <v/>
      </c>
      <c r="G486" s="133" t="str">
        <f>IF($A486&lt;&gt;0,VLOOKUP($A486,'0.Productos'!$A$3:$GG$587,'0.Productos'!AY$1+1,0),"")</f>
        <v/>
      </c>
      <c r="H486" s="133" t="str">
        <f>IF($A486&lt;&gt;0,VLOOKUP($A486,'0.Productos'!$A$3:$GG$587,'0.Productos'!AZ$1+1,0),"")</f>
        <v/>
      </c>
      <c r="I486" s="133" t="str">
        <f>IF($A486&lt;&gt;0,VLOOKUP($A486,'0.Productos'!$A$3:$GG$587,'0.Productos'!BA$1+1,0),"")</f>
        <v/>
      </c>
      <c r="J486" s="133" t="str">
        <f>IF($A486&lt;&gt;0,VLOOKUP($A486,'0.Productos'!$A$3:$GG$587,'0.Productos'!BB$1+1,0),"")</f>
        <v/>
      </c>
      <c r="K486" s="133" t="str">
        <f>IF($A486&lt;&gt;0,VLOOKUP($A486,'0.Productos'!$A$3:$GG$587,'0.Productos'!BC$1+1,0),"")</f>
        <v/>
      </c>
      <c r="L486" s="133" t="str">
        <f>IF($A486&lt;&gt;0,VLOOKUP($A486,'0.Productos'!$A$3:$GG$587,'0.Productos'!BD$1+1,0),"")</f>
        <v/>
      </c>
      <c r="M486" s="133" t="str">
        <f>IF($A486&lt;&gt;0,VLOOKUP($A486,'0.Productos'!$A$3:$GG$587,'0.Productos'!BE$1+1,0),"")</f>
        <v/>
      </c>
      <c r="N486" s="133" t="str">
        <f>IF($A486&lt;&gt;0,VLOOKUP($A486,'0.Productos'!$A$3:$GG$587,'0.Productos'!BF$1+1,0),"")</f>
        <v/>
      </c>
      <c r="O486" s="133" t="str">
        <f>IF($A486&lt;&gt;0,VLOOKUP($A486,'0.Productos'!$A$3:$GG$587,'0.Productos'!BG$1+1,0),"")</f>
        <v/>
      </c>
      <c r="P486" s="133" t="str">
        <f>IF($A486&lt;&gt;0,VLOOKUP($A486,'0.Productos'!$A$3:$GG$587,'0.Productos'!BH$1+1,0),"")</f>
        <v/>
      </c>
      <c r="Q486" s="133" t="str">
        <f>IF($A486&lt;&gt;0,VLOOKUP($A486,'0.Productos'!$A$3:$GG$587,'0.Productos'!BI$1+1,0),"")</f>
        <v/>
      </c>
      <c r="R486" s="133" t="str">
        <f>IF($A486&lt;&gt;0,VLOOKUP($A486,'0.Productos'!$A$3:$GG$587,'0.Productos'!BJ$1+1,0),"")</f>
        <v/>
      </c>
      <c r="S486" s="133" t="str">
        <f>IF($A486&lt;&gt;0,VLOOKUP($A486,'0.Productos'!$A$3:$GG$587,'0.Productos'!BK$1+1,0),"")</f>
        <v/>
      </c>
      <c r="T486" s="133" t="str">
        <f>IF($A486&lt;&gt;0,VLOOKUP($A486,'0.Productos'!$A$3:$GG$587,'0.Productos'!BL$1+1,0),"")</f>
        <v/>
      </c>
      <c r="U486" s="133" t="str">
        <f>IF($A486&lt;&gt;0,VLOOKUP($A486,'0.Productos'!$A$3:$GG$587,'0.Productos'!BM$1+1,0),"")</f>
        <v/>
      </c>
      <c r="V486" s="133" t="str">
        <f>IF($A486&lt;&gt;0,VLOOKUP($A486,'0.Productos'!$A$3:$GG$587,'0.Productos'!BN$1+1,0),"")</f>
        <v/>
      </c>
      <c r="W486" s="133" t="str">
        <f>IF($A486&lt;&gt;0,VLOOKUP($A486,'0.Productos'!$A$3:$GG$587,'0.Productos'!BO$1+1,0),"")</f>
        <v/>
      </c>
      <c r="X486" s="133" t="str">
        <f>IF($A486&lt;&gt;0,VLOOKUP($A486,'0.Productos'!$A$3:$GG$587,'0.Productos'!BP$1+1,0),"")</f>
        <v/>
      </c>
      <c r="Y486" s="133" t="str">
        <f>IF($A486&lt;&gt;0,VLOOKUP($A486,'0.Productos'!$A$3:$GG$587,'0.Productos'!BQ$1+1,0),"")</f>
        <v/>
      </c>
      <c r="Z486" s="133" t="str">
        <f>IF($A486&lt;&gt;0,VLOOKUP($A486,'0.Productos'!$A$3:$GG$587,'0.Productos'!BR$1+1,0),"")</f>
        <v/>
      </c>
      <c r="AA486" s="133" t="str">
        <f>IF($A486&lt;&gt;0,VLOOKUP($A486,'0.Productos'!$A$3:$GG$587,'0.Productos'!BS$1+1,0),"")</f>
        <v/>
      </c>
      <c r="AB486" s="133" t="str">
        <f>IF($A486&lt;&gt;0,VLOOKUP($A486,'0.Productos'!$A$3:$GG$587,'0.Productos'!BT$1+1,0),"")</f>
        <v/>
      </c>
      <c r="AC486" s="133" t="str">
        <f>IF($A486&lt;&gt;0,VLOOKUP($A486,'0.Productos'!$A$3:$GG$587,'0.Productos'!BU$1+1,0),"")</f>
        <v/>
      </c>
      <c r="AD486" s="133" t="str">
        <f>IF($A486&lt;&gt;0,VLOOKUP($A486,'0.Productos'!$A$3:$GG$587,'0.Productos'!BV$1+1,0),"")</f>
        <v/>
      </c>
      <c r="AE486" s="133" t="str">
        <f>IF($A486&lt;&gt;0,VLOOKUP($A486,'0.Productos'!$A$3:$GG$587,'0.Productos'!BW$1+1,0),"")</f>
        <v/>
      </c>
      <c r="AF486" s="133" t="str">
        <f>IF($A486&lt;&gt;0,VLOOKUP($A486,'0.Productos'!$A$3:$GG$587,'0.Productos'!BX$1+1,0),"")</f>
        <v/>
      </c>
      <c r="AG486" s="133" t="str">
        <f>IF($A486&lt;&gt;0,VLOOKUP($A486,'0.Productos'!$A$3:$GG$587,'0.Productos'!BY$1+1,0),"")</f>
        <v/>
      </c>
      <c r="AH486" s="133" t="str">
        <f>IF($A486&lt;&gt;0,VLOOKUP($A486,'0.Productos'!$A$3:$GG$587,'0.Productos'!BZ$1+1,0),"")</f>
        <v/>
      </c>
      <c r="AI486" s="133" t="str">
        <f>IF($A486&lt;&gt;0,VLOOKUP($A486,'0.Productos'!$A$3:$GG$587,'0.Productos'!CA$1+1,0),"")</f>
        <v/>
      </c>
      <c r="AJ486" s="133" t="str">
        <f>IF($A486&lt;&gt;0,VLOOKUP($A486,'0.Productos'!$A$3:$GG$587,'0.Productos'!CB$1+1,0),"")</f>
        <v/>
      </c>
      <c r="AK486" s="133" t="str">
        <f>IF($A486&lt;&gt;0,VLOOKUP($A486,'0.Productos'!$A$3:$GG$587,'0.Productos'!CC$1+1,0),"")</f>
        <v/>
      </c>
      <c r="AL486" s="133" t="str">
        <f>IF($A486&lt;&gt;0,VLOOKUP($A486,'0.Productos'!$A$3:$GG$587,'0.Productos'!CD$1+1,0),"")</f>
        <v/>
      </c>
      <c r="AM486" s="133" t="str">
        <f>IF($A486&lt;&gt;0,VLOOKUP($A486,'0.Productos'!$A$3:$GG$587,'0.Productos'!CE$1+1,0),"")</f>
        <v/>
      </c>
      <c r="AN486" s="133" t="str">
        <f>IF($A486&lt;&gt;0,VLOOKUP($A486,'0.Productos'!$A$3:$GG$587,'0.Productos'!CF$1+1,0),"")</f>
        <v/>
      </c>
      <c r="AO486" s="133" t="str">
        <f>IF($A486&lt;&gt;0,VLOOKUP($A486,'0.Productos'!$A$3:$GG$587,'0.Productos'!CG$1+1,0),"")</f>
        <v/>
      </c>
      <c r="AP486" s="133" t="str">
        <f>IF($A486&lt;&gt;0,VLOOKUP($A486,'0.Productos'!$A$3:$GG$587,'0.Productos'!CH$1+1,0),"")</f>
        <v/>
      </c>
      <c r="AQ486" s="133" t="str">
        <f>IF($A486&lt;&gt;0,VLOOKUP($A486,'0.Productos'!$A$3:$GG$587,'0.Productos'!CI$1+1,0),"")</f>
        <v/>
      </c>
      <c r="AR486" s="133" t="str">
        <f>IF($A486&lt;&gt;0,VLOOKUP($A486,'0.Productos'!$A$3:$GG$587,'0.Productos'!CJ$1+1,0),"")</f>
        <v/>
      </c>
      <c r="AS486" s="133" t="str">
        <f>IF($A486&lt;&gt;0,VLOOKUP($A486,'0.Productos'!$A$3:$GG$587,'0.Productos'!CK$1+1,0),"")</f>
        <v/>
      </c>
      <c r="AT486" s="133" t="str">
        <f>IF($A486&lt;&gt;0,VLOOKUP($A486,'0.Productos'!$A$3:$GG$587,'0.Productos'!CL$1+1,0),"")</f>
        <v/>
      </c>
      <c r="AU486" s="133" t="str">
        <f>IF($A486&lt;&gt;0,VLOOKUP($A486,'0.Productos'!$A$3:$GG$587,'0.Productos'!CM$1+1,0),"")</f>
        <v/>
      </c>
      <c r="AV486" s="133" t="str">
        <f>IF($A486&lt;&gt;0,VLOOKUP($A486,'0.Productos'!$A$3:$GG$587,'0.Productos'!CN$1+1,0),"")</f>
        <v/>
      </c>
      <c r="AW486" s="133" t="str">
        <f>IF($A486&lt;&gt;0,VLOOKUP($A486,'0.Productos'!$A$3:$GG$587,'0.Productos'!CO$1+1,0),"")</f>
        <v/>
      </c>
      <c r="AX486" s="133" t="str">
        <f>IF($A486&lt;&gt;0,VLOOKUP($A486,'0.Productos'!$A$3:$GG$587,'0.Productos'!CP$1+1,0),"")</f>
        <v/>
      </c>
      <c r="AY486" s="133" t="str">
        <f>IF($A486&lt;&gt;0,VLOOKUP($A486,'0.Productos'!$A$3:$GG$587,'0.Productos'!CQ$1+1,0),"")</f>
        <v/>
      </c>
      <c r="AZ486" s="133" t="str">
        <f>IF($A486&lt;&gt;0,VLOOKUP($A486,'0.Productos'!$A$3:$GG$587,'0.Productos'!CR$1+1,0),"")</f>
        <v/>
      </c>
      <c r="BA486" s="133" t="str">
        <f>IF($A486&lt;&gt;0,VLOOKUP($A486,'0.Productos'!$A$3:$GG$587,'0.Productos'!CS$1+1,0),"")</f>
        <v/>
      </c>
      <c r="BB486" s="133" t="str">
        <f>IF($A486&lt;&gt;0,VLOOKUP($A486,'0.Productos'!$A$3:$GG$587,'0.Productos'!CT$1+1,0),"")</f>
        <v/>
      </c>
      <c r="BC486" s="133" t="str">
        <f>IF($A486&lt;&gt;0,VLOOKUP($A486,'0.Productos'!$A$3:$GG$587,'0.Productos'!CU$1+1,0),"")</f>
        <v/>
      </c>
      <c r="BD486" s="133" t="str">
        <f>IF($A486&lt;&gt;0,VLOOKUP($A486,'0.Productos'!$A$3:$GG$587,'0.Productos'!CV$1+1,0),"")</f>
        <v/>
      </c>
      <c r="BE486" s="133" t="str">
        <f>IF($A486&lt;&gt;0,VLOOKUP($A486,'0.Productos'!$A$3:$GG$587,'0.Productos'!CW$1+1,0),"")</f>
        <v/>
      </c>
      <c r="BF486" s="133" t="str">
        <f>IF($A486&lt;&gt;0,VLOOKUP($A486,'0.Productos'!$A$3:$GG$587,'0.Productos'!CX$1+1,0),"")</f>
        <v/>
      </c>
      <c r="BG486" s="133" t="str">
        <f>IF($A486&lt;&gt;0,VLOOKUP($A486,'0.Productos'!$A$3:$GG$587,'0.Productos'!CY$1+1,0),"")</f>
        <v/>
      </c>
      <c r="BH486" s="133" t="str">
        <f>IF($A486&lt;&gt;0,VLOOKUP($A486,'0.Productos'!$A$3:$GG$587,'0.Productos'!CZ$1+1,0),"")</f>
        <v/>
      </c>
      <c r="BI486" s="133" t="str">
        <f>IF($A486&lt;&gt;0,VLOOKUP($A486,'0.Productos'!$A$3:$GG$587,'0.Productos'!DA$1+1,0),"")</f>
        <v/>
      </c>
      <c r="BJ486" s="133" t="str">
        <f>IF($A486&lt;&gt;0,VLOOKUP($A486,'0.Productos'!$A$3:$GG$587,'0.Productos'!DB$1+1,0),"")</f>
        <v/>
      </c>
      <c r="BK486" s="133" t="str">
        <f>IF($A486&lt;&gt;0,VLOOKUP($A486,'0.Productos'!$A$3:$GG$587,'0.Productos'!DC$1+1,0),"")</f>
        <v/>
      </c>
      <c r="BL486" s="133" t="str">
        <f>IF($A486&lt;&gt;0,VLOOKUP($A486,'0.Productos'!$A$3:$GG$587,'0.Productos'!DD$1+1,0),"")</f>
        <v/>
      </c>
      <c r="BM486" s="133" t="str">
        <f>IF($A486&lt;&gt;0,VLOOKUP($A486,'0.Productos'!$A$3:$GG$587,'0.Productos'!DE$1+1,0),"")</f>
        <v/>
      </c>
      <c r="BN486" s="133" t="str">
        <f>IF($A486&lt;&gt;0,VLOOKUP($A486,'0.Productos'!$A$3:$GG$587,'0.Productos'!DF$1+1,0),"")</f>
        <v/>
      </c>
      <c r="BO486" s="133" t="str">
        <f>IF($A486&lt;&gt;0,VLOOKUP($A486,'0.Productos'!$A$3:$GG$587,'0.Productos'!DG$1+1,0),"")</f>
        <v/>
      </c>
      <c r="BP486" s="133" t="str">
        <f>IF($A486&lt;&gt;0,VLOOKUP($A486,'0.Productos'!$A$3:$GG$587,'0.Productos'!DH$1+1,0),"")</f>
        <v/>
      </c>
      <c r="BQ486" s="133" t="str">
        <f>IF($A486&lt;&gt;0,VLOOKUP($A486,'0.Productos'!$A$3:$GG$587,'0.Productos'!DI$1+1,0),"")</f>
        <v/>
      </c>
      <c r="BR486" s="133" t="str">
        <f>IF($A486&lt;&gt;0,VLOOKUP($A486,'0.Productos'!$A$3:$GG$587,'0.Productos'!DJ$1+1,0),"")</f>
        <v/>
      </c>
      <c r="BS486" s="133" t="str">
        <f>IF($A486&lt;&gt;0,VLOOKUP($A486,'0.Productos'!$A$3:$GG$587,'0.Productos'!DK$1+1,0),"")</f>
        <v/>
      </c>
      <c r="BT486" s="133" t="str">
        <f>IF($A486&lt;&gt;0,VLOOKUP($A486,'0.Productos'!$A$3:$GG$587,'0.Productos'!DL$1+1,0),"")</f>
        <v/>
      </c>
    </row>
    <row r="487" spans="1:72" x14ac:dyDescent="0.25">
      <c r="A487" s="17">
        <f>'0.Consolidado general'!A487</f>
        <v>0</v>
      </c>
      <c r="B487" s="133" t="str">
        <f>IF($A487&lt;&gt;0,VLOOKUP($A487,'0.Productos'!$A$3:$GG$587,'0.Productos'!AT$1+1,0),"")</f>
        <v/>
      </c>
      <c r="C487" s="133" t="str">
        <f>IF($A487&lt;&gt;0,VLOOKUP($A487,'0.Productos'!$A$3:$GG$587,'0.Productos'!AU$1+1,0),"")</f>
        <v/>
      </c>
      <c r="D487" s="133" t="str">
        <f>IF($A487&lt;&gt;0,VLOOKUP($A487,'0.Productos'!$A$3:$GG$587,'0.Productos'!AV$1+1,0),"")</f>
        <v/>
      </c>
      <c r="E487" s="133" t="str">
        <f>IF($A487&lt;&gt;0,VLOOKUP($A487,'0.Productos'!$A$3:$GG$587,'0.Productos'!AW$1+1,0),"")</f>
        <v/>
      </c>
      <c r="F487" s="133" t="str">
        <f>IF($A487&lt;&gt;0,VLOOKUP($A487,'0.Productos'!$A$3:$GG$587,'0.Productos'!AX$1+1,0),"")</f>
        <v/>
      </c>
      <c r="G487" s="133" t="str">
        <f>IF($A487&lt;&gt;0,VLOOKUP($A487,'0.Productos'!$A$3:$GG$587,'0.Productos'!AY$1+1,0),"")</f>
        <v/>
      </c>
      <c r="H487" s="133" t="str">
        <f>IF($A487&lt;&gt;0,VLOOKUP($A487,'0.Productos'!$A$3:$GG$587,'0.Productos'!AZ$1+1,0),"")</f>
        <v/>
      </c>
      <c r="I487" s="133" t="str">
        <f>IF($A487&lt;&gt;0,VLOOKUP($A487,'0.Productos'!$A$3:$GG$587,'0.Productos'!BA$1+1,0),"")</f>
        <v/>
      </c>
      <c r="J487" s="133" t="str">
        <f>IF($A487&lt;&gt;0,VLOOKUP($A487,'0.Productos'!$A$3:$GG$587,'0.Productos'!BB$1+1,0),"")</f>
        <v/>
      </c>
      <c r="K487" s="133" t="str">
        <f>IF($A487&lt;&gt;0,VLOOKUP($A487,'0.Productos'!$A$3:$GG$587,'0.Productos'!BC$1+1,0),"")</f>
        <v/>
      </c>
      <c r="L487" s="133" t="str">
        <f>IF($A487&lt;&gt;0,VLOOKUP($A487,'0.Productos'!$A$3:$GG$587,'0.Productos'!BD$1+1,0),"")</f>
        <v/>
      </c>
      <c r="M487" s="133" t="str">
        <f>IF($A487&lt;&gt;0,VLOOKUP($A487,'0.Productos'!$A$3:$GG$587,'0.Productos'!BE$1+1,0),"")</f>
        <v/>
      </c>
      <c r="N487" s="133" t="str">
        <f>IF($A487&lt;&gt;0,VLOOKUP($A487,'0.Productos'!$A$3:$GG$587,'0.Productos'!BF$1+1,0),"")</f>
        <v/>
      </c>
      <c r="O487" s="133" t="str">
        <f>IF($A487&lt;&gt;0,VLOOKUP($A487,'0.Productos'!$A$3:$GG$587,'0.Productos'!BG$1+1,0),"")</f>
        <v/>
      </c>
      <c r="P487" s="133" t="str">
        <f>IF($A487&lt;&gt;0,VLOOKUP($A487,'0.Productos'!$A$3:$GG$587,'0.Productos'!BH$1+1,0),"")</f>
        <v/>
      </c>
      <c r="Q487" s="133" t="str">
        <f>IF($A487&lt;&gt;0,VLOOKUP($A487,'0.Productos'!$A$3:$GG$587,'0.Productos'!BI$1+1,0),"")</f>
        <v/>
      </c>
      <c r="R487" s="133" t="str">
        <f>IF($A487&lt;&gt;0,VLOOKUP($A487,'0.Productos'!$A$3:$GG$587,'0.Productos'!BJ$1+1,0),"")</f>
        <v/>
      </c>
      <c r="S487" s="133" t="str">
        <f>IF($A487&lt;&gt;0,VLOOKUP($A487,'0.Productos'!$A$3:$GG$587,'0.Productos'!BK$1+1,0),"")</f>
        <v/>
      </c>
      <c r="T487" s="133" t="str">
        <f>IF($A487&lt;&gt;0,VLOOKUP($A487,'0.Productos'!$A$3:$GG$587,'0.Productos'!BL$1+1,0),"")</f>
        <v/>
      </c>
      <c r="U487" s="133" t="str">
        <f>IF($A487&lt;&gt;0,VLOOKUP($A487,'0.Productos'!$A$3:$GG$587,'0.Productos'!BM$1+1,0),"")</f>
        <v/>
      </c>
      <c r="V487" s="133" t="str">
        <f>IF($A487&lt;&gt;0,VLOOKUP($A487,'0.Productos'!$A$3:$GG$587,'0.Productos'!BN$1+1,0),"")</f>
        <v/>
      </c>
      <c r="W487" s="133" t="str">
        <f>IF($A487&lt;&gt;0,VLOOKUP($A487,'0.Productos'!$A$3:$GG$587,'0.Productos'!BO$1+1,0),"")</f>
        <v/>
      </c>
      <c r="X487" s="133" t="str">
        <f>IF($A487&lt;&gt;0,VLOOKUP($A487,'0.Productos'!$A$3:$GG$587,'0.Productos'!BP$1+1,0),"")</f>
        <v/>
      </c>
      <c r="Y487" s="133" t="str">
        <f>IF($A487&lt;&gt;0,VLOOKUP($A487,'0.Productos'!$A$3:$GG$587,'0.Productos'!BQ$1+1,0),"")</f>
        <v/>
      </c>
      <c r="Z487" s="133" t="str">
        <f>IF($A487&lt;&gt;0,VLOOKUP($A487,'0.Productos'!$A$3:$GG$587,'0.Productos'!BR$1+1,0),"")</f>
        <v/>
      </c>
      <c r="AA487" s="133" t="str">
        <f>IF($A487&lt;&gt;0,VLOOKUP($A487,'0.Productos'!$A$3:$GG$587,'0.Productos'!BS$1+1,0),"")</f>
        <v/>
      </c>
      <c r="AB487" s="133" t="str">
        <f>IF($A487&lt;&gt;0,VLOOKUP($A487,'0.Productos'!$A$3:$GG$587,'0.Productos'!BT$1+1,0),"")</f>
        <v/>
      </c>
      <c r="AC487" s="133" t="str">
        <f>IF($A487&lt;&gt;0,VLOOKUP($A487,'0.Productos'!$A$3:$GG$587,'0.Productos'!BU$1+1,0),"")</f>
        <v/>
      </c>
      <c r="AD487" s="133" t="str">
        <f>IF($A487&lt;&gt;0,VLOOKUP($A487,'0.Productos'!$A$3:$GG$587,'0.Productos'!BV$1+1,0),"")</f>
        <v/>
      </c>
      <c r="AE487" s="133" t="str">
        <f>IF($A487&lt;&gt;0,VLOOKUP($A487,'0.Productos'!$A$3:$GG$587,'0.Productos'!BW$1+1,0),"")</f>
        <v/>
      </c>
      <c r="AF487" s="133" t="str">
        <f>IF($A487&lt;&gt;0,VLOOKUP($A487,'0.Productos'!$A$3:$GG$587,'0.Productos'!BX$1+1,0),"")</f>
        <v/>
      </c>
      <c r="AG487" s="133" t="str">
        <f>IF($A487&lt;&gt;0,VLOOKUP($A487,'0.Productos'!$A$3:$GG$587,'0.Productos'!BY$1+1,0),"")</f>
        <v/>
      </c>
      <c r="AH487" s="133" t="str">
        <f>IF($A487&lt;&gt;0,VLOOKUP($A487,'0.Productos'!$A$3:$GG$587,'0.Productos'!BZ$1+1,0),"")</f>
        <v/>
      </c>
      <c r="AI487" s="133" t="str">
        <f>IF($A487&lt;&gt;0,VLOOKUP($A487,'0.Productos'!$A$3:$GG$587,'0.Productos'!CA$1+1,0),"")</f>
        <v/>
      </c>
      <c r="AJ487" s="133" t="str">
        <f>IF($A487&lt;&gt;0,VLOOKUP($A487,'0.Productos'!$A$3:$GG$587,'0.Productos'!CB$1+1,0),"")</f>
        <v/>
      </c>
      <c r="AK487" s="133" t="str">
        <f>IF($A487&lt;&gt;0,VLOOKUP($A487,'0.Productos'!$A$3:$GG$587,'0.Productos'!CC$1+1,0),"")</f>
        <v/>
      </c>
      <c r="AL487" s="133" t="str">
        <f>IF($A487&lt;&gt;0,VLOOKUP($A487,'0.Productos'!$A$3:$GG$587,'0.Productos'!CD$1+1,0),"")</f>
        <v/>
      </c>
      <c r="AM487" s="133" t="str">
        <f>IF($A487&lt;&gt;0,VLOOKUP($A487,'0.Productos'!$A$3:$GG$587,'0.Productos'!CE$1+1,0),"")</f>
        <v/>
      </c>
      <c r="AN487" s="133" t="str">
        <f>IF($A487&lt;&gt;0,VLOOKUP($A487,'0.Productos'!$A$3:$GG$587,'0.Productos'!CF$1+1,0),"")</f>
        <v/>
      </c>
      <c r="AO487" s="133" t="str">
        <f>IF($A487&lt;&gt;0,VLOOKUP($A487,'0.Productos'!$A$3:$GG$587,'0.Productos'!CG$1+1,0),"")</f>
        <v/>
      </c>
      <c r="AP487" s="133" t="str">
        <f>IF($A487&lt;&gt;0,VLOOKUP($A487,'0.Productos'!$A$3:$GG$587,'0.Productos'!CH$1+1,0),"")</f>
        <v/>
      </c>
      <c r="AQ487" s="133" t="str">
        <f>IF($A487&lt;&gt;0,VLOOKUP($A487,'0.Productos'!$A$3:$GG$587,'0.Productos'!CI$1+1,0),"")</f>
        <v/>
      </c>
      <c r="AR487" s="133" t="str">
        <f>IF($A487&lt;&gt;0,VLOOKUP($A487,'0.Productos'!$A$3:$GG$587,'0.Productos'!CJ$1+1,0),"")</f>
        <v/>
      </c>
      <c r="AS487" s="133" t="str">
        <f>IF($A487&lt;&gt;0,VLOOKUP($A487,'0.Productos'!$A$3:$GG$587,'0.Productos'!CK$1+1,0),"")</f>
        <v/>
      </c>
      <c r="AT487" s="133" t="str">
        <f>IF($A487&lt;&gt;0,VLOOKUP($A487,'0.Productos'!$A$3:$GG$587,'0.Productos'!CL$1+1,0),"")</f>
        <v/>
      </c>
      <c r="AU487" s="133" t="str">
        <f>IF($A487&lt;&gt;0,VLOOKUP($A487,'0.Productos'!$A$3:$GG$587,'0.Productos'!CM$1+1,0),"")</f>
        <v/>
      </c>
      <c r="AV487" s="133" t="str">
        <f>IF($A487&lt;&gt;0,VLOOKUP($A487,'0.Productos'!$A$3:$GG$587,'0.Productos'!CN$1+1,0),"")</f>
        <v/>
      </c>
      <c r="AW487" s="133" t="str">
        <f>IF($A487&lt;&gt;0,VLOOKUP($A487,'0.Productos'!$A$3:$GG$587,'0.Productos'!CO$1+1,0),"")</f>
        <v/>
      </c>
      <c r="AX487" s="133" t="str">
        <f>IF($A487&lt;&gt;0,VLOOKUP($A487,'0.Productos'!$A$3:$GG$587,'0.Productos'!CP$1+1,0),"")</f>
        <v/>
      </c>
      <c r="AY487" s="133" t="str">
        <f>IF($A487&lt;&gt;0,VLOOKUP($A487,'0.Productos'!$A$3:$GG$587,'0.Productos'!CQ$1+1,0),"")</f>
        <v/>
      </c>
      <c r="AZ487" s="133" t="str">
        <f>IF($A487&lt;&gt;0,VLOOKUP($A487,'0.Productos'!$A$3:$GG$587,'0.Productos'!CR$1+1,0),"")</f>
        <v/>
      </c>
      <c r="BA487" s="133" t="str">
        <f>IF($A487&lt;&gt;0,VLOOKUP($A487,'0.Productos'!$A$3:$GG$587,'0.Productos'!CS$1+1,0),"")</f>
        <v/>
      </c>
      <c r="BB487" s="133" t="str">
        <f>IF($A487&lt;&gt;0,VLOOKUP($A487,'0.Productos'!$A$3:$GG$587,'0.Productos'!CT$1+1,0),"")</f>
        <v/>
      </c>
      <c r="BC487" s="133" t="str">
        <f>IF($A487&lt;&gt;0,VLOOKUP($A487,'0.Productos'!$A$3:$GG$587,'0.Productos'!CU$1+1,0),"")</f>
        <v/>
      </c>
      <c r="BD487" s="133" t="str">
        <f>IF($A487&lt;&gt;0,VLOOKUP($A487,'0.Productos'!$A$3:$GG$587,'0.Productos'!CV$1+1,0),"")</f>
        <v/>
      </c>
      <c r="BE487" s="133" t="str">
        <f>IF($A487&lt;&gt;0,VLOOKUP($A487,'0.Productos'!$A$3:$GG$587,'0.Productos'!CW$1+1,0),"")</f>
        <v/>
      </c>
      <c r="BF487" s="133" t="str">
        <f>IF($A487&lt;&gt;0,VLOOKUP($A487,'0.Productos'!$A$3:$GG$587,'0.Productos'!CX$1+1,0),"")</f>
        <v/>
      </c>
      <c r="BG487" s="133" t="str">
        <f>IF($A487&lt;&gt;0,VLOOKUP($A487,'0.Productos'!$A$3:$GG$587,'0.Productos'!CY$1+1,0),"")</f>
        <v/>
      </c>
      <c r="BH487" s="133" t="str">
        <f>IF($A487&lt;&gt;0,VLOOKUP($A487,'0.Productos'!$A$3:$GG$587,'0.Productos'!CZ$1+1,0),"")</f>
        <v/>
      </c>
      <c r="BI487" s="133" t="str">
        <f>IF($A487&lt;&gt;0,VLOOKUP($A487,'0.Productos'!$A$3:$GG$587,'0.Productos'!DA$1+1,0),"")</f>
        <v/>
      </c>
      <c r="BJ487" s="133" t="str">
        <f>IF($A487&lt;&gt;0,VLOOKUP($A487,'0.Productos'!$A$3:$GG$587,'0.Productos'!DB$1+1,0),"")</f>
        <v/>
      </c>
      <c r="BK487" s="133" t="str">
        <f>IF($A487&lt;&gt;0,VLOOKUP($A487,'0.Productos'!$A$3:$GG$587,'0.Productos'!DC$1+1,0),"")</f>
        <v/>
      </c>
      <c r="BL487" s="133" t="str">
        <f>IF($A487&lt;&gt;0,VLOOKUP($A487,'0.Productos'!$A$3:$GG$587,'0.Productos'!DD$1+1,0),"")</f>
        <v/>
      </c>
      <c r="BM487" s="133" t="str">
        <f>IF($A487&lt;&gt;0,VLOOKUP($A487,'0.Productos'!$A$3:$GG$587,'0.Productos'!DE$1+1,0),"")</f>
        <v/>
      </c>
      <c r="BN487" s="133" t="str">
        <f>IF($A487&lt;&gt;0,VLOOKUP($A487,'0.Productos'!$A$3:$GG$587,'0.Productos'!DF$1+1,0),"")</f>
        <v/>
      </c>
      <c r="BO487" s="133" t="str">
        <f>IF($A487&lt;&gt;0,VLOOKUP($A487,'0.Productos'!$A$3:$GG$587,'0.Productos'!DG$1+1,0),"")</f>
        <v/>
      </c>
      <c r="BP487" s="133" t="str">
        <f>IF($A487&lt;&gt;0,VLOOKUP($A487,'0.Productos'!$A$3:$GG$587,'0.Productos'!DH$1+1,0),"")</f>
        <v/>
      </c>
      <c r="BQ487" s="133" t="str">
        <f>IF($A487&lt;&gt;0,VLOOKUP($A487,'0.Productos'!$A$3:$GG$587,'0.Productos'!DI$1+1,0),"")</f>
        <v/>
      </c>
      <c r="BR487" s="133" t="str">
        <f>IF($A487&lt;&gt;0,VLOOKUP($A487,'0.Productos'!$A$3:$GG$587,'0.Productos'!DJ$1+1,0),"")</f>
        <v/>
      </c>
      <c r="BS487" s="133" t="str">
        <f>IF($A487&lt;&gt;0,VLOOKUP($A487,'0.Productos'!$A$3:$GG$587,'0.Productos'!DK$1+1,0),"")</f>
        <v/>
      </c>
      <c r="BT487" s="133" t="str">
        <f>IF($A487&lt;&gt;0,VLOOKUP($A487,'0.Productos'!$A$3:$GG$587,'0.Productos'!DL$1+1,0),"")</f>
        <v/>
      </c>
    </row>
    <row r="488" spans="1:72" x14ac:dyDescent="0.25">
      <c r="A488" s="17">
        <f>'0.Consolidado general'!A488</f>
        <v>0</v>
      </c>
      <c r="B488" s="133" t="str">
        <f>IF($A488&lt;&gt;0,VLOOKUP($A488,'0.Productos'!$A$3:$GG$587,'0.Productos'!AT$1+1,0),"")</f>
        <v/>
      </c>
      <c r="C488" s="133" t="str">
        <f>IF($A488&lt;&gt;0,VLOOKUP($A488,'0.Productos'!$A$3:$GG$587,'0.Productos'!AU$1+1,0),"")</f>
        <v/>
      </c>
      <c r="D488" s="133" t="str">
        <f>IF($A488&lt;&gt;0,VLOOKUP($A488,'0.Productos'!$A$3:$GG$587,'0.Productos'!AV$1+1,0),"")</f>
        <v/>
      </c>
      <c r="E488" s="133" t="str">
        <f>IF($A488&lt;&gt;0,VLOOKUP($A488,'0.Productos'!$A$3:$GG$587,'0.Productos'!AW$1+1,0),"")</f>
        <v/>
      </c>
      <c r="F488" s="133" t="str">
        <f>IF($A488&lt;&gt;0,VLOOKUP($A488,'0.Productos'!$A$3:$GG$587,'0.Productos'!AX$1+1,0),"")</f>
        <v/>
      </c>
      <c r="G488" s="133" t="str">
        <f>IF($A488&lt;&gt;0,VLOOKUP($A488,'0.Productos'!$A$3:$GG$587,'0.Productos'!AY$1+1,0),"")</f>
        <v/>
      </c>
      <c r="H488" s="133" t="str">
        <f>IF($A488&lt;&gt;0,VLOOKUP($A488,'0.Productos'!$A$3:$GG$587,'0.Productos'!AZ$1+1,0),"")</f>
        <v/>
      </c>
      <c r="I488" s="133" t="str">
        <f>IF($A488&lt;&gt;0,VLOOKUP($A488,'0.Productos'!$A$3:$GG$587,'0.Productos'!BA$1+1,0),"")</f>
        <v/>
      </c>
      <c r="J488" s="133" t="str">
        <f>IF($A488&lt;&gt;0,VLOOKUP($A488,'0.Productos'!$A$3:$GG$587,'0.Productos'!BB$1+1,0),"")</f>
        <v/>
      </c>
      <c r="K488" s="133" t="str">
        <f>IF($A488&lt;&gt;0,VLOOKUP($A488,'0.Productos'!$A$3:$GG$587,'0.Productos'!BC$1+1,0),"")</f>
        <v/>
      </c>
      <c r="L488" s="133" t="str">
        <f>IF($A488&lt;&gt;0,VLOOKUP($A488,'0.Productos'!$A$3:$GG$587,'0.Productos'!BD$1+1,0),"")</f>
        <v/>
      </c>
      <c r="M488" s="133" t="str">
        <f>IF($A488&lt;&gt;0,VLOOKUP($A488,'0.Productos'!$A$3:$GG$587,'0.Productos'!BE$1+1,0),"")</f>
        <v/>
      </c>
      <c r="N488" s="133" t="str">
        <f>IF($A488&lt;&gt;0,VLOOKUP($A488,'0.Productos'!$A$3:$GG$587,'0.Productos'!BF$1+1,0),"")</f>
        <v/>
      </c>
      <c r="O488" s="133" t="str">
        <f>IF($A488&lt;&gt;0,VLOOKUP($A488,'0.Productos'!$A$3:$GG$587,'0.Productos'!BG$1+1,0),"")</f>
        <v/>
      </c>
      <c r="P488" s="133" t="str">
        <f>IF($A488&lt;&gt;0,VLOOKUP($A488,'0.Productos'!$A$3:$GG$587,'0.Productos'!BH$1+1,0),"")</f>
        <v/>
      </c>
      <c r="Q488" s="133" t="str">
        <f>IF($A488&lt;&gt;0,VLOOKUP($A488,'0.Productos'!$A$3:$GG$587,'0.Productos'!BI$1+1,0),"")</f>
        <v/>
      </c>
      <c r="R488" s="133" t="str">
        <f>IF($A488&lt;&gt;0,VLOOKUP($A488,'0.Productos'!$A$3:$GG$587,'0.Productos'!BJ$1+1,0),"")</f>
        <v/>
      </c>
      <c r="S488" s="133" t="str">
        <f>IF($A488&lt;&gt;0,VLOOKUP($A488,'0.Productos'!$A$3:$GG$587,'0.Productos'!BK$1+1,0),"")</f>
        <v/>
      </c>
      <c r="T488" s="133" t="str">
        <f>IF($A488&lt;&gt;0,VLOOKUP($A488,'0.Productos'!$A$3:$GG$587,'0.Productos'!BL$1+1,0),"")</f>
        <v/>
      </c>
      <c r="U488" s="133" t="str">
        <f>IF($A488&lt;&gt;0,VLOOKUP($A488,'0.Productos'!$A$3:$GG$587,'0.Productos'!BM$1+1,0),"")</f>
        <v/>
      </c>
      <c r="V488" s="133" t="str">
        <f>IF($A488&lt;&gt;0,VLOOKUP($A488,'0.Productos'!$A$3:$GG$587,'0.Productos'!BN$1+1,0),"")</f>
        <v/>
      </c>
      <c r="W488" s="133" t="str">
        <f>IF($A488&lt;&gt;0,VLOOKUP($A488,'0.Productos'!$A$3:$GG$587,'0.Productos'!BO$1+1,0),"")</f>
        <v/>
      </c>
      <c r="X488" s="133" t="str">
        <f>IF($A488&lt;&gt;0,VLOOKUP($A488,'0.Productos'!$A$3:$GG$587,'0.Productos'!BP$1+1,0),"")</f>
        <v/>
      </c>
      <c r="Y488" s="133" t="str">
        <f>IF($A488&lt;&gt;0,VLOOKUP($A488,'0.Productos'!$A$3:$GG$587,'0.Productos'!BQ$1+1,0),"")</f>
        <v/>
      </c>
      <c r="Z488" s="133" t="str">
        <f>IF($A488&lt;&gt;0,VLOOKUP($A488,'0.Productos'!$A$3:$GG$587,'0.Productos'!BR$1+1,0),"")</f>
        <v/>
      </c>
      <c r="AA488" s="133" t="str">
        <f>IF($A488&lt;&gt;0,VLOOKUP($A488,'0.Productos'!$A$3:$GG$587,'0.Productos'!BS$1+1,0),"")</f>
        <v/>
      </c>
      <c r="AB488" s="133" t="str">
        <f>IF($A488&lt;&gt;0,VLOOKUP($A488,'0.Productos'!$A$3:$GG$587,'0.Productos'!BT$1+1,0),"")</f>
        <v/>
      </c>
      <c r="AC488" s="133" t="str">
        <f>IF($A488&lt;&gt;0,VLOOKUP($A488,'0.Productos'!$A$3:$GG$587,'0.Productos'!BU$1+1,0),"")</f>
        <v/>
      </c>
      <c r="AD488" s="133" t="str">
        <f>IF($A488&lt;&gt;0,VLOOKUP($A488,'0.Productos'!$A$3:$GG$587,'0.Productos'!BV$1+1,0),"")</f>
        <v/>
      </c>
      <c r="AE488" s="133" t="str">
        <f>IF($A488&lt;&gt;0,VLOOKUP($A488,'0.Productos'!$A$3:$GG$587,'0.Productos'!BW$1+1,0),"")</f>
        <v/>
      </c>
      <c r="AF488" s="133" t="str">
        <f>IF($A488&lt;&gt;0,VLOOKUP($A488,'0.Productos'!$A$3:$GG$587,'0.Productos'!BX$1+1,0),"")</f>
        <v/>
      </c>
      <c r="AG488" s="133" t="str">
        <f>IF($A488&lt;&gt;0,VLOOKUP($A488,'0.Productos'!$A$3:$GG$587,'0.Productos'!BY$1+1,0),"")</f>
        <v/>
      </c>
      <c r="AH488" s="133" t="str">
        <f>IF($A488&lt;&gt;0,VLOOKUP($A488,'0.Productos'!$A$3:$GG$587,'0.Productos'!BZ$1+1,0),"")</f>
        <v/>
      </c>
      <c r="AI488" s="133" t="str">
        <f>IF($A488&lt;&gt;0,VLOOKUP($A488,'0.Productos'!$A$3:$GG$587,'0.Productos'!CA$1+1,0),"")</f>
        <v/>
      </c>
      <c r="AJ488" s="133" t="str">
        <f>IF($A488&lt;&gt;0,VLOOKUP($A488,'0.Productos'!$A$3:$GG$587,'0.Productos'!CB$1+1,0),"")</f>
        <v/>
      </c>
      <c r="AK488" s="133" t="str">
        <f>IF($A488&lt;&gt;0,VLOOKUP($A488,'0.Productos'!$A$3:$GG$587,'0.Productos'!CC$1+1,0),"")</f>
        <v/>
      </c>
      <c r="AL488" s="133" t="str">
        <f>IF($A488&lt;&gt;0,VLOOKUP($A488,'0.Productos'!$A$3:$GG$587,'0.Productos'!CD$1+1,0),"")</f>
        <v/>
      </c>
      <c r="AM488" s="133" t="str">
        <f>IF($A488&lt;&gt;0,VLOOKUP($A488,'0.Productos'!$A$3:$GG$587,'0.Productos'!CE$1+1,0),"")</f>
        <v/>
      </c>
      <c r="AN488" s="133" t="str">
        <f>IF($A488&lt;&gt;0,VLOOKUP($A488,'0.Productos'!$A$3:$GG$587,'0.Productos'!CF$1+1,0),"")</f>
        <v/>
      </c>
      <c r="AO488" s="133" t="str">
        <f>IF($A488&lt;&gt;0,VLOOKUP($A488,'0.Productos'!$A$3:$GG$587,'0.Productos'!CG$1+1,0),"")</f>
        <v/>
      </c>
      <c r="AP488" s="133" t="str">
        <f>IF($A488&lt;&gt;0,VLOOKUP($A488,'0.Productos'!$A$3:$GG$587,'0.Productos'!CH$1+1,0),"")</f>
        <v/>
      </c>
      <c r="AQ488" s="133" t="str">
        <f>IF($A488&lt;&gt;0,VLOOKUP($A488,'0.Productos'!$A$3:$GG$587,'0.Productos'!CI$1+1,0),"")</f>
        <v/>
      </c>
      <c r="AR488" s="133" t="str">
        <f>IF($A488&lt;&gt;0,VLOOKUP($A488,'0.Productos'!$A$3:$GG$587,'0.Productos'!CJ$1+1,0),"")</f>
        <v/>
      </c>
      <c r="AS488" s="133" t="str">
        <f>IF($A488&lt;&gt;0,VLOOKUP($A488,'0.Productos'!$A$3:$GG$587,'0.Productos'!CK$1+1,0),"")</f>
        <v/>
      </c>
      <c r="AT488" s="133" t="str">
        <f>IF($A488&lt;&gt;0,VLOOKUP($A488,'0.Productos'!$A$3:$GG$587,'0.Productos'!CL$1+1,0),"")</f>
        <v/>
      </c>
      <c r="AU488" s="133" t="str">
        <f>IF($A488&lt;&gt;0,VLOOKUP($A488,'0.Productos'!$A$3:$GG$587,'0.Productos'!CM$1+1,0),"")</f>
        <v/>
      </c>
      <c r="AV488" s="133" t="str">
        <f>IF($A488&lt;&gt;0,VLOOKUP($A488,'0.Productos'!$A$3:$GG$587,'0.Productos'!CN$1+1,0),"")</f>
        <v/>
      </c>
      <c r="AW488" s="133" t="str">
        <f>IF($A488&lt;&gt;0,VLOOKUP($A488,'0.Productos'!$A$3:$GG$587,'0.Productos'!CO$1+1,0),"")</f>
        <v/>
      </c>
      <c r="AX488" s="133" t="str">
        <f>IF($A488&lt;&gt;0,VLOOKUP($A488,'0.Productos'!$A$3:$GG$587,'0.Productos'!CP$1+1,0),"")</f>
        <v/>
      </c>
      <c r="AY488" s="133" t="str">
        <f>IF($A488&lt;&gt;0,VLOOKUP($A488,'0.Productos'!$A$3:$GG$587,'0.Productos'!CQ$1+1,0),"")</f>
        <v/>
      </c>
      <c r="AZ488" s="133" t="str">
        <f>IF($A488&lt;&gt;0,VLOOKUP($A488,'0.Productos'!$A$3:$GG$587,'0.Productos'!CR$1+1,0),"")</f>
        <v/>
      </c>
      <c r="BA488" s="133" t="str">
        <f>IF($A488&lt;&gt;0,VLOOKUP($A488,'0.Productos'!$A$3:$GG$587,'0.Productos'!CS$1+1,0),"")</f>
        <v/>
      </c>
      <c r="BB488" s="133" t="str">
        <f>IF($A488&lt;&gt;0,VLOOKUP($A488,'0.Productos'!$A$3:$GG$587,'0.Productos'!CT$1+1,0),"")</f>
        <v/>
      </c>
      <c r="BC488" s="133" t="str">
        <f>IF($A488&lt;&gt;0,VLOOKUP($A488,'0.Productos'!$A$3:$GG$587,'0.Productos'!CU$1+1,0),"")</f>
        <v/>
      </c>
      <c r="BD488" s="133" t="str">
        <f>IF($A488&lt;&gt;0,VLOOKUP($A488,'0.Productos'!$A$3:$GG$587,'0.Productos'!CV$1+1,0),"")</f>
        <v/>
      </c>
      <c r="BE488" s="133" t="str">
        <f>IF($A488&lt;&gt;0,VLOOKUP($A488,'0.Productos'!$A$3:$GG$587,'0.Productos'!CW$1+1,0),"")</f>
        <v/>
      </c>
      <c r="BF488" s="133" t="str">
        <f>IF($A488&lt;&gt;0,VLOOKUP($A488,'0.Productos'!$A$3:$GG$587,'0.Productos'!CX$1+1,0),"")</f>
        <v/>
      </c>
      <c r="BG488" s="133" t="str">
        <f>IF($A488&lt;&gt;0,VLOOKUP($A488,'0.Productos'!$A$3:$GG$587,'0.Productos'!CY$1+1,0),"")</f>
        <v/>
      </c>
      <c r="BH488" s="133" t="str">
        <f>IF($A488&lt;&gt;0,VLOOKUP($A488,'0.Productos'!$A$3:$GG$587,'0.Productos'!CZ$1+1,0),"")</f>
        <v/>
      </c>
      <c r="BI488" s="133" t="str">
        <f>IF($A488&lt;&gt;0,VLOOKUP($A488,'0.Productos'!$A$3:$GG$587,'0.Productos'!DA$1+1,0),"")</f>
        <v/>
      </c>
      <c r="BJ488" s="133" t="str">
        <f>IF($A488&lt;&gt;0,VLOOKUP($A488,'0.Productos'!$A$3:$GG$587,'0.Productos'!DB$1+1,0),"")</f>
        <v/>
      </c>
      <c r="BK488" s="133" t="str">
        <f>IF($A488&lt;&gt;0,VLOOKUP($A488,'0.Productos'!$A$3:$GG$587,'0.Productos'!DC$1+1,0),"")</f>
        <v/>
      </c>
      <c r="BL488" s="133" t="str">
        <f>IF($A488&lt;&gt;0,VLOOKUP($A488,'0.Productos'!$A$3:$GG$587,'0.Productos'!DD$1+1,0),"")</f>
        <v/>
      </c>
      <c r="BM488" s="133" t="str">
        <f>IF($A488&lt;&gt;0,VLOOKUP($A488,'0.Productos'!$A$3:$GG$587,'0.Productos'!DE$1+1,0),"")</f>
        <v/>
      </c>
      <c r="BN488" s="133" t="str">
        <f>IF($A488&lt;&gt;0,VLOOKUP($A488,'0.Productos'!$A$3:$GG$587,'0.Productos'!DF$1+1,0),"")</f>
        <v/>
      </c>
      <c r="BO488" s="133" t="str">
        <f>IF($A488&lt;&gt;0,VLOOKUP($A488,'0.Productos'!$A$3:$GG$587,'0.Productos'!DG$1+1,0),"")</f>
        <v/>
      </c>
      <c r="BP488" s="133" t="str">
        <f>IF($A488&lt;&gt;0,VLOOKUP($A488,'0.Productos'!$A$3:$GG$587,'0.Productos'!DH$1+1,0),"")</f>
        <v/>
      </c>
      <c r="BQ488" s="133" t="str">
        <f>IF($A488&lt;&gt;0,VLOOKUP($A488,'0.Productos'!$A$3:$GG$587,'0.Productos'!DI$1+1,0),"")</f>
        <v/>
      </c>
      <c r="BR488" s="133" t="str">
        <f>IF($A488&lt;&gt;0,VLOOKUP($A488,'0.Productos'!$A$3:$GG$587,'0.Productos'!DJ$1+1,0),"")</f>
        <v/>
      </c>
      <c r="BS488" s="133" t="str">
        <f>IF($A488&lt;&gt;0,VLOOKUP($A488,'0.Productos'!$A$3:$GG$587,'0.Productos'!DK$1+1,0),"")</f>
        <v/>
      </c>
      <c r="BT488" s="133" t="str">
        <f>IF($A488&lt;&gt;0,VLOOKUP($A488,'0.Productos'!$A$3:$GG$587,'0.Productos'!DL$1+1,0),"")</f>
        <v/>
      </c>
    </row>
    <row r="489" spans="1:72" x14ac:dyDescent="0.25">
      <c r="A489" s="17">
        <f>'0.Consolidado general'!A489</f>
        <v>0</v>
      </c>
      <c r="B489" s="133" t="str">
        <f>IF($A489&lt;&gt;0,VLOOKUP($A489,'0.Productos'!$A$3:$GG$587,'0.Productos'!AT$1+1,0),"")</f>
        <v/>
      </c>
      <c r="C489" s="133" t="str">
        <f>IF($A489&lt;&gt;0,VLOOKUP($A489,'0.Productos'!$A$3:$GG$587,'0.Productos'!AU$1+1,0),"")</f>
        <v/>
      </c>
      <c r="D489" s="133" t="str">
        <f>IF($A489&lt;&gt;0,VLOOKUP($A489,'0.Productos'!$A$3:$GG$587,'0.Productos'!AV$1+1,0),"")</f>
        <v/>
      </c>
      <c r="E489" s="133" t="str">
        <f>IF($A489&lt;&gt;0,VLOOKUP($A489,'0.Productos'!$A$3:$GG$587,'0.Productos'!AW$1+1,0),"")</f>
        <v/>
      </c>
      <c r="F489" s="133" t="str">
        <f>IF($A489&lt;&gt;0,VLOOKUP($A489,'0.Productos'!$A$3:$GG$587,'0.Productos'!AX$1+1,0),"")</f>
        <v/>
      </c>
      <c r="G489" s="133" t="str">
        <f>IF($A489&lt;&gt;0,VLOOKUP($A489,'0.Productos'!$A$3:$GG$587,'0.Productos'!AY$1+1,0),"")</f>
        <v/>
      </c>
      <c r="H489" s="133" t="str">
        <f>IF($A489&lt;&gt;0,VLOOKUP($A489,'0.Productos'!$A$3:$GG$587,'0.Productos'!AZ$1+1,0),"")</f>
        <v/>
      </c>
      <c r="I489" s="133" t="str">
        <f>IF($A489&lt;&gt;0,VLOOKUP($A489,'0.Productos'!$A$3:$GG$587,'0.Productos'!BA$1+1,0),"")</f>
        <v/>
      </c>
      <c r="J489" s="133" t="str">
        <f>IF($A489&lt;&gt;0,VLOOKUP($A489,'0.Productos'!$A$3:$GG$587,'0.Productos'!BB$1+1,0),"")</f>
        <v/>
      </c>
      <c r="K489" s="133" t="str">
        <f>IF($A489&lt;&gt;0,VLOOKUP($A489,'0.Productos'!$A$3:$GG$587,'0.Productos'!BC$1+1,0),"")</f>
        <v/>
      </c>
      <c r="L489" s="133" t="str">
        <f>IF($A489&lt;&gt;0,VLOOKUP($A489,'0.Productos'!$A$3:$GG$587,'0.Productos'!BD$1+1,0),"")</f>
        <v/>
      </c>
      <c r="M489" s="133" t="str">
        <f>IF($A489&lt;&gt;0,VLOOKUP($A489,'0.Productos'!$A$3:$GG$587,'0.Productos'!BE$1+1,0),"")</f>
        <v/>
      </c>
      <c r="N489" s="133" t="str">
        <f>IF($A489&lt;&gt;0,VLOOKUP($A489,'0.Productos'!$A$3:$GG$587,'0.Productos'!BF$1+1,0),"")</f>
        <v/>
      </c>
      <c r="O489" s="133" t="str">
        <f>IF($A489&lt;&gt;0,VLOOKUP($A489,'0.Productos'!$A$3:$GG$587,'0.Productos'!BG$1+1,0),"")</f>
        <v/>
      </c>
      <c r="P489" s="133" t="str">
        <f>IF($A489&lt;&gt;0,VLOOKUP($A489,'0.Productos'!$A$3:$GG$587,'0.Productos'!BH$1+1,0),"")</f>
        <v/>
      </c>
      <c r="Q489" s="133" t="str">
        <f>IF($A489&lt;&gt;0,VLOOKUP($A489,'0.Productos'!$A$3:$GG$587,'0.Productos'!BI$1+1,0),"")</f>
        <v/>
      </c>
      <c r="R489" s="133" t="str">
        <f>IF($A489&lt;&gt;0,VLOOKUP($A489,'0.Productos'!$A$3:$GG$587,'0.Productos'!BJ$1+1,0),"")</f>
        <v/>
      </c>
      <c r="S489" s="133" t="str">
        <f>IF($A489&lt;&gt;0,VLOOKUP($A489,'0.Productos'!$A$3:$GG$587,'0.Productos'!BK$1+1,0),"")</f>
        <v/>
      </c>
      <c r="T489" s="133" t="str">
        <f>IF($A489&lt;&gt;0,VLOOKUP($A489,'0.Productos'!$A$3:$GG$587,'0.Productos'!BL$1+1,0),"")</f>
        <v/>
      </c>
      <c r="U489" s="133" t="str">
        <f>IF($A489&lt;&gt;0,VLOOKUP($A489,'0.Productos'!$A$3:$GG$587,'0.Productos'!BM$1+1,0),"")</f>
        <v/>
      </c>
      <c r="V489" s="133" t="str">
        <f>IF($A489&lt;&gt;0,VLOOKUP($A489,'0.Productos'!$A$3:$GG$587,'0.Productos'!BN$1+1,0),"")</f>
        <v/>
      </c>
      <c r="W489" s="133" t="str">
        <f>IF($A489&lt;&gt;0,VLOOKUP($A489,'0.Productos'!$A$3:$GG$587,'0.Productos'!BO$1+1,0),"")</f>
        <v/>
      </c>
      <c r="X489" s="133" t="str">
        <f>IF($A489&lt;&gt;0,VLOOKUP($A489,'0.Productos'!$A$3:$GG$587,'0.Productos'!BP$1+1,0),"")</f>
        <v/>
      </c>
      <c r="Y489" s="133" t="str">
        <f>IF($A489&lt;&gt;0,VLOOKUP($A489,'0.Productos'!$A$3:$GG$587,'0.Productos'!BQ$1+1,0),"")</f>
        <v/>
      </c>
      <c r="Z489" s="133" t="str">
        <f>IF($A489&lt;&gt;0,VLOOKUP($A489,'0.Productos'!$A$3:$GG$587,'0.Productos'!BR$1+1,0),"")</f>
        <v/>
      </c>
      <c r="AA489" s="133" t="str">
        <f>IF($A489&lt;&gt;0,VLOOKUP($A489,'0.Productos'!$A$3:$GG$587,'0.Productos'!BS$1+1,0),"")</f>
        <v/>
      </c>
      <c r="AB489" s="133" t="str">
        <f>IF($A489&lt;&gt;0,VLOOKUP($A489,'0.Productos'!$A$3:$GG$587,'0.Productos'!BT$1+1,0),"")</f>
        <v/>
      </c>
      <c r="AC489" s="133" t="str">
        <f>IF($A489&lt;&gt;0,VLOOKUP($A489,'0.Productos'!$A$3:$GG$587,'0.Productos'!BU$1+1,0),"")</f>
        <v/>
      </c>
      <c r="AD489" s="133" t="str">
        <f>IF($A489&lt;&gt;0,VLOOKUP($A489,'0.Productos'!$A$3:$GG$587,'0.Productos'!BV$1+1,0),"")</f>
        <v/>
      </c>
      <c r="AE489" s="133" t="str">
        <f>IF($A489&lt;&gt;0,VLOOKUP($A489,'0.Productos'!$A$3:$GG$587,'0.Productos'!BW$1+1,0),"")</f>
        <v/>
      </c>
      <c r="AF489" s="133" t="str">
        <f>IF($A489&lt;&gt;0,VLOOKUP($A489,'0.Productos'!$A$3:$GG$587,'0.Productos'!BX$1+1,0),"")</f>
        <v/>
      </c>
      <c r="AG489" s="133" t="str">
        <f>IF($A489&lt;&gt;0,VLOOKUP($A489,'0.Productos'!$A$3:$GG$587,'0.Productos'!BY$1+1,0),"")</f>
        <v/>
      </c>
      <c r="AH489" s="133" t="str">
        <f>IF($A489&lt;&gt;0,VLOOKUP($A489,'0.Productos'!$A$3:$GG$587,'0.Productos'!BZ$1+1,0),"")</f>
        <v/>
      </c>
      <c r="AI489" s="133" t="str">
        <f>IF($A489&lt;&gt;0,VLOOKUP($A489,'0.Productos'!$A$3:$GG$587,'0.Productos'!CA$1+1,0),"")</f>
        <v/>
      </c>
      <c r="AJ489" s="133" t="str">
        <f>IF($A489&lt;&gt;0,VLOOKUP($A489,'0.Productos'!$A$3:$GG$587,'0.Productos'!CB$1+1,0),"")</f>
        <v/>
      </c>
      <c r="AK489" s="133" t="str">
        <f>IF($A489&lt;&gt;0,VLOOKUP($A489,'0.Productos'!$A$3:$GG$587,'0.Productos'!CC$1+1,0),"")</f>
        <v/>
      </c>
      <c r="AL489" s="133" t="str">
        <f>IF($A489&lt;&gt;0,VLOOKUP($A489,'0.Productos'!$A$3:$GG$587,'0.Productos'!CD$1+1,0),"")</f>
        <v/>
      </c>
      <c r="AM489" s="133" t="str">
        <f>IF($A489&lt;&gt;0,VLOOKUP($A489,'0.Productos'!$A$3:$GG$587,'0.Productos'!CE$1+1,0),"")</f>
        <v/>
      </c>
      <c r="AN489" s="133" t="str">
        <f>IF($A489&lt;&gt;0,VLOOKUP($A489,'0.Productos'!$A$3:$GG$587,'0.Productos'!CF$1+1,0),"")</f>
        <v/>
      </c>
      <c r="AO489" s="133" t="str">
        <f>IF($A489&lt;&gt;0,VLOOKUP($A489,'0.Productos'!$A$3:$GG$587,'0.Productos'!CG$1+1,0),"")</f>
        <v/>
      </c>
      <c r="AP489" s="133" t="str">
        <f>IF($A489&lt;&gt;0,VLOOKUP($A489,'0.Productos'!$A$3:$GG$587,'0.Productos'!CH$1+1,0),"")</f>
        <v/>
      </c>
      <c r="AQ489" s="133" t="str">
        <f>IF($A489&lt;&gt;0,VLOOKUP($A489,'0.Productos'!$A$3:$GG$587,'0.Productos'!CI$1+1,0),"")</f>
        <v/>
      </c>
      <c r="AR489" s="133" t="str">
        <f>IF($A489&lt;&gt;0,VLOOKUP($A489,'0.Productos'!$A$3:$GG$587,'0.Productos'!CJ$1+1,0),"")</f>
        <v/>
      </c>
      <c r="AS489" s="133" t="str">
        <f>IF($A489&lt;&gt;0,VLOOKUP($A489,'0.Productos'!$A$3:$GG$587,'0.Productos'!CK$1+1,0),"")</f>
        <v/>
      </c>
      <c r="AT489" s="133" t="str">
        <f>IF($A489&lt;&gt;0,VLOOKUP($A489,'0.Productos'!$A$3:$GG$587,'0.Productos'!CL$1+1,0),"")</f>
        <v/>
      </c>
      <c r="AU489" s="133" t="str">
        <f>IF($A489&lt;&gt;0,VLOOKUP($A489,'0.Productos'!$A$3:$GG$587,'0.Productos'!CM$1+1,0),"")</f>
        <v/>
      </c>
      <c r="AV489" s="133" t="str">
        <f>IF($A489&lt;&gt;0,VLOOKUP($A489,'0.Productos'!$A$3:$GG$587,'0.Productos'!CN$1+1,0),"")</f>
        <v/>
      </c>
      <c r="AW489" s="133" t="str">
        <f>IF($A489&lt;&gt;0,VLOOKUP($A489,'0.Productos'!$A$3:$GG$587,'0.Productos'!CO$1+1,0),"")</f>
        <v/>
      </c>
      <c r="AX489" s="133" t="str">
        <f>IF($A489&lt;&gt;0,VLOOKUP($A489,'0.Productos'!$A$3:$GG$587,'0.Productos'!CP$1+1,0),"")</f>
        <v/>
      </c>
      <c r="AY489" s="133" t="str">
        <f>IF($A489&lt;&gt;0,VLOOKUP($A489,'0.Productos'!$A$3:$GG$587,'0.Productos'!CQ$1+1,0),"")</f>
        <v/>
      </c>
      <c r="AZ489" s="133" t="str">
        <f>IF($A489&lt;&gt;0,VLOOKUP($A489,'0.Productos'!$A$3:$GG$587,'0.Productos'!CR$1+1,0),"")</f>
        <v/>
      </c>
      <c r="BA489" s="133" t="str">
        <f>IF($A489&lt;&gt;0,VLOOKUP($A489,'0.Productos'!$A$3:$GG$587,'0.Productos'!CS$1+1,0),"")</f>
        <v/>
      </c>
      <c r="BB489" s="133" t="str">
        <f>IF($A489&lt;&gt;0,VLOOKUP($A489,'0.Productos'!$A$3:$GG$587,'0.Productos'!CT$1+1,0),"")</f>
        <v/>
      </c>
      <c r="BC489" s="133" t="str">
        <f>IF($A489&lt;&gt;0,VLOOKUP($A489,'0.Productos'!$A$3:$GG$587,'0.Productos'!CU$1+1,0),"")</f>
        <v/>
      </c>
      <c r="BD489" s="133" t="str">
        <f>IF($A489&lt;&gt;0,VLOOKUP($A489,'0.Productos'!$A$3:$GG$587,'0.Productos'!CV$1+1,0),"")</f>
        <v/>
      </c>
      <c r="BE489" s="133" t="str">
        <f>IF($A489&lt;&gt;0,VLOOKUP($A489,'0.Productos'!$A$3:$GG$587,'0.Productos'!CW$1+1,0),"")</f>
        <v/>
      </c>
      <c r="BF489" s="133" t="str">
        <f>IF($A489&lt;&gt;0,VLOOKUP($A489,'0.Productos'!$A$3:$GG$587,'0.Productos'!CX$1+1,0),"")</f>
        <v/>
      </c>
      <c r="BG489" s="133" t="str">
        <f>IF($A489&lt;&gt;0,VLOOKUP($A489,'0.Productos'!$A$3:$GG$587,'0.Productos'!CY$1+1,0),"")</f>
        <v/>
      </c>
      <c r="BH489" s="133" t="str">
        <f>IF($A489&lt;&gt;0,VLOOKUP($A489,'0.Productos'!$A$3:$GG$587,'0.Productos'!CZ$1+1,0),"")</f>
        <v/>
      </c>
      <c r="BI489" s="133" t="str">
        <f>IF($A489&lt;&gt;0,VLOOKUP($A489,'0.Productos'!$A$3:$GG$587,'0.Productos'!DA$1+1,0),"")</f>
        <v/>
      </c>
      <c r="BJ489" s="133" t="str">
        <f>IF($A489&lt;&gt;0,VLOOKUP($A489,'0.Productos'!$A$3:$GG$587,'0.Productos'!DB$1+1,0),"")</f>
        <v/>
      </c>
      <c r="BK489" s="133" t="str">
        <f>IF($A489&lt;&gt;0,VLOOKUP($A489,'0.Productos'!$A$3:$GG$587,'0.Productos'!DC$1+1,0),"")</f>
        <v/>
      </c>
      <c r="BL489" s="133" t="str">
        <f>IF($A489&lt;&gt;0,VLOOKUP($A489,'0.Productos'!$A$3:$GG$587,'0.Productos'!DD$1+1,0),"")</f>
        <v/>
      </c>
      <c r="BM489" s="133" t="str">
        <f>IF($A489&lt;&gt;0,VLOOKUP($A489,'0.Productos'!$A$3:$GG$587,'0.Productos'!DE$1+1,0),"")</f>
        <v/>
      </c>
      <c r="BN489" s="133" t="str">
        <f>IF($A489&lt;&gt;0,VLOOKUP($A489,'0.Productos'!$A$3:$GG$587,'0.Productos'!DF$1+1,0),"")</f>
        <v/>
      </c>
      <c r="BO489" s="133" t="str">
        <f>IF($A489&lt;&gt;0,VLOOKUP($A489,'0.Productos'!$A$3:$GG$587,'0.Productos'!DG$1+1,0),"")</f>
        <v/>
      </c>
      <c r="BP489" s="133" t="str">
        <f>IF($A489&lt;&gt;0,VLOOKUP($A489,'0.Productos'!$A$3:$GG$587,'0.Productos'!DH$1+1,0),"")</f>
        <v/>
      </c>
      <c r="BQ489" s="133" t="str">
        <f>IF($A489&lt;&gt;0,VLOOKUP($A489,'0.Productos'!$A$3:$GG$587,'0.Productos'!DI$1+1,0),"")</f>
        <v/>
      </c>
      <c r="BR489" s="133" t="str">
        <f>IF($A489&lt;&gt;0,VLOOKUP($A489,'0.Productos'!$A$3:$GG$587,'0.Productos'!DJ$1+1,0),"")</f>
        <v/>
      </c>
      <c r="BS489" s="133" t="str">
        <f>IF($A489&lt;&gt;0,VLOOKUP($A489,'0.Productos'!$A$3:$GG$587,'0.Productos'!DK$1+1,0),"")</f>
        <v/>
      </c>
      <c r="BT489" s="133" t="str">
        <f>IF($A489&lt;&gt;0,VLOOKUP($A489,'0.Productos'!$A$3:$GG$587,'0.Productos'!DL$1+1,0),"")</f>
        <v/>
      </c>
    </row>
    <row r="490" spans="1:72" x14ac:dyDescent="0.25">
      <c r="A490" s="17">
        <f>'0.Consolidado general'!A490</f>
        <v>0</v>
      </c>
      <c r="B490" s="133" t="str">
        <f>IF($A490&lt;&gt;0,VLOOKUP($A490,'0.Productos'!$A$3:$GG$587,'0.Productos'!AT$1+1,0),"")</f>
        <v/>
      </c>
      <c r="C490" s="133" t="str">
        <f>IF($A490&lt;&gt;0,VLOOKUP($A490,'0.Productos'!$A$3:$GG$587,'0.Productos'!AU$1+1,0),"")</f>
        <v/>
      </c>
      <c r="D490" s="133" t="str">
        <f>IF($A490&lt;&gt;0,VLOOKUP($A490,'0.Productos'!$A$3:$GG$587,'0.Productos'!AV$1+1,0),"")</f>
        <v/>
      </c>
      <c r="E490" s="133" t="str">
        <f>IF($A490&lt;&gt;0,VLOOKUP($A490,'0.Productos'!$A$3:$GG$587,'0.Productos'!AW$1+1,0),"")</f>
        <v/>
      </c>
      <c r="F490" s="133" t="str">
        <f>IF($A490&lt;&gt;0,VLOOKUP($A490,'0.Productos'!$A$3:$GG$587,'0.Productos'!AX$1+1,0),"")</f>
        <v/>
      </c>
      <c r="G490" s="133" t="str">
        <f>IF($A490&lt;&gt;0,VLOOKUP($A490,'0.Productos'!$A$3:$GG$587,'0.Productos'!AY$1+1,0),"")</f>
        <v/>
      </c>
      <c r="H490" s="133" t="str">
        <f>IF($A490&lt;&gt;0,VLOOKUP($A490,'0.Productos'!$A$3:$GG$587,'0.Productos'!AZ$1+1,0),"")</f>
        <v/>
      </c>
      <c r="I490" s="133" t="str">
        <f>IF($A490&lt;&gt;0,VLOOKUP($A490,'0.Productos'!$A$3:$GG$587,'0.Productos'!BA$1+1,0),"")</f>
        <v/>
      </c>
      <c r="J490" s="133" t="str">
        <f>IF($A490&lt;&gt;0,VLOOKUP($A490,'0.Productos'!$A$3:$GG$587,'0.Productos'!BB$1+1,0),"")</f>
        <v/>
      </c>
      <c r="K490" s="133" t="str">
        <f>IF($A490&lt;&gt;0,VLOOKUP($A490,'0.Productos'!$A$3:$GG$587,'0.Productos'!BC$1+1,0),"")</f>
        <v/>
      </c>
      <c r="L490" s="133" t="str">
        <f>IF($A490&lt;&gt;0,VLOOKUP($A490,'0.Productos'!$A$3:$GG$587,'0.Productos'!BD$1+1,0),"")</f>
        <v/>
      </c>
      <c r="M490" s="133" t="str">
        <f>IF($A490&lt;&gt;0,VLOOKUP($A490,'0.Productos'!$A$3:$GG$587,'0.Productos'!BE$1+1,0),"")</f>
        <v/>
      </c>
      <c r="N490" s="133" t="str">
        <f>IF($A490&lt;&gt;0,VLOOKUP($A490,'0.Productos'!$A$3:$GG$587,'0.Productos'!BF$1+1,0),"")</f>
        <v/>
      </c>
      <c r="O490" s="133" t="str">
        <f>IF($A490&lt;&gt;0,VLOOKUP($A490,'0.Productos'!$A$3:$GG$587,'0.Productos'!BG$1+1,0),"")</f>
        <v/>
      </c>
      <c r="P490" s="133" t="str">
        <f>IF($A490&lt;&gt;0,VLOOKUP($A490,'0.Productos'!$A$3:$GG$587,'0.Productos'!BH$1+1,0),"")</f>
        <v/>
      </c>
      <c r="Q490" s="133" t="str">
        <f>IF($A490&lt;&gt;0,VLOOKUP($A490,'0.Productos'!$A$3:$GG$587,'0.Productos'!BI$1+1,0),"")</f>
        <v/>
      </c>
      <c r="R490" s="133" t="str">
        <f>IF($A490&lt;&gt;0,VLOOKUP($A490,'0.Productos'!$A$3:$GG$587,'0.Productos'!BJ$1+1,0),"")</f>
        <v/>
      </c>
      <c r="S490" s="133" t="str">
        <f>IF($A490&lt;&gt;0,VLOOKUP($A490,'0.Productos'!$A$3:$GG$587,'0.Productos'!BK$1+1,0),"")</f>
        <v/>
      </c>
      <c r="T490" s="133" t="str">
        <f>IF($A490&lt;&gt;0,VLOOKUP($A490,'0.Productos'!$A$3:$GG$587,'0.Productos'!BL$1+1,0),"")</f>
        <v/>
      </c>
      <c r="U490" s="133" t="str">
        <f>IF($A490&lt;&gt;0,VLOOKUP($A490,'0.Productos'!$A$3:$GG$587,'0.Productos'!BM$1+1,0),"")</f>
        <v/>
      </c>
      <c r="V490" s="133" t="str">
        <f>IF($A490&lt;&gt;0,VLOOKUP($A490,'0.Productos'!$A$3:$GG$587,'0.Productos'!BN$1+1,0),"")</f>
        <v/>
      </c>
      <c r="W490" s="133" t="str">
        <f>IF($A490&lt;&gt;0,VLOOKUP($A490,'0.Productos'!$A$3:$GG$587,'0.Productos'!BO$1+1,0),"")</f>
        <v/>
      </c>
      <c r="X490" s="133" t="str">
        <f>IF($A490&lt;&gt;0,VLOOKUP($A490,'0.Productos'!$A$3:$GG$587,'0.Productos'!BP$1+1,0),"")</f>
        <v/>
      </c>
      <c r="Y490" s="133" t="str">
        <f>IF($A490&lt;&gt;0,VLOOKUP($A490,'0.Productos'!$A$3:$GG$587,'0.Productos'!BQ$1+1,0),"")</f>
        <v/>
      </c>
      <c r="Z490" s="133" t="str">
        <f>IF($A490&lt;&gt;0,VLOOKUP($A490,'0.Productos'!$A$3:$GG$587,'0.Productos'!BR$1+1,0),"")</f>
        <v/>
      </c>
      <c r="AA490" s="133" t="str">
        <f>IF($A490&lt;&gt;0,VLOOKUP($A490,'0.Productos'!$A$3:$GG$587,'0.Productos'!BS$1+1,0),"")</f>
        <v/>
      </c>
      <c r="AB490" s="133" t="str">
        <f>IF($A490&lt;&gt;0,VLOOKUP($A490,'0.Productos'!$A$3:$GG$587,'0.Productos'!BT$1+1,0),"")</f>
        <v/>
      </c>
      <c r="AC490" s="133" t="str">
        <f>IF($A490&lt;&gt;0,VLOOKUP($A490,'0.Productos'!$A$3:$GG$587,'0.Productos'!BU$1+1,0),"")</f>
        <v/>
      </c>
      <c r="AD490" s="133" t="str">
        <f>IF($A490&lt;&gt;0,VLOOKUP($A490,'0.Productos'!$A$3:$GG$587,'0.Productos'!BV$1+1,0),"")</f>
        <v/>
      </c>
      <c r="AE490" s="133" t="str">
        <f>IF($A490&lt;&gt;0,VLOOKUP($A490,'0.Productos'!$A$3:$GG$587,'0.Productos'!BW$1+1,0),"")</f>
        <v/>
      </c>
      <c r="AF490" s="133" t="str">
        <f>IF($A490&lt;&gt;0,VLOOKUP($A490,'0.Productos'!$A$3:$GG$587,'0.Productos'!BX$1+1,0),"")</f>
        <v/>
      </c>
      <c r="AG490" s="133" t="str">
        <f>IF($A490&lt;&gt;0,VLOOKUP($A490,'0.Productos'!$A$3:$GG$587,'0.Productos'!BY$1+1,0),"")</f>
        <v/>
      </c>
      <c r="AH490" s="133" t="str">
        <f>IF($A490&lt;&gt;0,VLOOKUP($A490,'0.Productos'!$A$3:$GG$587,'0.Productos'!BZ$1+1,0),"")</f>
        <v/>
      </c>
      <c r="AI490" s="133" t="str">
        <f>IF($A490&lt;&gt;0,VLOOKUP($A490,'0.Productos'!$A$3:$GG$587,'0.Productos'!CA$1+1,0),"")</f>
        <v/>
      </c>
      <c r="AJ490" s="133" t="str">
        <f>IF($A490&lt;&gt;0,VLOOKUP($A490,'0.Productos'!$A$3:$GG$587,'0.Productos'!CB$1+1,0),"")</f>
        <v/>
      </c>
      <c r="AK490" s="133" t="str">
        <f>IF($A490&lt;&gt;0,VLOOKUP($A490,'0.Productos'!$A$3:$GG$587,'0.Productos'!CC$1+1,0),"")</f>
        <v/>
      </c>
      <c r="AL490" s="133" t="str">
        <f>IF($A490&lt;&gt;0,VLOOKUP($A490,'0.Productos'!$A$3:$GG$587,'0.Productos'!CD$1+1,0),"")</f>
        <v/>
      </c>
      <c r="AM490" s="133" t="str">
        <f>IF($A490&lt;&gt;0,VLOOKUP($A490,'0.Productos'!$A$3:$GG$587,'0.Productos'!CE$1+1,0),"")</f>
        <v/>
      </c>
      <c r="AN490" s="133" t="str">
        <f>IF($A490&lt;&gt;0,VLOOKUP($A490,'0.Productos'!$A$3:$GG$587,'0.Productos'!CF$1+1,0),"")</f>
        <v/>
      </c>
      <c r="AO490" s="133" t="str">
        <f>IF($A490&lt;&gt;0,VLOOKUP($A490,'0.Productos'!$A$3:$GG$587,'0.Productos'!CG$1+1,0),"")</f>
        <v/>
      </c>
      <c r="AP490" s="133" t="str">
        <f>IF($A490&lt;&gt;0,VLOOKUP($A490,'0.Productos'!$A$3:$GG$587,'0.Productos'!CH$1+1,0),"")</f>
        <v/>
      </c>
      <c r="AQ490" s="133" t="str">
        <f>IF($A490&lt;&gt;0,VLOOKUP($A490,'0.Productos'!$A$3:$GG$587,'0.Productos'!CI$1+1,0),"")</f>
        <v/>
      </c>
      <c r="AR490" s="133" t="str">
        <f>IF($A490&lt;&gt;0,VLOOKUP($A490,'0.Productos'!$A$3:$GG$587,'0.Productos'!CJ$1+1,0),"")</f>
        <v/>
      </c>
      <c r="AS490" s="133" t="str">
        <f>IF($A490&lt;&gt;0,VLOOKUP($A490,'0.Productos'!$A$3:$GG$587,'0.Productos'!CK$1+1,0),"")</f>
        <v/>
      </c>
      <c r="AT490" s="133" t="str">
        <f>IF($A490&lt;&gt;0,VLOOKUP($A490,'0.Productos'!$A$3:$GG$587,'0.Productos'!CL$1+1,0),"")</f>
        <v/>
      </c>
      <c r="AU490" s="133" t="str">
        <f>IF($A490&lt;&gt;0,VLOOKUP($A490,'0.Productos'!$A$3:$GG$587,'0.Productos'!CM$1+1,0),"")</f>
        <v/>
      </c>
      <c r="AV490" s="133" t="str">
        <f>IF($A490&lt;&gt;0,VLOOKUP($A490,'0.Productos'!$A$3:$GG$587,'0.Productos'!CN$1+1,0),"")</f>
        <v/>
      </c>
      <c r="AW490" s="133" t="str">
        <f>IF($A490&lt;&gt;0,VLOOKUP($A490,'0.Productos'!$A$3:$GG$587,'0.Productos'!CO$1+1,0),"")</f>
        <v/>
      </c>
      <c r="AX490" s="133" t="str">
        <f>IF($A490&lt;&gt;0,VLOOKUP($A490,'0.Productos'!$A$3:$GG$587,'0.Productos'!CP$1+1,0),"")</f>
        <v/>
      </c>
      <c r="AY490" s="133" t="str">
        <f>IF($A490&lt;&gt;0,VLOOKUP($A490,'0.Productos'!$A$3:$GG$587,'0.Productos'!CQ$1+1,0),"")</f>
        <v/>
      </c>
      <c r="AZ490" s="133" t="str">
        <f>IF($A490&lt;&gt;0,VLOOKUP($A490,'0.Productos'!$A$3:$GG$587,'0.Productos'!CR$1+1,0),"")</f>
        <v/>
      </c>
      <c r="BA490" s="133" t="str">
        <f>IF($A490&lt;&gt;0,VLOOKUP($A490,'0.Productos'!$A$3:$GG$587,'0.Productos'!CS$1+1,0),"")</f>
        <v/>
      </c>
      <c r="BB490" s="133" t="str">
        <f>IF($A490&lt;&gt;0,VLOOKUP($A490,'0.Productos'!$A$3:$GG$587,'0.Productos'!CT$1+1,0),"")</f>
        <v/>
      </c>
      <c r="BC490" s="133" t="str">
        <f>IF($A490&lt;&gt;0,VLOOKUP($A490,'0.Productos'!$A$3:$GG$587,'0.Productos'!CU$1+1,0),"")</f>
        <v/>
      </c>
      <c r="BD490" s="133" t="str">
        <f>IF($A490&lt;&gt;0,VLOOKUP($A490,'0.Productos'!$A$3:$GG$587,'0.Productos'!CV$1+1,0),"")</f>
        <v/>
      </c>
      <c r="BE490" s="133" t="str">
        <f>IF($A490&lt;&gt;0,VLOOKUP($A490,'0.Productos'!$A$3:$GG$587,'0.Productos'!CW$1+1,0),"")</f>
        <v/>
      </c>
      <c r="BF490" s="133" t="str">
        <f>IF($A490&lt;&gt;0,VLOOKUP($A490,'0.Productos'!$A$3:$GG$587,'0.Productos'!CX$1+1,0),"")</f>
        <v/>
      </c>
      <c r="BG490" s="133" t="str">
        <f>IF($A490&lt;&gt;0,VLOOKUP($A490,'0.Productos'!$A$3:$GG$587,'0.Productos'!CY$1+1,0),"")</f>
        <v/>
      </c>
      <c r="BH490" s="133" t="str">
        <f>IF($A490&lt;&gt;0,VLOOKUP($A490,'0.Productos'!$A$3:$GG$587,'0.Productos'!CZ$1+1,0),"")</f>
        <v/>
      </c>
      <c r="BI490" s="133" t="str">
        <f>IF($A490&lt;&gt;0,VLOOKUP($A490,'0.Productos'!$A$3:$GG$587,'0.Productos'!DA$1+1,0),"")</f>
        <v/>
      </c>
      <c r="BJ490" s="133" t="str">
        <f>IF($A490&lt;&gt;0,VLOOKUP($A490,'0.Productos'!$A$3:$GG$587,'0.Productos'!DB$1+1,0),"")</f>
        <v/>
      </c>
      <c r="BK490" s="133" t="str">
        <f>IF($A490&lt;&gt;0,VLOOKUP($A490,'0.Productos'!$A$3:$GG$587,'0.Productos'!DC$1+1,0),"")</f>
        <v/>
      </c>
      <c r="BL490" s="133" t="str">
        <f>IF($A490&lt;&gt;0,VLOOKUP($A490,'0.Productos'!$A$3:$GG$587,'0.Productos'!DD$1+1,0),"")</f>
        <v/>
      </c>
      <c r="BM490" s="133" t="str">
        <f>IF($A490&lt;&gt;0,VLOOKUP($A490,'0.Productos'!$A$3:$GG$587,'0.Productos'!DE$1+1,0),"")</f>
        <v/>
      </c>
      <c r="BN490" s="133" t="str">
        <f>IF($A490&lt;&gt;0,VLOOKUP($A490,'0.Productos'!$A$3:$GG$587,'0.Productos'!DF$1+1,0),"")</f>
        <v/>
      </c>
      <c r="BO490" s="133" t="str">
        <f>IF($A490&lt;&gt;0,VLOOKUP($A490,'0.Productos'!$A$3:$GG$587,'0.Productos'!DG$1+1,0),"")</f>
        <v/>
      </c>
      <c r="BP490" s="133" t="str">
        <f>IF($A490&lt;&gt;0,VLOOKUP($A490,'0.Productos'!$A$3:$GG$587,'0.Productos'!DH$1+1,0),"")</f>
        <v/>
      </c>
      <c r="BQ490" s="133" t="str">
        <f>IF($A490&lt;&gt;0,VLOOKUP($A490,'0.Productos'!$A$3:$GG$587,'0.Productos'!DI$1+1,0),"")</f>
        <v/>
      </c>
      <c r="BR490" s="133" t="str">
        <f>IF($A490&lt;&gt;0,VLOOKUP($A490,'0.Productos'!$A$3:$GG$587,'0.Productos'!DJ$1+1,0),"")</f>
        <v/>
      </c>
      <c r="BS490" s="133" t="str">
        <f>IF($A490&lt;&gt;0,VLOOKUP($A490,'0.Productos'!$A$3:$GG$587,'0.Productos'!DK$1+1,0),"")</f>
        <v/>
      </c>
      <c r="BT490" s="133" t="str">
        <f>IF($A490&lt;&gt;0,VLOOKUP($A490,'0.Productos'!$A$3:$GG$587,'0.Productos'!DL$1+1,0),"")</f>
        <v/>
      </c>
    </row>
    <row r="491" spans="1:72" x14ac:dyDescent="0.25">
      <c r="A491" s="17">
        <f>'0.Consolidado general'!A491</f>
        <v>0</v>
      </c>
      <c r="B491" s="133" t="str">
        <f>IF($A491&lt;&gt;0,VLOOKUP($A491,'0.Productos'!$A$3:$GG$587,'0.Productos'!AT$1+1,0),"")</f>
        <v/>
      </c>
      <c r="C491" s="133" t="str">
        <f>IF($A491&lt;&gt;0,VLOOKUP($A491,'0.Productos'!$A$3:$GG$587,'0.Productos'!AU$1+1,0),"")</f>
        <v/>
      </c>
      <c r="D491" s="133" t="str">
        <f>IF($A491&lt;&gt;0,VLOOKUP($A491,'0.Productos'!$A$3:$GG$587,'0.Productos'!AV$1+1,0),"")</f>
        <v/>
      </c>
      <c r="E491" s="133" t="str">
        <f>IF($A491&lt;&gt;0,VLOOKUP($A491,'0.Productos'!$A$3:$GG$587,'0.Productos'!AW$1+1,0),"")</f>
        <v/>
      </c>
      <c r="F491" s="133" t="str">
        <f>IF($A491&lt;&gt;0,VLOOKUP($A491,'0.Productos'!$A$3:$GG$587,'0.Productos'!AX$1+1,0),"")</f>
        <v/>
      </c>
      <c r="G491" s="133" t="str">
        <f>IF($A491&lt;&gt;0,VLOOKUP($A491,'0.Productos'!$A$3:$GG$587,'0.Productos'!AY$1+1,0),"")</f>
        <v/>
      </c>
      <c r="H491" s="133" t="str">
        <f>IF($A491&lt;&gt;0,VLOOKUP($A491,'0.Productos'!$A$3:$GG$587,'0.Productos'!AZ$1+1,0),"")</f>
        <v/>
      </c>
      <c r="I491" s="133" t="str">
        <f>IF($A491&lt;&gt;0,VLOOKUP($A491,'0.Productos'!$A$3:$GG$587,'0.Productos'!BA$1+1,0),"")</f>
        <v/>
      </c>
      <c r="J491" s="133" t="str">
        <f>IF($A491&lt;&gt;0,VLOOKUP($A491,'0.Productos'!$A$3:$GG$587,'0.Productos'!BB$1+1,0),"")</f>
        <v/>
      </c>
      <c r="K491" s="133" t="str">
        <f>IF($A491&lt;&gt;0,VLOOKUP($A491,'0.Productos'!$A$3:$GG$587,'0.Productos'!BC$1+1,0),"")</f>
        <v/>
      </c>
      <c r="L491" s="133" t="str">
        <f>IF($A491&lt;&gt;0,VLOOKUP($A491,'0.Productos'!$A$3:$GG$587,'0.Productos'!BD$1+1,0),"")</f>
        <v/>
      </c>
      <c r="M491" s="133" t="str">
        <f>IF($A491&lt;&gt;0,VLOOKUP($A491,'0.Productos'!$A$3:$GG$587,'0.Productos'!BE$1+1,0),"")</f>
        <v/>
      </c>
      <c r="N491" s="133" t="str">
        <f>IF($A491&lt;&gt;0,VLOOKUP($A491,'0.Productos'!$A$3:$GG$587,'0.Productos'!BF$1+1,0),"")</f>
        <v/>
      </c>
      <c r="O491" s="133" t="str">
        <f>IF($A491&lt;&gt;0,VLOOKUP($A491,'0.Productos'!$A$3:$GG$587,'0.Productos'!BG$1+1,0),"")</f>
        <v/>
      </c>
      <c r="P491" s="133" t="str">
        <f>IF($A491&lt;&gt;0,VLOOKUP($A491,'0.Productos'!$A$3:$GG$587,'0.Productos'!BH$1+1,0),"")</f>
        <v/>
      </c>
      <c r="Q491" s="133" t="str">
        <f>IF($A491&lt;&gt;0,VLOOKUP($A491,'0.Productos'!$A$3:$GG$587,'0.Productos'!BI$1+1,0),"")</f>
        <v/>
      </c>
      <c r="R491" s="133" t="str">
        <f>IF($A491&lt;&gt;0,VLOOKUP($A491,'0.Productos'!$A$3:$GG$587,'0.Productos'!BJ$1+1,0),"")</f>
        <v/>
      </c>
      <c r="S491" s="133" t="str">
        <f>IF($A491&lt;&gt;0,VLOOKUP($A491,'0.Productos'!$A$3:$GG$587,'0.Productos'!BK$1+1,0),"")</f>
        <v/>
      </c>
      <c r="T491" s="133" t="str">
        <f>IF($A491&lt;&gt;0,VLOOKUP($A491,'0.Productos'!$A$3:$GG$587,'0.Productos'!BL$1+1,0),"")</f>
        <v/>
      </c>
      <c r="U491" s="133" t="str">
        <f>IF($A491&lt;&gt;0,VLOOKUP($A491,'0.Productos'!$A$3:$GG$587,'0.Productos'!BM$1+1,0),"")</f>
        <v/>
      </c>
      <c r="V491" s="133" t="str">
        <f>IF($A491&lt;&gt;0,VLOOKUP($A491,'0.Productos'!$A$3:$GG$587,'0.Productos'!BN$1+1,0),"")</f>
        <v/>
      </c>
      <c r="W491" s="133" t="str">
        <f>IF($A491&lt;&gt;0,VLOOKUP($A491,'0.Productos'!$A$3:$GG$587,'0.Productos'!BO$1+1,0),"")</f>
        <v/>
      </c>
      <c r="X491" s="133" t="str">
        <f>IF($A491&lt;&gt;0,VLOOKUP($A491,'0.Productos'!$A$3:$GG$587,'0.Productos'!BP$1+1,0),"")</f>
        <v/>
      </c>
      <c r="Y491" s="133" t="str">
        <f>IF($A491&lt;&gt;0,VLOOKUP($A491,'0.Productos'!$A$3:$GG$587,'0.Productos'!BQ$1+1,0),"")</f>
        <v/>
      </c>
      <c r="Z491" s="133" t="str">
        <f>IF($A491&lt;&gt;0,VLOOKUP($A491,'0.Productos'!$A$3:$GG$587,'0.Productos'!BR$1+1,0),"")</f>
        <v/>
      </c>
      <c r="AA491" s="133" t="str">
        <f>IF($A491&lt;&gt;0,VLOOKUP($A491,'0.Productos'!$A$3:$GG$587,'0.Productos'!BS$1+1,0),"")</f>
        <v/>
      </c>
      <c r="AB491" s="133" t="str">
        <f>IF($A491&lt;&gt;0,VLOOKUP($A491,'0.Productos'!$A$3:$GG$587,'0.Productos'!BT$1+1,0),"")</f>
        <v/>
      </c>
      <c r="AC491" s="133" t="str">
        <f>IF($A491&lt;&gt;0,VLOOKUP($A491,'0.Productos'!$A$3:$GG$587,'0.Productos'!BU$1+1,0),"")</f>
        <v/>
      </c>
      <c r="AD491" s="133" t="str">
        <f>IF($A491&lt;&gt;0,VLOOKUP($A491,'0.Productos'!$A$3:$GG$587,'0.Productos'!BV$1+1,0),"")</f>
        <v/>
      </c>
      <c r="AE491" s="133" t="str">
        <f>IF($A491&lt;&gt;0,VLOOKUP($A491,'0.Productos'!$A$3:$GG$587,'0.Productos'!BW$1+1,0),"")</f>
        <v/>
      </c>
      <c r="AF491" s="133" t="str">
        <f>IF($A491&lt;&gt;0,VLOOKUP($A491,'0.Productos'!$A$3:$GG$587,'0.Productos'!BX$1+1,0),"")</f>
        <v/>
      </c>
      <c r="AG491" s="133" t="str">
        <f>IF($A491&lt;&gt;0,VLOOKUP($A491,'0.Productos'!$A$3:$GG$587,'0.Productos'!BY$1+1,0),"")</f>
        <v/>
      </c>
      <c r="AH491" s="133" t="str">
        <f>IF($A491&lt;&gt;0,VLOOKUP($A491,'0.Productos'!$A$3:$GG$587,'0.Productos'!BZ$1+1,0),"")</f>
        <v/>
      </c>
      <c r="AI491" s="133" t="str">
        <f>IF($A491&lt;&gt;0,VLOOKUP($A491,'0.Productos'!$A$3:$GG$587,'0.Productos'!CA$1+1,0),"")</f>
        <v/>
      </c>
      <c r="AJ491" s="133" t="str">
        <f>IF($A491&lt;&gt;0,VLOOKUP($A491,'0.Productos'!$A$3:$GG$587,'0.Productos'!CB$1+1,0),"")</f>
        <v/>
      </c>
      <c r="AK491" s="133" t="str">
        <f>IF($A491&lt;&gt;0,VLOOKUP($A491,'0.Productos'!$A$3:$GG$587,'0.Productos'!CC$1+1,0),"")</f>
        <v/>
      </c>
      <c r="AL491" s="133" t="str">
        <f>IF($A491&lt;&gt;0,VLOOKUP($A491,'0.Productos'!$A$3:$GG$587,'0.Productos'!CD$1+1,0),"")</f>
        <v/>
      </c>
      <c r="AM491" s="133" t="str">
        <f>IF($A491&lt;&gt;0,VLOOKUP($A491,'0.Productos'!$A$3:$GG$587,'0.Productos'!CE$1+1,0),"")</f>
        <v/>
      </c>
      <c r="AN491" s="133" t="str">
        <f>IF($A491&lt;&gt;0,VLOOKUP($A491,'0.Productos'!$A$3:$GG$587,'0.Productos'!CF$1+1,0),"")</f>
        <v/>
      </c>
      <c r="AO491" s="133" t="str">
        <f>IF($A491&lt;&gt;0,VLOOKUP($A491,'0.Productos'!$A$3:$GG$587,'0.Productos'!CG$1+1,0),"")</f>
        <v/>
      </c>
      <c r="AP491" s="133" t="str">
        <f>IF($A491&lt;&gt;0,VLOOKUP($A491,'0.Productos'!$A$3:$GG$587,'0.Productos'!CH$1+1,0),"")</f>
        <v/>
      </c>
      <c r="AQ491" s="133" t="str">
        <f>IF($A491&lt;&gt;0,VLOOKUP($A491,'0.Productos'!$A$3:$GG$587,'0.Productos'!CI$1+1,0),"")</f>
        <v/>
      </c>
      <c r="AR491" s="133" t="str">
        <f>IF($A491&lt;&gt;0,VLOOKUP($A491,'0.Productos'!$A$3:$GG$587,'0.Productos'!CJ$1+1,0),"")</f>
        <v/>
      </c>
      <c r="AS491" s="133" t="str">
        <f>IF($A491&lt;&gt;0,VLOOKUP($A491,'0.Productos'!$A$3:$GG$587,'0.Productos'!CK$1+1,0),"")</f>
        <v/>
      </c>
      <c r="AT491" s="133" t="str">
        <f>IF($A491&lt;&gt;0,VLOOKUP($A491,'0.Productos'!$A$3:$GG$587,'0.Productos'!CL$1+1,0),"")</f>
        <v/>
      </c>
      <c r="AU491" s="133" t="str">
        <f>IF($A491&lt;&gt;0,VLOOKUP($A491,'0.Productos'!$A$3:$GG$587,'0.Productos'!CM$1+1,0),"")</f>
        <v/>
      </c>
      <c r="AV491" s="133" t="str">
        <f>IF($A491&lt;&gt;0,VLOOKUP($A491,'0.Productos'!$A$3:$GG$587,'0.Productos'!CN$1+1,0),"")</f>
        <v/>
      </c>
      <c r="AW491" s="133" t="str">
        <f>IF($A491&lt;&gt;0,VLOOKUP($A491,'0.Productos'!$A$3:$GG$587,'0.Productos'!CO$1+1,0),"")</f>
        <v/>
      </c>
      <c r="AX491" s="133" t="str">
        <f>IF($A491&lt;&gt;0,VLOOKUP($A491,'0.Productos'!$A$3:$GG$587,'0.Productos'!CP$1+1,0),"")</f>
        <v/>
      </c>
      <c r="AY491" s="133" t="str">
        <f>IF($A491&lt;&gt;0,VLOOKUP($A491,'0.Productos'!$A$3:$GG$587,'0.Productos'!CQ$1+1,0),"")</f>
        <v/>
      </c>
      <c r="AZ491" s="133" t="str">
        <f>IF($A491&lt;&gt;0,VLOOKUP($A491,'0.Productos'!$A$3:$GG$587,'0.Productos'!CR$1+1,0),"")</f>
        <v/>
      </c>
      <c r="BA491" s="133" t="str">
        <f>IF($A491&lt;&gt;0,VLOOKUP($A491,'0.Productos'!$A$3:$GG$587,'0.Productos'!CS$1+1,0),"")</f>
        <v/>
      </c>
      <c r="BB491" s="133" t="str">
        <f>IF($A491&lt;&gt;0,VLOOKUP($A491,'0.Productos'!$A$3:$GG$587,'0.Productos'!CT$1+1,0),"")</f>
        <v/>
      </c>
      <c r="BC491" s="133" t="str">
        <f>IF($A491&lt;&gt;0,VLOOKUP($A491,'0.Productos'!$A$3:$GG$587,'0.Productos'!CU$1+1,0),"")</f>
        <v/>
      </c>
      <c r="BD491" s="133" t="str">
        <f>IF($A491&lt;&gt;0,VLOOKUP($A491,'0.Productos'!$A$3:$GG$587,'0.Productos'!CV$1+1,0),"")</f>
        <v/>
      </c>
      <c r="BE491" s="133" t="str">
        <f>IF($A491&lt;&gt;0,VLOOKUP($A491,'0.Productos'!$A$3:$GG$587,'0.Productos'!CW$1+1,0),"")</f>
        <v/>
      </c>
      <c r="BF491" s="133" t="str">
        <f>IF($A491&lt;&gt;0,VLOOKUP($A491,'0.Productos'!$A$3:$GG$587,'0.Productos'!CX$1+1,0),"")</f>
        <v/>
      </c>
      <c r="BG491" s="133" t="str">
        <f>IF($A491&lt;&gt;0,VLOOKUP($A491,'0.Productos'!$A$3:$GG$587,'0.Productos'!CY$1+1,0),"")</f>
        <v/>
      </c>
      <c r="BH491" s="133" t="str">
        <f>IF($A491&lt;&gt;0,VLOOKUP($A491,'0.Productos'!$A$3:$GG$587,'0.Productos'!CZ$1+1,0),"")</f>
        <v/>
      </c>
      <c r="BI491" s="133" t="str">
        <f>IF($A491&lt;&gt;0,VLOOKUP($A491,'0.Productos'!$A$3:$GG$587,'0.Productos'!DA$1+1,0),"")</f>
        <v/>
      </c>
      <c r="BJ491" s="133" t="str">
        <f>IF($A491&lt;&gt;0,VLOOKUP($A491,'0.Productos'!$A$3:$GG$587,'0.Productos'!DB$1+1,0),"")</f>
        <v/>
      </c>
      <c r="BK491" s="133" t="str">
        <f>IF($A491&lt;&gt;0,VLOOKUP($A491,'0.Productos'!$A$3:$GG$587,'0.Productos'!DC$1+1,0),"")</f>
        <v/>
      </c>
      <c r="BL491" s="133" t="str">
        <f>IF($A491&lt;&gt;0,VLOOKUP($A491,'0.Productos'!$A$3:$GG$587,'0.Productos'!DD$1+1,0),"")</f>
        <v/>
      </c>
      <c r="BM491" s="133" t="str">
        <f>IF($A491&lt;&gt;0,VLOOKUP($A491,'0.Productos'!$A$3:$GG$587,'0.Productos'!DE$1+1,0),"")</f>
        <v/>
      </c>
      <c r="BN491" s="133" t="str">
        <f>IF($A491&lt;&gt;0,VLOOKUP($A491,'0.Productos'!$A$3:$GG$587,'0.Productos'!DF$1+1,0),"")</f>
        <v/>
      </c>
      <c r="BO491" s="133" t="str">
        <f>IF($A491&lt;&gt;0,VLOOKUP($A491,'0.Productos'!$A$3:$GG$587,'0.Productos'!DG$1+1,0),"")</f>
        <v/>
      </c>
      <c r="BP491" s="133" t="str">
        <f>IF($A491&lt;&gt;0,VLOOKUP($A491,'0.Productos'!$A$3:$GG$587,'0.Productos'!DH$1+1,0),"")</f>
        <v/>
      </c>
      <c r="BQ491" s="133" t="str">
        <f>IF($A491&lt;&gt;0,VLOOKUP($A491,'0.Productos'!$A$3:$GG$587,'0.Productos'!DI$1+1,0),"")</f>
        <v/>
      </c>
      <c r="BR491" s="133" t="str">
        <f>IF($A491&lt;&gt;0,VLOOKUP($A491,'0.Productos'!$A$3:$GG$587,'0.Productos'!DJ$1+1,0),"")</f>
        <v/>
      </c>
      <c r="BS491" s="133" t="str">
        <f>IF($A491&lt;&gt;0,VLOOKUP($A491,'0.Productos'!$A$3:$GG$587,'0.Productos'!DK$1+1,0),"")</f>
        <v/>
      </c>
      <c r="BT491" s="133" t="str">
        <f>IF($A491&lt;&gt;0,VLOOKUP($A491,'0.Productos'!$A$3:$GG$587,'0.Productos'!DL$1+1,0),"")</f>
        <v/>
      </c>
    </row>
    <row r="492" spans="1:72" x14ac:dyDescent="0.25">
      <c r="A492" s="17">
        <f>'0.Consolidado general'!A492</f>
        <v>0</v>
      </c>
      <c r="B492" s="133" t="str">
        <f>IF($A492&lt;&gt;0,VLOOKUP($A492,'0.Productos'!$A$3:$GG$587,'0.Productos'!AT$1+1,0),"")</f>
        <v/>
      </c>
      <c r="C492" s="133" t="str">
        <f>IF($A492&lt;&gt;0,VLOOKUP($A492,'0.Productos'!$A$3:$GG$587,'0.Productos'!AU$1+1,0),"")</f>
        <v/>
      </c>
      <c r="D492" s="133" t="str">
        <f>IF($A492&lt;&gt;0,VLOOKUP($A492,'0.Productos'!$A$3:$GG$587,'0.Productos'!AV$1+1,0),"")</f>
        <v/>
      </c>
      <c r="E492" s="133" t="str">
        <f>IF($A492&lt;&gt;0,VLOOKUP($A492,'0.Productos'!$A$3:$GG$587,'0.Productos'!AW$1+1,0),"")</f>
        <v/>
      </c>
      <c r="F492" s="133" t="str">
        <f>IF($A492&lt;&gt;0,VLOOKUP($A492,'0.Productos'!$A$3:$GG$587,'0.Productos'!AX$1+1,0),"")</f>
        <v/>
      </c>
      <c r="G492" s="133" t="str">
        <f>IF($A492&lt;&gt;0,VLOOKUP($A492,'0.Productos'!$A$3:$GG$587,'0.Productos'!AY$1+1,0),"")</f>
        <v/>
      </c>
      <c r="H492" s="133" t="str">
        <f>IF($A492&lt;&gt;0,VLOOKUP($A492,'0.Productos'!$A$3:$GG$587,'0.Productos'!AZ$1+1,0),"")</f>
        <v/>
      </c>
      <c r="I492" s="133" t="str">
        <f>IF($A492&lt;&gt;0,VLOOKUP($A492,'0.Productos'!$A$3:$GG$587,'0.Productos'!BA$1+1,0),"")</f>
        <v/>
      </c>
      <c r="J492" s="133" t="str">
        <f>IF($A492&lt;&gt;0,VLOOKUP($A492,'0.Productos'!$A$3:$GG$587,'0.Productos'!BB$1+1,0),"")</f>
        <v/>
      </c>
      <c r="K492" s="133" t="str">
        <f>IF($A492&lt;&gt;0,VLOOKUP($A492,'0.Productos'!$A$3:$GG$587,'0.Productos'!BC$1+1,0),"")</f>
        <v/>
      </c>
      <c r="L492" s="133" t="str">
        <f>IF($A492&lt;&gt;0,VLOOKUP($A492,'0.Productos'!$A$3:$GG$587,'0.Productos'!BD$1+1,0),"")</f>
        <v/>
      </c>
      <c r="M492" s="133" t="str">
        <f>IF($A492&lt;&gt;0,VLOOKUP($A492,'0.Productos'!$A$3:$GG$587,'0.Productos'!BE$1+1,0),"")</f>
        <v/>
      </c>
      <c r="N492" s="133" t="str">
        <f>IF($A492&lt;&gt;0,VLOOKUP($A492,'0.Productos'!$A$3:$GG$587,'0.Productos'!BF$1+1,0),"")</f>
        <v/>
      </c>
      <c r="O492" s="133" t="str">
        <f>IF($A492&lt;&gt;0,VLOOKUP($A492,'0.Productos'!$A$3:$GG$587,'0.Productos'!BG$1+1,0),"")</f>
        <v/>
      </c>
      <c r="P492" s="133" t="str">
        <f>IF($A492&lt;&gt;0,VLOOKUP($A492,'0.Productos'!$A$3:$GG$587,'0.Productos'!BH$1+1,0),"")</f>
        <v/>
      </c>
      <c r="Q492" s="133" t="str">
        <f>IF($A492&lt;&gt;0,VLOOKUP($A492,'0.Productos'!$A$3:$GG$587,'0.Productos'!BI$1+1,0),"")</f>
        <v/>
      </c>
      <c r="R492" s="133" t="str">
        <f>IF($A492&lt;&gt;0,VLOOKUP($A492,'0.Productos'!$A$3:$GG$587,'0.Productos'!BJ$1+1,0),"")</f>
        <v/>
      </c>
      <c r="S492" s="133" t="str">
        <f>IF($A492&lt;&gt;0,VLOOKUP($A492,'0.Productos'!$A$3:$GG$587,'0.Productos'!BK$1+1,0),"")</f>
        <v/>
      </c>
      <c r="T492" s="133" t="str">
        <f>IF($A492&lt;&gt;0,VLOOKUP($A492,'0.Productos'!$A$3:$GG$587,'0.Productos'!BL$1+1,0),"")</f>
        <v/>
      </c>
      <c r="U492" s="133" t="str">
        <f>IF($A492&lt;&gt;0,VLOOKUP($A492,'0.Productos'!$A$3:$GG$587,'0.Productos'!BM$1+1,0),"")</f>
        <v/>
      </c>
      <c r="V492" s="133" t="str">
        <f>IF($A492&lt;&gt;0,VLOOKUP($A492,'0.Productos'!$A$3:$GG$587,'0.Productos'!BN$1+1,0),"")</f>
        <v/>
      </c>
      <c r="W492" s="133" t="str">
        <f>IF($A492&lt;&gt;0,VLOOKUP($A492,'0.Productos'!$A$3:$GG$587,'0.Productos'!BO$1+1,0),"")</f>
        <v/>
      </c>
      <c r="X492" s="133" t="str">
        <f>IF($A492&lt;&gt;0,VLOOKUP($A492,'0.Productos'!$A$3:$GG$587,'0.Productos'!BP$1+1,0),"")</f>
        <v/>
      </c>
      <c r="Y492" s="133" t="str">
        <f>IF($A492&lt;&gt;0,VLOOKUP($A492,'0.Productos'!$A$3:$GG$587,'0.Productos'!BQ$1+1,0),"")</f>
        <v/>
      </c>
      <c r="Z492" s="133" t="str">
        <f>IF($A492&lt;&gt;0,VLOOKUP($A492,'0.Productos'!$A$3:$GG$587,'0.Productos'!BR$1+1,0),"")</f>
        <v/>
      </c>
      <c r="AA492" s="133" t="str">
        <f>IF($A492&lt;&gt;0,VLOOKUP($A492,'0.Productos'!$A$3:$GG$587,'0.Productos'!BS$1+1,0),"")</f>
        <v/>
      </c>
      <c r="AB492" s="133" t="str">
        <f>IF($A492&lt;&gt;0,VLOOKUP($A492,'0.Productos'!$A$3:$GG$587,'0.Productos'!BT$1+1,0),"")</f>
        <v/>
      </c>
      <c r="AC492" s="133" t="str">
        <f>IF($A492&lt;&gt;0,VLOOKUP($A492,'0.Productos'!$A$3:$GG$587,'0.Productos'!BU$1+1,0),"")</f>
        <v/>
      </c>
      <c r="AD492" s="133" t="str">
        <f>IF($A492&lt;&gt;0,VLOOKUP($A492,'0.Productos'!$A$3:$GG$587,'0.Productos'!BV$1+1,0),"")</f>
        <v/>
      </c>
      <c r="AE492" s="133" t="str">
        <f>IF($A492&lt;&gt;0,VLOOKUP($A492,'0.Productos'!$A$3:$GG$587,'0.Productos'!BW$1+1,0),"")</f>
        <v/>
      </c>
      <c r="AF492" s="133" t="str">
        <f>IF($A492&lt;&gt;0,VLOOKUP($A492,'0.Productos'!$A$3:$GG$587,'0.Productos'!BX$1+1,0),"")</f>
        <v/>
      </c>
      <c r="AG492" s="133" t="str">
        <f>IF($A492&lt;&gt;0,VLOOKUP($A492,'0.Productos'!$A$3:$GG$587,'0.Productos'!BY$1+1,0),"")</f>
        <v/>
      </c>
      <c r="AH492" s="133" t="str">
        <f>IF($A492&lt;&gt;0,VLOOKUP($A492,'0.Productos'!$A$3:$GG$587,'0.Productos'!BZ$1+1,0),"")</f>
        <v/>
      </c>
      <c r="AI492" s="133" t="str">
        <f>IF($A492&lt;&gt;0,VLOOKUP($A492,'0.Productos'!$A$3:$GG$587,'0.Productos'!CA$1+1,0),"")</f>
        <v/>
      </c>
      <c r="AJ492" s="133" t="str">
        <f>IF($A492&lt;&gt;0,VLOOKUP($A492,'0.Productos'!$A$3:$GG$587,'0.Productos'!CB$1+1,0),"")</f>
        <v/>
      </c>
      <c r="AK492" s="133" t="str">
        <f>IF($A492&lt;&gt;0,VLOOKUP($A492,'0.Productos'!$A$3:$GG$587,'0.Productos'!CC$1+1,0),"")</f>
        <v/>
      </c>
      <c r="AL492" s="133" t="str">
        <f>IF($A492&lt;&gt;0,VLOOKUP($A492,'0.Productos'!$A$3:$GG$587,'0.Productos'!CD$1+1,0),"")</f>
        <v/>
      </c>
      <c r="AM492" s="133" t="str">
        <f>IF($A492&lt;&gt;0,VLOOKUP($A492,'0.Productos'!$A$3:$GG$587,'0.Productos'!CE$1+1,0),"")</f>
        <v/>
      </c>
      <c r="AN492" s="133" t="str">
        <f>IF($A492&lt;&gt;0,VLOOKUP($A492,'0.Productos'!$A$3:$GG$587,'0.Productos'!CF$1+1,0),"")</f>
        <v/>
      </c>
      <c r="AO492" s="133" t="str">
        <f>IF($A492&lt;&gt;0,VLOOKUP($A492,'0.Productos'!$A$3:$GG$587,'0.Productos'!CG$1+1,0),"")</f>
        <v/>
      </c>
      <c r="AP492" s="133" t="str">
        <f>IF($A492&lt;&gt;0,VLOOKUP($A492,'0.Productos'!$A$3:$GG$587,'0.Productos'!CH$1+1,0),"")</f>
        <v/>
      </c>
      <c r="AQ492" s="133" t="str">
        <f>IF($A492&lt;&gt;0,VLOOKUP($A492,'0.Productos'!$A$3:$GG$587,'0.Productos'!CI$1+1,0),"")</f>
        <v/>
      </c>
      <c r="AR492" s="133" t="str">
        <f>IF($A492&lt;&gt;0,VLOOKUP($A492,'0.Productos'!$A$3:$GG$587,'0.Productos'!CJ$1+1,0),"")</f>
        <v/>
      </c>
      <c r="AS492" s="133" t="str">
        <f>IF($A492&lt;&gt;0,VLOOKUP($A492,'0.Productos'!$A$3:$GG$587,'0.Productos'!CK$1+1,0),"")</f>
        <v/>
      </c>
      <c r="AT492" s="133" t="str">
        <f>IF($A492&lt;&gt;0,VLOOKUP($A492,'0.Productos'!$A$3:$GG$587,'0.Productos'!CL$1+1,0),"")</f>
        <v/>
      </c>
      <c r="AU492" s="133" t="str">
        <f>IF($A492&lt;&gt;0,VLOOKUP($A492,'0.Productos'!$A$3:$GG$587,'0.Productos'!CM$1+1,0),"")</f>
        <v/>
      </c>
      <c r="AV492" s="133" t="str">
        <f>IF($A492&lt;&gt;0,VLOOKUP($A492,'0.Productos'!$A$3:$GG$587,'0.Productos'!CN$1+1,0),"")</f>
        <v/>
      </c>
      <c r="AW492" s="133" t="str">
        <f>IF($A492&lt;&gt;0,VLOOKUP($A492,'0.Productos'!$A$3:$GG$587,'0.Productos'!CO$1+1,0),"")</f>
        <v/>
      </c>
      <c r="AX492" s="133" t="str">
        <f>IF($A492&lt;&gt;0,VLOOKUP($A492,'0.Productos'!$A$3:$GG$587,'0.Productos'!CP$1+1,0),"")</f>
        <v/>
      </c>
      <c r="AY492" s="133" t="str">
        <f>IF($A492&lt;&gt;0,VLOOKUP($A492,'0.Productos'!$A$3:$GG$587,'0.Productos'!CQ$1+1,0),"")</f>
        <v/>
      </c>
      <c r="AZ492" s="133" t="str">
        <f>IF($A492&lt;&gt;0,VLOOKUP($A492,'0.Productos'!$A$3:$GG$587,'0.Productos'!CR$1+1,0),"")</f>
        <v/>
      </c>
      <c r="BA492" s="133" t="str">
        <f>IF($A492&lt;&gt;0,VLOOKUP($A492,'0.Productos'!$A$3:$GG$587,'0.Productos'!CS$1+1,0),"")</f>
        <v/>
      </c>
      <c r="BB492" s="133" t="str">
        <f>IF($A492&lt;&gt;0,VLOOKUP($A492,'0.Productos'!$A$3:$GG$587,'0.Productos'!CT$1+1,0),"")</f>
        <v/>
      </c>
      <c r="BC492" s="133" t="str">
        <f>IF($A492&lt;&gt;0,VLOOKUP($A492,'0.Productos'!$A$3:$GG$587,'0.Productos'!CU$1+1,0),"")</f>
        <v/>
      </c>
      <c r="BD492" s="133" t="str">
        <f>IF($A492&lt;&gt;0,VLOOKUP($A492,'0.Productos'!$A$3:$GG$587,'0.Productos'!CV$1+1,0),"")</f>
        <v/>
      </c>
      <c r="BE492" s="133" t="str">
        <f>IF($A492&lt;&gt;0,VLOOKUP($A492,'0.Productos'!$A$3:$GG$587,'0.Productos'!CW$1+1,0),"")</f>
        <v/>
      </c>
      <c r="BF492" s="133" t="str">
        <f>IF($A492&lt;&gt;0,VLOOKUP($A492,'0.Productos'!$A$3:$GG$587,'0.Productos'!CX$1+1,0),"")</f>
        <v/>
      </c>
      <c r="BG492" s="133" t="str">
        <f>IF($A492&lt;&gt;0,VLOOKUP($A492,'0.Productos'!$A$3:$GG$587,'0.Productos'!CY$1+1,0),"")</f>
        <v/>
      </c>
      <c r="BH492" s="133" t="str">
        <f>IF($A492&lt;&gt;0,VLOOKUP($A492,'0.Productos'!$A$3:$GG$587,'0.Productos'!CZ$1+1,0),"")</f>
        <v/>
      </c>
      <c r="BI492" s="133" t="str">
        <f>IF($A492&lt;&gt;0,VLOOKUP($A492,'0.Productos'!$A$3:$GG$587,'0.Productos'!DA$1+1,0),"")</f>
        <v/>
      </c>
      <c r="BJ492" s="133" t="str">
        <f>IF($A492&lt;&gt;0,VLOOKUP($A492,'0.Productos'!$A$3:$GG$587,'0.Productos'!DB$1+1,0),"")</f>
        <v/>
      </c>
      <c r="BK492" s="133" t="str">
        <f>IF($A492&lt;&gt;0,VLOOKUP($A492,'0.Productos'!$A$3:$GG$587,'0.Productos'!DC$1+1,0),"")</f>
        <v/>
      </c>
      <c r="BL492" s="133" t="str">
        <f>IF($A492&lt;&gt;0,VLOOKUP($A492,'0.Productos'!$A$3:$GG$587,'0.Productos'!DD$1+1,0),"")</f>
        <v/>
      </c>
      <c r="BM492" s="133" t="str">
        <f>IF($A492&lt;&gt;0,VLOOKUP($A492,'0.Productos'!$A$3:$GG$587,'0.Productos'!DE$1+1,0),"")</f>
        <v/>
      </c>
      <c r="BN492" s="133" t="str">
        <f>IF($A492&lt;&gt;0,VLOOKUP($A492,'0.Productos'!$A$3:$GG$587,'0.Productos'!DF$1+1,0),"")</f>
        <v/>
      </c>
      <c r="BO492" s="133" t="str">
        <f>IF($A492&lt;&gt;0,VLOOKUP($A492,'0.Productos'!$A$3:$GG$587,'0.Productos'!DG$1+1,0),"")</f>
        <v/>
      </c>
      <c r="BP492" s="133" t="str">
        <f>IF($A492&lt;&gt;0,VLOOKUP($A492,'0.Productos'!$A$3:$GG$587,'0.Productos'!DH$1+1,0),"")</f>
        <v/>
      </c>
      <c r="BQ492" s="133" t="str">
        <f>IF($A492&lt;&gt;0,VLOOKUP($A492,'0.Productos'!$A$3:$GG$587,'0.Productos'!DI$1+1,0),"")</f>
        <v/>
      </c>
      <c r="BR492" s="133" t="str">
        <f>IF($A492&lt;&gt;0,VLOOKUP($A492,'0.Productos'!$A$3:$GG$587,'0.Productos'!DJ$1+1,0),"")</f>
        <v/>
      </c>
      <c r="BS492" s="133" t="str">
        <f>IF($A492&lt;&gt;0,VLOOKUP($A492,'0.Productos'!$A$3:$GG$587,'0.Productos'!DK$1+1,0),"")</f>
        <v/>
      </c>
      <c r="BT492" s="133" t="str">
        <f>IF($A492&lt;&gt;0,VLOOKUP($A492,'0.Productos'!$A$3:$GG$587,'0.Productos'!DL$1+1,0),"")</f>
        <v/>
      </c>
    </row>
    <row r="493" spans="1:72" x14ac:dyDescent="0.25">
      <c r="A493" s="17">
        <f>'0.Consolidado general'!A493</f>
        <v>0</v>
      </c>
      <c r="B493" s="133" t="str">
        <f>IF($A493&lt;&gt;0,VLOOKUP($A493,'0.Productos'!$A$3:$GG$587,'0.Productos'!AT$1+1,0),"")</f>
        <v/>
      </c>
      <c r="C493" s="133" t="str">
        <f>IF($A493&lt;&gt;0,VLOOKUP($A493,'0.Productos'!$A$3:$GG$587,'0.Productos'!AU$1+1,0),"")</f>
        <v/>
      </c>
      <c r="D493" s="133" t="str">
        <f>IF($A493&lt;&gt;0,VLOOKUP($A493,'0.Productos'!$A$3:$GG$587,'0.Productos'!AV$1+1,0),"")</f>
        <v/>
      </c>
      <c r="E493" s="133" t="str">
        <f>IF($A493&lt;&gt;0,VLOOKUP($A493,'0.Productos'!$A$3:$GG$587,'0.Productos'!AW$1+1,0),"")</f>
        <v/>
      </c>
      <c r="F493" s="133" t="str">
        <f>IF($A493&lt;&gt;0,VLOOKUP($A493,'0.Productos'!$A$3:$GG$587,'0.Productos'!AX$1+1,0),"")</f>
        <v/>
      </c>
      <c r="G493" s="133" t="str">
        <f>IF($A493&lt;&gt;0,VLOOKUP($A493,'0.Productos'!$A$3:$GG$587,'0.Productos'!AY$1+1,0),"")</f>
        <v/>
      </c>
      <c r="H493" s="133" t="str">
        <f>IF($A493&lt;&gt;0,VLOOKUP($A493,'0.Productos'!$A$3:$GG$587,'0.Productos'!AZ$1+1,0),"")</f>
        <v/>
      </c>
      <c r="I493" s="133" t="str">
        <f>IF($A493&lt;&gt;0,VLOOKUP($A493,'0.Productos'!$A$3:$GG$587,'0.Productos'!BA$1+1,0),"")</f>
        <v/>
      </c>
      <c r="J493" s="133" t="str">
        <f>IF($A493&lt;&gt;0,VLOOKUP($A493,'0.Productos'!$A$3:$GG$587,'0.Productos'!BB$1+1,0),"")</f>
        <v/>
      </c>
      <c r="K493" s="133" t="str">
        <f>IF($A493&lt;&gt;0,VLOOKUP($A493,'0.Productos'!$A$3:$GG$587,'0.Productos'!BC$1+1,0),"")</f>
        <v/>
      </c>
      <c r="L493" s="133" t="str">
        <f>IF($A493&lt;&gt;0,VLOOKUP($A493,'0.Productos'!$A$3:$GG$587,'0.Productos'!BD$1+1,0),"")</f>
        <v/>
      </c>
      <c r="M493" s="133" t="str">
        <f>IF($A493&lt;&gt;0,VLOOKUP($A493,'0.Productos'!$A$3:$GG$587,'0.Productos'!BE$1+1,0),"")</f>
        <v/>
      </c>
      <c r="N493" s="133" t="str">
        <f>IF($A493&lt;&gt;0,VLOOKUP($A493,'0.Productos'!$A$3:$GG$587,'0.Productos'!BF$1+1,0),"")</f>
        <v/>
      </c>
      <c r="O493" s="133" t="str">
        <f>IF($A493&lt;&gt;0,VLOOKUP($A493,'0.Productos'!$A$3:$GG$587,'0.Productos'!BG$1+1,0),"")</f>
        <v/>
      </c>
      <c r="P493" s="133" t="str">
        <f>IF($A493&lt;&gt;0,VLOOKUP($A493,'0.Productos'!$A$3:$GG$587,'0.Productos'!BH$1+1,0),"")</f>
        <v/>
      </c>
      <c r="Q493" s="133" t="str">
        <f>IF($A493&lt;&gt;0,VLOOKUP($A493,'0.Productos'!$A$3:$GG$587,'0.Productos'!BI$1+1,0),"")</f>
        <v/>
      </c>
      <c r="R493" s="133" t="str">
        <f>IF($A493&lt;&gt;0,VLOOKUP($A493,'0.Productos'!$A$3:$GG$587,'0.Productos'!BJ$1+1,0),"")</f>
        <v/>
      </c>
      <c r="S493" s="133" t="str">
        <f>IF($A493&lt;&gt;0,VLOOKUP($A493,'0.Productos'!$A$3:$GG$587,'0.Productos'!BK$1+1,0),"")</f>
        <v/>
      </c>
      <c r="T493" s="133" t="str">
        <f>IF($A493&lt;&gt;0,VLOOKUP($A493,'0.Productos'!$A$3:$GG$587,'0.Productos'!BL$1+1,0),"")</f>
        <v/>
      </c>
      <c r="U493" s="133" t="str">
        <f>IF($A493&lt;&gt;0,VLOOKUP($A493,'0.Productos'!$A$3:$GG$587,'0.Productos'!BM$1+1,0),"")</f>
        <v/>
      </c>
      <c r="V493" s="133" t="str">
        <f>IF($A493&lt;&gt;0,VLOOKUP($A493,'0.Productos'!$A$3:$GG$587,'0.Productos'!BN$1+1,0),"")</f>
        <v/>
      </c>
      <c r="W493" s="133" t="str">
        <f>IF($A493&lt;&gt;0,VLOOKUP($A493,'0.Productos'!$A$3:$GG$587,'0.Productos'!BO$1+1,0),"")</f>
        <v/>
      </c>
      <c r="X493" s="133" t="str">
        <f>IF($A493&lt;&gt;0,VLOOKUP($A493,'0.Productos'!$A$3:$GG$587,'0.Productos'!BP$1+1,0),"")</f>
        <v/>
      </c>
      <c r="Y493" s="133" t="str">
        <f>IF($A493&lt;&gt;0,VLOOKUP($A493,'0.Productos'!$A$3:$GG$587,'0.Productos'!BQ$1+1,0),"")</f>
        <v/>
      </c>
      <c r="Z493" s="133" t="str">
        <f>IF($A493&lt;&gt;0,VLOOKUP($A493,'0.Productos'!$A$3:$GG$587,'0.Productos'!BR$1+1,0),"")</f>
        <v/>
      </c>
      <c r="AA493" s="133" t="str">
        <f>IF($A493&lt;&gt;0,VLOOKUP($A493,'0.Productos'!$A$3:$GG$587,'0.Productos'!BS$1+1,0),"")</f>
        <v/>
      </c>
      <c r="AB493" s="133" t="str">
        <f>IF($A493&lt;&gt;0,VLOOKUP($A493,'0.Productos'!$A$3:$GG$587,'0.Productos'!BT$1+1,0),"")</f>
        <v/>
      </c>
      <c r="AC493" s="133" t="str">
        <f>IF($A493&lt;&gt;0,VLOOKUP($A493,'0.Productos'!$A$3:$GG$587,'0.Productos'!BU$1+1,0),"")</f>
        <v/>
      </c>
      <c r="AD493" s="133" t="str">
        <f>IF($A493&lt;&gt;0,VLOOKUP($A493,'0.Productos'!$A$3:$GG$587,'0.Productos'!BV$1+1,0),"")</f>
        <v/>
      </c>
      <c r="AE493" s="133" t="str">
        <f>IF($A493&lt;&gt;0,VLOOKUP($A493,'0.Productos'!$A$3:$GG$587,'0.Productos'!BW$1+1,0),"")</f>
        <v/>
      </c>
      <c r="AF493" s="133" t="str">
        <f>IF($A493&lt;&gt;0,VLOOKUP($A493,'0.Productos'!$A$3:$GG$587,'0.Productos'!BX$1+1,0),"")</f>
        <v/>
      </c>
      <c r="AG493" s="133" t="str">
        <f>IF($A493&lt;&gt;0,VLOOKUP($A493,'0.Productos'!$A$3:$GG$587,'0.Productos'!BY$1+1,0),"")</f>
        <v/>
      </c>
      <c r="AH493" s="133" t="str">
        <f>IF($A493&lt;&gt;0,VLOOKUP($A493,'0.Productos'!$A$3:$GG$587,'0.Productos'!BZ$1+1,0),"")</f>
        <v/>
      </c>
      <c r="AI493" s="133" t="str">
        <f>IF($A493&lt;&gt;0,VLOOKUP($A493,'0.Productos'!$A$3:$GG$587,'0.Productos'!CA$1+1,0),"")</f>
        <v/>
      </c>
      <c r="AJ493" s="133" t="str">
        <f>IF($A493&lt;&gt;0,VLOOKUP($A493,'0.Productos'!$A$3:$GG$587,'0.Productos'!CB$1+1,0),"")</f>
        <v/>
      </c>
      <c r="AK493" s="133" t="str">
        <f>IF($A493&lt;&gt;0,VLOOKUP($A493,'0.Productos'!$A$3:$GG$587,'0.Productos'!CC$1+1,0),"")</f>
        <v/>
      </c>
      <c r="AL493" s="133" t="str">
        <f>IF($A493&lt;&gt;0,VLOOKUP($A493,'0.Productos'!$A$3:$GG$587,'0.Productos'!CD$1+1,0),"")</f>
        <v/>
      </c>
      <c r="AM493" s="133" t="str">
        <f>IF($A493&lt;&gt;0,VLOOKUP($A493,'0.Productos'!$A$3:$GG$587,'0.Productos'!CE$1+1,0),"")</f>
        <v/>
      </c>
      <c r="AN493" s="133" t="str">
        <f>IF($A493&lt;&gt;0,VLOOKUP($A493,'0.Productos'!$A$3:$GG$587,'0.Productos'!CF$1+1,0),"")</f>
        <v/>
      </c>
      <c r="AO493" s="133" t="str">
        <f>IF($A493&lt;&gt;0,VLOOKUP($A493,'0.Productos'!$A$3:$GG$587,'0.Productos'!CG$1+1,0),"")</f>
        <v/>
      </c>
      <c r="AP493" s="133" t="str">
        <f>IF($A493&lt;&gt;0,VLOOKUP($A493,'0.Productos'!$A$3:$GG$587,'0.Productos'!CH$1+1,0),"")</f>
        <v/>
      </c>
      <c r="AQ493" s="133" t="str">
        <f>IF($A493&lt;&gt;0,VLOOKUP($A493,'0.Productos'!$A$3:$GG$587,'0.Productos'!CI$1+1,0),"")</f>
        <v/>
      </c>
      <c r="AR493" s="133" t="str">
        <f>IF($A493&lt;&gt;0,VLOOKUP($A493,'0.Productos'!$A$3:$GG$587,'0.Productos'!CJ$1+1,0),"")</f>
        <v/>
      </c>
      <c r="AS493" s="133" t="str">
        <f>IF($A493&lt;&gt;0,VLOOKUP($A493,'0.Productos'!$A$3:$GG$587,'0.Productos'!CK$1+1,0),"")</f>
        <v/>
      </c>
      <c r="AT493" s="133" t="str">
        <f>IF($A493&lt;&gt;0,VLOOKUP($A493,'0.Productos'!$A$3:$GG$587,'0.Productos'!CL$1+1,0),"")</f>
        <v/>
      </c>
      <c r="AU493" s="133" t="str">
        <f>IF($A493&lt;&gt;0,VLOOKUP($A493,'0.Productos'!$A$3:$GG$587,'0.Productos'!CM$1+1,0),"")</f>
        <v/>
      </c>
      <c r="AV493" s="133" t="str">
        <f>IF($A493&lt;&gt;0,VLOOKUP($A493,'0.Productos'!$A$3:$GG$587,'0.Productos'!CN$1+1,0),"")</f>
        <v/>
      </c>
      <c r="AW493" s="133" t="str">
        <f>IF($A493&lt;&gt;0,VLOOKUP($A493,'0.Productos'!$A$3:$GG$587,'0.Productos'!CO$1+1,0),"")</f>
        <v/>
      </c>
      <c r="AX493" s="133" t="str">
        <f>IF($A493&lt;&gt;0,VLOOKUP($A493,'0.Productos'!$A$3:$GG$587,'0.Productos'!CP$1+1,0),"")</f>
        <v/>
      </c>
      <c r="AY493" s="133" t="str">
        <f>IF($A493&lt;&gt;0,VLOOKUP($A493,'0.Productos'!$A$3:$GG$587,'0.Productos'!CQ$1+1,0),"")</f>
        <v/>
      </c>
      <c r="AZ493" s="133" t="str">
        <f>IF($A493&lt;&gt;0,VLOOKUP($A493,'0.Productos'!$A$3:$GG$587,'0.Productos'!CR$1+1,0),"")</f>
        <v/>
      </c>
      <c r="BA493" s="133" t="str">
        <f>IF($A493&lt;&gt;0,VLOOKUP($A493,'0.Productos'!$A$3:$GG$587,'0.Productos'!CS$1+1,0),"")</f>
        <v/>
      </c>
      <c r="BB493" s="133" t="str">
        <f>IF($A493&lt;&gt;0,VLOOKUP($A493,'0.Productos'!$A$3:$GG$587,'0.Productos'!CT$1+1,0),"")</f>
        <v/>
      </c>
      <c r="BC493" s="133" t="str">
        <f>IF($A493&lt;&gt;0,VLOOKUP($A493,'0.Productos'!$A$3:$GG$587,'0.Productos'!CU$1+1,0),"")</f>
        <v/>
      </c>
      <c r="BD493" s="133" t="str">
        <f>IF($A493&lt;&gt;0,VLOOKUP($A493,'0.Productos'!$A$3:$GG$587,'0.Productos'!CV$1+1,0),"")</f>
        <v/>
      </c>
      <c r="BE493" s="133" t="str">
        <f>IF($A493&lt;&gt;0,VLOOKUP($A493,'0.Productos'!$A$3:$GG$587,'0.Productos'!CW$1+1,0),"")</f>
        <v/>
      </c>
      <c r="BF493" s="133" t="str">
        <f>IF($A493&lt;&gt;0,VLOOKUP($A493,'0.Productos'!$A$3:$GG$587,'0.Productos'!CX$1+1,0),"")</f>
        <v/>
      </c>
      <c r="BG493" s="133" t="str">
        <f>IF($A493&lt;&gt;0,VLOOKUP($A493,'0.Productos'!$A$3:$GG$587,'0.Productos'!CY$1+1,0),"")</f>
        <v/>
      </c>
      <c r="BH493" s="133" t="str">
        <f>IF($A493&lt;&gt;0,VLOOKUP($A493,'0.Productos'!$A$3:$GG$587,'0.Productos'!CZ$1+1,0),"")</f>
        <v/>
      </c>
      <c r="BI493" s="133" t="str">
        <f>IF($A493&lt;&gt;0,VLOOKUP($A493,'0.Productos'!$A$3:$GG$587,'0.Productos'!DA$1+1,0),"")</f>
        <v/>
      </c>
      <c r="BJ493" s="133" t="str">
        <f>IF($A493&lt;&gt;0,VLOOKUP($A493,'0.Productos'!$A$3:$GG$587,'0.Productos'!DB$1+1,0),"")</f>
        <v/>
      </c>
      <c r="BK493" s="133" t="str">
        <f>IF($A493&lt;&gt;0,VLOOKUP($A493,'0.Productos'!$A$3:$GG$587,'0.Productos'!DC$1+1,0),"")</f>
        <v/>
      </c>
      <c r="BL493" s="133" t="str">
        <f>IF($A493&lt;&gt;0,VLOOKUP($A493,'0.Productos'!$A$3:$GG$587,'0.Productos'!DD$1+1,0),"")</f>
        <v/>
      </c>
      <c r="BM493" s="133" t="str">
        <f>IF($A493&lt;&gt;0,VLOOKUP($A493,'0.Productos'!$A$3:$GG$587,'0.Productos'!DE$1+1,0),"")</f>
        <v/>
      </c>
      <c r="BN493" s="133" t="str">
        <f>IF($A493&lt;&gt;0,VLOOKUP($A493,'0.Productos'!$A$3:$GG$587,'0.Productos'!DF$1+1,0),"")</f>
        <v/>
      </c>
      <c r="BO493" s="133" t="str">
        <f>IF($A493&lt;&gt;0,VLOOKUP($A493,'0.Productos'!$A$3:$GG$587,'0.Productos'!DG$1+1,0),"")</f>
        <v/>
      </c>
      <c r="BP493" s="133" t="str">
        <f>IF($A493&lt;&gt;0,VLOOKUP($A493,'0.Productos'!$A$3:$GG$587,'0.Productos'!DH$1+1,0),"")</f>
        <v/>
      </c>
      <c r="BQ493" s="133" t="str">
        <f>IF($A493&lt;&gt;0,VLOOKUP($A493,'0.Productos'!$A$3:$GG$587,'0.Productos'!DI$1+1,0),"")</f>
        <v/>
      </c>
      <c r="BR493" s="133" t="str">
        <f>IF($A493&lt;&gt;0,VLOOKUP($A493,'0.Productos'!$A$3:$GG$587,'0.Productos'!DJ$1+1,0),"")</f>
        <v/>
      </c>
      <c r="BS493" s="133" t="str">
        <f>IF($A493&lt;&gt;0,VLOOKUP($A493,'0.Productos'!$A$3:$GG$587,'0.Productos'!DK$1+1,0),"")</f>
        <v/>
      </c>
      <c r="BT493" s="133" t="str">
        <f>IF($A493&lt;&gt;0,VLOOKUP($A493,'0.Productos'!$A$3:$GG$587,'0.Productos'!DL$1+1,0),"")</f>
        <v/>
      </c>
    </row>
    <row r="494" spans="1:72" x14ac:dyDescent="0.25">
      <c r="A494" s="17">
        <f>'0.Consolidado general'!A494</f>
        <v>0</v>
      </c>
      <c r="B494" s="133" t="str">
        <f>IF($A494&lt;&gt;0,VLOOKUP($A494,'0.Productos'!$A$3:$GG$587,'0.Productos'!AT$1+1,0),"")</f>
        <v/>
      </c>
      <c r="C494" s="133" t="str">
        <f>IF($A494&lt;&gt;0,VLOOKUP($A494,'0.Productos'!$A$3:$GG$587,'0.Productos'!AU$1+1,0),"")</f>
        <v/>
      </c>
      <c r="D494" s="133" t="str">
        <f>IF($A494&lt;&gt;0,VLOOKUP($A494,'0.Productos'!$A$3:$GG$587,'0.Productos'!AV$1+1,0),"")</f>
        <v/>
      </c>
      <c r="E494" s="133" t="str">
        <f>IF($A494&lt;&gt;0,VLOOKUP($A494,'0.Productos'!$A$3:$GG$587,'0.Productos'!AW$1+1,0),"")</f>
        <v/>
      </c>
      <c r="F494" s="133" t="str">
        <f>IF($A494&lt;&gt;0,VLOOKUP($A494,'0.Productos'!$A$3:$GG$587,'0.Productos'!AX$1+1,0),"")</f>
        <v/>
      </c>
      <c r="G494" s="133" t="str">
        <f>IF($A494&lt;&gt;0,VLOOKUP($A494,'0.Productos'!$A$3:$GG$587,'0.Productos'!AY$1+1,0),"")</f>
        <v/>
      </c>
      <c r="H494" s="133" t="str">
        <f>IF($A494&lt;&gt;0,VLOOKUP($A494,'0.Productos'!$A$3:$GG$587,'0.Productos'!AZ$1+1,0),"")</f>
        <v/>
      </c>
      <c r="I494" s="133" t="str">
        <f>IF($A494&lt;&gt;0,VLOOKUP($A494,'0.Productos'!$A$3:$GG$587,'0.Productos'!BA$1+1,0),"")</f>
        <v/>
      </c>
      <c r="J494" s="133" t="str">
        <f>IF($A494&lt;&gt;0,VLOOKUP($A494,'0.Productos'!$A$3:$GG$587,'0.Productos'!BB$1+1,0),"")</f>
        <v/>
      </c>
      <c r="K494" s="133" t="str">
        <f>IF($A494&lt;&gt;0,VLOOKUP($A494,'0.Productos'!$A$3:$GG$587,'0.Productos'!BC$1+1,0),"")</f>
        <v/>
      </c>
      <c r="L494" s="133" t="str">
        <f>IF($A494&lt;&gt;0,VLOOKUP($A494,'0.Productos'!$A$3:$GG$587,'0.Productos'!BD$1+1,0),"")</f>
        <v/>
      </c>
      <c r="M494" s="133" t="str">
        <f>IF($A494&lt;&gt;0,VLOOKUP($A494,'0.Productos'!$A$3:$GG$587,'0.Productos'!BE$1+1,0),"")</f>
        <v/>
      </c>
      <c r="N494" s="133" t="str">
        <f>IF($A494&lt;&gt;0,VLOOKUP($A494,'0.Productos'!$A$3:$GG$587,'0.Productos'!BF$1+1,0),"")</f>
        <v/>
      </c>
      <c r="O494" s="133" t="str">
        <f>IF($A494&lt;&gt;0,VLOOKUP($A494,'0.Productos'!$A$3:$GG$587,'0.Productos'!BG$1+1,0),"")</f>
        <v/>
      </c>
      <c r="P494" s="133" t="str">
        <f>IF($A494&lt;&gt;0,VLOOKUP($A494,'0.Productos'!$A$3:$GG$587,'0.Productos'!BH$1+1,0),"")</f>
        <v/>
      </c>
      <c r="Q494" s="133" t="str">
        <f>IF($A494&lt;&gt;0,VLOOKUP($A494,'0.Productos'!$A$3:$GG$587,'0.Productos'!BI$1+1,0),"")</f>
        <v/>
      </c>
      <c r="R494" s="133" t="str">
        <f>IF($A494&lt;&gt;0,VLOOKUP($A494,'0.Productos'!$A$3:$GG$587,'0.Productos'!BJ$1+1,0),"")</f>
        <v/>
      </c>
      <c r="S494" s="133" t="str">
        <f>IF($A494&lt;&gt;0,VLOOKUP($A494,'0.Productos'!$A$3:$GG$587,'0.Productos'!BK$1+1,0),"")</f>
        <v/>
      </c>
      <c r="T494" s="133" t="str">
        <f>IF($A494&lt;&gt;0,VLOOKUP($A494,'0.Productos'!$A$3:$GG$587,'0.Productos'!BL$1+1,0),"")</f>
        <v/>
      </c>
      <c r="U494" s="133" t="str">
        <f>IF($A494&lt;&gt;0,VLOOKUP($A494,'0.Productos'!$A$3:$GG$587,'0.Productos'!BM$1+1,0),"")</f>
        <v/>
      </c>
      <c r="V494" s="133" t="str">
        <f>IF($A494&lt;&gt;0,VLOOKUP($A494,'0.Productos'!$A$3:$GG$587,'0.Productos'!BN$1+1,0),"")</f>
        <v/>
      </c>
      <c r="W494" s="133" t="str">
        <f>IF($A494&lt;&gt;0,VLOOKUP($A494,'0.Productos'!$A$3:$GG$587,'0.Productos'!BO$1+1,0),"")</f>
        <v/>
      </c>
      <c r="X494" s="133" t="str">
        <f>IF($A494&lt;&gt;0,VLOOKUP($A494,'0.Productos'!$A$3:$GG$587,'0.Productos'!BP$1+1,0),"")</f>
        <v/>
      </c>
      <c r="Y494" s="133" t="str">
        <f>IF($A494&lt;&gt;0,VLOOKUP($A494,'0.Productos'!$A$3:$GG$587,'0.Productos'!BQ$1+1,0),"")</f>
        <v/>
      </c>
      <c r="Z494" s="133" t="str">
        <f>IF($A494&lt;&gt;0,VLOOKUP($A494,'0.Productos'!$A$3:$GG$587,'0.Productos'!BR$1+1,0),"")</f>
        <v/>
      </c>
      <c r="AA494" s="133" t="str">
        <f>IF($A494&lt;&gt;0,VLOOKUP($A494,'0.Productos'!$A$3:$GG$587,'0.Productos'!BS$1+1,0),"")</f>
        <v/>
      </c>
      <c r="AB494" s="133" t="str">
        <f>IF($A494&lt;&gt;0,VLOOKUP($A494,'0.Productos'!$A$3:$GG$587,'0.Productos'!BT$1+1,0),"")</f>
        <v/>
      </c>
      <c r="AC494" s="133" t="str">
        <f>IF($A494&lt;&gt;0,VLOOKUP($A494,'0.Productos'!$A$3:$GG$587,'0.Productos'!BU$1+1,0),"")</f>
        <v/>
      </c>
      <c r="AD494" s="133" t="str">
        <f>IF($A494&lt;&gt;0,VLOOKUP($A494,'0.Productos'!$A$3:$GG$587,'0.Productos'!BV$1+1,0),"")</f>
        <v/>
      </c>
      <c r="AE494" s="133" t="str">
        <f>IF($A494&lt;&gt;0,VLOOKUP($A494,'0.Productos'!$A$3:$GG$587,'0.Productos'!BW$1+1,0),"")</f>
        <v/>
      </c>
      <c r="AF494" s="133" t="str">
        <f>IF($A494&lt;&gt;0,VLOOKUP($A494,'0.Productos'!$A$3:$GG$587,'0.Productos'!BX$1+1,0),"")</f>
        <v/>
      </c>
      <c r="AG494" s="133" t="str">
        <f>IF($A494&lt;&gt;0,VLOOKUP($A494,'0.Productos'!$A$3:$GG$587,'0.Productos'!BY$1+1,0),"")</f>
        <v/>
      </c>
      <c r="AH494" s="133" t="str">
        <f>IF($A494&lt;&gt;0,VLOOKUP($A494,'0.Productos'!$A$3:$GG$587,'0.Productos'!BZ$1+1,0),"")</f>
        <v/>
      </c>
      <c r="AI494" s="133" t="str">
        <f>IF($A494&lt;&gt;0,VLOOKUP($A494,'0.Productos'!$A$3:$GG$587,'0.Productos'!CA$1+1,0),"")</f>
        <v/>
      </c>
      <c r="AJ494" s="133" t="str">
        <f>IF($A494&lt;&gt;0,VLOOKUP($A494,'0.Productos'!$A$3:$GG$587,'0.Productos'!CB$1+1,0),"")</f>
        <v/>
      </c>
      <c r="AK494" s="133" t="str">
        <f>IF($A494&lt;&gt;0,VLOOKUP($A494,'0.Productos'!$A$3:$GG$587,'0.Productos'!CC$1+1,0),"")</f>
        <v/>
      </c>
      <c r="AL494" s="133" t="str">
        <f>IF($A494&lt;&gt;0,VLOOKUP($A494,'0.Productos'!$A$3:$GG$587,'0.Productos'!CD$1+1,0),"")</f>
        <v/>
      </c>
      <c r="AM494" s="133" t="str">
        <f>IF($A494&lt;&gt;0,VLOOKUP($A494,'0.Productos'!$A$3:$GG$587,'0.Productos'!CE$1+1,0),"")</f>
        <v/>
      </c>
      <c r="AN494" s="133" t="str">
        <f>IF($A494&lt;&gt;0,VLOOKUP($A494,'0.Productos'!$A$3:$GG$587,'0.Productos'!CF$1+1,0),"")</f>
        <v/>
      </c>
      <c r="AO494" s="133" t="str">
        <f>IF($A494&lt;&gt;0,VLOOKUP($A494,'0.Productos'!$A$3:$GG$587,'0.Productos'!CG$1+1,0),"")</f>
        <v/>
      </c>
      <c r="AP494" s="133" t="str">
        <f>IF($A494&lt;&gt;0,VLOOKUP($A494,'0.Productos'!$A$3:$GG$587,'0.Productos'!CH$1+1,0),"")</f>
        <v/>
      </c>
      <c r="AQ494" s="133" t="str">
        <f>IF($A494&lt;&gt;0,VLOOKUP($A494,'0.Productos'!$A$3:$GG$587,'0.Productos'!CI$1+1,0),"")</f>
        <v/>
      </c>
      <c r="AR494" s="133" t="str">
        <f>IF($A494&lt;&gt;0,VLOOKUP($A494,'0.Productos'!$A$3:$GG$587,'0.Productos'!CJ$1+1,0),"")</f>
        <v/>
      </c>
      <c r="AS494" s="133" t="str">
        <f>IF($A494&lt;&gt;0,VLOOKUP($A494,'0.Productos'!$A$3:$GG$587,'0.Productos'!CK$1+1,0),"")</f>
        <v/>
      </c>
      <c r="AT494" s="133" t="str">
        <f>IF($A494&lt;&gt;0,VLOOKUP($A494,'0.Productos'!$A$3:$GG$587,'0.Productos'!CL$1+1,0),"")</f>
        <v/>
      </c>
      <c r="AU494" s="133" t="str">
        <f>IF($A494&lt;&gt;0,VLOOKUP($A494,'0.Productos'!$A$3:$GG$587,'0.Productos'!CM$1+1,0),"")</f>
        <v/>
      </c>
      <c r="AV494" s="133" t="str">
        <f>IF($A494&lt;&gt;0,VLOOKUP($A494,'0.Productos'!$A$3:$GG$587,'0.Productos'!CN$1+1,0),"")</f>
        <v/>
      </c>
      <c r="AW494" s="133" t="str">
        <f>IF($A494&lt;&gt;0,VLOOKUP($A494,'0.Productos'!$A$3:$GG$587,'0.Productos'!CO$1+1,0),"")</f>
        <v/>
      </c>
      <c r="AX494" s="133" t="str">
        <f>IF($A494&lt;&gt;0,VLOOKUP($A494,'0.Productos'!$A$3:$GG$587,'0.Productos'!CP$1+1,0),"")</f>
        <v/>
      </c>
      <c r="AY494" s="133" t="str">
        <f>IF($A494&lt;&gt;0,VLOOKUP($A494,'0.Productos'!$A$3:$GG$587,'0.Productos'!CQ$1+1,0),"")</f>
        <v/>
      </c>
      <c r="AZ494" s="133" t="str">
        <f>IF($A494&lt;&gt;0,VLOOKUP($A494,'0.Productos'!$A$3:$GG$587,'0.Productos'!CR$1+1,0),"")</f>
        <v/>
      </c>
      <c r="BA494" s="133" t="str">
        <f>IF($A494&lt;&gt;0,VLOOKUP($A494,'0.Productos'!$A$3:$GG$587,'0.Productos'!CS$1+1,0),"")</f>
        <v/>
      </c>
      <c r="BB494" s="133" t="str">
        <f>IF($A494&lt;&gt;0,VLOOKUP($A494,'0.Productos'!$A$3:$GG$587,'0.Productos'!CT$1+1,0),"")</f>
        <v/>
      </c>
      <c r="BC494" s="133" t="str">
        <f>IF($A494&lt;&gt;0,VLOOKUP($A494,'0.Productos'!$A$3:$GG$587,'0.Productos'!CU$1+1,0),"")</f>
        <v/>
      </c>
      <c r="BD494" s="133" t="str">
        <f>IF($A494&lt;&gt;0,VLOOKUP($A494,'0.Productos'!$A$3:$GG$587,'0.Productos'!CV$1+1,0),"")</f>
        <v/>
      </c>
      <c r="BE494" s="133" t="str">
        <f>IF($A494&lt;&gt;0,VLOOKUP($A494,'0.Productos'!$A$3:$GG$587,'0.Productos'!CW$1+1,0),"")</f>
        <v/>
      </c>
      <c r="BF494" s="133" t="str">
        <f>IF($A494&lt;&gt;0,VLOOKUP($A494,'0.Productos'!$A$3:$GG$587,'0.Productos'!CX$1+1,0),"")</f>
        <v/>
      </c>
      <c r="BG494" s="133" t="str">
        <f>IF($A494&lt;&gt;0,VLOOKUP($A494,'0.Productos'!$A$3:$GG$587,'0.Productos'!CY$1+1,0),"")</f>
        <v/>
      </c>
      <c r="BH494" s="133" t="str">
        <f>IF($A494&lt;&gt;0,VLOOKUP($A494,'0.Productos'!$A$3:$GG$587,'0.Productos'!CZ$1+1,0),"")</f>
        <v/>
      </c>
      <c r="BI494" s="133" t="str">
        <f>IF($A494&lt;&gt;0,VLOOKUP($A494,'0.Productos'!$A$3:$GG$587,'0.Productos'!DA$1+1,0),"")</f>
        <v/>
      </c>
      <c r="BJ494" s="133" t="str">
        <f>IF($A494&lt;&gt;0,VLOOKUP($A494,'0.Productos'!$A$3:$GG$587,'0.Productos'!DB$1+1,0),"")</f>
        <v/>
      </c>
      <c r="BK494" s="133" t="str">
        <f>IF($A494&lt;&gt;0,VLOOKUP($A494,'0.Productos'!$A$3:$GG$587,'0.Productos'!DC$1+1,0),"")</f>
        <v/>
      </c>
      <c r="BL494" s="133" t="str">
        <f>IF($A494&lt;&gt;0,VLOOKUP($A494,'0.Productos'!$A$3:$GG$587,'0.Productos'!DD$1+1,0),"")</f>
        <v/>
      </c>
      <c r="BM494" s="133" t="str">
        <f>IF($A494&lt;&gt;0,VLOOKUP($A494,'0.Productos'!$A$3:$GG$587,'0.Productos'!DE$1+1,0),"")</f>
        <v/>
      </c>
      <c r="BN494" s="133" t="str">
        <f>IF($A494&lt;&gt;0,VLOOKUP($A494,'0.Productos'!$A$3:$GG$587,'0.Productos'!DF$1+1,0),"")</f>
        <v/>
      </c>
      <c r="BO494" s="133" t="str">
        <f>IF($A494&lt;&gt;0,VLOOKUP($A494,'0.Productos'!$A$3:$GG$587,'0.Productos'!DG$1+1,0),"")</f>
        <v/>
      </c>
      <c r="BP494" s="133" t="str">
        <f>IF($A494&lt;&gt;0,VLOOKUP($A494,'0.Productos'!$A$3:$GG$587,'0.Productos'!DH$1+1,0),"")</f>
        <v/>
      </c>
      <c r="BQ494" s="133" t="str">
        <f>IF($A494&lt;&gt;0,VLOOKUP($A494,'0.Productos'!$A$3:$GG$587,'0.Productos'!DI$1+1,0),"")</f>
        <v/>
      </c>
      <c r="BR494" s="133" t="str">
        <f>IF($A494&lt;&gt;0,VLOOKUP($A494,'0.Productos'!$A$3:$GG$587,'0.Productos'!DJ$1+1,0),"")</f>
        <v/>
      </c>
      <c r="BS494" s="133" t="str">
        <f>IF($A494&lt;&gt;0,VLOOKUP($A494,'0.Productos'!$A$3:$GG$587,'0.Productos'!DK$1+1,0),"")</f>
        <v/>
      </c>
      <c r="BT494" s="133" t="str">
        <f>IF($A494&lt;&gt;0,VLOOKUP($A494,'0.Productos'!$A$3:$GG$587,'0.Productos'!DL$1+1,0),"")</f>
        <v/>
      </c>
    </row>
    <row r="495" spans="1:72" x14ac:dyDescent="0.25">
      <c r="A495" s="17">
        <f>'0.Consolidado general'!A495</f>
        <v>0</v>
      </c>
      <c r="B495" s="133" t="str">
        <f>IF($A495&lt;&gt;0,VLOOKUP($A495,'0.Productos'!$A$3:$GG$587,'0.Productos'!AT$1+1,0),"")</f>
        <v/>
      </c>
      <c r="C495" s="133" t="str">
        <f>IF($A495&lt;&gt;0,VLOOKUP($A495,'0.Productos'!$A$3:$GG$587,'0.Productos'!AU$1+1,0),"")</f>
        <v/>
      </c>
      <c r="D495" s="133" t="str">
        <f>IF($A495&lt;&gt;0,VLOOKUP($A495,'0.Productos'!$A$3:$GG$587,'0.Productos'!AV$1+1,0),"")</f>
        <v/>
      </c>
      <c r="E495" s="133" t="str">
        <f>IF($A495&lt;&gt;0,VLOOKUP($A495,'0.Productos'!$A$3:$GG$587,'0.Productos'!AW$1+1,0),"")</f>
        <v/>
      </c>
      <c r="F495" s="133" t="str">
        <f>IF($A495&lt;&gt;0,VLOOKUP($A495,'0.Productos'!$A$3:$GG$587,'0.Productos'!AX$1+1,0),"")</f>
        <v/>
      </c>
      <c r="G495" s="133" t="str">
        <f>IF($A495&lt;&gt;0,VLOOKUP($A495,'0.Productos'!$A$3:$GG$587,'0.Productos'!AY$1+1,0),"")</f>
        <v/>
      </c>
      <c r="H495" s="133" t="str">
        <f>IF($A495&lt;&gt;0,VLOOKUP($A495,'0.Productos'!$A$3:$GG$587,'0.Productos'!AZ$1+1,0),"")</f>
        <v/>
      </c>
      <c r="I495" s="133" t="str">
        <f>IF($A495&lt;&gt;0,VLOOKUP($A495,'0.Productos'!$A$3:$GG$587,'0.Productos'!BA$1+1,0),"")</f>
        <v/>
      </c>
      <c r="J495" s="133" t="str">
        <f>IF($A495&lt;&gt;0,VLOOKUP($A495,'0.Productos'!$A$3:$GG$587,'0.Productos'!BB$1+1,0),"")</f>
        <v/>
      </c>
      <c r="K495" s="133" t="str">
        <f>IF($A495&lt;&gt;0,VLOOKUP($A495,'0.Productos'!$A$3:$GG$587,'0.Productos'!BC$1+1,0),"")</f>
        <v/>
      </c>
      <c r="L495" s="133" t="str">
        <f>IF($A495&lt;&gt;0,VLOOKUP($A495,'0.Productos'!$A$3:$GG$587,'0.Productos'!BD$1+1,0),"")</f>
        <v/>
      </c>
      <c r="M495" s="133" t="str">
        <f>IF($A495&lt;&gt;0,VLOOKUP($A495,'0.Productos'!$A$3:$GG$587,'0.Productos'!BE$1+1,0),"")</f>
        <v/>
      </c>
      <c r="N495" s="133" t="str">
        <f>IF($A495&lt;&gt;0,VLOOKUP($A495,'0.Productos'!$A$3:$GG$587,'0.Productos'!BF$1+1,0),"")</f>
        <v/>
      </c>
      <c r="O495" s="133" t="str">
        <f>IF($A495&lt;&gt;0,VLOOKUP($A495,'0.Productos'!$A$3:$GG$587,'0.Productos'!BG$1+1,0),"")</f>
        <v/>
      </c>
      <c r="P495" s="133" t="str">
        <f>IF($A495&lt;&gt;0,VLOOKUP($A495,'0.Productos'!$A$3:$GG$587,'0.Productos'!BH$1+1,0),"")</f>
        <v/>
      </c>
      <c r="Q495" s="133" t="str">
        <f>IF($A495&lt;&gt;0,VLOOKUP($A495,'0.Productos'!$A$3:$GG$587,'0.Productos'!BI$1+1,0),"")</f>
        <v/>
      </c>
      <c r="R495" s="133" t="str">
        <f>IF($A495&lt;&gt;0,VLOOKUP($A495,'0.Productos'!$A$3:$GG$587,'0.Productos'!BJ$1+1,0),"")</f>
        <v/>
      </c>
      <c r="S495" s="133" t="str">
        <f>IF($A495&lt;&gt;0,VLOOKUP($A495,'0.Productos'!$A$3:$GG$587,'0.Productos'!BK$1+1,0),"")</f>
        <v/>
      </c>
      <c r="T495" s="133" t="str">
        <f>IF($A495&lt;&gt;0,VLOOKUP($A495,'0.Productos'!$A$3:$GG$587,'0.Productos'!BL$1+1,0),"")</f>
        <v/>
      </c>
      <c r="U495" s="133" t="str">
        <f>IF($A495&lt;&gt;0,VLOOKUP($A495,'0.Productos'!$A$3:$GG$587,'0.Productos'!BM$1+1,0),"")</f>
        <v/>
      </c>
      <c r="V495" s="133" t="str">
        <f>IF($A495&lt;&gt;0,VLOOKUP($A495,'0.Productos'!$A$3:$GG$587,'0.Productos'!BN$1+1,0),"")</f>
        <v/>
      </c>
      <c r="W495" s="133" t="str">
        <f>IF($A495&lt;&gt;0,VLOOKUP($A495,'0.Productos'!$A$3:$GG$587,'0.Productos'!BO$1+1,0),"")</f>
        <v/>
      </c>
      <c r="X495" s="133" t="str">
        <f>IF($A495&lt;&gt;0,VLOOKUP($A495,'0.Productos'!$A$3:$GG$587,'0.Productos'!BP$1+1,0),"")</f>
        <v/>
      </c>
      <c r="Y495" s="133" t="str">
        <f>IF($A495&lt;&gt;0,VLOOKUP($A495,'0.Productos'!$A$3:$GG$587,'0.Productos'!BQ$1+1,0),"")</f>
        <v/>
      </c>
      <c r="Z495" s="133" t="str">
        <f>IF($A495&lt;&gt;0,VLOOKUP($A495,'0.Productos'!$A$3:$GG$587,'0.Productos'!BR$1+1,0),"")</f>
        <v/>
      </c>
      <c r="AA495" s="133" t="str">
        <f>IF($A495&lt;&gt;0,VLOOKUP($A495,'0.Productos'!$A$3:$GG$587,'0.Productos'!BS$1+1,0),"")</f>
        <v/>
      </c>
      <c r="AB495" s="133" t="str">
        <f>IF($A495&lt;&gt;0,VLOOKUP($A495,'0.Productos'!$A$3:$GG$587,'0.Productos'!BT$1+1,0),"")</f>
        <v/>
      </c>
      <c r="AC495" s="133" t="str">
        <f>IF($A495&lt;&gt;0,VLOOKUP($A495,'0.Productos'!$A$3:$GG$587,'0.Productos'!BU$1+1,0),"")</f>
        <v/>
      </c>
      <c r="AD495" s="133" t="str">
        <f>IF($A495&lt;&gt;0,VLOOKUP($A495,'0.Productos'!$A$3:$GG$587,'0.Productos'!BV$1+1,0),"")</f>
        <v/>
      </c>
      <c r="AE495" s="133" t="str">
        <f>IF($A495&lt;&gt;0,VLOOKUP($A495,'0.Productos'!$A$3:$GG$587,'0.Productos'!BW$1+1,0),"")</f>
        <v/>
      </c>
      <c r="AF495" s="133" t="str">
        <f>IF($A495&lt;&gt;0,VLOOKUP($A495,'0.Productos'!$A$3:$GG$587,'0.Productos'!BX$1+1,0),"")</f>
        <v/>
      </c>
      <c r="AG495" s="133" t="str">
        <f>IF($A495&lt;&gt;0,VLOOKUP($A495,'0.Productos'!$A$3:$GG$587,'0.Productos'!BY$1+1,0),"")</f>
        <v/>
      </c>
      <c r="AH495" s="133" t="str">
        <f>IF($A495&lt;&gt;0,VLOOKUP($A495,'0.Productos'!$A$3:$GG$587,'0.Productos'!BZ$1+1,0),"")</f>
        <v/>
      </c>
      <c r="AI495" s="133" t="str">
        <f>IF($A495&lt;&gt;0,VLOOKUP($A495,'0.Productos'!$A$3:$GG$587,'0.Productos'!CA$1+1,0),"")</f>
        <v/>
      </c>
      <c r="AJ495" s="133" t="str">
        <f>IF($A495&lt;&gt;0,VLOOKUP($A495,'0.Productos'!$A$3:$GG$587,'0.Productos'!CB$1+1,0),"")</f>
        <v/>
      </c>
      <c r="AK495" s="133" t="str">
        <f>IF($A495&lt;&gt;0,VLOOKUP($A495,'0.Productos'!$A$3:$GG$587,'0.Productos'!CC$1+1,0),"")</f>
        <v/>
      </c>
      <c r="AL495" s="133" t="str">
        <f>IF($A495&lt;&gt;0,VLOOKUP($A495,'0.Productos'!$A$3:$GG$587,'0.Productos'!CD$1+1,0),"")</f>
        <v/>
      </c>
      <c r="AM495" s="133" t="str">
        <f>IF($A495&lt;&gt;0,VLOOKUP($A495,'0.Productos'!$A$3:$GG$587,'0.Productos'!CE$1+1,0),"")</f>
        <v/>
      </c>
      <c r="AN495" s="133" t="str">
        <f>IF($A495&lt;&gt;0,VLOOKUP($A495,'0.Productos'!$A$3:$GG$587,'0.Productos'!CF$1+1,0),"")</f>
        <v/>
      </c>
      <c r="AO495" s="133" t="str">
        <f>IF($A495&lt;&gt;0,VLOOKUP($A495,'0.Productos'!$A$3:$GG$587,'0.Productos'!CG$1+1,0),"")</f>
        <v/>
      </c>
      <c r="AP495" s="133" t="str">
        <f>IF($A495&lt;&gt;0,VLOOKUP($A495,'0.Productos'!$A$3:$GG$587,'0.Productos'!CH$1+1,0),"")</f>
        <v/>
      </c>
      <c r="AQ495" s="133" t="str">
        <f>IF($A495&lt;&gt;0,VLOOKUP($A495,'0.Productos'!$A$3:$GG$587,'0.Productos'!CI$1+1,0),"")</f>
        <v/>
      </c>
      <c r="AR495" s="133" t="str">
        <f>IF($A495&lt;&gt;0,VLOOKUP($A495,'0.Productos'!$A$3:$GG$587,'0.Productos'!CJ$1+1,0),"")</f>
        <v/>
      </c>
      <c r="AS495" s="133" t="str">
        <f>IF($A495&lt;&gt;0,VLOOKUP($A495,'0.Productos'!$A$3:$GG$587,'0.Productos'!CK$1+1,0),"")</f>
        <v/>
      </c>
      <c r="AT495" s="133" t="str">
        <f>IF($A495&lt;&gt;0,VLOOKUP($A495,'0.Productos'!$A$3:$GG$587,'0.Productos'!CL$1+1,0),"")</f>
        <v/>
      </c>
      <c r="AU495" s="133" t="str">
        <f>IF($A495&lt;&gt;0,VLOOKUP($A495,'0.Productos'!$A$3:$GG$587,'0.Productos'!CM$1+1,0),"")</f>
        <v/>
      </c>
      <c r="AV495" s="133" t="str">
        <f>IF($A495&lt;&gt;0,VLOOKUP($A495,'0.Productos'!$A$3:$GG$587,'0.Productos'!CN$1+1,0),"")</f>
        <v/>
      </c>
      <c r="AW495" s="133" t="str">
        <f>IF($A495&lt;&gt;0,VLOOKUP($A495,'0.Productos'!$A$3:$GG$587,'0.Productos'!CO$1+1,0),"")</f>
        <v/>
      </c>
      <c r="AX495" s="133" t="str">
        <f>IF($A495&lt;&gt;0,VLOOKUP($A495,'0.Productos'!$A$3:$GG$587,'0.Productos'!CP$1+1,0),"")</f>
        <v/>
      </c>
      <c r="AY495" s="133" t="str">
        <f>IF($A495&lt;&gt;0,VLOOKUP($A495,'0.Productos'!$A$3:$GG$587,'0.Productos'!CQ$1+1,0),"")</f>
        <v/>
      </c>
      <c r="AZ495" s="133" t="str">
        <f>IF($A495&lt;&gt;0,VLOOKUP($A495,'0.Productos'!$A$3:$GG$587,'0.Productos'!CR$1+1,0),"")</f>
        <v/>
      </c>
      <c r="BA495" s="133" t="str">
        <f>IF($A495&lt;&gt;0,VLOOKUP($A495,'0.Productos'!$A$3:$GG$587,'0.Productos'!CS$1+1,0),"")</f>
        <v/>
      </c>
      <c r="BB495" s="133" t="str">
        <f>IF($A495&lt;&gt;0,VLOOKUP($A495,'0.Productos'!$A$3:$GG$587,'0.Productos'!CT$1+1,0),"")</f>
        <v/>
      </c>
      <c r="BC495" s="133" t="str">
        <f>IF($A495&lt;&gt;0,VLOOKUP($A495,'0.Productos'!$A$3:$GG$587,'0.Productos'!CU$1+1,0),"")</f>
        <v/>
      </c>
      <c r="BD495" s="133" t="str">
        <f>IF($A495&lt;&gt;0,VLOOKUP($A495,'0.Productos'!$A$3:$GG$587,'0.Productos'!CV$1+1,0),"")</f>
        <v/>
      </c>
      <c r="BE495" s="133" t="str">
        <f>IF($A495&lt;&gt;0,VLOOKUP($A495,'0.Productos'!$A$3:$GG$587,'0.Productos'!CW$1+1,0),"")</f>
        <v/>
      </c>
      <c r="BF495" s="133" t="str">
        <f>IF($A495&lt;&gt;0,VLOOKUP($A495,'0.Productos'!$A$3:$GG$587,'0.Productos'!CX$1+1,0),"")</f>
        <v/>
      </c>
      <c r="BG495" s="133" t="str">
        <f>IF($A495&lt;&gt;0,VLOOKUP($A495,'0.Productos'!$A$3:$GG$587,'0.Productos'!CY$1+1,0),"")</f>
        <v/>
      </c>
      <c r="BH495" s="133" t="str">
        <f>IF($A495&lt;&gt;0,VLOOKUP($A495,'0.Productos'!$A$3:$GG$587,'0.Productos'!CZ$1+1,0),"")</f>
        <v/>
      </c>
      <c r="BI495" s="133" t="str">
        <f>IF($A495&lt;&gt;0,VLOOKUP($A495,'0.Productos'!$A$3:$GG$587,'0.Productos'!DA$1+1,0),"")</f>
        <v/>
      </c>
      <c r="BJ495" s="133" t="str">
        <f>IF($A495&lt;&gt;0,VLOOKUP($A495,'0.Productos'!$A$3:$GG$587,'0.Productos'!DB$1+1,0),"")</f>
        <v/>
      </c>
      <c r="BK495" s="133" t="str">
        <f>IF($A495&lt;&gt;0,VLOOKUP($A495,'0.Productos'!$A$3:$GG$587,'0.Productos'!DC$1+1,0),"")</f>
        <v/>
      </c>
      <c r="BL495" s="133" t="str">
        <f>IF($A495&lt;&gt;0,VLOOKUP($A495,'0.Productos'!$A$3:$GG$587,'0.Productos'!DD$1+1,0),"")</f>
        <v/>
      </c>
      <c r="BM495" s="133" t="str">
        <f>IF($A495&lt;&gt;0,VLOOKUP($A495,'0.Productos'!$A$3:$GG$587,'0.Productos'!DE$1+1,0),"")</f>
        <v/>
      </c>
      <c r="BN495" s="133" t="str">
        <f>IF($A495&lt;&gt;0,VLOOKUP($A495,'0.Productos'!$A$3:$GG$587,'0.Productos'!DF$1+1,0),"")</f>
        <v/>
      </c>
      <c r="BO495" s="133" t="str">
        <f>IF($A495&lt;&gt;0,VLOOKUP($A495,'0.Productos'!$A$3:$GG$587,'0.Productos'!DG$1+1,0),"")</f>
        <v/>
      </c>
      <c r="BP495" s="133" t="str">
        <f>IF($A495&lt;&gt;0,VLOOKUP($A495,'0.Productos'!$A$3:$GG$587,'0.Productos'!DH$1+1,0),"")</f>
        <v/>
      </c>
      <c r="BQ495" s="133" t="str">
        <f>IF($A495&lt;&gt;0,VLOOKUP($A495,'0.Productos'!$A$3:$GG$587,'0.Productos'!DI$1+1,0),"")</f>
        <v/>
      </c>
      <c r="BR495" s="133" t="str">
        <f>IF($A495&lt;&gt;0,VLOOKUP($A495,'0.Productos'!$A$3:$GG$587,'0.Productos'!DJ$1+1,0),"")</f>
        <v/>
      </c>
      <c r="BS495" s="133" t="str">
        <f>IF($A495&lt;&gt;0,VLOOKUP($A495,'0.Productos'!$A$3:$GG$587,'0.Productos'!DK$1+1,0),"")</f>
        <v/>
      </c>
      <c r="BT495" s="133" t="str">
        <f>IF($A495&lt;&gt;0,VLOOKUP($A495,'0.Productos'!$A$3:$GG$587,'0.Productos'!DL$1+1,0),"")</f>
        <v/>
      </c>
    </row>
    <row r="496" spans="1:72" x14ac:dyDescent="0.25">
      <c r="A496" s="17">
        <f>'0.Consolidado general'!A496</f>
        <v>0</v>
      </c>
      <c r="B496" s="133" t="str">
        <f>IF($A496&lt;&gt;0,VLOOKUP($A496,'0.Productos'!$A$3:$GG$587,'0.Productos'!AT$1+1,0),"")</f>
        <v/>
      </c>
      <c r="C496" s="133" t="str">
        <f>IF($A496&lt;&gt;0,VLOOKUP($A496,'0.Productos'!$A$3:$GG$587,'0.Productos'!AU$1+1,0),"")</f>
        <v/>
      </c>
      <c r="D496" s="133" t="str">
        <f>IF($A496&lt;&gt;0,VLOOKUP($A496,'0.Productos'!$A$3:$GG$587,'0.Productos'!AV$1+1,0),"")</f>
        <v/>
      </c>
      <c r="E496" s="133" t="str">
        <f>IF($A496&lt;&gt;0,VLOOKUP($A496,'0.Productos'!$A$3:$GG$587,'0.Productos'!AW$1+1,0),"")</f>
        <v/>
      </c>
      <c r="F496" s="133" t="str">
        <f>IF($A496&lt;&gt;0,VLOOKUP($A496,'0.Productos'!$A$3:$GG$587,'0.Productos'!AX$1+1,0),"")</f>
        <v/>
      </c>
      <c r="G496" s="133" t="str">
        <f>IF($A496&lt;&gt;0,VLOOKUP($A496,'0.Productos'!$A$3:$GG$587,'0.Productos'!AY$1+1,0),"")</f>
        <v/>
      </c>
      <c r="H496" s="133" t="str">
        <f>IF($A496&lt;&gt;0,VLOOKUP($A496,'0.Productos'!$A$3:$GG$587,'0.Productos'!AZ$1+1,0),"")</f>
        <v/>
      </c>
      <c r="I496" s="133" t="str">
        <f>IF($A496&lt;&gt;0,VLOOKUP($A496,'0.Productos'!$A$3:$GG$587,'0.Productos'!BA$1+1,0),"")</f>
        <v/>
      </c>
      <c r="J496" s="133" t="str">
        <f>IF($A496&lt;&gt;0,VLOOKUP($A496,'0.Productos'!$A$3:$GG$587,'0.Productos'!BB$1+1,0),"")</f>
        <v/>
      </c>
      <c r="K496" s="133" t="str">
        <f>IF($A496&lt;&gt;0,VLOOKUP($A496,'0.Productos'!$A$3:$GG$587,'0.Productos'!BC$1+1,0),"")</f>
        <v/>
      </c>
      <c r="L496" s="133" t="str">
        <f>IF($A496&lt;&gt;0,VLOOKUP($A496,'0.Productos'!$A$3:$GG$587,'0.Productos'!BD$1+1,0),"")</f>
        <v/>
      </c>
      <c r="M496" s="133" t="str">
        <f>IF($A496&lt;&gt;0,VLOOKUP($A496,'0.Productos'!$A$3:$GG$587,'0.Productos'!BE$1+1,0),"")</f>
        <v/>
      </c>
      <c r="N496" s="133" t="str">
        <f>IF($A496&lt;&gt;0,VLOOKUP($A496,'0.Productos'!$A$3:$GG$587,'0.Productos'!BF$1+1,0),"")</f>
        <v/>
      </c>
      <c r="O496" s="133" t="str">
        <f>IF($A496&lt;&gt;0,VLOOKUP($A496,'0.Productos'!$A$3:$GG$587,'0.Productos'!BG$1+1,0),"")</f>
        <v/>
      </c>
      <c r="P496" s="133" t="str">
        <f>IF($A496&lt;&gt;0,VLOOKUP($A496,'0.Productos'!$A$3:$GG$587,'0.Productos'!BH$1+1,0),"")</f>
        <v/>
      </c>
      <c r="Q496" s="133" t="str">
        <f>IF($A496&lt;&gt;0,VLOOKUP($A496,'0.Productos'!$A$3:$GG$587,'0.Productos'!BI$1+1,0),"")</f>
        <v/>
      </c>
      <c r="R496" s="133" t="str">
        <f>IF($A496&lt;&gt;0,VLOOKUP($A496,'0.Productos'!$A$3:$GG$587,'0.Productos'!BJ$1+1,0),"")</f>
        <v/>
      </c>
      <c r="S496" s="133" t="str">
        <f>IF($A496&lt;&gt;0,VLOOKUP($A496,'0.Productos'!$A$3:$GG$587,'0.Productos'!BK$1+1,0),"")</f>
        <v/>
      </c>
      <c r="T496" s="133" t="str">
        <f>IF($A496&lt;&gt;0,VLOOKUP($A496,'0.Productos'!$A$3:$GG$587,'0.Productos'!BL$1+1,0),"")</f>
        <v/>
      </c>
      <c r="U496" s="133" t="str">
        <f>IF($A496&lt;&gt;0,VLOOKUP($A496,'0.Productos'!$A$3:$GG$587,'0.Productos'!BM$1+1,0),"")</f>
        <v/>
      </c>
      <c r="V496" s="133" t="str">
        <f>IF($A496&lt;&gt;0,VLOOKUP($A496,'0.Productos'!$A$3:$GG$587,'0.Productos'!BN$1+1,0),"")</f>
        <v/>
      </c>
      <c r="W496" s="133" t="str">
        <f>IF($A496&lt;&gt;0,VLOOKUP($A496,'0.Productos'!$A$3:$GG$587,'0.Productos'!BO$1+1,0),"")</f>
        <v/>
      </c>
      <c r="X496" s="133" t="str">
        <f>IF($A496&lt;&gt;0,VLOOKUP($A496,'0.Productos'!$A$3:$GG$587,'0.Productos'!BP$1+1,0),"")</f>
        <v/>
      </c>
      <c r="Y496" s="133" t="str">
        <f>IF($A496&lt;&gt;0,VLOOKUP($A496,'0.Productos'!$A$3:$GG$587,'0.Productos'!BQ$1+1,0),"")</f>
        <v/>
      </c>
      <c r="Z496" s="133" t="str">
        <f>IF($A496&lt;&gt;0,VLOOKUP($A496,'0.Productos'!$A$3:$GG$587,'0.Productos'!BR$1+1,0),"")</f>
        <v/>
      </c>
      <c r="AA496" s="133" t="str">
        <f>IF($A496&lt;&gt;0,VLOOKUP($A496,'0.Productos'!$A$3:$GG$587,'0.Productos'!BS$1+1,0),"")</f>
        <v/>
      </c>
      <c r="AB496" s="133" t="str">
        <f>IF($A496&lt;&gt;0,VLOOKUP($A496,'0.Productos'!$A$3:$GG$587,'0.Productos'!BT$1+1,0),"")</f>
        <v/>
      </c>
      <c r="AC496" s="133" t="str">
        <f>IF($A496&lt;&gt;0,VLOOKUP($A496,'0.Productos'!$A$3:$GG$587,'0.Productos'!BU$1+1,0),"")</f>
        <v/>
      </c>
      <c r="AD496" s="133" t="str">
        <f>IF($A496&lt;&gt;0,VLOOKUP($A496,'0.Productos'!$A$3:$GG$587,'0.Productos'!BV$1+1,0),"")</f>
        <v/>
      </c>
      <c r="AE496" s="133" t="str">
        <f>IF($A496&lt;&gt;0,VLOOKUP($A496,'0.Productos'!$A$3:$GG$587,'0.Productos'!BW$1+1,0),"")</f>
        <v/>
      </c>
      <c r="AF496" s="133" t="str">
        <f>IF($A496&lt;&gt;0,VLOOKUP($A496,'0.Productos'!$A$3:$GG$587,'0.Productos'!BX$1+1,0),"")</f>
        <v/>
      </c>
      <c r="AG496" s="133" t="str">
        <f>IF($A496&lt;&gt;0,VLOOKUP($A496,'0.Productos'!$A$3:$GG$587,'0.Productos'!BY$1+1,0),"")</f>
        <v/>
      </c>
      <c r="AH496" s="133" t="str">
        <f>IF($A496&lt;&gt;0,VLOOKUP($A496,'0.Productos'!$A$3:$GG$587,'0.Productos'!BZ$1+1,0),"")</f>
        <v/>
      </c>
      <c r="AI496" s="133" t="str">
        <f>IF($A496&lt;&gt;0,VLOOKUP($A496,'0.Productos'!$A$3:$GG$587,'0.Productos'!CA$1+1,0),"")</f>
        <v/>
      </c>
      <c r="AJ496" s="133" t="str">
        <f>IF($A496&lt;&gt;0,VLOOKUP($A496,'0.Productos'!$A$3:$GG$587,'0.Productos'!CB$1+1,0),"")</f>
        <v/>
      </c>
      <c r="AK496" s="133" t="str">
        <f>IF($A496&lt;&gt;0,VLOOKUP($A496,'0.Productos'!$A$3:$GG$587,'0.Productos'!CC$1+1,0),"")</f>
        <v/>
      </c>
      <c r="AL496" s="133" t="str">
        <f>IF($A496&lt;&gt;0,VLOOKUP($A496,'0.Productos'!$A$3:$GG$587,'0.Productos'!CD$1+1,0),"")</f>
        <v/>
      </c>
      <c r="AM496" s="133" t="str">
        <f>IF($A496&lt;&gt;0,VLOOKUP($A496,'0.Productos'!$A$3:$GG$587,'0.Productos'!CE$1+1,0),"")</f>
        <v/>
      </c>
      <c r="AN496" s="133" t="str">
        <f>IF($A496&lt;&gt;0,VLOOKUP($A496,'0.Productos'!$A$3:$GG$587,'0.Productos'!CF$1+1,0),"")</f>
        <v/>
      </c>
      <c r="AO496" s="133" t="str">
        <f>IF($A496&lt;&gt;0,VLOOKUP($A496,'0.Productos'!$A$3:$GG$587,'0.Productos'!CG$1+1,0),"")</f>
        <v/>
      </c>
      <c r="AP496" s="133" t="str">
        <f>IF($A496&lt;&gt;0,VLOOKUP($A496,'0.Productos'!$A$3:$GG$587,'0.Productos'!CH$1+1,0),"")</f>
        <v/>
      </c>
      <c r="AQ496" s="133" t="str">
        <f>IF($A496&lt;&gt;0,VLOOKUP($A496,'0.Productos'!$A$3:$GG$587,'0.Productos'!CI$1+1,0),"")</f>
        <v/>
      </c>
      <c r="AR496" s="133" t="str">
        <f>IF($A496&lt;&gt;0,VLOOKUP($A496,'0.Productos'!$A$3:$GG$587,'0.Productos'!CJ$1+1,0),"")</f>
        <v/>
      </c>
      <c r="AS496" s="133" t="str">
        <f>IF($A496&lt;&gt;0,VLOOKUP($A496,'0.Productos'!$A$3:$GG$587,'0.Productos'!CK$1+1,0),"")</f>
        <v/>
      </c>
      <c r="AT496" s="133" t="str">
        <f>IF($A496&lt;&gt;0,VLOOKUP($A496,'0.Productos'!$A$3:$GG$587,'0.Productos'!CL$1+1,0),"")</f>
        <v/>
      </c>
      <c r="AU496" s="133" t="str">
        <f>IF($A496&lt;&gt;0,VLOOKUP($A496,'0.Productos'!$A$3:$GG$587,'0.Productos'!CM$1+1,0),"")</f>
        <v/>
      </c>
      <c r="AV496" s="133" t="str">
        <f>IF($A496&lt;&gt;0,VLOOKUP($A496,'0.Productos'!$A$3:$GG$587,'0.Productos'!CN$1+1,0),"")</f>
        <v/>
      </c>
      <c r="AW496" s="133" t="str">
        <f>IF($A496&lt;&gt;0,VLOOKUP($A496,'0.Productos'!$A$3:$GG$587,'0.Productos'!CO$1+1,0),"")</f>
        <v/>
      </c>
      <c r="AX496" s="133" t="str">
        <f>IF($A496&lt;&gt;0,VLOOKUP($A496,'0.Productos'!$A$3:$GG$587,'0.Productos'!CP$1+1,0),"")</f>
        <v/>
      </c>
      <c r="AY496" s="133" t="str">
        <f>IF($A496&lt;&gt;0,VLOOKUP($A496,'0.Productos'!$A$3:$GG$587,'0.Productos'!CQ$1+1,0),"")</f>
        <v/>
      </c>
      <c r="AZ496" s="133" t="str">
        <f>IF($A496&lt;&gt;0,VLOOKUP($A496,'0.Productos'!$A$3:$GG$587,'0.Productos'!CR$1+1,0),"")</f>
        <v/>
      </c>
      <c r="BA496" s="133" t="str">
        <f>IF($A496&lt;&gt;0,VLOOKUP($A496,'0.Productos'!$A$3:$GG$587,'0.Productos'!CS$1+1,0),"")</f>
        <v/>
      </c>
      <c r="BB496" s="133" t="str">
        <f>IF($A496&lt;&gt;0,VLOOKUP($A496,'0.Productos'!$A$3:$GG$587,'0.Productos'!CT$1+1,0),"")</f>
        <v/>
      </c>
      <c r="BC496" s="133" t="str">
        <f>IF($A496&lt;&gt;0,VLOOKUP($A496,'0.Productos'!$A$3:$GG$587,'0.Productos'!CU$1+1,0),"")</f>
        <v/>
      </c>
      <c r="BD496" s="133" t="str">
        <f>IF($A496&lt;&gt;0,VLOOKUP($A496,'0.Productos'!$A$3:$GG$587,'0.Productos'!CV$1+1,0),"")</f>
        <v/>
      </c>
      <c r="BE496" s="133" t="str">
        <f>IF($A496&lt;&gt;0,VLOOKUP($A496,'0.Productos'!$A$3:$GG$587,'0.Productos'!CW$1+1,0),"")</f>
        <v/>
      </c>
      <c r="BF496" s="133" t="str">
        <f>IF($A496&lt;&gt;0,VLOOKUP($A496,'0.Productos'!$A$3:$GG$587,'0.Productos'!CX$1+1,0),"")</f>
        <v/>
      </c>
      <c r="BG496" s="133" t="str">
        <f>IF($A496&lt;&gt;0,VLOOKUP($A496,'0.Productos'!$A$3:$GG$587,'0.Productos'!CY$1+1,0),"")</f>
        <v/>
      </c>
      <c r="BH496" s="133" t="str">
        <f>IF($A496&lt;&gt;0,VLOOKUP($A496,'0.Productos'!$A$3:$GG$587,'0.Productos'!CZ$1+1,0),"")</f>
        <v/>
      </c>
      <c r="BI496" s="133" t="str">
        <f>IF($A496&lt;&gt;0,VLOOKUP($A496,'0.Productos'!$A$3:$GG$587,'0.Productos'!DA$1+1,0),"")</f>
        <v/>
      </c>
      <c r="BJ496" s="133" t="str">
        <f>IF($A496&lt;&gt;0,VLOOKUP($A496,'0.Productos'!$A$3:$GG$587,'0.Productos'!DB$1+1,0),"")</f>
        <v/>
      </c>
      <c r="BK496" s="133" t="str">
        <f>IF($A496&lt;&gt;0,VLOOKUP($A496,'0.Productos'!$A$3:$GG$587,'0.Productos'!DC$1+1,0),"")</f>
        <v/>
      </c>
      <c r="BL496" s="133" t="str">
        <f>IF($A496&lt;&gt;0,VLOOKUP($A496,'0.Productos'!$A$3:$GG$587,'0.Productos'!DD$1+1,0),"")</f>
        <v/>
      </c>
      <c r="BM496" s="133" t="str">
        <f>IF($A496&lt;&gt;0,VLOOKUP($A496,'0.Productos'!$A$3:$GG$587,'0.Productos'!DE$1+1,0),"")</f>
        <v/>
      </c>
      <c r="BN496" s="133" t="str">
        <f>IF($A496&lt;&gt;0,VLOOKUP($A496,'0.Productos'!$A$3:$GG$587,'0.Productos'!DF$1+1,0),"")</f>
        <v/>
      </c>
      <c r="BO496" s="133" t="str">
        <f>IF($A496&lt;&gt;0,VLOOKUP($A496,'0.Productos'!$A$3:$GG$587,'0.Productos'!DG$1+1,0),"")</f>
        <v/>
      </c>
      <c r="BP496" s="133" t="str">
        <f>IF($A496&lt;&gt;0,VLOOKUP($A496,'0.Productos'!$A$3:$GG$587,'0.Productos'!DH$1+1,0),"")</f>
        <v/>
      </c>
      <c r="BQ496" s="133" t="str">
        <f>IF($A496&lt;&gt;0,VLOOKUP($A496,'0.Productos'!$A$3:$GG$587,'0.Productos'!DI$1+1,0),"")</f>
        <v/>
      </c>
      <c r="BR496" s="133" t="str">
        <f>IF($A496&lt;&gt;0,VLOOKUP($A496,'0.Productos'!$A$3:$GG$587,'0.Productos'!DJ$1+1,0),"")</f>
        <v/>
      </c>
      <c r="BS496" s="133" t="str">
        <f>IF($A496&lt;&gt;0,VLOOKUP($A496,'0.Productos'!$A$3:$GG$587,'0.Productos'!DK$1+1,0),"")</f>
        <v/>
      </c>
      <c r="BT496" s="133" t="str">
        <f>IF($A496&lt;&gt;0,VLOOKUP($A496,'0.Productos'!$A$3:$GG$587,'0.Productos'!DL$1+1,0),"")</f>
        <v/>
      </c>
    </row>
    <row r="497" spans="1:72" x14ac:dyDescent="0.25">
      <c r="A497" s="17">
        <f>'0.Consolidado general'!A497</f>
        <v>0</v>
      </c>
      <c r="B497" s="133" t="str">
        <f>IF($A497&lt;&gt;0,VLOOKUP($A497,'0.Productos'!$A$3:$GG$587,'0.Productos'!AT$1+1,0),"")</f>
        <v/>
      </c>
      <c r="C497" s="133" t="str">
        <f>IF($A497&lt;&gt;0,VLOOKUP($A497,'0.Productos'!$A$3:$GG$587,'0.Productos'!AU$1+1,0),"")</f>
        <v/>
      </c>
      <c r="D497" s="133" t="str">
        <f>IF($A497&lt;&gt;0,VLOOKUP($A497,'0.Productos'!$A$3:$GG$587,'0.Productos'!AV$1+1,0),"")</f>
        <v/>
      </c>
      <c r="E497" s="133" t="str">
        <f>IF($A497&lt;&gt;0,VLOOKUP($A497,'0.Productos'!$A$3:$GG$587,'0.Productos'!AW$1+1,0),"")</f>
        <v/>
      </c>
      <c r="F497" s="133" t="str">
        <f>IF($A497&lt;&gt;0,VLOOKUP($A497,'0.Productos'!$A$3:$GG$587,'0.Productos'!AX$1+1,0),"")</f>
        <v/>
      </c>
      <c r="G497" s="133" t="str">
        <f>IF($A497&lt;&gt;0,VLOOKUP($A497,'0.Productos'!$A$3:$GG$587,'0.Productos'!AY$1+1,0),"")</f>
        <v/>
      </c>
      <c r="H497" s="133" t="str">
        <f>IF($A497&lt;&gt;0,VLOOKUP($A497,'0.Productos'!$A$3:$GG$587,'0.Productos'!AZ$1+1,0),"")</f>
        <v/>
      </c>
      <c r="I497" s="133" t="str">
        <f>IF($A497&lt;&gt;0,VLOOKUP($A497,'0.Productos'!$A$3:$GG$587,'0.Productos'!BA$1+1,0),"")</f>
        <v/>
      </c>
      <c r="J497" s="133" t="str">
        <f>IF($A497&lt;&gt;0,VLOOKUP($A497,'0.Productos'!$A$3:$GG$587,'0.Productos'!BB$1+1,0),"")</f>
        <v/>
      </c>
      <c r="K497" s="133" t="str">
        <f>IF($A497&lt;&gt;0,VLOOKUP($A497,'0.Productos'!$A$3:$GG$587,'0.Productos'!BC$1+1,0),"")</f>
        <v/>
      </c>
      <c r="L497" s="133" t="str">
        <f>IF($A497&lt;&gt;0,VLOOKUP($A497,'0.Productos'!$A$3:$GG$587,'0.Productos'!BD$1+1,0),"")</f>
        <v/>
      </c>
      <c r="M497" s="133" t="str">
        <f>IF($A497&lt;&gt;0,VLOOKUP($A497,'0.Productos'!$A$3:$GG$587,'0.Productos'!BE$1+1,0),"")</f>
        <v/>
      </c>
      <c r="N497" s="133" t="str">
        <f>IF($A497&lt;&gt;0,VLOOKUP($A497,'0.Productos'!$A$3:$GG$587,'0.Productos'!BF$1+1,0),"")</f>
        <v/>
      </c>
      <c r="O497" s="133" t="str">
        <f>IF($A497&lt;&gt;0,VLOOKUP($A497,'0.Productos'!$A$3:$GG$587,'0.Productos'!BG$1+1,0),"")</f>
        <v/>
      </c>
      <c r="P497" s="133" t="str">
        <f>IF($A497&lt;&gt;0,VLOOKUP($A497,'0.Productos'!$A$3:$GG$587,'0.Productos'!BH$1+1,0),"")</f>
        <v/>
      </c>
      <c r="Q497" s="133" t="str">
        <f>IF($A497&lt;&gt;0,VLOOKUP($A497,'0.Productos'!$A$3:$GG$587,'0.Productos'!BI$1+1,0),"")</f>
        <v/>
      </c>
      <c r="R497" s="133" t="str">
        <f>IF($A497&lt;&gt;0,VLOOKUP($A497,'0.Productos'!$A$3:$GG$587,'0.Productos'!BJ$1+1,0),"")</f>
        <v/>
      </c>
      <c r="S497" s="133" t="str">
        <f>IF($A497&lt;&gt;0,VLOOKUP($A497,'0.Productos'!$A$3:$GG$587,'0.Productos'!BK$1+1,0),"")</f>
        <v/>
      </c>
      <c r="T497" s="133" t="str">
        <f>IF($A497&lt;&gt;0,VLOOKUP($A497,'0.Productos'!$A$3:$GG$587,'0.Productos'!BL$1+1,0),"")</f>
        <v/>
      </c>
      <c r="U497" s="133" t="str">
        <f>IF($A497&lt;&gt;0,VLOOKUP($A497,'0.Productos'!$A$3:$GG$587,'0.Productos'!BM$1+1,0),"")</f>
        <v/>
      </c>
      <c r="V497" s="133" t="str">
        <f>IF($A497&lt;&gt;0,VLOOKUP($A497,'0.Productos'!$A$3:$GG$587,'0.Productos'!BN$1+1,0),"")</f>
        <v/>
      </c>
      <c r="W497" s="133" t="str">
        <f>IF($A497&lt;&gt;0,VLOOKUP($A497,'0.Productos'!$A$3:$GG$587,'0.Productos'!BO$1+1,0),"")</f>
        <v/>
      </c>
      <c r="X497" s="133" t="str">
        <f>IF($A497&lt;&gt;0,VLOOKUP($A497,'0.Productos'!$A$3:$GG$587,'0.Productos'!BP$1+1,0),"")</f>
        <v/>
      </c>
      <c r="Y497" s="133" t="str">
        <f>IF($A497&lt;&gt;0,VLOOKUP($A497,'0.Productos'!$A$3:$GG$587,'0.Productos'!BQ$1+1,0),"")</f>
        <v/>
      </c>
      <c r="Z497" s="133" t="str">
        <f>IF($A497&lt;&gt;0,VLOOKUP($A497,'0.Productos'!$A$3:$GG$587,'0.Productos'!BR$1+1,0),"")</f>
        <v/>
      </c>
      <c r="AA497" s="133" t="str">
        <f>IF($A497&lt;&gt;0,VLOOKUP($A497,'0.Productos'!$A$3:$GG$587,'0.Productos'!BS$1+1,0),"")</f>
        <v/>
      </c>
      <c r="AB497" s="133" t="str">
        <f>IF($A497&lt;&gt;0,VLOOKUP($A497,'0.Productos'!$A$3:$GG$587,'0.Productos'!BT$1+1,0),"")</f>
        <v/>
      </c>
      <c r="AC497" s="133" t="str">
        <f>IF($A497&lt;&gt;0,VLOOKUP($A497,'0.Productos'!$A$3:$GG$587,'0.Productos'!BU$1+1,0),"")</f>
        <v/>
      </c>
      <c r="AD497" s="133" t="str">
        <f>IF($A497&lt;&gt;0,VLOOKUP($A497,'0.Productos'!$A$3:$GG$587,'0.Productos'!BV$1+1,0),"")</f>
        <v/>
      </c>
      <c r="AE497" s="133" t="str">
        <f>IF($A497&lt;&gt;0,VLOOKUP($A497,'0.Productos'!$A$3:$GG$587,'0.Productos'!BW$1+1,0),"")</f>
        <v/>
      </c>
      <c r="AF497" s="133" t="str">
        <f>IF($A497&lt;&gt;0,VLOOKUP($A497,'0.Productos'!$A$3:$GG$587,'0.Productos'!BX$1+1,0),"")</f>
        <v/>
      </c>
      <c r="AG497" s="133" t="str">
        <f>IF($A497&lt;&gt;0,VLOOKUP($A497,'0.Productos'!$A$3:$GG$587,'0.Productos'!BY$1+1,0),"")</f>
        <v/>
      </c>
      <c r="AH497" s="133" t="str">
        <f>IF($A497&lt;&gt;0,VLOOKUP($A497,'0.Productos'!$A$3:$GG$587,'0.Productos'!BZ$1+1,0),"")</f>
        <v/>
      </c>
      <c r="AI497" s="133" t="str">
        <f>IF($A497&lt;&gt;0,VLOOKUP($A497,'0.Productos'!$A$3:$GG$587,'0.Productos'!CA$1+1,0),"")</f>
        <v/>
      </c>
      <c r="AJ497" s="133" t="str">
        <f>IF($A497&lt;&gt;0,VLOOKUP($A497,'0.Productos'!$A$3:$GG$587,'0.Productos'!CB$1+1,0),"")</f>
        <v/>
      </c>
      <c r="AK497" s="133" t="str">
        <f>IF($A497&lt;&gt;0,VLOOKUP($A497,'0.Productos'!$A$3:$GG$587,'0.Productos'!CC$1+1,0),"")</f>
        <v/>
      </c>
      <c r="AL497" s="133" t="str">
        <f>IF($A497&lt;&gt;0,VLOOKUP($A497,'0.Productos'!$A$3:$GG$587,'0.Productos'!CD$1+1,0),"")</f>
        <v/>
      </c>
      <c r="AM497" s="133" t="str">
        <f>IF($A497&lt;&gt;0,VLOOKUP($A497,'0.Productos'!$A$3:$GG$587,'0.Productos'!CE$1+1,0),"")</f>
        <v/>
      </c>
      <c r="AN497" s="133" t="str">
        <f>IF($A497&lt;&gt;0,VLOOKUP($A497,'0.Productos'!$A$3:$GG$587,'0.Productos'!CF$1+1,0),"")</f>
        <v/>
      </c>
      <c r="AO497" s="133" t="str">
        <f>IF($A497&lt;&gt;0,VLOOKUP($A497,'0.Productos'!$A$3:$GG$587,'0.Productos'!CG$1+1,0),"")</f>
        <v/>
      </c>
      <c r="AP497" s="133" t="str">
        <f>IF($A497&lt;&gt;0,VLOOKUP($A497,'0.Productos'!$A$3:$GG$587,'0.Productos'!CH$1+1,0),"")</f>
        <v/>
      </c>
      <c r="AQ497" s="133" t="str">
        <f>IF($A497&lt;&gt;0,VLOOKUP($A497,'0.Productos'!$A$3:$GG$587,'0.Productos'!CI$1+1,0),"")</f>
        <v/>
      </c>
      <c r="AR497" s="133" t="str">
        <f>IF($A497&lt;&gt;0,VLOOKUP($A497,'0.Productos'!$A$3:$GG$587,'0.Productos'!CJ$1+1,0),"")</f>
        <v/>
      </c>
      <c r="AS497" s="133" t="str">
        <f>IF($A497&lt;&gt;0,VLOOKUP($A497,'0.Productos'!$A$3:$GG$587,'0.Productos'!CK$1+1,0),"")</f>
        <v/>
      </c>
      <c r="AT497" s="133" t="str">
        <f>IF($A497&lt;&gt;0,VLOOKUP($A497,'0.Productos'!$A$3:$GG$587,'0.Productos'!CL$1+1,0),"")</f>
        <v/>
      </c>
      <c r="AU497" s="133" t="str">
        <f>IF($A497&lt;&gt;0,VLOOKUP($A497,'0.Productos'!$A$3:$GG$587,'0.Productos'!CM$1+1,0),"")</f>
        <v/>
      </c>
      <c r="AV497" s="133" t="str">
        <f>IF($A497&lt;&gt;0,VLOOKUP($A497,'0.Productos'!$A$3:$GG$587,'0.Productos'!CN$1+1,0),"")</f>
        <v/>
      </c>
      <c r="AW497" s="133" t="str">
        <f>IF($A497&lt;&gt;0,VLOOKUP($A497,'0.Productos'!$A$3:$GG$587,'0.Productos'!CO$1+1,0),"")</f>
        <v/>
      </c>
      <c r="AX497" s="133" t="str">
        <f>IF($A497&lt;&gt;0,VLOOKUP($A497,'0.Productos'!$A$3:$GG$587,'0.Productos'!CP$1+1,0),"")</f>
        <v/>
      </c>
      <c r="AY497" s="133" t="str">
        <f>IF($A497&lt;&gt;0,VLOOKUP($A497,'0.Productos'!$A$3:$GG$587,'0.Productos'!CQ$1+1,0),"")</f>
        <v/>
      </c>
      <c r="AZ497" s="133" t="str">
        <f>IF($A497&lt;&gt;0,VLOOKUP($A497,'0.Productos'!$A$3:$GG$587,'0.Productos'!CR$1+1,0),"")</f>
        <v/>
      </c>
      <c r="BA497" s="133" t="str">
        <f>IF($A497&lt;&gt;0,VLOOKUP($A497,'0.Productos'!$A$3:$GG$587,'0.Productos'!CS$1+1,0),"")</f>
        <v/>
      </c>
      <c r="BB497" s="133" t="str">
        <f>IF($A497&lt;&gt;0,VLOOKUP($A497,'0.Productos'!$A$3:$GG$587,'0.Productos'!CT$1+1,0),"")</f>
        <v/>
      </c>
      <c r="BC497" s="133" t="str">
        <f>IF($A497&lt;&gt;0,VLOOKUP($A497,'0.Productos'!$A$3:$GG$587,'0.Productos'!CU$1+1,0),"")</f>
        <v/>
      </c>
      <c r="BD497" s="133" t="str">
        <f>IF($A497&lt;&gt;0,VLOOKUP($A497,'0.Productos'!$A$3:$GG$587,'0.Productos'!CV$1+1,0),"")</f>
        <v/>
      </c>
      <c r="BE497" s="133" t="str">
        <f>IF($A497&lt;&gt;0,VLOOKUP($A497,'0.Productos'!$A$3:$GG$587,'0.Productos'!CW$1+1,0),"")</f>
        <v/>
      </c>
      <c r="BF497" s="133" t="str">
        <f>IF($A497&lt;&gt;0,VLOOKUP($A497,'0.Productos'!$A$3:$GG$587,'0.Productos'!CX$1+1,0),"")</f>
        <v/>
      </c>
      <c r="BG497" s="133" t="str">
        <f>IF($A497&lt;&gt;0,VLOOKUP($A497,'0.Productos'!$A$3:$GG$587,'0.Productos'!CY$1+1,0),"")</f>
        <v/>
      </c>
      <c r="BH497" s="133" t="str">
        <f>IF($A497&lt;&gt;0,VLOOKUP($A497,'0.Productos'!$A$3:$GG$587,'0.Productos'!CZ$1+1,0),"")</f>
        <v/>
      </c>
      <c r="BI497" s="133" t="str">
        <f>IF($A497&lt;&gt;0,VLOOKUP($A497,'0.Productos'!$A$3:$GG$587,'0.Productos'!DA$1+1,0),"")</f>
        <v/>
      </c>
      <c r="BJ497" s="133" t="str">
        <f>IF($A497&lt;&gt;0,VLOOKUP($A497,'0.Productos'!$A$3:$GG$587,'0.Productos'!DB$1+1,0),"")</f>
        <v/>
      </c>
      <c r="BK497" s="133" t="str">
        <f>IF($A497&lt;&gt;0,VLOOKUP($A497,'0.Productos'!$A$3:$GG$587,'0.Productos'!DC$1+1,0),"")</f>
        <v/>
      </c>
      <c r="BL497" s="133" t="str">
        <f>IF($A497&lt;&gt;0,VLOOKUP($A497,'0.Productos'!$A$3:$GG$587,'0.Productos'!DD$1+1,0),"")</f>
        <v/>
      </c>
      <c r="BM497" s="133" t="str">
        <f>IF($A497&lt;&gt;0,VLOOKUP($A497,'0.Productos'!$A$3:$GG$587,'0.Productos'!DE$1+1,0),"")</f>
        <v/>
      </c>
      <c r="BN497" s="133" t="str">
        <f>IF($A497&lt;&gt;0,VLOOKUP($A497,'0.Productos'!$A$3:$GG$587,'0.Productos'!DF$1+1,0),"")</f>
        <v/>
      </c>
      <c r="BO497" s="133" t="str">
        <f>IF($A497&lt;&gt;0,VLOOKUP($A497,'0.Productos'!$A$3:$GG$587,'0.Productos'!DG$1+1,0),"")</f>
        <v/>
      </c>
      <c r="BP497" s="133" t="str">
        <f>IF($A497&lt;&gt;0,VLOOKUP($A497,'0.Productos'!$A$3:$GG$587,'0.Productos'!DH$1+1,0),"")</f>
        <v/>
      </c>
      <c r="BQ497" s="133" t="str">
        <f>IF($A497&lt;&gt;0,VLOOKUP($A497,'0.Productos'!$A$3:$GG$587,'0.Productos'!DI$1+1,0),"")</f>
        <v/>
      </c>
      <c r="BR497" s="133" t="str">
        <f>IF($A497&lt;&gt;0,VLOOKUP($A497,'0.Productos'!$A$3:$GG$587,'0.Productos'!DJ$1+1,0),"")</f>
        <v/>
      </c>
      <c r="BS497" s="133" t="str">
        <f>IF($A497&lt;&gt;0,VLOOKUP($A497,'0.Productos'!$A$3:$GG$587,'0.Productos'!DK$1+1,0),"")</f>
        <v/>
      </c>
      <c r="BT497" s="133" t="str">
        <f>IF($A497&lt;&gt;0,VLOOKUP($A497,'0.Productos'!$A$3:$GG$587,'0.Productos'!DL$1+1,0),"")</f>
        <v/>
      </c>
    </row>
    <row r="498" spans="1:72" x14ac:dyDescent="0.25">
      <c r="A498" s="17">
        <f>'0.Consolidado general'!A498</f>
        <v>0</v>
      </c>
      <c r="B498" s="133" t="str">
        <f>IF($A498&lt;&gt;0,VLOOKUP($A498,'0.Productos'!$A$3:$GG$587,'0.Productos'!AT$1+1,0),"")</f>
        <v/>
      </c>
      <c r="C498" s="133" t="str">
        <f>IF($A498&lt;&gt;0,VLOOKUP($A498,'0.Productos'!$A$3:$GG$587,'0.Productos'!AU$1+1,0),"")</f>
        <v/>
      </c>
      <c r="D498" s="133" t="str">
        <f>IF($A498&lt;&gt;0,VLOOKUP($A498,'0.Productos'!$A$3:$GG$587,'0.Productos'!AV$1+1,0),"")</f>
        <v/>
      </c>
      <c r="E498" s="133" t="str">
        <f>IF($A498&lt;&gt;0,VLOOKUP($A498,'0.Productos'!$A$3:$GG$587,'0.Productos'!AW$1+1,0),"")</f>
        <v/>
      </c>
      <c r="F498" s="133" t="str">
        <f>IF($A498&lt;&gt;0,VLOOKUP($A498,'0.Productos'!$A$3:$GG$587,'0.Productos'!AX$1+1,0),"")</f>
        <v/>
      </c>
      <c r="G498" s="133" t="str">
        <f>IF($A498&lt;&gt;0,VLOOKUP($A498,'0.Productos'!$A$3:$GG$587,'0.Productos'!AY$1+1,0),"")</f>
        <v/>
      </c>
      <c r="H498" s="133" t="str">
        <f>IF($A498&lt;&gt;0,VLOOKUP($A498,'0.Productos'!$A$3:$GG$587,'0.Productos'!AZ$1+1,0),"")</f>
        <v/>
      </c>
      <c r="I498" s="133" t="str">
        <f>IF($A498&lt;&gt;0,VLOOKUP($A498,'0.Productos'!$A$3:$GG$587,'0.Productos'!BA$1+1,0),"")</f>
        <v/>
      </c>
      <c r="J498" s="133" t="str">
        <f>IF($A498&lt;&gt;0,VLOOKUP($A498,'0.Productos'!$A$3:$GG$587,'0.Productos'!BB$1+1,0),"")</f>
        <v/>
      </c>
      <c r="K498" s="133" t="str">
        <f>IF($A498&lt;&gt;0,VLOOKUP($A498,'0.Productos'!$A$3:$GG$587,'0.Productos'!BC$1+1,0),"")</f>
        <v/>
      </c>
      <c r="L498" s="133" t="str">
        <f>IF($A498&lt;&gt;0,VLOOKUP($A498,'0.Productos'!$A$3:$GG$587,'0.Productos'!BD$1+1,0),"")</f>
        <v/>
      </c>
      <c r="M498" s="133" t="str">
        <f>IF($A498&lt;&gt;0,VLOOKUP($A498,'0.Productos'!$A$3:$GG$587,'0.Productos'!BE$1+1,0),"")</f>
        <v/>
      </c>
      <c r="N498" s="133" t="str">
        <f>IF($A498&lt;&gt;0,VLOOKUP($A498,'0.Productos'!$A$3:$GG$587,'0.Productos'!BF$1+1,0),"")</f>
        <v/>
      </c>
      <c r="O498" s="133" t="str">
        <f>IF($A498&lt;&gt;0,VLOOKUP($A498,'0.Productos'!$A$3:$GG$587,'0.Productos'!BG$1+1,0),"")</f>
        <v/>
      </c>
      <c r="P498" s="133" t="str">
        <f>IF($A498&lt;&gt;0,VLOOKUP($A498,'0.Productos'!$A$3:$GG$587,'0.Productos'!BH$1+1,0),"")</f>
        <v/>
      </c>
      <c r="Q498" s="133" t="str">
        <f>IF($A498&lt;&gt;0,VLOOKUP($A498,'0.Productos'!$A$3:$GG$587,'0.Productos'!BI$1+1,0),"")</f>
        <v/>
      </c>
      <c r="R498" s="133" t="str">
        <f>IF($A498&lt;&gt;0,VLOOKUP($A498,'0.Productos'!$A$3:$GG$587,'0.Productos'!BJ$1+1,0),"")</f>
        <v/>
      </c>
      <c r="S498" s="133" t="str">
        <f>IF($A498&lt;&gt;0,VLOOKUP($A498,'0.Productos'!$A$3:$GG$587,'0.Productos'!BK$1+1,0),"")</f>
        <v/>
      </c>
      <c r="T498" s="133" t="str">
        <f>IF($A498&lt;&gt;0,VLOOKUP($A498,'0.Productos'!$A$3:$GG$587,'0.Productos'!BL$1+1,0),"")</f>
        <v/>
      </c>
      <c r="U498" s="133" t="str">
        <f>IF($A498&lt;&gt;0,VLOOKUP($A498,'0.Productos'!$A$3:$GG$587,'0.Productos'!BM$1+1,0),"")</f>
        <v/>
      </c>
      <c r="V498" s="133" t="str">
        <f>IF($A498&lt;&gt;0,VLOOKUP($A498,'0.Productos'!$A$3:$GG$587,'0.Productos'!BN$1+1,0),"")</f>
        <v/>
      </c>
      <c r="W498" s="133" t="str">
        <f>IF($A498&lt;&gt;0,VLOOKUP($A498,'0.Productos'!$A$3:$GG$587,'0.Productos'!BO$1+1,0),"")</f>
        <v/>
      </c>
      <c r="X498" s="133" t="str">
        <f>IF($A498&lt;&gt;0,VLOOKUP($A498,'0.Productos'!$A$3:$GG$587,'0.Productos'!BP$1+1,0),"")</f>
        <v/>
      </c>
      <c r="Y498" s="133" t="str">
        <f>IF($A498&lt;&gt;0,VLOOKUP($A498,'0.Productos'!$A$3:$GG$587,'0.Productos'!BQ$1+1,0),"")</f>
        <v/>
      </c>
      <c r="Z498" s="133" t="str">
        <f>IF($A498&lt;&gt;0,VLOOKUP($A498,'0.Productos'!$A$3:$GG$587,'0.Productos'!BR$1+1,0),"")</f>
        <v/>
      </c>
      <c r="AA498" s="133" t="str">
        <f>IF($A498&lt;&gt;0,VLOOKUP($A498,'0.Productos'!$A$3:$GG$587,'0.Productos'!BS$1+1,0),"")</f>
        <v/>
      </c>
      <c r="AB498" s="133" t="str">
        <f>IF($A498&lt;&gt;0,VLOOKUP($A498,'0.Productos'!$A$3:$GG$587,'0.Productos'!BT$1+1,0),"")</f>
        <v/>
      </c>
      <c r="AC498" s="133" t="str">
        <f>IF($A498&lt;&gt;0,VLOOKUP($A498,'0.Productos'!$A$3:$GG$587,'0.Productos'!BU$1+1,0),"")</f>
        <v/>
      </c>
      <c r="AD498" s="133" t="str">
        <f>IF($A498&lt;&gt;0,VLOOKUP($A498,'0.Productos'!$A$3:$GG$587,'0.Productos'!BV$1+1,0),"")</f>
        <v/>
      </c>
      <c r="AE498" s="133" t="str">
        <f>IF($A498&lt;&gt;0,VLOOKUP($A498,'0.Productos'!$A$3:$GG$587,'0.Productos'!BW$1+1,0),"")</f>
        <v/>
      </c>
      <c r="AF498" s="133" t="str">
        <f>IF($A498&lt;&gt;0,VLOOKUP($A498,'0.Productos'!$A$3:$GG$587,'0.Productos'!BX$1+1,0),"")</f>
        <v/>
      </c>
      <c r="AG498" s="133" t="str">
        <f>IF($A498&lt;&gt;0,VLOOKUP($A498,'0.Productos'!$A$3:$GG$587,'0.Productos'!BY$1+1,0),"")</f>
        <v/>
      </c>
      <c r="AH498" s="133" t="str">
        <f>IF($A498&lt;&gt;0,VLOOKUP($A498,'0.Productos'!$A$3:$GG$587,'0.Productos'!BZ$1+1,0),"")</f>
        <v/>
      </c>
      <c r="AI498" s="133" t="str">
        <f>IF($A498&lt;&gt;0,VLOOKUP($A498,'0.Productos'!$A$3:$GG$587,'0.Productos'!CA$1+1,0),"")</f>
        <v/>
      </c>
      <c r="AJ498" s="133" t="str">
        <f>IF($A498&lt;&gt;0,VLOOKUP($A498,'0.Productos'!$A$3:$GG$587,'0.Productos'!CB$1+1,0),"")</f>
        <v/>
      </c>
      <c r="AK498" s="133" t="str">
        <f>IF($A498&lt;&gt;0,VLOOKUP($A498,'0.Productos'!$A$3:$GG$587,'0.Productos'!CC$1+1,0),"")</f>
        <v/>
      </c>
      <c r="AL498" s="133" t="str">
        <f>IF($A498&lt;&gt;0,VLOOKUP($A498,'0.Productos'!$A$3:$GG$587,'0.Productos'!CD$1+1,0),"")</f>
        <v/>
      </c>
      <c r="AM498" s="133" t="str">
        <f>IF($A498&lt;&gt;0,VLOOKUP($A498,'0.Productos'!$A$3:$GG$587,'0.Productos'!CE$1+1,0),"")</f>
        <v/>
      </c>
      <c r="AN498" s="133" t="str">
        <f>IF($A498&lt;&gt;0,VLOOKUP($A498,'0.Productos'!$A$3:$GG$587,'0.Productos'!CF$1+1,0),"")</f>
        <v/>
      </c>
      <c r="AO498" s="133" t="str">
        <f>IF($A498&lt;&gt;0,VLOOKUP($A498,'0.Productos'!$A$3:$GG$587,'0.Productos'!CG$1+1,0),"")</f>
        <v/>
      </c>
      <c r="AP498" s="133" t="str">
        <f>IF($A498&lt;&gt;0,VLOOKUP($A498,'0.Productos'!$A$3:$GG$587,'0.Productos'!CH$1+1,0),"")</f>
        <v/>
      </c>
      <c r="AQ498" s="133" t="str">
        <f>IF($A498&lt;&gt;0,VLOOKUP($A498,'0.Productos'!$A$3:$GG$587,'0.Productos'!CI$1+1,0),"")</f>
        <v/>
      </c>
      <c r="AR498" s="133" t="str">
        <f>IF($A498&lt;&gt;0,VLOOKUP($A498,'0.Productos'!$A$3:$GG$587,'0.Productos'!CJ$1+1,0),"")</f>
        <v/>
      </c>
      <c r="AS498" s="133" t="str">
        <f>IF($A498&lt;&gt;0,VLOOKUP($A498,'0.Productos'!$A$3:$GG$587,'0.Productos'!CK$1+1,0),"")</f>
        <v/>
      </c>
      <c r="AT498" s="133" t="str">
        <f>IF($A498&lt;&gt;0,VLOOKUP($A498,'0.Productos'!$A$3:$GG$587,'0.Productos'!CL$1+1,0),"")</f>
        <v/>
      </c>
      <c r="AU498" s="133" t="str">
        <f>IF($A498&lt;&gt;0,VLOOKUP($A498,'0.Productos'!$A$3:$GG$587,'0.Productos'!CM$1+1,0),"")</f>
        <v/>
      </c>
      <c r="AV498" s="133" t="str">
        <f>IF($A498&lt;&gt;0,VLOOKUP($A498,'0.Productos'!$A$3:$GG$587,'0.Productos'!CN$1+1,0),"")</f>
        <v/>
      </c>
      <c r="AW498" s="133" t="str">
        <f>IF($A498&lt;&gt;0,VLOOKUP($A498,'0.Productos'!$A$3:$GG$587,'0.Productos'!CO$1+1,0),"")</f>
        <v/>
      </c>
      <c r="AX498" s="133" t="str">
        <f>IF($A498&lt;&gt;0,VLOOKUP($A498,'0.Productos'!$A$3:$GG$587,'0.Productos'!CP$1+1,0),"")</f>
        <v/>
      </c>
      <c r="AY498" s="133" t="str">
        <f>IF($A498&lt;&gt;0,VLOOKUP($A498,'0.Productos'!$A$3:$GG$587,'0.Productos'!CQ$1+1,0),"")</f>
        <v/>
      </c>
      <c r="AZ498" s="133" t="str">
        <f>IF($A498&lt;&gt;0,VLOOKUP($A498,'0.Productos'!$A$3:$GG$587,'0.Productos'!CR$1+1,0),"")</f>
        <v/>
      </c>
      <c r="BA498" s="133" t="str">
        <f>IF($A498&lt;&gt;0,VLOOKUP($A498,'0.Productos'!$A$3:$GG$587,'0.Productos'!CS$1+1,0),"")</f>
        <v/>
      </c>
      <c r="BB498" s="133" t="str">
        <f>IF($A498&lt;&gt;0,VLOOKUP($A498,'0.Productos'!$A$3:$GG$587,'0.Productos'!CT$1+1,0),"")</f>
        <v/>
      </c>
      <c r="BC498" s="133" t="str">
        <f>IF($A498&lt;&gt;0,VLOOKUP($A498,'0.Productos'!$A$3:$GG$587,'0.Productos'!CU$1+1,0),"")</f>
        <v/>
      </c>
      <c r="BD498" s="133" t="str">
        <f>IF($A498&lt;&gt;0,VLOOKUP($A498,'0.Productos'!$A$3:$GG$587,'0.Productos'!CV$1+1,0),"")</f>
        <v/>
      </c>
      <c r="BE498" s="133" t="str">
        <f>IF($A498&lt;&gt;0,VLOOKUP($A498,'0.Productos'!$A$3:$GG$587,'0.Productos'!CW$1+1,0),"")</f>
        <v/>
      </c>
      <c r="BF498" s="133" t="str">
        <f>IF($A498&lt;&gt;0,VLOOKUP($A498,'0.Productos'!$A$3:$GG$587,'0.Productos'!CX$1+1,0),"")</f>
        <v/>
      </c>
      <c r="BG498" s="133" t="str">
        <f>IF($A498&lt;&gt;0,VLOOKUP($A498,'0.Productos'!$A$3:$GG$587,'0.Productos'!CY$1+1,0),"")</f>
        <v/>
      </c>
      <c r="BH498" s="133" t="str">
        <f>IF($A498&lt;&gt;0,VLOOKUP($A498,'0.Productos'!$A$3:$GG$587,'0.Productos'!CZ$1+1,0),"")</f>
        <v/>
      </c>
      <c r="BI498" s="133" t="str">
        <f>IF($A498&lt;&gt;0,VLOOKUP($A498,'0.Productos'!$A$3:$GG$587,'0.Productos'!DA$1+1,0),"")</f>
        <v/>
      </c>
      <c r="BJ498" s="133" t="str">
        <f>IF($A498&lt;&gt;0,VLOOKUP($A498,'0.Productos'!$A$3:$GG$587,'0.Productos'!DB$1+1,0),"")</f>
        <v/>
      </c>
      <c r="BK498" s="133" t="str">
        <f>IF($A498&lt;&gt;0,VLOOKUP($A498,'0.Productos'!$A$3:$GG$587,'0.Productos'!DC$1+1,0),"")</f>
        <v/>
      </c>
      <c r="BL498" s="133" t="str">
        <f>IF($A498&lt;&gt;0,VLOOKUP($A498,'0.Productos'!$A$3:$GG$587,'0.Productos'!DD$1+1,0),"")</f>
        <v/>
      </c>
      <c r="BM498" s="133" t="str">
        <f>IF($A498&lt;&gt;0,VLOOKUP($A498,'0.Productos'!$A$3:$GG$587,'0.Productos'!DE$1+1,0),"")</f>
        <v/>
      </c>
      <c r="BN498" s="133" t="str">
        <f>IF($A498&lt;&gt;0,VLOOKUP($A498,'0.Productos'!$A$3:$GG$587,'0.Productos'!DF$1+1,0),"")</f>
        <v/>
      </c>
      <c r="BO498" s="133" t="str">
        <f>IF($A498&lt;&gt;0,VLOOKUP($A498,'0.Productos'!$A$3:$GG$587,'0.Productos'!DG$1+1,0),"")</f>
        <v/>
      </c>
      <c r="BP498" s="133" t="str">
        <f>IF($A498&lt;&gt;0,VLOOKUP($A498,'0.Productos'!$A$3:$GG$587,'0.Productos'!DH$1+1,0),"")</f>
        <v/>
      </c>
      <c r="BQ498" s="133" t="str">
        <f>IF($A498&lt;&gt;0,VLOOKUP($A498,'0.Productos'!$A$3:$GG$587,'0.Productos'!DI$1+1,0),"")</f>
        <v/>
      </c>
      <c r="BR498" s="133" t="str">
        <f>IF($A498&lt;&gt;0,VLOOKUP($A498,'0.Productos'!$A$3:$GG$587,'0.Productos'!DJ$1+1,0),"")</f>
        <v/>
      </c>
      <c r="BS498" s="133" t="str">
        <f>IF($A498&lt;&gt;0,VLOOKUP($A498,'0.Productos'!$A$3:$GG$587,'0.Productos'!DK$1+1,0),"")</f>
        <v/>
      </c>
      <c r="BT498" s="133" t="str">
        <f>IF($A498&lt;&gt;0,VLOOKUP($A498,'0.Productos'!$A$3:$GG$587,'0.Productos'!DL$1+1,0),"")</f>
        <v/>
      </c>
    </row>
    <row r="499" spans="1:72" x14ac:dyDescent="0.25">
      <c r="A499" s="17">
        <f>'0.Consolidado general'!A499</f>
        <v>0</v>
      </c>
      <c r="B499" s="133" t="str">
        <f>IF($A499&lt;&gt;0,VLOOKUP($A499,'0.Productos'!$A$3:$GG$587,'0.Productos'!AT$1+1,0),"")</f>
        <v/>
      </c>
      <c r="C499" s="133" t="str">
        <f>IF($A499&lt;&gt;0,VLOOKUP($A499,'0.Productos'!$A$3:$GG$587,'0.Productos'!AU$1+1,0),"")</f>
        <v/>
      </c>
      <c r="D499" s="133" t="str">
        <f>IF($A499&lt;&gt;0,VLOOKUP($A499,'0.Productos'!$A$3:$GG$587,'0.Productos'!AV$1+1,0),"")</f>
        <v/>
      </c>
      <c r="E499" s="133" t="str">
        <f>IF($A499&lt;&gt;0,VLOOKUP($A499,'0.Productos'!$A$3:$GG$587,'0.Productos'!AW$1+1,0),"")</f>
        <v/>
      </c>
      <c r="F499" s="133" t="str">
        <f>IF($A499&lt;&gt;0,VLOOKUP($A499,'0.Productos'!$A$3:$GG$587,'0.Productos'!AX$1+1,0),"")</f>
        <v/>
      </c>
      <c r="G499" s="133" t="str">
        <f>IF($A499&lt;&gt;0,VLOOKUP($A499,'0.Productos'!$A$3:$GG$587,'0.Productos'!AY$1+1,0),"")</f>
        <v/>
      </c>
      <c r="H499" s="133" t="str">
        <f>IF($A499&lt;&gt;0,VLOOKUP($A499,'0.Productos'!$A$3:$GG$587,'0.Productos'!AZ$1+1,0),"")</f>
        <v/>
      </c>
      <c r="I499" s="133" t="str">
        <f>IF($A499&lt;&gt;0,VLOOKUP($A499,'0.Productos'!$A$3:$GG$587,'0.Productos'!BA$1+1,0),"")</f>
        <v/>
      </c>
      <c r="J499" s="133" t="str">
        <f>IF($A499&lt;&gt;0,VLOOKUP($A499,'0.Productos'!$A$3:$GG$587,'0.Productos'!BB$1+1,0),"")</f>
        <v/>
      </c>
      <c r="K499" s="133" t="str">
        <f>IF($A499&lt;&gt;0,VLOOKUP($A499,'0.Productos'!$A$3:$GG$587,'0.Productos'!BC$1+1,0),"")</f>
        <v/>
      </c>
      <c r="L499" s="133" t="str">
        <f>IF($A499&lt;&gt;0,VLOOKUP($A499,'0.Productos'!$A$3:$GG$587,'0.Productos'!BD$1+1,0),"")</f>
        <v/>
      </c>
      <c r="M499" s="133" t="str">
        <f>IF($A499&lt;&gt;0,VLOOKUP($A499,'0.Productos'!$A$3:$GG$587,'0.Productos'!BE$1+1,0),"")</f>
        <v/>
      </c>
      <c r="N499" s="133" t="str">
        <f>IF($A499&lt;&gt;0,VLOOKUP($A499,'0.Productos'!$A$3:$GG$587,'0.Productos'!BF$1+1,0),"")</f>
        <v/>
      </c>
      <c r="O499" s="133" t="str">
        <f>IF($A499&lt;&gt;0,VLOOKUP($A499,'0.Productos'!$A$3:$GG$587,'0.Productos'!BG$1+1,0),"")</f>
        <v/>
      </c>
      <c r="P499" s="133" t="str">
        <f>IF($A499&lt;&gt;0,VLOOKUP($A499,'0.Productos'!$A$3:$GG$587,'0.Productos'!BH$1+1,0),"")</f>
        <v/>
      </c>
      <c r="Q499" s="133" t="str">
        <f>IF($A499&lt;&gt;0,VLOOKUP($A499,'0.Productos'!$A$3:$GG$587,'0.Productos'!BI$1+1,0),"")</f>
        <v/>
      </c>
      <c r="R499" s="133" t="str">
        <f>IF($A499&lt;&gt;0,VLOOKUP($A499,'0.Productos'!$A$3:$GG$587,'0.Productos'!BJ$1+1,0),"")</f>
        <v/>
      </c>
      <c r="S499" s="133" t="str">
        <f>IF($A499&lt;&gt;0,VLOOKUP($A499,'0.Productos'!$A$3:$GG$587,'0.Productos'!BK$1+1,0),"")</f>
        <v/>
      </c>
      <c r="T499" s="133" t="str">
        <f>IF($A499&lt;&gt;0,VLOOKUP($A499,'0.Productos'!$A$3:$GG$587,'0.Productos'!BL$1+1,0),"")</f>
        <v/>
      </c>
      <c r="U499" s="133" t="str">
        <f>IF($A499&lt;&gt;0,VLOOKUP($A499,'0.Productos'!$A$3:$GG$587,'0.Productos'!BM$1+1,0),"")</f>
        <v/>
      </c>
      <c r="V499" s="133" t="str">
        <f>IF($A499&lt;&gt;0,VLOOKUP($A499,'0.Productos'!$A$3:$GG$587,'0.Productos'!BN$1+1,0),"")</f>
        <v/>
      </c>
      <c r="W499" s="133" t="str">
        <f>IF($A499&lt;&gt;0,VLOOKUP($A499,'0.Productos'!$A$3:$GG$587,'0.Productos'!BO$1+1,0),"")</f>
        <v/>
      </c>
      <c r="X499" s="133" t="str">
        <f>IF($A499&lt;&gt;0,VLOOKUP($A499,'0.Productos'!$A$3:$GG$587,'0.Productos'!BP$1+1,0),"")</f>
        <v/>
      </c>
      <c r="Y499" s="133" t="str">
        <f>IF($A499&lt;&gt;0,VLOOKUP($A499,'0.Productos'!$A$3:$GG$587,'0.Productos'!BQ$1+1,0),"")</f>
        <v/>
      </c>
      <c r="Z499" s="133" t="str">
        <f>IF($A499&lt;&gt;0,VLOOKUP($A499,'0.Productos'!$A$3:$GG$587,'0.Productos'!BR$1+1,0),"")</f>
        <v/>
      </c>
      <c r="AA499" s="133" t="str">
        <f>IF($A499&lt;&gt;0,VLOOKUP($A499,'0.Productos'!$A$3:$GG$587,'0.Productos'!BS$1+1,0),"")</f>
        <v/>
      </c>
      <c r="AB499" s="133" t="str">
        <f>IF($A499&lt;&gt;0,VLOOKUP($A499,'0.Productos'!$A$3:$GG$587,'0.Productos'!BT$1+1,0),"")</f>
        <v/>
      </c>
      <c r="AC499" s="133" t="str">
        <f>IF($A499&lt;&gt;0,VLOOKUP($A499,'0.Productos'!$A$3:$GG$587,'0.Productos'!BU$1+1,0),"")</f>
        <v/>
      </c>
      <c r="AD499" s="133" t="str">
        <f>IF($A499&lt;&gt;0,VLOOKUP($A499,'0.Productos'!$A$3:$GG$587,'0.Productos'!BV$1+1,0),"")</f>
        <v/>
      </c>
      <c r="AE499" s="133" t="str">
        <f>IF($A499&lt;&gt;0,VLOOKUP($A499,'0.Productos'!$A$3:$GG$587,'0.Productos'!BW$1+1,0),"")</f>
        <v/>
      </c>
      <c r="AF499" s="133" t="str">
        <f>IF($A499&lt;&gt;0,VLOOKUP($A499,'0.Productos'!$A$3:$GG$587,'0.Productos'!BX$1+1,0),"")</f>
        <v/>
      </c>
      <c r="AG499" s="133" t="str">
        <f>IF($A499&lt;&gt;0,VLOOKUP($A499,'0.Productos'!$A$3:$GG$587,'0.Productos'!BY$1+1,0),"")</f>
        <v/>
      </c>
      <c r="AH499" s="133" t="str">
        <f>IF($A499&lt;&gt;0,VLOOKUP($A499,'0.Productos'!$A$3:$GG$587,'0.Productos'!BZ$1+1,0),"")</f>
        <v/>
      </c>
      <c r="AI499" s="133" t="str">
        <f>IF($A499&lt;&gt;0,VLOOKUP($A499,'0.Productos'!$A$3:$GG$587,'0.Productos'!CA$1+1,0),"")</f>
        <v/>
      </c>
      <c r="AJ499" s="133" t="str">
        <f>IF($A499&lt;&gt;0,VLOOKUP($A499,'0.Productos'!$A$3:$GG$587,'0.Productos'!CB$1+1,0),"")</f>
        <v/>
      </c>
      <c r="AK499" s="133" t="str">
        <f>IF($A499&lt;&gt;0,VLOOKUP($A499,'0.Productos'!$A$3:$GG$587,'0.Productos'!CC$1+1,0),"")</f>
        <v/>
      </c>
      <c r="AL499" s="133" t="str">
        <f>IF($A499&lt;&gt;0,VLOOKUP($A499,'0.Productos'!$A$3:$GG$587,'0.Productos'!CD$1+1,0),"")</f>
        <v/>
      </c>
      <c r="AM499" s="133" t="str">
        <f>IF($A499&lt;&gt;0,VLOOKUP($A499,'0.Productos'!$A$3:$GG$587,'0.Productos'!CE$1+1,0),"")</f>
        <v/>
      </c>
      <c r="AN499" s="133" t="str">
        <f>IF($A499&lt;&gt;0,VLOOKUP($A499,'0.Productos'!$A$3:$GG$587,'0.Productos'!CF$1+1,0),"")</f>
        <v/>
      </c>
      <c r="AO499" s="133" t="str">
        <f>IF($A499&lt;&gt;0,VLOOKUP($A499,'0.Productos'!$A$3:$GG$587,'0.Productos'!CG$1+1,0),"")</f>
        <v/>
      </c>
      <c r="AP499" s="133" t="str">
        <f>IF($A499&lt;&gt;0,VLOOKUP($A499,'0.Productos'!$A$3:$GG$587,'0.Productos'!CH$1+1,0),"")</f>
        <v/>
      </c>
      <c r="AQ499" s="133" t="str">
        <f>IF($A499&lt;&gt;0,VLOOKUP($A499,'0.Productos'!$A$3:$GG$587,'0.Productos'!CI$1+1,0),"")</f>
        <v/>
      </c>
      <c r="AR499" s="133" t="str">
        <f>IF($A499&lt;&gt;0,VLOOKUP($A499,'0.Productos'!$A$3:$GG$587,'0.Productos'!CJ$1+1,0),"")</f>
        <v/>
      </c>
      <c r="AS499" s="133" t="str">
        <f>IF($A499&lt;&gt;0,VLOOKUP($A499,'0.Productos'!$A$3:$GG$587,'0.Productos'!CK$1+1,0),"")</f>
        <v/>
      </c>
      <c r="AT499" s="133" t="str">
        <f>IF($A499&lt;&gt;0,VLOOKUP($A499,'0.Productos'!$A$3:$GG$587,'0.Productos'!CL$1+1,0),"")</f>
        <v/>
      </c>
      <c r="AU499" s="133" t="str">
        <f>IF($A499&lt;&gt;0,VLOOKUP($A499,'0.Productos'!$A$3:$GG$587,'0.Productos'!CM$1+1,0),"")</f>
        <v/>
      </c>
      <c r="AV499" s="133" t="str">
        <f>IF($A499&lt;&gt;0,VLOOKUP($A499,'0.Productos'!$A$3:$GG$587,'0.Productos'!CN$1+1,0),"")</f>
        <v/>
      </c>
      <c r="AW499" s="133" t="str">
        <f>IF($A499&lt;&gt;0,VLOOKUP($A499,'0.Productos'!$A$3:$GG$587,'0.Productos'!CO$1+1,0),"")</f>
        <v/>
      </c>
      <c r="AX499" s="133" t="str">
        <f>IF($A499&lt;&gt;0,VLOOKUP($A499,'0.Productos'!$A$3:$GG$587,'0.Productos'!CP$1+1,0),"")</f>
        <v/>
      </c>
      <c r="AY499" s="133" t="str">
        <f>IF($A499&lt;&gt;0,VLOOKUP($A499,'0.Productos'!$A$3:$GG$587,'0.Productos'!CQ$1+1,0),"")</f>
        <v/>
      </c>
      <c r="AZ499" s="133" t="str">
        <f>IF($A499&lt;&gt;0,VLOOKUP($A499,'0.Productos'!$A$3:$GG$587,'0.Productos'!CR$1+1,0),"")</f>
        <v/>
      </c>
      <c r="BA499" s="133" t="str">
        <f>IF($A499&lt;&gt;0,VLOOKUP($A499,'0.Productos'!$A$3:$GG$587,'0.Productos'!CS$1+1,0),"")</f>
        <v/>
      </c>
      <c r="BB499" s="133" t="str">
        <f>IF($A499&lt;&gt;0,VLOOKUP($A499,'0.Productos'!$A$3:$GG$587,'0.Productos'!CT$1+1,0),"")</f>
        <v/>
      </c>
      <c r="BC499" s="133" t="str">
        <f>IF($A499&lt;&gt;0,VLOOKUP($A499,'0.Productos'!$A$3:$GG$587,'0.Productos'!CU$1+1,0),"")</f>
        <v/>
      </c>
      <c r="BD499" s="133" t="str">
        <f>IF($A499&lt;&gt;0,VLOOKUP($A499,'0.Productos'!$A$3:$GG$587,'0.Productos'!CV$1+1,0),"")</f>
        <v/>
      </c>
      <c r="BE499" s="133" t="str">
        <f>IF($A499&lt;&gt;0,VLOOKUP($A499,'0.Productos'!$A$3:$GG$587,'0.Productos'!CW$1+1,0),"")</f>
        <v/>
      </c>
      <c r="BF499" s="133" t="str">
        <f>IF($A499&lt;&gt;0,VLOOKUP($A499,'0.Productos'!$A$3:$GG$587,'0.Productos'!CX$1+1,0),"")</f>
        <v/>
      </c>
      <c r="BG499" s="133" t="str">
        <f>IF($A499&lt;&gt;0,VLOOKUP($A499,'0.Productos'!$A$3:$GG$587,'0.Productos'!CY$1+1,0),"")</f>
        <v/>
      </c>
      <c r="BH499" s="133" t="str">
        <f>IF($A499&lt;&gt;0,VLOOKUP($A499,'0.Productos'!$A$3:$GG$587,'0.Productos'!CZ$1+1,0),"")</f>
        <v/>
      </c>
      <c r="BI499" s="133" t="str">
        <f>IF($A499&lt;&gt;0,VLOOKUP($A499,'0.Productos'!$A$3:$GG$587,'0.Productos'!DA$1+1,0),"")</f>
        <v/>
      </c>
      <c r="BJ499" s="133" t="str">
        <f>IF($A499&lt;&gt;0,VLOOKUP($A499,'0.Productos'!$A$3:$GG$587,'0.Productos'!DB$1+1,0),"")</f>
        <v/>
      </c>
      <c r="BK499" s="133" t="str">
        <f>IF($A499&lt;&gt;0,VLOOKUP($A499,'0.Productos'!$A$3:$GG$587,'0.Productos'!DC$1+1,0),"")</f>
        <v/>
      </c>
      <c r="BL499" s="133" t="str">
        <f>IF($A499&lt;&gt;0,VLOOKUP($A499,'0.Productos'!$A$3:$GG$587,'0.Productos'!DD$1+1,0),"")</f>
        <v/>
      </c>
      <c r="BM499" s="133" t="str">
        <f>IF($A499&lt;&gt;0,VLOOKUP($A499,'0.Productos'!$A$3:$GG$587,'0.Productos'!DE$1+1,0),"")</f>
        <v/>
      </c>
      <c r="BN499" s="133" t="str">
        <f>IF($A499&lt;&gt;0,VLOOKUP($A499,'0.Productos'!$A$3:$GG$587,'0.Productos'!DF$1+1,0),"")</f>
        <v/>
      </c>
      <c r="BO499" s="133" t="str">
        <f>IF($A499&lt;&gt;0,VLOOKUP($A499,'0.Productos'!$A$3:$GG$587,'0.Productos'!DG$1+1,0),"")</f>
        <v/>
      </c>
      <c r="BP499" s="133" t="str">
        <f>IF($A499&lt;&gt;0,VLOOKUP($A499,'0.Productos'!$A$3:$GG$587,'0.Productos'!DH$1+1,0),"")</f>
        <v/>
      </c>
      <c r="BQ499" s="133" t="str">
        <f>IF($A499&lt;&gt;0,VLOOKUP($A499,'0.Productos'!$A$3:$GG$587,'0.Productos'!DI$1+1,0),"")</f>
        <v/>
      </c>
      <c r="BR499" s="133" t="str">
        <f>IF($A499&lt;&gt;0,VLOOKUP($A499,'0.Productos'!$A$3:$GG$587,'0.Productos'!DJ$1+1,0),"")</f>
        <v/>
      </c>
      <c r="BS499" s="133" t="str">
        <f>IF($A499&lt;&gt;0,VLOOKUP($A499,'0.Productos'!$A$3:$GG$587,'0.Productos'!DK$1+1,0),"")</f>
        <v/>
      </c>
      <c r="BT499" s="133" t="str">
        <f>IF($A499&lt;&gt;0,VLOOKUP($A499,'0.Productos'!$A$3:$GG$587,'0.Productos'!DL$1+1,0),"")</f>
        <v/>
      </c>
    </row>
    <row r="500" spans="1:72" x14ac:dyDescent="0.25">
      <c r="A500" s="17">
        <f>'0.Consolidado general'!A500</f>
        <v>0</v>
      </c>
      <c r="B500" s="133" t="str">
        <f>IF($A500&lt;&gt;0,VLOOKUP($A500,'0.Productos'!$A$3:$GG$587,'0.Productos'!AT$1+1,0),"")</f>
        <v/>
      </c>
      <c r="C500" s="133" t="str">
        <f>IF($A500&lt;&gt;0,VLOOKUP($A500,'0.Productos'!$A$3:$GG$587,'0.Productos'!AU$1+1,0),"")</f>
        <v/>
      </c>
      <c r="D500" s="133" t="str">
        <f>IF($A500&lt;&gt;0,VLOOKUP($A500,'0.Productos'!$A$3:$GG$587,'0.Productos'!AV$1+1,0),"")</f>
        <v/>
      </c>
      <c r="E500" s="133" t="str">
        <f>IF($A500&lt;&gt;0,VLOOKUP($A500,'0.Productos'!$A$3:$GG$587,'0.Productos'!AW$1+1,0),"")</f>
        <v/>
      </c>
      <c r="F500" s="133" t="str">
        <f>IF($A500&lt;&gt;0,VLOOKUP($A500,'0.Productos'!$A$3:$GG$587,'0.Productos'!AX$1+1,0),"")</f>
        <v/>
      </c>
      <c r="G500" s="133" t="str">
        <f>IF($A500&lt;&gt;0,VLOOKUP($A500,'0.Productos'!$A$3:$GG$587,'0.Productos'!AY$1+1,0),"")</f>
        <v/>
      </c>
      <c r="H500" s="133" t="str">
        <f>IF($A500&lt;&gt;0,VLOOKUP($A500,'0.Productos'!$A$3:$GG$587,'0.Productos'!AZ$1+1,0),"")</f>
        <v/>
      </c>
      <c r="I500" s="133" t="str">
        <f>IF($A500&lt;&gt;0,VLOOKUP($A500,'0.Productos'!$A$3:$GG$587,'0.Productos'!BA$1+1,0),"")</f>
        <v/>
      </c>
      <c r="J500" s="133" t="str">
        <f>IF($A500&lt;&gt;0,VLOOKUP($A500,'0.Productos'!$A$3:$GG$587,'0.Productos'!BB$1+1,0),"")</f>
        <v/>
      </c>
      <c r="K500" s="133" t="str">
        <f>IF($A500&lt;&gt;0,VLOOKUP($A500,'0.Productos'!$A$3:$GG$587,'0.Productos'!BC$1+1,0),"")</f>
        <v/>
      </c>
      <c r="L500" s="133" t="str">
        <f>IF($A500&lt;&gt;0,VLOOKUP($A500,'0.Productos'!$A$3:$GG$587,'0.Productos'!BD$1+1,0),"")</f>
        <v/>
      </c>
      <c r="M500" s="133" t="str">
        <f>IF($A500&lt;&gt;0,VLOOKUP($A500,'0.Productos'!$A$3:$GG$587,'0.Productos'!BE$1+1,0),"")</f>
        <v/>
      </c>
      <c r="N500" s="133" t="str">
        <f>IF($A500&lt;&gt;0,VLOOKUP($A500,'0.Productos'!$A$3:$GG$587,'0.Productos'!BF$1+1,0),"")</f>
        <v/>
      </c>
      <c r="O500" s="133" t="str">
        <f>IF($A500&lt;&gt;0,VLOOKUP($A500,'0.Productos'!$A$3:$GG$587,'0.Productos'!BG$1+1,0),"")</f>
        <v/>
      </c>
      <c r="P500" s="133" t="str">
        <f>IF($A500&lt;&gt;0,VLOOKUP($A500,'0.Productos'!$A$3:$GG$587,'0.Productos'!BH$1+1,0),"")</f>
        <v/>
      </c>
      <c r="Q500" s="133" t="str">
        <f>IF($A500&lt;&gt;0,VLOOKUP($A500,'0.Productos'!$A$3:$GG$587,'0.Productos'!BI$1+1,0),"")</f>
        <v/>
      </c>
      <c r="R500" s="133" t="str">
        <f>IF($A500&lt;&gt;0,VLOOKUP($A500,'0.Productos'!$A$3:$GG$587,'0.Productos'!BJ$1+1,0),"")</f>
        <v/>
      </c>
      <c r="S500" s="133" t="str">
        <f>IF($A500&lt;&gt;0,VLOOKUP($A500,'0.Productos'!$A$3:$GG$587,'0.Productos'!BK$1+1,0),"")</f>
        <v/>
      </c>
      <c r="T500" s="133" t="str">
        <f>IF($A500&lt;&gt;0,VLOOKUP($A500,'0.Productos'!$A$3:$GG$587,'0.Productos'!BL$1+1,0),"")</f>
        <v/>
      </c>
      <c r="U500" s="133" t="str">
        <f>IF($A500&lt;&gt;0,VLOOKUP($A500,'0.Productos'!$A$3:$GG$587,'0.Productos'!BM$1+1,0),"")</f>
        <v/>
      </c>
      <c r="V500" s="133" t="str">
        <f>IF($A500&lt;&gt;0,VLOOKUP($A500,'0.Productos'!$A$3:$GG$587,'0.Productos'!BN$1+1,0),"")</f>
        <v/>
      </c>
      <c r="W500" s="133" t="str">
        <f>IF($A500&lt;&gt;0,VLOOKUP($A500,'0.Productos'!$A$3:$GG$587,'0.Productos'!BO$1+1,0),"")</f>
        <v/>
      </c>
      <c r="X500" s="133" t="str">
        <f>IF($A500&lt;&gt;0,VLOOKUP($A500,'0.Productos'!$A$3:$GG$587,'0.Productos'!BP$1+1,0),"")</f>
        <v/>
      </c>
      <c r="Y500" s="133" t="str">
        <f>IF($A500&lt;&gt;0,VLOOKUP($A500,'0.Productos'!$A$3:$GG$587,'0.Productos'!BQ$1+1,0),"")</f>
        <v/>
      </c>
      <c r="Z500" s="133" t="str">
        <f>IF($A500&lt;&gt;0,VLOOKUP($A500,'0.Productos'!$A$3:$GG$587,'0.Productos'!BR$1+1,0),"")</f>
        <v/>
      </c>
      <c r="AA500" s="133" t="str">
        <f>IF($A500&lt;&gt;0,VLOOKUP($A500,'0.Productos'!$A$3:$GG$587,'0.Productos'!BS$1+1,0),"")</f>
        <v/>
      </c>
      <c r="AB500" s="133" t="str">
        <f>IF($A500&lt;&gt;0,VLOOKUP($A500,'0.Productos'!$A$3:$GG$587,'0.Productos'!BT$1+1,0),"")</f>
        <v/>
      </c>
      <c r="AC500" s="133" t="str">
        <f>IF($A500&lt;&gt;0,VLOOKUP($A500,'0.Productos'!$A$3:$GG$587,'0.Productos'!BU$1+1,0),"")</f>
        <v/>
      </c>
      <c r="AD500" s="133" t="str">
        <f>IF($A500&lt;&gt;0,VLOOKUP($A500,'0.Productos'!$A$3:$GG$587,'0.Productos'!BV$1+1,0),"")</f>
        <v/>
      </c>
      <c r="AE500" s="133" t="str">
        <f>IF($A500&lt;&gt;0,VLOOKUP($A500,'0.Productos'!$A$3:$GG$587,'0.Productos'!BW$1+1,0),"")</f>
        <v/>
      </c>
      <c r="AF500" s="133" t="str">
        <f>IF($A500&lt;&gt;0,VLOOKUP($A500,'0.Productos'!$A$3:$GG$587,'0.Productos'!BX$1+1,0),"")</f>
        <v/>
      </c>
      <c r="AG500" s="133" t="str">
        <f>IF($A500&lt;&gt;0,VLOOKUP($A500,'0.Productos'!$A$3:$GG$587,'0.Productos'!BY$1+1,0),"")</f>
        <v/>
      </c>
      <c r="AH500" s="133" t="str">
        <f>IF($A500&lt;&gt;0,VLOOKUP($A500,'0.Productos'!$A$3:$GG$587,'0.Productos'!BZ$1+1,0),"")</f>
        <v/>
      </c>
      <c r="AI500" s="133" t="str">
        <f>IF($A500&lt;&gt;0,VLOOKUP($A500,'0.Productos'!$A$3:$GG$587,'0.Productos'!CA$1+1,0),"")</f>
        <v/>
      </c>
      <c r="AJ500" s="133" t="str">
        <f>IF($A500&lt;&gt;0,VLOOKUP($A500,'0.Productos'!$A$3:$GG$587,'0.Productos'!CB$1+1,0),"")</f>
        <v/>
      </c>
      <c r="AK500" s="133" t="str">
        <f>IF($A500&lt;&gt;0,VLOOKUP($A500,'0.Productos'!$A$3:$GG$587,'0.Productos'!CC$1+1,0),"")</f>
        <v/>
      </c>
      <c r="AL500" s="133" t="str">
        <f>IF($A500&lt;&gt;0,VLOOKUP($A500,'0.Productos'!$A$3:$GG$587,'0.Productos'!CD$1+1,0),"")</f>
        <v/>
      </c>
      <c r="AM500" s="133" t="str">
        <f>IF($A500&lt;&gt;0,VLOOKUP($A500,'0.Productos'!$A$3:$GG$587,'0.Productos'!CE$1+1,0),"")</f>
        <v/>
      </c>
      <c r="AN500" s="133" t="str">
        <f>IF($A500&lt;&gt;0,VLOOKUP($A500,'0.Productos'!$A$3:$GG$587,'0.Productos'!CF$1+1,0),"")</f>
        <v/>
      </c>
      <c r="AO500" s="133" t="str">
        <f>IF($A500&lt;&gt;0,VLOOKUP($A500,'0.Productos'!$A$3:$GG$587,'0.Productos'!CG$1+1,0),"")</f>
        <v/>
      </c>
      <c r="AP500" s="133" t="str">
        <f>IF($A500&lt;&gt;0,VLOOKUP($A500,'0.Productos'!$A$3:$GG$587,'0.Productos'!CH$1+1,0),"")</f>
        <v/>
      </c>
      <c r="AQ500" s="133" t="str">
        <f>IF($A500&lt;&gt;0,VLOOKUP($A500,'0.Productos'!$A$3:$GG$587,'0.Productos'!CI$1+1,0),"")</f>
        <v/>
      </c>
      <c r="AR500" s="133" t="str">
        <f>IF($A500&lt;&gt;0,VLOOKUP($A500,'0.Productos'!$A$3:$GG$587,'0.Productos'!CJ$1+1,0),"")</f>
        <v/>
      </c>
      <c r="AS500" s="133" t="str">
        <f>IF($A500&lt;&gt;0,VLOOKUP($A500,'0.Productos'!$A$3:$GG$587,'0.Productos'!CK$1+1,0),"")</f>
        <v/>
      </c>
      <c r="AT500" s="133" t="str">
        <f>IF($A500&lt;&gt;0,VLOOKUP($A500,'0.Productos'!$A$3:$GG$587,'0.Productos'!CL$1+1,0),"")</f>
        <v/>
      </c>
      <c r="AU500" s="133" t="str">
        <f>IF($A500&lt;&gt;0,VLOOKUP($A500,'0.Productos'!$A$3:$GG$587,'0.Productos'!CM$1+1,0),"")</f>
        <v/>
      </c>
      <c r="AV500" s="133" t="str">
        <f>IF($A500&lt;&gt;0,VLOOKUP($A500,'0.Productos'!$A$3:$GG$587,'0.Productos'!CN$1+1,0),"")</f>
        <v/>
      </c>
      <c r="AW500" s="133" t="str">
        <f>IF($A500&lt;&gt;0,VLOOKUP($A500,'0.Productos'!$A$3:$GG$587,'0.Productos'!CO$1+1,0),"")</f>
        <v/>
      </c>
      <c r="AX500" s="133" t="str">
        <f>IF($A500&lt;&gt;0,VLOOKUP($A500,'0.Productos'!$A$3:$GG$587,'0.Productos'!CP$1+1,0),"")</f>
        <v/>
      </c>
      <c r="AY500" s="133" t="str">
        <f>IF($A500&lt;&gt;0,VLOOKUP($A500,'0.Productos'!$A$3:$GG$587,'0.Productos'!CQ$1+1,0),"")</f>
        <v/>
      </c>
      <c r="AZ500" s="133" t="str">
        <f>IF($A500&lt;&gt;0,VLOOKUP($A500,'0.Productos'!$A$3:$GG$587,'0.Productos'!CR$1+1,0),"")</f>
        <v/>
      </c>
      <c r="BA500" s="133" t="str">
        <f>IF($A500&lt;&gt;0,VLOOKUP($A500,'0.Productos'!$A$3:$GG$587,'0.Productos'!CS$1+1,0),"")</f>
        <v/>
      </c>
      <c r="BB500" s="133" t="str">
        <f>IF($A500&lt;&gt;0,VLOOKUP($A500,'0.Productos'!$A$3:$GG$587,'0.Productos'!CT$1+1,0),"")</f>
        <v/>
      </c>
      <c r="BC500" s="133" t="str">
        <f>IF($A500&lt;&gt;0,VLOOKUP($A500,'0.Productos'!$A$3:$GG$587,'0.Productos'!CU$1+1,0),"")</f>
        <v/>
      </c>
      <c r="BD500" s="133" t="str">
        <f>IF($A500&lt;&gt;0,VLOOKUP($A500,'0.Productos'!$A$3:$GG$587,'0.Productos'!CV$1+1,0),"")</f>
        <v/>
      </c>
      <c r="BE500" s="133" t="str">
        <f>IF($A500&lt;&gt;0,VLOOKUP($A500,'0.Productos'!$A$3:$GG$587,'0.Productos'!CW$1+1,0),"")</f>
        <v/>
      </c>
      <c r="BF500" s="133" t="str">
        <f>IF($A500&lt;&gt;0,VLOOKUP($A500,'0.Productos'!$A$3:$GG$587,'0.Productos'!CX$1+1,0),"")</f>
        <v/>
      </c>
      <c r="BG500" s="133" t="str">
        <f>IF($A500&lt;&gt;0,VLOOKUP($A500,'0.Productos'!$A$3:$GG$587,'0.Productos'!CY$1+1,0),"")</f>
        <v/>
      </c>
      <c r="BH500" s="133" t="str">
        <f>IF($A500&lt;&gt;0,VLOOKUP($A500,'0.Productos'!$A$3:$GG$587,'0.Productos'!CZ$1+1,0),"")</f>
        <v/>
      </c>
      <c r="BI500" s="133" t="str">
        <f>IF($A500&lt;&gt;0,VLOOKUP($A500,'0.Productos'!$A$3:$GG$587,'0.Productos'!DA$1+1,0),"")</f>
        <v/>
      </c>
      <c r="BJ500" s="133" t="str">
        <f>IF($A500&lt;&gt;0,VLOOKUP($A500,'0.Productos'!$A$3:$GG$587,'0.Productos'!DB$1+1,0),"")</f>
        <v/>
      </c>
      <c r="BK500" s="133" t="str">
        <f>IF($A500&lt;&gt;0,VLOOKUP($A500,'0.Productos'!$A$3:$GG$587,'0.Productos'!DC$1+1,0),"")</f>
        <v/>
      </c>
      <c r="BL500" s="133" t="str">
        <f>IF($A500&lt;&gt;0,VLOOKUP($A500,'0.Productos'!$A$3:$GG$587,'0.Productos'!DD$1+1,0),"")</f>
        <v/>
      </c>
      <c r="BM500" s="133" t="str">
        <f>IF($A500&lt;&gt;0,VLOOKUP($A500,'0.Productos'!$A$3:$GG$587,'0.Productos'!DE$1+1,0),"")</f>
        <v/>
      </c>
      <c r="BN500" s="133" t="str">
        <f>IF($A500&lt;&gt;0,VLOOKUP($A500,'0.Productos'!$A$3:$GG$587,'0.Productos'!DF$1+1,0),"")</f>
        <v/>
      </c>
      <c r="BO500" s="133" t="str">
        <f>IF($A500&lt;&gt;0,VLOOKUP($A500,'0.Productos'!$A$3:$GG$587,'0.Productos'!DG$1+1,0),"")</f>
        <v/>
      </c>
      <c r="BP500" s="133" t="str">
        <f>IF($A500&lt;&gt;0,VLOOKUP($A500,'0.Productos'!$A$3:$GG$587,'0.Productos'!DH$1+1,0),"")</f>
        <v/>
      </c>
      <c r="BQ500" s="133" t="str">
        <f>IF($A500&lt;&gt;0,VLOOKUP($A500,'0.Productos'!$A$3:$GG$587,'0.Productos'!DI$1+1,0),"")</f>
        <v/>
      </c>
      <c r="BR500" s="133" t="str">
        <f>IF($A500&lt;&gt;0,VLOOKUP($A500,'0.Productos'!$A$3:$GG$587,'0.Productos'!DJ$1+1,0),"")</f>
        <v/>
      </c>
      <c r="BS500" s="133" t="str">
        <f>IF($A500&lt;&gt;0,VLOOKUP($A500,'0.Productos'!$A$3:$GG$587,'0.Productos'!DK$1+1,0),"")</f>
        <v/>
      </c>
      <c r="BT500" s="133" t="str">
        <f>IF($A500&lt;&gt;0,VLOOKUP($A500,'0.Productos'!$A$3:$GG$587,'0.Productos'!DL$1+1,0),"")</f>
        <v/>
      </c>
    </row>
    <row r="501" spans="1:72" x14ac:dyDescent="0.25">
      <c r="A501" s="17">
        <f>'0.Consolidado general'!A501</f>
        <v>0</v>
      </c>
      <c r="B501" s="133" t="str">
        <f>IF($A501&lt;&gt;0,VLOOKUP($A501,'0.Productos'!$A$3:$GG$587,'0.Productos'!AT$1+1,0),"")</f>
        <v/>
      </c>
      <c r="C501" s="133" t="str">
        <f>IF($A501&lt;&gt;0,VLOOKUP($A501,'0.Productos'!$A$3:$GG$587,'0.Productos'!AU$1+1,0),"")</f>
        <v/>
      </c>
      <c r="D501" s="133" t="str">
        <f>IF($A501&lt;&gt;0,VLOOKUP($A501,'0.Productos'!$A$3:$GG$587,'0.Productos'!AV$1+1,0),"")</f>
        <v/>
      </c>
      <c r="E501" s="133" t="str">
        <f>IF($A501&lt;&gt;0,VLOOKUP($A501,'0.Productos'!$A$3:$GG$587,'0.Productos'!AW$1+1,0),"")</f>
        <v/>
      </c>
      <c r="F501" s="133" t="str">
        <f>IF($A501&lt;&gt;0,VLOOKUP($A501,'0.Productos'!$A$3:$GG$587,'0.Productos'!AX$1+1,0),"")</f>
        <v/>
      </c>
      <c r="G501" s="133" t="str">
        <f>IF($A501&lt;&gt;0,VLOOKUP($A501,'0.Productos'!$A$3:$GG$587,'0.Productos'!AY$1+1,0),"")</f>
        <v/>
      </c>
      <c r="H501" s="133" t="str">
        <f>IF($A501&lt;&gt;0,VLOOKUP($A501,'0.Productos'!$A$3:$GG$587,'0.Productos'!AZ$1+1,0),"")</f>
        <v/>
      </c>
      <c r="I501" s="133" t="str">
        <f>IF($A501&lt;&gt;0,VLOOKUP($A501,'0.Productos'!$A$3:$GG$587,'0.Productos'!BA$1+1,0),"")</f>
        <v/>
      </c>
      <c r="J501" s="133" t="str">
        <f>IF($A501&lt;&gt;0,VLOOKUP($A501,'0.Productos'!$A$3:$GG$587,'0.Productos'!BB$1+1,0),"")</f>
        <v/>
      </c>
      <c r="K501" s="133" t="str">
        <f>IF($A501&lt;&gt;0,VLOOKUP($A501,'0.Productos'!$A$3:$GG$587,'0.Productos'!BC$1+1,0),"")</f>
        <v/>
      </c>
      <c r="L501" s="133" t="str">
        <f>IF($A501&lt;&gt;0,VLOOKUP($A501,'0.Productos'!$A$3:$GG$587,'0.Productos'!BD$1+1,0),"")</f>
        <v/>
      </c>
      <c r="M501" s="133" t="str">
        <f>IF($A501&lt;&gt;0,VLOOKUP($A501,'0.Productos'!$A$3:$GG$587,'0.Productos'!BE$1+1,0),"")</f>
        <v/>
      </c>
      <c r="N501" s="133" t="str">
        <f>IF($A501&lt;&gt;0,VLOOKUP($A501,'0.Productos'!$A$3:$GG$587,'0.Productos'!BF$1+1,0),"")</f>
        <v/>
      </c>
      <c r="O501" s="133" t="str">
        <f>IF($A501&lt;&gt;0,VLOOKUP($A501,'0.Productos'!$A$3:$GG$587,'0.Productos'!BG$1+1,0),"")</f>
        <v/>
      </c>
      <c r="P501" s="133" t="str">
        <f>IF($A501&lt;&gt;0,VLOOKUP($A501,'0.Productos'!$A$3:$GG$587,'0.Productos'!BH$1+1,0),"")</f>
        <v/>
      </c>
      <c r="Q501" s="133" t="str">
        <f>IF($A501&lt;&gt;0,VLOOKUP($A501,'0.Productos'!$A$3:$GG$587,'0.Productos'!BI$1+1,0),"")</f>
        <v/>
      </c>
      <c r="R501" s="133" t="str">
        <f>IF($A501&lt;&gt;0,VLOOKUP($A501,'0.Productos'!$A$3:$GG$587,'0.Productos'!BJ$1+1,0),"")</f>
        <v/>
      </c>
      <c r="S501" s="133" t="str">
        <f>IF($A501&lt;&gt;0,VLOOKUP($A501,'0.Productos'!$A$3:$GG$587,'0.Productos'!BK$1+1,0),"")</f>
        <v/>
      </c>
      <c r="T501" s="133" t="str">
        <f>IF($A501&lt;&gt;0,VLOOKUP($A501,'0.Productos'!$A$3:$GG$587,'0.Productos'!BL$1+1,0),"")</f>
        <v/>
      </c>
      <c r="U501" s="133" t="str">
        <f>IF($A501&lt;&gt;0,VLOOKUP($A501,'0.Productos'!$A$3:$GG$587,'0.Productos'!BM$1+1,0),"")</f>
        <v/>
      </c>
      <c r="V501" s="133" t="str">
        <f>IF($A501&lt;&gt;0,VLOOKUP($A501,'0.Productos'!$A$3:$GG$587,'0.Productos'!BN$1+1,0),"")</f>
        <v/>
      </c>
      <c r="W501" s="133" t="str">
        <f>IF($A501&lt;&gt;0,VLOOKUP($A501,'0.Productos'!$A$3:$GG$587,'0.Productos'!BO$1+1,0),"")</f>
        <v/>
      </c>
      <c r="X501" s="133" t="str">
        <f>IF($A501&lt;&gt;0,VLOOKUP($A501,'0.Productos'!$A$3:$GG$587,'0.Productos'!BP$1+1,0),"")</f>
        <v/>
      </c>
      <c r="Y501" s="133" t="str">
        <f>IF($A501&lt;&gt;0,VLOOKUP($A501,'0.Productos'!$A$3:$GG$587,'0.Productos'!BQ$1+1,0),"")</f>
        <v/>
      </c>
      <c r="Z501" s="133" t="str">
        <f>IF($A501&lt;&gt;0,VLOOKUP($A501,'0.Productos'!$A$3:$GG$587,'0.Productos'!BR$1+1,0),"")</f>
        <v/>
      </c>
      <c r="AA501" s="133" t="str">
        <f>IF($A501&lt;&gt;0,VLOOKUP($A501,'0.Productos'!$A$3:$GG$587,'0.Productos'!BS$1+1,0),"")</f>
        <v/>
      </c>
      <c r="AB501" s="133" t="str">
        <f>IF($A501&lt;&gt;0,VLOOKUP($A501,'0.Productos'!$A$3:$GG$587,'0.Productos'!BT$1+1,0),"")</f>
        <v/>
      </c>
      <c r="AC501" s="133" t="str">
        <f>IF($A501&lt;&gt;0,VLOOKUP($A501,'0.Productos'!$A$3:$GG$587,'0.Productos'!BU$1+1,0),"")</f>
        <v/>
      </c>
      <c r="AD501" s="133" t="str">
        <f>IF($A501&lt;&gt;0,VLOOKUP($A501,'0.Productos'!$A$3:$GG$587,'0.Productos'!BV$1+1,0),"")</f>
        <v/>
      </c>
      <c r="AE501" s="133" t="str">
        <f>IF($A501&lt;&gt;0,VLOOKUP($A501,'0.Productos'!$A$3:$GG$587,'0.Productos'!BW$1+1,0),"")</f>
        <v/>
      </c>
      <c r="AF501" s="133" t="str">
        <f>IF($A501&lt;&gt;0,VLOOKUP($A501,'0.Productos'!$A$3:$GG$587,'0.Productos'!BX$1+1,0),"")</f>
        <v/>
      </c>
      <c r="AG501" s="133" t="str">
        <f>IF($A501&lt;&gt;0,VLOOKUP($A501,'0.Productos'!$A$3:$GG$587,'0.Productos'!BY$1+1,0),"")</f>
        <v/>
      </c>
      <c r="AH501" s="133" t="str">
        <f>IF($A501&lt;&gt;0,VLOOKUP($A501,'0.Productos'!$A$3:$GG$587,'0.Productos'!BZ$1+1,0),"")</f>
        <v/>
      </c>
      <c r="AI501" s="133" t="str">
        <f>IF($A501&lt;&gt;0,VLOOKUP($A501,'0.Productos'!$A$3:$GG$587,'0.Productos'!CA$1+1,0),"")</f>
        <v/>
      </c>
      <c r="AJ501" s="133" t="str">
        <f>IF($A501&lt;&gt;0,VLOOKUP($A501,'0.Productos'!$A$3:$GG$587,'0.Productos'!CB$1+1,0),"")</f>
        <v/>
      </c>
      <c r="AK501" s="133" t="str">
        <f>IF($A501&lt;&gt;0,VLOOKUP($A501,'0.Productos'!$A$3:$GG$587,'0.Productos'!CC$1+1,0),"")</f>
        <v/>
      </c>
      <c r="AL501" s="133" t="str">
        <f>IF($A501&lt;&gt;0,VLOOKUP($A501,'0.Productos'!$A$3:$GG$587,'0.Productos'!CD$1+1,0),"")</f>
        <v/>
      </c>
      <c r="AM501" s="133" t="str">
        <f>IF($A501&lt;&gt;0,VLOOKUP($A501,'0.Productos'!$A$3:$GG$587,'0.Productos'!CE$1+1,0),"")</f>
        <v/>
      </c>
      <c r="AN501" s="133" t="str">
        <f>IF($A501&lt;&gt;0,VLOOKUP($A501,'0.Productos'!$A$3:$GG$587,'0.Productos'!CF$1+1,0),"")</f>
        <v/>
      </c>
      <c r="AO501" s="133" t="str">
        <f>IF($A501&lt;&gt;0,VLOOKUP($A501,'0.Productos'!$A$3:$GG$587,'0.Productos'!CG$1+1,0),"")</f>
        <v/>
      </c>
      <c r="AP501" s="133" t="str">
        <f>IF($A501&lt;&gt;0,VLOOKUP($A501,'0.Productos'!$A$3:$GG$587,'0.Productos'!CH$1+1,0),"")</f>
        <v/>
      </c>
      <c r="AQ501" s="133" t="str">
        <f>IF($A501&lt;&gt;0,VLOOKUP($A501,'0.Productos'!$A$3:$GG$587,'0.Productos'!CI$1+1,0),"")</f>
        <v/>
      </c>
      <c r="AR501" s="133" t="str">
        <f>IF($A501&lt;&gt;0,VLOOKUP($A501,'0.Productos'!$A$3:$GG$587,'0.Productos'!CJ$1+1,0),"")</f>
        <v/>
      </c>
      <c r="AS501" s="133" t="str">
        <f>IF($A501&lt;&gt;0,VLOOKUP($A501,'0.Productos'!$A$3:$GG$587,'0.Productos'!CK$1+1,0),"")</f>
        <v/>
      </c>
      <c r="AT501" s="133" t="str">
        <f>IF($A501&lt;&gt;0,VLOOKUP($A501,'0.Productos'!$A$3:$GG$587,'0.Productos'!CL$1+1,0),"")</f>
        <v/>
      </c>
      <c r="AU501" s="133" t="str">
        <f>IF($A501&lt;&gt;0,VLOOKUP($A501,'0.Productos'!$A$3:$GG$587,'0.Productos'!CM$1+1,0),"")</f>
        <v/>
      </c>
      <c r="AV501" s="133" t="str">
        <f>IF($A501&lt;&gt;0,VLOOKUP($A501,'0.Productos'!$A$3:$GG$587,'0.Productos'!CN$1+1,0),"")</f>
        <v/>
      </c>
      <c r="AW501" s="133" t="str">
        <f>IF($A501&lt;&gt;0,VLOOKUP($A501,'0.Productos'!$A$3:$GG$587,'0.Productos'!CO$1+1,0),"")</f>
        <v/>
      </c>
      <c r="AX501" s="133" t="str">
        <f>IF($A501&lt;&gt;0,VLOOKUP($A501,'0.Productos'!$A$3:$GG$587,'0.Productos'!CP$1+1,0),"")</f>
        <v/>
      </c>
      <c r="AY501" s="133" t="str">
        <f>IF($A501&lt;&gt;0,VLOOKUP($A501,'0.Productos'!$A$3:$GG$587,'0.Productos'!CQ$1+1,0),"")</f>
        <v/>
      </c>
      <c r="AZ501" s="133" t="str">
        <f>IF($A501&lt;&gt;0,VLOOKUP($A501,'0.Productos'!$A$3:$GG$587,'0.Productos'!CR$1+1,0),"")</f>
        <v/>
      </c>
      <c r="BA501" s="133" t="str">
        <f>IF($A501&lt;&gt;0,VLOOKUP($A501,'0.Productos'!$A$3:$GG$587,'0.Productos'!CS$1+1,0),"")</f>
        <v/>
      </c>
      <c r="BB501" s="133" t="str">
        <f>IF($A501&lt;&gt;0,VLOOKUP($A501,'0.Productos'!$A$3:$GG$587,'0.Productos'!CT$1+1,0),"")</f>
        <v/>
      </c>
      <c r="BC501" s="133" t="str">
        <f>IF($A501&lt;&gt;0,VLOOKUP($A501,'0.Productos'!$A$3:$GG$587,'0.Productos'!CU$1+1,0),"")</f>
        <v/>
      </c>
      <c r="BD501" s="133" t="str">
        <f>IF($A501&lt;&gt;0,VLOOKUP($A501,'0.Productos'!$A$3:$GG$587,'0.Productos'!CV$1+1,0),"")</f>
        <v/>
      </c>
      <c r="BE501" s="133" t="str">
        <f>IF($A501&lt;&gt;0,VLOOKUP($A501,'0.Productos'!$A$3:$GG$587,'0.Productos'!CW$1+1,0),"")</f>
        <v/>
      </c>
      <c r="BF501" s="133" t="str">
        <f>IF($A501&lt;&gt;0,VLOOKUP($A501,'0.Productos'!$A$3:$GG$587,'0.Productos'!CX$1+1,0),"")</f>
        <v/>
      </c>
      <c r="BG501" s="133" t="str">
        <f>IF($A501&lt;&gt;0,VLOOKUP($A501,'0.Productos'!$A$3:$GG$587,'0.Productos'!CY$1+1,0),"")</f>
        <v/>
      </c>
      <c r="BH501" s="133" t="str">
        <f>IF($A501&lt;&gt;0,VLOOKUP($A501,'0.Productos'!$A$3:$GG$587,'0.Productos'!CZ$1+1,0),"")</f>
        <v/>
      </c>
      <c r="BI501" s="133" t="str">
        <f>IF($A501&lt;&gt;0,VLOOKUP($A501,'0.Productos'!$A$3:$GG$587,'0.Productos'!DA$1+1,0),"")</f>
        <v/>
      </c>
      <c r="BJ501" s="133" t="str">
        <f>IF($A501&lt;&gt;0,VLOOKUP($A501,'0.Productos'!$A$3:$GG$587,'0.Productos'!DB$1+1,0),"")</f>
        <v/>
      </c>
      <c r="BK501" s="133" t="str">
        <f>IF($A501&lt;&gt;0,VLOOKUP($A501,'0.Productos'!$A$3:$GG$587,'0.Productos'!DC$1+1,0),"")</f>
        <v/>
      </c>
      <c r="BL501" s="133" t="str">
        <f>IF($A501&lt;&gt;0,VLOOKUP($A501,'0.Productos'!$A$3:$GG$587,'0.Productos'!DD$1+1,0),"")</f>
        <v/>
      </c>
      <c r="BM501" s="133" t="str">
        <f>IF($A501&lt;&gt;0,VLOOKUP($A501,'0.Productos'!$A$3:$GG$587,'0.Productos'!DE$1+1,0),"")</f>
        <v/>
      </c>
      <c r="BN501" s="133" t="str">
        <f>IF($A501&lt;&gt;0,VLOOKUP($A501,'0.Productos'!$A$3:$GG$587,'0.Productos'!DF$1+1,0),"")</f>
        <v/>
      </c>
      <c r="BO501" s="133" t="str">
        <f>IF($A501&lt;&gt;0,VLOOKUP($A501,'0.Productos'!$A$3:$GG$587,'0.Productos'!DG$1+1,0),"")</f>
        <v/>
      </c>
      <c r="BP501" s="133" t="str">
        <f>IF($A501&lt;&gt;0,VLOOKUP($A501,'0.Productos'!$A$3:$GG$587,'0.Productos'!DH$1+1,0),"")</f>
        <v/>
      </c>
      <c r="BQ501" s="133" t="str">
        <f>IF($A501&lt;&gt;0,VLOOKUP($A501,'0.Productos'!$A$3:$GG$587,'0.Productos'!DI$1+1,0),"")</f>
        <v/>
      </c>
      <c r="BR501" s="133" t="str">
        <f>IF($A501&lt;&gt;0,VLOOKUP($A501,'0.Productos'!$A$3:$GG$587,'0.Productos'!DJ$1+1,0),"")</f>
        <v/>
      </c>
      <c r="BS501" s="133" t="str">
        <f>IF($A501&lt;&gt;0,VLOOKUP($A501,'0.Productos'!$A$3:$GG$587,'0.Productos'!DK$1+1,0),"")</f>
        <v/>
      </c>
      <c r="BT501" s="133" t="str">
        <f>IF($A501&lt;&gt;0,VLOOKUP($A501,'0.Productos'!$A$3:$GG$587,'0.Productos'!DL$1+1,0),"")</f>
        <v/>
      </c>
    </row>
    <row r="502" spans="1:72" x14ac:dyDescent="0.25">
      <c r="A502" s="17">
        <f>'0.Consolidado general'!A502</f>
        <v>0</v>
      </c>
      <c r="B502" s="133" t="str">
        <f>IF($A502&lt;&gt;0,VLOOKUP($A502,'0.Productos'!$A$3:$GG$587,'0.Productos'!AT$1+1,0),"")</f>
        <v/>
      </c>
      <c r="C502" s="133" t="str">
        <f>IF($A502&lt;&gt;0,VLOOKUP($A502,'0.Productos'!$A$3:$GG$587,'0.Productos'!AU$1+1,0),"")</f>
        <v/>
      </c>
      <c r="D502" s="133" t="str">
        <f>IF($A502&lt;&gt;0,VLOOKUP($A502,'0.Productos'!$A$3:$GG$587,'0.Productos'!AV$1+1,0),"")</f>
        <v/>
      </c>
      <c r="E502" s="133" t="str">
        <f>IF($A502&lt;&gt;0,VLOOKUP($A502,'0.Productos'!$A$3:$GG$587,'0.Productos'!AW$1+1,0),"")</f>
        <v/>
      </c>
      <c r="F502" s="133" t="str">
        <f>IF($A502&lt;&gt;0,VLOOKUP($A502,'0.Productos'!$A$3:$GG$587,'0.Productos'!AX$1+1,0),"")</f>
        <v/>
      </c>
      <c r="G502" s="133" t="str">
        <f>IF($A502&lt;&gt;0,VLOOKUP($A502,'0.Productos'!$A$3:$GG$587,'0.Productos'!AY$1+1,0),"")</f>
        <v/>
      </c>
      <c r="H502" s="133" t="str">
        <f>IF($A502&lt;&gt;0,VLOOKUP($A502,'0.Productos'!$A$3:$GG$587,'0.Productos'!AZ$1+1,0),"")</f>
        <v/>
      </c>
      <c r="I502" s="133" t="str">
        <f>IF($A502&lt;&gt;0,VLOOKUP($A502,'0.Productos'!$A$3:$GG$587,'0.Productos'!BA$1+1,0),"")</f>
        <v/>
      </c>
      <c r="J502" s="133" t="str">
        <f>IF($A502&lt;&gt;0,VLOOKUP($A502,'0.Productos'!$A$3:$GG$587,'0.Productos'!BB$1+1,0),"")</f>
        <v/>
      </c>
      <c r="K502" s="133" t="str">
        <f>IF($A502&lt;&gt;0,VLOOKUP($A502,'0.Productos'!$A$3:$GG$587,'0.Productos'!BC$1+1,0),"")</f>
        <v/>
      </c>
      <c r="L502" s="133" t="str">
        <f>IF($A502&lt;&gt;0,VLOOKUP($A502,'0.Productos'!$A$3:$GG$587,'0.Productos'!BD$1+1,0),"")</f>
        <v/>
      </c>
      <c r="M502" s="133" t="str">
        <f>IF($A502&lt;&gt;0,VLOOKUP($A502,'0.Productos'!$A$3:$GG$587,'0.Productos'!BE$1+1,0),"")</f>
        <v/>
      </c>
      <c r="N502" s="133" t="str">
        <f>IF($A502&lt;&gt;0,VLOOKUP($A502,'0.Productos'!$A$3:$GG$587,'0.Productos'!BF$1+1,0),"")</f>
        <v/>
      </c>
      <c r="O502" s="133" t="str">
        <f>IF($A502&lt;&gt;0,VLOOKUP($A502,'0.Productos'!$A$3:$GG$587,'0.Productos'!BG$1+1,0),"")</f>
        <v/>
      </c>
      <c r="P502" s="133" t="str">
        <f>IF($A502&lt;&gt;0,VLOOKUP($A502,'0.Productos'!$A$3:$GG$587,'0.Productos'!BH$1+1,0),"")</f>
        <v/>
      </c>
      <c r="Q502" s="133" t="str">
        <f>IF($A502&lt;&gt;0,VLOOKUP($A502,'0.Productos'!$A$3:$GG$587,'0.Productos'!BI$1+1,0),"")</f>
        <v/>
      </c>
      <c r="R502" s="133" t="str">
        <f>IF($A502&lt;&gt;0,VLOOKUP($A502,'0.Productos'!$A$3:$GG$587,'0.Productos'!BJ$1+1,0),"")</f>
        <v/>
      </c>
      <c r="S502" s="133" t="str">
        <f>IF($A502&lt;&gt;0,VLOOKUP($A502,'0.Productos'!$A$3:$GG$587,'0.Productos'!BK$1+1,0),"")</f>
        <v/>
      </c>
      <c r="T502" s="133" t="str">
        <f>IF($A502&lt;&gt;0,VLOOKUP($A502,'0.Productos'!$A$3:$GG$587,'0.Productos'!BL$1+1,0),"")</f>
        <v/>
      </c>
      <c r="U502" s="133" t="str">
        <f>IF($A502&lt;&gt;0,VLOOKUP($A502,'0.Productos'!$A$3:$GG$587,'0.Productos'!BM$1+1,0),"")</f>
        <v/>
      </c>
      <c r="V502" s="133" t="str">
        <f>IF($A502&lt;&gt;0,VLOOKUP($A502,'0.Productos'!$A$3:$GG$587,'0.Productos'!BN$1+1,0),"")</f>
        <v/>
      </c>
      <c r="W502" s="133" t="str">
        <f>IF($A502&lt;&gt;0,VLOOKUP($A502,'0.Productos'!$A$3:$GG$587,'0.Productos'!BO$1+1,0),"")</f>
        <v/>
      </c>
      <c r="X502" s="133" t="str">
        <f>IF($A502&lt;&gt;0,VLOOKUP($A502,'0.Productos'!$A$3:$GG$587,'0.Productos'!BP$1+1,0),"")</f>
        <v/>
      </c>
      <c r="Y502" s="133" t="str">
        <f>IF($A502&lt;&gt;0,VLOOKUP($A502,'0.Productos'!$A$3:$GG$587,'0.Productos'!BQ$1+1,0),"")</f>
        <v/>
      </c>
      <c r="Z502" s="133" t="str">
        <f>IF($A502&lt;&gt;0,VLOOKUP($A502,'0.Productos'!$A$3:$GG$587,'0.Productos'!BR$1+1,0),"")</f>
        <v/>
      </c>
      <c r="AA502" s="133" t="str">
        <f>IF($A502&lt;&gt;0,VLOOKUP($A502,'0.Productos'!$A$3:$GG$587,'0.Productos'!BS$1+1,0),"")</f>
        <v/>
      </c>
      <c r="AB502" s="133" t="str">
        <f>IF($A502&lt;&gt;0,VLOOKUP($A502,'0.Productos'!$A$3:$GG$587,'0.Productos'!BT$1+1,0),"")</f>
        <v/>
      </c>
      <c r="AC502" s="133" t="str">
        <f>IF($A502&lt;&gt;0,VLOOKUP($A502,'0.Productos'!$A$3:$GG$587,'0.Productos'!BU$1+1,0),"")</f>
        <v/>
      </c>
      <c r="AD502" s="133" t="str">
        <f>IF($A502&lt;&gt;0,VLOOKUP($A502,'0.Productos'!$A$3:$GG$587,'0.Productos'!BV$1+1,0),"")</f>
        <v/>
      </c>
      <c r="AE502" s="133" t="str">
        <f>IF($A502&lt;&gt;0,VLOOKUP($A502,'0.Productos'!$A$3:$GG$587,'0.Productos'!BW$1+1,0),"")</f>
        <v/>
      </c>
      <c r="AF502" s="133" t="str">
        <f>IF($A502&lt;&gt;0,VLOOKUP($A502,'0.Productos'!$A$3:$GG$587,'0.Productos'!BX$1+1,0),"")</f>
        <v/>
      </c>
      <c r="AG502" s="133" t="str">
        <f>IF($A502&lt;&gt;0,VLOOKUP($A502,'0.Productos'!$A$3:$GG$587,'0.Productos'!BY$1+1,0),"")</f>
        <v/>
      </c>
      <c r="AH502" s="133" t="str">
        <f>IF($A502&lt;&gt;0,VLOOKUP($A502,'0.Productos'!$A$3:$GG$587,'0.Productos'!BZ$1+1,0),"")</f>
        <v/>
      </c>
      <c r="AI502" s="133" t="str">
        <f>IF($A502&lt;&gt;0,VLOOKUP($A502,'0.Productos'!$A$3:$GG$587,'0.Productos'!CA$1+1,0),"")</f>
        <v/>
      </c>
      <c r="AJ502" s="133" t="str">
        <f>IF($A502&lt;&gt;0,VLOOKUP($A502,'0.Productos'!$A$3:$GG$587,'0.Productos'!CB$1+1,0),"")</f>
        <v/>
      </c>
      <c r="AK502" s="133" t="str">
        <f>IF($A502&lt;&gt;0,VLOOKUP($A502,'0.Productos'!$A$3:$GG$587,'0.Productos'!CC$1+1,0),"")</f>
        <v/>
      </c>
      <c r="AL502" s="133" t="str">
        <f>IF($A502&lt;&gt;0,VLOOKUP($A502,'0.Productos'!$A$3:$GG$587,'0.Productos'!CD$1+1,0),"")</f>
        <v/>
      </c>
      <c r="AM502" s="133" t="str">
        <f>IF($A502&lt;&gt;0,VLOOKUP($A502,'0.Productos'!$A$3:$GG$587,'0.Productos'!CE$1+1,0),"")</f>
        <v/>
      </c>
      <c r="AN502" s="133" t="str">
        <f>IF($A502&lt;&gt;0,VLOOKUP($A502,'0.Productos'!$A$3:$GG$587,'0.Productos'!CF$1+1,0),"")</f>
        <v/>
      </c>
      <c r="AO502" s="133" t="str">
        <f>IF($A502&lt;&gt;0,VLOOKUP($A502,'0.Productos'!$A$3:$GG$587,'0.Productos'!CG$1+1,0),"")</f>
        <v/>
      </c>
      <c r="AP502" s="133" t="str">
        <f>IF($A502&lt;&gt;0,VLOOKUP($A502,'0.Productos'!$A$3:$GG$587,'0.Productos'!CH$1+1,0),"")</f>
        <v/>
      </c>
      <c r="AQ502" s="133" t="str">
        <f>IF($A502&lt;&gt;0,VLOOKUP($A502,'0.Productos'!$A$3:$GG$587,'0.Productos'!CI$1+1,0),"")</f>
        <v/>
      </c>
      <c r="AR502" s="133" t="str">
        <f>IF($A502&lt;&gt;0,VLOOKUP($A502,'0.Productos'!$A$3:$GG$587,'0.Productos'!CJ$1+1,0),"")</f>
        <v/>
      </c>
      <c r="AS502" s="133" t="str">
        <f>IF($A502&lt;&gt;0,VLOOKUP($A502,'0.Productos'!$A$3:$GG$587,'0.Productos'!CK$1+1,0),"")</f>
        <v/>
      </c>
      <c r="AT502" s="133" t="str">
        <f>IF($A502&lt;&gt;0,VLOOKUP($A502,'0.Productos'!$A$3:$GG$587,'0.Productos'!CL$1+1,0),"")</f>
        <v/>
      </c>
      <c r="AU502" s="133" t="str">
        <f>IF($A502&lt;&gt;0,VLOOKUP($A502,'0.Productos'!$A$3:$GG$587,'0.Productos'!CM$1+1,0),"")</f>
        <v/>
      </c>
      <c r="AV502" s="133" t="str">
        <f>IF($A502&lt;&gt;0,VLOOKUP($A502,'0.Productos'!$A$3:$GG$587,'0.Productos'!CN$1+1,0),"")</f>
        <v/>
      </c>
      <c r="AW502" s="133" t="str">
        <f>IF($A502&lt;&gt;0,VLOOKUP($A502,'0.Productos'!$A$3:$GG$587,'0.Productos'!CO$1+1,0),"")</f>
        <v/>
      </c>
      <c r="AX502" s="133" t="str">
        <f>IF($A502&lt;&gt;0,VLOOKUP($A502,'0.Productos'!$A$3:$GG$587,'0.Productos'!CP$1+1,0),"")</f>
        <v/>
      </c>
      <c r="AY502" s="133" t="str">
        <f>IF($A502&lt;&gt;0,VLOOKUP($A502,'0.Productos'!$A$3:$GG$587,'0.Productos'!CQ$1+1,0),"")</f>
        <v/>
      </c>
      <c r="AZ502" s="133" t="str">
        <f>IF($A502&lt;&gt;0,VLOOKUP($A502,'0.Productos'!$A$3:$GG$587,'0.Productos'!CR$1+1,0),"")</f>
        <v/>
      </c>
      <c r="BA502" s="133" t="str">
        <f>IF($A502&lt;&gt;0,VLOOKUP($A502,'0.Productos'!$A$3:$GG$587,'0.Productos'!CS$1+1,0),"")</f>
        <v/>
      </c>
      <c r="BB502" s="133" t="str">
        <f>IF($A502&lt;&gt;0,VLOOKUP($A502,'0.Productos'!$A$3:$GG$587,'0.Productos'!CT$1+1,0),"")</f>
        <v/>
      </c>
      <c r="BC502" s="133" t="str">
        <f>IF($A502&lt;&gt;0,VLOOKUP($A502,'0.Productos'!$A$3:$GG$587,'0.Productos'!CU$1+1,0),"")</f>
        <v/>
      </c>
      <c r="BD502" s="133" t="str">
        <f>IF($A502&lt;&gt;0,VLOOKUP($A502,'0.Productos'!$A$3:$GG$587,'0.Productos'!CV$1+1,0),"")</f>
        <v/>
      </c>
      <c r="BE502" s="133" t="str">
        <f>IF($A502&lt;&gt;0,VLOOKUP($A502,'0.Productos'!$A$3:$GG$587,'0.Productos'!CW$1+1,0),"")</f>
        <v/>
      </c>
      <c r="BF502" s="133" t="str">
        <f>IF($A502&lt;&gt;0,VLOOKUP($A502,'0.Productos'!$A$3:$GG$587,'0.Productos'!CX$1+1,0),"")</f>
        <v/>
      </c>
      <c r="BG502" s="133" t="str">
        <f>IF($A502&lt;&gt;0,VLOOKUP($A502,'0.Productos'!$A$3:$GG$587,'0.Productos'!CY$1+1,0),"")</f>
        <v/>
      </c>
      <c r="BH502" s="133" t="str">
        <f>IF($A502&lt;&gt;0,VLOOKUP($A502,'0.Productos'!$A$3:$GG$587,'0.Productos'!CZ$1+1,0),"")</f>
        <v/>
      </c>
      <c r="BI502" s="133" t="str">
        <f>IF($A502&lt;&gt;0,VLOOKUP($A502,'0.Productos'!$A$3:$GG$587,'0.Productos'!DA$1+1,0),"")</f>
        <v/>
      </c>
      <c r="BJ502" s="133" t="str">
        <f>IF($A502&lt;&gt;0,VLOOKUP($A502,'0.Productos'!$A$3:$GG$587,'0.Productos'!DB$1+1,0),"")</f>
        <v/>
      </c>
      <c r="BK502" s="133" t="str">
        <f>IF($A502&lt;&gt;0,VLOOKUP($A502,'0.Productos'!$A$3:$GG$587,'0.Productos'!DC$1+1,0),"")</f>
        <v/>
      </c>
      <c r="BL502" s="133" t="str">
        <f>IF($A502&lt;&gt;0,VLOOKUP($A502,'0.Productos'!$A$3:$GG$587,'0.Productos'!DD$1+1,0),"")</f>
        <v/>
      </c>
      <c r="BM502" s="133" t="str">
        <f>IF($A502&lt;&gt;0,VLOOKUP($A502,'0.Productos'!$A$3:$GG$587,'0.Productos'!DE$1+1,0),"")</f>
        <v/>
      </c>
      <c r="BN502" s="133" t="str">
        <f>IF($A502&lt;&gt;0,VLOOKUP($A502,'0.Productos'!$A$3:$GG$587,'0.Productos'!DF$1+1,0),"")</f>
        <v/>
      </c>
      <c r="BO502" s="133" t="str">
        <f>IF($A502&lt;&gt;0,VLOOKUP($A502,'0.Productos'!$A$3:$GG$587,'0.Productos'!DG$1+1,0),"")</f>
        <v/>
      </c>
      <c r="BP502" s="133" t="str">
        <f>IF($A502&lt;&gt;0,VLOOKUP($A502,'0.Productos'!$A$3:$GG$587,'0.Productos'!DH$1+1,0),"")</f>
        <v/>
      </c>
      <c r="BQ502" s="133" t="str">
        <f>IF($A502&lt;&gt;0,VLOOKUP($A502,'0.Productos'!$A$3:$GG$587,'0.Productos'!DI$1+1,0),"")</f>
        <v/>
      </c>
      <c r="BR502" s="133" t="str">
        <f>IF($A502&lt;&gt;0,VLOOKUP($A502,'0.Productos'!$A$3:$GG$587,'0.Productos'!DJ$1+1,0),"")</f>
        <v/>
      </c>
      <c r="BS502" s="133" t="str">
        <f>IF($A502&lt;&gt;0,VLOOKUP($A502,'0.Productos'!$A$3:$GG$587,'0.Productos'!DK$1+1,0),"")</f>
        <v/>
      </c>
      <c r="BT502" s="133" t="str">
        <f>IF($A502&lt;&gt;0,VLOOKUP($A502,'0.Productos'!$A$3:$GG$587,'0.Productos'!DL$1+1,0),"")</f>
        <v/>
      </c>
    </row>
    <row r="503" spans="1:72" x14ac:dyDescent="0.25">
      <c r="A503" s="17">
        <f>'0.Consolidado general'!A503</f>
        <v>0</v>
      </c>
      <c r="B503" s="133" t="str">
        <f>IF($A503&lt;&gt;0,VLOOKUP($A503,'0.Productos'!$A$3:$GG$587,'0.Productos'!AT$1+1,0),"")</f>
        <v/>
      </c>
      <c r="C503" s="133" t="str">
        <f>IF($A503&lt;&gt;0,VLOOKUP($A503,'0.Productos'!$A$3:$GG$587,'0.Productos'!AU$1+1,0),"")</f>
        <v/>
      </c>
      <c r="D503" s="133" t="str">
        <f>IF($A503&lt;&gt;0,VLOOKUP($A503,'0.Productos'!$A$3:$GG$587,'0.Productos'!AV$1+1,0),"")</f>
        <v/>
      </c>
      <c r="E503" s="133" t="str">
        <f>IF($A503&lt;&gt;0,VLOOKUP($A503,'0.Productos'!$A$3:$GG$587,'0.Productos'!AW$1+1,0),"")</f>
        <v/>
      </c>
      <c r="F503" s="133" t="str">
        <f>IF($A503&lt;&gt;0,VLOOKUP($A503,'0.Productos'!$A$3:$GG$587,'0.Productos'!AX$1+1,0),"")</f>
        <v/>
      </c>
      <c r="G503" s="133" t="str">
        <f>IF($A503&lt;&gt;0,VLOOKUP($A503,'0.Productos'!$A$3:$GG$587,'0.Productos'!AY$1+1,0),"")</f>
        <v/>
      </c>
      <c r="H503" s="133" t="str">
        <f>IF($A503&lt;&gt;0,VLOOKUP($A503,'0.Productos'!$A$3:$GG$587,'0.Productos'!AZ$1+1,0),"")</f>
        <v/>
      </c>
      <c r="I503" s="133" t="str">
        <f>IF($A503&lt;&gt;0,VLOOKUP($A503,'0.Productos'!$A$3:$GG$587,'0.Productos'!BA$1+1,0),"")</f>
        <v/>
      </c>
      <c r="J503" s="133" t="str">
        <f>IF($A503&lt;&gt;0,VLOOKUP($A503,'0.Productos'!$A$3:$GG$587,'0.Productos'!BB$1+1,0),"")</f>
        <v/>
      </c>
      <c r="K503" s="133" t="str">
        <f>IF($A503&lt;&gt;0,VLOOKUP($A503,'0.Productos'!$A$3:$GG$587,'0.Productos'!BC$1+1,0),"")</f>
        <v/>
      </c>
      <c r="L503" s="133" t="str">
        <f>IF($A503&lt;&gt;0,VLOOKUP($A503,'0.Productos'!$A$3:$GG$587,'0.Productos'!BD$1+1,0),"")</f>
        <v/>
      </c>
      <c r="M503" s="133" t="str">
        <f>IF($A503&lt;&gt;0,VLOOKUP($A503,'0.Productos'!$A$3:$GG$587,'0.Productos'!BE$1+1,0),"")</f>
        <v/>
      </c>
      <c r="N503" s="133" t="str">
        <f>IF($A503&lt;&gt;0,VLOOKUP($A503,'0.Productos'!$A$3:$GG$587,'0.Productos'!BF$1+1,0),"")</f>
        <v/>
      </c>
      <c r="O503" s="133" t="str">
        <f>IF($A503&lt;&gt;0,VLOOKUP($A503,'0.Productos'!$A$3:$GG$587,'0.Productos'!BG$1+1,0),"")</f>
        <v/>
      </c>
      <c r="P503" s="133" t="str">
        <f>IF($A503&lt;&gt;0,VLOOKUP($A503,'0.Productos'!$A$3:$GG$587,'0.Productos'!BH$1+1,0),"")</f>
        <v/>
      </c>
      <c r="Q503" s="133" t="str">
        <f>IF($A503&lt;&gt;0,VLOOKUP($A503,'0.Productos'!$A$3:$GG$587,'0.Productos'!BI$1+1,0),"")</f>
        <v/>
      </c>
      <c r="R503" s="133" t="str">
        <f>IF($A503&lt;&gt;0,VLOOKUP($A503,'0.Productos'!$A$3:$GG$587,'0.Productos'!BJ$1+1,0),"")</f>
        <v/>
      </c>
      <c r="S503" s="133" t="str">
        <f>IF($A503&lt;&gt;0,VLOOKUP($A503,'0.Productos'!$A$3:$GG$587,'0.Productos'!BK$1+1,0),"")</f>
        <v/>
      </c>
      <c r="T503" s="133" t="str">
        <f>IF($A503&lt;&gt;0,VLOOKUP($A503,'0.Productos'!$A$3:$GG$587,'0.Productos'!BL$1+1,0),"")</f>
        <v/>
      </c>
      <c r="U503" s="133" t="str">
        <f>IF($A503&lt;&gt;0,VLOOKUP($A503,'0.Productos'!$A$3:$GG$587,'0.Productos'!BM$1+1,0),"")</f>
        <v/>
      </c>
      <c r="V503" s="133" t="str">
        <f>IF($A503&lt;&gt;0,VLOOKUP($A503,'0.Productos'!$A$3:$GG$587,'0.Productos'!BN$1+1,0),"")</f>
        <v/>
      </c>
      <c r="W503" s="133" t="str">
        <f>IF($A503&lt;&gt;0,VLOOKUP($A503,'0.Productos'!$A$3:$GG$587,'0.Productos'!BO$1+1,0),"")</f>
        <v/>
      </c>
      <c r="X503" s="133" t="str">
        <f>IF($A503&lt;&gt;0,VLOOKUP($A503,'0.Productos'!$A$3:$GG$587,'0.Productos'!BP$1+1,0),"")</f>
        <v/>
      </c>
      <c r="Y503" s="133" t="str">
        <f>IF($A503&lt;&gt;0,VLOOKUP($A503,'0.Productos'!$A$3:$GG$587,'0.Productos'!BQ$1+1,0),"")</f>
        <v/>
      </c>
      <c r="Z503" s="133" t="str">
        <f>IF($A503&lt;&gt;0,VLOOKUP($A503,'0.Productos'!$A$3:$GG$587,'0.Productos'!BR$1+1,0),"")</f>
        <v/>
      </c>
      <c r="AA503" s="133" t="str">
        <f>IF($A503&lt;&gt;0,VLOOKUP($A503,'0.Productos'!$A$3:$GG$587,'0.Productos'!BS$1+1,0),"")</f>
        <v/>
      </c>
      <c r="AB503" s="133" t="str">
        <f>IF($A503&lt;&gt;0,VLOOKUP($A503,'0.Productos'!$A$3:$GG$587,'0.Productos'!BT$1+1,0),"")</f>
        <v/>
      </c>
      <c r="AC503" s="133" t="str">
        <f>IF($A503&lt;&gt;0,VLOOKUP($A503,'0.Productos'!$A$3:$GG$587,'0.Productos'!BU$1+1,0),"")</f>
        <v/>
      </c>
      <c r="AD503" s="133" t="str">
        <f>IF($A503&lt;&gt;0,VLOOKUP($A503,'0.Productos'!$A$3:$GG$587,'0.Productos'!BV$1+1,0),"")</f>
        <v/>
      </c>
      <c r="AE503" s="133" t="str">
        <f>IF($A503&lt;&gt;0,VLOOKUP($A503,'0.Productos'!$A$3:$GG$587,'0.Productos'!BW$1+1,0),"")</f>
        <v/>
      </c>
      <c r="AF503" s="133" t="str">
        <f>IF($A503&lt;&gt;0,VLOOKUP($A503,'0.Productos'!$A$3:$GG$587,'0.Productos'!BX$1+1,0),"")</f>
        <v/>
      </c>
      <c r="AG503" s="133" t="str">
        <f>IF($A503&lt;&gt;0,VLOOKUP($A503,'0.Productos'!$A$3:$GG$587,'0.Productos'!BY$1+1,0),"")</f>
        <v/>
      </c>
      <c r="AH503" s="133" t="str">
        <f>IF($A503&lt;&gt;0,VLOOKUP($A503,'0.Productos'!$A$3:$GG$587,'0.Productos'!BZ$1+1,0),"")</f>
        <v/>
      </c>
      <c r="AI503" s="133" t="str">
        <f>IF($A503&lt;&gt;0,VLOOKUP($A503,'0.Productos'!$A$3:$GG$587,'0.Productos'!CA$1+1,0),"")</f>
        <v/>
      </c>
      <c r="AJ503" s="133" t="str">
        <f>IF($A503&lt;&gt;0,VLOOKUP($A503,'0.Productos'!$A$3:$GG$587,'0.Productos'!CB$1+1,0),"")</f>
        <v/>
      </c>
      <c r="AK503" s="133" t="str">
        <f>IF($A503&lt;&gt;0,VLOOKUP($A503,'0.Productos'!$A$3:$GG$587,'0.Productos'!CC$1+1,0),"")</f>
        <v/>
      </c>
      <c r="AL503" s="133" t="str">
        <f>IF($A503&lt;&gt;0,VLOOKUP($A503,'0.Productos'!$A$3:$GG$587,'0.Productos'!CD$1+1,0),"")</f>
        <v/>
      </c>
      <c r="AM503" s="133" t="str">
        <f>IF($A503&lt;&gt;0,VLOOKUP($A503,'0.Productos'!$A$3:$GG$587,'0.Productos'!CE$1+1,0),"")</f>
        <v/>
      </c>
      <c r="AN503" s="133" t="str">
        <f>IF($A503&lt;&gt;0,VLOOKUP($A503,'0.Productos'!$A$3:$GG$587,'0.Productos'!CF$1+1,0),"")</f>
        <v/>
      </c>
      <c r="AO503" s="133" t="str">
        <f>IF($A503&lt;&gt;0,VLOOKUP($A503,'0.Productos'!$A$3:$GG$587,'0.Productos'!CG$1+1,0),"")</f>
        <v/>
      </c>
      <c r="AP503" s="133" t="str">
        <f>IF($A503&lt;&gt;0,VLOOKUP($A503,'0.Productos'!$A$3:$GG$587,'0.Productos'!CH$1+1,0),"")</f>
        <v/>
      </c>
      <c r="AQ503" s="133" t="str">
        <f>IF($A503&lt;&gt;0,VLOOKUP($A503,'0.Productos'!$A$3:$GG$587,'0.Productos'!CI$1+1,0),"")</f>
        <v/>
      </c>
      <c r="AR503" s="133" t="str">
        <f>IF($A503&lt;&gt;0,VLOOKUP($A503,'0.Productos'!$A$3:$GG$587,'0.Productos'!CJ$1+1,0),"")</f>
        <v/>
      </c>
      <c r="AS503" s="133" t="str">
        <f>IF($A503&lt;&gt;0,VLOOKUP($A503,'0.Productos'!$A$3:$GG$587,'0.Productos'!CK$1+1,0),"")</f>
        <v/>
      </c>
      <c r="AT503" s="133" t="str">
        <f>IF($A503&lt;&gt;0,VLOOKUP($A503,'0.Productos'!$A$3:$GG$587,'0.Productos'!CL$1+1,0),"")</f>
        <v/>
      </c>
      <c r="AU503" s="133" t="str">
        <f>IF($A503&lt;&gt;0,VLOOKUP($A503,'0.Productos'!$A$3:$GG$587,'0.Productos'!CM$1+1,0),"")</f>
        <v/>
      </c>
      <c r="AV503" s="133" t="str">
        <f>IF($A503&lt;&gt;0,VLOOKUP($A503,'0.Productos'!$A$3:$GG$587,'0.Productos'!CN$1+1,0),"")</f>
        <v/>
      </c>
      <c r="AW503" s="133" t="str">
        <f>IF($A503&lt;&gt;0,VLOOKUP($A503,'0.Productos'!$A$3:$GG$587,'0.Productos'!CO$1+1,0),"")</f>
        <v/>
      </c>
      <c r="AX503" s="133" t="str">
        <f>IF($A503&lt;&gt;0,VLOOKUP($A503,'0.Productos'!$A$3:$GG$587,'0.Productos'!CP$1+1,0),"")</f>
        <v/>
      </c>
      <c r="AY503" s="133" t="str">
        <f>IF($A503&lt;&gt;0,VLOOKUP($A503,'0.Productos'!$A$3:$GG$587,'0.Productos'!CQ$1+1,0),"")</f>
        <v/>
      </c>
      <c r="AZ503" s="133" t="str">
        <f>IF($A503&lt;&gt;0,VLOOKUP($A503,'0.Productos'!$A$3:$GG$587,'0.Productos'!CR$1+1,0),"")</f>
        <v/>
      </c>
      <c r="BA503" s="133" t="str">
        <f>IF($A503&lt;&gt;0,VLOOKUP($A503,'0.Productos'!$A$3:$GG$587,'0.Productos'!CS$1+1,0),"")</f>
        <v/>
      </c>
      <c r="BB503" s="133" t="str">
        <f>IF($A503&lt;&gt;0,VLOOKUP($A503,'0.Productos'!$A$3:$GG$587,'0.Productos'!CT$1+1,0),"")</f>
        <v/>
      </c>
      <c r="BC503" s="133" t="str">
        <f>IF($A503&lt;&gt;0,VLOOKUP($A503,'0.Productos'!$A$3:$GG$587,'0.Productos'!CU$1+1,0),"")</f>
        <v/>
      </c>
      <c r="BD503" s="133" t="str">
        <f>IF($A503&lt;&gt;0,VLOOKUP($A503,'0.Productos'!$A$3:$GG$587,'0.Productos'!CV$1+1,0),"")</f>
        <v/>
      </c>
      <c r="BE503" s="133" t="str">
        <f>IF($A503&lt;&gt;0,VLOOKUP($A503,'0.Productos'!$A$3:$GG$587,'0.Productos'!CW$1+1,0),"")</f>
        <v/>
      </c>
      <c r="BF503" s="133" t="str">
        <f>IF($A503&lt;&gt;0,VLOOKUP($A503,'0.Productos'!$A$3:$GG$587,'0.Productos'!CX$1+1,0),"")</f>
        <v/>
      </c>
      <c r="BG503" s="133" t="str">
        <f>IF($A503&lt;&gt;0,VLOOKUP($A503,'0.Productos'!$A$3:$GG$587,'0.Productos'!CY$1+1,0),"")</f>
        <v/>
      </c>
      <c r="BH503" s="133" t="str">
        <f>IF($A503&lt;&gt;0,VLOOKUP($A503,'0.Productos'!$A$3:$GG$587,'0.Productos'!CZ$1+1,0),"")</f>
        <v/>
      </c>
      <c r="BI503" s="133" t="str">
        <f>IF($A503&lt;&gt;0,VLOOKUP($A503,'0.Productos'!$A$3:$GG$587,'0.Productos'!DA$1+1,0),"")</f>
        <v/>
      </c>
      <c r="BJ503" s="133" t="str">
        <f>IF($A503&lt;&gt;0,VLOOKUP($A503,'0.Productos'!$A$3:$GG$587,'0.Productos'!DB$1+1,0),"")</f>
        <v/>
      </c>
      <c r="BK503" s="133" t="str">
        <f>IF($A503&lt;&gt;0,VLOOKUP($A503,'0.Productos'!$A$3:$GG$587,'0.Productos'!DC$1+1,0),"")</f>
        <v/>
      </c>
      <c r="BL503" s="133" t="str">
        <f>IF($A503&lt;&gt;0,VLOOKUP($A503,'0.Productos'!$A$3:$GG$587,'0.Productos'!DD$1+1,0),"")</f>
        <v/>
      </c>
      <c r="BM503" s="133" t="str">
        <f>IF($A503&lt;&gt;0,VLOOKUP($A503,'0.Productos'!$A$3:$GG$587,'0.Productos'!DE$1+1,0),"")</f>
        <v/>
      </c>
      <c r="BN503" s="133" t="str">
        <f>IF($A503&lt;&gt;0,VLOOKUP($A503,'0.Productos'!$A$3:$GG$587,'0.Productos'!DF$1+1,0),"")</f>
        <v/>
      </c>
      <c r="BO503" s="133" t="str">
        <f>IF($A503&lt;&gt;0,VLOOKUP($A503,'0.Productos'!$A$3:$GG$587,'0.Productos'!DG$1+1,0),"")</f>
        <v/>
      </c>
      <c r="BP503" s="133" t="str">
        <f>IF($A503&lt;&gt;0,VLOOKUP($A503,'0.Productos'!$A$3:$GG$587,'0.Productos'!DH$1+1,0),"")</f>
        <v/>
      </c>
      <c r="BQ503" s="133" t="str">
        <f>IF($A503&lt;&gt;0,VLOOKUP($A503,'0.Productos'!$A$3:$GG$587,'0.Productos'!DI$1+1,0),"")</f>
        <v/>
      </c>
      <c r="BR503" s="133" t="str">
        <f>IF($A503&lt;&gt;0,VLOOKUP($A503,'0.Productos'!$A$3:$GG$587,'0.Productos'!DJ$1+1,0),"")</f>
        <v/>
      </c>
      <c r="BS503" s="133" t="str">
        <f>IF($A503&lt;&gt;0,VLOOKUP($A503,'0.Productos'!$A$3:$GG$587,'0.Productos'!DK$1+1,0),"")</f>
        <v/>
      </c>
      <c r="BT503" s="133" t="str">
        <f>IF($A503&lt;&gt;0,VLOOKUP($A503,'0.Productos'!$A$3:$GG$587,'0.Productos'!DL$1+1,0),"")</f>
        <v/>
      </c>
    </row>
    <row r="504" spans="1:72" x14ac:dyDescent="0.25">
      <c r="A504" s="17">
        <f>'0.Consolidado general'!A504</f>
        <v>0</v>
      </c>
      <c r="B504" s="133" t="str">
        <f>IF($A504&lt;&gt;0,VLOOKUP($A504,'0.Productos'!$A$3:$GG$587,'0.Productos'!AT$1+1,0),"")</f>
        <v/>
      </c>
      <c r="C504" s="133" t="str">
        <f>IF($A504&lt;&gt;0,VLOOKUP($A504,'0.Productos'!$A$3:$GG$587,'0.Productos'!AU$1+1,0),"")</f>
        <v/>
      </c>
      <c r="D504" s="133" t="str">
        <f>IF($A504&lt;&gt;0,VLOOKUP($A504,'0.Productos'!$A$3:$GG$587,'0.Productos'!AV$1+1,0),"")</f>
        <v/>
      </c>
      <c r="E504" s="133" t="str">
        <f>IF($A504&lt;&gt;0,VLOOKUP($A504,'0.Productos'!$A$3:$GG$587,'0.Productos'!AW$1+1,0),"")</f>
        <v/>
      </c>
      <c r="F504" s="133" t="str">
        <f>IF($A504&lt;&gt;0,VLOOKUP($A504,'0.Productos'!$A$3:$GG$587,'0.Productos'!AX$1+1,0),"")</f>
        <v/>
      </c>
      <c r="G504" s="133" t="str">
        <f>IF($A504&lt;&gt;0,VLOOKUP($A504,'0.Productos'!$A$3:$GG$587,'0.Productos'!AY$1+1,0),"")</f>
        <v/>
      </c>
      <c r="H504" s="133" t="str">
        <f>IF($A504&lt;&gt;0,VLOOKUP($A504,'0.Productos'!$A$3:$GG$587,'0.Productos'!AZ$1+1,0),"")</f>
        <v/>
      </c>
      <c r="I504" s="133" t="str">
        <f>IF($A504&lt;&gt;0,VLOOKUP($A504,'0.Productos'!$A$3:$GG$587,'0.Productos'!BA$1+1,0),"")</f>
        <v/>
      </c>
      <c r="J504" s="133" t="str">
        <f>IF($A504&lt;&gt;0,VLOOKUP($A504,'0.Productos'!$A$3:$GG$587,'0.Productos'!BB$1+1,0),"")</f>
        <v/>
      </c>
      <c r="K504" s="133" t="str">
        <f>IF($A504&lt;&gt;0,VLOOKUP($A504,'0.Productos'!$A$3:$GG$587,'0.Productos'!BC$1+1,0),"")</f>
        <v/>
      </c>
      <c r="L504" s="133" t="str">
        <f>IF($A504&lt;&gt;0,VLOOKUP($A504,'0.Productos'!$A$3:$GG$587,'0.Productos'!BD$1+1,0),"")</f>
        <v/>
      </c>
      <c r="M504" s="133" t="str">
        <f>IF($A504&lt;&gt;0,VLOOKUP($A504,'0.Productos'!$A$3:$GG$587,'0.Productos'!BE$1+1,0),"")</f>
        <v/>
      </c>
      <c r="N504" s="133" t="str">
        <f>IF($A504&lt;&gt;0,VLOOKUP($A504,'0.Productos'!$A$3:$GG$587,'0.Productos'!BF$1+1,0),"")</f>
        <v/>
      </c>
      <c r="O504" s="133" t="str">
        <f>IF($A504&lt;&gt;0,VLOOKUP($A504,'0.Productos'!$A$3:$GG$587,'0.Productos'!BG$1+1,0),"")</f>
        <v/>
      </c>
      <c r="P504" s="133" t="str">
        <f>IF($A504&lt;&gt;0,VLOOKUP($A504,'0.Productos'!$A$3:$GG$587,'0.Productos'!BH$1+1,0),"")</f>
        <v/>
      </c>
      <c r="Q504" s="133" t="str">
        <f>IF($A504&lt;&gt;0,VLOOKUP($A504,'0.Productos'!$A$3:$GG$587,'0.Productos'!BI$1+1,0),"")</f>
        <v/>
      </c>
      <c r="R504" s="133" t="str">
        <f>IF($A504&lt;&gt;0,VLOOKUP($A504,'0.Productos'!$A$3:$GG$587,'0.Productos'!BJ$1+1,0),"")</f>
        <v/>
      </c>
      <c r="S504" s="133" t="str">
        <f>IF($A504&lt;&gt;0,VLOOKUP($A504,'0.Productos'!$A$3:$GG$587,'0.Productos'!BK$1+1,0),"")</f>
        <v/>
      </c>
      <c r="T504" s="133" t="str">
        <f>IF($A504&lt;&gt;0,VLOOKUP($A504,'0.Productos'!$A$3:$GG$587,'0.Productos'!BL$1+1,0),"")</f>
        <v/>
      </c>
      <c r="U504" s="133" t="str">
        <f>IF($A504&lt;&gt;0,VLOOKUP($A504,'0.Productos'!$A$3:$GG$587,'0.Productos'!BM$1+1,0),"")</f>
        <v/>
      </c>
      <c r="V504" s="133" t="str">
        <f>IF($A504&lt;&gt;0,VLOOKUP($A504,'0.Productos'!$A$3:$GG$587,'0.Productos'!BN$1+1,0),"")</f>
        <v/>
      </c>
      <c r="W504" s="133" t="str">
        <f>IF($A504&lt;&gt;0,VLOOKUP($A504,'0.Productos'!$A$3:$GG$587,'0.Productos'!BO$1+1,0),"")</f>
        <v/>
      </c>
      <c r="X504" s="133" t="str">
        <f>IF($A504&lt;&gt;0,VLOOKUP($A504,'0.Productos'!$A$3:$GG$587,'0.Productos'!BP$1+1,0),"")</f>
        <v/>
      </c>
      <c r="Y504" s="133" t="str">
        <f>IF($A504&lt;&gt;0,VLOOKUP($A504,'0.Productos'!$A$3:$GG$587,'0.Productos'!BQ$1+1,0),"")</f>
        <v/>
      </c>
      <c r="Z504" s="133" t="str">
        <f>IF($A504&lt;&gt;0,VLOOKUP($A504,'0.Productos'!$A$3:$GG$587,'0.Productos'!BR$1+1,0),"")</f>
        <v/>
      </c>
      <c r="AA504" s="133" t="str">
        <f>IF($A504&lt;&gt;0,VLOOKUP($A504,'0.Productos'!$A$3:$GG$587,'0.Productos'!BS$1+1,0),"")</f>
        <v/>
      </c>
      <c r="AB504" s="133" t="str">
        <f>IF($A504&lt;&gt;0,VLOOKUP($A504,'0.Productos'!$A$3:$GG$587,'0.Productos'!BT$1+1,0),"")</f>
        <v/>
      </c>
      <c r="AC504" s="133" t="str">
        <f>IF($A504&lt;&gt;0,VLOOKUP($A504,'0.Productos'!$A$3:$GG$587,'0.Productos'!BU$1+1,0),"")</f>
        <v/>
      </c>
      <c r="AD504" s="133" t="str">
        <f>IF($A504&lt;&gt;0,VLOOKUP($A504,'0.Productos'!$A$3:$GG$587,'0.Productos'!BV$1+1,0),"")</f>
        <v/>
      </c>
      <c r="AE504" s="133" t="str">
        <f>IF($A504&lt;&gt;0,VLOOKUP($A504,'0.Productos'!$A$3:$GG$587,'0.Productos'!BW$1+1,0),"")</f>
        <v/>
      </c>
      <c r="AF504" s="133" t="str">
        <f>IF($A504&lt;&gt;0,VLOOKUP($A504,'0.Productos'!$A$3:$GG$587,'0.Productos'!BX$1+1,0),"")</f>
        <v/>
      </c>
      <c r="AG504" s="133" t="str">
        <f>IF($A504&lt;&gt;0,VLOOKUP($A504,'0.Productos'!$A$3:$GG$587,'0.Productos'!BY$1+1,0),"")</f>
        <v/>
      </c>
      <c r="AH504" s="133" t="str">
        <f>IF($A504&lt;&gt;0,VLOOKUP($A504,'0.Productos'!$A$3:$GG$587,'0.Productos'!BZ$1+1,0),"")</f>
        <v/>
      </c>
      <c r="AI504" s="133" t="str">
        <f>IF($A504&lt;&gt;0,VLOOKUP($A504,'0.Productos'!$A$3:$GG$587,'0.Productos'!CA$1+1,0),"")</f>
        <v/>
      </c>
      <c r="AJ504" s="133" t="str">
        <f>IF($A504&lt;&gt;0,VLOOKUP($A504,'0.Productos'!$A$3:$GG$587,'0.Productos'!CB$1+1,0),"")</f>
        <v/>
      </c>
      <c r="AK504" s="133" t="str">
        <f>IF($A504&lt;&gt;0,VLOOKUP($A504,'0.Productos'!$A$3:$GG$587,'0.Productos'!CC$1+1,0),"")</f>
        <v/>
      </c>
      <c r="AL504" s="133" t="str">
        <f>IF($A504&lt;&gt;0,VLOOKUP($A504,'0.Productos'!$A$3:$GG$587,'0.Productos'!CD$1+1,0),"")</f>
        <v/>
      </c>
      <c r="AM504" s="133" t="str">
        <f>IF($A504&lt;&gt;0,VLOOKUP($A504,'0.Productos'!$A$3:$GG$587,'0.Productos'!CE$1+1,0),"")</f>
        <v/>
      </c>
      <c r="AN504" s="133" t="str">
        <f>IF($A504&lt;&gt;0,VLOOKUP($A504,'0.Productos'!$A$3:$GG$587,'0.Productos'!CF$1+1,0),"")</f>
        <v/>
      </c>
      <c r="AO504" s="133" t="str">
        <f>IF($A504&lt;&gt;0,VLOOKUP($A504,'0.Productos'!$A$3:$GG$587,'0.Productos'!CG$1+1,0),"")</f>
        <v/>
      </c>
      <c r="AP504" s="133" t="str">
        <f>IF($A504&lt;&gt;0,VLOOKUP($A504,'0.Productos'!$A$3:$GG$587,'0.Productos'!CH$1+1,0),"")</f>
        <v/>
      </c>
      <c r="AQ504" s="133" t="str">
        <f>IF($A504&lt;&gt;0,VLOOKUP($A504,'0.Productos'!$A$3:$GG$587,'0.Productos'!CI$1+1,0),"")</f>
        <v/>
      </c>
      <c r="AR504" s="133" t="str">
        <f>IF($A504&lt;&gt;0,VLOOKUP($A504,'0.Productos'!$A$3:$GG$587,'0.Productos'!CJ$1+1,0),"")</f>
        <v/>
      </c>
      <c r="AS504" s="133" t="str">
        <f>IF($A504&lt;&gt;0,VLOOKUP($A504,'0.Productos'!$A$3:$GG$587,'0.Productos'!CK$1+1,0),"")</f>
        <v/>
      </c>
      <c r="AT504" s="133" t="str">
        <f>IF($A504&lt;&gt;0,VLOOKUP($A504,'0.Productos'!$A$3:$GG$587,'0.Productos'!CL$1+1,0),"")</f>
        <v/>
      </c>
      <c r="AU504" s="133" t="str">
        <f>IF($A504&lt;&gt;0,VLOOKUP($A504,'0.Productos'!$A$3:$GG$587,'0.Productos'!CM$1+1,0),"")</f>
        <v/>
      </c>
      <c r="AV504" s="133" t="str">
        <f>IF($A504&lt;&gt;0,VLOOKUP($A504,'0.Productos'!$A$3:$GG$587,'0.Productos'!CN$1+1,0),"")</f>
        <v/>
      </c>
      <c r="AW504" s="133" t="str">
        <f>IF($A504&lt;&gt;0,VLOOKUP($A504,'0.Productos'!$A$3:$GG$587,'0.Productos'!CO$1+1,0),"")</f>
        <v/>
      </c>
      <c r="AX504" s="133" t="str">
        <f>IF($A504&lt;&gt;0,VLOOKUP($A504,'0.Productos'!$A$3:$GG$587,'0.Productos'!CP$1+1,0),"")</f>
        <v/>
      </c>
      <c r="AY504" s="133" t="str">
        <f>IF($A504&lt;&gt;0,VLOOKUP($A504,'0.Productos'!$A$3:$GG$587,'0.Productos'!CQ$1+1,0),"")</f>
        <v/>
      </c>
      <c r="AZ504" s="133" t="str">
        <f>IF($A504&lt;&gt;0,VLOOKUP($A504,'0.Productos'!$A$3:$GG$587,'0.Productos'!CR$1+1,0),"")</f>
        <v/>
      </c>
      <c r="BA504" s="133" t="str">
        <f>IF($A504&lt;&gt;0,VLOOKUP($A504,'0.Productos'!$A$3:$GG$587,'0.Productos'!CS$1+1,0),"")</f>
        <v/>
      </c>
      <c r="BB504" s="133" t="str">
        <f>IF($A504&lt;&gt;0,VLOOKUP($A504,'0.Productos'!$A$3:$GG$587,'0.Productos'!CT$1+1,0),"")</f>
        <v/>
      </c>
      <c r="BC504" s="133" t="str">
        <f>IF($A504&lt;&gt;0,VLOOKUP($A504,'0.Productos'!$A$3:$GG$587,'0.Productos'!CU$1+1,0),"")</f>
        <v/>
      </c>
      <c r="BD504" s="133" t="str">
        <f>IF($A504&lt;&gt;0,VLOOKUP($A504,'0.Productos'!$A$3:$GG$587,'0.Productos'!CV$1+1,0),"")</f>
        <v/>
      </c>
      <c r="BE504" s="133" t="str">
        <f>IF($A504&lt;&gt;0,VLOOKUP($A504,'0.Productos'!$A$3:$GG$587,'0.Productos'!CW$1+1,0),"")</f>
        <v/>
      </c>
      <c r="BF504" s="133" t="str">
        <f>IF($A504&lt;&gt;0,VLOOKUP($A504,'0.Productos'!$A$3:$GG$587,'0.Productos'!CX$1+1,0),"")</f>
        <v/>
      </c>
      <c r="BG504" s="133" t="str">
        <f>IF($A504&lt;&gt;0,VLOOKUP($A504,'0.Productos'!$A$3:$GG$587,'0.Productos'!CY$1+1,0),"")</f>
        <v/>
      </c>
      <c r="BH504" s="133" t="str">
        <f>IF($A504&lt;&gt;0,VLOOKUP($A504,'0.Productos'!$A$3:$GG$587,'0.Productos'!CZ$1+1,0),"")</f>
        <v/>
      </c>
      <c r="BI504" s="133" t="str">
        <f>IF($A504&lt;&gt;0,VLOOKUP($A504,'0.Productos'!$A$3:$GG$587,'0.Productos'!DA$1+1,0),"")</f>
        <v/>
      </c>
      <c r="BJ504" s="133" t="str">
        <f>IF($A504&lt;&gt;0,VLOOKUP($A504,'0.Productos'!$A$3:$GG$587,'0.Productos'!DB$1+1,0),"")</f>
        <v/>
      </c>
      <c r="BK504" s="133" t="str">
        <f>IF($A504&lt;&gt;0,VLOOKUP($A504,'0.Productos'!$A$3:$GG$587,'0.Productos'!DC$1+1,0),"")</f>
        <v/>
      </c>
      <c r="BL504" s="133" t="str">
        <f>IF($A504&lt;&gt;0,VLOOKUP($A504,'0.Productos'!$A$3:$GG$587,'0.Productos'!DD$1+1,0),"")</f>
        <v/>
      </c>
      <c r="BM504" s="133" t="str">
        <f>IF($A504&lt;&gt;0,VLOOKUP($A504,'0.Productos'!$A$3:$GG$587,'0.Productos'!DE$1+1,0),"")</f>
        <v/>
      </c>
      <c r="BN504" s="133" t="str">
        <f>IF($A504&lt;&gt;0,VLOOKUP($A504,'0.Productos'!$A$3:$GG$587,'0.Productos'!DF$1+1,0),"")</f>
        <v/>
      </c>
      <c r="BO504" s="133" t="str">
        <f>IF($A504&lt;&gt;0,VLOOKUP($A504,'0.Productos'!$A$3:$GG$587,'0.Productos'!DG$1+1,0),"")</f>
        <v/>
      </c>
      <c r="BP504" s="133" t="str">
        <f>IF($A504&lt;&gt;0,VLOOKUP($A504,'0.Productos'!$A$3:$GG$587,'0.Productos'!DH$1+1,0),"")</f>
        <v/>
      </c>
      <c r="BQ504" s="133" t="str">
        <f>IF($A504&lt;&gt;0,VLOOKUP($A504,'0.Productos'!$A$3:$GG$587,'0.Productos'!DI$1+1,0),"")</f>
        <v/>
      </c>
      <c r="BR504" s="133" t="str">
        <f>IF($A504&lt;&gt;0,VLOOKUP($A504,'0.Productos'!$A$3:$GG$587,'0.Productos'!DJ$1+1,0),"")</f>
        <v/>
      </c>
      <c r="BS504" s="133" t="str">
        <f>IF($A504&lt;&gt;0,VLOOKUP($A504,'0.Productos'!$A$3:$GG$587,'0.Productos'!DK$1+1,0),"")</f>
        <v/>
      </c>
      <c r="BT504" s="133" t="str">
        <f>IF($A504&lt;&gt;0,VLOOKUP($A504,'0.Productos'!$A$3:$GG$587,'0.Productos'!DL$1+1,0),"")</f>
        <v/>
      </c>
    </row>
    <row r="505" spans="1:72" x14ac:dyDescent="0.25">
      <c r="A505" s="17">
        <f>'0.Consolidado general'!A505</f>
        <v>0</v>
      </c>
      <c r="B505" s="133" t="str">
        <f>IF($A505&lt;&gt;0,VLOOKUP($A505,'0.Productos'!$A$3:$GG$587,'0.Productos'!AT$1+1,0),"")</f>
        <v/>
      </c>
      <c r="C505" s="133" t="str">
        <f>IF($A505&lt;&gt;0,VLOOKUP($A505,'0.Productos'!$A$3:$GG$587,'0.Productos'!AU$1+1,0),"")</f>
        <v/>
      </c>
      <c r="D505" s="133" t="str">
        <f>IF($A505&lt;&gt;0,VLOOKUP($A505,'0.Productos'!$A$3:$GG$587,'0.Productos'!AV$1+1,0),"")</f>
        <v/>
      </c>
      <c r="E505" s="133" t="str">
        <f>IF($A505&lt;&gt;0,VLOOKUP($A505,'0.Productos'!$A$3:$GG$587,'0.Productos'!AW$1+1,0),"")</f>
        <v/>
      </c>
      <c r="F505" s="133" t="str">
        <f>IF($A505&lt;&gt;0,VLOOKUP($A505,'0.Productos'!$A$3:$GG$587,'0.Productos'!AX$1+1,0),"")</f>
        <v/>
      </c>
      <c r="G505" s="133" t="str">
        <f>IF($A505&lt;&gt;0,VLOOKUP($A505,'0.Productos'!$A$3:$GG$587,'0.Productos'!AY$1+1,0),"")</f>
        <v/>
      </c>
      <c r="H505" s="133" t="str">
        <f>IF($A505&lt;&gt;0,VLOOKUP($A505,'0.Productos'!$A$3:$GG$587,'0.Productos'!AZ$1+1,0),"")</f>
        <v/>
      </c>
      <c r="I505" s="133" t="str">
        <f>IF($A505&lt;&gt;0,VLOOKUP($A505,'0.Productos'!$A$3:$GG$587,'0.Productos'!BA$1+1,0),"")</f>
        <v/>
      </c>
      <c r="J505" s="133" t="str">
        <f>IF($A505&lt;&gt;0,VLOOKUP($A505,'0.Productos'!$A$3:$GG$587,'0.Productos'!BB$1+1,0),"")</f>
        <v/>
      </c>
      <c r="K505" s="133" t="str">
        <f>IF($A505&lt;&gt;0,VLOOKUP($A505,'0.Productos'!$A$3:$GG$587,'0.Productos'!BC$1+1,0),"")</f>
        <v/>
      </c>
      <c r="L505" s="133" t="str">
        <f>IF($A505&lt;&gt;0,VLOOKUP($A505,'0.Productos'!$A$3:$GG$587,'0.Productos'!BD$1+1,0),"")</f>
        <v/>
      </c>
      <c r="M505" s="133" t="str">
        <f>IF($A505&lt;&gt;0,VLOOKUP($A505,'0.Productos'!$A$3:$GG$587,'0.Productos'!BE$1+1,0),"")</f>
        <v/>
      </c>
      <c r="N505" s="133" t="str">
        <f>IF($A505&lt;&gt;0,VLOOKUP($A505,'0.Productos'!$A$3:$GG$587,'0.Productos'!BF$1+1,0),"")</f>
        <v/>
      </c>
      <c r="O505" s="133" t="str">
        <f>IF($A505&lt;&gt;0,VLOOKUP($A505,'0.Productos'!$A$3:$GG$587,'0.Productos'!BG$1+1,0),"")</f>
        <v/>
      </c>
      <c r="P505" s="133" t="str">
        <f>IF($A505&lt;&gt;0,VLOOKUP($A505,'0.Productos'!$A$3:$GG$587,'0.Productos'!BH$1+1,0),"")</f>
        <v/>
      </c>
      <c r="Q505" s="133" t="str">
        <f>IF($A505&lt;&gt;0,VLOOKUP($A505,'0.Productos'!$A$3:$GG$587,'0.Productos'!BI$1+1,0),"")</f>
        <v/>
      </c>
      <c r="R505" s="133" t="str">
        <f>IF($A505&lt;&gt;0,VLOOKUP($A505,'0.Productos'!$A$3:$GG$587,'0.Productos'!BJ$1+1,0),"")</f>
        <v/>
      </c>
      <c r="S505" s="133" t="str">
        <f>IF($A505&lt;&gt;0,VLOOKUP($A505,'0.Productos'!$A$3:$GG$587,'0.Productos'!BK$1+1,0),"")</f>
        <v/>
      </c>
      <c r="T505" s="133" t="str">
        <f>IF($A505&lt;&gt;0,VLOOKUP($A505,'0.Productos'!$A$3:$GG$587,'0.Productos'!BL$1+1,0),"")</f>
        <v/>
      </c>
      <c r="U505" s="133" t="str">
        <f>IF($A505&lt;&gt;0,VLOOKUP($A505,'0.Productos'!$A$3:$GG$587,'0.Productos'!BM$1+1,0),"")</f>
        <v/>
      </c>
      <c r="V505" s="133" t="str">
        <f>IF($A505&lt;&gt;0,VLOOKUP($A505,'0.Productos'!$A$3:$GG$587,'0.Productos'!BN$1+1,0),"")</f>
        <v/>
      </c>
      <c r="W505" s="133" t="str">
        <f>IF($A505&lt;&gt;0,VLOOKUP($A505,'0.Productos'!$A$3:$GG$587,'0.Productos'!BO$1+1,0),"")</f>
        <v/>
      </c>
      <c r="X505" s="133" t="str">
        <f>IF($A505&lt;&gt;0,VLOOKUP($A505,'0.Productos'!$A$3:$GG$587,'0.Productos'!BP$1+1,0),"")</f>
        <v/>
      </c>
      <c r="Y505" s="133" t="str">
        <f>IF($A505&lt;&gt;0,VLOOKUP($A505,'0.Productos'!$A$3:$GG$587,'0.Productos'!BQ$1+1,0),"")</f>
        <v/>
      </c>
      <c r="Z505" s="133" t="str">
        <f>IF($A505&lt;&gt;0,VLOOKUP($A505,'0.Productos'!$A$3:$GG$587,'0.Productos'!BR$1+1,0),"")</f>
        <v/>
      </c>
      <c r="AA505" s="133" t="str">
        <f>IF($A505&lt;&gt;0,VLOOKUP($A505,'0.Productos'!$A$3:$GG$587,'0.Productos'!BS$1+1,0),"")</f>
        <v/>
      </c>
      <c r="AB505" s="133" t="str">
        <f>IF($A505&lt;&gt;0,VLOOKUP($A505,'0.Productos'!$A$3:$GG$587,'0.Productos'!BT$1+1,0),"")</f>
        <v/>
      </c>
      <c r="AC505" s="133" t="str">
        <f>IF($A505&lt;&gt;0,VLOOKUP($A505,'0.Productos'!$A$3:$GG$587,'0.Productos'!BU$1+1,0),"")</f>
        <v/>
      </c>
      <c r="AD505" s="133" t="str">
        <f>IF($A505&lt;&gt;0,VLOOKUP($A505,'0.Productos'!$A$3:$GG$587,'0.Productos'!BV$1+1,0),"")</f>
        <v/>
      </c>
      <c r="AE505" s="133" t="str">
        <f>IF($A505&lt;&gt;0,VLOOKUP($A505,'0.Productos'!$A$3:$GG$587,'0.Productos'!BW$1+1,0),"")</f>
        <v/>
      </c>
      <c r="AF505" s="133" t="str">
        <f>IF($A505&lt;&gt;0,VLOOKUP($A505,'0.Productos'!$A$3:$GG$587,'0.Productos'!BX$1+1,0),"")</f>
        <v/>
      </c>
      <c r="AG505" s="133" t="str">
        <f>IF($A505&lt;&gt;0,VLOOKUP($A505,'0.Productos'!$A$3:$GG$587,'0.Productos'!BY$1+1,0),"")</f>
        <v/>
      </c>
      <c r="AH505" s="133" t="str">
        <f>IF($A505&lt;&gt;0,VLOOKUP($A505,'0.Productos'!$A$3:$GG$587,'0.Productos'!BZ$1+1,0),"")</f>
        <v/>
      </c>
      <c r="AI505" s="133" t="str">
        <f>IF($A505&lt;&gt;0,VLOOKUP($A505,'0.Productos'!$A$3:$GG$587,'0.Productos'!CA$1+1,0),"")</f>
        <v/>
      </c>
      <c r="AJ505" s="133" t="str">
        <f>IF($A505&lt;&gt;0,VLOOKUP($A505,'0.Productos'!$A$3:$GG$587,'0.Productos'!CB$1+1,0),"")</f>
        <v/>
      </c>
      <c r="AK505" s="133" t="str">
        <f>IF($A505&lt;&gt;0,VLOOKUP($A505,'0.Productos'!$A$3:$GG$587,'0.Productos'!CC$1+1,0),"")</f>
        <v/>
      </c>
      <c r="AL505" s="133" t="str">
        <f>IF($A505&lt;&gt;0,VLOOKUP($A505,'0.Productos'!$A$3:$GG$587,'0.Productos'!CD$1+1,0),"")</f>
        <v/>
      </c>
      <c r="AM505" s="133" t="str">
        <f>IF($A505&lt;&gt;0,VLOOKUP($A505,'0.Productos'!$A$3:$GG$587,'0.Productos'!CE$1+1,0),"")</f>
        <v/>
      </c>
      <c r="AN505" s="133" t="str">
        <f>IF($A505&lt;&gt;0,VLOOKUP($A505,'0.Productos'!$A$3:$GG$587,'0.Productos'!CF$1+1,0),"")</f>
        <v/>
      </c>
      <c r="AO505" s="133" t="str">
        <f>IF($A505&lt;&gt;0,VLOOKUP($A505,'0.Productos'!$A$3:$GG$587,'0.Productos'!CG$1+1,0),"")</f>
        <v/>
      </c>
      <c r="AP505" s="133" t="str">
        <f>IF($A505&lt;&gt;0,VLOOKUP($A505,'0.Productos'!$A$3:$GG$587,'0.Productos'!CH$1+1,0),"")</f>
        <v/>
      </c>
      <c r="AQ505" s="133" t="str">
        <f>IF($A505&lt;&gt;0,VLOOKUP($A505,'0.Productos'!$A$3:$GG$587,'0.Productos'!CI$1+1,0),"")</f>
        <v/>
      </c>
      <c r="AR505" s="133" t="str">
        <f>IF($A505&lt;&gt;0,VLOOKUP($A505,'0.Productos'!$A$3:$GG$587,'0.Productos'!CJ$1+1,0),"")</f>
        <v/>
      </c>
      <c r="AS505" s="133" t="str">
        <f>IF($A505&lt;&gt;0,VLOOKUP($A505,'0.Productos'!$A$3:$GG$587,'0.Productos'!CK$1+1,0),"")</f>
        <v/>
      </c>
      <c r="AT505" s="133" t="str">
        <f>IF($A505&lt;&gt;0,VLOOKUP($A505,'0.Productos'!$A$3:$GG$587,'0.Productos'!CL$1+1,0),"")</f>
        <v/>
      </c>
      <c r="AU505" s="133" t="str">
        <f>IF($A505&lt;&gt;0,VLOOKUP($A505,'0.Productos'!$A$3:$GG$587,'0.Productos'!CM$1+1,0),"")</f>
        <v/>
      </c>
      <c r="AV505" s="133" t="str">
        <f>IF($A505&lt;&gt;0,VLOOKUP($A505,'0.Productos'!$A$3:$GG$587,'0.Productos'!CN$1+1,0),"")</f>
        <v/>
      </c>
      <c r="AW505" s="133" t="str">
        <f>IF($A505&lt;&gt;0,VLOOKUP($A505,'0.Productos'!$A$3:$GG$587,'0.Productos'!CO$1+1,0),"")</f>
        <v/>
      </c>
      <c r="AX505" s="133" t="str">
        <f>IF($A505&lt;&gt;0,VLOOKUP($A505,'0.Productos'!$A$3:$GG$587,'0.Productos'!CP$1+1,0),"")</f>
        <v/>
      </c>
      <c r="AY505" s="133" t="str">
        <f>IF($A505&lt;&gt;0,VLOOKUP($A505,'0.Productos'!$A$3:$GG$587,'0.Productos'!CQ$1+1,0),"")</f>
        <v/>
      </c>
      <c r="AZ505" s="133" t="str">
        <f>IF($A505&lt;&gt;0,VLOOKUP($A505,'0.Productos'!$A$3:$GG$587,'0.Productos'!CR$1+1,0),"")</f>
        <v/>
      </c>
      <c r="BA505" s="133" t="str">
        <f>IF($A505&lt;&gt;0,VLOOKUP($A505,'0.Productos'!$A$3:$GG$587,'0.Productos'!CS$1+1,0),"")</f>
        <v/>
      </c>
      <c r="BB505" s="133" t="str">
        <f>IF($A505&lt;&gt;0,VLOOKUP($A505,'0.Productos'!$A$3:$GG$587,'0.Productos'!CT$1+1,0),"")</f>
        <v/>
      </c>
      <c r="BC505" s="133" t="str">
        <f>IF($A505&lt;&gt;0,VLOOKUP($A505,'0.Productos'!$A$3:$GG$587,'0.Productos'!CU$1+1,0),"")</f>
        <v/>
      </c>
      <c r="BD505" s="133" t="str">
        <f>IF($A505&lt;&gt;0,VLOOKUP($A505,'0.Productos'!$A$3:$GG$587,'0.Productos'!CV$1+1,0),"")</f>
        <v/>
      </c>
      <c r="BE505" s="133" t="str">
        <f>IF($A505&lt;&gt;0,VLOOKUP($A505,'0.Productos'!$A$3:$GG$587,'0.Productos'!CW$1+1,0),"")</f>
        <v/>
      </c>
      <c r="BF505" s="133" t="str">
        <f>IF($A505&lt;&gt;0,VLOOKUP($A505,'0.Productos'!$A$3:$GG$587,'0.Productos'!CX$1+1,0),"")</f>
        <v/>
      </c>
      <c r="BG505" s="133" t="str">
        <f>IF($A505&lt;&gt;0,VLOOKUP($A505,'0.Productos'!$A$3:$GG$587,'0.Productos'!CY$1+1,0),"")</f>
        <v/>
      </c>
      <c r="BH505" s="133" t="str">
        <f>IF($A505&lt;&gt;0,VLOOKUP($A505,'0.Productos'!$A$3:$GG$587,'0.Productos'!CZ$1+1,0),"")</f>
        <v/>
      </c>
      <c r="BI505" s="133" t="str">
        <f>IF($A505&lt;&gt;0,VLOOKUP($A505,'0.Productos'!$A$3:$GG$587,'0.Productos'!DA$1+1,0),"")</f>
        <v/>
      </c>
      <c r="BJ505" s="133" t="str">
        <f>IF($A505&lt;&gt;0,VLOOKUP($A505,'0.Productos'!$A$3:$GG$587,'0.Productos'!DB$1+1,0),"")</f>
        <v/>
      </c>
      <c r="BK505" s="133" t="str">
        <f>IF($A505&lt;&gt;0,VLOOKUP($A505,'0.Productos'!$A$3:$GG$587,'0.Productos'!DC$1+1,0),"")</f>
        <v/>
      </c>
      <c r="BL505" s="133" t="str">
        <f>IF($A505&lt;&gt;0,VLOOKUP($A505,'0.Productos'!$A$3:$GG$587,'0.Productos'!DD$1+1,0),"")</f>
        <v/>
      </c>
      <c r="BM505" s="133" t="str">
        <f>IF($A505&lt;&gt;0,VLOOKUP($A505,'0.Productos'!$A$3:$GG$587,'0.Productos'!DE$1+1,0),"")</f>
        <v/>
      </c>
      <c r="BN505" s="133" t="str">
        <f>IF($A505&lt;&gt;0,VLOOKUP($A505,'0.Productos'!$A$3:$GG$587,'0.Productos'!DF$1+1,0),"")</f>
        <v/>
      </c>
      <c r="BO505" s="133" t="str">
        <f>IF($A505&lt;&gt;0,VLOOKUP($A505,'0.Productos'!$A$3:$GG$587,'0.Productos'!DG$1+1,0),"")</f>
        <v/>
      </c>
      <c r="BP505" s="133" t="str">
        <f>IF($A505&lt;&gt;0,VLOOKUP($A505,'0.Productos'!$A$3:$GG$587,'0.Productos'!DH$1+1,0),"")</f>
        <v/>
      </c>
      <c r="BQ505" s="133" t="str">
        <f>IF($A505&lt;&gt;0,VLOOKUP($A505,'0.Productos'!$A$3:$GG$587,'0.Productos'!DI$1+1,0),"")</f>
        <v/>
      </c>
      <c r="BR505" s="133" t="str">
        <f>IF($A505&lt;&gt;0,VLOOKUP($A505,'0.Productos'!$A$3:$GG$587,'0.Productos'!DJ$1+1,0),"")</f>
        <v/>
      </c>
      <c r="BS505" s="133" t="str">
        <f>IF($A505&lt;&gt;0,VLOOKUP($A505,'0.Productos'!$A$3:$GG$587,'0.Productos'!DK$1+1,0),"")</f>
        <v/>
      </c>
      <c r="BT505" s="133" t="str">
        <f>IF($A505&lt;&gt;0,VLOOKUP($A505,'0.Productos'!$A$3:$GG$587,'0.Productos'!DL$1+1,0),"")</f>
        <v/>
      </c>
    </row>
    <row r="506" spans="1:72" x14ac:dyDescent="0.25">
      <c r="A506" s="17">
        <f>'0.Consolidado general'!A506</f>
        <v>0</v>
      </c>
      <c r="B506" s="133" t="str">
        <f>IF($A506&lt;&gt;0,VLOOKUP($A506,'0.Productos'!$A$3:$GG$587,'0.Productos'!AT$1+1,0),"")</f>
        <v/>
      </c>
      <c r="C506" s="133" t="str">
        <f>IF($A506&lt;&gt;0,VLOOKUP($A506,'0.Productos'!$A$3:$GG$587,'0.Productos'!AU$1+1,0),"")</f>
        <v/>
      </c>
      <c r="D506" s="133" t="str">
        <f>IF($A506&lt;&gt;0,VLOOKUP($A506,'0.Productos'!$A$3:$GG$587,'0.Productos'!AV$1+1,0),"")</f>
        <v/>
      </c>
      <c r="E506" s="133" t="str">
        <f>IF($A506&lt;&gt;0,VLOOKUP($A506,'0.Productos'!$A$3:$GG$587,'0.Productos'!AW$1+1,0),"")</f>
        <v/>
      </c>
      <c r="F506" s="133" t="str">
        <f>IF($A506&lt;&gt;0,VLOOKUP($A506,'0.Productos'!$A$3:$GG$587,'0.Productos'!AX$1+1,0),"")</f>
        <v/>
      </c>
      <c r="G506" s="133" t="str">
        <f>IF($A506&lt;&gt;0,VLOOKUP($A506,'0.Productos'!$A$3:$GG$587,'0.Productos'!AY$1+1,0),"")</f>
        <v/>
      </c>
      <c r="H506" s="133" t="str">
        <f>IF($A506&lt;&gt;0,VLOOKUP($A506,'0.Productos'!$A$3:$GG$587,'0.Productos'!AZ$1+1,0),"")</f>
        <v/>
      </c>
      <c r="I506" s="133" t="str">
        <f>IF($A506&lt;&gt;0,VLOOKUP($A506,'0.Productos'!$A$3:$GG$587,'0.Productos'!BA$1+1,0),"")</f>
        <v/>
      </c>
      <c r="J506" s="133" t="str">
        <f>IF($A506&lt;&gt;0,VLOOKUP($A506,'0.Productos'!$A$3:$GG$587,'0.Productos'!BB$1+1,0),"")</f>
        <v/>
      </c>
      <c r="K506" s="133" t="str">
        <f>IF($A506&lt;&gt;0,VLOOKUP($A506,'0.Productos'!$A$3:$GG$587,'0.Productos'!BC$1+1,0),"")</f>
        <v/>
      </c>
      <c r="L506" s="133" t="str">
        <f>IF($A506&lt;&gt;0,VLOOKUP($A506,'0.Productos'!$A$3:$GG$587,'0.Productos'!BD$1+1,0),"")</f>
        <v/>
      </c>
      <c r="M506" s="133" t="str">
        <f>IF($A506&lt;&gt;0,VLOOKUP($A506,'0.Productos'!$A$3:$GG$587,'0.Productos'!BE$1+1,0),"")</f>
        <v/>
      </c>
      <c r="N506" s="133" t="str">
        <f>IF($A506&lt;&gt;0,VLOOKUP($A506,'0.Productos'!$A$3:$GG$587,'0.Productos'!BF$1+1,0),"")</f>
        <v/>
      </c>
      <c r="O506" s="133" t="str">
        <f>IF($A506&lt;&gt;0,VLOOKUP($A506,'0.Productos'!$A$3:$GG$587,'0.Productos'!BG$1+1,0),"")</f>
        <v/>
      </c>
      <c r="P506" s="133" t="str">
        <f>IF($A506&lt;&gt;0,VLOOKUP($A506,'0.Productos'!$A$3:$GG$587,'0.Productos'!BH$1+1,0),"")</f>
        <v/>
      </c>
      <c r="Q506" s="133" t="str">
        <f>IF($A506&lt;&gt;0,VLOOKUP($A506,'0.Productos'!$A$3:$GG$587,'0.Productos'!BI$1+1,0),"")</f>
        <v/>
      </c>
      <c r="R506" s="133" t="str">
        <f>IF($A506&lt;&gt;0,VLOOKUP($A506,'0.Productos'!$A$3:$GG$587,'0.Productos'!BJ$1+1,0),"")</f>
        <v/>
      </c>
      <c r="S506" s="133" t="str">
        <f>IF($A506&lt;&gt;0,VLOOKUP($A506,'0.Productos'!$A$3:$GG$587,'0.Productos'!BK$1+1,0),"")</f>
        <v/>
      </c>
      <c r="T506" s="133" t="str">
        <f>IF($A506&lt;&gt;0,VLOOKUP($A506,'0.Productos'!$A$3:$GG$587,'0.Productos'!BL$1+1,0),"")</f>
        <v/>
      </c>
      <c r="U506" s="133" t="str">
        <f>IF($A506&lt;&gt;0,VLOOKUP($A506,'0.Productos'!$A$3:$GG$587,'0.Productos'!BM$1+1,0),"")</f>
        <v/>
      </c>
      <c r="V506" s="133" t="str">
        <f>IF($A506&lt;&gt;0,VLOOKUP($A506,'0.Productos'!$A$3:$GG$587,'0.Productos'!BN$1+1,0),"")</f>
        <v/>
      </c>
      <c r="W506" s="133" t="str">
        <f>IF($A506&lt;&gt;0,VLOOKUP($A506,'0.Productos'!$A$3:$GG$587,'0.Productos'!BO$1+1,0),"")</f>
        <v/>
      </c>
      <c r="X506" s="133" t="str">
        <f>IF($A506&lt;&gt;0,VLOOKUP($A506,'0.Productos'!$A$3:$GG$587,'0.Productos'!BP$1+1,0),"")</f>
        <v/>
      </c>
      <c r="Y506" s="133" t="str">
        <f>IF($A506&lt;&gt;0,VLOOKUP($A506,'0.Productos'!$A$3:$GG$587,'0.Productos'!BQ$1+1,0),"")</f>
        <v/>
      </c>
      <c r="Z506" s="133" t="str">
        <f>IF($A506&lt;&gt;0,VLOOKUP($A506,'0.Productos'!$A$3:$GG$587,'0.Productos'!BR$1+1,0),"")</f>
        <v/>
      </c>
      <c r="AA506" s="133" t="str">
        <f>IF($A506&lt;&gt;0,VLOOKUP($A506,'0.Productos'!$A$3:$GG$587,'0.Productos'!BS$1+1,0),"")</f>
        <v/>
      </c>
      <c r="AB506" s="133" t="str">
        <f>IF($A506&lt;&gt;0,VLOOKUP($A506,'0.Productos'!$A$3:$GG$587,'0.Productos'!BT$1+1,0),"")</f>
        <v/>
      </c>
      <c r="AC506" s="133" t="str">
        <f>IF($A506&lt;&gt;0,VLOOKUP($A506,'0.Productos'!$A$3:$GG$587,'0.Productos'!BU$1+1,0),"")</f>
        <v/>
      </c>
      <c r="AD506" s="133" t="str">
        <f>IF($A506&lt;&gt;0,VLOOKUP($A506,'0.Productos'!$A$3:$GG$587,'0.Productos'!BV$1+1,0),"")</f>
        <v/>
      </c>
      <c r="AE506" s="133" t="str">
        <f>IF($A506&lt;&gt;0,VLOOKUP($A506,'0.Productos'!$A$3:$GG$587,'0.Productos'!BW$1+1,0),"")</f>
        <v/>
      </c>
      <c r="AF506" s="133" t="str">
        <f>IF($A506&lt;&gt;0,VLOOKUP($A506,'0.Productos'!$A$3:$GG$587,'0.Productos'!BX$1+1,0),"")</f>
        <v/>
      </c>
      <c r="AG506" s="133" t="str">
        <f>IF($A506&lt;&gt;0,VLOOKUP($A506,'0.Productos'!$A$3:$GG$587,'0.Productos'!BY$1+1,0),"")</f>
        <v/>
      </c>
      <c r="AH506" s="133" t="str">
        <f>IF($A506&lt;&gt;0,VLOOKUP($A506,'0.Productos'!$A$3:$GG$587,'0.Productos'!BZ$1+1,0),"")</f>
        <v/>
      </c>
      <c r="AI506" s="133" t="str">
        <f>IF($A506&lt;&gt;0,VLOOKUP($A506,'0.Productos'!$A$3:$GG$587,'0.Productos'!CA$1+1,0),"")</f>
        <v/>
      </c>
      <c r="AJ506" s="133" t="str">
        <f>IF($A506&lt;&gt;0,VLOOKUP($A506,'0.Productos'!$A$3:$GG$587,'0.Productos'!CB$1+1,0),"")</f>
        <v/>
      </c>
      <c r="AK506" s="133" t="str">
        <f>IF($A506&lt;&gt;0,VLOOKUP($A506,'0.Productos'!$A$3:$GG$587,'0.Productos'!CC$1+1,0),"")</f>
        <v/>
      </c>
      <c r="AL506" s="133" t="str">
        <f>IF($A506&lt;&gt;0,VLOOKUP($A506,'0.Productos'!$A$3:$GG$587,'0.Productos'!CD$1+1,0),"")</f>
        <v/>
      </c>
      <c r="AM506" s="133" t="str">
        <f>IF($A506&lt;&gt;0,VLOOKUP($A506,'0.Productos'!$A$3:$GG$587,'0.Productos'!CE$1+1,0),"")</f>
        <v/>
      </c>
      <c r="AN506" s="133" t="str">
        <f>IF($A506&lt;&gt;0,VLOOKUP($A506,'0.Productos'!$A$3:$GG$587,'0.Productos'!CF$1+1,0),"")</f>
        <v/>
      </c>
      <c r="AO506" s="133" t="str">
        <f>IF($A506&lt;&gt;0,VLOOKUP($A506,'0.Productos'!$A$3:$GG$587,'0.Productos'!CG$1+1,0),"")</f>
        <v/>
      </c>
      <c r="AP506" s="133" t="str">
        <f>IF($A506&lt;&gt;0,VLOOKUP($A506,'0.Productos'!$A$3:$GG$587,'0.Productos'!CH$1+1,0),"")</f>
        <v/>
      </c>
      <c r="AQ506" s="133" t="str">
        <f>IF($A506&lt;&gt;0,VLOOKUP($A506,'0.Productos'!$A$3:$GG$587,'0.Productos'!CI$1+1,0),"")</f>
        <v/>
      </c>
      <c r="AR506" s="133" t="str">
        <f>IF($A506&lt;&gt;0,VLOOKUP($A506,'0.Productos'!$A$3:$GG$587,'0.Productos'!CJ$1+1,0),"")</f>
        <v/>
      </c>
      <c r="AS506" s="133" t="str">
        <f>IF($A506&lt;&gt;0,VLOOKUP($A506,'0.Productos'!$A$3:$GG$587,'0.Productos'!CK$1+1,0),"")</f>
        <v/>
      </c>
      <c r="AT506" s="133" t="str">
        <f>IF($A506&lt;&gt;0,VLOOKUP($A506,'0.Productos'!$A$3:$GG$587,'0.Productos'!CL$1+1,0),"")</f>
        <v/>
      </c>
      <c r="AU506" s="133" t="str">
        <f>IF($A506&lt;&gt;0,VLOOKUP($A506,'0.Productos'!$A$3:$GG$587,'0.Productos'!CM$1+1,0),"")</f>
        <v/>
      </c>
      <c r="AV506" s="133" t="str">
        <f>IF($A506&lt;&gt;0,VLOOKUP($A506,'0.Productos'!$A$3:$GG$587,'0.Productos'!CN$1+1,0),"")</f>
        <v/>
      </c>
      <c r="AW506" s="133" t="str">
        <f>IF($A506&lt;&gt;0,VLOOKUP($A506,'0.Productos'!$A$3:$GG$587,'0.Productos'!CO$1+1,0),"")</f>
        <v/>
      </c>
      <c r="AX506" s="133" t="str">
        <f>IF($A506&lt;&gt;0,VLOOKUP($A506,'0.Productos'!$A$3:$GG$587,'0.Productos'!CP$1+1,0),"")</f>
        <v/>
      </c>
      <c r="AY506" s="133" t="str">
        <f>IF($A506&lt;&gt;0,VLOOKUP($A506,'0.Productos'!$A$3:$GG$587,'0.Productos'!CQ$1+1,0),"")</f>
        <v/>
      </c>
      <c r="AZ506" s="133" t="str">
        <f>IF($A506&lt;&gt;0,VLOOKUP($A506,'0.Productos'!$A$3:$GG$587,'0.Productos'!CR$1+1,0),"")</f>
        <v/>
      </c>
      <c r="BA506" s="133" t="str">
        <f>IF($A506&lt;&gt;0,VLOOKUP($A506,'0.Productos'!$A$3:$GG$587,'0.Productos'!CS$1+1,0),"")</f>
        <v/>
      </c>
      <c r="BB506" s="133" t="str">
        <f>IF($A506&lt;&gt;0,VLOOKUP($A506,'0.Productos'!$A$3:$GG$587,'0.Productos'!CT$1+1,0),"")</f>
        <v/>
      </c>
      <c r="BC506" s="133" t="str">
        <f>IF($A506&lt;&gt;0,VLOOKUP($A506,'0.Productos'!$A$3:$GG$587,'0.Productos'!CU$1+1,0),"")</f>
        <v/>
      </c>
      <c r="BD506" s="133" t="str">
        <f>IF($A506&lt;&gt;0,VLOOKUP($A506,'0.Productos'!$A$3:$GG$587,'0.Productos'!CV$1+1,0),"")</f>
        <v/>
      </c>
      <c r="BE506" s="133" t="str">
        <f>IF($A506&lt;&gt;0,VLOOKUP($A506,'0.Productos'!$A$3:$GG$587,'0.Productos'!CW$1+1,0),"")</f>
        <v/>
      </c>
      <c r="BF506" s="133" t="str">
        <f>IF($A506&lt;&gt;0,VLOOKUP($A506,'0.Productos'!$A$3:$GG$587,'0.Productos'!CX$1+1,0),"")</f>
        <v/>
      </c>
      <c r="BG506" s="133" t="str">
        <f>IF($A506&lt;&gt;0,VLOOKUP($A506,'0.Productos'!$A$3:$GG$587,'0.Productos'!CY$1+1,0),"")</f>
        <v/>
      </c>
      <c r="BH506" s="133" t="str">
        <f>IF($A506&lt;&gt;0,VLOOKUP($A506,'0.Productos'!$A$3:$GG$587,'0.Productos'!CZ$1+1,0),"")</f>
        <v/>
      </c>
      <c r="BI506" s="133" t="str">
        <f>IF($A506&lt;&gt;0,VLOOKUP($A506,'0.Productos'!$A$3:$GG$587,'0.Productos'!DA$1+1,0),"")</f>
        <v/>
      </c>
      <c r="BJ506" s="133" t="str">
        <f>IF($A506&lt;&gt;0,VLOOKUP($A506,'0.Productos'!$A$3:$GG$587,'0.Productos'!DB$1+1,0),"")</f>
        <v/>
      </c>
      <c r="BK506" s="133" t="str">
        <f>IF($A506&lt;&gt;0,VLOOKUP($A506,'0.Productos'!$A$3:$GG$587,'0.Productos'!DC$1+1,0),"")</f>
        <v/>
      </c>
      <c r="BL506" s="133" t="str">
        <f>IF($A506&lt;&gt;0,VLOOKUP($A506,'0.Productos'!$A$3:$GG$587,'0.Productos'!DD$1+1,0),"")</f>
        <v/>
      </c>
      <c r="BM506" s="133" t="str">
        <f>IF($A506&lt;&gt;0,VLOOKUP($A506,'0.Productos'!$A$3:$GG$587,'0.Productos'!DE$1+1,0),"")</f>
        <v/>
      </c>
      <c r="BN506" s="133" t="str">
        <f>IF($A506&lt;&gt;0,VLOOKUP($A506,'0.Productos'!$A$3:$GG$587,'0.Productos'!DF$1+1,0),"")</f>
        <v/>
      </c>
      <c r="BO506" s="133" t="str">
        <f>IF($A506&lt;&gt;0,VLOOKUP($A506,'0.Productos'!$A$3:$GG$587,'0.Productos'!DG$1+1,0),"")</f>
        <v/>
      </c>
      <c r="BP506" s="133" t="str">
        <f>IF($A506&lt;&gt;0,VLOOKUP($A506,'0.Productos'!$A$3:$GG$587,'0.Productos'!DH$1+1,0),"")</f>
        <v/>
      </c>
      <c r="BQ506" s="133" t="str">
        <f>IF($A506&lt;&gt;0,VLOOKUP($A506,'0.Productos'!$A$3:$GG$587,'0.Productos'!DI$1+1,0),"")</f>
        <v/>
      </c>
      <c r="BR506" s="133" t="str">
        <f>IF($A506&lt;&gt;0,VLOOKUP($A506,'0.Productos'!$A$3:$GG$587,'0.Productos'!DJ$1+1,0),"")</f>
        <v/>
      </c>
      <c r="BS506" s="133" t="str">
        <f>IF($A506&lt;&gt;0,VLOOKUP($A506,'0.Productos'!$A$3:$GG$587,'0.Productos'!DK$1+1,0),"")</f>
        <v/>
      </c>
      <c r="BT506" s="133" t="str">
        <f>IF($A506&lt;&gt;0,VLOOKUP($A506,'0.Productos'!$A$3:$GG$587,'0.Productos'!DL$1+1,0),"")</f>
        <v/>
      </c>
    </row>
    <row r="507" spans="1:72" x14ac:dyDescent="0.25">
      <c r="A507" s="17">
        <f>'0.Consolidado general'!A507</f>
        <v>0</v>
      </c>
      <c r="B507" s="133" t="str">
        <f>IF($A507&lt;&gt;0,VLOOKUP($A507,'0.Productos'!$A$3:$GG$587,'0.Productos'!AT$1+1,0),"")</f>
        <v/>
      </c>
      <c r="C507" s="133" t="str">
        <f>IF($A507&lt;&gt;0,VLOOKUP($A507,'0.Productos'!$A$3:$GG$587,'0.Productos'!AU$1+1,0),"")</f>
        <v/>
      </c>
      <c r="D507" s="133" t="str">
        <f>IF($A507&lt;&gt;0,VLOOKUP($A507,'0.Productos'!$A$3:$GG$587,'0.Productos'!AV$1+1,0),"")</f>
        <v/>
      </c>
      <c r="E507" s="133" t="str">
        <f>IF($A507&lt;&gt;0,VLOOKUP($A507,'0.Productos'!$A$3:$GG$587,'0.Productos'!AW$1+1,0),"")</f>
        <v/>
      </c>
      <c r="F507" s="133" t="str">
        <f>IF($A507&lt;&gt;0,VLOOKUP($A507,'0.Productos'!$A$3:$GG$587,'0.Productos'!AX$1+1,0),"")</f>
        <v/>
      </c>
      <c r="G507" s="133" t="str">
        <f>IF($A507&lt;&gt;0,VLOOKUP($A507,'0.Productos'!$A$3:$GG$587,'0.Productos'!AY$1+1,0),"")</f>
        <v/>
      </c>
      <c r="H507" s="133" t="str">
        <f>IF($A507&lt;&gt;0,VLOOKUP($A507,'0.Productos'!$A$3:$GG$587,'0.Productos'!AZ$1+1,0),"")</f>
        <v/>
      </c>
      <c r="I507" s="133" t="str">
        <f>IF($A507&lt;&gt;0,VLOOKUP($A507,'0.Productos'!$A$3:$GG$587,'0.Productos'!BA$1+1,0),"")</f>
        <v/>
      </c>
      <c r="J507" s="133" t="str">
        <f>IF($A507&lt;&gt;0,VLOOKUP($A507,'0.Productos'!$A$3:$GG$587,'0.Productos'!BB$1+1,0),"")</f>
        <v/>
      </c>
      <c r="K507" s="133" t="str">
        <f>IF($A507&lt;&gt;0,VLOOKUP($A507,'0.Productos'!$A$3:$GG$587,'0.Productos'!BC$1+1,0),"")</f>
        <v/>
      </c>
      <c r="L507" s="133" t="str">
        <f>IF($A507&lt;&gt;0,VLOOKUP($A507,'0.Productos'!$A$3:$GG$587,'0.Productos'!BD$1+1,0),"")</f>
        <v/>
      </c>
      <c r="M507" s="133" t="str">
        <f>IF($A507&lt;&gt;0,VLOOKUP($A507,'0.Productos'!$A$3:$GG$587,'0.Productos'!BE$1+1,0),"")</f>
        <v/>
      </c>
      <c r="N507" s="133" t="str">
        <f>IF($A507&lt;&gt;0,VLOOKUP($A507,'0.Productos'!$A$3:$GG$587,'0.Productos'!BF$1+1,0),"")</f>
        <v/>
      </c>
      <c r="O507" s="133" t="str">
        <f>IF($A507&lt;&gt;0,VLOOKUP($A507,'0.Productos'!$A$3:$GG$587,'0.Productos'!BG$1+1,0),"")</f>
        <v/>
      </c>
      <c r="P507" s="133" t="str">
        <f>IF($A507&lt;&gt;0,VLOOKUP($A507,'0.Productos'!$A$3:$GG$587,'0.Productos'!BH$1+1,0),"")</f>
        <v/>
      </c>
      <c r="Q507" s="133" t="str">
        <f>IF($A507&lt;&gt;0,VLOOKUP($A507,'0.Productos'!$A$3:$GG$587,'0.Productos'!BI$1+1,0),"")</f>
        <v/>
      </c>
      <c r="R507" s="133" t="str">
        <f>IF($A507&lt;&gt;0,VLOOKUP($A507,'0.Productos'!$A$3:$GG$587,'0.Productos'!BJ$1+1,0),"")</f>
        <v/>
      </c>
      <c r="S507" s="133" t="str">
        <f>IF($A507&lt;&gt;0,VLOOKUP($A507,'0.Productos'!$A$3:$GG$587,'0.Productos'!BK$1+1,0),"")</f>
        <v/>
      </c>
      <c r="T507" s="133" t="str">
        <f>IF($A507&lt;&gt;0,VLOOKUP($A507,'0.Productos'!$A$3:$GG$587,'0.Productos'!BL$1+1,0),"")</f>
        <v/>
      </c>
      <c r="U507" s="133" t="str">
        <f>IF($A507&lt;&gt;0,VLOOKUP($A507,'0.Productos'!$A$3:$GG$587,'0.Productos'!BM$1+1,0),"")</f>
        <v/>
      </c>
      <c r="V507" s="133" t="str">
        <f>IF($A507&lt;&gt;0,VLOOKUP($A507,'0.Productos'!$A$3:$GG$587,'0.Productos'!BN$1+1,0),"")</f>
        <v/>
      </c>
      <c r="W507" s="133" t="str">
        <f>IF($A507&lt;&gt;0,VLOOKUP($A507,'0.Productos'!$A$3:$GG$587,'0.Productos'!BO$1+1,0),"")</f>
        <v/>
      </c>
      <c r="X507" s="133" t="str">
        <f>IF($A507&lt;&gt;0,VLOOKUP($A507,'0.Productos'!$A$3:$GG$587,'0.Productos'!BP$1+1,0),"")</f>
        <v/>
      </c>
      <c r="Y507" s="133" t="str">
        <f>IF($A507&lt;&gt;0,VLOOKUP($A507,'0.Productos'!$A$3:$GG$587,'0.Productos'!BQ$1+1,0),"")</f>
        <v/>
      </c>
      <c r="Z507" s="133" t="str">
        <f>IF($A507&lt;&gt;0,VLOOKUP($A507,'0.Productos'!$A$3:$GG$587,'0.Productos'!BR$1+1,0),"")</f>
        <v/>
      </c>
      <c r="AA507" s="133" t="str">
        <f>IF($A507&lt;&gt;0,VLOOKUP($A507,'0.Productos'!$A$3:$GG$587,'0.Productos'!BS$1+1,0),"")</f>
        <v/>
      </c>
      <c r="AB507" s="133" t="str">
        <f>IF($A507&lt;&gt;0,VLOOKUP($A507,'0.Productos'!$A$3:$GG$587,'0.Productos'!BT$1+1,0),"")</f>
        <v/>
      </c>
      <c r="AC507" s="133" t="str">
        <f>IF($A507&lt;&gt;0,VLOOKUP($A507,'0.Productos'!$A$3:$GG$587,'0.Productos'!BU$1+1,0),"")</f>
        <v/>
      </c>
      <c r="AD507" s="133" t="str">
        <f>IF($A507&lt;&gt;0,VLOOKUP($A507,'0.Productos'!$A$3:$GG$587,'0.Productos'!BV$1+1,0),"")</f>
        <v/>
      </c>
      <c r="AE507" s="133" t="str">
        <f>IF($A507&lt;&gt;0,VLOOKUP($A507,'0.Productos'!$A$3:$GG$587,'0.Productos'!BW$1+1,0),"")</f>
        <v/>
      </c>
      <c r="AF507" s="133" t="str">
        <f>IF($A507&lt;&gt;0,VLOOKUP($A507,'0.Productos'!$A$3:$GG$587,'0.Productos'!BX$1+1,0),"")</f>
        <v/>
      </c>
      <c r="AG507" s="133" t="str">
        <f>IF($A507&lt;&gt;0,VLOOKUP($A507,'0.Productos'!$A$3:$GG$587,'0.Productos'!BY$1+1,0),"")</f>
        <v/>
      </c>
      <c r="AH507" s="133" t="str">
        <f>IF($A507&lt;&gt;0,VLOOKUP($A507,'0.Productos'!$A$3:$GG$587,'0.Productos'!BZ$1+1,0),"")</f>
        <v/>
      </c>
      <c r="AI507" s="133" t="str">
        <f>IF($A507&lt;&gt;0,VLOOKUP($A507,'0.Productos'!$A$3:$GG$587,'0.Productos'!CA$1+1,0),"")</f>
        <v/>
      </c>
      <c r="AJ507" s="133" t="str">
        <f>IF($A507&lt;&gt;0,VLOOKUP($A507,'0.Productos'!$A$3:$GG$587,'0.Productos'!CB$1+1,0),"")</f>
        <v/>
      </c>
      <c r="AK507" s="133" t="str">
        <f>IF($A507&lt;&gt;0,VLOOKUP($A507,'0.Productos'!$A$3:$GG$587,'0.Productos'!CC$1+1,0),"")</f>
        <v/>
      </c>
      <c r="AL507" s="133" t="str">
        <f>IF($A507&lt;&gt;0,VLOOKUP($A507,'0.Productos'!$A$3:$GG$587,'0.Productos'!CD$1+1,0),"")</f>
        <v/>
      </c>
      <c r="AM507" s="133" t="str">
        <f>IF($A507&lt;&gt;0,VLOOKUP($A507,'0.Productos'!$A$3:$GG$587,'0.Productos'!CE$1+1,0),"")</f>
        <v/>
      </c>
      <c r="AN507" s="133" t="str">
        <f>IF($A507&lt;&gt;0,VLOOKUP($A507,'0.Productos'!$A$3:$GG$587,'0.Productos'!CF$1+1,0),"")</f>
        <v/>
      </c>
      <c r="AO507" s="133" t="str">
        <f>IF($A507&lt;&gt;0,VLOOKUP($A507,'0.Productos'!$A$3:$GG$587,'0.Productos'!CG$1+1,0),"")</f>
        <v/>
      </c>
      <c r="AP507" s="133" t="str">
        <f>IF($A507&lt;&gt;0,VLOOKUP($A507,'0.Productos'!$A$3:$GG$587,'0.Productos'!CH$1+1,0),"")</f>
        <v/>
      </c>
      <c r="AQ507" s="133" t="str">
        <f>IF($A507&lt;&gt;0,VLOOKUP($A507,'0.Productos'!$A$3:$GG$587,'0.Productos'!CI$1+1,0),"")</f>
        <v/>
      </c>
      <c r="AR507" s="133" t="str">
        <f>IF($A507&lt;&gt;0,VLOOKUP($A507,'0.Productos'!$A$3:$GG$587,'0.Productos'!CJ$1+1,0),"")</f>
        <v/>
      </c>
      <c r="AS507" s="133" t="str">
        <f>IF($A507&lt;&gt;0,VLOOKUP($A507,'0.Productos'!$A$3:$GG$587,'0.Productos'!CK$1+1,0),"")</f>
        <v/>
      </c>
      <c r="AT507" s="133" t="str">
        <f>IF($A507&lt;&gt;0,VLOOKUP($A507,'0.Productos'!$A$3:$GG$587,'0.Productos'!CL$1+1,0),"")</f>
        <v/>
      </c>
      <c r="AU507" s="133" t="str">
        <f>IF($A507&lt;&gt;0,VLOOKUP($A507,'0.Productos'!$A$3:$GG$587,'0.Productos'!CM$1+1,0),"")</f>
        <v/>
      </c>
      <c r="AV507" s="133" t="str">
        <f>IF($A507&lt;&gt;0,VLOOKUP($A507,'0.Productos'!$A$3:$GG$587,'0.Productos'!CN$1+1,0),"")</f>
        <v/>
      </c>
      <c r="AW507" s="133" t="str">
        <f>IF($A507&lt;&gt;0,VLOOKUP($A507,'0.Productos'!$A$3:$GG$587,'0.Productos'!CO$1+1,0),"")</f>
        <v/>
      </c>
      <c r="AX507" s="133" t="str">
        <f>IF($A507&lt;&gt;0,VLOOKUP($A507,'0.Productos'!$A$3:$GG$587,'0.Productos'!CP$1+1,0),"")</f>
        <v/>
      </c>
      <c r="AY507" s="133" t="str">
        <f>IF($A507&lt;&gt;0,VLOOKUP($A507,'0.Productos'!$A$3:$GG$587,'0.Productos'!CQ$1+1,0),"")</f>
        <v/>
      </c>
      <c r="AZ507" s="133" t="str">
        <f>IF($A507&lt;&gt;0,VLOOKUP($A507,'0.Productos'!$A$3:$GG$587,'0.Productos'!CR$1+1,0),"")</f>
        <v/>
      </c>
      <c r="BA507" s="133" t="str">
        <f>IF($A507&lt;&gt;0,VLOOKUP($A507,'0.Productos'!$A$3:$GG$587,'0.Productos'!CS$1+1,0),"")</f>
        <v/>
      </c>
      <c r="BB507" s="133" t="str">
        <f>IF($A507&lt;&gt;0,VLOOKUP($A507,'0.Productos'!$A$3:$GG$587,'0.Productos'!CT$1+1,0),"")</f>
        <v/>
      </c>
      <c r="BC507" s="133" t="str">
        <f>IF($A507&lt;&gt;0,VLOOKUP($A507,'0.Productos'!$A$3:$GG$587,'0.Productos'!CU$1+1,0),"")</f>
        <v/>
      </c>
      <c r="BD507" s="133" t="str">
        <f>IF($A507&lt;&gt;0,VLOOKUP($A507,'0.Productos'!$A$3:$GG$587,'0.Productos'!CV$1+1,0),"")</f>
        <v/>
      </c>
      <c r="BE507" s="133" t="str">
        <f>IF($A507&lt;&gt;0,VLOOKUP($A507,'0.Productos'!$A$3:$GG$587,'0.Productos'!CW$1+1,0),"")</f>
        <v/>
      </c>
      <c r="BF507" s="133" t="str">
        <f>IF($A507&lt;&gt;0,VLOOKUP($A507,'0.Productos'!$A$3:$GG$587,'0.Productos'!CX$1+1,0),"")</f>
        <v/>
      </c>
      <c r="BG507" s="133" t="str">
        <f>IF($A507&lt;&gt;0,VLOOKUP($A507,'0.Productos'!$A$3:$GG$587,'0.Productos'!CY$1+1,0),"")</f>
        <v/>
      </c>
      <c r="BH507" s="133" t="str">
        <f>IF($A507&lt;&gt;0,VLOOKUP($A507,'0.Productos'!$A$3:$GG$587,'0.Productos'!CZ$1+1,0),"")</f>
        <v/>
      </c>
      <c r="BI507" s="133" t="str">
        <f>IF($A507&lt;&gt;0,VLOOKUP($A507,'0.Productos'!$A$3:$GG$587,'0.Productos'!DA$1+1,0),"")</f>
        <v/>
      </c>
      <c r="BJ507" s="133" t="str">
        <f>IF($A507&lt;&gt;0,VLOOKUP($A507,'0.Productos'!$A$3:$GG$587,'0.Productos'!DB$1+1,0),"")</f>
        <v/>
      </c>
      <c r="BK507" s="133" t="str">
        <f>IF($A507&lt;&gt;0,VLOOKUP($A507,'0.Productos'!$A$3:$GG$587,'0.Productos'!DC$1+1,0),"")</f>
        <v/>
      </c>
      <c r="BL507" s="133" t="str">
        <f>IF($A507&lt;&gt;0,VLOOKUP($A507,'0.Productos'!$A$3:$GG$587,'0.Productos'!DD$1+1,0),"")</f>
        <v/>
      </c>
      <c r="BM507" s="133" t="str">
        <f>IF($A507&lt;&gt;0,VLOOKUP($A507,'0.Productos'!$A$3:$GG$587,'0.Productos'!DE$1+1,0),"")</f>
        <v/>
      </c>
      <c r="BN507" s="133" t="str">
        <f>IF($A507&lt;&gt;0,VLOOKUP($A507,'0.Productos'!$A$3:$GG$587,'0.Productos'!DF$1+1,0),"")</f>
        <v/>
      </c>
      <c r="BO507" s="133" t="str">
        <f>IF($A507&lt;&gt;0,VLOOKUP($A507,'0.Productos'!$A$3:$GG$587,'0.Productos'!DG$1+1,0),"")</f>
        <v/>
      </c>
      <c r="BP507" s="133" t="str">
        <f>IF($A507&lt;&gt;0,VLOOKUP($A507,'0.Productos'!$A$3:$GG$587,'0.Productos'!DH$1+1,0),"")</f>
        <v/>
      </c>
      <c r="BQ507" s="133" t="str">
        <f>IF($A507&lt;&gt;0,VLOOKUP($A507,'0.Productos'!$A$3:$GG$587,'0.Productos'!DI$1+1,0),"")</f>
        <v/>
      </c>
      <c r="BR507" s="133" t="str">
        <f>IF($A507&lt;&gt;0,VLOOKUP($A507,'0.Productos'!$A$3:$GG$587,'0.Productos'!DJ$1+1,0),"")</f>
        <v/>
      </c>
      <c r="BS507" s="133" t="str">
        <f>IF($A507&lt;&gt;0,VLOOKUP($A507,'0.Productos'!$A$3:$GG$587,'0.Productos'!DK$1+1,0),"")</f>
        <v/>
      </c>
      <c r="BT507" s="133" t="str">
        <f>IF($A507&lt;&gt;0,VLOOKUP($A507,'0.Productos'!$A$3:$GG$587,'0.Productos'!DL$1+1,0),"")</f>
        <v/>
      </c>
    </row>
    <row r="508" spans="1:72" x14ac:dyDescent="0.25">
      <c r="A508" s="17">
        <f>'0.Consolidado general'!A508</f>
        <v>0</v>
      </c>
      <c r="B508" s="133" t="str">
        <f>IF($A508&lt;&gt;0,VLOOKUP($A508,'0.Productos'!$A$3:$GG$587,'0.Productos'!AT$1+1,0),"")</f>
        <v/>
      </c>
      <c r="C508" s="133" t="str">
        <f>IF($A508&lt;&gt;0,VLOOKUP($A508,'0.Productos'!$A$3:$GG$587,'0.Productos'!AU$1+1,0),"")</f>
        <v/>
      </c>
      <c r="D508" s="133" t="str">
        <f>IF($A508&lt;&gt;0,VLOOKUP($A508,'0.Productos'!$A$3:$GG$587,'0.Productos'!AV$1+1,0),"")</f>
        <v/>
      </c>
      <c r="E508" s="133" t="str">
        <f>IF($A508&lt;&gt;0,VLOOKUP($A508,'0.Productos'!$A$3:$GG$587,'0.Productos'!AW$1+1,0),"")</f>
        <v/>
      </c>
      <c r="F508" s="133" t="str">
        <f>IF($A508&lt;&gt;0,VLOOKUP($A508,'0.Productos'!$A$3:$GG$587,'0.Productos'!AX$1+1,0),"")</f>
        <v/>
      </c>
      <c r="G508" s="133" t="str">
        <f>IF($A508&lt;&gt;0,VLOOKUP($A508,'0.Productos'!$A$3:$GG$587,'0.Productos'!AY$1+1,0),"")</f>
        <v/>
      </c>
      <c r="H508" s="133" t="str">
        <f>IF($A508&lt;&gt;0,VLOOKUP($A508,'0.Productos'!$A$3:$GG$587,'0.Productos'!AZ$1+1,0),"")</f>
        <v/>
      </c>
      <c r="I508" s="133" t="str">
        <f>IF($A508&lt;&gt;0,VLOOKUP($A508,'0.Productos'!$A$3:$GG$587,'0.Productos'!BA$1+1,0),"")</f>
        <v/>
      </c>
      <c r="J508" s="133" t="str">
        <f>IF($A508&lt;&gt;0,VLOOKUP($A508,'0.Productos'!$A$3:$GG$587,'0.Productos'!BB$1+1,0),"")</f>
        <v/>
      </c>
      <c r="K508" s="133" t="str">
        <f>IF($A508&lt;&gt;0,VLOOKUP($A508,'0.Productos'!$A$3:$GG$587,'0.Productos'!BC$1+1,0),"")</f>
        <v/>
      </c>
      <c r="L508" s="133" t="str">
        <f>IF($A508&lt;&gt;0,VLOOKUP($A508,'0.Productos'!$A$3:$GG$587,'0.Productos'!BD$1+1,0),"")</f>
        <v/>
      </c>
      <c r="M508" s="133" t="str">
        <f>IF($A508&lt;&gt;0,VLOOKUP($A508,'0.Productos'!$A$3:$GG$587,'0.Productos'!BE$1+1,0),"")</f>
        <v/>
      </c>
      <c r="N508" s="133" t="str">
        <f>IF($A508&lt;&gt;0,VLOOKUP($A508,'0.Productos'!$A$3:$GG$587,'0.Productos'!BF$1+1,0),"")</f>
        <v/>
      </c>
      <c r="O508" s="133" t="str">
        <f>IF($A508&lt;&gt;0,VLOOKUP($A508,'0.Productos'!$A$3:$GG$587,'0.Productos'!BG$1+1,0),"")</f>
        <v/>
      </c>
      <c r="P508" s="133" t="str">
        <f>IF($A508&lt;&gt;0,VLOOKUP($A508,'0.Productos'!$A$3:$GG$587,'0.Productos'!BH$1+1,0),"")</f>
        <v/>
      </c>
      <c r="Q508" s="133" t="str">
        <f>IF($A508&lt;&gt;0,VLOOKUP($A508,'0.Productos'!$A$3:$GG$587,'0.Productos'!BI$1+1,0),"")</f>
        <v/>
      </c>
      <c r="R508" s="133" t="str">
        <f>IF($A508&lt;&gt;0,VLOOKUP($A508,'0.Productos'!$A$3:$GG$587,'0.Productos'!BJ$1+1,0),"")</f>
        <v/>
      </c>
      <c r="S508" s="133" t="str">
        <f>IF($A508&lt;&gt;0,VLOOKUP($A508,'0.Productos'!$A$3:$GG$587,'0.Productos'!BK$1+1,0),"")</f>
        <v/>
      </c>
      <c r="T508" s="133" t="str">
        <f>IF($A508&lt;&gt;0,VLOOKUP($A508,'0.Productos'!$A$3:$GG$587,'0.Productos'!BL$1+1,0),"")</f>
        <v/>
      </c>
      <c r="U508" s="133" t="str">
        <f>IF($A508&lt;&gt;0,VLOOKUP($A508,'0.Productos'!$A$3:$GG$587,'0.Productos'!BM$1+1,0),"")</f>
        <v/>
      </c>
      <c r="V508" s="133" t="str">
        <f>IF($A508&lt;&gt;0,VLOOKUP($A508,'0.Productos'!$A$3:$GG$587,'0.Productos'!BN$1+1,0),"")</f>
        <v/>
      </c>
      <c r="W508" s="133" t="str">
        <f>IF($A508&lt;&gt;0,VLOOKUP($A508,'0.Productos'!$A$3:$GG$587,'0.Productos'!BO$1+1,0),"")</f>
        <v/>
      </c>
      <c r="X508" s="133" t="str">
        <f>IF($A508&lt;&gt;0,VLOOKUP($A508,'0.Productos'!$A$3:$GG$587,'0.Productos'!BP$1+1,0),"")</f>
        <v/>
      </c>
      <c r="Y508" s="133" t="str">
        <f>IF($A508&lt;&gt;0,VLOOKUP($A508,'0.Productos'!$A$3:$GG$587,'0.Productos'!BQ$1+1,0),"")</f>
        <v/>
      </c>
      <c r="Z508" s="133" t="str">
        <f>IF($A508&lt;&gt;0,VLOOKUP($A508,'0.Productos'!$A$3:$GG$587,'0.Productos'!BR$1+1,0),"")</f>
        <v/>
      </c>
      <c r="AA508" s="133" t="str">
        <f>IF($A508&lt;&gt;0,VLOOKUP($A508,'0.Productos'!$A$3:$GG$587,'0.Productos'!BS$1+1,0),"")</f>
        <v/>
      </c>
      <c r="AB508" s="133" t="str">
        <f>IF($A508&lt;&gt;0,VLOOKUP($A508,'0.Productos'!$A$3:$GG$587,'0.Productos'!BT$1+1,0),"")</f>
        <v/>
      </c>
      <c r="AC508" s="133" t="str">
        <f>IF($A508&lt;&gt;0,VLOOKUP($A508,'0.Productos'!$A$3:$GG$587,'0.Productos'!BU$1+1,0),"")</f>
        <v/>
      </c>
      <c r="AD508" s="133" t="str">
        <f>IF($A508&lt;&gt;0,VLOOKUP($A508,'0.Productos'!$A$3:$GG$587,'0.Productos'!BV$1+1,0),"")</f>
        <v/>
      </c>
      <c r="AE508" s="133" t="str">
        <f>IF($A508&lt;&gt;0,VLOOKUP($A508,'0.Productos'!$A$3:$GG$587,'0.Productos'!BW$1+1,0),"")</f>
        <v/>
      </c>
      <c r="AF508" s="133" t="str">
        <f>IF($A508&lt;&gt;0,VLOOKUP($A508,'0.Productos'!$A$3:$GG$587,'0.Productos'!BX$1+1,0),"")</f>
        <v/>
      </c>
      <c r="AG508" s="133" t="str">
        <f>IF($A508&lt;&gt;0,VLOOKUP($A508,'0.Productos'!$A$3:$GG$587,'0.Productos'!BY$1+1,0),"")</f>
        <v/>
      </c>
      <c r="AH508" s="133" t="str">
        <f>IF($A508&lt;&gt;0,VLOOKUP($A508,'0.Productos'!$A$3:$GG$587,'0.Productos'!BZ$1+1,0),"")</f>
        <v/>
      </c>
      <c r="AI508" s="133" t="str">
        <f>IF($A508&lt;&gt;0,VLOOKUP($A508,'0.Productos'!$A$3:$GG$587,'0.Productos'!CA$1+1,0),"")</f>
        <v/>
      </c>
      <c r="AJ508" s="133" t="str">
        <f>IF($A508&lt;&gt;0,VLOOKUP($A508,'0.Productos'!$A$3:$GG$587,'0.Productos'!CB$1+1,0),"")</f>
        <v/>
      </c>
      <c r="AK508" s="133" t="str">
        <f>IF($A508&lt;&gt;0,VLOOKUP($A508,'0.Productos'!$A$3:$GG$587,'0.Productos'!CC$1+1,0),"")</f>
        <v/>
      </c>
      <c r="AL508" s="133" t="str">
        <f>IF($A508&lt;&gt;0,VLOOKUP($A508,'0.Productos'!$A$3:$GG$587,'0.Productos'!CD$1+1,0),"")</f>
        <v/>
      </c>
      <c r="AM508" s="133" t="str">
        <f>IF($A508&lt;&gt;0,VLOOKUP($A508,'0.Productos'!$A$3:$GG$587,'0.Productos'!CE$1+1,0),"")</f>
        <v/>
      </c>
      <c r="AN508" s="133" t="str">
        <f>IF($A508&lt;&gt;0,VLOOKUP($A508,'0.Productos'!$A$3:$GG$587,'0.Productos'!CF$1+1,0),"")</f>
        <v/>
      </c>
      <c r="AO508" s="133" t="str">
        <f>IF($A508&lt;&gt;0,VLOOKUP($A508,'0.Productos'!$A$3:$GG$587,'0.Productos'!CG$1+1,0),"")</f>
        <v/>
      </c>
      <c r="AP508" s="133" t="str">
        <f>IF($A508&lt;&gt;0,VLOOKUP($A508,'0.Productos'!$A$3:$GG$587,'0.Productos'!CH$1+1,0),"")</f>
        <v/>
      </c>
      <c r="AQ508" s="133" t="str">
        <f>IF($A508&lt;&gt;0,VLOOKUP($A508,'0.Productos'!$A$3:$GG$587,'0.Productos'!CI$1+1,0),"")</f>
        <v/>
      </c>
      <c r="AR508" s="133" t="str">
        <f>IF($A508&lt;&gt;0,VLOOKUP($A508,'0.Productos'!$A$3:$GG$587,'0.Productos'!CJ$1+1,0),"")</f>
        <v/>
      </c>
      <c r="AS508" s="133" t="str">
        <f>IF($A508&lt;&gt;0,VLOOKUP($A508,'0.Productos'!$A$3:$GG$587,'0.Productos'!CK$1+1,0),"")</f>
        <v/>
      </c>
      <c r="AT508" s="133" t="str">
        <f>IF($A508&lt;&gt;0,VLOOKUP($A508,'0.Productos'!$A$3:$GG$587,'0.Productos'!CL$1+1,0),"")</f>
        <v/>
      </c>
      <c r="AU508" s="133" t="str">
        <f>IF($A508&lt;&gt;0,VLOOKUP($A508,'0.Productos'!$A$3:$GG$587,'0.Productos'!CM$1+1,0),"")</f>
        <v/>
      </c>
      <c r="AV508" s="133" t="str">
        <f>IF($A508&lt;&gt;0,VLOOKUP($A508,'0.Productos'!$A$3:$GG$587,'0.Productos'!CN$1+1,0),"")</f>
        <v/>
      </c>
      <c r="AW508" s="133" t="str">
        <f>IF($A508&lt;&gt;0,VLOOKUP($A508,'0.Productos'!$A$3:$GG$587,'0.Productos'!CO$1+1,0),"")</f>
        <v/>
      </c>
      <c r="AX508" s="133" t="str">
        <f>IF($A508&lt;&gt;0,VLOOKUP($A508,'0.Productos'!$A$3:$GG$587,'0.Productos'!CP$1+1,0),"")</f>
        <v/>
      </c>
      <c r="AY508" s="133" t="str">
        <f>IF($A508&lt;&gt;0,VLOOKUP($A508,'0.Productos'!$A$3:$GG$587,'0.Productos'!CQ$1+1,0),"")</f>
        <v/>
      </c>
      <c r="AZ508" s="133" t="str">
        <f>IF($A508&lt;&gt;0,VLOOKUP($A508,'0.Productos'!$A$3:$GG$587,'0.Productos'!CR$1+1,0),"")</f>
        <v/>
      </c>
      <c r="BA508" s="133" t="str">
        <f>IF($A508&lt;&gt;0,VLOOKUP($A508,'0.Productos'!$A$3:$GG$587,'0.Productos'!CS$1+1,0),"")</f>
        <v/>
      </c>
      <c r="BB508" s="133" t="str">
        <f>IF($A508&lt;&gt;0,VLOOKUP($A508,'0.Productos'!$A$3:$GG$587,'0.Productos'!CT$1+1,0),"")</f>
        <v/>
      </c>
      <c r="BC508" s="133" t="str">
        <f>IF($A508&lt;&gt;0,VLOOKUP($A508,'0.Productos'!$A$3:$GG$587,'0.Productos'!CU$1+1,0),"")</f>
        <v/>
      </c>
      <c r="BD508" s="133" t="str">
        <f>IF($A508&lt;&gt;0,VLOOKUP($A508,'0.Productos'!$A$3:$GG$587,'0.Productos'!CV$1+1,0),"")</f>
        <v/>
      </c>
      <c r="BE508" s="133" t="str">
        <f>IF($A508&lt;&gt;0,VLOOKUP($A508,'0.Productos'!$A$3:$GG$587,'0.Productos'!CW$1+1,0),"")</f>
        <v/>
      </c>
      <c r="BF508" s="133" t="str">
        <f>IF($A508&lt;&gt;0,VLOOKUP($A508,'0.Productos'!$A$3:$GG$587,'0.Productos'!CX$1+1,0),"")</f>
        <v/>
      </c>
      <c r="BG508" s="133" t="str">
        <f>IF($A508&lt;&gt;0,VLOOKUP($A508,'0.Productos'!$A$3:$GG$587,'0.Productos'!CY$1+1,0),"")</f>
        <v/>
      </c>
      <c r="BH508" s="133" t="str">
        <f>IF($A508&lt;&gt;0,VLOOKUP($A508,'0.Productos'!$A$3:$GG$587,'0.Productos'!CZ$1+1,0),"")</f>
        <v/>
      </c>
      <c r="BI508" s="133" t="str">
        <f>IF($A508&lt;&gt;0,VLOOKUP($A508,'0.Productos'!$A$3:$GG$587,'0.Productos'!DA$1+1,0),"")</f>
        <v/>
      </c>
      <c r="BJ508" s="133" t="str">
        <f>IF($A508&lt;&gt;0,VLOOKUP($A508,'0.Productos'!$A$3:$GG$587,'0.Productos'!DB$1+1,0),"")</f>
        <v/>
      </c>
      <c r="BK508" s="133" t="str">
        <f>IF($A508&lt;&gt;0,VLOOKUP($A508,'0.Productos'!$A$3:$GG$587,'0.Productos'!DC$1+1,0),"")</f>
        <v/>
      </c>
      <c r="BL508" s="133" t="str">
        <f>IF($A508&lt;&gt;0,VLOOKUP($A508,'0.Productos'!$A$3:$GG$587,'0.Productos'!DD$1+1,0),"")</f>
        <v/>
      </c>
      <c r="BM508" s="133" t="str">
        <f>IF($A508&lt;&gt;0,VLOOKUP($A508,'0.Productos'!$A$3:$GG$587,'0.Productos'!DE$1+1,0),"")</f>
        <v/>
      </c>
      <c r="BN508" s="133" t="str">
        <f>IF($A508&lt;&gt;0,VLOOKUP($A508,'0.Productos'!$A$3:$GG$587,'0.Productos'!DF$1+1,0),"")</f>
        <v/>
      </c>
      <c r="BO508" s="133" t="str">
        <f>IF($A508&lt;&gt;0,VLOOKUP($A508,'0.Productos'!$A$3:$GG$587,'0.Productos'!DG$1+1,0),"")</f>
        <v/>
      </c>
      <c r="BP508" s="133" t="str">
        <f>IF($A508&lt;&gt;0,VLOOKUP($A508,'0.Productos'!$A$3:$GG$587,'0.Productos'!DH$1+1,0),"")</f>
        <v/>
      </c>
      <c r="BQ508" s="133" t="str">
        <f>IF($A508&lt;&gt;0,VLOOKUP($A508,'0.Productos'!$A$3:$GG$587,'0.Productos'!DI$1+1,0),"")</f>
        <v/>
      </c>
      <c r="BR508" s="133" t="str">
        <f>IF($A508&lt;&gt;0,VLOOKUP($A508,'0.Productos'!$A$3:$GG$587,'0.Productos'!DJ$1+1,0),"")</f>
        <v/>
      </c>
      <c r="BS508" s="133" t="str">
        <f>IF($A508&lt;&gt;0,VLOOKUP($A508,'0.Productos'!$A$3:$GG$587,'0.Productos'!DK$1+1,0),"")</f>
        <v/>
      </c>
      <c r="BT508" s="133" t="str">
        <f>IF($A508&lt;&gt;0,VLOOKUP($A508,'0.Productos'!$A$3:$GG$587,'0.Productos'!DL$1+1,0),"")</f>
        <v/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/>
  <dimension ref="A1:BK434"/>
  <sheetViews>
    <sheetView workbookViewId="0">
      <selection activeCell="B8" sqref="B8"/>
    </sheetView>
  </sheetViews>
  <sheetFormatPr baseColWidth="10" defaultRowHeight="15" x14ac:dyDescent="0.25"/>
  <cols>
    <col min="1" max="1" width="14" style="91" bestFit="1" customWidth="1"/>
    <col min="2" max="2" width="7.5703125" style="127" customWidth="1"/>
    <col min="3" max="3" width="8.140625" style="127" customWidth="1"/>
    <col min="4" max="6" width="4.7109375" style="127" customWidth="1"/>
  </cols>
  <sheetData>
    <row r="1" spans="1:63" x14ac:dyDescent="0.25">
      <c r="A1" s="100" t="s">
        <v>64</v>
      </c>
      <c r="B1" s="130" t="s">
        <v>441</v>
      </c>
      <c r="C1" s="130" t="s">
        <v>438</v>
      </c>
      <c r="D1" s="130" t="s">
        <v>435</v>
      </c>
      <c r="E1" s="130" t="s">
        <v>434</v>
      </c>
      <c r="F1" s="130" t="s">
        <v>433</v>
      </c>
      <c r="G1" s="130" t="s">
        <v>432</v>
      </c>
      <c r="H1" s="130" t="s">
        <v>431</v>
      </c>
      <c r="I1" s="130" t="s">
        <v>430</v>
      </c>
      <c r="J1" s="130" t="s">
        <v>429</v>
      </c>
      <c r="K1" s="130" t="s">
        <v>428</v>
      </c>
      <c r="L1" s="130" t="s">
        <v>427</v>
      </c>
      <c r="M1" s="130" t="s">
        <v>426</v>
      </c>
      <c r="N1" s="130" t="s">
        <v>425</v>
      </c>
      <c r="O1" s="130" t="s">
        <v>424</v>
      </c>
      <c r="P1" s="130" t="s">
        <v>423</v>
      </c>
      <c r="Q1" s="130" t="s">
        <v>422</v>
      </c>
      <c r="R1" s="130" t="s">
        <v>421</v>
      </c>
      <c r="S1" s="130" t="s">
        <v>420</v>
      </c>
      <c r="T1" s="130" t="s">
        <v>419</v>
      </c>
      <c r="U1" s="130" t="s">
        <v>418</v>
      </c>
      <c r="V1" s="130" t="s">
        <v>417</v>
      </c>
      <c r="W1" s="130" t="s">
        <v>416</v>
      </c>
      <c r="X1" s="130" t="s">
        <v>415</v>
      </c>
      <c r="Y1" s="130" t="s">
        <v>414</v>
      </c>
      <c r="Z1" s="130" t="s">
        <v>413</v>
      </c>
      <c r="AA1" s="130" t="s">
        <v>412</v>
      </c>
      <c r="AB1" s="130" t="s">
        <v>411</v>
      </c>
      <c r="AC1" s="130" t="s">
        <v>410</v>
      </c>
      <c r="AD1" s="130" t="s">
        <v>409</v>
      </c>
      <c r="AE1" s="130" t="s">
        <v>408</v>
      </c>
      <c r="AF1" s="130" t="s">
        <v>407</v>
      </c>
      <c r="AG1" s="130" t="s">
        <v>406</v>
      </c>
      <c r="AH1" s="130" t="s">
        <v>405</v>
      </c>
      <c r="AI1" s="130" t="s">
        <v>404</v>
      </c>
      <c r="AJ1" s="130" t="s">
        <v>403</v>
      </c>
      <c r="AK1" s="130" t="s">
        <v>402</v>
      </c>
      <c r="AL1" s="130" t="s">
        <v>401</v>
      </c>
      <c r="AM1" s="130" t="s">
        <v>400</v>
      </c>
      <c r="AN1" s="130" t="s">
        <v>399</v>
      </c>
      <c r="AO1" s="130" t="s">
        <v>398</v>
      </c>
      <c r="AP1" s="130" t="s">
        <v>397</v>
      </c>
      <c r="AQ1" s="130" t="s">
        <v>396</v>
      </c>
      <c r="AR1" s="130" t="s">
        <v>395</v>
      </c>
      <c r="AS1" s="130" t="s">
        <v>394</v>
      </c>
      <c r="AT1" s="130" t="s">
        <v>393</v>
      </c>
      <c r="AU1" s="130" t="s">
        <v>392</v>
      </c>
      <c r="AV1" s="130" t="s">
        <v>391</v>
      </c>
      <c r="AW1" s="130" t="s">
        <v>390</v>
      </c>
      <c r="AX1" s="130" t="s">
        <v>389</v>
      </c>
      <c r="AY1" s="130" t="s">
        <v>388</v>
      </c>
      <c r="AZ1" s="130" t="s">
        <v>387</v>
      </c>
      <c r="BA1" s="130" t="s">
        <v>386</v>
      </c>
      <c r="BB1" s="130" t="s">
        <v>385</v>
      </c>
      <c r="BC1" s="130" t="s">
        <v>384</v>
      </c>
      <c r="BD1" s="130" t="s">
        <v>383</v>
      </c>
      <c r="BE1" s="130" t="s">
        <v>382</v>
      </c>
      <c r="BF1" s="130" t="s">
        <v>381</v>
      </c>
      <c r="BG1" s="130" t="s">
        <v>380</v>
      </c>
      <c r="BH1" s="130" t="s">
        <v>379</v>
      </c>
      <c r="BI1" s="130" t="s">
        <v>378</v>
      </c>
      <c r="BJ1" s="130" t="s">
        <v>377</v>
      </c>
      <c r="BK1" s="130" t="s">
        <v>376</v>
      </c>
    </row>
    <row r="2" spans="1:63" x14ac:dyDescent="0.25">
      <c r="A2" t="str">
        <f>'0.Consolidado general'!$A3</f>
        <v>E001001021002</v>
      </c>
      <c r="B2" s="138">
        <f>IF('1.DATOS-PROD'!K3="SI",VLOOKUP('1.DATOS-PROD'!K$2,'1.PUNTOS'!$A$1:$B$63,2,0),0)</f>
        <v>0</v>
      </c>
      <c r="C2" s="138">
        <f>IF('1.DATOS-PROD'!L3="SI",VLOOKUP('1.DATOS-PROD'!L$2,'1.PUNTOS'!$A$1:$B$63,2,0),0)</f>
        <v>0</v>
      </c>
      <c r="D2" s="138">
        <f>IF('1.DATOS-PROD'!M3="SI",VLOOKUP('1.DATOS-PROD'!M$2,'1.PUNTOS'!$A$1:$B$63,2,0),0)</f>
        <v>3</v>
      </c>
      <c r="E2" s="138">
        <f>IF('1.DATOS-PROD'!N3="SI",VLOOKUP('1.DATOS-PROD'!N$2,'1.PUNTOS'!$A$1:$B$63,2,0),0)</f>
        <v>0</v>
      </c>
      <c r="F2" s="138">
        <f>IF('1.DATOS-PROD'!O3="SI",VLOOKUP('1.DATOS-PROD'!O$2,'1.PUNTOS'!$A$1:$B$63,2,0),0)</f>
        <v>2</v>
      </c>
      <c r="G2" s="138">
        <f>IF('1.DATOS-PROD'!P3="SI",VLOOKUP('1.DATOS-PROD'!P$2,'1.PUNTOS'!$A$1:$B$63,2,0),0)</f>
        <v>3</v>
      </c>
      <c r="H2" s="138">
        <f>IF('1.DATOS-PROD'!Q3="SI",VLOOKUP('1.DATOS-PROD'!Q$2,'1.PUNTOS'!$A$1:$B$63,2,0),0)</f>
        <v>3</v>
      </c>
      <c r="I2" s="138">
        <f>IF('1.DATOS-PROD'!R3="SI",VLOOKUP('1.DATOS-PROD'!R$2,'1.PUNTOS'!$A$1:$B$63,2,0),0)</f>
        <v>3</v>
      </c>
      <c r="J2" s="138">
        <f>IF('1.DATOS-PROD'!S3="SI",VLOOKUP('1.DATOS-PROD'!S$2,'1.PUNTOS'!$A$1:$B$63,2,0),0)</f>
        <v>3</v>
      </c>
      <c r="K2" s="138">
        <f>IF('1.DATOS-PROD'!T3="SI",VLOOKUP('1.DATOS-PROD'!T$2,'1.PUNTOS'!$A$1:$B$63,2,0),0)</f>
        <v>0</v>
      </c>
      <c r="L2" s="138">
        <f>IF('1.DATOS-PROD'!U3="SI",VLOOKUP('1.DATOS-PROD'!U$2,'1.PUNTOS'!$A$1:$B$63,2,0),0)</f>
        <v>0</v>
      </c>
      <c r="M2" s="138">
        <f>IF('1.DATOS-PROD'!V3="SI",VLOOKUP('1.DATOS-PROD'!V$2,'1.PUNTOS'!$A$1:$B$63,2,0),0)</f>
        <v>0</v>
      </c>
      <c r="N2" s="138">
        <f>IF('1.DATOS-PROD'!W3="SI",VLOOKUP('1.DATOS-PROD'!W$2,'1.PUNTOS'!$A$1:$B$63,2,0),0)</f>
        <v>1</v>
      </c>
      <c r="O2" s="138">
        <f>IF('1.DATOS-PROD'!X3="SI",VLOOKUP('1.DATOS-PROD'!X$2,'1.PUNTOS'!$A$1:$B$63,2,0),0)</f>
        <v>3</v>
      </c>
      <c r="P2" s="138">
        <f>IF('1.DATOS-PROD'!Y3="SI",VLOOKUP('1.DATOS-PROD'!Y$2,'1.PUNTOS'!$A$1:$B$63,2,0),0)</f>
        <v>0</v>
      </c>
      <c r="Q2" s="138">
        <f>IF('1.DATOS-PROD'!Z3="SI",VLOOKUP('1.DATOS-PROD'!Z$2,'1.PUNTOS'!$A$1:$B$63,2,0),0)</f>
        <v>2</v>
      </c>
      <c r="R2" s="138">
        <f>IF('1.DATOS-PROD'!AA3="SI",VLOOKUP('1.DATOS-PROD'!AA$2,'1.PUNTOS'!$A$1:$B$63,2,0),0)</f>
        <v>1</v>
      </c>
      <c r="S2" s="138">
        <f>IF('1.DATOS-PROD'!AB3="SI",VLOOKUP('1.DATOS-PROD'!AB$2,'1.PUNTOS'!$A$1:$B$63,2,0),0)</f>
        <v>0</v>
      </c>
      <c r="T2" s="138">
        <f>IF('1.DATOS-PROD'!AC3="SI",VLOOKUP('1.DATOS-PROD'!AC$2,'1.PUNTOS'!$A$1:$B$63,2,0),0)</f>
        <v>4</v>
      </c>
      <c r="U2" s="138">
        <f>IF('1.DATOS-PROD'!AD3="SI",VLOOKUP('1.DATOS-PROD'!AD$2,'1.PUNTOS'!$A$1:$B$63,2,0),0)</f>
        <v>0</v>
      </c>
      <c r="V2" s="138">
        <f>IF('1.DATOS-PROD'!AE3="SI",VLOOKUP('1.DATOS-PROD'!AE$2,'1.PUNTOS'!$A$1:$B$63,2,0),0)</f>
        <v>0</v>
      </c>
      <c r="W2" s="138">
        <f>IF('1.DATOS-PROD'!AF3="SI",VLOOKUP('1.DATOS-PROD'!AF$2,'1.PUNTOS'!$A$1:$B$63,2,0),0)</f>
        <v>0</v>
      </c>
      <c r="X2" s="138">
        <f>IF('1.DATOS-PROD'!AG3="SI",VLOOKUP('1.DATOS-PROD'!AG$2,'1.PUNTOS'!$A$1:$B$63,2,0),0)</f>
        <v>0</v>
      </c>
      <c r="Y2" s="138">
        <f>IF('1.DATOS-PROD'!AH3="SI",VLOOKUP('1.DATOS-PROD'!AH$2,'1.PUNTOS'!$A$1:$B$63,2,0),0)</f>
        <v>0</v>
      </c>
      <c r="Z2" s="138">
        <f>IF('1.DATOS-PROD'!AI3="SI",VLOOKUP('1.DATOS-PROD'!AI$2,'1.PUNTOS'!$A$1:$B$63,2,0),0)</f>
        <v>3</v>
      </c>
      <c r="AA2" s="138">
        <f>IF('1.DATOS-PROD'!AJ3="SI",VLOOKUP('1.DATOS-PROD'!AJ$2,'1.PUNTOS'!$A$1:$B$63,2,0),0)</f>
        <v>3</v>
      </c>
      <c r="AB2" s="138">
        <f>IF('1.DATOS-PROD'!AK3="SI",VLOOKUP('1.DATOS-PROD'!AK$2,'1.PUNTOS'!$A$1:$B$63,2,0),0)</f>
        <v>3</v>
      </c>
      <c r="AC2" s="138">
        <f>IF('1.DATOS-PROD'!AL3="SI",VLOOKUP('1.DATOS-PROD'!AL$2,'1.PUNTOS'!$A$1:$B$63,2,0),0)</f>
        <v>2</v>
      </c>
      <c r="AD2" s="138">
        <f>IF('1.DATOS-PROD'!AM3="SI",VLOOKUP('1.DATOS-PROD'!AM$2,'1.PUNTOS'!$A$1:$B$63,2,0),0)</f>
        <v>1</v>
      </c>
      <c r="AE2" s="138">
        <f>IF('1.DATOS-PROD'!AN3="SI",VLOOKUP('1.DATOS-PROD'!AN$2,'1.PUNTOS'!$A$1:$B$63,2,0),0)</f>
        <v>2</v>
      </c>
      <c r="AF2" s="138">
        <f>IF('1.DATOS-PROD'!AO3="SI",VLOOKUP('1.DATOS-PROD'!AO$2,'1.PUNTOS'!$A$1:$B$63,2,0),0)</f>
        <v>0</v>
      </c>
      <c r="AG2" s="138">
        <f>IF('1.DATOS-PROD'!AP3="SI",VLOOKUP('1.DATOS-PROD'!AP$2,'1.PUNTOS'!$A$1:$B$63,2,0),0)</f>
        <v>3</v>
      </c>
      <c r="AH2" s="138">
        <f>IF('1.DATOS-PROD'!AQ3="SI",VLOOKUP('1.DATOS-PROD'!AQ$2,'1.PUNTOS'!$A$1:$B$63,2,0),0)</f>
        <v>2</v>
      </c>
      <c r="AI2" s="138">
        <f>IF('1.DATOS-PROD'!AR3="SI",VLOOKUP('1.DATOS-PROD'!AR$2,'1.PUNTOS'!$A$1:$B$63,2,0),0)</f>
        <v>0</v>
      </c>
      <c r="AJ2" s="138">
        <f>IF('1.DATOS-PROD'!AS3="SI",VLOOKUP('1.DATOS-PROD'!AS$2,'1.PUNTOS'!$A$1:$B$63,2,0),0)</f>
        <v>0</v>
      </c>
      <c r="AK2" s="138">
        <f>IF('1.DATOS-PROD'!AT3="SI",VLOOKUP('1.DATOS-PROD'!AT$2,'1.PUNTOS'!$A$1:$B$63,2,0),0)</f>
        <v>3</v>
      </c>
      <c r="AL2" s="138">
        <f>IF('1.DATOS-PROD'!AU3="SI",VLOOKUP('1.DATOS-PROD'!AU$2,'1.PUNTOS'!$A$1:$B$63,2,0),0)</f>
        <v>0</v>
      </c>
      <c r="AM2" s="138">
        <f>IF('1.DATOS-PROD'!AV3="SI",VLOOKUP('1.DATOS-PROD'!AV$2,'1.PUNTOS'!$A$1:$B$63,2,0),0)</f>
        <v>0</v>
      </c>
      <c r="AN2" s="138">
        <f>IF('1.DATOS-PROD'!AW3="SI",VLOOKUP('1.DATOS-PROD'!AW$2,'1.PUNTOS'!$A$1:$B$63,2,0),0)</f>
        <v>0</v>
      </c>
      <c r="AO2" s="138">
        <f>IF('1.DATOS-PROD'!AX3="SI",VLOOKUP('1.DATOS-PROD'!AX$2,'1.PUNTOS'!$A$1:$B$63,2,0),0)</f>
        <v>0</v>
      </c>
      <c r="AP2" s="138">
        <f>IF('1.DATOS-PROD'!AY3="SI",VLOOKUP('1.DATOS-PROD'!AY$2,'1.PUNTOS'!$A$1:$B$63,2,0),0)</f>
        <v>2</v>
      </c>
      <c r="AQ2" s="138">
        <f>IF('1.DATOS-PROD'!AZ3="SI",VLOOKUP('1.DATOS-PROD'!AZ$2,'1.PUNTOS'!$A$1:$B$63,2,0),0)</f>
        <v>0</v>
      </c>
      <c r="AR2" s="138">
        <f>IF('1.DATOS-PROD'!BA3="SI",VLOOKUP('1.DATOS-PROD'!BA$2,'1.PUNTOS'!$A$1:$B$63,2,0),0)</f>
        <v>3</v>
      </c>
      <c r="AS2" s="138">
        <f>IF('1.DATOS-PROD'!BB3="SI",VLOOKUP('1.DATOS-PROD'!BB$2,'1.PUNTOS'!$A$1:$B$63,2,0),0)</f>
        <v>3</v>
      </c>
      <c r="AT2" s="138">
        <f>IF('1.DATOS-PROD'!BC3="SI",VLOOKUP('1.DATOS-PROD'!BC$2,'1.PUNTOS'!$A$1:$B$63,2,0),0)</f>
        <v>3</v>
      </c>
      <c r="AU2" s="138">
        <f>IF('1.DATOS-PROD'!BD3="SI",VLOOKUP('1.DATOS-PROD'!BD$2,'1.PUNTOS'!$A$1:$B$63,2,0),0)</f>
        <v>0</v>
      </c>
      <c r="AV2" s="138">
        <f>IF('1.DATOS-PROD'!BE3="SI",VLOOKUP('1.DATOS-PROD'!BE$2,'1.PUNTOS'!$A$1:$B$63,2,0),0)</f>
        <v>1</v>
      </c>
      <c r="AW2" s="138">
        <f>IF('1.DATOS-PROD'!BF3="SI",VLOOKUP('1.DATOS-PROD'!BF$2,'1.PUNTOS'!$A$1:$B$63,2,0),0)</f>
        <v>0</v>
      </c>
      <c r="AX2" s="138">
        <f>IF('1.DATOS-PROD'!BG3="SI",VLOOKUP('1.DATOS-PROD'!BG$2,'1.PUNTOS'!$A$1:$B$63,2,0),0)</f>
        <v>0</v>
      </c>
      <c r="AY2" s="138">
        <f>IF('1.DATOS-PROD'!BH3="SI",VLOOKUP('1.DATOS-PROD'!BH$2,'1.PUNTOS'!$A$1:$B$63,2,0),0)</f>
        <v>0</v>
      </c>
      <c r="AZ2" s="138">
        <f>IF('1.DATOS-PROD'!BI3="SI",VLOOKUP('1.DATOS-PROD'!BI$2,'1.PUNTOS'!$A$1:$B$63,2,0),0)</f>
        <v>0</v>
      </c>
      <c r="BA2" s="138">
        <f>IF('1.DATOS-PROD'!BJ3="SI",VLOOKUP('1.DATOS-PROD'!BJ$2,'1.PUNTOS'!$A$1:$B$63,2,0),0)</f>
        <v>2</v>
      </c>
      <c r="BB2" s="138">
        <f>IF('1.DATOS-PROD'!BK3="SI",VLOOKUP('1.DATOS-PROD'!BK$2,'1.PUNTOS'!$A$1:$B$63,2,0),0)</f>
        <v>0</v>
      </c>
      <c r="BC2" s="138">
        <f>IF('1.DATOS-PROD'!BL3="SI",VLOOKUP('1.DATOS-PROD'!BL$2,'1.PUNTOS'!$A$1:$B$63,2,0),0)</f>
        <v>3</v>
      </c>
      <c r="BD2" s="138">
        <f>IF('1.DATOS-PROD'!BM3="SI",VLOOKUP('1.DATOS-PROD'!BM$2,'1.PUNTOS'!$A$1:$B$63,2,0),0)</f>
        <v>4</v>
      </c>
      <c r="BE2" s="138">
        <f>IF('1.DATOS-PROD'!BN3="SI",VLOOKUP('1.DATOS-PROD'!BN$2,'1.PUNTOS'!$A$1:$B$63,2,0),0)</f>
        <v>5</v>
      </c>
      <c r="BF2" s="138">
        <f>IF('1.DATOS-PROD'!BO3="SI",VLOOKUP('1.DATOS-PROD'!BO$2,'1.PUNTOS'!$A$1:$B$63,2,0),0)</f>
        <v>0</v>
      </c>
      <c r="BG2" s="138">
        <f>IF('1.DATOS-PROD'!BP3="SI",VLOOKUP('1.DATOS-PROD'!BP$2,'1.PUNTOS'!$A$1:$B$63,2,0),0)</f>
        <v>3</v>
      </c>
      <c r="BH2" s="138">
        <f>IF('1.DATOS-PROD'!BQ3="SI",VLOOKUP('1.DATOS-PROD'!BQ$2,'1.PUNTOS'!$A$1:$B$63,2,0),0)</f>
        <v>0</v>
      </c>
      <c r="BI2" s="138">
        <f>IF('1.DATOS-PROD'!BR3="SI",VLOOKUP('1.DATOS-PROD'!BR$2,'1.PUNTOS'!$A$1:$B$63,2,0),0)</f>
        <v>0</v>
      </c>
      <c r="BJ2" s="138">
        <f>IF('1.DATOS-PROD'!BS3="SI",VLOOKUP('1.DATOS-PROD'!BS$2,'1.PUNTOS'!$A$1:$B$63,2,0),0)</f>
        <v>3</v>
      </c>
      <c r="BK2" s="138">
        <f>IF('1.DATOS-PROD'!BT3="SI",VLOOKUP('1.DATOS-PROD'!BT$2,'1.PUNTOS'!$A$1:$B$63,2,0),0)</f>
        <v>3</v>
      </c>
    </row>
    <row r="3" spans="1:63" x14ac:dyDescent="0.25">
      <c r="A3" t="str">
        <f>'0.Consolidado general'!$A4</f>
        <v>E001001021003</v>
      </c>
      <c r="B3" s="138">
        <f>IF('1.DATOS-PROD'!K4="SI",VLOOKUP('1.DATOS-PROD'!K$2,'1.PUNTOS'!$A$1:$B$63,2,0),0)</f>
        <v>4</v>
      </c>
      <c r="C3" s="138">
        <f>IF('1.DATOS-PROD'!L4="SI",VLOOKUP('1.DATOS-PROD'!L$2,'1.PUNTOS'!$A$1:$B$63,2,0),0)</f>
        <v>5</v>
      </c>
      <c r="D3" s="138">
        <f>IF('1.DATOS-PROD'!M4="SI",VLOOKUP('1.DATOS-PROD'!M$2,'1.PUNTOS'!$A$1:$B$63,2,0),0)</f>
        <v>3</v>
      </c>
      <c r="E3" s="138">
        <f>IF('1.DATOS-PROD'!N4="SI",VLOOKUP('1.DATOS-PROD'!N$2,'1.PUNTOS'!$A$1:$B$63,2,0),0)</f>
        <v>0</v>
      </c>
      <c r="F3" s="138">
        <f>IF('1.DATOS-PROD'!O4="SI",VLOOKUP('1.DATOS-PROD'!O$2,'1.PUNTOS'!$A$1:$B$63,2,0),0)</f>
        <v>0</v>
      </c>
      <c r="G3" s="138">
        <f>IF('1.DATOS-PROD'!P4="SI",VLOOKUP('1.DATOS-PROD'!P$2,'1.PUNTOS'!$A$1:$B$63,2,0),0)</f>
        <v>0</v>
      </c>
      <c r="H3" s="138">
        <f>IF('1.DATOS-PROD'!Q4="SI",VLOOKUP('1.DATOS-PROD'!Q$2,'1.PUNTOS'!$A$1:$B$63,2,0),0)</f>
        <v>3</v>
      </c>
      <c r="I3" s="138">
        <f>IF('1.DATOS-PROD'!R4="SI",VLOOKUP('1.DATOS-PROD'!R$2,'1.PUNTOS'!$A$1:$B$63,2,0),0)</f>
        <v>0</v>
      </c>
      <c r="J3" s="138">
        <f>IF('1.DATOS-PROD'!S4="SI",VLOOKUP('1.DATOS-PROD'!S$2,'1.PUNTOS'!$A$1:$B$63,2,0),0)</f>
        <v>3</v>
      </c>
      <c r="K3" s="138">
        <f>IF('1.DATOS-PROD'!T4="SI",VLOOKUP('1.DATOS-PROD'!T$2,'1.PUNTOS'!$A$1:$B$63,2,0),0)</f>
        <v>2</v>
      </c>
      <c r="L3" s="138">
        <f>IF('1.DATOS-PROD'!U4="SI",VLOOKUP('1.DATOS-PROD'!U$2,'1.PUNTOS'!$A$1:$B$63,2,0),0)</f>
        <v>1</v>
      </c>
      <c r="M3" s="138">
        <f>IF('1.DATOS-PROD'!V4="SI",VLOOKUP('1.DATOS-PROD'!V$2,'1.PUNTOS'!$A$1:$B$63,2,0),0)</f>
        <v>0</v>
      </c>
      <c r="N3" s="138">
        <f>IF('1.DATOS-PROD'!W4="SI",VLOOKUP('1.DATOS-PROD'!W$2,'1.PUNTOS'!$A$1:$B$63,2,0),0)</f>
        <v>1</v>
      </c>
      <c r="O3" s="138">
        <f>IF('1.DATOS-PROD'!X4="SI",VLOOKUP('1.DATOS-PROD'!X$2,'1.PUNTOS'!$A$1:$B$63,2,0),0)</f>
        <v>0</v>
      </c>
      <c r="P3" s="138">
        <f>IF('1.DATOS-PROD'!Y4="SI",VLOOKUP('1.DATOS-PROD'!Y$2,'1.PUNTOS'!$A$1:$B$63,2,0),0)</f>
        <v>0</v>
      </c>
      <c r="Q3" s="138">
        <f>IF('1.DATOS-PROD'!Z4="SI",VLOOKUP('1.DATOS-PROD'!Z$2,'1.PUNTOS'!$A$1:$B$63,2,0),0)</f>
        <v>2</v>
      </c>
      <c r="R3" s="138">
        <f>IF('1.DATOS-PROD'!AA4="SI",VLOOKUP('1.DATOS-PROD'!AA$2,'1.PUNTOS'!$A$1:$B$63,2,0),0)</f>
        <v>1</v>
      </c>
      <c r="S3" s="138">
        <f>IF('1.DATOS-PROD'!AB4="SI",VLOOKUP('1.DATOS-PROD'!AB$2,'1.PUNTOS'!$A$1:$B$63,2,0),0)</f>
        <v>3</v>
      </c>
      <c r="T3" s="138">
        <f>IF('1.DATOS-PROD'!AC4="SI",VLOOKUP('1.DATOS-PROD'!AC$2,'1.PUNTOS'!$A$1:$B$63,2,0),0)</f>
        <v>4</v>
      </c>
      <c r="U3" s="138">
        <f>IF('1.DATOS-PROD'!AD4="SI",VLOOKUP('1.DATOS-PROD'!AD$2,'1.PUNTOS'!$A$1:$B$63,2,0),0)</f>
        <v>0</v>
      </c>
      <c r="V3" s="138">
        <f>IF('1.DATOS-PROD'!AE4="SI",VLOOKUP('1.DATOS-PROD'!AE$2,'1.PUNTOS'!$A$1:$B$63,2,0),0)</f>
        <v>3</v>
      </c>
      <c r="W3" s="138">
        <f>IF('1.DATOS-PROD'!AF4="SI",VLOOKUP('1.DATOS-PROD'!AF$2,'1.PUNTOS'!$A$1:$B$63,2,0),0)</f>
        <v>0</v>
      </c>
      <c r="X3" s="138">
        <f>IF('1.DATOS-PROD'!AG4="SI",VLOOKUP('1.DATOS-PROD'!AG$2,'1.PUNTOS'!$A$1:$B$63,2,0),0)</f>
        <v>2</v>
      </c>
      <c r="Y3" s="138">
        <f>IF('1.DATOS-PROD'!AH4="SI",VLOOKUP('1.DATOS-PROD'!AH$2,'1.PUNTOS'!$A$1:$B$63,2,0),0)</f>
        <v>3</v>
      </c>
      <c r="Z3" s="138">
        <f>IF('1.DATOS-PROD'!AI4="SI",VLOOKUP('1.DATOS-PROD'!AI$2,'1.PUNTOS'!$A$1:$B$63,2,0),0)</f>
        <v>0</v>
      </c>
      <c r="AA3" s="138">
        <f>IF('1.DATOS-PROD'!AJ4="SI",VLOOKUP('1.DATOS-PROD'!AJ$2,'1.PUNTOS'!$A$1:$B$63,2,0),0)</f>
        <v>0</v>
      </c>
      <c r="AB3" s="138">
        <f>IF('1.DATOS-PROD'!AK4="SI",VLOOKUP('1.DATOS-PROD'!AK$2,'1.PUNTOS'!$A$1:$B$63,2,0),0)</f>
        <v>0</v>
      </c>
      <c r="AC3" s="138">
        <f>IF('1.DATOS-PROD'!AL4="SI",VLOOKUP('1.DATOS-PROD'!AL$2,'1.PUNTOS'!$A$1:$B$63,2,0),0)</f>
        <v>2</v>
      </c>
      <c r="AD3" s="138">
        <f>IF('1.DATOS-PROD'!AM4="SI",VLOOKUP('1.DATOS-PROD'!AM$2,'1.PUNTOS'!$A$1:$B$63,2,0),0)</f>
        <v>1</v>
      </c>
      <c r="AE3" s="138">
        <f>IF('1.DATOS-PROD'!AN4="SI",VLOOKUP('1.DATOS-PROD'!AN$2,'1.PUNTOS'!$A$1:$B$63,2,0),0)</f>
        <v>2</v>
      </c>
      <c r="AF3" s="138">
        <f>IF('1.DATOS-PROD'!AO4="SI",VLOOKUP('1.DATOS-PROD'!AO$2,'1.PUNTOS'!$A$1:$B$63,2,0),0)</f>
        <v>1</v>
      </c>
      <c r="AG3" s="138">
        <f>IF('1.DATOS-PROD'!AP4="SI",VLOOKUP('1.DATOS-PROD'!AP$2,'1.PUNTOS'!$A$1:$B$63,2,0),0)</f>
        <v>3</v>
      </c>
      <c r="AH3" s="138">
        <f>IF('1.DATOS-PROD'!AQ4="SI",VLOOKUP('1.DATOS-PROD'!AQ$2,'1.PUNTOS'!$A$1:$B$63,2,0),0)</f>
        <v>0</v>
      </c>
      <c r="AI3" s="138">
        <f>IF('1.DATOS-PROD'!AR4="SI",VLOOKUP('1.DATOS-PROD'!AR$2,'1.PUNTOS'!$A$1:$B$63,2,0),0)</f>
        <v>2</v>
      </c>
      <c r="AJ3" s="138">
        <f>IF('1.DATOS-PROD'!AS4="SI",VLOOKUP('1.DATOS-PROD'!AS$2,'1.PUNTOS'!$A$1:$B$63,2,0),0)</f>
        <v>0</v>
      </c>
      <c r="AK3" s="138">
        <f>IF('1.DATOS-PROD'!AT4="SI",VLOOKUP('1.DATOS-PROD'!AT$2,'1.PUNTOS'!$A$1:$B$63,2,0),0)</f>
        <v>0</v>
      </c>
      <c r="AL3" s="138">
        <f>IF('1.DATOS-PROD'!AU4="SI",VLOOKUP('1.DATOS-PROD'!AU$2,'1.PUNTOS'!$A$1:$B$63,2,0),0)</f>
        <v>0</v>
      </c>
      <c r="AM3" s="138">
        <f>IF('1.DATOS-PROD'!AV4="SI",VLOOKUP('1.DATOS-PROD'!AV$2,'1.PUNTOS'!$A$1:$B$63,2,0),0)</f>
        <v>0</v>
      </c>
      <c r="AN3" s="138">
        <f>IF('1.DATOS-PROD'!AW4="SI",VLOOKUP('1.DATOS-PROD'!AW$2,'1.PUNTOS'!$A$1:$B$63,2,0),0)</f>
        <v>3</v>
      </c>
      <c r="AO3" s="138">
        <f>IF('1.DATOS-PROD'!AX4="SI",VLOOKUP('1.DATOS-PROD'!AX$2,'1.PUNTOS'!$A$1:$B$63,2,0),0)</f>
        <v>0</v>
      </c>
      <c r="AP3" s="138">
        <f>IF('1.DATOS-PROD'!AY4="SI",VLOOKUP('1.DATOS-PROD'!AY$2,'1.PUNTOS'!$A$1:$B$63,2,0),0)</f>
        <v>0</v>
      </c>
      <c r="AQ3" s="138">
        <f>IF('1.DATOS-PROD'!AZ4="SI",VLOOKUP('1.DATOS-PROD'!AZ$2,'1.PUNTOS'!$A$1:$B$63,2,0),0)</f>
        <v>0</v>
      </c>
      <c r="AR3" s="138">
        <f>IF('1.DATOS-PROD'!BA4="SI",VLOOKUP('1.DATOS-PROD'!BA$2,'1.PUNTOS'!$A$1:$B$63,2,0),0)</f>
        <v>3</v>
      </c>
      <c r="AS3" s="138">
        <f>IF('1.DATOS-PROD'!BB4="SI",VLOOKUP('1.DATOS-PROD'!BB$2,'1.PUNTOS'!$A$1:$B$63,2,0),0)</f>
        <v>3</v>
      </c>
      <c r="AT3" s="138">
        <f>IF('1.DATOS-PROD'!BC4="SI",VLOOKUP('1.DATOS-PROD'!BC$2,'1.PUNTOS'!$A$1:$B$63,2,0),0)</f>
        <v>3</v>
      </c>
      <c r="AU3" s="138">
        <f>IF('1.DATOS-PROD'!BD4="SI",VLOOKUP('1.DATOS-PROD'!BD$2,'1.PUNTOS'!$A$1:$B$63,2,0),0)</f>
        <v>2</v>
      </c>
      <c r="AV3" s="138">
        <f>IF('1.DATOS-PROD'!BE4="SI",VLOOKUP('1.DATOS-PROD'!BE$2,'1.PUNTOS'!$A$1:$B$63,2,0),0)</f>
        <v>1</v>
      </c>
      <c r="AW3" s="138">
        <f>IF('1.DATOS-PROD'!BF4="SI",VLOOKUP('1.DATOS-PROD'!BF$2,'1.PUNTOS'!$A$1:$B$63,2,0),0)</f>
        <v>2</v>
      </c>
      <c r="AX3" s="138">
        <f>IF('1.DATOS-PROD'!BG4="SI",VLOOKUP('1.DATOS-PROD'!BG$2,'1.PUNTOS'!$A$1:$B$63,2,0),0)</f>
        <v>0</v>
      </c>
      <c r="AY3" s="138">
        <f>IF('1.DATOS-PROD'!BH4="SI",VLOOKUP('1.DATOS-PROD'!BH$2,'1.PUNTOS'!$A$1:$B$63,2,0),0)</f>
        <v>3</v>
      </c>
      <c r="AZ3" s="138">
        <f>IF('1.DATOS-PROD'!BI4="SI",VLOOKUP('1.DATOS-PROD'!BI$2,'1.PUNTOS'!$A$1:$B$63,2,0),0)</f>
        <v>0</v>
      </c>
      <c r="BA3" s="138">
        <f>IF('1.DATOS-PROD'!BJ4="SI",VLOOKUP('1.DATOS-PROD'!BJ$2,'1.PUNTOS'!$A$1:$B$63,2,0),0)</f>
        <v>2</v>
      </c>
      <c r="BB3" s="138">
        <f>IF('1.DATOS-PROD'!BK4="SI",VLOOKUP('1.DATOS-PROD'!BK$2,'1.PUNTOS'!$A$1:$B$63,2,0),0)</f>
        <v>0</v>
      </c>
      <c r="BC3" s="138">
        <f>IF('1.DATOS-PROD'!BL4="SI",VLOOKUP('1.DATOS-PROD'!BL$2,'1.PUNTOS'!$A$1:$B$63,2,0),0)</f>
        <v>3</v>
      </c>
      <c r="BD3" s="138">
        <f>IF('1.DATOS-PROD'!BM4="SI",VLOOKUP('1.DATOS-PROD'!BM$2,'1.PUNTOS'!$A$1:$B$63,2,0),0)</f>
        <v>4</v>
      </c>
      <c r="BE3" s="138">
        <f>IF('1.DATOS-PROD'!BN4="SI",VLOOKUP('1.DATOS-PROD'!BN$2,'1.PUNTOS'!$A$1:$B$63,2,0),0)</f>
        <v>5</v>
      </c>
      <c r="BF3" s="138">
        <f>IF('1.DATOS-PROD'!BO4="SI",VLOOKUP('1.DATOS-PROD'!BO$2,'1.PUNTOS'!$A$1:$B$63,2,0),0)</f>
        <v>3</v>
      </c>
      <c r="BG3" s="138">
        <f>IF('1.DATOS-PROD'!BP4="SI",VLOOKUP('1.DATOS-PROD'!BP$2,'1.PUNTOS'!$A$1:$B$63,2,0),0)</f>
        <v>3</v>
      </c>
      <c r="BH3" s="138">
        <f>IF('1.DATOS-PROD'!BQ4="SI",VLOOKUP('1.DATOS-PROD'!BQ$2,'1.PUNTOS'!$A$1:$B$63,2,0),0)</f>
        <v>2</v>
      </c>
      <c r="BI3" s="138">
        <f>IF('1.DATOS-PROD'!BR4="SI",VLOOKUP('1.DATOS-PROD'!BR$2,'1.PUNTOS'!$A$1:$B$63,2,0),0)</f>
        <v>3</v>
      </c>
      <c r="BJ3" s="138">
        <f>IF('1.DATOS-PROD'!BS4="SI",VLOOKUP('1.DATOS-PROD'!BS$2,'1.PUNTOS'!$A$1:$B$63,2,0),0)</f>
        <v>0</v>
      </c>
      <c r="BK3" s="138">
        <f>IF('1.DATOS-PROD'!BT4="SI",VLOOKUP('1.DATOS-PROD'!BT$2,'1.PUNTOS'!$A$1:$B$63,2,0),0)</f>
        <v>0</v>
      </c>
    </row>
    <row r="4" spans="1:63" x14ac:dyDescent="0.25">
      <c r="A4" t="str">
        <f>'0.Consolidado general'!$A5</f>
        <v>E001002021001</v>
      </c>
      <c r="B4" s="138">
        <f>IF('1.DATOS-PROD'!K5="SI",VLOOKUP('1.DATOS-PROD'!K$2,'1.PUNTOS'!$A$1:$B$63,2,0),0)</f>
        <v>4</v>
      </c>
      <c r="C4" s="138">
        <f>IF('1.DATOS-PROD'!L5="SI",VLOOKUP('1.DATOS-PROD'!L$2,'1.PUNTOS'!$A$1:$B$63,2,0),0)</f>
        <v>5</v>
      </c>
      <c r="D4" s="138">
        <f>IF('1.DATOS-PROD'!M5="SI",VLOOKUP('1.DATOS-PROD'!M$2,'1.PUNTOS'!$A$1:$B$63,2,0),0)</f>
        <v>3</v>
      </c>
      <c r="E4" s="138">
        <f>IF('1.DATOS-PROD'!N5="SI",VLOOKUP('1.DATOS-PROD'!N$2,'1.PUNTOS'!$A$1:$B$63,2,0),0)</f>
        <v>0</v>
      </c>
      <c r="F4" s="138">
        <f>IF('1.DATOS-PROD'!O5="SI",VLOOKUP('1.DATOS-PROD'!O$2,'1.PUNTOS'!$A$1:$B$63,2,0),0)</f>
        <v>2</v>
      </c>
      <c r="G4" s="138">
        <f>IF('1.DATOS-PROD'!P5="SI",VLOOKUP('1.DATOS-PROD'!P$2,'1.PUNTOS'!$A$1:$B$63,2,0),0)</f>
        <v>0</v>
      </c>
      <c r="H4" s="138">
        <f>IF('1.DATOS-PROD'!Q5="SI",VLOOKUP('1.DATOS-PROD'!Q$2,'1.PUNTOS'!$A$1:$B$63,2,0),0)</f>
        <v>0</v>
      </c>
      <c r="I4" s="138">
        <f>IF('1.DATOS-PROD'!R5="SI",VLOOKUP('1.DATOS-PROD'!R$2,'1.PUNTOS'!$A$1:$B$63,2,0),0)</f>
        <v>0</v>
      </c>
      <c r="J4" s="138">
        <f>IF('1.DATOS-PROD'!S5="SI",VLOOKUP('1.DATOS-PROD'!S$2,'1.PUNTOS'!$A$1:$B$63,2,0),0)</f>
        <v>3</v>
      </c>
      <c r="K4" s="138">
        <f>IF('1.DATOS-PROD'!T5="SI",VLOOKUP('1.DATOS-PROD'!T$2,'1.PUNTOS'!$A$1:$B$63,2,0),0)</f>
        <v>0</v>
      </c>
      <c r="L4" s="138">
        <f>IF('1.DATOS-PROD'!U5="SI",VLOOKUP('1.DATOS-PROD'!U$2,'1.PUNTOS'!$A$1:$B$63,2,0),0)</f>
        <v>1</v>
      </c>
      <c r="M4" s="138">
        <f>IF('1.DATOS-PROD'!V5="SI",VLOOKUP('1.DATOS-PROD'!V$2,'1.PUNTOS'!$A$1:$B$63,2,0),0)</f>
        <v>2</v>
      </c>
      <c r="N4" s="138">
        <f>IF('1.DATOS-PROD'!W5="SI",VLOOKUP('1.DATOS-PROD'!W$2,'1.PUNTOS'!$A$1:$B$63,2,0),0)</f>
        <v>1</v>
      </c>
      <c r="O4" s="138">
        <f>IF('1.DATOS-PROD'!X5="SI",VLOOKUP('1.DATOS-PROD'!X$2,'1.PUNTOS'!$A$1:$B$63,2,0),0)</f>
        <v>3</v>
      </c>
      <c r="P4" s="138">
        <f>IF('1.DATOS-PROD'!Y5="SI",VLOOKUP('1.DATOS-PROD'!Y$2,'1.PUNTOS'!$A$1:$B$63,2,0),0)</f>
        <v>2</v>
      </c>
      <c r="Q4" s="138">
        <f>IF('1.DATOS-PROD'!Z5="SI",VLOOKUP('1.DATOS-PROD'!Z$2,'1.PUNTOS'!$A$1:$B$63,2,0),0)</f>
        <v>2</v>
      </c>
      <c r="R4" s="138">
        <f>IF('1.DATOS-PROD'!AA5="SI",VLOOKUP('1.DATOS-PROD'!AA$2,'1.PUNTOS'!$A$1:$B$63,2,0),0)</f>
        <v>1</v>
      </c>
      <c r="S4" s="138">
        <f>IF('1.DATOS-PROD'!AB5="SI",VLOOKUP('1.DATOS-PROD'!AB$2,'1.PUNTOS'!$A$1:$B$63,2,0),0)</f>
        <v>3</v>
      </c>
      <c r="T4" s="138">
        <f>IF('1.DATOS-PROD'!AC5="SI",VLOOKUP('1.DATOS-PROD'!AC$2,'1.PUNTOS'!$A$1:$B$63,2,0),0)</f>
        <v>4</v>
      </c>
      <c r="U4" s="138">
        <f>IF('1.DATOS-PROD'!AD5="SI",VLOOKUP('1.DATOS-PROD'!AD$2,'1.PUNTOS'!$A$1:$B$63,2,0),0)</f>
        <v>0</v>
      </c>
      <c r="V4" s="138">
        <f>IF('1.DATOS-PROD'!AE5="SI",VLOOKUP('1.DATOS-PROD'!AE$2,'1.PUNTOS'!$A$1:$B$63,2,0),0)</f>
        <v>3</v>
      </c>
      <c r="W4" s="138">
        <f>IF('1.DATOS-PROD'!AF5="SI",VLOOKUP('1.DATOS-PROD'!AF$2,'1.PUNTOS'!$A$1:$B$63,2,0),0)</f>
        <v>3</v>
      </c>
      <c r="X4" s="138">
        <f>IF('1.DATOS-PROD'!AG5="SI",VLOOKUP('1.DATOS-PROD'!AG$2,'1.PUNTOS'!$A$1:$B$63,2,0),0)</f>
        <v>2</v>
      </c>
      <c r="Y4" s="138">
        <f>IF('1.DATOS-PROD'!AH5="SI",VLOOKUP('1.DATOS-PROD'!AH$2,'1.PUNTOS'!$A$1:$B$63,2,0),0)</f>
        <v>0</v>
      </c>
      <c r="Z4" s="138">
        <f>IF('1.DATOS-PROD'!AI5="SI",VLOOKUP('1.DATOS-PROD'!AI$2,'1.PUNTOS'!$A$1:$B$63,2,0),0)</f>
        <v>3</v>
      </c>
      <c r="AA4" s="138">
        <f>IF('1.DATOS-PROD'!AJ5="SI",VLOOKUP('1.DATOS-PROD'!AJ$2,'1.PUNTOS'!$A$1:$B$63,2,0),0)</f>
        <v>3</v>
      </c>
      <c r="AB4" s="138">
        <f>IF('1.DATOS-PROD'!AK5="SI",VLOOKUP('1.DATOS-PROD'!AK$2,'1.PUNTOS'!$A$1:$B$63,2,0),0)</f>
        <v>0</v>
      </c>
      <c r="AC4" s="138">
        <f>IF('1.DATOS-PROD'!AL5="SI",VLOOKUP('1.DATOS-PROD'!AL$2,'1.PUNTOS'!$A$1:$B$63,2,0),0)</f>
        <v>0</v>
      </c>
      <c r="AD4" s="138">
        <f>IF('1.DATOS-PROD'!AM5="SI",VLOOKUP('1.DATOS-PROD'!AM$2,'1.PUNTOS'!$A$1:$B$63,2,0),0)</f>
        <v>1</v>
      </c>
      <c r="AE4" s="138">
        <f>IF('1.DATOS-PROD'!AN5="SI",VLOOKUP('1.DATOS-PROD'!AN$2,'1.PUNTOS'!$A$1:$B$63,2,0),0)</f>
        <v>2</v>
      </c>
      <c r="AF4" s="138">
        <f>IF('1.DATOS-PROD'!AO5="SI",VLOOKUP('1.DATOS-PROD'!AO$2,'1.PUNTOS'!$A$1:$B$63,2,0),0)</f>
        <v>0</v>
      </c>
      <c r="AG4" s="138">
        <f>IF('1.DATOS-PROD'!AP5="SI",VLOOKUP('1.DATOS-PROD'!AP$2,'1.PUNTOS'!$A$1:$B$63,2,0),0)</f>
        <v>0</v>
      </c>
      <c r="AH4" s="138">
        <f>IF('1.DATOS-PROD'!AQ5="SI",VLOOKUP('1.DATOS-PROD'!AQ$2,'1.PUNTOS'!$A$1:$B$63,2,0),0)</f>
        <v>0</v>
      </c>
      <c r="AI4" s="138">
        <f>IF('1.DATOS-PROD'!AR5="SI",VLOOKUP('1.DATOS-PROD'!AR$2,'1.PUNTOS'!$A$1:$B$63,2,0),0)</f>
        <v>0</v>
      </c>
      <c r="AJ4" s="138">
        <f>IF('1.DATOS-PROD'!AS5="SI",VLOOKUP('1.DATOS-PROD'!AS$2,'1.PUNTOS'!$A$1:$B$63,2,0),0)</f>
        <v>0</v>
      </c>
      <c r="AK4" s="138">
        <f>IF('1.DATOS-PROD'!AT5="SI",VLOOKUP('1.DATOS-PROD'!AT$2,'1.PUNTOS'!$A$1:$B$63,2,0),0)</f>
        <v>0</v>
      </c>
      <c r="AL4" s="138">
        <f>IF('1.DATOS-PROD'!AU5="SI",VLOOKUP('1.DATOS-PROD'!AU$2,'1.PUNTOS'!$A$1:$B$63,2,0),0)</f>
        <v>4</v>
      </c>
      <c r="AM4" s="138">
        <f>IF('1.DATOS-PROD'!AV5="SI",VLOOKUP('1.DATOS-PROD'!AV$2,'1.PUNTOS'!$A$1:$B$63,2,0),0)</f>
        <v>5</v>
      </c>
      <c r="AN4" s="138">
        <f>IF('1.DATOS-PROD'!AW5="SI",VLOOKUP('1.DATOS-PROD'!AW$2,'1.PUNTOS'!$A$1:$B$63,2,0),0)</f>
        <v>0</v>
      </c>
      <c r="AO4" s="138">
        <f>IF('1.DATOS-PROD'!AX5="SI",VLOOKUP('1.DATOS-PROD'!AX$2,'1.PUNTOS'!$A$1:$B$63,2,0),0)</f>
        <v>3</v>
      </c>
      <c r="AP4" s="138">
        <f>IF('1.DATOS-PROD'!AY5="SI",VLOOKUP('1.DATOS-PROD'!AY$2,'1.PUNTOS'!$A$1:$B$63,2,0),0)</f>
        <v>2</v>
      </c>
      <c r="AQ4" s="138">
        <f>IF('1.DATOS-PROD'!AZ5="SI",VLOOKUP('1.DATOS-PROD'!AZ$2,'1.PUNTOS'!$A$1:$B$63,2,0),0)</f>
        <v>3</v>
      </c>
      <c r="AR4" s="138">
        <f>IF('1.DATOS-PROD'!BA5="SI",VLOOKUP('1.DATOS-PROD'!BA$2,'1.PUNTOS'!$A$1:$B$63,2,0),0)</f>
        <v>3</v>
      </c>
      <c r="AS4" s="138">
        <f>IF('1.DATOS-PROD'!BB5="SI",VLOOKUP('1.DATOS-PROD'!BB$2,'1.PUNTOS'!$A$1:$B$63,2,0),0)</f>
        <v>3</v>
      </c>
      <c r="AT4" s="138">
        <f>IF('1.DATOS-PROD'!BC5="SI",VLOOKUP('1.DATOS-PROD'!BC$2,'1.PUNTOS'!$A$1:$B$63,2,0),0)</f>
        <v>3</v>
      </c>
      <c r="AU4" s="138">
        <f>IF('1.DATOS-PROD'!BD5="SI",VLOOKUP('1.DATOS-PROD'!BD$2,'1.PUNTOS'!$A$1:$B$63,2,0),0)</f>
        <v>2</v>
      </c>
      <c r="AV4" s="138">
        <f>IF('1.DATOS-PROD'!BE5="SI",VLOOKUP('1.DATOS-PROD'!BE$2,'1.PUNTOS'!$A$1:$B$63,2,0),0)</f>
        <v>0</v>
      </c>
      <c r="AW4" s="138">
        <f>IF('1.DATOS-PROD'!BF5="SI",VLOOKUP('1.DATOS-PROD'!BF$2,'1.PUNTOS'!$A$1:$B$63,2,0),0)</f>
        <v>2</v>
      </c>
      <c r="AX4" s="138">
        <f>IF('1.DATOS-PROD'!BG5="SI",VLOOKUP('1.DATOS-PROD'!BG$2,'1.PUNTOS'!$A$1:$B$63,2,0),0)</f>
        <v>1</v>
      </c>
      <c r="AY4" s="138">
        <f>IF('1.DATOS-PROD'!BH5="SI",VLOOKUP('1.DATOS-PROD'!BH$2,'1.PUNTOS'!$A$1:$B$63,2,0),0)</f>
        <v>3</v>
      </c>
      <c r="AZ4" s="138">
        <f>IF('1.DATOS-PROD'!BI5="SI",VLOOKUP('1.DATOS-PROD'!BI$2,'1.PUNTOS'!$A$1:$B$63,2,0),0)</f>
        <v>2</v>
      </c>
      <c r="BA4" s="138">
        <f>IF('1.DATOS-PROD'!BJ5="SI",VLOOKUP('1.DATOS-PROD'!BJ$2,'1.PUNTOS'!$A$1:$B$63,2,0),0)</f>
        <v>0</v>
      </c>
      <c r="BB4" s="138">
        <f>IF('1.DATOS-PROD'!BK5="SI",VLOOKUP('1.DATOS-PROD'!BK$2,'1.PUNTOS'!$A$1:$B$63,2,0),0)</f>
        <v>1</v>
      </c>
      <c r="BC4" s="138">
        <f>IF('1.DATOS-PROD'!BL5="SI",VLOOKUP('1.DATOS-PROD'!BL$2,'1.PUNTOS'!$A$1:$B$63,2,0),0)</f>
        <v>0</v>
      </c>
      <c r="BD4" s="138">
        <f>IF('1.DATOS-PROD'!BM5="SI",VLOOKUP('1.DATOS-PROD'!BM$2,'1.PUNTOS'!$A$1:$B$63,2,0),0)</f>
        <v>4</v>
      </c>
      <c r="BE4" s="138">
        <f>IF('1.DATOS-PROD'!BN5="SI",VLOOKUP('1.DATOS-PROD'!BN$2,'1.PUNTOS'!$A$1:$B$63,2,0),0)</f>
        <v>0</v>
      </c>
      <c r="BF4" s="138">
        <f>IF('1.DATOS-PROD'!BO5="SI",VLOOKUP('1.DATOS-PROD'!BO$2,'1.PUNTOS'!$A$1:$B$63,2,0),0)</f>
        <v>3</v>
      </c>
      <c r="BG4" s="138">
        <f>IF('1.DATOS-PROD'!BP5="SI",VLOOKUP('1.DATOS-PROD'!BP$2,'1.PUNTOS'!$A$1:$B$63,2,0),0)</f>
        <v>3</v>
      </c>
      <c r="BH4" s="138">
        <f>IF('1.DATOS-PROD'!BQ5="SI",VLOOKUP('1.DATOS-PROD'!BQ$2,'1.PUNTOS'!$A$1:$B$63,2,0),0)</f>
        <v>2</v>
      </c>
      <c r="BI4" s="138">
        <f>IF('1.DATOS-PROD'!BR5="SI",VLOOKUP('1.DATOS-PROD'!BR$2,'1.PUNTOS'!$A$1:$B$63,2,0),0)</f>
        <v>3</v>
      </c>
      <c r="BJ4" s="138">
        <f>IF('1.DATOS-PROD'!BS5="SI",VLOOKUP('1.DATOS-PROD'!BS$2,'1.PUNTOS'!$A$1:$B$63,2,0),0)</f>
        <v>3</v>
      </c>
      <c r="BK4" s="138">
        <f>IF('1.DATOS-PROD'!BT5="SI",VLOOKUP('1.DATOS-PROD'!BT$2,'1.PUNTOS'!$A$1:$B$63,2,0),0)</f>
        <v>3</v>
      </c>
    </row>
    <row r="5" spans="1:63" x14ac:dyDescent="0.25">
      <c r="A5" t="str">
        <f>'0.Consolidado general'!$A6</f>
        <v>E001002021002</v>
      </c>
      <c r="B5" s="138">
        <f>IF('1.DATOS-PROD'!K6="SI",VLOOKUP('1.DATOS-PROD'!K$2,'1.PUNTOS'!$A$1:$B$63,2,0),0)</f>
        <v>4</v>
      </c>
      <c r="C5" s="138">
        <f>IF('1.DATOS-PROD'!L6="SI",VLOOKUP('1.DATOS-PROD'!L$2,'1.PUNTOS'!$A$1:$B$63,2,0),0)</f>
        <v>5</v>
      </c>
      <c r="D5" s="138">
        <f>IF('1.DATOS-PROD'!M6="SI",VLOOKUP('1.DATOS-PROD'!M$2,'1.PUNTOS'!$A$1:$B$63,2,0),0)</f>
        <v>3</v>
      </c>
      <c r="E5" s="138">
        <f>IF('1.DATOS-PROD'!N6="SI",VLOOKUP('1.DATOS-PROD'!N$2,'1.PUNTOS'!$A$1:$B$63,2,0),0)</f>
        <v>0</v>
      </c>
      <c r="F5" s="138">
        <f>IF('1.DATOS-PROD'!O6="SI",VLOOKUP('1.DATOS-PROD'!O$2,'1.PUNTOS'!$A$1:$B$63,2,0),0)</f>
        <v>2</v>
      </c>
      <c r="G5" s="138">
        <f>IF('1.DATOS-PROD'!P6="SI",VLOOKUP('1.DATOS-PROD'!P$2,'1.PUNTOS'!$A$1:$B$63,2,0),0)</f>
        <v>0</v>
      </c>
      <c r="H5" s="138">
        <f>IF('1.DATOS-PROD'!Q6="SI",VLOOKUP('1.DATOS-PROD'!Q$2,'1.PUNTOS'!$A$1:$B$63,2,0),0)</f>
        <v>3</v>
      </c>
      <c r="I5" s="138">
        <f>IF('1.DATOS-PROD'!R6="SI",VLOOKUP('1.DATOS-PROD'!R$2,'1.PUNTOS'!$A$1:$B$63,2,0),0)</f>
        <v>0</v>
      </c>
      <c r="J5" s="138">
        <f>IF('1.DATOS-PROD'!S6="SI",VLOOKUP('1.DATOS-PROD'!S$2,'1.PUNTOS'!$A$1:$B$63,2,0),0)</f>
        <v>3</v>
      </c>
      <c r="K5" s="138">
        <f>IF('1.DATOS-PROD'!T6="SI",VLOOKUP('1.DATOS-PROD'!T$2,'1.PUNTOS'!$A$1:$B$63,2,0),0)</f>
        <v>0</v>
      </c>
      <c r="L5" s="138">
        <f>IF('1.DATOS-PROD'!U6="SI",VLOOKUP('1.DATOS-PROD'!U$2,'1.PUNTOS'!$A$1:$B$63,2,0),0)</f>
        <v>1</v>
      </c>
      <c r="M5" s="138">
        <f>IF('1.DATOS-PROD'!V6="SI",VLOOKUP('1.DATOS-PROD'!V$2,'1.PUNTOS'!$A$1:$B$63,2,0),0)</f>
        <v>0</v>
      </c>
      <c r="N5" s="138">
        <f>IF('1.DATOS-PROD'!W6="SI",VLOOKUP('1.DATOS-PROD'!W$2,'1.PUNTOS'!$A$1:$B$63,2,0),0)</f>
        <v>1</v>
      </c>
      <c r="O5" s="138">
        <f>IF('1.DATOS-PROD'!X6="SI",VLOOKUP('1.DATOS-PROD'!X$2,'1.PUNTOS'!$A$1:$B$63,2,0),0)</f>
        <v>0</v>
      </c>
      <c r="P5" s="138">
        <f>IF('1.DATOS-PROD'!Y6="SI",VLOOKUP('1.DATOS-PROD'!Y$2,'1.PUNTOS'!$A$1:$B$63,2,0),0)</f>
        <v>0</v>
      </c>
      <c r="Q5" s="138">
        <f>IF('1.DATOS-PROD'!Z6="SI",VLOOKUP('1.DATOS-PROD'!Z$2,'1.PUNTOS'!$A$1:$B$63,2,0),0)</f>
        <v>0</v>
      </c>
      <c r="R5" s="138">
        <f>IF('1.DATOS-PROD'!AA6="SI",VLOOKUP('1.DATOS-PROD'!AA$2,'1.PUNTOS'!$A$1:$B$63,2,0),0)</f>
        <v>0</v>
      </c>
      <c r="S5" s="138">
        <f>IF('1.DATOS-PROD'!AB6="SI",VLOOKUP('1.DATOS-PROD'!AB$2,'1.PUNTOS'!$A$1:$B$63,2,0),0)</f>
        <v>0</v>
      </c>
      <c r="T5" s="138">
        <f>IF('1.DATOS-PROD'!AC6="SI",VLOOKUP('1.DATOS-PROD'!AC$2,'1.PUNTOS'!$A$1:$B$63,2,0),0)</f>
        <v>4</v>
      </c>
      <c r="U5" s="138">
        <f>IF('1.DATOS-PROD'!AD6="SI",VLOOKUP('1.DATOS-PROD'!AD$2,'1.PUNTOS'!$A$1:$B$63,2,0),0)</f>
        <v>0</v>
      </c>
      <c r="V5" s="138">
        <f>IF('1.DATOS-PROD'!AE6="SI",VLOOKUP('1.DATOS-PROD'!AE$2,'1.PUNTOS'!$A$1:$B$63,2,0),0)</f>
        <v>3</v>
      </c>
      <c r="W5" s="138">
        <f>IF('1.DATOS-PROD'!AF6="SI",VLOOKUP('1.DATOS-PROD'!AF$2,'1.PUNTOS'!$A$1:$B$63,2,0),0)</f>
        <v>0</v>
      </c>
      <c r="X5" s="138">
        <f>IF('1.DATOS-PROD'!AG6="SI",VLOOKUP('1.DATOS-PROD'!AG$2,'1.PUNTOS'!$A$1:$B$63,2,0),0)</f>
        <v>0</v>
      </c>
      <c r="Y5" s="138">
        <f>IF('1.DATOS-PROD'!AH6="SI",VLOOKUP('1.DATOS-PROD'!AH$2,'1.PUNTOS'!$A$1:$B$63,2,0),0)</f>
        <v>0</v>
      </c>
      <c r="Z5" s="138">
        <f>IF('1.DATOS-PROD'!AI6="SI",VLOOKUP('1.DATOS-PROD'!AI$2,'1.PUNTOS'!$A$1:$B$63,2,0),0)</f>
        <v>0</v>
      </c>
      <c r="AA5" s="138">
        <f>IF('1.DATOS-PROD'!AJ6="SI",VLOOKUP('1.DATOS-PROD'!AJ$2,'1.PUNTOS'!$A$1:$B$63,2,0),0)</f>
        <v>3</v>
      </c>
      <c r="AB5" s="138">
        <f>IF('1.DATOS-PROD'!AK6="SI",VLOOKUP('1.DATOS-PROD'!AK$2,'1.PUNTOS'!$A$1:$B$63,2,0),0)</f>
        <v>0</v>
      </c>
      <c r="AC5" s="138">
        <f>IF('1.DATOS-PROD'!AL6="SI",VLOOKUP('1.DATOS-PROD'!AL$2,'1.PUNTOS'!$A$1:$B$63,2,0),0)</f>
        <v>2</v>
      </c>
      <c r="AD5" s="138">
        <f>IF('1.DATOS-PROD'!AM6="SI",VLOOKUP('1.DATOS-PROD'!AM$2,'1.PUNTOS'!$A$1:$B$63,2,0),0)</f>
        <v>1</v>
      </c>
      <c r="AE5" s="138">
        <f>IF('1.DATOS-PROD'!AN6="SI",VLOOKUP('1.DATOS-PROD'!AN$2,'1.PUNTOS'!$A$1:$B$63,2,0),0)</f>
        <v>2</v>
      </c>
      <c r="AF5" s="138">
        <f>IF('1.DATOS-PROD'!AO6="SI",VLOOKUP('1.DATOS-PROD'!AO$2,'1.PUNTOS'!$A$1:$B$63,2,0),0)</f>
        <v>0</v>
      </c>
      <c r="AG5" s="138">
        <f>IF('1.DATOS-PROD'!AP6="SI",VLOOKUP('1.DATOS-PROD'!AP$2,'1.PUNTOS'!$A$1:$B$63,2,0),0)</f>
        <v>3</v>
      </c>
      <c r="AH5" s="138">
        <f>IF('1.DATOS-PROD'!AQ6="SI",VLOOKUP('1.DATOS-PROD'!AQ$2,'1.PUNTOS'!$A$1:$B$63,2,0),0)</f>
        <v>0</v>
      </c>
      <c r="AI5" s="138">
        <f>IF('1.DATOS-PROD'!AR6="SI",VLOOKUP('1.DATOS-PROD'!AR$2,'1.PUNTOS'!$A$1:$B$63,2,0),0)</f>
        <v>0</v>
      </c>
      <c r="AJ5" s="138">
        <f>IF('1.DATOS-PROD'!AS6="SI",VLOOKUP('1.DATOS-PROD'!AS$2,'1.PUNTOS'!$A$1:$B$63,2,0),0)</f>
        <v>0</v>
      </c>
      <c r="AK5" s="138">
        <f>IF('1.DATOS-PROD'!AT6="SI",VLOOKUP('1.DATOS-PROD'!AT$2,'1.PUNTOS'!$A$1:$B$63,2,0),0)</f>
        <v>0</v>
      </c>
      <c r="AL5" s="138">
        <f>IF('1.DATOS-PROD'!AU6="SI",VLOOKUP('1.DATOS-PROD'!AU$2,'1.PUNTOS'!$A$1:$B$63,2,0),0)</f>
        <v>0</v>
      </c>
      <c r="AM5" s="138">
        <f>IF('1.DATOS-PROD'!AV6="SI",VLOOKUP('1.DATOS-PROD'!AV$2,'1.PUNTOS'!$A$1:$B$63,2,0),0)</f>
        <v>0</v>
      </c>
      <c r="AN5" s="138">
        <f>IF('1.DATOS-PROD'!AW6="SI",VLOOKUP('1.DATOS-PROD'!AW$2,'1.PUNTOS'!$A$1:$B$63,2,0),0)</f>
        <v>0</v>
      </c>
      <c r="AO5" s="138">
        <f>IF('1.DATOS-PROD'!AX6="SI",VLOOKUP('1.DATOS-PROD'!AX$2,'1.PUNTOS'!$A$1:$B$63,2,0),0)</f>
        <v>0</v>
      </c>
      <c r="AP5" s="138">
        <f>IF('1.DATOS-PROD'!AY6="SI",VLOOKUP('1.DATOS-PROD'!AY$2,'1.PUNTOS'!$A$1:$B$63,2,0),0)</f>
        <v>2</v>
      </c>
      <c r="AQ5" s="138">
        <f>IF('1.DATOS-PROD'!AZ6="SI",VLOOKUP('1.DATOS-PROD'!AZ$2,'1.PUNTOS'!$A$1:$B$63,2,0),0)</f>
        <v>3</v>
      </c>
      <c r="AR5" s="138">
        <f>IF('1.DATOS-PROD'!BA6="SI",VLOOKUP('1.DATOS-PROD'!BA$2,'1.PUNTOS'!$A$1:$B$63,2,0),0)</f>
        <v>0</v>
      </c>
      <c r="AS5" s="138">
        <f>IF('1.DATOS-PROD'!BB6="SI",VLOOKUP('1.DATOS-PROD'!BB$2,'1.PUNTOS'!$A$1:$B$63,2,0),0)</f>
        <v>0</v>
      </c>
      <c r="AT5" s="138">
        <f>IF('1.DATOS-PROD'!BC6="SI",VLOOKUP('1.DATOS-PROD'!BC$2,'1.PUNTOS'!$A$1:$B$63,2,0),0)</f>
        <v>3</v>
      </c>
      <c r="AU5" s="138">
        <f>IF('1.DATOS-PROD'!BD6="SI",VLOOKUP('1.DATOS-PROD'!BD$2,'1.PUNTOS'!$A$1:$B$63,2,0),0)</f>
        <v>0</v>
      </c>
      <c r="AV5" s="138">
        <f>IF('1.DATOS-PROD'!BE6="SI",VLOOKUP('1.DATOS-PROD'!BE$2,'1.PUNTOS'!$A$1:$B$63,2,0),0)</f>
        <v>1</v>
      </c>
      <c r="AW5" s="138">
        <f>IF('1.DATOS-PROD'!BF6="SI",VLOOKUP('1.DATOS-PROD'!BF$2,'1.PUNTOS'!$A$1:$B$63,2,0),0)</f>
        <v>2</v>
      </c>
      <c r="AX5" s="138">
        <f>IF('1.DATOS-PROD'!BG6="SI",VLOOKUP('1.DATOS-PROD'!BG$2,'1.PUNTOS'!$A$1:$B$63,2,0),0)</f>
        <v>1</v>
      </c>
      <c r="AY5" s="138">
        <f>IF('1.DATOS-PROD'!BH6="SI",VLOOKUP('1.DATOS-PROD'!BH$2,'1.PUNTOS'!$A$1:$B$63,2,0),0)</f>
        <v>3</v>
      </c>
      <c r="AZ5" s="138">
        <f>IF('1.DATOS-PROD'!BI6="SI",VLOOKUP('1.DATOS-PROD'!BI$2,'1.PUNTOS'!$A$1:$B$63,2,0),0)</f>
        <v>0</v>
      </c>
      <c r="BA5" s="138">
        <f>IF('1.DATOS-PROD'!BJ6="SI",VLOOKUP('1.DATOS-PROD'!BJ$2,'1.PUNTOS'!$A$1:$B$63,2,0),0)</f>
        <v>2</v>
      </c>
      <c r="BB5" s="138">
        <f>IF('1.DATOS-PROD'!BK6="SI",VLOOKUP('1.DATOS-PROD'!BK$2,'1.PUNTOS'!$A$1:$B$63,2,0),0)</f>
        <v>1</v>
      </c>
      <c r="BC5" s="138">
        <f>IF('1.DATOS-PROD'!BL6="SI",VLOOKUP('1.DATOS-PROD'!BL$2,'1.PUNTOS'!$A$1:$B$63,2,0),0)</f>
        <v>0</v>
      </c>
      <c r="BD5" s="138">
        <f>IF('1.DATOS-PROD'!BM6="SI",VLOOKUP('1.DATOS-PROD'!BM$2,'1.PUNTOS'!$A$1:$B$63,2,0),0)</f>
        <v>0</v>
      </c>
      <c r="BE5" s="138">
        <f>IF('1.DATOS-PROD'!BN6="SI",VLOOKUP('1.DATOS-PROD'!BN$2,'1.PUNTOS'!$A$1:$B$63,2,0),0)</f>
        <v>5</v>
      </c>
      <c r="BF5" s="138">
        <f>IF('1.DATOS-PROD'!BO6="SI",VLOOKUP('1.DATOS-PROD'!BO$2,'1.PUNTOS'!$A$1:$B$63,2,0),0)</f>
        <v>3</v>
      </c>
      <c r="BG5" s="138">
        <f>IF('1.DATOS-PROD'!BP6="SI",VLOOKUP('1.DATOS-PROD'!BP$2,'1.PUNTOS'!$A$1:$B$63,2,0),0)</f>
        <v>3</v>
      </c>
      <c r="BH5" s="138">
        <f>IF('1.DATOS-PROD'!BQ6="SI",VLOOKUP('1.DATOS-PROD'!BQ$2,'1.PUNTOS'!$A$1:$B$63,2,0),0)</f>
        <v>2</v>
      </c>
      <c r="BI5" s="138">
        <f>IF('1.DATOS-PROD'!BR6="SI",VLOOKUP('1.DATOS-PROD'!BR$2,'1.PUNTOS'!$A$1:$B$63,2,0),0)</f>
        <v>3</v>
      </c>
      <c r="BJ5" s="138">
        <f>IF('1.DATOS-PROD'!BS6="SI",VLOOKUP('1.DATOS-PROD'!BS$2,'1.PUNTOS'!$A$1:$B$63,2,0),0)</f>
        <v>0</v>
      </c>
      <c r="BK5" s="138">
        <f>IF('1.DATOS-PROD'!BT6="SI",VLOOKUP('1.DATOS-PROD'!BT$2,'1.PUNTOS'!$A$1:$B$63,2,0),0)</f>
        <v>0</v>
      </c>
    </row>
    <row r="6" spans="1:63" x14ac:dyDescent="0.25">
      <c r="A6" t="str">
        <f>'0.Consolidado general'!$A7</f>
        <v>E001002021003</v>
      </c>
      <c r="B6" s="138">
        <f>IF('1.DATOS-PROD'!K7="SI",VLOOKUP('1.DATOS-PROD'!K$2,'1.PUNTOS'!$A$1:$B$63,2,0),0)</f>
        <v>4</v>
      </c>
      <c r="C6" s="138">
        <f>IF('1.DATOS-PROD'!L7="SI",VLOOKUP('1.DATOS-PROD'!L$2,'1.PUNTOS'!$A$1:$B$63,2,0),0)</f>
        <v>5</v>
      </c>
      <c r="D6" s="138">
        <f>IF('1.DATOS-PROD'!M7="SI",VLOOKUP('1.DATOS-PROD'!M$2,'1.PUNTOS'!$A$1:$B$63,2,0),0)</f>
        <v>3</v>
      </c>
      <c r="E6" s="138">
        <f>IF('1.DATOS-PROD'!N7="SI",VLOOKUP('1.DATOS-PROD'!N$2,'1.PUNTOS'!$A$1:$B$63,2,0),0)</f>
        <v>3</v>
      </c>
      <c r="F6" s="138">
        <f>IF('1.DATOS-PROD'!O7="SI",VLOOKUP('1.DATOS-PROD'!O$2,'1.PUNTOS'!$A$1:$B$63,2,0),0)</f>
        <v>2</v>
      </c>
      <c r="G6" s="138">
        <f>IF('1.DATOS-PROD'!P7="SI",VLOOKUP('1.DATOS-PROD'!P$2,'1.PUNTOS'!$A$1:$B$63,2,0),0)</f>
        <v>0</v>
      </c>
      <c r="H6" s="138">
        <f>IF('1.DATOS-PROD'!Q7="SI",VLOOKUP('1.DATOS-PROD'!Q$2,'1.PUNTOS'!$A$1:$B$63,2,0),0)</f>
        <v>3</v>
      </c>
      <c r="I6" s="138">
        <f>IF('1.DATOS-PROD'!R7="SI",VLOOKUP('1.DATOS-PROD'!R$2,'1.PUNTOS'!$A$1:$B$63,2,0),0)</f>
        <v>0</v>
      </c>
      <c r="J6" s="138">
        <f>IF('1.DATOS-PROD'!S7="SI",VLOOKUP('1.DATOS-PROD'!S$2,'1.PUNTOS'!$A$1:$B$63,2,0),0)</f>
        <v>3</v>
      </c>
      <c r="K6" s="138">
        <f>IF('1.DATOS-PROD'!T7="SI",VLOOKUP('1.DATOS-PROD'!T$2,'1.PUNTOS'!$A$1:$B$63,2,0),0)</f>
        <v>0</v>
      </c>
      <c r="L6" s="138">
        <f>IF('1.DATOS-PROD'!U7="SI",VLOOKUP('1.DATOS-PROD'!U$2,'1.PUNTOS'!$A$1:$B$63,2,0),0)</f>
        <v>1</v>
      </c>
      <c r="M6" s="138">
        <f>IF('1.DATOS-PROD'!V7="SI",VLOOKUP('1.DATOS-PROD'!V$2,'1.PUNTOS'!$A$1:$B$63,2,0),0)</f>
        <v>0</v>
      </c>
      <c r="N6" s="138">
        <f>IF('1.DATOS-PROD'!W7="SI",VLOOKUP('1.DATOS-PROD'!W$2,'1.PUNTOS'!$A$1:$B$63,2,0),0)</f>
        <v>1</v>
      </c>
      <c r="O6" s="138">
        <f>IF('1.DATOS-PROD'!X7="SI",VLOOKUP('1.DATOS-PROD'!X$2,'1.PUNTOS'!$A$1:$B$63,2,0),0)</f>
        <v>0</v>
      </c>
      <c r="P6" s="138">
        <f>IF('1.DATOS-PROD'!Y7="SI",VLOOKUP('1.DATOS-PROD'!Y$2,'1.PUNTOS'!$A$1:$B$63,2,0),0)</f>
        <v>0</v>
      </c>
      <c r="Q6" s="138">
        <f>IF('1.DATOS-PROD'!Z7="SI",VLOOKUP('1.DATOS-PROD'!Z$2,'1.PUNTOS'!$A$1:$B$63,2,0),0)</f>
        <v>2</v>
      </c>
      <c r="R6" s="138">
        <f>IF('1.DATOS-PROD'!AA7="SI",VLOOKUP('1.DATOS-PROD'!AA$2,'1.PUNTOS'!$A$1:$B$63,2,0),0)</f>
        <v>1</v>
      </c>
      <c r="S6" s="138">
        <f>IF('1.DATOS-PROD'!AB7="SI",VLOOKUP('1.DATOS-PROD'!AB$2,'1.PUNTOS'!$A$1:$B$63,2,0),0)</f>
        <v>3</v>
      </c>
      <c r="T6" s="138">
        <f>IF('1.DATOS-PROD'!AC7="SI",VLOOKUP('1.DATOS-PROD'!AC$2,'1.PUNTOS'!$A$1:$B$63,2,0),0)</f>
        <v>0</v>
      </c>
      <c r="U6" s="138">
        <f>IF('1.DATOS-PROD'!AD7="SI",VLOOKUP('1.DATOS-PROD'!AD$2,'1.PUNTOS'!$A$1:$B$63,2,0),0)</f>
        <v>5</v>
      </c>
      <c r="V6" s="138">
        <f>IF('1.DATOS-PROD'!AE7="SI",VLOOKUP('1.DATOS-PROD'!AE$2,'1.PUNTOS'!$A$1:$B$63,2,0),0)</f>
        <v>3</v>
      </c>
      <c r="W6" s="138">
        <f>IF('1.DATOS-PROD'!AF7="SI",VLOOKUP('1.DATOS-PROD'!AF$2,'1.PUNTOS'!$A$1:$B$63,2,0),0)</f>
        <v>0</v>
      </c>
      <c r="X6" s="138">
        <f>IF('1.DATOS-PROD'!AG7="SI",VLOOKUP('1.DATOS-PROD'!AG$2,'1.PUNTOS'!$A$1:$B$63,2,0),0)</f>
        <v>0</v>
      </c>
      <c r="Y6" s="138">
        <f>IF('1.DATOS-PROD'!AH7="SI",VLOOKUP('1.DATOS-PROD'!AH$2,'1.PUNTOS'!$A$1:$B$63,2,0),0)</f>
        <v>3</v>
      </c>
      <c r="Z6" s="138">
        <f>IF('1.DATOS-PROD'!AI7="SI",VLOOKUP('1.DATOS-PROD'!AI$2,'1.PUNTOS'!$A$1:$B$63,2,0),0)</f>
        <v>0</v>
      </c>
      <c r="AA6" s="138">
        <f>IF('1.DATOS-PROD'!AJ7="SI",VLOOKUP('1.DATOS-PROD'!AJ$2,'1.PUNTOS'!$A$1:$B$63,2,0),0)</f>
        <v>0</v>
      </c>
      <c r="AB6" s="138">
        <f>IF('1.DATOS-PROD'!AK7="SI",VLOOKUP('1.DATOS-PROD'!AK$2,'1.PUNTOS'!$A$1:$B$63,2,0),0)</f>
        <v>0</v>
      </c>
      <c r="AC6" s="138">
        <f>IF('1.DATOS-PROD'!AL7="SI",VLOOKUP('1.DATOS-PROD'!AL$2,'1.PUNTOS'!$A$1:$B$63,2,0),0)</f>
        <v>2</v>
      </c>
      <c r="AD6" s="138">
        <f>IF('1.DATOS-PROD'!AM7="SI",VLOOKUP('1.DATOS-PROD'!AM$2,'1.PUNTOS'!$A$1:$B$63,2,0),0)</f>
        <v>1</v>
      </c>
      <c r="AE6" s="138">
        <f>IF('1.DATOS-PROD'!AN7="SI",VLOOKUP('1.DATOS-PROD'!AN$2,'1.PUNTOS'!$A$1:$B$63,2,0),0)</f>
        <v>2</v>
      </c>
      <c r="AF6" s="138">
        <f>IF('1.DATOS-PROD'!AO7="SI",VLOOKUP('1.DATOS-PROD'!AO$2,'1.PUNTOS'!$A$1:$B$63,2,0),0)</f>
        <v>0</v>
      </c>
      <c r="AG6" s="138">
        <f>IF('1.DATOS-PROD'!AP7="SI",VLOOKUP('1.DATOS-PROD'!AP$2,'1.PUNTOS'!$A$1:$B$63,2,0),0)</f>
        <v>3</v>
      </c>
      <c r="AH6" s="138">
        <f>IF('1.DATOS-PROD'!AQ7="SI",VLOOKUP('1.DATOS-PROD'!AQ$2,'1.PUNTOS'!$A$1:$B$63,2,0),0)</f>
        <v>2</v>
      </c>
      <c r="AI6" s="138">
        <f>IF('1.DATOS-PROD'!AR7="SI",VLOOKUP('1.DATOS-PROD'!AR$2,'1.PUNTOS'!$A$1:$B$63,2,0),0)</f>
        <v>2</v>
      </c>
      <c r="AJ6" s="138">
        <f>IF('1.DATOS-PROD'!AS7="SI",VLOOKUP('1.DATOS-PROD'!AS$2,'1.PUNTOS'!$A$1:$B$63,2,0),0)</f>
        <v>0</v>
      </c>
      <c r="AK6" s="138">
        <f>IF('1.DATOS-PROD'!AT7="SI",VLOOKUP('1.DATOS-PROD'!AT$2,'1.PUNTOS'!$A$1:$B$63,2,0),0)</f>
        <v>0</v>
      </c>
      <c r="AL6" s="138">
        <f>IF('1.DATOS-PROD'!AU7="SI",VLOOKUP('1.DATOS-PROD'!AU$2,'1.PUNTOS'!$A$1:$B$63,2,0),0)</f>
        <v>0</v>
      </c>
      <c r="AM6" s="138">
        <f>IF('1.DATOS-PROD'!AV7="SI",VLOOKUP('1.DATOS-PROD'!AV$2,'1.PUNTOS'!$A$1:$B$63,2,0),0)</f>
        <v>0</v>
      </c>
      <c r="AN6" s="138">
        <f>IF('1.DATOS-PROD'!AW7="SI",VLOOKUP('1.DATOS-PROD'!AW$2,'1.PUNTOS'!$A$1:$B$63,2,0),0)</f>
        <v>0</v>
      </c>
      <c r="AO6" s="138">
        <f>IF('1.DATOS-PROD'!AX7="SI",VLOOKUP('1.DATOS-PROD'!AX$2,'1.PUNTOS'!$A$1:$B$63,2,0),0)</f>
        <v>0</v>
      </c>
      <c r="AP6" s="138">
        <f>IF('1.DATOS-PROD'!AY7="SI",VLOOKUP('1.DATOS-PROD'!AY$2,'1.PUNTOS'!$A$1:$B$63,2,0),0)</f>
        <v>2</v>
      </c>
      <c r="AQ6" s="138">
        <f>IF('1.DATOS-PROD'!AZ7="SI",VLOOKUP('1.DATOS-PROD'!AZ$2,'1.PUNTOS'!$A$1:$B$63,2,0),0)</f>
        <v>3</v>
      </c>
      <c r="AR6" s="138">
        <f>IF('1.DATOS-PROD'!BA7="SI",VLOOKUP('1.DATOS-PROD'!BA$2,'1.PUNTOS'!$A$1:$B$63,2,0),0)</f>
        <v>0</v>
      </c>
      <c r="AS6" s="138">
        <f>IF('1.DATOS-PROD'!BB7="SI",VLOOKUP('1.DATOS-PROD'!BB$2,'1.PUNTOS'!$A$1:$B$63,2,0),0)</f>
        <v>0</v>
      </c>
      <c r="AT6" s="138">
        <f>IF('1.DATOS-PROD'!BC7="SI",VLOOKUP('1.DATOS-PROD'!BC$2,'1.PUNTOS'!$A$1:$B$63,2,0),0)</f>
        <v>3</v>
      </c>
      <c r="AU6" s="138">
        <f>IF('1.DATOS-PROD'!BD7="SI",VLOOKUP('1.DATOS-PROD'!BD$2,'1.PUNTOS'!$A$1:$B$63,2,0),0)</f>
        <v>0</v>
      </c>
      <c r="AV6" s="138">
        <f>IF('1.DATOS-PROD'!BE7="SI",VLOOKUP('1.DATOS-PROD'!BE$2,'1.PUNTOS'!$A$1:$B$63,2,0),0)</f>
        <v>1</v>
      </c>
      <c r="AW6" s="138">
        <f>IF('1.DATOS-PROD'!BF7="SI",VLOOKUP('1.DATOS-PROD'!BF$2,'1.PUNTOS'!$A$1:$B$63,2,0),0)</f>
        <v>2</v>
      </c>
      <c r="AX6" s="138">
        <f>IF('1.DATOS-PROD'!BG7="SI",VLOOKUP('1.DATOS-PROD'!BG$2,'1.PUNTOS'!$A$1:$B$63,2,0),0)</f>
        <v>1</v>
      </c>
      <c r="AY6" s="138">
        <f>IF('1.DATOS-PROD'!BH7="SI",VLOOKUP('1.DATOS-PROD'!BH$2,'1.PUNTOS'!$A$1:$B$63,2,0),0)</f>
        <v>3</v>
      </c>
      <c r="AZ6" s="138">
        <f>IF('1.DATOS-PROD'!BI7="SI",VLOOKUP('1.DATOS-PROD'!BI$2,'1.PUNTOS'!$A$1:$B$63,2,0),0)</f>
        <v>0</v>
      </c>
      <c r="BA6" s="138">
        <f>IF('1.DATOS-PROD'!BJ7="SI",VLOOKUP('1.DATOS-PROD'!BJ$2,'1.PUNTOS'!$A$1:$B$63,2,0),0)</f>
        <v>2</v>
      </c>
      <c r="BB6" s="138">
        <f>IF('1.DATOS-PROD'!BK7="SI",VLOOKUP('1.DATOS-PROD'!BK$2,'1.PUNTOS'!$A$1:$B$63,2,0),0)</f>
        <v>1</v>
      </c>
      <c r="BC6" s="138">
        <f>IF('1.DATOS-PROD'!BL7="SI",VLOOKUP('1.DATOS-PROD'!BL$2,'1.PUNTOS'!$A$1:$B$63,2,0),0)</f>
        <v>0</v>
      </c>
      <c r="BD6" s="138">
        <f>IF('1.DATOS-PROD'!BM7="SI",VLOOKUP('1.DATOS-PROD'!BM$2,'1.PUNTOS'!$A$1:$B$63,2,0),0)</f>
        <v>4</v>
      </c>
      <c r="BE6" s="138">
        <f>IF('1.DATOS-PROD'!BN7="SI",VLOOKUP('1.DATOS-PROD'!BN$2,'1.PUNTOS'!$A$1:$B$63,2,0),0)</f>
        <v>5</v>
      </c>
      <c r="BF6" s="138">
        <f>IF('1.DATOS-PROD'!BO7="SI",VLOOKUP('1.DATOS-PROD'!BO$2,'1.PUNTOS'!$A$1:$B$63,2,0),0)</f>
        <v>3</v>
      </c>
      <c r="BG6" s="138">
        <f>IF('1.DATOS-PROD'!BP7="SI",VLOOKUP('1.DATOS-PROD'!BP$2,'1.PUNTOS'!$A$1:$B$63,2,0),0)</f>
        <v>3</v>
      </c>
      <c r="BH6" s="138">
        <f>IF('1.DATOS-PROD'!BQ7="SI",VLOOKUP('1.DATOS-PROD'!BQ$2,'1.PUNTOS'!$A$1:$B$63,2,0),0)</f>
        <v>0</v>
      </c>
      <c r="BI6" s="138">
        <f>IF('1.DATOS-PROD'!BR7="SI",VLOOKUP('1.DATOS-PROD'!BR$2,'1.PUNTOS'!$A$1:$B$63,2,0),0)</f>
        <v>3</v>
      </c>
      <c r="BJ6" s="138">
        <f>IF('1.DATOS-PROD'!BS7="SI",VLOOKUP('1.DATOS-PROD'!BS$2,'1.PUNTOS'!$A$1:$B$63,2,0),0)</f>
        <v>0</v>
      </c>
      <c r="BK6" s="138">
        <f>IF('1.DATOS-PROD'!BT7="SI",VLOOKUP('1.DATOS-PROD'!BT$2,'1.PUNTOS'!$A$1:$B$63,2,0),0)</f>
        <v>0</v>
      </c>
    </row>
    <row r="7" spans="1:63" x14ac:dyDescent="0.25">
      <c r="A7" t="str">
        <f>'0.Consolidado general'!$A8</f>
        <v>E001002021004</v>
      </c>
      <c r="B7" s="138">
        <f>IF('1.DATOS-PROD'!K8="SI",VLOOKUP('1.DATOS-PROD'!K$2,'1.PUNTOS'!$A$1:$B$63,2,0),0)</f>
        <v>0</v>
      </c>
      <c r="C7" s="138">
        <f>IF('1.DATOS-PROD'!L8="SI",VLOOKUP('1.DATOS-PROD'!L$2,'1.PUNTOS'!$A$1:$B$63,2,0),0)</f>
        <v>0</v>
      </c>
      <c r="D7" s="138">
        <f>IF('1.DATOS-PROD'!M8="SI",VLOOKUP('1.DATOS-PROD'!M$2,'1.PUNTOS'!$A$1:$B$63,2,0),0)</f>
        <v>3</v>
      </c>
      <c r="E7" s="138">
        <f>IF('1.DATOS-PROD'!N8="SI",VLOOKUP('1.DATOS-PROD'!N$2,'1.PUNTOS'!$A$1:$B$63,2,0),0)</f>
        <v>3</v>
      </c>
      <c r="F7" s="138">
        <f>IF('1.DATOS-PROD'!O8="SI",VLOOKUP('1.DATOS-PROD'!O$2,'1.PUNTOS'!$A$1:$B$63,2,0),0)</f>
        <v>2</v>
      </c>
      <c r="G7" s="138">
        <f>IF('1.DATOS-PROD'!P8="SI",VLOOKUP('1.DATOS-PROD'!P$2,'1.PUNTOS'!$A$1:$B$63,2,0),0)</f>
        <v>0</v>
      </c>
      <c r="H7" s="138">
        <f>IF('1.DATOS-PROD'!Q8="SI",VLOOKUP('1.DATOS-PROD'!Q$2,'1.PUNTOS'!$A$1:$B$63,2,0),0)</f>
        <v>3</v>
      </c>
      <c r="I7" s="138">
        <f>IF('1.DATOS-PROD'!R8="SI",VLOOKUP('1.DATOS-PROD'!R$2,'1.PUNTOS'!$A$1:$B$63,2,0),0)</f>
        <v>0</v>
      </c>
      <c r="J7" s="138">
        <f>IF('1.DATOS-PROD'!S8="SI",VLOOKUP('1.DATOS-PROD'!S$2,'1.PUNTOS'!$A$1:$B$63,2,0),0)</f>
        <v>3</v>
      </c>
      <c r="K7" s="138">
        <f>IF('1.DATOS-PROD'!T8="SI",VLOOKUP('1.DATOS-PROD'!T$2,'1.PUNTOS'!$A$1:$B$63,2,0),0)</f>
        <v>0</v>
      </c>
      <c r="L7" s="138">
        <f>IF('1.DATOS-PROD'!U8="SI",VLOOKUP('1.DATOS-PROD'!U$2,'1.PUNTOS'!$A$1:$B$63,2,0),0)</f>
        <v>0</v>
      </c>
      <c r="M7" s="138">
        <f>IF('1.DATOS-PROD'!V8="SI",VLOOKUP('1.DATOS-PROD'!V$2,'1.PUNTOS'!$A$1:$B$63,2,0),0)</f>
        <v>0</v>
      </c>
      <c r="N7" s="138">
        <f>IF('1.DATOS-PROD'!W8="SI",VLOOKUP('1.DATOS-PROD'!W$2,'1.PUNTOS'!$A$1:$B$63,2,0),0)</f>
        <v>1</v>
      </c>
      <c r="O7" s="138">
        <f>IF('1.DATOS-PROD'!X8="SI",VLOOKUP('1.DATOS-PROD'!X$2,'1.PUNTOS'!$A$1:$B$63,2,0),0)</f>
        <v>3</v>
      </c>
      <c r="P7" s="138">
        <f>IF('1.DATOS-PROD'!Y8="SI",VLOOKUP('1.DATOS-PROD'!Y$2,'1.PUNTOS'!$A$1:$B$63,2,0),0)</f>
        <v>0</v>
      </c>
      <c r="Q7" s="138">
        <f>IF('1.DATOS-PROD'!Z8="SI",VLOOKUP('1.DATOS-PROD'!Z$2,'1.PUNTOS'!$A$1:$B$63,2,0),0)</f>
        <v>0</v>
      </c>
      <c r="R7" s="138">
        <f>IF('1.DATOS-PROD'!AA8="SI",VLOOKUP('1.DATOS-PROD'!AA$2,'1.PUNTOS'!$A$1:$B$63,2,0),0)</f>
        <v>0</v>
      </c>
      <c r="S7" s="138">
        <f>IF('1.DATOS-PROD'!AB8="SI",VLOOKUP('1.DATOS-PROD'!AB$2,'1.PUNTOS'!$A$1:$B$63,2,0),0)</f>
        <v>0</v>
      </c>
      <c r="T7" s="138">
        <f>IF('1.DATOS-PROD'!AC8="SI",VLOOKUP('1.DATOS-PROD'!AC$2,'1.PUNTOS'!$A$1:$B$63,2,0),0)</f>
        <v>4</v>
      </c>
      <c r="U7" s="138">
        <f>IF('1.DATOS-PROD'!AD8="SI",VLOOKUP('1.DATOS-PROD'!AD$2,'1.PUNTOS'!$A$1:$B$63,2,0),0)</f>
        <v>0</v>
      </c>
      <c r="V7" s="138">
        <f>IF('1.DATOS-PROD'!AE8="SI",VLOOKUP('1.DATOS-PROD'!AE$2,'1.PUNTOS'!$A$1:$B$63,2,0),0)</f>
        <v>0</v>
      </c>
      <c r="W7" s="138">
        <f>IF('1.DATOS-PROD'!AF8="SI",VLOOKUP('1.DATOS-PROD'!AF$2,'1.PUNTOS'!$A$1:$B$63,2,0),0)</f>
        <v>0</v>
      </c>
      <c r="X7" s="138">
        <f>IF('1.DATOS-PROD'!AG8="SI",VLOOKUP('1.DATOS-PROD'!AG$2,'1.PUNTOS'!$A$1:$B$63,2,0),0)</f>
        <v>0</v>
      </c>
      <c r="Y7" s="138">
        <f>IF('1.DATOS-PROD'!AH8="SI",VLOOKUP('1.DATOS-PROD'!AH$2,'1.PUNTOS'!$A$1:$B$63,2,0),0)</f>
        <v>0</v>
      </c>
      <c r="Z7" s="138">
        <f>IF('1.DATOS-PROD'!AI8="SI",VLOOKUP('1.DATOS-PROD'!AI$2,'1.PUNTOS'!$A$1:$B$63,2,0),0)</f>
        <v>3</v>
      </c>
      <c r="AA7" s="138">
        <f>IF('1.DATOS-PROD'!AJ8="SI",VLOOKUP('1.DATOS-PROD'!AJ$2,'1.PUNTOS'!$A$1:$B$63,2,0),0)</f>
        <v>3</v>
      </c>
      <c r="AB7" s="138">
        <f>IF('1.DATOS-PROD'!AK8="SI",VLOOKUP('1.DATOS-PROD'!AK$2,'1.PUNTOS'!$A$1:$B$63,2,0),0)</f>
        <v>3</v>
      </c>
      <c r="AC7" s="138">
        <f>IF('1.DATOS-PROD'!AL8="SI",VLOOKUP('1.DATOS-PROD'!AL$2,'1.PUNTOS'!$A$1:$B$63,2,0),0)</f>
        <v>2</v>
      </c>
      <c r="AD7" s="138">
        <f>IF('1.DATOS-PROD'!AM8="SI",VLOOKUP('1.DATOS-PROD'!AM$2,'1.PUNTOS'!$A$1:$B$63,2,0),0)</f>
        <v>1</v>
      </c>
      <c r="AE7" s="138">
        <f>IF('1.DATOS-PROD'!AN8="SI",VLOOKUP('1.DATOS-PROD'!AN$2,'1.PUNTOS'!$A$1:$B$63,2,0),0)</f>
        <v>2</v>
      </c>
      <c r="AF7" s="138">
        <f>IF('1.DATOS-PROD'!AO8="SI",VLOOKUP('1.DATOS-PROD'!AO$2,'1.PUNTOS'!$A$1:$B$63,2,0),0)</f>
        <v>0</v>
      </c>
      <c r="AG7" s="138">
        <f>IF('1.DATOS-PROD'!AP8="SI",VLOOKUP('1.DATOS-PROD'!AP$2,'1.PUNTOS'!$A$1:$B$63,2,0),0)</f>
        <v>3</v>
      </c>
      <c r="AH7" s="138">
        <f>IF('1.DATOS-PROD'!AQ8="SI",VLOOKUP('1.DATOS-PROD'!AQ$2,'1.PUNTOS'!$A$1:$B$63,2,0),0)</f>
        <v>2</v>
      </c>
      <c r="AI7" s="138">
        <f>IF('1.DATOS-PROD'!AR8="SI",VLOOKUP('1.DATOS-PROD'!AR$2,'1.PUNTOS'!$A$1:$B$63,2,0),0)</f>
        <v>0</v>
      </c>
      <c r="AJ7" s="138">
        <f>IF('1.DATOS-PROD'!AS8="SI",VLOOKUP('1.DATOS-PROD'!AS$2,'1.PUNTOS'!$A$1:$B$63,2,0),0)</f>
        <v>0</v>
      </c>
      <c r="AK7" s="138">
        <f>IF('1.DATOS-PROD'!AT8="SI",VLOOKUP('1.DATOS-PROD'!AT$2,'1.PUNTOS'!$A$1:$B$63,2,0),0)</f>
        <v>3</v>
      </c>
      <c r="AL7" s="138">
        <f>IF('1.DATOS-PROD'!AU8="SI",VLOOKUP('1.DATOS-PROD'!AU$2,'1.PUNTOS'!$A$1:$B$63,2,0),0)</f>
        <v>0</v>
      </c>
      <c r="AM7" s="138">
        <f>IF('1.DATOS-PROD'!AV8="SI",VLOOKUP('1.DATOS-PROD'!AV$2,'1.PUNTOS'!$A$1:$B$63,2,0),0)</f>
        <v>0</v>
      </c>
      <c r="AN7" s="138">
        <f>IF('1.DATOS-PROD'!AW8="SI",VLOOKUP('1.DATOS-PROD'!AW$2,'1.PUNTOS'!$A$1:$B$63,2,0),0)</f>
        <v>0</v>
      </c>
      <c r="AO7" s="138">
        <f>IF('1.DATOS-PROD'!AX8="SI",VLOOKUP('1.DATOS-PROD'!AX$2,'1.PUNTOS'!$A$1:$B$63,2,0),0)</f>
        <v>0</v>
      </c>
      <c r="AP7" s="138">
        <f>IF('1.DATOS-PROD'!AY8="SI",VLOOKUP('1.DATOS-PROD'!AY$2,'1.PUNTOS'!$A$1:$B$63,2,0),0)</f>
        <v>2</v>
      </c>
      <c r="AQ7" s="138">
        <f>IF('1.DATOS-PROD'!AZ8="SI",VLOOKUP('1.DATOS-PROD'!AZ$2,'1.PUNTOS'!$A$1:$B$63,2,0),0)</f>
        <v>3</v>
      </c>
      <c r="AR7" s="138">
        <f>IF('1.DATOS-PROD'!BA8="SI",VLOOKUP('1.DATOS-PROD'!BA$2,'1.PUNTOS'!$A$1:$B$63,2,0),0)</f>
        <v>0</v>
      </c>
      <c r="AS7" s="138">
        <f>IF('1.DATOS-PROD'!BB8="SI",VLOOKUP('1.DATOS-PROD'!BB$2,'1.PUNTOS'!$A$1:$B$63,2,0),0)</f>
        <v>0</v>
      </c>
      <c r="AT7" s="138">
        <f>IF('1.DATOS-PROD'!BC8="SI",VLOOKUP('1.DATOS-PROD'!BC$2,'1.PUNTOS'!$A$1:$B$63,2,0),0)</f>
        <v>3</v>
      </c>
      <c r="AU7" s="138">
        <f>IF('1.DATOS-PROD'!BD8="SI",VLOOKUP('1.DATOS-PROD'!BD$2,'1.PUNTOS'!$A$1:$B$63,2,0),0)</f>
        <v>0</v>
      </c>
      <c r="AV7" s="138">
        <f>IF('1.DATOS-PROD'!BE8="SI",VLOOKUP('1.DATOS-PROD'!BE$2,'1.PUNTOS'!$A$1:$B$63,2,0),0)</f>
        <v>0</v>
      </c>
      <c r="AW7" s="138">
        <f>IF('1.DATOS-PROD'!BF8="SI",VLOOKUP('1.DATOS-PROD'!BF$2,'1.PUNTOS'!$A$1:$B$63,2,0),0)</f>
        <v>2</v>
      </c>
      <c r="AX7" s="138">
        <f>IF('1.DATOS-PROD'!BG8="SI",VLOOKUP('1.DATOS-PROD'!BG$2,'1.PUNTOS'!$A$1:$B$63,2,0),0)</f>
        <v>1</v>
      </c>
      <c r="AY7" s="138">
        <f>IF('1.DATOS-PROD'!BH8="SI",VLOOKUP('1.DATOS-PROD'!BH$2,'1.PUNTOS'!$A$1:$B$63,2,0),0)</f>
        <v>3</v>
      </c>
      <c r="AZ7" s="138">
        <f>IF('1.DATOS-PROD'!BI8="SI",VLOOKUP('1.DATOS-PROD'!BI$2,'1.PUNTOS'!$A$1:$B$63,2,0),0)</f>
        <v>0</v>
      </c>
      <c r="BA7" s="138">
        <f>IF('1.DATOS-PROD'!BJ8="SI",VLOOKUP('1.DATOS-PROD'!BJ$2,'1.PUNTOS'!$A$1:$B$63,2,0),0)</f>
        <v>0</v>
      </c>
      <c r="BB7" s="138">
        <f>IF('1.DATOS-PROD'!BK8="SI",VLOOKUP('1.DATOS-PROD'!BK$2,'1.PUNTOS'!$A$1:$B$63,2,0),0)</f>
        <v>1</v>
      </c>
      <c r="BC7" s="138">
        <f>IF('1.DATOS-PROD'!BL8="SI",VLOOKUP('1.DATOS-PROD'!BL$2,'1.PUNTOS'!$A$1:$B$63,2,0),0)</f>
        <v>3</v>
      </c>
      <c r="BD7" s="138">
        <f>IF('1.DATOS-PROD'!BM8="SI",VLOOKUP('1.DATOS-PROD'!BM$2,'1.PUNTOS'!$A$1:$B$63,2,0),0)</f>
        <v>4</v>
      </c>
      <c r="BE7" s="138">
        <f>IF('1.DATOS-PROD'!BN8="SI",VLOOKUP('1.DATOS-PROD'!BN$2,'1.PUNTOS'!$A$1:$B$63,2,0),0)</f>
        <v>5</v>
      </c>
      <c r="BF7" s="138">
        <f>IF('1.DATOS-PROD'!BO8="SI",VLOOKUP('1.DATOS-PROD'!BO$2,'1.PUNTOS'!$A$1:$B$63,2,0),0)</f>
        <v>3</v>
      </c>
      <c r="BG7" s="138">
        <f>IF('1.DATOS-PROD'!BP8="SI",VLOOKUP('1.DATOS-PROD'!BP$2,'1.PUNTOS'!$A$1:$B$63,2,0),0)</f>
        <v>3</v>
      </c>
      <c r="BH7" s="138">
        <f>IF('1.DATOS-PROD'!BQ8="SI",VLOOKUP('1.DATOS-PROD'!BQ$2,'1.PUNTOS'!$A$1:$B$63,2,0),0)</f>
        <v>2</v>
      </c>
      <c r="BI7" s="138">
        <f>IF('1.DATOS-PROD'!BR8="SI",VLOOKUP('1.DATOS-PROD'!BR$2,'1.PUNTOS'!$A$1:$B$63,2,0),0)</f>
        <v>3</v>
      </c>
      <c r="BJ7" s="138">
        <f>IF('1.DATOS-PROD'!BS8="SI",VLOOKUP('1.DATOS-PROD'!BS$2,'1.PUNTOS'!$A$1:$B$63,2,0),0)</f>
        <v>3</v>
      </c>
      <c r="BK7" s="138">
        <f>IF('1.DATOS-PROD'!BT8="SI",VLOOKUP('1.DATOS-PROD'!BT$2,'1.PUNTOS'!$A$1:$B$63,2,0),0)</f>
        <v>3</v>
      </c>
    </row>
    <row r="8" spans="1:63" x14ac:dyDescent="0.25">
      <c r="A8" t="str">
        <f>'0.Consolidado general'!$A9</f>
        <v>E001013021001</v>
      </c>
      <c r="B8" s="138">
        <f>IF('1.DATOS-PROD'!K9="SI",VLOOKUP('1.DATOS-PROD'!K$2,'1.PUNTOS'!$A$1:$B$63,2,0),0)</f>
        <v>4</v>
      </c>
      <c r="C8" s="138">
        <f>IF('1.DATOS-PROD'!L9="SI",VLOOKUP('1.DATOS-PROD'!L$2,'1.PUNTOS'!$A$1:$B$63,2,0),0)</f>
        <v>5</v>
      </c>
      <c r="D8" s="138">
        <f>IF('1.DATOS-PROD'!M9="SI",VLOOKUP('1.DATOS-PROD'!M$2,'1.PUNTOS'!$A$1:$B$63,2,0),0)</f>
        <v>3</v>
      </c>
      <c r="E8" s="138">
        <f>IF('1.DATOS-PROD'!N9="SI",VLOOKUP('1.DATOS-PROD'!N$2,'1.PUNTOS'!$A$1:$B$63,2,0),0)</f>
        <v>3</v>
      </c>
      <c r="F8" s="138">
        <f>IF('1.DATOS-PROD'!O9="SI",VLOOKUP('1.DATOS-PROD'!O$2,'1.PUNTOS'!$A$1:$B$63,2,0),0)</f>
        <v>2</v>
      </c>
      <c r="G8" s="138">
        <f>IF('1.DATOS-PROD'!P9="SI",VLOOKUP('1.DATOS-PROD'!P$2,'1.PUNTOS'!$A$1:$B$63,2,0),0)</f>
        <v>0</v>
      </c>
      <c r="H8" s="138">
        <f>IF('1.DATOS-PROD'!Q9="SI",VLOOKUP('1.DATOS-PROD'!Q$2,'1.PUNTOS'!$A$1:$B$63,2,0),0)</f>
        <v>3</v>
      </c>
      <c r="I8" s="138">
        <f>IF('1.DATOS-PROD'!R9="SI",VLOOKUP('1.DATOS-PROD'!R$2,'1.PUNTOS'!$A$1:$B$63,2,0),0)</f>
        <v>3</v>
      </c>
      <c r="J8" s="138">
        <f>IF('1.DATOS-PROD'!S9="SI",VLOOKUP('1.DATOS-PROD'!S$2,'1.PUNTOS'!$A$1:$B$63,2,0),0)</f>
        <v>3</v>
      </c>
      <c r="K8" s="138">
        <f>IF('1.DATOS-PROD'!T9="SI",VLOOKUP('1.DATOS-PROD'!T$2,'1.PUNTOS'!$A$1:$B$63,2,0),0)</f>
        <v>2</v>
      </c>
      <c r="L8" s="138">
        <f>IF('1.DATOS-PROD'!U9="SI",VLOOKUP('1.DATOS-PROD'!U$2,'1.PUNTOS'!$A$1:$B$63,2,0),0)</f>
        <v>1</v>
      </c>
      <c r="M8" s="138">
        <f>IF('1.DATOS-PROD'!V9="SI",VLOOKUP('1.DATOS-PROD'!V$2,'1.PUNTOS'!$A$1:$B$63,2,0),0)</f>
        <v>0</v>
      </c>
      <c r="N8" s="138">
        <f>IF('1.DATOS-PROD'!W9="SI",VLOOKUP('1.DATOS-PROD'!W$2,'1.PUNTOS'!$A$1:$B$63,2,0),0)</f>
        <v>0</v>
      </c>
      <c r="O8" s="138">
        <f>IF('1.DATOS-PROD'!X9="SI",VLOOKUP('1.DATOS-PROD'!X$2,'1.PUNTOS'!$A$1:$B$63,2,0),0)</f>
        <v>0</v>
      </c>
      <c r="P8" s="138">
        <f>IF('1.DATOS-PROD'!Y9="SI",VLOOKUP('1.DATOS-PROD'!Y$2,'1.PUNTOS'!$A$1:$B$63,2,0),0)</f>
        <v>2</v>
      </c>
      <c r="Q8" s="138">
        <f>IF('1.DATOS-PROD'!Z9="SI",VLOOKUP('1.DATOS-PROD'!Z$2,'1.PUNTOS'!$A$1:$B$63,2,0),0)</f>
        <v>0</v>
      </c>
      <c r="R8" s="138">
        <f>IF('1.DATOS-PROD'!AA9="SI",VLOOKUP('1.DATOS-PROD'!AA$2,'1.PUNTOS'!$A$1:$B$63,2,0),0)</f>
        <v>1</v>
      </c>
      <c r="S8" s="138">
        <f>IF('1.DATOS-PROD'!AB9="SI",VLOOKUP('1.DATOS-PROD'!AB$2,'1.PUNTOS'!$A$1:$B$63,2,0),0)</f>
        <v>3</v>
      </c>
      <c r="T8" s="138">
        <f>IF('1.DATOS-PROD'!AC9="SI",VLOOKUP('1.DATOS-PROD'!AC$2,'1.PUNTOS'!$A$1:$B$63,2,0),0)</f>
        <v>4</v>
      </c>
      <c r="U8" s="138">
        <f>IF('1.DATOS-PROD'!AD9="SI",VLOOKUP('1.DATOS-PROD'!AD$2,'1.PUNTOS'!$A$1:$B$63,2,0),0)</f>
        <v>0</v>
      </c>
      <c r="V8" s="138">
        <f>IF('1.DATOS-PROD'!AE9="SI",VLOOKUP('1.DATOS-PROD'!AE$2,'1.PUNTOS'!$A$1:$B$63,2,0),0)</f>
        <v>3</v>
      </c>
      <c r="W8" s="138">
        <f>IF('1.DATOS-PROD'!AF9="SI",VLOOKUP('1.DATOS-PROD'!AF$2,'1.PUNTOS'!$A$1:$B$63,2,0),0)</f>
        <v>0</v>
      </c>
      <c r="X8" s="138">
        <f>IF('1.DATOS-PROD'!AG9="SI",VLOOKUP('1.DATOS-PROD'!AG$2,'1.PUNTOS'!$A$1:$B$63,2,0),0)</f>
        <v>0</v>
      </c>
      <c r="Y8" s="138">
        <f>IF('1.DATOS-PROD'!AH9="SI",VLOOKUP('1.DATOS-PROD'!AH$2,'1.PUNTOS'!$A$1:$B$63,2,0),0)</f>
        <v>3</v>
      </c>
      <c r="Z8" s="138">
        <f>IF('1.DATOS-PROD'!AI9="SI",VLOOKUP('1.DATOS-PROD'!AI$2,'1.PUNTOS'!$A$1:$B$63,2,0),0)</f>
        <v>0</v>
      </c>
      <c r="AA8" s="138">
        <f>IF('1.DATOS-PROD'!AJ9="SI",VLOOKUP('1.DATOS-PROD'!AJ$2,'1.PUNTOS'!$A$1:$B$63,2,0),0)</f>
        <v>0</v>
      </c>
      <c r="AB8" s="138">
        <f>IF('1.DATOS-PROD'!AK9="SI",VLOOKUP('1.DATOS-PROD'!AK$2,'1.PUNTOS'!$A$1:$B$63,2,0),0)</f>
        <v>0</v>
      </c>
      <c r="AC8" s="138">
        <f>IF('1.DATOS-PROD'!AL9="SI",VLOOKUP('1.DATOS-PROD'!AL$2,'1.PUNTOS'!$A$1:$B$63,2,0),0)</f>
        <v>2</v>
      </c>
      <c r="AD8" s="138">
        <f>IF('1.DATOS-PROD'!AM9="SI",VLOOKUP('1.DATOS-PROD'!AM$2,'1.PUNTOS'!$A$1:$B$63,2,0),0)</f>
        <v>1</v>
      </c>
      <c r="AE8" s="138">
        <f>IF('1.DATOS-PROD'!AN9="SI",VLOOKUP('1.DATOS-PROD'!AN$2,'1.PUNTOS'!$A$1:$B$63,2,0),0)</f>
        <v>2</v>
      </c>
      <c r="AF8" s="138">
        <f>IF('1.DATOS-PROD'!AO9="SI",VLOOKUP('1.DATOS-PROD'!AO$2,'1.PUNTOS'!$A$1:$B$63,2,0),0)</f>
        <v>1</v>
      </c>
      <c r="AG8" s="138">
        <f>IF('1.DATOS-PROD'!AP9="SI",VLOOKUP('1.DATOS-PROD'!AP$2,'1.PUNTOS'!$A$1:$B$63,2,0),0)</f>
        <v>3</v>
      </c>
      <c r="AH8" s="138">
        <f>IF('1.DATOS-PROD'!AQ9="SI",VLOOKUP('1.DATOS-PROD'!AQ$2,'1.PUNTOS'!$A$1:$B$63,2,0),0)</f>
        <v>0</v>
      </c>
      <c r="AI8" s="138">
        <f>IF('1.DATOS-PROD'!AR9="SI",VLOOKUP('1.DATOS-PROD'!AR$2,'1.PUNTOS'!$A$1:$B$63,2,0),0)</f>
        <v>2</v>
      </c>
      <c r="AJ8" s="138">
        <f>IF('1.DATOS-PROD'!AS9="SI",VLOOKUP('1.DATOS-PROD'!AS$2,'1.PUNTOS'!$A$1:$B$63,2,0),0)</f>
        <v>0</v>
      </c>
      <c r="AK8" s="138">
        <f>IF('1.DATOS-PROD'!AT9="SI",VLOOKUP('1.DATOS-PROD'!AT$2,'1.PUNTOS'!$A$1:$B$63,2,0),0)</f>
        <v>0</v>
      </c>
      <c r="AL8" s="138">
        <f>IF('1.DATOS-PROD'!AU9="SI",VLOOKUP('1.DATOS-PROD'!AU$2,'1.PUNTOS'!$A$1:$B$63,2,0),0)</f>
        <v>0</v>
      </c>
      <c r="AM8" s="138">
        <f>IF('1.DATOS-PROD'!AV9="SI",VLOOKUP('1.DATOS-PROD'!AV$2,'1.PUNTOS'!$A$1:$B$63,2,0),0)</f>
        <v>0</v>
      </c>
      <c r="AN8" s="138">
        <f>IF('1.DATOS-PROD'!AW9="SI",VLOOKUP('1.DATOS-PROD'!AW$2,'1.PUNTOS'!$A$1:$B$63,2,0),0)</f>
        <v>0</v>
      </c>
      <c r="AO8" s="138">
        <f>IF('1.DATOS-PROD'!AX9="SI",VLOOKUP('1.DATOS-PROD'!AX$2,'1.PUNTOS'!$A$1:$B$63,2,0),0)</f>
        <v>0</v>
      </c>
      <c r="AP8" s="138">
        <f>IF('1.DATOS-PROD'!AY9="SI",VLOOKUP('1.DATOS-PROD'!AY$2,'1.PUNTOS'!$A$1:$B$63,2,0),0)</f>
        <v>2</v>
      </c>
      <c r="AQ8" s="138">
        <f>IF('1.DATOS-PROD'!AZ9="SI",VLOOKUP('1.DATOS-PROD'!AZ$2,'1.PUNTOS'!$A$1:$B$63,2,0),0)</f>
        <v>3</v>
      </c>
      <c r="AR8" s="138">
        <f>IF('1.DATOS-PROD'!BA9="SI",VLOOKUP('1.DATOS-PROD'!BA$2,'1.PUNTOS'!$A$1:$B$63,2,0),0)</f>
        <v>0</v>
      </c>
      <c r="AS8" s="138">
        <f>IF('1.DATOS-PROD'!BB9="SI",VLOOKUP('1.DATOS-PROD'!BB$2,'1.PUNTOS'!$A$1:$B$63,2,0),0)</f>
        <v>0</v>
      </c>
      <c r="AT8" s="138">
        <f>IF('1.DATOS-PROD'!BC9="SI",VLOOKUP('1.DATOS-PROD'!BC$2,'1.PUNTOS'!$A$1:$B$63,2,0),0)</f>
        <v>3</v>
      </c>
      <c r="AU8" s="138">
        <f>IF('1.DATOS-PROD'!BD9="SI",VLOOKUP('1.DATOS-PROD'!BD$2,'1.PUNTOS'!$A$1:$B$63,2,0),0)</f>
        <v>0</v>
      </c>
      <c r="AV8" s="138">
        <f>IF('1.DATOS-PROD'!BE9="SI",VLOOKUP('1.DATOS-PROD'!BE$2,'1.PUNTOS'!$A$1:$B$63,2,0),0)</f>
        <v>1</v>
      </c>
      <c r="AW8" s="138">
        <f>IF('1.DATOS-PROD'!BF9="SI",VLOOKUP('1.DATOS-PROD'!BF$2,'1.PUNTOS'!$A$1:$B$63,2,0),0)</f>
        <v>0</v>
      </c>
      <c r="AX8" s="138">
        <f>IF('1.DATOS-PROD'!BG9="SI",VLOOKUP('1.DATOS-PROD'!BG$2,'1.PUNTOS'!$A$1:$B$63,2,0),0)</f>
        <v>0</v>
      </c>
      <c r="AY8" s="138">
        <f>IF('1.DATOS-PROD'!BH9="SI",VLOOKUP('1.DATOS-PROD'!BH$2,'1.PUNTOS'!$A$1:$B$63,2,0),0)</f>
        <v>0</v>
      </c>
      <c r="AZ8" s="138">
        <f>IF('1.DATOS-PROD'!BI9="SI",VLOOKUP('1.DATOS-PROD'!BI$2,'1.PUNTOS'!$A$1:$B$63,2,0),0)</f>
        <v>0</v>
      </c>
      <c r="BA8" s="138">
        <f>IF('1.DATOS-PROD'!BJ9="SI",VLOOKUP('1.DATOS-PROD'!BJ$2,'1.PUNTOS'!$A$1:$B$63,2,0),0)</f>
        <v>2</v>
      </c>
      <c r="BB8" s="138">
        <f>IF('1.DATOS-PROD'!BK9="SI",VLOOKUP('1.DATOS-PROD'!BK$2,'1.PUNTOS'!$A$1:$B$63,2,0),0)</f>
        <v>0</v>
      </c>
      <c r="BC8" s="138">
        <f>IF('1.DATOS-PROD'!BL9="SI",VLOOKUP('1.DATOS-PROD'!BL$2,'1.PUNTOS'!$A$1:$B$63,2,0),0)</f>
        <v>3</v>
      </c>
      <c r="BD8" s="138">
        <f>IF('1.DATOS-PROD'!BM9="SI",VLOOKUP('1.DATOS-PROD'!BM$2,'1.PUNTOS'!$A$1:$B$63,2,0),0)</f>
        <v>0</v>
      </c>
      <c r="BE8" s="138">
        <f>IF('1.DATOS-PROD'!BN9="SI",VLOOKUP('1.DATOS-PROD'!BN$2,'1.PUNTOS'!$A$1:$B$63,2,0),0)</f>
        <v>5</v>
      </c>
      <c r="BF8" s="138">
        <f>IF('1.DATOS-PROD'!BO9="SI",VLOOKUP('1.DATOS-PROD'!BO$2,'1.PUNTOS'!$A$1:$B$63,2,0),0)</f>
        <v>3</v>
      </c>
      <c r="BG8" s="138">
        <f>IF('1.DATOS-PROD'!BP9="SI",VLOOKUP('1.DATOS-PROD'!BP$2,'1.PUNTOS'!$A$1:$B$63,2,0),0)</f>
        <v>3</v>
      </c>
      <c r="BH8" s="138">
        <f>IF('1.DATOS-PROD'!BQ9="SI",VLOOKUP('1.DATOS-PROD'!BQ$2,'1.PUNTOS'!$A$1:$B$63,2,0),0)</f>
        <v>2</v>
      </c>
      <c r="BI8" s="138">
        <f>IF('1.DATOS-PROD'!BR9="SI",VLOOKUP('1.DATOS-PROD'!BR$2,'1.PUNTOS'!$A$1:$B$63,2,0),0)</f>
        <v>3</v>
      </c>
      <c r="BJ8" s="138">
        <f>IF('1.DATOS-PROD'!BS9="SI",VLOOKUP('1.DATOS-PROD'!BS$2,'1.PUNTOS'!$A$1:$B$63,2,0),0)</f>
        <v>0</v>
      </c>
      <c r="BK8" s="138">
        <f>IF('1.DATOS-PROD'!BT9="SI",VLOOKUP('1.DATOS-PROD'!BT$2,'1.PUNTOS'!$A$1:$B$63,2,0),0)</f>
        <v>0</v>
      </c>
    </row>
    <row r="9" spans="1:63" x14ac:dyDescent="0.25">
      <c r="A9" t="str">
        <f>'0.Consolidado general'!$A10</f>
        <v>E001013021002</v>
      </c>
      <c r="B9" s="138">
        <f>IF('1.DATOS-PROD'!K10="SI",VLOOKUP('1.DATOS-PROD'!K$2,'1.PUNTOS'!$A$1:$B$63,2,0),0)</f>
        <v>0</v>
      </c>
      <c r="C9" s="138">
        <f>IF('1.DATOS-PROD'!L10="SI",VLOOKUP('1.DATOS-PROD'!L$2,'1.PUNTOS'!$A$1:$B$63,2,0),0)</f>
        <v>0</v>
      </c>
      <c r="D9" s="138">
        <f>IF('1.DATOS-PROD'!M10="SI",VLOOKUP('1.DATOS-PROD'!M$2,'1.PUNTOS'!$A$1:$B$63,2,0),0)</f>
        <v>3</v>
      </c>
      <c r="E9" s="138">
        <f>IF('1.DATOS-PROD'!N10="SI",VLOOKUP('1.DATOS-PROD'!N$2,'1.PUNTOS'!$A$1:$B$63,2,0),0)</f>
        <v>3</v>
      </c>
      <c r="F9" s="138">
        <f>IF('1.DATOS-PROD'!O10="SI",VLOOKUP('1.DATOS-PROD'!O$2,'1.PUNTOS'!$A$1:$B$63,2,0),0)</f>
        <v>2</v>
      </c>
      <c r="G9" s="138">
        <f>IF('1.DATOS-PROD'!P10="SI",VLOOKUP('1.DATOS-PROD'!P$2,'1.PUNTOS'!$A$1:$B$63,2,0),0)</f>
        <v>3</v>
      </c>
      <c r="H9" s="138">
        <f>IF('1.DATOS-PROD'!Q10="SI",VLOOKUP('1.DATOS-PROD'!Q$2,'1.PUNTOS'!$A$1:$B$63,2,0),0)</f>
        <v>3</v>
      </c>
      <c r="I9" s="138">
        <f>IF('1.DATOS-PROD'!R10="SI",VLOOKUP('1.DATOS-PROD'!R$2,'1.PUNTOS'!$A$1:$B$63,2,0),0)</f>
        <v>0</v>
      </c>
      <c r="J9" s="138">
        <f>IF('1.DATOS-PROD'!S10="SI",VLOOKUP('1.DATOS-PROD'!S$2,'1.PUNTOS'!$A$1:$B$63,2,0),0)</f>
        <v>3</v>
      </c>
      <c r="K9" s="138">
        <f>IF('1.DATOS-PROD'!T10="SI",VLOOKUP('1.DATOS-PROD'!T$2,'1.PUNTOS'!$A$1:$B$63,2,0),0)</f>
        <v>0</v>
      </c>
      <c r="L9" s="138">
        <f>IF('1.DATOS-PROD'!U10="SI",VLOOKUP('1.DATOS-PROD'!U$2,'1.PUNTOS'!$A$1:$B$63,2,0),0)</f>
        <v>0</v>
      </c>
      <c r="M9" s="138">
        <f>IF('1.DATOS-PROD'!V10="SI",VLOOKUP('1.DATOS-PROD'!V$2,'1.PUNTOS'!$A$1:$B$63,2,0),0)</f>
        <v>0</v>
      </c>
      <c r="N9" s="138">
        <f>IF('1.DATOS-PROD'!W10="SI",VLOOKUP('1.DATOS-PROD'!W$2,'1.PUNTOS'!$A$1:$B$63,2,0),0)</f>
        <v>1</v>
      </c>
      <c r="O9" s="138">
        <f>IF('1.DATOS-PROD'!X10="SI",VLOOKUP('1.DATOS-PROD'!X$2,'1.PUNTOS'!$A$1:$B$63,2,0),0)</f>
        <v>0</v>
      </c>
      <c r="P9" s="138">
        <f>IF('1.DATOS-PROD'!Y10="SI",VLOOKUP('1.DATOS-PROD'!Y$2,'1.PUNTOS'!$A$1:$B$63,2,0),0)</f>
        <v>0</v>
      </c>
      <c r="Q9" s="138">
        <f>IF('1.DATOS-PROD'!Z10="SI",VLOOKUP('1.DATOS-PROD'!Z$2,'1.PUNTOS'!$A$1:$B$63,2,0),0)</f>
        <v>0</v>
      </c>
      <c r="R9" s="138">
        <f>IF('1.DATOS-PROD'!AA10="SI",VLOOKUP('1.DATOS-PROD'!AA$2,'1.PUNTOS'!$A$1:$B$63,2,0),0)</f>
        <v>1</v>
      </c>
      <c r="S9" s="138">
        <f>IF('1.DATOS-PROD'!AB10="SI",VLOOKUP('1.DATOS-PROD'!AB$2,'1.PUNTOS'!$A$1:$B$63,2,0),0)</f>
        <v>3</v>
      </c>
      <c r="T9" s="138">
        <f>IF('1.DATOS-PROD'!AC10="SI",VLOOKUP('1.DATOS-PROD'!AC$2,'1.PUNTOS'!$A$1:$B$63,2,0),0)</f>
        <v>4</v>
      </c>
      <c r="U9" s="138">
        <f>IF('1.DATOS-PROD'!AD10="SI",VLOOKUP('1.DATOS-PROD'!AD$2,'1.PUNTOS'!$A$1:$B$63,2,0),0)</f>
        <v>5</v>
      </c>
      <c r="V9" s="138">
        <f>IF('1.DATOS-PROD'!AE10="SI",VLOOKUP('1.DATOS-PROD'!AE$2,'1.PUNTOS'!$A$1:$B$63,2,0),0)</f>
        <v>3</v>
      </c>
      <c r="W9" s="138">
        <f>IF('1.DATOS-PROD'!AF10="SI",VLOOKUP('1.DATOS-PROD'!AF$2,'1.PUNTOS'!$A$1:$B$63,2,0),0)</f>
        <v>3</v>
      </c>
      <c r="X9" s="138">
        <f>IF('1.DATOS-PROD'!AG10="SI",VLOOKUP('1.DATOS-PROD'!AG$2,'1.PUNTOS'!$A$1:$B$63,2,0),0)</f>
        <v>2</v>
      </c>
      <c r="Y9" s="138">
        <f>IF('1.DATOS-PROD'!AH10="SI",VLOOKUP('1.DATOS-PROD'!AH$2,'1.PUNTOS'!$A$1:$B$63,2,0),0)</f>
        <v>0</v>
      </c>
      <c r="Z9" s="138">
        <f>IF('1.DATOS-PROD'!AI10="SI",VLOOKUP('1.DATOS-PROD'!AI$2,'1.PUNTOS'!$A$1:$B$63,2,0),0)</f>
        <v>3</v>
      </c>
      <c r="AA9" s="138">
        <f>IF('1.DATOS-PROD'!AJ10="SI",VLOOKUP('1.DATOS-PROD'!AJ$2,'1.PUNTOS'!$A$1:$B$63,2,0),0)</f>
        <v>3</v>
      </c>
      <c r="AB9" s="138">
        <f>IF('1.DATOS-PROD'!AK10="SI",VLOOKUP('1.DATOS-PROD'!AK$2,'1.PUNTOS'!$A$1:$B$63,2,0),0)</f>
        <v>3</v>
      </c>
      <c r="AC9" s="138">
        <f>IF('1.DATOS-PROD'!AL10="SI",VLOOKUP('1.DATOS-PROD'!AL$2,'1.PUNTOS'!$A$1:$B$63,2,0),0)</f>
        <v>2</v>
      </c>
      <c r="AD9" s="138">
        <f>IF('1.DATOS-PROD'!AM10="SI",VLOOKUP('1.DATOS-PROD'!AM$2,'1.PUNTOS'!$A$1:$B$63,2,0),0)</f>
        <v>1</v>
      </c>
      <c r="AE9" s="138">
        <f>IF('1.DATOS-PROD'!AN10="SI",VLOOKUP('1.DATOS-PROD'!AN$2,'1.PUNTOS'!$A$1:$B$63,2,0),0)</f>
        <v>2</v>
      </c>
      <c r="AF9" s="138">
        <f>IF('1.DATOS-PROD'!AO10="SI",VLOOKUP('1.DATOS-PROD'!AO$2,'1.PUNTOS'!$A$1:$B$63,2,0),0)</f>
        <v>0</v>
      </c>
      <c r="AG9" s="138">
        <f>IF('1.DATOS-PROD'!AP10="SI",VLOOKUP('1.DATOS-PROD'!AP$2,'1.PUNTOS'!$A$1:$B$63,2,0),0)</f>
        <v>3</v>
      </c>
      <c r="AH9" s="138">
        <f>IF('1.DATOS-PROD'!AQ10="SI",VLOOKUP('1.DATOS-PROD'!AQ$2,'1.PUNTOS'!$A$1:$B$63,2,0),0)</f>
        <v>2</v>
      </c>
      <c r="AI9" s="138">
        <f>IF('1.DATOS-PROD'!AR10="SI",VLOOKUP('1.DATOS-PROD'!AR$2,'1.PUNTOS'!$A$1:$B$63,2,0),0)</f>
        <v>0</v>
      </c>
      <c r="AJ9" s="138">
        <f>IF('1.DATOS-PROD'!AS10="SI",VLOOKUP('1.DATOS-PROD'!AS$2,'1.PUNTOS'!$A$1:$B$63,2,0),0)</f>
        <v>0</v>
      </c>
      <c r="AK9" s="138">
        <f>IF('1.DATOS-PROD'!AT10="SI",VLOOKUP('1.DATOS-PROD'!AT$2,'1.PUNTOS'!$A$1:$B$63,2,0),0)</f>
        <v>3</v>
      </c>
      <c r="AL9" s="138">
        <f>IF('1.DATOS-PROD'!AU10="SI",VLOOKUP('1.DATOS-PROD'!AU$2,'1.PUNTOS'!$A$1:$B$63,2,0),0)</f>
        <v>0</v>
      </c>
      <c r="AM9" s="138">
        <f>IF('1.DATOS-PROD'!AV10="SI",VLOOKUP('1.DATOS-PROD'!AV$2,'1.PUNTOS'!$A$1:$B$63,2,0),0)</f>
        <v>0</v>
      </c>
      <c r="AN9" s="138">
        <f>IF('1.DATOS-PROD'!AW10="SI",VLOOKUP('1.DATOS-PROD'!AW$2,'1.PUNTOS'!$A$1:$B$63,2,0),0)</f>
        <v>0</v>
      </c>
      <c r="AO9" s="138">
        <f>IF('1.DATOS-PROD'!AX10="SI",VLOOKUP('1.DATOS-PROD'!AX$2,'1.PUNTOS'!$A$1:$B$63,2,0),0)</f>
        <v>0</v>
      </c>
      <c r="AP9" s="138">
        <f>IF('1.DATOS-PROD'!AY10="SI",VLOOKUP('1.DATOS-PROD'!AY$2,'1.PUNTOS'!$A$1:$B$63,2,0),0)</f>
        <v>2</v>
      </c>
      <c r="AQ9" s="138">
        <f>IF('1.DATOS-PROD'!AZ10="SI",VLOOKUP('1.DATOS-PROD'!AZ$2,'1.PUNTOS'!$A$1:$B$63,2,0),0)</f>
        <v>3</v>
      </c>
      <c r="AR9" s="138">
        <f>IF('1.DATOS-PROD'!BA10="SI",VLOOKUP('1.DATOS-PROD'!BA$2,'1.PUNTOS'!$A$1:$B$63,2,0),0)</f>
        <v>0</v>
      </c>
      <c r="AS9" s="138">
        <f>IF('1.DATOS-PROD'!BB10="SI",VLOOKUP('1.DATOS-PROD'!BB$2,'1.PUNTOS'!$A$1:$B$63,2,0),0)</f>
        <v>0</v>
      </c>
      <c r="AT9" s="138">
        <f>IF('1.DATOS-PROD'!BC10="SI",VLOOKUP('1.DATOS-PROD'!BC$2,'1.PUNTOS'!$A$1:$B$63,2,0),0)</f>
        <v>3</v>
      </c>
      <c r="AU9" s="138">
        <f>IF('1.DATOS-PROD'!BD10="SI",VLOOKUP('1.DATOS-PROD'!BD$2,'1.PUNTOS'!$A$1:$B$63,2,0),0)</f>
        <v>0</v>
      </c>
      <c r="AV9" s="138">
        <f>IF('1.DATOS-PROD'!BE10="SI",VLOOKUP('1.DATOS-PROD'!BE$2,'1.PUNTOS'!$A$1:$B$63,2,0),0)</f>
        <v>0</v>
      </c>
      <c r="AW9" s="138">
        <f>IF('1.DATOS-PROD'!BF10="SI",VLOOKUP('1.DATOS-PROD'!BF$2,'1.PUNTOS'!$A$1:$B$63,2,0),0)</f>
        <v>2</v>
      </c>
      <c r="AX9" s="138">
        <f>IF('1.DATOS-PROD'!BG10="SI",VLOOKUP('1.DATOS-PROD'!BG$2,'1.PUNTOS'!$A$1:$B$63,2,0),0)</f>
        <v>0</v>
      </c>
      <c r="AY9" s="138">
        <f>IF('1.DATOS-PROD'!BH10="SI",VLOOKUP('1.DATOS-PROD'!BH$2,'1.PUNTOS'!$A$1:$B$63,2,0),0)</f>
        <v>3</v>
      </c>
      <c r="AZ9" s="138">
        <f>IF('1.DATOS-PROD'!BI10="SI",VLOOKUP('1.DATOS-PROD'!BI$2,'1.PUNTOS'!$A$1:$B$63,2,0),0)</f>
        <v>0</v>
      </c>
      <c r="BA9" s="138">
        <f>IF('1.DATOS-PROD'!BJ10="SI",VLOOKUP('1.DATOS-PROD'!BJ$2,'1.PUNTOS'!$A$1:$B$63,2,0),0)</f>
        <v>0</v>
      </c>
      <c r="BB9" s="138">
        <f>IF('1.DATOS-PROD'!BK10="SI",VLOOKUP('1.DATOS-PROD'!BK$2,'1.PUNTOS'!$A$1:$B$63,2,0),0)</f>
        <v>1</v>
      </c>
      <c r="BC9" s="138">
        <f>IF('1.DATOS-PROD'!BL10="SI",VLOOKUP('1.DATOS-PROD'!BL$2,'1.PUNTOS'!$A$1:$B$63,2,0),0)</f>
        <v>0</v>
      </c>
      <c r="BD9" s="138">
        <f>IF('1.DATOS-PROD'!BM10="SI",VLOOKUP('1.DATOS-PROD'!BM$2,'1.PUNTOS'!$A$1:$B$63,2,0),0)</f>
        <v>4</v>
      </c>
      <c r="BE9" s="138">
        <f>IF('1.DATOS-PROD'!BN10="SI",VLOOKUP('1.DATOS-PROD'!BN$2,'1.PUNTOS'!$A$1:$B$63,2,0),0)</f>
        <v>5</v>
      </c>
      <c r="BF9" s="138">
        <f>IF('1.DATOS-PROD'!BO10="SI",VLOOKUP('1.DATOS-PROD'!BO$2,'1.PUNTOS'!$A$1:$B$63,2,0),0)</f>
        <v>0</v>
      </c>
      <c r="BG9" s="138">
        <f>IF('1.DATOS-PROD'!BP10="SI",VLOOKUP('1.DATOS-PROD'!BP$2,'1.PUNTOS'!$A$1:$B$63,2,0),0)</f>
        <v>0</v>
      </c>
      <c r="BH9" s="138">
        <f>IF('1.DATOS-PROD'!BQ10="SI",VLOOKUP('1.DATOS-PROD'!BQ$2,'1.PUNTOS'!$A$1:$B$63,2,0),0)</f>
        <v>0</v>
      </c>
      <c r="BI9" s="138">
        <f>IF('1.DATOS-PROD'!BR10="SI",VLOOKUP('1.DATOS-PROD'!BR$2,'1.PUNTOS'!$A$1:$B$63,2,0),0)</f>
        <v>0</v>
      </c>
      <c r="BJ9" s="138">
        <f>IF('1.DATOS-PROD'!BS10="SI",VLOOKUP('1.DATOS-PROD'!BS$2,'1.PUNTOS'!$A$1:$B$63,2,0),0)</f>
        <v>3</v>
      </c>
      <c r="BK9" s="138">
        <f>IF('1.DATOS-PROD'!BT10="SI",VLOOKUP('1.DATOS-PROD'!BT$2,'1.PUNTOS'!$A$1:$B$63,2,0),0)</f>
        <v>3</v>
      </c>
    </row>
    <row r="10" spans="1:63" x14ac:dyDescent="0.25">
      <c r="A10" t="str">
        <f>'0.Consolidado general'!$A11</f>
        <v>E001013021003</v>
      </c>
      <c r="B10" s="138">
        <f>IF('1.DATOS-PROD'!K11="SI",VLOOKUP('1.DATOS-PROD'!K$2,'1.PUNTOS'!$A$1:$B$63,2,0),0)</f>
        <v>0</v>
      </c>
      <c r="C10" s="138">
        <f>IF('1.DATOS-PROD'!L11="SI",VLOOKUP('1.DATOS-PROD'!L$2,'1.PUNTOS'!$A$1:$B$63,2,0),0)</f>
        <v>5</v>
      </c>
      <c r="D10" s="138">
        <f>IF('1.DATOS-PROD'!M11="SI",VLOOKUP('1.DATOS-PROD'!M$2,'1.PUNTOS'!$A$1:$B$63,2,0),0)</f>
        <v>0</v>
      </c>
      <c r="E10" s="138">
        <f>IF('1.DATOS-PROD'!N11="SI",VLOOKUP('1.DATOS-PROD'!N$2,'1.PUNTOS'!$A$1:$B$63,2,0),0)</f>
        <v>0</v>
      </c>
      <c r="F10" s="138">
        <f>IF('1.DATOS-PROD'!O11="SI",VLOOKUP('1.DATOS-PROD'!O$2,'1.PUNTOS'!$A$1:$B$63,2,0),0)</f>
        <v>0</v>
      </c>
      <c r="G10" s="138">
        <f>IF('1.DATOS-PROD'!P11="SI",VLOOKUP('1.DATOS-PROD'!P$2,'1.PUNTOS'!$A$1:$B$63,2,0),0)</f>
        <v>0</v>
      </c>
      <c r="H10" s="138">
        <f>IF('1.DATOS-PROD'!Q11="SI",VLOOKUP('1.DATOS-PROD'!Q$2,'1.PUNTOS'!$A$1:$B$63,2,0),0)</f>
        <v>0</v>
      </c>
      <c r="I10" s="138">
        <f>IF('1.DATOS-PROD'!R11="SI",VLOOKUP('1.DATOS-PROD'!R$2,'1.PUNTOS'!$A$1:$B$63,2,0),0)</f>
        <v>3</v>
      </c>
      <c r="J10" s="138">
        <f>IF('1.DATOS-PROD'!S11="SI",VLOOKUP('1.DATOS-PROD'!S$2,'1.PUNTOS'!$A$1:$B$63,2,0),0)</f>
        <v>0</v>
      </c>
      <c r="K10" s="138">
        <f>IF('1.DATOS-PROD'!T11="SI",VLOOKUP('1.DATOS-PROD'!T$2,'1.PUNTOS'!$A$1:$B$63,2,0),0)</f>
        <v>2</v>
      </c>
      <c r="L10" s="138">
        <f>IF('1.DATOS-PROD'!U11="SI",VLOOKUP('1.DATOS-PROD'!U$2,'1.PUNTOS'!$A$1:$B$63,2,0),0)</f>
        <v>1</v>
      </c>
      <c r="M10" s="138">
        <f>IF('1.DATOS-PROD'!V11="SI",VLOOKUP('1.DATOS-PROD'!V$2,'1.PUNTOS'!$A$1:$B$63,2,0),0)</f>
        <v>0</v>
      </c>
      <c r="N10" s="138">
        <f>IF('1.DATOS-PROD'!W11="SI",VLOOKUP('1.DATOS-PROD'!W$2,'1.PUNTOS'!$A$1:$B$63,2,0),0)</f>
        <v>1</v>
      </c>
      <c r="O10" s="138">
        <f>IF('1.DATOS-PROD'!X11="SI",VLOOKUP('1.DATOS-PROD'!X$2,'1.PUNTOS'!$A$1:$B$63,2,0),0)</f>
        <v>3</v>
      </c>
      <c r="P10" s="138">
        <f>IF('1.DATOS-PROD'!Y11="SI",VLOOKUP('1.DATOS-PROD'!Y$2,'1.PUNTOS'!$A$1:$B$63,2,0),0)</f>
        <v>0</v>
      </c>
      <c r="Q10" s="138">
        <f>IF('1.DATOS-PROD'!Z11="SI",VLOOKUP('1.DATOS-PROD'!Z$2,'1.PUNTOS'!$A$1:$B$63,2,0),0)</f>
        <v>0</v>
      </c>
      <c r="R10" s="138">
        <f>IF('1.DATOS-PROD'!AA11="SI",VLOOKUP('1.DATOS-PROD'!AA$2,'1.PUNTOS'!$A$1:$B$63,2,0),0)</f>
        <v>1</v>
      </c>
      <c r="S10" s="138">
        <f>IF('1.DATOS-PROD'!AB11="SI",VLOOKUP('1.DATOS-PROD'!AB$2,'1.PUNTOS'!$A$1:$B$63,2,0),0)</f>
        <v>0</v>
      </c>
      <c r="T10" s="138">
        <f>IF('1.DATOS-PROD'!AC11="SI",VLOOKUP('1.DATOS-PROD'!AC$2,'1.PUNTOS'!$A$1:$B$63,2,0),0)</f>
        <v>0</v>
      </c>
      <c r="U10" s="138">
        <f>IF('1.DATOS-PROD'!AD11="SI",VLOOKUP('1.DATOS-PROD'!AD$2,'1.PUNTOS'!$A$1:$B$63,2,0),0)</f>
        <v>5</v>
      </c>
      <c r="V10" s="138">
        <f>IF('1.DATOS-PROD'!AE11="SI",VLOOKUP('1.DATOS-PROD'!AE$2,'1.PUNTOS'!$A$1:$B$63,2,0),0)</f>
        <v>3</v>
      </c>
      <c r="W10" s="138">
        <f>IF('1.DATOS-PROD'!AF11="SI",VLOOKUP('1.DATOS-PROD'!AF$2,'1.PUNTOS'!$A$1:$B$63,2,0),0)</f>
        <v>0</v>
      </c>
      <c r="X10" s="138">
        <f>IF('1.DATOS-PROD'!AG11="SI",VLOOKUP('1.DATOS-PROD'!AG$2,'1.PUNTOS'!$A$1:$B$63,2,0),0)</f>
        <v>0</v>
      </c>
      <c r="Y10" s="138">
        <f>IF('1.DATOS-PROD'!AH11="SI",VLOOKUP('1.DATOS-PROD'!AH$2,'1.PUNTOS'!$A$1:$B$63,2,0),0)</f>
        <v>3</v>
      </c>
      <c r="Z10" s="138">
        <f>IF('1.DATOS-PROD'!AI11="SI",VLOOKUP('1.DATOS-PROD'!AI$2,'1.PUNTOS'!$A$1:$B$63,2,0),0)</f>
        <v>0</v>
      </c>
      <c r="AA10" s="138">
        <f>IF('1.DATOS-PROD'!AJ11="SI",VLOOKUP('1.DATOS-PROD'!AJ$2,'1.PUNTOS'!$A$1:$B$63,2,0),0)</f>
        <v>0</v>
      </c>
      <c r="AB10" s="138">
        <f>IF('1.DATOS-PROD'!AK11="SI",VLOOKUP('1.DATOS-PROD'!AK$2,'1.PUNTOS'!$A$1:$B$63,2,0),0)</f>
        <v>0</v>
      </c>
      <c r="AC10" s="138">
        <f>IF('1.DATOS-PROD'!AL11="SI",VLOOKUP('1.DATOS-PROD'!AL$2,'1.PUNTOS'!$A$1:$B$63,2,0),0)</f>
        <v>0</v>
      </c>
      <c r="AD10" s="138">
        <f>IF('1.DATOS-PROD'!AM11="SI",VLOOKUP('1.DATOS-PROD'!AM$2,'1.PUNTOS'!$A$1:$B$63,2,0),0)</f>
        <v>1</v>
      </c>
      <c r="AE10" s="138">
        <f>IF('1.DATOS-PROD'!AN11="SI",VLOOKUP('1.DATOS-PROD'!AN$2,'1.PUNTOS'!$A$1:$B$63,2,0),0)</f>
        <v>2</v>
      </c>
      <c r="AF10" s="138">
        <f>IF('1.DATOS-PROD'!AO11="SI",VLOOKUP('1.DATOS-PROD'!AO$2,'1.PUNTOS'!$A$1:$B$63,2,0),0)</f>
        <v>0</v>
      </c>
      <c r="AG10" s="138">
        <f>IF('1.DATOS-PROD'!AP11="SI",VLOOKUP('1.DATOS-PROD'!AP$2,'1.PUNTOS'!$A$1:$B$63,2,0),0)</f>
        <v>0</v>
      </c>
      <c r="AH10" s="138">
        <f>IF('1.DATOS-PROD'!AQ11="SI",VLOOKUP('1.DATOS-PROD'!AQ$2,'1.PUNTOS'!$A$1:$B$63,2,0),0)</f>
        <v>2</v>
      </c>
      <c r="AI10" s="138">
        <f>IF('1.DATOS-PROD'!AR11="SI",VLOOKUP('1.DATOS-PROD'!AR$2,'1.PUNTOS'!$A$1:$B$63,2,0),0)</f>
        <v>0</v>
      </c>
      <c r="AJ10" s="138">
        <f>IF('1.DATOS-PROD'!AS11="SI",VLOOKUP('1.DATOS-PROD'!AS$2,'1.PUNTOS'!$A$1:$B$63,2,0),0)</f>
        <v>1</v>
      </c>
      <c r="AK10" s="138">
        <f>IF('1.DATOS-PROD'!AT11="SI",VLOOKUP('1.DATOS-PROD'!AT$2,'1.PUNTOS'!$A$1:$B$63,2,0),0)</f>
        <v>3</v>
      </c>
      <c r="AL10" s="138">
        <f>IF('1.DATOS-PROD'!AU11="SI",VLOOKUP('1.DATOS-PROD'!AU$2,'1.PUNTOS'!$A$1:$B$63,2,0),0)</f>
        <v>4</v>
      </c>
      <c r="AM10" s="138">
        <f>IF('1.DATOS-PROD'!AV11="SI",VLOOKUP('1.DATOS-PROD'!AV$2,'1.PUNTOS'!$A$1:$B$63,2,0),0)</f>
        <v>0</v>
      </c>
      <c r="AN10" s="138">
        <f>IF('1.DATOS-PROD'!AW11="SI",VLOOKUP('1.DATOS-PROD'!AW$2,'1.PUNTOS'!$A$1:$B$63,2,0),0)</f>
        <v>0</v>
      </c>
      <c r="AO10" s="138">
        <f>IF('1.DATOS-PROD'!AX11="SI",VLOOKUP('1.DATOS-PROD'!AX$2,'1.PUNTOS'!$A$1:$B$63,2,0),0)</f>
        <v>3</v>
      </c>
      <c r="AP10" s="138">
        <f>IF('1.DATOS-PROD'!AY11="SI",VLOOKUP('1.DATOS-PROD'!AY$2,'1.PUNTOS'!$A$1:$B$63,2,0),0)</f>
        <v>2</v>
      </c>
      <c r="AQ10" s="138">
        <f>IF('1.DATOS-PROD'!AZ11="SI",VLOOKUP('1.DATOS-PROD'!AZ$2,'1.PUNTOS'!$A$1:$B$63,2,0),0)</f>
        <v>3</v>
      </c>
      <c r="AR10" s="138">
        <f>IF('1.DATOS-PROD'!BA11="SI",VLOOKUP('1.DATOS-PROD'!BA$2,'1.PUNTOS'!$A$1:$B$63,2,0),0)</f>
        <v>3</v>
      </c>
      <c r="AS10" s="138">
        <f>IF('1.DATOS-PROD'!BB11="SI",VLOOKUP('1.DATOS-PROD'!BB$2,'1.PUNTOS'!$A$1:$B$63,2,0),0)</f>
        <v>3</v>
      </c>
      <c r="AT10" s="138">
        <f>IF('1.DATOS-PROD'!BC11="SI",VLOOKUP('1.DATOS-PROD'!BC$2,'1.PUNTOS'!$A$1:$B$63,2,0),0)</f>
        <v>3</v>
      </c>
      <c r="AU10" s="138">
        <f>IF('1.DATOS-PROD'!BD11="SI",VLOOKUP('1.DATOS-PROD'!BD$2,'1.PUNTOS'!$A$1:$B$63,2,0),0)</f>
        <v>2</v>
      </c>
      <c r="AV10" s="138">
        <f>IF('1.DATOS-PROD'!BE11="SI",VLOOKUP('1.DATOS-PROD'!BE$2,'1.PUNTOS'!$A$1:$B$63,2,0),0)</f>
        <v>0</v>
      </c>
      <c r="AW10" s="138">
        <f>IF('1.DATOS-PROD'!BF11="SI",VLOOKUP('1.DATOS-PROD'!BF$2,'1.PUNTOS'!$A$1:$B$63,2,0),0)</f>
        <v>2</v>
      </c>
      <c r="AX10" s="138">
        <f>IF('1.DATOS-PROD'!BG11="SI",VLOOKUP('1.DATOS-PROD'!BG$2,'1.PUNTOS'!$A$1:$B$63,2,0),0)</f>
        <v>0</v>
      </c>
      <c r="AY10" s="138">
        <f>IF('1.DATOS-PROD'!BH11="SI",VLOOKUP('1.DATOS-PROD'!BH$2,'1.PUNTOS'!$A$1:$B$63,2,0),0)</f>
        <v>3</v>
      </c>
      <c r="AZ10" s="138">
        <f>IF('1.DATOS-PROD'!BI11="SI",VLOOKUP('1.DATOS-PROD'!BI$2,'1.PUNTOS'!$A$1:$B$63,2,0),0)</f>
        <v>0</v>
      </c>
      <c r="BA10" s="138">
        <f>IF('1.DATOS-PROD'!BJ11="SI",VLOOKUP('1.DATOS-PROD'!BJ$2,'1.PUNTOS'!$A$1:$B$63,2,0),0)</f>
        <v>2</v>
      </c>
      <c r="BB10" s="138">
        <f>IF('1.DATOS-PROD'!BK11="SI",VLOOKUP('1.DATOS-PROD'!BK$2,'1.PUNTOS'!$A$1:$B$63,2,0),0)</f>
        <v>1</v>
      </c>
      <c r="BC10" s="138">
        <f>IF('1.DATOS-PROD'!BL11="SI",VLOOKUP('1.DATOS-PROD'!BL$2,'1.PUNTOS'!$A$1:$B$63,2,0),0)</f>
        <v>0</v>
      </c>
      <c r="BD10" s="138">
        <f>IF('1.DATOS-PROD'!BM11="SI",VLOOKUP('1.DATOS-PROD'!BM$2,'1.PUNTOS'!$A$1:$B$63,2,0),0)</f>
        <v>4</v>
      </c>
      <c r="BE10" s="138">
        <f>IF('1.DATOS-PROD'!BN11="SI",VLOOKUP('1.DATOS-PROD'!BN$2,'1.PUNTOS'!$A$1:$B$63,2,0),0)</f>
        <v>5</v>
      </c>
      <c r="BF10" s="138">
        <f>IF('1.DATOS-PROD'!BO11="SI",VLOOKUP('1.DATOS-PROD'!BO$2,'1.PUNTOS'!$A$1:$B$63,2,0),0)</f>
        <v>0</v>
      </c>
      <c r="BG10" s="138">
        <f>IF('1.DATOS-PROD'!BP11="SI",VLOOKUP('1.DATOS-PROD'!BP$2,'1.PUNTOS'!$A$1:$B$63,2,0),0)</f>
        <v>3</v>
      </c>
      <c r="BH10" s="138">
        <f>IF('1.DATOS-PROD'!BQ11="SI",VLOOKUP('1.DATOS-PROD'!BQ$2,'1.PUNTOS'!$A$1:$B$63,2,0),0)</f>
        <v>2</v>
      </c>
      <c r="BI10" s="138">
        <f>IF('1.DATOS-PROD'!BR11="SI",VLOOKUP('1.DATOS-PROD'!BR$2,'1.PUNTOS'!$A$1:$B$63,2,0),0)</f>
        <v>3</v>
      </c>
      <c r="BJ10" s="138">
        <f>IF('1.DATOS-PROD'!BS11="SI",VLOOKUP('1.DATOS-PROD'!BS$2,'1.PUNTOS'!$A$1:$B$63,2,0),0)</f>
        <v>0</v>
      </c>
      <c r="BK10" s="138">
        <f>IF('1.DATOS-PROD'!BT11="SI",VLOOKUP('1.DATOS-PROD'!BT$2,'1.PUNTOS'!$A$1:$B$63,2,0),0)</f>
        <v>0</v>
      </c>
    </row>
    <row r="11" spans="1:63" x14ac:dyDescent="0.25">
      <c r="A11" t="str">
        <f>'0.Consolidado general'!$A12</f>
        <v>E001013021004</v>
      </c>
      <c r="B11" s="138">
        <f>IF('1.DATOS-PROD'!K12="SI",VLOOKUP('1.DATOS-PROD'!K$2,'1.PUNTOS'!$A$1:$B$63,2,0),0)</f>
        <v>0</v>
      </c>
      <c r="C11" s="138">
        <f>IF('1.DATOS-PROD'!L12="SI",VLOOKUP('1.DATOS-PROD'!L$2,'1.PUNTOS'!$A$1:$B$63,2,0),0)</f>
        <v>5</v>
      </c>
      <c r="D11" s="138">
        <f>IF('1.DATOS-PROD'!M12="SI",VLOOKUP('1.DATOS-PROD'!M$2,'1.PUNTOS'!$A$1:$B$63,2,0),0)</f>
        <v>0</v>
      </c>
      <c r="E11" s="138">
        <f>IF('1.DATOS-PROD'!N12="SI",VLOOKUP('1.DATOS-PROD'!N$2,'1.PUNTOS'!$A$1:$B$63,2,0),0)</f>
        <v>0</v>
      </c>
      <c r="F11" s="138">
        <f>IF('1.DATOS-PROD'!O12="SI",VLOOKUP('1.DATOS-PROD'!O$2,'1.PUNTOS'!$A$1:$B$63,2,0),0)</f>
        <v>2</v>
      </c>
      <c r="G11" s="138">
        <f>IF('1.DATOS-PROD'!P12="SI",VLOOKUP('1.DATOS-PROD'!P$2,'1.PUNTOS'!$A$1:$B$63,2,0),0)</f>
        <v>3</v>
      </c>
      <c r="H11" s="138">
        <f>IF('1.DATOS-PROD'!Q12="SI",VLOOKUP('1.DATOS-PROD'!Q$2,'1.PUNTOS'!$A$1:$B$63,2,0),0)</f>
        <v>3</v>
      </c>
      <c r="I11" s="138">
        <f>IF('1.DATOS-PROD'!R12="SI",VLOOKUP('1.DATOS-PROD'!R$2,'1.PUNTOS'!$A$1:$B$63,2,0),0)</f>
        <v>3</v>
      </c>
      <c r="J11" s="138">
        <f>IF('1.DATOS-PROD'!S12="SI",VLOOKUP('1.DATOS-PROD'!S$2,'1.PUNTOS'!$A$1:$B$63,2,0),0)</f>
        <v>0</v>
      </c>
      <c r="K11" s="138">
        <f>IF('1.DATOS-PROD'!T12="SI",VLOOKUP('1.DATOS-PROD'!T$2,'1.PUNTOS'!$A$1:$B$63,2,0),0)</f>
        <v>2</v>
      </c>
      <c r="L11" s="138">
        <f>IF('1.DATOS-PROD'!U12="SI",VLOOKUP('1.DATOS-PROD'!U$2,'1.PUNTOS'!$A$1:$B$63,2,0),0)</f>
        <v>1</v>
      </c>
      <c r="M11" s="138">
        <f>IF('1.DATOS-PROD'!V12="SI",VLOOKUP('1.DATOS-PROD'!V$2,'1.PUNTOS'!$A$1:$B$63,2,0),0)</f>
        <v>0</v>
      </c>
      <c r="N11" s="138">
        <f>IF('1.DATOS-PROD'!W12="SI",VLOOKUP('1.DATOS-PROD'!W$2,'1.PUNTOS'!$A$1:$B$63,2,0),0)</f>
        <v>1</v>
      </c>
      <c r="O11" s="138">
        <f>IF('1.DATOS-PROD'!X12="SI",VLOOKUP('1.DATOS-PROD'!X$2,'1.PUNTOS'!$A$1:$B$63,2,0),0)</f>
        <v>3</v>
      </c>
      <c r="P11" s="138">
        <f>IF('1.DATOS-PROD'!Y12="SI",VLOOKUP('1.DATOS-PROD'!Y$2,'1.PUNTOS'!$A$1:$B$63,2,0),0)</f>
        <v>0</v>
      </c>
      <c r="Q11" s="138">
        <f>IF('1.DATOS-PROD'!Z12="SI",VLOOKUP('1.DATOS-PROD'!Z$2,'1.PUNTOS'!$A$1:$B$63,2,0),0)</f>
        <v>2</v>
      </c>
      <c r="R11" s="138">
        <f>IF('1.DATOS-PROD'!AA12="SI",VLOOKUP('1.DATOS-PROD'!AA$2,'1.PUNTOS'!$A$1:$B$63,2,0),0)</f>
        <v>1</v>
      </c>
      <c r="S11" s="138">
        <f>IF('1.DATOS-PROD'!AB12="SI",VLOOKUP('1.DATOS-PROD'!AB$2,'1.PUNTOS'!$A$1:$B$63,2,0),0)</f>
        <v>3</v>
      </c>
      <c r="T11" s="138">
        <f>IF('1.DATOS-PROD'!AC12="SI",VLOOKUP('1.DATOS-PROD'!AC$2,'1.PUNTOS'!$A$1:$B$63,2,0),0)</f>
        <v>4</v>
      </c>
      <c r="U11" s="138">
        <f>IF('1.DATOS-PROD'!AD12="SI",VLOOKUP('1.DATOS-PROD'!AD$2,'1.PUNTOS'!$A$1:$B$63,2,0),0)</f>
        <v>0</v>
      </c>
      <c r="V11" s="138">
        <f>IF('1.DATOS-PROD'!AE12="SI",VLOOKUP('1.DATOS-PROD'!AE$2,'1.PUNTOS'!$A$1:$B$63,2,0),0)</f>
        <v>3</v>
      </c>
      <c r="W11" s="138">
        <f>IF('1.DATOS-PROD'!AF12="SI",VLOOKUP('1.DATOS-PROD'!AF$2,'1.PUNTOS'!$A$1:$B$63,2,0),0)</f>
        <v>0</v>
      </c>
      <c r="X11" s="138">
        <f>IF('1.DATOS-PROD'!AG12="SI",VLOOKUP('1.DATOS-PROD'!AG$2,'1.PUNTOS'!$A$1:$B$63,2,0),0)</f>
        <v>0</v>
      </c>
      <c r="Y11" s="138">
        <f>IF('1.DATOS-PROD'!AH12="SI",VLOOKUP('1.DATOS-PROD'!AH$2,'1.PUNTOS'!$A$1:$B$63,2,0),0)</f>
        <v>3</v>
      </c>
      <c r="Z11" s="138">
        <f>IF('1.DATOS-PROD'!AI12="SI",VLOOKUP('1.DATOS-PROD'!AI$2,'1.PUNTOS'!$A$1:$B$63,2,0),0)</f>
        <v>0</v>
      </c>
      <c r="AA11" s="138">
        <f>IF('1.DATOS-PROD'!AJ12="SI",VLOOKUP('1.DATOS-PROD'!AJ$2,'1.PUNTOS'!$A$1:$B$63,2,0),0)</f>
        <v>0</v>
      </c>
      <c r="AB11" s="138">
        <f>IF('1.DATOS-PROD'!AK12="SI",VLOOKUP('1.DATOS-PROD'!AK$2,'1.PUNTOS'!$A$1:$B$63,2,0),0)</f>
        <v>0</v>
      </c>
      <c r="AC11" s="138">
        <f>IF('1.DATOS-PROD'!AL12="SI",VLOOKUP('1.DATOS-PROD'!AL$2,'1.PUNTOS'!$A$1:$B$63,2,0),0)</f>
        <v>0</v>
      </c>
      <c r="AD11" s="138">
        <f>IF('1.DATOS-PROD'!AM12="SI",VLOOKUP('1.DATOS-PROD'!AM$2,'1.PUNTOS'!$A$1:$B$63,2,0),0)</f>
        <v>1</v>
      </c>
      <c r="AE11" s="138">
        <f>IF('1.DATOS-PROD'!AN12="SI",VLOOKUP('1.DATOS-PROD'!AN$2,'1.PUNTOS'!$A$1:$B$63,2,0),0)</f>
        <v>2</v>
      </c>
      <c r="AF11" s="138">
        <f>IF('1.DATOS-PROD'!AO12="SI",VLOOKUP('1.DATOS-PROD'!AO$2,'1.PUNTOS'!$A$1:$B$63,2,0),0)</f>
        <v>0</v>
      </c>
      <c r="AG11" s="138">
        <f>IF('1.DATOS-PROD'!AP12="SI",VLOOKUP('1.DATOS-PROD'!AP$2,'1.PUNTOS'!$A$1:$B$63,2,0),0)</f>
        <v>0</v>
      </c>
      <c r="AH11" s="138">
        <f>IF('1.DATOS-PROD'!AQ12="SI",VLOOKUP('1.DATOS-PROD'!AQ$2,'1.PUNTOS'!$A$1:$B$63,2,0),0)</f>
        <v>2</v>
      </c>
      <c r="AI11" s="138">
        <f>IF('1.DATOS-PROD'!AR12="SI",VLOOKUP('1.DATOS-PROD'!AR$2,'1.PUNTOS'!$A$1:$B$63,2,0),0)</f>
        <v>0</v>
      </c>
      <c r="AJ11" s="138">
        <f>IF('1.DATOS-PROD'!AS12="SI",VLOOKUP('1.DATOS-PROD'!AS$2,'1.PUNTOS'!$A$1:$B$63,2,0),0)</f>
        <v>1</v>
      </c>
      <c r="AK11" s="138">
        <f>IF('1.DATOS-PROD'!AT12="SI",VLOOKUP('1.DATOS-PROD'!AT$2,'1.PUNTOS'!$A$1:$B$63,2,0),0)</f>
        <v>3</v>
      </c>
      <c r="AL11" s="138">
        <f>IF('1.DATOS-PROD'!AU12="SI",VLOOKUP('1.DATOS-PROD'!AU$2,'1.PUNTOS'!$A$1:$B$63,2,0),0)</f>
        <v>4</v>
      </c>
      <c r="AM11" s="138">
        <f>IF('1.DATOS-PROD'!AV12="SI",VLOOKUP('1.DATOS-PROD'!AV$2,'1.PUNTOS'!$A$1:$B$63,2,0),0)</f>
        <v>0</v>
      </c>
      <c r="AN11" s="138">
        <f>IF('1.DATOS-PROD'!AW12="SI",VLOOKUP('1.DATOS-PROD'!AW$2,'1.PUNTOS'!$A$1:$B$63,2,0),0)</f>
        <v>0</v>
      </c>
      <c r="AO11" s="138">
        <f>IF('1.DATOS-PROD'!AX12="SI",VLOOKUP('1.DATOS-PROD'!AX$2,'1.PUNTOS'!$A$1:$B$63,2,0),0)</f>
        <v>3</v>
      </c>
      <c r="AP11" s="138">
        <f>IF('1.DATOS-PROD'!AY12="SI",VLOOKUP('1.DATOS-PROD'!AY$2,'1.PUNTOS'!$A$1:$B$63,2,0),0)</f>
        <v>2</v>
      </c>
      <c r="AQ11" s="138">
        <f>IF('1.DATOS-PROD'!AZ12="SI",VLOOKUP('1.DATOS-PROD'!AZ$2,'1.PUNTOS'!$A$1:$B$63,2,0),0)</f>
        <v>3</v>
      </c>
      <c r="AR11" s="138">
        <f>IF('1.DATOS-PROD'!BA12="SI",VLOOKUP('1.DATOS-PROD'!BA$2,'1.PUNTOS'!$A$1:$B$63,2,0),0)</f>
        <v>3</v>
      </c>
      <c r="AS11" s="138">
        <f>IF('1.DATOS-PROD'!BB12="SI",VLOOKUP('1.DATOS-PROD'!BB$2,'1.PUNTOS'!$A$1:$B$63,2,0),0)</f>
        <v>3</v>
      </c>
      <c r="AT11" s="138">
        <f>IF('1.DATOS-PROD'!BC12="SI",VLOOKUP('1.DATOS-PROD'!BC$2,'1.PUNTOS'!$A$1:$B$63,2,0),0)</f>
        <v>3</v>
      </c>
      <c r="AU11" s="138">
        <f>IF('1.DATOS-PROD'!BD12="SI",VLOOKUP('1.DATOS-PROD'!BD$2,'1.PUNTOS'!$A$1:$B$63,2,0),0)</f>
        <v>2</v>
      </c>
      <c r="AV11" s="138">
        <f>IF('1.DATOS-PROD'!BE12="SI",VLOOKUP('1.DATOS-PROD'!BE$2,'1.PUNTOS'!$A$1:$B$63,2,0),0)</f>
        <v>0</v>
      </c>
      <c r="AW11" s="138">
        <f>IF('1.DATOS-PROD'!BF12="SI",VLOOKUP('1.DATOS-PROD'!BF$2,'1.PUNTOS'!$A$1:$B$63,2,0),0)</f>
        <v>2</v>
      </c>
      <c r="AX11" s="138">
        <f>IF('1.DATOS-PROD'!BG12="SI",VLOOKUP('1.DATOS-PROD'!BG$2,'1.PUNTOS'!$A$1:$B$63,2,0),0)</f>
        <v>0</v>
      </c>
      <c r="AY11" s="138">
        <f>IF('1.DATOS-PROD'!BH12="SI",VLOOKUP('1.DATOS-PROD'!BH$2,'1.PUNTOS'!$A$1:$B$63,2,0),0)</f>
        <v>3</v>
      </c>
      <c r="AZ11" s="138">
        <f>IF('1.DATOS-PROD'!BI12="SI",VLOOKUP('1.DATOS-PROD'!BI$2,'1.PUNTOS'!$A$1:$B$63,2,0),0)</f>
        <v>0</v>
      </c>
      <c r="BA11" s="138">
        <f>IF('1.DATOS-PROD'!BJ12="SI",VLOOKUP('1.DATOS-PROD'!BJ$2,'1.PUNTOS'!$A$1:$B$63,2,0),0)</f>
        <v>2</v>
      </c>
      <c r="BB11" s="138">
        <f>IF('1.DATOS-PROD'!BK12="SI",VLOOKUP('1.DATOS-PROD'!BK$2,'1.PUNTOS'!$A$1:$B$63,2,0),0)</f>
        <v>1</v>
      </c>
      <c r="BC11" s="138">
        <f>IF('1.DATOS-PROD'!BL12="SI",VLOOKUP('1.DATOS-PROD'!BL$2,'1.PUNTOS'!$A$1:$B$63,2,0),0)</f>
        <v>0</v>
      </c>
      <c r="BD11" s="138">
        <f>IF('1.DATOS-PROD'!BM12="SI",VLOOKUP('1.DATOS-PROD'!BM$2,'1.PUNTOS'!$A$1:$B$63,2,0),0)</f>
        <v>4</v>
      </c>
      <c r="BE11" s="138">
        <f>IF('1.DATOS-PROD'!BN12="SI",VLOOKUP('1.DATOS-PROD'!BN$2,'1.PUNTOS'!$A$1:$B$63,2,0),0)</f>
        <v>5</v>
      </c>
      <c r="BF11" s="138">
        <f>IF('1.DATOS-PROD'!BO12="SI",VLOOKUP('1.DATOS-PROD'!BO$2,'1.PUNTOS'!$A$1:$B$63,2,0),0)</f>
        <v>0</v>
      </c>
      <c r="BG11" s="138">
        <f>IF('1.DATOS-PROD'!BP12="SI",VLOOKUP('1.DATOS-PROD'!BP$2,'1.PUNTOS'!$A$1:$B$63,2,0),0)</f>
        <v>3</v>
      </c>
      <c r="BH11" s="138">
        <f>IF('1.DATOS-PROD'!BQ12="SI",VLOOKUP('1.DATOS-PROD'!BQ$2,'1.PUNTOS'!$A$1:$B$63,2,0),0)</f>
        <v>2</v>
      </c>
      <c r="BI11" s="138">
        <f>IF('1.DATOS-PROD'!BR12="SI",VLOOKUP('1.DATOS-PROD'!BR$2,'1.PUNTOS'!$A$1:$B$63,2,0),0)</f>
        <v>3</v>
      </c>
      <c r="BJ11" s="138">
        <f>IF('1.DATOS-PROD'!BS12="SI",VLOOKUP('1.DATOS-PROD'!BS$2,'1.PUNTOS'!$A$1:$B$63,2,0),0)</f>
        <v>0</v>
      </c>
      <c r="BK11" s="138">
        <f>IF('1.DATOS-PROD'!BT12="SI",VLOOKUP('1.DATOS-PROD'!BT$2,'1.PUNTOS'!$A$1:$B$63,2,0),0)</f>
        <v>0</v>
      </c>
    </row>
    <row r="12" spans="1:63" x14ac:dyDescent="0.25">
      <c r="A12" t="str">
        <f>'0.Consolidado general'!$A13</f>
        <v>E001010021001</v>
      </c>
      <c r="B12" s="138">
        <f>IF('1.DATOS-PROD'!K13="SI",VLOOKUP('1.DATOS-PROD'!K$2,'1.PUNTOS'!$A$1:$B$63,2,0),0)</f>
        <v>0</v>
      </c>
      <c r="C12" s="138">
        <f>IF('1.DATOS-PROD'!L13="SI",VLOOKUP('1.DATOS-PROD'!L$2,'1.PUNTOS'!$A$1:$B$63,2,0),0)</f>
        <v>0</v>
      </c>
      <c r="D12" s="138">
        <f>IF('1.DATOS-PROD'!M13="SI",VLOOKUP('1.DATOS-PROD'!M$2,'1.PUNTOS'!$A$1:$B$63,2,0),0)</f>
        <v>3</v>
      </c>
      <c r="E12" s="138">
        <f>IF('1.DATOS-PROD'!N13="SI",VLOOKUP('1.DATOS-PROD'!N$2,'1.PUNTOS'!$A$1:$B$63,2,0),0)</f>
        <v>0</v>
      </c>
      <c r="F12" s="138">
        <f>IF('1.DATOS-PROD'!O13="SI",VLOOKUP('1.DATOS-PROD'!O$2,'1.PUNTOS'!$A$1:$B$63,2,0),0)</f>
        <v>2</v>
      </c>
      <c r="G12" s="138">
        <f>IF('1.DATOS-PROD'!P13="SI",VLOOKUP('1.DATOS-PROD'!P$2,'1.PUNTOS'!$A$1:$B$63,2,0),0)</f>
        <v>3</v>
      </c>
      <c r="H12" s="138">
        <f>IF('1.DATOS-PROD'!Q13="SI",VLOOKUP('1.DATOS-PROD'!Q$2,'1.PUNTOS'!$A$1:$B$63,2,0),0)</f>
        <v>3</v>
      </c>
      <c r="I12" s="138">
        <f>IF('1.DATOS-PROD'!R13="SI",VLOOKUP('1.DATOS-PROD'!R$2,'1.PUNTOS'!$A$1:$B$63,2,0),0)</f>
        <v>3</v>
      </c>
      <c r="J12" s="138">
        <f>IF('1.DATOS-PROD'!S13="SI",VLOOKUP('1.DATOS-PROD'!S$2,'1.PUNTOS'!$A$1:$B$63,2,0),0)</f>
        <v>3</v>
      </c>
      <c r="K12" s="138">
        <f>IF('1.DATOS-PROD'!T13="SI",VLOOKUP('1.DATOS-PROD'!T$2,'1.PUNTOS'!$A$1:$B$63,2,0),0)</f>
        <v>0</v>
      </c>
      <c r="L12" s="138">
        <f>IF('1.DATOS-PROD'!U13="SI",VLOOKUP('1.DATOS-PROD'!U$2,'1.PUNTOS'!$A$1:$B$63,2,0),0)</f>
        <v>0</v>
      </c>
      <c r="M12" s="138">
        <f>IF('1.DATOS-PROD'!V13="SI",VLOOKUP('1.DATOS-PROD'!V$2,'1.PUNTOS'!$A$1:$B$63,2,0),0)</f>
        <v>0</v>
      </c>
      <c r="N12" s="138">
        <f>IF('1.DATOS-PROD'!W13="SI",VLOOKUP('1.DATOS-PROD'!W$2,'1.PUNTOS'!$A$1:$B$63,2,0),0)</f>
        <v>1</v>
      </c>
      <c r="O12" s="138">
        <f>IF('1.DATOS-PROD'!X13="SI",VLOOKUP('1.DATOS-PROD'!X$2,'1.PUNTOS'!$A$1:$B$63,2,0),0)</f>
        <v>3</v>
      </c>
      <c r="P12" s="138">
        <f>IF('1.DATOS-PROD'!Y13="SI",VLOOKUP('1.DATOS-PROD'!Y$2,'1.PUNTOS'!$A$1:$B$63,2,0),0)</f>
        <v>0</v>
      </c>
      <c r="Q12" s="138">
        <f>IF('1.DATOS-PROD'!Z13="SI",VLOOKUP('1.DATOS-PROD'!Z$2,'1.PUNTOS'!$A$1:$B$63,2,0),0)</f>
        <v>2</v>
      </c>
      <c r="R12" s="138">
        <f>IF('1.DATOS-PROD'!AA13="SI",VLOOKUP('1.DATOS-PROD'!AA$2,'1.PUNTOS'!$A$1:$B$63,2,0),0)</f>
        <v>1</v>
      </c>
      <c r="S12" s="138">
        <f>IF('1.DATOS-PROD'!AB13="SI",VLOOKUP('1.DATOS-PROD'!AB$2,'1.PUNTOS'!$A$1:$B$63,2,0),0)</f>
        <v>0</v>
      </c>
      <c r="T12" s="138">
        <f>IF('1.DATOS-PROD'!AC13="SI",VLOOKUP('1.DATOS-PROD'!AC$2,'1.PUNTOS'!$A$1:$B$63,2,0),0)</f>
        <v>4</v>
      </c>
      <c r="U12" s="138">
        <f>IF('1.DATOS-PROD'!AD13="SI",VLOOKUP('1.DATOS-PROD'!AD$2,'1.PUNTOS'!$A$1:$B$63,2,0),0)</f>
        <v>0</v>
      </c>
      <c r="V12" s="138">
        <f>IF('1.DATOS-PROD'!AE13="SI",VLOOKUP('1.DATOS-PROD'!AE$2,'1.PUNTOS'!$A$1:$B$63,2,0),0)</f>
        <v>0</v>
      </c>
      <c r="W12" s="138">
        <f>IF('1.DATOS-PROD'!AF13="SI",VLOOKUP('1.DATOS-PROD'!AF$2,'1.PUNTOS'!$A$1:$B$63,2,0),0)</f>
        <v>0</v>
      </c>
      <c r="X12" s="138">
        <f>IF('1.DATOS-PROD'!AG13="SI",VLOOKUP('1.DATOS-PROD'!AG$2,'1.PUNTOS'!$A$1:$B$63,2,0),0)</f>
        <v>0</v>
      </c>
      <c r="Y12" s="138">
        <f>IF('1.DATOS-PROD'!AH13="SI",VLOOKUP('1.DATOS-PROD'!AH$2,'1.PUNTOS'!$A$1:$B$63,2,0),0)</f>
        <v>0</v>
      </c>
      <c r="Z12" s="138">
        <f>IF('1.DATOS-PROD'!AI13="SI",VLOOKUP('1.DATOS-PROD'!AI$2,'1.PUNTOS'!$A$1:$B$63,2,0),0)</f>
        <v>3</v>
      </c>
      <c r="AA12" s="138">
        <f>IF('1.DATOS-PROD'!AJ13="SI",VLOOKUP('1.DATOS-PROD'!AJ$2,'1.PUNTOS'!$A$1:$B$63,2,0),0)</f>
        <v>3</v>
      </c>
      <c r="AB12" s="138">
        <f>IF('1.DATOS-PROD'!AK13="SI",VLOOKUP('1.DATOS-PROD'!AK$2,'1.PUNTOS'!$A$1:$B$63,2,0),0)</f>
        <v>3</v>
      </c>
      <c r="AC12" s="138">
        <f>IF('1.DATOS-PROD'!AL13="SI",VLOOKUP('1.DATOS-PROD'!AL$2,'1.PUNTOS'!$A$1:$B$63,2,0),0)</f>
        <v>2</v>
      </c>
      <c r="AD12" s="138">
        <f>IF('1.DATOS-PROD'!AM13="SI",VLOOKUP('1.DATOS-PROD'!AM$2,'1.PUNTOS'!$A$1:$B$63,2,0),0)</f>
        <v>1</v>
      </c>
      <c r="AE12" s="138">
        <f>IF('1.DATOS-PROD'!AN13="SI",VLOOKUP('1.DATOS-PROD'!AN$2,'1.PUNTOS'!$A$1:$B$63,2,0),0)</f>
        <v>2</v>
      </c>
      <c r="AF12" s="138">
        <f>IF('1.DATOS-PROD'!AO13="SI",VLOOKUP('1.DATOS-PROD'!AO$2,'1.PUNTOS'!$A$1:$B$63,2,0),0)</f>
        <v>0</v>
      </c>
      <c r="AG12" s="138">
        <f>IF('1.DATOS-PROD'!AP13="SI",VLOOKUP('1.DATOS-PROD'!AP$2,'1.PUNTOS'!$A$1:$B$63,2,0),0)</f>
        <v>3</v>
      </c>
      <c r="AH12" s="138">
        <f>IF('1.DATOS-PROD'!AQ13="SI",VLOOKUP('1.DATOS-PROD'!AQ$2,'1.PUNTOS'!$A$1:$B$63,2,0),0)</f>
        <v>2</v>
      </c>
      <c r="AI12" s="138">
        <f>IF('1.DATOS-PROD'!AR13="SI",VLOOKUP('1.DATOS-PROD'!AR$2,'1.PUNTOS'!$A$1:$B$63,2,0),0)</f>
        <v>0</v>
      </c>
      <c r="AJ12" s="138">
        <f>IF('1.DATOS-PROD'!AS13="SI",VLOOKUP('1.DATOS-PROD'!AS$2,'1.PUNTOS'!$A$1:$B$63,2,0),0)</f>
        <v>0</v>
      </c>
      <c r="AK12" s="138">
        <f>IF('1.DATOS-PROD'!AT13="SI",VLOOKUP('1.DATOS-PROD'!AT$2,'1.PUNTOS'!$A$1:$B$63,2,0),0)</f>
        <v>3</v>
      </c>
      <c r="AL12" s="138">
        <f>IF('1.DATOS-PROD'!AU13="SI",VLOOKUP('1.DATOS-PROD'!AU$2,'1.PUNTOS'!$A$1:$B$63,2,0),0)</f>
        <v>0</v>
      </c>
      <c r="AM12" s="138">
        <f>IF('1.DATOS-PROD'!AV13="SI",VLOOKUP('1.DATOS-PROD'!AV$2,'1.PUNTOS'!$A$1:$B$63,2,0),0)</f>
        <v>0</v>
      </c>
      <c r="AN12" s="138">
        <f>IF('1.DATOS-PROD'!AW13="SI",VLOOKUP('1.DATOS-PROD'!AW$2,'1.PUNTOS'!$A$1:$B$63,2,0),0)</f>
        <v>0</v>
      </c>
      <c r="AO12" s="138">
        <f>IF('1.DATOS-PROD'!AX13="SI",VLOOKUP('1.DATOS-PROD'!AX$2,'1.PUNTOS'!$A$1:$B$63,2,0),0)</f>
        <v>0</v>
      </c>
      <c r="AP12" s="138">
        <f>IF('1.DATOS-PROD'!AY13="SI",VLOOKUP('1.DATOS-PROD'!AY$2,'1.PUNTOS'!$A$1:$B$63,2,0),0)</f>
        <v>2</v>
      </c>
      <c r="AQ12" s="138">
        <f>IF('1.DATOS-PROD'!AZ13="SI",VLOOKUP('1.DATOS-PROD'!AZ$2,'1.PUNTOS'!$A$1:$B$63,2,0),0)</f>
        <v>0</v>
      </c>
      <c r="AR12" s="138">
        <f>IF('1.DATOS-PROD'!BA13="SI",VLOOKUP('1.DATOS-PROD'!BA$2,'1.PUNTOS'!$A$1:$B$63,2,0),0)</f>
        <v>3</v>
      </c>
      <c r="AS12" s="138">
        <f>IF('1.DATOS-PROD'!BB13="SI",VLOOKUP('1.DATOS-PROD'!BB$2,'1.PUNTOS'!$A$1:$B$63,2,0),0)</f>
        <v>3</v>
      </c>
      <c r="AT12" s="138">
        <f>IF('1.DATOS-PROD'!BC13="SI",VLOOKUP('1.DATOS-PROD'!BC$2,'1.PUNTOS'!$A$1:$B$63,2,0),0)</f>
        <v>3</v>
      </c>
      <c r="AU12" s="138">
        <f>IF('1.DATOS-PROD'!BD13="SI",VLOOKUP('1.DATOS-PROD'!BD$2,'1.PUNTOS'!$A$1:$B$63,2,0),0)</f>
        <v>0</v>
      </c>
      <c r="AV12" s="138">
        <f>IF('1.DATOS-PROD'!BE13="SI",VLOOKUP('1.DATOS-PROD'!BE$2,'1.PUNTOS'!$A$1:$B$63,2,0),0)</f>
        <v>1</v>
      </c>
      <c r="AW12" s="138">
        <f>IF('1.DATOS-PROD'!BF13="SI",VLOOKUP('1.DATOS-PROD'!BF$2,'1.PUNTOS'!$A$1:$B$63,2,0),0)</f>
        <v>0</v>
      </c>
      <c r="AX12" s="138">
        <f>IF('1.DATOS-PROD'!BG13="SI",VLOOKUP('1.DATOS-PROD'!BG$2,'1.PUNTOS'!$A$1:$B$63,2,0),0)</f>
        <v>0</v>
      </c>
      <c r="AY12" s="138">
        <f>IF('1.DATOS-PROD'!BH13="SI",VLOOKUP('1.DATOS-PROD'!BH$2,'1.PUNTOS'!$A$1:$B$63,2,0),0)</f>
        <v>0</v>
      </c>
      <c r="AZ12" s="138">
        <f>IF('1.DATOS-PROD'!BI13="SI",VLOOKUP('1.DATOS-PROD'!BI$2,'1.PUNTOS'!$A$1:$B$63,2,0),0)</f>
        <v>0</v>
      </c>
      <c r="BA12" s="138">
        <f>IF('1.DATOS-PROD'!BJ13="SI",VLOOKUP('1.DATOS-PROD'!BJ$2,'1.PUNTOS'!$A$1:$B$63,2,0),0)</f>
        <v>2</v>
      </c>
      <c r="BB12" s="138">
        <f>IF('1.DATOS-PROD'!BK13="SI",VLOOKUP('1.DATOS-PROD'!BK$2,'1.PUNTOS'!$A$1:$B$63,2,0),0)</f>
        <v>0</v>
      </c>
      <c r="BC12" s="138">
        <f>IF('1.DATOS-PROD'!BL13="SI",VLOOKUP('1.DATOS-PROD'!BL$2,'1.PUNTOS'!$A$1:$B$63,2,0),0)</f>
        <v>3</v>
      </c>
      <c r="BD12" s="138">
        <f>IF('1.DATOS-PROD'!BM13="SI",VLOOKUP('1.DATOS-PROD'!BM$2,'1.PUNTOS'!$A$1:$B$63,2,0),0)</f>
        <v>4</v>
      </c>
      <c r="BE12" s="138">
        <f>IF('1.DATOS-PROD'!BN13="SI",VLOOKUP('1.DATOS-PROD'!BN$2,'1.PUNTOS'!$A$1:$B$63,2,0),0)</f>
        <v>5</v>
      </c>
      <c r="BF12" s="138">
        <f>IF('1.DATOS-PROD'!BO13="SI",VLOOKUP('1.DATOS-PROD'!BO$2,'1.PUNTOS'!$A$1:$B$63,2,0),0)</f>
        <v>0</v>
      </c>
      <c r="BG12" s="138">
        <f>IF('1.DATOS-PROD'!BP13="SI",VLOOKUP('1.DATOS-PROD'!BP$2,'1.PUNTOS'!$A$1:$B$63,2,0),0)</f>
        <v>3</v>
      </c>
      <c r="BH12" s="138">
        <f>IF('1.DATOS-PROD'!BQ13="SI",VLOOKUP('1.DATOS-PROD'!BQ$2,'1.PUNTOS'!$A$1:$B$63,2,0),0)</f>
        <v>0</v>
      </c>
      <c r="BI12" s="138">
        <f>IF('1.DATOS-PROD'!BR13="SI",VLOOKUP('1.DATOS-PROD'!BR$2,'1.PUNTOS'!$A$1:$B$63,2,0),0)</f>
        <v>0</v>
      </c>
      <c r="BJ12" s="138">
        <f>IF('1.DATOS-PROD'!BS13="SI",VLOOKUP('1.DATOS-PROD'!BS$2,'1.PUNTOS'!$A$1:$B$63,2,0),0)</f>
        <v>3</v>
      </c>
      <c r="BK12" s="138">
        <f>IF('1.DATOS-PROD'!BT13="SI",VLOOKUP('1.DATOS-PROD'!BT$2,'1.PUNTOS'!$A$1:$B$63,2,0),0)</f>
        <v>3</v>
      </c>
    </row>
    <row r="13" spans="1:63" x14ac:dyDescent="0.25">
      <c r="A13" t="str">
        <f>'0.Consolidado general'!$A14</f>
        <v>E001010021002</v>
      </c>
      <c r="B13" s="138">
        <f>IF('1.DATOS-PROD'!K14="SI",VLOOKUP('1.DATOS-PROD'!K$2,'1.PUNTOS'!$A$1:$B$63,2,0),0)</f>
        <v>4</v>
      </c>
      <c r="C13" s="138">
        <f>IF('1.DATOS-PROD'!L14="SI",VLOOKUP('1.DATOS-PROD'!L$2,'1.PUNTOS'!$A$1:$B$63,2,0),0)</f>
        <v>5</v>
      </c>
      <c r="D13" s="138">
        <f>IF('1.DATOS-PROD'!M14="SI",VLOOKUP('1.DATOS-PROD'!M$2,'1.PUNTOS'!$A$1:$B$63,2,0),0)</f>
        <v>3</v>
      </c>
      <c r="E13" s="138">
        <f>IF('1.DATOS-PROD'!N14="SI",VLOOKUP('1.DATOS-PROD'!N$2,'1.PUNTOS'!$A$1:$B$63,2,0),0)</f>
        <v>0</v>
      </c>
      <c r="F13" s="138">
        <f>IF('1.DATOS-PROD'!O14="SI",VLOOKUP('1.DATOS-PROD'!O$2,'1.PUNTOS'!$A$1:$B$63,2,0),0)</f>
        <v>0</v>
      </c>
      <c r="G13" s="138">
        <f>IF('1.DATOS-PROD'!P14="SI",VLOOKUP('1.DATOS-PROD'!P$2,'1.PUNTOS'!$A$1:$B$63,2,0),0)</f>
        <v>0</v>
      </c>
      <c r="H13" s="138">
        <f>IF('1.DATOS-PROD'!Q14="SI",VLOOKUP('1.DATOS-PROD'!Q$2,'1.PUNTOS'!$A$1:$B$63,2,0),0)</f>
        <v>3</v>
      </c>
      <c r="I13" s="138">
        <f>IF('1.DATOS-PROD'!R14="SI",VLOOKUP('1.DATOS-PROD'!R$2,'1.PUNTOS'!$A$1:$B$63,2,0),0)</f>
        <v>0</v>
      </c>
      <c r="J13" s="138">
        <f>IF('1.DATOS-PROD'!S14="SI",VLOOKUP('1.DATOS-PROD'!S$2,'1.PUNTOS'!$A$1:$B$63,2,0),0)</f>
        <v>3</v>
      </c>
      <c r="K13" s="138">
        <f>IF('1.DATOS-PROD'!T14="SI",VLOOKUP('1.DATOS-PROD'!T$2,'1.PUNTOS'!$A$1:$B$63,2,0),0)</f>
        <v>2</v>
      </c>
      <c r="L13" s="138">
        <f>IF('1.DATOS-PROD'!U14="SI",VLOOKUP('1.DATOS-PROD'!U$2,'1.PUNTOS'!$A$1:$B$63,2,0),0)</f>
        <v>1</v>
      </c>
      <c r="M13" s="138">
        <f>IF('1.DATOS-PROD'!V14="SI",VLOOKUP('1.DATOS-PROD'!V$2,'1.PUNTOS'!$A$1:$B$63,2,0),0)</f>
        <v>0</v>
      </c>
      <c r="N13" s="138">
        <f>IF('1.DATOS-PROD'!W14="SI",VLOOKUP('1.DATOS-PROD'!W$2,'1.PUNTOS'!$A$1:$B$63,2,0),0)</f>
        <v>1</v>
      </c>
      <c r="O13" s="138">
        <f>IF('1.DATOS-PROD'!X14="SI",VLOOKUP('1.DATOS-PROD'!X$2,'1.PUNTOS'!$A$1:$B$63,2,0),0)</f>
        <v>0</v>
      </c>
      <c r="P13" s="138">
        <f>IF('1.DATOS-PROD'!Y14="SI",VLOOKUP('1.DATOS-PROD'!Y$2,'1.PUNTOS'!$A$1:$B$63,2,0),0)</f>
        <v>0</v>
      </c>
      <c r="Q13" s="138">
        <f>IF('1.DATOS-PROD'!Z14="SI",VLOOKUP('1.DATOS-PROD'!Z$2,'1.PUNTOS'!$A$1:$B$63,2,0),0)</f>
        <v>2</v>
      </c>
      <c r="R13" s="138">
        <f>IF('1.DATOS-PROD'!AA14="SI",VLOOKUP('1.DATOS-PROD'!AA$2,'1.PUNTOS'!$A$1:$B$63,2,0),0)</f>
        <v>1</v>
      </c>
      <c r="S13" s="138">
        <f>IF('1.DATOS-PROD'!AB14="SI",VLOOKUP('1.DATOS-PROD'!AB$2,'1.PUNTOS'!$A$1:$B$63,2,0),0)</f>
        <v>3</v>
      </c>
      <c r="T13" s="138">
        <f>IF('1.DATOS-PROD'!AC14="SI",VLOOKUP('1.DATOS-PROD'!AC$2,'1.PUNTOS'!$A$1:$B$63,2,0),0)</f>
        <v>4</v>
      </c>
      <c r="U13" s="138">
        <f>IF('1.DATOS-PROD'!AD14="SI",VLOOKUP('1.DATOS-PROD'!AD$2,'1.PUNTOS'!$A$1:$B$63,2,0),0)</f>
        <v>0</v>
      </c>
      <c r="V13" s="138">
        <f>IF('1.DATOS-PROD'!AE14="SI",VLOOKUP('1.DATOS-PROD'!AE$2,'1.PUNTOS'!$A$1:$B$63,2,0),0)</f>
        <v>3</v>
      </c>
      <c r="W13" s="138">
        <f>IF('1.DATOS-PROD'!AF14="SI",VLOOKUP('1.DATOS-PROD'!AF$2,'1.PUNTOS'!$A$1:$B$63,2,0),0)</f>
        <v>0</v>
      </c>
      <c r="X13" s="138">
        <f>IF('1.DATOS-PROD'!AG14="SI",VLOOKUP('1.DATOS-PROD'!AG$2,'1.PUNTOS'!$A$1:$B$63,2,0),0)</f>
        <v>2</v>
      </c>
      <c r="Y13" s="138">
        <f>IF('1.DATOS-PROD'!AH14="SI",VLOOKUP('1.DATOS-PROD'!AH$2,'1.PUNTOS'!$A$1:$B$63,2,0),0)</f>
        <v>3</v>
      </c>
      <c r="Z13" s="138">
        <f>IF('1.DATOS-PROD'!AI14="SI",VLOOKUP('1.DATOS-PROD'!AI$2,'1.PUNTOS'!$A$1:$B$63,2,0),0)</f>
        <v>0</v>
      </c>
      <c r="AA13" s="138">
        <f>IF('1.DATOS-PROD'!AJ14="SI",VLOOKUP('1.DATOS-PROD'!AJ$2,'1.PUNTOS'!$A$1:$B$63,2,0),0)</f>
        <v>0</v>
      </c>
      <c r="AB13" s="138">
        <f>IF('1.DATOS-PROD'!AK14="SI",VLOOKUP('1.DATOS-PROD'!AK$2,'1.PUNTOS'!$A$1:$B$63,2,0),0)</f>
        <v>0</v>
      </c>
      <c r="AC13" s="138">
        <f>IF('1.DATOS-PROD'!AL14="SI",VLOOKUP('1.DATOS-PROD'!AL$2,'1.PUNTOS'!$A$1:$B$63,2,0),0)</f>
        <v>2</v>
      </c>
      <c r="AD13" s="138">
        <f>IF('1.DATOS-PROD'!AM14="SI",VLOOKUP('1.DATOS-PROD'!AM$2,'1.PUNTOS'!$A$1:$B$63,2,0),0)</f>
        <v>1</v>
      </c>
      <c r="AE13" s="138">
        <f>IF('1.DATOS-PROD'!AN14="SI",VLOOKUP('1.DATOS-PROD'!AN$2,'1.PUNTOS'!$A$1:$B$63,2,0),0)</f>
        <v>2</v>
      </c>
      <c r="AF13" s="138">
        <f>IF('1.DATOS-PROD'!AO14="SI",VLOOKUP('1.DATOS-PROD'!AO$2,'1.PUNTOS'!$A$1:$B$63,2,0),0)</f>
        <v>1</v>
      </c>
      <c r="AG13" s="138">
        <f>IF('1.DATOS-PROD'!AP14="SI",VLOOKUP('1.DATOS-PROD'!AP$2,'1.PUNTOS'!$A$1:$B$63,2,0),0)</f>
        <v>3</v>
      </c>
      <c r="AH13" s="138">
        <f>IF('1.DATOS-PROD'!AQ14="SI",VLOOKUP('1.DATOS-PROD'!AQ$2,'1.PUNTOS'!$A$1:$B$63,2,0),0)</f>
        <v>0</v>
      </c>
      <c r="AI13" s="138">
        <f>IF('1.DATOS-PROD'!AR14="SI",VLOOKUP('1.DATOS-PROD'!AR$2,'1.PUNTOS'!$A$1:$B$63,2,0),0)</f>
        <v>2</v>
      </c>
      <c r="AJ13" s="138">
        <f>IF('1.DATOS-PROD'!AS14="SI",VLOOKUP('1.DATOS-PROD'!AS$2,'1.PUNTOS'!$A$1:$B$63,2,0),0)</f>
        <v>0</v>
      </c>
      <c r="AK13" s="138">
        <f>IF('1.DATOS-PROD'!AT14="SI",VLOOKUP('1.DATOS-PROD'!AT$2,'1.PUNTOS'!$A$1:$B$63,2,0),0)</f>
        <v>0</v>
      </c>
      <c r="AL13" s="138">
        <f>IF('1.DATOS-PROD'!AU14="SI",VLOOKUP('1.DATOS-PROD'!AU$2,'1.PUNTOS'!$A$1:$B$63,2,0),0)</f>
        <v>0</v>
      </c>
      <c r="AM13" s="138">
        <f>IF('1.DATOS-PROD'!AV14="SI",VLOOKUP('1.DATOS-PROD'!AV$2,'1.PUNTOS'!$A$1:$B$63,2,0),0)</f>
        <v>0</v>
      </c>
      <c r="AN13" s="138">
        <f>IF('1.DATOS-PROD'!AW14="SI",VLOOKUP('1.DATOS-PROD'!AW$2,'1.PUNTOS'!$A$1:$B$63,2,0),0)</f>
        <v>3</v>
      </c>
      <c r="AO13" s="138">
        <f>IF('1.DATOS-PROD'!AX14="SI",VLOOKUP('1.DATOS-PROD'!AX$2,'1.PUNTOS'!$A$1:$B$63,2,0),0)</f>
        <v>0</v>
      </c>
      <c r="AP13" s="138">
        <f>IF('1.DATOS-PROD'!AY14="SI",VLOOKUP('1.DATOS-PROD'!AY$2,'1.PUNTOS'!$A$1:$B$63,2,0),0)</f>
        <v>0</v>
      </c>
      <c r="AQ13" s="138">
        <f>IF('1.DATOS-PROD'!AZ14="SI",VLOOKUP('1.DATOS-PROD'!AZ$2,'1.PUNTOS'!$A$1:$B$63,2,0),0)</f>
        <v>0</v>
      </c>
      <c r="AR13" s="138">
        <f>IF('1.DATOS-PROD'!BA14="SI",VLOOKUP('1.DATOS-PROD'!BA$2,'1.PUNTOS'!$A$1:$B$63,2,0),0)</f>
        <v>3</v>
      </c>
      <c r="AS13" s="138">
        <f>IF('1.DATOS-PROD'!BB14="SI",VLOOKUP('1.DATOS-PROD'!BB$2,'1.PUNTOS'!$A$1:$B$63,2,0),0)</f>
        <v>3</v>
      </c>
      <c r="AT13" s="138">
        <f>IF('1.DATOS-PROD'!BC14="SI",VLOOKUP('1.DATOS-PROD'!BC$2,'1.PUNTOS'!$A$1:$B$63,2,0),0)</f>
        <v>3</v>
      </c>
      <c r="AU13" s="138">
        <f>IF('1.DATOS-PROD'!BD14="SI",VLOOKUP('1.DATOS-PROD'!BD$2,'1.PUNTOS'!$A$1:$B$63,2,0),0)</f>
        <v>2</v>
      </c>
      <c r="AV13" s="138">
        <f>IF('1.DATOS-PROD'!BE14="SI",VLOOKUP('1.DATOS-PROD'!BE$2,'1.PUNTOS'!$A$1:$B$63,2,0),0)</f>
        <v>1</v>
      </c>
      <c r="AW13" s="138">
        <f>IF('1.DATOS-PROD'!BF14="SI",VLOOKUP('1.DATOS-PROD'!BF$2,'1.PUNTOS'!$A$1:$B$63,2,0),0)</f>
        <v>2</v>
      </c>
      <c r="AX13" s="138">
        <f>IF('1.DATOS-PROD'!BG14="SI",VLOOKUP('1.DATOS-PROD'!BG$2,'1.PUNTOS'!$A$1:$B$63,2,0),0)</f>
        <v>0</v>
      </c>
      <c r="AY13" s="138">
        <f>IF('1.DATOS-PROD'!BH14="SI",VLOOKUP('1.DATOS-PROD'!BH$2,'1.PUNTOS'!$A$1:$B$63,2,0),0)</f>
        <v>3</v>
      </c>
      <c r="AZ13" s="138">
        <f>IF('1.DATOS-PROD'!BI14="SI",VLOOKUP('1.DATOS-PROD'!BI$2,'1.PUNTOS'!$A$1:$B$63,2,0),0)</f>
        <v>0</v>
      </c>
      <c r="BA13" s="138">
        <f>IF('1.DATOS-PROD'!BJ14="SI",VLOOKUP('1.DATOS-PROD'!BJ$2,'1.PUNTOS'!$A$1:$B$63,2,0),0)</f>
        <v>2</v>
      </c>
      <c r="BB13" s="138">
        <f>IF('1.DATOS-PROD'!BK14="SI",VLOOKUP('1.DATOS-PROD'!BK$2,'1.PUNTOS'!$A$1:$B$63,2,0),0)</f>
        <v>0</v>
      </c>
      <c r="BC13" s="138">
        <f>IF('1.DATOS-PROD'!BL14="SI",VLOOKUP('1.DATOS-PROD'!BL$2,'1.PUNTOS'!$A$1:$B$63,2,0),0)</f>
        <v>3</v>
      </c>
      <c r="BD13" s="138">
        <f>IF('1.DATOS-PROD'!BM14="SI",VLOOKUP('1.DATOS-PROD'!BM$2,'1.PUNTOS'!$A$1:$B$63,2,0),0)</f>
        <v>4</v>
      </c>
      <c r="BE13" s="138">
        <f>IF('1.DATOS-PROD'!BN14="SI",VLOOKUP('1.DATOS-PROD'!BN$2,'1.PUNTOS'!$A$1:$B$63,2,0),0)</f>
        <v>5</v>
      </c>
      <c r="BF13" s="138">
        <f>IF('1.DATOS-PROD'!BO14="SI",VLOOKUP('1.DATOS-PROD'!BO$2,'1.PUNTOS'!$A$1:$B$63,2,0),0)</f>
        <v>3</v>
      </c>
      <c r="BG13" s="138">
        <f>IF('1.DATOS-PROD'!BP14="SI",VLOOKUP('1.DATOS-PROD'!BP$2,'1.PUNTOS'!$A$1:$B$63,2,0),0)</f>
        <v>3</v>
      </c>
      <c r="BH13" s="138">
        <f>IF('1.DATOS-PROD'!BQ14="SI",VLOOKUP('1.DATOS-PROD'!BQ$2,'1.PUNTOS'!$A$1:$B$63,2,0),0)</f>
        <v>2</v>
      </c>
      <c r="BI13" s="138">
        <f>IF('1.DATOS-PROD'!BR14="SI",VLOOKUP('1.DATOS-PROD'!BR$2,'1.PUNTOS'!$A$1:$B$63,2,0),0)</f>
        <v>3</v>
      </c>
      <c r="BJ13" s="138">
        <f>IF('1.DATOS-PROD'!BS14="SI",VLOOKUP('1.DATOS-PROD'!BS$2,'1.PUNTOS'!$A$1:$B$63,2,0),0)</f>
        <v>0</v>
      </c>
      <c r="BK13" s="138">
        <f>IF('1.DATOS-PROD'!BT14="SI",VLOOKUP('1.DATOS-PROD'!BT$2,'1.PUNTOS'!$A$1:$B$63,2,0),0)</f>
        <v>0</v>
      </c>
    </row>
    <row r="14" spans="1:63" x14ac:dyDescent="0.25">
      <c r="A14" t="str">
        <f>'0.Consolidado general'!$A15</f>
        <v>E001010021003</v>
      </c>
      <c r="B14" s="138">
        <f>IF('1.DATOS-PROD'!K15="SI",VLOOKUP('1.DATOS-PROD'!K$2,'1.PUNTOS'!$A$1:$B$63,2,0),0)</f>
        <v>4</v>
      </c>
      <c r="C14" s="138">
        <f>IF('1.DATOS-PROD'!L15="SI",VLOOKUP('1.DATOS-PROD'!L$2,'1.PUNTOS'!$A$1:$B$63,2,0),0)</f>
        <v>5</v>
      </c>
      <c r="D14" s="138">
        <f>IF('1.DATOS-PROD'!M15="SI",VLOOKUP('1.DATOS-PROD'!M$2,'1.PUNTOS'!$A$1:$B$63,2,0),0)</f>
        <v>3</v>
      </c>
      <c r="E14" s="138">
        <f>IF('1.DATOS-PROD'!N15="SI",VLOOKUP('1.DATOS-PROD'!N$2,'1.PUNTOS'!$A$1:$B$63,2,0),0)</f>
        <v>0</v>
      </c>
      <c r="F14" s="138">
        <f>IF('1.DATOS-PROD'!O15="SI",VLOOKUP('1.DATOS-PROD'!O$2,'1.PUNTOS'!$A$1:$B$63,2,0),0)</f>
        <v>2</v>
      </c>
      <c r="G14" s="138">
        <f>IF('1.DATOS-PROD'!P15="SI",VLOOKUP('1.DATOS-PROD'!P$2,'1.PUNTOS'!$A$1:$B$63,2,0),0)</f>
        <v>0</v>
      </c>
      <c r="H14" s="138">
        <f>IF('1.DATOS-PROD'!Q15="SI",VLOOKUP('1.DATOS-PROD'!Q$2,'1.PUNTOS'!$A$1:$B$63,2,0),0)</f>
        <v>0</v>
      </c>
      <c r="I14" s="138">
        <f>IF('1.DATOS-PROD'!R15="SI",VLOOKUP('1.DATOS-PROD'!R$2,'1.PUNTOS'!$A$1:$B$63,2,0),0)</f>
        <v>0</v>
      </c>
      <c r="J14" s="138">
        <f>IF('1.DATOS-PROD'!S15="SI",VLOOKUP('1.DATOS-PROD'!S$2,'1.PUNTOS'!$A$1:$B$63,2,0),0)</f>
        <v>3</v>
      </c>
      <c r="K14" s="138">
        <f>IF('1.DATOS-PROD'!T15="SI",VLOOKUP('1.DATOS-PROD'!T$2,'1.PUNTOS'!$A$1:$B$63,2,0),0)</f>
        <v>0</v>
      </c>
      <c r="L14" s="138">
        <f>IF('1.DATOS-PROD'!U15="SI",VLOOKUP('1.DATOS-PROD'!U$2,'1.PUNTOS'!$A$1:$B$63,2,0),0)</f>
        <v>1</v>
      </c>
      <c r="M14" s="138">
        <f>IF('1.DATOS-PROD'!V15="SI",VLOOKUP('1.DATOS-PROD'!V$2,'1.PUNTOS'!$A$1:$B$63,2,0),0)</f>
        <v>2</v>
      </c>
      <c r="N14" s="138">
        <f>IF('1.DATOS-PROD'!W15="SI",VLOOKUP('1.DATOS-PROD'!W$2,'1.PUNTOS'!$A$1:$B$63,2,0),0)</f>
        <v>1</v>
      </c>
      <c r="O14" s="138">
        <f>IF('1.DATOS-PROD'!X15="SI",VLOOKUP('1.DATOS-PROD'!X$2,'1.PUNTOS'!$A$1:$B$63,2,0),0)</f>
        <v>3</v>
      </c>
      <c r="P14" s="138">
        <f>IF('1.DATOS-PROD'!Y15="SI",VLOOKUP('1.DATOS-PROD'!Y$2,'1.PUNTOS'!$A$1:$B$63,2,0),0)</f>
        <v>2</v>
      </c>
      <c r="Q14" s="138">
        <f>IF('1.DATOS-PROD'!Z15="SI",VLOOKUP('1.DATOS-PROD'!Z$2,'1.PUNTOS'!$A$1:$B$63,2,0),0)</f>
        <v>2</v>
      </c>
      <c r="R14" s="138">
        <f>IF('1.DATOS-PROD'!AA15="SI",VLOOKUP('1.DATOS-PROD'!AA$2,'1.PUNTOS'!$A$1:$B$63,2,0),0)</f>
        <v>1</v>
      </c>
      <c r="S14" s="138">
        <f>IF('1.DATOS-PROD'!AB15="SI",VLOOKUP('1.DATOS-PROD'!AB$2,'1.PUNTOS'!$A$1:$B$63,2,0),0)</f>
        <v>3</v>
      </c>
      <c r="T14" s="138">
        <f>IF('1.DATOS-PROD'!AC15="SI",VLOOKUP('1.DATOS-PROD'!AC$2,'1.PUNTOS'!$A$1:$B$63,2,0),0)</f>
        <v>4</v>
      </c>
      <c r="U14" s="138">
        <f>IF('1.DATOS-PROD'!AD15="SI",VLOOKUP('1.DATOS-PROD'!AD$2,'1.PUNTOS'!$A$1:$B$63,2,0),0)</f>
        <v>0</v>
      </c>
      <c r="V14" s="138">
        <f>IF('1.DATOS-PROD'!AE15="SI",VLOOKUP('1.DATOS-PROD'!AE$2,'1.PUNTOS'!$A$1:$B$63,2,0),0)</f>
        <v>3</v>
      </c>
      <c r="W14" s="138">
        <f>IF('1.DATOS-PROD'!AF15="SI",VLOOKUP('1.DATOS-PROD'!AF$2,'1.PUNTOS'!$A$1:$B$63,2,0),0)</f>
        <v>3</v>
      </c>
      <c r="X14" s="138">
        <f>IF('1.DATOS-PROD'!AG15="SI",VLOOKUP('1.DATOS-PROD'!AG$2,'1.PUNTOS'!$A$1:$B$63,2,0),0)</f>
        <v>2</v>
      </c>
      <c r="Y14" s="138">
        <f>IF('1.DATOS-PROD'!AH15="SI",VLOOKUP('1.DATOS-PROD'!AH$2,'1.PUNTOS'!$A$1:$B$63,2,0),0)</f>
        <v>0</v>
      </c>
      <c r="Z14" s="138">
        <f>IF('1.DATOS-PROD'!AI15="SI",VLOOKUP('1.DATOS-PROD'!AI$2,'1.PUNTOS'!$A$1:$B$63,2,0),0)</f>
        <v>3</v>
      </c>
      <c r="AA14" s="138">
        <f>IF('1.DATOS-PROD'!AJ15="SI",VLOOKUP('1.DATOS-PROD'!AJ$2,'1.PUNTOS'!$A$1:$B$63,2,0),0)</f>
        <v>3</v>
      </c>
      <c r="AB14" s="138">
        <f>IF('1.DATOS-PROD'!AK15="SI",VLOOKUP('1.DATOS-PROD'!AK$2,'1.PUNTOS'!$A$1:$B$63,2,0),0)</f>
        <v>0</v>
      </c>
      <c r="AC14" s="138">
        <f>IF('1.DATOS-PROD'!AL15="SI",VLOOKUP('1.DATOS-PROD'!AL$2,'1.PUNTOS'!$A$1:$B$63,2,0),0)</f>
        <v>0</v>
      </c>
      <c r="AD14" s="138">
        <f>IF('1.DATOS-PROD'!AM15="SI",VLOOKUP('1.DATOS-PROD'!AM$2,'1.PUNTOS'!$A$1:$B$63,2,0),0)</f>
        <v>1</v>
      </c>
      <c r="AE14" s="138">
        <f>IF('1.DATOS-PROD'!AN15="SI",VLOOKUP('1.DATOS-PROD'!AN$2,'1.PUNTOS'!$A$1:$B$63,2,0),0)</f>
        <v>2</v>
      </c>
      <c r="AF14" s="138">
        <f>IF('1.DATOS-PROD'!AO15="SI",VLOOKUP('1.DATOS-PROD'!AO$2,'1.PUNTOS'!$A$1:$B$63,2,0),0)</f>
        <v>0</v>
      </c>
      <c r="AG14" s="138">
        <f>IF('1.DATOS-PROD'!AP15="SI",VLOOKUP('1.DATOS-PROD'!AP$2,'1.PUNTOS'!$A$1:$B$63,2,0),0)</f>
        <v>0</v>
      </c>
      <c r="AH14" s="138">
        <f>IF('1.DATOS-PROD'!AQ15="SI",VLOOKUP('1.DATOS-PROD'!AQ$2,'1.PUNTOS'!$A$1:$B$63,2,0),0)</f>
        <v>0</v>
      </c>
      <c r="AI14" s="138">
        <f>IF('1.DATOS-PROD'!AR15="SI",VLOOKUP('1.DATOS-PROD'!AR$2,'1.PUNTOS'!$A$1:$B$63,2,0),0)</f>
        <v>0</v>
      </c>
      <c r="AJ14" s="138">
        <f>IF('1.DATOS-PROD'!AS15="SI",VLOOKUP('1.DATOS-PROD'!AS$2,'1.PUNTOS'!$A$1:$B$63,2,0),0)</f>
        <v>0</v>
      </c>
      <c r="AK14" s="138">
        <f>IF('1.DATOS-PROD'!AT15="SI",VLOOKUP('1.DATOS-PROD'!AT$2,'1.PUNTOS'!$A$1:$B$63,2,0),0)</f>
        <v>0</v>
      </c>
      <c r="AL14" s="138">
        <f>IF('1.DATOS-PROD'!AU15="SI",VLOOKUP('1.DATOS-PROD'!AU$2,'1.PUNTOS'!$A$1:$B$63,2,0),0)</f>
        <v>4</v>
      </c>
      <c r="AM14" s="138">
        <f>IF('1.DATOS-PROD'!AV15="SI",VLOOKUP('1.DATOS-PROD'!AV$2,'1.PUNTOS'!$A$1:$B$63,2,0),0)</f>
        <v>5</v>
      </c>
      <c r="AN14" s="138">
        <f>IF('1.DATOS-PROD'!AW15="SI",VLOOKUP('1.DATOS-PROD'!AW$2,'1.PUNTOS'!$A$1:$B$63,2,0),0)</f>
        <v>0</v>
      </c>
      <c r="AO14" s="138">
        <f>IF('1.DATOS-PROD'!AX15="SI",VLOOKUP('1.DATOS-PROD'!AX$2,'1.PUNTOS'!$A$1:$B$63,2,0),0)</f>
        <v>3</v>
      </c>
      <c r="AP14" s="138">
        <f>IF('1.DATOS-PROD'!AY15="SI",VLOOKUP('1.DATOS-PROD'!AY$2,'1.PUNTOS'!$A$1:$B$63,2,0),0)</f>
        <v>2</v>
      </c>
      <c r="AQ14" s="138">
        <f>IF('1.DATOS-PROD'!AZ15="SI",VLOOKUP('1.DATOS-PROD'!AZ$2,'1.PUNTOS'!$A$1:$B$63,2,0),0)</f>
        <v>3</v>
      </c>
      <c r="AR14" s="138">
        <f>IF('1.DATOS-PROD'!BA15="SI",VLOOKUP('1.DATOS-PROD'!BA$2,'1.PUNTOS'!$A$1:$B$63,2,0),0)</f>
        <v>3</v>
      </c>
      <c r="AS14" s="138">
        <f>IF('1.DATOS-PROD'!BB15="SI",VLOOKUP('1.DATOS-PROD'!BB$2,'1.PUNTOS'!$A$1:$B$63,2,0),0)</f>
        <v>3</v>
      </c>
      <c r="AT14" s="138">
        <f>IF('1.DATOS-PROD'!BC15="SI",VLOOKUP('1.DATOS-PROD'!BC$2,'1.PUNTOS'!$A$1:$B$63,2,0),0)</f>
        <v>3</v>
      </c>
      <c r="AU14" s="138">
        <f>IF('1.DATOS-PROD'!BD15="SI",VLOOKUP('1.DATOS-PROD'!BD$2,'1.PUNTOS'!$A$1:$B$63,2,0),0)</f>
        <v>2</v>
      </c>
      <c r="AV14" s="138">
        <f>IF('1.DATOS-PROD'!BE15="SI",VLOOKUP('1.DATOS-PROD'!BE$2,'1.PUNTOS'!$A$1:$B$63,2,0),0)</f>
        <v>0</v>
      </c>
      <c r="AW14" s="138">
        <f>IF('1.DATOS-PROD'!BF15="SI",VLOOKUP('1.DATOS-PROD'!BF$2,'1.PUNTOS'!$A$1:$B$63,2,0),0)</f>
        <v>2</v>
      </c>
      <c r="AX14" s="138">
        <f>IF('1.DATOS-PROD'!BG15="SI",VLOOKUP('1.DATOS-PROD'!BG$2,'1.PUNTOS'!$A$1:$B$63,2,0),0)</f>
        <v>1</v>
      </c>
      <c r="AY14" s="138">
        <f>IF('1.DATOS-PROD'!BH15="SI",VLOOKUP('1.DATOS-PROD'!BH$2,'1.PUNTOS'!$A$1:$B$63,2,0),0)</f>
        <v>3</v>
      </c>
      <c r="AZ14" s="138">
        <f>IF('1.DATOS-PROD'!BI15="SI",VLOOKUP('1.DATOS-PROD'!BI$2,'1.PUNTOS'!$A$1:$B$63,2,0),0)</f>
        <v>2</v>
      </c>
      <c r="BA14" s="138">
        <f>IF('1.DATOS-PROD'!BJ15="SI",VLOOKUP('1.DATOS-PROD'!BJ$2,'1.PUNTOS'!$A$1:$B$63,2,0),0)</f>
        <v>0</v>
      </c>
      <c r="BB14" s="138">
        <f>IF('1.DATOS-PROD'!BK15="SI",VLOOKUP('1.DATOS-PROD'!BK$2,'1.PUNTOS'!$A$1:$B$63,2,0),0)</f>
        <v>1</v>
      </c>
      <c r="BC14" s="138">
        <f>IF('1.DATOS-PROD'!BL15="SI",VLOOKUP('1.DATOS-PROD'!BL$2,'1.PUNTOS'!$A$1:$B$63,2,0),0)</f>
        <v>0</v>
      </c>
      <c r="BD14" s="138">
        <f>IF('1.DATOS-PROD'!BM15="SI",VLOOKUP('1.DATOS-PROD'!BM$2,'1.PUNTOS'!$A$1:$B$63,2,0),0)</f>
        <v>4</v>
      </c>
      <c r="BE14" s="138">
        <f>IF('1.DATOS-PROD'!BN15="SI",VLOOKUP('1.DATOS-PROD'!BN$2,'1.PUNTOS'!$A$1:$B$63,2,0),0)</f>
        <v>0</v>
      </c>
      <c r="BF14" s="138">
        <f>IF('1.DATOS-PROD'!BO15="SI",VLOOKUP('1.DATOS-PROD'!BO$2,'1.PUNTOS'!$A$1:$B$63,2,0),0)</f>
        <v>3</v>
      </c>
      <c r="BG14" s="138">
        <f>IF('1.DATOS-PROD'!BP15="SI",VLOOKUP('1.DATOS-PROD'!BP$2,'1.PUNTOS'!$A$1:$B$63,2,0),0)</f>
        <v>3</v>
      </c>
      <c r="BH14" s="138">
        <f>IF('1.DATOS-PROD'!BQ15="SI",VLOOKUP('1.DATOS-PROD'!BQ$2,'1.PUNTOS'!$A$1:$B$63,2,0),0)</f>
        <v>2</v>
      </c>
      <c r="BI14" s="138">
        <f>IF('1.DATOS-PROD'!BR15="SI",VLOOKUP('1.DATOS-PROD'!BR$2,'1.PUNTOS'!$A$1:$B$63,2,0),0)</f>
        <v>3</v>
      </c>
      <c r="BJ14" s="138">
        <f>IF('1.DATOS-PROD'!BS15="SI",VLOOKUP('1.DATOS-PROD'!BS$2,'1.PUNTOS'!$A$1:$B$63,2,0),0)</f>
        <v>3</v>
      </c>
      <c r="BK14" s="138">
        <f>IF('1.DATOS-PROD'!BT15="SI",VLOOKUP('1.DATOS-PROD'!BT$2,'1.PUNTOS'!$A$1:$B$63,2,0),0)</f>
        <v>3</v>
      </c>
    </row>
    <row r="15" spans="1:63" x14ac:dyDescent="0.25">
      <c r="A15" t="str">
        <f>'0.Consolidado general'!$A16</f>
        <v>E001012021002</v>
      </c>
      <c r="B15" s="138">
        <f>IF('1.DATOS-PROD'!K16="SI",VLOOKUP('1.DATOS-PROD'!K$2,'1.PUNTOS'!$A$1:$B$63,2,0),0)</f>
        <v>0</v>
      </c>
      <c r="C15" s="138">
        <f>IF('1.DATOS-PROD'!L16="SI",VLOOKUP('1.DATOS-PROD'!L$2,'1.PUNTOS'!$A$1:$B$63,2,0),0)</f>
        <v>0</v>
      </c>
      <c r="D15" s="138">
        <f>IF('1.DATOS-PROD'!M16="SI",VLOOKUP('1.DATOS-PROD'!M$2,'1.PUNTOS'!$A$1:$B$63,2,0),0)</f>
        <v>3</v>
      </c>
      <c r="E15" s="138">
        <f>IF('1.DATOS-PROD'!N16="SI",VLOOKUP('1.DATOS-PROD'!N$2,'1.PUNTOS'!$A$1:$B$63,2,0),0)</f>
        <v>3</v>
      </c>
      <c r="F15" s="138">
        <f>IF('1.DATOS-PROD'!O16="SI",VLOOKUP('1.DATOS-PROD'!O$2,'1.PUNTOS'!$A$1:$B$63,2,0),0)</f>
        <v>2</v>
      </c>
      <c r="G15" s="138">
        <f>IF('1.DATOS-PROD'!P16="SI",VLOOKUP('1.DATOS-PROD'!P$2,'1.PUNTOS'!$A$1:$B$63,2,0),0)</f>
        <v>0</v>
      </c>
      <c r="H15" s="138">
        <f>IF('1.DATOS-PROD'!Q16="SI",VLOOKUP('1.DATOS-PROD'!Q$2,'1.PUNTOS'!$A$1:$B$63,2,0),0)</f>
        <v>3</v>
      </c>
      <c r="I15" s="138">
        <f>IF('1.DATOS-PROD'!R16="SI",VLOOKUP('1.DATOS-PROD'!R$2,'1.PUNTOS'!$A$1:$B$63,2,0),0)</f>
        <v>0</v>
      </c>
      <c r="J15" s="138">
        <f>IF('1.DATOS-PROD'!S16="SI",VLOOKUP('1.DATOS-PROD'!S$2,'1.PUNTOS'!$A$1:$B$63,2,0),0)</f>
        <v>3</v>
      </c>
      <c r="K15" s="138">
        <f>IF('1.DATOS-PROD'!T16="SI",VLOOKUP('1.DATOS-PROD'!T$2,'1.PUNTOS'!$A$1:$B$63,2,0),0)</f>
        <v>0</v>
      </c>
      <c r="L15" s="138">
        <f>IF('1.DATOS-PROD'!U16="SI",VLOOKUP('1.DATOS-PROD'!U$2,'1.PUNTOS'!$A$1:$B$63,2,0),0)</f>
        <v>0</v>
      </c>
      <c r="M15" s="138">
        <f>IF('1.DATOS-PROD'!V16="SI",VLOOKUP('1.DATOS-PROD'!V$2,'1.PUNTOS'!$A$1:$B$63,2,0),0)</f>
        <v>0</v>
      </c>
      <c r="N15" s="138">
        <f>IF('1.DATOS-PROD'!W16="SI",VLOOKUP('1.DATOS-PROD'!W$2,'1.PUNTOS'!$A$1:$B$63,2,0),0)</f>
        <v>1</v>
      </c>
      <c r="O15" s="138">
        <f>IF('1.DATOS-PROD'!X16="SI",VLOOKUP('1.DATOS-PROD'!X$2,'1.PUNTOS'!$A$1:$B$63,2,0),0)</f>
        <v>3</v>
      </c>
      <c r="P15" s="138">
        <f>IF('1.DATOS-PROD'!Y16="SI",VLOOKUP('1.DATOS-PROD'!Y$2,'1.PUNTOS'!$A$1:$B$63,2,0),0)</f>
        <v>0</v>
      </c>
      <c r="Q15" s="138">
        <f>IF('1.DATOS-PROD'!Z16="SI",VLOOKUP('1.DATOS-PROD'!Z$2,'1.PUNTOS'!$A$1:$B$63,2,0),0)</f>
        <v>0</v>
      </c>
      <c r="R15" s="138">
        <f>IF('1.DATOS-PROD'!AA16="SI",VLOOKUP('1.DATOS-PROD'!AA$2,'1.PUNTOS'!$A$1:$B$63,2,0),0)</f>
        <v>0</v>
      </c>
      <c r="S15" s="138">
        <f>IF('1.DATOS-PROD'!AB16="SI",VLOOKUP('1.DATOS-PROD'!AB$2,'1.PUNTOS'!$A$1:$B$63,2,0),0)</f>
        <v>0</v>
      </c>
      <c r="T15" s="138">
        <f>IF('1.DATOS-PROD'!AC16="SI",VLOOKUP('1.DATOS-PROD'!AC$2,'1.PUNTOS'!$A$1:$B$63,2,0),0)</f>
        <v>4</v>
      </c>
      <c r="U15" s="138">
        <f>IF('1.DATOS-PROD'!AD16="SI",VLOOKUP('1.DATOS-PROD'!AD$2,'1.PUNTOS'!$A$1:$B$63,2,0),0)</f>
        <v>0</v>
      </c>
      <c r="V15" s="138">
        <f>IF('1.DATOS-PROD'!AE16="SI",VLOOKUP('1.DATOS-PROD'!AE$2,'1.PUNTOS'!$A$1:$B$63,2,0),0)</f>
        <v>0</v>
      </c>
      <c r="W15" s="138">
        <f>IF('1.DATOS-PROD'!AF16="SI",VLOOKUP('1.DATOS-PROD'!AF$2,'1.PUNTOS'!$A$1:$B$63,2,0),0)</f>
        <v>0</v>
      </c>
      <c r="X15" s="138">
        <f>IF('1.DATOS-PROD'!AG16="SI",VLOOKUP('1.DATOS-PROD'!AG$2,'1.PUNTOS'!$A$1:$B$63,2,0),0)</f>
        <v>0</v>
      </c>
      <c r="Y15" s="138">
        <f>IF('1.DATOS-PROD'!AH16="SI",VLOOKUP('1.DATOS-PROD'!AH$2,'1.PUNTOS'!$A$1:$B$63,2,0),0)</f>
        <v>0</v>
      </c>
      <c r="Z15" s="138">
        <f>IF('1.DATOS-PROD'!AI16="SI",VLOOKUP('1.DATOS-PROD'!AI$2,'1.PUNTOS'!$A$1:$B$63,2,0),0)</f>
        <v>3</v>
      </c>
      <c r="AA15" s="138">
        <f>IF('1.DATOS-PROD'!AJ16="SI",VLOOKUP('1.DATOS-PROD'!AJ$2,'1.PUNTOS'!$A$1:$B$63,2,0),0)</f>
        <v>3</v>
      </c>
      <c r="AB15" s="138">
        <f>IF('1.DATOS-PROD'!AK16="SI",VLOOKUP('1.DATOS-PROD'!AK$2,'1.PUNTOS'!$A$1:$B$63,2,0),0)</f>
        <v>3</v>
      </c>
      <c r="AC15" s="138">
        <f>IF('1.DATOS-PROD'!AL16="SI",VLOOKUP('1.DATOS-PROD'!AL$2,'1.PUNTOS'!$A$1:$B$63,2,0),0)</f>
        <v>2</v>
      </c>
      <c r="AD15" s="138">
        <f>IF('1.DATOS-PROD'!AM16="SI",VLOOKUP('1.DATOS-PROD'!AM$2,'1.PUNTOS'!$A$1:$B$63,2,0),0)</f>
        <v>1</v>
      </c>
      <c r="AE15" s="138">
        <f>IF('1.DATOS-PROD'!AN16="SI",VLOOKUP('1.DATOS-PROD'!AN$2,'1.PUNTOS'!$A$1:$B$63,2,0),0)</f>
        <v>2</v>
      </c>
      <c r="AF15" s="138">
        <f>IF('1.DATOS-PROD'!AO16="SI",VLOOKUP('1.DATOS-PROD'!AO$2,'1.PUNTOS'!$A$1:$B$63,2,0),0)</f>
        <v>0</v>
      </c>
      <c r="AG15" s="138">
        <f>IF('1.DATOS-PROD'!AP16="SI",VLOOKUP('1.DATOS-PROD'!AP$2,'1.PUNTOS'!$A$1:$B$63,2,0),0)</f>
        <v>3</v>
      </c>
      <c r="AH15" s="138">
        <f>IF('1.DATOS-PROD'!AQ16="SI",VLOOKUP('1.DATOS-PROD'!AQ$2,'1.PUNTOS'!$A$1:$B$63,2,0),0)</f>
        <v>2</v>
      </c>
      <c r="AI15" s="138">
        <f>IF('1.DATOS-PROD'!AR16="SI",VLOOKUP('1.DATOS-PROD'!AR$2,'1.PUNTOS'!$A$1:$B$63,2,0),0)</f>
        <v>0</v>
      </c>
      <c r="AJ15" s="138">
        <f>IF('1.DATOS-PROD'!AS16="SI",VLOOKUP('1.DATOS-PROD'!AS$2,'1.PUNTOS'!$A$1:$B$63,2,0),0)</f>
        <v>0</v>
      </c>
      <c r="AK15" s="138">
        <f>IF('1.DATOS-PROD'!AT16="SI",VLOOKUP('1.DATOS-PROD'!AT$2,'1.PUNTOS'!$A$1:$B$63,2,0),0)</f>
        <v>3</v>
      </c>
      <c r="AL15" s="138">
        <f>IF('1.DATOS-PROD'!AU16="SI",VLOOKUP('1.DATOS-PROD'!AU$2,'1.PUNTOS'!$A$1:$B$63,2,0),0)</f>
        <v>0</v>
      </c>
      <c r="AM15" s="138">
        <f>IF('1.DATOS-PROD'!AV16="SI",VLOOKUP('1.DATOS-PROD'!AV$2,'1.PUNTOS'!$A$1:$B$63,2,0),0)</f>
        <v>0</v>
      </c>
      <c r="AN15" s="138">
        <f>IF('1.DATOS-PROD'!AW16="SI",VLOOKUP('1.DATOS-PROD'!AW$2,'1.PUNTOS'!$A$1:$B$63,2,0),0)</f>
        <v>0</v>
      </c>
      <c r="AO15" s="138">
        <f>IF('1.DATOS-PROD'!AX16="SI",VLOOKUP('1.DATOS-PROD'!AX$2,'1.PUNTOS'!$A$1:$B$63,2,0),0)</f>
        <v>0</v>
      </c>
      <c r="AP15" s="138">
        <f>IF('1.DATOS-PROD'!AY16="SI",VLOOKUP('1.DATOS-PROD'!AY$2,'1.PUNTOS'!$A$1:$B$63,2,0),0)</f>
        <v>2</v>
      </c>
      <c r="AQ15" s="138">
        <f>IF('1.DATOS-PROD'!AZ16="SI",VLOOKUP('1.DATOS-PROD'!AZ$2,'1.PUNTOS'!$A$1:$B$63,2,0),0)</f>
        <v>3</v>
      </c>
      <c r="AR15" s="138">
        <f>IF('1.DATOS-PROD'!BA16="SI",VLOOKUP('1.DATOS-PROD'!BA$2,'1.PUNTOS'!$A$1:$B$63,2,0),0)</f>
        <v>0</v>
      </c>
      <c r="AS15" s="138">
        <f>IF('1.DATOS-PROD'!BB16="SI",VLOOKUP('1.DATOS-PROD'!BB$2,'1.PUNTOS'!$A$1:$B$63,2,0),0)</f>
        <v>0</v>
      </c>
      <c r="AT15" s="138">
        <f>IF('1.DATOS-PROD'!BC16="SI",VLOOKUP('1.DATOS-PROD'!BC$2,'1.PUNTOS'!$A$1:$B$63,2,0),0)</f>
        <v>3</v>
      </c>
      <c r="AU15" s="138">
        <f>IF('1.DATOS-PROD'!BD16="SI",VLOOKUP('1.DATOS-PROD'!BD$2,'1.PUNTOS'!$A$1:$B$63,2,0),0)</f>
        <v>0</v>
      </c>
      <c r="AV15" s="138">
        <f>IF('1.DATOS-PROD'!BE16="SI",VLOOKUP('1.DATOS-PROD'!BE$2,'1.PUNTOS'!$A$1:$B$63,2,0),0)</f>
        <v>0</v>
      </c>
      <c r="AW15" s="138">
        <f>IF('1.DATOS-PROD'!BF16="SI",VLOOKUP('1.DATOS-PROD'!BF$2,'1.PUNTOS'!$A$1:$B$63,2,0),0)</f>
        <v>2</v>
      </c>
      <c r="AX15" s="138">
        <f>IF('1.DATOS-PROD'!BG16="SI",VLOOKUP('1.DATOS-PROD'!BG$2,'1.PUNTOS'!$A$1:$B$63,2,0),0)</f>
        <v>1</v>
      </c>
      <c r="AY15" s="138">
        <f>IF('1.DATOS-PROD'!BH16="SI",VLOOKUP('1.DATOS-PROD'!BH$2,'1.PUNTOS'!$A$1:$B$63,2,0),0)</f>
        <v>3</v>
      </c>
      <c r="AZ15" s="138">
        <f>IF('1.DATOS-PROD'!BI16="SI",VLOOKUP('1.DATOS-PROD'!BI$2,'1.PUNTOS'!$A$1:$B$63,2,0),0)</f>
        <v>0</v>
      </c>
      <c r="BA15" s="138">
        <f>IF('1.DATOS-PROD'!BJ16="SI",VLOOKUP('1.DATOS-PROD'!BJ$2,'1.PUNTOS'!$A$1:$B$63,2,0),0)</f>
        <v>0</v>
      </c>
      <c r="BB15" s="138">
        <f>IF('1.DATOS-PROD'!BK16="SI",VLOOKUP('1.DATOS-PROD'!BK$2,'1.PUNTOS'!$A$1:$B$63,2,0),0)</f>
        <v>1</v>
      </c>
      <c r="BC15" s="138">
        <f>IF('1.DATOS-PROD'!BL16="SI",VLOOKUP('1.DATOS-PROD'!BL$2,'1.PUNTOS'!$A$1:$B$63,2,0),0)</f>
        <v>3</v>
      </c>
      <c r="BD15" s="138">
        <f>IF('1.DATOS-PROD'!BM16="SI",VLOOKUP('1.DATOS-PROD'!BM$2,'1.PUNTOS'!$A$1:$B$63,2,0),0)</f>
        <v>4</v>
      </c>
      <c r="BE15" s="138">
        <f>IF('1.DATOS-PROD'!BN16="SI",VLOOKUP('1.DATOS-PROD'!BN$2,'1.PUNTOS'!$A$1:$B$63,2,0),0)</f>
        <v>5</v>
      </c>
      <c r="BF15" s="138">
        <f>IF('1.DATOS-PROD'!BO16="SI",VLOOKUP('1.DATOS-PROD'!BO$2,'1.PUNTOS'!$A$1:$B$63,2,0),0)</f>
        <v>3</v>
      </c>
      <c r="BG15" s="138">
        <f>IF('1.DATOS-PROD'!BP16="SI",VLOOKUP('1.DATOS-PROD'!BP$2,'1.PUNTOS'!$A$1:$B$63,2,0),0)</f>
        <v>3</v>
      </c>
      <c r="BH15" s="138">
        <f>IF('1.DATOS-PROD'!BQ16="SI",VLOOKUP('1.DATOS-PROD'!BQ$2,'1.PUNTOS'!$A$1:$B$63,2,0),0)</f>
        <v>2</v>
      </c>
      <c r="BI15" s="138">
        <f>IF('1.DATOS-PROD'!BR16="SI",VLOOKUP('1.DATOS-PROD'!BR$2,'1.PUNTOS'!$A$1:$B$63,2,0),0)</f>
        <v>3</v>
      </c>
      <c r="BJ15" s="138">
        <f>IF('1.DATOS-PROD'!BS16="SI",VLOOKUP('1.DATOS-PROD'!BS$2,'1.PUNTOS'!$A$1:$B$63,2,0),0)</f>
        <v>3</v>
      </c>
      <c r="BK15" s="138">
        <f>IF('1.DATOS-PROD'!BT16="SI",VLOOKUP('1.DATOS-PROD'!BT$2,'1.PUNTOS'!$A$1:$B$63,2,0),0)</f>
        <v>3</v>
      </c>
    </row>
    <row r="16" spans="1:63" x14ac:dyDescent="0.25">
      <c r="A16">
        <f>'0.Consolidado general'!$A17</f>
        <v>0</v>
      </c>
      <c r="B16" s="138">
        <f>IF('1.DATOS-PROD'!K17="SI",VLOOKUP('1.DATOS-PROD'!K$2,'1.PUNTOS'!$A$1:$B$63,2,0),0)</f>
        <v>0</v>
      </c>
      <c r="C16" s="138">
        <f>IF('1.DATOS-PROD'!L17="SI",VLOOKUP('1.DATOS-PROD'!L$2,'1.PUNTOS'!$A$1:$B$63,2,0),0)</f>
        <v>0</v>
      </c>
      <c r="D16" s="138">
        <f>IF('1.DATOS-PROD'!M17="SI",VLOOKUP('1.DATOS-PROD'!M$2,'1.PUNTOS'!$A$1:$B$63,2,0),0)</f>
        <v>0</v>
      </c>
      <c r="E16" s="138">
        <f>IF('1.DATOS-PROD'!N17="SI",VLOOKUP('1.DATOS-PROD'!N$2,'1.PUNTOS'!$A$1:$B$63,2,0),0)</f>
        <v>0</v>
      </c>
      <c r="F16" s="138">
        <f>IF('1.DATOS-PROD'!O17="SI",VLOOKUP('1.DATOS-PROD'!O$2,'1.PUNTOS'!$A$1:$B$63,2,0),0)</f>
        <v>0</v>
      </c>
      <c r="G16" s="138">
        <f>IF('1.DATOS-PROD'!P17="SI",VLOOKUP('1.DATOS-PROD'!P$2,'1.PUNTOS'!$A$1:$B$63,2,0),0)</f>
        <v>0</v>
      </c>
      <c r="H16" s="138">
        <f>IF('1.DATOS-PROD'!Q17="SI",VLOOKUP('1.DATOS-PROD'!Q$2,'1.PUNTOS'!$A$1:$B$63,2,0),0)</f>
        <v>0</v>
      </c>
      <c r="I16" s="138">
        <f>IF('1.DATOS-PROD'!R17="SI",VLOOKUP('1.DATOS-PROD'!R$2,'1.PUNTOS'!$A$1:$B$63,2,0),0)</f>
        <v>0</v>
      </c>
      <c r="J16" s="138">
        <f>IF('1.DATOS-PROD'!S17="SI",VLOOKUP('1.DATOS-PROD'!S$2,'1.PUNTOS'!$A$1:$B$63,2,0),0)</f>
        <v>0</v>
      </c>
      <c r="K16" s="138">
        <f>IF('1.DATOS-PROD'!T17="SI",VLOOKUP('1.DATOS-PROD'!T$2,'1.PUNTOS'!$A$1:$B$63,2,0),0)</f>
        <v>0</v>
      </c>
      <c r="L16" s="138">
        <f>IF('1.DATOS-PROD'!U17="SI",VLOOKUP('1.DATOS-PROD'!U$2,'1.PUNTOS'!$A$1:$B$63,2,0),0)</f>
        <v>0</v>
      </c>
      <c r="M16" s="138">
        <f>IF('1.DATOS-PROD'!V17="SI",VLOOKUP('1.DATOS-PROD'!V$2,'1.PUNTOS'!$A$1:$B$63,2,0),0)</f>
        <v>0</v>
      </c>
      <c r="N16" s="138">
        <f>IF('1.DATOS-PROD'!W17="SI",VLOOKUP('1.DATOS-PROD'!W$2,'1.PUNTOS'!$A$1:$B$63,2,0),0)</f>
        <v>0</v>
      </c>
      <c r="O16" s="138">
        <f>IF('1.DATOS-PROD'!X17="SI",VLOOKUP('1.DATOS-PROD'!X$2,'1.PUNTOS'!$A$1:$B$63,2,0),0)</f>
        <v>0</v>
      </c>
      <c r="P16" s="138">
        <f>IF('1.DATOS-PROD'!Y17="SI",VLOOKUP('1.DATOS-PROD'!Y$2,'1.PUNTOS'!$A$1:$B$63,2,0),0)</f>
        <v>0</v>
      </c>
      <c r="Q16" s="138">
        <f>IF('1.DATOS-PROD'!Z17="SI",VLOOKUP('1.DATOS-PROD'!Z$2,'1.PUNTOS'!$A$1:$B$63,2,0),0)</f>
        <v>0</v>
      </c>
      <c r="R16" s="138">
        <f>IF('1.DATOS-PROD'!AA17="SI",VLOOKUP('1.DATOS-PROD'!AA$2,'1.PUNTOS'!$A$1:$B$63,2,0),0)</f>
        <v>0</v>
      </c>
      <c r="S16" s="138">
        <f>IF('1.DATOS-PROD'!AB17="SI",VLOOKUP('1.DATOS-PROD'!AB$2,'1.PUNTOS'!$A$1:$B$63,2,0),0)</f>
        <v>0</v>
      </c>
      <c r="T16" s="138">
        <f>IF('1.DATOS-PROD'!AC17="SI",VLOOKUP('1.DATOS-PROD'!AC$2,'1.PUNTOS'!$A$1:$B$63,2,0),0)</f>
        <v>0</v>
      </c>
      <c r="U16" s="138">
        <f>IF('1.DATOS-PROD'!AD17="SI",VLOOKUP('1.DATOS-PROD'!AD$2,'1.PUNTOS'!$A$1:$B$63,2,0),0)</f>
        <v>0</v>
      </c>
      <c r="V16" s="138">
        <f>IF('1.DATOS-PROD'!AE17="SI",VLOOKUP('1.DATOS-PROD'!AE$2,'1.PUNTOS'!$A$1:$B$63,2,0),0)</f>
        <v>0</v>
      </c>
      <c r="W16" s="138">
        <f>IF('1.DATOS-PROD'!AF17="SI",VLOOKUP('1.DATOS-PROD'!AF$2,'1.PUNTOS'!$A$1:$B$63,2,0),0)</f>
        <v>0</v>
      </c>
      <c r="X16" s="138">
        <f>IF('1.DATOS-PROD'!AG17="SI",VLOOKUP('1.DATOS-PROD'!AG$2,'1.PUNTOS'!$A$1:$B$63,2,0),0)</f>
        <v>0</v>
      </c>
      <c r="Y16" s="138">
        <f>IF('1.DATOS-PROD'!AH17="SI",VLOOKUP('1.DATOS-PROD'!AH$2,'1.PUNTOS'!$A$1:$B$63,2,0),0)</f>
        <v>0</v>
      </c>
      <c r="Z16" s="138">
        <f>IF('1.DATOS-PROD'!AI17="SI",VLOOKUP('1.DATOS-PROD'!AI$2,'1.PUNTOS'!$A$1:$B$63,2,0),0)</f>
        <v>0</v>
      </c>
      <c r="AA16" s="138">
        <f>IF('1.DATOS-PROD'!AJ17="SI",VLOOKUP('1.DATOS-PROD'!AJ$2,'1.PUNTOS'!$A$1:$B$63,2,0),0)</f>
        <v>0</v>
      </c>
      <c r="AB16" s="138">
        <f>IF('1.DATOS-PROD'!AK17="SI",VLOOKUP('1.DATOS-PROD'!AK$2,'1.PUNTOS'!$A$1:$B$63,2,0),0)</f>
        <v>0</v>
      </c>
      <c r="AC16" s="138">
        <f>IF('1.DATOS-PROD'!AL17="SI",VLOOKUP('1.DATOS-PROD'!AL$2,'1.PUNTOS'!$A$1:$B$63,2,0),0)</f>
        <v>0</v>
      </c>
      <c r="AD16" s="138">
        <f>IF('1.DATOS-PROD'!AM17="SI",VLOOKUP('1.DATOS-PROD'!AM$2,'1.PUNTOS'!$A$1:$B$63,2,0),0)</f>
        <v>0</v>
      </c>
      <c r="AE16" s="138">
        <f>IF('1.DATOS-PROD'!AN17="SI",VLOOKUP('1.DATOS-PROD'!AN$2,'1.PUNTOS'!$A$1:$B$63,2,0),0)</f>
        <v>0</v>
      </c>
      <c r="AF16" s="138">
        <f>IF('1.DATOS-PROD'!AO17="SI",VLOOKUP('1.DATOS-PROD'!AO$2,'1.PUNTOS'!$A$1:$B$63,2,0),0)</f>
        <v>0</v>
      </c>
      <c r="AG16" s="138">
        <f>IF('1.DATOS-PROD'!AP17="SI",VLOOKUP('1.DATOS-PROD'!AP$2,'1.PUNTOS'!$A$1:$B$63,2,0),0)</f>
        <v>0</v>
      </c>
      <c r="AH16" s="138">
        <f>IF('1.DATOS-PROD'!AQ17="SI",VLOOKUP('1.DATOS-PROD'!AQ$2,'1.PUNTOS'!$A$1:$B$63,2,0),0)</f>
        <v>0</v>
      </c>
      <c r="AI16" s="138">
        <f>IF('1.DATOS-PROD'!AR17="SI",VLOOKUP('1.DATOS-PROD'!AR$2,'1.PUNTOS'!$A$1:$B$63,2,0),0)</f>
        <v>0</v>
      </c>
      <c r="AJ16" s="138">
        <f>IF('1.DATOS-PROD'!AS17="SI",VLOOKUP('1.DATOS-PROD'!AS$2,'1.PUNTOS'!$A$1:$B$63,2,0),0)</f>
        <v>0</v>
      </c>
      <c r="AK16" s="138">
        <f>IF('1.DATOS-PROD'!AT17="SI",VLOOKUP('1.DATOS-PROD'!AT$2,'1.PUNTOS'!$A$1:$B$63,2,0),0)</f>
        <v>0</v>
      </c>
      <c r="AL16" s="138">
        <f>IF('1.DATOS-PROD'!AU17="SI",VLOOKUP('1.DATOS-PROD'!AU$2,'1.PUNTOS'!$A$1:$B$63,2,0),0)</f>
        <v>0</v>
      </c>
      <c r="AM16" s="138">
        <f>IF('1.DATOS-PROD'!AV17="SI",VLOOKUP('1.DATOS-PROD'!AV$2,'1.PUNTOS'!$A$1:$B$63,2,0),0)</f>
        <v>0</v>
      </c>
      <c r="AN16" s="138">
        <f>IF('1.DATOS-PROD'!AW17="SI",VLOOKUP('1.DATOS-PROD'!AW$2,'1.PUNTOS'!$A$1:$B$63,2,0),0)</f>
        <v>0</v>
      </c>
      <c r="AO16" s="138">
        <f>IF('1.DATOS-PROD'!AX17="SI",VLOOKUP('1.DATOS-PROD'!AX$2,'1.PUNTOS'!$A$1:$B$63,2,0),0)</f>
        <v>0</v>
      </c>
      <c r="AP16" s="138">
        <f>IF('1.DATOS-PROD'!AY17="SI",VLOOKUP('1.DATOS-PROD'!AY$2,'1.PUNTOS'!$A$1:$B$63,2,0),0)</f>
        <v>0</v>
      </c>
      <c r="AQ16" s="138">
        <f>IF('1.DATOS-PROD'!AZ17="SI",VLOOKUP('1.DATOS-PROD'!AZ$2,'1.PUNTOS'!$A$1:$B$63,2,0),0)</f>
        <v>0</v>
      </c>
      <c r="AR16" s="138">
        <f>IF('1.DATOS-PROD'!BA17="SI",VLOOKUP('1.DATOS-PROD'!BA$2,'1.PUNTOS'!$A$1:$B$63,2,0),0)</f>
        <v>0</v>
      </c>
      <c r="AS16" s="138">
        <f>IF('1.DATOS-PROD'!BB17="SI",VLOOKUP('1.DATOS-PROD'!BB$2,'1.PUNTOS'!$A$1:$B$63,2,0),0)</f>
        <v>0</v>
      </c>
      <c r="AT16" s="138">
        <f>IF('1.DATOS-PROD'!BC17="SI",VLOOKUP('1.DATOS-PROD'!BC$2,'1.PUNTOS'!$A$1:$B$63,2,0),0)</f>
        <v>0</v>
      </c>
      <c r="AU16" s="138">
        <f>IF('1.DATOS-PROD'!BD17="SI",VLOOKUP('1.DATOS-PROD'!BD$2,'1.PUNTOS'!$A$1:$B$63,2,0),0)</f>
        <v>0</v>
      </c>
      <c r="AV16" s="138">
        <f>IF('1.DATOS-PROD'!BE17="SI",VLOOKUP('1.DATOS-PROD'!BE$2,'1.PUNTOS'!$A$1:$B$63,2,0),0)</f>
        <v>0</v>
      </c>
      <c r="AW16" s="138">
        <f>IF('1.DATOS-PROD'!BF17="SI",VLOOKUP('1.DATOS-PROD'!BF$2,'1.PUNTOS'!$A$1:$B$63,2,0),0)</f>
        <v>0</v>
      </c>
      <c r="AX16" s="138">
        <f>IF('1.DATOS-PROD'!BG17="SI",VLOOKUP('1.DATOS-PROD'!BG$2,'1.PUNTOS'!$A$1:$B$63,2,0),0)</f>
        <v>0</v>
      </c>
      <c r="AY16" s="138">
        <f>IF('1.DATOS-PROD'!BH17="SI",VLOOKUP('1.DATOS-PROD'!BH$2,'1.PUNTOS'!$A$1:$B$63,2,0),0)</f>
        <v>0</v>
      </c>
      <c r="AZ16" s="138">
        <f>IF('1.DATOS-PROD'!BI17="SI",VLOOKUP('1.DATOS-PROD'!BI$2,'1.PUNTOS'!$A$1:$B$63,2,0),0)</f>
        <v>0</v>
      </c>
      <c r="BA16" s="138">
        <f>IF('1.DATOS-PROD'!BJ17="SI",VLOOKUP('1.DATOS-PROD'!BJ$2,'1.PUNTOS'!$A$1:$B$63,2,0),0)</f>
        <v>0</v>
      </c>
      <c r="BB16" s="138">
        <f>IF('1.DATOS-PROD'!BK17="SI",VLOOKUP('1.DATOS-PROD'!BK$2,'1.PUNTOS'!$A$1:$B$63,2,0),0)</f>
        <v>0</v>
      </c>
      <c r="BC16" s="138">
        <f>IF('1.DATOS-PROD'!BL17="SI",VLOOKUP('1.DATOS-PROD'!BL$2,'1.PUNTOS'!$A$1:$B$63,2,0),0)</f>
        <v>0</v>
      </c>
      <c r="BD16" s="138">
        <f>IF('1.DATOS-PROD'!BM17="SI",VLOOKUP('1.DATOS-PROD'!BM$2,'1.PUNTOS'!$A$1:$B$63,2,0),0)</f>
        <v>0</v>
      </c>
      <c r="BE16" s="138">
        <f>IF('1.DATOS-PROD'!BN17="SI",VLOOKUP('1.DATOS-PROD'!BN$2,'1.PUNTOS'!$A$1:$B$63,2,0),0)</f>
        <v>0</v>
      </c>
      <c r="BF16" s="138">
        <f>IF('1.DATOS-PROD'!BO17="SI",VLOOKUP('1.DATOS-PROD'!BO$2,'1.PUNTOS'!$A$1:$B$63,2,0),0)</f>
        <v>0</v>
      </c>
      <c r="BG16" s="138">
        <f>IF('1.DATOS-PROD'!BP17="SI",VLOOKUP('1.DATOS-PROD'!BP$2,'1.PUNTOS'!$A$1:$B$63,2,0),0)</f>
        <v>0</v>
      </c>
      <c r="BH16" s="138">
        <f>IF('1.DATOS-PROD'!BQ17="SI",VLOOKUP('1.DATOS-PROD'!BQ$2,'1.PUNTOS'!$A$1:$B$63,2,0),0)</f>
        <v>0</v>
      </c>
      <c r="BI16" s="138">
        <f>IF('1.DATOS-PROD'!BR17="SI",VLOOKUP('1.DATOS-PROD'!BR$2,'1.PUNTOS'!$A$1:$B$63,2,0),0)</f>
        <v>0</v>
      </c>
      <c r="BJ16" s="138">
        <f>IF('1.DATOS-PROD'!BS17="SI",VLOOKUP('1.DATOS-PROD'!BS$2,'1.PUNTOS'!$A$1:$B$63,2,0),0)</f>
        <v>0</v>
      </c>
      <c r="BK16" s="138">
        <f>IF('1.DATOS-PROD'!BT17="SI",VLOOKUP('1.DATOS-PROD'!BT$2,'1.PUNTOS'!$A$1:$B$63,2,0),0)</f>
        <v>0</v>
      </c>
    </row>
    <row r="17" spans="1:63" x14ac:dyDescent="0.25">
      <c r="A17">
        <f>'0.Consolidado general'!$A18</f>
        <v>0</v>
      </c>
      <c r="B17" s="138">
        <f>IF('1.DATOS-PROD'!K18="SI",VLOOKUP('1.DATOS-PROD'!K$2,'1.PUNTOS'!$A$1:$B$63,2,0),0)</f>
        <v>0</v>
      </c>
      <c r="C17" s="138">
        <f>IF('1.DATOS-PROD'!L18="SI",VLOOKUP('1.DATOS-PROD'!L$2,'1.PUNTOS'!$A$1:$B$63,2,0),0)</f>
        <v>0</v>
      </c>
      <c r="D17" s="138">
        <f>IF('1.DATOS-PROD'!M18="SI",VLOOKUP('1.DATOS-PROD'!M$2,'1.PUNTOS'!$A$1:$B$63,2,0),0)</f>
        <v>0</v>
      </c>
      <c r="E17" s="138">
        <f>IF('1.DATOS-PROD'!N18="SI",VLOOKUP('1.DATOS-PROD'!N$2,'1.PUNTOS'!$A$1:$B$63,2,0),0)</f>
        <v>0</v>
      </c>
      <c r="F17" s="138">
        <f>IF('1.DATOS-PROD'!O18="SI",VLOOKUP('1.DATOS-PROD'!O$2,'1.PUNTOS'!$A$1:$B$63,2,0),0)</f>
        <v>0</v>
      </c>
      <c r="G17" s="138">
        <f>IF('1.DATOS-PROD'!P18="SI",VLOOKUP('1.DATOS-PROD'!P$2,'1.PUNTOS'!$A$1:$B$63,2,0),0)</f>
        <v>0</v>
      </c>
      <c r="H17" s="138">
        <f>IF('1.DATOS-PROD'!Q18="SI",VLOOKUP('1.DATOS-PROD'!Q$2,'1.PUNTOS'!$A$1:$B$63,2,0),0)</f>
        <v>0</v>
      </c>
      <c r="I17" s="138">
        <f>IF('1.DATOS-PROD'!R18="SI",VLOOKUP('1.DATOS-PROD'!R$2,'1.PUNTOS'!$A$1:$B$63,2,0),0)</f>
        <v>0</v>
      </c>
      <c r="J17" s="138">
        <f>IF('1.DATOS-PROD'!S18="SI",VLOOKUP('1.DATOS-PROD'!S$2,'1.PUNTOS'!$A$1:$B$63,2,0),0)</f>
        <v>0</v>
      </c>
      <c r="K17" s="138">
        <f>IF('1.DATOS-PROD'!T18="SI",VLOOKUP('1.DATOS-PROD'!T$2,'1.PUNTOS'!$A$1:$B$63,2,0),0)</f>
        <v>0</v>
      </c>
      <c r="L17" s="138">
        <f>IF('1.DATOS-PROD'!U18="SI",VLOOKUP('1.DATOS-PROD'!U$2,'1.PUNTOS'!$A$1:$B$63,2,0),0)</f>
        <v>0</v>
      </c>
      <c r="M17" s="138">
        <f>IF('1.DATOS-PROD'!V18="SI",VLOOKUP('1.DATOS-PROD'!V$2,'1.PUNTOS'!$A$1:$B$63,2,0),0)</f>
        <v>0</v>
      </c>
      <c r="N17" s="138">
        <f>IF('1.DATOS-PROD'!W18="SI",VLOOKUP('1.DATOS-PROD'!W$2,'1.PUNTOS'!$A$1:$B$63,2,0),0)</f>
        <v>0</v>
      </c>
      <c r="O17" s="138">
        <f>IF('1.DATOS-PROD'!X18="SI",VLOOKUP('1.DATOS-PROD'!X$2,'1.PUNTOS'!$A$1:$B$63,2,0),0)</f>
        <v>0</v>
      </c>
      <c r="P17" s="138">
        <f>IF('1.DATOS-PROD'!Y18="SI",VLOOKUP('1.DATOS-PROD'!Y$2,'1.PUNTOS'!$A$1:$B$63,2,0),0)</f>
        <v>0</v>
      </c>
      <c r="Q17" s="138">
        <f>IF('1.DATOS-PROD'!Z18="SI",VLOOKUP('1.DATOS-PROD'!Z$2,'1.PUNTOS'!$A$1:$B$63,2,0),0)</f>
        <v>0</v>
      </c>
      <c r="R17" s="138">
        <f>IF('1.DATOS-PROD'!AA18="SI",VLOOKUP('1.DATOS-PROD'!AA$2,'1.PUNTOS'!$A$1:$B$63,2,0),0)</f>
        <v>0</v>
      </c>
      <c r="S17" s="138">
        <f>IF('1.DATOS-PROD'!AB18="SI",VLOOKUP('1.DATOS-PROD'!AB$2,'1.PUNTOS'!$A$1:$B$63,2,0),0)</f>
        <v>0</v>
      </c>
      <c r="T17" s="138">
        <f>IF('1.DATOS-PROD'!AC18="SI",VLOOKUP('1.DATOS-PROD'!AC$2,'1.PUNTOS'!$A$1:$B$63,2,0),0)</f>
        <v>0</v>
      </c>
      <c r="U17" s="138">
        <f>IF('1.DATOS-PROD'!AD18="SI",VLOOKUP('1.DATOS-PROD'!AD$2,'1.PUNTOS'!$A$1:$B$63,2,0),0)</f>
        <v>0</v>
      </c>
      <c r="V17" s="138">
        <f>IF('1.DATOS-PROD'!AE18="SI",VLOOKUP('1.DATOS-PROD'!AE$2,'1.PUNTOS'!$A$1:$B$63,2,0),0)</f>
        <v>0</v>
      </c>
      <c r="W17" s="138">
        <f>IF('1.DATOS-PROD'!AF18="SI",VLOOKUP('1.DATOS-PROD'!AF$2,'1.PUNTOS'!$A$1:$B$63,2,0),0)</f>
        <v>0</v>
      </c>
      <c r="X17" s="138">
        <f>IF('1.DATOS-PROD'!AG18="SI",VLOOKUP('1.DATOS-PROD'!AG$2,'1.PUNTOS'!$A$1:$B$63,2,0),0)</f>
        <v>0</v>
      </c>
      <c r="Y17" s="138">
        <f>IF('1.DATOS-PROD'!AH18="SI",VLOOKUP('1.DATOS-PROD'!AH$2,'1.PUNTOS'!$A$1:$B$63,2,0),0)</f>
        <v>0</v>
      </c>
      <c r="Z17" s="138">
        <f>IF('1.DATOS-PROD'!AI18="SI",VLOOKUP('1.DATOS-PROD'!AI$2,'1.PUNTOS'!$A$1:$B$63,2,0),0)</f>
        <v>0</v>
      </c>
      <c r="AA17" s="138">
        <f>IF('1.DATOS-PROD'!AJ18="SI",VLOOKUP('1.DATOS-PROD'!AJ$2,'1.PUNTOS'!$A$1:$B$63,2,0),0)</f>
        <v>0</v>
      </c>
      <c r="AB17" s="138">
        <f>IF('1.DATOS-PROD'!AK18="SI",VLOOKUP('1.DATOS-PROD'!AK$2,'1.PUNTOS'!$A$1:$B$63,2,0),0)</f>
        <v>0</v>
      </c>
      <c r="AC17" s="138">
        <f>IF('1.DATOS-PROD'!AL18="SI",VLOOKUP('1.DATOS-PROD'!AL$2,'1.PUNTOS'!$A$1:$B$63,2,0),0)</f>
        <v>0</v>
      </c>
      <c r="AD17" s="138">
        <f>IF('1.DATOS-PROD'!AM18="SI",VLOOKUP('1.DATOS-PROD'!AM$2,'1.PUNTOS'!$A$1:$B$63,2,0),0)</f>
        <v>0</v>
      </c>
      <c r="AE17" s="138">
        <f>IF('1.DATOS-PROD'!AN18="SI",VLOOKUP('1.DATOS-PROD'!AN$2,'1.PUNTOS'!$A$1:$B$63,2,0),0)</f>
        <v>0</v>
      </c>
      <c r="AF17" s="138">
        <f>IF('1.DATOS-PROD'!AO18="SI",VLOOKUP('1.DATOS-PROD'!AO$2,'1.PUNTOS'!$A$1:$B$63,2,0),0)</f>
        <v>0</v>
      </c>
      <c r="AG17" s="138">
        <f>IF('1.DATOS-PROD'!AP18="SI",VLOOKUP('1.DATOS-PROD'!AP$2,'1.PUNTOS'!$A$1:$B$63,2,0),0)</f>
        <v>0</v>
      </c>
      <c r="AH17" s="138">
        <f>IF('1.DATOS-PROD'!AQ18="SI",VLOOKUP('1.DATOS-PROD'!AQ$2,'1.PUNTOS'!$A$1:$B$63,2,0),0)</f>
        <v>0</v>
      </c>
      <c r="AI17" s="138">
        <f>IF('1.DATOS-PROD'!AR18="SI",VLOOKUP('1.DATOS-PROD'!AR$2,'1.PUNTOS'!$A$1:$B$63,2,0),0)</f>
        <v>0</v>
      </c>
      <c r="AJ17" s="138">
        <f>IF('1.DATOS-PROD'!AS18="SI",VLOOKUP('1.DATOS-PROD'!AS$2,'1.PUNTOS'!$A$1:$B$63,2,0),0)</f>
        <v>0</v>
      </c>
      <c r="AK17" s="138">
        <f>IF('1.DATOS-PROD'!AT18="SI",VLOOKUP('1.DATOS-PROD'!AT$2,'1.PUNTOS'!$A$1:$B$63,2,0),0)</f>
        <v>0</v>
      </c>
      <c r="AL17" s="138">
        <f>IF('1.DATOS-PROD'!AU18="SI",VLOOKUP('1.DATOS-PROD'!AU$2,'1.PUNTOS'!$A$1:$B$63,2,0),0)</f>
        <v>0</v>
      </c>
      <c r="AM17" s="138">
        <f>IF('1.DATOS-PROD'!AV18="SI",VLOOKUP('1.DATOS-PROD'!AV$2,'1.PUNTOS'!$A$1:$B$63,2,0),0)</f>
        <v>0</v>
      </c>
      <c r="AN17" s="138">
        <f>IF('1.DATOS-PROD'!AW18="SI",VLOOKUP('1.DATOS-PROD'!AW$2,'1.PUNTOS'!$A$1:$B$63,2,0),0)</f>
        <v>0</v>
      </c>
      <c r="AO17" s="138">
        <f>IF('1.DATOS-PROD'!AX18="SI",VLOOKUP('1.DATOS-PROD'!AX$2,'1.PUNTOS'!$A$1:$B$63,2,0),0)</f>
        <v>0</v>
      </c>
      <c r="AP17" s="138">
        <f>IF('1.DATOS-PROD'!AY18="SI",VLOOKUP('1.DATOS-PROD'!AY$2,'1.PUNTOS'!$A$1:$B$63,2,0),0)</f>
        <v>0</v>
      </c>
      <c r="AQ17" s="138">
        <f>IF('1.DATOS-PROD'!AZ18="SI",VLOOKUP('1.DATOS-PROD'!AZ$2,'1.PUNTOS'!$A$1:$B$63,2,0),0)</f>
        <v>0</v>
      </c>
      <c r="AR17" s="138">
        <f>IF('1.DATOS-PROD'!BA18="SI",VLOOKUP('1.DATOS-PROD'!BA$2,'1.PUNTOS'!$A$1:$B$63,2,0),0)</f>
        <v>0</v>
      </c>
      <c r="AS17" s="138">
        <f>IF('1.DATOS-PROD'!BB18="SI",VLOOKUP('1.DATOS-PROD'!BB$2,'1.PUNTOS'!$A$1:$B$63,2,0),0)</f>
        <v>0</v>
      </c>
      <c r="AT17" s="138">
        <f>IF('1.DATOS-PROD'!BC18="SI",VLOOKUP('1.DATOS-PROD'!BC$2,'1.PUNTOS'!$A$1:$B$63,2,0),0)</f>
        <v>0</v>
      </c>
      <c r="AU17" s="138">
        <f>IF('1.DATOS-PROD'!BD18="SI",VLOOKUP('1.DATOS-PROD'!BD$2,'1.PUNTOS'!$A$1:$B$63,2,0),0)</f>
        <v>0</v>
      </c>
      <c r="AV17" s="138">
        <f>IF('1.DATOS-PROD'!BE18="SI",VLOOKUP('1.DATOS-PROD'!BE$2,'1.PUNTOS'!$A$1:$B$63,2,0),0)</f>
        <v>0</v>
      </c>
      <c r="AW17" s="138">
        <f>IF('1.DATOS-PROD'!BF18="SI",VLOOKUP('1.DATOS-PROD'!BF$2,'1.PUNTOS'!$A$1:$B$63,2,0),0)</f>
        <v>0</v>
      </c>
      <c r="AX17" s="138">
        <f>IF('1.DATOS-PROD'!BG18="SI",VLOOKUP('1.DATOS-PROD'!BG$2,'1.PUNTOS'!$A$1:$B$63,2,0),0)</f>
        <v>0</v>
      </c>
      <c r="AY17" s="138">
        <f>IF('1.DATOS-PROD'!BH18="SI",VLOOKUP('1.DATOS-PROD'!BH$2,'1.PUNTOS'!$A$1:$B$63,2,0),0)</f>
        <v>0</v>
      </c>
      <c r="AZ17" s="138">
        <f>IF('1.DATOS-PROD'!BI18="SI",VLOOKUP('1.DATOS-PROD'!BI$2,'1.PUNTOS'!$A$1:$B$63,2,0),0)</f>
        <v>0</v>
      </c>
      <c r="BA17" s="138">
        <f>IF('1.DATOS-PROD'!BJ18="SI",VLOOKUP('1.DATOS-PROD'!BJ$2,'1.PUNTOS'!$A$1:$B$63,2,0),0)</f>
        <v>0</v>
      </c>
      <c r="BB17" s="138">
        <f>IF('1.DATOS-PROD'!BK18="SI",VLOOKUP('1.DATOS-PROD'!BK$2,'1.PUNTOS'!$A$1:$B$63,2,0),0)</f>
        <v>0</v>
      </c>
      <c r="BC17" s="138">
        <f>IF('1.DATOS-PROD'!BL18="SI",VLOOKUP('1.DATOS-PROD'!BL$2,'1.PUNTOS'!$A$1:$B$63,2,0),0)</f>
        <v>0</v>
      </c>
      <c r="BD17" s="138">
        <f>IF('1.DATOS-PROD'!BM18="SI",VLOOKUP('1.DATOS-PROD'!BM$2,'1.PUNTOS'!$A$1:$B$63,2,0),0)</f>
        <v>0</v>
      </c>
      <c r="BE17" s="138">
        <f>IF('1.DATOS-PROD'!BN18="SI",VLOOKUP('1.DATOS-PROD'!BN$2,'1.PUNTOS'!$A$1:$B$63,2,0),0)</f>
        <v>0</v>
      </c>
      <c r="BF17" s="138">
        <f>IF('1.DATOS-PROD'!BO18="SI",VLOOKUP('1.DATOS-PROD'!BO$2,'1.PUNTOS'!$A$1:$B$63,2,0),0)</f>
        <v>0</v>
      </c>
      <c r="BG17" s="138">
        <f>IF('1.DATOS-PROD'!BP18="SI",VLOOKUP('1.DATOS-PROD'!BP$2,'1.PUNTOS'!$A$1:$B$63,2,0),0)</f>
        <v>0</v>
      </c>
      <c r="BH17" s="138">
        <f>IF('1.DATOS-PROD'!BQ18="SI",VLOOKUP('1.DATOS-PROD'!BQ$2,'1.PUNTOS'!$A$1:$B$63,2,0),0)</f>
        <v>0</v>
      </c>
      <c r="BI17" s="138">
        <f>IF('1.DATOS-PROD'!BR18="SI",VLOOKUP('1.DATOS-PROD'!BR$2,'1.PUNTOS'!$A$1:$B$63,2,0),0)</f>
        <v>0</v>
      </c>
      <c r="BJ17" s="138">
        <f>IF('1.DATOS-PROD'!BS18="SI",VLOOKUP('1.DATOS-PROD'!BS$2,'1.PUNTOS'!$A$1:$B$63,2,0),0)</f>
        <v>0</v>
      </c>
      <c r="BK17" s="138">
        <f>IF('1.DATOS-PROD'!BT18="SI",VLOOKUP('1.DATOS-PROD'!BT$2,'1.PUNTOS'!$A$1:$B$63,2,0),0)</f>
        <v>0</v>
      </c>
    </row>
    <row r="18" spans="1:63" x14ac:dyDescent="0.25">
      <c r="A18">
        <f>'0.Consolidado general'!$A19</f>
        <v>0</v>
      </c>
      <c r="B18" s="138">
        <f>IF('1.DATOS-PROD'!K19="SI",VLOOKUP('1.DATOS-PROD'!K$2,'1.PUNTOS'!$A$1:$B$63,2,0),0)</f>
        <v>0</v>
      </c>
      <c r="C18" s="138">
        <f>IF('1.DATOS-PROD'!L19="SI",VLOOKUP('1.DATOS-PROD'!L$2,'1.PUNTOS'!$A$1:$B$63,2,0),0)</f>
        <v>0</v>
      </c>
      <c r="D18" s="138">
        <f>IF('1.DATOS-PROD'!M19="SI",VLOOKUP('1.DATOS-PROD'!M$2,'1.PUNTOS'!$A$1:$B$63,2,0),0)</f>
        <v>0</v>
      </c>
      <c r="E18" s="138">
        <f>IF('1.DATOS-PROD'!N19="SI",VLOOKUP('1.DATOS-PROD'!N$2,'1.PUNTOS'!$A$1:$B$63,2,0),0)</f>
        <v>0</v>
      </c>
      <c r="F18" s="138">
        <f>IF('1.DATOS-PROD'!O19="SI",VLOOKUP('1.DATOS-PROD'!O$2,'1.PUNTOS'!$A$1:$B$63,2,0),0)</f>
        <v>0</v>
      </c>
      <c r="G18" s="138">
        <f>IF('1.DATOS-PROD'!P19="SI",VLOOKUP('1.DATOS-PROD'!P$2,'1.PUNTOS'!$A$1:$B$63,2,0),0)</f>
        <v>0</v>
      </c>
      <c r="H18" s="138">
        <f>IF('1.DATOS-PROD'!Q19="SI",VLOOKUP('1.DATOS-PROD'!Q$2,'1.PUNTOS'!$A$1:$B$63,2,0),0)</f>
        <v>0</v>
      </c>
      <c r="I18" s="138">
        <f>IF('1.DATOS-PROD'!R19="SI",VLOOKUP('1.DATOS-PROD'!R$2,'1.PUNTOS'!$A$1:$B$63,2,0),0)</f>
        <v>0</v>
      </c>
      <c r="J18" s="138">
        <f>IF('1.DATOS-PROD'!S19="SI",VLOOKUP('1.DATOS-PROD'!S$2,'1.PUNTOS'!$A$1:$B$63,2,0),0)</f>
        <v>0</v>
      </c>
      <c r="K18" s="138">
        <f>IF('1.DATOS-PROD'!T19="SI",VLOOKUP('1.DATOS-PROD'!T$2,'1.PUNTOS'!$A$1:$B$63,2,0),0)</f>
        <v>0</v>
      </c>
      <c r="L18" s="138">
        <f>IF('1.DATOS-PROD'!U19="SI",VLOOKUP('1.DATOS-PROD'!U$2,'1.PUNTOS'!$A$1:$B$63,2,0),0)</f>
        <v>0</v>
      </c>
      <c r="M18" s="138">
        <f>IF('1.DATOS-PROD'!V19="SI",VLOOKUP('1.DATOS-PROD'!V$2,'1.PUNTOS'!$A$1:$B$63,2,0),0)</f>
        <v>0</v>
      </c>
      <c r="N18" s="138">
        <f>IF('1.DATOS-PROD'!W19="SI",VLOOKUP('1.DATOS-PROD'!W$2,'1.PUNTOS'!$A$1:$B$63,2,0),0)</f>
        <v>0</v>
      </c>
      <c r="O18" s="138">
        <f>IF('1.DATOS-PROD'!X19="SI",VLOOKUP('1.DATOS-PROD'!X$2,'1.PUNTOS'!$A$1:$B$63,2,0),0)</f>
        <v>0</v>
      </c>
      <c r="P18" s="138">
        <f>IF('1.DATOS-PROD'!Y19="SI",VLOOKUP('1.DATOS-PROD'!Y$2,'1.PUNTOS'!$A$1:$B$63,2,0),0)</f>
        <v>0</v>
      </c>
      <c r="Q18" s="138">
        <f>IF('1.DATOS-PROD'!Z19="SI",VLOOKUP('1.DATOS-PROD'!Z$2,'1.PUNTOS'!$A$1:$B$63,2,0),0)</f>
        <v>0</v>
      </c>
      <c r="R18" s="138">
        <f>IF('1.DATOS-PROD'!AA19="SI",VLOOKUP('1.DATOS-PROD'!AA$2,'1.PUNTOS'!$A$1:$B$63,2,0),0)</f>
        <v>0</v>
      </c>
      <c r="S18" s="138">
        <f>IF('1.DATOS-PROD'!AB19="SI",VLOOKUP('1.DATOS-PROD'!AB$2,'1.PUNTOS'!$A$1:$B$63,2,0),0)</f>
        <v>0</v>
      </c>
      <c r="T18" s="138">
        <f>IF('1.DATOS-PROD'!AC19="SI",VLOOKUP('1.DATOS-PROD'!AC$2,'1.PUNTOS'!$A$1:$B$63,2,0),0)</f>
        <v>0</v>
      </c>
      <c r="U18" s="138">
        <f>IF('1.DATOS-PROD'!AD19="SI",VLOOKUP('1.DATOS-PROD'!AD$2,'1.PUNTOS'!$A$1:$B$63,2,0),0)</f>
        <v>0</v>
      </c>
      <c r="V18" s="138">
        <f>IF('1.DATOS-PROD'!AE19="SI",VLOOKUP('1.DATOS-PROD'!AE$2,'1.PUNTOS'!$A$1:$B$63,2,0),0)</f>
        <v>0</v>
      </c>
      <c r="W18" s="138">
        <f>IF('1.DATOS-PROD'!AF19="SI",VLOOKUP('1.DATOS-PROD'!AF$2,'1.PUNTOS'!$A$1:$B$63,2,0),0)</f>
        <v>0</v>
      </c>
      <c r="X18" s="138">
        <f>IF('1.DATOS-PROD'!AG19="SI",VLOOKUP('1.DATOS-PROD'!AG$2,'1.PUNTOS'!$A$1:$B$63,2,0),0)</f>
        <v>0</v>
      </c>
      <c r="Y18" s="138">
        <f>IF('1.DATOS-PROD'!AH19="SI",VLOOKUP('1.DATOS-PROD'!AH$2,'1.PUNTOS'!$A$1:$B$63,2,0),0)</f>
        <v>0</v>
      </c>
      <c r="Z18" s="138">
        <f>IF('1.DATOS-PROD'!AI19="SI",VLOOKUP('1.DATOS-PROD'!AI$2,'1.PUNTOS'!$A$1:$B$63,2,0),0)</f>
        <v>0</v>
      </c>
      <c r="AA18" s="138">
        <f>IF('1.DATOS-PROD'!AJ19="SI",VLOOKUP('1.DATOS-PROD'!AJ$2,'1.PUNTOS'!$A$1:$B$63,2,0),0)</f>
        <v>0</v>
      </c>
      <c r="AB18" s="138">
        <f>IF('1.DATOS-PROD'!AK19="SI",VLOOKUP('1.DATOS-PROD'!AK$2,'1.PUNTOS'!$A$1:$B$63,2,0),0)</f>
        <v>0</v>
      </c>
      <c r="AC18" s="138">
        <f>IF('1.DATOS-PROD'!AL19="SI",VLOOKUP('1.DATOS-PROD'!AL$2,'1.PUNTOS'!$A$1:$B$63,2,0),0)</f>
        <v>0</v>
      </c>
      <c r="AD18" s="138">
        <f>IF('1.DATOS-PROD'!AM19="SI",VLOOKUP('1.DATOS-PROD'!AM$2,'1.PUNTOS'!$A$1:$B$63,2,0),0)</f>
        <v>0</v>
      </c>
      <c r="AE18" s="138">
        <f>IF('1.DATOS-PROD'!AN19="SI",VLOOKUP('1.DATOS-PROD'!AN$2,'1.PUNTOS'!$A$1:$B$63,2,0),0)</f>
        <v>0</v>
      </c>
      <c r="AF18" s="138">
        <f>IF('1.DATOS-PROD'!AO19="SI",VLOOKUP('1.DATOS-PROD'!AO$2,'1.PUNTOS'!$A$1:$B$63,2,0),0)</f>
        <v>0</v>
      </c>
      <c r="AG18" s="138">
        <f>IF('1.DATOS-PROD'!AP19="SI",VLOOKUP('1.DATOS-PROD'!AP$2,'1.PUNTOS'!$A$1:$B$63,2,0),0)</f>
        <v>0</v>
      </c>
      <c r="AH18" s="138">
        <f>IF('1.DATOS-PROD'!AQ19="SI",VLOOKUP('1.DATOS-PROD'!AQ$2,'1.PUNTOS'!$A$1:$B$63,2,0),0)</f>
        <v>0</v>
      </c>
      <c r="AI18" s="138">
        <f>IF('1.DATOS-PROD'!AR19="SI",VLOOKUP('1.DATOS-PROD'!AR$2,'1.PUNTOS'!$A$1:$B$63,2,0),0)</f>
        <v>0</v>
      </c>
      <c r="AJ18" s="138">
        <f>IF('1.DATOS-PROD'!AS19="SI",VLOOKUP('1.DATOS-PROD'!AS$2,'1.PUNTOS'!$A$1:$B$63,2,0),0)</f>
        <v>0</v>
      </c>
      <c r="AK18" s="138">
        <f>IF('1.DATOS-PROD'!AT19="SI",VLOOKUP('1.DATOS-PROD'!AT$2,'1.PUNTOS'!$A$1:$B$63,2,0),0)</f>
        <v>0</v>
      </c>
      <c r="AL18" s="138">
        <f>IF('1.DATOS-PROD'!AU19="SI",VLOOKUP('1.DATOS-PROD'!AU$2,'1.PUNTOS'!$A$1:$B$63,2,0),0)</f>
        <v>0</v>
      </c>
      <c r="AM18" s="138">
        <f>IF('1.DATOS-PROD'!AV19="SI",VLOOKUP('1.DATOS-PROD'!AV$2,'1.PUNTOS'!$A$1:$B$63,2,0),0)</f>
        <v>0</v>
      </c>
      <c r="AN18" s="138">
        <f>IF('1.DATOS-PROD'!AW19="SI",VLOOKUP('1.DATOS-PROD'!AW$2,'1.PUNTOS'!$A$1:$B$63,2,0),0)</f>
        <v>0</v>
      </c>
      <c r="AO18" s="138">
        <f>IF('1.DATOS-PROD'!AX19="SI",VLOOKUP('1.DATOS-PROD'!AX$2,'1.PUNTOS'!$A$1:$B$63,2,0),0)</f>
        <v>0</v>
      </c>
      <c r="AP18" s="138">
        <f>IF('1.DATOS-PROD'!AY19="SI",VLOOKUP('1.DATOS-PROD'!AY$2,'1.PUNTOS'!$A$1:$B$63,2,0),0)</f>
        <v>0</v>
      </c>
      <c r="AQ18" s="138">
        <f>IF('1.DATOS-PROD'!AZ19="SI",VLOOKUP('1.DATOS-PROD'!AZ$2,'1.PUNTOS'!$A$1:$B$63,2,0),0)</f>
        <v>0</v>
      </c>
      <c r="AR18" s="138">
        <f>IF('1.DATOS-PROD'!BA19="SI",VLOOKUP('1.DATOS-PROD'!BA$2,'1.PUNTOS'!$A$1:$B$63,2,0),0)</f>
        <v>0</v>
      </c>
      <c r="AS18" s="138">
        <f>IF('1.DATOS-PROD'!BB19="SI",VLOOKUP('1.DATOS-PROD'!BB$2,'1.PUNTOS'!$A$1:$B$63,2,0),0)</f>
        <v>0</v>
      </c>
      <c r="AT18" s="138">
        <f>IF('1.DATOS-PROD'!BC19="SI",VLOOKUP('1.DATOS-PROD'!BC$2,'1.PUNTOS'!$A$1:$B$63,2,0),0)</f>
        <v>0</v>
      </c>
      <c r="AU18" s="138">
        <f>IF('1.DATOS-PROD'!BD19="SI",VLOOKUP('1.DATOS-PROD'!BD$2,'1.PUNTOS'!$A$1:$B$63,2,0),0)</f>
        <v>0</v>
      </c>
      <c r="AV18" s="138">
        <f>IF('1.DATOS-PROD'!BE19="SI",VLOOKUP('1.DATOS-PROD'!BE$2,'1.PUNTOS'!$A$1:$B$63,2,0),0)</f>
        <v>0</v>
      </c>
      <c r="AW18" s="138">
        <f>IF('1.DATOS-PROD'!BF19="SI",VLOOKUP('1.DATOS-PROD'!BF$2,'1.PUNTOS'!$A$1:$B$63,2,0),0)</f>
        <v>0</v>
      </c>
      <c r="AX18" s="138">
        <f>IF('1.DATOS-PROD'!BG19="SI",VLOOKUP('1.DATOS-PROD'!BG$2,'1.PUNTOS'!$A$1:$B$63,2,0),0)</f>
        <v>0</v>
      </c>
      <c r="AY18" s="138">
        <f>IF('1.DATOS-PROD'!BH19="SI",VLOOKUP('1.DATOS-PROD'!BH$2,'1.PUNTOS'!$A$1:$B$63,2,0),0)</f>
        <v>0</v>
      </c>
      <c r="AZ18" s="138">
        <f>IF('1.DATOS-PROD'!BI19="SI",VLOOKUP('1.DATOS-PROD'!BI$2,'1.PUNTOS'!$A$1:$B$63,2,0),0)</f>
        <v>0</v>
      </c>
      <c r="BA18" s="138">
        <f>IF('1.DATOS-PROD'!BJ19="SI",VLOOKUP('1.DATOS-PROD'!BJ$2,'1.PUNTOS'!$A$1:$B$63,2,0),0)</f>
        <v>0</v>
      </c>
      <c r="BB18" s="138">
        <f>IF('1.DATOS-PROD'!BK19="SI",VLOOKUP('1.DATOS-PROD'!BK$2,'1.PUNTOS'!$A$1:$B$63,2,0),0)</f>
        <v>0</v>
      </c>
      <c r="BC18" s="138">
        <f>IF('1.DATOS-PROD'!BL19="SI",VLOOKUP('1.DATOS-PROD'!BL$2,'1.PUNTOS'!$A$1:$B$63,2,0),0)</f>
        <v>0</v>
      </c>
      <c r="BD18" s="138">
        <f>IF('1.DATOS-PROD'!BM19="SI",VLOOKUP('1.DATOS-PROD'!BM$2,'1.PUNTOS'!$A$1:$B$63,2,0),0)</f>
        <v>0</v>
      </c>
      <c r="BE18" s="138">
        <f>IF('1.DATOS-PROD'!BN19="SI",VLOOKUP('1.DATOS-PROD'!BN$2,'1.PUNTOS'!$A$1:$B$63,2,0),0)</f>
        <v>0</v>
      </c>
      <c r="BF18" s="138">
        <f>IF('1.DATOS-PROD'!BO19="SI",VLOOKUP('1.DATOS-PROD'!BO$2,'1.PUNTOS'!$A$1:$B$63,2,0),0)</f>
        <v>0</v>
      </c>
      <c r="BG18" s="138">
        <f>IF('1.DATOS-PROD'!BP19="SI",VLOOKUP('1.DATOS-PROD'!BP$2,'1.PUNTOS'!$A$1:$B$63,2,0),0)</f>
        <v>0</v>
      </c>
      <c r="BH18" s="138">
        <f>IF('1.DATOS-PROD'!BQ19="SI",VLOOKUP('1.DATOS-PROD'!BQ$2,'1.PUNTOS'!$A$1:$B$63,2,0),0)</f>
        <v>0</v>
      </c>
      <c r="BI18" s="138">
        <f>IF('1.DATOS-PROD'!BR19="SI",VLOOKUP('1.DATOS-PROD'!BR$2,'1.PUNTOS'!$A$1:$B$63,2,0),0)</f>
        <v>0</v>
      </c>
      <c r="BJ18" s="138">
        <f>IF('1.DATOS-PROD'!BS19="SI",VLOOKUP('1.DATOS-PROD'!BS$2,'1.PUNTOS'!$A$1:$B$63,2,0),0)</f>
        <v>0</v>
      </c>
      <c r="BK18" s="138">
        <f>IF('1.DATOS-PROD'!BT19="SI",VLOOKUP('1.DATOS-PROD'!BT$2,'1.PUNTOS'!$A$1:$B$63,2,0),0)</f>
        <v>0</v>
      </c>
    </row>
    <row r="19" spans="1:63" x14ac:dyDescent="0.25">
      <c r="A19">
        <f>'0.Consolidado general'!$A20</f>
        <v>0</v>
      </c>
      <c r="B19" s="138">
        <f>IF('1.DATOS-PROD'!K20="SI",VLOOKUP('1.DATOS-PROD'!K$2,'1.PUNTOS'!$A$1:$B$63,2,0),0)</f>
        <v>0</v>
      </c>
      <c r="C19" s="138">
        <f>IF('1.DATOS-PROD'!L20="SI",VLOOKUP('1.DATOS-PROD'!L$2,'1.PUNTOS'!$A$1:$B$63,2,0),0)</f>
        <v>0</v>
      </c>
      <c r="D19" s="138">
        <f>IF('1.DATOS-PROD'!M20="SI",VLOOKUP('1.DATOS-PROD'!M$2,'1.PUNTOS'!$A$1:$B$63,2,0),0)</f>
        <v>0</v>
      </c>
      <c r="E19" s="138">
        <f>IF('1.DATOS-PROD'!N20="SI",VLOOKUP('1.DATOS-PROD'!N$2,'1.PUNTOS'!$A$1:$B$63,2,0),0)</f>
        <v>0</v>
      </c>
      <c r="F19" s="138">
        <f>IF('1.DATOS-PROD'!O20="SI",VLOOKUP('1.DATOS-PROD'!O$2,'1.PUNTOS'!$A$1:$B$63,2,0),0)</f>
        <v>0</v>
      </c>
      <c r="G19" s="138">
        <f>IF('1.DATOS-PROD'!P20="SI",VLOOKUP('1.DATOS-PROD'!P$2,'1.PUNTOS'!$A$1:$B$63,2,0),0)</f>
        <v>0</v>
      </c>
      <c r="H19" s="138">
        <f>IF('1.DATOS-PROD'!Q20="SI",VLOOKUP('1.DATOS-PROD'!Q$2,'1.PUNTOS'!$A$1:$B$63,2,0),0)</f>
        <v>0</v>
      </c>
      <c r="I19" s="138">
        <f>IF('1.DATOS-PROD'!R20="SI",VLOOKUP('1.DATOS-PROD'!R$2,'1.PUNTOS'!$A$1:$B$63,2,0),0)</f>
        <v>0</v>
      </c>
      <c r="J19" s="138">
        <f>IF('1.DATOS-PROD'!S20="SI",VLOOKUP('1.DATOS-PROD'!S$2,'1.PUNTOS'!$A$1:$B$63,2,0),0)</f>
        <v>0</v>
      </c>
      <c r="K19" s="138">
        <f>IF('1.DATOS-PROD'!T20="SI",VLOOKUP('1.DATOS-PROD'!T$2,'1.PUNTOS'!$A$1:$B$63,2,0),0)</f>
        <v>0</v>
      </c>
      <c r="L19" s="138">
        <f>IF('1.DATOS-PROD'!U20="SI",VLOOKUP('1.DATOS-PROD'!U$2,'1.PUNTOS'!$A$1:$B$63,2,0),0)</f>
        <v>0</v>
      </c>
      <c r="M19" s="138">
        <f>IF('1.DATOS-PROD'!V20="SI",VLOOKUP('1.DATOS-PROD'!V$2,'1.PUNTOS'!$A$1:$B$63,2,0),0)</f>
        <v>0</v>
      </c>
      <c r="N19" s="138">
        <f>IF('1.DATOS-PROD'!W20="SI",VLOOKUP('1.DATOS-PROD'!W$2,'1.PUNTOS'!$A$1:$B$63,2,0),0)</f>
        <v>0</v>
      </c>
      <c r="O19" s="138">
        <f>IF('1.DATOS-PROD'!X20="SI",VLOOKUP('1.DATOS-PROD'!X$2,'1.PUNTOS'!$A$1:$B$63,2,0),0)</f>
        <v>0</v>
      </c>
      <c r="P19" s="138">
        <f>IF('1.DATOS-PROD'!Y20="SI",VLOOKUP('1.DATOS-PROD'!Y$2,'1.PUNTOS'!$A$1:$B$63,2,0),0)</f>
        <v>0</v>
      </c>
      <c r="Q19" s="138">
        <f>IF('1.DATOS-PROD'!Z20="SI",VLOOKUP('1.DATOS-PROD'!Z$2,'1.PUNTOS'!$A$1:$B$63,2,0),0)</f>
        <v>0</v>
      </c>
      <c r="R19" s="138">
        <f>IF('1.DATOS-PROD'!AA20="SI",VLOOKUP('1.DATOS-PROD'!AA$2,'1.PUNTOS'!$A$1:$B$63,2,0),0)</f>
        <v>0</v>
      </c>
      <c r="S19" s="138">
        <f>IF('1.DATOS-PROD'!AB20="SI",VLOOKUP('1.DATOS-PROD'!AB$2,'1.PUNTOS'!$A$1:$B$63,2,0),0)</f>
        <v>0</v>
      </c>
      <c r="T19" s="138">
        <f>IF('1.DATOS-PROD'!AC20="SI",VLOOKUP('1.DATOS-PROD'!AC$2,'1.PUNTOS'!$A$1:$B$63,2,0),0)</f>
        <v>0</v>
      </c>
      <c r="U19" s="138">
        <f>IF('1.DATOS-PROD'!AD20="SI",VLOOKUP('1.DATOS-PROD'!AD$2,'1.PUNTOS'!$A$1:$B$63,2,0),0)</f>
        <v>0</v>
      </c>
      <c r="V19" s="138">
        <f>IF('1.DATOS-PROD'!AE20="SI",VLOOKUP('1.DATOS-PROD'!AE$2,'1.PUNTOS'!$A$1:$B$63,2,0),0)</f>
        <v>0</v>
      </c>
      <c r="W19" s="138">
        <f>IF('1.DATOS-PROD'!AF20="SI",VLOOKUP('1.DATOS-PROD'!AF$2,'1.PUNTOS'!$A$1:$B$63,2,0),0)</f>
        <v>0</v>
      </c>
      <c r="X19" s="138">
        <f>IF('1.DATOS-PROD'!AG20="SI",VLOOKUP('1.DATOS-PROD'!AG$2,'1.PUNTOS'!$A$1:$B$63,2,0),0)</f>
        <v>0</v>
      </c>
      <c r="Y19" s="138">
        <f>IF('1.DATOS-PROD'!AH20="SI",VLOOKUP('1.DATOS-PROD'!AH$2,'1.PUNTOS'!$A$1:$B$63,2,0),0)</f>
        <v>0</v>
      </c>
      <c r="Z19" s="138">
        <f>IF('1.DATOS-PROD'!AI20="SI",VLOOKUP('1.DATOS-PROD'!AI$2,'1.PUNTOS'!$A$1:$B$63,2,0),0)</f>
        <v>0</v>
      </c>
      <c r="AA19" s="138">
        <f>IF('1.DATOS-PROD'!AJ20="SI",VLOOKUP('1.DATOS-PROD'!AJ$2,'1.PUNTOS'!$A$1:$B$63,2,0),0)</f>
        <v>0</v>
      </c>
      <c r="AB19" s="138">
        <f>IF('1.DATOS-PROD'!AK20="SI",VLOOKUP('1.DATOS-PROD'!AK$2,'1.PUNTOS'!$A$1:$B$63,2,0),0)</f>
        <v>0</v>
      </c>
      <c r="AC19" s="138">
        <f>IF('1.DATOS-PROD'!AL20="SI",VLOOKUP('1.DATOS-PROD'!AL$2,'1.PUNTOS'!$A$1:$B$63,2,0),0)</f>
        <v>0</v>
      </c>
      <c r="AD19" s="138">
        <f>IF('1.DATOS-PROD'!AM20="SI",VLOOKUP('1.DATOS-PROD'!AM$2,'1.PUNTOS'!$A$1:$B$63,2,0),0)</f>
        <v>0</v>
      </c>
      <c r="AE19" s="138">
        <f>IF('1.DATOS-PROD'!AN20="SI",VLOOKUP('1.DATOS-PROD'!AN$2,'1.PUNTOS'!$A$1:$B$63,2,0),0)</f>
        <v>0</v>
      </c>
      <c r="AF19" s="138">
        <f>IF('1.DATOS-PROD'!AO20="SI",VLOOKUP('1.DATOS-PROD'!AO$2,'1.PUNTOS'!$A$1:$B$63,2,0),0)</f>
        <v>0</v>
      </c>
      <c r="AG19" s="138">
        <f>IF('1.DATOS-PROD'!AP20="SI",VLOOKUP('1.DATOS-PROD'!AP$2,'1.PUNTOS'!$A$1:$B$63,2,0),0)</f>
        <v>0</v>
      </c>
      <c r="AH19" s="138">
        <f>IF('1.DATOS-PROD'!AQ20="SI",VLOOKUP('1.DATOS-PROD'!AQ$2,'1.PUNTOS'!$A$1:$B$63,2,0),0)</f>
        <v>0</v>
      </c>
      <c r="AI19" s="138">
        <f>IF('1.DATOS-PROD'!AR20="SI",VLOOKUP('1.DATOS-PROD'!AR$2,'1.PUNTOS'!$A$1:$B$63,2,0),0)</f>
        <v>0</v>
      </c>
      <c r="AJ19" s="138">
        <f>IF('1.DATOS-PROD'!AS20="SI",VLOOKUP('1.DATOS-PROD'!AS$2,'1.PUNTOS'!$A$1:$B$63,2,0),0)</f>
        <v>0</v>
      </c>
      <c r="AK19" s="138">
        <f>IF('1.DATOS-PROD'!AT20="SI",VLOOKUP('1.DATOS-PROD'!AT$2,'1.PUNTOS'!$A$1:$B$63,2,0),0)</f>
        <v>0</v>
      </c>
      <c r="AL19" s="138">
        <f>IF('1.DATOS-PROD'!AU20="SI",VLOOKUP('1.DATOS-PROD'!AU$2,'1.PUNTOS'!$A$1:$B$63,2,0),0)</f>
        <v>0</v>
      </c>
      <c r="AM19" s="138">
        <f>IF('1.DATOS-PROD'!AV20="SI",VLOOKUP('1.DATOS-PROD'!AV$2,'1.PUNTOS'!$A$1:$B$63,2,0),0)</f>
        <v>0</v>
      </c>
      <c r="AN19" s="138">
        <f>IF('1.DATOS-PROD'!AW20="SI",VLOOKUP('1.DATOS-PROD'!AW$2,'1.PUNTOS'!$A$1:$B$63,2,0),0)</f>
        <v>0</v>
      </c>
      <c r="AO19" s="138">
        <f>IF('1.DATOS-PROD'!AX20="SI",VLOOKUP('1.DATOS-PROD'!AX$2,'1.PUNTOS'!$A$1:$B$63,2,0),0)</f>
        <v>0</v>
      </c>
      <c r="AP19" s="138">
        <f>IF('1.DATOS-PROD'!AY20="SI",VLOOKUP('1.DATOS-PROD'!AY$2,'1.PUNTOS'!$A$1:$B$63,2,0),0)</f>
        <v>0</v>
      </c>
      <c r="AQ19" s="138">
        <f>IF('1.DATOS-PROD'!AZ20="SI",VLOOKUP('1.DATOS-PROD'!AZ$2,'1.PUNTOS'!$A$1:$B$63,2,0),0)</f>
        <v>0</v>
      </c>
      <c r="AR19" s="138">
        <f>IF('1.DATOS-PROD'!BA20="SI",VLOOKUP('1.DATOS-PROD'!BA$2,'1.PUNTOS'!$A$1:$B$63,2,0),0)</f>
        <v>0</v>
      </c>
      <c r="AS19" s="138">
        <f>IF('1.DATOS-PROD'!BB20="SI",VLOOKUP('1.DATOS-PROD'!BB$2,'1.PUNTOS'!$A$1:$B$63,2,0),0)</f>
        <v>0</v>
      </c>
      <c r="AT19" s="138">
        <f>IF('1.DATOS-PROD'!BC20="SI",VLOOKUP('1.DATOS-PROD'!BC$2,'1.PUNTOS'!$A$1:$B$63,2,0),0)</f>
        <v>0</v>
      </c>
      <c r="AU19" s="138">
        <f>IF('1.DATOS-PROD'!BD20="SI",VLOOKUP('1.DATOS-PROD'!BD$2,'1.PUNTOS'!$A$1:$B$63,2,0),0)</f>
        <v>0</v>
      </c>
      <c r="AV19" s="138">
        <f>IF('1.DATOS-PROD'!BE20="SI",VLOOKUP('1.DATOS-PROD'!BE$2,'1.PUNTOS'!$A$1:$B$63,2,0),0)</f>
        <v>0</v>
      </c>
      <c r="AW19" s="138">
        <f>IF('1.DATOS-PROD'!BF20="SI",VLOOKUP('1.DATOS-PROD'!BF$2,'1.PUNTOS'!$A$1:$B$63,2,0),0)</f>
        <v>0</v>
      </c>
      <c r="AX19" s="138">
        <f>IF('1.DATOS-PROD'!BG20="SI",VLOOKUP('1.DATOS-PROD'!BG$2,'1.PUNTOS'!$A$1:$B$63,2,0),0)</f>
        <v>0</v>
      </c>
      <c r="AY19" s="138">
        <f>IF('1.DATOS-PROD'!BH20="SI",VLOOKUP('1.DATOS-PROD'!BH$2,'1.PUNTOS'!$A$1:$B$63,2,0),0)</f>
        <v>0</v>
      </c>
      <c r="AZ19" s="138">
        <f>IF('1.DATOS-PROD'!BI20="SI",VLOOKUP('1.DATOS-PROD'!BI$2,'1.PUNTOS'!$A$1:$B$63,2,0),0)</f>
        <v>0</v>
      </c>
      <c r="BA19" s="138">
        <f>IF('1.DATOS-PROD'!BJ20="SI",VLOOKUP('1.DATOS-PROD'!BJ$2,'1.PUNTOS'!$A$1:$B$63,2,0),0)</f>
        <v>0</v>
      </c>
      <c r="BB19" s="138">
        <f>IF('1.DATOS-PROD'!BK20="SI",VLOOKUP('1.DATOS-PROD'!BK$2,'1.PUNTOS'!$A$1:$B$63,2,0),0)</f>
        <v>0</v>
      </c>
      <c r="BC19" s="138">
        <f>IF('1.DATOS-PROD'!BL20="SI",VLOOKUP('1.DATOS-PROD'!BL$2,'1.PUNTOS'!$A$1:$B$63,2,0),0)</f>
        <v>0</v>
      </c>
      <c r="BD19" s="138">
        <f>IF('1.DATOS-PROD'!BM20="SI",VLOOKUP('1.DATOS-PROD'!BM$2,'1.PUNTOS'!$A$1:$B$63,2,0),0)</f>
        <v>0</v>
      </c>
      <c r="BE19" s="138">
        <f>IF('1.DATOS-PROD'!BN20="SI",VLOOKUP('1.DATOS-PROD'!BN$2,'1.PUNTOS'!$A$1:$B$63,2,0),0)</f>
        <v>0</v>
      </c>
      <c r="BF19" s="138">
        <f>IF('1.DATOS-PROD'!BO20="SI",VLOOKUP('1.DATOS-PROD'!BO$2,'1.PUNTOS'!$A$1:$B$63,2,0),0)</f>
        <v>0</v>
      </c>
      <c r="BG19" s="138">
        <f>IF('1.DATOS-PROD'!BP20="SI",VLOOKUP('1.DATOS-PROD'!BP$2,'1.PUNTOS'!$A$1:$B$63,2,0),0)</f>
        <v>0</v>
      </c>
      <c r="BH19" s="138">
        <f>IF('1.DATOS-PROD'!BQ20="SI",VLOOKUP('1.DATOS-PROD'!BQ$2,'1.PUNTOS'!$A$1:$B$63,2,0),0)</f>
        <v>0</v>
      </c>
      <c r="BI19" s="138">
        <f>IF('1.DATOS-PROD'!BR20="SI",VLOOKUP('1.DATOS-PROD'!BR$2,'1.PUNTOS'!$A$1:$B$63,2,0),0)</f>
        <v>0</v>
      </c>
      <c r="BJ19" s="138">
        <f>IF('1.DATOS-PROD'!BS20="SI",VLOOKUP('1.DATOS-PROD'!BS$2,'1.PUNTOS'!$A$1:$B$63,2,0),0)</f>
        <v>0</v>
      </c>
      <c r="BK19" s="138">
        <f>IF('1.DATOS-PROD'!BT20="SI",VLOOKUP('1.DATOS-PROD'!BT$2,'1.PUNTOS'!$A$1:$B$63,2,0),0)</f>
        <v>0</v>
      </c>
    </row>
    <row r="20" spans="1:63" x14ac:dyDescent="0.25">
      <c r="A20">
        <f>'0.Consolidado general'!$A21</f>
        <v>0</v>
      </c>
      <c r="B20" s="138">
        <f>IF('1.DATOS-PROD'!K21="SI",VLOOKUP('1.DATOS-PROD'!K$2,'1.PUNTOS'!$A$1:$B$63,2,0),0)</f>
        <v>0</v>
      </c>
      <c r="C20" s="138">
        <f>IF('1.DATOS-PROD'!L21="SI",VLOOKUP('1.DATOS-PROD'!L$2,'1.PUNTOS'!$A$1:$B$63,2,0),0)</f>
        <v>0</v>
      </c>
      <c r="D20" s="138">
        <f>IF('1.DATOS-PROD'!M21="SI",VLOOKUP('1.DATOS-PROD'!M$2,'1.PUNTOS'!$A$1:$B$63,2,0),0)</f>
        <v>0</v>
      </c>
      <c r="E20" s="138">
        <f>IF('1.DATOS-PROD'!N21="SI",VLOOKUP('1.DATOS-PROD'!N$2,'1.PUNTOS'!$A$1:$B$63,2,0),0)</f>
        <v>0</v>
      </c>
      <c r="F20" s="138">
        <f>IF('1.DATOS-PROD'!O21="SI",VLOOKUP('1.DATOS-PROD'!O$2,'1.PUNTOS'!$A$1:$B$63,2,0),0)</f>
        <v>0</v>
      </c>
      <c r="G20" s="138">
        <f>IF('1.DATOS-PROD'!P21="SI",VLOOKUP('1.DATOS-PROD'!P$2,'1.PUNTOS'!$A$1:$B$63,2,0),0)</f>
        <v>0</v>
      </c>
      <c r="H20" s="138">
        <f>IF('1.DATOS-PROD'!Q21="SI",VLOOKUP('1.DATOS-PROD'!Q$2,'1.PUNTOS'!$A$1:$B$63,2,0),0)</f>
        <v>0</v>
      </c>
      <c r="I20" s="138">
        <f>IF('1.DATOS-PROD'!R21="SI",VLOOKUP('1.DATOS-PROD'!R$2,'1.PUNTOS'!$A$1:$B$63,2,0),0)</f>
        <v>0</v>
      </c>
      <c r="J20" s="138">
        <f>IF('1.DATOS-PROD'!S21="SI",VLOOKUP('1.DATOS-PROD'!S$2,'1.PUNTOS'!$A$1:$B$63,2,0),0)</f>
        <v>0</v>
      </c>
      <c r="K20" s="138">
        <f>IF('1.DATOS-PROD'!T21="SI",VLOOKUP('1.DATOS-PROD'!T$2,'1.PUNTOS'!$A$1:$B$63,2,0),0)</f>
        <v>0</v>
      </c>
      <c r="L20" s="138">
        <f>IF('1.DATOS-PROD'!U21="SI",VLOOKUP('1.DATOS-PROD'!U$2,'1.PUNTOS'!$A$1:$B$63,2,0),0)</f>
        <v>0</v>
      </c>
      <c r="M20" s="138">
        <f>IF('1.DATOS-PROD'!V21="SI",VLOOKUP('1.DATOS-PROD'!V$2,'1.PUNTOS'!$A$1:$B$63,2,0),0)</f>
        <v>0</v>
      </c>
      <c r="N20" s="138">
        <f>IF('1.DATOS-PROD'!W21="SI",VLOOKUP('1.DATOS-PROD'!W$2,'1.PUNTOS'!$A$1:$B$63,2,0),0)</f>
        <v>0</v>
      </c>
      <c r="O20" s="138">
        <f>IF('1.DATOS-PROD'!X21="SI",VLOOKUP('1.DATOS-PROD'!X$2,'1.PUNTOS'!$A$1:$B$63,2,0),0)</f>
        <v>0</v>
      </c>
      <c r="P20" s="138">
        <f>IF('1.DATOS-PROD'!Y21="SI",VLOOKUP('1.DATOS-PROD'!Y$2,'1.PUNTOS'!$A$1:$B$63,2,0),0)</f>
        <v>0</v>
      </c>
      <c r="Q20" s="138">
        <f>IF('1.DATOS-PROD'!Z21="SI",VLOOKUP('1.DATOS-PROD'!Z$2,'1.PUNTOS'!$A$1:$B$63,2,0),0)</f>
        <v>0</v>
      </c>
      <c r="R20" s="138">
        <f>IF('1.DATOS-PROD'!AA21="SI",VLOOKUP('1.DATOS-PROD'!AA$2,'1.PUNTOS'!$A$1:$B$63,2,0),0)</f>
        <v>0</v>
      </c>
      <c r="S20" s="138">
        <f>IF('1.DATOS-PROD'!AB21="SI",VLOOKUP('1.DATOS-PROD'!AB$2,'1.PUNTOS'!$A$1:$B$63,2,0),0)</f>
        <v>0</v>
      </c>
      <c r="T20" s="138">
        <f>IF('1.DATOS-PROD'!AC21="SI",VLOOKUP('1.DATOS-PROD'!AC$2,'1.PUNTOS'!$A$1:$B$63,2,0),0)</f>
        <v>0</v>
      </c>
      <c r="U20" s="138">
        <f>IF('1.DATOS-PROD'!AD21="SI",VLOOKUP('1.DATOS-PROD'!AD$2,'1.PUNTOS'!$A$1:$B$63,2,0),0)</f>
        <v>0</v>
      </c>
      <c r="V20" s="138">
        <f>IF('1.DATOS-PROD'!AE21="SI",VLOOKUP('1.DATOS-PROD'!AE$2,'1.PUNTOS'!$A$1:$B$63,2,0),0)</f>
        <v>0</v>
      </c>
      <c r="W20" s="138">
        <f>IF('1.DATOS-PROD'!AF21="SI",VLOOKUP('1.DATOS-PROD'!AF$2,'1.PUNTOS'!$A$1:$B$63,2,0),0)</f>
        <v>0</v>
      </c>
      <c r="X20" s="138">
        <f>IF('1.DATOS-PROD'!AG21="SI",VLOOKUP('1.DATOS-PROD'!AG$2,'1.PUNTOS'!$A$1:$B$63,2,0),0)</f>
        <v>0</v>
      </c>
      <c r="Y20" s="138">
        <f>IF('1.DATOS-PROD'!AH21="SI",VLOOKUP('1.DATOS-PROD'!AH$2,'1.PUNTOS'!$A$1:$B$63,2,0),0)</f>
        <v>0</v>
      </c>
      <c r="Z20" s="138">
        <f>IF('1.DATOS-PROD'!AI21="SI",VLOOKUP('1.DATOS-PROD'!AI$2,'1.PUNTOS'!$A$1:$B$63,2,0),0)</f>
        <v>0</v>
      </c>
      <c r="AA20" s="138">
        <f>IF('1.DATOS-PROD'!AJ21="SI",VLOOKUP('1.DATOS-PROD'!AJ$2,'1.PUNTOS'!$A$1:$B$63,2,0),0)</f>
        <v>0</v>
      </c>
      <c r="AB20" s="138">
        <f>IF('1.DATOS-PROD'!AK21="SI",VLOOKUP('1.DATOS-PROD'!AK$2,'1.PUNTOS'!$A$1:$B$63,2,0),0)</f>
        <v>0</v>
      </c>
      <c r="AC20" s="138">
        <f>IF('1.DATOS-PROD'!AL21="SI",VLOOKUP('1.DATOS-PROD'!AL$2,'1.PUNTOS'!$A$1:$B$63,2,0),0)</f>
        <v>0</v>
      </c>
      <c r="AD20" s="138">
        <f>IF('1.DATOS-PROD'!AM21="SI",VLOOKUP('1.DATOS-PROD'!AM$2,'1.PUNTOS'!$A$1:$B$63,2,0),0)</f>
        <v>0</v>
      </c>
      <c r="AE20" s="138">
        <f>IF('1.DATOS-PROD'!AN21="SI",VLOOKUP('1.DATOS-PROD'!AN$2,'1.PUNTOS'!$A$1:$B$63,2,0),0)</f>
        <v>0</v>
      </c>
      <c r="AF20" s="138">
        <f>IF('1.DATOS-PROD'!AO21="SI",VLOOKUP('1.DATOS-PROD'!AO$2,'1.PUNTOS'!$A$1:$B$63,2,0),0)</f>
        <v>0</v>
      </c>
      <c r="AG20" s="138">
        <f>IF('1.DATOS-PROD'!AP21="SI",VLOOKUP('1.DATOS-PROD'!AP$2,'1.PUNTOS'!$A$1:$B$63,2,0),0)</f>
        <v>0</v>
      </c>
      <c r="AH20" s="138">
        <f>IF('1.DATOS-PROD'!AQ21="SI",VLOOKUP('1.DATOS-PROD'!AQ$2,'1.PUNTOS'!$A$1:$B$63,2,0),0)</f>
        <v>0</v>
      </c>
      <c r="AI20" s="138">
        <f>IF('1.DATOS-PROD'!AR21="SI",VLOOKUP('1.DATOS-PROD'!AR$2,'1.PUNTOS'!$A$1:$B$63,2,0),0)</f>
        <v>0</v>
      </c>
      <c r="AJ20" s="138">
        <f>IF('1.DATOS-PROD'!AS21="SI",VLOOKUP('1.DATOS-PROD'!AS$2,'1.PUNTOS'!$A$1:$B$63,2,0),0)</f>
        <v>0</v>
      </c>
      <c r="AK20" s="138">
        <f>IF('1.DATOS-PROD'!AT21="SI",VLOOKUP('1.DATOS-PROD'!AT$2,'1.PUNTOS'!$A$1:$B$63,2,0),0)</f>
        <v>0</v>
      </c>
      <c r="AL20" s="138">
        <f>IF('1.DATOS-PROD'!AU21="SI",VLOOKUP('1.DATOS-PROD'!AU$2,'1.PUNTOS'!$A$1:$B$63,2,0),0)</f>
        <v>0</v>
      </c>
      <c r="AM20" s="138">
        <f>IF('1.DATOS-PROD'!AV21="SI",VLOOKUP('1.DATOS-PROD'!AV$2,'1.PUNTOS'!$A$1:$B$63,2,0),0)</f>
        <v>0</v>
      </c>
      <c r="AN20" s="138">
        <f>IF('1.DATOS-PROD'!AW21="SI",VLOOKUP('1.DATOS-PROD'!AW$2,'1.PUNTOS'!$A$1:$B$63,2,0),0)</f>
        <v>0</v>
      </c>
      <c r="AO20" s="138">
        <f>IF('1.DATOS-PROD'!AX21="SI",VLOOKUP('1.DATOS-PROD'!AX$2,'1.PUNTOS'!$A$1:$B$63,2,0),0)</f>
        <v>0</v>
      </c>
      <c r="AP20" s="138">
        <f>IF('1.DATOS-PROD'!AY21="SI",VLOOKUP('1.DATOS-PROD'!AY$2,'1.PUNTOS'!$A$1:$B$63,2,0),0)</f>
        <v>0</v>
      </c>
      <c r="AQ20" s="138">
        <f>IF('1.DATOS-PROD'!AZ21="SI",VLOOKUP('1.DATOS-PROD'!AZ$2,'1.PUNTOS'!$A$1:$B$63,2,0),0)</f>
        <v>0</v>
      </c>
      <c r="AR20" s="138">
        <f>IF('1.DATOS-PROD'!BA21="SI",VLOOKUP('1.DATOS-PROD'!BA$2,'1.PUNTOS'!$A$1:$B$63,2,0),0)</f>
        <v>0</v>
      </c>
      <c r="AS20" s="138">
        <f>IF('1.DATOS-PROD'!BB21="SI",VLOOKUP('1.DATOS-PROD'!BB$2,'1.PUNTOS'!$A$1:$B$63,2,0),0)</f>
        <v>0</v>
      </c>
      <c r="AT20" s="138">
        <f>IF('1.DATOS-PROD'!BC21="SI",VLOOKUP('1.DATOS-PROD'!BC$2,'1.PUNTOS'!$A$1:$B$63,2,0),0)</f>
        <v>0</v>
      </c>
      <c r="AU20" s="138">
        <f>IF('1.DATOS-PROD'!BD21="SI",VLOOKUP('1.DATOS-PROD'!BD$2,'1.PUNTOS'!$A$1:$B$63,2,0),0)</f>
        <v>0</v>
      </c>
      <c r="AV20" s="138">
        <f>IF('1.DATOS-PROD'!BE21="SI",VLOOKUP('1.DATOS-PROD'!BE$2,'1.PUNTOS'!$A$1:$B$63,2,0),0)</f>
        <v>0</v>
      </c>
      <c r="AW20" s="138">
        <f>IF('1.DATOS-PROD'!BF21="SI",VLOOKUP('1.DATOS-PROD'!BF$2,'1.PUNTOS'!$A$1:$B$63,2,0),0)</f>
        <v>0</v>
      </c>
      <c r="AX20" s="138">
        <f>IF('1.DATOS-PROD'!BG21="SI",VLOOKUP('1.DATOS-PROD'!BG$2,'1.PUNTOS'!$A$1:$B$63,2,0),0)</f>
        <v>0</v>
      </c>
      <c r="AY20" s="138">
        <f>IF('1.DATOS-PROD'!BH21="SI",VLOOKUP('1.DATOS-PROD'!BH$2,'1.PUNTOS'!$A$1:$B$63,2,0),0)</f>
        <v>0</v>
      </c>
      <c r="AZ20" s="138">
        <f>IF('1.DATOS-PROD'!BI21="SI",VLOOKUP('1.DATOS-PROD'!BI$2,'1.PUNTOS'!$A$1:$B$63,2,0),0)</f>
        <v>0</v>
      </c>
      <c r="BA20" s="138">
        <f>IF('1.DATOS-PROD'!BJ21="SI",VLOOKUP('1.DATOS-PROD'!BJ$2,'1.PUNTOS'!$A$1:$B$63,2,0),0)</f>
        <v>0</v>
      </c>
      <c r="BB20" s="138">
        <f>IF('1.DATOS-PROD'!BK21="SI",VLOOKUP('1.DATOS-PROD'!BK$2,'1.PUNTOS'!$A$1:$B$63,2,0),0)</f>
        <v>0</v>
      </c>
      <c r="BC20" s="138">
        <f>IF('1.DATOS-PROD'!BL21="SI",VLOOKUP('1.DATOS-PROD'!BL$2,'1.PUNTOS'!$A$1:$B$63,2,0),0)</f>
        <v>0</v>
      </c>
      <c r="BD20" s="138">
        <f>IF('1.DATOS-PROD'!BM21="SI",VLOOKUP('1.DATOS-PROD'!BM$2,'1.PUNTOS'!$A$1:$B$63,2,0),0)</f>
        <v>0</v>
      </c>
      <c r="BE20" s="138">
        <f>IF('1.DATOS-PROD'!BN21="SI",VLOOKUP('1.DATOS-PROD'!BN$2,'1.PUNTOS'!$A$1:$B$63,2,0),0)</f>
        <v>0</v>
      </c>
      <c r="BF20" s="138">
        <f>IF('1.DATOS-PROD'!BO21="SI",VLOOKUP('1.DATOS-PROD'!BO$2,'1.PUNTOS'!$A$1:$B$63,2,0),0)</f>
        <v>0</v>
      </c>
      <c r="BG20" s="138">
        <f>IF('1.DATOS-PROD'!BP21="SI",VLOOKUP('1.DATOS-PROD'!BP$2,'1.PUNTOS'!$A$1:$B$63,2,0),0)</f>
        <v>0</v>
      </c>
      <c r="BH20" s="138">
        <f>IF('1.DATOS-PROD'!BQ21="SI",VLOOKUP('1.DATOS-PROD'!BQ$2,'1.PUNTOS'!$A$1:$B$63,2,0),0)</f>
        <v>0</v>
      </c>
      <c r="BI20" s="138">
        <f>IF('1.DATOS-PROD'!BR21="SI",VLOOKUP('1.DATOS-PROD'!BR$2,'1.PUNTOS'!$A$1:$B$63,2,0),0)</f>
        <v>0</v>
      </c>
      <c r="BJ20" s="138">
        <f>IF('1.DATOS-PROD'!BS21="SI",VLOOKUP('1.DATOS-PROD'!BS$2,'1.PUNTOS'!$A$1:$B$63,2,0),0)</f>
        <v>0</v>
      </c>
      <c r="BK20" s="138">
        <f>IF('1.DATOS-PROD'!BT21="SI",VLOOKUP('1.DATOS-PROD'!BT$2,'1.PUNTOS'!$A$1:$B$63,2,0),0)</f>
        <v>0</v>
      </c>
    </row>
    <row r="21" spans="1:63" x14ac:dyDescent="0.25">
      <c r="A21">
        <f>'0.Consolidado general'!$A22</f>
        <v>0</v>
      </c>
      <c r="B21" s="138">
        <f>IF('1.DATOS-PROD'!K22="SI",VLOOKUP('1.DATOS-PROD'!K$2,'1.PUNTOS'!$A$1:$B$63,2,0),0)</f>
        <v>0</v>
      </c>
      <c r="C21" s="138">
        <f>IF('1.DATOS-PROD'!L22="SI",VLOOKUP('1.DATOS-PROD'!L$2,'1.PUNTOS'!$A$1:$B$63,2,0),0)</f>
        <v>0</v>
      </c>
      <c r="D21" s="138">
        <f>IF('1.DATOS-PROD'!M22="SI",VLOOKUP('1.DATOS-PROD'!M$2,'1.PUNTOS'!$A$1:$B$63,2,0),0)</f>
        <v>0</v>
      </c>
      <c r="E21" s="138">
        <f>IF('1.DATOS-PROD'!N22="SI",VLOOKUP('1.DATOS-PROD'!N$2,'1.PUNTOS'!$A$1:$B$63,2,0),0)</f>
        <v>0</v>
      </c>
      <c r="F21" s="138">
        <f>IF('1.DATOS-PROD'!O22="SI",VLOOKUP('1.DATOS-PROD'!O$2,'1.PUNTOS'!$A$1:$B$63,2,0),0)</f>
        <v>0</v>
      </c>
      <c r="G21" s="138">
        <f>IF('1.DATOS-PROD'!P22="SI",VLOOKUP('1.DATOS-PROD'!P$2,'1.PUNTOS'!$A$1:$B$63,2,0),0)</f>
        <v>0</v>
      </c>
      <c r="H21" s="138">
        <f>IF('1.DATOS-PROD'!Q22="SI",VLOOKUP('1.DATOS-PROD'!Q$2,'1.PUNTOS'!$A$1:$B$63,2,0),0)</f>
        <v>0</v>
      </c>
      <c r="I21" s="138">
        <f>IF('1.DATOS-PROD'!R22="SI",VLOOKUP('1.DATOS-PROD'!R$2,'1.PUNTOS'!$A$1:$B$63,2,0),0)</f>
        <v>0</v>
      </c>
      <c r="J21" s="138">
        <f>IF('1.DATOS-PROD'!S22="SI",VLOOKUP('1.DATOS-PROD'!S$2,'1.PUNTOS'!$A$1:$B$63,2,0),0)</f>
        <v>0</v>
      </c>
      <c r="K21" s="138">
        <f>IF('1.DATOS-PROD'!T22="SI",VLOOKUP('1.DATOS-PROD'!T$2,'1.PUNTOS'!$A$1:$B$63,2,0),0)</f>
        <v>0</v>
      </c>
      <c r="L21" s="138">
        <f>IF('1.DATOS-PROD'!U22="SI",VLOOKUP('1.DATOS-PROD'!U$2,'1.PUNTOS'!$A$1:$B$63,2,0),0)</f>
        <v>0</v>
      </c>
      <c r="M21" s="138">
        <f>IF('1.DATOS-PROD'!V22="SI",VLOOKUP('1.DATOS-PROD'!V$2,'1.PUNTOS'!$A$1:$B$63,2,0),0)</f>
        <v>0</v>
      </c>
      <c r="N21" s="138">
        <f>IF('1.DATOS-PROD'!W22="SI",VLOOKUP('1.DATOS-PROD'!W$2,'1.PUNTOS'!$A$1:$B$63,2,0),0)</f>
        <v>0</v>
      </c>
      <c r="O21" s="138">
        <f>IF('1.DATOS-PROD'!X22="SI",VLOOKUP('1.DATOS-PROD'!X$2,'1.PUNTOS'!$A$1:$B$63,2,0),0)</f>
        <v>0</v>
      </c>
      <c r="P21" s="138">
        <f>IF('1.DATOS-PROD'!Y22="SI",VLOOKUP('1.DATOS-PROD'!Y$2,'1.PUNTOS'!$A$1:$B$63,2,0),0)</f>
        <v>0</v>
      </c>
      <c r="Q21" s="138">
        <f>IF('1.DATOS-PROD'!Z22="SI",VLOOKUP('1.DATOS-PROD'!Z$2,'1.PUNTOS'!$A$1:$B$63,2,0),0)</f>
        <v>0</v>
      </c>
      <c r="R21" s="138">
        <f>IF('1.DATOS-PROD'!AA22="SI",VLOOKUP('1.DATOS-PROD'!AA$2,'1.PUNTOS'!$A$1:$B$63,2,0),0)</f>
        <v>0</v>
      </c>
      <c r="S21" s="138">
        <f>IF('1.DATOS-PROD'!AB22="SI",VLOOKUP('1.DATOS-PROD'!AB$2,'1.PUNTOS'!$A$1:$B$63,2,0),0)</f>
        <v>0</v>
      </c>
      <c r="T21" s="138">
        <f>IF('1.DATOS-PROD'!AC22="SI",VLOOKUP('1.DATOS-PROD'!AC$2,'1.PUNTOS'!$A$1:$B$63,2,0),0)</f>
        <v>0</v>
      </c>
      <c r="U21" s="138">
        <f>IF('1.DATOS-PROD'!AD22="SI",VLOOKUP('1.DATOS-PROD'!AD$2,'1.PUNTOS'!$A$1:$B$63,2,0),0)</f>
        <v>0</v>
      </c>
      <c r="V21" s="138">
        <f>IF('1.DATOS-PROD'!AE22="SI",VLOOKUP('1.DATOS-PROD'!AE$2,'1.PUNTOS'!$A$1:$B$63,2,0),0)</f>
        <v>0</v>
      </c>
      <c r="W21" s="138">
        <f>IF('1.DATOS-PROD'!AF22="SI",VLOOKUP('1.DATOS-PROD'!AF$2,'1.PUNTOS'!$A$1:$B$63,2,0),0)</f>
        <v>0</v>
      </c>
      <c r="X21" s="138">
        <f>IF('1.DATOS-PROD'!AG22="SI",VLOOKUP('1.DATOS-PROD'!AG$2,'1.PUNTOS'!$A$1:$B$63,2,0),0)</f>
        <v>0</v>
      </c>
      <c r="Y21" s="138">
        <f>IF('1.DATOS-PROD'!AH22="SI",VLOOKUP('1.DATOS-PROD'!AH$2,'1.PUNTOS'!$A$1:$B$63,2,0),0)</f>
        <v>0</v>
      </c>
      <c r="Z21" s="138">
        <f>IF('1.DATOS-PROD'!AI22="SI",VLOOKUP('1.DATOS-PROD'!AI$2,'1.PUNTOS'!$A$1:$B$63,2,0),0)</f>
        <v>0</v>
      </c>
      <c r="AA21" s="138">
        <f>IF('1.DATOS-PROD'!AJ22="SI",VLOOKUP('1.DATOS-PROD'!AJ$2,'1.PUNTOS'!$A$1:$B$63,2,0),0)</f>
        <v>0</v>
      </c>
      <c r="AB21" s="138">
        <f>IF('1.DATOS-PROD'!AK22="SI",VLOOKUP('1.DATOS-PROD'!AK$2,'1.PUNTOS'!$A$1:$B$63,2,0),0)</f>
        <v>0</v>
      </c>
      <c r="AC21" s="138">
        <f>IF('1.DATOS-PROD'!AL22="SI",VLOOKUP('1.DATOS-PROD'!AL$2,'1.PUNTOS'!$A$1:$B$63,2,0),0)</f>
        <v>0</v>
      </c>
      <c r="AD21" s="138">
        <f>IF('1.DATOS-PROD'!AM22="SI",VLOOKUP('1.DATOS-PROD'!AM$2,'1.PUNTOS'!$A$1:$B$63,2,0),0)</f>
        <v>0</v>
      </c>
      <c r="AE21" s="138">
        <f>IF('1.DATOS-PROD'!AN22="SI",VLOOKUP('1.DATOS-PROD'!AN$2,'1.PUNTOS'!$A$1:$B$63,2,0),0)</f>
        <v>0</v>
      </c>
      <c r="AF21" s="138">
        <f>IF('1.DATOS-PROD'!AO22="SI",VLOOKUP('1.DATOS-PROD'!AO$2,'1.PUNTOS'!$A$1:$B$63,2,0),0)</f>
        <v>0</v>
      </c>
      <c r="AG21" s="138">
        <f>IF('1.DATOS-PROD'!AP22="SI",VLOOKUP('1.DATOS-PROD'!AP$2,'1.PUNTOS'!$A$1:$B$63,2,0),0)</f>
        <v>0</v>
      </c>
      <c r="AH21" s="138">
        <f>IF('1.DATOS-PROD'!AQ22="SI",VLOOKUP('1.DATOS-PROD'!AQ$2,'1.PUNTOS'!$A$1:$B$63,2,0),0)</f>
        <v>0</v>
      </c>
      <c r="AI21" s="138">
        <f>IF('1.DATOS-PROD'!AR22="SI",VLOOKUP('1.DATOS-PROD'!AR$2,'1.PUNTOS'!$A$1:$B$63,2,0),0)</f>
        <v>0</v>
      </c>
      <c r="AJ21" s="138">
        <f>IF('1.DATOS-PROD'!AS22="SI",VLOOKUP('1.DATOS-PROD'!AS$2,'1.PUNTOS'!$A$1:$B$63,2,0),0)</f>
        <v>0</v>
      </c>
      <c r="AK21" s="138">
        <f>IF('1.DATOS-PROD'!AT22="SI",VLOOKUP('1.DATOS-PROD'!AT$2,'1.PUNTOS'!$A$1:$B$63,2,0),0)</f>
        <v>0</v>
      </c>
      <c r="AL21" s="138">
        <f>IF('1.DATOS-PROD'!AU22="SI",VLOOKUP('1.DATOS-PROD'!AU$2,'1.PUNTOS'!$A$1:$B$63,2,0),0)</f>
        <v>0</v>
      </c>
      <c r="AM21" s="138">
        <f>IF('1.DATOS-PROD'!AV22="SI",VLOOKUP('1.DATOS-PROD'!AV$2,'1.PUNTOS'!$A$1:$B$63,2,0),0)</f>
        <v>0</v>
      </c>
      <c r="AN21" s="138">
        <f>IF('1.DATOS-PROD'!AW22="SI",VLOOKUP('1.DATOS-PROD'!AW$2,'1.PUNTOS'!$A$1:$B$63,2,0),0)</f>
        <v>0</v>
      </c>
      <c r="AO21" s="138">
        <f>IF('1.DATOS-PROD'!AX22="SI",VLOOKUP('1.DATOS-PROD'!AX$2,'1.PUNTOS'!$A$1:$B$63,2,0),0)</f>
        <v>0</v>
      </c>
      <c r="AP21" s="138">
        <f>IF('1.DATOS-PROD'!AY22="SI",VLOOKUP('1.DATOS-PROD'!AY$2,'1.PUNTOS'!$A$1:$B$63,2,0),0)</f>
        <v>0</v>
      </c>
      <c r="AQ21" s="138">
        <f>IF('1.DATOS-PROD'!AZ22="SI",VLOOKUP('1.DATOS-PROD'!AZ$2,'1.PUNTOS'!$A$1:$B$63,2,0),0)</f>
        <v>0</v>
      </c>
      <c r="AR21" s="138">
        <f>IF('1.DATOS-PROD'!BA22="SI",VLOOKUP('1.DATOS-PROD'!BA$2,'1.PUNTOS'!$A$1:$B$63,2,0),0)</f>
        <v>0</v>
      </c>
      <c r="AS21" s="138">
        <f>IF('1.DATOS-PROD'!BB22="SI",VLOOKUP('1.DATOS-PROD'!BB$2,'1.PUNTOS'!$A$1:$B$63,2,0),0)</f>
        <v>0</v>
      </c>
      <c r="AT21" s="138">
        <f>IF('1.DATOS-PROD'!BC22="SI",VLOOKUP('1.DATOS-PROD'!BC$2,'1.PUNTOS'!$A$1:$B$63,2,0),0)</f>
        <v>0</v>
      </c>
      <c r="AU21" s="138">
        <f>IF('1.DATOS-PROD'!BD22="SI",VLOOKUP('1.DATOS-PROD'!BD$2,'1.PUNTOS'!$A$1:$B$63,2,0),0)</f>
        <v>0</v>
      </c>
      <c r="AV21" s="138">
        <f>IF('1.DATOS-PROD'!BE22="SI",VLOOKUP('1.DATOS-PROD'!BE$2,'1.PUNTOS'!$A$1:$B$63,2,0),0)</f>
        <v>0</v>
      </c>
      <c r="AW21" s="138">
        <f>IF('1.DATOS-PROD'!BF22="SI",VLOOKUP('1.DATOS-PROD'!BF$2,'1.PUNTOS'!$A$1:$B$63,2,0),0)</f>
        <v>0</v>
      </c>
      <c r="AX21" s="138">
        <f>IF('1.DATOS-PROD'!BG22="SI",VLOOKUP('1.DATOS-PROD'!BG$2,'1.PUNTOS'!$A$1:$B$63,2,0),0)</f>
        <v>0</v>
      </c>
      <c r="AY21" s="138">
        <f>IF('1.DATOS-PROD'!BH22="SI",VLOOKUP('1.DATOS-PROD'!BH$2,'1.PUNTOS'!$A$1:$B$63,2,0),0)</f>
        <v>0</v>
      </c>
      <c r="AZ21" s="138">
        <f>IF('1.DATOS-PROD'!BI22="SI",VLOOKUP('1.DATOS-PROD'!BI$2,'1.PUNTOS'!$A$1:$B$63,2,0),0)</f>
        <v>0</v>
      </c>
      <c r="BA21" s="138">
        <f>IF('1.DATOS-PROD'!BJ22="SI",VLOOKUP('1.DATOS-PROD'!BJ$2,'1.PUNTOS'!$A$1:$B$63,2,0),0)</f>
        <v>0</v>
      </c>
      <c r="BB21" s="138">
        <f>IF('1.DATOS-PROD'!BK22="SI",VLOOKUP('1.DATOS-PROD'!BK$2,'1.PUNTOS'!$A$1:$B$63,2,0),0)</f>
        <v>0</v>
      </c>
      <c r="BC21" s="138">
        <f>IF('1.DATOS-PROD'!BL22="SI",VLOOKUP('1.DATOS-PROD'!BL$2,'1.PUNTOS'!$A$1:$B$63,2,0),0)</f>
        <v>0</v>
      </c>
      <c r="BD21" s="138">
        <f>IF('1.DATOS-PROD'!BM22="SI",VLOOKUP('1.DATOS-PROD'!BM$2,'1.PUNTOS'!$A$1:$B$63,2,0),0)</f>
        <v>0</v>
      </c>
      <c r="BE21" s="138">
        <f>IF('1.DATOS-PROD'!BN22="SI",VLOOKUP('1.DATOS-PROD'!BN$2,'1.PUNTOS'!$A$1:$B$63,2,0),0)</f>
        <v>0</v>
      </c>
      <c r="BF21" s="138">
        <f>IF('1.DATOS-PROD'!BO22="SI",VLOOKUP('1.DATOS-PROD'!BO$2,'1.PUNTOS'!$A$1:$B$63,2,0),0)</f>
        <v>0</v>
      </c>
      <c r="BG21" s="138">
        <f>IF('1.DATOS-PROD'!BP22="SI",VLOOKUP('1.DATOS-PROD'!BP$2,'1.PUNTOS'!$A$1:$B$63,2,0),0)</f>
        <v>0</v>
      </c>
      <c r="BH21" s="138">
        <f>IF('1.DATOS-PROD'!BQ22="SI",VLOOKUP('1.DATOS-PROD'!BQ$2,'1.PUNTOS'!$A$1:$B$63,2,0),0)</f>
        <v>0</v>
      </c>
      <c r="BI21" s="138">
        <f>IF('1.DATOS-PROD'!BR22="SI",VLOOKUP('1.DATOS-PROD'!BR$2,'1.PUNTOS'!$A$1:$B$63,2,0),0)</f>
        <v>0</v>
      </c>
      <c r="BJ21" s="138">
        <f>IF('1.DATOS-PROD'!BS22="SI",VLOOKUP('1.DATOS-PROD'!BS$2,'1.PUNTOS'!$A$1:$B$63,2,0),0)</f>
        <v>0</v>
      </c>
      <c r="BK21" s="138">
        <f>IF('1.DATOS-PROD'!BT22="SI",VLOOKUP('1.DATOS-PROD'!BT$2,'1.PUNTOS'!$A$1:$B$63,2,0),0)</f>
        <v>0</v>
      </c>
    </row>
    <row r="22" spans="1:63" x14ac:dyDescent="0.25">
      <c r="A22">
        <f>'0.Consolidado general'!$A23</f>
        <v>0</v>
      </c>
      <c r="B22" s="138">
        <f>IF('1.DATOS-PROD'!K23="SI",VLOOKUP('1.DATOS-PROD'!K$2,'1.PUNTOS'!$A$1:$B$63,2,0),0)</f>
        <v>0</v>
      </c>
      <c r="C22" s="138">
        <f>IF('1.DATOS-PROD'!L23="SI",VLOOKUP('1.DATOS-PROD'!L$2,'1.PUNTOS'!$A$1:$B$63,2,0),0)</f>
        <v>0</v>
      </c>
      <c r="D22" s="138">
        <f>IF('1.DATOS-PROD'!M23="SI",VLOOKUP('1.DATOS-PROD'!M$2,'1.PUNTOS'!$A$1:$B$63,2,0),0)</f>
        <v>0</v>
      </c>
      <c r="E22" s="138">
        <f>IF('1.DATOS-PROD'!N23="SI",VLOOKUP('1.DATOS-PROD'!N$2,'1.PUNTOS'!$A$1:$B$63,2,0),0)</f>
        <v>0</v>
      </c>
      <c r="F22" s="138">
        <f>IF('1.DATOS-PROD'!O23="SI",VLOOKUP('1.DATOS-PROD'!O$2,'1.PUNTOS'!$A$1:$B$63,2,0),0)</f>
        <v>0</v>
      </c>
      <c r="G22" s="138">
        <f>IF('1.DATOS-PROD'!P23="SI",VLOOKUP('1.DATOS-PROD'!P$2,'1.PUNTOS'!$A$1:$B$63,2,0),0)</f>
        <v>0</v>
      </c>
      <c r="H22" s="138">
        <f>IF('1.DATOS-PROD'!Q23="SI",VLOOKUP('1.DATOS-PROD'!Q$2,'1.PUNTOS'!$A$1:$B$63,2,0),0)</f>
        <v>0</v>
      </c>
      <c r="I22" s="138">
        <f>IF('1.DATOS-PROD'!R23="SI",VLOOKUP('1.DATOS-PROD'!R$2,'1.PUNTOS'!$A$1:$B$63,2,0),0)</f>
        <v>0</v>
      </c>
      <c r="J22" s="138">
        <f>IF('1.DATOS-PROD'!S23="SI",VLOOKUP('1.DATOS-PROD'!S$2,'1.PUNTOS'!$A$1:$B$63,2,0),0)</f>
        <v>0</v>
      </c>
      <c r="K22" s="138">
        <f>IF('1.DATOS-PROD'!T23="SI",VLOOKUP('1.DATOS-PROD'!T$2,'1.PUNTOS'!$A$1:$B$63,2,0),0)</f>
        <v>0</v>
      </c>
      <c r="L22" s="138">
        <f>IF('1.DATOS-PROD'!U23="SI",VLOOKUP('1.DATOS-PROD'!U$2,'1.PUNTOS'!$A$1:$B$63,2,0),0)</f>
        <v>0</v>
      </c>
      <c r="M22" s="138">
        <f>IF('1.DATOS-PROD'!V23="SI",VLOOKUP('1.DATOS-PROD'!V$2,'1.PUNTOS'!$A$1:$B$63,2,0),0)</f>
        <v>0</v>
      </c>
      <c r="N22" s="138">
        <f>IF('1.DATOS-PROD'!W23="SI",VLOOKUP('1.DATOS-PROD'!W$2,'1.PUNTOS'!$A$1:$B$63,2,0),0)</f>
        <v>0</v>
      </c>
      <c r="O22" s="138">
        <f>IF('1.DATOS-PROD'!X23="SI",VLOOKUP('1.DATOS-PROD'!X$2,'1.PUNTOS'!$A$1:$B$63,2,0),0)</f>
        <v>0</v>
      </c>
      <c r="P22" s="138">
        <f>IF('1.DATOS-PROD'!Y23="SI",VLOOKUP('1.DATOS-PROD'!Y$2,'1.PUNTOS'!$A$1:$B$63,2,0),0)</f>
        <v>0</v>
      </c>
      <c r="Q22" s="138">
        <f>IF('1.DATOS-PROD'!Z23="SI",VLOOKUP('1.DATOS-PROD'!Z$2,'1.PUNTOS'!$A$1:$B$63,2,0),0)</f>
        <v>0</v>
      </c>
      <c r="R22" s="138">
        <f>IF('1.DATOS-PROD'!AA23="SI",VLOOKUP('1.DATOS-PROD'!AA$2,'1.PUNTOS'!$A$1:$B$63,2,0),0)</f>
        <v>0</v>
      </c>
      <c r="S22" s="138">
        <f>IF('1.DATOS-PROD'!AB23="SI",VLOOKUP('1.DATOS-PROD'!AB$2,'1.PUNTOS'!$A$1:$B$63,2,0),0)</f>
        <v>0</v>
      </c>
      <c r="T22" s="138">
        <f>IF('1.DATOS-PROD'!AC23="SI",VLOOKUP('1.DATOS-PROD'!AC$2,'1.PUNTOS'!$A$1:$B$63,2,0),0)</f>
        <v>0</v>
      </c>
      <c r="U22" s="138">
        <f>IF('1.DATOS-PROD'!AD23="SI",VLOOKUP('1.DATOS-PROD'!AD$2,'1.PUNTOS'!$A$1:$B$63,2,0),0)</f>
        <v>0</v>
      </c>
      <c r="V22" s="138">
        <f>IF('1.DATOS-PROD'!AE23="SI",VLOOKUP('1.DATOS-PROD'!AE$2,'1.PUNTOS'!$A$1:$B$63,2,0),0)</f>
        <v>0</v>
      </c>
      <c r="W22" s="138">
        <f>IF('1.DATOS-PROD'!AF23="SI",VLOOKUP('1.DATOS-PROD'!AF$2,'1.PUNTOS'!$A$1:$B$63,2,0),0)</f>
        <v>0</v>
      </c>
      <c r="X22" s="138">
        <f>IF('1.DATOS-PROD'!AG23="SI",VLOOKUP('1.DATOS-PROD'!AG$2,'1.PUNTOS'!$A$1:$B$63,2,0),0)</f>
        <v>0</v>
      </c>
      <c r="Y22" s="138">
        <f>IF('1.DATOS-PROD'!AH23="SI",VLOOKUP('1.DATOS-PROD'!AH$2,'1.PUNTOS'!$A$1:$B$63,2,0),0)</f>
        <v>0</v>
      </c>
      <c r="Z22" s="138">
        <f>IF('1.DATOS-PROD'!AI23="SI",VLOOKUP('1.DATOS-PROD'!AI$2,'1.PUNTOS'!$A$1:$B$63,2,0),0)</f>
        <v>0</v>
      </c>
      <c r="AA22" s="138">
        <f>IF('1.DATOS-PROD'!AJ23="SI",VLOOKUP('1.DATOS-PROD'!AJ$2,'1.PUNTOS'!$A$1:$B$63,2,0),0)</f>
        <v>0</v>
      </c>
      <c r="AB22" s="138">
        <f>IF('1.DATOS-PROD'!AK23="SI",VLOOKUP('1.DATOS-PROD'!AK$2,'1.PUNTOS'!$A$1:$B$63,2,0),0)</f>
        <v>0</v>
      </c>
      <c r="AC22" s="138">
        <f>IF('1.DATOS-PROD'!AL23="SI",VLOOKUP('1.DATOS-PROD'!AL$2,'1.PUNTOS'!$A$1:$B$63,2,0),0)</f>
        <v>0</v>
      </c>
      <c r="AD22" s="138">
        <f>IF('1.DATOS-PROD'!AM23="SI",VLOOKUP('1.DATOS-PROD'!AM$2,'1.PUNTOS'!$A$1:$B$63,2,0),0)</f>
        <v>0</v>
      </c>
      <c r="AE22" s="138">
        <f>IF('1.DATOS-PROD'!AN23="SI",VLOOKUP('1.DATOS-PROD'!AN$2,'1.PUNTOS'!$A$1:$B$63,2,0),0)</f>
        <v>0</v>
      </c>
      <c r="AF22" s="138">
        <f>IF('1.DATOS-PROD'!AO23="SI",VLOOKUP('1.DATOS-PROD'!AO$2,'1.PUNTOS'!$A$1:$B$63,2,0),0)</f>
        <v>0</v>
      </c>
      <c r="AG22" s="138">
        <f>IF('1.DATOS-PROD'!AP23="SI",VLOOKUP('1.DATOS-PROD'!AP$2,'1.PUNTOS'!$A$1:$B$63,2,0),0)</f>
        <v>0</v>
      </c>
      <c r="AH22" s="138">
        <f>IF('1.DATOS-PROD'!AQ23="SI",VLOOKUP('1.DATOS-PROD'!AQ$2,'1.PUNTOS'!$A$1:$B$63,2,0),0)</f>
        <v>0</v>
      </c>
      <c r="AI22" s="138">
        <f>IF('1.DATOS-PROD'!AR23="SI",VLOOKUP('1.DATOS-PROD'!AR$2,'1.PUNTOS'!$A$1:$B$63,2,0),0)</f>
        <v>0</v>
      </c>
      <c r="AJ22" s="138">
        <f>IF('1.DATOS-PROD'!AS23="SI",VLOOKUP('1.DATOS-PROD'!AS$2,'1.PUNTOS'!$A$1:$B$63,2,0),0)</f>
        <v>0</v>
      </c>
      <c r="AK22" s="138">
        <f>IF('1.DATOS-PROD'!AT23="SI",VLOOKUP('1.DATOS-PROD'!AT$2,'1.PUNTOS'!$A$1:$B$63,2,0),0)</f>
        <v>0</v>
      </c>
      <c r="AL22" s="138">
        <f>IF('1.DATOS-PROD'!AU23="SI",VLOOKUP('1.DATOS-PROD'!AU$2,'1.PUNTOS'!$A$1:$B$63,2,0),0)</f>
        <v>0</v>
      </c>
      <c r="AM22" s="138">
        <f>IF('1.DATOS-PROD'!AV23="SI",VLOOKUP('1.DATOS-PROD'!AV$2,'1.PUNTOS'!$A$1:$B$63,2,0),0)</f>
        <v>0</v>
      </c>
      <c r="AN22" s="138">
        <f>IF('1.DATOS-PROD'!AW23="SI",VLOOKUP('1.DATOS-PROD'!AW$2,'1.PUNTOS'!$A$1:$B$63,2,0),0)</f>
        <v>0</v>
      </c>
      <c r="AO22" s="138">
        <f>IF('1.DATOS-PROD'!AX23="SI",VLOOKUP('1.DATOS-PROD'!AX$2,'1.PUNTOS'!$A$1:$B$63,2,0),0)</f>
        <v>0</v>
      </c>
      <c r="AP22" s="138">
        <f>IF('1.DATOS-PROD'!AY23="SI",VLOOKUP('1.DATOS-PROD'!AY$2,'1.PUNTOS'!$A$1:$B$63,2,0),0)</f>
        <v>0</v>
      </c>
      <c r="AQ22" s="138">
        <f>IF('1.DATOS-PROD'!AZ23="SI",VLOOKUP('1.DATOS-PROD'!AZ$2,'1.PUNTOS'!$A$1:$B$63,2,0),0)</f>
        <v>0</v>
      </c>
      <c r="AR22" s="138">
        <f>IF('1.DATOS-PROD'!BA23="SI",VLOOKUP('1.DATOS-PROD'!BA$2,'1.PUNTOS'!$A$1:$B$63,2,0),0)</f>
        <v>0</v>
      </c>
      <c r="AS22" s="138">
        <f>IF('1.DATOS-PROD'!BB23="SI",VLOOKUP('1.DATOS-PROD'!BB$2,'1.PUNTOS'!$A$1:$B$63,2,0),0)</f>
        <v>0</v>
      </c>
      <c r="AT22" s="138">
        <f>IF('1.DATOS-PROD'!BC23="SI",VLOOKUP('1.DATOS-PROD'!BC$2,'1.PUNTOS'!$A$1:$B$63,2,0),0)</f>
        <v>0</v>
      </c>
      <c r="AU22" s="138">
        <f>IF('1.DATOS-PROD'!BD23="SI",VLOOKUP('1.DATOS-PROD'!BD$2,'1.PUNTOS'!$A$1:$B$63,2,0),0)</f>
        <v>0</v>
      </c>
      <c r="AV22" s="138">
        <f>IF('1.DATOS-PROD'!BE23="SI",VLOOKUP('1.DATOS-PROD'!BE$2,'1.PUNTOS'!$A$1:$B$63,2,0),0)</f>
        <v>0</v>
      </c>
      <c r="AW22" s="138">
        <f>IF('1.DATOS-PROD'!BF23="SI",VLOOKUP('1.DATOS-PROD'!BF$2,'1.PUNTOS'!$A$1:$B$63,2,0),0)</f>
        <v>0</v>
      </c>
      <c r="AX22" s="138">
        <f>IF('1.DATOS-PROD'!BG23="SI",VLOOKUP('1.DATOS-PROD'!BG$2,'1.PUNTOS'!$A$1:$B$63,2,0),0)</f>
        <v>0</v>
      </c>
      <c r="AY22" s="138">
        <f>IF('1.DATOS-PROD'!BH23="SI",VLOOKUP('1.DATOS-PROD'!BH$2,'1.PUNTOS'!$A$1:$B$63,2,0),0)</f>
        <v>0</v>
      </c>
      <c r="AZ22" s="138">
        <f>IF('1.DATOS-PROD'!BI23="SI",VLOOKUP('1.DATOS-PROD'!BI$2,'1.PUNTOS'!$A$1:$B$63,2,0),0)</f>
        <v>0</v>
      </c>
      <c r="BA22" s="138">
        <f>IF('1.DATOS-PROD'!BJ23="SI",VLOOKUP('1.DATOS-PROD'!BJ$2,'1.PUNTOS'!$A$1:$B$63,2,0),0)</f>
        <v>0</v>
      </c>
      <c r="BB22" s="138">
        <f>IF('1.DATOS-PROD'!BK23="SI",VLOOKUP('1.DATOS-PROD'!BK$2,'1.PUNTOS'!$A$1:$B$63,2,0),0)</f>
        <v>0</v>
      </c>
      <c r="BC22" s="138">
        <f>IF('1.DATOS-PROD'!BL23="SI",VLOOKUP('1.DATOS-PROD'!BL$2,'1.PUNTOS'!$A$1:$B$63,2,0),0)</f>
        <v>0</v>
      </c>
      <c r="BD22" s="138">
        <f>IF('1.DATOS-PROD'!BM23="SI",VLOOKUP('1.DATOS-PROD'!BM$2,'1.PUNTOS'!$A$1:$B$63,2,0),0)</f>
        <v>0</v>
      </c>
      <c r="BE22" s="138">
        <f>IF('1.DATOS-PROD'!BN23="SI",VLOOKUP('1.DATOS-PROD'!BN$2,'1.PUNTOS'!$A$1:$B$63,2,0),0)</f>
        <v>0</v>
      </c>
      <c r="BF22" s="138">
        <f>IF('1.DATOS-PROD'!BO23="SI",VLOOKUP('1.DATOS-PROD'!BO$2,'1.PUNTOS'!$A$1:$B$63,2,0),0)</f>
        <v>0</v>
      </c>
      <c r="BG22" s="138">
        <f>IF('1.DATOS-PROD'!BP23="SI",VLOOKUP('1.DATOS-PROD'!BP$2,'1.PUNTOS'!$A$1:$B$63,2,0),0)</f>
        <v>0</v>
      </c>
      <c r="BH22" s="138">
        <f>IF('1.DATOS-PROD'!BQ23="SI",VLOOKUP('1.DATOS-PROD'!BQ$2,'1.PUNTOS'!$A$1:$B$63,2,0),0)</f>
        <v>0</v>
      </c>
      <c r="BI22" s="138">
        <f>IF('1.DATOS-PROD'!BR23="SI",VLOOKUP('1.DATOS-PROD'!BR$2,'1.PUNTOS'!$A$1:$B$63,2,0),0)</f>
        <v>0</v>
      </c>
      <c r="BJ22" s="138">
        <f>IF('1.DATOS-PROD'!BS23="SI",VLOOKUP('1.DATOS-PROD'!BS$2,'1.PUNTOS'!$A$1:$B$63,2,0),0)</f>
        <v>0</v>
      </c>
      <c r="BK22" s="138">
        <f>IF('1.DATOS-PROD'!BT23="SI",VLOOKUP('1.DATOS-PROD'!BT$2,'1.PUNTOS'!$A$1:$B$63,2,0),0)</f>
        <v>0</v>
      </c>
    </row>
    <row r="23" spans="1:63" x14ac:dyDescent="0.25">
      <c r="A23">
        <f>'0.Consolidado general'!$A24</f>
        <v>0</v>
      </c>
      <c r="B23" s="138">
        <f>IF('1.DATOS-PROD'!K24="SI",VLOOKUP('1.DATOS-PROD'!K$2,'1.PUNTOS'!$A$1:$B$63,2,0),0)</f>
        <v>0</v>
      </c>
      <c r="C23" s="138">
        <f>IF('1.DATOS-PROD'!L24="SI",VLOOKUP('1.DATOS-PROD'!L$2,'1.PUNTOS'!$A$1:$B$63,2,0),0)</f>
        <v>0</v>
      </c>
      <c r="D23" s="138">
        <f>IF('1.DATOS-PROD'!M24="SI",VLOOKUP('1.DATOS-PROD'!M$2,'1.PUNTOS'!$A$1:$B$63,2,0),0)</f>
        <v>0</v>
      </c>
      <c r="E23" s="138">
        <f>IF('1.DATOS-PROD'!N24="SI",VLOOKUP('1.DATOS-PROD'!N$2,'1.PUNTOS'!$A$1:$B$63,2,0),0)</f>
        <v>0</v>
      </c>
      <c r="F23" s="138">
        <f>IF('1.DATOS-PROD'!O24="SI",VLOOKUP('1.DATOS-PROD'!O$2,'1.PUNTOS'!$A$1:$B$63,2,0),0)</f>
        <v>0</v>
      </c>
      <c r="G23" s="138">
        <f>IF('1.DATOS-PROD'!P24="SI",VLOOKUP('1.DATOS-PROD'!P$2,'1.PUNTOS'!$A$1:$B$63,2,0),0)</f>
        <v>0</v>
      </c>
      <c r="H23" s="138">
        <f>IF('1.DATOS-PROD'!Q24="SI",VLOOKUP('1.DATOS-PROD'!Q$2,'1.PUNTOS'!$A$1:$B$63,2,0),0)</f>
        <v>0</v>
      </c>
      <c r="I23" s="138">
        <f>IF('1.DATOS-PROD'!R24="SI",VLOOKUP('1.DATOS-PROD'!R$2,'1.PUNTOS'!$A$1:$B$63,2,0),0)</f>
        <v>0</v>
      </c>
      <c r="J23" s="138">
        <f>IF('1.DATOS-PROD'!S24="SI",VLOOKUP('1.DATOS-PROD'!S$2,'1.PUNTOS'!$A$1:$B$63,2,0),0)</f>
        <v>0</v>
      </c>
      <c r="K23" s="138">
        <f>IF('1.DATOS-PROD'!T24="SI",VLOOKUP('1.DATOS-PROD'!T$2,'1.PUNTOS'!$A$1:$B$63,2,0),0)</f>
        <v>0</v>
      </c>
      <c r="L23" s="138">
        <f>IF('1.DATOS-PROD'!U24="SI",VLOOKUP('1.DATOS-PROD'!U$2,'1.PUNTOS'!$A$1:$B$63,2,0),0)</f>
        <v>0</v>
      </c>
      <c r="M23" s="138">
        <f>IF('1.DATOS-PROD'!V24="SI",VLOOKUP('1.DATOS-PROD'!V$2,'1.PUNTOS'!$A$1:$B$63,2,0),0)</f>
        <v>0</v>
      </c>
      <c r="N23" s="138">
        <f>IF('1.DATOS-PROD'!W24="SI",VLOOKUP('1.DATOS-PROD'!W$2,'1.PUNTOS'!$A$1:$B$63,2,0),0)</f>
        <v>0</v>
      </c>
      <c r="O23" s="138">
        <f>IF('1.DATOS-PROD'!X24="SI",VLOOKUP('1.DATOS-PROD'!X$2,'1.PUNTOS'!$A$1:$B$63,2,0),0)</f>
        <v>0</v>
      </c>
      <c r="P23" s="138">
        <f>IF('1.DATOS-PROD'!Y24="SI",VLOOKUP('1.DATOS-PROD'!Y$2,'1.PUNTOS'!$A$1:$B$63,2,0),0)</f>
        <v>0</v>
      </c>
      <c r="Q23" s="138">
        <f>IF('1.DATOS-PROD'!Z24="SI",VLOOKUP('1.DATOS-PROD'!Z$2,'1.PUNTOS'!$A$1:$B$63,2,0),0)</f>
        <v>0</v>
      </c>
      <c r="R23" s="138">
        <f>IF('1.DATOS-PROD'!AA24="SI",VLOOKUP('1.DATOS-PROD'!AA$2,'1.PUNTOS'!$A$1:$B$63,2,0),0)</f>
        <v>0</v>
      </c>
      <c r="S23" s="138">
        <f>IF('1.DATOS-PROD'!AB24="SI",VLOOKUP('1.DATOS-PROD'!AB$2,'1.PUNTOS'!$A$1:$B$63,2,0),0)</f>
        <v>0</v>
      </c>
      <c r="T23" s="138">
        <f>IF('1.DATOS-PROD'!AC24="SI",VLOOKUP('1.DATOS-PROD'!AC$2,'1.PUNTOS'!$A$1:$B$63,2,0),0)</f>
        <v>0</v>
      </c>
      <c r="U23" s="138">
        <f>IF('1.DATOS-PROD'!AD24="SI",VLOOKUP('1.DATOS-PROD'!AD$2,'1.PUNTOS'!$A$1:$B$63,2,0),0)</f>
        <v>0</v>
      </c>
      <c r="V23" s="138">
        <f>IF('1.DATOS-PROD'!AE24="SI",VLOOKUP('1.DATOS-PROD'!AE$2,'1.PUNTOS'!$A$1:$B$63,2,0),0)</f>
        <v>0</v>
      </c>
      <c r="W23" s="138">
        <f>IF('1.DATOS-PROD'!AF24="SI",VLOOKUP('1.DATOS-PROD'!AF$2,'1.PUNTOS'!$A$1:$B$63,2,0),0)</f>
        <v>0</v>
      </c>
      <c r="X23" s="138">
        <f>IF('1.DATOS-PROD'!AG24="SI",VLOOKUP('1.DATOS-PROD'!AG$2,'1.PUNTOS'!$A$1:$B$63,2,0),0)</f>
        <v>0</v>
      </c>
      <c r="Y23" s="138">
        <f>IF('1.DATOS-PROD'!AH24="SI",VLOOKUP('1.DATOS-PROD'!AH$2,'1.PUNTOS'!$A$1:$B$63,2,0),0)</f>
        <v>0</v>
      </c>
      <c r="Z23" s="138">
        <f>IF('1.DATOS-PROD'!AI24="SI",VLOOKUP('1.DATOS-PROD'!AI$2,'1.PUNTOS'!$A$1:$B$63,2,0),0)</f>
        <v>0</v>
      </c>
      <c r="AA23" s="138">
        <f>IF('1.DATOS-PROD'!AJ24="SI",VLOOKUP('1.DATOS-PROD'!AJ$2,'1.PUNTOS'!$A$1:$B$63,2,0),0)</f>
        <v>0</v>
      </c>
      <c r="AB23" s="138">
        <f>IF('1.DATOS-PROD'!AK24="SI",VLOOKUP('1.DATOS-PROD'!AK$2,'1.PUNTOS'!$A$1:$B$63,2,0),0)</f>
        <v>0</v>
      </c>
      <c r="AC23" s="138">
        <f>IF('1.DATOS-PROD'!AL24="SI",VLOOKUP('1.DATOS-PROD'!AL$2,'1.PUNTOS'!$A$1:$B$63,2,0),0)</f>
        <v>0</v>
      </c>
      <c r="AD23" s="138">
        <f>IF('1.DATOS-PROD'!AM24="SI",VLOOKUP('1.DATOS-PROD'!AM$2,'1.PUNTOS'!$A$1:$B$63,2,0),0)</f>
        <v>0</v>
      </c>
      <c r="AE23" s="138">
        <f>IF('1.DATOS-PROD'!AN24="SI",VLOOKUP('1.DATOS-PROD'!AN$2,'1.PUNTOS'!$A$1:$B$63,2,0),0)</f>
        <v>0</v>
      </c>
      <c r="AF23" s="138">
        <f>IF('1.DATOS-PROD'!AO24="SI",VLOOKUP('1.DATOS-PROD'!AO$2,'1.PUNTOS'!$A$1:$B$63,2,0),0)</f>
        <v>0</v>
      </c>
      <c r="AG23" s="138">
        <f>IF('1.DATOS-PROD'!AP24="SI",VLOOKUP('1.DATOS-PROD'!AP$2,'1.PUNTOS'!$A$1:$B$63,2,0),0)</f>
        <v>0</v>
      </c>
      <c r="AH23" s="138">
        <f>IF('1.DATOS-PROD'!AQ24="SI",VLOOKUP('1.DATOS-PROD'!AQ$2,'1.PUNTOS'!$A$1:$B$63,2,0),0)</f>
        <v>0</v>
      </c>
      <c r="AI23" s="138">
        <f>IF('1.DATOS-PROD'!AR24="SI",VLOOKUP('1.DATOS-PROD'!AR$2,'1.PUNTOS'!$A$1:$B$63,2,0),0)</f>
        <v>0</v>
      </c>
      <c r="AJ23" s="138">
        <f>IF('1.DATOS-PROD'!AS24="SI",VLOOKUP('1.DATOS-PROD'!AS$2,'1.PUNTOS'!$A$1:$B$63,2,0),0)</f>
        <v>0</v>
      </c>
      <c r="AK23" s="138">
        <f>IF('1.DATOS-PROD'!AT24="SI",VLOOKUP('1.DATOS-PROD'!AT$2,'1.PUNTOS'!$A$1:$B$63,2,0),0)</f>
        <v>0</v>
      </c>
      <c r="AL23" s="138">
        <f>IF('1.DATOS-PROD'!AU24="SI",VLOOKUP('1.DATOS-PROD'!AU$2,'1.PUNTOS'!$A$1:$B$63,2,0),0)</f>
        <v>0</v>
      </c>
      <c r="AM23" s="138">
        <f>IF('1.DATOS-PROD'!AV24="SI",VLOOKUP('1.DATOS-PROD'!AV$2,'1.PUNTOS'!$A$1:$B$63,2,0),0)</f>
        <v>0</v>
      </c>
      <c r="AN23" s="138">
        <f>IF('1.DATOS-PROD'!AW24="SI",VLOOKUP('1.DATOS-PROD'!AW$2,'1.PUNTOS'!$A$1:$B$63,2,0),0)</f>
        <v>0</v>
      </c>
      <c r="AO23" s="138">
        <f>IF('1.DATOS-PROD'!AX24="SI",VLOOKUP('1.DATOS-PROD'!AX$2,'1.PUNTOS'!$A$1:$B$63,2,0),0)</f>
        <v>0</v>
      </c>
      <c r="AP23" s="138">
        <f>IF('1.DATOS-PROD'!AY24="SI",VLOOKUP('1.DATOS-PROD'!AY$2,'1.PUNTOS'!$A$1:$B$63,2,0),0)</f>
        <v>0</v>
      </c>
      <c r="AQ23" s="138">
        <f>IF('1.DATOS-PROD'!AZ24="SI",VLOOKUP('1.DATOS-PROD'!AZ$2,'1.PUNTOS'!$A$1:$B$63,2,0),0)</f>
        <v>0</v>
      </c>
      <c r="AR23" s="138">
        <f>IF('1.DATOS-PROD'!BA24="SI",VLOOKUP('1.DATOS-PROD'!BA$2,'1.PUNTOS'!$A$1:$B$63,2,0),0)</f>
        <v>0</v>
      </c>
      <c r="AS23" s="138">
        <f>IF('1.DATOS-PROD'!BB24="SI",VLOOKUP('1.DATOS-PROD'!BB$2,'1.PUNTOS'!$A$1:$B$63,2,0),0)</f>
        <v>0</v>
      </c>
      <c r="AT23" s="138">
        <f>IF('1.DATOS-PROD'!BC24="SI",VLOOKUP('1.DATOS-PROD'!BC$2,'1.PUNTOS'!$A$1:$B$63,2,0),0)</f>
        <v>0</v>
      </c>
      <c r="AU23" s="138">
        <f>IF('1.DATOS-PROD'!BD24="SI",VLOOKUP('1.DATOS-PROD'!BD$2,'1.PUNTOS'!$A$1:$B$63,2,0),0)</f>
        <v>0</v>
      </c>
      <c r="AV23" s="138">
        <f>IF('1.DATOS-PROD'!BE24="SI",VLOOKUP('1.DATOS-PROD'!BE$2,'1.PUNTOS'!$A$1:$B$63,2,0),0)</f>
        <v>0</v>
      </c>
      <c r="AW23" s="138">
        <f>IF('1.DATOS-PROD'!BF24="SI",VLOOKUP('1.DATOS-PROD'!BF$2,'1.PUNTOS'!$A$1:$B$63,2,0),0)</f>
        <v>0</v>
      </c>
      <c r="AX23" s="138">
        <f>IF('1.DATOS-PROD'!BG24="SI",VLOOKUP('1.DATOS-PROD'!BG$2,'1.PUNTOS'!$A$1:$B$63,2,0),0)</f>
        <v>0</v>
      </c>
      <c r="AY23" s="138">
        <f>IF('1.DATOS-PROD'!BH24="SI",VLOOKUP('1.DATOS-PROD'!BH$2,'1.PUNTOS'!$A$1:$B$63,2,0),0)</f>
        <v>0</v>
      </c>
      <c r="AZ23" s="138">
        <f>IF('1.DATOS-PROD'!BI24="SI",VLOOKUP('1.DATOS-PROD'!BI$2,'1.PUNTOS'!$A$1:$B$63,2,0),0)</f>
        <v>0</v>
      </c>
      <c r="BA23" s="138">
        <f>IF('1.DATOS-PROD'!BJ24="SI",VLOOKUP('1.DATOS-PROD'!BJ$2,'1.PUNTOS'!$A$1:$B$63,2,0),0)</f>
        <v>0</v>
      </c>
      <c r="BB23" s="138">
        <f>IF('1.DATOS-PROD'!BK24="SI",VLOOKUP('1.DATOS-PROD'!BK$2,'1.PUNTOS'!$A$1:$B$63,2,0),0)</f>
        <v>0</v>
      </c>
      <c r="BC23" s="138">
        <f>IF('1.DATOS-PROD'!BL24="SI",VLOOKUP('1.DATOS-PROD'!BL$2,'1.PUNTOS'!$A$1:$B$63,2,0),0)</f>
        <v>0</v>
      </c>
      <c r="BD23" s="138">
        <f>IF('1.DATOS-PROD'!BM24="SI",VLOOKUP('1.DATOS-PROD'!BM$2,'1.PUNTOS'!$A$1:$B$63,2,0),0)</f>
        <v>0</v>
      </c>
      <c r="BE23" s="138">
        <f>IF('1.DATOS-PROD'!BN24="SI",VLOOKUP('1.DATOS-PROD'!BN$2,'1.PUNTOS'!$A$1:$B$63,2,0),0)</f>
        <v>0</v>
      </c>
      <c r="BF23" s="138">
        <f>IF('1.DATOS-PROD'!BO24="SI",VLOOKUP('1.DATOS-PROD'!BO$2,'1.PUNTOS'!$A$1:$B$63,2,0),0)</f>
        <v>0</v>
      </c>
      <c r="BG23" s="138">
        <f>IF('1.DATOS-PROD'!BP24="SI",VLOOKUP('1.DATOS-PROD'!BP$2,'1.PUNTOS'!$A$1:$B$63,2,0),0)</f>
        <v>0</v>
      </c>
      <c r="BH23" s="138">
        <f>IF('1.DATOS-PROD'!BQ24="SI",VLOOKUP('1.DATOS-PROD'!BQ$2,'1.PUNTOS'!$A$1:$B$63,2,0),0)</f>
        <v>0</v>
      </c>
      <c r="BI23" s="138">
        <f>IF('1.DATOS-PROD'!BR24="SI",VLOOKUP('1.DATOS-PROD'!BR$2,'1.PUNTOS'!$A$1:$B$63,2,0),0)</f>
        <v>0</v>
      </c>
      <c r="BJ23" s="138">
        <f>IF('1.DATOS-PROD'!BS24="SI",VLOOKUP('1.DATOS-PROD'!BS$2,'1.PUNTOS'!$A$1:$B$63,2,0),0)</f>
        <v>0</v>
      </c>
      <c r="BK23" s="138">
        <f>IF('1.DATOS-PROD'!BT24="SI",VLOOKUP('1.DATOS-PROD'!BT$2,'1.PUNTOS'!$A$1:$B$63,2,0),0)</f>
        <v>0</v>
      </c>
    </row>
    <row r="24" spans="1:63" x14ac:dyDescent="0.25">
      <c r="A24">
        <f>'0.Consolidado general'!$A25</f>
        <v>0</v>
      </c>
      <c r="B24" s="138">
        <f>IF('1.DATOS-PROD'!K25="SI",VLOOKUP('1.DATOS-PROD'!K$2,'1.PUNTOS'!$A$1:$B$63,2,0),0)</f>
        <v>0</v>
      </c>
      <c r="C24" s="138">
        <f>IF('1.DATOS-PROD'!L25="SI",VLOOKUP('1.DATOS-PROD'!L$2,'1.PUNTOS'!$A$1:$B$63,2,0),0)</f>
        <v>0</v>
      </c>
      <c r="D24" s="138">
        <f>IF('1.DATOS-PROD'!M25="SI",VLOOKUP('1.DATOS-PROD'!M$2,'1.PUNTOS'!$A$1:$B$63,2,0),0)</f>
        <v>0</v>
      </c>
      <c r="E24" s="138">
        <f>IF('1.DATOS-PROD'!N25="SI",VLOOKUP('1.DATOS-PROD'!N$2,'1.PUNTOS'!$A$1:$B$63,2,0),0)</f>
        <v>0</v>
      </c>
      <c r="F24" s="138">
        <f>IF('1.DATOS-PROD'!O25="SI",VLOOKUP('1.DATOS-PROD'!O$2,'1.PUNTOS'!$A$1:$B$63,2,0),0)</f>
        <v>0</v>
      </c>
      <c r="G24" s="138">
        <f>IF('1.DATOS-PROD'!P25="SI",VLOOKUP('1.DATOS-PROD'!P$2,'1.PUNTOS'!$A$1:$B$63,2,0),0)</f>
        <v>0</v>
      </c>
      <c r="H24" s="138">
        <f>IF('1.DATOS-PROD'!Q25="SI",VLOOKUP('1.DATOS-PROD'!Q$2,'1.PUNTOS'!$A$1:$B$63,2,0),0)</f>
        <v>0</v>
      </c>
      <c r="I24" s="138">
        <f>IF('1.DATOS-PROD'!R25="SI",VLOOKUP('1.DATOS-PROD'!R$2,'1.PUNTOS'!$A$1:$B$63,2,0),0)</f>
        <v>0</v>
      </c>
      <c r="J24" s="138">
        <f>IF('1.DATOS-PROD'!S25="SI",VLOOKUP('1.DATOS-PROD'!S$2,'1.PUNTOS'!$A$1:$B$63,2,0),0)</f>
        <v>0</v>
      </c>
      <c r="K24" s="138">
        <f>IF('1.DATOS-PROD'!T25="SI",VLOOKUP('1.DATOS-PROD'!T$2,'1.PUNTOS'!$A$1:$B$63,2,0),0)</f>
        <v>0</v>
      </c>
      <c r="L24" s="138">
        <f>IF('1.DATOS-PROD'!U25="SI",VLOOKUP('1.DATOS-PROD'!U$2,'1.PUNTOS'!$A$1:$B$63,2,0),0)</f>
        <v>0</v>
      </c>
      <c r="M24" s="138">
        <f>IF('1.DATOS-PROD'!V25="SI",VLOOKUP('1.DATOS-PROD'!V$2,'1.PUNTOS'!$A$1:$B$63,2,0),0)</f>
        <v>0</v>
      </c>
      <c r="N24" s="138">
        <f>IF('1.DATOS-PROD'!W25="SI",VLOOKUP('1.DATOS-PROD'!W$2,'1.PUNTOS'!$A$1:$B$63,2,0),0)</f>
        <v>0</v>
      </c>
      <c r="O24" s="138">
        <f>IF('1.DATOS-PROD'!X25="SI",VLOOKUP('1.DATOS-PROD'!X$2,'1.PUNTOS'!$A$1:$B$63,2,0),0)</f>
        <v>0</v>
      </c>
      <c r="P24" s="138">
        <f>IF('1.DATOS-PROD'!Y25="SI",VLOOKUP('1.DATOS-PROD'!Y$2,'1.PUNTOS'!$A$1:$B$63,2,0),0)</f>
        <v>0</v>
      </c>
      <c r="Q24" s="138">
        <f>IF('1.DATOS-PROD'!Z25="SI",VLOOKUP('1.DATOS-PROD'!Z$2,'1.PUNTOS'!$A$1:$B$63,2,0),0)</f>
        <v>0</v>
      </c>
      <c r="R24" s="138">
        <f>IF('1.DATOS-PROD'!AA25="SI",VLOOKUP('1.DATOS-PROD'!AA$2,'1.PUNTOS'!$A$1:$B$63,2,0),0)</f>
        <v>0</v>
      </c>
      <c r="S24" s="138">
        <f>IF('1.DATOS-PROD'!AB25="SI",VLOOKUP('1.DATOS-PROD'!AB$2,'1.PUNTOS'!$A$1:$B$63,2,0),0)</f>
        <v>0</v>
      </c>
      <c r="T24" s="138">
        <f>IF('1.DATOS-PROD'!AC25="SI",VLOOKUP('1.DATOS-PROD'!AC$2,'1.PUNTOS'!$A$1:$B$63,2,0),0)</f>
        <v>0</v>
      </c>
      <c r="U24" s="138">
        <f>IF('1.DATOS-PROD'!AD25="SI",VLOOKUP('1.DATOS-PROD'!AD$2,'1.PUNTOS'!$A$1:$B$63,2,0),0)</f>
        <v>0</v>
      </c>
      <c r="V24" s="138">
        <f>IF('1.DATOS-PROD'!AE25="SI",VLOOKUP('1.DATOS-PROD'!AE$2,'1.PUNTOS'!$A$1:$B$63,2,0),0)</f>
        <v>0</v>
      </c>
      <c r="W24" s="138">
        <f>IF('1.DATOS-PROD'!AF25="SI",VLOOKUP('1.DATOS-PROD'!AF$2,'1.PUNTOS'!$A$1:$B$63,2,0),0)</f>
        <v>0</v>
      </c>
      <c r="X24" s="138">
        <f>IF('1.DATOS-PROD'!AG25="SI",VLOOKUP('1.DATOS-PROD'!AG$2,'1.PUNTOS'!$A$1:$B$63,2,0),0)</f>
        <v>0</v>
      </c>
      <c r="Y24" s="138">
        <f>IF('1.DATOS-PROD'!AH25="SI",VLOOKUP('1.DATOS-PROD'!AH$2,'1.PUNTOS'!$A$1:$B$63,2,0),0)</f>
        <v>0</v>
      </c>
      <c r="Z24" s="138">
        <f>IF('1.DATOS-PROD'!AI25="SI",VLOOKUP('1.DATOS-PROD'!AI$2,'1.PUNTOS'!$A$1:$B$63,2,0),0)</f>
        <v>0</v>
      </c>
      <c r="AA24" s="138">
        <f>IF('1.DATOS-PROD'!AJ25="SI",VLOOKUP('1.DATOS-PROD'!AJ$2,'1.PUNTOS'!$A$1:$B$63,2,0),0)</f>
        <v>0</v>
      </c>
      <c r="AB24" s="138">
        <f>IF('1.DATOS-PROD'!AK25="SI",VLOOKUP('1.DATOS-PROD'!AK$2,'1.PUNTOS'!$A$1:$B$63,2,0),0)</f>
        <v>0</v>
      </c>
      <c r="AC24" s="138">
        <f>IF('1.DATOS-PROD'!AL25="SI",VLOOKUP('1.DATOS-PROD'!AL$2,'1.PUNTOS'!$A$1:$B$63,2,0),0)</f>
        <v>0</v>
      </c>
      <c r="AD24" s="138">
        <f>IF('1.DATOS-PROD'!AM25="SI",VLOOKUP('1.DATOS-PROD'!AM$2,'1.PUNTOS'!$A$1:$B$63,2,0),0)</f>
        <v>0</v>
      </c>
      <c r="AE24" s="138">
        <f>IF('1.DATOS-PROD'!AN25="SI",VLOOKUP('1.DATOS-PROD'!AN$2,'1.PUNTOS'!$A$1:$B$63,2,0),0)</f>
        <v>0</v>
      </c>
      <c r="AF24" s="138">
        <f>IF('1.DATOS-PROD'!AO25="SI",VLOOKUP('1.DATOS-PROD'!AO$2,'1.PUNTOS'!$A$1:$B$63,2,0),0)</f>
        <v>0</v>
      </c>
      <c r="AG24" s="138">
        <f>IF('1.DATOS-PROD'!AP25="SI",VLOOKUP('1.DATOS-PROD'!AP$2,'1.PUNTOS'!$A$1:$B$63,2,0),0)</f>
        <v>0</v>
      </c>
      <c r="AH24" s="138">
        <f>IF('1.DATOS-PROD'!AQ25="SI",VLOOKUP('1.DATOS-PROD'!AQ$2,'1.PUNTOS'!$A$1:$B$63,2,0),0)</f>
        <v>0</v>
      </c>
      <c r="AI24" s="138">
        <f>IF('1.DATOS-PROD'!AR25="SI",VLOOKUP('1.DATOS-PROD'!AR$2,'1.PUNTOS'!$A$1:$B$63,2,0),0)</f>
        <v>0</v>
      </c>
      <c r="AJ24" s="138">
        <f>IF('1.DATOS-PROD'!AS25="SI",VLOOKUP('1.DATOS-PROD'!AS$2,'1.PUNTOS'!$A$1:$B$63,2,0),0)</f>
        <v>0</v>
      </c>
      <c r="AK24" s="138">
        <f>IF('1.DATOS-PROD'!AT25="SI",VLOOKUP('1.DATOS-PROD'!AT$2,'1.PUNTOS'!$A$1:$B$63,2,0),0)</f>
        <v>0</v>
      </c>
      <c r="AL24" s="138">
        <f>IF('1.DATOS-PROD'!AU25="SI",VLOOKUP('1.DATOS-PROD'!AU$2,'1.PUNTOS'!$A$1:$B$63,2,0),0)</f>
        <v>0</v>
      </c>
      <c r="AM24" s="138">
        <f>IF('1.DATOS-PROD'!AV25="SI",VLOOKUP('1.DATOS-PROD'!AV$2,'1.PUNTOS'!$A$1:$B$63,2,0),0)</f>
        <v>0</v>
      </c>
      <c r="AN24" s="138">
        <f>IF('1.DATOS-PROD'!AW25="SI",VLOOKUP('1.DATOS-PROD'!AW$2,'1.PUNTOS'!$A$1:$B$63,2,0),0)</f>
        <v>0</v>
      </c>
      <c r="AO24" s="138">
        <f>IF('1.DATOS-PROD'!AX25="SI",VLOOKUP('1.DATOS-PROD'!AX$2,'1.PUNTOS'!$A$1:$B$63,2,0),0)</f>
        <v>0</v>
      </c>
      <c r="AP24" s="138">
        <f>IF('1.DATOS-PROD'!AY25="SI",VLOOKUP('1.DATOS-PROD'!AY$2,'1.PUNTOS'!$A$1:$B$63,2,0),0)</f>
        <v>0</v>
      </c>
      <c r="AQ24" s="138">
        <f>IF('1.DATOS-PROD'!AZ25="SI",VLOOKUP('1.DATOS-PROD'!AZ$2,'1.PUNTOS'!$A$1:$B$63,2,0),0)</f>
        <v>0</v>
      </c>
      <c r="AR24" s="138">
        <f>IF('1.DATOS-PROD'!BA25="SI",VLOOKUP('1.DATOS-PROD'!BA$2,'1.PUNTOS'!$A$1:$B$63,2,0),0)</f>
        <v>0</v>
      </c>
      <c r="AS24" s="138">
        <f>IF('1.DATOS-PROD'!BB25="SI",VLOOKUP('1.DATOS-PROD'!BB$2,'1.PUNTOS'!$A$1:$B$63,2,0),0)</f>
        <v>0</v>
      </c>
      <c r="AT24" s="138">
        <f>IF('1.DATOS-PROD'!BC25="SI",VLOOKUP('1.DATOS-PROD'!BC$2,'1.PUNTOS'!$A$1:$B$63,2,0),0)</f>
        <v>0</v>
      </c>
      <c r="AU24" s="138">
        <f>IF('1.DATOS-PROD'!BD25="SI",VLOOKUP('1.DATOS-PROD'!BD$2,'1.PUNTOS'!$A$1:$B$63,2,0),0)</f>
        <v>0</v>
      </c>
      <c r="AV24" s="138">
        <f>IF('1.DATOS-PROD'!BE25="SI",VLOOKUP('1.DATOS-PROD'!BE$2,'1.PUNTOS'!$A$1:$B$63,2,0),0)</f>
        <v>0</v>
      </c>
      <c r="AW24" s="138">
        <f>IF('1.DATOS-PROD'!BF25="SI",VLOOKUP('1.DATOS-PROD'!BF$2,'1.PUNTOS'!$A$1:$B$63,2,0),0)</f>
        <v>0</v>
      </c>
      <c r="AX24" s="138">
        <f>IF('1.DATOS-PROD'!BG25="SI",VLOOKUP('1.DATOS-PROD'!BG$2,'1.PUNTOS'!$A$1:$B$63,2,0),0)</f>
        <v>0</v>
      </c>
      <c r="AY24" s="138">
        <f>IF('1.DATOS-PROD'!BH25="SI",VLOOKUP('1.DATOS-PROD'!BH$2,'1.PUNTOS'!$A$1:$B$63,2,0),0)</f>
        <v>0</v>
      </c>
      <c r="AZ24" s="138">
        <f>IF('1.DATOS-PROD'!BI25="SI",VLOOKUP('1.DATOS-PROD'!BI$2,'1.PUNTOS'!$A$1:$B$63,2,0),0)</f>
        <v>0</v>
      </c>
      <c r="BA24" s="138">
        <f>IF('1.DATOS-PROD'!BJ25="SI",VLOOKUP('1.DATOS-PROD'!BJ$2,'1.PUNTOS'!$A$1:$B$63,2,0),0)</f>
        <v>0</v>
      </c>
      <c r="BB24" s="138">
        <f>IF('1.DATOS-PROD'!BK25="SI",VLOOKUP('1.DATOS-PROD'!BK$2,'1.PUNTOS'!$A$1:$B$63,2,0),0)</f>
        <v>0</v>
      </c>
      <c r="BC24" s="138">
        <f>IF('1.DATOS-PROD'!BL25="SI",VLOOKUP('1.DATOS-PROD'!BL$2,'1.PUNTOS'!$A$1:$B$63,2,0),0)</f>
        <v>0</v>
      </c>
      <c r="BD24" s="138">
        <f>IF('1.DATOS-PROD'!BM25="SI",VLOOKUP('1.DATOS-PROD'!BM$2,'1.PUNTOS'!$A$1:$B$63,2,0),0)</f>
        <v>0</v>
      </c>
      <c r="BE24" s="138">
        <f>IF('1.DATOS-PROD'!BN25="SI",VLOOKUP('1.DATOS-PROD'!BN$2,'1.PUNTOS'!$A$1:$B$63,2,0),0)</f>
        <v>0</v>
      </c>
      <c r="BF24" s="138">
        <f>IF('1.DATOS-PROD'!BO25="SI",VLOOKUP('1.DATOS-PROD'!BO$2,'1.PUNTOS'!$A$1:$B$63,2,0),0)</f>
        <v>0</v>
      </c>
      <c r="BG24" s="138">
        <f>IF('1.DATOS-PROD'!BP25="SI",VLOOKUP('1.DATOS-PROD'!BP$2,'1.PUNTOS'!$A$1:$B$63,2,0),0)</f>
        <v>0</v>
      </c>
      <c r="BH24" s="138">
        <f>IF('1.DATOS-PROD'!BQ25="SI",VLOOKUP('1.DATOS-PROD'!BQ$2,'1.PUNTOS'!$A$1:$B$63,2,0),0)</f>
        <v>0</v>
      </c>
      <c r="BI24" s="138">
        <f>IF('1.DATOS-PROD'!BR25="SI",VLOOKUP('1.DATOS-PROD'!BR$2,'1.PUNTOS'!$A$1:$B$63,2,0),0)</f>
        <v>0</v>
      </c>
      <c r="BJ24" s="138">
        <f>IF('1.DATOS-PROD'!BS25="SI",VLOOKUP('1.DATOS-PROD'!BS$2,'1.PUNTOS'!$A$1:$B$63,2,0),0)</f>
        <v>0</v>
      </c>
      <c r="BK24" s="138">
        <f>IF('1.DATOS-PROD'!BT25="SI",VLOOKUP('1.DATOS-PROD'!BT$2,'1.PUNTOS'!$A$1:$B$63,2,0),0)</f>
        <v>0</v>
      </c>
    </row>
    <row r="25" spans="1:63" x14ac:dyDescent="0.25">
      <c r="A25">
        <f>'0.Consolidado general'!$A26</f>
        <v>0</v>
      </c>
      <c r="B25" s="138">
        <f>IF('1.DATOS-PROD'!K26="SI",VLOOKUP('1.DATOS-PROD'!K$2,'1.PUNTOS'!$A$1:$B$63,2,0),0)</f>
        <v>0</v>
      </c>
      <c r="C25" s="138">
        <f>IF('1.DATOS-PROD'!L26="SI",VLOOKUP('1.DATOS-PROD'!L$2,'1.PUNTOS'!$A$1:$B$63,2,0),0)</f>
        <v>0</v>
      </c>
      <c r="D25" s="138">
        <f>IF('1.DATOS-PROD'!M26="SI",VLOOKUP('1.DATOS-PROD'!M$2,'1.PUNTOS'!$A$1:$B$63,2,0),0)</f>
        <v>0</v>
      </c>
      <c r="E25" s="138">
        <f>IF('1.DATOS-PROD'!N26="SI",VLOOKUP('1.DATOS-PROD'!N$2,'1.PUNTOS'!$A$1:$B$63,2,0),0)</f>
        <v>0</v>
      </c>
      <c r="F25" s="138">
        <f>IF('1.DATOS-PROD'!O26="SI",VLOOKUP('1.DATOS-PROD'!O$2,'1.PUNTOS'!$A$1:$B$63,2,0),0)</f>
        <v>0</v>
      </c>
      <c r="G25" s="138">
        <f>IF('1.DATOS-PROD'!P26="SI",VLOOKUP('1.DATOS-PROD'!P$2,'1.PUNTOS'!$A$1:$B$63,2,0),0)</f>
        <v>0</v>
      </c>
      <c r="H25" s="138">
        <f>IF('1.DATOS-PROD'!Q26="SI",VLOOKUP('1.DATOS-PROD'!Q$2,'1.PUNTOS'!$A$1:$B$63,2,0),0)</f>
        <v>0</v>
      </c>
      <c r="I25" s="138">
        <f>IF('1.DATOS-PROD'!R26="SI",VLOOKUP('1.DATOS-PROD'!R$2,'1.PUNTOS'!$A$1:$B$63,2,0),0)</f>
        <v>0</v>
      </c>
      <c r="J25" s="138">
        <f>IF('1.DATOS-PROD'!S26="SI",VLOOKUP('1.DATOS-PROD'!S$2,'1.PUNTOS'!$A$1:$B$63,2,0),0)</f>
        <v>0</v>
      </c>
      <c r="K25" s="138">
        <f>IF('1.DATOS-PROD'!T26="SI",VLOOKUP('1.DATOS-PROD'!T$2,'1.PUNTOS'!$A$1:$B$63,2,0),0)</f>
        <v>0</v>
      </c>
      <c r="L25" s="138">
        <f>IF('1.DATOS-PROD'!U26="SI",VLOOKUP('1.DATOS-PROD'!U$2,'1.PUNTOS'!$A$1:$B$63,2,0),0)</f>
        <v>0</v>
      </c>
      <c r="M25" s="138">
        <f>IF('1.DATOS-PROD'!V26="SI",VLOOKUP('1.DATOS-PROD'!V$2,'1.PUNTOS'!$A$1:$B$63,2,0),0)</f>
        <v>0</v>
      </c>
      <c r="N25" s="138">
        <f>IF('1.DATOS-PROD'!W26="SI",VLOOKUP('1.DATOS-PROD'!W$2,'1.PUNTOS'!$A$1:$B$63,2,0),0)</f>
        <v>0</v>
      </c>
      <c r="O25" s="138">
        <f>IF('1.DATOS-PROD'!X26="SI",VLOOKUP('1.DATOS-PROD'!X$2,'1.PUNTOS'!$A$1:$B$63,2,0),0)</f>
        <v>0</v>
      </c>
      <c r="P25" s="138">
        <f>IF('1.DATOS-PROD'!Y26="SI",VLOOKUP('1.DATOS-PROD'!Y$2,'1.PUNTOS'!$A$1:$B$63,2,0),0)</f>
        <v>0</v>
      </c>
      <c r="Q25" s="138">
        <f>IF('1.DATOS-PROD'!Z26="SI",VLOOKUP('1.DATOS-PROD'!Z$2,'1.PUNTOS'!$A$1:$B$63,2,0),0)</f>
        <v>0</v>
      </c>
      <c r="R25" s="138">
        <f>IF('1.DATOS-PROD'!AA26="SI",VLOOKUP('1.DATOS-PROD'!AA$2,'1.PUNTOS'!$A$1:$B$63,2,0),0)</f>
        <v>0</v>
      </c>
      <c r="S25" s="138">
        <f>IF('1.DATOS-PROD'!AB26="SI",VLOOKUP('1.DATOS-PROD'!AB$2,'1.PUNTOS'!$A$1:$B$63,2,0),0)</f>
        <v>0</v>
      </c>
      <c r="T25" s="138">
        <f>IF('1.DATOS-PROD'!AC26="SI",VLOOKUP('1.DATOS-PROD'!AC$2,'1.PUNTOS'!$A$1:$B$63,2,0),0)</f>
        <v>0</v>
      </c>
      <c r="U25" s="138">
        <f>IF('1.DATOS-PROD'!AD26="SI",VLOOKUP('1.DATOS-PROD'!AD$2,'1.PUNTOS'!$A$1:$B$63,2,0),0)</f>
        <v>0</v>
      </c>
      <c r="V25" s="138">
        <f>IF('1.DATOS-PROD'!AE26="SI",VLOOKUP('1.DATOS-PROD'!AE$2,'1.PUNTOS'!$A$1:$B$63,2,0),0)</f>
        <v>0</v>
      </c>
      <c r="W25" s="138">
        <f>IF('1.DATOS-PROD'!AF26="SI",VLOOKUP('1.DATOS-PROD'!AF$2,'1.PUNTOS'!$A$1:$B$63,2,0),0)</f>
        <v>0</v>
      </c>
      <c r="X25" s="138">
        <f>IF('1.DATOS-PROD'!AG26="SI",VLOOKUP('1.DATOS-PROD'!AG$2,'1.PUNTOS'!$A$1:$B$63,2,0),0)</f>
        <v>0</v>
      </c>
      <c r="Y25" s="138">
        <f>IF('1.DATOS-PROD'!AH26="SI",VLOOKUP('1.DATOS-PROD'!AH$2,'1.PUNTOS'!$A$1:$B$63,2,0),0)</f>
        <v>0</v>
      </c>
      <c r="Z25" s="138">
        <f>IF('1.DATOS-PROD'!AI26="SI",VLOOKUP('1.DATOS-PROD'!AI$2,'1.PUNTOS'!$A$1:$B$63,2,0),0)</f>
        <v>0</v>
      </c>
      <c r="AA25" s="138">
        <f>IF('1.DATOS-PROD'!AJ26="SI",VLOOKUP('1.DATOS-PROD'!AJ$2,'1.PUNTOS'!$A$1:$B$63,2,0),0)</f>
        <v>0</v>
      </c>
      <c r="AB25" s="138">
        <f>IF('1.DATOS-PROD'!AK26="SI",VLOOKUP('1.DATOS-PROD'!AK$2,'1.PUNTOS'!$A$1:$B$63,2,0),0)</f>
        <v>0</v>
      </c>
      <c r="AC25" s="138">
        <f>IF('1.DATOS-PROD'!AL26="SI",VLOOKUP('1.DATOS-PROD'!AL$2,'1.PUNTOS'!$A$1:$B$63,2,0),0)</f>
        <v>0</v>
      </c>
      <c r="AD25" s="138">
        <f>IF('1.DATOS-PROD'!AM26="SI",VLOOKUP('1.DATOS-PROD'!AM$2,'1.PUNTOS'!$A$1:$B$63,2,0),0)</f>
        <v>0</v>
      </c>
      <c r="AE25" s="138">
        <f>IF('1.DATOS-PROD'!AN26="SI",VLOOKUP('1.DATOS-PROD'!AN$2,'1.PUNTOS'!$A$1:$B$63,2,0),0)</f>
        <v>0</v>
      </c>
      <c r="AF25" s="138">
        <f>IF('1.DATOS-PROD'!AO26="SI",VLOOKUP('1.DATOS-PROD'!AO$2,'1.PUNTOS'!$A$1:$B$63,2,0),0)</f>
        <v>0</v>
      </c>
      <c r="AG25" s="138">
        <f>IF('1.DATOS-PROD'!AP26="SI",VLOOKUP('1.DATOS-PROD'!AP$2,'1.PUNTOS'!$A$1:$B$63,2,0),0)</f>
        <v>0</v>
      </c>
      <c r="AH25" s="138">
        <f>IF('1.DATOS-PROD'!AQ26="SI",VLOOKUP('1.DATOS-PROD'!AQ$2,'1.PUNTOS'!$A$1:$B$63,2,0),0)</f>
        <v>0</v>
      </c>
      <c r="AI25" s="138">
        <f>IF('1.DATOS-PROD'!AR26="SI",VLOOKUP('1.DATOS-PROD'!AR$2,'1.PUNTOS'!$A$1:$B$63,2,0),0)</f>
        <v>0</v>
      </c>
      <c r="AJ25" s="138">
        <f>IF('1.DATOS-PROD'!AS26="SI",VLOOKUP('1.DATOS-PROD'!AS$2,'1.PUNTOS'!$A$1:$B$63,2,0),0)</f>
        <v>0</v>
      </c>
      <c r="AK25" s="138">
        <f>IF('1.DATOS-PROD'!AT26="SI",VLOOKUP('1.DATOS-PROD'!AT$2,'1.PUNTOS'!$A$1:$B$63,2,0),0)</f>
        <v>0</v>
      </c>
      <c r="AL25" s="138">
        <f>IF('1.DATOS-PROD'!AU26="SI",VLOOKUP('1.DATOS-PROD'!AU$2,'1.PUNTOS'!$A$1:$B$63,2,0),0)</f>
        <v>0</v>
      </c>
      <c r="AM25" s="138">
        <f>IF('1.DATOS-PROD'!AV26="SI",VLOOKUP('1.DATOS-PROD'!AV$2,'1.PUNTOS'!$A$1:$B$63,2,0),0)</f>
        <v>0</v>
      </c>
      <c r="AN25" s="138">
        <f>IF('1.DATOS-PROD'!AW26="SI",VLOOKUP('1.DATOS-PROD'!AW$2,'1.PUNTOS'!$A$1:$B$63,2,0),0)</f>
        <v>0</v>
      </c>
      <c r="AO25" s="138">
        <f>IF('1.DATOS-PROD'!AX26="SI",VLOOKUP('1.DATOS-PROD'!AX$2,'1.PUNTOS'!$A$1:$B$63,2,0),0)</f>
        <v>0</v>
      </c>
      <c r="AP25" s="138">
        <f>IF('1.DATOS-PROD'!AY26="SI",VLOOKUP('1.DATOS-PROD'!AY$2,'1.PUNTOS'!$A$1:$B$63,2,0),0)</f>
        <v>0</v>
      </c>
      <c r="AQ25" s="138">
        <f>IF('1.DATOS-PROD'!AZ26="SI",VLOOKUP('1.DATOS-PROD'!AZ$2,'1.PUNTOS'!$A$1:$B$63,2,0),0)</f>
        <v>0</v>
      </c>
      <c r="AR25" s="138">
        <f>IF('1.DATOS-PROD'!BA26="SI",VLOOKUP('1.DATOS-PROD'!BA$2,'1.PUNTOS'!$A$1:$B$63,2,0),0)</f>
        <v>0</v>
      </c>
      <c r="AS25" s="138">
        <f>IF('1.DATOS-PROD'!BB26="SI",VLOOKUP('1.DATOS-PROD'!BB$2,'1.PUNTOS'!$A$1:$B$63,2,0),0)</f>
        <v>0</v>
      </c>
      <c r="AT25" s="138">
        <f>IF('1.DATOS-PROD'!BC26="SI",VLOOKUP('1.DATOS-PROD'!BC$2,'1.PUNTOS'!$A$1:$B$63,2,0),0)</f>
        <v>0</v>
      </c>
      <c r="AU25" s="138">
        <f>IF('1.DATOS-PROD'!BD26="SI",VLOOKUP('1.DATOS-PROD'!BD$2,'1.PUNTOS'!$A$1:$B$63,2,0),0)</f>
        <v>0</v>
      </c>
      <c r="AV25" s="138">
        <f>IF('1.DATOS-PROD'!BE26="SI",VLOOKUP('1.DATOS-PROD'!BE$2,'1.PUNTOS'!$A$1:$B$63,2,0),0)</f>
        <v>0</v>
      </c>
      <c r="AW25" s="138">
        <f>IF('1.DATOS-PROD'!BF26="SI",VLOOKUP('1.DATOS-PROD'!BF$2,'1.PUNTOS'!$A$1:$B$63,2,0),0)</f>
        <v>0</v>
      </c>
      <c r="AX25" s="138">
        <f>IF('1.DATOS-PROD'!BG26="SI",VLOOKUP('1.DATOS-PROD'!BG$2,'1.PUNTOS'!$A$1:$B$63,2,0),0)</f>
        <v>0</v>
      </c>
      <c r="AY25" s="138">
        <f>IF('1.DATOS-PROD'!BH26="SI",VLOOKUP('1.DATOS-PROD'!BH$2,'1.PUNTOS'!$A$1:$B$63,2,0),0)</f>
        <v>0</v>
      </c>
      <c r="AZ25" s="138">
        <f>IF('1.DATOS-PROD'!BI26="SI",VLOOKUP('1.DATOS-PROD'!BI$2,'1.PUNTOS'!$A$1:$B$63,2,0),0)</f>
        <v>0</v>
      </c>
      <c r="BA25" s="138">
        <f>IF('1.DATOS-PROD'!BJ26="SI",VLOOKUP('1.DATOS-PROD'!BJ$2,'1.PUNTOS'!$A$1:$B$63,2,0),0)</f>
        <v>0</v>
      </c>
      <c r="BB25" s="138">
        <f>IF('1.DATOS-PROD'!BK26="SI",VLOOKUP('1.DATOS-PROD'!BK$2,'1.PUNTOS'!$A$1:$B$63,2,0),0)</f>
        <v>0</v>
      </c>
      <c r="BC25" s="138">
        <f>IF('1.DATOS-PROD'!BL26="SI",VLOOKUP('1.DATOS-PROD'!BL$2,'1.PUNTOS'!$A$1:$B$63,2,0),0)</f>
        <v>0</v>
      </c>
      <c r="BD25" s="138">
        <f>IF('1.DATOS-PROD'!BM26="SI",VLOOKUP('1.DATOS-PROD'!BM$2,'1.PUNTOS'!$A$1:$B$63,2,0),0)</f>
        <v>0</v>
      </c>
      <c r="BE25" s="138">
        <f>IF('1.DATOS-PROD'!BN26="SI",VLOOKUP('1.DATOS-PROD'!BN$2,'1.PUNTOS'!$A$1:$B$63,2,0),0)</f>
        <v>0</v>
      </c>
      <c r="BF25" s="138">
        <f>IF('1.DATOS-PROD'!BO26="SI",VLOOKUP('1.DATOS-PROD'!BO$2,'1.PUNTOS'!$A$1:$B$63,2,0),0)</f>
        <v>0</v>
      </c>
      <c r="BG25" s="138">
        <f>IF('1.DATOS-PROD'!BP26="SI",VLOOKUP('1.DATOS-PROD'!BP$2,'1.PUNTOS'!$A$1:$B$63,2,0),0)</f>
        <v>0</v>
      </c>
      <c r="BH25" s="138">
        <f>IF('1.DATOS-PROD'!BQ26="SI",VLOOKUP('1.DATOS-PROD'!BQ$2,'1.PUNTOS'!$A$1:$B$63,2,0),0)</f>
        <v>0</v>
      </c>
      <c r="BI25" s="138">
        <f>IF('1.DATOS-PROD'!BR26="SI",VLOOKUP('1.DATOS-PROD'!BR$2,'1.PUNTOS'!$A$1:$B$63,2,0),0)</f>
        <v>0</v>
      </c>
      <c r="BJ25" s="138">
        <f>IF('1.DATOS-PROD'!BS26="SI",VLOOKUP('1.DATOS-PROD'!BS$2,'1.PUNTOS'!$A$1:$B$63,2,0),0)</f>
        <v>0</v>
      </c>
      <c r="BK25" s="138">
        <f>IF('1.DATOS-PROD'!BT26="SI",VLOOKUP('1.DATOS-PROD'!BT$2,'1.PUNTOS'!$A$1:$B$63,2,0),0)</f>
        <v>0</v>
      </c>
    </row>
    <row r="26" spans="1:63" x14ac:dyDescent="0.25">
      <c r="A26">
        <f>'0.Consolidado general'!$A27</f>
        <v>0</v>
      </c>
      <c r="B26" s="138">
        <f>IF('1.DATOS-PROD'!K27="SI",VLOOKUP('1.DATOS-PROD'!K$2,'1.PUNTOS'!$A$1:$B$63,2,0),0)</f>
        <v>0</v>
      </c>
      <c r="C26" s="138">
        <f>IF('1.DATOS-PROD'!L27="SI",VLOOKUP('1.DATOS-PROD'!L$2,'1.PUNTOS'!$A$1:$B$63,2,0),0)</f>
        <v>0</v>
      </c>
      <c r="D26" s="138">
        <f>IF('1.DATOS-PROD'!M27="SI",VLOOKUP('1.DATOS-PROD'!M$2,'1.PUNTOS'!$A$1:$B$63,2,0),0)</f>
        <v>0</v>
      </c>
      <c r="E26" s="138">
        <f>IF('1.DATOS-PROD'!N27="SI",VLOOKUP('1.DATOS-PROD'!N$2,'1.PUNTOS'!$A$1:$B$63,2,0),0)</f>
        <v>0</v>
      </c>
      <c r="F26" s="138">
        <f>IF('1.DATOS-PROD'!O27="SI",VLOOKUP('1.DATOS-PROD'!O$2,'1.PUNTOS'!$A$1:$B$63,2,0),0)</f>
        <v>0</v>
      </c>
      <c r="G26" s="138">
        <f>IF('1.DATOS-PROD'!P27="SI",VLOOKUP('1.DATOS-PROD'!P$2,'1.PUNTOS'!$A$1:$B$63,2,0),0)</f>
        <v>0</v>
      </c>
      <c r="H26" s="138">
        <f>IF('1.DATOS-PROD'!Q27="SI",VLOOKUP('1.DATOS-PROD'!Q$2,'1.PUNTOS'!$A$1:$B$63,2,0),0)</f>
        <v>0</v>
      </c>
      <c r="I26" s="138">
        <f>IF('1.DATOS-PROD'!R27="SI",VLOOKUP('1.DATOS-PROD'!R$2,'1.PUNTOS'!$A$1:$B$63,2,0),0)</f>
        <v>0</v>
      </c>
      <c r="J26" s="138">
        <f>IF('1.DATOS-PROD'!S27="SI",VLOOKUP('1.DATOS-PROD'!S$2,'1.PUNTOS'!$A$1:$B$63,2,0),0)</f>
        <v>0</v>
      </c>
      <c r="K26" s="138">
        <f>IF('1.DATOS-PROD'!T27="SI",VLOOKUP('1.DATOS-PROD'!T$2,'1.PUNTOS'!$A$1:$B$63,2,0),0)</f>
        <v>0</v>
      </c>
      <c r="L26" s="138">
        <f>IF('1.DATOS-PROD'!U27="SI",VLOOKUP('1.DATOS-PROD'!U$2,'1.PUNTOS'!$A$1:$B$63,2,0),0)</f>
        <v>0</v>
      </c>
      <c r="M26" s="138">
        <f>IF('1.DATOS-PROD'!V27="SI",VLOOKUP('1.DATOS-PROD'!V$2,'1.PUNTOS'!$A$1:$B$63,2,0),0)</f>
        <v>0</v>
      </c>
      <c r="N26" s="138">
        <f>IF('1.DATOS-PROD'!W27="SI",VLOOKUP('1.DATOS-PROD'!W$2,'1.PUNTOS'!$A$1:$B$63,2,0),0)</f>
        <v>0</v>
      </c>
      <c r="O26" s="138">
        <f>IF('1.DATOS-PROD'!X27="SI",VLOOKUP('1.DATOS-PROD'!X$2,'1.PUNTOS'!$A$1:$B$63,2,0),0)</f>
        <v>0</v>
      </c>
      <c r="P26" s="138">
        <f>IF('1.DATOS-PROD'!Y27="SI",VLOOKUP('1.DATOS-PROD'!Y$2,'1.PUNTOS'!$A$1:$B$63,2,0),0)</f>
        <v>0</v>
      </c>
      <c r="Q26" s="138">
        <f>IF('1.DATOS-PROD'!Z27="SI",VLOOKUP('1.DATOS-PROD'!Z$2,'1.PUNTOS'!$A$1:$B$63,2,0),0)</f>
        <v>0</v>
      </c>
      <c r="R26" s="138">
        <f>IF('1.DATOS-PROD'!AA27="SI",VLOOKUP('1.DATOS-PROD'!AA$2,'1.PUNTOS'!$A$1:$B$63,2,0),0)</f>
        <v>0</v>
      </c>
      <c r="S26" s="138">
        <f>IF('1.DATOS-PROD'!AB27="SI",VLOOKUP('1.DATOS-PROD'!AB$2,'1.PUNTOS'!$A$1:$B$63,2,0),0)</f>
        <v>0</v>
      </c>
      <c r="T26" s="138">
        <f>IF('1.DATOS-PROD'!AC27="SI",VLOOKUP('1.DATOS-PROD'!AC$2,'1.PUNTOS'!$A$1:$B$63,2,0),0)</f>
        <v>0</v>
      </c>
      <c r="U26" s="138">
        <f>IF('1.DATOS-PROD'!AD27="SI",VLOOKUP('1.DATOS-PROD'!AD$2,'1.PUNTOS'!$A$1:$B$63,2,0),0)</f>
        <v>0</v>
      </c>
      <c r="V26" s="138">
        <f>IF('1.DATOS-PROD'!AE27="SI",VLOOKUP('1.DATOS-PROD'!AE$2,'1.PUNTOS'!$A$1:$B$63,2,0),0)</f>
        <v>0</v>
      </c>
      <c r="W26" s="138">
        <f>IF('1.DATOS-PROD'!AF27="SI",VLOOKUP('1.DATOS-PROD'!AF$2,'1.PUNTOS'!$A$1:$B$63,2,0),0)</f>
        <v>0</v>
      </c>
      <c r="X26" s="138">
        <f>IF('1.DATOS-PROD'!AG27="SI",VLOOKUP('1.DATOS-PROD'!AG$2,'1.PUNTOS'!$A$1:$B$63,2,0),0)</f>
        <v>0</v>
      </c>
      <c r="Y26" s="138">
        <f>IF('1.DATOS-PROD'!AH27="SI",VLOOKUP('1.DATOS-PROD'!AH$2,'1.PUNTOS'!$A$1:$B$63,2,0),0)</f>
        <v>0</v>
      </c>
      <c r="Z26" s="138">
        <f>IF('1.DATOS-PROD'!AI27="SI",VLOOKUP('1.DATOS-PROD'!AI$2,'1.PUNTOS'!$A$1:$B$63,2,0),0)</f>
        <v>0</v>
      </c>
      <c r="AA26" s="138">
        <f>IF('1.DATOS-PROD'!AJ27="SI",VLOOKUP('1.DATOS-PROD'!AJ$2,'1.PUNTOS'!$A$1:$B$63,2,0),0)</f>
        <v>0</v>
      </c>
      <c r="AB26" s="138">
        <f>IF('1.DATOS-PROD'!AK27="SI",VLOOKUP('1.DATOS-PROD'!AK$2,'1.PUNTOS'!$A$1:$B$63,2,0),0)</f>
        <v>0</v>
      </c>
      <c r="AC26" s="138">
        <f>IF('1.DATOS-PROD'!AL27="SI",VLOOKUP('1.DATOS-PROD'!AL$2,'1.PUNTOS'!$A$1:$B$63,2,0),0)</f>
        <v>0</v>
      </c>
      <c r="AD26" s="138">
        <f>IF('1.DATOS-PROD'!AM27="SI",VLOOKUP('1.DATOS-PROD'!AM$2,'1.PUNTOS'!$A$1:$B$63,2,0),0)</f>
        <v>0</v>
      </c>
      <c r="AE26" s="138">
        <f>IF('1.DATOS-PROD'!AN27="SI",VLOOKUP('1.DATOS-PROD'!AN$2,'1.PUNTOS'!$A$1:$B$63,2,0),0)</f>
        <v>0</v>
      </c>
      <c r="AF26" s="138">
        <f>IF('1.DATOS-PROD'!AO27="SI",VLOOKUP('1.DATOS-PROD'!AO$2,'1.PUNTOS'!$A$1:$B$63,2,0),0)</f>
        <v>0</v>
      </c>
      <c r="AG26" s="138">
        <f>IF('1.DATOS-PROD'!AP27="SI",VLOOKUP('1.DATOS-PROD'!AP$2,'1.PUNTOS'!$A$1:$B$63,2,0),0)</f>
        <v>0</v>
      </c>
      <c r="AH26" s="138">
        <f>IF('1.DATOS-PROD'!AQ27="SI",VLOOKUP('1.DATOS-PROD'!AQ$2,'1.PUNTOS'!$A$1:$B$63,2,0),0)</f>
        <v>0</v>
      </c>
      <c r="AI26" s="138">
        <f>IF('1.DATOS-PROD'!AR27="SI",VLOOKUP('1.DATOS-PROD'!AR$2,'1.PUNTOS'!$A$1:$B$63,2,0),0)</f>
        <v>0</v>
      </c>
      <c r="AJ26" s="138">
        <f>IF('1.DATOS-PROD'!AS27="SI",VLOOKUP('1.DATOS-PROD'!AS$2,'1.PUNTOS'!$A$1:$B$63,2,0),0)</f>
        <v>0</v>
      </c>
      <c r="AK26" s="138">
        <f>IF('1.DATOS-PROD'!AT27="SI",VLOOKUP('1.DATOS-PROD'!AT$2,'1.PUNTOS'!$A$1:$B$63,2,0),0)</f>
        <v>0</v>
      </c>
      <c r="AL26" s="138">
        <f>IF('1.DATOS-PROD'!AU27="SI",VLOOKUP('1.DATOS-PROD'!AU$2,'1.PUNTOS'!$A$1:$B$63,2,0),0)</f>
        <v>0</v>
      </c>
      <c r="AM26" s="138">
        <f>IF('1.DATOS-PROD'!AV27="SI",VLOOKUP('1.DATOS-PROD'!AV$2,'1.PUNTOS'!$A$1:$B$63,2,0),0)</f>
        <v>0</v>
      </c>
      <c r="AN26" s="138">
        <f>IF('1.DATOS-PROD'!AW27="SI",VLOOKUP('1.DATOS-PROD'!AW$2,'1.PUNTOS'!$A$1:$B$63,2,0),0)</f>
        <v>0</v>
      </c>
      <c r="AO26" s="138">
        <f>IF('1.DATOS-PROD'!AX27="SI",VLOOKUP('1.DATOS-PROD'!AX$2,'1.PUNTOS'!$A$1:$B$63,2,0),0)</f>
        <v>0</v>
      </c>
      <c r="AP26" s="138">
        <f>IF('1.DATOS-PROD'!AY27="SI",VLOOKUP('1.DATOS-PROD'!AY$2,'1.PUNTOS'!$A$1:$B$63,2,0),0)</f>
        <v>0</v>
      </c>
      <c r="AQ26" s="138">
        <f>IF('1.DATOS-PROD'!AZ27="SI",VLOOKUP('1.DATOS-PROD'!AZ$2,'1.PUNTOS'!$A$1:$B$63,2,0),0)</f>
        <v>0</v>
      </c>
      <c r="AR26" s="138">
        <f>IF('1.DATOS-PROD'!BA27="SI",VLOOKUP('1.DATOS-PROD'!BA$2,'1.PUNTOS'!$A$1:$B$63,2,0),0)</f>
        <v>0</v>
      </c>
      <c r="AS26" s="138">
        <f>IF('1.DATOS-PROD'!BB27="SI",VLOOKUP('1.DATOS-PROD'!BB$2,'1.PUNTOS'!$A$1:$B$63,2,0),0)</f>
        <v>0</v>
      </c>
      <c r="AT26" s="138">
        <f>IF('1.DATOS-PROD'!BC27="SI",VLOOKUP('1.DATOS-PROD'!BC$2,'1.PUNTOS'!$A$1:$B$63,2,0),0)</f>
        <v>0</v>
      </c>
      <c r="AU26" s="138">
        <f>IF('1.DATOS-PROD'!BD27="SI",VLOOKUP('1.DATOS-PROD'!BD$2,'1.PUNTOS'!$A$1:$B$63,2,0),0)</f>
        <v>0</v>
      </c>
      <c r="AV26" s="138">
        <f>IF('1.DATOS-PROD'!BE27="SI",VLOOKUP('1.DATOS-PROD'!BE$2,'1.PUNTOS'!$A$1:$B$63,2,0),0)</f>
        <v>0</v>
      </c>
      <c r="AW26" s="138">
        <f>IF('1.DATOS-PROD'!BF27="SI",VLOOKUP('1.DATOS-PROD'!BF$2,'1.PUNTOS'!$A$1:$B$63,2,0),0)</f>
        <v>0</v>
      </c>
      <c r="AX26" s="138">
        <f>IF('1.DATOS-PROD'!BG27="SI",VLOOKUP('1.DATOS-PROD'!BG$2,'1.PUNTOS'!$A$1:$B$63,2,0),0)</f>
        <v>0</v>
      </c>
      <c r="AY26" s="138">
        <f>IF('1.DATOS-PROD'!BH27="SI",VLOOKUP('1.DATOS-PROD'!BH$2,'1.PUNTOS'!$A$1:$B$63,2,0),0)</f>
        <v>0</v>
      </c>
      <c r="AZ26" s="138">
        <f>IF('1.DATOS-PROD'!BI27="SI",VLOOKUP('1.DATOS-PROD'!BI$2,'1.PUNTOS'!$A$1:$B$63,2,0),0)</f>
        <v>0</v>
      </c>
      <c r="BA26" s="138">
        <f>IF('1.DATOS-PROD'!BJ27="SI",VLOOKUP('1.DATOS-PROD'!BJ$2,'1.PUNTOS'!$A$1:$B$63,2,0),0)</f>
        <v>0</v>
      </c>
      <c r="BB26" s="138">
        <f>IF('1.DATOS-PROD'!BK27="SI",VLOOKUP('1.DATOS-PROD'!BK$2,'1.PUNTOS'!$A$1:$B$63,2,0),0)</f>
        <v>0</v>
      </c>
      <c r="BC26" s="138">
        <f>IF('1.DATOS-PROD'!BL27="SI",VLOOKUP('1.DATOS-PROD'!BL$2,'1.PUNTOS'!$A$1:$B$63,2,0),0)</f>
        <v>0</v>
      </c>
      <c r="BD26" s="138">
        <f>IF('1.DATOS-PROD'!BM27="SI",VLOOKUP('1.DATOS-PROD'!BM$2,'1.PUNTOS'!$A$1:$B$63,2,0),0)</f>
        <v>0</v>
      </c>
      <c r="BE26" s="138">
        <f>IF('1.DATOS-PROD'!BN27="SI",VLOOKUP('1.DATOS-PROD'!BN$2,'1.PUNTOS'!$A$1:$B$63,2,0),0)</f>
        <v>0</v>
      </c>
      <c r="BF26" s="138">
        <f>IF('1.DATOS-PROD'!BO27="SI",VLOOKUP('1.DATOS-PROD'!BO$2,'1.PUNTOS'!$A$1:$B$63,2,0),0)</f>
        <v>0</v>
      </c>
      <c r="BG26" s="138">
        <f>IF('1.DATOS-PROD'!BP27="SI",VLOOKUP('1.DATOS-PROD'!BP$2,'1.PUNTOS'!$A$1:$B$63,2,0),0)</f>
        <v>0</v>
      </c>
      <c r="BH26" s="138">
        <f>IF('1.DATOS-PROD'!BQ27="SI",VLOOKUP('1.DATOS-PROD'!BQ$2,'1.PUNTOS'!$A$1:$B$63,2,0),0)</f>
        <v>0</v>
      </c>
      <c r="BI26" s="138">
        <f>IF('1.DATOS-PROD'!BR27="SI",VLOOKUP('1.DATOS-PROD'!BR$2,'1.PUNTOS'!$A$1:$B$63,2,0),0)</f>
        <v>0</v>
      </c>
      <c r="BJ26" s="138">
        <f>IF('1.DATOS-PROD'!BS27="SI",VLOOKUP('1.DATOS-PROD'!BS$2,'1.PUNTOS'!$A$1:$B$63,2,0),0)</f>
        <v>0</v>
      </c>
      <c r="BK26" s="138">
        <f>IF('1.DATOS-PROD'!BT27="SI",VLOOKUP('1.DATOS-PROD'!BT$2,'1.PUNTOS'!$A$1:$B$63,2,0),0)</f>
        <v>0</v>
      </c>
    </row>
    <row r="27" spans="1:63" x14ac:dyDescent="0.25">
      <c r="A27">
        <f>'0.Consolidado general'!$A28</f>
        <v>0</v>
      </c>
      <c r="B27" s="138">
        <f>IF('1.DATOS-PROD'!K28="SI",VLOOKUP('1.DATOS-PROD'!K$2,'1.PUNTOS'!$A$1:$B$63,2,0),0)</f>
        <v>0</v>
      </c>
      <c r="C27" s="138">
        <f>IF('1.DATOS-PROD'!L28="SI",VLOOKUP('1.DATOS-PROD'!L$2,'1.PUNTOS'!$A$1:$B$63,2,0),0)</f>
        <v>0</v>
      </c>
      <c r="D27" s="138">
        <f>IF('1.DATOS-PROD'!M28="SI",VLOOKUP('1.DATOS-PROD'!M$2,'1.PUNTOS'!$A$1:$B$63,2,0),0)</f>
        <v>0</v>
      </c>
      <c r="E27" s="138">
        <f>IF('1.DATOS-PROD'!N28="SI",VLOOKUP('1.DATOS-PROD'!N$2,'1.PUNTOS'!$A$1:$B$63,2,0),0)</f>
        <v>0</v>
      </c>
      <c r="F27" s="138">
        <f>IF('1.DATOS-PROD'!O28="SI",VLOOKUP('1.DATOS-PROD'!O$2,'1.PUNTOS'!$A$1:$B$63,2,0),0)</f>
        <v>0</v>
      </c>
      <c r="G27" s="138">
        <f>IF('1.DATOS-PROD'!P28="SI",VLOOKUP('1.DATOS-PROD'!P$2,'1.PUNTOS'!$A$1:$B$63,2,0),0)</f>
        <v>0</v>
      </c>
      <c r="H27" s="138">
        <f>IF('1.DATOS-PROD'!Q28="SI",VLOOKUP('1.DATOS-PROD'!Q$2,'1.PUNTOS'!$A$1:$B$63,2,0),0)</f>
        <v>0</v>
      </c>
      <c r="I27" s="138">
        <f>IF('1.DATOS-PROD'!R28="SI",VLOOKUP('1.DATOS-PROD'!R$2,'1.PUNTOS'!$A$1:$B$63,2,0),0)</f>
        <v>0</v>
      </c>
      <c r="J27" s="138">
        <f>IF('1.DATOS-PROD'!S28="SI",VLOOKUP('1.DATOS-PROD'!S$2,'1.PUNTOS'!$A$1:$B$63,2,0),0)</f>
        <v>0</v>
      </c>
      <c r="K27" s="138">
        <f>IF('1.DATOS-PROD'!T28="SI",VLOOKUP('1.DATOS-PROD'!T$2,'1.PUNTOS'!$A$1:$B$63,2,0),0)</f>
        <v>0</v>
      </c>
      <c r="L27" s="138">
        <f>IF('1.DATOS-PROD'!U28="SI",VLOOKUP('1.DATOS-PROD'!U$2,'1.PUNTOS'!$A$1:$B$63,2,0),0)</f>
        <v>0</v>
      </c>
      <c r="M27" s="138">
        <f>IF('1.DATOS-PROD'!V28="SI",VLOOKUP('1.DATOS-PROD'!V$2,'1.PUNTOS'!$A$1:$B$63,2,0),0)</f>
        <v>0</v>
      </c>
      <c r="N27" s="138">
        <f>IF('1.DATOS-PROD'!W28="SI",VLOOKUP('1.DATOS-PROD'!W$2,'1.PUNTOS'!$A$1:$B$63,2,0),0)</f>
        <v>0</v>
      </c>
      <c r="O27" s="138">
        <f>IF('1.DATOS-PROD'!X28="SI",VLOOKUP('1.DATOS-PROD'!X$2,'1.PUNTOS'!$A$1:$B$63,2,0),0)</f>
        <v>0</v>
      </c>
      <c r="P27" s="138">
        <f>IF('1.DATOS-PROD'!Y28="SI",VLOOKUP('1.DATOS-PROD'!Y$2,'1.PUNTOS'!$A$1:$B$63,2,0),0)</f>
        <v>0</v>
      </c>
      <c r="Q27" s="138">
        <f>IF('1.DATOS-PROD'!Z28="SI",VLOOKUP('1.DATOS-PROD'!Z$2,'1.PUNTOS'!$A$1:$B$63,2,0),0)</f>
        <v>0</v>
      </c>
      <c r="R27" s="138">
        <f>IF('1.DATOS-PROD'!AA28="SI",VLOOKUP('1.DATOS-PROD'!AA$2,'1.PUNTOS'!$A$1:$B$63,2,0),0)</f>
        <v>0</v>
      </c>
      <c r="S27" s="138">
        <f>IF('1.DATOS-PROD'!AB28="SI",VLOOKUP('1.DATOS-PROD'!AB$2,'1.PUNTOS'!$A$1:$B$63,2,0),0)</f>
        <v>0</v>
      </c>
      <c r="T27" s="138">
        <f>IF('1.DATOS-PROD'!AC28="SI",VLOOKUP('1.DATOS-PROD'!AC$2,'1.PUNTOS'!$A$1:$B$63,2,0),0)</f>
        <v>0</v>
      </c>
      <c r="U27" s="138">
        <f>IF('1.DATOS-PROD'!AD28="SI",VLOOKUP('1.DATOS-PROD'!AD$2,'1.PUNTOS'!$A$1:$B$63,2,0),0)</f>
        <v>0</v>
      </c>
      <c r="V27" s="138">
        <f>IF('1.DATOS-PROD'!AE28="SI",VLOOKUP('1.DATOS-PROD'!AE$2,'1.PUNTOS'!$A$1:$B$63,2,0),0)</f>
        <v>0</v>
      </c>
      <c r="W27" s="138">
        <f>IF('1.DATOS-PROD'!AF28="SI",VLOOKUP('1.DATOS-PROD'!AF$2,'1.PUNTOS'!$A$1:$B$63,2,0),0)</f>
        <v>0</v>
      </c>
      <c r="X27" s="138">
        <f>IF('1.DATOS-PROD'!AG28="SI",VLOOKUP('1.DATOS-PROD'!AG$2,'1.PUNTOS'!$A$1:$B$63,2,0),0)</f>
        <v>0</v>
      </c>
      <c r="Y27" s="138">
        <f>IF('1.DATOS-PROD'!AH28="SI",VLOOKUP('1.DATOS-PROD'!AH$2,'1.PUNTOS'!$A$1:$B$63,2,0),0)</f>
        <v>0</v>
      </c>
      <c r="Z27" s="138">
        <f>IF('1.DATOS-PROD'!AI28="SI",VLOOKUP('1.DATOS-PROD'!AI$2,'1.PUNTOS'!$A$1:$B$63,2,0),0)</f>
        <v>0</v>
      </c>
      <c r="AA27" s="138">
        <f>IF('1.DATOS-PROD'!AJ28="SI",VLOOKUP('1.DATOS-PROD'!AJ$2,'1.PUNTOS'!$A$1:$B$63,2,0),0)</f>
        <v>0</v>
      </c>
      <c r="AB27" s="138">
        <f>IF('1.DATOS-PROD'!AK28="SI",VLOOKUP('1.DATOS-PROD'!AK$2,'1.PUNTOS'!$A$1:$B$63,2,0),0)</f>
        <v>0</v>
      </c>
      <c r="AC27" s="138">
        <f>IF('1.DATOS-PROD'!AL28="SI",VLOOKUP('1.DATOS-PROD'!AL$2,'1.PUNTOS'!$A$1:$B$63,2,0),0)</f>
        <v>0</v>
      </c>
      <c r="AD27" s="138">
        <f>IF('1.DATOS-PROD'!AM28="SI",VLOOKUP('1.DATOS-PROD'!AM$2,'1.PUNTOS'!$A$1:$B$63,2,0),0)</f>
        <v>0</v>
      </c>
      <c r="AE27" s="138">
        <f>IF('1.DATOS-PROD'!AN28="SI",VLOOKUP('1.DATOS-PROD'!AN$2,'1.PUNTOS'!$A$1:$B$63,2,0),0)</f>
        <v>0</v>
      </c>
      <c r="AF27" s="138">
        <f>IF('1.DATOS-PROD'!AO28="SI",VLOOKUP('1.DATOS-PROD'!AO$2,'1.PUNTOS'!$A$1:$B$63,2,0),0)</f>
        <v>0</v>
      </c>
      <c r="AG27" s="138">
        <f>IF('1.DATOS-PROD'!AP28="SI",VLOOKUP('1.DATOS-PROD'!AP$2,'1.PUNTOS'!$A$1:$B$63,2,0),0)</f>
        <v>0</v>
      </c>
      <c r="AH27" s="138">
        <f>IF('1.DATOS-PROD'!AQ28="SI",VLOOKUP('1.DATOS-PROD'!AQ$2,'1.PUNTOS'!$A$1:$B$63,2,0),0)</f>
        <v>0</v>
      </c>
      <c r="AI27" s="138">
        <f>IF('1.DATOS-PROD'!AR28="SI",VLOOKUP('1.DATOS-PROD'!AR$2,'1.PUNTOS'!$A$1:$B$63,2,0),0)</f>
        <v>0</v>
      </c>
      <c r="AJ27" s="138">
        <f>IF('1.DATOS-PROD'!AS28="SI",VLOOKUP('1.DATOS-PROD'!AS$2,'1.PUNTOS'!$A$1:$B$63,2,0),0)</f>
        <v>0</v>
      </c>
      <c r="AK27" s="138">
        <f>IF('1.DATOS-PROD'!AT28="SI",VLOOKUP('1.DATOS-PROD'!AT$2,'1.PUNTOS'!$A$1:$B$63,2,0),0)</f>
        <v>0</v>
      </c>
      <c r="AL27" s="138">
        <f>IF('1.DATOS-PROD'!AU28="SI",VLOOKUP('1.DATOS-PROD'!AU$2,'1.PUNTOS'!$A$1:$B$63,2,0),0)</f>
        <v>0</v>
      </c>
      <c r="AM27" s="138">
        <f>IF('1.DATOS-PROD'!AV28="SI",VLOOKUP('1.DATOS-PROD'!AV$2,'1.PUNTOS'!$A$1:$B$63,2,0),0)</f>
        <v>0</v>
      </c>
      <c r="AN27" s="138">
        <f>IF('1.DATOS-PROD'!AW28="SI",VLOOKUP('1.DATOS-PROD'!AW$2,'1.PUNTOS'!$A$1:$B$63,2,0),0)</f>
        <v>0</v>
      </c>
      <c r="AO27" s="138">
        <f>IF('1.DATOS-PROD'!AX28="SI",VLOOKUP('1.DATOS-PROD'!AX$2,'1.PUNTOS'!$A$1:$B$63,2,0),0)</f>
        <v>0</v>
      </c>
      <c r="AP27" s="138">
        <f>IF('1.DATOS-PROD'!AY28="SI",VLOOKUP('1.DATOS-PROD'!AY$2,'1.PUNTOS'!$A$1:$B$63,2,0),0)</f>
        <v>0</v>
      </c>
      <c r="AQ27" s="138">
        <f>IF('1.DATOS-PROD'!AZ28="SI",VLOOKUP('1.DATOS-PROD'!AZ$2,'1.PUNTOS'!$A$1:$B$63,2,0),0)</f>
        <v>0</v>
      </c>
      <c r="AR27" s="138">
        <f>IF('1.DATOS-PROD'!BA28="SI",VLOOKUP('1.DATOS-PROD'!BA$2,'1.PUNTOS'!$A$1:$B$63,2,0),0)</f>
        <v>0</v>
      </c>
      <c r="AS27" s="138">
        <f>IF('1.DATOS-PROD'!BB28="SI",VLOOKUP('1.DATOS-PROD'!BB$2,'1.PUNTOS'!$A$1:$B$63,2,0),0)</f>
        <v>0</v>
      </c>
      <c r="AT27" s="138">
        <f>IF('1.DATOS-PROD'!BC28="SI",VLOOKUP('1.DATOS-PROD'!BC$2,'1.PUNTOS'!$A$1:$B$63,2,0),0)</f>
        <v>0</v>
      </c>
      <c r="AU27" s="138">
        <f>IF('1.DATOS-PROD'!BD28="SI",VLOOKUP('1.DATOS-PROD'!BD$2,'1.PUNTOS'!$A$1:$B$63,2,0),0)</f>
        <v>0</v>
      </c>
      <c r="AV27" s="138">
        <f>IF('1.DATOS-PROD'!BE28="SI",VLOOKUP('1.DATOS-PROD'!BE$2,'1.PUNTOS'!$A$1:$B$63,2,0),0)</f>
        <v>0</v>
      </c>
      <c r="AW27" s="138">
        <f>IF('1.DATOS-PROD'!BF28="SI",VLOOKUP('1.DATOS-PROD'!BF$2,'1.PUNTOS'!$A$1:$B$63,2,0),0)</f>
        <v>0</v>
      </c>
      <c r="AX27" s="138">
        <f>IF('1.DATOS-PROD'!BG28="SI",VLOOKUP('1.DATOS-PROD'!BG$2,'1.PUNTOS'!$A$1:$B$63,2,0),0)</f>
        <v>0</v>
      </c>
      <c r="AY27" s="138">
        <f>IF('1.DATOS-PROD'!BH28="SI",VLOOKUP('1.DATOS-PROD'!BH$2,'1.PUNTOS'!$A$1:$B$63,2,0),0)</f>
        <v>0</v>
      </c>
      <c r="AZ27" s="138">
        <f>IF('1.DATOS-PROD'!BI28="SI",VLOOKUP('1.DATOS-PROD'!BI$2,'1.PUNTOS'!$A$1:$B$63,2,0),0)</f>
        <v>0</v>
      </c>
      <c r="BA27" s="138">
        <f>IF('1.DATOS-PROD'!BJ28="SI",VLOOKUP('1.DATOS-PROD'!BJ$2,'1.PUNTOS'!$A$1:$B$63,2,0),0)</f>
        <v>0</v>
      </c>
      <c r="BB27" s="138">
        <f>IF('1.DATOS-PROD'!BK28="SI",VLOOKUP('1.DATOS-PROD'!BK$2,'1.PUNTOS'!$A$1:$B$63,2,0),0)</f>
        <v>0</v>
      </c>
      <c r="BC27" s="138">
        <f>IF('1.DATOS-PROD'!BL28="SI",VLOOKUP('1.DATOS-PROD'!BL$2,'1.PUNTOS'!$A$1:$B$63,2,0),0)</f>
        <v>0</v>
      </c>
      <c r="BD27" s="138">
        <f>IF('1.DATOS-PROD'!BM28="SI",VLOOKUP('1.DATOS-PROD'!BM$2,'1.PUNTOS'!$A$1:$B$63,2,0),0)</f>
        <v>0</v>
      </c>
      <c r="BE27" s="138">
        <f>IF('1.DATOS-PROD'!BN28="SI",VLOOKUP('1.DATOS-PROD'!BN$2,'1.PUNTOS'!$A$1:$B$63,2,0),0)</f>
        <v>0</v>
      </c>
      <c r="BF27" s="138">
        <f>IF('1.DATOS-PROD'!BO28="SI",VLOOKUP('1.DATOS-PROD'!BO$2,'1.PUNTOS'!$A$1:$B$63,2,0),0)</f>
        <v>0</v>
      </c>
      <c r="BG27" s="138">
        <f>IF('1.DATOS-PROD'!BP28="SI",VLOOKUP('1.DATOS-PROD'!BP$2,'1.PUNTOS'!$A$1:$B$63,2,0),0)</f>
        <v>0</v>
      </c>
      <c r="BH27" s="138">
        <f>IF('1.DATOS-PROD'!BQ28="SI",VLOOKUP('1.DATOS-PROD'!BQ$2,'1.PUNTOS'!$A$1:$B$63,2,0),0)</f>
        <v>0</v>
      </c>
      <c r="BI27" s="138">
        <f>IF('1.DATOS-PROD'!BR28="SI",VLOOKUP('1.DATOS-PROD'!BR$2,'1.PUNTOS'!$A$1:$B$63,2,0),0)</f>
        <v>0</v>
      </c>
      <c r="BJ27" s="138">
        <f>IF('1.DATOS-PROD'!BS28="SI",VLOOKUP('1.DATOS-PROD'!BS$2,'1.PUNTOS'!$A$1:$B$63,2,0),0)</f>
        <v>0</v>
      </c>
      <c r="BK27" s="138">
        <f>IF('1.DATOS-PROD'!BT28="SI",VLOOKUP('1.DATOS-PROD'!BT$2,'1.PUNTOS'!$A$1:$B$63,2,0),0)</f>
        <v>0</v>
      </c>
    </row>
    <row r="28" spans="1:63" x14ac:dyDescent="0.25">
      <c r="A28">
        <f>'0.Consolidado general'!$A29</f>
        <v>0</v>
      </c>
      <c r="B28" s="138">
        <f>IF('1.DATOS-PROD'!K29="SI",VLOOKUP('1.DATOS-PROD'!K$2,'1.PUNTOS'!$A$1:$B$63,2,0),0)</f>
        <v>0</v>
      </c>
      <c r="C28" s="138">
        <f>IF('1.DATOS-PROD'!L29="SI",VLOOKUP('1.DATOS-PROD'!L$2,'1.PUNTOS'!$A$1:$B$63,2,0),0)</f>
        <v>0</v>
      </c>
      <c r="D28" s="138">
        <f>IF('1.DATOS-PROD'!M29="SI",VLOOKUP('1.DATOS-PROD'!M$2,'1.PUNTOS'!$A$1:$B$63,2,0),0)</f>
        <v>0</v>
      </c>
      <c r="E28" s="138">
        <f>IF('1.DATOS-PROD'!N29="SI",VLOOKUP('1.DATOS-PROD'!N$2,'1.PUNTOS'!$A$1:$B$63,2,0),0)</f>
        <v>0</v>
      </c>
      <c r="F28" s="138">
        <f>IF('1.DATOS-PROD'!O29="SI",VLOOKUP('1.DATOS-PROD'!O$2,'1.PUNTOS'!$A$1:$B$63,2,0),0)</f>
        <v>0</v>
      </c>
      <c r="G28" s="138">
        <f>IF('1.DATOS-PROD'!P29="SI",VLOOKUP('1.DATOS-PROD'!P$2,'1.PUNTOS'!$A$1:$B$63,2,0),0)</f>
        <v>0</v>
      </c>
      <c r="H28" s="138">
        <f>IF('1.DATOS-PROD'!Q29="SI",VLOOKUP('1.DATOS-PROD'!Q$2,'1.PUNTOS'!$A$1:$B$63,2,0),0)</f>
        <v>0</v>
      </c>
      <c r="I28" s="138">
        <f>IF('1.DATOS-PROD'!R29="SI",VLOOKUP('1.DATOS-PROD'!R$2,'1.PUNTOS'!$A$1:$B$63,2,0),0)</f>
        <v>0</v>
      </c>
      <c r="J28" s="138">
        <f>IF('1.DATOS-PROD'!S29="SI",VLOOKUP('1.DATOS-PROD'!S$2,'1.PUNTOS'!$A$1:$B$63,2,0),0)</f>
        <v>0</v>
      </c>
      <c r="K28" s="138">
        <f>IF('1.DATOS-PROD'!T29="SI",VLOOKUP('1.DATOS-PROD'!T$2,'1.PUNTOS'!$A$1:$B$63,2,0),0)</f>
        <v>0</v>
      </c>
      <c r="L28" s="138">
        <f>IF('1.DATOS-PROD'!U29="SI",VLOOKUP('1.DATOS-PROD'!U$2,'1.PUNTOS'!$A$1:$B$63,2,0),0)</f>
        <v>0</v>
      </c>
      <c r="M28" s="138">
        <f>IF('1.DATOS-PROD'!V29="SI",VLOOKUP('1.DATOS-PROD'!V$2,'1.PUNTOS'!$A$1:$B$63,2,0),0)</f>
        <v>0</v>
      </c>
      <c r="N28" s="138">
        <f>IF('1.DATOS-PROD'!W29="SI",VLOOKUP('1.DATOS-PROD'!W$2,'1.PUNTOS'!$A$1:$B$63,2,0),0)</f>
        <v>0</v>
      </c>
      <c r="O28" s="138">
        <f>IF('1.DATOS-PROD'!X29="SI",VLOOKUP('1.DATOS-PROD'!X$2,'1.PUNTOS'!$A$1:$B$63,2,0),0)</f>
        <v>0</v>
      </c>
      <c r="P28" s="138">
        <f>IF('1.DATOS-PROD'!Y29="SI",VLOOKUP('1.DATOS-PROD'!Y$2,'1.PUNTOS'!$A$1:$B$63,2,0),0)</f>
        <v>0</v>
      </c>
      <c r="Q28" s="138">
        <f>IF('1.DATOS-PROD'!Z29="SI",VLOOKUP('1.DATOS-PROD'!Z$2,'1.PUNTOS'!$A$1:$B$63,2,0),0)</f>
        <v>0</v>
      </c>
      <c r="R28" s="138">
        <f>IF('1.DATOS-PROD'!AA29="SI",VLOOKUP('1.DATOS-PROD'!AA$2,'1.PUNTOS'!$A$1:$B$63,2,0),0)</f>
        <v>0</v>
      </c>
      <c r="S28" s="138">
        <f>IF('1.DATOS-PROD'!AB29="SI",VLOOKUP('1.DATOS-PROD'!AB$2,'1.PUNTOS'!$A$1:$B$63,2,0),0)</f>
        <v>0</v>
      </c>
      <c r="T28" s="138">
        <f>IF('1.DATOS-PROD'!AC29="SI",VLOOKUP('1.DATOS-PROD'!AC$2,'1.PUNTOS'!$A$1:$B$63,2,0),0)</f>
        <v>0</v>
      </c>
      <c r="U28" s="138">
        <f>IF('1.DATOS-PROD'!AD29="SI",VLOOKUP('1.DATOS-PROD'!AD$2,'1.PUNTOS'!$A$1:$B$63,2,0),0)</f>
        <v>0</v>
      </c>
      <c r="V28" s="138">
        <f>IF('1.DATOS-PROD'!AE29="SI",VLOOKUP('1.DATOS-PROD'!AE$2,'1.PUNTOS'!$A$1:$B$63,2,0),0)</f>
        <v>0</v>
      </c>
      <c r="W28" s="138">
        <f>IF('1.DATOS-PROD'!AF29="SI",VLOOKUP('1.DATOS-PROD'!AF$2,'1.PUNTOS'!$A$1:$B$63,2,0),0)</f>
        <v>0</v>
      </c>
      <c r="X28" s="138">
        <f>IF('1.DATOS-PROD'!AG29="SI",VLOOKUP('1.DATOS-PROD'!AG$2,'1.PUNTOS'!$A$1:$B$63,2,0),0)</f>
        <v>0</v>
      </c>
      <c r="Y28" s="138">
        <f>IF('1.DATOS-PROD'!AH29="SI",VLOOKUP('1.DATOS-PROD'!AH$2,'1.PUNTOS'!$A$1:$B$63,2,0),0)</f>
        <v>0</v>
      </c>
      <c r="Z28" s="138">
        <f>IF('1.DATOS-PROD'!AI29="SI",VLOOKUP('1.DATOS-PROD'!AI$2,'1.PUNTOS'!$A$1:$B$63,2,0),0)</f>
        <v>0</v>
      </c>
      <c r="AA28" s="138">
        <f>IF('1.DATOS-PROD'!AJ29="SI",VLOOKUP('1.DATOS-PROD'!AJ$2,'1.PUNTOS'!$A$1:$B$63,2,0),0)</f>
        <v>0</v>
      </c>
      <c r="AB28" s="138">
        <f>IF('1.DATOS-PROD'!AK29="SI",VLOOKUP('1.DATOS-PROD'!AK$2,'1.PUNTOS'!$A$1:$B$63,2,0),0)</f>
        <v>0</v>
      </c>
      <c r="AC28" s="138">
        <f>IF('1.DATOS-PROD'!AL29="SI",VLOOKUP('1.DATOS-PROD'!AL$2,'1.PUNTOS'!$A$1:$B$63,2,0),0)</f>
        <v>0</v>
      </c>
      <c r="AD28" s="138">
        <f>IF('1.DATOS-PROD'!AM29="SI",VLOOKUP('1.DATOS-PROD'!AM$2,'1.PUNTOS'!$A$1:$B$63,2,0),0)</f>
        <v>0</v>
      </c>
      <c r="AE28" s="138">
        <f>IF('1.DATOS-PROD'!AN29="SI",VLOOKUP('1.DATOS-PROD'!AN$2,'1.PUNTOS'!$A$1:$B$63,2,0),0)</f>
        <v>0</v>
      </c>
      <c r="AF28" s="138">
        <f>IF('1.DATOS-PROD'!AO29="SI",VLOOKUP('1.DATOS-PROD'!AO$2,'1.PUNTOS'!$A$1:$B$63,2,0),0)</f>
        <v>0</v>
      </c>
      <c r="AG28" s="138">
        <f>IF('1.DATOS-PROD'!AP29="SI",VLOOKUP('1.DATOS-PROD'!AP$2,'1.PUNTOS'!$A$1:$B$63,2,0),0)</f>
        <v>0</v>
      </c>
      <c r="AH28" s="138">
        <f>IF('1.DATOS-PROD'!AQ29="SI",VLOOKUP('1.DATOS-PROD'!AQ$2,'1.PUNTOS'!$A$1:$B$63,2,0),0)</f>
        <v>0</v>
      </c>
      <c r="AI28" s="138">
        <f>IF('1.DATOS-PROD'!AR29="SI",VLOOKUP('1.DATOS-PROD'!AR$2,'1.PUNTOS'!$A$1:$B$63,2,0),0)</f>
        <v>0</v>
      </c>
      <c r="AJ28" s="138">
        <f>IF('1.DATOS-PROD'!AS29="SI",VLOOKUP('1.DATOS-PROD'!AS$2,'1.PUNTOS'!$A$1:$B$63,2,0),0)</f>
        <v>0</v>
      </c>
      <c r="AK28" s="138">
        <f>IF('1.DATOS-PROD'!AT29="SI",VLOOKUP('1.DATOS-PROD'!AT$2,'1.PUNTOS'!$A$1:$B$63,2,0),0)</f>
        <v>0</v>
      </c>
      <c r="AL28" s="138">
        <f>IF('1.DATOS-PROD'!AU29="SI",VLOOKUP('1.DATOS-PROD'!AU$2,'1.PUNTOS'!$A$1:$B$63,2,0),0)</f>
        <v>0</v>
      </c>
      <c r="AM28" s="138">
        <f>IF('1.DATOS-PROD'!AV29="SI",VLOOKUP('1.DATOS-PROD'!AV$2,'1.PUNTOS'!$A$1:$B$63,2,0),0)</f>
        <v>0</v>
      </c>
      <c r="AN28" s="138">
        <f>IF('1.DATOS-PROD'!AW29="SI",VLOOKUP('1.DATOS-PROD'!AW$2,'1.PUNTOS'!$A$1:$B$63,2,0),0)</f>
        <v>0</v>
      </c>
      <c r="AO28" s="138">
        <f>IF('1.DATOS-PROD'!AX29="SI",VLOOKUP('1.DATOS-PROD'!AX$2,'1.PUNTOS'!$A$1:$B$63,2,0),0)</f>
        <v>0</v>
      </c>
      <c r="AP28" s="138">
        <f>IF('1.DATOS-PROD'!AY29="SI",VLOOKUP('1.DATOS-PROD'!AY$2,'1.PUNTOS'!$A$1:$B$63,2,0),0)</f>
        <v>0</v>
      </c>
      <c r="AQ28" s="138">
        <f>IF('1.DATOS-PROD'!AZ29="SI",VLOOKUP('1.DATOS-PROD'!AZ$2,'1.PUNTOS'!$A$1:$B$63,2,0),0)</f>
        <v>0</v>
      </c>
      <c r="AR28" s="138">
        <f>IF('1.DATOS-PROD'!BA29="SI",VLOOKUP('1.DATOS-PROD'!BA$2,'1.PUNTOS'!$A$1:$B$63,2,0),0)</f>
        <v>0</v>
      </c>
      <c r="AS28" s="138">
        <f>IF('1.DATOS-PROD'!BB29="SI",VLOOKUP('1.DATOS-PROD'!BB$2,'1.PUNTOS'!$A$1:$B$63,2,0),0)</f>
        <v>0</v>
      </c>
      <c r="AT28" s="138">
        <f>IF('1.DATOS-PROD'!BC29="SI",VLOOKUP('1.DATOS-PROD'!BC$2,'1.PUNTOS'!$A$1:$B$63,2,0),0)</f>
        <v>0</v>
      </c>
      <c r="AU28" s="138">
        <f>IF('1.DATOS-PROD'!BD29="SI",VLOOKUP('1.DATOS-PROD'!BD$2,'1.PUNTOS'!$A$1:$B$63,2,0),0)</f>
        <v>0</v>
      </c>
      <c r="AV28" s="138">
        <f>IF('1.DATOS-PROD'!BE29="SI",VLOOKUP('1.DATOS-PROD'!BE$2,'1.PUNTOS'!$A$1:$B$63,2,0),0)</f>
        <v>0</v>
      </c>
      <c r="AW28" s="138">
        <f>IF('1.DATOS-PROD'!BF29="SI",VLOOKUP('1.DATOS-PROD'!BF$2,'1.PUNTOS'!$A$1:$B$63,2,0),0)</f>
        <v>0</v>
      </c>
      <c r="AX28" s="138">
        <f>IF('1.DATOS-PROD'!BG29="SI",VLOOKUP('1.DATOS-PROD'!BG$2,'1.PUNTOS'!$A$1:$B$63,2,0),0)</f>
        <v>0</v>
      </c>
      <c r="AY28" s="138">
        <f>IF('1.DATOS-PROD'!BH29="SI",VLOOKUP('1.DATOS-PROD'!BH$2,'1.PUNTOS'!$A$1:$B$63,2,0),0)</f>
        <v>0</v>
      </c>
      <c r="AZ28" s="138">
        <f>IF('1.DATOS-PROD'!BI29="SI",VLOOKUP('1.DATOS-PROD'!BI$2,'1.PUNTOS'!$A$1:$B$63,2,0),0)</f>
        <v>0</v>
      </c>
      <c r="BA28" s="138">
        <f>IF('1.DATOS-PROD'!BJ29="SI",VLOOKUP('1.DATOS-PROD'!BJ$2,'1.PUNTOS'!$A$1:$B$63,2,0),0)</f>
        <v>0</v>
      </c>
      <c r="BB28" s="138">
        <f>IF('1.DATOS-PROD'!BK29="SI",VLOOKUP('1.DATOS-PROD'!BK$2,'1.PUNTOS'!$A$1:$B$63,2,0),0)</f>
        <v>0</v>
      </c>
      <c r="BC28" s="138">
        <f>IF('1.DATOS-PROD'!BL29="SI",VLOOKUP('1.DATOS-PROD'!BL$2,'1.PUNTOS'!$A$1:$B$63,2,0),0)</f>
        <v>0</v>
      </c>
      <c r="BD28" s="138">
        <f>IF('1.DATOS-PROD'!BM29="SI",VLOOKUP('1.DATOS-PROD'!BM$2,'1.PUNTOS'!$A$1:$B$63,2,0),0)</f>
        <v>0</v>
      </c>
      <c r="BE28" s="138">
        <f>IF('1.DATOS-PROD'!BN29="SI",VLOOKUP('1.DATOS-PROD'!BN$2,'1.PUNTOS'!$A$1:$B$63,2,0),0)</f>
        <v>0</v>
      </c>
      <c r="BF28" s="138">
        <f>IF('1.DATOS-PROD'!BO29="SI",VLOOKUP('1.DATOS-PROD'!BO$2,'1.PUNTOS'!$A$1:$B$63,2,0),0)</f>
        <v>0</v>
      </c>
      <c r="BG28" s="138">
        <f>IF('1.DATOS-PROD'!BP29="SI",VLOOKUP('1.DATOS-PROD'!BP$2,'1.PUNTOS'!$A$1:$B$63,2,0),0)</f>
        <v>0</v>
      </c>
      <c r="BH28" s="138">
        <f>IF('1.DATOS-PROD'!BQ29="SI",VLOOKUP('1.DATOS-PROD'!BQ$2,'1.PUNTOS'!$A$1:$B$63,2,0),0)</f>
        <v>0</v>
      </c>
      <c r="BI28" s="138">
        <f>IF('1.DATOS-PROD'!BR29="SI",VLOOKUP('1.DATOS-PROD'!BR$2,'1.PUNTOS'!$A$1:$B$63,2,0),0)</f>
        <v>0</v>
      </c>
      <c r="BJ28" s="138">
        <f>IF('1.DATOS-PROD'!BS29="SI",VLOOKUP('1.DATOS-PROD'!BS$2,'1.PUNTOS'!$A$1:$B$63,2,0),0)</f>
        <v>0</v>
      </c>
      <c r="BK28" s="138">
        <f>IF('1.DATOS-PROD'!BT29="SI",VLOOKUP('1.DATOS-PROD'!BT$2,'1.PUNTOS'!$A$1:$B$63,2,0),0)</f>
        <v>0</v>
      </c>
    </row>
    <row r="29" spans="1:63" x14ac:dyDescent="0.25">
      <c r="A29">
        <f>'0.Consolidado general'!$A30</f>
        <v>0</v>
      </c>
      <c r="B29" s="138">
        <f>IF('1.DATOS-PROD'!K30="SI",VLOOKUP('1.DATOS-PROD'!K$2,'1.PUNTOS'!$A$1:$B$63,2,0),0)</f>
        <v>0</v>
      </c>
      <c r="C29" s="138">
        <f>IF('1.DATOS-PROD'!L30="SI",VLOOKUP('1.DATOS-PROD'!L$2,'1.PUNTOS'!$A$1:$B$63,2,0),0)</f>
        <v>0</v>
      </c>
      <c r="D29" s="138">
        <f>IF('1.DATOS-PROD'!M30="SI",VLOOKUP('1.DATOS-PROD'!M$2,'1.PUNTOS'!$A$1:$B$63,2,0),0)</f>
        <v>0</v>
      </c>
      <c r="E29" s="138">
        <f>IF('1.DATOS-PROD'!N30="SI",VLOOKUP('1.DATOS-PROD'!N$2,'1.PUNTOS'!$A$1:$B$63,2,0),0)</f>
        <v>0</v>
      </c>
      <c r="F29" s="138">
        <f>IF('1.DATOS-PROD'!O30="SI",VLOOKUP('1.DATOS-PROD'!O$2,'1.PUNTOS'!$A$1:$B$63,2,0),0)</f>
        <v>0</v>
      </c>
      <c r="G29" s="138">
        <f>IF('1.DATOS-PROD'!P30="SI",VLOOKUP('1.DATOS-PROD'!P$2,'1.PUNTOS'!$A$1:$B$63,2,0),0)</f>
        <v>0</v>
      </c>
      <c r="H29" s="138">
        <f>IF('1.DATOS-PROD'!Q30="SI",VLOOKUP('1.DATOS-PROD'!Q$2,'1.PUNTOS'!$A$1:$B$63,2,0),0)</f>
        <v>0</v>
      </c>
      <c r="I29" s="138">
        <f>IF('1.DATOS-PROD'!R30="SI",VLOOKUP('1.DATOS-PROD'!R$2,'1.PUNTOS'!$A$1:$B$63,2,0),0)</f>
        <v>0</v>
      </c>
      <c r="J29" s="138">
        <f>IF('1.DATOS-PROD'!S30="SI",VLOOKUP('1.DATOS-PROD'!S$2,'1.PUNTOS'!$A$1:$B$63,2,0),0)</f>
        <v>0</v>
      </c>
      <c r="K29" s="138">
        <f>IF('1.DATOS-PROD'!T30="SI",VLOOKUP('1.DATOS-PROD'!T$2,'1.PUNTOS'!$A$1:$B$63,2,0),0)</f>
        <v>0</v>
      </c>
      <c r="L29" s="138">
        <f>IF('1.DATOS-PROD'!U30="SI",VLOOKUP('1.DATOS-PROD'!U$2,'1.PUNTOS'!$A$1:$B$63,2,0),0)</f>
        <v>0</v>
      </c>
      <c r="M29" s="138">
        <f>IF('1.DATOS-PROD'!V30="SI",VLOOKUP('1.DATOS-PROD'!V$2,'1.PUNTOS'!$A$1:$B$63,2,0),0)</f>
        <v>0</v>
      </c>
      <c r="N29" s="138">
        <f>IF('1.DATOS-PROD'!W30="SI",VLOOKUP('1.DATOS-PROD'!W$2,'1.PUNTOS'!$A$1:$B$63,2,0),0)</f>
        <v>0</v>
      </c>
      <c r="O29" s="138">
        <f>IF('1.DATOS-PROD'!X30="SI",VLOOKUP('1.DATOS-PROD'!X$2,'1.PUNTOS'!$A$1:$B$63,2,0),0)</f>
        <v>0</v>
      </c>
      <c r="P29" s="138">
        <f>IF('1.DATOS-PROD'!Y30="SI",VLOOKUP('1.DATOS-PROD'!Y$2,'1.PUNTOS'!$A$1:$B$63,2,0),0)</f>
        <v>0</v>
      </c>
      <c r="Q29" s="138">
        <f>IF('1.DATOS-PROD'!Z30="SI",VLOOKUP('1.DATOS-PROD'!Z$2,'1.PUNTOS'!$A$1:$B$63,2,0),0)</f>
        <v>0</v>
      </c>
      <c r="R29" s="138">
        <f>IF('1.DATOS-PROD'!AA30="SI",VLOOKUP('1.DATOS-PROD'!AA$2,'1.PUNTOS'!$A$1:$B$63,2,0),0)</f>
        <v>0</v>
      </c>
      <c r="S29" s="138">
        <f>IF('1.DATOS-PROD'!AB30="SI",VLOOKUP('1.DATOS-PROD'!AB$2,'1.PUNTOS'!$A$1:$B$63,2,0),0)</f>
        <v>0</v>
      </c>
      <c r="T29" s="138">
        <f>IF('1.DATOS-PROD'!AC30="SI",VLOOKUP('1.DATOS-PROD'!AC$2,'1.PUNTOS'!$A$1:$B$63,2,0),0)</f>
        <v>0</v>
      </c>
      <c r="U29" s="138">
        <f>IF('1.DATOS-PROD'!AD30="SI",VLOOKUP('1.DATOS-PROD'!AD$2,'1.PUNTOS'!$A$1:$B$63,2,0),0)</f>
        <v>0</v>
      </c>
      <c r="V29" s="138">
        <f>IF('1.DATOS-PROD'!AE30="SI",VLOOKUP('1.DATOS-PROD'!AE$2,'1.PUNTOS'!$A$1:$B$63,2,0),0)</f>
        <v>0</v>
      </c>
      <c r="W29" s="138">
        <f>IF('1.DATOS-PROD'!AF30="SI",VLOOKUP('1.DATOS-PROD'!AF$2,'1.PUNTOS'!$A$1:$B$63,2,0),0)</f>
        <v>0</v>
      </c>
      <c r="X29" s="138">
        <f>IF('1.DATOS-PROD'!AG30="SI",VLOOKUP('1.DATOS-PROD'!AG$2,'1.PUNTOS'!$A$1:$B$63,2,0),0)</f>
        <v>0</v>
      </c>
      <c r="Y29" s="138">
        <f>IF('1.DATOS-PROD'!AH30="SI",VLOOKUP('1.DATOS-PROD'!AH$2,'1.PUNTOS'!$A$1:$B$63,2,0),0)</f>
        <v>0</v>
      </c>
      <c r="Z29" s="138">
        <f>IF('1.DATOS-PROD'!AI30="SI",VLOOKUP('1.DATOS-PROD'!AI$2,'1.PUNTOS'!$A$1:$B$63,2,0),0)</f>
        <v>0</v>
      </c>
      <c r="AA29" s="138">
        <f>IF('1.DATOS-PROD'!AJ30="SI",VLOOKUP('1.DATOS-PROD'!AJ$2,'1.PUNTOS'!$A$1:$B$63,2,0),0)</f>
        <v>0</v>
      </c>
      <c r="AB29" s="138">
        <f>IF('1.DATOS-PROD'!AK30="SI",VLOOKUP('1.DATOS-PROD'!AK$2,'1.PUNTOS'!$A$1:$B$63,2,0),0)</f>
        <v>0</v>
      </c>
      <c r="AC29" s="138">
        <f>IF('1.DATOS-PROD'!AL30="SI",VLOOKUP('1.DATOS-PROD'!AL$2,'1.PUNTOS'!$A$1:$B$63,2,0),0)</f>
        <v>0</v>
      </c>
      <c r="AD29" s="138">
        <f>IF('1.DATOS-PROD'!AM30="SI",VLOOKUP('1.DATOS-PROD'!AM$2,'1.PUNTOS'!$A$1:$B$63,2,0),0)</f>
        <v>0</v>
      </c>
      <c r="AE29" s="138">
        <f>IF('1.DATOS-PROD'!AN30="SI",VLOOKUP('1.DATOS-PROD'!AN$2,'1.PUNTOS'!$A$1:$B$63,2,0),0)</f>
        <v>0</v>
      </c>
      <c r="AF29" s="138">
        <f>IF('1.DATOS-PROD'!AO30="SI",VLOOKUP('1.DATOS-PROD'!AO$2,'1.PUNTOS'!$A$1:$B$63,2,0),0)</f>
        <v>0</v>
      </c>
      <c r="AG29" s="138">
        <f>IF('1.DATOS-PROD'!AP30="SI",VLOOKUP('1.DATOS-PROD'!AP$2,'1.PUNTOS'!$A$1:$B$63,2,0),0)</f>
        <v>0</v>
      </c>
      <c r="AH29" s="138">
        <f>IF('1.DATOS-PROD'!AQ30="SI",VLOOKUP('1.DATOS-PROD'!AQ$2,'1.PUNTOS'!$A$1:$B$63,2,0),0)</f>
        <v>0</v>
      </c>
      <c r="AI29" s="138">
        <f>IF('1.DATOS-PROD'!AR30="SI",VLOOKUP('1.DATOS-PROD'!AR$2,'1.PUNTOS'!$A$1:$B$63,2,0),0)</f>
        <v>0</v>
      </c>
      <c r="AJ29" s="138">
        <f>IF('1.DATOS-PROD'!AS30="SI",VLOOKUP('1.DATOS-PROD'!AS$2,'1.PUNTOS'!$A$1:$B$63,2,0),0)</f>
        <v>0</v>
      </c>
      <c r="AK29" s="138">
        <f>IF('1.DATOS-PROD'!AT30="SI",VLOOKUP('1.DATOS-PROD'!AT$2,'1.PUNTOS'!$A$1:$B$63,2,0),0)</f>
        <v>0</v>
      </c>
      <c r="AL29" s="138">
        <f>IF('1.DATOS-PROD'!AU30="SI",VLOOKUP('1.DATOS-PROD'!AU$2,'1.PUNTOS'!$A$1:$B$63,2,0),0)</f>
        <v>0</v>
      </c>
      <c r="AM29" s="138">
        <f>IF('1.DATOS-PROD'!AV30="SI",VLOOKUP('1.DATOS-PROD'!AV$2,'1.PUNTOS'!$A$1:$B$63,2,0),0)</f>
        <v>0</v>
      </c>
      <c r="AN29" s="138">
        <f>IF('1.DATOS-PROD'!AW30="SI",VLOOKUP('1.DATOS-PROD'!AW$2,'1.PUNTOS'!$A$1:$B$63,2,0),0)</f>
        <v>0</v>
      </c>
      <c r="AO29" s="138">
        <f>IF('1.DATOS-PROD'!AX30="SI",VLOOKUP('1.DATOS-PROD'!AX$2,'1.PUNTOS'!$A$1:$B$63,2,0),0)</f>
        <v>0</v>
      </c>
      <c r="AP29" s="138">
        <f>IF('1.DATOS-PROD'!AY30="SI",VLOOKUP('1.DATOS-PROD'!AY$2,'1.PUNTOS'!$A$1:$B$63,2,0),0)</f>
        <v>0</v>
      </c>
      <c r="AQ29" s="138">
        <f>IF('1.DATOS-PROD'!AZ30="SI",VLOOKUP('1.DATOS-PROD'!AZ$2,'1.PUNTOS'!$A$1:$B$63,2,0),0)</f>
        <v>0</v>
      </c>
      <c r="AR29" s="138">
        <f>IF('1.DATOS-PROD'!BA30="SI",VLOOKUP('1.DATOS-PROD'!BA$2,'1.PUNTOS'!$A$1:$B$63,2,0),0)</f>
        <v>0</v>
      </c>
      <c r="AS29" s="138">
        <f>IF('1.DATOS-PROD'!BB30="SI",VLOOKUP('1.DATOS-PROD'!BB$2,'1.PUNTOS'!$A$1:$B$63,2,0),0)</f>
        <v>0</v>
      </c>
      <c r="AT29" s="138">
        <f>IF('1.DATOS-PROD'!BC30="SI",VLOOKUP('1.DATOS-PROD'!BC$2,'1.PUNTOS'!$A$1:$B$63,2,0),0)</f>
        <v>0</v>
      </c>
      <c r="AU29" s="138">
        <f>IF('1.DATOS-PROD'!BD30="SI",VLOOKUP('1.DATOS-PROD'!BD$2,'1.PUNTOS'!$A$1:$B$63,2,0),0)</f>
        <v>0</v>
      </c>
      <c r="AV29" s="138">
        <f>IF('1.DATOS-PROD'!BE30="SI",VLOOKUP('1.DATOS-PROD'!BE$2,'1.PUNTOS'!$A$1:$B$63,2,0),0)</f>
        <v>0</v>
      </c>
      <c r="AW29" s="138">
        <f>IF('1.DATOS-PROD'!BF30="SI",VLOOKUP('1.DATOS-PROD'!BF$2,'1.PUNTOS'!$A$1:$B$63,2,0),0)</f>
        <v>0</v>
      </c>
      <c r="AX29" s="138">
        <f>IF('1.DATOS-PROD'!BG30="SI",VLOOKUP('1.DATOS-PROD'!BG$2,'1.PUNTOS'!$A$1:$B$63,2,0),0)</f>
        <v>0</v>
      </c>
      <c r="AY29" s="138">
        <f>IF('1.DATOS-PROD'!BH30="SI",VLOOKUP('1.DATOS-PROD'!BH$2,'1.PUNTOS'!$A$1:$B$63,2,0),0)</f>
        <v>0</v>
      </c>
      <c r="AZ29" s="138">
        <f>IF('1.DATOS-PROD'!BI30="SI",VLOOKUP('1.DATOS-PROD'!BI$2,'1.PUNTOS'!$A$1:$B$63,2,0),0)</f>
        <v>0</v>
      </c>
      <c r="BA29" s="138">
        <f>IF('1.DATOS-PROD'!BJ30="SI",VLOOKUP('1.DATOS-PROD'!BJ$2,'1.PUNTOS'!$A$1:$B$63,2,0),0)</f>
        <v>0</v>
      </c>
      <c r="BB29" s="138">
        <f>IF('1.DATOS-PROD'!BK30="SI",VLOOKUP('1.DATOS-PROD'!BK$2,'1.PUNTOS'!$A$1:$B$63,2,0),0)</f>
        <v>0</v>
      </c>
      <c r="BC29" s="138">
        <f>IF('1.DATOS-PROD'!BL30="SI",VLOOKUP('1.DATOS-PROD'!BL$2,'1.PUNTOS'!$A$1:$B$63,2,0),0)</f>
        <v>0</v>
      </c>
      <c r="BD29" s="138">
        <f>IF('1.DATOS-PROD'!BM30="SI",VLOOKUP('1.DATOS-PROD'!BM$2,'1.PUNTOS'!$A$1:$B$63,2,0),0)</f>
        <v>0</v>
      </c>
      <c r="BE29" s="138">
        <f>IF('1.DATOS-PROD'!BN30="SI",VLOOKUP('1.DATOS-PROD'!BN$2,'1.PUNTOS'!$A$1:$B$63,2,0),0)</f>
        <v>0</v>
      </c>
      <c r="BF29" s="138">
        <f>IF('1.DATOS-PROD'!BO30="SI",VLOOKUP('1.DATOS-PROD'!BO$2,'1.PUNTOS'!$A$1:$B$63,2,0),0)</f>
        <v>0</v>
      </c>
      <c r="BG29" s="138">
        <f>IF('1.DATOS-PROD'!BP30="SI",VLOOKUP('1.DATOS-PROD'!BP$2,'1.PUNTOS'!$A$1:$B$63,2,0),0)</f>
        <v>0</v>
      </c>
      <c r="BH29" s="138">
        <f>IF('1.DATOS-PROD'!BQ30="SI",VLOOKUP('1.DATOS-PROD'!BQ$2,'1.PUNTOS'!$A$1:$B$63,2,0),0)</f>
        <v>0</v>
      </c>
      <c r="BI29" s="138">
        <f>IF('1.DATOS-PROD'!BR30="SI",VLOOKUP('1.DATOS-PROD'!BR$2,'1.PUNTOS'!$A$1:$B$63,2,0),0)</f>
        <v>0</v>
      </c>
      <c r="BJ29" s="138">
        <f>IF('1.DATOS-PROD'!BS30="SI",VLOOKUP('1.DATOS-PROD'!BS$2,'1.PUNTOS'!$A$1:$B$63,2,0),0)</f>
        <v>0</v>
      </c>
      <c r="BK29" s="138">
        <f>IF('1.DATOS-PROD'!BT30="SI",VLOOKUP('1.DATOS-PROD'!BT$2,'1.PUNTOS'!$A$1:$B$63,2,0),0)</f>
        <v>0</v>
      </c>
    </row>
    <row r="30" spans="1:63" x14ac:dyDescent="0.25">
      <c r="A30">
        <f>'0.Consolidado general'!$A31</f>
        <v>0</v>
      </c>
      <c r="B30" s="138">
        <f>IF('1.DATOS-PROD'!K31="SI",VLOOKUP('1.DATOS-PROD'!K$2,'1.PUNTOS'!$A$1:$B$63,2,0),0)</f>
        <v>0</v>
      </c>
      <c r="C30" s="138">
        <f>IF('1.DATOS-PROD'!L31="SI",VLOOKUP('1.DATOS-PROD'!L$2,'1.PUNTOS'!$A$1:$B$63,2,0),0)</f>
        <v>0</v>
      </c>
      <c r="D30" s="138">
        <f>IF('1.DATOS-PROD'!M31="SI",VLOOKUP('1.DATOS-PROD'!M$2,'1.PUNTOS'!$A$1:$B$63,2,0),0)</f>
        <v>0</v>
      </c>
      <c r="E30" s="138">
        <f>IF('1.DATOS-PROD'!N31="SI",VLOOKUP('1.DATOS-PROD'!N$2,'1.PUNTOS'!$A$1:$B$63,2,0),0)</f>
        <v>0</v>
      </c>
      <c r="F30" s="138">
        <f>IF('1.DATOS-PROD'!O31="SI",VLOOKUP('1.DATOS-PROD'!O$2,'1.PUNTOS'!$A$1:$B$63,2,0),0)</f>
        <v>0</v>
      </c>
      <c r="G30" s="138">
        <f>IF('1.DATOS-PROD'!P31="SI",VLOOKUP('1.DATOS-PROD'!P$2,'1.PUNTOS'!$A$1:$B$63,2,0),0)</f>
        <v>0</v>
      </c>
      <c r="H30" s="138">
        <f>IF('1.DATOS-PROD'!Q31="SI",VLOOKUP('1.DATOS-PROD'!Q$2,'1.PUNTOS'!$A$1:$B$63,2,0),0)</f>
        <v>0</v>
      </c>
      <c r="I30" s="138">
        <f>IF('1.DATOS-PROD'!R31="SI",VLOOKUP('1.DATOS-PROD'!R$2,'1.PUNTOS'!$A$1:$B$63,2,0),0)</f>
        <v>0</v>
      </c>
      <c r="J30" s="138">
        <f>IF('1.DATOS-PROD'!S31="SI",VLOOKUP('1.DATOS-PROD'!S$2,'1.PUNTOS'!$A$1:$B$63,2,0),0)</f>
        <v>0</v>
      </c>
      <c r="K30" s="138">
        <f>IF('1.DATOS-PROD'!T31="SI",VLOOKUP('1.DATOS-PROD'!T$2,'1.PUNTOS'!$A$1:$B$63,2,0),0)</f>
        <v>0</v>
      </c>
      <c r="L30" s="138">
        <f>IF('1.DATOS-PROD'!U31="SI",VLOOKUP('1.DATOS-PROD'!U$2,'1.PUNTOS'!$A$1:$B$63,2,0),0)</f>
        <v>0</v>
      </c>
      <c r="M30" s="138">
        <f>IF('1.DATOS-PROD'!V31="SI",VLOOKUP('1.DATOS-PROD'!V$2,'1.PUNTOS'!$A$1:$B$63,2,0),0)</f>
        <v>0</v>
      </c>
      <c r="N30" s="138">
        <f>IF('1.DATOS-PROD'!W31="SI",VLOOKUP('1.DATOS-PROD'!W$2,'1.PUNTOS'!$A$1:$B$63,2,0),0)</f>
        <v>0</v>
      </c>
      <c r="O30" s="138">
        <f>IF('1.DATOS-PROD'!X31="SI",VLOOKUP('1.DATOS-PROD'!X$2,'1.PUNTOS'!$A$1:$B$63,2,0),0)</f>
        <v>0</v>
      </c>
      <c r="P30" s="138">
        <f>IF('1.DATOS-PROD'!Y31="SI",VLOOKUP('1.DATOS-PROD'!Y$2,'1.PUNTOS'!$A$1:$B$63,2,0),0)</f>
        <v>0</v>
      </c>
      <c r="Q30" s="138">
        <f>IF('1.DATOS-PROD'!Z31="SI",VLOOKUP('1.DATOS-PROD'!Z$2,'1.PUNTOS'!$A$1:$B$63,2,0),0)</f>
        <v>0</v>
      </c>
      <c r="R30" s="138">
        <f>IF('1.DATOS-PROD'!AA31="SI",VLOOKUP('1.DATOS-PROD'!AA$2,'1.PUNTOS'!$A$1:$B$63,2,0),0)</f>
        <v>0</v>
      </c>
      <c r="S30" s="138">
        <f>IF('1.DATOS-PROD'!AB31="SI",VLOOKUP('1.DATOS-PROD'!AB$2,'1.PUNTOS'!$A$1:$B$63,2,0),0)</f>
        <v>0</v>
      </c>
      <c r="T30" s="138">
        <f>IF('1.DATOS-PROD'!AC31="SI",VLOOKUP('1.DATOS-PROD'!AC$2,'1.PUNTOS'!$A$1:$B$63,2,0),0)</f>
        <v>0</v>
      </c>
      <c r="U30" s="138">
        <f>IF('1.DATOS-PROD'!AD31="SI",VLOOKUP('1.DATOS-PROD'!AD$2,'1.PUNTOS'!$A$1:$B$63,2,0),0)</f>
        <v>0</v>
      </c>
      <c r="V30" s="138">
        <f>IF('1.DATOS-PROD'!AE31="SI",VLOOKUP('1.DATOS-PROD'!AE$2,'1.PUNTOS'!$A$1:$B$63,2,0),0)</f>
        <v>0</v>
      </c>
      <c r="W30" s="138">
        <f>IF('1.DATOS-PROD'!AF31="SI",VLOOKUP('1.DATOS-PROD'!AF$2,'1.PUNTOS'!$A$1:$B$63,2,0),0)</f>
        <v>0</v>
      </c>
      <c r="X30" s="138">
        <f>IF('1.DATOS-PROD'!AG31="SI",VLOOKUP('1.DATOS-PROD'!AG$2,'1.PUNTOS'!$A$1:$B$63,2,0),0)</f>
        <v>0</v>
      </c>
      <c r="Y30" s="138">
        <f>IF('1.DATOS-PROD'!AH31="SI",VLOOKUP('1.DATOS-PROD'!AH$2,'1.PUNTOS'!$A$1:$B$63,2,0),0)</f>
        <v>0</v>
      </c>
      <c r="Z30" s="138">
        <f>IF('1.DATOS-PROD'!AI31="SI",VLOOKUP('1.DATOS-PROD'!AI$2,'1.PUNTOS'!$A$1:$B$63,2,0),0)</f>
        <v>0</v>
      </c>
      <c r="AA30" s="138">
        <f>IF('1.DATOS-PROD'!AJ31="SI",VLOOKUP('1.DATOS-PROD'!AJ$2,'1.PUNTOS'!$A$1:$B$63,2,0),0)</f>
        <v>0</v>
      </c>
      <c r="AB30" s="138">
        <f>IF('1.DATOS-PROD'!AK31="SI",VLOOKUP('1.DATOS-PROD'!AK$2,'1.PUNTOS'!$A$1:$B$63,2,0),0)</f>
        <v>0</v>
      </c>
      <c r="AC30" s="138">
        <f>IF('1.DATOS-PROD'!AL31="SI",VLOOKUP('1.DATOS-PROD'!AL$2,'1.PUNTOS'!$A$1:$B$63,2,0),0)</f>
        <v>0</v>
      </c>
      <c r="AD30" s="138">
        <f>IF('1.DATOS-PROD'!AM31="SI",VLOOKUP('1.DATOS-PROD'!AM$2,'1.PUNTOS'!$A$1:$B$63,2,0),0)</f>
        <v>0</v>
      </c>
      <c r="AE30" s="138">
        <f>IF('1.DATOS-PROD'!AN31="SI",VLOOKUP('1.DATOS-PROD'!AN$2,'1.PUNTOS'!$A$1:$B$63,2,0),0)</f>
        <v>0</v>
      </c>
      <c r="AF30" s="138">
        <f>IF('1.DATOS-PROD'!AO31="SI",VLOOKUP('1.DATOS-PROD'!AO$2,'1.PUNTOS'!$A$1:$B$63,2,0),0)</f>
        <v>0</v>
      </c>
      <c r="AG30" s="138">
        <f>IF('1.DATOS-PROD'!AP31="SI",VLOOKUP('1.DATOS-PROD'!AP$2,'1.PUNTOS'!$A$1:$B$63,2,0),0)</f>
        <v>0</v>
      </c>
      <c r="AH30" s="138">
        <f>IF('1.DATOS-PROD'!AQ31="SI",VLOOKUP('1.DATOS-PROD'!AQ$2,'1.PUNTOS'!$A$1:$B$63,2,0),0)</f>
        <v>0</v>
      </c>
      <c r="AI30" s="138">
        <f>IF('1.DATOS-PROD'!AR31="SI",VLOOKUP('1.DATOS-PROD'!AR$2,'1.PUNTOS'!$A$1:$B$63,2,0),0)</f>
        <v>0</v>
      </c>
      <c r="AJ30" s="138">
        <f>IF('1.DATOS-PROD'!AS31="SI",VLOOKUP('1.DATOS-PROD'!AS$2,'1.PUNTOS'!$A$1:$B$63,2,0),0)</f>
        <v>0</v>
      </c>
      <c r="AK30" s="138">
        <f>IF('1.DATOS-PROD'!AT31="SI",VLOOKUP('1.DATOS-PROD'!AT$2,'1.PUNTOS'!$A$1:$B$63,2,0),0)</f>
        <v>0</v>
      </c>
      <c r="AL30" s="138">
        <f>IF('1.DATOS-PROD'!AU31="SI",VLOOKUP('1.DATOS-PROD'!AU$2,'1.PUNTOS'!$A$1:$B$63,2,0),0)</f>
        <v>0</v>
      </c>
      <c r="AM30" s="138">
        <f>IF('1.DATOS-PROD'!AV31="SI",VLOOKUP('1.DATOS-PROD'!AV$2,'1.PUNTOS'!$A$1:$B$63,2,0),0)</f>
        <v>0</v>
      </c>
      <c r="AN30" s="138">
        <f>IF('1.DATOS-PROD'!AW31="SI",VLOOKUP('1.DATOS-PROD'!AW$2,'1.PUNTOS'!$A$1:$B$63,2,0),0)</f>
        <v>0</v>
      </c>
      <c r="AO30" s="138">
        <f>IF('1.DATOS-PROD'!AX31="SI",VLOOKUP('1.DATOS-PROD'!AX$2,'1.PUNTOS'!$A$1:$B$63,2,0),0)</f>
        <v>0</v>
      </c>
      <c r="AP30" s="138">
        <f>IF('1.DATOS-PROD'!AY31="SI",VLOOKUP('1.DATOS-PROD'!AY$2,'1.PUNTOS'!$A$1:$B$63,2,0),0)</f>
        <v>0</v>
      </c>
      <c r="AQ30" s="138">
        <f>IF('1.DATOS-PROD'!AZ31="SI",VLOOKUP('1.DATOS-PROD'!AZ$2,'1.PUNTOS'!$A$1:$B$63,2,0),0)</f>
        <v>0</v>
      </c>
      <c r="AR30" s="138">
        <f>IF('1.DATOS-PROD'!BA31="SI",VLOOKUP('1.DATOS-PROD'!BA$2,'1.PUNTOS'!$A$1:$B$63,2,0),0)</f>
        <v>0</v>
      </c>
      <c r="AS30" s="138">
        <f>IF('1.DATOS-PROD'!BB31="SI",VLOOKUP('1.DATOS-PROD'!BB$2,'1.PUNTOS'!$A$1:$B$63,2,0),0)</f>
        <v>0</v>
      </c>
      <c r="AT30" s="138">
        <f>IF('1.DATOS-PROD'!BC31="SI",VLOOKUP('1.DATOS-PROD'!BC$2,'1.PUNTOS'!$A$1:$B$63,2,0),0)</f>
        <v>0</v>
      </c>
      <c r="AU30" s="138">
        <f>IF('1.DATOS-PROD'!BD31="SI",VLOOKUP('1.DATOS-PROD'!BD$2,'1.PUNTOS'!$A$1:$B$63,2,0),0)</f>
        <v>0</v>
      </c>
      <c r="AV30" s="138">
        <f>IF('1.DATOS-PROD'!BE31="SI",VLOOKUP('1.DATOS-PROD'!BE$2,'1.PUNTOS'!$A$1:$B$63,2,0),0)</f>
        <v>0</v>
      </c>
      <c r="AW30" s="138">
        <f>IF('1.DATOS-PROD'!BF31="SI",VLOOKUP('1.DATOS-PROD'!BF$2,'1.PUNTOS'!$A$1:$B$63,2,0),0)</f>
        <v>0</v>
      </c>
      <c r="AX30" s="138">
        <f>IF('1.DATOS-PROD'!BG31="SI",VLOOKUP('1.DATOS-PROD'!BG$2,'1.PUNTOS'!$A$1:$B$63,2,0),0)</f>
        <v>0</v>
      </c>
      <c r="AY30" s="138">
        <f>IF('1.DATOS-PROD'!BH31="SI",VLOOKUP('1.DATOS-PROD'!BH$2,'1.PUNTOS'!$A$1:$B$63,2,0),0)</f>
        <v>0</v>
      </c>
      <c r="AZ30" s="138">
        <f>IF('1.DATOS-PROD'!BI31="SI",VLOOKUP('1.DATOS-PROD'!BI$2,'1.PUNTOS'!$A$1:$B$63,2,0),0)</f>
        <v>0</v>
      </c>
      <c r="BA30" s="138">
        <f>IF('1.DATOS-PROD'!BJ31="SI",VLOOKUP('1.DATOS-PROD'!BJ$2,'1.PUNTOS'!$A$1:$B$63,2,0),0)</f>
        <v>0</v>
      </c>
      <c r="BB30" s="138">
        <f>IF('1.DATOS-PROD'!BK31="SI",VLOOKUP('1.DATOS-PROD'!BK$2,'1.PUNTOS'!$A$1:$B$63,2,0),0)</f>
        <v>0</v>
      </c>
      <c r="BC30" s="138">
        <f>IF('1.DATOS-PROD'!BL31="SI",VLOOKUP('1.DATOS-PROD'!BL$2,'1.PUNTOS'!$A$1:$B$63,2,0),0)</f>
        <v>0</v>
      </c>
      <c r="BD30" s="138">
        <f>IF('1.DATOS-PROD'!BM31="SI",VLOOKUP('1.DATOS-PROD'!BM$2,'1.PUNTOS'!$A$1:$B$63,2,0),0)</f>
        <v>0</v>
      </c>
      <c r="BE30" s="138">
        <f>IF('1.DATOS-PROD'!BN31="SI",VLOOKUP('1.DATOS-PROD'!BN$2,'1.PUNTOS'!$A$1:$B$63,2,0),0)</f>
        <v>0</v>
      </c>
      <c r="BF30" s="138">
        <f>IF('1.DATOS-PROD'!BO31="SI",VLOOKUP('1.DATOS-PROD'!BO$2,'1.PUNTOS'!$A$1:$B$63,2,0),0)</f>
        <v>0</v>
      </c>
      <c r="BG30" s="138">
        <f>IF('1.DATOS-PROD'!BP31="SI",VLOOKUP('1.DATOS-PROD'!BP$2,'1.PUNTOS'!$A$1:$B$63,2,0),0)</f>
        <v>0</v>
      </c>
      <c r="BH30" s="138">
        <f>IF('1.DATOS-PROD'!BQ31="SI",VLOOKUP('1.DATOS-PROD'!BQ$2,'1.PUNTOS'!$A$1:$B$63,2,0),0)</f>
        <v>0</v>
      </c>
      <c r="BI30" s="138">
        <f>IF('1.DATOS-PROD'!BR31="SI",VLOOKUP('1.DATOS-PROD'!BR$2,'1.PUNTOS'!$A$1:$B$63,2,0),0)</f>
        <v>0</v>
      </c>
      <c r="BJ30" s="138">
        <f>IF('1.DATOS-PROD'!BS31="SI",VLOOKUP('1.DATOS-PROD'!BS$2,'1.PUNTOS'!$A$1:$B$63,2,0),0)</f>
        <v>0</v>
      </c>
      <c r="BK30" s="138">
        <f>IF('1.DATOS-PROD'!BT31="SI",VLOOKUP('1.DATOS-PROD'!BT$2,'1.PUNTOS'!$A$1:$B$63,2,0),0)</f>
        <v>0</v>
      </c>
    </row>
    <row r="31" spans="1:63" x14ac:dyDescent="0.25">
      <c r="A31">
        <f>'0.Consolidado general'!$A32</f>
        <v>0</v>
      </c>
      <c r="B31" s="138">
        <f>IF('1.DATOS-PROD'!K32="SI",VLOOKUP('1.DATOS-PROD'!K$2,'1.PUNTOS'!$A$1:$B$63,2,0),0)</f>
        <v>0</v>
      </c>
      <c r="C31" s="138">
        <f>IF('1.DATOS-PROD'!L32="SI",VLOOKUP('1.DATOS-PROD'!L$2,'1.PUNTOS'!$A$1:$B$63,2,0),0)</f>
        <v>0</v>
      </c>
      <c r="D31" s="138">
        <f>IF('1.DATOS-PROD'!M32="SI",VLOOKUP('1.DATOS-PROD'!M$2,'1.PUNTOS'!$A$1:$B$63,2,0),0)</f>
        <v>0</v>
      </c>
      <c r="E31" s="138">
        <f>IF('1.DATOS-PROD'!N32="SI",VLOOKUP('1.DATOS-PROD'!N$2,'1.PUNTOS'!$A$1:$B$63,2,0),0)</f>
        <v>0</v>
      </c>
      <c r="F31" s="138">
        <f>IF('1.DATOS-PROD'!O32="SI",VLOOKUP('1.DATOS-PROD'!O$2,'1.PUNTOS'!$A$1:$B$63,2,0),0)</f>
        <v>0</v>
      </c>
      <c r="G31" s="138">
        <f>IF('1.DATOS-PROD'!P32="SI",VLOOKUP('1.DATOS-PROD'!P$2,'1.PUNTOS'!$A$1:$B$63,2,0),0)</f>
        <v>0</v>
      </c>
      <c r="H31" s="138">
        <f>IF('1.DATOS-PROD'!Q32="SI",VLOOKUP('1.DATOS-PROD'!Q$2,'1.PUNTOS'!$A$1:$B$63,2,0),0)</f>
        <v>0</v>
      </c>
      <c r="I31" s="138">
        <f>IF('1.DATOS-PROD'!R32="SI",VLOOKUP('1.DATOS-PROD'!R$2,'1.PUNTOS'!$A$1:$B$63,2,0),0)</f>
        <v>0</v>
      </c>
      <c r="J31" s="138">
        <f>IF('1.DATOS-PROD'!S32="SI",VLOOKUP('1.DATOS-PROD'!S$2,'1.PUNTOS'!$A$1:$B$63,2,0),0)</f>
        <v>0</v>
      </c>
      <c r="K31" s="138">
        <f>IF('1.DATOS-PROD'!T32="SI",VLOOKUP('1.DATOS-PROD'!T$2,'1.PUNTOS'!$A$1:$B$63,2,0),0)</f>
        <v>0</v>
      </c>
      <c r="L31" s="138">
        <f>IF('1.DATOS-PROD'!U32="SI",VLOOKUP('1.DATOS-PROD'!U$2,'1.PUNTOS'!$A$1:$B$63,2,0),0)</f>
        <v>0</v>
      </c>
      <c r="M31" s="138">
        <f>IF('1.DATOS-PROD'!V32="SI",VLOOKUP('1.DATOS-PROD'!V$2,'1.PUNTOS'!$A$1:$B$63,2,0),0)</f>
        <v>0</v>
      </c>
      <c r="N31" s="138">
        <f>IF('1.DATOS-PROD'!W32="SI",VLOOKUP('1.DATOS-PROD'!W$2,'1.PUNTOS'!$A$1:$B$63,2,0),0)</f>
        <v>0</v>
      </c>
      <c r="O31" s="138">
        <f>IF('1.DATOS-PROD'!X32="SI",VLOOKUP('1.DATOS-PROD'!X$2,'1.PUNTOS'!$A$1:$B$63,2,0),0)</f>
        <v>0</v>
      </c>
      <c r="P31" s="138">
        <f>IF('1.DATOS-PROD'!Y32="SI",VLOOKUP('1.DATOS-PROD'!Y$2,'1.PUNTOS'!$A$1:$B$63,2,0),0)</f>
        <v>0</v>
      </c>
      <c r="Q31" s="138">
        <f>IF('1.DATOS-PROD'!Z32="SI",VLOOKUP('1.DATOS-PROD'!Z$2,'1.PUNTOS'!$A$1:$B$63,2,0),0)</f>
        <v>0</v>
      </c>
      <c r="R31" s="138">
        <f>IF('1.DATOS-PROD'!AA32="SI",VLOOKUP('1.DATOS-PROD'!AA$2,'1.PUNTOS'!$A$1:$B$63,2,0),0)</f>
        <v>0</v>
      </c>
      <c r="S31" s="138">
        <f>IF('1.DATOS-PROD'!AB32="SI",VLOOKUP('1.DATOS-PROD'!AB$2,'1.PUNTOS'!$A$1:$B$63,2,0),0)</f>
        <v>0</v>
      </c>
      <c r="T31" s="138">
        <f>IF('1.DATOS-PROD'!AC32="SI",VLOOKUP('1.DATOS-PROD'!AC$2,'1.PUNTOS'!$A$1:$B$63,2,0),0)</f>
        <v>0</v>
      </c>
      <c r="U31" s="138">
        <f>IF('1.DATOS-PROD'!AD32="SI",VLOOKUP('1.DATOS-PROD'!AD$2,'1.PUNTOS'!$A$1:$B$63,2,0),0)</f>
        <v>0</v>
      </c>
      <c r="V31" s="138">
        <f>IF('1.DATOS-PROD'!AE32="SI",VLOOKUP('1.DATOS-PROD'!AE$2,'1.PUNTOS'!$A$1:$B$63,2,0),0)</f>
        <v>0</v>
      </c>
      <c r="W31" s="138">
        <f>IF('1.DATOS-PROD'!AF32="SI",VLOOKUP('1.DATOS-PROD'!AF$2,'1.PUNTOS'!$A$1:$B$63,2,0),0)</f>
        <v>0</v>
      </c>
      <c r="X31" s="138">
        <f>IF('1.DATOS-PROD'!AG32="SI",VLOOKUP('1.DATOS-PROD'!AG$2,'1.PUNTOS'!$A$1:$B$63,2,0),0)</f>
        <v>0</v>
      </c>
      <c r="Y31" s="138">
        <f>IF('1.DATOS-PROD'!AH32="SI",VLOOKUP('1.DATOS-PROD'!AH$2,'1.PUNTOS'!$A$1:$B$63,2,0),0)</f>
        <v>0</v>
      </c>
      <c r="Z31" s="138">
        <f>IF('1.DATOS-PROD'!AI32="SI",VLOOKUP('1.DATOS-PROD'!AI$2,'1.PUNTOS'!$A$1:$B$63,2,0),0)</f>
        <v>0</v>
      </c>
      <c r="AA31" s="138">
        <f>IF('1.DATOS-PROD'!AJ32="SI",VLOOKUP('1.DATOS-PROD'!AJ$2,'1.PUNTOS'!$A$1:$B$63,2,0),0)</f>
        <v>0</v>
      </c>
      <c r="AB31" s="138">
        <f>IF('1.DATOS-PROD'!AK32="SI",VLOOKUP('1.DATOS-PROD'!AK$2,'1.PUNTOS'!$A$1:$B$63,2,0),0)</f>
        <v>0</v>
      </c>
      <c r="AC31" s="138">
        <f>IF('1.DATOS-PROD'!AL32="SI",VLOOKUP('1.DATOS-PROD'!AL$2,'1.PUNTOS'!$A$1:$B$63,2,0),0)</f>
        <v>0</v>
      </c>
      <c r="AD31" s="138">
        <f>IF('1.DATOS-PROD'!AM32="SI",VLOOKUP('1.DATOS-PROD'!AM$2,'1.PUNTOS'!$A$1:$B$63,2,0),0)</f>
        <v>0</v>
      </c>
      <c r="AE31" s="138">
        <f>IF('1.DATOS-PROD'!AN32="SI",VLOOKUP('1.DATOS-PROD'!AN$2,'1.PUNTOS'!$A$1:$B$63,2,0),0)</f>
        <v>0</v>
      </c>
      <c r="AF31" s="138">
        <f>IF('1.DATOS-PROD'!AO32="SI",VLOOKUP('1.DATOS-PROD'!AO$2,'1.PUNTOS'!$A$1:$B$63,2,0),0)</f>
        <v>0</v>
      </c>
      <c r="AG31" s="138">
        <f>IF('1.DATOS-PROD'!AP32="SI",VLOOKUP('1.DATOS-PROD'!AP$2,'1.PUNTOS'!$A$1:$B$63,2,0),0)</f>
        <v>0</v>
      </c>
      <c r="AH31" s="138">
        <f>IF('1.DATOS-PROD'!AQ32="SI",VLOOKUP('1.DATOS-PROD'!AQ$2,'1.PUNTOS'!$A$1:$B$63,2,0),0)</f>
        <v>0</v>
      </c>
      <c r="AI31" s="138">
        <f>IF('1.DATOS-PROD'!AR32="SI",VLOOKUP('1.DATOS-PROD'!AR$2,'1.PUNTOS'!$A$1:$B$63,2,0),0)</f>
        <v>0</v>
      </c>
      <c r="AJ31" s="138">
        <f>IF('1.DATOS-PROD'!AS32="SI",VLOOKUP('1.DATOS-PROD'!AS$2,'1.PUNTOS'!$A$1:$B$63,2,0),0)</f>
        <v>0</v>
      </c>
      <c r="AK31" s="138">
        <f>IF('1.DATOS-PROD'!AT32="SI",VLOOKUP('1.DATOS-PROD'!AT$2,'1.PUNTOS'!$A$1:$B$63,2,0),0)</f>
        <v>0</v>
      </c>
      <c r="AL31" s="138">
        <f>IF('1.DATOS-PROD'!AU32="SI",VLOOKUP('1.DATOS-PROD'!AU$2,'1.PUNTOS'!$A$1:$B$63,2,0),0)</f>
        <v>0</v>
      </c>
      <c r="AM31" s="138">
        <f>IF('1.DATOS-PROD'!AV32="SI",VLOOKUP('1.DATOS-PROD'!AV$2,'1.PUNTOS'!$A$1:$B$63,2,0),0)</f>
        <v>0</v>
      </c>
      <c r="AN31" s="138">
        <f>IF('1.DATOS-PROD'!AW32="SI",VLOOKUP('1.DATOS-PROD'!AW$2,'1.PUNTOS'!$A$1:$B$63,2,0),0)</f>
        <v>0</v>
      </c>
      <c r="AO31" s="138">
        <f>IF('1.DATOS-PROD'!AX32="SI",VLOOKUP('1.DATOS-PROD'!AX$2,'1.PUNTOS'!$A$1:$B$63,2,0),0)</f>
        <v>0</v>
      </c>
      <c r="AP31" s="138">
        <f>IF('1.DATOS-PROD'!AY32="SI",VLOOKUP('1.DATOS-PROD'!AY$2,'1.PUNTOS'!$A$1:$B$63,2,0),0)</f>
        <v>0</v>
      </c>
      <c r="AQ31" s="138">
        <f>IF('1.DATOS-PROD'!AZ32="SI",VLOOKUP('1.DATOS-PROD'!AZ$2,'1.PUNTOS'!$A$1:$B$63,2,0),0)</f>
        <v>0</v>
      </c>
      <c r="AR31" s="138">
        <f>IF('1.DATOS-PROD'!BA32="SI",VLOOKUP('1.DATOS-PROD'!BA$2,'1.PUNTOS'!$A$1:$B$63,2,0),0)</f>
        <v>0</v>
      </c>
      <c r="AS31" s="138">
        <f>IF('1.DATOS-PROD'!BB32="SI",VLOOKUP('1.DATOS-PROD'!BB$2,'1.PUNTOS'!$A$1:$B$63,2,0),0)</f>
        <v>0</v>
      </c>
      <c r="AT31" s="138">
        <f>IF('1.DATOS-PROD'!BC32="SI",VLOOKUP('1.DATOS-PROD'!BC$2,'1.PUNTOS'!$A$1:$B$63,2,0),0)</f>
        <v>0</v>
      </c>
      <c r="AU31" s="138">
        <f>IF('1.DATOS-PROD'!BD32="SI",VLOOKUP('1.DATOS-PROD'!BD$2,'1.PUNTOS'!$A$1:$B$63,2,0),0)</f>
        <v>0</v>
      </c>
      <c r="AV31" s="138">
        <f>IF('1.DATOS-PROD'!BE32="SI",VLOOKUP('1.DATOS-PROD'!BE$2,'1.PUNTOS'!$A$1:$B$63,2,0),0)</f>
        <v>0</v>
      </c>
      <c r="AW31" s="138">
        <f>IF('1.DATOS-PROD'!BF32="SI",VLOOKUP('1.DATOS-PROD'!BF$2,'1.PUNTOS'!$A$1:$B$63,2,0),0)</f>
        <v>0</v>
      </c>
      <c r="AX31" s="138">
        <f>IF('1.DATOS-PROD'!BG32="SI",VLOOKUP('1.DATOS-PROD'!BG$2,'1.PUNTOS'!$A$1:$B$63,2,0),0)</f>
        <v>0</v>
      </c>
      <c r="AY31" s="138">
        <f>IF('1.DATOS-PROD'!BH32="SI",VLOOKUP('1.DATOS-PROD'!BH$2,'1.PUNTOS'!$A$1:$B$63,2,0),0)</f>
        <v>0</v>
      </c>
      <c r="AZ31" s="138">
        <f>IF('1.DATOS-PROD'!BI32="SI",VLOOKUP('1.DATOS-PROD'!BI$2,'1.PUNTOS'!$A$1:$B$63,2,0),0)</f>
        <v>0</v>
      </c>
      <c r="BA31" s="138">
        <f>IF('1.DATOS-PROD'!BJ32="SI",VLOOKUP('1.DATOS-PROD'!BJ$2,'1.PUNTOS'!$A$1:$B$63,2,0),0)</f>
        <v>0</v>
      </c>
      <c r="BB31" s="138">
        <f>IF('1.DATOS-PROD'!BK32="SI",VLOOKUP('1.DATOS-PROD'!BK$2,'1.PUNTOS'!$A$1:$B$63,2,0),0)</f>
        <v>0</v>
      </c>
      <c r="BC31" s="138">
        <f>IF('1.DATOS-PROD'!BL32="SI",VLOOKUP('1.DATOS-PROD'!BL$2,'1.PUNTOS'!$A$1:$B$63,2,0),0)</f>
        <v>0</v>
      </c>
      <c r="BD31" s="138">
        <f>IF('1.DATOS-PROD'!BM32="SI",VLOOKUP('1.DATOS-PROD'!BM$2,'1.PUNTOS'!$A$1:$B$63,2,0),0)</f>
        <v>0</v>
      </c>
      <c r="BE31" s="138">
        <f>IF('1.DATOS-PROD'!BN32="SI",VLOOKUP('1.DATOS-PROD'!BN$2,'1.PUNTOS'!$A$1:$B$63,2,0),0)</f>
        <v>0</v>
      </c>
      <c r="BF31" s="138">
        <f>IF('1.DATOS-PROD'!BO32="SI",VLOOKUP('1.DATOS-PROD'!BO$2,'1.PUNTOS'!$A$1:$B$63,2,0),0)</f>
        <v>0</v>
      </c>
      <c r="BG31" s="138">
        <f>IF('1.DATOS-PROD'!BP32="SI",VLOOKUP('1.DATOS-PROD'!BP$2,'1.PUNTOS'!$A$1:$B$63,2,0),0)</f>
        <v>0</v>
      </c>
      <c r="BH31" s="138">
        <f>IF('1.DATOS-PROD'!BQ32="SI",VLOOKUP('1.DATOS-PROD'!BQ$2,'1.PUNTOS'!$A$1:$B$63,2,0),0)</f>
        <v>0</v>
      </c>
      <c r="BI31" s="138">
        <f>IF('1.DATOS-PROD'!BR32="SI",VLOOKUP('1.DATOS-PROD'!BR$2,'1.PUNTOS'!$A$1:$B$63,2,0),0)</f>
        <v>0</v>
      </c>
      <c r="BJ31" s="138">
        <f>IF('1.DATOS-PROD'!BS32="SI",VLOOKUP('1.DATOS-PROD'!BS$2,'1.PUNTOS'!$A$1:$B$63,2,0),0)</f>
        <v>0</v>
      </c>
      <c r="BK31" s="138">
        <f>IF('1.DATOS-PROD'!BT32="SI",VLOOKUP('1.DATOS-PROD'!BT$2,'1.PUNTOS'!$A$1:$B$63,2,0),0)</f>
        <v>0</v>
      </c>
    </row>
    <row r="32" spans="1:63" x14ac:dyDescent="0.25">
      <c r="A32">
        <f>'0.Consolidado general'!$A33</f>
        <v>0</v>
      </c>
      <c r="B32" s="138">
        <f>IF('1.DATOS-PROD'!K33="SI",VLOOKUP('1.DATOS-PROD'!K$2,'1.PUNTOS'!$A$1:$B$63,2,0),0)</f>
        <v>0</v>
      </c>
      <c r="C32" s="138">
        <f>IF('1.DATOS-PROD'!L33="SI",VLOOKUP('1.DATOS-PROD'!L$2,'1.PUNTOS'!$A$1:$B$63,2,0),0)</f>
        <v>0</v>
      </c>
      <c r="D32" s="138">
        <f>IF('1.DATOS-PROD'!M33="SI",VLOOKUP('1.DATOS-PROD'!M$2,'1.PUNTOS'!$A$1:$B$63,2,0),0)</f>
        <v>0</v>
      </c>
      <c r="E32" s="138">
        <f>IF('1.DATOS-PROD'!N33="SI",VLOOKUP('1.DATOS-PROD'!N$2,'1.PUNTOS'!$A$1:$B$63,2,0),0)</f>
        <v>0</v>
      </c>
      <c r="F32" s="138">
        <f>IF('1.DATOS-PROD'!O33="SI",VLOOKUP('1.DATOS-PROD'!O$2,'1.PUNTOS'!$A$1:$B$63,2,0),0)</f>
        <v>0</v>
      </c>
      <c r="G32" s="138">
        <f>IF('1.DATOS-PROD'!P33="SI",VLOOKUP('1.DATOS-PROD'!P$2,'1.PUNTOS'!$A$1:$B$63,2,0),0)</f>
        <v>0</v>
      </c>
      <c r="H32" s="138">
        <f>IF('1.DATOS-PROD'!Q33="SI",VLOOKUP('1.DATOS-PROD'!Q$2,'1.PUNTOS'!$A$1:$B$63,2,0),0)</f>
        <v>0</v>
      </c>
      <c r="I32" s="138">
        <f>IF('1.DATOS-PROD'!R33="SI",VLOOKUP('1.DATOS-PROD'!R$2,'1.PUNTOS'!$A$1:$B$63,2,0),0)</f>
        <v>0</v>
      </c>
      <c r="J32" s="138">
        <f>IF('1.DATOS-PROD'!S33="SI",VLOOKUP('1.DATOS-PROD'!S$2,'1.PUNTOS'!$A$1:$B$63,2,0),0)</f>
        <v>0</v>
      </c>
      <c r="K32" s="138">
        <f>IF('1.DATOS-PROD'!T33="SI",VLOOKUP('1.DATOS-PROD'!T$2,'1.PUNTOS'!$A$1:$B$63,2,0),0)</f>
        <v>0</v>
      </c>
      <c r="L32" s="138">
        <f>IF('1.DATOS-PROD'!U33="SI",VLOOKUP('1.DATOS-PROD'!U$2,'1.PUNTOS'!$A$1:$B$63,2,0),0)</f>
        <v>0</v>
      </c>
      <c r="M32" s="138">
        <f>IF('1.DATOS-PROD'!V33="SI",VLOOKUP('1.DATOS-PROD'!V$2,'1.PUNTOS'!$A$1:$B$63,2,0),0)</f>
        <v>0</v>
      </c>
      <c r="N32" s="138">
        <f>IF('1.DATOS-PROD'!W33="SI",VLOOKUP('1.DATOS-PROD'!W$2,'1.PUNTOS'!$A$1:$B$63,2,0),0)</f>
        <v>0</v>
      </c>
      <c r="O32" s="138">
        <f>IF('1.DATOS-PROD'!X33="SI",VLOOKUP('1.DATOS-PROD'!X$2,'1.PUNTOS'!$A$1:$B$63,2,0),0)</f>
        <v>0</v>
      </c>
      <c r="P32" s="138">
        <f>IF('1.DATOS-PROD'!Y33="SI",VLOOKUP('1.DATOS-PROD'!Y$2,'1.PUNTOS'!$A$1:$B$63,2,0),0)</f>
        <v>0</v>
      </c>
      <c r="Q32" s="138">
        <f>IF('1.DATOS-PROD'!Z33="SI",VLOOKUP('1.DATOS-PROD'!Z$2,'1.PUNTOS'!$A$1:$B$63,2,0),0)</f>
        <v>0</v>
      </c>
      <c r="R32" s="138">
        <f>IF('1.DATOS-PROD'!AA33="SI",VLOOKUP('1.DATOS-PROD'!AA$2,'1.PUNTOS'!$A$1:$B$63,2,0),0)</f>
        <v>0</v>
      </c>
      <c r="S32" s="138">
        <f>IF('1.DATOS-PROD'!AB33="SI",VLOOKUP('1.DATOS-PROD'!AB$2,'1.PUNTOS'!$A$1:$B$63,2,0),0)</f>
        <v>0</v>
      </c>
      <c r="T32" s="138">
        <f>IF('1.DATOS-PROD'!AC33="SI",VLOOKUP('1.DATOS-PROD'!AC$2,'1.PUNTOS'!$A$1:$B$63,2,0),0)</f>
        <v>0</v>
      </c>
      <c r="U32" s="138">
        <f>IF('1.DATOS-PROD'!AD33="SI",VLOOKUP('1.DATOS-PROD'!AD$2,'1.PUNTOS'!$A$1:$B$63,2,0),0)</f>
        <v>0</v>
      </c>
      <c r="V32" s="138">
        <f>IF('1.DATOS-PROD'!AE33="SI",VLOOKUP('1.DATOS-PROD'!AE$2,'1.PUNTOS'!$A$1:$B$63,2,0),0)</f>
        <v>0</v>
      </c>
      <c r="W32" s="138">
        <f>IF('1.DATOS-PROD'!AF33="SI",VLOOKUP('1.DATOS-PROD'!AF$2,'1.PUNTOS'!$A$1:$B$63,2,0),0)</f>
        <v>0</v>
      </c>
      <c r="X32" s="138">
        <f>IF('1.DATOS-PROD'!AG33="SI",VLOOKUP('1.DATOS-PROD'!AG$2,'1.PUNTOS'!$A$1:$B$63,2,0),0)</f>
        <v>0</v>
      </c>
      <c r="Y32" s="138">
        <f>IF('1.DATOS-PROD'!AH33="SI",VLOOKUP('1.DATOS-PROD'!AH$2,'1.PUNTOS'!$A$1:$B$63,2,0),0)</f>
        <v>0</v>
      </c>
      <c r="Z32" s="138">
        <f>IF('1.DATOS-PROD'!AI33="SI",VLOOKUP('1.DATOS-PROD'!AI$2,'1.PUNTOS'!$A$1:$B$63,2,0),0)</f>
        <v>0</v>
      </c>
      <c r="AA32" s="138">
        <f>IF('1.DATOS-PROD'!AJ33="SI",VLOOKUP('1.DATOS-PROD'!AJ$2,'1.PUNTOS'!$A$1:$B$63,2,0),0)</f>
        <v>0</v>
      </c>
      <c r="AB32" s="138">
        <f>IF('1.DATOS-PROD'!AK33="SI",VLOOKUP('1.DATOS-PROD'!AK$2,'1.PUNTOS'!$A$1:$B$63,2,0),0)</f>
        <v>0</v>
      </c>
      <c r="AC32" s="138">
        <f>IF('1.DATOS-PROD'!AL33="SI",VLOOKUP('1.DATOS-PROD'!AL$2,'1.PUNTOS'!$A$1:$B$63,2,0),0)</f>
        <v>0</v>
      </c>
      <c r="AD32" s="138">
        <f>IF('1.DATOS-PROD'!AM33="SI",VLOOKUP('1.DATOS-PROD'!AM$2,'1.PUNTOS'!$A$1:$B$63,2,0),0)</f>
        <v>0</v>
      </c>
      <c r="AE32" s="138">
        <f>IF('1.DATOS-PROD'!AN33="SI",VLOOKUP('1.DATOS-PROD'!AN$2,'1.PUNTOS'!$A$1:$B$63,2,0),0)</f>
        <v>0</v>
      </c>
      <c r="AF32" s="138">
        <f>IF('1.DATOS-PROD'!AO33="SI",VLOOKUP('1.DATOS-PROD'!AO$2,'1.PUNTOS'!$A$1:$B$63,2,0),0)</f>
        <v>0</v>
      </c>
      <c r="AG32" s="138">
        <f>IF('1.DATOS-PROD'!AP33="SI",VLOOKUP('1.DATOS-PROD'!AP$2,'1.PUNTOS'!$A$1:$B$63,2,0),0)</f>
        <v>0</v>
      </c>
      <c r="AH32" s="138">
        <f>IF('1.DATOS-PROD'!AQ33="SI",VLOOKUP('1.DATOS-PROD'!AQ$2,'1.PUNTOS'!$A$1:$B$63,2,0),0)</f>
        <v>0</v>
      </c>
      <c r="AI32" s="138">
        <f>IF('1.DATOS-PROD'!AR33="SI",VLOOKUP('1.DATOS-PROD'!AR$2,'1.PUNTOS'!$A$1:$B$63,2,0),0)</f>
        <v>0</v>
      </c>
      <c r="AJ32" s="138">
        <f>IF('1.DATOS-PROD'!AS33="SI",VLOOKUP('1.DATOS-PROD'!AS$2,'1.PUNTOS'!$A$1:$B$63,2,0),0)</f>
        <v>0</v>
      </c>
      <c r="AK32" s="138">
        <f>IF('1.DATOS-PROD'!AT33="SI",VLOOKUP('1.DATOS-PROD'!AT$2,'1.PUNTOS'!$A$1:$B$63,2,0),0)</f>
        <v>0</v>
      </c>
      <c r="AL32" s="138">
        <f>IF('1.DATOS-PROD'!AU33="SI",VLOOKUP('1.DATOS-PROD'!AU$2,'1.PUNTOS'!$A$1:$B$63,2,0),0)</f>
        <v>0</v>
      </c>
      <c r="AM32" s="138">
        <f>IF('1.DATOS-PROD'!AV33="SI",VLOOKUP('1.DATOS-PROD'!AV$2,'1.PUNTOS'!$A$1:$B$63,2,0),0)</f>
        <v>0</v>
      </c>
      <c r="AN32" s="138">
        <f>IF('1.DATOS-PROD'!AW33="SI",VLOOKUP('1.DATOS-PROD'!AW$2,'1.PUNTOS'!$A$1:$B$63,2,0),0)</f>
        <v>0</v>
      </c>
      <c r="AO32" s="138">
        <f>IF('1.DATOS-PROD'!AX33="SI",VLOOKUP('1.DATOS-PROD'!AX$2,'1.PUNTOS'!$A$1:$B$63,2,0),0)</f>
        <v>0</v>
      </c>
      <c r="AP32" s="138">
        <f>IF('1.DATOS-PROD'!AY33="SI",VLOOKUP('1.DATOS-PROD'!AY$2,'1.PUNTOS'!$A$1:$B$63,2,0),0)</f>
        <v>0</v>
      </c>
      <c r="AQ32" s="138">
        <f>IF('1.DATOS-PROD'!AZ33="SI",VLOOKUP('1.DATOS-PROD'!AZ$2,'1.PUNTOS'!$A$1:$B$63,2,0),0)</f>
        <v>0</v>
      </c>
      <c r="AR32" s="138">
        <f>IF('1.DATOS-PROD'!BA33="SI",VLOOKUP('1.DATOS-PROD'!BA$2,'1.PUNTOS'!$A$1:$B$63,2,0),0)</f>
        <v>0</v>
      </c>
      <c r="AS32" s="138">
        <f>IF('1.DATOS-PROD'!BB33="SI",VLOOKUP('1.DATOS-PROD'!BB$2,'1.PUNTOS'!$A$1:$B$63,2,0),0)</f>
        <v>0</v>
      </c>
      <c r="AT32" s="138">
        <f>IF('1.DATOS-PROD'!BC33="SI",VLOOKUP('1.DATOS-PROD'!BC$2,'1.PUNTOS'!$A$1:$B$63,2,0),0)</f>
        <v>0</v>
      </c>
      <c r="AU32" s="138">
        <f>IF('1.DATOS-PROD'!BD33="SI",VLOOKUP('1.DATOS-PROD'!BD$2,'1.PUNTOS'!$A$1:$B$63,2,0),0)</f>
        <v>0</v>
      </c>
      <c r="AV32" s="138">
        <f>IF('1.DATOS-PROD'!BE33="SI",VLOOKUP('1.DATOS-PROD'!BE$2,'1.PUNTOS'!$A$1:$B$63,2,0),0)</f>
        <v>0</v>
      </c>
      <c r="AW32" s="138">
        <f>IF('1.DATOS-PROD'!BF33="SI",VLOOKUP('1.DATOS-PROD'!BF$2,'1.PUNTOS'!$A$1:$B$63,2,0),0)</f>
        <v>0</v>
      </c>
      <c r="AX32" s="138">
        <f>IF('1.DATOS-PROD'!BG33="SI",VLOOKUP('1.DATOS-PROD'!BG$2,'1.PUNTOS'!$A$1:$B$63,2,0),0)</f>
        <v>0</v>
      </c>
      <c r="AY32" s="138">
        <f>IF('1.DATOS-PROD'!BH33="SI",VLOOKUP('1.DATOS-PROD'!BH$2,'1.PUNTOS'!$A$1:$B$63,2,0),0)</f>
        <v>0</v>
      </c>
      <c r="AZ32" s="138">
        <f>IF('1.DATOS-PROD'!BI33="SI",VLOOKUP('1.DATOS-PROD'!BI$2,'1.PUNTOS'!$A$1:$B$63,2,0),0)</f>
        <v>0</v>
      </c>
      <c r="BA32" s="138">
        <f>IF('1.DATOS-PROD'!BJ33="SI",VLOOKUP('1.DATOS-PROD'!BJ$2,'1.PUNTOS'!$A$1:$B$63,2,0),0)</f>
        <v>0</v>
      </c>
      <c r="BB32" s="138">
        <f>IF('1.DATOS-PROD'!BK33="SI",VLOOKUP('1.DATOS-PROD'!BK$2,'1.PUNTOS'!$A$1:$B$63,2,0),0)</f>
        <v>0</v>
      </c>
      <c r="BC32" s="138">
        <f>IF('1.DATOS-PROD'!BL33="SI",VLOOKUP('1.DATOS-PROD'!BL$2,'1.PUNTOS'!$A$1:$B$63,2,0),0)</f>
        <v>0</v>
      </c>
      <c r="BD32" s="138">
        <f>IF('1.DATOS-PROD'!BM33="SI",VLOOKUP('1.DATOS-PROD'!BM$2,'1.PUNTOS'!$A$1:$B$63,2,0),0)</f>
        <v>0</v>
      </c>
      <c r="BE32" s="138">
        <f>IF('1.DATOS-PROD'!BN33="SI",VLOOKUP('1.DATOS-PROD'!BN$2,'1.PUNTOS'!$A$1:$B$63,2,0),0)</f>
        <v>0</v>
      </c>
      <c r="BF32" s="138">
        <f>IF('1.DATOS-PROD'!BO33="SI",VLOOKUP('1.DATOS-PROD'!BO$2,'1.PUNTOS'!$A$1:$B$63,2,0),0)</f>
        <v>0</v>
      </c>
      <c r="BG32" s="138">
        <f>IF('1.DATOS-PROD'!BP33="SI",VLOOKUP('1.DATOS-PROD'!BP$2,'1.PUNTOS'!$A$1:$B$63,2,0),0)</f>
        <v>0</v>
      </c>
      <c r="BH32" s="138">
        <f>IF('1.DATOS-PROD'!BQ33="SI",VLOOKUP('1.DATOS-PROD'!BQ$2,'1.PUNTOS'!$A$1:$B$63,2,0),0)</f>
        <v>0</v>
      </c>
      <c r="BI32" s="138">
        <f>IF('1.DATOS-PROD'!BR33="SI",VLOOKUP('1.DATOS-PROD'!BR$2,'1.PUNTOS'!$A$1:$B$63,2,0),0)</f>
        <v>0</v>
      </c>
      <c r="BJ32" s="138">
        <f>IF('1.DATOS-PROD'!BS33="SI",VLOOKUP('1.DATOS-PROD'!BS$2,'1.PUNTOS'!$A$1:$B$63,2,0),0)</f>
        <v>0</v>
      </c>
      <c r="BK32" s="138">
        <f>IF('1.DATOS-PROD'!BT33="SI",VLOOKUP('1.DATOS-PROD'!BT$2,'1.PUNTOS'!$A$1:$B$63,2,0),0)</f>
        <v>0</v>
      </c>
    </row>
    <row r="33" spans="1:63" x14ac:dyDescent="0.25">
      <c r="A33">
        <f>'0.Consolidado general'!$A34</f>
        <v>0</v>
      </c>
      <c r="B33" s="138">
        <f>IF('1.DATOS-PROD'!K34="SI",VLOOKUP('1.DATOS-PROD'!K$2,'1.PUNTOS'!$A$1:$B$63,2,0),0)</f>
        <v>0</v>
      </c>
      <c r="C33" s="138">
        <f>IF('1.DATOS-PROD'!L34="SI",VLOOKUP('1.DATOS-PROD'!L$2,'1.PUNTOS'!$A$1:$B$63,2,0),0)</f>
        <v>0</v>
      </c>
      <c r="D33" s="138">
        <f>IF('1.DATOS-PROD'!M34="SI",VLOOKUP('1.DATOS-PROD'!M$2,'1.PUNTOS'!$A$1:$B$63,2,0),0)</f>
        <v>0</v>
      </c>
      <c r="E33" s="138">
        <f>IF('1.DATOS-PROD'!N34="SI",VLOOKUP('1.DATOS-PROD'!N$2,'1.PUNTOS'!$A$1:$B$63,2,0),0)</f>
        <v>0</v>
      </c>
      <c r="F33" s="138">
        <f>IF('1.DATOS-PROD'!O34="SI",VLOOKUP('1.DATOS-PROD'!O$2,'1.PUNTOS'!$A$1:$B$63,2,0),0)</f>
        <v>0</v>
      </c>
      <c r="G33" s="138">
        <f>IF('1.DATOS-PROD'!P34="SI",VLOOKUP('1.DATOS-PROD'!P$2,'1.PUNTOS'!$A$1:$B$63,2,0),0)</f>
        <v>0</v>
      </c>
      <c r="H33" s="138">
        <f>IF('1.DATOS-PROD'!Q34="SI",VLOOKUP('1.DATOS-PROD'!Q$2,'1.PUNTOS'!$A$1:$B$63,2,0),0)</f>
        <v>0</v>
      </c>
      <c r="I33" s="138">
        <f>IF('1.DATOS-PROD'!R34="SI",VLOOKUP('1.DATOS-PROD'!R$2,'1.PUNTOS'!$A$1:$B$63,2,0),0)</f>
        <v>0</v>
      </c>
      <c r="J33" s="138">
        <f>IF('1.DATOS-PROD'!S34="SI",VLOOKUP('1.DATOS-PROD'!S$2,'1.PUNTOS'!$A$1:$B$63,2,0),0)</f>
        <v>0</v>
      </c>
      <c r="K33" s="138">
        <f>IF('1.DATOS-PROD'!T34="SI",VLOOKUP('1.DATOS-PROD'!T$2,'1.PUNTOS'!$A$1:$B$63,2,0),0)</f>
        <v>0</v>
      </c>
      <c r="L33" s="138">
        <f>IF('1.DATOS-PROD'!U34="SI",VLOOKUP('1.DATOS-PROD'!U$2,'1.PUNTOS'!$A$1:$B$63,2,0),0)</f>
        <v>0</v>
      </c>
      <c r="M33" s="138">
        <f>IF('1.DATOS-PROD'!V34="SI",VLOOKUP('1.DATOS-PROD'!V$2,'1.PUNTOS'!$A$1:$B$63,2,0),0)</f>
        <v>0</v>
      </c>
      <c r="N33" s="138">
        <f>IF('1.DATOS-PROD'!W34="SI",VLOOKUP('1.DATOS-PROD'!W$2,'1.PUNTOS'!$A$1:$B$63,2,0),0)</f>
        <v>0</v>
      </c>
      <c r="O33" s="138">
        <f>IF('1.DATOS-PROD'!X34="SI",VLOOKUP('1.DATOS-PROD'!X$2,'1.PUNTOS'!$A$1:$B$63,2,0),0)</f>
        <v>0</v>
      </c>
      <c r="P33" s="138">
        <f>IF('1.DATOS-PROD'!Y34="SI",VLOOKUP('1.DATOS-PROD'!Y$2,'1.PUNTOS'!$A$1:$B$63,2,0),0)</f>
        <v>0</v>
      </c>
      <c r="Q33" s="138">
        <f>IF('1.DATOS-PROD'!Z34="SI",VLOOKUP('1.DATOS-PROD'!Z$2,'1.PUNTOS'!$A$1:$B$63,2,0),0)</f>
        <v>0</v>
      </c>
      <c r="R33" s="138">
        <f>IF('1.DATOS-PROD'!AA34="SI",VLOOKUP('1.DATOS-PROD'!AA$2,'1.PUNTOS'!$A$1:$B$63,2,0),0)</f>
        <v>0</v>
      </c>
      <c r="S33" s="138">
        <f>IF('1.DATOS-PROD'!AB34="SI",VLOOKUP('1.DATOS-PROD'!AB$2,'1.PUNTOS'!$A$1:$B$63,2,0),0)</f>
        <v>0</v>
      </c>
      <c r="T33" s="138">
        <f>IF('1.DATOS-PROD'!AC34="SI",VLOOKUP('1.DATOS-PROD'!AC$2,'1.PUNTOS'!$A$1:$B$63,2,0),0)</f>
        <v>0</v>
      </c>
      <c r="U33" s="138">
        <f>IF('1.DATOS-PROD'!AD34="SI",VLOOKUP('1.DATOS-PROD'!AD$2,'1.PUNTOS'!$A$1:$B$63,2,0),0)</f>
        <v>0</v>
      </c>
      <c r="V33" s="138">
        <f>IF('1.DATOS-PROD'!AE34="SI",VLOOKUP('1.DATOS-PROD'!AE$2,'1.PUNTOS'!$A$1:$B$63,2,0),0)</f>
        <v>0</v>
      </c>
      <c r="W33" s="138">
        <f>IF('1.DATOS-PROD'!AF34="SI",VLOOKUP('1.DATOS-PROD'!AF$2,'1.PUNTOS'!$A$1:$B$63,2,0),0)</f>
        <v>0</v>
      </c>
      <c r="X33" s="138">
        <f>IF('1.DATOS-PROD'!AG34="SI",VLOOKUP('1.DATOS-PROD'!AG$2,'1.PUNTOS'!$A$1:$B$63,2,0),0)</f>
        <v>0</v>
      </c>
      <c r="Y33" s="138">
        <f>IF('1.DATOS-PROD'!AH34="SI",VLOOKUP('1.DATOS-PROD'!AH$2,'1.PUNTOS'!$A$1:$B$63,2,0),0)</f>
        <v>0</v>
      </c>
      <c r="Z33" s="138">
        <f>IF('1.DATOS-PROD'!AI34="SI",VLOOKUP('1.DATOS-PROD'!AI$2,'1.PUNTOS'!$A$1:$B$63,2,0),0)</f>
        <v>0</v>
      </c>
      <c r="AA33" s="138">
        <f>IF('1.DATOS-PROD'!AJ34="SI",VLOOKUP('1.DATOS-PROD'!AJ$2,'1.PUNTOS'!$A$1:$B$63,2,0),0)</f>
        <v>0</v>
      </c>
      <c r="AB33" s="138">
        <f>IF('1.DATOS-PROD'!AK34="SI",VLOOKUP('1.DATOS-PROD'!AK$2,'1.PUNTOS'!$A$1:$B$63,2,0),0)</f>
        <v>0</v>
      </c>
      <c r="AC33" s="138">
        <f>IF('1.DATOS-PROD'!AL34="SI",VLOOKUP('1.DATOS-PROD'!AL$2,'1.PUNTOS'!$A$1:$B$63,2,0),0)</f>
        <v>0</v>
      </c>
      <c r="AD33" s="138">
        <f>IF('1.DATOS-PROD'!AM34="SI",VLOOKUP('1.DATOS-PROD'!AM$2,'1.PUNTOS'!$A$1:$B$63,2,0),0)</f>
        <v>0</v>
      </c>
      <c r="AE33" s="138">
        <f>IF('1.DATOS-PROD'!AN34="SI",VLOOKUP('1.DATOS-PROD'!AN$2,'1.PUNTOS'!$A$1:$B$63,2,0),0)</f>
        <v>0</v>
      </c>
      <c r="AF33" s="138">
        <f>IF('1.DATOS-PROD'!AO34="SI",VLOOKUP('1.DATOS-PROD'!AO$2,'1.PUNTOS'!$A$1:$B$63,2,0),0)</f>
        <v>0</v>
      </c>
      <c r="AG33" s="138">
        <f>IF('1.DATOS-PROD'!AP34="SI",VLOOKUP('1.DATOS-PROD'!AP$2,'1.PUNTOS'!$A$1:$B$63,2,0),0)</f>
        <v>0</v>
      </c>
      <c r="AH33" s="138">
        <f>IF('1.DATOS-PROD'!AQ34="SI",VLOOKUP('1.DATOS-PROD'!AQ$2,'1.PUNTOS'!$A$1:$B$63,2,0),0)</f>
        <v>0</v>
      </c>
      <c r="AI33" s="138">
        <f>IF('1.DATOS-PROD'!AR34="SI",VLOOKUP('1.DATOS-PROD'!AR$2,'1.PUNTOS'!$A$1:$B$63,2,0),0)</f>
        <v>0</v>
      </c>
      <c r="AJ33" s="138">
        <f>IF('1.DATOS-PROD'!AS34="SI",VLOOKUP('1.DATOS-PROD'!AS$2,'1.PUNTOS'!$A$1:$B$63,2,0),0)</f>
        <v>0</v>
      </c>
      <c r="AK33" s="138">
        <f>IF('1.DATOS-PROD'!AT34="SI",VLOOKUP('1.DATOS-PROD'!AT$2,'1.PUNTOS'!$A$1:$B$63,2,0),0)</f>
        <v>0</v>
      </c>
      <c r="AL33" s="138">
        <f>IF('1.DATOS-PROD'!AU34="SI",VLOOKUP('1.DATOS-PROD'!AU$2,'1.PUNTOS'!$A$1:$B$63,2,0),0)</f>
        <v>0</v>
      </c>
      <c r="AM33" s="138">
        <f>IF('1.DATOS-PROD'!AV34="SI",VLOOKUP('1.DATOS-PROD'!AV$2,'1.PUNTOS'!$A$1:$B$63,2,0),0)</f>
        <v>0</v>
      </c>
      <c r="AN33" s="138">
        <f>IF('1.DATOS-PROD'!AW34="SI",VLOOKUP('1.DATOS-PROD'!AW$2,'1.PUNTOS'!$A$1:$B$63,2,0),0)</f>
        <v>0</v>
      </c>
      <c r="AO33" s="138">
        <f>IF('1.DATOS-PROD'!AX34="SI",VLOOKUP('1.DATOS-PROD'!AX$2,'1.PUNTOS'!$A$1:$B$63,2,0),0)</f>
        <v>0</v>
      </c>
      <c r="AP33" s="138">
        <f>IF('1.DATOS-PROD'!AY34="SI",VLOOKUP('1.DATOS-PROD'!AY$2,'1.PUNTOS'!$A$1:$B$63,2,0),0)</f>
        <v>0</v>
      </c>
      <c r="AQ33" s="138">
        <f>IF('1.DATOS-PROD'!AZ34="SI",VLOOKUP('1.DATOS-PROD'!AZ$2,'1.PUNTOS'!$A$1:$B$63,2,0),0)</f>
        <v>0</v>
      </c>
      <c r="AR33" s="138">
        <f>IF('1.DATOS-PROD'!BA34="SI",VLOOKUP('1.DATOS-PROD'!BA$2,'1.PUNTOS'!$A$1:$B$63,2,0),0)</f>
        <v>0</v>
      </c>
      <c r="AS33" s="138">
        <f>IF('1.DATOS-PROD'!BB34="SI",VLOOKUP('1.DATOS-PROD'!BB$2,'1.PUNTOS'!$A$1:$B$63,2,0),0)</f>
        <v>0</v>
      </c>
      <c r="AT33" s="138">
        <f>IF('1.DATOS-PROD'!BC34="SI",VLOOKUP('1.DATOS-PROD'!BC$2,'1.PUNTOS'!$A$1:$B$63,2,0),0)</f>
        <v>0</v>
      </c>
      <c r="AU33" s="138">
        <f>IF('1.DATOS-PROD'!BD34="SI",VLOOKUP('1.DATOS-PROD'!BD$2,'1.PUNTOS'!$A$1:$B$63,2,0),0)</f>
        <v>0</v>
      </c>
      <c r="AV33" s="138">
        <f>IF('1.DATOS-PROD'!BE34="SI",VLOOKUP('1.DATOS-PROD'!BE$2,'1.PUNTOS'!$A$1:$B$63,2,0),0)</f>
        <v>0</v>
      </c>
      <c r="AW33" s="138">
        <f>IF('1.DATOS-PROD'!BF34="SI",VLOOKUP('1.DATOS-PROD'!BF$2,'1.PUNTOS'!$A$1:$B$63,2,0),0)</f>
        <v>0</v>
      </c>
      <c r="AX33" s="138">
        <f>IF('1.DATOS-PROD'!BG34="SI",VLOOKUP('1.DATOS-PROD'!BG$2,'1.PUNTOS'!$A$1:$B$63,2,0),0)</f>
        <v>0</v>
      </c>
      <c r="AY33" s="138">
        <f>IF('1.DATOS-PROD'!BH34="SI",VLOOKUP('1.DATOS-PROD'!BH$2,'1.PUNTOS'!$A$1:$B$63,2,0),0)</f>
        <v>0</v>
      </c>
      <c r="AZ33" s="138">
        <f>IF('1.DATOS-PROD'!BI34="SI",VLOOKUP('1.DATOS-PROD'!BI$2,'1.PUNTOS'!$A$1:$B$63,2,0),0)</f>
        <v>0</v>
      </c>
      <c r="BA33" s="138">
        <f>IF('1.DATOS-PROD'!BJ34="SI",VLOOKUP('1.DATOS-PROD'!BJ$2,'1.PUNTOS'!$A$1:$B$63,2,0),0)</f>
        <v>0</v>
      </c>
      <c r="BB33" s="138">
        <f>IF('1.DATOS-PROD'!BK34="SI",VLOOKUP('1.DATOS-PROD'!BK$2,'1.PUNTOS'!$A$1:$B$63,2,0),0)</f>
        <v>0</v>
      </c>
      <c r="BC33" s="138">
        <f>IF('1.DATOS-PROD'!BL34="SI",VLOOKUP('1.DATOS-PROD'!BL$2,'1.PUNTOS'!$A$1:$B$63,2,0),0)</f>
        <v>0</v>
      </c>
      <c r="BD33" s="138">
        <f>IF('1.DATOS-PROD'!BM34="SI",VLOOKUP('1.DATOS-PROD'!BM$2,'1.PUNTOS'!$A$1:$B$63,2,0),0)</f>
        <v>0</v>
      </c>
      <c r="BE33" s="138">
        <f>IF('1.DATOS-PROD'!BN34="SI",VLOOKUP('1.DATOS-PROD'!BN$2,'1.PUNTOS'!$A$1:$B$63,2,0),0)</f>
        <v>0</v>
      </c>
      <c r="BF33" s="138">
        <f>IF('1.DATOS-PROD'!BO34="SI",VLOOKUP('1.DATOS-PROD'!BO$2,'1.PUNTOS'!$A$1:$B$63,2,0),0)</f>
        <v>0</v>
      </c>
      <c r="BG33" s="138">
        <f>IF('1.DATOS-PROD'!BP34="SI",VLOOKUP('1.DATOS-PROD'!BP$2,'1.PUNTOS'!$A$1:$B$63,2,0),0)</f>
        <v>0</v>
      </c>
      <c r="BH33" s="138">
        <f>IF('1.DATOS-PROD'!BQ34="SI",VLOOKUP('1.DATOS-PROD'!BQ$2,'1.PUNTOS'!$A$1:$B$63,2,0),0)</f>
        <v>0</v>
      </c>
      <c r="BI33" s="138">
        <f>IF('1.DATOS-PROD'!BR34="SI",VLOOKUP('1.DATOS-PROD'!BR$2,'1.PUNTOS'!$A$1:$B$63,2,0),0)</f>
        <v>0</v>
      </c>
      <c r="BJ33" s="138">
        <f>IF('1.DATOS-PROD'!BS34="SI",VLOOKUP('1.DATOS-PROD'!BS$2,'1.PUNTOS'!$A$1:$B$63,2,0),0)</f>
        <v>0</v>
      </c>
      <c r="BK33" s="138">
        <f>IF('1.DATOS-PROD'!BT34="SI",VLOOKUP('1.DATOS-PROD'!BT$2,'1.PUNTOS'!$A$1:$B$63,2,0),0)</f>
        <v>0</v>
      </c>
    </row>
    <row r="34" spans="1:63" x14ac:dyDescent="0.25">
      <c r="A34">
        <f>'0.Consolidado general'!$A35</f>
        <v>0</v>
      </c>
      <c r="B34" s="138">
        <f>IF('1.DATOS-PROD'!K35="SI",VLOOKUP('1.DATOS-PROD'!K$2,'1.PUNTOS'!$A$1:$B$63,2,0),0)</f>
        <v>0</v>
      </c>
      <c r="C34" s="138">
        <f>IF('1.DATOS-PROD'!L35="SI",VLOOKUP('1.DATOS-PROD'!L$2,'1.PUNTOS'!$A$1:$B$63,2,0),0)</f>
        <v>0</v>
      </c>
      <c r="D34" s="138">
        <f>IF('1.DATOS-PROD'!M35="SI",VLOOKUP('1.DATOS-PROD'!M$2,'1.PUNTOS'!$A$1:$B$63,2,0),0)</f>
        <v>0</v>
      </c>
      <c r="E34" s="138">
        <f>IF('1.DATOS-PROD'!N35="SI",VLOOKUP('1.DATOS-PROD'!N$2,'1.PUNTOS'!$A$1:$B$63,2,0),0)</f>
        <v>0</v>
      </c>
      <c r="F34" s="138">
        <f>IF('1.DATOS-PROD'!O35="SI",VLOOKUP('1.DATOS-PROD'!O$2,'1.PUNTOS'!$A$1:$B$63,2,0),0)</f>
        <v>0</v>
      </c>
      <c r="G34" s="138">
        <f>IF('1.DATOS-PROD'!P35="SI",VLOOKUP('1.DATOS-PROD'!P$2,'1.PUNTOS'!$A$1:$B$63,2,0),0)</f>
        <v>0</v>
      </c>
      <c r="H34" s="138">
        <f>IF('1.DATOS-PROD'!Q35="SI",VLOOKUP('1.DATOS-PROD'!Q$2,'1.PUNTOS'!$A$1:$B$63,2,0),0)</f>
        <v>0</v>
      </c>
      <c r="I34" s="138">
        <f>IF('1.DATOS-PROD'!R35="SI",VLOOKUP('1.DATOS-PROD'!R$2,'1.PUNTOS'!$A$1:$B$63,2,0),0)</f>
        <v>0</v>
      </c>
      <c r="J34" s="138">
        <f>IF('1.DATOS-PROD'!S35="SI",VLOOKUP('1.DATOS-PROD'!S$2,'1.PUNTOS'!$A$1:$B$63,2,0),0)</f>
        <v>0</v>
      </c>
      <c r="K34" s="138">
        <f>IF('1.DATOS-PROD'!T35="SI",VLOOKUP('1.DATOS-PROD'!T$2,'1.PUNTOS'!$A$1:$B$63,2,0),0)</f>
        <v>0</v>
      </c>
      <c r="L34" s="138">
        <f>IF('1.DATOS-PROD'!U35="SI",VLOOKUP('1.DATOS-PROD'!U$2,'1.PUNTOS'!$A$1:$B$63,2,0),0)</f>
        <v>0</v>
      </c>
      <c r="M34" s="138">
        <f>IF('1.DATOS-PROD'!V35="SI",VLOOKUP('1.DATOS-PROD'!V$2,'1.PUNTOS'!$A$1:$B$63,2,0),0)</f>
        <v>0</v>
      </c>
      <c r="N34" s="138">
        <f>IF('1.DATOS-PROD'!W35="SI",VLOOKUP('1.DATOS-PROD'!W$2,'1.PUNTOS'!$A$1:$B$63,2,0),0)</f>
        <v>0</v>
      </c>
      <c r="O34" s="138">
        <f>IF('1.DATOS-PROD'!X35="SI",VLOOKUP('1.DATOS-PROD'!X$2,'1.PUNTOS'!$A$1:$B$63,2,0),0)</f>
        <v>0</v>
      </c>
      <c r="P34" s="138">
        <f>IF('1.DATOS-PROD'!Y35="SI",VLOOKUP('1.DATOS-PROD'!Y$2,'1.PUNTOS'!$A$1:$B$63,2,0),0)</f>
        <v>0</v>
      </c>
      <c r="Q34" s="138">
        <f>IF('1.DATOS-PROD'!Z35="SI",VLOOKUP('1.DATOS-PROD'!Z$2,'1.PUNTOS'!$A$1:$B$63,2,0),0)</f>
        <v>0</v>
      </c>
      <c r="R34" s="138">
        <f>IF('1.DATOS-PROD'!AA35="SI",VLOOKUP('1.DATOS-PROD'!AA$2,'1.PUNTOS'!$A$1:$B$63,2,0),0)</f>
        <v>0</v>
      </c>
      <c r="S34" s="138">
        <f>IF('1.DATOS-PROD'!AB35="SI",VLOOKUP('1.DATOS-PROD'!AB$2,'1.PUNTOS'!$A$1:$B$63,2,0),0)</f>
        <v>0</v>
      </c>
      <c r="T34" s="138">
        <f>IF('1.DATOS-PROD'!AC35="SI",VLOOKUP('1.DATOS-PROD'!AC$2,'1.PUNTOS'!$A$1:$B$63,2,0),0)</f>
        <v>0</v>
      </c>
      <c r="U34" s="138">
        <f>IF('1.DATOS-PROD'!AD35="SI",VLOOKUP('1.DATOS-PROD'!AD$2,'1.PUNTOS'!$A$1:$B$63,2,0),0)</f>
        <v>0</v>
      </c>
      <c r="V34" s="138">
        <f>IF('1.DATOS-PROD'!AE35="SI",VLOOKUP('1.DATOS-PROD'!AE$2,'1.PUNTOS'!$A$1:$B$63,2,0),0)</f>
        <v>0</v>
      </c>
      <c r="W34" s="138">
        <f>IF('1.DATOS-PROD'!AF35="SI",VLOOKUP('1.DATOS-PROD'!AF$2,'1.PUNTOS'!$A$1:$B$63,2,0),0)</f>
        <v>0</v>
      </c>
      <c r="X34" s="138">
        <f>IF('1.DATOS-PROD'!AG35="SI",VLOOKUP('1.DATOS-PROD'!AG$2,'1.PUNTOS'!$A$1:$B$63,2,0),0)</f>
        <v>0</v>
      </c>
      <c r="Y34" s="138">
        <f>IF('1.DATOS-PROD'!AH35="SI",VLOOKUP('1.DATOS-PROD'!AH$2,'1.PUNTOS'!$A$1:$B$63,2,0),0)</f>
        <v>0</v>
      </c>
      <c r="Z34" s="138">
        <f>IF('1.DATOS-PROD'!AI35="SI",VLOOKUP('1.DATOS-PROD'!AI$2,'1.PUNTOS'!$A$1:$B$63,2,0),0)</f>
        <v>0</v>
      </c>
      <c r="AA34" s="138">
        <f>IF('1.DATOS-PROD'!AJ35="SI",VLOOKUP('1.DATOS-PROD'!AJ$2,'1.PUNTOS'!$A$1:$B$63,2,0),0)</f>
        <v>0</v>
      </c>
      <c r="AB34" s="138">
        <f>IF('1.DATOS-PROD'!AK35="SI",VLOOKUP('1.DATOS-PROD'!AK$2,'1.PUNTOS'!$A$1:$B$63,2,0),0)</f>
        <v>0</v>
      </c>
      <c r="AC34" s="138">
        <f>IF('1.DATOS-PROD'!AL35="SI",VLOOKUP('1.DATOS-PROD'!AL$2,'1.PUNTOS'!$A$1:$B$63,2,0),0)</f>
        <v>0</v>
      </c>
      <c r="AD34" s="138">
        <f>IF('1.DATOS-PROD'!AM35="SI",VLOOKUP('1.DATOS-PROD'!AM$2,'1.PUNTOS'!$A$1:$B$63,2,0),0)</f>
        <v>0</v>
      </c>
      <c r="AE34" s="138">
        <f>IF('1.DATOS-PROD'!AN35="SI",VLOOKUP('1.DATOS-PROD'!AN$2,'1.PUNTOS'!$A$1:$B$63,2,0),0)</f>
        <v>0</v>
      </c>
      <c r="AF34" s="138">
        <f>IF('1.DATOS-PROD'!AO35="SI",VLOOKUP('1.DATOS-PROD'!AO$2,'1.PUNTOS'!$A$1:$B$63,2,0),0)</f>
        <v>0</v>
      </c>
      <c r="AG34" s="138">
        <f>IF('1.DATOS-PROD'!AP35="SI",VLOOKUP('1.DATOS-PROD'!AP$2,'1.PUNTOS'!$A$1:$B$63,2,0),0)</f>
        <v>0</v>
      </c>
      <c r="AH34" s="138">
        <f>IF('1.DATOS-PROD'!AQ35="SI",VLOOKUP('1.DATOS-PROD'!AQ$2,'1.PUNTOS'!$A$1:$B$63,2,0),0)</f>
        <v>0</v>
      </c>
      <c r="AI34" s="138">
        <f>IF('1.DATOS-PROD'!AR35="SI",VLOOKUP('1.DATOS-PROD'!AR$2,'1.PUNTOS'!$A$1:$B$63,2,0),0)</f>
        <v>0</v>
      </c>
      <c r="AJ34" s="138">
        <f>IF('1.DATOS-PROD'!AS35="SI",VLOOKUP('1.DATOS-PROD'!AS$2,'1.PUNTOS'!$A$1:$B$63,2,0),0)</f>
        <v>0</v>
      </c>
      <c r="AK34" s="138">
        <f>IF('1.DATOS-PROD'!AT35="SI",VLOOKUP('1.DATOS-PROD'!AT$2,'1.PUNTOS'!$A$1:$B$63,2,0),0)</f>
        <v>0</v>
      </c>
      <c r="AL34" s="138">
        <f>IF('1.DATOS-PROD'!AU35="SI",VLOOKUP('1.DATOS-PROD'!AU$2,'1.PUNTOS'!$A$1:$B$63,2,0),0)</f>
        <v>0</v>
      </c>
      <c r="AM34" s="138">
        <f>IF('1.DATOS-PROD'!AV35="SI",VLOOKUP('1.DATOS-PROD'!AV$2,'1.PUNTOS'!$A$1:$B$63,2,0),0)</f>
        <v>0</v>
      </c>
      <c r="AN34" s="138">
        <f>IF('1.DATOS-PROD'!AW35="SI",VLOOKUP('1.DATOS-PROD'!AW$2,'1.PUNTOS'!$A$1:$B$63,2,0),0)</f>
        <v>0</v>
      </c>
      <c r="AO34" s="138">
        <f>IF('1.DATOS-PROD'!AX35="SI",VLOOKUP('1.DATOS-PROD'!AX$2,'1.PUNTOS'!$A$1:$B$63,2,0),0)</f>
        <v>0</v>
      </c>
      <c r="AP34" s="138">
        <f>IF('1.DATOS-PROD'!AY35="SI",VLOOKUP('1.DATOS-PROD'!AY$2,'1.PUNTOS'!$A$1:$B$63,2,0),0)</f>
        <v>0</v>
      </c>
      <c r="AQ34" s="138">
        <f>IF('1.DATOS-PROD'!AZ35="SI",VLOOKUP('1.DATOS-PROD'!AZ$2,'1.PUNTOS'!$A$1:$B$63,2,0),0)</f>
        <v>0</v>
      </c>
      <c r="AR34" s="138">
        <f>IF('1.DATOS-PROD'!BA35="SI",VLOOKUP('1.DATOS-PROD'!BA$2,'1.PUNTOS'!$A$1:$B$63,2,0),0)</f>
        <v>0</v>
      </c>
      <c r="AS34" s="138">
        <f>IF('1.DATOS-PROD'!BB35="SI",VLOOKUP('1.DATOS-PROD'!BB$2,'1.PUNTOS'!$A$1:$B$63,2,0),0)</f>
        <v>0</v>
      </c>
      <c r="AT34" s="138">
        <f>IF('1.DATOS-PROD'!BC35="SI",VLOOKUP('1.DATOS-PROD'!BC$2,'1.PUNTOS'!$A$1:$B$63,2,0),0)</f>
        <v>0</v>
      </c>
      <c r="AU34" s="138">
        <f>IF('1.DATOS-PROD'!BD35="SI",VLOOKUP('1.DATOS-PROD'!BD$2,'1.PUNTOS'!$A$1:$B$63,2,0),0)</f>
        <v>0</v>
      </c>
      <c r="AV34" s="138">
        <f>IF('1.DATOS-PROD'!BE35="SI",VLOOKUP('1.DATOS-PROD'!BE$2,'1.PUNTOS'!$A$1:$B$63,2,0),0)</f>
        <v>0</v>
      </c>
      <c r="AW34" s="138">
        <f>IF('1.DATOS-PROD'!BF35="SI",VLOOKUP('1.DATOS-PROD'!BF$2,'1.PUNTOS'!$A$1:$B$63,2,0),0)</f>
        <v>0</v>
      </c>
      <c r="AX34" s="138">
        <f>IF('1.DATOS-PROD'!BG35="SI",VLOOKUP('1.DATOS-PROD'!BG$2,'1.PUNTOS'!$A$1:$B$63,2,0),0)</f>
        <v>0</v>
      </c>
      <c r="AY34" s="138">
        <f>IF('1.DATOS-PROD'!BH35="SI",VLOOKUP('1.DATOS-PROD'!BH$2,'1.PUNTOS'!$A$1:$B$63,2,0),0)</f>
        <v>0</v>
      </c>
      <c r="AZ34" s="138">
        <f>IF('1.DATOS-PROD'!BI35="SI",VLOOKUP('1.DATOS-PROD'!BI$2,'1.PUNTOS'!$A$1:$B$63,2,0),0)</f>
        <v>0</v>
      </c>
      <c r="BA34" s="138">
        <f>IF('1.DATOS-PROD'!BJ35="SI",VLOOKUP('1.DATOS-PROD'!BJ$2,'1.PUNTOS'!$A$1:$B$63,2,0),0)</f>
        <v>0</v>
      </c>
      <c r="BB34" s="138">
        <f>IF('1.DATOS-PROD'!BK35="SI",VLOOKUP('1.DATOS-PROD'!BK$2,'1.PUNTOS'!$A$1:$B$63,2,0),0)</f>
        <v>0</v>
      </c>
      <c r="BC34" s="138">
        <f>IF('1.DATOS-PROD'!BL35="SI",VLOOKUP('1.DATOS-PROD'!BL$2,'1.PUNTOS'!$A$1:$B$63,2,0),0)</f>
        <v>0</v>
      </c>
      <c r="BD34" s="138">
        <f>IF('1.DATOS-PROD'!BM35="SI",VLOOKUP('1.DATOS-PROD'!BM$2,'1.PUNTOS'!$A$1:$B$63,2,0),0)</f>
        <v>0</v>
      </c>
      <c r="BE34" s="138">
        <f>IF('1.DATOS-PROD'!BN35="SI",VLOOKUP('1.DATOS-PROD'!BN$2,'1.PUNTOS'!$A$1:$B$63,2,0),0)</f>
        <v>0</v>
      </c>
      <c r="BF34" s="138">
        <f>IF('1.DATOS-PROD'!BO35="SI",VLOOKUP('1.DATOS-PROD'!BO$2,'1.PUNTOS'!$A$1:$B$63,2,0),0)</f>
        <v>0</v>
      </c>
      <c r="BG34" s="138">
        <f>IF('1.DATOS-PROD'!BP35="SI",VLOOKUP('1.DATOS-PROD'!BP$2,'1.PUNTOS'!$A$1:$B$63,2,0),0)</f>
        <v>0</v>
      </c>
      <c r="BH34" s="138">
        <f>IF('1.DATOS-PROD'!BQ35="SI",VLOOKUP('1.DATOS-PROD'!BQ$2,'1.PUNTOS'!$A$1:$B$63,2,0),0)</f>
        <v>0</v>
      </c>
      <c r="BI34" s="138">
        <f>IF('1.DATOS-PROD'!BR35="SI",VLOOKUP('1.DATOS-PROD'!BR$2,'1.PUNTOS'!$A$1:$B$63,2,0),0)</f>
        <v>0</v>
      </c>
      <c r="BJ34" s="138">
        <f>IF('1.DATOS-PROD'!BS35="SI",VLOOKUP('1.DATOS-PROD'!BS$2,'1.PUNTOS'!$A$1:$B$63,2,0),0)</f>
        <v>0</v>
      </c>
      <c r="BK34" s="138">
        <f>IF('1.DATOS-PROD'!BT35="SI",VLOOKUP('1.DATOS-PROD'!BT$2,'1.PUNTOS'!$A$1:$B$63,2,0),0)</f>
        <v>0</v>
      </c>
    </row>
    <row r="35" spans="1:63" x14ac:dyDescent="0.25">
      <c r="A35">
        <f>'0.Consolidado general'!$A36</f>
        <v>0</v>
      </c>
      <c r="B35" s="138">
        <f>IF('1.DATOS-PROD'!K36="SI",VLOOKUP('1.DATOS-PROD'!K$2,'1.PUNTOS'!$A$1:$B$63,2,0),0)</f>
        <v>0</v>
      </c>
      <c r="C35" s="138">
        <f>IF('1.DATOS-PROD'!L36="SI",VLOOKUP('1.DATOS-PROD'!L$2,'1.PUNTOS'!$A$1:$B$63,2,0),0)</f>
        <v>0</v>
      </c>
      <c r="D35" s="138">
        <f>IF('1.DATOS-PROD'!M36="SI",VLOOKUP('1.DATOS-PROD'!M$2,'1.PUNTOS'!$A$1:$B$63,2,0),0)</f>
        <v>0</v>
      </c>
      <c r="E35" s="138">
        <f>IF('1.DATOS-PROD'!N36="SI",VLOOKUP('1.DATOS-PROD'!N$2,'1.PUNTOS'!$A$1:$B$63,2,0),0)</f>
        <v>0</v>
      </c>
      <c r="F35" s="138">
        <f>IF('1.DATOS-PROD'!O36="SI",VLOOKUP('1.DATOS-PROD'!O$2,'1.PUNTOS'!$A$1:$B$63,2,0),0)</f>
        <v>0</v>
      </c>
      <c r="G35" s="138">
        <f>IF('1.DATOS-PROD'!P36="SI",VLOOKUP('1.DATOS-PROD'!P$2,'1.PUNTOS'!$A$1:$B$63,2,0),0)</f>
        <v>0</v>
      </c>
      <c r="H35" s="138">
        <f>IF('1.DATOS-PROD'!Q36="SI",VLOOKUP('1.DATOS-PROD'!Q$2,'1.PUNTOS'!$A$1:$B$63,2,0),0)</f>
        <v>0</v>
      </c>
      <c r="I35" s="138">
        <f>IF('1.DATOS-PROD'!R36="SI",VLOOKUP('1.DATOS-PROD'!R$2,'1.PUNTOS'!$A$1:$B$63,2,0),0)</f>
        <v>0</v>
      </c>
      <c r="J35" s="138">
        <f>IF('1.DATOS-PROD'!S36="SI",VLOOKUP('1.DATOS-PROD'!S$2,'1.PUNTOS'!$A$1:$B$63,2,0),0)</f>
        <v>0</v>
      </c>
      <c r="K35" s="138">
        <f>IF('1.DATOS-PROD'!T36="SI",VLOOKUP('1.DATOS-PROD'!T$2,'1.PUNTOS'!$A$1:$B$63,2,0),0)</f>
        <v>0</v>
      </c>
      <c r="L35" s="138">
        <f>IF('1.DATOS-PROD'!U36="SI",VLOOKUP('1.DATOS-PROD'!U$2,'1.PUNTOS'!$A$1:$B$63,2,0),0)</f>
        <v>0</v>
      </c>
      <c r="M35" s="138">
        <f>IF('1.DATOS-PROD'!V36="SI",VLOOKUP('1.DATOS-PROD'!V$2,'1.PUNTOS'!$A$1:$B$63,2,0),0)</f>
        <v>0</v>
      </c>
      <c r="N35" s="138">
        <f>IF('1.DATOS-PROD'!W36="SI",VLOOKUP('1.DATOS-PROD'!W$2,'1.PUNTOS'!$A$1:$B$63,2,0),0)</f>
        <v>0</v>
      </c>
      <c r="O35" s="138">
        <f>IF('1.DATOS-PROD'!X36="SI",VLOOKUP('1.DATOS-PROD'!X$2,'1.PUNTOS'!$A$1:$B$63,2,0),0)</f>
        <v>0</v>
      </c>
      <c r="P35" s="138">
        <f>IF('1.DATOS-PROD'!Y36="SI",VLOOKUP('1.DATOS-PROD'!Y$2,'1.PUNTOS'!$A$1:$B$63,2,0),0)</f>
        <v>0</v>
      </c>
      <c r="Q35" s="138">
        <f>IF('1.DATOS-PROD'!Z36="SI",VLOOKUP('1.DATOS-PROD'!Z$2,'1.PUNTOS'!$A$1:$B$63,2,0),0)</f>
        <v>0</v>
      </c>
      <c r="R35" s="138">
        <f>IF('1.DATOS-PROD'!AA36="SI",VLOOKUP('1.DATOS-PROD'!AA$2,'1.PUNTOS'!$A$1:$B$63,2,0),0)</f>
        <v>0</v>
      </c>
      <c r="S35" s="138">
        <f>IF('1.DATOS-PROD'!AB36="SI",VLOOKUP('1.DATOS-PROD'!AB$2,'1.PUNTOS'!$A$1:$B$63,2,0),0)</f>
        <v>0</v>
      </c>
      <c r="T35" s="138">
        <f>IF('1.DATOS-PROD'!AC36="SI",VLOOKUP('1.DATOS-PROD'!AC$2,'1.PUNTOS'!$A$1:$B$63,2,0),0)</f>
        <v>0</v>
      </c>
      <c r="U35" s="138">
        <f>IF('1.DATOS-PROD'!AD36="SI",VLOOKUP('1.DATOS-PROD'!AD$2,'1.PUNTOS'!$A$1:$B$63,2,0),0)</f>
        <v>0</v>
      </c>
      <c r="V35" s="138">
        <f>IF('1.DATOS-PROD'!AE36="SI",VLOOKUP('1.DATOS-PROD'!AE$2,'1.PUNTOS'!$A$1:$B$63,2,0),0)</f>
        <v>0</v>
      </c>
      <c r="W35" s="138">
        <f>IF('1.DATOS-PROD'!AF36="SI",VLOOKUP('1.DATOS-PROD'!AF$2,'1.PUNTOS'!$A$1:$B$63,2,0),0)</f>
        <v>0</v>
      </c>
      <c r="X35" s="138">
        <f>IF('1.DATOS-PROD'!AG36="SI",VLOOKUP('1.DATOS-PROD'!AG$2,'1.PUNTOS'!$A$1:$B$63,2,0),0)</f>
        <v>0</v>
      </c>
      <c r="Y35" s="138">
        <f>IF('1.DATOS-PROD'!AH36="SI",VLOOKUP('1.DATOS-PROD'!AH$2,'1.PUNTOS'!$A$1:$B$63,2,0),0)</f>
        <v>0</v>
      </c>
      <c r="Z35" s="138">
        <f>IF('1.DATOS-PROD'!AI36="SI",VLOOKUP('1.DATOS-PROD'!AI$2,'1.PUNTOS'!$A$1:$B$63,2,0),0)</f>
        <v>0</v>
      </c>
      <c r="AA35" s="138">
        <f>IF('1.DATOS-PROD'!AJ36="SI",VLOOKUP('1.DATOS-PROD'!AJ$2,'1.PUNTOS'!$A$1:$B$63,2,0),0)</f>
        <v>0</v>
      </c>
      <c r="AB35" s="138">
        <f>IF('1.DATOS-PROD'!AK36="SI",VLOOKUP('1.DATOS-PROD'!AK$2,'1.PUNTOS'!$A$1:$B$63,2,0),0)</f>
        <v>0</v>
      </c>
      <c r="AC35" s="138">
        <f>IF('1.DATOS-PROD'!AL36="SI",VLOOKUP('1.DATOS-PROD'!AL$2,'1.PUNTOS'!$A$1:$B$63,2,0),0)</f>
        <v>0</v>
      </c>
      <c r="AD35" s="138">
        <f>IF('1.DATOS-PROD'!AM36="SI",VLOOKUP('1.DATOS-PROD'!AM$2,'1.PUNTOS'!$A$1:$B$63,2,0),0)</f>
        <v>0</v>
      </c>
      <c r="AE35" s="138">
        <f>IF('1.DATOS-PROD'!AN36="SI",VLOOKUP('1.DATOS-PROD'!AN$2,'1.PUNTOS'!$A$1:$B$63,2,0),0)</f>
        <v>0</v>
      </c>
      <c r="AF35" s="138">
        <f>IF('1.DATOS-PROD'!AO36="SI",VLOOKUP('1.DATOS-PROD'!AO$2,'1.PUNTOS'!$A$1:$B$63,2,0),0)</f>
        <v>0</v>
      </c>
      <c r="AG35" s="138">
        <f>IF('1.DATOS-PROD'!AP36="SI",VLOOKUP('1.DATOS-PROD'!AP$2,'1.PUNTOS'!$A$1:$B$63,2,0),0)</f>
        <v>0</v>
      </c>
      <c r="AH35" s="138">
        <f>IF('1.DATOS-PROD'!AQ36="SI",VLOOKUP('1.DATOS-PROD'!AQ$2,'1.PUNTOS'!$A$1:$B$63,2,0),0)</f>
        <v>0</v>
      </c>
      <c r="AI35" s="138">
        <f>IF('1.DATOS-PROD'!AR36="SI",VLOOKUP('1.DATOS-PROD'!AR$2,'1.PUNTOS'!$A$1:$B$63,2,0),0)</f>
        <v>0</v>
      </c>
      <c r="AJ35" s="138">
        <f>IF('1.DATOS-PROD'!AS36="SI",VLOOKUP('1.DATOS-PROD'!AS$2,'1.PUNTOS'!$A$1:$B$63,2,0),0)</f>
        <v>0</v>
      </c>
      <c r="AK35" s="138">
        <f>IF('1.DATOS-PROD'!AT36="SI",VLOOKUP('1.DATOS-PROD'!AT$2,'1.PUNTOS'!$A$1:$B$63,2,0),0)</f>
        <v>0</v>
      </c>
      <c r="AL35" s="138">
        <f>IF('1.DATOS-PROD'!AU36="SI",VLOOKUP('1.DATOS-PROD'!AU$2,'1.PUNTOS'!$A$1:$B$63,2,0),0)</f>
        <v>0</v>
      </c>
      <c r="AM35" s="138">
        <f>IF('1.DATOS-PROD'!AV36="SI",VLOOKUP('1.DATOS-PROD'!AV$2,'1.PUNTOS'!$A$1:$B$63,2,0),0)</f>
        <v>0</v>
      </c>
      <c r="AN35" s="138">
        <f>IF('1.DATOS-PROD'!AW36="SI",VLOOKUP('1.DATOS-PROD'!AW$2,'1.PUNTOS'!$A$1:$B$63,2,0),0)</f>
        <v>0</v>
      </c>
      <c r="AO35" s="138">
        <f>IF('1.DATOS-PROD'!AX36="SI",VLOOKUP('1.DATOS-PROD'!AX$2,'1.PUNTOS'!$A$1:$B$63,2,0),0)</f>
        <v>0</v>
      </c>
      <c r="AP35" s="138">
        <f>IF('1.DATOS-PROD'!AY36="SI",VLOOKUP('1.DATOS-PROD'!AY$2,'1.PUNTOS'!$A$1:$B$63,2,0),0)</f>
        <v>0</v>
      </c>
      <c r="AQ35" s="138">
        <f>IF('1.DATOS-PROD'!AZ36="SI",VLOOKUP('1.DATOS-PROD'!AZ$2,'1.PUNTOS'!$A$1:$B$63,2,0),0)</f>
        <v>0</v>
      </c>
      <c r="AR35" s="138">
        <f>IF('1.DATOS-PROD'!BA36="SI",VLOOKUP('1.DATOS-PROD'!BA$2,'1.PUNTOS'!$A$1:$B$63,2,0),0)</f>
        <v>0</v>
      </c>
      <c r="AS35" s="138">
        <f>IF('1.DATOS-PROD'!BB36="SI",VLOOKUP('1.DATOS-PROD'!BB$2,'1.PUNTOS'!$A$1:$B$63,2,0),0)</f>
        <v>0</v>
      </c>
      <c r="AT35" s="138">
        <f>IF('1.DATOS-PROD'!BC36="SI",VLOOKUP('1.DATOS-PROD'!BC$2,'1.PUNTOS'!$A$1:$B$63,2,0),0)</f>
        <v>0</v>
      </c>
      <c r="AU35" s="138">
        <f>IF('1.DATOS-PROD'!BD36="SI",VLOOKUP('1.DATOS-PROD'!BD$2,'1.PUNTOS'!$A$1:$B$63,2,0),0)</f>
        <v>0</v>
      </c>
      <c r="AV35" s="138">
        <f>IF('1.DATOS-PROD'!BE36="SI",VLOOKUP('1.DATOS-PROD'!BE$2,'1.PUNTOS'!$A$1:$B$63,2,0),0)</f>
        <v>0</v>
      </c>
      <c r="AW35" s="138">
        <f>IF('1.DATOS-PROD'!BF36="SI",VLOOKUP('1.DATOS-PROD'!BF$2,'1.PUNTOS'!$A$1:$B$63,2,0),0)</f>
        <v>0</v>
      </c>
      <c r="AX35" s="138">
        <f>IF('1.DATOS-PROD'!BG36="SI",VLOOKUP('1.DATOS-PROD'!BG$2,'1.PUNTOS'!$A$1:$B$63,2,0),0)</f>
        <v>0</v>
      </c>
      <c r="AY35" s="138">
        <f>IF('1.DATOS-PROD'!BH36="SI",VLOOKUP('1.DATOS-PROD'!BH$2,'1.PUNTOS'!$A$1:$B$63,2,0),0)</f>
        <v>0</v>
      </c>
      <c r="AZ35" s="138">
        <f>IF('1.DATOS-PROD'!BI36="SI",VLOOKUP('1.DATOS-PROD'!BI$2,'1.PUNTOS'!$A$1:$B$63,2,0),0)</f>
        <v>0</v>
      </c>
      <c r="BA35" s="138">
        <f>IF('1.DATOS-PROD'!BJ36="SI",VLOOKUP('1.DATOS-PROD'!BJ$2,'1.PUNTOS'!$A$1:$B$63,2,0),0)</f>
        <v>0</v>
      </c>
      <c r="BB35" s="138">
        <f>IF('1.DATOS-PROD'!BK36="SI",VLOOKUP('1.DATOS-PROD'!BK$2,'1.PUNTOS'!$A$1:$B$63,2,0),0)</f>
        <v>0</v>
      </c>
      <c r="BC35" s="138">
        <f>IF('1.DATOS-PROD'!BL36="SI",VLOOKUP('1.DATOS-PROD'!BL$2,'1.PUNTOS'!$A$1:$B$63,2,0),0)</f>
        <v>0</v>
      </c>
      <c r="BD35" s="138">
        <f>IF('1.DATOS-PROD'!BM36="SI",VLOOKUP('1.DATOS-PROD'!BM$2,'1.PUNTOS'!$A$1:$B$63,2,0),0)</f>
        <v>0</v>
      </c>
      <c r="BE35" s="138">
        <f>IF('1.DATOS-PROD'!BN36="SI",VLOOKUP('1.DATOS-PROD'!BN$2,'1.PUNTOS'!$A$1:$B$63,2,0),0)</f>
        <v>0</v>
      </c>
      <c r="BF35" s="138">
        <f>IF('1.DATOS-PROD'!BO36="SI",VLOOKUP('1.DATOS-PROD'!BO$2,'1.PUNTOS'!$A$1:$B$63,2,0),0)</f>
        <v>0</v>
      </c>
      <c r="BG35" s="138">
        <f>IF('1.DATOS-PROD'!BP36="SI",VLOOKUP('1.DATOS-PROD'!BP$2,'1.PUNTOS'!$A$1:$B$63,2,0),0)</f>
        <v>0</v>
      </c>
      <c r="BH35" s="138">
        <f>IF('1.DATOS-PROD'!BQ36="SI",VLOOKUP('1.DATOS-PROD'!BQ$2,'1.PUNTOS'!$A$1:$B$63,2,0),0)</f>
        <v>0</v>
      </c>
      <c r="BI35" s="138">
        <f>IF('1.DATOS-PROD'!BR36="SI",VLOOKUP('1.DATOS-PROD'!BR$2,'1.PUNTOS'!$A$1:$B$63,2,0),0)</f>
        <v>0</v>
      </c>
      <c r="BJ35" s="138">
        <f>IF('1.DATOS-PROD'!BS36="SI",VLOOKUP('1.DATOS-PROD'!BS$2,'1.PUNTOS'!$A$1:$B$63,2,0),0)</f>
        <v>0</v>
      </c>
      <c r="BK35" s="138">
        <f>IF('1.DATOS-PROD'!BT36="SI",VLOOKUP('1.DATOS-PROD'!BT$2,'1.PUNTOS'!$A$1:$B$63,2,0),0)</f>
        <v>0</v>
      </c>
    </row>
    <row r="36" spans="1:63" x14ac:dyDescent="0.25">
      <c r="A36">
        <f>'0.Consolidado general'!$A37</f>
        <v>0</v>
      </c>
      <c r="B36" s="138">
        <f>IF('1.DATOS-PROD'!K37="SI",VLOOKUP('1.DATOS-PROD'!K$2,'1.PUNTOS'!$A$1:$B$63,2,0),0)</f>
        <v>0</v>
      </c>
      <c r="C36" s="138">
        <f>IF('1.DATOS-PROD'!L37="SI",VLOOKUP('1.DATOS-PROD'!L$2,'1.PUNTOS'!$A$1:$B$63,2,0),0)</f>
        <v>0</v>
      </c>
      <c r="D36" s="138">
        <f>IF('1.DATOS-PROD'!M37="SI",VLOOKUP('1.DATOS-PROD'!M$2,'1.PUNTOS'!$A$1:$B$63,2,0),0)</f>
        <v>0</v>
      </c>
      <c r="E36" s="138">
        <f>IF('1.DATOS-PROD'!N37="SI",VLOOKUP('1.DATOS-PROD'!N$2,'1.PUNTOS'!$A$1:$B$63,2,0),0)</f>
        <v>0</v>
      </c>
      <c r="F36" s="138">
        <f>IF('1.DATOS-PROD'!O37="SI",VLOOKUP('1.DATOS-PROD'!O$2,'1.PUNTOS'!$A$1:$B$63,2,0),0)</f>
        <v>0</v>
      </c>
      <c r="G36" s="138">
        <f>IF('1.DATOS-PROD'!P37="SI",VLOOKUP('1.DATOS-PROD'!P$2,'1.PUNTOS'!$A$1:$B$63,2,0),0)</f>
        <v>0</v>
      </c>
      <c r="H36" s="138">
        <f>IF('1.DATOS-PROD'!Q37="SI",VLOOKUP('1.DATOS-PROD'!Q$2,'1.PUNTOS'!$A$1:$B$63,2,0),0)</f>
        <v>0</v>
      </c>
      <c r="I36" s="138">
        <f>IF('1.DATOS-PROD'!R37="SI",VLOOKUP('1.DATOS-PROD'!R$2,'1.PUNTOS'!$A$1:$B$63,2,0),0)</f>
        <v>0</v>
      </c>
      <c r="J36" s="138">
        <f>IF('1.DATOS-PROD'!S37="SI",VLOOKUP('1.DATOS-PROD'!S$2,'1.PUNTOS'!$A$1:$B$63,2,0),0)</f>
        <v>0</v>
      </c>
      <c r="K36" s="138">
        <f>IF('1.DATOS-PROD'!T37="SI",VLOOKUP('1.DATOS-PROD'!T$2,'1.PUNTOS'!$A$1:$B$63,2,0),0)</f>
        <v>0</v>
      </c>
      <c r="L36" s="138">
        <f>IF('1.DATOS-PROD'!U37="SI",VLOOKUP('1.DATOS-PROD'!U$2,'1.PUNTOS'!$A$1:$B$63,2,0),0)</f>
        <v>0</v>
      </c>
      <c r="M36" s="138">
        <f>IF('1.DATOS-PROD'!V37="SI",VLOOKUP('1.DATOS-PROD'!V$2,'1.PUNTOS'!$A$1:$B$63,2,0),0)</f>
        <v>0</v>
      </c>
      <c r="N36" s="138">
        <f>IF('1.DATOS-PROD'!W37="SI",VLOOKUP('1.DATOS-PROD'!W$2,'1.PUNTOS'!$A$1:$B$63,2,0),0)</f>
        <v>0</v>
      </c>
      <c r="O36" s="138">
        <f>IF('1.DATOS-PROD'!X37="SI",VLOOKUP('1.DATOS-PROD'!X$2,'1.PUNTOS'!$A$1:$B$63,2,0),0)</f>
        <v>0</v>
      </c>
      <c r="P36" s="138">
        <f>IF('1.DATOS-PROD'!Y37="SI",VLOOKUP('1.DATOS-PROD'!Y$2,'1.PUNTOS'!$A$1:$B$63,2,0),0)</f>
        <v>0</v>
      </c>
      <c r="Q36" s="138">
        <f>IF('1.DATOS-PROD'!Z37="SI",VLOOKUP('1.DATOS-PROD'!Z$2,'1.PUNTOS'!$A$1:$B$63,2,0),0)</f>
        <v>0</v>
      </c>
      <c r="R36" s="138">
        <f>IF('1.DATOS-PROD'!AA37="SI",VLOOKUP('1.DATOS-PROD'!AA$2,'1.PUNTOS'!$A$1:$B$63,2,0),0)</f>
        <v>0</v>
      </c>
      <c r="S36" s="138">
        <f>IF('1.DATOS-PROD'!AB37="SI",VLOOKUP('1.DATOS-PROD'!AB$2,'1.PUNTOS'!$A$1:$B$63,2,0),0)</f>
        <v>0</v>
      </c>
      <c r="T36" s="138">
        <f>IF('1.DATOS-PROD'!AC37="SI",VLOOKUP('1.DATOS-PROD'!AC$2,'1.PUNTOS'!$A$1:$B$63,2,0),0)</f>
        <v>0</v>
      </c>
      <c r="U36" s="138">
        <f>IF('1.DATOS-PROD'!AD37="SI",VLOOKUP('1.DATOS-PROD'!AD$2,'1.PUNTOS'!$A$1:$B$63,2,0),0)</f>
        <v>0</v>
      </c>
      <c r="V36" s="138">
        <f>IF('1.DATOS-PROD'!AE37="SI",VLOOKUP('1.DATOS-PROD'!AE$2,'1.PUNTOS'!$A$1:$B$63,2,0),0)</f>
        <v>0</v>
      </c>
      <c r="W36" s="138">
        <f>IF('1.DATOS-PROD'!AF37="SI",VLOOKUP('1.DATOS-PROD'!AF$2,'1.PUNTOS'!$A$1:$B$63,2,0),0)</f>
        <v>0</v>
      </c>
      <c r="X36" s="138">
        <f>IF('1.DATOS-PROD'!AG37="SI",VLOOKUP('1.DATOS-PROD'!AG$2,'1.PUNTOS'!$A$1:$B$63,2,0),0)</f>
        <v>0</v>
      </c>
      <c r="Y36" s="138">
        <f>IF('1.DATOS-PROD'!AH37="SI",VLOOKUP('1.DATOS-PROD'!AH$2,'1.PUNTOS'!$A$1:$B$63,2,0),0)</f>
        <v>0</v>
      </c>
      <c r="Z36" s="138">
        <f>IF('1.DATOS-PROD'!AI37="SI",VLOOKUP('1.DATOS-PROD'!AI$2,'1.PUNTOS'!$A$1:$B$63,2,0),0)</f>
        <v>0</v>
      </c>
      <c r="AA36" s="138">
        <f>IF('1.DATOS-PROD'!AJ37="SI",VLOOKUP('1.DATOS-PROD'!AJ$2,'1.PUNTOS'!$A$1:$B$63,2,0),0)</f>
        <v>0</v>
      </c>
      <c r="AB36" s="138">
        <f>IF('1.DATOS-PROD'!AK37="SI",VLOOKUP('1.DATOS-PROD'!AK$2,'1.PUNTOS'!$A$1:$B$63,2,0),0)</f>
        <v>0</v>
      </c>
      <c r="AC36" s="138">
        <f>IF('1.DATOS-PROD'!AL37="SI",VLOOKUP('1.DATOS-PROD'!AL$2,'1.PUNTOS'!$A$1:$B$63,2,0),0)</f>
        <v>0</v>
      </c>
      <c r="AD36" s="138">
        <f>IF('1.DATOS-PROD'!AM37="SI",VLOOKUP('1.DATOS-PROD'!AM$2,'1.PUNTOS'!$A$1:$B$63,2,0),0)</f>
        <v>0</v>
      </c>
      <c r="AE36" s="138">
        <f>IF('1.DATOS-PROD'!AN37="SI",VLOOKUP('1.DATOS-PROD'!AN$2,'1.PUNTOS'!$A$1:$B$63,2,0),0)</f>
        <v>0</v>
      </c>
      <c r="AF36" s="138">
        <f>IF('1.DATOS-PROD'!AO37="SI",VLOOKUP('1.DATOS-PROD'!AO$2,'1.PUNTOS'!$A$1:$B$63,2,0),0)</f>
        <v>0</v>
      </c>
      <c r="AG36" s="138">
        <f>IF('1.DATOS-PROD'!AP37="SI",VLOOKUP('1.DATOS-PROD'!AP$2,'1.PUNTOS'!$A$1:$B$63,2,0),0)</f>
        <v>0</v>
      </c>
      <c r="AH36" s="138">
        <f>IF('1.DATOS-PROD'!AQ37="SI",VLOOKUP('1.DATOS-PROD'!AQ$2,'1.PUNTOS'!$A$1:$B$63,2,0),0)</f>
        <v>0</v>
      </c>
      <c r="AI36" s="138">
        <f>IF('1.DATOS-PROD'!AR37="SI",VLOOKUP('1.DATOS-PROD'!AR$2,'1.PUNTOS'!$A$1:$B$63,2,0),0)</f>
        <v>0</v>
      </c>
      <c r="AJ36" s="138">
        <f>IF('1.DATOS-PROD'!AS37="SI",VLOOKUP('1.DATOS-PROD'!AS$2,'1.PUNTOS'!$A$1:$B$63,2,0),0)</f>
        <v>0</v>
      </c>
      <c r="AK36" s="138">
        <f>IF('1.DATOS-PROD'!AT37="SI",VLOOKUP('1.DATOS-PROD'!AT$2,'1.PUNTOS'!$A$1:$B$63,2,0),0)</f>
        <v>0</v>
      </c>
      <c r="AL36" s="138">
        <f>IF('1.DATOS-PROD'!AU37="SI",VLOOKUP('1.DATOS-PROD'!AU$2,'1.PUNTOS'!$A$1:$B$63,2,0),0)</f>
        <v>0</v>
      </c>
      <c r="AM36" s="138">
        <f>IF('1.DATOS-PROD'!AV37="SI",VLOOKUP('1.DATOS-PROD'!AV$2,'1.PUNTOS'!$A$1:$B$63,2,0),0)</f>
        <v>0</v>
      </c>
      <c r="AN36" s="138">
        <f>IF('1.DATOS-PROD'!AW37="SI",VLOOKUP('1.DATOS-PROD'!AW$2,'1.PUNTOS'!$A$1:$B$63,2,0),0)</f>
        <v>0</v>
      </c>
      <c r="AO36" s="138">
        <f>IF('1.DATOS-PROD'!AX37="SI",VLOOKUP('1.DATOS-PROD'!AX$2,'1.PUNTOS'!$A$1:$B$63,2,0),0)</f>
        <v>0</v>
      </c>
      <c r="AP36" s="138">
        <f>IF('1.DATOS-PROD'!AY37="SI",VLOOKUP('1.DATOS-PROD'!AY$2,'1.PUNTOS'!$A$1:$B$63,2,0),0)</f>
        <v>0</v>
      </c>
      <c r="AQ36" s="138">
        <f>IF('1.DATOS-PROD'!AZ37="SI",VLOOKUP('1.DATOS-PROD'!AZ$2,'1.PUNTOS'!$A$1:$B$63,2,0),0)</f>
        <v>0</v>
      </c>
      <c r="AR36" s="138">
        <f>IF('1.DATOS-PROD'!BA37="SI",VLOOKUP('1.DATOS-PROD'!BA$2,'1.PUNTOS'!$A$1:$B$63,2,0),0)</f>
        <v>0</v>
      </c>
      <c r="AS36" s="138">
        <f>IF('1.DATOS-PROD'!BB37="SI",VLOOKUP('1.DATOS-PROD'!BB$2,'1.PUNTOS'!$A$1:$B$63,2,0),0)</f>
        <v>0</v>
      </c>
      <c r="AT36" s="138">
        <f>IF('1.DATOS-PROD'!BC37="SI",VLOOKUP('1.DATOS-PROD'!BC$2,'1.PUNTOS'!$A$1:$B$63,2,0),0)</f>
        <v>0</v>
      </c>
      <c r="AU36" s="138">
        <f>IF('1.DATOS-PROD'!BD37="SI",VLOOKUP('1.DATOS-PROD'!BD$2,'1.PUNTOS'!$A$1:$B$63,2,0),0)</f>
        <v>0</v>
      </c>
      <c r="AV36" s="138">
        <f>IF('1.DATOS-PROD'!BE37="SI",VLOOKUP('1.DATOS-PROD'!BE$2,'1.PUNTOS'!$A$1:$B$63,2,0),0)</f>
        <v>0</v>
      </c>
      <c r="AW36" s="138">
        <f>IF('1.DATOS-PROD'!BF37="SI",VLOOKUP('1.DATOS-PROD'!BF$2,'1.PUNTOS'!$A$1:$B$63,2,0),0)</f>
        <v>0</v>
      </c>
      <c r="AX36" s="138">
        <f>IF('1.DATOS-PROD'!BG37="SI",VLOOKUP('1.DATOS-PROD'!BG$2,'1.PUNTOS'!$A$1:$B$63,2,0),0)</f>
        <v>0</v>
      </c>
      <c r="AY36" s="138">
        <f>IF('1.DATOS-PROD'!BH37="SI",VLOOKUP('1.DATOS-PROD'!BH$2,'1.PUNTOS'!$A$1:$B$63,2,0),0)</f>
        <v>0</v>
      </c>
      <c r="AZ36" s="138">
        <f>IF('1.DATOS-PROD'!BI37="SI",VLOOKUP('1.DATOS-PROD'!BI$2,'1.PUNTOS'!$A$1:$B$63,2,0),0)</f>
        <v>0</v>
      </c>
      <c r="BA36" s="138">
        <f>IF('1.DATOS-PROD'!BJ37="SI",VLOOKUP('1.DATOS-PROD'!BJ$2,'1.PUNTOS'!$A$1:$B$63,2,0),0)</f>
        <v>0</v>
      </c>
      <c r="BB36" s="138">
        <f>IF('1.DATOS-PROD'!BK37="SI",VLOOKUP('1.DATOS-PROD'!BK$2,'1.PUNTOS'!$A$1:$B$63,2,0),0)</f>
        <v>0</v>
      </c>
      <c r="BC36" s="138">
        <f>IF('1.DATOS-PROD'!BL37="SI",VLOOKUP('1.DATOS-PROD'!BL$2,'1.PUNTOS'!$A$1:$B$63,2,0),0)</f>
        <v>0</v>
      </c>
      <c r="BD36" s="138">
        <f>IF('1.DATOS-PROD'!BM37="SI",VLOOKUP('1.DATOS-PROD'!BM$2,'1.PUNTOS'!$A$1:$B$63,2,0),0)</f>
        <v>0</v>
      </c>
      <c r="BE36" s="138">
        <f>IF('1.DATOS-PROD'!BN37="SI",VLOOKUP('1.DATOS-PROD'!BN$2,'1.PUNTOS'!$A$1:$B$63,2,0),0)</f>
        <v>0</v>
      </c>
      <c r="BF36" s="138">
        <f>IF('1.DATOS-PROD'!BO37="SI",VLOOKUP('1.DATOS-PROD'!BO$2,'1.PUNTOS'!$A$1:$B$63,2,0),0)</f>
        <v>0</v>
      </c>
      <c r="BG36" s="138">
        <f>IF('1.DATOS-PROD'!BP37="SI",VLOOKUP('1.DATOS-PROD'!BP$2,'1.PUNTOS'!$A$1:$B$63,2,0),0)</f>
        <v>0</v>
      </c>
      <c r="BH36" s="138">
        <f>IF('1.DATOS-PROD'!BQ37="SI",VLOOKUP('1.DATOS-PROD'!BQ$2,'1.PUNTOS'!$A$1:$B$63,2,0),0)</f>
        <v>0</v>
      </c>
      <c r="BI36" s="138">
        <f>IF('1.DATOS-PROD'!BR37="SI",VLOOKUP('1.DATOS-PROD'!BR$2,'1.PUNTOS'!$A$1:$B$63,2,0),0)</f>
        <v>0</v>
      </c>
      <c r="BJ36" s="138">
        <f>IF('1.DATOS-PROD'!BS37="SI",VLOOKUP('1.DATOS-PROD'!BS$2,'1.PUNTOS'!$A$1:$B$63,2,0),0)</f>
        <v>0</v>
      </c>
      <c r="BK36" s="138">
        <f>IF('1.DATOS-PROD'!BT37="SI",VLOOKUP('1.DATOS-PROD'!BT$2,'1.PUNTOS'!$A$1:$B$63,2,0),0)</f>
        <v>0</v>
      </c>
    </row>
    <row r="37" spans="1:63" x14ac:dyDescent="0.25">
      <c r="A37">
        <f>'0.Consolidado general'!$A38</f>
        <v>0</v>
      </c>
      <c r="B37" s="138">
        <f>IF('1.DATOS-PROD'!K38="SI",VLOOKUP('1.DATOS-PROD'!K$2,'1.PUNTOS'!$A$1:$B$63,2,0),0)</f>
        <v>0</v>
      </c>
      <c r="C37" s="138">
        <f>IF('1.DATOS-PROD'!L38="SI",VLOOKUP('1.DATOS-PROD'!L$2,'1.PUNTOS'!$A$1:$B$63,2,0),0)</f>
        <v>0</v>
      </c>
      <c r="D37" s="138">
        <f>IF('1.DATOS-PROD'!M38="SI",VLOOKUP('1.DATOS-PROD'!M$2,'1.PUNTOS'!$A$1:$B$63,2,0),0)</f>
        <v>0</v>
      </c>
      <c r="E37" s="138">
        <f>IF('1.DATOS-PROD'!N38="SI",VLOOKUP('1.DATOS-PROD'!N$2,'1.PUNTOS'!$A$1:$B$63,2,0),0)</f>
        <v>0</v>
      </c>
      <c r="F37" s="138">
        <f>IF('1.DATOS-PROD'!O38="SI",VLOOKUP('1.DATOS-PROD'!O$2,'1.PUNTOS'!$A$1:$B$63,2,0),0)</f>
        <v>0</v>
      </c>
      <c r="G37" s="138">
        <f>IF('1.DATOS-PROD'!P38="SI",VLOOKUP('1.DATOS-PROD'!P$2,'1.PUNTOS'!$A$1:$B$63,2,0),0)</f>
        <v>0</v>
      </c>
      <c r="H37" s="138">
        <f>IF('1.DATOS-PROD'!Q38="SI",VLOOKUP('1.DATOS-PROD'!Q$2,'1.PUNTOS'!$A$1:$B$63,2,0),0)</f>
        <v>0</v>
      </c>
      <c r="I37" s="138">
        <f>IF('1.DATOS-PROD'!R38="SI",VLOOKUP('1.DATOS-PROD'!R$2,'1.PUNTOS'!$A$1:$B$63,2,0),0)</f>
        <v>0</v>
      </c>
      <c r="J37" s="138">
        <f>IF('1.DATOS-PROD'!S38="SI",VLOOKUP('1.DATOS-PROD'!S$2,'1.PUNTOS'!$A$1:$B$63,2,0),0)</f>
        <v>0</v>
      </c>
      <c r="K37" s="138">
        <f>IF('1.DATOS-PROD'!T38="SI",VLOOKUP('1.DATOS-PROD'!T$2,'1.PUNTOS'!$A$1:$B$63,2,0),0)</f>
        <v>0</v>
      </c>
      <c r="L37" s="138">
        <f>IF('1.DATOS-PROD'!U38="SI",VLOOKUP('1.DATOS-PROD'!U$2,'1.PUNTOS'!$A$1:$B$63,2,0),0)</f>
        <v>0</v>
      </c>
      <c r="M37" s="138">
        <f>IF('1.DATOS-PROD'!V38="SI",VLOOKUP('1.DATOS-PROD'!V$2,'1.PUNTOS'!$A$1:$B$63,2,0),0)</f>
        <v>0</v>
      </c>
      <c r="N37" s="138">
        <f>IF('1.DATOS-PROD'!W38="SI",VLOOKUP('1.DATOS-PROD'!W$2,'1.PUNTOS'!$A$1:$B$63,2,0),0)</f>
        <v>0</v>
      </c>
      <c r="O37" s="138">
        <f>IF('1.DATOS-PROD'!X38="SI",VLOOKUP('1.DATOS-PROD'!X$2,'1.PUNTOS'!$A$1:$B$63,2,0),0)</f>
        <v>0</v>
      </c>
      <c r="P37" s="138">
        <f>IF('1.DATOS-PROD'!Y38="SI",VLOOKUP('1.DATOS-PROD'!Y$2,'1.PUNTOS'!$A$1:$B$63,2,0),0)</f>
        <v>0</v>
      </c>
      <c r="Q37" s="138">
        <f>IF('1.DATOS-PROD'!Z38="SI",VLOOKUP('1.DATOS-PROD'!Z$2,'1.PUNTOS'!$A$1:$B$63,2,0),0)</f>
        <v>0</v>
      </c>
      <c r="R37" s="138">
        <f>IF('1.DATOS-PROD'!AA38="SI",VLOOKUP('1.DATOS-PROD'!AA$2,'1.PUNTOS'!$A$1:$B$63,2,0),0)</f>
        <v>0</v>
      </c>
      <c r="S37" s="138">
        <f>IF('1.DATOS-PROD'!AB38="SI",VLOOKUP('1.DATOS-PROD'!AB$2,'1.PUNTOS'!$A$1:$B$63,2,0),0)</f>
        <v>0</v>
      </c>
      <c r="T37" s="138">
        <f>IF('1.DATOS-PROD'!AC38="SI",VLOOKUP('1.DATOS-PROD'!AC$2,'1.PUNTOS'!$A$1:$B$63,2,0),0)</f>
        <v>0</v>
      </c>
      <c r="U37" s="138">
        <f>IF('1.DATOS-PROD'!AD38="SI",VLOOKUP('1.DATOS-PROD'!AD$2,'1.PUNTOS'!$A$1:$B$63,2,0),0)</f>
        <v>0</v>
      </c>
      <c r="V37" s="138">
        <f>IF('1.DATOS-PROD'!AE38="SI",VLOOKUP('1.DATOS-PROD'!AE$2,'1.PUNTOS'!$A$1:$B$63,2,0),0)</f>
        <v>0</v>
      </c>
      <c r="W37" s="138">
        <f>IF('1.DATOS-PROD'!AF38="SI",VLOOKUP('1.DATOS-PROD'!AF$2,'1.PUNTOS'!$A$1:$B$63,2,0),0)</f>
        <v>0</v>
      </c>
      <c r="X37" s="138">
        <f>IF('1.DATOS-PROD'!AG38="SI",VLOOKUP('1.DATOS-PROD'!AG$2,'1.PUNTOS'!$A$1:$B$63,2,0),0)</f>
        <v>0</v>
      </c>
      <c r="Y37" s="138">
        <f>IF('1.DATOS-PROD'!AH38="SI",VLOOKUP('1.DATOS-PROD'!AH$2,'1.PUNTOS'!$A$1:$B$63,2,0),0)</f>
        <v>0</v>
      </c>
      <c r="Z37" s="138">
        <f>IF('1.DATOS-PROD'!AI38="SI",VLOOKUP('1.DATOS-PROD'!AI$2,'1.PUNTOS'!$A$1:$B$63,2,0),0)</f>
        <v>0</v>
      </c>
      <c r="AA37" s="138">
        <f>IF('1.DATOS-PROD'!AJ38="SI",VLOOKUP('1.DATOS-PROD'!AJ$2,'1.PUNTOS'!$A$1:$B$63,2,0),0)</f>
        <v>0</v>
      </c>
      <c r="AB37" s="138">
        <f>IF('1.DATOS-PROD'!AK38="SI",VLOOKUP('1.DATOS-PROD'!AK$2,'1.PUNTOS'!$A$1:$B$63,2,0),0)</f>
        <v>0</v>
      </c>
      <c r="AC37" s="138">
        <f>IF('1.DATOS-PROD'!AL38="SI",VLOOKUP('1.DATOS-PROD'!AL$2,'1.PUNTOS'!$A$1:$B$63,2,0),0)</f>
        <v>0</v>
      </c>
      <c r="AD37" s="138">
        <f>IF('1.DATOS-PROD'!AM38="SI",VLOOKUP('1.DATOS-PROD'!AM$2,'1.PUNTOS'!$A$1:$B$63,2,0),0)</f>
        <v>0</v>
      </c>
      <c r="AE37" s="138">
        <f>IF('1.DATOS-PROD'!AN38="SI",VLOOKUP('1.DATOS-PROD'!AN$2,'1.PUNTOS'!$A$1:$B$63,2,0),0)</f>
        <v>0</v>
      </c>
      <c r="AF37" s="138">
        <f>IF('1.DATOS-PROD'!AO38="SI",VLOOKUP('1.DATOS-PROD'!AO$2,'1.PUNTOS'!$A$1:$B$63,2,0),0)</f>
        <v>0</v>
      </c>
      <c r="AG37" s="138">
        <f>IF('1.DATOS-PROD'!AP38="SI",VLOOKUP('1.DATOS-PROD'!AP$2,'1.PUNTOS'!$A$1:$B$63,2,0),0)</f>
        <v>0</v>
      </c>
      <c r="AH37" s="138">
        <f>IF('1.DATOS-PROD'!AQ38="SI",VLOOKUP('1.DATOS-PROD'!AQ$2,'1.PUNTOS'!$A$1:$B$63,2,0),0)</f>
        <v>0</v>
      </c>
      <c r="AI37" s="138">
        <f>IF('1.DATOS-PROD'!AR38="SI",VLOOKUP('1.DATOS-PROD'!AR$2,'1.PUNTOS'!$A$1:$B$63,2,0),0)</f>
        <v>0</v>
      </c>
      <c r="AJ37" s="138">
        <f>IF('1.DATOS-PROD'!AS38="SI",VLOOKUP('1.DATOS-PROD'!AS$2,'1.PUNTOS'!$A$1:$B$63,2,0),0)</f>
        <v>0</v>
      </c>
      <c r="AK37" s="138">
        <f>IF('1.DATOS-PROD'!AT38="SI",VLOOKUP('1.DATOS-PROD'!AT$2,'1.PUNTOS'!$A$1:$B$63,2,0),0)</f>
        <v>0</v>
      </c>
      <c r="AL37" s="138">
        <f>IF('1.DATOS-PROD'!AU38="SI",VLOOKUP('1.DATOS-PROD'!AU$2,'1.PUNTOS'!$A$1:$B$63,2,0),0)</f>
        <v>0</v>
      </c>
      <c r="AM37" s="138">
        <f>IF('1.DATOS-PROD'!AV38="SI",VLOOKUP('1.DATOS-PROD'!AV$2,'1.PUNTOS'!$A$1:$B$63,2,0),0)</f>
        <v>0</v>
      </c>
      <c r="AN37" s="138">
        <f>IF('1.DATOS-PROD'!AW38="SI",VLOOKUP('1.DATOS-PROD'!AW$2,'1.PUNTOS'!$A$1:$B$63,2,0),0)</f>
        <v>0</v>
      </c>
      <c r="AO37" s="138">
        <f>IF('1.DATOS-PROD'!AX38="SI",VLOOKUP('1.DATOS-PROD'!AX$2,'1.PUNTOS'!$A$1:$B$63,2,0),0)</f>
        <v>0</v>
      </c>
      <c r="AP37" s="138">
        <f>IF('1.DATOS-PROD'!AY38="SI",VLOOKUP('1.DATOS-PROD'!AY$2,'1.PUNTOS'!$A$1:$B$63,2,0),0)</f>
        <v>0</v>
      </c>
      <c r="AQ37" s="138">
        <f>IF('1.DATOS-PROD'!AZ38="SI",VLOOKUP('1.DATOS-PROD'!AZ$2,'1.PUNTOS'!$A$1:$B$63,2,0),0)</f>
        <v>0</v>
      </c>
      <c r="AR37" s="138">
        <f>IF('1.DATOS-PROD'!BA38="SI",VLOOKUP('1.DATOS-PROD'!BA$2,'1.PUNTOS'!$A$1:$B$63,2,0),0)</f>
        <v>0</v>
      </c>
      <c r="AS37" s="138">
        <f>IF('1.DATOS-PROD'!BB38="SI",VLOOKUP('1.DATOS-PROD'!BB$2,'1.PUNTOS'!$A$1:$B$63,2,0),0)</f>
        <v>0</v>
      </c>
      <c r="AT37" s="138">
        <f>IF('1.DATOS-PROD'!BC38="SI",VLOOKUP('1.DATOS-PROD'!BC$2,'1.PUNTOS'!$A$1:$B$63,2,0),0)</f>
        <v>0</v>
      </c>
      <c r="AU37" s="138">
        <f>IF('1.DATOS-PROD'!BD38="SI",VLOOKUP('1.DATOS-PROD'!BD$2,'1.PUNTOS'!$A$1:$B$63,2,0),0)</f>
        <v>0</v>
      </c>
      <c r="AV37" s="138">
        <f>IF('1.DATOS-PROD'!BE38="SI",VLOOKUP('1.DATOS-PROD'!BE$2,'1.PUNTOS'!$A$1:$B$63,2,0),0)</f>
        <v>0</v>
      </c>
      <c r="AW37" s="138">
        <f>IF('1.DATOS-PROD'!BF38="SI",VLOOKUP('1.DATOS-PROD'!BF$2,'1.PUNTOS'!$A$1:$B$63,2,0),0)</f>
        <v>0</v>
      </c>
      <c r="AX37" s="138">
        <f>IF('1.DATOS-PROD'!BG38="SI",VLOOKUP('1.DATOS-PROD'!BG$2,'1.PUNTOS'!$A$1:$B$63,2,0),0)</f>
        <v>0</v>
      </c>
      <c r="AY37" s="138">
        <f>IF('1.DATOS-PROD'!BH38="SI",VLOOKUP('1.DATOS-PROD'!BH$2,'1.PUNTOS'!$A$1:$B$63,2,0),0)</f>
        <v>0</v>
      </c>
      <c r="AZ37" s="138">
        <f>IF('1.DATOS-PROD'!BI38="SI",VLOOKUP('1.DATOS-PROD'!BI$2,'1.PUNTOS'!$A$1:$B$63,2,0),0)</f>
        <v>0</v>
      </c>
      <c r="BA37" s="138">
        <f>IF('1.DATOS-PROD'!BJ38="SI",VLOOKUP('1.DATOS-PROD'!BJ$2,'1.PUNTOS'!$A$1:$B$63,2,0),0)</f>
        <v>0</v>
      </c>
      <c r="BB37" s="138">
        <f>IF('1.DATOS-PROD'!BK38="SI",VLOOKUP('1.DATOS-PROD'!BK$2,'1.PUNTOS'!$A$1:$B$63,2,0),0)</f>
        <v>0</v>
      </c>
      <c r="BC37" s="138">
        <f>IF('1.DATOS-PROD'!BL38="SI",VLOOKUP('1.DATOS-PROD'!BL$2,'1.PUNTOS'!$A$1:$B$63,2,0),0)</f>
        <v>0</v>
      </c>
      <c r="BD37" s="138">
        <f>IF('1.DATOS-PROD'!BM38="SI",VLOOKUP('1.DATOS-PROD'!BM$2,'1.PUNTOS'!$A$1:$B$63,2,0),0)</f>
        <v>0</v>
      </c>
      <c r="BE37" s="138">
        <f>IF('1.DATOS-PROD'!BN38="SI",VLOOKUP('1.DATOS-PROD'!BN$2,'1.PUNTOS'!$A$1:$B$63,2,0),0)</f>
        <v>0</v>
      </c>
      <c r="BF37" s="138">
        <f>IF('1.DATOS-PROD'!BO38="SI",VLOOKUP('1.DATOS-PROD'!BO$2,'1.PUNTOS'!$A$1:$B$63,2,0),0)</f>
        <v>0</v>
      </c>
      <c r="BG37" s="138">
        <f>IF('1.DATOS-PROD'!BP38="SI",VLOOKUP('1.DATOS-PROD'!BP$2,'1.PUNTOS'!$A$1:$B$63,2,0),0)</f>
        <v>0</v>
      </c>
      <c r="BH37" s="138">
        <f>IF('1.DATOS-PROD'!BQ38="SI",VLOOKUP('1.DATOS-PROD'!BQ$2,'1.PUNTOS'!$A$1:$B$63,2,0),0)</f>
        <v>0</v>
      </c>
      <c r="BI37" s="138">
        <f>IF('1.DATOS-PROD'!BR38="SI",VLOOKUP('1.DATOS-PROD'!BR$2,'1.PUNTOS'!$A$1:$B$63,2,0),0)</f>
        <v>0</v>
      </c>
      <c r="BJ37" s="138">
        <f>IF('1.DATOS-PROD'!BS38="SI",VLOOKUP('1.DATOS-PROD'!BS$2,'1.PUNTOS'!$A$1:$B$63,2,0),0)</f>
        <v>0</v>
      </c>
      <c r="BK37" s="138">
        <f>IF('1.DATOS-PROD'!BT38="SI",VLOOKUP('1.DATOS-PROD'!BT$2,'1.PUNTOS'!$A$1:$B$63,2,0),0)</f>
        <v>0</v>
      </c>
    </row>
    <row r="38" spans="1:63" x14ac:dyDescent="0.25">
      <c r="A38">
        <f>'0.Consolidado general'!$A39</f>
        <v>0</v>
      </c>
      <c r="B38" s="138">
        <f>IF('1.DATOS-PROD'!K39="SI",VLOOKUP('1.DATOS-PROD'!K$2,'1.PUNTOS'!$A$1:$B$63,2,0),0)</f>
        <v>0</v>
      </c>
      <c r="C38" s="138">
        <f>IF('1.DATOS-PROD'!L39="SI",VLOOKUP('1.DATOS-PROD'!L$2,'1.PUNTOS'!$A$1:$B$63,2,0),0)</f>
        <v>0</v>
      </c>
      <c r="D38" s="138">
        <f>IF('1.DATOS-PROD'!M39="SI",VLOOKUP('1.DATOS-PROD'!M$2,'1.PUNTOS'!$A$1:$B$63,2,0),0)</f>
        <v>0</v>
      </c>
      <c r="E38" s="138">
        <f>IF('1.DATOS-PROD'!N39="SI",VLOOKUP('1.DATOS-PROD'!N$2,'1.PUNTOS'!$A$1:$B$63,2,0),0)</f>
        <v>0</v>
      </c>
      <c r="F38" s="138">
        <f>IF('1.DATOS-PROD'!O39="SI",VLOOKUP('1.DATOS-PROD'!O$2,'1.PUNTOS'!$A$1:$B$63,2,0),0)</f>
        <v>0</v>
      </c>
      <c r="G38" s="138">
        <f>IF('1.DATOS-PROD'!P39="SI",VLOOKUP('1.DATOS-PROD'!P$2,'1.PUNTOS'!$A$1:$B$63,2,0),0)</f>
        <v>0</v>
      </c>
      <c r="H38" s="138">
        <f>IF('1.DATOS-PROD'!Q39="SI",VLOOKUP('1.DATOS-PROD'!Q$2,'1.PUNTOS'!$A$1:$B$63,2,0),0)</f>
        <v>0</v>
      </c>
      <c r="I38" s="138">
        <f>IF('1.DATOS-PROD'!R39="SI",VLOOKUP('1.DATOS-PROD'!R$2,'1.PUNTOS'!$A$1:$B$63,2,0),0)</f>
        <v>0</v>
      </c>
      <c r="J38" s="138">
        <f>IF('1.DATOS-PROD'!S39="SI",VLOOKUP('1.DATOS-PROD'!S$2,'1.PUNTOS'!$A$1:$B$63,2,0),0)</f>
        <v>0</v>
      </c>
      <c r="K38" s="138">
        <f>IF('1.DATOS-PROD'!T39="SI",VLOOKUP('1.DATOS-PROD'!T$2,'1.PUNTOS'!$A$1:$B$63,2,0),0)</f>
        <v>0</v>
      </c>
      <c r="L38" s="138">
        <f>IF('1.DATOS-PROD'!U39="SI",VLOOKUP('1.DATOS-PROD'!U$2,'1.PUNTOS'!$A$1:$B$63,2,0),0)</f>
        <v>0</v>
      </c>
      <c r="M38" s="138">
        <f>IF('1.DATOS-PROD'!V39="SI",VLOOKUP('1.DATOS-PROD'!V$2,'1.PUNTOS'!$A$1:$B$63,2,0),0)</f>
        <v>0</v>
      </c>
      <c r="N38" s="138">
        <f>IF('1.DATOS-PROD'!W39="SI",VLOOKUP('1.DATOS-PROD'!W$2,'1.PUNTOS'!$A$1:$B$63,2,0),0)</f>
        <v>0</v>
      </c>
      <c r="O38" s="138">
        <f>IF('1.DATOS-PROD'!X39="SI",VLOOKUP('1.DATOS-PROD'!X$2,'1.PUNTOS'!$A$1:$B$63,2,0),0)</f>
        <v>0</v>
      </c>
      <c r="P38" s="138">
        <f>IF('1.DATOS-PROD'!Y39="SI",VLOOKUP('1.DATOS-PROD'!Y$2,'1.PUNTOS'!$A$1:$B$63,2,0),0)</f>
        <v>0</v>
      </c>
      <c r="Q38" s="138">
        <f>IF('1.DATOS-PROD'!Z39="SI",VLOOKUP('1.DATOS-PROD'!Z$2,'1.PUNTOS'!$A$1:$B$63,2,0),0)</f>
        <v>0</v>
      </c>
      <c r="R38" s="138">
        <f>IF('1.DATOS-PROD'!AA39="SI",VLOOKUP('1.DATOS-PROD'!AA$2,'1.PUNTOS'!$A$1:$B$63,2,0),0)</f>
        <v>0</v>
      </c>
      <c r="S38" s="138">
        <f>IF('1.DATOS-PROD'!AB39="SI",VLOOKUP('1.DATOS-PROD'!AB$2,'1.PUNTOS'!$A$1:$B$63,2,0),0)</f>
        <v>0</v>
      </c>
      <c r="T38" s="138">
        <f>IF('1.DATOS-PROD'!AC39="SI",VLOOKUP('1.DATOS-PROD'!AC$2,'1.PUNTOS'!$A$1:$B$63,2,0),0)</f>
        <v>0</v>
      </c>
      <c r="U38" s="138">
        <f>IF('1.DATOS-PROD'!AD39="SI",VLOOKUP('1.DATOS-PROD'!AD$2,'1.PUNTOS'!$A$1:$B$63,2,0),0)</f>
        <v>0</v>
      </c>
      <c r="V38" s="138">
        <f>IF('1.DATOS-PROD'!AE39="SI",VLOOKUP('1.DATOS-PROD'!AE$2,'1.PUNTOS'!$A$1:$B$63,2,0),0)</f>
        <v>0</v>
      </c>
      <c r="W38" s="138">
        <f>IF('1.DATOS-PROD'!AF39="SI",VLOOKUP('1.DATOS-PROD'!AF$2,'1.PUNTOS'!$A$1:$B$63,2,0),0)</f>
        <v>0</v>
      </c>
      <c r="X38" s="138">
        <f>IF('1.DATOS-PROD'!AG39="SI",VLOOKUP('1.DATOS-PROD'!AG$2,'1.PUNTOS'!$A$1:$B$63,2,0),0)</f>
        <v>0</v>
      </c>
      <c r="Y38" s="138">
        <f>IF('1.DATOS-PROD'!AH39="SI",VLOOKUP('1.DATOS-PROD'!AH$2,'1.PUNTOS'!$A$1:$B$63,2,0),0)</f>
        <v>0</v>
      </c>
      <c r="Z38" s="138">
        <f>IF('1.DATOS-PROD'!AI39="SI",VLOOKUP('1.DATOS-PROD'!AI$2,'1.PUNTOS'!$A$1:$B$63,2,0),0)</f>
        <v>0</v>
      </c>
      <c r="AA38" s="138">
        <f>IF('1.DATOS-PROD'!AJ39="SI",VLOOKUP('1.DATOS-PROD'!AJ$2,'1.PUNTOS'!$A$1:$B$63,2,0),0)</f>
        <v>0</v>
      </c>
      <c r="AB38" s="138">
        <f>IF('1.DATOS-PROD'!AK39="SI",VLOOKUP('1.DATOS-PROD'!AK$2,'1.PUNTOS'!$A$1:$B$63,2,0),0)</f>
        <v>0</v>
      </c>
      <c r="AC38" s="138">
        <f>IF('1.DATOS-PROD'!AL39="SI",VLOOKUP('1.DATOS-PROD'!AL$2,'1.PUNTOS'!$A$1:$B$63,2,0),0)</f>
        <v>0</v>
      </c>
      <c r="AD38" s="138">
        <f>IF('1.DATOS-PROD'!AM39="SI",VLOOKUP('1.DATOS-PROD'!AM$2,'1.PUNTOS'!$A$1:$B$63,2,0),0)</f>
        <v>0</v>
      </c>
      <c r="AE38" s="138">
        <f>IF('1.DATOS-PROD'!AN39="SI",VLOOKUP('1.DATOS-PROD'!AN$2,'1.PUNTOS'!$A$1:$B$63,2,0),0)</f>
        <v>0</v>
      </c>
      <c r="AF38" s="138">
        <f>IF('1.DATOS-PROD'!AO39="SI",VLOOKUP('1.DATOS-PROD'!AO$2,'1.PUNTOS'!$A$1:$B$63,2,0),0)</f>
        <v>0</v>
      </c>
      <c r="AG38" s="138">
        <f>IF('1.DATOS-PROD'!AP39="SI",VLOOKUP('1.DATOS-PROD'!AP$2,'1.PUNTOS'!$A$1:$B$63,2,0),0)</f>
        <v>0</v>
      </c>
      <c r="AH38" s="138">
        <f>IF('1.DATOS-PROD'!AQ39="SI",VLOOKUP('1.DATOS-PROD'!AQ$2,'1.PUNTOS'!$A$1:$B$63,2,0),0)</f>
        <v>0</v>
      </c>
      <c r="AI38" s="138">
        <f>IF('1.DATOS-PROD'!AR39="SI",VLOOKUP('1.DATOS-PROD'!AR$2,'1.PUNTOS'!$A$1:$B$63,2,0),0)</f>
        <v>0</v>
      </c>
      <c r="AJ38" s="138">
        <f>IF('1.DATOS-PROD'!AS39="SI",VLOOKUP('1.DATOS-PROD'!AS$2,'1.PUNTOS'!$A$1:$B$63,2,0),0)</f>
        <v>0</v>
      </c>
      <c r="AK38" s="138">
        <f>IF('1.DATOS-PROD'!AT39="SI",VLOOKUP('1.DATOS-PROD'!AT$2,'1.PUNTOS'!$A$1:$B$63,2,0),0)</f>
        <v>0</v>
      </c>
      <c r="AL38" s="138">
        <f>IF('1.DATOS-PROD'!AU39="SI",VLOOKUP('1.DATOS-PROD'!AU$2,'1.PUNTOS'!$A$1:$B$63,2,0),0)</f>
        <v>0</v>
      </c>
      <c r="AM38" s="138">
        <f>IF('1.DATOS-PROD'!AV39="SI",VLOOKUP('1.DATOS-PROD'!AV$2,'1.PUNTOS'!$A$1:$B$63,2,0),0)</f>
        <v>0</v>
      </c>
      <c r="AN38" s="138">
        <f>IF('1.DATOS-PROD'!AW39="SI",VLOOKUP('1.DATOS-PROD'!AW$2,'1.PUNTOS'!$A$1:$B$63,2,0),0)</f>
        <v>0</v>
      </c>
      <c r="AO38" s="138">
        <f>IF('1.DATOS-PROD'!AX39="SI",VLOOKUP('1.DATOS-PROD'!AX$2,'1.PUNTOS'!$A$1:$B$63,2,0),0)</f>
        <v>0</v>
      </c>
      <c r="AP38" s="138">
        <f>IF('1.DATOS-PROD'!AY39="SI",VLOOKUP('1.DATOS-PROD'!AY$2,'1.PUNTOS'!$A$1:$B$63,2,0),0)</f>
        <v>0</v>
      </c>
      <c r="AQ38" s="138">
        <f>IF('1.DATOS-PROD'!AZ39="SI",VLOOKUP('1.DATOS-PROD'!AZ$2,'1.PUNTOS'!$A$1:$B$63,2,0),0)</f>
        <v>0</v>
      </c>
      <c r="AR38" s="138">
        <f>IF('1.DATOS-PROD'!BA39="SI",VLOOKUP('1.DATOS-PROD'!BA$2,'1.PUNTOS'!$A$1:$B$63,2,0),0)</f>
        <v>0</v>
      </c>
      <c r="AS38" s="138">
        <f>IF('1.DATOS-PROD'!BB39="SI",VLOOKUP('1.DATOS-PROD'!BB$2,'1.PUNTOS'!$A$1:$B$63,2,0),0)</f>
        <v>0</v>
      </c>
      <c r="AT38" s="138">
        <f>IF('1.DATOS-PROD'!BC39="SI",VLOOKUP('1.DATOS-PROD'!BC$2,'1.PUNTOS'!$A$1:$B$63,2,0),0)</f>
        <v>0</v>
      </c>
      <c r="AU38" s="138">
        <f>IF('1.DATOS-PROD'!BD39="SI",VLOOKUP('1.DATOS-PROD'!BD$2,'1.PUNTOS'!$A$1:$B$63,2,0),0)</f>
        <v>0</v>
      </c>
      <c r="AV38" s="138">
        <f>IF('1.DATOS-PROD'!BE39="SI",VLOOKUP('1.DATOS-PROD'!BE$2,'1.PUNTOS'!$A$1:$B$63,2,0),0)</f>
        <v>0</v>
      </c>
      <c r="AW38" s="138">
        <f>IF('1.DATOS-PROD'!BF39="SI",VLOOKUP('1.DATOS-PROD'!BF$2,'1.PUNTOS'!$A$1:$B$63,2,0),0)</f>
        <v>0</v>
      </c>
      <c r="AX38" s="138">
        <f>IF('1.DATOS-PROD'!BG39="SI",VLOOKUP('1.DATOS-PROD'!BG$2,'1.PUNTOS'!$A$1:$B$63,2,0),0)</f>
        <v>0</v>
      </c>
      <c r="AY38" s="138">
        <f>IF('1.DATOS-PROD'!BH39="SI",VLOOKUP('1.DATOS-PROD'!BH$2,'1.PUNTOS'!$A$1:$B$63,2,0),0)</f>
        <v>0</v>
      </c>
      <c r="AZ38" s="138">
        <f>IF('1.DATOS-PROD'!BI39="SI",VLOOKUP('1.DATOS-PROD'!BI$2,'1.PUNTOS'!$A$1:$B$63,2,0),0)</f>
        <v>0</v>
      </c>
      <c r="BA38" s="138">
        <f>IF('1.DATOS-PROD'!BJ39="SI",VLOOKUP('1.DATOS-PROD'!BJ$2,'1.PUNTOS'!$A$1:$B$63,2,0),0)</f>
        <v>0</v>
      </c>
      <c r="BB38" s="138">
        <f>IF('1.DATOS-PROD'!BK39="SI",VLOOKUP('1.DATOS-PROD'!BK$2,'1.PUNTOS'!$A$1:$B$63,2,0),0)</f>
        <v>0</v>
      </c>
      <c r="BC38" s="138">
        <f>IF('1.DATOS-PROD'!BL39="SI",VLOOKUP('1.DATOS-PROD'!BL$2,'1.PUNTOS'!$A$1:$B$63,2,0),0)</f>
        <v>0</v>
      </c>
      <c r="BD38" s="138">
        <f>IF('1.DATOS-PROD'!BM39="SI",VLOOKUP('1.DATOS-PROD'!BM$2,'1.PUNTOS'!$A$1:$B$63,2,0),0)</f>
        <v>0</v>
      </c>
      <c r="BE38" s="138">
        <f>IF('1.DATOS-PROD'!BN39="SI",VLOOKUP('1.DATOS-PROD'!BN$2,'1.PUNTOS'!$A$1:$B$63,2,0),0)</f>
        <v>0</v>
      </c>
      <c r="BF38" s="138">
        <f>IF('1.DATOS-PROD'!BO39="SI",VLOOKUP('1.DATOS-PROD'!BO$2,'1.PUNTOS'!$A$1:$B$63,2,0),0)</f>
        <v>0</v>
      </c>
      <c r="BG38" s="138">
        <f>IF('1.DATOS-PROD'!BP39="SI",VLOOKUP('1.DATOS-PROD'!BP$2,'1.PUNTOS'!$A$1:$B$63,2,0),0)</f>
        <v>0</v>
      </c>
      <c r="BH38" s="138">
        <f>IF('1.DATOS-PROD'!BQ39="SI",VLOOKUP('1.DATOS-PROD'!BQ$2,'1.PUNTOS'!$A$1:$B$63,2,0),0)</f>
        <v>0</v>
      </c>
      <c r="BI38" s="138">
        <f>IF('1.DATOS-PROD'!BR39="SI",VLOOKUP('1.DATOS-PROD'!BR$2,'1.PUNTOS'!$A$1:$B$63,2,0),0)</f>
        <v>0</v>
      </c>
      <c r="BJ38" s="138">
        <f>IF('1.DATOS-PROD'!BS39="SI",VLOOKUP('1.DATOS-PROD'!BS$2,'1.PUNTOS'!$A$1:$B$63,2,0),0)</f>
        <v>0</v>
      </c>
      <c r="BK38" s="138">
        <f>IF('1.DATOS-PROD'!BT39="SI",VLOOKUP('1.DATOS-PROD'!BT$2,'1.PUNTOS'!$A$1:$B$63,2,0),0)</f>
        <v>0</v>
      </c>
    </row>
    <row r="39" spans="1:63" x14ac:dyDescent="0.25">
      <c r="A39">
        <f>'0.Consolidado general'!$A40</f>
        <v>0</v>
      </c>
      <c r="B39" s="138">
        <f>IF('1.DATOS-PROD'!K40="SI",VLOOKUP('1.DATOS-PROD'!K$2,'1.PUNTOS'!$A$1:$B$63,2,0),0)</f>
        <v>0</v>
      </c>
      <c r="C39" s="138">
        <f>IF('1.DATOS-PROD'!L40="SI",VLOOKUP('1.DATOS-PROD'!L$2,'1.PUNTOS'!$A$1:$B$63,2,0),0)</f>
        <v>0</v>
      </c>
      <c r="D39" s="138">
        <f>IF('1.DATOS-PROD'!M40="SI",VLOOKUP('1.DATOS-PROD'!M$2,'1.PUNTOS'!$A$1:$B$63,2,0),0)</f>
        <v>0</v>
      </c>
      <c r="E39" s="138">
        <f>IF('1.DATOS-PROD'!N40="SI",VLOOKUP('1.DATOS-PROD'!N$2,'1.PUNTOS'!$A$1:$B$63,2,0),0)</f>
        <v>0</v>
      </c>
      <c r="F39" s="138">
        <f>IF('1.DATOS-PROD'!O40="SI",VLOOKUP('1.DATOS-PROD'!O$2,'1.PUNTOS'!$A$1:$B$63,2,0),0)</f>
        <v>0</v>
      </c>
      <c r="G39" s="138">
        <f>IF('1.DATOS-PROD'!P40="SI",VLOOKUP('1.DATOS-PROD'!P$2,'1.PUNTOS'!$A$1:$B$63,2,0),0)</f>
        <v>0</v>
      </c>
      <c r="H39" s="138">
        <f>IF('1.DATOS-PROD'!Q40="SI",VLOOKUP('1.DATOS-PROD'!Q$2,'1.PUNTOS'!$A$1:$B$63,2,0),0)</f>
        <v>0</v>
      </c>
      <c r="I39" s="138">
        <f>IF('1.DATOS-PROD'!R40="SI",VLOOKUP('1.DATOS-PROD'!R$2,'1.PUNTOS'!$A$1:$B$63,2,0),0)</f>
        <v>0</v>
      </c>
      <c r="J39" s="138">
        <f>IF('1.DATOS-PROD'!S40="SI",VLOOKUP('1.DATOS-PROD'!S$2,'1.PUNTOS'!$A$1:$B$63,2,0),0)</f>
        <v>0</v>
      </c>
      <c r="K39" s="138">
        <f>IF('1.DATOS-PROD'!T40="SI",VLOOKUP('1.DATOS-PROD'!T$2,'1.PUNTOS'!$A$1:$B$63,2,0),0)</f>
        <v>0</v>
      </c>
      <c r="L39" s="138">
        <f>IF('1.DATOS-PROD'!U40="SI",VLOOKUP('1.DATOS-PROD'!U$2,'1.PUNTOS'!$A$1:$B$63,2,0),0)</f>
        <v>0</v>
      </c>
      <c r="M39" s="138">
        <f>IF('1.DATOS-PROD'!V40="SI",VLOOKUP('1.DATOS-PROD'!V$2,'1.PUNTOS'!$A$1:$B$63,2,0),0)</f>
        <v>0</v>
      </c>
      <c r="N39" s="138">
        <f>IF('1.DATOS-PROD'!W40="SI",VLOOKUP('1.DATOS-PROD'!W$2,'1.PUNTOS'!$A$1:$B$63,2,0),0)</f>
        <v>0</v>
      </c>
      <c r="O39" s="138">
        <f>IF('1.DATOS-PROD'!X40="SI",VLOOKUP('1.DATOS-PROD'!X$2,'1.PUNTOS'!$A$1:$B$63,2,0),0)</f>
        <v>0</v>
      </c>
      <c r="P39" s="138">
        <f>IF('1.DATOS-PROD'!Y40="SI",VLOOKUP('1.DATOS-PROD'!Y$2,'1.PUNTOS'!$A$1:$B$63,2,0),0)</f>
        <v>0</v>
      </c>
      <c r="Q39" s="138">
        <f>IF('1.DATOS-PROD'!Z40="SI",VLOOKUP('1.DATOS-PROD'!Z$2,'1.PUNTOS'!$A$1:$B$63,2,0),0)</f>
        <v>0</v>
      </c>
      <c r="R39" s="138">
        <f>IF('1.DATOS-PROD'!AA40="SI",VLOOKUP('1.DATOS-PROD'!AA$2,'1.PUNTOS'!$A$1:$B$63,2,0),0)</f>
        <v>0</v>
      </c>
      <c r="S39" s="138">
        <f>IF('1.DATOS-PROD'!AB40="SI",VLOOKUP('1.DATOS-PROD'!AB$2,'1.PUNTOS'!$A$1:$B$63,2,0),0)</f>
        <v>0</v>
      </c>
      <c r="T39" s="138">
        <f>IF('1.DATOS-PROD'!AC40="SI",VLOOKUP('1.DATOS-PROD'!AC$2,'1.PUNTOS'!$A$1:$B$63,2,0),0)</f>
        <v>0</v>
      </c>
      <c r="U39" s="138">
        <f>IF('1.DATOS-PROD'!AD40="SI",VLOOKUP('1.DATOS-PROD'!AD$2,'1.PUNTOS'!$A$1:$B$63,2,0),0)</f>
        <v>0</v>
      </c>
      <c r="V39" s="138">
        <f>IF('1.DATOS-PROD'!AE40="SI",VLOOKUP('1.DATOS-PROD'!AE$2,'1.PUNTOS'!$A$1:$B$63,2,0),0)</f>
        <v>0</v>
      </c>
      <c r="W39" s="138">
        <f>IF('1.DATOS-PROD'!AF40="SI",VLOOKUP('1.DATOS-PROD'!AF$2,'1.PUNTOS'!$A$1:$B$63,2,0),0)</f>
        <v>0</v>
      </c>
      <c r="X39" s="138">
        <f>IF('1.DATOS-PROD'!AG40="SI",VLOOKUP('1.DATOS-PROD'!AG$2,'1.PUNTOS'!$A$1:$B$63,2,0),0)</f>
        <v>0</v>
      </c>
      <c r="Y39" s="138">
        <f>IF('1.DATOS-PROD'!AH40="SI",VLOOKUP('1.DATOS-PROD'!AH$2,'1.PUNTOS'!$A$1:$B$63,2,0),0)</f>
        <v>0</v>
      </c>
      <c r="Z39" s="138">
        <f>IF('1.DATOS-PROD'!AI40="SI",VLOOKUP('1.DATOS-PROD'!AI$2,'1.PUNTOS'!$A$1:$B$63,2,0),0)</f>
        <v>0</v>
      </c>
      <c r="AA39" s="138">
        <f>IF('1.DATOS-PROD'!AJ40="SI",VLOOKUP('1.DATOS-PROD'!AJ$2,'1.PUNTOS'!$A$1:$B$63,2,0),0)</f>
        <v>0</v>
      </c>
      <c r="AB39" s="138">
        <f>IF('1.DATOS-PROD'!AK40="SI",VLOOKUP('1.DATOS-PROD'!AK$2,'1.PUNTOS'!$A$1:$B$63,2,0),0)</f>
        <v>0</v>
      </c>
      <c r="AC39" s="138">
        <f>IF('1.DATOS-PROD'!AL40="SI",VLOOKUP('1.DATOS-PROD'!AL$2,'1.PUNTOS'!$A$1:$B$63,2,0),0)</f>
        <v>0</v>
      </c>
      <c r="AD39" s="138">
        <f>IF('1.DATOS-PROD'!AM40="SI",VLOOKUP('1.DATOS-PROD'!AM$2,'1.PUNTOS'!$A$1:$B$63,2,0),0)</f>
        <v>0</v>
      </c>
      <c r="AE39" s="138">
        <f>IF('1.DATOS-PROD'!AN40="SI",VLOOKUP('1.DATOS-PROD'!AN$2,'1.PUNTOS'!$A$1:$B$63,2,0),0)</f>
        <v>0</v>
      </c>
      <c r="AF39" s="138">
        <f>IF('1.DATOS-PROD'!AO40="SI",VLOOKUP('1.DATOS-PROD'!AO$2,'1.PUNTOS'!$A$1:$B$63,2,0),0)</f>
        <v>0</v>
      </c>
      <c r="AG39" s="138">
        <f>IF('1.DATOS-PROD'!AP40="SI",VLOOKUP('1.DATOS-PROD'!AP$2,'1.PUNTOS'!$A$1:$B$63,2,0),0)</f>
        <v>0</v>
      </c>
      <c r="AH39" s="138">
        <f>IF('1.DATOS-PROD'!AQ40="SI",VLOOKUP('1.DATOS-PROD'!AQ$2,'1.PUNTOS'!$A$1:$B$63,2,0),0)</f>
        <v>0</v>
      </c>
      <c r="AI39" s="138">
        <f>IF('1.DATOS-PROD'!AR40="SI",VLOOKUP('1.DATOS-PROD'!AR$2,'1.PUNTOS'!$A$1:$B$63,2,0),0)</f>
        <v>0</v>
      </c>
      <c r="AJ39" s="138">
        <f>IF('1.DATOS-PROD'!AS40="SI",VLOOKUP('1.DATOS-PROD'!AS$2,'1.PUNTOS'!$A$1:$B$63,2,0),0)</f>
        <v>0</v>
      </c>
      <c r="AK39" s="138">
        <f>IF('1.DATOS-PROD'!AT40="SI",VLOOKUP('1.DATOS-PROD'!AT$2,'1.PUNTOS'!$A$1:$B$63,2,0),0)</f>
        <v>0</v>
      </c>
      <c r="AL39" s="138">
        <f>IF('1.DATOS-PROD'!AU40="SI",VLOOKUP('1.DATOS-PROD'!AU$2,'1.PUNTOS'!$A$1:$B$63,2,0),0)</f>
        <v>0</v>
      </c>
      <c r="AM39" s="138">
        <f>IF('1.DATOS-PROD'!AV40="SI",VLOOKUP('1.DATOS-PROD'!AV$2,'1.PUNTOS'!$A$1:$B$63,2,0),0)</f>
        <v>0</v>
      </c>
      <c r="AN39" s="138">
        <f>IF('1.DATOS-PROD'!AW40="SI",VLOOKUP('1.DATOS-PROD'!AW$2,'1.PUNTOS'!$A$1:$B$63,2,0),0)</f>
        <v>0</v>
      </c>
      <c r="AO39" s="138">
        <f>IF('1.DATOS-PROD'!AX40="SI",VLOOKUP('1.DATOS-PROD'!AX$2,'1.PUNTOS'!$A$1:$B$63,2,0),0)</f>
        <v>0</v>
      </c>
      <c r="AP39" s="138">
        <f>IF('1.DATOS-PROD'!AY40="SI",VLOOKUP('1.DATOS-PROD'!AY$2,'1.PUNTOS'!$A$1:$B$63,2,0),0)</f>
        <v>0</v>
      </c>
      <c r="AQ39" s="138">
        <f>IF('1.DATOS-PROD'!AZ40="SI",VLOOKUP('1.DATOS-PROD'!AZ$2,'1.PUNTOS'!$A$1:$B$63,2,0),0)</f>
        <v>0</v>
      </c>
      <c r="AR39" s="138">
        <f>IF('1.DATOS-PROD'!BA40="SI",VLOOKUP('1.DATOS-PROD'!BA$2,'1.PUNTOS'!$A$1:$B$63,2,0),0)</f>
        <v>0</v>
      </c>
      <c r="AS39" s="138">
        <f>IF('1.DATOS-PROD'!BB40="SI",VLOOKUP('1.DATOS-PROD'!BB$2,'1.PUNTOS'!$A$1:$B$63,2,0),0)</f>
        <v>0</v>
      </c>
      <c r="AT39" s="138">
        <f>IF('1.DATOS-PROD'!BC40="SI",VLOOKUP('1.DATOS-PROD'!BC$2,'1.PUNTOS'!$A$1:$B$63,2,0),0)</f>
        <v>0</v>
      </c>
      <c r="AU39" s="138">
        <f>IF('1.DATOS-PROD'!BD40="SI",VLOOKUP('1.DATOS-PROD'!BD$2,'1.PUNTOS'!$A$1:$B$63,2,0),0)</f>
        <v>0</v>
      </c>
      <c r="AV39" s="138">
        <f>IF('1.DATOS-PROD'!BE40="SI",VLOOKUP('1.DATOS-PROD'!BE$2,'1.PUNTOS'!$A$1:$B$63,2,0),0)</f>
        <v>0</v>
      </c>
      <c r="AW39" s="138">
        <f>IF('1.DATOS-PROD'!BF40="SI",VLOOKUP('1.DATOS-PROD'!BF$2,'1.PUNTOS'!$A$1:$B$63,2,0),0)</f>
        <v>0</v>
      </c>
      <c r="AX39" s="138">
        <f>IF('1.DATOS-PROD'!BG40="SI",VLOOKUP('1.DATOS-PROD'!BG$2,'1.PUNTOS'!$A$1:$B$63,2,0),0)</f>
        <v>0</v>
      </c>
      <c r="AY39" s="138">
        <f>IF('1.DATOS-PROD'!BH40="SI",VLOOKUP('1.DATOS-PROD'!BH$2,'1.PUNTOS'!$A$1:$B$63,2,0),0)</f>
        <v>0</v>
      </c>
      <c r="AZ39" s="138">
        <f>IF('1.DATOS-PROD'!BI40="SI",VLOOKUP('1.DATOS-PROD'!BI$2,'1.PUNTOS'!$A$1:$B$63,2,0),0)</f>
        <v>0</v>
      </c>
      <c r="BA39" s="138">
        <f>IF('1.DATOS-PROD'!BJ40="SI",VLOOKUP('1.DATOS-PROD'!BJ$2,'1.PUNTOS'!$A$1:$B$63,2,0),0)</f>
        <v>0</v>
      </c>
      <c r="BB39" s="138">
        <f>IF('1.DATOS-PROD'!BK40="SI",VLOOKUP('1.DATOS-PROD'!BK$2,'1.PUNTOS'!$A$1:$B$63,2,0),0)</f>
        <v>0</v>
      </c>
      <c r="BC39" s="138">
        <f>IF('1.DATOS-PROD'!BL40="SI",VLOOKUP('1.DATOS-PROD'!BL$2,'1.PUNTOS'!$A$1:$B$63,2,0),0)</f>
        <v>0</v>
      </c>
      <c r="BD39" s="138">
        <f>IF('1.DATOS-PROD'!BM40="SI",VLOOKUP('1.DATOS-PROD'!BM$2,'1.PUNTOS'!$A$1:$B$63,2,0),0)</f>
        <v>0</v>
      </c>
      <c r="BE39" s="138">
        <f>IF('1.DATOS-PROD'!BN40="SI",VLOOKUP('1.DATOS-PROD'!BN$2,'1.PUNTOS'!$A$1:$B$63,2,0),0)</f>
        <v>0</v>
      </c>
      <c r="BF39" s="138">
        <f>IF('1.DATOS-PROD'!BO40="SI",VLOOKUP('1.DATOS-PROD'!BO$2,'1.PUNTOS'!$A$1:$B$63,2,0),0)</f>
        <v>0</v>
      </c>
      <c r="BG39" s="138">
        <f>IF('1.DATOS-PROD'!BP40="SI",VLOOKUP('1.DATOS-PROD'!BP$2,'1.PUNTOS'!$A$1:$B$63,2,0),0)</f>
        <v>0</v>
      </c>
      <c r="BH39" s="138">
        <f>IF('1.DATOS-PROD'!BQ40="SI",VLOOKUP('1.DATOS-PROD'!BQ$2,'1.PUNTOS'!$A$1:$B$63,2,0),0)</f>
        <v>0</v>
      </c>
      <c r="BI39" s="138">
        <f>IF('1.DATOS-PROD'!BR40="SI",VLOOKUP('1.DATOS-PROD'!BR$2,'1.PUNTOS'!$A$1:$B$63,2,0),0)</f>
        <v>0</v>
      </c>
      <c r="BJ39" s="138">
        <f>IF('1.DATOS-PROD'!BS40="SI",VLOOKUP('1.DATOS-PROD'!BS$2,'1.PUNTOS'!$A$1:$B$63,2,0),0)</f>
        <v>0</v>
      </c>
      <c r="BK39" s="138">
        <f>IF('1.DATOS-PROD'!BT40="SI",VLOOKUP('1.DATOS-PROD'!BT$2,'1.PUNTOS'!$A$1:$B$63,2,0),0)</f>
        <v>0</v>
      </c>
    </row>
    <row r="40" spans="1:63" x14ac:dyDescent="0.25">
      <c r="A40">
        <f>'0.Consolidado general'!$A41</f>
        <v>0</v>
      </c>
      <c r="B40" s="138">
        <f>IF('1.DATOS-PROD'!K41="SI",VLOOKUP('1.DATOS-PROD'!K$2,'1.PUNTOS'!$A$1:$B$63,2,0),0)</f>
        <v>0</v>
      </c>
      <c r="C40" s="138">
        <f>IF('1.DATOS-PROD'!L41="SI",VLOOKUP('1.DATOS-PROD'!L$2,'1.PUNTOS'!$A$1:$B$63,2,0),0)</f>
        <v>0</v>
      </c>
      <c r="D40" s="138">
        <f>IF('1.DATOS-PROD'!M41="SI",VLOOKUP('1.DATOS-PROD'!M$2,'1.PUNTOS'!$A$1:$B$63,2,0),0)</f>
        <v>0</v>
      </c>
      <c r="E40" s="138">
        <f>IF('1.DATOS-PROD'!N41="SI",VLOOKUP('1.DATOS-PROD'!N$2,'1.PUNTOS'!$A$1:$B$63,2,0),0)</f>
        <v>0</v>
      </c>
      <c r="F40" s="138">
        <f>IF('1.DATOS-PROD'!O41="SI",VLOOKUP('1.DATOS-PROD'!O$2,'1.PUNTOS'!$A$1:$B$63,2,0),0)</f>
        <v>0</v>
      </c>
      <c r="G40" s="138">
        <f>IF('1.DATOS-PROD'!P41="SI",VLOOKUP('1.DATOS-PROD'!P$2,'1.PUNTOS'!$A$1:$B$63,2,0),0)</f>
        <v>0</v>
      </c>
      <c r="H40" s="138">
        <f>IF('1.DATOS-PROD'!Q41="SI",VLOOKUP('1.DATOS-PROD'!Q$2,'1.PUNTOS'!$A$1:$B$63,2,0),0)</f>
        <v>0</v>
      </c>
      <c r="I40" s="138">
        <f>IF('1.DATOS-PROD'!R41="SI",VLOOKUP('1.DATOS-PROD'!R$2,'1.PUNTOS'!$A$1:$B$63,2,0),0)</f>
        <v>0</v>
      </c>
      <c r="J40" s="138">
        <f>IF('1.DATOS-PROD'!S41="SI",VLOOKUP('1.DATOS-PROD'!S$2,'1.PUNTOS'!$A$1:$B$63,2,0),0)</f>
        <v>0</v>
      </c>
      <c r="K40" s="138">
        <f>IF('1.DATOS-PROD'!T41="SI",VLOOKUP('1.DATOS-PROD'!T$2,'1.PUNTOS'!$A$1:$B$63,2,0),0)</f>
        <v>0</v>
      </c>
      <c r="L40" s="138">
        <f>IF('1.DATOS-PROD'!U41="SI",VLOOKUP('1.DATOS-PROD'!U$2,'1.PUNTOS'!$A$1:$B$63,2,0),0)</f>
        <v>0</v>
      </c>
      <c r="M40" s="138">
        <f>IF('1.DATOS-PROD'!V41="SI",VLOOKUP('1.DATOS-PROD'!V$2,'1.PUNTOS'!$A$1:$B$63,2,0),0)</f>
        <v>0</v>
      </c>
      <c r="N40" s="138">
        <f>IF('1.DATOS-PROD'!W41="SI",VLOOKUP('1.DATOS-PROD'!W$2,'1.PUNTOS'!$A$1:$B$63,2,0),0)</f>
        <v>0</v>
      </c>
      <c r="O40" s="138">
        <f>IF('1.DATOS-PROD'!X41="SI",VLOOKUP('1.DATOS-PROD'!X$2,'1.PUNTOS'!$A$1:$B$63,2,0),0)</f>
        <v>0</v>
      </c>
      <c r="P40" s="138">
        <f>IF('1.DATOS-PROD'!Y41="SI",VLOOKUP('1.DATOS-PROD'!Y$2,'1.PUNTOS'!$A$1:$B$63,2,0),0)</f>
        <v>0</v>
      </c>
      <c r="Q40" s="138">
        <f>IF('1.DATOS-PROD'!Z41="SI",VLOOKUP('1.DATOS-PROD'!Z$2,'1.PUNTOS'!$A$1:$B$63,2,0),0)</f>
        <v>0</v>
      </c>
      <c r="R40" s="138">
        <f>IF('1.DATOS-PROD'!AA41="SI",VLOOKUP('1.DATOS-PROD'!AA$2,'1.PUNTOS'!$A$1:$B$63,2,0),0)</f>
        <v>0</v>
      </c>
      <c r="S40" s="138">
        <f>IF('1.DATOS-PROD'!AB41="SI",VLOOKUP('1.DATOS-PROD'!AB$2,'1.PUNTOS'!$A$1:$B$63,2,0),0)</f>
        <v>0</v>
      </c>
      <c r="T40" s="138">
        <f>IF('1.DATOS-PROD'!AC41="SI",VLOOKUP('1.DATOS-PROD'!AC$2,'1.PUNTOS'!$A$1:$B$63,2,0),0)</f>
        <v>0</v>
      </c>
      <c r="U40" s="138">
        <f>IF('1.DATOS-PROD'!AD41="SI",VLOOKUP('1.DATOS-PROD'!AD$2,'1.PUNTOS'!$A$1:$B$63,2,0),0)</f>
        <v>0</v>
      </c>
      <c r="V40" s="138">
        <f>IF('1.DATOS-PROD'!AE41="SI",VLOOKUP('1.DATOS-PROD'!AE$2,'1.PUNTOS'!$A$1:$B$63,2,0),0)</f>
        <v>0</v>
      </c>
      <c r="W40" s="138">
        <f>IF('1.DATOS-PROD'!AF41="SI",VLOOKUP('1.DATOS-PROD'!AF$2,'1.PUNTOS'!$A$1:$B$63,2,0),0)</f>
        <v>0</v>
      </c>
      <c r="X40" s="138">
        <f>IF('1.DATOS-PROD'!AG41="SI",VLOOKUP('1.DATOS-PROD'!AG$2,'1.PUNTOS'!$A$1:$B$63,2,0),0)</f>
        <v>0</v>
      </c>
      <c r="Y40" s="138">
        <f>IF('1.DATOS-PROD'!AH41="SI",VLOOKUP('1.DATOS-PROD'!AH$2,'1.PUNTOS'!$A$1:$B$63,2,0),0)</f>
        <v>0</v>
      </c>
      <c r="Z40" s="138">
        <f>IF('1.DATOS-PROD'!AI41="SI",VLOOKUP('1.DATOS-PROD'!AI$2,'1.PUNTOS'!$A$1:$B$63,2,0),0)</f>
        <v>0</v>
      </c>
      <c r="AA40" s="138">
        <f>IF('1.DATOS-PROD'!AJ41="SI",VLOOKUP('1.DATOS-PROD'!AJ$2,'1.PUNTOS'!$A$1:$B$63,2,0),0)</f>
        <v>0</v>
      </c>
      <c r="AB40" s="138">
        <f>IF('1.DATOS-PROD'!AK41="SI",VLOOKUP('1.DATOS-PROD'!AK$2,'1.PUNTOS'!$A$1:$B$63,2,0),0)</f>
        <v>0</v>
      </c>
      <c r="AC40" s="138">
        <f>IF('1.DATOS-PROD'!AL41="SI",VLOOKUP('1.DATOS-PROD'!AL$2,'1.PUNTOS'!$A$1:$B$63,2,0),0)</f>
        <v>0</v>
      </c>
      <c r="AD40" s="138">
        <f>IF('1.DATOS-PROD'!AM41="SI",VLOOKUP('1.DATOS-PROD'!AM$2,'1.PUNTOS'!$A$1:$B$63,2,0),0)</f>
        <v>0</v>
      </c>
      <c r="AE40" s="138">
        <f>IF('1.DATOS-PROD'!AN41="SI",VLOOKUP('1.DATOS-PROD'!AN$2,'1.PUNTOS'!$A$1:$B$63,2,0),0)</f>
        <v>0</v>
      </c>
      <c r="AF40" s="138">
        <f>IF('1.DATOS-PROD'!AO41="SI",VLOOKUP('1.DATOS-PROD'!AO$2,'1.PUNTOS'!$A$1:$B$63,2,0),0)</f>
        <v>0</v>
      </c>
      <c r="AG40" s="138">
        <f>IF('1.DATOS-PROD'!AP41="SI",VLOOKUP('1.DATOS-PROD'!AP$2,'1.PUNTOS'!$A$1:$B$63,2,0),0)</f>
        <v>0</v>
      </c>
      <c r="AH40" s="138">
        <f>IF('1.DATOS-PROD'!AQ41="SI",VLOOKUP('1.DATOS-PROD'!AQ$2,'1.PUNTOS'!$A$1:$B$63,2,0),0)</f>
        <v>0</v>
      </c>
      <c r="AI40" s="138">
        <f>IF('1.DATOS-PROD'!AR41="SI",VLOOKUP('1.DATOS-PROD'!AR$2,'1.PUNTOS'!$A$1:$B$63,2,0),0)</f>
        <v>0</v>
      </c>
      <c r="AJ40" s="138">
        <f>IF('1.DATOS-PROD'!AS41="SI",VLOOKUP('1.DATOS-PROD'!AS$2,'1.PUNTOS'!$A$1:$B$63,2,0),0)</f>
        <v>0</v>
      </c>
      <c r="AK40" s="138">
        <f>IF('1.DATOS-PROD'!AT41="SI",VLOOKUP('1.DATOS-PROD'!AT$2,'1.PUNTOS'!$A$1:$B$63,2,0),0)</f>
        <v>0</v>
      </c>
      <c r="AL40" s="138">
        <f>IF('1.DATOS-PROD'!AU41="SI",VLOOKUP('1.DATOS-PROD'!AU$2,'1.PUNTOS'!$A$1:$B$63,2,0),0)</f>
        <v>0</v>
      </c>
      <c r="AM40" s="138">
        <f>IF('1.DATOS-PROD'!AV41="SI",VLOOKUP('1.DATOS-PROD'!AV$2,'1.PUNTOS'!$A$1:$B$63,2,0),0)</f>
        <v>0</v>
      </c>
      <c r="AN40" s="138">
        <f>IF('1.DATOS-PROD'!AW41="SI",VLOOKUP('1.DATOS-PROD'!AW$2,'1.PUNTOS'!$A$1:$B$63,2,0),0)</f>
        <v>0</v>
      </c>
      <c r="AO40" s="138">
        <f>IF('1.DATOS-PROD'!AX41="SI",VLOOKUP('1.DATOS-PROD'!AX$2,'1.PUNTOS'!$A$1:$B$63,2,0),0)</f>
        <v>0</v>
      </c>
      <c r="AP40" s="138">
        <f>IF('1.DATOS-PROD'!AY41="SI",VLOOKUP('1.DATOS-PROD'!AY$2,'1.PUNTOS'!$A$1:$B$63,2,0),0)</f>
        <v>0</v>
      </c>
      <c r="AQ40" s="138">
        <f>IF('1.DATOS-PROD'!AZ41="SI",VLOOKUP('1.DATOS-PROD'!AZ$2,'1.PUNTOS'!$A$1:$B$63,2,0),0)</f>
        <v>0</v>
      </c>
      <c r="AR40" s="138">
        <f>IF('1.DATOS-PROD'!BA41="SI",VLOOKUP('1.DATOS-PROD'!BA$2,'1.PUNTOS'!$A$1:$B$63,2,0),0)</f>
        <v>0</v>
      </c>
      <c r="AS40" s="138">
        <f>IF('1.DATOS-PROD'!BB41="SI",VLOOKUP('1.DATOS-PROD'!BB$2,'1.PUNTOS'!$A$1:$B$63,2,0),0)</f>
        <v>0</v>
      </c>
      <c r="AT40" s="138">
        <f>IF('1.DATOS-PROD'!BC41="SI",VLOOKUP('1.DATOS-PROD'!BC$2,'1.PUNTOS'!$A$1:$B$63,2,0),0)</f>
        <v>0</v>
      </c>
      <c r="AU40" s="138">
        <f>IF('1.DATOS-PROD'!BD41="SI",VLOOKUP('1.DATOS-PROD'!BD$2,'1.PUNTOS'!$A$1:$B$63,2,0),0)</f>
        <v>0</v>
      </c>
      <c r="AV40" s="138">
        <f>IF('1.DATOS-PROD'!BE41="SI",VLOOKUP('1.DATOS-PROD'!BE$2,'1.PUNTOS'!$A$1:$B$63,2,0),0)</f>
        <v>0</v>
      </c>
      <c r="AW40" s="138">
        <f>IF('1.DATOS-PROD'!BF41="SI",VLOOKUP('1.DATOS-PROD'!BF$2,'1.PUNTOS'!$A$1:$B$63,2,0),0)</f>
        <v>0</v>
      </c>
      <c r="AX40" s="138">
        <f>IF('1.DATOS-PROD'!BG41="SI",VLOOKUP('1.DATOS-PROD'!BG$2,'1.PUNTOS'!$A$1:$B$63,2,0),0)</f>
        <v>0</v>
      </c>
      <c r="AY40" s="138">
        <f>IF('1.DATOS-PROD'!BH41="SI",VLOOKUP('1.DATOS-PROD'!BH$2,'1.PUNTOS'!$A$1:$B$63,2,0),0)</f>
        <v>0</v>
      </c>
      <c r="AZ40" s="138">
        <f>IF('1.DATOS-PROD'!BI41="SI",VLOOKUP('1.DATOS-PROD'!BI$2,'1.PUNTOS'!$A$1:$B$63,2,0),0)</f>
        <v>0</v>
      </c>
      <c r="BA40" s="138">
        <f>IF('1.DATOS-PROD'!BJ41="SI",VLOOKUP('1.DATOS-PROD'!BJ$2,'1.PUNTOS'!$A$1:$B$63,2,0),0)</f>
        <v>0</v>
      </c>
      <c r="BB40" s="138">
        <f>IF('1.DATOS-PROD'!BK41="SI",VLOOKUP('1.DATOS-PROD'!BK$2,'1.PUNTOS'!$A$1:$B$63,2,0),0)</f>
        <v>0</v>
      </c>
      <c r="BC40" s="138">
        <f>IF('1.DATOS-PROD'!BL41="SI",VLOOKUP('1.DATOS-PROD'!BL$2,'1.PUNTOS'!$A$1:$B$63,2,0),0)</f>
        <v>0</v>
      </c>
      <c r="BD40" s="138">
        <f>IF('1.DATOS-PROD'!BM41="SI",VLOOKUP('1.DATOS-PROD'!BM$2,'1.PUNTOS'!$A$1:$B$63,2,0),0)</f>
        <v>0</v>
      </c>
      <c r="BE40" s="138">
        <f>IF('1.DATOS-PROD'!BN41="SI",VLOOKUP('1.DATOS-PROD'!BN$2,'1.PUNTOS'!$A$1:$B$63,2,0),0)</f>
        <v>0</v>
      </c>
      <c r="BF40" s="138">
        <f>IF('1.DATOS-PROD'!BO41="SI",VLOOKUP('1.DATOS-PROD'!BO$2,'1.PUNTOS'!$A$1:$B$63,2,0),0)</f>
        <v>0</v>
      </c>
      <c r="BG40" s="138">
        <f>IF('1.DATOS-PROD'!BP41="SI",VLOOKUP('1.DATOS-PROD'!BP$2,'1.PUNTOS'!$A$1:$B$63,2,0),0)</f>
        <v>0</v>
      </c>
      <c r="BH40" s="138">
        <f>IF('1.DATOS-PROD'!BQ41="SI",VLOOKUP('1.DATOS-PROD'!BQ$2,'1.PUNTOS'!$A$1:$B$63,2,0),0)</f>
        <v>0</v>
      </c>
      <c r="BI40" s="138">
        <f>IF('1.DATOS-PROD'!BR41="SI",VLOOKUP('1.DATOS-PROD'!BR$2,'1.PUNTOS'!$A$1:$B$63,2,0),0)</f>
        <v>0</v>
      </c>
      <c r="BJ40" s="138">
        <f>IF('1.DATOS-PROD'!BS41="SI",VLOOKUP('1.DATOS-PROD'!BS$2,'1.PUNTOS'!$A$1:$B$63,2,0),0)</f>
        <v>0</v>
      </c>
      <c r="BK40" s="138">
        <f>IF('1.DATOS-PROD'!BT41="SI",VLOOKUP('1.DATOS-PROD'!BT$2,'1.PUNTOS'!$A$1:$B$63,2,0),0)</f>
        <v>0</v>
      </c>
    </row>
    <row r="41" spans="1:63" x14ac:dyDescent="0.25">
      <c r="A41">
        <f>'0.Consolidado general'!$A42</f>
        <v>0</v>
      </c>
      <c r="B41" s="138">
        <f>IF('1.DATOS-PROD'!K42="SI",VLOOKUP('1.DATOS-PROD'!K$2,'1.PUNTOS'!$A$1:$B$63,2,0),0)</f>
        <v>0</v>
      </c>
      <c r="C41" s="138">
        <f>IF('1.DATOS-PROD'!L42="SI",VLOOKUP('1.DATOS-PROD'!L$2,'1.PUNTOS'!$A$1:$B$63,2,0),0)</f>
        <v>0</v>
      </c>
      <c r="D41" s="138">
        <f>IF('1.DATOS-PROD'!M42="SI",VLOOKUP('1.DATOS-PROD'!M$2,'1.PUNTOS'!$A$1:$B$63,2,0),0)</f>
        <v>0</v>
      </c>
      <c r="E41" s="138">
        <f>IF('1.DATOS-PROD'!N42="SI",VLOOKUP('1.DATOS-PROD'!N$2,'1.PUNTOS'!$A$1:$B$63,2,0),0)</f>
        <v>0</v>
      </c>
      <c r="F41" s="138">
        <f>IF('1.DATOS-PROD'!O42="SI",VLOOKUP('1.DATOS-PROD'!O$2,'1.PUNTOS'!$A$1:$B$63,2,0),0)</f>
        <v>0</v>
      </c>
      <c r="G41" s="138">
        <f>IF('1.DATOS-PROD'!P42="SI",VLOOKUP('1.DATOS-PROD'!P$2,'1.PUNTOS'!$A$1:$B$63,2,0),0)</f>
        <v>0</v>
      </c>
      <c r="H41" s="138">
        <f>IF('1.DATOS-PROD'!Q42="SI",VLOOKUP('1.DATOS-PROD'!Q$2,'1.PUNTOS'!$A$1:$B$63,2,0),0)</f>
        <v>0</v>
      </c>
      <c r="I41" s="138">
        <f>IF('1.DATOS-PROD'!R42="SI",VLOOKUP('1.DATOS-PROD'!R$2,'1.PUNTOS'!$A$1:$B$63,2,0),0)</f>
        <v>0</v>
      </c>
      <c r="J41" s="138">
        <f>IF('1.DATOS-PROD'!S42="SI",VLOOKUP('1.DATOS-PROD'!S$2,'1.PUNTOS'!$A$1:$B$63,2,0),0)</f>
        <v>0</v>
      </c>
      <c r="K41" s="138">
        <f>IF('1.DATOS-PROD'!T42="SI",VLOOKUP('1.DATOS-PROD'!T$2,'1.PUNTOS'!$A$1:$B$63,2,0),0)</f>
        <v>0</v>
      </c>
      <c r="L41" s="138">
        <f>IF('1.DATOS-PROD'!U42="SI",VLOOKUP('1.DATOS-PROD'!U$2,'1.PUNTOS'!$A$1:$B$63,2,0),0)</f>
        <v>0</v>
      </c>
      <c r="M41" s="138">
        <f>IF('1.DATOS-PROD'!V42="SI",VLOOKUP('1.DATOS-PROD'!V$2,'1.PUNTOS'!$A$1:$B$63,2,0),0)</f>
        <v>0</v>
      </c>
      <c r="N41" s="138">
        <f>IF('1.DATOS-PROD'!W42="SI",VLOOKUP('1.DATOS-PROD'!W$2,'1.PUNTOS'!$A$1:$B$63,2,0),0)</f>
        <v>0</v>
      </c>
      <c r="O41" s="138">
        <f>IF('1.DATOS-PROD'!X42="SI",VLOOKUP('1.DATOS-PROD'!X$2,'1.PUNTOS'!$A$1:$B$63,2,0),0)</f>
        <v>0</v>
      </c>
      <c r="P41" s="138">
        <f>IF('1.DATOS-PROD'!Y42="SI",VLOOKUP('1.DATOS-PROD'!Y$2,'1.PUNTOS'!$A$1:$B$63,2,0),0)</f>
        <v>0</v>
      </c>
      <c r="Q41" s="138">
        <f>IF('1.DATOS-PROD'!Z42="SI",VLOOKUP('1.DATOS-PROD'!Z$2,'1.PUNTOS'!$A$1:$B$63,2,0),0)</f>
        <v>0</v>
      </c>
      <c r="R41" s="138">
        <f>IF('1.DATOS-PROD'!AA42="SI",VLOOKUP('1.DATOS-PROD'!AA$2,'1.PUNTOS'!$A$1:$B$63,2,0),0)</f>
        <v>0</v>
      </c>
      <c r="S41" s="138">
        <f>IF('1.DATOS-PROD'!AB42="SI",VLOOKUP('1.DATOS-PROD'!AB$2,'1.PUNTOS'!$A$1:$B$63,2,0),0)</f>
        <v>0</v>
      </c>
      <c r="T41" s="138">
        <f>IF('1.DATOS-PROD'!AC42="SI",VLOOKUP('1.DATOS-PROD'!AC$2,'1.PUNTOS'!$A$1:$B$63,2,0),0)</f>
        <v>0</v>
      </c>
      <c r="U41" s="138">
        <f>IF('1.DATOS-PROD'!AD42="SI",VLOOKUP('1.DATOS-PROD'!AD$2,'1.PUNTOS'!$A$1:$B$63,2,0),0)</f>
        <v>0</v>
      </c>
      <c r="V41" s="138">
        <f>IF('1.DATOS-PROD'!AE42="SI",VLOOKUP('1.DATOS-PROD'!AE$2,'1.PUNTOS'!$A$1:$B$63,2,0),0)</f>
        <v>0</v>
      </c>
      <c r="W41" s="138">
        <f>IF('1.DATOS-PROD'!AF42="SI",VLOOKUP('1.DATOS-PROD'!AF$2,'1.PUNTOS'!$A$1:$B$63,2,0),0)</f>
        <v>0</v>
      </c>
      <c r="X41" s="138">
        <f>IF('1.DATOS-PROD'!AG42="SI",VLOOKUP('1.DATOS-PROD'!AG$2,'1.PUNTOS'!$A$1:$B$63,2,0),0)</f>
        <v>0</v>
      </c>
      <c r="Y41" s="138">
        <f>IF('1.DATOS-PROD'!AH42="SI",VLOOKUP('1.DATOS-PROD'!AH$2,'1.PUNTOS'!$A$1:$B$63,2,0),0)</f>
        <v>0</v>
      </c>
      <c r="Z41" s="138">
        <f>IF('1.DATOS-PROD'!AI42="SI",VLOOKUP('1.DATOS-PROD'!AI$2,'1.PUNTOS'!$A$1:$B$63,2,0),0)</f>
        <v>0</v>
      </c>
      <c r="AA41" s="138">
        <f>IF('1.DATOS-PROD'!AJ42="SI",VLOOKUP('1.DATOS-PROD'!AJ$2,'1.PUNTOS'!$A$1:$B$63,2,0),0)</f>
        <v>0</v>
      </c>
      <c r="AB41" s="138">
        <f>IF('1.DATOS-PROD'!AK42="SI",VLOOKUP('1.DATOS-PROD'!AK$2,'1.PUNTOS'!$A$1:$B$63,2,0),0)</f>
        <v>0</v>
      </c>
      <c r="AC41" s="138">
        <f>IF('1.DATOS-PROD'!AL42="SI",VLOOKUP('1.DATOS-PROD'!AL$2,'1.PUNTOS'!$A$1:$B$63,2,0),0)</f>
        <v>0</v>
      </c>
      <c r="AD41" s="138">
        <f>IF('1.DATOS-PROD'!AM42="SI",VLOOKUP('1.DATOS-PROD'!AM$2,'1.PUNTOS'!$A$1:$B$63,2,0),0)</f>
        <v>0</v>
      </c>
      <c r="AE41" s="138">
        <f>IF('1.DATOS-PROD'!AN42="SI",VLOOKUP('1.DATOS-PROD'!AN$2,'1.PUNTOS'!$A$1:$B$63,2,0),0)</f>
        <v>0</v>
      </c>
      <c r="AF41" s="138">
        <f>IF('1.DATOS-PROD'!AO42="SI",VLOOKUP('1.DATOS-PROD'!AO$2,'1.PUNTOS'!$A$1:$B$63,2,0),0)</f>
        <v>0</v>
      </c>
      <c r="AG41" s="138">
        <f>IF('1.DATOS-PROD'!AP42="SI",VLOOKUP('1.DATOS-PROD'!AP$2,'1.PUNTOS'!$A$1:$B$63,2,0),0)</f>
        <v>0</v>
      </c>
      <c r="AH41" s="138">
        <f>IF('1.DATOS-PROD'!AQ42="SI",VLOOKUP('1.DATOS-PROD'!AQ$2,'1.PUNTOS'!$A$1:$B$63,2,0),0)</f>
        <v>0</v>
      </c>
      <c r="AI41" s="138">
        <f>IF('1.DATOS-PROD'!AR42="SI",VLOOKUP('1.DATOS-PROD'!AR$2,'1.PUNTOS'!$A$1:$B$63,2,0),0)</f>
        <v>0</v>
      </c>
      <c r="AJ41" s="138">
        <f>IF('1.DATOS-PROD'!AS42="SI",VLOOKUP('1.DATOS-PROD'!AS$2,'1.PUNTOS'!$A$1:$B$63,2,0),0)</f>
        <v>0</v>
      </c>
      <c r="AK41" s="138">
        <f>IF('1.DATOS-PROD'!AT42="SI",VLOOKUP('1.DATOS-PROD'!AT$2,'1.PUNTOS'!$A$1:$B$63,2,0),0)</f>
        <v>0</v>
      </c>
      <c r="AL41" s="138">
        <f>IF('1.DATOS-PROD'!AU42="SI",VLOOKUP('1.DATOS-PROD'!AU$2,'1.PUNTOS'!$A$1:$B$63,2,0),0)</f>
        <v>0</v>
      </c>
      <c r="AM41" s="138">
        <f>IF('1.DATOS-PROD'!AV42="SI",VLOOKUP('1.DATOS-PROD'!AV$2,'1.PUNTOS'!$A$1:$B$63,2,0),0)</f>
        <v>0</v>
      </c>
      <c r="AN41" s="138">
        <f>IF('1.DATOS-PROD'!AW42="SI",VLOOKUP('1.DATOS-PROD'!AW$2,'1.PUNTOS'!$A$1:$B$63,2,0),0)</f>
        <v>0</v>
      </c>
      <c r="AO41" s="138">
        <f>IF('1.DATOS-PROD'!AX42="SI",VLOOKUP('1.DATOS-PROD'!AX$2,'1.PUNTOS'!$A$1:$B$63,2,0),0)</f>
        <v>0</v>
      </c>
      <c r="AP41" s="138">
        <f>IF('1.DATOS-PROD'!AY42="SI",VLOOKUP('1.DATOS-PROD'!AY$2,'1.PUNTOS'!$A$1:$B$63,2,0),0)</f>
        <v>0</v>
      </c>
      <c r="AQ41" s="138">
        <f>IF('1.DATOS-PROD'!AZ42="SI",VLOOKUP('1.DATOS-PROD'!AZ$2,'1.PUNTOS'!$A$1:$B$63,2,0),0)</f>
        <v>0</v>
      </c>
      <c r="AR41" s="138">
        <f>IF('1.DATOS-PROD'!BA42="SI",VLOOKUP('1.DATOS-PROD'!BA$2,'1.PUNTOS'!$A$1:$B$63,2,0),0)</f>
        <v>0</v>
      </c>
      <c r="AS41" s="138">
        <f>IF('1.DATOS-PROD'!BB42="SI",VLOOKUP('1.DATOS-PROD'!BB$2,'1.PUNTOS'!$A$1:$B$63,2,0),0)</f>
        <v>0</v>
      </c>
      <c r="AT41" s="138">
        <f>IF('1.DATOS-PROD'!BC42="SI",VLOOKUP('1.DATOS-PROD'!BC$2,'1.PUNTOS'!$A$1:$B$63,2,0),0)</f>
        <v>0</v>
      </c>
      <c r="AU41" s="138">
        <f>IF('1.DATOS-PROD'!BD42="SI",VLOOKUP('1.DATOS-PROD'!BD$2,'1.PUNTOS'!$A$1:$B$63,2,0),0)</f>
        <v>0</v>
      </c>
      <c r="AV41" s="138">
        <f>IF('1.DATOS-PROD'!BE42="SI",VLOOKUP('1.DATOS-PROD'!BE$2,'1.PUNTOS'!$A$1:$B$63,2,0),0)</f>
        <v>0</v>
      </c>
      <c r="AW41" s="138">
        <f>IF('1.DATOS-PROD'!BF42="SI",VLOOKUP('1.DATOS-PROD'!BF$2,'1.PUNTOS'!$A$1:$B$63,2,0),0)</f>
        <v>0</v>
      </c>
      <c r="AX41" s="138">
        <f>IF('1.DATOS-PROD'!BG42="SI",VLOOKUP('1.DATOS-PROD'!BG$2,'1.PUNTOS'!$A$1:$B$63,2,0),0)</f>
        <v>0</v>
      </c>
      <c r="AY41" s="138">
        <f>IF('1.DATOS-PROD'!BH42="SI",VLOOKUP('1.DATOS-PROD'!BH$2,'1.PUNTOS'!$A$1:$B$63,2,0),0)</f>
        <v>0</v>
      </c>
      <c r="AZ41" s="138">
        <f>IF('1.DATOS-PROD'!BI42="SI",VLOOKUP('1.DATOS-PROD'!BI$2,'1.PUNTOS'!$A$1:$B$63,2,0),0)</f>
        <v>0</v>
      </c>
      <c r="BA41" s="138">
        <f>IF('1.DATOS-PROD'!BJ42="SI",VLOOKUP('1.DATOS-PROD'!BJ$2,'1.PUNTOS'!$A$1:$B$63,2,0),0)</f>
        <v>0</v>
      </c>
      <c r="BB41" s="138">
        <f>IF('1.DATOS-PROD'!BK42="SI",VLOOKUP('1.DATOS-PROD'!BK$2,'1.PUNTOS'!$A$1:$B$63,2,0),0)</f>
        <v>0</v>
      </c>
      <c r="BC41" s="138">
        <f>IF('1.DATOS-PROD'!BL42="SI",VLOOKUP('1.DATOS-PROD'!BL$2,'1.PUNTOS'!$A$1:$B$63,2,0),0)</f>
        <v>0</v>
      </c>
      <c r="BD41" s="138">
        <f>IF('1.DATOS-PROD'!BM42="SI",VLOOKUP('1.DATOS-PROD'!BM$2,'1.PUNTOS'!$A$1:$B$63,2,0),0)</f>
        <v>0</v>
      </c>
      <c r="BE41" s="138">
        <f>IF('1.DATOS-PROD'!BN42="SI",VLOOKUP('1.DATOS-PROD'!BN$2,'1.PUNTOS'!$A$1:$B$63,2,0),0)</f>
        <v>0</v>
      </c>
      <c r="BF41" s="138">
        <f>IF('1.DATOS-PROD'!BO42="SI",VLOOKUP('1.DATOS-PROD'!BO$2,'1.PUNTOS'!$A$1:$B$63,2,0),0)</f>
        <v>0</v>
      </c>
      <c r="BG41" s="138">
        <f>IF('1.DATOS-PROD'!BP42="SI",VLOOKUP('1.DATOS-PROD'!BP$2,'1.PUNTOS'!$A$1:$B$63,2,0),0)</f>
        <v>0</v>
      </c>
      <c r="BH41" s="138">
        <f>IF('1.DATOS-PROD'!BQ42="SI",VLOOKUP('1.DATOS-PROD'!BQ$2,'1.PUNTOS'!$A$1:$B$63,2,0),0)</f>
        <v>0</v>
      </c>
      <c r="BI41" s="138">
        <f>IF('1.DATOS-PROD'!BR42="SI",VLOOKUP('1.DATOS-PROD'!BR$2,'1.PUNTOS'!$A$1:$B$63,2,0),0)</f>
        <v>0</v>
      </c>
      <c r="BJ41" s="138">
        <f>IF('1.DATOS-PROD'!BS42="SI",VLOOKUP('1.DATOS-PROD'!BS$2,'1.PUNTOS'!$A$1:$B$63,2,0),0)</f>
        <v>0</v>
      </c>
      <c r="BK41" s="138">
        <f>IF('1.DATOS-PROD'!BT42="SI",VLOOKUP('1.DATOS-PROD'!BT$2,'1.PUNTOS'!$A$1:$B$63,2,0),0)</f>
        <v>0</v>
      </c>
    </row>
    <row r="42" spans="1:63" x14ac:dyDescent="0.25">
      <c r="A42">
        <f>'0.Consolidado general'!$A43</f>
        <v>0</v>
      </c>
      <c r="B42" s="138">
        <f>IF('1.DATOS-PROD'!K43="SI",VLOOKUP('1.DATOS-PROD'!K$2,'1.PUNTOS'!$A$1:$B$63,2,0),0)</f>
        <v>0</v>
      </c>
      <c r="C42" s="138">
        <f>IF('1.DATOS-PROD'!L43="SI",VLOOKUP('1.DATOS-PROD'!L$2,'1.PUNTOS'!$A$1:$B$63,2,0),0)</f>
        <v>0</v>
      </c>
      <c r="D42" s="138">
        <f>IF('1.DATOS-PROD'!M43="SI",VLOOKUP('1.DATOS-PROD'!M$2,'1.PUNTOS'!$A$1:$B$63,2,0),0)</f>
        <v>0</v>
      </c>
      <c r="E42" s="138">
        <f>IF('1.DATOS-PROD'!N43="SI",VLOOKUP('1.DATOS-PROD'!N$2,'1.PUNTOS'!$A$1:$B$63,2,0),0)</f>
        <v>0</v>
      </c>
      <c r="F42" s="138">
        <f>IF('1.DATOS-PROD'!O43="SI",VLOOKUP('1.DATOS-PROD'!O$2,'1.PUNTOS'!$A$1:$B$63,2,0),0)</f>
        <v>0</v>
      </c>
      <c r="G42" s="138">
        <f>IF('1.DATOS-PROD'!P43="SI",VLOOKUP('1.DATOS-PROD'!P$2,'1.PUNTOS'!$A$1:$B$63,2,0),0)</f>
        <v>0</v>
      </c>
      <c r="H42" s="138">
        <f>IF('1.DATOS-PROD'!Q43="SI",VLOOKUP('1.DATOS-PROD'!Q$2,'1.PUNTOS'!$A$1:$B$63,2,0),0)</f>
        <v>0</v>
      </c>
      <c r="I42" s="138">
        <f>IF('1.DATOS-PROD'!R43="SI",VLOOKUP('1.DATOS-PROD'!R$2,'1.PUNTOS'!$A$1:$B$63,2,0),0)</f>
        <v>0</v>
      </c>
      <c r="J42" s="138">
        <f>IF('1.DATOS-PROD'!S43="SI",VLOOKUP('1.DATOS-PROD'!S$2,'1.PUNTOS'!$A$1:$B$63,2,0),0)</f>
        <v>0</v>
      </c>
      <c r="K42" s="138">
        <f>IF('1.DATOS-PROD'!T43="SI",VLOOKUP('1.DATOS-PROD'!T$2,'1.PUNTOS'!$A$1:$B$63,2,0),0)</f>
        <v>0</v>
      </c>
      <c r="L42" s="138">
        <f>IF('1.DATOS-PROD'!U43="SI",VLOOKUP('1.DATOS-PROD'!U$2,'1.PUNTOS'!$A$1:$B$63,2,0),0)</f>
        <v>0</v>
      </c>
      <c r="M42" s="138">
        <f>IF('1.DATOS-PROD'!V43="SI",VLOOKUP('1.DATOS-PROD'!V$2,'1.PUNTOS'!$A$1:$B$63,2,0),0)</f>
        <v>0</v>
      </c>
      <c r="N42" s="138">
        <f>IF('1.DATOS-PROD'!W43="SI",VLOOKUP('1.DATOS-PROD'!W$2,'1.PUNTOS'!$A$1:$B$63,2,0),0)</f>
        <v>0</v>
      </c>
      <c r="O42" s="138">
        <f>IF('1.DATOS-PROD'!X43="SI",VLOOKUP('1.DATOS-PROD'!X$2,'1.PUNTOS'!$A$1:$B$63,2,0),0)</f>
        <v>0</v>
      </c>
      <c r="P42" s="138">
        <f>IF('1.DATOS-PROD'!Y43="SI",VLOOKUP('1.DATOS-PROD'!Y$2,'1.PUNTOS'!$A$1:$B$63,2,0),0)</f>
        <v>0</v>
      </c>
      <c r="Q42" s="138">
        <f>IF('1.DATOS-PROD'!Z43="SI",VLOOKUP('1.DATOS-PROD'!Z$2,'1.PUNTOS'!$A$1:$B$63,2,0),0)</f>
        <v>0</v>
      </c>
      <c r="R42" s="138">
        <f>IF('1.DATOS-PROD'!AA43="SI",VLOOKUP('1.DATOS-PROD'!AA$2,'1.PUNTOS'!$A$1:$B$63,2,0),0)</f>
        <v>0</v>
      </c>
      <c r="S42" s="138">
        <f>IF('1.DATOS-PROD'!AB43="SI",VLOOKUP('1.DATOS-PROD'!AB$2,'1.PUNTOS'!$A$1:$B$63,2,0),0)</f>
        <v>0</v>
      </c>
      <c r="T42" s="138">
        <f>IF('1.DATOS-PROD'!AC43="SI",VLOOKUP('1.DATOS-PROD'!AC$2,'1.PUNTOS'!$A$1:$B$63,2,0),0)</f>
        <v>0</v>
      </c>
      <c r="U42" s="138">
        <f>IF('1.DATOS-PROD'!AD43="SI",VLOOKUP('1.DATOS-PROD'!AD$2,'1.PUNTOS'!$A$1:$B$63,2,0),0)</f>
        <v>0</v>
      </c>
      <c r="V42" s="138">
        <f>IF('1.DATOS-PROD'!AE43="SI",VLOOKUP('1.DATOS-PROD'!AE$2,'1.PUNTOS'!$A$1:$B$63,2,0),0)</f>
        <v>0</v>
      </c>
      <c r="W42" s="138">
        <f>IF('1.DATOS-PROD'!AF43="SI",VLOOKUP('1.DATOS-PROD'!AF$2,'1.PUNTOS'!$A$1:$B$63,2,0),0)</f>
        <v>0</v>
      </c>
      <c r="X42" s="138">
        <f>IF('1.DATOS-PROD'!AG43="SI",VLOOKUP('1.DATOS-PROD'!AG$2,'1.PUNTOS'!$A$1:$B$63,2,0),0)</f>
        <v>0</v>
      </c>
      <c r="Y42" s="138">
        <f>IF('1.DATOS-PROD'!AH43="SI",VLOOKUP('1.DATOS-PROD'!AH$2,'1.PUNTOS'!$A$1:$B$63,2,0),0)</f>
        <v>0</v>
      </c>
      <c r="Z42" s="138">
        <f>IF('1.DATOS-PROD'!AI43="SI",VLOOKUP('1.DATOS-PROD'!AI$2,'1.PUNTOS'!$A$1:$B$63,2,0),0)</f>
        <v>0</v>
      </c>
      <c r="AA42" s="138">
        <f>IF('1.DATOS-PROD'!AJ43="SI",VLOOKUP('1.DATOS-PROD'!AJ$2,'1.PUNTOS'!$A$1:$B$63,2,0),0)</f>
        <v>0</v>
      </c>
      <c r="AB42" s="138">
        <f>IF('1.DATOS-PROD'!AK43="SI",VLOOKUP('1.DATOS-PROD'!AK$2,'1.PUNTOS'!$A$1:$B$63,2,0),0)</f>
        <v>0</v>
      </c>
      <c r="AC42" s="138">
        <f>IF('1.DATOS-PROD'!AL43="SI",VLOOKUP('1.DATOS-PROD'!AL$2,'1.PUNTOS'!$A$1:$B$63,2,0),0)</f>
        <v>0</v>
      </c>
      <c r="AD42" s="138">
        <f>IF('1.DATOS-PROD'!AM43="SI",VLOOKUP('1.DATOS-PROD'!AM$2,'1.PUNTOS'!$A$1:$B$63,2,0),0)</f>
        <v>0</v>
      </c>
      <c r="AE42" s="138">
        <f>IF('1.DATOS-PROD'!AN43="SI",VLOOKUP('1.DATOS-PROD'!AN$2,'1.PUNTOS'!$A$1:$B$63,2,0),0)</f>
        <v>0</v>
      </c>
      <c r="AF42" s="138">
        <f>IF('1.DATOS-PROD'!AO43="SI",VLOOKUP('1.DATOS-PROD'!AO$2,'1.PUNTOS'!$A$1:$B$63,2,0),0)</f>
        <v>0</v>
      </c>
      <c r="AG42" s="138">
        <f>IF('1.DATOS-PROD'!AP43="SI",VLOOKUP('1.DATOS-PROD'!AP$2,'1.PUNTOS'!$A$1:$B$63,2,0),0)</f>
        <v>0</v>
      </c>
      <c r="AH42" s="138">
        <f>IF('1.DATOS-PROD'!AQ43="SI",VLOOKUP('1.DATOS-PROD'!AQ$2,'1.PUNTOS'!$A$1:$B$63,2,0),0)</f>
        <v>0</v>
      </c>
      <c r="AI42" s="138">
        <f>IF('1.DATOS-PROD'!AR43="SI",VLOOKUP('1.DATOS-PROD'!AR$2,'1.PUNTOS'!$A$1:$B$63,2,0),0)</f>
        <v>0</v>
      </c>
      <c r="AJ42" s="138">
        <f>IF('1.DATOS-PROD'!AS43="SI",VLOOKUP('1.DATOS-PROD'!AS$2,'1.PUNTOS'!$A$1:$B$63,2,0),0)</f>
        <v>0</v>
      </c>
      <c r="AK42" s="138">
        <f>IF('1.DATOS-PROD'!AT43="SI",VLOOKUP('1.DATOS-PROD'!AT$2,'1.PUNTOS'!$A$1:$B$63,2,0),0)</f>
        <v>0</v>
      </c>
      <c r="AL42" s="138">
        <f>IF('1.DATOS-PROD'!AU43="SI",VLOOKUP('1.DATOS-PROD'!AU$2,'1.PUNTOS'!$A$1:$B$63,2,0),0)</f>
        <v>0</v>
      </c>
      <c r="AM42" s="138">
        <f>IF('1.DATOS-PROD'!AV43="SI",VLOOKUP('1.DATOS-PROD'!AV$2,'1.PUNTOS'!$A$1:$B$63,2,0),0)</f>
        <v>0</v>
      </c>
      <c r="AN42" s="138">
        <f>IF('1.DATOS-PROD'!AW43="SI",VLOOKUP('1.DATOS-PROD'!AW$2,'1.PUNTOS'!$A$1:$B$63,2,0),0)</f>
        <v>0</v>
      </c>
      <c r="AO42" s="138">
        <f>IF('1.DATOS-PROD'!AX43="SI",VLOOKUP('1.DATOS-PROD'!AX$2,'1.PUNTOS'!$A$1:$B$63,2,0),0)</f>
        <v>0</v>
      </c>
      <c r="AP42" s="138">
        <f>IF('1.DATOS-PROD'!AY43="SI",VLOOKUP('1.DATOS-PROD'!AY$2,'1.PUNTOS'!$A$1:$B$63,2,0),0)</f>
        <v>0</v>
      </c>
      <c r="AQ42" s="138">
        <f>IF('1.DATOS-PROD'!AZ43="SI",VLOOKUP('1.DATOS-PROD'!AZ$2,'1.PUNTOS'!$A$1:$B$63,2,0),0)</f>
        <v>0</v>
      </c>
      <c r="AR42" s="138">
        <f>IF('1.DATOS-PROD'!BA43="SI",VLOOKUP('1.DATOS-PROD'!BA$2,'1.PUNTOS'!$A$1:$B$63,2,0),0)</f>
        <v>0</v>
      </c>
      <c r="AS42" s="138">
        <f>IF('1.DATOS-PROD'!BB43="SI",VLOOKUP('1.DATOS-PROD'!BB$2,'1.PUNTOS'!$A$1:$B$63,2,0),0)</f>
        <v>0</v>
      </c>
      <c r="AT42" s="138">
        <f>IF('1.DATOS-PROD'!BC43="SI",VLOOKUP('1.DATOS-PROD'!BC$2,'1.PUNTOS'!$A$1:$B$63,2,0),0)</f>
        <v>0</v>
      </c>
      <c r="AU42" s="138">
        <f>IF('1.DATOS-PROD'!BD43="SI",VLOOKUP('1.DATOS-PROD'!BD$2,'1.PUNTOS'!$A$1:$B$63,2,0),0)</f>
        <v>0</v>
      </c>
      <c r="AV42" s="138">
        <f>IF('1.DATOS-PROD'!BE43="SI",VLOOKUP('1.DATOS-PROD'!BE$2,'1.PUNTOS'!$A$1:$B$63,2,0),0)</f>
        <v>0</v>
      </c>
      <c r="AW42" s="138">
        <f>IF('1.DATOS-PROD'!BF43="SI",VLOOKUP('1.DATOS-PROD'!BF$2,'1.PUNTOS'!$A$1:$B$63,2,0),0)</f>
        <v>0</v>
      </c>
      <c r="AX42" s="138">
        <f>IF('1.DATOS-PROD'!BG43="SI",VLOOKUP('1.DATOS-PROD'!BG$2,'1.PUNTOS'!$A$1:$B$63,2,0),0)</f>
        <v>0</v>
      </c>
      <c r="AY42" s="138">
        <f>IF('1.DATOS-PROD'!BH43="SI",VLOOKUP('1.DATOS-PROD'!BH$2,'1.PUNTOS'!$A$1:$B$63,2,0),0)</f>
        <v>0</v>
      </c>
      <c r="AZ42" s="138">
        <f>IF('1.DATOS-PROD'!BI43="SI",VLOOKUP('1.DATOS-PROD'!BI$2,'1.PUNTOS'!$A$1:$B$63,2,0),0)</f>
        <v>0</v>
      </c>
      <c r="BA42" s="138">
        <f>IF('1.DATOS-PROD'!BJ43="SI",VLOOKUP('1.DATOS-PROD'!BJ$2,'1.PUNTOS'!$A$1:$B$63,2,0),0)</f>
        <v>0</v>
      </c>
      <c r="BB42" s="138">
        <f>IF('1.DATOS-PROD'!BK43="SI",VLOOKUP('1.DATOS-PROD'!BK$2,'1.PUNTOS'!$A$1:$B$63,2,0),0)</f>
        <v>0</v>
      </c>
      <c r="BC42" s="138">
        <f>IF('1.DATOS-PROD'!BL43="SI",VLOOKUP('1.DATOS-PROD'!BL$2,'1.PUNTOS'!$A$1:$B$63,2,0),0)</f>
        <v>0</v>
      </c>
      <c r="BD42" s="138">
        <f>IF('1.DATOS-PROD'!BM43="SI",VLOOKUP('1.DATOS-PROD'!BM$2,'1.PUNTOS'!$A$1:$B$63,2,0),0)</f>
        <v>0</v>
      </c>
      <c r="BE42" s="138">
        <f>IF('1.DATOS-PROD'!BN43="SI",VLOOKUP('1.DATOS-PROD'!BN$2,'1.PUNTOS'!$A$1:$B$63,2,0),0)</f>
        <v>0</v>
      </c>
      <c r="BF42" s="138">
        <f>IF('1.DATOS-PROD'!BO43="SI",VLOOKUP('1.DATOS-PROD'!BO$2,'1.PUNTOS'!$A$1:$B$63,2,0),0)</f>
        <v>0</v>
      </c>
      <c r="BG42" s="138">
        <f>IF('1.DATOS-PROD'!BP43="SI",VLOOKUP('1.DATOS-PROD'!BP$2,'1.PUNTOS'!$A$1:$B$63,2,0),0)</f>
        <v>0</v>
      </c>
      <c r="BH42" s="138">
        <f>IF('1.DATOS-PROD'!BQ43="SI",VLOOKUP('1.DATOS-PROD'!BQ$2,'1.PUNTOS'!$A$1:$B$63,2,0),0)</f>
        <v>0</v>
      </c>
      <c r="BI42" s="138">
        <f>IF('1.DATOS-PROD'!BR43="SI",VLOOKUP('1.DATOS-PROD'!BR$2,'1.PUNTOS'!$A$1:$B$63,2,0),0)</f>
        <v>0</v>
      </c>
      <c r="BJ42" s="138">
        <f>IF('1.DATOS-PROD'!BS43="SI",VLOOKUP('1.DATOS-PROD'!BS$2,'1.PUNTOS'!$A$1:$B$63,2,0),0)</f>
        <v>0</v>
      </c>
      <c r="BK42" s="138">
        <f>IF('1.DATOS-PROD'!BT43="SI",VLOOKUP('1.DATOS-PROD'!BT$2,'1.PUNTOS'!$A$1:$B$63,2,0),0)</f>
        <v>0</v>
      </c>
    </row>
    <row r="43" spans="1:63" x14ac:dyDescent="0.25">
      <c r="A43">
        <f>'0.Consolidado general'!$A44</f>
        <v>0</v>
      </c>
      <c r="B43" s="138">
        <f>IF('1.DATOS-PROD'!K44="SI",VLOOKUP('1.DATOS-PROD'!K$2,'1.PUNTOS'!$A$1:$B$63,2,0),0)</f>
        <v>0</v>
      </c>
      <c r="C43" s="138">
        <f>IF('1.DATOS-PROD'!L44="SI",VLOOKUP('1.DATOS-PROD'!L$2,'1.PUNTOS'!$A$1:$B$63,2,0),0)</f>
        <v>0</v>
      </c>
      <c r="D43" s="138">
        <f>IF('1.DATOS-PROD'!M44="SI",VLOOKUP('1.DATOS-PROD'!M$2,'1.PUNTOS'!$A$1:$B$63,2,0),0)</f>
        <v>0</v>
      </c>
      <c r="E43" s="138">
        <f>IF('1.DATOS-PROD'!N44="SI",VLOOKUP('1.DATOS-PROD'!N$2,'1.PUNTOS'!$A$1:$B$63,2,0),0)</f>
        <v>0</v>
      </c>
      <c r="F43" s="138">
        <f>IF('1.DATOS-PROD'!O44="SI",VLOOKUP('1.DATOS-PROD'!O$2,'1.PUNTOS'!$A$1:$B$63,2,0),0)</f>
        <v>0</v>
      </c>
      <c r="G43" s="138">
        <f>IF('1.DATOS-PROD'!P44="SI",VLOOKUP('1.DATOS-PROD'!P$2,'1.PUNTOS'!$A$1:$B$63,2,0),0)</f>
        <v>0</v>
      </c>
      <c r="H43" s="138">
        <f>IF('1.DATOS-PROD'!Q44="SI",VLOOKUP('1.DATOS-PROD'!Q$2,'1.PUNTOS'!$A$1:$B$63,2,0),0)</f>
        <v>0</v>
      </c>
      <c r="I43" s="138">
        <f>IF('1.DATOS-PROD'!R44="SI",VLOOKUP('1.DATOS-PROD'!R$2,'1.PUNTOS'!$A$1:$B$63,2,0),0)</f>
        <v>0</v>
      </c>
      <c r="J43" s="138">
        <f>IF('1.DATOS-PROD'!S44="SI",VLOOKUP('1.DATOS-PROD'!S$2,'1.PUNTOS'!$A$1:$B$63,2,0),0)</f>
        <v>0</v>
      </c>
      <c r="K43" s="138">
        <f>IF('1.DATOS-PROD'!T44="SI",VLOOKUP('1.DATOS-PROD'!T$2,'1.PUNTOS'!$A$1:$B$63,2,0),0)</f>
        <v>0</v>
      </c>
      <c r="L43" s="138">
        <f>IF('1.DATOS-PROD'!U44="SI",VLOOKUP('1.DATOS-PROD'!U$2,'1.PUNTOS'!$A$1:$B$63,2,0),0)</f>
        <v>0</v>
      </c>
      <c r="M43" s="138">
        <f>IF('1.DATOS-PROD'!V44="SI",VLOOKUP('1.DATOS-PROD'!V$2,'1.PUNTOS'!$A$1:$B$63,2,0),0)</f>
        <v>0</v>
      </c>
      <c r="N43" s="138">
        <f>IF('1.DATOS-PROD'!W44="SI",VLOOKUP('1.DATOS-PROD'!W$2,'1.PUNTOS'!$A$1:$B$63,2,0),0)</f>
        <v>0</v>
      </c>
      <c r="O43" s="138">
        <f>IF('1.DATOS-PROD'!X44="SI",VLOOKUP('1.DATOS-PROD'!X$2,'1.PUNTOS'!$A$1:$B$63,2,0),0)</f>
        <v>0</v>
      </c>
      <c r="P43" s="138">
        <f>IF('1.DATOS-PROD'!Y44="SI",VLOOKUP('1.DATOS-PROD'!Y$2,'1.PUNTOS'!$A$1:$B$63,2,0),0)</f>
        <v>0</v>
      </c>
      <c r="Q43" s="138">
        <f>IF('1.DATOS-PROD'!Z44="SI",VLOOKUP('1.DATOS-PROD'!Z$2,'1.PUNTOS'!$A$1:$B$63,2,0),0)</f>
        <v>0</v>
      </c>
      <c r="R43" s="138">
        <f>IF('1.DATOS-PROD'!AA44="SI",VLOOKUP('1.DATOS-PROD'!AA$2,'1.PUNTOS'!$A$1:$B$63,2,0),0)</f>
        <v>0</v>
      </c>
      <c r="S43" s="138">
        <f>IF('1.DATOS-PROD'!AB44="SI",VLOOKUP('1.DATOS-PROD'!AB$2,'1.PUNTOS'!$A$1:$B$63,2,0),0)</f>
        <v>0</v>
      </c>
      <c r="T43" s="138">
        <f>IF('1.DATOS-PROD'!AC44="SI",VLOOKUP('1.DATOS-PROD'!AC$2,'1.PUNTOS'!$A$1:$B$63,2,0),0)</f>
        <v>0</v>
      </c>
      <c r="U43" s="138">
        <f>IF('1.DATOS-PROD'!AD44="SI",VLOOKUP('1.DATOS-PROD'!AD$2,'1.PUNTOS'!$A$1:$B$63,2,0),0)</f>
        <v>0</v>
      </c>
      <c r="V43" s="138">
        <f>IF('1.DATOS-PROD'!AE44="SI",VLOOKUP('1.DATOS-PROD'!AE$2,'1.PUNTOS'!$A$1:$B$63,2,0),0)</f>
        <v>0</v>
      </c>
      <c r="W43" s="138">
        <f>IF('1.DATOS-PROD'!AF44="SI",VLOOKUP('1.DATOS-PROD'!AF$2,'1.PUNTOS'!$A$1:$B$63,2,0),0)</f>
        <v>0</v>
      </c>
      <c r="X43" s="138">
        <f>IF('1.DATOS-PROD'!AG44="SI",VLOOKUP('1.DATOS-PROD'!AG$2,'1.PUNTOS'!$A$1:$B$63,2,0),0)</f>
        <v>0</v>
      </c>
      <c r="Y43" s="138">
        <f>IF('1.DATOS-PROD'!AH44="SI",VLOOKUP('1.DATOS-PROD'!AH$2,'1.PUNTOS'!$A$1:$B$63,2,0),0)</f>
        <v>0</v>
      </c>
      <c r="Z43" s="138">
        <f>IF('1.DATOS-PROD'!AI44="SI",VLOOKUP('1.DATOS-PROD'!AI$2,'1.PUNTOS'!$A$1:$B$63,2,0),0)</f>
        <v>0</v>
      </c>
      <c r="AA43" s="138">
        <f>IF('1.DATOS-PROD'!AJ44="SI",VLOOKUP('1.DATOS-PROD'!AJ$2,'1.PUNTOS'!$A$1:$B$63,2,0),0)</f>
        <v>0</v>
      </c>
      <c r="AB43" s="138">
        <f>IF('1.DATOS-PROD'!AK44="SI",VLOOKUP('1.DATOS-PROD'!AK$2,'1.PUNTOS'!$A$1:$B$63,2,0),0)</f>
        <v>0</v>
      </c>
      <c r="AC43" s="138">
        <f>IF('1.DATOS-PROD'!AL44="SI",VLOOKUP('1.DATOS-PROD'!AL$2,'1.PUNTOS'!$A$1:$B$63,2,0),0)</f>
        <v>0</v>
      </c>
      <c r="AD43" s="138">
        <f>IF('1.DATOS-PROD'!AM44="SI",VLOOKUP('1.DATOS-PROD'!AM$2,'1.PUNTOS'!$A$1:$B$63,2,0),0)</f>
        <v>0</v>
      </c>
      <c r="AE43" s="138">
        <f>IF('1.DATOS-PROD'!AN44="SI",VLOOKUP('1.DATOS-PROD'!AN$2,'1.PUNTOS'!$A$1:$B$63,2,0),0)</f>
        <v>0</v>
      </c>
      <c r="AF43" s="138">
        <f>IF('1.DATOS-PROD'!AO44="SI",VLOOKUP('1.DATOS-PROD'!AO$2,'1.PUNTOS'!$A$1:$B$63,2,0),0)</f>
        <v>0</v>
      </c>
      <c r="AG43" s="138">
        <f>IF('1.DATOS-PROD'!AP44="SI",VLOOKUP('1.DATOS-PROD'!AP$2,'1.PUNTOS'!$A$1:$B$63,2,0),0)</f>
        <v>0</v>
      </c>
      <c r="AH43" s="138">
        <f>IF('1.DATOS-PROD'!AQ44="SI",VLOOKUP('1.DATOS-PROD'!AQ$2,'1.PUNTOS'!$A$1:$B$63,2,0),0)</f>
        <v>0</v>
      </c>
      <c r="AI43" s="138">
        <f>IF('1.DATOS-PROD'!AR44="SI",VLOOKUP('1.DATOS-PROD'!AR$2,'1.PUNTOS'!$A$1:$B$63,2,0),0)</f>
        <v>0</v>
      </c>
      <c r="AJ43" s="138">
        <f>IF('1.DATOS-PROD'!AS44="SI",VLOOKUP('1.DATOS-PROD'!AS$2,'1.PUNTOS'!$A$1:$B$63,2,0),0)</f>
        <v>0</v>
      </c>
      <c r="AK43" s="138">
        <f>IF('1.DATOS-PROD'!AT44="SI",VLOOKUP('1.DATOS-PROD'!AT$2,'1.PUNTOS'!$A$1:$B$63,2,0),0)</f>
        <v>0</v>
      </c>
      <c r="AL43" s="138">
        <f>IF('1.DATOS-PROD'!AU44="SI",VLOOKUP('1.DATOS-PROD'!AU$2,'1.PUNTOS'!$A$1:$B$63,2,0),0)</f>
        <v>0</v>
      </c>
      <c r="AM43" s="138">
        <f>IF('1.DATOS-PROD'!AV44="SI",VLOOKUP('1.DATOS-PROD'!AV$2,'1.PUNTOS'!$A$1:$B$63,2,0),0)</f>
        <v>0</v>
      </c>
      <c r="AN43" s="138">
        <f>IF('1.DATOS-PROD'!AW44="SI",VLOOKUP('1.DATOS-PROD'!AW$2,'1.PUNTOS'!$A$1:$B$63,2,0),0)</f>
        <v>0</v>
      </c>
      <c r="AO43" s="138">
        <f>IF('1.DATOS-PROD'!AX44="SI",VLOOKUP('1.DATOS-PROD'!AX$2,'1.PUNTOS'!$A$1:$B$63,2,0),0)</f>
        <v>0</v>
      </c>
      <c r="AP43" s="138">
        <f>IF('1.DATOS-PROD'!AY44="SI",VLOOKUP('1.DATOS-PROD'!AY$2,'1.PUNTOS'!$A$1:$B$63,2,0),0)</f>
        <v>0</v>
      </c>
      <c r="AQ43" s="138">
        <f>IF('1.DATOS-PROD'!AZ44="SI",VLOOKUP('1.DATOS-PROD'!AZ$2,'1.PUNTOS'!$A$1:$B$63,2,0),0)</f>
        <v>0</v>
      </c>
      <c r="AR43" s="138">
        <f>IF('1.DATOS-PROD'!BA44="SI",VLOOKUP('1.DATOS-PROD'!BA$2,'1.PUNTOS'!$A$1:$B$63,2,0),0)</f>
        <v>0</v>
      </c>
      <c r="AS43" s="138">
        <f>IF('1.DATOS-PROD'!BB44="SI",VLOOKUP('1.DATOS-PROD'!BB$2,'1.PUNTOS'!$A$1:$B$63,2,0),0)</f>
        <v>0</v>
      </c>
      <c r="AT43" s="138">
        <f>IF('1.DATOS-PROD'!BC44="SI",VLOOKUP('1.DATOS-PROD'!BC$2,'1.PUNTOS'!$A$1:$B$63,2,0),0)</f>
        <v>0</v>
      </c>
      <c r="AU43" s="138">
        <f>IF('1.DATOS-PROD'!BD44="SI",VLOOKUP('1.DATOS-PROD'!BD$2,'1.PUNTOS'!$A$1:$B$63,2,0),0)</f>
        <v>0</v>
      </c>
      <c r="AV43" s="138">
        <f>IF('1.DATOS-PROD'!BE44="SI",VLOOKUP('1.DATOS-PROD'!BE$2,'1.PUNTOS'!$A$1:$B$63,2,0),0)</f>
        <v>0</v>
      </c>
      <c r="AW43" s="138">
        <f>IF('1.DATOS-PROD'!BF44="SI",VLOOKUP('1.DATOS-PROD'!BF$2,'1.PUNTOS'!$A$1:$B$63,2,0),0)</f>
        <v>0</v>
      </c>
      <c r="AX43" s="138">
        <f>IF('1.DATOS-PROD'!BG44="SI",VLOOKUP('1.DATOS-PROD'!BG$2,'1.PUNTOS'!$A$1:$B$63,2,0),0)</f>
        <v>0</v>
      </c>
      <c r="AY43" s="138">
        <f>IF('1.DATOS-PROD'!BH44="SI",VLOOKUP('1.DATOS-PROD'!BH$2,'1.PUNTOS'!$A$1:$B$63,2,0),0)</f>
        <v>0</v>
      </c>
      <c r="AZ43" s="138">
        <f>IF('1.DATOS-PROD'!BI44="SI",VLOOKUP('1.DATOS-PROD'!BI$2,'1.PUNTOS'!$A$1:$B$63,2,0),0)</f>
        <v>0</v>
      </c>
      <c r="BA43" s="138">
        <f>IF('1.DATOS-PROD'!BJ44="SI",VLOOKUP('1.DATOS-PROD'!BJ$2,'1.PUNTOS'!$A$1:$B$63,2,0),0)</f>
        <v>0</v>
      </c>
      <c r="BB43" s="138">
        <f>IF('1.DATOS-PROD'!BK44="SI",VLOOKUP('1.DATOS-PROD'!BK$2,'1.PUNTOS'!$A$1:$B$63,2,0),0)</f>
        <v>0</v>
      </c>
      <c r="BC43" s="138">
        <f>IF('1.DATOS-PROD'!BL44="SI",VLOOKUP('1.DATOS-PROD'!BL$2,'1.PUNTOS'!$A$1:$B$63,2,0),0)</f>
        <v>0</v>
      </c>
      <c r="BD43" s="138">
        <f>IF('1.DATOS-PROD'!BM44="SI",VLOOKUP('1.DATOS-PROD'!BM$2,'1.PUNTOS'!$A$1:$B$63,2,0),0)</f>
        <v>0</v>
      </c>
      <c r="BE43" s="138">
        <f>IF('1.DATOS-PROD'!BN44="SI",VLOOKUP('1.DATOS-PROD'!BN$2,'1.PUNTOS'!$A$1:$B$63,2,0),0)</f>
        <v>0</v>
      </c>
      <c r="BF43" s="138">
        <f>IF('1.DATOS-PROD'!BO44="SI",VLOOKUP('1.DATOS-PROD'!BO$2,'1.PUNTOS'!$A$1:$B$63,2,0),0)</f>
        <v>0</v>
      </c>
      <c r="BG43" s="138">
        <f>IF('1.DATOS-PROD'!BP44="SI",VLOOKUP('1.DATOS-PROD'!BP$2,'1.PUNTOS'!$A$1:$B$63,2,0),0)</f>
        <v>0</v>
      </c>
      <c r="BH43" s="138">
        <f>IF('1.DATOS-PROD'!BQ44="SI",VLOOKUP('1.DATOS-PROD'!BQ$2,'1.PUNTOS'!$A$1:$B$63,2,0),0)</f>
        <v>0</v>
      </c>
      <c r="BI43" s="138">
        <f>IF('1.DATOS-PROD'!BR44="SI",VLOOKUP('1.DATOS-PROD'!BR$2,'1.PUNTOS'!$A$1:$B$63,2,0),0)</f>
        <v>0</v>
      </c>
      <c r="BJ43" s="138">
        <f>IF('1.DATOS-PROD'!BS44="SI",VLOOKUP('1.DATOS-PROD'!BS$2,'1.PUNTOS'!$A$1:$B$63,2,0),0)</f>
        <v>0</v>
      </c>
      <c r="BK43" s="138">
        <f>IF('1.DATOS-PROD'!BT44="SI",VLOOKUP('1.DATOS-PROD'!BT$2,'1.PUNTOS'!$A$1:$B$63,2,0),0)</f>
        <v>0</v>
      </c>
    </row>
    <row r="44" spans="1:63" x14ac:dyDescent="0.25">
      <c r="A44">
        <f>'0.Consolidado general'!$A45</f>
        <v>0</v>
      </c>
      <c r="B44" s="138">
        <f>IF('1.DATOS-PROD'!K45="SI",VLOOKUP('1.DATOS-PROD'!K$2,'1.PUNTOS'!$A$1:$B$63,2,0),0)</f>
        <v>0</v>
      </c>
      <c r="C44" s="138">
        <f>IF('1.DATOS-PROD'!L45="SI",VLOOKUP('1.DATOS-PROD'!L$2,'1.PUNTOS'!$A$1:$B$63,2,0),0)</f>
        <v>0</v>
      </c>
      <c r="D44" s="138">
        <f>IF('1.DATOS-PROD'!M45="SI",VLOOKUP('1.DATOS-PROD'!M$2,'1.PUNTOS'!$A$1:$B$63,2,0),0)</f>
        <v>0</v>
      </c>
      <c r="E44" s="138">
        <f>IF('1.DATOS-PROD'!N45="SI",VLOOKUP('1.DATOS-PROD'!N$2,'1.PUNTOS'!$A$1:$B$63,2,0),0)</f>
        <v>0</v>
      </c>
      <c r="F44" s="138">
        <f>IF('1.DATOS-PROD'!O45="SI",VLOOKUP('1.DATOS-PROD'!O$2,'1.PUNTOS'!$A$1:$B$63,2,0),0)</f>
        <v>0</v>
      </c>
      <c r="G44" s="138">
        <f>IF('1.DATOS-PROD'!P45="SI",VLOOKUP('1.DATOS-PROD'!P$2,'1.PUNTOS'!$A$1:$B$63,2,0),0)</f>
        <v>0</v>
      </c>
      <c r="H44" s="138">
        <f>IF('1.DATOS-PROD'!Q45="SI",VLOOKUP('1.DATOS-PROD'!Q$2,'1.PUNTOS'!$A$1:$B$63,2,0),0)</f>
        <v>0</v>
      </c>
      <c r="I44" s="138">
        <f>IF('1.DATOS-PROD'!R45="SI",VLOOKUP('1.DATOS-PROD'!R$2,'1.PUNTOS'!$A$1:$B$63,2,0),0)</f>
        <v>0</v>
      </c>
      <c r="J44" s="138">
        <f>IF('1.DATOS-PROD'!S45="SI",VLOOKUP('1.DATOS-PROD'!S$2,'1.PUNTOS'!$A$1:$B$63,2,0),0)</f>
        <v>0</v>
      </c>
      <c r="K44" s="138">
        <f>IF('1.DATOS-PROD'!T45="SI",VLOOKUP('1.DATOS-PROD'!T$2,'1.PUNTOS'!$A$1:$B$63,2,0),0)</f>
        <v>0</v>
      </c>
      <c r="L44" s="138">
        <f>IF('1.DATOS-PROD'!U45="SI",VLOOKUP('1.DATOS-PROD'!U$2,'1.PUNTOS'!$A$1:$B$63,2,0),0)</f>
        <v>0</v>
      </c>
      <c r="M44" s="138">
        <f>IF('1.DATOS-PROD'!V45="SI",VLOOKUP('1.DATOS-PROD'!V$2,'1.PUNTOS'!$A$1:$B$63,2,0),0)</f>
        <v>0</v>
      </c>
      <c r="N44" s="138">
        <f>IF('1.DATOS-PROD'!W45="SI",VLOOKUP('1.DATOS-PROD'!W$2,'1.PUNTOS'!$A$1:$B$63,2,0),0)</f>
        <v>0</v>
      </c>
      <c r="O44" s="138">
        <f>IF('1.DATOS-PROD'!X45="SI",VLOOKUP('1.DATOS-PROD'!X$2,'1.PUNTOS'!$A$1:$B$63,2,0),0)</f>
        <v>0</v>
      </c>
      <c r="P44" s="138">
        <f>IF('1.DATOS-PROD'!Y45="SI",VLOOKUP('1.DATOS-PROD'!Y$2,'1.PUNTOS'!$A$1:$B$63,2,0),0)</f>
        <v>0</v>
      </c>
      <c r="Q44" s="138">
        <f>IF('1.DATOS-PROD'!Z45="SI",VLOOKUP('1.DATOS-PROD'!Z$2,'1.PUNTOS'!$A$1:$B$63,2,0),0)</f>
        <v>0</v>
      </c>
      <c r="R44" s="138">
        <f>IF('1.DATOS-PROD'!AA45="SI",VLOOKUP('1.DATOS-PROD'!AA$2,'1.PUNTOS'!$A$1:$B$63,2,0),0)</f>
        <v>0</v>
      </c>
      <c r="S44" s="138">
        <f>IF('1.DATOS-PROD'!AB45="SI",VLOOKUP('1.DATOS-PROD'!AB$2,'1.PUNTOS'!$A$1:$B$63,2,0),0)</f>
        <v>0</v>
      </c>
      <c r="T44" s="138">
        <f>IF('1.DATOS-PROD'!AC45="SI",VLOOKUP('1.DATOS-PROD'!AC$2,'1.PUNTOS'!$A$1:$B$63,2,0),0)</f>
        <v>0</v>
      </c>
      <c r="U44" s="138">
        <f>IF('1.DATOS-PROD'!AD45="SI",VLOOKUP('1.DATOS-PROD'!AD$2,'1.PUNTOS'!$A$1:$B$63,2,0),0)</f>
        <v>0</v>
      </c>
      <c r="V44" s="138">
        <f>IF('1.DATOS-PROD'!AE45="SI",VLOOKUP('1.DATOS-PROD'!AE$2,'1.PUNTOS'!$A$1:$B$63,2,0),0)</f>
        <v>0</v>
      </c>
      <c r="W44" s="138">
        <f>IF('1.DATOS-PROD'!AF45="SI",VLOOKUP('1.DATOS-PROD'!AF$2,'1.PUNTOS'!$A$1:$B$63,2,0),0)</f>
        <v>0</v>
      </c>
      <c r="X44" s="138">
        <f>IF('1.DATOS-PROD'!AG45="SI",VLOOKUP('1.DATOS-PROD'!AG$2,'1.PUNTOS'!$A$1:$B$63,2,0),0)</f>
        <v>0</v>
      </c>
      <c r="Y44" s="138">
        <f>IF('1.DATOS-PROD'!AH45="SI",VLOOKUP('1.DATOS-PROD'!AH$2,'1.PUNTOS'!$A$1:$B$63,2,0),0)</f>
        <v>0</v>
      </c>
      <c r="Z44" s="138">
        <f>IF('1.DATOS-PROD'!AI45="SI",VLOOKUP('1.DATOS-PROD'!AI$2,'1.PUNTOS'!$A$1:$B$63,2,0),0)</f>
        <v>0</v>
      </c>
      <c r="AA44" s="138">
        <f>IF('1.DATOS-PROD'!AJ45="SI",VLOOKUP('1.DATOS-PROD'!AJ$2,'1.PUNTOS'!$A$1:$B$63,2,0),0)</f>
        <v>0</v>
      </c>
      <c r="AB44" s="138">
        <f>IF('1.DATOS-PROD'!AK45="SI",VLOOKUP('1.DATOS-PROD'!AK$2,'1.PUNTOS'!$A$1:$B$63,2,0),0)</f>
        <v>0</v>
      </c>
      <c r="AC44" s="138">
        <f>IF('1.DATOS-PROD'!AL45="SI",VLOOKUP('1.DATOS-PROD'!AL$2,'1.PUNTOS'!$A$1:$B$63,2,0),0)</f>
        <v>0</v>
      </c>
      <c r="AD44" s="138">
        <f>IF('1.DATOS-PROD'!AM45="SI",VLOOKUP('1.DATOS-PROD'!AM$2,'1.PUNTOS'!$A$1:$B$63,2,0),0)</f>
        <v>0</v>
      </c>
      <c r="AE44" s="138">
        <f>IF('1.DATOS-PROD'!AN45="SI",VLOOKUP('1.DATOS-PROD'!AN$2,'1.PUNTOS'!$A$1:$B$63,2,0),0)</f>
        <v>0</v>
      </c>
      <c r="AF44" s="138">
        <f>IF('1.DATOS-PROD'!AO45="SI",VLOOKUP('1.DATOS-PROD'!AO$2,'1.PUNTOS'!$A$1:$B$63,2,0),0)</f>
        <v>0</v>
      </c>
      <c r="AG44" s="138">
        <f>IF('1.DATOS-PROD'!AP45="SI",VLOOKUP('1.DATOS-PROD'!AP$2,'1.PUNTOS'!$A$1:$B$63,2,0),0)</f>
        <v>0</v>
      </c>
      <c r="AH44" s="138">
        <f>IF('1.DATOS-PROD'!AQ45="SI",VLOOKUP('1.DATOS-PROD'!AQ$2,'1.PUNTOS'!$A$1:$B$63,2,0),0)</f>
        <v>0</v>
      </c>
      <c r="AI44" s="138">
        <f>IF('1.DATOS-PROD'!AR45="SI",VLOOKUP('1.DATOS-PROD'!AR$2,'1.PUNTOS'!$A$1:$B$63,2,0),0)</f>
        <v>0</v>
      </c>
      <c r="AJ44" s="138">
        <f>IF('1.DATOS-PROD'!AS45="SI",VLOOKUP('1.DATOS-PROD'!AS$2,'1.PUNTOS'!$A$1:$B$63,2,0),0)</f>
        <v>0</v>
      </c>
      <c r="AK44" s="138">
        <f>IF('1.DATOS-PROD'!AT45="SI",VLOOKUP('1.DATOS-PROD'!AT$2,'1.PUNTOS'!$A$1:$B$63,2,0),0)</f>
        <v>0</v>
      </c>
      <c r="AL44" s="138">
        <f>IF('1.DATOS-PROD'!AU45="SI",VLOOKUP('1.DATOS-PROD'!AU$2,'1.PUNTOS'!$A$1:$B$63,2,0),0)</f>
        <v>0</v>
      </c>
      <c r="AM44" s="138">
        <f>IF('1.DATOS-PROD'!AV45="SI",VLOOKUP('1.DATOS-PROD'!AV$2,'1.PUNTOS'!$A$1:$B$63,2,0),0)</f>
        <v>0</v>
      </c>
      <c r="AN44" s="138">
        <f>IF('1.DATOS-PROD'!AW45="SI",VLOOKUP('1.DATOS-PROD'!AW$2,'1.PUNTOS'!$A$1:$B$63,2,0),0)</f>
        <v>0</v>
      </c>
      <c r="AO44" s="138">
        <f>IF('1.DATOS-PROD'!AX45="SI",VLOOKUP('1.DATOS-PROD'!AX$2,'1.PUNTOS'!$A$1:$B$63,2,0),0)</f>
        <v>0</v>
      </c>
      <c r="AP44" s="138">
        <f>IF('1.DATOS-PROD'!AY45="SI",VLOOKUP('1.DATOS-PROD'!AY$2,'1.PUNTOS'!$A$1:$B$63,2,0),0)</f>
        <v>0</v>
      </c>
      <c r="AQ44" s="138">
        <f>IF('1.DATOS-PROD'!AZ45="SI",VLOOKUP('1.DATOS-PROD'!AZ$2,'1.PUNTOS'!$A$1:$B$63,2,0),0)</f>
        <v>0</v>
      </c>
      <c r="AR44" s="138">
        <f>IF('1.DATOS-PROD'!BA45="SI",VLOOKUP('1.DATOS-PROD'!BA$2,'1.PUNTOS'!$A$1:$B$63,2,0),0)</f>
        <v>0</v>
      </c>
      <c r="AS44" s="138">
        <f>IF('1.DATOS-PROD'!BB45="SI",VLOOKUP('1.DATOS-PROD'!BB$2,'1.PUNTOS'!$A$1:$B$63,2,0),0)</f>
        <v>0</v>
      </c>
      <c r="AT44" s="138">
        <f>IF('1.DATOS-PROD'!BC45="SI",VLOOKUP('1.DATOS-PROD'!BC$2,'1.PUNTOS'!$A$1:$B$63,2,0),0)</f>
        <v>0</v>
      </c>
      <c r="AU44" s="138">
        <f>IF('1.DATOS-PROD'!BD45="SI",VLOOKUP('1.DATOS-PROD'!BD$2,'1.PUNTOS'!$A$1:$B$63,2,0),0)</f>
        <v>0</v>
      </c>
      <c r="AV44" s="138">
        <f>IF('1.DATOS-PROD'!BE45="SI",VLOOKUP('1.DATOS-PROD'!BE$2,'1.PUNTOS'!$A$1:$B$63,2,0),0)</f>
        <v>0</v>
      </c>
      <c r="AW44" s="138">
        <f>IF('1.DATOS-PROD'!BF45="SI",VLOOKUP('1.DATOS-PROD'!BF$2,'1.PUNTOS'!$A$1:$B$63,2,0),0)</f>
        <v>0</v>
      </c>
      <c r="AX44" s="138">
        <f>IF('1.DATOS-PROD'!BG45="SI",VLOOKUP('1.DATOS-PROD'!BG$2,'1.PUNTOS'!$A$1:$B$63,2,0),0)</f>
        <v>0</v>
      </c>
      <c r="AY44" s="138">
        <f>IF('1.DATOS-PROD'!BH45="SI",VLOOKUP('1.DATOS-PROD'!BH$2,'1.PUNTOS'!$A$1:$B$63,2,0),0)</f>
        <v>0</v>
      </c>
      <c r="AZ44" s="138">
        <f>IF('1.DATOS-PROD'!BI45="SI",VLOOKUP('1.DATOS-PROD'!BI$2,'1.PUNTOS'!$A$1:$B$63,2,0),0)</f>
        <v>0</v>
      </c>
      <c r="BA44" s="138">
        <f>IF('1.DATOS-PROD'!BJ45="SI",VLOOKUP('1.DATOS-PROD'!BJ$2,'1.PUNTOS'!$A$1:$B$63,2,0),0)</f>
        <v>0</v>
      </c>
      <c r="BB44" s="138">
        <f>IF('1.DATOS-PROD'!BK45="SI",VLOOKUP('1.DATOS-PROD'!BK$2,'1.PUNTOS'!$A$1:$B$63,2,0),0)</f>
        <v>0</v>
      </c>
      <c r="BC44" s="138">
        <f>IF('1.DATOS-PROD'!BL45="SI",VLOOKUP('1.DATOS-PROD'!BL$2,'1.PUNTOS'!$A$1:$B$63,2,0),0)</f>
        <v>0</v>
      </c>
      <c r="BD44" s="138">
        <f>IF('1.DATOS-PROD'!BM45="SI",VLOOKUP('1.DATOS-PROD'!BM$2,'1.PUNTOS'!$A$1:$B$63,2,0),0)</f>
        <v>0</v>
      </c>
      <c r="BE44" s="138">
        <f>IF('1.DATOS-PROD'!BN45="SI",VLOOKUP('1.DATOS-PROD'!BN$2,'1.PUNTOS'!$A$1:$B$63,2,0),0)</f>
        <v>0</v>
      </c>
      <c r="BF44" s="138">
        <f>IF('1.DATOS-PROD'!BO45="SI",VLOOKUP('1.DATOS-PROD'!BO$2,'1.PUNTOS'!$A$1:$B$63,2,0),0)</f>
        <v>0</v>
      </c>
      <c r="BG44" s="138">
        <f>IF('1.DATOS-PROD'!BP45="SI",VLOOKUP('1.DATOS-PROD'!BP$2,'1.PUNTOS'!$A$1:$B$63,2,0),0)</f>
        <v>0</v>
      </c>
      <c r="BH44" s="138">
        <f>IF('1.DATOS-PROD'!BQ45="SI",VLOOKUP('1.DATOS-PROD'!BQ$2,'1.PUNTOS'!$A$1:$B$63,2,0),0)</f>
        <v>0</v>
      </c>
      <c r="BI44" s="138">
        <f>IF('1.DATOS-PROD'!BR45="SI",VLOOKUP('1.DATOS-PROD'!BR$2,'1.PUNTOS'!$A$1:$B$63,2,0),0)</f>
        <v>0</v>
      </c>
      <c r="BJ44" s="138">
        <f>IF('1.DATOS-PROD'!BS45="SI",VLOOKUP('1.DATOS-PROD'!BS$2,'1.PUNTOS'!$A$1:$B$63,2,0),0)</f>
        <v>0</v>
      </c>
      <c r="BK44" s="138">
        <f>IF('1.DATOS-PROD'!BT45="SI",VLOOKUP('1.DATOS-PROD'!BT$2,'1.PUNTOS'!$A$1:$B$63,2,0),0)</f>
        <v>0</v>
      </c>
    </row>
    <row r="45" spans="1:63" x14ac:dyDescent="0.25">
      <c r="A45">
        <f>'0.Consolidado general'!$A46</f>
        <v>0</v>
      </c>
      <c r="B45" s="138">
        <f>IF('1.DATOS-PROD'!K46="SI",VLOOKUP('1.DATOS-PROD'!K$2,'1.PUNTOS'!$A$1:$B$63,2,0),0)</f>
        <v>0</v>
      </c>
      <c r="C45" s="138">
        <f>IF('1.DATOS-PROD'!L46="SI",VLOOKUP('1.DATOS-PROD'!L$2,'1.PUNTOS'!$A$1:$B$63,2,0),0)</f>
        <v>0</v>
      </c>
      <c r="D45" s="138">
        <f>IF('1.DATOS-PROD'!M46="SI",VLOOKUP('1.DATOS-PROD'!M$2,'1.PUNTOS'!$A$1:$B$63,2,0),0)</f>
        <v>0</v>
      </c>
      <c r="E45" s="138">
        <f>IF('1.DATOS-PROD'!N46="SI",VLOOKUP('1.DATOS-PROD'!N$2,'1.PUNTOS'!$A$1:$B$63,2,0),0)</f>
        <v>0</v>
      </c>
      <c r="F45" s="138">
        <f>IF('1.DATOS-PROD'!O46="SI",VLOOKUP('1.DATOS-PROD'!O$2,'1.PUNTOS'!$A$1:$B$63,2,0),0)</f>
        <v>0</v>
      </c>
      <c r="G45" s="138">
        <f>IF('1.DATOS-PROD'!P46="SI",VLOOKUP('1.DATOS-PROD'!P$2,'1.PUNTOS'!$A$1:$B$63,2,0),0)</f>
        <v>0</v>
      </c>
      <c r="H45" s="138">
        <f>IF('1.DATOS-PROD'!Q46="SI",VLOOKUP('1.DATOS-PROD'!Q$2,'1.PUNTOS'!$A$1:$B$63,2,0),0)</f>
        <v>0</v>
      </c>
      <c r="I45" s="138">
        <f>IF('1.DATOS-PROD'!R46="SI",VLOOKUP('1.DATOS-PROD'!R$2,'1.PUNTOS'!$A$1:$B$63,2,0),0)</f>
        <v>0</v>
      </c>
      <c r="J45" s="138">
        <f>IF('1.DATOS-PROD'!S46="SI",VLOOKUP('1.DATOS-PROD'!S$2,'1.PUNTOS'!$A$1:$B$63,2,0),0)</f>
        <v>0</v>
      </c>
      <c r="K45" s="138">
        <f>IF('1.DATOS-PROD'!T46="SI",VLOOKUP('1.DATOS-PROD'!T$2,'1.PUNTOS'!$A$1:$B$63,2,0),0)</f>
        <v>0</v>
      </c>
      <c r="L45" s="138">
        <f>IF('1.DATOS-PROD'!U46="SI",VLOOKUP('1.DATOS-PROD'!U$2,'1.PUNTOS'!$A$1:$B$63,2,0),0)</f>
        <v>0</v>
      </c>
      <c r="M45" s="138">
        <f>IF('1.DATOS-PROD'!V46="SI",VLOOKUP('1.DATOS-PROD'!V$2,'1.PUNTOS'!$A$1:$B$63,2,0),0)</f>
        <v>0</v>
      </c>
      <c r="N45" s="138">
        <f>IF('1.DATOS-PROD'!W46="SI",VLOOKUP('1.DATOS-PROD'!W$2,'1.PUNTOS'!$A$1:$B$63,2,0),0)</f>
        <v>0</v>
      </c>
      <c r="O45" s="138">
        <f>IF('1.DATOS-PROD'!X46="SI",VLOOKUP('1.DATOS-PROD'!X$2,'1.PUNTOS'!$A$1:$B$63,2,0),0)</f>
        <v>0</v>
      </c>
      <c r="P45" s="138">
        <f>IF('1.DATOS-PROD'!Y46="SI",VLOOKUP('1.DATOS-PROD'!Y$2,'1.PUNTOS'!$A$1:$B$63,2,0),0)</f>
        <v>0</v>
      </c>
      <c r="Q45" s="138">
        <f>IF('1.DATOS-PROD'!Z46="SI",VLOOKUP('1.DATOS-PROD'!Z$2,'1.PUNTOS'!$A$1:$B$63,2,0),0)</f>
        <v>0</v>
      </c>
      <c r="R45" s="138">
        <f>IF('1.DATOS-PROD'!AA46="SI",VLOOKUP('1.DATOS-PROD'!AA$2,'1.PUNTOS'!$A$1:$B$63,2,0),0)</f>
        <v>0</v>
      </c>
      <c r="S45" s="138">
        <f>IF('1.DATOS-PROD'!AB46="SI",VLOOKUP('1.DATOS-PROD'!AB$2,'1.PUNTOS'!$A$1:$B$63,2,0),0)</f>
        <v>0</v>
      </c>
      <c r="T45" s="138">
        <f>IF('1.DATOS-PROD'!AC46="SI",VLOOKUP('1.DATOS-PROD'!AC$2,'1.PUNTOS'!$A$1:$B$63,2,0),0)</f>
        <v>0</v>
      </c>
      <c r="U45" s="138">
        <f>IF('1.DATOS-PROD'!AD46="SI",VLOOKUP('1.DATOS-PROD'!AD$2,'1.PUNTOS'!$A$1:$B$63,2,0),0)</f>
        <v>0</v>
      </c>
      <c r="V45" s="138">
        <f>IF('1.DATOS-PROD'!AE46="SI",VLOOKUP('1.DATOS-PROD'!AE$2,'1.PUNTOS'!$A$1:$B$63,2,0),0)</f>
        <v>0</v>
      </c>
      <c r="W45" s="138">
        <f>IF('1.DATOS-PROD'!AF46="SI",VLOOKUP('1.DATOS-PROD'!AF$2,'1.PUNTOS'!$A$1:$B$63,2,0),0)</f>
        <v>0</v>
      </c>
      <c r="X45" s="138">
        <f>IF('1.DATOS-PROD'!AG46="SI",VLOOKUP('1.DATOS-PROD'!AG$2,'1.PUNTOS'!$A$1:$B$63,2,0),0)</f>
        <v>0</v>
      </c>
      <c r="Y45" s="138">
        <f>IF('1.DATOS-PROD'!AH46="SI",VLOOKUP('1.DATOS-PROD'!AH$2,'1.PUNTOS'!$A$1:$B$63,2,0),0)</f>
        <v>0</v>
      </c>
      <c r="Z45" s="138">
        <f>IF('1.DATOS-PROD'!AI46="SI",VLOOKUP('1.DATOS-PROD'!AI$2,'1.PUNTOS'!$A$1:$B$63,2,0),0)</f>
        <v>0</v>
      </c>
      <c r="AA45" s="138">
        <f>IF('1.DATOS-PROD'!AJ46="SI",VLOOKUP('1.DATOS-PROD'!AJ$2,'1.PUNTOS'!$A$1:$B$63,2,0),0)</f>
        <v>0</v>
      </c>
      <c r="AB45" s="138">
        <f>IF('1.DATOS-PROD'!AK46="SI",VLOOKUP('1.DATOS-PROD'!AK$2,'1.PUNTOS'!$A$1:$B$63,2,0),0)</f>
        <v>0</v>
      </c>
      <c r="AC45" s="138">
        <f>IF('1.DATOS-PROD'!AL46="SI",VLOOKUP('1.DATOS-PROD'!AL$2,'1.PUNTOS'!$A$1:$B$63,2,0),0)</f>
        <v>0</v>
      </c>
      <c r="AD45" s="138">
        <f>IF('1.DATOS-PROD'!AM46="SI",VLOOKUP('1.DATOS-PROD'!AM$2,'1.PUNTOS'!$A$1:$B$63,2,0),0)</f>
        <v>0</v>
      </c>
      <c r="AE45" s="138">
        <f>IF('1.DATOS-PROD'!AN46="SI",VLOOKUP('1.DATOS-PROD'!AN$2,'1.PUNTOS'!$A$1:$B$63,2,0),0)</f>
        <v>0</v>
      </c>
      <c r="AF45" s="138">
        <f>IF('1.DATOS-PROD'!AO46="SI",VLOOKUP('1.DATOS-PROD'!AO$2,'1.PUNTOS'!$A$1:$B$63,2,0),0)</f>
        <v>0</v>
      </c>
      <c r="AG45" s="138">
        <f>IF('1.DATOS-PROD'!AP46="SI",VLOOKUP('1.DATOS-PROD'!AP$2,'1.PUNTOS'!$A$1:$B$63,2,0),0)</f>
        <v>0</v>
      </c>
      <c r="AH45" s="138">
        <f>IF('1.DATOS-PROD'!AQ46="SI",VLOOKUP('1.DATOS-PROD'!AQ$2,'1.PUNTOS'!$A$1:$B$63,2,0),0)</f>
        <v>0</v>
      </c>
      <c r="AI45" s="138">
        <f>IF('1.DATOS-PROD'!AR46="SI",VLOOKUP('1.DATOS-PROD'!AR$2,'1.PUNTOS'!$A$1:$B$63,2,0),0)</f>
        <v>0</v>
      </c>
      <c r="AJ45" s="138">
        <f>IF('1.DATOS-PROD'!AS46="SI",VLOOKUP('1.DATOS-PROD'!AS$2,'1.PUNTOS'!$A$1:$B$63,2,0),0)</f>
        <v>0</v>
      </c>
      <c r="AK45" s="138">
        <f>IF('1.DATOS-PROD'!AT46="SI",VLOOKUP('1.DATOS-PROD'!AT$2,'1.PUNTOS'!$A$1:$B$63,2,0),0)</f>
        <v>0</v>
      </c>
      <c r="AL45" s="138">
        <f>IF('1.DATOS-PROD'!AU46="SI",VLOOKUP('1.DATOS-PROD'!AU$2,'1.PUNTOS'!$A$1:$B$63,2,0),0)</f>
        <v>0</v>
      </c>
      <c r="AM45" s="138">
        <f>IF('1.DATOS-PROD'!AV46="SI",VLOOKUP('1.DATOS-PROD'!AV$2,'1.PUNTOS'!$A$1:$B$63,2,0),0)</f>
        <v>0</v>
      </c>
      <c r="AN45" s="138">
        <f>IF('1.DATOS-PROD'!AW46="SI",VLOOKUP('1.DATOS-PROD'!AW$2,'1.PUNTOS'!$A$1:$B$63,2,0),0)</f>
        <v>0</v>
      </c>
      <c r="AO45" s="138">
        <f>IF('1.DATOS-PROD'!AX46="SI",VLOOKUP('1.DATOS-PROD'!AX$2,'1.PUNTOS'!$A$1:$B$63,2,0),0)</f>
        <v>0</v>
      </c>
      <c r="AP45" s="138">
        <f>IF('1.DATOS-PROD'!AY46="SI",VLOOKUP('1.DATOS-PROD'!AY$2,'1.PUNTOS'!$A$1:$B$63,2,0),0)</f>
        <v>0</v>
      </c>
      <c r="AQ45" s="138">
        <f>IF('1.DATOS-PROD'!AZ46="SI",VLOOKUP('1.DATOS-PROD'!AZ$2,'1.PUNTOS'!$A$1:$B$63,2,0),0)</f>
        <v>0</v>
      </c>
      <c r="AR45" s="138">
        <f>IF('1.DATOS-PROD'!BA46="SI",VLOOKUP('1.DATOS-PROD'!BA$2,'1.PUNTOS'!$A$1:$B$63,2,0),0)</f>
        <v>0</v>
      </c>
      <c r="AS45" s="138">
        <f>IF('1.DATOS-PROD'!BB46="SI",VLOOKUP('1.DATOS-PROD'!BB$2,'1.PUNTOS'!$A$1:$B$63,2,0),0)</f>
        <v>0</v>
      </c>
      <c r="AT45" s="138">
        <f>IF('1.DATOS-PROD'!BC46="SI",VLOOKUP('1.DATOS-PROD'!BC$2,'1.PUNTOS'!$A$1:$B$63,2,0),0)</f>
        <v>0</v>
      </c>
      <c r="AU45" s="138">
        <f>IF('1.DATOS-PROD'!BD46="SI",VLOOKUP('1.DATOS-PROD'!BD$2,'1.PUNTOS'!$A$1:$B$63,2,0),0)</f>
        <v>0</v>
      </c>
      <c r="AV45" s="138">
        <f>IF('1.DATOS-PROD'!BE46="SI",VLOOKUP('1.DATOS-PROD'!BE$2,'1.PUNTOS'!$A$1:$B$63,2,0),0)</f>
        <v>0</v>
      </c>
      <c r="AW45" s="138">
        <f>IF('1.DATOS-PROD'!BF46="SI",VLOOKUP('1.DATOS-PROD'!BF$2,'1.PUNTOS'!$A$1:$B$63,2,0),0)</f>
        <v>0</v>
      </c>
      <c r="AX45" s="138">
        <f>IF('1.DATOS-PROD'!BG46="SI",VLOOKUP('1.DATOS-PROD'!BG$2,'1.PUNTOS'!$A$1:$B$63,2,0),0)</f>
        <v>0</v>
      </c>
      <c r="AY45" s="138">
        <f>IF('1.DATOS-PROD'!BH46="SI",VLOOKUP('1.DATOS-PROD'!BH$2,'1.PUNTOS'!$A$1:$B$63,2,0),0)</f>
        <v>0</v>
      </c>
      <c r="AZ45" s="138">
        <f>IF('1.DATOS-PROD'!BI46="SI",VLOOKUP('1.DATOS-PROD'!BI$2,'1.PUNTOS'!$A$1:$B$63,2,0),0)</f>
        <v>0</v>
      </c>
      <c r="BA45" s="138">
        <f>IF('1.DATOS-PROD'!BJ46="SI",VLOOKUP('1.DATOS-PROD'!BJ$2,'1.PUNTOS'!$A$1:$B$63,2,0),0)</f>
        <v>0</v>
      </c>
      <c r="BB45" s="138">
        <f>IF('1.DATOS-PROD'!BK46="SI",VLOOKUP('1.DATOS-PROD'!BK$2,'1.PUNTOS'!$A$1:$B$63,2,0),0)</f>
        <v>0</v>
      </c>
      <c r="BC45" s="138">
        <f>IF('1.DATOS-PROD'!BL46="SI",VLOOKUP('1.DATOS-PROD'!BL$2,'1.PUNTOS'!$A$1:$B$63,2,0),0)</f>
        <v>0</v>
      </c>
      <c r="BD45" s="138">
        <f>IF('1.DATOS-PROD'!BM46="SI",VLOOKUP('1.DATOS-PROD'!BM$2,'1.PUNTOS'!$A$1:$B$63,2,0),0)</f>
        <v>0</v>
      </c>
      <c r="BE45" s="138">
        <f>IF('1.DATOS-PROD'!BN46="SI",VLOOKUP('1.DATOS-PROD'!BN$2,'1.PUNTOS'!$A$1:$B$63,2,0),0)</f>
        <v>0</v>
      </c>
      <c r="BF45" s="138">
        <f>IF('1.DATOS-PROD'!BO46="SI",VLOOKUP('1.DATOS-PROD'!BO$2,'1.PUNTOS'!$A$1:$B$63,2,0),0)</f>
        <v>0</v>
      </c>
      <c r="BG45" s="138">
        <f>IF('1.DATOS-PROD'!BP46="SI",VLOOKUP('1.DATOS-PROD'!BP$2,'1.PUNTOS'!$A$1:$B$63,2,0),0)</f>
        <v>0</v>
      </c>
      <c r="BH45" s="138">
        <f>IF('1.DATOS-PROD'!BQ46="SI",VLOOKUP('1.DATOS-PROD'!BQ$2,'1.PUNTOS'!$A$1:$B$63,2,0),0)</f>
        <v>0</v>
      </c>
      <c r="BI45" s="138">
        <f>IF('1.DATOS-PROD'!BR46="SI",VLOOKUP('1.DATOS-PROD'!BR$2,'1.PUNTOS'!$A$1:$B$63,2,0),0)</f>
        <v>0</v>
      </c>
      <c r="BJ45" s="138">
        <f>IF('1.DATOS-PROD'!BS46="SI",VLOOKUP('1.DATOS-PROD'!BS$2,'1.PUNTOS'!$A$1:$B$63,2,0),0)</f>
        <v>0</v>
      </c>
      <c r="BK45" s="138">
        <f>IF('1.DATOS-PROD'!BT46="SI",VLOOKUP('1.DATOS-PROD'!BT$2,'1.PUNTOS'!$A$1:$B$63,2,0),0)</f>
        <v>0</v>
      </c>
    </row>
    <row r="46" spans="1:63" x14ac:dyDescent="0.25">
      <c r="A46">
        <f>'0.Consolidado general'!$A47</f>
        <v>0</v>
      </c>
      <c r="B46" s="138">
        <f>IF('1.DATOS-PROD'!K47="SI",VLOOKUP('1.DATOS-PROD'!K$2,'1.PUNTOS'!$A$1:$B$63,2,0),0)</f>
        <v>0</v>
      </c>
      <c r="C46" s="138">
        <f>IF('1.DATOS-PROD'!L47="SI",VLOOKUP('1.DATOS-PROD'!L$2,'1.PUNTOS'!$A$1:$B$63,2,0),0)</f>
        <v>0</v>
      </c>
      <c r="D46" s="138">
        <f>IF('1.DATOS-PROD'!M47="SI",VLOOKUP('1.DATOS-PROD'!M$2,'1.PUNTOS'!$A$1:$B$63,2,0),0)</f>
        <v>0</v>
      </c>
      <c r="E46" s="138">
        <f>IF('1.DATOS-PROD'!N47="SI",VLOOKUP('1.DATOS-PROD'!N$2,'1.PUNTOS'!$A$1:$B$63,2,0),0)</f>
        <v>0</v>
      </c>
      <c r="F46" s="138">
        <f>IF('1.DATOS-PROD'!O47="SI",VLOOKUP('1.DATOS-PROD'!O$2,'1.PUNTOS'!$A$1:$B$63,2,0),0)</f>
        <v>0</v>
      </c>
      <c r="G46" s="138">
        <f>IF('1.DATOS-PROD'!P47="SI",VLOOKUP('1.DATOS-PROD'!P$2,'1.PUNTOS'!$A$1:$B$63,2,0),0)</f>
        <v>0</v>
      </c>
      <c r="H46" s="138">
        <f>IF('1.DATOS-PROD'!Q47="SI",VLOOKUP('1.DATOS-PROD'!Q$2,'1.PUNTOS'!$A$1:$B$63,2,0),0)</f>
        <v>0</v>
      </c>
      <c r="I46" s="138">
        <f>IF('1.DATOS-PROD'!R47="SI",VLOOKUP('1.DATOS-PROD'!R$2,'1.PUNTOS'!$A$1:$B$63,2,0),0)</f>
        <v>0</v>
      </c>
      <c r="J46" s="138">
        <f>IF('1.DATOS-PROD'!S47="SI",VLOOKUP('1.DATOS-PROD'!S$2,'1.PUNTOS'!$A$1:$B$63,2,0),0)</f>
        <v>0</v>
      </c>
      <c r="K46" s="138">
        <f>IF('1.DATOS-PROD'!T47="SI",VLOOKUP('1.DATOS-PROD'!T$2,'1.PUNTOS'!$A$1:$B$63,2,0),0)</f>
        <v>0</v>
      </c>
      <c r="L46" s="138">
        <f>IF('1.DATOS-PROD'!U47="SI",VLOOKUP('1.DATOS-PROD'!U$2,'1.PUNTOS'!$A$1:$B$63,2,0),0)</f>
        <v>0</v>
      </c>
      <c r="M46" s="138">
        <f>IF('1.DATOS-PROD'!V47="SI",VLOOKUP('1.DATOS-PROD'!V$2,'1.PUNTOS'!$A$1:$B$63,2,0),0)</f>
        <v>0</v>
      </c>
      <c r="N46" s="138">
        <f>IF('1.DATOS-PROD'!W47="SI",VLOOKUP('1.DATOS-PROD'!W$2,'1.PUNTOS'!$A$1:$B$63,2,0),0)</f>
        <v>0</v>
      </c>
      <c r="O46" s="138">
        <f>IF('1.DATOS-PROD'!X47="SI",VLOOKUP('1.DATOS-PROD'!X$2,'1.PUNTOS'!$A$1:$B$63,2,0),0)</f>
        <v>0</v>
      </c>
      <c r="P46" s="138">
        <f>IF('1.DATOS-PROD'!Y47="SI",VLOOKUP('1.DATOS-PROD'!Y$2,'1.PUNTOS'!$A$1:$B$63,2,0),0)</f>
        <v>0</v>
      </c>
      <c r="Q46" s="138">
        <f>IF('1.DATOS-PROD'!Z47="SI",VLOOKUP('1.DATOS-PROD'!Z$2,'1.PUNTOS'!$A$1:$B$63,2,0),0)</f>
        <v>0</v>
      </c>
      <c r="R46" s="138">
        <f>IF('1.DATOS-PROD'!AA47="SI",VLOOKUP('1.DATOS-PROD'!AA$2,'1.PUNTOS'!$A$1:$B$63,2,0),0)</f>
        <v>0</v>
      </c>
      <c r="S46" s="138">
        <f>IF('1.DATOS-PROD'!AB47="SI",VLOOKUP('1.DATOS-PROD'!AB$2,'1.PUNTOS'!$A$1:$B$63,2,0),0)</f>
        <v>0</v>
      </c>
      <c r="T46" s="138">
        <f>IF('1.DATOS-PROD'!AC47="SI",VLOOKUP('1.DATOS-PROD'!AC$2,'1.PUNTOS'!$A$1:$B$63,2,0),0)</f>
        <v>0</v>
      </c>
      <c r="U46" s="138">
        <f>IF('1.DATOS-PROD'!AD47="SI",VLOOKUP('1.DATOS-PROD'!AD$2,'1.PUNTOS'!$A$1:$B$63,2,0),0)</f>
        <v>0</v>
      </c>
      <c r="V46" s="138">
        <f>IF('1.DATOS-PROD'!AE47="SI",VLOOKUP('1.DATOS-PROD'!AE$2,'1.PUNTOS'!$A$1:$B$63,2,0),0)</f>
        <v>0</v>
      </c>
      <c r="W46" s="138">
        <f>IF('1.DATOS-PROD'!AF47="SI",VLOOKUP('1.DATOS-PROD'!AF$2,'1.PUNTOS'!$A$1:$B$63,2,0),0)</f>
        <v>0</v>
      </c>
      <c r="X46" s="138">
        <f>IF('1.DATOS-PROD'!AG47="SI",VLOOKUP('1.DATOS-PROD'!AG$2,'1.PUNTOS'!$A$1:$B$63,2,0),0)</f>
        <v>0</v>
      </c>
      <c r="Y46" s="138">
        <f>IF('1.DATOS-PROD'!AH47="SI",VLOOKUP('1.DATOS-PROD'!AH$2,'1.PUNTOS'!$A$1:$B$63,2,0),0)</f>
        <v>0</v>
      </c>
      <c r="Z46" s="138">
        <f>IF('1.DATOS-PROD'!AI47="SI",VLOOKUP('1.DATOS-PROD'!AI$2,'1.PUNTOS'!$A$1:$B$63,2,0),0)</f>
        <v>0</v>
      </c>
      <c r="AA46" s="138">
        <f>IF('1.DATOS-PROD'!AJ47="SI",VLOOKUP('1.DATOS-PROD'!AJ$2,'1.PUNTOS'!$A$1:$B$63,2,0),0)</f>
        <v>0</v>
      </c>
      <c r="AB46" s="138">
        <f>IF('1.DATOS-PROD'!AK47="SI",VLOOKUP('1.DATOS-PROD'!AK$2,'1.PUNTOS'!$A$1:$B$63,2,0),0)</f>
        <v>0</v>
      </c>
      <c r="AC46" s="138">
        <f>IF('1.DATOS-PROD'!AL47="SI",VLOOKUP('1.DATOS-PROD'!AL$2,'1.PUNTOS'!$A$1:$B$63,2,0),0)</f>
        <v>0</v>
      </c>
      <c r="AD46" s="138">
        <f>IF('1.DATOS-PROD'!AM47="SI",VLOOKUP('1.DATOS-PROD'!AM$2,'1.PUNTOS'!$A$1:$B$63,2,0),0)</f>
        <v>0</v>
      </c>
      <c r="AE46" s="138">
        <f>IF('1.DATOS-PROD'!AN47="SI",VLOOKUP('1.DATOS-PROD'!AN$2,'1.PUNTOS'!$A$1:$B$63,2,0),0)</f>
        <v>0</v>
      </c>
      <c r="AF46" s="138">
        <f>IF('1.DATOS-PROD'!AO47="SI",VLOOKUP('1.DATOS-PROD'!AO$2,'1.PUNTOS'!$A$1:$B$63,2,0),0)</f>
        <v>0</v>
      </c>
      <c r="AG46" s="138">
        <f>IF('1.DATOS-PROD'!AP47="SI",VLOOKUP('1.DATOS-PROD'!AP$2,'1.PUNTOS'!$A$1:$B$63,2,0),0)</f>
        <v>0</v>
      </c>
      <c r="AH46" s="138">
        <f>IF('1.DATOS-PROD'!AQ47="SI",VLOOKUP('1.DATOS-PROD'!AQ$2,'1.PUNTOS'!$A$1:$B$63,2,0),0)</f>
        <v>0</v>
      </c>
      <c r="AI46" s="138">
        <f>IF('1.DATOS-PROD'!AR47="SI",VLOOKUP('1.DATOS-PROD'!AR$2,'1.PUNTOS'!$A$1:$B$63,2,0),0)</f>
        <v>0</v>
      </c>
      <c r="AJ46" s="138">
        <f>IF('1.DATOS-PROD'!AS47="SI",VLOOKUP('1.DATOS-PROD'!AS$2,'1.PUNTOS'!$A$1:$B$63,2,0),0)</f>
        <v>0</v>
      </c>
      <c r="AK46" s="138">
        <f>IF('1.DATOS-PROD'!AT47="SI",VLOOKUP('1.DATOS-PROD'!AT$2,'1.PUNTOS'!$A$1:$B$63,2,0),0)</f>
        <v>0</v>
      </c>
      <c r="AL46" s="138">
        <f>IF('1.DATOS-PROD'!AU47="SI",VLOOKUP('1.DATOS-PROD'!AU$2,'1.PUNTOS'!$A$1:$B$63,2,0),0)</f>
        <v>0</v>
      </c>
      <c r="AM46" s="138">
        <f>IF('1.DATOS-PROD'!AV47="SI",VLOOKUP('1.DATOS-PROD'!AV$2,'1.PUNTOS'!$A$1:$B$63,2,0),0)</f>
        <v>0</v>
      </c>
      <c r="AN46" s="138">
        <f>IF('1.DATOS-PROD'!AW47="SI",VLOOKUP('1.DATOS-PROD'!AW$2,'1.PUNTOS'!$A$1:$B$63,2,0),0)</f>
        <v>0</v>
      </c>
      <c r="AO46" s="138">
        <f>IF('1.DATOS-PROD'!AX47="SI",VLOOKUP('1.DATOS-PROD'!AX$2,'1.PUNTOS'!$A$1:$B$63,2,0),0)</f>
        <v>0</v>
      </c>
      <c r="AP46" s="138">
        <f>IF('1.DATOS-PROD'!AY47="SI",VLOOKUP('1.DATOS-PROD'!AY$2,'1.PUNTOS'!$A$1:$B$63,2,0),0)</f>
        <v>0</v>
      </c>
      <c r="AQ46" s="138">
        <f>IF('1.DATOS-PROD'!AZ47="SI",VLOOKUP('1.DATOS-PROD'!AZ$2,'1.PUNTOS'!$A$1:$B$63,2,0),0)</f>
        <v>0</v>
      </c>
      <c r="AR46" s="138">
        <f>IF('1.DATOS-PROD'!BA47="SI",VLOOKUP('1.DATOS-PROD'!BA$2,'1.PUNTOS'!$A$1:$B$63,2,0),0)</f>
        <v>0</v>
      </c>
      <c r="AS46" s="138">
        <f>IF('1.DATOS-PROD'!BB47="SI",VLOOKUP('1.DATOS-PROD'!BB$2,'1.PUNTOS'!$A$1:$B$63,2,0),0)</f>
        <v>0</v>
      </c>
      <c r="AT46" s="138">
        <f>IF('1.DATOS-PROD'!BC47="SI",VLOOKUP('1.DATOS-PROD'!BC$2,'1.PUNTOS'!$A$1:$B$63,2,0),0)</f>
        <v>0</v>
      </c>
      <c r="AU46" s="138">
        <f>IF('1.DATOS-PROD'!BD47="SI",VLOOKUP('1.DATOS-PROD'!BD$2,'1.PUNTOS'!$A$1:$B$63,2,0),0)</f>
        <v>0</v>
      </c>
      <c r="AV46" s="138">
        <f>IF('1.DATOS-PROD'!BE47="SI",VLOOKUP('1.DATOS-PROD'!BE$2,'1.PUNTOS'!$A$1:$B$63,2,0),0)</f>
        <v>0</v>
      </c>
      <c r="AW46" s="138">
        <f>IF('1.DATOS-PROD'!BF47="SI",VLOOKUP('1.DATOS-PROD'!BF$2,'1.PUNTOS'!$A$1:$B$63,2,0),0)</f>
        <v>0</v>
      </c>
      <c r="AX46" s="138">
        <f>IF('1.DATOS-PROD'!BG47="SI",VLOOKUP('1.DATOS-PROD'!BG$2,'1.PUNTOS'!$A$1:$B$63,2,0),0)</f>
        <v>0</v>
      </c>
      <c r="AY46" s="138">
        <f>IF('1.DATOS-PROD'!BH47="SI",VLOOKUP('1.DATOS-PROD'!BH$2,'1.PUNTOS'!$A$1:$B$63,2,0),0)</f>
        <v>0</v>
      </c>
      <c r="AZ46" s="138">
        <f>IF('1.DATOS-PROD'!BI47="SI",VLOOKUP('1.DATOS-PROD'!BI$2,'1.PUNTOS'!$A$1:$B$63,2,0),0)</f>
        <v>0</v>
      </c>
      <c r="BA46" s="138">
        <f>IF('1.DATOS-PROD'!BJ47="SI",VLOOKUP('1.DATOS-PROD'!BJ$2,'1.PUNTOS'!$A$1:$B$63,2,0),0)</f>
        <v>0</v>
      </c>
      <c r="BB46" s="138">
        <f>IF('1.DATOS-PROD'!BK47="SI",VLOOKUP('1.DATOS-PROD'!BK$2,'1.PUNTOS'!$A$1:$B$63,2,0),0)</f>
        <v>0</v>
      </c>
      <c r="BC46" s="138">
        <f>IF('1.DATOS-PROD'!BL47="SI",VLOOKUP('1.DATOS-PROD'!BL$2,'1.PUNTOS'!$A$1:$B$63,2,0),0)</f>
        <v>0</v>
      </c>
      <c r="BD46" s="138">
        <f>IF('1.DATOS-PROD'!BM47="SI",VLOOKUP('1.DATOS-PROD'!BM$2,'1.PUNTOS'!$A$1:$B$63,2,0),0)</f>
        <v>0</v>
      </c>
      <c r="BE46" s="138">
        <f>IF('1.DATOS-PROD'!BN47="SI",VLOOKUP('1.DATOS-PROD'!BN$2,'1.PUNTOS'!$A$1:$B$63,2,0),0)</f>
        <v>0</v>
      </c>
      <c r="BF46" s="138">
        <f>IF('1.DATOS-PROD'!BO47="SI",VLOOKUP('1.DATOS-PROD'!BO$2,'1.PUNTOS'!$A$1:$B$63,2,0),0)</f>
        <v>0</v>
      </c>
      <c r="BG46" s="138">
        <f>IF('1.DATOS-PROD'!BP47="SI",VLOOKUP('1.DATOS-PROD'!BP$2,'1.PUNTOS'!$A$1:$B$63,2,0),0)</f>
        <v>0</v>
      </c>
      <c r="BH46" s="138">
        <f>IF('1.DATOS-PROD'!BQ47="SI",VLOOKUP('1.DATOS-PROD'!BQ$2,'1.PUNTOS'!$A$1:$B$63,2,0),0)</f>
        <v>0</v>
      </c>
      <c r="BI46" s="138">
        <f>IF('1.DATOS-PROD'!BR47="SI",VLOOKUP('1.DATOS-PROD'!BR$2,'1.PUNTOS'!$A$1:$B$63,2,0),0)</f>
        <v>0</v>
      </c>
      <c r="BJ46" s="138">
        <f>IF('1.DATOS-PROD'!BS47="SI",VLOOKUP('1.DATOS-PROD'!BS$2,'1.PUNTOS'!$A$1:$B$63,2,0),0)</f>
        <v>0</v>
      </c>
      <c r="BK46" s="138">
        <f>IF('1.DATOS-PROD'!BT47="SI",VLOOKUP('1.DATOS-PROD'!BT$2,'1.PUNTOS'!$A$1:$B$63,2,0),0)</f>
        <v>0</v>
      </c>
    </row>
    <row r="47" spans="1:63" x14ac:dyDescent="0.25">
      <c r="A47">
        <f>'0.Consolidado general'!$A48</f>
        <v>0</v>
      </c>
      <c r="B47" s="138">
        <f>IF('1.DATOS-PROD'!K48="SI",VLOOKUP('1.DATOS-PROD'!K$2,'1.PUNTOS'!$A$1:$B$63,2,0),0)</f>
        <v>0</v>
      </c>
      <c r="C47" s="138">
        <f>IF('1.DATOS-PROD'!L48="SI",VLOOKUP('1.DATOS-PROD'!L$2,'1.PUNTOS'!$A$1:$B$63,2,0),0)</f>
        <v>0</v>
      </c>
      <c r="D47" s="138">
        <f>IF('1.DATOS-PROD'!M48="SI",VLOOKUP('1.DATOS-PROD'!M$2,'1.PUNTOS'!$A$1:$B$63,2,0),0)</f>
        <v>0</v>
      </c>
      <c r="E47" s="138">
        <f>IF('1.DATOS-PROD'!N48="SI",VLOOKUP('1.DATOS-PROD'!N$2,'1.PUNTOS'!$A$1:$B$63,2,0),0)</f>
        <v>0</v>
      </c>
      <c r="F47" s="138">
        <f>IF('1.DATOS-PROD'!O48="SI",VLOOKUP('1.DATOS-PROD'!O$2,'1.PUNTOS'!$A$1:$B$63,2,0),0)</f>
        <v>0</v>
      </c>
      <c r="G47" s="138">
        <f>IF('1.DATOS-PROD'!P48="SI",VLOOKUP('1.DATOS-PROD'!P$2,'1.PUNTOS'!$A$1:$B$63,2,0),0)</f>
        <v>0</v>
      </c>
      <c r="H47" s="138">
        <f>IF('1.DATOS-PROD'!Q48="SI",VLOOKUP('1.DATOS-PROD'!Q$2,'1.PUNTOS'!$A$1:$B$63,2,0),0)</f>
        <v>0</v>
      </c>
      <c r="I47" s="138">
        <f>IF('1.DATOS-PROD'!R48="SI",VLOOKUP('1.DATOS-PROD'!R$2,'1.PUNTOS'!$A$1:$B$63,2,0),0)</f>
        <v>0</v>
      </c>
      <c r="J47" s="138">
        <f>IF('1.DATOS-PROD'!S48="SI",VLOOKUP('1.DATOS-PROD'!S$2,'1.PUNTOS'!$A$1:$B$63,2,0),0)</f>
        <v>0</v>
      </c>
      <c r="K47" s="138">
        <f>IF('1.DATOS-PROD'!T48="SI",VLOOKUP('1.DATOS-PROD'!T$2,'1.PUNTOS'!$A$1:$B$63,2,0),0)</f>
        <v>0</v>
      </c>
      <c r="L47" s="138">
        <f>IF('1.DATOS-PROD'!U48="SI",VLOOKUP('1.DATOS-PROD'!U$2,'1.PUNTOS'!$A$1:$B$63,2,0),0)</f>
        <v>0</v>
      </c>
      <c r="M47" s="138">
        <f>IF('1.DATOS-PROD'!V48="SI",VLOOKUP('1.DATOS-PROD'!V$2,'1.PUNTOS'!$A$1:$B$63,2,0),0)</f>
        <v>0</v>
      </c>
      <c r="N47" s="138">
        <f>IF('1.DATOS-PROD'!W48="SI",VLOOKUP('1.DATOS-PROD'!W$2,'1.PUNTOS'!$A$1:$B$63,2,0),0)</f>
        <v>0</v>
      </c>
      <c r="O47" s="138">
        <f>IF('1.DATOS-PROD'!X48="SI",VLOOKUP('1.DATOS-PROD'!X$2,'1.PUNTOS'!$A$1:$B$63,2,0),0)</f>
        <v>0</v>
      </c>
      <c r="P47" s="138">
        <f>IF('1.DATOS-PROD'!Y48="SI",VLOOKUP('1.DATOS-PROD'!Y$2,'1.PUNTOS'!$A$1:$B$63,2,0),0)</f>
        <v>0</v>
      </c>
      <c r="Q47" s="138">
        <f>IF('1.DATOS-PROD'!Z48="SI",VLOOKUP('1.DATOS-PROD'!Z$2,'1.PUNTOS'!$A$1:$B$63,2,0),0)</f>
        <v>0</v>
      </c>
      <c r="R47" s="138">
        <f>IF('1.DATOS-PROD'!AA48="SI",VLOOKUP('1.DATOS-PROD'!AA$2,'1.PUNTOS'!$A$1:$B$63,2,0),0)</f>
        <v>0</v>
      </c>
      <c r="S47" s="138">
        <f>IF('1.DATOS-PROD'!AB48="SI",VLOOKUP('1.DATOS-PROD'!AB$2,'1.PUNTOS'!$A$1:$B$63,2,0),0)</f>
        <v>0</v>
      </c>
      <c r="T47" s="138">
        <f>IF('1.DATOS-PROD'!AC48="SI",VLOOKUP('1.DATOS-PROD'!AC$2,'1.PUNTOS'!$A$1:$B$63,2,0),0)</f>
        <v>0</v>
      </c>
      <c r="U47" s="138">
        <f>IF('1.DATOS-PROD'!AD48="SI",VLOOKUP('1.DATOS-PROD'!AD$2,'1.PUNTOS'!$A$1:$B$63,2,0),0)</f>
        <v>0</v>
      </c>
      <c r="V47" s="138">
        <f>IF('1.DATOS-PROD'!AE48="SI",VLOOKUP('1.DATOS-PROD'!AE$2,'1.PUNTOS'!$A$1:$B$63,2,0),0)</f>
        <v>0</v>
      </c>
      <c r="W47" s="138">
        <f>IF('1.DATOS-PROD'!AF48="SI",VLOOKUP('1.DATOS-PROD'!AF$2,'1.PUNTOS'!$A$1:$B$63,2,0),0)</f>
        <v>0</v>
      </c>
      <c r="X47" s="138">
        <f>IF('1.DATOS-PROD'!AG48="SI",VLOOKUP('1.DATOS-PROD'!AG$2,'1.PUNTOS'!$A$1:$B$63,2,0),0)</f>
        <v>0</v>
      </c>
      <c r="Y47" s="138">
        <f>IF('1.DATOS-PROD'!AH48="SI",VLOOKUP('1.DATOS-PROD'!AH$2,'1.PUNTOS'!$A$1:$B$63,2,0),0)</f>
        <v>0</v>
      </c>
      <c r="Z47" s="138">
        <f>IF('1.DATOS-PROD'!AI48="SI",VLOOKUP('1.DATOS-PROD'!AI$2,'1.PUNTOS'!$A$1:$B$63,2,0),0)</f>
        <v>0</v>
      </c>
      <c r="AA47" s="138">
        <f>IF('1.DATOS-PROD'!AJ48="SI",VLOOKUP('1.DATOS-PROD'!AJ$2,'1.PUNTOS'!$A$1:$B$63,2,0),0)</f>
        <v>0</v>
      </c>
      <c r="AB47" s="138">
        <f>IF('1.DATOS-PROD'!AK48="SI",VLOOKUP('1.DATOS-PROD'!AK$2,'1.PUNTOS'!$A$1:$B$63,2,0),0)</f>
        <v>0</v>
      </c>
      <c r="AC47" s="138">
        <f>IF('1.DATOS-PROD'!AL48="SI",VLOOKUP('1.DATOS-PROD'!AL$2,'1.PUNTOS'!$A$1:$B$63,2,0),0)</f>
        <v>0</v>
      </c>
      <c r="AD47" s="138">
        <f>IF('1.DATOS-PROD'!AM48="SI",VLOOKUP('1.DATOS-PROD'!AM$2,'1.PUNTOS'!$A$1:$B$63,2,0),0)</f>
        <v>0</v>
      </c>
      <c r="AE47" s="138">
        <f>IF('1.DATOS-PROD'!AN48="SI",VLOOKUP('1.DATOS-PROD'!AN$2,'1.PUNTOS'!$A$1:$B$63,2,0),0)</f>
        <v>0</v>
      </c>
      <c r="AF47" s="138">
        <f>IF('1.DATOS-PROD'!AO48="SI",VLOOKUP('1.DATOS-PROD'!AO$2,'1.PUNTOS'!$A$1:$B$63,2,0),0)</f>
        <v>0</v>
      </c>
      <c r="AG47" s="138">
        <f>IF('1.DATOS-PROD'!AP48="SI",VLOOKUP('1.DATOS-PROD'!AP$2,'1.PUNTOS'!$A$1:$B$63,2,0),0)</f>
        <v>0</v>
      </c>
      <c r="AH47" s="138">
        <f>IF('1.DATOS-PROD'!AQ48="SI",VLOOKUP('1.DATOS-PROD'!AQ$2,'1.PUNTOS'!$A$1:$B$63,2,0),0)</f>
        <v>0</v>
      </c>
      <c r="AI47" s="138">
        <f>IF('1.DATOS-PROD'!AR48="SI",VLOOKUP('1.DATOS-PROD'!AR$2,'1.PUNTOS'!$A$1:$B$63,2,0),0)</f>
        <v>0</v>
      </c>
      <c r="AJ47" s="138">
        <f>IF('1.DATOS-PROD'!AS48="SI",VLOOKUP('1.DATOS-PROD'!AS$2,'1.PUNTOS'!$A$1:$B$63,2,0),0)</f>
        <v>0</v>
      </c>
      <c r="AK47" s="138">
        <f>IF('1.DATOS-PROD'!AT48="SI",VLOOKUP('1.DATOS-PROD'!AT$2,'1.PUNTOS'!$A$1:$B$63,2,0),0)</f>
        <v>0</v>
      </c>
      <c r="AL47" s="138">
        <f>IF('1.DATOS-PROD'!AU48="SI",VLOOKUP('1.DATOS-PROD'!AU$2,'1.PUNTOS'!$A$1:$B$63,2,0),0)</f>
        <v>0</v>
      </c>
      <c r="AM47" s="138">
        <f>IF('1.DATOS-PROD'!AV48="SI",VLOOKUP('1.DATOS-PROD'!AV$2,'1.PUNTOS'!$A$1:$B$63,2,0),0)</f>
        <v>0</v>
      </c>
      <c r="AN47" s="138">
        <f>IF('1.DATOS-PROD'!AW48="SI",VLOOKUP('1.DATOS-PROD'!AW$2,'1.PUNTOS'!$A$1:$B$63,2,0),0)</f>
        <v>0</v>
      </c>
      <c r="AO47" s="138">
        <f>IF('1.DATOS-PROD'!AX48="SI",VLOOKUP('1.DATOS-PROD'!AX$2,'1.PUNTOS'!$A$1:$B$63,2,0),0)</f>
        <v>0</v>
      </c>
      <c r="AP47" s="138">
        <f>IF('1.DATOS-PROD'!AY48="SI",VLOOKUP('1.DATOS-PROD'!AY$2,'1.PUNTOS'!$A$1:$B$63,2,0),0)</f>
        <v>0</v>
      </c>
      <c r="AQ47" s="138">
        <f>IF('1.DATOS-PROD'!AZ48="SI",VLOOKUP('1.DATOS-PROD'!AZ$2,'1.PUNTOS'!$A$1:$B$63,2,0),0)</f>
        <v>0</v>
      </c>
      <c r="AR47" s="138">
        <f>IF('1.DATOS-PROD'!BA48="SI",VLOOKUP('1.DATOS-PROD'!BA$2,'1.PUNTOS'!$A$1:$B$63,2,0),0)</f>
        <v>0</v>
      </c>
      <c r="AS47" s="138">
        <f>IF('1.DATOS-PROD'!BB48="SI",VLOOKUP('1.DATOS-PROD'!BB$2,'1.PUNTOS'!$A$1:$B$63,2,0),0)</f>
        <v>0</v>
      </c>
      <c r="AT47" s="138">
        <f>IF('1.DATOS-PROD'!BC48="SI",VLOOKUP('1.DATOS-PROD'!BC$2,'1.PUNTOS'!$A$1:$B$63,2,0),0)</f>
        <v>0</v>
      </c>
      <c r="AU47" s="138">
        <f>IF('1.DATOS-PROD'!BD48="SI",VLOOKUP('1.DATOS-PROD'!BD$2,'1.PUNTOS'!$A$1:$B$63,2,0),0)</f>
        <v>0</v>
      </c>
      <c r="AV47" s="138">
        <f>IF('1.DATOS-PROD'!BE48="SI",VLOOKUP('1.DATOS-PROD'!BE$2,'1.PUNTOS'!$A$1:$B$63,2,0),0)</f>
        <v>0</v>
      </c>
      <c r="AW47" s="138">
        <f>IF('1.DATOS-PROD'!BF48="SI",VLOOKUP('1.DATOS-PROD'!BF$2,'1.PUNTOS'!$A$1:$B$63,2,0),0)</f>
        <v>0</v>
      </c>
      <c r="AX47" s="138">
        <f>IF('1.DATOS-PROD'!BG48="SI",VLOOKUP('1.DATOS-PROD'!BG$2,'1.PUNTOS'!$A$1:$B$63,2,0),0)</f>
        <v>0</v>
      </c>
      <c r="AY47" s="138">
        <f>IF('1.DATOS-PROD'!BH48="SI",VLOOKUP('1.DATOS-PROD'!BH$2,'1.PUNTOS'!$A$1:$B$63,2,0),0)</f>
        <v>0</v>
      </c>
      <c r="AZ47" s="138">
        <f>IF('1.DATOS-PROD'!BI48="SI",VLOOKUP('1.DATOS-PROD'!BI$2,'1.PUNTOS'!$A$1:$B$63,2,0),0)</f>
        <v>0</v>
      </c>
      <c r="BA47" s="138">
        <f>IF('1.DATOS-PROD'!BJ48="SI",VLOOKUP('1.DATOS-PROD'!BJ$2,'1.PUNTOS'!$A$1:$B$63,2,0),0)</f>
        <v>0</v>
      </c>
      <c r="BB47" s="138">
        <f>IF('1.DATOS-PROD'!BK48="SI",VLOOKUP('1.DATOS-PROD'!BK$2,'1.PUNTOS'!$A$1:$B$63,2,0),0)</f>
        <v>0</v>
      </c>
      <c r="BC47" s="138">
        <f>IF('1.DATOS-PROD'!BL48="SI",VLOOKUP('1.DATOS-PROD'!BL$2,'1.PUNTOS'!$A$1:$B$63,2,0),0)</f>
        <v>0</v>
      </c>
      <c r="BD47" s="138">
        <f>IF('1.DATOS-PROD'!BM48="SI",VLOOKUP('1.DATOS-PROD'!BM$2,'1.PUNTOS'!$A$1:$B$63,2,0),0)</f>
        <v>0</v>
      </c>
      <c r="BE47" s="138">
        <f>IF('1.DATOS-PROD'!BN48="SI",VLOOKUP('1.DATOS-PROD'!BN$2,'1.PUNTOS'!$A$1:$B$63,2,0),0)</f>
        <v>0</v>
      </c>
      <c r="BF47" s="138">
        <f>IF('1.DATOS-PROD'!BO48="SI",VLOOKUP('1.DATOS-PROD'!BO$2,'1.PUNTOS'!$A$1:$B$63,2,0),0)</f>
        <v>0</v>
      </c>
      <c r="BG47" s="138">
        <f>IF('1.DATOS-PROD'!BP48="SI",VLOOKUP('1.DATOS-PROD'!BP$2,'1.PUNTOS'!$A$1:$B$63,2,0),0)</f>
        <v>0</v>
      </c>
      <c r="BH47" s="138">
        <f>IF('1.DATOS-PROD'!BQ48="SI",VLOOKUP('1.DATOS-PROD'!BQ$2,'1.PUNTOS'!$A$1:$B$63,2,0),0)</f>
        <v>0</v>
      </c>
      <c r="BI47" s="138">
        <f>IF('1.DATOS-PROD'!BR48="SI",VLOOKUP('1.DATOS-PROD'!BR$2,'1.PUNTOS'!$A$1:$B$63,2,0),0)</f>
        <v>0</v>
      </c>
      <c r="BJ47" s="138">
        <f>IF('1.DATOS-PROD'!BS48="SI",VLOOKUP('1.DATOS-PROD'!BS$2,'1.PUNTOS'!$A$1:$B$63,2,0),0)</f>
        <v>0</v>
      </c>
      <c r="BK47" s="138">
        <f>IF('1.DATOS-PROD'!BT48="SI",VLOOKUP('1.DATOS-PROD'!BT$2,'1.PUNTOS'!$A$1:$B$63,2,0),0)</f>
        <v>0</v>
      </c>
    </row>
    <row r="48" spans="1:63" x14ac:dyDescent="0.25">
      <c r="A48">
        <f>'0.Consolidado general'!$A49</f>
        <v>0</v>
      </c>
      <c r="B48" s="138">
        <f>IF('1.DATOS-PROD'!K49="SI",VLOOKUP('1.DATOS-PROD'!K$2,'1.PUNTOS'!$A$1:$B$63,2,0),0)</f>
        <v>0</v>
      </c>
      <c r="C48" s="138">
        <f>IF('1.DATOS-PROD'!L49="SI",VLOOKUP('1.DATOS-PROD'!L$2,'1.PUNTOS'!$A$1:$B$63,2,0),0)</f>
        <v>0</v>
      </c>
      <c r="D48" s="138">
        <f>IF('1.DATOS-PROD'!M49="SI",VLOOKUP('1.DATOS-PROD'!M$2,'1.PUNTOS'!$A$1:$B$63,2,0),0)</f>
        <v>0</v>
      </c>
      <c r="E48" s="138">
        <f>IF('1.DATOS-PROD'!N49="SI",VLOOKUP('1.DATOS-PROD'!N$2,'1.PUNTOS'!$A$1:$B$63,2,0),0)</f>
        <v>0</v>
      </c>
      <c r="F48" s="138">
        <f>IF('1.DATOS-PROD'!O49="SI",VLOOKUP('1.DATOS-PROD'!O$2,'1.PUNTOS'!$A$1:$B$63,2,0),0)</f>
        <v>0</v>
      </c>
      <c r="G48" s="138">
        <f>IF('1.DATOS-PROD'!P49="SI",VLOOKUP('1.DATOS-PROD'!P$2,'1.PUNTOS'!$A$1:$B$63,2,0),0)</f>
        <v>0</v>
      </c>
      <c r="H48" s="138">
        <f>IF('1.DATOS-PROD'!Q49="SI",VLOOKUP('1.DATOS-PROD'!Q$2,'1.PUNTOS'!$A$1:$B$63,2,0),0)</f>
        <v>0</v>
      </c>
      <c r="I48" s="138">
        <f>IF('1.DATOS-PROD'!R49="SI",VLOOKUP('1.DATOS-PROD'!R$2,'1.PUNTOS'!$A$1:$B$63,2,0),0)</f>
        <v>0</v>
      </c>
      <c r="J48" s="138">
        <f>IF('1.DATOS-PROD'!S49="SI",VLOOKUP('1.DATOS-PROD'!S$2,'1.PUNTOS'!$A$1:$B$63,2,0),0)</f>
        <v>0</v>
      </c>
      <c r="K48" s="138">
        <f>IF('1.DATOS-PROD'!T49="SI",VLOOKUP('1.DATOS-PROD'!T$2,'1.PUNTOS'!$A$1:$B$63,2,0),0)</f>
        <v>0</v>
      </c>
      <c r="L48" s="138">
        <f>IF('1.DATOS-PROD'!U49="SI",VLOOKUP('1.DATOS-PROD'!U$2,'1.PUNTOS'!$A$1:$B$63,2,0),0)</f>
        <v>0</v>
      </c>
      <c r="M48" s="138">
        <f>IF('1.DATOS-PROD'!V49="SI",VLOOKUP('1.DATOS-PROD'!V$2,'1.PUNTOS'!$A$1:$B$63,2,0),0)</f>
        <v>0</v>
      </c>
      <c r="N48" s="138">
        <f>IF('1.DATOS-PROD'!W49="SI",VLOOKUP('1.DATOS-PROD'!W$2,'1.PUNTOS'!$A$1:$B$63,2,0),0)</f>
        <v>0</v>
      </c>
      <c r="O48" s="138">
        <f>IF('1.DATOS-PROD'!X49="SI",VLOOKUP('1.DATOS-PROD'!X$2,'1.PUNTOS'!$A$1:$B$63,2,0),0)</f>
        <v>0</v>
      </c>
      <c r="P48" s="138">
        <f>IF('1.DATOS-PROD'!Y49="SI",VLOOKUP('1.DATOS-PROD'!Y$2,'1.PUNTOS'!$A$1:$B$63,2,0),0)</f>
        <v>0</v>
      </c>
      <c r="Q48" s="138">
        <f>IF('1.DATOS-PROD'!Z49="SI",VLOOKUP('1.DATOS-PROD'!Z$2,'1.PUNTOS'!$A$1:$B$63,2,0),0)</f>
        <v>0</v>
      </c>
      <c r="R48" s="138">
        <f>IF('1.DATOS-PROD'!AA49="SI",VLOOKUP('1.DATOS-PROD'!AA$2,'1.PUNTOS'!$A$1:$B$63,2,0),0)</f>
        <v>0</v>
      </c>
      <c r="S48" s="138">
        <f>IF('1.DATOS-PROD'!AB49="SI",VLOOKUP('1.DATOS-PROD'!AB$2,'1.PUNTOS'!$A$1:$B$63,2,0),0)</f>
        <v>0</v>
      </c>
      <c r="T48" s="138">
        <f>IF('1.DATOS-PROD'!AC49="SI",VLOOKUP('1.DATOS-PROD'!AC$2,'1.PUNTOS'!$A$1:$B$63,2,0),0)</f>
        <v>0</v>
      </c>
      <c r="U48" s="138">
        <f>IF('1.DATOS-PROD'!AD49="SI",VLOOKUP('1.DATOS-PROD'!AD$2,'1.PUNTOS'!$A$1:$B$63,2,0),0)</f>
        <v>0</v>
      </c>
      <c r="V48" s="138">
        <f>IF('1.DATOS-PROD'!AE49="SI",VLOOKUP('1.DATOS-PROD'!AE$2,'1.PUNTOS'!$A$1:$B$63,2,0),0)</f>
        <v>0</v>
      </c>
      <c r="W48" s="138">
        <f>IF('1.DATOS-PROD'!AF49="SI",VLOOKUP('1.DATOS-PROD'!AF$2,'1.PUNTOS'!$A$1:$B$63,2,0),0)</f>
        <v>0</v>
      </c>
      <c r="X48" s="138">
        <f>IF('1.DATOS-PROD'!AG49="SI",VLOOKUP('1.DATOS-PROD'!AG$2,'1.PUNTOS'!$A$1:$B$63,2,0),0)</f>
        <v>0</v>
      </c>
      <c r="Y48" s="138">
        <f>IF('1.DATOS-PROD'!AH49="SI",VLOOKUP('1.DATOS-PROD'!AH$2,'1.PUNTOS'!$A$1:$B$63,2,0),0)</f>
        <v>0</v>
      </c>
      <c r="Z48" s="138">
        <f>IF('1.DATOS-PROD'!AI49="SI",VLOOKUP('1.DATOS-PROD'!AI$2,'1.PUNTOS'!$A$1:$B$63,2,0),0)</f>
        <v>0</v>
      </c>
      <c r="AA48" s="138">
        <f>IF('1.DATOS-PROD'!AJ49="SI",VLOOKUP('1.DATOS-PROD'!AJ$2,'1.PUNTOS'!$A$1:$B$63,2,0),0)</f>
        <v>0</v>
      </c>
      <c r="AB48" s="138">
        <f>IF('1.DATOS-PROD'!AK49="SI",VLOOKUP('1.DATOS-PROD'!AK$2,'1.PUNTOS'!$A$1:$B$63,2,0),0)</f>
        <v>0</v>
      </c>
      <c r="AC48" s="138">
        <f>IF('1.DATOS-PROD'!AL49="SI",VLOOKUP('1.DATOS-PROD'!AL$2,'1.PUNTOS'!$A$1:$B$63,2,0),0)</f>
        <v>0</v>
      </c>
      <c r="AD48" s="138">
        <f>IF('1.DATOS-PROD'!AM49="SI",VLOOKUP('1.DATOS-PROD'!AM$2,'1.PUNTOS'!$A$1:$B$63,2,0),0)</f>
        <v>0</v>
      </c>
      <c r="AE48" s="138">
        <f>IF('1.DATOS-PROD'!AN49="SI",VLOOKUP('1.DATOS-PROD'!AN$2,'1.PUNTOS'!$A$1:$B$63,2,0),0)</f>
        <v>0</v>
      </c>
      <c r="AF48" s="138">
        <f>IF('1.DATOS-PROD'!AO49="SI",VLOOKUP('1.DATOS-PROD'!AO$2,'1.PUNTOS'!$A$1:$B$63,2,0),0)</f>
        <v>0</v>
      </c>
      <c r="AG48" s="138">
        <f>IF('1.DATOS-PROD'!AP49="SI",VLOOKUP('1.DATOS-PROD'!AP$2,'1.PUNTOS'!$A$1:$B$63,2,0),0)</f>
        <v>0</v>
      </c>
      <c r="AH48" s="138">
        <f>IF('1.DATOS-PROD'!AQ49="SI",VLOOKUP('1.DATOS-PROD'!AQ$2,'1.PUNTOS'!$A$1:$B$63,2,0),0)</f>
        <v>0</v>
      </c>
      <c r="AI48" s="138">
        <f>IF('1.DATOS-PROD'!AR49="SI",VLOOKUP('1.DATOS-PROD'!AR$2,'1.PUNTOS'!$A$1:$B$63,2,0),0)</f>
        <v>0</v>
      </c>
      <c r="AJ48" s="138">
        <f>IF('1.DATOS-PROD'!AS49="SI",VLOOKUP('1.DATOS-PROD'!AS$2,'1.PUNTOS'!$A$1:$B$63,2,0),0)</f>
        <v>0</v>
      </c>
      <c r="AK48" s="138">
        <f>IF('1.DATOS-PROD'!AT49="SI",VLOOKUP('1.DATOS-PROD'!AT$2,'1.PUNTOS'!$A$1:$B$63,2,0),0)</f>
        <v>0</v>
      </c>
      <c r="AL48" s="138">
        <f>IF('1.DATOS-PROD'!AU49="SI",VLOOKUP('1.DATOS-PROD'!AU$2,'1.PUNTOS'!$A$1:$B$63,2,0),0)</f>
        <v>0</v>
      </c>
      <c r="AM48" s="138">
        <f>IF('1.DATOS-PROD'!AV49="SI",VLOOKUP('1.DATOS-PROD'!AV$2,'1.PUNTOS'!$A$1:$B$63,2,0),0)</f>
        <v>0</v>
      </c>
      <c r="AN48" s="138">
        <f>IF('1.DATOS-PROD'!AW49="SI",VLOOKUP('1.DATOS-PROD'!AW$2,'1.PUNTOS'!$A$1:$B$63,2,0),0)</f>
        <v>0</v>
      </c>
      <c r="AO48" s="138">
        <f>IF('1.DATOS-PROD'!AX49="SI",VLOOKUP('1.DATOS-PROD'!AX$2,'1.PUNTOS'!$A$1:$B$63,2,0),0)</f>
        <v>0</v>
      </c>
      <c r="AP48" s="138">
        <f>IF('1.DATOS-PROD'!AY49="SI",VLOOKUP('1.DATOS-PROD'!AY$2,'1.PUNTOS'!$A$1:$B$63,2,0),0)</f>
        <v>0</v>
      </c>
      <c r="AQ48" s="138">
        <f>IF('1.DATOS-PROD'!AZ49="SI",VLOOKUP('1.DATOS-PROD'!AZ$2,'1.PUNTOS'!$A$1:$B$63,2,0),0)</f>
        <v>0</v>
      </c>
      <c r="AR48" s="138">
        <f>IF('1.DATOS-PROD'!BA49="SI",VLOOKUP('1.DATOS-PROD'!BA$2,'1.PUNTOS'!$A$1:$B$63,2,0),0)</f>
        <v>0</v>
      </c>
      <c r="AS48" s="138">
        <f>IF('1.DATOS-PROD'!BB49="SI",VLOOKUP('1.DATOS-PROD'!BB$2,'1.PUNTOS'!$A$1:$B$63,2,0),0)</f>
        <v>0</v>
      </c>
      <c r="AT48" s="138">
        <f>IF('1.DATOS-PROD'!BC49="SI",VLOOKUP('1.DATOS-PROD'!BC$2,'1.PUNTOS'!$A$1:$B$63,2,0),0)</f>
        <v>0</v>
      </c>
      <c r="AU48" s="138">
        <f>IF('1.DATOS-PROD'!BD49="SI",VLOOKUP('1.DATOS-PROD'!BD$2,'1.PUNTOS'!$A$1:$B$63,2,0),0)</f>
        <v>0</v>
      </c>
      <c r="AV48" s="138">
        <f>IF('1.DATOS-PROD'!BE49="SI",VLOOKUP('1.DATOS-PROD'!BE$2,'1.PUNTOS'!$A$1:$B$63,2,0),0)</f>
        <v>0</v>
      </c>
      <c r="AW48" s="138">
        <f>IF('1.DATOS-PROD'!BF49="SI",VLOOKUP('1.DATOS-PROD'!BF$2,'1.PUNTOS'!$A$1:$B$63,2,0),0)</f>
        <v>0</v>
      </c>
      <c r="AX48" s="138">
        <f>IF('1.DATOS-PROD'!BG49="SI",VLOOKUP('1.DATOS-PROD'!BG$2,'1.PUNTOS'!$A$1:$B$63,2,0),0)</f>
        <v>0</v>
      </c>
      <c r="AY48" s="138">
        <f>IF('1.DATOS-PROD'!BH49="SI",VLOOKUP('1.DATOS-PROD'!BH$2,'1.PUNTOS'!$A$1:$B$63,2,0),0)</f>
        <v>0</v>
      </c>
      <c r="AZ48" s="138">
        <f>IF('1.DATOS-PROD'!BI49="SI",VLOOKUP('1.DATOS-PROD'!BI$2,'1.PUNTOS'!$A$1:$B$63,2,0),0)</f>
        <v>0</v>
      </c>
      <c r="BA48" s="138">
        <f>IF('1.DATOS-PROD'!BJ49="SI",VLOOKUP('1.DATOS-PROD'!BJ$2,'1.PUNTOS'!$A$1:$B$63,2,0),0)</f>
        <v>0</v>
      </c>
      <c r="BB48" s="138">
        <f>IF('1.DATOS-PROD'!BK49="SI",VLOOKUP('1.DATOS-PROD'!BK$2,'1.PUNTOS'!$A$1:$B$63,2,0),0)</f>
        <v>0</v>
      </c>
      <c r="BC48" s="138">
        <f>IF('1.DATOS-PROD'!BL49="SI",VLOOKUP('1.DATOS-PROD'!BL$2,'1.PUNTOS'!$A$1:$B$63,2,0),0)</f>
        <v>0</v>
      </c>
      <c r="BD48" s="138">
        <f>IF('1.DATOS-PROD'!BM49="SI",VLOOKUP('1.DATOS-PROD'!BM$2,'1.PUNTOS'!$A$1:$B$63,2,0),0)</f>
        <v>0</v>
      </c>
      <c r="BE48" s="138">
        <f>IF('1.DATOS-PROD'!BN49="SI",VLOOKUP('1.DATOS-PROD'!BN$2,'1.PUNTOS'!$A$1:$B$63,2,0),0)</f>
        <v>0</v>
      </c>
      <c r="BF48" s="138">
        <f>IF('1.DATOS-PROD'!BO49="SI",VLOOKUP('1.DATOS-PROD'!BO$2,'1.PUNTOS'!$A$1:$B$63,2,0),0)</f>
        <v>0</v>
      </c>
      <c r="BG48" s="138">
        <f>IF('1.DATOS-PROD'!BP49="SI",VLOOKUP('1.DATOS-PROD'!BP$2,'1.PUNTOS'!$A$1:$B$63,2,0),0)</f>
        <v>0</v>
      </c>
      <c r="BH48" s="138">
        <f>IF('1.DATOS-PROD'!BQ49="SI",VLOOKUP('1.DATOS-PROD'!BQ$2,'1.PUNTOS'!$A$1:$B$63,2,0),0)</f>
        <v>0</v>
      </c>
      <c r="BI48" s="138">
        <f>IF('1.DATOS-PROD'!BR49="SI",VLOOKUP('1.DATOS-PROD'!BR$2,'1.PUNTOS'!$A$1:$B$63,2,0),0)</f>
        <v>0</v>
      </c>
      <c r="BJ48" s="138">
        <f>IF('1.DATOS-PROD'!BS49="SI",VLOOKUP('1.DATOS-PROD'!BS$2,'1.PUNTOS'!$A$1:$B$63,2,0),0)</f>
        <v>0</v>
      </c>
      <c r="BK48" s="138">
        <f>IF('1.DATOS-PROD'!BT49="SI",VLOOKUP('1.DATOS-PROD'!BT$2,'1.PUNTOS'!$A$1:$B$63,2,0),0)</f>
        <v>0</v>
      </c>
    </row>
    <row r="49" spans="1:63" x14ac:dyDescent="0.25">
      <c r="A49">
        <f>'0.Consolidado general'!$A50</f>
        <v>0</v>
      </c>
      <c r="B49" s="138">
        <f>IF('1.DATOS-PROD'!K50="SI",VLOOKUP('1.DATOS-PROD'!K$2,'1.PUNTOS'!$A$1:$B$63,2,0),0)</f>
        <v>0</v>
      </c>
      <c r="C49" s="138">
        <f>IF('1.DATOS-PROD'!L50="SI",VLOOKUP('1.DATOS-PROD'!L$2,'1.PUNTOS'!$A$1:$B$63,2,0),0)</f>
        <v>0</v>
      </c>
      <c r="D49" s="138">
        <f>IF('1.DATOS-PROD'!M50="SI",VLOOKUP('1.DATOS-PROD'!M$2,'1.PUNTOS'!$A$1:$B$63,2,0),0)</f>
        <v>0</v>
      </c>
      <c r="E49" s="138">
        <f>IF('1.DATOS-PROD'!N50="SI",VLOOKUP('1.DATOS-PROD'!N$2,'1.PUNTOS'!$A$1:$B$63,2,0),0)</f>
        <v>0</v>
      </c>
      <c r="F49" s="138">
        <f>IF('1.DATOS-PROD'!O50="SI",VLOOKUP('1.DATOS-PROD'!O$2,'1.PUNTOS'!$A$1:$B$63,2,0),0)</f>
        <v>0</v>
      </c>
      <c r="G49" s="138">
        <f>IF('1.DATOS-PROD'!P50="SI",VLOOKUP('1.DATOS-PROD'!P$2,'1.PUNTOS'!$A$1:$B$63,2,0),0)</f>
        <v>0</v>
      </c>
      <c r="H49" s="138">
        <f>IF('1.DATOS-PROD'!Q50="SI",VLOOKUP('1.DATOS-PROD'!Q$2,'1.PUNTOS'!$A$1:$B$63,2,0),0)</f>
        <v>0</v>
      </c>
      <c r="I49" s="138">
        <f>IF('1.DATOS-PROD'!R50="SI",VLOOKUP('1.DATOS-PROD'!R$2,'1.PUNTOS'!$A$1:$B$63,2,0),0)</f>
        <v>0</v>
      </c>
      <c r="J49" s="138">
        <f>IF('1.DATOS-PROD'!S50="SI",VLOOKUP('1.DATOS-PROD'!S$2,'1.PUNTOS'!$A$1:$B$63,2,0),0)</f>
        <v>0</v>
      </c>
      <c r="K49" s="138">
        <f>IF('1.DATOS-PROD'!T50="SI",VLOOKUP('1.DATOS-PROD'!T$2,'1.PUNTOS'!$A$1:$B$63,2,0),0)</f>
        <v>0</v>
      </c>
      <c r="L49" s="138">
        <f>IF('1.DATOS-PROD'!U50="SI",VLOOKUP('1.DATOS-PROD'!U$2,'1.PUNTOS'!$A$1:$B$63,2,0),0)</f>
        <v>0</v>
      </c>
      <c r="M49" s="138">
        <f>IF('1.DATOS-PROD'!V50="SI",VLOOKUP('1.DATOS-PROD'!V$2,'1.PUNTOS'!$A$1:$B$63,2,0),0)</f>
        <v>0</v>
      </c>
      <c r="N49" s="138">
        <f>IF('1.DATOS-PROD'!W50="SI",VLOOKUP('1.DATOS-PROD'!W$2,'1.PUNTOS'!$A$1:$B$63,2,0),0)</f>
        <v>0</v>
      </c>
      <c r="O49" s="138">
        <f>IF('1.DATOS-PROD'!X50="SI",VLOOKUP('1.DATOS-PROD'!X$2,'1.PUNTOS'!$A$1:$B$63,2,0),0)</f>
        <v>0</v>
      </c>
      <c r="P49" s="138">
        <f>IF('1.DATOS-PROD'!Y50="SI",VLOOKUP('1.DATOS-PROD'!Y$2,'1.PUNTOS'!$A$1:$B$63,2,0),0)</f>
        <v>0</v>
      </c>
      <c r="Q49" s="138">
        <f>IF('1.DATOS-PROD'!Z50="SI",VLOOKUP('1.DATOS-PROD'!Z$2,'1.PUNTOS'!$A$1:$B$63,2,0),0)</f>
        <v>0</v>
      </c>
      <c r="R49" s="138">
        <f>IF('1.DATOS-PROD'!AA50="SI",VLOOKUP('1.DATOS-PROD'!AA$2,'1.PUNTOS'!$A$1:$B$63,2,0),0)</f>
        <v>0</v>
      </c>
      <c r="S49" s="138">
        <f>IF('1.DATOS-PROD'!AB50="SI",VLOOKUP('1.DATOS-PROD'!AB$2,'1.PUNTOS'!$A$1:$B$63,2,0),0)</f>
        <v>0</v>
      </c>
      <c r="T49" s="138">
        <f>IF('1.DATOS-PROD'!AC50="SI",VLOOKUP('1.DATOS-PROD'!AC$2,'1.PUNTOS'!$A$1:$B$63,2,0),0)</f>
        <v>0</v>
      </c>
      <c r="U49" s="138">
        <f>IF('1.DATOS-PROD'!AD50="SI",VLOOKUP('1.DATOS-PROD'!AD$2,'1.PUNTOS'!$A$1:$B$63,2,0),0)</f>
        <v>0</v>
      </c>
      <c r="V49" s="138">
        <f>IF('1.DATOS-PROD'!AE50="SI",VLOOKUP('1.DATOS-PROD'!AE$2,'1.PUNTOS'!$A$1:$B$63,2,0),0)</f>
        <v>0</v>
      </c>
      <c r="W49" s="138">
        <f>IF('1.DATOS-PROD'!AF50="SI",VLOOKUP('1.DATOS-PROD'!AF$2,'1.PUNTOS'!$A$1:$B$63,2,0),0)</f>
        <v>0</v>
      </c>
      <c r="X49" s="138">
        <f>IF('1.DATOS-PROD'!AG50="SI",VLOOKUP('1.DATOS-PROD'!AG$2,'1.PUNTOS'!$A$1:$B$63,2,0),0)</f>
        <v>0</v>
      </c>
      <c r="Y49" s="138">
        <f>IF('1.DATOS-PROD'!AH50="SI",VLOOKUP('1.DATOS-PROD'!AH$2,'1.PUNTOS'!$A$1:$B$63,2,0),0)</f>
        <v>0</v>
      </c>
      <c r="Z49" s="138">
        <f>IF('1.DATOS-PROD'!AI50="SI",VLOOKUP('1.DATOS-PROD'!AI$2,'1.PUNTOS'!$A$1:$B$63,2,0),0)</f>
        <v>0</v>
      </c>
      <c r="AA49" s="138">
        <f>IF('1.DATOS-PROD'!AJ50="SI",VLOOKUP('1.DATOS-PROD'!AJ$2,'1.PUNTOS'!$A$1:$B$63,2,0),0)</f>
        <v>0</v>
      </c>
      <c r="AB49" s="138">
        <f>IF('1.DATOS-PROD'!AK50="SI",VLOOKUP('1.DATOS-PROD'!AK$2,'1.PUNTOS'!$A$1:$B$63,2,0),0)</f>
        <v>0</v>
      </c>
      <c r="AC49" s="138">
        <f>IF('1.DATOS-PROD'!AL50="SI",VLOOKUP('1.DATOS-PROD'!AL$2,'1.PUNTOS'!$A$1:$B$63,2,0),0)</f>
        <v>0</v>
      </c>
      <c r="AD49" s="138">
        <f>IF('1.DATOS-PROD'!AM50="SI",VLOOKUP('1.DATOS-PROD'!AM$2,'1.PUNTOS'!$A$1:$B$63,2,0),0)</f>
        <v>0</v>
      </c>
      <c r="AE49" s="138">
        <f>IF('1.DATOS-PROD'!AN50="SI",VLOOKUP('1.DATOS-PROD'!AN$2,'1.PUNTOS'!$A$1:$B$63,2,0),0)</f>
        <v>0</v>
      </c>
      <c r="AF49" s="138">
        <f>IF('1.DATOS-PROD'!AO50="SI",VLOOKUP('1.DATOS-PROD'!AO$2,'1.PUNTOS'!$A$1:$B$63,2,0),0)</f>
        <v>0</v>
      </c>
      <c r="AG49" s="138">
        <f>IF('1.DATOS-PROD'!AP50="SI",VLOOKUP('1.DATOS-PROD'!AP$2,'1.PUNTOS'!$A$1:$B$63,2,0),0)</f>
        <v>0</v>
      </c>
      <c r="AH49" s="138">
        <f>IF('1.DATOS-PROD'!AQ50="SI",VLOOKUP('1.DATOS-PROD'!AQ$2,'1.PUNTOS'!$A$1:$B$63,2,0),0)</f>
        <v>0</v>
      </c>
      <c r="AI49" s="138">
        <f>IF('1.DATOS-PROD'!AR50="SI",VLOOKUP('1.DATOS-PROD'!AR$2,'1.PUNTOS'!$A$1:$B$63,2,0),0)</f>
        <v>0</v>
      </c>
      <c r="AJ49" s="138">
        <f>IF('1.DATOS-PROD'!AS50="SI",VLOOKUP('1.DATOS-PROD'!AS$2,'1.PUNTOS'!$A$1:$B$63,2,0),0)</f>
        <v>0</v>
      </c>
      <c r="AK49" s="138">
        <f>IF('1.DATOS-PROD'!AT50="SI",VLOOKUP('1.DATOS-PROD'!AT$2,'1.PUNTOS'!$A$1:$B$63,2,0),0)</f>
        <v>0</v>
      </c>
      <c r="AL49" s="138">
        <f>IF('1.DATOS-PROD'!AU50="SI",VLOOKUP('1.DATOS-PROD'!AU$2,'1.PUNTOS'!$A$1:$B$63,2,0),0)</f>
        <v>0</v>
      </c>
      <c r="AM49" s="138">
        <f>IF('1.DATOS-PROD'!AV50="SI",VLOOKUP('1.DATOS-PROD'!AV$2,'1.PUNTOS'!$A$1:$B$63,2,0),0)</f>
        <v>0</v>
      </c>
      <c r="AN49" s="138">
        <f>IF('1.DATOS-PROD'!AW50="SI",VLOOKUP('1.DATOS-PROD'!AW$2,'1.PUNTOS'!$A$1:$B$63,2,0),0)</f>
        <v>0</v>
      </c>
      <c r="AO49" s="138">
        <f>IF('1.DATOS-PROD'!AX50="SI",VLOOKUP('1.DATOS-PROD'!AX$2,'1.PUNTOS'!$A$1:$B$63,2,0),0)</f>
        <v>0</v>
      </c>
      <c r="AP49" s="138">
        <f>IF('1.DATOS-PROD'!AY50="SI",VLOOKUP('1.DATOS-PROD'!AY$2,'1.PUNTOS'!$A$1:$B$63,2,0),0)</f>
        <v>0</v>
      </c>
      <c r="AQ49" s="138">
        <f>IF('1.DATOS-PROD'!AZ50="SI",VLOOKUP('1.DATOS-PROD'!AZ$2,'1.PUNTOS'!$A$1:$B$63,2,0),0)</f>
        <v>0</v>
      </c>
      <c r="AR49" s="138">
        <f>IF('1.DATOS-PROD'!BA50="SI",VLOOKUP('1.DATOS-PROD'!BA$2,'1.PUNTOS'!$A$1:$B$63,2,0),0)</f>
        <v>0</v>
      </c>
      <c r="AS49" s="138">
        <f>IF('1.DATOS-PROD'!BB50="SI",VLOOKUP('1.DATOS-PROD'!BB$2,'1.PUNTOS'!$A$1:$B$63,2,0),0)</f>
        <v>0</v>
      </c>
      <c r="AT49" s="138">
        <f>IF('1.DATOS-PROD'!BC50="SI",VLOOKUP('1.DATOS-PROD'!BC$2,'1.PUNTOS'!$A$1:$B$63,2,0),0)</f>
        <v>0</v>
      </c>
      <c r="AU49" s="138">
        <f>IF('1.DATOS-PROD'!BD50="SI",VLOOKUP('1.DATOS-PROD'!BD$2,'1.PUNTOS'!$A$1:$B$63,2,0),0)</f>
        <v>0</v>
      </c>
      <c r="AV49" s="138">
        <f>IF('1.DATOS-PROD'!BE50="SI",VLOOKUP('1.DATOS-PROD'!BE$2,'1.PUNTOS'!$A$1:$B$63,2,0),0)</f>
        <v>0</v>
      </c>
      <c r="AW49" s="138">
        <f>IF('1.DATOS-PROD'!BF50="SI",VLOOKUP('1.DATOS-PROD'!BF$2,'1.PUNTOS'!$A$1:$B$63,2,0),0)</f>
        <v>0</v>
      </c>
      <c r="AX49" s="138">
        <f>IF('1.DATOS-PROD'!BG50="SI",VLOOKUP('1.DATOS-PROD'!BG$2,'1.PUNTOS'!$A$1:$B$63,2,0),0)</f>
        <v>0</v>
      </c>
      <c r="AY49" s="138">
        <f>IF('1.DATOS-PROD'!BH50="SI",VLOOKUP('1.DATOS-PROD'!BH$2,'1.PUNTOS'!$A$1:$B$63,2,0),0)</f>
        <v>0</v>
      </c>
      <c r="AZ49" s="138">
        <f>IF('1.DATOS-PROD'!BI50="SI",VLOOKUP('1.DATOS-PROD'!BI$2,'1.PUNTOS'!$A$1:$B$63,2,0),0)</f>
        <v>0</v>
      </c>
      <c r="BA49" s="138">
        <f>IF('1.DATOS-PROD'!BJ50="SI",VLOOKUP('1.DATOS-PROD'!BJ$2,'1.PUNTOS'!$A$1:$B$63,2,0),0)</f>
        <v>0</v>
      </c>
      <c r="BB49" s="138">
        <f>IF('1.DATOS-PROD'!BK50="SI",VLOOKUP('1.DATOS-PROD'!BK$2,'1.PUNTOS'!$A$1:$B$63,2,0),0)</f>
        <v>0</v>
      </c>
      <c r="BC49" s="138">
        <f>IF('1.DATOS-PROD'!BL50="SI",VLOOKUP('1.DATOS-PROD'!BL$2,'1.PUNTOS'!$A$1:$B$63,2,0),0)</f>
        <v>0</v>
      </c>
      <c r="BD49" s="138">
        <f>IF('1.DATOS-PROD'!BM50="SI",VLOOKUP('1.DATOS-PROD'!BM$2,'1.PUNTOS'!$A$1:$B$63,2,0),0)</f>
        <v>0</v>
      </c>
      <c r="BE49" s="138">
        <f>IF('1.DATOS-PROD'!BN50="SI",VLOOKUP('1.DATOS-PROD'!BN$2,'1.PUNTOS'!$A$1:$B$63,2,0),0)</f>
        <v>0</v>
      </c>
      <c r="BF49" s="138">
        <f>IF('1.DATOS-PROD'!BO50="SI",VLOOKUP('1.DATOS-PROD'!BO$2,'1.PUNTOS'!$A$1:$B$63,2,0),0)</f>
        <v>0</v>
      </c>
      <c r="BG49" s="138">
        <f>IF('1.DATOS-PROD'!BP50="SI",VLOOKUP('1.DATOS-PROD'!BP$2,'1.PUNTOS'!$A$1:$B$63,2,0),0)</f>
        <v>0</v>
      </c>
      <c r="BH49" s="138">
        <f>IF('1.DATOS-PROD'!BQ50="SI",VLOOKUP('1.DATOS-PROD'!BQ$2,'1.PUNTOS'!$A$1:$B$63,2,0),0)</f>
        <v>0</v>
      </c>
      <c r="BI49" s="138">
        <f>IF('1.DATOS-PROD'!BR50="SI",VLOOKUP('1.DATOS-PROD'!BR$2,'1.PUNTOS'!$A$1:$B$63,2,0),0)</f>
        <v>0</v>
      </c>
      <c r="BJ49" s="138">
        <f>IF('1.DATOS-PROD'!BS50="SI",VLOOKUP('1.DATOS-PROD'!BS$2,'1.PUNTOS'!$A$1:$B$63,2,0),0)</f>
        <v>0</v>
      </c>
      <c r="BK49" s="138">
        <f>IF('1.DATOS-PROD'!BT50="SI",VLOOKUP('1.DATOS-PROD'!BT$2,'1.PUNTOS'!$A$1:$B$63,2,0),0)</f>
        <v>0</v>
      </c>
    </row>
    <row r="50" spans="1:63" x14ac:dyDescent="0.25">
      <c r="A50">
        <f>'0.Consolidado general'!$A51</f>
        <v>0</v>
      </c>
      <c r="B50" s="138">
        <f>IF('1.DATOS-PROD'!K51="SI",VLOOKUP('1.DATOS-PROD'!K$2,'1.PUNTOS'!$A$1:$B$63,2,0),0)</f>
        <v>0</v>
      </c>
      <c r="C50" s="138">
        <f>IF('1.DATOS-PROD'!L51="SI",VLOOKUP('1.DATOS-PROD'!L$2,'1.PUNTOS'!$A$1:$B$63,2,0),0)</f>
        <v>0</v>
      </c>
      <c r="D50" s="138">
        <f>IF('1.DATOS-PROD'!M51="SI",VLOOKUP('1.DATOS-PROD'!M$2,'1.PUNTOS'!$A$1:$B$63,2,0),0)</f>
        <v>0</v>
      </c>
      <c r="E50" s="138">
        <f>IF('1.DATOS-PROD'!N51="SI",VLOOKUP('1.DATOS-PROD'!N$2,'1.PUNTOS'!$A$1:$B$63,2,0),0)</f>
        <v>0</v>
      </c>
      <c r="F50" s="138">
        <f>IF('1.DATOS-PROD'!O51="SI",VLOOKUP('1.DATOS-PROD'!O$2,'1.PUNTOS'!$A$1:$B$63,2,0),0)</f>
        <v>0</v>
      </c>
      <c r="G50" s="138">
        <f>IF('1.DATOS-PROD'!P51="SI",VLOOKUP('1.DATOS-PROD'!P$2,'1.PUNTOS'!$A$1:$B$63,2,0),0)</f>
        <v>0</v>
      </c>
      <c r="H50" s="138">
        <f>IF('1.DATOS-PROD'!Q51="SI",VLOOKUP('1.DATOS-PROD'!Q$2,'1.PUNTOS'!$A$1:$B$63,2,0),0)</f>
        <v>0</v>
      </c>
      <c r="I50" s="138">
        <f>IF('1.DATOS-PROD'!R51="SI",VLOOKUP('1.DATOS-PROD'!R$2,'1.PUNTOS'!$A$1:$B$63,2,0),0)</f>
        <v>0</v>
      </c>
      <c r="J50" s="138">
        <f>IF('1.DATOS-PROD'!S51="SI",VLOOKUP('1.DATOS-PROD'!S$2,'1.PUNTOS'!$A$1:$B$63,2,0),0)</f>
        <v>0</v>
      </c>
      <c r="K50" s="138">
        <f>IF('1.DATOS-PROD'!T51="SI",VLOOKUP('1.DATOS-PROD'!T$2,'1.PUNTOS'!$A$1:$B$63,2,0),0)</f>
        <v>0</v>
      </c>
      <c r="L50" s="138">
        <f>IF('1.DATOS-PROD'!U51="SI",VLOOKUP('1.DATOS-PROD'!U$2,'1.PUNTOS'!$A$1:$B$63,2,0),0)</f>
        <v>0</v>
      </c>
      <c r="M50" s="138">
        <f>IF('1.DATOS-PROD'!V51="SI",VLOOKUP('1.DATOS-PROD'!V$2,'1.PUNTOS'!$A$1:$B$63,2,0),0)</f>
        <v>0</v>
      </c>
      <c r="N50" s="138">
        <f>IF('1.DATOS-PROD'!W51="SI",VLOOKUP('1.DATOS-PROD'!W$2,'1.PUNTOS'!$A$1:$B$63,2,0),0)</f>
        <v>0</v>
      </c>
      <c r="O50" s="138">
        <f>IF('1.DATOS-PROD'!X51="SI",VLOOKUP('1.DATOS-PROD'!X$2,'1.PUNTOS'!$A$1:$B$63,2,0),0)</f>
        <v>0</v>
      </c>
      <c r="P50" s="138">
        <f>IF('1.DATOS-PROD'!Y51="SI",VLOOKUP('1.DATOS-PROD'!Y$2,'1.PUNTOS'!$A$1:$B$63,2,0),0)</f>
        <v>0</v>
      </c>
      <c r="Q50" s="138">
        <f>IF('1.DATOS-PROD'!Z51="SI",VLOOKUP('1.DATOS-PROD'!Z$2,'1.PUNTOS'!$A$1:$B$63,2,0),0)</f>
        <v>0</v>
      </c>
      <c r="R50" s="138">
        <f>IF('1.DATOS-PROD'!AA51="SI",VLOOKUP('1.DATOS-PROD'!AA$2,'1.PUNTOS'!$A$1:$B$63,2,0),0)</f>
        <v>0</v>
      </c>
      <c r="S50" s="138">
        <f>IF('1.DATOS-PROD'!AB51="SI",VLOOKUP('1.DATOS-PROD'!AB$2,'1.PUNTOS'!$A$1:$B$63,2,0),0)</f>
        <v>0</v>
      </c>
      <c r="T50" s="138">
        <f>IF('1.DATOS-PROD'!AC51="SI",VLOOKUP('1.DATOS-PROD'!AC$2,'1.PUNTOS'!$A$1:$B$63,2,0),0)</f>
        <v>0</v>
      </c>
      <c r="U50" s="138">
        <f>IF('1.DATOS-PROD'!AD51="SI",VLOOKUP('1.DATOS-PROD'!AD$2,'1.PUNTOS'!$A$1:$B$63,2,0),0)</f>
        <v>0</v>
      </c>
      <c r="V50" s="138">
        <f>IF('1.DATOS-PROD'!AE51="SI",VLOOKUP('1.DATOS-PROD'!AE$2,'1.PUNTOS'!$A$1:$B$63,2,0),0)</f>
        <v>0</v>
      </c>
      <c r="W50" s="138">
        <f>IF('1.DATOS-PROD'!AF51="SI",VLOOKUP('1.DATOS-PROD'!AF$2,'1.PUNTOS'!$A$1:$B$63,2,0),0)</f>
        <v>0</v>
      </c>
      <c r="X50" s="138">
        <f>IF('1.DATOS-PROD'!AG51="SI",VLOOKUP('1.DATOS-PROD'!AG$2,'1.PUNTOS'!$A$1:$B$63,2,0),0)</f>
        <v>0</v>
      </c>
      <c r="Y50" s="138">
        <f>IF('1.DATOS-PROD'!AH51="SI",VLOOKUP('1.DATOS-PROD'!AH$2,'1.PUNTOS'!$A$1:$B$63,2,0),0)</f>
        <v>0</v>
      </c>
      <c r="Z50" s="138">
        <f>IF('1.DATOS-PROD'!AI51="SI",VLOOKUP('1.DATOS-PROD'!AI$2,'1.PUNTOS'!$A$1:$B$63,2,0),0)</f>
        <v>0</v>
      </c>
      <c r="AA50" s="138">
        <f>IF('1.DATOS-PROD'!AJ51="SI",VLOOKUP('1.DATOS-PROD'!AJ$2,'1.PUNTOS'!$A$1:$B$63,2,0),0)</f>
        <v>0</v>
      </c>
      <c r="AB50" s="138">
        <f>IF('1.DATOS-PROD'!AK51="SI",VLOOKUP('1.DATOS-PROD'!AK$2,'1.PUNTOS'!$A$1:$B$63,2,0),0)</f>
        <v>0</v>
      </c>
      <c r="AC50" s="138">
        <f>IF('1.DATOS-PROD'!AL51="SI",VLOOKUP('1.DATOS-PROD'!AL$2,'1.PUNTOS'!$A$1:$B$63,2,0),0)</f>
        <v>0</v>
      </c>
      <c r="AD50" s="138">
        <f>IF('1.DATOS-PROD'!AM51="SI",VLOOKUP('1.DATOS-PROD'!AM$2,'1.PUNTOS'!$A$1:$B$63,2,0),0)</f>
        <v>0</v>
      </c>
      <c r="AE50" s="138">
        <f>IF('1.DATOS-PROD'!AN51="SI",VLOOKUP('1.DATOS-PROD'!AN$2,'1.PUNTOS'!$A$1:$B$63,2,0),0)</f>
        <v>0</v>
      </c>
      <c r="AF50" s="138">
        <f>IF('1.DATOS-PROD'!AO51="SI",VLOOKUP('1.DATOS-PROD'!AO$2,'1.PUNTOS'!$A$1:$B$63,2,0),0)</f>
        <v>0</v>
      </c>
      <c r="AG50" s="138">
        <f>IF('1.DATOS-PROD'!AP51="SI",VLOOKUP('1.DATOS-PROD'!AP$2,'1.PUNTOS'!$A$1:$B$63,2,0),0)</f>
        <v>0</v>
      </c>
      <c r="AH50" s="138">
        <f>IF('1.DATOS-PROD'!AQ51="SI",VLOOKUP('1.DATOS-PROD'!AQ$2,'1.PUNTOS'!$A$1:$B$63,2,0),0)</f>
        <v>0</v>
      </c>
      <c r="AI50" s="138">
        <f>IF('1.DATOS-PROD'!AR51="SI",VLOOKUP('1.DATOS-PROD'!AR$2,'1.PUNTOS'!$A$1:$B$63,2,0),0)</f>
        <v>0</v>
      </c>
      <c r="AJ50" s="138">
        <f>IF('1.DATOS-PROD'!AS51="SI",VLOOKUP('1.DATOS-PROD'!AS$2,'1.PUNTOS'!$A$1:$B$63,2,0),0)</f>
        <v>0</v>
      </c>
      <c r="AK50" s="138">
        <f>IF('1.DATOS-PROD'!AT51="SI",VLOOKUP('1.DATOS-PROD'!AT$2,'1.PUNTOS'!$A$1:$B$63,2,0),0)</f>
        <v>0</v>
      </c>
      <c r="AL50" s="138">
        <f>IF('1.DATOS-PROD'!AU51="SI",VLOOKUP('1.DATOS-PROD'!AU$2,'1.PUNTOS'!$A$1:$B$63,2,0),0)</f>
        <v>0</v>
      </c>
      <c r="AM50" s="138">
        <f>IF('1.DATOS-PROD'!AV51="SI",VLOOKUP('1.DATOS-PROD'!AV$2,'1.PUNTOS'!$A$1:$B$63,2,0),0)</f>
        <v>0</v>
      </c>
      <c r="AN50" s="138">
        <f>IF('1.DATOS-PROD'!AW51="SI",VLOOKUP('1.DATOS-PROD'!AW$2,'1.PUNTOS'!$A$1:$B$63,2,0),0)</f>
        <v>0</v>
      </c>
      <c r="AO50" s="138">
        <f>IF('1.DATOS-PROD'!AX51="SI",VLOOKUP('1.DATOS-PROD'!AX$2,'1.PUNTOS'!$A$1:$B$63,2,0),0)</f>
        <v>0</v>
      </c>
      <c r="AP50" s="138">
        <f>IF('1.DATOS-PROD'!AY51="SI",VLOOKUP('1.DATOS-PROD'!AY$2,'1.PUNTOS'!$A$1:$B$63,2,0),0)</f>
        <v>0</v>
      </c>
      <c r="AQ50" s="138">
        <f>IF('1.DATOS-PROD'!AZ51="SI",VLOOKUP('1.DATOS-PROD'!AZ$2,'1.PUNTOS'!$A$1:$B$63,2,0),0)</f>
        <v>0</v>
      </c>
      <c r="AR50" s="138">
        <f>IF('1.DATOS-PROD'!BA51="SI",VLOOKUP('1.DATOS-PROD'!BA$2,'1.PUNTOS'!$A$1:$B$63,2,0),0)</f>
        <v>0</v>
      </c>
      <c r="AS50" s="138">
        <f>IF('1.DATOS-PROD'!BB51="SI",VLOOKUP('1.DATOS-PROD'!BB$2,'1.PUNTOS'!$A$1:$B$63,2,0),0)</f>
        <v>0</v>
      </c>
      <c r="AT50" s="138">
        <f>IF('1.DATOS-PROD'!BC51="SI",VLOOKUP('1.DATOS-PROD'!BC$2,'1.PUNTOS'!$A$1:$B$63,2,0),0)</f>
        <v>0</v>
      </c>
      <c r="AU50" s="138">
        <f>IF('1.DATOS-PROD'!BD51="SI",VLOOKUP('1.DATOS-PROD'!BD$2,'1.PUNTOS'!$A$1:$B$63,2,0),0)</f>
        <v>0</v>
      </c>
      <c r="AV50" s="138">
        <f>IF('1.DATOS-PROD'!BE51="SI",VLOOKUP('1.DATOS-PROD'!BE$2,'1.PUNTOS'!$A$1:$B$63,2,0),0)</f>
        <v>0</v>
      </c>
      <c r="AW50" s="138">
        <f>IF('1.DATOS-PROD'!BF51="SI",VLOOKUP('1.DATOS-PROD'!BF$2,'1.PUNTOS'!$A$1:$B$63,2,0),0)</f>
        <v>0</v>
      </c>
      <c r="AX50" s="138">
        <f>IF('1.DATOS-PROD'!BG51="SI",VLOOKUP('1.DATOS-PROD'!BG$2,'1.PUNTOS'!$A$1:$B$63,2,0),0)</f>
        <v>0</v>
      </c>
      <c r="AY50" s="138">
        <f>IF('1.DATOS-PROD'!BH51="SI",VLOOKUP('1.DATOS-PROD'!BH$2,'1.PUNTOS'!$A$1:$B$63,2,0),0)</f>
        <v>0</v>
      </c>
      <c r="AZ50" s="138">
        <f>IF('1.DATOS-PROD'!BI51="SI",VLOOKUP('1.DATOS-PROD'!BI$2,'1.PUNTOS'!$A$1:$B$63,2,0),0)</f>
        <v>0</v>
      </c>
      <c r="BA50" s="138">
        <f>IF('1.DATOS-PROD'!BJ51="SI",VLOOKUP('1.DATOS-PROD'!BJ$2,'1.PUNTOS'!$A$1:$B$63,2,0),0)</f>
        <v>0</v>
      </c>
      <c r="BB50" s="138">
        <f>IF('1.DATOS-PROD'!BK51="SI",VLOOKUP('1.DATOS-PROD'!BK$2,'1.PUNTOS'!$A$1:$B$63,2,0),0)</f>
        <v>0</v>
      </c>
      <c r="BC50" s="138">
        <f>IF('1.DATOS-PROD'!BL51="SI",VLOOKUP('1.DATOS-PROD'!BL$2,'1.PUNTOS'!$A$1:$B$63,2,0),0)</f>
        <v>0</v>
      </c>
      <c r="BD50" s="138">
        <f>IF('1.DATOS-PROD'!BM51="SI",VLOOKUP('1.DATOS-PROD'!BM$2,'1.PUNTOS'!$A$1:$B$63,2,0),0)</f>
        <v>0</v>
      </c>
      <c r="BE50" s="138">
        <f>IF('1.DATOS-PROD'!BN51="SI",VLOOKUP('1.DATOS-PROD'!BN$2,'1.PUNTOS'!$A$1:$B$63,2,0),0)</f>
        <v>0</v>
      </c>
      <c r="BF50" s="138">
        <f>IF('1.DATOS-PROD'!BO51="SI",VLOOKUP('1.DATOS-PROD'!BO$2,'1.PUNTOS'!$A$1:$B$63,2,0),0)</f>
        <v>0</v>
      </c>
      <c r="BG50" s="138">
        <f>IF('1.DATOS-PROD'!BP51="SI",VLOOKUP('1.DATOS-PROD'!BP$2,'1.PUNTOS'!$A$1:$B$63,2,0),0)</f>
        <v>0</v>
      </c>
      <c r="BH50" s="138">
        <f>IF('1.DATOS-PROD'!BQ51="SI",VLOOKUP('1.DATOS-PROD'!BQ$2,'1.PUNTOS'!$A$1:$B$63,2,0),0)</f>
        <v>0</v>
      </c>
      <c r="BI50" s="138">
        <f>IF('1.DATOS-PROD'!BR51="SI",VLOOKUP('1.DATOS-PROD'!BR$2,'1.PUNTOS'!$A$1:$B$63,2,0),0)</f>
        <v>0</v>
      </c>
      <c r="BJ50" s="138">
        <f>IF('1.DATOS-PROD'!BS51="SI",VLOOKUP('1.DATOS-PROD'!BS$2,'1.PUNTOS'!$A$1:$B$63,2,0),0)</f>
        <v>0</v>
      </c>
      <c r="BK50" s="138">
        <f>IF('1.DATOS-PROD'!BT51="SI",VLOOKUP('1.DATOS-PROD'!BT$2,'1.PUNTOS'!$A$1:$B$63,2,0),0)</f>
        <v>0</v>
      </c>
    </row>
    <row r="51" spans="1:63" x14ac:dyDescent="0.25">
      <c r="A51">
        <f>'0.Consolidado general'!$A52</f>
        <v>0</v>
      </c>
      <c r="B51" s="138">
        <f>IF('1.DATOS-PROD'!K52="SI",VLOOKUP('1.DATOS-PROD'!K$2,'1.PUNTOS'!$A$1:$B$63,2,0),0)</f>
        <v>0</v>
      </c>
      <c r="C51" s="138">
        <f>IF('1.DATOS-PROD'!L52="SI",VLOOKUP('1.DATOS-PROD'!L$2,'1.PUNTOS'!$A$1:$B$63,2,0),0)</f>
        <v>0</v>
      </c>
      <c r="D51" s="138">
        <f>IF('1.DATOS-PROD'!M52="SI",VLOOKUP('1.DATOS-PROD'!M$2,'1.PUNTOS'!$A$1:$B$63,2,0),0)</f>
        <v>0</v>
      </c>
      <c r="E51" s="138">
        <f>IF('1.DATOS-PROD'!N52="SI",VLOOKUP('1.DATOS-PROD'!N$2,'1.PUNTOS'!$A$1:$B$63,2,0),0)</f>
        <v>0</v>
      </c>
      <c r="F51" s="138">
        <f>IF('1.DATOS-PROD'!O52="SI",VLOOKUP('1.DATOS-PROD'!O$2,'1.PUNTOS'!$A$1:$B$63,2,0),0)</f>
        <v>0</v>
      </c>
      <c r="G51" s="138">
        <f>IF('1.DATOS-PROD'!P52="SI",VLOOKUP('1.DATOS-PROD'!P$2,'1.PUNTOS'!$A$1:$B$63,2,0),0)</f>
        <v>0</v>
      </c>
      <c r="H51" s="138">
        <f>IF('1.DATOS-PROD'!Q52="SI",VLOOKUP('1.DATOS-PROD'!Q$2,'1.PUNTOS'!$A$1:$B$63,2,0),0)</f>
        <v>0</v>
      </c>
      <c r="I51" s="138">
        <f>IF('1.DATOS-PROD'!R52="SI",VLOOKUP('1.DATOS-PROD'!R$2,'1.PUNTOS'!$A$1:$B$63,2,0),0)</f>
        <v>0</v>
      </c>
      <c r="J51" s="138">
        <f>IF('1.DATOS-PROD'!S52="SI",VLOOKUP('1.DATOS-PROD'!S$2,'1.PUNTOS'!$A$1:$B$63,2,0),0)</f>
        <v>0</v>
      </c>
      <c r="K51" s="138">
        <f>IF('1.DATOS-PROD'!T52="SI",VLOOKUP('1.DATOS-PROD'!T$2,'1.PUNTOS'!$A$1:$B$63,2,0),0)</f>
        <v>0</v>
      </c>
      <c r="L51" s="138">
        <f>IF('1.DATOS-PROD'!U52="SI",VLOOKUP('1.DATOS-PROD'!U$2,'1.PUNTOS'!$A$1:$B$63,2,0),0)</f>
        <v>0</v>
      </c>
      <c r="M51" s="138">
        <f>IF('1.DATOS-PROD'!V52="SI",VLOOKUP('1.DATOS-PROD'!V$2,'1.PUNTOS'!$A$1:$B$63,2,0),0)</f>
        <v>0</v>
      </c>
      <c r="N51" s="138">
        <f>IF('1.DATOS-PROD'!W52="SI",VLOOKUP('1.DATOS-PROD'!W$2,'1.PUNTOS'!$A$1:$B$63,2,0),0)</f>
        <v>0</v>
      </c>
      <c r="O51" s="138">
        <f>IF('1.DATOS-PROD'!X52="SI",VLOOKUP('1.DATOS-PROD'!X$2,'1.PUNTOS'!$A$1:$B$63,2,0),0)</f>
        <v>0</v>
      </c>
      <c r="P51" s="138">
        <f>IF('1.DATOS-PROD'!Y52="SI",VLOOKUP('1.DATOS-PROD'!Y$2,'1.PUNTOS'!$A$1:$B$63,2,0),0)</f>
        <v>0</v>
      </c>
      <c r="Q51" s="138">
        <f>IF('1.DATOS-PROD'!Z52="SI",VLOOKUP('1.DATOS-PROD'!Z$2,'1.PUNTOS'!$A$1:$B$63,2,0),0)</f>
        <v>0</v>
      </c>
      <c r="R51" s="138">
        <f>IF('1.DATOS-PROD'!AA52="SI",VLOOKUP('1.DATOS-PROD'!AA$2,'1.PUNTOS'!$A$1:$B$63,2,0),0)</f>
        <v>0</v>
      </c>
      <c r="S51" s="138">
        <f>IF('1.DATOS-PROD'!AB52="SI",VLOOKUP('1.DATOS-PROD'!AB$2,'1.PUNTOS'!$A$1:$B$63,2,0),0)</f>
        <v>0</v>
      </c>
      <c r="T51" s="138">
        <f>IF('1.DATOS-PROD'!AC52="SI",VLOOKUP('1.DATOS-PROD'!AC$2,'1.PUNTOS'!$A$1:$B$63,2,0),0)</f>
        <v>0</v>
      </c>
      <c r="U51" s="138">
        <f>IF('1.DATOS-PROD'!AD52="SI",VLOOKUP('1.DATOS-PROD'!AD$2,'1.PUNTOS'!$A$1:$B$63,2,0),0)</f>
        <v>0</v>
      </c>
      <c r="V51" s="138">
        <f>IF('1.DATOS-PROD'!AE52="SI",VLOOKUP('1.DATOS-PROD'!AE$2,'1.PUNTOS'!$A$1:$B$63,2,0),0)</f>
        <v>0</v>
      </c>
      <c r="W51" s="138">
        <f>IF('1.DATOS-PROD'!AF52="SI",VLOOKUP('1.DATOS-PROD'!AF$2,'1.PUNTOS'!$A$1:$B$63,2,0),0)</f>
        <v>0</v>
      </c>
      <c r="X51" s="138">
        <f>IF('1.DATOS-PROD'!AG52="SI",VLOOKUP('1.DATOS-PROD'!AG$2,'1.PUNTOS'!$A$1:$B$63,2,0),0)</f>
        <v>0</v>
      </c>
      <c r="Y51" s="138">
        <f>IF('1.DATOS-PROD'!AH52="SI",VLOOKUP('1.DATOS-PROD'!AH$2,'1.PUNTOS'!$A$1:$B$63,2,0),0)</f>
        <v>0</v>
      </c>
      <c r="Z51" s="138">
        <f>IF('1.DATOS-PROD'!AI52="SI",VLOOKUP('1.DATOS-PROD'!AI$2,'1.PUNTOS'!$A$1:$B$63,2,0),0)</f>
        <v>0</v>
      </c>
      <c r="AA51" s="138">
        <f>IF('1.DATOS-PROD'!AJ52="SI",VLOOKUP('1.DATOS-PROD'!AJ$2,'1.PUNTOS'!$A$1:$B$63,2,0),0)</f>
        <v>0</v>
      </c>
      <c r="AB51" s="138">
        <f>IF('1.DATOS-PROD'!AK52="SI",VLOOKUP('1.DATOS-PROD'!AK$2,'1.PUNTOS'!$A$1:$B$63,2,0),0)</f>
        <v>0</v>
      </c>
      <c r="AC51" s="138">
        <f>IF('1.DATOS-PROD'!AL52="SI",VLOOKUP('1.DATOS-PROD'!AL$2,'1.PUNTOS'!$A$1:$B$63,2,0),0)</f>
        <v>0</v>
      </c>
      <c r="AD51" s="138">
        <f>IF('1.DATOS-PROD'!AM52="SI",VLOOKUP('1.DATOS-PROD'!AM$2,'1.PUNTOS'!$A$1:$B$63,2,0),0)</f>
        <v>0</v>
      </c>
      <c r="AE51" s="138">
        <f>IF('1.DATOS-PROD'!AN52="SI",VLOOKUP('1.DATOS-PROD'!AN$2,'1.PUNTOS'!$A$1:$B$63,2,0),0)</f>
        <v>0</v>
      </c>
      <c r="AF51" s="138">
        <f>IF('1.DATOS-PROD'!AO52="SI",VLOOKUP('1.DATOS-PROD'!AO$2,'1.PUNTOS'!$A$1:$B$63,2,0),0)</f>
        <v>0</v>
      </c>
      <c r="AG51" s="138">
        <f>IF('1.DATOS-PROD'!AP52="SI",VLOOKUP('1.DATOS-PROD'!AP$2,'1.PUNTOS'!$A$1:$B$63,2,0),0)</f>
        <v>0</v>
      </c>
      <c r="AH51" s="138">
        <f>IF('1.DATOS-PROD'!AQ52="SI",VLOOKUP('1.DATOS-PROD'!AQ$2,'1.PUNTOS'!$A$1:$B$63,2,0),0)</f>
        <v>0</v>
      </c>
      <c r="AI51" s="138">
        <f>IF('1.DATOS-PROD'!AR52="SI",VLOOKUP('1.DATOS-PROD'!AR$2,'1.PUNTOS'!$A$1:$B$63,2,0),0)</f>
        <v>0</v>
      </c>
      <c r="AJ51" s="138">
        <f>IF('1.DATOS-PROD'!AS52="SI",VLOOKUP('1.DATOS-PROD'!AS$2,'1.PUNTOS'!$A$1:$B$63,2,0),0)</f>
        <v>0</v>
      </c>
      <c r="AK51" s="138">
        <f>IF('1.DATOS-PROD'!AT52="SI",VLOOKUP('1.DATOS-PROD'!AT$2,'1.PUNTOS'!$A$1:$B$63,2,0),0)</f>
        <v>0</v>
      </c>
      <c r="AL51" s="138">
        <f>IF('1.DATOS-PROD'!AU52="SI",VLOOKUP('1.DATOS-PROD'!AU$2,'1.PUNTOS'!$A$1:$B$63,2,0),0)</f>
        <v>0</v>
      </c>
      <c r="AM51" s="138">
        <f>IF('1.DATOS-PROD'!AV52="SI",VLOOKUP('1.DATOS-PROD'!AV$2,'1.PUNTOS'!$A$1:$B$63,2,0),0)</f>
        <v>0</v>
      </c>
      <c r="AN51" s="138">
        <f>IF('1.DATOS-PROD'!AW52="SI",VLOOKUP('1.DATOS-PROD'!AW$2,'1.PUNTOS'!$A$1:$B$63,2,0),0)</f>
        <v>0</v>
      </c>
      <c r="AO51" s="138">
        <f>IF('1.DATOS-PROD'!AX52="SI",VLOOKUP('1.DATOS-PROD'!AX$2,'1.PUNTOS'!$A$1:$B$63,2,0),0)</f>
        <v>0</v>
      </c>
      <c r="AP51" s="138">
        <f>IF('1.DATOS-PROD'!AY52="SI",VLOOKUP('1.DATOS-PROD'!AY$2,'1.PUNTOS'!$A$1:$B$63,2,0),0)</f>
        <v>0</v>
      </c>
      <c r="AQ51" s="138">
        <f>IF('1.DATOS-PROD'!AZ52="SI",VLOOKUP('1.DATOS-PROD'!AZ$2,'1.PUNTOS'!$A$1:$B$63,2,0),0)</f>
        <v>0</v>
      </c>
      <c r="AR51" s="138">
        <f>IF('1.DATOS-PROD'!BA52="SI",VLOOKUP('1.DATOS-PROD'!BA$2,'1.PUNTOS'!$A$1:$B$63,2,0),0)</f>
        <v>0</v>
      </c>
      <c r="AS51" s="138">
        <f>IF('1.DATOS-PROD'!BB52="SI",VLOOKUP('1.DATOS-PROD'!BB$2,'1.PUNTOS'!$A$1:$B$63,2,0),0)</f>
        <v>0</v>
      </c>
      <c r="AT51" s="138">
        <f>IF('1.DATOS-PROD'!BC52="SI",VLOOKUP('1.DATOS-PROD'!BC$2,'1.PUNTOS'!$A$1:$B$63,2,0),0)</f>
        <v>0</v>
      </c>
      <c r="AU51" s="138">
        <f>IF('1.DATOS-PROD'!BD52="SI",VLOOKUP('1.DATOS-PROD'!BD$2,'1.PUNTOS'!$A$1:$B$63,2,0),0)</f>
        <v>0</v>
      </c>
      <c r="AV51" s="138">
        <f>IF('1.DATOS-PROD'!BE52="SI",VLOOKUP('1.DATOS-PROD'!BE$2,'1.PUNTOS'!$A$1:$B$63,2,0),0)</f>
        <v>0</v>
      </c>
      <c r="AW51" s="138">
        <f>IF('1.DATOS-PROD'!BF52="SI",VLOOKUP('1.DATOS-PROD'!BF$2,'1.PUNTOS'!$A$1:$B$63,2,0),0)</f>
        <v>0</v>
      </c>
      <c r="AX51" s="138">
        <f>IF('1.DATOS-PROD'!BG52="SI",VLOOKUP('1.DATOS-PROD'!BG$2,'1.PUNTOS'!$A$1:$B$63,2,0),0)</f>
        <v>0</v>
      </c>
      <c r="AY51" s="138">
        <f>IF('1.DATOS-PROD'!BH52="SI",VLOOKUP('1.DATOS-PROD'!BH$2,'1.PUNTOS'!$A$1:$B$63,2,0),0)</f>
        <v>0</v>
      </c>
      <c r="AZ51" s="138">
        <f>IF('1.DATOS-PROD'!BI52="SI",VLOOKUP('1.DATOS-PROD'!BI$2,'1.PUNTOS'!$A$1:$B$63,2,0),0)</f>
        <v>0</v>
      </c>
      <c r="BA51" s="138">
        <f>IF('1.DATOS-PROD'!BJ52="SI",VLOOKUP('1.DATOS-PROD'!BJ$2,'1.PUNTOS'!$A$1:$B$63,2,0),0)</f>
        <v>0</v>
      </c>
      <c r="BB51" s="138">
        <f>IF('1.DATOS-PROD'!BK52="SI",VLOOKUP('1.DATOS-PROD'!BK$2,'1.PUNTOS'!$A$1:$B$63,2,0),0)</f>
        <v>0</v>
      </c>
      <c r="BC51" s="138">
        <f>IF('1.DATOS-PROD'!BL52="SI",VLOOKUP('1.DATOS-PROD'!BL$2,'1.PUNTOS'!$A$1:$B$63,2,0),0)</f>
        <v>0</v>
      </c>
      <c r="BD51" s="138">
        <f>IF('1.DATOS-PROD'!BM52="SI",VLOOKUP('1.DATOS-PROD'!BM$2,'1.PUNTOS'!$A$1:$B$63,2,0),0)</f>
        <v>0</v>
      </c>
      <c r="BE51" s="138">
        <f>IF('1.DATOS-PROD'!BN52="SI",VLOOKUP('1.DATOS-PROD'!BN$2,'1.PUNTOS'!$A$1:$B$63,2,0),0)</f>
        <v>0</v>
      </c>
      <c r="BF51" s="138">
        <f>IF('1.DATOS-PROD'!BO52="SI",VLOOKUP('1.DATOS-PROD'!BO$2,'1.PUNTOS'!$A$1:$B$63,2,0),0)</f>
        <v>0</v>
      </c>
      <c r="BG51" s="138">
        <f>IF('1.DATOS-PROD'!BP52="SI",VLOOKUP('1.DATOS-PROD'!BP$2,'1.PUNTOS'!$A$1:$B$63,2,0),0)</f>
        <v>0</v>
      </c>
      <c r="BH51" s="138">
        <f>IF('1.DATOS-PROD'!BQ52="SI",VLOOKUP('1.DATOS-PROD'!BQ$2,'1.PUNTOS'!$A$1:$B$63,2,0),0)</f>
        <v>0</v>
      </c>
      <c r="BI51" s="138">
        <f>IF('1.DATOS-PROD'!BR52="SI",VLOOKUP('1.DATOS-PROD'!BR$2,'1.PUNTOS'!$A$1:$B$63,2,0),0)</f>
        <v>0</v>
      </c>
      <c r="BJ51" s="138">
        <f>IF('1.DATOS-PROD'!BS52="SI",VLOOKUP('1.DATOS-PROD'!BS$2,'1.PUNTOS'!$A$1:$B$63,2,0),0)</f>
        <v>0</v>
      </c>
      <c r="BK51" s="138">
        <f>IF('1.DATOS-PROD'!BT52="SI",VLOOKUP('1.DATOS-PROD'!BT$2,'1.PUNTOS'!$A$1:$B$63,2,0),0)</f>
        <v>0</v>
      </c>
    </row>
    <row r="52" spans="1:63" x14ac:dyDescent="0.25">
      <c r="A52">
        <f>'0.Consolidado general'!$A53</f>
        <v>0</v>
      </c>
      <c r="B52" s="138">
        <f>IF('1.DATOS-PROD'!K53="SI",VLOOKUP('1.DATOS-PROD'!K$2,'1.PUNTOS'!$A$1:$B$63,2,0),0)</f>
        <v>0</v>
      </c>
      <c r="C52" s="138">
        <f>IF('1.DATOS-PROD'!L53="SI",VLOOKUP('1.DATOS-PROD'!L$2,'1.PUNTOS'!$A$1:$B$63,2,0),0)</f>
        <v>0</v>
      </c>
      <c r="D52" s="138">
        <f>IF('1.DATOS-PROD'!M53="SI",VLOOKUP('1.DATOS-PROD'!M$2,'1.PUNTOS'!$A$1:$B$63,2,0),0)</f>
        <v>0</v>
      </c>
      <c r="E52" s="138">
        <f>IF('1.DATOS-PROD'!N53="SI",VLOOKUP('1.DATOS-PROD'!N$2,'1.PUNTOS'!$A$1:$B$63,2,0),0)</f>
        <v>0</v>
      </c>
      <c r="F52" s="138">
        <f>IF('1.DATOS-PROD'!O53="SI",VLOOKUP('1.DATOS-PROD'!O$2,'1.PUNTOS'!$A$1:$B$63,2,0),0)</f>
        <v>0</v>
      </c>
      <c r="G52" s="138">
        <f>IF('1.DATOS-PROD'!P53="SI",VLOOKUP('1.DATOS-PROD'!P$2,'1.PUNTOS'!$A$1:$B$63,2,0),0)</f>
        <v>0</v>
      </c>
      <c r="H52" s="138">
        <f>IF('1.DATOS-PROD'!Q53="SI",VLOOKUP('1.DATOS-PROD'!Q$2,'1.PUNTOS'!$A$1:$B$63,2,0),0)</f>
        <v>0</v>
      </c>
      <c r="I52" s="138">
        <f>IF('1.DATOS-PROD'!R53="SI",VLOOKUP('1.DATOS-PROD'!R$2,'1.PUNTOS'!$A$1:$B$63,2,0),0)</f>
        <v>0</v>
      </c>
      <c r="J52" s="138">
        <f>IF('1.DATOS-PROD'!S53="SI",VLOOKUP('1.DATOS-PROD'!S$2,'1.PUNTOS'!$A$1:$B$63,2,0),0)</f>
        <v>0</v>
      </c>
      <c r="K52" s="138">
        <f>IF('1.DATOS-PROD'!T53="SI",VLOOKUP('1.DATOS-PROD'!T$2,'1.PUNTOS'!$A$1:$B$63,2,0),0)</f>
        <v>0</v>
      </c>
      <c r="L52" s="138">
        <f>IF('1.DATOS-PROD'!U53="SI",VLOOKUP('1.DATOS-PROD'!U$2,'1.PUNTOS'!$A$1:$B$63,2,0),0)</f>
        <v>0</v>
      </c>
      <c r="M52" s="138">
        <f>IF('1.DATOS-PROD'!V53="SI",VLOOKUP('1.DATOS-PROD'!V$2,'1.PUNTOS'!$A$1:$B$63,2,0),0)</f>
        <v>0</v>
      </c>
      <c r="N52" s="138">
        <f>IF('1.DATOS-PROD'!W53="SI",VLOOKUP('1.DATOS-PROD'!W$2,'1.PUNTOS'!$A$1:$B$63,2,0),0)</f>
        <v>0</v>
      </c>
      <c r="O52" s="138">
        <f>IF('1.DATOS-PROD'!X53="SI",VLOOKUP('1.DATOS-PROD'!X$2,'1.PUNTOS'!$A$1:$B$63,2,0),0)</f>
        <v>0</v>
      </c>
      <c r="P52" s="138">
        <f>IF('1.DATOS-PROD'!Y53="SI",VLOOKUP('1.DATOS-PROD'!Y$2,'1.PUNTOS'!$A$1:$B$63,2,0),0)</f>
        <v>0</v>
      </c>
      <c r="Q52" s="138">
        <f>IF('1.DATOS-PROD'!Z53="SI",VLOOKUP('1.DATOS-PROD'!Z$2,'1.PUNTOS'!$A$1:$B$63,2,0),0)</f>
        <v>0</v>
      </c>
      <c r="R52" s="138">
        <f>IF('1.DATOS-PROD'!AA53="SI",VLOOKUP('1.DATOS-PROD'!AA$2,'1.PUNTOS'!$A$1:$B$63,2,0),0)</f>
        <v>0</v>
      </c>
      <c r="S52" s="138">
        <f>IF('1.DATOS-PROD'!AB53="SI",VLOOKUP('1.DATOS-PROD'!AB$2,'1.PUNTOS'!$A$1:$B$63,2,0),0)</f>
        <v>0</v>
      </c>
      <c r="T52" s="138">
        <f>IF('1.DATOS-PROD'!AC53="SI",VLOOKUP('1.DATOS-PROD'!AC$2,'1.PUNTOS'!$A$1:$B$63,2,0),0)</f>
        <v>0</v>
      </c>
      <c r="U52" s="138">
        <f>IF('1.DATOS-PROD'!AD53="SI",VLOOKUP('1.DATOS-PROD'!AD$2,'1.PUNTOS'!$A$1:$B$63,2,0),0)</f>
        <v>0</v>
      </c>
      <c r="V52" s="138">
        <f>IF('1.DATOS-PROD'!AE53="SI",VLOOKUP('1.DATOS-PROD'!AE$2,'1.PUNTOS'!$A$1:$B$63,2,0),0)</f>
        <v>0</v>
      </c>
      <c r="W52" s="138">
        <f>IF('1.DATOS-PROD'!AF53="SI",VLOOKUP('1.DATOS-PROD'!AF$2,'1.PUNTOS'!$A$1:$B$63,2,0),0)</f>
        <v>0</v>
      </c>
      <c r="X52" s="138">
        <f>IF('1.DATOS-PROD'!AG53="SI",VLOOKUP('1.DATOS-PROD'!AG$2,'1.PUNTOS'!$A$1:$B$63,2,0),0)</f>
        <v>0</v>
      </c>
      <c r="Y52" s="138">
        <f>IF('1.DATOS-PROD'!AH53="SI",VLOOKUP('1.DATOS-PROD'!AH$2,'1.PUNTOS'!$A$1:$B$63,2,0),0)</f>
        <v>0</v>
      </c>
      <c r="Z52" s="138">
        <f>IF('1.DATOS-PROD'!AI53="SI",VLOOKUP('1.DATOS-PROD'!AI$2,'1.PUNTOS'!$A$1:$B$63,2,0),0)</f>
        <v>0</v>
      </c>
      <c r="AA52" s="138">
        <f>IF('1.DATOS-PROD'!AJ53="SI",VLOOKUP('1.DATOS-PROD'!AJ$2,'1.PUNTOS'!$A$1:$B$63,2,0),0)</f>
        <v>0</v>
      </c>
      <c r="AB52" s="138">
        <f>IF('1.DATOS-PROD'!AK53="SI",VLOOKUP('1.DATOS-PROD'!AK$2,'1.PUNTOS'!$A$1:$B$63,2,0),0)</f>
        <v>0</v>
      </c>
      <c r="AC52" s="138">
        <f>IF('1.DATOS-PROD'!AL53="SI",VLOOKUP('1.DATOS-PROD'!AL$2,'1.PUNTOS'!$A$1:$B$63,2,0),0)</f>
        <v>0</v>
      </c>
      <c r="AD52" s="138">
        <f>IF('1.DATOS-PROD'!AM53="SI",VLOOKUP('1.DATOS-PROD'!AM$2,'1.PUNTOS'!$A$1:$B$63,2,0),0)</f>
        <v>0</v>
      </c>
      <c r="AE52" s="138">
        <f>IF('1.DATOS-PROD'!AN53="SI",VLOOKUP('1.DATOS-PROD'!AN$2,'1.PUNTOS'!$A$1:$B$63,2,0),0)</f>
        <v>0</v>
      </c>
      <c r="AF52" s="138">
        <f>IF('1.DATOS-PROD'!AO53="SI",VLOOKUP('1.DATOS-PROD'!AO$2,'1.PUNTOS'!$A$1:$B$63,2,0),0)</f>
        <v>0</v>
      </c>
      <c r="AG52" s="138">
        <f>IF('1.DATOS-PROD'!AP53="SI",VLOOKUP('1.DATOS-PROD'!AP$2,'1.PUNTOS'!$A$1:$B$63,2,0),0)</f>
        <v>0</v>
      </c>
      <c r="AH52" s="138">
        <f>IF('1.DATOS-PROD'!AQ53="SI",VLOOKUP('1.DATOS-PROD'!AQ$2,'1.PUNTOS'!$A$1:$B$63,2,0),0)</f>
        <v>0</v>
      </c>
      <c r="AI52" s="138">
        <f>IF('1.DATOS-PROD'!AR53="SI",VLOOKUP('1.DATOS-PROD'!AR$2,'1.PUNTOS'!$A$1:$B$63,2,0),0)</f>
        <v>0</v>
      </c>
      <c r="AJ52" s="138">
        <f>IF('1.DATOS-PROD'!AS53="SI",VLOOKUP('1.DATOS-PROD'!AS$2,'1.PUNTOS'!$A$1:$B$63,2,0),0)</f>
        <v>0</v>
      </c>
      <c r="AK52" s="138">
        <f>IF('1.DATOS-PROD'!AT53="SI",VLOOKUP('1.DATOS-PROD'!AT$2,'1.PUNTOS'!$A$1:$B$63,2,0),0)</f>
        <v>0</v>
      </c>
      <c r="AL52" s="138">
        <f>IF('1.DATOS-PROD'!AU53="SI",VLOOKUP('1.DATOS-PROD'!AU$2,'1.PUNTOS'!$A$1:$B$63,2,0),0)</f>
        <v>0</v>
      </c>
      <c r="AM52" s="138">
        <f>IF('1.DATOS-PROD'!AV53="SI",VLOOKUP('1.DATOS-PROD'!AV$2,'1.PUNTOS'!$A$1:$B$63,2,0),0)</f>
        <v>0</v>
      </c>
      <c r="AN52" s="138">
        <f>IF('1.DATOS-PROD'!AW53="SI",VLOOKUP('1.DATOS-PROD'!AW$2,'1.PUNTOS'!$A$1:$B$63,2,0),0)</f>
        <v>0</v>
      </c>
      <c r="AO52" s="138">
        <f>IF('1.DATOS-PROD'!AX53="SI",VLOOKUP('1.DATOS-PROD'!AX$2,'1.PUNTOS'!$A$1:$B$63,2,0),0)</f>
        <v>0</v>
      </c>
      <c r="AP52" s="138">
        <f>IF('1.DATOS-PROD'!AY53="SI",VLOOKUP('1.DATOS-PROD'!AY$2,'1.PUNTOS'!$A$1:$B$63,2,0),0)</f>
        <v>0</v>
      </c>
      <c r="AQ52" s="138">
        <f>IF('1.DATOS-PROD'!AZ53="SI",VLOOKUP('1.DATOS-PROD'!AZ$2,'1.PUNTOS'!$A$1:$B$63,2,0),0)</f>
        <v>0</v>
      </c>
      <c r="AR52" s="138">
        <f>IF('1.DATOS-PROD'!BA53="SI",VLOOKUP('1.DATOS-PROD'!BA$2,'1.PUNTOS'!$A$1:$B$63,2,0),0)</f>
        <v>0</v>
      </c>
      <c r="AS52" s="138">
        <f>IF('1.DATOS-PROD'!BB53="SI",VLOOKUP('1.DATOS-PROD'!BB$2,'1.PUNTOS'!$A$1:$B$63,2,0),0)</f>
        <v>0</v>
      </c>
      <c r="AT52" s="138">
        <f>IF('1.DATOS-PROD'!BC53="SI",VLOOKUP('1.DATOS-PROD'!BC$2,'1.PUNTOS'!$A$1:$B$63,2,0),0)</f>
        <v>0</v>
      </c>
      <c r="AU52" s="138">
        <f>IF('1.DATOS-PROD'!BD53="SI",VLOOKUP('1.DATOS-PROD'!BD$2,'1.PUNTOS'!$A$1:$B$63,2,0),0)</f>
        <v>0</v>
      </c>
      <c r="AV52" s="138">
        <f>IF('1.DATOS-PROD'!BE53="SI",VLOOKUP('1.DATOS-PROD'!BE$2,'1.PUNTOS'!$A$1:$B$63,2,0),0)</f>
        <v>0</v>
      </c>
      <c r="AW52" s="138">
        <f>IF('1.DATOS-PROD'!BF53="SI",VLOOKUP('1.DATOS-PROD'!BF$2,'1.PUNTOS'!$A$1:$B$63,2,0),0)</f>
        <v>0</v>
      </c>
      <c r="AX52" s="138">
        <f>IF('1.DATOS-PROD'!BG53="SI",VLOOKUP('1.DATOS-PROD'!BG$2,'1.PUNTOS'!$A$1:$B$63,2,0),0)</f>
        <v>0</v>
      </c>
      <c r="AY52" s="138">
        <f>IF('1.DATOS-PROD'!BH53="SI",VLOOKUP('1.DATOS-PROD'!BH$2,'1.PUNTOS'!$A$1:$B$63,2,0),0)</f>
        <v>0</v>
      </c>
      <c r="AZ52" s="138">
        <f>IF('1.DATOS-PROD'!BI53="SI",VLOOKUP('1.DATOS-PROD'!BI$2,'1.PUNTOS'!$A$1:$B$63,2,0),0)</f>
        <v>0</v>
      </c>
      <c r="BA52" s="138">
        <f>IF('1.DATOS-PROD'!BJ53="SI",VLOOKUP('1.DATOS-PROD'!BJ$2,'1.PUNTOS'!$A$1:$B$63,2,0),0)</f>
        <v>0</v>
      </c>
      <c r="BB52" s="138">
        <f>IF('1.DATOS-PROD'!BK53="SI",VLOOKUP('1.DATOS-PROD'!BK$2,'1.PUNTOS'!$A$1:$B$63,2,0),0)</f>
        <v>0</v>
      </c>
      <c r="BC52" s="138">
        <f>IF('1.DATOS-PROD'!BL53="SI",VLOOKUP('1.DATOS-PROD'!BL$2,'1.PUNTOS'!$A$1:$B$63,2,0),0)</f>
        <v>0</v>
      </c>
      <c r="BD52" s="138">
        <f>IF('1.DATOS-PROD'!BM53="SI",VLOOKUP('1.DATOS-PROD'!BM$2,'1.PUNTOS'!$A$1:$B$63,2,0),0)</f>
        <v>0</v>
      </c>
      <c r="BE52" s="138">
        <f>IF('1.DATOS-PROD'!BN53="SI",VLOOKUP('1.DATOS-PROD'!BN$2,'1.PUNTOS'!$A$1:$B$63,2,0),0)</f>
        <v>0</v>
      </c>
      <c r="BF52" s="138">
        <f>IF('1.DATOS-PROD'!BO53="SI",VLOOKUP('1.DATOS-PROD'!BO$2,'1.PUNTOS'!$A$1:$B$63,2,0),0)</f>
        <v>0</v>
      </c>
      <c r="BG52" s="138">
        <f>IF('1.DATOS-PROD'!BP53="SI",VLOOKUP('1.DATOS-PROD'!BP$2,'1.PUNTOS'!$A$1:$B$63,2,0),0)</f>
        <v>0</v>
      </c>
      <c r="BH52" s="138">
        <f>IF('1.DATOS-PROD'!BQ53="SI",VLOOKUP('1.DATOS-PROD'!BQ$2,'1.PUNTOS'!$A$1:$B$63,2,0),0)</f>
        <v>0</v>
      </c>
      <c r="BI52" s="138">
        <f>IF('1.DATOS-PROD'!BR53="SI",VLOOKUP('1.DATOS-PROD'!BR$2,'1.PUNTOS'!$A$1:$B$63,2,0),0)</f>
        <v>0</v>
      </c>
      <c r="BJ52" s="138">
        <f>IF('1.DATOS-PROD'!BS53="SI",VLOOKUP('1.DATOS-PROD'!BS$2,'1.PUNTOS'!$A$1:$B$63,2,0),0)</f>
        <v>0</v>
      </c>
      <c r="BK52" s="138">
        <f>IF('1.DATOS-PROD'!BT53="SI",VLOOKUP('1.DATOS-PROD'!BT$2,'1.PUNTOS'!$A$1:$B$63,2,0),0)</f>
        <v>0</v>
      </c>
    </row>
    <row r="53" spans="1:63" x14ac:dyDescent="0.25">
      <c r="A53">
        <f>'0.Consolidado general'!$A54</f>
        <v>0</v>
      </c>
      <c r="B53" s="138">
        <f>IF('1.DATOS-PROD'!K54="SI",VLOOKUP('1.DATOS-PROD'!K$2,'1.PUNTOS'!$A$1:$B$63,2,0),0)</f>
        <v>0</v>
      </c>
      <c r="C53" s="138">
        <f>IF('1.DATOS-PROD'!L54="SI",VLOOKUP('1.DATOS-PROD'!L$2,'1.PUNTOS'!$A$1:$B$63,2,0),0)</f>
        <v>0</v>
      </c>
      <c r="D53" s="138">
        <f>IF('1.DATOS-PROD'!M54="SI",VLOOKUP('1.DATOS-PROD'!M$2,'1.PUNTOS'!$A$1:$B$63,2,0),0)</f>
        <v>0</v>
      </c>
      <c r="E53" s="138">
        <f>IF('1.DATOS-PROD'!N54="SI",VLOOKUP('1.DATOS-PROD'!N$2,'1.PUNTOS'!$A$1:$B$63,2,0),0)</f>
        <v>0</v>
      </c>
      <c r="F53" s="138">
        <f>IF('1.DATOS-PROD'!O54="SI",VLOOKUP('1.DATOS-PROD'!O$2,'1.PUNTOS'!$A$1:$B$63,2,0),0)</f>
        <v>0</v>
      </c>
      <c r="G53" s="138">
        <f>IF('1.DATOS-PROD'!P54="SI",VLOOKUP('1.DATOS-PROD'!P$2,'1.PUNTOS'!$A$1:$B$63,2,0),0)</f>
        <v>0</v>
      </c>
      <c r="H53" s="138">
        <f>IF('1.DATOS-PROD'!Q54="SI",VLOOKUP('1.DATOS-PROD'!Q$2,'1.PUNTOS'!$A$1:$B$63,2,0),0)</f>
        <v>0</v>
      </c>
      <c r="I53" s="138">
        <f>IF('1.DATOS-PROD'!R54="SI",VLOOKUP('1.DATOS-PROD'!R$2,'1.PUNTOS'!$A$1:$B$63,2,0),0)</f>
        <v>0</v>
      </c>
      <c r="J53" s="138">
        <f>IF('1.DATOS-PROD'!S54="SI",VLOOKUP('1.DATOS-PROD'!S$2,'1.PUNTOS'!$A$1:$B$63,2,0),0)</f>
        <v>0</v>
      </c>
      <c r="K53" s="138">
        <f>IF('1.DATOS-PROD'!T54="SI",VLOOKUP('1.DATOS-PROD'!T$2,'1.PUNTOS'!$A$1:$B$63,2,0),0)</f>
        <v>0</v>
      </c>
      <c r="L53" s="138">
        <f>IF('1.DATOS-PROD'!U54="SI",VLOOKUP('1.DATOS-PROD'!U$2,'1.PUNTOS'!$A$1:$B$63,2,0),0)</f>
        <v>0</v>
      </c>
      <c r="M53" s="138">
        <f>IF('1.DATOS-PROD'!V54="SI",VLOOKUP('1.DATOS-PROD'!V$2,'1.PUNTOS'!$A$1:$B$63,2,0),0)</f>
        <v>0</v>
      </c>
      <c r="N53" s="138">
        <f>IF('1.DATOS-PROD'!W54="SI",VLOOKUP('1.DATOS-PROD'!W$2,'1.PUNTOS'!$A$1:$B$63,2,0),0)</f>
        <v>0</v>
      </c>
      <c r="O53" s="138">
        <f>IF('1.DATOS-PROD'!X54="SI",VLOOKUP('1.DATOS-PROD'!X$2,'1.PUNTOS'!$A$1:$B$63,2,0),0)</f>
        <v>0</v>
      </c>
      <c r="P53" s="138">
        <f>IF('1.DATOS-PROD'!Y54="SI",VLOOKUP('1.DATOS-PROD'!Y$2,'1.PUNTOS'!$A$1:$B$63,2,0),0)</f>
        <v>0</v>
      </c>
      <c r="Q53" s="138">
        <f>IF('1.DATOS-PROD'!Z54="SI",VLOOKUP('1.DATOS-PROD'!Z$2,'1.PUNTOS'!$A$1:$B$63,2,0),0)</f>
        <v>0</v>
      </c>
      <c r="R53" s="138">
        <f>IF('1.DATOS-PROD'!AA54="SI",VLOOKUP('1.DATOS-PROD'!AA$2,'1.PUNTOS'!$A$1:$B$63,2,0),0)</f>
        <v>0</v>
      </c>
      <c r="S53" s="138">
        <f>IF('1.DATOS-PROD'!AB54="SI",VLOOKUP('1.DATOS-PROD'!AB$2,'1.PUNTOS'!$A$1:$B$63,2,0),0)</f>
        <v>0</v>
      </c>
      <c r="T53" s="138">
        <f>IF('1.DATOS-PROD'!AC54="SI",VLOOKUP('1.DATOS-PROD'!AC$2,'1.PUNTOS'!$A$1:$B$63,2,0),0)</f>
        <v>0</v>
      </c>
      <c r="U53" s="138">
        <f>IF('1.DATOS-PROD'!AD54="SI",VLOOKUP('1.DATOS-PROD'!AD$2,'1.PUNTOS'!$A$1:$B$63,2,0),0)</f>
        <v>0</v>
      </c>
      <c r="V53" s="138">
        <f>IF('1.DATOS-PROD'!AE54="SI",VLOOKUP('1.DATOS-PROD'!AE$2,'1.PUNTOS'!$A$1:$B$63,2,0),0)</f>
        <v>0</v>
      </c>
      <c r="W53" s="138">
        <f>IF('1.DATOS-PROD'!AF54="SI",VLOOKUP('1.DATOS-PROD'!AF$2,'1.PUNTOS'!$A$1:$B$63,2,0),0)</f>
        <v>0</v>
      </c>
      <c r="X53" s="138">
        <f>IF('1.DATOS-PROD'!AG54="SI",VLOOKUP('1.DATOS-PROD'!AG$2,'1.PUNTOS'!$A$1:$B$63,2,0),0)</f>
        <v>0</v>
      </c>
      <c r="Y53" s="138">
        <f>IF('1.DATOS-PROD'!AH54="SI",VLOOKUP('1.DATOS-PROD'!AH$2,'1.PUNTOS'!$A$1:$B$63,2,0),0)</f>
        <v>0</v>
      </c>
      <c r="Z53" s="138">
        <f>IF('1.DATOS-PROD'!AI54="SI",VLOOKUP('1.DATOS-PROD'!AI$2,'1.PUNTOS'!$A$1:$B$63,2,0),0)</f>
        <v>0</v>
      </c>
      <c r="AA53" s="138">
        <f>IF('1.DATOS-PROD'!AJ54="SI",VLOOKUP('1.DATOS-PROD'!AJ$2,'1.PUNTOS'!$A$1:$B$63,2,0),0)</f>
        <v>0</v>
      </c>
      <c r="AB53" s="138">
        <f>IF('1.DATOS-PROD'!AK54="SI",VLOOKUP('1.DATOS-PROD'!AK$2,'1.PUNTOS'!$A$1:$B$63,2,0),0)</f>
        <v>0</v>
      </c>
      <c r="AC53" s="138">
        <f>IF('1.DATOS-PROD'!AL54="SI",VLOOKUP('1.DATOS-PROD'!AL$2,'1.PUNTOS'!$A$1:$B$63,2,0),0)</f>
        <v>0</v>
      </c>
      <c r="AD53" s="138">
        <f>IF('1.DATOS-PROD'!AM54="SI",VLOOKUP('1.DATOS-PROD'!AM$2,'1.PUNTOS'!$A$1:$B$63,2,0),0)</f>
        <v>0</v>
      </c>
      <c r="AE53" s="138">
        <f>IF('1.DATOS-PROD'!AN54="SI",VLOOKUP('1.DATOS-PROD'!AN$2,'1.PUNTOS'!$A$1:$B$63,2,0),0)</f>
        <v>0</v>
      </c>
      <c r="AF53" s="138">
        <f>IF('1.DATOS-PROD'!AO54="SI",VLOOKUP('1.DATOS-PROD'!AO$2,'1.PUNTOS'!$A$1:$B$63,2,0),0)</f>
        <v>0</v>
      </c>
      <c r="AG53" s="138">
        <f>IF('1.DATOS-PROD'!AP54="SI",VLOOKUP('1.DATOS-PROD'!AP$2,'1.PUNTOS'!$A$1:$B$63,2,0),0)</f>
        <v>0</v>
      </c>
      <c r="AH53" s="138">
        <f>IF('1.DATOS-PROD'!AQ54="SI",VLOOKUP('1.DATOS-PROD'!AQ$2,'1.PUNTOS'!$A$1:$B$63,2,0),0)</f>
        <v>0</v>
      </c>
      <c r="AI53" s="138">
        <f>IF('1.DATOS-PROD'!AR54="SI",VLOOKUP('1.DATOS-PROD'!AR$2,'1.PUNTOS'!$A$1:$B$63,2,0),0)</f>
        <v>0</v>
      </c>
      <c r="AJ53" s="138">
        <f>IF('1.DATOS-PROD'!AS54="SI",VLOOKUP('1.DATOS-PROD'!AS$2,'1.PUNTOS'!$A$1:$B$63,2,0),0)</f>
        <v>0</v>
      </c>
      <c r="AK53" s="138">
        <f>IF('1.DATOS-PROD'!AT54="SI",VLOOKUP('1.DATOS-PROD'!AT$2,'1.PUNTOS'!$A$1:$B$63,2,0),0)</f>
        <v>0</v>
      </c>
      <c r="AL53" s="138">
        <f>IF('1.DATOS-PROD'!AU54="SI",VLOOKUP('1.DATOS-PROD'!AU$2,'1.PUNTOS'!$A$1:$B$63,2,0),0)</f>
        <v>0</v>
      </c>
      <c r="AM53" s="138">
        <f>IF('1.DATOS-PROD'!AV54="SI",VLOOKUP('1.DATOS-PROD'!AV$2,'1.PUNTOS'!$A$1:$B$63,2,0),0)</f>
        <v>0</v>
      </c>
      <c r="AN53" s="138">
        <f>IF('1.DATOS-PROD'!AW54="SI",VLOOKUP('1.DATOS-PROD'!AW$2,'1.PUNTOS'!$A$1:$B$63,2,0),0)</f>
        <v>0</v>
      </c>
      <c r="AO53" s="138">
        <f>IF('1.DATOS-PROD'!AX54="SI",VLOOKUP('1.DATOS-PROD'!AX$2,'1.PUNTOS'!$A$1:$B$63,2,0),0)</f>
        <v>0</v>
      </c>
      <c r="AP53" s="138">
        <f>IF('1.DATOS-PROD'!AY54="SI",VLOOKUP('1.DATOS-PROD'!AY$2,'1.PUNTOS'!$A$1:$B$63,2,0),0)</f>
        <v>0</v>
      </c>
      <c r="AQ53" s="138">
        <f>IF('1.DATOS-PROD'!AZ54="SI",VLOOKUP('1.DATOS-PROD'!AZ$2,'1.PUNTOS'!$A$1:$B$63,2,0),0)</f>
        <v>0</v>
      </c>
      <c r="AR53" s="138">
        <f>IF('1.DATOS-PROD'!BA54="SI",VLOOKUP('1.DATOS-PROD'!BA$2,'1.PUNTOS'!$A$1:$B$63,2,0),0)</f>
        <v>0</v>
      </c>
      <c r="AS53" s="138">
        <f>IF('1.DATOS-PROD'!BB54="SI",VLOOKUP('1.DATOS-PROD'!BB$2,'1.PUNTOS'!$A$1:$B$63,2,0),0)</f>
        <v>0</v>
      </c>
      <c r="AT53" s="138">
        <f>IF('1.DATOS-PROD'!BC54="SI",VLOOKUP('1.DATOS-PROD'!BC$2,'1.PUNTOS'!$A$1:$B$63,2,0),0)</f>
        <v>0</v>
      </c>
      <c r="AU53" s="138">
        <f>IF('1.DATOS-PROD'!BD54="SI",VLOOKUP('1.DATOS-PROD'!BD$2,'1.PUNTOS'!$A$1:$B$63,2,0),0)</f>
        <v>0</v>
      </c>
      <c r="AV53" s="138">
        <f>IF('1.DATOS-PROD'!BE54="SI",VLOOKUP('1.DATOS-PROD'!BE$2,'1.PUNTOS'!$A$1:$B$63,2,0),0)</f>
        <v>0</v>
      </c>
      <c r="AW53" s="138">
        <f>IF('1.DATOS-PROD'!BF54="SI",VLOOKUP('1.DATOS-PROD'!BF$2,'1.PUNTOS'!$A$1:$B$63,2,0),0)</f>
        <v>0</v>
      </c>
      <c r="AX53" s="138">
        <f>IF('1.DATOS-PROD'!BG54="SI",VLOOKUP('1.DATOS-PROD'!BG$2,'1.PUNTOS'!$A$1:$B$63,2,0),0)</f>
        <v>0</v>
      </c>
      <c r="AY53" s="138">
        <f>IF('1.DATOS-PROD'!BH54="SI",VLOOKUP('1.DATOS-PROD'!BH$2,'1.PUNTOS'!$A$1:$B$63,2,0),0)</f>
        <v>0</v>
      </c>
      <c r="AZ53" s="138">
        <f>IF('1.DATOS-PROD'!BI54="SI",VLOOKUP('1.DATOS-PROD'!BI$2,'1.PUNTOS'!$A$1:$B$63,2,0),0)</f>
        <v>0</v>
      </c>
      <c r="BA53" s="138">
        <f>IF('1.DATOS-PROD'!BJ54="SI",VLOOKUP('1.DATOS-PROD'!BJ$2,'1.PUNTOS'!$A$1:$B$63,2,0),0)</f>
        <v>0</v>
      </c>
      <c r="BB53" s="138">
        <f>IF('1.DATOS-PROD'!BK54="SI",VLOOKUP('1.DATOS-PROD'!BK$2,'1.PUNTOS'!$A$1:$B$63,2,0),0)</f>
        <v>0</v>
      </c>
      <c r="BC53" s="138">
        <f>IF('1.DATOS-PROD'!BL54="SI",VLOOKUP('1.DATOS-PROD'!BL$2,'1.PUNTOS'!$A$1:$B$63,2,0),0)</f>
        <v>0</v>
      </c>
      <c r="BD53" s="138">
        <f>IF('1.DATOS-PROD'!BM54="SI",VLOOKUP('1.DATOS-PROD'!BM$2,'1.PUNTOS'!$A$1:$B$63,2,0),0)</f>
        <v>0</v>
      </c>
      <c r="BE53" s="138">
        <f>IF('1.DATOS-PROD'!BN54="SI",VLOOKUP('1.DATOS-PROD'!BN$2,'1.PUNTOS'!$A$1:$B$63,2,0),0)</f>
        <v>0</v>
      </c>
      <c r="BF53" s="138">
        <f>IF('1.DATOS-PROD'!BO54="SI",VLOOKUP('1.DATOS-PROD'!BO$2,'1.PUNTOS'!$A$1:$B$63,2,0),0)</f>
        <v>0</v>
      </c>
      <c r="BG53" s="138">
        <f>IF('1.DATOS-PROD'!BP54="SI",VLOOKUP('1.DATOS-PROD'!BP$2,'1.PUNTOS'!$A$1:$B$63,2,0),0)</f>
        <v>0</v>
      </c>
      <c r="BH53" s="138">
        <f>IF('1.DATOS-PROD'!BQ54="SI",VLOOKUP('1.DATOS-PROD'!BQ$2,'1.PUNTOS'!$A$1:$B$63,2,0),0)</f>
        <v>0</v>
      </c>
      <c r="BI53" s="138">
        <f>IF('1.DATOS-PROD'!BR54="SI",VLOOKUP('1.DATOS-PROD'!BR$2,'1.PUNTOS'!$A$1:$B$63,2,0),0)</f>
        <v>0</v>
      </c>
      <c r="BJ53" s="138">
        <f>IF('1.DATOS-PROD'!BS54="SI",VLOOKUP('1.DATOS-PROD'!BS$2,'1.PUNTOS'!$A$1:$B$63,2,0),0)</f>
        <v>0</v>
      </c>
      <c r="BK53" s="138">
        <f>IF('1.DATOS-PROD'!BT54="SI",VLOOKUP('1.DATOS-PROD'!BT$2,'1.PUNTOS'!$A$1:$B$63,2,0),0)</f>
        <v>0</v>
      </c>
    </row>
    <row r="54" spans="1:63" x14ac:dyDescent="0.25">
      <c r="A54">
        <f>'0.Consolidado general'!$A55</f>
        <v>0</v>
      </c>
      <c r="B54" s="138">
        <f>IF('1.DATOS-PROD'!K55="SI",VLOOKUP('1.DATOS-PROD'!K$2,'1.PUNTOS'!$A$1:$B$63,2,0),0)</f>
        <v>0</v>
      </c>
      <c r="C54" s="138">
        <f>IF('1.DATOS-PROD'!L55="SI",VLOOKUP('1.DATOS-PROD'!L$2,'1.PUNTOS'!$A$1:$B$63,2,0),0)</f>
        <v>0</v>
      </c>
      <c r="D54" s="138">
        <f>IF('1.DATOS-PROD'!M55="SI",VLOOKUP('1.DATOS-PROD'!M$2,'1.PUNTOS'!$A$1:$B$63,2,0),0)</f>
        <v>0</v>
      </c>
      <c r="E54" s="138">
        <f>IF('1.DATOS-PROD'!N55="SI",VLOOKUP('1.DATOS-PROD'!N$2,'1.PUNTOS'!$A$1:$B$63,2,0),0)</f>
        <v>0</v>
      </c>
      <c r="F54" s="138">
        <f>IF('1.DATOS-PROD'!O55="SI",VLOOKUP('1.DATOS-PROD'!O$2,'1.PUNTOS'!$A$1:$B$63,2,0),0)</f>
        <v>0</v>
      </c>
      <c r="G54" s="138">
        <f>IF('1.DATOS-PROD'!P55="SI",VLOOKUP('1.DATOS-PROD'!P$2,'1.PUNTOS'!$A$1:$B$63,2,0),0)</f>
        <v>0</v>
      </c>
      <c r="H54" s="138">
        <f>IF('1.DATOS-PROD'!Q55="SI",VLOOKUP('1.DATOS-PROD'!Q$2,'1.PUNTOS'!$A$1:$B$63,2,0),0)</f>
        <v>0</v>
      </c>
      <c r="I54" s="138">
        <f>IF('1.DATOS-PROD'!R55="SI",VLOOKUP('1.DATOS-PROD'!R$2,'1.PUNTOS'!$A$1:$B$63,2,0),0)</f>
        <v>0</v>
      </c>
      <c r="J54" s="138">
        <f>IF('1.DATOS-PROD'!S55="SI",VLOOKUP('1.DATOS-PROD'!S$2,'1.PUNTOS'!$A$1:$B$63,2,0),0)</f>
        <v>0</v>
      </c>
      <c r="K54" s="138">
        <f>IF('1.DATOS-PROD'!T55="SI",VLOOKUP('1.DATOS-PROD'!T$2,'1.PUNTOS'!$A$1:$B$63,2,0),0)</f>
        <v>0</v>
      </c>
      <c r="L54" s="138">
        <f>IF('1.DATOS-PROD'!U55="SI",VLOOKUP('1.DATOS-PROD'!U$2,'1.PUNTOS'!$A$1:$B$63,2,0),0)</f>
        <v>0</v>
      </c>
      <c r="M54" s="138">
        <f>IF('1.DATOS-PROD'!V55="SI",VLOOKUP('1.DATOS-PROD'!V$2,'1.PUNTOS'!$A$1:$B$63,2,0),0)</f>
        <v>0</v>
      </c>
      <c r="N54" s="138">
        <f>IF('1.DATOS-PROD'!W55="SI",VLOOKUP('1.DATOS-PROD'!W$2,'1.PUNTOS'!$A$1:$B$63,2,0),0)</f>
        <v>0</v>
      </c>
      <c r="O54" s="138">
        <f>IF('1.DATOS-PROD'!X55="SI",VLOOKUP('1.DATOS-PROD'!X$2,'1.PUNTOS'!$A$1:$B$63,2,0),0)</f>
        <v>0</v>
      </c>
      <c r="P54" s="138">
        <f>IF('1.DATOS-PROD'!Y55="SI",VLOOKUP('1.DATOS-PROD'!Y$2,'1.PUNTOS'!$A$1:$B$63,2,0),0)</f>
        <v>0</v>
      </c>
      <c r="Q54" s="138">
        <f>IF('1.DATOS-PROD'!Z55="SI",VLOOKUP('1.DATOS-PROD'!Z$2,'1.PUNTOS'!$A$1:$B$63,2,0),0)</f>
        <v>0</v>
      </c>
      <c r="R54" s="138">
        <f>IF('1.DATOS-PROD'!AA55="SI",VLOOKUP('1.DATOS-PROD'!AA$2,'1.PUNTOS'!$A$1:$B$63,2,0),0)</f>
        <v>0</v>
      </c>
      <c r="S54" s="138">
        <f>IF('1.DATOS-PROD'!AB55="SI",VLOOKUP('1.DATOS-PROD'!AB$2,'1.PUNTOS'!$A$1:$B$63,2,0),0)</f>
        <v>0</v>
      </c>
      <c r="T54" s="138">
        <f>IF('1.DATOS-PROD'!AC55="SI",VLOOKUP('1.DATOS-PROD'!AC$2,'1.PUNTOS'!$A$1:$B$63,2,0),0)</f>
        <v>0</v>
      </c>
      <c r="U54" s="138">
        <f>IF('1.DATOS-PROD'!AD55="SI",VLOOKUP('1.DATOS-PROD'!AD$2,'1.PUNTOS'!$A$1:$B$63,2,0),0)</f>
        <v>0</v>
      </c>
      <c r="V54" s="138">
        <f>IF('1.DATOS-PROD'!AE55="SI",VLOOKUP('1.DATOS-PROD'!AE$2,'1.PUNTOS'!$A$1:$B$63,2,0),0)</f>
        <v>0</v>
      </c>
      <c r="W54" s="138">
        <f>IF('1.DATOS-PROD'!AF55="SI",VLOOKUP('1.DATOS-PROD'!AF$2,'1.PUNTOS'!$A$1:$B$63,2,0),0)</f>
        <v>0</v>
      </c>
      <c r="X54" s="138">
        <f>IF('1.DATOS-PROD'!AG55="SI",VLOOKUP('1.DATOS-PROD'!AG$2,'1.PUNTOS'!$A$1:$B$63,2,0),0)</f>
        <v>0</v>
      </c>
      <c r="Y54" s="138">
        <f>IF('1.DATOS-PROD'!AH55="SI",VLOOKUP('1.DATOS-PROD'!AH$2,'1.PUNTOS'!$A$1:$B$63,2,0),0)</f>
        <v>0</v>
      </c>
      <c r="Z54" s="138">
        <f>IF('1.DATOS-PROD'!AI55="SI",VLOOKUP('1.DATOS-PROD'!AI$2,'1.PUNTOS'!$A$1:$B$63,2,0),0)</f>
        <v>0</v>
      </c>
      <c r="AA54" s="138">
        <f>IF('1.DATOS-PROD'!AJ55="SI",VLOOKUP('1.DATOS-PROD'!AJ$2,'1.PUNTOS'!$A$1:$B$63,2,0),0)</f>
        <v>0</v>
      </c>
      <c r="AB54" s="138">
        <f>IF('1.DATOS-PROD'!AK55="SI",VLOOKUP('1.DATOS-PROD'!AK$2,'1.PUNTOS'!$A$1:$B$63,2,0),0)</f>
        <v>0</v>
      </c>
      <c r="AC54" s="138">
        <f>IF('1.DATOS-PROD'!AL55="SI",VLOOKUP('1.DATOS-PROD'!AL$2,'1.PUNTOS'!$A$1:$B$63,2,0),0)</f>
        <v>0</v>
      </c>
      <c r="AD54" s="138">
        <f>IF('1.DATOS-PROD'!AM55="SI",VLOOKUP('1.DATOS-PROD'!AM$2,'1.PUNTOS'!$A$1:$B$63,2,0),0)</f>
        <v>0</v>
      </c>
      <c r="AE54" s="138">
        <f>IF('1.DATOS-PROD'!AN55="SI",VLOOKUP('1.DATOS-PROD'!AN$2,'1.PUNTOS'!$A$1:$B$63,2,0),0)</f>
        <v>0</v>
      </c>
      <c r="AF54" s="138">
        <f>IF('1.DATOS-PROD'!AO55="SI",VLOOKUP('1.DATOS-PROD'!AO$2,'1.PUNTOS'!$A$1:$B$63,2,0),0)</f>
        <v>0</v>
      </c>
      <c r="AG54" s="138">
        <f>IF('1.DATOS-PROD'!AP55="SI",VLOOKUP('1.DATOS-PROD'!AP$2,'1.PUNTOS'!$A$1:$B$63,2,0),0)</f>
        <v>0</v>
      </c>
      <c r="AH54" s="138">
        <f>IF('1.DATOS-PROD'!AQ55="SI",VLOOKUP('1.DATOS-PROD'!AQ$2,'1.PUNTOS'!$A$1:$B$63,2,0),0)</f>
        <v>0</v>
      </c>
      <c r="AI54" s="138">
        <f>IF('1.DATOS-PROD'!AR55="SI",VLOOKUP('1.DATOS-PROD'!AR$2,'1.PUNTOS'!$A$1:$B$63,2,0),0)</f>
        <v>0</v>
      </c>
      <c r="AJ54" s="138">
        <f>IF('1.DATOS-PROD'!AS55="SI",VLOOKUP('1.DATOS-PROD'!AS$2,'1.PUNTOS'!$A$1:$B$63,2,0),0)</f>
        <v>0</v>
      </c>
      <c r="AK54" s="138">
        <f>IF('1.DATOS-PROD'!AT55="SI",VLOOKUP('1.DATOS-PROD'!AT$2,'1.PUNTOS'!$A$1:$B$63,2,0),0)</f>
        <v>0</v>
      </c>
      <c r="AL54" s="138">
        <f>IF('1.DATOS-PROD'!AU55="SI",VLOOKUP('1.DATOS-PROD'!AU$2,'1.PUNTOS'!$A$1:$B$63,2,0),0)</f>
        <v>0</v>
      </c>
      <c r="AM54" s="138">
        <f>IF('1.DATOS-PROD'!AV55="SI",VLOOKUP('1.DATOS-PROD'!AV$2,'1.PUNTOS'!$A$1:$B$63,2,0),0)</f>
        <v>0</v>
      </c>
      <c r="AN54" s="138">
        <f>IF('1.DATOS-PROD'!AW55="SI",VLOOKUP('1.DATOS-PROD'!AW$2,'1.PUNTOS'!$A$1:$B$63,2,0),0)</f>
        <v>0</v>
      </c>
      <c r="AO54" s="138">
        <f>IF('1.DATOS-PROD'!AX55="SI",VLOOKUP('1.DATOS-PROD'!AX$2,'1.PUNTOS'!$A$1:$B$63,2,0),0)</f>
        <v>0</v>
      </c>
      <c r="AP54" s="138">
        <f>IF('1.DATOS-PROD'!AY55="SI",VLOOKUP('1.DATOS-PROD'!AY$2,'1.PUNTOS'!$A$1:$B$63,2,0),0)</f>
        <v>0</v>
      </c>
      <c r="AQ54" s="138">
        <f>IF('1.DATOS-PROD'!AZ55="SI",VLOOKUP('1.DATOS-PROD'!AZ$2,'1.PUNTOS'!$A$1:$B$63,2,0),0)</f>
        <v>0</v>
      </c>
      <c r="AR54" s="138">
        <f>IF('1.DATOS-PROD'!BA55="SI",VLOOKUP('1.DATOS-PROD'!BA$2,'1.PUNTOS'!$A$1:$B$63,2,0),0)</f>
        <v>0</v>
      </c>
      <c r="AS54" s="138">
        <f>IF('1.DATOS-PROD'!BB55="SI",VLOOKUP('1.DATOS-PROD'!BB$2,'1.PUNTOS'!$A$1:$B$63,2,0),0)</f>
        <v>0</v>
      </c>
      <c r="AT54" s="138">
        <f>IF('1.DATOS-PROD'!BC55="SI",VLOOKUP('1.DATOS-PROD'!BC$2,'1.PUNTOS'!$A$1:$B$63,2,0),0)</f>
        <v>0</v>
      </c>
      <c r="AU54" s="138">
        <f>IF('1.DATOS-PROD'!BD55="SI",VLOOKUP('1.DATOS-PROD'!BD$2,'1.PUNTOS'!$A$1:$B$63,2,0),0)</f>
        <v>0</v>
      </c>
      <c r="AV54" s="138">
        <f>IF('1.DATOS-PROD'!BE55="SI",VLOOKUP('1.DATOS-PROD'!BE$2,'1.PUNTOS'!$A$1:$B$63,2,0),0)</f>
        <v>0</v>
      </c>
      <c r="AW54" s="138">
        <f>IF('1.DATOS-PROD'!BF55="SI",VLOOKUP('1.DATOS-PROD'!BF$2,'1.PUNTOS'!$A$1:$B$63,2,0),0)</f>
        <v>0</v>
      </c>
      <c r="AX54" s="138">
        <f>IF('1.DATOS-PROD'!BG55="SI",VLOOKUP('1.DATOS-PROD'!BG$2,'1.PUNTOS'!$A$1:$B$63,2,0),0)</f>
        <v>0</v>
      </c>
      <c r="AY54" s="138">
        <f>IF('1.DATOS-PROD'!BH55="SI",VLOOKUP('1.DATOS-PROD'!BH$2,'1.PUNTOS'!$A$1:$B$63,2,0),0)</f>
        <v>0</v>
      </c>
      <c r="AZ54" s="138">
        <f>IF('1.DATOS-PROD'!BI55="SI",VLOOKUP('1.DATOS-PROD'!BI$2,'1.PUNTOS'!$A$1:$B$63,2,0),0)</f>
        <v>0</v>
      </c>
      <c r="BA54" s="138">
        <f>IF('1.DATOS-PROD'!BJ55="SI",VLOOKUP('1.DATOS-PROD'!BJ$2,'1.PUNTOS'!$A$1:$B$63,2,0),0)</f>
        <v>0</v>
      </c>
      <c r="BB54" s="138">
        <f>IF('1.DATOS-PROD'!BK55="SI",VLOOKUP('1.DATOS-PROD'!BK$2,'1.PUNTOS'!$A$1:$B$63,2,0),0)</f>
        <v>0</v>
      </c>
      <c r="BC54" s="138">
        <f>IF('1.DATOS-PROD'!BL55="SI",VLOOKUP('1.DATOS-PROD'!BL$2,'1.PUNTOS'!$A$1:$B$63,2,0),0)</f>
        <v>0</v>
      </c>
      <c r="BD54" s="138">
        <f>IF('1.DATOS-PROD'!BM55="SI",VLOOKUP('1.DATOS-PROD'!BM$2,'1.PUNTOS'!$A$1:$B$63,2,0),0)</f>
        <v>0</v>
      </c>
      <c r="BE54" s="138">
        <f>IF('1.DATOS-PROD'!BN55="SI",VLOOKUP('1.DATOS-PROD'!BN$2,'1.PUNTOS'!$A$1:$B$63,2,0),0)</f>
        <v>0</v>
      </c>
      <c r="BF54" s="138">
        <f>IF('1.DATOS-PROD'!BO55="SI",VLOOKUP('1.DATOS-PROD'!BO$2,'1.PUNTOS'!$A$1:$B$63,2,0),0)</f>
        <v>0</v>
      </c>
      <c r="BG54" s="138">
        <f>IF('1.DATOS-PROD'!BP55="SI",VLOOKUP('1.DATOS-PROD'!BP$2,'1.PUNTOS'!$A$1:$B$63,2,0),0)</f>
        <v>0</v>
      </c>
      <c r="BH54" s="138">
        <f>IF('1.DATOS-PROD'!BQ55="SI",VLOOKUP('1.DATOS-PROD'!BQ$2,'1.PUNTOS'!$A$1:$B$63,2,0),0)</f>
        <v>0</v>
      </c>
      <c r="BI54" s="138">
        <f>IF('1.DATOS-PROD'!BR55="SI",VLOOKUP('1.DATOS-PROD'!BR$2,'1.PUNTOS'!$A$1:$B$63,2,0),0)</f>
        <v>0</v>
      </c>
      <c r="BJ54" s="138">
        <f>IF('1.DATOS-PROD'!BS55="SI",VLOOKUP('1.DATOS-PROD'!BS$2,'1.PUNTOS'!$A$1:$B$63,2,0),0)</f>
        <v>0</v>
      </c>
      <c r="BK54" s="138">
        <f>IF('1.DATOS-PROD'!BT55="SI",VLOOKUP('1.DATOS-PROD'!BT$2,'1.PUNTOS'!$A$1:$B$63,2,0),0)</f>
        <v>0</v>
      </c>
    </row>
    <row r="55" spans="1:63" x14ac:dyDescent="0.25">
      <c r="A55">
        <f>'0.Consolidado general'!$A56</f>
        <v>0</v>
      </c>
      <c r="B55" s="138">
        <f>IF('1.DATOS-PROD'!K56="SI",VLOOKUP('1.DATOS-PROD'!K$2,'1.PUNTOS'!$A$1:$B$63,2,0),0)</f>
        <v>0</v>
      </c>
      <c r="C55" s="138">
        <f>IF('1.DATOS-PROD'!L56="SI",VLOOKUP('1.DATOS-PROD'!L$2,'1.PUNTOS'!$A$1:$B$63,2,0),0)</f>
        <v>0</v>
      </c>
      <c r="D55" s="138">
        <f>IF('1.DATOS-PROD'!M56="SI",VLOOKUP('1.DATOS-PROD'!M$2,'1.PUNTOS'!$A$1:$B$63,2,0),0)</f>
        <v>0</v>
      </c>
      <c r="E55" s="138">
        <f>IF('1.DATOS-PROD'!N56="SI",VLOOKUP('1.DATOS-PROD'!N$2,'1.PUNTOS'!$A$1:$B$63,2,0),0)</f>
        <v>0</v>
      </c>
      <c r="F55" s="138">
        <f>IF('1.DATOS-PROD'!O56="SI",VLOOKUP('1.DATOS-PROD'!O$2,'1.PUNTOS'!$A$1:$B$63,2,0),0)</f>
        <v>0</v>
      </c>
      <c r="G55" s="138">
        <f>IF('1.DATOS-PROD'!P56="SI",VLOOKUP('1.DATOS-PROD'!P$2,'1.PUNTOS'!$A$1:$B$63,2,0),0)</f>
        <v>0</v>
      </c>
      <c r="H55" s="138">
        <f>IF('1.DATOS-PROD'!Q56="SI",VLOOKUP('1.DATOS-PROD'!Q$2,'1.PUNTOS'!$A$1:$B$63,2,0),0)</f>
        <v>0</v>
      </c>
      <c r="I55" s="138">
        <f>IF('1.DATOS-PROD'!R56="SI",VLOOKUP('1.DATOS-PROD'!R$2,'1.PUNTOS'!$A$1:$B$63,2,0),0)</f>
        <v>0</v>
      </c>
      <c r="J55" s="138">
        <f>IF('1.DATOS-PROD'!S56="SI",VLOOKUP('1.DATOS-PROD'!S$2,'1.PUNTOS'!$A$1:$B$63,2,0),0)</f>
        <v>0</v>
      </c>
      <c r="K55" s="138">
        <f>IF('1.DATOS-PROD'!T56="SI",VLOOKUP('1.DATOS-PROD'!T$2,'1.PUNTOS'!$A$1:$B$63,2,0),0)</f>
        <v>0</v>
      </c>
      <c r="L55" s="138">
        <f>IF('1.DATOS-PROD'!U56="SI",VLOOKUP('1.DATOS-PROD'!U$2,'1.PUNTOS'!$A$1:$B$63,2,0),0)</f>
        <v>0</v>
      </c>
      <c r="M55" s="138">
        <f>IF('1.DATOS-PROD'!V56="SI",VLOOKUP('1.DATOS-PROD'!V$2,'1.PUNTOS'!$A$1:$B$63,2,0),0)</f>
        <v>0</v>
      </c>
      <c r="N55" s="138">
        <f>IF('1.DATOS-PROD'!W56="SI",VLOOKUP('1.DATOS-PROD'!W$2,'1.PUNTOS'!$A$1:$B$63,2,0),0)</f>
        <v>0</v>
      </c>
      <c r="O55" s="138">
        <f>IF('1.DATOS-PROD'!X56="SI",VLOOKUP('1.DATOS-PROD'!X$2,'1.PUNTOS'!$A$1:$B$63,2,0),0)</f>
        <v>0</v>
      </c>
      <c r="P55" s="138">
        <f>IF('1.DATOS-PROD'!Y56="SI",VLOOKUP('1.DATOS-PROD'!Y$2,'1.PUNTOS'!$A$1:$B$63,2,0),0)</f>
        <v>0</v>
      </c>
      <c r="Q55" s="138">
        <f>IF('1.DATOS-PROD'!Z56="SI",VLOOKUP('1.DATOS-PROD'!Z$2,'1.PUNTOS'!$A$1:$B$63,2,0),0)</f>
        <v>0</v>
      </c>
      <c r="R55" s="138">
        <f>IF('1.DATOS-PROD'!AA56="SI",VLOOKUP('1.DATOS-PROD'!AA$2,'1.PUNTOS'!$A$1:$B$63,2,0),0)</f>
        <v>0</v>
      </c>
      <c r="S55" s="138">
        <f>IF('1.DATOS-PROD'!AB56="SI",VLOOKUP('1.DATOS-PROD'!AB$2,'1.PUNTOS'!$A$1:$B$63,2,0),0)</f>
        <v>0</v>
      </c>
      <c r="T55" s="138">
        <f>IF('1.DATOS-PROD'!AC56="SI",VLOOKUP('1.DATOS-PROD'!AC$2,'1.PUNTOS'!$A$1:$B$63,2,0),0)</f>
        <v>0</v>
      </c>
      <c r="U55" s="138">
        <f>IF('1.DATOS-PROD'!AD56="SI",VLOOKUP('1.DATOS-PROD'!AD$2,'1.PUNTOS'!$A$1:$B$63,2,0),0)</f>
        <v>0</v>
      </c>
      <c r="V55" s="138">
        <f>IF('1.DATOS-PROD'!AE56="SI",VLOOKUP('1.DATOS-PROD'!AE$2,'1.PUNTOS'!$A$1:$B$63,2,0),0)</f>
        <v>0</v>
      </c>
      <c r="W55" s="138">
        <f>IF('1.DATOS-PROD'!AF56="SI",VLOOKUP('1.DATOS-PROD'!AF$2,'1.PUNTOS'!$A$1:$B$63,2,0),0)</f>
        <v>0</v>
      </c>
      <c r="X55" s="138">
        <f>IF('1.DATOS-PROD'!AG56="SI",VLOOKUP('1.DATOS-PROD'!AG$2,'1.PUNTOS'!$A$1:$B$63,2,0),0)</f>
        <v>0</v>
      </c>
      <c r="Y55" s="138">
        <f>IF('1.DATOS-PROD'!AH56="SI",VLOOKUP('1.DATOS-PROD'!AH$2,'1.PUNTOS'!$A$1:$B$63,2,0),0)</f>
        <v>0</v>
      </c>
      <c r="Z55" s="138">
        <f>IF('1.DATOS-PROD'!AI56="SI",VLOOKUP('1.DATOS-PROD'!AI$2,'1.PUNTOS'!$A$1:$B$63,2,0),0)</f>
        <v>0</v>
      </c>
      <c r="AA55" s="138">
        <f>IF('1.DATOS-PROD'!AJ56="SI",VLOOKUP('1.DATOS-PROD'!AJ$2,'1.PUNTOS'!$A$1:$B$63,2,0),0)</f>
        <v>0</v>
      </c>
      <c r="AB55" s="138">
        <f>IF('1.DATOS-PROD'!AK56="SI",VLOOKUP('1.DATOS-PROD'!AK$2,'1.PUNTOS'!$A$1:$B$63,2,0),0)</f>
        <v>0</v>
      </c>
      <c r="AC55" s="138">
        <f>IF('1.DATOS-PROD'!AL56="SI",VLOOKUP('1.DATOS-PROD'!AL$2,'1.PUNTOS'!$A$1:$B$63,2,0),0)</f>
        <v>0</v>
      </c>
      <c r="AD55" s="138">
        <f>IF('1.DATOS-PROD'!AM56="SI",VLOOKUP('1.DATOS-PROD'!AM$2,'1.PUNTOS'!$A$1:$B$63,2,0),0)</f>
        <v>0</v>
      </c>
      <c r="AE55" s="138">
        <f>IF('1.DATOS-PROD'!AN56="SI",VLOOKUP('1.DATOS-PROD'!AN$2,'1.PUNTOS'!$A$1:$B$63,2,0),0)</f>
        <v>0</v>
      </c>
      <c r="AF55" s="138">
        <f>IF('1.DATOS-PROD'!AO56="SI",VLOOKUP('1.DATOS-PROD'!AO$2,'1.PUNTOS'!$A$1:$B$63,2,0),0)</f>
        <v>0</v>
      </c>
      <c r="AG55" s="138">
        <f>IF('1.DATOS-PROD'!AP56="SI",VLOOKUP('1.DATOS-PROD'!AP$2,'1.PUNTOS'!$A$1:$B$63,2,0),0)</f>
        <v>0</v>
      </c>
      <c r="AH55" s="138">
        <f>IF('1.DATOS-PROD'!AQ56="SI",VLOOKUP('1.DATOS-PROD'!AQ$2,'1.PUNTOS'!$A$1:$B$63,2,0),0)</f>
        <v>0</v>
      </c>
      <c r="AI55" s="138">
        <f>IF('1.DATOS-PROD'!AR56="SI",VLOOKUP('1.DATOS-PROD'!AR$2,'1.PUNTOS'!$A$1:$B$63,2,0),0)</f>
        <v>0</v>
      </c>
      <c r="AJ55" s="138">
        <f>IF('1.DATOS-PROD'!AS56="SI",VLOOKUP('1.DATOS-PROD'!AS$2,'1.PUNTOS'!$A$1:$B$63,2,0),0)</f>
        <v>0</v>
      </c>
      <c r="AK55" s="138">
        <f>IF('1.DATOS-PROD'!AT56="SI",VLOOKUP('1.DATOS-PROD'!AT$2,'1.PUNTOS'!$A$1:$B$63,2,0),0)</f>
        <v>0</v>
      </c>
      <c r="AL55" s="138">
        <f>IF('1.DATOS-PROD'!AU56="SI",VLOOKUP('1.DATOS-PROD'!AU$2,'1.PUNTOS'!$A$1:$B$63,2,0),0)</f>
        <v>0</v>
      </c>
      <c r="AM55" s="138">
        <f>IF('1.DATOS-PROD'!AV56="SI",VLOOKUP('1.DATOS-PROD'!AV$2,'1.PUNTOS'!$A$1:$B$63,2,0),0)</f>
        <v>0</v>
      </c>
      <c r="AN55" s="138">
        <f>IF('1.DATOS-PROD'!AW56="SI",VLOOKUP('1.DATOS-PROD'!AW$2,'1.PUNTOS'!$A$1:$B$63,2,0),0)</f>
        <v>0</v>
      </c>
      <c r="AO55" s="138">
        <f>IF('1.DATOS-PROD'!AX56="SI",VLOOKUP('1.DATOS-PROD'!AX$2,'1.PUNTOS'!$A$1:$B$63,2,0),0)</f>
        <v>0</v>
      </c>
      <c r="AP55" s="138">
        <f>IF('1.DATOS-PROD'!AY56="SI",VLOOKUP('1.DATOS-PROD'!AY$2,'1.PUNTOS'!$A$1:$B$63,2,0),0)</f>
        <v>0</v>
      </c>
      <c r="AQ55" s="138">
        <f>IF('1.DATOS-PROD'!AZ56="SI",VLOOKUP('1.DATOS-PROD'!AZ$2,'1.PUNTOS'!$A$1:$B$63,2,0),0)</f>
        <v>0</v>
      </c>
      <c r="AR55" s="138">
        <f>IF('1.DATOS-PROD'!BA56="SI",VLOOKUP('1.DATOS-PROD'!BA$2,'1.PUNTOS'!$A$1:$B$63,2,0),0)</f>
        <v>0</v>
      </c>
      <c r="AS55" s="138">
        <f>IF('1.DATOS-PROD'!BB56="SI",VLOOKUP('1.DATOS-PROD'!BB$2,'1.PUNTOS'!$A$1:$B$63,2,0),0)</f>
        <v>0</v>
      </c>
      <c r="AT55" s="138">
        <f>IF('1.DATOS-PROD'!BC56="SI",VLOOKUP('1.DATOS-PROD'!BC$2,'1.PUNTOS'!$A$1:$B$63,2,0),0)</f>
        <v>0</v>
      </c>
      <c r="AU55" s="138">
        <f>IF('1.DATOS-PROD'!BD56="SI",VLOOKUP('1.DATOS-PROD'!BD$2,'1.PUNTOS'!$A$1:$B$63,2,0),0)</f>
        <v>0</v>
      </c>
      <c r="AV55" s="138">
        <f>IF('1.DATOS-PROD'!BE56="SI",VLOOKUP('1.DATOS-PROD'!BE$2,'1.PUNTOS'!$A$1:$B$63,2,0),0)</f>
        <v>0</v>
      </c>
      <c r="AW55" s="138">
        <f>IF('1.DATOS-PROD'!BF56="SI",VLOOKUP('1.DATOS-PROD'!BF$2,'1.PUNTOS'!$A$1:$B$63,2,0),0)</f>
        <v>0</v>
      </c>
      <c r="AX55" s="138">
        <f>IF('1.DATOS-PROD'!BG56="SI",VLOOKUP('1.DATOS-PROD'!BG$2,'1.PUNTOS'!$A$1:$B$63,2,0),0)</f>
        <v>0</v>
      </c>
      <c r="AY55" s="138">
        <f>IF('1.DATOS-PROD'!BH56="SI",VLOOKUP('1.DATOS-PROD'!BH$2,'1.PUNTOS'!$A$1:$B$63,2,0),0)</f>
        <v>0</v>
      </c>
      <c r="AZ55" s="138">
        <f>IF('1.DATOS-PROD'!BI56="SI",VLOOKUP('1.DATOS-PROD'!BI$2,'1.PUNTOS'!$A$1:$B$63,2,0),0)</f>
        <v>0</v>
      </c>
      <c r="BA55" s="138">
        <f>IF('1.DATOS-PROD'!BJ56="SI",VLOOKUP('1.DATOS-PROD'!BJ$2,'1.PUNTOS'!$A$1:$B$63,2,0),0)</f>
        <v>0</v>
      </c>
      <c r="BB55" s="138">
        <f>IF('1.DATOS-PROD'!BK56="SI",VLOOKUP('1.DATOS-PROD'!BK$2,'1.PUNTOS'!$A$1:$B$63,2,0),0)</f>
        <v>0</v>
      </c>
      <c r="BC55" s="138">
        <f>IF('1.DATOS-PROD'!BL56="SI",VLOOKUP('1.DATOS-PROD'!BL$2,'1.PUNTOS'!$A$1:$B$63,2,0),0)</f>
        <v>0</v>
      </c>
      <c r="BD55" s="138">
        <f>IF('1.DATOS-PROD'!BM56="SI",VLOOKUP('1.DATOS-PROD'!BM$2,'1.PUNTOS'!$A$1:$B$63,2,0),0)</f>
        <v>0</v>
      </c>
      <c r="BE55" s="138">
        <f>IF('1.DATOS-PROD'!BN56="SI",VLOOKUP('1.DATOS-PROD'!BN$2,'1.PUNTOS'!$A$1:$B$63,2,0),0)</f>
        <v>0</v>
      </c>
      <c r="BF55" s="138">
        <f>IF('1.DATOS-PROD'!BO56="SI",VLOOKUP('1.DATOS-PROD'!BO$2,'1.PUNTOS'!$A$1:$B$63,2,0),0)</f>
        <v>0</v>
      </c>
      <c r="BG55" s="138">
        <f>IF('1.DATOS-PROD'!BP56="SI",VLOOKUP('1.DATOS-PROD'!BP$2,'1.PUNTOS'!$A$1:$B$63,2,0),0)</f>
        <v>0</v>
      </c>
      <c r="BH55" s="138">
        <f>IF('1.DATOS-PROD'!BQ56="SI",VLOOKUP('1.DATOS-PROD'!BQ$2,'1.PUNTOS'!$A$1:$B$63,2,0),0)</f>
        <v>0</v>
      </c>
      <c r="BI55" s="138">
        <f>IF('1.DATOS-PROD'!BR56="SI",VLOOKUP('1.DATOS-PROD'!BR$2,'1.PUNTOS'!$A$1:$B$63,2,0),0)</f>
        <v>0</v>
      </c>
      <c r="BJ55" s="138">
        <f>IF('1.DATOS-PROD'!BS56="SI",VLOOKUP('1.DATOS-PROD'!BS$2,'1.PUNTOS'!$A$1:$B$63,2,0),0)</f>
        <v>0</v>
      </c>
      <c r="BK55" s="138">
        <f>IF('1.DATOS-PROD'!BT56="SI",VLOOKUP('1.DATOS-PROD'!BT$2,'1.PUNTOS'!$A$1:$B$63,2,0),0)</f>
        <v>0</v>
      </c>
    </row>
    <row r="56" spans="1:63" x14ac:dyDescent="0.25">
      <c r="A56">
        <f>'0.Consolidado general'!$A57</f>
        <v>0</v>
      </c>
      <c r="B56" s="138">
        <f>IF('1.DATOS-PROD'!K57="SI",VLOOKUP('1.DATOS-PROD'!K$2,'1.PUNTOS'!$A$1:$B$63,2,0),0)</f>
        <v>0</v>
      </c>
      <c r="C56" s="138">
        <f>IF('1.DATOS-PROD'!L57="SI",VLOOKUP('1.DATOS-PROD'!L$2,'1.PUNTOS'!$A$1:$B$63,2,0),0)</f>
        <v>0</v>
      </c>
      <c r="D56" s="138">
        <f>IF('1.DATOS-PROD'!M57="SI",VLOOKUP('1.DATOS-PROD'!M$2,'1.PUNTOS'!$A$1:$B$63,2,0),0)</f>
        <v>0</v>
      </c>
      <c r="E56" s="138">
        <f>IF('1.DATOS-PROD'!N57="SI",VLOOKUP('1.DATOS-PROD'!N$2,'1.PUNTOS'!$A$1:$B$63,2,0),0)</f>
        <v>0</v>
      </c>
      <c r="F56" s="138">
        <f>IF('1.DATOS-PROD'!O57="SI",VLOOKUP('1.DATOS-PROD'!O$2,'1.PUNTOS'!$A$1:$B$63,2,0),0)</f>
        <v>0</v>
      </c>
      <c r="G56" s="138">
        <f>IF('1.DATOS-PROD'!P57="SI",VLOOKUP('1.DATOS-PROD'!P$2,'1.PUNTOS'!$A$1:$B$63,2,0),0)</f>
        <v>0</v>
      </c>
      <c r="H56" s="138">
        <f>IF('1.DATOS-PROD'!Q57="SI",VLOOKUP('1.DATOS-PROD'!Q$2,'1.PUNTOS'!$A$1:$B$63,2,0),0)</f>
        <v>0</v>
      </c>
      <c r="I56" s="138">
        <f>IF('1.DATOS-PROD'!R57="SI",VLOOKUP('1.DATOS-PROD'!R$2,'1.PUNTOS'!$A$1:$B$63,2,0),0)</f>
        <v>0</v>
      </c>
      <c r="J56" s="138">
        <f>IF('1.DATOS-PROD'!S57="SI",VLOOKUP('1.DATOS-PROD'!S$2,'1.PUNTOS'!$A$1:$B$63,2,0),0)</f>
        <v>0</v>
      </c>
      <c r="K56" s="138">
        <f>IF('1.DATOS-PROD'!T57="SI",VLOOKUP('1.DATOS-PROD'!T$2,'1.PUNTOS'!$A$1:$B$63,2,0),0)</f>
        <v>0</v>
      </c>
      <c r="L56" s="138">
        <f>IF('1.DATOS-PROD'!U57="SI",VLOOKUP('1.DATOS-PROD'!U$2,'1.PUNTOS'!$A$1:$B$63,2,0),0)</f>
        <v>0</v>
      </c>
      <c r="M56" s="138">
        <f>IF('1.DATOS-PROD'!V57="SI",VLOOKUP('1.DATOS-PROD'!V$2,'1.PUNTOS'!$A$1:$B$63,2,0),0)</f>
        <v>0</v>
      </c>
      <c r="N56" s="138">
        <f>IF('1.DATOS-PROD'!W57="SI",VLOOKUP('1.DATOS-PROD'!W$2,'1.PUNTOS'!$A$1:$B$63,2,0),0)</f>
        <v>0</v>
      </c>
      <c r="O56" s="138">
        <f>IF('1.DATOS-PROD'!X57="SI",VLOOKUP('1.DATOS-PROD'!X$2,'1.PUNTOS'!$A$1:$B$63,2,0),0)</f>
        <v>0</v>
      </c>
      <c r="P56" s="138">
        <f>IF('1.DATOS-PROD'!Y57="SI",VLOOKUP('1.DATOS-PROD'!Y$2,'1.PUNTOS'!$A$1:$B$63,2,0),0)</f>
        <v>0</v>
      </c>
      <c r="Q56" s="138">
        <f>IF('1.DATOS-PROD'!Z57="SI",VLOOKUP('1.DATOS-PROD'!Z$2,'1.PUNTOS'!$A$1:$B$63,2,0),0)</f>
        <v>0</v>
      </c>
      <c r="R56" s="138">
        <f>IF('1.DATOS-PROD'!AA57="SI",VLOOKUP('1.DATOS-PROD'!AA$2,'1.PUNTOS'!$A$1:$B$63,2,0),0)</f>
        <v>0</v>
      </c>
      <c r="S56" s="138">
        <f>IF('1.DATOS-PROD'!AB57="SI",VLOOKUP('1.DATOS-PROD'!AB$2,'1.PUNTOS'!$A$1:$B$63,2,0),0)</f>
        <v>0</v>
      </c>
      <c r="T56" s="138">
        <f>IF('1.DATOS-PROD'!AC57="SI",VLOOKUP('1.DATOS-PROD'!AC$2,'1.PUNTOS'!$A$1:$B$63,2,0),0)</f>
        <v>0</v>
      </c>
      <c r="U56" s="138">
        <f>IF('1.DATOS-PROD'!AD57="SI",VLOOKUP('1.DATOS-PROD'!AD$2,'1.PUNTOS'!$A$1:$B$63,2,0),0)</f>
        <v>0</v>
      </c>
      <c r="V56" s="138">
        <f>IF('1.DATOS-PROD'!AE57="SI",VLOOKUP('1.DATOS-PROD'!AE$2,'1.PUNTOS'!$A$1:$B$63,2,0),0)</f>
        <v>0</v>
      </c>
      <c r="W56" s="138">
        <f>IF('1.DATOS-PROD'!AF57="SI",VLOOKUP('1.DATOS-PROD'!AF$2,'1.PUNTOS'!$A$1:$B$63,2,0),0)</f>
        <v>0</v>
      </c>
      <c r="X56" s="138">
        <f>IF('1.DATOS-PROD'!AG57="SI",VLOOKUP('1.DATOS-PROD'!AG$2,'1.PUNTOS'!$A$1:$B$63,2,0),0)</f>
        <v>0</v>
      </c>
      <c r="Y56" s="138">
        <f>IF('1.DATOS-PROD'!AH57="SI",VLOOKUP('1.DATOS-PROD'!AH$2,'1.PUNTOS'!$A$1:$B$63,2,0),0)</f>
        <v>0</v>
      </c>
      <c r="Z56" s="138">
        <f>IF('1.DATOS-PROD'!AI57="SI",VLOOKUP('1.DATOS-PROD'!AI$2,'1.PUNTOS'!$A$1:$B$63,2,0),0)</f>
        <v>0</v>
      </c>
      <c r="AA56" s="138">
        <f>IF('1.DATOS-PROD'!AJ57="SI",VLOOKUP('1.DATOS-PROD'!AJ$2,'1.PUNTOS'!$A$1:$B$63,2,0),0)</f>
        <v>0</v>
      </c>
      <c r="AB56" s="138">
        <f>IF('1.DATOS-PROD'!AK57="SI",VLOOKUP('1.DATOS-PROD'!AK$2,'1.PUNTOS'!$A$1:$B$63,2,0),0)</f>
        <v>0</v>
      </c>
      <c r="AC56" s="138">
        <f>IF('1.DATOS-PROD'!AL57="SI",VLOOKUP('1.DATOS-PROD'!AL$2,'1.PUNTOS'!$A$1:$B$63,2,0),0)</f>
        <v>0</v>
      </c>
      <c r="AD56" s="138">
        <f>IF('1.DATOS-PROD'!AM57="SI",VLOOKUP('1.DATOS-PROD'!AM$2,'1.PUNTOS'!$A$1:$B$63,2,0),0)</f>
        <v>0</v>
      </c>
      <c r="AE56" s="138">
        <f>IF('1.DATOS-PROD'!AN57="SI",VLOOKUP('1.DATOS-PROD'!AN$2,'1.PUNTOS'!$A$1:$B$63,2,0),0)</f>
        <v>0</v>
      </c>
      <c r="AF56" s="138">
        <f>IF('1.DATOS-PROD'!AO57="SI",VLOOKUP('1.DATOS-PROD'!AO$2,'1.PUNTOS'!$A$1:$B$63,2,0),0)</f>
        <v>0</v>
      </c>
      <c r="AG56" s="138">
        <f>IF('1.DATOS-PROD'!AP57="SI",VLOOKUP('1.DATOS-PROD'!AP$2,'1.PUNTOS'!$A$1:$B$63,2,0),0)</f>
        <v>0</v>
      </c>
      <c r="AH56" s="138">
        <f>IF('1.DATOS-PROD'!AQ57="SI",VLOOKUP('1.DATOS-PROD'!AQ$2,'1.PUNTOS'!$A$1:$B$63,2,0),0)</f>
        <v>0</v>
      </c>
      <c r="AI56" s="138">
        <f>IF('1.DATOS-PROD'!AR57="SI",VLOOKUP('1.DATOS-PROD'!AR$2,'1.PUNTOS'!$A$1:$B$63,2,0),0)</f>
        <v>0</v>
      </c>
      <c r="AJ56" s="138">
        <f>IF('1.DATOS-PROD'!AS57="SI",VLOOKUP('1.DATOS-PROD'!AS$2,'1.PUNTOS'!$A$1:$B$63,2,0),0)</f>
        <v>0</v>
      </c>
      <c r="AK56" s="138">
        <f>IF('1.DATOS-PROD'!AT57="SI",VLOOKUP('1.DATOS-PROD'!AT$2,'1.PUNTOS'!$A$1:$B$63,2,0),0)</f>
        <v>0</v>
      </c>
      <c r="AL56" s="138">
        <f>IF('1.DATOS-PROD'!AU57="SI",VLOOKUP('1.DATOS-PROD'!AU$2,'1.PUNTOS'!$A$1:$B$63,2,0),0)</f>
        <v>0</v>
      </c>
      <c r="AM56" s="138">
        <f>IF('1.DATOS-PROD'!AV57="SI",VLOOKUP('1.DATOS-PROD'!AV$2,'1.PUNTOS'!$A$1:$B$63,2,0),0)</f>
        <v>0</v>
      </c>
      <c r="AN56" s="138">
        <f>IF('1.DATOS-PROD'!AW57="SI",VLOOKUP('1.DATOS-PROD'!AW$2,'1.PUNTOS'!$A$1:$B$63,2,0),0)</f>
        <v>0</v>
      </c>
      <c r="AO56" s="138">
        <f>IF('1.DATOS-PROD'!AX57="SI",VLOOKUP('1.DATOS-PROD'!AX$2,'1.PUNTOS'!$A$1:$B$63,2,0),0)</f>
        <v>0</v>
      </c>
      <c r="AP56" s="138">
        <f>IF('1.DATOS-PROD'!AY57="SI",VLOOKUP('1.DATOS-PROD'!AY$2,'1.PUNTOS'!$A$1:$B$63,2,0),0)</f>
        <v>0</v>
      </c>
      <c r="AQ56" s="138">
        <f>IF('1.DATOS-PROD'!AZ57="SI",VLOOKUP('1.DATOS-PROD'!AZ$2,'1.PUNTOS'!$A$1:$B$63,2,0),0)</f>
        <v>0</v>
      </c>
      <c r="AR56" s="138">
        <f>IF('1.DATOS-PROD'!BA57="SI",VLOOKUP('1.DATOS-PROD'!BA$2,'1.PUNTOS'!$A$1:$B$63,2,0),0)</f>
        <v>0</v>
      </c>
      <c r="AS56" s="138">
        <f>IF('1.DATOS-PROD'!BB57="SI",VLOOKUP('1.DATOS-PROD'!BB$2,'1.PUNTOS'!$A$1:$B$63,2,0),0)</f>
        <v>0</v>
      </c>
      <c r="AT56" s="138">
        <f>IF('1.DATOS-PROD'!BC57="SI",VLOOKUP('1.DATOS-PROD'!BC$2,'1.PUNTOS'!$A$1:$B$63,2,0),0)</f>
        <v>0</v>
      </c>
      <c r="AU56" s="138">
        <f>IF('1.DATOS-PROD'!BD57="SI",VLOOKUP('1.DATOS-PROD'!BD$2,'1.PUNTOS'!$A$1:$B$63,2,0),0)</f>
        <v>0</v>
      </c>
      <c r="AV56" s="138">
        <f>IF('1.DATOS-PROD'!BE57="SI",VLOOKUP('1.DATOS-PROD'!BE$2,'1.PUNTOS'!$A$1:$B$63,2,0),0)</f>
        <v>0</v>
      </c>
      <c r="AW56" s="138">
        <f>IF('1.DATOS-PROD'!BF57="SI",VLOOKUP('1.DATOS-PROD'!BF$2,'1.PUNTOS'!$A$1:$B$63,2,0),0)</f>
        <v>0</v>
      </c>
      <c r="AX56" s="138">
        <f>IF('1.DATOS-PROD'!BG57="SI",VLOOKUP('1.DATOS-PROD'!BG$2,'1.PUNTOS'!$A$1:$B$63,2,0),0)</f>
        <v>0</v>
      </c>
      <c r="AY56" s="138">
        <f>IF('1.DATOS-PROD'!BH57="SI",VLOOKUP('1.DATOS-PROD'!BH$2,'1.PUNTOS'!$A$1:$B$63,2,0),0)</f>
        <v>0</v>
      </c>
      <c r="AZ56" s="138">
        <f>IF('1.DATOS-PROD'!BI57="SI",VLOOKUP('1.DATOS-PROD'!BI$2,'1.PUNTOS'!$A$1:$B$63,2,0),0)</f>
        <v>0</v>
      </c>
      <c r="BA56" s="138">
        <f>IF('1.DATOS-PROD'!BJ57="SI",VLOOKUP('1.DATOS-PROD'!BJ$2,'1.PUNTOS'!$A$1:$B$63,2,0),0)</f>
        <v>0</v>
      </c>
      <c r="BB56" s="138">
        <f>IF('1.DATOS-PROD'!BK57="SI",VLOOKUP('1.DATOS-PROD'!BK$2,'1.PUNTOS'!$A$1:$B$63,2,0),0)</f>
        <v>0</v>
      </c>
      <c r="BC56" s="138">
        <f>IF('1.DATOS-PROD'!BL57="SI",VLOOKUP('1.DATOS-PROD'!BL$2,'1.PUNTOS'!$A$1:$B$63,2,0),0)</f>
        <v>0</v>
      </c>
      <c r="BD56" s="138">
        <f>IF('1.DATOS-PROD'!BM57="SI",VLOOKUP('1.DATOS-PROD'!BM$2,'1.PUNTOS'!$A$1:$B$63,2,0),0)</f>
        <v>0</v>
      </c>
      <c r="BE56" s="138">
        <f>IF('1.DATOS-PROD'!BN57="SI",VLOOKUP('1.DATOS-PROD'!BN$2,'1.PUNTOS'!$A$1:$B$63,2,0),0)</f>
        <v>0</v>
      </c>
      <c r="BF56" s="138">
        <f>IF('1.DATOS-PROD'!BO57="SI",VLOOKUP('1.DATOS-PROD'!BO$2,'1.PUNTOS'!$A$1:$B$63,2,0),0)</f>
        <v>0</v>
      </c>
      <c r="BG56" s="138">
        <f>IF('1.DATOS-PROD'!BP57="SI",VLOOKUP('1.DATOS-PROD'!BP$2,'1.PUNTOS'!$A$1:$B$63,2,0),0)</f>
        <v>0</v>
      </c>
      <c r="BH56" s="138">
        <f>IF('1.DATOS-PROD'!BQ57="SI",VLOOKUP('1.DATOS-PROD'!BQ$2,'1.PUNTOS'!$A$1:$B$63,2,0),0)</f>
        <v>0</v>
      </c>
      <c r="BI56" s="138">
        <f>IF('1.DATOS-PROD'!BR57="SI",VLOOKUP('1.DATOS-PROD'!BR$2,'1.PUNTOS'!$A$1:$B$63,2,0),0)</f>
        <v>0</v>
      </c>
      <c r="BJ56" s="138">
        <f>IF('1.DATOS-PROD'!BS57="SI",VLOOKUP('1.DATOS-PROD'!BS$2,'1.PUNTOS'!$A$1:$B$63,2,0),0)</f>
        <v>0</v>
      </c>
      <c r="BK56" s="138">
        <f>IF('1.DATOS-PROD'!BT57="SI",VLOOKUP('1.DATOS-PROD'!BT$2,'1.PUNTOS'!$A$1:$B$63,2,0),0)</f>
        <v>0</v>
      </c>
    </row>
    <row r="57" spans="1:63" x14ac:dyDescent="0.25">
      <c r="A57">
        <f>'0.Consolidado general'!$A58</f>
        <v>0</v>
      </c>
      <c r="B57" s="138">
        <f>IF('1.DATOS-PROD'!K58="SI",VLOOKUP('1.DATOS-PROD'!K$2,'1.PUNTOS'!$A$1:$B$63,2,0),0)</f>
        <v>0</v>
      </c>
      <c r="C57" s="138">
        <f>IF('1.DATOS-PROD'!L58="SI",VLOOKUP('1.DATOS-PROD'!L$2,'1.PUNTOS'!$A$1:$B$63,2,0),0)</f>
        <v>0</v>
      </c>
      <c r="D57" s="138">
        <f>IF('1.DATOS-PROD'!M58="SI",VLOOKUP('1.DATOS-PROD'!M$2,'1.PUNTOS'!$A$1:$B$63,2,0),0)</f>
        <v>0</v>
      </c>
      <c r="E57" s="138">
        <f>IF('1.DATOS-PROD'!N58="SI",VLOOKUP('1.DATOS-PROD'!N$2,'1.PUNTOS'!$A$1:$B$63,2,0),0)</f>
        <v>0</v>
      </c>
      <c r="F57" s="138">
        <f>IF('1.DATOS-PROD'!O58="SI",VLOOKUP('1.DATOS-PROD'!O$2,'1.PUNTOS'!$A$1:$B$63,2,0),0)</f>
        <v>0</v>
      </c>
      <c r="G57" s="138">
        <f>IF('1.DATOS-PROD'!P58="SI",VLOOKUP('1.DATOS-PROD'!P$2,'1.PUNTOS'!$A$1:$B$63,2,0),0)</f>
        <v>0</v>
      </c>
      <c r="H57" s="138">
        <f>IF('1.DATOS-PROD'!Q58="SI",VLOOKUP('1.DATOS-PROD'!Q$2,'1.PUNTOS'!$A$1:$B$63,2,0),0)</f>
        <v>0</v>
      </c>
      <c r="I57" s="138">
        <f>IF('1.DATOS-PROD'!R58="SI",VLOOKUP('1.DATOS-PROD'!R$2,'1.PUNTOS'!$A$1:$B$63,2,0),0)</f>
        <v>0</v>
      </c>
      <c r="J57" s="138">
        <f>IF('1.DATOS-PROD'!S58="SI",VLOOKUP('1.DATOS-PROD'!S$2,'1.PUNTOS'!$A$1:$B$63,2,0),0)</f>
        <v>0</v>
      </c>
      <c r="K57" s="138">
        <f>IF('1.DATOS-PROD'!T58="SI",VLOOKUP('1.DATOS-PROD'!T$2,'1.PUNTOS'!$A$1:$B$63,2,0),0)</f>
        <v>0</v>
      </c>
      <c r="L57" s="138">
        <f>IF('1.DATOS-PROD'!U58="SI",VLOOKUP('1.DATOS-PROD'!U$2,'1.PUNTOS'!$A$1:$B$63,2,0),0)</f>
        <v>0</v>
      </c>
      <c r="M57" s="138">
        <f>IF('1.DATOS-PROD'!V58="SI",VLOOKUP('1.DATOS-PROD'!V$2,'1.PUNTOS'!$A$1:$B$63,2,0),0)</f>
        <v>0</v>
      </c>
      <c r="N57" s="138">
        <f>IF('1.DATOS-PROD'!W58="SI",VLOOKUP('1.DATOS-PROD'!W$2,'1.PUNTOS'!$A$1:$B$63,2,0),0)</f>
        <v>0</v>
      </c>
      <c r="O57" s="138">
        <f>IF('1.DATOS-PROD'!X58="SI",VLOOKUP('1.DATOS-PROD'!X$2,'1.PUNTOS'!$A$1:$B$63,2,0),0)</f>
        <v>0</v>
      </c>
      <c r="P57" s="138">
        <f>IF('1.DATOS-PROD'!Y58="SI",VLOOKUP('1.DATOS-PROD'!Y$2,'1.PUNTOS'!$A$1:$B$63,2,0),0)</f>
        <v>0</v>
      </c>
      <c r="Q57" s="138">
        <f>IF('1.DATOS-PROD'!Z58="SI",VLOOKUP('1.DATOS-PROD'!Z$2,'1.PUNTOS'!$A$1:$B$63,2,0),0)</f>
        <v>0</v>
      </c>
      <c r="R57" s="138">
        <f>IF('1.DATOS-PROD'!AA58="SI",VLOOKUP('1.DATOS-PROD'!AA$2,'1.PUNTOS'!$A$1:$B$63,2,0),0)</f>
        <v>0</v>
      </c>
      <c r="S57" s="138">
        <f>IF('1.DATOS-PROD'!AB58="SI",VLOOKUP('1.DATOS-PROD'!AB$2,'1.PUNTOS'!$A$1:$B$63,2,0),0)</f>
        <v>0</v>
      </c>
      <c r="T57" s="138">
        <f>IF('1.DATOS-PROD'!AC58="SI",VLOOKUP('1.DATOS-PROD'!AC$2,'1.PUNTOS'!$A$1:$B$63,2,0),0)</f>
        <v>0</v>
      </c>
      <c r="U57" s="138">
        <f>IF('1.DATOS-PROD'!AD58="SI",VLOOKUP('1.DATOS-PROD'!AD$2,'1.PUNTOS'!$A$1:$B$63,2,0),0)</f>
        <v>0</v>
      </c>
      <c r="V57" s="138">
        <f>IF('1.DATOS-PROD'!AE58="SI",VLOOKUP('1.DATOS-PROD'!AE$2,'1.PUNTOS'!$A$1:$B$63,2,0),0)</f>
        <v>0</v>
      </c>
      <c r="W57" s="138">
        <f>IF('1.DATOS-PROD'!AF58="SI",VLOOKUP('1.DATOS-PROD'!AF$2,'1.PUNTOS'!$A$1:$B$63,2,0),0)</f>
        <v>0</v>
      </c>
      <c r="X57" s="138">
        <f>IF('1.DATOS-PROD'!AG58="SI",VLOOKUP('1.DATOS-PROD'!AG$2,'1.PUNTOS'!$A$1:$B$63,2,0),0)</f>
        <v>0</v>
      </c>
      <c r="Y57" s="138">
        <f>IF('1.DATOS-PROD'!AH58="SI",VLOOKUP('1.DATOS-PROD'!AH$2,'1.PUNTOS'!$A$1:$B$63,2,0),0)</f>
        <v>0</v>
      </c>
      <c r="Z57" s="138">
        <f>IF('1.DATOS-PROD'!AI58="SI",VLOOKUP('1.DATOS-PROD'!AI$2,'1.PUNTOS'!$A$1:$B$63,2,0),0)</f>
        <v>0</v>
      </c>
      <c r="AA57" s="138">
        <f>IF('1.DATOS-PROD'!AJ58="SI",VLOOKUP('1.DATOS-PROD'!AJ$2,'1.PUNTOS'!$A$1:$B$63,2,0),0)</f>
        <v>0</v>
      </c>
      <c r="AB57" s="138">
        <f>IF('1.DATOS-PROD'!AK58="SI",VLOOKUP('1.DATOS-PROD'!AK$2,'1.PUNTOS'!$A$1:$B$63,2,0),0)</f>
        <v>0</v>
      </c>
      <c r="AC57" s="138">
        <f>IF('1.DATOS-PROD'!AL58="SI",VLOOKUP('1.DATOS-PROD'!AL$2,'1.PUNTOS'!$A$1:$B$63,2,0),0)</f>
        <v>0</v>
      </c>
      <c r="AD57" s="138">
        <f>IF('1.DATOS-PROD'!AM58="SI",VLOOKUP('1.DATOS-PROD'!AM$2,'1.PUNTOS'!$A$1:$B$63,2,0),0)</f>
        <v>0</v>
      </c>
      <c r="AE57" s="138">
        <f>IF('1.DATOS-PROD'!AN58="SI",VLOOKUP('1.DATOS-PROD'!AN$2,'1.PUNTOS'!$A$1:$B$63,2,0),0)</f>
        <v>0</v>
      </c>
      <c r="AF57" s="138">
        <f>IF('1.DATOS-PROD'!AO58="SI",VLOOKUP('1.DATOS-PROD'!AO$2,'1.PUNTOS'!$A$1:$B$63,2,0),0)</f>
        <v>0</v>
      </c>
      <c r="AG57" s="138">
        <f>IF('1.DATOS-PROD'!AP58="SI",VLOOKUP('1.DATOS-PROD'!AP$2,'1.PUNTOS'!$A$1:$B$63,2,0),0)</f>
        <v>0</v>
      </c>
      <c r="AH57" s="138">
        <f>IF('1.DATOS-PROD'!AQ58="SI",VLOOKUP('1.DATOS-PROD'!AQ$2,'1.PUNTOS'!$A$1:$B$63,2,0),0)</f>
        <v>0</v>
      </c>
      <c r="AI57" s="138">
        <f>IF('1.DATOS-PROD'!AR58="SI",VLOOKUP('1.DATOS-PROD'!AR$2,'1.PUNTOS'!$A$1:$B$63,2,0),0)</f>
        <v>0</v>
      </c>
      <c r="AJ57" s="138">
        <f>IF('1.DATOS-PROD'!AS58="SI",VLOOKUP('1.DATOS-PROD'!AS$2,'1.PUNTOS'!$A$1:$B$63,2,0),0)</f>
        <v>0</v>
      </c>
      <c r="AK57" s="138">
        <f>IF('1.DATOS-PROD'!AT58="SI",VLOOKUP('1.DATOS-PROD'!AT$2,'1.PUNTOS'!$A$1:$B$63,2,0),0)</f>
        <v>0</v>
      </c>
      <c r="AL57" s="138">
        <f>IF('1.DATOS-PROD'!AU58="SI",VLOOKUP('1.DATOS-PROD'!AU$2,'1.PUNTOS'!$A$1:$B$63,2,0),0)</f>
        <v>0</v>
      </c>
      <c r="AM57" s="138">
        <f>IF('1.DATOS-PROD'!AV58="SI",VLOOKUP('1.DATOS-PROD'!AV$2,'1.PUNTOS'!$A$1:$B$63,2,0),0)</f>
        <v>0</v>
      </c>
      <c r="AN57" s="138">
        <f>IF('1.DATOS-PROD'!AW58="SI",VLOOKUP('1.DATOS-PROD'!AW$2,'1.PUNTOS'!$A$1:$B$63,2,0),0)</f>
        <v>0</v>
      </c>
      <c r="AO57" s="138">
        <f>IF('1.DATOS-PROD'!AX58="SI",VLOOKUP('1.DATOS-PROD'!AX$2,'1.PUNTOS'!$A$1:$B$63,2,0),0)</f>
        <v>0</v>
      </c>
      <c r="AP57" s="138">
        <f>IF('1.DATOS-PROD'!AY58="SI",VLOOKUP('1.DATOS-PROD'!AY$2,'1.PUNTOS'!$A$1:$B$63,2,0),0)</f>
        <v>0</v>
      </c>
      <c r="AQ57" s="138">
        <f>IF('1.DATOS-PROD'!AZ58="SI",VLOOKUP('1.DATOS-PROD'!AZ$2,'1.PUNTOS'!$A$1:$B$63,2,0),0)</f>
        <v>0</v>
      </c>
      <c r="AR57" s="138">
        <f>IF('1.DATOS-PROD'!BA58="SI",VLOOKUP('1.DATOS-PROD'!BA$2,'1.PUNTOS'!$A$1:$B$63,2,0),0)</f>
        <v>0</v>
      </c>
      <c r="AS57" s="138">
        <f>IF('1.DATOS-PROD'!BB58="SI",VLOOKUP('1.DATOS-PROD'!BB$2,'1.PUNTOS'!$A$1:$B$63,2,0),0)</f>
        <v>0</v>
      </c>
      <c r="AT57" s="138">
        <f>IF('1.DATOS-PROD'!BC58="SI",VLOOKUP('1.DATOS-PROD'!BC$2,'1.PUNTOS'!$A$1:$B$63,2,0),0)</f>
        <v>0</v>
      </c>
      <c r="AU57" s="138">
        <f>IF('1.DATOS-PROD'!BD58="SI",VLOOKUP('1.DATOS-PROD'!BD$2,'1.PUNTOS'!$A$1:$B$63,2,0),0)</f>
        <v>0</v>
      </c>
      <c r="AV57" s="138">
        <f>IF('1.DATOS-PROD'!BE58="SI",VLOOKUP('1.DATOS-PROD'!BE$2,'1.PUNTOS'!$A$1:$B$63,2,0),0)</f>
        <v>0</v>
      </c>
      <c r="AW57" s="138">
        <f>IF('1.DATOS-PROD'!BF58="SI",VLOOKUP('1.DATOS-PROD'!BF$2,'1.PUNTOS'!$A$1:$B$63,2,0),0)</f>
        <v>0</v>
      </c>
      <c r="AX57" s="138">
        <f>IF('1.DATOS-PROD'!BG58="SI",VLOOKUP('1.DATOS-PROD'!BG$2,'1.PUNTOS'!$A$1:$B$63,2,0),0)</f>
        <v>0</v>
      </c>
      <c r="AY57" s="138">
        <f>IF('1.DATOS-PROD'!BH58="SI",VLOOKUP('1.DATOS-PROD'!BH$2,'1.PUNTOS'!$A$1:$B$63,2,0),0)</f>
        <v>0</v>
      </c>
      <c r="AZ57" s="138">
        <f>IF('1.DATOS-PROD'!BI58="SI",VLOOKUP('1.DATOS-PROD'!BI$2,'1.PUNTOS'!$A$1:$B$63,2,0),0)</f>
        <v>0</v>
      </c>
      <c r="BA57" s="138">
        <f>IF('1.DATOS-PROD'!BJ58="SI",VLOOKUP('1.DATOS-PROD'!BJ$2,'1.PUNTOS'!$A$1:$B$63,2,0),0)</f>
        <v>0</v>
      </c>
      <c r="BB57" s="138">
        <f>IF('1.DATOS-PROD'!BK58="SI",VLOOKUP('1.DATOS-PROD'!BK$2,'1.PUNTOS'!$A$1:$B$63,2,0),0)</f>
        <v>0</v>
      </c>
      <c r="BC57" s="138">
        <f>IF('1.DATOS-PROD'!BL58="SI",VLOOKUP('1.DATOS-PROD'!BL$2,'1.PUNTOS'!$A$1:$B$63,2,0),0)</f>
        <v>0</v>
      </c>
      <c r="BD57" s="138">
        <f>IF('1.DATOS-PROD'!BM58="SI",VLOOKUP('1.DATOS-PROD'!BM$2,'1.PUNTOS'!$A$1:$B$63,2,0),0)</f>
        <v>0</v>
      </c>
      <c r="BE57" s="138">
        <f>IF('1.DATOS-PROD'!BN58="SI",VLOOKUP('1.DATOS-PROD'!BN$2,'1.PUNTOS'!$A$1:$B$63,2,0),0)</f>
        <v>0</v>
      </c>
      <c r="BF57" s="138">
        <f>IF('1.DATOS-PROD'!BO58="SI",VLOOKUP('1.DATOS-PROD'!BO$2,'1.PUNTOS'!$A$1:$B$63,2,0),0)</f>
        <v>0</v>
      </c>
      <c r="BG57" s="138">
        <f>IF('1.DATOS-PROD'!BP58="SI",VLOOKUP('1.DATOS-PROD'!BP$2,'1.PUNTOS'!$A$1:$B$63,2,0),0)</f>
        <v>0</v>
      </c>
      <c r="BH57" s="138">
        <f>IF('1.DATOS-PROD'!BQ58="SI",VLOOKUP('1.DATOS-PROD'!BQ$2,'1.PUNTOS'!$A$1:$B$63,2,0),0)</f>
        <v>0</v>
      </c>
      <c r="BI57" s="138">
        <f>IF('1.DATOS-PROD'!BR58="SI",VLOOKUP('1.DATOS-PROD'!BR$2,'1.PUNTOS'!$A$1:$B$63,2,0),0)</f>
        <v>0</v>
      </c>
      <c r="BJ57" s="138">
        <f>IF('1.DATOS-PROD'!BS58="SI",VLOOKUP('1.DATOS-PROD'!BS$2,'1.PUNTOS'!$A$1:$B$63,2,0),0)</f>
        <v>0</v>
      </c>
      <c r="BK57" s="138">
        <f>IF('1.DATOS-PROD'!BT58="SI",VLOOKUP('1.DATOS-PROD'!BT$2,'1.PUNTOS'!$A$1:$B$63,2,0),0)</f>
        <v>0</v>
      </c>
    </row>
    <row r="58" spans="1:63" x14ac:dyDescent="0.25">
      <c r="A58">
        <f>'0.Consolidado general'!$A59</f>
        <v>0</v>
      </c>
      <c r="B58" s="138">
        <f>IF('1.DATOS-PROD'!K59="SI",VLOOKUP('1.DATOS-PROD'!K$2,'1.PUNTOS'!$A$1:$B$63,2,0),0)</f>
        <v>0</v>
      </c>
      <c r="C58" s="138">
        <f>IF('1.DATOS-PROD'!L59="SI",VLOOKUP('1.DATOS-PROD'!L$2,'1.PUNTOS'!$A$1:$B$63,2,0),0)</f>
        <v>0</v>
      </c>
      <c r="D58" s="138">
        <f>IF('1.DATOS-PROD'!M59="SI",VLOOKUP('1.DATOS-PROD'!M$2,'1.PUNTOS'!$A$1:$B$63,2,0),0)</f>
        <v>0</v>
      </c>
      <c r="E58" s="138">
        <f>IF('1.DATOS-PROD'!N59="SI",VLOOKUP('1.DATOS-PROD'!N$2,'1.PUNTOS'!$A$1:$B$63,2,0),0)</f>
        <v>0</v>
      </c>
      <c r="F58" s="138">
        <f>IF('1.DATOS-PROD'!O59="SI",VLOOKUP('1.DATOS-PROD'!O$2,'1.PUNTOS'!$A$1:$B$63,2,0),0)</f>
        <v>0</v>
      </c>
      <c r="G58" s="138">
        <f>IF('1.DATOS-PROD'!P59="SI",VLOOKUP('1.DATOS-PROD'!P$2,'1.PUNTOS'!$A$1:$B$63,2,0),0)</f>
        <v>0</v>
      </c>
      <c r="H58" s="138">
        <f>IF('1.DATOS-PROD'!Q59="SI",VLOOKUP('1.DATOS-PROD'!Q$2,'1.PUNTOS'!$A$1:$B$63,2,0),0)</f>
        <v>0</v>
      </c>
      <c r="I58" s="138">
        <f>IF('1.DATOS-PROD'!R59="SI",VLOOKUP('1.DATOS-PROD'!R$2,'1.PUNTOS'!$A$1:$B$63,2,0),0)</f>
        <v>0</v>
      </c>
      <c r="J58" s="138">
        <f>IF('1.DATOS-PROD'!S59="SI",VLOOKUP('1.DATOS-PROD'!S$2,'1.PUNTOS'!$A$1:$B$63,2,0),0)</f>
        <v>0</v>
      </c>
      <c r="K58" s="138">
        <f>IF('1.DATOS-PROD'!T59="SI",VLOOKUP('1.DATOS-PROD'!T$2,'1.PUNTOS'!$A$1:$B$63,2,0),0)</f>
        <v>0</v>
      </c>
      <c r="L58" s="138">
        <f>IF('1.DATOS-PROD'!U59="SI",VLOOKUP('1.DATOS-PROD'!U$2,'1.PUNTOS'!$A$1:$B$63,2,0),0)</f>
        <v>0</v>
      </c>
      <c r="M58" s="138">
        <f>IF('1.DATOS-PROD'!V59="SI",VLOOKUP('1.DATOS-PROD'!V$2,'1.PUNTOS'!$A$1:$B$63,2,0),0)</f>
        <v>0</v>
      </c>
      <c r="N58" s="138">
        <f>IF('1.DATOS-PROD'!W59="SI",VLOOKUP('1.DATOS-PROD'!W$2,'1.PUNTOS'!$A$1:$B$63,2,0),0)</f>
        <v>0</v>
      </c>
      <c r="O58" s="138">
        <f>IF('1.DATOS-PROD'!X59="SI",VLOOKUP('1.DATOS-PROD'!X$2,'1.PUNTOS'!$A$1:$B$63,2,0),0)</f>
        <v>0</v>
      </c>
      <c r="P58" s="138">
        <f>IF('1.DATOS-PROD'!Y59="SI",VLOOKUP('1.DATOS-PROD'!Y$2,'1.PUNTOS'!$A$1:$B$63,2,0),0)</f>
        <v>0</v>
      </c>
      <c r="Q58" s="138">
        <f>IF('1.DATOS-PROD'!Z59="SI",VLOOKUP('1.DATOS-PROD'!Z$2,'1.PUNTOS'!$A$1:$B$63,2,0),0)</f>
        <v>0</v>
      </c>
      <c r="R58" s="138">
        <f>IF('1.DATOS-PROD'!AA59="SI",VLOOKUP('1.DATOS-PROD'!AA$2,'1.PUNTOS'!$A$1:$B$63,2,0),0)</f>
        <v>0</v>
      </c>
      <c r="S58" s="138">
        <f>IF('1.DATOS-PROD'!AB59="SI",VLOOKUP('1.DATOS-PROD'!AB$2,'1.PUNTOS'!$A$1:$B$63,2,0),0)</f>
        <v>0</v>
      </c>
      <c r="T58" s="138">
        <f>IF('1.DATOS-PROD'!AC59="SI",VLOOKUP('1.DATOS-PROD'!AC$2,'1.PUNTOS'!$A$1:$B$63,2,0),0)</f>
        <v>0</v>
      </c>
      <c r="U58" s="138">
        <f>IF('1.DATOS-PROD'!AD59="SI",VLOOKUP('1.DATOS-PROD'!AD$2,'1.PUNTOS'!$A$1:$B$63,2,0),0)</f>
        <v>0</v>
      </c>
      <c r="V58" s="138">
        <f>IF('1.DATOS-PROD'!AE59="SI",VLOOKUP('1.DATOS-PROD'!AE$2,'1.PUNTOS'!$A$1:$B$63,2,0),0)</f>
        <v>0</v>
      </c>
      <c r="W58" s="138">
        <f>IF('1.DATOS-PROD'!AF59="SI",VLOOKUP('1.DATOS-PROD'!AF$2,'1.PUNTOS'!$A$1:$B$63,2,0),0)</f>
        <v>0</v>
      </c>
      <c r="X58" s="138">
        <f>IF('1.DATOS-PROD'!AG59="SI",VLOOKUP('1.DATOS-PROD'!AG$2,'1.PUNTOS'!$A$1:$B$63,2,0),0)</f>
        <v>0</v>
      </c>
      <c r="Y58" s="138">
        <f>IF('1.DATOS-PROD'!AH59="SI",VLOOKUP('1.DATOS-PROD'!AH$2,'1.PUNTOS'!$A$1:$B$63,2,0),0)</f>
        <v>0</v>
      </c>
      <c r="Z58" s="138">
        <f>IF('1.DATOS-PROD'!AI59="SI",VLOOKUP('1.DATOS-PROD'!AI$2,'1.PUNTOS'!$A$1:$B$63,2,0),0)</f>
        <v>0</v>
      </c>
      <c r="AA58" s="138">
        <f>IF('1.DATOS-PROD'!AJ59="SI",VLOOKUP('1.DATOS-PROD'!AJ$2,'1.PUNTOS'!$A$1:$B$63,2,0),0)</f>
        <v>0</v>
      </c>
      <c r="AB58" s="138">
        <f>IF('1.DATOS-PROD'!AK59="SI",VLOOKUP('1.DATOS-PROD'!AK$2,'1.PUNTOS'!$A$1:$B$63,2,0),0)</f>
        <v>0</v>
      </c>
      <c r="AC58" s="138">
        <f>IF('1.DATOS-PROD'!AL59="SI",VLOOKUP('1.DATOS-PROD'!AL$2,'1.PUNTOS'!$A$1:$B$63,2,0),0)</f>
        <v>0</v>
      </c>
      <c r="AD58" s="138">
        <f>IF('1.DATOS-PROD'!AM59="SI",VLOOKUP('1.DATOS-PROD'!AM$2,'1.PUNTOS'!$A$1:$B$63,2,0),0)</f>
        <v>0</v>
      </c>
      <c r="AE58" s="138">
        <f>IF('1.DATOS-PROD'!AN59="SI",VLOOKUP('1.DATOS-PROD'!AN$2,'1.PUNTOS'!$A$1:$B$63,2,0),0)</f>
        <v>0</v>
      </c>
      <c r="AF58" s="138">
        <f>IF('1.DATOS-PROD'!AO59="SI",VLOOKUP('1.DATOS-PROD'!AO$2,'1.PUNTOS'!$A$1:$B$63,2,0),0)</f>
        <v>0</v>
      </c>
      <c r="AG58" s="138">
        <f>IF('1.DATOS-PROD'!AP59="SI",VLOOKUP('1.DATOS-PROD'!AP$2,'1.PUNTOS'!$A$1:$B$63,2,0),0)</f>
        <v>0</v>
      </c>
      <c r="AH58" s="138">
        <f>IF('1.DATOS-PROD'!AQ59="SI",VLOOKUP('1.DATOS-PROD'!AQ$2,'1.PUNTOS'!$A$1:$B$63,2,0),0)</f>
        <v>0</v>
      </c>
      <c r="AI58" s="138">
        <f>IF('1.DATOS-PROD'!AR59="SI",VLOOKUP('1.DATOS-PROD'!AR$2,'1.PUNTOS'!$A$1:$B$63,2,0),0)</f>
        <v>0</v>
      </c>
      <c r="AJ58" s="138">
        <f>IF('1.DATOS-PROD'!AS59="SI",VLOOKUP('1.DATOS-PROD'!AS$2,'1.PUNTOS'!$A$1:$B$63,2,0),0)</f>
        <v>0</v>
      </c>
      <c r="AK58" s="138">
        <f>IF('1.DATOS-PROD'!AT59="SI",VLOOKUP('1.DATOS-PROD'!AT$2,'1.PUNTOS'!$A$1:$B$63,2,0),0)</f>
        <v>0</v>
      </c>
      <c r="AL58" s="138">
        <f>IF('1.DATOS-PROD'!AU59="SI",VLOOKUP('1.DATOS-PROD'!AU$2,'1.PUNTOS'!$A$1:$B$63,2,0),0)</f>
        <v>0</v>
      </c>
      <c r="AM58" s="138">
        <f>IF('1.DATOS-PROD'!AV59="SI",VLOOKUP('1.DATOS-PROD'!AV$2,'1.PUNTOS'!$A$1:$B$63,2,0),0)</f>
        <v>0</v>
      </c>
      <c r="AN58" s="138">
        <f>IF('1.DATOS-PROD'!AW59="SI",VLOOKUP('1.DATOS-PROD'!AW$2,'1.PUNTOS'!$A$1:$B$63,2,0),0)</f>
        <v>0</v>
      </c>
      <c r="AO58" s="138">
        <f>IF('1.DATOS-PROD'!AX59="SI",VLOOKUP('1.DATOS-PROD'!AX$2,'1.PUNTOS'!$A$1:$B$63,2,0),0)</f>
        <v>0</v>
      </c>
      <c r="AP58" s="138">
        <f>IF('1.DATOS-PROD'!AY59="SI",VLOOKUP('1.DATOS-PROD'!AY$2,'1.PUNTOS'!$A$1:$B$63,2,0),0)</f>
        <v>0</v>
      </c>
      <c r="AQ58" s="138">
        <f>IF('1.DATOS-PROD'!AZ59="SI",VLOOKUP('1.DATOS-PROD'!AZ$2,'1.PUNTOS'!$A$1:$B$63,2,0),0)</f>
        <v>0</v>
      </c>
      <c r="AR58" s="138">
        <f>IF('1.DATOS-PROD'!BA59="SI",VLOOKUP('1.DATOS-PROD'!BA$2,'1.PUNTOS'!$A$1:$B$63,2,0),0)</f>
        <v>0</v>
      </c>
      <c r="AS58" s="138">
        <f>IF('1.DATOS-PROD'!BB59="SI",VLOOKUP('1.DATOS-PROD'!BB$2,'1.PUNTOS'!$A$1:$B$63,2,0),0)</f>
        <v>0</v>
      </c>
      <c r="AT58" s="138">
        <f>IF('1.DATOS-PROD'!BC59="SI",VLOOKUP('1.DATOS-PROD'!BC$2,'1.PUNTOS'!$A$1:$B$63,2,0),0)</f>
        <v>0</v>
      </c>
      <c r="AU58" s="138">
        <f>IF('1.DATOS-PROD'!BD59="SI",VLOOKUP('1.DATOS-PROD'!BD$2,'1.PUNTOS'!$A$1:$B$63,2,0),0)</f>
        <v>0</v>
      </c>
      <c r="AV58" s="138">
        <f>IF('1.DATOS-PROD'!BE59="SI",VLOOKUP('1.DATOS-PROD'!BE$2,'1.PUNTOS'!$A$1:$B$63,2,0),0)</f>
        <v>0</v>
      </c>
      <c r="AW58" s="138">
        <f>IF('1.DATOS-PROD'!BF59="SI",VLOOKUP('1.DATOS-PROD'!BF$2,'1.PUNTOS'!$A$1:$B$63,2,0),0)</f>
        <v>0</v>
      </c>
      <c r="AX58" s="138">
        <f>IF('1.DATOS-PROD'!BG59="SI",VLOOKUP('1.DATOS-PROD'!BG$2,'1.PUNTOS'!$A$1:$B$63,2,0),0)</f>
        <v>0</v>
      </c>
      <c r="AY58" s="138">
        <f>IF('1.DATOS-PROD'!BH59="SI",VLOOKUP('1.DATOS-PROD'!BH$2,'1.PUNTOS'!$A$1:$B$63,2,0),0)</f>
        <v>0</v>
      </c>
      <c r="AZ58" s="138">
        <f>IF('1.DATOS-PROD'!BI59="SI",VLOOKUP('1.DATOS-PROD'!BI$2,'1.PUNTOS'!$A$1:$B$63,2,0),0)</f>
        <v>0</v>
      </c>
      <c r="BA58" s="138">
        <f>IF('1.DATOS-PROD'!BJ59="SI",VLOOKUP('1.DATOS-PROD'!BJ$2,'1.PUNTOS'!$A$1:$B$63,2,0),0)</f>
        <v>0</v>
      </c>
      <c r="BB58" s="138">
        <f>IF('1.DATOS-PROD'!BK59="SI",VLOOKUP('1.DATOS-PROD'!BK$2,'1.PUNTOS'!$A$1:$B$63,2,0),0)</f>
        <v>0</v>
      </c>
      <c r="BC58" s="138">
        <f>IF('1.DATOS-PROD'!BL59="SI",VLOOKUP('1.DATOS-PROD'!BL$2,'1.PUNTOS'!$A$1:$B$63,2,0),0)</f>
        <v>0</v>
      </c>
      <c r="BD58" s="138">
        <f>IF('1.DATOS-PROD'!BM59="SI",VLOOKUP('1.DATOS-PROD'!BM$2,'1.PUNTOS'!$A$1:$B$63,2,0),0)</f>
        <v>0</v>
      </c>
      <c r="BE58" s="138">
        <f>IF('1.DATOS-PROD'!BN59="SI",VLOOKUP('1.DATOS-PROD'!BN$2,'1.PUNTOS'!$A$1:$B$63,2,0),0)</f>
        <v>0</v>
      </c>
      <c r="BF58" s="138">
        <f>IF('1.DATOS-PROD'!BO59="SI",VLOOKUP('1.DATOS-PROD'!BO$2,'1.PUNTOS'!$A$1:$B$63,2,0),0)</f>
        <v>0</v>
      </c>
      <c r="BG58" s="138">
        <f>IF('1.DATOS-PROD'!BP59="SI",VLOOKUP('1.DATOS-PROD'!BP$2,'1.PUNTOS'!$A$1:$B$63,2,0),0)</f>
        <v>0</v>
      </c>
      <c r="BH58" s="138">
        <f>IF('1.DATOS-PROD'!BQ59="SI",VLOOKUP('1.DATOS-PROD'!BQ$2,'1.PUNTOS'!$A$1:$B$63,2,0),0)</f>
        <v>0</v>
      </c>
      <c r="BI58" s="138">
        <f>IF('1.DATOS-PROD'!BR59="SI",VLOOKUP('1.DATOS-PROD'!BR$2,'1.PUNTOS'!$A$1:$B$63,2,0),0)</f>
        <v>0</v>
      </c>
      <c r="BJ58" s="138">
        <f>IF('1.DATOS-PROD'!BS59="SI",VLOOKUP('1.DATOS-PROD'!BS$2,'1.PUNTOS'!$A$1:$B$63,2,0),0)</f>
        <v>0</v>
      </c>
      <c r="BK58" s="138">
        <f>IF('1.DATOS-PROD'!BT59="SI",VLOOKUP('1.DATOS-PROD'!BT$2,'1.PUNTOS'!$A$1:$B$63,2,0),0)</f>
        <v>0</v>
      </c>
    </row>
    <row r="59" spans="1:63" x14ac:dyDescent="0.25">
      <c r="A59">
        <f>'0.Consolidado general'!$A60</f>
        <v>0</v>
      </c>
      <c r="B59" s="138">
        <f>IF('1.DATOS-PROD'!K60="SI",VLOOKUP('1.DATOS-PROD'!K$2,'1.PUNTOS'!$A$1:$B$63,2,0),0)</f>
        <v>0</v>
      </c>
      <c r="C59" s="138">
        <f>IF('1.DATOS-PROD'!L60="SI",VLOOKUP('1.DATOS-PROD'!L$2,'1.PUNTOS'!$A$1:$B$63,2,0),0)</f>
        <v>0</v>
      </c>
      <c r="D59" s="138">
        <f>IF('1.DATOS-PROD'!M60="SI",VLOOKUP('1.DATOS-PROD'!M$2,'1.PUNTOS'!$A$1:$B$63,2,0),0)</f>
        <v>0</v>
      </c>
      <c r="E59" s="138">
        <f>IF('1.DATOS-PROD'!N60="SI",VLOOKUP('1.DATOS-PROD'!N$2,'1.PUNTOS'!$A$1:$B$63,2,0),0)</f>
        <v>0</v>
      </c>
      <c r="F59" s="138">
        <f>IF('1.DATOS-PROD'!O60="SI",VLOOKUP('1.DATOS-PROD'!O$2,'1.PUNTOS'!$A$1:$B$63,2,0),0)</f>
        <v>0</v>
      </c>
      <c r="G59" s="138">
        <f>IF('1.DATOS-PROD'!P60="SI",VLOOKUP('1.DATOS-PROD'!P$2,'1.PUNTOS'!$A$1:$B$63,2,0),0)</f>
        <v>0</v>
      </c>
      <c r="H59" s="138">
        <f>IF('1.DATOS-PROD'!Q60="SI",VLOOKUP('1.DATOS-PROD'!Q$2,'1.PUNTOS'!$A$1:$B$63,2,0),0)</f>
        <v>0</v>
      </c>
      <c r="I59" s="138">
        <f>IF('1.DATOS-PROD'!R60="SI",VLOOKUP('1.DATOS-PROD'!R$2,'1.PUNTOS'!$A$1:$B$63,2,0),0)</f>
        <v>0</v>
      </c>
      <c r="J59" s="138">
        <f>IF('1.DATOS-PROD'!S60="SI",VLOOKUP('1.DATOS-PROD'!S$2,'1.PUNTOS'!$A$1:$B$63,2,0),0)</f>
        <v>0</v>
      </c>
      <c r="K59" s="138">
        <f>IF('1.DATOS-PROD'!T60="SI",VLOOKUP('1.DATOS-PROD'!T$2,'1.PUNTOS'!$A$1:$B$63,2,0),0)</f>
        <v>0</v>
      </c>
      <c r="L59" s="138">
        <f>IF('1.DATOS-PROD'!U60="SI",VLOOKUP('1.DATOS-PROD'!U$2,'1.PUNTOS'!$A$1:$B$63,2,0),0)</f>
        <v>0</v>
      </c>
      <c r="M59" s="138">
        <f>IF('1.DATOS-PROD'!V60="SI",VLOOKUP('1.DATOS-PROD'!V$2,'1.PUNTOS'!$A$1:$B$63,2,0),0)</f>
        <v>0</v>
      </c>
      <c r="N59" s="138">
        <f>IF('1.DATOS-PROD'!W60="SI",VLOOKUP('1.DATOS-PROD'!W$2,'1.PUNTOS'!$A$1:$B$63,2,0),0)</f>
        <v>0</v>
      </c>
      <c r="O59" s="138">
        <f>IF('1.DATOS-PROD'!X60="SI",VLOOKUP('1.DATOS-PROD'!X$2,'1.PUNTOS'!$A$1:$B$63,2,0),0)</f>
        <v>0</v>
      </c>
      <c r="P59" s="138">
        <f>IF('1.DATOS-PROD'!Y60="SI",VLOOKUP('1.DATOS-PROD'!Y$2,'1.PUNTOS'!$A$1:$B$63,2,0),0)</f>
        <v>0</v>
      </c>
      <c r="Q59" s="138">
        <f>IF('1.DATOS-PROD'!Z60="SI",VLOOKUP('1.DATOS-PROD'!Z$2,'1.PUNTOS'!$A$1:$B$63,2,0),0)</f>
        <v>0</v>
      </c>
      <c r="R59" s="138">
        <f>IF('1.DATOS-PROD'!AA60="SI",VLOOKUP('1.DATOS-PROD'!AA$2,'1.PUNTOS'!$A$1:$B$63,2,0),0)</f>
        <v>0</v>
      </c>
      <c r="S59" s="138">
        <f>IF('1.DATOS-PROD'!AB60="SI",VLOOKUP('1.DATOS-PROD'!AB$2,'1.PUNTOS'!$A$1:$B$63,2,0),0)</f>
        <v>0</v>
      </c>
      <c r="T59" s="138">
        <f>IF('1.DATOS-PROD'!AC60="SI",VLOOKUP('1.DATOS-PROD'!AC$2,'1.PUNTOS'!$A$1:$B$63,2,0),0)</f>
        <v>0</v>
      </c>
      <c r="U59" s="138">
        <f>IF('1.DATOS-PROD'!AD60="SI",VLOOKUP('1.DATOS-PROD'!AD$2,'1.PUNTOS'!$A$1:$B$63,2,0),0)</f>
        <v>0</v>
      </c>
      <c r="V59" s="138">
        <f>IF('1.DATOS-PROD'!AE60="SI",VLOOKUP('1.DATOS-PROD'!AE$2,'1.PUNTOS'!$A$1:$B$63,2,0),0)</f>
        <v>0</v>
      </c>
      <c r="W59" s="138">
        <f>IF('1.DATOS-PROD'!AF60="SI",VLOOKUP('1.DATOS-PROD'!AF$2,'1.PUNTOS'!$A$1:$B$63,2,0),0)</f>
        <v>0</v>
      </c>
      <c r="X59" s="138">
        <f>IF('1.DATOS-PROD'!AG60="SI",VLOOKUP('1.DATOS-PROD'!AG$2,'1.PUNTOS'!$A$1:$B$63,2,0),0)</f>
        <v>0</v>
      </c>
      <c r="Y59" s="138">
        <f>IF('1.DATOS-PROD'!AH60="SI",VLOOKUP('1.DATOS-PROD'!AH$2,'1.PUNTOS'!$A$1:$B$63,2,0),0)</f>
        <v>0</v>
      </c>
      <c r="Z59" s="138">
        <f>IF('1.DATOS-PROD'!AI60="SI",VLOOKUP('1.DATOS-PROD'!AI$2,'1.PUNTOS'!$A$1:$B$63,2,0),0)</f>
        <v>0</v>
      </c>
      <c r="AA59" s="138">
        <f>IF('1.DATOS-PROD'!AJ60="SI",VLOOKUP('1.DATOS-PROD'!AJ$2,'1.PUNTOS'!$A$1:$B$63,2,0),0)</f>
        <v>0</v>
      </c>
      <c r="AB59" s="138">
        <f>IF('1.DATOS-PROD'!AK60="SI",VLOOKUP('1.DATOS-PROD'!AK$2,'1.PUNTOS'!$A$1:$B$63,2,0),0)</f>
        <v>0</v>
      </c>
      <c r="AC59" s="138">
        <f>IF('1.DATOS-PROD'!AL60="SI",VLOOKUP('1.DATOS-PROD'!AL$2,'1.PUNTOS'!$A$1:$B$63,2,0),0)</f>
        <v>0</v>
      </c>
      <c r="AD59" s="138">
        <f>IF('1.DATOS-PROD'!AM60="SI",VLOOKUP('1.DATOS-PROD'!AM$2,'1.PUNTOS'!$A$1:$B$63,2,0),0)</f>
        <v>0</v>
      </c>
      <c r="AE59" s="138">
        <f>IF('1.DATOS-PROD'!AN60="SI",VLOOKUP('1.DATOS-PROD'!AN$2,'1.PUNTOS'!$A$1:$B$63,2,0),0)</f>
        <v>0</v>
      </c>
      <c r="AF59" s="138">
        <f>IF('1.DATOS-PROD'!AO60="SI",VLOOKUP('1.DATOS-PROD'!AO$2,'1.PUNTOS'!$A$1:$B$63,2,0),0)</f>
        <v>0</v>
      </c>
      <c r="AG59" s="138">
        <f>IF('1.DATOS-PROD'!AP60="SI",VLOOKUP('1.DATOS-PROD'!AP$2,'1.PUNTOS'!$A$1:$B$63,2,0),0)</f>
        <v>0</v>
      </c>
      <c r="AH59" s="138">
        <f>IF('1.DATOS-PROD'!AQ60="SI",VLOOKUP('1.DATOS-PROD'!AQ$2,'1.PUNTOS'!$A$1:$B$63,2,0),0)</f>
        <v>0</v>
      </c>
      <c r="AI59" s="138">
        <f>IF('1.DATOS-PROD'!AR60="SI",VLOOKUP('1.DATOS-PROD'!AR$2,'1.PUNTOS'!$A$1:$B$63,2,0),0)</f>
        <v>0</v>
      </c>
      <c r="AJ59" s="138">
        <f>IF('1.DATOS-PROD'!AS60="SI",VLOOKUP('1.DATOS-PROD'!AS$2,'1.PUNTOS'!$A$1:$B$63,2,0),0)</f>
        <v>0</v>
      </c>
      <c r="AK59" s="138">
        <f>IF('1.DATOS-PROD'!AT60="SI",VLOOKUP('1.DATOS-PROD'!AT$2,'1.PUNTOS'!$A$1:$B$63,2,0),0)</f>
        <v>0</v>
      </c>
      <c r="AL59" s="138">
        <f>IF('1.DATOS-PROD'!AU60="SI",VLOOKUP('1.DATOS-PROD'!AU$2,'1.PUNTOS'!$A$1:$B$63,2,0),0)</f>
        <v>0</v>
      </c>
      <c r="AM59" s="138">
        <f>IF('1.DATOS-PROD'!AV60="SI",VLOOKUP('1.DATOS-PROD'!AV$2,'1.PUNTOS'!$A$1:$B$63,2,0),0)</f>
        <v>0</v>
      </c>
      <c r="AN59" s="138">
        <f>IF('1.DATOS-PROD'!AW60="SI",VLOOKUP('1.DATOS-PROD'!AW$2,'1.PUNTOS'!$A$1:$B$63,2,0),0)</f>
        <v>0</v>
      </c>
      <c r="AO59" s="138">
        <f>IF('1.DATOS-PROD'!AX60="SI",VLOOKUP('1.DATOS-PROD'!AX$2,'1.PUNTOS'!$A$1:$B$63,2,0),0)</f>
        <v>0</v>
      </c>
      <c r="AP59" s="138">
        <f>IF('1.DATOS-PROD'!AY60="SI",VLOOKUP('1.DATOS-PROD'!AY$2,'1.PUNTOS'!$A$1:$B$63,2,0),0)</f>
        <v>0</v>
      </c>
      <c r="AQ59" s="138">
        <f>IF('1.DATOS-PROD'!AZ60="SI",VLOOKUP('1.DATOS-PROD'!AZ$2,'1.PUNTOS'!$A$1:$B$63,2,0),0)</f>
        <v>0</v>
      </c>
      <c r="AR59" s="138">
        <f>IF('1.DATOS-PROD'!BA60="SI",VLOOKUP('1.DATOS-PROD'!BA$2,'1.PUNTOS'!$A$1:$B$63,2,0),0)</f>
        <v>0</v>
      </c>
      <c r="AS59" s="138">
        <f>IF('1.DATOS-PROD'!BB60="SI",VLOOKUP('1.DATOS-PROD'!BB$2,'1.PUNTOS'!$A$1:$B$63,2,0),0)</f>
        <v>0</v>
      </c>
      <c r="AT59" s="138">
        <f>IF('1.DATOS-PROD'!BC60="SI",VLOOKUP('1.DATOS-PROD'!BC$2,'1.PUNTOS'!$A$1:$B$63,2,0),0)</f>
        <v>0</v>
      </c>
      <c r="AU59" s="138">
        <f>IF('1.DATOS-PROD'!BD60="SI",VLOOKUP('1.DATOS-PROD'!BD$2,'1.PUNTOS'!$A$1:$B$63,2,0),0)</f>
        <v>0</v>
      </c>
      <c r="AV59" s="138">
        <f>IF('1.DATOS-PROD'!BE60="SI",VLOOKUP('1.DATOS-PROD'!BE$2,'1.PUNTOS'!$A$1:$B$63,2,0),0)</f>
        <v>0</v>
      </c>
      <c r="AW59" s="138">
        <f>IF('1.DATOS-PROD'!BF60="SI",VLOOKUP('1.DATOS-PROD'!BF$2,'1.PUNTOS'!$A$1:$B$63,2,0),0)</f>
        <v>0</v>
      </c>
      <c r="AX59" s="138">
        <f>IF('1.DATOS-PROD'!BG60="SI",VLOOKUP('1.DATOS-PROD'!BG$2,'1.PUNTOS'!$A$1:$B$63,2,0),0)</f>
        <v>0</v>
      </c>
      <c r="AY59" s="138">
        <f>IF('1.DATOS-PROD'!BH60="SI",VLOOKUP('1.DATOS-PROD'!BH$2,'1.PUNTOS'!$A$1:$B$63,2,0),0)</f>
        <v>0</v>
      </c>
      <c r="AZ59" s="138">
        <f>IF('1.DATOS-PROD'!BI60="SI",VLOOKUP('1.DATOS-PROD'!BI$2,'1.PUNTOS'!$A$1:$B$63,2,0),0)</f>
        <v>0</v>
      </c>
      <c r="BA59" s="138">
        <f>IF('1.DATOS-PROD'!BJ60="SI",VLOOKUP('1.DATOS-PROD'!BJ$2,'1.PUNTOS'!$A$1:$B$63,2,0),0)</f>
        <v>0</v>
      </c>
      <c r="BB59" s="138">
        <f>IF('1.DATOS-PROD'!BK60="SI",VLOOKUP('1.DATOS-PROD'!BK$2,'1.PUNTOS'!$A$1:$B$63,2,0),0)</f>
        <v>0</v>
      </c>
      <c r="BC59" s="138">
        <f>IF('1.DATOS-PROD'!BL60="SI",VLOOKUP('1.DATOS-PROD'!BL$2,'1.PUNTOS'!$A$1:$B$63,2,0),0)</f>
        <v>0</v>
      </c>
      <c r="BD59" s="138">
        <f>IF('1.DATOS-PROD'!BM60="SI",VLOOKUP('1.DATOS-PROD'!BM$2,'1.PUNTOS'!$A$1:$B$63,2,0),0)</f>
        <v>0</v>
      </c>
      <c r="BE59" s="138">
        <f>IF('1.DATOS-PROD'!BN60="SI",VLOOKUP('1.DATOS-PROD'!BN$2,'1.PUNTOS'!$A$1:$B$63,2,0),0)</f>
        <v>0</v>
      </c>
      <c r="BF59" s="138">
        <f>IF('1.DATOS-PROD'!BO60="SI",VLOOKUP('1.DATOS-PROD'!BO$2,'1.PUNTOS'!$A$1:$B$63,2,0),0)</f>
        <v>0</v>
      </c>
      <c r="BG59" s="138">
        <f>IF('1.DATOS-PROD'!BP60="SI",VLOOKUP('1.DATOS-PROD'!BP$2,'1.PUNTOS'!$A$1:$B$63,2,0),0)</f>
        <v>0</v>
      </c>
      <c r="BH59" s="138">
        <f>IF('1.DATOS-PROD'!BQ60="SI",VLOOKUP('1.DATOS-PROD'!BQ$2,'1.PUNTOS'!$A$1:$B$63,2,0),0)</f>
        <v>0</v>
      </c>
      <c r="BI59" s="138">
        <f>IF('1.DATOS-PROD'!BR60="SI",VLOOKUP('1.DATOS-PROD'!BR$2,'1.PUNTOS'!$A$1:$B$63,2,0),0)</f>
        <v>0</v>
      </c>
      <c r="BJ59" s="138">
        <f>IF('1.DATOS-PROD'!BS60="SI",VLOOKUP('1.DATOS-PROD'!BS$2,'1.PUNTOS'!$A$1:$B$63,2,0),0)</f>
        <v>0</v>
      </c>
      <c r="BK59" s="138">
        <f>IF('1.DATOS-PROD'!BT60="SI",VLOOKUP('1.DATOS-PROD'!BT$2,'1.PUNTOS'!$A$1:$B$63,2,0),0)</f>
        <v>0</v>
      </c>
    </row>
    <row r="60" spans="1:63" x14ac:dyDescent="0.25">
      <c r="A60">
        <f>'0.Consolidado general'!$A61</f>
        <v>0</v>
      </c>
      <c r="B60" s="138">
        <f>IF('1.DATOS-PROD'!K61="SI",VLOOKUP('1.DATOS-PROD'!K$2,'1.PUNTOS'!$A$1:$B$63,2,0),0)</f>
        <v>0</v>
      </c>
      <c r="C60" s="138">
        <f>IF('1.DATOS-PROD'!L61="SI",VLOOKUP('1.DATOS-PROD'!L$2,'1.PUNTOS'!$A$1:$B$63,2,0),0)</f>
        <v>0</v>
      </c>
      <c r="D60" s="138">
        <f>IF('1.DATOS-PROD'!M61="SI",VLOOKUP('1.DATOS-PROD'!M$2,'1.PUNTOS'!$A$1:$B$63,2,0),0)</f>
        <v>0</v>
      </c>
      <c r="E60" s="138">
        <f>IF('1.DATOS-PROD'!N61="SI",VLOOKUP('1.DATOS-PROD'!N$2,'1.PUNTOS'!$A$1:$B$63,2,0),0)</f>
        <v>0</v>
      </c>
      <c r="F60" s="138">
        <f>IF('1.DATOS-PROD'!O61="SI",VLOOKUP('1.DATOS-PROD'!O$2,'1.PUNTOS'!$A$1:$B$63,2,0),0)</f>
        <v>0</v>
      </c>
      <c r="G60" s="138">
        <f>IF('1.DATOS-PROD'!P61="SI",VLOOKUP('1.DATOS-PROD'!P$2,'1.PUNTOS'!$A$1:$B$63,2,0),0)</f>
        <v>0</v>
      </c>
      <c r="H60" s="138">
        <f>IF('1.DATOS-PROD'!Q61="SI",VLOOKUP('1.DATOS-PROD'!Q$2,'1.PUNTOS'!$A$1:$B$63,2,0),0)</f>
        <v>0</v>
      </c>
      <c r="I60" s="138">
        <f>IF('1.DATOS-PROD'!R61="SI",VLOOKUP('1.DATOS-PROD'!R$2,'1.PUNTOS'!$A$1:$B$63,2,0),0)</f>
        <v>0</v>
      </c>
      <c r="J60" s="138">
        <f>IF('1.DATOS-PROD'!S61="SI",VLOOKUP('1.DATOS-PROD'!S$2,'1.PUNTOS'!$A$1:$B$63,2,0),0)</f>
        <v>0</v>
      </c>
      <c r="K60" s="138">
        <f>IF('1.DATOS-PROD'!T61="SI",VLOOKUP('1.DATOS-PROD'!T$2,'1.PUNTOS'!$A$1:$B$63,2,0),0)</f>
        <v>0</v>
      </c>
      <c r="L60" s="138">
        <f>IF('1.DATOS-PROD'!U61="SI",VLOOKUP('1.DATOS-PROD'!U$2,'1.PUNTOS'!$A$1:$B$63,2,0),0)</f>
        <v>0</v>
      </c>
      <c r="M60" s="138">
        <f>IF('1.DATOS-PROD'!V61="SI",VLOOKUP('1.DATOS-PROD'!V$2,'1.PUNTOS'!$A$1:$B$63,2,0),0)</f>
        <v>0</v>
      </c>
      <c r="N60" s="138">
        <f>IF('1.DATOS-PROD'!W61="SI",VLOOKUP('1.DATOS-PROD'!W$2,'1.PUNTOS'!$A$1:$B$63,2,0),0)</f>
        <v>0</v>
      </c>
      <c r="O60" s="138">
        <f>IF('1.DATOS-PROD'!X61="SI",VLOOKUP('1.DATOS-PROD'!X$2,'1.PUNTOS'!$A$1:$B$63,2,0),0)</f>
        <v>0</v>
      </c>
      <c r="P60" s="138">
        <f>IF('1.DATOS-PROD'!Y61="SI",VLOOKUP('1.DATOS-PROD'!Y$2,'1.PUNTOS'!$A$1:$B$63,2,0),0)</f>
        <v>0</v>
      </c>
      <c r="Q60" s="138">
        <f>IF('1.DATOS-PROD'!Z61="SI",VLOOKUP('1.DATOS-PROD'!Z$2,'1.PUNTOS'!$A$1:$B$63,2,0),0)</f>
        <v>0</v>
      </c>
      <c r="R60" s="138">
        <f>IF('1.DATOS-PROD'!AA61="SI",VLOOKUP('1.DATOS-PROD'!AA$2,'1.PUNTOS'!$A$1:$B$63,2,0),0)</f>
        <v>0</v>
      </c>
      <c r="S60" s="138">
        <f>IF('1.DATOS-PROD'!AB61="SI",VLOOKUP('1.DATOS-PROD'!AB$2,'1.PUNTOS'!$A$1:$B$63,2,0),0)</f>
        <v>0</v>
      </c>
      <c r="T60" s="138">
        <f>IF('1.DATOS-PROD'!AC61="SI",VLOOKUP('1.DATOS-PROD'!AC$2,'1.PUNTOS'!$A$1:$B$63,2,0),0)</f>
        <v>0</v>
      </c>
      <c r="U60" s="138">
        <f>IF('1.DATOS-PROD'!AD61="SI",VLOOKUP('1.DATOS-PROD'!AD$2,'1.PUNTOS'!$A$1:$B$63,2,0),0)</f>
        <v>0</v>
      </c>
      <c r="V60" s="138">
        <f>IF('1.DATOS-PROD'!AE61="SI",VLOOKUP('1.DATOS-PROD'!AE$2,'1.PUNTOS'!$A$1:$B$63,2,0),0)</f>
        <v>0</v>
      </c>
      <c r="W60" s="138">
        <f>IF('1.DATOS-PROD'!AF61="SI",VLOOKUP('1.DATOS-PROD'!AF$2,'1.PUNTOS'!$A$1:$B$63,2,0),0)</f>
        <v>0</v>
      </c>
      <c r="X60" s="138">
        <f>IF('1.DATOS-PROD'!AG61="SI",VLOOKUP('1.DATOS-PROD'!AG$2,'1.PUNTOS'!$A$1:$B$63,2,0),0)</f>
        <v>0</v>
      </c>
      <c r="Y60" s="138">
        <f>IF('1.DATOS-PROD'!AH61="SI",VLOOKUP('1.DATOS-PROD'!AH$2,'1.PUNTOS'!$A$1:$B$63,2,0),0)</f>
        <v>0</v>
      </c>
      <c r="Z60" s="138">
        <f>IF('1.DATOS-PROD'!AI61="SI",VLOOKUP('1.DATOS-PROD'!AI$2,'1.PUNTOS'!$A$1:$B$63,2,0),0)</f>
        <v>0</v>
      </c>
      <c r="AA60" s="138">
        <f>IF('1.DATOS-PROD'!AJ61="SI",VLOOKUP('1.DATOS-PROD'!AJ$2,'1.PUNTOS'!$A$1:$B$63,2,0),0)</f>
        <v>0</v>
      </c>
      <c r="AB60" s="138">
        <f>IF('1.DATOS-PROD'!AK61="SI",VLOOKUP('1.DATOS-PROD'!AK$2,'1.PUNTOS'!$A$1:$B$63,2,0),0)</f>
        <v>0</v>
      </c>
      <c r="AC60" s="138">
        <f>IF('1.DATOS-PROD'!AL61="SI",VLOOKUP('1.DATOS-PROD'!AL$2,'1.PUNTOS'!$A$1:$B$63,2,0),0)</f>
        <v>0</v>
      </c>
      <c r="AD60" s="138">
        <f>IF('1.DATOS-PROD'!AM61="SI",VLOOKUP('1.DATOS-PROD'!AM$2,'1.PUNTOS'!$A$1:$B$63,2,0),0)</f>
        <v>0</v>
      </c>
      <c r="AE60" s="138">
        <f>IF('1.DATOS-PROD'!AN61="SI",VLOOKUP('1.DATOS-PROD'!AN$2,'1.PUNTOS'!$A$1:$B$63,2,0),0)</f>
        <v>0</v>
      </c>
      <c r="AF60" s="138">
        <f>IF('1.DATOS-PROD'!AO61="SI",VLOOKUP('1.DATOS-PROD'!AO$2,'1.PUNTOS'!$A$1:$B$63,2,0),0)</f>
        <v>0</v>
      </c>
      <c r="AG60" s="138">
        <f>IF('1.DATOS-PROD'!AP61="SI",VLOOKUP('1.DATOS-PROD'!AP$2,'1.PUNTOS'!$A$1:$B$63,2,0),0)</f>
        <v>0</v>
      </c>
      <c r="AH60" s="138">
        <f>IF('1.DATOS-PROD'!AQ61="SI",VLOOKUP('1.DATOS-PROD'!AQ$2,'1.PUNTOS'!$A$1:$B$63,2,0),0)</f>
        <v>0</v>
      </c>
      <c r="AI60" s="138">
        <f>IF('1.DATOS-PROD'!AR61="SI",VLOOKUP('1.DATOS-PROD'!AR$2,'1.PUNTOS'!$A$1:$B$63,2,0),0)</f>
        <v>0</v>
      </c>
      <c r="AJ60" s="138">
        <f>IF('1.DATOS-PROD'!AS61="SI",VLOOKUP('1.DATOS-PROD'!AS$2,'1.PUNTOS'!$A$1:$B$63,2,0),0)</f>
        <v>0</v>
      </c>
      <c r="AK60" s="138">
        <f>IF('1.DATOS-PROD'!AT61="SI",VLOOKUP('1.DATOS-PROD'!AT$2,'1.PUNTOS'!$A$1:$B$63,2,0),0)</f>
        <v>0</v>
      </c>
      <c r="AL60" s="138">
        <f>IF('1.DATOS-PROD'!AU61="SI",VLOOKUP('1.DATOS-PROD'!AU$2,'1.PUNTOS'!$A$1:$B$63,2,0),0)</f>
        <v>0</v>
      </c>
      <c r="AM60" s="138">
        <f>IF('1.DATOS-PROD'!AV61="SI",VLOOKUP('1.DATOS-PROD'!AV$2,'1.PUNTOS'!$A$1:$B$63,2,0),0)</f>
        <v>0</v>
      </c>
      <c r="AN60" s="138">
        <f>IF('1.DATOS-PROD'!AW61="SI",VLOOKUP('1.DATOS-PROD'!AW$2,'1.PUNTOS'!$A$1:$B$63,2,0),0)</f>
        <v>0</v>
      </c>
      <c r="AO60" s="138">
        <f>IF('1.DATOS-PROD'!AX61="SI",VLOOKUP('1.DATOS-PROD'!AX$2,'1.PUNTOS'!$A$1:$B$63,2,0),0)</f>
        <v>0</v>
      </c>
      <c r="AP60" s="138">
        <f>IF('1.DATOS-PROD'!AY61="SI",VLOOKUP('1.DATOS-PROD'!AY$2,'1.PUNTOS'!$A$1:$B$63,2,0),0)</f>
        <v>0</v>
      </c>
      <c r="AQ60" s="138">
        <f>IF('1.DATOS-PROD'!AZ61="SI",VLOOKUP('1.DATOS-PROD'!AZ$2,'1.PUNTOS'!$A$1:$B$63,2,0),0)</f>
        <v>0</v>
      </c>
      <c r="AR60" s="138">
        <f>IF('1.DATOS-PROD'!BA61="SI",VLOOKUP('1.DATOS-PROD'!BA$2,'1.PUNTOS'!$A$1:$B$63,2,0),0)</f>
        <v>0</v>
      </c>
      <c r="AS60" s="138">
        <f>IF('1.DATOS-PROD'!BB61="SI",VLOOKUP('1.DATOS-PROD'!BB$2,'1.PUNTOS'!$A$1:$B$63,2,0),0)</f>
        <v>0</v>
      </c>
      <c r="AT60" s="138">
        <f>IF('1.DATOS-PROD'!BC61="SI",VLOOKUP('1.DATOS-PROD'!BC$2,'1.PUNTOS'!$A$1:$B$63,2,0),0)</f>
        <v>0</v>
      </c>
      <c r="AU60" s="138">
        <f>IF('1.DATOS-PROD'!BD61="SI",VLOOKUP('1.DATOS-PROD'!BD$2,'1.PUNTOS'!$A$1:$B$63,2,0),0)</f>
        <v>0</v>
      </c>
      <c r="AV60" s="138">
        <f>IF('1.DATOS-PROD'!BE61="SI",VLOOKUP('1.DATOS-PROD'!BE$2,'1.PUNTOS'!$A$1:$B$63,2,0),0)</f>
        <v>0</v>
      </c>
      <c r="AW60" s="138">
        <f>IF('1.DATOS-PROD'!BF61="SI",VLOOKUP('1.DATOS-PROD'!BF$2,'1.PUNTOS'!$A$1:$B$63,2,0),0)</f>
        <v>0</v>
      </c>
      <c r="AX60" s="138">
        <f>IF('1.DATOS-PROD'!BG61="SI",VLOOKUP('1.DATOS-PROD'!BG$2,'1.PUNTOS'!$A$1:$B$63,2,0),0)</f>
        <v>0</v>
      </c>
      <c r="AY60" s="138">
        <f>IF('1.DATOS-PROD'!BH61="SI",VLOOKUP('1.DATOS-PROD'!BH$2,'1.PUNTOS'!$A$1:$B$63,2,0),0)</f>
        <v>0</v>
      </c>
      <c r="AZ60" s="138">
        <f>IF('1.DATOS-PROD'!BI61="SI",VLOOKUP('1.DATOS-PROD'!BI$2,'1.PUNTOS'!$A$1:$B$63,2,0),0)</f>
        <v>0</v>
      </c>
      <c r="BA60" s="138">
        <f>IF('1.DATOS-PROD'!BJ61="SI",VLOOKUP('1.DATOS-PROD'!BJ$2,'1.PUNTOS'!$A$1:$B$63,2,0),0)</f>
        <v>0</v>
      </c>
      <c r="BB60" s="138">
        <f>IF('1.DATOS-PROD'!BK61="SI",VLOOKUP('1.DATOS-PROD'!BK$2,'1.PUNTOS'!$A$1:$B$63,2,0),0)</f>
        <v>0</v>
      </c>
      <c r="BC60" s="138">
        <f>IF('1.DATOS-PROD'!BL61="SI",VLOOKUP('1.DATOS-PROD'!BL$2,'1.PUNTOS'!$A$1:$B$63,2,0),0)</f>
        <v>0</v>
      </c>
      <c r="BD60" s="138">
        <f>IF('1.DATOS-PROD'!BM61="SI",VLOOKUP('1.DATOS-PROD'!BM$2,'1.PUNTOS'!$A$1:$B$63,2,0),0)</f>
        <v>0</v>
      </c>
      <c r="BE60" s="138">
        <f>IF('1.DATOS-PROD'!BN61="SI",VLOOKUP('1.DATOS-PROD'!BN$2,'1.PUNTOS'!$A$1:$B$63,2,0),0)</f>
        <v>0</v>
      </c>
      <c r="BF60" s="138">
        <f>IF('1.DATOS-PROD'!BO61="SI",VLOOKUP('1.DATOS-PROD'!BO$2,'1.PUNTOS'!$A$1:$B$63,2,0),0)</f>
        <v>0</v>
      </c>
      <c r="BG60" s="138">
        <f>IF('1.DATOS-PROD'!BP61="SI",VLOOKUP('1.DATOS-PROD'!BP$2,'1.PUNTOS'!$A$1:$B$63,2,0),0)</f>
        <v>0</v>
      </c>
      <c r="BH60" s="138">
        <f>IF('1.DATOS-PROD'!BQ61="SI",VLOOKUP('1.DATOS-PROD'!BQ$2,'1.PUNTOS'!$A$1:$B$63,2,0),0)</f>
        <v>0</v>
      </c>
      <c r="BI60" s="138">
        <f>IF('1.DATOS-PROD'!BR61="SI",VLOOKUP('1.DATOS-PROD'!BR$2,'1.PUNTOS'!$A$1:$B$63,2,0),0)</f>
        <v>0</v>
      </c>
      <c r="BJ60" s="138">
        <f>IF('1.DATOS-PROD'!BS61="SI",VLOOKUP('1.DATOS-PROD'!BS$2,'1.PUNTOS'!$A$1:$B$63,2,0),0)</f>
        <v>0</v>
      </c>
      <c r="BK60" s="138">
        <f>IF('1.DATOS-PROD'!BT61="SI",VLOOKUP('1.DATOS-PROD'!BT$2,'1.PUNTOS'!$A$1:$B$63,2,0),0)</f>
        <v>0</v>
      </c>
    </row>
    <row r="61" spans="1:63" x14ac:dyDescent="0.25">
      <c r="A61">
        <f>'0.Consolidado general'!$A62</f>
        <v>0</v>
      </c>
      <c r="B61" s="138">
        <f>IF('1.DATOS-PROD'!K62="SI",VLOOKUP('1.DATOS-PROD'!K$2,'1.PUNTOS'!$A$1:$B$63,2,0),0)</f>
        <v>0</v>
      </c>
      <c r="C61" s="138">
        <f>IF('1.DATOS-PROD'!L62="SI",VLOOKUP('1.DATOS-PROD'!L$2,'1.PUNTOS'!$A$1:$B$63,2,0),0)</f>
        <v>0</v>
      </c>
      <c r="D61" s="138">
        <f>IF('1.DATOS-PROD'!M62="SI",VLOOKUP('1.DATOS-PROD'!M$2,'1.PUNTOS'!$A$1:$B$63,2,0),0)</f>
        <v>0</v>
      </c>
      <c r="E61" s="138">
        <f>IF('1.DATOS-PROD'!N62="SI",VLOOKUP('1.DATOS-PROD'!N$2,'1.PUNTOS'!$A$1:$B$63,2,0),0)</f>
        <v>0</v>
      </c>
      <c r="F61" s="138">
        <f>IF('1.DATOS-PROD'!O62="SI",VLOOKUP('1.DATOS-PROD'!O$2,'1.PUNTOS'!$A$1:$B$63,2,0),0)</f>
        <v>0</v>
      </c>
      <c r="G61" s="138">
        <f>IF('1.DATOS-PROD'!P62="SI",VLOOKUP('1.DATOS-PROD'!P$2,'1.PUNTOS'!$A$1:$B$63,2,0),0)</f>
        <v>0</v>
      </c>
      <c r="H61" s="138">
        <f>IF('1.DATOS-PROD'!Q62="SI",VLOOKUP('1.DATOS-PROD'!Q$2,'1.PUNTOS'!$A$1:$B$63,2,0),0)</f>
        <v>0</v>
      </c>
      <c r="I61" s="138">
        <f>IF('1.DATOS-PROD'!R62="SI",VLOOKUP('1.DATOS-PROD'!R$2,'1.PUNTOS'!$A$1:$B$63,2,0),0)</f>
        <v>0</v>
      </c>
      <c r="J61" s="138">
        <f>IF('1.DATOS-PROD'!S62="SI",VLOOKUP('1.DATOS-PROD'!S$2,'1.PUNTOS'!$A$1:$B$63,2,0),0)</f>
        <v>0</v>
      </c>
      <c r="K61" s="138">
        <f>IF('1.DATOS-PROD'!T62="SI",VLOOKUP('1.DATOS-PROD'!T$2,'1.PUNTOS'!$A$1:$B$63,2,0),0)</f>
        <v>0</v>
      </c>
      <c r="L61" s="138">
        <f>IF('1.DATOS-PROD'!U62="SI",VLOOKUP('1.DATOS-PROD'!U$2,'1.PUNTOS'!$A$1:$B$63,2,0),0)</f>
        <v>0</v>
      </c>
      <c r="M61" s="138">
        <f>IF('1.DATOS-PROD'!V62="SI",VLOOKUP('1.DATOS-PROD'!V$2,'1.PUNTOS'!$A$1:$B$63,2,0),0)</f>
        <v>0</v>
      </c>
      <c r="N61" s="138">
        <f>IF('1.DATOS-PROD'!W62="SI",VLOOKUP('1.DATOS-PROD'!W$2,'1.PUNTOS'!$A$1:$B$63,2,0),0)</f>
        <v>0</v>
      </c>
      <c r="O61" s="138">
        <f>IF('1.DATOS-PROD'!X62="SI",VLOOKUP('1.DATOS-PROD'!X$2,'1.PUNTOS'!$A$1:$B$63,2,0),0)</f>
        <v>0</v>
      </c>
      <c r="P61" s="138">
        <f>IF('1.DATOS-PROD'!Y62="SI",VLOOKUP('1.DATOS-PROD'!Y$2,'1.PUNTOS'!$A$1:$B$63,2,0),0)</f>
        <v>0</v>
      </c>
      <c r="Q61" s="138">
        <f>IF('1.DATOS-PROD'!Z62="SI",VLOOKUP('1.DATOS-PROD'!Z$2,'1.PUNTOS'!$A$1:$B$63,2,0),0)</f>
        <v>0</v>
      </c>
      <c r="R61" s="138">
        <f>IF('1.DATOS-PROD'!AA62="SI",VLOOKUP('1.DATOS-PROD'!AA$2,'1.PUNTOS'!$A$1:$B$63,2,0),0)</f>
        <v>0</v>
      </c>
      <c r="S61" s="138">
        <f>IF('1.DATOS-PROD'!AB62="SI",VLOOKUP('1.DATOS-PROD'!AB$2,'1.PUNTOS'!$A$1:$B$63,2,0),0)</f>
        <v>0</v>
      </c>
      <c r="T61" s="138">
        <f>IF('1.DATOS-PROD'!AC62="SI",VLOOKUP('1.DATOS-PROD'!AC$2,'1.PUNTOS'!$A$1:$B$63,2,0),0)</f>
        <v>0</v>
      </c>
      <c r="U61" s="138">
        <f>IF('1.DATOS-PROD'!AD62="SI",VLOOKUP('1.DATOS-PROD'!AD$2,'1.PUNTOS'!$A$1:$B$63,2,0),0)</f>
        <v>0</v>
      </c>
      <c r="V61" s="138">
        <f>IF('1.DATOS-PROD'!AE62="SI",VLOOKUP('1.DATOS-PROD'!AE$2,'1.PUNTOS'!$A$1:$B$63,2,0),0)</f>
        <v>0</v>
      </c>
      <c r="W61" s="138">
        <f>IF('1.DATOS-PROD'!AF62="SI",VLOOKUP('1.DATOS-PROD'!AF$2,'1.PUNTOS'!$A$1:$B$63,2,0),0)</f>
        <v>0</v>
      </c>
      <c r="X61" s="138">
        <f>IF('1.DATOS-PROD'!AG62="SI",VLOOKUP('1.DATOS-PROD'!AG$2,'1.PUNTOS'!$A$1:$B$63,2,0),0)</f>
        <v>0</v>
      </c>
      <c r="Y61" s="138">
        <f>IF('1.DATOS-PROD'!AH62="SI",VLOOKUP('1.DATOS-PROD'!AH$2,'1.PUNTOS'!$A$1:$B$63,2,0),0)</f>
        <v>0</v>
      </c>
      <c r="Z61" s="138">
        <f>IF('1.DATOS-PROD'!AI62="SI",VLOOKUP('1.DATOS-PROD'!AI$2,'1.PUNTOS'!$A$1:$B$63,2,0),0)</f>
        <v>0</v>
      </c>
      <c r="AA61" s="138">
        <f>IF('1.DATOS-PROD'!AJ62="SI",VLOOKUP('1.DATOS-PROD'!AJ$2,'1.PUNTOS'!$A$1:$B$63,2,0),0)</f>
        <v>0</v>
      </c>
      <c r="AB61" s="138">
        <f>IF('1.DATOS-PROD'!AK62="SI",VLOOKUP('1.DATOS-PROD'!AK$2,'1.PUNTOS'!$A$1:$B$63,2,0),0)</f>
        <v>0</v>
      </c>
      <c r="AC61" s="138">
        <f>IF('1.DATOS-PROD'!AL62="SI",VLOOKUP('1.DATOS-PROD'!AL$2,'1.PUNTOS'!$A$1:$B$63,2,0),0)</f>
        <v>0</v>
      </c>
      <c r="AD61" s="138">
        <f>IF('1.DATOS-PROD'!AM62="SI",VLOOKUP('1.DATOS-PROD'!AM$2,'1.PUNTOS'!$A$1:$B$63,2,0),0)</f>
        <v>0</v>
      </c>
      <c r="AE61" s="138">
        <f>IF('1.DATOS-PROD'!AN62="SI",VLOOKUP('1.DATOS-PROD'!AN$2,'1.PUNTOS'!$A$1:$B$63,2,0),0)</f>
        <v>0</v>
      </c>
      <c r="AF61" s="138">
        <f>IF('1.DATOS-PROD'!AO62="SI",VLOOKUP('1.DATOS-PROD'!AO$2,'1.PUNTOS'!$A$1:$B$63,2,0),0)</f>
        <v>0</v>
      </c>
      <c r="AG61" s="138">
        <f>IF('1.DATOS-PROD'!AP62="SI",VLOOKUP('1.DATOS-PROD'!AP$2,'1.PUNTOS'!$A$1:$B$63,2,0),0)</f>
        <v>0</v>
      </c>
      <c r="AH61" s="138">
        <f>IF('1.DATOS-PROD'!AQ62="SI",VLOOKUP('1.DATOS-PROD'!AQ$2,'1.PUNTOS'!$A$1:$B$63,2,0),0)</f>
        <v>0</v>
      </c>
      <c r="AI61" s="138">
        <f>IF('1.DATOS-PROD'!AR62="SI",VLOOKUP('1.DATOS-PROD'!AR$2,'1.PUNTOS'!$A$1:$B$63,2,0),0)</f>
        <v>0</v>
      </c>
      <c r="AJ61" s="138">
        <f>IF('1.DATOS-PROD'!AS62="SI",VLOOKUP('1.DATOS-PROD'!AS$2,'1.PUNTOS'!$A$1:$B$63,2,0),0)</f>
        <v>0</v>
      </c>
      <c r="AK61" s="138">
        <f>IF('1.DATOS-PROD'!AT62="SI",VLOOKUP('1.DATOS-PROD'!AT$2,'1.PUNTOS'!$A$1:$B$63,2,0),0)</f>
        <v>0</v>
      </c>
      <c r="AL61" s="138">
        <f>IF('1.DATOS-PROD'!AU62="SI",VLOOKUP('1.DATOS-PROD'!AU$2,'1.PUNTOS'!$A$1:$B$63,2,0),0)</f>
        <v>0</v>
      </c>
      <c r="AM61" s="138">
        <f>IF('1.DATOS-PROD'!AV62="SI",VLOOKUP('1.DATOS-PROD'!AV$2,'1.PUNTOS'!$A$1:$B$63,2,0),0)</f>
        <v>0</v>
      </c>
      <c r="AN61" s="138">
        <f>IF('1.DATOS-PROD'!AW62="SI",VLOOKUP('1.DATOS-PROD'!AW$2,'1.PUNTOS'!$A$1:$B$63,2,0),0)</f>
        <v>0</v>
      </c>
      <c r="AO61" s="138">
        <f>IF('1.DATOS-PROD'!AX62="SI",VLOOKUP('1.DATOS-PROD'!AX$2,'1.PUNTOS'!$A$1:$B$63,2,0),0)</f>
        <v>0</v>
      </c>
      <c r="AP61" s="138">
        <f>IF('1.DATOS-PROD'!AY62="SI",VLOOKUP('1.DATOS-PROD'!AY$2,'1.PUNTOS'!$A$1:$B$63,2,0),0)</f>
        <v>0</v>
      </c>
      <c r="AQ61" s="138">
        <f>IF('1.DATOS-PROD'!AZ62="SI",VLOOKUP('1.DATOS-PROD'!AZ$2,'1.PUNTOS'!$A$1:$B$63,2,0),0)</f>
        <v>0</v>
      </c>
      <c r="AR61" s="138">
        <f>IF('1.DATOS-PROD'!BA62="SI",VLOOKUP('1.DATOS-PROD'!BA$2,'1.PUNTOS'!$A$1:$B$63,2,0),0)</f>
        <v>0</v>
      </c>
      <c r="AS61" s="138">
        <f>IF('1.DATOS-PROD'!BB62="SI",VLOOKUP('1.DATOS-PROD'!BB$2,'1.PUNTOS'!$A$1:$B$63,2,0),0)</f>
        <v>0</v>
      </c>
      <c r="AT61" s="138">
        <f>IF('1.DATOS-PROD'!BC62="SI",VLOOKUP('1.DATOS-PROD'!BC$2,'1.PUNTOS'!$A$1:$B$63,2,0),0)</f>
        <v>0</v>
      </c>
      <c r="AU61" s="138">
        <f>IF('1.DATOS-PROD'!BD62="SI",VLOOKUP('1.DATOS-PROD'!BD$2,'1.PUNTOS'!$A$1:$B$63,2,0),0)</f>
        <v>0</v>
      </c>
      <c r="AV61" s="138">
        <f>IF('1.DATOS-PROD'!BE62="SI",VLOOKUP('1.DATOS-PROD'!BE$2,'1.PUNTOS'!$A$1:$B$63,2,0),0)</f>
        <v>0</v>
      </c>
      <c r="AW61" s="138">
        <f>IF('1.DATOS-PROD'!BF62="SI",VLOOKUP('1.DATOS-PROD'!BF$2,'1.PUNTOS'!$A$1:$B$63,2,0),0)</f>
        <v>0</v>
      </c>
      <c r="AX61" s="138">
        <f>IF('1.DATOS-PROD'!BG62="SI",VLOOKUP('1.DATOS-PROD'!BG$2,'1.PUNTOS'!$A$1:$B$63,2,0),0)</f>
        <v>0</v>
      </c>
      <c r="AY61" s="138">
        <f>IF('1.DATOS-PROD'!BH62="SI",VLOOKUP('1.DATOS-PROD'!BH$2,'1.PUNTOS'!$A$1:$B$63,2,0),0)</f>
        <v>0</v>
      </c>
      <c r="AZ61" s="138">
        <f>IF('1.DATOS-PROD'!BI62="SI",VLOOKUP('1.DATOS-PROD'!BI$2,'1.PUNTOS'!$A$1:$B$63,2,0),0)</f>
        <v>0</v>
      </c>
      <c r="BA61" s="138">
        <f>IF('1.DATOS-PROD'!BJ62="SI",VLOOKUP('1.DATOS-PROD'!BJ$2,'1.PUNTOS'!$A$1:$B$63,2,0),0)</f>
        <v>0</v>
      </c>
      <c r="BB61" s="138">
        <f>IF('1.DATOS-PROD'!BK62="SI",VLOOKUP('1.DATOS-PROD'!BK$2,'1.PUNTOS'!$A$1:$B$63,2,0),0)</f>
        <v>0</v>
      </c>
      <c r="BC61" s="138">
        <f>IF('1.DATOS-PROD'!BL62="SI",VLOOKUP('1.DATOS-PROD'!BL$2,'1.PUNTOS'!$A$1:$B$63,2,0),0)</f>
        <v>0</v>
      </c>
      <c r="BD61" s="138">
        <f>IF('1.DATOS-PROD'!BM62="SI",VLOOKUP('1.DATOS-PROD'!BM$2,'1.PUNTOS'!$A$1:$B$63,2,0),0)</f>
        <v>0</v>
      </c>
      <c r="BE61" s="138">
        <f>IF('1.DATOS-PROD'!BN62="SI",VLOOKUP('1.DATOS-PROD'!BN$2,'1.PUNTOS'!$A$1:$B$63,2,0),0)</f>
        <v>0</v>
      </c>
      <c r="BF61" s="138">
        <f>IF('1.DATOS-PROD'!BO62="SI",VLOOKUP('1.DATOS-PROD'!BO$2,'1.PUNTOS'!$A$1:$B$63,2,0),0)</f>
        <v>0</v>
      </c>
      <c r="BG61" s="138">
        <f>IF('1.DATOS-PROD'!BP62="SI",VLOOKUP('1.DATOS-PROD'!BP$2,'1.PUNTOS'!$A$1:$B$63,2,0),0)</f>
        <v>0</v>
      </c>
      <c r="BH61" s="138">
        <f>IF('1.DATOS-PROD'!BQ62="SI",VLOOKUP('1.DATOS-PROD'!BQ$2,'1.PUNTOS'!$A$1:$B$63,2,0),0)</f>
        <v>0</v>
      </c>
      <c r="BI61" s="138">
        <f>IF('1.DATOS-PROD'!BR62="SI",VLOOKUP('1.DATOS-PROD'!BR$2,'1.PUNTOS'!$A$1:$B$63,2,0),0)</f>
        <v>0</v>
      </c>
      <c r="BJ61" s="138">
        <f>IF('1.DATOS-PROD'!BS62="SI",VLOOKUP('1.DATOS-PROD'!BS$2,'1.PUNTOS'!$A$1:$B$63,2,0),0)</f>
        <v>0</v>
      </c>
      <c r="BK61" s="138">
        <f>IF('1.DATOS-PROD'!BT62="SI",VLOOKUP('1.DATOS-PROD'!BT$2,'1.PUNTOS'!$A$1:$B$63,2,0),0)</f>
        <v>0</v>
      </c>
    </row>
    <row r="62" spans="1:63" x14ac:dyDescent="0.25">
      <c r="A62">
        <f>'0.Consolidado general'!$A63</f>
        <v>0</v>
      </c>
      <c r="B62" s="138">
        <f>IF('1.DATOS-PROD'!K63="SI",VLOOKUP('1.DATOS-PROD'!K$2,'1.PUNTOS'!$A$1:$B$63,2,0),0)</f>
        <v>0</v>
      </c>
      <c r="C62" s="138">
        <f>IF('1.DATOS-PROD'!L63="SI",VLOOKUP('1.DATOS-PROD'!L$2,'1.PUNTOS'!$A$1:$B$63,2,0),0)</f>
        <v>0</v>
      </c>
      <c r="D62" s="138">
        <f>IF('1.DATOS-PROD'!M63="SI",VLOOKUP('1.DATOS-PROD'!M$2,'1.PUNTOS'!$A$1:$B$63,2,0),0)</f>
        <v>0</v>
      </c>
      <c r="E62" s="138">
        <f>IF('1.DATOS-PROD'!N63="SI",VLOOKUP('1.DATOS-PROD'!N$2,'1.PUNTOS'!$A$1:$B$63,2,0),0)</f>
        <v>0</v>
      </c>
      <c r="F62" s="138">
        <f>IF('1.DATOS-PROD'!O63="SI",VLOOKUP('1.DATOS-PROD'!O$2,'1.PUNTOS'!$A$1:$B$63,2,0),0)</f>
        <v>0</v>
      </c>
      <c r="G62" s="138">
        <f>IF('1.DATOS-PROD'!P63="SI",VLOOKUP('1.DATOS-PROD'!P$2,'1.PUNTOS'!$A$1:$B$63,2,0),0)</f>
        <v>0</v>
      </c>
      <c r="H62" s="138">
        <f>IF('1.DATOS-PROD'!Q63="SI",VLOOKUP('1.DATOS-PROD'!Q$2,'1.PUNTOS'!$A$1:$B$63,2,0),0)</f>
        <v>0</v>
      </c>
      <c r="I62" s="138">
        <f>IF('1.DATOS-PROD'!R63="SI",VLOOKUP('1.DATOS-PROD'!R$2,'1.PUNTOS'!$A$1:$B$63,2,0),0)</f>
        <v>0</v>
      </c>
      <c r="J62" s="138">
        <f>IF('1.DATOS-PROD'!S63="SI",VLOOKUP('1.DATOS-PROD'!S$2,'1.PUNTOS'!$A$1:$B$63,2,0),0)</f>
        <v>0</v>
      </c>
      <c r="K62" s="138">
        <f>IF('1.DATOS-PROD'!T63="SI",VLOOKUP('1.DATOS-PROD'!T$2,'1.PUNTOS'!$A$1:$B$63,2,0),0)</f>
        <v>0</v>
      </c>
      <c r="L62" s="138">
        <f>IF('1.DATOS-PROD'!U63="SI",VLOOKUP('1.DATOS-PROD'!U$2,'1.PUNTOS'!$A$1:$B$63,2,0),0)</f>
        <v>0</v>
      </c>
      <c r="M62" s="138">
        <f>IF('1.DATOS-PROD'!V63="SI",VLOOKUP('1.DATOS-PROD'!V$2,'1.PUNTOS'!$A$1:$B$63,2,0),0)</f>
        <v>0</v>
      </c>
      <c r="N62" s="138">
        <f>IF('1.DATOS-PROD'!W63="SI",VLOOKUP('1.DATOS-PROD'!W$2,'1.PUNTOS'!$A$1:$B$63,2,0),0)</f>
        <v>0</v>
      </c>
      <c r="O62" s="138">
        <f>IF('1.DATOS-PROD'!X63="SI",VLOOKUP('1.DATOS-PROD'!X$2,'1.PUNTOS'!$A$1:$B$63,2,0),0)</f>
        <v>0</v>
      </c>
      <c r="P62" s="138">
        <f>IF('1.DATOS-PROD'!Y63="SI",VLOOKUP('1.DATOS-PROD'!Y$2,'1.PUNTOS'!$A$1:$B$63,2,0),0)</f>
        <v>0</v>
      </c>
      <c r="Q62" s="138">
        <f>IF('1.DATOS-PROD'!Z63="SI",VLOOKUP('1.DATOS-PROD'!Z$2,'1.PUNTOS'!$A$1:$B$63,2,0),0)</f>
        <v>0</v>
      </c>
      <c r="R62" s="138">
        <f>IF('1.DATOS-PROD'!AA63="SI",VLOOKUP('1.DATOS-PROD'!AA$2,'1.PUNTOS'!$A$1:$B$63,2,0),0)</f>
        <v>0</v>
      </c>
      <c r="S62" s="138">
        <f>IF('1.DATOS-PROD'!AB63="SI",VLOOKUP('1.DATOS-PROD'!AB$2,'1.PUNTOS'!$A$1:$B$63,2,0),0)</f>
        <v>0</v>
      </c>
      <c r="T62" s="138">
        <f>IF('1.DATOS-PROD'!AC63="SI",VLOOKUP('1.DATOS-PROD'!AC$2,'1.PUNTOS'!$A$1:$B$63,2,0),0)</f>
        <v>0</v>
      </c>
      <c r="U62" s="138">
        <f>IF('1.DATOS-PROD'!AD63="SI",VLOOKUP('1.DATOS-PROD'!AD$2,'1.PUNTOS'!$A$1:$B$63,2,0),0)</f>
        <v>0</v>
      </c>
      <c r="V62" s="138">
        <f>IF('1.DATOS-PROD'!AE63="SI",VLOOKUP('1.DATOS-PROD'!AE$2,'1.PUNTOS'!$A$1:$B$63,2,0),0)</f>
        <v>0</v>
      </c>
      <c r="W62" s="138">
        <f>IF('1.DATOS-PROD'!AF63="SI",VLOOKUP('1.DATOS-PROD'!AF$2,'1.PUNTOS'!$A$1:$B$63,2,0),0)</f>
        <v>0</v>
      </c>
      <c r="X62" s="138">
        <f>IF('1.DATOS-PROD'!AG63="SI",VLOOKUP('1.DATOS-PROD'!AG$2,'1.PUNTOS'!$A$1:$B$63,2,0),0)</f>
        <v>0</v>
      </c>
      <c r="Y62" s="138">
        <f>IF('1.DATOS-PROD'!AH63="SI",VLOOKUP('1.DATOS-PROD'!AH$2,'1.PUNTOS'!$A$1:$B$63,2,0),0)</f>
        <v>0</v>
      </c>
      <c r="Z62" s="138">
        <f>IF('1.DATOS-PROD'!AI63="SI",VLOOKUP('1.DATOS-PROD'!AI$2,'1.PUNTOS'!$A$1:$B$63,2,0),0)</f>
        <v>0</v>
      </c>
      <c r="AA62" s="138">
        <f>IF('1.DATOS-PROD'!AJ63="SI",VLOOKUP('1.DATOS-PROD'!AJ$2,'1.PUNTOS'!$A$1:$B$63,2,0),0)</f>
        <v>0</v>
      </c>
      <c r="AB62" s="138">
        <f>IF('1.DATOS-PROD'!AK63="SI",VLOOKUP('1.DATOS-PROD'!AK$2,'1.PUNTOS'!$A$1:$B$63,2,0),0)</f>
        <v>0</v>
      </c>
      <c r="AC62" s="138">
        <f>IF('1.DATOS-PROD'!AL63="SI",VLOOKUP('1.DATOS-PROD'!AL$2,'1.PUNTOS'!$A$1:$B$63,2,0),0)</f>
        <v>0</v>
      </c>
      <c r="AD62" s="138">
        <f>IF('1.DATOS-PROD'!AM63="SI",VLOOKUP('1.DATOS-PROD'!AM$2,'1.PUNTOS'!$A$1:$B$63,2,0),0)</f>
        <v>0</v>
      </c>
      <c r="AE62" s="138">
        <f>IF('1.DATOS-PROD'!AN63="SI",VLOOKUP('1.DATOS-PROD'!AN$2,'1.PUNTOS'!$A$1:$B$63,2,0),0)</f>
        <v>0</v>
      </c>
      <c r="AF62" s="138">
        <f>IF('1.DATOS-PROD'!AO63="SI",VLOOKUP('1.DATOS-PROD'!AO$2,'1.PUNTOS'!$A$1:$B$63,2,0),0)</f>
        <v>0</v>
      </c>
      <c r="AG62" s="138">
        <f>IF('1.DATOS-PROD'!AP63="SI",VLOOKUP('1.DATOS-PROD'!AP$2,'1.PUNTOS'!$A$1:$B$63,2,0),0)</f>
        <v>0</v>
      </c>
      <c r="AH62" s="138">
        <f>IF('1.DATOS-PROD'!AQ63="SI",VLOOKUP('1.DATOS-PROD'!AQ$2,'1.PUNTOS'!$A$1:$B$63,2,0),0)</f>
        <v>0</v>
      </c>
      <c r="AI62" s="138">
        <f>IF('1.DATOS-PROD'!AR63="SI",VLOOKUP('1.DATOS-PROD'!AR$2,'1.PUNTOS'!$A$1:$B$63,2,0),0)</f>
        <v>0</v>
      </c>
      <c r="AJ62" s="138">
        <f>IF('1.DATOS-PROD'!AS63="SI",VLOOKUP('1.DATOS-PROD'!AS$2,'1.PUNTOS'!$A$1:$B$63,2,0),0)</f>
        <v>0</v>
      </c>
      <c r="AK62" s="138">
        <f>IF('1.DATOS-PROD'!AT63="SI",VLOOKUP('1.DATOS-PROD'!AT$2,'1.PUNTOS'!$A$1:$B$63,2,0),0)</f>
        <v>0</v>
      </c>
      <c r="AL62" s="138">
        <f>IF('1.DATOS-PROD'!AU63="SI",VLOOKUP('1.DATOS-PROD'!AU$2,'1.PUNTOS'!$A$1:$B$63,2,0),0)</f>
        <v>0</v>
      </c>
      <c r="AM62" s="138">
        <f>IF('1.DATOS-PROD'!AV63="SI",VLOOKUP('1.DATOS-PROD'!AV$2,'1.PUNTOS'!$A$1:$B$63,2,0),0)</f>
        <v>0</v>
      </c>
      <c r="AN62" s="138">
        <f>IF('1.DATOS-PROD'!AW63="SI",VLOOKUP('1.DATOS-PROD'!AW$2,'1.PUNTOS'!$A$1:$B$63,2,0),0)</f>
        <v>0</v>
      </c>
      <c r="AO62" s="138">
        <f>IF('1.DATOS-PROD'!AX63="SI",VLOOKUP('1.DATOS-PROD'!AX$2,'1.PUNTOS'!$A$1:$B$63,2,0),0)</f>
        <v>0</v>
      </c>
      <c r="AP62" s="138">
        <f>IF('1.DATOS-PROD'!AY63="SI",VLOOKUP('1.DATOS-PROD'!AY$2,'1.PUNTOS'!$A$1:$B$63,2,0),0)</f>
        <v>0</v>
      </c>
      <c r="AQ62" s="138">
        <f>IF('1.DATOS-PROD'!AZ63="SI",VLOOKUP('1.DATOS-PROD'!AZ$2,'1.PUNTOS'!$A$1:$B$63,2,0),0)</f>
        <v>0</v>
      </c>
      <c r="AR62" s="138">
        <f>IF('1.DATOS-PROD'!BA63="SI",VLOOKUP('1.DATOS-PROD'!BA$2,'1.PUNTOS'!$A$1:$B$63,2,0),0)</f>
        <v>0</v>
      </c>
      <c r="AS62" s="138">
        <f>IF('1.DATOS-PROD'!BB63="SI",VLOOKUP('1.DATOS-PROD'!BB$2,'1.PUNTOS'!$A$1:$B$63,2,0),0)</f>
        <v>0</v>
      </c>
      <c r="AT62" s="138">
        <f>IF('1.DATOS-PROD'!BC63="SI",VLOOKUP('1.DATOS-PROD'!BC$2,'1.PUNTOS'!$A$1:$B$63,2,0),0)</f>
        <v>0</v>
      </c>
      <c r="AU62" s="138">
        <f>IF('1.DATOS-PROD'!BD63="SI",VLOOKUP('1.DATOS-PROD'!BD$2,'1.PUNTOS'!$A$1:$B$63,2,0),0)</f>
        <v>0</v>
      </c>
      <c r="AV62" s="138">
        <f>IF('1.DATOS-PROD'!BE63="SI",VLOOKUP('1.DATOS-PROD'!BE$2,'1.PUNTOS'!$A$1:$B$63,2,0),0)</f>
        <v>0</v>
      </c>
      <c r="AW62" s="138">
        <f>IF('1.DATOS-PROD'!BF63="SI",VLOOKUP('1.DATOS-PROD'!BF$2,'1.PUNTOS'!$A$1:$B$63,2,0),0)</f>
        <v>0</v>
      </c>
      <c r="AX62" s="138">
        <f>IF('1.DATOS-PROD'!BG63="SI",VLOOKUP('1.DATOS-PROD'!BG$2,'1.PUNTOS'!$A$1:$B$63,2,0),0)</f>
        <v>0</v>
      </c>
      <c r="AY62" s="138">
        <f>IF('1.DATOS-PROD'!BH63="SI",VLOOKUP('1.DATOS-PROD'!BH$2,'1.PUNTOS'!$A$1:$B$63,2,0),0)</f>
        <v>0</v>
      </c>
      <c r="AZ62" s="138">
        <f>IF('1.DATOS-PROD'!BI63="SI",VLOOKUP('1.DATOS-PROD'!BI$2,'1.PUNTOS'!$A$1:$B$63,2,0),0)</f>
        <v>0</v>
      </c>
      <c r="BA62" s="138">
        <f>IF('1.DATOS-PROD'!BJ63="SI",VLOOKUP('1.DATOS-PROD'!BJ$2,'1.PUNTOS'!$A$1:$B$63,2,0),0)</f>
        <v>0</v>
      </c>
      <c r="BB62" s="138">
        <f>IF('1.DATOS-PROD'!BK63="SI",VLOOKUP('1.DATOS-PROD'!BK$2,'1.PUNTOS'!$A$1:$B$63,2,0),0)</f>
        <v>0</v>
      </c>
      <c r="BC62" s="138">
        <f>IF('1.DATOS-PROD'!BL63="SI",VLOOKUP('1.DATOS-PROD'!BL$2,'1.PUNTOS'!$A$1:$B$63,2,0),0)</f>
        <v>0</v>
      </c>
      <c r="BD62" s="138">
        <f>IF('1.DATOS-PROD'!BM63="SI",VLOOKUP('1.DATOS-PROD'!BM$2,'1.PUNTOS'!$A$1:$B$63,2,0),0)</f>
        <v>0</v>
      </c>
      <c r="BE62" s="138">
        <f>IF('1.DATOS-PROD'!BN63="SI",VLOOKUP('1.DATOS-PROD'!BN$2,'1.PUNTOS'!$A$1:$B$63,2,0),0)</f>
        <v>0</v>
      </c>
      <c r="BF62" s="138">
        <f>IF('1.DATOS-PROD'!BO63="SI",VLOOKUP('1.DATOS-PROD'!BO$2,'1.PUNTOS'!$A$1:$B$63,2,0),0)</f>
        <v>0</v>
      </c>
      <c r="BG62" s="138">
        <f>IF('1.DATOS-PROD'!BP63="SI",VLOOKUP('1.DATOS-PROD'!BP$2,'1.PUNTOS'!$A$1:$B$63,2,0),0)</f>
        <v>0</v>
      </c>
      <c r="BH62" s="138">
        <f>IF('1.DATOS-PROD'!BQ63="SI",VLOOKUP('1.DATOS-PROD'!BQ$2,'1.PUNTOS'!$A$1:$B$63,2,0),0)</f>
        <v>0</v>
      </c>
      <c r="BI62" s="138">
        <f>IF('1.DATOS-PROD'!BR63="SI",VLOOKUP('1.DATOS-PROD'!BR$2,'1.PUNTOS'!$A$1:$B$63,2,0),0)</f>
        <v>0</v>
      </c>
      <c r="BJ62" s="138">
        <f>IF('1.DATOS-PROD'!BS63="SI",VLOOKUP('1.DATOS-PROD'!BS$2,'1.PUNTOS'!$A$1:$B$63,2,0),0)</f>
        <v>0</v>
      </c>
      <c r="BK62" s="138">
        <f>IF('1.DATOS-PROD'!BT63="SI",VLOOKUP('1.DATOS-PROD'!BT$2,'1.PUNTOS'!$A$1:$B$63,2,0),0)</f>
        <v>0</v>
      </c>
    </row>
    <row r="63" spans="1:63" x14ac:dyDescent="0.25">
      <c r="A63">
        <f>'0.Consolidado general'!$A64</f>
        <v>0</v>
      </c>
      <c r="B63" s="138">
        <f>IF('1.DATOS-PROD'!K64="SI",VLOOKUP('1.DATOS-PROD'!K$2,'1.PUNTOS'!$A$1:$B$63,2,0),0)</f>
        <v>0</v>
      </c>
      <c r="C63" s="138">
        <f>IF('1.DATOS-PROD'!L64="SI",VLOOKUP('1.DATOS-PROD'!L$2,'1.PUNTOS'!$A$1:$B$63,2,0),0)</f>
        <v>0</v>
      </c>
      <c r="D63" s="138">
        <f>IF('1.DATOS-PROD'!M64="SI",VLOOKUP('1.DATOS-PROD'!M$2,'1.PUNTOS'!$A$1:$B$63,2,0),0)</f>
        <v>0</v>
      </c>
      <c r="E63" s="138">
        <f>IF('1.DATOS-PROD'!N64="SI",VLOOKUP('1.DATOS-PROD'!N$2,'1.PUNTOS'!$A$1:$B$63,2,0),0)</f>
        <v>0</v>
      </c>
      <c r="F63" s="138">
        <f>IF('1.DATOS-PROD'!O64="SI",VLOOKUP('1.DATOS-PROD'!O$2,'1.PUNTOS'!$A$1:$B$63,2,0),0)</f>
        <v>0</v>
      </c>
      <c r="G63" s="138">
        <f>IF('1.DATOS-PROD'!P64="SI",VLOOKUP('1.DATOS-PROD'!P$2,'1.PUNTOS'!$A$1:$B$63,2,0),0)</f>
        <v>0</v>
      </c>
      <c r="H63" s="138">
        <f>IF('1.DATOS-PROD'!Q64="SI",VLOOKUP('1.DATOS-PROD'!Q$2,'1.PUNTOS'!$A$1:$B$63,2,0),0)</f>
        <v>0</v>
      </c>
      <c r="I63" s="138">
        <f>IF('1.DATOS-PROD'!R64="SI",VLOOKUP('1.DATOS-PROD'!R$2,'1.PUNTOS'!$A$1:$B$63,2,0),0)</f>
        <v>0</v>
      </c>
      <c r="J63" s="138">
        <f>IF('1.DATOS-PROD'!S64="SI",VLOOKUP('1.DATOS-PROD'!S$2,'1.PUNTOS'!$A$1:$B$63,2,0),0)</f>
        <v>0</v>
      </c>
      <c r="K63" s="138">
        <f>IF('1.DATOS-PROD'!T64="SI",VLOOKUP('1.DATOS-PROD'!T$2,'1.PUNTOS'!$A$1:$B$63,2,0),0)</f>
        <v>0</v>
      </c>
      <c r="L63" s="138">
        <f>IF('1.DATOS-PROD'!U64="SI",VLOOKUP('1.DATOS-PROD'!U$2,'1.PUNTOS'!$A$1:$B$63,2,0),0)</f>
        <v>0</v>
      </c>
      <c r="M63" s="138">
        <f>IF('1.DATOS-PROD'!V64="SI",VLOOKUP('1.DATOS-PROD'!V$2,'1.PUNTOS'!$A$1:$B$63,2,0),0)</f>
        <v>0</v>
      </c>
      <c r="N63" s="138">
        <f>IF('1.DATOS-PROD'!W64="SI",VLOOKUP('1.DATOS-PROD'!W$2,'1.PUNTOS'!$A$1:$B$63,2,0),0)</f>
        <v>0</v>
      </c>
      <c r="O63" s="138">
        <f>IF('1.DATOS-PROD'!X64="SI",VLOOKUP('1.DATOS-PROD'!X$2,'1.PUNTOS'!$A$1:$B$63,2,0),0)</f>
        <v>0</v>
      </c>
      <c r="P63" s="138">
        <f>IF('1.DATOS-PROD'!Y64="SI",VLOOKUP('1.DATOS-PROD'!Y$2,'1.PUNTOS'!$A$1:$B$63,2,0),0)</f>
        <v>0</v>
      </c>
      <c r="Q63" s="138">
        <f>IF('1.DATOS-PROD'!Z64="SI",VLOOKUP('1.DATOS-PROD'!Z$2,'1.PUNTOS'!$A$1:$B$63,2,0),0)</f>
        <v>0</v>
      </c>
      <c r="R63" s="138">
        <f>IF('1.DATOS-PROD'!AA64="SI",VLOOKUP('1.DATOS-PROD'!AA$2,'1.PUNTOS'!$A$1:$B$63,2,0),0)</f>
        <v>0</v>
      </c>
      <c r="S63" s="138">
        <f>IF('1.DATOS-PROD'!AB64="SI",VLOOKUP('1.DATOS-PROD'!AB$2,'1.PUNTOS'!$A$1:$B$63,2,0),0)</f>
        <v>0</v>
      </c>
      <c r="T63" s="138">
        <f>IF('1.DATOS-PROD'!AC64="SI",VLOOKUP('1.DATOS-PROD'!AC$2,'1.PUNTOS'!$A$1:$B$63,2,0),0)</f>
        <v>0</v>
      </c>
      <c r="U63" s="138">
        <f>IF('1.DATOS-PROD'!AD64="SI",VLOOKUP('1.DATOS-PROD'!AD$2,'1.PUNTOS'!$A$1:$B$63,2,0),0)</f>
        <v>0</v>
      </c>
      <c r="V63" s="138">
        <f>IF('1.DATOS-PROD'!AE64="SI",VLOOKUP('1.DATOS-PROD'!AE$2,'1.PUNTOS'!$A$1:$B$63,2,0),0)</f>
        <v>0</v>
      </c>
      <c r="W63" s="138">
        <f>IF('1.DATOS-PROD'!AF64="SI",VLOOKUP('1.DATOS-PROD'!AF$2,'1.PUNTOS'!$A$1:$B$63,2,0),0)</f>
        <v>0</v>
      </c>
      <c r="X63" s="138">
        <f>IF('1.DATOS-PROD'!AG64="SI",VLOOKUP('1.DATOS-PROD'!AG$2,'1.PUNTOS'!$A$1:$B$63,2,0),0)</f>
        <v>0</v>
      </c>
      <c r="Y63" s="138">
        <f>IF('1.DATOS-PROD'!AH64="SI",VLOOKUP('1.DATOS-PROD'!AH$2,'1.PUNTOS'!$A$1:$B$63,2,0),0)</f>
        <v>0</v>
      </c>
      <c r="Z63" s="138">
        <f>IF('1.DATOS-PROD'!AI64="SI",VLOOKUP('1.DATOS-PROD'!AI$2,'1.PUNTOS'!$A$1:$B$63,2,0),0)</f>
        <v>0</v>
      </c>
      <c r="AA63" s="138">
        <f>IF('1.DATOS-PROD'!AJ64="SI",VLOOKUP('1.DATOS-PROD'!AJ$2,'1.PUNTOS'!$A$1:$B$63,2,0),0)</f>
        <v>0</v>
      </c>
      <c r="AB63" s="138">
        <f>IF('1.DATOS-PROD'!AK64="SI",VLOOKUP('1.DATOS-PROD'!AK$2,'1.PUNTOS'!$A$1:$B$63,2,0),0)</f>
        <v>0</v>
      </c>
      <c r="AC63" s="138">
        <f>IF('1.DATOS-PROD'!AL64="SI",VLOOKUP('1.DATOS-PROD'!AL$2,'1.PUNTOS'!$A$1:$B$63,2,0),0)</f>
        <v>0</v>
      </c>
      <c r="AD63" s="138">
        <f>IF('1.DATOS-PROD'!AM64="SI",VLOOKUP('1.DATOS-PROD'!AM$2,'1.PUNTOS'!$A$1:$B$63,2,0),0)</f>
        <v>0</v>
      </c>
      <c r="AE63" s="138">
        <f>IF('1.DATOS-PROD'!AN64="SI",VLOOKUP('1.DATOS-PROD'!AN$2,'1.PUNTOS'!$A$1:$B$63,2,0),0)</f>
        <v>0</v>
      </c>
      <c r="AF63" s="138">
        <f>IF('1.DATOS-PROD'!AO64="SI",VLOOKUP('1.DATOS-PROD'!AO$2,'1.PUNTOS'!$A$1:$B$63,2,0),0)</f>
        <v>0</v>
      </c>
      <c r="AG63" s="138">
        <f>IF('1.DATOS-PROD'!AP64="SI",VLOOKUP('1.DATOS-PROD'!AP$2,'1.PUNTOS'!$A$1:$B$63,2,0),0)</f>
        <v>0</v>
      </c>
      <c r="AH63" s="138">
        <f>IF('1.DATOS-PROD'!AQ64="SI",VLOOKUP('1.DATOS-PROD'!AQ$2,'1.PUNTOS'!$A$1:$B$63,2,0),0)</f>
        <v>0</v>
      </c>
      <c r="AI63" s="138">
        <f>IF('1.DATOS-PROD'!AR64="SI",VLOOKUP('1.DATOS-PROD'!AR$2,'1.PUNTOS'!$A$1:$B$63,2,0),0)</f>
        <v>0</v>
      </c>
      <c r="AJ63" s="138">
        <f>IF('1.DATOS-PROD'!AS64="SI",VLOOKUP('1.DATOS-PROD'!AS$2,'1.PUNTOS'!$A$1:$B$63,2,0),0)</f>
        <v>0</v>
      </c>
      <c r="AK63" s="138">
        <f>IF('1.DATOS-PROD'!AT64="SI",VLOOKUP('1.DATOS-PROD'!AT$2,'1.PUNTOS'!$A$1:$B$63,2,0),0)</f>
        <v>0</v>
      </c>
      <c r="AL63" s="138">
        <f>IF('1.DATOS-PROD'!AU64="SI",VLOOKUP('1.DATOS-PROD'!AU$2,'1.PUNTOS'!$A$1:$B$63,2,0),0)</f>
        <v>0</v>
      </c>
      <c r="AM63" s="138">
        <f>IF('1.DATOS-PROD'!AV64="SI",VLOOKUP('1.DATOS-PROD'!AV$2,'1.PUNTOS'!$A$1:$B$63,2,0),0)</f>
        <v>0</v>
      </c>
      <c r="AN63" s="138">
        <f>IF('1.DATOS-PROD'!AW64="SI",VLOOKUP('1.DATOS-PROD'!AW$2,'1.PUNTOS'!$A$1:$B$63,2,0),0)</f>
        <v>0</v>
      </c>
      <c r="AO63" s="138">
        <f>IF('1.DATOS-PROD'!AX64="SI",VLOOKUP('1.DATOS-PROD'!AX$2,'1.PUNTOS'!$A$1:$B$63,2,0),0)</f>
        <v>0</v>
      </c>
      <c r="AP63" s="138">
        <f>IF('1.DATOS-PROD'!AY64="SI",VLOOKUP('1.DATOS-PROD'!AY$2,'1.PUNTOS'!$A$1:$B$63,2,0),0)</f>
        <v>0</v>
      </c>
      <c r="AQ63" s="138">
        <f>IF('1.DATOS-PROD'!AZ64="SI",VLOOKUP('1.DATOS-PROD'!AZ$2,'1.PUNTOS'!$A$1:$B$63,2,0),0)</f>
        <v>0</v>
      </c>
      <c r="AR63" s="138">
        <f>IF('1.DATOS-PROD'!BA64="SI",VLOOKUP('1.DATOS-PROD'!BA$2,'1.PUNTOS'!$A$1:$B$63,2,0),0)</f>
        <v>0</v>
      </c>
      <c r="AS63" s="138">
        <f>IF('1.DATOS-PROD'!BB64="SI",VLOOKUP('1.DATOS-PROD'!BB$2,'1.PUNTOS'!$A$1:$B$63,2,0),0)</f>
        <v>0</v>
      </c>
      <c r="AT63" s="138">
        <f>IF('1.DATOS-PROD'!BC64="SI",VLOOKUP('1.DATOS-PROD'!BC$2,'1.PUNTOS'!$A$1:$B$63,2,0),0)</f>
        <v>0</v>
      </c>
      <c r="AU63" s="138">
        <f>IF('1.DATOS-PROD'!BD64="SI",VLOOKUP('1.DATOS-PROD'!BD$2,'1.PUNTOS'!$A$1:$B$63,2,0),0)</f>
        <v>0</v>
      </c>
      <c r="AV63" s="138">
        <f>IF('1.DATOS-PROD'!BE64="SI",VLOOKUP('1.DATOS-PROD'!BE$2,'1.PUNTOS'!$A$1:$B$63,2,0),0)</f>
        <v>0</v>
      </c>
      <c r="AW63" s="138">
        <f>IF('1.DATOS-PROD'!BF64="SI",VLOOKUP('1.DATOS-PROD'!BF$2,'1.PUNTOS'!$A$1:$B$63,2,0),0)</f>
        <v>0</v>
      </c>
      <c r="AX63" s="138">
        <f>IF('1.DATOS-PROD'!BG64="SI",VLOOKUP('1.DATOS-PROD'!BG$2,'1.PUNTOS'!$A$1:$B$63,2,0),0)</f>
        <v>0</v>
      </c>
      <c r="AY63" s="138">
        <f>IF('1.DATOS-PROD'!BH64="SI",VLOOKUP('1.DATOS-PROD'!BH$2,'1.PUNTOS'!$A$1:$B$63,2,0),0)</f>
        <v>0</v>
      </c>
      <c r="AZ63" s="138">
        <f>IF('1.DATOS-PROD'!BI64="SI",VLOOKUP('1.DATOS-PROD'!BI$2,'1.PUNTOS'!$A$1:$B$63,2,0),0)</f>
        <v>0</v>
      </c>
      <c r="BA63" s="138">
        <f>IF('1.DATOS-PROD'!BJ64="SI",VLOOKUP('1.DATOS-PROD'!BJ$2,'1.PUNTOS'!$A$1:$B$63,2,0),0)</f>
        <v>0</v>
      </c>
      <c r="BB63" s="138">
        <f>IF('1.DATOS-PROD'!BK64="SI",VLOOKUP('1.DATOS-PROD'!BK$2,'1.PUNTOS'!$A$1:$B$63,2,0),0)</f>
        <v>0</v>
      </c>
      <c r="BC63" s="138">
        <f>IF('1.DATOS-PROD'!BL64="SI",VLOOKUP('1.DATOS-PROD'!BL$2,'1.PUNTOS'!$A$1:$B$63,2,0),0)</f>
        <v>0</v>
      </c>
      <c r="BD63" s="138">
        <f>IF('1.DATOS-PROD'!BM64="SI",VLOOKUP('1.DATOS-PROD'!BM$2,'1.PUNTOS'!$A$1:$B$63,2,0),0)</f>
        <v>0</v>
      </c>
      <c r="BE63" s="138">
        <f>IF('1.DATOS-PROD'!BN64="SI",VLOOKUP('1.DATOS-PROD'!BN$2,'1.PUNTOS'!$A$1:$B$63,2,0),0)</f>
        <v>0</v>
      </c>
      <c r="BF63" s="138">
        <f>IF('1.DATOS-PROD'!BO64="SI",VLOOKUP('1.DATOS-PROD'!BO$2,'1.PUNTOS'!$A$1:$B$63,2,0),0)</f>
        <v>0</v>
      </c>
      <c r="BG63" s="138">
        <f>IF('1.DATOS-PROD'!BP64="SI",VLOOKUP('1.DATOS-PROD'!BP$2,'1.PUNTOS'!$A$1:$B$63,2,0),0)</f>
        <v>0</v>
      </c>
      <c r="BH63" s="138">
        <f>IF('1.DATOS-PROD'!BQ64="SI",VLOOKUP('1.DATOS-PROD'!BQ$2,'1.PUNTOS'!$A$1:$B$63,2,0),0)</f>
        <v>0</v>
      </c>
      <c r="BI63" s="138">
        <f>IF('1.DATOS-PROD'!BR64="SI",VLOOKUP('1.DATOS-PROD'!BR$2,'1.PUNTOS'!$A$1:$B$63,2,0),0)</f>
        <v>0</v>
      </c>
      <c r="BJ63" s="138">
        <f>IF('1.DATOS-PROD'!BS64="SI",VLOOKUP('1.DATOS-PROD'!BS$2,'1.PUNTOS'!$A$1:$B$63,2,0),0)</f>
        <v>0</v>
      </c>
      <c r="BK63" s="138">
        <f>IF('1.DATOS-PROD'!BT64="SI",VLOOKUP('1.DATOS-PROD'!BT$2,'1.PUNTOS'!$A$1:$B$63,2,0),0)</f>
        <v>0</v>
      </c>
    </row>
    <row r="64" spans="1:63" x14ac:dyDescent="0.25">
      <c r="A64">
        <f>'0.Consolidado general'!$A65</f>
        <v>0</v>
      </c>
      <c r="B64" s="138">
        <f>IF('1.DATOS-PROD'!K65="SI",VLOOKUP('1.DATOS-PROD'!K$2,'1.PUNTOS'!$A$1:$B$63,2,0),0)</f>
        <v>0</v>
      </c>
      <c r="C64" s="138">
        <f>IF('1.DATOS-PROD'!L65="SI",VLOOKUP('1.DATOS-PROD'!L$2,'1.PUNTOS'!$A$1:$B$63,2,0),0)</f>
        <v>0</v>
      </c>
      <c r="D64" s="138">
        <f>IF('1.DATOS-PROD'!M65="SI",VLOOKUP('1.DATOS-PROD'!M$2,'1.PUNTOS'!$A$1:$B$63,2,0),0)</f>
        <v>0</v>
      </c>
      <c r="E64" s="138">
        <f>IF('1.DATOS-PROD'!N65="SI",VLOOKUP('1.DATOS-PROD'!N$2,'1.PUNTOS'!$A$1:$B$63,2,0),0)</f>
        <v>0</v>
      </c>
      <c r="F64" s="138">
        <f>IF('1.DATOS-PROD'!O65="SI",VLOOKUP('1.DATOS-PROD'!O$2,'1.PUNTOS'!$A$1:$B$63,2,0),0)</f>
        <v>0</v>
      </c>
      <c r="G64" s="138">
        <f>IF('1.DATOS-PROD'!P65="SI",VLOOKUP('1.DATOS-PROD'!P$2,'1.PUNTOS'!$A$1:$B$63,2,0),0)</f>
        <v>0</v>
      </c>
      <c r="H64" s="138">
        <f>IF('1.DATOS-PROD'!Q65="SI",VLOOKUP('1.DATOS-PROD'!Q$2,'1.PUNTOS'!$A$1:$B$63,2,0),0)</f>
        <v>0</v>
      </c>
      <c r="I64" s="138">
        <f>IF('1.DATOS-PROD'!R65="SI",VLOOKUP('1.DATOS-PROD'!R$2,'1.PUNTOS'!$A$1:$B$63,2,0),0)</f>
        <v>0</v>
      </c>
      <c r="J64" s="138">
        <f>IF('1.DATOS-PROD'!S65="SI",VLOOKUP('1.DATOS-PROD'!S$2,'1.PUNTOS'!$A$1:$B$63,2,0),0)</f>
        <v>0</v>
      </c>
      <c r="K64" s="138">
        <f>IF('1.DATOS-PROD'!T65="SI",VLOOKUP('1.DATOS-PROD'!T$2,'1.PUNTOS'!$A$1:$B$63,2,0),0)</f>
        <v>0</v>
      </c>
      <c r="L64" s="138">
        <f>IF('1.DATOS-PROD'!U65="SI",VLOOKUP('1.DATOS-PROD'!U$2,'1.PUNTOS'!$A$1:$B$63,2,0),0)</f>
        <v>0</v>
      </c>
      <c r="M64" s="138">
        <f>IF('1.DATOS-PROD'!V65="SI",VLOOKUP('1.DATOS-PROD'!V$2,'1.PUNTOS'!$A$1:$B$63,2,0),0)</f>
        <v>0</v>
      </c>
      <c r="N64" s="138">
        <f>IF('1.DATOS-PROD'!W65="SI",VLOOKUP('1.DATOS-PROD'!W$2,'1.PUNTOS'!$A$1:$B$63,2,0),0)</f>
        <v>0</v>
      </c>
      <c r="O64" s="138">
        <f>IF('1.DATOS-PROD'!X65="SI",VLOOKUP('1.DATOS-PROD'!X$2,'1.PUNTOS'!$A$1:$B$63,2,0),0)</f>
        <v>0</v>
      </c>
      <c r="P64" s="138">
        <f>IF('1.DATOS-PROD'!Y65="SI",VLOOKUP('1.DATOS-PROD'!Y$2,'1.PUNTOS'!$A$1:$B$63,2,0),0)</f>
        <v>0</v>
      </c>
      <c r="Q64" s="138">
        <f>IF('1.DATOS-PROD'!Z65="SI",VLOOKUP('1.DATOS-PROD'!Z$2,'1.PUNTOS'!$A$1:$B$63,2,0),0)</f>
        <v>0</v>
      </c>
      <c r="R64" s="138">
        <f>IF('1.DATOS-PROD'!AA65="SI",VLOOKUP('1.DATOS-PROD'!AA$2,'1.PUNTOS'!$A$1:$B$63,2,0),0)</f>
        <v>0</v>
      </c>
      <c r="S64" s="138">
        <f>IF('1.DATOS-PROD'!AB65="SI",VLOOKUP('1.DATOS-PROD'!AB$2,'1.PUNTOS'!$A$1:$B$63,2,0),0)</f>
        <v>0</v>
      </c>
      <c r="T64" s="138">
        <f>IF('1.DATOS-PROD'!AC65="SI",VLOOKUP('1.DATOS-PROD'!AC$2,'1.PUNTOS'!$A$1:$B$63,2,0),0)</f>
        <v>0</v>
      </c>
      <c r="U64" s="138">
        <f>IF('1.DATOS-PROD'!AD65="SI",VLOOKUP('1.DATOS-PROD'!AD$2,'1.PUNTOS'!$A$1:$B$63,2,0),0)</f>
        <v>0</v>
      </c>
      <c r="V64" s="138">
        <f>IF('1.DATOS-PROD'!AE65="SI",VLOOKUP('1.DATOS-PROD'!AE$2,'1.PUNTOS'!$A$1:$B$63,2,0),0)</f>
        <v>0</v>
      </c>
      <c r="W64" s="138">
        <f>IF('1.DATOS-PROD'!AF65="SI",VLOOKUP('1.DATOS-PROD'!AF$2,'1.PUNTOS'!$A$1:$B$63,2,0),0)</f>
        <v>0</v>
      </c>
      <c r="X64" s="138">
        <f>IF('1.DATOS-PROD'!AG65="SI",VLOOKUP('1.DATOS-PROD'!AG$2,'1.PUNTOS'!$A$1:$B$63,2,0),0)</f>
        <v>0</v>
      </c>
      <c r="Y64" s="138">
        <f>IF('1.DATOS-PROD'!AH65="SI",VLOOKUP('1.DATOS-PROD'!AH$2,'1.PUNTOS'!$A$1:$B$63,2,0),0)</f>
        <v>0</v>
      </c>
      <c r="Z64" s="138">
        <f>IF('1.DATOS-PROD'!AI65="SI",VLOOKUP('1.DATOS-PROD'!AI$2,'1.PUNTOS'!$A$1:$B$63,2,0),0)</f>
        <v>0</v>
      </c>
      <c r="AA64" s="138">
        <f>IF('1.DATOS-PROD'!AJ65="SI",VLOOKUP('1.DATOS-PROD'!AJ$2,'1.PUNTOS'!$A$1:$B$63,2,0),0)</f>
        <v>0</v>
      </c>
      <c r="AB64" s="138">
        <f>IF('1.DATOS-PROD'!AK65="SI",VLOOKUP('1.DATOS-PROD'!AK$2,'1.PUNTOS'!$A$1:$B$63,2,0),0)</f>
        <v>0</v>
      </c>
      <c r="AC64" s="138">
        <f>IF('1.DATOS-PROD'!AL65="SI",VLOOKUP('1.DATOS-PROD'!AL$2,'1.PUNTOS'!$A$1:$B$63,2,0),0)</f>
        <v>0</v>
      </c>
      <c r="AD64" s="138">
        <f>IF('1.DATOS-PROD'!AM65="SI",VLOOKUP('1.DATOS-PROD'!AM$2,'1.PUNTOS'!$A$1:$B$63,2,0),0)</f>
        <v>0</v>
      </c>
      <c r="AE64" s="138">
        <f>IF('1.DATOS-PROD'!AN65="SI",VLOOKUP('1.DATOS-PROD'!AN$2,'1.PUNTOS'!$A$1:$B$63,2,0),0)</f>
        <v>0</v>
      </c>
      <c r="AF64" s="138">
        <f>IF('1.DATOS-PROD'!AO65="SI",VLOOKUP('1.DATOS-PROD'!AO$2,'1.PUNTOS'!$A$1:$B$63,2,0),0)</f>
        <v>0</v>
      </c>
      <c r="AG64" s="138">
        <f>IF('1.DATOS-PROD'!AP65="SI",VLOOKUP('1.DATOS-PROD'!AP$2,'1.PUNTOS'!$A$1:$B$63,2,0),0)</f>
        <v>0</v>
      </c>
      <c r="AH64" s="138">
        <f>IF('1.DATOS-PROD'!AQ65="SI",VLOOKUP('1.DATOS-PROD'!AQ$2,'1.PUNTOS'!$A$1:$B$63,2,0),0)</f>
        <v>0</v>
      </c>
      <c r="AI64" s="138">
        <f>IF('1.DATOS-PROD'!AR65="SI",VLOOKUP('1.DATOS-PROD'!AR$2,'1.PUNTOS'!$A$1:$B$63,2,0),0)</f>
        <v>0</v>
      </c>
      <c r="AJ64" s="138">
        <f>IF('1.DATOS-PROD'!AS65="SI",VLOOKUP('1.DATOS-PROD'!AS$2,'1.PUNTOS'!$A$1:$B$63,2,0),0)</f>
        <v>0</v>
      </c>
      <c r="AK64" s="138">
        <f>IF('1.DATOS-PROD'!AT65="SI",VLOOKUP('1.DATOS-PROD'!AT$2,'1.PUNTOS'!$A$1:$B$63,2,0),0)</f>
        <v>0</v>
      </c>
      <c r="AL64" s="138">
        <f>IF('1.DATOS-PROD'!AU65="SI",VLOOKUP('1.DATOS-PROD'!AU$2,'1.PUNTOS'!$A$1:$B$63,2,0),0)</f>
        <v>0</v>
      </c>
      <c r="AM64" s="138">
        <f>IF('1.DATOS-PROD'!AV65="SI",VLOOKUP('1.DATOS-PROD'!AV$2,'1.PUNTOS'!$A$1:$B$63,2,0),0)</f>
        <v>0</v>
      </c>
      <c r="AN64" s="138">
        <f>IF('1.DATOS-PROD'!AW65="SI",VLOOKUP('1.DATOS-PROD'!AW$2,'1.PUNTOS'!$A$1:$B$63,2,0),0)</f>
        <v>0</v>
      </c>
      <c r="AO64" s="138">
        <f>IF('1.DATOS-PROD'!AX65="SI",VLOOKUP('1.DATOS-PROD'!AX$2,'1.PUNTOS'!$A$1:$B$63,2,0),0)</f>
        <v>0</v>
      </c>
      <c r="AP64" s="138">
        <f>IF('1.DATOS-PROD'!AY65="SI",VLOOKUP('1.DATOS-PROD'!AY$2,'1.PUNTOS'!$A$1:$B$63,2,0),0)</f>
        <v>0</v>
      </c>
      <c r="AQ64" s="138">
        <f>IF('1.DATOS-PROD'!AZ65="SI",VLOOKUP('1.DATOS-PROD'!AZ$2,'1.PUNTOS'!$A$1:$B$63,2,0),0)</f>
        <v>0</v>
      </c>
      <c r="AR64" s="138">
        <f>IF('1.DATOS-PROD'!BA65="SI",VLOOKUP('1.DATOS-PROD'!BA$2,'1.PUNTOS'!$A$1:$B$63,2,0),0)</f>
        <v>0</v>
      </c>
      <c r="AS64" s="138">
        <f>IF('1.DATOS-PROD'!BB65="SI",VLOOKUP('1.DATOS-PROD'!BB$2,'1.PUNTOS'!$A$1:$B$63,2,0),0)</f>
        <v>0</v>
      </c>
      <c r="AT64" s="138">
        <f>IF('1.DATOS-PROD'!BC65="SI",VLOOKUP('1.DATOS-PROD'!BC$2,'1.PUNTOS'!$A$1:$B$63,2,0),0)</f>
        <v>0</v>
      </c>
      <c r="AU64" s="138">
        <f>IF('1.DATOS-PROD'!BD65="SI",VLOOKUP('1.DATOS-PROD'!BD$2,'1.PUNTOS'!$A$1:$B$63,2,0),0)</f>
        <v>0</v>
      </c>
      <c r="AV64" s="138">
        <f>IF('1.DATOS-PROD'!BE65="SI",VLOOKUP('1.DATOS-PROD'!BE$2,'1.PUNTOS'!$A$1:$B$63,2,0),0)</f>
        <v>0</v>
      </c>
      <c r="AW64" s="138">
        <f>IF('1.DATOS-PROD'!BF65="SI",VLOOKUP('1.DATOS-PROD'!BF$2,'1.PUNTOS'!$A$1:$B$63,2,0),0)</f>
        <v>0</v>
      </c>
      <c r="AX64" s="138">
        <f>IF('1.DATOS-PROD'!BG65="SI",VLOOKUP('1.DATOS-PROD'!BG$2,'1.PUNTOS'!$A$1:$B$63,2,0),0)</f>
        <v>0</v>
      </c>
      <c r="AY64" s="138">
        <f>IF('1.DATOS-PROD'!BH65="SI",VLOOKUP('1.DATOS-PROD'!BH$2,'1.PUNTOS'!$A$1:$B$63,2,0),0)</f>
        <v>0</v>
      </c>
      <c r="AZ64" s="138">
        <f>IF('1.DATOS-PROD'!BI65="SI",VLOOKUP('1.DATOS-PROD'!BI$2,'1.PUNTOS'!$A$1:$B$63,2,0),0)</f>
        <v>0</v>
      </c>
      <c r="BA64" s="138">
        <f>IF('1.DATOS-PROD'!BJ65="SI",VLOOKUP('1.DATOS-PROD'!BJ$2,'1.PUNTOS'!$A$1:$B$63,2,0),0)</f>
        <v>0</v>
      </c>
      <c r="BB64" s="138">
        <f>IF('1.DATOS-PROD'!BK65="SI",VLOOKUP('1.DATOS-PROD'!BK$2,'1.PUNTOS'!$A$1:$B$63,2,0),0)</f>
        <v>0</v>
      </c>
      <c r="BC64" s="138">
        <f>IF('1.DATOS-PROD'!BL65="SI",VLOOKUP('1.DATOS-PROD'!BL$2,'1.PUNTOS'!$A$1:$B$63,2,0),0)</f>
        <v>0</v>
      </c>
      <c r="BD64" s="138">
        <f>IF('1.DATOS-PROD'!BM65="SI",VLOOKUP('1.DATOS-PROD'!BM$2,'1.PUNTOS'!$A$1:$B$63,2,0),0)</f>
        <v>0</v>
      </c>
      <c r="BE64" s="138">
        <f>IF('1.DATOS-PROD'!BN65="SI",VLOOKUP('1.DATOS-PROD'!BN$2,'1.PUNTOS'!$A$1:$B$63,2,0),0)</f>
        <v>0</v>
      </c>
      <c r="BF64" s="138">
        <f>IF('1.DATOS-PROD'!BO65="SI",VLOOKUP('1.DATOS-PROD'!BO$2,'1.PUNTOS'!$A$1:$B$63,2,0),0)</f>
        <v>0</v>
      </c>
      <c r="BG64" s="138">
        <f>IF('1.DATOS-PROD'!BP65="SI",VLOOKUP('1.DATOS-PROD'!BP$2,'1.PUNTOS'!$A$1:$B$63,2,0),0)</f>
        <v>0</v>
      </c>
      <c r="BH64" s="138">
        <f>IF('1.DATOS-PROD'!BQ65="SI",VLOOKUP('1.DATOS-PROD'!BQ$2,'1.PUNTOS'!$A$1:$B$63,2,0),0)</f>
        <v>0</v>
      </c>
      <c r="BI64" s="138">
        <f>IF('1.DATOS-PROD'!BR65="SI",VLOOKUP('1.DATOS-PROD'!BR$2,'1.PUNTOS'!$A$1:$B$63,2,0),0)</f>
        <v>0</v>
      </c>
      <c r="BJ64" s="138">
        <f>IF('1.DATOS-PROD'!BS65="SI",VLOOKUP('1.DATOS-PROD'!BS$2,'1.PUNTOS'!$A$1:$B$63,2,0),0)</f>
        <v>0</v>
      </c>
      <c r="BK64" s="138">
        <f>IF('1.DATOS-PROD'!BT65="SI",VLOOKUP('1.DATOS-PROD'!BT$2,'1.PUNTOS'!$A$1:$B$63,2,0),0)</f>
        <v>0</v>
      </c>
    </row>
    <row r="65" spans="1:63" x14ac:dyDescent="0.25">
      <c r="A65">
        <f>'0.Consolidado general'!$A66</f>
        <v>0</v>
      </c>
      <c r="B65" s="138">
        <f>IF('1.DATOS-PROD'!K66="SI",VLOOKUP('1.DATOS-PROD'!K$2,'1.PUNTOS'!$A$1:$B$63,2,0),0)</f>
        <v>0</v>
      </c>
      <c r="C65" s="138">
        <f>IF('1.DATOS-PROD'!L66="SI",VLOOKUP('1.DATOS-PROD'!L$2,'1.PUNTOS'!$A$1:$B$63,2,0),0)</f>
        <v>0</v>
      </c>
      <c r="D65" s="138">
        <f>IF('1.DATOS-PROD'!M66="SI",VLOOKUP('1.DATOS-PROD'!M$2,'1.PUNTOS'!$A$1:$B$63,2,0),0)</f>
        <v>0</v>
      </c>
      <c r="E65" s="138">
        <f>IF('1.DATOS-PROD'!N66="SI",VLOOKUP('1.DATOS-PROD'!N$2,'1.PUNTOS'!$A$1:$B$63,2,0),0)</f>
        <v>0</v>
      </c>
      <c r="F65" s="138">
        <f>IF('1.DATOS-PROD'!O66="SI",VLOOKUP('1.DATOS-PROD'!O$2,'1.PUNTOS'!$A$1:$B$63,2,0),0)</f>
        <v>0</v>
      </c>
      <c r="G65" s="138">
        <f>IF('1.DATOS-PROD'!P66="SI",VLOOKUP('1.DATOS-PROD'!P$2,'1.PUNTOS'!$A$1:$B$63,2,0),0)</f>
        <v>0</v>
      </c>
      <c r="H65" s="138">
        <f>IF('1.DATOS-PROD'!Q66="SI",VLOOKUP('1.DATOS-PROD'!Q$2,'1.PUNTOS'!$A$1:$B$63,2,0),0)</f>
        <v>0</v>
      </c>
      <c r="I65" s="138">
        <f>IF('1.DATOS-PROD'!R66="SI",VLOOKUP('1.DATOS-PROD'!R$2,'1.PUNTOS'!$A$1:$B$63,2,0),0)</f>
        <v>0</v>
      </c>
      <c r="J65" s="138">
        <f>IF('1.DATOS-PROD'!S66="SI",VLOOKUP('1.DATOS-PROD'!S$2,'1.PUNTOS'!$A$1:$B$63,2,0),0)</f>
        <v>0</v>
      </c>
      <c r="K65" s="138">
        <f>IF('1.DATOS-PROD'!T66="SI",VLOOKUP('1.DATOS-PROD'!T$2,'1.PUNTOS'!$A$1:$B$63,2,0),0)</f>
        <v>0</v>
      </c>
      <c r="L65" s="138">
        <f>IF('1.DATOS-PROD'!U66="SI",VLOOKUP('1.DATOS-PROD'!U$2,'1.PUNTOS'!$A$1:$B$63,2,0),0)</f>
        <v>0</v>
      </c>
      <c r="M65" s="138">
        <f>IF('1.DATOS-PROD'!V66="SI",VLOOKUP('1.DATOS-PROD'!V$2,'1.PUNTOS'!$A$1:$B$63,2,0),0)</f>
        <v>0</v>
      </c>
      <c r="N65" s="138">
        <f>IF('1.DATOS-PROD'!W66="SI",VLOOKUP('1.DATOS-PROD'!W$2,'1.PUNTOS'!$A$1:$B$63,2,0),0)</f>
        <v>0</v>
      </c>
      <c r="O65" s="138">
        <f>IF('1.DATOS-PROD'!X66="SI",VLOOKUP('1.DATOS-PROD'!X$2,'1.PUNTOS'!$A$1:$B$63,2,0),0)</f>
        <v>0</v>
      </c>
      <c r="P65" s="138">
        <f>IF('1.DATOS-PROD'!Y66="SI",VLOOKUP('1.DATOS-PROD'!Y$2,'1.PUNTOS'!$A$1:$B$63,2,0),0)</f>
        <v>0</v>
      </c>
      <c r="Q65" s="138">
        <f>IF('1.DATOS-PROD'!Z66="SI",VLOOKUP('1.DATOS-PROD'!Z$2,'1.PUNTOS'!$A$1:$B$63,2,0),0)</f>
        <v>0</v>
      </c>
      <c r="R65" s="138">
        <f>IF('1.DATOS-PROD'!AA66="SI",VLOOKUP('1.DATOS-PROD'!AA$2,'1.PUNTOS'!$A$1:$B$63,2,0),0)</f>
        <v>0</v>
      </c>
      <c r="S65" s="138">
        <f>IF('1.DATOS-PROD'!AB66="SI",VLOOKUP('1.DATOS-PROD'!AB$2,'1.PUNTOS'!$A$1:$B$63,2,0),0)</f>
        <v>0</v>
      </c>
      <c r="T65" s="138">
        <f>IF('1.DATOS-PROD'!AC66="SI",VLOOKUP('1.DATOS-PROD'!AC$2,'1.PUNTOS'!$A$1:$B$63,2,0),0)</f>
        <v>0</v>
      </c>
      <c r="U65" s="138">
        <f>IF('1.DATOS-PROD'!AD66="SI",VLOOKUP('1.DATOS-PROD'!AD$2,'1.PUNTOS'!$A$1:$B$63,2,0),0)</f>
        <v>0</v>
      </c>
      <c r="V65" s="138">
        <f>IF('1.DATOS-PROD'!AE66="SI",VLOOKUP('1.DATOS-PROD'!AE$2,'1.PUNTOS'!$A$1:$B$63,2,0),0)</f>
        <v>0</v>
      </c>
      <c r="W65" s="138">
        <f>IF('1.DATOS-PROD'!AF66="SI",VLOOKUP('1.DATOS-PROD'!AF$2,'1.PUNTOS'!$A$1:$B$63,2,0),0)</f>
        <v>0</v>
      </c>
      <c r="X65" s="138">
        <f>IF('1.DATOS-PROD'!AG66="SI",VLOOKUP('1.DATOS-PROD'!AG$2,'1.PUNTOS'!$A$1:$B$63,2,0),0)</f>
        <v>0</v>
      </c>
      <c r="Y65" s="138">
        <f>IF('1.DATOS-PROD'!AH66="SI",VLOOKUP('1.DATOS-PROD'!AH$2,'1.PUNTOS'!$A$1:$B$63,2,0),0)</f>
        <v>0</v>
      </c>
      <c r="Z65" s="138">
        <f>IF('1.DATOS-PROD'!AI66="SI",VLOOKUP('1.DATOS-PROD'!AI$2,'1.PUNTOS'!$A$1:$B$63,2,0),0)</f>
        <v>0</v>
      </c>
      <c r="AA65" s="138">
        <f>IF('1.DATOS-PROD'!AJ66="SI",VLOOKUP('1.DATOS-PROD'!AJ$2,'1.PUNTOS'!$A$1:$B$63,2,0),0)</f>
        <v>0</v>
      </c>
      <c r="AB65" s="138">
        <f>IF('1.DATOS-PROD'!AK66="SI",VLOOKUP('1.DATOS-PROD'!AK$2,'1.PUNTOS'!$A$1:$B$63,2,0),0)</f>
        <v>0</v>
      </c>
      <c r="AC65" s="138">
        <f>IF('1.DATOS-PROD'!AL66="SI",VLOOKUP('1.DATOS-PROD'!AL$2,'1.PUNTOS'!$A$1:$B$63,2,0),0)</f>
        <v>0</v>
      </c>
      <c r="AD65" s="138">
        <f>IF('1.DATOS-PROD'!AM66="SI",VLOOKUP('1.DATOS-PROD'!AM$2,'1.PUNTOS'!$A$1:$B$63,2,0),0)</f>
        <v>0</v>
      </c>
      <c r="AE65" s="138">
        <f>IF('1.DATOS-PROD'!AN66="SI",VLOOKUP('1.DATOS-PROD'!AN$2,'1.PUNTOS'!$A$1:$B$63,2,0),0)</f>
        <v>0</v>
      </c>
      <c r="AF65" s="138">
        <f>IF('1.DATOS-PROD'!AO66="SI",VLOOKUP('1.DATOS-PROD'!AO$2,'1.PUNTOS'!$A$1:$B$63,2,0),0)</f>
        <v>0</v>
      </c>
      <c r="AG65" s="138">
        <f>IF('1.DATOS-PROD'!AP66="SI",VLOOKUP('1.DATOS-PROD'!AP$2,'1.PUNTOS'!$A$1:$B$63,2,0),0)</f>
        <v>0</v>
      </c>
      <c r="AH65" s="138">
        <f>IF('1.DATOS-PROD'!AQ66="SI",VLOOKUP('1.DATOS-PROD'!AQ$2,'1.PUNTOS'!$A$1:$B$63,2,0),0)</f>
        <v>0</v>
      </c>
      <c r="AI65" s="138">
        <f>IF('1.DATOS-PROD'!AR66="SI",VLOOKUP('1.DATOS-PROD'!AR$2,'1.PUNTOS'!$A$1:$B$63,2,0),0)</f>
        <v>0</v>
      </c>
      <c r="AJ65" s="138">
        <f>IF('1.DATOS-PROD'!AS66="SI",VLOOKUP('1.DATOS-PROD'!AS$2,'1.PUNTOS'!$A$1:$B$63,2,0),0)</f>
        <v>0</v>
      </c>
      <c r="AK65" s="138">
        <f>IF('1.DATOS-PROD'!AT66="SI",VLOOKUP('1.DATOS-PROD'!AT$2,'1.PUNTOS'!$A$1:$B$63,2,0),0)</f>
        <v>0</v>
      </c>
      <c r="AL65" s="138">
        <f>IF('1.DATOS-PROD'!AU66="SI",VLOOKUP('1.DATOS-PROD'!AU$2,'1.PUNTOS'!$A$1:$B$63,2,0),0)</f>
        <v>0</v>
      </c>
      <c r="AM65" s="138">
        <f>IF('1.DATOS-PROD'!AV66="SI",VLOOKUP('1.DATOS-PROD'!AV$2,'1.PUNTOS'!$A$1:$B$63,2,0),0)</f>
        <v>0</v>
      </c>
      <c r="AN65" s="138">
        <f>IF('1.DATOS-PROD'!AW66="SI",VLOOKUP('1.DATOS-PROD'!AW$2,'1.PUNTOS'!$A$1:$B$63,2,0),0)</f>
        <v>0</v>
      </c>
      <c r="AO65" s="138">
        <f>IF('1.DATOS-PROD'!AX66="SI",VLOOKUP('1.DATOS-PROD'!AX$2,'1.PUNTOS'!$A$1:$B$63,2,0),0)</f>
        <v>0</v>
      </c>
      <c r="AP65" s="138">
        <f>IF('1.DATOS-PROD'!AY66="SI",VLOOKUP('1.DATOS-PROD'!AY$2,'1.PUNTOS'!$A$1:$B$63,2,0),0)</f>
        <v>0</v>
      </c>
      <c r="AQ65" s="138">
        <f>IF('1.DATOS-PROD'!AZ66="SI",VLOOKUP('1.DATOS-PROD'!AZ$2,'1.PUNTOS'!$A$1:$B$63,2,0),0)</f>
        <v>0</v>
      </c>
      <c r="AR65" s="138">
        <f>IF('1.DATOS-PROD'!BA66="SI",VLOOKUP('1.DATOS-PROD'!BA$2,'1.PUNTOS'!$A$1:$B$63,2,0),0)</f>
        <v>0</v>
      </c>
      <c r="AS65" s="138">
        <f>IF('1.DATOS-PROD'!BB66="SI",VLOOKUP('1.DATOS-PROD'!BB$2,'1.PUNTOS'!$A$1:$B$63,2,0),0)</f>
        <v>0</v>
      </c>
      <c r="AT65" s="138">
        <f>IF('1.DATOS-PROD'!BC66="SI",VLOOKUP('1.DATOS-PROD'!BC$2,'1.PUNTOS'!$A$1:$B$63,2,0),0)</f>
        <v>0</v>
      </c>
      <c r="AU65" s="138">
        <f>IF('1.DATOS-PROD'!BD66="SI",VLOOKUP('1.DATOS-PROD'!BD$2,'1.PUNTOS'!$A$1:$B$63,2,0),0)</f>
        <v>0</v>
      </c>
      <c r="AV65" s="138">
        <f>IF('1.DATOS-PROD'!BE66="SI",VLOOKUP('1.DATOS-PROD'!BE$2,'1.PUNTOS'!$A$1:$B$63,2,0),0)</f>
        <v>0</v>
      </c>
      <c r="AW65" s="138">
        <f>IF('1.DATOS-PROD'!BF66="SI",VLOOKUP('1.DATOS-PROD'!BF$2,'1.PUNTOS'!$A$1:$B$63,2,0),0)</f>
        <v>0</v>
      </c>
      <c r="AX65" s="138">
        <f>IF('1.DATOS-PROD'!BG66="SI",VLOOKUP('1.DATOS-PROD'!BG$2,'1.PUNTOS'!$A$1:$B$63,2,0),0)</f>
        <v>0</v>
      </c>
      <c r="AY65" s="138">
        <f>IF('1.DATOS-PROD'!BH66="SI",VLOOKUP('1.DATOS-PROD'!BH$2,'1.PUNTOS'!$A$1:$B$63,2,0),0)</f>
        <v>0</v>
      </c>
      <c r="AZ65" s="138">
        <f>IF('1.DATOS-PROD'!BI66="SI",VLOOKUP('1.DATOS-PROD'!BI$2,'1.PUNTOS'!$A$1:$B$63,2,0),0)</f>
        <v>0</v>
      </c>
      <c r="BA65" s="138">
        <f>IF('1.DATOS-PROD'!BJ66="SI",VLOOKUP('1.DATOS-PROD'!BJ$2,'1.PUNTOS'!$A$1:$B$63,2,0),0)</f>
        <v>0</v>
      </c>
      <c r="BB65" s="138">
        <f>IF('1.DATOS-PROD'!BK66="SI",VLOOKUP('1.DATOS-PROD'!BK$2,'1.PUNTOS'!$A$1:$B$63,2,0),0)</f>
        <v>0</v>
      </c>
      <c r="BC65" s="138">
        <f>IF('1.DATOS-PROD'!BL66="SI",VLOOKUP('1.DATOS-PROD'!BL$2,'1.PUNTOS'!$A$1:$B$63,2,0),0)</f>
        <v>0</v>
      </c>
      <c r="BD65" s="138">
        <f>IF('1.DATOS-PROD'!BM66="SI",VLOOKUP('1.DATOS-PROD'!BM$2,'1.PUNTOS'!$A$1:$B$63,2,0),0)</f>
        <v>0</v>
      </c>
      <c r="BE65" s="138">
        <f>IF('1.DATOS-PROD'!BN66="SI",VLOOKUP('1.DATOS-PROD'!BN$2,'1.PUNTOS'!$A$1:$B$63,2,0),0)</f>
        <v>0</v>
      </c>
      <c r="BF65" s="138">
        <f>IF('1.DATOS-PROD'!BO66="SI",VLOOKUP('1.DATOS-PROD'!BO$2,'1.PUNTOS'!$A$1:$B$63,2,0),0)</f>
        <v>0</v>
      </c>
      <c r="BG65" s="138">
        <f>IF('1.DATOS-PROD'!BP66="SI",VLOOKUP('1.DATOS-PROD'!BP$2,'1.PUNTOS'!$A$1:$B$63,2,0),0)</f>
        <v>0</v>
      </c>
      <c r="BH65" s="138">
        <f>IF('1.DATOS-PROD'!BQ66="SI",VLOOKUP('1.DATOS-PROD'!BQ$2,'1.PUNTOS'!$A$1:$B$63,2,0),0)</f>
        <v>0</v>
      </c>
      <c r="BI65" s="138">
        <f>IF('1.DATOS-PROD'!BR66="SI",VLOOKUP('1.DATOS-PROD'!BR$2,'1.PUNTOS'!$A$1:$B$63,2,0),0)</f>
        <v>0</v>
      </c>
      <c r="BJ65" s="138">
        <f>IF('1.DATOS-PROD'!BS66="SI",VLOOKUP('1.DATOS-PROD'!BS$2,'1.PUNTOS'!$A$1:$B$63,2,0),0)</f>
        <v>0</v>
      </c>
      <c r="BK65" s="138">
        <f>IF('1.DATOS-PROD'!BT66="SI",VLOOKUP('1.DATOS-PROD'!BT$2,'1.PUNTOS'!$A$1:$B$63,2,0),0)</f>
        <v>0</v>
      </c>
    </row>
    <row r="66" spans="1:63" x14ac:dyDescent="0.25">
      <c r="A66">
        <f>'0.Consolidado general'!$A67</f>
        <v>0</v>
      </c>
      <c r="B66" s="138">
        <f>IF('1.DATOS-PROD'!K67="SI",VLOOKUP('1.DATOS-PROD'!K$2,'1.PUNTOS'!$A$1:$B$63,2,0),0)</f>
        <v>0</v>
      </c>
      <c r="C66" s="138">
        <f>IF('1.DATOS-PROD'!L67="SI",VLOOKUP('1.DATOS-PROD'!L$2,'1.PUNTOS'!$A$1:$B$63,2,0),0)</f>
        <v>0</v>
      </c>
      <c r="D66" s="138">
        <f>IF('1.DATOS-PROD'!M67="SI",VLOOKUP('1.DATOS-PROD'!M$2,'1.PUNTOS'!$A$1:$B$63,2,0),0)</f>
        <v>0</v>
      </c>
      <c r="E66" s="138">
        <f>IF('1.DATOS-PROD'!N67="SI",VLOOKUP('1.DATOS-PROD'!N$2,'1.PUNTOS'!$A$1:$B$63,2,0),0)</f>
        <v>0</v>
      </c>
      <c r="F66" s="138">
        <f>IF('1.DATOS-PROD'!O67="SI",VLOOKUP('1.DATOS-PROD'!O$2,'1.PUNTOS'!$A$1:$B$63,2,0),0)</f>
        <v>0</v>
      </c>
      <c r="G66" s="138">
        <f>IF('1.DATOS-PROD'!P67="SI",VLOOKUP('1.DATOS-PROD'!P$2,'1.PUNTOS'!$A$1:$B$63,2,0),0)</f>
        <v>0</v>
      </c>
      <c r="H66" s="138">
        <f>IF('1.DATOS-PROD'!Q67="SI",VLOOKUP('1.DATOS-PROD'!Q$2,'1.PUNTOS'!$A$1:$B$63,2,0),0)</f>
        <v>0</v>
      </c>
      <c r="I66" s="138">
        <f>IF('1.DATOS-PROD'!R67="SI",VLOOKUP('1.DATOS-PROD'!R$2,'1.PUNTOS'!$A$1:$B$63,2,0),0)</f>
        <v>0</v>
      </c>
      <c r="J66" s="138">
        <f>IF('1.DATOS-PROD'!S67="SI",VLOOKUP('1.DATOS-PROD'!S$2,'1.PUNTOS'!$A$1:$B$63,2,0),0)</f>
        <v>0</v>
      </c>
      <c r="K66" s="138">
        <f>IF('1.DATOS-PROD'!T67="SI",VLOOKUP('1.DATOS-PROD'!T$2,'1.PUNTOS'!$A$1:$B$63,2,0),0)</f>
        <v>0</v>
      </c>
      <c r="L66" s="138">
        <f>IF('1.DATOS-PROD'!U67="SI",VLOOKUP('1.DATOS-PROD'!U$2,'1.PUNTOS'!$A$1:$B$63,2,0),0)</f>
        <v>0</v>
      </c>
      <c r="M66" s="138">
        <f>IF('1.DATOS-PROD'!V67="SI",VLOOKUP('1.DATOS-PROD'!V$2,'1.PUNTOS'!$A$1:$B$63,2,0),0)</f>
        <v>0</v>
      </c>
      <c r="N66" s="138">
        <f>IF('1.DATOS-PROD'!W67="SI",VLOOKUP('1.DATOS-PROD'!W$2,'1.PUNTOS'!$A$1:$B$63,2,0),0)</f>
        <v>0</v>
      </c>
      <c r="O66" s="138">
        <f>IF('1.DATOS-PROD'!X67="SI",VLOOKUP('1.DATOS-PROD'!X$2,'1.PUNTOS'!$A$1:$B$63,2,0),0)</f>
        <v>0</v>
      </c>
      <c r="P66" s="138">
        <f>IF('1.DATOS-PROD'!Y67="SI",VLOOKUP('1.DATOS-PROD'!Y$2,'1.PUNTOS'!$A$1:$B$63,2,0),0)</f>
        <v>0</v>
      </c>
      <c r="Q66" s="138">
        <f>IF('1.DATOS-PROD'!Z67="SI",VLOOKUP('1.DATOS-PROD'!Z$2,'1.PUNTOS'!$A$1:$B$63,2,0),0)</f>
        <v>0</v>
      </c>
      <c r="R66" s="138">
        <f>IF('1.DATOS-PROD'!AA67="SI",VLOOKUP('1.DATOS-PROD'!AA$2,'1.PUNTOS'!$A$1:$B$63,2,0),0)</f>
        <v>0</v>
      </c>
      <c r="S66" s="138">
        <f>IF('1.DATOS-PROD'!AB67="SI",VLOOKUP('1.DATOS-PROD'!AB$2,'1.PUNTOS'!$A$1:$B$63,2,0),0)</f>
        <v>0</v>
      </c>
      <c r="T66" s="138">
        <f>IF('1.DATOS-PROD'!AC67="SI",VLOOKUP('1.DATOS-PROD'!AC$2,'1.PUNTOS'!$A$1:$B$63,2,0),0)</f>
        <v>0</v>
      </c>
      <c r="U66" s="138">
        <f>IF('1.DATOS-PROD'!AD67="SI",VLOOKUP('1.DATOS-PROD'!AD$2,'1.PUNTOS'!$A$1:$B$63,2,0),0)</f>
        <v>0</v>
      </c>
      <c r="V66" s="138">
        <f>IF('1.DATOS-PROD'!AE67="SI",VLOOKUP('1.DATOS-PROD'!AE$2,'1.PUNTOS'!$A$1:$B$63,2,0),0)</f>
        <v>0</v>
      </c>
      <c r="W66" s="138">
        <f>IF('1.DATOS-PROD'!AF67="SI",VLOOKUP('1.DATOS-PROD'!AF$2,'1.PUNTOS'!$A$1:$B$63,2,0),0)</f>
        <v>0</v>
      </c>
      <c r="X66" s="138">
        <f>IF('1.DATOS-PROD'!AG67="SI",VLOOKUP('1.DATOS-PROD'!AG$2,'1.PUNTOS'!$A$1:$B$63,2,0),0)</f>
        <v>0</v>
      </c>
      <c r="Y66" s="138">
        <f>IF('1.DATOS-PROD'!AH67="SI",VLOOKUP('1.DATOS-PROD'!AH$2,'1.PUNTOS'!$A$1:$B$63,2,0),0)</f>
        <v>0</v>
      </c>
      <c r="Z66" s="138">
        <f>IF('1.DATOS-PROD'!AI67="SI",VLOOKUP('1.DATOS-PROD'!AI$2,'1.PUNTOS'!$A$1:$B$63,2,0),0)</f>
        <v>0</v>
      </c>
      <c r="AA66" s="138">
        <f>IF('1.DATOS-PROD'!AJ67="SI",VLOOKUP('1.DATOS-PROD'!AJ$2,'1.PUNTOS'!$A$1:$B$63,2,0),0)</f>
        <v>0</v>
      </c>
      <c r="AB66" s="138">
        <f>IF('1.DATOS-PROD'!AK67="SI",VLOOKUP('1.DATOS-PROD'!AK$2,'1.PUNTOS'!$A$1:$B$63,2,0),0)</f>
        <v>0</v>
      </c>
      <c r="AC66" s="138">
        <f>IF('1.DATOS-PROD'!AL67="SI",VLOOKUP('1.DATOS-PROD'!AL$2,'1.PUNTOS'!$A$1:$B$63,2,0),0)</f>
        <v>0</v>
      </c>
      <c r="AD66" s="138">
        <f>IF('1.DATOS-PROD'!AM67="SI",VLOOKUP('1.DATOS-PROD'!AM$2,'1.PUNTOS'!$A$1:$B$63,2,0),0)</f>
        <v>0</v>
      </c>
      <c r="AE66" s="138">
        <f>IF('1.DATOS-PROD'!AN67="SI",VLOOKUP('1.DATOS-PROD'!AN$2,'1.PUNTOS'!$A$1:$B$63,2,0),0)</f>
        <v>0</v>
      </c>
      <c r="AF66" s="138">
        <f>IF('1.DATOS-PROD'!AO67="SI",VLOOKUP('1.DATOS-PROD'!AO$2,'1.PUNTOS'!$A$1:$B$63,2,0),0)</f>
        <v>0</v>
      </c>
      <c r="AG66" s="138">
        <f>IF('1.DATOS-PROD'!AP67="SI",VLOOKUP('1.DATOS-PROD'!AP$2,'1.PUNTOS'!$A$1:$B$63,2,0),0)</f>
        <v>0</v>
      </c>
      <c r="AH66" s="138">
        <f>IF('1.DATOS-PROD'!AQ67="SI",VLOOKUP('1.DATOS-PROD'!AQ$2,'1.PUNTOS'!$A$1:$B$63,2,0),0)</f>
        <v>0</v>
      </c>
      <c r="AI66" s="138">
        <f>IF('1.DATOS-PROD'!AR67="SI",VLOOKUP('1.DATOS-PROD'!AR$2,'1.PUNTOS'!$A$1:$B$63,2,0),0)</f>
        <v>0</v>
      </c>
      <c r="AJ66" s="138">
        <f>IF('1.DATOS-PROD'!AS67="SI",VLOOKUP('1.DATOS-PROD'!AS$2,'1.PUNTOS'!$A$1:$B$63,2,0),0)</f>
        <v>0</v>
      </c>
      <c r="AK66" s="138">
        <f>IF('1.DATOS-PROD'!AT67="SI",VLOOKUP('1.DATOS-PROD'!AT$2,'1.PUNTOS'!$A$1:$B$63,2,0),0)</f>
        <v>0</v>
      </c>
      <c r="AL66" s="138">
        <f>IF('1.DATOS-PROD'!AU67="SI",VLOOKUP('1.DATOS-PROD'!AU$2,'1.PUNTOS'!$A$1:$B$63,2,0),0)</f>
        <v>0</v>
      </c>
      <c r="AM66" s="138">
        <f>IF('1.DATOS-PROD'!AV67="SI",VLOOKUP('1.DATOS-PROD'!AV$2,'1.PUNTOS'!$A$1:$B$63,2,0),0)</f>
        <v>0</v>
      </c>
      <c r="AN66" s="138">
        <f>IF('1.DATOS-PROD'!AW67="SI",VLOOKUP('1.DATOS-PROD'!AW$2,'1.PUNTOS'!$A$1:$B$63,2,0),0)</f>
        <v>0</v>
      </c>
      <c r="AO66" s="138">
        <f>IF('1.DATOS-PROD'!AX67="SI",VLOOKUP('1.DATOS-PROD'!AX$2,'1.PUNTOS'!$A$1:$B$63,2,0),0)</f>
        <v>0</v>
      </c>
      <c r="AP66" s="138">
        <f>IF('1.DATOS-PROD'!AY67="SI",VLOOKUP('1.DATOS-PROD'!AY$2,'1.PUNTOS'!$A$1:$B$63,2,0),0)</f>
        <v>0</v>
      </c>
      <c r="AQ66" s="138">
        <f>IF('1.DATOS-PROD'!AZ67="SI",VLOOKUP('1.DATOS-PROD'!AZ$2,'1.PUNTOS'!$A$1:$B$63,2,0),0)</f>
        <v>0</v>
      </c>
      <c r="AR66" s="138">
        <f>IF('1.DATOS-PROD'!BA67="SI",VLOOKUP('1.DATOS-PROD'!BA$2,'1.PUNTOS'!$A$1:$B$63,2,0),0)</f>
        <v>0</v>
      </c>
      <c r="AS66" s="138">
        <f>IF('1.DATOS-PROD'!BB67="SI",VLOOKUP('1.DATOS-PROD'!BB$2,'1.PUNTOS'!$A$1:$B$63,2,0),0)</f>
        <v>0</v>
      </c>
      <c r="AT66" s="138">
        <f>IF('1.DATOS-PROD'!BC67="SI",VLOOKUP('1.DATOS-PROD'!BC$2,'1.PUNTOS'!$A$1:$B$63,2,0),0)</f>
        <v>0</v>
      </c>
      <c r="AU66" s="138">
        <f>IF('1.DATOS-PROD'!BD67="SI",VLOOKUP('1.DATOS-PROD'!BD$2,'1.PUNTOS'!$A$1:$B$63,2,0),0)</f>
        <v>0</v>
      </c>
      <c r="AV66" s="138">
        <f>IF('1.DATOS-PROD'!BE67="SI",VLOOKUP('1.DATOS-PROD'!BE$2,'1.PUNTOS'!$A$1:$B$63,2,0),0)</f>
        <v>0</v>
      </c>
      <c r="AW66" s="138">
        <f>IF('1.DATOS-PROD'!BF67="SI",VLOOKUP('1.DATOS-PROD'!BF$2,'1.PUNTOS'!$A$1:$B$63,2,0),0)</f>
        <v>0</v>
      </c>
      <c r="AX66" s="138">
        <f>IF('1.DATOS-PROD'!BG67="SI",VLOOKUP('1.DATOS-PROD'!BG$2,'1.PUNTOS'!$A$1:$B$63,2,0),0)</f>
        <v>0</v>
      </c>
      <c r="AY66" s="138">
        <f>IF('1.DATOS-PROD'!BH67="SI",VLOOKUP('1.DATOS-PROD'!BH$2,'1.PUNTOS'!$A$1:$B$63,2,0),0)</f>
        <v>0</v>
      </c>
      <c r="AZ66" s="138">
        <f>IF('1.DATOS-PROD'!BI67="SI",VLOOKUP('1.DATOS-PROD'!BI$2,'1.PUNTOS'!$A$1:$B$63,2,0),0)</f>
        <v>0</v>
      </c>
      <c r="BA66" s="138">
        <f>IF('1.DATOS-PROD'!BJ67="SI",VLOOKUP('1.DATOS-PROD'!BJ$2,'1.PUNTOS'!$A$1:$B$63,2,0),0)</f>
        <v>0</v>
      </c>
      <c r="BB66" s="138">
        <f>IF('1.DATOS-PROD'!BK67="SI",VLOOKUP('1.DATOS-PROD'!BK$2,'1.PUNTOS'!$A$1:$B$63,2,0),0)</f>
        <v>0</v>
      </c>
      <c r="BC66" s="138">
        <f>IF('1.DATOS-PROD'!BL67="SI",VLOOKUP('1.DATOS-PROD'!BL$2,'1.PUNTOS'!$A$1:$B$63,2,0),0)</f>
        <v>0</v>
      </c>
      <c r="BD66" s="138">
        <f>IF('1.DATOS-PROD'!BM67="SI",VLOOKUP('1.DATOS-PROD'!BM$2,'1.PUNTOS'!$A$1:$B$63,2,0),0)</f>
        <v>0</v>
      </c>
      <c r="BE66" s="138">
        <f>IF('1.DATOS-PROD'!BN67="SI",VLOOKUP('1.DATOS-PROD'!BN$2,'1.PUNTOS'!$A$1:$B$63,2,0),0)</f>
        <v>0</v>
      </c>
      <c r="BF66" s="138">
        <f>IF('1.DATOS-PROD'!BO67="SI",VLOOKUP('1.DATOS-PROD'!BO$2,'1.PUNTOS'!$A$1:$B$63,2,0),0)</f>
        <v>0</v>
      </c>
      <c r="BG66" s="138">
        <f>IF('1.DATOS-PROD'!BP67="SI",VLOOKUP('1.DATOS-PROD'!BP$2,'1.PUNTOS'!$A$1:$B$63,2,0),0)</f>
        <v>0</v>
      </c>
      <c r="BH66" s="138">
        <f>IF('1.DATOS-PROD'!BQ67="SI",VLOOKUP('1.DATOS-PROD'!BQ$2,'1.PUNTOS'!$A$1:$B$63,2,0),0)</f>
        <v>0</v>
      </c>
      <c r="BI66" s="138">
        <f>IF('1.DATOS-PROD'!BR67="SI",VLOOKUP('1.DATOS-PROD'!BR$2,'1.PUNTOS'!$A$1:$B$63,2,0),0)</f>
        <v>0</v>
      </c>
      <c r="BJ66" s="138">
        <f>IF('1.DATOS-PROD'!BS67="SI",VLOOKUP('1.DATOS-PROD'!BS$2,'1.PUNTOS'!$A$1:$B$63,2,0),0)</f>
        <v>0</v>
      </c>
      <c r="BK66" s="138">
        <f>IF('1.DATOS-PROD'!BT67="SI",VLOOKUP('1.DATOS-PROD'!BT$2,'1.PUNTOS'!$A$1:$B$63,2,0),0)</f>
        <v>0</v>
      </c>
    </row>
    <row r="67" spans="1:63" x14ac:dyDescent="0.25">
      <c r="A67">
        <f>'0.Consolidado general'!$A68</f>
        <v>0</v>
      </c>
      <c r="B67" s="138">
        <f>IF('1.DATOS-PROD'!K68="SI",VLOOKUP('1.DATOS-PROD'!K$2,'1.PUNTOS'!$A$1:$B$63,2,0),0)</f>
        <v>0</v>
      </c>
      <c r="C67" s="138">
        <f>IF('1.DATOS-PROD'!L68="SI",VLOOKUP('1.DATOS-PROD'!L$2,'1.PUNTOS'!$A$1:$B$63,2,0),0)</f>
        <v>0</v>
      </c>
      <c r="D67" s="138">
        <f>IF('1.DATOS-PROD'!M68="SI",VLOOKUP('1.DATOS-PROD'!M$2,'1.PUNTOS'!$A$1:$B$63,2,0),0)</f>
        <v>0</v>
      </c>
      <c r="E67" s="138">
        <f>IF('1.DATOS-PROD'!N68="SI",VLOOKUP('1.DATOS-PROD'!N$2,'1.PUNTOS'!$A$1:$B$63,2,0),0)</f>
        <v>0</v>
      </c>
      <c r="F67" s="138">
        <f>IF('1.DATOS-PROD'!O68="SI",VLOOKUP('1.DATOS-PROD'!O$2,'1.PUNTOS'!$A$1:$B$63,2,0),0)</f>
        <v>0</v>
      </c>
      <c r="G67" s="138">
        <f>IF('1.DATOS-PROD'!P68="SI",VLOOKUP('1.DATOS-PROD'!P$2,'1.PUNTOS'!$A$1:$B$63,2,0),0)</f>
        <v>0</v>
      </c>
      <c r="H67" s="138">
        <f>IF('1.DATOS-PROD'!Q68="SI",VLOOKUP('1.DATOS-PROD'!Q$2,'1.PUNTOS'!$A$1:$B$63,2,0),0)</f>
        <v>0</v>
      </c>
      <c r="I67" s="138">
        <f>IF('1.DATOS-PROD'!R68="SI",VLOOKUP('1.DATOS-PROD'!R$2,'1.PUNTOS'!$A$1:$B$63,2,0),0)</f>
        <v>0</v>
      </c>
      <c r="J67" s="138">
        <f>IF('1.DATOS-PROD'!S68="SI",VLOOKUP('1.DATOS-PROD'!S$2,'1.PUNTOS'!$A$1:$B$63,2,0),0)</f>
        <v>0</v>
      </c>
      <c r="K67" s="138">
        <f>IF('1.DATOS-PROD'!T68="SI",VLOOKUP('1.DATOS-PROD'!T$2,'1.PUNTOS'!$A$1:$B$63,2,0),0)</f>
        <v>0</v>
      </c>
      <c r="L67" s="138">
        <f>IF('1.DATOS-PROD'!U68="SI",VLOOKUP('1.DATOS-PROD'!U$2,'1.PUNTOS'!$A$1:$B$63,2,0),0)</f>
        <v>0</v>
      </c>
      <c r="M67" s="138">
        <f>IF('1.DATOS-PROD'!V68="SI",VLOOKUP('1.DATOS-PROD'!V$2,'1.PUNTOS'!$A$1:$B$63,2,0),0)</f>
        <v>0</v>
      </c>
      <c r="N67" s="138">
        <f>IF('1.DATOS-PROD'!W68="SI",VLOOKUP('1.DATOS-PROD'!W$2,'1.PUNTOS'!$A$1:$B$63,2,0),0)</f>
        <v>0</v>
      </c>
      <c r="O67" s="138">
        <f>IF('1.DATOS-PROD'!X68="SI",VLOOKUP('1.DATOS-PROD'!X$2,'1.PUNTOS'!$A$1:$B$63,2,0),0)</f>
        <v>0</v>
      </c>
      <c r="P67" s="138">
        <f>IF('1.DATOS-PROD'!Y68="SI",VLOOKUP('1.DATOS-PROD'!Y$2,'1.PUNTOS'!$A$1:$B$63,2,0),0)</f>
        <v>0</v>
      </c>
      <c r="Q67" s="138">
        <f>IF('1.DATOS-PROD'!Z68="SI",VLOOKUP('1.DATOS-PROD'!Z$2,'1.PUNTOS'!$A$1:$B$63,2,0),0)</f>
        <v>0</v>
      </c>
      <c r="R67" s="138">
        <f>IF('1.DATOS-PROD'!AA68="SI",VLOOKUP('1.DATOS-PROD'!AA$2,'1.PUNTOS'!$A$1:$B$63,2,0),0)</f>
        <v>0</v>
      </c>
      <c r="S67" s="138">
        <f>IF('1.DATOS-PROD'!AB68="SI",VLOOKUP('1.DATOS-PROD'!AB$2,'1.PUNTOS'!$A$1:$B$63,2,0),0)</f>
        <v>0</v>
      </c>
      <c r="T67" s="138">
        <f>IF('1.DATOS-PROD'!AC68="SI",VLOOKUP('1.DATOS-PROD'!AC$2,'1.PUNTOS'!$A$1:$B$63,2,0),0)</f>
        <v>0</v>
      </c>
      <c r="U67" s="138">
        <f>IF('1.DATOS-PROD'!AD68="SI",VLOOKUP('1.DATOS-PROD'!AD$2,'1.PUNTOS'!$A$1:$B$63,2,0),0)</f>
        <v>0</v>
      </c>
      <c r="V67" s="138">
        <f>IF('1.DATOS-PROD'!AE68="SI",VLOOKUP('1.DATOS-PROD'!AE$2,'1.PUNTOS'!$A$1:$B$63,2,0),0)</f>
        <v>0</v>
      </c>
      <c r="W67" s="138">
        <f>IF('1.DATOS-PROD'!AF68="SI",VLOOKUP('1.DATOS-PROD'!AF$2,'1.PUNTOS'!$A$1:$B$63,2,0),0)</f>
        <v>0</v>
      </c>
      <c r="X67" s="138">
        <f>IF('1.DATOS-PROD'!AG68="SI",VLOOKUP('1.DATOS-PROD'!AG$2,'1.PUNTOS'!$A$1:$B$63,2,0),0)</f>
        <v>0</v>
      </c>
      <c r="Y67" s="138">
        <f>IF('1.DATOS-PROD'!AH68="SI",VLOOKUP('1.DATOS-PROD'!AH$2,'1.PUNTOS'!$A$1:$B$63,2,0),0)</f>
        <v>0</v>
      </c>
      <c r="Z67" s="138">
        <f>IF('1.DATOS-PROD'!AI68="SI",VLOOKUP('1.DATOS-PROD'!AI$2,'1.PUNTOS'!$A$1:$B$63,2,0),0)</f>
        <v>0</v>
      </c>
      <c r="AA67" s="138">
        <f>IF('1.DATOS-PROD'!AJ68="SI",VLOOKUP('1.DATOS-PROD'!AJ$2,'1.PUNTOS'!$A$1:$B$63,2,0),0)</f>
        <v>0</v>
      </c>
      <c r="AB67" s="138">
        <f>IF('1.DATOS-PROD'!AK68="SI",VLOOKUP('1.DATOS-PROD'!AK$2,'1.PUNTOS'!$A$1:$B$63,2,0),0)</f>
        <v>0</v>
      </c>
      <c r="AC67" s="138">
        <f>IF('1.DATOS-PROD'!AL68="SI",VLOOKUP('1.DATOS-PROD'!AL$2,'1.PUNTOS'!$A$1:$B$63,2,0),0)</f>
        <v>0</v>
      </c>
      <c r="AD67" s="138">
        <f>IF('1.DATOS-PROD'!AM68="SI",VLOOKUP('1.DATOS-PROD'!AM$2,'1.PUNTOS'!$A$1:$B$63,2,0),0)</f>
        <v>0</v>
      </c>
      <c r="AE67" s="138">
        <f>IF('1.DATOS-PROD'!AN68="SI",VLOOKUP('1.DATOS-PROD'!AN$2,'1.PUNTOS'!$A$1:$B$63,2,0),0)</f>
        <v>0</v>
      </c>
      <c r="AF67" s="138">
        <f>IF('1.DATOS-PROD'!AO68="SI",VLOOKUP('1.DATOS-PROD'!AO$2,'1.PUNTOS'!$A$1:$B$63,2,0),0)</f>
        <v>0</v>
      </c>
      <c r="AG67" s="138">
        <f>IF('1.DATOS-PROD'!AP68="SI",VLOOKUP('1.DATOS-PROD'!AP$2,'1.PUNTOS'!$A$1:$B$63,2,0),0)</f>
        <v>0</v>
      </c>
      <c r="AH67" s="138">
        <f>IF('1.DATOS-PROD'!AQ68="SI",VLOOKUP('1.DATOS-PROD'!AQ$2,'1.PUNTOS'!$A$1:$B$63,2,0),0)</f>
        <v>0</v>
      </c>
      <c r="AI67" s="138">
        <f>IF('1.DATOS-PROD'!AR68="SI",VLOOKUP('1.DATOS-PROD'!AR$2,'1.PUNTOS'!$A$1:$B$63,2,0),0)</f>
        <v>0</v>
      </c>
      <c r="AJ67" s="138">
        <f>IF('1.DATOS-PROD'!AS68="SI",VLOOKUP('1.DATOS-PROD'!AS$2,'1.PUNTOS'!$A$1:$B$63,2,0),0)</f>
        <v>0</v>
      </c>
      <c r="AK67" s="138">
        <f>IF('1.DATOS-PROD'!AT68="SI",VLOOKUP('1.DATOS-PROD'!AT$2,'1.PUNTOS'!$A$1:$B$63,2,0),0)</f>
        <v>0</v>
      </c>
      <c r="AL67" s="138">
        <f>IF('1.DATOS-PROD'!AU68="SI",VLOOKUP('1.DATOS-PROD'!AU$2,'1.PUNTOS'!$A$1:$B$63,2,0),0)</f>
        <v>0</v>
      </c>
      <c r="AM67" s="138">
        <f>IF('1.DATOS-PROD'!AV68="SI",VLOOKUP('1.DATOS-PROD'!AV$2,'1.PUNTOS'!$A$1:$B$63,2,0),0)</f>
        <v>0</v>
      </c>
      <c r="AN67" s="138">
        <f>IF('1.DATOS-PROD'!AW68="SI",VLOOKUP('1.DATOS-PROD'!AW$2,'1.PUNTOS'!$A$1:$B$63,2,0),0)</f>
        <v>0</v>
      </c>
      <c r="AO67" s="138">
        <f>IF('1.DATOS-PROD'!AX68="SI",VLOOKUP('1.DATOS-PROD'!AX$2,'1.PUNTOS'!$A$1:$B$63,2,0),0)</f>
        <v>0</v>
      </c>
      <c r="AP67" s="138">
        <f>IF('1.DATOS-PROD'!AY68="SI",VLOOKUP('1.DATOS-PROD'!AY$2,'1.PUNTOS'!$A$1:$B$63,2,0),0)</f>
        <v>0</v>
      </c>
      <c r="AQ67" s="138">
        <f>IF('1.DATOS-PROD'!AZ68="SI",VLOOKUP('1.DATOS-PROD'!AZ$2,'1.PUNTOS'!$A$1:$B$63,2,0),0)</f>
        <v>0</v>
      </c>
      <c r="AR67" s="138">
        <f>IF('1.DATOS-PROD'!BA68="SI",VLOOKUP('1.DATOS-PROD'!BA$2,'1.PUNTOS'!$A$1:$B$63,2,0),0)</f>
        <v>0</v>
      </c>
      <c r="AS67" s="138">
        <f>IF('1.DATOS-PROD'!BB68="SI",VLOOKUP('1.DATOS-PROD'!BB$2,'1.PUNTOS'!$A$1:$B$63,2,0),0)</f>
        <v>0</v>
      </c>
      <c r="AT67" s="138">
        <f>IF('1.DATOS-PROD'!BC68="SI",VLOOKUP('1.DATOS-PROD'!BC$2,'1.PUNTOS'!$A$1:$B$63,2,0),0)</f>
        <v>0</v>
      </c>
      <c r="AU67" s="138">
        <f>IF('1.DATOS-PROD'!BD68="SI",VLOOKUP('1.DATOS-PROD'!BD$2,'1.PUNTOS'!$A$1:$B$63,2,0),0)</f>
        <v>0</v>
      </c>
      <c r="AV67" s="138">
        <f>IF('1.DATOS-PROD'!BE68="SI",VLOOKUP('1.DATOS-PROD'!BE$2,'1.PUNTOS'!$A$1:$B$63,2,0),0)</f>
        <v>0</v>
      </c>
      <c r="AW67" s="138">
        <f>IF('1.DATOS-PROD'!BF68="SI",VLOOKUP('1.DATOS-PROD'!BF$2,'1.PUNTOS'!$A$1:$B$63,2,0),0)</f>
        <v>0</v>
      </c>
      <c r="AX67" s="138">
        <f>IF('1.DATOS-PROD'!BG68="SI",VLOOKUP('1.DATOS-PROD'!BG$2,'1.PUNTOS'!$A$1:$B$63,2,0),0)</f>
        <v>0</v>
      </c>
      <c r="AY67" s="138">
        <f>IF('1.DATOS-PROD'!BH68="SI",VLOOKUP('1.DATOS-PROD'!BH$2,'1.PUNTOS'!$A$1:$B$63,2,0),0)</f>
        <v>0</v>
      </c>
      <c r="AZ67" s="138">
        <f>IF('1.DATOS-PROD'!BI68="SI",VLOOKUP('1.DATOS-PROD'!BI$2,'1.PUNTOS'!$A$1:$B$63,2,0),0)</f>
        <v>0</v>
      </c>
      <c r="BA67" s="138">
        <f>IF('1.DATOS-PROD'!BJ68="SI",VLOOKUP('1.DATOS-PROD'!BJ$2,'1.PUNTOS'!$A$1:$B$63,2,0),0)</f>
        <v>0</v>
      </c>
      <c r="BB67" s="138">
        <f>IF('1.DATOS-PROD'!BK68="SI",VLOOKUP('1.DATOS-PROD'!BK$2,'1.PUNTOS'!$A$1:$B$63,2,0),0)</f>
        <v>0</v>
      </c>
      <c r="BC67" s="138">
        <f>IF('1.DATOS-PROD'!BL68="SI",VLOOKUP('1.DATOS-PROD'!BL$2,'1.PUNTOS'!$A$1:$B$63,2,0),0)</f>
        <v>0</v>
      </c>
      <c r="BD67" s="138">
        <f>IF('1.DATOS-PROD'!BM68="SI",VLOOKUP('1.DATOS-PROD'!BM$2,'1.PUNTOS'!$A$1:$B$63,2,0),0)</f>
        <v>0</v>
      </c>
      <c r="BE67" s="138">
        <f>IF('1.DATOS-PROD'!BN68="SI",VLOOKUP('1.DATOS-PROD'!BN$2,'1.PUNTOS'!$A$1:$B$63,2,0),0)</f>
        <v>0</v>
      </c>
      <c r="BF67" s="138">
        <f>IF('1.DATOS-PROD'!BO68="SI",VLOOKUP('1.DATOS-PROD'!BO$2,'1.PUNTOS'!$A$1:$B$63,2,0),0)</f>
        <v>0</v>
      </c>
      <c r="BG67" s="138">
        <f>IF('1.DATOS-PROD'!BP68="SI",VLOOKUP('1.DATOS-PROD'!BP$2,'1.PUNTOS'!$A$1:$B$63,2,0),0)</f>
        <v>0</v>
      </c>
      <c r="BH67" s="138">
        <f>IF('1.DATOS-PROD'!BQ68="SI",VLOOKUP('1.DATOS-PROD'!BQ$2,'1.PUNTOS'!$A$1:$B$63,2,0),0)</f>
        <v>0</v>
      </c>
      <c r="BI67" s="138">
        <f>IF('1.DATOS-PROD'!BR68="SI",VLOOKUP('1.DATOS-PROD'!BR$2,'1.PUNTOS'!$A$1:$B$63,2,0),0)</f>
        <v>0</v>
      </c>
      <c r="BJ67" s="138">
        <f>IF('1.DATOS-PROD'!BS68="SI",VLOOKUP('1.DATOS-PROD'!BS$2,'1.PUNTOS'!$A$1:$B$63,2,0),0)</f>
        <v>0</v>
      </c>
      <c r="BK67" s="138">
        <f>IF('1.DATOS-PROD'!BT68="SI",VLOOKUP('1.DATOS-PROD'!BT$2,'1.PUNTOS'!$A$1:$B$63,2,0),0)</f>
        <v>0</v>
      </c>
    </row>
    <row r="68" spans="1:63" x14ac:dyDescent="0.25">
      <c r="A68">
        <f>'0.Consolidado general'!$A69</f>
        <v>0</v>
      </c>
      <c r="B68" s="138">
        <f>IF('1.DATOS-PROD'!K69="SI",VLOOKUP('1.DATOS-PROD'!K$2,'1.PUNTOS'!$A$1:$B$63,2,0),0)</f>
        <v>0</v>
      </c>
      <c r="C68" s="138">
        <f>IF('1.DATOS-PROD'!L69="SI",VLOOKUP('1.DATOS-PROD'!L$2,'1.PUNTOS'!$A$1:$B$63,2,0),0)</f>
        <v>0</v>
      </c>
      <c r="D68" s="138">
        <f>IF('1.DATOS-PROD'!M69="SI",VLOOKUP('1.DATOS-PROD'!M$2,'1.PUNTOS'!$A$1:$B$63,2,0),0)</f>
        <v>0</v>
      </c>
      <c r="E68" s="138">
        <f>IF('1.DATOS-PROD'!N69="SI",VLOOKUP('1.DATOS-PROD'!N$2,'1.PUNTOS'!$A$1:$B$63,2,0),0)</f>
        <v>0</v>
      </c>
      <c r="F68" s="138">
        <f>IF('1.DATOS-PROD'!O69="SI",VLOOKUP('1.DATOS-PROD'!O$2,'1.PUNTOS'!$A$1:$B$63,2,0),0)</f>
        <v>0</v>
      </c>
      <c r="G68" s="138">
        <f>IF('1.DATOS-PROD'!P69="SI",VLOOKUP('1.DATOS-PROD'!P$2,'1.PUNTOS'!$A$1:$B$63,2,0),0)</f>
        <v>0</v>
      </c>
      <c r="H68" s="138">
        <f>IF('1.DATOS-PROD'!Q69="SI",VLOOKUP('1.DATOS-PROD'!Q$2,'1.PUNTOS'!$A$1:$B$63,2,0),0)</f>
        <v>0</v>
      </c>
      <c r="I68" s="138">
        <f>IF('1.DATOS-PROD'!R69="SI",VLOOKUP('1.DATOS-PROD'!R$2,'1.PUNTOS'!$A$1:$B$63,2,0),0)</f>
        <v>0</v>
      </c>
      <c r="J68" s="138">
        <f>IF('1.DATOS-PROD'!S69="SI",VLOOKUP('1.DATOS-PROD'!S$2,'1.PUNTOS'!$A$1:$B$63,2,0),0)</f>
        <v>0</v>
      </c>
      <c r="K68" s="138">
        <f>IF('1.DATOS-PROD'!T69="SI",VLOOKUP('1.DATOS-PROD'!T$2,'1.PUNTOS'!$A$1:$B$63,2,0),0)</f>
        <v>0</v>
      </c>
      <c r="L68" s="138">
        <f>IF('1.DATOS-PROD'!U69="SI",VLOOKUP('1.DATOS-PROD'!U$2,'1.PUNTOS'!$A$1:$B$63,2,0),0)</f>
        <v>0</v>
      </c>
      <c r="M68" s="138">
        <f>IF('1.DATOS-PROD'!V69="SI",VLOOKUP('1.DATOS-PROD'!V$2,'1.PUNTOS'!$A$1:$B$63,2,0),0)</f>
        <v>0</v>
      </c>
      <c r="N68" s="138">
        <f>IF('1.DATOS-PROD'!W69="SI",VLOOKUP('1.DATOS-PROD'!W$2,'1.PUNTOS'!$A$1:$B$63,2,0),0)</f>
        <v>0</v>
      </c>
      <c r="O68" s="138">
        <f>IF('1.DATOS-PROD'!X69="SI",VLOOKUP('1.DATOS-PROD'!X$2,'1.PUNTOS'!$A$1:$B$63,2,0),0)</f>
        <v>0</v>
      </c>
      <c r="P68" s="138">
        <f>IF('1.DATOS-PROD'!Y69="SI",VLOOKUP('1.DATOS-PROD'!Y$2,'1.PUNTOS'!$A$1:$B$63,2,0),0)</f>
        <v>0</v>
      </c>
      <c r="Q68" s="138">
        <f>IF('1.DATOS-PROD'!Z69="SI",VLOOKUP('1.DATOS-PROD'!Z$2,'1.PUNTOS'!$A$1:$B$63,2,0),0)</f>
        <v>0</v>
      </c>
      <c r="R68" s="138">
        <f>IF('1.DATOS-PROD'!AA69="SI",VLOOKUP('1.DATOS-PROD'!AA$2,'1.PUNTOS'!$A$1:$B$63,2,0),0)</f>
        <v>0</v>
      </c>
      <c r="S68" s="138">
        <f>IF('1.DATOS-PROD'!AB69="SI",VLOOKUP('1.DATOS-PROD'!AB$2,'1.PUNTOS'!$A$1:$B$63,2,0),0)</f>
        <v>0</v>
      </c>
      <c r="T68" s="138">
        <f>IF('1.DATOS-PROD'!AC69="SI",VLOOKUP('1.DATOS-PROD'!AC$2,'1.PUNTOS'!$A$1:$B$63,2,0),0)</f>
        <v>0</v>
      </c>
      <c r="U68" s="138">
        <f>IF('1.DATOS-PROD'!AD69="SI",VLOOKUP('1.DATOS-PROD'!AD$2,'1.PUNTOS'!$A$1:$B$63,2,0),0)</f>
        <v>0</v>
      </c>
      <c r="V68" s="138">
        <f>IF('1.DATOS-PROD'!AE69="SI",VLOOKUP('1.DATOS-PROD'!AE$2,'1.PUNTOS'!$A$1:$B$63,2,0),0)</f>
        <v>0</v>
      </c>
      <c r="W68" s="138">
        <f>IF('1.DATOS-PROD'!AF69="SI",VLOOKUP('1.DATOS-PROD'!AF$2,'1.PUNTOS'!$A$1:$B$63,2,0),0)</f>
        <v>0</v>
      </c>
      <c r="X68" s="138">
        <f>IF('1.DATOS-PROD'!AG69="SI",VLOOKUP('1.DATOS-PROD'!AG$2,'1.PUNTOS'!$A$1:$B$63,2,0),0)</f>
        <v>0</v>
      </c>
      <c r="Y68" s="138">
        <f>IF('1.DATOS-PROD'!AH69="SI",VLOOKUP('1.DATOS-PROD'!AH$2,'1.PUNTOS'!$A$1:$B$63,2,0),0)</f>
        <v>0</v>
      </c>
      <c r="Z68" s="138">
        <f>IF('1.DATOS-PROD'!AI69="SI",VLOOKUP('1.DATOS-PROD'!AI$2,'1.PUNTOS'!$A$1:$B$63,2,0),0)</f>
        <v>0</v>
      </c>
      <c r="AA68" s="138">
        <f>IF('1.DATOS-PROD'!AJ69="SI",VLOOKUP('1.DATOS-PROD'!AJ$2,'1.PUNTOS'!$A$1:$B$63,2,0),0)</f>
        <v>0</v>
      </c>
      <c r="AB68" s="138">
        <f>IF('1.DATOS-PROD'!AK69="SI",VLOOKUP('1.DATOS-PROD'!AK$2,'1.PUNTOS'!$A$1:$B$63,2,0),0)</f>
        <v>0</v>
      </c>
      <c r="AC68" s="138">
        <f>IF('1.DATOS-PROD'!AL69="SI",VLOOKUP('1.DATOS-PROD'!AL$2,'1.PUNTOS'!$A$1:$B$63,2,0),0)</f>
        <v>0</v>
      </c>
      <c r="AD68" s="138">
        <f>IF('1.DATOS-PROD'!AM69="SI",VLOOKUP('1.DATOS-PROD'!AM$2,'1.PUNTOS'!$A$1:$B$63,2,0),0)</f>
        <v>0</v>
      </c>
      <c r="AE68" s="138">
        <f>IF('1.DATOS-PROD'!AN69="SI",VLOOKUP('1.DATOS-PROD'!AN$2,'1.PUNTOS'!$A$1:$B$63,2,0),0)</f>
        <v>0</v>
      </c>
      <c r="AF68" s="138">
        <f>IF('1.DATOS-PROD'!AO69="SI",VLOOKUP('1.DATOS-PROD'!AO$2,'1.PUNTOS'!$A$1:$B$63,2,0),0)</f>
        <v>0</v>
      </c>
      <c r="AG68" s="138">
        <f>IF('1.DATOS-PROD'!AP69="SI",VLOOKUP('1.DATOS-PROD'!AP$2,'1.PUNTOS'!$A$1:$B$63,2,0),0)</f>
        <v>0</v>
      </c>
      <c r="AH68" s="138">
        <f>IF('1.DATOS-PROD'!AQ69="SI",VLOOKUP('1.DATOS-PROD'!AQ$2,'1.PUNTOS'!$A$1:$B$63,2,0),0)</f>
        <v>0</v>
      </c>
      <c r="AI68" s="138">
        <f>IF('1.DATOS-PROD'!AR69="SI",VLOOKUP('1.DATOS-PROD'!AR$2,'1.PUNTOS'!$A$1:$B$63,2,0),0)</f>
        <v>0</v>
      </c>
      <c r="AJ68" s="138">
        <f>IF('1.DATOS-PROD'!AS69="SI",VLOOKUP('1.DATOS-PROD'!AS$2,'1.PUNTOS'!$A$1:$B$63,2,0),0)</f>
        <v>0</v>
      </c>
      <c r="AK68" s="138">
        <f>IF('1.DATOS-PROD'!AT69="SI",VLOOKUP('1.DATOS-PROD'!AT$2,'1.PUNTOS'!$A$1:$B$63,2,0),0)</f>
        <v>0</v>
      </c>
      <c r="AL68" s="138">
        <f>IF('1.DATOS-PROD'!AU69="SI",VLOOKUP('1.DATOS-PROD'!AU$2,'1.PUNTOS'!$A$1:$B$63,2,0),0)</f>
        <v>0</v>
      </c>
      <c r="AM68" s="138">
        <f>IF('1.DATOS-PROD'!AV69="SI",VLOOKUP('1.DATOS-PROD'!AV$2,'1.PUNTOS'!$A$1:$B$63,2,0),0)</f>
        <v>0</v>
      </c>
      <c r="AN68" s="138">
        <f>IF('1.DATOS-PROD'!AW69="SI",VLOOKUP('1.DATOS-PROD'!AW$2,'1.PUNTOS'!$A$1:$B$63,2,0),0)</f>
        <v>0</v>
      </c>
      <c r="AO68" s="138">
        <f>IF('1.DATOS-PROD'!AX69="SI",VLOOKUP('1.DATOS-PROD'!AX$2,'1.PUNTOS'!$A$1:$B$63,2,0),0)</f>
        <v>0</v>
      </c>
      <c r="AP68" s="138">
        <f>IF('1.DATOS-PROD'!AY69="SI",VLOOKUP('1.DATOS-PROD'!AY$2,'1.PUNTOS'!$A$1:$B$63,2,0),0)</f>
        <v>0</v>
      </c>
      <c r="AQ68" s="138">
        <f>IF('1.DATOS-PROD'!AZ69="SI",VLOOKUP('1.DATOS-PROD'!AZ$2,'1.PUNTOS'!$A$1:$B$63,2,0),0)</f>
        <v>0</v>
      </c>
      <c r="AR68" s="138">
        <f>IF('1.DATOS-PROD'!BA69="SI",VLOOKUP('1.DATOS-PROD'!BA$2,'1.PUNTOS'!$A$1:$B$63,2,0),0)</f>
        <v>0</v>
      </c>
      <c r="AS68" s="138">
        <f>IF('1.DATOS-PROD'!BB69="SI",VLOOKUP('1.DATOS-PROD'!BB$2,'1.PUNTOS'!$A$1:$B$63,2,0),0)</f>
        <v>0</v>
      </c>
      <c r="AT68" s="138">
        <f>IF('1.DATOS-PROD'!BC69="SI",VLOOKUP('1.DATOS-PROD'!BC$2,'1.PUNTOS'!$A$1:$B$63,2,0),0)</f>
        <v>0</v>
      </c>
      <c r="AU68" s="138">
        <f>IF('1.DATOS-PROD'!BD69="SI",VLOOKUP('1.DATOS-PROD'!BD$2,'1.PUNTOS'!$A$1:$B$63,2,0),0)</f>
        <v>0</v>
      </c>
      <c r="AV68" s="138">
        <f>IF('1.DATOS-PROD'!BE69="SI",VLOOKUP('1.DATOS-PROD'!BE$2,'1.PUNTOS'!$A$1:$B$63,2,0),0)</f>
        <v>0</v>
      </c>
      <c r="AW68" s="138">
        <f>IF('1.DATOS-PROD'!BF69="SI",VLOOKUP('1.DATOS-PROD'!BF$2,'1.PUNTOS'!$A$1:$B$63,2,0),0)</f>
        <v>0</v>
      </c>
      <c r="AX68" s="138">
        <f>IF('1.DATOS-PROD'!BG69="SI",VLOOKUP('1.DATOS-PROD'!BG$2,'1.PUNTOS'!$A$1:$B$63,2,0),0)</f>
        <v>0</v>
      </c>
      <c r="AY68" s="138">
        <f>IF('1.DATOS-PROD'!BH69="SI",VLOOKUP('1.DATOS-PROD'!BH$2,'1.PUNTOS'!$A$1:$B$63,2,0),0)</f>
        <v>0</v>
      </c>
      <c r="AZ68" s="138">
        <f>IF('1.DATOS-PROD'!BI69="SI",VLOOKUP('1.DATOS-PROD'!BI$2,'1.PUNTOS'!$A$1:$B$63,2,0),0)</f>
        <v>0</v>
      </c>
      <c r="BA68" s="138">
        <f>IF('1.DATOS-PROD'!BJ69="SI",VLOOKUP('1.DATOS-PROD'!BJ$2,'1.PUNTOS'!$A$1:$B$63,2,0),0)</f>
        <v>0</v>
      </c>
      <c r="BB68" s="138">
        <f>IF('1.DATOS-PROD'!BK69="SI",VLOOKUP('1.DATOS-PROD'!BK$2,'1.PUNTOS'!$A$1:$B$63,2,0),0)</f>
        <v>0</v>
      </c>
      <c r="BC68" s="138">
        <f>IF('1.DATOS-PROD'!BL69="SI",VLOOKUP('1.DATOS-PROD'!BL$2,'1.PUNTOS'!$A$1:$B$63,2,0),0)</f>
        <v>0</v>
      </c>
      <c r="BD68" s="138">
        <f>IF('1.DATOS-PROD'!BM69="SI",VLOOKUP('1.DATOS-PROD'!BM$2,'1.PUNTOS'!$A$1:$B$63,2,0),0)</f>
        <v>0</v>
      </c>
      <c r="BE68" s="138">
        <f>IF('1.DATOS-PROD'!BN69="SI",VLOOKUP('1.DATOS-PROD'!BN$2,'1.PUNTOS'!$A$1:$B$63,2,0),0)</f>
        <v>0</v>
      </c>
      <c r="BF68" s="138">
        <f>IF('1.DATOS-PROD'!BO69="SI",VLOOKUP('1.DATOS-PROD'!BO$2,'1.PUNTOS'!$A$1:$B$63,2,0),0)</f>
        <v>0</v>
      </c>
      <c r="BG68" s="138">
        <f>IF('1.DATOS-PROD'!BP69="SI",VLOOKUP('1.DATOS-PROD'!BP$2,'1.PUNTOS'!$A$1:$B$63,2,0),0)</f>
        <v>0</v>
      </c>
      <c r="BH68" s="138">
        <f>IF('1.DATOS-PROD'!BQ69="SI",VLOOKUP('1.DATOS-PROD'!BQ$2,'1.PUNTOS'!$A$1:$B$63,2,0),0)</f>
        <v>0</v>
      </c>
      <c r="BI68" s="138">
        <f>IF('1.DATOS-PROD'!BR69="SI",VLOOKUP('1.DATOS-PROD'!BR$2,'1.PUNTOS'!$A$1:$B$63,2,0),0)</f>
        <v>0</v>
      </c>
      <c r="BJ68" s="138">
        <f>IF('1.DATOS-PROD'!BS69="SI",VLOOKUP('1.DATOS-PROD'!BS$2,'1.PUNTOS'!$A$1:$B$63,2,0),0)</f>
        <v>0</v>
      </c>
      <c r="BK68" s="138">
        <f>IF('1.DATOS-PROD'!BT69="SI",VLOOKUP('1.DATOS-PROD'!BT$2,'1.PUNTOS'!$A$1:$B$63,2,0),0)</f>
        <v>0</v>
      </c>
    </row>
    <row r="69" spans="1:63" x14ac:dyDescent="0.25">
      <c r="A69">
        <f>'0.Consolidado general'!$A70</f>
        <v>0</v>
      </c>
      <c r="B69" s="138">
        <f>IF('1.DATOS-PROD'!K70="SI",VLOOKUP('1.DATOS-PROD'!K$2,'1.PUNTOS'!$A$1:$B$63,2,0),0)</f>
        <v>0</v>
      </c>
      <c r="C69" s="138">
        <f>IF('1.DATOS-PROD'!L70="SI",VLOOKUP('1.DATOS-PROD'!L$2,'1.PUNTOS'!$A$1:$B$63,2,0),0)</f>
        <v>0</v>
      </c>
      <c r="D69" s="138">
        <f>IF('1.DATOS-PROD'!M70="SI",VLOOKUP('1.DATOS-PROD'!M$2,'1.PUNTOS'!$A$1:$B$63,2,0),0)</f>
        <v>0</v>
      </c>
      <c r="E69" s="138">
        <f>IF('1.DATOS-PROD'!N70="SI",VLOOKUP('1.DATOS-PROD'!N$2,'1.PUNTOS'!$A$1:$B$63,2,0),0)</f>
        <v>0</v>
      </c>
      <c r="F69" s="138">
        <f>IF('1.DATOS-PROD'!O70="SI",VLOOKUP('1.DATOS-PROD'!O$2,'1.PUNTOS'!$A$1:$B$63,2,0),0)</f>
        <v>0</v>
      </c>
      <c r="G69" s="138">
        <f>IF('1.DATOS-PROD'!P70="SI",VLOOKUP('1.DATOS-PROD'!P$2,'1.PUNTOS'!$A$1:$B$63,2,0),0)</f>
        <v>0</v>
      </c>
      <c r="H69" s="138">
        <f>IF('1.DATOS-PROD'!Q70="SI",VLOOKUP('1.DATOS-PROD'!Q$2,'1.PUNTOS'!$A$1:$B$63,2,0),0)</f>
        <v>0</v>
      </c>
      <c r="I69" s="138">
        <f>IF('1.DATOS-PROD'!R70="SI",VLOOKUP('1.DATOS-PROD'!R$2,'1.PUNTOS'!$A$1:$B$63,2,0),0)</f>
        <v>0</v>
      </c>
      <c r="J69" s="138">
        <f>IF('1.DATOS-PROD'!S70="SI",VLOOKUP('1.DATOS-PROD'!S$2,'1.PUNTOS'!$A$1:$B$63,2,0),0)</f>
        <v>0</v>
      </c>
      <c r="K69" s="138">
        <f>IF('1.DATOS-PROD'!T70="SI",VLOOKUP('1.DATOS-PROD'!T$2,'1.PUNTOS'!$A$1:$B$63,2,0),0)</f>
        <v>0</v>
      </c>
      <c r="L69" s="138">
        <f>IF('1.DATOS-PROD'!U70="SI",VLOOKUP('1.DATOS-PROD'!U$2,'1.PUNTOS'!$A$1:$B$63,2,0),0)</f>
        <v>0</v>
      </c>
      <c r="M69" s="138">
        <f>IF('1.DATOS-PROD'!V70="SI",VLOOKUP('1.DATOS-PROD'!V$2,'1.PUNTOS'!$A$1:$B$63,2,0),0)</f>
        <v>0</v>
      </c>
      <c r="N69" s="138">
        <f>IF('1.DATOS-PROD'!W70="SI",VLOOKUP('1.DATOS-PROD'!W$2,'1.PUNTOS'!$A$1:$B$63,2,0),0)</f>
        <v>0</v>
      </c>
      <c r="O69" s="138">
        <f>IF('1.DATOS-PROD'!X70="SI",VLOOKUP('1.DATOS-PROD'!X$2,'1.PUNTOS'!$A$1:$B$63,2,0),0)</f>
        <v>0</v>
      </c>
      <c r="P69" s="138">
        <f>IF('1.DATOS-PROD'!Y70="SI",VLOOKUP('1.DATOS-PROD'!Y$2,'1.PUNTOS'!$A$1:$B$63,2,0),0)</f>
        <v>0</v>
      </c>
      <c r="Q69" s="138">
        <f>IF('1.DATOS-PROD'!Z70="SI",VLOOKUP('1.DATOS-PROD'!Z$2,'1.PUNTOS'!$A$1:$B$63,2,0),0)</f>
        <v>0</v>
      </c>
      <c r="R69" s="138">
        <f>IF('1.DATOS-PROD'!AA70="SI",VLOOKUP('1.DATOS-PROD'!AA$2,'1.PUNTOS'!$A$1:$B$63,2,0),0)</f>
        <v>0</v>
      </c>
      <c r="S69" s="138">
        <f>IF('1.DATOS-PROD'!AB70="SI",VLOOKUP('1.DATOS-PROD'!AB$2,'1.PUNTOS'!$A$1:$B$63,2,0),0)</f>
        <v>0</v>
      </c>
      <c r="T69" s="138">
        <f>IF('1.DATOS-PROD'!AC70="SI",VLOOKUP('1.DATOS-PROD'!AC$2,'1.PUNTOS'!$A$1:$B$63,2,0),0)</f>
        <v>0</v>
      </c>
      <c r="U69" s="138">
        <f>IF('1.DATOS-PROD'!AD70="SI",VLOOKUP('1.DATOS-PROD'!AD$2,'1.PUNTOS'!$A$1:$B$63,2,0),0)</f>
        <v>0</v>
      </c>
      <c r="V69" s="138">
        <f>IF('1.DATOS-PROD'!AE70="SI",VLOOKUP('1.DATOS-PROD'!AE$2,'1.PUNTOS'!$A$1:$B$63,2,0),0)</f>
        <v>0</v>
      </c>
      <c r="W69" s="138">
        <f>IF('1.DATOS-PROD'!AF70="SI",VLOOKUP('1.DATOS-PROD'!AF$2,'1.PUNTOS'!$A$1:$B$63,2,0),0)</f>
        <v>0</v>
      </c>
      <c r="X69" s="138">
        <f>IF('1.DATOS-PROD'!AG70="SI",VLOOKUP('1.DATOS-PROD'!AG$2,'1.PUNTOS'!$A$1:$B$63,2,0),0)</f>
        <v>0</v>
      </c>
      <c r="Y69" s="138">
        <f>IF('1.DATOS-PROD'!AH70="SI",VLOOKUP('1.DATOS-PROD'!AH$2,'1.PUNTOS'!$A$1:$B$63,2,0),0)</f>
        <v>0</v>
      </c>
      <c r="Z69" s="138">
        <f>IF('1.DATOS-PROD'!AI70="SI",VLOOKUP('1.DATOS-PROD'!AI$2,'1.PUNTOS'!$A$1:$B$63,2,0),0)</f>
        <v>0</v>
      </c>
      <c r="AA69" s="138">
        <f>IF('1.DATOS-PROD'!AJ70="SI",VLOOKUP('1.DATOS-PROD'!AJ$2,'1.PUNTOS'!$A$1:$B$63,2,0),0)</f>
        <v>0</v>
      </c>
      <c r="AB69" s="138">
        <f>IF('1.DATOS-PROD'!AK70="SI",VLOOKUP('1.DATOS-PROD'!AK$2,'1.PUNTOS'!$A$1:$B$63,2,0),0)</f>
        <v>0</v>
      </c>
      <c r="AC69" s="138">
        <f>IF('1.DATOS-PROD'!AL70="SI",VLOOKUP('1.DATOS-PROD'!AL$2,'1.PUNTOS'!$A$1:$B$63,2,0),0)</f>
        <v>0</v>
      </c>
      <c r="AD69" s="138">
        <f>IF('1.DATOS-PROD'!AM70="SI",VLOOKUP('1.DATOS-PROD'!AM$2,'1.PUNTOS'!$A$1:$B$63,2,0),0)</f>
        <v>0</v>
      </c>
      <c r="AE69" s="138">
        <f>IF('1.DATOS-PROD'!AN70="SI",VLOOKUP('1.DATOS-PROD'!AN$2,'1.PUNTOS'!$A$1:$B$63,2,0),0)</f>
        <v>0</v>
      </c>
      <c r="AF69" s="138">
        <f>IF('1.DATOS-PROD'!AO70="SI",VLOOKUP('1.DATOS-PROD'!AO$2,'1.PUNTOS'!$A$1:$B$63,2,0),0)</f>
        <v>0</v>
      </c>
      <c r="AG69" s="138">
        <f>IF('1.DATOS-PROD'!AP70="SI",VLOOKUP('1.DATOS-PROD'!AP$2,'1.PUNTOS'!$A$1:$B$63,2,0),0)</f>
        <v>0</v>
      </c>
      <c r="AH69" s="138">
        <f>IF('1.DATOS-PROD'!AQ70="SI",VLOOKUP('1.DATOS-PROD'!AQ$2,'1.PUNTOS'!$A$1:$B$63,2,0),0)</f>
        <v>0</v>
      </c>
      <c r="AI69" s="138">
        <f>IF('1.DATOS-PROD'!AR70="SI",VLOOKUP('1.DATOS-PROD'!AR$2,'1.PUNTOS'!$A$1:$B$63,2,0),0)</f>
        <v>0</v>
      </c>
      <c r="AJ69" s="138">
        <f>IF('1.DATOS-PROD'!AS70="SI",VLOOKUP('1.DATOS-PROD'!AS$2,'1.PUNTOS'!$A$1:$B$63,2,0),0)</f>
        <v>0</v>
      </c>
      <c r="AK69" s="138">
        <f>IF('1.DATOS-PROD'!AT70="SI",VLOOKUP('1.DATOS-PROD'!AT$2,'1.PUNTOS'!$A$1:$B$63,2,0),0)</f>
        <v>0</v>
      </c>
      <c r="AL69" s="138">
        <f>IF('1.DATOS-PROD'!AU70="SI",VLOOKUP('1.DATOS-PROD'!AU$2,'1.PUNTOS'!$A$1:$B$63,2,0),0)</f>
        <v>0</v>
      </c>
      <c r="AM69" s="138">
        <f>IF('1.DATOS-PROD'!AV70="SI",VLOOKUP('1.DATOS-PROD'!AV$2,'1.PUNTOS'!$A$1:$B$63,2,0),0)</f>
        <v>0</v>
      </c>
      <c r="AN69" s="138">
        <f>IF('1.DATOS-PROD'!AW70="SI",VLOOKUP('1.DATOS-PROD'!AW$2,'1.PUNTOS'!$A$1:$B$63,2,0),0)</f>
        <v>0</v>
      </c>
      <c r="AO69" s="138">
        <f>IF('1.DATOS-PROD'!AX70="SI",VLOOKUP('1.DATOS-PROD'!AX$2,'1.PUNTOS'!$A$1:$B$63,2,0),0)</f>
        <v>0</v>
      </c>
      <c r="AP69" s="138">
        <f>IF('1.DATOS-PROD'!AY70="SI",VLOOKUP('1.DATOS-PROD'!AY$2,'1.PUNTOS'!$A$1:$B$63,2,0),0)</f>
        <v>0</v>
      </c>
      <c r="AQ69" s="138">
        <f>IF('1.DATOS-PROD'!AZ70="SI",VLOOKUP('1.DATOS-PROD'!AZ$2,'1.PUNTOS'!$A$1:$B$63,2,0),0)</f>
        <v>0</v>
      </c>
      <c r="AR69" s="138">
        <f>IF('1.DATOS-PROD'!BA70="SI",VLOOKUP('1.DATOS-PROD'!BA$2,'1.PUNTOS'!$A$1:$B$63,2,0),0)</f>
        <v>0</v>
      </c>
      <c r="AS69" s="138">
        <f>IF('1.DATOS-PROD'!BB70="SI",VLOOKUP('1.DATOS-PROD'!BB$2,'1.PUNTOS'!$A$1:$B$63,2,0),0)</f>
        <v>0</v>
      </c>
      <c r="AT69" s="138">
        <f>IF('1.DATOS-PROD'!BC70="SI",VLOOKUP('1.DATOS-PROD'!BC$2,'1.PUNTOS'!$A$1:$B$63,2,0),0)</f>
        <v>0</v>
      </c>
      <c r="AU69" s="138">
        <f>IF('1.DATOS-PROD'!BD70="SI",VLOOKUP('1.DATOS-PROD'!BD$2,'1.PUNTOS'!$A$1:$B$63,2,0),0)</f>
        <v>0</v>
      </c>
      <c r="AV69" s="138">
        <f>IF('1.DATOS-PROD'!BE70="SI",VLOOKUP('1.DATOS-PROD'!BE$2,'1.PUNTOS'!$A$1:$B$63,2,0),0)</f>
        <v>0</v>
      </c>
      <c r="AW69" s="138">
        <f>IF('1.DATOS-PROD'!BF70="SI",VLOOKUP('1.DATOS-PROD'!BF$2,'1.PUNTOS'!$A$1:$B$63,2,0),0)</f>
        <v>0</v>
      </c>
      <c r="AX69" s="138">
        <f>IF('1.DATOS-PROD'!BG70="SI",VLOOKUP('1.DATOS-PROD'!BG$2,'1.PUNTOS'!$A$1:$B$63,2,0),0)</f>
        <v>0</v>
      </c>
      <c r="AY69" s="138">
        <f>IF('1.DATOS-PROD'!BH70="SI",VLOOKUP('1.DATOS-PROD'!BH$2,'1.PUNTOS'!$A$1:$B$63,2,0),0)</f>
        <v>0</v>
      </c>
      <c r="AZ69" s="138">
        <f>IF('1.DATOS-PROD'!BI70="SI",VLOOKUP('1.DATOS-PROD'!BI$2,'1.PUNTOS'!$A$1:$B$63,2,0),0)</f>
        <v>0</v>
      </c>
      <c r="BA69" s="138">
        <f>IF('1.DATOS-PROD'!BJ70="SI",VLOOKUP('1.DATOS-PROD'!BJ$2,'1.PUNTOS'!$A$1:$B$63,2,0),0)</f>
        <v>0</v>
      </c>
      <c r="BB69" s="138">
        <f>IF('1.DATOS-PROD'!BK70="SI",VLOOKUP('1.DATOS-PROD'!BK$2,'1.PUNTOS'!$A$1:$B$63,2,0),0)</f>
        <v>0</v>
      </c>
      <c r="BC69" s="138">
        <f>IF('1.DATOS-PROD'!BL70="SI",VLOOKUP('1.DATOS-PROD'!BL$2,'1.PUNTOS'!$A$1:$B$63,2,0),0)</f>
        <v>0</v>
      </c>
      <c r="BD69" s="138">
        <f>IF('1.DATOS-PROD'!BM70="SI",VLOOKUP('1.DATOS-PROD'!BM$2,'1.PUNTOS'!$A$1:$B$63,2,0),0)</f>
        <v>0</v>
      </c>
      <c r="BE69" s="138">
        <f>IF('1.DATOS-PROD'!BN70="SI",VLOOKUP('1.DATOS-PROD'!BN$2,'1.PUNTOS'!$A$1:$B$63,2,0),0)</f>
        <v>0</v>
      </c>
      <c r="BF69" s="138">
        <f>IF('1.DATOS-PROD'!BO70="SI",VLOOKUP('1.DATOS-PROD'!BO$2,'1.PUNTOS'!$A$1:$B$63,2,0),0)</f>
        <v>0</v>
      </c>
      <c r="BG69" s="138">
        <f>IF('1.DATOS-PROD'!BP70="SI",VLOOKUP('1.DATOS-PROD'!BP$2,'1.PUNTOS'!$A$1:$B$63,2,0),0)</f>
        <v>0</v>
      </c>
      <c r="BH69" s="138">
        <f>IF('1.DATOS-PROD'!BQ70="SI",VLOOKUP('1.DATOS-PROD'!BQ$2,'1.PUNTOS'!$A$1:$B$63,2,0),0)</f>
        <v>0</v>
      </c>
      <c r="BI69" s="138">
        <f>IF('1.DATOS-PROD'!BR70="SI",VLOOKUP('1.DATOS-PROD'!BR$2,'1.PUNTOS'!$A$1:$B$63,2,0),0)</f>
        <v>0</v>
      </c>
      <c r="BJ69" s="138">
        <f>IF('1.DATOS-PROD'!BS70="SI",VLOOKUP('1.DATOS-PROD'!BS$2,'1.PUNTOS'!$A$1:$B$63,2,0),0)</f>
        <v>0</v>
      </c>
      <c r="BK69" s="138">
        <f>IF('1.DATOS-PROD'!BT70="SI",VLOOKUP('1.DATOS-PROD'!BT$2,'1.PUNTOS'!$A$1:$B$63,2,0),0)</f>
        <v>0</v>
      </c>
    </row>
    <row r="70" spans="1:63" x14ac:dyDescent="0.25">
      <c r="A70">
        <f>'0.Consolidado general'!$A71</f>
        <v>0</v>
      </c>
      <c r="B70" s="138">
        <f>IF('1.DATOS-PROD'!K71="SI",VLOOKUP('1.DATOS-PROD'!K$2,'1.PUNTOS'!$A$1:$B$63,2,0),0)</f>
        <v>0</v>
      </c>
      <c r="C70" s="138">
        <f>IF('1.DATOS-PROD'!L71="SI",VLOOKUP('1.DATOS-PROD'!L$2,'1.PUNTOS'!$A$1:$B$63,2,0),0)</f>
        <v>0</v>
      </c>
      <c r="D70" s="138">
        <f>IF('1.DATOS-PROD'!M71="SI",VLOOKUP('1.DATOS-PROD'!M$2,'1.PUNTOS'!$A$1:$B$63,2,0),0)</f>
        <v>0</v>
      </c>
      <c r="E70" s="138">
        <f>IF('1.DATOS-PROD'!N71="SI",VLOOKUP('1.DATOS-PROD'!N$2,'1.PUNTOS'!$A$1:$B$63,2,0),0)</f>
        <v>0</v>
      </c>
      <c r="F70" s="138">
        <f>IF('1.DATOS-PROD'!O71="SI",VLOOKUP('1.DATOS-PROD'!O$2,'1.PUNTOS'!$A$1:$B$63,2,0),0)</f>
        <v>0</v>
      </c>
      <c r="G70" s="138">
        <f>IF('1.DATOS-PROD'!P71="SI",VLOOKUP('1.DATOS-PROD'!P$2,'1.PUNTOS'!$A$1:$B$63,2,0),0)</f>
        <v>0</v>
      </c>
      <c r="H70" s="138">
        <f>IF('1.DATOS-PROD'!Q71="SI",VLOOKUP('1.DATOS-PROD'!Q$2,'1.PUNTOS'!$A$1:$B$63,2,0),0)</f>
        <v>0</v>
      </c>
      <c r="I70" s="138">
        <f>IF('1.DATOS-PROD'!R71="SI",VLOOKUP('1.DATOS-PROD'!R$2,'1.PUNTOS'!$A$1:$B$63,2,0),0)</f>
        <v>0</v>
      </c>
      <c r="J70" s="138">
        <f>IF('1.DATOS-PROD'!S71="SI",VLOOKUP('1.DATOS-PROD'!S$2,'1.PUNTOS'!$A$1:$B$63,2,0),0)</f>
        <v>0</v>
      </c>
      <c r="K70" s="138">
        <f>IF('1.DATOS-PROD'!T71="SI",VLOOKUP('1.DATOS-PROD'!T$2,'1.PUNTOS'!$A$1:$B$63,2,0),0)</f>
        <v>0</v>
      </c>
      <c r="L70" s="138">
        <f>IF('1.DATOS-PROD'!U71="SI",VLOOKUP('1.DATOS-PROD'!U$2,'1.PUNTOS'!$A$1:$B$63,2,0),0)</f>
        <v>0</v>
      </c>
      <c r="M70" s="138">
        <f>IF('1.DATOS-PROD'!V71="SI",VLOOKUP('1.DATOS-PROD'!V$2,'1.PUNTOS'!$A$1:$B$63,2,0),0)</f>
        <v>0</v>
      </c>
      <c r="N70" s="138">
        <f>IF('1.DATOS-PROD'!W71="SI",VLOOKUP('1.DATOS-PROD'!W$2,'1.PUNTOS'!$A$1:$B$63,2,0),0)</f>
        <v>0</v>
      </c>
      <c r="O70" s="138">
        <f>IF('1.DATOS-PROD'!X71="SI",VLOOKUP('1.DATOS-PROD'!X$2,'1.PUNTOS'!$A$1:$B$63,2,0),0)</f>
        <v>0</v>
      </c>
      <c r="P70" s="138">
        <f>IF('1.DATOS-PROD'!Y71="SI",VLOOKUP('1.DATOS-PROD'!Y$2,'1.PUNTOS'!$A$1:$B$63,2,0),0)</f>
        <v>0</v>
      </c>
      <c r="Q70" s="138">
        <f>IF('1.DATOS-PROD'!Z71="SI",VLOOKUP('1.DATOS-PROD'!Z$2,'1.PUNTOS'!$A$1:$B$63,2,0),0)</f>
        <v>0</v>
      </c>
      <c r="R70" s="138">
        <f>IF('1.DATOS-PROD'!AA71="SI",VLOOKUP('1.DATOS-PROD'!AA$2,'1.PUNTOS'!$A$1:$B$63,2,0),0)</f>
        <v>0</v>
      </c>
      <c r="S70" s="138">
        <f>IF('1.DATOS-PROD'!AB71="SI",VLOOKUP('1.DATOS-PROD'!AB$2,'1.PUNTOS'!$A$1:$B$63,2,0),0)</f>
        <v>0</v>
      </c>
      <c r="T70" s="138">
        <f>IF('1.DATOS-PROD'!AC71="SI",VLOOKUP('1.DATOS-PROD'!AC$2,'1.PUNTOS'!$A$1:$B$63,2,0),0)</f>
        <v>0</v>
      </c>
      <c r="U70" s="138">
        <f>IF('1.DATOS-PROD'!AD71="SI",VLOOKUP('1.DATOS-PROD'!AD$2,'1.PUNTOS'!$A$1:$B$63,2,0),0)</f>
        <v>0</v>
      </c>
      <c r="V70" s="138">
        <f>IF('1.DATOS-PROD'!AE71="SI",VLOOKUP('1.DATOS-PROD'!AE$2,'1.PUNTOS'!$A$1:$B$63,2,0),0)</f>
        <v>0</v>
      </c>
      <c r="W70" s="138">
        <f>IF('1.DATOS-PROD'!AF71="SI",VLOOKUP('1.DATOS-PROD'!AF$2,'1.PUNTOS'!$A$1:$B$63,2,0),0)</f>
        <v>0</v>
      </c>
      <c r="X70" s="138">
        <f>IF('1.DATOS-PROD'!AG71="SI",VLOOKUP('1.DATOS-PROD'!AG$2,'1.PUNTOS'!$A$1:$B$63,2,0),0)</f>
        <v>0</v>
      </c>
      <c r="Y70" s="138">
        <f>IF('1.DATOS-PROD'!AH71="SI",VLOOKUP('1.DATOS-PROD'!AH$2,'1.PUNTOS'!$A$1:$B$63,2,0),0)</f>
        <v>0</v>
      </c>
      <c r="Z70" s="138">
        <f>IF('1.DATOS-PROD'!AI71="SI",VLOOKUP('1.DATOS-PROD'!AI$2,'1.PUNTOS'!$A$1:$B$63,2,0),0)</f>
        <v>0</v>
      </c>
      <c r="AA70" s="138">
        <f>IF('1.DATOS-PROD'!AJ71="SI",VLOOKUP('1.DATOS-PROD'!AJ$2,'1.PUNTOS'!$A$1:$B$63,2,0),0)</f>
        <v>0</v>
      </c>
      <c r="AB70" s="138">
        <f>IF('1.DATOS-PROD'!AK71="SI",VLOOKUP('1.DATOS-PROD'!AK$2,'1.PUNTOS'!$A$1:$B$63,2,0),0)</f>
        <v>0</v>
      </c>
      <c r="AC70" s="138">
        <f>IF('1.DATOS-PROD'!AL71="SI",VLOOKUP('1.DATOS-PROD'!AL$2,'1.PUNTOS'!$A$1:$B$63,2,0),0)</f>
        <v>0</v>
      </c>
      <c r="AD70" s="138">
        <f>IF('1.DATOS-PROD'!AM71="SI",VLOOKUP('1.DATOS-PROD'!AM$2,'1.PUNTOS'!$A$1:$B$63,2,0),0)</f>
        <v>0</v>
      </c>
      <c r="AE70" s="138">
        <f>IF('1.DATOS-PROD'!AN71="SI",VLOOKUP('1.DATOS-PROD'!AN$2,'1.PUNTOS'!$A$1:$B$63,2,0),0)</f>
        <v>0</v>
      </c>
      <c r="AF70" s="138">
        <f>IF('1.DATOS-PROD'!AO71="SI",VLOOKUP('1.DATOS-PROD'!AO$2,'1.PUNTOS'!$A$1:$B$63,2,0),0)</f>
        <v>0</v>
      </c>
      <c r="AG70" s="138">
        <f>IF('1.DATOS-PROD'!AP71="SI",VLOOKUP('1.DATOS-PROD'!AP$2,'1.PUNTOS'!$A$1:$B$63,2,0),0)</f>
        <v>0</v>
      </c>
      <c r="AH70" s="138">
        <f>IF('1.DATOS-PROD'!AQ71="SI",VLOOKUP('1.DATOS-PROD'!AQ$2,'1.PUNTOS'!$A$1:$B$63,2,0),0)</f>
        <v>0</v>
      </c>
      <c r="AI70" s="138">
        <f>IF('1.DATOS-PROD'!AR71="SI",VLOOKUP('1.DATOS-PROD'!AR$2,'1.PUNTOS'!$A$1:$B$63,2,0),0)</f>
        <v>0</v>
      </c>
      <c r="AJ70" s="138">
        <f>IF('1.DATOS-PROD'!AS71="SI",VLOOKUP('1.DATOS-PROD'!AS$2,'1.PUNTOS'!$A$1:$B$63,2,0),0)</f>
        <v>0</v>
      </c>
      <c r="AK70" s="138">
        <f>IF('1.DATOS-PROD'!AT71="SI",VLOOKUP('1.DATOS-PROD'!AT$2,'1.PUNTOS'!$A$1:$B$63,2,0),0)</f>
        <v>0</v>
      </c>
      <c r="AL70" s="138">
        <f>IF('1.DATOS-PROD'!AU71="SI",VLOOKUP('1.DATOS-PROD'!AU$2,'1.PUNTOS'!$A$1:$B$63,2,0),0)</f>
        <v>0</v>
      </c>
      <c r="AM70" s="138">
        <f>IF('1.DATOS-PROD'!AV71="SI",VLOOKUP('1.DATOS-PROD'!AV$2,'1.PUNTOS'!$A$1:$B$63,2,0),0)</f>
        <v>0</v>
      </c>
      <c r="AN70" s="138">
        <f>IF('1.DATOS-PROD'!AW71="SI",VLOOKUP('1.DATOS-PROD'!AW$2,'1.PUNTOS'!$A$1:$B$63,2,0),0)</f>
        <v>0</v>
      </c>
      <c r="AO70" s="138">
        <f>IF('1.DATOS-PROD'!AX71="SI",VLOOKUP('1.DATOS-PROD'!AX$2,'1.PUNTOS'!$A$1:$B$63,2,0),0)</f>
        <v>0</v>
      </c>
      <c r="AP70" s="138">
        <f>IF('1.DATOS-PROD'!AY71="SI",VLOOKUP('1.DATOS-PROD'!AY$2,'1.PUNTOS'!$A$1:$B$63,2,0),0)</f>
        <v>0</v>
      </c>
      <c r="AQ70" s="138">
        <f>IF('1.DATOS-PROD'!AZ71="SI",VLOOKUP('1.DATOS-PROD'!AZ$2,'1.PUNTOS'!$A$1:$B$63,2,0),0)</f>
        <v>0</v>
      </c>
      <c r="AR70" s="138">
        <f>IF('1.DATOS-PROD'!BA71="SI",VLOOKUP('1.DATOS-PROD'!BA$2,'1.PUNTOS'!$A$1:$B$63,2,0),0)</f>
        <v>0</v>
      </c>
      <c r="AS70" s="138">
        <f>IF('1.DATOS-PROD'!BB71="SI",VLOOKUP('1.DATOS-PROD'!BB$2,'1.PUNTOS'!$A$1:$B$63,2,0),0)</f>
        <v>0</v>
      </c>
      <c r="AT70" s="138">
        <f>IF('1.DATOS-PROD'!BC71="SI",VLOOKUP('1.DATOS-PROD'!BC$2,'1.PUNTOS'!$A$1:$B$63,2,0),0)</f>
        <v>0</v>
      </c>
      <c r="AU70" s="138">
        <f>IF('1.DATOS-PROD'!BD71="SI",VLOOKUP('1.DATOS-PROD'!BD$2,'1.PUNTOS'!$A$1:$B$63,2,0),0)</f>
        <v>0</v>
      </c>
      <c r="AV70" s="138">
        <f>IF('1.DATOS-PROD'!BE71="SI",VLOOKUP('1.DATOS-PROD'!BE$2,'1.PUNTOS'!$A$1:$B$63,2,0),0)</f>
        <v>0</v>
      </c>
      <c r="AW70" s="138">
        <f>IF('1.DATOS-PROD'!BF71="SI",VLOOKUP('1.DATOS-PROD'!BF$2,'1.PUNTOS'!$A$1:$B$63,2,0),0)</f>
        <v>0</v>
      </c>
      <c r="AX70" s="138">
        <f>IF('1.DATOS-PROD'!BG71="SI",VLOOKUP('1.DATOS-PROD'!BG$2,'1.PUNTOS'!$A$1:$B$63,2,0),0)</f>
        <v>0</v>
      </c>
      <c r="AY70" s="138">
        <f>IF('1.DATOS-PROD'!BH71="SI",VLOOKUP('1.DATOS-PROD'!BH$2,'1.PUNTOS'!$A$1:$B$63,2,0),0)</f>
        <v>0</v>
      </c>
      <c r="AZ70" s="138">
        <f>IF('1.DATOS-PROD'!BI71="SI",VLOOKUP('1.DATOS-PROD'!BI$2,'1.PUNTOS'!$A$1:$B$63,2,0),0)</f>
        <v>0</v>
      </c>
      <c r="BA70" s="138">
        <f>IF('1.DATOS-PROD'!BJ71="SI",VLOOKUP('1.DATOS-PROD'!BJ$2,'1.PUNTOS'!$A$1:$B$63,2,0),0)</f>
        <v>0</v>
      </c>
      <c r="BB70" s="138">
        <f>IF('1.DATOS-PROD'!BK71="SI",VLOOKUP('1.DATOS-PROD'!BK$2,'1.PUNTOS'!$A$1:$B$63,2,0),0)</f>
        <v>0</v>
      </c>
      <c r="BC70" s="138">
        <f>IF('1.DATOS-PROD'!BL71="SI",VLOOKUP('1.DATOS-PROD'!BL$2,'1.PUNTOS'!$A$1:$B$63,2,0),0)</f>
        <v>0</v>
      </c>
      <c r="BD70" s="138">
        <f>IF('1.DATOS-PROD'!BM71="SI",VLOOKUP('1.DATOS-PROD'!BM$2,'1.PUNTOS'!$A$1:$B$63,2,0),0)</f>
        <v>0</v>
      </c>
      <c r="BE70" s="138">
        <f>IF('1.DATOS-PROD'!BN71="SI",VLOOKUP('1.DATOS-PROD'!BN$2,'1.PUNTOS'!$A$1:$B$63,2,0),0)</f>
        <v>0</v>
      </c>
      <c r="BF70" s="138">
        <f>IF('1.DATOS-PROD'!BO71="SI",VLOOKUP('1.DATOS-PROD'!BO$2,'1.PUNTOS'!$A$1:$B$63,2,0),0)</f>
        <v>0</v>
      </c>
      <c r="BG70" s="138">
        <f>IF('1.DATOS-PROD'!BP71="SI",VLOOKUP('1.DATOS-PROD'!BP$2,'1.PUNTOS'!$A$1:$B$63,2,0),0)</f>
        <v>0</v>
      </c>
      <c r="BH70" s="138">
        <f>IF('1.DATOS-PROD'!BQ71="SI",VLOOKUP('1.DATOS-PROD'!BQ$2,'1.PUNTOS'!$A$1:$B$63,2,0),0)</f>
        <v>0</v>
      </c>
      <c r="BI70" s="138">
        <f>IF('1.DATOS-PROD'!BR71="SI",VLOOKUP('1.DATOS-PROD'!BR$2,'1.PUNTOS'!$A$1:$B$63,2,0),0)</f>
        <v>0</v>
      </c>
      <c r="BJ70" s="138">
        <f>IF('1.DATOS-PROD'!BS71="SI",VLOOKUP('1.DATOS-PROD'!BS$2,'1.PUNTOS'!$A$1:$B$63,2,0),0)</f>
        <v>0</v>
      </c>
      <c r="BK70" s="138">
        <f>IF('1.DATOS-PROD'!BT71="SI",VLOOKUP('1.DATOS-PROD'!BT$2,'1.PUNTOS'!$A$1:$B$63,2,0),0)</f>
        <v>0</v>
      </c>
    </row>
    <row r="71" spans="1:63" x14ac:dyDescent="0.25">
      <c r="A71">
        <f>'0.Consolidado general'!$A72</f>
        <v>0</v>
      </c>
      <c r="B71" s="138">
        <f>IF('1.DATOS-PROD'!K72="SI",VLOOKUP('1.DATOS-PROD'!K$2,'1.PUNTOS'!$A$1:$B$63,2,0),0)</f>
        <v>0</v>
      </c>
      <c r="C71" s="138">
        <f>IF('1.DATOS-PROD'!L72="SI",VLOOKUP('1.DATOS-PROD'!L$2,'1.PUNTOS'!$A$1:$B$63,2,0),0)</f>
        <v>0</v>
      </c>
      <c r="D71" s="138">
        <f>IF('1.DATOS-PROD'!M72="SI",VLOOKUP('1.DATOS-PROD'!M$2,'1.PUNTOS'!$A$1:$B$63,2,0),0)</f>
        <v>0</v>
      </c>
      <c r="E71" s="138">
        <f>IF('1.DATOS-PROD'!N72="SI",VLOOKUP('1.DATOS-PROD'!N$2,'1.PUNTOS'!$A$1:$B$63,2,0),0)</f>
        <v>0</v>
      </c>
      <c r="F71" s="138">
        <f>IF('1.DATOS-PROD'!O72="SI",VLOOKUP('1.DATOS-PROD'!O$2,'1.PUNTOS'!$A$1:$B$63,2,0),0)</f>
        <v>0</v>
      </c>
      <c r="G71" s="138">
        <f>IF('1.DATOS-PROD'!P72="SI",VLOOKUP('1.DATOS-PROD'!P$2,'1.PUNTOS'!$A$1:$B$63,2,0),0)</f>
        <v>0</v>
      </c>
      <c r="H71" s="138">
        <f>IF('1.DATOS-PROD'!Q72="SI",VLOOKUP('1.DATOS-PROD'!Q$2,'1.PUNTOS'!$A$1:$B$63,2,0),0)</f>
        <v>0</v>
      </c>
      <c r="I71" s="138">
        <f>IF('1.DATOS-PROD'!R72="SI",VLOOKUP('1.DATOS-PROD'!R$2,'1.PUNTOS'!$A$1:$B$63,2,0),0)</f>
        <v>0</v>
      </c>
      <c r="J71" s="138">
        <f>IF('1.DATOS-PROD'!S72="SI",VLOOKUP('1.DATOS-PROD'!S$2,'1.PUNTOS'!$A$1:$B$63,2,0),0)</f>
        <v>0</v>
      </c>
      <c r="K71" s="138">
        <f>IF('1.DATOS-PROD'!T72="SI",VLOOKUP('1.DATOS-PROD'!T$2,'1.PUNTOS'!$A$1:$B$63,2,0),0)</f>
        <v>0</v>
      </c>
      <c r="L71" s="138">
        <f>IF('1.DATOS-PROD'!U72="SI",VLOOKUP('1.DATOS-PROD'!U$2,'1.PUNTOS'!$A$1:$B$63,2,0),0)</f>
        <v>0</v>
      </c>
      <c r="M71" s="138">
        <f>IF('1.DATOS-PROD'!V72="SI",VLOOKUP('1.DATOS-PROD'!V$2,'1.PUNTOS'!$A$1:$B$63,2,0),0)</f>
        <v>0</v>
      </c>
      <c r="N71" s="138">
        <f>IF('1.DATOS-PROD'!W72="SI",VLOOKUP('1.DATOS-PROD'!W$2,'1.PUNTOS'!$A$1:$B$63,2,0),0)</f>
        <v>0</v>
      </c>
      <c r="O71" s="138">
        <f>IF('1.DATOS-PROD'!X72="SI",VLOOKUP('1.DATOS-PROD'!X$2,'1.PUNTOS'!$A$1:$B$63,2,0),0)</f>
        <v>0</v>
      </c>
      <c r="P71" s="138">
        <f>IF('1.DATOS-PROD'!Y72="SI",VLOOKUP('1.DATOS-PROD'!Y$2,'1.PUNTOS'!$A$1:$B$63,2,0),0)</f>
        <v>0</v>
      </c>
      <c r="Q71" s="138">
        <f>IF('1.DATOS-PROD'!Z72="SI",VLOOKUP('1.DATOS-PROD'!Z$2,'1.PUNTOS'!$A$1:$B$63,2,0),0)</f>
        <v>0</v>
      </c>
      <c r="R71" s="138">
        <f>IF('1.DATOS-PROD'!AA72="SI",VLOOKUP('1.DATOS-PROD'!AA$2,'1.PUNTOS'!$A$1:$B$63,2,0),0)</f>
        <v>0</v>
      </c>
      <c r="S71" s="138">
        <f>IF('1.DATOS-PROD'!AB72="SI",VLOOKUP('1.DATOS-PROD'!AB$2,'1.PUNTOS'!$A$1:$B$63,2,0),0)</f>
        <v>0</v>
      </c>
      <c r="T71" s="138">
        <f>IF('1.DATOS-PROD'!AC72="SI",VLOOKUP('1.DATOS-PROD'!AC$2,'1.PUNTOS'!$A$1:$B$63,2,0),0)</f>
        <v>0</v>
      </c>
      <c r="U71" s="138">
        <f>IF('1.DATOS-PROD'!AD72="SI",VLOOKUP('1.DATOS-PROD'!AD$2,'1.PUNTOS'!$A$1:$B$63,2,0),0)</f>
        <v>0</v>
      </c>
      <c r="V71" s="138">
        <f>IF('1.DATOS-PROD'!AE72="SI",VLOOKUP('1.DATOS-PROD'!AE$2,'1.PUNTOS'!$A$1:$B$63,2,0),0)</f>
        <v>0</v>
      </c>
      <c r="W71" s="138">
        <f>IF('1.DATOS-PROD'!AF72="SI",VLOOKUP('1.DATOS-PROD'!AF$2,'1.PUNTOS'!$A$1:$B$63,2,0),0)</f>
        <v>0</v>
      </c>
      <c r="X71" s="138">
        <f>IF('1.DATOS-PROD'!AG72="SI",VLOOKUP('1.DATOS-PROD'!AG$2,'1.PUNTOS'!$A$1:$B$63,2,0),0)</f>
        <v>0</v>
      </c>
      <c r="Y71" s="138">
        <f>IF('1.DATOS-PROD'!AH72="SI",VLOOKUP('1.DATOS-PROD'!AH$2,'1.PUNTOS'!$A$1:$B$63,2,0),0)</f>
        <v>0</v>
      </c>
      <c r="Z71" s="138">
        <f>IF('1.DATOS-PROD'!AI72="SI",VLOOKUP('1.DATOS-PROD'!AI$2,'1.PUNTOS'!$A$1:$B$63,2,0),0)</f>
        <v>0</v>
      </c>
      <c r="AA71" s="138">
        <f>IF('1.DATOS-PROD'!AJ72="SI",VLOOKUP('1.DATOS-PROD'!AJ$2,'1.PUNTOS'!$A$1:$B$63,2,0),0)</f>
        <v>0</v>
      </c>
      <c r="AB71" s="138">
        <f>IF('1.DATOS-PROD'!AK72="SI",VLOOKUP('1.DATOS-PROD'!AK$2,'1.PUNTOS'!$A$1:$B$63,2,0),0)</f>
        <v>0</v>
      </c>
      <c r="AC71" s="138">
        <f>IF('1.DATOS-PROD'!AL72="SI",VLOOKUP('1.DATOS-PROD'!AL$2,'1.PUNTOS'!$A$1:$B$63,2,0),0)</f>
        <v>0</v>
      </c>
      <c r="AD71" s="138">
        <f>IF('1.DATOS-PROD'!AM72="SI",VLOOKUP('1.DATOS-PROD'!AM$2,'1.PUNTOS'!$A$1:$B$63,2,0),0)</f>
        <v>0</v>
      </c>
      <c r="AE71" s="138">
        <f>IF('1.DATOS-PROD'!AN72="SI",VLOOKUP('1.DATOS-PROD'!AN$2,'1.PUNTOS'!$A$1:$B$63,2,0),0)</f>
        <v>0</v>
      </c>
      <c r="AF71" s="138">
        <f>IF('1.DATOS-PROD'!AO72="SI",VLOOKUP('1.DATOS-PROD'!AO$2,'1.PUNTOS'!$A$1:$B$63,2,0),0)</f>
        <v>0</v>
      </c>
      <c r="AG71" s="138">
        <f>IF('1.DATOS-PROD'!AP72="SI",VLOOKUP('1.DATOS-PROD'!AP$2,'1.PUNTOS'!$A$1:$B$63,2,0),0)</f>
        <v>0</v>
      </c>
      <c r="AH71" s="138">
        <f>IF('1.DATOS-PROD'!AQ72="SI",VLOOKUP('1.DATOS-PROD'!AQ$2,'1.PUNTOS'!$A$1:$B$63,2,0),0)</f>
        <v>0</v>
      </c>
      <c r="AI71" s="138">
        <f>IF('1.DATOS-PROD'!AR72="SI",VLOOKUP('1.DATOS-PROD'!AR$2,'1.PUNTOS'!$A$1:$B$63,2,0),0)</f>
        <v>0</v>
      </c>
      <c r="AJ71" s="138">
        <f>IF('1.DATOS-PROD'!AS72="SI",VLOOKUP('1.DATOS-PROD'!AS$2,'1.PUNTOS'!$A$1:$B$63,2,0),0)</f>
        <v>0</v>
      </c>
      <c r="AK71" s="138">
        <f>IF('1.DATOS-PROD'!AT72="SI",VLOOKUP('1.DATOS-PROD'!AT$2,'1.PUNTOS'!$A$1:$B$63,2,0),0)</f>
        <v>0</v>
      </c>
      <c r="AL71" s="138">
        <f>IF('1.DATOS-PROD'!AU72="SI",VLOOKUP('1.DATOS-PROD'!AU$2,'1.PUNTOS'!$A$1:$B$63,2,0),0)</f>
        <v>0</v>
      </c>
      <c r="AM71" s="138">
        <f>IF('1.DATOS-PROD'!AV72="SI",VLOOKUP('1.DATOS-PROD'!AV$2,'1.PUNTOS'!$A$1:$B$63,2,0),0)</f>
        <v>0</v>
      </c>
      <c r="AN71" s="138">
        <f>IF('1.DATOS-PROD'!AW72="SI",VLOOKUP('1.DATOS-PROD'!AW$2,'1.PUNTOS'!$A$1:$B$63,2,0),0)</f>
        <v>0</v>
      </c>
      <c r="AO71" s="138">
        <f>IF('1.DATOS-PROD'!AX72="SI",VLOOKUP('1.DATOS-PROD'!AX$2,'1.PUNTOS'!$A$1:$B$63,2,0),0)</f>
        <v>0</v>
      </c>
      <c r="AP71" s="138">
        <f>IF('1.DATOS-PROD'!AY72="SI",VLOOKUP('1.DATOS-PROD'!AY$2,'1.PUNTOS'!$A$1:$B$63,2,0),0)</f>
        <v>0</v>
      </c>
      <c r="AQ71" s="138">
        <f>IF('1.DATOS-PROD'!AZ72="SI",VLOOKUP('1.DATOS-PROD'!AZ$2,'1.PUNTOS'!$A$1:$B$63,2,0),0)</f>
        <v>0</v>
      </c>
      <c r="AR71" s="138">
        <f>IF('1.DATOS-PROD'!BA72="SI",VLOOKUP('1.DATOS-PROD'!BA$2,'1.PUNTOS'!$A$1:$B$63,2,0),0)</f>
        <v>0</v>
      </c>
      <c r="AS71" s="138">
        <f>IF('1.DATOS-PROD'!BB72="SI",VLOOKUP('1.DATOS-PROD'!BB$2,'1.PUNTOS'!$A$1:$B$63,2,0),0)</f>
        <v>0</v>
      </c>
      <c r="AT71" s="138">
        <f>IF('1.DATOS-PROD'!BC72="SI",VLOOKUP('1.DATOS-PROD'!BC$2,'1.PUNTOS'!$A$1:$B$63,2,0),0)</f>
        <v>0</v>
      </c>
      <c r="AU71" s="138">
        <f>IF('1.DATOS-PROD'!BD72="SI",VLOOKUP('1.DATOS-PROD'!BD$2,'1.PUNTOS'!$A$1:$B$63,2,0),0)</f>
        <v>0</v>
      </c>
      <c r="AV71" s="138">
        <f>IF('1.DATOS-PROD'!BE72="SI",VLOOKUP('1.DATOS-PROD'!BE$2,'1.PUNTOS'!$A$1:$B$63,2,0),0)</f>
        <v>0</v>
      </c>
      <c r="AW71" s="138">
        <f>IF('1.DATOS-PROD'!BF72="SI",VLOOKUP('1.DATOS-PROD'!BF$2,'1.PUNTOS'!$A$1:$B$63,2,0),0)</f>
        <v>0</v>
      </c>
      <c r="AX71" s="138">
        <f>IF('1.DATOS-PROD'!BG72="SI",VLOOKUP('1.DATOS-PROD'!BG$2,'1.PUNTOS'!$A$1:$B$63,2,0),0)</f>
        <v>0</v>
      </c>
      <c r="AY71" s="138">
        <f>IF('1.DATOS-PROD'!BH72="SI",VLOOKUP('1.DATOS-PROD'!BH$2,'1.PUNTOS'!$A$1:$B$63,2,0),0)</f>
        <v>0</v>
      </c>
      <c r="AZ71" s="138">
        <f>IF('1.DATOS-PROD'!BI72="SI",VLOOKUP('1.DATOS-PROD'!BI$2,'1.PUNTOS'!$A$1:$B$63,2,0),0)</f>
        <v>0</v>
      </c>
      <c r="BA71" s="138">
        <f>IF('1.DATOS-PROD'!BJ72="SI",VLOOKUP('1.DATOS-PROD'!BJ$2,'1.PUNTOS'!$A$1:$B$63,2,0),0)</f>
        <v>0</v>
      </c>
      <c r="BB71" s="138">
        <f>IF('1.DATOS-PROD'!BK72="SI",VLOOKUP('1.DATOS-PROD'!BK$2,'1.PUNTOS'!$A$1:$B$63,2,0),0)</f>
        <v>0</v>
      </c>
      <c r="BC71" s="138">
        <f>IF('1.DATOS-PROD'!BL72="SI",VLOOKUP('1.DATOS-PROD'!BL$2,'1.PUNTOS'!$A$1:$B$63,2,0),0)</f>
        <v>0</v>
      </c>
      <c r="BD71" s="138">
        <f>IF('1.DATOS-PROD'!BM72="SI",VLOOKUP('1.DATOS-PROD'!BM$2,'1.PUNTOS'!$A$1:$B$63,2,0),0)</f>
        <v>0</v>
      </c>
      <c r="BE71" s="138">
        <f>IF('1.DATOS-PROD'!BN72="SI",VLOOKUP('1.DATOS-PROD'!BN$2,'1.PUNTOS'!$A$1:$B$63,2,0),0)</f>
        <v>0</v>
      </c>
      <c r="BF71" s="138">
        <f>IF('1.DATOS-PROD'!BO72="SI",VLOOKUP('1.DATOS-PROD'!BO$2,'1.PUNTOS'!$A$1:$B$63,2,0),0)</f>
        <v>0</v>
      </c>
      <c r="BG71" s="138">
        <f>IF('1.DATOS-PROD'!BP72="SI",VLOOKUP('1.DATOS-PROD'!BP$2,'1.PUNTOS'!$A$1:$B$63,2,0),0)</f>
        <v>0</v>
      </c>
      <c r="BH71" s="138">
        <f>IF('1.DATOS-PROD'!BQ72="SI",VLOOKUP('1.DATOS-PROD'!BQ$2,'1.PUNTOS'!$A$1:$B$63,2,0),0)</f>
        <v>0</v>
      </c>
      <c r="BI71" s="138">
        <f>IF('1.DATOS-PROD'!BR72="SI",VLOOKUP('1.DATOS-PROD'!BR$2,'1.PUNTOS'!$A$1:$B$63,2,0),0)</f>
        <v>0</v>
      </c>
      <c r="BJ71" s="138">
        <f>IF('1.DATOS-PROD'!BS72="SI",VLOOKUP('1.DATOS-PROD'!BS$2,'1.PUNTOS'!$A$1:$B$63,2,0),0)</f>
        <v>0</v>
      </c>
      <c r="BK71" s="138">
        <f>IF('1.DATOS-PROD'!BT72="SI",VLOOKUP('1.DATOS-PROD'!BT$2,'1.PUNTOS'!$A$1:$B$63,2,0),0)</f>
        <v>0</v>
      </c>
    </row>
    <row r="72" spans="1:63" x14ac:dyDescent="0.25">
      <c r="A72">
        <f>'0.Consolidado general'!$A73</f>
        <v>0</v>
      </c>
      <c r="B72" s="138">
        <f>IF('1.DATOS-PROD'!K73="SI",VLOOKUP('1.DATOS-PROD'!K$2,'1.PUNTOS'!$A$1:$B$63,2,0),0)</f>
        <v>0</v>
      </c>
      <c r="C72" s="138">
        <f>IF('1.DATOS-PROD'!L73="SI",VLOOKUP('1.DATOS-PROD'!L$2,'1.PUNTOS'!$A$1:$B$63,2,0),0)</f>
        <v>0</v>
      </c>
      <c r="D72" s="138">
        <f>IF('1.DATOS-PROD'!M73="SI",VLOOKUP('1.DATOS-PROD'!M$2,'1.PUNTOS'!$A$1:$B$63,2,0),0)</f>
        <v>0</v>
      </c>
      <c r="E72" s="138">
        <f>IF('1.DATOS-PROD'!N73="SI",VLOOKUP('1.DATOS-PROD'!N$2,'1.PUNTOS'!$A$1:$B$63,2,0),0)</f>
        <v>0</v>
      </c>
      <c r="F72" s="138">
        <f>IF('1.DATOS-PROD'!O73="SI",VLOOKUP('1.DATOS-PROD'!O$2,'1.PUNTOS'!$A$1:$B$63,2,0),0)</f>
        <v>0</v>
      </c>
      <c r="G72" s="138">
        <f>IF('1.DATOS-PROD'!P73="SI",VLOOKUP('1.DATOS-PROD'!P$2,'1.PUNTOS'!$A$1:$B$63,2,0),0)</f>
        <v>0</v>
      </c>
      <c r="H72" s="138">
        <f>IF('1.DATOS-PROD'!Q73="SI",VLOOKUP('1.DATOS-PROD'!Q$2,'1.PUNTOS'!$A$1:$B$63,2,0),0)</f>
        <v>0</v>
      </c>
      <c r="I72" s="138">
        <f>IF('1.DATOS-PROD'!R73="SI",VLOOKUP('1.DATOS-PROD'!R$2,'1.PUNTOS'!$A$1:$B$63,2,0),0)</f>
        <v>0</v>
      </c>
      <c r="J72" s="138">
        <f>IF('1.DATOS-PROD'!S73="SI",VLOOKUP('1.DATOS-PROD'!S$2,'1.PUNTOS'!$A$1:$B$63,2,0),0)</f>
        <v>0</v>
      </c>
      <c r="K72" s="138">
        <f>IF('1.DATOS-PROD'!T73="SI",VLOOKUP('1.DATOS-PROD'!T$2,'1.PUNTOS'!$A$1:$B$63,2,0),0)</f>
        <v>0</v>
      </c>
      <c r="L72" s="138">
        <f>IF('1.DATOS-PROD'!U73="SI",VLOOKUP('1.DATOS-PROD'!U$2,'1.PUNTOS'!$A$1:$B$63,2,0),0)</f>
        <v>0</v>
      </c>
      <c r="M72" s="138">
        <f>IF('1.DATOS-PROD'!V73="SI",VLOOKUP('1.DATOS-PROD'!V$2,'1.PUNTOS'!$A$1:$B$63,2,0),0)</f>
        <v>0</v>
      </c>
      <c r="N72" s="138">
        <f>IF('1.DATOS-PROD'!W73="SI",VLOOKUP('1.DATOS-PROD'!W$2,'1.PUNTOS'!$A$1:$B$63,2,0),0)</f>
        <v>0</v>
      </c>
      <c r="O72" s="138">
        <f>IF('1.DATOS-PROD'!X73="SI",VLOOKUP('1.DATOS-PROD'!X$2,'1.PUNTOS'!$A$1:$B$63,2,0),0)</f>
        <v>0</v>
      </c>
      <c r="P72" s="138">
        <f>IF('1.DATOS-PROD'!Y73="SI",VLOOKUP('1.DATOS-PROD'!Y$2,'1.PUNTOS'!$A$1:$B$63,2,0),0)</f>
        <v>0</v>
      </c>
      <c r="Q72" s="138">
        <f>IF('1.DATOS-PROD'!Z73="SI",VLOOKUP('1.DATOS-PROD'!Z$2,'1.PUNTOS'!$A$1:$B$63,2,0),0)</f>
        <v>0</v>
      </c>
      <c r="R72" s="138">
        <f>IF('1.DATOS-PROD'!AA73="SI",VLOOKUP('1.DATOS-PROD'!AA$2,'1.PUNTOS'!$A$1:$B$63,2,0),0)</f>
        <v>0</v>
      </c>
      <c r="S72" s="138">
        <f>IF('1.DATOS-PROD'!AB73="SI",VLOOKUP('1.DATOS-PROD'!AB$2,'1.PUNTOS'!$A$1:$B$63,2,0),0)</f>
        <v>0</v>
      </c>
      <c r="T72" s="138">
        <f>IF('1.DATOS-PROD'!AC73="SI",VLOOKUP('1.DATOS-PROD'!AC$2,'1.PUNTOS'!$A$1:$B$63,2,0),0)</f>
        <v>0</v>
      </c>
      <c r="U72" s="138">
        <f>IF('1.DATOS-PROD'!AD73="SI",VLOOKUP('1.DATOS-PROD'!AD$2,'1.PUNTOS'!$A$1:$B$63,2,0),0)</f>
        <v>0</v>
      </c>
      <c r="V72" s="138">
        <f>IF('1.DATOS-PROD'!AE73="SI",VLOOKUP('1.DATOS-PROD'!AE$2,'1.PUNTOS'!$A$1:$B$63,2,0),0)</f>
        <v>0</v>
      </c>
      <c r="W72" s="138">
        <f>IF('1.DATOS-PROD'!AF73="SI",VLOOKUP('1.DATOS-PROD'!AF$2,'1.PUNTOS'!$A$1:$B$63,2,0),0)</f>
        <v>0</v>
      </c>
      <c r="X72" s="138">
        <f>IF('1.DATOS-PROD'!AG73="SI",VLOOKUP('1.DATOS-PROD'!AG$2,'1.PUNTOS'!$A$1:$B$63,2,0),0)</f>
        <v>0</v>
      </c>
      <c r="Y72" s="138">
        <f>IF('1.DATOS-PROD'!AH73="SI",VLOOKUP('1.DATOS-PROD'!AH$2,'1.PUNTOS'!$A$1:$B$63,2,0),0)</f>
        <v>0</v>
      </c>
      <c r="Z72" s="138">
        <f>IF('1.DATOS-PROD'!AI73="SI",VLOOKUP('1.DATOS-PROD'!AI$2,'1.PUNTOS'!$A$1:$B$63,2,0),0)</f>
        <v>0</v>
      </c>
      <c r="AA72" s="138">
        <f>IF('1.DATOS-PROD'!AJ73="SI",VLOOKUP('1.DATOS-PROD'!AJ$2,'1.PUNTOS'!$A$1:$B$63,2,0),0)</f>
        <v>0</v>
      </c>
      <c r="AB72" s="138">
        <f>IF('1.DATOS-PROD'!AK73="SI",VLOOKUP('1.DATOS-PROD'!AK$2,'1.PUNTOS'!$A$1:$B$63,2,0),0)</f>
        <v>0</v>
      </c>
      <c r="AC72" s="138">
        <f>IF('1.DATOS-PROD'!AL73="SI",VLOOKUP('1.DATOS-PROD'!AL$2,'1.PUNTOS'!$A$1:$B$63,2,0),0)</f>
        <v>0</v>
      </c>
      <c r="AD72" s="138">
        <f>IF('1.DATOS-PROD'!AM73="SI",VLOOKUP('1.DATOS-PROD'!AM$2,'1.PUNTOS'!$A$1:$B$63,2,0),0)</f>
        <v>0</v>
      </c>
      <c r="AE72" s="138">
        <f>IF('1.DATOS-PROD'!AN73="SI",VLOOKUP('1.DATOS-PROD'!AN$2,'1.PUNTOS'!$A$1:$B$63,2,0),0)</f>
        <v>0</v>
      </c>
      <c r="AF72" s="138">
        <f>IF('1.DATOS-PROD'!AO73="SI",VLOOKUP('1.DATOS-PROD'!AO$2,'1.PUNTOS'!$A$1:$B$63,2,0),0)</f>
        <v>0</v>
      </c>
      <c r="AG72" s="138">
        <f>IF('1.DATOS-PROD'!AP73="SI",VLOOKUP('1.DATOS-PROD'!AP$2,'1.PUNTOS'!$A$1:$B$63,2,0),0)</f>
        <v>0</v>
      </c>
      <c r="AH72" s="138">
        <f>IF('1.DATOS-PROD'!AQ73="SI",VLOOKUP('1.DATOS-PROD'!AQ$2,'1.PUNTOS'!$A$1:$B$63,2,0),0)</f>
        <v>0</v>
      </c>
      <c r="AI72" s="138">
        <f>IF('1.DATOS-PROD'!AR73="SI",VLOOKUP('1.DATOS-PROD'!AR$2,'1.PUNTOS'!$A$1:$B$63,2,0),0)</f>
        <v>0</v>
      </c>
      <c r="AJ72" s="138">
        <f>IF('1.DATOS-PROD'!AS73="SI",VLOOKUP('1.DATOS-PROD'!AS$2,'1.PUNTOS'!$A$1:$B$63,2,0),0)</f>
        <v>0</v>
      </c>
      <c r="AK72" s="138">
        <f>IF('1.DATOS-PROD'!AT73="SI",VLOOKUP('1.DATOS-PROD'!AT$2,'1.PUNTOS'!$A$1:$B$63,2,0),0)</f>
        <v>0</v>
      </c>
      <c r="AL72" s="138">
        <f>IF('1.DATOS-PROD'!AU73="SI",VLOOKUP('1.DATOS-PROD'!AU$2,'1.PUNTOS'!$A$1:$B$63,2,0),0)</f>
        <v>0</v>
      </c>
      <c r="AM72" s="138">
        <f>IF('1.DATOS-PROD'!AV73="SI",VLOOKUP('1.DATOS-PROD'!AV$2,'1.PUNTOS'!$A$1:$B$63,2,0),0)</f>
        <v>0</v>
      </c>
      <c r="AN72" s="138">
        <f>IF('1.DATOS-PROD'!AW73="SI",VLOOKUP('1.DATOS-PROD'!AW$2,'1.PUNTOS'!$A$1:$B$63,2,0),0)</f>
        <v>0</v>
      </c>
      <c r="AO72" s="138">
        <f>IF('1.DATOS-PROD'!AX73="SI",VLOOKUP('1.DATOS-PROD'!AX$2,'1.PUNTOS'!$A$1:$B$63,2,0),0)</f>
        <v>0</v>
      </c>
      <c r="AP72" s="138">
        <f>IF('1.DATOS-PROD'!AY73="SI",VLOOKUP('1.DATOS-PROD'!AY$2,'1.PUNTOS'!$A$1:$B$63,2,0),0)</f>
        <v>0</v>
      </c>
      <c r="AQ72" s="138">
        <f>IF('1.DATOS-PROD'!AZ73="SI",VLOOKUP('1.DATOS-PROD'!AZ$2,'1.PUNTOS'!$A$1:$B$63,2,0),0)</f>
        <v>0</v>
      </c>
      <c r="AR72" s="138">
        <f>IF('1.DATOS-PROD'!BA73="SI",VLOOKUP('1.DATOS-PROD'!BA$2,'1.PUNTOS'!$A$1:$B$63,2,0),0)</f>
        <v>0</v>
      </c>
      <c r="AS72" s="138">
        <f>IF('1.DATOS-PROD'!BB73="SI",VLOOKUP('1.DATOS-PROD'!BB$2,'1.PUNTOS'!$A$1:$B$63,2,0),0)</f>
        <v>0</v>
      </c>
      <c r="AT72" s="138">
        <f>IF('1.DATOS-PROD'!BC73="SI",VLOOKUP('1.DATOS-PROD'!BC$2,'1.PUNTOS'!$A$1:$B$63,2,0),0)</f>
        <v>0</v>
      </c>
      <c r="AU72" s="138">
        <f>IF('1.DATOS-PROD'!BD73="SI",VLOOKUP('1.DATOS-PROD'!BD$2,'1.PUNTOS'!$A$1:$B$63,2,0),0)</f>
        <v>0</v>
      </c>
      <c r="AV72" s="138">
        <f>IF('1.DATOS-PROD'!BE73="SI",VLOOKUP('1.DATOS-PROD'!BE$2,'1.PUNTOS'!$A$1:$B$63,2,0),0)</f>
        <v>0</v>
      </c>
      <c r="AW72" s="138">
        <f>IF('1.DATOS-PROD'!BF73="SI",VLOOKUP('1.DATOS-PROD'!BF$2,'1.PUNTOS'!$A$1:$B$63,2,0),0)</f>
        <v>0</v>
      </c>
      <c r="AX72" s="138">
        <f>IF('1.DATOS-PROD'!BG73="SI",VLOOKUP('1.DATOS-PROD'!BG$2,'1.PUNTOS'!$A$1:$B$63,2,0),0)</f>
        <v>0</v>
      </c>
      <c r="AY72" s="138">
        <f>IF('1.DATOS-PROD'!BH73="SI",VLOOKUP('1.DATOS-PROD'!BH$2,'1.PUNTOS'!$A$1:$B$63,2,0),0)</f>
        <v>0</v>
      </c>
      <c r="AZ72" s="138">
        <f>IF('1.DATOS-PROD'!BI73="SI",VLOOKUP('1.DATOS-PROD'!BI$2,'1.PUNTOS'!$A$1:$B$63,2,0),0)</f>
        <v>0</v>
      </c>
      <c r="BA72" s="138">
        <f>IF('1.DATOS-PROD'!BJ73="SI",VLOOKUP('1.DATOS-PROD'!BJ$2,'1.PUNTOS'!$A$1:$B$63,2,0),0)</f>
        <v>0</v>
      </c>
      <c r="BB72" s="138">
        <f>IF('1.DATOS-PROD'!BK73="SI",VLOOKUP('1.DATOS-PROD'!BK$2,'1.PUNTOS'!$A$1:$B$63,2,0),0)</f>
        <v>0</v>
      </c>
      <c r="BC72" s="138">
        <f>IF('1.DATOS-PROD'!BL73="SI",VLOOKUP('1.DATOS-PROD'!BL$2,'1.PUNTOS'!$A$1:$B$63,2,0),0)</f>
        <v>0</v>
      </c>
      <c r="BD72" s="138">
        <f>IF('1.DATOS-PROD'!BM73="SI",VLOOKUP('1.DATOS-PROD'!BM$2,'1.PUNTOS'!$A$1:$B$63,2,0),0)</f>
        <v>0</v>
      </c>
      <c r="BE72" s="138">
        <f>IF('1.DATOS-PROD'!BN73="SI",VLOOKUP('1.DATOS-PROD'!BN$2,'1.PUNTOS'!$A$1:$B$63,2,0),0)</f>
        <v>0</v>
      </c>
      <c r="BF72" s="138">
        <f>IF('1.DATOS-PROD'!BO73="SI",VLOOKUP('1.DATOS-PROD'!BO$2,'1.PUNTOS'!$A$1:$B$63,2,0),0)</f>
        <v>0</v>
      </c>
      <c r="BG72" s="138">
        <f>IF('1.DATOS-PROD'!BP73="SI",VLOOKUP('1.DATOS-PROD'!BP$2,'1.PUNTOS'!$A$1:$B$63,2,0),0)</f>
        <v>0</v>
      </c>
      <c r="BH72" s="138">
        <f>IF('1.DATOS-PROD'!BQ73="SI",VLOOKUP('1.DATOS-PROD'!BQ$2,'1.PUNTOS'!$A$1:$B$63,2,0),0)</f>
        <v>0</v>
      </c>
      <c r="BI72" s="138">
        <f>IF('1.DATOS-PROD'!BR73="SI",VLOOKUP('1.DATOS-PROD'!BR$2,'1.PUNTOS'!$A$1:$B$63,2,0),0)</f>
        <v>0</v>
      </c>
      <c r="BJ72" s="138">
        <f>IF('1.DATOS-PROD'!BS73="SI",VLOOKUP('1.DATOS-PROD'!BS$2,'1.PUNTOS'!$A$1:$B$63,2,0),0)</f>
        <v>0</v>
      </c>
      <c r="BK72" s="138">
        <f>IF('1.DATOS-PROD'!BT73="SI",VLOOKUP('1.DATOS-PROD'!BT$2,'1.PUNTOS'!$A$1:$B$63,2,0),0)</f>
        <v>0</v>
      </c>
    </row>
    <row r="73" spans="1:63" x14ac:dyDescent="0.25">
      <c r="A73">
        <f>'0.Consolidado general'!$A74</f>
        <v>0</v>
      </c>
      <c r="B73" s="138">
        <f>IF('1.DATOS-PROD'!K74="SI",VLOOKUP('1.DATOS-PROD'!K$2,'1.PUNTOS'!$A$1:$B$63,2,0),0)</f>
        <v>0</v>
      </c>
      <c r="C73" s="138">
        <f>IF('1.DATOS-PROD'!L74="SI",VLOOKUP('1.DATOS-PROD'!L$2,'1.PUNTOS'!$A$1:$B$63,2,0),0)</f>
        <v>0</v>
      </c>
      <c r="D73" s="138">
        <f>IF('1.DATOS-PROD'!M74="SI",VLOOKUP('1.DATOS-PROD'!M$2,'1.PUNTOS'!$A$1:$B$63,2,0),0)</f>
        <v>0</v>
      </c>
      <c r="E73" s="138">
        <f>IF('1.DATOS-PROD'!N74="SI",VLOOKUP('1.DATOS-PROD'!N$2,'1.PUNTOS'!$A$1:$B$63,2,0),0)</f>
        <v>0</v>
      </c>
      <c r="F73" s="138">
        <f>IF('1.DATOS-PROD'!O74="SI",VLOOKUP('1.DATOS-PROD'!O$2,'1.PUNTOS'!$A$1:$B$63,2,0),0)</f>
        <v>0</v>
      </c>
      <c r="G73" s="138">
        <f>IF('1.DATOS-PROD'!P74="SI",VLOOKUP('1.DATOS-PROD'!P$2,'1.PUNTOS'!$A$1:$B$63,2,0),0)</f>
        <v>0</v>
      </c>
      <c r="H73" s="138">
        <f>IF('1.DATOS-PROD'!Q74="SI",VLOOKUP('1.DATOS-PROD'!Q$2,'1.PUNTOS'!$A$1:$B$63,2,0),0)</f>
        <v>0</v>
      </c>
      <c r="I73" s="138">
        <f>IF('1.DATOS-PROD'!R74="SI",VLOOKUP('1.DATOS-PROD'!R$2,'1.PUNTOS'!$A$1:$B$63,2,0),0)</f>
        <v>0</v>
      </c>
      <c r="J73" s="138">
        <f>IF('1.DATOS-PROD'!S74="SI",VLOOKUP('1.DATOS-PROD'!S$2,'1.PUNTOS'!$A$1:$B$63,2,0),0)</f>
        <v>0</v>
      </c>
      <c r="K73" s="138">
        <f>IF('1.DATOS-PROD'!T74="SI",VLOOKUP('1.DATOS-PROD'!T$2,'1.PUNTOS'!$A$1:$B$63,2,0),0)</f>
        <v>0</v>
      </c>
      <c r="L73" s="138">
        <f>IF('1.DATOS-PROD'!U74="SI",VLOOKUP('1.DATOS-PROD'!U$2,'1.PUNTOS'!$A$1:$B$63,2,0),0)</f>
        <v>0</v>
      </c>
      <c r="M73" s="138">
        <f>IF('1.DATOS-PROD'!V74="SI",VLOOKUP('1.DATOS-PROD'!V$2,'1.PUNTOS'!$A$1:$B$63,2,0),0)</f>
        <v>0</v>
      </c>
      <c r="N73" s="138">
        <f>IF('1.DATOS-PROD'!W74="SI",VLOOKUP('1.DATOS-PROD'!W$2,'1.PUNTOS'!$A$1:$B$63,2,0),0)</f>
        <v>0</v>
      </c>
      <c r="O73" s="138">
        <f>IF('1.DATOS-PROD'!X74="SI",VLOOKUP('1.DATOS-PROD'!X$2,'1.PUNTOS'!$A$1:$B$63,2,0),0)</f>
        <v>0</v>
      </c>
      <c r="P73" s="138">
        <f>IF('1.DATOS-PROD'!Y74="SI",VLOOKUP('1.DATOS-PROD'!Y$2,'1.PUNTOS'!$A$1:$B$63,2,0),0)</f>
        <v>0</v>
      </c>
      <c r="Q73" s="138">
        <f>IF('1.DATOS-PROD'!Z74="SI",VLOOKUP('1.DATOS-PROD'!Z$2,'1.PUNTOS'!$A$1:$B$63,2,0),0)</f>
        <v>0</v>
      </c>
      <c r="R73" s="138">
        <f>IF('1.DATOS-PROD'!AA74="SI",VLOOKUP('1.DATOS-PROD'!AA$2,'1.PUNTOS'!$A$1:$B$63,2,0),0)</f>
        <v>0</v>
      </c>
      <c r="S73" s="138">
        <f>IF('1.DATOS-PROD'!AB74="SI",VLOOKUP('1.DATOS-PROD'!AB$2,'1.PUNTOS'!$A$1:$B$63,2,0),0)</f>
        <v>0</v>
      </c>
      <c r="T73" s="138">
        <f>IF('1.DATOS-PROD'!AC74="SI",VLOOKUP('1.DATOS-PROD'!AC$2,'1.PUNTOS'!$A$1:$B$63,2,0),0)</f>
        <v>0</v>
      </c>
      <c r="U73" s="138">
        <f>IF('1.DATOS-PROD'!AD74="SI",VLOOKUP('1.DATOS-PROD'!AD$2,'1.PUNTOS'!$A$1:$B$63,2,0),0)</f>
        <v>0</v>
      </c>
      <c r="V73" s="138">
        <f>IF('1.DATOS-PROD'!AE74="SI",VLOOKUP('1.DATOS-PROD'!AE$2,'1.PUNTOS'!$A$1:$B$63,2,0),0)</f>
        <v>0</v>
      </c>
      <c r="W73" s="138">
        <f>IF('1.DATOS-PROD'!AF74="SI",VLOOKUP('1.DATOS-PROD'!AF$2,'1.PUNTOS'!$A$1:$B$63,2,0),0)</f>
        <v>0</v>
      </c>
      <c r="X73" s="138">
        <f>IF('1.DATOS-PROD'!AG74="SI",VLOOKUP('1.DATOS-PROD'!AG$2,'1.PUNTOS'!$A$1:$B$63,2,0),0)</f>
        <v>0</v>
      </c>
      <c r="Y73" s="138">
        <f>IF('1.DATOS-PROD'!AH74="SI",VLOOKUP('1.DATOS-PROD'!AH$2,'1.PUNTOS'!$A$1:$B$63,2,0),0)</f>
        <v>0</v>
      </c>
      <c r="Z73" s="138">
        <f>IF('1.DATOS-PROD'!AI74="SI",VLOOKUP('1.DATOS-PROD'!AI$2,'1.PUNTOS'!$A$1:$B$63,2,0),0)</f>
        <v>0</v>
      </c>
      <c r="AA73" s="138">
        <f>IF('1.DATOS-PROD'!AJ74="SI",VLOOKUP('1.DATOS-PROD'!AJ$2,'1.PUNTOS'!$A$1:$B$63,2,0),0)</f>
        <v>0</v>
      </c>
      <c r="AB73" s="138">
        <f>IF('1.DATOS-PROD'!AK74="SI",VLOOKUP('1.DATOS-PROD'!AK$2,'1.PUNTOS'!$A$1:$B$63,2,0),0)</f>
        <v>0</v>
      </c>
      <c r="AC73" s="138">
        <f>IF('1.DATOS-PROD'!AL74="SI",VLOOKUP('1.DATOS-PROD'!AL$2,'1.PUNTOS'!$A$1:$B$63,2,0),0)</f>
        <v>0</v>
      </c>
      <c r="AD73" s="138">
        <f>IF('1.DATOS-PROD'!AM74="SI",VLOOKUP('1.DATOS-PROD'!AM$2,'1.PUNTOS'!$A$1:$B$63,2,0),0)</f>
        <v>0</v>
      </c>
      <c r="AE73" s="138">
        <f>IF('1.DATOS-PROD'!AN74="SI",VLOOKUP('1.DATOS-PROD'!AN$2,'1.PUNTOS'!$A$1:$B$63,2,0),0)</f>
        <v>0</v>
      </c>
      <c r="AF73" s="138">
        <f>IF('1.DATOS-PROD'!AO74="SI",VLOOKUP('1.DATOS-PROD'!AO$2,'1.PUNTOS'!$A$1:$B$63,2,0),0)</f>
        <v>0</v>
      </c>
      <c r="AG73" s="138">
        <f>IF('1.DATOS-PROD'!AP74="SI",VLOOKUP('1.DATOS-PROD'!AP$2,'1.PUNTOS'!$A$1:$B$63,2,0),0)</f>
        <v>0</v>
      </c>
      <c r="AH73" s="138">
        <f>IF('1.DATOS-PROD'!AQ74="SI",VLOOKUP('1.DATOS-PROD'!AQ$2,'1.PUNTOS'!$A$1:$B$63,2,0),0)</f>
        <v>0</v>
      </c>
      <c r="AI73" s="138">
        <f>IF('1.DATOS-PROD'!AR74="SI",VLOOKUP('1.DATOS-PROD'!AR$2,'1.PUNTOS'!$A$1:$B$63,2,0),0)</f>
        <v>0</v>
      </c>
      <c r="AJ73" s="138">
        <f>IF('1.DATOS-PROD'!AS74="SI",VLOOKUP('1.DATOS-PROD'!AS$2,'1.PUNTOS'!$A$1:$B$63,2,0),0)</f>
        <v>0</v>
      </c>
      <c r="AK73" s="138">
        <f>IF('1.DATOS-PROD'!AT74="SI",VLOOKUP('1.DATOS-PROD'!AT$2,'1.PUNTOS'!$A$1:$B$63,2,0),0)</f>
        <v>0</v>
      </c>
      <c r="AL73" s="138">
        <f>IF('1.DATOS-PROD'!AU74="SI",VLOOKUP('1.DATOS-PROD'!AU$2,'1.PUNTOS'!$A$1:$B$63,2,0),0)</f>
        <v>0</v>
      </c>
      <c r="AM73" s="138">
        <f>IF('1.DATOS-PROD'!AV74="SI",VLOOKUP('1.DATOS-PROD'!AV$2,'1.PUNTOS'!$A$1:$B$63,2,0),0)</f>
        <v>0</v>
      </c>
      <c r="AN73" s="138">
        <f>IF('1.DATOS-PROD'!AW74="SI",VLOOKUP('1.DATOS-PROD'!AW$2,'1.PUNTOS'!$A$1:$B$63,2,0),0)</f>
        <v>0</v>
      </c>
      <c r="AO73" s="138">
        <f>IF('1.DATOS-PROD'!AX74="SI",VLOOKUP('1.DATOS-PROD'!AX$2,'1.PUNTOS'!$A$1:$B$63,2,0),0)</f>
        <v>0</v>
      </c>
      <c r="AP73" s="138">
        <f>IF('1.DATOS-PROD'!AY74="SI",VLOOKUP('1.DATOS-PROD'!AY$2,'1.PUNTOS'!$A$1:$B$63,2,0),0)</f>
        <v>0</v>
      </c>
      <c r="AQ73" s="138">
        <f>IF('1.DATOS-PROD'!AZ74="SI",VLOOKUP('1.DATOS-PROD'!AZ$2,'1.PUNTOS'!$A$1:$B$63,2,0),0)</f>
        <v>0</v>
      </c>
      <c r="AR73" s="138">
        <f>IF('1.DATOS-PROD'!BA74="SI",VLOOKUP('1.DATOS-PROD'!BA$2,'1.PUNTOS'!$A$1:$B$63,2,0),0)</f>
        <v>0</v>
      </c>
      <c r="AS73" s="138">
        <f>IF('1.DATOS-PROD'!BB74="SI",VLOOKUP('1.DATOS-PROD'!BB$2,'1.PUNTOS'!$A$1:$B$63,2,0),0)</f>
        <v>0</v>
      </c>
      <c r="AT73" s="138">
        <f>IF('1.DATOS-PROD'!BC74="SI",VLOOKUP('1.DATOS-PROD'!BC$2,'1.PUNTOS'!$A$1:$B$63,2,0),0)</f>
        <v>0</v>
      </c>
      <c r="AU73" s="138">
        <f>IF('1.DATOS-PROD'!BD74="SI",VLOOKUP('1.DATOS-PROD'!BD$2,'1.PUNTOS'!$A$1:$B$63,2,0),0)</f>
        <v>0</v>
      </c>
      <c r="AV73" s="138">
        <f>IF('1.DATOS-PROD'!BE74="SI",VLOOKUP('1.DATOS-PROD'!BE$2,'1.PUNTOS'!$A$1:$B$63,2,0),0)</f>
        <v>0</v>
      </c>
      <c r="AW73" s="138">
        <f>IF('1.DATOS-PROD'!BF74="SI",VLOOKUP('1.DATOS-PROD'!BF$2,'1.PUNTOS'!$A$1:$B$63,2,0),0)</f>
        <v>0</v>
      </c>
      <c r="AX73" s="138">
        <f>IF('1.DATOS-PROD'!BG74="SI",VLOOKUP('1.DATOS-PROD'!BG$2,'1.PUNTOS'!$A$1:$B$63,2,0),0)</f>
        <v>0</v>
      </c>
      <c r="AY73" s="138">
        <f>IF('1.DATOS-PROD'!BH74="SI",VLOOKUP('1.DATOS-PROD'!BH$2,'1.PUNTOS'!$A$1:$B$63,2,0),0)</f>
        <v>0</v>
      </c>
      <c r="AZ73" s="138">
        <f>IF('1.DATOS-PROD'!BI74="SI",VLOOKUP('1.DATOS-PROD'!BI$2,'1.PUNTOS'!$A$1:$B$63,2,0),0)</f>
        <v>0</v>
      </c>
      <c r="BA73" s="138">
        <f>IF('1.DATOS-PROD'!BJ74="SI",VLOOKUP('1.DATOS-PROD'!BJ$2,'1.PUNTOS'!$A$1:$B$63,2,0),0)</f>
        <v>0</v>
      </c>
      <c r="BB73" s="138">
        <f>IF('1.DATOS-PROD'!BK74="SI",VLOOKUP('1.DATOS-PROD'!BK$2,'1.PUNTOS'!$A$1:$B$63,2,0),0)</f>
        <v>0</v>
      </c>
      <c r="BC73" s="138">
        <f>IF('1.DATOS-PROD'!BL74="SI",VLOOKUP('1.DATOS-PROD'!BL$2,'1.PUNTOS'!$A$1:$B$63,2,0),0)</f>
        <v>0</v>
      </c>
      <c r="BD73" s="138">
        <f>IF('1.DATOS-PROD'!BM74="SI",VLOOKUP('1.DATOS-PROD'!BM$2,'1.PUNTOS'!$A$1:$B$63,2,0),0)</f>
        <v>0</v>
      </c>
      <c r="BE73" s="138">
        <f>IF('1.DATOS-PROD'!BN74="SI",VLOOKUP('1.DATOS-PROD'!BN$2,'1.PUNTOS'!$A$1:$B$63,2,0),0)</f>
        <v>0</v>
      </c>
      <c r="BF73" s="138">
        <f>IF('1.DATOS-PROD'!BO74="SI",VLOOKUP('1.DATOS-PROD'!BO$2,'1.PUNTOS'!$A$1:$B$63,2,0),0)</f>
        <v>0</v>
      </c>
      <c r="BG73" s="138">
        <f>IF('1.DATOS-PROD'!BP74="SI",VLOOKUP('1.DATOS-PROD'!BP$2,'1.PUNTOS'!$A$1:$B$63,2,0),0)</f>
        <v>0</v>
      </c>
      <c r="BH73" s="138">
        <f>IF('1.DATOS-PROD'!BQ74="SI",VLOOKUP('1.DATOS-PROD'!BQ$2,'1.PUNTOS'!$A$1:$B$63,2,0),0)</f>
        <v>0</v>
      </c>
      <c r="BI73" s="138">
        <f>IF('1.DATOS-PROD'!BR74="SI",VLOOKUP('1.DATOS-PROD'!BR$2,'1.PUNTOS'!$A$1:$B$63,2,0),0)</f>
        <v>0</v>
      </c>
      <c r="BJ73" s="138">
        <f>IF('1.DATOS-PROD'!BS74="SI",VLOOKUP('1.DATOS-PROD'!BS$2,'1.PUNTOS'!$A$1:$B$63,2,0),0)</f>
        <v>0</v>
      </c>
      <c r="BK73" s="138">
        <f>IF('1.DATOS-PROD'!BT74="SI",VLOOKUP('1.DATOS-PROD'!BT$2,'1.PUNTOS'!$A$1:$B$63,2,0),0)</f>
        <v>0</v>
      </c>
    </row>
    <row r="74" spans="1:63" x14ac:dyDescent="0.25">
      <c r="A74">
        <f>'0.Consolidado general'!$A75</f>
        <v>0</v>
      </c>
      <c r="B74" s="138">
        <f>IF('1.DATOS-PROD'!K75="SI",VLOOKUP('1.DATOS-PROD'!K$2,'1.PUNTOS'!$A$1:$B$63,2,0),0)</f>
        <v>0</v>
      </c>
      <c r="C74" s="138">
        <f>IF('1.DATOS-PROD'!L75="SI",VLOOKUP('1.DATOS-PROD'!L$2,'1.PUNTOS'!$A$1:$B$63,2,0),0)</f>
        <v>0</v>
      </c>
      <c r="D74" s="138">
        <f>IF('1.DATOS-PROD'!M75="SI",VLOOKUP('1.DATOS-PROD'!M$2,'1.PUNTOS'!$A$1:$B$63,2,0),0)</f>
        <v>0</v>
      </c>
      <c r="E74" s="138">
        <f>IF('1.DATOS-PROD'!N75="SI",VLOOKUP('1.DATOS-PROD'!N$2,'1.PUNTOS'!$A$1:$B$63,2,0),0)</f>
        <v>0</v>
      </c>
      <c r="F74" s="138">
        <f>IF('1.DATOS-PROD'!O75="SI",VLOOKUP('1.DATOS-PROD'!O$2,'1.PUNTOS'!$A$1:$B$63,2,0),0)</f>
        <v>0</v>
      </c>
      <c r="G74" s="138">
        <f>IF('1.DATOS-PROD'!P75="SI",VLOOKUP('1.DATOS-PROD'!P$2,'1.PUNTOS'!$A$1:$B$63,2,0),0)</f>
        <v>0</v>
      </c>
      <c r="H74" s="138">
        <f>IF('1.DATOS-PROD'!Q75="SI",VLOOKUP('1.DATOS-PROD'!Q$2,'1.PUNTOS'!$A$1:$B$63,2,0),0)</f>
        <v>0</v>
      </c>
      <c r="I74" s="138">
        <f>IF('1.DATOS-PROD'!R75="SI",VLOOKUP('1.DATOS-PROD'!R$2,'1.PUNTOS'!$A$1:$B$63,2,0),0)</f>
        <v>0</v>
      </c>
      <c r="J74" s="138">
        <f>IF('1.DATOS-PROD'!S75="SI",VLOOKUP('1.DATOS-PROD'!S$2,'1.PUNTOS'!$A$1:$B$63,2,0),0)</f>
        <v>0</v>
      </c>
      <c r="K74" s="138">
        <f>IF('1.DATOS-PROD'!T75="SI",VLOOKUP('1.DATOS-PROD'!T$2,'1.PUNTOS'!$A$1:$B$63,2,0),0)</f>
        <v>0</v>
      </c>
      <c r="L74" s="138">
        <f>IF('1.DATOS-PROD'!U75="SI",VLOOKUP('1.DATOS-PROD'!U$2,'1.PUNTOS'!$A$1:$B$63,2,0),0)</f>
        <v>0</v>
      </c>
      <c r="M74" s="138">
        <f>IF('1.DATOS-PROD'!V75="SI",VLOOKUP('1.DATOS-PROD'!V$2,'1.PUNTOS'!$A$1:$B$63,2,0),0)</f>
        <v>0</v>
      </c>
      <c r="N74" s="138">
        <f>IF('1.DATOS-PROD'!W75="SI",VLOOKUP('1.DATOS-PROD'!W$2,'1.PUNTOS'!$A$1:$B$63,2,0),0)</f>
        <v>0</v>
      </c>
      <c r="O74" s="138">
        <f>IF('1.DATOS-PROD'!X75="SI",VLOOKUP('1.DATOS-PROD'!X$2,'1.PUNTOS'!$A$1:$B$63,2,0),0)</f>
        <v>0</v>
      </c>
      <c r="P74" s="138">
        <f>IF('1.DATOS-PROD'!Y75="SI",VLOOKUP('1.DATOS-PROD'!Y$2,'1.PUNTOS'!$A$1:$B$63,2,0),0)</f>
        <v>0</v>
      </c>
      <c r="Q74" s="138">
        <f>IF('1.DATOS-PROD'!Z75="SI",VLOOKUP('1.DATOS-PROD'!Z$2,'1.PUNTOS'!$A$1:$B$63,2,0),0)</f>
        <v>0</v>
      </c>
      <c r="R74" s="138">
        <f>IF('1.DATOS-PROD'!AA75="SI",VLOOKUP('1.DATOS-PROD'!AA$2,'1.PUNTOS'!$A$1:$B$63,2,0),0)</f>
        <v>0</v>
      </c>
      <c r="S74" s="138">
        <f>IF('1.DATOS-PROD'!AB75="SI",VLOOKUP('1.DATOS-PROD'!AB$2,'1.PUNTOS'!$A$1:$B$63,2,0),0)</f>
        <v>0</v>
      </c>
      <c r="T74" s="138">
        <f>IF('1.DATOS-PROD'!AC75="SI",VLOOKUP('1.DATOS-PROD'!AC$2,'1.PUNTOS'!$A$1:$B$63,2,0),0)</f>
        <v>0</v>
      </c>
      <c r="U74" s="138">
        <f>IF('1.DATOS-PROD'!AD75="SI",VLOOKUP('1.DATOS-PROD'!AD$2,'1.PUNTOS'!$A$1:$B$63,2,0),0)</f>
        <v>0</v>
      </c>
      <c r="V74" s="138">
        <f>IF('1.DATOS-PROD'!AE75="SI",VLOOKUP('1.DATOS-PROD'!AE$2,'1.PUNTOS'!$A$1:$B$63,2,0),0)</f>
        <v>0</v>
      </c>
      <c r="W74" s="138">
        <f>IF('1.DATOS-PROD'!AF75="SI",VLOOKUP('1.DATOS-PROD'!AF$2,'1.PUNTOS'!$A$1:$B$63,2,0),0)</f>
        <v>0</v>
      </c>
      <c r="X74" s="138">
        <f>IF('1.DATOS-PROD'!AG75="SI",VLOOKUP('1.DATOS-PROD'!AG$2,'1.PUNTOS'!$A$1:$B$63,2,0),0)</f>
        <v>0</v>
      </c>
      <c r="Y74" s="138">
        <f>IF('1.DATOS-PROD'!AH75="SI",VLOOKUP('1.DATOS-PROD'!AH$2,'1.PUNTOS'!$A$1:$B$63,2,0),0)</f>
        <v>0</v>
      </c>
      <c r="Z74" s="138">
        <f>IF('1.DATOS-PROD'!AI75="SI",VLOOKUP('1.DATOS-PROD'!AI$2,'1.PUNTOS'!$A$1:$B$63,2,0),0)</f>
        <v>0</v>
      </c>
      <c r="AA74" s="138">
        <f>IF('1.DATOS-PROD'!AJ75="SI",VLOOKUP('1.DATOS-PROD'!AJ$2,'1.PUNTOS'!$A$1:$B$63,2,0),0)</f>
        <v>0</v>
      </c>
      <c r="AB74" s="138">
        <f>IF('1.DATOS-PROD'!AK75="SI",VLOOKUP('1.DATOS-PROD'!AK$2,'1.PUNTOS'!$A$1:$B$63,2,0),0)</f>
        <v>0</v>
      </c>
      <c r="AC74" s="138">
        <f>IF('1.DATOS-PROD'!AL75="SI",VLOOKUP('1.DATOS-PROD'!AL$2,'1.PUNTOS'!$A$1:$B$63,2,0),0)</f>
        <v>0</v>
      </c>
      <c r="AD74" s="138">
        <f>IF('1.DATOS-PROD'!AM75="SI",VLOOKUP('1.DATOS-PROD'!AM$2,'1.PUNTOS'!$A$1:$B$63,2,0),0)</f>
        <v>0</v>
      </c>
      <c r="AE74" s="138">
        <f>IF('1.DATOS-PROD'!AN75="SI",VLOOKUP('1.DATOS-PROD'!AN$2,'1.PUNTOS'!$A$1:$B$63,2,0),0)</f>
        <v>0</v>
      </c>
      <c r="AF74" s="138">
        <f>IF('1.DATOS-PROD'!AO75="SI",VLOOKUP('1.DATOS-PROD'!AO$2,'1.PUNTOS'!$A$1:$B$63,2,0),0)</f>
        <v>0</v>
      </c>
      <c r="AG74" s="138">
        <f>IF('1.DATOS-PROD'!AP75="SI",VLOOKUP('1.DATOS-PROD'!AP$2,'1.PUNTOS'!$A$1:$B$63,2,0),0)</f>
        <v>0</v>
      </c>
      <c r="AH74" s="138">
        <f>IF('1.DATOS-PROD'!AQ75="SI",VLOOKUP('1.DATOS-PROD'!AQ$2,'1.PUNTOS'!$A$1:$B$63,2,0),0)</f>
        <v>0</v>
      </c>
      <c r="AI74" s="138">
        <f>IF('1.DATOS-PROD'!AR75="SI",VLOOKUP('1.DATOS-PROD'!AR$2,'1.PUNTOS'!$A$1:$B$63,2,0),0)</f>
        <v>0</v>
      </c>
      <c r="AJ74" s="138">
        <f>IF('1.DATOS-PROD'!AS75="SI",VLOOKUP('1.DATOS-PROD'!AS$2,'1.PUNTOS'!$A$1:$B$63,2,0),0)</f>
        <v>0</v>
      </c>
      <c r="AK74" s="138">
        <f>IF('1.DATOS-PROD'!AT75="SI",VLOOKUP('1.DATOS-PROD'!AT$2,'1.PUNTOS'!$A$1:$B$63,2,0),0)</f>
        <v>0</v>
      </c>
      <c r="AL74" s="138">
        <f>IF('1.DATOS-PROD'!AU75="SI",VLOOKUP('1.DATOS-PROD'!AU$2,'1.PUNTOS'!$A$1:$B$63,2,0),0)</f>
        <v>0</v>
      </c>
      <c r="AM74" s="138">
        <f>IF('1.DATOS-PROD'!AV75="SI",VLOOKUP('1.DATOS-PROD'!AV$2,'1.PUNTOS'!$A$1:$B$63,2,0),0)</f>
        <v>0</v>
      </c>
      <c r="AN74" s="138">
        <f>IF('1.DATOS-PROD'!AW75="SI",VLOOKUP('1.DATOS-PROD'!AW$2,'1.PUNTOS'!$A$1:$B$63,2,0),0)</f>
        <v>0</v>
      </c>
      <c r="AO74" s="138">
        <f>IF('1.DATOS-PROD'!AX75="SI",VLOOKUP('1.DATOS-PROD'!AX$2,'1.PUNTOS'!$A$1:$B$63,2,0),0)</f>
        <v>0</v>
      </c>
      <c r="AP74" s="138">
        <f>IF('1.DATOS-PROD'!AY75="SI",VLOOKUP('1.DATOS-PROD'!AY$2,'1.PUNTOS'!$A$1:$B$63,2,0),0)</f>
        <v>0</v>
      </c>
      <c r="AQ74" s="138">
        <f>IF('1.DATOS-PROD'!AZ75="SI",VLOOKUP('1.DATOS-PROD'!AZ$2,'1.PUNTOS'!$A$1:$B$63,2,0),0)</f>
        <v>0</v>
      </c>
      <c r="AR74" s="138">
        <f>IF('1.DATOS-PROD'!BA75="SI",VLOOKUP('1.DATOS-PROD'!BA$2,'1.PUNTOS'!$A$1:$B$63,2,0),0)</f>
        <v>0</v>
      </c>
      <c r="AS74" s="138">
        <f>IF('1.DATOS-PROD'!BB75="SI",VLOOKUP('1.DATOS-PROD'!BB$2,'1.PUNTOS'!$A$1:$B$63,2,0),0)</f>
        <v>0</v>
      </c>
      <c r="AT74" s="138">
        <f>IF('1.DATOS-PROD'!BC75="SI",VLOOKUP('1.DATOS-PROD'!BC$2,'1.PUNTOS'!$A$1:$B$63,2,0),0)</f>
        <v>0</v>
      </c>
      <c r="AU74" s="138">
        <f>IF('1.DATOS-PROD'!BD75="SI",VLOOKUP('1.DATOS-PROD'!BD$2,'1.PUNTOS'!$A$1:$B$63,2,0),0)</f>
        <v>0</v>
      </c>
      <c r="AV74" s="138">
        <f>IF('1.DATOS-PROD'!BE75="SI",VLOOKUP('1.DATOS-PROD'!BE$2,'1.PUNTOS'!$A$1:$B$63,2,0),0)</f>
        <v>0</v>
      </c>
      <c r="AW74" s="138">
        <f>IF('1.DATOS-PROD'!BF75="SI",VLOOKUP('1.DATOS-PROD'!BF$2,'1.PUNTOS'!$A$1:$B$63,2,0),0)</f>
        <v>0</v>
      </c>
      <c r="AX74" s="138">
        <f>IF('1.DATOS-PROD'!BG75="SI",VLOOKUP('1.DATOS-PROD'!BG$2,'1.PUNTOS'!$A$1:$B$63,2,0),0)</f>
        <v>0</v>
      </c>
      <c r="AY74" s="138">
        <f>IF('1.DATOS-PROD'!BH75="SI",VLOOKUP('1.DATOS-PROD'!BH$2,'1.PUNTOS'!$A$1:$B$63,2,0),0)</f>
        <v>0</v>
      </c>
      <c r="AZ74" s="138">
        <f>IF('1.DATOS-PROD'!BI75="SI",VLOOKUP('1.DATOS-PROD'!BI$2,'1.PUNTOS'!$A$1:$B$63,2,0),0)</f>
        <v>0</v>
      </c>
      <c r="BA74" s="138">
        <f>IF('1.DATOS-PROD'!BJ75="SI",VLOOKUP('1.DATOS-PROD'!BJ$2,'1.PUNTOS'!$A$1:$B$63,2,0),0)</f>
        <v>0</v>
      </c>
      <c r="BB74" s="138">
        <f>IF('1.DATOS-PROD'!BK75="SI",VLOOKUP('1.DATOS-PROD'!BK$2,'1.PUNTOS'!$A$1:$B$63,2,0),0)</f>
        <v>0</v>
      </c>
      <c r="BC74" s="138">
        <f>IF('1.DATOS-PROD'!BL75="SI",VLOOKUP('1.DATOS-PROD'!BL$2,'1.PUNTOS'!$A$1:$B$63,2,0),0)</f>
        <v>0</v>
      </c>
      <c r="BD74" s="138">
        <f>IF('1.DATOS-PROD'!BM75="SI",VLOOKUP('1.DATOS-PROD'!BM$2,'1.PUNTOS'!$A$1:$B$63,2,0),0)</f>
        <v>0</v>
      </c>
      <c r="BE74" s="138">
        <f>IF('1.DATOS-PROD'!BN75="SI",VLOOKUP('1.DATOS-PROD'!BN$2,'1.PUNTOS'!$A$1:$B$63,2,0),0)</f>
        <v>0</v>
      </c>
      <c r="BF74" s="138">
        <f>IF('1.DATOS-PROD'!BO75="SI",VLOOKUP('1.DATOS-PROD'!BO$2,'1.PUNTOS'!$A$1:$B$63,2,0),0)</f>
        <v>0</v>
      </c>
      <c r="BG74" s="138">
        <f>IF('1.DATOS-PROD'!BP75="SI",VLOOKUP('1.DATOS-PROD'!BP$2,'1.PUNTOS'!$A$1:$B$63,2,0),0)</f>
        <v>0</v>
      </c>
      <c r="BH74" s="138">
        <f>IF('1.DATOS-PROD'!BQ75="SI",VLOOKUP('1.DATOS-PROD'!BQ$2,'1.PUNTOS'!$A$1:$B$63,2,0),0)</f>
        <v>0</v>
      </c>
      <c r="BI74" s="138">
        <f>IF('1.DATOS-PROD'!BR75="SI",VLOOKUP('1.DATOS-PROD'!BR$2,'1.PUNTOS'!$A$1:$B$63,2,0),0)</f>
        <v>0</v>
      </c>
      <c r="BJ74" s="138">
        <f>IF('1.DATOS-PROD'!BS75="SI",VLOOKUP('1.DATOS-PROD'!BS$2,'1.PUNTOS'!$A$1:$B$63,2,0),0)</f>
        <v>0</v>
      </c>
      <c r="BK74" s="138">
        <f>IF('1.DATOS-PROD'!BT75="SI",VLOOKUP('1.DATOS-PROD'!BT$2,'1.PUNTOS'!$A$1:$B$63,2,0),0)</f>
        <v>0</v>
      </c>
    </row>
    <row r="75" spans="1:63" x14ac:dyDescent="0.25">
      <c r="A75">
        <f>'0.Consolidado general'!$A76</f>
        <v>0</v>
      </c>
      <c r="B75" s="138">
        <f>IF('1.DATOS-PROD'!K76="SI",VLOOKUP('1.DATOS-PROD'!K$2,'1.PUNTOS'!$A$1:$B$63,2,0),0)</f>
        <v>0</v>
      </c>
      <c r="C75" s="138">
        <f>IF('1.DATOS-PROD'!L76="SI",VLOOKUP('1.DATOS-PROD'!L$2,'1.PUNTOS'!$A$1:$B$63,2,0),0)</f>
        <v>0</v>
      </c>
      <c r="D75" s="138">
        <f>IF('1.DATOS-PROD'!M76="SI",VLOOKUP('1.DATOS-PROD'!M$2,'1.PUNTOS'!$A$1:$B$63,2,0),0)</f>
        <v>0</v>
      </c>
      <c r="E75" s="138">
        <f>IF('1.DATOS-PROD'!N76="SI",VLOOKUP('1.DATOS-PROD'!N$2,'1.PUNTOS'!$A$1:$B$63,2,0),0)</f>
        <v>0</v>
      </c>
      <c r="F75" s="138">
        <f>IF('1.DATOS-PROD'!O76="SI",VLOOKUP('1.DATOS-PROD'!O$2,'1.PUNTOS'!$A$1:$B$63,2,0),0)</f>
        <v>0</v>
      </c>
      <c r="G75" s="138">
        <f>IF('1.DATOS-PROD'!P76="SI",VLOOKUP('1.DATOS-PROD'!P$2,'1.PUNTOS'!$A$1:$B$63,2,0),0)</f>
        <v>0</v>
      </c>
      <c r="H75" s="138">
        <f>IF('1.DATOS-PROD'!Q76="SI",VLOOKUP('1.DATOS-PROD'!Q$2,'1.PUNTOS'!$A$1:$B$63,2,0),0)</f>
        <v>0</v>
      </c>
      <c r="I75" s="138">
        <f>IF('1.DATOS-PROD'!R76="SI",VLOOKUP('1.DATOS-PROD'!R$2,'1.PUNTOS'!$A$1:$B$63,2,0),0)</f>
        <v>0</v>
      </c>
      <c r="J75" s="138">
        <f>IF('1.DATOS-PROD'!S76="SI",VLOOKUP('1.DATOS-PROD'!S$2,'1.PUNTOS'!$A$1:$B$63,2,0),0)</f>
        <v>0</v>
      </c>
      <c r="K75" s="138">
        <f>IF('1.DATOS-PROD'!T76="SI",VLOOKUP('1.DATOS-PROD'!T$2,'1.PUNTOS'!$A$1:$B$63,2,0),0)</f>
        <v>0</v>
      </c>
      <c r="L75" s="138">
        <f>IF('1.DATOS-PROD'!U76="SI",VLOOKUP('1.DATOS-PROD'!U$2,'1.PUNTOS'!$A$1:$B$63,2,0),0)</f>
        <v>0</v>
      </c>
      <c r="M75" s="138">
        <f>IF('1.DATOS-PROD'!V76="SI",VLOOKUP('1.DATOS-PROD'!V$2,'1.PUNTOS'!$A$1:$B$63,2,0),0)</f>
        <v>0</v>
      </c>
      <c r="N75" s="138">
        <f>IF('1.DATOS-PROD'!W76="SI",VLOOKUP('1.DATOS-PROD'!W$2,'1.PUNTOS'!$A$1:$B$63,2,0),0)</f>
        <v>0</v>
      </c>
      <c r="O75" s="138">
        <f>IF('1.DATOS-PROD'!X76="SI",VLOOKUP('1.DATOS-PROD'!X$2,'1.PUNTOS'!$A$1:$B$63,2,0),0)</f>
        <v>0</v>
      </c>
      <c r="P75" s="138">
        <f>IF('1.DATOS-PROD'!Y76="SI",VLOOKUP('1.DATOS-PROD'!Y$2,'1.PUNTOS'!$A$1:$B$63,2,0),0)</f>
        <v>0</v>
      </c>
      <c r="Q75" s="138">
        <f>IF('1.DATOS-PROD'!Z76="SI",VLOOKUP('1.DATOS-PROD'!Z$2,'1.PUNTOS'!$A$1:$B$63,2,0),0)</f>
        <v>0</v>
      </c>
      <c r="R75" s="138">
        <f>IF('1.DATOS-PROD'!AA76="SI",VLOOKUP('1.DATOS-PROD'!AA$2,'1.PUNTOS'!$A$1:$B$63,2,0),0)</f>
        <v>0</v>
      </c>
      <c r="S75" s="138">
        <f>IF('1.DATOS-PROD'!AB76="SI",VLOOKUP('1.DATOS-PROD'!AB$2,'1.PUNTOS'!$A$1:$B$63,2,0),0)</f>
        <v>0</v>
      </c>
      <c r="T75" s="138">
        <f>IF('1.DATOS-PROD'!AC76="SI",VLOOKUP('1.DATOS-PROD'!AC$2,'1.PUNTOS'!$A$1:$B$63,2,0),0)</f>
        <v>0</v>
      </c>
      <c r="U75" s="138">
        <f>IF('1.DATOS-PROD'!AD76="SI",VLOOKUP('1.DATOS-PROD'!AD$2,'1.PUNTOS'!$A$1:$B$63,2,0),0)</f>
        <v>0</v>
      </c>
      <c r="V75" s="138">
        <f>IF('1.DATOS-PROD'!AE76="SI",VLOOKUP('1.DATOS-PROD'!AE$2,'1.PUNTOS'!$A$1:$B$63,2,0),0)</f>
        <v>0</v>
      </c>
      <c r="W75" s="138">
        <f>IF('1.DATOS-PROD'!AF76="SI",VLOOKUP('1.DATOS-PROD'!AF$2,'1.PUNTOS'!$A$1:$B$63,2,0),0)</f>
        <v>0</v>
      </c>
      <c r="X75" s="138">
        <f>IF('1.DATOS-PROD'!AG76="SI",VLOOKUP('1.DATOS-PROD'!AG$2,'1.PUNTOS'!$A$1:$B$63,2,0),0)</f>
        <v>0</v>
      </c>
      <c r="Y75" s="138">
        <f>IF('1.DATOS-PROD'!AH76="SI",VLOOKUP('1.DATOS-PROD'!AH$2,'1.PUNTOS'!$A$1:$B$63,2,0),0)</f>
        <v>0</v>
      </c>
      <c r="Z75" s="138">
        <f>IF('1.DATOS-PROD'!AI76="SI",VLOOKUP('1.DATOS-PROD'!AI$2,'1.PUNTOS'!$A$1:$B$63,2,0),0)</f>
        <v>0</v>
      </c>
      <c r="AA75" s="138">
        <f>IF('1.DATOS-PROD'!AJ76="SI",VLOOKUP('1.DATOS-PROD'!AJ$2,'1.PUNTOS'!$A$1:$B$63,2,0),0)</f>
        <v>0</v>
      </c>
      <c r="AB75" s="138">
        <f>IF('1.DATOS-PROD'!AK76="SI",VLOOKUP('1.DATOS-PROD'!AK$2,'1.PUNTOS'!$A$1:$B$63,2,0),0)</f>
        <v>0</v>
      </c>
      <c r="AC75" s="138">
        <f>IF('1.DATOS-PROD'!AL76="SI",VLOOKUP('1.DATOS-PROD'!AL$2,'1.PUNTOS'!$A$1:$B$63,2,0),0)</f>
        <v>0</v>
      </c>
      <c r="AD75" s="138">
        <f>IF('1.DATOS-PROD'!AM76="SI",VLOOKUP('1.DATOS-PROD'!AM$2,'1.PUNTOS'!$A$1:$B$63,2,0),0)</f>
        <v>0</v>
      </c>
      <c r="AE75" s="138">
        <f>IF('1.DATOS-PROD'!AN76="SI",VLOOKUP('1.DATOS-PROD'!AN$2,'1.PUNTOS'!$A$1:$B$63,2,0),0)</f>
        <v>0</v>
      </c>
      <c r="AF75" s="138">
        <f>IF('1.DATOS-PROD'!AO76="SI",VLOOKUP('1.DATOS-PROD'!AO$2,'1.PUNTOS'!$A$1:$B$63,2,0),0)</f>
        <v>0</v>
      </c>
      <c r="AG75" s="138">
        <f>IF('1.DATOS-PROD'!AP76="SI",VLOOKUP('1.DATOS-PROD'!AP$2,'1.PUNTOS'!$A$1:$B$63,2,0),0)</f>
        <v>0</v>
      </c>
      <c r="AH75" s="138">
        <f>IF('1.DATOS-PROD'!AQ76="SI",VLOOKUP('1.DATOS-PROD'!AQ$2,'1.PUNTOS'!$A$1:$B$63,2,0),0)</f>
        <v>0</v>
      </c>
      <c r="AI75" s="138">
        <f>IF('1.DATOS-PROD'!AR76="SI",VLOOKUP('1.DATOS-PROD'!AR$2,'1.PUNTOS'!$A$1:$B$63,2,0),0)</f>
        <v>0</v>
      </c>
      <c r="AJ75" s="138">
        <f>IF('1.DATOS-PROD'!AS76="SI",VLOOKUP('1.DATOS-PROD'!AS$2,'1.PUNTOS'!$A$1:$B$63,2,0),0)</f>
        <v>0</v>
      </c>
      <c r="AK75" s="138">
        <f>IF('1.DATOS-PROD'!AT76="SI",VLOOKUP('1.DATOS-PROD'!AT$2,'1.PUNTOS'!$A$1:$B$63,2,0),0)</f>
        <v>0</v>
      </c>
      <c r="AL75" s="138">
        <f>IF('1.DATOS-PROD'!AU76="SI",VLOOKUP('1.DATOS-PROD'!AU$2,'1.PUNTOS'!$A$1:$B$63,2,0),0)</f>
        <v>0</v>
      </c>
      <c r="AM75" s="138">
        <f>IF('1.DATOS-PROD'!AV76="SI",VLOOKUP('1.DATOS-PROD'!AV$2,'1.PUNTOS'!$A$1:$B$63,2,0),0)</f>
        <v>0</v>
      </c>
      <c r="AN75" s="138">
        <f>IF('1.DATOS-PROD'!AW76="SI",VLOOKUP('1.DATOS-PROD'!AW$2,'1.PUNTOS'!$A$1:$B$63,2,0),0)</f>
        <v>0</v>
      </c>
      <c r="AO75" s="138">
        <f>IF('1.DATOS-PROD'!AX76="SI",VLOOKUP('1.DATOS-PROD'!AX$2,'1.PUNTOS'!$A$1:$B$63,2,0),0)</f>
        <v>0</v>
      </c>
      <c r="AP75" s="138">
        <f>IF('1.DATOS-PROD'!AY76="SI",VLOOKUP('1.DATOS-PROD'!AY$2,'1.PUNTOS'!$A$1:$B$63,2,0),0)</f>
        <v>0</v>
      </c>
      <c r="AQ75" s="138">
        <f>IF('1.DATOS-PROD'!AZ76="SI",VLOOKUP('1.DATOS-PROD'!AZ$2,'1.PUNTOS'!$A$1:$B$63,2,0),0)</f>
        <v>0</v>
      </c>
      <c r="AR75" s="138">
        <f>IF('1.DATOS-PROD'!BA76="SI",VLOOKUP('1.DATOS-PROD'!BA$2,'1.PUNTOS'!$A$1:$B$63,2,0),0)</f>
        <v>0</v>
      </c>
      <c r="AS75" s="138">
        <f>IF('1.DATOS-PROD'!BB76="SI",VLOOKUP('1.DATOS-PROD'!BB$2,'1.PUNTOS'!$A$1:$B$63,2,0),0)</f>
        <v>0</v>
      </c>
      <c r="AT75" s="138">
        <f>IF('1.DATOS-PROD'!BC76="SI",VLOOKUP('1.DATOS-PROD'!BC$2,'1.PUNTOS'!$A$1:$B$63,2,0),0)</f>
        <v>0</v>
      </c>
      <c r="AU75" s="138">
        <f>IF('1.DATOS-PROD'!BD76="SI",VLOOKUP('1.DATOS-PROD'!BD$2,'1.PUNTOS'!$A$1:$B$63,2,0),0)</f>
        <v>0</v>
      </c>
      <c r="AV75" s="138">
        <f>IF('1.DATOS-PROD'!BE76="SI",VLOOKUP('1.DATOS-PROD'!BE$2,'1.PUNTOS'!$A$1:$B$63,2,0),0)</f>
        <v>0</v>
      </c>
      <c r="AW75" s="138">
        <f>IF('1.DATOS-PROD'!BF76="SI",VLOOKUP('1.DATOS-PROD'!BF$2,'1.PUNTOS'!$A$1:$B$63,2,0),0)</f>
        <v>0</v>
      </c>
      <c r="AX75" s="138">
        <f>IF('1.DATOS-PROD'!BG76="SI",VLOOKUP('1.DATOS-PROD'!BG$2,'1.PUNTOS'!$A$1:$B$63,2,0),0)</f>
        <v>0</v>
      </c>
      <c r="AY75" s="138">
        <f>IF('1.DATOS-PROD'!BH76="SI",VLOOKUP('1.DATOS-PROD'!BH$2,'1.PUNTOS'!$A$1:$B$63,2,0),0)</f>
        <v>0</v>
      </c>
      <c r="AZ75" s="138">
        <f>IF('1.DATOS-PROD'!BI76="SI",VLOOKUP('1.DATOS-PROD'!BI$2,'1.PUNTOS'!$A$1:$B$63,2,0),0)</f>
        <v>0</v>
      </c>
      <c r="BA75" s="138">
        <f>IF('1.DATOS-PROD'!BJ76="SI",VLOOKUP('1.DATOS-PROD'!BJ$2,'1.PUNTOS'!$A$1:$B$63,2,0),0)</f>
        <v>0</v>
      </c>
      <c r="BB75" s="138">
        <f>IF('1.DATOS-PROD'!BK76="SI",VLOOKUP('1.DATOS-PROD'!BK$2,'1.PUNTOS'!$A$1:$B$63,2,0),0)</f>
        <v>0</v>
      </c>
      <c r="BC75" s="138">
        <f>IF('1.DATOS-PROD'!BL76="SI",VLOOKUP('1.DATOS-PROD'!BL$2,'1.PUNTOS'!$A$1:$B$63,2,0),0)</f>
        <v>0</v>
      </c>
      <c r="BD75" s="138">
        <f>IF('1.DATOS-PROD'!BM76="SI",VLOOKUP('1.DATOS-PROD'!BM$2,'1.PUNTOS'!$A$1:$B$63,2,0),0)</f>
        <v>0</v>
      </c>
      <c r="BE75" s="138">
        <f>IF('1.DATOS-PROD'!BN76="SI",VLOOKUP('1.DATOS-PROD'!BN$2,'1.PUNTOS'!$A$1:$B$63,2,0),0)</f>
        <v>0</v>
      </c>
      <c r="BF75" s="138">
        <f>IF('1.DATOS-PROD'!BO76="SI",VLOOKUP('1.DATOS-PROD'!BO$2,'1.PUNTOS'!$A$1:$B$63,2,0),0)</f>
        <v>0</v>
      </c>
      <c r="BG75" s="138">
        <f>IF('1.DATOS-PROD'!BP76="SI",VLOOKUP('1.DATOS-PROD'!BP$2,'1.PUNTOS'!$A$1:$B$63,2,0),0)</f>
        <v>0</v>
      </c>
      <c r="BH75" s="138">
        <f>IF('1.DATOS-PROD'!BQ76="SI",VLOOKUP('1.DATOS-PROD'!BQ$2,'1.PUNTOS'!$A$1:$B$63,2,0),0)</f>
        <v>0</v>
      </c>
      <c r="BI75" s="138">
        <f>IF('1.DATOS-PROD'!BR76="SI",VLOOKUP('1.DATOS-PROD'!BR$2,'1.PUNTOS'!$A$1:$B$63,2,0),0)</f>
        <v>0</v>
      </c>
      <c r="BJ75" s="138">
        <f>IF('1.DATOS-PROD'!BS76="SI",VLOOKUP('1.DATOS-PROD'!BS$2,'1.PUNTOS'!$A$1:$B$63,2,0),0)</f>
        <v>0</v>
      </c>
      <c r="BK75" s="138">
        <f>IF('1.DATOS-PROD'!BT76="SI",VLOOKUP('1.DATOS-PROD'!BT$2,'1.PUNTOS'!$A$1:$B$63,2,0),0)</f>
        <v>0</v>
      </c>
    </row>
    <row r="76" spans="1:63" x14ac:dyDescent="0.25">
      <c r="A76">
        <f>'0.Consolidado general'!$A77</f>
        <v>0</v>
      </c>
      <c r="B76" s="138">
        <f>IF('1.DATOS-PROD'!K77="SI",VLOOKUP('1.DATOS-PROD'!K$2,'1.PUNTOS'!$A$1:$B$63,2,0),0)</f>
        <v>0</v>
      </c>
      <c r="C76" s="138">
        <f>IF('1.DATOS-PROD'!L77="SI",VLOOKUP('1.DATOS-PROD'!L$2,'1.PUNTOS'!$A$1:$B$63,2,0),0)</f>
        <v>0</v>
      </c>
      <c r="D76" s="138">
        <f>IF('1.DATOS-PROD'!M77="SI",VLOOKUP('1.DATOS-PROD'!M$2,'1.PUNTOS'!$A$1:$B$63,2,0),0)</f>
        <v>0</v>
      </c>
      <c r="E76" s="138">
        <f>IF('1.DATOS-PROD'!N77="SI",VLOOKUP('1.DATOS-PROD'!N$2,'1.PUNTOS'!$A$1:$B$63,2,0),0)</f>
        <v>0</v>
      </c>
      <c r="F76" s="138">
        <f>IF('1.DATOS-PROD'!O77="SI",VLOOKUP('1.DATOS-PROD'!O$2,'1.PUNTOS'!$A$1:$B$63,2,0),0)</f>
        <v>0</v>
      </c>
      <c r="G76" s="138">
        <f>IF('1.DATOS-PROD'!P77="SI",VLOOKUP('1.DATOS-PROD'!P$2,'1.PUNTOS'!$A$1:$B$63,2,0),0)</f>
        <v>0</v>
      </c>
      <c r="H76" s="138">
        <f>IF('1.DATOS-PROD'!Q77="SI",VLOOKUP('1.DATOS-PROD'!Q$2,'1.PUNTOS'!$A$1:$B$63,2,0),0)</f>
        <v>0</v>
      </c>
      <c r="I76" s="138">
        <f>IF('1.DATOS-PROD'!R77="SI",VLOOKUP('1.DATOS-PROD'!R$2,'1.PUNTOS'!$A$1:$B$63,2,0),0)</f>
        <v>0</v>
      </c>
      <c r="J76" s="138">
        <f>IF('1.DATOS-PROD'!S77="SI",VLOOKUP('1.DATOS-PROD'!S$2,'1.PUNTOS'!$A$1:$B$63,2,0),0)</f>
        <v>0</v>
      </c>
      <c r="K76" s="138">
        <f>IF('1.DATOS-PROD'!T77="SI",VLOOKUP('1.DATOS-PROD'!T$2,'1.PUNTOS'!$A$1:$B$63,2,0),0)</f>
        <v>0</v>
      </c>
      <c r="L76" s="138">
        <f>IF('1.DATOS-PROD'!U77="SI",VLOOKUP('1.DATOS-PROD'!U$2,'1.PUNTOS'!$A$1:$B$63,2,0),0)</f>
        <v>0</v>
      </c>
      <c r="M76" s="138">
        <f>IF('1.DATOS-PROD'!V77="SI",VLOOKUP('1.DATOS-PROD'!V$2,'1.PUNTOS'!$A$1:$B$63,2,0),0)</f>
        <v>0</v>
      </c>
      <c r="N76" s="138">
        <f>IF('1.DATOS-PROD'!W77="SI",VLOOKUP('1.DATOS-PROD'!W$2,'1.PUNTOS'!$A$1:$B$63,2,0),0)</f>
        <v>0</v>
      </c>
      <c r="O76" s="138">
        <f>IF('1.DATOS-PROD'!X77="SI",VLOOKUP('1.DATOS-PROD'!X$2,'1.PUNTOS'!$A$1:$B$63,2,0),0)</f>
        <v>0</v>
      </c>
      <c r="P76" s="138">
        <f>IF('1.DATOS-PROD'!Y77="SI",VLOOKUP('1.DATOS-PROD'!Y$2,'1.PUNTOS'!$A$1:$B$63,2,0),0)</f>
        <v>0</v>
      </c>
      <c r="Q76" s="138">
        <f>IF('1.DATOS-PROD'!Z77="SI",VLOOKUP('1.DATOS-PROD'!Z$2,'1.PUNTOS'!$A$1:$B$63,2,0),0)</f>
        <v>0</v>
      </c>
      <c r="R76" s="138">
        <f>IF('1.DATOS-PROD'!AA77="SI",VLOOKUP('1.DATOS-PROD'!AA$2,'1.PUNTOS'!$A$1:$B$63,2,0),0)</f>
        <v>0</v>
      </c>
      <c r="S76" s="138">
        <f>IF('1.DATOS-PROD'!AB77="SI",VLOOKUP('1.DATOS-PROD'!AB$2,'1.PUNTOS'!$A$1:$B$63,2,0),0)</f>
        <v>0</v>
      </c>
      <c r="T76" s="138">
        <f>IF('1.DATOS-PROD'!AC77="SI",VLOOKUP('1.DATOS-PROD'!AC$2,'1.PUNTOS'!$A$1:$B$63,2,0),0)</f>
        <v>0</v>
      </c>
      <c r="U76" s="138">
        <f>IF('1.DATOS-PROD'!AD77="SI",VLOOKUP('1.DATOS-PROD'!AD$2,'1.PUNTOS'!$A$1:$B$63,2,0),0)</f>
        <v>0</v>
      </c>
      <c r="V76" s="138">
        <f>IF('1.DATOS-PROD'!AE77="SI",VLOOKUP('1.DATOS-PROD'!AE$2,'1.PUNTOS'!$A$1:$B$63,2,0),0)</f>
        <v>0</v>
      </c>
      <c r="W76" s="138">
        <f>IF('1.DATOS-PROD'!AF77="SI",VLOOKUP('1.DATOS-PROD'!AF$2,'1.PUNTOS'!$A$1:$B$63,2,0),0)</f>
        <v>0</v>
      </c>
      <c r="X76" s="138">
        <f>IF('1.DATOS-PROD'!AG77="SI",VLOOKUP('1.DATOS-PROD'!AG$2,'1.PUNTOS'!$A$1:$B$63,2,0),0)</f>
        <v>0</v>
      </c>
      <c r="Y76" s="138">
        <f>IF('1.DATOS-PROD'!AH77="SI",VLOOKUP('1.DATOS-PROD'!AH$2,'1.PUNTOS'!$A$1:$B$63,2,0),0)</f>
        <v>0</v>
      </c>
      <c r="Z76" s="138">
        <f>IF('1.DATOS-PROD'!AI77="SI",VLOOKUP('1.DATOS-PROD'!AI$2,'1.PUNTOS'!$A$1:$B$63,2,0),0)</f>
        <v>0</v>
      </c>
      <c r="AA76" s="138">
        <f>IF('1.DATOS-PROD'!AJ77="SI",VLOOKUP('1.DATOS-PROD'!AJ$2,'1.PUNTOS'!$A$1:$B$63,2,0),0)</f>
        <v>0</v>
      </c>
      <c r="AB76" s="138">
        <f>IF('1.DATOS-PROD'!AK77="SI",VLOOKUP('1.DATOS-PROD'!AK$2,'1.PUNTOS'!$A$1:$B$63,2,0),0)</f>
        <v>0</v>
      </c>
      <c r="AC76" s="138">
        <f>IF('1.DATOS-PROD'!AL77="SI",VLOOKUP('1.DATOS-PROD'!AL$2,'1.PUNTOS'!$A$1:$B$63,2,0),0)</f>
        <v>0</v>
      </c>
      <c r="AD76" s="138">
        <f>IF('1.DATOS-PROD'!AM77="SI",VLOOKUP('1.DATOS-PROD'!AM$2,'1.PUNTOS'!$A$1:$B$63,2,0),0)</f>
        <v>0</v>
      </c>
      <c r="AE76" s="138">
        <f>IF('1.DATOS-PROD'!AN77="SI",VLOOKUP('1.DATOS-PROD'!AN$2,'1.PUNTOS'!$A$1:$B$63,2,0),0)</f>
        <v>0</v>
      </c>
      <c r="AF76" s="138">
        <f>IF('1.DATOS-PROD'!AO77="SI",VLOOKUP('1.DATOS-PROD'!AO$2,'1.PUNTOS'!$A$1:$B$63,2,0),0)</f>
        <v>0</v>
      </c>
      <c r="AG76" s="138">
        <f>IF('1.DATOS-PROD'!AP77="SI",VLOOKUP('1.DATOS-PROD'!AP$2,'1.PUNTOS'!$A$1:$B$63,2,0),0)</f>
        <v>0</v>
      </c>
      <c r="AH76" s="138">
        <f>IF('1.DATOS-PROD'!AQ77="SI",VLOOKUP('1.DATOS-PROD'!AQ$2,'1.PUNTOS'!$A$1:$B$63,2,0),0)</f>
        <v>0</v>
      </c>
      <c r="AI76" s="138">
        <f>IF('1.DATOS-PROD'!AR77="SI",VLOOKUP('1.DATOS-PROD'!AR$2,'1.PUNTOS'!$A$1:$B$63,2,0),0)</f>
        <v>0</v>
      </c>
      <c r="AJ76" s="138">
        <f>IF('1.DATOS-PROD'!AS77="SI",VLOOKUP('1.DATOS-PROD'!AS$2,'1.PUNTOS'!$A$1:$B$63,2,0),0)</f>
        <v>0</v>
      </c>
      <c r="AK76" s="138">
        <f>IF('1.DATOS-PROD'!AT77="SI",VLOOKUP('1.DATOS-PROD'!AT$2,'1.PUNTOS'!$A$1:$B$63,2,0),0)</f>
        <v>0</v>
      </c>
      <c r="AL76" s="138">
        <f>IF('1.DATOS-PROD'!AU77="SI",VLOOKUP('1.DATOS-PROD'!AU$2,'1.PUNTOS'!$A$1:$B$63,2,0),0)</f>
        <v>0</v>
      </c>
      <c r="AM76" s="138">
        <f>IF('1.DATOS-PROD'!AV77="SI",VLOOKUP('1.DATOS-PROD'!AV$2,'1.PUNTOS'!$A$1:$B$63,2,0),0)</f>
        <v>0</v>
      </c>
      <c r="AN76" s="138">
        <f>IF('1.DATOS-PROD'!AW77="SI",VLOOKUP('1.DATOS-PROD'!AW$2,'1.PUNTOS'!$A$1:$B$63,2,0),0)</f>
        <v>0</v>
      </c>
      <c r="AO76" s="138">
        <f>IF('1.DATOS-PROD'!AX77="SI",VLOOKUP('1.DATOS-PROD'!AX$2,'1.PUNTOS'!$A$1:$B$63,2,0),0)</f>
        <v>0</v>
      </c>
      <c r="AP76" s="138">
        <f>IF('1.DATOS-PROD'!AY77="SI",VLOOKUP('1.DATOS-PROD'!AY$2,'1.PUNTOS'!$A$1:$B$63,2,0),0)</f>
        <v>0</v>
      </c>
      <c r="AQ76" s="138">
        <f>IF('1.DATOS-PROD'!AZ77="SI",VLOOKUP('1.DATOS-PROD'!AZ$2,'1.PUNTOS'!$A$1:$B$63,2,0),0)</f>
        <v>0</v>
      </c>
      <c r="AR76" s="138">
        <f>IF('1.DATOS-PROD'!BA77="SI",VLOOKUP('1.DATOS-PROD'!BA$2,'1.PUNTOS'!$A$1:$B$63,2,0),0)</f>
        <v>0</v>
      </c>
      <c r="AS76" s="138">
        <f>IF('1.DATOS-PROD'!BB77="SI",VLOOKUP('1.DATOS-PROD'!BB$2,'1.PUNTOS'!$A$1:$B$63,2,0),0)</f>
        <v>0</v>
      </c>
      <c r="AT76" s="138">
        <f>IF('1.DATOS-PROD'!BC77="SI",VLOOKUP('1.DATOS-PROD'!BC$2,'1.PUNTOS'!$A$1:$B$63,2,0),0)</f>
        <v>0</v>
      </c>
      <c r="AU76" s="138">
        <f>IF('1.DATOS-PROD'!BD77="SI",VLOOKUP('1.DATOS-PROD'!BD$2,'1.PUNTOS'!$A$1:$B$63,2,0),0)</f>
        <v>0</v>
      </c>
      <c r="AV76" s="138">
        <f>IF('1.DATOS-PROD'!BE77="SI",VLOOKUP('1.DATOS-PROD'!BE$2,'1.PUNTOS'!$A$1:$B$63,2,0),0)</f>
        <v>0</v>
      </c>
      <c r="AW76" s="138">
        <f>IF('1.DATOS-PROD'!BF77="SI",VLOOKUP('1.DATOS-PROD'!BF$2,'1.PUNTOS'!$A$1:$B$63,2,0),0)</f>
        <v>0</v>
      </c>
      <c r="AX76" s="138">
        <f>IF('1.DATOS-PROD'!BG77="SI",VLOOKUP('1.DATOS-PROD'!BG$2,'1.PUNTOS'!$A$1:$B$63,2,0),0)</f>
        <v>0</v>
      </c>
      <c r="AY76" s="138">
        <f>IF('1.DATOS-PROD'!BH77="SI",VLOOKUP('1.DATOS-PROD'!BH$2,'1.PUNTOS'!$A$1:$B$63,2,0),0)</f>
        <v>0</v>
      </c>
      <c r="AZ76" s="138">
        <f>IF('1.DATOS-PROD'!BI77="SI",VLOOKUP('1.DATOS-PROD'!BI$2,'1.PUNTOS'!$A$1:$B$63,2,0),0)</f>
        <v>0</v>
      </c>
      <c r="BA76" s="138">
        <f>IF('1.DATOS-PROD'!BJ77="SI",VLOOKUP('1.DATOS-PROD'!BJ$2,'1.PUNTOS'!$A$1:$B$63,2,0),0)</f>
        <v>0</v>
      </c>
      <c r="BB76" s="138">
        <f>IF('1.DATOS-PROD'!BK77="SI",VLOOKUP('1.DATOS-PROD'!BK$2,'1.PUNTOS'!$A$1:$B$63,2,0),0)</f>
        <v>0</v>
      </c>
      <c r="BC76" s="138">
        <f>IF('1.DATOS-PROD'!BL77="SI",VLOOKUP('1.DATOS-PROD'!BL$2,'1.PUNTOS'!$A$1:$B$63,2,0),0)</f>
        <v>0</v>
      </c>
      <c r="BD76" s="138">
        <f>IF('1.DATOS-PROD'!BM77="SI",VLOOKUP('1.DATOS-PROD'!BM$2,'1.PUNTOS'!$A$1:$B$63,2,0),0)</f>
        <v>0</v>
      </c>
      <c r="BE76" s="138">
        <f>IF('1.DATOS-PROD'!BN77="SI",VLOOKUP('1.DATOS-PROD'!BN$2,'1.PUNTOS'!$A$1:$B$63,2,0),0)</f>
        <v>0</v>
      </c>
      <c r="BF76" s="138">
        <f>IF('1.DATOS-PROD'!BO77="SI",VLOOKUP('1.DATOS-PROD'!BO$2,'1.PUNTOS'!$A$1:$B$63,2,0),0)</f>
        <v>0</v>
      </c>
      <c r="BG76" s="138">
        <f>IF('1.DATOS-PROD'!BP77="SI",VLOOKUP('1.DATOS-PROD'!BP$2,'1.PUNTOS'!$A$1:$B$63,2,0),0)</f>
        <v>0</v>
      </c>
      <c r="BH76" s="138">
        <f>IF('1.DATOS-PROD'!BQ77="SI",VLOOKUP('1.DATOS-PROD'!BQ$2,'1.PUNTOS'!$A$1:$B$63,2,0),0)</f>
        <v>0</v>
      </c>
      <c r="BI76" s="138">
        <f>IF('1.DATOS-PROD'!BR77="SI",VLOOKUP('1.DATOS-PROD'!BR$2,'1.PUNTOS'!$A$1:$B$63,2,0),0)</f>
        <v>0</v>
      </c>
      <c r="BJ76" s="138">
        <f>IF('1.DATOS-PROD'!BS77="SI",VLOOKUP('1.DATOS-PROD'!BS$2,'1.PUNTOS'!$A$1:$B$63,2,0),0)</f>
        <v>0</v>
      </c>
      <c r="BK76" s="138">
        <f>IF('1.DATOS-PROD'!BT77="SI",VLOOKUP('1.DATOS-PROD'!BT$2,'1.PUNTOS'!$A$1:$B$63,2,0),0)</f>
        <v>0</v>
      </c>
    </row>
    <row r="77" spans="1:63" x14ac:dyDescent="0.25">
      <c r="A77">
        <f>'0.Consolidado general'!$A78</f>
        <v>0</v>
      </c>
      <c r="B77" s="138">
        <f>IF('1.DATOS-PROD'!K78="SI",VLOOKUP('1.DATOS-PROD'!K$2,'1.PUNTOS'!$A$1:$B$63,2,0),0)</f>
        <v>0</v>
      </c>
      <c r="C77" s="138">
        <f>IF('1.DATOS-PROD'!L78="SI",VLOOKUP('1.DATOS-PROD'!L$2,'1.PUNTOS'!$A$1:$B$63,2,0),0)</f>
        <v>0</v>
      </c>
      <c r="D77" s="138">
        <f>IF('1.DATOS-PROD'!M78="SI",VLOOKUP('1.DATOS-PROD'!M$2,'1.PUNTOS'!$A$1:$B$63,2,0),0)</f>
        <v>0</v>
      </c>
      <c r="E77" s="138">
        <f>IF('1.DATOS-PROD'!N78="SI",VLOOKUP('1.DATOS-PROD'!N$2,'1.PUNTOS'!$A$1:$B$63,2,0),0)</f>
        <v>0</v>
      </c>
      <c r="F77" s="138">
        <f>IF('1.DATOS-PROD'!O78="SI",VLOOKUP('1.DATOS-PROD'!O$2,'1.PUNTOS'!$A$1:$B$63,2,0),0)</f>
        <v>0</v>
      </c>
      <c r="G77" s="138">
        <f>IF('1.DATOS-PROD'!P78="SI",VLOOKUP('1.DATOS-PROD'!P$2,'1.PUNTOS'!$A$1:$B$63,2,0),0)</f>
        <v>0</v>
      </c>
      <c r="H77" s="138">
        <f>IF('1.DATOS-PROD'!Q78="SI",VLOOKUP('1.DATOS-PROD'!Q$2,'1.PUNTOS'!$A$1:$B$63,2,0),0)</f>
        <v>0</v>
      </c>
      <c r="I77" s="138">
        <f>IF('1.DATOS-PROD'!R78="SI",VLOOKUP('1.DATOS-PROD'!R$2,'1.PUNTOS'!$A$1:$B$63,2,0),0)</f>
        <v>0</v>
      </c>
      <c r="J77" s="138">
        <f>IF('1.DATOS-PROD'!S78="SI",VLOOKUP('1.DATOS-PROD'!S$2,'1.PUNTOS'!$A$1:$B$63,2,0),0)</f>
        <v>0</v>
      </c>
      <c r="K77" s="138">
        <f>IF('1.DATOS-PROD'!T78="SI",VLOOKUP('1.DATOS-PROD'!T$2,'1.PUNTOS'!$A$1:$B$63,2,0),0)</f>
        <v>0</v>
      </c>
      <c r="L77" s="138">
        <f>IF('1.DATOS-PROD'!U78="SI",VLOOKUP('1.DATOS-PROD'!U$2,'1.PUNTOS'!$A$1:$B$63,2,0),0)</f>
        <v>0</v>
      </c>
      <c r="M77" s="138">
        <f>IF('1.DATOS-PROD'!V78="SI",VLOOKUP('1.DATOS-PROD'!V$2,'1.PUNTOS'!$A$1:$B$63,2,0),0)</f>
        <v>0</v>
      </c>
      <c r="N77" s="138">
        <f>IF('1.DATOS-PROD'!W78="SI",VLOOKUP('1.DATOS-PROD'!W$2,'1.PUNTOS'!$A$1:$B$63,2,0),0)</f>
        <v>0</v>
      </c>
      <c r="O77" s="138">
        <f>IF('1.DATOS-PROD'!X78="SI",VLOOKUP('1.DATOS-PROD'!X$2,'1.PUNTOS'!$A$1:$B$63,2,0),0)</f>
        <v>0</v>
      </c>
      <c r="P77" s="138">
        <f>IF('1.DATOS-PROD'!Y78="SI",VLOOKUP('1.DATOS-PROD'!Y$2,'1.PUNTOS'!$A$1:$B$63,2,0),0)</f>
        <v>0</v>
      </c>
      <c r="Q77" s="138">
        <f>IF('1.DATOS-PROD'!Z78="SI",VLOOKUP('1.DATOS-PROD'!Z$2,'1.PUNTOS'!$A$1:$B$63,2,0),0)</f>
        <v>0</v>
      </c>
      <c r="R77" s="138">
        <f>IF('1.DATOS-PROD'!AA78="SI",VLOOKUP('1.DATOS-PROD'!AA$2,'1.PUNTOS'!$A$1:$B$63,2,0),0)</f>
        <v>0</v>
      </c>
      <c r="S77" s="138">
        <f>IF('1.DATOS-PROD'!AB78="SI",VLOOKUP('1.DATOS-PROD'!AB$2,'1.PUNTOS'!$A$1:$B$63,2,0),0)</f>
        <v>0</v>
      </c>
      <c r="T77" s="138">
        <f>IF('1.DATOS-PROD'!AC78="SI",VLOOKUP('1.DATOS-PROD'!AC$2,'1.PUNTOS'!$A$1:$B$63,2,0),0)</f>
        <v>0</v>
      </c>
      <c r="U77" s="138">
        <f>IF('1.DATOS-PROD'!AD78="SI",VLOOKUP('1.DATOS-PROD'!AD$2,'1.PUNTOS'!$A$1:$B$63,2,0),0)</f>
        <v>0</v>
      </c>
      <c r="V77" s="138">
        <f>IF('1.DATOS-PROD'!AE78="SI",VLOOKUP('1.DATOS-PROD'!AE$2,'1.PUNTOS'!$A$1:$B$63,2,0),0)</f>
        <v>0</v>
      </c>
      <c r="W77" s="138">
        <f>IF('1.DATOS-PROD'!AF78="SI",VLOOKUP('1.DATOS-PROD'!AF$2,'1.PUNTOS'!$A$1:$B$63,2,0),0)</f>
        <v>0</v>
      </c>
      <c r="X77" s="138">
        <f>IF('1.DATOS-PROD'!AG78="SI",VLOOKUP('1.DATOS-PROD'!AG$2,'1.PUNTOS'!$A$1:$B$63,2,0),0)</f>
        <v>0</v>
      </c>
      <c r="Y77" s="138">
        <f>IF('1.DATOS-PROD'!AH78="SI",VLOOKUP('1.DATOS-PROD'!AH$2,'1.PUNTOS'!$A$1:$B$63,2,0),0)</f>
        <v>0</v>
      </c>
      <c r="Z77" s="138">
        <f>IF('1.DATOS-PROD'!AI78="SI",VLOOKUP('1.DATOS-PROD'!AI$2,'1.PUNTOS'!$A$1:$B$63,2,0),0)</f>
        <v>0</v>
      </c>
      <c r="AA77" s="138">
        <f>IF('1.DATOS-PROD'!AJ78="SI",VLOOKUP('1.DATOS-PROD'!AJ$2,'1.PUNTOS'!$A$1:$B$63,2,0),0)</f>
        <v>0</v>
      </c>
      <c r="AB77" s="138">
        <f>IF('1.DATOS-PROD'!AK78="SI",VLOOKUP('1.DATOS-PROD'!AK$2,'1.PUNTOS'!$A$1:$B$63,2,0),0)</f>
        <v>0</v>
      </c>
      <c r="AC77" s="138">
        <f>IF('1.DATOS-PROD'!AL78="SI",VLOOKUP('1.DATOS-PROD'!AL$2,'1.PUNTOS'!$A$1:$B$63,2,0),0)</f>
        <v>0</v>
      </c>
      <c r="AD77" s="138">
        <f>IF('1.DATOS-PROD'!AM78="SI",VLOOKUP('1.DATOS-PROD'!AM$2,'1.PUNTOS'!$A$1:$B$63,2,0),0)</f>
        <v>0</v>
      </c>
      <c r="AE77" s="138">
        <f>IF('1.DATOS-PROD'!AN78="SI",VLOOKUP('1.DATOS-PROD'!AN$2,'1.PUNTOS'!$A$1:$B$63,2,0),0)</f>
        <v>0</v>
      </c>
      <c r="AF77" s="138">
        <f>IF('1.DATOS-PROD'!AO78="SI",VLOOKUP('1.DATOS-PROD'!AO$2,'1.PUNTOS'!$A$1:$B$63,2,0),0)</f>
        <v>0</v>
      </c>
      <c r="AG77" s="138">
        <f>IF('1.DATOS-PROD'!AP78="SI",VLOOKUP('1.DATOS-PROD'!AP$2,'1.PUNTOS'!$A$1:$B$63,2,0),0)</f>
        <v>0</v>
      </c>
      <c r="AH77" s="138">
        <f>IF('1.DATOS-PROD'!AQ78="SI",VLOOKUP('1.DATOS-PROD'!AQ$2,'1.PUNTOS'!$A$1:$B$63,2,0),0)</f>
        <v>0</v>
      </c>
      <c r="AI77" s="138">
        <f>IF('1.DATOS-PROD'!AR78="SI",VLOOKUP('1.DATOS-PROD'!AR$2,'1.PUNTOS'!$A$1:$B$63,2,0),0)</f>
        <v>0</v>
      </c>
      <c r="AJ77" s="138">
        <f>IF('1.DATOS-PROD'!AS78="SI",VLOOKUP('1.DATOS-PROD'!AS$2,'1.PUNTOS'!$A$1:$B$63,2,0),0)</f>
        <v>0</v>
      </c>
      <c r="AK77" s="138">
        <f>IF('1.DATOS-PROD'!AT78="SI",VLOOKUP('1.DATOS-PROD'!AT$2,'1.PUNTOS'!$A$1:$B$63,2,0),0)</f>
        <v>0</v>
      </c>
      <c r="AL77" s="138">
        <f>IF('1.DATOS-PROD'!AU78="SI",VLOOKUP('1.DATOS-PROD'!AU$2,'1.PUNTOS'!$A$1:$B$63,2,0),0)</f>
        <v>0</v>
      </c>
      <c r="AM77" s="138">
        <f>IF('1.DATOS-PROD'!AV78="SI",VLOOKUP('1.DATOS-PROD'!AV$2,'1.PUNTOS'!$A$1:$B$63,2,0),0)</f>
        <v>0</v>
      </c>
      <c r="AN77" s="138">
        <f>IF('1.DATOS-PROD'!AW78="SI",VLOOKUP('1.DATOS-PROD'!AW$2,'1.PUNTOS'!$A$1:$B$63,2,0),0)</f>
        <v>0</v>
      </c>
      <c r="AO77" s="138">
        <f>IF('1.DATOS-PROD'!AX78="SI",VLOOKUP('1.DATOS-PROD'!AX$2,'1.PUNTOS'!$A$1:$B$63,2,0),0)</f>
        <v>0</v>
      </c>
      <c r="AP77" s="138">
        <f>IF('1.DATOS-PROD'!AY78="SI",VLOOKUP('1.DATOS-PROD'!AY$2,'1.PUNTOS'!$A$1:$B$63,2,0),0)</f>
        <v>0</v>
      </c>
      <c r="AQ77" s="138">
        <f>IF('1.DATOS-PROD'!AZ78="SI",VLOOKUP('1.DATOS-PROD'!AZ$2,'1.PUNTOS'!$A$1:$B$63,2,0),0)</f>
        <v>0</v>
      </c>
      <c r="AR77" s="138">
        <f>IF('1.DATOS-PROD'!BA78="SI",VLOOKUP('1.DATOS-PROD'!BA$2,'1.PUNTOS'!$A$1:$B$63,2,0),0)</f>
        <v>0</v>
      </c>
      <c r="AS77" s="138">
        <f>IF('1.DATOS-PROD'!BB78="SI",VLOOKUP('1.DATOS-PROD'!BB$2,'1.PUNTOS'!$A$1:$B$63,2,0),0)</f>
        <v>0</v>
      </c>
      <c r="AT77" s="138">
        <f>IF('1.DATOS-PROD'!BC78="SI",VLOOKUP('1.DATOS-PROD'!BC$2,'1.PUNTOS'!$A$1:$B$63,2,0),0)</f>
        <v>0</v>
      </c>
      <c r="AU77" s="138">
        <f>IF('1.DATOS-PROD'!BD78="SI",VLOOKUP('1.DATOS-PROD'!BD$2,'1.PUNTOS'!$A$1:$B$63,2,0),0)</f>
        <v>0</v>
      </c>
      <c r="AV77" s="138">
        <f>IF('1.DATOS-PROD'!BE78="SI",VLOOKUP('1.DATOS-PROD'!BE$2,'1.PUNTOS'!$A$1:$B$63,2,0),0)</f>
        <v>0</v>
      </c>
      <c r="AW77" s="138">
        <f>IF('1.DATOS-PROD'!BF78="SI",VLOOKUP('1.DATOS-PROD'!BF$2,'1.PUNTOS'!$A$1:$B$63,2,0),0)</f>
        <v>0</v>
      </c>
      <c r="AX77" s="138">
        <f>IF('1.DATOS-PROD'!BG78="SI",VLOOKUP('1.DATOS-PROD'!BG$2,'1.PUNTOS'!$A$1:$B$63,2,0),0)</f>
        <v>0</v>
      </c>
      <c r="AY77" s="138">
        <f>IF('1.DATOS-PROD'!BH78="SI",VLOOKUP('1.DATOS-PROD'!BH$2,'1.PUNTOS'!$A$1:$B$63,2,0),0)</f>
        <v>0</v>
      </c>
      <c r="AZ77" s="138">
        <f>IF('1.DATOS-PROD'!BI78="SI",VLOOKUP('1.DATOS-PROD'!BI$2,'1.PUNTOS'!$A$1:$B$63,2,0),0)</f>
        <v>0</v>
      </c>
      <c r="BA77" s="138">
        <f>IF('1.DATOS-PROD'!BJ78="SI",VLOOKUP('1.DATOS-PROD'!BJ$2,'1.PUNTOS'!$A$1:$B$63,2,0),0)</f>
        <v>0</v>
      </c>
      <c r="BB77" s="138">
        <f>IF('1.DATOS-PROD'!BK78="SI",VLOOKUP('1.DATOS-PROD'!BK$2,'1.PUNTOS'!$A$1:$B$63,2,0),0)</f>
        <v>0</v>
      </c>
      <c r="BC77" s="138">
        <f>IF('1.DATOS-PROD'!BL78="SI",VLOOKUP('1.DATOS-PROD'!BL$2,'1.PUNTOS'!$A$1:$B$63,2,0),0)</f>
        <v>0</v>
      </c>
      <c r="BD77" s="138">
        <f>IF('1.DATOS-PROD'!BM78="SI",VLOOKUP('1.DATOS-PROD'!BM$2,'1.PUNTOS'!$A$1:$B$63,2,0),0)</f>
        <v>0</v>
      </c>
      <c r="BE77" s="138">
        <f>IF('1.DATOS-PROD'!BN78="SI",VLOOKUP('1.DATOS-PROD'!BN$2,'1.PUNTOS'!$A$1:$B$63,2,0),0)</f>
        <v>0</v>
      </c>
      <c r="BF77" s="138">
        <f>IF('1.DATOS-PROD'!BO78="SI",VLOOKUP('1.DATOS-PROD'!BO$2,'1.PUNTOS'!$A$1:$B$63,2,0),0)</f>
        <v>0</v>
      </c>
      <c r="BG77" s="138">
        <f>IF('1.DATOS-PROD'!BP78="SI",VLOOKUP('1.DATOS-PROD'!BP$2,'1.PUNTOS'!$A$1:$B$63,2,0),0)</f>
        <v>0</v>
      </c>
      <c r="BH77" s="138">
        <f>IF('1.DATOS-PROD'!BQ78="SI",VLOOKUP('1.DATOS-PROD'!BQ$2,'1.PUNTOS'!$A$1:$B$63,2,0),0)</f>
        <v>0</v>
      </c>
      <c r="BI77" s="138">
        <f>IF('1.DATOS-PROD'!BR78="SI",VLOOKUP('1.DATOS-PROD'!BR$2,'1.PUNTOS'!$A$1:$B$63,2,0),0)</f>
        <v>0</v>
      </c>
      <c r="BJ77" s="138">
        <f>IF('1.DATOS-PROD'!BS78="SI",VLOOKUP('1.DATOS-PROD'!BS$2,'1.PUNTOS'!$A$1:$B$63,2,0),0)</f>
        <v>0</v>
      </c>
      <c r="BK77" s="138">
        <f>IF('1.DATOS-PROD'!BT78="SI",VLOOKUP('1.DATOS-PROD'!BT$2,'1.PUNTOS'!$A$1:$B$63,2,0),0)</f>
        <v>0</v>
      </c>
    </row>
    <row r="78" spans="1:63" x14ac:dyDescent="0.25">
      <c r="A78">
        <f>'0.Consolidado general'!$A79</f>
        <v>0</v>
      </c>
      <c r="B78" s="138">
        <f>IF('1.DATOS-PROD'!K79="SI",VLOOKUP('1.DATOS-PROD'!K$2,'1.PUNTOS'!$A$1:$B$63,2,0),0)</f>
        <v>0</v>
      </c>
      <c r="C78" s="138">
        <f>IF('1.DATOS-PROD'!L79="SI",VLOOKUP('1.DATOS-PROD'!L$2,'1.PUNTOS'!$A$1:$B$63,2,0),0)</f>
        <v>0</v>
      </c>
      <c r="D78" s="138">
        <f>IF('1.DATOS-PROD'!M79="SI",VLOOKUP('1.DATOS-PROD'!M$2,'1.PUNTOS'!$A$1:$B$63,2,0),0)</f>
        <v>0</v>
      </c>
      <c r="E78" s="138">
        <f>IF('1.DATOS-PROD'!N79="SI",VLOOKUP('1.DATOS-PROD'!N$2,'1.PUNTOS'!$A$1:$B$63,2,0),0)</f>
        <v>0</v>
      </c>
      <c r="F78" s="138">
        <f>IF('1.DATOS-PROD'!O79="SI",VLOOKUP('1.DATOS-PROD'!O$2,'1.PUNTOS'!$A$1:$B$63,2,0),0)</f>
        <v>0</v>
      </c>
      <c r="G78" s="138">
        <f>IF('1.DATOS-PROD'!P79="SI",VLOOKUP('1.DATOS-PROD'!P$2,'1.PUNTOS'!$A$1:$B$63,2,0),0)</f>
        <v>0</v>
      </c>
      <c r="H78" s="138">
        <f>IF('1.DATOS-PROD'!Q79="SI",VLOOKUP('1.DATOS-PROD'!Q$2,'1.PUNTOS'!$A$1:$B$63,2,0),0)</f>
        <v>0</v>
      </c>
      <c r="I78" s="138">
        <f>IF('1.DATOS-PROD'!R79="SI",VLOOKUP('1.DATOS-PROD'!R$2,'1.PUNTOS'!$A$1:$B$63,2,0),0)</f>
        <v>0</v>
      </c>
      <c r="J78" s="138">
        <f>IF('1.DATOS-PROD'!S79="SI",VLOOKUP('1.DATOS-PROD'!S$2,'1.PUNTOS'!$A$1:$B$63,2,0),0)</f>
        <v>0</v>
      </c>
      <c r="K78" s="138">
        <f>IF('1.DATOS-PROD'!T79="SI",VLOOKUP('1.DATOS-PROD'!T$2,'1.PUNTOS'!$A$1:$B$63,2,0),0)</f>
        <v>0</v>
      </c>
      <c r="L78" s="138">
        <f>IF('1.DATOS-PROD'!U79="SI",VLOOKUP('1.DATOS-PROD'!U$2,'1.PUNTOS'!$A$1:$B$63,2,0),0)</f>
        <v>0</v>
      </c>
      <c r="M78" s="138">
        <f>IF('1.DATOS-PROD'!V79="SI",VLOOKUP('1.DATOS-PROD'!V$2,'1.PUNTOS'!$A$1:$B$63,2,0),0)</f>
        <v>0</v>
      </c>
      <c r="N78" s="138">
        <f>IF('1.DATOS-PROD'!W79="SI",VLOOKUP('1.DATOS-PROD'!W$2,'1.PUNTOS'!$A$1:$B$63,2,0),0)</f>
        <v>0</v>
      </c>
      <c r="O78" s="138">
        <f>IF('1.DATOS-PROD'!X79="SI",VLOOKUP('1.DATOS-PROD'!X$2,'1.PUNTOS'!$A$1:$B$63,2,0),0)</f>
        <v>0</v>
      </c>
      <c r="P78" s="138">
        <f>IF('1.DATOS-PROD'!Y79="SI",VLOOKUP('1.DATOS-PROD'!Y$2,'1.PUNTOS'!$A$1:$B$63,2,0),0)</f>
        <v>0</v>
      </c>
      <c r="Q78" s="138">
        <f>IF('1.DATOS-PROD'!Z79="SI",VLOOKUP('1.DATOS-PROD'!Z$2,'1.PUNTOS'!$A$1:$B$63,2,0),0)</f>
        <v>0</v>
      </c>
      <c r="R78" s="138">
        <f>IF('1.DATOS-PROD'!AA79="SI",VLOOKUP('1.DATOS-PROD'!AA$2,'1.PUNTOS'!$A$1:$B$63,2,0),0)</f>
        <v>0</v>
      </c>
      <c r="S78" s="138">
        <f>IF('1.DATOS-PROD'!AB79="SI",VLOOKUP('1.DATOS-PROD'!AB$2,'1.PUNTOS'!$A$1:$B$63,2,0),0)</f>
        <v>0</v>
      </c>
      <c r="T78" s="138">
        <f>IF('1.DATOS-PROD'!AC79="SI",VLOOKUP('1.DATOS-PROD'!AC$2,'1.PUNTOS'!$A$1:$B$63,2,0),0)</f>
        <v>0</v>
      </c>
      <c r="U78" s="138">
        <f>IF('1.DATOS-PROD'!AD79="SI",VLOOKUP('1.DATOS-PROD'!AD$2,'1.PUNTOS'!$A$1:$B$63,2,0),0)</f>
        <v>0</v>
      </c>
      <c r="V78" s="138">
        <f>IF('1.DATOS-PROD'!AE79="SI",VLOOKUP('1.DATOS-PROD'!AE$2,'1.PUNTOS'!$A$1:$B$63,2,0),0)</f>
        <v>0</v>
      </c>
      <c r="W78" s="138">
        <f>IF('1.DATOS-PROD'!AF79="SI",VLOOKUP('1.DATOS-PROD'!AF$2,'1.PUNTOS'!$A$1:$B$63,2,0),0)</f>
        <v>0</v>
      </c>
      <c r="X78" s="138">
        <f>IF('1.DATOS-PROD'!AG79="SI",VLOOKUP('1.DATOS-PROD'!AG$2,'1.PUNTOS'!$A$1:$B$63,2,0),0)</f>
        <v>0</v>
      </c>
      <c r="Y78" s="138">
        <f>IF('1.DATOS-PROD'!AH79="SI",VLOOKUP('1.DATOS-PROD'!AH$2,'1.PUNTOS'!$A$1:$B$63,2,0),0)</f>
        <v>0</v>
      </c>
      <c r="Z78" s="138">
        <f>IF('1.DATOS-PROD'!AI79="SI",VLOOKUP('1.DATOS-PROD'!AI$2,'1.PUNTOS'!$A$1:$B$63,2,0),0)</f>
        <v>0</v>
      </c>
      <c r="AA78" s="138">
        <f>IF('1.DATOS-PROD'!AJ79="SI",VLOOKUP('1.DATOS-PROD'!AJ$2,'1.PUNTOS'!$A$1:$B$63,2,0),0)</f>
        <v>0</v>
      </c>
      <c r="AB78" s="138">
        <f>IF('1.DATOS-PROD'!AK79="SI",VLOOKUP('1.DATOS-PROD'!AK$2,'1.PUNTOS'!$A$1:$B$63,2,0),0)</f>
        <v>0</v>
      </c>
      <c r="AC78" s="138">
        <f>IF('1.DATOS-PROD'!AL79="SI",VLOOKUP('1.DATOS-PROD'!AL$2,'1.PUNTOS'!$A$1:$B$63,2,0),0)</f>
        <v>0</v>
      </c>
      <c r="AD78" s="138">
        <f>IF('1.DATOS-PROD'!AM79="SI",VLOOKUP('1.DATOS-PROD'!AM$2,'1.PUNTOS'!$A$1:$B$63,2,0),0)</f>
        <v>0</v>
      </c>
      <c r="AE78" s="138">
        <f>IF('1.DATOS-PROD'!AN79="SI",VLOOKUP('1.DATOS-PROD'!AN$2,'1.PUNTOS'!$A$1:$B$63,2,0),0)</f>
        <v>0</v>
      </c>
      <c r="AF78" s="138">
        <f>IF('1.DATOS-PROD'!AO79="SI",VLOOKUP('1.DATOS-PROD'!AO$2,'1.PUNTOS'!$A$1:$B$63,2,0),0)</f>
        <v>0</v>
      </c>
      <c r="AG78" s="138">
        <f>IF('1.DATOS-PROD'!AP79="SI",VLOOKUP('1.DATOS-PROD'!AP$2,'1.PUNTOS'!$A$1:$B$63,2,0),0)</f>
        <v>0</v>
      </c>
      <c r="AH78" s="138">
        <f>IF('1.DATOS-PROD'!AQ79="SI",VLOOKUP('1.DATOS-PROD'!AQ$2,'1.PUNTOS'!$A$1:$B$63,2,0),0)</f>
        <v>0</v>
      </c>
      <c r="AI78" s="138">
        <f>IF('1.DATOS-PROD'!AR79="SI",VLOOKUP('1.DATOS-PROD'!AR$2,'1.PUNTOS'!$A$1:$B$63,2,0),0)</f>
        <v>0</v>
      </c>
      <c r="AJ78" s="138">
        <f>IF('1.DATOS-PROD'!AS79="SI",VLOOKUP('1.DATOS-PROD'!AS$2,'1.PUNTOS'!$A$1:$B$63,2,0),0)</f>
        <v>0</v>
      </c>
      <c r="AK78" s="138">
        <f>IF('1.DATOS-PROD'!AT79="SI",VLOOKUP('1.DATOS-PROD'!AT$2,'1.PUNTOS'!$A$1:$B$63,2,0),0)</f>
        <v>0</v>
      </c>
      <c r="AL78" s="138">
        <f>IF('1.DATOS-PROD'!AU79="SI",VLOOKUP('1.DATOS-PROD'!AU$2,'1.PUNTOS'!$A$1:$B$63,2,0),0)</f>
        <v>0</v>
      </c>
      <c r="AM78" s="138">
        <f>IF('1.DATOS-PROD'!AV79="SI",VLOOKUP('1.DATOS-PROD'!AV$2,'1.PUNTOS'!$A$1:$B$63,2,0),0)</f>
        <v>0</v>
      </c>
      <c r="AN78" s="138">
        <f>IF('1.DATOS-PROD'!AW79="SI",VLOOKUP('1.DATOS-PROD'!AW$2,'1.PUNTOS'!$A$1:$B$63,2,0),0)</f>
        <v>0</v>
      </c>
      <c r="AO78" s="138">
        <f>IF('1.DATOS-PROD'!AX79="SI",VLOOKUP('1.DATOS-PROD'!AX$2,'1.PUNTOS'!$A$1:$B$63,2,0),0)</f>
        <v>0</v>
      </c>
      <c r="AP78" s="138">
        <f>IF('1.DATOS-PROD'!AY79="SI",VLOOKUP('1.DATOS-PROD'!AY$2,'1.PUNTOS'!$A$1:$B$63,2,0),0)</f>
        <v>0</v>
      </c>
      <c r="AQ78" s="138">
        <f>IF('1.DATOS-PROD'!AZ79="SI",VLOOKUP('1.DATOS-PROD'!AZ$2,'1.PUNTOS'!$A$1:$B$63,2,0),0)</f>
        <v>0</v>
      </c>
      <c r="AR78" s="138">
        <f>IF('1.DATOS-PROD'!BA79="SI",VLOOKUP('1.DATOS-PROD'!BA$2,'1.PUNTOS'!$A$1:$B$63,2,0),0)</f>
        <v>0</v>
      </c>
      <c r="AS78" s="138">
        <f>IF('1.DATOS-PROD'!BB79="SI",VLOOKUP('1.DATOS-PROD'!BB$2,'1.PUNTOS'!$A$1:$B$63,2,0),0)</f>
        <v>0</v>
      </c>
      <c r="AT78" s="138">
        <f>IF('1.DATOS-PROD'!BC79="SI",VLOOKUP('1.DATOS-PROD'!BC$2,'1.PUNTOS'!$A$1:$B$63,2,0),0)</f>
        <v>0</v>
      </c>
      <c r="AU78" s="138">
        <f>IF('1.DATOS-PROD'!BD79="SI",VLOOKUP('1.DATOS-PROD'!BD$2,'1.PUNTOS'!$A$1:$B$63,2,0),0)</f>
        <v>0</v>
      </c>
      <c r="AV78" s="138">
        <f>IF('1.DATOS-PROD'!BE79="SI",VLOOKUP('1.DATOS-PROD'!BE$2,'1.PUNTOS'!$A$1:$B$63,2,0),0)</f>
        <v>0</v>
      </c>
      <c r="AW78" s="138">
        <f>IF('1.DATOS-PROD'!BF79="SI",VLOOKUP('1.DATOS-PROD'!BF$2,'1.PUNTOS'!$A$1:$B$63,2,0),0)</f>
        <v>0</v>
      </c>
      <c r="AX78" s="138">
        <f>IF('1.DATOS-PROD'!BG79="SI",VLOOKUP('1.DATOS-PROD'!BG$2,'1.PUNTOS'!$A$1:$B$63,2,0),0)</f>
        <v>0</v>
      </c>
      <c r="AY78" s="138">
        <f>IF('1.DATOS-PROD'!BH79="SI",VLOOKUP('1.DATOS-PROD'!BH$2,'1.PUNTOS'!$A$1:$B$63,2,0),0)</f>
        <v>0</v>
      </c>
      <c r="AZ78" s="138">
        <f>IF('1.DATOS-PROD'!BI79="SI",VLOOKUP('1.DATOS-PROD'!BI$2,'1.PUNTOS'!$A$1:$B$63,2,0),0)</f>
        <v>0</v>
      </c>
      <c r="BA78" s="138">
        <f>IF('1.DATOS-PROD'!BJ79="SI",VLOOKUP('1.DATOS-PROD'!BJ$2,'1.PUNTOS'!$A$1:$B$63,2,0),0)</f>
        <v>0</v>
      </c>
      <c r="BB78" s="138">
        <f>IF('1.DATOS-PROD'!BK79="SI",VLOOKUP('1.DATOS-PROD'!BK$2,'1.PUNTOS'!$A$1:$B$63,2,0),0)</f>
        <v>0</v>
      </c>
      <c r="BC78" s="138">
        <f>IF('1.DATOS-PROD'!BL79="SI",VLOOKUP('1.DATOS-PROD'!BL$2,'1.PUNTOS'!$A$1:$B$63,2,0),0)</f>
        <v>0</v>
      </c>
      <c r="BD78" s="138">
        <f>IF('1.DATOS-PROD'!BM79="SI",VLOOKUP('1.DATOS-PROD'!BM$2,'1.PUNTOS'!$A$1:$B$63,2,0),0)</f>
        <v>0</v>
      </c>
      <c r="BE78" s="138">
        <f>IF('1.DATOS-PROD'!BN79="SI",VLOOKUP('1.DATOS-PROD'!BN$2,'1.PUNTOS'!$A$1:$B$63,2,0),0)</f>
        <v>0</v>
      </c>
      <c r="BF78" s="138">
        <f>IF('1.DATOS-PROD'!BO79="SI",VLOOKUP('1.DATOS-PROD'!BO$2,'1.PUNTOS'!$A$1:$B$63,2,0),0)</f>
        <v>0</v>
      </c>
      <c r="BG78" s="138">
        <f>IF('1.DATOS-PROD'!BP79="SI",VLOOKUP('1.DATOS-PROD'!BP$2,'1.PUNTOS'!$A$1:$B$63,2,0),0)</f>
        <v>0</v>
      </c>
      <c r="BH78" s="138">
        <f>IF('1.DATOS-PROD'!BQ79="SI",VLOOKUP('1.DATOS-PROD'!BQ$2,'1.PUNTOS'!$A$1:$B$63,2,0),0)</f>
        <v>0</v>
      </c>
      <c r="BI78" s="138">
        <f>IF('1.DATOS-PROD'!BR79="SI",VLOOKUP('1.DATOS-PROD'!BR$2,'1.PUNTOS'!$A$1:$B$63,2,0),0)</f>
        <v>0</v>
      </c>
      <c r="BJ78" s="138">
        <f>IF('1.DATOS-PROD'!BS79="SI",VLOOKUP('1.DATOS-PROD'!BS$2,'1.PUNTOS'!$A$1:$B$63,2,0),0)</f>
        <v>0</v>
      </c>
      <c r="BK78" s="138">
        <f>IF('1.DATOS-PROD'!BT79="SI",VLOOKUP('1.DATOS-PROD'!BT$2,'1.PUNTOS'!$A$1:$B$63,2,0),0)</f>
        <v>0</v>
      </c>
    </row>
    <row r="79" spans="1:63" x14ac:dyDescent="0.25">
      <c r="A79">
        <f>'0.Consolidado general'!$A80</f>
        <v>0</v>
      </c>
      <c r="B79" s="138">
        <f>IF('1.DATOS-PROD'!K80="SI",VLOOKUP('1.DATOS-PROD'!K$2,'1.PUNTOS'!$A$1:$B$63,2,0),0)</f>
        <v>0</v>
      </c>
      <c r="C79" s="138">
        <f>IF('1.DATOS-PROD'!L80="SI",VLOOKUP('1.DATOS-PROD'!L$2,'1.PUNTOS'!$A$1:$B$63,2,0),0)</f>
        <v>0</v>
      </c>
      <c r="D79" s="138">
        <f>IF('1.DATOS-PROD'!M80="SI",VLOOKUP('1.DATOS-PROD'!M$2,'1.PUNTOS'!$A$1:$B$63,2,0),0)</f>
        <v>0</v>
      </c>
      <c r="E79" s="138">
        <f>IF('1.DATOS-PROD'!N80="SI",VLOOKUP('1.DATOS-PROD'!N$2,'1.PUNTOS'!$A$1:$B$63,2,0),0)</f>
        <v>0</v>
      </c>
      <c r="F79" s="138">
        <f>IF('1.DATOS-PROD'!O80="SI",VLOOKUP('1.DATOS-PROD'!O$2,'1.PUNTOS'!$A$1:$B$63,2,0),0)</f>
        <v>0</v>
      </c>
      <c r="G79" s="138">
        <f>IF('1.DATOS-PROD'!P80="SI",VLOOKUP('1.DATOS-PROD'!P$2,'1.PUNTOS'!$A$1:$B$63,2,0),0)</f>
        <v>0</v>
      </c>
      <c r="H79" s="138">
        <f>IF('1.DATOS-PROD'!Q80="SI",VLOOKUP('1.DATOS-PROD'!Q$2,'1.PUNTOS'!$A$1:$B$63,2,0),0)</f>
        <v>0</v>
      </c>
      <c r="I79" s="138">
        <f>IF('1.DATOS-PROD'!R80="SI",VLOOKUP('1.DATOS-PROD'!R$2,'1.PUNTOS'!$A$1:$B$63,2,0),0)</f>
        <v>0</v>
      </c>
      <c r="J79" s="138">
        <f>IF('1.DATOS-PROD'!S80="SI",VLOOKUP('1.DATOS-PROD'!S$2,'1.PUNTOS'!$A$1:$B$63,2,0),0)</f>
        <v>0</v>
      </c>
      <c r="K79" s="138">
        <f>IF('1.DATOS-PROD'!T80="SI",VLOOKUP('1.DATOS-PROD'!T$2,'1.PUNTOS'!$A$1:$B$63,2,0),0)</f>
        <v>0</v>
      </c>
      <c r="L79" s="138">
        <f>IF('1.DATOS-PROD'!U80="SI",VLOOKUP('1.DATOS-PROD'!U$2,'1.PUNTOS'!$A$1:$B$63,2,0),0)</f>
        <v>0</v>
      </c>
      <c r="M79" s="138">
        <f>IF('1.DATOS-PROD'!V80="SI",VLOOKUP('1.DATOS-PROD'!V$2,'1.PUNTOS'!$A$1:$B$63,2,0),0)</f>
        <v>0</v>
      </c>
      <c r="N79" s="138">
        <f>IF('1.DATOS-PROD'!W80="SI",VLOOKUP('1.DATOS-PROD'!W$2,'1.PUNTOS'!$A$1:$B$63,2,0),0)</f>
        <v>0</v>
      </c>
      <c r="O79" s="138">
        <f>IF('1.DATOS-PROD'!X80="SI",VLOOKUP('1.DATOS-PROD'!X$2,'1.PUNTOS'!$A$1:$B$63,2,0),0)</f>
        <v>0</v>
      </c>
      <c r="P79" s="138">
        <f>IF('1.DATOS-PROD'!Y80="SI",VLOOKUP('1.DATOS-PROD'!Y$2,'1.PUNTOS'!$A$1:$B$63,2,0),0)</f>
        <v>0</v>
      </c>
      <c r="Q79" s="138">
        <f>IF('1.DATOS-PROD'!Z80="SI",VLOOKUP('1.DATOS-PROD'!Z$2,'1.PUNTOS'!$A$1:$B$63,2,0),0)</f>
        <v>0</v>
      </c>
      <c r="R79" s="138">
        <f>IF('1.DATOS-PROD'!AA80="SI",VLOOKUP('1.DATOS-PROD'!AA$2,'1.PUNTOS'!$A$1:$B$63,2,0),0)</f>
        <v>0</v>
      </c>
      <c r="S79" s="138">
        <f>IF('1.DATOS-PROD'!AB80="SI",VLOOKUP('1.DATOS-PROD'!AB$2,'1.PUNTOS'!$A$1:$B$63,2,0),0)</f>
        <v>0</v>
      </c>
      <c r="T79" s="138">
        <f>IF('1.DATOS-PROD'!AC80="SI",VLOOKUP('1.DATOS-PROD'!AC$2,'1.PUNTOS'!$A$1:$B$63,2,0),0)</f>
        <v>0</v>
      </c>
      <c r="U79" s="138">
        <f>IF('1.DATOS-PROD'!AD80="SI",VLOOKUP('1.DATOS-PROD'!AD$2,'1.PUNTOS'!$A$1:$B$63,2,0),0)</f>
        <v>0</v>
      </c>
      <c r="V79" s="138">
        <f>IF('1.DATOS-PROD'!AE80="SI",VLOOKUP('1.DATOS-PROD'!AE$2,'1.PUNTOS'!$A$1:$B$63,2,0),0)</f>
        <v>0</v>
      </c>
      <c r="W79" s="138">
        <f>IF('1.DATOS-PROD'!AF80="SI",VLOOKUP('1.DATOS-PROD'!AF$2,'1.PUNTOS'!$A$1:$B$63,2,0),0)</f>
        <v>0</v>
      </c>
      <c r="X79" s="138">
        <f>IF('1.DATOS-PROD'!AG80="SI",VLOOKUP('1.DATOS-PROD'!AG$2,'1.PUNTOS'!$A$1:$B$63,2,0),0)</f>
        <v>0</v>
      </c>
      <c r="Y79" s="138">
        <f>IF('1.DATOS-PROD'!AH80="SI",VLOOKUP('1.DATOS-PROD'!AH$2,'1.PUNTOS'!$A$1:$B$63,2,0),0)</f>
        <v>0</v>
      </c>
      <c r="Z79" s="138">
        <f>IF('1.DATOS-PROD'!AI80="SI",VLOOKUP('1.DATOS-PROD'!AI$2,'1.PUNTOS'!$A$1:$B$63,2,0),0)</f>
        <v>0</v>
      </c>
      <c r="AA79" s="138">
        <f>IF('1.DATOS-PROD'!AJ80="SI",VLOOKUP('1.DATOS-PROD'!AJ$2,'1.PUNTOS'!$A$1:$B$63,2,0),0)</f>
        <v>0</v>
      </c>
      <c r="AB79" s="138">
        <f>IF('1.DATOS-PROD'!AK80="SI",VLOOKUP('1.DATOS-PROD'!AK$2,'1.PUNTOS'!$A$1:$B$63,2,0),0)</f>
        <v>0</v>
      </c>
      <c r="AC79" s="138">
        <f>IF('1.DATOS-PROD'!AL80="SI",VLOOKUP('1.DATOS-PROD'!AL$2,'1.PUNTOS'!$A$1:$B$63,2,0),0)</f>
        <v>0</v>
      </c>
      <c r="AD79" s="138">
        <f>IF('1.DATOS-PROD'!AM80="SI",VLOOKUP('1.DATOS-PROD'!AM$2,'1.PUNTOS'!$A$1:$B$63,2,0),0)</f>
        <v>0</v>
      </c>
      <c r="AE79" s="138">
        <f>IF('1.DATOS-PROD'!AN80="SI",VLOOKUP('1.DATOS-PROD'!AN$2,'1.PUNTOS'!$A$1:$B$63,2,0),0)</f>
        <v>0</v>
      </c>
      <c r="AF79" s="138">
        <f>IF('1.DATOS-PROD'!AO80="SI",VLOOKUP('1.DATOS-PROD'!AO$2,'1.PUNTOS'!$A$1:$B$63,2,0),0)</f>
        <v>0</v>
      </c>
      <c r="AG79" s="138">
        <f>IF('1.DATOS-PROD'!AP80="SI",VLOOKUP('1.DATOS-PROD'!AP$2,'1.PUNTOS'!$A$1:$B$63,2,0),0)</f>
        <v>0</v>
      </c>
      <c r="AH79" s="138">
        <f>IF('1.DATOS-PROD'!AQ80="SI",VLOOKUP('1.DATOS-PROD'!AQ$2,'1.PUNTOS'!$A$1:$B$63,2,0),0)</f>
        <v>0</v>
      </c>
      <c r="AI79" s="138">
        <f>IF('1.DATOS-PROD'!AR80="SI",VLOOKUP('1.DATOS-PROD'!AR$2,'1.PUNTOS'!$A$1:$B$63,2,0),0)</f>
        <v>0</v>
      </c>
      <c r="AJ79" s="138">
        <f>IF('1.DATOS-PROD'!AS80="SI",VLOOKUP('1.DATOS-PROD'!AS$2,'1.PUNTOS'!$A$1:$B$63,2,0),0)</f>
        <v>0</v>
      </c>
      <c r="AK79" s="138">
        <f>IF('1.DATOS-PROD'!AT80="SI",VLOOKUP('1.DATOS-PROD'!AT$2,'1.PUNTOS'!$A$1:$B$63,2,0),0)</f>
        <v>0</v>
      </c>
      <c r="AL79" s="138">
        <f>IF('1.DATOS-PROD'!AU80="SI",VLOOKUP('1.DATOS-PROD'!AU$2,'1.PUNTOS'!$A$1:$B$63,2,0),0)</f>
        <v>0</v>
      </c>
      <c r="AM79" s="138">
        <f>IF('1.DATOS-PROD'!AV80="SI",VLOOKUP('1.DATOS-PROD'!AV$2,'1.PUNTOS'!$A$1:$B$63,2,0),0)</f>
        <v>0</v>
      </c>
      <c r="AN79" s="138">
        <f>IF('1.DATOS-PROD'!AW80="SI",VLOOKUP('1.DATOS-PROD'!AW$2,'1.PUNTOS'!$A$1:$B$63,2,0),0)</f>
        <v>0</v>
      </c>
      <c r="AO79" s="138">
        <f>IF('1.DATOS-PROD'!AX80="SI",VLOOKUP('1.DATOS-PROD'!AX$2,'1.PUNTOS'!$A$1:$B$63,2,0),0)</f>
        <v>0</v>
      </c>
      <c r="AP79" s="138">
        <f>IF('1.DATOS-PROD'!AY80="SI",VLOOKUP('1.DATOS-PROD'!AY$2,'1.PUNTOS'!$A$1:$B$63,2,0),0)</f>
        <v>0</v>
      </c>
      <c r="AQ79" s="138">
        <f>IF('1.DATOS-PROD'!AZ80="SI",VLOOKUP('1.DATOS-PROD'!AZ$2,'1.PUNTOS'!$A$1:$B$63,2,0),0)</f>
        <v>0</v>
      </c>
      <c r="AR79" s="138">
        <f>IF('1.DATOS-PROD'!BA80="SI",VLOOKUP('1.DATOS-PROD'!BA$2,'1.PUNTOS'!$A$1:$B$63,2,0),0)</f>
        <v>0</v>
      </c>
      <c r="AS79" s="138">
        <f>IF('1.DATOS-PROD'!BB80="SI",VLOOKUP('1.DATOS-PROD'!BB$2,'1.PUNTOS'!$A$1:$B$63,2,0),0)</f>
        <v>0</v>
      </c>
      <c r="AT79" s="138">
        <f>IF('1.DATOS-PROD'!BC80="SI",VLOOKUP('1.DATOS-PROD'!BC$2,'1.PUNTOS'!$A$1:$B$63,2,0),0)</f>
        <v>0</v>
      </c>
      <c r="AU79" s="138">
        <f>IF('1.DATOS-PROD'!BD80="SI",VLOOKUP('1.DATOS-PROD'!BD$2,'1.PUNTOS'!$A$1:$B$63,2,0),0)</f>
        <v>0</v>
      </c>
      <c r="AV79" s="138">
        <f>IF('1.DATOS-PROD'!BE80="SI",VLOOKUP('1.DATOS-PROD'!BE$2,'1.PUNTOS'!$A$1:$B$63,2,0),0)</f>
        <v>0</v>
      </c>
      <c r="AW79" s="138">
        <f>IF('1.DATOS-PROD'!BF80="SI",VLOOKUP('1.DATOS-PROD'!BF$2,'1.PUNTOS'!$A$1:$B$63,2,0),0)</f>
        <v>0</v>
      </c>
      <c r="AX79" s="138">
        <f>IF('1.DATOS-PROD'!BG80="SI",VLOOKUP('1.DATOS-PROD'!BG$2,'1.PUNTOS'!$A$1:$B$63,2,0),0)</f>
        <v>0</v>
      </c>
      <c r="AY79" s="138">
        <f>IF('1.DATOS-PROD'!BH80="SI",VLOOKUP('1.DATOS-PROD'!BH$2,'1.PUNTOS'!$A$1:$B$63,2,0),0)</f>
        <v>0</v>
      </c>
      <c r="AZ79" s="138">
        <f>IF('1.DATOS-PROD'!BI80="SI",VLOOKUP('1.DATOS-PROD'!BI$2,'1.PUNTOS'!$A$1:$B$63,2,0),0)</f>
        <v>0</v>
      </c>
      <c r="BA79" s="138">
        <f>IF('1.DATOS-PROD'!BJ80="SI",VLOOKUP('1.DATOS-PROD'!BJ$2,'1.PUNTOS'!$A$1:$B$63,2,0),0)</f>
        <v>0</v>
      </c>
      <c r="BB79" s="138">
        <f>IF('1.DATOS-PROD'!BK80="SI",VLOOKUP('1.DATOS-PROD'!BK$2,'1.PUNTOS'!$A$1:$B$63,2,0),0)</f>
        <v>0</v>
      </c>
      <c r="BC79" s="138">
        <f>IF('1.DATOS-PROD'!BL80="SI",VLOOKUP('1.DATOS-PROD'!BL$2,'1.PUNTOS'!$A$1:$B$63,2,0),0)</f>
        <v>0</v>
      </c>
      <c r="BD79" s="138">
        <f>IF('1.DATOS-PROD'!BM80="SI",VLOOKUP('1.DATOS-PROD'!BM$2,'1.PUNTOS'!$A$1:$B$63,2,0),0)</f>
        <v>0</v>
      </c>
      <c r="BE79" s="138">
        <f>IF('1.DATOS-PROD'!BN80="SI",VLOOKUP('1.DATOS-PROD'!BN$2,'1.PUNTOS'!$A$1:$B$63,2,0),0)</f>
        <v>0</v>
      </c>
      <c r="BF79" s="138">
        <f>IF('1.DATOS-PROD'!BO80="SI",VLOOKUP('1.DATOS-PROD'!BO$2,'1.PUNTOS'!$A$1:$B$63,2,0),0)</f>
        <v>0</v>
      </c>
      <c r="BG79" s="138">
        <f>IF('1.DATOS-PROD'!BP80="SI",VLOOKUP('1.DATOS-PROD'!BP$2,'1.PUNTOS'!$A$1:$B$63,2,0),0)</f>
        <v>0</v>
      </c>
      <c r="BH79" s="138">
        <f>IF('1.DATOS-PROD'!BQ80="SI",VLOOKUP('1.DATOS-PROD'!BQ$2,'1.PUNTOS'!$A$1:$B$63,2,0),0)</f>
        <v>0</v>
      </c>
      <c r="BI79" s="138">
        <f>IF('1.DATOS-PROD'!BR80="SI",VLOOKUP('1.DATOS-PROD'!BR$2,'1.PUNTOS'!$A$1:$B$63,2,0),0)</f>
        <v>0</v>
      </c>
      <c r="BJ79" s="138">
        <f>IF('1.DATOS-PROD'!BS80="SI",VLOOKUP('1.DATOS-PROD'!BS$2,'1.PUNTOS'!$A$1:$B$63,2,0),0)</f>
        <v>0</v>
      </c>
      <c r="BK79" s="138">
        <f>IF('1.DATOS-PROD'!BT80="SI",VLOOKUP('1.DATOS-PROD'!BT$2,'1.PUNTOS'!$A$1:$B$63,2,0),0)</f>
        <v>0</v>
      </c>
    </row>
    <row r="80" spans="1:63" x14ac:dyDescent="0.25">
      <c r="A80">
        <f>'0.Consolidado general'!$A81</f>
        <v>0</v>
      </c>
      <c r="B80" s="138">
        <f>IF('1.DATOS-PROD'!K81="SI",VLOOKUP('1.DATOS-PROD'!K$2,'1.PUNTOS'!$A$1:$B$63,2,0),0)</f>
        <v>0</v>
      </c>
      <c r="C80" s="138">
        <f>IF('1.DATOS-PROD'!L81="SI",VLOOKUP('1.DATOS-PROD'!L$2,'1.PUNTOS'!$A$1:$B$63,2,0),0)</f>
        <v>0</v>
      </c>
      <c r="D80" s="138">
        <f>IF('1.DATOS-PROD'!M81="SI",VLOOKUP('1.DATOS-PROD'!M$2,'1.PUNTOS'!$A$1:$B$63,2,0),0)</f>
        <v>0</v>
      </c>
      <c r="E80" s="138">
        <f>IF('1.DATOS-PROD'!N81="SI",VLOOKUP('1.DATOS-PROD'!N$2,'1.PUNTOS'!$A$1:$B$63,2,0),0)</f>
        <v>0</v>
      </c>
      <c r="F80" s="138">
        <f>IF('1.DATOS-PROD'!O81="SI",VLOOKUP('1.DATOS-PROD'!O$2,'1.PUNTOS'!$A$1:$B$63,2,0),0)</f>
        <v>0</v>
      </c>
      <c r="G80" s="138">
        <f>IF('1.DATOS-PROD'!P81="SI",VLOOKUP('1.DATOS-PROD'!P$2,'1.PUNTOS'!$A$1:$B$63,2,0),0)</f>
        <v>0</v>
      </c>
      <c r="H80" s="138">
        <f>IF('1.DATOS-PROD'!Q81="SI",VLOOKUP('1.DATOS-PROD'!Q$2,'1.PUNTOS'!$A$1:$B$63,2,0),0)</f>
        <v>0</v>
      </c>
      <c r="I80" s="138">
        <f>IF('1.DATOS-PROD'!R81="SI",VLOOKUP('1.DATOS-PROD'!R$2,'1.PUNTOS'!$A$1:$B$63,2,0),0)</f>
        <v>0</v>
      </c>
      <c r="J80" s="138">
        <f>IF('1.DATOS-PROD'!S81="SI",VLOOKUP('1.DATOS-PROD'!S$2,'1.PUNTOS'!$A$1:$B$63,2,0),0)</f>
        <v>0</v>
      </c>
      <c r="K80" s="138">
        <f>IF('1.DATOS-PROD'!T81="SI",VLOOKUP('1.DATOS-PROD'!T$2,'1.PUNTOS'!$A$1:$B$63,2,0),0)</f>
        <v>0</v>
      </c>
      <c r="L80" s="138">
        <f>IF('1.DATOS-PROD'!U81="SI",VLOOKUP('1.DATOS-PROD'!U$2,'1.PUNTOS'!$A$1:$B$63,2,0),0)</f>
        <v>0</v>
      </c>
      <c r="M80" s="138">
        <f>IF('1.DATOS-PROD'!V81="SI",VLOOKUP('1.DATOS-PROD'!V$2,'1.PUNTOS'!$A$1:$B$63,2,0),0)</f>
        <v>0</v>
      </c>
      <c r="N80" s="138">
        <f>IF('1.DATOS-PROD'!W81="SI",VLOOKUP('1.DATOS-PROD'!W$2,'1.PUNTOS'!$A$1:$B$63,2,0),0)</f>
        <v>0</v>
      </c>
      <c r="O80" s="138">
        <f>IF('1.DATOS-PROD'!X81="SI",VLOOKUP('1.DATOS-PROD'!X$2,'1.PUNTOS'!$A$1:$B$63,2,0),0)</f>
        <v>0</v>
      </c>
      <c r="P80" s="138">
        <f>IF('1.DATOS-PROD'!Y81="SI",VLOOKUP('1.DATOS-PROD'!Y$2,'1.PUNTOS'!$A$1:$B$63,2,0),0)</f>
        <v>0</v>
      </c>
      <c r="Q80" s="138">
        <f>IF('1.DATOS-PROD'!Z81="SI",VLOOKUP('1.DATOS-PROD'!Z$2,'1.PUNTOS'!$A$1:$B$63,2,0),0)</f>
        <v>0</v>
      </c>
      <c r="R80" s="138">
        <f>IF('1.DATOS-PROD'!AA81="SI",VLOOKUP('1.DATOS-PROD'!AA$2,'1.PUNTOS'!$A$1:$B$63,2,0),0)</f>
        <v>0</v>
      </c>
      <c r="S80" s="138">
        <f>IF('1.DATOS-PROD'!AB81="SI",VLOOKUP('1.DATOS-PROD'!AB$2,'1.PUNTOS'!$A$1:$B$63,2,0),0)</f>
        <v>0</v>
      </c>
      <c r="T80" s="138">
        <f>IF('1.DATOS-PROD'!AC81="SI",VLOOKUP('1.DATOS-PROD'!AC$2,'1.PUNTOS'!$A$1:$B$63,2,0),0)</f>
        <v>0</v>
      </c>
      <c r="U80" s="138">
        <f>IF('1.DATOS-PROD'!AD81="SI",VLOOKUP('1.DATOS-PROD'!AD$2,'1.PUNTOS'!$A$1:$B$63,2,0),0)</f>
        <v>0</v>
      </c>
      <c r="V80" s="138">
        <f>IF('1.DATOS-PROD'!AE81="SI",VLOOKUP('1.DATOS-PROD'!AE$2,'1.PUNTOS'!$A$1:$B$63,2,0),0)</f>
        <v>0</v>
      </c>
      <c r="W80" s="138">
        <f>IF('1.DATOS-PROD'!AF81="SI",VLOOKUP('1.DATOS-PROD'!AF$2,'1.PUNTOS'!$A$1:$B$63,2,0),0)</f>
        <v>0</v>
      </c>
      <c r="X80" s="138">
        <f>IF('1.DATOS-PROD'!AG81="SI",VLOOKUP('1.DATOS-PROD'!AG$2,'1.PUNTOS'!$A$1:$B$63,2,0),0)</f>
        <v>0</v>
      </c>
      <c r="Y80" s="138">
        <f>IF('1.DATOS-PROD'!AH81="SI",VLOOKUP('1.DATOS-PROD'!AH$2,'1.PUNTOS'!$A$1:$B$63,2,0),0)</f>
        <v>0</v>
      </c>
      <c r="Z80" s="138">
        <f>IF('1.DATOS-PROD'!AI81="SI",VLOOKUP('1.DATOS-PROD'!AI$2,'1.PUNTOS'!$A$1:$B$63,2,0),0)</f>
        <v>0</v>
      </c>
      <c r="AA80" s="138">
        <f>IF('1.DATOS-PROD'!AJ81="SI",VLOOKUP('1.DATOS-PROD'!AJ$2,'1.PUNTOS'!$A$1:$B$63,2,0),0)</f>
        <v>0</v>
      </c>
      <c r="AB80" s="138">
        <f>IF('1.DATOS-PROD'!AK81="SI",VLOOKUP('1.DATOS-PROD'!AK$2,'1.PUNTOS'!$A$1:$B$63,2,0),0)</f>
        <v>0</v>
      </c>
      <c r="AC80" s="138">
        <f>IF('1.DATOS-PROD'!AL81="SI",VLOOKUP('1.DATOS-PROD'!AL$2,'1.PUNTOS'!$A$1:$B$63,2,0),0)</f>
        <v>0</v>
      </c>
      <c r="AD80" s="138">
        <f>IF('1.DATOS-PROD'!AM81="SI",VLOOKUP('1.DATOS-PROD'!AM$2,'1.PUNTOS'!$A$1:$B$63,2,0),0)</f>
        <v>0</v>
      </c>
      <c r="AE80" s="138">
        <f>IF('1.DATOS-PROD'!AN81="SI",VLOOKUP('1.DATOS-PROD'!AN$2,'1.PUNTOS'!$A$1:$B$63,2,0),0)</f>
        <v>0</v>
      </c>
      <c r="AF80" s="138">
        <f>IF('1.DATOS-PROD'!AO81="SI",VLOOKUP('1.DATOS-PROD'!AO$2,'1.PUNTOS'!$A$1:$B$63,2,0),0)</f>
        <v>0</v>
      </c>
      <c r="AG80" s="138">
        <f>IF('1.DATOS-PROD'!AP81="SI",VLOOKUP('1.DATOS-PROD'!AP$2,'1.PUNTOS'!$A$1:$B$63,2,0),0)</f>
        <v>0</v>
      </c>
      <c r="AH80" s="138">
        <f>IF('1.DATOS-PROD'!AQ81="SI",VLOOKUP('1.DATOS-PROD'!AQ$2,'1.PUNTOS'!$A$1:$B$63,2,0),0)</f>
        <v>0</v>
      </c>
      <c r="AI80" s="138">
        <f>IF('1.DATOS-PROD'!AR81="SI",VLOOKUP('1.DATOS-PROD'!AR$2,'1.PUNTOS'!$A$1:$B$63,2,0),0)</f>
        <v>0</v>
      </c>
      <c r="AJ80" s="138">
        <f>IF('1.DATOS-PROD'!AS81="SI",VLOOKUP('1.DATOS-PROD'!AS$2,'1.PUNTOS'!$A$1:$B$63,2,0),0)</f>
        <v>0</v>
      </c>
      <c r="AK80" s="138">
        <f>IF('1.DATOS-PROD'!AT81="SI",VLOOKUP('1.DATOS-PROD'!AT$2,'1.PUNTOS'!$A$1:$B$63,2,0),0)</f>
        <v>0</v>
      </c>
      <c r="AL80" s="138">
        <f>IF('1.DATOS-PROD'!AU81="SI",VLOOKUP('1.DATOS-PROD'!AU$2,'1.PUNTOS'!$A$1:$B$63,2,0),0)</f>
        <v>0</v>
      </c>
      <c r="AM80" s="138">
        <f>IF('1.DATOS-PROD'!AV81="SI",VLOOKUP('1.DATOS-PROD'!AV$2,'1.PUNTOS'!$A$1:$B$63,2,0),0)</f>
        <v>0</v>
      </c>
      <c r="AN80" s="138">
        <f>IF('1.DATOS-PROD'!AW81="SI",VLOOKUP('1.DATOS-PROD'!AW$2,'1.PUNTOS'!$A$1:$B$63,2,0),0)</f>
        <v>0</v>
      </c>
      <c r="AO80" s="138">
        <f>IF('1.DATOS-PROD'!AX81="SI",VLOOKUP('1.DATOS-PROD'!AX$2,'1.PUNTOS'!$A$1:$B$63,2,0),0)</f>
        <v>0</v>
      </c>
      <c r="AP80" s="138">
        <f>IF('1.DATOS-PROD'!AY81="SI",VLOOKUP('1.DATOS-PROD'!AY$2,'1.PUNTOS'!$A$1:$B$63,2,0),0)</f>
        <v>0</v>
      </c>
      <c r="AQ80" s="138">
        <f>IF('1.DATOS-PROD'!AZ81="SI",VLOOKUP('1.DATOS-PROD'!AZ$2,'1.PUNTOS'!$A$1:$B$63,2,0),0)</f>
        <v>0</v>
      </c>
      <c r="AR80" s="138">
        <f>IF('1.DATOS-PROD'!BA81="SI",VLOOKUP('1.DATOS-PROD'!BA$2,'1.PUNTOS'!$A$1:$B$63,2,0),0)</f>
        <v>0</v>
      </c>
      <c r="AS80" s="138">
        <f>IF('1.DATOS-PROD'!BB81="SI",VLOOKUP('1.DATOS-PROD'!BB$2,'1.PUNTOS'!$A$1:$B$63,2,0),0)</f>
        <v>0</v>
      </c>
      <c r="AT80" s="138">
        <f>IF('1.DATOS-PROD'!BC81="SI",VLOOKUP('1.DATOS-PROD'!BC$2,'1.PUNTOS'!$A$1:$B$63,2,0),0)</f>
        <v>0</v>
      </c>
      <c r="AU80" s="138">
        <f>IF('1.DATOS-PROD'!BD81="SI",VLOOKUP('1.DATOS-PROD'!BD$2,'1.PUNTOS'!$A$1:$B$63,2,0),0)</f>
        <v>0</v>
      </c>
      <c r="AV80" s="138">
        <f>IF('1.DATOS-PROD'!BE81="SI",VLOOKUP('1.DATOS-PROD'!BE$2,'1.PUNTOS'!$A$1:$B$63,2,0),0)</f>
        <v>0</v>
      </c>
      <c r="AW80" s="138">
        <f>IF('1.DATOS-PROD'!BF81="SI",VLOOKUP('1.DATOS-PROD'!BF$2,'1.PUNTOS'!$A$1:$B$63,2,0),0)</f>
        <v>0</v>
      </c>
      <c r="AX80" s="138">
        <f>IF('1.DATOS-PROD'!BG81="SI",VLOOKUP('1.DATOS-PROD'!BG$2,'1.PUNTOS'!$A$1:$B$63,2,0),0)</f>
        <v>0</v>
      </c>
      <c r="AY80" s="138">
        <f>IF('1.DATOS-PROD'!BH81="SI",VLOOKUP('1.DATOS-PROD'!BH$2,'1.PUNTOS'!$A$1:$B$63,2,0),0)</f>
        <v>0</v>
      </c>
      <c r="AZ80" s="138">
        <f>IF('1.DATOS-PROD'!BI81="SI",VLOOKUP('1.DATOS-PROD'!BI$2,'1.PUNTOS'!$A$1:$B$63,2,0),0)</f>
        <v>0</v>
      </c>
      <c r="BA80" s="138">
        <f>IF('1.DATOS-PROD'!BJ81="SI",VLOOKUP('1.DATOS-PROD'!BJ$2,'1.PUNTOS'!$A$1:$B$63,2,0),0)</f>
        <v>0</v>
      </c>
      <c r="BB80" s="138">
        <f>IF('1.DATOS-PROD'!BK81="SI",VLOOKUP('1.DATOS-PROD'!BK$2,'1.PUNTOS'!$A$1:$B$63,2,0),0)</f>
        <v>0</v>
      </c>
      <c r="BC80" s="138">
        <f>IF('1.DATOS-PROD'!BL81="SI",VLOOKUP('1.DATOS-PROD'!BL$2,'1.PUNTOS'!$A$1:$B$63,2,0),0)</f>
        <v>0</v>
      </c>
      <c r="BD80" s="138">
        <f>IF('1.DATOS-PROD'!BM81="SI",VLOOKUP('1.DATOS-PROD'!BM$2,'1.PUNTOS'!$A$1:$B$63,2,0),0)</f>
        <v>0</v>
      </c>
      <c r="BE80" s="138">
        <f>IF('1.DATOS-PROD'!BN81="SI",VLOOKUP('1.DATOS-PROD'!BN$2,'1.PUNTOS'!$A$1:$B$63,2,0),0)</f>
        <v>0</v>
      </c>
      <c r="BF80" s="138">
        <f>IF('1.DATOS-PROD'!BO81="SI",VLOOKUP('1.DATOS-PROD'!BO$2,'1.PUNTOS'!$A$1:$B$63,2,0),0)</f>
        <v>0</v>
      </c>
      <c r="BG80" s="138">
        <f>IF('1.DATOS-PROD'!BP81="SI",VLOOKUP('1.DATOS-PROD'!BP$2,'1.PUNTOS'!$A$1:$B$63,2,0),0)</f>
        <v>0</v>
      </c>
      <c r="BH80" s="138">
        <f>IF('1.DATOS-PROD'!BQ81="SI",VLOOKUP('1.DATOS-PROD'!BQ$2,'1.PUNTOS'!$A$1:$B$63,2,0),0)</f>
        <v>0</v>
      </c>
      <c r="BI80" s="138">
        <f>IF('1.DATOS-PROD'!BR81="SI",VLOOKUP('1.DATOS-PROD'!BR$2,'1.PUNTOS'!$A$1:$B$63,2,0),0)</f>
        <v>0</v>
      </c>
      <c r="BJ80" s="138">
        <f>IF('1.DATOS-PROD'!BS81="SI",VLOOKUP('1.DATOS-PROD'!BS$2,'1.PUNTOS'!$A$1:$B$63,2,0),0)</f>
        <v>0</v>
      </c>
      <c r="BK80" s="138">
        <f>IF('1.DATOS-PROD'!BT81="SI",VLOOKUP('1.DATOS-PROD'!BT$2,'1.PUNTOS'!$A$1:$B$63,2,0),0)</f>
        <v>0</v>
      </c>
    </row>
    <row r="81" spans="1:63" x14ac:dyDescent="0.25">
      <c r="A81">
        <f>'0.Consolidado general'!$A82</f>
        <v>0</v>
      </c>
      <c r="B81" s="138">
        <f>IF('1.DATOS-PROD'!K82="SI",VLOOKUP('1.DATOS-PROD'!K$2,'1.PUNTOS'!$A$1:$B$63,2,0),0)</f>
        <v>0</v>
      </c>
      <c r="C81" s="138">
        <f>IF('1.DATOS-PROD'!L82="SI",VLOOKUP('1.DATOS-PROD'!L$2,'1.PUNTOS'!$A$1:$B$63,2,0),0)</f>
        <v>0</v>
      </c>
      <c r="D81" s="138">
        <f>IF('1.DATOS-PROD'!M82="SI",VLOOKUP('1.DATOS-PROD'!M$2,'1.PUNTOS'!$A$1:$B$63,2,0),0)</f>
        <v>0</v>
      </c>
      <c r="E81" s="138">
        <f>IF('1.DATOS-PROD'!N82="SI",VLOOKUP('1.DATOS-PROD'!N$2,'1.PUNTOS'!$A$1:$B$63,2,0),0)</f>
        <v>0</v>
      </c>
      <c r="F81" s="138">
        <f>IF('1.DATOS-PROD'!O82="SI",VLOOKUP('1.DATOS-PROD'!O$2,'1.PUNTOS'!$A$1:$B$63,2,0),0)</f>
        <v>0</v>
      </c>
      <c r="G81" s="138">
        <f>IF('1.DATOS-PROD'!P82="SI",VLOOKUP('1.DATOS-PROD'!P$2,'1.PUNTOS'!$A$1:$B$63,2,0),0)</f>
        <v>0</v>
      </c>
      <c r="H81" s="138">
        <f>IF('1.DATOS-PROD'!Q82="SI",VLOOKUP('1.DATOS-PROD'!Q$2,'1.PUNTOS'!$A$1:$B$63,2,0),0)</f>
        <v>0</v>
      </c>
      <c r="I81" s="138">
        <f>IF('1.DATOS-PROD'!R82="SI",VLOOKUP('1.DATOS-PROD'!R$2,'1.PUNTOS'!$A$1:$B$63,2,0),0)</f>
        <v>0</v>
      </c>
      <c r="J81" s="138">
        <f>IF('1.DATOS-PROD'!S82="SI",VLOOKUP('1.DATOS-PROD'!S$2,'1.PUNTOS'!$A$1:$B$63,2,0),0)</f>
        <v>0</v>
      </c>
      <c r="K81" s="138">
        <f>IF('1.DATOS-PROD'!T82="SI",VLOOKUP('1.DATOS-PROD'!T$2,'1.PUNTOS'!$A$1:$B$63,2,0),0)</f>
        <v>0</v>
      </c>
      <c r="L81" s="138">
        <f>IF('1.DATOS-PROD'!U82="SI",VLOOKUP('1.DATOS-PROD'!U$2,'1.PUNTOS'!$A$1:$B$63,2,0),0)</f>
        <v>0</v>
      </c>
      <c r="M81" s="138">
        <f>IF('1.DATOS-PROD'!V82="SI",VLOOKUP('1.DATOS-PROD'!V$2,'1.PUNTOS'!$A$1:$B$63,2,0),0)</f>
        <v>0</v>
      </c>
      <c r="N81" s="138">
        <f>IF('1.DATOS-PROD'!W82="SI",VLOOKUP('1.DATOS-PROD'!W$2,'1.PUNTOS'!$A$1:$B$63,2,0),0)</f>
        <v>0</v>
      </c>
      <c r="O81" s="138">
        <f>IF('1.DATOS-PROD'!X82="SI",VLOOKUP('1.DATOS-PROD'!X$2,'1.PUNTOS'!$A$1:$B$63,2,0),0)</f>
        <v>0</v>
      </c>
      <c r="P81" s="138">
        <f>IF('1.DATOS-PROD'!Y82="SI",VLOOKUP('1.DATOS-PROD'!Y$2,'1.PUNTOS'!$A$1:$B$63,2,0),0)</f>
        <v>0</v>
      </c>
      <c r="Q81" s="138">
        <f>IF('1.DATOS-PROD'!Z82="SI",VLOOKUP('1.DATOS-PROD'!Z$2,'1.PUNTOS'!$A$1:$B$63,2,0),0)</f>
        <v>0</v>
      </c>
      <c r="R81" s="138">
        <f>IF('1.DATOS-PROD'!AA82="SI",VLOOKUP('1.DATOS-PROD'!AA$2,'1.PUNTOS'!$A$1:$B$63,2,0),0)</f>
        <v>0</v>
      </c>
      <c r="S81" s="138">
        <f>IF('1.DATOS-PROD'!AB82="SI",VLOOKUP('1.DATOS-PROD'!AB$2,'1.PUNTOS'!$A$1:$B$63,2,0),0)</f>
        <v>0</v>
      </c>
      <c r="T81" s="138">
        <f>IF('1.DATOS-PROD'!AC82="SI",VLOOKUP('1.DATOS-PROD'!AC$2,'1.PUNTOS'!$A$1:$B$63,2,0),0)</f>
        <v>0</v>
      </c>
      <c r="U81" s="138">
        <f>IF('1.DATOS-PROD'!AD82="SI",VLOOKUP('1.DATOS-PROD'!AD$2,'1.PUNTOS'!$A$1:$B$63,2,0),0)</f>
        <v>0</v>
      </c>
      <c r="V81" s="138">
        <f>IF('1.DATOS-PROD'!AE82="SI",VLOOKUP('1.DATOS-PROD'!AE$2,'1.PUNTOS'!$A$1:$B$63,2,0),0)</f>
        <v>0</v>
      </c>
      <c r="W81" s="138">
        <f>IF('1.DATOS-PROD'!AF82="SI",VLOOKUP('1.DATOS-PROD'!AF$2,'1.PUNTOS'!$A$1:$B$63,2,0),0)</f>
        <v>0</v>
      </c>
      <c r="X81" s="138">
        <f>IF('1.DATOS-PROD'!AG82="SI",VLOOKUP('1.DATOS-PROD'!AG$2,'1.PUNTOS'!$A$1:$B$63,2,0),0)</f>
        <v>0</v>
      </c>
      <c r="Y81" s="138">
        <f>IF('1.DATOS-PROD'!AH82="SI",VLOOKUP('1.DATOS-PROD'!AH$2,'1.PUNTOS'!$A$1:$B$63,2,0),0)</f>
        <v>0</v>
      </c>
      <c r="Z81" s="138">
        <f>IF('1.DATOS-PROD'!AI82="SI",VLOOKUP('1.DATOS-PROD'!AI$2,'1.PUNTOS'!$A$1:$B$63,2,0),0)</f>
        <v>0</v>
      </c>
      <c r="AA81" s="138">
        <f>IF('1.DATOS-PROD'!AJ82="SI",VLOOKUP('1.DATOS-PROD'!AJ$2,'1.PUNTOS'!$A$1:$B$63,2,0),0)</f>
        <v>0</v>
      </c>
      <c r="AB81" s="138">
        <f>IF('1.DATOS-PROD'!AK82="SI",VLOOKUP('1.DATOS-PROD'!AK$2,'1.PUNTOS'!$A$1:$B$63,2,0),0)</f>
        <v>0</v>
      </c>
      <c r="AC81" s="138">
        <f>IF('1.DATOS-PROD'!AL82="SI",VLOOKUP('1.DATOS-PROD'!AL$2,'1.PUNTOS'!$A$1:$B$63,2,0),0)</f>
        <v>0</v>
      </c>
      <c r="AD81" s="138">
        <f>IF('1.DATOS-PROD'!AM82="SI",VLOOKUP('1.DATOS-PROD'!AM$2,'1.PUNTOS'!$A$1:$B$63,2,0),0)</f>
        <v>0</v>
      </c>
      <c r="AE81" s="138">
        <f>IF('1.DATOS-PROD'!AN82="SI",VLOOKUP('1.DATOS-PROD'!AN$2,'1.PUNTOS'!$A$1:$B$63,2,0),0)</f>
        <v>0</v>
      </c>
      <c r="AF81" s="138">
        <f>IF('1.DATOS-PROD'!AO82="SI",VLOOKUP('1.DATOS-PROD'!AO$2,'1.PUNTOS'!$A$1:$B$63,2,0),0)</f>
        <v>0</v>
      </c>
      <c r="AG81" s="138">
        <f>IF('1.DATOS-PROD'!AP82="SI",VLOOKUP('1.DATOS-PROD'!AP$2,'1.PUNTOS'!$A$1:$B$63,2,0),0)</f>
        <v>0</v>
      </c>
      <c r="AH81" s="138">
        <f>IF('1.DATOS-PROD'!AQ82="SI",VLOOKUP('1.DATOS-PROD'!AQ$2,'1.PUNTOS'!$A$1:$B$63,2,0),0)</f>
        <v>0</v>
      </c>
      <c r="AI81" s="138">
        <f>IF('1.DATOS-PROD'!AR82="SI",VLOOKUP('1.DATOS-PROD'!AR$2,'1.PUNTOS'!$A$1:$B$63,2,0),0)</f>
        <v>0</v>
      </c>
      <c r="AJ81" s="138">
        <f>IF('1.DATOS-PROD'!AS82="SI",VLOOKUP('1.DATOS-PROD'!AS$2,'1.PUNTOS'!$A$1:$B$63,2,0),0)</f>
        <v>0</v>
      </c>
      <c r="AK81" s="138">
        <f>IF('1.DATOS-PROD'!AT82="SI",VLOOKUP('1.DATOS-PROD'!AT$2,'1.PUNTOS'!$A$1:$B$63,2,0),0)</f>
        <v>0</v>
      </c>
      <c r="AL81" s="138">
        <f>IF('1.DATOS-PROD'!AU82="SI",VLOOKUP('1.DATOS-PROD'!AU$2,'1.PUNTOS'!$A$1:$B$63,2,0),0)</f>
        <v>0</v>
      </c>
      <c r="AM81" s="138">
        <f>IF('1.DATOS-PROD'!AV82="SI",VLOOKUP('1.DATOS-PROD'!AV$2,'1.PUNTOS'!$A$1:$B$63,2,0),0)</f>
        <v>0</v>
      </c>
      <c r="AN81" s="138">
        <f>IF('1.DATOS-PROD'!AW82="SI",VLOOKUP('1.DATOS-PROD'!AW$2,'1.PUNTOS'!$A$1:$B$63,2,0),0)</f>
        <v>0</v>
      </c>
      <c r="AO81" s="138">
        <f>IF('1.DATOS-PROD'!AX82="SI",VLOOKUP('1.DATOS-PROD'!AX$2,'1.PUNTOS'!$A$1:$B$63,2,0),0)</f>
        <v>0</v>
      </c>
      <c r="AP81" s="138">
        <f>IF('1.DATOS-PROD'!AY82="SI",VLOOKUP('1.DATOS-PROD'!AY$2,'1.PUNTOS'!$A$1:$B$63,2,0),0)</f>
        <v>0</v>
      </c>
      <c r="AQ81" s="138">
        <f>IF('1.DATOS-PROD'!AZ82="SI",VLOOKUP('1.DATOS-PROD'!AZ$2,'1.PUNTOS'!$A$1:$B$63,2,0),0)</f>
        <v>0</v>
      </c>
      <c r="AR81" s="138">
        <f>IF('1.DATOS-PROD'!BA82="SI",VLOOKUP('1.DATOS-PROD'!BA$2,'1.PUNTOS'!$A$1:$B$63,2,0),0)</f>
        <v>0</v>
      </c>
      <c r="AS81" s="138">
        <f>IF('1.DATOS-PROD'!BB82="SI",VLOOKUP('1.DATOS-PROD'!BB$2,'1.PUNTOS'!$A$1:$B$63,2,0),0)</f>
        <v>0</v>
      </c>
      <c r="AT81" s="138">
        <f>IF('1.DATOS-PROD'!BC82="SI",VLOOKUP('1.DATOS-PROD'!BC$2,'1.PUNTOS'!$A$1:$B$63,2,0),0)</f>
        <v>0</v>
      </c>
      <c r="AU81" s="138">
        <f>IF('1.DATOS-PROD'!BD82="SI",VLOOKUP('1.DATOS-PROD'!BD$2,'1.PUNTOS'!$A$1:$B$63,2,0),0)</f>
        <v>0</v>
      </c>
      <c r="AV81" s="138">
        <f>IF('1.DATOS-PROD'!BE82="SI",VLOOKUP('1.DATOS-PROD'!BE$2,'1.PUNTOS'!$A$1:$B$63,2,0),0)</f>
        <v>0</v>
      </c>
      <c r="AW81" s="138">
        <f>IF('1.DATOS-PROD'!BF82="SI",VLOOKUP('1.DATOS-PROD'!BF$2,'1.PUNTOS'!$A$1:$B$63,2,0),0)</f>
        <v>0</v>
      </c>
      <c r="AX81" s="138">
        <f>IF('1.DATOS-PROD'!BG82="SI",VLOOKUP('1.DATOS-PROD'!BG$2,'1.PUNTOS'!$A$1:$B$63,2,0),0)</f>
        <v>0</v>
      </c>
      <c r="AY81" s="138">
        <f>IF('1.DATOS-PROD'!BH82="SI",VLOOKUP('1.DATOS-PROD'!BH$2,'1.PUNTOS'!$A$1:$B$63,2,0),0)</f>
        <v>0</v>
      </c>
      <c r="AZ81" s="138">
        <f>IF('1.DATOS-PROD'!BI82="SI",VLOOKUP('1.DATOS-PROD'!BI$2,'1.PUNTOS'!$A$1:$B$63,2,0),0)</f>
        <v>0</v>
      </c>
      <c r="BA81" s="138">
        <f>IF('1.DATOS-PROD'!BJ82="SI",VLOOKUP('1.DATOS-PROD'!BJ$2,'1.PUNTOS'!$A$1:$B$63,2,0),0)</f>
        <v>0</v>
      </c>
      <c r="BB81" s="138">
        <f>IF('1.DATOS-PROD'!BK82="SI",VLOOKUP('1.DATOS-PROD'!BK$2,'1.PUNTOS'!$A$1:$B$63,2,0),0)</f>
        <v>0</v>
      </c>
      <c r="BC81" s="138">
        <f>IF('1.DATOS-PROD'!BL82="SI",VLOOKUP('1.DATOS-PROD'!BL$2,'1.PUNTOS'!$A$1:$B$63,2,0),0)</f>
        <v>0</v>
      </c>
      <c r="BD81" s="138">
        <f>IF('1.DATOS-PROD'!BM82="SI",VLOOKUP('1.DATOS-PROD'!BM$2,'1.PUNTOS'!$A$1:$B$63,2,0),0)</f>
        <v>0</v>
      </c>
      <c r="BE81" s="138">
        <f>IF('1.DATOS-PROD'!BN82="SI",VLOOKUP('1.DATOS-PROD'!BN$2,'1.PUNTOS'!$A$1:$B$63,2,0),0)</f>
        <v>0</v>
      </c>
      <c r="BF81" s="138">
        <f>IF('1.DATOS-PROD'!BO82="SI",VLOOKUP('1.DATOS-PROD'!BO$2,'1.PUNTOS'!$A$1:$B$63,2,0),0)</f>
        <v>0</v>
      </c>
      <c r="BG81" s="138">
        <f>IF('1.DATOS-PROD'!BP82="SI",VLOOKUP('1.DATOS-PROD'!BP$2,'1.PUNTOS'!$A$1:$B$63,2,0),0)</f>
        <v>0</v>
      </c>
      <c r="BH81" s="138">
        <f>IF('1.DATOS-PROD'!BQ82="SI",VLOOKUP('1.DATOS-PROD'!BQ$2,'1.PUNTOS'!$A$1:$B$63,2,0),0)</f>
        <v>0</v>
      </c>
      <c r="BI81" s="138">
        <f>IF('1.DATOS-PROD'!BR82="SI",VLOOKUP('1.DATOS-PROD'!BR$2,'1.PUNTOS'!$A$1:$B$63,2,0),0)</f>
        <v>0</v>
      </c>
      <c r="BJ81" s="138">
        <f>IF('1.DATOS-PROD'!BS82="SI",VLOOKUP('1.DATOS-PROD'!BS$2,'1.PUNTOS'!$A$1:$B$63,2,0),0)</f>
        <v>0</v>
      </c>
      <c r="BK81" s="138">
        <f>IF('1.DATOS-PROD'!BT82="SI",VLOOKUP('1.DATOS-PROD'!BT$2,'1.PUNTOS'!$A$1:$B$63,2,0),0)</f>
        <v>0</v>
      </c>
    </row>
    <row r="82" spans="1:63" x14ac:dyDescent="0.25">
      <c r="A82">
        <f>'0.Consolidado general'!$A83</f>
        <v>0</v>
      </c>
      <c r="B82" s="138">
        <f>IF('1.DATOS-PROD'!K83="SI",VLOOKUP('1.DATOS-PROD'!K$2,'1.PUNTOS'!$A$1:$B$63,2,0),0)</f>
        <v>0</v>
      </c>
      <c r="C82" s="138">
        <f>IF('1.DATOS-PROD'!L83="SI",VLOOKUP('1.DATOS-PROD'!L$2,'1.PUNTOS'!$A$1:$B$63,2,0),0)</f>
        <v>0</v>
      </c>
      <c r="D82" s="138">
        <f>IF('1.DATOS-PROD'!M83="SI",VLOOKUP('1.DATOS-PROD'!M$2,'1.PUNTOS'!$A$1:$B$63,2,0),0)</f>
        <v>0</v>
      </c>
      <c r="E82" s="138">
        <f>IF('1.DATOS-PROD'!N83="SI",VLOOKUP('1.DATOS-PROD'!N$2,'1.PUNTOS'!$A$1:$B$63,2,0),0)</f>
        <v>0</v>
      </c>
      <c r="F82" s="138">
        <f>IF('1.DATOS-PROD'!O83="SI",VLOOKUP('1.DATOS-PROD'!O$2,'1.PUNTOS'!$A$1:$B$63,2,0),0)</f>
        <v>0</v>
      </c>
      <c r="G82" s="138">
        <f>IF('1.DATOS-PROD'!P83="SI",VLOOKUP('1.DATOS-PROD'!P$2,'1.PUNTOS'!$A$1:$B$63,2,0),0)</f>
        <v>0</v>
      </c>
      <c r="H82" s="138">
        <f>IF('1.DATOS-PROD'!Q83="SI",VLOOKUP('1.DATOS-PROD'!Q$2,'1.PUNTOS'!$A$1:$B$63,2,0),0)</f>
        <v>0</v>
      </c>
      <c r="I82" s="138">
        <f>IF('1.DATOS-PROD'!R83="SI",VLOOKUP('1.DATOS-PROD'!R$2,'1.PUNTOS'!$A$1:$B$63,2,0),0)</f>
        <v>0</v>
      </c>
      <c r="J82" s="138">
        <f>IF('1.DATOS-PROD'!S83="SI",VLOOKUP('1.DATOS-PROD'!S$2,'1.PUNTOS'!$A$1:$B$63,2,0),0)</f>
        <v>0</v>
      </c>
      <c r="K82" s="138">
        <f>IF('1.DATOS-PROD'!T83="SI",VLOOKUP('1.DATOS-PROD'!T$2,'1.PUNTOS'!$A$1:$B$63,2,0),0)</f>
        <v>0</v>
      </c>
      <c r="L82" s="138">
        <f>IF('1.DATOS-PROD'!U83="SI",VLOOKUP('1.DATOS-PROD'!U$2,'1.PUNTOS'!$A$1:$B$63,2,0),0)</f>
        <v>0</v>
      </c>
      <c r="M82" s="138">
        <f>IF('1.DATOS-PROD'!V83="SI",VLOOKUP('1.DATOS-PROD'!V$2,'1.PUNTOS'!$A$1:$B$63,2,0),0)</f>
        <v>0</v>
      </c>
      <c r="N82" s="138">
        <f>IF('1.DATOS-PROD'!W83="SI",VLOOKUP('1.DATOS-PROD'!W$2,'1.PUNTOS'!$A$1:$B$63,2,0),0)</f>
        <v>0</v>
      </c>
      <c r="O82" s="138">
        <f>IF('1.DATOS-PROD'!X83="SI",VLOOKUP('1.DATOS-PROD'!X$2,'1.PUNTOS'!$A$1:$B$63,2,0),0)</f>
        <v>0</v>
      </c>
      <c r="P82" s="138">
        <f>IF('1.DATOS-PROD'!Y83="SI",VLOOKUP('1.DATOS-PROD'!Y$2,'1.PUNTOS'!$A$1:$B$63,2,0),0)</f>
        <v>0</v>
      </c>
      <c r="Q82" s="138">
        <f>IF('1.DATOS-PROD'!Z83="SI",VLOOKUP('1.DATOS-PROD'!Z$2,'1.PUNTOS'!$A$1:$B$63,2,0),0)</f>
        <v>0</v>
      </c>
      <c r="R82" s="138">
        <f>IF('1.DATOS-PROD'!AA83="SI",VLOOKUP('1.DATOS-PROD'!AA$2,'1.PUNTOS'!$A$1:$B$63,2,0),0)</f>
        <v>0</v>
      </c>
      <c r="S82" s="138">
        <f>IF('1.DATOS-PROD'!AB83="SI",VLOOKUP('1.DATOS-PROD'!AB$2,'1.PUNTOS'!$A$1:$B$63,2,0),0)</f>
        <v>0</v>
      </c>
      <c r="T82" s="138">
        <f>IF('1.DATOS-PROD'!AC83="SI",VLOOKUP('1.DATOS-PROD'!AC$2,'1.PUNTOS'!$A$1:$B$63,2,0),0)</f>
        <v>0</v>
      </c>
      <c r="U82" s="138">
        <f>IF('1.DATOS-PROD'!AD83="SI",VLOOKUP('1.DATOS-PROD'!AD$2,'1.PUNTOS'!$A$1:$B$63,2,0),0)</f>
        <v>0</v>
      </c>
      <c r="V82" s="138">
        <f>IF('1.DATOS-PROD'!AE83="SI",VLOOKUP('1.DATOS-PROD'!AE$2,'1.PUNTOS'!$A$1:$B$63,2,0),0)</f>
        <v>0</v>
      </c>
      <c r="W82" s="138">
        <f>IF('1.DATOS-PROD'!AF83="SI",VLOOKUP('1.DATOS-PROD'!AF$2,'1.PUNTOS'!$A$1:$B$63,2,0),0)</f>
        <v>0</v>
      </c>
      <c r="X82" s="138">
        <f>IF('1.DATOS-PROD'!AG83="SI",VLOOKUP('1.DATOS-PROD'!AG$2,'1.PUNTOS'!$A$1:$B$63,2,0),0)</f>
        <v>0</v>
      </c>
      <c r="Y82" s="138">
        <f>IF('1.DATOS-PROD'!AH83="SI",VLOOKUP('1.DATOS-PROD'!AH$2,'1.PUNTOS'!$A$1:$B$63,2,0),0)</f>
        <v>0</v>
      </c>
      <c r="Z82" s="138">
        <f>IF('1.DATOS-PROD'!AI83="SI",VLOOKUP('1.DATOS-PROD'!AI$2,'1.PUNTOS'!$A$1:$B$63,2,0),0)</f>
        <v>0</v>
      </c>
      <c r="AA82" s="138">
        <f>IF('1.DATOS-PROD'!AJ83="SI",VLOOKUP('1.DATOS-PROD'!AJ$2,'1.PUNTOS'!$A$1:$B$63,2,0),0)</f>
        <v>0</v>
      </c>
      <c r="AB82" s="138">
        <f>IF('1.DATOS-PROD'!AK83="SI",VLOOKUP('1.DATOS-PROD'!AK$2,'1.PUNTOS'!$A$1:$B$63,2,0),0)</f>
        <v>0</v>
      </c>
      <c r="AC82" s="138">
        <f>IF('1.DATOS-PROD'!AL83="SI",VLOOKUP('1.DATOS-PROD'!AL$2,'1.PUNTOS'!$A$1:$B$63,2,0),0)</f>
        <v>0</v>
      </c>
      <c r="AD82" s="138">
        <f>IF('1.DATOS-PROD'!AM83="SI",VLOOKUP('1.DATOS-PROD'!AM$2,'1.PUNTOS'!$A$1:$B$63,2,0),0)</f>
        <v>0</v>
      </c>
      <c r="AE82" s="138">
        <f>IF('1.DATOS-PROD'!AN83="SI",VLOOKUP('1.DATOS-PROD'!AN$2,'1.PUNTOS'!$A$1:$B$63,2,0),0)</f>
        <v>0</v>
      </c>
      <c r="AF82" s="138">
        <f>IF('1.DATOS-PROD'!AO83="SI",VLOOKUP('1.DATOS-PROD'!AO$2,'1.PUNTOS'!$A$1:$B$63,2,0),0)</f>
        <v>0</v>
      </c>
      <c r="AG82" s="138">
        <f>IF('1.DATOS-PROD'!AP83="SI",VLOOKUP('1.DATOS-PROD'!AP$2,'1.PUNTOS'!$A$1:$B$63,2,0),0)</f>
        <v>0</v>
      </c>
      <c r="AH82" s="138">
        <f>IF('1.DATOS-PROD'!AQ83="SI",VLOOKUP('1.DATOS-PROD'!AQ$2,'1.PUNTOS'!$A$1:$B$63,2,0),0)</f>
        <v>0</v>
      </c>
      <c r="AI82" s="138">
        <f>IF('1.DATOS-PROD'!AR83="SI",VLOOKUP('1.DATOS-PROD'!AR$2,'1.PUNTOS'!$A$1:$B$63,2,0),0)</f>
        <v>0</v>
      </c>
      <c r="AJ82" s="138">
        <f>IF('1.DATOS-PROD'!AS83="SI",VLOOKUP('1.DATOS-PROD'!AS$2,'1.PUNTOS'!$A$1:$B$63,2,0),0)</f>
        <v>0</v>
      </c>
      <c r="AK82" s="138">
        <f>IF('1.DATOS-PROD'!AT83="SI",VLOOKUP('1.DATOS-PROD'!AT$2,'1.PUNTOS'!$A$1:$B$63,2,0),0)</f>
        <v>0</v>
      </c>
      <c r="AL82" s="138">
        <f>IF('1.DATOS-PROD'!AU83="SI",VLOOKUP('1.DATOS-PROD'!AU$2,'1.PUNTOS'!$A$1:$B$63,2,0),0)</f>
        <v>0</v>
      </c>
      <c r="AM82" s="138">
        <f>IF('1.DATOS-PROD'!AV83="SI",VLOOKUP('1.DATOS-PROD'!AV$2,'1.PUNTOS'!$A$1:$B$63,2,0),0)</f>
        <v>0</v>
      </c>
      <c r="AN82" s="138">
        <f>IF('1.DATOS-PROD'!AW83="SI",VLOOKUP('1.DATOS-PROD'!AW$2,'1.PUNTOS'!$A$1:$B$63,2,0),0)</f>
        <v>0</v>
      </c>
      <c r="AO82" s="138">
        <f>IF('1.DATOS-PROD'!AX83="SI",VLOOKUP('1.DATOS-PROD'!AX$2,'1.PUNTOS'!$A$1:$B$63,2,0),0)</f>
        <v>0</v>
      </c>
      <c r="AP82" s="138">
        <f>IF('1.DATOS-PROD'!AY83="SI",VLOOKUP('1.DATOS-PROD'!AY$2,'1.PUNTOS'!$A$1:$B$63,2,0),0)</f>
        <v>0</v>
      </c>
      <c r="AQ82" s="138">
        <f>IF('1.DATOS-PROD'!AZ83="SI",VLOOKUP('1.DATOS-PROD'!AZ$2,'1.PUNTOS'!$A$1:$B$63,2,0),0)</f>
        <v>0</v>
      </c>
      <c r="AR82" s="138">
        <f>IF('1.DATOS-PROD'!BA83="SI",VLOOKUP('1.DATOS-PROD'!BA$2,'1.PUNTOS'!$A$1:$B$63,2,0),0)</f>
        <v>0</v>
      </c>
      <c r="AS82" s="138">
        <f>IF('1.DATOS-PROD'!BB83="SI",VLOOKUP('1.DATOS-PROD'!BB$2,'1.PUNTOS'!$A$1:$B$63,2,0),0)</f>
        <v>0</v>
      </c>
      <c r="AT82" s="138">
        <f>IF('1.DATOS-PROD'!BC83="SI",VLOOKUP('1.DATOS-PROD'!BC$2,'1.PUNTOS'!$A$1:$B$63,2,0),0)</f>
        <v>0</v>
      </c>
      <c r="AU82" s="138">
        <f>IF('1.DATOS-PROD'!BD83="SI",VLOOKUP('1.DATOS-PROD'!BD$2,'1.PUNTOS'!$A$1:$B$63,2,0),0)</f>
        <v>0</v>
      </c>
      <c r="AV82" s="138">
        <f>IF('1.DATOS-PROD'!BE83="SI",VLOOKUP('1.DATOS-PROD'!BE$2,'1.PUNTOS'!$A$1:$B$63,2,0),0)</f>
        <v>0</v>
      </c>
      <c r="AW82" s="138">
        <f>IF('1.DATOS-PROD'!BF83="SI",VLOOKUP('1.DATOS-PROD'!BF$2,'1.PUNTOS'!$A$1:$B$63,2,0),0)</f>
        <v>0</v>
      </c>
      <c r="AX82" s="138">
        <f>IF('1.DATOS-PROD'!BG83="SI",VLOOKUP('1.DATOS-PROD'!BG$2,'1.PUNTOS'!$A$1:$B$63,2,0),0)</f>
        <v>0</v>
      </c>
      <c r="AY82" s="138">
        <f>IF('1.DATOS-PROD'!BH83="SI",VLOOKUP('1.DATOS-PROD'!BH$2,'1.PUNTOS'!$A$1:$B$63,2,0),0)</f>
        <v>0</v>
      </c>
      <c r="AZ82" s="138">
        <f>IF('1.DATOS-PROD'!BI83="SI",VLOOKUP('1.DATOS-PROD'!BI$2,'1.PUNTOS'!$A$1:$B$63,2,0),0)</f>
        <v>0</v>
      </c>
      <c r="BA82" s="138">
        <f>IF('1.DATOS-PROD'!BJ83="SI",VLOOKUP('1.DATOS-PROD'!BJ$2,'1.PUNTOS'!$A$1:$B$63,2,0),0)</f>
        <v>0</v>
      </c>
      <c r="BB82" s="138">
        <f>IF('1.DATOS-PROD'!BK83="SI",VLOOKUP('1.DATOS-PROD'!BK$2,'1.PUNTOS'!$A$1:$B$63,2,0),0)</f>
        <v>0</v>
      </c>
      <c r="BC82" s="138">
        <f>IF('1.DATOS-PROD'!BL83="SI",VLOOKUP('1.DATOS-PROD'!BL$2,'1.PUNTOS'!$A$1:$B$63,2,0),0)</f>
        <v>0</v>
      </c>
      <c r="BD82" s="138">
        <f>IF('1.DATOS-PROD'!BM83="SI",VLOOKUP('1.DATOS-PROD'!BM$2,'1.PUNTOS'!$A$1:$B$63,2,0),0)</f>
        <v>0</v>
      </c>
      <c r="BE82" s="138">
        <f>IF('1.DATOS-PROD'!BN83="SI",VLOOKUP('1.DATOS-PROD'!BN$2,'1.PUNTOS'!$A$1:$B$63,2,0),0)</f>
        <v>0</v>
      </c>
      <c r="BF82" s="138">
        <f>IF('1.DATOS-PROD'!BO83="SI",VLOOKUP('1.DATOS-PROD'!BO$2,'1.PUNTOS'!$A$1:$B$63,2,0),0)</f>
        <v>0</v>
      </c>
      <c r="BG82" s="138">
        <f>IF('1.DATOS-PROD'!BP83="SI",VLOOKUP('1.DATOS-PROD'!BP$2,'1.PUNTOS'!$A$1:$B$63,2,0),0)</f>
        <v>0</v>
      </c>
      <c r="BH82" s="138">
        <f>IF('1.DATOS-PROD'!BQ83="SI",VLOOKUP('1.DATOS-PROD'!BQ$2,'1.PUNTOS'!$A$1:$B$63,2,0),0)</f>
        <v>0</v>
      </c>
      <c r="BI82" s="138">
        <f>IF('1.DATOS-PROD'!BR83="SI",VLOOKUP('1.DATOS-PROD'!BR$2,'1.PUNTOS'!$A$1:$B$63,2,0),0)</f>
        <v>0</v>
      </c>
      <c r="BJ82" s="138">
        <f>IF('1.DATOS-PROD'!BS83="SI",VLOOKUP('1.DATOS-PROD'!BS$2,'1.PUNTOS'!$A$1:$B$63,2,0),0)</f>
        <v>0</v>
      </c>
      <c r="BK82" s="138">
        <f>IF('1.DATOS-PROD'!BT83="SI",VLOOKUP('1.DATOS-PROD'!BT$2,'1.PUNTOS'!$A$1:$B$63,2,0),0)</f>
        <v>0</v>
      </c>
    </row>
    <row r="83" spans="1:63" x14ac:dyDescent="0.25">
      <c r="A83">
        <f>'0.Consolidado general'!$A84</f>
        <v>0</v>
      </c>
      <c r="B83" s="138">
        <f>IF('1.DATOS-PROD'!K84="SI",VLOOKUP('1.DATOS-PROD'!K$2,'1.PUNTOS'!$A$1:$B$63,2,0),0)</f>
        <v>0</v>
      </c>
      <c r="C83" s="138">
        <f>IF('1.DATOS-PROD'!L84="SI",VLOOKUP('1.DATOS-PROD'!L$2,'1.PUNTOS'!$A$1:$B$63,2,0),0)</f>
        <v>0</v>
      </c>
      <c r="D83" s="138">
        <f>IF('1.DATOS-PROD'!M84="SI",VLOOKUP('1.DATOS-PROD'!M$2,'1.PUNTOS'!$A$1:$B$63,2,0),0)</f>
        <v>0</v>
      </c>
      <c r="E83" s="138">
        <f>IF('1.DATOS-PROD'!N84="SI",VLOOKUP('1.DATOS-PROD'!N$2,'1.PUNTOS'!$A$1:$B$63,2,0),0)</f>
        <v>0</v>
      </c>
      <c r="F83" s="138">
        <f>IF('1.DATOS-PROD'!O84="SI",VLOOKUP('1.DATOS-PROD'!O$2,'1.PUNTOS'!$A$1:$B$63,2,0),0)</f>
        <v>0</v>
      </c>
      <c r="G83" s="138">
        <f>IF('1.DATOS-PROD'!P84="SI",VLOOKUP('1.DATOS-PROD'!P$2,'1.PUNTOS'!$A$1:$B$63,2,0),0)</f>
        <v>0</v>
      </c>
      <c r="H83" s="138">
        <f>IF('1.DATOS-PROD'!Q84="SI",VLOOKUP('1.DATOS-PROD'!Q$2,'1.PUNTOS'!$A$1:$B$63,2,0),0)</f>
        <v>0</v>
      </c>
      <c r="I83" s="138">
        <f>IF('1.DATOS-PROD'!R84="SI",VLOOKUP('1.DATOS-PROD'!R$2,'1.PUNTOS'!$A$1:$B$63,2,0),0)</f>
        <v>0</v>
      </c>
      <c r="J83" s="138">
        <f>IF('1.DATOS-PROD'!S84="SI",VLOOKUP('1.DATOS-PROD'!S$2,'1.PUNTOS'!$A$1:$B$63,2,0),0)</f>
        <v>0</v>
      </c>
      <c r="K83" s="138">
        <f>IF('1.DATOS-PROD'!T84="SI",VLOOKUP('1.DATOS-PROD'!T$2,'1.PUNTOS'!$A$1:$B$63,2,0),0)</f>
        <v>0</v>
      </c>
      <c r="L83" s="138">
        <f>IF('1.DATOS-PROD'!U84="SI",VLOOKUP('1.DATOS-PROD'!U$2,'1.PUNTOS'!$A$1:$B$63,2,0),0)</f>
        <v>0</v>
      </c>
      <c r="M83" s="138">
        <f>IF('1.DATOS-PROD'!V84="SI",VLOOKUP('1.DATOS-PROD'!V$2,'1.PUNTOS'!$A$1:$B$63,2,0),0)</f>
        <v>0</v>
      </c>
      <c r="N83" s="138">
        <f>IF('1.DATOS-PROD'!W84="SI",VLOOKUP('1.DATOS-PROD'!W$2,'1.PUNTOS'!$A$1:$B$63,2,0),0)</f>
        <v>0</v>
      </c>
      <c r="O83" s="138">
        <f>IF('1.DATOS-PROD'!X84="SI",VLOOKUP('1.DATOS-PROD'!X$2,'1.PUNTOS'!$A$1:$B$63,2,0),0)</f>
        <v>0</v>
      </c>
      <c r="P83" s="138">
        <f>IF('1.DATOS-PROD'!Y84="SI",VLOOKUP('1.DATOS-PROD'!Y$2,'1.PUNTOS'!$A$1:$B$63,2,0),0)</f>
        <v>0</v>
      </c>
      <c r="Q83" s="138">
        <f>IF('1.DATOS-PROD'!Z84="SI",VLOOKUP('1.DATOS-PROD'!Z$2,'1.PUNTOS'!$A$1:$B$63,2,0),0)</f>
        <v>0</v>
      </c>
      <c r="R83" s="138">
        <f>IF('1.DATOS-PROD'!AA84="SI",VLOOKUP('1.DATOS-PROD'!AA$2,'1.PUNTOS'!$A$1:$B$63,2,0),0)</f>
        <v>0</v>
      </c>
      <c r="S83" s="138">
        <f>IF('1.DATOS-PROD'!AB84="SI",VLOOKUP('1.DATOS-PROD'!AB$2,'1.PUNTOS'!$A$1:$B$63,2,0),0)</f>
        <v>0</v>
      </c>
      <c r="T83" s="138">
        <f>IF('1.DATOS-PROD'!AC84="SI",VLOOKUP('1.DATOS-PROD'!AC$2,'1.PUNTOS'!$A$1:$B$63,2,0),0)</f>
        <v>0</v>
      </c>
      <c r="U83" s="138">
        <f>IF('1.DATOS-PROD'!AD84="SI",VLOOKUP('1.DATOS-PROD'!AD$2,'1.PUNTOS'!$A$1:$B$63,2,0),0)</f>
        <v>0</v>
      </c>
      <c r="V83" s="138">
        <f>IF('1.DATOS-PROD'!AE84="SI",VLOOKUP('1.DATOS-PROD'!AE$2,'1.PUNTOS'!$A$1:$B$63,2,0),0)</f>
        <v>0</v>
      </c>
      <c r="W83" s="138">
        <f>IF('1.DATOS-PROD'!AF84="SI",VLOOKUP('1.DATOS-PROD'!AF$2,'1.PUNTOS'!$A$1:$B$63,2,0),0)</f>
        <v>0</v>
      </c>
      <c r="X83" s="138">
        <f>IF('1.DATOS-PROD'!AG84="SI",VLOOKUP('1.DATOS-PROD'!AG$2,'1.PUNTOS'!$A$1:$B$63,2,0),0)</f>
        <v>0</v>
      </c>
      <c r="Y83" s="138">
        <f>IF('1.DATOS-PROD'!AH84="SI",VLOOKUP('1.DATOS-PROD'!AH$2,'1.PUNTOS'!$A$1:$B$63,2,0),0)</f>
        <v>0</v>
      </c>
      <c r="Z83" s="138">
        <f>IF('1.DATOS-PROD'!AI84="SI",VLOOKUP('1.DATOS-PROD'!AI$2,'1.PUNTOS'!$A$1:$B$63,2,0),0)</f>
        <v>0</v>
      </c>
      <c r="AA83" s="138">
        <f>IF('1.DATOS-PROD'!AJ84="SI",VLOOKUP('1.DATOS-PROD'!AJ$2,'1.PUNTOS'!$A$1:$B$63,2,0),0)</f>
        <v>0</v>
      </c>
      <c r="AB83" s="138">
        <f>IF('1.DATOS-PROD'!AK84="SI",VLOOKUP('1.DATOS-PROD'!AK$2,'1.PUNTOS'!$A$1:$B$63,2,0),0)</f>
        <v>0</v>
      </c>
      <c r="AC83" s="138">
        <f>IF('1.DATOS-PROD'!AL84="SI",VLOOKUP('1.DATOS-PROD'!AL$2,'1.PUNTOS'!$A$1:$B$63,2,0),0)</f>
        <v>0</v>
      </c>
      <c r="AD83" s="138">
        <f>IF('1.DATOS-PROD'!AM84="SI",VLOOKUP('1.DATOS-PROD'!AM$2,'1.PUNTOS'!$A$1:$B$63,2,0),0)</f>
        <v>0</v>
      </c>
      <c r="AE83" s="138">
        <f>IF('1.DATOS-PROD'!AN84="SI",VLOOKUP('1.DATOS-PROD'!AN$2,'1.PUNTOS'!$A$1:$B$63,2,0),0)</f>
        <v>0</v>
      </c>
      <c r="AF83" s="138">
        <f>IF('1.DATOS-PROD'!AO84="SI",VLOOKUP('1.DATOS-PROD'!AO$2,'1.PUNTOS'!$A$1:$B$63,2,0),0)</f>
        <v>0</v>
      </c>
      <c r="AG83" s="138">
        <f>IF('1.DATOS-PROD'!AP84="SI",VLOOKUP('1.DATOS-PROD'!AP$2,'1.PUNTOS'!$A$1:$B$63,2,0),0)</f>
        <v>0</v>
      </c>
      <c r="AH83" s="138">
        <f>IF('1.DATOS-PROD'!AQ84="SI",VLOOKUP('1.DATOS-PROD'!AQ$2,'1.PUNTOS'!$A$1:$B$63,2,0),0)</f>
        <v>0</v>
      </c>
      <c r="AI83" s="138">
        <f>IF('1.DATOS-PROD'!AR84="SI",VLOOKUP('1.DATOS-PROD'!AR$2,'1.PUNTOS'!$A$1:$B$63,2,0),0)</f>
        <v>0</v>
      </c>
      <c r="AJ83" s="138">
        <f>IF('1.DATOS-PROD'!AS84="SI",VLOOKUP('1.DATOS-PROD'!AS$2,'1.PUNTOS'!$A$1:$B$63,2,0),0)</f>
        <v>0</v>
      </c>
      <c r="AK83" s="138">
        <f>IF('1.DATOS-PROD'!AT84="SI",VLOOKUP('1.DATOS-PROD'!AT$2,'1.PUNTOS'!$A$1:$B$63,2,0),0)</f>
        <v>0</v>
      </c>
      <c r="AL83" s="138">
        <f>IF('1.DATOS-PROD'!AU84="SI",VLOOKUP('1.DATOS-PROD'!AU$2,'1.PUNTOS'!$A$1:$B$63,2,0),0)</f>
        <v>0</v>
      </c>
      <c r="AM83" s="138">
        <f>IF('1.DATOS-PROD'!AV84="SI",VLOOKUP('1.DATOS-PROD'!AV$2,'1.PUNTOS'!$A$1:$B$63,2,0),0)</f>
        <v>0</v>
      </c>
      <c r="AN83" s="138">
        <f>IF('1.DATOS-PROD'!AW84="SI",VLOOKUP('1.DATOS-PROD'!AW$2,'1.PUNTOS'!$A$1:$B$63,2,0),0)</f>
        <v>0</v>
      </c>
      <c r="AO83" s="138">
        <f>IF('1.DATOS-PROD'!AX84="SI",VLOOKUP('1.DATOS-PROD'!AX$2,'1.PUNTOS'!$A$1:$B$63,2,0),0)</f>
        <v>0</v>
      </c>
      <c r="AP83" s="138">
        <f>IF('1.DATOS-PROD'!AY84="SI",VLOOKUP('1.DATOS-PROD'!AY$2,'1.PUNTOS'!$A$1:$B$63,2,0),0)</f>
        <v>0</v>
      </c>
      <c r="AQ83" s="138">
        <f>IF('1.DATOS-PROD'!AZ84="SI",VLOOKUP('1.DATOS-PROD'!AZ$2,'1.PUNTOS'!$A$1:$B$63,2,0),0)</f>
        <v>0</v>
      </c>
      <c r="AR83" s="138">
        <f>IF('1.DATOS-PROD'!BA84="SI",VLOOKUP('1.DATOS-PROD'!BA$2,'1.PUNTOS'!$A$1:$B$63,2,0),0)</f>
        <v>0</v>
      </c>
      <c r="AS83" s="138">
        <f>IF('1.DATOS-PROD'!BB84="SI",VLOOKUP('1.DATOS-PROD'!BB$2,'1.PUNTOS'!$A$1:$B$63,2,0),0)</f>
        <v>0</v>
      </c>
      <c r="AT83" s="138">
        <f>IF('1.DATOS-PROD'!BC84="SI",VLOOKUP('1.DATOS-PROD'!BC$2,'1.PUNTOS'!$A$1:$B$63,2,0),0)</f>
        <v>0</v>
      </c>
      <c r="AU83" s="138">
        <f>IF('1.DATOS-PROD'!BD84="SI",VLOOKUP('1.DATOS-PROD'!BD$2,'1.PUNTOS'!$A$1:$B$63,2,0),0)</f>
        <v>0</v>
      </c>
      <c r="AV83" s="138">
        <f>IF('1.DATOS-PROD'!BE84="SI",VLOOKUP('1.DATOS-PROD'!BE$2,'1.PUNTOS'!$A$1:$B$63,2,0),0)</f>
        <v>0</v>
      </c>
      <c r="AW83" s="138">
        <f>IF('1.DATOS-PROD'!BF84="SI",VLOOKUP('1.DATOS-PROD'!BF$2,'1.PUNTOS'!$A$1:$B$63,2,0),0)</f>
        <v>0</v>
      </c>
      <c r="AX83" s="138">
        <f>IF('1.DATOS-PROD'!BG84="SI",VLOOKUP('1.DATOS-PROD'!BG$2,'1.PUNTOS'!$A$1:$B$63,2,0),0)</f>
        <v>0</v>
      </c>
      <c r="AY83" s="138">
        <f>IF('1.DATOS-PROD'!BH84="SI",VLOOKUP('1.DATOS-PROD'!BH$2,'1.PUNTOS'!$A$1:$B$63,2,0),0)</f>
        <v>0</v>
      </c>
      <c r="AZ83" s="138">
        <f>IF('1.DATOS-PROD'!BI84="SI",VLOOKUP('1.DATOS-PROD'!BI$2,'1.PUNTOS'!$A$1:$B$63,2,0),0)</f>
        <v>0</v>
      </c>
      <c r="BA83" s="138">
        <f>IF('1.DATOS-PROD'!BJ84="SI",VLOOKUP('1.DATOS-PROD'!BJ$2,'1.PUNTOS'!$A$1:$B$63,2,0),0)</f>
        <v>0</v>
      </c>
      <c r="BB83" s="138">
        <f>IF('1.DATOS-PROD'!BK84="SI",VLOOKUP('1.DATOS-PROD'!BK$2,'1.PUNTOS'!$A$1:$B$63,2,0),0)</f>
        <v>0</v>
      </c>
      <c r="BC83" s="138">
        <f>IF('1.DATOS-PROD'!BL84="SI",VLOOKUP('1.DATOS-PROD'!BL$2,'1.PUNTOS'!$A$1:$B$63,2,0),0)</f>
        <v>0</v>
      </c>
      <c r="BD83" s="138">
        <f>IF('1.DATOS-PROD'!BM84="SI",VLOOKUP('1.DATOS-PROD'!BM$2,'1.PUNTOS'!$A$1:$B$63,2,0),0)</f>
        <v>0</v>
      </c>
      <c r="BE83" s="138">
        <f>IF('1.DATOS-PROD'!BN84="SI",VLOOKUP('1.DATOS-PROD'!BN$2,'1.PUNTOS'!$A$1:$B$63,2,0),0)</f>
        <v>0</v>
      </c>
      <c r="BF83" s="138">
        <f>IF('1.DATOS-PROD'!BO84="SI",VLOOKUP('1.DATOS-PROD'!BO$2,'1.PUNTOS'!$A$1:$B$63,2,0),0)</f>
        <v>0</v>
      </c>
      <c r="BG83" s="138">
        <f>IF('1.DATOS-PROD'!BP84="SI",VLOOKUP('1.DATOS-PROD'!BP$2,'1.PUNTOS'!$A$1:$B$63,2,0),0)</f>
        <v>0</v>
      </c>
      <c r="BH83" s="138">
        <f>IF('1.DATOS-PROD'!BQ84="SI",VLOOKUP('1.DATOS-PROD'!BQ$2,'1.PUNTOS'!$A$1:$B$63,2,0),0)</f>
        <v>0</v>
      </c>
      <c r="BI83" s="138">
        <f>IF('1.DATOS-PROD'!BR84="SI",VLOOKUP('1.DATOS-PROD'!BR$2,'1.PUNTOS'!$A$1:$B$63,2,0),0)</f>
        <v>0</v>
      </c>
      <c r="BJ83" s="138">
        <f>IF('1.DATOS-PROD'!BS84="SI",VLOOKUP('1.DATOS-PROD'!BS$2,'1.PUNTOS'!$A$1:$B$63,2,0),0)</f>
        <v>0</v>
      </c>
      <c r="BK83" s="138">
        <f>IF('1.DATOS-PROD'!BT84="SI",VLOOKUP('1.DATOS-PROD'!BT$2,'1.PUNTOS'!$A$1:$B$63,2,0),0)</f>
        <v>0</v>
      </c>
    </row>
    <row r="84" spans="1:63" x14ac:dyDescent="0.25">
      <c r="A84">
        <f>'0.Consolidado general'!$A85</f>
        <v>0</v>
      </c>
      <c r="B84" s="138">
        <f>IF('1.DATOS-PROD'!K85="SI",VLOOKUP('1.DATOS-PROD'!K$2,'1.PUNTOS'!$A$1:$B$63,2,0),0)</f>
        <v>0</v>
      </c>
      <c r="C84" s="138">
        <f>IF('1.DATOS-PROD'!L85="SI",VLOOKUP('1.DATOS-PROD'!L$2,'1.PUNTOS'!$A$1:$B$63,2,0),0)</f>
        <v>0</v>
      </c>
      <c r="D84" s="138">
        <f>IF('1.DATOS-PROD'!M85="SI",VLOOKUP('1.DATOS-PROD'!M$2,'1.PUNTOS'!$A$1:$B$63,2,0),0)</f>
        <v>0</v>
      </c>
      <c r="E84" s="138">
        <f>IF('1.DATOS-PROD'!N85="SI",VLOOKUP('1.DATOS-PROD'!N$2,'1.PUNTOS'!$A$1:$B$63,2,0),0)</f>
        <v>0</v>
      </c>
      <c r="F84" s="138">
        <f>IF('1.DATOS-PROD'!O85="SI",VLOOKUP('1.DATOS-PROD'!O$2,'1.PUNTOS'!$A$1:$B$63,2,0),0)</f>
        <v>0</v>
      </c>
      <c r="G84" s="138">
        <f>IF('1.DATOS-PROD'!P85="SI",VLOOKUP('1.DATOS-PROD'!P$2,'1.PUNTOS'!$A$1:$B$63,2,0),0)</f>
        <v>0</v>
      </c>
      <c r="H84" s="138">
        <f>IF('1.DATOS-PROD'!Q85="SI",VLOOKUP('1.DATOS-PROD'!Q$2,'1.PUNTOS'!$A$1:$B$63,2,0),0)</f>
        <v>0</v>
      </c>
      <c r="I84" s="138">
        <f>IF('1.DATOS-PROD'!R85="SI",VLOOKUP('1.DATOS-PROD'!R$2,'1.PUNTOS'!$A$1:$B$63,2,0),0)</f>
        <v>0</v>
      </c>
      <c r="J84" s="138">
        <f>IF('1.DATOS-PROD'!S85="SI",VLOOKUP('1.DATOS-PROD'!S$2,'1.PUNTOS'!$A$1:$B$63,2,0),0)</f>
        <v>0</v>
      </c>
      <c r="K84" s="138">
        <f>IF('1.DATOS-PROD'!T85="SI",VLOOKUP('1.DATOS-PROD'!T$2,'1.PUNTOS'!$A$1:$B$63,2,0),0)</f>
        <v>0</v>
      </c>
      <c r="L84" s="138">
        <f>IF('1.DATOS-PROD'!U85="SI",VLOOKUP('1.DATOS-PROD'!U$2,'1.PUNTOS'!$A$1:$B$63,2,0),0)</f>
        <v>0</v>
      </c>
      <c r="M84" s="138">
        <f>IF('1.DATOS-PROD'!V85="SI",VLOOKUP('1.DATOS-PROD'!V$2,'1.PUNTOS'!$A$1:$B$63,2,0),0)</f>
        <v>0</v>
      </c>
      <c r="N84" s="138">
        <f>IF('1.DATOS-PROD'!W85="SI",VLOOKUP('1.DATOS-PROD'!W$2,'1.PUNTOS'!$A$1:$B$63,2,0),0)</f>
        <v>0</v>
      </c>
      <c r="O84" s="138">
        <f>IF('1.DATOS-PROD'!X85="SI",VLOOKUP('1.DATOS-PROD'!X$2,'1.PUNTOS'!$A$1:$B$63,2,0),0)</f>
        <v>0</v>
      </c>
      <c r="P84" s="138">
        <f>IF('1.DATOS-PROD'!Y85="SI",VLOOKUP('1.DATOS-PROD'!Y$2,'1.PUNTOS'!$A$1:$B$63,2,0),0)</f>
        <v>0</v>
      </c>
      <c r="Q84" s="138">
        <f>IF('1.DATOS-PROD'!Z85="SI",VLOOKUP('1.DATOS-PROD'!Z$2,'1.PUNTOS'!$A$1:$B$63,2,0),0)</f>
        <v>0</v>
      </c>
      <c r="R84" s="138">
        <f>IF('1.DATOS-PROD'!AA85="SI",VLOOKUP('1.DATOS-PROD'!AA$2,'1.PUNTOS'!$A$1:$B$63,2,0),0)</f>
        <v>0</v>
      </c>
      <c r="S84" s="138">
        <f>IF('1.DATOS-PROD'!AB85="SI",VLOOKUP('1.DATOS-PROD'!AB$2,'1.PUNTOS'!$A$1:$B$63,2,0),0)</f>
        <v>0</v>
      </c>
      <c r="T84" s="138">
        <f>IF('1.DATOS-PROD'!AC85="SI",VLOOKUP('1.DATOS-PROD'!AC$2,'1.PUNTOS'!$A$1:$B$63,2,0),0)</f>
        <v>0</v>
      </c>
      <c r="U84" s="138">
        <f>IF('1.DATOS-PROD'!AD85="SI",VLOOKUP('1.DATOS-PROD'!AD$2,'1.PUNTOS'!$A$1:$B$63,2,0),0)</f>
        <v>0</v>
      </c>
      <c r="V84" s="138">
        <f>IF('1.DATOS-PROD'!AE85="SI",VLOOKUP('1.DATOS-PROD'!AE$2,'1.PUNTOS'!$A$1:$B$63,2,0),0)</f>
        <v>0</v>
      </c>
      <c r="W84" s="138">
        <f>IF('1.DATOS-PROD'!AF85="SI",VLOOKUP('1.DATOS-PROD'!AF$2,'1.PUNTOS'!$A$1:$B$63,2,0),0)</f>
        <v>0</v>
      </c>
      <c r="X84" s="138">
        <f>IF('1.DATOS-PROD'!AG85="SI",VLOOKUP('1.DATOS-PROD'!AG$2,'1.PUNTOS'!$A$1:$B$63,2,0),0)</f>
        <v>0</v>
      </c>
      <c r="Y84" s="138">
        <f>IF('1.DATOS-PROD'!AH85="SI",VLOOKUP('1.DATOS-PROD'!AH$2,'1.PUNTOS'!$A$1:$B$63,2,0),0)</f>
        <v>0</v>
      </c>
      <c r="Z84" s="138">
        <f>IF('1.DATOS-PROD'!AI85="SI",VLOOKUP('1.DATOS-PROD'!AI$2,'1.PUNTOS'!$A$1:$B$63,2,0),0)</f>
        <v>0</v>
      </c>
      <c r="AA84" s="138">
        <f>IF('1.DATOS-PROD'!AJ85="SI",VLOOKUP('1.DATOS-PROD'!AJ$2,'1.PUNTOS'!$A$1:$B$63,2,0),0)</f>
        <v>0</v>
      </c>
      <c r="AB84" s="138">
        <f>IF('1.DATOS-PROD'!AK85="SI",VLOOKUP('1.DATOS-PROD'!AK$2,'1.PUNTOS'!$A$1:$B$63,2,0),0)</f>
        <v>0</v>
      </c>
      <c r="AC84" s="138">
        <f>IF('1.DATOS-PROD'!AL85="SI",VLOOKUP('1.DATOS-PROD'!AL$2,'1.PUNTOS'!$A$1:$B$63,2,0),0)</f>
        <v>0</v>
      </c>
      <c r="AD84" s="138">
        <f>IF('1.DATOS-PROD'!AM85="SI",VLOOKUP('1.DATOS-PROD'!AM$2,'1.PUNTOS'!$A$1:$B$63,2,0),0)</f>
        <v>0</v>
      </c>
      <c r="AE84" s="138">
        <f>IF('1.DATOS-PROD'!AN85="SI",VLOOKUP('1.DATOS-PROD'!AN$2,'1.PUNTOS'!$A$1:$B$63,2,0),0)</f>
        <v>0</v>
      </c>
      <c r="AF84" s="138">
        <f>IF('1.DATOS-PROD'!AO85="SI",VLOOKUP('1.DATOS-PROD'!AO$2,'1.PUNTOS'!$A$1:$B$63,2,0),0)</f>
        <v>0</v>
      </c>
      <c r="AG84" s="138">
        <f>IF('1.DATOS-PROD'!AP85="SI",VLOOKUP('1.DATOS-PROD'!AP$2,'1.PUNTOS'!$A$1:$B$63,2,0),0)</f>
        <v>0</v>
      </c>
      <c r="AH84" s="138">
        <f>IF('1.DATOS-PROD'!AQ85="SI",VLOOKUP('1.DATOS-PROD'!AQ$2,'1.PUNTOS'!$A$1:$B$63,2,0),0)</f>
        <v>0</v>
      </c>
      <c r="AI84" s="138">
        <f>IF('1.DATOS-PROD'!AR85="SI",VLOOKUP('1.DATOS-PROD'!AR$2,'1.PUNTOS'!$A$1:$B$63,2,0),0)</f>
        <v>0</v>
      </c>
      <c r="AJ84" s="138">
        <f>IF('1.DATOS-PROD'!AS85="SI",VLOOKUP('1.DATOS-PROD'!AS$2,'1.PUNTOS'!$A$1:$B$63,2,0),0)</f>
        <v>0</v>
      </c>
      <c r="AK84" s="138">
        <f>IF('1.DATOS-PROD'!AT85="SI",VLOOKUP('1.DATOS-PROD'!AT$2,'1.PUNTOS'!$A$1:$B$63,2,0),0)</f>
        <v>0</v>
      </c>
      <c r="AL84" s="138">
        <f>IF('1.DATOS-PROD'!AU85="SI",VLOOKUP('1.DATOS-PROD'!AU$2,'1.PUNTOS'!$A$1:$B$63,2,0),0)</f>
        <v>0</v>
      </c>
      <c r="AM84" s="138">
        <f>IF('1.DATOS-PROD'!AV85="SI",VLOOKUP('1.DATOS-PROD'!AV$2,'1.PUNTOS'!$A$1:$B$63,2,0),0)</f>
        <v>0</v>
      </c>
      <c r="AN84" s="138">
        <f>IF('1.DATOS-PROD'!AW85="SI",VLOOKUP('1.DATOS-PROD'!AW$2,'1.PUNTOS'!$A$1:$B$63,2,0),0)</f>
        <v>0</v>
      </c>
      <c r="AO84" s="138">
        <f>IF('1.DATOS-PROD'!AX85="SI",VLOOKUP('1.DATOS-PROD'!AX$2,'1.PUNTOS'!$A$1:$B$63,2,0),0)</f>
        <v>0</v>
      </c>
      <c r="AP84" s="138">
        <f>IF('1.DATOS-PROD'!AY85="SI",VLOOKUP('1.DATOS-PROD'!AY$2,'1.PUNTOS'!$A$1:$B$63,2,0),0)</f>
        <v>0</v>
      </c>
      <c r="AQ84" s="138">
        <f>IF('1.DATOS-PROD'!AZ85="SI",VLOOKUP('1.DATOS-PROD'!AZ$2,'1.PUNTOS'!$A$1:$B$63,2,0),0)</f>
        <v>0</v>
      </c>
      <c r="AR84" s="138">
        <f>IF('1.DATOS-PROD'!BA85="SI",VLOOKUP('1.DATOS-PROD'!BA$2,'1.PUNTOS'!$A$1:$B$63,2,0),0)</f>
        <v>0</v>
      </c>
      <c r="AS84" s="138">
        <f>IF('1.DATOS-PROD'!BB85="SI",VLOOKUP('1.DATOS-PROD'!BB$2,'1.PUNTOS'!$A$1:$B$63,2,0),0)</f>
        <v>0</v>
      </c>
      <c r="AT84" s="138">
        <f>IF('1.DATOS-PROD'!BC85="SI",VLOOKUP('1.DATOS-PROD'!BC$2,'1.PUNTOS'!$A$1:$B$63,2,0),0)</f>
        <v>0</v>
      </c>
      <c r="AU84" s="138">
        <f>IF('1.DATOS-PROD'!BD85="SI",VLOOKUP('1.DATOS-PROD'!BD$2,'1.PUNTOS'!$A$1:$B$63,2,0),0)</f>
        <v>0</v>
      </c>
      <c r="AV84" s="138">
        <f>IF('1.DATOS-PROD'!BE85="SI",VLOOKUP('1.DATOS-PROD'!BE$2,'1.PUNTOS'!$A$1:$B$63,2,0),0)</f>
        <v>0</v>
      </c>
      <c r="AW84" s="138">
        <f>IF('1.DATOS-PROD'!BF85="SI",VLOOKUP('1.DATOS-PROD'!BF$2,'1.PUNTOS'!$A$1:$B$63,2,0),0)</f>
        <v>0</v>
      </c>
      <c r="AX84" s="138">
        <f>IF('1.DATOS-PROD'!BG85="SI",VLOOKUP('1.DATOS-PROD'!BG$2,'1.PUNTOS'!$A$1:$B$63,2,0),0)</f>
        <v>0</v>
      </c>
      <c r="AY84" s="138">
        <f>IF('1.DATOS-PROD'!BH85="SI",VLOOKUP('1.DATOS-PROD'!BH$2,'1.PUNTOS'!$A$1:$B$63,2,0),0)</f>
        <v>0</v>
      </c>
      <c r="AZ84" s="138">
        <f>IF('1.DATOS-PROD'!BI85="SI",VLOOKUP('1.DATOS-PROD'!BI$2,'1.PUNTOS'!$A$1:$B$63,2,0),0)</f>
        <v>0</v>
      </c>
      <c r="BA84" s="138">
        <f>IF('1.DATOS-PROD'!BJ85="SI",VLOOKUP('1.DATOS-PROD'!BJ$2,'1.PUNTOS'!$A$1:$B$63,2,0),0)</f>
        <v>0</v>
      </c>
      <c r="BB84" s="138">
        <f>IF('1.DATOS-PROD'!BK85="SI",VLOOKUP('1.DATOS-PROD'!BK$2,'1.PUNTOS'!$A$1:$B$63,2,0),0)</f>
        <v>0</v>
      </c>
      <c r="BC84" s="138">
        <f>IF('1.DATOS-PROD'!BL85="SI",VLOOKUP('1.DATOS-PROD'!BL$2,'1.PUNTOS'!$A$1:$B$63,2,0),0)</f>
        <v>0</v>
      </c>
      <c r="BD84" s="138">
        <f>IF('1.DATOS-PROD'!BM85="SI",VLOOKUP('1.DATOS-PROD'!BM$2,'1.PUNTOS'!$A$1:$B$63,2,0),0)</f>
        <v>0</v>
      </c>
      <c r="BE84" s="138">
        <f>IF('1.DATOS-PROD'!BN85="SI",VLOOKUP('1.DATOS-PROD'!BN$2,'1.PUNTOS'!$A$1:$B$63,2,0),0)</f>
        <v>0</v>
      </c>
      <c r="BF84" s="138">
        <f>IF('1.DATOS-PROD'!BO85="SI",VLOOKUP('1.DATOS-PROD'!BO$2,'1.PUNTOS'!$A$1:$B$63,2,0),0)</f>
        <v>0</v>
      </c>
      <c r="BG84" s="138">
        <f>IF('1.DATOS-PROD'!BP85="SI",VLOOKUP('1.DATOS-PROD'!BP$2,'1.PUNTOS'!$A$1:$B$63,2,0),0)</f>
        <v>0</v>
      </c>
      <c r="BH84" s="138">
        <f>IF('1.DATOS-PROD'!BQ85="SI",VLOOKUP('1.DATOS-PROD'!BQ$2,'1.PUNTOS'!$A$1:$B$63,2,0),0)</f>
        <v>0</v>
      </c>
      <c r="BI84" s="138">
        <f>IF('1.DATOS-PROD'!BR85="SI",VLOOKUP('1.DATOS-PROD'!BR$2,'1.PUNTOS'!$A$1:$B$63,2,0),0)</f>
        <v>0</v>
      </c>
      <c r="BJ84" s="138">
        <f>IF('1.DATOS-PROD'!BS85="SI",VLOOKUP('1.DATOS-PROD'!BS$2,'1.PUNTOS'!$A$1:$B$63,2,0),0)</f>
        <v>0</v>
      </c>
      <c r="BK84" s="138">
        <f>IF('1.DATOS-PROD'!BT85="SI",VLOOKUP('1.DATOS-PROD'!BT$2,'1.PUNTOS'!$A$1:$B$63,2,0),0)</f>
        <v>0</v>
      </c>
    </row>
    <row r="85" spans="1:63" x14ac:dyDescent="0.25">
      <c r="A85">
        <f>'0.Consolidado general'!$A86</f>
        <v>0</v>
      </c>
      <c r="B85" s="138">
        <f>IF('1.DATOS-PROD'!K86="SI",VLOOKUP('1.DATOS-PROD'!K$2,'1.PUNTOS'!$A$1:$B$63,2,0),0)</f>
        <v>0</v>
      </c>
      <c r="C85" s="138">
        <f>IF('1.DATOS-PROD'!L86="SI",VLOOKUP('1.DATOS-PROD'!L$2,'1.PUNTOS'!$A$1:$B$63,2,0),0)</f>
        <v>0</v>
      </c>
      <c r="D85" s="138">
        <f>IF('1.DATOS-PROD'!M86="SI",VLOOKUP('1.DATOS-PROD'!M$2,'1.PUNTOS'!$A$1:$B$63,2,0),0)</f>
        <v>0</v>
      </c>
      <c r="E85" s="138">
        <f>IF('1.DATOS-PROD'!N86="SI",VLOOKUP('1.DATOS-PROD'!N$2,'1.PUNTOS'!$A$1:$B$63,2,0),0)</f>
        <v>0</v>
      </c>
      <c r="F85" s="138">
        <f>IF('1.DATOS-PROD'!O86="SI",VLOOKUP('1.DATOS-PROD'!O$2,'1.PUNTOS'!$A$1:$B$63,2,0),0)</f>
        <v>0</v>
      </c>
      <c r="G85" s="138">
        <f>IF('1.DATOS-PROD'!P86="SI",VLOOKUP('1.DATOS-PROD'!P$2,'1.PUNTOS'!$A$1:$B$63,2,0),0)</f>
        <v>0</v>
      </c>
      <c r="H85" s="138">
        <f>IF('1.DATOS-PROD'!Q86="SI",VLOOKUP('1.DATOS-PROD'!Q$2,'1.PUNTOS'!$A$1:$B$63,2,0),0)</f>
        <v>0</v>
      </c>
      <c r="I85" s="138">
        <f>IF('1.DATOS-PROD'!R86="SI",VLOOKUP('1.DATOS-PROD'!R$2,'1.PUNTOS'!$A$1:$B$63,2,0),0)</f>
        <v>0</v>
      </c>
      <c r="J85" s="138">
        <f>IF('1.DATOS-PROD'!S86="SI",VLOOKUP('1.DATOS-PROD'!S$2,'1.PUNTOS'!$A$1:$B$63,2,0),0)</f>
        <v>0</v>
      </c>
      <c r="K85" s="138">
        <f>IF('1.DATOS-PROD'!T86="SI",VLOOKUP('1.DATOS-PROD'!T$2,'1.PUNTOS'!$A$1:$B$63,2,0),0)</f>
        <v>0</v>
      </c>
      <c r="L85" s="138">
        <f>IF('1.DATOS-PROD'!U86="SI",VLOOKUP('1.DATOS-PROD'!U$2,'1.PUNTOS'!$A$1:$B$63,2,0),0)</f>
        <v>0</v>
      </c>
      <c r="M85" s="138">
        <f>IF('1.DATOS-PROD'!V86="SI",VLOOKUP('1.DATOS-PROD'!V$2,'1.PUNTOS'!$A$1:$B$63,2,0),0)</f>
        <v>0</v>
      </c>
      <c r="N85" s="138">
        <f>IF('1.DATOS-PROD'!W86="SI",VLOOKUP('1.DATOS-PROD'!W$2,'1.PUNTOS'!$A$1:$B$63,2,0),0)</f>
        <v>0</v>
      </c>
      <c r="O85" s="138">
        <f>IF('1.DATOS-PROD'!X86="SI",VLOOKUP('1.DATOS-PROD'!X$2,'1.PUNTOS'!$A$1:$B$63,2,0),0)</f>
        <v>0</v>
      </c>
      <c r="P85" s="138">
        <f>IF('1.DATOS-PROD'!Y86="SI",VLOOKUP('1.DATOS-PROD'!Y$2,'1.PUNTOS'!$A$1:$B$63,2,0),0)</f>
        <v>0</v>
      </c>
      <c r="Q85" s="138">
        <f>IF('1.DATOS-PROD'!Z86="SI",VLOOKUP('1.DATOS-PROD'!Z$2,'1.PUNTOS'!$A$1:$B$63,2,0),0)</f>
        <v>0</v>
      </c>
      <c r="R85" s="138">
        <f>IF('1.DATOS-PROD'!AA86="SI",VLOOKUP('1.DATOS-PROD'!AA$2,'1.PUNTOS'!$A$1:$B$63,2,0),0)</f>
        <v>0</v>
      </c>
      <c r="S85" s="138">
        <f>IF('1.DATOS-PROD'!AB86="SI",VLOOKUP('1.DATOS-PROD'!AB$2,'1.PUNTOS'!$A$1:$B$63,2,0),0)</f>
        <v>0</v>
      </c>
      <c r="T85" s="138">
        <f>IF('1.DATOS-PROD'!AC86="SI",VLOOKUP('1.DATOS-PROD'!AC$2,'1.PUNTOS'!$A$1:$B$63,2,0),0)</f>
        <v>0</v>
      </c>
      <c r="U85" s="138">
        <f>IF('1.DATOS-PROD'!AD86="SI",VLOOKUP('1.DATOS-PROD'!AD$2,'1.PUNTOS'!$A$1:$B$63,2,0),0)</f>
        <v>0</v>
      </c>
      <c r="V85" s="138">
        <f>IF('1.DATOS-PROD'!AE86="SI",VLOOKUP('1.DATOS-PROD'!AE$2,'1.PUNTOS'!$A$1:$B$63,2,0),0)</f>
        <v>0</v>
      </c>
      <c r="W85" s="138">
        <f>IF('1.DATOS-PROD'!AF86="SI",VLOOKUP('1.DATOS-PROD'!AF$2,'1.PUNTOS'!$A$1:$B$63,2,0),0)</f>
        <v>0</v>
      </c>
      <c r="X85" s="138">
        <f>IF('1.DATOS-PROD'!AG86="SI",VLOOKUP('1.DATOS-PROD'!AG$2,'1.PUNTOS'!$A$1:$B$63,2,0),0)</f>
        <v>0</v>
      </c>
      <c r="Y85" s="138">
        <f>IF('1.DATOS-PROD'!AH86="SI",VLOOKUP('1.DATOS-PROD'!AH$2,'1.PUNTOS'!$A$1:$B$63,2,0),0)</f>
        <v>0</v>
      </c>
      <c r="Z85" s="138">
        <f>IF('1.DATOS-PROD'!AI86="SI",VLOOKUP('1.DATOS-PROD'!AI$2,'1.PUNTOS'!$A$1:$B$63,2,0),0)</f>
        <v>0</v>
      </c>
      <c r="AA85" s="138">
        <f>IF('1.DATOS-PROD'!AJ86="SI",VLOOKUP('1.DATOS-PROD'!AJ$2,'1.PUNTOS'!$A$1:$B$63,2,0),0)</f>
        <v>0</v>
      </c>
      <c r="AB85" s="138">
        <f>IF('1.DATOS-PROD'!AK86="SI",VLOOKUP('1.DATOS-PROD'!AK$2,'1.PUNTOS'!$A$1:$B$63,2,0),0)</f>
        <v>0</v>
      </c>
      <c r="AC85" s="138">
        <f>IF('1.DATOS-PROD'!AL86="SI",VLOOKUP('1.DATOS-PROD'!AL$2,'1.PUNTOS'!$A$1:$B$63,2,0),0)</f>
        <v>0</v>
      </c>
      <c r="AD85" s="138">
        <f>IF('1.DATOS-PROD'!AM86="SI",VLOOKUP('1.DATOS-PROD'!AM$2,'1.PUNTOS'!$A$1:$B$63,2,0),0)</f>
        <v>0</v>
      </c>
      <c r="AE85" s="138">
        <f>IF('1.DATOS-PROD'!AN86="SI",VLOOKUP('1.DATOS-PROD'!AN$2,'1.PUNTOS'!$A$1:$B$63,2,0),0)</f>
        <v>0</v>
      </c>
      <c r="AF85" s="138">
        <f>IF('1.DATOS-PROD'!AO86="SI",VLOOKUP('1.DATOS-PROD'!AO$2,'1.PUNTOS'!$A$1:$B$63,2,0),0)</f>
        <v>0</v>
      </c>
      <c r="AG85" s="138">
        <f>IF('1.DATOS-PROD'!AP86="SI",VLOOKUP('1.DATOS-PROD'!AP$2,'1.PUNTOS'!$A$1:$B$63,2,0),0)</f>
        <v>0</v>
      </c>
      <c r="AH85" s="138">
        <f>IF('1.DATOS-PROD'!AQ86="SI",VLOOKUP('1.DATOS-PROD'!AQ$2,'1.PUNTOS'!$A$1:$B$63,2,0),0)</f>
        <v>0</v>
      </c>
      <c r="AI85" s="138">
        <f>IF('1.DATOS-PROD'!AR86="SI",VLOOKUP('1.DATOS-PROD'!AR$2,'1.PUNTOS'!$A$1:$B$63,2,0),0)</f>
        <v>0</v>
      </c>
      <c r="AJ85" s="138">
        <f>IF('1.DATOS-PROD'!AS86="SI",VLOOKUP('1.DATOS-PROD'!AS$2,'1.PUNTOS'!$A$1:$B$63,2,0),0)</f>
        <v>0</v>
      </c>
      <c r="AK85" s="138">
        <f>IF('1.DATOS-PROD'!AT86="SI",VLOOKUP('1.DATOS-PROD'!AT$2,'1.PUNTOS'!$A$1:$B$63,2,0),0)</f>
        <v>0</v>
      </c>
      <c r="AL85" s="138">
        <f>IF('1.DATOS-PROD'!AU86="SI",VLOOKUP('1.DATOS-PROD'!AU$2,'1.PUNTOS'!$A$1:$B$63,2,0),0)</f>
        <v>0</v>
      </c>
      <c r="AM85" s="138">
        <f>IF('1.DATOS-PROD'!AV86="SI",VLOOKUP('1.DATOS-PROD'!AV$2,'1.PUNTOS'!$A$1:$B$63,2,0),0)</f>
        <v>0</v>
      </c>
      <c r="AN85" s="138">
        <f>IF('1.DATOS-PROD'!AW86="SI",VLOOKUP('1.DATOS-PROD'!AW$2,'1.PUNTOS'!$A$1:$B$63,2,0),0)</f>
        <v>0</v>
      </c>
      <c r="AO85" s="138">
        <f>IF('1.DATOS-PROD'!AX86="SI",VLOOKUP('1.DATOS-PROD'!AX$2,'1.PUNTOS'!$A$1:$B$63,2,0),0)</f>
        <v>0</v>
      </c>
      <c r="AP85" s="138">
        <f>IF('1.DATOS-PROD'!AY86="SI",VLOOKUP('1.DATOS-PROD'!AY$2,'1.PUNTOS'!$A$1:$B$63,2,0),0)</f>
        <v>0</v>
      </c>
      <c r="AQ85" s="138">
        <f>IF('1.DATOS-PROD'!AZ86="SI",VLOOKUP('1.DATOS-PROD'!AZ$2,'1.PUNTOS'!$A$1:$B$63,2,0),0)</f>
        <v>0</v>
      </c>
      <c r="AR85" s="138">
        <f>IF('1.DATOS-PROD'!BA86="SI",VLOOKUP('1.DATOS-PROD'!BA$2,'1.PUNTOS'!$A$1:$B$63,2,0),0)</f>
        <v>0</v>
      </c>
      <c r="AS85" s="138">
        <f>IF('1.DATOS-PROD'!BB86="SI",VLOOKUP('1.DATOS-PROD'!BB$2,'1.PUNTOS'!$A$1:$B$63,2,0),0)</f>
        <v>0</v>
      </c>
      <c r="AT85" s="138">
        <f>IF('1.DATOS-PROD'!BC86="SI",VLOOKUP('1.DATOS-PROD'!BC$2,'1.PUNTOS'!$A$1:$B$63,2,0),0)</f>
        <v>0</v>
      </c>
      <c r="AU85" s="138">
        <f>IF('1.DATOS-PROD'!BD86="SI",VLOOKUP('1.DATOS-PROD'!BD$2,'1.PUNTOS'!$A$1:$B$63,2,0),0)</f>
        <v>0</v>
      </c>
      <c r="AV85" s="138">
        <f>IF('1.DATOS-PROD'!BE86="SI",VLOOKUP('1.DATOS-PROD'!BE$2,'1.PUNTOS'!$A$1:$B$63,2,0),0)</f>
        <v>0</v>
      </c>
      <c r="AW85" s="138">
        <f>IF('1.DATOS-PROD'!BF86="SI",VLOOKUP('1.DATOS-PROD'!BF$2,'1.PUNTOS'!$A$1:$B$63,2,0),0)</f>
        <v>0</v>
      </c>
      <c r="AX85" s="138">
        <f>IF('1.DATOS-PROD'!BG86="SI",VLOOKUP('1.DATOS-PROD'!BG$2,'1.PUNTOS'!$A$1:$B$63,2,0),0)</f>
        <v>0</v>
      </c>
      <c r="AY85" s="138">
        <f>IF('1.DATOS-PROD'!BH86="SI",VLOOKUP('1.DATOS-PROD'!BH$2,'1.PUNTOS'!$A$1:$B$63,2,0),0)</f>
        <v>0</v>
      </c>
      <c r="AZ85" s="138">
        <f>IF('1.DATOS-PROD'!BI86="SI",VLOOKUP('1.DATOS-PROD'!BI$2,'1.PUNTOS'!$A$1:$B$63,2,0),0)</f>
        <v>0</v>
      </c>
      <c r="BA85" s="138">
        <f>IF('1.DATOS-PROD'!BJ86="SI",VLOOKUP('1.DATOS-PROD'!BJ$2,'1.PUNTOS'!$A$1:$B$63,2,0),0)</f>
        <v>0</v>
      </c>
      <c r="BB85" s="138">
        <f>IF('1.DATOS-PROD'!BK86="SI",VLOOKUP('1.DATOS-PROD'!BK$2,'1.PUNTOS'!$A$1:$B$63,2,0),0)</f>
        <v>0</v>
      </c>
      <c r="BC85" s="138">
        <f>IF('1.DATOS-PROD'!BL86="SI",VLOOKUP('1.DATOS-PROD'!BL$2,'1.PUNTOS'!$A$1:$B$63,2,0),0)</f>
        <v>0</v>
      </c>
      <c r="BD85" s="138">
        <f>IF('1.DATOS-PROD'!BM86="SI",VLOOKUP('1.DATOS-PROD'!BM$2,'1.PUNTOS'!$A$1:$B$63,2,0),0)</f>
        <v>0</v>
      </c>
      <c r="BE85" s="138">
        <f>IF('1.DATOS-PROD'!BN86="SI",VLOOKUP('1.DATOS-PROD'!BN$2,'1.PUNTOS'!$A$1:$B$63,2,0),0)</f>
        <v>0</v>
      </c>
      <c r="BF85" s="138">
        <f>IF('1.DATOS-PROD'!BO86="SI",VLOOKUP('1.DATOS-PROD'!BO$2,'1.PUNTOS'!$A$1:$B$63,2,0),0)</f>
        <v>0</v>
      </c>
      <c r="BG85" s="138">
        <f>IF('1.DATOS-PROD'!BP86="SI",VLOOKUP('1.DATOS-PROD'!BP$2,'1.PUNTOS'!$A$1:$B$63,2,0),0)</f>
        <v>0</v>
      </c>
      <c r="BH85" s="138">
        <f>IF('1.DATOS-PROD'!BQ86="SI",VLOOKUP('1.DATOS-PROD'!BQ$2,'1.PUNTOS'!$A$1:$B$63,2,0),0)</f>
        <v>0</v>
      </c>
      <c r="BI85" s="138">
        <f>IF('1.DATOS-PROD'!BR86="SI",VLOOKUP('1.DATOS-PROD'!BR$2,'1.PUNTOS'!$A$1:$B$63,2,0),0)</f>
        <v>0</v>
      </c>
      <c r="BJ85" s="138">
        <f>IF('1.DATOS-PROD'!BS86="SI",VLOOKUP('1.DATOS-PROD'!BS$2,'1.PUNTOS'!$A$1:$B$63,2,0),0)</f>
        <v>0</v>
      </c>
      <c r="BK85" s="138">
        <f>IF('1.DATOS-PROD'!BT86="SI",VLOOKUP('1.DATOS-PROD'!BT$2,'1.PUNTOS'!$A$1:$B$63,2,0),0)</f>
        <v>0</v>
      </c>
    </row>
    <row r="86" spans="1:63" x14ac:dyDescent="0.25">
      <c r="A86">
        <f>'0.Consolidado general'!$A87</f>
        <v>0</v>
      </c>
      <c r="B86" s="138">
        <f>IF('1.DATOS-PROD'!K87="SI",VLOOKUP('1.DATOS-PROD'!K$2,'1.PUNTOS'!$A$1:$B$63,2,0),0)</f>
        <v>0</v>
      </c>
      <c r="C86" s="138">
        <f>IF('1.DATOS-PROD'!L87="SI",VLOOKUP('1.DATOS-PROD'!L$2,'1.PUNTOS'!$A$1:$B$63,2,0),0)</f>
        <v>0</v>
      </c>
      <c r="D86" s="138">
        <f>IF('1.DATOS-PROD'!M87="SI",VLOOKUP('1.DATOS-PROD'!M$2,'1.PUNTOS'!$A$1:$B$63,2,0),0)</f>
        <v>0</v>
      </c>
      <c r="E86" s="138">
        <f>IF('1.DATOS-PROD'!N87="SI",VLOOKUP('1.DATOS-PROD'!N$2,'1.PUNTOS'!$A$1:$B$63,2,0),0)</f>
        <v>0</v>
      </c>
      <c r="F86" s="138">
        <f>IF('1.DATOS-PROD'!O87="SI",VLOOKUP('1.DATOS-PROD'!O$2,'1.PUNTOS'!$A$1:$B$63,2,0),0)</f>
        <v>0</v>
      </c>
      <c r="G86" s="138">
        <f>IF('1.DATOS-PROD'!P87="SI",VLOOKUP('1.DATOS-PROD'!P$2,'1.PUNTOS'!$A$1:$B$63,2,0),0)</f>
        <v>0</v>
      </c>
      <c r="H86" s="138">
        <f>IF('1.DATOS-PROD'!Q87="SI",VLOOKUP('1.DATOS-PROD'!Q$2,'1.PUNTOS'!$A$1:$B$63,2,0),0)</f>
        <v>0</v>
      </c>
      <c r="I86" s="138">
        <f>IF('1.DATOS-PROD'!R87="SI",VLOOKUP('1.DATOS-PROD'!R$2,'1.PUNTOS'!$A$1:$B$63,2,0),0)</f>
        <v>0</v>
      </c>
      <c r="J86" s="138">
        <f>IF('1.DATOS-PROD'!S87="SI",VLOOKUP('1.DATOS-PROD'!S$2,'1.PUNTOS'!$A$1:$B$63,2,0),0)</f>
        <v>0</v>
      </c>
      <c r="K86" s="138">
        <f>IF('1.DATOS-PROD'!T87="SI",VLOOKUP('1.DATOS-PROD'!T$2,'1.PUNTOS'!$A$1:$B$63,2,0),0)</f>
        <v>0</v>
      </c>
      <c r="L86" s="138">
        <f>IF('1.DATOS-PROD'!U87="SI",VLOOKUP('1.DATOS-PROD'!U$2,'1.PUNTOS'!$A$1:$B$63,2,0),0)</f>
        <v>0</v>
      </c>
      <c r="M86" s="138">
        <f>IF('1.DATOS-PROD'!V87="SI",VLOOKUP('1.DATOS-PROD'!V$2,'1.PUNTOS'!$A$1:$B$63,2,0),0)</f>
        <v>0</v>
      </c>
      <c r="N86" s="138">
        <f>IF('1.DATOS-PROD'!W87="SI",VLOOKUP('1.DATOS-PROD'!W$2,'1.PUNTOS'!$A$1:$B$63,2,0),0)</f>
        <v>0</v>
      </c>
      <c r="O86" s="138">
        <f>IF('1.DATOS-PROD'!X87="SI",VLOOKUP('1.DATOS-PROD'!X$2,'1.PUNTOS'!$A$1:$B$63,2,0),0)</f>
        <v>0</v>
      </c>
      <c r="P86" s="138">
        <f>IF('1.DATOS-PROD'!Y87="SI",VLOOKUP('1.DATOS-PROD'!Y$2,'1.PUNTOS'!$A$1:$B$63,2,0),0)</f>
        <v>0</v>
      </c>
      <c r="Q86" s="138">
        <f>IF('1.DATOS-PROD'!Z87="SI",VLOOKUP('1.DATOS-PROD'!Z$2,'1.PUNTOS'!$A$1:$B$63,2,0),0)</f>
        <v>0</v>
      </c>
      <c r="R86" s="138">
        <f>IF('1.DATOS-PROD'!AA87="SI",VLOOKUP('1.DATOS-PROD'!AA$2,'1.PUNTOS'!$A$1:$B$63,2,0),0)</f>
        <v>0</v>
      </c>
      <c r="S86" s="138">
        <f>IF('1.DATOS-PROD'!AB87="SI",VLOOKUP('1.DATOS-PROD'!AB$2,'1.PUNTOS'!$A$1:$B$63,2,0),0)</f>
        <v>0</v>
      </c>
      <c r="T86" s="138">
        <f>IF('1.DATOS-PROD'!AC87="SI",VLOOKUP('1.DATOS-PROD'!AC$2,'1.PUNTOS'!$A$1:$B$63,2,0),0)</f>
        <v>0</v>
      </c>
      <c r="U86" s="138">
        <f>IF('1.DATOS-PROD'!AD87="SI",VLOOKUP('1.DATOS-PROD'!AD$2,'1.PUNTOS'!$A$1:$B$63,2,0),0)</f>
        <v>0</v>
      </c>
      <c r="V86" s="138">
        <f>IF('1.DATOS-PROD'!AE87="SI",VLOOKUP('1.DATOS-PROD'!AE$2,'1.PUNTOS'!$A$1:$B$63,2,0),0)</f>
        <v>0</v>
      </c>
      <c r="W86" s="138">
        <f>IF('1.DATOS-PROD'!AF87="SI",VLOOKUP('1.DATOS-PROD'!AF$2,'1.PUNTOS'!$A$1:$B$63,2,0),0)</f>
        <v>0</v>
      </c>
      <c r="X86" s="138">
        <f>IF('1.DATOS-PROD'!AG87="SI",VLOOKUP('1.DATOS-PROD'!AG$2,'1.PUNTOS'!$A$1:$B$63,2,0),0)</f>
        <v>0</v>
      </c>
      <c r="Y86" s="138">
        <f>IF('1.DATOS-PROD'!AH87="SI",VLOOKUP('1.DATOS-PROD'!AH$2,'1.PUNTOS'!$A$1:$B$63,2,0),0)</f>
        <v>0</v>
      </c>
      <c r="Z86" s="138">
        <f>IF('1.DATOS-PROD'!AI87="SI",VLOOKUP('1.DATOS-PROD'!AI$2,'1.PUNTOS'!$A$1:$B$63,2,0),0)</f>
        <v>0</v>
      </c>
      <c r="AA86" s="138">
        <f>IF('1.DATOS-PROD'!AJ87="SI",VLOOKUP('1.DATOS-PROD'!AJ$2,'1.PUNTOS'!$A$1:$B$63,2,0),0)</f>
        <v>0</v>
      </c>
      <c r="AB86" s="138">
        <f>IF('1.DATOS-PROD'!AK87="SI",VLOOKUP('1.DATOS-PROD'!AK$2,'1.PUNTOS'!$A$1:$B$63,2,0),0)</f>
        <v>0</v>
      </c>
      <c r="AC86" s="138">
        <f>IF('1.DATOS-PROD'!AL87="SI",VLOOKUP('1.DATOS-PROD'!AL$2,'1.PUNTOS'!$A$1:$B$63,2,0),0)</f>
        <v>0</v>
      </c>
      <c r="AD86" s="138">
        <f>IF('1.DATOS-PROD'!AM87="SI",VLOOKUP('1.DATOS-PROD'!AM$2,'1.PUNTOS'!$A$1:$B$63,2,0),0)</f>
        <v>0</v>
      </c>
      <c r="AE86" s="138">
        <f>IF('1.DATOS-PROD'!AN87="SI",VLOOKUP('1.DATOS-PROD'!AN$2,'1.PUNTOS'!$A$1:$B$63,2,0),0)</f>
        <v>0</v>
      </c>
      <c r="AF86" s="138">
        <f>IF('1.DATOS-PROD'!AO87="SI",VLOOKUP('1.DATOS-PROD'!AO$2,'1.PUNTOS'!$A$1:$B$63,2,0),0)</f>
        <v>0</v>
      </c>
      <c r="AG86" s="138">
        <f>IF('1.DATOS-PROD'!AP87="SI",VLOOKUP('1.DATOS-PROD'!AP$2,'1.PUNTOS'!$A$1:$B$63,2,0),0)</f>
        <v>0</v>
      </c>
      <c r="AH86" s="138">
        <f>IF('1.DATOS-PROD'!AQ87="SI",VLOOKUP('1.DATOS-PROD'!AQ$2,'1.PUNTOS'!$A$1:$B$63,2,0),0)</f>
        <v>0</v>
      </c>
      <c r="AI86" s="138">
        <f>IF('1.DATOS-PROD'!AR87="SI",VLOOKUP('1.DATOS-PROD'!AR$2,'1.PUNTOS'!$A$1:$B$63,2,0),0)</f>
        <v>0</v>
      </c>
      <c r="AJ86" s="138">
        <f>IF('1.DATOS-PROD'!AS87="SI",VLOOKUP('1.DATOS-PROD'!AS$2,'1.PUNTOS'!$A$1:$B$63,2,0),0)</f>
        <v>0</v>
      </c>
      <c r="AK86" s="138">
        <f>IF('1.DATOS-PROD'!AT87="SI",VLOOKUP('1.DATOS-PROD'!AT$2,'1.PUNTOS'!$A$1:$B$63,2,0),0)</f>
        <v>0</v>
      </c>
      <c r="AL86" s="138">
        <f>IF('1.DATOS-PROD'!AU87="SI",VLOOKUP('1.DATOS-PROD'!AU$2,'1.PUNTOS'!$A$1:$B$63,2,0),0)</f>
        <v>0</v>
      </c>
      <c r="AM86" s="138">
        <f>IF('1.DATOS-PROD'!AV87="SI",VLOOKUP('1.DATOS-PROD'!AV$2,'1.PUNTOS'!$A$1:$B$63,2,0),0)</f>
        <v>0</v>
      </c>
      <c r="AN86" s="138">
        <f>IF('1.DATOS-PROD'!AW87="SI",VLOOKUP('1.DATOS-PROD'!AW$2,'1.PUNTOS'!$A$1:$B$63,2,0),0)</f>
        <v>0</v>
      </c>
      <c r="AO86" s="138">
        <f>IF('1.DATOS-PROD'!AX87="SI",VLOOKUP('1.DATOS-PROD'!AX$2,'1.PUNTOS'!$A$1:$B$63,2,0),0)</f>
        <v>0</v>
      </c>
      <c r="AP86" s="138">
        <f>IF('1.DATOS-PROD'!AY87="SI",VLOOKUP('1.DATOS-PROD'!AY$2,'1.PUNTOS'!$A$1:$B$63,2,0),0)</f>
        <v>0</v>
      </c>
      <c r="AQ86" s="138">
        <f>IF('1.DATOS-PROD'!AZ87="SI",VLOOKUP('1.DATOS-PROD'!AZ$2,'1.PUNTOS'!$A$1:$B$63,2,0),0)</f>
        <v>0</v>
      </c>
      <c r="AR86" s="138">
        <f>IF('1.DATOS-PROD'!BA87="SI",VLOOKUP('1.DATOS-PROD'!BA$2,'1.PUNTOS'!$A$1:$B$63,2,0),0)</f>
        <v>0</v>
      </c>
      <c r="AS86" s="138">
        <f>IF('1.DATOS-PROD'!BB87="SI",VLOOKUP('1.DATOS-PROD'!BB$2,'1.PUNTOS'!$A$1:$B$63,2,0),0)</f>
        <v>0</v>
      </c>
      <c r="AT86" s="138">
        <f>IF('1.DATOS-PROD'!BC87="SI",VLOOKUP('1.DATOS-PROD'!BC$2,'1.PUNTOS'!$A$1:$B$63,2,0),0)</f>
        <v>0</v>
      </c>
      <c r="AU86" s="138">
        <f>IF('1.DATOS-PROD'!BD87="SI",VLOOKUP('1.DATOS-PROD'!BD$2,'1.PUNTOS'!$A$1:$B$63,2,0),0)</f>
        <v>0</v>
      </c>
      <c r="AV86" s="138">
        <f>IF('1.DATOS-PROD'!BE87="SI",VLOOKUP('1.DATOS-PROD'!BE$2,'1.PUNTOS'!$A$1:$B$63,2,0),0)</f>
        <v>0</v>
      </c>
      <c r="AW86" s="138">
        <f>IF('1.DATOS-PROD'!BF87="SI",VLOOKUP('1.DATOS-PROD'!BF$2,'1.PUNTOS'!$A$1:$B$63,2,0),0)</f>
        <v>0</v>
      </c>
      <c r="AX86" s="138">
        <f>IF('1.DATOS-PROD'!BG87="SI",VLOOKUP('1.DATOS-PROD'!BG$2,'1.PUNTOS'!$A$1:$B$63,2,0),0)</f>
        <v>0</v>
      </c>
      <c r="AY86" s="138">
        <f>IF('1.DATOS-PROD'!BH87="SI",VLOOKUP('1.DATOS-PROD'!BH$2,'1.PUNTOS'!$A$1:$B$63,2,0),0)</f>
        <v>0</v>
      </c>
      <c r="AZ86" s="138">
        <f>IF('1.DATOS-PROD'!BI87="SI",VLOOKUP('1.DATOS-PROD'!BI$2,'1.PUNTOS'!$A$1:$B$63,2,0),0)</f>
        <v>0</v>
      </c>
      <c r="BA86" s="138">
        <f>IF('1.DATOS-PROD'!BJ87="SI",VLOOKUP('1.DATOS-PROD'!BJ$2,'1.PUNTOS'!$A$1:$B$63,2,0),0)</f>
        <v>0</v>
      </c>
      <c r="BB86" s="138">
        <f>IF('1.DATOS-PROD'!BK87="SI",VLOOKUP('1.DATOS-PROD'!BK$2,'1.PUNTOS'!$A$1:$B$63,2,0),0)</f>
        <v>0</v>
      </c>
      <c r="BC86" s="138">
        <f>IF('1.DATOS-PROD'!BL87="SI",VLOOKUP('1.DATOS-PROD'!BL$2,'1.PUNTOS'!$A$1:$B$63,2,0),0)</f>
        <v>0</v>
      </c>
      <c r="BD86" s="138">
        <f>IF('1.DATOS-PROD'!BM87="SI",VLOOKUP('1.DATOS-PROD'!BM$2,'1.PUNTOS'!$A$1:$B$63,2,0),0)</f>
        <v>0</v>
      </c>
      <c r="BE86" s="138">
        <f>IF('1.DATOS-PROD'!BN87="SI",VLOOKUP('1.DATOS-PROD'!BN$2,'1.PUNTOS'!$A$1:$B$63,2,0),0)</f>
        <v>0</v>
      </c>
      <c r="BF86" s="138">
        <f>IF('1.DATOS-PROD'!BO87="SI",VLOOKUP('1.DATOS-PROD'!BO$2,'1.PUNTOS'!$A$1:$B$63,2,0),0)</f>
        <v>0</v>
      </c>
      <c r="BG86" s="138">
        <f>IF('1.DATOS-PROD'!BP87="SI",VLOOKUP('1.DATOS-PROD'!BP$2,'1.PUNTOS'!$A$1:$B$63,2,0),0)</f>
        <v>0</v>
      </c>
      <c r="BH86" s="138">
        <f>IF('1.DATOS-PROD'!BQ87="SI",VLOOKUP('1.DATOS-PROD'!BQ$2,'1.PUNTOS'!$A$1:$B$63,2,0),0)</f>
        <v>0</v>
      </c>
      <c r="BI86" s="138">
        <f>IF('1.DATOS-PROD'!BR87="SI",VLOOKUP('1.DATOS-PROD'!BR$2,'1.PUNTOS'!$A$1:$B$63,2,0),0)</f>
        <v>0</v>
      </c>
      <c r="BJ86" s="138">
        <f>IF('1.DATOS-PROD'!BS87="SI",VLOOKUP('1.DATOS-PROD'!BS$2,'1.PUNTOS'!$A$1:$B$63,2,0),0)</f>
        <v>0</v>
      </c>
      <c r="BK86" s="138">
        <f>IF('1.DATOS-PROD'!BT87="SI",VLOOKUP('1.DATOS-PROD'!BT$2,'1.PUNTOS'!$A$1:$B$63,2,0),0)</f>
        <v>0</v>
      </c>
    </row>
    <row r="87" spans="1:63" x14ac:dyDescent="0.25">
      <c r="A87">
        <f>'0.Consolidado general'!$A88</f>
        <v>0</v>
      </c>
      <c r="B87" s="138">
        <f>IF('1.DATOS-PROD'!K88="SI",VLOOKUP('1.DATOS-PROD'!K$2,'1.PUNTOS'!$A$1:$B$63,2,0),0)</f>
        <v>0</v>
      </c>
      <c r="C87" s="138">
        <f>IF('1.DATOS-PROD'!L88="SI",VLOOKUP('1.DATOS-PROD'!L$2,'1.PUNTOS'!$A$1:$B$63,2,0),0)</f>
        <v>0</v>
      </c>
      <c r="D87" s="138">
        <f>IF('1.DATOS-PROD'!M88="SI",VLOOKUP('1.DATOS-PROD'!M$2,'1.PUNTOS'!$A$1:$B$63,2,0),0)</f>
        <v>0</v>
      </c>
      <c r="E87" s="138">
        <f>IF('1.DATOS-PROD'!N88="SI",VLOOKUP('1.DATOS-PROD'!N$2,'1.PUNTOS'!$A$1:$B$63,2,0),0)</f>
        <v>0</v>
      </c>
      <c r="F87" s="138">
        <f>IF('1.DATOS-PROD'!O88="SI",VLOOKUP('1.DATOS-PROD'!O$2,'1.PUNTOS'!$A$1:$B$63,2,0),0)</f>
        <v>0</v>
      </c>
      <c r="G87" s="138">
        <f>IF('1.DATOS-PROD'!P88="SI",VLOOKUP('1.DATOS-PROD'!P$2,'1.PUNTOS'!$A$1:$B$63,2,0),0)</f>
        <v>0</v>
      </c>
      <c r="H87" s="138">
        <f>IF('1.DATOS-PROD'!Q88="SI",VLOOKUP('1.DATOS-PROD'!Q$2,'1.PUNTOS'!$A$1:$B$63,2,0),0)</f>
        <v>0</v>
      </c>
      <c r="I87" s="138">
        <f>IF('1.DATOS-PROD'!R88="SI",VLOOKUP('1.DATOS-PROD'!R$2,'1.PUNTOS'!$A$1:$B$63,2,0),0)</f>
        <v>0</v>
      </c>
      <c r="J87" s="138">
        <f>IF('1.DATOS-PROD'!S88="SI",VLOOKUP('1.DATOS-PROD'!S$2,'1.PUNTOS'!$A$1:$B$63,2,0),0)</f>
        <v>0</v>
      </c>
      <c r="K87" s="138">
        <f>IF('1.DATOS-PROD'!T88="SI",VLOOKUP('1.DATOS-PROD'!T$2,'1.PUNTOS'!$A$1:$B$63,2,0),0)</f>
        <v>0</v>
      </c>
      <c r="L87" s="138">
        <f>IF('1.DATOS-PROD'!U88="SI",VLOOKUP('1.DATOS-PROD'!U$2,'1.PUNTOS'!$A$1:$B$63,2,0),0)</f>
        <v>0</v>
      </c>
      <c r="M87" s="138">
        <f>IF('1.DATOS-PROD'!V88="SI",VLOOKUP('1.DATOS-PROD'!V$2,'1.PUNTOS'!$A$1:$B$63,2,0),0)</f>
        <v>0</v>
      </c>
      <c r="N87" s="138">
        <f>IF('1.DATOS-PROD'!W88="SI",VLOOKUP('1.DATOS-PROD'!W$2,'1.PUNTOS'!$A$1:$B$63,2,0),0)</f>
        <v>0</v>
      </c>
      <c r="O87" s="138">
        <f>IF('1.DATOS-PROD'!X88="SI",VLOOKUP('1.DATOS-PROD'!X$2,'1.PUNTOS'!$A$1:$B$63,2,0),0)</f>
        <v>0</v>
      </c>
      <c r="P87" s="138">
        <f>IF('1.DATOS-PROD'!Y88="SI",VLOOKUP('1.DATOS-PROD'!Y$2,'1.PUNTOS'!$A$1:$B$63,2,0),0)</f>
        <v>0</v>
      </c>
      <c r="Q87" s="138">
        <f>IF('1.DATOS-PROD'!Z88="SI",VLOOKUP('1.DATOS-PROD'!Z$2,'1.PUNTOS'!$A$1:$B$63,2,0),0)</f>
        <v>0</v>
      </c>
      <c r="R87" s="138">
        <f>IF('1.DATOS-PROD'!AA88="SI",VLOOKUP('1.DATOS-PROD'!AA$2,'1.PUNTOS'!$A$1:$B$63,2,0),0)</f>
        <v>0</v>
      </c>
      <c r="S87" s="138">
        <f>IF('1.DATOS-PROD'!AB88="SI",VLOOKUP('1.DATOS-PROD'!AB$2,'1.PUNTOS'!$A$1:$B$63,2,0),0)</f>
        <v>0</v>
      </c>
      <c r="T87" s="138">
        <f>IF('1.DATOS-PROD'!AC88="SI",VLOOKUP('1.DATOS-PROD'!AC$2,'1.PUNTOS'!$A$1:$B$63,2,0),0)</f>
        <v>0</v>
      </c>
      <c r="U87" s="138">
        <f>IF('1.DATOS-PROD'!AD88="SI",VLOOKUP('1.DATOS-PROD'!AD$2,'1.PUNTOS'!$A$1:$B$63,2,0),0)</f>
        <v>0</v>
      </c>
      <c r="V87" s="138">
        <f>IF('1.DATOS-PROD'!AE88="SI",VLOOKUP('1.DATOS-PROD'!AE$2,'1.PUNTOS'!$A$1:$B$63,2,0),0)</f>
        <v>0</v>
      </c>
      <c r="W87" s="138">
        <f>IF('1.DATOS-PROD'!AF88="SI",VLOOKUP('1.DATOS-PROD'!AF$2,'1.PUNTOS'!$A$1:$B$63,2,0),0)</f>
        <v>0</v>
      </c>
      <c r="X87" s="138">
        <f>IF('1.DATOS-PROD'!AG88="SI",VLOOKUP('1.DATOS-PROD'!AG$2,'1.PUNTOS'!$A$1:$B$63,2,0),0)</f>
        <v>0</v>
      </c>
      <c r="Y87" s="138">
        <f>IF('1.DATOS-PROD'!AH88="SI",VLOOKUP('1.DATOS-PROD'!AH$2,'1.PUNTOS'!$A$1:$B$63,2,0),0)</f>
        <v>0</v>
      </c>
      <c r="Z87" s="138">
        <f>IF('1.DATOS-PROD'!AI88="SI",VLOOKUP('1.DATOS-PROD'!AI$2,'1.PUNTOS'!$A$1:$B$63,2,0),0)</f>
        <v>0</v>
      </c>
      <c r="AA87" s="138">
        <f>IF('1.DATOS-PROD'!AJ88="SI",VLOOKUP('1.DATOS-PROD'!AJ$2,'1.PUNTOS'!$A$1:$B$63,2,0),0)</f>
        <v>0</v>
      </c>
      <c r="AB87" s="138">
        <f>IF('1.DATOS-PROD'!AK88="SI",VLOOKUP('1.DATOS-PROD'!AK$2,'1.PUNTOS'!$A$1:$B$63,2,0),0)</f>
        <v>0</v>
      </c>
      <c r="AC87" s="138">
        <f>IF('1.DATOS-PROD'!AL88="SI",VLOOKUP('1.DATOS-PROD'!AL$2,'1.PUNTOS'!$A$1:$B$63,2,0),0)</f>
        <v>0</v>
      </c>
      <c r="AD87" s="138">
        <f>IF('1.DATOS-PROD'!AM88="SI",VLOOKUP('1.DATOS-PROD'!AM$2,'1.PUNTOS'!$A$1:$B$63,2,0),0)</f>
        <v>0</v>
      </c>
      <c r="AE87" s="138">
        <f>IF('1.DATOS-PROD'!AN88="SI",VLOOKUP('1.DATOS-PROD'!AN$2,'1.PUNTOS'!$A$1:$B$63,2,0),0)</f>
        <v>0</v>
      </c>
      <c r="AF87" s="138">
        <f>IF('1.DATOS-PROD'!AO88="SI",VLOOKUP('1.DATOS-PROD'!AO$2,'1.PUNTOS'!$A$1:$B$63,2,0),0)</f>
        <v>0</v>
      </c>
      <c r="AG87" s="138">
        <f>IF('1.DATOS-PROD'!AP88="SI",VLOOKUP('1.DATOS-PROD'!AP$2,'1.PUNTOS'!$A$1:$B$63,2,0),0)</f>
        <v>0</v>
      </c>
      <c r="AH87" s="138">
        <f>IF('1.DATOS-PROD'!AQ88="SI",VLOOKUP('1.DATOS-PROD'!AQ$2,'1.PUNTOS'!$A$1:$B$63,2,0),0)</f>
        <v>0</v>
      </c>
      <c r="AI87" s="138">
        <f>IF('1.DATOS-PROD'!AR88="SI",VLOOKUP('1.DATOS-PROD'!AR$2,'1.PUNTOS'!$A$1:$B$63,2,0),0)</f>
        <v>0</v>
      </c>
      <c r="AJ87" s="138">
        <f>IF('1.DATOS-PROD'!AS88="SI",VLOOKUP('1.DATOS-PROD'!AS$2,'1.PUNTOS'!$A$1:$B$63,2,0),0)</f>
        <v>0</v>
      </c>
      <c r="AK87" s="138">
        <f>IF('1.DATOS-PROD'!AT88="SI",VLOOKUP('1.DATOS-PROD'!AT$2,'1.PUNTOS'!$A$1:$B$63,2,0),0)</f>
        <v>0</v>
      </c>
      <c r="AL87" s="138">
        <f>IF('1.DATOS-PROD'!AU88="SI",VLOOKUP('1.DATOS-PROD'!AU$2,'1.PUNTOS'!$A$1:$B$63,2,0),0)</f>
        <v>0</v>
      </c>
      <c r="AM87" s="138">
        <f>IF('1.DATOS-PROD'!AV88="SI",VLOOKUP('1.DATOS-PROD'!AV$2,'1.PUNTOS'!$A$1:$B$63,2,0),0)</f>
        <v>0</v>
      </c>
      <c r="AN87" s="138">
        <f>IF('1.DATOS-PROD'!AW88="SI",VLOOKUP('1.DATOS-PROD'!AW$2,'1.PUNTOS'!$A$1:$B$63,2,0),0)</f>
        <v>0</v>
      </c>
      <c r="AO87" s="138">
        <f>IF('1.DATOS-PROD'!AX88="SI",VLOOKUP('1.DATOS-PROD'!AX$2,'1.PUNTOS'!$A$1:$B$63,2,0),0)</f>
        <v>0</v>
      </c>
      <c r="AP87" s="138">
        <f>IF('1.DATOS-PROD'!AY88="SI",VLOOKUP('1.DATOS-PROD'!AY$2,'1.PUNTOS'!$A$1:$B$63,2,0),0)</f>
        <v>0</v>
      </c>
      <c r="AQ87" s="138">
        <f>IF('1.DATOS-PROD'!AZ88="SI",VLOOKUP('1.DATOS-PROD'!AZ$2,'1.PUNTOS'!$A$1:$B$63,2,0),0)</f>
        <v>0</v>
      </c>
      <c r="AR87" s="138">
        <f>IF('1.DATOS-PROD'!BA88="SI",VLOOKUP('1.DATOS-PROD'!BA$2,'1.PUNTOS'!$A$1:$B$63,2,0),0)</f>
        <v>0</v>
      </c>
      <c r="AS87" s="138">
        <f>IF('1.DATOS-PROD'!BB88="SI",VLOOKUP('1.DATOS-PROD'!BB$2,'1.PUNTOS'!$A$1:$B$63,2,0),0)</f>
        <v>0</v>
      </c>
      <c r="AT87" s="138">
        <f>IF('1.DATOS-PROD'!BC88="SI",VLOOKUP('1.DATOS-PROD'!BC$2,'1.PUNTOS'!$A$1:$B$63,2,0),0)</f>
        <v>0</v>
      </c>
      <c r="AU87" s="138">
        <f>IF('1.DATOS-PROD'!BD88="SI",VLOOKUP('1.DATOS-PROD'!BD$2,'1.PUNTOS'!$A$1:$B$63,2,0),0)</f>
        <v>0</v>
      </c>
      <c r="AV87" s="138">
        <f>IF('1.DATOS-PROD'!BE88="SI",VLOOKUP('1.DATOS-PROD'!BE$2,'1.PUNTOS'!$A$1:$B$63,2,0),0)</f>
        <v>0</v>
      </c>
      <c r="AW87" s="138">
        <f>IF('1.DATOS-PROD'!BF88="SI",VLOOKUP('1.DATOS-PROD'!BF$2,'1.PUNTOS'!$A$1:$B$63,2,0),0)</f>
        <v>0</v>
      </c>
      <c r="AX87" s="138">
        <f>IF('1.DATOS-PROD'!BG88="SI",VLOOKUP('1.DATOS-PROD'!BG$2,'1.PUNTOS'!$A$1:$B$63,2,0),0)</f>
        <v>0</v>
      </c>
      <c r="AY87" s="138">
        <f>IF('1.DATOS-PROD'!BH88="SI",VLOOKUP('1.DATOS-PROD'!BH$2,'1.PUNTOS'!$A$1:$B$63,2,0),0)</f>
        <v>0</v>
      </c>
      <c r="AZ87" s="138">
        <f>IF('1.DATOS-PROD'!BI88="SI",VLOOKUP('1.DATOS-PROD'!BI$2,'1.PUNTOS'!$A$1:$B$63,2,0),0)</f>
        <v>0</v>
      </c>
      <c r="BA87" s="138">
        <f>IF('1.DATOS-PROD'!BJ88="SI",VLOOKUP('1.DATOS-PROD'!BJ$2,'1.PUNTOS'!$A$1:$B$63,2,0),0)</f>
        <v>0</v>
      </c>
      <c r="BB87" s="138">
        <f>IF('1.DATOS-PROD'!BK88="SI",VLOOKUP('1.DATOS-PROD'!BK$2,'1.PUNTOS'!$A$1:$B$63,2,0),0)</f>
        <v>0</v>
      </c>
      <c r="BC87" s="138">
        <f>IF('1.DATOS-PROD'!BL88="SI",VLOOKUP('1.DATOS-PROD'!BL$2,'1.PUNTOS'!$A$1:$B$63,2,0),0)</f>
        <v>0</v>
      </c>
      <c r="BD87" s="138">
        <f>IF('1.DATOS-PROD'!BM88="SI",VLOOKUP('1.DATOS-PROD'!BM$2,'1.PUNTOS'!$A$1:$B$63,2,0),0)</f>
        <v>0</v>
      </c>
      <c r="BE87" s="138">
        <f>IF('1.DATOS-PROD'!BN88="SI",VLOOKUP('1.DATOS-PROD'!BN$2,'1.PUNTOS'!$A$1:$B$63,2,0),0)</f>
        <v>0</v>
      </c>
      <c r="BF87" s="138">
        <f>IF('1.DATOS-PROD'!BO88="SI",VLOOKUP('1.DATOS-PROD'!BO$2,'1.PUNTOS'!$A$1:$B$63,2,0),0)</f>
        <v>0</v>
      </c>
      <c r="BG87" s="138">
        <f>IF('1.DATOS-PROD'!BP88="SI",VLOOKUP('1.DATOS-PROD'!BP$2,'1.PUNTOS'!$A$1:$B$63,2,0),0)</f>
        <v>0</v>
      </c>
      <c r="BH87" s="138">
        <f>IF('1.DATOS-PROD'!BQ88="SI",VLOOKUP('1.DATOS-PROD'!BQ$2,'1.PUNTOS'!$A$1:$B$63,2,0),0)</f>
        <v>0</v>
      </c>
      <c r="BI87" s="138">
        <f>IF('1.DATOS-PROD'!BR88="SI",VLOOKUP('1.DATOS-PROD'!BR$2,'1.PUNTOS'!$A$1:$B$63,2,0),0)</f>
        <v>0</v>
      </c>
      <c r="BJ87" s="138">
        <f>IF('1.DATOS-PROD'!BS88="SI",VLOOKUP('1.DATOS-PROD'!BS$2,'1.PUNTOS'!$A$1:$B$63,2,0),0)</f>
        <v>0</v>
      </c>
      <c r="BK87" s="138">
        <f>IF('1.DATOS-PROD'!BT88="SI",VLOOKUP('1.DATOS-PROD'!BT$2,'1.PUNTOS'!$A$1:$B$63,2,0),0)</f>
        <v>0</v>
      </c>
    </row>
    <row r="88" spans="1:63" x14ac:dyDescent="0.25">
      <c r="A88">
        <f>'0.Consolidado general'!$A89</f>
        <v>0</v>
      </c>
      <c r="B88" s="138">
        <f>IF('1.DATOS-PROD'!K89="SI",VLOOKUP('1.DATOS-PROD'!K$2,'1.PUNTOS'!$A$1:$B$63,2,0),0)</f>
        <v>0</v>
      </c>
      <c r="C88" s="138">
        <f>IF('1.DATOS-PROD'!L89="SI",VLOOKUP('1.DATOS-PROD'!L$2,'1.PUNTOS'!$A$1:$B$63,2,0),0)</f>
        <v>0</v>
      </c>
      <c r="D88" s="138">
        <f>IF('1.DATOS-PROD'!M89="SI",VLOOKUP('1.DATOS-PROD'!M$2,'1.PUNTOS'!$A$1:$B$63,2,0),0)</f>
        <v>0</v>
      </c>
      <c r="E88" s="138">
        <f>IF('1.DATOS-PROD'!N89="SI",VLOOKUP('1.DATOS-PROD'!N$2,'1.PUNTOS'!$A$1:$B$63,2,0),0)</f>
        <v>0</v>
      </c>
      <c r="F88" s="138">
        <f>IF('1.DATOS-PROD'!O89="SI",VLOOKUP('1.DATOS-PROD'!O$2,'1.PUNTOS'!$A$1:$B$63,2,0),0)</f>
        <v>0</v>
      </c>
      <c r="G88" s="138">
        <f>IF('1.DATOS-PROD'!P89="SI",VLOOKUP('1.DATOS-PROD'!P$2,'1.PUNTOS'!$A$1:$B$63,2,0),0)</f>
        <v>0</v>
      </c>
      <c r="H88" s="138">
        <f>IF('1.DATOS-PROD'!Q89="SI",VLOOKUP('1.DATOS-PROD'!Q$2,'1.PUNTOS'!$A$1:$B$63,2,0),0)</f>
        <v>0</v>
      </c>
      <c r="I88" s="138">
        <f>IF('1.DATOS-PROD'!R89="SI",VLOOKUP('1.DATOS-PROD'!R$2,'1.PUNTOS'!$A$1:$B$63,2,0),0)</f>
        <v>0</v>
      </c>
      <c r="J88" s="138">
        <f>IF('1.DATOS-PROD'!S89="SI",VLOOKUP('1.DATOS-PROD'!S$2,'1.PUNTOS'!$A$1:$B$63,2,0),0)</f>
        <v>0</v>
      </c>
      <c r="K88" s="138">
        <f>IF('1.DATOS-PROD'!T89="SI",VLOOKUP('1.DATOS-PROD'!T$2,'1.PUNTOS'!$A$1:$B$63,2,0),0)</f>
        <v>0</v>
      </c>
      <c r="L88" s="138">
        <f>IF('1.DATOS-PROD'!U89="SI",VLOOKUP('1.DATOS-PROD'!U$2,'1.PUNTOS'!$A$1:$B$63,2,0),0)</f>
        <v>0</v>
      </c>
      <c r="M88" s="138">
        <f>IF('1.DATOS-PROD'!V89="SI",VLOOKUP('1.DATOS-PROD'!V$2,'1.PUNTOS'!$A$1:$B$63,2,0),0)</f>
        <v>0</v>
      </c>
      <c r="N88" s="138">
        <f>IF('1.DATOS-PROD'!W89="SI",VLOOKUP('1.DATOS-PROD'!W$2,'1.PUNTOS'!$A$1:$B$63,2,0),0)</f>
        <v>0</v>
      </c>
      <c r="O88" s="138">
        <f>IF('1.DATOS-PROD'!X89="SI",VLOOKUP('1.DATOS-PROD'!X$2,'1.PUNTOS'!$A$1:$B$63,2,0),0)</f>
        <v>0</v>
      </c>
      <c r="P88" s="138">
        <f>IF('1.DATOS-PROD'!Y89="SI",VLOOKUP('1.DATOS-PROD'!Y$2,'1.PUNTOS'!$A$1:$B$63,2,0),0)</f>
        <v>0</v>
      </c>
      <c r="Q88" s="138">
        <f>IF('1.DATOS-PROD'!Z89="SI",VLOOKUP('1.DATOS-PROD'!Z$2,'1.PUNTOS'!$A$1:$B$63,2,0),0)</f>
        <v>0</v>
      </c>
      <c r="R88" s="138">
        <f>IF('1.DATOS-PROD'!AA89="SI",VLOOKUP('1.DATOS-PROD'!AA$2,'1.PUNTOS'!$A$1:$B$63,2,0),0)</f>
        <v>0</v>
      </c>
      <c r="S88" s="138">
        <f>IF('1.DATOS-PROD'!AB89="SI",VLOOKUP('1.DATOS-PROD'!AB$2,'1.PUNTOS'!$A$1:$B$63,2,0),0)</f>
        <v>0</v>
      </c>
      <c r="T88" s="138">
        <f>IF('1.DATOS-PROD'!AC89="SI",VLOOKUP('1.DATOS-PROD'!AC$2,'1.PUNTOS'!$A$1:$B$63,2,0),0)</f>
        <v>0</v>
      </c>
      <c r="U88" s="138">
        <f>IF('1.DATOS-PROD'!AD89="SI",VLOOKUP('1.DATOS-PROD'!AD$2,'1.PUNTOS'!$A$1:$B$63,2,0),0)</f>
        <v>0</v>
      </c>
      <c r="V88" s="138">
        <f>IF('1.DATOS-PROD'!AE89="SI",VLOOKUP('1.DATOS-PROD'!AE$2,'1.PUNTOS'!$A$1:$B$63,2,0),0)</f>
        <v>0</v>
      </c>
      <c r="W88" s="138">
        <f>IF('1.DATOS-PROD'!AF89="SI",VLOOKUP('1.DATOS-PROD'!AF$2,'1.PUNTOS'!$A$1:$B$63,2,0),0)</f>
        <v>0</v>
      </c>
      <c r="X88" s="138">
        <f>IF('1.DATOS-PROD'!AG89="SI",VLOOKUP('1.DATOS-PROD'!AG$2,'1.PUNTOS'!$A$1:$B$63,2,0),0)</f>
        <v>0</v>
      </c>
      <c r="Y88" s="138">
        <f>IF('1.DATOS-PROD'!AH89="SI",VLOOKUP('1.DATOS-PROD'!AH$2,'1.PUNTOS'!$A$1:$B$63,2,0),0)</f>
        <v>0</v>
      </c>
      <c r="Z88" s="138">
        <f>IF('1.DATOS-PROD'!AI89="SI",VLOOKUP('1.DATOS-PROD'!AI$2,'1.PUNTOS'!$A$1:$B$63,2,0),0)</f>
        <v>0</v>
      </c>
      <c r="AA88" s="138">
        <f>IF('1.DATOS-PROD'!AJ89="SI",VLOOKUP('1.DATOS-PROD'!AJ$2,'1.PUNTOS'!$A$1:$B$63,2,0),0)</f>
        <v>0</v>
      </c>
      <c r="AB88" s="138">
        <f>IF('1.DATOS-PROD'!AK89="SI",VLOOKUP('1.DATOS-PROD'!AK$2,'1.PUNTOS'!$A$1:$B$63,2,0),0)</f>
        <v>0</v>
      </c>
      <c r="AC88" s="138">
        <f>IF('1.DATOS-PROD'!AL89="SI",VLOOKUP('1.DATOS-PROD'!AL$2,'1.PUNTOS'!$A$1:$B$63,2,0),0)</f>
        <v>0</v>
      </c>
      <c r="AD88" s="138">
        <f>IF('1.DATOS-PROD'!AM89="SI",VLOOKUP('1.DATOS-PROD'!AM$2,'1.PUNTOS'!$A$1:$B$63,2,0),0)</f>
        <v>0</v>
      </c>
      <c r="AE88" s="138">
        <f>IF('1.DATOS-PROD'!AN89="SI",VLOOKUP('1.DATOS-PROD'!AN$2,'1.PUNTOS'!$A$1:$B$63,2,0),0)</f>
        <v>0</v>
      </c>
      <c r="AF88" s="138">
        <f>IF('1.DATOS-PROD'!AO89="SI",VLOOKUP('1.DATOS-PROD'!AO$2,'1.PUNTOS'!$A$1:$B$63,2,0),0)</f>
        <v>0</v>
      </c>
      <c r="AG88" s="138">
        <f>IF('1.DATOS-PROD'!AP89="SI",VLOOKUP('1.DATOS-PROD'!AP$2,'1.PUNTOS'!$A$1:$B$63,2,0),0)</f>
        <v>0</v>
      </c>
      <c r="AH88" s="138">
        <f>IF('1.DATOS-PROD'!AQ89="SI",VLOOKUP('1.DATOS-PROD'!AQ$2,'1.PUNTOS'!$A$1:$B$63,2,0),0)</f>
        <v>0</v>
      </c>
      <c r="AI88" s="138">
        <f>IF('1.DATOS-PROD'!AR89="SI",VLOOKUP('1.DATOS-PROD'!AR$2,'1.PUNTOS'!$A$1:$B$63,2,0),0)</f>
        <v>0</v>
      </c>
      <c r="AJ88" s="138">
        <f>IF('1.DATOS-PROD'!AS89="SI",VLOOKUP('1.DATOS-PROD'!AS$2,'1.PUNTOS'!$A$1:$B$63,2,0),0)</f>
        <v>0</v>
      </c>
      <c r="AK88" s="138">
        <f>IF('1.DATOS-PROD'!AT89="SI",VLOOKUP('1.DATOS-PROD'!AT$2,'1.PUNTOS'!$A$1:$B$63,2,0),0)</f>
        <v>0</v>
      </c>
      <c r="AL88" s="138">
        <f>IF('1.DATOS-PROD'!AU89="SI",VLOOKUP('1.DATOS-PROD'!AU$2,'1.PUNTOS'!$A$1:$B$63,2,0),0)</f>
        <v>0</v>
      </c>
      <c r="AM88" s="138">
        <f>IF('1.DATOS-PROD'!AV89="SI",VLOOKUP('1.DATOS-PROD'!AV$2,'1.PUNTOS'!$A$1:$B$63,2,0),0)</f>
        <v>0</v>
      </c>
      <c r="AN88" s="138">
        <f>IF('1.DATOS-PROD'!AW89="SI",VLOOKUP('1.DATOS-PROD'!AW$2,'1.PUNTOS'!$A$1:$B$63,2,0),0)</f>
        <v>0</v>
      </c>
      <c r="AO88" s="138">
        <f>IF('1.DATOS-PROD'!AX89="SI",VLOOKUP('1.DATOS-PROD'!AX$2,'1.PUNTOS'!$A$1:$B$63,2,0),0)</f>
        <v>0</v>
      </c>
      <c r="AP88" s="138">
        <f>IF('1.DATOS-PROD'!AY89="SI",VLOOKUP('1.DATOS-PROD'!AY$2,'1.PUNTOS'!$A$1:$B$63,2,0),0)</f>
        <v>0</v>
      </c>
      <c r="AQ88" s="138">
        <f>IF('1.DATOS-PROD'!AZ89="SI",VLOOKUP('1.DATOS-PROD'!AZ$2,'1.PUNTOS'!$A$1:$B$63,2,0),0)</f>
        <v>0</v>
      </c>
      <c r="AR88" s="138">
        <f>IF('1.DATOS-PROD'!BA89="SI",VLOOKUP('1.DATOS-PROD'!BA$2,'1.PUNTOS'!$A$1:$B$63,2,0),0)</f>
        <v>0</v>
      </c>
      <c r="AS88" s="138">
        <f>IF('1.DATOS-PROD'!BB89="SI",VLOOKUP('1.DATOS-PROD'!BB$2,'1.PUNTOS'!$A$1:$B$63,2,0),0)</f>
        <v>0</v>
      </c>
      <c r="AT88" s="138">
        <f>IF('1.DATOS-PROD'!BC89="SI",VLOOKUP('1.DATOS-PROD'!BC$2,'1.PUNTOS'!$A$1:$B$63,2,0),0)</f>
        <v>0</v>
      </c>
      <c r="AU88" s="138">
        <f>IF('1.DATOS-PROD'!BD89="SI",VLOOKUP('1.DATOS-PROD'!BD$2,'1.PUNTOS'!$A$1:$B$63,2,0),0)</f>
        <v>0</v>
      </c>
      <c r="AV88" s="138">
        <f>IF('1.DATOS-PROD'!BE89="SI",VLOOKUP('1.DATOS-PROD'!BE$2,'1.PUNTOS'!$A$1:$B$63,2,0),0)</f>
        <v>0</v>
      </c>
      <c r="AW88" s="138">
        <f>IF('1.DATOS-PROD'!BF89="SI",VLOOKUP('1.DATOS-PROD'!BF$2,'1.PUNTOS'!$A$1:$B$63,2,0),0)</f>
        <v>0</v>
      </c>
      <c r="AX88" s="138">
        <f>IF('1.DATOS-PROD'!BG89="SI",VLOOKUP('1.DATOS-PROD'!BG$2,'1.PUNTOS'!$A$1:$B$63,2,0),0)</f>
        <v>0</v>
      </c>
      <c r="AY88" s="138">
        <f>IF('1.DATOS-PROD'!BH89="SI",VLOOKUP('1.DATOS-PROD'!BH$2,'1.PUNTOS'!$A$1:$B$63,2,0),0)</f>
        <v>0</v>
      </c>
      <c r="AZ88" s="138">
        <f>IF('1.DATOS-PROD'!BI89="SI",VLOOKUP('1.DATOS-PROD'!BI$2,'1.PUNTOS'!$A$1:$B$63,2,0),0)</f>
        <v>0</v>
      </c>
      <c r="BA88" s="138">
        <f>IF('1.DATOS-PROD'!BJ89="SI",VLOOKUP('1.DATOS-PROD'!BJ$2,'1.PUNTOS'!$A$1:$B$63,2,0),0)</f>
        <v>0</v>
      </c>
      <c r="BB88" s="138">
        <f>IF('1.DATOS-PROD'!BK89="SI",VLOOKUP('1.DATOS-PROD'!BK$2,'1.PUNTOS'!$A$1:$B$63,2,0),0)</f>
        <v>0</v>
      </c>
      <c r="BC88" s="138">
        <f>IF('1.DATOS-PROD'!BL89="SI",VLOOKUP('1.DATOS-PROD'!BL$2,'1.PUNTOS'!$A$1:$B$63,2,0),0)</f>
        <v>0</v>
      </c>
      <c r="BD88" s="138">
        <f>IF('1.DATOS-PROD'!BM89="SI",VLOOKUP('1.DATOS-PROD'!BM$2,'1.PUNTOS'!$A$1:$B$63,2,0),0)</f>
        <v>0</v>
      </c>
      <c r="BE88" s="138">
        <f>IF('1.DATOS-PROD'!BN89="SI",VLOOKUP('1.DATOS-PROD'!BN$2,'1.PUNTOS'!$A$1:$B$63,2,0),0)</f>
        <v>0</v>
      </c>
      <c r="BF88" s="138">
        <f>IF('1.DATOS-PROD'!BO89="SI",VLOOKUP('1.DATOS-PROD'!BO$2,'1.PUNTOS'!$A$1:$B$63,2,0),0)</f>
        <v>0</v>
      </c>
      <c r="BG88" s="138">
        <f>IF('1.DATOS-PROD'!BP89="SI",VLOOKUP('1.DATOS-PROD'!BP$2,'1.PUNTOS'!$A$1:$B$63,2,0),0)</f>
        <v>0</v>
      </c>
      <c r="BH88" s="138">
        <f>IF('1.DATOS-PROD'!BQ89="SI",VLOOKUP('1.DATOS-PROD'!BQ$2,'1.PUNTOS'!$A$1:$B$63,2,0),0)</f>
        <v>0</v>
      </c>
      <c r="BI88" s="138">
        <f>IF('1.DATOS-PROD'!BR89="SI",VLOOKUP('1.DATOS-PROD'!BR$2,'1.PUNTOS'!$A$1:$B$63,2,0),0)</f>
        <v>0</v>
      </c>
      <c r="BJ88" s="138">
        <f>IF('1.DATOS-PROD'!BS89="SI",VLOOKUP('1.DATOS-PROD'!BS$2,'1.PUNTOS'!$A$1:$B$63,2,0),0)</f>
        <v>0</v>
      </c>
      <c r="BK88" s="138">
        <f>IF('1.DATOS-PROD'!BT89="SI",VLOOKUP('1.DATOS-PROD'!BT$2,'1.PUNTOS'!$A$1:$B$63,2,0),0)</f>
        <v>0</v>
      </c>
    </row>
    <row r="89" spans="1:63" x14ac:dyDescent="0.25">
      <c r="A89">
        <f>'0.Consolidado general'!$A90</f>
        <v>0</v>
      </c>
      <c r="B89" s="138">
        <f>IF('1.DATOS-PROD'!K90="SI",VLOOKUP('1.DATOS-PROD'!K$2,'1.PUNTOS'!$A$1:$B$63,2,0),0)</f>
        <v>0</v>
      </c>
      <c r="C89" s="138">
        <f>IF('1.DATOS-PROD'!L90="SI",VLOOKUP('1.DATOS-PROD'!L$2,'1.PUNTOS'!$A$1:$B$63,2,0),0)</f>
        <v>0</v>
      </c>
      <c r="D89" s="138">
        <f>IF('1.DATOS-PROD'!M90="SI",VLOOKUP('1.DATOS-PROD'!M$2,'1.PUNTOS'!$A$1:$B$63,2,0),0)</f>
        <v>0</v>
      </c>
      <c r="E89" s="138">
        <f>IF('1.DATOS-PROD'!N90="SI",VLOOKUP('1.DATOS-PROD'!N$2,'1.PUNTOS'!$A$1:$B$63,2,0),0)</f>
        <v>0</v>
      </c>
      <c r="F89" s="138">
        <f>IF('1.DATOS-PROD'!O90="SI",VLOOKUP('1.DATOS-PROD'!O$2,'1.PUNTOS'!$A$1:$B$63,2,0),0)</f>
        <v>0</v>
      </c>
      <c r="G89" s="138">
        <f>IF('1.DATOS-PROD'!P90="SI",VLOOKUP('1.DATOS-PROD'!P$2,'1.PUNTOS'!$A$1:$B$63,2,0),0)</f>
        <v>0</v>
      </c>
      <c r="H89" s="138">
        <f>IF('1.DATOS-PROD'!Q90="SI",VLOOKUP('1.DATOS-PROD'!Q$2,'1.PUNTOS'!$A$1:$B$63,2,0),0)</f>
        <v>0</v>
      </c>
      <c r="I89" s="138">
        <f>IF('1.DATOS-PROD'!R90="SI",VLOOKUP('1.DATOS-PROD'!R$2,'1.PUNTOS'!$A$1:$B$63,2,0),0)</f>
        <v>0</v>
      </c>
      <c r="J89" s="138">
        <f>IF('1.DATOS-PROD'!S90="SI",VLOOKUP('1.DATOS-PROD'!S$2,'1.PUNTOS'!$A$1:$B$63,2,0),0)</f>
        <v>0</v>
      </c>
      <c r="K89" s="138">
        <f>IF('1.DATOS-PROD'!T90="SI",VLOOKUP('1.DATOS-PROD'!T$2,'1.PUNTOS'!$A$1:$B$63,2,0),0)</f>
        <v>0</v>
      </c>
      <c r="L89" s="138">
        <f>IF('1.DATOS-PROD'!U90="SI",VLOOKUP('1.DATOS-PROD'!U$2,'1.PUNTOS'!$A$1:$B$63,2,0),0)</f>
        <v>0</v>
      </c>
      <c r="M89" s="138">
        <f>IF('1.DATOS-PROD'!V90="SI",VLOOKUP('1.DATOS-PROD'!V$2,'1.PUNTOS'!$A$1:$B$63,2,0),0)</f>
        <v>0</v>
      </c>
      <c r="N89" s="138">
        <f>IF('1.DATOS-PROD'!W90="SI",VLOOKUP('1.DATOS-PROD'!W$2,'1.PUNTOS'!$A$1:$B$63,2,0),0)</f>
        <v>0</v>
      </c>
      <c r="O89" s="138">
        <f>IF('1.DATOS-PROD'!X90="SI",VLOOKUP('1.DATOS-PROD'!X$2,'1.PUNTOS'!$A$1:$B$63,2,0),0)</f>
        <v>0</v>
      </c>
      <c r="P89" s="138">
        <f>IF('1.DATOS-PROD'!Y90="SI",VLOOKUP('1.DATOS-PROD'!Y$2,'1.PUNTOS'!$A$1:$B$63,2,0),0)</f>
        <v>0</v>
      </c>
      <c r="Q89" s="138">
        <f>IF('1.DATOS-PROD'!Z90="SI",VLOOKUP('1.DATOS-PROD'!Z$2,'1.PUNTOS'!$A$1:$B$63,2,0),0)</f>
        <v>0</v>
      </c>
      <c r="R89" s="138">
        <f>IF('1.DATOS-PROD'!AA90="SI",VLOOKUP('1.DATOS-PROD'!AA$2,'1.PUNTOS'!$A$1:$B$63,2,0),0)</f>
        <v>0</v>
      </c>
      <c r="S89" s="138">
        <f>IF('1.DATOS-PROD'!AB90="SI",VLOOKUP('1.DATOS-PROD'!AB$2,'1.PUNTOS'!$A$1:$B$63,2,0),0)</f>
        <v>0</v>
      </c>
      <c r="T89" s="138">
        <f>IF('1.DATOS-PROD'!AC90="SI",VLOOKUP('1.DATOS-PROD'!AC$2,'1.PUNTOS'!$A$1:$B$63,2,0),0)</f>
        <v>0</v>
      </c>
      <c r="U89" s="138">
        <f>IF('1.DATOS-PROD'!AD90="SI",VLOOKUP('1.DATOS-PROD'!AD$2,'1.PUNTOS'!$A$1:$B$63,2,0),0)</f>
        <v>0</v>
      </c>
      <c r="V89" s="138">
        <f>IF('1.DATOS-PROD'!AE90="SI",VLOOKUP('1.DATOS-PROD'!AE$2,'1.PUNTOS'!$A$1:$B$63,2,0),0)</f>
        <v>0</v>
      </c>
      <c r="W89" s="138">
        <f>IF('1.DATOS-PROD'!AF90="SI",VLOOKUP('1.DATOS-PROD'!AF$2,'1.PUNTOS'!$A$1:$B$63,2,0),0)</f>
        <v>0</v>
      </c>
      <c r="X89" s="138">
        <f>IF('1.DATOS-PROD'!AG90="SI",VLOOKUP('1.DATOS-PROD'!AG$2,'1.PUNTOS'!$A$1:$B$63,2,0),0)</f>
        <v>0</v>
      </c>
      <c r="Y89" s="138">
        <f>IF('1.DATOS-PROD'!AH90="SI",VLOOKUP('1.DATOS-PROD'!AH$2,'1.PUNTOS'!$A$1:$B$63,2,0),0)</f>
        <v>0</v>
      </c>
      <c r="Z89" s="138">
        <f>IF('1.DATOS-PROD'!AI90="SI",VLOOKUP('1.DATOS-PROD'!AI$2,'1.PUNTOS'!$A$1:$B$63,2,0),0)</f>
        <v>0</v>
      </c>
      <c r="AA89" s="138">
        <f>IF('1.DATOS-PROD'!AJ90="SI",VLOOKUP('1.DATOS-PROD'!AJ$2,'1.PUNTOS'!$A$1:$B$63,2,0),0)</f>
        <v>0</v>
      </c>
      <c r="AB89" s="138">
        <f>IF('1.DATOS-PROD'!AK90="SI",VLOOKUP('1.DATOS-PROD'!AK$2,'1.PUNTOS'!$A$1:$B$63,2,0),0)</f>
        <v>0</v>
      </c>
      <c r="AC89" s="138">
        <f>IF('1.DATOS-PROD'!AL90="SI",VLOOKUP('1.DATOS-PROD'!AL$2,'1.PUNTOS'!$A$1:$B$63,2,0),0)</f>
        <v>0</v>
      </c>
      <c r="AD89" s="138">
        <f>IF('1.DATOS-PROD'!AM90="SI",VLOOKUP('1.DATOS-PROD'!AM$2,'1.PUNTOS'!$A$1:$B$63,2,0),0)</f>
        <v>0</v>
      </c>
      <c r="AE89" s="138">
        <f>IF('1.DATOS-PROD'!AN90="SI",VLOOKUP('1.DATOS-PROD'!AN$2,'1.PUNTOS'!$A$1:$B$63,2,0),0)</f>
        <v>0</v>
      </c>
      <c r="AF89" s="138">
        <f>IF('1.DATOS-PROD'!AO90="SI",VLOOKUP('1.DATOS-PROD'!AO$2,'1.PUNTOS'!$A$1:$B$63,2,0),0)</f>
        <v>0</v>
      </c>
      <c r="AG89" s="138">
        <f>IF('1.DATOS-PROD'!AP90="SI",VLOOKUP('1.DATOS-PROD'!AP$2,'1.PUNTOS'!$A$1:$B$63,2,0),0)</f>
        <v>0</v>
      </c>
      <c r="AH89" s="138">
        <f>IF('1.DATOS-PROD'!AQ90="SI",VLOOKUP('1.DATOS-PROD'!AQ$2,'1.PUNTOS'!$A$1:$B$63,2,0),0)</f>
        <v>0</v>
      </c>
      <c r="AI89" s="138">
        <f>IF('1.DATOS-PROD'!AR90="SI",VLOOKUP('1.DATOS-PROD'!AR$2,'1.PUNTOS'!$A$1:$B$63,2,0),0)</f>
        <v>0</v>
      </c>
      <c r="AJ89" s="138">
        <f>IF('1.DATOS-PROD'!AS90="SI",VLOOKUP('1.DATOS-PROD'!AS$2,'1.PUNTOS'!$A$1:$B$63,2,0),0)</f>
        <v>0</v>
      </c>
      <c r="AK89" s="138">
        <f>IF('1.DATOS-PROD'!AT90="SI",VLOOKUP('1.DATOS-PROD'!AT$2,'1.PUNTOS'!$A$1:$B$63,2,0),0)</f>
        <v>0</v>
      </c>
      <c r="AL89" s="138">
        <f>IF('1.DATOS-PROD'!AU90="SI",VLOOKUP('1.DATOS-PROD'!AU$2,'1.PUNTOS'!$A$1:$B$63,2,0),0)</f>
        <v>0</v>
      </c>
      <c r="AM89" s="138">
        <f>IF('1.DATOS-PROD'!AV90="SI",VLOOKUP('1.DATOS-PROD'!AV$2,'1.PUNTOS'!$A$1:$B$63,2,0),0)</f>
        <v>0</v>
      </c>
      <c r="AN89" s="138">
        <f>IF('1.DATOS-PROD'!AW90="SI",VLOOKUP('1.DATOS-PROD'!AW$2,'1.PUNTOS'!$A$1:$B$63,2,0),0)</f>
        <v>0</v>
      </c>
      <c r="AO89" s="138">
        <f>IF('1.DATOS-PROD'!AX90="SI",VLOOKUP('1.DATOS-PROD'!AX$2,'1.PUNTOS'!$A$1:$B$63,2,0),0)</f>
        <v>0</v>
      </c>
      <c r="AP89" s="138">
        <f>IF('1.DATOS-PROD'!AY90="SI",VLOOKUP('1.DATOS-PROD'!AY$2,'1.PUNTOS'!$A$1:$B$63,2,0),0)</f>
        <v>0</v>
      </c>
      <c r="AQ89" s="138">
        <f>IF('1.DATOS-PROD'!AZ90="SI",VLOOKUP('1.DATOS-PROD'!AZ$2,'1.PUNTOS'!$A$1:$B$63,2,0),0)</f>
        <v>0</v>
      </c>
      <c r="AR89" s="138">
        <f>IF('1.DATOS-PROD'!BA90="SI",VLOOKUP('1.DATOS-PROD'!BA$2,'1.PUNTOS'!$A$1:$B$63,2,0),0)</f>
        <v>0</v>
      </c>
      <c r="AS89" s="138">
        <f>IF('1.DATOS-PROD'!BB90="SI",VLOOKUP('1.DATOS-PROD'!BB$2,'1.PUNTOS'!$A$1:$B$63,2,0),0)</f>
        <v>0</v>
      </c>
      <c r="AT89" s="138">
        <f>IF('1.DATOS-PROD'!BC90="SI",VLOOKUP('1.DATOS-PROD'!BC$2,'1.PUNTOS'!$A$1:$B$63,2,0),0)</f>
        <v>0</v>
      </c>
      <c r="AU89" s="138">
        <f>IF('1.DATOS-PROD'!BD90="SI",VLOOKUP('1.DATOS-PROD'!BD$2,'1.PUNTOS'!$A$1:$B$63,2,0),0)</f>
        <v>0</v>
      </c>
      <c r="AV89" s="138">
        <f>IF('1.DATOS-PROD'!BE90="SI",VLOOKUP('1.DATOS-PROD'!BE$2,'1.PUNTOS'!$A$1:$B$63,2,0),0)</f>
        <v>0</v>
      </c>
      <c r="AW89" s="138">
        <f>IF('1.DATOS-PROD'!BF90="SI",VLOOKUP('1.DATOS-PROD'!BF$2,'1.PUNTOS'!$A$1:$B$63,2,0),0)</f>
        <v>0</v>
      </c>
      <c r="AX89" s="138">
        <f>IF('1.DATOS-PROD'!BG90="SI",VLOOKUP('1.DATOS-PROD'!BG$2,'1.PUNTOS'!$A$1:$B$63,2,0),0)</f>
        <v>0</v>
      </c>
      <c r="AY89" s="138">
        <f>IF('1.DATOS-PROD'!BH90="SI",VLOOKUP('1.DATOS-PROD'!BH$2,'1.PUNTOS'!$A$1:$B$63,2,0),0)</f>
        <v>0</v>
      </c>
      <c r="AZ89" s="138">
        <f>IF('1.DATOS-PROD'!BI90="SI",VLOOKUP('1.DATOS-PROD'!BI$2,'1.PUNTOS'!$A$1:$B$63,2,0),0)</f>
        <v>0</v>
      </c>
      <c r="BA89" s="138">
        <f>IF('1.DATOS-PROD'!BJ90="SI",VLOOKUP('1.DATOS-PROD'!BJ$2,'1.PUNTOS'!$A$1:$B$63,2,0),0)</f>
        <v>0</v>
      </c>
      <c r="BB89" s="138">
        <f>IF('1.DATOS-PROD'!BK90="SI",VLOOKUP('1.DATOS-PROD'!BK$2,'1.PUNTOS'!$A$1:$B$63,2,0),0)</f>
        <v>0</v>
      </c>
      <c r="BC89" s="138">
        <f>IF('1.DATOS-PROD'!BL90="SI",VLOOKUP('1.DATOS-PROD'!BL$2,'1.PUNTOS'!$A$1:$B$63,2,0),0)</f>
        <v>0</v>
      </c>
      <c r="BD89" s="138">
        <f>IF('1.DATOS-PROD'!BM90="SI",VLOOKUP('1.DATOS-PROD'!BM$2,'1.PUNTOS'!$A$1:$B$63,2,0),0)</f>
        <v>0</v>
      </c>
      <c r="BE89" s="138">
        <f>IF('1.DATOS-PROD'!BN90="SI",VLOOKUP('1.DATOS-PROD'!BN$2,'1.PUNTOS'!$A$1:$B$63,2,0),0)</f>
        <v>0</v>
      </c>
      <c r="BF89" s="138">
        <f>IF('1.DATOS-PROD'!BO90="SI",VLOOKUP('1.DATOS-PROD'!BO$2,'1.PUNTOS'!$A$1:$B$63,2,0),0)</f>
        <v>0</v>
      </c>
      <c r="BG89" s="138">
        <f>IF('1.DATOS-PROD'!BP90="SI",VLOOKUP('1.DATOS-PROD'!BP$2,'1.PUNTOS'!$A$1:$B$63,2,0),0)</f>
        <v>0</v>
      </c>
      <c r="BH89" s="138">
        <f>IF('1.DATOS-PROD'!BQ90="SI",VLOOKUP('1.DATOS-PROD'!BQ$2,'1.PUNTOS'!$A$1:$B$63,2,0),0)</f>
        <v>0</v>
      </c>
      <c r="BI89" s="138">
        <f>IF('1.DATOS-PROD'!BR90="SI",VLOOKUP('1.DATOS-PROD'!BR$2,'1.PUNTOS'!$A$1:$B$63,2,0),0)</f>
        <v>0</v>
      </c>
      <c r="BJ89" s="138">
        <f>IF('1.DATOS-PROD'!BS90="SI",VLOOKUP('1.DATOS-PROD'!BS$2,'1.PUNTOS'!$A$1:$B$63,2,0),0)</f>
        <v>0</v>
      </c>
      <c r="BK89" s="138">
        <f>IF('1.DATOS-PROD'!BT90="SI",VLOOKUP('1.DATOS-PROD'!BT$2,'1.PUNTOS'!$A$1:$B$63,2,0),0)</f>
        <v>0</v>
      </c>
    </row>
    <row r="90" spans="1:63" x14ac:dyDescent="0.25">
      <c r="A90">
        <f>'0.Consolidado general'!$A91</f>
        <v>0</v>
      </c>
      <c r="B90" s="138">
        <f>IF('1.DATOS-PROD'!K91="SI",VLOOKUP('1.DATOS-PROD'!K$2,'1.PUNTOS'!$A$1:$B$63,2,0),0)</f>
        <v>0</v>
      </c>
      <c r="C90" s="138">
        <f>IF('1.DATOS-PROD'!L91="SI",VLOOKUP('1.DATOS-PROD'!L$2,'1.PUNTOS'!$A$1:$B$63,2,0),0)</f>
        <v>0</v>
      </c>
      <c r="D90" s="138">
        <f>IF('1.DATOS-PROD'!M91="SI",VLOOKUP('1.DATOS-PROD'!M$2,'1.PUNTOS'!$A$1:$B$63,2,0),0)</f>
        <v>0</v>
      </c>
      <c r="E90" s="138">
        <f>IF('1.DATOS-PROD'!N91="SI",VLOOKUP('1.DATOS-PROD'!N$2,'1.PUNTOS'!$A$1:$B$63,2,0),0)</f>
        <v>0</v>
      </c>
      <c r="F90" s="138">
        <f>IF('1.DATOS-PROD'!O91="SI",VLOOKUP('1.DATOS-PROD'!O$2,'1.PUNTOS'!$A$1:$B$63,2,0),0)</f>
        <v>0</v>
      </c>
      <c r="G90" s="138">
        <f>IF('1.DATOS-PROD'!P91="SI",VLOOKUP('1.DATOS-PROD'!P$2,'1.PUNTOS'!$A$1:$B$63,2,0),0)</f>
        <v>0</v>
      </c>
      <c r="H90" s="138">
        <f>IF('1.DATOS-PROD'!Q91="SI",VLOOKUP('1.DATOS-PROD'!Q$2,'1.PUNTOS'!$A$1:$B$63,2,0),0)</f>
        <v>0</v>
      </c>
      <c r="I90" s="138">
        <f>IF('1.DATOS-PROD'!R91="SI",VLOOKUP('1.DATOS-PROD'!R$2,'1.PUNTOS'!$A$1:$B$63,2,0),0)</f>
        <v>0</v>
      </c>
      <c r="J90" s="138">
        <f>IF('1.DATOS-PROD'!S91="SI",VLOOKUP('1.DATOS-PROD'!S$2,'1.PUNTOS'!$A$1:$B$63,2,0),0)</f>
        <v>0</v>
      </c>
      <c r="K90" s="138">
        <f>IF('1.DATOS-PROD'!T91="SI",VLOOKUP('1.DATOS-PROD'!T$2,'1.PUNTOS'!$A$1:$B$63,2,0),0)</f>
        <v>0</v>
      </c>
      <c r="L90" s="138">
        <f>IF('1.DATOS-PROD'!U91="SI",VLOOKUP('1.DATOS-PROD'!U$2,'1.PUNTOS'!$A$1:$B$63,2,0),0)</f>
        <v>0</v>
      </c>
      <c r="M90" s="138">
        <f>IF('1.DATOS-PROD'!V91="SI",VLOOKUP('1.DATOS-PROD'!V$2,'1.PUNTOS'!$A$1:$B$63,2,0),0)</f>
        <v>0</v>
      </c>
      <c r="N90" s="138">
        <f>IF('1.DATOS-PROD'!W91="SI",VLOOKUP('1.DATOS-PROD'!W$2,'1.PUNTOS'!$A$1:$B$63,2,0),0)</f>
        <v>0</v>
      </c>
      <c r="O90" s="138">
        <f>IF('1.DATOS-PROD'!X91="SI",VLOOKUP('1.DATOS-PROD'!X$2,'1.PUNTOS'!$A$1:$B$63,2,0),0)</f>
        <v>0</v>
      </c>
      <c r="P90" s="138">
        <f>IF('1.DATOS-PROD'!Y91="SI",VLOOKUP('1.DATOS-PROD'!Y$2,'1.PUNTOS'!$A$1:$B$63,2,0),0)</f>
        <v>0</v>
      </c>
      <c r="Q90" s="138">
        <f>IF('1.DATOS-PROD'!Z91="SI",VLOOKUP('1.DATOS-PROD'!Z$2,'1.PUNTOS'!$A$1:$B$63,2,0),0)</f>
        <v>0</v>
      </c>
      <c r="R90" s="138">
        <f>IF('1.DATOS-PROD'!AA91="SI",VLOOKUP('1.DATOS-PROD'!AA$2,'1.PUNTOS'!$A$1:$B$63,2,0),0)</f>
        <v>0</v>
      </c>
      <c r="S90" s="138">
        <f>IF('1.DATOS-PROD'!AB91="SI",VLOOKUP('1.DATOS-PROD'!AB$2,'1.PUNTOS'!$A$1:$B$63,2,0),0)</f>
        <v>0</v>
      </c>
      <c r="T90" s="138">
        <f>IF('1.DATOS-PROD'!AC91="SI",VLOOKUP('1.DATOS-PROD'!AC$2,'1.PUNTOS'!$A$1:$B$63,2,0),0)</f>
        <v>0</v>
      </c>
      <c r="U90" s="138">
        <f>IF('1.DATOS-PROD'!AD91="SI",VLOOKUP('1.DATOS-PROD'!AD$2,'1.PUNTOS'!$A$1:$B$63,2,0),0)</f>
        <v>0</v>
      </c>
      <c r="V90" s="138">
        <f>IF('1.DATOS-PROD'!AE91="SI",VLOOKUP('1.DATOS-PROD'!AE$2,'1.PUNTOS'!$A$1:$B$63,2,0),0)</f>
        <v>0</v>
      </c>
      <c r="W90" s="138">
        <f>IF('1.DATOS-PROD'!AF91="SI",VLOOKUP('1.DATOS-PROD'!AF$2,'1.PUNTOS'!$A$1:$B$63,2,0),0)</f>
        <v>0</v>
      </c>
      <c r="X90" s="138">
        <f>IF('1.DATOS-PROD'!AG91="SI",VLOOKUP('1.DATOS-PROD'!AG$2,'1.PUNTOS'!$A$1:$B$63,2,0),0)</f>
        <v>0</v>
      </c>
      <c r="Y90" s="138">
        <f>IF('1.DATOS-PROD'!AH91="SI",VLOOKUP('1.DATOS-PROD'!AH$2,'1.PUNTOS'!$A$1:$B$63,2,0),0)</f>
        <v>0</v>
      </c>
      <c r="Z90" s="138">
        <f>IF('1.DATOS-PROD'!AI91="SI",VLOOKUP('1.DATOS-PROD'!AI$2,'1.PUNTOS'!$A$1:$B$63,2,0),0)</f>
        <v>0</v>
      </c>
      <c r="AA90" s="138">
        <f>IF('1.DATOS-PROD'!AJ91="SI",VLOOKUP('1.DATOS-PROD'!AJ$2,'1.PUNTOS'!$A$1:$B$63,2,0),0)</f>
        <v>0</v>
      </c>
      <c r="AB90" s="138">
        <f>IF('1.DATOS-PROD'!AK91="SI",VLOOKUP('1.DATOS-PROD'!AK$2,'1.PUNTOS'!$A$1:$B$63,2,0),0)</f>
        <v>0</v>
      </c>
      <c r="AC90" s="138">
        <f>IF('1.DATOS-PROD'!AL91="SI",VLOOKUP('1.DATOS-PROD'!AL$2,'1.PUNTOS'!$A$1:$B$63,2,0),0)</f>
        <v>0</v>
      </c>
      <c r="AD90" s="138">
        <f>IF('1.DATOS-PROD'!AM91="SI",VLOOKUP('1.DATOS-PROD'!AM$2,'1.PUNTOS'!$A$1:$B$63,2,0),0)</f>
        <v>0</v>
      </c>
      <c r="AE90" s="138">
        <f>IF('1.DATOS-PROD'!AN91="SI",VLOOKUP('1.DATOS-PROD'!AN$2,'1.PUNTOS'!$A$1:$B$63,2,0),0)</f>
        <v>0</v>
      </c>
      <c r="AF90" s="138">
        <f>IF('1.DATOS-PROD'!AO91="SI",VLOOKUP('1.DATOS-PROD'!AO$2,'1.PUNTOS'!$A$1:$B$63,2,0),0)</f>
        <v>0</v>
      </c>
      <c r="AG90" s="138">
        <f>IF('1.DATOS-PROD'!AP91="SI",VLOOKUP('1.DATOS-PROD'!AP$2,'1.PUNTOS'!$A$1:$B$63,2,0),0)</f>
        <v>0</v>
      </c>
      <c r="AH90" s="138">
        <f>IF('1.DATOS-PROD'!AQ91="SI",VLOOKUP('1.DATOS-PROD'!AQ$2,'1.PUNTOS'!$A$1:$B$63,2,0),0)</f>
        <v>0</v>
      </c>
      <c r="AI90" s="138">
        <f>IF('1.DATOS-PROD'!AR91="SI",VLOOKUP('1.DATOS-PROD'!AR$2,'1.PUNTOS'!$A$1:$B$63,2,0),0)</f>
        <v>0</v>
      </c>
      <c r="AJ90" s="138">
        <f>IF('1.DATOS-PROD'!AS91="SI",VLOOKUP('1.DATOS-PROD'!AS$2,'1.PUNTOS'!$A$1:$B$63,2,0),0)</f>
        <v>0</v>
      </c>
      <c r="AK90" s="138">
        <f>IF('1.DATOS-PROD'!AT91="SI",VLOOKUP('1.DATOS-PROD'!AT$2,'1.PUNTOS'!$A$1:$B$63,2,0),0)</f>
        <v>0</v>
      </c>
      <c r="AL90" s="138">
        <f>IF('1.DATOS-PROD'!AU91="SI",VLOOKUP('1.DATOS-PROD'!AU$2,'1.PUNTOS'!$A$1:$B$63,2,0),0)</f>
        <v>0</v>
      </c>
      <c r="AM90" s="138">
        <f>IF('1.DATOS-PROD'!AV91="SI",VLOOKUP('1.DATOS-PROD'!AV$2,'1.PUNTOS'!$A$1:$B$63,2,0),0)</f>
        <v>0</v>
      </c>
      <c r="AN90" s="138">
        <f>IF('1.DATOS-PROD'!AW91="SI",VLOOKUP('1.DATOS-PROD'!AW$2,'1.PUNTOS'!$A$1:$B$63,2,0),0)</f>
        <v>0</v>
      </c>
      <c r="AO90" s="138">
        <f>IF('1.DATOS-PROD'!AX91="SI",VLOOKUP('1.DATOS-PROD'!AX$2,'1.PUNTOS'!$A$1:$B$63,2,0),0)</f>
        <v>0</v>
      </c>
      <c r="AP90" s="138">
        <f>IF('1.DATOS-PROD'!AY91="SI",VLOOKUP('1.DATOS-PROD'!AY$2,'1.PUNTOS'!$A$1:$B$63,2,0),0)</f>
        <v>0</v>
      </c>
      <c r="AQ90" s="138">
        <f>IF('1.DATOS-PROD'!AZ91="SI",VLOOKUP('1.DATOS-PROD'!AZ$2,'1.PUNTOS'!$A$1:$B$63,2,0),0)</f>
        <v>0</v>
      </c>
      <c r="AR90" s="138">
        <f>IF('1.DATOS-PROD'!BA91="SI",VLOOKUP('1.DATOS-PROD'!BA$2,'1.PUNTOS'!$A$1:$B$63,2,0),0)</f>
        <v>0</v>
      </c>
      <c r="AS90" s="138">
        <f>IF('1.DATOS-PROD'!BB91="SI",VLOOKUP('1.DATOS-PROD'!BB$2,'1.PUNTOS'!$A$1:$B$63,2,0),0)</f>
        <v>0</v>
      </c>
      <c r="AT90" s="138">
        <f>IF('1.DATOS-PROD'!BC91="SI",VLOOKUP('1.DATOS-PROD'!BC$2,'1.PUNTOS'!$A$1:$B$63,2,0),0)</f>
        <v>0</v>
      </c>
      <c r="AU90" s="138">
        <f>IF('1.DATOS-PROD'!BD91="SI",VLOOKUP('1.DATOS-PROD'!BD$2,'1.PUNTOS'!$A$1:$B$63,2,0),0)</f>
        <v>0</v>
      </c>
      <c r="AV90" s="138">
        <f>IF('1.DATOS-PROD'!BE91="SI",VLOOKUP('1.DATOS-PROD'!BE$2,'1.PUNTOS'!$A$1:$B$63,2,0),0)</f>
        <v>0</v>
      </c>
      <c r="AW90" s="138">
        <f>IF('1.DATOS-PROD'!BF91="SI",VLOOKUP('1.DATOS-PROD'!BF$2,'1.PUNTOS'!$A$1:$B$63,2,0),0)</f>
        <v>0</v>
      </c>
      <c r="AX90" s="138">
        <f>IF('1.DATOS-PROD'!BG91="SI",VLOOKUP('1.DATOS-PROD'!BG$2,'1.PUNTOS'!$A$1:$B$63,2,0),0)</f>
        <v>0</v>
      </c>
      <c r="AY90" s="138">
        <f>IF('1.DATOS-PROD'!BH91="SI",VLOOKUP('1.DATOS-PROD'!BH$2,'1.PUNTOS'!$A$1:$B$63,2,0),0)</f>
        <v>0</v>
      </c>
      <c r="AZ90" s="138">
        <f>IF('1.DATOS-PROD'!BI91="SI",VLOOKUP('1.DATOS-PROD'!BI$2,'1.PUNTOS'!$A$1:$B$63,2,0),0)</f>
        <v>0</v>
      </c>
      <c r="BA90" s="138">
        <f>IF('1.DATOS-PROD'!BJ91="SI",VLOOKUP('1.DATOS-PROD'!BJ$2,'1.PUNTOS'!$A$1:$B$63,2,0),0)</f>
        <v>0</v>
      </c>
      <c r="BB90" s="138">
        <f>IF('1.DATOS-PROD'!BK91="SI",VLOOKUP('1.DATOS-PROD'!BK$2,'1.PUNTOS'!$A$1:$B$63,2,0),0)</f>
        <v>0</v>
      </c>
      <c r="BC90" s="138">
        <f>IF('1.DATOS-PROD'!BL91="SI",VLOOKUP('1.DATOS-PROD'!BL$2,'1.PUNTOS'!$A$1:$B$63,2,0),0)</f>
        <v>0</v>
      </c>
      <c r="BD90" s="138">
        <f>IF('1.DATOS-PROD'!BM91="SI",VLOOKUP('1.DATOS-PROD'!BM$2,'1.PUNTOS'!$A$1:$B$63,2,0),0)</f>
        <v>0</v>
      </c>
      <c r="BE90" s="138">
        <f>IF('1.DATOS-PROD'!BN91="SI",VLOOKUP('1.DATOS-PROD'!BN$2,'1.PUNTOS'!$A$1:$B$63,2,0),0)</f>
        <v>0</v>
      </c>
      <c r="BF90" s="138">
        <f>IF('1.DATOS-PROD'!BO91="SI",VLOOKUP('1.DATOS-PROD'!BO$2,'1.PUNTOS'!$A$1:$B$63,2,0),0)</f>
        <v>0</v>
      </c>
      <c r="BG90" s="138">
        <f>IF('1.DATOS-PROD'!BP91="SI",VLOOKUP('1.DATOS-PROD'!BP$2,'1.PUNTOS'!$A$1:$B$63,2,0),0)</f>
        <v>0</v>
      </c>
      <c r="BH90" s="138">
        <f>IF('1.DATOS-PROD'!BQ91="SI",VLOOKUP('1.DATOS-PROD'!BQ$2,'1.PUNTOS'!$A$1:$B$63,2,0),0)</f>
        <v>0</v>
      </c>
      <c r="BI90" s="138">
        <f>IF('1.DATOS-PROD'!BR91="SI",VLOOKUP('1.DATOS-PROD'!BR$2,'1.PUNTOS'!$A$1:$B$63,2,0),0)</f>
        <v>0</v>
      </c>
      <c r="BJ90" s="138">
        <f>IF('1.DATOS-PROD'!BS91="SI",VLOOKUP('1.DATOS-PROD'!BS$2,'1.PUNTOS'!$A$1:$B$63,2,0),0)</f>
        <v>0</v>
      </c>
      <c r="BK90" s="138">
        <f>IF('1.DATOS-PROD'!BT91="SI",VLOOKUP('1.DATOS-PROD'!BT$2,'1.PUNTOS'!$A$1:$B$63,2,0),0)</f>
        <v>0</v>
      </c>
    </row>
    <row r="91" spans="1:63" x14ac:dyDescent="0.25">
      <c r="A91">
        <f>'0.Consolidado general'!$A92</f>
        <v>0</v>
      </c>
      <c r="B91" s="138">
        <f>IF('1.DATOS-PROD'!K92="SI",VLOOKUP('1.DATOS-PROD'!K$2,'1.PUNTOS'!$A$1:$B$63,2,0),0)</f>
        <v>0</v>
      </c>
      <c r="C91" s="138">
        <f>IF('1.DATOS-PROD'!L92="SI",VLOOKUP('1.DATOS-PROD'!L$2,'1.PUNTOS'!$A$1:$B$63,2,0),0)</f>
        <v>0</v>
      </c>
      <c r="D91" s="138">
        <f>IF('1.DATOS-PROD'!M92="SI",VLOOKUP('1.DATOS-PROD'!M$2,'1.PUNTOS'!$A$1:$B$63,2,0),0)</f>
        <v>0</v>
      </c>
      <c r="E91" s="138">
        <f>IF('1.DATOS-PROD'!N92="SI",VLOOKUP('1.DATOS-PROD'!N$2,'1.PUNTOS'!$A$1:$B$63,2,0),0)</f>
        <v>0</v>
      </c>
      <c r="F91" s="138">
        <f>IF('1.DATOS-PROD'!O92="SI",VLOOKUP('1.DATOS-PROD'!O$2,'1.PUNTOS'!$A$1:$B$63,2,0),0)</f>
        <v>0</v>
      </c>
      <c r="G91" s="138">
        <f>IF('1.DATOS-PROD'!P92="SI",VLOOKUP('1.DATOS-PROD'!P$2,'1.PUNTOS'!$A$1:$B$63,2,0),0)</f>
        <v>0</v>
      </c>
      <c r="H91" s="138">
        <f>IF('1.DATOS-PROD'!Q92="SI",VLOOKUP('1.DATOS-PROD'!Q$2,'1.PUNTOS'!$A$1:$B$63,2,0),0)</f>
        <v>0</v>
      </c>
      <c r="I91" s="138">
        <f>IF('1.DATOS-PROD'!R92="SI",VLOOKUP('1.DATOS-PROD'!R$2,'1.PUNTOS'!$A$1:$B$63,2,0),0)</f>
        <v>0</v>
      </c>
      <c r="J91" s="138">
        <f>IF('1.DATOS-PROD'!S92="SI",VLOOKUP('1.DATOS-PROD'!S$2,'1.PUNTOS'!$A$1:$B$63,2,0),0)</f>
        <v>0</v>
      </c>
      <c r="K91" s="138">
        <f>IF('1.DATOS-PROD'!T92="SI",VLOOKUP('1.DATOS-PROD'!T$2,'1.PUNTOS'!$A$1:$B$63,2,0),0)</f>
        <v>0</v>
      </c>
      <c r="L91" s="138">
        <f>IF('1.DATOS-PROD'!U92="SI",VLOOKUP('1.DATOS-PROD'!U$2,'1.PUNTOS'!$A$1:$B$63,2,0),0)</f>
        <v>0</v>
      </c>
      <c r="M91" s="138">
        <f>IF('1.DATOS-PROD'!V92="SI",VLOOKUP('1.DATOS-PROD'!V$2,'1.PUNTOS'!$A$1:$B$63,2,0),0)</f>
        <v>0</v>
      </c>
      <c r="N91" s="138">
        <f>IF('1.DATOS-PROD'!W92="SI",VLOOKUP('1.DATOS-PROD'!W$2,'1.PUNTOS'!$A$1:$B$63,2,0),0)</f>
        <v>0</v>
      </c>
      <c r="O91" s="138">
        <f>IF('1.DATOS-PROD'!X92="SI",VLOOKUP('1.DATOS-PROD'!X$2,'1.PUNTOS'!$A$1:$B$63,2,0),0)</f>
        <v>0</v>
      </c>
      <c r="P91" s="138">
        <f>IF('1.DATOS-PROD'!Y92="SI",VLOOKUP('1.DATOS-PROD'!Y$2,'1.PUNTOS'!$A$1:$B$63,2,0),0)</f>
        <v>0</v>
      </c>
      <c r="Q91" s="138">
        <f>IF('1.DATOS-PROD'!Z92="SI",VLOOKUP('1.DATOS-PROD'!Z$2,'1.PUNTOS'!$A$1:$B$63,2,0),0)</f>
        <v>0</v>
      </c>
      <c r="R91" s="138">
        <f>IF('1.DATOS-PROD'!AA92="SI",VLOOKUP('1.DATOS-PROD'!AA$2,'1.PUNTOS'!$A$1:$B$63,2,0),0)</f>
        <v>0</v>
      </c>
      <c r="S91" s="138">
        <f>IF('1.DATOS-PROD'!AB92="SI",VLOOKUP('1.DATOS-PROD'!AB$2,'1.PUNTOS'!$A$1:$B$63,2,0),0)</f>
        <v>0</v>
      </c>
      <c r="T91" s="138">
        <f>IF('1.DATOS-PROD'!AC92="SI",VLOOKUP('1.DATOS-PROD'!AC$2,'1.PUNTOS'!$A$1:$B$63,2,0),0)</f>
        <v>0</v>
      </c>
      <c r="U91" s="138">
        <f>IF('1.DATOS-PROD'!AD92="SI",VLOOKUP('1.DATOS-PROD'!AD$2,'1.PUNTOS'!$A$1:$B$63,2,0),0)</f>
        <v>0</v>
      </c>
      <c r="V91" s="138">
        <f>IF('1.DATOS-PROD'!AE92="SI",VLOOKUP('1.DATOS-PROD'!AE$2,'1.PUNTOS'!$A$1:$B$63,2,0),0)</f>
        <v>0</v>
      </c>
      <c r="W91" s="138">
        <f>IF('1.DATOS-PROD'!AF92="SI",VLOOKUP('1.DATOS-PROD'!AF$2,'1.PUNTOS'!$A$1:$B$63,2,0),0)</f>
        <v>0</v>
      </c>
      <c r="X91" s="138">
        <f>IF('1.DATOS-PROD'!AG92="SI",VLOOKUP('1.DATOS-PROD'!AG$2,'1.PUNTOS'!$A$1:$B$63,2,0),0)</f>
        <v>0</v>
      </c>
      <c r="Y91" s="138">
        <f>IF('1.DATOS-PROD'!AH92="SI",VLOOKUP('1.DATOS-PROD'!AH$2,'1.PUNTOS'!$A$1:$B$63,2,0),0)</f>
        <v>0</v>
      </c>
      <c r="Z91" s="138">
        <f>IF('1.DATOS-PROD'!AI92="SI",VLOOKUP('1.DATOS-PROD'!AI$2,'1.PUNTOS'!$A$1:$B$63,2,0),0)</f>
        <v>0</v>
      </c>
      <c r="AA91" s="138">
        <f>IF('1.DATOS-PROD'!AJ92="SI",VLOOKUP('1.DATOS-PROD'!AJ$2,'1.PUNTOS'!$A$1:$B$63,2,0),0)</f>
        <v>0</v>
      </c>
      <c r="AB91" s="138">
        <f>IF('1.DATOS-PROD'!AK92="SI",VLOOKUP('1.DATOS-PROD'!AK$2,'1.PUNTOS'!$A$1:$B$63,2,0),0)</f>
        <v>0</v>
      </c>
      <c r="AC91" s="138">
        <f>IF('1.DATOS-PROD'!AL92="SI",VLOOKUP('1.DATOS-PROD'!AL$2,'1.PUNTOS'!$A$1:$B$63,2,0),0)</f>
        <v>0</v>
      </c>
      <c r="AD91" s="138">
        <f>IF('1.DATOS-PROD'!AM92="SI",VLOOKUP('1.DATOS-PROD'!AM$2,'1.PUNTOS'!$A$1:$B$63,2,0),0)</f>
        <v>0</v>
      </c>
      <c r="AE91" s="138">
        <f>IF('1.DATOS-PROD'!AN92="SI",VLOOKUP('1.DATOS-PROD'!AN$2,'1.PUNTOS'!$A$1:$B$63,2,0),0)</f>
        <v>0</v>
      </c>
      <c r="AF91" s="138">
        <f>IF('1.DATOS-PROD'!AO92="SI",VLOOKUP('1.DATOS-PROD'!AO$2,'1.PUNTOS'!$A$1:$B$63,2,0),0)</f>
        <v>0</v>
      </c>
      <c r="AG91" s="138">
        <f>IF('1.DATOS-PROD'!AP92="SI",VLOOKUP('1.DATOS-PROD'!AP$2,'1.PUNTOS'!$A$1:$B$63,2,0),0)</f>
        <v>0</v>
      </c>
      <c r="AH91" s="138">
        <f>IF('1.DATOS-PROD'!AQ92="SI",VLOOKUP('1.DATOS-PROD'!AQ$2,'1.PUNTOS'!$A$1:$B$63,2,0),0)</f>
        <v>0</v>
      </c>
      <c r="AI91" s="138">
        <f>IF('1.DATOS-PROD'!AR92="SI",VLOOKUP('1.DATOS-PROD'!AR$2,'1.PUNTOS'!$A$1:$B$63,2,0),0)</f>
        <v>0</v>
      </c>
      <c r="AJ91" s="138">
        <f>IF('1.DATOS-PROD'!AS92="SI",VLOOKUP('1.DATOS-PROD'!AS$2,'1.PUNTOS'!$A$1:$B$63,2,0),0)</f>
        <v>0</v>
      </c>
      <c r="AK91" s="138">
        <f>IF('1.DATOS-PROD'!AT92="SI",VLOOKUP('1.DATOS-PROD'!AT$2,'1.PUNTOS'!$A$1:$B$63,2,0),0)</f>
        <v>0</v>
      </c>
      <c r="AL91" s="138">
        <f>IF('1.DATOS-PROD'!AU92="SI",VLOOKUP('1.DATOS-PROD'!AU$2,'1.PUNTOS'!$A$1:$B$63,2,0),0)</f>
        <v>0</v>
      </c>
      <c r="AM91" s="138">
        <f>IF('1.DATOS-PROD'!AV92="SI",VLOOKUP('1.DATOS-PROD'!AV$2,'1.PUNTOS'!$A$1:$B$63,2,0),0)</f>
        <v>0</v>
      </c>
      <c r="AN91" s="138">
        <f>IF('1.DATOS-PROD'!AW92="SI",VLOOKUP('1.DATOS-PROD'!AW$2,'1.PUNTOS'!$A$1:$B$63,2,0),0)</f>
        <v>0</v>
      </c>
      <c r="AO91" s="138">
        <f>IF('1.DATOS-PROD'!AX92="SI",VLOOKUP('1.DATOS-PROD'!AX$2,'1.PUNTOS'!$A$1:$B$63,2,0),0)</f>
        <v>0</v>
      </c>
      <c r="AP91" s="138">
        <f>IF('1.DATOS-PROD'!AY92="SI",VLOOKUP('1.DATOS-PROD'!AY$2,'1.PUNTOS'!$A$1:$B$63,2,0),0)</f>
        <v>0</v>
      </c>
      <c r="AQ91" s="138">
        <f>IF('1.DATOS-PROD'!AZ92="SI",VLOOKUP('1.DATOS-PROD'!AZ$2,'1.PUNTOS'!$A$1:$B$63,2,0),0)</f>
        <v>0</v>
      </c>
      <c r="AR91" s="138">
        <f>IF('1.DATOS-PROD'!BA92="SI",VLOOKUP('1.DATOS-PROD'!BA$2,'1.PUNTOS'!$A$1:$B$63,2,0),0)</f>
        <v>0</v>
      </c>
      <c r="AS91" s="138">
        <f>IF('1.DATOS-PROD'!BB92="SI",VLOOKUP('1.DATOS-PROD'!BB$2,'1.PUNTOS'!$A$1:$B$63,2,0),0)</f>
        <v>0</v>
      </c>
      <c r="AT91" s="138">
        <f>IF('1.DATOS-PROD'!BC92="SI",VLOOKUP('1.DATOS-PROD'!BC$2,'1.PUNTOS'!$A$1:$B$63,2,0),0)</f>
        <v>0</v>
      </c>
      <c r="AU91" s="138">
        <f>IF('1.DATOS-PROD'!BD92="SI",VLOOKUP('1.DATOS-PROD'!BD$2,'1.PUNTOS'!$A$1:$B$63,2,0),0)</f>
        <v>0</v>
      </c>
      <c r="AV91" s="138">
        <f>IF('1.DATOS-PROD'!BE92="SI",VLOOKUP('1.DATOS-PROD'!BE$2,'1.PUNTOS'!$A$1:$B$63,2,0),0)</f>
        <v>0</v>
      </c>
      <c r="AW91" s="138">
        <f>IF('1.DATOS-PROD'!BF92="SI",VLOOKUP('1.DATOS-PROD'!BF$2,'1.PUNTOS'!$A$1:$B$63,2,0),0)</f>
        <v>0</v>
      </c>
      <c r="AX91" s="138">
        <f>IF('1.DATOS-PROD'!BG92="SI",VLOOKUP('1.DATOS-PROD'!BG$2,'1.PUNTOS'!$A$1:$B$63,2,0),0)</f>
        <v>0</v>
      </c>
      <c r="AY91" s="138">
        <f>IF('1.DATOS-PROD'!BH92="SI",VLOOKUP('1.DATOS-PROD'!BH$2,'1.PUNTOS'!$A$1:$B$63,2,0),0)</f>
        <v>0</v>
      </c>
      <c r="AZ91" s="138">
        <f>IF('1.DATOS-PROD'!BI92="SI",VLOOKUP('1.DATOS-PROD'!BI$2,'1.PUNTOS'!$A$1:$B$63,2,0),0)</f>
        <v>0</v>
      </c>
      <c r="BA91" s="138">
        <f>IF('1.DATOS-PROD'!BJ92="SI",VLOOKUP('1.DATOS-PROD'!BJ$2,'1.PUNTOS'!$A$1:$B$63,2,0),0)</f>
        <v>0</v>
      </c>
      <c r="BB91" s="138">
        <f>IF('1.DATOS-PROD'!BK92="SI",VLOOKUP('1.DATOS-PROD'!BK$2,'1.PUNTOS'!$A$1:$B$63,2,0),0)</f>
        <v>0</v>
      </c>
      <c r="BC91" s="138">
        <f>IF('1.DATOS-PROD'!BL92="SI",VLOOKUP('1.DATOS-PROD'!BL$2,'1.PUNTOS'!$A$1:$B$63,2,0),0)</f>
        <v>0</v>
      </c>
      <c r="BD91" s="138">
        <f>IF('1.DATOS-PROD'!BM92="SI",VLOOKUP('1.DATOS-PROD'!BM$2,'1.PUNTOS'!$A$1:$B$63,2,0),0)</f>
        <v>0</v>
      </c>
      <c r="BE91" s="138">
        <f>IF('1.DATOS-PROD'!BN92="SI",VLOOKUP('1.DATOS-PROD'!BN$2,'1.PUNTOS'!$A$1:$B$63,2,0),0)</f>
        <v>0</v>
      </c>
      <c r="BF91" s="138">
        <f>IF('1.DATOS-PROD'!BO92="SI",VLOOKUP('1.DATOS-PROD'!BO$2,'1.PUNTOS'!$A$1:$B$63,2,0),0)</f>
        <v>0</v>
      </c>
      <c r="BG91" s="138">
        <f>IF('1.DATOS-PROD'!BP92="SI",VLOOKUP('1.DATOS-PROD'!BP$2,'1.PUNTOS'!$A$1:$B$63,2,0),0)</f>
        <v>0</v>
      </c>
      <c r="BH91" s="138">
        <f>IF('1.DATOS-PROD'!BQ92="SI",VLOOKUP('1.DATOS-PROD'!BQ$2,'1.PUNTOS'!$A$1:$B$63,2,0),0)</f>
        <v>0</v>
      </c>
      <c r="BI91" s="138">
        <f>IF('1.DATOS-PROD'!BR92="SI",VLOOKUP('1.DATOS-PROD'!BR$2,'1.PUNTOS'!$A$1:$B$63,2,0),0)</f>
        <v>0</v>
      </c>
      <c r="BJ91" s="138">
        <f>IF('1.DATOS-PROD'!BS92="SI",VLOOKUP('1.DATOS-PROD'!BS$2,'1.PUNTOS'!$A$1:$B$63,2,0),0)</f>
        <v>0</v>
      </c>
      <c r="BK91" s="138">
        <f>IF('1.DATOS-PROD'!BT92="SI",VLOOKUP('1.DATOS-PROD'!BT$2,'1.PUNTOS'!$A$1:$B$63,2,0),0)</f>
        <v>0</v>
      </c>
    </row>
    <row r="92" spans="1:63" x14ac:dyDescent="0.25">
      <c r="A92">
        <f>'0.Consolidado general'!$A93</f>
        <v>0</v>
      </c>
      <c r="B92" s="138">
        <f>IF('1.DATOS-PROD'!K93="SI",VLOOKUP('1.DATOS-PROD'!K$2,'1.PUNTOS'!$A$1:$B$63,2,0),0)</f>
        <v>0</v>
      </c>
      <c r="C92" s="138">
        <f>IF('1.DATOS-PROD'!L93="SI",VLOOKUP('1.DATOS-PROD'!L$2,'1.PUNTOS'!$A$1:$B$63,2,0),0)</f>
        <v>0</v>
      </c>
      <c r="D92" s="138">
        <f>IF('1.DATOS-PROD'!M93="SI",VLOOKUP('1.DATOS-PROD'!M$2,'1.PUNTOS'!$A$1:$B$63,2,0),0)</f>
        <v>0</v>
      </c>
      <c r="E92" s="138">
        <f>IF('1.DATOS-PROD'!N93="SI",VLOOKUP('1.DATOS-PROD'!N$2,'1.PUNTOS'!$A$1:$B$63,2,0),0)</f>
        <v>0</v>
      </c>
      <c r="F92" s="138">
        <f>IF('1.DATOS-PROD'!O93="SI",VLOOKUP('1.DATOS-PROD'!O$2,'1.PUNTOS'!$A$1:$B$63,2,0),0)</f>
        <v>0</v>
      </c>
      <c r="G92" s="138">
        <f>IF('1.DATOS-PROD'!P93="SI",VLOOKUP('1.DATOS-PROD'!P$2,'1.PUNTOS'!$A$1:$B$63,2,0),0)</f>
        <v>0</v>
      </c>
      <c r="H92" s="138">
        <f>IF('1.DATOS-PROD'!Q93="SI",VLOOKUP('1.DATOS-PROD'!Q$2,'1.PUNTOS'!$A$1:$B$63,2,0),0)</f>
        <v>0</v>
      </c>
      <c r="I92" s="138">
        <f>IF('1.DATOS-PROD'!R93="SI",VLOOKUP('1.DATOS-PROD'!R$2,'1.PUNTOS'!$A$1:$B$63,2,0),0)</f>
        <v>0</v>
      </c>
      <c r="J92" s="138">
        <f>IF('1.DATOS-PROD'!S93="SI",VLOOKUP('1.DATOS-PROD'!S$2,'1.PUNTOS'!$A$1:$B$63,2,0),0)</f>
        <v>0</v>
      </c>
      <c r="K92" s="138">
        <f>IF('1.DATOS-PROD'!T93="SI",VLOOKUP('1.DATOS-PROD'!T$2,'1.PUNTOS'!$A$1:$B$63,2,0),0)</f>
        <v>0</v>
      </c>
      <c r="L92" s="138">
        <f>IF('1.DATOS-PROD'!U93="SI",VLOOKUP('1.DATOS-PROD'!U$2,'1.PUNTOS'!$A$1:$B$63,2,0),0)</f>
        <v>0</v>
      </c>
      <c r="M92" s="138">
        <f>IF('1.DATOS-PROD'!V93="SI",VLOOKUP('1.DATOS-PROD'!V$2,'1.PUNTOS'!$A$1:$B$63,2,0),0)</f>
        <v>0</v>
      </c>
      <c r="N92" s="138">
        <f>IF('1.DATOS-PROD'!W93="SI",VLOOKUP('1.DATOS-PROD'!W$2,'1.PUNTOS'!$A$1:$B$63,2,0),0)</f>
        <v>0</v>
      </c>
      <c r="O92" s="138">
        <f>IF('1.DATOS-PROD'!X93="SI",VLOOKUP('1.DATOS-PROD'!X$2,'1.PUNTOS'!$A$1:$B$63,2,0),0)</f>
        <v>0</v>
      </c>
      <c r="P92" s="138">
        <f>IF('1.DATOS-PROD'!Y93="SI",VLOOKUP('1.DATOS-PROD'!Y$2,'1.PUNTOS'!$A$1:$B$63,2,0),0)</f>
        <v>0</v>
      </c>
      <c r="Q92" s="138">
        <f>IF('1.DATOS-PROD'!Z93="SI",VLOOKUP('1.DATOS-PROD'!Z$2,'1.PUNTOS'!$A$1:$B$63,2,0),0)</f>
        <v>0</v>
      </c>
      <c r="R92" s="138">
        <f>IF('1.DATOS-PROD'!AA93="SI",VLOOKUP('1.DATOS-PROD'!AA$2,'1.PUNTOS'!$A$1:$B$63,2,0),0)</f>
        <v>0</v>
      </c>
      <c r="S92" s="138">
        <f>IF('1.DATOS-PROD'!AB93="SI",VLOOKUP('1.DATOS-PROD'!AB$2,'1.PUNTOS'!$A$1:$B$63,2,0),0)</f>
        <v>0</v>
      </c>
      <c r="T92" s="138">
        <f>IF('1.DATOS-PROD'!AC93="SI",VLOOKUP('1.DATOS-PROD'!AC$2,'1.PUNTOS'!$A$1:$B$63,2,0),0)</f>
        <v>0</v>
      </c>
      <c r="U92" s="138">
        <f>IF('1.DATOS-PROD'!AD93="SI",VLOOKUP('1.DATOS-PROD'!AD$2,'1.PUNTOS'!$A$1:$B$63,2,0),0)</f>
        <v>0</v>
      </c>
      <c r="V92" s="138">
        <f>IF('1.DATOS-PROD'!AE93="SI",VLOOKUP('1.DATOS-PROD'!AE$2,'1.PUNTOS'!$A$1:$B$63,2,0),0)</f>
        <v>0</v>
      </c>
      <c r="W92" s="138">
        <f>IF('1.DATOS-PROD'!AF93="SI",VLOOKUP('1.DATOS-PROD'!AF$2,'1.PUNTOS'!$A$1:$B$63,2,0),0)</f>
        <v>0</v>
      </c>
      <c r="X92" s="138">
        <f>IF('1.DATOS-PROD'!AG93="SI",VLOOKUP('1.DATOS-PROD'!AG$2,'1.PUNTOS'!$A$1:$B$63,2,0),0)</f>
        <v>0</v>
      </c>
      <c r="Y92" s="138">
        <f>IF('1.DATOS-PROD'!AH93="SI",VLOOKUP('1.DATOS-PROD'!AH$2,'1.PUNTOS'!$A$1:$B$63,2,0),0)</f>
        <v>0</v>
      </c>
      <c r="Z92" s="138">
        <f>IF('1.DATOS-PROD'!AI93="SI",VLOOKUP('1.DATOS-PROD'!AI$2,'1.PUNTOS'!$A$1:$B$63,2,0),0)</f>
        <v>0</v>
      </c>
      <c r="AA92" s="138">
        <f>IF('1.DATOS-PROD'!AJ93="SI",VLOOKUP('1.DATOS-PROD'!AJ$2,'1.PUNTOS'!$A$1:$B$63,2,0),0)</f>
        <v>0</v>
      </c>
      <c r="AB92" s="138">
        <f>IF('1.DATOS-PROD'!AK93="SI",VLOOKUP('1.DATOS-PROD'!AK$2,'1.PUNTOS'!$A$1:$B$63,2,0),0)</f>
        <v>0</v>
      </c>
      <c r="AC92" s="138">
        <f>IF('1.DATOS-PROD'!AL93="SI",VLOOKUP('1.DATOS-PROD'!AL$2,'1.PUNTOS'!$A$1:$B$63,2,0),0)</f>
        <v>0</v>
      </c>
      <c r="AD92" s="138">
        <f>IF('1.DATOS-PROD'!AM93="SI",VLOOKUP('1.DATOS-PROD'!AM$2,'1.PUNTOS'!$A$1:$B$63,2,0),0)</f>
        <v>0</v>
      </c>
      <c r="AE92" s="138">
        <f>IF('1.DATOS-PROD'!AN93="SI",VLOOKUP('1.DATOS-PROD'!AN$2,'1.PUNTOS'!$A$1:$B$63,2,0),0)</f>
        <v>0</v>
      </c>
      <c r="AF92" s="138">
        <f>IF('1.DATOS-PROD'!AO93="SI",VLOOKUP('1.DATOS-PROD'!AO$2,'1.PUNTOS'!$A$1:$B$63,2,0),0)</f>
        <v>0</v>
      </c>
      <c r="AG92" s="138">
        <f>IF('1.DATOS-PROD'!AP93="SI",VLOOKUP('1.DATOS-PROD'!AP$2,'1.PUNTOS'!$A$1:$B$63,2,0),0)</f>
        <v>0</v>
      </c>
      <c r="AH92" s="138">
        <f>IF('1.DATOS-PROD'!AQ93="SI",VLOOKUP('1.DATOS-PROD'!AQ$2,'1.PUNTOS'!$A$1:$B$63,2,0),0)</f>
        <v>0</v>
      </c>
      <c r="AI92" s="138">
        <f>IF('1.DATOS-PROD'!AR93="SI",VLOOKUP('1.DATOS-PROD'!AR$2,'1.PUNTOS'!$A$1:$B$63,2,0),0)</f>
        <v>0</v>
      </c>
      <c r="AJ92" s="138">
        <f>IF('1.DATOS-PROD'!AS93="SI",VLOOKUP('1.DATOS-PROD'!AS$2,'1.PUNTOS'!$A$1:$B$63,2,0),0)</f>
        <v>0</v>
      </c>
      <c r="AK92" s="138">
        <f>IF('1.DATOS-PROD'!AT93="SI",VLOOKUP('1.DATOS-PROD'!AT$2,'1.PUNTOS'!$A$1:$B$63,2,0),0)</f>
        <v>0</v>
      </c>
      <c r="AL92" s="138">
        <f>IF('1.DATOS-PROD'!AU93="SI",VLOOKUP('1.DATOS-PROD'!AU$2,'1.PUNTOS'!$A$1:$B$63,2,0),0)</f>
        <v>0</v>
      </c>
      <c r="AM92" s="138">
        <f>IF('1.DATOS-PROD'!AV93="SI",VLOOKUP('1.DATOS-PROD'!AV$2,'1.PUNTOS'!$A$1:$B$63,2,0),0)</f>
        <v>0</v>
      </c>
      <c r="AN92" s="138">
        <f>IF('1.DATOS-PROD'!AW93="SI",VLOOKUP('1.DATOS-PROD'!AW$2,'1.PUNTOS'!$A$1:$B$63,2,0),0)</f>
        <v>0</v>
      </c>
      <c r="AO92" s="138">
        <f>IF('1.DATOS-PROD'!AX93="SI",VLOOKUP('1.DATOS-PROD'!AX$2,'1.PUNTOS'!$A$1:$B$63,2,0),0)</f>
        <v>0</v>
      </c>
      <c r="AP92" s="138">
        <f>IF('1.DATOS-PROD'!AY93="SI",VLOOKUP('1.DATOS-PROD'!AY$2,'1.PUNTOS'!$A$1:$B$63,2,0),0)</f>
        <v>0</v>
      </c>
      <c r="AQ92" s="138">
        <f>IF('1.DATOS-PROD'!AZ93="SI",VLOOKUP('1.DATOS-PROD'!AZ$2,'1.PUNTOS'!$A$1:$B$63,2,0),0)</f>
        <v>0</v>
      </c>
      <c r="AR92" s="138">
        <f>IF('1.DATOS-PROD'!BA93="SI",VLOOKUP('1.DATOS-PROD'!BA$2,'1.PUNTOS'!$A$1:$B$63,2,0),0)</f>
        <v>0</v>
      </c>
      <c r="AS92" s="138">
        <f>IF('1.DATOS-PROD'!BB93="SI",VLOOKUP('1.DATOS-PROD'!BB$2,'1.PUNTOS'!$A$1:$B$63,2,0),0)</f>
        <v>0</v>
      </c>
      <c r="AT92" s="138">
        <f>IF('1.DATOS-PROD'!BC93="SI",VLOOKUP('1.DATOS-PROD'!BC$2,'1.PUNTOS'!$A$1:$B$63,2,0),0)</f>
        <v>0</v>
      </c>
      <c r="AU92" s="138">
        <f>IF('1.DATOS-PROD'!BD93="SI",VLOOKUP('1.DATOS-PROD'!BD$2,'1.PUNTOS'!$A$1:$B$63,2,0),0)</f>
        <v>0</v>
      </c>
      <c r="AV92" s="138">
        <f>IF('1.DATOS-PROD'!BE93="SI",VLOOKUP('1.DATOS-PROD'!BE$2,'1.PUNTOS'!$A$1:$B$63,2,0),0)</f>
        <v>0</v>
      </c>
      <c r="AW92" s="138">
        <f>IF('1.DATOS-PROD'!BF93="SI",VLOOKUP('1.DATOS-PROD'!BF$2,'1.PUNTOS'!$A$1:$B$63,2,0),0)</f>
        <v>0</v>
      </c>
      <c r="AX92" s="138">
        <f>IF('1.DATOS-PROD'!BG93="SI",VLOOKUP('1.DATOS-PROD'!BG$2,'1.PUNTOS'!$A$1:$B$63,2,0),0)</f>
        <v>0</v>
      </c>
      <c r="AY92" s="138">
        <f>IF('1.DATOS-PROD'!BH93="SI",VLOOKUP('1.DATOS-PROD'!BH$2,'1.PUNTOS'!$A$1:$B$63,2,0),0)</f>
        <v>0</v>
      </c>
      <c r="AZ92" s="138">
        <f>IF('1.DATOS-PROD'!BI93="SI",VLOOKUP('1.DATOS-PROD'!BI$2,'1.PUNTOS'!$A$1:$B$63,2,0),0)</f>
        <v>0</v>
      </c>
      <c r="BA92" s="138">
        <f>IF('1.DATOS-PROD'!BJ93="SI",VLOOKUP('1.DATOS-PROD'!BJ$2,'1.PUNTOS'!$A$1:$B$63,2,0),0)</f>
        <v>0</v>
      </c>
      <c r="BB92" s="138">
        <f>IF('1.DATOS-PROD'!BK93="SI",VLOOKUP('1.DATOS-PROD'!BK$2,'1.PUNTOS'!$A$1:$B$63,2,0),0)</f>
        <v>0</v>
      </c>
      <c r="BC92" s="138">
        <f>IF('1.DATOS-PROD'!BL93="SI",VLOOKUP('1.DATOS-PROD'!BL$2,'1.PUNTOS'!$A$1:$B$63,2,0),0)</f>
        <v>0</v>
      </c>
      <c r="BD92" s="138">
        <f>IF('1.DATOS-PROD'!BM93="SI",VLOOKUP('1.DATOS-PROD'!BM$2,'1.PUNTOS'!$A$1:$B$63,2,0),0)</f>
        <v>0</v>
      </c>
      <c r="BE92" s="138">
        <f>IF('1.DATOS-PROD'!BN93="SI",VLOOKUP('1.DATOS-PROD'!BN$2,'1.PUNTOS'!$A$1:$B$63,2,0),0)</f>
        <v>0</v>
      </c>
      <c r="BF92" s="138">
        <f>IF('1.DATOS-PROD'!BO93="SI",VLOOKUP('1.DATOS-PROD'!BO$2,'1.PUNTOS'!$A$1:$B$63,2,0),0)</f>
        <v>0</v>
      </c>
      <c r="BG92" s="138">
        <f>IF('1.DATOS-PROD'!BP93="SI",VLOOKUP('1.DATOS-PROD'!BP$2,'1.PUNTOS'!$A$1:$B$63,2,0),0)</f>
        <v>0</v>
      </c>
      <c r="BH92" s="138">
        <f>IF('1.DATOS-PROD'!BQ93="SI",VLOOKUP('1.DATOS-PROD'!BQ$2,'1.PUNTOS'!$A$1:$B$63,2,0),0)</f>
        <v>0</v>
      </c>
      <c r="BI92" s="138">
        <f>IF('1.DATOS-PROD'!BR93="SI",VLOOKUP('1.DATOS-PROD'!BR$2,'1.PUNTOS'!$A$1:$B$63,2,0),0)</f>
        <v>0</v>
      </c>
      <c r="BJ92" s="138">
        <f>IF('1.DATOS-PROD'!BS93="SI",VLOOKUP('1.DATOS-PROD'!BS$2,'1.PUNTOS'!$A$1:$B$63,2,0),0)</f>
        <v>0</v>
      </c>
      <c r="BK92" s="138">
        <f>IF('1.DATOS-PROD'!BT93="SI",VLOOKUP('1.DATOS-PROD'!BT$2,'1.PUNTOS'!$A$1:$B$63,2,0),0)</f>
        <v>0</v>
      </c>
    </row>
    <row r="93" spans="1:63" x14ac:dyDescent="0.25">
      <c r="A93">
        <f>'0.Consolidado general'!$A94</f>
        <v>0</v>
      </c>
      <c r="B93" s="138">
        <f>IF('1.DATOS-PROD'!K94="SI",VLOOKUP('1.DATOS-PROD'!K$2,'1.PUNTOS'!$A$1:$B$63,2,0),0)</f>
        <v>0</v>
      </c>
      <c r="C93" s="138">
        <f>IF('1.DATOS-PROD'!L94="SI",VLOOKUP('1.DATOS-PROD'!L$2,'1.PUNTOS'!$A$1:$B$63,2,0),0)</f>
        <v>0</v>
      </c>
      <c r="D93" s="138">
        <f>IF('1.DATOS-PROD'!M94="SI",VLOOKUP('1.DATOS-PROD'!M$2,'1.PUNTOS'!$A$1:$B$63,2,0),0)</f>
        <v>0</v>
      </c>
      <c r="E93" s="138">
        <f>IF('1.DATOS-PROD'!N94="SI",VLOOKUP('1.DATOS-PROD'!N$2,'1.PUNTOS'!$A$1:$B$63,2,0),0)</f>
        <v>0</v>
      </c>
      <c r="F93" s="138">
        <f>IF('1.DATOS-PROD'!O94="SI",VLOOKUP('1.DATOS-PROD'!O$2,'1.PUNTOS'!$A$1:$B$63,2,0),0)</f>
        <v>0</v>
      </c>
      <c r="G93" s="138">
        <f>IF('1.DATOS-PROD'!P94="SI",VLOOKUP('1.DATOS-PROD'!P$2,'1.PUNTOS'!$A$1:$B$63,2,0),0)</f>
        <v>0</v>
      </c>
      <c r="H93" s="138">
        <f>IF('1.DATOS-PROD'!Q94="SI",VLOOKUP('1.DATOS-PROD'!Q$2,'1.PUNTOS'!$A$1:$B$63,2,0),0)</f>
        <v>0</v>
      </c>
      <c r="I93" s="138">
        <f>IF('1.DATOS-PROD'!R94="SI",VLOOKUP('1.DATOS-PROD'!R$2,'1.PUNTOS'!$A$1:$B$63,2,0),0)</f>
        <v>0</v>
      </c>
      <c r="J93" s="138">
        <f>IF('1.DATOS-PROD'!S94="SI",VLOOKUP('1.DATOS-PROD'!S$2,'1.PUNTOS'!$A$1:$B$63,2,0),0)</f>
        <v>0</v>
      </c>
      <c r="K93" s="138">
        <f>IF('1.DATOS-PROD'!T94="SI",VLOOKUP('1.DATOS-PROD'!T$2,'1.PUNTOS'!$A$1:$B$63,2,0),0)</f>
        <v>0</v>
      </c>
      <c r="L93" s="138">
        <f>IF('1.DATOS-PROD'!U94="SI",VLOOKUP('1.DATOS-PROD'!U$2,'1.PUNTOS'!$A$1:$B$63,2,0),0)</f>
        <v>0</v>
      </c>
      <c r="M93" s="138">
        <f>IF('1.DATOS-PROD'!V94="SI",VLOOKUP('1.DATOS-PROD'!V$2,'1.PUNTOS'!$A$1:$B$63,2,0),0)</f>
        <v>0</v>
      </c>
      <c r="N93" s="138">
        <f>IF('1.DATOS-PROD'!W94="SI",VLOOKUP('1.DATOS-PROD'!W$2,'1.PUNTOS'!$A$1:$B$63,2,0),0)</f>
        <v>0</v>
      </c>
      <c r="O93" s="138">
        <f>IF('1.DATOS-PROD'!X94="SI",VLOOKUP('1.DATOS-PROD'!X$2,'1.PUNTOS'!$A$1:$B$63,2,0),0)</f>
        <v>0</v>
      </c>
      <c r="P93" s="138">
        <f>IF('1.DATOS-PROD'!Y94="SI",VLOOKUP('1.DATOS-PROD'!Y$2,'1.PUNTOS'!$A$1:$B$63,2,0),0)</f>
        <v>0</v>
      </c>
      <c r="Q93" s="138">
        <f>IF('1.DATOS-PROD'!Z94="SI",VLOOKUP('1.DATOS-PROD'!Z$2,'1.PUNTOS'!$A$1:$B$63,2,0),0)</f>
        <v>0</v>
      </c>
      <c r="R93" s="138">
        <f>IF('1.DATOS-PROD'!AA94="SI",VLOOKUP('1.DATOS-PROD'!AA$2,'1.PUNTOS'!$A$1:$B$63,2,0),0)</f>
        <v>0</v>
      </c>
      <c r="S93" s="138">
        <f>IF('1.DATOS-PROD'!AB94="SI",VLOOKUP('1.DATOS-PROD'!AB$2,'1.PUNTOS'!$A$1:$B$63,2,0),0)</f>
        <v>0</v>
      </c>
      <c r="T93" s="138">
        <f>IF('1.DATOS-PROD'!AC94="SI",VLOOKUP('1.DATOS-PROD'!AC$2,'1.PUNTOS'!$A$1:$B$63,2,0),0)</f>
        <v>0</v>
      </c>
      <c r="U93" s="138">
        <f>IF('1.DATOS-PROD'!AD94="SI",VLOOKUP('1.DATOS-PROD'!AD$2,'1.PUNTOS'!$A$1:$B$63,2,0),0)</f>
        <v>0</v>
      </c>
      <c r="V93" s="138">
        <f>IF('1.DATOS-PROD'!AE94="SI",VLOOKUP('1.DATOS-PROD'!AE$2,'1.PUNTOS'!$A$1:$B$63,2,0),0)</f>
        <v>0</v>
      </c>
      <c r="W93" s="138">
        <f>IF('1.DATOS-PROD'!AF94="SI",VLOOKUP('1.DATOS-PROD'!AF$2,'1.PUNTOS'!$A$1:$B$63,2,0),0)</f>
        <v>0</v>
      </c>
      <c r="X93" s="138">
        <f>IF('1.DATOS-PROD'!AG94="SI",VLOOKUP('1.DATOS-PROD'!AG$2,'1.PUNTOS'!$A$1:$B$63,2,0),0)</f>
        <v>0</v>
      </c>
      <c r="Y93" s="138">
        <f>IF('1.DATOS-PROD'!AH94="SI",VLOOKUP('1.DATOS-PROD'!AH$2,'1.PUNTOS'!$A$1:$B$63,2,0),0)</f>
        <v>0</v>
      </c>
      <c r="Z93" s="138">
        <f>IF('1.DATOS-PROD'!AI94="SI",VLOOKUP('1.DATOS-PROD'!AI$2,'1.PUNTOS'!$A$1:$B$63,2,0),0)</f>
        <v>0</v>
      </c>
      <c r="AA93" s="138">
        <f>IF('1.DATOS-PROD'!AJ94="SI",VLOOKUP('1.DATOS-PROD'!AJ$2,'1.PUNTOS'!$A$1:$B$63,2,0),0)</f>
        <v>0</v>
      </c>
      <c r="AB93" s="138">
        <f>IF('1.DATOS-PROD'!AK94="SI",VLOOKUP('1.DATOS-PROD'!AK$2,'1.PUNTOS'!$A$1:$B$63,2,0),0)</f>
        <v>0</v>
      </c>
      <c r="AC93" s="138">
        <f>IF('1.DATOS-PROD'!AL94="SI",VLOOKUP('1.DATOS-PROD'!AL$2,'1.PUNTOS'!$A$1:$B$63,2,0),0)</f>
        <v>0</v>
      </c>
      <c r="AD93" s="138">
        <f>IF('1.DATOS-PROD'!AM94="SI",VLOOKUP('1.DATOS-PROD'!AM$2,'1.PUNTOS'!$A$1:$B$63,2,0),0)</f>
        <v>0</v>
      </c>
      <c r="AE93" s="138">
        <f>IF('1.DATOS-PROD'!AN94="SI",VLOOKUP('1.DATOS-PROD'!AN$2,'1.PUNTOS'!$A$1:$B$63,2,0),0)</f>
        <v>0</v>
      </c>
      <c r="AF93" s="138">
        <f>IF('1.DATOS-PROD'!AO94="SI",VLOOKUP('1.DATOS-PROD'!AO$2,'1.PUNTOS'!$A$1:$B$63,2,0),0)</f>
        <v>0</v>
      </c>
      <c r="AG93" s="138">
        <f>IF('1.DATOS-PROD'!AP94="SI",VLOOKUP('1.DATOS-PROD'!AP$2,'1.PUNTOS'!$A$1:$B$63,2,0),0)</f>
        <v>0</v>
      </c>
      <c r="AH93" s="138">
        <f>IF('1.DATOS-PROD'!AQ94="SI",VLOOKUP('1.DATOS-PROD'!AQ$2,'1.PUNTOS'!$A$1:$B$63,2,0),0)</f>
        <v>0</v>
      </c>
      <c r="AI93" s="138">
        <f>IF('1.DATOS-PROD'!AR94="SI",VLOOKUP('1.DATOS-PROD'!AR$2,'1.PUNTOS'!$A$1:$B$63,2,0),0)</f>
        <v>0</v>
      </c>
      <c r="AJ93" s="138">
        <f>IF('1.DATOS-PROD'!AS94="SI",VLOOKUP('1.DATOS-PROD'!AS$2,'1.PUNTOS'!$A$1:$B$63,2,0),0)</f>
        <v>0</v>
      </c>
      <c r="AK93" s="138">
        <f>IF('1.DATOS-PROD'!AT94="SI",VLOOKUP('1.DATOS-PROD'!AT$2,'1.PUNTOS'!$A$1:$B$63,2,0),0)</f>
        <v>0</v>
      </c>
      <c r="AL93" s="138">
        <f>IF('1.DATOS-PROD'!AU94="SI",VLOOKUP('1.DATOS-PROD'!AU$2,'1.PUNTOS'!$A$1:$B$63,2,0),0)</f>
        <v>0</v>
      </c>
      <c r="AM93" s="138">
        <f>IF('1.DATOS-PROD'!AV94="SI",VLOOKUP('1.DATOS-PROD'!AV$2,'1.PUNTOS'!$A$1:$B$63,2,0),0)</f>
        <v>0</v>
      </c>
      <c r="AN93" s="138">
        <f>IF('1.DATOS-PROD'!AW94="SI",VLOOKUP('1.DATOS-PROD'!AW$2,'1.PUNTOS'!$A$1:$B$63,2,0),0)</f>
        <v>0</v>
      </c>
      <c r="AO93" s="138">
        <f>IF('1.DATOS-PROD'!AX94="SI",VLOOKUP('1.DATOS-PROD'!AX$2,'1.PUNTOS'!$A$1:$B$63,2,0),0)</f>
        <v>0</v>
      </c>
      <c r="AP93" s="138">
        <f>IF('1.DATOS-PROD'!AY94="SI",VLOOKUP('1.DATOS-PROD'!AY$2,'1.PUNTOS'!$A$1:$B$63,2,0),0)</f>
        <v>0</v>
      </c>
      <c r="AQ93" s="138">
        <f>IF('1.DATOS-PROD'!AZ94="SI",VLOOKUP('1.DATOS-PROD'!AZ$2,'1.PUNTOS'!$A$1:$B$63,2,0),0)</f>
        <v>0</v>
      </c>
      <c r="AR93" s="138">
        <f>IF('1.DATOS-PROD'!BA94="SI",VLOOKUP('1.DATOS-PROD'!BA$2,'1.PUNTOS'!$A$1:$B$63,2,0),0)</f>
        <v>0</v>
      </c>
      <c r="AS93" s="138">
        <f>IF('1.DATOS-PROD'!BB94="SI",VLOOKUP('1.DATOS-PROD'!BB$2,'1.PUNTOS'!$A$1:$B$63,2,0),0)</f>
        <v>0</v>
      </c>
      <c r="AT93" s="138">
        <f>IF('1.DATOS-PROD'!BC94="SI",VLOOKUP('1.DATOS-PROD'!BC$2,'1.PUNTOS'!$A$1:$B$63,2,0),0)</f>
        <v>0</v>
      </c>
      <c r="AU93" s="138">
        <f>IF('1.DATOS-PROD'!BD94="SI",VLOOKUP('1.DATOS-PROD'!BD$2,'1.PUNTOS'!$A$1:$B$63,2,0),0)</f>
        <v>0</v>
      </c>
      <c r="AV93" s="138">
        <f>IF('1.DATOS-PROD'!BE94="SI",VLOOKUP('1.DATOS-PROD'!BE$2,'1.PUNTOS'!$A$1:$B$63,2,0),0)</f>
        <v>0</v>
      </c>
      <c r="AW93" s="138">
        <f>IF('1.DATOS-PROD'!BF94="SI",VLOOKUP('1.DATOS-PROD'!BF$2,'1.PUNTOS'!$A$1:$B$63,2,0),0)</f>
        <v>0</v>
      </c>
      <c r="AX93" s="138">
        <f>IF('1.DATOS-PROD'!BG94="SI",VLOOKUP('1.DATOS-PROD'!BG$2,'1.PUNTOS'!$A$1:$B$63,2,0),0)</f>
        <v>0</v>
      </c>
      <c r="AY93" s="138">
        <f>IF('1.DATOS-PROD'!BH94="SI",VLOOKUP('1.DATOS-PROD'!BH$2,'1.PUNTOS'!$A$1:$B$63,2,0),0)</f>
        <v>0</v>
      </c>
      <c r="AZ93" s="138">
        <f>IF('1.DATOS-PROD'!BI94="SI",VLOOKUP('1.DATOS-PROD'!BI$2,'1.PUNTOS'!$A$1:$B$63,2,0),0)</f>
        <v>0</v>
      </c>
      <c r="BA93" s="138">
        <f>IF('1.DATOS-PROD'!BJ94="SI",VLOOKUP('1.DATOS-PROD'!BJ$2,'1.PUNTOS'!$A$1:$B$63,2,0),0)</f>
        <v>0</v>
      </c>
      <c r="BB93" s="138">
        <f>IF('1.DATOS-PROD'!BK94="SI",VLOOKUP('1.DATOS-PROD'!BK$2,'1.PUNTOS'!$A$1:$B$63,2,0),0)</f>
        <v>0</v>
      </c>
      <c r="BC93" s="138">
        <f>IF('1.DATOS-PROD'!BL94="SI",VLOOKUP('1.DATOS-PROD'!BL$2,'1.PUNTOS'!$A$1:$B$63,2,0),0)</f>
        <v>0</v>
      </c>
      <c r="BD93" s="138">
        <f>IF('1.DATOS-PROD'!BM94="SI",VLOOKUP('1.DATOS-PROD'!BM$2,'1.PUNTOS'!$A$1:$B$63,2,0),0)</f>
        <v>0</v>
      </c>
      <c r="BE93" s="138">
        <f>IF('1.DATOS-PROD'!BN94="SI",VLOOKUP('1.DATOS-PROD'!BN$2,'1.PUNTOS'!$A$1:$B$63,2,0),0)</f>
        <v>0</v>
      </c>
      <c r="BF93" s="138">
        <f>IF('1.DATOS-PROD'!BO94="SI",VLOOKUP('1.DATOS-PROD'!BO$2,'1.PUNTOS'!$A$1:$B$63,2,0),0)</f>
        <v>0</v>
      </c>
      <c r="BG93" s="138">
        <f>IF('1.DATOS-PROD'!BP94="SI",VLOOKUP('1.DATOS-PROD'!BP$2,'1.PUNTOS'!$A$1:$B$63,2,0),0)</f>
        <v>0</v>
      </c>
      <c r="BH93" s="138">
        <f>IF('1.DATOS-PROD'!BQ94="SI",VLOOKUP('1.DATOS-PROD'!BQ$2,'1.PUNTOS'!$A$1:$B$63,2,0),0)</f>
        <v>0</v>
      </c>
      <c r="BI93" s="138">
        <f>IF('1.DATOS-PROD'!BR94="SI",VLOOKUP('1.DATOS-PROD'!BR$2,'1.PUNTOS'!$A$1:$B$63,2,0),0)</f>
        <v>0</v>
      </c>
      <c r="BJ93" s="138">
        <f>IF('1.DATOS-PROD'!BS94="SI",VLOOKUP('1.DATOS-PROD'!BS$2,'1.PUNTOS'!$A$1:$B$63,2,0),0)</f>
        <v>0</v>
      </c>
      <c r="BK93" s="138">
        <f>IF('1.DATOS-PROD'!BT94="SI",VLOOKUP('1.DATOS-PROD'!BT$2,'1.PUNTOS'!$A$1:$B$63,2,0),0)</f>
        <v>0</v>
      </c>
    </row>
    <row r="94" spans="1:63" x14ac:dyDescent="0.25">
      <c r="A94">
        <f>'0.Consolidado general'!$A95</f>
        <v>0</v>
      </c>
      <c r="B94" s="138">
        <f>IF('1.DATOS-PROD'!K95="SI",VLOOKUP('1.DATOS-PROD'!K$2,'1.PUNTOS'!$A$1:$B$63,2,0),0)</f>
        <v>0</v>
      </c>
      <c r="C94" s="138">
        <f>IF('1.DATOS-PROD'!L95="SI",VLOOKUP('1.DATOS-PROD'!L$2,'1.PUNTOS'!$A$1:$B$63,2,0),0)</f>
        <v>0</v>
      </c>
      <c r="D94" s="138">
        <f>IF('1.DATOS-PROD'!M95="SI",VLOOKUP('1.DATOS-PROD'!M$2,'1.PUNTOS'!$A$1:$B$63,2,0),0)</f>
        <v>0</v>
      </c>
      <c r="E94" s="138">
        <f>IF('1.DATOS-PROD'!N95="SI",VLOOKUP('1.DATOS-PROD'!N$2,'1.PUNTOS'!$A$1:$B$63,2,0),0)</f>
        <v>0</v>
      </c>
      <c r="F94" s="138">
        <f>IF('1.DATOS-PROD'!O95="SI",VLOOKUP('1.DATOS-PROD'!O$2,'1.PUNTOS'!$A$1:$B$63,2,0),0)</f>
        <v>0</v>
      </c>
      <c r="G94" s="138">
        <f>IF('1.DATOS-PROD'!P95="SI",VLOOKUP('1.DATOS-PROD'!P$2,'1.PUNTOS'!$A$1:$B$63,2,0),0)</f>
        <v>0</v>
      </c>
      <c r="H94" s="138">
        <f>IF('1.DATOS-PROD'!Q95="SI",VLOOKUP('1.DATOS-PROD'!Q$2,'1.PUNTOS'!$A$1:$B$63,2,0),0)</f>
        <v>0</v>
      </c>
      <c r="I94" s="138">
        <f>IF('1.DATOS-PROD'!R95="SI",VLOOKUP('1.DATOS-PROD'!R$2,'1.PUNTOS'!$A$1:$B$63,2,0),0)</f>
        <v>0</v>
      </c>
      <c r="J94" s="138">
        <f>IF('1.DATOS-PROD'!S95="SI",VLOOKUP('1.DATOS-PROD'!S$2,'1.PUNTOS'!$A$1:$B$63,2,0),0)</f>
        <v>0</v>
      </c>
      <c r="K94" s="138">
        <f>IF('1.DATOS-PROD'!T95="SI",VLOOKUP('1.DATOS-PROD'!T$2,'1.PUNTOS'!$A$1:$B$63,2,0),0)</f>
        <v>0</v>
      </c>
      <c r="L94" s="138">
        <f>IF('1.DATOS-PROD'!U95="SI",VLOOKUP('1.DATOS-PROD'!U$2,'1.PUNTOS'!$A$1:$B$63,2,0),0)</f>
        <v>0</v>
      </c>
      <c r="M94" s="138">
        <f>IF('1.DATOS-PROD'!V95="SI",VLOOKUP('1.DATOS-PROD'!V$2,'1.PUNTOS'!$A$1:$B$63,2,0),0)</f>
        <v>0</v>
      </c>
      <c r="N94" s="138">
        <f>IF('1.DATOS-PROD'!W95="SI",VLOOKUP('1.DATOS-PROD'!W$2,'1.PUNTOS'!$A$1:$B$63,2,0),0)</f>
        <v>0</v>
      </c>
      <c r="O94" s="138">
        <f>IF('1.DATOS-PROD'!X95="SI",VLOOKUP('1.DATOS-PROD'!X$2,'1.PUNTOS'!$A$1:$B$63,2,0),0)</f>
        <v>0</v>
      </c>
      <c r="P94" s="138">
        <f>IF('1.DATOS-PROD'!Y95="SI",VLOOKUP('1.DATOS-PROD'!Y$2,'1.PUNTOS'!$A$1:$B$63,2,0),0)</f>
        <v>0</v>
      </c>
      <c r="Q94" s="138">
        <f>IF('1.DATOS-PROD'!Z95="SI",VLOOKUP('1.DATOS-PROD'!Z$2,'1.PUNTOS'!$A$1:$B$63,2,0),0)</f>
        <v>0</v>
      </c>
      <c r="R94" s="138">
        <f>IF('1.DATOS-PROD'!AA95="SI",VLOOKUP('1.DATOS-PROD'!AA$2,'1.PUNTOS'!$A$1:$B$63,2,0),0)</f>
        <v>0</v>
      </c>
      <c r="S94" s="138">
        <f>IF('1.DATOS-PROD'!AB95="SI",VLOOKUP('1.DATOS-PROD'!AB$2,'1.PUNTOS'!$A$1:$B$63,2,0),0)</f>
        <v>0</v>
      </c>
      <c r="T94" s="138">
        <f>IF('1.DATOS-PROD'!AC95="SI",VLOOKUP('1.DATOS-PROD'!AC$2,'1.PUNTOS'!$A$1:$B$63,2,0),0)</f>
        <v>0</v>
      </c>
      <c r="U94" s="138">
        <f>IF('1.DATOS-PROD'!AD95="SI",VLOOKUP('1.DATOS-PROD'!AD$2,'1.PUNTOS'!$A$1:$B$63,2,0),0)</f>
        <v>0</v>
      </c>
      <c r="V94" s="138">
        <f>IF('1.DATOS-PROD'!AE95="SI",VLOOKUP('1.DATOS-PROD'!AE$2,'1.PUNTOS'!$A$1:$B$63,2,0),0)</f>
        <v>0</v>
      </c>
      <c r="W94" s="138">
        <f>IF('1.DATOS-PROD'!AF95="SI",VLOOKUP('1.DATOS-PROD'!AF$2,'1.PUNTOS'!$A$1:$B$63,2,0),0)</f>
        <v>0</v>
      </c>
      <c r="X94" s="138">
        <f>IF('1.DATOS-PROD'!AG95="SI",VLOOKUP('1.DATOS-PROD'!AG$2,'1.PUNTOS'!$A$1:$B$63,2,0),0)</f>
        <v>0</v>
      </c>
      <c r="Y94" s="138">
        <f>IF('1.DATOS-PROD'!AH95="SI",VLOOKUP('1.DATOS-PROD'!AH$2,'1.PUNTOS'!$A$1:$B$63,2,0),0)</f>
        <v>0</v>
      </c>
      <c r="Z94" s="138">
        <f>IF('1.DATOS-PROD'!AI95="SI",VLOOKUP('1.DATOS-PROD'!AI$2,'1.PUNTOS'!$A$1:$B$63,2,0),0)</f>
        <v>0</v>
      </c>
      <c r="AA94" s="138">
        <f>IF('1.DATOS-PROD'!AJ95="SI",VLOOKUP('1.DATOS-PROD'!AJ$2,'1.PUNTOS'!$A$1:$B$63,2,0),0)</f>
        <v>0</v>
      </c>
      <c r="AB94" s="138">
        <f>IF('1.DATOS-PROD'!AK95="SI",VLOOKUP('1.DATOS-PROD'!AK$2,'1.PUNTOS'!$A$1:$B$63,2,0),0)</f>
        <v>0</v>
      </c>
      <c r="AC94" s="138">
        <f>IF('1.DATOS-PROD'!AL95="SI",VLOOKUP('1.DATOS-PROD'!AL$2,'1.PUNTOS'!$A$1:$B$63,2,0),0)</f>
        <v>0</v>
      </c>
      <c r="AD94" s="138">
        <f>IF('1.DATOS-PROD'!AM95="SI",VLOOKUP('1.DATOS-PROD'!AM$2,'1.PUNTOS'!$A$1:$B$63,2,0),0)</f>
        <v>0</v>
      </c>
      <c r="AE94" s="138">
        <f>IF('1.DATOS-PROD'!AN95="SI",VLOOKUP('1.DATOS-PROD'!AN$2,'1.PUNTOS'!$A$1:$B$63,2,0),0)</f>
        <v>0</v>
      </c>
      <c r="AF94" s="138">
        <f>IF('1.DATOS-PROD'!AO95="SI",VLOOKUP('1.DATOS-PROD'!AO$2,'1.PUNTOS'!$A$1:$B$63,2,0),0)</f>
        <v>0</v>
      </c>
      <c r="AG94" s="138">
        <f>IF('1.DATOS-PROD'!AP95="SI",VLOOKUP('1.DATOS-PROD'!AP$2,'1.PUNTOS'!$A$1:$B$63,2,0),0)</f>
        <v>0</v>
      </c>
      <c r="AH94" s="138">
        <f>IF('1.DATOS-PROD'!AQ95="SI",VLOOKUP('1.DATOS-PROD'!AQ$2,'1.PUNTOS'!$A$1:$B$63,2,0),0)</f>
        <v>0</v>
      </c>
      <c r="AI94" s="138">
        <f>IF('1.DATOS-PROD'!AR95="SI",VLOOKUP('1.DATOS-PROD'!AR$2,'1.PUNTOS'!$A$1:$B$63,2,0),0)</f>
        <v>0</v>
      </c>
      <c r="AJ94" s="138">
        <f>IF('1.DATOS-PROD'!AS95="SI",VLOOKUP('1.DATOS-PROD'!AS$2,'1.PUNTOS'!$A$1:$B$63,2,0),0)</f>
        <v>0</v>
      </c>
      <c r="AK94" s="138">
        <f>IF('1.DATOS-PROD'!AT95="SI",VLOOKUP('1.DATOS-PROD'!AT$2,'1.PUNTOS'!$A$1:$B$63,2,0),0)</f>
        <v>0</v>
      </c>
      <c r="AL94" s="138">
        <f>IF('1.DATOS-PROD'!AU95="SI",VLOOKUP('1.DATOS-PROD'!AU$2,'1.PUNTOS'!$A$1:$B$63,2,0),0)</f>
        <v>0</v>
      </c>
      <c r="AM94" s="138">
        <f>IF('1.DATOS-PROD'!AV95="SI",VLOOKUP('1.DATOS-PROD'!AV$2,'1.PUNTOS'!$A$1:$B$63,2,0),0)</f>
        <v>0</v>
      </c>
      <c r="AN94" s="138">
        <f>IF('1.DATOS-PROD'!AW95="SI",VLOOKUP('1.DATOS-PROD'!AW$2,'1.PUNTOS'!$A$1:$B$63,2,0),0)</f>
        <v>0</v>
      </c>
      <c r="AO94" s="138">
        <f>IF('1.DATOS-PROD'!AX95="SI",VLOOKUP('1.DATOS-PROD'!AX$2,'1.PUNTOS'!$A$1:$B$63,2,0),0)</f>
        <v>0</v>
      </c>
      <c r="AP94" s="138">
        <f>IF('1.DATOS-PROD'!AY95="SI",VLOOKUP('1.DATOS-PROD'!AY$2,'1.PUNTOS'!$A$1:$B$63,2,0),0)</f>
        <v>0</v>
      </c>
      <c r="AQ94" s="138">
        <f>IF('1.DATOS-PROD'!AZ95="SI",VLOOKUP('1.DATOS-PROD'!AZ$2,'1.PUNTOS'!$A$1:$B$63,2,0),0)</f>
        <v>0</v>
      </c>
      <c r="AR94" s="138">
        <f>IF('1.DATOS-PROD'!BA95="SI",VLOOKUP('1.DATOS-PROD'!BA$2,'1.PUNTOS'!$A$1:$B$63,2,0),0)</f>
        <v>0</v>
      </c>
      <c r="AS94" s="138">
        <f>IF('1.DATOS-PROD'!BB95="SI",VLOOKUP('1.DATOS-PROD'!BB$2,'1.PUNTOS'!$A$1:$B$63,2,0),0)</f>
        <v>0</v>
      </c>
      <c r="AT94" s="138">
        <f>IF('1.DATOS-PROD'!BC95="SI",VLOOKUP('1.DATOS-PROD'!BC$2,'1.PUNTOS'!$A$1:$B$63,2,0),0)</f>
        <v>0</v>
      </c>
      <c r="AU94" s="138">
        <f>IF('1.DATOS-PROD'!BD95="SI",VLOOKUP('1.DATOS-PROD'!BD$2,'1.PUNTOS'!$A$1:$B$63,2,0),0)</f>
        <v>0</v>
      </c>
      <c r="AV94" s="138">
        <f>IF('1.DATOS-PROD'!BE95="SI",VLOOKUP('1.DATOS-PROD'!BE$2,'1.PUNTOS'!$A$1:$B$63,2,0),0)</f>
        <v>0</v>
      </c>
      <c r="AW94" s="138">
        <f>IF('1.DATOS-PROD'!BF95="SI",VLOOKUP('1.DATOS-PROD'!BF$2,'1.PUNTOS'!$A$1:$B$63,2,0),0)</f>
        <v>0</v>
      </c>
      <c r="AX94" s="138">
        <f>IF('1.DATOS-PROD'!BG95="SI",VLOOKUP('1.DATOS-PROD'!BG$2,'1.PUNTOS'!$A$1:$B$63,2,0),0)</f>
        <v>0</v>
      </c>
      <c r="AY94" s="138">
        <f>IF('1.DATOS-PROD'!BH95="SI",VLOOKUP('1.DATOS-PROD'!BH$2,'1.PUNTOS'!$A$1:$B$63,2,0),0)</f>
        <v>0</v>
      </c>
      <c r="AZ94" s="138">
        <f>IF('1.DATOS-PROD'!BI95="SI",VLOOKUP('1.DATOS-PROD'!BI$2,'1.PUNTOS'!$A$1:$B$63,2,0),0)</f>
        <v>0</v>
      </c>
      <c r="BA94" s="138">
        <f>IF('1.DATOS-PROD'!BJ95="SI",VLOOKUP('1.DATOS-PROD'!BJ$2,'1.PUNTOS'!$A$1:$B$63,2,0),0)</f>
        <v>0</v>
      </c>
      <c r="BB94" s="138">
        <f>IF('1.DATOS-PROD'!BK95="SI",VLOOKUP('1.DATOS-PROD'!BK$2,'1.PUNTOS'!$A$1:$B$63,2,0),0)</f>
        <v>0</v>
      </c>
      <c r="BC94" s="138">
        <f>IF('1.DATOS-PROD'!BL95="SI",VLOOKUP('1.DATOS-PROD'!BL$2,'1.PUNTOS'!$A$1:$B$63,2,0),0)</f>
        <v>0</v>
      </c>
      <c r="BD94" s="138">
        <f>IF('1.DATOS-PROD'!BM95="SI",VLOOKUP('1.DATOS-PROD'!BM$2,'1.PUNTOS'!$A$1:$B$63,2,0),0)</f>
        <v>0</v>
      </c>
      <c r="BE94" s="138">
        <f>IF('1.DATOS-PROD'!BN95="SI",VLOOKUP('1.DATOS-PROD'!BN$2,'1.PUNTOS'!$A$1:$B$63,2,0),0)</f>
        <v>0</v>
      </c>
      <c r="BF94" s="138">
        <f>IF('1.DATOS-PROD'!BO95="SI",VLOOKUP('1.DATOS-PROD'!BO$2,'1.PUNTOS'!$A$1:$B$63,2,0),0)</f>
        <v>0</v>
      </c>
      <c r="BG94" s="138">
        <f>IF('1.DATOS-PROD'!BP95="SI",VLOOKUP('1.DATOS-PROD'!BP$2,'1.PUNTOS'!$A$1:$B$63,2,0),0)</f>
        <v>0</v>
      </c>
      <c r="BH94" s="138">
        <f>IF('1.DATOS-PROD'!BQ95="SI",VLOOKUP('1.DATOS-PROD'!BQ$2,'1.PUNTOS'!$A$1:$B$63,2,0),0)</f>
        <v>0</v>
      </c>
      <c r="BI94" s="138">
        <f>IF('1.DATOS-PROD'!BR95="SI",VLOOKUP('1.DATOS-PROD'!BR$2,'1.PUNTOS'!$A$1:$B$63,2,0),0)</f>
        <v>0</v>
      </c>
      <c r="BJ94" s="138">
        <f>IF('1.DATOS-PROD'!BS95="SI",VLOOKUP('1.DATOS-PROD'!BS$2,'1.PUNTOS'!$A$1:$B$63,2,0),0)</f>
        <v>0</v>
      </c>
      <c r="BK94" s="138">
        <f>IF('1.DATOS-PROD'!BT95="SI",VLOOKUP('1.DATOS-PROD'!BT$2,'1.PUNTOS'!$A$1:$B$63,2,0),0)</f>
        <v>0</v>
      </c>
    </row>
    <row r="95" spans="1:63" x14ac:dyDescent="0.25">
      <c r="A95">
        <f>'0.Consolidado general'!$A96</f>
        <v>0</v>
      </c>
      <c r="B95" s="138">
        <f>IF('1.DATOS-PROD'!K96="SI",VLOOKUP('1.DATOS-PROD'!K$2,'1.PUNTOS'!$A$1:$B$63,2,0),0)</f>
        <v>0</v>
      </c>
      <c r="C95" s="138">
        <f>IF('1.DATOS-PROD'!L96="SI",VLOOKUP('1.DATOS-PROD'!L$2,'1.PUNTOS'!$A$1:$B$63,2,0),0)</f>
        <v>0</v>
      </c>
      <c r="D95" s="138">
        <f>IF('1.DATOS-PROD'!M96="SI",VLOOKUP('1.DATOS-PROD'!M$2,'1.PUNTOS'!$A$1:$B$63,2,0),0)</f>
        <v>0</v>
      </c>
      <c r="E95" s="138">
        <f>IF('1.DATOS-PROD'!N96="SI",VLOOKUP('1.DATOS-PROD'!N$2,'1.PUNTOS'!$A$1:$B$63,2,0),0)</f>
        <v>0</v>
      </c>
      <c r="F95" s="138">
        <f>IF('1.DATOS-PROD'!O96="SI",VLOOKUP('1.DATOS-PROD'!O$2,'1.PUNTOS'!$A$1:$B$63,2,0),0)</f>
        <v>0</v>
      </c>
      <c r="G95" s="138">
        <f>IF('1.DATOS-PROD'!P96="SI",VLOOKUP('1.DATOS-PROD'!P$2,'1.PUNTOS'!$A$1:$B$63,2,0),0)</f>
        <v>0</v>
      </c>
      <c r="H95" s="138">
        <f>IF('1.DATOS-PROD'!Q96="SI",VLOOKUP('1.DATOS-PROD'!Q$2,'1.PUNTOS'!$A$1:$B$63,2,0),0)</f>
        <v>0</v>
      </c>
      <c r="I95" s="138">
        <f>IF('1.DATOS-PROD'!R96="SI",VLOOKUP('1.DATOS-PROD'!R$2,'1.PUNTOS'!$A$1:$B$63,2,0),0)</f>
        <v>0</v>
      </c>
      <c r="J95" s="138">
        <f>IF('1.DATOS-PROD'!S96="SI",VLOOKUP('1.DATOS-PROD'!S$2,'1.PUNTOS'!$A$1:$B$63,2,0),0)</f>
        <v>0</v>
      </c>
      <c r="K95" s="138">
        <f>IF('1.DATOS-PROD'!T96="SI",VLOOKUP('1.DATOS-PROD'!T$2,'1.PUNTOS'!$A$1:$B$63,2,0),0)</f>
        <v>0</v>
      </c>
      <c r="L95" s="138">
        <f>IF('1.DATOS-PROD'!U96="SI",VLOOKUP('1.DATOS-PROD'!U$2,'1.PUNTOS'!$A$1:$B$63,2,0),0)</f>
        <v>0</v>
      </c>
      <c r="M95" s="138">
        <f>IF('1.DATOS-PROD'!V96="SI",VLOOKUP('1.DATOS-PROD'!V$2,'1.PUNTOS'!$A$1:$B$63,2,0),0)</f>
        <v>0</v>
      </c>
      <c r="N95" s="138">
        <f>IF('1.DATOS-PROD'!W96="SI",VLOOKUP('1.DATOS-PROD'!W$2,'1.PUNTOS'!$A$1:$B$63,2,0),0)</f>
        <v>0</v>
      </c>
      <c r="O95" s="138">
        <f>IF('1.DATOS-PROD'!X96="SI",VLOOKUP('1.DATOS-PROD'!X$2,'1.PUNTOS'!$A$1:$B$63,2,0),0)</f>
        <v>0</v>
      </c>
      <c r="P95" s="138">
        <f>IF('1.DATOS-PROD'!Y96="SI",VLOOKUP('1.DATOS-PROD'!Y$2,'1.PUNTOS'!$A$1:$B$63,2,0),0)</f>
        <v>0</v>
      </c>
      <c r="Q95" s="138">
        <f>IF('1.DATOS-PROD'!Z96="SI",VLOOKUP('1.DATOS-PROD'!Z$2,'1.PUNTOS'!$A$1:$B$63,2,0),0)</f>
        <v>0</v>
      </c>
      <c r="R95" s="138">
        <f>IF('1.DATOS-PROD'!AA96="SI",VLOOKUP('1.DATOS-PROD'!AA$2,'1.PUNTOS'!$A$1:$B$63,2,0),0)</f>
        <v>0</v>
      </c>
      <c r="S95" s="138">
        <f>IF('1.DATOS-PROD'!AB96="SI",VLOOKUP('1.DATOS-PROD'!AB$2,'1.PUNTOS'!$A$1:$B$63,2,0),0)</f>
        <v>0</v>
      </c>
      <c r="T95" s="138">
        <f>IF('1.DATOS-PROD'!AC96="SI",VLOOKUP('1.DATOS-PROD'!AC$2,'1.PUNTOS'!$A$1:$B$63,2,0),0)</f>
        <v>0</v>
      </c>
      <c r="U95" s="138">
        <f>IF('1.DATOS-PROD'!AD96="SI",VLOOKUP('1.DATOS-PROD'!AD$2,'1.PUNTOS'!$A$1:$B$63,2,0),0)</f>
        <v>0</v>
      </c>
      <c r="V95" s="138">
        <f>IF('1.DATOS-PROD'!AE96="SI",VLOOKUP('1.DATOS-PROD'!AE$2,'1.PUNTOS'!$A$1:$B$63,2,0),0)</f>
        <v>0</v>
      </c>
      <c r="W95" s="138">
        <f>IF('1.DATOS-PROD'!AF96="SI",VLOOKUP('1.DATOS-PROD'!AF$2,'1.PUNTOS'!$A$1:$B$63,2,0),0)</f>
        <v>0</v>
      </c>
      <c r="X95" s="138">
        <f>IF('1.DATOS-PROD'!AG96="SI",VLOOKUP('1.DATOS-PROD'!AG$2,'1.PUNTOS'!$A$1:$B$63,2,0),0)</f>
        <v>0</v>
      </c>
      <c r="Y95" s="138">
        <f>IF('1.DATOS-PROD'!AH96="SI",VLOOKUP('1.DATOS-PROD'!AH$2,'1.PUNTOS'!$A$1:$B$63,2,0),0)</f>
        <v>0</v>
      </c>
      <c r="Z95" s="138">
        <f>IF('1.DATOS-PROD'!AI96="SI",VLOOKUP('1.DATOS-PROD'!AI$2,'1.PUNTOS'!$A$1:$B$63,2,0),0)</f>
        <v>0</v>
      </c>
      <c r="AA95" s="138">
        <f>IF('1.DATOS-PROD'!AJ96="SI",VLOOKUP('1.DATOS-PROD'!AJ$2,'1.PUNTOS'!$A$1:$B$63,2,0),0)</f>
        <v>0</v>
      </c>
      <c r="AB95" s="138">
        <f>IF('1.DATOS-PROD'!AK96="SI",VLOOKUP('1.DATOS-PROD'!AK$2,'1.PUNTOS'!$A$1:$B$63,2,0),0)</f>
        <v>0</v>
      </c>
      <c r="AC95" s="138">
        <f>IF('1.DATOS-PROD'!AL96="SI",VLOOKUP('1.DATOS-PROD'!AL$2,'1.PUNTOS'!$A$1:$B$63,2,0),0)</f>
        <v>0</v>
      </c>
      <c r="AD95" s="138">
        <f>IF('1.DATOS-PROD'!AM96="SI",VLOOKUP('1.DATOS-PROD'!AM$2,'1.PUNTOS'!$A$1:$B$63,2,0),0)</f>
        <v>0</v>
      </c>
      <c r="AE95" s="138">
        <f>IF('1.DATOS-PROD'!AN96="SI",VLOOKUP('1.DATOS-PROD'!AN$2,'1.PUNTOS'!$A$1:$B$63,2,0),0)</f>
        <v>0</v>
      </c>
      <c r="AF95" s="138">
        <f>IF('1.DATOS-PROD'!AO96="SI",VLOOKUP('1.DATOS-PROD'!AO$2,'1.PUNTOS'!$A$1:$B$63,2,0),0)</f>
        <v>0</v>
      </c>
      <c r="AG95" s="138">
        <f>IF('1.DATOS-PROD'!AP96="SI",VLOOKUP('1.DATOS-PROD'!AP$2,'1.PUNTOS'!$A$1:$B$63,2,0),0)</f>
        <v>0</v>
      </c>
      <c r="AH95" s="138">
        <f>IF('1.DATOS-PROD'!AQ96="SI",VLOOKUP('1.DATOS-PROD'!AQ$2,'1.PUNTOS'!$A$1:$B$63,2,0),0)</f>
        <v>0</v>
      </c>
      <c r="AI95" s="138">
        <f>IF('1.DATOS-PROD'!AR96="SI",VLOOKUP('1.DATOS-PROD'!AR$2,'1.PUNTOS'!$A$1:$B$63,2,0),0)</f>
        <v>0</v>
      </c>
      <c r="AJ95" s="138">
        <f>IF('1.DATOS-PROD'!AS96="SI",VLOOKUP('1.DATOS-PROD'!AS$2,'1.PUNTOS'!$A$1:$B$63,2,0),0)</f>
        <v>0</v>
      </c>
      <c r="AK95" s="138">
        <f>IF('1.DATOS-PROD'!AT96="SI",VLOOKUP('1.DATOS-PROD'!AT$2,'1.PUNTOS'!$A$1:$B$63,2,0),0)</f>
        <v>0</v>
      </c>
      <c r="AL95" s="138">
        <f>IF('1.DATOS-PROD'!AU96="SI",VLOOKUP('1.DATOS-PROD'!AU$2,'1.PUNTOS'!$A$1:$B$63,2,0),0)</f>
        <v>0</v>
      </c>
      <c r="AM95" s="138">
        <f>IF('1.DATOS-PROD'!AV96="SI",VLOOKUP('1.DATOS-PROD'!AV$2,'1.PUNTOS'!$A$1:$B$63,2,0),0)</f>
        <v>0</v>
      </c>
      <c r="AN95" s="138">
        <f>IF('1.DATOS-PROD'!AW96="SI",VLOOKUP('1.DATOS-PROD'!AW$2,'1.PUNTOS'!$A$1:$B$63,2,0),0)</f>
        <v>0</v>
      </c>
      <c r="AO95" s="138">
        <f>IF('1.DATOS-PROD'!AX96="SI",VLOOKUP('1.DATOS-PROD'!AX$2,'1.PUNTOS'!$A$1:$B$63,2,0),0)</f>
        <v>0</v>
      </c>
      <c r="AP95" s="138">
        <f>IF('1.DATOS-PROD'!AY96="SI",VLOOKUP('1.DATOS-PROD'!AY$2,'1.PUNTOS'!$A$1:$B$63,2,0),0)</f>
        <v>0</v>
      </c>
      <c r="AQ95" s="138">
        <f>IF('1.DATOS-PROD'!AZ96="SI",VLOOKUP('1.DATOS-PROD'!AZ$2,'1.PUNTOS'!$A$1:$B$63,2,0),0)</f>
        <v>0</v>
      </c>
      <c r="AR95" s="138">
        <f>IF('1.DATOS-PROD'!BA96="SI",VLOOKUP('1.DATOS-PROD'!BA$2,'1.PUNTOS'!$A$1:$B$63,2,0),0)</f>
        <v>0</v>
      </c>
      <c r="AS95" s="138">
        <f>IF('1.DATOS-PROD'!BB96="SI",VLOOKUP('1.DATOS-PROD'!BB$2,'1.PUNTOS'!$A$1:$B$63,2,0),0)</f>
        <v>0</v>
      </c>
      <c r="AT95" s="138">
        <f>IF('1.DATOS-PROD'!BC96="SI",VLOOKUP('1.DATOS-PROD'!BC$2,'1.PUNTOS'!$A$1:$B$63,2,0),0)</f>
        <v>0</v>
      </c>
      <c r="AU95" s="138">
        <f>IF('1.DATOS-PROD'!BD96="SI",VLOOKUP('1.DATOS-PROD'!BD$2,'1.PUNTOS'!$A$1:$B$63,2,0),0)</f>
        <v>0</v>
      </c>
      <c r="AV95" s="138">
        <f>IF('1.DATOS-PROD'!BE96="SI",VLOOKUP('1.DATOS-PROD'!BE$2,'1.PUNTOS'!$A$1:$B$63,2,0),0)</f>
        <v>0</v>
      </c>
      <c r="AW95" s="138">
        <f>IF('1.DATOS-PROD'!BF96="SI",VLOOKUP('1.DATOS-PROD'!BF$2,'1.PUNTOS'!$A$1:$B$63,2,0),0)</f>
        <v>0</v>
      </c>
      <c r="AX95" s="138">
        <f>IF('1.DATOS-PROD'!BG96="SI",VLOOKUP('1.DATOS-PROD'!BG$2,'1.PUNTOS'!$A$1:$B$63,2,0),0)</f>
        <v>0</v>
      </c>
      <c r="AY95" s="138">
        <f>IF('1.DATOS-PROD'!BH96="SI",VLOOKUP('1.DATOS-PROD'!BH$2,'1.PUNTOS'!$A$1:$B$63,2,0),0)</f>
        <v>0</v>
      </c>
      <c r="AZ95" s="138">
        <f>IF('1.DATOS-PROD'!BI96="SI",VLOOKUP('1.DATOS-PROD'!BI$2,'1.PUNTOS'!$A$1:$B$63,2,0),0)</f>
        <v>0</v>
      </c>
      <c r="BA95" s="138">
        <f>IF('1.DATOS-PROD'!BJ96="SI",VLOOKUP('1.DATOS-PROD'!BJ$2,'1.PUNTOS'!$A$1:$B$63,2,0),0)</f>
        <v>0</v>
      </c>
      <c r="BB95" s="138">
        <f>IF('1.DATOS-PROD'!BK96="SI",VLOOKUP('1.DATOS-PROD'!BK$2,'1.PUNTOS'!$A$1:$B$63,2,0),0)</f>
        <v>0</v>
      </c>
      <c r="BC95" s="138">
        <f>IF('1.DATOS-PROD'!BL96="SI",VLOOKUP('1.DATOS-PROD'!BL$2,'1.PUNTOS'!$A$1:$B$63,2,0),0)</f>
        <v>0</v>
      </c>
      <c r="BD95" s="138">
        <f>IF('1.DATOS-PROD'!BM96="SI",VLOOKUP('1.DATOS-PROD'!BM$2,'1.PUNTOS'!$A$1:$B$63,2,0),0)</f>
        <v>0</v>
      </c>
      <c r="BE95" s="138">
        <f>IF('1.DATOS-PROD'!BN96="SI",VLOOKUP('1.DATOS-PROD'!BN$2,'1.PUNTOS'!$A$1:$B$63,2,0),0)</f>
        <v>0</v>
      </c>
      <c r="BF95" s="138">
        <f>IF('1.DATOS-PROD'!BO96="SI",VLOOKUP('1.DATOS-PROD'!BO$2,'1.PUNTOS'!$A$1:$B$63,2,0),0)</f>
        <v>0</v>
      </c>
      <c r="BG95" s="138">
        <f>IF('1.DATOS-PROD'!BP96="SI",VLOOKUP('1.DATOS-PROD'!BP$2,'1.PUNTOS'!$A$1:$B$63,2,0),0)</f>
        <v>0</v>
      </c>
      <c r="BH95" s="138">
        <f>IF('1.DATOS-PROD'!BQ96="SI",VLOOKUP('1.DATOS-PROD'!BQ$2,'1.PUNTOS'!$A$1:$B$63,2,0),0)</f>
        <v>0</v>
      </c>
      <c r="BI95" s="138">
        <f>IF('1.DATOS-PROD'!BR96="SI",VLOOKUP('1.DATOS-PROD'!BR$2,'1.PUNTOS'!$A$1:$B$63,2,0),0)</f>
        <v>0</v>
      </c>
      <c r="BJ95" s="138">
        <f>IF('1.DATOS-PROD'!BS96="SI",VLOOKUP('1.DATOS-PROD'!BS$2,'1.PUNTOS'!$A$1:$B$63,2,0),0)</f>
        <v>0</v>
      </c>
      <c r="BK95" s="138">
        <f>IF('1.DATOS-PROD'!BT96="SI",VLOOKUP('1.DATOS-PROD'!BT$2,'1.PUNTOS'!$A$1:$B$63,2,0),0)</f>
        <v>0</v>
      </c>
    </row>
    <row r="96" spans="1:63" x14ac:dyDescent="0.25">
      <c r="A96">
        <f>'0.Consolidado general'!$A97</f>
        <v>0</v>
      </c>
      <c r="B96" s="138">
        <f>IF('1.DATOS-PROD'!K97="SI",VLOOKUP('1.DATOS-PROD'!K$2,'1.PUNTOS'!$A$1:$B$63,2,0),0)</f>
        <v>0</v>
      </c>
      <c r="C96" s="138">
        <f>IF('1.DATOS-PROD'!L97="SI",VLOOKUP('1.DATOS-PROD'!L$2,'1.PUNTOS'!$A$1:$B$63,2,0),0)</f>
        <v>0</v>
      </c>
      <c r="D96" s="138">
        <f>IF('1.DATOS-PROD'!M97="SI",VLOOKUP('1.DATOS-PROD'!M$2,'1.PUNTOS'!$A$1:$B$63,2,0),0)</f>
        <v>0</v>
      </c>
      <c r="E96" s="138">
        <f>IF('1.DATOS-PROD'!N97="SI",VLOOKUP('1.DATOS-PROD'!N$2,'1.PUNTOS'!$A$1:$B$63,2,0),0)</f>
        <v>0</v>
      </c>
      <c r="F96" s="138">
        <f>IF('1.DATOS-PROD'!O97="SI",VLOOKUP('1.DATOS-PROD'!O$2,'1.PUNTOS'!$A$1:$B$63,2,0),0)</f>
        <v>0</v>
      </c>
      <c r="G96" s="138">
        <f>IF('1.DATOS-PROD'!P97="SI",VLOOKUP('1.DATOS-PROD'!P$2,'1.PUNTOS'!$A$1:$B$63,2,0),0)</f>
        <v>0</v>
      </c>
      <c r="H96" s="138">
        <f>IF('1.DATOS-PROD'!Q97="SI",VLOOKUP('1.DATOS-PROD'!Q$2,'1.PUNTOS'!$A$1:$B$63,2,0),0)</f>
        <v>0</v>
      </c>
      <c r="I96" s="138">
        <f>IF('1.DATOS-PROD'!R97="SI",VLOOKUP('1.DATOS-PROD'!R$2,'1.PUNTOS'!$A$1:$B$63,2,0),0)</f>
        <v>0</v>
      </c>
      <c r="J96" s="138">
        <f>IF('1.DATOS-PROD'!S97="SI",VLOOKUP('1.DATOS-PROD'!S$2,'1.PUNTOS'!$A$1:$B$63,2,0),0)</f>
        <v>0</v>
      </c>
      <c r="K96" s="138">
        <f>IF('1.DATOS-PROD'!T97="SI",VLOOKUP('1.DATOS-PROD'!T$2,'1.PUNTOS'!$A$1:$B$63,2,0),0)</f>
        <v>0</v>
      </c>
      <c r="L96" s="138">
        <f>IF('1.DATOS-PROD'!U97="SI",VLOOKUP('1.DATOS-PROD'!U$2,'1.PUNTOS'!$A$1:$B$63,2,0),0)</f>
        <v>0</v>
      </c>
      <c r="M96" s="138">
        <f>IF('1.DATOS-PROD'!V97="SI",VLOOKUP('1.DATOS-PROD'!V$2,'1.PUNTOS'!$A$1:$B$63,2,0),0)</f>
        <v>0</v>
      </c>
      <c r="N96" s="138">
        <f>IF('1.DATOS-PROD'!W97="SI",VLOOKUP('1.DATOS-PROD'!W$2,'1.PUNTOS'!$A$1:$B$63,2,0),0)</f>
        <v>0</v>
      </c>
      <c r="O96" s="138">
        <f>IF('1.DATOS-PROD'!X97="SI",VLOOKUP('1.DATOS-PROD'!X$2,'1.PUNTOS'!$A$1:$B$63,2,0),0)</f>
        <v>0</v>
      </c>
      <c r="P96" s="138">
        <f>IF('1.DATOS-PROD'!Y97="SI",VLOOKUP('1.DATOS-PROD'!Y$2,'1.PUNTOS'!$A$1:$B$63,2,0),0)</f>
        <v>0</v>
      </c>
      <c r="Q96" s="138">
        <f>IF('1.DATOS-PROD'!Z97="SI",VLOOKUP('1.DATOS-PROD'!Z$2,'1.PUNTOS'!$A$1:$B$63,2,0),0)</f>
        <v>0</v>
      </c>
      <c r="R96" s="138">
        <f>IF('1.DATOS-PROD'!AA97="SI",VLOOKUP('1.DATOS-PROD'!AA$2,'1.PUNTOS'!$A$1:$B$63,2,0),0)</f>
        <v>0</v>
      </c>
      <c r="S96" s="138">
        <f>IF('1.DATOS-PROD'!AB97="SI",VLOOKUP('1.DATOS-PROD'!AB$2,'1.PUNTOS'!$A$1:$B$63,2,0),0)</f>
        <v>0</v>
      </c>
      <c r="T96" s="138">
        <f>IF('1.DATOS-PROD'!AC97="SI",VLOOKUP('1.DATOS-PROD'!AC$2,'1.PUNTOS'!$A$1:$B$63,2,0),0)</f>
        <v>0</v>
      </c>
      <c r="U96" s="138">
        <f>IF('1.DATOS-PROD'!AD97="SI",VLOOKUP('1.DATOS-PROD'!AD$2,'1.PUNTOS'!$A$1:$B$63,2,0),0)</f>
        <v>0</v>
      </c>
      <c r="V96" s="138">
        <f>IF('1.DATOS-PROD'!AE97="SI",VLOOKUP('1.DATOS-PROD'!AE$2,'1.PUNTOS'!$A$1:$B$63,2,0),0)</f>
        <v>0</v>
      </c>
      <c r="W96" s="138">
        <f>IF('1.DATOS-PROD'!AF97="SI",VLOOKUP('1.DATOS-PROD'!AF$2,'1.PUNTOS'!$A$1:$B$63,2,0),0)</f>
        <v>0</v>
      </c>
      <c r="X96" s="138">
        <f>IF('1.DATOS-PROD'!AG97="SI",VLOOKUP('1.DATOS-PROD'!AG$2,'1.PUNTOS'!$A$1:$B$63,2,0),0)</f>
        <v>0</v>
      </c>
      <c r="Y96" s="138">
        <f>IF('1.DATOS-PROD'!AH97="SI",VLOOKUP('1.DATOS-PROD'!AH$2,'1.PUNTOS'!$A$1:$B$63,2,0),0)</f>
        <v>0</v>
      </c>
      <c r="Z96" s="138">
        <f>IF('1.DATOS-PROD'!AI97="SI",VLOOKUP('1.DATOS-PROD'!AI$2,'1.PUNTOS'!$A$1:$B$63,2,0),0)</f>
        <v>0</v>
      </c>
      <c r="AA96" s="138">
        <f>IF('1.DATOS-PROD'!AJ97="SI",VLOOKUP('1.DATOS-PROD'!AJ$2,'1.PUNTOS'!$A$1:$B$63,2,0),0)</f>
        <v>0</v>
      </c>
      <c r="AB96" s="138">
        <f>IF('1.DATOS-PROD'!AK97="SI",VLOOKUP('1.DATOS-PROD'!AK$2,'1.PUNTOS'!$A$1:$B$63,2,0),0)</f>
        <v>0</v>
      </c>
      <c r="AC96" s="138">
        <f>IF('1.DATOS-PROD'!AL97="SI",VLOOKUP('1.DATOS-PROD'!AL$2,'1.PUNTOS'!$A$1:$B$63,2,0),0)</f>
        <v>0</v>
      </c>
      <c r="AD96" s="138">
        <f>IF('1.DATOS-PROD'!AM97="SI",VLOOKUP('1.DATOS-PROD'!AM$2,'1.PUNTOS'!$A$1:$B$63,2,0),0)</f>
        <v>0</v>
      </c>
      <c r="AE96" s="138">
        <f>IF('1.DATOS-PROD'!AN97="SI",VLOOKUP('1.DATOS-PROD'!AN$2,'1.PUNTOS'!$A$1:$B$63,2,0),0)</f>
        <v>0</v>
      </c>
      <c r="AF96" s="138">
        <f>IF('1.DATOS-PROD'!AO97="SI",VLOOKUP('1.DATOS-PROD'!AO$2,'1.PUNTOS'!$A$1:$B$63,2,0),0)</f>
        <v>0</v>
      </c>
      <c r="AG96" s="138">
        <f>IF('1.DATOS-PROD'!AP97="SI",VLOOKUP('1.DATOS-PROD'!AP$2,'1.PUNTOS'!$A$1:$B$63,2,0),0)</f>
        <v>0</v>
      </c>
      <c r="AH96" s="138">
        <f>IF('1.DATOS-PROD'!AQ97="SI",VLOOKUP('1.DATOS-PROD'!AQ$2,'1.PUNTOS'!$A$1:$B$63,2,0),0)</f>
        <v>0</v>
      </c>
      <c r="AI96" s="138">
        <f>IF('1.DATOS-PROD'!AR97="SI",VLOOKUP('1.DATOS-PROD'!AR$2,'1.PUNTOS'!$A$1:$B$63,2,0),0)</f>
        <v>0</v>
      </c>
      <c r="AJ96" s="138">
        <f>IF('1.DATOS-PROD'!AS97="SI",VLOOKUP('1.DATOS-PROD'!AS$2,'1.PUNTOS'!$A$1:$B$63,2,0),0)</f>
        <v>0</v>
      </c>
      <c r="AK96" s="138">
        <f>IF('1.DATOS-PROD'!AT97="SI",VLOOKUP('1.DATOS-PROD'!AT$2,'1.PUNTOS'!$A$1:$B$63,2,0),0)</f>
        <v>0</v>
      </c>
      <c r="AL96" s="138">
        <f>IF('1.DATOS-PROD'!AU97="SI",VLOOKUP('1.DATOS-PROD'!AU$2,'1.PUNTOS'!$A$1:$B$63,2,0),0)</f>
        <v>0</v>
      </c>
      <c r="AM96" s="138">
        <f>IF('1.DATOS-PROD'!AV97="SI",VLOOKUP('1.DATOS-PROD'!AV$2,'1.PUNTOS'!$A$1:$B$63,2,0),0)</f>
        <v>0</v>
      </c>
      <c r="AN96" s="138">
        <f>IF('1.DATOS-PROD'!AW97="SI",VLOOKUP('1.DATOS-PROD'!AW$2,'1.PUNTOS'!$A$1:$B$63,2,0),0)</f>
        <v>0</v>
      </c>
      <c r="AO96" s="138">
        <f>IF('1.DATOS-PROD'!AX97="SI",VLOOKUP('1.DATOS-PROD'!AX$2,'1.PUNTOS'!$A$1:$B$63,2,0),0)</f>
        <v>0</v>
      </c>
      <c r="AP96" s="138">
        <f>IF('1.DATOS-PROD'!AY97="SI",VLOOKUP('1.DATOS-PROD'!AY$2,'1.PUNTOS'!$A$1:$B$63,2,0),0)</f>
        <v>0</v>
      </c>
      <c r="AQ96" s="138">
        <f>IF('1.DATOS-PROD'!AZ97="SI",VLOOKUP('1.DATOS-PROD'!AZ$2,'1.PUNTOS'!$A$1:$B$63,2,0),0)</f>
        <v>0</v>
      </c>
      <c r="AR96" s="138">
        <f>IF('1.DATOS-PROD'!BA97="SI",VLOOKUP('1.DATOS-PROD'!BA$2,'1.PUNTOS'!$A$1:$B$63,2,0),0)</f>
        <v>0</v>
      </c>
      <c r="AS96" s="138">
        <f>IF('1.DATOS-PROD'!BB97="SI",VLOOKUP('1.DATOS-PROD'!BB$2,'1.PUNTOS'!$A$1:$B$63,2,0),0)</f>
        <v>0</v>
      </c>
      <c r="AT96" s="138">
        <f>IF('1.DATOS-PROD'!BC97="SI",VLOOKUP('1.DATOS-PROD'!BC$2,'1.PUNTOS'!$A$1:$B$63,2,0),0)</f>
        <v>0</v>
      </c>
      <c r="AU96" s="138">
        <f>IF('1.DATOS-PROD'!BD97="SI",VLOOKUP('1.DATOS-PROD'!BD$2,'1.PUNTOS'!$A$1:$B$63,2,0),0)</f>
        <v>0</v>
      </c>
      <c r="AV96" s="138">
        <f>IF('1.DATOS-PROD'!BE97="SI",VLOOKUP('1.DATOS-PROD'!BE$2,'1.PUNTOS'!$A$1:$B$63,2,0),0)</f>
        <v>0</v>
      </c>
      <c r="AW96" s="138">
        <f>IF('1.DATOS-PROD'!BF97="SI",VLOOKUP('1.DATOS-PROD'!BF$2,'1.PUNTOS'!$A$1:$B$63,2,0),0)</f>
        <v>0</v>
      </c>
      <c r="AX96" s="138">
        <f>IF('1.DATOS-PROD'!BG97="SI",VLOOKUP('1.DATOS-PROD'!BG$2,'1.PUNTOS'!$A$1:$B$63,2,0),0)</f>
        <v>0</v>
      </c>
      <c r="AY96" s="138">
        <f>IF('1.DATOS-PROD'!BH97="SI",VLOOKUP('1.DATOS-PROD'!BH$2,'1.PUNTOS'!$A$1:$B$63,2,0),0)</f>
        <v>0</v>
      </c>
      <c r="AZ96" s="138">
        <f>IF('1.DATOS-PROD'!BI97="SI",VLOOKUP('1.DATOS-PROD'!BI$2,'1.PUNTOS'!$A$1:$B$63,2,0),0)</f>
        <v>0</v>
      </c>
      <c r="BA96" s="138">
        <f>IF('1.DATOS-PROD'!BJ97="SI",VLOOKUP('1.DATOS-PROD'!BJ$2,'1.PUNTOS'!$A$1:$B$63,2,0),0)</f>
        <v>0</v>
      </c>
      <c r="BB96" s="138">
        <f>IF('1.DATOS-PROD'!BK97="SI",VLOOKUP('1.DATOS-PROD'!BK$2,'1.PUNTOS'!$A$1:$B$63,2,0),0)</f>
        <v>0</v>
      </c>
      <c r="BC96" s="138">
        <f>IF('1.DATOS-PROD'!BL97="SI",VLOOKUP('1.DATOS-PROD'!BL$2,'1.PUNTOS'!$A$1:$B$63,2,0),0)</f>
        <v>0</v>
      </c>
      <c r="BD96" s="138">
        <f>IF('1.DATOS-PROD'!BM97="SI",VLOOKUP('1.DATOS-PROD'!BM$2,'1.PUNTOS'!$A$1:$B$63,2,0),0)</f>
        <v>0</v>
      </c>
      <c r="BE96" s="138">
        <f>IF('1.DATOS-PROD'!BN97="SI",VLOOKUP('1.DATOS-PROD'!BN$2,'1.PUNTOS'!$A$1:$B$63,2,0),0)</f>
        <v>0</v>
      </c>
      <c r="BF96" s="138">
        <f>IF('1.DATOS-PROD'!BO97="SI",VLOOKUP('1.DATOS-PROD'!BO$2,'1.PUNTOS'!$A$1:$B$63,2,0),0)</f>
        <v>0</v>
      </c>
      <c r="BG96" s="138">
        <f>IF('1.DATOS-PROD'!BP97="SI",VLOOKUP('1.DATOS-PROD'!BP$2,'1.PUNTOS'!$A$1:$B$63,2,0),0)</f>
        <v>0</v>
      </c>
      <c r="BH96" s="138">
        <f>IF('1.DATOS-PROD'!BQ97="SI",VLOOKUP('1.DATOS-PROD'!BQ$2,'1.PUNTOS'!$A$1:$B$63,2,0),0)</f>
        <v>0</v>
      </c>
      <c r="BI96" s="138">
        <f>IF('1.DATOS-PROD'!BR97="SI",VLOOKUP('1.DATOS-PROD'!BR$2,'1.PUNTOS'!$A$1:$B$63,2,0),0)</f>
        <v>0</v>
      </c>
      <c r="BJ96" s="138">
        <f>IF('1.DATOS-PROD'!BS97="SI",VLOOKUP('1.DATOS-PROD'!BS$2,'1.PUNTOS'!$A$1:$B$63,2,0),0)</f>
        <v>0</v>
      </c>
      <c r="BK96" s="138">
        <f>IF('1.DATOS-PROD'!BT97="SI",VLOOKUP('1.DATOS-PROD'!BT$2,'1.PUNTOS'!$A$1:$B$63,2,0),0)</f>
        <v>0</v>
      </c>
    </row>
    <row r="97" spans="1:63" x14ac:dyDescent="0.25">
      <c r="A97">
        <f>'0.Consolidado general'!$A98</f>
        <v>0</v>
      </c>
      <c r="B97" s="138">
        <f>IF('1.DATOS-PROD'!K98="SI",VLOOKUP('1.DATOS-PROD'!K$2,'1.PUNTOS'!$A$1:$B$63,2,0),0)</f>
        <v>0</v>
      </c>
      <c r="C97" s="138">
        <f>IF('1.DATOS-PROD'!L98="SI",VLOOKUP('1.DATOS-PROD'!L$2,'1.PUNTOS'!$A$1:$B$63,2,0),0)</f>
        <v>0</v>
      </c>
      <c r="D97" s="138">
        <f>IF('1.DATOS-PROD'!M98="SI",VLOOKUP('1.DATOS-PROD'!M$2,'1.PUNTOS'!$A$1:$B$63,2,0),0)</f>
        <v>0</v>
      </c>
      <c r="E97" s="138">
        <f>IF('1.DATOS-PROD'!N98="SI",VLOOKUP('1.DATOS-PROD'!N$2,'1.PUNTOS'!$A$1:$B$63,2,0),0)</f>
        <v>0</v>
      </c>
      <c r="F97" s="138">
        <f>IF('1.DATOS-PROD'!O98="SI",VLOOKUP('1.DATOS-PROD'!O$2,'1.PUNTOS'!$A$1:$B$63,2,0),0)</f>
        <v>0</v>
      </c>
      <c r="G97" s="138">
        <f>IF('1.DATOS-PROD'!P98="SI",VLOOKUP('1.DATOS-PROD'!P$2,'1.PUNTOS'!$A$1:$B$63,2,0),0)</f>
        <v>0</v>
      </c>
      <c r="H97" s="138">
        <f>IF('1.DATOS-PROD'!Q98="SI",VLOOKUP('1.DATOS-PROD'!Q$2,'1.PUNTOS'!$A$1:$B$63,2,0),0)</f>
        <v>0</v>
      </c>
      <c r="I97" s="138">
        <f>IF('1.DATOS-PROD'!R98="SI",VLOOKUP('1.DATOS-PROD'!R$2,'1.PUNTOS'!$A$1:$B$63,2,0),0)</f>
        <v>0</v>
      </c>
      <c r="J97" s="138">
        <f>IF('1.DATOS-PROD'!S98="SI",VLOOKUP('1.DATOS-PROD'!S$2,'1.PUNTOS'!$A$1:$B$63,2,0),0)</f>
        <v>0</v>
      </c>
      <c r="K97" s="138">
        <f>IF('1.DATOS-PROD'!T98="SI",VLOOKUP('1.DATOS-PROD'!T$2,'1.PUNTOS'!$A$1:$B$63,2,0),0)</f>
        <v>0</v>
      </c>
      <c r="L97" s="138">
        <f>IF('1.DATOS-PROD'!U98="SI",VLOOKUP('1.DATOS-PROD'!U$2,'1.PUNTOS'!$A$1:$B$63,2,0),0)</f>
        <v>0</v>
      </c>
      <c r="M97" s="138">
        <f>IF('1.DATOS-PROD'!V98="SI",VLOOKUP('1.DATOS-PROD'!V$2,'1.PUNTOS'!$A$1:$B$63,2,0),0)</f>
        <v>0</v>
      </c>
      <c r="N97" s="138">
        <f>IF('1.DATOS-PROD'!W98="SI",VLOOKUP('1.DATOS-PROD'!W$2,'1.PUNTOS'!$A$1:$B$63,2,0),0)</f>
        <v>0</v>
      </c>
      <c r="O97" s="138">
        <f>IF('1.DATOS-PROD'!X98="SI",VLOOKUP('1.DATOS-PROD'!X$2,'1.PUNTOS'!$A$1:$B$63,2,0),0)</f>
        <v>0</v>
      </c>
      <c r="P97" s="138">
        <f>IF('1.DATOS-PROD'!Y98="SI",VLOOKUP('1.DATOS-PROD'!Y$2,'1.PUNTOS'!$A$1:$B$63,2,0),0)</f>
        <v>0</v>
      </c>
      <c r="Q97" s="138">
        <f>IF('1.DATOS-PROD'!Z98="SI",VLOOKUP('1.DATOS-PROD'!Z$2,'1.PUNTOS'!$A$1:$B$63,2,0),0)</f>
        <v>0</v>
      </c>
      <c r="R97" s="138">
        <f>IF('1.DATOS-PROD'!AA98="SI",VLOOKUP('1.DATOS-PROD'!AA$2,'1.PUNTOS'!$A$1:$B$63,2,0),0)</f>
        <v>0</v>
      </c>
      <c r="S97" s="138">
        <f>IF('1.DATOS-PROD'!AB98="SI",VLOOKUP('1.DATOS-PROD'!AB$2,'1.PUNTOS'!$A$1:$B$63,2,0),0)</f>
        <v>0</v>
      </c>
      <c r="T97" s="138">
        <f>IF('1.DATOS-PROD'!AC98="SI",VLOOKUP('1.DATOS-PROD'!AC$2,'1.PUNTOS'!$A$1:$B$63,2,0),0)</f>
        <v>0</v>
      </c>
      <c r="U97" s="138">
        <f>IF('1.DATOS-PROD'!AD98="SI",VLOOKUP('1.DATOS-PROD'!AD$2,'1.PUNTOS'!$A$1:$B$63,2,0),0)</f>
        <v>0</v>
      </c>
      <c r="V97" s="138">
        <f>IF('1.DATOS-PROD'!AE98="SI",VLOOKUP('1.DATOS-PROD'!AE$2,'1.PUNTOS'!$A$1:$B$63,2,0),0)</f>
        <v>0</v>
      </c>
      <c r="W97" s="138">
        <f>IF('1.DATOS-PROD'!AF98="SI",VLOOKUP('1.DATOS-PROD'!AF$2,'1.PUNTOS'!$A$1:$B$63,2,0),0)</f>
        <v>0</v>
      </c>
      <c r="X97" s="138">
        <f>IF('1.DATOS-PROD'!AG98="SI",VLOOKUP('1.DATOS-PROD'!AG$2,'1.PUNTOS'!$A$1:$B$63,2,0),0)</f>
        <v>0</v>
      </c>
      <c r="Y97" s="138">
        <f>IF('1.DATOS-PROD'!AH98="SI",VLOOKUP('1.DATOS-PROD'!AH$2,'1.PUNTOS'!$A$1:$B$63,2,0),0)</f>
        <v>0</v>
      </c>
      <c r="Z97" s="138">
        <f>IF('1.DATOS-PROD'!AI98="SI",VLOOKUP('1.DATOS-PROD'!AI$2,'1.PUNTOS'!$A$1:$B$63,2,0),0)</f>
        <v>0</v>
      </c>
      <c r="AA97" s="138">
        <f>IF('1.DATOS-PROD'!AJ98="SI",VLOOKUP('1.DATOS-PROD'!AJ$2,'1.PUNTOS'!$A$1:$B$63,2,0),0)</f>
        <v>0</v>
      </c>
      <c r="AB97" s="138">
        <f>IF('1.DATOS-PROD'!AK98="SI",VLOOKUP('1.DATOS-PROD'!AK$2,'1.PUNTOS'!$A$1:$B$63,2,0),0)</f>
        <v>0</v>
      </c>
      <c r="AC97" s="138">
        <f>IF('1.DATOS-PROD'!AL98="SI",VLOOKUP('1.DATOS-PROD'!AL$2,'1.PUNTOS'!$A$1:$B$63,2,0),0)</f>
        <v>0</v>
      </c>
      <c r="AD97" s="138">
        <f>IF('1.DATOS-PROD'!AM98="SI",VLOOKUP('1.DATOS-PROD'!AM$2,'1.PUNTOS'!$A$1:$B$63,2,0),0)</f>
        <v>0</v>
      </c>
      <c r="AE97" s="138">
        <f>IF('1.DATOS-PROD'!AN98="SI",VLOOKUP('1.DATOS-PROD'!AN$2,'1.PUNTOS'!$A$1:$B$63,2,0),0)</f>
        <v>0</v>
      </c>
      <c r="AF97" s="138">
        <f>IF('1.DATOS-PROD'!AO98="SI",VLOOKUP('1.DATOS-PROD'!AO$2,'1.PUNTOS'!$A$1:$B$63,2,0),0)</f>
        <v>0</v>
      </c>
      <c r="AG97" s="138">
        <f>IF('1.DATOS-PROD'!AP98="SI",VLOOKUP('1.DATOS-PROD'!AP$2,'1.PUNTOS'!$A$1:$B$63,2,0),0)</f>
        <v>0</v>
      </c>
      <c r="AH97" s="138">
        <f>IF('1.DATOS-PROD'!AQ98="SI",VLOOKUP('1.DATOS-PROD'!AQ$2,'1.PUNTOS'!$A$1:$B$63,2,0),0)</f>
        <v>0</v>
      </c>
      <c r="AI97" s="138">
        <f>IF('1.DATOS-PROD'!AR98="SI",VLOOKUP('1.DATOS-PROD'!AR$2,'1.PUNTOS'!$A$1:$B$63,2,0),0)</f>
        <v>0</v>
      </c>
      <c r="AJ97" s="138">
        <f>IF('1.DATOS-PROD'!AS98="SI",VLOOKUP('1.DATOS-PROD'!AS$2,'1.PUNTOS'!$A$1:$B$63,2,0),0)</f>
        <v>0</v>
      </c>
      <c r="AK97" s="138">
        <f>IF('1.DATOS-PROD'!AT98="SI",VLOOKUP('1.DATOS-PROD'!AT$2,'1.PUNTOS'!$A$1:$B$63,2,0),0)</f>
        <v>0</v>
      </c>
      <c r="AL97" s="138">
        <f>IF('1.DATOS-PROD'!AU98="SI",VLOOKUP('1.DATOS-PROD'!AU$2,'1.PUNTOS'!$A$1:$B$63,2,0),0)</f>
        <v>0</v>
      </c>
      <c r="AM97" s="138">
        <f>IF('1.DATOS-PROD'!AV98="SI",VLOOKUP('1.DATOS-PROD'!AV$2,'1.PUNTOS'!$A$1:$B$63,2,0),0)</f>
        <v>0</v>
      </c>
      <c r="AN97" s="138">
        <f>IF('1.DATOS-PROD'!AW98="SI",VLOOKUP('1.DATOS-PROD'!AW$2,'1.PUNTOS'!$A$1:$B$63,2,0),0)</f>
        <v>0</v>
      </c>
      <c r="AO97" s="138">
        <f>IF('1.DATOS-PROD'!AX98="SI",VLOOKUP('1.DATOS-PROD'!AX$2,'1.PUNTOS'!$A$1:$B$63,2,0),0)</f>
        <v>0</v>
      </c>
      <c r="AP97" s="138">
        <f>IF('1.DATOS-PROD'!AY98="SI",VLOOKUP('1.DATOS-PROD'!AY$2,'1.PUNTOS'!$A$1:$B$63,2,0),0)</f>
        <v>0</v>
      </c>
      <c r="AQ97" s="138">
        <f>IF('1.DATOS-PROD'!AZ98="SI",VLOOKUP('1.DATOS-PROD'!AZ$2,'1.PUNTOS'!$A$1:$B$63,2,0),0)</f>
        <v>0</v>
      </c>
      <c r="AR97" s="138">
        <f>IF('1.DATOS-PROD'!BA98="SI",VLOOKUP('1.DATOS-PROD'!BA$2,'1.PUNTOS'!$A$1:$B$63,2,0),0)</f>
        <v>0</v>
      </c>
      <c r="AS97" s="138">
        <f>IF('1.DATOS-PROD'!BB98="SI",VLOOKUP('1.DATOS-PROD'!BB$2,'1.PUNTOS'!$A$1:$B$63,2,0),0)</f>
        <v>0</v>
      </c>
      <c r="AT97" s="138">
        <f>IF('1.DATOS-PROD'!BC98="SI",VLOOKUP('1.DATOS-PROD'!BC$2,'1.PUNTOS'!$A$1:$B$63,2,0),0)</f>
        <v>0</v>
      </c>
      <c r="AU97" s="138">
        <f>IF('1.DATOS-PROD'!BD98="SI",VLOOKUP('1.DATOS-PROD'!BD$2,'1.PUNTOS'!$A$1:$B$63,2,0),0)</f>
        <v>0</v>
      </c>
      <c r="AV97" s="138">
        <f>IF('1.DATOS-PROD'!BE98="SI",VLOOKUP('1.DATOS-PROD'!BE$2,'1.PUNTOS'!$A$1:$B$63,2,0),0)</f>
        <v>0</v>
      </c>
      <c r="AW97" s="138">
        <f>IF('1.DATOS-PROD'!BF98="SI",VLOOKUP('1.DATOS-PROD'!BF$2,'1.PUNTOS'!$A$1:$B$63,2,0),0)</f>
        <v>0</v>
      </c>
      <c r="AX97" s="138">
        <f>IF('1.DATOS-PROD'!BG98="SI",VLOOKUP('1.DATOS-PROD'!BG$2,'1.PUNTOS'!$A$1:$B$63,2,0),0)</f>
        <v>0</v>
      </c>
      <c r="AY97" s="138">
        <f>IF('1.DATOS-PROD'!BH98="SI",VLOOKUP('1.DATOS-PROD'!BH$2,'1.PUNTOS'!$A$1:$B$63,2,0),0)</f>
        <v>0</v>
      </c>
      <c r="AZ97" s="138">
        <f>IF('1.DATOS-PROD'!BI98="SI",VLOOKUP('1.DATOS-PROD'!BI$2,'1.PUNTOS'!$A$1:$B$63,2,0),0)</f>
        <v>0</v>
      </c>
      <c r="BA97" s="138">
        <f>IF('1.DATOS-PROD'!BJ98="SI",VLOOKUP('1.DATOS-PROD'!BJ$2,'1.PUNTOS'!$A$1:$B$63,2,0),0)</f>
        <v>0</v>
      </c>
      <c r="BB97" s="138">
        <f>IF('1.DATOS-PROD'!BK98="SI",VLOOKUP('1.DATOS-PROD'!BK$2,'1.PUNTOS'!$A$1:$B$63,2,0),0)</f>
        <v>0</v>
      </c>
      <c r="BC97" s="138">
        <f>IF('1.DATOS-PROD'!BL98="SI",VLOOKUP('1.DATOS-PROD'!BL$2,'1.PUNTOS'!$A$1:$B$63,2,0),0)</f>
        <v>0</v>
      </c>
      <c r="BD97" s="138">
        <f>IF('1.DATOS-PROD'!BM98="SI",VLOOKUP('1.DATOS-PROD'!BM$2,'1.PUNTOS'!$A$1:$B$63,2,0),0)</f>
        <v>0</v>
      </c>
      <c r="BE97" s="138">
        <f>IF('1.DATOS-PROD'!BN98="SI",VLOOKUP('1.DATOS-PROD'!BN$2,'1.PUNTOS'!$A$1:$B$63,2,0),0)</f>
        <v>0</v>
      </c>
      <c r="BF97" s="138">
        <f>IF('1.DATOS-PROD'!BO98="SI",VLOOKUP('1.DATOS-PROD'!BO$2,'1.PUNTOS'!$A$1:$B$63,2,0),0)</f>
        <v>0</v>
      </c>
      <c r="BG97" s="138">
        <f>IF('1.DATOS-PROD'!BP98="SI",VLOOKUP('1.DATOS-PROD'!BP$2,'1.PUNTOS'!$A$1:$B$63,2,0),0)</f>
        <v>0</v>
      </c>
      <c r="BH97" s="138">
        <f>IF('1.DATOS-PROD'!BQ98="SI",VLOOKUP('1.DATOS-PROD'!BQ$2,'1.PUNTOS'!$A$1:$B$63,2,0),0)</f>
        <v>0</v>
      </c>
      <c r="BI97" s="138">
        <f>IF('1.DATOS-PROD'!BR98="SI",VLOOKUP('1.DATOS-PROD'!BR$2,'1.PUNTOS'!$A$1:$B$63,2,0),0)</f>
        <v>0</v>
      </c>
      <c r="BJ97" s="138">
        <f>IF('1.DATOS-PROD'!BS98="SI",VLOOKUP('1.DATOS-PROD'!BS$2,'1.PUNTOS'!$A$1:$B$63,2,0),0)</f>
        <v>0</v>
      </c>
      <c r="BK97" s="138">
        <f>IF('1.DATOS-PROD'!BT98="SI",VLOOKUP('1.DATOS-PROD'!BT$2,'1.PUNTOS'!$A$1:$B$63,2,0),0)</f>
        <v>0</v>
      </c>
    </row>
    <row r="98" spans="1:63" x14ac:dyDescent="0.25">
      <c r="A98">
        <f>'0.Consolidado general'!$A99</f>
        <v>0</v>
      </c>
      <c r="B98" s="138">
        <f>IF('1.DATOS-PROD'!K99="SI",VLOOKUP('1.DATOS-PROD'!K$2,'1.PUNTOS'!$A$1:$B$63,2,0),0)</f>
        <v>0</v>
      </c>
      <c r="C98" s="138">
        <f>IF('1.DATOS-PROD'!L99="SI",VLOOKUP('1.DATOS-PROD'!L$2,'1.PUNTOS'!$A$1:$B$63,2,0),0)</f>
        <v>0</v>
      </c>
      <c r="D98" s="138">
        <f>IF('1.DATOS-PROD'!M99="SI",VLOOKUP('1.DATOS-PROD'!M$2,'1.PUNTOS'!$A$1:$B$63,2,0),0)</f>
        <v>0</v>
      </c>
      <c r="E98" s="138">
        <f>IF('1.DATOS-PROD'!N99="SI",VLOOKUP('1.DATOS-PROD'!N$2,'1.PUNTOS'!$A$1:$B$63,2,0),0)</f>
        <v>0</v>
      </c>
      <c r="F98" s="138">
        <f>IF('1.DATOS-PROD'!O99="SI",VLOOKUP('1.DATOS-PROD'!O$2,'1.PUNTOS'!$A$1:$B$63,2,0),0)</f>
        <v>0</v>
      </c>
      <c r="G98" s="138">
        <f>IF('1.DATOS-PROD'!P99="SI",VLOOKUP('1.DATOS-PROD'!P$2,'1.PUNTOS'!$A$1:$B$63,2,0),0)</f>
        <v>0</v>
      </c>
      <c r="H98" s="138">
        <f>IF('1.DATOS-PROD'!Q99="SI",VLOOKUP('1.DATOS-PROD'!Q$2,'1.PUNTOS'!$A$1:$B$63,2,0),0)</f>
        <v>0</v>
      </c>
      <c r="I98" s="138">
        <f>IF('1.DATOS-PROD'!R99="SI",VLOOKUP('1.DATOS-PROD'!R$2,'1.PUNTOS'!$A$1:$B$63,2,0),0)</f>
        <v>0</v>
      </c>
      <c r="J98" s="138">
        <f>IF('1.DATOS-PROD'!S99="SI",VLOOKUP('1.DATOS-PROD'!S$2,'1.PUNTOS'!$A$1:$B$63,2,0),0)</f>
        <v>0</v>
      </c>
      <c r="K98" s="138">
        <f>IF('1.DATOS-PROD'!T99="SI",VLOOKUP('1.DATOS-PROD'!T$2,'1.PUNTOS'!$A$1:$B$63,2,0),0)</f>
        <v>0</v>
      </c>
      <c r="L98" s="138">
        <f>IF('1.DATOS-PROD'!U99="SI",VLOOKUP('1.DATOS-PROD'!U$2,'1.PUNTOS'!$A$1:$B$63,2,0),0)</f>
        <v>0</v>
      </c>
      <c r="M98" s="138">
        <f>IF('1.DATOS-PROD'!V99="SI",VLOOKUP('1.DATOS-PROD'!V$2,'1.PUNTOS'!$A$1:$B$63,2,0),0)</f>
        <v>0</v>
      </c>
      <c r="N98" s="138">
        <f>IF('1.DATOS-PROD'!W99="SI",VLOOKUP('1.DATOS-PROD'!W$2,'1.PUNTOS'!$A$1:$B$63,2,0),0)</f>
        <v>0</v>
      </c>
      <c r="O98" s="138">
        <f>IF('1.DATOS-PROD'!X99="SI",VLOOKUP('1.DATOS-PROD'!X$2,'1.PUNTOS'!$A$1:$B$63,2,0),0)</f>
        <v>0</v>
      </c>
      <c r="P98" s="138">
        <f>IF('1.DATOS-PROD'!Y99="SI",VLOOKUP('1.DATOS-PROD'!Y$2,'1.PUNTOS'!$A$1:$B$63,2,0),0)</f>
        <v>0</v>
      </c>
      <c r="Q98" s="138">
        <f>IF('1.DATOS-PROD'!Z99="SI",VLOOKUP('1.DATOS-PROD'!Z$2,'1.PUNTOS'!$A$1:$B$63,2,0),0)</f>
        <v>0</v>
      </c>
      <c r="R98" s="138">
        <f>IF('1.DATOS-PROD'!AA99="SI",VLOOKUP('1.DATOS-PROD'!AA$2,'1.PUNTOS'!$A$1:$B$63,2,0),0)</f>
        <v>0</v>
      </c>
      <c r="S98" s="138">
        <f>IF('1.DATOS-PROD'!AB99="SI",VLOOKUP('1.DATOS-PROD'!AB$2,'1.PUNTOS'!$A$1:$B$63,2,0),0)</f>
        <v>0</v>
      </c>
      <c r="T98" s="138">
        <f>IF('1.DATOS-PROD'!AC99="SI",VLOOKUP('1.DATOS-PROD'!AC$2,'1.PUNTOS'!$A$1:$B$63,2,0),0)</f>
        <v>0</v>
      </c>
      <c r="U98" s="138">
        <f>IF('1.DATOS-PROD'!AD99="SI",VLOOKUP('1.DATOS-PROD'!AD$2,'1.PUNTOS'!$A$1:$B$63,2,0),0)</f>
        <v>0</v>
      </c>
      <c r="V98" s="138">
        <f>IF('1.DATOS-PROD'!AE99="SI",VLOOKUP('1.DATOS-PROD'!AE$2,'1.PUNTOS'!$A$1:$B$63,2,0),0)</f>
        <v>0</v>
      </c>
      <c r="W98" s="138">
        <f>IF('1.DATOS-PROD'!AF99="SI",VLOOKUP('1.DATOS-PROD'!AF$2,'1.PUNTOS'!$A$1:$B$63,2,0),0)</f>
        <v>0</v>
      </c>
      <c r="X98" s="138">
        <f>IF('1.DATOS-PROD'!AG99="SI",VLOOKUP('1.DATOS-PROD'!AG$2,'1.PUNTOS'!$A$1:$B$63,2,0),0)</f>
        <v>0</v>
      </c>
      <c r="Y98" s="138">
        <f>IF('1.DATOS-PROD'!AH99="SI",VLOOKUP('1.DATOS-PROD'!AH$2,'1.PUNTOS'!$A$1:$B$63,2,0),0)</f>
        <v>0</v>
      </c>
      <c r="Z98" s="138">
        <f>IF('1.DATOS-PROD'!AI99="SI",VLOOKUP('1.DATOS-PROD'!AI$2,'1.PUNTOS'!$A$1:$B$63,2,0),0)</f>
        <v>0</v>
      </c>
      <c r="AA98" s="138">
        <f>IF('1.DATOS-PROD'!AJ99="SI",VLOOKUP('1.DATOS-PROD'!AJ$2,'1.PUNTOS'!$A$1:$B$63,2,0),0)</f>
        <v>0</v>
      </c>
      <c r="AB98" s="138">
        <f>IF('1.DATOS-PROD'!AK99="SI",VLOOKUP('1.DATOS-PROD'!AK$2,'1.PUNTOS'!$A$1:$B$63,2,0),0)</f>
        <v>0</v>
      </c>
      <c r="AC98" s="138">
        <f>IF('1.DATOS-PROD'!AL99="SI",VLOOKUP('1.DATOS-PROD'!AL$2,'1.PUNTOS'!$A$1:$B$63,2,0),0)</f>
        <v>0</v>
      </c>
      <c r="AD98" s="138">
        <f>IF('1.DATOS-PROD'!AM99="SI",VLOOKUP('1.DATOS-PROD'!AM$2,'1.PUNTOS'!$A$1:$B$63,2,0),0)</f>
        <v>0</v>
      </c>
      <c r="AE98" s="138">
        <f>IF('1.DATOS-PROD'!AN99="SI",VLOOKUP('1.DATOS-PROD'!AN$2,'1.PUNTOS'!$A$1:$B$63,2,0),0)</f>
        <v>0</v>
      </c>
      <c r="AF98" s="138">
        <f>IF('1.DATOS-PROD'!AO99="SI",VLOOKUP('1.DATOS-PROD'!AO$2,'1.PUNTOS'!$A$1:$B$63,2,0),0)</f>
        <v>0</v>
      </c>
      <c r="AG98" s="138">
        <f>IF('1.DATOS-PROD'!AP99="SI",VLOOKUP('1.DATOS-PROD'!AP$2,'1.PUNTOS'!$A$1:$B$63,2,0),0)</f>
        <v>0</v>
      </c>
      <c r="AH98" s="138">
        <f>IF('1.DATOS-PROD'!AQ99="SI",VLOOKUP('1.DATOS-PROD'!AQ$2,'1.PUNTOS'!$A$1:$B$63,2,0),0)</f>
        <v>0</v>
      </c>
      <c r="AI98" s="138">
        <f>IF('1.DATOS-PROD'!AR99="SI",VLOOKUP('1.DATOS-PROD'!AR$2,'1.PUNTOS'!$A$1:$B$63,2,0),0)</f>
        <v>0</v>
      </c>
      <c r="AJ98" s="138">
        <f>IF('1.DATOS-PROD'!AS99="SI",VLOOKUP('1.DATOS-PROD'!AS$2,'1.PUNTOS'!$A$1:$B$63,2,0),0)</f>
        <v>0</v>
      </c>
      <c r="AK98" s="138">
        <f>IF('1.DATOS-PROD'!AT99="SI",VLOOKUP('1.DATOS-PROD'!AT$2,'1.PUNTOS'!$A$1:$B$63,2,0),0)</f>
        <v>0</v>
      </c>
      <c r="AL98" s="138">
        <f>IF('1.DATOS-PROD'!AU99="SI",VLOOKUP('1.DATOS-PROD'!AU$2,'1.PUNTOS'!$A$1:$B$63,2,0),0)</f>
        <v>0</v>
      </c>
      <c r="AM98" s="138">
        <f>IF('1.DATOS-PROD'!AV99="SI",VLOOKUP('1.DATOS-PROD'!AV$2,'1.PUNTOS'!$A$1:$B$63,2,0),0)</f>
        <v>0</v>
      </c>
      <c r="AN98" s="138">
        <f>IF('1.DATOS-PROD'!AW99="SI",VLOOKUP('1.DATOS-PROD'!AW$2,'1.PUNTOS'!$A$1:$B$63,2,0),0)</f>
        <v>0</v>
      </c>
      <c r="AO98" s="138">
        <f>IF('1.DATOS-PROD'!AX99="SI",VLOOKUP('1.DATOS-PROD'!AX$2,'1.PUNTOS'!$A$1:$B$63,2,0),0)</f>
        <v>0</v>
      </c>
      <c r="AP98" s="138">
        <f>IF('1.DATOS-PROD'!AY99="SI",VLOOKUP('1.DATOS-PROD'!AY$2,'1.PUNTOS'!$A$1:$B$63,2,0),0)</f>
        <v>0</v>
      </c>
      <c r="AQ98" s="138">
        <f>IF('1.DATOS-PROD'!AZ99="SI",VLOOKUP('1.DATOS-PROD'!AZ$2,'1.PUNTOS'!$A$1:$B$63,2,0),0)</f>
        <v>0</v>
      </c>
      <c r="AR98" s="138">
        <f>IF('1.DATOS-PROD'!BA99="SI",VLOOKUP('1.DATOS-PROD'!BA$2,'1.PUNTOS'!$A$1:$B$63,2,0),0)</f>
        <v>0</v>
      </c>
      <c r="AS98" s="138">
        <f>IF('1.DATOS-PROD'!BB99="SI",VLOOKUP('1.DATOS-PROD'!BB$2,'1.PUNTOS'!$A$1:$B$63,2,0),0)</f>
        <v>0</v>
      </c>
      <c r="AT98" s="138">
        <f>IF('1.DATOS-PROD'!BC99="SI",VLOOKUP('1.DATOS-PROD'!BC$2,'1.PUNTOS'!$A$1:$B$63,2,0),0)</f>
        <v>0</v>
      </c>
      <c r="AU98" s="138">
        <f>IF('1.DATOS-PROD'!BD99="SI",VLOOKUP('1.DATOS-PROD'!BD$2,'1.PUNTOS'!$A$1:$B$63,2,0),0)</f>
        <v>0</v>
      </c>
      <c r="AV98" s="138">
        <f>IF('1.DATOS-PROD'!BE99="SI",VLOOKUP('1.DATOS-PROD'!BE$2,'1.PUNTOS'!$A$1:$B$63,2,0),0)</f>
        <v>0</v>
      </c>
      <c r="AW98" s="138">
        <f>IF('1.DATOS-PROD'!BF99="SI",VLOOKUP('1.DATOS-PROD'!BF$2,'1.PUNTOS'!$A$1:$B$63,2,0),0)</f>
        <v>0</v>
      </c>
      <c r="AX98" s="138">
        <f>IF('1.DATOS-PROD'!BG99="SI",VLOOKUP('1.DATOS-PROD'!BG$2,'1.PUNTOS'!$A$1:$B$63,2,0),0)</f>
        <v>0</v>
      </c>
      <c r="AY98" s="138">
        <f>IF('1.DATOS-PROD'!BH99="SI",VLOOKUP('1.DATOS-PROD'!BH$2,'1.PUNTOS'!$A$1:$B$63,2,0),0)</f>
        <v>0</v>
      </c>
      <c r="AZ98" s="138">
        <f>IF('1.DATOS-PROD'!BI99="SI",VLOOKUP('1.DATOS-PROD'!BI$2,'1.PUNTOS'!$A$1:$B$63,2,0),0)</f>
        <v>0</v>
      </c>
      <c r="BA98" s="138">
        <f>IF('1.DATOS-PROD'!BJ99="SI",VLOOKUP('1.DATOS-PROD'!BJ$2,'1.PUNTOS'!$A$1:$B$63,2,0),0)</f>
        <v>0</v>
      </c>
      <c r="BB98" s="138">
        <f>IF('1.DATOS-PROD'!BK99="SI",VLOOKUP('1.DATOS-PROD'!BK$2,'1.PUNTOS'!$A$1:$B$63,2,0),0)</f>
        <v>0</v>
      </c>
      <c r="BC98" s="138">
        <f>IF('1.DATOS-PROD'!BL99="SI",VLOOKUP('1.DATOS-PROD'!BL$2,'1.PUNTOS'!$A$1:$B$63,2,0),0)</f>
        <v>0</v>
      </c>
      <c r="BD98" s="138">
        <f>IF('1.DATOS-PROD'!BM99="SI",VLOOKUP('1.DATOS-PROD'!BM$2,'1.PUNTOS'!$A$1:$B$63,2,0),0)</f>
        <v>0</v>
      </c>
      <c r="BE98" s="138">
        <f>IF('1.DATOS-PROD'!BN99="SI",VLOOKUP('1.DATOS-PROD'!BN$2,'1.PUNTOS'!$A$1:$B$63,2,0),0)</f>
        <v>0</v>
      </c>
      <c r="BF98" s="138">
        <f>IF('1.DATOS-PROD'!BO99="SI",VLOOKUP('1.DATOS-PROD'!BO$2,'1.PUNTOS'!$A$1:$B$63,2,0),0)</f>
        <v>0</v>
      </c>
      <c r="BG98" s="138">
        <f>IF('1.DATOS-PROD'!BP99="SI",VLOOKUP('1.DATOS-PROD'!BP$2,'1.PUNTOS'!$A$1:$B$63,2,0),0)</f>
        <v>0</v>
      </c>
      <c r="BH98" s="138">
        <f>IF('1.DATOS-PROD'!BQ99="SI",VLOOKUP('1.DATOS-PROD'!BQ$2,'1.PUNTOS'!$A$1:$B$63,2,0),0)</f>
        <v>0</v>
      </c>
      <c r="BI98" s="138">
        <f>IF('1.DATOS-PROD'!BR99="SI",VLOOKUP('1.DATOS-PROD'!BR$2,'1.PUNTOS'!$A$1:$B$63,2,0),0)</f>
        <v>0</v>
      </c>
      <c r="BJ98" s="138">
        <f>IF('1.DATOS-PROD'!BS99="SI",VLOOKUP('1.DATOS-PROD'!BS$2,'1.PUNTOS'!$A$1:$B$63,2,0),0)</f>
        <v>0</v>
      </c>
      <c r="BK98" s="138">
        <f>IF('1.DATOS-PROD'!BT99="SI",VLOOKUP('1.DATOS-PROD'!BT$2,'1.PUNTOS'!$A$1:$B$63,2,0),0)</f>
        <v>0</v>
      </c>
    </row>
    <row r="99" spans="1:63" x14ac:dyDescent="0.25">
      <c r="A99">
        <f>'0.Consolidado general'!$A100</f>
        <v>0</v>
      </c>
      <c r="B99" s="138">
        <f>IF('1.DATOS-PROD'!K100="SI",VLOOKUP('1.DATOS-PROD'!K$2,'1.PUNTOS'!$A$1:$B$63,2,0),0)</f>
        <v>0</v>
      </c>
      <c r="C99" s="138">
        <f>IF('1.DATOS-PROD'!L100="SI",VLOOKUP('1.DATOS-PROD'!L$2,'1.PUNTOS'!$A$1:$B$63,2,0),0)</f>
        <v>0</v>
      </c>
      <c r="D99" s="138">
        <f>IF('1.DATOS-PROD'!M100="SI",VLOOKUP('1.DATOS-PROD'!M$2,'1.PUNTOS'!$A$1:$B$63,2,0),0)</f>
        <v>0</v>
      </c>
      <c r="E99" s="138">
        <f>IF('1.DATOS-PROD'!N100="SI",VLOOKUP('1.DATOS-PROD'!N$2,'1.PUNTOS'!$A$1:$B$63,2,0),0)</f>
        <v>0</v>
      </c>
      <c r="F99" s="138">
        <f>IF('1.DATOS-PROD'!O100="SI",VLOOKUP('1.DATOS-PROD'!O$2,'1.PUNTOS'!$A$1:$B$63,2,0),0)</f>
        <v>0</v>
      </c>
      <c r="G99" s="138">
        <f>IF('1.DATOS-PROD'!P100="SI",VLOOKUP('1.DATOS-PROD'!P$2,'1.PUNTOS'!$A$1:$B$63,2,0),0)</f>
        <v>0</v>
      </c>
      <c r="H99" s="138">
        <f>IF('1.DATOS-PROD'!Q100="SI",VLOOKUP('1.DATOS-PROD'!Q$2,'1.PUNTOS'!$A$1:$B$63,2,0),0)</f>
        <v>0</v>
      </c>
      <c r="I99" s="138">
        <f>IF('1.DATOS-PROD'!R100="SI",VLOOKUP('1.DATOS-PROD'!R$2,'1.PUNTOS'!$A$1:$B$63,2,0),0)</f>
        <v>0</v>
      </c>
      <c r="J99" s="138">
        <f>IF('1.DATOS-PROD'!S100="SI",VLOOKUP('1.DATOS-PROD'!S$2,'1.PUNTOS'!$A$1:$B$63,2,0),0)</f>
        <v>0</v>
      </c>
      <c r="K99" s="138">
        <f>IF('1.DATOS-PROD'!T100="SI",VLOOKUP('1.DATOS-PROD'!T$2,'1.PUNTOS'!$A$1:$B$63,2,0),0)</f>
        <v>0</v>
      </c>
      <c r="L99" s="138">
        <f>IF('1.DATOS-PROD'!U100="SI",VLOOKUP('1.DATOS-PROD'!U$2,'1.PUNTOS'!$A$1:$B$63,2,0),0)</f>
        <v>0</v>
      </c>
      <c r="M99" s="138">
        <f>IF('1.DATOS-PROD'!V100="SI",VLOOKUP('1.DATOS-PROD'!V$2,'1.PUNTOS'!$A$1:$B$63,2,0),0)</f>
        <v>0</v>
      </c>
      <c r="N99" s="138">
        <f>IF('1.DATOS-PROD'!W100="SI",VLOOKUP('1.DATOS-PROD'!W$2,'1.PUNTOS'!$A$1:$B$63,2,0),0)</f>
        <v>0</v>
      </c>
      <c r="O99" s="138">
        <f>IF('1.DATOS-PROD'!X100="SI",VLOOKUP('1.DATOS-PROD'!X$2,'1.PUNTOS'!$A$1:$B$63,2,0),0)</f>
        <v>0</v>
      </c>
      <c r="P99" s="138">
        <f>IF('1.DATOS-PROD'!Y100="SI",VLOOKUP('1.DATOS-PROD'!Y$2,'1.PUNTOS'!$A$1:$B$63,2,0),0)</f>
        <v>0</v>
      </c>
      <c r="Q99" s="138">
        <f>IF('1.DATOS-PROD'!Z100="SI",VLOOKUP('1.DATOS-PROD'!Z$2,'1.PUNTOS'!$A$1:$B$63,2,0),0)</f>
        <v>0</v>
      </c>
      <c r="R99" s="138">
        <f>IF('1.DATOS-PROD'!AA100="SI",VLOOKUP('1.DATOS-PROD'!AA$2,'1.PUNTOS'!$A$1:$B$63,2,0),0)</f>
        <v>0</v>
      </c>
      <c r="S99" s="138">
        <f>IF('1.DATOS-PROD'!AB100="SI",VLOOKUP('1.DATOS-PROD'!AB$2,'1.PUNTOS'!$A$1:$B$63,2,0),0)</f>
        <v>0</v>
      </c>
      <c r="T99" s="138">
        <f>IF('1.DATOS-PROD'!AC100="SI",VLOOKUP('1.DATOS-PROD'!AC$2,'1.PUNTOS'!$A$1:$B$63,2,0),0)</f>
        <v>0</v>
      </c>
      <c r="U99" s="138">
        <f>IF('1.DATOS-PROD'!AD100="SI",VLOOKUP('1.DATOS-PROD'!AD$2,'1.PUNTOS'!$A$1:$B$63,2,0),0)</f>
        <v>0</v>
      </c>
      <c r="V99" s="138">
        <f>IF('1.DATOS-PROD'!AE100="SI",VLOOKUP('1.DATOS-PROD'!AE$2,'1.PUNTOS'!$A$1:$B$63,2,0),0)</f>
        <v>0</v>
      </c>
      <c r="W99" s="138">
        <f>IF('1.DATOS-PROD'!AF100="SI",VLOOKUP('1.DATOS-PROD'!AF$2,'1.PUNTOS'!$A$1:$B$63,2,0),0)</f>
        <v>0</v>
      </c>
      <c r="X99" s="138">
        <f>IF('1.DATOS-PROD'!AG100="SI",VLOOKUP('1.DATOS-PROD'!AG$2,'1.PUNTOS'!$A$1:$B$63,2,0),0)</f>
        <v>0</v>
      </c>
      <c r="Y99" s="138">
        <f>IF('1.DATOS-PROD'!AH100="SI",VLOOKUP('1.DATOS-PROD'!AH$2,'1.PUNTOS'!$A$1:$B$63,2,0),0)</f>
        <v>0</v>
      </c>
      <c r="Z99" s="138">
        <f>IF('1.DATOS-PROD'!AI100="SI",VLOOKUP('1.DATOS-PROD'!AI$2,'1.PUNTOS'!$A$1:$B$63,2,0),0)</f>
        <v>0</v>
      </c>
      <c r="AA99" s="138">
        <f>IF('1.DATOS-PROD'!AJ100="SI",VLOOKUP('1.DATOS-PROD'!AJ$2,'1.PUNTOS'!$A$1:$B$63,2,0),0)</f>
        <v>0</v>
      </c>
      <c r="AB99" s="138">
        <f>IF('1.DATOS-PROD'!AK100="SI",VLOOKUP('1.DATOS-PROD'!AK$2,'1.PUNTOS'!$A$1:$B$63,2,0),0)</f>
        <v>0</v>
      </c>
      <c r="AC99" s="138">
        <f>IF('1.DATOS-PROD'!AL100="SI",VLOOKUP('1.DATOS-PROD'!AL$2,'1.PUNTOS'!$A$1:$B$63,2,0),0)</f>
        <v>0</v>
      </c>
      <c r="AD99" s="138">
        <f>IF('1.DATOS-PROD'!AM100="SI",VLOOKUP('1.DATOS-PROD'!AM$2,'1.PUNTOS'!$A$1:$B$63,2,0),0)</f>
        <v>0</v>
      </c>
      <c r="AE99" s="138">
        <f>IF('1.DATOS-PROD'!AN100="SI",VLOOKUP('1.DATOS-PROD'!AN$2,'1.PUNTOS'!$A$1:$B$63,2,0),0)</f>
        <v>0</v>
      </c>
      <c r="AF99" s="138">
        <f>IF('1.DATOS-PROD'!AO100="SI",VLOOKUP('1.DATOS-PROD'!AO$2,'1.PUNTOS'!$A$1:$B$63,2,0),0)</f>
        <v>0</v>
      </c>
      <c r="AG99" s="138">
        <f>IF('1.DATOS-PROD'!AP100="SI",VLOOKUP('1.DATOS-PROD'!AP$2,'1.PUNTOS'!$A$1:$B$63,2,0),0)</f>
        <v>0</v>
      </c>
      <c r="AH99" s="138">
        <f>IF('1.DATOS-PROD'!AQ100="SI",VLOOKUP('1.DATOS-PROD'!AQ$2,'1.PUNTOS'!$A$1:$B$63,2,0),0)</f>
        <v>0</v>
      </c>
      <c r="AI99" s="138">
        <f>IF('1.DATOS-PROD'!AR100="SI",VLOOKUP('1.DATOS-PROD'!AR$2,'1.PUNTOS'!$A$1:$B$63,2,0),0)</f>
        <v>0</v>
      </c>
      <c r="AJ99" s="138">
        <f>IF('1.DATOS-PROD'!AS100="SI",VLOOKUP('1.DATOS-PROD'!AS$2,'1.PUNTOS'!$A$1:$B$63,2,0),0)</f>
        <v>0</v>
      </c>
      <c r="AK99" s="138">
        <f>IF('1.DATOS-PROD'!AT100="SI",VLOOKUP('1.DATOS-PROD'!AT$2,'1.PUNTOS'!$A$1:$B$63,2,0),0)</f>
        <v>0</v>
      </c>
      <c r="AL99" s="138">
        <f>IF('1.DATOS-PROD'!AU100="SI",VLOOKUP('1.DATOS-PROD'!AU$2,'1.PUNTOS'!$A$1:$B$63,2,0),0)</f>
        <v>0</v>
      </c>
      <c r="AM99" s="138">
        <f>IF('1.DATOS-PROD'!AV100="SI",VLOOKUP('1.DATOS-PROD'!AV$2,'1.PUNTOS'!$A$1:$B$63,2,0),0)</f>
        <v>0</v>
      </c>
      <c r="AN99" s="138">
        <f>IF('1.DATOS-PROD'!AW100="SI",VLOOKUP('1.DATOS-PROD'!AW$2,'1.PUNTOS'!$A$1:$B$63,2,0),0)</f>
        <v>0</v>
      </c>
      <c r="AO99" s="138">
        <f>IF('1.DATOS-PROD'!AX100="SI",VLOOKUP('1.DATOS-PROD'!AX$2,'1.PUNTOS'!$A$1:$B$63,2,0),0)</f>
        <v>0</v>
      </c>
      <c r="AP99" s="138">
        <f>IF('1.DATOS-PROD'!AY100="SI",VLOOKUP('1.DATOS-PROD'!AY$2,'1.PUNTOS'!$A$1:$B$63,2,0),0)</f>
        <v>0</v>
      </c>
      <c r="AQ99" s="138">
        <f>IF('1.DATOS-PROD'!AZ100="SI",VLOOKUP('1.DATOS-PROD'!AZ$2,'1.PUNTOS'!$A$1:$B$63,2,0),0)</f>
        <v>0</v>
      </c>
      <c r="AR99" s="138">
        <f>IF('1.DATOS-PROD'!BA100="SI",VLOOKUP('1.DATOS-PROD'!BA$2,'1.PUNTOS'!$A$1:$B$63,2,0),0)</f>
        <v>0</v>
      </c>
      <c r="AS99" s="138">
        <f>IF('1.DATOS-PROD'!BB100="SI",VLOOKUP('1.DATOS-PROD'!BB$2,'1.PUNTOS'!$A$1:$B$63,2,0),0)</f>
        <v>0</v>
      </c>
      <c r="AT99" s="138">
        <f>IF('1.DATOS-PROD'!BC100="SI",VLOOKUP('1.DATOS-PROD'!BC$2,'1.PUNTOS'!$A$1:$B$63,2,0),0)</f>
        <v>0</v>
      </c>
      <c r="AU99" s="138">
        <f>IF('1.DATOS-PROD'!BD100="SI",VLOOKUP('1.DATOS-PROD'!BD$2,'1.PUNTOS'!$A$1:$B$63,2,0),0)</f>
        <v>0</v>
      </c>
      <c r="AV99" s="138">
        <f>IF('1.DATOS-PROD'!BE100="SI",VLOOKUP('1.DATOS-PROD'!BE$2,'1.PUNTOS'!$A$1:$B$63,2,0),0)</f>
        <v>0</v>
      </c>
      <c r="AW99" s="138">
        <f>IF('1.DATOS-PROD'!BF100="SI",VLOOKUP('1.DATOS-PROD'!BF$2,'1.PUNTOS'!$A$1:$B$63,2,0),0)</f>
        <v>0</v>
      </c>
      <c r="AX99" s="138">
        <f>IF('1.DATOS-PROD'!BG100="SI",VLOOKUP('1.DATOS-PROD'!BG$2,'1.PUNTOS'!$A$1:$B$63,2,0),0)</f>
        <v>0</v>
      </c>
      <c r="AY99" s="138">
        <f>IF('1.DATOS-PROD'!BH100="SI",VLOOKUP('1.DATOS-PROD'!BH$2,'1.PUNTOS'!$A$1:$B$63,2,0),0)</f>
        <v>0</v>
      </c>
      <c r="AZ99" s="138">
        <f>IF('1.DATOS-PROD'!BI100="SI",VLOOKUP('1.DATOS-PROD'!BI$2,'1.PUNTOS'!$A$1:$B$63,2,0),0)</f>
        <v>0</v>
      </c>
      <c r="BA99" s="138">
        <f>IF('1.DATOS-PROD'!BJ100="SI",VLOOKUP('1.DATOS-PROD'!BJ$2,'1.PUNTOS'!$A$1:$B$63,2,0),0)</f>
        <v>0</v>
      </c>
      <c r="BB99" s="138">
        <f>IF('1.DATOS-PROD'!BK100="SI",VLOOKUP('1.DATOS-PROD'!BK$2,'1.PUNTOS'!$A$1:$B$63,2,0),0)</f>
        <v>0</v>
      </c>
      <c r="BC99" s="138">
        <f>IF('1.DATOS-PROD'!BL100="SI",VLOOKUP('1.DATOS-PROD'!BL$2,'1.PUNTOS'!$A$1:$B$63,2,0),0)</f>
        <v>0</v>
      </c>
      <c r="BD99" s="138">
        <f>IF('1.DATOS-PROD'!BM100="SI",VLOOKUP('1.DATOS-PROD'!BM$2,'1.PUNTOS'!$A$1:$B$63,2,0),0)</f>
        <v>0</v>
      </c>
      <c r="BE99" s="138">
        <f>IF('1.DATOS-PROD'!BN100="SI",VLOOKUP('1.DATOS-PROD'!BN$2,'1.PUNTOS'!$A$1:$B$63,2,0),0)</f>
        <v>0</v>
      </c>
      <c r="BF99" s="138">
        <f>IF('1.DATOS-PROD'!BO100="SI",VLOOKUP('1.DATOS-PROD'!BO$2,'1.PUNTOS'!$A$1:$B$63,2,0),0)</f>
        <v>0</v>
      </c>
      <c r="BG99" s="138">
        <f>IF('1.DATOS-PROD'!BP100="SI",VLOOKUP('1.DATOS-PROD'!BP$2,'1.PUNTOS'!$A$1:$B$63,2,0),0)</f>
        <v>0</v>
      </c>
      <c r="BH99" s="138">
        <f>IF('1.DATOS-PROD'!BQ100="SI",VLOOKUP('1.DATOS-PROD'!BQ$2,'1.PUNTOS'!$A$1:$B$63,2,0),0)</f>
        <v>0</v>
      </c>
      <c r="BI99" s="138">
        <f>IF('1.DATOS-PROD'!BR100="SI",VLOOKUP('1.DATOS-PROD'!BR$2,'1.PUNTOS'!$A$1:$B$63,2,0),0)</f>
        <v>0</v>
      </c>
      <c r="BJ99" s="138">
        <f>IF('1.DATOS-PROD'!BS100="SI",VLOOKUP('1.DATOS-PROD'!BS$2,'1.PUNTOS'!$A$1:$B$63,2,0),0)</f>
        <v>0</v>
      </c>
      <c r="BK99" s="138">
        <f>IF('1.DATOS-PROD'!BT100="SI",VLOOKUP('1.DATOS-PROD'!BT$2,'1.PUNTOS'!$A$1:$B$63,2,0),0)</f>
        <v>0</v>
      </c>
    </row>
    <row r="100" spans="1:63" x14ac:dyDescent="0.25">
      <c r="A100">
        <f>'0.Consolidado general'!$A101</f>
        <v>0</v>
      </c>
      <c r="B100" s="138">
        <f>IF('1.DATOS-PROD'!K101="SI",VLOOKUP('1.DATOS-PROD'!K$2,'1.PUNTOS'!$A$1:$B$63,2,0),0)</f>
        <v>0</v>
      </c>
      <c r="C100" s="138">
        <f>IF('1.DATOS-PROD'!L101="SI",VLOOKUP('1.DATOS-PROD'!L$2,'1.PUNTOS'!$A$1:$B$63,2,0),0)</f>
        <v>0</v>
      </c>
      <c r="D100" s="138">
        <f>IF('1.DATOS-PROD'!M101="SI",VLOOKUP('1.DATOS-PROD'!M$2,'1.PUNTOS'!$A$1:$B$63,2,0),0)</f>
        <v>0</v>
      </c>
      <c r="E100" s="138">
        <f>IF('1.DATOS-PROD'!N101="SI",VLOOKUP('1.DATOS-PROD'!N$2,'1.PUNTOS'!$A$1:$B$63,2,0),0)</f>
        <v>0</v>
      </c>
      <c r="F100" s="138">
        <f>IF('1.DATOS-PROD'!O101="SI",VLOOKUP('1.DATOS-PROD'!O$2,'1.PUNTOS'!$A$1:$B$63,2,0),0)</f>
        <v>0</v>
      </c>
      <c r="G100" s="138">
        <f>IF('1.DATOS-PROD'!P101="SI",VLOOKUP('1.DATOS-PROD'!P$2,'1.PUNTOS'!$A$1:$B$63,2,0),0)</f>
        <v>0</v>
      </c>
      <c r="H100" s="138">
        <f>IF('1.DATOS-PROD'!Q101="SI",VLOOKUP('1.DATOS-PROD'!Q$2,'1.PUNTOS'!$A$1:$B$63,2,0),0)</f>
        <v>0</v>
      </c>
      <c r="I100" s="138">
        <f>IF('1.DATOS-PROD'!R101="SI",VLOOKUP('1.DATOS-PROD'!R$2,'1.PUNTOS'!$A$1:$B$63,2,0),0)</f>
        <v>0</v>
      </c>
      <c r="J100" s="138">
        <f>IF('1.DATOS-PROD'!S101="SI",VLOOKUP('1.DATOS-PROD'!S$2,'1.PUNTOS'!$A$1:$B$63,2,0),0)</f>
        <v>0</v>
      </c>
      <c r="K100" s="138">
        <f>IF('1.DATOS-PROD'!T101="SI",VLOOKUP('1.DATOS-PROD'!T$2,'1.PUNTOS'!$A$1:$B$63,2,0),0)</f>
        <v>0</v>
      </c>
      <c r="L100" s="138">
        <f>IF('1.DATOS-PROD'!U101="SI",VLOOKUP('1.DATOS-PROD'!U$2,'1.PUNTOS'!$A$1:$B$63,2,0),0)</f>
        <v>0</v>
      </c>
      <c r="M100" s="138">
        <f>IF('1.DATOS-PROD'!V101="SI",VLOOKUP('1.DATOS-PROD'!V$2,'1.PUNTOS'!$A$1:$B$63,2,0),0)</f>
        <v>0</v>
      </c>
      <c r="N100" s="138">
        <f>IF('1.DATOS-PROD'!W101="SI",VLOOKUP('1.DATOS-PROD'!W$2,'1.PUNTOS'!$A$1:$B$63,2,0),0)</f>
        <v>0</v>
      </c>
      <c r="O100" s="138">
        <f>IF('1.DATOS-PROD'!X101="SI",VLOOKUP('1.DATOS-PROD'!X$2,'1.PUNTOS'!$A$1:$B$63,2,0),0)</f>
        <v>0</v>
      </c>
      <c r="P100" s="138">
        <f>IF('1.DATOS-PROD'!Y101="SI",VLOOKUP('1.DATOS-PROD'!Y$2,'1.PUNTOS'!$A$1:$B$63,2,0),0)</f>
        <v>0</v>
      </c>
      <c r="Q100" s="138">
        <f>IF('1.DATOS-PROD'!Z101="SI",VLOOKUP('1.DATOS-PROD'!Z$2,'1.PUNTOS'!$A$1:$B$63,2,0),0)</f>
        <v>0</v>
      </c>
      <c r="R100" s="138">
        <f>IF('1.DATOS-PROD'!AA101="SI",VLOOKUP('1.DATOS-PROD'!AA$2,'1.PUNTOS'!$A$1:$B$63,2,0),0)</f>
        <v>0</v>
      </c>
      <c r="S100" s="138">
        <f>IF('1.DATOS-PROD'!AB101="SI",VLOOKUP('1.DATOS-PROD'!AB$2,'1.PUNTOS'!$A$1:$B$63,2,0),0)</f>
        <v>0</v>
      </c>
      <c r="T100" s="138">
        <f>IF('1.DATOS-PROD'!AC101="SI",VLOOKUP('1.DATOS-PROD'!AC$2,'1.PUNTOS'!$A$1:$B$63,2,0),0)</f>
        <v>0</v>
      </c>
      <c r="U100" s="138">
        <f>IF('1.DATOS-PROD'!AD101="SI",VLOOKUP('1.DATOS-PROD'!AD$2,'1.PUNTOS'!$A$1:$B$63,2,0),0)</f>
        <v>0</v>
      </c>
      <c r="V100" s="138">
        <f>IF('1.DATOS-PROD'!AE101="SI",VLOOKUP('1.DATOS-PROD'!AE$2,'1.PUNTOS'!$A$1:$B$63,2,0),0)</f>
        <v>0</v>
      </c>
      <c r="W100" s="138">
        <f>IF('1.DATOS-PROD'!AF101="SI",VLOOKUP('1.DATOS-PROD'!AF$2,'1.PUNTOS'!$A$1:$B$63,2,0),0)</f>
        <v>0</v>
      </c>
      <c r="X100" s="138">
        <f>IF('1.DATOS-PROD'!AG101="SI",VLOOKUP('1.DATOS-PROD'!AG$2,'1.PUNTOS'!$A$1:$B$63,2,0),0)</f>
        <v>0</v>
      </c>
      <c r="Y100" s="138">
        <f>IF('1.DATOS-PROD'!AH101="SI",VLOOKUP('1.DATOS-PROD'!AH$2,'1.PUNTOS'!$A$1:$B$63,2,0),0)</f>
        <v>0</v>
      </c>
      <c r="Z100" s="138">
        <f>IF('1.DATOS-PROD'!AI101="SI",VLOOKUP('1.DATOS-PROD'!AI$2,'1.PUNTOS'!$A$1:$B$63,2,0),0)</f>
        <v>0</v>
      </c>
      <c r="AA100" s="138">
        <f>IF('1.DATOS-PROD'!AJ101="SI",VLOOKUP('1.DATOS-PROD'!AJ$2,'1.PUNTOS'!$A$1:$B$63,2,0),0)</f>
        <v>0</v>
      </c>
      <c r="AB100" s="138">
        <f>IF('1.DATOS-PROD'!AK101="SI",VLOOKUP('1.DATOS-PROD'!AK$2,'1.PUNTOS'!$A$1:$B$63,2,0),0)</f>
        <v>0</v>
      </c>
      <c r="AC100" s="138">
        <f>IF('1.DATOS-PROD'!AL101="SI",VLOOKUP('1.DATOS-PROD'!AL$2,'1.PUNTOS'!$A$1:$B$63,2,0),0)</f>
        <v>0</v>
      </c>
      <c r="AD100" s="138">
        <f>IF('1.DATOS-PROD'!AM101="SI",VLOOKUP('1.DATOS-PROD'!AM$2,'1.PUNTOS'!$A$1:$B$63,2,0),0)</f>
        <v>0</v>
      </c>
      <c r="AE100" s="138">
        <f>IF('1.DATOS-PROD'!AN101="SI",VLOOKUP('1.DATOS-PROD'!AN$2,'1.PUNTOS'!$A$1:$B$63,2,0),0)</f>
        <v>0</v>
      </c>
      <c r="AF100" s="138">
        <f>IF('1.DATOS-PROD'!AO101="SI",VLOOKUP('1.DATOS-PROD'!AO$2,'1.PUNTOS'!$A$1:$B$63,2,0),0)</f>
        <v>0</v>
      </c>
      <c r="AG100" s="138">
        <f>IF('1.DATOS-PROD'!AP101="SI",VLOOKUP('1.DATOS-PROD'!AP$2,'1.PUNTOS'!$A$1:$B$63,2,0),0)</f>
        <v>0</v>
      </c>
      <c r="AH100" s="138">
        <f>IF('1.DATOS-PROD'!AQ101="SI",VLOOKUP('1.DATOS-PROD'!AQ$2,'1.PUNTOS'!$A$1:$B$63,2,0),0)</f>
        <v>0</v>
      </c>
      <c r="AI100" s="138">
        <f>IF('1.DATOS-PROD'!AR101="SI",VLOOKUP('1.DATOS-PROD'!AR$2,'1.PUNTOS'!$A$1:$B$63,2,0),0)</f>
        <v>0</v>
      </c>
      <c r="AJ100" s="138">
        <f>IF('1.DATOS-PROD'!AS101="SI",VLOOKUP('1.DATOS-PROD'!AS$2,'1.PUNTOS'!$A$1:$B$63,2,0),0)</f>
        <v>0</v>
      </c>
      <c r="AK100" s="138">
        <f>IF('1.DATOS-PROD'!AT101="SI",VLOOKUP('1.DATOS-PROD'!AT$2,'1.PUNTOS'!$A$1:$B$63,2,0),0)</f>
        <v>0</v>
      </c>
      <c r="AL100" s="138">
        <f>IF('1.DATOS-PROD'!AU101="SI",VLOOKUP('1.DATOS-PROD'!AU$2,'1.PUNTOS'!$A$1:$B$63,2,0),0)</f>
        <v>0</v>
      </c>
      <c r="AM100" s="138">
        <f>IF('1.DATOS-PROD'!AV101="SI",VLOOKUP('1.DATOS-PROD'!AV$2,'1.PUNTOS'!$A$1:$B$63,2,0),0)</f>
        <v>0</v>
      </c>
      <c r="AN100" s="138">
        <f>IF('1.DATOS-PROD'!AW101="SI",VLOOKUP('1.DATOS-PROD'!AW$2,'1.PUNTOS'!$A$1:$B$63,2,0),0)</f>
        <v>0</v>
      </c>
      <c r="AO100" s="138">
        <f>IF('1.DATOS-PROD'!AX101="SI",VLOOKUP('1.DATOS-PROD'!AX$2,'1.PUNTOS'!$A$1:$B$63,2,0),0)</f>
        <v>0</v>
      </c>
      <c r="AP100" s="138">
        <f>IF('1.DATOS-PROD'!AY101="SI",VLOOKUP('1.DATOS-PROD'!AY$2,'1.PUNTOS'!$A$1:$B$63,2,0),0)</f>
        <v>0</v>
      </c>
      <c r="AQ100" s="138">
        <f>IF('1.DATOS-PROD'!AZ101="SI",VLOOKUP('1.DATOS-PROD'!AZ$2,'1.PUNTOS'!$A$1:$B$63,2,0),0)</f>
        <v>0</v>
      </c>
      <c r="AR100" s="138">
        <f>IF('1.DATOS-PROD'!BA101="SI",VLOOKUP('1.DATOS-PROD'!BA$2,'1.PUNTOS'!$A$1:$B$63,2,0),0)</f>
        <v>0</v>
      </c>
      <c r="AS100" s="138">
        <f>IF('1.DATOS-PROD'!BB101="SI",VLOOKUP('1.DATOS-PROD'!BB$2,'1.PUNTOS'!$A$1:$B$63,2,0),0)</f>
        <v>0</v>
      </c>
      <c r="AT100" s="138">
        <f>IF('1.DATOS-PROD'!BC101="SI",VLOOKUP('1.DATOS-PROD'!BC$2,'1.PUNTOS'!$A$1:$B$63,2,0),0)</f>
        <v>0</v>
      </c>
      <c r="AU100" s="138">
        <f>IF('1.DATOS-PROD'!BD101="SI",VLOOKUP('1.DATOS-PROD'!BD$2,'1.PUNTOS'!$A$1:$B$63,2,0),0)</f>
        <v>0</v>
      </c>
      <c r="AV100" s="138">
        <f>IF('1.DATOS-PROD'!BE101="SI",VLOOKUP('1.DATOS-PROD'!BE$2,'1.PUNTOS'!$A$1:$B$63,2,0),0)</f>
        <v>0</v>
      </c>
      <c r="AW100" s="138">
        <f>IF('1.DATOS-PROD'!BF101="SI",VLOOKUP('1.DATOS-PROD'!BF$2,'1.PUNTOS'!$A$1:$B$63,2,0),0)</f>
        <v>0</v>
      </c>
      <c r="AX100" s="138">
        <f>IF('1.DATOS-PROD'!BG101="SI",VLOOKUP('1.DATOS-PROD'!BG$2,'1.PUNTOS'!$A$1:$B$63,2,0),0)</f>
        <v>0</v>
      </c>
      <c r="AY100" s="138">
        <f>IF('1.DATOS-PROD'!BH101="SI",VLOOKUP('1.DATOS-PROD'!BH$2,'1.PUNTOS'!$A$1:$B$63,2,0),0)</f>
        <v>0</v>
      </c>
      <c r="AZ100" s="138">
        <f>IF('1.DATOS-PROD'!BI101="SI",VLOOKUP('1.DATOS-PROD'!BI$2,'1.PUNTOS'!$A$1:$B$63,2,0),0)</f>
        <v>0</v>
      </c>
      <c r="BA100" s="138">
        <f>IF('1.DATOS-PROD'!BJ101="SI",VLOOKUP('1.DATOS-PROD'!BJ$2,'1.PUNTOS'!$A$1:$B$63,2,0),0)</f>
        <v>0</v>
      </c>
      <c r="BB100" s="138">
        <f>IF('1.DATOS-PROD'!BK101="SI",VLOOKUP('1.DATOS-PROD'!BK$2,'1.PUNTOS'!$A$1:$B$63,2,0),0)</f>
        <v>0</v>
      </c>
      <c r="BC100" s="138">
        <f>IF('1.DATOS-PROD'!BL101="SI",VLOOKUP('1.DATOS-PROD'!BL$2,'1.PUNTOS'!$A$1:$B$63,2,0),0)</f>
        <v>0</v>
      </c>
      <c r="BD100" s="138">
        <f>IF('1.DATOS-PROD'!BM101="SI",VLOOKUP('1.DATOS-PROD'!BM$2,'1.PUNTOS'!$A$1:$B$63,2,0),0)</f>
        <v>0</v>
      </c>
      <c r="BE100" s="138">
        <f>IF('1.DATOS-PROD'!BN101="SI",VLOOKUP('1.DATOS-PROD'!BN$2,'1.PUNTOS'!$A$1:$B$63,2,0),0)</f>
        <v>0</v>
      </c>
      <c r="BF100" s="138">
        <f>IF('1.DATOS-PROD'!BO101="SI",VLOOKUP('1.DATOS-PROD'!BO$2,'1.PUNTOS'!$A$1:$B$63,2,0),0)</f>
        <v>0</v>
      </c>
      <c r="BG100" s="138">
        <f>IF('1.DATOS-PROD'!BP101="SI",VLOOKUP('1.DATOS-PROD'!BP$2,'1.PUNTOS'!$A$1:$B$63,2,0),0)</f>
        <v>0</v>
      </c>
      <c r="BH100" s="138">
        <f>IF('1.DATOS-PROD'!BQ101="SI",VLOOKUP('1.DATOS-PROD'!BQ$2,'1.PUNTOS'!$A$1:$B$63,2,0),0)</f>
        <v>0</v>
      </c>
      <c r="BI100" s="138">
        <f>IF('1.DATOS-PROD'!BR101="SI",VLOOKUP('1.DATOS-PROD'!BR$2,'1.PUNTOS'!$A$1:$B$63,2,0),0)</f>
        <v>0</v>
      </c>
      <c r="BJ100" s="138">
        <f>IF('1.DATOS-PROD'!BS101="SI",VLOOKUP('1.DATOS-PROD'!BS$2,'1.PUNTOS'!$A$1:$B$63,2,0),0)</f>
        <v>0</v>
      </c>
      <c r="BK100" s="138">
        <f>IF('1.DATOS-PROD'!BT101="SI",VLOOKUP('1.DATOS-PROD'!BT$2,'1.PUNTOS'!$A$1:$B$63,2,0),0)</f>
        <v>0</v>
      </c>
    </row>
    <row r="101" spans="1:63" x14ac:dyDescent="0.25">
      <c r="A101">
        <f>'0.Consolidado general'!$A102</f>
        <v>0</v>
      </c>
      <c r="B101" s="138">
        <f>IF('1.DATOS-PROD'!K102="SI",VLOOKUP('1.DATOS-PROD'!K$2,'1.PUNTOS'!$A$1:$B$63,2,0),0)</f>
        <v>0</v>
      </c>
      <c r="C101" s="138">
        <f>IF('1.DATOS-PROD'!L102="SI",VLOOKUP('1.DATOS-PROD'!L$2,'1.PUNTOS'!$A$1:$B$63,2,0),0)</f>
        <v>0</v>
      </c>
      <c r="D101" s="138">
        <f>IF('1.DATOS-PROD'!M102="SI",VLOOKUP('1.DATOS-PROD'!M$2,'1.PUNTOS'!$A$1:$B$63,2,0),0)</f>
        <v>0</v>
      </c>
      <c r="E101" s="138">
        <f>IF('1.DATOS-PROD'!N102="SI",VLOOKUP('1.DATOS-PROD'!N$2,'1.PUNTOS'!$A$1:$B$63,2,0),0)</f>
        <v>0</v>
      </c>
      <c r="F101" s="138">
        <f>IF('1.DATOS-PROD'!O102="SI",VLOOKUP('1.DATOS-PROD'!O$2,'1.PUNTOS'!$A$1:$B$63,2,0),0)</f>
        <v>0</v>
      </c>
      <c r="G101" s="138">
        <f>IF('1.DATOS-PROD'!P102="SI",VLOOKUP('1.DATOS-PROD'!P$2,'1.PUNTOS'!$A$1:$B$63,2,0),0)</f>
        <v>0</v>
      </c>
      <c r="H101" s="138">
        <f>IF('1.DATOS-PROD'!Q102="SI",VLOOKUP('1.DATOS-PROD'!Q$2,'1.PUNTOS'!$A$1:$B$63,2,0),0)</f>
        <v>0</v>
      </c>
      <c r="I101" s="138">
        <f>IF('1.DATOS-PROD'!R102="SI",VLOOKUP('1.DATOS-PROD'!R$2,'1.PUNTOS'!$A$1:$B$63,2,0),0)</f>
        <v>0</v>
      </c>
      <c r="J101" s="138">
        <f>IF('1.DATOS-PROD'!S102="SI",VLOOKUP('1.DATOS-PROD'!S$2,'1.PUNTOS'!$A$1:$B$63,2,0),0)</f>
        <v>0</v>
      </c>
      <c r="K101" s="138">
        <f>IF('1.DATOS-PROD'!T102="SI",VLOOKUP('1.DATOS-PROD'!T$2,'1.PUNTOS'!$A$1:$B$63,2,0),0)</f>
        <v>0</v>
      </c>
      <c r="L101" s="138">
        <f>IF('1.DATOS-PROD'!U102="SI",VLOOKUP('1.DATOS-PROD'!U$2,'1.PUNTOS'!$A$1:$B$63,2,0),0)</f>
        <v>0</v>
      </c>
      <c r="M101" s="138">
        <f>IF('1.DATOS-PROD'!V102="SI",VLOOKUP('1.DATOS-PROD'!V$2,'1.PUNTOS'!$A$1:$B$63,2,0),0)</f>
        <v>0</v>
      </c>
      <c r="N101" s="138">
        <f>IF('1.DATOS-PROD'!W102="SI",VLOOKUP('1.DATOS-PROD'!W$2,'1.PUNTOS'!$A$1:$B$63,2,0),0)</f>
        <v>0</v>
      </c>
      <c r="O101" s="138">
        <f>IF('1.DATOS-PROD'!X102="SI",VLOOKUP('1.DATOS-PROD'!X$2,'1.PUNTOS'!$A$1:$B$63,2,0),0)</f>
        <v>0</v>
      </c>
      <c r="P101" s="138">
        <f>IF('1.DATOS-PROD'!Y102="SI",VLOOKUP('1.DATOS-PROD'!Y$2,'1.PUNTOS'!$A$1:$B$63,2,0),0)</f>
        <v>0</v>
      </c>
      <c r="Q101" s="138">
        <f>IF('1.DATOS-PROD'!Z102="SI",VLOOKUP('1.DATOS-PROD'!Z$2,'1.PUNTOS'!$A$1:$B$63,2,0),0)</f>
        <v>0</v>
      </c>
      <c r="R101" s="138">
        <f>IF('1.DATOS-PROD'!AA102="SI",VLOOKUP('1.DATOS-PROD'!AA$2,'1.PUNTOS'!$A$1:$B$63,2,0),0)</f>
        <v>0</v>
      </c>
      <c r="S101" s="138">
        <f>IF('1.DATOS-PROD'!AB102="SI",VLOOKUP('1.DATOS-PROD'!AB$2,'1.PUNTOS'!$A$1:$B$63,2,0),0)</f>
        <v>0</v>
      </c>
      <c r="T101" s="138">
        <f>IF('1.DATOS-PROD'!AC102="SI",VLOOKUP('1.DATOS-PROD'!AC$2,'1.PUNTOS'!$A$1:$B$63,2,0),0)</f>
        <v>0</v>
      </c>
      <c r="U101" s="138">
        <f>IF('1.DATOS-PROD'!AD102="SI",VLOOKUP('1.DATOS-PROD'!AD$2,'1.PUNTOS'!$A$1:$B$63,2,0),0)</f>
        <v>0</v>
      </c>
      <c r="V101" s="138">
        <f>IF('1.DATOS-PROD'!AE102="SI",VLOOKUP('1.DATOS-PROD'!AE$2,'1.PUNTOS'!$A$1:$B$63,2,0),0)</f>
        <v>0</v>
      </c>
      <c r="W101" s="138">
        <f>IF('1.DATOS-PROD'!AF102="SI",VLOOKUP('1.DATOS-PROD'!AF$2,'1.PUNTOS'!$A$1:$B$63,2,0),0)</f>
        <v>0</v>
      </c>
      <c r="X101" s="138">
        <f>IF('1.DATOS-PROD'!AG102="SI",VLOOKUP('1.DATOS-PROD'!AG$2,'1.PUNTOS'!$A$1:$B$63,2,0),0)</f>
        <v>0</v>
      </c>
      <c r="Y101" s="138">
        <f>IF('1.DATOS-PROD'!AH102="SI",VLOOKUP('1.DATOS-PROD'!AH$2,'1.PUNTOS'!$A$1:$B$63,2,0),0)</f>
        <v>0</v>
      </c>
      <c r="Z101" s="138">
        <f>IF('1.DATOS-PROD'!AI102="SI",VLOOKUP('1.DATOS-PROD'!AI$2,'1.PUNTOS'!$A$1:$B$63,2,0),0)</f>
        <v>0</v>
      </c>
      <c r="AA101" s="138">
        <f>IF('1.DATOS-PROD'!AJ102="SI",VLOOKUP('1.DATOS-PROD'!AJ$2,'1.PUNTOS'!$A$1:$B$63,2,0),0)</f>
        <v>0</v>
      </c>
      <c r="AB101" s="138">
        <f>IF('1.DATOS-PROD'!AK102="SI",VLOOKUP('1.DATOS-PROD'!AK$2,'1.PUNTOS'!$A$1:$B$63,2,0),0)</f>
        <v>0</v>
      </c>
      <c r="AC101" s="138">
        <f>IF('1.DATOS-PROD'!AL102="SI",VLOOKUP('1.DATOS-PROD'!AL$2,'1.PUNTOS'!$A$1:$B$63,2,0),0)</f>
        <v>0</v>
      </c>
      <c r="AD101" s="138">
        <f>IF('1.DATOS-PROD'!AM102="SI",VLOOKUP('1.DATOS-PROD'!AM$2,'1.PUNTOS'!$A$1:$B$63,2,0),0)</f>
        <v>0</v>
      </c>
      <c r="AE101" s="138">
        <f>IF('1.DATOS-PROD'!AN102="SI",VLOOKUP('1.DATOS-PROD'!AN$2,'1.PUNTOS'!$A$1:$B$63,2,0),0)</f>
        <v>0</v>
      </c>
      <c r="AF101" s="138">
        <f>IF('1.DATOS-PROD'!AO102="SI",VLOOKUP('1.DATOS-PROD'!AO$2,'1.PUNTOS'!$A$1:$B$63,2,0),0)</f>
        <v>0</v>
      </c>
      <c r="AG101" s="138">
        <f>IF('1.DATOS-PROD'!AP102="SI",VLOOKUP('1.DATOS-PROD'!AP$2,'1.PUNTOS'!$A$1:$B$63,2,0),0)</f>
        <v>0</v>
      </c>
      <c r="AH101" s="138">
        <f>IF('1.DATOS-PROD'!AQ102="SI",VLOOKUP('1.DATOS-PROD'!AQ$2,'1.PUNTOS'!$A$1:$B$63,2,0),0)</f>
        <v>0</v>
      </c>
      <c r="AI101" s="138">
        <f>IF('1.DATOS-PROD'!AR102="SI",VLOOKUP('1.DATOS-PROD'!AR$2,'1.PUNTOS'!$A$1:$B$63,2,0),0)</f>
        <v>0</v>
      </c>
      <c r="AJ101" s="138">
        <f>IF('1.DATOS-PROD'!AS102="SI",VLOOKUP('1.DATOS-PROD'!AS$2,'1.PUNTOS'!$A$1:$B$63,2,0),0)</f>
        <v>0</v>
      </c>
      <c r="AK101" s="138">
        <f>IF('1.DATOS-PROD'!AT102="SI",VLOOKUP('1.DATOS-PROD'!AT$2,'1.PUNTOS'!$A$1:$B$63,2,0),0)</f>
        <v>0</v>
      </c>
      <c r="AL101" s="138">
        <f>IF('1.DATOS-PROD'!AU102="SI",VLOOKUP('1.DATOS-PROD'!AU$2,'1.PUNTOS'!$A$1:$B$63,2,0),0)</f>
        <v>0</v>
      </c>
      <c r="AM101" s="138">
        <f>IF('1.DATOS-PROD'!AV102="SI",VLOOKUP('1.DATOS-PROD'!AV$2,'1.PUNTOS'!$A$1:$B$63,2,0),0)</f>
        <v>0</v>
      </c>
      <c r="AN101" s="138">
        <f>IF('1.DATOS-PROD'!AW102="SI",VLOOKUP('1.DATOS-PROD'!AW$2,'1.PUNTOS'!$A$1:$B$63,2,0),0)</f>
        <v>0</v>
      </c>
      <c r="AO101" s="138">
        <f>IF('1.DATOS-PROD'!AX102="SI",VLOOKUP('1.DATOS-PROD'!AX$2,'1.PUNTOS'!$A$1:$B$63,2,0),0)</f>
        <v>0</v>
      </c>
      <c r="AP101" s="138">
        <f>IF('1.DATOS-PROD'!AY102="SI",VLOOKUP('1.DATOS-PROD'!AY$2,'1.PUNTOS'!$A$1:$B$63,2,0),0)</f>
        <v>0</v>
      </c>
      <c r="AQ101" s="138">
        <f>IF('1.DATOS-PROD'!AZ102="SI",VLOOKUP('1.DATOS-PROD'!AZ$2,'1.PUNTOS'!$A$1:$B$63,2,0),0)</f>
        <v>0</v>
      </c>
      <c r="AR101" s="138">
        <f>IF('1.DATOS-PROD'!BA102="SI",VLOOKUP('1.DATOS-PROD'!BA$2,'1.PUNTOS'!$A$1:$B$63,2,0),0)</f>
        <v>0</v>
      </c>
      <c r="AS101" s="138">
        <f>IF('1.DATOS-PROD'!BB102="SI",VLOOKUP('1.DATOS-PROD'!BB$2,'1.PUNTOS'!$A$1:$B$63,2,0),0)</f>
        <v>0</v>
      </c>
      <c r="AT101" s="138">
        <f>IF('1.DATOS-PROD'!BC102="SI",VLOOKUP('1.DATOS-PROD'!BC$2,'1.PUNTOS'!$A$1:$B$63,2,0),0)</f>
        <v>0</v>
      </c>
      <c r="AU101" s="138">
        <f>IF('1.DATOS-PROD'!BD102="SI",VLOOKUP('1.DATOS-PROD'!BD$2,'1.PUNTOS'!$A$1:$B$63,2,0),0)</f>
        <v>0</v>
      </c>
      <c r="AV101" s="138">
        <f>IF('1.DATOS-PROD'!BE102="SI",VLOOKUP('1.DATOS-PROD'!BE$2,'1.PUNTOS'!$A$1:$B$63,2,0),0)</f>
        <v>0</v>
      </c>
      <c r="AW101" s="138">
        <f>IF('1.DATOS-PROD'!BF102="SI",VLOOKUP('1.DATOS-PROD'!BF$2,'1.PUNTOS'!$A$1:$B$63,2,0),0)</f>
        <v>0</v>
      </c>
      <c r="AX101" s="138">
        <f>IF('1.DATOS-PROD'!BG102="SI",VLOOKUP('1.DATOS-PROD'!BG$2,'1.PUNTOS'!$A$1:$B$63,2,0),0)</f>
        <v>0</v>
      </c>
      <c r="AY101" s="138">
        <f>IF('1.DATOS-PROD'!BH102="SI",VLOOKUP('1.DATOS-PROD'!BH$2,'1.PUNTOS'!$A$1:$B$63,2,0),0)</f>
        <v>0</v>
      </c>
      <c r="AZ101" s="138">
        <f>IF('1.DATOS-PROD'!BI102="SI",VLOOKUP('1.DATOS-PROD'!BI$2,'1.PUNTOS'!$A$1:$B$63,2,0),0)</f>
        <v>0</v>
      </c>
      <c r="BA101" s="138">
        <f>IF('1.DATOS-PROD'!BJ102="SI",VLOOKUP('1.DATOS-PROD'!BJ$2,'1.PUNTOS'!$A$1:$B$63,2,0),0)</f>
        <v>0</v>
      </c>
      <c r="BB101" s="138">
        <f>IF('1.DATOS-PROD'!BK102="SI",VLOOKUP('1.DATOS-PROD'!BK$2,'1.PUNTOS'!$A$1:$B$63,2,0),0)</f>
        <v>0</v>
      </c>
      <c r="BC101" s="138">
        <f>IF('1.DATOS-PROD'!BL102="SI",VLOOKUP('1.DATOS-PROD'!BL$2,'1.PUNTOS'!$A$1:$B$63,2,0),0)</f>
        <v>0</v>
      </c>
      <c r="BD101" s="138">
        <f>IF('1.DATOS-PROD'!BM102="SI",VLOOKUP('1.DATOS-PROD'!BM$2,'1.PUNTOS'!$A$1:$B$63,2,0),0)</f>
        <v>0</v>
      </c>
      <c r="BE101" s="138">
        <f>IF('1.DATOS-PROD'!BN102="SI",VLOOKUP('1.DATOS-PROD'!BN$2,'1.PUNTOS'!$A$1:$B$63,2,0),0)</f>
        <v>0</v>
      </c>
      <c r="BF101" s="138">
        <f>IF('1.DATOS-PROD'!BO102="SI",VLOOKUP('1.DATOS-PROD'!BO$2,'1.PUNTOS'!$A$1:$B$63,2,0),0)</f>
        <v>0</v>
      </c>
      <c r="BG101" s="138">
        <f>IF('1.DATOS-PROD'!BP102="SI",VLOOKUP('1.DATOS-PROD'!BP$2,'1.PUNTOS'!$A$1:$B$63,2,0),0)</f>
        <v>0</v>
      </c>
      <c r="BH101" s="138">
        <f>IF('1.DATOS-PROD'!BQ102="SI",VLOOKUP('1.DATOS-PROD'!BQ$2,'1.PUNTOS'!$A$1:$B$63,2,0),0)</f>
        <v>0</v>
      </c>
      <c r="BI101" s="138">
        <f>IF('1.DATOS-PROD'!BR102="SI",VLOOKUP('1.DATOS-PROD'!BR$2,'1.PUNTOS'!$A$1:$B$63,2,0),0)</f>
        <v>0</v>
      </c>
      <c r="BJ101" s="138">
        <f>IF('1.DATOS-PROD'!BS102="SI",VLOOKUP('1.DATOS-PROD'!BS$2,'1.PUNTOS'!$A$1:$B$63,2,0),0)</f>
        <v>0</v>
      </c>
      <c r="BK101" s="138">
        <f>IF('1.DATOS-PROD'!BT102="SI",VLOOKUP('1.DATOS-PROD'!BT$2,'1.PUNTOS'!$A$1:$B$63,2,0),0)</f>
        <v>0</v>
      </c>
    </row>
    <row r="102" spans="1:63" x14ac:dyDescent="0.25">
      <c r="A102">
        <f>'0.Consolidado general'!$A103</f>
        <v>0</v>
      </c>
      <c r="B102" s="138">
        <f>IF('1.DATOS-PROD'!K103="SI",VLOOKUP('1.DATOS-PROD'!K$2,'1.PUNTOS'!$A$1:$B$63,2,0),0)</f>
        <v>0</v>
      </c>
      <c r="C102" s="138">
        <f>IF('1.DATOS-PROD'!L103="SI",VLOOKUP('1.DATOS-PROD'!L$2,'1.PUNTOS'!$A$1:$B$63,2,0),0)</f>
        <v>0</v>
      </c>
      <c r="D102" s="138">
        <f>IF('1.DATOS-PROD'!M103="SI",VLOOKUP('1.DATOS-PROD'!M$2,'1.PUNTOS'!$A$1:$B$63,2,0),0)</f>
        <v>0</v>
      </c>
      <c r="E102" s="138">
        <f>IF('1.DATOS-PROD'!N103="SI",VLOOKUP('1.DATOS-PROD'!N$2,'1.PUNTOS'!$A$1:$B$63,2,0),0)</f>
        <v>0</v>
      </c>
      <c r="F102" s="138">
        <f>IF('1.DATOS-PROD'!O103="SI",VLOOKUP('1.DATOS-PROD'!O$2,'1.PUNTOS'!$A$1:$B$63,2,0),0)</f>
        <v>0</v>
      </c>
      <c r="G102" s="138">
        <f>IF('1.DATOS-PROD'!P103="SI",VLOOKUP('1.DATOS-PROD'!P$2,'1.PUNTOS'!$A$1:$B$63,2,0),0)</f>
        <v>0</v>
      </c>
      <c r="H102" s="138">
        <f>IF('1.DATOS-PROD'!Q103="SI",VLOOKUP('1.DATOS-PROD'!Q$2,'1.PUNTOS'!$A$1:$B$63,2,0),0)</f>
        <v>0</v>
      </c>
      <c r="I102" s="138">
        <f>IF('1.DATOS-PROD'!R103="SI",VLOOKUP('1.DATOS-PROD'!R$2,'1.PUNTOS'!$A$1:$B$63,2,0),0)</f>
        <v>0</v>
      </c>
      <c r="J102" s="138">
        <f>IF('1.DATOS-PROD'!S103="SI",VLOOKUP('1.DATOS-PROD'!S$2,'1.PUNTOS'!$A$1:$B$63,2,0),0)</f>
        <v>0</v>
      </c>
      <c r="K102" s="138">
        <f>IF('1.DATOS-PROD'!T103="SI",VLOOKUP('1.DATOS-PROD'!T$2,'1.PUNTOS'!$A$1:$B$63,2,0),0)</f>
        <v>0</v>
      </c>
      <c r="L102" s="138">
        <f>IF('1.DATOS-PROD'!U103="SI",VLOOKUP('1.DATOS-PROD'!U$2,'1.PUNTOS'!$A$1:$B$63,2,0),0)</f>
        <v>0</v>
      </c>
      <c r="M102" s="138">
        <f>IF('1.DATOS-PROD'!V103="SI",VLOOKUP('1.DATOS-PROD'!V$2,'1.PUNTOS'!$A$1:$B$63,2,0),0)</f>
        <v>0</v>
      </c>
      <c r="N102" s="138">
        <f>IF('1.DATOS-PROD'!W103="SI",VLOOKUP('1.DATOS-PROD'!W$2,'1.PUNTOS'!$A$1:$B$63,2,0),0)</f>
        <v>0</v>
      </c>
      <c r="O102" s="138">
        <f>IF('1.DATOS-PROD'!X103="SI",VLOOKUP('1.DATOS-PROD'!X$2,'1.PUNTOS'!$A$1:$B$63,2,0),0)</f>
        <v>0</v>
      </c>
      <c r="P102" s="138">
        <f>IF('1.DATOS-PROD'!Y103="SI",VLOOKUP('1.DATOS-PROD'!Y$2,'1.PUNTOS'!$A$1:$B$63,2,0),0)</f>
        <v>0</v>
      </c>
      <c r="Q102" s="138">
        <f>IF('1.DATOS-PROD'!Z103="SI",VLOOKUP('1.DATOS-PROD'!Z$2,'1.PUNTOS'!$A$1:$B$63,2,0),0)</f>
        <v>0</v>
      </c>
      <c r="R102" s="138">
        <f>IF('1.DATOS-PROD'!AA103="SI",VLOOKUP('1.DATOS-PROD'!AA$2,'1.PUNTOS'!$A$1:$B$63,2,0),0)</f>
        <v>0</v>
      </c>
      <c r="S102" s="138">
        <f>IF('1.DATOS-PROD'!AB103="SI",VLOOKUP('1.DATOS-PROD'!AB$2,'1.PUNTOS'!$A$1:$B$63,2,0),0)</f>
        <v>0</v>
      </c>
      <c r="T102" s="138">
        <f>IF('1.DATOS-PROD'!AC103="SI",VLOOKUP('1.DATOS-PROD'!AC$2,'1.PUNTOS'!$A$1:$B$63,2,0),0)</f>
        <v>0</v>
      </c>
      <c r="U102" s="138">
        <f>IF('1.DATOS-PROD'!AD103="SI",VLOOKUP('1.DATOS-PROD'!AD$2,'1.PUNTOS'!$A$1:$B$63,2,0),0)</f>
        <v>0</v>
      </c>
      <c r="V102" s="138">
        <f>IF('1.DATOS-PROD'!AE103="SI",VLOOKUP('1.DATOS-PROD'!AE$2,'1.PUNTOS'!$A$1:$B$63,2,0),0)</f>
        <v>0</v>
      </c>
      <c r="W102" s="138">
        <f>IF('1.DATOS-PROD'!AF103="SI",VLOOKUP('1.DATOS-PROD'!AF$2,'1.PUNTOS'!$A$1:$B$63,2,0),0)</f>
        <v>0</v>
      </c>
      <c r="X102" s="138">
        <f>IF('1.DATOS-PROD'!AG103="SI",VLOOKUP('1.DATOS-PROD'!AG$2,'1.PUNTOS'!$A$1:$B$63,2,0),0)</f>
        <v>0</v>
      </c>
      <c r="Y102" s="138">
        <f>IF('1.DATOS-PROD'!AH103="SI",VLOOKUP('1.DATOS-PROD'!AH$2,'1.PUNTOS'!$A$1:$B$63,2,0),0)</f>
        <v>0</v>
      </c>
      <c r="Z102" s="138">
        <f>IF('1.DATOS-PROD'!AI103="SI",VLOOKUP('1.DATOS-PROD'!AI$2,'1.PUNTOS'!$A$1:$B$63,2,0),0)</f>
        <v>0</v>
      </c>
      <c r="AA102" s="138">
        <f>IF('1.DATOS-PROD'!AJ103="SI",VLOOKUP('1.DATOS-PROD'!AJ$2,'1.PUNTOS'!$A$1:$B$63,2,0),0)</f>
        <v>0</v>
      </c>
      <c r="AB102" s="138">
        <f>IF('1.DATOS-PROD'!AK103="SI",VLOOKUP('1.DATOS-PROD'!AK$2,'1.PUNTOS'!$A$1:$B$63,2,0),0)</f>
        <v>0</v>
      </c>
      <c r="AC102" s="138">
        <f>IF('1.DATOS-PROD'!AL103="SI",VLOOKUP('1.DATOS-PROD'!AL$2,'1.PUNTOS'!$A$1:$B$63,2,0),0)</f>
        <v>0</v>
      </c>
      <c r="AD102" s="138">
        <f>IF('1.DATOS-PROD'!AM103="SI",VLOOKUP('1.DATOS-PROD'!AM$2,'1.PUNTOS'!$A$1:$B$63,2,0),0)</f>
        <v>0</v>
      </c>
      <c r="AE102" s="138">
        <f>IF('1.DATOS-PROD'!AN103="SI",VLOOKUP('1.DATOS-PROD'!AN$2,'1.PUNTOS'!$A$1:$B$63,2,0),0)</f>
        <v>0</v>
      </c>
      <c r="AF102" s="138">
        <f>IF('1.DATOS-PROD'!AO103="SI",VLOOKUP('1.DATOS-PROD'!AO$2,'1.PUNTOS'!$A$1:$B$63,2,0),0)</f>
        <v>0</v>
      </c>
      <c r="AG102" s="138">
        <f>IF('1.DATOS-PROD'!AP103="SI",VLOOKUP('1.DATOS-PROD'!AP$2,'1.PUNTOS'!$A$1:$B$63,2,0),0)</f>
        <v>0</v>
      </c>
      <c r="AH102" s="138">
        <f>IF('1.DATOS-PROD'!AQ103="SI",VLOOKUP('1.DATOS-PROD'!AQ$2,'1.PUNTOS'!$A$1:$B$63,2,0),0)</f>
        <v>0</v>
      </c>
      <c r="AI102" s="138">
        <f>IF('1.DATOS-PROD'!AR103="SI",VLOOKUP('1.DATOS-PROD'!AR$2,'1.PUNTOS'!$A$1:$B$63,2,0),0)</f>
        <v>0</v>
      </c>
      <c r="AJ102" s="138">
        <f>IF('1.DATOS-PROD'!AS103="SI",VLOOKUP('1.DATOS-PROD'!AS$2,'1.PUNTOS'!$A$1:$B$63,2,0),0)</f>
        <v>0</v>
      </c>
      <c r="AK102" s="138">
        <f>IF('1.DATOS-PROD'!AT103="SI",VLOOKUP('1.DATOS-PROD'!AT$2,'1.PUNTOS'!$A$1:$B$63,2,0),0)</f>
        <v>0</v>
      </c>
      <c r="AL102" s="138">
        <f>IF('1.DATOS-PROD'!AU103="SI",VLOOKUP('1.DATOS-PROD'!AU$2,'1.PUNTOS'!$A$1:$B$63,2,0),0)</f>
        <v>0</v>
      </c>
      <c r="AM102" s="138">
        <f>IF('1.DATOS-PROD'!AV103="SI",VLOOKUP('1.DATOS-PROD'!AV$2,'1.PUNTOS'!$A$1:$B$63,2,0),0)</f>
        <v>0</v>
      </c>
      <c r="AN102" s="138">
        <f>IF('1.DATOS-PROD'!AW103="SI",VLOOKUP('1.DATOS-PROD'!AW$2,'1.PUNTOS'!$A$1:$B$63,2,0),0)</f>
        <v>0</v>
      </c>
      <c r="AO102" s="138">
        <f>IF('1.DATOS-PROD'!AX103="SI",VLOOKUP('1.DATOS-PROD'!AX$2,'1.PUNTOS'!$A$1:$B$63,2,0),0)</f>
        <v>0</v>
      </c>
      <c r="AP102" s="138">
        <f>IF('1.DATOS-PROD'!AY103="SI",VLOOKUP('1.DATOS-PROD'!AY$2,'1.PUNTOS'!$A$1:$B$63,2,0),0)</f>
        <v>0</v>
      </c>
      <c r="AQ102" s="138">
        <f>IF('1.DATOS-PROD'!AZ103="SI",VLOOKUP('1.DATOS-PROD'!AZ$2,'1.PUNTOS'!$A$1:$B$63,2,0),0)</f>
        <v>0</v>
      </c>
      <c r="AR102" s="138">
        <f>IF('1.DATOS-PROD'!BA103="SI",VLOOKUP('1.DATOS-PROD'!BA$2,'1.PUNTOS'!$A$1:$B$63,2,0),0)</f>
        <v>0</v>
      </c>
      <c r="AS102" s="138">
        <f>IF('1.DATOS-PROD'!BB103="SI",VLOOKUP('1.DATOS-PROD'!BB$2,'1.PUNTOS'!$A$1:$B$63,2,0),0)</f>
        <v>0</v>
      </c>
      <c r="AT102" s="138">
        <f>IF('1.DATOS-PROD'!BC103="SI",VLOOKUP('1.DATOS-PROD'!BC$2,'1.PUNTOS'!$A$1:$B$63,2,0),0)</f>
        <v>0</v>
      </c>
      <c r="AU102" s="138">
        <f>IF('1.DATOS-PROD'!BD103="SI",VLOOKUP('1.DATOS-PROD'!BD$2,'1.PUNTOS'!$A$1:$B$63,2,0),0)</f>
        <v>0</v>
      </c>
      <c r="AV102" s="138">
        <f>IF('1.DATOS-PROD'!BE103="SI",VLOOKUP('1.DATOS-PROD'!BE$2,'1.PUNTOS'!$A$1:$B$63,2,0),0)</f>
        <v>0</v>
      </c>
      <c r="AW102" s="138">
        <f>IF('1.DATOS-PROD'!BF103="SI",VLOOKUP('1.DATOS-PROD'!BF$2,'1.PUNTOS'!$A$1:$B$63,2,0),0)</f>
        <v>0</v>
      </c>
      <c r="AX102" s="138">
        <f>IF('1.DATOS-PROD'!BG103="SI",VLOOKUP('1.DATOS-PROD'!BG$2,'1.PUNTOS'!$A$1:$B$63,2,0),0)</f>
        <v>0</v>
      </c>
      <c r="AY102" s="138">
        <f>IF('1.DATOS-PROD'!BH103="SI",VLOOKUP('1.DATOS-PROD'!BH$2,'1.PUNTOS'!$A$1:$B$63,2,0),0)</f>
        <v>0</v>
      </c>
      <c r="AZ102" s="138">
        <f>IF('1.DATOS-PROD'!BI103="SI",VLOOKUP('1.DATOS-PROD'!BI$2,'1.PUNTOS'!$A$1:$B$63,2,0),0)</f>
        <v>0</v>
      </c>
      <c r="BA102" s="138">
        <f>IF('1.DATOS-PROD'!BJ103="SI",VLOOKUP('1.DATOS-PROD'!BJ$2,'1.PUNTOS'!$A$1:$B$63,2,0),0)</f>
        <v>0</v>
      </c>
      <c r="BB102" s="138">
        <f>IF('1.DATOS-PROD'!BK103="SI",VLOOKUP('1.DATOS-PROD'!BK$2,'1.PUNTOS'!$A$1:$B$63,2,0),0)</f>
        <v>0</v>
      </c>
      <c r="BC102" s="138">
        <f>IF('1.DATOS-PROD'!BL103="SI",VLOOKUP('1.DATOS-PROD'!BL$2,'1.PUNTOS'!$A$1:$B$63,2,0),0)</f>
        <v>0</v>
      </c>
      <c r="BD102" s="138">
        <f>IF('1.DATOS-PROD'!BM103="SI",VLOOKUP('1.DATOS-PROD'!BM$2,'1.PUNTOS'!$A$1:$B$63,2,0),0)</f>
        <v>0</v>
      </c>
      <c r="BE102" s="138">
        <f>IF('1.DATOS-PROD'!BN103="SI",VLOOKUP('1.DATOS-PROD'!BN$2,'1.PUNTOS'!$A$1:$B$63,2,0),0)</f>
        <v>0</v>
      </c>
      <c r="BF102" s="138">
        <f>IF('1.DATOS-PROD'!BO103="SI",VLOOKUP('1.DATOS-PROD'!BO$2,'1.PUNTOS'!$A$1:$B$63,2,0),0)</f>
        <v>0</v>
      </c>
      <c r="BG102" s="138">
        <f>IF('1.DATOS-PROD'!BP103="SI",VLOOKUP('1.DATOS-PROD'!BP$2,'1.PUNTOS'!$A$1:$B$63,2,0),0)</f>
        <v>0</v>
      </c>
      <c r="BH102" s="138">
        <f>IF('1.DATOS-PROD'!BQ103="SI",VLOOKUP('1.DATOS-PROD'!BQ$2,'1.PUNTOS'!$A$1:$B$63,2,0),0)</f>
        <v>0</v>
      </c>
      <c r="BI102" s="138">
        <f>IF('1.DATOS-PROD'!BR103="SI",VLOOKUP('1.DATOS-PROD'!BR$2,'1.PUNTOS'!$A$1:$B$63,2,0),0)</f>
        <v>0</v>
      </c>
      <c r="BJ102" s="138">
        <f>IF('1.DATOS-PROD'!BS103="SI",VLOOKUP('1.DATOS-PROD'!BS$2,'1.PUNTOS'!$A$1:$B$63,2,0),0)</f>
        <v>0</v>
      </c>
      <c r="BK102" s="138">
        <f>IF('1.DATOS-PROD'!BT103="SI",VLOOKUP('1.DATOS-PROD'!BT$2,'1.PUNTOS'!$A$1:$B$63,2,0),0)</f>
        <v>0</v>
      </c>
    </row>
    <row r="103" spans="1:63" x14ac:dyDescent="0.25">
      <c r="A103">
        <f>'0.Consolidado general'!$A104</f>
        <v>0</v>
      </c>
      <c r="B103" s="138">
        <f>IF('1.DATOS-PROD'!K104="SI",VLOOKUP('1.DATOS-PROD'!K$2,'1.PUNTOS'!$A$1:$B$63,2,0),0)</f>
        <v>0</v>
      </c>
      <c r="C103" s="138">
        <f>IF('1.DATOS-PROD'!L104="SI",VLOOKUP('1.DATOS-PROD'!L$2,'1.PUNTOS'!$A$1:$B$63,2,0),0)</f>
        <v>0</v>
      </c>
      <c r="D103" s="138">
        <f>IF('1.DATOS-PROD'!M104="SI",VLOOKUP('1.DATOS-PROD'!M$2,'1.PUNTOS'!$A$1:$B$63,2,0),0)</f>
        <v>0</v>
      </c>
      <c r="E103" s="138">
        <f>IF('1.DATOS-PROD'!N104="SI",VLOOKUP('1.DATOS-PROD'!N$2,'1.PUNTOS'!$A$1:$B$63,2,0),0)</f>
        <v>0</v>
      </c>
      <c r="F103" s="138">
        <f>IF('1.DATOS-PROD'!O104="SI",VLOOKUP('1.DATOS-PROD'!O$2,'1.PUNTOS'!$A$1:$B$63,2,0),0)</f>
        <v>0</v>
      </c>
      <c r="G103" s="138">
        <f>IF('1.DATOS-PROD'!P104="SI",VLOOKUP('1.DATOS-PROD'!P$2,'1.PUNTOS'!$A$1:$B$63,2,0),0)</f>
        <v>0</v>
      </c>
      <c r="H103" s="138">
        <f>IF('1.DATOS-PROD'!Q104="SI",VLOOKUP('1.DATOS-PROD'!Q$2,'1.PUNTOS'!$A$1:$B$63,2,0),0)</f>
        <v>0</v>
      </c>
      <c r="I103" s="138">
        <f>IF('1.DATOS-PROD'!R104="SI",VLOOKUP('1.DATOS-PROD'!R$2,'1.PUNTOS'!$A$1:$B$63,2,0),0)</f>
        <v>0</v>
      </c>
      <c r="J103" s="138">
        <f>IF('1.DATOS-PROD'!S104="SI",VLOOKUP('1.DATOS-PROD'!S$2,'1.PUNTOS'!$A$1:$B$63,2,0),0)</f>
        <v>0</v>
      </c>
      <c r="K103" s="138">
        <f>IF('1.DATOS-PROD'!T104="SI",VLOOKUP('1.DATOS-PROD'!T$2,'1.PUNTOS'!$A$1:$B$63,2,0),0)</f>
        <v>0</v>
      </c>
      <c r="L103" s="138">
        <f>IF('1.DATOS-PROD'!U104="SI",VLOOKUP('1.DATOS-PROD'!U$2,'1.PUNTOS'!$A$1:$B$63,2,0),0)</f>
        <v>0</v>
      </c>
      <c r="M103" s="138">
        <f>IF('1.DATOS-PROD'!V104="SI",VLOOKUP('1.DATOS-PROD'!V$2,'1.PUNTOS'!$A$1:$B$63,2,0),0)</f>
        <v>0</v>
      </c>
      <c r="N103" s="138">
        <f>IF('1.DATOS-PROD'!W104="SI",VLOOKUP('1.DATOS-PROD'!W$2,'1.PUNTOS'!$A$1:$B$63,2,0),0)</f>
        <v>0</v>
      </c>
      <c r="O103" s="138">
        <f>IF('1.DATOS-PROD'!X104="SI",VLOOKUP('1.DATOS-PROD'!X$2,'1.PUNTOS'!$A$1:$B$63,2,0),0)</f>
        <v>0</v>
      </c>
      <c r="P103" s="138">
        <f>IF('1.DATOS-PROD'!Y104="SI",VLOOKUP('1.DATOS-PROD'!Y$2,'1.PUNTOS'!$A$1:$B$63,2,0),0)</f>
        <v>0</v>
      </c>
      <c r="Q103" s="138">
        <f>IF('1.DATOS-PROD'!Z104="SI",VLOOKUP('1.DATOS-PROD'!Z$2,'1.PUNTOS'!$A$1:$B$63,2,0),0)</f>
        <v>0</v>
      </c>
      <c r="R103" s="138">
        <f>IF('1.DATOS-PROD'!AA104="SI",VLOOKUP('1.DATOS-PROD'!AA$2,'1.PUNTOS'!$A$1:$B$63,2,0),0)</f>
        <v>0</v>
      </c>
      <c r="S103" s="138">
        <f>IF('1.DATOS-PROD'!AB104="SI",VLOOKUP('1.DATOS-PROD'!AB$2,'1.PUNTOS'!$A$1:$B$63,2,0),0)</f>
        <v>0</v>
      </c>
      <c r="T103" s="138">
        <f>IF('1.DATOS-PROD'!AC104="SI",VLOOKUP('1.DATOS-PROD'!AC$2,'1.PUNTOS'!$A$1:$B$63,2,0),0)</f>
        <v>0</v>
      </c>
      <c r="U103" s="138">
        <f>IF('1.DATOS-PROD'!AD104="SI",VLOOKUP('1.DATOS-PROD'!AD$2,'1.PUNTOS'!$A$1:$B$63,2,0),0)</f>
        <v>0</v>
      </c>
      <c r="V103" s="138">
        <f>IF('1.DATOS-PROD'!AE104="SI",VLOOKUP('1.DATOS-PROD'!AE$2,'1.PUNTOS'!$A$1:$B$63,2,0),0)</f>
        <v>0</v>
      </c>
      <c r="W103" s="138">
        <f>IF('1.DATOS-PROD'!AF104="SI",VLOOKUP('1.DATOS-PROD'!AF$2,'1.PUNTOS'!$A$1:$B$63,2,0),0)</f>
        <v>0</v>
      </c>
      <c r="X103" s="138">
        <f>IF('1.DATOS-PROD'!AG104="SI",VLOOKUP('1.DATOS-PROD'!AG$2,'1.PUNTOS'!$A$1:$B$63,2,0),0)</f>
        <v>0</v>
      </c>
      <c r="Y103" s="138">
        <f>IF('1.DATOS-PROD'!AH104="SI",VLOOKUP('1.DATOS-PROD'!AH$2,'1.PUNTOS'!$A$1:$B$63,2,0),0)</f>
        <v>0</v>
      </c>
      <c r="Z103" s="138">
        <f>IF('1.DATOS-PROD'!AI104="SI",VLOOKUP('1.DATOS-PROD'!AI$2,'1.PUNTOS'!$A$1:$B$63,2,0),0)</f>
        <v>0</v>
      </c>
      <c r="AA103" s="138">
        <f>IF('1.DATOS-PROD'!AJ104="SI",VLOOKUP('1.DATOS-PROD'!AJ$2,'1.PUNTOS'!$A$1:$B$63,2,0),0)</f>
        <v>0</v>
      </c>
      <c r="AB103" s="138">
        <f>IF('1.DATOS-PROD'!AK104="SI",VLOOKUP('1.DATOS-PROD'!AK$2,'1.PUNTOS'!$A$1:$B$63,2,0),0)</f>
        <v>0</v>
      </c>
      <c r="AC103" s="138">
        <f>IF('1.DATOS-PROD'!AL104="SI",VLOOKUP('1.DATOS-PROD'!AL$2,'1.PUNTOS'!$A$1:$B$63,2,0),0)</f>
        <v>0</v>
      </c>
      <c r="AD103" s="138">
        <f>IF('1.DATOS-PROD'!AM104="SI",VLOOKUP('1.DATOS-PROD'!AM$2,'1.PUNTOS'!$A$1:$B$63,2,0),0)</f>
        <v>0</v>
      </c>
      <c r="AE103" s="138">
        <f>IF('1.DATOS-PROD'!AN104="SI",VLOOKUP('1.DATOS-PROD'!AN$2,'1.PUNTOS'!$A$1:$B$63,2,0),0)</f>
        <v>0</v>
      </c>
      <c r="AF103" s="138">
        <f>IF('1.DATOS-PROD'!AO104="SI",VLOOKUP('1.DATOS-PROD'!AO$2,'1.PUNTOS'!$A$1:$B$63,2,0),0)</f>
        <v>0</v>
      </c>
      <c r="AG103" s="138">
        <f>IF('1.DATOS-PROD'!AP104="SI",VLOOKUP('1.DATOS-PROD'!AP$2,'1.PUNTOS'!$A$1:$B$63,2,0),0)</f>
        <v>0</v>
      </c>
      <c r="AH103" s="138">
        <f>IF('1.DATOS-PROD'!AQ104="SI",VLOOKUP('1.DATOS-PROD'!AQ$2,'1.PUNTOS'!$A$1:$B$63,2,0),0)</f>
        <v>0</v>
      </c>
      <c r="AI103" s="138">
        <f>IF('1.DATOS-PROD'!AR104="SI",VLOOKUP('1.DATOS-PROD'!AR$2,'1.PUNTOS'!$A$1:$B$63,2,0),0)</f>
        <v>0</v>
      </c>
      <c r="AJ103" s="138">
        <f>IF('1.DATOS-PROD'!AS104="SI",VLOOKUP('1.DATOS-PROD'!AS$2,'1.PUNTOS'!$A$1:$B$63,2,0),0)</f>
        <v>0</v>
      </c>
      <c r="AK103" s="138">
        <f>IF('1.DATOS-PROD'!AT104="SI",VLOOKUP('1.DATOS-PROD'!AT$2,'1.PUNTOS'!$A$1:$B$63,2,0),0)</f>
        <v>0</v>
      </c>
      <c r="AL103" s="138">
        <f>IF('1.DATOS-PROD'!AU104="SI",VLOOKUP('1.DATOS-PROD'!AU$2,'1.PUNTOS'!$A$1:$B$63,2,0),0)</f>
        <v>0</v>
      </c>
      <c r="AM103" s="138">
        <f>IF('1.DATOS-PROD'!AV104="SI",VLOOKUP('1.DATOS-PROD'!AV$2,'1.PUNTOS'!$A$1:$B$63,2,0),0)</f>
        <v>0</v>
      </c>
      <c r="AN103" s="138">
        <f>IF('1.DATOS-PROD'!AW104="SI",VLOOKUP('1.DATOS-PROD'!AW$2,'1.PUNTOS'!$A$1:$B$63,2,0),0)</f>
        <v>0</v>
      </c>
      <c r="AO103" s="138">
        <f>IF('1.DATOS-PROD'!AX104="SI",VLOOKUP('1.DATOS-PROD'!AX$2,'1.PUNTOS'!$A$1:$B$63,2,0),0)</f>
        <v>0</v>
      </c>
      <c r="AP103" s="138">
        <f>IF('1.DATOS-PROD'!AY104="SI",VLOOKUP('1.DATOS-PROD'!AY$2,'1.PUNTOS'!$A$1:$B$63,2,0),0)</f>
        <v>0</v>
      </c>
      <c r="AQ103" s="138">
        <f>IF('1.DATOS-PROD'!AZ104="SI",VLOOKUP('1.DATOS-PROD'!AZ$2,'1.PUNTOS'!$A$1:$B$63,2,0),0)</f>
        <v>0</v>
      </c>
      <c r="AR103" s="138">
        <f>IF('1.DATOS-PROD'!BA104="SI",VLOOKUP('1.DATOS-PROD'!BA$2,'1.PUNTOS'!$A$1:$B$63,2,0),0)</f>
        <v>0</v>
      </c>
      <c r="AS103" s="138">
        <f>IF('1.DATOS-PROD'!BB104="SI",VLOOKUP('1.DATOS-PROD'!BB$2,'1.PUNTOS'!$A$1:$B$63,2,0),0)</f>
        <v>0</v>
      </c>
      <c r="AT103" s="138">
        <f>IF('1.DATOS-PROD'!BC104="SI",VLOOKUP('1.DATOS-PROD'!BC$2,'1.PUNTOS'!$A$1:$B$63,2,0),0)</f>
        <v>0</v>
      </c>
      <c r="AU103" s="138">
        <f>IF('1.DATOS-PROD'!BD104="SI",VLOOKUP('1.DATOS-PROD'!BD$2,'1.PUNTOS'!$A$1:$B$63,2,0),0)</f>
        <v>0</v>
      </c>
      <c r="AV103" s="138">
        <f>IF('1.DATOS-PROD'!BE104="SI",VLOOKUP('1.DATOS-PROD'!BE$2,'1.PUNTOS'!$A$1:$B$63,2,0),0)</f>
        <v>0</v>
      </c>
      <c r="AW103" s="138">
        <f>IF('1.DATOS-PROD'!BF104="SI",VLOOKUP('1.DATOS-PROD'!BF$2,'1.PUNTOS'!$A$1:$B$63,2,0),0)</f>
        <v>0</v>
      </c>
      <c r="AX103" s="138">
        <f>IF('1.DATOS-PROD'!BG104="SI",VLOOKUP('1.DATOS-PROD'!BG$2,'1.PUNTOS'!$A$1:$B$63,2,0),0)</f>
        <v>0</v>
      </c>
      <c r="AY103" s="138">
        <f>IF('1.DATOS-PROD'!BH104="SI",VLOOKUP('1.DATOS-PROD'!BH$2,'1.PUNTOS'!$A$1:$B$63,2,0),0)</f>
        <v>0</v>
      </c>
      <c r="AZ103" s="138">
        <f>IF('1.DATOS-PROD'!BI104="SI",VLOOKUP('1.DATOS-PROD'!BI$2,'1.PUNTOS'!$A$1:$B$63,2,0),0)</f>
        <v>0</v>
      </c>
      <c r="BA103" s="138">
        <f>IF('1.DATOS-PROD'!BJ104="SI",VLOOKUP('1.DATOS-PROD'!BJ$2,'1.PUNTOS'!$A$1:$B$63,2,0),0)</f>
        <v>0</v>
      </c>
      <c r="BB103" s="138">
        <f>IF('1.DATOS-PROD'!BK104="SI",VLOOKUP('1.DATOS-PROD'!BK$2,'1.PUNTOS'!$A$1:$B$63,2,0),0)</f>
        <v>0</v>
      </c>
      <c r="BC103" s="138">
        <f>IF('1.DATOS-PROD'!BL104="SI",VLOOKUP('1.DATOS-PROD'!BL$2,'1.PUNTOS'!$A$1:$B$63,2,0),0)</f>
        <v>0</v>
      </c>
      <c r="BD103" s="138">
        <f>IF('1.DATOS-PROD'!BM104="SI",VLOOKUP('1.DATOS-PROD'!BM$2,'1.PUNTOS'!$A$1:$B$63,2,0),0)</f>
        <v>0</v>
      </c>
      <c r="BE103" s="138">
        <f>IF('1.DATOS-PROD'!BN104="SI",VLOOKUP('1.DATOS-PROD'!BN$2,'1.PUNTOS'!$A$1:$B$63,2,0),0)</f>
        <v>0</v>
      </c>
      <c r="BF103" s="138">
        <f>IF('1.DATOS-PROD'!BO104="SI",VLOOKUP('1.DATOS-PROD'!BO$2,'1.PUNTOS'!$A$1:$B$63,2,0),0)</f>
        <v>0</v>
      </c>
      <c r="BG103" s="138">
        <f>IF('1.DATOS-PROD'!BP104="SI",VLOOKUP('1.DATOS-PROD'!BP$2,'1.PUNTOS'!$A$1:$B$63,2,0),0)</f>
        <v>0</v>
      </c>
      <c r="BH103" s="138">
        <f>IF('1.DATOS-PROD'!BQ104="SI",VLOOKUP('1.DATOS-PROD'!BQ$2,'1.PUNTOS'!$A$1:$B$63,2,0),0)</f>
        <v>0</v>
      </c>
      <c r="BI103" s="138">
        <f>IF('1.DATOS-PROD'!BR104="SI",VLOOKUP('1.DATOS-PROD'!BR$2,'1.PUNTOS'!$A$1:$B$63,2,0),0)</f>
        <v>0</v>
      </c>
      <c r="BJ103" s="138">
        <f>IF('1.DATOS-PROD'!BS104="SI",VLOOKUP('1.DATOS-PROD'!BS$2,'1.PUNTOS'!$A$1:$B$63,2,0),0)</f>
        <v>0</v>
      </c>
      <c r="BK103" s="138">
        <f>IF('1.DATOS-PROD'!BT104="SI",VLOOKUP('1.DATOS-PROD'!BT$2,'1.PUNTOS'!$A$1:$B$63,2,0),0)</f>
        <v>0</v>
      </c>
    </row>
    <row r="104" spans="1:63" x14ac:dyDescent="0.25">
      <c r="A104">
        <f>'0.Consolidado general'!$A105</f>
        <v>0</v>
      </c>
      <c r="B104" s="138">
        <f>IF('1.DATOS-PROD'!K105="SI",VLOOKUP('1.DATOS-PROD'!K$2,'1.PUNTOS'!$A$1:$B$63,2,0),0)</f>
        <v>0</v>
      </c>
      <c r="C104" s="138">
        <f>IF('1.DATOS-PROD'!L105="SI",VLOOKUP('1.DATOS-PROD'!L$2,'1.PUNTOS'!$A$1:$B$63,2,0),0)</f>
        <v>0</v>
      </c>
      <c r="D104" s="138">
        <f>IF('1.DATOS-PROD'!M105="SI",VLOOKUP('1.DATOS-PROD'!M$2,'1.PUNTOS'!$A$1:$B$63,2,0),0)</f>
        <v>0</v>
      </c>
      <c r="E104" s="138">
        <f>IF('1.DATOS-PROD'!N105="SI",VLOOKUP('1.DATOS-PROD'!N$2,'1.PUNTOS'!$A$1:$B$63,2,0),0)</f>
        <v>0</v>
      </c>
      <c r="F104" s="138">
        <f>IF('1.DATOS-PROD'!O105="SI",VLOOKUP('1.DATOS-PROD'!O$2,'1.PUNTOS'!$A$1:$B$63,2,0),0)</f>
        <v>0</v>
      </c>
      <c r="G104" s="138">
        <f>IF('1.DATOS-PROD'!P105="SI",VLOOKUP('1.DATOS-PROD'!P$2,'1.PUNTOS'!$A$1:$B$63,2,0),0)</f>
        <v>0</v>
      </c>
      <c r="H104" s="138">
        <f>IF('1.DATOS-PROD'!Q105="SI",VLOOKUP('1.DATOS-PROD'!Q$2,'1.PUNTOS'!$A$1:$B$63,2,0),0)</f>
        <v>0</v>
      </c>
      <c r="I104" s="138">
        <f>IF('1.DATOS-PROD'!R105="SI",VLOOKUP('1.DATOS-PROD'!R$2,'1.PUNTOS'!$A$1:$B$63,2,0),0)</f>
        <v>0</v>
      </c>
      <c r="J104" s="138">
        <f>IF('1.DATOS-PROD'!S105="SI",VLOOKUP('1.DATOS-PROD'!S$2,'1.PUNTOS'!$A$1:$B$63,2,0),0)</f>
        <v>0</v>
      </c>
      <c r="K104" s="138">
        <f>IF('1.DATOS-PROD'!T105="SI",VLOOKUP('1.DATOS-PROD'!T$2,'1.PUNTOS'!$A$1:$B$63,2,0),0)</f>
        <v>0</v>
      </c>
      <c r="L104" s="138">
        <f>IF('1.DATOS-PROD'!U105="SI",VLOOKUP('1.DATOS-PROD'!U$2,'1.PUNTOS'!$A$1:$B$63,2,0),0)</f>
        <v>0</v>
      </c>
      <c r="M104" s="138">
        <f>IF('1.DATOS-PROD'!V105="SI",VLOOKUP('1.DATOS-PROD'!V$2,'1.PUNTOS'!$A$1:$B$63,2,0),0)</f>
        <v>0</v>
      </c>
      <c r="N104" s="138">
        <f>IF('1.DATOS-PROD'!W105="SI",VLOOKUP('1.DATOS-PROD'!W$2,'1.PUNTOS'!$A$1:$B$63,2,0),0)</f>
        <v>0</v>
      </c>
      <c r="O104" s="138">
        <f>IF('1.DATOS-PROD'!X105="SI",VLOOKUP('1.DATOS-PROD'!X$2,'1.PUNTOS'!$A$1:$B$63,2,0),0)</f>
        <v>0</v>
      </c>
      <c r="P104" s="138">
        <f>IF('1.DATOS-PROD'!Y105="SI",VLOOKUP('1.DATOS-PROD'!Y$2,'1.PUNTOS'!$A$1:$B$63,2,0),0)</f>
        <v>0</v>
      </c>
      <c r="Q104" s="138">
        <f>IF('1.DATOS-PROD'!Z105="SI",VLOOKUP('1.DATOS-PROD'!Z$2,'1.PUNTOS'!$A$1:$B$63,2,0),0)</f>
        <v>0</v>
      </c>
      <c r="R104" s="138">
        <f>IF('1.DATOS-PROD'!AA105="SI",VLOOKUP('1.DATOS-PROD'!AA$2,'1.PUNTOS'!$A$1:$B$63,2,0),0)</f>
        <v>0</v>
      </c>
      <c r="S104" s="138">
        <f>IF('1.DATOS-PROD'!AB105="SI",VLOOKUP('1.DATOS-PROD'!AB$2,'1.PUNTOS'!$A$1:$B$63,2,0),0)</f>
        <v>0</v>
      </c>
      <c r="T104" s="138">
        <f>IF('1.DATOS-PROD'!AC105="SI",VLOOKUP('1.DATOS-PROD'!AC$2,'1.PUNTOS'!$A$1:$B$63,2,0),0)</f>
        <v>0</v>
      </c>
      <c r="U104" s="138">
        <f>IF('1.DATOS-PROD'!AD105="SI",VLOOKUP('1.DATOS-PROD'!AD$2,'1.PUNTOS'!$A$1:$B$63,2,0),0)</f>
        <v>0</v>
      </c>
      <c r="V104" s="138">
        <f>IF('1.DATOS-PROD'!AE105="SI",VLOOKUP('1.DATOS-PROD'!AE$2,'1.PUNTOS'!$A$1:$B$63,2,0),0)</f>
        <v>0</v>
      </c>
      <c r="W104" s="138">
        <f>IF('1.DATOS-PROD'!AF105="SI",VLOOKUP('1.DATOS-PROD'!AF$2,'1.PUNTOS'!$A$1:$B$63,2,0),0)</f>
        <v>0</v>
      </c>
      <c r="X104" s="138">
        <f>IF('1.DATOS-PROD'!AG105="SI",VLOOKUP('1.DATOS-PROD'!AG$2,'1.PUNTOS'!$A$1:$B$63,2,0),0)</f>
        <v>0</v>
      </c>
      <c r="Y104" s="138">
        <f>IF('1.DATOS-PROD'!AH105="SI",VLOOKUP('1.DATOS-PROD'!AH$2,'1.PUNTOS'!$A$1:$B$63,2,0),0)</f>
        <v>0</v>
      </c>
      <c r="Z104" s="138">
        <f>IF('1.DATOS-PROD'!AI105="SI",VLOOKUP('1.DATOS-PROD'!AI$2,'1.PUNTOS'!$A$1:$B$63,2,0),0)</f>
        <v>0</v>
      </c>
      <c r="AA104" s="138">
        <f>IF('1.DATOS-PROD'!AJ105="SI",VLOOKUP('1.DATOS-PROD'!AJ$2,'1.PUNTOS'!$A$1:$B$63,2,0),0)</f>
        <v>0</v>
      </c>
      <c r="AB104" s="138">
        <f>IF('1.DATOS-PROD'!AK105="SI",VLOOKUP('1.DATOS-PROD'!AK$2,'1.PUNTOS'!$A$1:$B$63,2,0),0)</f>
        <v>0</v>
      </c>
      <c r="AC104" s="138">
        <f>IF('1.DATOS-PROD'!AL105="SI",VLOOKUP('1.DATOS-PROD'!AL$2,'1.PUNTOS'!$A$1:$B$63,2,0),0)</f>
        <v>0</v>
      </c>
      <c r="AD104" s="138">
        <f>IF('1.DATOS-PROD'!AM105="SI",VLOOKUP('1.DATOS-PROD'!AM$2,'1.PUNTOS'!$A$1:$B$63,2,0),0)</f>
        <v>0</v>
      </c>
      <c r="AE104" s="138">
        <f>IF('1.DATOS-PROD'!AN105="SI",VLOOKUP('1.DATOS-PROD'!AN$2,'1.PUNTOS'!$A$1:$B$63,2,0),0)</f>
        <v>0</v>
      </c>
      <c r="AF104" s="138">
        <f>IF('1.DATOS-PROD'!AO105="SI",VLOOKUP('1.DATOS-PROD'!AO$2,'1.PUNTOS'!$A$1:$B$63,2,0),0)</f>
        <v>0</v>
      </c>
      <c r="AG104" s="138">
        <f>IF('1.DATOS-PROD'!AP105="SI",VLOOKUP('1.DATOS-PROD'!AP$2,'1.PUNTOS'!$A$1:$B$63,2,0),0)</f>
        <v>0</v>
      </c>
      <c r="AH104" s="138">
        <f>IF('1.DATOS-PROD'!AQ105="SI",VLOOKUP('1.DATOS-PROD'!AQ$2,'1.PUNTOS'!$A$1:$B$63,2,0),0)</f>
        <v>0</v>
      </c>
      <c r="AI104" s="138">
        <f>IF('1.DATOS-PROD'!AR105="SI",VLOOKUP('1.DATOS-PROD'!AR$2,'1.PUNTOS'!$A$1:$B$63,2,0),0)</f>
        <v>0</v>
      </c>
      <c r="AJ104" s="138">
        <f>IF('1.DATOS-PROD'!AS105="SI",VLOOKUP('1.DATOS-PROD'!AS$2,'1.PUNTOS'!$A$1:$B$63,2,0),0)</f>
        <v>0</v>
      </c>
      <c r="AK104" s="138">
        <f>IF('1.DATOS-PROD'!AT105="SI",VLOOKUP('1.DATOS-PROD'!AT$2,'1.PUNTOS'!$A$1:$B$63,2,0),0)</f>
        <v>0</v>
      </c>
      <c r="AL104" s="138">
        <f>IF('1.DATOS-PROD'!AU105="SI",VLOOKUP('1.DATOS-PROD'!AU$2,'1.PUNTOS'!$A$1:$B$63,2,0),0)</f>
        <v>0</v>
      </c>
      <c r="AM104" s="138">
        <f>IF('1.DATOS-PROD'!AV105="SI",VLOOKUP('1.DATOS-PROD'!AV$2,'1.PUNTOS'!$A$1:$B$63,2,0),0)</f>
        <v>0</v>
      </c>
      <c r="AN104" s="138">
        <f>IF('1.DATOS-PROD'!AW105="SI",VLOOKUP('1.DATOS-PROD'!AW$2,'1.PUNTOS'!$A$1:$B$63,2,0),0)</f>
        <v>0</v>
      </c>
      <c r="AO104" s="138">
        <f>IF('1.DATOS-PROD'!AX105="SI",VLOOKUP('1.DATOS-PROD'!AX$2,'1.PUNTOS'!$A$1:$B$63,2,0),0)</f>
        <v>0</v>
      </c>
      <c r="AP104" s="138">
        <f>IF('1.DATOS-PROD'!AY105="SI",VLOOKUP('1.DATOS-PROD'!AY$2,'1.PUNTOS'!$A$1:$B$63,2,0),0)</f>
        <v>0</v>
      </c>
      <c r="AQ104" s="138">
        <f>IF('1.DATOS-PROD'!AZ105="SI",VLOOKUP('1.DATOS-PROD'!AZ$2,'1.PUNTOS'!$A$1:$B$63,2,0),0)</f>
        <v>0</v>
      </c>
      <c r="AR104" s="138">
        <f>IF('1.DATOS-PROD'!BA105="SI",VLOOKUP('1.DATOS-PROD'!BA$2,'1.PUNTOS'!$A$1:$B$63,2,0),0)</f>
        <v>0</v>
      </c>
      <c r="AS104" s="138">
        <f>IF('1.DATOS-PROD'!BB105="SI",VLOOKUP('1.DATOS-PROD'!BB$2,'1.PUNTOS'!$A$1:$B$63,2,0),0)</f>
        <v>0</v>
      </c>
      <c r="AT104" s="138">
        <f>IF('1.DATOS-PROD'!BC105="SI",VLOOKUP('1.DATOS-PROD'!BC$2,'1.PUNTOS'!$A$1:$B$63,2,0),0)</f>
        <v>0</v>
      </c>
      <c r="AU104" s="138">
        <f>IF('1.DATOS-PROD'!BD105="SI",VLOOKUP('1.DATOS-PROD'!BD$2,'1.PUNTOS'!$A$1:$B$63,2,0),0)</f>
        <v>0</v>
      </c>
      <c r="AV104" s="138">
        <f>IF('1.DATOS-PROD'!BE105="SI",VLOOKUP('1.DATOS-PROD'!BE$2,'1.PUNTOS'!$A$1:$B$63,2,0),0)</f>
        <v>0</v>
      </c>
      <c r="AW104" s="138">
        <f>IF('1.DATOS-PROD'!BF105="SI",VLOOKUP('1.DATOS-PROD'!BF$2,'1.PUNTOS'!$A$1:$B$63,2,0),0)</f>
        <v>0</v>
      </c>
      <c r="AX104" s="138">
        <f>IF('1.DATOS-PROD'!BG105="SI",VLOOKUP('1.DATOS-PROD'!BG$2,'1.PUNTOS'!$A$1:$B$63,2,0),0)</f>
        <v>0</v>
      </c>
      <c r="AY104" s="138">
        <f>IF('1.DATOS-PROD'!BH105="SI",VLOOKUP('1.DATOS-PROD'!BH$2,'1.PUNTOS'!$A$1:$B$63,2,0),0)</f>
        <v>0</v>
      </c>
      <c r="AZ104" s="138">
        <f>IF('1.DATOS-PROD'!BI105="SI",VLOOKUP('1.DATOS-PROD'!BI$2,'1.PUNTOS'!$A$1:$B$63,2,0),0)</f>
        <v>0</v>
      </c>
      <c r="BA104" s="138">
        <f>IF('1.DATOS-PROD'!BJ105="SI",VLOOKUP('1.DATOS-PROD'!BJ$2,'1.PUNTOS'!$A$1:$B$63,2,0),0)</f>
        <v>0</v>
      </c>
      <c r="BB104" s="138">
        <f>IF('1.DATOS-PROD'!BK105="SI",VLOOKUP('1.DATOS-PROD'!BK$2,'1.PUNTOS'!$A$1:$B$63,2,0),0)</f>
        <v>0</v>
      </c>
      <c r="BC104" s="138">
        <f>IF('1.DATOS-PROD'!BL105="SI",VLOOKUP('1.DATOS-PROD'!BL$2,'1.PUNTOS'!$A$1:$B$63,2,0),0)</f>
        <v>0</v>
      </c>
      <c r="BD104" s="138">
        <f>IF('1.DATOS-PROD'!BM105="SI",VLOOKUP('1.DATOS-PROD'!BM$2,'1.PUNTOS'!$A$1:$B$63,2,0),0)</f>
        <v>0</v>
      </c>
      <c r="BE104" s="138">
        <f>IF('1.DATOS-PROD'!BN105="SI",VLOOKUP('1.DATOS-PROD'!BN$2,'1.PUNTOS'!$A$1:$B$63,2,0),0)</f>
        <v>0</v>
      </c>
      <c r="BF104" s="138">
        <f>IF('1.DATOS-PROD'!BO105="SI",VLOOKUP('1.DATOS-PROD'!BO$2,'1.PUNTOS'!$A$1:$B$63,2,0),0)</f>
        <v>0</v>
      </c>
      <c r="BG104" s="138">
        <f>IF('1.DATOS-PROD'!BP105="SI",VLOOKUP('1.DATOS-PROD'!BP$2,'1.PUNTOS'!$A$1:$B$63,2,0),0)</f>
        <v>0</v>
      </c>
      <c r="BH104" s="138">
        <f>IF('1.DATOS-PROD'!BQ105="SI",VLOOKUP('1.DATOS-PROD'!BQ$2,'1.PUNTOS'!$A$1:$B$63,2,0),0)</f>
        <v>0</v>
      </c>
      <c r="BI104" s="138">
        <f>IF('1.DATOS-PROD'!BR105="SI",VLOOKUP('1.DATOS-PROD'!BR$2,'1.PUNTOS'!$A$1:$B$63,2,0),0)</f>
        <v>0</v>
      </c>
      <c r="BJ104" s="138">
        <f>IF('1.DATOS-PROD'!BS105="SI",VLOOKUP('1.DATOS-PROD'!BS$2,'1.PUNTOS'!$A$1:$B$63,2,0),0)</f>
        <v>0</v>
      </c>
      <c r="BK104" s="138">
        <f>IF('1.DATOS-PROD'!BT105="SI",VLOOKUP('1.DATOS-PROD'!BT$2,'1.PUNTOS'!$A$1:$B$63,2,0),0)</f>
        <v>0</v>
      </c>
    </row>
    <row r="105" spans="1:63" x14ac:dyDescent="0.25">
      <c r="A105">
        <f>'0.Consolidado general'!$A106</f>
        <v>0</v>
      </c>
      <c r="B105" s="138">
        <f>IF('1.DATOS-PROD'!K106="SI",VLOOKUP('1.DATOS-PROD'!K$2,'1.PUNTOS'!$A$1:$B$63,2,0),0)</f>
        <v>0</v>
      </c>
      <c r="C105" s="138">
        <f>IF('1.DATOS-PROD'!L106="SI",VLOOKUP('1.DATOS-PROD'!L$2,'1.PUNTOS'!$A$1:$B$63,2,0),0)</f>
        <v>0</v>
      </c>
      <c r="D105" s="138">
        <f>IF('1.DATOS-PROD'!M106="SI",VLOOKUP('1.DATOS-PROD'!M$2,'1.PUNTOS'!$A$1:$B$63,2,0),0)</f>
        <v>0</v>
      </c>
      <c r="E105" s="138">
        <f>IF('1.DATOS-PROD'!N106="SI",VLOOKUP('1.DATOS-PROD'!N$2,'1.PUNTOS'!$A$1:$B$63,2,0),0)</f>
        <v>0</v>
      </c>
      <c r="F105" s="138">
        <f>IF('1.DATOS-PROD'!O106="SI",VLOOKUP('1.DATOS-PROD'!O$2,'1.PUNTOS'!$A$1:$B$63,2,0),0)</f>
        <v>0</v>
      </c>
      <c r="G105" s="138">
        <f>IF('1.DATOS-PROD'!P106="SI",VLOOKUP('1.DATOS-PROD'!P$2,'1.PUNTOS'!$A$1:$B$63,2,0),0)</f>
        <v>0</v>
      </c>
      <c r="H105" s="138">
        <f>IF('1.DATOS-PROD'!Q106="SI",VLOOKUP('1.DATOS-PROD'!Q$2,'1.PUNTOS'!$A$1:$B$63,2,0),0)</f>
        <v>0</v>
      </c>
      <c r="I105" s="138">
        <f>IF('1.DATOS-PROD'!R106="SI",VLOOKUP('1.DATOS-PROD'!R$2,'1.PUNTOS'!$A$1:$B$63,2,0),0)</f>
        <v>0</v>
      </c>
      <c r="J105" s="138">
        <f>IF('1.DATOS-PROD'!S106="SI",VLOOKUP('1.DATOS-PROD'!S$2,'1.PUNTOS'!$A$1:$B$63,2,0),0)</f>
        <v>0</v>
      </c>
      <c r="K105" s="138">
        <f>IF('1.DATOS-PROD'!T106="SI",VLOOKUP('1.DATOS-PROD'!T$2,'1.PUNTOS'!$A$1:$B$63,2,0),0)</f>
        <v>0</v>
      </c>
      <c r="L105" s="138">
        <f>IF('1.DATOS-PROD'!U106="SI",VLOOKUP('1.DATOS-PROD'!U$2,'1.PUNTOS'!$A$1:$B$63,2,0),0)</f>
        <v>0</v>
      </c>
      <c r="M105" s="138">
        <f>IF('1.DATOS-PROD'!V106="SI",VLOOKUP('1.DATOS-PROD'!V$2,'1.PUNTOS'!$A$1:$B$63,2,0),0)</f>
        <v>0</v>
      </c>
      <c r="N105" s="138">
        <f>IF('1.DATOS-PROD'!W106="SI",VLOOKUP('1.DATOS-PROD'!W$2,'1.PUNTOS'!$A$1:$B$63,2,0),0)</f>
        <v>0</v>
      </c>
      <c r="O105" s="138">
        <f>IF('1.DATOS-PROD'!X106="SI",VLOOKUP('1.DATOS-PROD'!X$2,'1.PUNTOS'!$A$1:$B$63,2,0),0)</f>
        <v>0</v>
      </c>
      <c r="P105" s="138">
        <f>IF('1.DATOS-PROD'!Y106="SI",VLOOKUP('1.DATOS-PROD'!Y$2,'1.PUNTOS'!$A$1:$B$63,2,0),0)</f>
        <v>0</v>
      </c>
      <c r="Q105" s="138">
        <f>IF('1.DATOS-PROD'!Z106="SI",VLOOKUP('1.DATOS-PROD'!Z$2,'1.PUNTOS'!$A$1:$B$63,2,0),0)</f>
        <v>0</v>
      </c>
      <c r="R105" s="138">
        <f>IF('1.DATOS-PROD'!AA106="SI",VLOOKUP('1.DATOS-PROD'!AA$2,'1.PUNTOS'!$A$1:$B$63,2,0),0)</f>
        <v>0</v>
      </c>
      <c r="S105" s="138">
        <f>IF('1.DATOS-PROD'!AB106="SI",VLOOKUP('1.DATOS-PROD'!AB$2,'1.PUNTOS'!$A$1:$B$63,2,0),0)</f>
        <v>0</v>
      </c>
      <c r="T105" s="138">
        <f>IF('1.DATOS-PROD'!AC106="SI",VLOOKUP('1.DATOS-PROD'!AC$2,'1.PUNTOS'!$A$1:$B$63,2,0),0)</f>
        <v>0</v>
      </c>
      <c r="U105" s="138">
        <f>IF('1.DATOS-PROD'!AD106="SI",VLOOKUP('1.DATOS-PROD'!AD$2,'1.PUNTOS'!$A$1:$B$63,2,0),0)</f>
        <v>0</v>
      </c>
      <c r="V105" s="138">
        <f>IF('1.DATOS-PROD'!AE106="SI",VLOOKUP('1.DATOS-PROD'!AE$2,'1.PUNTOS'!$A$1:$B$63,2,0),0)</f>
        <v>0</v>
      </c>
      <c r="W105" s="138">
        <f>IF('1.DATOS-PROD'!AF106="SI",VLOOKUP('1.DATOS-PROD'!AF$2,'1.PUNTOS'!$A$1:$B$63,2,0),0)</f>
        <v>0</v>
      </c>
      <c r="X105" s="138">
        <f>IF('1.DATOS-PROD'!AG106="SI",VLOOKUP('1.DATOS-PROD'!AG$2,'1.PUNTOS'!$A$1:$B$63,2,0),0)</f>
        <v>0</v>
      </c>
      <c r="Y105" s="138">
        <f>IF('1.DATOS-PROD'!AH106="SI",VLOOKUP('1.DATOS-PROD'!AH$2,'1.PUNTOS'!$A$1:$B$63,2,0),0)</f>
        <v>0</v>
      </c>
      <c r="Z105" s="138">
        <f>IF('1.DATOS-PROD'!AI106="SI",VLOOKUP('1.DATOS-PROD'!AI$2,'1.PUNTOS'!$A$1:$B$63,2,0),0)</f>
        <v>0</v>
      </c>
      <c r="AA105" s="138">
        <f>IF('1.DATOS-PROD'!AJ106="SI",VLOOKUP('1.DATOS-PROD'!AJ$2,'1.PUNTOS'!$A$1:$B$63,2,0),0)</f>
        <v>0</v>
      </c>
      <c r="AB105" s="138">
        <f>IF('1.DATOS-PROD'!AK106="SI",VLOOKUP('1.DATOS-PROD'!AK$2,'1.PUNTOS'!$A$1:$B$63,2,0),0)</f>
        <v>0</v>
      </c>
      <c r="AC105" s="138">
        <f>IF('1.DATOS-PROD'!AL106="SI",VLOOKUP('1.DATOS-PROD'!AL$2,'1.PUNTOS'!$A$1:$B$63,2,0),0)</f>
        <v>0</v>
      </c>
      <c r="AD105" s="138">
        <f>IF('1.DATOS-PROD'!AM106="SI",VLOOKUP('1.DATOS-PROD'!AM$2,'1.PUNTOS'!$A$1:$B$63,2,0),0)</f>
        <v>0</v>
      </c>
      <c r="AE105" s="138">
        <f>IF('1.DATOS-PROD'!AN106="SI",VLOOKUP('1.DATOS-PROD'!AN$2,'1.PUNTOS'!$A$1:$B$63,2,0),0)</f>
        <v>0</v>
      </c>
      <c r="AF105" s="138">
        <f>IF('1.DATOS-PROD'!AO106="SI",VLOOKUP('1.DATOS-PROD'!AO$2,'1.PUNTOS'!$A$1:$B$63,2,0),0)</f>
        <v>0</v>
      </c>
      <c r="AG105" s="138">
        <f>IF('1.DATOS-PROD'!AP106="SI",VLOOKUP('1.DATOS-PROD'!AP$2,'1.PUNTOS'!$A$1:$B$63,2,0),0)</f>
        <v>0</v>
      </c>
      <c r="AH105" s="138">
        <f>IF('1.DATOS-PROD'!AQ106="SI",VLOOKUP('1.DATOS-PROD'!AQ$2,'1.PUNTOS'!$A$1:$B$63,2,0),0)</f>
        <v>0</v>
      </c>
      <c r="AI105" s="138">
        <f>IF('1.DATOS-PROD'!AR106="SI",VLOOKUP('1.DATOS-PROD'!AR$2,'1.PUNTOS'!$A$1:$B$63,2,0),0)</f>
        <v>0</v>
      </c>
      <c r="AJ105" s="138">
        <f>IF('1.DATOS-PROD'!AS106="SI",VLOOKUP('1.DATOS-PROD'!AS$2,'1.PUNTOS'!$A$1:$B$63,2,0),0)</f>
        <v>0</v>
      </c>
      <c r="AK105" s="138">
        <f>IF('1.DATOS-PROD'!AT106="SI",VLOOKUP('1.DATOS-PROD'!AT$2,'1.PUNTOS'!$A$1:$B$63,2,0),0)</f>
        <v>0</v>
      </c>
      <c r="AL105" s="138">
        <f>IF('1.DATOS-PROD'!AU106="SI",VLOOKUP('1.DATOS-PROD'!AU$2,'1.PUNTOS'!$A$1:$B$63,2,0),0)</f>
        <v>0</v>
      </c>
      <c r="AM105" s="138">
        <f>IF('1.DATOS-PROD'!AV106="SI",VLOOKUP('1.DATOS-PROD'!AV$2,'1.PUNTOS'!$A$1:$B$63,2,0),0)</f>
        <v>0</v>
      </c>
      <c r="AN105" s="138">
        <f>IF('1.DATOS-PROD'!AW106="SI",VLOOKUP('1.DATOS-PROD'!AW$2,'1.PUNTOS'!$A$1:$B$63,2,0),0)</f>
        <v>0</v>
      </c>
      <c r="AO105" s="138">
        <f>IF('1.DATOS-PROD'!AX106="SI",VLOOKUP('1.DATOS-PROD'!AX$2,'1.PUNTOS'!$A$1:$B$63,2,0),0)</f>
        <v>0</v>
      </c>
      <c r="AP105" s="138">
        <f>IF('1.DATOS-PROD'!AY106="SI",VLOOKUP('1.DATOS-PROD'!AY$2,'1.PUNTOS'!$A$1:$B$63,2,0),0)</f>
        <v>0</v>
      </c>
      <c r="AQ105" s="138">
        <f>IF('1.DATOS-PROD'!AZ106="SI",VLOOKUP('1.DATOS-PROD'!AZ$2,'1.PUNTOS'!$A$1:$B$63,2,0),0)</f>
        <v>0</v>
      </c>
      <c r="AR105" s="138">
        <f>IF('1.DATOS-PROD'!BA106="SI",VLOOKUP('1.DATOS-PROD'!BA$2,'1.PUNTOS'!$A$1:$B$63,2,0),0)</f>
        <v>0</v>
      </c>
      <c r="AS105" s="138">
        <f>IF('1.DATOS-PROD'!BB106="SI",VLOOKUP('1.DATOS-PROD'!BB$2,'1.PUNTOS'!$A$1:$B$63,2,0),0)</f>
        <v>0</v>
      </c>
      <c r="AT105" s="138">
        <f>IF('1.DATOS-PROD'!BC106="SI",VLOOKUP('1.DATOS-PROD'!BC$2,'1.PUNTOS'!$A$1:$B$63,2,0),0)</f>
        <v>0</v>
      </c>
      <c r="AU105" s="138">
        <f>IF('1.DATOS-PROD'!BD106="SI",VLOOKUP('1.DATOS-PROD'!BD$2,'1.PUNTOS'!$A$1:$B$63,2,0),0)</f>
        <v>0</v>
      </c>
      <c r="AV105" s="138">
        <f>IF('1.DATOS-PROD'!BE106="SI",VLOOKUP('1.DATOS-PROD'!BE$2,'1.PUNTOS'!$A$1:$B$63,2,0),0)</f>
        <v>0</v>
      </c>
      <c r="AW105" s="138">
        <f>IF('1.DATOS-PROD'!BF106="SI",VLOOKUP('1.DATOS-PROD'!BF$2,'1.PUNTOS'!$A$1:$B$63,2,0),0)</f>
        <v>0</v>
      </c>
      <c r="AX105" s="138">
        <f>IF('1.DATOS-PROD'!BG106="SI",VLOOKUP('1.DATOS-PROD'!BG$2,'1.PUNTOS'!$A$1:$B$63,2,0),0)</f>
        <v>0</v>
      </c>
      <c r="AY105" s="138">
        <f>IF('1.DATOS-PROD'!BH106="SI",VLOOKUP('1.DATOS-PROD'!BH$2,'1.PUNTOS'!$A$1:$B$63,2,0),0)</f>
        <v>0</v>
      </c>
      <c r="AZ105" s="138">
        <f>IF('1.DATOS-PROD'!BI106="SI",VLOOKUP('1.DATOS-PROD'!BI$2,'1.PUNTOS'!$A$1:$B$63,2,0),0)</f>
        <v>0</v>
      </c>
      <c r="BA105" s="138">
        <f>IF('1.DATOS-PROD'!BJ106="SI",VLOOKUP('1.DATOS-PROD'!BJ$2,'1.PUNTOS'!$A$1:$B$63,2,0),0)</f>
        <v>0</v>
      </c>
      <c r="BB105" s="138">
        <f>IF('1.DATOS-PROD'!BK106="SI",VLOOKUP('1.DATOS-PROD'!BK$2,'1.PUNTOS'!$A$1:$B$63,2,0),0)</f>
        <v>0</v>
      </c>
      <c r="BC105" s="138">
        <f>IF('1.DATOS-PROD'!BL106="SI",VLOOKUP('1.DATOS-PROD'!BL$2,'1.PUNTOS'!$A$1:$B$63,2,0),0)</f>
        <v>0</v>
      </c>
      <c r="BD105" s="138">
        <f>IF('1.DATOS-PROD'!BM106="SI",VLOOKUP('1.DATOS-PROD'!BM$2,'1.PUNTOS'!$A$1:$B$63,2,0),0)</f>
        <v>0</v>
      </c>
      <c r="BE105" s="138">
        <f>IF('1.DATOS-PROD'!BN106="SI",VLOOKUP('1.DATOS-PROD'!BN$2,'1.PUNTOS'!$A$1:$B$63,2,0),0)</f>
        <v>0</v>
      </c>
      <c r="BF105" s="138">
        <f>IF('1.DATOS-PROD'!BO106="SI",VLOOKUP('1.DATOS-PROD'!BO$2,'1.PUNTOS'!$A$1:$B$63,2,0),0)</f>
        <v>0</v>
      </c>
      <c r="BG105" s="138">
        <f>IF('1.DATOS-PROD'!BP106="SI",VLOOKUP('1.DATOS-PROD'!BP$2,'1.PUNTOS'!$A$1:$B$63,2,0),0)</f>
        <v>0</v>
      </c>
      <c r="BH105" s="138">
        <f>IF('1.DATOS-PROD'!BQ106="SI",VLOOKUP('1.DATOS-PROD'!BQ$2,'1.PUNTOS'!$A$1:$B$63,2,0),0)</f>
        <v>0</v>
      </c>
      <c r="BI105" s="138">
        <f>IF('1.DATOS-PROD'!BR106="SI",VLOOKUP('1.DATOS-PROD'!BR$2,'1.PUNTOS'!$A$1:$B$63,2,0),0)</f>
        <v>0</v>
      </c>
      <c r="BJ105" s="138">
        <f>IF('1.DATOS-PROD'!BS106="SI",VLOOKUP('1.DATOS-PROD'!BS$2,'1.PUNTOS'!$A$1:$B$63,2,0),0)</f>
        <v>0</v>
      </c>
      <c r="BK105" s="138">
        <f>IF('1.DATOS-PROD'!BT106="SI",VLOOKUP('1.DATOS-PROD'!BT$2,'1.PUNTOS'!$A$1:$B$63,2,0),0)</f>
        <v>0</v>
      </c>
    </row>
    <row r="106" spans="1:63" x14ac:dyDescent="0.25">
      <c r="A106">
        <f>'0.Consolidado general'!$A107</f>
        <v>0</v>
      </c>
      <c r="B106" s="138">
        <f>IF('1.DATOS-PROD'!K107="SI",VLOOKUP('1.DATOS-PROD'!K$2,'1.PUNTOS'!$A$1:$B$63,2,0),0)</f>
        <v>0</v>
      </c>
      <c r="C106" s="138">
        <f>IF('1.DATOS-PROD'!L107="SI",VLOOKUP('1.DATOS-PROD'!L$2,'1.PUNTOS'!$A$1:$B$63,2,0),0)</f>
        <v>0</v>
      </c>
      <c r="D106" s="138">
        <f>IF('1.DATOS-PROD'!M107="SI",VLOOKUP('1.DATOS-PROD'!M$2,'1.PUNTOS'!$A$1:$B$63,2,0),0)</f>
        <v>0</v>
      </c>
      <c r="E106" s="138">
        <f>IF('1.DATOS-PROD'!N107="SI",VLOOKUP('1.DATOS-PROD'!N$2,'1.PUNTOS'!$A$1:$B$63,2,0),0)</f>
        <v>0</v>
      </c>
      <c r="F106" s="138">
        <f>IF('1.DATOS-PROD'!O107="SI",VLOOKUP('1.DATOS-PROD'!O$2,'1.PUNTOS'!$A$1:$B$63,2,0),0)</f>
        <v>0</v>
      </c>
      <c r="G106" s="138">
        <f>IF('1.DATOS-PROD'!P107="SI",VLOOKUP('1.DATOS-PROD'!P$2,'1.PUNTOS'!$A$1:$B$63,2,0),0)</f>
        <v>0</v>
      </c>
      <c r="H106" s="138">
        <f>IF('1.DATOS-PROD'!Q107="SI",VLOOKUP('1.DATOS-PROD'!Q$2,'1.PUNTOS'!$A$1:$B$63,2,0),0)</f>
        <v>0</v>
      </c>
      <c r="I106" s="138">
        <f>IF('1.DATOS-PROD'!R107="SI",VLOOKUP('1.DATOS-PROD'!R$2,'1.PUNTOS'!$A$1:$B$63,2,0),0)</f>
        <v>0</v>
      </c>
      <c r="J106" s="138">
        <f>IF('1.DATOS-PROD'!S107="SI",VLOOKUP('1.DATOS-PROD'!S$2,'1.PUNTOS'!$A$1:$B$63,2,0),0)</f>
        <v>0</v>
      </c>
      <c r="K106" s="138">
        <f>IF('1.DATOS-PROD'!T107="SI",VLOOKUP('1.DATOS-PROD'!T$2,'1.PUNTOS'!$A$1:$B$63,2,0),0)</f>
        <v>0</v>
      </c>
      <c r="L106" s="138">
        <f>IF('1.DATOS-PROD'!U107="SI",VLOOKUP('1.DATOS-PROD'!U$2,'1.PUNTOS'!$A$1:$B$63,2,0),0)</f>
        <v>0</v>
      </c>
      <c r="M106" s="138">
        <f>IF('1.DATOS-PROD'!V107="SI",VLOOKUP('1.DATOS-PROD'!V$2,'1.PUNTOS'!$A$1:$B$63,2,0),0)</f>
        <v>0</v>
      </c>
      <c r="N106" s="138">
        <f>IF('1.DATOS-PROD'!W107="SI",VLOOKUP('1.DATOS-PROD'!W$2,'1.PUNTOS'!$A$1:$B$63,2,0),0)</f>
        <v>0</v>
      </c>
      <c r="O106" s="138">
        <f>IF('1.DATOS-PROD'!X107="SI",VLOOKUP('1.DATOS-PROD'!X$2,'1.PUNTOS'!$A$1:$B$63,2,0),0)</f>
        <v>0</v>
      </c>
      <c r="P106" s="138">
        <f>IF('1.DATOS-PROD'!Y107="SI",VLOOKUP('1.DATOS-PROD'!Y$2,'1.PUNTOS'!$A$1:$B$63,2,0),0)</f>
        <v>0</v>
      </c>
      <c r="Q106" s="138">
        <f>IF('1.DATOS-PROD'!Z107="SI",VLOOKUP('1.DATOS-PROD'!Z$2,'1.PUNTOS'!$A$1:$B$63,2,0),0)</f>
        <v>0</v>
      </c>
      <c r="R106" s="138">
        <f>IF('1.DATOS-PROD'!AA107="SI",VLOOKUP('1.DATOS-PROD'!AA$2,'1.PUNTOS'!$A$1:$B$63,2,0),0)</f>
        <v>0</v>
      </c>
      <c r="S106" s="138">
        <f>IF('1.DATOS-PROD'!AB107="SI",VLOOKUP('1.DATOS-PROD'!AB$2,'1.PUNTOS'!$A$1:$B$63,2,0),0)</f>
        <v>0</v>
      </c>
      <c r="T106" s="138">
        <f>IF('1.DATOS-PROD'!AC107="SI",VLOOKUP('1.DATOS-PROD'!AC$2,'1.PUNTOS'!$A$1:$B$63,2,0),0)</f>
        <v>0</v>
      </c>
      <c r="U106" s="138">
        <f>IF('1.DATOS-PROD'!AD107="SI",VLOOKUP('1.DATOS-PROD'!AD$2,'1.PUNTOS'!$A$1:$B$63,2,0),0)</f>
        <v>0</v>
      </c>
      <c r="V106" s="138">
        <f>IF('1.DATOS-PROD'!AE107="SI",VLOOKUP('1.DATOS-PROD'!AE$2,'1.PUNTOS'!$A$1:$B$63,2,0),0)</f>
        <v>0</v>
      </c>
      <c r="W106" s="138">
        <f>IF('1.DATOS-PROD'!AF107="SI",VLOOKUP('1.DATOS-PROD'!AF$2,'1.PUNTOS'!$A$1:$B$63,2,0),0)</f>
        <v>0</v>
      </c>
      <c r="X106" s="138">
        <f>IF('1.DATOS-PROD'!AG107="SI",VLOOKUP('1.DATOS-PROD'!AG$2,'1.PUNTOS'!$A$1:$B$63,2,0),0)</f>
        <v>0</v>
      </c>
      <c r="Y106" s="138">
        <f>IF('1.DATOS-PROD'!AH107="SI",VLOOKUP('1.DATOS-PROD'!AH$2,'1.PUNTOS'!$A$1:$B$63,2,0),0)</f>
        <v>0</v>
      </c>
      <c r="Z106" s="138">
        <f>IF('1.DATOS-PROD'!AI107="SI",VLOOKUP('1.DATOS-PROD'!AI$2,'1.PUNTOS'!$A$1:$B$63,2,0),0)</f>
        <v>0</v>
      </c>
      <c r="AA106" s="138">
        <f>IF('1.DATOS-PROD'!AJ107="SI",VLOOKUP('1.DATOS-PROD'!AJ$2,'1.PUNTOS'!$A$1:$B$63,2,0),0)</f>
        <v>0</v>
      </c>
      <c r="AB106" s="138">
        <f>IF('1.DATOS-PROD'!AK107="SI",VLOOKUP('1.DATOS-PROD'!AK$2,'1.PUNTOS'!$A$1:$B$63,2,0),0)</f>
        <v>0</v>
      </c>
      <c r="AC106" s="138">
        <f>IF('1.DATOS-PROD'!AL107="SI",VLOOKUP('1.DATOS-PROD'!AL$2,'1.PUNTOS'!$A$1:$B$63,2,0),0)</f>
        <v>0</v>
      </c>
      <c r="AD106" s="138">
        <f>IF('1.DATOS-PROD'!AM107="SI",VLOOKUP('1.DATOS-PROD'!AM$2,'1.PUNTOS'!$A$1:$B$63,2,0),0)</f>
        <v>0</v>
      </c>
      <c r="AE106" s="138">
        <f>IF('1.DATOS-PROD'!AN107="SI",VLOOKUP('1.DATOS-PROD'!AN$2,'1.PUNTOS'!$A$1:$B$63,2,0),0)</f>
        <v>0</v>
      </c>
      <c r="AF106" s="138">
        <f>IF('1.DATOS-PROD'!AO107="SI",VLOOKUP('1.DATOS-PROD'!AO$2,'1.PUNTOS'!$A$1:$B$63,2,0),0)</f>
        <v>0</v>
      </c>
      <c r="AG106" s="138">
        <f>IF('1.DATOS-PROD'!AP107="SI",VLOOKUP('1.DATOS-PROD'!AP$2,'1.PUNTOS'!$A$1:$B$63,2,0),0)</f>
        <v>0</v>
      </c>
      <c r="AH106" s="138">
        <f>IF('1.DATOS-PROD'!AQ107="SI",VLOOKUP('1.DATOS-PROD'!AQ$2,'1.PUNTOS'!$A$1:$B$63,2,0),0)</f>
        <v>0</v>
      </c>
      <c r="AI106" s="138">
        <f>IF('1.DATOS-PROD'!AR107="SI",VLOOKUP('1.DATOS-PROD'!AR$2,'1.PUNTOS'!$A$1:$B$63,2,0),0)</f>
        <v>0</v>
      </c>
      <c r="AJ106" s="138">
        <f>IF('1.DATOS-PROD'!AS107="SI",VLOOKUP('1.DATOS-PROD'!AS$2,'1.PUNTOS'!$A$1:$B$63,2,0),0)</f>
        <v>0</v>
      </c>
      <c r="AK106" s="138">
        <f>IF('1.DATOS-PROD'!AT107="SI",VLOOKUP('1.DATOS-PROD'!AT$2,'1.PUNTOS'!$A$1:$B$63,2,0),0)</f>
        <v>0</v>
      </c>
      <c r="AL106" s="138">
        <f>IF('1.DATOS-PROD'!AU107="SI",VLOOKUP('1.DATOS-PROD'!AU$2,'1.PUNTOS'!$A$1:$B$63,2,0),0)</f>
        <v>0</v>
      </c>
      <c r="AM106" s="138">
        <f>IF('1.DATOS-PROD'!AV107="SI",VLOOKUP('1.DATOS-PROD'!AV$2,'1.PUNTOS'!$A$1:$B$63,2,0),0)</f>
        <v>0</v>
      </c>
      <c r="AN106" s="138">
        <f>IF('1.DATOS-PROD'!AW107="SI",VLOOKUP('1.DATOS-PROD'!AW$2,'1.PUNTOS'!$A$1:$B$63,2,0),0)</f>
        <v>0</v>
      </c>
      <c r="AO106" s="138">
        <f>IF('1.DATOS-PROD'!AX107="SI",VLOOKUP('1.DATOS-PROD'!AX$2,'1.PUNTOS'!$A$1:$B$63,2,0),0)</f>
        <v>0</v>
      </c>
      <c r="AP106" s="138">
        <f>IF('1.DATOS-PROD'!AY107="SI",VLOOKUP('1.DATOS-PROD'!AY$2,'1.PUNTOS'!$A$1:$B$63,2,0),0)</f>
        <v>0</v>
      </c>
      <c r="AQ106" s="138">
        <f>IF('1.DATOS-PROD'!AZ107="SI",VLOOKUP('1.DATOS-PROD'!AZ$2,'1.PUNTOS'!$A$1:$B$63,2,0),0)</f>
        <v>0</v>
      </c>
      <c r="AR106" s="138">
        <f>IF('1.DATOS-PROD'!BA107="SI",VLOOKUP('1.DATOS-PROD'!BA$2,'1.PUNTOS'!$A$1:$B$63,2,0),0)</f>
        <v>0</v>
      </c>
      <c r="AS106" s="138">
        <f>IF('1.DATOS-PROD'!BB107="SI",VLOOKUP('1.DATOS-PROD'!BB$2,'1.PUNTOS'!$A$1:$B$63,2,0),0)</f>
        <v>0</v>
      </c>
      <c r="AT106" s="138">
        <f>IF('1.DATOS-PROD'!BC107="SI",VLOOKUP('1.DATOS-PROD'!BC$2,'1.PUNTOS'!$A$1:$B$63,2,0),0)</f>
        <v>0</v>
      </c>
      <c r="AU106" s="138">
        <f>IF('1.DATOS-PROD'!BD107="SI",VLOOKUP('1.DATOS-PROD'!BD$2,'1.PUNTOS'!$A$1:$B$63,2,0),0)</f>
        <v>0</v>
      </c>
      <c r="AV106" s="138">
        <f>IF('1.DATOS-PROD'!BE107="SI",VLOOKUP('1.DATOS-PROD'!BE$2,'1.PUNTOS'!$A$1:$B$63,2,0),0)</f>
        <v>0</v>
      </c>
      <c r="AW106" s="138">
        <f>IF('1.DATOS-PROD'!BF107="SI",VLOOKUP('1.DATOS-PROD'!BF$2,'1.PUNTOS'!$A$1:$B$63,2,0),0)</f>
        <v>0</v>
      </c>
      <c r="AX106" s="138">
        <f>IF('1.DATOS-PROD'!BG107="SI",VLOOKUP('1.DATOS-PROD'!BG$2,'1.PUNTOS'!$A$1:$B$63,2,0),0)</f>
        <v>0</v>
      </c>
      <c r="AY106" s="138">
        <f>IF('1.DATOS-PROD'!BH107="SI",VLOOKUP('1.DATOS-PROD'!BH$2,'1.PUNTOS'!$A$1:$B$63,2,0),0)</f>
        <v>0</v>
      </c>
      <c r="AZ106" s="138">
        <f>IF('1.DATOS-PROD'!BI107="SI",VLOOKUP('1.DATOS-PROD'!BI$2,'1.PUNTOS'!$A$1:$B$63,2,0),0)</f>
        <v>0</v>
      </c>
      <c r="BA106" s="138">
        <f>IF('1.DATOS-PROD'!BJ107="SI",VLOOKUP('1.DATOS-PROD'!BJ$2,'1.PUNTOS'!$A$1:$B$63,2,0),0)</f>
        <v>0</v>
      </c>
      <c r="BB106" s="138">
        <f>IF('1.DATOS-PROD'!BK107="SI",VLOOKUP('1.DATOS-PROD'!BK$2,'1.PUNTOS'!$A$1:$B$63,2,0),0)</f>
        <v>0</v>
      </c>
      <c r="BC106" s="138">
        <f>IF('1.DATOS-PROD'!BL107="SI",VLOOKUP('1.DATOS-PROD'!BL$2,'1.PUNTOS'!$A$1:$B$63,2,0),0)</f>
        <v>0</v>
      </c>
      <c r="BD106" s="138">
        <f>IF('1.DATOS-PROD'!BM107="SI",VLOOKUP('1.DATOS-PROD'!BM$2,'1.PUNTOS'!$A$1:$B$63,2,0),0)</f>
        <v>0</v>
      </c>
      <c r="BE106" s="138">
        <f>IF('1.DATOS-PROD'!BN107="SI",VLOOKUP('1.DATOS-PROD'!BN$2,'1.PUNTOS'!$A$1:$B$63,2,0),0)</f>
        <v>0</v>
      </c>
      <c r="BF106" s="138">
        <f>IF('1.DATOS-PROD'!BO107="SI",VLOOKUP('1.DATOS-PROD'!BO$2,'1.PUNTOS'!$A$1:$B$63,2,0),0)</f>
        <v>0</v>
      </c>
      <c r="BG106" s="138">
        <f>IF('1.DATOS-PROD'!BP107="SI",VLOOKUP('1.DATOS-PROD'!BP$2,'1.PUNTOS'!$A$1:$B$63,2,0),0)</f>
        <v>0</v>
      </c>
      <c r="BH106" s="138">
        <f>IF('1.DATOS-PROD'!BQ107="SI",VLOOKUP('1.DATOS-PROD'!BQ$2,'1.PUNTOS'!$A$1:$B$63,2,0),0)</f>
        <v>0</v>
      </c>
      <c r="BI106" s="138">
        <f>IF('1.DATOS-PROD'!BR107="SI",VLOOKUP('1.DATOS-PROD'!BR$2,'1.PUNTOS'!$A$1:$B$63,2,0),0)</f>
        <v>0</v>
      </c>
      <c r="BJ106" s="138">
        <f>IF('1.DATOS-PROD'!BS107="SI",VLOOKUP('1.DATOS-PROD'!BS$2,'1.PUNTOS'!$A$1:$B$63,2,0),0)</f>
        <v>0</v>
      </c>
      <c r="BK106" s="138">
        <f>IF('1.DATOS-PROD'!BT107="SI",VLOOKUP('1.DATOS-PROD'!BT$2,'1.PUNTOS'!$A$1:$B$63,2,0),0)</f>
        <v>0</v>
      </c>
    </row>
    <row r="107" spans="1:63" x14ac:dyDescent="0.25">
      <c r="A107">
        <f>'0.Consolidado general'!$A108</f>
        <v>0</v>
      </c>
      <c r="B107" s="138">
        <f>IF('1.DATOS-PROD'!K108="SI",VLOOKUP('1.DATOS-PROD'!K$2,'1.PUNTOS'!$A$1:$B$63,2,0),0)</f>
        <v>0</v>
      </c>
      <c r="C107" s="138">
        <f>IF('1.DATOS-PROD'!L108="SI",VLOOKUP('1.DATOS-PROD'!L$2,'1.PUNTOS'!$A$1:$B$63,2,0),0)</f>
        <v>0</v>
      </c>
      <c r="D107" s="138">
        <f>IF('1.DATOS-PROD'!M108="SI",VLOOKUP('1.DATOS-PROD'!M$2,'1.PUNTOS'!$A$1:$B$63,2,0),0)</f>
        <v>0</v>
      </c>
      <c r="E107" s="138">
        <f>IF('1.DATOS-PROD'!N108="SI",VLOOKUP('1.DATOS-PROD'!N$2,'1.PUNTOS'!$A$1:$B$63,2,0),0)</f>
        <v>0</v>
      </c>
      <c r="F107" s="138">
        <f>IF('1.DATOS-PROD'!O108="SI",VLOOKUP('1.DATOS-PROD'!O$2,'1.PUNTOS'!$A$1:$B$63,2,0),0)</f>
        <v>0</v>
      </c>
      <c r="G107" s="138">
        <f>IF('1.DATOS-PROD'!P108="SI",VLOOKUP('1.DATOS-PROD'!P$2,'1.PUNTOS'!$A$1:$B$63,2,0),0)</f>
        <v>0</v>
      </c>
      <c r="H107" s="138">
        <f>IF('1.DATOS-PROD'!Q108="SI",VLOOKUP('1.DATOS-PROD'!Q$2,'1.PUNTOS'!$A$1:$B$63,2,0),0)</f>
        <v>0</v>
      </c>
      <c r="I107" s="138">
        <f>IF('1.DATOS-PROD'!R108="SI",VLOOKUP('1.DATOS-PROD'!R$2,'1.PUNTOS'!$A$1:$B$63,2,0),0)</f>
        <v>0</v>
      </c>
      <c r="J107" s="138">
        <f>IF('1.DATOS-PROD'!S108="SI",VLOOKUP('1.DATOS-PROD'!S$2,'1.PUNTOS'!$A$1:$B$63,2,0),0)</f>
        <v>0</v>
      </c>
      <c r="K107" s="138">
        <f>IF('1.DATOS-PROD'!T108="SI",VLOOKUP('1.DATOS-PROD'!T$2,'1.PUNTOS'!$A$1:$B$63,2,0),0)</f>
        <v>0</v>
      </c>
      <c r="L107" s="138">
        <f>IF('1.DATOS-PROD'!U108="SI",VLOOKUP('1.DATOS-PROD'!U$2,'1.PUNTOS'!$A$1:$B$63,2,0),0)</f>
        <v>0</v>
      </c>
      <c r="M107" s="138">
        <f>IF('1.DATOS-PROD'!V108="SI",VLOOKUP('1.DATOS-PROD'!V$2,'1.PUNTOS'!$A$1:$B$63,2,0),0)</f>
        <v>0</v>
      </c>
      <c r="N107" s="138">
        <f>IF('1.DATOS-PROD'!W108="SI",VLOOKUP('1.DATOS-PROD'!W$2,'1.PUNTOS'!$A$1:$B$63,2,0),0)</f>
        <v>0</v>
      </c>
      <c r="O107" s="138">
        <f>IF('1.DATOS-PROD'!X108="SI",VLOOKUP('1.DATOS-PROD'!X$2,'1.PUNTOS'!$A$1:$B$63,2,0),0)</f>
        <v>0</v>
      </c>
      <c r="P107" s="138">
        <f>IF('1.DATOS-PROD'!Y108="SI",VLOOKUP('1.DATOS-PROD'!Y$2,'1.PUNTOS'!$A$1:$B$63,2,0),0)</f>
        <v>0</v>
      </c>
      <c r="Q107" s="138">
        <f>IF('1.DATOS-PROD'!Z108="SI",VLOOKUP('1.DATOS-PROD'!Z$2,'1.PUNTOS'!$A$1:$B$63,2,0),0)</f>
        <v>0</v>
      </c>
      <c r="R107" s="138">
        <f>IF('1.DATOS-PROD'!AA108="SI",VLOOKUP('1.DATOS-PROD'!AA$2,'1.PUNTOS'!$A$1:$B$63,2,0),0)</f>
        <v>0</v>
      </c>
      <c r="S107" s="138">
        <f>IF('1.DATOS-PROD'!AB108="SI",VLOOKUP('1.DATOS-PROD'!AB$2,'1.PUNTOS'!$A$1:$B$63,2,0),0)</f>
        <v>0</v>
      </c>
      <c r="T107" s="138">
        <f>IF('1.DATOS-PROD'!AC108="SI",VLOOKUP('1.DATOS-PROD'!AC$2,'1.PUNTOS'!$A$1:$B$63,2,0),0)</f>
        <v>0</v>
      </c>
      <c r="U107" s="138">
        <f>IF('1.DATOS-PROD'!AD108="SI",VLOOKUP('1.DATOS-PROD'!AD$2,'1.PUNTOS'!$A$1:$B$63,2,0),0)</f>
        <v>0</v>
      </c>
      <c r="V107" s="138">
        <f>IF('1.DATOS-PROD'!AE108="SI",VLOOKUP('1.DATOS-PROD'!AE$2,'1.PUNTOS'!$A$1:$B$63,2,0),0)</f>
        <v>0</v>
      </c>
      <c r="W107" s="138">
        <f>IF('1.DATOS-PROD'!AF108="SI",VLOOKUP('1.DATOS-PROD'!AF$2,'1.PUNTOS'!$A$1:$B$63,2,0),0)</f>
        <v>0</v>
      </c>
      <c r="X107" s="138">
        <f>IF('1.DATOS-PROD'!AG108="SI",VLOOKUP('1.DATOS-PROD'!AG$2,'1.PUNTOS'!$A$1:$B$63,2,0),0)</f>
        <v>0</v>
      </c>
      <c r="Y107" s="138">
        <f>IF('1.DATOS-PROD'!AH108="SI",VLOOKUP('1.DATOS-PROD'!AH$2,'1.PUNTOS'!$A$1:$B$63,2,0),0)</f>
        <v>0</v>
      </c>
      <c r="Z107" s="138">
        <f>IF('1.DATOS-PROD'!AI108="SI",VLOOKUP('1.DATOS-PROD'!AI$2,'1.PUNTOS'!$A$1:$B$63,2,0),0)</f>
        <v>0</v>
      </c>
      <c r="AA107" s="138">
        <f>IF('1.DATOS-PROD'!AJ108="SI",VLOOKUP('1.DATOS-PROD'!AJ$2,'1.PUNTOS'!$A$1:$B$63,2,0),0)</f>
        <v>0</v>
      </c>
      <c r="AB107" s="138">
        <f>IF('1.DATOS-PROD'!AK108="SI",VLOOKUP('1.DATOS-PROD'!AK$2,'1.PUNTOS'!$A$1:$B$63,2,0),0)</f>
        <v>0</v>
      </c>
      <c r="AC107" s="138">
        <f>IF('1.DATOS-PROD'!AL108="SI",VLOOKUP('1.DATOS-PROD'!AL$2,'1.PUNTOS'!$A$1:$B$63,2,0),0)</f>
        <v>0</v>
      </c>
      <c r="AD107" s="138">
        <f>IF('1.DATOS-PROD'!AM108="SI",VLOOKUP('1.DATOS-PROD'!AM$2,'1.PUNTOS'!$A$1:$B$63,2,0),0)</f>
        <v>0</v>
      </c>
      <c r="AE107" s="138">
        <f>IF('1.DATOS-PROD'!AN108="SI",VLOOKUP('1.DATOS-PROD'!AN$2,'1.PUNTOS'!$A$1:$B$63,2,0),0)</f>
        <v>0</v>
      </c>
      <c r="AF107" s="138">
        <f>IF('1.DATOS-PROD'!AO108="SI",VLOOKUP('1.DATOS-PROD'!AO$2,'1.PUNTOS'!$A$1:$B$63,2,0),0)</f>
        <v>0</v>
      </c>
      <c r="AG107" s="138">
        <f>IF('1.DATOS-PROD'!AP108="SI",VLOOKUP('1.DATOS-PROD'!AP$2,'1.PUNTOS'!$A$1:$B$63,2,0),0)</f>
        <v>0</v>
      </c>
      <c r="AH107" s="138">
        <f>IF('1.DATOS-PROD'!AQ108="SI",VLOOKUP('1.DATOS-PROD'!AQ$2,'1.PUNTOS'!$A$1:$B$63,2,0),0)</f>
        <v>0</v>
      </c>
      <c r="AI107" s="138">
        <f>IF('1.DATOS-PROD'!AR108="SI",VLOOKUP('1.DATOS-PROD'!AR$2,'1.PUNTOS'!$A$1:$B$63,2,0),0)</f>
        <v>0</v>
      </c>
      <c r="AJ107" s="138">
        <f>IF('1.DATOS-PROD'!AS108="SI",VLOOKUP('1.DATOS-PROD'!AS$2,'1.PUNTOS'!$A$1:$B$63,2,0),0)</f>
        <v>0</v>
      </c>
      <c r="AK107" s="138">
        <f>IF('1.DATOS-PROD'!AT108="SI",VLOOKUP('1.DATOS-PROD'!AT$2,'1.PUNTOS'!$A$1:$B$63,2,0),0)</f>
        <v>0</v>
      </c>
      <c r="AL107" s="138">
        <f>IF('1.DATOS-PROD'!AU108="SI",VLOOKUP('1.DATOS-PROD'!AU$2,'1.PUNTOS'!$A$1:$B$63,2,0),0)</f>
        <v>0</v>
      </c>
      <c r="AM107" s="138">
        <f>IF('1.DATOS-PROD'!AV108="SI",VLOOKUP('1.DATOS-PROD'!AV$2,'1.PUNTOS'!$A$1:$B$63,2,0),0)</f>
        <v>0</v>
      </c>
      <c r="AN107" s="138">
        <f>IF('1.DATOS-PROD'!AW108="SI",VLOOKUP('1.DATOS-PROD'!AW$2,'1.PUNTOS'!$A$1:$B$63,2,0),0)</f>
        <v>0</v>
      </c>
      <c r="AO107" s="138">
        <f>IF('1.DATOS-PROD'!AX108="SI",VLOOKUP('1.DATOS-PROD'!AX$2,'1.PUNTOS'!$A$1:$B$63,2,0),0)</f>
        <v>0</v>
      </c>
      <c r="AP107" s="138">
        <f>IF('1.DATOS-PROD'!AY108="SI",VLOOKUP('1.DATOS-PROD'!AY$2,'1.PUNTOS'!$A$1:$B$63,2,0),0)</f>
        <v>0</v>
      </c>
      <c r="AQ107" s="138">
        <f>IF('1.DATOS-PROD'!AZ108="SI",VLOOKUP('1.DATOS-PROD'!AZ$2,'1.PUNTOS'!$A$1:$B$63,2,0),0)</f>
        <v>0</v>
      </c>
      <c r="AR107" s="138">
        <f>IF('1.DATOS-PROD'!BA108="SI",VLOOKUP('1.DATOS-PROD'!BA$2,'1.PUNTOS'!$A$1:$B$63,2,0),0)</f>
        <v>0</v>
      </c>
      <c r="AS107" s="138">
        <f>IF('1.DATOS-PROD'!BB108="SI",VLOOKUP('1.DATOS-PROD'!BB$2,'1.PUNTOS'!$A$1:$B$63,2,0),0)</f>
        <v>0</v>
      </c>
      <c r="AT107" s="138">
        <f>IF('1.DATOS-PROD'!BC108="SI",VLOOKUP('1.DATOS-PROD'!BC$2,'1.PUNTOS'!$A$1:$B$63,2,0),0)</f>
        <v>0</v>
      </c>
      <c r="AU107" s="138">
        <f>IF('1.DATOS-PROD'!BD108="SI",VLOOKUP('1.DATOS-PROD'!BD$2,'1.PUNTOS'!$A$1:$B$63,2,0),0)</f>
        <v>0</v>
      </c>
      <c r="AV107" s="138">
        <f>IF('1.DATOS-PROD'!BE108="SI",VLOOKUP('1.DATOS-PROD'!BE$2,'1.PUNTOS'!$A$1:$B$63,2,0),0)</f>
        <v>0</v>
      </c>
      <c r="AW107" s="138">
        <f>IF('1.DATOS-PROD'!BF108="SI",VLOOKUP('1.DATOS-PROD'!BF$2,'1.PUNTOS'!$A$1:$B$63,2,0),0)</f>
        <v>0</v>
      </c>
      <c r="AX107" s="138">
        <f>IF('1.DATOS-PROD'!BG108="SI",VLOOKUP('1.DATOS-PROD'!BG$2,'1.PUNTOS'!$A$1:$B$63,2,0),0)</f>
        <v>0</v>
      </c>
      <c r="AY107" s="138">
        <f>IF('1.DATOS-PROD'!BH108="SI",VLOOKUP('1.DATOS-PROD'!BH$2,'1.PUNTOS'!$A$1:$B$63,2,0),0)</f>
        <v>0</v>
      </c>
      <c r="AZ107" s="138">
        <f>IF('1.DATOS-PROD'!BI108="SI",VLOOKUP('1.DATOS-PROD'!BI$2,'1.PUNTOS'!$A$1:$B$63,2,0),0)</f>
        <v>0</v>
      </c>
      <c r="BA107" s="138">
        <f>IF('1.DATOS-PROD'!BJ108="SI",VLOOKUP('1.DATOS-PROD'!BJ$2,'1.PUNTOS'!$A$1:$B$63,2,0),0)</f>
        <v>0</v>
      </c>
      <c r="BB107" s="138">
        <f>IF('1.DATOS-PROD'!BK108="SI",VLOOKUP('1.DATOS-PROD'!BK$2,'1.PUNTOS'!$A$1:$B$63,2,0),0)</f>
        <v>0</v>
      </c>
      <c r="BC107" s="138">
        <f>IF('1.DATOS-PROD'!BL108="SI",VLOOKUP('1.DATOS-PROD'!BL$2,'1.PUNTOS'!$A$1:$B$63,2,0),0)</f>
        <v>0</v>
      </c>
      <c r="BD107" s="138">
        <f>IF('1.DATOS-PROD'!BM108="SI",VLOOKUP('1.DATOS-PROD'!BM$2,'1.PUNTOS'!$A$1:$B$63,2,0),0)</f>
        <v>0</v>
      </c>
      <c r="BE107" s="138">
        <f>IF('1.DATOS-PROD'!BN108="SI",VLOOKUP('1.DATOS-PROD'!BN$2,'1.PUNTOS'!$A$1:$B$63,2,0),0)</f>
        <v>0</v>
      </c>
      <c r="BF107" s="138">
        <f>IF('1.DATOS-PROD'!BO108="SI",VLOOKUP('1.DATOS-PROD'!BO$2,'1.PUNTOS'!$A$1:$B$63,2,0),0)</f>
        <v>0</v>
      </c>
      <c r="BG107" s="138">
        <f>IF('1.DATOS-PROD'!BP108="SI",VLOOKUP('1.DATOS-PROD'!BP$2,'1.PUNTOS'!$A$1:$B$63,2,0),0)</f>
        <v>0</v>
      </c>
      <c r="BH107" s="138">
        <f>IF('1.DATOS-PROD'!BQ108="SI",VLOOKUP('1.DATOS-PROD'!BQ$2,'1.PUNTOS'!$A$1:$B$63,2,0),0)</f>
        <v>0</v>
      </c>
      <c r="BI107" s="138">
        <f>IF('1.DATOS-PROD'!BR108="SI",VLOOKUP('1.DATOS-PROD'!BR$2,'1.PUNTOS'!$A$1:$B$63,2,0),0)</f>
        <v>0</v>
      </c>
      <c r="BJ107" s="138">
        <f>IF('1.DATOS-PROD'!BS108="SI",VLOOKUP('1.DATOS-PROD'!BS$2,'1.PUNTOS'!$A$1:$B$63,2,0),0)</f>
        <v>0</v>
      </c>
      <c r="BK107" s="138">
        <f>IF('1.DATOS-PROD'!BT108="SI",VLOOKUP('1.DATOS-PROD'!BT$2,'1.PUNTOS'!$A$1:$B$63,2,0),0)</f>
        <v>0</v>
      </c>
    </row>
    <row r="108" spans="1:63" x14ac:dyDescent="0.25">
      <c r="A108">
        <f>'0.Consolidado general'!$A109</f>
        <v>0</v>
      </c>
      <c r="B108" s="138">
        <f>IF('1.DATOS-PROD'!K109="SI",VLOOKUP('1.DATOS-PROD'!K$2,'1.PUNTOS'!$A$1:$B$63,2,0),0)</f>
        <v>0</v>
      </c>
      <c r="C108" s="138">
        <f>IF('1.DATOS-PROD'!L109="SI",VLOOKUP('1.DATOS-PROD'!L$2,'1.PUNTOS'!$A$1:$B$63,2,0),0)</f>
        <v>0</v>
      </c>
      <c r="D108" s="138">
        <f>IF('1.DATOS-PROD'!M109="SI",VLOOKUP('1.DATOS-PROD'!M$2,'1.PUNTOS'!$A$1:$B$63,2,0),0)</f>
        <v>0</v>
      </c>
      <c r="E108" s="138">
        <f>IF('1.DATOS-PROD'!N109="SI",VLOOKUP('1.DATOS-PROD'!N$2,'1.PUNTOS'!$A$1:$B$63,2,0),0)</f>
        <v>0</v>
      </c>
      <c r="F108" s="138">
        <f>IF('1.DATOS-PROD'!O109="SI",VLOOKUP('1.DATOS-PROD'!O$2,'1.PUNTOS'!$A$1:$B$63,2,0),0)</f>
        <v>0</v>
      </c>
      <c r="G108" s="138">
        <f>IF('1.DATOS-PROD'!P109="SI",VLOOKUP('1.DATOS-PROD'!P$2,'1.PUNTOS'!$A$1:$B$63,2,0),0)</f>
        <v>0</v>
      </c>
      <c r="H108" s="138">
        <f>IF('1.DATOS-PROD'!Q109="SI",VLOOKUP('1.DATOS-PROD'!Q$2,'1.PUNTOS'!$A$1:$B$63,2,0),0)</f>
        <v>0</v>
      </c>
      <c r="I108" s="138">
        <f>IF('1.DATOS-PROD'!R109="SI",VLOOKUP('1.DATOS-PROD'!R$2,'1.PUNTOS'!$A$1:$B$63,2,0),0)</f>
        <v>0</v>
      </c>
      <c r="J108" s="138">
        <f>IF('1.DATOS-PROD'!S109="SI",VLOOKUP('1.DATOS-PROD'!S$2,'1.PUNTOS'!$A$1:$B$63,2,0),0)</f>
        <v>0</v>
      </c>
      <c r="K108" s="138">
        <f>IF('1.DATOS-PROD'!T109="SI",VLOOKUP('1.DATOS-PROD'!T$2,'1.PUNTOS'!$A$1:$B$63,2,0),0)</f>
        <v>0</v>
      </c>
      <c r="L108" s="138">
        <f>IF('1.DATOS-PROD'!U109="SI",VLOOKUP('1.DATOS-PROD'!U$2,'1.PUNTOS'!$A$1:$B$63,2,0),0)</f>
        <v>0</v>
      </c>
      <c r="M108" s="138">
        <f>IF('1.DATOS-PROD'!V109="SI",VLOOKUP('1.DATOS-PROD'!V$2,'1.PUNTOS'!$A$1:$B$63,2,0),0)</f>
        <v>0</v>
      </c>
      <c r="N108" s="138">
        <f>IF('1.DATOS-PROD'!W109="SI",VLOOKUP('1.DATOS-PROD'!W$2,'1.PUNTOS'!$A$1:$B$63,2,0),0)</f>
        <v>0</v>
      </c>
      <c r="O108" s="138">
        <f>IF('1.DATOS-PROD'!X109="SI",VLOOKUP('1.DATOS-PROD'!X$2,'1.PUNTOS'!$A$1:$B$63,2,0),0)</f>
        <v>0</v>
      </c>
      <c r="P108" s="138">
        <f>IF('1.DATOS-PROD'!Y109="SI",VLOOKUP('1.DATOS-PROD'!Y$2,'1.PUNTOS'!$A$1:$B$63,2,0),0)</f>
        <v>0</v>
      </c>
      <c r="Q108" s="138">
        <f>IF('1.DATOS-PROD'!Z109="SI",VLOOKUP('1.DATOS-PROD'!Z$2,'1.PUNTOS'!$A$1:$B$63,2,0),0)</f>
        <v>0</v>
      </c>
      <c r="R108" s="138">
        <f>IF('1.DATOS-PROD'!AA109="SI",VLOOKUP('1.DATOS-PROD'!AA$2,'1.PUNTOS'!$A$1:$B$63,2,0),0)</f>
        <v>0</v>
      </c>
      <c r="S108" s="138">
        <f>IF('1.DATOS-PROD'!AB109="SI",VLOOKUP('1.DATOS-PROD'!AB$2,'1.PUNTOS'!$A$1:$B$63,2,0),0)</f>
        <v>0</v>
      </c>
      <c r="T108" s="138">
        <f>IF('1.DATOS-PROD'!AC109="SI",VLOOKUP('1.DATOS-PROD'!AC$2,'1.PUNTOS'!$A$1:$B$63,2,0),0)</f>
        <v>0</v>
      </c>
      <c r="U108" s="138">
        <f>IF('1.DATOS-PROD'!AD109="SI",VLOOKUP('1.DATOS-PROD'!AD$2,'1.PUNTOS'!$A$1:$B$63,2,0),0)</f>
        <v>0</v>
      </c>
      <c r="V108" s="138">
        <f>IF('1.DATOS-PROD'!AE109="SI",VLOOKUP('1.DATOS-PROD'!AE$2,'1.PUNTOS'!$A$1:$B$63,2,0),0)</f>
        <v>0</v>
      </c>
      <c r="W108" s="138">
        <f>IF('1.DATOS-PROD'!AF109="SI",VLOOKUP('1.DATOS-PROD'!AF$2,'1.PUNTOS'!$A$1:$B$63,2,0),0)</f>
        <v>0</v>
      </c>
      <c r="X108" s="138">
        <f>IF('1.DATOS-PROD'!AG109="SI",VLOOKUP('1.DATOS-PROD'!AG$2,'1.PUNTOS'!$A$1:$B$63,2,0),0)</f>
        <v>0</v>
      </c>
      <c r="Y108" s="138">
        <f>IF('1.DATOS-PROD'!AH109="SI",VLOOKUP('1.DATOS-PROD'!AH$2,'1.PUNTOS'!$A$1:$B$63,2,0),0)</f>
        <v>0</v>
      </c>
      <c r="Z108" s="138">
        <f>IF('1.DATOS-PROD'!AI109="SI",VLOOKUP('1.DATOS-PROD'!AI$2,'1.PUNTOS'!$A$1:$B$63,2,0),0)</f>
        <v>0</v>
      </c>
      <c r="AA108" s="138">
        <f>IF('1.DATOS-PROD'!AJ109="SI",VLOOKUP('1.DATOS-PROD'!AJ$2,'1.PUNTOS'!$A$1:$B$63,2,0),0)</f>
        <v>0</v>
      </c>
      <c r="AB108" s="138">
        <f>IF('1.DATOS-PROD'!AK109="SI",VLOOKUP('1.DATOS-PROD'!AK$2,'1.PUNTOS'!$A$1:$B$63,2,0),0)</f>
        <v>0</v>
      </c>
      <c r="AC108" s="138">
        <f>IF('1.DATOS-PROD'!AL109="SI",VLOOKUP('1.DATOS-PROD'!AL$2,'1.PUNTOS'!$A$1:$B$63,2,0),0)</f>
        <v>0</v>
      </c>
      <c r="AD108" s="138">
        <f>IF('1.DATOS-PROD'!AM109="SI",VLOOKUP('1.DATOS-PROD'!AM$2,'1.PUNTOS'!$A$1:$B$63,2,0),0)</f>
        <v>0</v>
      </c>
      <c r="AE108" s="138">
        <f>IF('1.DATOS-PROD'!AN109="SI",VLOOKUP('1.DATOS-PROD'!AN$2,'1.PUNTOS'!$A$1:$B$63,2,0),0)</f>
        <v>0</v>
      </c>
      <c r="AF108" s="138">
        <f>IF('1.DATOS-PROD'!AO109="SI",VLOOKUP('1.DATOS-PROD'!AO$2,'1.PUNTOS'!$A$1:$B$63,2,0),0)</f>
        <v>0</v>
      </c>
      <c r="AG108" s="138">
        <f>IF('1.DATOS-PROD'!AP109="SI",VLOOKUP('1.DATOS-PROD'!AP$2,'1.PUNTOS'!$A$1:$B$63,2,0),0)</f>
        <v>0</v>
      </c>
      <c r="AH108" s="138">
        <f>IF('1.DATOS-PROD'!AQ109="SI",VLOOKUP('1.DATOS-PROD'!AQ$2,'1.PUNTOS'!$A$1:$B$63,2,0),0)</f>
        <v>0</v>
      </c>
      <c r="AI108" s="138">
        <f>IF('1.DATOS-PROD'!AR109="SI",VLOOKUP('1.DATOS-PROD'!AR$2,'1.PUNTOS'!$A$1:$B$63,2,0),0)</f>
        <v>0</v>
      </c>
      <c r="AJ108" s="138">
        <f>IF('1.DATOS-PROD'!AS109="SI",VLOOKUP('1.DATOS-PROD'!AS$2,'1.PUNTOS'!$A$1:$B$63,2,0),0)</f>
        <v>0</v>
      </c>
      <c r="AK108" s="138">
        <f>IF('1.DATOS-PROD'!AT109="SI",VLOOKUP('1.DATOS-PROD'!AT$2,'1.PUNTOS'!$A$1:$B$63,2,0),0)</f>
        <v>0</v>
      </c>
      <c r="AL108" s="138">
        <f>IF('1.DATOS-PROD'!AU109="SI",VLOOKUP('1.DATOS-PROD'!AU$2,'1.PUNTOS'!$A$1:$B$63,2,0),0)</f>
        <v>0</v>
      </c>
      <c r="AM108" s="138">
        <f>IF('1.DATOS-PROD'!AV109="SI",VLOOKUP('1.DATOS-PROD'!AV$2,'1.PUNTOS'!$A$1:$B$63,2,0),0)</f>
        <v>0</v>
      </c>
      <c r="AN108" s="138">
        <f>IF('1.DATOS-PROD'!AW109="SI",VLOOKUP('1.DATOS-PROD'!AW$2,'1.PUNTOS'!$A$1:$B$63,2,0),0)</f>
        <v>0</v>
      </c>
      <c r="AO108" s="138">
        <f>IF('1.DATOS-PROD'!AX109="SI",VLOOKUP('1.DATOS-PROD'!AX$2,'1.PUNTOS'!$A$1:$B$63,2,0),0)</f>
        <v>0</v>
      </c>
      <c r="AP108" s="138">
        <f>IF('1.DATOS-PROD'!AY109="SI",VLOOKUP('1.DATOS-PROD'!AY$2,'1.PUNTOS'!$A$1:$B$63,2,0),0)</f>
        <v>0</v>
      </c>
      <c r="AQ108" s="138">
        <f>IF('1.DATOS-PROD'!AZ109="SI",VLOOKUP('1.DATOS-PROD'!AZ$2,'1.PUNTOS'!$A$1:$B$63,2,0),0)</f>
        <v>0</v>
      </c>
      <c r="AR108" s="138">
        <f>IF('1.DATOS-PROD'!BA109="SI",VLOOKUP('1.DATOS-PROD'!BA$2,'1.PUNTOS'!$A$1:$B$63,2,0),0)</f>
        <v>0</v>
      </c>
      <c r="AS108" s="138">
        <f>IF('1.DATOS-PROD'!BB109="SI",VLOOKUP('1.DATOS-PROD'!BB$2,'1.PUNTOS'!$A$1:$B$63,2,0),0)</f>
        <v>0</v>
      </c>
      <c r="AT108" s="138">
        <f>IF('1.DATOS-PROD'!BC109="SI",VLOOKUP('1.DATOS-PROD'!BC$2,'1.PUNTOS'!$A$1:$B$63,2,0),0)</f>
        <v>0</v>
      </c>
      <c r="AU108" s="138">
        <f>IF('1.DATOS-PROD'!BD109="SI",VLOOKUP('1.DATOS-PROD'!BD$2,'1.PUNTOS'!$A$1:$B$63,2,0),0)</f>
        <v>0</v>
      </c>
      <c r="AV108" s="138">
        <f>IF('1.DATOS-PROD'!BE109="SI",VLOOKUP('1.DATOS-PROD'!BE$2,'1.PUNTOS'!$A$1:$B$63,2,0),0)</f>
        <v>0</v>
      </c>
      <c r="AW108" s="138">
        <f>IF('1.DATOS-PROD'!BF109="SI",VLOOKUP('1.DATOS-PROD'!BF$2,'1.PUNTOS'!$A$1:$B$63,2,0),0)</f>
        <v>0</v>
      </c>
      <c r="AX108" s="138">
        <f>IF('1.DATOS-PROD'!BG109="SI",VLOOKUP('1.DATOS-PROD'!BG$2,'1.PUNTOS'!$A$1:$B$63,2,0),0)</f>
        <v>0</v>
      </c>
      <c r="AY108" s="138">
        <f>IF('1.DATOS-PROD'!BH109="SI",VLOOKUP('1.DATOS-PROD'!BH$2,'1.PUNTOS'!$A$1:$B$63,2,0),0)</f>
        <v>0</v>
      </c>
      <c r="AZ108" s="138">
        <f>IF('1.DATOS-PROD'!BI109="SI",VLOOKUP('1.DATOS-PROD'!BI$2,'1.PUNTOS'!$A$1:$B$63,2,0),0)</f>
        <v>0</v>
      </c>
      <c r="BA108" s="138">
        <f>IF('1.DATOS-PROD'!BJ109="SI",VLOOKUP('1.DATOS-PROD'!BJ$2,'1.PUNTOS'!$A$1:$B$63,2,0),0)</f>
        <v>0</v>
      </c>
      <c r="BB108" s="138">
        <f>IF('1.DATOS-PROD'!BK109="SI",VLOOKUP('1.DATOS-PROD'!BK$2,'1.PUNTOS'!$A$1:$B$63,2,0),0)</f>
        <v>0</v>
      </c>
      <c r="BC108" s="138">
        <f>IF('1.DATOS-PROD'!BL109="SI",VLOOKUP('1.DATOS-PROD'!BL$2,'1.PUNTOS'!$A$1:$B$63,2,0),0)</f>
        <v>0</v>
      </c>
      <c r="BD108" s="138">
        <f>IF('1.DATOS-PROD'!BM109="SI",VLOOKUP('1.DATOS-PROD'!BM$2,'1.PUNTOS'!$A$1:$B$63,2,0),0)</f>
        <v>0</v>
      </c>
      <c r="BE108" s="138">
        <f>IF('1.DATOS-PROD'!BN109="SI",VLOOKUP('1.DATOS-PROD'!BN$2,'1.PUNTOS'!$A$1:$B$63,2,0),0)</f>
        <v>0</v>
      </c>
      <c r="BF108" s="138">
        <f>IF('1.DATOS-PROD'!BO109="SI",VLOOKUP('1.DATOS-PROD'!BO$2,'1.PUNTOS'!$A$1:$B$63,2,0),0)</f>
        <v>0</v>
      </c>
      <c r="BG108" s="138">
        <f>IF('1.DATOS-PROD'!BP109="SI",VLOOKUP('1.DATOS-PROD'!BP$2,'1.PUNTOS'!$A$1:$B$63,2,0),0)</f>
        <v>0</v>
      </c>
      <c r="BH108" s="138">
        <f>IF('1.DATOS-PROD'!BQ109="SI",VLOOKUP('1.DATOS-PROD'!BQ$2,'1.PUNTOS'!$A$1:$B$63,2,0),0)</f>
        <v>0</v>
      </c>
      <c r="BI108" s="138">
        <f>IF('1.DATOS-PROD'!BR109="SI",VLOOKUP('1.DATOS-PROD'!BR$2,'1.PUNTOS'!$A$1:$B$63,2,0),0)</f>
        <v>0</v>
      </c>
      <c r="BJ108" s="138">
        <f>IF('1.DATOS-PROD'!BS109="SI",VLOOKUP('1.DATOS-PROD'!BS$2,'1.PUNTOS'!$A$1:$B$63,2,0),0)</f>
        <v>0</v>
      </c>
      <c r="BK108" s="138">
        <f>IF('1.DATOS-PROD'!BT109="SI",VLOOKUP('1.DATOS-PROD'!BT$2,'1.PUNTOS'!$A$1:$B$63,2,0),0)</f>
        <v>0</v>
      </c>
    </row>
    <row r="109" spans="1:63" x14ac:dyDescent="0.25">
      <c r="A109">
        <f>'0.Consolidado general'!$A110</f>
        <v>0</v>
      </c>
      <c r="B109" s="138">
        <f>IF('1.DATOS-PROD'!K110="SI",VLOOKUP('1.DATOS-PROD'!K$2,'1.PUNTOS'!$A$1:$B$63,2,0),0)</f>
        <v>0</v>
      </c>
      <c r="C109" s="138">
        <f>IF('1.DATOS-PROD'!L110="SI",VLOOKUP('1.DATOS-PROD'!L$2,'1.PUNTOS'!$A$1:$B$63,2,0),0)</f>
        <v>0</v>
      </c>
      <c r="D109" s="138">
        <f>IF('1.DATOS-PROD'!M110="SI",VLOOKUP('1.DATOS-PROD'!M$2,'1.PUNTOS'!$A$1:$B$63,2,0),0)</f>
        <v>0</v>
      </c>
      <c r="E109" s="138">
        <f>IF('1.DATOS-PROD'!N110="SI",VLOOKUP('1.DATOS-PROD'!N$2,'1.PUNTOS'!$A$1:$B$63,2,0),0)</f>
        <v>0</v>
      </c>
      <c r="F109" s="138">
        <f>IF('1.DATOS-PROD'!O110="SI",VLOOKUP('1.DATOS-PROD'!O$2,'1.PUNTOS'!$A$1:$B$63,2,0),0)</f>
        <v>0</v>
      </c>
      <c r="G109" s="138">
        <f>IF('1.DATOS-PROD'!P110="SI",VLOOKUP('1.DATOS-PROD'!P$2,'1.PUNTOS'!$A$1:$B$63,2,0),0)</f>
        <v>0</v>
      </c>
      <c r="H109" s="138">
        <f>IF('1.DATOS-PROD'!Q110="SI",VLOOKUP('1.DATOS-PROD'!Q$2,'1.PUNTOS'!$A$1:$B$63,2,0),0)</f>
        <v>0</v>
      </c>
      <c r="I109" s="138">
        <f>IF('1.DATOS-PROD'!R110="SI",VLOOKUP('1.DATOS-PROD'!R$2,'1.PUNTOS'!$A$1:$B$63,2,0),0)</f>
        <v>0</v>
      </c>
      <c r="J109" s="138">
        <f>IF('1.DATOS-PROD'!S110="SI",VLOOKUP('1.DATOS-PROD'!S$2,'1.PUNTOS'!$A$1:$B$63,2,0),0)</f>
        <v>0</v>
      </c>
      <c r="K109" s="138">
        <f>IF('1.DATOS-PROD'!T110="SI",VLOOKUP('1.DATOS-PROD'!T$2,'1.PUNTOS'!$A$1:$B$63,2,0),0)</f>
        <v>0</v>
      </c>
      <c r="L109" s="138">
        <f>IF('1.DATOS-PROD'!U110="SI",VLOOKUP('1.DATOS-PROD'!U$2,'1.PUNTOS'!$A$1:$B$63,2,0),0)</f>
        <v>0</v>
      </c>
      <c r="M109" s="138">
        <f>IF('1.DATOS-PROD'!V110="SI",VLOOKUP('1.DATOS-PROD'!V$2,'1.PUNTOS'!$A$1:$B$63,2,0),0)</f>
        <v>0</v>
      </c>
      <c r="N109" s="138">
        <f>IF('1.DATOS-PROD'!W110="SI",VLOOKUP('1.DATOS-PROD'!W$2,'1.PUNTOS'!$A$1:$B$63,2,0),0)</f>
        <v>0</v>
      </c>
      <c r="O109" s="138">
        <f>IF('1.DATOS-PROD'!X110="SI",VLOOKUP('1.DATOS-PROD'!X$2,'1.PUNTOS'!$A$1:$B$63,2,0),0)</f>
        <v>0</v>
      </c>
      <c r="P109" s="138">
        <f>IF('1.DATOS-PROD'!Y110="SI",VLOOKUP('1.DATOS-PROD'!Y$2,'1.PUNTOS'!$A$1:$B$63,2,0),0)</f>
        <v>0</v>
      </c>
      <c r="Q109" s="138">
        <f>IF('1.DATOS-PROD'!Z110="SI",VLOOKUP('1.DATOS-PROD'!Z$2,'1.PUNTOS'!$A$1:$B$63,2,0),0)</f>
        <v>0</v>
      </c>
      <c r="R109" s="138">
        <f>IF('1.DATOS-PROD'!AA110="SI",VLOOKUP('1.DATOS-PROD'!AA$2,'1.PUNTOS'!$A$1:$B$63,2,0),0)</f>
        <v>0</v>
      </c>
      <c r="S109" s="138">
        <f>IF('1.DATOS-PROD'!AB110="SI",VLOOKUP('1.DATOS-PROD'!AB$2,'1.PUNTOS'!$A$1:$B$63,2,0),0)</f>
        <v>0</v>
      </c>
      <c r="T109" s="138">
        <f>IF('1.DATOS-PROD'!AC110="SI",VLOOKUP('1.DATOS-PROD'!AC$2,'1.PUNTOS'!$A$1:$B$63,2,0),0)</f>
        <v>0</v>
      </c>
      <c r="U109" s="138">
        <f>IF('1.DATOS-PROD'!AD110="SI",VLOOKUP('1.DATOS-PROD'!AD$2,'1.PUNTOS'!$A$1:$B$63,2,0),0)</f>
        <v>0</v>
      </c>
      <c r="V109" s="138">
        <f>IF('1.DATOS-PROD'!AE110="SI",VLOOKUP('1.DATOS-PROD'!AE$2,'1.PUNTOS'!$A$1:$B$63,2,0),0)</f>
        <v>0</v>
      </c>
      <c r="W109" s="138">
        <f>IF('1.DATOS-PROD'!AF110="SI",VLOOKUP('1.DATOS-PROD'!AF$2,'1.PUNTOS'!$A$1:$B$63,2,0),0)</f>
        <v>0</v>
      </c>
      <c r="X109" s="138">
        <f>IF('1.DATOS-PROD'!AG110="SI",VLOOKUP('1.DATOS-PROD'!AG$2,'1.PUNTOS'!$A$1:$B$63,2,0),0)</f>
        <v>0</v>
      </c>
      <c r="Y109" s="138">
        <f>IF('1.DATOS-PROD'!AH110="SI",VLOOKUP('1.DATOS-PROD'!AH$2,'1.PUNTOS'!$A$1:$B$63,2,0),0)</f>
        <v>0</v>
      </c>
      <c r="Z109" s="138">
        <f>IF('1.DATOS-PROD'!AI110="SI",VLOOKUP('1.DATOS-PROD'!AI$2,'1.PUNTOS'!$A$1:$B$63,2,0),0)</f>
        <v>0</v>
      </c>
      <c r="AA109" s="138">
        <f>IF('1.DATOS-PROD'!AJ110="SI",VLOOKUP('1.DATOS-PROD'!AJ$2,'1.PUNTOS'!$A$1:$B$63,2,0),0)</f>
        <v>0</v>
      </c>
      <c r="AB109" s="138">
        <f>IF('1.DATOS-PROD'!AK110="SI",VLOOKUP('1.DATOS-PROD'!AK$2,'1.PUNTOS'!$A$1:$B$63,2,0),0)</f>
        <v>0</v>
      </c>
      <c r="AC109" s="138">
        <f>IF('1.DATOS-PROD'!AL110="SI",VLOOKUP('1.DATOS-PROD'!AL$2,'1.PUNTOS'!$A$1:$B$63,2,0),0)</f>
        <v>0</v>
      </c>
      <c r="AD109" s="138">
        <f>IF('1.DATOS-PROD'!AM110="SI",VLOOKUP('1.DATOS-PROD'!AM$2,'1.PUNTOS'!$A$1:$B$63,2,0),0)</f>
        <v>0</v>
      </c>
      <c r="AE109" s="138">
        <f>IF('1.DATOS-PROD'!AN110="SI",VLOOKUP('1.DATOS-PROD'!AN$2,'1.PUNTOS'!$A$1:$B$63,2,0),0)</f>
        <v>0</v>
      </c>
      <c r="AF109" s="138">
        <f>IF('1.DATOS-PROD'!AO110="SI",VLOOKUP('1.DATOS-PROD'!AO$2,'1.PUNTOS'!$A$1:$B$63,2,0),0)</f>
        <v>0</v>
      </c>
      <c r="AG109" s="138">
        <f>IF('1.DATOS-PROD'!AP110="SI",VLOOKUP('1.DATOS-PROD'!AP$2,'1.PUNTOS'!$A$1:$B$63,2,0),0)</f>
        <v>0</v>
      </c>
      <c r="AH109" s="138">
        <f>IF('1.DATOS-PROD'!AQ110="SI",VLOOKUP('1.DATOS-PROD'!AQ$2,'1.PUNTOS'!$A$1:$B$63,2,0),0)</f>
        <v>0</v>
      </c>
      <c r="AI109" s="138">
        <f>IF('1.DATOS-PROD'!AR110="SI",VLOOKUP('1.DATOS-PROD'!AR$2,'1.PUNTOS'!$A$1:$B$63,2,0),0)</f>
        <v>0</v>
      </c>
      <c r="AJ109" s="138">
        <f>IF('1.DATOS-PROD'!AS110="SI",VLOOKUP('1.DATOS-PROD'!AS$2,'1.PUNTOS'!$A$1:$B$63,2,0),0)</f>
        <v>0</v>
      </c>
      <c r="AK109" s="138">
        <f>IF('1.DATOS-PROD'!AT110="SI",VLOOKUP('1.DATOS-PROD'!AT$2,'1.PUNTOS'!$A$1:$B$63,2,0),0)</f>
        <v>0</v>
      </c>
      <c r="AL109" s="138">
        <f>IF('1.DATOS-PROD'!AU110="SI",VLOOKUP('1.DATOS-PROD'!AU$2,'1.PUNTOS'!$A$1:$B$63,2,0),0)</f>
        <v>0</v>
      </c>
      <c r="AM109" s="138">
        <f>IF('1.DATOS-PROD'!AV110="SI",VLOOKUP('1.DATOS-PROD'!AV$2,'1.PUNTOS'!$A$1:$B$63,2,0),0)</f>
        <v>0</v>
      </c>
      <c r="AN109" s="138">
        <f>IF('1.DATOS-PROD'!AW110="SI",VLOOKUP('1.DATOS-PROD'!AW$2,'1.PUNTOS'!$A$1:$B$63,2,0),0)</f>
        <v>0</v>
      </c>
      <c r="AO109" s="138">
        <f>IF('1.DATOS-PROD'!AX110="SI",VLOOKUP('1.DATOS-PROD'!AX$2,'1.PUNTOS'!$A$1:$B$63,2,0),0)</f>
        <v>0</v>
      </c>
      <c r="AP109" s="138">
        <f>IF('1.DATOS-PROD'!AY110="SI",VLOOKUP('1.DATOS-PROD'!AY$2,'1.PUNTOS'!$A$1:$B$63,2,0),0)</f>
        <v>0</v>
      </c>
      <c r="AQ109" s="138">
        <f>IF('1.DATOS-PROD'!AZ110="SI",VLOOKUP('1.DATOS-PROD'!AZ$2,'1.PUNTOS'!$A$1:$B$63,2,0),0)</f>
        <v>0</v>
      </c>
      <c r="AR109" s="138">
        <f>IF('1.DATOS-PROD'!BA110="SI",VLOOKUP('1.DATOS-PROD'!BA$2,'1.PUNTOS'!$A$1:$B$63,2,0),0)</f>
        <v>0</v>
      </c>
      <c r="AS109" s="138">
        <f>IF('1.DATOS-PROD'!BB110="SI",VLOOKUP('1.DATOS-PROD'!BB$2,'1.PUNTOS'!$A$1:$B$63,2,0),0)</f>
        <v>0</v>
      </c>
      <c r="AT109" s="138">
        <f>IF('1.DATOS-PROD'!BC110="SI",VLOOKUP('1.DATOS-PROD'!BC$2,'1.PUNTOS'!$A$1:$B$63,2,0),0)</f>
        <v>0</v>
      </c>
      <c r="AU109" s="138">
        <f>IF('1.DATOS-PROD'!BD110="SI",VLOOKUP('1.DATOS-PROD'!BD$2,'1.PUNTOS'!$A$1:$B$63,2,0),0)</f>
        <v>0</v>
      </c>
      <c r="AV109" s="138">
        <f>IF('1.DATOS-PROD'!BE110="SI",VLOOKUP('1.DATOS-PROD'!BE$2,'1.PUNTOS'!$A$1:$B$63,2,0),0)</f>
        <v>0</v>
      </c>
      <c r="AW109" s="138">
        <f>IF('1.DATOS-PROD'!BF110="SI",VLOOKUP('1.DATOS-PROD'!BF$2,'1.PUNTOS'!$A$1:$B$63,2,0),0)</f>
        <v>0</v>
      </c>
      <c r="AX109" s="138">
        <f>IF('1.DATOS-PROD'!BG110="SI",VLOOKUP('1.DATOS-PROD'!BG$2,'1.PUNTOS'!$A$1:$B$63,2,0),0)</f>
        <v>0</v>
      </c>
      <c r="AY109" s="138">
        <f>IF('1.DATOS-PROD'!BH110="SI",VLOOKUP('1.DATOS-PROD'!BH$2,'1.PUNTOS'!$A$1:$B$63,2,0),0)</f>
        <v>0</v>
      </c>
      <c r="AZ109" s="138">
        <f>IF('1.DATOS-PROD'!BI110="SI",VLOOKUP('1.DATOS-PROD'!BI$2,'1.PUNTOS'!$A$1:$B$63,2,0),0)</f>
        <v>0</v>
      </c>
      <c r="BA109" s="138">
        <f>IF('1.DATOS-PROD'!BJ110="SI",VLOOKUP('1.DATOS-PROD'!BJ$2,'1.PUNTOS'!$A$1:$B$63,2,0),0)</f>
        <v>0</v>
      </c>
      <c r="BB109" s="138">
        <f>IF('1.DATOS-PROD'!BK110="SI",VLOOKUP('1.DATOS-PROD'!BK$2,'1.PUNTOS'!$A$1:$B$63,2,0),0)</f>
        <v>0</v>
      </c>
      <c r="BC109" s="138">
        <f>IF('1.DATOS-PROD'!BL110="SI",VLOOKUP('1.DATOS-PROD'!BL$2,'1.PUNTOS'!$A$1:$B$63,2,0),0)</f>
        <v>0</v>
      </c>
      <c r="BD109" s="138">
        <f>IF('1.DATOS-PROD'!BM110="SI",VLOOKUP('1.DATOS-PROD'!BM$2,'1.PUNTOS'!$A$1:$B$63,2,0),0)</f>
        <v>0</v>
      </c>
      <c r="BE109" s="138">
        <f>IF('1.DATOS-PROD'!BN110="SI",VLOOKUP('1.DATOS-PROD'!BN$2,'1.PUNTOS'!$A$1:$B$63,2,0),0)</f>
        <v>0</v>
      </c>
      <c r="BF109" s="138">
        <f>IF('1.DATOS-PROD'!BO110="SI",VLOOKUP('1.DATOS-PROD'!BO$2,'1.PUNTOS'!$A$1:$B$63,2,0),0)</f>
        <v>0</v>
      </c>
      <c r="BG109" s="138">
        <f>IF('1.DATOS-PROD'!BP110="SI",VLOOKUP('1.DATOS-PROD'!BP$2,'1.PUNTOS'!$A$1:$B$63,2,0),0)</f>
        <v>0</v>
      </c>
      <c r="BH109" s="138">
        <f>IF('1.DATOS-PROD'!BQ110="SI",VLOOKUP('1.DATOS-PROD'!BQ$2,'1.PUNTOS'!$A$1:$B$63,2,0),0)</f>
        <v>0</v>
      </c>
      <c r="BI109" s="138">
        <f>IF('1.DATOS-PROD'!BR110="SI",VLOOKUP('1.DATOS-PROD'!BR$2,'1.PUNTOS'!$A$1:$B$63,2,0),0)</f>
        <v>0</v>
      </c>
      <c r="BJ109" s="138">
        <f>IF('1.DATOS-PROD'!BS110="SI",VLOOKUP('1.DATOS-PROD'!BS$2,'1.PUNTOS'!$A$1:$B$63,2,0),0)</f>
        <v>0</v>
      </c>
      <c r="BK109" s="138">
        <f>IF('1.DATOS-PROD'!BT110="SI",VLOOKUP('1.DATOS-PROD'!BT$2,'1.PUNTOS'!$A$1:$B$63,2,0),0)</f>
        <v>0</v>
      </c>
    </row>
    <row r="110" spans="1:63" x14ac:dyDescent="0.25">
      <c r="A110">
        <f>'0.Consolidado general'!$A111</f>
        <v>0</v>
      </c>
      <c r="B110" s="138">
        <f>IF('1.DATOS-PROD'!K111="SI",VLOOKUP('1.DATOS-PROD'!K$2,'1.PUNTOS'!$A$1:$B$63,2,0),0)</f>
        <v>0</v>
      </c>
      <c r="C110" s="138">
        <f>IF('1.DATOS-PROD'!L111="SI",VLOOKUP('1.DATOS-PROD'!L$2,'1.PUNTOS'!$A$1:$B$63,2,0),0)</f>
        <v>0</v>
      </c>
      <c r="D110" s="138">
        <f>IF('1.DATOS-PROD'!M111="SI",VLOOKUP('1.DATOS-PROD'!M$2,'1.PUNTOS'!$A$1:$B$63,2,0),0)</f>
        <v>0</v>
      </c>
      <c r="E110" s="138">
        <f>IF('1.DATOS-PROD'!N111="SI",VLOOKUP('1.DATOS-PROD'!N$2,'1.PUNTOS'!$A$1:$B$63,2,0),0)</f>
        <v>0</v>
      </c>
      <c r="F110" s="138">
        <f>IF('1.DATOS-PROD'!O111="SI",VLOOKUP('1.DATOS-PROD'!O$2,'1.PUNTOS'!$A$1:$B$63,2,0),0)</f>
        <v>0</v>
      </c>
      <c r="G110" s="138">
        <f>IF('1.DATOS-PROD'!P111="SI",VLOOKUP('1.DATOS-PROD'!P$2,'1.PUNTOS'!$A$1:$B$63,2,0),0)</f>
        <v>0</v>
      </c>
      <c r="H110" s="138">
        <f>IF('1.DATOS-PROD'!Q111="SI",VLOOKUP('1.DATOS-PROD'!Q$2,'1.PUNTOS'!$A$1:$B$63,2,0),0)</f>
        <v>0</v>
      </c>
      <c r="I110" s="138">
        <f>IF('1.DATOS-PROD'!R111="SI",VLOOKUP('1.DATOS-PROD'!R$2,'1.PUNTOS'!$A$1:$B$63,2,0),0)</f>
        <v>0</v>
      </c>
      <c r="J110" s="138">
        <f>IF('1.DATOS-PROD'!S111="SI",VLOOKUP('1.DATOS-PROD'!S$2,'1.PUNTOS'!$A$1:$B$63,2,0),0)</f>
        <v>0</v>
      </c>
      <c r="K110" s="138">
        <f>IF('1.DATOS-PROD'!T111="SI",VLOOKUP('1.DATOS-PROD'!T$2,'1.PUNTOS'!$A$1:$B$63,2,0),0)</f>
        <v>0</v>
      </c>
      <c r="L110" s="138">
        <f>IF('1.DATOS-PROD'!U111="SI",VLOOKUP('1.DATOS-PROD'!U$2,'1.PUNTOS'!$A$1:$B$63,2,0),0)</f>
        <v>0</v>
      </c>
      <c r="M110" s="138">
        <f>IF('1.DATOS-PROD'!V111="SI",VLOOKUP('1.DATOS-PROD'!V$2,'1.PUNTOS'!$A$1:$B$63,2,0),0)</f>
        <v>0</v>
      </c>
      <c r="N110" s="138">
        <f>IF('1.DATOS-PROD'!W111="SI",VLOOKUP('1.DATOS-PROD'!W$2,'1.PUNTOS'!$A$1:$B$63,2,0),0)</f>
        <v>0</v>
      </c>
      <c r="O110" s="138">
        <f>IF('1.DATOS-PROD'!X111="SI",VLOOKUP('1.DATOS-PROD'!X$2,'1.PUNTOS'!$A$1:$B$63,2,0),0)</f>
        <v>0</v>
      </c>
      <c r="P110" s="138">
        <f>IF('1.DATOS-PROD'!Y111="SI",VLOOKUP('1.DATOS-PROD'!Y$2,'1.PUNTOS'!$A$1:$B$63,2,0),0)</f>
        <v>0</v>
      </c>
      <c r="Q110" s="138">
        <f>IF('1.DATOS-PROD'!Z111="SI",VLOOKUP('1.DATOS-PROD'!Z$2,'1.PUNTOS'!$A$1:$B$63,2,0),0)</f>
        <v>0</v>
      </c>
      <c r="R110" s="138">
        <f>IF('1.DATOS-PROD'!AA111="SI",VLOOKUP('1.DATOS-PROD'!AA$2,'1.PUNTOS'!$A$1:$B$63,2,0),0)</f>
        <v>0</v>
      </c>
      <c r="S110" s="138">
        <f>IF('1.DATOS-PROD'!AB111="SI",VLOOKUP('1.DATOS-PROD'!AB$2,'1.PUNTOS'!$A$1:$B$63,2,0),0)</f>
        <v>0</v>
      </c>
      <c r="T110" s="138">
        <f>IF('1.DATOS-PROD'!AC111="SI",VLOOKUP('1.DATOS-PROD'!AC$2,'1.PUNTOS'!$A$1:$B$63,2,0),0)</f>
        <v>0</v>
      </c>
      <c r="U110" s="138">
        <f>IF('1.DATOS-PROD'!AD111="SI",VLOOKUP('1.DATOS-PROD'!AD$2,'1.PUNTOS'!$A$1:$B$63,2,0),0)</f>
        <v>0</v>
      </c>
      <c r="V110" s="138">
        <f>IF('1.DATOS-PROD'!AE111="SI",VLOOKUP('1.DATOS-PROD'!AE$2,'1.PUNTOS'!$A$1:$B$63,2,0),0)</f>
        <v>0</v>
      </c>
      <c r="W110" s="138">
        <f>IF('1.DATOS-PROD'!AF111="SI",VLOOKUP('1.DATOS-PROD'!AF$2,'1.PUNTOS'!$A$1:$B$63,2,0),0)</f>
        <v>0</v>
      </c>
      <c r="X110" s="138">
        <f>IF('1.DATOS-PROD'!AG111="SI",VLOOKUP('1.DATOS-PROD'!AG$2,'1.PUNTOS'!$A$1:$B$63,2,0),0)</f>
        <v>0</v>
      </c>
      <c r="Y110" s="138">
        <f>IF('1.DATOS-PROD'!AH111="SI",VLOOKUP('1.DATOS-PROD'!AH$2,'1.PUNTOS'!$A$1:$B$63,2,0),0)</f>
        <v>0</v>
      </c>
      <c r="Z110" s="138">
        <f>IF('1.DATOS-PROD'!AI111="SI",VLOOKUP('1.DATOS-PROD'!AI$2,'1.PUNTOS'!$A$1:$B$63,2,0),0)</f>
        <v>0</v>
      </c>
      <c r="AA110" s="138">
        <f>IF('1.DATOS-PROD'!AJ111="SI",VLOOKUP('1.DATOS-PROD'!AJ$2,'1.PUNTOS'!$A$1:$B$63,2,0),0)</f>
        <v>0</v>
      </c>
      <c r="AB110" s="138">
        <f>IF('1.DATOS-PROD'!AK111="SI",VLOOKUP('1.DATOS-PROD'!AK$2,'1.PUNTOS'!$A$1:$B$63,2,0),0)</f>
        <v>0</v>
      </c>
      <c r="AC110" s="138">
        <f>IF('1.DATOS-PROD'!AL111="SI",VLOOKUP('1.DATOS-PROD'!AL$2,'1.PUNTOS'!$A$1:$B$63,2,0),0)</f>
        <v>0</v>
      </c>
      <c r="AD110" s="138">
        <f>IF('1.DATOS-PROD'!AM111="SI",VLOOKUP('1.DATOS-PROD'!AM$2,'1.PUNTOS'!$A$1:$B$63,2,0),0)</f>
        <v>0</v>
      </c>
      <c r="AE110" s="138">
        <f>IF('1.DATOS-PROD'!AN111="SI",VLOOKUP('1.DATOS-PROD'!AN$2,'1.PUNTOS'!$A$1:$B$63,2,0),0)</f>
        <v>0</v>
      </c>
      <c r="AF110" s="138">
        <f>IF('1.DATOS-PROD'!AO111="SI",VLOOKUP('1.DATOS-PROD'!AO$2,'1.PUNTOS'!$A$1:$B$63,2,0),0)</f>
        <v>0</v>
      </c>
      <c r="AG110" s="138">
        <f>IF('1.DATOS-PROD'!AP111="SI",VLOOKUP('1.DATOS-PROD'!AP$2,'1.PUNTOS'!$A$1:$B$63,2,0),0)</f>
        <v>0</v>
      </c>
      <c r="AH110" s="138">
        <f>IF('1.DATOS-PROD'!AQ111="SI",VLOOKUP('1.DATOS-PROD'!AQ$2,'1.PUNTOS'!$A$1:$B$63,2,0),0)</f>
        <v>0</v>
      </c>
      <c r="AI110" s="138">
        <f>IF('1.DATOS-PROD'!AR111="SI",VLOOKUP('1.DATOS-PROD'!AR$2,'1.PUNTOS'!$A$1:$B$63,2,0),0)</f>
        <v>0</v>
      </c>
      <c r="AJ110" s="138">
        <f>IF('1.DATOS-PROD'!AS111="SI",VLOOKUP('1.DATOS-PROD'!AS$2,'1.PUNTOS'!$A$1:$B$63,2,0),0)</f>
        <v>0</v>
      </c>
      <c r="AK110" s="138">
        <f>IF('1.DATOS-PROD'!AT111="SI",VLOOKUP('1.DATOS-PROD'!AT$2,'1.PUNTOS'!$A$1:$B$63,2,0),0)</f>
        <v>0</v>
      </c>
      <c r="AL110" s="138">
        <f>IF('1.DATOS-PROD'!AU111="SI",VLOOKUP('1.DATOS-PROD'!AU$2,'1.PUNTOS'!$A$1:$B$63,2,0),0)</f>
        <v>0</v>
      </c>
      <c r="AM110" s="138">
        <f>IF('1.DATOS-PROD'!AV111="SI",VLOOKUP('1.DATOS-PROD'!AV$2,'1.PUNTOS'!$A$1:$B$63,2,0),0)</f>
        <v>0</v>
      </c>
      <c r="AN110" s="138">
        <f>IF('1.DATOS-PROD'!AW111="SI",VLOOKUP('1.DATOS-PROD'!AW$2,'1.PUNTOS'!$A$1:$B$63,2,0),0)</f>
        <v>0</v>
      </c>
      <c r="AO110" s="138">
        <f>IF('1.DATOS-PROD'!AX111="SI",VLOOKUP('1.DATOS-PROD'!AX$2,'1.PUNTOS'!$A$1:$B$63,2,0),0)</f>
        <v>0</v>
      </c>
      <c r="AP110" s="138">
        <f>IF('1.DATOS-PROD'!AY111="SI",VLOOKUP('1.DATOS-PROD'!AY$2,'1.PUNTOS'!$A$1:$B$63,2,0),0)</f>
        <v>0</v>
      </c>
      <c r="AQ110" s="138">
        <f>IF('1.DATOS-PROD'!AZ111="SI",VLOOKUP('1.DATOS-PROD'!AZ$2,'1.PUNTOS'!$A$1:$B$63,2,0),0)</f>
        <v>0</v>
      </c>
      <c r="AR110" s="138">
        <f>IF('1.DATOS-PROD'!BA111="SI",VLOOKUP('1.DATOS-PROD'!BA$2,'1.PUNTOS'!$A$1:$B$63,2,0),0)</f>
        <v>0</v>
      </c>
      <c r="AS110" s="138">
        <f>IF('1.DATOS-PROD'!BB111="SI",VLOOKUP('1.DATOS-PROD'!BB$2,'1.PUNTOS'!$A$1:$B$63,2,0),0)</f>
        <v>0</v>
      </c>
      <c r="AT110" s="138">
        <f>IF('1.DATOS-PROD'!BC111="SI",VLOOKUP('1.DATOS-PROD'!BC$2,'1.PUNTOS'!$A$1:$B$63,2,0),0)</f>
        <v>0</v>
      </c>
      <c r="AU110" s="138">
        <f>IF('1.DATOS-PROD'!BD111="SI",VLOOKUP('1.DATOS-PROD'!BD$2,'1.PUNTOS'!$A$1:$B$63,2,0),0)</f>
        <v>0</v>
      </c>
      <c r="AV110" s="138">
        <f>IF('1.DATOS-PROD'!BE111="SI",VLOOKUP('1.DATOS-PROD'!BE$2,'1.PUNTOS'!$A$1:$B$63,2,0),0)</f>
        <v>0</v>
      </c>
      <c r="AW110" s="138">
        <f>IF('1.DATOS-PROD'!BF111="SI",VLOOKUP('1.DATOS-PROD'!BF$2,'1.PUNTOS'!$A$1:$B$63,2,0),0)</f>
        <v>0</v>
      </c>
      <c r="AX110" s="138">
        <f>IF('1.DATOS-PROD'!BG111="SI",VLOOKUP('1.DATOS-PROD'!BG$2,'1.PUNTOS'!$A$1:$B$63,2,0),0)</f>
        <v>0</v>
      </c>
      <c r="AY110" s="138">
        <f>IF('1.DATOS-PROD'!BH111="SI",VLOOKUP('1.DATOS-PROD'!BH$2,'1.PUNTOS'!$A$1:$B$63,2,0),0)</f>
        <v>0</v>
      </c>
      <c r="AZ110" s="138">
        <f>IF('1.DATOS-PROD'!BI111="SI",VLOOKUP('1.DATOS-PROD'!BI$2,'1.PUNTOS'!$A$1:$B$63,2,0),0)</f>
        <v>0</v>
      </c>
      <c r="BA110" s="138">
        <f>IF('1.DATOS-PROD'!BJ111="SI",VLOOKUP('1.DATOS-PROD'!BJ$2,'1.PUNTOS'!$A$1:$B$63,2,0),0)</f>
        <v>0</v>
      </c>
      <c r="BB110" s="138">
        <f>IF('1.DATOS-PROD'!BK111="SI",VLOOKUP('1.DATOS-PROD'!BK$2,'1.PUNTOS'!$A$1:$B$63,2,0),0)</f>
        <v>0</v>
      </c>
      <c r="BC110" s="138">
        <f>IF('1.DATOS-PROD'!BL111="SI",VLOOKUP('1.DATOS-PROD'!BL$2,'1.PUNTOS'!$A$1:$B$63,2,0),0)</f>
        <v>0</v>
      </c>
      <c r="BD110" s="138">
        <f>IF('1.DATOS-PROD'!BM111="SI",VLOOKUP('1.DATOS-PROD'!BM$2,'1.PUNTOS'!$A$1:$B$63,2,0),0)</f>
        <v>0</v>
      </c>
      <c r="BE110" s="138">
        <f>IF('1.DATOS-PROD'!BN111="SI",VLOOKUP('1.DATOS-PROD'!BN$2,'1.PUNTOS'!$A$1:$B$63,2,0),0)</f>
        <v>0</v>
      </c>
      <c r="BF110" s="138">
        <f>IF('1.DATOS-PROD'!BO111="SI",VLOOKUP('1.DATOS-PROD'!BO$2,'1.PUNTOS'!$A$1:$B$63,2,0),0)</f>
        <v>0</v>
      </c>
      <c r="BG110" s="138">
        <f>IF('1.DATOS-PROD'!BP111="SI",VLOOKUP('1.DATOS-PROD'!BP$2,'1.PUNTOS'!$A$1:$B$63,2,0),0)</f>
        <v>0</v>
      </c>
      <c r="BH110" s="138">
        <f>IF('1.DATOS-PROD'!BQ111="SI",VLOOKUP('1.DATOS-PROD'!BQ$2,'1.PUNTOS'!$A$1:$B$63,2,0),0)</f>
        <v>0</v>
      </c>
      <c r="BI110" s="138">
        <f>IF('1.DATOS-PROD'!BR111="SI",VLOOKUP('1.DATOS-PROD'!BR$2,'1.PUNTOS'!$A$1:$B$63,2,0),0)</f>
        <v>0</v>
      </c>
      <c r="BJ110" s="138">
        <f>IF('1.DATOS-PROD'!BS111="SI",VLOOKUP('1.DATOS-PROD'!BS$2,'1.PUNTOS'!$A$1:$B$63,2,0),0)</f>
        <v>0</v>
      </c>
      <c r="BK110" s="138">
        <f>IF('1.DATOS-PROD'!BT111="SI",VLOOKUP('1.DATOS-PROD'!BT$2,'1.PUNTOS'!$A$1:$B$63,2,0),0)</f>
        <v>0</v>
      </c>
    </row>
    <row r="111" spans="1:63" x14ac:dyDescent="0.25">
      <c r="A111">
        <f>'0.Consolidado general'!$A112</f>
        <v>0</v>
      </c>
      <c r="B111" s="138">
        <f>IF('1.DATOS-PROD'!K112="SI",VLOOKUP('1.DATOS-PROD'!K$2,'1.PUNTOS'!$A$1:$B$63,2,0),0)</f>
        <v>0</v>
      </c>
      <c r="C111" s="138">
        <f>IF('1.DATOS-PROD'!L112="SI",VLOOKUP('1.DATOS-PROD'!L$2,'1.PUNTOS'!$A$1:$B$63,2,0),0)</f>
        <v>0</v>
      </c>
      <c r="D111" s="138">
        <f>IF('1.DATOS-PROD'!M112="SI",VLOOKUP('1.DATOS-PROD'!M$2,'1.PUNTOS'!$A$1:$B$63,2,0),0)</f>
        <v>0</v>
      </c>
      <c r="E111" s="138">
        <f>IF('1.DATOS-PROD'!N112="SI",VLOOKUP('1.DATOS-PROD'!N$2,'1.PUNTOS'!$A$1:$B$63,2,0),0)</f>
        <v>0</v>
      </c>
      <c r="F111" s="138">
        <f>IF('1.DATOS-PROD'!O112="SI",VLOOKUP('1.DATOS-PROD'!O$2,'1.PUNTOS'!$A$1:$B$63,2,0),0)</f>
        <v>0</v>
      </c>
      <c r="G111" s="138">
        <f>IF('1.DATOS-PROD'!P112="SI",VLOOKUP('1.DATOS-PROD'!P$2,'1.PUNTOS'!$A$1:$B$63,2,0),0)</f>
        <v>0</v>
      </c>
      <c r="H111" s="138">
        <f>IF('1.DATOS-PROD'!Q112="SI",VLOOKUP('1.DATOS-PROD'!Q$2,'1.PUNTOS'!$A$1:$B$63,2,0),0)</f>
        <v>0</v>
      </c>
      <c r="I111" s="138">
        <f>IF('1.DATOS-PROD'!R112="SI",VLOOKUP('1.DATOS-PROD'!R$2,'1.PUNTOS'!$A$1:$B$63,2,0),0)</f>
        <v>0</v>
      </c>
      <c r="J111" s="138">
        <f>IF('1.DATOS-PROD'!S112="SI",VLOOKUP('1.DATOS-PROD'!S$2,'1.PUNTOS'!$A$1:$B$63,2,0),0)</f>
        <v>0</v>
      </c>
      <c r="K111" s="138">
        <f>IF('1.DATOS-PROD'!T112="SI",VLOOKUP('1.DATOS-PROD'!T$2,'1.PUNTOS'!$A$1:$B$63,2,0),0)</f>
        <v>0</v>
      </c>
      <c r="L111" s="138">
        <f>IF('1.DATOS-PROD'!U112="SI",VLOOKUP('1.DATOS-PROD'!U$2,'1.PUNTOS'!$A$1:$B$63,2,0),0)</f>
        <v>0</v>
      </c>
      <c r="M111" s="138">
        <f>IF('1.DATOS-PROD'!V112="SI",VLOOKUP('1.DATOS-PROD'!V$2,'1.PUNTOS'!$A$1:$B$63,2,0),0)</f>
        <v>0</v>
      </c>
      <c r="N111" s="138">
        <f>IF('1.DATOS-PROD'!W112="SI",VLOOKUP('1.DATOS-PROD'!W$2,'1.PUNTOS'!$A$1:$B$63,2,0),0)</f>
        <v>0</v>
      </c>
      <c r="O111" s="138">
        <f>IF('1.DATOS-PROD'!X112="SI",VLOOKUP('1.DATOS-PROD'!X$2,'1.PUNTOS'!$A$1:$B$63,2,0),0)</f>
        <v>0</v>
      </c>
      <c r="P111" s="138">
        <f>IF('1.DATOS-PROD'!Y112="SI",VLOOKUP('1.DATOS-PROD'!Y$2,'1.PUNTOS'!$A$1:$B$63,2,0),0)</f>
        <v>0</v>
      </c>
      <c r="Q111" s="138">
        <f>IF('1.DATOS-PROD'!Z112="SI",VLOOKUP('1.DATOS-PROD'!Z$2,'1.PUNTOS'!$A$1:$B$63,2,0),0)</f>
        <v>0</v>
      </c>
      <c r="R111" s="138">
        <f>IF('1.DATOS-PROD'!AA112="SI",VLOOKUP('1.DATOS-PROD'!AA$2,'1.PUNTOS'!$A$1:$B$63,2,0),0)</f>
        <v>0</v>
      </c>
      <c r="S111" s="138">
        <f>IF('1.DATOS-PROD'!AB112="SI",VLOOKUP('1.DATOS-PROD'!AB$2,'1.PUNTOS'!$A$1:$B$63,2,0),0)</f>
        <v>0</v>
      </c>
      <c r="T111" s="138">
        <f>IF('1.DATOS-PROD'!AC112="SI",VLOOKUP('1.DATOS-PROD'!AC$2,'1.PUNTOS'!$A$1:$B$63,2,0),0)</f>
        <v>0</v>
      </c>
      <c r="U111" s="138">
        <f>IF('1.DATOS-PROD'!AD112="SI",VLOOKUP('1.DATOS-PROD'!AD$2,'1.PUNTOS'!$A$1:$B$63,2,0),0)</f>
        <v>0</v>
      </c>
      <c r="V111" s="138">
        <f>IF('1.DATOS-PROD'!AE112="SI",VLOOKUP('1.DATOS-PROD'!AE$2,'1.PUNTOS'!$A$1:$B$63,2,0),0)</f>
        <v>0</v>
      </c>
      <c r="W111" s="138">
        <f>IF('1.DATOS-PROD'!AF112="SI",VLOOKUP('1.DATOS-PROD'!AF$2,'1.PUNTOS'!$A$1:$B$63,2,0),0)</f>
        <v>0</v>
      </c>
      <c r="X111" s="138">
        <f>IF('1.DATOS-PROD'!AG112="SI",VLOOKUP('1.DATOS-PROD'!AG$2,'1.PUNTOS'!$A$1:$B$63,2,0),0)</f>
        <v>0</v>
      </c>
      <c r="Y111" s="138">
        <f>IF('1.DATOS-PROD'!AH112="SI",VLOOKUP('1.DATOS-PROD'!AH$2,'1.PUNTOS'!$A$1:$B$63,2,0),0)</f>
        <v>0</v>
      </c>
      <c r="Z111" s="138">
        <f>IF('1.DATOS-PROD'!AI112="SI",VLOOKUP('1.DATOS-PROD'!AI$2,'1.PUNTOS'!$A$1:$B$63,2,0),0)</f>
        <v>0</v>
      </c>
      <c r="AA111" s="138">
        <f>IF('1.DATOS-PROD'!AJ112="SI",VLOOKUP('1.DATOS-PROD'!AJ$2,'1.PUNTOS'!$A$1:$B$63,2,0),0)</f>
        <v>0</v>
      </c>
      <c r="AB111" s="138">
        <f>IF('1.DATOS-PROD'!AK112="SI",VLOOKUP('1.DATOS-PROD'!AK$2,'1.PUNTOS'!$A$1:$B$63,2,0),0)</f>
        <v>0</v>
      </c>
      <c r="AC111" s="138">
        <f>IF('1.DATOS-PROD'!AL112="SI",VLOOKUP('1.DATOS-PROD'!AL$2,'1.PUNTOS'!$A$1:$B$63,2,0),0)</f>
        <v>0</v>
      </c>
      <c r="AD111" s="138">
        <f>IF('1.DATOS-PROD'!AM112="SI",VLOOKUP('1.DATOS-PROD'!AM$2,'1.PUNTOS'!$A$1:$B$63,2,0),0)</f>
        <v>0</v>
      </c>
      <c r="AE111" s="138">
        <f>IF('1.DATOS-PROD'!AN112="SI",VLOOKUP('1.DATOS-PROD'!AN$2,'1.PUNTOS'!$A$1:$B$63,2,0),0)</f>
        <v>0</v>
      </c>
      <c r="AF111" s="138">
        <f>IF('1.DATOS-PROD'!AO112="SI",VLOOKUP('1.DATOS-PROD'!AO$2,'1.PUNTOS'!$A$1:$B$63,2,0),0)</f>
        <v>0</v>
      </c>
      <c r="AG111" s="138">
        <f>IF('1.DATOS-PROD'!AP112="SI",VLOOKUP('1.DATOS-PROD'!AP$2,'1.PUNTOS'!$A$1:$B$63,2,0),0)</f>
        <v>0</v>
      </c>
      <c r="AH111" s="138">
        <f>IF('1.DATOS-PROD'!AQ112="SI",VLOOKUP('1.DATOS-PROD'!AQ$2,'1.PUNTOS'!$A$1:$B$63,2,0),0)</f>
        <v>0</v>
      </c>
      <c r="AI111" s="138">
        <f>IF('1.DATOS-PROD'!AR112="SI",VLOOKUP('1.DATOS-PROD'!AR$2,'1.PUNTOS'!$A$1:$B$63,2,0),0)</f>
        <v>0</v>
      </c>
      <c r="AJ111" s="138">
        <f>IF('1.DATOS-PROD'!AS112="SI",VLOOKUP('1.DATOS-PROD'!AS$2,'1.PUNTOS'!$A$1:$B$63,2,0),0)</f>
        <v>0</v>
      </c>
      <c r="AK111" s="138">
        <f>IF('1.DATOS-PROD'!AT112="SI",VLOOKUP('1.DATOS-PROD'!AT$2,'1.PUNTOS'!$A$1:$B$63,2,0),0)</f>
        <v>0</v>
      </c>
      <c r="AL111" s="138">
        <f>IF('1.DATOS-PROD'!AU112="SI",VLOOKUP('1.DATOS-PROD'!AU$2,'1.PUNTOS'!$A$1:$B$63,2,0),0)</f>
        <v>0</v>
      </c>
      <c r="AM111" s="138">
        <f>IF('1.DATOS-PROD'!AV112="SI",VLOOKUP('1.DATOS-PROD'!AV$2,'1.PUNTOS'!$A$1:$B$63,2,0),0)</f>
        <v>0</v>
      </c>
      <c r="AN111" s="138">
        <f>IF('1.DATOS-PROD'!AW112="SI",VLOOKUP('1.DATOS-PROD'!AW$2,'1.PUNTOS'!$A$1:$B$63,2,0),0)</f>
        <v>0</v>
      </c>
      <c r="AO111" s="138">
        <f>IF('1.DATOS-PROD'!AX112="SI",VLOOKUP('1.DATOS-PROD'!AX$2,'1.PUNTOS'!$A$1:$B$63,2,0),0)</f>
        <v>0</v>
      </c>
      <c r="AP111" s="138">
        <f>IF('1.DATOS-PROD'!AY112="SI",VLOOKUP('1.DATOS-PROD'!AY$2,'1.PUNTOS'!$A$1:$B$63,2,0),0)</f>
        <v>0</v>
      </c>
      <c r="AQ111" s="138">
        <f>IF('1.DATOS-PROD'!AZ112="SI",VLOOKUP('1.DATOS-PROD'!AZ$2,'1.PUNTOS'!$A$1:$B$63,2,0),0)</f>
        <v>0</v>
      </c>
      <c r="AR111" s="138">
        <f>IF('1.DATOS-PROD'!BA112="SI",VLOOKUP('1.DATOS-PROD'!BA$2,'1.PUNTOS'!$A$1:$B$63,2,0),0)</f>
        <v>0</v>
      </c>
      <c r="AS111" s="138">
        <f>IF('1.DATOS-PROD'!BB112="SI",VLOOKUP('1.DATOS-PROD'!BB$2,'1.PUNTOS'!$A$1:$B$63,2,0),0)</f>
        <v>0</v>
      </c>
      <c r="AT111" s="138">
        <f>IF('1.DATOS-PROD'!BC112="SI",VLOOKUP('1.DATOS-PROD'!BC$2,'1.PUNTOS'!$A$1:$B$63,2,0),0)</f>
        <v>0</v>
      </c>
      <c r="AU111" s="138">
        <f>IF('1.DATOS-PROD'!BD112="SI",VLOOKUP('1.DATOS-PROD'!BD$2,'1.PUNTOS'!$A$1:$B$63,2,0),0)</f>
        <v>0</v>
      </c>
      <c r="AV111" s="138">
        <f>IF('1.DATOS-PROD'!BE112="SI",VLOOKUP('1.DATOS-PROD'!BE$2,'1.PUNTOS'!$A$1:$B$63,2,0),0)</f>
        <v>0</v>
      </c>
      <c r="AW111" s="138">
        <f>IF('1.DATOS-PROD'!BF112="SI",VLOOKUP('1.DATOS-PROD'!BF$2,'1.PUNTOS'!$A$1:$B$63,2,0),0)</f>
        <v>0</v>
      </c>
      <c r="AX111" s="138">
        <f>IF('1.DATOS-PROD'!BG112="SI",VLOOKUP('1.DATOS-PROD'!BG$2,'1.PUNTOS'!$A$1:$B$63,2,0),0)</f>
        <v>0</v>
      </c>
      <c r="AY111" s="138">
        <f>IF('1.DATOS-PROD'!BH112="SI",VLOOKUP('1.DATOS-PROD'!BH$2,'1.PUNTOS'!$A$1:$B$63,2,0),0)</f>
        <v>0</v>
      </c>
      <c r="AZ111" s="138">
        <f>IF('1.DATOS-PROD'!BI112="SI",VLOOKUP('1.DATOS-PROD'!BI$2,'1.PUNTOS'!$A$1:$B$63,2,0),0)</f>
        <v>0</v>
      </c>
      <c r="BA111" s="138">
        <f>IF('1.DATOS-PROD'!BJ112="SI",VLOOKUP('1.DATOS-PROD'!BJ$2,'1.PUNTOS'!$A$1:$B$63,2,0),0)</f>
        <v>0</v>
      </c>
      <c r="BB111" s="138">
        <f>IF('1.DATOS-PROD'!BK112="SI",VLOOKUP('1.DATOS-PROD'!BK$2,'1.PUNTOS'!$A$1:$B$63,2,0),0)</f>
        <v>0</v>
      </c>
      <c r="BC111" s="138">
        <f>IF('1.DATOS-PROD'!BL112="SI",VLOOKUP('1.DATOS-PROD'!BL$2,'1.PUNTOS'!$A$1:$B$63,2,0),0)</f>
        <v>0</v>
      </c>
      <c r="BD111" s="138">
        <f>IF('1.DATOS-PROD'!BM112="SI",VLOOKUP('1.DATOS-PROD'!BM$2,'1.PUNTOS'!$A$1:$B$63,2,0),0)</f>
        <v>0</v>
      </c>
      <c r="BE111" s="138">
        <f>IF('1.DATOS-PROD'!BN112="SI",VLOOKUP('1.DATOS-PROD'!BN$2,'1.PUNTOS'!$A$1:$B$63,2,0),0)</f>
        <v>0</v>
      </c>
      <c r="BF111" s="138">
        <f>IF('1.DATOS-PROD'!BO112="SI",VLOOKUP('1.DATOS-PROD'!BO$2,'1.PUNTOS'!$A$1:$B$63,2,0),0)</f>
        <v>0</v>
      </c>
      <c r="BG111" s="138">
        <f>IF('1.DATOS-PROD'!BP112="SI",VLOOKUP('1.DATOS-PROD'!BP$2,'1.PUNTOS'!$A$1:$B$63,2,0),0)</f>
        <v>0</v>
      </c>
      <c r="BH111" s="138">
        <f>IF('1.DATOS-PROD'!BQ112="SI",VLOOKUP('1.DATOS-PROD'!BQ$2,'1.PUNTOS'!$A$1:$B$63,2,0),0)</f>
        <v>0</v>
      </c>
      <c r="BI111" s="138">
        <f>IF('1.DATOS-PROD'!BR112="SI",VLOOKUP('1.DATOS-PROD'!BR$2,'1.PUNTOS'!$A$1:$B$63,2,0),0)</f>
        <v>0</v>
      </c>
      <c r="BJ111" s="138">
        <f>IF('1.DATOS-PROD'!BS112="SI",VLOOKUP('1.DATOS-PROD'!BS$2,'1.PUNTOS'!$A$1:$B$63,2,0),0)</f>
        <v>0</v>
      </c>
      <c r="BK111" s="138">
        <f>IF('1.DATOS-PROD'!BT112="SI",VLOOKUP('1.DATOS-PROD'!BT$2,'1.PUNTOS'!$A$1:$B$63,2,0),0)</f>
        <v>0</v>
      </c>
    </row>
    <row r="112" spans="1:63" x14ac:dyDescent="0.25">
      <c r="A112">
        <f>'0.Consolidado general'!$A113</f>
        <v>0</v>
      </c>
      <c r="B112" s="138">
        <f>IF('1.DATOS-PROD'!K113="SI",VLOOKUP('1.DATOS-PROD'!K$2,'1.PUNTOS'!$A$1:$B$63,2,0),0)</f>
        <v>0</v>
      </c>
      <c r="C112" s="138">
        <f>IF('1.DATOS-PROD'!L113="SI",VLOOKUP('1.DATOS-PROD'!L$2,'1.PUNTOS'!$A$1:$B$63,2,0),0)</f>
        <v>0</v>
      </c>
      <c r="D112" s="138">
        <f>IF('1.DATOS-PROD'!M113="SI",VLOOKUP('1.DATOS-PROD'!M$2,'1.PUNTOS'!$A$1:$B$63,2,0),0)</f>
        <v>0</v>
      </c>
      <c r="E112" s="138">
        <f>IF('1.DATOS-PROD'!N113="SI",VLOOKUP('1.DATOS-PROD'!N$2,'1.PUNTOS'!$A$1:$B$63,2,0),0)</f>
        <v>0</v>
      </c>
      <c r="F112" s="138">
        <f>IF('1.DATOS-PROD'!O113="SI",VLOOKUP('1.DATOS-PROD'!O$2,'1.PUNTOS'!$A$1:$B$63,2,0),0)</f>
        <v>0</v>
      </c>
      <c r="G112" s="138">
        <f>IF('1.DATOS-PROD'!P113="SI",VLOOKUP('1.DATOS-PROD'!P$2,'1.PUNTOS'!$A$1:$B$63,2,0),0)</f>
        <v>0</v>
      </c>
      <c r="H112" s="138">
        <f>IF('1.DATOS-PROD'!Q113="SI",VLOOKUP('1.DATOS-PROD'!Q$2,'1.PUNTOS'!$A$1:$B$63,2,0),0)</f>
        <v>0</v>
      </c>
      <c r="I112" s="138">
        <f>IF('1.DATOS-PROD'!R113="SI",VLOOKUP('1.DATOS-PROD'!R$2,'1.PUNTOS'!$A$1:$B$63,2,0),0)</f>
        <v>0</v>
      </c>
      <c r="J112" s="138">
        <f>IF('1.DATOS-PROD'!S113="SI",VLOOKUP('1.DATOS-PROD'!S$2,'1.PUNTOS'!$A$1:$B$63,2,0),0)</f>
        <v>0</v>
      </c>
      <c r="K112" s="138">
        <f>IF('1.DATOS-PROD'!T113="SI",VLOOKUP('1.DATOS-PROD'!T$2,'1.PUNTOS'!$A$1:$B$63,2,0),0)</f>
        <v>0</v>
      </c>
      <c r="L112" s="138">
        <f>IF('1.DATOS-PROD'!U113="SI",VLOOKUP('1.DATOS-PROD'!U$2,'1.PUNTOS'!$A$1:$B$63,2,0),0)</f>
        <v>0</v>
      </c>
      <c r="M112" s="138">
        <f>IF('1.DATOS-PROD'!V113="SI",VLOOKUP('1.DATOS-PROD'!V$2,'1.PUNTOS'!$A$1:$B$63,2,0),0)</f>
        <v>0</v>
      </c>
      <c r="N112" s="138">
        <f>IF('1.DATOS-PROD'!W113="SI",VLOOKUP('1.DATOS-PROD'!W$2,'1.PUNTOS'!$A$1:$B$63,2,0),0)</f>
        <v>0</v>
      </c>
      <c r="O112" s="138">
        <f>IF('1.DATOS-PROD'!X113="SI",VLOOKUP('1.DATOS-PROD'!X$2,'1.PUNTOS'!$A$1:$B$63,2,0),0)</f>
        <v>0</v>
      </c>
      <c r="P112" s="138">
        <f>IF('1.DATOS-PROD'!Y113="SI",VLOOKUP('1.DATOS-PROD'!Y$2,'1.PUNTOS'!$A$1:$B$63,2,0),0)</f>
        <v>0</v>
      </c>
      <c r="Q112" s="138">
        <f>IF('1.DATOS-PROD'!Z113="SI",VLOOKUP('1.DATOS-PROD'!Z$2,'1.PUNTOS'!$A$1:$B$63,2,0),0)</f>
        <v>0</v>
      </c>
      <c r="R112" s="138">
        <f>IF('1.DATOS-PROD'!AA113="SI",VLOOKUP('1.DATOS-PROD'!AA$2,'1.PUNTOS'!$A$1:$B$63,2,0),0)</f>
        <v>0</v>
      </c>
      <c r="S112" s="138">
        <f>IF('1.DATOS-PROD'!AB113="SI",VLOOKUP('1.DATOS-PROD'!AB$2,'1.PUNTOS'!$A$1:$B$63,2,0),0)</f>
        <v>0</v>
      </c>
      <c r="T112" s="138">
        <f>IF('1.DATOS-PROD'!AC113="SI",VLOOKUP('1.DATOS-PROD'!AC$2,'1.PUNTOS'!$A$1:$B$63,2,0),0)</f>
        <v>0</v>
      </c>
      <c r="U112" s="138">
        <f>IF('1.DATOS-PROD'!AD113="SI",VLOOKUP('1.DATOS-PROD'!AD$2,'1.PUNTOS'!$A$1:$B$63,2,0),0)</f>
        <v>0</v>
      </c>
      <c r="V112" s="138">
        <f>IF('1.DATOS-PROD'!AE113="SI",VLOOKUP('1.DATOS-PROD'!AE$2,'1.PUNTOS'!$A$1:$B$63,2,0),0)</f>
        <v>0</v>
      </c>
      <c r="W112" s="138">
        <f>IF('1.DATOS-PROD'!AF113="SI",VLOOKUP('1.DATOS-PROD'!AF$2,'1.PUNTOS'!$A$1:$B$63,2,0),0)</f>
        <v>0</v>
      </c>
      <c r="X112" s="138">
        <f>IF('1.DATOS-PROD'!AG113="SI",VLOOKUP('1.DATOS-PROD'!AG$2,'1.PUNTOS'!$A$1:$B$63,2,0),0)</f>
        <v>0</v>
      </c>
      <c r="Y112" s="138">
        <f>IF('1.DATOS-PROD'!AH113="SI",VLOOKUP('1.DATOS-PROD'!AH$2,'1.PUNTOS'!$A$1:$B$63,2,0),0)</f>
        <v>0</v>
      </c>
      <c r="Z112" s="138">
        <f>IF('1.DATOS-PROD'!AI113="SI",VLOOKUP('1.DATOS-PROD'!AI$2,'1.PUNTOS'!$A$1:$B$63,2,0),0)</f>
        <v>0</v>
      </c>
      <c r="AA112" s="138">
        <f>IF('1.DATOS-PROD'!AJ113="SI",VLOOKUP('1.DATOS-PROD'!AJ$2,'1.PUNTOS'!$A$1:$B$63,2,0),0)</f>
        <v>0</v>
      </c>
      <c r="AB112" s="138">
        <f>IF('1.DATOS-PROD'!AK113="SI",VLOOKUP('1.DATOS-PROD'!AK$2,'1.PUNTOS'!$A$1:$B$63,2,0),0)</f>
        <v>0</v>
      </c>
      <c r="AC112" s="138">
        <f>IF('1.DATOS-PROD'!AL113="SI",VLOOKUP('1.DATOS-PROD'!AL$2,'1.PUNTOS'!$A$1:$B$63,2,0),0)</f>
        <v>0</v>
      </c>
      <c r="AD112" s="138">
        <f>IF('1.DATOS-PROD'!AM113="SI",VLOOKUP('1.DATOS-PROD'!AM$2,'1.PUNTOS'!$A$1:$B$63,2,0),0)</f>
        <v>0</v>
      </c>
      <c r="AE112" s="138">
        <f>IF('1.DATOS-PROD'!AN113="SI",VLOOKUP('1.DATOS-PROD'!AN$2,'1.PUNTOS'!$A$1:$B$63,2,0),0)</f>
        <v>0</v>
      </c>
      <c r="AF112" s="138">
        <f>IF('1.DATOS-PROD'!AO113="SI",VLOOKUP('1.DATOS-PROD'!AO$2,'1.PUNTOS'!$A$1:$B$63,2,0),0)</f>
        <v>0</v>
      </c>
      <c r="AG112" s="138">
        <f>IF('1.DATOS-PROD'!AP113="SI",VLOOKUP('1.DATOS-PROD'!AP$2,'1.PUNTOS'!$A$1:$B$63,2,0),0)</f>
        <v>0</v>
      </c>
      <c r="AH112" s="138">
        <f>IF('1.DATOS-PROD'!AQ113="SI",VLOOKUP('1.DATOS-PROD'!AQ$2,'1.PUNTOS'!$A$1:$B$63,2,0),0)</f>
        <v>0</v>
      </c>
      <c r="AI112" s="138">
        <f>IF('1.DATOS-PROD'!AR113="SI",VLOOKUP('1.DATOS-PROD'!AR$2,'1.PUNTOS'!$A$1:$B$63,2,0),0)</f>
        <v>0</v>
      </c>
      <c r="AJ112" s="138">
        <f>IF('1.DATOS-PROD'!AS113="SI",VLOOKUP('1.DATOS-PROD'!AS$2,'1.PUNTOS'!$A$1:$B$63,2,0),0)</f>
        <v>0</v>
      </c>
      <c r="AK112" s="138">
        <f>IF('1.DATOS-PROD'!AT113="SI",VLOOKUP('1.DATOS-PROD'!AT$2,'1.PUNTOS'!$A$1:$B$63,2,0),0)</f>
        <v>0</v>
      </c>
      <c r="AL112" s="138">
        <f>IF('1.DATOS-PROD'!AU113="SI",VLOOKUP('1.DATOS-PROD'!AU$2,'1.PUNTOS'!$A$1:$B$63,2,0),0)</f>
        <v>0</v>
      </c>
      <c r="AM112" s="138">
        <f>IF('1.DATOS-PROD'!AV113="SI",VLOOKUP('1.DATOS-PROD'!AV$2,'1.PUNTOS'!$A$1:$B$63,2,0),0)</f>
        <v>0</v>
      </c>
      <c r="AN112" s="138">
        <f>IF('1.DATOS-PROD'!AW113="SI",VLOOKUP('1.DATOS-PROD'!AW$2,'1.PUNTOS'!$A$1:$B$63,2,0),0)</f>
        <v>0</v>
      </c>
      <c r="AO112" s="138">
        <f>IF('1.DATOS-PROD'!AX113="SI",VLOOKUP('1.DATOS-PROD'!AX$2,'1.PUNTOS'!$A$1:$B$63,2,0),0)</f>
        <v>0</v>
      </c>
      <c r="AP112" s="138">
        <f>IF('1.DATOS-PROD'!AY113="SI",VLOOKUP('1.DATOS-PROD'!AY$2,'1.PUNTOS'!$A$1:$B$63,2,0),0)</f>
        <v>0</v>
      </c>
      <c r="AQ112" s="138">
        <f>IF('1.DATOS-PROD'!AZ113="SI",VLOOKUP('1.DATOS-PROD'!AZ$2,'1.PUNTOS'!$A$1:$B$63,2,0),0)</f>
        <v>0</v>
      </c>
      <c r="AR112" s="138">
        <f>IF('1.DATOS-PROD'!BA113="SI",VLOOKUP('1.DATOS-PROD'!BA$2,'1.PUNTOS'!$A$1:$B$63,2,0),0)</f>
        <v>0</v>
      </c>
      <c r="AS112" s="138">
        <f>IF('1.DATOS-PROD'!BB113="SI",VLOOKUP('1.DATOS-PROD'!BB$2,'1.PUNTOS'!$A$1:$B$63,2,0),0)</f>
        <v>0</v>
      </c>
      <c r="AT112" s="138">
        <f>IF('1.DATOS-PROD'!BC113="SI",VLOOKUP('1.DATOS-PROD'!BC$2,'1.PUNTOS'!$A$1:$B$63,2,0),0)</f>
        <v>0</v>
      </c>
      <c r="AU112" s="138">
        <f>IF('1.DATOS-PROD'!BD113="SI",VLOOKUP('1.DATOS-PROD'!BD$2,'1.PUNTOS'!$A$1:$B$63,2,0),0)</f>
        <v>0</v>
      </c>
      <c r="AV112" s="138">
        <f>IF('1.DATOS-PROD'!BE113="SI",VLOOKUP('1.DATOS-PROD'!BE$2,'1.PUNTOS'!$A$1:$B$63,2,0),0)</f>
        <v>0</v>
      </c>
      <c r="AW112" s="138">
        <f>IF('1.DATOS-PROD'!BF113="SI",VLOOKUP('1.DATOS-PROD'!BF$2,'1.PUNTOS'!$A$1:$B$63,2,0),0)</f>
        <v>0</v>
      </c>
      <c r="AX112" s="138">
        <f>IF('1.DATOS-PROD'!BG113="SI",VLOOKUP('1.DATOS-PROD'!BG$2,'1.PUNTOS'!$A$1:$B$63,2,0),0)</f>
        <v>0</v>
      </c>
      <c r="AY112" s="138">
        <f>IF('1.DATOS-PROD'!BH113="SI",VLOOKUP('1.DATOS-PROD'!BH$2,'1.PUNTOS'!$A$1:$B$63,2,0),0)</f>
        <v>0</v>
      </c>
      <c r="AZ112" s="138">
        <f>IF('1.DATOS-PROD'!BI113="SI",VLOOKUP('1.DATOS-PROD'!BI$2,'1.PUNTOS'!$A$1:$B$63,2,0),0)</f>
        <v>0</v>
      </c>
      <c r="BA112" s="138">
        <f>IF('1.DATOS-PROD'!BJ113="SI",VLOOKUP('1.DATOS-PROD'!BJ$2,'1.PUNTOS'!$A$1:$B$63,2,0),0)</f>
        <v>0</v>
      </c>
      <c r="BB112" s="138">
        <f>IF('1.DATOS-PROD'!BK113="SI",VLOOKUP('1.DATOS-PROD'!BK$2,'1.PUNTOS'!$A$1:$B$63,2,0),0)</f>
        <v>0</v>
      </c>
      <c r="BC112" s="138">
        <f>IF('1.DATOS-PROD'!BL113="SI",VLOOKUP('1.DATOS-PROD'!BL$2,'1.PUNTOS'!$A$1:$B$63,2,0),0)</f>
        <v>0</v>
      </c>
      <c r="BD112" s="138">
        <f>IF('1.DATOS-PROD'!BM113="SI",VLOOKUP('1.DATOS-PROD'!BM$2,'1.PUNTOS'!$A$1:$B$63,2,0),0)</f>
        <v>0</v>
      </c>
      <c r="BE112" s="138">
        <f>IF('1.DATOS-PROD'!BN113="SI",VLOOKUP('1.DATOS-PROD'!BN$2,'1.PUNTOS'!$A$1:$B$63,2,0),0)</f>
        <v>0</v>
      </c>
      <c r="BF112" s="138">
        <f>IF('1.DATOS-PROD'!BO113="SI",VLOOKUP('1.DATOS-PROD'!BO$2,'1.PUNTOS'!$A$1:$B$63,2,0),0)</f>
        <v>0</v>
      </c>
      <c r="BG112" s="138">
        <f>IF('1.DATOS-PROD'!BP113="SI",VLOOKUP('1.DATOS-PROD'!BP$2,'1.PUNTOS'!$A$1:$B$63,2,0),0)</f>
        <v>0</v>
      </c>
      <c r="BH112" s="138">
        <f>IF('1.DATOS-PROD'!BQ113="SI",VLOOKUP('1.DATOS-PROD'!BQ$2,'1.PUNTOS'!$A$1:$B$63,2,0),0)</f>
        <v>0</v>
      </c>
      <c r="BI112" s="138">
        <f>IF('1.DATOS-PROD'!BR113="SI",VLOOKUP('1.DATOS-PROD'!BR$2,'1.PUNTOS'!$A$1:$B$63,2,0),0)</f>
        <v>0</v>
      </c>
      <c r="BJ112" s="138">
        <f>IF('1.DATOS-PROD'!BS113="SI",VLOOKUP('1.DATOS-PROD'!BS$2,'1.PUNTOS'!$A$1:$B$63,2,0),0)</f>
        <v>0</v>
      </c>
      <c r="BK112" s="138">
        <f>IF('1.DATOS-PROD'!BT113="SI",VLOOKUP('1.DATOS-PROD'!BT$2,'1.PUNTOS'!$A$1:$B$63,2,0),0)</f>
        <v>0</v>
      </c>
    </row>
    <row r="113" spans="1:63" x14ac:dyDescent="0.25">
      <c r="A113">
        <f>'0.Consolidado general'!$A114</f>
        <v>0</v>
      </c>
      <c r="B113" s="138">
        <f>IF('1.DATOS-PROD'!K114="SI",VLOOKUP('1.DATOS-PROD'!K$2,'1.PUNTOS'!$A$1:$B$63,2,0),0)</f>
        <v>0</v>
      </c>
      <c r="C113" s="138">
        <f>IF('1.DATOS-PROD'!L114="SI",VLOOKUP('1.DATOS-PROD'!L$2,'1.PUNTOS'!$A$1:$B$63,2,0),0)</f>
        <v>0</v>
      </c>
      <c r="D113" s="138">
        <f>IF('1.DATOS-PROD'!M114="SI",VLOOKUP('1.DATOS-PROD'!M$2,'1.PUNTOS'!$A$1:$B$63,2,0),0)</f>
        <v>0</v>
      </c>
      <c r="E113" s="138">
        <f>IF('1.DATOS-PROD'!N114="SI",VLOOKUP('1.DATOS-PROD'!N$2,'1.PUNTOS'!$A$1:$B$63,2,0),0)</f>
        <v>0</v>
      </c>
      <c r="F113" s="138">
        <f>IF('1.DATOS-PROD'!O114="SI",VLOOKUP('1.DATOS-PROD'!O$2,'1.PUNTOS'!$A$1:$B$63,2,0),0)</f>
        <v>0</v>
      </c>
      <c r="G113" s="138">
        <f>IF('1.DATOS-PROD'!P114="SI",VLOOKUP('1.DATOS-PROD'!P$2,'1.PUNTOS'!$A$1:$B$63,2,0),0)</f>
        <v>0</v>
      </c>
      <c r="H113" s="138">
        <f>IF('1.DATOS-PROD'!Q114="SI",VLOOKUP('1.DATOS-PROD'!Q$2,'1.PUNTOS'!$A$1:$B$63,2,0),0)</f>
        <v>0</v>
      </c>
      <c r="I113" s="138">
        <f>IF('1.DATOS-PROD'!R114="SI",VLOOKUP('1.DATOS-PROD'!R$2,'1.PUNTOS'!$A$1:$B$63,2,0),0)</f>
        <v>0</v>
      </c>
      <c r="J113" s="138">
        <f>IF('1.DATOS-PROD'!S114="SI",VLOOKUP('1.DATOS-PROD'!S$2,'1.PUNTOS'!$A$1:$B$63,2,0),0)</f>
        <v>0</v>
      </c>
      <c r="K113" s="138">
        <f>IF('1.DATOS-PROD'!T114="SI",VLOOKUP('1.DATOS-PROD'!T$2,'1.PUNTOS'!$A$1:$B$63,2,0),0)</f>
        <v>0</v>
      </c>
      <c r="L113" s="138">
        <f>IF('1.DATOS-PROD'!U114="SI",VLOOKUP('1.DATOS-PROD'!U$2,'1.PUNTOS'!$A$1:$B$63,2,0),0)</f>
        <v>0</v>
      </c>
      <c r="M113" s="138">
        <f>IF('1.DATOS-PROD'!V114="SI",VLOOKUP('1.DATOS-PROD'!V$2,'1.PUNTOS'!$A$1:$B$63,2,0),0)</f>
        <v>0</v>
      </c>
      <c r="N113" s="138">
        <f>IF('1.DATOS-PROD'!W114="SI",VLOOKUP('1.DATOS-PROD'!W$2,'1.PUNTOS'!$A$1:$B$63,2,0),0)</f>
        <v>0</v>
      </c>
      <c r="O113" s="138">
        <f>IF('1.DATOS-PROD'!X114="SI",VLOOKUP('1.DATOS-PROD'!X$2,'1.PUNTOS'!$A$1:$B$63,2,0),0)</f>
        <v>0</v>
      </c>
      <c r="P113" s="138">
        <f>IF('1.DATOS-PROD'!Y114="SI",VLOOKUP('1.DATOS-PROD'!Y$2,'1.PUNTOS'!$A$1:$B$63,2,0),0)</f>
        <v>0</v>
      </c>
      <c r="Q113" s="138">
        <f>IF('1.DATOS-PROD'!Z114="SI",VLOOKUP('1.DATOS-PROD'!Z$2,'1.PUNTOS'!$A$1:$B$63,2,0),0)</f>
        <v>0</v>
      </c>
      <c r="R113" s="138">
        <f>IF('1.DATOS-PROD'!AA114="SI",VLOOKUP('1.DATOS-PROD'!AA$2,'1.PUNTOS'!$A$1:$B$63,2,0),0)</f>
        <v>0</v>
      </c>
      <c r="S113" s="138">
        <f>IF('1.DATOS-PROD'!AB114="SI",VLOOKUP('1.DATOS-PROD'!AB$2,'1.PUNTOS'!$A$1:$B$63,2,0),0)</f>
        <v>0</v>
      </c>
      <c r="T113" s="138">
        <f>IF('1.DATOS-PROD'!AC114="SI",VLOOKUP('1.DATOS-PROD'!AC$2,'1.PUNTOS'!$A$1:$B$63,2,0),0)</f>
        <v>0</v>
      </c>
      <c r="U113" s="138">
        <f>IF('1.DATOS-PROD'!AD114="SI",VLOOKUP('1.DATOS-PROD'!AD$2,'1.PUNTOS'!$A$1:$B$63,2,0),0)</f>
        <v>0</v>
      </c>
      <c r="V113" s="138">
        <f>IF('1.DATOS-PROD'!AE114="SI",VLOOKUP('1.DATOS-PROD'!AE$2,'1.PUNTOS'!$A$1:$B$63,2,0),0)</f>
        <v>0</v>
      </c>
      <c r="W113" s="138">
        <f>IF('1.DATOS-PROD'!AF114="SI",VLOOKUP('1.DATOS-PROD'!AF$2,'1.PUNTOS'!$A$1:$B$63,2,0),0)</f>
        <v>0</v>
      </c>
      <c r="X113" s="138">
        <f>IF('1.DATOS-PROD'!AG114="SI",VLOOKUP('1.DATOS-PROD'!AG$2,'1.PUNTOS'!$A$1:$B$63,2,0),0)</f>
        <v>0</v>
      </c>
      <c r="Y113" s="138">
        <f>IF('1.DATOS-PROD'!AH114="SI",VLOOKUP('1.DATOS-PROD'!AH$2,'1.PUNTOS'!$A$1:$B$63,2,0),0)</f>
        <v>0</v>
      </c>
      <c r="Z113" s="138">
        <f>IF('1.DATOS-PROD'!AI114="SI",VLOOKUP('1.DATOS-PROD'!AI$2,'1.PUNTOS'!$A$1:$B$63,2,0),0)</f>
        <v>0</v>
      </c>
      <c r="AA113" s="138">
        <f>IF('1.DATOS-PROD'!AJ114="SI",VLOOKUP('1.DATOS-PROD'!AJ$2,'1.PUNTOS'!$A$1:$B$63,2,0),0)</f>
        <v>0</v>
      </c>
      <c r="AB113" s="138">
        <f>IF('1.DATOS-PROD'!AK114="SI",VLOOKUP('1.DATOS-PROD'!AK$2,'1.PUNTOS'!$A$1:$B$63,2,0),0)</f>
        <v>0</v>
      </c>
      <c r="AC113" s="138">
        <f>IF('1.DATOS-PROD'!AL114="SI",VLOOKUP('1.DATOS-PROD'!AL$2,'1.PUNTOS'!$A$1:$B$63,2,0),0)</f>
        <v>0</v>
      </c>
      <c r="AD113" s="138">
        <f>IF('1.DATOS-PROD'!AM114="SI",VLOOKUP('1.DATOS-PROD'!AM$2,'1.PUNTOS'!$A$1:$B$63,2,0),0)</f>
        <v>0</v>
      </c>
      <c r="AE113" s="138">
        <f>IF('1.DATOS-PROD'!AN114="SI",VLOOKUP('1.DATOS-PROD'!AN$2,'1.PUNTOS'!$A$1:$B$63,2,0),0)</f>
        <v>0</v>
      </c>
      <c r="AF113" s="138">
        <f>IF('1.DATOS-PROD'!AO114="SI",VLOOKUP('1.DATOS-PROD'!AO$2,'1.PUNTOS'!$A$1:$B$63,2,0),0)</f>
        <v>0</v>
      </c>
      <c r="AG113" s="138">
        <f>IF('1.DATOS-PROD'!AP114="SI",VLOOKUP('1.DATOS-PROD'!AP$2,'1.PUNTOS'!$A$1:$B$63,2,0),0)</f>
        <v>0</v>
      </c>
      <c r="AH113" s="138">
        <f>IF('1.DATOS-PROD'!AQ114="SI",VLOOKUP('1.DATOS-PROD'!AQ$2,'1.PUNTOS'!$A$1:$B$63,2,0),0)</f>
        <v>0</v>
      </c>
      <c r="AI113" s="138">
        <f>IF('1.DATOS-PROD'!AR114="SI",VLOOKUP('1.DATOS-PROD'!AR$2,'1.PUNTOS'!$A$1:$B$63,2,0),0)</f>
        <v>0</v>
      </c>
      <c r="AJ113" s="138">
        <f>IF('1.DATOS-PROD'!AS114="SI",VLOOKUP('1.DATOS-PROD'!AS$2,'1.PUNTOS'!$A$1:$B$63,2,0),0)</f>
        <v>0</v>
      </c>
      <c r="AK113" s="138">
        <f>IF('1.DATOS-PROD'!AT114="SI",VLOOKUP('1.DATOS-PROD'!AT$2,'1.PUNTOS'!$A$1:$B$63,2,0),0)</f>
        <v>0</v>
      </c>
      <c r="AL113" s="138">
        <f>IF('1.DATOS-PROD'!AU114="SI",VLOOKUP('1.DATOS-PROD'!AU$2,'1.PUNTOS'!$A$1:$B$63,2,0),0)</f>
        <v>0</v>
      </c>
      <c r="AM113" s="138">
        <f>IF('1.DATOS-PROD'!AV114="SI",VLOOKUP('1.DATOS-PROD'!AV$2,'1.PUNTOS'!$A$1:$B$63,2,0),0)</f>
        <v>0</v>
      </c>
      <c r="AN113" s="138">
        <f>IF('1.DATOS-PROD'!AW114="SI",VLOOKUP('1.DATOS-PROD'!AW$2,'1.PUNTOS'!$A$1:$B$63,2,0),0)</f>
        <v>0</v>
      </c>
      <c r="AO113" s="138">
        <f>IF('1.DATOS-PROD'!AX114="SI",VLOOKUP('1.DATOS-PROD'!AX$2,'1.PUNTOS'!$A$1:$B$63,2,0),0)</f>
        <v>0</v>
      </c>
      <c r="AP113" s="138">
        <f>IF('1.DATOS-PROD'!AY114="SI",VLOOKUP('1.DATOS-PROD'!AY$2,'1.PUNTOS'!$A$1:$B$63,2,0),0)</f>
        <v>0</v>
      </c>
      <c r="AQ113" s="138">
        <f>IF('1.DATOS-PROD'!AZ114="SI",VLOOKUP('1.DATOS-PROD'!AZ$2,'1.PUNTOS'!$A$1:$B$63,2,0),0)</f>
        <v>0</v>
      </c>
      <c r="AR113" s="138">
        <f>IF('1.DATOS-PROD'!BA114="SI",VLOOKUP('1.DATOS-PROD'!BA$2,'1.PUNTOS'!$A$1:$B$63,2,0),0)</f>
        <v>0</v>
      </c>
      <c r="AS113" s="138">
        <f>IF('1.DATOS-PROD'!BB114="SI",VLOOKUP('1.DATOS-PROD'!BB$2,'1.PUNTOS'!$A$1:$B$63,2,0),0)</f>
        <v>0</v>
      </c>
      <c r="AT113" s="138">
        <f>IF('1.DATOS-PROD'!BC114="SI",VLOOKUP('1.DATOS-PROD'!BC$2,'1.PUNTOS'!$A$1:$B$63,2,0),0)</f>
        <v>0</v>
      </c>
      <c r="AU113" s="138">
        <f>IF('1.DATOS-PROD'!BD114="SI",VLOOKUP('1.DATOS-PROD'!BD$2,'1.PUNTOS'!$A$1:$B$63,2,0),0)</f>
        <v>0</v>
      </c>
      <c r="AV113" s="138">
        <f>IF('1.DATOS-PROD'!BE114="SI",VLOOKUP('1.DATOS-PROD'!BE$2,'1.PUNTOS'!$A$1:$B$63,2,0),0)</f>
        <v>0</v>
      </c>
      <c r="AW113" s="138">
        <f>IF('1.DATOS-PROD'!BF114="SI",VLOOKUP('1.DATOS-PROD'!BF$2,'1.PUNTOS'!$A$1:$B$63,2,0),0)</f>
        <v>0</v>
      </c>
      <c r="AX113" s="138">
        <f>IF('1.DATOS-PROD'!BG114="SI",VLOOKUP('1.DATOS-PROD'!BG$2,'1.PUNTOS'!$A$1:$B$63,2,0),0)</f>
        <v>0</v>
      </c>
      <c r="AY113" s="138">
        <f>IF('1.DATOS-PROD'!BH114="SI",VLOOKUP('1.DATOS-PROD'!BH$2,'1.PUNTOS'!$A$1:$B$63,2,0),0)</f>
        <v>0</v>
      </c>
      <c r="AZ113" s="138">
        <f>IF('1.DATOS-PROD'!BI114="SI",VLOOKUP('1.DATOS-PROD'!BI$2,'1.PUNTOS'!$A$1:$B$63,2,0),0)</f>
        <v>0</v>
      </c>
      <c r="BA113" s="138">
        <f>IF('1.DATOS-PROD'!BJ114="SI",VLOOKUP('1.DATOS-PROD'!BJ$2,'1.PUNTOS'!$A$1:$B$63,2,0),0)</f>
        <v>0</v>
      </c>
      <c r="BB113" s="138">
        <f>IF('1.DATOS-PROD'!BK114="SI",VLOOKUP('1.DATOS-PROD'!BK$2,'1.PUNTOS'!$A$1:$B$63,2,0),0)</f>
        <v>0</v>
      </c>
      <c r="BC113" s="138">
        <f>IF('1.DATOS-PROD'!BL114="SI",VLOOKUP('1.DATOS-PROD'!BL$2,'1.PUNTOS'!$A$1:$B$63,2,0),0)</f>
        <v>0</v>
      </c>
      <c r="BD113" s="138">
        <f>IF('1.DATOS-PROD'!BM114="SI",VLOOKUP('1.DATOS-PROD'!BM$2,'1.PUNTOS'!$A$1:$B$63,2,0),0)</f>
        <v>0</v>
      </c>
      <c r="BE113" s="138">
        <f>IF('1.DATOS-PROD'!BN114="SI",VLOOKUP('1.DATOS-PROD'!BN$2,'1.PUNTOS'!$A$1:$B$63,2,0),0)</f>
        <v>0</v>
      </c>
      <c r="BF113" s="138">
        <f>IF('1.DATOS-PROD'!BO114="SI",VLOOKUP('1.DATOS-PROD'!BO$2,'1.PUNTOS'!$A$1:$B$63,2,0),0)</f>
        <v>0</v>
      </c>
      <c r="BG113" s="138">
        <f>IF('1.DATOS-PROD'!BP114="SI",VLOOKUP('1.DATOS-PROD'!BP$2,'1.PUNTOS'!$A$1:$B$63,2,0),0)</f>
        <v>0</v>
      </c>
      <c r="BH113" s="138">
        <f>IF('1.DATOS-PROD'!BQ114="SI",VLOOKUP('1.DATOS-PROD'!BQ$2,'1.PUNTOS'!$A$1:$B$63,2,0),0)</f>
        <v>0</v>
      </c>
      <c r="BI113" s="138">
        <f>IF('1.DATOS-PROD'!BR114="SI",VLOOKUP('1.DATOS-PROD'!BR$2,'1.PUNTOS'!$A$1:$B$63,2,0),0)</f>
        <v>0</v>
      </c>
      <c r="BJ113" s="138">
        <f>IF('1.DATOS-PROD'!BS114="SI",VLOOKUP('1.DATOS-PROD'!BS$2,'1.PUNTOS'!$A$1:$B$63,2,0),0)</f>
        <v>0</v>
      </c>
      <c r="BK113" s="138">
        <f>IF('1.DATOS-PROD'!BT114="SI",VLOOKUP('1.DATOS-PROD'!BT$2,'1.PUNTOS'!$A$1:$B$63,2,0),0)</f>
        <v>0</v>
      </c>
    </row>
    <row r="114" spans="1:63" x14ac:dyDescent="0.25">
      <c r="A114">
        <f>'0.Consolidado general'!$A115</f>
        <v>0</v>
      </c>
      <c r="B114" s="138">
        <f>IF('1.DATOS-PROD'!K115="SI",VLOOKUP('1.DATOS-PROD'!K$2,'1.PUNTOS'!$A$1:$B$63,2,0),0)</f>
        <v>0</v>
      </c>
      <c r="C114" s="138">
        <f>IF('1.DATOS-PROD'!L115="SI",VLOOKUP('1.DATOS-PROD'!L$2,'1.PUNTOS'!$A$1:$B$63,2,0),0)</f>
        <v>0</v>
      </c>
      <c r="D114" s="138">
        <f>IF('1.DATOS-PROD'!M115="SI",VLOOKUP('1.DATOS-PROD'!M$2,'1.PUNTOS'!$A$1:$B$63,2,0),0)</f>
        <v>0</v>
      </c>
      <c r="E114" s="138">
        <f>IF('1.DATOS-PROD'!N115="SI",VLOOKUP('1.DATOS-PROD'!N$2,'1.PUNTOS'!$A$1:$B$63,2,0),0)</f>
        <v>0</v>
      </c>
      <c r="F114" s="138">
        <f>IF('1.DATOS-PROD'!O115="SI",VLOOKUP('1.DATOS-PROD'!O$2,'1.PUNTOS'!$A$1:$B$63,2,0),0)</f>
        <v>0</v>
      </c>
      <c r="G114" s="138">
        <f>IF('1.DATOS-PROD'!P115="SI",VLOOKUP('1.DATOS-PROD'!P$2,'1.PUNTOS'!$A$1:$B$63,2,0),0)</f>
        <v>0</v>
      </c>
      <c r="H114" s="138">
        <f>IF('1.DATOS-PROD'!Q115="SI",VLOOKUP('1.DATOS-PROD'!Q$2,'1.PUNTOS'!$A$1:$B$63,2,0),0)</f>
        <v>0</v>
      </c>
      <c r="I114" s="138">
        <f>IF('1.DATOS-PROD'!R115="SI",VLOOKUP('1.DATOS-PROD'!R$2,'1.PUNTOS'!$A$1:$B$63,2,0),0)</f>
        <v>0</v>
      </c>
      <c r="J114" s="138">
        <f>IF('1.DATOS-PROD'!S115="SI",VLOOKUP('1.DATOS-PROD'!S$2,'1.PUNTOS'!$A$1:$B$63,2,0),0)</f>
        <v>0</v>
      </c>
      <c r="K114" s="138">
        <f>IF('1.DATOS-PROD'!T115="SI",VLOOKUP('1.DATOS-PROD'!T$2,'1.PUNTOS'!$A$1:$B$63,2,0),0)</f>
        <v>0</v>
      </c>
      <c r="L114" s="138">
        <f>IF('1.DATOS-PROD'!U115="SI",VLOOKUP('1.DATOS-PROD'!U$2,'1.PUNTOS'!$A$1:$B$63,2,0),0)</f>
        <v>0</v>
      </c>
      <c r="M114" s="138">
        <f>IF('1.DATOS-PROD'!V115="SI",VLOOKUP('1.DATOS-PROD'!V$2,'1.PUNTOS'!$A$1:$B$63,2,0),0)</f>
        <v>0</v>
      </c>
      <c r="N114" s="138">
        <f>IF('1.DATOS-PROD'!W115="SI",VLOOKUP('1.DATOS-PROD'!W$2,'1.PUNTOS'!$A$1:$B$63,2,0),0)</f>
        <v>0</v>
      </c>
      <c r="O114" s="138">
        <f>IF('1.DATOS-PROD'!X115="SI",VLOOKUP('1.DATOS-PROD'!X$2,'1.PUNTOS'!$A$1:$B$63,2,0),0)</f>
        <v>0</v>
      </c>
      <c r="P114" s="138">
        <f>IF('1.DATOS-PROD'!Y115="SI",VLOOKUP('1.DATOS-PROD'!Y$2,'1.PUNTOS'!$A$1:$B$63,2,0),0)</f>
        <v>0</v>
      </c>
      <c r="Q114" s="138">
        <f>IF('1.DATOS-PROD'!Z115="SI",VLOOKUP('1.DATOS-PROD'!Z$2,'1.PUNTOS'!$A$1:$B$63,2,0),0)</f>
        <v>0</v>
      </c>
      <c r="R114" s="138">
        <f>IF('1.DATOS-PROD'!AA115="SI",VLOOKUP('1.DATOS-PROD'!AA$2,'1.PUNTOS'!$A$1:$B$63,2,0),0)</f>
        <v>0</v>
      </c>
      <c r="S114" s="138">
        <f>IF('1.DATOS-PROD'!AB115="SI",VLOOKUP('1.DATOS-PROD'!AB$2,'1.PUNTOS'!$A$1:$B$63,2,0),0)</f>
        <v>0</v>
      </c>
      <c r="T114" s="138">
        <f>IF('1.DATOS-PROD'!AC115="SI",VLOOKUP('1.DATOS-PROD'!AC$2,'1.PUNTOS'!$A$1:$B$63,2,0),0)</f>
        <v>0</v>
      </c>
      <c r="U114" s="138">
        <f>IF('1.DATOS-PROD'!AD115="SI",VLOOKUP('1.DATOS-PROD'!AD$2,'1.PUNTOS'!$A$1:$B$63,2,0),0)</f>
        <v>0</v>
      </c>
      <c r="V114" s="138">
        <f>IF('1.DATOS-PROD'!AE115="SI",VLOOKUP('1.DATOS-PROD'!AE$2,'1.PUNTOS'!$A$1:$B$63,2,0),0)</f>
        <v>0</v>
      </c>
      <c r="W114" s="138">
        <f>IF('1.DATOS-PROD'!AF115="SI",VLOOKUP('1.DATOS-PROD'!AF$2,'1.PUNTOS'!$A$1:$B$63,2,0),0)</f>
        <v>0</v>
      </c>
      <c r="X114" s="138">
        <f>IF('1.DATOS-PROD'!AG115="SI",VLOOKUP('1.DATOS-PROD'!AG$2,'1.PUNTOS'!$A$1:$B$63,2,0),0)</f>
        <v>0</v>
      </c>
      <c r="Y114" s="138">
        <f>IF('1.DATOS-PROD'!AH115="SI",VLOOKUP('1.DATOS-PROD'!AH$2,'1.PUNTOS'!$A$1:$B$63,2,0),0)</f>
        <v>0</v>
      </c>
      <c r="Z114" s="138">
        <f>IF('1.DATOS-PROD'!AI115="SI",VLOOKUP('1.DATOS-PROD'!AI$2,'1.PUNTOS'!$A$1:$B$63,2,0),0)</f>
        <v>0</v>
      </c>
      <c r="AA114" s="138">
        <f>IF('1.DATOS-PROD'!AJ115="SI",VLOOKUP('1.DATOS-PROD'!AJ$2,'1.PUNTOS'!$A$1:$B$63,2,0),0)</f>
        <v>0</v>
      </c>
      <c r="AB114" s="138">
        <f>IF('1.DATOS-PROD'!AK115="SI",VLOOKUP('1.DATOS-PROD'!AK$2,'1.PUNTOS'!$A$1:$B$63,2,0),0)</f>
        <v>0</v>
      </c>
      <c r="AC114" s="138">
        <f>IF('1.DATOS-PROD'!AL115="SI",VLOOKUP('1.DATOS-PROD'!AL$2,'1.PUNTOS'!$A$1:$B$63,2,0),0)</f>
        <v>0</v>
      </c>
      <c r="AD114" s="138">
        <f>IF('1.DATOS-PROD'!AM115="SI",VLOOKUP('1.DATOS-PROD'!AM$2,'1.PUNTOS'!$A$1:$B$63,2,0),0)</f>
        <v>0</v>
      </c>
      <c r="AE114" s="138">
        <f>IF('1.DATOS-PROD'!AN115="SI",VLOOKUP('1.DATOS-PROD'!AN$2,'1.PUNTOS'!$A$1:$B$63,2,0),0)</f>
        <v>0</v>
      </c>
      <c r="AF114" s="138">
        <f>IF('1.DATOS-PROD'!AO115="SI",VLOOKUP('1.DATOS-PROD'!AO$2,'1.PUNTOS'!$A$1:$B$63,2,0),0)</f>
        <v>0</v>
      </c>
      <c r="AG114" s="138">
        <f>IF('1.DATOS-PROD'!AP115="SI",VLOOKUP('1.DATOS-PROD'!AP$2,'1.PUNTOS'!$A$1:$B$63,2,0),0)</f>
        <v>0</v>
      </c>
      <c r="AH114" s="138">
        <f>IF('1.DATOS-PROD'!AQ115="SI",VLOOKUP('1.DATOS-PROD'!AQ$2,'1.PUNTOS'!$A$1:$B$63,2,0),0)</f>
        <v>0</v>
      </c>
      <c r="AI114" s="138">
        <f>IF('1.DATOS-PROD'!AR115="SI",VLOOKUP('1.DATOS-PROD'!AR$2,'1.PUNTOS'!$A$1:$B$63,2,0),0)</f>
        <v>0</v>
      </c>
      <c r="AJ114" s="138">
        <f>IF('1.DATOS-PROD'!AS115="SI",VLOOKUP('1.DATOS-PROD'!AS$2,'1.PUNTOS'!$A$1:$B$63,2,0),0)</f>
        <v>0</v>
      </c>
      <c r="AK114" s="138">
        <f>IF('1.DATOS-PROD'!AT115="SI",VLOOKUP('1.DATOS-PROD'!AT$2,'1.PUNTOS'!$A$1:$B$63,2,0),0)</f>
        <v>0</v>
      </c>
      <c r="AL114" s="138">
        <f>IF('1.DATOS-PROD'!AU115="SI",VLOOKUP('1.DATOS-PROD'!AU$2,'1.PUNTOS'!$A$1:$B$63,2,0),0)</f>
        <v>0</v>
      </c>
      <c r="AM114" s="138">
        <f>IF('1.DATOS-PROD'!AV115="SI",VLOOKUP('1.DATOS-PROD'!AV$2,'1.PUNTOS'!$A$1:$B$63,2,0),0)</f>
        <v>0</v>
      </c>
      <c r="AN114" s="138">
        <f>IF('1.DATOS-PROD'!AW115="SI",VLOOKUP('1.DATOS-PROD'!AW$2,'1.PUNTOS'!$A$1:$B$63,2,0),0)</f>
        <v>0</v>
      </c>
      <c r="AO114" s="138">
        <f>IF('1.DATOS-PROD'!AX115="SI",VLOOKUP('1.DATOS-PROD'!AX$2,'1.PUNTOS'!$A$1:$B$63,2,0),0)</f>
        <v>0</v>
      </c>
      <c r="AP114" s="138">
        <f>IF('1.DATOS-PROD'!AY115="SI",VLOOKUP('1.DATOS-PROD'!AY$2,'1.PUNTOS'!$A$1:$B$63,2,0),0)</f>
        <v>0</v>
      </c>
      <c r="AQ114" s="138">
        <f>IF('1.DATOS-PROD'!AZ115="SI",VLOOKUP('1.DATOS-PROD'!AZ$2,'1.PUNTOS'!$A$1:$B$63,2,0),0)</f>
        <v>0</v>
      </c>
      <c r="AR114" s="138">
        <f>IF('1.DATOS-PROD'!BA115="SI",VLOOKUP('1.DATOS-PROD'!BA$2,'1.PUNTOS'!$A$1:$B$63,2,0),0)</f>
        <v>0</v>
      </c>
      <c r="AS114" s="138">
        <f>IF('1.DATOS-PROD'!BB115="SI",VLOOKUP('1.DATOS-PROD'!BB$2,'1.PUNTOS'!$A$1:$B$63,2,0),0)</f>
        <v>0</v>
      </c>
      <c r="AT114" s="138">
        <f>IF('1.DATOS-PROD'!BC115="SI",VLOOKUP('1.DATOS-PROD'!BC$2,'1.PUNTOS'!$A$1:$B$63,2,0),0)</f>
        <v>0</v>
      </c>
      <c r="AU114" s="138">
        <f>IF('1.DATOS-PROD'!BD115="SI",VLOOKUP('1.DATOS-PROD'!BD$2,'1.PUNTOS'!$A$1:$B$63,2,0),0)</f>
        <v>0</v>
      </c>
      <c r="AV114" s="138">
        <f>IF('1.DATOS-PROD'!BE115="SI",VLOOKUP('1.DATOS-PROD'!BE$2,'1.PUNTOS'!$A$1:$B$63,2,0),0)</f>
        <v>0</v>
      </c>
      <c r="AW114" s="138">
        <f>IF('1.DATOS-PROD'!BF115="SI",VLOOKUP('1.DATOS-PROD'!BF$2,'1.PUNTOS'!$A$1:$B$63,2,0),0)</f>
        <v>0</v>
      </c>
      <c r="AX114" s="138">
        <f>IF('1.DATOS-PROD'!BG115="SI",VLOOKUP('1.DATOS-PROD'!BG$2,'1.PUNTOS'!$A$1:$B$63,2,0),0)</f>
        <v>0</v>
      </c>
      <c r="AY114" s="138">
        <f>IF('1.DATOS-PROD'!BH115="SI",VLOOKUP('1.DATOS-PROD'!BH$2,'1.PUNTOS'!$A$1:$B$63,2,0),0)</f>
        <v>0</v>
      </c>
      <c r="AZ114" s="138">
        <f>IF('1.DATOS-PROD'!BI115="SI",VLOOKUP('1.DATOS-PROD'!BI$2,'1.PUNTOS'!$A$1:$B$63,2,0),0)</f>
        <v>0</v>
      </c>
      <c r="BA114" s="138">
        <f>IF('1.DATOS-PROD'!BJ115="SI",VLOOKUP('1.DATOS-PROD'!BJ$2,'1.PUNTOS'!$A$1:$B$63,2,0),0)</f>
        <v>0</v>
      </c>
      <c r="BB114" s="138">
        <f>IF('1.DATOS-PROD'!BK115="SI",VLOOKUP('1.DATOS-PROD'!BK$2,'1.PUNTOS'!$A$1:$B$63,2,0),0)</f>
        <v>0</v>
      </c>
      <c r="BC114" s="138">
        <f>IF('1.DATOS-PROD'!BL115="SI",VLOOKUP('1.DATOS-PROD'!BL$2,'1.PUNTOS'!$A$1:$B$63,2,0),0)</f>
        <v>0</v>
      </c>
      <c r="BD114" s="138">
        <f>IF('1.DATOS-PROD'!BM115="SI",VLOOKUP('1.DATOS-PROD'!BM$2,'1.PUNTOS'!$A$1:$B$63,2,0),0)</f>
        <v>0</v>
      </c>
      <c r="BE114" s="138">
        <f>IF('1.DATOS-PROD'!BN115="SI",VLOOKUP('1.DATOS-PROD'!BN$2,'1.PUNTOS'!$A$1:$B$63,2,0),0)</f>
        <v>0</v>
      </c>
      <c r="BF114" s="138">
        <f>IF('1.DATOS-PROD'!BO115="SI",VLOOKUP('1.DATOS-PROD'!BO$2,'1.PUNTOS'!$A$1:$B$63,2,0),0)</f>
        <v>0</v>
      </c>
      <c r="BG114" s="138">
        <f>IF('1.DATOS-PROD'!BP115="SI",VLOOKUP('1.DATOS-PROD'!BP$2,'1.PUNTOS'!$A$1:$B$63,2,0),0)</f>
        <v>0</v>
      </c>
      <c r="BH114" s="138">
        <f>IF('1.DATOS-PROD'!BQ115="SI",VLOOKUP('1.DATOS-PROD'!BQ$2,'1.PUNTOS'!$A$1:$B$63,2,0),0)</f>
        <v>0</v>
      </c>
      <c r="BI114" s="138">
        <f>IF('1.DATOS-PROD'!BR115="SI",VLOOKUP('1.DATOS-PROD'!BR$2,'1.PUNTOS'!$A$1:$B$63,2,0),0)</f>
        <v>0</v>
      </c>
      <c r="BJ114" s="138">
        <f>IF('1.DATOS-PROD'!BS115="SI",VLOOKUP('1.DATOS-PROD'!BS$2,'1.PUNTOS'!$A$1:$B$63,2,0),0)</f>
        <v>0</v>
      </c>
      <c r="BK114" s="138">
        <f>IF('1.DATOS-PROD'!BT115="SI",VLOOKUP('1.DATOS-PROD'!BT$2,'1.PUNTOS'!$A$1:$B$63,2,0),0)</f>
        <v>0</v>
      </c>
    </row>
    <row r="115" spans="1:63" x14ac:dyDescent="0.25">
      <c r="A115">
        <f>'0.Consolidado general'!$A116</f>
        <v>0</v>
      </c>
      <c r="B115" s="138">
        <f>IF('1.DATOS-PROD'!K116="SI",VLOOKUP('1.DATOS-PROD'!K$2,'1.PUNTOS'!$A$1:$B$63,2,0),0)</f>
        <v>0</v>
      </c>
      <c r="C115" s="138">
        <f>IF('1.DATOS-PROD'!L116="SI",VLOOKUP('1.DATOS-PROD'!L$2,'1.PUNTOS'!$A$1:$B$63,2,0),0)</f>
        <v>0</v>
      </c>
      <c r="D115" s="138">
        <f>IF('1.DATOS-PROD'!M116="SI",VLOOKUP('1.DATOS-PROD'!M$2,'1.PUNTOS'!$A$1:$B$63,2,0),0)</f>
        <v>0</v>
      </c>
      <c r="E115" s="138">
        <f>IF('1.DATOS-PROD'!N116="SI",VLOOKUP('1.DATOS-PROD'!N$2,'1.PUNTOS'!$A$1:$B$63,2,0),0)</f>
        <v>0</v>
      </c>
      <c r="F115" s="138">
        <f>IF('1.DATOS-PROD'!O116="SI",VLOOKUP('1.DATOS-PROD'!O$2,'1.PUNTOS'!$A$1:$B$63,2,0),0)</f>
        <v>0</v>
      </c>
      <c r="G115" s="138">
        <f>IF('1.DATOS-PROD'!P116="SI",VLOOKUP('1.DATOS-PROD'!P$2,'1.PUNTOS'!$A$1:$B$63,2,0),0)</f>
        <v>0</v>
      </c>
      <c r="H115" s="138">
        <f>IF('1.DATOS-PROD'!Q116="SI",VLOOKUP('1.DATOS-PROD'!Q$2,'1.PUNTOS'!$A$1:$B$63,2,0),0)</f>
        <v>0</v>
      </c>
      <c r="I115" s="138">
        <f>IF('1.DATOS-PROD'!R116="SI",VLOOKUP('1.DATOS-PROD'!R$2,'1.PUNTOS'!$A$1:$B$63,2,0),0)</f>
        <v>0</v>
      </c>
      <c r="J115" s="138">
        <f>IF('1.DATOS-PROD'!S116="SI",VLOOKUP('1.DATOS-PROD'!S$2,'1.PUNTOS'!$A$1:$B$63,2,0),0)</f>
        <v>0</v>
      </c>
      <c r="K115" s="138">
        <f>IF('1.DATOS-PROD'!T116="SI",VLOOKUP('1.DATOS-PROD'!T$2,'1.PUNTOS'!$A$1:$B$63,2,0),0)</f>
        <v>0</v>
      </c>
      <c r="L115" s="138">
        <f>IF('1.DATOS-PROD'!U116="SI",VLOOKUP('1.DATOS-PROD'!U$2,'1.PUNTOS'!$A$1:$B$63,2,0),0)</f>
        <v>0</v>
      </c>
      <c r="M115" s="138">
        <f>IF('1.DATOS-PROD'!V116="SI",VLOOKUP('1.DATOS-PROD'!V$2,'1.PUNTOS'!$A$1:$B$63,2,0),0)</f>
        <v>0</v>
      </c>
      <c r="N115" s="138">
        <f>IF('1.DATOS-PROD'!W116="SI",VLOOKUP('1.DATOS-PROD'!W$2,'1.PUNTOS'!$A$1:$B$63,2,0),0)</f>
        <v>0</v>
      </c>
      <c r="O115" s="138">
        <f>IF('1.DATOS-PROD'!X116="SI",VLOOKUP('1.DATOS-PROD'!X$2,'1.PUNTOS'!$A$1:$B$63,2,0),0)</f>
        <v>0</v>
      </c>
      <c r="P115" s="138">
        <f>IF('1.DATOS-PROD'!Y116="SI",VLOOKUP('1.DATOS-PROD'!Y$2,'1.PUNTOS'!$A$1:$B$63,2,0),0)</f>
        <v>0</v>
      </c>
      <c r="Q115" s="138">
        <f>IF('1.DATOS-PROD'!Z116="SI",VLOOKUP('1.DATOS-PROD'!Z$2,'1.PUNTOS'!$A$1:$B$63,2,0),0)</f>
        <v>0</v>
      </c>
      <c r="R115" s="138">
        <f>IF('1.DATOS-PROD'!AA116="SI",VLOOKUP('1.DATOS-PROD'!AA$2,'1.PUNTOS'!$A$1:$B$63,2,0),0)</f>
        <v>0</v>
      </c>
      <c r="S115" s="138">
        <f>IF('1.DATOS-PROD'!AB116="SI",VLOOKUP('1.DATOS-PROD'!AB$2,'1.PUNTOS'!$A$1:$B$63,2,0),0)</f>
        <v>0</v>
      </c>
      <c r="T115" s="138">
        <f>IF('1.DATOS-PROD'!AC116="SI",VLOOKUP('1.DATOS-PROD'!AC$2,'1.PUNTOS'!$A$1:$B$63,2,0),0)</f>
        <v>0</v>
      </c>
      <c r="U115" s="138">
        <f>IF('1.DATOS-PROD'!AD116="SI",VLOOKUP('1.DATOS-PROD'!AD$2,'1.PUNTOS'!$A$1:$B$63,2,0),0)</f>
        <v>0</v>
      </c>
      <c r="V115" s="138">
        <f>IF('1.DATOS-PROD'!AE116="SI",VLOOKUP('1.DATOS-PROD'!AE$2,'1.PUNTOS'!$A$1:$B$63,2,0),0)</f>
        <v>0</v>
      </c>
      <c r="W115" s="138">
        <f>IF('1.DATOS-PROD'!AF116="SI",VLOOKUP('1.DATOS-PROD'!AF$2,'1.PUNTOS'!$A$1:$B$63,2,0),0)</f>
        <v>0</v>
      </c>
      <c r="X115" s="138">
        <f>IF('1.DATOS-PROD'!AG116="SI",VLOOKUP('1.DATOS-PROD'!AG$2,'1.PUNTOS'!$A$1:$B$63,2,0),0)</f>
        <v>0</v>
      </c>
      <c r="Y115" s="138">
        <f>IF('1.DATOS-PROD'!AH116="SI",VLOOKUP('1.DATOS-PROD'!AH$2,'1.PUNTOS'!$A$1:$B$63,2,0),0)</f>
        <v>0</v>
      </c>
      <c r="Z115" s="138">
        <f>IF('1.DATOS-PROD'!AI116="SI",VLOOKUP('1.DATOS-PROD'!AI$2,'1.PUNTOS'!$A$1:$B$63,2,0),0)</f>
        <v>0</v>
      </c>
      <c r="AA115" s="138">
        <f>IF('1.DATOS-PROD'!AJ116="SI",VLOOKUP('1.DATOS-PROD'!AJ$2,'1.PUNTOS'!$A$1:$B$63,2,0),0)</f>
        <v>0</v>
      </c>
      <c r="AB115" s="138">
        <f>IF('1.DATOS-PROD'!AK116="SI",VLOOKUP('1.DATOS-PROD'!AK$2,'1.PUNTOS'!$A$1:$B$63,2,0),0)</f>
        <v>0</v>
      </c>
      <c r="AC115" s="138">
        <f>IF('1.DATOS-PROD'!AL116="SI",VLOOKUP('1.DATOS-PROD'!AL$2,'1.PUNTOS'!$A$1:$B$63,2,0),0)</f>
        <v>0</v>
      </c>
      <c r="AD115" s="138">
        <f>IF('1.DATOS-PROD'!AM116="SI",VLOOKUP('1.DATOS-PROD'!AM$2,'1.PUNTOS'!$A$1:$B$63,2,0),0)</f>
        <v>0</v>
      </c>
      <c r="AE115" s="138">
        <f>IF('1.DATOS-PROD'!AN116="SI",VLOOKUP('1.DATOS-PROD'!AN$2,'1.PUNTOS'!$A$1:$B$63,2,0),0)</f>
        <v>0</v>
      </c>
      <c r="AF115" s="138">
        <f>IF('1.DATOS-PROD'!AO116="SI",VLOOKUP('1.DATOS-PROD'!AO$2,'1.PUNTOS'!$A$1:$B$63,2,0),0)</f>
        <v>0</v>
      </c>
      <c r="AG115" s="138">
        <f>IF('1.DATOS-PROD'!AP116="SI",VLOOKUP('1.DATOS-PROD'!AP$2,'1.PUNTOS'!$A$1:$B$63,2,0),0)</f>
        <v>0</v>
      </c>
      <c r="AH115" s="138">
        <f>IF('1.DATOS-PROD'!AQ116="SI",VLOOKUP('1.DATOS-PROD'!AQ$2,'1.PUNTOS'!$A$1:$B$63,2,0),0)</f>
        <v>0</v>
      </c>
      <c r="AI115" s="138">
        <f>IF('1.DATOS-PROD'!AR116="SI",VLOOKUP('1.DATOS-PROD'!AR$2,'1.PUNTOS'!$A$1:$B$63,2,0),0)</f>
        <v>0</v>
      </c>
      <c r="AJ115" s="138">
        <f>IF('1.DATOS-PROD'!AS116="SI",VLOOKUP('1.DATOS-PROD'!AS$2,'1.PUNTOS'!$A$1:$B$63,2,0),0)</f>
        <v>0</v>
      </c>
      <c r="AK115" s="138">
        <f>IF('1.DATOS-PROD'!AT116="SI",VLOOKUP('1.DATOS-PROD'!AT$2,'1.PUNTOS'!$A$1:$B$63,2,0),0)</f>
        <v>0</v>
      </c>
      <c r="AL115" s="138">
        <f>IF('1.DATOS-PROD'!AU116="SI",VLOOKUP('1.DATOS-PROD'!AU$2,'1.PUNTOS'!$A$1:$B$63,2,0),0)</f>
        <v>0</v>
      </c>
      <c r="AM115" s="138">
        <f>IF('1.DATOS-PROD'!AV116="SI",VLOOKUP('1.DATOS-PROD'!AV$2,'1.PUNTOS'!$A$1:$B$63,2,0),0)</f>
        <v>0</v>
      </c>
      <c r="AN115" s="138">
        <f>IF('1.DATOS-PROD'!AW116="SI",VLOOKUP('1.DATOS-PROD'!AW$2,'1.PUNTOS'!$A$1:$B$63,2,0),0)</f>
        <v>0</v>
      </c>
      <c r="AO115" s="138">
        <f>IF('1.DATOS-PROD'!AX116="SI",VLOOKUP('1.DATOS-PROD'!AX$2,'1.PUNTOS'!$A$1:$B$63,2,0),0)</f>
        <v>0</v>
      </c>
      <c r="AP115" s="138">
        <f>IF('1.DATOS-PROD'!AY116="SI",VLOOKUP('1.DATOS-PROD'!AY$2,'1.PUNTOS'!$A$1:$B$63,2,0),0)</f>
        <v>0</v>
      </c>
      <c r="AQ115" s="138">
        <f>IF('1.DATOS-PROD'!AZ116="SI",VLOOKUP('1.DATOS-PROD'!AZ$2,'1.PUNTOS'!$A$1:$B$63,2,0),0)</f>
        <v>0</v>
      </c>
      <c r="AR115" s="138">
        <f>IF('1.DATOS-PROD'!BA116="SI",VLOOKUP('1.DATOS-PROD'!BA$2,'1.PUNTOS'!$A$1:$B$63,2,0),0)</f>
        <v>0</v>
      </c>
      <c r="AS115" s="138">
        <f>IF('1.DATOS-PROD'!BB116="SI",VLOOKUP('1.DATOS-PROD'!BB$2,'1.PUNTOS'!$A$1:$B$63,2,0),0)</f>
        <v>0</v>
      </c>
      <c r="AT115" s="138">
        <f>IF('1.DATOS-PROD'!BC116="SI",VLOOKUP('1.DATOS-PROD'!BC$2,'1.PUNTOS'!$A$1:$B$63,2,0),0)</f>
        <v>0</v>
      </c>
      <c r="AU115" s="138">
        <f>IF('1.DATOS-PROD'!BD116="SI",VLOOKUP('1.DATOS-PROD'!BD$2,'1.PUNTOS'!$A$1:$B$63,2,0),0)</f>
        <v>0</v>
      </c>
      <c r="AV115" s="138">
        <f>IF('1.DATOS-PROD'!BE116="SI",VLOOKUP('1.DATOS-PROD'!BE$2,'1.PUNTOS'!$A$1:$B$63,2,0),0)</f>
        <v>0</v>
      </c>
      <c r="AW115" s="138">
        <f>IF('1.DATOS-PROD'!BF116="SI",VLOOKUP('1.DATOS-PROD'!BF$2,'1.PUNTOS'!$A$1:$B$63,2,0),0)</f>
        <v>0</v>
      </c>
      <c r="AX115" s="138">
        <f>IF('1.DATOS-PROD'!BG116="SI",VLOOKUP('1.DATOS-PROD'!BG$2,'1.PUNTOS'!$A$1:$B$63,2,0),0)</f>
        <v>0</v>
      </c>
      <c r="AY115" s="138">
        <f>IF('1.DATOS-PROD'!BH116="SI",VLOOKUP('1.DATOS-PROD'!BH$2,'1.PUNTOS'!$A$1:$B$63,2,0),0)</f>
        <v>0</v>
      </c>
      <c r="AZ115" s="138">
        <f>IF('1.DATOS-PROD'!BI116="SI",VLOOKUP('1.DATOS-PROD'!BI$2,'1.PUNTOS'!$A$1:$B$63,2,0),0)</f>
        <v>0</v>
      </c>
      <c r="BA115" s="138">
        <f>IF('1.DATOS-PROD'!BJ116="SI",VLOOKUP('1.DATOS-PROD'!BJ$2,'1.PUNTOS'!$A$1:$B$63,2,0),0)</f>
        <v>0</v>
      </c>
      <c r="BB115" s="138">
        <f>IF('1.DATOS-PROD'!BK116="SI",VLOOKUP('1.DATOS-PROD'!BK$2,'1.PUNTOS'!$A$1:$B$63,2,0),0)</f>
        <v>0</v>
      </c>
      <c r="BC115" s="138">
        <f>IF('1.DATOS-PROD'!BL116="SI",VLOOKUP('1.DATOS-PROD'!BL$2,'1.PUNTOS'!$A$1:$B$63,2,0),0)</f>
        <v>0</v>
      </c>
      <c r="BD115" s="138">
        <f>IF('1.DATOS-PROD'!BM116="SI",VLOOKUP('1.DATOS-PROD'!BM$2,'1.PUNTOS'!$A$1:$B$63,2,0),0)</f>
        <v>0</v>
      </c>
      <c r="BE115" s="138">
        <f>IF('1.DATOS-PROD'!BN116="SI",VLOOKUP('1.DATOS-PROD'!BN$2,'1.PUNTOS'!$A$1:$B$63,2,0),0)</f>
        <v>0</v>
      </c>
      <c r="BF115" s="138">
        <f>IF('1.DATOS-PROD'!BO116="SI",VLOOKUP('1.DATOS-PROD'!BO$2,'1.PUNTOS'!$A$1:$B$63,2,0),0)</f>
        <v>0</v>
      </c>
      <c r="BG115" s="138">
        <f>IF('1.DATOS-PROD'!BP116="SI",VLOOKUP('1.DATOS-PROD'!BP$2,'1.PUNTOS'!$A$1:$B$63,2,0),0)</f>
        <v>0</v>
      </c>
      <c r="BH115" s="138">
        <f>IF('1.DATOS-PROD'!BQ116="SI",VLOOKUP('1.DATOS-PROD'!BQ$2,'1.PUNTOS'!$A$1:$B$63,2,0),0)</f>
        <v>0</v>
      </c>
      <c r="BI115" s="138">
        <f>IF('1.DATOS-PROD'!BR116="SI",VLOOKUP('1.DATOS-PROD'!BR$2,'1.PUNTOS'!$A$1:$B$63,2,0),0)</f>
        <v>0</v>
      </c>
      <c r="BJ115" s="138">
        <f>IF('1.DATOS-PROD'!BS116="SI",VLOOKUP('1.DATOS-PROD'!BS$2,'1.PUNTOS'!$A$1:$B$63,2,0),0)</f>
        <v>0</v>
      </c>
      <c r="BK115" s="138">
        <f>IF('1.DATOS-PROD'!BT116="SI",VLOOKUP('1.DATOS-PROD'!BT$2,'1.PUNTOS'!$A$1:$B$63,2,0),0)</f>
        <v>0</v>
      </c>
    </row>
    <row r="116" spans="1:63" x14ac:dyDescent="0.25">
      <c r="A116">
        <f>'0.Consolidado general'!$A117</f>
        <v>0</v>
      </c>
      <c r="B116" s="138">
        <f>IF('1.DATOS-PROD'!K117="SI",VLOOKUP('1.DATOS-PROD'!K$2,'1.PUNTOS'!$A$1:$B$63,2,0),0)</f>
        <v>0</v>
      </c>
      <c r="C116" s="138">
        <f>IF('1.DATOS-PROD'!L117="SI",VLOOKUP('1.DATOS-PROD'!L$2,'1.PUNTOS'!$A$1:$B$63,2,0),0)</f>
        <v>0</v>
      </c>
      <c r="D116" s="138">
        <f>IF('1.DATOS-PROD'!M117="SI",VLOOKUP('1.DATOS-PROD'!M$2,'1.PUNTOS'!$A$1:$B$63,2,0),0)</f>
        <v>0</v>
      </c>
      <c r="E116" s="138">
        <f>IF('1.DATOS-PROD'!N117="SI",VLOOKUP('1.DATOS-PROD'!N$2,'1.PUNTOS'!$A$1:$B$63,2,0),0)</f>
        <v>0</v>
      </c>
      <c r="F116" s="138">
        <f>IF('1.DATOS-PROD'!O117="SI",VLOOKUP('1.DATOS-PROD'!O$2,'1.PUNTOS'!$A$1:$B$63,2,0),0)</f>
        <v>0</v>
      </c>
      <c r="G116" s="138">
        <f>IF('1.DATOS-PROD'!P117="SI",VLOOKUP('1.DATOS-PROD'!P$2,'1.PUNTOS'!$A$1:$B$63,2,0),0)</f>
        <v>0</v>
      </c>
      <c r="H116" s="138">
        <f>IF('1.DATOS-PROD'!Q117="SI",VLOOKUP('1.DATOS-PROD'!Q$2,'1.PUNTOS'!$A$1:$B$63,2,0),0)</f>
        <v>0</v>
      </c>
      <c r="I116" s="138">
        <f>IF('1.DATOS-PROD'!R117="SI",VLOOKUP('1.DATOS-PROD'!R$2,'1.PUNTOS'!$A$1:$B$63,2,0),0)</f>
        <v>0</v>
      </c>
      <c r="J116" s="138">
        <f>IF('1.DATOS-PROD'!S117="SI",VLOOKUP('1.DATOS-PROD'!S$2,'1.PUNTOS'!$A$1:$B$63,2,0),0)</f>
        <v>0</v>
      </c>
      <c r="K116" s="138">
        <f>IF('1.DATOS-PROD'!T117="SI",VLOOKUP('1.DATOS-PROD'!T$2,'1.PUNTOS'!$A$1:$B$63,2,0),0)</f>
        <v>0</v>
      </c>
      <c r="L116" s="138">
        <f>IF('1.DATOS-PROD'!U117="SI",VLOOKUP('1.DATOS-PROD'!U$2,'1.PUNTOS'!$A$1:$B$63,2,0),0)</f>
        <v>0</v>
      </c>
      <c r="M116" s="138">
        <f>IF('1.DATOS-PROD'!V117="SI",VLOOKUP('1.DATOS-PROD'!V$2,'1.PUNTOS'!$A$1:$B$63,2,0),0)</f>
        <v>0</v>
      </c>
      <c r="N116" s="138">
        <f>IF('1.DATOS-PROD'!W117="SI",VLOOKUP('1.DATOS-PROD'!W$2,'1.PUNTOS'!$A$1:$B$63,2,0),0)</f>
        <v>0</v>
      </c>
      <c r="O116" s="138">
        <f>IF('1.DATOS-PROD'!X117="SI",VLOOKUP('1.DATOS-PROD'!X$2,'1.PUNTOS'!$A$1:$B$63,2,0),0)</f>
        <v>0</v>
      </c>
      <c r="P116" s="138">
        <f>IF('1.DATOS-PROD'!Y117="SI",VLOOKUP('1.DATOS-PROD'!Y$2,'1.PUNTOS'!$A$1:$B$63,2,0),0)</f>
        <v>0</v>
      </c>
      <c r="Q116" s="138">
        <f>IF('1.DATOS-PROD'!Z117="SI",VLOOKUP('1.DATOS-PROD'!Z$2,'1.PUNTOS'!$A$1:$B$63,2,0),0)</f>
        <v>0</v>
      </c>
      <c r="R116" s="138">
        <f>IF('1.DATOS-PROD'!AA117="SI",VLOOKUP('1.DATOS-PROD'!AA$2,'1.PUNTOS'!$A$1:$B$63,2,0),0)</f>
        <v>0</v>
      </c>
      <c r="S116" s="138">
        <f>IF('1.DATOS-PROD'!AB117="SI",VLOOKUP('1.DATOS-PROD'!AB$2,'1.PUNTOS'!$A$1:$B$63,2,0),0)</f>
        <v>0</v>
      </c>
      <c r="T116" s="138">
        <f>IF('1.DATOS-PROD'!AC117="SI",VLOOKUP('1.DATOS-PROD'!AC$2,'1.PUNTOS'!$A$1:$B$63,2,0),0)</f>
        <v>0</v>
      </c>
      <c r="U116" s="138">
        <f>IF('1.DATOS-PROD'!AD117="SI",VLOOKUP('1.DATOS-PROD'!AD$2,'1.PUNTOS'!$A$1:$B$63,2,0),0)</f>
        <v>0</v>
      </c>
      <c r="V116" s="138">
        <f>IF('1.DATOS-PROD'!AE117="SI",VLOOKUP('1.DATOS-PROD'!AE$2,'1.PUNTOS'!$A$1:$B$63,2,0),0)</f>
        <v>0</v>
      </c>
      <c r="W116" s="138">
        <f>IF('1.DATOS-PROD'!AF117="SI",VLOOKUP('1.DATOS-PROD'!AF$2,'1.PUNTOS'!$A$1:$B$63,2,0),0)</f>
        <v>0</v>
      </c>
      <c r="X116" s="138">
        <f>IF('1.DATOS-PROD'!AG117="SI",VLOOKUP('1.DATOS-PROD'!AG$2,'1.PUNTOS'!$A$1:$B$63,2,0),0)</f>
        <v>0</v>
      </c>
      <c r="Y116" s="138">
        <f>IF('1.DATOS-PROD'!AH117="SI",VLOOKUP('1.DATOS-PROD'!AH$2,'1.PUNTOS'!$A$1:$B$63,2,0),0)</f>
        <v>0</v>
      </c>
      <c r="Z116" s="138">
        <f>IF('1.DATOS-PROD'!AI117="SI",VLOOKUP('1.DATOS-PROD'!AI$2,'1.PUNTOS'!$A$1:$B$63,2,0),0)</f>
        <v>0</v>
      </c>
      <c r="AA116" s="138">
        <f>IF('1.DATOS-PROD'!AJ117="SI",VLOOKUP('1.DATOS-PROD'!AJ$2,'1.PUNTOS'!$A$1:$B$63,2,0),0)</f>
        <v>0</v>
      </c>
      <c r="AB116" s="138">
        <f>IF('1.DATOS-PROD'!AK117="SI",VLOOKUP('1.DATOS-PROD'!AK$2,'1.PUNTOS'!$A$1:$B$63,2,0),0)</f>
        <v>0</v>
      </c>
      <c r="AC116" s="138">
        <f>IF('1.DATOS-PROD'!AL117="SI",VLOOKUP('1.DATOS-PROD'!AL$2,'1.PUNTOS'!$A$1:$B$63,2,0),0)</f>
        <v>0</v>
      </c>
      <c r="AD116" s="138">
        <f>IF('1.DATOS-PROD'!AM117="SI",VLOOKUP('1.DATOS-PROD'!AM$2,'1.PUNTOS'!$A$1:$B$63,2,0),0)</f>
        <v>0</v>
      </c>
      <c r="AE116" s="138">
        <f>IF('1.DATOS-PROD'!AN117="SI",VLOOKUP('1.DATOS-PROD'!AN$2,'1.PUNTOS'!$A$1:$B$63,2,0),0)</f>
        <v>0</v>
      </c>
      <c r="AF116" s="138">
        <f>IF('1.DATOS-PROD'!AO117="SI",VLOOKUP('1.DATOS-PROD'!AO$2,'1.PUNTOS'!$A$1:$B$63,2,0),0)</f>
        <v>0</v>
      </c>
      <c r="AG116" s="138">
        <f>IF('1.DATOS-PROD'!AP117="SI",VLOOKUP('1.DATOS-PROD'!AP$2,'1.PUNTOS'!$A$1:$B$63,2,0),0)</f>
        <v>0</v>
      </c>
      <c r="AH116" s="138">
        <f>IF('1.DATOS-PROD'!AQ117="SI",VLOOKUP('1.DATOS-PROD'!AQ$2,'1.PUNTOS'!$A$1:$B$63,2,0),0)</f>
        <v>0</v>
      </c>
      <c r="AI116" s="138">
        <f>IF('1.DATOS-PROD'!AR117="SI",VLOOKUP('1.DATOS-PROD'!AR$2,'1.PUNTOS'!$A$1:$B$63,2,0),0)</f>
        <v>0</v>
      </c>
      <c r="AJ116" s="138">
        <f>IF('1.DATOS-PROD'!AS117="SI",VLOOKUP('1.DATOS-PROD'!AS$2,'1.PUNTOS'!$A$1:$B$63,2,0),0)</f>
        <v>0</v>
      </c>
      <c r="AK116" s="138">
        <f>IF('1.DATOS-PROD'!AT117="SI",VLOOKUP('1.DATOS-PROD'!AT$2,'1.PUNTOS'!$A$1:$B$63,2,0),0)</f>
        <v>0</v>
      </c>
      <c r="AL116" s="138">
        <f>IF('1.DATOS-PROD'!AU117="SI",VLOOKUP('1.DATOS-PROD'!AU$2,'1.PUNTOS'!$A$1:$B$63,2,0),0)</f>
        <v>0</v>
      </c>
      <c r="AM116" s="138">
        <f>IF('1.DATOS-PROD'!AV117="SI",VLOOKUP('1.DATOS-PROD'!AV$2,'1.PUNTOS'!$A$1:$B$63,2,0),0)</f>
        <v>0</v>
      </c>
      <c r="AN116" s="138">
        <f>IF('1.DATOS-PROD'!AW117="SI",VLOOKUP('1.DATOS-PROD'!AW$2,'1.PUNTOS'!$A$1:$B$63,2,0),0)</f>
        <v>0</v>
      </c>
      <c r="AO116" s="138">
        <f>IF('1.DATOS-PROD'!AX117="SI",VLOOKUP('1.DATOS-PROD'!AX$2,'1.PUNTOS'!$A$1:$B$63,2,0),0)</f>
        <v>0</v>
      </c>
      <c r="AP116" s="138">
        <f>IF('1.DATOS-PROD'!AY117="SI",VLOOKUP('1.DATOS-PROD'!AY$2,'1.PUNTOS'!$A$1:$B$63,2,0),0)</f>
        <v>0</v>
      </c>
      <c r="AQ116" s="138">
        <f>IF('1.DATOS-PROD'!AZ117="SI",VLOOKUP('1.DATOS-PROD'!AZ$2,'1.PUNTOS'!$A$1:$B$63,2,0),0)</f>
        <v>0</v>
      </c>
      <c r="AR116" s="138">
        <f>IF('1.DATOS-PROD'!BA117="SI",VLOOKUP('1.DATOS-PROD'!BA$2,'1.PUNTOS'!$A$1:$B$63,2,0),0)</f>
        <v>0</v>
      </c>
      <c r="AS116" s="138">
        <f>IF('1.DATOS-PROD'!BB117="SI",VLOOKUP('1.DATOS-PROD'!BB$2,'1.PUNTOS'!$A$1:$B$63,2,0),0)</f>
        <v>0</v>
      </c>
      <c r="AT116" s="138">
        <f>IF('1.DATOS-PROD'!BC117="SI",VLOOKUP('1.DATOS-PROD'!BC$2,'1.PUNTOS'!$A$1:$B$63,2,0),0)</f>
        <v>0</v>
      </c>
      <c r="AU116" s="138">
        <f>IF('1.DATOS-PROD'!BD117="SI",VLOOKUP('1.DATOS-PROD'!BD$2,'1.PUNTOS'!$A$1:$B$63,2,0),0)</f>
        <v>0</v>
      </c>
      <c r="AV116" s="138">
        <f>IF('1.DATOS-PROD'!BE117="SI",VLOOKUP('1.DATOS-PROD'!BE$2,'1.PUNTOS'!$A$1:$B$63,2,0),0)</f>
        <v>0</v>
      </c>
      <c r="AW116" s="138">
        <f>IF('1.DATOS-PROD'!BF117="SI",VLOOKUP('1.DATOS-PROD'!BF$2,'1.PUNTOS'!$A$1:$B$63,2,0),0)</f>
        <v>0</v>
      </c>
      <c r="AX116" s="138">
        <f>IF('1.DATOS-PROD'!BG117="SI",VLOOKUP('1.DATOS-PROD'!BG$2,'1.PUNTOS'!$A$1:$B$63,2,0),0)</f>
        <v>0</v>
      </c>
      <c r="AY116" s="138">
        <f>IF('1.DATOS-PROD'!BH117="SI",VLOOKUP('1.DATOS-PROD'!BH$2,'1.PUNTOS'!$A$1:$B$63,2,0),0)</f>
        <v>0</v>
      </c>
      <c r="AZ116" s="138">
        <f>IF('1.DATOS-PROD'!BI117="SI",VLOOKUP('1.DATOS-PROD'!BI$2,'1.PUNTOS'!$A$1:$B$63,2,0),0)</f>
        <v>0</v>
      </c>
      <c r="BA116" s="138">
        <f>IF('1.DATOS-PROD'!BJ117="SI",VLOOKUP('1.DATOS-PROD'!BJ$2,'1.PUNTOS'!$A$1:$B$63,2,0),0)</f>
        <v>0</v>
      </c>
      <c r="BB116" s="138">
        <f>IF('1.DATOS-PROD'!BK117="SI",VLOOKUP('1.DATOS-PROD'!BK$2,'1.PUNTOS'!$A$1:$B$63,2,0),0)</f>
        <v>0</v>
      </c>
      <c r="BC116" s="138">
        <f>IF('1.DATOS-PROD'!BL117="SI",VLOOKUP('1.DATOS-PROD'!BL$2,'1.PUNTOS'!$A$1:$B$63,2,0),0)</f>
        <v>0</v>
      </c>
      <c r="BD116" s="138">
        <f>IF('1.DATOS-PROD'!BM117="SI",VLOOKUP('1.DATOS-PROD'!BM$2,'1.PUNTOS'!$A$1:$B$63,2,0),0)</f>
        <v>0</v>
      </c>
      <c r="BE116" s="138">
        <f>IF('1.DATOS-PROD'!BN117="SI",VLOOKUP('1.DATOS-PROD'!BN$2,'1.PUNTOS'!$A$1:$B$63,2,0),0)</f>
        <v>0</v>
      </c>
      <c r="BF116" s="138">
        <f>IF('1.DATOS-PROD'!BO117="SI",VLOOKUP('1.DATOS-PROD'!BO$2,'1.PUNTOS'!$A$1:$B$63,2,0),0)</f>
        <v>0</v>
      </c>
      <c r="BG116" s="138">
        <f>IF('1.DATOS-PROD'!BP117="SI",VLOOKUP('1.DATOS-PROD'!BP$2,'1.PUNTOS'!$A$1:$B$63,2,0),0)</f>
        <v>0</v>
      </c>
      <c r="BH116" s="138">
        <f>IF('1.DATOS-PROD'!BQ117="SI",VLOOKUP('1.DATOS-PROD'!BQ$2,'1.PUNTOS'!$A$1:$B$63,2,0),0)</f>
        <v>0</v>
      </c>
      <c r="BI116" s="138">
        <f>IF('1.DATOS-PROD'!BR117="SI",VLOOKUP('1.DATOS-PROD'!BR$2,'1.PUNTOS'!$A$1:$B$63,2,0),0)</f>
        <v>0</v>
      </c>
      <c r="BJ116" s="138">
        <f>IF('1.DATOS-PROD'!BS117="SI",VLOOKUP('1.DATOS-PROD'!BS$2,'1.PUNTOS'!$A$1:$B$63,2,0),0)</f>
        <v>0</v>
      </c>
      <c r="BK116" s="138">
        <f>IF('1.DATOS-PROD'!BT117="SI",VLOOKUP('1.DATOS-PROD'!BT$2,'1.PUNTOS'!$A$1:$B$63,2,0),0)</f>
        <v>0</v>
      </c>
    </row>
    <row r="117" spans="1:63" x14ac:dyDescent="0.25">
      <c r="A117">
        <f>'0.Consolidado general'!$A118</f>
        <v>0</v>
      </c>
      <c r="B117" s="138">
        <f>IF('1.DATOS-PROD'!K118="SI",VLOOKUP('1.DATOS-PROD'!K$2,'1.PUNTOS'!$A$1:$B$63,2,0),0)</f>
        <v>0</v>
      </c>
      <c r="C117" s="138">
        <f>IF('1.DATOS-PROD'!L118="SI",VLOOKUP('1.DATOS-PROD'!L$2,'1.PUNTOS'!$A$1:$B$63,2,0),0)</f>
        <v>0</v>
      </c>
      <c r="D117" s="138">
        <f>IF('1.DATOS-PROD'!M118="SI",VLOOKUP('1.DATOS-PROD'!M$2,'1.PUNTOS'!$A$1:$B$63,2,0),0)</f>
        <v>0</v>
      </c>
      <c r="E117" s="138">
        <f>IF('1.DATOS-PROD'!N118="SI",VLOOKUP('1.DATOS-PROD'!N$2,'1.PUNTOS'!$A$1:$B$63,2,0),0)</f>
        <v>0</v>
      </c>
      <c r="F117" s="138">
        <f>IF('1.DATOS-PROD'!O118="SI",VLOOKUP('1.DATOS-PROD'!O$2,'1.PUNTOS'!$A$1:$B$63,2,0),0)</f>
        <v>0</v>
      </c>
      <c r="G117" s="138">
        <f>IF('1.DATOS-PROD'!P118="SI",VLOOKUP('1.DATOS-PROD'!P$2,'1.PUNTOS'!$A$1:$B$63,2,0),0)</f>
        <v>0</v>
      </c>
      <c r="H117" s="138">
        <f>IF('1.DATOS-PROD'!Q118="SI",VLOOKUP('1.DATOS-PROD'!Q$2,'1.PUNTOS'!$A$1:$B$63,2,0),0)</f>
        <v>0</v>
      </c>
      <c r="I117" s="138">
        <f>IF('1.DATOS-PROD'!R118="SI",VLOOKUP('1.DATOS-PROD'!R$2,'1.PUNTOS'!$A$1:$B$63,2,0),0)</f>
        <v>0</v>
      </c>
      <c r="J117" s="138">
        <f>IF('1.DATOS-PROD'!S118="SI",VLOOKUP('1.DATOS-PROD'!S$2,'1.PUNTOS'!$A$1:$B$63,2,0),0)</f>
        <v>0</v>
      </c>
      <c r="K117" s="138">
        <f>IF('1.DATOS-PROD'!T118="SI",VLOOKUP('1.DATOS-PROD'!T$2,'1.PUNTOS'!$A$1:$B$63,2,0),0)</f>
        <v>0</v>
      </c>
      <c r="L117" s="138">
        <f>IF('1.DATOS-PROD'!U118="SI",VLOOKUP('1.DATOS-PROD'!U$2,'1.PUNTOS'!$A$1:$B$63,2,0),0)</f>
        <v>0</v>
      </c>
      <c r="M117" s="138">
        <f>IF('1.DATOS-PROD'!V118="SI",VLOOKUP('1.DATOS-PROD'!V$2,'1.PUNTOS'!$A$1:$B$63,2,0),0)</f>
        <v>0</v>
      </c>
      <c r="N117" s="138">
        <f>IF('1.DATOS-PROD'!W118="SI",VLOOKUP('1.DATOS-PROD'!W$2,'1.PUNTOS'!$A$1:$B$63,2,0),0)</f>
        <v>0</v>
      </c>
      <c r="O117" s="138">
        <f>IF('1.DATOS-PROD'!X118="SI",VLOOKUP('1.DATOS-PROD'!X$2,'1.PUNTOS'!$A$1:$B$63,2,0),0)</f>
        <v>0</v>
      </c>
      <c r="P117" s="138">
        <f>IF('1.DATOS-PROD'!Y118="SI",VLOOKUP('1.DATOS-PROD'!Y$2,'1.PUNTOS'!$A$1:$B$63,2,0),0)</f>
        <v>0</v>
      </c>
      <c r="Q117" s="138">
        <f>IF('1.DATOS-PROD'!Z118="SI",VLOOKUP('1.DATOS-PROD'!Z$2,'1.PUNTOS'!$A$1:$B$63,2,0),0)</f>
        <v>0</v>
      </c>
      <c r="R117" s="138">
        <f>IF('1.DATOS-PROD'!AA118="SI",VLOOKUP('1.DATOS-PROD'!AA$2,'1.PUNTOS'!$A$1:$B$63,2,0),0)</f>
        <v>0</v>
      </c>
      <c r="S117" s="138">
        <f>IF('1.DATOS-PROD'!AB118="SI",VLOOKUP('1.DATOS-PROD'!AB$2,'1.PUNTOS'!$A$1:$B$63,2,0),0)</f>
        <v>0</v>
      </c>
      <c r="T117" s="138">
        <f>IF('1.DATOS-PROD'!AC118="SI",VLOOKUP('1.DATOS-PROD'!AC$2,'1.PUNTOS'!$A$1:$B$63,2,0),0)</f>
        <v>0</v>
      </c>
      <c r="U117" s="138">
        <f>IF('1.DATOS-PROD'!AD118="SI",VLOOKUP('1.DATOS-PROD'!AD$2,'1.PUNTOS'!$A$1:$B$63,2,0),0)</f>
        <v>0</v>
      </c>
      <c r="V117" s="138">
        <f>IF('1.DATOS-PROD'!AE118="SI",VLOOKUP('1.DATOS-PROD'!AE$2,'1.PUNTOS'!$A$1:$B$63,2,0),0)</f>
        <v>0</v>
      </c>
      <c r="W117" s="138">
        <f>IF('1.DATOS-PROD'!AF118="SI",VLOOKUP('1.DATOS-PROD'!AF$2,'1.PUNTOS'!$A$1:$B$63,2,0),0)</f>
        <v>0</v>
      </c>
      <c r="X117" s="138">
        <f>IF('1.DATOS-PROD'!AG118="SI",VLOOKUP('1.DATOS-PROD'!AG$2,'1.PUNTOS'!$A$1:$B$63,2,0),0)</f>
        <v>0</v>
      </c>
      <c r="Y117" s="138">
        <f>IF('1.DATOS-PROD'!AH118="SI",VLOOKUP('1.DATOS-PROD'!AH$2,'1.PUNTOS'!$A$1:$B$63,2,0),0)</f>
        <v>0</v>
      </c>
      <c r="Z117" s="138">
        <f>IF('1.DATOS-PROD'!AI118="SI",VLOOKUP('1.DATOS-PROD'!AI$2,'1.PUNTOS'!$A$1:$B$63,2,0),0)</f>
        <v>0</v>
      </c>
      <c r="AA117" s="138">
        <f>IF('1.DATOS-PROD'!AJ118="SI",VLOOKUP('1.DATOS-PROD'!AJ$2,'1.PUNTOS'!$A$1:$B$63,2,0),0)</f>
        <v>0</v>
      </c>
      <c r="AB117" s="138">
        <f>IF('1.DATOS-PROD'!AK118="SI",VLOOKUP('1.DATOS-PROD'!AK$2,'1.PUNTOS'!$A$1:$B$63,2,0),0)</f>
        <v>0</v>
      </c>
      <c r="AC117" s="138">
        <f>IF('1.DATOS-PROD'!AL118="SI",VLOOKUP('1.DATOS-PROD'!AL$2,'1.PUNTOS'!$A$1:$B$63,2,0),0)</f>
        <v>0</v>
      </c>
      <c r="AD117" s="138">
        <f>IF('1.DATOS-PROD'!AM118="SI",VLOOKUP('1.DATOS-PROD'!AM$2,'1.PUNTOS'!$A$1:$B$63,2,0),0)</f>
        <v>0</v>
      </c>
      <c r="AE117" s="138">
        <f>IF('1.DATOS-PROD'!AN118="SI",VLOOKUP('1.DATOS-PROD'!AN$2,'1.PUNTOS'!$A$1:$B$63,2,0),0)</f>
        <v>0</v>
      </c>
      <c r="AF117" s="138">
        <f>IF('1.DATOS-PROD'!AO118="SI",VLOOKUP('1.DATOS-PROD'!AO$2,'1.PUNTOS'!$A$1:$B$63,2,0),0)</f>
        <v>0</v>
      </c>
      <c r="AG117" s="138">
        <f>IF('1.DATOS-PROD'!AP118="SI",VLOOKUP('1.DATOS-PROD'!AP$2,'1.PUNTOS'!$A$1:$B$63,2,0),0)</f>
        <v>0</v>
      </c>
      <c r="AH117" s="138">
        <f>IF('1.DATOS-PROD'!AQ118="SI",VLOOKUP('1.DATOS-PROD'!AQ$2,'1.PUNTOS'!$A$1:$B$63,2,0),0)</f>
        <v>0</v>
      </c>
      <c r="AI117" s="138">
        <f>IF('1.DATOS-PROD'!AR118="SI",VLOOKUP('1.DATOS-PROD'!AR$2,'1.PUNTOS'!$A$1:$B$63,2,0),0)</f>
        <v>0</v>
      </c>
      <c r="AJ117" s="138">
        <f>IF('1.DATOS-PROD'!AS118="SI",VLOOKUP('1.DATOS-PROD'!AS$2,'1.PUNTOS'!$A$1:$B$63,2,0),0)</f>
        <v>0</v>
      </c>
      <c r="AK117" s="138">
        <f>IF('1.DATOS-PROD'!AT118="SI",VLOOKUP('1.DATOS-PROD'!AT$2,'1.PUNTOS'!$A$1:$B$63,2,0),0)</f>
        <v>0</v>
      </c>
      <c r="AL117" s="138">
        <f>IF('1.DATOS-PROD'!AU118="SI",VLOOKUP('1.DATOS-PROD'!AU$2,'1.PUNTOS'!$A$1:$B$63,2,0),0)</f>
        <v>0</v>
      </c>
      <c r="AM117" s="138">
        <f>IF('1.DATOS-PROD'!AV118="SI",VLOOKUP('1.DATOS-PROD'!AV$2,'1.PUNTOS'!$A$1:$B$63,2,0),0)</f>
        <v>0</v>
      </c>
      <c r="AN117" s="138">
        <f>IF('1.DATOS-PROD'!AW118="SI",VLOOKUP('1.DATOS-PROD'!AW$2,'1.PUNTOS'!$A$1:$B$63,2,0),0)</f>
        <v>0</v>
      </c>
      <c r="AO117" s="138">
        <f>IF('1.DATOS-PROD'!AX118="SI",VLOOKUP('1.DATOS-PROD'!AX$2,'1.PUNTOS'!$A$1:$B$63,2,0),0)</f>
        <v>0</v>
      </c>
      <c r="AP117" s="138">
        <f>IF('1.DATOS-PROD'!AY118="SI",VLOOKUP('1.DATOS-PROD'!AY$2,'1.PUNTOS'!$A$1:$B$63,2,0),0)</f>
        <v>0</v>
      </c>
      <c r="AQ117" s="138">
        <f>IF('1.DATOS-PROD'!AZ118="SI",VLOOKUP('1.DATOS-PROD'!AZ$2,'1.PUNTOS'!$A$1:$B$63,2,0),0)</f>
        <v>0</v>
      </c>
      <c r="AR117" s="138">
        <f>IF('1.DATOS-PROD'!BA118="SI",VLOOKUP('1.DATOS-PROD'!BA$2,'1.PUNTOS'!$A$1:$B$63,2,0),0)</f>
        <v>0</v>
      </c>
      <c r="AS117" s="138">
        <f>IF('1.DATOS-PROD'!BB118="SI",VLOOKUP('1.DATOS-PROD'!BB$2,'1.PUNTOS'!$A$1:$B$63,2,0),0)</f>
        <v>0</v>
      </c>
      <c r="AT117" s="138">
        <f>IF('1.DATOS-PROD'!BC118="SI",VLOOKUP('1.DATOS-PROD'!BC$2,'1.PUNTOS'!$A$1:$B$63,2,0),0)</f>
        <v>0</v>
      </c>
      <c r="AU117" s="138">
        <f>IF('1.DATOS-PROD'!BD118="SI",VLOOKUP('1.DATOS-PROD'!BD$2,'1.PUNTOS'!$A$1:$B$63,2,0),0)</f>
        <v>0</v>
      </c>
      <c r="AV117" s="138">
        <f>IF('1.DATOS-PROD'!BE118="SI",VLOOKUP('1.DATOS-PROD'!BE$2,'1.PUNTOS'!$A$1:$B$63,2,0),0)</f>
        <v>0</v>
      </c>
      <c r="AW117" s="138">
        <f>IF('1.DATOS-PROD'!BF118="SI",VLOOKUP('1.DATOS-PROD'!BF$2,'1.PUNTOS'!$A$1:$B$63,2,0),0)</f>
        <v>0</v>
      </c>
      <c r="AX117" s="138">
        <f>IF('1.DATOS-PROD'!BG118="SI",VLOOKUP('1.DATOS-PROD'!BG$2,'1.PUNTOS'!$A$1:$B$63,2,0),0)</f>
        <v>0</v>
      </c>
      <c r="AY117" s="138">
        <f>IF('1.DATOS-PROD'!BH118="SI",VLOOKUP('1.DATOS-PROD'!BH$2,'1.PUNTOS'!$A$1:$B$63,2,0),0)</f>
        <v>0</v>
      </c>
      <c r="AZ117" s="138">
        <f>IF('1.DATOS-PROD'!BI118="SI",VLOOKUP('1.DATOS-PROD'!BI$2,'1.PUNTOS'!$A$1:$B$63,2,0),0)</f>
        <v>0</v>
      </c>
      <c r="BA117" s="138">
        <f>IF('1.DATOS-PROD'!BJ118="SI",VLOOKUP('1.DATOS-PROD'!BJ$2,'1.PUNTOS'!$A$1:$B$63,2,0),0)</f>
        <v>0</v>
      </c>
      <c r="BB117" s="138">
        <f>IF('1.DATOS-PROD'!BK118="SI",VLOOKUP('1.DATOS-PROD'!BK$2,'1.PUNTOS'!$A$1:$B$63,2,0),0)</f>
        <v>0</v>
      </c>
      <c r="BC117" s="138">
        <f>IF('1.DATOS-PROD'!BL118="SI",VLOOKUP('1.DATOS-PROD'!BL$2,'1.PUNTOS'!$A$1:$B$63,2,0),0)</f>
        <v>0</v>
      </c>
      <c r="BD117" s="138">
        <f>IF('1.DATOS-PROD'!BM118="SI",VLOOKUP('1.DATOS-PROD'!BM$2,'1.PUNTOS'!$A$1:$B$63,2,0),0)</f>
        <v>0</v>
      </c>
      <c r="BE117" s="138">
        <f>IF('1.DATOS-PROD'!BN118="SI",VLOOKUP('1.DATOS-PROD'!BN$2,'1.PUNTOS'!$A$1:$B$63,2,0),0)</f>
        <v>0</v>
      </c>
      <c r="BF117" s="138">
        <f>IF('1.DATOS-PROD'!BO118="SI",VLOOKUP('1.DATOS-PROD'!BO$2,'1.PUNTOS'!$A$1:$B$63,2,0),0)</f>
        <v>0</v>
      </c>
      <c r="BG117" s="138">
        <f>IF('1.DATOS-PROD'!BP118="SI",VLOOKUP('1.DATOS-PROD'!BP$2,'1.PUNTOS'!$A$1:$B$63,2,0),0)</f>
        <v>0</v>
      </c>
      <c r="BH117" s="138">
        <f>IF('1.DATOS-PROD'!BQ118="SI",VLOOKUP('1.DATOS-PROD'!BQ$2,'1.PUNTOS'!$A$1:$B$63,2,0),0)</f>
        <v>0</v>
      </c>
      <c r="BI117" s="138">
        <f>IF('1.DATOS-PROD'!BR118="SI",VLOOKUP('1.DATOS-PROD'!BR$2,'1.PUNTOS'!$A$1:$B$63,2,0),0)</f>
        <v>0</v>
      </c>
      <c r="BJ117" s="138">
        <f>IF('1.DATOS-PROD'!BS118="SI",VLOOKUP('1.DATOS-PROD'!BS$2,'1.PUNTOS'!$A$1:$B$63,2,0),0)</f>
        <v>0</v>
      </c>
      <c r="BK117" s="138">
        <f>IF('1.DATOS-PROD'!BT118="SI",VLOOKUP('1.DATOS-PROD'!BT$2,'1.PUNTOS'!$A$1:$B$63,2,0),0)</f>
        <v>0</v>
      </c>
    </row>
    <row r="118" spans="1:63" x14ac:dyDescent="0.25">
      <c r="A118">
        <f>'0.Consolidado general'!$A119</f>
        <v>0</v>
      </c>
      <c r="B118" s="138">
        <f>IF('1.DATOS-PROD'!K119="SI",VLOOKUP('1.DATOS-PROD'!K$2,'1.PUNTOS'!$A$1:$B$63,2,0),0)</f>
        <v>0</v>
      </c>
      <c r="C118" s="138">
        <f>IF('1.DATOS-PROD'!L119="SI",VLOOKUP('1.DATOS-PROD'!L$2,'1.PUNTOS'!$A$1:$B$63,2,0),0)</f>
        <v>0</v>
      </c>
      <c r="D118" s="138">
        <f>IF('1.DATOS-PROD'!M119="SI",VLOOKUP('1.DATOS-PROD'!M$2,'1.PUNTOS'!$A$1:$B$63,2,0),0)</f>
        <v>0</v>
      </c>
      <c r="E118" s="138">
        <f>IF('1.DATOS-PROD'!N119="SI",VLOOKUP('1.DATOS-PROD'!N$2,'1.PUNTOS'!$A$1:$B$63,2,0),0)</f>
        <v>0</v>
      </c>
      <c r="F118" s="138">
        <f>IF('1.DATOS-PROD'!O119="SI",VLOOKUP('1.DATOS-PROD'!O$2,'1.PUNTOS'!$A$1:$B$63,2,0),0)</f>
        <v>0</v>
      </c>
      <c r="G118" s="138">
        <f>IF('1.DATOS-PROD'!P119="SI",VLOOKUP('1.DATOS-PROD'!P$2,'1.PUNTOS'!$A$1:$B$63,2,0),0)</f>
        <v>0</v>
      </c>
      <c r="H118" s="138">
        <f>IF('1.DATOS-PROD'!Q119="SI",VLOOKUP('1.DATOS-PROD'!Q$2,'1.PUNTOS'!$A$1:$B$63,2,0),0)</f>
        <v>0</v>
      </c>
      <c r="I118" s="138">
        <f>IF('1.DATOS-PROD'!R119="SI",VLOOKUP('1.DATOS-PROD'!R$2,'1.PUNTOS'!$A$1:$B$63,2,0),0)</f>
        <v>0</v>
      </c>
      <c r="J118" s="138">
        <f>IF('1.DATOS-PROD'!S119="SI",VLOOKUP('1.DATOS-PROD'!S$2,'1.PUNTOS'!$A$1:$B$63,2,0),0)</f>
        <v>0</v>
      </c>
      <c r="K118" s="138">
        <f>IF('1.DATOS-PROD'!T119="SI",VLOOKUP('1.DATOS-PROD'!T$2,'1.PUNTOS'!$A$1:$B$63,2,0),0)</f>
        <v>0</v>
      </c>
      <c r="L118" s="138">
        <f>IF('1.DATOS-PROD'!U119="SI",VLOOKUP('1.DATOS-PROD'!U$2,'1.PUNTOS'!$A$1:$B$63,2,0),0)</f>
        <v>0</v>
      </c>
      <c r="M118" s="138">
        <f>IF('1.DATOS-PROD'!V119="SI",VLOOKUP('1.DATOS-PROD'!V$2,'1.PUNTOS'!$A$1:$B$63,2,0),0)</f>
        <v>0</v>
      </c>
      <c r="N118" s="138">
        <f>IF('1.DATOS-PROD'!W119="SI",VLOOKUP('1.DATOS-PROD'!W$2,'1.PUNTOS'!$A$1:$B$63,2,0),0)</f>
        <v>0</v>
      </c>
      <c r="O118" s="138">
        <f>IF('1.DATOS-PROD'!X119="SI",VLOOKUP('1.DATOS-PROD'!X$2,'1.PUNTOS'!$A$1:$B$63,2,0),0)</f>
        <v>0</v>
      </c>
      <c r="P118" s="138">
        <f>IF('1.DATOS-PROD'!Y119="SI",VLOOKUP('1.DATOS-PROD'!Y$2,'1.PUNTOS'!$A$1:$B$63,2,0),0)</f>
        <v>0</v>
      </c>
      <c r="Q118" s="138">
        <f>IF('1.DATOS-PROD'!Z119="SI",VLOOKUP('1.DATOS-PROD'!Z$2,'1.PUNTOS'!$A$1:$B$63,2,0),0)</f>
        <v>0</v>
      </c>
      <c r="R118" s="138">
        <f>IF('1.DATOS-PROD'!AA119="SI",VLOOKUP('1.DATOS-PROD'!AA$2,'1.PUNTOS'!$A$1:$B$63,2,0),0)</f>
        <v>0</v>
      </c>
      <c r="S118" s="138">
        <f>IF('1.DATOS-PROD'!AB119="SI",VLOOKUP('1.DATOS-PROD'!AB$2,'1.PUNTOS'!$A$1:$B$63,2,0),0)</f>
        <v>0</v>
      </c>
      <c r="T118" s="138">
        <f>IF('1.DATOS-PROD'!AC119="SI",VLOOKUP('1.DATOS-PROD'!AC$2,'1.PUNTOS'!$A$1:$B$63,2,0),0)</f>
        <v>0</v>
      </c>
      <c r="U118" s="138">
        <f>IF('1.DATOS-PROD'!AD119="SI",VLOOKUP('1.DATOS-PROD'!AD$2,'1.PUNTOS'!$A$1:$B$63,2,0),0)</f>
        <v>0</v>
      </c>
      <c r="V118" s="138">
        <f>IF('1.DATOS-PROD'!AE119="SI",VLOOKUP('1.DATOS-PROD'!AE$2,'1.PUNTOS'!$A$1:$B$63,2,0),0)</f>
        <v>0</v>
      </c>
      <c r="W118" s="138">
        <f>IF('1.DATOS-PROD'!AF119="SI",VLOOKUP('1.DATOS-PROD'!AF$2,'1.PUNTOS'!$A$1:$B$63,2,0),0)</f>
        <v>0</v>
      </c>
      <c r="X118" s="138">
        <f>IF('1.DATOS-PROD'!AG119="SI",VLOOKUP('1.DATOS-PROD'!AG$2,'1.PUNTOS'!$A$1:$B$63,2,0),0)</f>
        <v>0</v>
      </c>
      <c r="Y118" s="138">
        <f>IF('1.DATOS-PROD'!AH119="SI",VLOOKUP('1.DATOS-PROD'!AH$2,'1.PUNTOS'!$A$1:$B$63,2,0),0)</f>
        <v>0</v>
      </c>
      <c r="Z118" s="138">
        <f>IF('1.DATOS-PROD'!AI119="SI",VLOOKUP('1.DATOS-PROD'!AI$2,'1.PUNTOS'!$A$1:$B$63,2,0),0)</f>
        <v>0</v>
      </c>
      <c r="AA118" s="138">
        <f>IF('1.DATOS-PROD'!AJ119="SI",VLOOKUP('1.DATOS-PROD'!AJ$2,'1.PUNTOS'!$A$1:$B$63,2,0),0)</f>
        <v>0</v>
      </c>
      <c r="AB118" s="138">
        <f>IF('1.DATOS-PROD'!AK119="SI",VLOOKUP('1.DATOS-PROD'!AK$2,'1.PUNTOS'!$A$1:$B$63,2,0),0)</f>
        <v>0</v>
      </c>
      <c r="AC118" s="138">
        <f>IF('1.DATOS-PROD'!AL119="SI",VLOOKUP('1.DATOS-PROD'!AL$2,'1.PUNTOS'!$A$1:$B$63,2,0),0)</f>
        <v>0</v>
      </c>
      <c r="AD118" s="138">
        <f>IF('1.DATOS-PROD'!AM119="SI",VLOOKUP('1.DATOS-PROD'!AM$2,'1.PUNTOS'!$A$1:$B$63,2,0),0)</f>
        <v>0</v>
      </c>
      <c r="AE118" s="138">
        <f>IF('1.DATOS-PROD'!AN119="SI",VLOOKUP('1.DATOS-PROD'!AN$2,'1.PUNTOS'!$A$1:$B$63,2,0),0)</f>
        <v>0</v>
      </c>
      <c r="AF118" s="138">
        <f>IF('1.DATOS-PROD'!AO119="SI",VLOOKUP('1.DATOS-PROD'!AO$2,'1.PUNTOS'!$A$1:$B$63,2,0),0)</f>
        <v>0</v>
      </c>
      <c r="AG118" s="138">
        <f>IF('1.DATOS-PROD'!AP119="SI",VLOOKUP('1.DATOS-PROD'!AP$2,'1.PUNTOS'!$A$1:$B$63,2,0),0)</f>
        <v>0</v>
      </c>
      <c r="AH118" s="138">
        <f>IF('1.DATOS-PROD'!AQ119="SI",VLOOKUP('1.DATOS-PROD'!AQ$2,'1.PUNTOS'!$A$1:$B$63,2,0),0)</f>
        <v>0</v>
      </c>
      <c r="AI118" s="138">
        <f>IF('1.DATOS-PROD'!AR119="SI",VLOOKUP('1.DATOS-PROD'!AR$2,'1.PUNTOS'!$A$1:$B$63,2,0),0)</f>
        <v>0</v>
      </c>
      <c r="AJ118" s="138">
        <f>IF('1.DATOS-PROD'!AS119="SI",VLOOKUP('1.DATOS-PROD'!AS$2,'1.PUNTOS'!$A$1:$B$63,2,0),0)</f>
        <v>0</v>
      </c>
      <c r="AK118" s="138">
        <f>IF('1.DATOS-PROD'!AT119="SI",VLOOKUP('1.DATOS-PROD'!AT$2,'1.PUNTOS'!$A$1:$B$63,2,0),0)</f>
        <v>0</v>
      </c>
      <c r="AL118" s="138">
        <f>IF('1.DATOS-PROD'!AU119="SI",VLOOKUP('1.DATOS-PROD'!AU$2,'1.PUNTOS'!$A$1:$B$63,2,0),0)</f>
        <v>0</v>
      </c>
      <c r="AM118" s="138">
        <f>IF('1.DATOS-PROD'!AV119="SI",VLOOKUP('1.DATOS-PROD'!AV$2,'1.PUNTOS'!$A$1:$B$63,2,0),0)</f>
        <v>0</v>
      </c>
      <c r="AN118" s="138">
        <f>IF('1.DATOS-PROD'!AW119="SI",VLOOKUP('1.DATOS-PROD'!AW$2,'1.PUNTOS'!$A$1:$B$63,2,0),0)</f>
        <v>0</v>
      </c>
      <c r="AO118" s="138">
        <f>IF('1.DATOS-PROD'!AX119="SI",VLOOKUP('1.DATOS-PROD'!AX$2,'1.PUNTOS'!$A$1:$B$63,2,0),0)</f>
        <v>0</v>
      </c>
      <c r="AP118" s="138">
        <f>IF('1.DATOS-PROD'!AY119="SI",VLOOKUP('1.DATOS-PROD'!AY$2,'1.PUNTOS'!$A$1:$B$63,2,0),0)</f>
        <v>0</v>
      </c>
      <c r="AQ118" s="138">
        <f>IF('1.DATOS-PROD'!AZ119="SI",VLOOKUP('1.DATOS-PROD'!AZ$2,'1.PUNTOS'!$A$1:$B$63,2,0),0)</f>
        <v>0</v>
      </c>
      <c r="AR118" s="138">
        <f>IF('1.DATOS-PROD'!BA119="SI",VLOOKUP('1.DATOS-PROD'!BA$2,'1.PUNTOS'!$A$1:$B$63,2,0),0)</f>
        <v>0</v>
      </c>
      <c r="AS118" s="138">
        <f>IF('1.DATOS-PROD'!BB119="SI",VLOOKUP('1.DATOS-PROD'!BB$2,'1.PUNTOS'!$A$1:$B$63,2,0),0)</f>
        <v>0</v>
      </c>
      <c r="AT118" s="138">
        <f>IF('1.DATOS-PROD'!BC119="SI",VLOOKUP('1.DATOS-PROD'!BC$2,'1.PUNTOS'!$A$1:$B$63,2,0),0)</f>
        <v>0</v>
      </c>
      <c r="AU118" s="138">
        <f>IF('1.DATOS-PROD'!BD119="SI",VLOOKUP('1.DATOS-PROD'!BD$2,'1.PUNTOS'!$A$1:$B$63,2,0),0)</f>
        <v>0</v>
      </c>
      <c r="AV118" s="138">
        <f>IF('1.DATOS-PROD'!BE119="SI",VLOOKUP('1.DATOS-PROD'!BE$2,'1.PUNTOS'!$A$1:$B$63,2,0),0)</f>
        <v>0</v>
      </c>
      <c r="AW118" s="138">
        <f>IF('1.DATOS-PROD'!BF119="SI",VLOOKUP('1.DATOS-PROD'!BF$2,'1.PUNTOS'!$A$1:$B$63,2,0),0)</f>
        <v>0</v>
      </c>
      <c r="AX118" s="138">
        <f>IF('1.DATOS-PROD'!BG119="SI",VLOOKUP('1.DATOS-PROD'!BG$2,'1.PUNTOS'!$A$1:$B$63,2,0),0)</f>
        <v>0</v>
      </c>
      <c r="AY118" s="138">
        <f>IF('1.DATOS-PROD'!BH119="SI",VLOOKUP('1.DATOS-PROD'!BH$2,'1.PUNTOS'!$A$1:$B$63,2,0),0)</f>
        <v>0</v>
      </c>
      <c r="AZ118" s="138">
        <f>IF('1.DATOS-PROD'!BI119="SI",VLOOKUP('1.DATOS-PROD'!BI$2,'1.PUNTOS'!$A$1:$B$63,2,0),0)</f>
        <v>0</v>
      </c>
      <c r="BA118" s="138">
        <f>IF('1.DATOS-PROD'!BJ119="SI",VLOOKUP('1.DATOS-PROD'!BJ$2,'1.PUNTOS'!$A$1:$B$63,2,0),0)</f>
        <v>0</v>
      </c>
      <c r="BB118" s="138">
        <f>IF('1.DATOS-PROD'!BK119="SI",VLOOKUP('1.DATOS-PROD'!BK$2,'1.PUNTOS'!$A$1:$B$63,2,0),0)</f>
        <v>0</v>
      </c>
      <c r="BC118" s="138">
        <f>IF('1.DATOS-PROD'!BL119="SI",VLOOKUP('1.DATOS-PROD'!BL$2,'1.PUNTOS'!$A$1:$B$63,2,0),0)</f>
        <v>0</v>
      </c>
      <c r="BD118" s="138">
        <f>IF('1.DATOS-PROD'!BM119="SI",VLOOKUP('1.DATOS-PROD'!BM$2,'1.PUNTOS'!$A$1:$B$63,2,0),0)</f>
        <v>0</v>
      </c>
      <c r="BE118" s="138">
        <f>IF('1.DATOS-PROD'!BN119="SI",VLOOKUP('1.DATOS-PROD'!BN$2,'1.PUNTOS'!$A$1:$B$63,2,0),0)</f>
        <v>0</v>
      </c>
      <c r="BF118" s="138">
        <f>IF('1.DATOS-PROD'!BO119="SI",VLOOKUP('1.DATOS-PROD'!BO$2,'1.PUNTOS'!$A$1:$B$63,2,0),0)</f>
        <v>0</v>
      </c>
      <c r="BG118" s="138">
        <f>IF('1.DATOS-PROD'!BP119="SI",VLOOKUP('1.DATOS-PROD'!BP$2,'1.PUNTOS'!$A$1:$B$63,2,0),0)</f>
        <v>0</v>
      </c>
      <c r="BH118" s="138">
        <f>IF('1.DATOS-PROD'!BQ119="SI",VLOOKUP('1.DATOS-PROD'!BQ$2,'1.PUNTOS'!$A$1:$B$63,2,0),0)</f>
        <v>0</v>
      </c>
      <c r="BI118" s="138">
        <f>IF('1.DATOS-PROD'!BR119="SI",VLOOKUP('1.DATOS-PROD'!BR$2,'1.PUNTOS'!$A$1:$B$63,2,0),0)</f>
        <v>0</v>
      </c>
      <c r="BJ118" s="138">
        <f>IF('1.DATOS-PROD'!BS119="SI",VLOOKUP('1.DATOS-PROD'!BS$2,'1.PUNTOS'!$A$1:$B$63,2,0),0)</f>
        <v>0</v>
      </c>
      <c r="BK118" s="138">
        <f>IF('1.DATOS-PROD'!BT119="SI",VLOOKUP('1.DATOS-PROD'!BT$2,'1.PUNTOS'!$A$1:$B$63,2,0),0)</f>
        <v>0</v>
      </c>
    </row>
    <row r="119" spans="1:63" x14ac:dyDescent="0.25">
      <c r="A119">
        <f>'0.Consolidado general'!$A120</f>
        <v>0</v>
      </c>
      <c r="B119" s="138">
        <f>IF('1.DATOS-PROD'!K120="SI",VLOOKUP('1.DATOS-PROD'!K$2,'1.PUNTOS'!$A$1:$B$63,2,0),0)</f>
        <v>0</v>
      </c>
      <c r="C119" s="138">
        <f>IF('1.DATOS-PROD'!L120="SI",VLOOKUP('1.DATOS-PROD'!L$2,'1.PUNTOS'!$A$1:$B$63,2,0),0)</f>
        <v>0</v>
      </c>
      <c r="D119" s="138">
        <f>IF('1.DATOS-PROD'!M120="SI",VLOOKUP('1.DATOS-PROD'!M$2,'1.PUNTOS'!$A$1:$B$63,2,0),0)</f>
        <v>0</v>
      </c>
      <c r="E119" s="138">
        <f>IF('1.DATOS-PROD'!N120="SI",VLOOKUP('1.DATOS-PROD'!N$2,'1.PUNTOS'!$A$1:$B$63,2,0),0)</f>
        <v>0</v>
      </c>
      <c r="F119" s="138">
        <f>IF('1.DATOS-PROD'!O120="SI",VLOOKUP('1.DATOS-PROD'!O$2,'1.PUNTOS'!$A$1:$B$63,2,0),0)</f>
        <v>0</v>
      </c>
      <c r="G119" s="138">
        <f>IF('1.DATOS-PROD'!P120="SI",VLOOKUP('1.DATOS-PROD'!P$2,'1.PUNTOS'!$A$1:$B$63,2,0),0)</f>
        <v>0</v>
      </c>
      <c r="H119" s="138">
        <f>IF('1.DATOS-PROD'!Q120="SI",VLOOKUP('1.DATOS-PROD'!Q$2,'1.PUNTOS'!$A$1:$B$63,2,0),0)</f>
        <v>0</v>
      </c>
      <c r="I119" s="138">
        <f>IF('1.DATOS-PROD'!R120="SI",VLOOKUP('1.DATOS-PROD'!R$2,'1.PUNTOS'!$A$1:$B$63,2,0),0)</f>
        <v>0</v>
      </c>
      <c r="J119" s="138">
        <f>IF('1.DATOS-PROD'!S120="SI",VLOOKUP('1.DATOS-PROD'!S$2,'1.PUNTOS'!$A$1:$B$63,2,0),0)</f>
        <v>0</v>
      </c>
      <c r="K119" s="138">
        <f>IF('1.DATOS-PROD'!T120="SI",VLOOKUP('1.DATOS-PROD'!T$2,'1.PUNTOS'!$A$1:$B$63,2,0),0)</f>
        <v>0</v>
      </c>
      <c r="L119" s="138">
        <f>IF('1.DATOS-PROD'!U120="SI",VLOOKUP('1.DATOS-PROD'!U$2,'1.PUNTOS'!$A$1:$B$63,2,0),0)</f>
        <v>0</v>
      </c>
      <c r="M119" s="138">
        <f>IF('1.DATOS-PROD'!V120="SI",VLOOKUP('1.DATOS-PROD'!V$2,'1.PUNTOS'!$A$1:$B$63,2,0),0)</f>
        <v>0</v>
      </c>
      <c r="N119" s="138">
        <f>IF('1.DATOS-PROD'!W120="SI",VLOOKUP('1.DATOS-PROD'!W$2,'1.PUNTOS'!$A$1:$B$63,2,0),0)</f>
        <v>0</v>
      </c>
      <c r="O119" s="138">
        <f>IF('1.DATOS-PROD'!X120="SI",VLOOKUP('1.DATOS-PROD'!X$2,'1.PUNTOS'!$A$1:$B$63,2,0),0)</f>
        <v>0</v>
      </c>
      <c r="P119" s="138">
        <f>IF('1.DATOS-PROD'!Y120="SI",VLOOKUP('1.DATOS-PROD'!Y$2,'1.PUNTOS'!$A$1:$B$63,2,0),0)</f>
        <v>0</v>
      </c>
      <c r="Q119" s="138">
        <f>IF('1.DATOS-PROD'!Z120="SI",VLOOKUP('1.DATOS-PROD'!Z$2,'1.PUNTOS'!$A$1:$B$63,2,0),0)</f>
        <v>0</v>
      </c>
      <c r="R119" s="138">
        <f>IF('1.DATOS-PROD'!AA120="SI",VLOOKUP('1.DATOS-PROD'!AA$2,'1.PUNTOS'!$A$1:$B$63,2,0),0)</f>
        <v>0</v>
      </c>
      <c r="S119" s="138">
        <f>IF('1.DATOS-PROD'!AB120="SI",VLOOKUP('1.DATOS-PROD'!AB$2,'1.PUNTOS'!$A$1:$B$63,2,0),0)</f>
        <v>0</v>
      </c>
      <c r="T119" s="138">
        <f>IF('1.DATOS-PROD'!AC120="SI",VLOOKUP('1.DATOS-PROD'!AC$2,'1.PUNTOS'!$A$1:$B$63,2,0),0)</f>
        <v>0</v>
      </c>
      <c r="U119" s="138">
        <f>IF('1.DATOS-PROD'!AD120="SI",VLOOKUP('1.DATOS-PROD'!AD$2,'1.PUNTOS'!$A$1:$B$63,2,0),0)</f>
        <v>0</v>
      </c>
      <c r="V119" s="138">
        <f>IF('1.DATOS-PROD'!AE120="SI",VLOOKUP('1.DATOS-PROD'!AE$2,'1.PUNTOS'!$A$1:$B$63,2,0),0)</f>
        <v>0</v>
      </c>
      <c r="W119" s="138">
        <f>IF('1.DATOS-PROD'!AF120="SI",VLOOKUP('1.DATOS-PROD'!AF$2,'1.PUNTOS'!$A$1:$B$63,2,0),0)</f>
        <v>0</v>
      </c>
      <c r="X119" s="138">
        <f>IF('1.DATOS-PROD'!AG120="SI",VLOOKUP('1.DATOS-PROD'!AG$2,'1.PUNTOS'!$A$1:$B$63,2,0),0)</f>
        <v>0</v>
      </c>
      <c r="Y119" s="138">
        <f>IF('1.DATOS-PROD'!AH120="SI",VLOOKUP('1.DATOS-PROD'!AH$2,'1.PUNTOS'!$A$1:$B$63,2,0),0)</f>
        <v>0</v>
      </c>
      <c r="Z119" s="138">
        <f>IF('1.DATOS-PROD'!AI120="SI",VLOOKUP('1.DATOS-PROD'!AI$2,'1.PUNTOS'!$A$1:$B$63,2,0),0)</f>
        <v>0</v>
      </c>
      <c r="AA119" s="138">
        <f>IF('1.DATOS-PROD'!AJ120="SI",VLOOKUP('1.DATOS-PROD'!AJ$2,'1.PUNTOS'!$A$1:$B$63,2,0),0)</f>
        <v>0</v>
      </c>
      <c r="AB119" s="138">
        <f>IF('1.DATOS-PROD'!AK120="SI",VLOOKUP('1.DATOS-PROD'!AK$2,'1.PUNTOS'!$A$1:$B$63,2,0),0)</f>
        <v>0</v>
      </c>
      <c r="AC119" s="138">
        <f>IF('1.DATOS-PROD'!AL120="SI",VLOOKUP('1.DATOS-PROD'!AL$2,'1.PUNTOS'!$A$1:$B$63,2,0),0)</f>
        <v>0</v>
      </c>
      <c r="AD119" s="138">
        <f>IF('1.DATOS-PROD'!AM120="SI",VLOOKUP('1.DATOS-PROD'!AM$2,'1.PUNTOS'!$A$1:$B$63,2,0),0)</f>
        <v>0</v>
      </c>
      <c r="AE119" s="138">
        <f>IF('1.DATOS-PROD'!AN120="SI",VLOOKUP('1.DATOS-PROD'!AN$2,'1.PUNTOS'!$A$1:$B$63,2,0),0)</f>
        <v>0</v>
      </c>
      <c r="AF119" s="138">
        <f>IF('1.DATOS-PROD'!AO120="SI",VLOOKUP('1.DATOS-PROD'!AO$2,'1.PUNTOS'!$A$1:$B$63,2,0),0)</f>
        <v>0</v>
      </c>
      <c r="AG119" s="138">
        <f>IF('1.DATOS-PROD'!AP120="SI",VLOOKUP('1.DATOS-PROD'!AP$2,'1.PUNTOS'!$A$1:$B$63,2,0),0)</f>
        <v>0</v>
      </c>
      <c r="AH119" s="138">
        <f>IF('1.DATOS-PROD'!AQ120="SI",VLOOKUP('1.DATOS-PROD'!AQ$2,'1.PUNTOS'!$A$1:$B$63,2,0),0)</f>
        <v>0</v>
      </c>
      <c r="AI119" s="138">
        <f>IF('1.DATOS-PROD'!AR120="SI",VLOOKUP('1.DATOS-PROD'!AR$2,'1.PUNTOS'!$A$1:$B$63,2,0),0)</f>
        <v>0</v>
      </c>
      <c r="AJ119" s="138">
        <f>IF('1.DATOS-PROD'!AS120="SI",VLOOKUP('1.DATOS-PROD'!AS$2,'1.PUNTOS'!$A$1:$B$63,2,0),0)</f>
        <v>0</v>
      </c>
      <c r="AK119" s="138">
        <f>IF('1.DATOS-PROD'!AT120="SI",VLOOKUP('1.DATOS-PROD'!AT$2,'1.PUNTOS'!$A$1:$B$63,2,0),0)</f>
        <v>0</v>
      </c>
      <c r="AL119" s="138">
        <f>IF('1.DATOS-PROD'!AU120="SI",VLOOKUP('1.DATOS-PROD'!AU$2,'1.PUNTOS'!$A$1:$B$63,2,0),0)</f>
        <v>0</v>
      </c>
      <c r="AM119" s="138">
        <f>IF('1.DATOS-PROD'!AV120="SI",VLOOKUP('1.DATOS-PROD'!AV$2,'1.PUNTOS'!$A$1:$B$63,2,0),0)</f>
        <v>0</v>
      </c>
      <c r="AN119" s="138">
        <f>IF('1.DATOS-PROD'!AW120="SI",VLOOKUP('1.DATOS-PROD'!AW$2,'1.PUNTOS'!$A$1:$B$63,2,0),0)</f>
        <v>0</v>
      </c>
      <c r="AO119" s="138">
        <f>IF('1.DATOS-PROD'!AX120="SI",VLOOKUP('1.DATOS-PROD'!AX$2,'1.PUNTOS'!$A$1:$B$63,2,0),0)</f>
        <v>0</v>
      </c>
      <c r="AP119" s="138">
        <f>IF('1.DATOS-PROD'!AY120="SI",VLOOKUP('1.DATOS-PROD'!AY$2,'1.PUNTOS'!$A$1:$B$63,2,0),0)</f>
        <v>0</v>
      </c>
      <c r="AQ119" s="138">
        <f>IF('1.DATOS-PROD'!AZ120="SI",VLOOKUP('1.DATOS-PROD'!AZ$2,'1.PUNTOS'!$A$1:$B$63,2,0),0)</f>
        <v>0</v>
      </c>
      <c r="AR119" s="138">
        <f>IF('1.DATOS-PROD'!BA120="SI",VLOOKUP('1.DATOS-PROD'!BA$2,'1.PUNTOS'!$A$1:$B$63,2,0),0)</f>
        <v>0</v>
      </c>
      <c r="AS119" s="138">
        <f>IF('1.DATOS-PROD'!BB120="SI",VLOOKUP('1.DATOS-PROD'!BB$2,'1.PUNTOS'!$A$1:$B$63,2,0),0)</f>
        <v>0</v>
      </c>
      <c r="AT119" s="138">
        <f>IF('1.DATOS-PROD'!BC120="SI",VLOOKUP('1.DATOS-PROD'!BC$2,'1.PUNTOS'!$A$1:$B$63,2,0),0)</f>
        <v>0</v>
      </c>
      <c r="AU119" s="138">
        <f>IF('1.DATOS-PROD'!BD120="SI",VLOOKUP('1.DATOS-PROD'!BD$2,'1.PUNTOS'!$A$1:$B$63,2,0),0)</f>
        <v>0</v>
      </c>
      <c r="AV119" s="138">
        <f>IF('1.DATOS-PROD'!BE120="SI",VLOOKUP('1.DATOS-PROD'!BE$2,'1.PUNTOS'!$A$1:$B$63,2,0),0)</f>
        <v>0</v>
      </c>
      <c r="AW119" s="138">
        <f>IF('1.DATOS-PROD'!BF120="SI",VLOOKUP('1.DATOS-PROD'!BF$2,'1.PUNTOS'!$A$1:$B$63,2,0),0)</f>
        <v>0</v>
      </c>
      <c r="AX119" s="138">
        <f>IF('1.DATOS-PROD'!BG120="SI",VLOOKUP('1.DATOS-PROD'!BG$2,'1.PUNTOS'!$A$1:$B$63,2,0),0)</f>
        <v>0</v>
      </c>
      <c r="AY119" s="138">
        <f>IF('1.DATOS-PROD'!BH120="SI",VLOOKUP('1.DATOS-PROD'!BH$2,'1.PUNTOS'!$A$1:$B$63,2,0),0)</f>
        <v>0</v>
      </c>
      <c r="AZ119" s="138">
        <f>IF('1.DATOS-PROD'!BI120="SI",VLOOKUP('1.DATOS-PROD'!BI$2,'1.PUNTOS'!$A$1:$B$63,2,0),0)</f>
        <v>0</v>
      </c>
      <c r="BA119" s="138">
        <f>IF('1.DATOS-PROD'!BJ120="SI",VLOOKUP('1.DATOS-PROD'!BJ$2,'1.PUNTOS'!$A$1:$B$63,2,0),0)</f>
        <v>0</v>
      </c>
      <c r="BB119" s="138">
        <f>IF('1.DATOS-PROD'!BK120="SI",VLOOKUP('1.DATOS-PROD'!BK$2,'1.PUNTOS'!$A$1:$B$63,2,0),0)</f>
        <v>0</v>
      </c>
      <c r="BC119" s="138">
        <f>IF('1.DATOS-PROD'!BL120="SI",VLOOKUP('1.DATOS-PROD'!BL$2,'1.PUNTOS'!$A$1:$B$63,2,0),0)</f>
        <v>0</v>
      </c>
      <c r="BD119" s="138">
        <f>IF('1.DATOS-PROD'!BM120="SI",VLOOKUP('1.DATOS-PROD'!BM$2,'1.PUNTOS'!$A$1:$B$63,2,0),0)</f>
        <v>0</v>
      </c>
      <c r="BE119" s="138">
        <f>IF('1.DATOS-PROD'!BN120="SI",VLOOKUP('1.DATOS-PROD'!BN$2,'1.PUNTOS'!$A$1:$B$63,2,0),0)</f>
        <v>0</v>
      </c>
      <c r="BF119" s="138">
        <f>IF('1.DATOS-PROD'!BO120="SI",VLOOKUP('1.DATOS-PROD'!BO$2,'1.PUNTOS'!$A$1:$B$63,2,0),0)</f>
        <v>0</v>
      </c>
      <c r="BG119" s="138">
        <f>IF('1.DATOS-PROD'!BP120="SI",VLOOKUP('1.DATOS-PROD'!BP$2,'1.PUNTOS'!$A$1:$B$63,2,0),0)</f>
        <v>0</v>
      </c>
      <c r="BH119" s="138">
        <f>IF('1.DATOS-PROD'!BQ120="SI",VLOOKUP('1.DATOS-PROD'!BQ$2,'1.PUNTOS'!$A$1:$B$63,2,0),0)</f>
        <v>0</v>
      </c>
      <c r="BI119" s="138">
        <f>IF('1.DATOS-PROD'!BR120="SI",VLOOKUP('1.DATOS-PROD'!BR$2,'1.PUNTOS'!$A$1:$B$63,2,0),0)</f>
        <v>0</v>
      </c>
      <c r="BJ119" s="138">
        <f>IF('1.DATOS-PROD'!BS120="SI",VLOOKUP('1.DATOS-PROD'!BS$2,'1.PUNTOS'!$A$1:$B$63,2,0),0)</f>
        <v>0</v>
      </c>
      <c r="BK119" s="138">
        <f>IF('1.DATOS-PROD'!BT120="SI",VLOOKUP('1.DATOS-PROD'!BT$2,'1.PUNTOS'!$A$1:$B$63,2,0),0)</f>
        <v>0</v>
      </c>
    </row>
    <row r="120" spans="1:63" x14ac:dyDescent="0.25">
      <c r="A120">
        <f>'0.Consolidado general'!$A121</f>
        <v>0</v>
      </c>
      <c r="B120" s="138">
        <f>IF('1.DATOS-PROD'!K121="SI",VLOOKUP('1.DATOS-PROD'!K$2,'1.PUNTOS'!$A$1:$B$63,2,0),0)</f>
        <v>0</v>
      </c>
      <c r="C120" s="138">
        <f>IF('1.DATOS-PROD'!L121="SI",VLOOKUP('1.DATOS-PROD'!L$2,'1.PUNTOS'!$A$1:$B$63,2,0),0)</f>
        <v>0</v>
      </c>
      <c r="D120" s="138">
        <f>IF('1.DATOS-PROD'!M121="SI",VLOOKUP('1.DATOS-PROD'!M$2,'1.PUNTOS'!$A$1:$B$63,2,0),0)</f>
        <v>0</v>
      </c>
      <c r="E120" s="138">
        <f>IF('1.DATOS-PROD'!N121="SI",VLOOKUP('1.DATOS-PROD'!N$2,'1.PUNTOS'!$A$1:$B$63,2,0),0)</f>
        <v>0</v>
      </c>
      <c r="F120" s="138">
        <f>IF('1.DATOS-PROD'!O121="SI",VLOOKUP('1.DATOS-PROD'!O$2,'1.PUNTOS'!$A$1:$B$63,2,0),0)</f>
        <v>0</v>
      </c>
      <c r="G120" s="138">
        <f>IF('1.DATOS-PROD'!P121="SI",VLOOKUP('1.DATOS-PROD'!P$2,'1.PUNTOS'!$A$1:$B$63,2,0),0)</f>
        <v>0</v>
      </c>
      <c r="H120" s="138">
        <f>IF('1.DATOS-PROD'!Q121="SI",VLOOKUP('1.DATOS-PROD'!Q$2,'1.PUNTOS'!$A$1:$B$63,2,0),0)</f>
        <v>0</v>
      </c>
      <c r="I120" s="138">
        <f>IF('1.DATOS-PROD'!R121="SI",VLOOKUP('1.DATOS-PROD'!R$2,'1.PUNTOS'!$A$1:$B$63,2,0),0)</f>
        <v>0</v>
      </c>
      <c r="J120" s="138">
        <f>IF('1.DATOS-PROD'!S121="SI",VLOOKUP('1.DATOS-PROD'!S$2,'1.PUNTOS'!$A$1:$B$63,2,0),0)</f>
        <v>0</v>
      </c>
      <c r="K120" s="138">
        <f>IF('1.DATOS-PROD'!T121="SI",VLOOKUP('1.DATOS-PROD'!T$2,'1.PUNTOS'!$A$1:$B$63,2,0),0)</f>
        <v>0</v>
      </c>
      <c r="L120" s="138">
        <f>IF('1.DATOS-PROD'!U121="SI",VLOOKUP('1.DATOS-PROD'!U$2,'1.PUNTOS'!$A$1:$B$63,2,0),0)</f>
        <v>0</v>
      </c>
      <c r="M120" s="138">
        <f>IF('1.DATOS-PROD'!V121="SI",VLOOKUP('1.DATOS-PROD'!V$2,'1.PUNTOS'!$A$1:$B$63,2,0),0)</f>
        <v>0</v>
      </c>
      <c r="N120" s="138">
        <f>IF('1.DATOS-PROD'!W121="SI",VLOOKUP('1.DATOS-PROD'!W$2,'1.PUNTOS'!$A$1:$B$63,2,0),0)</f>
        <v>0</v>
      </c>
      <c r="O120" s="138">
        <f>IF('1.DATOS-PROD'!X121="SI",VLOOKUP('1.DATOS-PROD'!X$2,'1.PUNTOS'!$A$1:$B$63,2,0),0)</f>
        <v>0</v>
      </c>
      <c r="P120" s="138">
        <f>IF('1.DATOS-PROD'!Y121="SI",VLOOKUP('1.DATOS-PROD'!Y$2,'1.PUNTOS'!$A$1:$B$63,2,0),0)</f>
        <v>0</v>
      </c>
      <c r="Q120" s="138">
        <f>IF('1.DATOS-PROD'!Z121="SI",VLOOKUP('1.DATOS-PROD'!Z$2,'1.PUNTOS'!$A$1:$B$63,2,0),0)</f>
        <v>0</v>
      </c>
      <c r="R120" s="138">
        <f>IF('1.DATOS-PROD'!AA121="SI",VLOOKUP('1.DATOS-PROD'!AA$2,'1.PUNTOS'!$A$1:$B$63,2,0),0)</f>
        <v>0</v>
      </c>
      <c r="S120" s="138">
        <f>IF('1.DATOS-PROD'!AB121="SI",VLOOKUP('1.DATOS-PROD'!AB$2,'1.PUNTOS'!$A$1:$B$63,2,0),0)</f>
        <v>0</v>
      </c>
      <c r="T120" s="138">
        <f>IF('1.DATOS-PROD'!AC121="SI",VLOOKUP('1.DATOS-PROD'!AC$2,'1.PUNTOS'!$A$1:$B$63,2,0),0)</f>
        <v>0</v>
      </c>
      <c r="U120" s="138">
        <f>IF('1.DATOS-PROD'!AD121="SI",VLOOKUP('1.DATOS-PROD'!AD$2,'1.PUNTOS'!$A$1:$B$63,2,0),0)</f>
        <v>0</v>
      </c>
      <c r="V120" s="138">
        <f>IF('1.DATOS-PROD'!AE121="SI",VLOOKUP('1.DATOS-PROD'!AE$2,'1.PUNTOS'!$A$1:$B$63,2,0),0)</f>
        <v>0</v>
      </c>
      <c r="W120" s="138">
        <f>IF('1.DATOS-PROD'!AF121="SI",VLOOKUP('1.DATOS-PROD'!AF$2,'1.PUNTOS'!$A$1:$B$63,2,0),0)</f>
        <v>0</v>
      </c>
      <c r="X120" s="138">
        <f>IF('1.DATOS-PROD'!AG121="SI",VLOOKUP('1.DATOS-PROD'!AG$2,'1.PUNTOS'!$A$1:$B$63,2,0),0)</f>
        <v>0</v>
      </c>
      <c r="Y120" s="138">
        <f>IF('1.DATOS-PROD'!AH121="SI",VLOOKUP('1.DATOS-PROD'!AH$2,'1.PUNTOS'!$A$1:$B$63,2,0),0)</f>
        <v>0</v>
      </c>
      <c r="Z120" s="138">
        <f>IF('1.DATOS-PROD'!AI121="SI",VLOOKUP('1.DATOS-PROD'!AI$2,'1.PUNTOS'!$A$1:$B$63,2,0),0)</f>
        <v>0</v>
      </c>
      <c r="AA120" s="138">
        <f>IF('1.DATOS-PROD'!AJ121="SI",VLOOKUP('1.DATOS-PROD'!AJ$2,'1.PUNTOS'!$A$1:$B$63,2,0),0)</f>
        <v>0</v>
      </c>
      <c r="AB120" s="138">
        <f>IF('1.DATOS-PROD'!AK121="SI",VLOOKUP('1.DATOS-PROD'!AK$2,'1.PUNTOS'!$A$1:$B$63,2,0),0)</f>
        <v>0</v>
      </c>
      <c r="AC120" s="138">
        <f>IF('1.DATOS-PROD'!AL121="SI",VLOOKUP('1.DATOS-PROD'!AL$2,'1.PUNTOS'!$A$1:$B$63,2,0),0)</f>
        <v>0</v>
      </c>
      <c r="AD120" s="138">
        <f>IF('1.DATOS-PROD'!AM121="SI",VLOOKUP('1.DATOS-PROD'!AM$2,'1.PUNTOS'!$A$1:$B$63,2,0),0)</f>
        <v>0</v>
      </c>
      <c r="AE120" s="138">
        <f>IF('1.DATOS-PROD'!AN121="SI",VLOOKUP('1.DATOS-PROD'!AN$2,'1.PUNTOS'!$A$1:$B$63,2,0),0)</f>
        <v>0</v>
      </c>
      <c r="AF120" s="138">
        <f>IF('1.DATOS-PROD'!AO121="SI",VLOOKUP('1.DATOS-PROD'!AO$2,'1.PUNTOS'!$A$1:$B$63,2,0),0)</f>
        <v>0</v>
      </c>
      <c r="AG120" s="138">
        <f>IF('1.DATOS-PROD'!AP121="SI",VLOOKUP('1.DATOS-PROD'!AP$2,'1.PUNTOS'!$A$1:$B$63,2,0),0)</f>
        <v>0</v>
      </c>
      <c r="AH120" s="138">
        <f>IF('1.DATOS-PROD'!AQ121="SI",VLOOKUP('1.DATOS-PROD'!AQ$2,'1.PUNTOS'!$A$1:$B$63,2,0),0)</f>
        <v>0</v>
      </c>
      <c r="AI120" s="138">
        <f>IF('1.DATOS-PROD'!AR121="SI",VLOOKUP('1.DATOS-PROD'!AR$2,'1.PUNTOS'!$A$1:$B$63,2,0),0)</f>
        <v>0</v>
      </c>
      <c r="AJ120" s="138">
        <f>IF('1.DATOS-PROD'!AS121="SI",VLOOKUP('1.DATOS-PROD'!AS$2,'1.PUNTOS'!$A$1:$B$63,2,0),0)</f>
        <v>0</v>
      </c>
      <c r="AK120" s="138">
        <f>IF('1.DATOS-PROD'!AT121="SI",VLOOKUP('1.DATOS-PROD'!AT$2,'1.PUNTOS'!$A$1:$B$63,2,0),0)</f>
        <v>0</v>
      </c>
      <c r="AL120" s="138">
        <f>IF('1.DATOS-PROD'!AU121="SI",VLOOKUP('1.DATOS-PROD'!AU$2,'1.PUNTOS'!$A$1:$B$63,2,0),0)</f>
        <v>0</v>
      </c>
      <c r="AM120" s="138">
        <f>IF('1.DATOS-PROD'!AV121="SI",VLOOKUP('1.DATOS-PROD'!AV$2,'1.PUNTOS'!$A$1:$B$63,2,0),0)</f>
        <v>0</v>
      </c>
      <c r="AN120" s="138">
        <f>IF('1.DATOS-PROD'!AW121="SI",VLOOKUP('1.DATOS-PROD'!AW$2,'1.PUNTOS'!$A$1:$B$63,2,0),0)</f>
        <v>0</v>
      </c>
      <c r="AO120" s="138">
        <f>IF('1.DATOS-PROD'!AX121="SI",VLOOKUP('1.DATOS-PROD'!AX$2,'1.PUNTOS'!$A$1:$B$63,2,0),0)</f>
        <v>0</v>
      </c>
      <c r="AP120" s="138">
        <f>IF('1.DATOS-PROD'!AY121="SI",VLOOKUP('1.DATOS-PROD'!AY$2,'1.PUNTOS'!$A$1:$B$63,2,0),0)</f>
        <v>0</v>
      </c>
      <c r="AQ120" s="138">
        <f>IF('1.DATOS-PROD'!AZ121="SI",VLOOKUP('1.DATOS-PROD'!AZ$2,'1.PUNTOS'!$A$1:$B$63,2,0),0)</f>
        <v>0</v>
      </c>
      <c r="AR120" s="138">
        <f>IF('1.DATOS-PROD'!BA121="SI",VLOOKUP('1.DATOS-PROD'!BA$2,'1.PUNTOS'!$A$1:$B$63,2,0),0)</f>
        <v>0</v>
      </c>
      <c r="AS120" s="138">
        <f>IF('1.DATOS-PROD'!BB121="SI",VLOOKUP('1.DATOS-PROD'!BB$2,'1.PUNTOS'!$A$1:$B$63,2,0),0)</f>
        <v>0</v>
      </c>
      <c r="AT120" s="138">
        <f>IF('1.DATOS-PROD'!BC121="SI",VLOOKUP('1.DATOS-PROD'!BC$2,'1.PUNTOS'!$A$1:$B$63,2,0),0)</f>
        <v>0</v>
      </c>
      <c r="AU120" s="138">
        <f>IF('1.DATOS-PROD'!BD121="SI",VLOOKUP('1.DATOS-PROD'!BD$2,'1.PUNTOS'!$A$1:$B$63,2,0),0)</f>
        <v>0</v>
      </c>
      <c r="AV120" s="138">
        <f>IF('1.DATOS-PROD'!BE121="SI",VLOOKUP('1.DATOS-PROD'!BE$2,'1.PUNTOS'!$A$1:$B$63,2,0),0)</f>
        <v>0</v>
      </c>
      <c r="AW120" s="138">
        <f>IF('1.DATOS-PROD'!BF121="SI",VLOOKUP('1.DATOS-PROD'!BF$2,'1.PUNTOS'!$A$1:$B$63,2,0),0)</f>
        <v>0</v>
      </c>
      <c r="AX120" s="138">
        <f>IF('1.DATOS-PROD'!BG121="SI",VLOOKUP('1.DATOS-PROD'!BG$2,'1.PUNTOS'!$A$1:$B$63,2,0),0)</f>
        <v>0</v>
      </c>
      <c r="AY120" s="138">
        <f>IF('1.DATOS-PROD'!BH121="SI",VLOOKUP('1.DATOS-PROD'!BH$2,'1.PUNTOS'!$A$1:$B$63,2,0),0)</f>
        <v>0</v>
      </c>
      <c r="AZ120" s="138">
        <f>IF('1.DATOS-PROD'!BI121="SI",VLOOKUP('1.DATOS-PROD'!BI$2,'1.PUNTOS'!$A$1:$B$63,2,0),0)</f>
        <v>0</v>
      </c>
      <c r="BA120" s="138">
        <f>IF('1.DATOS-PROD'!BJ121="SI",VLOOKUP('1.DATOS-PROD'!BJ$2,'1.PUNTOS'!$A$1:$B$63,2,0),0)</f>
        <v>0</v>
      </c>
      <c r="BB120" s="138">
        <f>IF('1.DATOS-PROD'!BK121="SI",VLOOKUP('1.DATOS-PROD'!BK$2,'1.PUNTOS'!$A$1:$B$63,2,0),0)</f>
        <v>0</v>
      </c>
      <c r="BC120" s="138">
        <f>IF('1.DATOS-PROD'!BL121="SI",VLOOKUP('1.DATOS-PROD'!BL$2,'1.PUNTOS'!$A$1:$B$63,2,0),0)</f>
        <v>0</v>
      </c>
      <c r="BD120" s="138">
        <f>IF('1.DATOS-PROD'!BM121="SI",VLOOKUP('1.DATOS-PROD'!BM$2,'1.PUNTOS'!$A$1:$B$63,2,0),0)</f>
        <v>0</v>
      </c>
      <c r="BE120" s="138">
        <f>IF('1.DATOS-PROD'!BN121="SI",VLOOKUP('1.DATOS-PROD'!BN$2,'1.PUNTOS'!$A$1:$B$63,2,0),0)</f>
        <v>0</v>
      </c>
      <c r="BF120" s="138">
        <f>IF('1.DATOS-PROD'!BO121="SI",VLOOKUP('1.DATOS-PROD'!BO$2,'1.PUNTOS'!$A$1:$B$63,2,0),0)</f>
        <v>0</v>
      </c>
      <c r="BG120" s="138">
        <f>IF('1.DATOS-PROD'!BP121="SI",VLOOKUP('1.DATOS-PROD'!BP$2,'1.PUNTOS'!$A$1:$B$63,2,0),0)</f>
        <v>0</v>
      </c>
      <c r="BH120" s="138">
        <f>IF('1.DATOS-PROD'!BQ121="SI",VLOOKUP('1.DATOS-PROD'!BQ$2,'1.PUNTOS'!$A$1:$B$63,2,0),0)</f>
        <v>0</v>
      </c>
      <c r="BI120" s="138">
        <f>IF('1.DATOS-PROD'!BR121="SI",VLOOKUP('1.DATOS-PROD'!BR$2,'1.PUNTOS'!$A$1:$B$63,2,0),0)</f>
        <v>0</v>
      </c>
      <c r="BJ120" s="138">
        <f>IF('1.DATOS-PROD'!BS121="SI",VLOOKUP('1.DATOS-PROD'!BS$2,'1.PUNTOS'!$A$1:$B$63,2,0),0)</f>
        <v>0</v>
      </c>
      <c r="BK120" s="138">
        <f>IF('1.DATOS-PROD'!BT121="SI",VLOOKUP('1.DATOS-PROD'!BT$2,'1.PUNTOS'!$A$1:$B$63,2,0),0)</f>
        <v>0</v>
      </c>
    </row>
    <row r="121" spans="1:63" x14ac:dyDescent="0.25">
      <c r="A121">
        <f>'0.Consolidado general'!$A122</f>
        <v>0</v>
      </c>
      <c r="B121" s="138">
        <f>IF('1.DATOS-PROD'!K122="SI",VLOOKUP('1.DATOS-PROD'!K$2,'1.PUNTOS'!$A$1:$B$63,2,0),0)</f>
        <v>0</v>
      </c>
      <c r="C121" s="138">
        <f>IF('1.DATOS-PROD'!L122="SI",VLOOKUP('1.DATOS-PROD'!L$2,'1.PUNTOS'!$A$1:$B$63,2,0),0)</f>
        <v>0</v>
      </c>
      <c r="D121" s="138">
        <f>IF('1.DATOS-PROD'!M122="SI",VLOOKUP('1.DATOS-PROD'!M$2,'1.PUNTOS'!$A$1:$B$63,2,0),0)</f>
        <v>0</v>
      </c>
      <c r="E121" s="138">
        <f>IF('1.DATOS-PROD'!N122="SI",VLOOKUP('1.DATOS-PROD'!N$2,'1.PUNTOS'!$A$1:$B$63,2,0),0)</f>
        <v>0</v>
      </c>
      <c r="F121" s="138">
        <f>IF('1.DATOS-PROD'!O122="SI",VLOOKUP('1.DATOS-PROD'!O$2,'1.PUNTOS'!$A$1:$B$63,2,0),0)</f>
        <v>0</v>
      </c>
      <c r="G121" s="138">
        <f>IF('1.DATOS-PROD'!P122="SI",VLOOKUP('1.DATOS-PROD'!P$2,'1.PUNTOS'!$A$1:$B$63,2,0),0)</f>
        <v>0</v>
      </c>
      <c r="H121" s="138">
        <f>IF('1.DATOS-PROD'!Q122="SI",VLOOKUP('1.DATOS-PROD'!Q$2,'1.PUNTOS'!$A$1:$B$63,2,0),0)</f>
        <v>0</v>
      </c>
      <c r="I121" s="138">
        <f>IF('1.DATOS-PROD'!R122="SI",VLOOKUP('1.DATOS-PROD'!R$2,'1.PUNTOS'!$A$1:$B$63,2,0),0)</f>
        <v>0</v>
      </c>
      <c r="J121" s="138">
        <f>IF('1.DATOS-PROD'!S122="SI",VLOOKUP('1.DATOS-PROD'!S$2,'1.PUNTOS'!$A$1:$B$63,2,0),0)</f>
        <v>0</v>
      </c>
      <c r="K121" s="138">
        <f>IF('1.DATOS-PROD'!T122="SI",VLOOKUP('1.DATOS-PROD'!T$2,'1.PUNTOS'!$A$1:$B$63,2,0),0)</f>
        <v>0</v>
      </c>
      <c r="L121" s="138">
        <f>IF('1.DATOS-PROD'!U122="SI",VLOOKUP('1.DATOS-PROD'!U$2,'1.PUNTOS'!$A$1:$B$63,2,0),0)</f>
        <v>0</v>
      </c>
      <c r="M121" s="138">
        <f>IF('1.DATOS-PROD'!V122="SI",VLOOKUP('1.DATOS-PROD'!V$2,'1.PUNTOS'!$A$1:$B$63,2,0),0)</f>
        <v>0</v>
      </c>
      <c r="N121" s="138">
        <f>IF('1.DATOS-PROD'!W122="SI",VLOOKUP('1.DATOS-PROD'!W$2,'1.PUNTOS'!$A$1:$B$63,2,0),0)</f>
        <v>0</v>
      </c>
      <c r="O121" s="138">
        <f>IF('1.DATOS-PROD'!X122="SI",VLOOKUP('1.DATOS-PROD'!X$2,'1.PUNTOS'!$A$1:$B$63,2,0),0)</f>
        <v>0</v>
      </c>
      <c r="P121" s="138">
        <f>IF('1.DATOS-PROD'!Y122="SI",VLOOKUP('1.DATOS-PROD'!Y$2,'1.PUNTOS'!$A$1:$B$63,2,0),0)</f>
        <v>0</v>
      </c>
      <c r="Q121" s="138">
        <f>IF('1.DATOS-PROD'!Z122="SI",VLOOKUP('1.DATOS-PROD'!Z$2,'1.PUNTOS'!$A$1:$B$63,2,0),0)</f>
        <v>0</v>
      </c>
      <c r="R121" s="138">
        <f>IF('1.DATOS-PROD'!AA122="SI",VLOOKUP('1.DATOS-PROD'!AA$2,'1.PUNTOS'!$A$1:$B$63,2,0),0)</f>
        <v>0</v>
      </c>
      <c r="S121" s="138">
        <f>IF('1.DATOS-PROD'!AB122="SI",VLOOKUP('1.DATOS-PROD'!AB$2,'1.PUNTOS'!$A$1:$B$63,2,0),0)</f>
        <v>0</v>
      </c>
      <c r="T121" s="138">
        <f>IF('1.DATOS-PROD'!AC122="SI",VLOOKUP('1.DATOS-PROD'!AC$2,'1.PUNTOS'!$A$1:$B$63,2,0),0)</f>
        <v>0</v>
      </c>
      <c r="U121" s="138">
        <f>IF('1.DATOS-PROD'!AD122="SI",VLOOKUP('1.DATOS-PROD'!AD$2,'1.PUNTOS'!$A$1:$B$63,2,0),0)</f>
        <v>0</v>
      </c>
      <c r="V121" s="138">
        <f>IF('1.DATOS-PROD'!AE122="SI",VLOOKUP('1.DATOS-PROD'!AE$2,'1.PUNTOS'!$A$1:$B$63,2,0),0)</f>
        <v>0</v>
      </c>
      <c r="W121" s="138">
        <f>IF('1.DATOS-PROD'!AF122="SI",VLOOKUP('1.DATOS-PROD'!AF$2,'1.PUNTOS'!$A$1:$B$63,2,0),0)</f>
        <v>0</v>
      </c>
      <c r="X121" s="138">
        <f>IF('1.DATOS-PROD'!AG122="SI",VLOOKUP('1.DATOS-PROD'!AG$2,'1.PUNTOS'!$A$1:$B$63,2,0),0)</f>
        <v>0</v>
      </c>
      <c r="Y121" s="138">
        <f>IF('1.DATOS-PROD'!AH122="SI",VLOOKUP('1.DATOS-PROD'!AH$2,'1.PUNTOS'!$A$1:$B$63,2,0),0)</f>
        <v>0</v>
      </c>
      <c r="Z121" s="138">
        <f>IF('1.DATOS-PROD'!AI122="SI",VLOOKUP('1.DATOS-PROD'!AI$2,'1.PUNTOS'!$A$1:$B$63,2,0),0)</f>
        <v>0</v>
      </c>
      <c r="AA121" s="138">
        <f>IF('1.DATOS-PROD'!AJ122="SI",VLOOKUP('1.DATOS-PROD'!AJ$2,'1.PUNTOS'!$A$1:$B$63,2,0),0)</f>
        <v>0</v>
      </c>
      <c r="AB121" s="138">
        <f>IF('1.DATOS-PROD'!AK122="SI",VLOOKUP('1.DATOS-PROD'!AK$2,'1.PUNTOS'!$A$1:$B$63,2,0),0)</f>
        <v>0</v>
      </c>
      <c r="AC121" s="138">
        <f>IF('1.DATOS-PROD'!AL122="SI",VLOOKUP('1.DATOS-PROD'!AL$2,'1.PUNTOS'!$A$1:$B$63,2,0),0)</f>
        <v>0</v>
      </c>
      <c r="AD121" s="138">
        <f>IF('1.DATOS-PROD'!AM122="SI",VLOOKUP('1.DATOS-PROD'!AM$2,'1.PUNTOS'!$A$1:$B$63,2,0),0)</f>
        <v>0</v>
      </c>
      <c r="AE121" s="138">
        <f>IF('1.DATOS-PROD'!AN122="SI",VLOOKUP('1.DATOS-PROD'!AN$2,'1.PUNTOS'!$A$1:$B$63,2,0),0)</f>
        <v>0</v>
      </c>
      <c r="AF121" s="138">
        <f>IF('1.DATOS-PROD'!AO122="SI",VLOOKUP('1.DATOS-PROD'!AO$2,'1.PUNTOS'!$A$1:$B$63,2,0),0)</f>
        <v>0</v>
      </c>
      <c r="AG121" s="138">
        <f>IF('1.DATOS-PROD'!AP122="SI",VLOOKUP('1.DATOS-PROD'!AP$2,'1.PUNTOS'!$A$1:$B$63,2,0),0)</f>
        <v>0</v>
      </c>
      <c r="AH121" s="138">
        <f>IF('1.DATOS-PROD'!AQ122="SI",VLOOKUP('1.DATOS-PROD'!AQ$2,'1.PUNTOS'!$A$1:$B$63,2,0),0)</f>
        <v>0</v>
      </c>
      <c r="AI121" s="138">
        <f>IF('1.DATOS-PROD'!AR122="SI",VLOOKUP('1.DATOS-PROD'!AR$2,'1.PUNTOS'!$A$1:$B$63,2,0),0)</f>
        <v>0</v>
      </c>
      <c r="AJ121" s="138">
        <f>IF('1.DATOS-PROD'!AS122="SI",VLOOKUP('1.DATOS-PROD'!AS$2,'1.PUNTOS'!$A$1:$B$63,2,0),0)</f>
        <v>0</v>
      </c>
      <c r="AK121" s="138">
        <f>IF('1.DATOS-PROD'!AT122="SI",VLOOKUP('1.DATOS-PROD'!AT$2,'1.PUNTOS'!$A$1:$B$63,2,0),0)</f>
        <v>0</v>
      </c>
      <c r="AL121" s="138">
        <f>IF('1.DATOS-PROD'!AU122="SI",VLOOKUP('1.DATOS-PROD'!AU$2,'1.PUNTOS'!$A$1:$B$63,2,0),0)</f>
        <v>0</v>
      </c>
      <c r="AM121" s="138">
        <f>IF('1.DATOS-PROD'!AV122="SI",VLOOKUP('1.DATOS-PROD'!AV$2,'1.PUNTOS'!$A$1:$B$63,2,0),0)</f>
        <v>0</v>
      </c>
      <c r="AN121" s="138">
        <f>IF('1.DATOS-PROD'!AW122="SI",VLOOKUP('1.DATOS-PROD'!AW$2,'1.PUNTOS'!$A$1:$B$63,2,0),0)</f>
        <v>0</v>
      </c>
      <c r="AO121" s="138">
        <f>IF('1.DATOS-PROD'!AX122="SI",VLOOKUP('1.DATOS-PROD'!AX$2,'1.PUNTOS'!$A$1:$B$63,2,0),0)</f>
        <v>0</v>
      </c>
      <c r="AP121" s="138">
        <f>IF('1.DATOS-PROD'!AY122="SI",VLOOKUP('1.DATOS-PROD'!AY$2,'1.PUNTOS'!$A$1:$B$63,2,0),0)</f>
        <v>0</v>
      </c>
      <c r="AQ121" s="138">
        <f>IF('1.DATOS-PROD'!AZ122="SI",VLOOKUP('1.DATOS-PROD'!AZ$2,'1.PUNTOS'!$A$1:$B$63,2,0),0)</f>
        <v>0</v>
      </c>
      <c r="AR121" s="138">
        <f>IF('1.DATOS-PROD'!BA122="SI",VLOOKUP('1.DATOS-PROD'!BA$2,'1.PUNTOS'!$A$1:$B$63,2,0),0)</f>
        <v>0</v>
      </c>
      <c r="AS121" s="138">
        <f>IF('1.DATOS-PROD'!BB122="SI",VLOOKUP('1.DATOS-PROD'!BB$2,'1.PUNTOS'!$A$1:$B$63,2,0),0)</f>
        <v>0</v>
      </c>
      <c r="AT121" s="138">
        <f>IF('1.DATOS-PROD'!BC122="SI",VLOOKUP('1.DATOS-PROD'!BC$2,'1.PUNTOS'!$A$1:$B$63,2,0),0)</f>
        <v>0</v>
      </c>
      <c r="AU121" s="138">
        <f>IF('1.DATOS-PROD'!BD122="SI",VLOOKUP('1.DATOS-PROD'!BD$2,'1.PUNTOS'!$A$1:$B$63,2,0),0)</f>
        <v>0</v>
      </c>
      <c r="AV121" s="138">
        <f>IF('1.DATOS-PROD'!BE122="SI",VLOOKUP('1.DATOS-PROD'!BE$2,'1.PUNTOS'!$A$1:$B$63,2,0),0)</f>
        <v>0</v>
      </c>
      <c r="AW121" s="138">
        <f>IF('1.DATOS-PROD'!BF122="SI",VLOOKUP('1.DATOS-PROD'!BF$2,'1.PUNTOS'!$A$1:$B$63,2,0),0)</f>
        <v>0</v>
      </c>
      <c r="AX121" s="138">
        <f>IF('1.DATOS-PROD'!BG122="SI",VLOOKUP('1.DATOS-PROD'!BG$2,'1.PUNTOS'!$A$1:$B$63,2,0),0)</f>
        <v>0</v>
      </c>
      <c r="AY121" s="138">
        <f>IF('1.DATOS-PROD'!BH122="SI",VLOOKUP('1.DATOS-PROD'!BH$2,'1.PUNTOS'!$A$1:$B$63,2,0),0)</f>
        <v>0</v>
      </c>
      <c r="AZ121" s="138">
        <f>IF('1.DATOS-PROD'!BI122="SI",VLOOKUP('1.DATOS-PROD'!BI$2,'1.PUNTOS'!$A$1:$B$63,2,0),0)</f>
        <v>0</v>
      </c>
      <c r="BA121" s="138">
        <f>IF('1.DATOS-PROD'!BJ122="SI",VLOOKUP('1.DATOS-PROD'!BJ$2,'1.PUNTOS'!$A$1:$B$63,2,0),0)</f>
        <v>0</v>
      </c>
      <c r="BB121" s="138">
        <f>IF('1.DATOS-PROD'!BK122="SI",VLOOKUP('1.DATOS-PROD'!BK$2,'1.PUNTOS'!$A$1:$B$63,2,0),0)</f>
        <v>0</v>
      </c>
      <c r="BC121" s="138">
        <f>IF('1.DATOS-PROD'!BL122="SI",VLOOKUP('1.DATOS-PROD'!BL$2,'1.PUNTOS'!$A$1:$B$63,2,0),0)</f>
        <v>0</v>
      </c>
      <c r="BD121" s="138">
        <f>IF('1.DATOS-PROD'!BM122="SI",VLOOKUP('1.DATOS-PROD'!BM$2,'1.PUNTOS'!$A$1:$B$63,2,0),0)</f>
        <v>0</v>
      </c>
      <c r="BE121" s="138">
        <f>IF('1.DATOS-PROD'!BN122="SI",VLOOKUP('1.DATOS-PROD'!BN$2,'1.PUNTOS'!$A$1:$B$63,2,0),0)</f>
        <v>0</v>
      </c>
      <c r="BF121" s="138">
        <f>IF('1.DATOS-PROD'!BO122="SI",VLOOKUP('1.DATOS-PROD'!BO$2,'1.PUNTOS'!$A$1:$B$63,2,0),0)</f>
        <v>0</v>
      </c>
      <c r="BG121" s="138">
        <f>IF('1.DATOS-PROD'!BP122="SI",VLOOKUP('1.DATOS-PROD'!BP$2,'1.PUNTOS'!$A$1:$B$63,2,0),0)</f>
        <v>0</v>
      </c>
      <c r="BH121" s="138">
        <f>IF('1.DATOS-PROD'!BQ122="SI",VLOOKUP('1.DATOS-PROD'!BQ$2,'1.PUNTOS'!$A$1:$B$63,2,0),0)</f>
        <v>0</v>
      </c>
      <c r="BI121" s="138">
        <f>IF('1.DATOS-PROD'!BR122="SI",VLOOKUP('1.DATOS-PROD'!BR$2,'1.PUNTOS'!$A$1:$B$63,2,0),0)</f>
        <v>0</v>
      </c>
      <c r="BJ121" s="138">
        <f>IF('1.DATOS-PROD'!BS122="SI",VLOOKUP('1.DATOS-PROD'!BS$2,'1.PUNTOS'!$A$1:$B$63,2,0),0)</f>
        <v>0</v>
      </c>
      <c r="BK121" s="138">
        <f>IF('1.DATOS-PROD'!BT122="SI",VLOOKUP('1.DATOS-PROD'!BT$2,'1.PUNTOS'!$A$1:$B$63,2,0),0)</f>
        <v>0</v>
      </c>
    </row>
    <row r="122" spans="1:63" x14ac:dyDescent="0.25">
      <c r="A122">
        <f>'0.Consolidado general'!$A123</f>
        <v>0</v>
      </c>
      <c r="B122" s="138">
        <f>IF('1.DATOS-PROD'!K123="SI",VLOOKUP('1.DATOS-PROD'!K$2,'1.PUNTOS'!$A$1:$B$63,2,0),0)</f>
        <v>0</v>
      </c>
      <c r="C122" s="138">
        <f>IF('1.DATOS-PROD'!L123="SI",VLOOKUP('1.DATOS-PROD'!L$2,'1.PUNTOS'!$A$1:$B$63,2,0),0)</f>
        <v>0</v>
      </c>
      <c r="D122" s="138">
        <f>IF('1.DATOS-PROD'!M123="SI",VLOOKUP('1.DATOS-PROD'!M$2,'1.PUNTOS'!$A$1:$B$63,2,0),0)</f>
        <v>0</v>
      </c>
      <c r="E122" s="138">
        <f>IF('1.DATOS-PROD'!N123="SI",VLOOKUP('1.DATOS-PROD'!N$2,'1.PUNTOS'!$A$1:$B$63,2,0),0)</f>
        <v>0</v>
      </c>
      <c r="F122" s="138">
        <f>IF('1.DATOS-PROD'!O123="SI",VLOOKUP('1.DATOS-PROD'!O$2,'1.PUNTOS'!$A$1:$B$63,2,0),0)</f>
        <v>0</v>
      </c>
      <c r="G122" s="138">
        <f>IF('1.DATOS-PROD'!P123="SI",VLOOKUP('1.DATOS-PROD'!P$2,'1.PUNTOS'!$A$1:$B$63,2,0),0)</f>
        <v>0</v>
      </c>
      <c r="H122" s="138">
        <f>IF('1.DATOS-PROD'!Q123="SI",VLOOKUP('1.DATOS-PROD'!Q$2,'1.PUNTOS'!$A$1:$B$63,2,0),0)</f>
        <v>0</v>
      </c>
      <c r="I122" s="138">
        <f>IF('1.DATOS-PROD'!R123="SI",VLOOKUP('1.DATOS-PROD'!R$2,'1.PUNTOS'!$A$1:$B$63,2,0),0)</f>
        <v>0</v>
      </c>
      <c r="J122" s="138">
        <f>IF('1.DATOS-PROD'!S123="SI",VLOOKUP('1.DATOS-PROD'!S$2,'1.PUNTOS'!$A$1:$B$63,2,0),0)</f>
        <v>0</v>
      </c>
      <c r="K122" s="138">
        <f>IF('1.DATOS-PROD'!T123="SI",VLOOKUP('1.DATOS-PROD'!T$2,'1.PUNTOS'!$A$1:$B$63,2,0),0)</f>
        <v>0</v>
      </c>
      <c r="L122" s="138">
        <f>IF('1.DATOS-PROD'!U123="SI",VLOOKUP('1.DATOS-PROD'!U$2,'1.PUNTOS'!$A$1:$B$63,2,0),0)</f>
        <v>0</v>
      </c>
      <c r="M122" s="138">
        <f>IF('1.DATOS-PROD'!V123="SI",VLOOKUP('1.DATOS-PROD'!V$2,'1.PUNTOS'!$A$1:$B$63,2,0),0)</f>
        <v>0</v>
      </c>
      <c r="N122" s="138">
        <f>IF('1.DATOS-PROD'!W123="SI",VLOOKUP('1.DATOS-PROD'!W$2,'1.PUNTOS'!$A$1:$B$63,2,0),0)</f>
        <v>0</v>
      </c>
      <c r="O122" s="138">
        <f>IF('1.DATOS-PROD'!X123="SI",VLOOKUP('1.DATOS-PROD'!X$2,'1.PUNTOS'!$A$1:$B$63,2,0),0)</f>
        <v>0</v>
      </c>
      <c r="P122" s="138">
        <f>IF('1.DATOS-PROD'!Y123="SI",VLOOKUP('1.DATOS-PROD'!Y$2,'1.PUNTOS'!$A$1:$B$63,2,0),0)</f>
        <v>0</v>
      </c>
      <c r="Q122" s="138">
        <f>IF('1.DATOS-PROD'!Z123="SI",VLOOKUP('1.DATOS-PROD'!Z$2,'1.PUNTOS'!$A$1:$B$63,2,0),0)</f>
        <v>0</v>
      </c>
      <c r="R122" s="138">
        <f>IF('1.DATOS-PROD'!AA123="SI",VLOOKUP('1.DATOS-PROD'!AA$2,'1.PUNTOS'!$A$1:$B$63,2,0),0)</f>
        <v>0</v>
      </c>
      <c r="S122" s="138">
        <f>IF('1.DATOS-PROD'!AB123="SI",VLOOKUP('1.DATOS-PROD'!AB$2,'1.PUNTOS'!$A$1:$B$63,2,0),0)</f>
        <v>0</v>
      </c>
      <c r="T122" s="138">
        <f>IF('1.DATOS-PROD'!AC123="SI",VLOOKUP('1.DATOS-PROD'!AC$2,'1.PUNTOS'!$A$1:$B$63,2,0),0)</f>
        <v>0</v>
      </c>
      <c r="U122" s="138">
        <f>IF('1.DATOS-PROD'!AD123="SI",VLOOKUP('1.DATOS-PROD'!AD$2,'1.PUNTOS'!$A$1:$B$63,2,0),0)</f>
        <v>0</v>
      </c>
      <c r="V122" s="138">
        <f>IF('1.DATOS-PROD'!AE123="SI",VLOOKUP('1.DATOS-PROD'!AE$2,'1.PUNTOS'!$A$1:$B$63,2,0),0)</f>
        <v>0</v>
      </c>
      <c r="W122" s="138">
        <f>IF('1.DATOS-PROD'!AF123="SI",VLOOKUP('1.DATOS-PROD'!AF$2,'1.PUNTOS'!$A$1:$B$63,2,0),0)</f>
        <v>0</v>
      </c>
      <c r="X122" s="138">
        <f>IF('1.DATOS-PROD'!AG123="SI",VLOOKUP('1.DATOS-PROD'!AG$2,'1.PUNTOS'!$A$1:$B$63,2,0),0)</f>
        <v>0</v>
      </c>
      <c r="Y122" s="138">
        <f>IF('1.DATOS-PROD'!AH123="SI",VLOOKUP('1.DATOS-PROD'!AH$2,'1.PUNTOS'!$A$1:$B$63,2,0),0)</f>
        <v>0</v>
      </c>
      <c r="Z122" s="138">
        <f>IF('1.DATOS-PROD'!AI123="SI",VLOOKUP('1.DATOS-PROD'!AI$2,'1.PUNTOS'!$A$1:$B$63,2,0),0)</f>
        <v>0</v>
      </c>
      <c r="AA122" s="138">
        <f>IF('1.DATOS-PROD'!AJ123="SI",VLOOKUP('1.DATOS-PROD'!AJ$2,'1.PUNTOS'!$A$1:$B$63,2,0),0)</f>
        <v>0</v>
      </c>
      <c r="AB122" s="138">
        <f>IF('1.DATOS-PROD'!AK123="SI",VLOOKUP('1.DATOS-PROD'!AK$2,'1.PUNTOS'!$A$1:$B$63,2,0),0)</f>
        <v>0</v>
      </c>
      <c r="AC122" s="138">
        <f>IF('1.DATOS-PROD'!AL123="SI",VLOOKUP('1.DATOS-PROD'!AL$2,'1.PUNTOS'!$A$1:$B$63,2,0),0)</f>
        <v>0</v>
      </c>
      <c r="AD122" s="138">
        <f>IF('1.DATOS-PROD'!AM123="SI",VLOOKUP('1.DATOS-PROD'!AM$2,'1.PUNTOS'!$A$1:$B$63,2,0),0)</f>
        <v>0</v>
      </c>
      <c r="AE122" s="138">
        <f>IF('1.DATOS-PROD'!AN123="SI",VLOOKUP('1.DATOS-PROD'!AN$2,'1.PUNTOS'!$A$1:$B$63,2,0),0)</f>
        <v>0</v>
      </c>
      <c r="AF122" s="138">
        <f>IF('1.DATOS-PROD'!AO123="SI",VLOOKUP('1.DATOS-PROD'!AO$2,'1.PUNTOS'!$A$1:$B$63,2,0),0)</f>
        <v>0</v>
      </c>
      <c r="AG122" s="138">
        <f>IF('1.DATOS-PROD'!AP123="SI",VLOOKUP('1.DATOS-PROD'!AP$2,'1.PUNTOS'!$A$1:$B$63,2,0),0)</f>
        <v>0</v>
      </c>
      <c r="AH122" s="138">
        <f>IF('1.DATOS-PROD'!AQ123="SI",VLOOKUP('1.DATOS-PROD'!AQ$2,'1.PUNTOS'!$A$1:$B$63,2,0),0)</f>
        <v>0</v>
      </c>
      <c r="AI122" s="138">
        <f>IF('1.DATOS-PROD'!AR123="SI",VLOOKUP('1.DATOS-PROD'!AR$2,'1.PUNTOS'!$A$1:$B$63,2,0),0)</f>
        <v>0</v>
      </c>
      <c r="AJ122" s="138">
        <f>IF('1.DATOS-PROD'!AS123="SI",VLOOKUP('1.DATOS-PROD'!AS$2,'1.PUNTOS'!$A$1:$B$63,2,0),0)</f>
        <v>0</v>
      </c>
      <c r="AK122" s="138">
        <f>IF('1.DATOS-PROD'!AT123="SI",VLOOKUP('1.DATOS-PROD'!AT$2,'1.PUNTOS'!$A$1:$B$63,2,0),0)</f>
        <v>0</v>
      </c>
      <c r="AL122" s="138">
        <f>IF('1.DATOS-PROD'!AU123="SI",VLOOKUP('1.DATOS-PROD'!AU$2,'1.PUNTOS'!$A$1:$B$63,2,0),0)</f>
        <v>0</v>
      </c>
      <c r="AM122" s="138">
        <f>IF('1.DATOS-PROD'!AV123="SI",VLOOKUP('1.DATOS-PROD'!AV$2,'1.PUNTOS'!$A$1:$B$63,2,0),0)</f>
        <v>0</v>
      </c>
      <c r="AN122" s="138">
        <f>IF('1.DATOS-PROD'!AW123="SI",VLOOKUP('1.DATOS-PROD'!AW$2,'1.PUNTOS'!$A$1:$B$63,2,0),0)</f>
        <v>0</v>
      </c>
      <c r="AO122" s="138">
        <f>IF('1.DATOS-PROD'!AX123="SI",VLOOKUP('1.DATOS-PROD'!AX$2,'1.PUNTOS'!$A$1:$B$63,2,0),0)</f>
        <v>0</v>
      </c>
      <c r="AP122" s="138">
        <f>IF('1.DATOS-PROD'!AY123="SI",VLOOKUP('1.DATOS-PROD'!AY$2,'1.PUNTOS'!$A$1:$B$63,2,0),0)</f>
        <v>0</v>
      </c>
      <c r="AQ122" s="138">
        <f>IF('1.DATOS-PROD'!AZ123="SI",VLOOKUP('1.DATOS-PROD'!AZ$2,'1.PUNTOS'!$A$1:$B$63,2,0),0)</f>
        <v>0</v>
      </c>
      <c r="AR122" s="138">
        <f>IF('1.DATOS-PROD'!BA123="SI",VLOOKUP('1.DATOS-PROD'!BA$2,'1.PUNTOS'!$A$1:$B$63,2,0),0)</f>
        <v>0</v>
      </c>
      <c r="AS122" s="138">
        <f>IF('1.DATOS-PROD'!BB123="SI",VLOOKUP('1.DATOS-PROD'!BB$2,'1.PUNTOS'!$A$1:$B$63,2,0),0)</f>
        <v>0</v>
      </c>
      <c r="AT122" s="138">
        <f>IF('1.DATOS-PROD'!BC123="SI",VLOOKUP('1.DATOS-PROD'!BC$2,'1.PUNTOS'!$A$1:$B$63,2,0),0)</f>
        <v>0</v>
      </c>
      <c r="AU122" s="138">
        <f>IF('1.DATOS-PROD'!BD123="SI",VLOOKUP('1.DATOS-PROD'!BD$2,'1.PUNTOS'!$A$1:$B$63,2,0),0)</f>
        <v>0</v>
      </c>
      <c r="AV122" s="138">
        <f>IF('1.DATOS-PROD'!BE123="SI",VLOOKUP('1.DATOS-PROD'!BE$2,'1.PUNTOS'!$A$1:$B$63,2,0),0)</f>
        <v>0</v>
      </c>
      <c r="AW122" s="138">
        <f>IF('1.DATOS-PROD'!BF123="SI",VLOOKUP('1.DATOS-PROD'!BF$2,'1.PUNTOS'!$A$1:$B$63,2,0),0)</f>
        <v>0</v>
      </c>
      <c r="AX122" s="138">
        <f>IF('1.DATOS-PROD'!BG123="SI",VLOOKUP('1.DATOS-PROD'!BG$2,'1.PUNTOS'!$A$1:$B$63,2,0),0)</f>
        <v>0</v>
      </c>
      <c r="AY122" s="138">
        <f>IF('1.DATOS-PROD'!BH123="SI",VLOOKUP('1.DATOS-PROD'!BH$2,'1.PUNTOS'!$A$1:$B$63,2,0),0)</f>
        <v>0</v>
      </c>
      <c r="AZ122" s="138">
        <f>IF('1.DATOS-PROD'!BI123="SI",VLOOKUP('1.DATOS-PROD'!BI$2,'1.PUNTOS'!$A$1:$B$63,2,0),0)</f>
        <v>0</v>
      </c>
      <c r="BA122" s="138">
        <f>IF('1.DATOS-PROD'!BJ123="SI",VLOOKUP('1.DATOS-PROD'!BJ$2,'1.PUNTOS'!$A$1:$B$63,2,0),0)</f>
        <v>0</v>
      </c>
      <c r="BB122" s="138">
        <f>IF('1.DATOS-PROD'!BK123="SI",VLOOKUP('1.DATOS-PROD'!BK$2,'1.PUNTOS'!$A$1:$B$63,2,0),0)</f>
        <v>0</v>
      </c>
      <c r="BC122" s="138">
        <f>IF('1.DATOS-PROD'!BL123="SI",VLOOKUP('1.DATOS-PROD'!BL$2,'1.PUNTOS'!$A$1:$B$63,2,0),0)</f>
        <v>0</v>
      </c>
      <c r="BD122" s="138">
        <f>IF('1.DATOS-PROD'!BM123="SI",VLOOKUP('1.DATOS-PROD'!BM$2,'1.PUNTOS'!$A$1:$B$63,2,0),0)</f>
        <v>0</v>
      </c>
      <c r="BE122" s="138">
        <f>IF('1.DATOS-PROD'!BN123="SI",VLOOKUP('1.DATOS-PROD'!BN$2,'1.PUNTOS'!$A$1:$B$63,2,0),0)</f>
        <v>0</v>
      </c>
      <c r="BF122" s="138">
        <f>IF('1.DATOS-PROD'!BO123="SI",VLOOKUP('1.DATOS-PROD'!BO$2,'1.PUNTOS'!$A$1:$B$63,2,0),0)</f>
        <v>0</v>
      </c>
      <c r="BG122" s="138">
        <f>IF('1.DATOS-PROD'!BP123="SI",VLOOKUP('1.DATOS-PROD'!BP$2,'1.PUNTOS'!$A$1:$B$63,2,0),0)</f>
        <v>0</v>
      </c>
      <c r="BH122" s="138">
        <f>IF('1.DATOS-PROD'!BQ123="SI",VLOOKUP('1.DATOS-PROD'!BQ$2,'1.PUNTOS'!$A$1:$B$63,2,0),0)</f>
        <v>0</v>
      </c>
      <c r="BI122" s="138">
        <f>IF('1.DATOS-PROD'!BR123="SI",VLOOKUP('1.DATOS-PROD'!BR$2,'1.PUNTOS'!$A$1:$B$63,2,0),0)</f>
        <v>0</v>
      </c>
      <c r="BJ122" s="138">
        <f>IF('1.DATOS-PROD'!BS123="SI",VLOOKUP('1.DATOS-PROD'!BS$2,'1.PUNTOS'!$A$1:$B$63,2,0),0)</f>
        <v>0</v>
      </c>
      <c r="BK122" s="138">
        <f>IF('1.DATOS-PROD'!BT123="SI",VLOOKUP('1.DATOS-PROD'!BT$2,'1.PUNTOS'!$A$1:$B$63,2,0),0)</f>
        <v>0</v>
      </c>
    </row>
    <row r="123" spans="1:63" x14ac:dyDescent="0.25">
      <c r="A123">
        <f>'0.Consolidado general'!$A124</f>
        <v>0</v>
      </c>
      <c r="B123" s="138">
        <f>IF('1.DATOS-PROD'!K124="SI",VLOOKUP('1.DATOS-PROD'!K$2,'1.PUNTOS'!$A$1:$B$63,2,0),0)</f>
        <v>0</v>
      </c>
      <c r="C123" s="138">
        <f>IF('1.DATOS-PROD'!L124="SI",VLOOKUP('1.DATOS-PROD'!L$2,'1.PUNTOS'!$A$1:$B$63,2,0),0)</f>
        <v>0</v>
      </c>
      <c r="D123" s="138">
        <f>IF('1.DATOS-PROD'!M124="SI",VLOOKUP('1.DATOS-PROD'!M$2,'1.PUNTOS'!$A$1:$B$63,2,0),0)</f>
        <v>0</v>
      </c>
      <c r="E123" s="138">
        <f>IF('1.DATOS-PROD'!N124="SI",VLOOKUP('1.DATOS-PROD'!N$2,'1.PUNTOS'!$A$1:$B$63,2,0),0)</f>
        <v>0</v>
      </c>
      <c r="F123" s="138">
        <f>IF('1.DATOS-PROD'!O124="SI",VLOOKUP('1.DATOS-PROD'!O$2,'1.PUNTOS'!$A$1:$B$63,2,0),0)</f>
        <v>0</v>
      </c>
      <c r="G123" s="138">
        <f>IF('1.DATOS-PROD'!P124="SI",VLOOKUP('1.DATOS-PROD'!P$2,'1.PUNTOS'!$A$1:$B$63,2,0),0)</f>
        <v>0</v>
      </c>
      <c r="H123" s="138">
        <f>IF('1.DATOS-PROD'!Q124="SI",VLOOKUP('1.DATOS-PROD'!Q$2,'1.PUNTOS'!$A$1:$B$63,2,0),0)</f>
        <v>0</v>
      </c>
      <c r="I123" s="138">
        <f>IF('1.DATOS-PROD'!R124="SI",VLOOKUP('1.DATOS-PROD'!R$2,'1.PUNTOS'!$A$1:$B$63,2,0),0)</f>
        <v>0</v>
      </c>
      <c r="J123" s="138">
        <f>IF('1.DATOS-PROD'!S124="SI",VLOOKUP('1.DATOS-PROD'!S$2,'1.PUNTOS'!$A$1:$B$63,2,0),0)</f>
        <v>0</v>
      </c>
      <c r="K123" s="138">
        <f>IF('1.DATOS-PROD'!T124="SI",VLOOKUP('1.DATOS-PROD'!T$2,'1.PUNTOS'!$A$1:$B$63,2,0),0)</f>
        <v>0</v>
      </c>
      <c r="L123" s="138">
        <f>IF('1.DATOS-PROD'!U124="SI",VLOOKUP('1.DATOS-PROD'!U$2,'1.PUNTOS'!$A$1:$B$63,2,0),0)</f>
        <v>0</v>
      </c>
      <c r="M123" s="138">
        <f>IF('1.DATOS-PROD'!V124="SI",VLOOKUP('1.DATOS-PROD'!V$2,'1.PUNTOS'!$A$1:$B$63,2,0),0)</f>
        <v>0</v>
      </c>
      <c r="N123" s="138">
        <f>IF('1.DATOS-PROD'!W124="SI",VLOOKUP('1.DATOS-PROD'!W$2,'1.PUNTOS'!$A$1:$B$63,2,0),0)</f>
        <v>0</v>
      </c>
      <c r="O123" s="138">
        <f>IF('1.DATOS-PROD'!X124="SI",VLOOKUP('1.DATOS-PROD'!X$2,'1.PUNTOS'!$A$1:$B$63,2,0),0)</f>
        <v>0</v>
      </c>
      <c r="P123" s="138">
        <f>IF('1.DATOS-PROD'!Y124="SI",VLOOKUP('1.DATOS-PROD'!Y$2,'1.PUNTOS'!$A$1:$B$63,2,0),0)</f>
        <v>0</v>
      </c>
      <c r="Q123" s="138">
        <f>IF('1.DATOS-PROD'!Z124="SI",VLOOKUP('1.DATOS-PROD'!Z$2,'1.PUNTOS'!$A$1:$B$63,2,0),0)</f>
        <v>0</v>
      </c>
      <c r="R123" s="138">
        <f>IF('1.DATOS-PROD'!AA124="SI",VLOOKUP('1.DATOS-PROD'!AA$2,'1.PUNTOS'!$A$1:$B$63,2,0),0)</f>
        <v>0</v>
      </c>
      <c r="S123" s="138">
        <f>IF('1.DATOS-PROD'!AB124="SI",VLOOKUP('1.DATOS-PROD'!AB$2,'1.PUNTOS'!$A$1:$B$63,2,0),0)</f>
        <v>0</v>
      </c>
      <c r="T123" s="138">
        <f>IF('1.DATOS-PROD'!AC124="SI",VLOOKUP('1.DATOS-PROD'!AC$2,'1.PUNTOS'!$A$1:$B$63,2,0),0)</f>
        <v>0</v>
      </c>
      <c r="U123" s="138">
        <f>IF('1.DATOS-PROD'!AD124="SI",VLOOKUP('1.DATOS-PROD'!AD$2,'1.PUNTOS'!$A$1:$B$63,2,0),0)</f>
        <v>0</v>
      </c>
      <c r="V123" s="138">
        <f>IF('1.DATOS-PROD'!AE124="SI",VLOOKUP('1.DATOS-PROD'!AE$2,'1.PUNTOS'!$A$1:$B$63,2,0),0)</f>
        <v>0</v>
      </c>
      <c r="W123" s="138">
        <f>IF('1.DATOS-PROD'!AF124="SI",VLOOKUP('1.DATOS-PROD'!AF$2,'1.PUNTOS'!$A$1:$B$63,2,0),0)</f>
        <v>0</v>
      </c>
      <c r="X123" s="138">
        <f>IF('1.DATOS-PROD'!AG124="SI",VLOOKUP('1.DATOS-PROD'!AG$2,'1.PUNTOS'!$A$1:$B$63,2,0),0)</f>
        <v>0</v>
      </c>
      <c r="Y123" s="138">
        <f>IF('1.DATOS-PROD'!AH124="SI",VLOOKUP('1.DATOS-PROD'!AH$2,'1.PUNTOS'!$A$1:$B$63,2,0),0)</f>
        <v>0</v>
      </c>
      <c r="Z123" s="138">
        <f>IF('1.DATOS-PROD'!AI124="SI",VLOOKUP('1.DATOS-PROD'!AI$2,'1.PUNTOS'!$A$1:$B$63,2,0),0)</f>
        <v>0</v>
      </c>
      <c r="AA123" s="138">
        <f>IF('1.DATOS-PROD'!AJ124="SI",VLOOKUP('1.DATOS-PROD'!AJ$2,'1.PUNTOS'!$A$1:$B$63,2,0),0)</f>
        <v>0</v>
      </c>
      <c r="AB123" s="138">
        <f>IF('1.DATOS-PROD'!AK124="SI",VLOOKUP('1.DATOS-PROD'!AK$2,'1.PUNTOS'!$A$1:$B$63,2,0),0)</f>
        <v>0</v>
      </c>
      <c r="AC123" s="138">
        <f>IF('1.DATOS-PROD'!AL124="SI",VLOOKUP('1.DATOS-PROD'!AL$2,'1.PUNTOS'!$A$1:$B$63,2,0),0)</f>
        <v>0</v>
      </c>
      <c r="AD123" s="138">
        <f>IF('1.DATOS-PROD'!AM124="SI",VLOOKUP('1.DATOS-PROD'!AM$2,'1.PUNTOS'!$A$1:$B$63,2,0),0)</f>
        <v>0</v>
      </c>
      <c r="AE123" s="138">
        <f>IF('1.DATOS-PROD'!AN124="SI",VLOOKUP('1.DATOS-PROD'!AN$2,'1.PUNTOS'!$A$1:$B$63,2,0),0)</f>
        <v>0</v>
      </c>
      <c r="AF123" s="138">
        <f>IF('1.DATOS-PROD'!AO124="SI",VLOOKUP('1.DATOS-PROD'!AO$2,'1.PUNTOS'!$A$1:$B$63,2,0),0)</f>
        <v>0</v>
      </c>
      <c r="AG123" s="138">
        <f>IF('1.DATOS-PROD'!AP124="SI",VLOOKUP('1.DATOS-PROD'!AP$2,'1.PUNTOS'!$A$1:$B$63,2,0),0)</f>
        <v>0</v>
      </c>
      <c r="AH123" s="138">
        <f>IF('1.DATOS-PROD'!AQ124="SI",VLOOKUP('1.DATOS-PROD'!AQ$2,'1.PUNTOS'!$A$1:$B$63,2,0),0)</f>
        <v>0</v>
      </c>
      <c r="AI123" s="138">
        <f>IF('1.DATOS-PROD'!AR124="SI",VLOOKUP('1.DATOS-PROD'!AR$2,'1.PUNTOS'!$A$1:$B$63,2,0),0)</f>
        <v>0</v>
      </c>
      <c r="AJ123" s="138">
        <f>IF('1.DATOS-PROD'!AS124="SI",VLOOKUP('1.DATOS-PROD'!AS$2,'1.PUNTOS'!$A$1:$B$63,2,0),0)</f>
        <v>0</v>
      </c>
      <c r="AK123" s="138">
        <f>IF('1.DATOS-PROD'!AT124="SI",VLOOKUP('1.DATOS-PROD'!AT$2,'1.PUNTOS'!$A$1:$B$63,2,0),0)</f>
        <v>0</v>
      </c>
      <c r="AL123" s="138">
        <f>IF('1.DATOS-PROD'!AU124="SI",VLOOKUP('1.DATOS-PROD'!AU$2,'1.PUNTOS'!$A$1:$B$63,2,0),0)</f>
        <v>0</v>
      </c>
      <c r="AM123" s="138">
        <f>IF('1.DATOS-PROD'!AV124="SI",VLOOKUP('1.DATOS-PROD'!AV$2,'1.PUNTOS'!$A$1:$B$63,2,0),0)</f>
        <v>0</v>
      </c>
      <c r="AN123" s="138">
        <f>IF('1.DATOS-PROD'!AW124="SI",VLOOKUP('1.DATOS-PROD'!AW$2,'1.PUNTOS'!$A$1:$B$63,2,0),0)</f>
        <v>0</v>
      </c>
      <c r="AO123" s="138">
        <f>IF('1.DATOS-PROD'!AX124="SI",VLOOKUP('1.DATOS-PROD'!AX$2,'1.PUNTOS'!$A$1:$B$63,2,0),0)</f>
        <v>0</v>
      </c>
      <c r="AP123" s="138">
        <f>IF('1.DATOS-PROD'!AY124="SI",VLOOKUP('1.DATOS-PROD'!AY$2,'1.PUNTOS'!$A$1:$B$63,2,0),0)</f>
        <v>0</v>
      </c>
      <c r="AQ123" s="138">
        <f>IF('1.DATOS-PROD'!AZ124="SI",VLOOKUP('1.DATOS-PROD'!AZ$2,'1.PUNTOS'!$A$1:$B$63,2,0),0)</f>
        <v>0</v>
      </c>
      <c r="AR123" s="138">
        <f>IF('1.DATOS-PROD'!BA124="SI",VLOOKUP('1.DATOS-PROD'!BA$2,'1.PUNTOS'!$A$1:$B$63,2,0),0)</f>
        <v>0</v>
      </c>
      <c r="AS123" s="138">
        <f>IF('1.DATOS-PROD'!BB124="SI",VLOOKUP('1.DATOS-PROD'!BB$2,'1.PUNTOS'!$A$1:$B$63,2,0),0)</f>
        <v>0</v>
      </c>
      <c r="AT123" s="138">
        <f>IF('1.DATOS-PROD'!BC124="SI",VLOOKUP('1.DATOS-PROD'!BC$2,'1.PUNTOS'!$A$1:$B$63,2,0),0)</f>
        <v>0</v>
      </c>
      <c r="AU123" s="138">
        <f>IF('1.DATOS-PROD'!BD124="SI",VLOOKUP('1.DATOS-PROD'!BD$2,'1.PUNTOS'!$A$1:$B$63,2,0),0)</f>
        <v>0</v>
      </c>
      <c r="AV123" s="138">
        <f>IF('1.DATOS-PROD'!BE124="SI",VLOOKUP('1.DATOS-PROD'!BE$2,'1.PUNTOS'!$A$1:$B$63,2,0),0)</f>
        <v>0</v>
      </c>
      <c r="AW123" s="138">
        <f>IF('1.DATOS-PROD'!BF124="SI",VLOOKUP('1.DATOS-PROD'!BF$2,'1.PUNTOS'!$A$1:$B$63,2,0),0)</f>
        <v>0</v>
      </c>
      <c r="AX123" s="138">
        <f>IF('1.DATOS-PROD'!BG124="SI",VLOOKUP('1.DATOS-PROD'!BG$2,'1.PUNTOS'!$A$1:$B$63,2,0),0)</f>
        <v>0</v>
      </c>
      <c r="AY123" s="138">
        <f>IF('1.DATOS-PROD'!BH124="SI",VLOOKUP('1.DATOS-PROD'!BH$2,'1.PUNTOS'!$A$1:$B$63,2,0),0)</f>
        <v>0</v>
      </c>
      <c r="AZ123" s="138">
        <f>IF('1.DATOS-PROD'!BI124="SI",VLOOKUP('1.DATOS-PROD'!BI$2,'1.PUNTOS'!$A$1:$B$63,2,0),0)</f>
        <v>0</v>
      </c>
      <c r="BA123" s="138">
        <f>IF('1.DATOS-PROD'!BJ124="SI",VLOOKUP('1.DATOS-PROD'!BJ$2,'1.PUNTOS'!$A$1:$B$63,2,0),0)</f>
        <v>0</v>
      </c>
      <c r="BB123" s="138">
        <f>IF('1.DATOS-PROD'!BK124="SI",VLOOKUP('1.DATOS-PROD'!BK$2,'1.PUNTOS'!$A$1:$B$63,2,0),0)</f>
        <v>0</v>
      </c>
      <c r="BC123" s="138">
        <f>IF('1.DATOS-PROD'!BL124="SI",VLOOKUP('1.DATOS-PROD'!BL$2,'1.PUNTOS'!$A$1:$B$63,2,0),0)</f>
        <v>0</v>
      </c>
      <c r="BD123" s="138">
        <f>IF('1.DATOS-PROD'!BM124="SI",VLOOKUP('1.DATOS-PROD'!BM$2,'1.PUNTOS'!$A$1:$B$63,2,0),0)</f>
        <v>0</v>
      </c>
      <c r="BE123" s="138">
        <f>IF('1.DATOS-PROD'!BN124="SI",VLOOKUP('1.DATOS-PROD'!BN$2,'1.PUNTOS'!$A$1:$B$63,2,0),0)</f>
        <v>0</v>
      </c>
      <c r="BF123" s="138">
        <f>IF('1.DATOS-PROD'!BO124="SI",VLOOKUP('1.DATOS-PROD'!BO$2,'1.PUNTOS'!$A$1:$B$63,2,0),0)</f>
        <v>0</v>
      </c>
      <c r="BG123" s="138">
        <f>IF('1.DATOS-PROD'!BP124="SI",VLOOKUP('1.DATOS-PROD'!BP$2,'1.PUNTOS'!$A$1:$B$63,2,0),0)</f>
        <v>0</v>
      </c>
      <c r="BH123" s="138">
        <f>IF('1.DATOS-PROD'!BQ124="SI",VLOOKUP('1.DATOS-PROD'!BQ$2,'1.PUNTOS'!$A$1:$B$63,2,0),0)</f>
        <v>0</v>
      </c>
      <c r="BI123" s="138">
        <f>IF('1.DATOS-PROD'!BR124="SI",VLOOKUP('1.DATOS-PROD'!BR$2,'1.PUNTOS'!$A$1:$B$63,2,0),0)</f>
        <v>0</v>
      </c>
      <c r="BJ123" s="138">
        <f>IF('1.DATOS-PROD'!BS124="SI",VLOOKUP('1.DATOS-PROD'!BS$2,'1.PUNTOS'!$A$1:$B$63,2,0),0)</f>
        <v>0</v>
      </c>
      <c r="BK123" s="138">
        <f>IF('1.DATOS-PROD'!BT124="SI",VLOOKUP('1.DATOS-PROD'!BT$2,'1.PUNTOS'!$A$1:$B$63,2,0),0)</f>
        <v>0</v>
      </c>
    </row>
    <row r="124" spans="1:63" x14ac:dyDescent="0.25">
      <c r="A124">
        <f>'0.Consolidado general'!$A125</f>
        <v>0</v>
      </c>
      <c r="B124" s="138">
        <f>IF('1.DATOS-PROD'!K125="SI",VLOOKUP('1.DATOS-PROD'!K$2,'1.PUNTOS'!$A$1:$B$63,2,0),0)</f>
        <v>0</v>
      </c>
      <c r="C124" s="138">
        <f>IF('1.DATOS-PROD'!L125="SI",VLOOKUP('1.DATOS-PROD'!L$2,'1.PUNTOS'!$A$1:$B$63,2,0),0)</f>
        <v>0</v>
      </c>
      <c r="D124" s="138">
        <f>IF('1.DATOS-PROD'!M125="SI",VLOOKUP('1.DATOS-PROD'!M$2,'1.PUNTOS'!$A$1:$B$63,2,0),0)</f>
        <v>0</v>
      </c>
      <c r="E124" s="138">
        <f>IF('1.DATOS-PROD'!N125="SI",VLOOKUP('1.DATOS-PROD'!N$2,'1.PUNTOS'!$A$1:$B$63,2,0),0)</f>
        <v>0</v>
      </c>
      <c r="F124" s="138">
        <f>IF('1.DATOS-PROD'!O125="SI",VLOOKUP('1.DATOS-PROD'!O$2,'1.PUNTOS'!$A$1:$B$63,2,0),0)</f>
        <v>0</v>
      </c>
      <c r="G124" s="138">
        <f>IF('1.DATOS-PROD'!P125="SI",VLOOKUP('1.DATOS-PROD'!P$2,'1.PUNTOS'!$A$1:$B$63,2,0),0)</f>
        <v>0</v>
      </c>
      <c r="H124" s="138">
        <f>IF('1.DATOS-PROD'!Q125="SI",VLOOKUP('1.DATOS-PROD'!Q$2,'1.PUNTOS'!$A$1:$B$63,2,0),0)</f>
        <v>0</v>
      </c>
      <c r="I124" s="138">
        <f>IF('1.DATOS-PROD'!R125="SI",VLOOKUP('1.DATOS-PROD'!R$2,'1.PUNTOS'!$A$1:$B$63,2,0),0)</f>
        <v>0</v>
      </c>
      <c r="J124" s="138">
        <f>IF('1.DATOS-PROD'!S125="SI",VLOOKUP('1.DATOS-PROD'!S$2,'1.PUNTOS'!$A$1:$B$63,2,0),0)</f>
        <v>0</v>
      </c>
      <c r="K124" s="138">
        <f>IF('1.DATOS-PROD'!T125="SI",VLOOKUP('1.DATOS-PROD'!T$2,'1.PUNTOS'!$A$1:$B$63,2,0),0)</f>
        <v>0</v>
      </c>
      <c r="L124" s="138">
        <f>IF('1.DATOS-PROD'!U125="SI",VLOOKUP('1.DATOS-PROD'!U$2,'1.PUNTOS'!$A$1:$B$63,2,0),0)</f>
        <v>0</v>
      </c>
      <c r="M124" s="138">
        <f>IF('1.DATOS-PROD'!V125="SI",VLOOKUP('1.DATOS-PROD'!V$2,'1.PUNTOS'!$A$1:$B$63,2,0),0)</f>
        <v>0</v>
      </c>
      <c r="N124" s="138">
        <f>IF('1.DATOS-PROD'!W125="SI",VLOOKUP('1.DATOS-PROD'!W$2,'1.PUNTOS'!$A$1:$B$63,2,0),0)</f>
        <v>0</v>
      </c>
      <c r="O124" s="138">
        <f>IF('1.DATOS-PROD'!X125="SI",VLOOKUP('1.DATOS-PROD'!X$2,'1.PUNTOS'!$A$1:$B$63,2,0),0)</f>
        <v>0</v>
      </c>
      <c r="P124" s="138">
        <f>IF('1.DATOS-PROD'!Y125="SI",VLOOKUP('1.DATOS-PROD'!Y$2,'1.PUNTOS'!$A$1:$B$63,2,0),0)</f>
        <v>0</v>
      </c>
      <c r="Q124" s="138">
        <f>IF('1.DATOS-PROD'!Z125="SI",VLOOKUP('1.DATOS-PROD'!Z$2,'1.PUNTOS'!$A$1:$B$63,2,0),0)</f>
        <v>0</v>
      </c>
      <c r="R124" s="138">
        <f>IF('1.DATOS-PROD'!AA125="SI",VLOOKUP('1.DATOS-PROD'!AA$2,'1.PUNTOS'!$A$1:$B$63,2,0),0)</f>
        <v>0</v>
      </c>
      <c r="S124" s="138">
        <f>IF('1.DATOS-PROD'!AB125="SI",VLOOKUP('1.DATOS-PROD'!AB$2,'1.PUNTOS'!$A$1:$B$63,2,0),0)</f>
        <v>0</v>
      </c>
      <c r="T124" s="138">
        <f>IF('1.DATOS-PROD'!AC125="SI",VLOOKUP('1.DATOS-PROD'!AC$2,'1.PUNTOS'!$A$1:$B$63,2,0),0)</f>
        <v>0</v>
      </c>
      <c r="U124" s="138">
        <f>IF('1.DATOS-PROD'!AD125="SI",VLOOKUP('1.DATOS-PROD'!AD$2,'1.PUNTOS'!$A$1:$B$63,2,0),0)</f>
        <v>0</v>
      </c>
      <c r="V124" s="138">
        <f>IF('1.DATOS-PROD'!AE125="SI",VLOOKUP('1.DATOS-PROD'!AE$2,'1.PUNTOS'!$A$1:$B$63,2,0),0)</f>
        <v>0</v>
      </c>
      <c r="W124" s="138">
        <f>IF('1.DATOS-PROD'!AF125="SI",VLOOKUP('1.DATOS-PROD'!AF$2,'1.PUNTOS'!$A$1:$B$63,2,0),0)</f>
        <v>0</v>
      </c>
      <c r="X124" s="138">
        <f>IF('1.DATOS-PROD'!AG125="SI",VLOOKUP('1.DATOS-PROD'!AG$2,'1.PUNTOS'!$A$1:$B$63,2,0),0)</f>
        <v>0</v>
      </c>
      <c r="Y124" s="138">
        <f>IF('1.DATOS-PROD'!AH125="SI",VLOOKUP('1.DATOS-PROD'!AH$2,'1.PUNTOS'!$A$1:$B$63,2,0),0)</f>
        <v>0</v>
      </c>
      <c r="Z124" s="138">
        <f>IF('1.DATOS-PROD'!AI125="SI",VLOOKUP('1.DATOS-PROD'!AI$2,'1.PUNTOS'!$A$1:$B$63,2,0),0)</f>
        <v>0</v>
      </c>
      <c r="AA124" s="138">
        <f>IF('1.DATOS-PROD'!AJ125="SI",VLOOKUP('1.DATOS-PROD'!AJ$2,'1.PUNTOS'!$A$1:$B$63,2,0),0)</f>
        <v>0</v>
      </c>
      <c r="AB124" s="138">
        <f>IF('1.DATOS-PROD'!AK125="SI",VLOOKUP('1.DATOS-PROD'!AK$2,'1.PUNTOS'!$A$1:$B$63,2,0),0)</f>
        <v>0</v>
      </c>
      <c r="AC124" s="138">
        <f>IF('1.DATOS-PROD'!AL125="SI",VLOOKUP('1.DATOS-PROD'!AL$2,'1.PUNTOS'!$A$1:$B$63,2,0),0)</f>
        <v>0</v>
      </c>
      <c r="AD124" s="138">
        <f>IF('1.DATOS-PROD'!AM125="SI",VLOOKUP('1.DATOS-PROD'!AM$2,'1.PUNTOS'!$A$1:$B$63,2,0),0)</f>
        <v>0</v>
      </c>
      <c r="AE124" s="138">
        <f>IF('1.DATOS-PROD'!AN125="SI",VLOOKUP('1.DATOS-PROD'!AN$2,'1.PUNTOS'!$A$1:$B$63,2,0),0)</f>
        <v>0</v>
      </c>
      <c r="AF124" s="138">
        <f>IF('1.DATOS-PROD'!AO125="SI",VLOOKUP('1.DATOS-PROD'!AO$2,'1.PUNTOS'!$A$1:$B$63,2,0),0)</f>
        <v>0</v>
      </c>
      <c r="AG124" s="138">
        <f>IF('1.DATOS-PROD'!AP125="SI",VLOOKUP('1.DATOS-PROD'!AP$2,'1.PUNTOS'!$A$1:$B$63,2,0),0)</f>
        <v>0</v>
      </c>
      <c r="AH124" s="138">
        <f>IF('1.DATOS-PROD'!AQ125="SI",VLOOKUP('1.DATOS-PROD'!AQ$2,'1.PUNTOS'!$A$1:$B$63,2,0),0)</f>
        <v>0</v>
      </c>
      <c r="AI124" s="138">
        <f>IF('1.DATOS-PROD'!AR125="SI",VLOOKUP('1.DATOS-PROD'!AR$2,'1.PUNTOS'!$A$1:$B$63,2,0),0)</f>
        <v>0</v>
      </c>
      <c r="AJ124" s="138">
        <f>IF('1.DATOS-PROD'!AS125="SI",VLOOKUP('1.DATOS-PROD'!AS$2,'1.PUNTOS'!$A$1:$B$63,2,0),0)</f>
        <v>0</v>
      </c>
      <c r="AK124" s="138">
        <f>IF('1.DATOS-PROD'!AT125="SI",VLOOKUP('1.DATOS-PROD'!AT$2,'1.PUNTOS'!$A$1:$B$63,2,0),0)</f>
        <v>0</v>
      </c>
      <c r="AL124" s="138">
        <f>IF('1.DATOS-PROD'!AU125="SI",VLOOKUP('1.DATOS-PROD'!AU$2,'1.PUNTOS'!$A$1:$B$63,2,0),0)</f>
        <v>0</v>
      </c>
      <c r="AM124" s="138">
        <f>IF('1.DATOS-PROD'!AV125="SI",VLOOKUP('1.DATOS-PROD'!AV$2,'1.PUNTOS'!$A$1:$B$63,2,0),0)</f>
        <v>0</v>
      </c>
      <c r="AN124" s="138">
        <f>IF('1.DATOS-PROD'!AW125="SI",VLOOKUP('1.DATOS-PROD'!AW$2,'1.PUNTOS'!$A$1:$B$63,2,0),0)</f>
        <v>0</v>
      </c>
      <c r="AO124" s="138">
        <f>IF('1.DATOS-PROD'!AX125="SI",VLOOKUP('1.DATOS-PROD'!AX$2,'1.PUNTOS'!$A$1:$B$63,2,0),0)</f>
        <v>0</v>
      </c>
      <c r="AP124" s="138">
        <f>IF('1.DATOS-PROD'!AY125="SI",VLOOKUP('1.DATOS-PROD'!AY$2,'1.PUNTOS'!$A$1:$B$63,2,0),0)</f>
        <v>0</v>
      </c>
      <c r="AQ124" s="138">
        <f>IF('1.DATOS-PROD'!AZ125="SI",VLOOKUP('1.DATOS-PROD'!AZ$2,'1.PUNTOS'!$A$1:$B$63,2,0),0)</f>
        <v>0</v>
      </c>
      <c r="AR124" s="138">
        <f>IF('1.DATOS-PROD'!BA125="SI",VLOOKUP('1.DATOS-PROD'!BA$2,'1.PUNTOS'!$A$1:$B$63,2,0),0)</f>
        <v>0</v>
      </c>
      <c r="AS124" s="138">
        <f>IF('1.DATOS-PROD'!BB125="SI",VLOOKUP('1.DATOS-PROD'!BB$2,'1.PUNTOS'!$A$1:$B$63,2,0),0)</f>
        <v>0</v>
      </c>
      <c r="AT124" s="138">
        <f>IF('1.DATOS-PROD'!BC125="SI",VLOOKUP('1.DATOS-PROD'!BC$2,'1.PUNTOS'!$A$1:$B$63,2,0),0)</f>
        <v>0</v>
      </c>
      <c r="AU124" s="138">
        <f>IF('1.DATOS-PROD'!BD125="SI",VLOOKUP('1.DATOS-PROD'!BD$2,'1.PUNTOS'!$A$1:$B$63,2,0),0)</f>
        <v>0</v>
      </c>
      <c r="AV124" s="138">
        <f>IF('1.DATOS-PROD'!BE125="SI",VLOOKUP('1.DATOS-PROD'!BE$2,'1.PUNTOS'!$A$1:$B$63,2,0),0)</f>
        <v>0</v>
      </c>
      <c r="AW124" s="138">
        <f>IF('1.DATOS-PROD'!BF125="SI",VLOOKUP('1.DATOS-PROD'!BF$2,'1.PUNTOS'!$A$1:$B$63,2,0),0)</f>
        <v>0</v>
      </c>
      <c r="AX124" s="138">
        <f>IF('1.DATOS-PROD'!BG125="SI",VLOOKUP('1.DATOS-PROD'!BG$2,'1.PUNTOS'!$A$1:$B$63,2,0),0)</f>
        <v>0</v>
      </c>
      <c r="AY124" s="138">
        <f>IF('1.DATOS-PROD'!BH125="SI",VLOOKUP('1.DATOS-PROD'!BH$2,'1.PUNTOS'!$A$1:$B$63,2,0),0)</f>
        <v>0</v>
      </c>
      <c r="AZ124" s="138">
        <f>IF('1.DATOS-PROD'!BI125="SI",VLOOKUP('1.DATOS-PROD'!BI$2,'1.PUNTOS'!$A$1:$B$63,2,0),0)</f>
        <v>0</v>
      </c>
      <c r="BA124" s="138">
        <f>IF('1.DATOS-PROD'!BJ125="SI",VLOOKUP('1.DATOS-PROD'!BJ$2,'1.PUNTOS'!$A$1:$B$63,2,0),0)</f>
        <v>0</v>
      </c>
      <c r="BB124" s="138">
        <f>IF('1.DATOS-PROD'!BK125="SI",VLOOKUP('1.DATOS-PROD'!BK$2,'1.PUNTOS'!$A$1:$B$63,2,0),0)</f>
        <v>0</v>
      </c>
      <c r="BC124" s="138">
        <f>IF('1.DATOS-PROD'!BL125="SI",VLOOKUP('1.DATOS-PROD'!BL$2,'1.PUNTOS'!$A$1:$B$63,2,0),0)</f>
        <v>0</v>
      </c>
      <c r="BD124" s="138">
        <f>IF('1.DATOS-PROD'!BM125="SI",VLOOKUP('1.DATOS-PROD'!BM$2,'1.PUNTOS'!$A$1:$B$63,2,0),0)</f>
        <v>0</v>
      </c>
      <c r="BE124" s="138">
        <f>IF('1.DATOS-PROD'!BN125="SI",VLOOKUP('1.DATOS-PROD'!BN$2,'1.PUNTOS'!$A$1:$B$63,2,0),0)</f>
        <v>0</v>
      </c>
      <c r="BF124" s="138">
        <f>IF('1.DATOS-PROD'!BO125="SI",VLOOKUP('1.DATOS-PROD'!BO$2,'1.PUNTOS'!$A$1:$B$63,2,0),0)</f>
        <v>0</v>
      </c>
      <c r="BG124" s="138">
        <f>IF('1.DATOS-PROD'!BP125="SI",VLOOKUP('1.DATOS-PROD'!BP$2,'1.PUNTOS'!$A$1:$B$63,2,0),0)</f>
        <v>0</v>
      </c>
      <c r="BH124" s="138">
        <f>IF('1.DATOS-PROD'!BQ125="SI",VLOOKUP('1.DATOS-PROD'!BQ$2,'1.PUNTOS'!$A$1:$B$63,2,0),0)</f>
        <v>0</v>
      </c>
      <c r="BI124" s="138">
        <f>IF('1.DATOS-PROD'!BR125="SI",VLOOKUP('1.DATOS-PROD'!BR$2,'1.PUNTOS'!$A$1:$B$63,2,0),0)</f>
        <v>0</v>
      </c>
      <c r="BJ124" s="138">
        <f>IF('1.DATOS-PROD'!BS125="SI",VLOOKUP('1.DATOS-PROD'!BS$2,'1.PUNTOS'!$A$1:$B$63,2,0),0)</f>
        <v>0</v>
      </c>
      <c r="BK124" s="138">
        <f>IF('1.DATOS-PROD'!BT125="SI",VLOOKUP('1.DATOS-PROD'!BT$2,'1.PUNTOS'!$A$1:$B$63,2,0),0)</f>
        <v>0</v>
      </c>
    </row>
    <row r="125" spans="1:63" x14ac:dyDescent="0.25">
      <c r="A125">
        <f>'0.Consolidado general'!$A126</f>
        <v>0</v>
      </c>
      <c r="B125" s="138">
        <f>IF('1.DATOS-PROD'!K126="SI",VLOOKUP('1.DATOS-PROD'!K$2,'1.PUNTOS'!$A$1:$B$63,2,0),0)</f>
        <v>0</v>
      </c>
      <c r="C125" s="138">
        <f>IF('1.DATOS-PROD'!L126="SI",VLOOKUP('1.DATOS-PROD'!L$2,'1.PUNTOS'!$A$1:$B$63,2,0),0)</f>
        <v>0</v>
      </c>
      <c r="D125" s="138">
        <f>IF('1.DATOS-PROD'!M126="SI",VLOOKUP('1.DATOS-PROD'!M$2,'1.PUNTOS'!$A$1:$B$63,2,0),0)</f>
        <v>0</v>
      </c>
      <c r="E125" s="138">
        <f>IF('1.DATOS-PROD'!N126="SI",VLOOKUP('1.DATOS-PROD'!N$2,'1.PUNTOS'!$A$1:$B$63,2,0),0)</f>
        <v>0</v>
      </c>
      <c r="F125" s="138">
        <f>IF('1.DATOS-PROD'!O126="SI",VLOOKUP('1.DATOS-PROD'!O$2,'1.PUNTOS'!$A$1:$B$63,2,0),0)</f>
        <v>0</v>
      </c>
      <c r="G125" s="138">
        <f>IF('1.DATOS-PROD'!P126="SI",VLOOKUP('1.DATOS-PROD'!P$2,'1.PUNTOS'!$A$1:$B$63,2,0),0)</f>
        <v>0</v>
      </c>
      <c r="H125" s="138">
        <f>IF('1.DATOS-PROD'!Q126="SI",VLOOKUP('1.DATOS-PROD'!Q$2,'1.PUNTOS'!$A$1:$B$63,2,0),0)</f>
        <v>0</v>
      </c>
      <c r="I125" s="138">
        <f>IF('1.DATOS-PROD'!R126="SI",VLOOKUP('1.DATOS-PROD'!R$2,'1.PUNTOS'!$A$1:$B$63,2,0),0)</f>
        <v>0</v>
      </c>
      <c r="J125" s="138">
        <f>IF('1.DATOS-PROD'!S126="SI",VLOOKUP('1.DATOS-PROD'!S$2,'1.PUNTOS'!$A$1:$B$63,2,0),0)</f>
        <v>0</v>
      </c>
      <c r="K125" s="138">
        <f>IF('1.DATOS-PROD'!T126="SI",VLOOKUP('1.DATOS-PROD'!T$2,'1.PUNTOS'!$A$1:$B$63,2,0),0)</f>
        <v>0</v>
      </c>
      <c r="L125" s="138">
        <f>IF('1.DATOS-PROD'!U126="SI",VLOOKUP('1.DATOS-PROD'!U$2,'1.PUNTOS'!$A$1:$B$63,2,0),0)</f>
        <v>0</v>
      </c>
      <c r="M125" s="138">
        <f>IF('1.DATOS-PROD'!V126="SI",VLOOKUP('1.DATOS-PROD'!V$2,'1.PUNTOS'!$A$1:$B$63,2,0),0)</f>
        <v>0</v>
      </c>
      <c r="N125" s="138">
        <f>IF('1.DATOS-PROD'!W126="SI",VLOOKUP('1.DATOS-PROD'!W$2,'1.PUNTOS'!$A$1:$B$63,2,0),0)</f>
        <v>0</v>
      </c>
      <c r="O125" s="138">
        <f>IF('1.DATOS-PROD'!X126="SI",VLOOKUP('1.DATOS-PROD'!X$2,'1.PUNTOS'!$A$1:$B$63,2,0),0)</f>
        <v>0</v>
      </c>
      <c r="P125" s="138">
        <f>IF('1.DATOS-PROD'!Y126="SI",VLOOKUP('1.DATOS-PROD'!Y$2,'1.PUNTOS'!$A$1:$B$63,2,0),0)</f>
        <v>0</v>
      </c>
      <c r="Q125" s="138">
        <f>IF('1.DATOS-PROD'!Z126="SI",VLOOKUP('1.DATOS-PROD'!Z$2,'1.PUNTOS'!$A$1:$B$63,2,0),0)</f>
        <v>0</v>
      </c>
      <c r="R125" s="138">
        <f>IF('1.DATOS-PROD'!AA126="SI",VLOOKUP('1.DATOS-PROD'!AA$2,'1.PUNTOS'!$A$1:$B$63,2,0),0)</f>
        <v>0</v>
      </c>
      <c r="S125" s="138">
        <f>IF('1.DATOS-PROD'!AB126="SI",VLOOKUP('1.DATOS-PROD'!AB$2,'1.PUNTOS'!$A$1:$B$63,2,0),0)</f>
        <v>0</v>
      </c>
      <c r="T125" s="138">
        <f>IF('1.DATOS-PROD'!AC126="SI",VLOOKUP('1.DATOS-PROD'!AC$2,'1.PUNTOS'!$A$1:$B$63,2,0),0)</f>
        <v>0</v>
      </c>
      <c r="U125" s="138">
        <f>IF('1.DATOS-PROD'!AD126="SI",VLOOKUP('1.DATOS-PROD'!AD$2,'1.PUNTOS'!$A$1:$B$63,2,0),0)</f>
        <v>0</v>
      </c>
      <c r="V125" s="138">
        <f>IF('1.DATOS-PROD'!AE126="SI",VLOOKUP('1.DATOS-PROD'!AE$2,'1.PUNTOS'!$A$1:$B$63,2,0),0)</f>
        <v>0</v>
      </c>
      <c r="W125" s="138">
        <f>IF('1.DATOS-PROD'!AF126="SI",VLOOKUP('1.DATOS-PROD'!AF$2,'1.PUNTOS'!$A$1:$B$63,2,0),0)</f>
        <v>0</v>
      </c>
      <c r="X125" s="138">
        <f>IF('1.DATOS-PROD'!AG126="SI",VLOOKUP('1.DATOS-PROD'!AG$2,'1.PUNTOS'!$A$1:$B$63,2,0),0)</f>
        <v>0</v>
      </c>
      <c r="Y125" s="138">
        <f>IF('1.DATOS-PROD'!AH126="SI",VLOOKUP('1.DATOS-PROD'!AH$2,'1.PUNTOS'!$A$1:$B$63,2,0),0)</f>
        <v>0</v>
      </c>
      <c r="Z125" s="138">
        <f>IF('1.DATOS-PROD'!AI126="SI",VLOOKUP('1.DATOS-PROD'!AI$2,'1.PUNTOS'!$A$1:$B$63,2,0),0)</f>
        <v>0</v>
      </c>
      <c r="AA125" s="138">
        <f>IF('1.DATOS-PROD'!AJ126="SI",VLOOKUP('1.DATOS-PROD'!AJ$2,'1.PUNTOS'!$A$1:$B$63,2,0),0)</f>
        <v>0</v>
      </c>
      <c r="AB125" s="138">
        <f>IF('1.DATOS-PROD'!AK126="SI",VLOOKUP('1.DATOS-PROD'!AK$2,'1.PUNTOS'!$A$1:$B$63,2,0),0)</f>
        <v>0</v>
      </c>
      <c r="AC125" s="138">
        <f>IF('1.DATOS-PROD'!AL126="SI",VLOOKUP('1.DATOS-PROD'!AL$2,'1.PUNTOS'!$A$1:$B$63,2,0),0)</f>
        <v>0</v>
      </c>
      <c r="AD125" s="138">
        <f>IF('1.DATOS-PROD'!AM126="SI",VLOOKUP('1.DATOS-PROD'!AM$2,'1.PUNTOS'!$A$1:$B$63,2,0),0)</f>
        <v>0</v>
      </c>
      <c r="AE125" s="138">
        <f>IF('1.DATOS-PROD'!AN126="SI",VLOOKUP('1.DATOS-PROD'!AN$2,'1.PUNTOS'!$A$1:$B$63,2,0),0)</f>
        <v>0</v>
      </c>
      <c r="AF125" s="138">
        <f>IF('1.DATOS-PROD'!AO126="SI",VLOOKUP('1.DATOS-PROD'!AO$2,'1.PUNTOS'!$A$1:$B$63,2,0),0)</f>
        <v>0</v>
      </c>
      <c r="AG125" s="138">
        <f>IF('1.DATOS-PROD'!AP126="SI",VLOOKUP('1.DATOS-PROD'!AP$2,'1.PUNTOS'!$A$1:$B$63,2,0),0)</f>
        <v>0</v>
      </c>
      <c r="AH125" s="138">
        <f>IF('1.DATOS-PROD'!AQ126="SI",VLOOKUP('1.DATOS-PROD'!AQ$2,'1.PUNTOS'!$A$1:$B$63,2,0),0)</f>
        <v>0</v>
      </c>
      <c r="AI125" s="138">
        <f>IF('1.DATOS-PROD'!AR126="SI",VLOOKUP('1.DATOS-PROD'!AR$2,'1.PUNTOS'!$A$1:$B$63,2,0),0)</f>
        <v>0</v>
      </c>
      <c r="AJ125" s="138">
        <f>IF('1.DATOS-PROD'!AS126="SI",VLOOKUP('1.DATOS-PROD'!AS$2,'1.PUNTOS'!$A$1:$B$63,2,0),0)</f>
        <v>0</v>
      </c>
      <c r="AK125" s="138">
        <f>IF('1.DATOS-PROD'!AT126="SI",VLOOKUP('1.DATOS-PROD'!AT$2,'1.PUNTOS'!$A$1:$B$63,2,0),0)</f>
        <v>0</v>
      </c>
      <c r="AL125" s="138">
        <f>IF('1.DATOS-PROD'!AU126="SI",VLOOKUP('1.DATOS-PROD'!AU$2,'1.PUNTOS'!$A$1:$B$63,2,0),0)</f>
        <v>0</v>
      </c>
      <c r="AM125" s="138">
        <f>IF('1.DATOS-PROD'!AV126="SI",VLOOKUP('1.DATOS-PROD'!AV$2,'1.PUNTOS'!$A$1:$B$63,2,0),0)</f>
        <v>0</v>
      </c>
      <c r="AN125" s="138">
        <f>IF('1.DATOS-PROD'!AW126="SI",VLOOKUP('1.DATOS-PROD'!AW$2,'1.PUNTOS'!$A$1:$B$63,2,0),0)</f>
        <v>0</v>
      </c>
      <c r="AO125" s="138">
        <f>IF('1.DATOS-PROD'!AX126="SI",VLOOKUP('1.DATOS-PROD'!AX$2,'1.PUNTOS'!$A$1:$B$63,2,0),0)</f>
        <v>0</v>
      </c>
      <c r="AP125" s="138">
        <f>IF('1.DATOS-PROD'!AY126="SI",VLOOKUP('1.DATOS-PROD'!AY$2,'1.PUNTOS'!$A$1:$B$63,2,0),0)</f>
        <v>0</v>
      </c>
      <c r="AQ125" s="138">
        <f>IF('1.DATOS-PROD'!AZ126="SI",VLOOKUP('1.DATOS-PROD'!AZ$2,'1.PUNTOS'!$A$1:$B$63,2,0),0)</f>
        <v>0</v>
      </c>
      <c r="AR125" s="138">
        <f>IF('1.DATOS-PROD'!BA126="SI",VLOOKUP('1.DATOS-PROD'!BA$2,'1.PUNTOS'!$A$1:$B$63,2,0),0)</f>
        <v>0</v>
      </c>
      <c r="AS125" s="138">
        <f>IF('1.DATOS-PROD'!BB126="SI",VLOOKUP('1.DATOS-PROD'!BB$2,'1.PUNTOS'!$A$1:$B$63,2,0),0)</f>
        <v>0</v>
      </c>
      <c r="AT125" s="138">
        <f>IF('1.DATOS-PROD'!BC126="SI",VLOOKUP('1.DATOS-PROD'!BC$2,'1.PUNTOS'!$A$1:$B$63,2,0),0)</f>
        <v>0</v>
      </c>
      <c r="AU125" s="138">
        <f>IF('1.DATOS-PROD'!BD126="SI",VLOOKUP('1.DATOS-PROD'!BD$2,'1.PUNTOS'!$A$1:$B$63,2,0),0)</f>
        <v>0</v>
      </c>
      <c r="AV125" s="138">
        <f>IF('1.DATOS-PROD'!BE126="SI",VLOOKUP('1.DATOS-PROD'!BE$2,'1.PUNTOS'!$A$1:$B$63,2,0),0)</f>
        <v>0</v>
      </c>
      <c r="AW125" s="138">
        <f>IF('1.DATOS-PROD'!BF126="SI",VLOOKUP('1.DATOS-PROD'!BF$2,'1.PUNTOS'!$A$1:$B$63,2,0),0)</f>
        <v>0</v>
      </c>
      <c r="AX125" s="138">
        <f>IF('1.DATOS-PROD'!BG126="SI",VLOOKUP('1.DATOS-PROD'!BG$2,'1.PUNTOS'!$A$1:$B$63,2,0),0)</f>
        <v>0</v>
      </c>
      <c r="AY125" s="138">
        <f>IF('1.DATOS-PROD'!BH126="SI",VLOOKUP('1.DATOS-PROD'!BH$2,'1.PUNTOS'!$A$1:$B$63,2,0),0)</f>
        <v>0</v>
      </c>
      <c r="AZ125" s="138">
        <f>IF('1.DATOS-PROD'!BI126="SI",VLOOKUP('1.DATOS-PROD'!BI$2,'1.PUNTOS'!$A$1:$B$63,2,0),0)</f>
        <v>0</v>
      </c>
      <c r="BA125" s="138">
        <f>IF('1.DATOS-PROD'!BJ126="SI",VLOOKUP('1.DATOS-PROD'!BJ$2,'1.PUNTOS'!$A$1:$B$63,2,0),0)</f>
        <v>0</v>
      </c>
      <c r="BB125" s="138">
        <f>IF('1.DATOS-PROD'!BK126="SI",VLOOKUP('1.DATOS-PROD'!BK$2,'1.PUNTOS'!$A$1:$B$63,2,0),0)</f>
        <v>0</v>
      </c>
      <c r="BC125" s="138">
        <f>IF('1.DATOS-PROD'!BL126="SI",VLOOKUP('1.DATOS-PROD'!BL$2,'1.PUNTOS'!$A$1:$B$63,2,0),0)</f>
        <v>0</v>
      </c>
      <c r="BD125" s="138">
        <f>IF('1.DATOS-PROD'!BM126="SI",VLOOKUP('1.DATOS-PROD'!BM$2,'1.PUNTOS'!$A$1:$B$63,2,0),0)</f>
        <v>0</v>
      </c>
      <c r="BE125" s="138">
        <f>IF('1.DATOS-PROD'!BN126="SI",VLOOKUP('1.DATOS-PROD'!BN$2,'1.PUNTOS'!$A$1:$B$63,2,0),0)</f>
        <v>0</v>
      </c>
      <c r="BF125" s="138">
        <f>IF('1.DATOS-PROD'!BO126="SI",VLOOKUP('1.DATOS-PROD'!BO$2,'1.PUNTOS'!$A$1:$B$63,2,0),0)</f>
        <v>0</v>
      </c>
      <c r="BG125" s="138">
        <f>IF('1.DATOS-PROD'!BP126="SI",VLOOKUP('1.DATOS-PROD'!BP$2,'1.PUNTOS'!$A$1:$B$63,2,0),0)</f>
        <v>0</v>
      </c>
      <c r="BH125" s="138">
        <f>IF('1.DATOS-PROD'!BQ126="SI",VLOOKUP('1.DATOS-PROD'!BQ$2,'1.PUNTOS'!$A$1:$B$63,2,0),0)</f>
        <v>0</v>
      </c>
      <c r="BI125" s="138">
        <f>IF('1.DATOS-PROD'!BR126="SI",VLOOKUP('1.DATOS-PROD'!BR$2,'1.PUNTOS'!$A$1:$B$63,2,0),0)</f>
        <v>0</v>
      </c>
      <c r="BJ125" s="138">
        <f>IF('1.DATOS-PROD'!BS126="SI",VLOOKUP('1.DATOS-PROD'!BS$2,'1.PUNTOS'!$A$1:$B$63,2,0),0)</f>
        <v>0</v>
      </c>
      <c r="BK125" s="138">
        <f>IF('1.DATOS-PROD'!BT126="SI",VLOOKUP('1.DATOS-PROD'!BT$2,'1.PUNTOS'!$A$1:$B$63,2,0),0)</f>
        <v>0</v>
      </c>
    </row>
    <row r="126" spans="1:63" x14ac:dyDescent="0.25">
      <c r="A126">
        <f>'0.Consolidado general'!$A127</f>
        <v>0</v>
      </c>
      <c r="B126" s="138">
        <f>IF('1.DATOS-PROD'!K127="SI",VLOOKUP('1.DATOS-PROD'!K$2,'1.PUNTOS'!$A$1:$B$63,2,0),0)</f>
        <v>0</v>
      </c>
      <c r="C126" s="138">
        <f>IF('1.DATOS-PROD'!L127="SI",VLOOKUP('1.DATOS-PROD'!L$2,'1.PUNTOS'!$A$1:$B$63,2,0),0)</f>
        <v>0</v>
      </c>
      <c r="D126" s="138">
        <f>IF('1.DATOS-PROD'!M127="SI",VLOOKUP('1.DATOS-PROD'!M$2,'1.PUNTOS'!$A$1:$B$63,2,0),0)</f>
        <v>0</v>
      </c>
      <c r="E126" s="138">
        <f>IF('1.DATOS-PROD'!N127="SI",VLOOKUP('1.DATOS-PROD'!N$2,'1.PUNTOS'!$A$1:$B$63,2,0),0)</f>
        <v>0</v>
      </c>
      <c r="F126" s="138">
        <f>IF('1.DATOS-PROD'!O127="SI",VLOOKUP('1.DATOS-PROD'!O$2,'1.PUNTOS'!$A$1:$B$63,2,0),0)</f>
        <v>0</v>
      </c>
      <c r="G126" s="138">
        <f>IF('1.DATOS-PROD'!P127="SI",VLOOKUP('1.DATOS-PROD'!P$2,'1.PUNTOS'!$A$1:$B$63,2,0),0)</f>
        <v>0</v>
      </c>
      <c r="H126" s="138">
        <f>IF('1.DATOS-PROD'!Q127="SI",VLOOKUP('1.DATOS-PROD'!Q$2,'1.PUNTOS'!$A$1:$B$63,2,0),0)</f>
        <v>0</v>
      </c>
      <c r="I126" s="138">
        <f>IF('1.DATOS-PROD'!R127="SI",VLOOKUP('1.DATOS-PROD'!R$2,'1.PUNTOS'!$A$1:$B$63,2,0),0)</f>
        <v>0</v>
      </c>
      <c r="J126" s="138">
        <f>IF('1.DATOS-PROD'!S127="SI",VLOOKUP('1.DATOS-PROD'!S$2,'1.PUNTOS'!$A$1:$B$63,2,0),0)</f>
        <v>0</v>
      </c>
      <c r="K126" s="138">
        <f>IF('1.DATOS-PROD'!T127="SI",VLOOKUP('1.DATOS-PROD'!T$2,'1.PUNTOS'!$A$1:$B$63,2,0),0)</f>
        <v>0</v>
      </c>
      <c r="L126" s="138">
        <f>IF('1.DATOS-PROD'!U127="SI",VLOOKUP('1.DATOS-PROD'!U$2,'1.PUNTOS'!$A$1:$B$63,2,0),0)</f>
        <v>0</v>
      </c>
      <c r="M126" s="138">
        <f>IF('1.DATOS-PROD'!V127="SI",VLOOKUP('1.DATOS-PROD'!V$2,'1.PUNTOS'!$A$1:$B$63,2,0),0)</f>
        <v>0</v>
      </c>
      <c r="N126" s="138">
        <f>IF('1.DATOS-PROD'!W127="SI",VLOOKUP('1.DATOS-PROD'!W$2,'1.PUNTOS'!$A$1:$B$63,2,0),0)</f>
        <v>0</v>
      </c>
      <c r="O126" s="138">
        <f>IF('1.DATOS-PROD'!X127="SI",VLOOKUP('1.DATOS-PROD'!X$2,'1.PUNTOS'!$A$1:$B$63,2,0),0)</f>
        <v>0</v>
      </c>
      <c r="P126" s="138">
        <f>IF('1.DATOS-PROD'!Y127="SI",VLOOKUP('1.DATOS-PROD'!Y$2,'1.PUNTOS'!$A$1:$B$63,2,0),0)</f>
        <v>0</v>
      </c>
      <c r="Q126" s="138">
        <f>IF('1.DATOS-PROD'!Z127="SI",VLOOKUP('1.DATOS-PROD'!Z$2,'1.PUNTOS'!$A$1:$B$63,2,0),0)</f>
        <v>0</v>
      </c>
      <c r="R126" s="138">
        <f>IF('1.DATOS-PROD'!AA127="SI",VLOOKUP('1.DATOS-PROD'!AA$2,'1.PUNTOS'!$A$1:$B$63,2,0),0)</f>
        <v>0</v>
      </c>
      <c r="S126" s="138">
        <f>IF('1.DATOS-PROD'!AB127="SI",VLOOKUP('1.DATOS-PROD'!AB$2,'1.PUNTOS'!$A$1:$B$63,2,0),0)</f>
        <v>0</v>
      </c>
      <c r="T126" s="138">
        <f>IF('1.DATOS-PROD'!AC127="SI",VLOOKUP('1.DATOS-PROD'!AC$2,'1.PUNTOS'!$A$1:$B$63,2,0),0)</f>
        <v>0</v>
      </c>
      <c r="U126" s="138">
        <f>IF('1.DATOS-PROD'!AD127="SI",VLOOKUP('1.DATOS-PROD'!AD$2,'1.PUNTOS'!$A$1:$B$63,2,0),0)</f>
        <v>0</v>
      </c>
      <c r="V126" s="138">
        <f>IF('1.DATOS-PROD'!AE127="SI",VLOOKUP('1.DATOS-PROD'!AE$2,'1.PUNTOS'!$A$1:$B$63,2,0),0)</f>
        <v>0</v>
      </c>
      <c r="W126" s="138">
        <f>IF('1.DATOS-PROD'!AF127="SI",VLOOKUP('1.DATOS-PROD'!AF$2,'1.PUNTOS'!$A$1:$B$63,2,0),0)</f>
        <v>0</v>
      </c>
      <c r="X126" s="138">
        <f>IF('1.DATOS-PROD'!AG127="SI",VLOOKUP('1.DATOS-PROD'!AG$2,'1.PUNTOS'!$A$1:$B$63,2,0),0)</f>
        <v>0</v>
      </c>
      <c r="Y126" s="138">
        <f>IF('1.DATOS-PROD'!AH127="SI",VLOOKUP('1.DATOS-PROD'!AH$2,'1.PUNTOS'!$A$1:$B$63,2,0),0)</f>
        <v>0</v>
      </c>
      <c r="Z126" s="138">
        <f>IF('1.DATOS-PROD'!AI127="SI",VLOOKUP('1.DATOS-PROD'!AI$2,'1.PUNTOS'!$A$1:$B$63,2,0),0)</f>
        <v>0</v>
      </c>
      <c r="AA126" s="138">
        <f>IF('1.DATOS-PROD'!AJ127="SI",VLOOKUP('1.DATOS-PROD'!AJ$2,'1.PUNTOS'!$A$1:$B$63,2,0),0)</f>
        <v>0</v>
      </c>
      <c r="AB126" s="138">
        <f>IF('1.DATOS-PROD'!AK127="SI",VLOOKUP('1.DATOS-PROD'!AK$2,'1.PUNTOS'!$A$1:$B$63,2,0),0)</f>
        <v>0</v>
      </c>
      <c r="AC126" s="138">
        <f>IF('1.DATOS-PROD'!AL127="SI",VLOOKUP('1.DATOS-PROD'!AL$2,'1.PUNTOS'!$A$1:$B$63,2,0),0)</f>
        <v>0</v>
      </c>
      <c r="AD126" s="138">
        <f>IF('1.DATOS-PROD'!AM127="SI",VLOOKUP('1.DATOS-PROD'!AM$2,'1.PUNTOS'!$A$1:$B$63,2,0),0)</f>
        <v>0</v>
      </c>
      <c r="AE126" s="138">
        <f>IF('1.DATOS-PROD'!AN127="SI",VLOOKUP('1.DATOS-PROD'!AN$2,'1.PUNTOS'!$A$1:$B$63,2,0),0)</f>
        <v>0</v>
      </c>
      <c r="AF126" s="138">
        <f>IF('1.DATOS-PROD'!AO127="SI",VLOOKUP('1.DATOS-PROD'!AO$2,'1.PUNTOS'!$A$1:$B$63,2,0),0)</f>
        <v>0</v>
      </c>
      <c r="AG126" s="138">
        <f>IF('1.DATOS-PROD'!AP127="SI",VLOOKUP('1.DATOS-PROD'!AP$2,'1.PUNTOS'!$A$1:$B$63,2,0),0)</f>
        <v>0</v>
      </c>
      <c r="AH126" s="138">
        <f>IF('1.DATOS-PROD'!AQ127="SI",VLOOKUP('1.DATOS-PROD'!AQ$2,'1.PUNTOS'!$A$1:$B$63,2,0),0)</f>
        <v>0</v>
      </c>
      <c r="AI126" s="138">
        <f>IF('1.DATOS-PROD'!AR127="SI",VLOOKUP('1.DATOS-PROD'!AR$2,'1.PUNTOS'!$A$1:$B$63,2,0),0)</f>
        <v>0</v>
      </c>
      <c r="AJ126" s="138">
        <f>IF('1.DATOS-PROD'!AS127="SI",VLOOKUP('1.DATOS-PROD'!AS$2,'1.PUNTOS'!$A$1:$B$63,2,0),0)</f>
        <v>0</v>
      </c>
      <c r="AK126" s="138">
        <f>IF('1.DATOS-PROD'!AT127="SI",VLOOKUP('1.DATOS-PROD'!AT$2,'1.PUNTOS'!$A$1:$B$63,2,0),0)</f>
        <v>0</v>
      </c>
      <c r="AL126" s="138">
        <f>IF('1.DATOS-PROD'!AU127="SI",VLOOKUP('1.DATOS-PROD'!AU$2,'1.PUNTOS'!$A$1:$B$63,2,0),0)</f>
        <v>0</v>
      </c>
      <c r="AM126" s="138">
        <f>IF('1.DATOS-PROD'!AV127="SI",VLOOKUP('1.DATOS-PROD'!AV$2,'1.PUNTOS'!$A$1:$B$63,2,0),0)</f>
        <v>0</v>
      </c>
      <c r="AN126" s="138">
        <f>IF('1.DATOS-PROD'!AW127="SI",VLOOKUP('1.DATOS-PROD'!AW$2,'1.PUNTOS'!$A$1:$B$63,2,0),0)</f>
        <v>0</v>
      </c>
      <c r="AO126" s="138">
        <f>IF('1.DATOS-PROD'!AX127="SI",VLOOKUP('1.DATOS-PROD'!AX$2,'1.PUNTOS'!$A$1:$B$63,2,0),0)</f>
        <v>0</v>
      </c>
      <c r="AP126" s="138">
        <f>IF('1.DATOS-PROD'!AY127="SI",VLOOKUP('1.DATOS-PROD'!AY$2,'1.PUNTOS'!$A$1:$B$63,2,0),0)</f>
        <v>0</v>
      </c>
      <c r="AQ126" s="138">
        <f>IF('1.DATOS-PROD'!AZ127="SI",VLOOKUP('1.DATOS-PROD'!AZ$2,'1.PUNTOS'!$A$1:$B$63,2,0),0)</f>
        <v>0</v>
      </c>
      <c r="AR126" s="138">
        <f>IF('1.DATOS-PROD'!BA127="SI",VLOOKUP('1.DATOS-PROD'!BA$2,'1.PUNTOS'!$A$1:$B$63,2,0),0)</f>
        <v>0</v>
      </c>
      <c r="AS126" s="138">
        <f>IF('1.DATOS-PROD'!BB127="SI",VLOOKUP('1.DATOS-PROD'!BB$2,'1.PUNTOS'!$A$1:$B$63,2,0),0)</f>
        <v>0</v>
      </c>
      <c r="AT126" s="138">
        <f>IF('1.DATOS-PROD'!BC127="SI",VLOOKUP('1.DATOS-PROD'!BC$2,'1.PUNTOS'!$A$1:$B$63,2,0),0)</f>
        <v>0</v>
      </c>
      <c r="AU126" s="138">
        <f>IF('1.DATOS-PROD'!BD127="SI",VLOOKUP('1.DATOS-PROD'!BD$2,'1.PUNTOS'!$A$1:$B$63,2,0),0)</f>
        <v>0</v>
      </c>
      <c r="AV126" s="138">
        <f>IF('1.DATOS-PROD'!BE127="SI",VLOOKUP('1.DATOS-PROD'!BE$2,'1.PUNTOS'!$A$1:$B$63,2,0),0)</f>
        <v>0</v>
      </c>
      <c r="AW126" s="138">
        <f>IF('1.DATOS-PROD'!BF127="SI",VLOOKUP('1.DATOS-PROD'!BF$2,'1.PUNTOS'!$A$1:$B$63,2,0),0)</f>
        <v>0</v>
      </c>
      <c r="AX126" s="138">
        <f>IF('1.DATOS-PROD'!BG127="SI",VLOOKUP('1.DATOS-PROD'!BG$2,'1.PUNTOS'!$A$1:$B$63,2,0),0)</f>
        <v>0</v>
      </c>
      <c r="AY126" s="138">
        <f>IF('1.DATOS-PROD'!BH127="SI",VLOOKUP('1.DATOS-PROD'!BH$2,'1.PUNTOS'!$A$1:$B$63,2,0),0)</f>
        <v>0</v>
      </c>
      <c r="AZ126" s="138">
        <f>IF('1.DATOS-PROD'!BI127="SI",VLOOKUP('1.DATOS-PROD'!BI$2,'1.PUNTOS'!$A$1:$B$63,2,0),0)</f>
        <v>0</v>
      </c>
      <c r="BA126" s="138">
        <f>IF('1.DATOS-PROD'!BJ127="SI",VLOOKUP('1.DATOS-PROD'!BJ$2,'1.PUNTOS'!$A$1:$B$63,2,0),0)</f>
        <v>0</v>
      </c>
      <c r="BB126" s="138">
        <f>IF('1.DATOS-PROD'!BK127="SI",VLOOKUP('1.DATOS-PROD'!BK$2,'1.PUNTOS'!$A$1:$B$63,2,0),0)</f>
        <v>0</v>
      </c>
      <c r="BC126" s="138">
        <f>IF('1.DATOS-PROD'!BL127="SI",VLOOKUP('1.DATOS-PROD'!BL$2,'1.PUNTOS'!$A$1:$B$63,2,0),0)</f>
        <v>0</v>
      </c>
      <c r="BD126" s="138">
        <f>IF('1.DATOS-PROD'!BM127="SI",VLOOKUP('1.DATOS-PROD'!BM$2,'1.PUNTOS'!$A$1:$B$63,2,0),0)</f>
        <v>0</v>
      </c>
      <c r="BE126" s="138">
        <f>IF('1.DATOS-PROD'!BN127="SI",VLOOKUP('1.DATOS-PROD'!BN$2,'1.PUNTOS'!$A$1:$B$63,2,0),0)</f>
        <v>0</v>
      </c>
      <c r="BF126" s="138">
        <f>IF('1.DATOS-PROD'!BO127="SI",VLOOKUP('1.DATOS-PROD'!BO$2,'1.PUNTOS'!$A$1:$B$63,2,0),0)</f>
        <v>0</v>
      </c>
      <c r="BG126" s="138">
        <f>IF('1.DATOS-PROD'!BP127="SI",VLOOKUP('1.DATOS-PROD'!BP$2,'1.PUNTOS'!$A$1:$B$63,2,0),0)</f>
        <v>0</v>
      </c>
      <c r="BH126" s="138">
        <f>IF('1.DATOS-PROD'!BQ127="SI",VLOOKUP('1.DATOS-PROD'!BQ$2,'1.PUNTOS'!$A$1:$B$63,2,0),0)</f>
        <v>0</v>
      </c>
      <c r="BI126" s="138">
        <f>IF('1.DATOS-PROD'!BR127="SI",VLOOKUP('1.DATOS-PROD'!BR$2,'1.PUNTOS'!$A$1:$B$63,2,0),0)</f>
        <v>0</v>
      </c>
      <c r="BJ126" s="138">
        <f>IF('1.DATOS-PROD'!BS127="SI",VLOOKUP('1.DATOS-PROD'!BS$2,'1.PUNTOS'!$A$1:$B$63,2,0),0)</f>
        <v>0</v>
      </c>
      <c r="BK126" s="138">
        <f>IF('1.DATOS-PROD'!BT127="SI",VLOOKUP('1.DATOS-PROD'!BT$2,'1.PUNTOS'!$A$1:$B$63,2,0),0)</f>
        <v>0</v>
      </c>
    </row>
    <row r="127" spans="1:63" x14ac:dyDescent="0.25">
      <c r="A127">
        <f>'0.Consolidado general'!$A128</f>
        <v>0</v>
      </c>
      <c r="B127" s="138">
        <f>IF('1.DATOS-PROD'!K128="SI",VLOOKUP('1.DATOS-PROD'!K$2,'1.PUNTOS'!$A$1:$B$63,2,0),0)</f>
        <v>0</v>
      </c>
      <c r="C127" s="138">
        <f>IF('1.DATOS-PROD'!L128="SI",VLOOKUP('1.DATOS-PROD'!L$2,'1.PUNTOS'!$A$1:$B$63,2,0),0)</f>
        <v>0</v>
      </c>
      <c r="D127" s="138">
        <f>IF('1.DATOS-PROD'!M128="SI",VLOOKUP('1.DATOS-PROD'!M$2,'1.PUNTOS'!$A$1:$B$63,2,0),0)</f>
        <v>0</v>
      </c>
      <c r="E127" s="138">
        <f>IF('1.DATOS-PROD'!N128="SI",VLOOKUP('1.DATOS-PROD'!N$2,'1.PUNTOS'!$A$1:$B$63,2,0),0)</f>
        <v>0</v>
      </c>
      <c r="F127" s="138">
        <f>IF('1.DATOS-PROD'!O128="SI",VLOOKUP('1.DATOS-PROD'!O$2,'1.PUNTOS'!$A$1:$B$63,2,0),0)</f>
        <v>0</v>
      </c>
      <c r="G127" s="138">
        <f>IF('1.DATOS-PROD'!P128="SI",VLOOKUP('1.DATOS-PROD'!P$2,'1.PUNTOS'!$A$1:$B$63,2,0),0)</f>
        <v>0</v>
      </c>
      <c r="H127" s="138">
        <f>IF('1.DATOS-PROD'!Q128="SI",VLOOKUP('1.DATOS-PROD'!Q$2,'1.PUNTOS'!$A$1:$B$63,2,0),0)</f>
        <v>0</v>
      </c>
      <c r="I127" s="138">
        <f>IF('1.DATOS-PROD'!R128="SI",VLOOKUP('1.DATOS-PROD'!R$2,'1.PUNTOS'!$A$1:$B$63,2,0),0)</f>
        <v>0</v>
      </c>
      <c r="J127" s="138">
        <f>IF('1.DATOS-PROD'!S128="SI",VLOOKUP('1.DATOS-PROD'!S$2,'1.PUNTOS'!$A$1:$B$63,2,0),0)</f>
        <v>0</v>
      </c>
      <c r="K127" s="138">
        <f>IF('1.DATOS-PROD'!T128="SI",VLOOKUP('1.DATOS-PROD'!T$2,'1.PUNTOS'!$A$1:$B$63,2,0),0)</f>
        <v>0</v>
      </c>
      <c r="L127" s="138">
        <f>IF('1.DATOS-PROD'!U128="SI",VLOOKUP('1.DATOS-PROD'!U$2,'1.PUNTOS'!$A$1:$B$63,2,0),0)</f>
        <v>0</v>
      </c>
      <c r="M127" s="138">
        <f>IF('1.DATOS-PROD'!V128="SI",VLOOKUP('1.DATOS-PROD'!V$2,'1.PUNTOS'!$A$1:$B$63,2,0),0)</f>
        <v>0</v>
      </c>
      <c r="N127" s="138">
        <f>IF('1.DATOS-PROD'!W128="SI",VLOOKUP('1.DATOS-PROD'!W$2,'1.PUNTOS'!$A$1:$B$63,2,0),0)</f>
        <v>0</v>
      </c>
      <c r="O127" s="138">
        <f>IF('1.DATOS-PROD'!X128="SI",VLOOKUP('1.DATOS-PROD'!X$2,'1.PUNTOS'!$A$1:$B$63,2,0),0)</f>
        <v>0</v>
      </c>
      <c r="P127" s="138">
        <f>IF('1.DATOS-PROD'!Y128="SI",VLOOKUP('1.DATOS-PROD'!Y$2,'1.PUNTOS'!$A$1:$B$63,2,0),0)</f>
        <v>0</v>
      </c>
      <c r="Q127" s="138">
        <f>IF('1.DATOS-PROD'!Z128="SI",VLOOKUP('1.DATOS-PROD'!Z$2,'1.PUNTOS'!$A$1:$B$63,2,0),0)</f>
        <v>0</v>
      </c>
      <c r="R127" s="138">
        <f>IF('1.DATOS-PROD'!AA128="SI",VLOOKUP('1.DATOS-PROD'!AA$2,'1.PUNTOS'!$A$1:$B$63,2,0),0)</f>
        <v>0</v>
      </c>
      <c r="S127" s="138">
        <f>IF('1.DATOS-PROD'!AB128="SI",VLOOKUP('1.DATOS-PROD'!AB$2,'1.PUNTOS'!$A$1:$B$63,2,0),0)</f>
        <v>0</v>
      </c>
      <c r="T127" s="138">
        <f>IF('1.DATOS-PROD'!AC128="SI",VLOOKUP('1.DATOS-PROD'!AC$2,'1.PUNTOS'!$A$1:$B$63,2,0),0)</f>
        <v>0</v>
      </c>
      <c r="U127" s="138">
        <f>IF('1.DATOS-PROD'!AD128="SI",VLOOKUP('1.DATOS-PROD'!AD$2,'1.PUNTOS'!$A$1:$B$63,2,0),0)</f>
        <v>0</v>
      </c>
      <c r="V127" s="138">
        <f>IF('1.DATOS-PROD'!AE128="SI",VLOOKUP('1.DATOS-PROD'!AE$2,'1.PUNTOS'!$A$1:$B$63,2,0),0)</f>
        <v>0</v>
      </c>
      <c r="W127" s="138">
        <f>IF('1.DATOS-PROD'!AF128="SI",VLOOKUP('1.DATOS-PROD'!AF$2,'1.PUNTOS'!$A$1:$B$63,2,0),0)</f>
        <v>0</v>
      </c>
      <c r="X127" s="138">
        <f>IF('1.DATOS-PROD'!AG128="SI",VLOOKUP('1.DATOS-PROD'!AG$2,'1.PUNTOS'!$A$1:$B$63,2,0),0)</f>
        <v>0</v>
      </c>
      <c r="Y127" s="138">
        <f>IF('1.DATOS-PROD'!AH128="SI",VLOOKUP('1.DATOS-PROD'!AH$2,'1.PUNTOS'!$A$1:$B$63,2,0),0)</f>
        <v>0</v>
      </c>
      <c r="Z127" s="138">
        <f>IF('1.DATOS-PROD'!AI128="SI",VLOOKUP('1.DATOS-PROD'!AI$2,'1.PUNTOS'!$A$1:$B$63,2,0),0)</f>
        <v>0</v>
      </c>
      <c r="AA127" s="138">
        <f>IF('1.DATOS-PROD'!AJ128="SI",VLOOKUP('1.DATOS-PROD'!AJ$2,'1.PUNTOS'!$A$1:$B$63,2,0),0)</f>
        <v>0</v>
      </c>
      <c r="AB127" s="138">
        <f>IF('1.DATOS-PROD'!AK128="SI",VLOOKUP('1.DATOS-PROD'!AK$2,'1.PUNTOS'!$A$1:$B$63,2,0),0)</f>
        <v>0</v>
      </c>
      <c r="AC127" s="138">
        <f>IF('1.DATOS-PROD'!AL128="SI",VLOOKUP('1.DATOS-PROD'!AL$2,'1.PUNTOS'!$A$1:$B$63,2,0),0)</f>
        <v>0</v>
      </c>
      <c r="AD127" s="138">
        <f>IF('1.DATOS-PROD'!AM128="SI",VLOOKUP('1.DATOS-PROD'!AM$2,'1.PUNTOS'!$A$1:$B$63,2,0),0)</f>
        <v>0</v>
      </c>
      <c r="AE127" s="138">
        <f>IF('1.DATOS-PROD'!AN128="SI",VLOOKUP('1.DATOS-PROD'!AN$2,'1.PUNTOS'!$A$1:$B$63,2,0),0)</f>
        <v>0</v>
      </c>
      <c r="AF127" s="138">
        <f>IF('1.DATOS-PROD'!AO128="SI",VLOOKUP('1.DATOS-PROD'!AO$2,'1.PUNTOS'!$A$1:$B$63,2,0),0)</f>
        <v>0</v>
      </c>
      <c r="AG127" s="138">
        <f>IF('1.DATOS-PROD'!AP128="SI",VLOOKUP('1.DATOS-PROD'!AP$2,'1.PUNTOS'!$A$1:$B$63,2,0),0)</f>
        <v>0</v>
      </c>
      <c r="AH127" s="138">
        <f>IF('1.DATOS-PROD'!AQ128="SI",VLOOKUP('1.DATOS-PROD'!AQ$2,'1.PUNTOS'!$A$1:$B$63,2,0),0)</f>
        <v>0</v>
      </c>
      <c r="AI127" s="138">
        <f>IF('1.DATOS-PROD'!AR128="SI",VLOOKUP('1.DATOS-PROD'!AR$2,'1.PUNTOS'!$A$1:$B$63,2,0),0)</f>
        <v>0</v>
      </c>
      <c r="AJ127" s="138">
        <f>IF('1.DATOS-PROD'!AS128="SI",VLOOKUP('1.DATOS-PROD'!AS$2,'1.PUNTOS'!$A$1:$B$63,2,0),0)</f>
        <v>0</v>
      </c>
      <c r="AK127" s="138">
        <f>IF('1.DATOS-PROD'!AT128="SI",VLOOKUP('1.DATOS-PROD'!AT$2,'1.PUNTOS'!$A$1:$B$63,2,0),0)</f>
        <v>0</v>
      </c>
      <c r="AL127" s="138">
        <f>IF('1.DATOS-PROD'!AU128="SI",VLOOKUP('1.DATOS-PROD'!AU$2,'1.PUNTOS'!$A$1:$B$63,2,0),0)</f>
        <v>0</v>
      </c>
      <c r="AM127" s="138">
        <f>IF('1.DATOS-PROD'!AV128="SI",VLOOKUP('1.DATOS-PROD'!AV$2,'1.PUNTOS'!$A$1:$B$63,2,0),0)</f>
        <v>0</v>
      </c>
      <c r="AN127" s="138">
        <f>IF('1.DATOS-PROD'!AW128="SI",VLOOKUP('1.DATOS-PROD'!AW$2,'1.PUNTOS'!$A$1:$B$63,2,0),0)</f>
        <v>0</v>
      </c>
      <c r="AO127" s="138">
        <f>IF('1.DATOS-PROD'!AX128="SI",VLOOKUP('1.DATOS-PROD'!AX$2,'1.PUNTOS'!$A$1:$B$63,2,0),0)</f>
        <v>0</v>
      </c>
      <c r="AP127" s="138">
        <f>IF('1.DATOS-PROD'!AY128="SI",VLOOKUP('1.DATOS-PROD'!AY$2,'1.PUNTOS'!$A$1:$B$63,2,0),0)</f>
        <v>0</v>
      </c>
      <c r="AQ127" s="138">
        <f>IF('1.DATOS-PROD'!AZ128="SI",VLOOKUP('1.DATOS-PROD'!AZ$2,'1.PUNTOS'!$A$1:$B$63,2,0),0)</f>
        <v>0</v>
      </c>
      <c r="AR127" s="138">
        <f>IF('1.DATOS-PROD'!BA128="SI",VLOOKUP('1.DATOS-PROD'!BA$2,'1.PUNTOS'!$A$1:$B$63,2,0),0)</f>
        <v>0</v>
      </c>
      <c r="AS127" s="138">
        <f>IF('1.DATOS-PROD'!BB128="SI",VLOOKUP('1.DATOS-PROD'!BB$2,'1.PUNTOS'!$A$1:$B$63,2,0),0)</f>
        <v>0</v>
      </c>
      <c r="AT127" s="138">
        <f>IF('1.DATOS-PROD'!BC128="SI",VLOOKUP('1.DATOS-PROD'!BC$2,'1.PUNTOS'!$A$1:$B$63,2,0),0)</f>
        <v>0</v>
      </c>
      <c r="AU127" s="138">
        <f>IF('1.DATOS-PROD'!BD128="SI",VLOOKUP('1.DATOS-PROD'!BD$2,'1.PUNTOS'!$A$1:$B$63,2,0),0)</f>
        <v>0</v>
      </c>
      <c r="AV127" s="138">
        <f>IF('1.DATOS-PROD'!BE128="SI",VLOOKUP('1.DATOS-PROD'!BE$2,'1.PUNTOS'!$A$1:$B$63,2,0),0)</f>
        <v>0</v>
      </c>
      <c r="AW127" s="138">
        <f>IF('1.DATOS-PROD'!BF128="SI",VLOOKUP('1.DATOS-PROD'!BF$2,'1.PUNTOS'!$A$1:$B$63,2,0),0)</f>
        <v>0</v>
      </c>
      <c r="AX127" s="138">
        <f>IF('1.DATOS-PROD'!BG128="SI",VLOOKUP('1.DATOS-PROD'!BG$2,'1.PUNTOS'!$A$1:$B$63,2,0),0)</f>
        <v>0</v>
      </c>
      <c r="AY127" s="138">
        <f>IF('1.DATOS-PROD'!BH128="SI",VLOOKUP('1.DATOS-PROD'!BH$2,'1.PUNTOS'!$A$1:$B$63,2,0),0)</f>
        <v>0</v>
      </c>
      <c r="AZ127" s="138">
        <f>IF('1.DATOS-PROD'!BI128="SI",VLOOKUP('1.DATOS-PROD'!BI$2,'1.PUNTOS'!$A$1:$B$63,2,0),0)</f>
        <v>0</v>
      </c>
      <c r="BA127" s="138">
        <f>IF('1.DATOS-PROD'!BJ128="SI",VLOOKUP('1.DATOS-PROD'!BJ$2,'1.PUNTOS'!$A$1:$B$63,2,0),0)</f>
        <v>0</v>
      </c>
      <c r="BB127" s="138">
        <f>IF('1.DATOS-PROD'!BK128="SI",VLOOKUP('1.DATOS-PROD'!BK$2,'1.PUNTOS'!$A$1:$B$63,2,0),0)</f>
        <v>0</v>
      </c>
      <c r="BC127" s="138">
        <f>IF('1.DATOS-PROD'!BL128="SI",VLOOKUP('1.DATOS-PROD'!BL$2,'1.PUNTOS'!$A$1:$B$63,2,0),0)</f>
        <v>0</v>
      </c>
      <c r="BD127" s="138">
        <f>IF('1.DATOS-PROD'!BM128="SI",VLOOKUP('1.DATOS-PROD'!BM$2,'1.PUNTOS'!$A$1:$B$63,2,0),0)</f>
        <v>0</v>
      </c>
      <c r="BE127" s="138">
        <f>IF('1.DATOS-PROD'!BN128="SI",VLOOKUP('1.DATOS-PROD'!BN$2,'1.PUNTOS'!$A$1:$B$63,2,0),0)</f>
        <v>0</v>
      </c>
      <c r="BF127" s="138">
        <f>IF('1.DATOS-PROD'!BO128="SI",VLOOKUP('1.DATOS-PROD'!BO$2,'1.PUNTOS'!$A$1:$B$63,2,0),0)</f>
        <v>0</v>
      </c>
      <c r="BG127" s="138">
        <f>IF('1.DATOS-PROD'!BP128="SI",VLOOKUP('1.DATOS-PROD'!BP$2,'1.PUNTOS'!$A$1:$B$63,2,0),0)</f>
        <v>0</v>
      </c>
      <c r="BH127" s="138">
        <f>IF('1.DATOS-PROD'!BQ128="SI",VLOOKUP('1.DATOS-PROD'!BQ$2,'1.PUNTOS'!$A$1:$B$63,2,0),0)</f>
        <v>0</v>
      </c>
      <c r="BI127" s="138">
        <f>IF('1.DATOS-PROD'!BR128="SI",VLOOKUP('1.DATOS-PROD'!BR$2,'1.PUNTOS'!$A$1:$B$63,2,0),0)</f>
        <v>0</v>
      </c>
      <c r="BJ127" s="138">
        <f>IF('1.DATOS-PROD'!BS128="SI",VLOOKUP('1.DATOS-PROD'!BS$2,'1.PUNTOS'!$A$1:$B$63,2,0),0)</f>
        <v>0</v>
      </c>
      <c r="BK127" s="138">
        <f>IF('1.DATOS-PROD'!BT128="SI",VLOOKUP('1.DATOS-PROD'!BT$2,'1.PUNTOS'!$A$1:$B$63,2,0),0)</f>
        <v>0</v>
      </c>
    </row>
    <row r="128" spans="1:63" x14ac:dyDescent="0.25">
      <c r="A128">
        <f>'0.Consolidado general'!$A129</f>
        <v>0</v>
      </c>
      <c r="B128" s="138">
        <f>IF('1.DATOS-PROD'!K129="SI",VLOOKUP('1.DATOS-PROD'!K$2,'1.PUNTOS'!$A$1:$B$63,2,0),0)</f>
        <v>0</v>
      </c>
      <c r="C128" s="138">
        <f>IF('1.DATOS-PROD'!L129="SI",VLOOKUP('1.DATOS-PROD'!L$2,'1.PUNTOS'!$A$1:$B$63,2,0),0)</f>
        <v>0</v>
      </c>
      <c r="D128" s="138">
        <f>IF('1.DATOS-PROD'!M129="SI",VLOOKUP('1.DATOS-PROD'!M$2,'1.PUNTOS'!$A$1:$B$63,2,0),0)</f>
        <v>0</v>
      </c>
      <c r="E128" s="138">
        <f>IF('1.DATOS-PROD'!N129="SI",VLOOKUP('1.DATOS-PROD'!N$2,'1.PUNTOS'!$A$1:$B$63,2,0),0)</f>
        <v>0</v>
      </c>
      <c r="F128" s="138">
        <f>IF('1.DATOS-PROD'!O129="SI",VLOOKUP('1.DATOS-PROD'!O$2,'1.PUNTOS'!$A$1:$B$63,2,0),0)</f>
        <v>0</v>
      </c>
      <c r="G128" s="138">
        <f>IF('1.DATOS-PROD'!P129="SI",VLOOKUP('1.DATOS-PROD'!P$2,'1.PUNTOS'!$A$1:$B$63,2,0),0)</f>
        <v>0</v>
      </c>
      <c r="H128" s="138">
        <f>IF('1.DATOS-PROD'!Q129="SI",VLOOKUP('1.DATOS-PROD'!Q$2,'1.PUNTOS'!$A$1:$B$63,2,0),0)</f>
        <v>0</v>
      </c>
      <c r="I128" s="138">
        <f>IF('1.DATOS-PROD'!R129="SI",VLOOKUP('1.DATOS-PROD'!R$2,'1.PUNTOS'!$A$1:$B$63,2,0),0)</f>
        <v>0</v>
      </c>
      <c r="J128" s="138">
        <f>IF('1.DATOS-PROD'!S129="SI",VLOOKUP('1.DATOS-PROD'!S$2,'1.PUNTOS'!$A$1:$B$63,2,0),0)</f>
        <v>0</v>
      </c>
      <c r="K128" s="138">
        <f>IF('1.DATOS-PROD'!T129="SI",VLOOKUP('1.DATOS-PROD'!T$2,'1.PUNTOS'!$A$1:$B$63,2,0),0)</f>
        <v>0</v>
      </c>
      <c r="L128" s="138">
        <f>IF('1.DATOS-PROD'!U129="SI",VLOOKUP('1.DATOS-PROD'!U$2,'1.PUNTOS'!$A$1:$B$63,2,0),0)</f>
        <v>0</v>
      </c>
      <c r="M128" s="138">
        <f>IF('1.DATOS-PROD'!V129="SI",VLOOKUP('1.DATOS-PROD'!V$2,'1.PUNTOS'!$A$1:$B$63,2,0),0)</f>
        <v>0</v>
      </c>
      <c r="N128" s="138">
        <f>IF('1.DATOS-PROD'!W129="SI",VLOOKUP('1.DATOS-PROD'!W$2,'1.PUNTOS'!$A$1:$B$63,2,0),0)</f>
        <v>0</v>
      </c>
      <c r="O128" s="138">
        <f>IF('1.DATOS-PROD'!X129="SI",VLOOKUP('1.DATOS-PROD'!X$2,'1.PUNTOS'!$A$1:$B$63,2,0),0)</f>
        <v>0</v>
      </c>
      <c r="P128" s="138">
        <f>IF('1.DATOS-PROD'!Y129="SI",VLOOKUP('1.DATOS-PROD'!Y$2,'1.PUNTOS'!$A$1:$B$63,2,0),0)</f>
        <v>0</v>
      </c>
      <c r="Q128" s="138">
        <f>IF('1.DATOS-PROD'!Z129="SI",VLOOKUP('1.DATOS-PROD'!Z$2,'1.PUNTOS'!$A$1:$B$63,2,0),0)</f>
        <v>0</v>
      </c>
      <c r="R128" s="138">
        <f>IF('1.DATOS-PROD'!AA129="SI",VLOOKUP('1.DATOS-PROD'!AA$2,'1.PUNTOS'!$A$1:$B$63,2,0),0)</f>
        <v>0</v>
      </c>
      <c r="S128" s="138">
        <f>IF('1.DATOS-PROD'!AB129="SI",VLOOKUP('1.DATOS-PROD'!AB$2,'1.PUNTOS'!$A$1:$B$63,2,0),0)</f>
        <v>0</v>
      </c>
      <c r="T128" s="138">
        <f>IF('1.DATOS-PROD'!AC129="SI",VLOOKUP('1.DATOS-PROD'!AC$2,'1.PUNTOS'!$A$1:$B$63,2,0),0)</f>
        <v>0</v>
      </c>
      <c r="U128" s="138">
        <f>IF('1.DATOS-PROD'!AD129="SI",VLOOKUP('1.DATOS-PROD'!AD$2,'1.PUNTOS'!$A$1:$B$63,2,0),0)</f>
        <v>0</v>
      </c>
      <c r="V128" s="138">
        <f>IF('1.DATOS-PROD'!AE129="SI",VLOOKUP('1.DATOS-PROD'!AE$2,'1.PUNTOS'!$A$1:$B$63,2,0),0)</f>
        <v>0</v>
      </c>
      <c r="W128" s="138">
        <f>IF('1.DATOS-PROD'!AF129="SI",VLOOKUP('1.DATOS-PROD'!AF$2,'1.PUNTOS'!$A$1:$B$63,2,0),0)</f>
        <v>0</v>
      </c>
      <c r="X128" s="138">
        <f>IF('1.DATOS-PROD'!AG129="SI",VLOOKUP('1.DATOS-PROD'!AG$2,'1.PUNTOS'!$A$1:$B$63,2,0),0)</f>
        <v>0</v>
      </c>
      <c r="Y128" s="138">
        <f>IF('1.DATOS-PROD'!AH129="SI",VLOOKUP('1.DATOS-PROD'!AH$2,'1.PUNTOS'!$A$1:$B$63,2,0),0)</f>
        <v>0</v>
      </c>
      <c r="Z128" s="138">
        <f>IF('1.DATOS-PROD'!AI129="SI",VLOOKUP('1.DATOS-PROD'!AI$2,'1.PUNTOS'!$A$1:$B$63,2,0),0)</f>
        <v>0</v>
      </c>
      <c r="AA128" s="138">
        <f>IF('1.DATOS-PROD'!AJ129="SI",VLOOKUP('1.DATOS-PROD'!AJ$2,'1.PUNTOS'!$A$1:$B$63,2,0),0)</f>
        <v>0</v>
      </c>
      <c r="AB128" s="138">
        <f>IF('1.DATOS-PROD'!AK129="SI",VLOOKUP('1.DATOS-PROD'!AK$2,'1.PUNTOS'!$A$1:$B$63,2,0),0)</f>
        <v>0</v>
      </c>
      <c r="AC128" s="138">
        <f>IF('1.DATOS-PROD'!AL129="SI",VLOOKUP('1.DATOS-PROD'!AL$2,'1.PUNTOS'!$A$1:$B$63,2,0),0)</f>
        <v>0</v>
      </c>
      <c r="AD128" s="138">
        <f>IF('1.DATOS-PROD'!AM129="SI",VLOOKUP('1.DATOS-PROD'!AM$2,'1.PUNTOS'!$A$1:$B$63,2,0),0)</f>
        <v>0</v>
      </c>
      <c r="AE128" s="138">
        <f>IF('1.DATOS-PROD'!AN129="SI",VLOOKUP('1.DATOS-PROD'!AN$2,'1.PUNTOS'!$A$1:$B$63,2,0),0)</f>
        <v>0</v>
      </c>
      <c r="AF128" s="138">
        <f>IF('1.DATOS-PROD'!AO129="SI",VLOOKUP('1.DATOS-PROD'!AO$2,'1.PUNTOS'!$A$1:$B$63,2,0),0)</f>
        <v>0</v>
      </c>
      <c r="AG128" s="138">
        <f>IF('1.DATOS-PROD'!AP129="SI",VLOOKUP('1.DATOS-PROD'!AP$2,'1.PUNTOS'!$A$1:$B$63,2,0),0)</f>
        <v>0</v>
      </c>
      <c r="AH128" s="138">
        <f>IF('1.DATOS-PROD'!AQ129="SI",VLOOKUP('1.DATOS-PROD'!AQ$2,'1.PUNTOS'!$A$1:$B$63,2,0),0)</f>
        <v>0</v>
      </c>
      <c r="AI128" s="138">
        <f>IF('1.DATOS-PROD'!AR129="SI",VLOOKUP('1.DATOS-PROD'!AR$2,'1.PUNTOS'!$A$1:$B$63,2,0),0)</f>
        <v>0</v>
      </c>
      <c r="AJ128" s="138">
        <f>IF('1.DATOS-PROD'!AS129="SI",VLOOKUP('1.DATOS-PROD'!AS$2,'1.PUNTOS'!$A$1:$B$63,2,0),0)</f>
        <v>0</v>
      </c>
      <c r="AK128" s="138">
        <f>IF('1.DATOS-PROD'!AT129="SI",VLOOKUP('1.DATOS-PROD'!AT$2,'1.PUNTOS'!$A$1:$B$63,2,0),0)</f>
        <v>0</v>
      </c>
      <c r="AL128" s="138">
        <f>IF('1.DATOS-PROD'!AU129="SI",VLOOKUP('1.DATOS-PROD'!AU$2,'1.PUNTOS'!$A$1:$B$63,2,0),0)</f>
        <v>0</v>
      </c>
      <c r="AM128" s="138">
        <f>IF('1.DATOS-PROD'!AV129="SI",VLOOKUP('1.DATOS-PROD'!AV$2,'1.PUNTOS'!$A$1:$B$63,2,0),0)</f>
        <v>0</v>
      </c>
      <c r="AN128" s="138">
        <f>IF('1.DATOS-PROD'!AW129="SI",VLOOKUP('1.DATOS-PROD'!AW$2,'1.PUNTOS'!$A$1:$B$63,2,0),0)</f>
        <v>0</v>
      </c>
      <c r="AO128" s="138">
        <f>IF('1.DATOS-PROD'!AX129="SI",VLOOKUP('1.DATOS-PROD'!AX$2,'1.PUNTOS'!$A$1:$B$63,2,0),0)</f>
        <v>0</v>
      </c>
      <c r="AP128" s="138">
        <f>IF('1.DATOS-PROD'!AY129="SI",VLOOKUP('1.DATOS-PROD'!AY$2,'1.PUNTOS'!$A$1:$B$63,2,0),0)</f>
        <v>0</v>
      </c>
      <c r="AQ128" s="138">
        <f>IF('1.DATOS-PROD'!AZ129="SI",VLOOKUP('1.DATOS-PROD'!AZ$2,'1.PUNTOS'!$A$1:$B$63,2,0),0)</f>
        <v>0</v>
      </c>
      <c r="AR128" s="138">
        <f>IF('1.DATOS-PROD'!BA129="SI",VLOOKUP('1.DATOS-PROD'!BA$2,'1.PUNTOS'!$A$1:$B$63,2,0),0)</f>
        <v>0</v>
      </c>
      <c r="AS128" s="138">
        <f>IF('1.DATOS-PROD'!BB129="SI",VLOOKUP('1.DATOS-PROD'!BB$2,'1.PUNTOS'!$A$1:$B$63,2,0),0)</f>
        <v>0</v>
      </c>
      <c r="AT128" s="138">
        <f>IF('1.DATOS-PROD'!BC129="SI",VLOOKUP('1.DATOS-PROD'!BC$2,'1.PUNTOS'!$A$1:$B$63,2,0),0)</f>
        <v>0</v>
      </c>
      <c r="AU128" s="138">
        <f>IF('1.DATOS-PROD'!BD129="SI",VLOOKUP('1.DATOS-PROD'!BD$2,'1.PUNTOS'!$A$1:$B$63,2,0),0)</f>
        <v>0</v>
      </c>
      <c r="AV128" s="138">
        <f>IF('1.DATOS-PROD'!BE129="SI",VLOOKUP('1.DATOS-PROD'!BE$2,'1.PUNTOS'!$A$1:$B$63,2,0),0)</f>
        <v>0</v>
      </c>
      <c r="AW128" s="138">
        <f>IF('1.DATOS-PROD'!BF129="SI",VLOOKUP('1.DATOS-PROD'!BF$2,'1.PUNTOS'!$A$1:$B$63,2,0),0)</f>
        <v>0</v>
      </c>
      <c r="AX128" s="138">
        <f>IF('1.DATOS-PROD'!BG129="SI",VLOOKUP('1.DATOS-PROD'!BG$2,'1.PUNTOS'!$A$1:$B$63,2,0),0)</f>
        <v>0</v>
      </c>
      <c r="AY128" s="138">
        <f>IF('1.DATOS-PROD'!BH129="SI",VLOOKUP('1.DATOS-PROD'!BH$2,'1.PUNTOS'!$A$1:$B$63,2,0),0)</f>
        <v>0</v>
      </c>
      <c r="AZ128" s="138">
        <f>IF('1.DATOS-PROD'!BI129="SI",VLOOKUP('1.DATOS-PROD'!BI$2,'1.PUNTOS'!$A$1:$B$63,2,0),0)</f>
        <v>0</v>
      </c>
      <c r="BA128" s="138">
        <f>IF('1.DATOS-PROD'!BJ129="SI",VLOOKUP('1.DATOS-PROD'!BJ$2,'1.PUNTOS'!$A$1:$B$63,2,0),0)</f>
        <v>0</v>
      </c>
      <c r="BB128" s="138">
        <f>IF('1.DATOS-PROD'!BK129="SI",VLOOKUP('1.DATOS-PROD'!BK$2,'1.PUNTOS'!$A$1:$B$63,2,0),0)</f>
        <v>0</v>
      </c>
      <c r="BC128" s="138">
        <f>IF('1.DATOS-PROD'!BL129="SI",VLOOKUP('1.DATOS-PROD'!BL$2,'1.PUNTOS'!$A$1:$B$63,2,0),0)</f>
        <v>0</v>
      </c>
      <c r="BD128" s="138">
        <f>IF('1.DATOS-PROD'!BM129="SI",VLOOKUP('1.DATOS-PROD'!BM$2,'1.PUNTOS'!$A$1:$B$63,2,0),0)</f>
        <v>0</v>
      </c>
      <c r="BE128" s="138">
        <f>IF('1.DATOS-PROD'!BN129="SI",VLOOKUP('1.DATOS-PROD'!BN$2,'1.PUNTOS'!$A$1:$B$63,2,0),0)</f>
        <v>0</v>
      </c>
      <c r="BF128" s="138">
        <f>IF('1.DATOS-PROD'!BO129="SI",VLOOKUP('1.DATOS-PROD'!BO$2,'1.PUNTOS'!$A$1:$B$63,2,0),0)</f>
        <v>0</v>
      </c>
      <c r="BG128" s="138">
        <f>IF('1.DATOS-PROD'!BP129="SI",VLOOKUP('1.DATOS-PROD'!BP$2,'1.PUNTOS'!$A$1:$B$63,2,0),0)</f>
        <v>0</v>
      </c>
      <c r="BH128" s="138">
        <f>IF('1.DATOS-PROD'!BQ129="SI",VLOOKUP('1.DATOS-PROD'!BQ$2,'1.PUNTOS'!$A$1:$B$63,2,0),0)</f>
        <v>0</v>
      </c>
      <c r="BI128" s="138">
        <f>IF('1.DATOS-PROD'!BR129="SI",VLOOKUP('1.DATOS-PROD'!BR$2,'1.PUNTOS'!$A$1:$B$63,2,0),0)</f>
        <v>0</v>
      </c>
      <c r="BJ128" s="138">
        <f>IF('1.DATOS-PROD'!BS129="SI",VLOOKUP('1.DATOS-PROD'!BS$2,'1.PUNTOS'!$A$1:$B$63,2,0),0)</f>
        <v>0</v>
      </c>
      <c r="BK128" s="138">
        <f>IF('1.DATOS-PROD'!BT129="SI",VLOOKUP('1.DATOS-PROD'!BT$2,'1.PUNTOS'!$A$1:$B$63,2,0),0)</f>
        <v>0</v>
      </c>
    </row>
    <row r="129" spans="1:63" x14ac:dyDescent="0.25">
      <c r="A129">
        <f>'0.Consolidado general'!$A130</f>
        <v>0</v>
      </c>
      <c r="B129" s="138">
        <f>IF('1.DATOS-PROD'!K130="SI",VLOOKUP('1.DATOS-PROD'!K$2,'1.PUNTOS'!$A$1:$B$63,2,0),0)</f>
        <v>0</v>
      </c>
      <c r="C129" s="138">
        <f>IF('1.DATOS-PROD'!L130="SI",VLOOKUP('1.DATOS-PROD'!L$2,'1.PUNTOS'!$A$1:$B$63,2,0),0)</f>
        <v>0</v>
      </c>
      <c r="D129" s="138">
        <f>IF('1.DATOS-PROD'!M130="SI",VLOOKUP('1.DATOS-PROD'!M$2,'1.PUNTOS'!$A$1:$B$63,2,0),0)</f>
        <v>0</v>
      </c>
      <c r="E129" s="138">
        <f>IF('1.DATOS-PROD'!N130="SI",VLOOKUP('1.DATOS-PROD'!N$2,'1.PUNTOS'!$A$1:$B$63,2,0),0)</f>
        <v>0</v>
      </c>
      <c r="F129" s="138">
        <f>IF('1.DATOS-PROD'!O130="SI",VLOOKUP('1.DATOS-PROD'!O$2,'1.PUNTOS'!$A$1:$B$63,2,0),0)</f>
        <v>0</v>
      </c>
      <c r="G129" s="138">
        <f>IF('1.DATOS-PROD'!P130="SI",VLOOKUP('1.DATOS-PROD'!P$2,'1.PUNTOS'!$A$1:$B$63,2,0),0)</f>
        <v>0</v>
      </c>
      <c r="H129" s="138">
        <f>IF('1.DATOS-PROD'!Q130="SI",VLOOKUP('1.DATOS-PROD'!Q$2,'1.PUNTOS'!$A$1:$B$63,2,0),0)</f>
        <v>0</v>
      </c>
      <c r="I129" s="138">
        <f>IF('1.DATOS-PROD'!R130="SI",VLOOKUP('1.DATOS-PROD'!R$2,'1.PUNTOS'!$A$1:$B$63,2,0),0)</f>
        <v>0</v>
      </c>
      <c r="J129" s="138">
        <f>IF('1.DATOS-PROD'!S130="SI",VLOOKUP('1.DATOS-PROD'!S$2,'1.PUNTOS'!$A$1:$B$63,2,0),0)</f>
        <v>0</v>
      </c>
      <c r="K129" s="138">
        <f>IF('1.DATOS-PROD'!T130="SI",VLOOKUP('1.DATOS-PROD'!T$2,'1.PUNTOS'!$A$1:$B$63,2,0),0)</f>
        <v>0</v>
      </c>
      <c r="L129" s="138">
        <f>IF('1.DATOS-PROD'!U130="SI",VLOOKUP('1.DATOS-PROD'!U$2,'1.PUNTOS'!$A$1:$B$63,2,0),0)</f>
        <v>0</v>
      </c>
      <c r="M129" s="138">
        <f>IF('1.DATOS-PROD'!V130="SI",VLOOKUP('1.DATOS-PROD'!V$2,'1.PUNTOS'!$A$1:$B$63,2,0),0)</f>
        <v>0</v>
      </c>
      <c r="N129" s="138">
        <f>IF('1.DATOS-PROD'!W130="SI",VLOOKUP('1.DATOS-PROD'!W$2,'1.PUNTOS'!$A$1:$B$63,2,0),0)</f>
        <v>0</v>
      </c>
      <c r="O129" s="138">
        <f>IF('1.DATOS-PROD'!X130="SI",VLOOKUP('1.DATOS-PROD'!X$2,'1.PUNTOS'!$A$1:$B$63,2,0),0)</f>
        <v>0</v>
      </c>
      <c r="P129" s="138">
        <f>IF('1.DATOS-PROD'!Y130="SI",VLOOKUP('1.DATOS-PROD'!Y$2,'1.PUNTOS'!$A$1:$B$63,2,0),0)</f>
        <v>0</v>
      </c>
      <c r="Q129" s="138">
        <f>IF('1.DATOS-PROD'!Z130="SI",VLOOKUP('1.DATOS-PROD'!Z$2,'1.PUNTOS'!$A$1:$B$63,2,0),0)</f>
        <v>0</v>
      </c>
      <c r="R129" s="138">
        <f>IF('1.DATOS-PROD'!AA130="SI",VLOOKUP('1.DATOS-PROD'!AA$2,'1.PUNTOS'!$A$1:$B$63,2,0),0)</f>
        <v>0</v>
      </c>
      <c r="S129" s="138">
        <f>IF('1.DATOS-PROD'!AB130="SI",VLOOKUP('1.DATOS-PROD'!AB$2,'1.PUNTOS'!$A$1:$B$63,2,0),0)</f>
        <v>0</v>
      </c>
      <c r="T129" s="138">
        <f>IF('1.DATOS-PROD'!AC130="SI",VLOOKUP('1.DATOS-PROD'!AC$2,'1.PUNTOS'!$A$1:$B$63,2,0),0)</f>
        <v>0</v>
      </c>
      <c r="U129" s="138">
        <f>IF('1.DATOS-PROD'!AD130="SI",VLOOKUP('1.DATOS-PROD'!AD$2,'1.PUNTOS'!$A$1:$B$63,2,0),0)</f>
        <v>0</v>
      </c>
      <c r="V129" s="138">
        <f>IF('1.DATOS-PROD'!AE130="SI",VLOOKUP('1.DATOS-PROD'!AE$2,'1.PUNTOS'!$A$1:$B$63,2,0),0)</f>
        <v>0</v>
      </c>
      <c r="W129" s="138">
        <f>IF('1.DATOS-PROD'!AF130="SI",VLOOKUP('1.DATOS-PROD'!AF$2,'1.PUNTOS'!$A$1:$B$63,2,0),0)</f>
        <v>0</v>
      </c>
      <c r="X129" s="138">
        <f>IF('1.DATOS-PROD'!AG130="SI",VLOOKUP('1.DATOS-PROD'!AG$2,'1.PUNTOS'!$A$1:$B$63,2,0),0)</f>
        <v>0</v>
      </c>
      <c r="Y129" s="138">
        <f>IF('1.DATOS-PROD'!AH130="SI",VLOOKUP('1.DATOS-PROD'!AH$2,'1.PUNTOS'!$A$1:$B$63,2,0),0)</f>
        <v>0</v>
      </c>
      <c r="Z129" s="138">
        <f>IF('1.DATOS-PROD'!AI130="SI",VLOOKUP('1.DATOS-PROD'!AI$2,'1.PUNTOS'!$A$1:$B$63,2,0),0)</f>
        <v>0</v>
      </c>
      <c r="AA129" s="138">
        <f>IF('1.DATOS-PROD'!AJ130="SI",VLOOKUP('1.DATOS-PROD'!AJ$2,'1.PUNTOS'!$A$1:$B$63,2,0),0)</f>
        <v>0</v>
      </c>
      <c r="AB129" s="138">
        <f>IF('1.DATOS-PROD'!AK130="SI",VLOOKUP('1.DATOS-PROD'!AK$2,'1.PUNTOS'!$A$1:$B$63,2,0),0)</f>
        <v>0</v>
      </c>
      <c r="AC129" s="138">
        <f>IF('1.DATOS-PROD'!AL130="SI",VLOOKUP('1.DATOS-PROD'!AL$2,'1.PUNTOS'!$A$1:$B$63,2,0),0)</f>
        <v>0</v>
      </c>
      <c r="AD129" s="138">
        <f>IF('1.DATOS-PROD'!AM130="SI",VLOOKUP('1.DATOS-PROD'!AM$2,'1.PUNTOS'!$A$1:$B$63,2,0),0)</f>
        <v>0</v>
      </c>
      <c r="AE129" s="138">
        <f>IF('1.DATOS-PROD'!AN130="SI",VLOOKUP('1.DATOS-PROD'!AN$2,'1.PUNTOS'!$A$1:$B$63,2,0),0)</f>
        <v>0</v>
      </c>
      <c r="AF129" s="138">
        <f>IF('1.DATOS-PROD'!AO130="SI",VLOOKUP('1.DATOS-PROD'!AO$2,'1.PUNTOS'!$A$1:$B$63,2,0),0)</f>
        <v>0</v>
      </c>
      <c r="AG129" s="138">
        <f>IF('1.DATOS-PROD'!AP130="SI",VLOOKUP('1.DATOS-PROD'!AP$2,'1.PUNTOS'!$A$1:$B$63,2,0),0)</f>
        <v>0</v>
      </c>
      <c r="AH129" s="138">
        <f>IF('1.DATOS-PROD'!AQ130="SI",VLOOKUP('1.DATOS-PROD'!AQ$2,'1.PUNTOS'!$A$1:$B$63,2,0),0)</f>
        <v>0</v>
      </c>
      <c r="AI129" s="138">
        <f>IF('1.DATOS-PROD'!AR130="SI",VLOOKUP('1.DATOS-PROD'!AR$2,'1.PUNTOS'!$A$1:$B$63,2,0),0)</f>
        <v>0</v>
      </c>
      <c r="AJ129" s="138">
        <f>IF('1.DATOS-PROD'!AS130="SI",VLOOKUP('1.DATOS-PROD'!AS$2,'1.PUNTOS'!$A$1:$B$63,2,0),0)</f>
        <v>0</v>
      </c>
      <c r="AK129" s="138">
        <f>IF('1.DATOS-PROD'!AT130="SI",VLOOKUP('1.DATOS-PROD'!AT$2,'1.PUNTOS'!$A$1:$B$63,2,0),0)</f>
        <v>0</v>
      </c>
      <c r="AL129" s="138">
        <f>IF('1.DATOS-PROD'!AU130="SI",VLOOKUP('1.DATOS-PROD'!AU$2,'1.PUNTOS'!$A$1:$B$63,2,0),0)</f>
        <v>0</v>
      </c>
      <c r="AM129" s="138">
        <f>IF('1.DATOS-PROD'!AV130="SI",VLOOKUP('1.DATOS-PROD'!AV$2,'1.PUNTOS'!$A$1:$B$63,2,0),0)</f>
        <v>0</v>
      </c>
      <c r="AN129" s="138">
        <f>IF('1.DATOS-PROD'!AW130="SI",VLOOKUP('1.DATOS-PROD'!AW$2,'1.PUNTOS'!$A$1:$B$63,2,0),0)</f>
        <v>0</v>
      </c>
      <c r="AO129" s="138">
        <f>IF('1.DATOS-PROD'!AX130="SI",VLOOKUP('1.DATOS-PROD'!AX$2,'1.PUNTOS'!$A$1:$B$63,2,0),0)</f>
        <v>0</v>
      </c>
      <c r="AP129" s="138">
        <f>IF('1.DATOS-PROD'!AY130="SI",VLOOKUP('1.DATOS-PROD'!AY$2,'1.PUNTOS'!$A$1:$B$63,2,0),0)</f>
        <v>0</v>
      </c>
      <c r="AQ129" s="138">
        <f>IF('1.DATOS-PROD'!AZ130="SI",VLOOKUP('1.DATOS-PROD'!AZ$2,'1.PUNTOS'!$A$1:$B$63,2,0),0)</f>
        <v>0</v>
      </c>
      <c r="AR129" s="138">
        <f>IF('1.DATOS-PROD'!BA130="SI",VLOOKUP('1.DATOS-PROD'!BA$2,'1.PUNTOS'!$A$1:$B$63,2,0),0)</f>
        <v>0</v>
      </c>
      <c r="AS129" s="138">
        <f>IF('1.DATOS-PROD'!BB130="SI",VLOOKUP('1.DATOS-PROD'!BB$2,'1.PUNTOS'!$A$1:$B$63,2,0),0)</f>
        <v>0</v>
      </c>
      <c r="AT129" s="138">
        <f>IF('1.DATOS-PROD'!BC130="SI",VLOOKUP('1.DATOS-PROD'!BC$2,'1.PUNTOS'!$A$1:$B$63,2,0),0)</f>
        <v>0</v>
      </c>
      <c r="AU129" s="138">
        <f>IF('1.DATOS-PROD'!BD130="SI",VLOOKUP('1.DATOS-PROD'!BD$2,'1.PUNTOS'!$A$1:$B$63,2,0),0)</f>
        <v>0</v>
      </c>
      <c r="AV129" s="138">
        <f>IF('1.DATOS-PROD'!BE130="SI",VLOOKUP('1.DATOS-PROD'!BE$2,'1.PUNTOS'!$A$1:$B$63,2,0),0)</f>
        <v>0</v>
      </c>
      <c r="AW129" s="138">
        <f>IF('1.DATOS-PROD'!BF130="SI",VLOOKUP('1.DATOS-PROD'!BF$2,'1.PUNTOS'!$A$1:$B$63,2,0),0)</f>
        <v>0</v>
      </c>
      <c r="AX129" s="138">
        <f>IF('1.DATOS-PROD'!BG130="SI",VLOOKUP('1.DATOS-PROD'!BG$2,'1.PUNTOS'!$A$1:$B$63,2,0),0)</f>
        <v>0</v>
      </c>
      <c r="AY129" s="138">
        <f>IF('1.DATOS-PROD'!BH130="SI",VLOOKUP('1.DATOS-PROD'!BH$2,'1.PUNTOS'!$A$1:$B$63,2,0),0)</f>
        <v>0</v>
      </c>
      <c r="AZ129" s="138">
        <f>IF('1.DATOS-PROD'!BI130="SI",VLOOKUP('1.DATOS-PROD'!BI$2,'1.PUNTOS'!$A$1:$B$63,2,0),0)</f>
        <v>0</v>
      </c>
      <c r="BA129" s="138">
        <f>IF('1.DATOS-PROD'!BJ130="SI",VLOOKUP('1.DATOS-PROD'!BJ$2,'1.PUNTOS'!$A$1:$B$63,2,0),0)</f>
        <v>0</v>
      </c>
      <c r="BB129" s="138">
        <f>IF('1.DATOS-PROD'!BK130="SI",VLOOKUP('1.DATOS-PROD'!BK$2,'1.PUNTOS'!$A$1:$B$63,2,0),0)</f>
        <v>0</v>
      </c>
      <c r="BC129" s="138">
        <f>IF('1.DATOS-PROD'!BL130="SI",VLOOKUP('1.DATOS-PROD'!BL$2,'1.PUNTOS'!$A$1:$B$63,2,0),0)</f>
        <v>0</v>
      </c>
      <c r="BD129" s="138">
        <f>IF('1.DATOS-PROD'!BM130="SI",VLOOKUP('1.DATOS-PROD'!BM$2,'1.PUNTOS'!$A$1:$B$63,2,0),0)</f>
        <v>0</v>
      </c>
      <c r="BE129" s="138">
        <f>IF('1.DATOS-PROD'!BN130="SI",VLOOKUP('1.DATOS-PROD'!BN$2,'1.PUNTOS'!$A$1:$B$63,2,0),0)</f>
        <v>0</v>
      </c>
      <c r="BF129" s="138">
        <f>IF('1.DATOS-PROD'!BO130="SI",VLOOKUP('1.DATOS-PROD'!BO$2,'1.PUNTOS'!$A$1:$B$63,2,0),0)</f>
        <v>0</v>
      </c>
      <c r="BG129" s="138">
        <f>IF('1.DATOS-PROD'!BP130="SI",VLOOKUP('1.DATOS-PROD'!BP$2,'1.PUNTOS'!$A$1:$B$63,2,0),0)</f>
        <v>0</v>
      </c>
      <c r="BH129" s="138">
        <f>IF('1.DATOS-PROD'!BQ130="SI",VLOOKUP('1.DATOS-PROD'!BQ$2,'1.PUNTOS'!$A$1:$B$63,2,0),0)</f>
        <v>0</v>
      </c>
      <c r="BI129" s="138">
        <f>IF('1.DATOS-PROD'!BR130="SI",VLOOKUP('1.DATOS-PROD'!BR$2,'1.PUNTOS'!$A$1:$B$63,2,0),0)</f>
        <v>0</v>
      </c>
      <c r="BJ129" s="138">
        <f>IF('1.DATOS-PROD'!BS130="SI",VLOOKUP('1.DATOS-PROD'!BS$2,'1.PUNTOS'!$A$1:$B$63,2,0),0)</f>
        <v>0</v>
      </c>
      <c r="BK129" s="138">
        <f>IF('1.DATOS-PROD'!BT130="SI",VLOOKUP('1.DATOS-PROD'!BT$2,'1.PUNTOS'!$A$1:$B$63,2,0),0)</f>
        <v>0</v>
      </c>
    </row>
    <row r="130" spans="1:63" x14ac:dyDescent="0.25">
      <c r="A130">
        <f>'0.Consolidado general'!$A131</f>
        <v>0</v>
      </c>
      <c r="B130" s="138">
        <f>IF('1.DATOS-PROD'!K131="SI",VLOOKUP('1.DATOS-PROD'!K$2,'1.PUNTOS'!$A$1:$B$63,2,0),0)</f>
        <v>0</v>
      </c>
      <c r="C130" s="138">
        <f>IF('1.DATOS-PROD'!L131="SI",VLOOKUP('1.DATOS-PROD'!L$2,'1.PUNTOS'!$A$1:$B$63,2,0),0)</f>
        <v>0</v>
      </c>
      <c r="D130" s="138">
        <f>IF('1.DATOS-PROD'!M131="SI",VLOOKUP('1.DATOS-PROD'!M$2,'1.PUNTOS'!$A$1:$B$63,2,0),0)</f>
        <v>0</v>
      </c>
      <c r="E130" s="138">
        <f>IF('1.DATOS-PROD'!N131="SI",VLOOKUP('1.DATOS-PROD'!N$2,'1.PUNTOS'!$A$1:$B$63,2,0),0)</f>
        <v>0</v>
      </c>
      <c r="F130" s="138">
        <f>IF('1.DATOS-PROD'!O131="SI",VLOOKUP('1.DATOS-PROD'!O$2,'1.PUNTOS'!$A$1:$B$63,2,0),0)</f>
        <v>0</v>
      </c>
      <c r="G130" s="138">
        <f>IF('1.DATOS-PROD'!P131="SI",VLOOKUP('1.DATOS-PROD'!P$2,'1.PUNTOS'!$A$1:$B$63,2,0),0)</f>
        <v>0</v>
      </c>
      <c r="H130" s="138">
        <f>IF('1.DATOS-PROD'!Q131="SI",VLOOKUP('1.DATOS-PROD'!Q$2,'1.PUNTOS'!$A$1:$B$63,2,0),0)</f>
        <v>0</v>
      </c>
      <c r="I130" s="138">
        <f>IF('1.DATOS-PROD'!R131="SI",VLOOKUP('1.DATOS-PROD'!R$2,'1.PUNTOS'!$A$1:$B$63,2,0),0)</f>
        <v>0</v>
      </c>
      <c r="J130" s="138">
        <f>IF('1.DATOS-PROD'!S131="SI",VLOOKUP('1.DATOS-PROD'!S$2,'1.PUNTOS'!$A$1:$B$63,2,0),0)</f>
        <v>0</v>
      </c>
      <c r="K130" s="138">
        <f>IF('1.DATOS-PROD'!T131="SI",VLOOKUP('1.DATOS-PROD'!T$2,'1.PUNTOS'!$A$1:$B$63,2,0),0)</f>
        <v>0</v>
      </c>
      <c r="L130" s="138">
        <f>IF('1.DATOS-PROD'!U131="SI",VLOOKUP('1.DATOS-PROD'!U$2,'1.PUNTOS'!$A$1:$B$63,2,0),0)</f>
        <v>0</v>
      </c>
      <c r="M130" s="138">
        <f>IF('1.DATOS-PROD'!V131="SI",VLOOKUP('1.DATOS-PROD'!V$2,'1.PUNTOS'!$A$1:$B$63,2,0),0)</f>
        <v>0</v>
      </c>
      <c r="N130" s="138">
        <f>IF('1.DATOS-PROD'!W131="SI",VLOOKUP('1.DATOS-PROD'!W$2,'1.PUNTOS'!$A$1:$B$63,2,0),0)</f>
        <v>0</v>
      </c>
      <c r="O130" s="138">
        <f>IF('1.DATOS-PROD'!X131="SI",VLOOKUP('1.DATOS-PROD'!X$2,'1.PUNTOS'!$A$1:$B$63,2,0),0)</f>
        <v>0</v>
      </c>
      <c r="P130" s="138">
        <f>IF('1.DATOS-PROD'!Y131="SI",VLOOKUP('1.DATOS-PROD'!Y$2,'1.PUNTOS'!$A$1:$B$63,2,0),0)</f>
        <v>0</v>
      </c>
      <c r="Q130" s="138">
        <f>IF('1.DATOS-PROD'!Z131="SI",VLOOKUP('1.DATOS-PROD'!Z$2,'1.PUNTOS'!$A$1:$B$63,2,0),0)</f>
        <v>0</v>
      </c>
      <c r="R130" s="138">
        <f>IF('1.DATOS-PROD'!AA131="SI",VLOOKUP('1.DATOS-PROD'!AA$2,'1.PUNTOS'!$A$1:$B$63,2,0),0)</f>
        <v>0</v>
      </c>
      <c r="S130" s="138">
        <f>IF('1.DATOS-PROD'!AB131="SI",VLOOKUP('1.DATOS-PROD'!AB$2,'1.PUNTOS'!$A$1:$B$63,2,0),0)</f>
        <v>0</v>
      </c>
      <c r="T130" s="138">
        <f>IF('1.DATOS-PROD'!AC131="SI",VLOOKUP('1.DATOS-PROD'!AC$2,'1.PUNTOS'!$A$1:$B$63,2,0),0)</f>
        <v>0</v>
      </c>
      <c r="U130" s="138">
        <f>IF('1.DATOS-PROD'!AD131="SI",VLOOKUP('1.DATOS-PROD'!AD$2,'1.PUNTOS'!$A$1:$B$63,2,0),0)</f>
        <v>0</v>
      </c>
      <c r="V130" s="138">
        <f>IF('1.DATOS-PROD'!AE131="SI",VLOOKUP('1.DATOS-PROD'!AE$2,'1.PUNTOS'!$A$1:$B$63,2,0),0)</f>
        <v>0</v>
      </c>
      <c r="W130" s="138">
        <f>IF('1.DATOS-PROD'!AF131="SI",VLOOKUP('1.DATOS-PROD'!AF$2,'1.PUNTOS'!$A$1:$B$63,2,0),0)</f>
        <v>0</v>
      </c>
      <c r="X130" s="138">
        <f>IF('1.DATOS-PROD'!AG131="SI",VLOOKUP('1.DATOS-PROD'!AG$2,'1.PUNTOS'!$A$1:$B$63,2,0),0)</f>
        <v>0</v>
      </c>
      <c r="Y130" s="138">
        <f>IF('1.DATOS-PROD'!AH131="SI",VLOOKUP('1.DATOS-PROD'!AH$2,'1.PUNTOS'!$A$1:$B$63,2,0),0)</f>
        <v>0</v>
      </c>
      <c r="Z130" s="138">
        <f>IF('1.DATOS-PROD'!AI131="SI",VLOOKUP('1.DATOS-PROD'!AI$2,'1.PUNTOS'!$A$1:$B$63,2,0),0)</f>
        <v>0</v>
      </c>
      <c r="AA130" s="138">
        <f>IF('1.DATOS-PROD'!AJ131="SI",VLOOKUP('1.DATOS-PROD'!AJ$2,'1.PUNTOS'!$A$1:$B$63,2,0),0)</f>
        <v>0</v>
      </c>
      <c r="AB130" s="138">
        <f>IF('1.DATOS-PROD'!AK131="SI",VLOOKUP('1.DATOS-PROD'!AK$2,'1.PUNTOS'!$A$1:$B$63,2,0),0)</f>
        <v>0</v>
      </c>
      <c r="AC130" s="138">
        <f>IF('1.DATOS-PROD'!AL131="SI",VLOOKUP('1.DATOS-PROD'!AL$2,'1.PUNTOS'!$A$1:$B$63,2,0),0)</f>
        <v>0</v>
      </c>
      <c r="AD130" s="138">
        <f>IF('1.DATOS-PROD'!AM131="SI",VLOOKUP('1.DATOS-PROD'!AM$2,'1.PUNTOS'!$A$1:$B$63,2,0),0)</f>
        <v>0</v>
      </c>
      <c r="AE130" s="138">
        <f>IF('1.DATOS-PROD'!AN131="SI",VLOOKUP('1.DATOS-PROD'!AN$2,'1.PUNTOS'!$A$1:$B$63,2,0),0)</f>
        <v>0</v>
      </c>
      <c r="AF130" s="138">
        <f>IF('1.DATOS-PROD'!AO131="SI",VLOOKUP('1.DATOS-PROD'!AO$2,'1.PUNTOS'!$A$1:$B$63,2,0),0)</f>
        <v>0</v>
      </c>
      <c r="AG130" s="138">
        <f>IF('1.DATOS-PROD'!AP131="SI",VLOOKUP('1.DATOS-PROD'!AP$2,'1.PUNTOS'!$A$1:$B$63,2,0),0)</f>
        <v>0</v>
      </c>
      <c r="AH130" s="138">
        <f>IF('1.DATOS-PROD'!AQ131="SI",VLOOKUP('1.DATOS-PROD'!AQ$2,'1.PUNTOS'!$A$1:$B$63,2,0),0)</f>
        <v>0</v>
      </c>
      <c r="AI130" s="138">
        <f>IF('1.DATOS-PROD'!AR131="SI",VLOOKUP('1.DATOS-PROD'!AR$2,'1.PUNTOS'!$A$1:$B$63,2,0),0)</f>
        <v>0</v>
      </c>
      <c r="AJ130" s="138">
        <f>IF('1.DATOS-PROD'!AS131="SI",VLOOKUP('1.DATOS-PROD'!AS$2,'1.PUNTOS'!$A$1:$B$63,2,0),0)</f>
        <v>0</v>
      </c>
      <c r="AK130" s="138">
        <f>IF('1.DATOS-PROD'!AT131="SI",VLOOKUP('1.DATOS-PROD'!AT$2,'1.PUNTOS'!$A$1:$B$63,2,0),0)</f>
        <v>0</v>
      </c>
      <c r="AL130" s="138">
        <f>IF('1.DATOS-PROD'!AU131="SI",VLOOKUP('1.DATOS-PROD'!AU$2,'1.PUNTOS'!$A$1:$B$63,2,0),0)</f>
        <v>0</v>
      </c>
      <c r="AM130" s="138">
        <f>IF('1.DATOS-PROD'!AV131="SI",VLOOKUP('1.DATOS-PROD'!AV$2,'1.PUNTOS'!$A$1:$B$63,2,0),0)</f>
        <v>0</v>
      </c>
      <c r="AN130" s="138">
        <f>IF('1.DATOS-PROD'!AW131="SI",VLOOKUP('1.DATOS-PROD'!AW$2,'1.PUNTOS'!$A$1:$B$63,2,0),0)</f>
        <v>0</v>
      </c>
      <c r="AO130" s="138">
        <f>IF('1.DATOS-PROD'!AX131="SI",VLOOKUP('1.DATOS-PROD'!AX$2,'1.PUNTOS'!$A$1:$B$63,2,0),0)</f>
        <v>0</v>
      </c>
      <c r="AP130" s="138">
        <f>IF('1.DATOS-PROD'!AY131="SI",VLOOKUP('1.DATOS-PROD'!AY$2,'1.PUNTOS'!$A$1:$B$63,2,0),0)</f>
        <v>0</v>
      </c>
      <c r="AQ130" s="138">
        <f>IF('1.DATOS-PROD'!AZ131="SI",VLOOKUP('1.DATOS-PROD'!AZ$2,'1.PUNTOS'!$A$1:$B$63,2,0),0)</f>
        <v>0</v>
      </c>
      <c r="AR130" s="138">
        <f>IF('1.DATOS-PROD'!BA131="SI",VLOOKUP('1.DATOS-PROD'!BA$2,'1.PUNTOS'!$A$1:$B$63,2,0),0)</f>
        <v>0</v>
      </c>
      <c r="AS130" s="138">
        <f>IF('1.DATOS-PROD'!BB131="SI",VLOOKUP('1.DATOS-PROD'!BB$2,'1.PUNTOS'!$A$1:$B$63,2,0),0)</f>
        <v>0</v>
      </c>
      <c r="AT130" s="138">
        <f>IF('1.DATOS-PROD'!BC131="SI",VLOOKUP('1.DATOS-PROD'!BC$2,'1.PUNTOS'!$A$1:$B$63,2,0),0)</f>
        <v>0</v>
      </c>
      <c r="AU130" s="138">
        <f>IF('1.DATOS-PROD'!BD131="SI",VLOOKUP('1.DATOS-PROD'!BD$2,'1.PUNTOS'!$A$1:$B$63,2,0),0)</f>
        <v>0</v>
      </c>
      <c r="AV130" s="138">
        <f>IF('1.DATOS-PROD'!BE131="SI",VLOOKUP('1.DATOS-PROD'!BE$2,'1.PUNTOS'!$A$1:$B$63,2,0),0)</f>
        <v>0</v>
      </c>
      <c r="AW130" s="138">
        <f>IF('1.DATOS-PROD'!BF131="SI",VLOOKUP('1.DATOS-PROD'!BF$2,'1.PUNTOS'!$A$1:$B$63,2,0),0)</f>
        <v>0</v>
      </c>
      <c r="AX130" s="138">
        <f>IF('1.DATOS-PROD'!BG131="SI",VLOOKUP('1.DATOS-PROD'!BG$2,'1.PUNTOS'!$A$1:$B$63,2,0),0)</f>
        <v>0</v>
      </c>
      <c r="AY130" s="138">
        <f>IF('1.DATOS-PROD'!BH131="SI",VLOOKUP('1.DATOS-PROD'!BH$2,'1.PUNTOS'!$A$1:$B$63,2,0),0)</f>
        <v>0</v>
      </c>
      <c r="AZ130" s="138">
        <f>IF('1.DATOS-PROD'!BI131="SI",VLOOKUP('1.DATOS-PROD'!BI$2,'1.PUNTOS'!$A$1:$B$63,2,0),0)</f>
        <v>0</v>
      </c>
      <c r="BA130" s="138">
        <f>IF('1.DATOS-PROD'!BJ131="SI",VLOOKUP('1.DATOS-PROD'!BJ$2,'1.PUNTOS'!$A$1:$B$63,2,0),0)</f>
        <v>0</v>
      </c>
      <c r="BB130" s="138">
        <f>IF('1.DATOS-PROD'!BK131="SI",VLOOKUP('1.DATOS-PROD'!BK$2,'1.PUNTOS'!$A$1:$B$63,2,0),0)</f>
        <v>0</v>
      </c>
      <c r="BC130" s="138">
        <f>IF('1.DATOS-PROD'!BL131="SI",VLOOKUP('1.DATOS-PROD'!BL$2,'1.PUNTOS'!$A$1:$B$63,2,0),0)</f>
        <v>0</v>
      </c>
      <c r="BD130" s="138">
        <f>IF('1.DATOS-PROD'!BM131="SI",VLOOKUP('1.DATOS-PROD'!BM$2,'1.PUNTOS'!$A$1:$B$63,2,0),0)</f>
        <v>0</v>
      </c>
      <c r="BE130" s="138">
        <f>IF('1.DATOS-PROD'!BN131="SI",VLOOKUP('1.DATOS-PROD'!BN$2,'1.PUNTOS'!$A$1:$B$63,2,0),0)</f>
        <v>0</v>
      </c>
      <c r="BF130" s="138">
        <f>IF('1.DATOS-PROD'!BO131="SI",VLOOKUP('1.DATOS-PROD'!BO$2,'1.PUNTOS'!$A$1:$B$63,2,0),0)</f>
        <v>0</v>
      </c>
      <c r="BG130" s="138">
        <f>IF('1.DATOS-PROD'!BP131="SI",VLOOKUP('1.DATOS-PROD'!BP$2,'1.PUNTOS'!$A$1:$B$63,2,0),0)</f>
        <v>0</v>
      </c>
      <c r="BH130" s="138">
        <f>IF('1.DATOS-PROD'!BQ131="SI",VLOOKUP('1.DATOS-PROD'!BQ$2,'1.PUNTOS'!$A$1:$B$63,2,0),0)</f>
        <v>0</v>
      </c>
      <c r="BI130" s="138">
        <f>IF('1.DATOS-PROD'!BR131="SI",VLOOKUP('1.DATOS-PROD'!BR$2,'1.PUNTOS'!$A$1:$B$63,2,0),0)</f>
        <v>0</v>
      </c>
      <c r="BJ130" s="138">
        <f>IF('1.DATOS-PROD'!BS131="SI",VLOOKUP('1.DATOS-PROD'!BS$2,'1.PUNTOS'!$A$1:$B$63,2,0),0)</f>
        <v>0</v>
      </c>
      <c r="BK130" s="138">
        <f>IF('1.DATOS-PROD'!BT131="SI",VLOOKUP('1.DATOS-PROD'!BT$2,'1.PUNTOS'!$A$1:$B$63,2,0),0)</f>
        <v>0</v>
      </c>
    </row>
    <row r="131" spans="1:63" x14ac:dyDescent="0.25">
      <c r="A131">
        <f>'0.Consolidado general'!$A132</f>
        <v>0</v>
      </c>
      <c r="B131" s="138">
        <f>IF('1.DATOS-PROD'!K132="SI",VLOOKUP('1.DATOS-PROD'!K$2,'1.PUNTOS'!$A$1:$B$63,2,0),0)</f>
        <v>0</v>
      </c>
      <c r="C131" s="138">
        <f>IF('1.DATOS-PROD'!L132="SI",VLOOKUP('1.DATOS-PROD'!L$2,'1.PUNTOS'!$A$1:$B$63,2,0),0)</f>
        <v>0</v>
      </c>
      <c r="D131" s="138">
        <f>IF('1.DATOS-PROD'!M132="SI",VLOOKUP('1.DATOS-PROD'!M$2,'1.PUNTOS'!$A$1:$B$63,2,0),0)</f>
        <v>0</v>
      </c>
      <c r="E131" s="138">
        <f>IF('1.DATOS-PROD'!N132="SI",VLOOKUP('1.DATOS-PROD'!N$2,'1.PUNTOS'!$A$1:$B$63,2,0),0)</f>
        <v>0</v>
      </c>
      <c r="F131" s="138">
        <f>IF('1.DATOS-PROD'!O132="SI",VLOOKUP('1.DATOS-PROD'!O$2,'1.PUNTOS'!$A$1:$B$63,2,0),0)</f>
        <v>0</v>
      </c>
      <c r="G131" s="138">
        <f>IF('1.DATOS-PROD'!P132="SI",VLOOKUP('1.DATOS-PROD'!P$2,'1.PUNTOS'!$A$1:$B$63,2,0),0)</f>
        <v>0</v>
      </c>
      <c r="H131" s="138">
        <f>IF('1.DATOS-PROD'!Q132="SI",VLOOKUP('1.DATOS-PROD'!Q$2,'1.PUNTOS'!$A$1:$B$63,2,0),0)</f>
        <v>0</v>
      </c>
      <c r="I131" s="138">
        <f>IF('1.DATOS-PROD'!R132="SI",VLOOKUP('1.DATOS-PROD'!R$2,'1.PUNTOS'!$A$1:$B$63,2,0),0)</f>
        <v>0</v>
      </c>
      <c r="J131" s="138">
        <f>IF('1.DATOS-PROD'!S132="SI",VLOOKUP('1.DATOS-PROD'!S$2,'1.PUNTOS'!$A$1:$B$63,2,0),0)</f>
        <v>0</v>
      </c>
      <c r="K131" s="138">
        <f>IF('1.DATOS-PROD'!T132="SI",VLOOKUP('1.DATOS-PROD'!T$2,'1.PUNTOS'!$A$1:$B$63,2,0),0)</f>
        <v>0</v>
      </c>
      <c r="L131" s="138">
        <f>IF('1.DATOS-PROD'!U132="SI",VLOOKUP('1.DATOS-PROD'!U$2,'1.PUNTOS'!$A$1:$B$63,2,0),0)</f>
        <v>0</v>
      </c>
      <c r="M131" s="138">
        <f>IF('1.DATOS-PROD'!V132="SI",VLOOKUP('1.DATOS-PROD'!V$2,'1.PUNTOS'!$A$1:$B$63,2,0),0)</f>
        <v>0</v>
      </c>
      <c r="N131" s="138">
        <f>IF('1.DATOS-PROD'!W132="SI",VLOOKUP('1.DATOS-PROD'!W$2,'1.PUNTOS'!$A$1:$B$63,2,0),0)</f>
        <v>0</v>
      </c>
      <c r="O131" s="138">
        <f>IF('1.DATOS-PROD'!X132="SI",VLOOKUP('1.DATOS-PROD'!X$2,'1.PUNTOS'!$A$1:$B$63,2,0),0)</f>
        <v>0</v>
      </c>
      <c r="P131" s="138">
        <f>IF('1.DATOS-PROD'!Y132="SI",VLOOKUP('1.DATOS-PROD'!Y$2,'1.PUNTOS'!$A$1:$B$63,2,0),0)</f>
        <v>0</v>
      </c>
      <c r="Q131" s="138">
        <f>IF('1.DATOS-PROD'!Z132="SI",VLOOKUP('1.DATOS-PROD'!Z$2,'1.PUNTOS'!$A$1:$B$63,2,0),0)</f>
        <v>0</v>
      </c>
      <c r="R131" s="138">
        <f>IF('1.DATOS-PROD'!AA132="SI",VLOOKUP('1.DATOS-PROD'!AA$2,'1.PUNTOS'!$A$1:$B$63,2,0),0)</f>
        <v>0</v>
      </c>
      <c r="S131" s="138">
        <f>IF('1.DATOS-PROD'!AB132="SI",VLOOKUP('1.DATOS-PROD'!AB$2,'1.PUNTOS'!$A$1:$B$63,2,0),0)</f>
        <v>0</v>
      </c>
      <c r="T131" s="138">
        <f>IF('1.DATOS-PROD'!AC132="SI",VLOOKUP('1.DATOS-PROD'!AC$2,'1.PUNTOS'!$A$1:$B$63,2,0),0)</f>
        <v>0</v>
      </c>
      <c r="U131" s="138">
        <f>IF('1.DATOS-PROD'!AD132="SI",VLOOKUP('1.DATOS-PROD'!AD$2,'1.PUNTOS'!$A$1:$B$63,2,0),0)</f>
        <v>0</v>
      </c>
      <c r="V131" s="138">
        <f>IF('1.DATOS-PROD'!AE132="SI",VLOOKUP('1.DATOS-PROD'!AE$2,'1.PUNTOS'!$A$1:$B$63,2,0),0)</f>
        <v>0</v>
      </c>
      <c r="W131" s="138">
        <f>IF('1.DATOS-PROD'!AF132="SI",VLOOKUP('1.DATOS-PROD'!AF$2,'1.PUNTOS'!$A$1:$B$63,2,0),0)</f>
        <v>0</v>
      </c>
      <c r="X131" s="138">
        <f>IF('1.DATOS-PROD'!AG132="SI",VLOOKUP('1.DATOS-PROD'!AG$2,'1.PUNTOS'!$A$1:$B$63,2,0),0)</f>
        <v>0</v>
      </c>
      <c r="Y131" s="138">
        <f>IF('1.DATOS-PROD'!AH132="SI",VLOOKUP('1.DATOS-PROD'!AH$2,'1.PUNTOS'!$A$1:$B$63,2,0),0)</f>
        <v>0</v>
      </c>
      <c r="Z131" s="138">
        <f>IF('1.DATOS-PROD'!AI132="SI",VLOOKUP('1.DATOS-PROD'!AI$2,'1.PUNTOS'!$A$1:$B$63,2,0),0)</f>
        <v>0</v>
      </c>
      <c r="AA131" s="138">
        <f>IF('1.DATOS-PROD'!AJ132="SI",VLOOKUP('1.DATOS-PROD'!AJ$2,'1.PUNTOS'!$A$1:$B$63,2,0),0)</f>
        <v>0</v>
      </c>
      <c r="AB131" s="138">
        <f>IF('1.DATOS-PROD'!AK132="SI",VLOOKUP('1.DATOS-PROD'!AK$2,'1.PUNTOS'!$A$1:$B$63,2,0),0)</f>
        <v>0</v>
      </c>
      <c r="AC131" s="138">
        <f>IF('1.DATOS-PROD'!AL132="SI",VLOOKUP('1.DATOS-PROD'!AL$2,'1.PUNTOS'!$A$1:$B$63,2,0),0)</f>
        <v>0</v>
      </c>
      <c r="AD131" s="138">
        <f>IF('1.DATOS-PROD'!AM132="SI",VLOOKUP('1.DATOS-PROD'!AM$2,'1.PUNTOS'!$A$1:$B$63,2,0),0)</f>
        <v>0</v>
      </c>
      <c r="AE131" s="138">
        <f>IF('1.DATOS-PROD'!AN132="SI",VLOOKUP('1.DATOS-PROD'!AN$2,'1.PUNTOS'!$A$1:$B$63,2,0),0)</f>
        <v>0</v>
      </c>
      <c r="AF131" s="138">
        <f>IF('1.DATOS-PROD'!AO132="SI",VLOOKUP('1.DATOS-PROD'!AO$2,'1.PUNTOS'!$A$1:$B$63,2,0),0)</f>
        <v>0</v>
      </c>
      <c r="AG131" s="138">
        <f>IF('1.DATOS-PROD'!AP132="SI",VLOOKUP('1.DATOS-PROD'!AP$2,'1.PUNTOS'!$A$1:$B$63,2,0),0)</f>
        <v>0</v>
      </c>
      <c r="AH131" s="138">
        <f>IF('1.DATOS-PROD'!AQ132="SI",VLOOKUP('1.DATOS-PROD'!AQ$2,'1.PUNTOS'!$A$1:$B$63,2,0),0)</f>
        <v>0</v>
      </c>
      <c r="AI131" s="138">
        <f>IF('1.DATOS-PROD'!AR132="SI",VLOOKUP('1.DATOS-PROD'!AR$2,'1.PUNTOS'!$A$1:$B$63,2,0),0)</f>
        <v>0</v>
      </c>
      <c r="AJ131" s="138">
        <f>IF('1.DATOS-PROD'!AS132="SI",VLOOKUP('1.DATOS-PROD'!AS$2,'1.PUNTOS'!$A$1:$B$63,2,0),0)</f>
        <v>0</v>
      </c>
      <c r="AK131" s="138">
        <f>IF('1.DATOS-PROD'!AT132="SI",VLOOKUP('1.DATOS-PROD'!AT$2,'1.PUNTOS'!$A$1:$B$63,2,0),0)</f>
        <v>0</v>
      </c>
      <c r="AL131" s="138">
        <f>IF('1.DATOS-PROD'!AU132="SI",VLOOKUP('1.DATOS-PROD'!AU$2,'1.PUNTOS'!$A$1:$B$63,2,0),0)</f>
        <v>0</v>
      </c>
      <c r="AM131" s="138">
        <f>IF('1.DATOS-PROD'!AV132="SI",VLOOKUP('1.DATOS-PROD'!AV$2,'1.PUNTOS'!$A$1:$B$63,2,0),0)</f>
        <v>0</v>
      </c>
      <c r="AN131" s="138">
        <f>IF('1.DATOS-PROD'!AW132="SI",VLOOKUP('1.DATOS-PROD'!AW$2,'1.PUNTOS'!$A$1:$B$63,2,0),0)</f>
        <v>0</v>
      </c>
      <c r="AO131" s="138">
        <f>IF('1.DATOS-PROD'!AX132="SI",VLOOKUP('1.DATOS-PROD'!AX$2,'1.PUNTOS'!$A$1:$B$63,2,0),0)</f>
        <v>0</v>
      </c>
      <c r="AP131" s="138">
        <f>IF('1.DATOS-PROD'!AY132="SI",VLOOKUP('1.DATOS-PROD'!AY$2,'1.PUNTOS'!$A$1:$B$63,2,0),0)</f>
        <v>0</v>
      </c>
      <c r="AQ131" s="138">
        <f>IF('1.DATOS-PROD'!AZ132="SI",VLOOKUP('1.DATOS-PROD'!AZ$2,'1.PUNTOS'!$A$1:$B$63,2,0),0)</f>
        <v>0</v>
      </c>
      <c r="AR131" s="138">
        <f>IF('1.DATOS-PROD'!BA132="SI",VLOOKUP('1.DATOS-PROD'!BA$2,'1.PUNTOS'!$A$1:$B$63,2,0),0)</f>
        <v>0</v>
      </c>
      <c r="AS131" s="138">
        <f>IF('1.DATOS-PROD'!BB132="SI",VLOOKUP('1.DATOS-PROD'!BB$2,'1.PUNTOS'!$A$1:$B$63,2,0),0)</f>
        <v>0</v>
      </c>
      <c r="AT131" s="138">
        <f>IF('1.DATOS-PROD'!BC132="SI",VLOOKUP('1.DATOS-PROD'!BC$2,'1.PUNTOS'!$A$1:$B$63,2,0),0)</f>
        <v>0</v>
      </c>
      <c r="AU131" s="138">
        <f>IF('1.DATOS-PROD'!BD132="SI",VLOOKUP('1.DATOS-PROD'!BD$2,'1.PUNTOS'!$A$1:$B$63,2,0),0)</f>
        <v>0</v>
      </c>
      <c r="AV131" s="138">
        <f>IF('1.DATOS-PROD'!BE132="SI",VLOOKUP('1.DATOS-PROD'!BE$2,'1.PUNTOS'!$A$1:$B$63,2,0),0)</f>
        <v>0</v>
      </c>
      <c r="AW131" s="138">
        <f>IF('1.DATOS-PROD'!BF132="SI",VLOOKUP('1.DATOS-PROD'!BF$2,'1.PUNTOS'!$A$1:$B$63,2,0),0)</f>
        <v>0</v>
      </c>
      <c r="AX131" s="138">
        <f>IF('1.DATOS-PROD'!BG132="SI",VLOOKUP('1.DATOS-PROD'!BG$2,'1.PUNTOS'!$A$1:$B$63,2,0),0)</f>
        <v>0</v>
      </c>
      <c r="AY131" s="138">
        <f>IF('1.DATOS-PROD'!BH132="SI",VLOOKUP('1.DATOS-PROD'!BH$2,'1.PUNTOS'!$A$1:$B$63,2,0),0)</f>
        <v>0</v>
      </c>
      <c r="AZ131" s="138">
        <f>IF('1.DATOS-PROD'!BI132="SI",VLOOKUP('1.DATOS-PROD'!BI$2,'1.PUNTOS'!$A$1:$B$63,2,0),0)</f>
        <v>0</v>
      </c>
      <c r="BA131" s="138">
        <f>IF('1.DATOS-PROD'!BJ132="SI",VLOOKUP('1.DATOS-PROD'!BJ$2,'1.PUNTOS'!$A$1:$B$63,2,0),0)</f>
        <v>0</v>
      </c>
      <c r="BB131" s="138">
        <f>IF('1.DATOS-PROD'!BK132="SI",VLOOKUP('1.DATOS-PROD'!BK$2,'1.PUNTOS'!$A$1:$B$63,2,0),0)</f>
        <v>0</v>
      </c>
      <c r="BC131" s="138">
        <f>IF('1.DATOS-PROD'!BL132="SI",VLOOKUP('1.DATOS-PROD'!BL$2,'1.PUNTOS'!$A$1:$B$63,2,0),0)</f>
        <v>0</v>
      </c>
      <c r="BD131" s="138">
        <f>IF('1.DATOS-PROD'!BM132="SI",VLOOKUP('1.DATOS-PROD'!BM$2,'1.PUNTOS'!$A$1:$B$63,2,0),0)</f>
        <v>0</v>
      </c>
      <c r="BE131" s="138">
        <f>IF('1.DATOS-PROD'!BN132="SI",VLOOKUP('1.DATOS-PROD'!BN$2,'1.PUNTOS'!$A$1:$B$63,2,0),0)</f>
        <v>0</v>
      </c>
      <c r="BF131" s="138">
        <f>IF('1.DATOS-PROD'!BO132="SI",VLOOKUP('1.DATOS-PROD'!BO$2,'1.PUNTOS'!$A$1:$B$63,2,0),0)</f>
        <v>0</v>
      </c>
      <c r="BG131" s="138">
        <f>IF('1.DATOS-PROD'!BP132="SI",VLOOKUP('1.DATOS-PROD'!BP$2,'1.PUNTOS'!$A$1:$B$63,2,0),0)</f>
        <v>0</v>
      </c>
      <c r="BH131" s="138">
        <f>IF('1.DATOS-PROD'!BQ132="SI",VLOOKUP('1.DATOS-PROD'!BQ$2,'1.PUNTOS'!$A$1:$B$63,2,0),0)</f>
        <v>0</v>
      </c>
      <c r="BI131" s="138">
        <f>IF('1.DATOS-PROD'!BR132="SI",VLOOKUP('1.DATOS-PROD'!BR$2,'1.PUNTOS'!$A$1:$B$63,2,0),0)</f>
        <v>0</v>
      </c>
      <c r="BJ131" s="138">
        <f>IF('1.DATOS-PROD'!BS132="SI",VLOOKUP('1.DATOS-PROD'!BS$2,'1.PUNTOS'!$A$1:$B$63,2,0),0)</f>
        <v>0</v>
      </c>
      <c r="BK131" s="138">
        <f>IF('1.DATOS-PROD'!BT132="SI",VLOOKUP('1.DATOS-PROD'!BT$2,'1.PUNTOS'!$A$1:$B$63,2,0),0)</f>
        <v>0</v>
      </c>
    </row>
    <row r="132" spans="1:63" x14ac:dyDescent="0.25">
      <c r="A132">
        <f>'0.Consolidado general'!$A133</f>
        <v>0</v>
      </c>
      <c r="B132" s="138">
        <f>IF('1.DATOS-PROD'!K133="SI",VLOOKUP('1.DATOS-PROD'!K$2,'1.PUNTOS'!$A$1:$B$63,2,0),0)</f>
        <v>0</v>
      </c>
      <c r="C132" s="138">
        <f>IF('1.DATOS-PROD'!L133="SI",VLOOKUP('1.DATOS-PROD'!L$2,'1.PUNTOS'!$A$1:$B$63,2,0),0)</f>
        <v>0</v>
      </c>
      <c r="D132" s="138">
        <f>IF('1.DATOS-PROD'!M133="SI",VLOOKUP('1.DATOS-PROD'!M$2,'1.PUNTOS'!$A$1:$B$63,2,0),0)</f>
        <v>0</v>
      </c>
      <c r="E132" s="138">
        <f>IF('1.DATOS-PROD'!N133="SI",VLOOKUP('1.DATOS-PROD'!N$2,'1.PUNTOS'!$A$1:$B$63,2,0),0)</f>
        <v>0</v>
      </c>
      <c r="F132" s="138">
        <f>IF('1.DATOS-PROD'!O133="SI",VLOOKUP('1.DATOS-PROD'!O$2,'1.PUNTOS'!$A$1:$B$63,2,0),0)</f>
        <v>0</v>
      </c>
      <c r="G132" s="138">
        <f>IF('1.DATOS-PROD'!P133="SI",VLOOKUP('1.DATOS-PROD'!P$2,'1.PUNTOS'!$A$1:$B$63,2,0),0)</f>
        <v>0</v>
      </c>
      <c r="H132" s="138">
        <f>IF('1.DATOS-PROD'!Q133="SI",VLOOKUP('1.DATOS-PROD'!Q$2,'1.PUNTOS'!$A$1:$B$63,2,0),0)</f>
        <v>0</v>
      </c>
      <c r="I132" s="138">
        <f>IF('1.DATOS-PROD'!R133="SI",VLOOKUP('1.DATOS-PROD'!R$2,'1.PUNTOS'!$A$1:$B$63,2,0),0)</f>
        <v>0</v>
      </c>
      <c r="J132" s="138">
        <f>IF('1.DATOS-PROD'!S133="SI",VLOOKUP('1.DATOS-PROD'!S$2,'1.PUNTOS'!$A$1:$B$63,2,0),0)</f>
        <v>0</v>
      </c>
      <c r="K132" s="138">
        <f>IF('1.DATOS-PROD'!T133="SI",VLOOKUP('1.DATOS-PROD'!T$2,'1.PUNTOS'!$A$1:$B$63,2,0),0)</f>
        <v>0</v>
      </c>
      <c r="L132" s="138">
        <f>IF('1.DATOS-PROD'!U133="SI",VLOOKUP('1.DATOS-PROD'!U$2,'1.PUNTOS'!$A$1:$B$63,2,0),0)</f>
        <v>0</v>
      </c>
      <c r="M132" s="138">
        <f>IF('1.DATOS-PROD'!V133="SI",VLOOKUP('1.DATOS-PROD'!V$2,'1.PUNTOS'!$A$1:$B$63,2,0),0)</f>
        <v>0</v>
      </c>
      <c r="N132" s="138">
        <f>IF('1.DATOS-PROD'!W133="SI",VLOOKUP('1.DATOS-PROD'!W$2,'1.PUNTOS'!$A$1:$B$63,2,0),0)</f>
        <v>0</v>
      </c>
      <c r="O132" s="138">
        <f>IF('1.DATOS-PROD'!X133="SI",VLOOKUP('1.DATOS-PROD'!X$2,'1.PUNTOS'!$A$1:$B$63,2,0),0)</f>
        <v>0</v>
      </c>
      <c r="P132" s="138">
        <f>IF('1.DATOS-PROD'!Y133="SI",VLOOKUP('1.DATOS-PROD'!Y$2,'1.PUNTOS'!$A$1:$B$63,2,0),0)</f>
        <v>0</v>
      </c>
      <c r="Q132" s="138">
        <f>IF('1.DATOS-PROD'!Z133="SI",VLOOKUP('1.DATOS-PROD'!Z$2,'1.PUNTOS'!$A$1:$B$63,2,0),0)</f>
        <v>0</v>
      </c>
      <c r="R132" s="138">
        <f>IF('1.DATOS-PROD'!AA133="SI",VLOOKUP('1.DATOS-PROD'!AA$2,'1.PUNTOS'!$A$1:$B$63,2,0),0)</f>
        <v>0</v>
      </c>
      <c r="S132" s="138">
        <f>IF('1.DATOS-PROD'!AB133="SI",VLOOKUP('1.DATOS-PROD'!AB$2,'1.PUNTOS'!$A$1:$B$63,2,0),0)</f>
        <v>0</v>
      </c>
      <c r="T132" s="138">
        <f>IF('1.DATOS-PROD'!AC133="SI",VLOOKUP('1.DATOS-PROD'!AC$2,'1.PUNTOS'!$A$1:$B$63,2,0),0)</f>
        <v>0</v>
      </c>
      <c r="U132" s="138">
        <f>IF('1.DATOS-PROD'!AD133="SI",VLOOKUP('1.DATOS-PROD'!AD$2,'1.PUNTOS'!$A$1:$B$63,2,0),0)</f>
        <v>0</v>
      </c>
      <c r="V132" s="138">
        <f>IF('1.DATOS-PROD'!AE133="SI",VLOOKUP('1.DATOS-PROD'!AE$2,'1.PUNTOS'!$A$1:$B$63,2,0),0)</f>
        <v>0</v>
      </c>
      <c r="W132" s="138">
        <f>IF('1.DATOS-PROD'!AF133="SI",VLOOKUP('1.DATOS-PROD'!AF$2,'1.PUNTOS'!$A$1:$B$63,2,0),0)</f>
        <v>0</v>
      </c>
      <c r="X132" s="138">
        <f>IF('1.DATOS-PROD'!AG133="SI",VLOOKUP('1.DATOS-PROD'!AG$2,'1.PUNTOS'!$A$1:$B$63,2,0),0)</f>
        <v>0</v>
      </c>
      <c r="Y132" s="138">
        <f>IF('1.DATOS-PROD'!AH133="SI",VLOOKUP('1.DATOS-PROD'!AH$2,'1.PUNTOS'!$A$1:$B$63,2,0),0)</f>
        <v>0</v>
      </c>
      <c r="Z132" s="138">
        <f>IF('1.DATOS-PROD'!AI133="SI",VLOOKUP('1.DATOS-PROD'!AI$2,'1.PUNTOS'!$A$1:$B$63,2,0),0)</f>
        <v>0</v>
      </c>
      <c r="AA132" s="138">
        <f>IF('1.DATOS-PROD'!AJ133="SI",VLOOKUP('1.DATOS-PROD'!AJ$2,'1.PUNTOS'!$A$1:$B$63,2,0),0)</f>
        <v>0</v>
      </c>
      <c r="AB132" s="138">
        <f>IF('1.DATOS-PROD'!AK133="SI",VLOOKUP('1.DATOS-PROD'!AK$2,'1.PUNTOS'!$A$1:$B$63,2,0),0)</f>
        <v>0</v>
      </c>
      <c r="AC132" s="138">
        <f>IF('1.DATOS-PROD'!AL133="SI",VLOOKUP('1.DATOS-PROD'!AL$2,'1.PUNTOS'!$A$1:$B$63,2,0),0)</f>
        <v>0</v>
      </c>
      <c r="AD132" s="138">
        <f>IF('1.DATOS-PROD'!AM133="SI",VLOOKUP('1.DATOS-PROD'!AM$2,'1.PUNTOS'!$A$1:$B$63,2,0),0)</f>
        <v>0</v>
      </c>
      <c r="AE132" s="138">
        <f>IF('1.DATOS-PROD'!AN133="SI",VLOOKUP('1.DATOS-PROD'!AN$2,'1.PUNTOS'!$A$1:$B$63,2,0),0)</f>
        <v>0</v>
      </c>
      <c r="AF132" s="138">
        <f>IF('1.DATOS-PROD'!AO133="SI",VLOOKUP('1.DATOS-PROD'!AO$2,'1.PUNTOS'!$A$1:$B$63,2,0),0)</f>
        <v>0</v>
      </c>
      <c r="AG132" s="138">
        <f>IF('1.DATOS-PROD'!AP133="SI",VLOOKUP('1.DATOS-PROD'!AP$2,'1.PUNTOS'!$A$1:$B$63,2,0),0)</f>
        <v>0</v>
      </c>
      <c r="AH132" s="138">
        <f>IF('1.DATOS-PROD'!AQ133="SI",VLOOKUP('1.DATOS-PROD'!AQ$2,'1.PUNTOS'!$A$1:$B$63,2,0),0)</f>
        <v>0</v>
      </c>
      <c r="AI132" s="138">
        <f>IF('1.DATOS-PROD'!AR133="SI",VLOOKUP('1.DATOS-PROD'!AR$2,'1.PUNTOS'!$A$1:$B$63,2,0),0)</f>
        <v>0</v>
      </c>
      <c r="AJ132" s="138">
        <f>IF('1.DATOS-PROD'!AS133="SI",VLOOKUP('1.DATOS-PROD'!AS$2,'1.PUNTOS'!$A$1:$B$63,2,0),0)</f>
        <v>0</v>
      </c>
      <c r="AK132" s="138">
        <f>IF('1.DATOS-PROD'!AT133="SI",VLOOKUP('1.DATOS-PROD'!AT$2,'1.PUNTOS'!$A$1:$B$63,2,0),0)</f>
        <v>0</v>
      </c>
      <c r="AL132" s="138">
        <f>IF('1.DATOS-PROD'!AU133="SI",VLOOKUP('1.DATOS-PROD'!AU$2,'1.PUNTOS'!$A$1:$B$63,2,0),0)</f>
        <v>0</v>
      </c>
      <c r="AM132" s="138">
        <f>IF('1.DATOS-PROD'!AV133="SI",VLOOKUP('1.DATOS-PROD'!AV$2,'1.PUNTOS'!$A$1:$B$63,2,0),0)</f>
        <v>0</v>
      </c>
      <c r="AN132" s="138">
        <f>IF('1.DATOS-PROD'!AW133="SI",VLOOKUP('1.DATOS-PROD'!AW$2,'1.PUNTOS'!$A$1:$B$63,2,0),0)</f>
        <v>0</v>
      </c>
      <c r="AO132" s="138">
        <f>IF('1.DATOS-PROD'!AX133="SI",VLOOKUP('1.DATOS-PROD'!AX$2,'1.PUNTOS'!$A$1:$B$63,2,0),0)</f>
        <v>0</v>
      </c>
      <c r="AP132" s="138">
        <f>IF('1.DATOS-PROD'!AY133="SI",VLOOKUP('1.DATOS-PROD'!AY$2,'1.PUNTOS'!$A$1:$B$63,2,0),0)</f>
        <v>0</v>
      </c>
      <c r="AQ132" s="138">
        <f>IF('1.DATOS-PROD'!AZ133="SI",VLOOKUP('1.DATOS-PROD'!AZ$2,'1.PUNTOS'!$A$1:$B$63,2,0),0)</f>
        <v>0</v>
      </c>
      <c r="AR132" s="138">
        <f>IF('1.DATOS-PROD'!BA133="SI",VLOOKUP('1.DATOS-PROD'!BA$2,'1.PUNTOS'!$A$1:$B$63,2,0),0)</f>
        <v>0</v>
      </c>
      <c r="AS132" s="138">
        <f>IF('1.DATOS-PROD'!BB133="SI",VLOOKUP('1.DATOS-PROD'!BB$2,'1.PUNTOS'!$A$1:$B$63,2,0),0)</f>
        <v>0</v>
      </c>
      <c r="AT132" s="138">
        <f>IF('1.DATOS-PROD'!BC133="SI",VLOOKUP('1.DATOS-PROD'!BC$2,'1.PUNTOS'!$A$1:$B$63,2,0),0)</f>
        <v>0</v>
      </c>
      <c r="AU132" s="138">
        <f>IF('1.DATOS-PROD'!BD133="SI",VLOOKUP('1.DATOS-PROD'!BD$2,'1.PUNTOS'!$A$1:$B$63,2,0),0)</f>
        <v>0</v>
      </c>
      <c r="AV132" s="138">
        <f>IF('1.DATOS-PROD'!BE133="SI",VLOOKUP('1.DATOS-PROD'!BE$2,'1.PUNTOS'!$A$1:$B$63,2,0),0)</f>
        <v>0</v>
      </c>
      <c r="AW132" s="138">
        <f>IF('1.DATOS-PROD'!BF133="SI",VLOOKUP('1.DATOS-PROD'!BF$2,'1.PUNTOS'!$A$1:$B$63,2,0),0)</f>
        <v>0</v>
      </c>
      <c r="AX132" s="138">
        <f>IF('1.DATOS-PROD'!BG133="SI",VLOOKUP('1.DATOS-PROD'!BG$2,'1.PUNTOS'!$A$1:$B$63,2,0),0)</f>
        <v>0</v>
      </c>
      <c r="AY132" s="138">
        <f>IF('1.DATOS-PROD'!BH133="SI",VLOOKUP('1.DATOS-PROD'!BH$2,'1.PUNTOS'!$A$1:$B$63,2,0),0)</f>
        <v>0</v>
      </c>
      <c r="AZ132" s="138">
        <f>IF('1.DATOS-PROD'!BI133="SI",VLOOKUP('1.DATOS-PROD'!BI$2,'1.PUNTOS'!$A$1:$B$63,2,0),0)</f>
        <v>0</v>
      </c>
      <c r="BA132" s="138">
        <f>IF('1.DATOS-PROD'!BJ133="SI",VLOOKUP('1.DATOS-PROD'!BJ$2,'1.PUNTOS'!$A$1:$B$63,2,0),0)</f>
        <v>0</v>
      </c>
      <c r="BB132" s="138">
        <f>IF('1.DATOS-PROD'!BK133="SI",VLOOKUP('1.DATOS-PROD'!BK$2,'1.PUNTOS'!$A$1:$B$63,2,0),0)</f>
        <v>0</v>
      </c>
      <c r="BC132" s="138">
        <f>IF('1.DATOS-PROD'!BL133="SI",VLOOKUP('1.DATOS-PROD'!BL$2,'1.PUNTOS'!$A$1:$B$63,2,0),0)</f>
        <v>0</v>
      </c>
      <c r="BD132" s="138">
        <f>IF('1.DATOS-PROD'!BM133="SI",VLOOKUP('1.DATOS-PROD'!BM$2,'1.PUNTOS'!$A$1:$B$63,2,0),0)</f>
        <v>0</v>
      </c>
      <c r="BE132" s="138">
        <f>IF('1.DATOS-PROD'!BN133="SI",VLOOKUP('1.DATOS-PROD'!BN$2,'1.PUNTOS'!$A$1:$B$63,2,0),0)</f>
        <v>0</v>
      </c>
      <c r="BF132" s="138">
        <f>IF('1.DATOS-PROD'!BO133="SI",VLOOKUP('1.DATOS-PROD'!BO$2,'1.PUNTOS'!$A$1:$B$63,2,0),0)</f>
        <v>0</v>
      </c>
      <c r="BG132" s="138">
        <f>IF('1.DATOS-PROD'!BP133="SI",VLOOKUP('1.DATOS-PROD'!BP$2,'1.PUNTOS'!$A$1:$B$63,2,0),0)</f>
        <v>0</v>
      </c>
      <c r="BH132" s="138">
        <f>IF('1.DATOS-PROD'!BQ133="SI",VLOOKUP('1.DATOS-PROD'!BQ$2,'1.PUNTOS'!$A$1:$B$63,2,0),0)</f>
        <v>0</v>
      </c>
      <c r="BI132" s="138">
        <f>IF('1.DATOS-PROD'!BR133="SI",VLOOKUP('1.DATOS-PROD'!BR$2,'1.PUNTOS'!$A$1:$B$63,2,0),0)</f>
        <v>0</v>
      </c>
      <c r="BJ132" s="138">
        <f>IF('1.DATOS-PROD'!BS133="SI",VLOOKUP('1.DATOS-PROD'!BS$2,'1.PUNTOS'!$A$1:$B$63,2,0),0)</f>
        <v>0</v>
      </c>
      <c r="BK132" s="138">
        <f>IF('1.DATOS-PROD'!BT133="SI",VLOOKUP('1.DATOS-PROD'!BT$2,'1.PUNTOS'!$A$1:$B$63,2,0),0)</f>
        <v>0</v>
      </c>
    </row>
    <row r="133" spans="1:63" x14ac:dyDescent="0.25">
      <c r="A133">
        <f>'0.Consolidado general'!$A134</f>
        <v>0</v>
      </c>
      <c r="B133" s="138">
        <f>IF('1.DATOS-PROD'!K134="SI",VLOOKUP('1.DATOS-PROD'!K$2,'1.PUNTOS'!$A$1:$B$63,2,0),0)</f>
        <v>0</v>
      </c>
      <c r="C133" s="138">
        <f>IF('1.DATOS-PROD'!L134="SI",VLOOKUP('1.DATOS-PROD'!L$2,'1.PUNTOS'!$A$1:$B$63,2,0),0)</f>
        <v>0</v>
      </c>
      <c r="D133" s="138">
        <f>IF('1.DATOS-PROD'!M134="SI",VLOOKUP('1.DATOS-PROD'!M$2,'1.PUNTOS'!$A$1:$B$63,2,0),0)</f>
        <v>0</v>
      </c>
      <c r="E133" s="138">
        <f>IF('1.DATOS-PROD'!N134="SI",VLOOKUP('1.DATOS-PROD'!N$2,'1.PUNTOS'!$A$1:$B$63,2,0),0)</f>
        <v>0</v>
      </c>
      <c r="F133" s="138">
        <f>IF('1.DATOS-PROD'!O134="SI",VLOOKUP('1.DATOS-PROD'!O$2,'1.PUNTOS'!$A$1:$B$63,2,0),0)</f>
        <v>0</v>
      </c>
      <c r="G133" s="138">
        <f>IF('1.DATOS-PROD'!P134="SI",VLOOKUP('1.DATOS-PROD'!P$2,'1.PUNTOS'!$A$1:$B$63,2,0),0)</f>
        <v>0</v>
      </c>
      <c r="H133" s="138">
        <f>IF('1.DATOS-PROD'!Q134="SI",VLOOKUP('1.DATOS-PROD'!Q$2,'1.PUNTOS'!$A$1:$B$63,2,0),0)</f>
        <v>0</v>
      </c>
      <c r="I133" s="138">
        <f>IF('1.DATOS-PROD'!R134="SI",VLOOKUP('1.DATOS-PROD'!R$2,'1.PUNTOS'!$A$1:$B$63,2,0),0)</f>
        <v>0</v>
      </c>
      <c r="J133" s="138">
        <f>IF('1.DATOS-PROD'!S134="SI",VLOOKUP('1.DATOS-PROD'!S$2,'1.PUNTOS'!$A$1:$B$63,2,0),0)</f>
        <v>0</v>
      </c>
      <c r="K133" s="138">
        <f>IF('1.DATOS-PROD'!T134="SI",VLOOKUP('1.DATOS-PROD'!T$2,'1.PUNTOS'!$A$1:$B$63,2,0),0)</f>
        <v>0</v>
      </c>
      <c r="L133" s="138">
        <f>IF('1.DATOS-PROD'!U134="SI",VLOOKUP('1.DATOS-PROD'!U$2,'1.PUNTOS'!$A$1:$B$63,2,0),0)</f>
        <v>0</v>
      </c>
      <c r="M133" s="138">
        <f>IF('1.DATOS-PROD'!V134="SI",VLOOKUP('1.DATOS-PROD'!V$2,'1.PUNTOS'!$A$1:$B$63,2,0),0)</f>
        <v>0</v>
      </c>
      <c r="N133" s="138">
        <f>IF('1.DATOS-PROD'!W134="SI",VLOOKUP('1.DATOS-PROD'!W$2,'1.PUNTOS'!$A$1:$B$63,2,0),0)</f>
        <v>0</v>
      </c>
      <c r="O133" s="138">
        <f>IF('1.DATOS-PROD'!X134="SI",VLOOKUP('1.DATOS-PROD'!X$2,'1.PUNTOS'!$A$1:$B$63,2,0),0)</f>
        <v>0</v>
      </c>
      <c r="P133" s="138">
        <f>IF('1.DATOS-PROD'!Y134="SI",VLOOKUP('1.DATOS-PROD'!Y$2,'1.PUNTOS'!$A$1:$B$63,2,0),0)</f>
        <v>0</v>
      </c>
      <c r="Q133" s="138">
        <f>IF('1.DATOS-PROD'!Z134="SI",VLOOKUP('1.DATOS-PROD'!Z$2,'1.PUNTOS'!$A$1:$B$63,2,0),0)</f>
        <v>0</v>
      </c>
      <c r="R133" s="138">
        <f>IF('1.DATOS-PROD'!AA134="SI",VLOOKUP('1.DATOS-PROD'!AA$2,'1.PUNTOS'!$A$1:$B$63,2,0),0)</f>
        <v>0</v>
      </c>
      <c r="S133" s="138">
        <f>IF('1.DATOS-PROD'!AB134="SI",VLOOKUP('1.DATOS-PROD'!AB$2,'1.PUNTOS'!$A$1:$B$63,2,0),0)</f>
        <v>0</v>
      </c>
      <c r="T133" s="138">
        <f>IF('1.DATOS-PROD'!AC134="SI",VLOOKUP('1.DATOS-PROD'!AC$2,'1.PUNTOS'!$A$1:$B$63,2,0),0)</f>
        <v>0</v>
      </c>
      <c r="U133" s="138">
        <f>IF('1.DATOS-PROD'!AD134="SI",VLOOKUP('1.DATOS-PROD'!AD$2,'1.PUNTOS'!$A$1:$B$63,2,0),0)</f>
        <v>0</v>
      </c>
      <c r="V133" s="138">
        <f>IF('1.DATOS-PROD'!AE134="SI",VLOOKUP('1.DATOS-PROD'!AE$2,'1.PUNTOS'!$A$1:$B$63,2,0),0)</f>
        <v>0</v>
      </c>
      <c r="W133" s="138">
        <f>IF('1.DATOS-PROD'!AF134="SI",VLOOKUP('1.DATOS-PROD'!AF$2,'1.PUNTOS'!$A$1:$B$63,2,0),0)</f>
        <v>0</v>
      </c>
      <c r="X133" s="138">
        <f>IF('1.DATOS-PROD'!AG134="SI",VLOOKUP('1.DATOS-PROD'!AG$2,'1.PUNTOS'!$A$1:$B$63,2,0),0)</f>
        <v>0</v>
      </c>
      <c r="Y133" s="138">
        <f>IF('1.DATOS-PROD'!AH134="SI",VLOOKUP('1.DATOS-PROD'!AH$2,'1.PUNTOS'!$A$1:$B$63,2,0),0)</f>
        <v>0</v>
      </c>
      <c r="Z133" s="138">
        <f>IF('1.DATOS-PROD'!AI134="SI",VLOOKUP('1.DATOS-PROD'!AI$2,'1.PUNTOS'!$A$1:$B$63,2,0),0)</f>
        <v>0</v>
      </c>
      <c r="AA133" s="138">
        <f>IF('1.DATOS-PROD'!AJ134="SI",VLOOKUP('1.DATOS-PROD'!AJ$2,'1.PUNTOS'!$A$1:$B$63,2,0),0)</f>
        <v>0</v>
      </c>
      <c r="AB133" s="138">
        <f>IF('1.DATOS-PROD'!AK134="SI",VLOOKUP('1.DATOS-PROD'!AK$2,'1.PUNTOS'!$A$1:$B$63,2,0),0)</f>
        <v>0</v>
      </c>
      <c r="AC133" s="138">
        <f>IF('1.DATOS-PROD'!AL134="SI",VLOOKUP('1.DATOS-PROD'!AL$2,'1.PUNTOS'!$A$1:$B$63,2,0),0)</f>
        <v>0</v>
      </c>
      <c r="AD133" s="138">
        <f>IF('1.DATOS-PROD'!AM134="SI",VLOOKUP('1.DATOS-PROD'!AM$2,'1.PUNTOS'!$A$1:$B$63,2,0),0)</f>
        <v>0</v>
      </c>
      <c r="AE133" s="138">
        <f>IF('1.DATOS-PROD'!AN134="SI",VLOOKUP('1.DATOS-PROD'!AN$2,'1.PUNTOS'!$A$1:$B$63,2,0),0)</f>
        <v>0</v>
      </c>
      <c r="AF133" s="138">
        <f>IF('1.DATOS-PROD'!AO134="SI",VLOOKUP('1.DATOS-PROD'!AO$2,'1.PUNTOS'!$A$1:$B$63,2,0),0)</f>
        <v>0</v>
      </c>
      <c r="AG133" s="138">
        <f>IF('1.DATOS-PROD'!AP134="SI",VLOOKUP('1.DATOS-PROD'!AP$2,'1.PUNTOS'!$A$1:$B$63,2,0),0)</f>
        <v>0</v>
      </c>
      <c r="AH133" s="138">
        <f>IF('1.DATOS-PROD'!AQ134="SI",VLOOKUP('1.DATOS-PROD'!AQ$2,'1.PUNTOS'!$A$1:$B$63,2,0),0)</f>
        <v>0</v>
      </c>
      <c r="AI133" s="138">
        <f>IF('1.DATOS-PROD'!AR134="SI",VLOOKUP('1.DATOS-PROD'!AR$2,'1.PUNTOS'!$A$1:$B$63,2,0),0)</f>
        <v>0</v>
      </c>
      <c r="AJ133" s="138">
        <f>IF('1.DATOS-PROD'!AS134="SI",VLOOKUP('1.DATOS-PROD'!AS$2,'1.PUNTOS'!$A$1:$B$63,2,0),0)</f>
        <v>0</v>
      </c>
      <c r="AK133" s="138">
        <f>IF('1.DATOS-PROD'!AT134="SI",VLOOKUP('1.DATOS-PROD'!AT$2,'1.PUNTOS'!$A$1:$B$63,2,0),0)</f>
        <v>0</v>
      </c>
      <c r="AL133" s="138">
        <f>IF('1.DATOS-PROD'!AU134="SI",VLOOKUP('1.DATOS-PROD'!AU$2,'1.PUNTOS'!$A$1:$B$63,2,0),0)</f>
        <v>0</v>
      </c>
      <c r="AM133" s="138">
        <f>IF('1.DATOS-PROD'!AV134="SI",VLOOKUP('1.DATOS-PROD'!AV$2,'1.PUNTOS'!$A$1:$B$63,2,0),0)</f>
        <v>0</v>
      </c>
      <c r="AN133" s="138">
        <f>IF('1.DATOS-PROD'!AW134="SI",VLOOKUP('1.DATOS-PROD'!AW$2,'1.PUNTOS'!$A$1:$B$63,2,0),0)</f>
        <v>0</v>
      </c>
      <c r="AO133" s="138">
        <f>IF('1.DATOS-PROD'!AX134="SI",VLOOKUP('1.DATOS-PROD'!AX$2,'1.PUNTOS'!$A$1:$B$63,2,0),0)</f>
        <v>0</v>
      </c>
      <c r="AP133" s="138">
        <f>IF('1.DATOS-PROD'!AY134="SI",VLOOKUP('1.DATOS-PROD'!AY$2,'1.PUNTOS'!$A$1:$B$63,2,0),0)</f>
        <v>0</v>
      </c>
      <c r="AQ133" s="138">
        <f>IF('1.DATOS-PROD'!AZ134="SI",VLOOKUP('1.DATOS-PROD'!AZ$2,'1.PUNTOS'!$A$1:$B$63,2,0),0)</f>
        <v>0</v>
      </c>
      <c r="AR133" s="138">
        <f>IF('1.DATOS-PROD'!BA134="SI",VLOOKUP('1.DATOS-PROD'!BA$2,'1.PUNTOS'!$A$1:$B$63,2,0),0)</f>
        <v>0</v>
      </c>
      <c r="AS133" s="138">
        <f>IF('1.DATOS-PROD'!BB134="SI",VLOOKUP('1.DATOS-PROD'!BB$2,'1.PUNTOS'!$A$1:$B$63,2,0),0)</f>
        <v>0</v>
      </c>
      <c r="AT133" s="138">
        <f>IF('1.DATOS-PROD'!BC134="SI",VLOOKUP('1.DATOS-PROD'!BC$2,'1.PUNTOS'!$A$1:$B$63,2,0),0)</f>
        <v>0</v>
      </c>
      <c r="AU133" s="138">
        <f>IF('1.DATOS-PROD'!BD134="SI",VLOOKUP('1.DATOS-PROD'!BD$2,'1.PUNTOS'!$A$1:$B$63,2,0),0)</f>
        <v>0</v>
      </c>
      <c r="AV133" s="138">
        <f>IF('1.DATOS-PROD'!BE134="SI",VLOOKUP('1.DATOS-PROD'!BE$2,'1.PUNTOS'!$A$1:$B$63,2,0),0)</f>
        <v>0</v>
      </c>
      <c r="AW133" s="138">
        <f>IF('1.DATOS-PROD'!BF134="SI",VLOOKUP('1.DATOS-PROD'!BF$2,'1.PUNTOS'!$A$1:$B$63,2,0),0)</f>
        <v>0</v>
      </c>
      <c r="AX133" s="138">
        <f>IF('1.DATOS-PROD'!BG134="SI",VLOOKUP('1.DATOS-PROD'!BG$2,'1.PUNTOS'!$A$1:$B$63,2,0),0)</f>
        <v>0</v>
      </c>
      <c r="AY133" s="138">
        <f>IF('1.DATOS-PROD'!BH134="SI",VLOOKUP('1.DATOS-PROD'!BH$2,'1.PUNTOS'!$A$1:$B$63,2,0),0)</f>
        <v>0</v>
      </c>
      <c r="AZ133" s="138">
        <f>IF('1.DATOS-PROD'!BI134="SI",VLOOKUP('1.DATOS-PROD'!BI$2,'1.PUNTOS'!$A$1:$B$63,2,0),0)</f>
        <v>0</v>
      </c>
      <c r="BA133" s="138">
        <f>IF('1.DATOS-PROD'!BJ134="SI",VLOOKUP('1.DATOS-PROD'!BJ$2,'1.PUNTOS'!$A$1:$B$63,2,0),0)</f>
        <v>0</v>
      </c>
      <c r="BB133" s="138">
        <f>IF('1.DATOS-PROD'!BK134="SI",VLOOKUP('1.DATOS-PROD'!BK$2,'1.PUNTOS'!$A$1:$B$63,2,0),0)</f>
        <v>0</v>
      </c>
      <c r="BC133" s="138">
        <f>IF('1.DATOS-PROD'!BL134="SI",VLOOKUP('1.DATOS-PROD'!BL$2,'1.PUNTOS'!$A$1:$B$63,2,0),0)</f>
        <v>0</v>
      </c>
      <c r="BD133" s="138">
        <f>IF('1.DATOS-PROD'!BM134="SI",VLOOKUP('1.DATOS-PROD'!BM$2,'1.PUNTOS'!$A$1:$B$63,2,0),0)</f>
        <v>0</v>
      </c>
      <c r="BE133" s="138">
        <f>IF('1.DATOS-PROD'!BN134="SI",VLOOKUP('1.DATOS-PROD'!BN$2,'1.PUNTOS'!$A$1:$B$63,2,0),0)</f>
        <v>0</v>
      </c>
      <c r="BF133" s="138">
        <f>IF('1.DATOS-PROD'!BO134="SI",VLOOKUP('1.DATOS-PROD'!BO$2,'1.PUNTOS'!$A$1:$B$63,2,0),0)</f>
        <v>0</v>
      </c>
      <c r="BG133" s="138">
        <f>IF('1.DATOS-PROD'!BP134="SI",VLOOKUP('1.DATOS-PROD'!BP$2,'1.PUNTOS'!$A$1:$B$63,2,0),0)</f>
        <v>0</v>
      </c>
      <c r="BH133" s="138">
        <f>IF('1.DATOS-PROD'!BQ134="SI",VLOOKUP('1.DATOS-PROD'!BQ$2,'1.PUNTOS'!$A$1:$B$63,2,0),0)</f>
        <v>0</v>
      </c>
      <c r="BI133" s="138">
        <f>IF('1.DATOS-PROD'!BR134="SI",VLOOKUP('1.DATOS-PROD'!BR$2,'1.PUNTOS'!$A$1:$B$63,2,0),0)</f>
        <v>0</v>
      </c>
      <c r="BJ133" s="138">
        <f>IF('1.DATOS-PROD'!BS134="SI",VLOOKUP('1.DATOS-PROD'!BS$2,'1.PUNTOS'!$A$1:$B$63,2,0),0)</f>
        <v>0</v>
      </c>
      <c r="BK133" s="138">
        <f>IF('1.DATOS-PROD'!BT134="SI",VLOOKUP('1.DATOS-PROD'!BT$2,'1.PUNTOS'!$A$1:$B$63,2,0),0)</f>
        <v>0</v>
      </c>
    </row>
    <row r="134" spans="1:63" x14ac:dyDescent="0.25">
      <c r="A134">
        <f>'0.Consolidado general'!$A135</f>
        <v>0</v>
      </c>
      <c r="B134" s="138">
        <f>IF('1.DATOS-PROD'!K135="SI",VLOOKUP('1.DATOS-PROD'!K$2,'1.PUNTOS'!$A$1:$B$63,2,0),0)</f>
        <v>0</v>
      </c>
      <c r="C134" s="138">
        <f>IF('1.DATOS-PROD'!L135="SI",VLOOKUP('1.DATOS-PROD'!L$2,'1.PUNTOS'!$A$1:$B$63,2,0),0)</f>
        <v>0</v>
      </c>
      <c r="D134" s="138">
        <f>IF('1.DATOS-PROD'!M135="SI",VLOOKUP('1.DATOS-PROD'!M$2,'1.PUNTOS'!$A$1:$B$63,2,0),0)</f>
        <v>0</v>
      </c>
      <c r="E134" s="138">
        <f>IF('1.DATOS-PROD'!N135="SI",VLOOKUP('1.DATOS-PROD'!N$2,'1.PUNTOS'!$A$1:$B$63,2,0),0)</f>
        <v>0</v>
      </c>
      <c r="F134" s="138">
        <f>IF('1.DATOS-PROD'!O135="SI",VLOOKUP('1.DATOS-PROD'!O$2,'1.PUNTOS'!$A$1:$B$63,2,0),0)</f>
        <v>0</v>
      </c>
      <c r="G134" s="138">
        <f>IF('1.DATOS-PROD'!P135="SI",VLOOKUP('1.DATOS-PROD'!P$2,'1.PUNTOS'!$A$1:$B$63,2,0),0)</f>
        <v>0</v>
      </c>
      <c r="H134" s="138">
        <f>IF('1.DATOS-PROD'!Q135="SI",VLOOKUP('1.DATOS-PROD'!Q$2,'1.PUNTOS'!$A$1:$B$63,2,0),0)</f>
        <v>0</v>
      </c>
      <c r="I134" s="138">
        <f>IF('1.DATOS-PROD'!R135="SI",VLOOKUP('1.DATOS-PROD'!R$2,'1.PUNTOS'!$A$1:$B$63,2,0),0)</f>
        <v>0</v>
      </c>
      <c r="J134" s="138">
        <f>IF('1.DATOS-PROD'!S135="SI",VLOOKUP('1.DATOS-PROD'!S$2,'1.PUNTOS'!$A$1:$B$63,2,0),0)</f>
        <v>0</v>
      </c>
      <c r="K134" s="138">
        <f>IF('1.DATOS-PROD'!T135="SI",VLOOKUP('1.DATOS-PROD'!T$2,'1.PUNTOS'!$A$1:$B$63,2,0),0)</f>
        <v>0</v>
      </c>
      <c r="L134" s="138">
        <f>IF('1.DATOS-PROD'!U135="SI",VLOOKUP('1.DATOS-PROD'!U$2,'1.PUNTOS'!$A$1:$B$63,2,0),0)</f>
        <v>0</v>
      </c>
      <c r="M134" s="138">
        <f>IF('1.DATOS-PROD'!V135="SI",VLOOKUP('1.DATOS-PROD'!V$2,'1.PUNTOS'!$A$1:$B$63,2,0),0)</f>
        <v>0</v>
      </c>
      <c r="N134" s="138">
        <f>IF('1.DATOS-PROD'!W135="SI",VLOOKUP('1.DATOS-PROD'!W$2,'1.PUNTOS'!$A$1:$B$63,2,0),0)</f>
        <v>0</v>
      </c>
      <c r="O134" s="138">
        <f>IF('1.DATOS-PROD'!X135="SI",VLOOKUP('1.DATOS-PROD'!X$2,'1.PUNTOS'!$A$1:$B$63,2,0),0)</f>
        <v>0</v>
      </c>
      <c r="P134" s="138">
        <f>IF('1.DATOS-PROD'!Y135="SI",VLOOKUP('1.DATOS-PROD'!Y$2,'1.PUNTOS'!$A$1:$B$63,2,0),0)</f>
        <v>0</v>
      </c>
      <c r="Q134" s="138">
        <f>IF('1.DATOS-PROD'!Z135="SI",VLOOKUP('1.DATOS-PROD'!Z$2,'1.PUNTOS'!$A$1:$B$63,2,0),0)</f>
        <v>0</v>
      </c>
      <c r="R134" s="138">
        <f>IF('1.DATOS-PROD'!AA135="SI",VLOOKUP('1.DATOS-PROD'!AA$2,'1.PUNTOS'!$A$1:$B$63,2,0),0)</f>
        <v>0</v>
      </c>
      <c r="S134" s="138">
        <f>IF('1.DATOS-PROD'!AB135="SI",VLOOKUP('1.DATOS-PROD'!AB$2,'1.PUNTOS'!$A$1:$B$63,2,0),0)</f>
        <v>0</v>
      </c>
      <c r="T134" s="138">
        <f>IF('1.DATOS-PROD'!AC135="SI",VLOOKUP('1.DATOS-PROD'!AC$2,'1.PUNTOS'!$A$1:$B$63,2,0),0)</f>
        <v>0</v>
      </c>
      <c r="U134" s="138">
        <f>IF('1.DATOS-PROD'!AD135="SI",VLOOKUP('1.DATOS-PROD'!AD$2,'1.PUNTOS'!$A$1:$B$63,2,0),0)</f>
        <v>0</v>
      </c>
      <c r="V134" s="138">
        <f>IF('1.DATOS-PROD'!AE135="SI",VLOOKUP('1.DATOS-PROD'!AE$2,'1.PUNTOS'!$A$1:$B$63,2,0),0)</f>
        <v>0</v>
      </c>
      <c r="W134" s="138">
        <f>IF('1.DATOS-PROD'!AF135="SI",VLOOKUP('1.DATOS-PROD'!AF$2,'1.PUNTOS'!$A$1:$B$63,2,0),0)</f>
        <v>0</v>
      </c>
      <c r="X134" s="138">
        <f>IF('1.DATOS-PROD'!AG135="SI",VLOOKUP('1.DATOS-PROD'!AG$2,'1.PUNTOS'!$A$1:$B$63,2,0),0)</f>
        <v>0</v>
      </c>
      <c r="Y134" s="138">
        <f>IF('1.DATOS-PROD'!AH135="SI",VLOOKUP('1.DATOS-PROD'!AH$2,'1.PUNTOS'!$A$1:$B$63,2,0),0)</f>
        <v>0</v>
      </c>
      <c r="Z134" s="138">
        <f>IF('1.DATOS-PROD'!AI135="SI",VLOOKUP('1.DATOS-PROD'!AI$2,'1.PUNTOS'!$A$1:$B$63,2,0),0)</f>
        <v>0</v>
      </c>
      <c r="AA134" s="138">
        <f>IF('1.DATOS-PROD'!AJ135="SI",VLOOKUP('1.DATOS-PROD'!AJ$2,'1.PUNTOS'!$A$1:$B$63,2,0),0)</f>
        <v>0</v>
      </c>
      <c r="AB134" s="138">
        <f>IF('1.DATOS-PROD'!AK135="SI",VLOOKUP('1.DATOS-PROD'!AK$2,'1.PUNTOS'!$A$1:$B$63,2,0),0)</f>
        <v>0</v>
      </c>
      <c r="AC134" s="138">
        <f>IF('1.DATOS-PROD'!AL135="SI",VLOOKUP('1.DATOS-PROD'!AL$2,'1.PUNTOS'!$A$1:$B$63,2,0),0)</f>
        <v>0</v>
      </c>
      <c r="AD134" s="138">
        <f>IF('1.DATOS-PROD'!AM135="SI",VLOOKUP('1.DATOS-PROD'!AM$2,'1.PUNTOS'!$A$1:$B$63,2,0),0)</f>
        <v>0</v>
      </c>
      <c r="AE134" s="138">
        <f>IF('1.DATOS-PROD'!AN135="SI",VLOOKUP('1.DATOS-PROD'!AN$2,'1.PUNTOS'!$A$1:$B$63,2,0),0)</f>
        <v>0</v>
      </c>
      <c r="AF134" s="138">
        <f>IF('1.DATOS-PROD'!AO135="SI",VLOOKUP('1.DATOS-PROD'!AO$2,'1.PUNTOS'!$A$1:$B$63,2,0),0)</f>
        <v>0</v>
      </c>
      <c r="AG134" s="138">
        <f>IF('1.DATOS-PROD'!AP135="SI",VLOOKUP('1.DATOS-PROD'!AP$2,'1.PUNTOS'!$A$1:$B$63,2,0),0)</f>
        <v>0</v>
      </c>
      <c r="AH134" s="138">
        <f>IF('1.DATOS-PROD'!AQ135="SI",VLOOKUP('1.DATOS-PROD'!AQ$2,'1.PUNTOS'!$A$1:$B$63,2,0),0)</f>
        <v>0</v>
      </c>
      <c r="AI134" s="138">
        <f>IF('1.DATOS-PROD'!AR135="SI",VLOOKUP('1.DATOS-PROD'!AR$2,'1.PUNTOS'!$A$1:$B$63,2,0),0)</f>
        <v>0</v>
      </c>
      <c r="AJ134" s="138">
        <f>IF('1.DATOS-PROD'!AS135="SI",VLOOKUP('1.DATOS-PROD'!AS$2,'1.PUNTOS'!$A$1:$B$63,2,0),0)</f>
        <v>0</v>
      </c>
      <c r="AK134" s="138">
        <f>IF('1.DATOS-PROD'!AT135="SI",VLOOKUP('1.DATOS-PROD'!AT$2,'1.PUNTOS'!$A$1:$B$63,2,0),0)</f>
        <v>0</v>
      </c>
      <c r="AL134" s="138">
        <f>IF('1.DATOS-PROD'!AU135="SI",VLOOKUP('1.DATOS-PROD'!AU$2,'1.PUNTOS'!$A$1:$B$63,2,0),0)</f>
        <v>0</v>
      </c>
      <c r="AM134" s="138">
        <f>IF('1.DATOS-PROD'!AV135="SI",VLOOKUP('1.DATOS-PROD'!AV$2,'1.PUNTOS'!$A$1:$B$63,2,0),0)</f>
        <v>0</v>
      </c>
      <c r="AN134" s="138">
        <f>IF('1.DATOS-PROD'!AW135="SI",VLOOKUP('1.DATOS-PROD'!AW$2,'1.PUNTOS'!$A$1:$B$63,2,0),0)</f>
        <v>0</v>
      </c>
      <c r="AO134" s="138">
        <f>IF('1.DATOS-PROD'!AX135="SI",VLOOKUP('1.DATOS-PROD'!AX$2,'1.PUNTOS'!$A$1:$B$63,2,0),0)</f>
        <v>0</v>
      </c>
      <c r="AP134" s="138">
        <f>IF('1.DATOS-PROD'!AY135="SI",VLOOKUP('1.DATOS-PROD'!AY$2,'1.PUNTOS'!$A$1:$B$63,2,0),0)</f>
        <v>0</v>
      </c>
      <c r="AQ134" s="138">
        <f>IF('1.DATOS-PROD'!AZ135="SI",VLOOKUP('1.DATOS-PROD'!AZ$2,'1.PUNTOS'!$A$1:$B$63,2,0),0)</f>
        <v>0</v>
      </c>
      <c r="AR134" s="138">
        <f>IF('1.DATOS-PROD'!BA135="SI",VLOOKUP('1.DATOS-PROD'!BA$2,'1.PUNTOS'!$A$1:$B$63,2,0),0)</f>
        <v>0</v>
      </c>
      <c r="AS134" s="138">
        <f>IF('1.DATOS-PROD'!BB135="SI",VLOOKUP('1.DATOS-PROD'!BB$2,'1.PUNTOS'!$A$1:$B$63,2,0),0)</f>
        <v>0</v>
      </c>
      <c r="AT134" s="138">
        <f>IF('1.DATOS-PROD'!BC135="SI",VLOOKUP('1.DATOS-PROD'!BC$2,'1.PUNTOS'!$A$1:$B$63,2,0),0)</f>
        <v>0</v>
      </c>
      <c r="AU134" s="138">
        <f>IF('1.DATOS-PROD'!BD135="SI",VLOOKUP('1.DATOS-PROD'!BD$2,'1.PUNTOS'!$A$1:$B$63,2,0),0)</f>
        <v>0</v>
      </c>
      <c r="AV134" s="138">
        <f>IF('1.DATOS-PROD'!BE135="SI",VLOOKUP('1.DATOS-PROD'!BE$2,'1.PUNTOS'!$A$1:$B$63,2,0),0)</f>
        <v>0</v>
      </c>
      <c r="AW134" s="138">
        <f>IF('1.DATOS-PROD'!BF135="SI",VLOOKUP('1.DATOS-PROD'!BF$2,'1.PUNTOS'!$A$1:$B$63,2,0),0)</f>
        <v>0</v>
      </c>
      <c r="AX134" s="138">
        <f>IF('1.DATOS-PROD'!BG135="SI",VLOOKUP('1.DATOS-PROD'!BG$2,'1.PUNTOS'!$A$1:$B$63,2,0),0)</f>
        <v>0</v>
      </c>
      <c r="AY134" s="138">
        <f>IF('1.DATOS-PROD'!BH135="SI",VLOOKUP('1.DATOS-PROD'!BH$2,'1.PUNTOS'!$A$1:$B$63,2,0),0)</f>
        <v>0</v>
      </c>
      <c r="AZ134" s="138">
        <f>IF('1.DATOS-PROD'!BI135="SI",VLOOKUP('1.DATOS-PROD'!BI$2,'1.PUNTOS'!$A$1:$B$63,2,0),0)</f>
        <v>0</v>
      </c>
      <c r="BA134" s="138">
        <f>IF('1.DATOS-PROD'!BJ135="SI",VLOOKUP('1.DATOS-PROD'!BJ$2,'1.PUNTOS'!$A$1:$B$63,2,0),0)</f>
        <v>0</v>
      </c>
      <c r="BB134" s="138">
        <f>IF('1.DATOS-PROD'!BK135="SI",VLOOKUP('1.DATOS-PROD'!BK$2,'1.PUNTOS'!$A$1:$B$63,2,0),0)</f>
        <v>0</v>
      </c>
      <c r="BC134" s="138">
        <f>IF('1.DATOS-PROD'!BL135="SI",VLOOKUP('1.DATOS-PROD'!BL$2,'1.PUNTOS'!$A$1:$B$63,2,0),0)</f>
        <v>0</v>
      </c>
      <c r="BD134" s="138">
        <f>IF('1.DATOS-PROD'!BM135="SI",VLOOKUP('1.DATOS-PROD'!BM$2,'1.PUNTOS'!$A$1:$B$63,2,0),0)</f>
        <v>0</v>
      </c>
      <c r="BE134" s="138">
        <f>IF('1.DATOS-PROD'!BN135="SI",VLOOKUP('1.DATOS-PROD'!BN$2,'1.PUNTOS'!$A$1:$B$63,2,0),0)</f>
        <v>0</v>
      </c>
      <c r="BF134" s="138">
        <f>IF('1.DATOS-PROD'!BO135="SI",VLOOKUP('1.DATOS-PROD'!BO$2,'1.PUNTOS'!$A$1:$B$63,2,0),0)</f>
        <v>0</v>
      </c>
      <c r="BG134" s="138">
        <f>IF('1.DATOS-PROD'!BP135="SI",VLOOKUP('1.DATOS-PROD'!BP$2,'1.PUNTOS'!$A$1:$B$63,2,0),0)</f>
        <v>0</v>
      </c>
      <c r="BH134" s="138">
        <f>IF('1.DATOS-PROD'!BQ135="SI",VLOOKUP('1.DATOS-PROD'!BQ$2,'1.PUNTOS'!$A$1:$B$63,2,0),0)</f>
        <v>0</v>
      </c>
      <c r="BI134" s="138">
        <f>IF('1.DATOS-PROD'!BR135="SI",VLOOKUP('1.DATOS-PROD'!BR$2,'1.PUNTOS'!$A$1:$B$63,2,0),0)</f>
        <v>0</v>
      </c>
      <c r="BJ134" s="138">
        <f>IF('1.DATOS-PROD'!BS135="SI",VLOOKUP('1.DATOS-PROD'!BS$2,'1.PUNTOS'!$A$1:$B$63,2,0),0)</f>
        <v>0</v>
      </c>
      <c r="BK134" s="138">
        <f>IF('1.DATOS-PROD'!BT135="SI",VLOOKUP('1.DATOS-PROD'!BT$2,'1.PUNTOS'!$A$1:$B$63,2,0),0)</f>
        <v>0</v>
      </c>
    </row>
    <row r="135" spans="1:63" x14ac:dyDescent="0.25">
      <c r="A135">
        <f>'0.Consolidado general'!$A136</f>
        <v>0</v>
      </c>
      <c r="B135" s="138">
        <f>IF('1.DATOS-PROD'!K136="SI",VLOOKUP('1.DATOS-PROD'!K$2,'1.PUNTOS'!$A$1:$B$63,2,0),0)</f>
        <v>0</v>
      </c>
      <c r="C135" s="138">
        <f>IF('1.DATOS-PROD'!L136="SI",VLOOKUP('1.DATOS-PROD'!L$2,'1.PUNTOS'!$A$1:$B$63,2,0),0)</f>
        <v>0</v>
      </c>
      <c r="D135" s="138">
        <f>IF('1.DATOS-PROD'!M136="SI",VLOOKUP('1.DATOS-PROD'!M$2,'1.PUNTOS'!$A$1:$B$63,2,0),0)</f>
        <v>0</v>
      </c>
      <c r="E135" s="138">
        <f>IF('1.DATOS-PROD'!N136="SI",VLOOKUP('1.DATOS-PROD'!N$2,'1.PUNTOS'!$A$1:$B$63,2,0),0)</f>
        <v>0</v>
      </c>
      <c r="F135" s="138">
        <f>IF('1.DATOS-PROD'!O136="SI",VLOOKUP('1.DATOS-PROD'!O$2,'1.PUNTOS'!$A$1:$B$63,2,0),0)</f>
        <v>0</v>
      </c>
      <c r="G135" s="138">
        <f>IF('1.DATOS-PROD'!P136="SI",VLOOKUP('1.DATOS-PROD'!P$2,'1.PUNTOS'!$A$1:$B$63,2,0),0)</f>
        <v>0</v>
      </c>
      <c r="H135" s="138">
        <f>IF('1.DATOS-PROD'!Q136="SI",VLOOKUP('1.DATOS-PROD'!Q$2,'1.PUNTOS'!$A$1:$B$63,2,0),0)</f>
        <v>0</v>
      </c>
      <c r="I135" s="138">
        <f>IF('1.DATOS-PROD'!R136="SI",VLOOKUP('1.DATOS-PROD'!R$2,'1.PUNTOS'!$A$1:$B$63,2,0),0)</f>
        <v>0</v>
      </c>
      <c r="J135" s="138">
        <f>IF('1.DATOS-PROD'!S136="SI",VLOOKUP('1.DATOS-PROD'!S$2,'1.PUNTOS'!$A$1:$B$63,2,0),0)</f>
        <v>0</v>
      </c>
      <c r="K135" s="138">
        <f>IF('1.DATOS-PROD'!T136="SI",VLOOKUP('1.DATOS-PROD'!T$2,'1.PUNTOS'!$A$1:$B$63,2,0),0)</f>
        <v>0</v>
      </c>
      <c r="L135" s="138">
        <f>IF('1.DATOS-PROD'!U136="SI",VLOOKUP('1.DATOS-PROD'!U$2,'1.PUNTOS'!$A$1:$B$63,2,0),0)</f>
        <v>0</v>
      </c>
      <c r="M135" s="138">
        <f>IF('1.DATOS-PROD'!V136="SI",VLOOKUP('1.DATOS-PROD'!V$2,'1.PUNTOS'!$A$1:$B$63,2,0),0)</f>
        <v>0</v>
      </c>
      <c r="N135" s="138">
        <f>IF('1.DATOS-PROD'!W136="SI",VLOOKUP('1.DATOS-PROD'!W$2,'1.PUNTOS'!$A$1:$B$63,2,0),0)</f>
        <v>0</v>
      </c>
      <c r="O135" s="138">
        <f>IF('1.DATOS-PROD'!X136="SI",VLOOKUP('1.DATOS-PROD'!X$2,'1.PUNTOS'!$A$1:$B$63,2,0),0)</f>
        <v>0</v>
      </c>
      <c r="P135" s="138">
        <f>IF('1.DATOS-PROD'!Y136="SI",VLOOKUP('1.DATOS-PROD'!Y$2,'1.PUNTOS'!$A$1:$B$63,2,0),0)</f>
        <v>0</v>
      </c>
      <c r="Q135" s="138">
        <f>IF('1.DATOS-PROD'!Z136="SI",VLOOKUP('1.DATOS-PROD'!Z$2,'1.PUNTOS'!$A$1:$B$63,2,0),0)</f>
        <v>0</v>
      </c>
      <c r="R135" s="138">
        <f>IF('1.DATOS-PROD'!AA136="SI",VLOOKUP('1.DATOS-PROD'!AA$2,'1.PUNTOS'!$A$1:$B$63,2,0),0)</f>
        <v>0</v>
      </c>
      <c r="S135" s="138">
        <f>IF('1.DATOS-PROD'!AB136="SI",VLOOKUP('1.DATOS-PROD'!AB$2,'1.PUNTOS'!$A$1:$B$63,2,0),0)</f>
        <v>0</v>
      </c>
      <c r="T135" s="138">
        <f>IF('1.DATOS-PROD'!AC136="SI",VLOOKUP('1.DATOS-PROD'!AC$2,'1.PUNTOS'!$A$1:$B$63,2,0),0)</f>
        <v>0</v>
      </c>
      <c r="U135" s="138">
        <f>IF('1.DATOS-PROD'!AD136="SI",VLOOKUP('1.DATOS-PROD'!AD$2,'1.PUNTOS'!$A$1:$B$63,2,0),0)</f>
        <v>0</v>
      </c>
      <c r="V135" s="138">
        <f>IF('1.DATOS-PROD'!AE136="SI",VLOOKUP('1.DATOS-PROD'!AE$2,'1.PUNTOS'!$A$1:$B$63,2,0),0)</f>
        <v>0</v>
      </c>
      <c r="W135" s="138">
        <f>IF('1.DATOS-PROD'!AF136="SI",VLOOKUP('1.DATOS-PROD'!AF$2,'1.PUNTOS'!$A$1:$B$63,2,0),0)</f>
        <v>0</v>
      </c>
      <c r="X135" s="138">
        <f>IF('1.DATOS-PROD'!AG136="SI",VLOOKUP('1.DATOS-PROD'!AG$2,'1.PUNTOS'!$A$1:$B$63,2,0),0)</f>
        <v>0</v>
      </c>
      <c r="Y135" s="138">
        <f>IF('1.DATOS-PROD'!AH136="SI",VLOOKUP('1.DATOS-PROD'!AH$2,'1.PUNTOS'!$A$1:$B$63,2,0),0)</f>
        <v>0</v>
      </c>
      <c r="Z135" s="138">
        <f>IF('1.DATOS-PROD'!AI136="SI",VLOOKUP('1.DATOS-PROD'!AI$2,'1.PUNTOS'!$A$1:$B$63,2,0),0)</f>
        <v>0</v>
      </c>
      <c r="AA135" s="138">
        <f>IF('1.DATOS-PROD'!AJ136="SI",VLOOKUP('1.DATOS-PROD'!AJ$2,'1.PUNTOS'!$A$1:$B$63,2,0),0)</f>
        <v>0</v>
      </c>
      <c r="AB135" s="138">
        <f>IF('1.DATOS-PROD'!AK136="SI",VLOOKUP('1.DATOS-PROD'!AK$2,'1.PUNTOS'!$A$1:$B$63,2,0),0)</f>
        <v>0</v>
      </c>
      <c r="AC135" s="138">
        <f>IF('1.DATOS-PROD'!AL136="SI",VLOOKUP('1.DATOS-PROD'!AL$2,'1.PUNTOS'!$A$1:$B$63,2,0),0)</f>
        <v>0</v>
      </c>
      <c r="AD135" s="138">
        <f>IF('1.DATOS-PROD'!AM136="SI",VLOOKUP('1.DATOS-PROD'!AM$2,'1.PUNTOS'!$A$1:$B$63,2,0),0)</f>
        <v>0</v>
      </c>
      <c r="AE135" s="138">
        <f>IF('1.DATOS-PROD'!AN136="SI",VLOOKUP('1.DATOS-PROD'!AN$2,'1.PUNTOS'!$A$1:$B$63,2,0),0)</f>
        <v>0</v>
      </c>
      <c r="AF135" s="138">
        <f>IF('1.DATOS-PROD'!AO136="SI",VLOOKUP('1.DATOS-PROD'!AO$2,'1.PUNTOS'!$A$1:$B$63,2,0),0)</f>
        <v>0</v>
      </c>
      <c r="AG135" s="138">
        <f>IF('1.DATOS-PROD'!AP136="SI",VLOOKUP('1.DATOS-PROD'!AP$2,'1.PUNTOS'!$A$1:$B$63,2,0),0)</f>
        <v>0</v>
      </c>
      <c r="AH135" s="138">
        <f>IF('1.DATOS-PROD'!AQ136="SI",VLOOKUP('1.DATOS-PROD'!AQ$2,'1.PUNTOS'!$A$1:$B$63,2,0),0)</f>
        <v>0</v>
      </c>
      <c r="AI135" s="138">
        <f>IF('1.DATOS-PROD'!AR136="SI",VLOOKUP('1.DATOS-PROD'!AR$2,'1.PUNTOS'!$A$1:$B$63,2,0),0)</f>
        <v>0</v>
      </c>
      <c r="AJ135" s="138">
        <f>IF('1.DATOS-PROD'!AS136="SI",VLOOKUP('1.DATOS-PROD'!AS$2,'1.PUNTOS'!$A$1:$B$63,2,0),0)</f>
        <v>0</v>
      </c>
      <c r="AK135" s="138">
        <f>IF('1.DATOS-PROD'!AT136="SI",VLOOKUP('1.DATOS-PROD'!AT$2,'1.PUNTOS'!$A$1:$B$63,2,0),0)</f>
        <v>0</v>
      </c>
      <c r="AL135" s="138">
        <f>IF('1.DATOS-PROD'!AU136="SI",VLOOKUP('1.DATOS-PROD'!AU$2,'1.PUNTOS'!$A$1:$B$63,2,0),0)</f>
        <v>0</v>
      </c>
      <c r="AM135" s="138">
        <f>IF('1.DATOS-PROD'!AV136="SI",VLOOKUP('1.DATOS-PROD'!AV$2,'1.PUNTOS'!$A$1:$B$63,2,0),0)</f>
        <v>0</v>
      </c>
      <c r="AN135" s="138">
        <f>IF('1.DATOS-PROD'!AW136="SI",VLOOKUP('1.DATOS-PROD'!AW$2,'1.PUNTOS'!$A$1:$B$63,2,0),0)</f>
        <v>0</v>
      </c>
      <c r="AO135" s="138">
        <f>IF('1.DATOS-PROD'!AX136="SI",VLOOKUP('1.DATOS-PROD'!AX$2,'1.PUNTOS'!$A$1:$B$63,2,0),0)</f>
        <v>0</v>
      </c>
      <c r="AP135" s="138">
        <f>IF('1.DATOS-PROD'!AY136="SI",VLOOKUP('1.DATOS-PROD'!AY$2,'1.PUNTOS'!$A$1:$B$63,2,0),0)</f>
        <v>0</v>
      </c>
      <c r="AQ135" s="138">
        <f>IF('1.DATOS-PROD'!AZ136="SI",VLOOKUP('1.DATOS-PROD'!AZ$2,'1.PUNTOS'!$A$1:$B$63,2,0),0)</f>
        <v>0</v>
      </c>
      <c r="AR135" s="138">
        <f>IF('1.DATOS-PROD'!BA136="SI",VLOOKUP('1.DATOS-PROD'!BA$2,'1.PUNTOS'!$A$1:$B$63,2,0),0)</f>
        <v>0</v>
      </c>
      <c r="AS135" s="138">
        <f>IF('1.DATOS-PROD'!BB136="SI",VLOOKUP('1.DATOS-PROD'!BB$2,'1.PUNTOS'!$A$1:$B$63,2,0),0)</f>
        <v>0</v>
      </c>
      <c r="AT135" s="138">
        <f>IF('1.DATOS-PROD'!BC136="SI",VLOOKUP('1.DATOS-PROD'!BC$2,'1.PUNTOS'!$A$1:$B$63,2,0),0)</f>
        <v>0</v>
      </c>
      <c r="AU135" s="138">
        <f>IF('1.DATOS-PROD'!BD136="SI",VLOOKUP('1.DATOS-PROD'!BD$2,'1.PUNTOS'!$A$1:$B$63,2,0),0)</f>
        <v>0</v>
      </c>
      <c r="AV135" s="138">
        <f>IF('1.DATOS-PROD'!BE136="SI",VLOOKUP('1.DATOS-PROD'!BE$2,'1.PUNTOS'!$A$1:$B$63,2,0),0)</f>
        <v>0</v>
      </c>
      <c r="AW135" s="138">
        <f>IF('1.DATOS-PROD'!BF136="SI",VLOOKUP('1.DATOS-PROD'!BF$2,'1.PUNTOS'!$A$1:$B$63,2,0),0)</f>
        <v>0</v>
      </c>
      <c r="AX135" s="138">
        <f>IF('1.DATOS-PROD'!BG136="SI",VLOOKUP('1.DATOS-PROD'!BG$2,'1.PUNTOS'!$A$1:$B$63,2,0),0)</f>
        <v>0</v>
      </c>
      <c r="AY135" s="138">
        <f>IF('1.DATOS-PROD'!BH136="SI",VLOOKUP('1.DATOS-PROD'!BH$2,'1.PUNTOS'!$A$1:$B$63,2,0),0)</f>
        <v>0</v>
      </c>
      <c r="AZ135" s="138">
        <f>IF('1.DATOS-PROD'!BI136="SI",VLOOKUP('1.DATOS-PROD'!BI$2,'1.PUNTOS'!$A$1:$B$63,2,0),0)</f>
        <v>0</v>
      </c>
      <c r="BA135" s="138">
        <f>IF('1.DATOS-PROD'!BJ136="SI",VLOOKUP('1.DATOS-PROD'!BJ$2,'1.PUNTOS'!$A$1:$B$63,2,0),0)</f>
        <v>0</v>
      </c>
      <c r="BB135" s="138">
        <f>IF('1.DATOS-PROD'!BK136="SI",VLOOKUP('1.DATOS-PROD'!BK$2,'1.PUNTOS'!$A$1:$B$63,2,0),0)</f>
        <v>0</v>
      </c>
      <c r="BC135" s="138">
        <f>IF('1.DATOS-PROD'!BL136="SI",VLOOKUP('1.DATOS-PROD'!BL$2,'1.PUNTOS'!$A$1:$B$63,2,0),0)</f>
        <v>0</v>
      </c>
      <c r="BD135" s="138">
        <f>IF('1.DATOS-PROD'!BM136="SI",VLOOKUP('1.DATOS-PROD'!BM$2,'1.PUNTOS'!$A$1:$B$63,2,0),0)</f>
        <v>0</v>
      </c>
      <c r="BE135" s="138">
        <f>IF('1.DATOS-PROD'!BN136="SI",VLOOKUP('1.DATOS-PROD'!BN$2,'1.PUNTOS'!$A$1:$B$63,2,0),0)</f>
        <v>0</v>
      </c>
      <c r="BF135" s="138">
        <f>IF('1.DATOS-PROD'!BO136="SI",VLOOKUP('1.DATOS-PROD'!BO$2,'1.PUNTOS'!$A$1:$B$63,2,0),0)</f>
        <v>0</v>
      </c>
      <c r="BG135" s="138">
        <f>IF('1.DATOS-PROD'!BP136="SI",VLOOKUP('1.DATOS-PROD'!BP$2,'1.PUNTOS'!$A$1:$B$63,2,0),0)</f>
        <v>0</v>
      </c>
      <c r="BH135" s="138">
        <f>IF('1.DATOS-PROD'!BQ136="SI",VLOOKUP('1.DATOS-PROD'!BQ$2,'1.PUNTOS'!$A$1:$B$63,2,0),0)</f>
        <v>0</v>
      </c>
      <c r="BI135" s="138">
        <f>IF('1.DATOS-PROD'!BR136="SI",VLOOKUP('1.DATOS-PROD'!BR$2,'1.PUNTOS'!$A$1:$B$63,2,0),0)</f>
        <v>0</v>
      </c>
      <c r="BJ135" s="138">
        <f>IF('1.DATOS-PROD'!BS136="SI",VLOOKUP('1.DATOS-PROD'!BS$2,'1.PUNTOS'!$A$1:$B$63,2,0),0)</f>
        <v>0</v>
      </c>
      <c r="BK135" s="138">
        <f>IF('1.DATOS-PROD'!BT136="SI",VLOOKUP('1.DATOS-PROD'!BT$2,'1.PUNTOS'!$A$1:$B$63,2,0),0)</f>
        <v>0</v>
      </c>
    </row>
    <row r="136" spans="1:63" x14ac:dyDescent="0.25">
      <c r="A136">
        <f>'0.Consolidado general'!$A137</f>
        <v>0</v>
      </c>
      <c r="B136" s="138">
        <f>IF('1.DATOS-PROD'!K137="SI",VLOOKUP('1.DATOS-PROD'!K$2,'1.PUNTOS'!$A$1:$B$63,2,0),0)</f>
        <v>0</v>
      </c>
      <c r="C136" s="138">
        <f>IF('1.DATOS-PROD'!L137="SI",VLOOKUP('1.DATOS-PROD'!L$2,'1.PUNTOS'!$A$1:$B$63,2,0),0)</f>
        <v>0</v>
      </c>
      <c r="D136" s="138">
        <f>IF('1.DATOS-PROD'!M137="SI",VLOOKUP('1.DATOS-PROD'!M$2,'1.PUNTOS'!$A$1:$B$63,2,0),0)</f>
        <v>0</v>
      </c>
      <c r="E136" s="138">
        <f>IF('1.DATOS-PROD'!N137="SI",VLOOKUP('1.DATOS-PROD'!N$2,'1.PUNTOS'!$A$1:$B$63,2,0),0)</f>
        <v>0</v>
      </c>
      <c r="F136" s="138">
        <f>IF('1.DATOS-PROD'!O137="SI",VLOOKUP('1.DATOS-PROD'!O$2,'1.PUNTOS'!$A$1:$B$63,2,0),0)</f>
        <v>0</v>
      </c>
      <c r="G136" s="138">
        <f>IF('1.DATOS-PROD'!P137="SI",VLOOKUP('1.DATOS-PROD'!P$2,'1.PUNTOS'!$A$1:$B$63,2,0),0)</f>
        <v>0</v>
      </c>
      <c r="H136" s="138">
        <f>IF('1.DATOS-PROD'!Q137="SI",VLOOKUP('1.DATOS-PROD'!Q$2,'1.PUNTOS'!$A$1:$B$63,2,0),0)</f>
        <v>0</v>
      </c>
      <c r="I136" s="138">
        <f>IF('1.DATOS-PROD'!R137="SI",VLOOKUP('1.DATOS-PROD'!R$2,'1.PUNTOS'!$A$1:$B$63,2,0),0)</f>
        <v>0</v>
      </c>
      <c r="J136" s="138">
        <f>IF('1.DATOS-PROD'!S137="SI",VLOOKUP('1.DATOS-PROD'!S$2,'1.PUNTOS'!$A$1:$B$63,2,0),0)</f>
        <v>0</v>
      </c>
      <c r="K136" s="138">
        <f>IF('1.DATOS-PROD'!T137="SI",VLOOKUP('1.DATOS-PROD'!T$2,'1.PUNTOS'!$A$1:$B$63,2,0),0)</f>
        <v>0</v>
      </c>
      <c r="L136" s="138">
        <f>IF('1.DATOS-PROD'!U137="SI",VLOOKUP('1.DATOS-PROD'!U$2,'1.PUNTOS'!$A$1:$B$63,2,0),0)</f>
        <v>0</v>
      </c>
      <c r="M136" s="138">
        <f>IF('1.DATOS-PROD'!V137="SI",VLOOKUP('1.DATOS-PROD'!V$2,'1.PUNTOS'!$A$1:$B$63,2,0),0)</f>
        <v>0</v>
      </c>
      <c r="N136" s="138">
        <f>IF('1.DATOS-PROD'!W137="SI",VLOOKUP('1.DATOS-PROD'!W$2,'1.PUNTOS'!$A$1:$B$63,2,0),0)</f>
        <v>0</v>
      </c>
      <c r="O136" s="138">
        <f>IF('1.DATOS-PROD'!X137="SI",VLOOKUP('1.DATOS-PROD'!X$2,'1.PUNTOS'!$A$1:$B$63,2,0),0)</f>
        <v>0</v>
      </c>
      <c r="P136" s="138">
        <f>IF('1.DATOS-PROD'!Y137="SI",VLOOKUP('1.DATOS-PROD'!Y$2,'1.PUNTOS'!$A$1:$B$63,2,0),0)</f>
        <v>0</v>
      </c>
      <c r="Q136" s="138">
        <f>IF('1.DATOS-PROD'!Z137="SI",VLOOKUP('1.DATOS-PROD'!Z$2,'1.PUNTOS'!$A$1:$B$63,2,0),0)</f>
        <v>0</v>
      </c>
      <c r="R136" s="138">
        <f>IF('1.DATOS-PROD'!AA137="SI",VLOOKUP('1.DATOS-PROD'!AA$2,'1.PUNTOS'!$A$1:$B$63,2,0),0)</f>
        <v>0</v>
      </c>
      <c r="S136" s="138">
        <f>IF('1.DATOS-PROD'!AB137="SI",VLOOKUP('1.DATOS-PROD'!AB$2,'1.PUNTOS'!$A$1:$B$63,2,0),0)</f>
        <v>0</v>
      </c>
      <c r="T136" s="138">
        <f>IF('1.DATOS-PROD'!AC137="SI",VLOOKUP('1.DATOS-PROD'!AC$2,'1.PUNTOS'!$A$1:$B$63,2,0),0)</f>
        <v>0</v>
      </c>
      <c r="U136" s="138">
        <f>IF('1.DATOS-PROD'!AD137="SI",VLOOKUP('1.DATOS-PROD'!AD$2,'1.PUNTOS'!$A$1:$B$63,2,0),0)</f>
        <v>0</v>
      </c>
      <c r="V136" s="138">
        <f>IF('1.DATOS-PROD'!AE137="SI",VLOOKUP('1.DATOS-PROD'!AE$2,'1.PUNTOS'!$A$1:$B$63,2,0),0)</f>
        <v>0</v>
      </c>
      <c r="W136" s="138">
        <f>IF('1.DATOS-PROD'!AF137="SI",VLOOKUP('1.DATOS-PROD'!AF$2,'1.PUNTOS'!$A$1:$B$63,2,0),0)</f>
        <v>0</v>
      </c>
      <c r="X136" s="138">
        <f>IF('1.DATOS-PROD'!AG137="SI",VLOOKUP('1.DATOS-PROD'!AG$2,'1.PUNTOS'!$A$1:$B$63,2,0),0)</f>
        <v>0</v>
      </c>
      <c r="Y136" s="138">
        <f>IF('1.DATOS-PROD'!AH137="SI",VLOOKUP('1.DATOS-PROD'!AH$2,'1.PUNTOS'!$A$1:$B$63,2,0),0)</f>
        <v>0</v>
      </c>
      <c r="Z136" s="138">
        <f>IF('1.DATOS-PROD'!AI137="SI",VLOOKUP('1.DATOS-PROD'!AI$2,'1.PUNTOS'!$A$1:$B$63,2,0),0)</f>
        <v>0</v>
      </c>
      <c r="AA136" s="138">
        <f>IF('1.DATOS-PROD'!AJ137="SI",VLOOKUP('1.DATOS-PROD'!AJ$2,'1.PUNTOS'!$A$1:$B$63,2,0),0)</f>
        <v>0</v>
      </c>
      <c r="AB136" s="138">
        <f>IF('1.DATOS-PROD'!AK137="SI",VLOOKUP('1.DATOS-PROD'!AK$2,'1.PUNTOS'!$A$1:$B$63,2,0),0)</f>
        <v>0</v>
      </c>
      <c r="AC136" s="138">
        <f>IF('1.DATOS-PROD'!AL137="SI",VLOOKUP('1.DATOS-PROD'!AL$2,'1.PUNTOS'!$A$1:$B$63,2,0),0)</f>
        <v>0</v>
      </c>
      <c r="AD136" s="138">
        <f>IF('1.DATOS-PROD'!AM137="SI",VLOOKUP('1.DATOS-PROD'!AM$2,'1.PUNTOS'!$A$1:$B$63,2,0),0)</f>
        <v>0</v>
      </c>
      <c r="AE136" s="138">
        <f>IF('1.DATOS-PROD'!AN137="SI",VLOOKUP('1.DATOS-PROD'!AN$2,'1.PUNTOS'!$A$1:$B$63,2,0),0)</f>
        <v>0</v>
      </c>
      <c r="AF136" s="138">
        <f>IF('1.DATOS-PROD'!AO137="SI",VLOOKUP('1.DATOS-PROD'!AO$2,'1.PUNTOS'!$A$1:$B$63,2,0),0)</f>
        <v>0</v>
      </c>
      <c r="AG136" s="138">
        <f>IF('1.DATOS-PROD'!AP137="SI",VLOOKUP('1.DATOS-PROD'!AP$2,'1.PUNTOS'!$A$1:$B$63,2,0),0)</f>
        <v>0</v>
      </c>
      <c r="AH136" s="138">
        <f>IF('1.DATOS-PROD'!AQ137="SI",VLOOKUP('1.DATOS-PROD'!AQ$2,'1.PUNTOS'!$A$1:$B$63,2,0),0)</f>
        <v>0</v>
      </c>
      <c r="AI136" s="138">
        <f>IF('1.DATOS-PROD'!AR137="SI",VLOOKUP('1.DATOS-PROD'!AR$2,'1.PUNTOS'!$A$1:$B$63,2,0),0)</f>
        <v>0</v>
      </c>
      <c r="AJ136" s="138">
        <f>IF('1.DATOS-PROD'!AS137="SI",VLOOKUP('1.DATOS-PROD'!AS$2,'1.PUNTOS'!$A$1:$B$63,2,0),0)</f>
        <v>0</v>
      </c>
      <c r="AK136" s="138">
        <f>IF('1.DATOS-PROD'!AT137="SI",VLOOKUP('1.DATOS-PROD'!AT$2,'1.PUNTOS'!$A$1:$B$63,2,0),0)</f>
        <v>0</v>
      </c>
      <c r="AL136" s="138">
        <f>IF('1.DATOS-PROD'!AU137="SI",VLOOKUP('1.DATOS-PROD'!AU$2,'1.PUNTOS'!$A$1:$B$63,2,0),0)</f>
        <v>0</v>
      </c>
      <c r="AM136" s="138">
        <f>IF('1.DATOS-PROD'!AV137="SI",VLOOKUP('1.DATOS-PROD'!AV$2,'1.PUNTOS'!$A$1:$B$63,2,0),0)</f>
        <v>0</v>
      </c>
      <c r="AN136" s="138">
        <f>IF('1.DATOS-PROD'!AW137="SI",VLOOKUP('1.DATOS-PROD'!AW$2,'1.PUNTOS'!$A$1:$B$63,2,0),0)</f>
        <v>0</v>
      </c>
      <c r="AO136" s="138">
        <f>IF('1.DATOS-PROD'!AX137="SI",VLOOKUP('1.DATOS-PROD'!AX$2,'1.PUNTOS'!$A$1:$B$63,2,0),0)</f>
        <v>0</v>
      </c>
      <c r="AP136" s="138">
        <f>IF('1.DATOS-PROD'!AY137="SI",VLOOKUP('1.DATOS-PROD'!AY$2,'1.PUNTOS'!$A$1:$B$63,2,0),0)</f>
        <v>0</v>
      </c>
      <c r="AQ136" s="138">
        <f>IF('1.DATOS-PROD'!AZ137="SI",VLOOKUP('1.DATOS-PROD'!AZ$2,'1.PUNTOS'!$A$1:$B$63,2,0),0)</f>
        <v>0</v>
      </c>
      <c r="AR136" s="138">
        <f>IF('1.DATOS-PROD'!BA137="SI",VLOOKUP('1.DATOS-PROD'!BA$2,'1.PUNTOS'!$A$1:$B$63,2,0),0)</f>
        <v>0</v>
      </c>
      <c r="AS136" s="138">
        <f>IF('1.DATOS-PROD'!BB137="SI",VLOOKUP('1.DATOS-PROD'!BB$2,'1.PUNTOS'!$A$1:$B$63,2,0),0)</f>
        <v>0</v>
      </c>
      <c r="AT136" s="138">
        <f>IF('1.DATOS-PROD'!BC137="SI",VLOOKUP('1.DATOS-PROD'!BC$2,'1.PUNTOS'!$A$1:$B$63,2,0),0)</f>
        <v>0</v>
      </c>
      <c r="AU136" s="138">
        <f>IF('1.DATOS-PROD'!BD137="SI",VLOOKUP('1.DATOS-PROD'!BD$2,'1.PUNTOS'!$A$1:$B$63,2,0),0)</f>
        <v>0</v>
      </c>
      <c r="AV136" s="138">
        <f>IF('1.DATOS-PROD'!BE137="SI",VLOOKUP('1.DATOS-PROD'!BE$2,'1.PUNTOS'!$A$1:$B$63,2,0),0)</f>
        <v>0</v>
      </c>
      <c r="AW136" s="138">
        <f>IF('1.DATOS-PROD'!BF137="SI",VLOOKUP('1.DATOS-PROD'!BF$2,'1.PUNTOS'!$A$1:$B$63,2,0),0)</f>
        <v>0</v>
      </c>
      <c r="AX136" s="138">
        <f>IF('1.DATOS-PROD'!BG137="SI",VLOOKUP('1.DATOS-PROD'!BG$2,'1.PUNTOS'!$A$1:$B$63,2,0),0)</f>
        <v>0</v>
      </c>
      <c r="AY136" s="138">
        <f>IF('1.DATOS-PROD'!BH137="SI",VLOOKUP('1.DATOS-PROD'!BH$2,'1.PUNTOS'!$A$1:$B$63,2,0),0)</f>
        <v>0</v>
      </c>
      <c r="AZ136" s="138">
        <f>IF('1.DATOS-PROD'!BI137="SI",VLOOKUP('1.DATOS-PROD'!BI$2,'1.PUNTOS'!$A$1:$B$63,2,0),0)</f>
        <v>0</v>
      </c>
      <c r="BA136" s="138">
        <f>IF('1.DATOS-PROD'!BJ137="SI",VLOOKUP('1.DATOS-PROD'!BJ$2,'1.PUNTOS'!$A$1:$B$63,2,0),0)</f>
        <v>0</v>
      </c>
      <c r="BB136" s="138">
        <f>IF('1.DATOS-PROD'!BK137="SI",VLOOKUP('1.DATOS-PROD'!BK$2,'1.PUNTOS'!$A$1:$B$63,2,0),0)</f>
        <v>0</v>
      </c>
      <c r="BC136" s="138">
        <f>IF('1.DATOS-PROD'!BL137="SI",VLOOKUP('1.DATOS-PROD'!BL$2,'1.PUNTOS'!$A$1:$B$63,2,0),0)</f>
        <v>0</v>
      </c>
      <c r="BD136" s="138">
        <f>IF('1.DATOS-PROD'!BM137="SI",VLOOKUP('1.DATOS-PROD'!BM$2,'1.PUNTOS'!$A$1:$B$63,2,0),0)</f>
        <v>0</v>
      </c>
      <c r="BE136" s="138">
        <f>IF('1.DATOS-PROD'!BN137="SI",VLOOKUP('1.DATOS-PROD'!BN$2,'1.PUNTOS'!$A$1:$B$63,2,0),0)</f>
        <v>0</v>
      </c>
      <c r="BF136" s="138">
        <f>IF('1.DATOS-PROD'!BO137="SI",VLOOKUP('1.DATOS-PROD'!BO$2,'1.PUNTOS'!$A$1:$B$63,2,0),0)</f>
        <v>0</v>
      </c>
      <c r="BG136" s="138">
        <f>IF('1.DATOS-PROD'!BP137="SI",VLOOKUP('1.DATOS-PROD'!BP$2,'1.PUNTOS'!$A$1:$B$63,2,0),0)</f>
        <v>0</v>
      </c>
      <c r="BH136" s="138">
        <f>IF('1.DATOS-PROD'!BQ137="SI",VLOOKUP('1.DATOS-PROD'!BQ$2,'1.PUNTOS'!$A$1:$B$63,2,0),0)</f>
        <v>0</v>
      </c>
      <c r="BI136" s="138">
        <f>IF('1.DATOS-PROD'!BR137="SI",VLOOKUP('1.DATOS-PROD'!BR$2,'1.PUNTOS'!$A$1:$B$63,2,0),0)</f>
        <v>0</v>
      </c>
      <c r="BJ136" s="138">
        <f>IF('1.DATOS-PROD'!BS137="SI",VLOOKUP('1.DATOS-PROD'!BS$2,'1.PUNTOS'!$A$1:$B$63,2,0),0)</f>
        <v>0</v>
      </c>
      <c r="BK136" s="138">
        <f>IF('1.DATOS-PROD'!BT137="SI",VLOOKUP('1.DATOS-PROD'!BT$2,'1.PUNTOS'!$A$1:$B$63,2,0),0)</f>
        <v>0</v>
      </c>
    </row>
    <row r="137" spans="1:63" x14ac:dyDescent="0.25">
      <c r="A137">
        <f>'0.Consolidado general'!$A138</f>
        <v>0</v>
      </c>
      <c r="B137" s="138">
        <f>IF('1.DATOS-PROD'!K138="SI",VLOOKUP('1.DATOS-PROD'!K$2,'1.PUNTOS'!$A$1:$B$63,2,0),0)</f>
        <v>0</v>
      </c>
      <c r="C137" s="138">
        <f>IF('1.DATOS-PROD'!L138="SI",VLOOKUP('1.DATOS-PROD'!L$2,'1.PUNTOS'!$A$1:$B$63,2,0),0)</f>
        <v>0</v>
      </c>
      <c r="D137" s="138">
        <f>IF('1.DATOS-PROD'!M138="SI",VLOOKUP('1.DATOS-PROD'!M$2,'1.PUNTOS'!$A$1:$B$63,2,0),0)</f>
        <v>0</v>
      </c>
      <c r="E137" s="138">
        <f>IF('1.DATOS-PROD'!N138="SI",VLOOKUP('1.DATOS-PROD'!N$2,'1.PUNTOS'!$A$1:$B$63,2,0),0)</f>
        <v>0</v>
      </c>
      <c r="F137" s="138">
        <f>IF('1.DATOS-PROD'!O138="SI",VLOOKUP('1.DATOS-PROD'!O$2,'1.PUNTOS'!$A$1:$B$63,2,0),0)</f>
        <v>0</v>
      </c>
      <c r="G137" s="138">
        <f>IF('1.DATOS-PROD'!P138="SI",VLOOKUP('1.DATOS-PROD'!P$2,'1.PUNTOS'!$A$1:$B$63,2,0),0)</f>
        <v>0</v>
      </c>
      <c r="H137" s="138">
        <f>IF('1.DATOS-PROD'!Q138="SI",VLOOKUP('1.DATOS-PROD'!Q$2,'1.PUNTOS'!$A$1:$B$63,2,0),0)</f>
        <v>0</v>
      </c>
      <c r="I137" s="138">
        <f>IF('1.DATOS-PROD'!R138="SI",VLOOKUP('1.DATOS-PROD'!R$2,'1.PUNTOS'!$A$1:$B$63,2,0),0)</f>
        <v>0</v>
      </c>
      <c r="J137" s="138">
        <f>IF('1.DATOS-PROD'!S138="SI",VLOOKUP('1.DATOS-PROD'!S$2,'1.PUNTOS'!$A$1:$B$63,2,0),0)</f>
        <v>0</v>
      </c>
      <c r="K137" s="138">
        <f>IF('1.DATOS-PROD'!T138="SI",VLOOKUP('1.DATOS-PROD'!T$2,'1.PUNTOS'!$A$1:$B$63,2,0),0)</f>
        <v>0</v>
      </c>
      <c r="L137" s="138">
        <f>IF('1.DATOS-PROD'!U138="SI",VLOOKUP('1.DATOS-PROD'!U$2,'1.PUNTOS'!$A$1:$B$63,2,0),0)</f>
        <v>0</v>
      </c>
      <c r="M137" s="138">
        <f>IF('1.DATOS-PROD'!V138="SI",VLOOKUP('1.DATOS-PROD'!V$2,'1.PUNTOS'!$A$1:$B$63,2,0),0)</f>
        <v>0</v>
      </c>
      <c r="N137" s="138">
        <f>IF('1.DATOS-PROD'!W138="SI",VLOOKUP('1.DATOS-PROD'!W$2,'1.PUNTOS'!$A$1:$B$63,2,0),0)</f>
        <v>0</v>
      </c>
      <c r="O137" s="138">
        <f>IF('1.DATOS-PROD'!X138="SI",VLOOKUP('1.DATOS-PROD'!X$2,'1.PUNTOS'!$A$1:$B$63,2,0),0)</f>
        <v>0</v>
      </c>
      <c r="P137" s="138">
        <f>IF('1.DATOS-PROD'!Y138="SI",VLOOKUP('1.DATOS-PROD'!Y$2,'1.PUNTOS'!$A$1:$B$63,2,0),0)</f>
        <v>0</v>
      </c>
      <c r="Q137" s="138">
        <f>IF('1.DATOS-PROD'!Z138="SI",VLOOKUP('1.DATOS-PROD'!Z$2,'1.PUNTOS'!$A$1:$B$63,2,0),0)</f>
        <v>0</v>
      </c>
      <c r="R137" s="138">
        <f>IF('1.DATOS-PROD'!AA138="SI",VLOOKUP('1.DATOS-PROD'!AA$2,'1.PUNTOS'!$A$1:$B$63,2,0),0)</f>
        <v>0</v>
      </c>
      <c r="S137" s="138">
        <f>IF('1.DATOS-PROD'!AB138="SI",VLOOKUP('1.DATOS-PROD'!AB$2,'1.PUNTOS'!$A$1:$B$63,2,0),0)</f>
        <v>0</v>
      </c>
      <c r="T137" s="138">
        <f>IF('1.DATOS-PROD'!AC138="SI",VLOOKUP('1.DATOS-PROD'!AC$2,'1.PUNTOS'!$A$1:$B$63,2,0),0)</f>
        <v>0</v>
      </c>
      <c r="U137" s="138">
        <f>IF('1.DATOS-PROD'!AD138="SI",VLOOKUP('1.DATOS-PROD'!AD$2,'1.PUNTOS'!$A$1:$B$63,2,0),0)</f>
        <v>0</v>
      </c>
      <c r="V137" s="138">
        <f>IF('1.DATOS-PROD'!AE138="SI",VLOOKUP('1.DATOS-PROD'!AE$2,'1.PUNTOS'!$A$1:$B$63,2,0),0)</f>
        <v>0</v>
      </c>
      <c r="W137" s="138">
        <f>IF('1.DATOS-PROD'!AF138="SI",VLOOKUP('1.DATOS-PROD'!AF$2,'1.PUNTOS'!$A$1:$B$63,2,0),0)</f>
        <v>0</v>
      </c>
      <c r="X137" s="138">
        <f>IF('1.DATOS-PROD'!AG138="SI",VLOOKUP('1.DATOS-PROD'!AG$2,'1.PUNTOS'!$A$1:$B$63,2,0),0)</f>
        <v>0</v>
      </c>
      <c r="Y137" s="138">
        <f>IF('1.DATOS-PROD'!AH138="SI",VLOOKUP('1.DATOS-PROD'!AH$2,'1.PUNTOS'!$A$1:$B$63,2,0),0)</f>
        <v>0</v>
      </c>
      <c r="Z137" s="138">
        <f>IF('1.DATOS-PROD'!AI138="SI",VLOOKUP('1.DATOS-PROD'!AI$2,'1.PUNTOS'!$A$1:$B$63,2,0),0)</f>
        <v>0</v>
      </c>
      <c r="AA137" s="138">
        <f>IF('1.DATOS-PROD'!AJ138="SI",VLOOKUP('1.DATOS-PROD'!AJ$2,'1.PUNTOS'!$A$1:$B$63,2,0),0)</f>
        <v>0</v>
      </c>
      <c r="AB137" s="138">
        <f>IF('1.DATOS-PROD'!AK138="SI",VLOOKUP('1.DATOS-PROD'!AK$2,'1.PUNTOS'!$A$1:$B$63,2,0),0)</f>
        <v>0</v>
      </c>
      <c r="AC137" s="138">
        <f>IF('1.DATOS-PROD'!AL138="SI",VLOOKUP('1.DATOS-PROD'!AL$2,'1.PUNTOS'!$A$1:$B$63,2,0),0)</f>
        <v>0</v>
      </c>
      <c r="AD137" s="138">
        <f>IF('1.DATOS-PROD'!AM138="SI",VLOOKUP('1.DATOS-PROD'!AM$2,'1.PUNTOS'!$A$1:$B$63,2,0),0)</f>
        <v>0</v>
      </c>
      <c r="AE137" s="138">
        <f>IF('1.DATOS-PROD'!AN138="SI",VLOOKUP('1.DATOS-PROD'!AN$2,'1.PUNTOS'!$A$1:$B$63,2,0),0)</f>
        <v>0</v>
      </c>
      <c r="AF137" s="138">
        <f>IF('1.DATOS-PROD'!AO138="SI",VLOOKUP('1.DATOS-PROD'!AO$2,'1.PUNTOS'!$A$1:$B$63,2,0),0)</f>
        <v>0</v>
      </c>
      <c r="AG137" s="138">
        <f>IF('1.DATOS-PROD'!AP138="SI",VLOOKUP('1.DATOS-PROD'!AP$2,'1.PUNTOS'!$A$1:$B$63,2,0),0)</f>
        <v>0</v>
      </c>
      <c r="AH137" s="138">
        <f>IF('1.DATOS-PROD'!AQ138="SI",VLOOKUP('1.DATOS-PROD'!AQ$2,'1.PUNTOS'!$A$1:$B$63,2,0),0)</f>
        <v>0</v>
      </c>
      <c r="AI137" s="138">
        <f>IF('1.DATOS-PROD'!AR138="SI",VLOOKUP('1.DATOS-PROD'!AR$2,'1.PUNTOS'!$A$1:$B$63,2,0),0)</f>
        <v>0</v>
      </c>
      <c r="AJ137" s="138">
        <f>IF('1.DATOS-PROD'!AS138="SI",VLOOKUP('1.DATOS-PROD'!AS$2,'1.PUNTOS'!$A$1:$B$63,2,0),0)</f>
        <v>0</v>
      </c>
      <c r="AK137" s="138">
        <f>IF('1.DATOS-PROD'!AT138="SI",VLOOKUP('1.DATOS-PROD'!AT$2,'1.PUNTOS'!$A$1:$B$63,2,0),0)</f>
        <v>0</v>
      </c>
      <c r="AL137" s="138">
        <f>IF('1.DATOS-PROD'!AU138="SI",VLOOKUP('1.DATOS-PROD'!AU$2,'1.PUNTOS'!$A$1:$B$63,2,0),0)</f>
        <v>0</v>
      </c>
      <c r="AM137" s="138">
        <f>IF('1.DATOS-PROD'!AV138="SI",VLOOKUP('1.DATOS-PROD'!AV$2,'1.PUNTOS'!$A$1:$B$63,2,0),0)</f>
        <v>0</v>
      </c>
      <c r="AN137" s="138">
        <f>IF('1.DATOS-PROD'!AW138="SI",VLOOKUP('1.DATOS-PROD'!AW$2,'1.PUNTOS'!$A$1:$B$63,2,0),0)</f>
        <v>0</v>
      </c>
      <c r="AO137" s="138">
        <f>IF('1.DATOS-PROD'!AX138="SI",VLOOKUP('1.DATOS-PROD'!AX$2,'1.PUNTOS'!$A$1:$B$63,2,0),0)</f>
        <v>0</v>
      </c>
      <c r="AP137" s="138">
        <f>IF('1.DATOS-PROD'!AY138="SI",VLOOKUP('1.DATOS-PROD'!AY$2,'1.PUNTOS'!$A$1:$B$63,2,0),0)</f>
        <v>0</v>
      </c>
      <c r="AQ137" s="138">
        <f>IF('1.DATOS-PROD'!AZ138="SI",VLOOKUP('1.DATOS-PROD'!AZ$2,'1.PUNTOS'!$A$1:$B$63,2,0),0)</f>
        <v>0</v>
      </c>
      <c r="AR137" s="138">
        <f>IF('1.DATOS-PROD'!BA138="SI",VLOOKUP('1.DATOS-PROD'!BA$2,'1.PUNTOS'!$A$1:$B$63,2,0),0)</f>
        <v>0</v>
      </c>
      <c r="AS137" s="138">
        <f>IF('1.DATOS-PROD'!BB138="SI",VLOOKUP('1.DATOS-PROD'!BB$2,'1.PUNTOS'!$A$1:$B$63,2,0),0)</f>
        <v>0</v>
      </c>
      <c r="AT137" s="138">
        <f>IF('1.DATOS-PROD'!BC138="SI",VLOOKUP('1.DATOS-PROD'!BC$2,'1.PUNTOS'!$A$1:$B$63,2,0),0)</f>
        <v>0</v>
      </c>
      <c r="AU137" s="138">
        <f>IF('1.DATOS-PROD'!BD138="SI",VLOOKUP('1.DATOS-PROD'!BD$2,'1.PUNTOS'!$A$1:$B$63,2,0),0)</f>
        <v>0</v>
      </c>
      <c r="AV137" s="138">
        <f>IF('1.DATOS-PROD'!BE138="SI",VLOOKUP('1.DATOS-PROD'!BE$2,'1.PUNTOS'!$A$1:$B$63,2,0),0)</f>
        <v>0</v>
      </c>
      <c r="AW137" s="138">
        <f>IF('1.DATOS-PROD'!BF138="SI",VLOOKUP('1.DATOS-PROD'!BF$2,'1.PUNTOS'!$A$1:$B$63,2,0),0)</f>
        <v>0</v>
      </c>
      <c r="AX137" s="138">
        <f>IF('1.DATOS-PROD'!BG138="SI",VLOOKUP('1.DATOS-PROD'!BG$2,'1.PUNTOS'!$A$1:$B$63,2,0),0)</f>
        <v>0</v>
      </c>
      <c r="AY137" s="138">
        <f>IF('1.DATOS-PROD'!BH138="SI",VLOOKUP('1.DATOS-PROD'!BH$2,'1.PUNTOS'!$A$1:$B$63,2,0),0)</f>
        <v>0</v>
      </c>
      <c r="AZ137" s="138">
        <f>IF('1.DATOS-PROD'!BI138="SI",VLOOKUP('1.DATOS-PROD'!BI$2,'1.PUNTOS'!$A$1:$B$63,2,0),0)</f>
        <v>0</v>
      </c>
      <c r="BA137" s="138">
        <f>IF('1.DATOS-PROD'!BJ138="SI",VLOOKUP('1.DATOS-PROD'!BJ$2,'1.PUNTOS'!$A$1:$B$63,2,0),0)</f>
        <v>0</v>
      </c>
      <c r="BB137" s="138">
        <f>IF('1.DATOS-PROD'!BK138="SI",VLOOKUP('1.DATOS-PROD'!BK$2,'1.PUNTOS'!$A$1:$B$63,2,0),0)</f>
        <v>0</v>
      </c>
      <c r="BC137" s="138">
        <f>IF('1.DATOS-PROD'!BL138="SI",VLOOKUP('1.DATOS-PROD'!BL$2,'1.PUNTOS'!$A$1:$B$63,2,0),0)</f>
        <v>0</v>
      </c>
      <c r="BD137" s="138">
        <f>IF('1.DATOS-PROD'!BM138="SI",VLOOKUP('1.DATOS-PROD'!BM$2,'1.PUNTOS'!$A$1:$B$63,2,0),0)</f>
        <v>0</v>
      </c>
      <c r="BE137" s="138">
        <f>IF('1.DATOS-PROD'!BN138="SI",VLOOKUP('1.DATOS-PROD'!BN$2,'1.PUNTOS'!$A$1:$B$63,2,0),0)</f>
        <v>0</v>
      </c>
      <c r="BF137" s="138">
        <f>IF('1.DATOS-PROD'!BO138="SI",VLOOKUP('1.DATOS-PROD'!BO$2,'1.PUNTOS'!$A$1:$B$63,2,0),0)</f>
        <v>0</v>
      </c>
      <c r="BG137" s="138">
        <f>IF('1.DATOS-PROD'!BP138="SI",VLOOKUP('1.DATOS-PROD'!BP$2,'1.PUNTOS'!$A$1:$B$63,2,0),0)</f>
        <v>0</v>
      </c>
      <c r="BH137" s="138">
        <f>IF('1.DATOS-PROD'!BQ138="SI",VLOOKUP('1.DATOS-PROD'!BQ$2,'1.PUNTOS'!$A$1:$B$63,2,0),0)</f>
        <v>0</v>
      </c>
      <c r="BI137" s="138">
        <f>IF('1.DATOS-PROD'!BR138="SI",VLOOKUP('1.DATOS-PROD'!BR$2,'1.PUNTOS'!$A$1:$B$63,2,0),0)</f>
        <v>0</v>
      </c>
      <c r="BJ137" s="138">
        <f>IF('1.DATOS-PROD'!BS138="SI",VLOOKUP('1.DATOS-PROD'!BS$2,'1.PUNTOS'!$A$1:$B$63,2,0),0)</f>
        <v>0</v>
      </c>
      <c r="BK137" s="138">
        <f>IF('1.DATOS-PROD'!BT138="SI",VLOOKUP('1.DATOS-PROD'!BT$2,'1.PUNTOS'!$A$1:$B$63,2,0),0)</f>
        <v>0</v>
      </c>
    </row>
    <row r="138" spans="1:63" x14ac:dyDescent="0.25">
      <c r="A138">
        <f>'0.Consolidado general'!$A139</f>
        <v>0</v>
      </c>
      <c r="B138" s="138">
        <f>IF('1.DATOS-PROD'!K139="SI",VLOOKUP('1.DATOS-PROD'!K$2,'1.PUNTOS'!$A$1:$B$63,2,0),0)</f>
        <v>0</v>
      </c>
      <c r="C138" s="138">
        <f>IF('1.DATOS-PROD'!L139="SI",VLOOKUP('1.DATOS-PROD'!L$2,'1.PUNTOS'!$A$1:$B$63,2,0),0)</f>
        <v>0</v>
      </c>
      <c r="D138" s="138">
        <f>IF('1.DATOS-PROD'!M139="SI",VLOOKUP('1.DATOS-PROD'!M$2,'1.PUNTOS'!$A$1:$B$63,2,0),0)</f>
        <v>0</v>
      </c>
      <c r="E138" s="138">
        <f>IF('1.DATOS-PROD'!N139="SI",VLOOKUP('1.DATOS-PROD'!N$2,'1.PUNTOS'!$A$1:$B$63,2,0),0)</f>
        <v>0</v>
      </c>
      <c r="F138" s="138">
        <f>IF('1.DATOS-PROD'!O139="SI",VLOOKUP('1.DATOS-PROD'!O$2,'1.PUNTOS'!$A$1:$B$63,2,0),0)</f>
        <v>0</v>
      </c>
      <c r="G138" s="138">
        <f>IF('1.DATOS-PROD'!P139="SI",VLOOKUP('1.DATOS-PROD'!P$2,'1.PUNTOS'!$A$1:$B$63,2,0),0)</f>
        <v>0</v>
      </c>
      <c r="H138" s="138">
        <f>IF('1.DATOS-PROD'!Q139="SI",VLOOKUP('1.DATOS-PROD'!Q$2,'1.PUNTOS'!$A$1:$B$63,2,0),0)</f>
        <v>0</v>
      </c>
      <c r="I138" s="138">
        <f>IF('1.DATOS-PROD'!R139="SI",VLOOKUP('1.DATOS-PROD'!R$2,'1.PUNTOS'!$A$1:$B$63,2,0),0)</f>
        <v>0</v>
      </c>
      <c r="J138" s="138">
        <f>IF('1.DATOS-PROD'!S139="SI",VLOOKUP('1.DATOS-PROD'!S$2,'1.PUNTOS'!$A$1:$B$63,2,0),0)</f>
        <v>0</v>
      </c>
      <c r="K138" s="138">
        <f>IF('1.DATOS-PROD'!T139="SI",VLOOKUP('1.DATOS-PROD'!T$2,'1.PUNTOS'!$A$1:$B$63,2,0),0)</f>
        <v>0</v>
      </c>
      <c r="L138" s="138">
        <f>IF('1.DATOS-PROD'!U139="SI",VLOOKUP('1.DATOS-PROD'!U$2,'1.PUNTOS'!$A$1:$B$63,2,0),0)</f>
        <v>0</v>
      </c>
      <c r="M138" s="138">
        <f>IF('1.DATOS-PROD'!V139="SI",VLOOKUP('1.DATOS-PROD'!V$2,'1.PUNTOS'!$A$1:$B$63,2,0),0)</f>
        <v>0</v>
      </c>
      <c r="N138" s="138">
        <f>IF('1.DATOS-PROD'!W139="SI",VLOOKUP('1.DATOS-PROD'!W$2,'1.PUNTOS'!$A$1:$B$63,2,0),0)</f>
        <v>0</v>
      </c>
      <c r="O138" s="138">
        <f>IF('1.DATOS-PROD'!X139="SI",VLOOKUP('1.DATOS-PROD'!X$2,'1.PUNTOS'!$A$1:$B$63,2,0),0)</f>
        <v>0</v>
      </c>
      <c r="P138" s="138">
        <f>IF('1.DATOS-PROD'!Y139="SI",VLOOKUP('1.DATOS-PROD'!Y$2,'1.PUNTOS'!$A$1:$B$63,2,0),0)</f>
        <v>0</v>
      </c>
      <c r="Q138" s="138">
        <f>IF('1.DATOS-PROD'!Z139="SI",VLOOKUP('1.DATOS-PROD'!Z$2,'1.PUNTOS'!$A$1:$B$63,2,0),0)</f>
        <v>0</v>
      </c>
      <c r="R138" s="138">
        <f>IF('1.DATOS-PROD'!AA139="SI",VLOOKUP('1.DATOS-PROD'!AA$2,'1.PUNTOS'!$A$1:$B$63,2,0),0)</f>
        <v>0</v>
      </c>
      <c r="S138" s="138">
        <f>IF('1.DATOS-PROD'!AB139="SI",VLOOKUP('1.DATOS-PROD'!AB$2,'1.PUNTOS'!$A$1:$B$63,2,0),0)</f>
        <v>0</v>
      </c>
      <c r="T138" s="138">
        <f>IF('1.DATOS-PROD'!AC139="SI",VLOOKUP('1.DATOS-PROD'!AC$2,'1.PUNTOS'!$A$1:$B$63,2,0),0)</f>
        <v>0</v>
      </c>
      <c r="U138" s="138">
        <f>IF('1.DATOS-PROD'!AD139="SI",VLOOKUP('1.DATOS-PROD'!AD$2,'1.PUNTOS'!$A$1:$B$63,2,0),0)</f>
        <v>0</v>
      </c>
      <c r="V138" s="138">
        <f>IF('1.DATOS-PROD'!AE139="SI",VLOOKUP('1.DATOS-PROD'!AE$2,'1.PUNTOS'!$A$1:$B$63,2,0),0)</f>
        <v>0</v>
      </c>
      <c r="W138" s="138">
        <f>IF('1.DATOS-PROD'!AF139="SI",VLOOKUP('1.DATOS-PROD'!AF$2,'1.PUNTOS'!$A$1:$B$63,2,0),0)</f>
        <v>0</v>
      </c>
      <c r="X138" s="138">
        <f>IF('1.DATOS-PROD'!AG139="SI",VLOOKUP('1.DATOS-PROD'!AG$2,'1.PUNTOS'!$A$1:$B$63,2,0),0)</f>
        <v>0</v>
      </c>
      <c r="Y138" s="138">
        <f>IF('1.DATOS-PROD'!AH139="SI",VLOOKUP('1.DATOS-PROD'!AH$2,'1.PUNTOS'!$A$1:$B$63,2,0),0)</f>
        <v>0</v>
      </c>
      <c r="Z138" s="138">
        <f>IF('1.DATOS-PROD'!AI139="SI",VLOOKUP('1.DATOS-PROD'!AI$2,'1.PUNTOS'!$A$1:$B$63,2,0),0)</f>
        <v>0</v>
      </c>
      <c r="AA138" s="138">
        <f>IF('1.DATOS-PROD'!AJ139="SI",VLOOKUP('1.DATOS-PROD'!AJ$2,'1.PUNTOS'!$A$1:$B$63,2,0),0)</f>
        <v>0</v>
      </c>
      <c r="AB138" s="138">
        <f>IF('1.DATOS-PROD'!AK139="SI",VLOOKUP('1.DATOS-PROD'!AK$2,'1.PUNTOS'!$A$1:$B$63,2,0),0)</f>
        <v>0</v>
      </c>
      <c r="AC138" s="138">
        <f>IF('1.DATOS-PROD'!AL139="SI",VLOOKUP('1.DATOS-PROD'!AL$2,'1.PUNTOS'!$A$1:$B$63,2,0),0)</f>
        <v>0</v>
      </c>
      <c r="AD138" s="138">
        <f>IF('1.DATOS-PROD'!AM139="SI",VLOOKUP('1.DATOS-PROD'!AM$2,'1.PUNTOS'!$A$1:$B$63,2,0),0)</f>
        <v>0</v>
      </c>
      <c r="AE138" s="138">
        <f>IF('1.DATOS-PROD'!AN139="SI",VLOOKUP('1.DATOS-PROD'!AN$2,'1.PUNTOS'!$A$1:$B$63,2,0),0)</f>
        <v>0</v>
      </c>
      <c r="AF138" s="138">
        <f>IF('1.DATOS-PROD'!AO139="SI",VLOOKUP('1.DATOS-PROD'!AO$2,'1.PUNTOS'!$A$1:$B$63,2,0),0)</f>
        <v>0</v>
      </c>
      <c r="AG138" s="138">
        <f>IF('1.DATOS-PROD'!AP139="SI",VLOOKUP('1.DATOS-PROD'!AP$2,'1.PUNTOS'!$A$1:$B$63,2,0),0)</f>
        <v>0</v>
      </c>
      <c r="AH138" s="138">
        <f>IF('1.DATOS-PROD'!AQ139="SI",VLOOKUP('1.DATOS-PROD'!AQ$2,'1.PUNTOS'!$A$1:$B$63,2,0),0)</f>
        <v>0</v>
      </c>
      <c r="AI138" s="138">
        <f>IF('1.DATOS-PROD'!AR139="SI",VLOOKUP('1.DATOS-PROD'!AR$2,'1.PUNTOS'!$A$1:$B$63,2,0),0)</f>
        <v>0</v>
      </c>
      <c r="AJ138" s="138">
        <f>IF('1.DATOS-PROD'!AS139="SI",VLOOKUP('1.DATOS-PROD'!AS$2,'1.PUNTOS'!$A$1:$B$63,2,0),0)</f>
        <v>0</v>
      </c>
      <c r="AK138" s="138">
        <f>IF('1.DATOS-PROD'!AT139="SI",VLOOKUP('1.DATOS-PROD'!AT$2,'1.PUNTOS'!$A$1:$B$63,2,0),0)</f>
        <v>0</v>
      </c>
      <c r="AL138" s="138">
        <f>IF('1.DATOS-PROD'!AU139="SI",VLOOKUP('1.DATOS-PROD'!AU$2,'1.PUNTOS'!$A$1:$B$63,2,0),0)</f>
        <v>0</v>
      </c>
      <c r="AM138" s="138">
        <f>IF('1.DATOS-PROD'!AV139="SI",VLOOKUP('1.DATOS-PROD'!AV$2,'1.PUNTOS'!$A$1:$B$63,2,0),0)</f>
        <v>0</v>
      </c>
      <c r="AN138" s="138">
        <f>IF('1.DATOS-PROD'!AW139="SI",VLOOKUP('1.DATOS-PROD'!AW$2,'1.PUNTOS'!$A$1:$B$63,2,0),0)</f>
        <v>0</v>
      </c>
      <c r="AO138" s="138">
        <f>IF('1.DATOS-PROD'!AX139="SI",VLOOKUP('1.DATOS-PROD'!AX$2,'1.PUNTOS'!$A$1:$B$63,2,0),0)</f>
        <v>0</v>
      </c>
      <c r="AP138" s="138">
        <f>IF('1.DATOS-PROD'!AY139="SI",VLOOKUP('1.DATOS-PROD'!AY$2,'1.PUNTOS'!$A$1:$B$63,2,0),0)</f>
        <v>0</v>
      </c>
      <c r="AQ138" s="138">
        <f>IF('1.DATOS-PROD'!AZ139="SI",VLOOKUP('1.DATOS-PROD'!AZ$2,'1.PUNTOS'!$A$1:$B$63,2,0),0)</f>
        <v>0</v>
      </c>
      <c r="AR138" s="138">
        <f>IF('1.DATOS-PROD'!BA139="SI",VLOOKUP('1.DATOS-PROD'!BA$2,'1.PUNTOS'!$A$1:$B$63,2,0),0)</f>
        <v>0</v>
      </c>
      <c r="AS138" s="138">
        <f>IF('1.DATOS-PROD'!BB139="SI",VLOOKUP('1.DATOS-PROD'!BB$2,'1.PUNTOS'!$A$1:$B$63,2,0),0)</f>
        <v>0</v>
      </c>
      <c r="AT138" s="138">
        <f>IF('1.DATOS-PROD'!BC139="SI",VLOOKUP('1.DATOS-PROD'!BC$2,'1.PUNTOS'!$A$1:$B$63,2,0),0)</f>
        <v>0</v>
      </c>
      <c r="AU138" s="138">
        <f>IF('1.DATOS-PROD'!BD139="SI",VLOOKUP('1.DATOS-PROD'!BD$2,'1.PUNTOS'!$A$1:$B$63,2,0),0)</f>
        <v>0</v>
      </c>
      <c r="AV138" s="138">
        <f>IF('1.DATOS-PROD'!BE139="SI",VLOOKUP('1.DATOS-PROD'!BE$2,'1.PUNTOS'!$A$1:$B$63,2,0),0)</f>
        <v>0</v>
      </c>
      <c r="AW138" s="138">
        <f>IF('1.DATOS-PROD'!BF139="SI",VLOOKUP('1.DATOS-PROD'!BF$2,'1.PUNTOS'!$A$1:$B$63,2,0),0)</f>
        <v>0</v>
      </c>
      <c r="AX138" s="138">
        <f>IF('1.DATOS-PROD'!BG139="SI",VLOOKUP('1.DATOS-PROD'!BG$2,'1.PUNTOS'!$A$1:$B$63,2,0),0)</f>
        <v>0</v>
      </c>
      <c r="AY138" s="138">
        <f>IF('1.DATOS-PROD'!BH139="SI",VLOOKUP('1.DATOS-PROD'!BH$2,'1.PUNTOS'!$A$1:$B$63,2,0),0)</f>
        <v>0</v>
      </c>
      <c r="AZ138" s="138">
        <f>IF('1.DATOS-PROD'!BI139="SI",VLOOKUP('1.DATOS-PROD'!BI$2,'1.PUNTOS'!$A$1:$B$63,2,0),0)</f>
        <v>0</v>
      </c>
      <c r="BA138" s="138">
        <f>IF('1.DATOS-PROD'!BJ139="SI",VLOOKUP('1.DATOS-PROD'!BJ$2,'1.PUNTOS'!$A$1:$B$63,2,0),0)</f>
        <v>0</v>
      </c>
      <c r="BB138" s="138">
        <f>IF('1.DATOS-PROD'!BK139="SI",VLOOKUP('1.DATOS-PROD'!BK$2,'1.PUNTOS'!$A$1:$B$63,2,0),0)</f>
        <v>0</v>
      </c>
      <c r="BC138" s="138">
        <f>IF('1.DATOS-PROD'!BL139="SI",VLOOKUP('1.DATOS-PROD'!BL$2,'1.PUNTOS'!$A$1:$B$63,2,0),0)</f>
        <v>0</v>
      </c>
      <c r="BD138" s="138">
        <f>IF('1.DATOS-PROD'!BM139="SI",VLOOKUP('1.DATOS-PROD'!BM$2,'1.PUNTOS'!$A$1:$B$63,2,0),0)</f>
        <v>0</v>
      </c>
      <c r="BE138" s="138">
        <f>IF('1.DATOS-PROD'!BN139="SI",VLOOKUP('1.DATOS-PROD'!BN$2,'1.PUNTOS'!$A$1:$B$63,2,0),0)</f>
        <v>0</v>
      </c>
      <c r="BF138" s="138">
        <f>IF('1.DATOS-PROD'!BO139="SI",VLOOKUP('1.DATOS-PROD'!BO$2,'1.PUNTOS'!$A$1:$B$63,2,0),0)</f>
        <v>0</v>
      </c>
      <c r="BG138" s="138">
        <f>IF('1.DATOS-PROD'!BP139="SI",VLOOKUP('1.DATOS-PROD'!BP$2,'1.PUNTOS'!$A$1:$B$63,2,0),0)</f>
        <v>0</v>
      </c>
      <c r="BH138" s="138">
        <f>IF('1.DATOS-PROD'!BQ139="SI",VLOOKUP('1.DATOS-PROD'!BQ$2,'1.PUNTOS'!$A$1:$B$63,2,0),0)</f>
        <v>0</v>
      </c>
      <c r="BI138" s="138">
        <f>IF('1.DATOS-PROD'!BR139="SI",VLOOKUP('1.DATOS-PROD'!BR$2,'1.PUNTOS'!$A$1:$B$63,2,0),0)</f>
        <v>0</v>
      </c>
      <c r="BJ138" s="138">
        <f>IF('1.DATOS-PROD'!BS139="SI",VLOOKUP('1.DATOS-PROD'!BS$2,'1.PUNTOS'!$A$1:$B$63,2,0),0)</f>
        <v>0</v>
      </c>
      <c r="BK138" s="138">
        <f>IF('1.DATOS-PROD'!BT139="SI",VLOOKUP('1.DATOS-PROD'!BT$2,'1.PUNTOS'!$A$1:$B$63,2,0),0)</f>
        <v>0</v>
      </c>
    </row>
    <row r="139" spans="1:63" x14ac:dyDescent="0.25">
      <c r="A139">
        <f>'0.Consolidado general'!$A140</f>
        <v>0</v>
      </c>
      <c r="B139" s="138">
        <f>IF('1.DATOS-PROD'!K140="SI",VLOOKUP('1.DATOS-PROD'!K$2,'1.PUNTOS'!$A$1:$B$63,2,0),0)</f>
        <v>0</v>
      </c>
      <c r="C139" s="138">
        <f>IF('1.DATOS-PROD'!L140="SI",VLOOKUP('1.DATOS-PROD'!L$2,'1.PUNTOS'!$A$1:$B$63,2,0),0)</f>
        <v>0</v>
      </c>
      <c r="D139" s="138">
        <f>IF('1.DATOS-PROD'!M140="SI",VLOOKUP('1.DATOS-PROD'!M$2,'1.PUNTOS'!$A$1:$B$63,2,0),0)</f>
        <v>0</v>
      </c>
      <c r="E139" s="138">
        <f>IF('1.DATOS-PROD'!N140="SI",VLOOKUP('1.DATOS-PROD'!N$2,'1.PUNTOS'!$A$1:$B$63,2,0),0)</f>
        <v>0</v>
      </c>
      <c r="F139" s="138">
        <f>IF('1.DATOS-PROD'!O140="SI",VLOOKUP('1.DATOS-PROD'!O$2,'1.PUNTOS'!$A$1:$B$63,2,0),0)</f>
        <v>0</v>
      </c>
      <c r="G139" s="138">
        <f>IF('1.DATOS-PROD'!P140="SI",VLOOKUP('1.DATOS-PROD'!P$2,'1.PUNTOS'!$A$1:$B$63,2,0),0)</f>
        <v>0</v>
      </c>
      <c r="H139" s="138">
        <f>IF('1.DATOS-PROD'!Q140="SI",VLOOKUP('1.DATOS-PROD'!Q$2,'1.PUNTOS'!$A$1:$B$63,2,0),0)</f>
        <v>0</v>
      </c>
      <c r="I139" s="138">
        <f>IF('1.DATOS-PROD'!R140="SI",VLOOKUP('1.DATOS-PROD'!R$2,'1.PUNTOS'!$A$1:$B$63,2,0),0)</f>
        <v>0</v>
      </c>
      <c r="J139" s="138">
        <f>IF('1.DATOS-PROD'!S140="SI",VLOOKUP('1.DATOS-PROD'!S$2,'1.PUNTOS'!$A$1:$B$63,2,0),0)</f>
        <v>0</v>
      </c>
      <c r="K139" s="138">
        <f>IF('1.DATOS-PROD'!T140="SI",VLOOKUP('1.DATOS-PROD'!T$2,'1.PUNTOS'!$A$1:$B$63,2,0),0)</f>
        <v>0</v>
      </c>
      <c r="L139" s="138">
        <f>IF('1.DATOS-PROD'!U140="SI",VLOOKUP('1.DATOS-PROD'!U$2,'1.PUNTOS'!$A$1:$B$63,2,0),0)</f>
        <v>0</v>
      </c>
      <c r="M139" s="138">
        <f>IF('1.DATOS-PROD'!V140="SI",VLOOKUP('1.DATOS-PROD'!V$2,'1.PUNTOS'!$A$1:$B$63,2,0),0)</f>
        <v>0</v>
      </c>
      <c r="N139" s="138">
        <f>IF('1.DATOS-PROD'!W140="SI",VLOOKUP('1.DATOS-PROD'!W$2,'1.PUNTOS'!$A$1:$B$63,2,0),0)</f>
        <v>0</v>
      </c>
      <c r="O139" s="138">
        <f>IF('1.DATOS-PROD'!X140="SI",VLOOKUP('1.DATOS-PROD'!X$2,'1.PUNTOS'!$A$1:$B$63,2,0),0)</f>
        <v>0</v>
      </c>
      <c r="P139" s="138">
        <f>IF('1.DATOS-PROD'!Y140="SI",VLOOKUP('1.DATOS-PROD'!Y$2,'1.PUNTOS'!$A$1:$B$63,2,0),0)</f>
        <v>0</v>
      </c>
      <c r="Q139" s="138">
        <f>IF('1.DATOS-PROD'!Z140="SI",VLOOKUP('1.DATOS-PROD'!Z$2,'1.PUNTOS'!$A$1:$B$63,2,0),0)</f>
        <v>0</v>
      </c>
      <c r="R139" s="138">
        <f>IF('1.DATOS-PROD'!AA140="SI",VLOOKUP('1.DATOS-PROD'!AA$2,'1.PUNTOS'!$A$1:$B$63,2,0),0)</f>
        <v>0</v>
      </c>
      <c r="S139" s="138">
        <f>IF('1.DATOS-PROD'!AB140="SI",VLOOKUP('1.DATOS-PROD'!AB$2,'1.PUNTOS'!$A$1:$B$63,2,0),0)</f>
        <v>0</v>
      </c>
      <c r="T139" s="138">
        <f>IF('1.DATOS-PROD'!AC140="SI",VLOOKUP('1.DATOS-PROD'!AC$2,'1.PUNTOS'!$A$1:$B$63,2,0),0)</f>
        <v>0</v>
      </c>
      <c r="U139" s="138">
        <f>IF('1.DATOS-PROD'!AD140="SI",VLOOKUP('1.DATOS-PROD'!AD$2,'1.PUNTOS'!$A$1:$B$63,2,0),0)</f>
        <v>0</v>
      </c>
      <c r="V139" s="138">
        <f>IF('1.DATOS-PROD'!AE140="SI",VLOOKUP('1.DATOS-PROD'!AE$2,'1.PUNTOS'!$A$1:$B$63,2,0),0)</f>
        <v>0</v>
      </c>
      <c r="W139" s="138">
        <f>IF('1.DATOS-PROD'!AF140="SI",VLOOKUP('1.DATOS-PROD'!AF$2,'1.PUNTOS'!$A$1:$B$63,2,0),0)</f>
        <v>0</v>
      </c>
      <c r="X139" s="138">
        <f>IF('1.DATOS-PROD'!AG140="SI",VLOOKUP('1.DATOS-PROD'!AG$2,'1.PUNTOS'!$A$1:$B$63,2,0),0)</f>
        <v>0</v>
      </c>
      <c r="Y139" s="138">
        <f>IF('1.DATOS-PROD'!AH140="SI",VLOOKUP('1.DATOS-PROD'!AH$2,'1.PUNTOS'!$A$1:$B$63,2,0),0)</f>
        <v>0</v>
      </c>
      <c r="Z139" s="138">
        <f>IF('1.DATOS-PROD'!AI140="SI",VLOOKUP('1.DATOS-PROD'!AI$2,'1.PUNTOS'!$A$1:$B$63,2,0),0)</f>
        <v>0</v>
      </c>
      <c r="AA139" s="138">
        <f>IF('1.DATOS-PROD'!AJ140="SI",VLOOKUP('1.DATOS-PROD'!AJ$2,'1.PUNTOS'!$A$1:$B$63,2,0),0)</f>
        <v>0</v>
      </c>
      <c r="AB139" s="138">
        <f>IF('1.DATOS-PROD'!AK140="SI",VLOOKUP('1.DATOS-PROD'!AK$2,'1.PUNTOS'!$A$1:$B$63,2,0),0)</f>
        <v>0</v>
      </c>
      <c r="AC139" s="138">
        <f>IF('1.DATOS-PROD'!AL140="SI",VLOOKUP('1.DATOS-PROD'!AL$2,'1.PUNTOS'!$A$1:$B$63,2,0),0)</f>
        <v>0</v>
      </c>
      <c r="AD139" s="138">
        <f>IF('1.DATOS-PROD'!AM140="SI",VLOOKUP('1.DATOS-PROD'!AM$2,'1.PUNTOS'!$A$1:$B$63,2,0),0)</f>
        <v>0</v>
      </c>
      <c r="AE139" s="138">
        <f>IF('1.DATOS-PROD'!AN140="SI",VLOOKUP('1.DATOS-PROD'!AN$2,'1.PUNTOS'!$A$1:$B$63,2,0),0)</f>
        <v>0</v>
      </c>
      <c r="AF139" s="138">
        <f>IF('1.DATOS-PROD'!AO140="SI",VLOOKUP('1.DATOS-PROD'!AO$2,'1.PUNTOS'!$A$1:$B$63,2,0),0)</f>
        <v>0</v>
      </c>
      <c r="AG139" s="138">
        <f>IF('1.DATOS-PROD'!AP140="SI",VLOOKUP('1.DATOS-PROD'!AP$2,'1.PUNTOS'!$A$1:$B$63,2,0),0)</f>
        <v>0</v>
      </c>
      <c r="AH139" s="138">
        <f>IF('1.DATOS-PROD'!AQ140="SI",VLOOKUP('1.DATOS-PROD'!AQ$2,'1.PUNTOS'!$A$1:$B$63,2,0),0)</f>
        <v>0</v>
      </c>
      <c r="AI139" s="138">
        <f>IF('1.DATOS-PROD'!AR140="SI",VLOOKUP('1.DATOS-PROD'!AR$2,'1.PUNTOS'!$A$1:$B$63,2,0),0)</f>
        <v>0</v>
      </c>
      <c r="AJ139" s="138">
        <f>IF('1.DATOS-PROD'!AS140="SI",VLOOKUP('1.DATOS-PROD'!AS$2,'1.PUNTOS'!$A$1:$B$63,2,0),0)</f>
        <v>0</v>
      </c>
      <c r="AK139" s="138">
        <f>IF('1.DATOS-PROD'!AT140="SI",VLOOKUP('1.DATOS-PROD'!AT$2,'1.PUNTOS'!$A$1:$B$63,2,0),0)</f>
        <v>0</v>
      </c>
      <c r="AL139" s="138">
        <f>IF('1.DATOS-PROD'!AU140="SI",VLOOKUP('1.DATOS-PROD'!AU$2,'1.PUNTOS'!$A$1:$B$63,2,0),0)</f>
        <v>0</v>
      </c>
      <c r="AM139" s="138">
        <f>IF('1.DATOS-PROD'!AV140="SI",VLOOKUP('1.DATOS-PROD'!AV$2,'1.PUNTOS'!$A$1:$B$63,2,0),0)</f>
        <v>0</v>
      </c>
      <c r="AN139" s="138">
        <f>IF('1.DATOS-PROD'!AW140="SI",VLOOKUP('1.DATOS-PROD'!AW$2,'1.PUNTOS'!$A$1:$B$63,2,0),0)</f>
        <v>0</v>
      </c>
      <c r="AO139" s="138">
        <f>IF('1.DATOS-PROD'!AX140="SI",VLOOKUP('1.DATOS-PROD'!AX$2,'1.PUNTOS'!$A$1:$B$63,2,0),0)</f>
        <v>0</v>
      </c>
      <c r="AP139" s="138">
        <f>IF('1.DATOS-PROD'!AY140="SI",VLOOKUP('1.DATOS-PROD'!AY$2,'1.PUNTOS'!$A$1:$B$63,2,0),0)</f>
        <v>0</v>
      </c>
      <c r="AQ139" s="138">
        <f>IF('1.DATOS-PROD'!AZ140="SI",VLOOKUP('1.DATOS-PROD'!AZ$2,'1.PUNTOS'!$A$1:$B$63,2,0),0)</f>
        <v>0</v>
      </c>
      <c r="AR139" s="138">
        <f>IF('1.DATOS-PROD'!BA140="SI",VLOOKUP('1.DATOS-PROD'!BA$2,'1.PUNTOS'!$A$1:$B$63,2,0),0)</f>
        <v>0</v>
      </c>
      <c r="AS139" s="138">
        <f>IF('1.DATOS-PROD'!BB140="SI",VLOOKUP('1.DATOS-PROD'!BB$2,'1.PUNTOS'!$A$1:$B$63,2,0),0)</f>
        <v>0</v>
      </c>
      <c r="AT139" s="138">
        <f>IF('1.DATOS-PROD'!BC140="SI",VLOOKUP('1.DATOS-PROD'!BC$2,'1.PUNTOS'!$A$1:$B$63,2,0),0)</f>
        <v>0</v>
      </c>
      <c r="AU139" s="138">
        <f>IF('1.DATOS-PROD'!BD140="SI",VLOOKUP('1.DATOS-PROD'!BD$2,'1.PUNTOS'!$A$1:$B$63,2,0),0)</f>
        <v>0</v>
      </c>
      <c r="AV139" s="138">
        <f>IF('1.DATOS-PROD'!BE140="SI",VLOOKUP('1.DATOS-PROD'!BE$2,'1.PUNTOS'!$A$1:$B$63,2,0),0)</f>
        <v>0</v>
      </c>
      <c r="AW139" s="138">
        <f>IF('1.DATOS-PROD'!BF140="SI",VLOOKUP('1.DATOS-PROD'!BF$2,'1.PUNTOS'!$A$1:$B$63,2,0),0)</f>
        <v>0</v>
      </c>
      <c r="AX139" s="138">
        <f>IF('1.DATOS-PROD'!BG140="SI",VLOOKUP('1.DATOS-PROD'!BG$2,'1.PUNTOS'!$A$1:$B$63,2,0),0)</f>
        <v>0</v>
      </c>
      <c r="AY139" s="138">
        <f>IF('1.DATOS-PROD'!BH140="SI",VLOOKUP('1.DATOS-PROD'!BH$2,'1.PUNTOS'!$A$1:$B$63,2,0),0)</f>
        <v>0</v>
      </c>
      <c r="AZ139" s="138">
        <f>IF('1.DATOS-PROD'!BI140="SI",VLOOKUP('1.DATOS-PROD'!BI$2,'1.PUNTOS'!$A$1:$B$63,2,0),0)</f>
        <v>0</v>
      </c>
      <c r="BA139" s="138">
        <f>IF('1.DATOS-PROD'!BJ140="SI",VLOOKUP('1.DATOS-PROD'!BJ$2,'1.PUNTOS'!$A$1:$B$63,2,0),0)</f>
        <v>0</v>
      </c>
      <c r="BB139" s="138">
        <f>IF('1.DATOS-PROD'!BK140="SI",VLOOKUP('1.DATOS-PROD'!BK$2,'1.PUNTOS'!$A$1:$B$63,2,0),0)</f>
        <v>0</v>
      </c>
      <c r="BC139" s="138">
        <f>IF('1.DATOS-PROD'!BL140="SI",VLOOKUP('1.DATOS-PROD'!BL$2,'1.PUNTOS'!$A$1:$B$63,2,0),0)</f>
        <v>0</v>
      </c>
      <c r="BD139" s="138">
        <f>IF('1.DATOS-PROD'!BM140="SI",VLOOKUP('1.DATOS-PROD'!BM$2,'1.PUNTOS'!$A$1:$B$63,2,0),0)</f>
        <v>0</v>
      </c>
      <c r="BE139" s="138">
        <f>IF('1.DATOS-PROD'!BN140="SI",VLOOKUP('1.DATOS-PROD'!BN$2,'1.PUNTOS'!$A$1:$B$63,2,0),0)</f>
        <v>0</v>
      </c>
      <c r="BF139" s="138">
        <f>IF('1.DATOS-PROD'!BO140="SI",VLOOKUP('1.DATOS-PROD'!BO$2,'1.PUNTOS'!$A$1:$B$63,2,0),0)</f>
        <v>0</v>
      </c>
      <c r="BG139" s="138">
        <f>IF('1.DATOS-PROD'!BP140="SI",VLOOKUP('1.DATOS-PROD'!BP$2,'1.PUNTOS'!$A$1:$B$63,2,0),0)</f>
        <v>0</v>
      </c>
      <c r="BH139" s="138">
        <f>IF('1.DATOS-PROD'!BQ140="SI",VLOOKUP('1.DATOS-PROD'!BQ$2,'1.PUNTOS'!$A$1:$B$63,2,0),0)</f>
        <v>0</v>
      </c>
      <c r="BI139" s="138">
        <f>IF('1.DATOS-PROD'!BR140="SI",VLOOKUP('1.DATOS-PROD'!BR$2,'1.PUNTOS'!$A$1:$B$63,2,0),0)</f>
        <v>0</v>
      </c>
      <c r="BJ139" s="138">
        <f>IF('1.DATOS-PROD'!BS140="SI",VLOOKUP('1.DATOS-PROD'!BS$2,'1.PUNTOS'!$A$1:$B$63,2,0),0)</f>
        <v>0</v>
      </c>
      <c r="BK139" s="138">
        <f>IF('1.DATOS-PROD'!BT140="SI",VLOOKUP('1.DATOS-PROD'!BT$2,'1.PUNTOS'!$A$1:$B$63,2,0),0)</f>
        <v>0</v>
      </c>
    </row>
    <row r="140" spans="1:63" x14ac:dyDescent="0.25">
      <c r="A140">
        <f>'0.Consolidado general'!$A141</f>
        <v>0</v>
      </c>
      <c r="B140" s="138">
        <f>IF('1.DATOS-PROD'!K141="SI",VLOOKUP('1.DATOS-PROD'!K$2,'1.PUNTOS'!$A$1:$B$63,2,0),0)</f>
        <v>0</v>
      </c>
      <c r="C140" s="138">
        <f>IF('1.DATOS-PROD'!L141="SI",VLOOKUP('1.DATOS-PROD'!L$2,'1.PUNTOS'!$A$1:$B$63,2,0),0)</f>
        <v>0</v>
      </c>
      <c r="D140" s="138">
        <f>IF('1.DATOS-PROD'!M141="SI",VLOOKUP('1.DATOS-PROD'!M$2,'1.PUNTOS'!$A$1:$B$63,2,0),0)</f>
        <v>0</v>
      </c>
      <c r="E140" s="138">
        <f>IF('1.DATOS-PROD'!N141="SI",VLOOKUP('1.DATOS-PROD'!N$2,'1.PUNTOS'!$A$1:$B$63,2,0),0)</f>
        <v>0</v>
      </c>
      <c r="F140" s="138">
        <f>IF('1.DATOS-PROD'!O141="SI",VLOOKUP('1.DATOS-PROD'!O$2,'1.PUNTOS'!$A$1:$B$63,2,0),0)</f>
        <v>0</v>
      </c>
      <c r="G140" s="138">
        <f>IF('1.DATOS-PROD'!P141="SI",VLOOKUP('1.DATOS-PROD'!P$2,'1.PUNTOS'!$A$1:$B$63,2,0),0)</f>
        <v>0</v>
      </c>
      <c r="H140" s="138">
        <f>IF('1.DATOS-PROD'!Q141="SI",VLOOKUP('1.DATOS-PROD'!Q$2,'1.PUNTOS'!$A$1:$B$63,2,0),0)</f>
        <v>0</v>
      </c>
      <c r="I140" s="138">
        <f>IF('1.DATOS-PROD'!R141="SI",VLOOKUP('1.DATOS-PROD'!R$2,'1.PUNTOS'!$A$1:$B$63,2,0),0)</f>
        <v>0</v>
      </c>
      <c r="J140" s="138">
        <f>IF('1.DATOS-PROD'!S141="SI",VLOOKUP('1.DATOS-PROD'!S$2,'1.PUNTOS'!$A$1:$B$63,2,0),0)</f>
        <v>0</v>
      </c>
      <c r="K140" s="138">
        <f>IF('1.DATOS-PROD'!T141="SI",VLOOKUP('1.DATOS-PROD'!T$2,'1.PUNTOS'!$A$1:$B$63,2,0),0)</f>
        <v>0</v>
      </c>
      <c r="L140" s="138">
        <f>IF('1.DATOS-PROD'!U141="SI",VLOOKUP('1.DATOS-PROD'!U$2,'1.PUNTOS'!$A$1:$B$63,2,0),0)</f>
        <v>0</v>
      </c>
      <c r="M140" s="138">
        <f>IF('1.DATOS-PROD'!V141="SI",VLOOKUP('1.DATOS-PROD'!V$2,'1.PUNTOS'!$A$1:$B$63,2,0),0)</f>
        <v>0</v>
      </c>
      <c r="N140" s="138">
        <f>IF('1.DATOS-PROD'!W141="SI",VLOOKUP('1.DATOS-PROD'!W$2,'1.PUNTOS'!$A$1:$B$63,2,0),0)</f>
        <v>0</v>
      </c>
      <c r="O140" s="138">
        <f>IF('1.DATOS-PROD'!X141="SI",VLOOKUP('1.DATOS-PROD'!X$2,'1.PUNTOS'!$A$1:$B$63,2,0),0)</f>
        <v>0</v>
      </c>
      <c r="P140" s="138">
        <f>IF('1.DATOS-PROD'!Y141="SI",VLOOKUP('1.DATOS-PROD'!Y$2,'1.PUNTOS'!$A$1:$B$63,2,0),0)</f>
        <v>0</v>
      </c>
      <c r="Q140" s="138">
        <f>IF('1.DATOS-PROD'!Z141="SI",VLOOKUP('1.DATOS-PROD'!Z$2,'1.PUNTOS'!$A$1:$B$63,2,0),0)</f>
        <v>0</v>
      </c>
      <c r="R140" s="138">
        <f>IF('1.DATOS-PROD'!AA141="SI",VLOOKUP('1.DATOS-PROD'!AA$2,'1.PUNTOS'!$A$1:$B$63,2,0),0)</f>
        <v>0</v>
      </c>
      <c r="S140" s="138">
        <f>IF('1.DATOS-PROD'!AB141="SI",VLOOKUP('1.DATOS-PROD'!AB$2,'1.PUNTOS'!$A$1:$B$63,2,0),0)</f>
        <v>0</v>
      </c>
      <c r="T140" s="138">
        <f>IF('1.DATOS-PROD'!AC141="SI",VLOOKUP('1.DATOS-PROD'!AC$2,'1.PUNTOS'!$A$1:$B$63,2,0),0)</f>
        <v>0</v>
      </c>
      <c r="U140" s="138">
        <f>IF('1.DATOS-PROD'!AD141="SI",VLOOKUP('1.DATOS-PROD'!AD$2,'1.PUNTOS'!$A$1:$B$63,2,0),0)</f>
        <v>0</v>
      </c>
      <c r="V140" s="138">
        <f>IF('1.DATOS-PROD'!AE141="SI",VLOOKUP('1.DATOS-PROD'!AE$2,'1.PUNTOS'!$A$1:$B$63,2,0),0)</f>
        <v>0</v>
      </c>
      <c r="W140" s="138">
        <f>IF('1.DATOS-PROD'!AF141="SI",VLOOKUP('1.DATOS-PROD'!AF$2,'1.PUNTOS'!$A$1:$B$63,2,0),0)</f>
        <v>0</v>
      </c>
      <c r="X140" s="138">
        <f>IF('1.DATOS-PROD'!AG141="SI",VLOOKUP('1.DATOS-PROD'!AG$2,'1.PUNTOS'!$A$1:$B$63,2,0),0)</f>
        <v>0</v>
      </c>
      <c r="Y140" s="138">
        <f>IF('1.DATOS-PROD'!AH141="SI",VLOOKUP('1.DATOS-PROD'!AH$2,'1.PUNTOS'!$A$1:$B$63,2,0),0)</f>
        <v>0</v>
      </c>
      <c r="Z140" s="138">
        <f>IF('1.DATOS-PROD'!AI141="SI",VLOOKUP('1.DATOS-PROD'!AI$2,'1.PUNTOS'!$A$1:$B$63,2,0),0)</f>
        <v>0</v>
      </c>
      <c r="AA140" s="138">
        <f>IF('1.DATOS-PROD'!AJ141="SI",VLOOKUP('1.DATOS-PROD'!AJ$2,'1.PUNTOS'!$A$1:$B$63,2,0),0)</f>
        <v>0</v>
      </c>
      <c r="AB140" s="138">
        <f>IF('1.DATOS-PROD'!AK141="SI",VLOOKUP('1.DATOS-PROD'!AK$2,'1.PUNTOS'!$A$1:$B$63,2,0),0)</f>
        <v>0</v>
      </c>
      <c r="AC140" s="138">
        <f>IF('1.DATOS-PROD'!AL141="SI",VLOOKUP('1.DATOS-PROD'!AL$2,'1.PUNTOS'!$A$1:$B$63,2,0),0)</f>
        <v>0</v>
      </c>
      <c r="AD140" s="138">
        <f>IF('1.DATOS-PROD'!AM141="SI",VLOOKUP('1.DATOS-PROD'!AM$2,'1.PUNTOS'!$A$1:$B$63,2,0),0)</f>
        <v>0</v>
      </c>
      <c r="AE140" s="138">
        <f>IF('1.DATOS-PROD'!AN141="SI",VLOOKUP('1.DATOS-PROD'!AN$2,'1.PUNTOS'!$A$1:$B$63,2,0),0)</f>
        <v>0</v>
      </c>
      <c r="AF140" s="138">
        <f>IF('1.DATOS-PROD'!AO141="SI",VLOOKUP('1.DATOS-PROD'!AO$2,'1.PUNTOS'!$A$1:$B$63,2,0),0)</f>
        <v>0</v>
      </c>
      <c r="AG140" s="138">
        <f>IF('1.DATOS-PROD'!AP141="SI",VLOOKUP('1.DATOS-PROD'!AP$2,'1.PUNTOS'!$A$1:$B$63,2,0),0)</f>
        <v>0</v>
      </c>
      <c r="AH140" s="138">
        <f>IF('1.DATOS-PROD'!AQ141="SI",VLOOKUP('1.DATOS-PROD'!AQ$2,'1.PUNTOS'!$A$1:$B$63,2,0),0)</f>
        <v>0</v>
      </c>
      <c r="AI140" s="138">
        <f>IF('1.DATOS-PROD'!AR141="SI",VLOOKUP('1.DATOS-PROD'!AR$2,'1.PUNTOS'!$A$1:$B$63,2,0),0)</f>
        <v>0</v>
      </c>
      <c r="AJ140" s="138">
        <f>IF('1.DATOS-PROD'!AS141="SI",VLOOKUP('1.DATOS-PROD'!AS$2,'1.PUNTOS'!$A$1:$B$63,2,0),0)</f>
        <v>0</v>
      </c>
      <c r="AK140" s="138">
        <f>IF('1.DATOS-PROD'!AT141="SI",VLOOKUP('1.DATOS-PROD'!AT$2,'1.PUNTOS'!$A$1:$B$63,2,0),0)</f>
        <v>0</v>
      </c>
      <c r="AL140" s="138">
        <f>IF('1.DATOS-PROD'!AU141="SI",VLOOKUP('1.DATOS-PROD'!AU$2,'1.PUNTOS'!$A$1:$B$63,2,0),0)</f>
        <v>0</v>
      </c>
      <c r="AM140" s="138">
        <f>IF('1.DATOS-PROD'!AV141="SI",VLOOKUP('1.DATOS-PROD'!AV$2,'1.PUNTOS'!$A$1:$B$63,2,0),0)</f>
        <v>0</v>
      </c>
      <c r="AN140" s="138">
        <f>IF('1.DATOS-PROD'!AW141="SI",VLOOKUP('1.DATOS-PROD'!AW$2,'1.PUNTOS'!$A$1:$B$63,2,0),0)</f>
        <v>0</v>
      </c>
      <c r="AO140" s="138">
        <f>IF('1.DATOS-PROD'!AX141="SI",VLOOKUP('1.DATOS-PROD'!AX$2,'1.PUNTOS'!$A$1:$B$63,2,0),0)</f>
        <v>0</v>
      </c>
      <c r="AP140" s="138">
        <f>IF('1.DATOS-PROD'!AY141="SI",VLOOKUP('1.DATOS-PROD'!AY$2,'1.PUNTOS'!$A$1:$B$63,2,0),0)</f>
        <v>0</v>
      </c>
      <c r="AQ140" s="138">
        <f>IF('1.DATOS-PROD'!AZ141="SI",VLOOKUP('1.DATOS-PROD'!AZ$2,'1.PUNTOS'!$A$1:$B$63,2,0),0)</f>
        <v>0</v>
      </c>
      <c r="AR140" s="138">
        <f>IF('1.DATOS-PROD'!BA141="SI",VLOOKUP('1.DATOS-PROD'!BA$2,'1.PUNTOS'!$A$1:$B$63,2,0),0)</f>
        <v>0</v>
      </c>
      <c r="AS140" s="138">
        <f>IF('1.DATOS-PROD'!BB141="SI",VLOOKUP('1.DATOS-PROD'!BB$2,'1.PUNTOS'!$A$1:$B$63,2,0),0)</f>
        <v>0</v>
      </c>
      <c r="AT140" s="138">
        <f>IF('1.DATOS-PROD'!BC141="SI",VLOOKUP('1.DATOS-PROD'!BC$2,'1.PUNTOS'!$A$1:$B$63,2,0),0)</f>
        <v>0</v>
      </c>
      <c r="AU140" s="138">
        <f>IF('1.DATOS-PROD'!BD141="SI",VLOOKUP('1.DATOS-PROD'!BD$2,'1.PUNTOS'!$A$1:$B$63,2,0),0)</f>
        <v>0</v>
      </c>
      <c r="AV140" s="138">
        <f>IF('1.DATOS-PROD'!BE141="SI",VLOOKUP('1.DATOS-PROD'!BE$2,'1.PUNTOS'!$A$1:$B$63,2,0),0)</f>
        <v>0</v>
      </c>
      <c r="AW140" s="138">
        <f>IF('1.DATOS-PROD'!BF141="SI",VLOOKUP('1.DATOS-PROD'!BF$2,'1.PUNTOS'!$A$1:$B$63,2,0),0)</f>
        <v>0</v>
      </c>
      <c r="AX140" s="138">
        <f>IF('1.DATOS-PROD'!BG141="SI",VLOOKUP('1.DATOS-PROD'!BG$2,'1.PUNTOS'!$A$1:$B$63,2,0),0)</f>
        <v>0</v>
      </c>
      <c r="AY140" s="138">
        <f>IF('1.DATOS-PROD'!BH141="SI",VLOOKUP('1.DATOS-PROD'!BH$2,'1.PUNTOS'!$A$1:$B$63,2,0),0)</f>
        <v>0</v>
      </c>
      <c r="AZ140" s="138">
        <f>IF('1.DATOS-PROD'!BI141="SI",VLOOKUP('1.DATOS-PROD'!BI$2,'1.PUNTOS'!$A$1:$B$63,2,0),0)</f>
        <v>0</v>
      </c>
      <c r="BA140" s="138">
        <f>IF('1.DATOS-PROD'!BJ141="SI",VLOOKUP('1.DATOS-PROD'!BJ$2,'1.PUNTOS'!$A$1:$B$63,2,0),0)</f>
        <v>0</v>
      </c>
      <c r="BB140" s="138">
        <f>IF('1.DATOS-PROD'!BK141="SI",VLOOKUP('1.DATOS-PROD'!BK$2,'1.PUNTOS'!$A$1:$B$63,2,0),0)</f>
        <v>0</v>
      </c>
      <c r="BC140" s="138">
        <f>IF('1.DATOS-PROD'!BL141="SI",VLOOKUP('1.DATOS-PROD'!BL$2,'1.PUNTOS'!$A$1:$B$63,2,0),0)</f>
        <v>0</v>
      </c>
      <c r="BD140" s="138">
        <f>IF('1.DATOS-PROD'!BM141="SI",VLOOKUP('1.DATOS-PROD'!BM$2,'1.PUNTOS'!$A$1:$B$63,2,0),0)</f>
        <v>0</v>
      </c>
      <c r="BE140" s="138">
        <f>IF('1.DATOS-PROD'!BN141="SI",VLOOKUP('1.DATOS-PROD'!BN$2,'1.PUNTOS'!$A$1:$B$63,2,0),0)</f>
        <v>0</v>
      </c>
      <c r="BF140" s="138">
        <f>IF('1.DATOS-PROD'!BO141="SI",VLOOKUP('1.DATOS-PROD'!BO$2,'1.PUNTOS'!$A$1:$B$63,2,0),0)</f>
        <v>0</v>
      </c>
      <c r="BG140" s="138">
        <f>IF('1.DATOS-PROD'!BP141="SI",VLOOKUP('1.DATOS-PROD'!BP$2,'1.PUNTOS'!$A$1:$B$63,2,0),0)</f>
        <v>0</v>
      </c>
      <c r="BH140" s="138">
        <f>IF('1.DATOS-PROD'!BQ141="SI",VLOOKUP('1.DATOS-PROD'!BQ$2,'1.PUNTOS'!$A$1:$B$63,2,0),0)</f>
        <v>0</v>
      </c>
      <c r="BI140" s="138">
        <f>IF('1.DATOS-PROD'!BR141="SI",VLOOKUP('1.DATOS-PROD'!BR$2,'1.PUNTOS'!$A$1:$B$63,2,0),0)</f>
        <v>0</v>
      </c>
      <c r="BJ140" s="138">
        <f>IF('1.DATOS-PROD'!BS141="SI",VLOOKUP('1.DATOS-PROD'!BS$2,'1.PUNTOS'!$A$1:$B$63,2,0),0)</f>
        <v>0</v>
      </c>
      <c r="BK140" s="138">
        <f>IF('1.DATOS-PROD'!BT141="SI",VLOOKUP('1.DATOS-PROD'!BT$2,'1.PUNTOS'!$A$1:$B$63,2,0),0)</f>
        <v>0</v>
      </c>
    </row>
    <row r="141" spans="1:63" x14ac:dyDescent="0.25">
      <c r="A141">
        <f>'0.Consolidado general'!$A142</f>
        <v>0</v>
      </c>
      <c r="B141" s="138">
        <f>IF('1.DATOS-PROD'!K142="SI",VLOOKUP('1.DATOS-PROD'!K$2,'1.PUNTOS'!$A$1:$B$63,2,0),0)</f>
        <v>0</v>
      </c>
      <c r="C141" s="138">
        <f>IF('1.DATOS-PROD'!L142="SI",VLOOKUP('1.DATOS-PROD'!L$2,'1.PUNTOS'!$A$1:$B$63,2,0),0)</f>
        <v>0</v>
      </c>
      <c r="D141" s="138">
        <f>IF('1.DATOS-PROD'!M142="SI",VLOOKUP('1.DATOS-PROD'!M$2,'1.PUNTOS'!$A$1:$B$63,2,0),0)</f>
        <v>0</v>
      </c>
      <c r="E141" s="138">
        <f>IF('1.DATOS-PROD'!N142="SI",VLOOKUP('1.DATOS-PROD'!N$2,'1.PUNTOS'!$A$1:$B$63,2,0),0)</f>
        <v>0</v>
      </c>
      <c r="F141" s="138">
        <f>IF('1.DATOS-PROD'!O142="SI",VLOOKUP('1.DATOS-PROD'!O$2,'1.PUNTOS'!$A$1:$B$63,2,0),0)</f>
        <v>0</v>
      </c>
      <c r="G141" s="138">
        <f>IF('1.DATOS-PROD'!P142="SI",VLOOKUP('1.DATOS-PROD'!P$2,'1.PUNTOS'!$A$1:$B$63,2,0),0)</f>
        <v>0</v>
      </c>
      <c r="H141" s="138">
        <f>IF('1.DATOS-PROD'!Q142="SI",VLOOKUP('1.DATOS-PROD'!Q$2,'1.PUNTOS'!$A$1:$B$63,2,0),0)</f>
        <v>0</v>
      </c>
      <c r="I141" s="138">
        <f>IF('1.DATOS-PROD'!R142="SI",VLOOKUP('1.DATOS-PROD'!R$2,'1.PUNTOS'!$A$1:$B$63,2,0),0)</f>
        <v>0</v>
      </c>
      <c r="J141" s="138">
        <f>IF('1.DATOS-PROD'!S142="SI",VLOOKUP('1.DATOS-PROD'!S$2,'1.PUNTOS'!$A$1:$B$63,2,0),0)</f>
        <v>0</v>
      </c>
      <c r="K141" s="138">
        <f>IF('1.DATOS-PROD'!T142="SI",VLOOKUP('1.DATOS-PROD'!T$2,'1.PUNTOS'!$A$1:$B$63,2,0),0)</f>
        <v>0</v>
      </c>
      <c r="L141" s="138">
        <f>IF('1.DATOS-PROD'!U142="SI",VLOOKUP('1.DATOS-PROD'!U$2,'1.PUNTOS'!$A$1:$B$63,2,0),0)</f>
        <v>0</v>
      </c>
      <c r="M141" s="138">
        <f>IF('1.DATOS-PROD'!V142="SI",VLOOKUP('1.DATOS-PROD'!V$2,'1.PUNTOS'!$A$1:$B$63,2,0),0)</f>
        <v>0</v>
      </c>
      <c r="N141" s="138">
        <f>IF('1.DATOS-PROD'!W142="SI",VLOOKUP('1.DATOS-PROD'!W$2,'1.PUNTOS'!$A$1:$B$63,2,0),0)</f>
        <v>0</v>
      </c>
      <c r="O141" s="138">
        <f>IF('1.DATOS-PROD'!X142="SI",VLOOKUP('1.DATOS-PROD'!X$2,'1.PUNTOS'!$A$1:$B$63,2,0),0)</f>
        <v>0</v>
      </c>
      <c r="P141" s="138">
        <f>IF('1.DATOS-PROD'!Y142="SI",VLOOKUP('1.DATOS-PROD'!Y$2,'1.PUNTOS'!$A$1:$B$63,2,0),0)</f>
        <v>0</v>
      </c>
      <c r="Q141" s="138">
        <f>IF('1.DATOS-PROD'!Z142="SI",VLOOKUP('1.DATOS-PROD'!Z$2,'1.PUNTOS'!$A$1:$B$63,2,0),0)</f>
        <v>0</v>
      </c>
      <c r="R141" s="138">
        <f>IF('1.DATOS-PROD'!AA142="SI",VLOOKUP('1.DATOS-PROD'!AA$2,'1.PUNTOS'!$A$1:$B$63,2,0),0)</f>
        <v>0</v>
      </c>
      <c r="S141" s="138">
        <f>IF('1.DATOS-PROD'!AB142="SI",VLOOKUP('1.DATOS-PROD'!AB$2,'1.PUNTOS'!$A$1:$B$63,2,0),0)</f>
        <v>0</v>
      </c>
      <c r="T141" s="138">
        <f>IF('1.DATOS-PROD'!AC142="SI",VLOOKUP('1.DATOS-PROD'!AC$2,'1.PUNTOS'!$A$1:$B$63,2,0),0)</f>
        <v>0</v>
      </c>
      <c r="U141" s="138">
        <f>IF('1.DATOS-PROD'!AD142="SI",VLOOKUP('1.DATOS-PROD'!AD$2,'1.PUNTOS'!$A$1:$B$63,2,0),0)</f>
        <v>0</v>
      </c>
      <c r="V141" s="138">
        <f>IF('1.DATOS-PROD'!AE142="SI",VLOOKUP('1.DATOS-PROD'!AE$2,'1.PUNTOS'!$A$1:$B$63,2,0),0)</f>
        <v>0</v>
      </c>
      <c r="W141" s="138">
        <f>IF('1.DATOS-PROD'!AF142="SI",VLOOKUP('1.DATOS-PROD'!AF$2,'1.PUNTOS'!$A$1:$B$63,2,0),0)</f>
        <v>0</v>
      </c>
      <c r="X141" s="138">
        <f>IF('1.DATOS-PROD'!AG142="SI",VLOOKUP('1.DATOS-PROD'!AG$2,'1.PUNTOS'!$A$1:$B$63,2,0),0)</f>
        <v>0</v>
      </c>
      <c r="Y141" s="138">
        <f>IF('1.DATOS-PROD'!AH142="SI",VLOOKUP('1.DATOS-PROD'!AH$2,'1.PUNTOS'!$A$1:$B$63,2,0),0)</f>
        <v>0</v>
      </c>
      <c r="Z141" s="138">
        <f>IF('1.DATOS-PROD'!AI142="SI",VLOOKUP('1.DATOS-PROD'!AI$2,'1.PUNTOS'!$A$1:$B$63,2,0),0)</f>
        <v>0</v>
      </c>
      <c r="AA141" s="138">
        <f>IF('1.DATOS-PROD'!AJ142="SI",VLOOKUP('1.DATOS-PROD'!AJ$2,'1.PUNTOS'!$A$1:$B$63,2,0),0)</f>
        <v>0</v>
      </c>
      <c r="AB141" s="138">
        <f>IF('1.DATOS-PROD'!AK142="SI",VLOOKUP('1.DATOS-PROD'!AK$2,'1.PUNTOS'!$A$1:$B$63,2,0),0)</f>
        <v>0</v>
      </c>
      <c r="AC141" s="138">
        <f>IF('1.DATOS-PROD'!AL142="SI",VLOOKUP('1.DATOS-PROD'!AL$2,'1.PUNTOS'!$A$1:$B$63,2,0),0)</f>
        <v>0</v>
      </c>
      <c r="AD141" s="138">
        <f>IF('1.DATOS-PROD'!AM142="SI",VLOOKUP('1.DATOS-PROD'!AM$2,'1.PUNTOS'!$A$1:$B$63,2,0),0)</f>
        <v>0</v>
      </c>
      <c r="AE141" s="138">
        <f>IF('1.DATOS-PROD'!AN142="SI",VLOOKUP('1.DATOS-PROD'!AN$2,'1.PUNTOS'!$A$1:$B$63,2,0),0)</f>
        <v>0</v>
      </c>
      <c r="AF141" s="138">
        <f>IF('1.DATOS-PROD'!AO142="SI",VLOOKUP('1.DATOS-PROD'!AO$2,'1.PUNTOS'!$A$1:$B$63,2,0),0)</f>
        <v>0</v>
      </c>
      <c r="AG141" s="138">
        <f>IF('1.DATOS-PROD'!AP142="SI",VLOOKUP('1.DATOS-PROD'!AP$2,'1.PUNTOS'!$A$1:$B$63,2,0),0)</f>
        <v>0</v>
      </c>
      <c r="AH141" s="138">
        <f>IF('1.DATOS-PROD'!AQ142="SI",VLOOKUP('1.DATOS-PROD'!AQ$2,'1.PUNTOS'!$A$1:$B$63,2,0),0)</f>
        <v>0</v>
      </c>
      <c r="AI141" s="138">
        <f>IF('1.DATOS-PROD'!AR142="SI",VLOOKUP('1.DATOS-PROD'!AR$2,'1.PUNTOS'!$A$1:$B$63,2,0),0)</f>
        <v>0</v>
      </c>
      <c r="AJ141" s="138">
        <f>IF('1.DATOS-PROD'!AS142="SI",VLOOKUP('1.DATOS-PROD'!AS$2,'1.PUNTOS'!$A$1:$B$63,2,0),0)</f>
        <v>0</v>
      </c>
      <c r="AK141" s="138">
        <f>IF('1.DATOS-PROD'!AT142="SI",VLOOKUP('1.DATOS-PROD'!AT$2,'1.PUNTOS'!$A$1:$B$63,2,0),0)</f>
        <v>0</v>
      </c>
      <c r="AL141" s="138">
        <f>IF('1.DATOS-PROD'!AU142="SI",VLOOKUP('1.DATOS-PROD'!AU$2,'1.PUNTOS'!$A$1:$B$63,2,0),0)</f>
        <v>0</v>
      </c>
      <c r="AM141" s="138">
        <f>IF('1.DATOS-PROD'!AV142="SI",VLOOKUP('1.DATOS-PROD'!AV$2,'1.PUNTOS'!$A$1:$B$63,2,0),0)</f>
        <v>0</v>
      </c>
      <c r="AN141" s="138">
        <f>IF('1.DATOS-PROD'!AW142="SI",VLOOKUP('1.DATOS-PROD'!AW$2,'1.PUNTOS'!$A$1:$B$63,2,0),0)</f>
        <v>0</v>
      </c>
      <c r="AO141" s="138">
        <f>IF('1.DATOS-PROD'!AX142="SI",VLOOKUP('1.DATOS-PROD'!AX$2,'1.PUNTOS'!$A$1:$B$63,2,0),0)</f>
        <v>0</v>
      </c>
      <c r="AP141" s="138">
        <f>IF('1.DATOS-PROD'!AY142="SI",VLOOKUP('1.DATOS-PROD'!AY$2,'1.PUNTOS'!$A$1:$B$63,2,0),0)</f>
        <v>0</v>
      </c>
      <c r="AQ141" s="138">
        <f>IF('1.DATOS-PROD'!AZ142="SI",VLOOKUP('1.DATOS-PROD'!AZ$2,'1.PUNTOS'!$A$1:$B$63,2,0),0)</f>
        <v>0</v>
      </c>
      <c r="AR141" s="138">
        <f>IF('1.DATOS-PROD'!BA142="SI",VLOOKUP('1.DATOS-PROD'!BA$2,'1.PUNTOS'!$A$1:$B$63,2,0),0)</f>
        <v>0</v>
      </c>
      <c r="AS141" s="138">
        <f>IF('1.DATOS-PROD'!BB142="SI",VLOOKUP('1.DATOS-PROD'!BB$2,'1.PUNTOS'!$A$1:$B$63,2,0),0)</f>
        <v>0</v>
      </c>
      <c r="AT141" s="138">
        <f>IF('1.DATOS-PROD'!BC142="SI",VLOOKUP('1.DATOS-PROD'!BC$2,'1.PUNTOS'!$A$1:$B$63,2,0),0)</f>
        <v>0</v>
      </c>
      <c r="AU141" s="138">
        <f>IF('1.DATOS-PROD'!BD142="SI",VLOOKUP('1.DATOS-PROD'!BD$2,'1.PUNTOS'!$A$1:$B$63,2,0),0)</f>
        <v>0</v>
      </c>
      <c r="AV141" s="138">
        <f>IF('1.DATOS-PROD'!BE142="SI",VLOOKUP('1.DATOS-PROD'!BE$2,'1.PUNTOS'!$A$1:$B$63,2,0),0)</f>
        <v>0</v>
      </c>
      <c r="AW141" s="138">
        <f>IF('1.DATOS-PROD'!BF142="SI",VLOOKUP('1.DATOS-PROD'!BF$2,'1.PUNTOS'!$A$1:$B$63,2,0),0)</f>
        <v>0</v>
      </c>
      <c r="AX141" s="138">
        <f>IF('1.DATOS-PROD'!BG142="SI",VLOOKUP('1.DATOS-PROD'!BG$2,'1.PUNTOS'!$A$1:$B$63,2,0),0)</f>
        <v>0</v>
      </c>
      <c r="AY141" s="138">
        <f>IF('1.DATOS-PROD'!BH142="SI",VLOOKUP('1.DATOS-PROD'!BH$2,'1.PUNTOS'!$A$1:$B$63,2,0),0)</f>
        <v>0</v>
      </c>
      <c r="AZ141" s="138">
        <f>IF('1.DATOS-PROD'!BI142="SI",VLOOKUP('1.DATOS-PROD'!BI$2,'1.PUNTOS'!$A$1:$B$63,2,0),0)</f>
        <v>0</v>
      </c>
      <c r="BA141" s="138">
        <f>IF('1.DATOS-PROD'!BJ142="SI",VLOOKUP('1.DATOS-PROD'!BJ$2,'1.PUNTOS'!$A$1:$B$63,2,0),0)</f>
        <v>0</v>
      </c>
      <c r="BB141" s="138">
        <f>IF('1.DATOS-PROD'!BK142="SI",VLOOKUP('1.DATOS-PROD'!BK$2,'1.PUNTOS'!$A$1:$B$63,2,0),0)</f>
        <v>0</v>
      </c>
      <c r="BC141" s="138">
        <f>IF('1.DATOS-PROD'!BL142="SI",VLOOKUP('1.DATOS-PROD'!BL$2,'1.PUNTOS'!$A$1:$B$63,2,0),0)</f>
        <v>0</v>
      </c>
      <c r="BD141" s="138">
        <f>IF('1.DATOS-PROD'!BM142="SI",VLOOKUP('1.DATOS-PROD'!BM$2,'1.PUNTOS'!$A$1:$B$63,2,0),0)</f>
        <v>0</v>
      </c>
      <c r="BE141" s="138">
        <f>IF('1.DATOS-PROD'!BN142="SI",VLOOKUP('1.DATOS-PROD'!BN$2,'1.PUNTOS'!$A$1:$B$63,2,0),0)</f>
        <v>0</v>
      </c>
      <c r="BF141" s="138">
        <f>IF('1.DATOS-PROD'!BO142="SI",VLOOKUP('1.DATOS-PROD'!BO$2,'1.PUNTOS'!$A$1:$B$63,2,0),0)</f>
        <v>0</v>
      </c>
      <c r="BG141" s="138">
        <f>IF('1.DATOS-PROD'!BP142="SI",VLOOKUP('1.DATOS-PROD'!BP$2,'1.PUNTOS'!$A$1:$B$63,2,0),0)</f>
        <v>0</v>
      </c>
      <c r="BH141" s="138">
        <f>IF('1.DATOS-PROD'!BQ142="SI",VLOOKUP('1.DATOS-PROD'!BQ$2,'1.PUNTOS'!$A$1:$B$63,2,0),0)</f>
        <v>0</v>
      </c>
      <c r="BI141" s="138">
        <f>IF('1.DATOS-PROD'!BR142="SI",VLOOKUP('1.DATOS-PROD'!BR$2,'1.PUNTOS'!$A$1:$B$63,2,0),0)</f>
        <v>0</v>
      </c>
      <c r="BJ141" s="138">
        <f>IF('1.DATOS-PROD'!BS142="SI",VLOOKUP('1.DATOS-PROD'!BS$2,'1.PUNTOS'!$A$1:$B$63,2,0),0)</f>
        <v>0</v>
      </c>
      <c r="BK141" s="138">
        <f>IF('1.DATOS-PROD'!BT142="SI",VLOOKUP('1.DATOS-PROD'!BT$2,'1.PUNTOS'!$A$1:$B$63,2,0),0)</f>
        <v>0</v>
      </c>
    </row>
    <row r="142" spans="1:63" x14ac:dyDescent="0.25">
      <c r="A142">
        <f>'0.Consolidado general'!$A143</f>
        <v>0</v>
      </c>
      <c r="B142" s="138">
        <f>IF('1.DATOS-PROD'!K143="SI",VLOOKUP('1.DATOS-PROD'!K$2,'1.PUNTOS'!$A$1:$B$63,2,0),0)</f>
        <v>0</v>
      </c>
      <c r="C142" s="138">
        <f>IF('1.DATOS-PROD'!L143="SI",VLOOKUP('1.DATOS-PROD'!L$2,'1.PUNTOS'!$A$1:$B$63,2,0),0)</f>
        <v>0</v>
      </c>
      <c r="D142" s="138">
        <f>IF('1.DATOS-PROD'!M143="SI",VLOOKUP('1.DATOS-PROD'!M$2,'1.PUNTOS'!$A$1:$B$63,2,0),0)</f>
        <v>0</v>
      </c>
      <c r="E142" s="138">
        <f>IF('1.DATOS-PROD'!N143="SI",VLOOKUP('1.DATOS-PROD'!N$2,'1.PUNTOS'!$A$1:$B$63,2,0),0)</f>
        <v>0</v>
      </c>
      <c r="F142" s="138">
        <f>IF('1.DATOS-PROD'!O143="SI",VLOOKUP('1.DATOS-PROD'!O$2,'1.PUNTOS'!$A$1:$B$63,2,0),0)</f>
        <v>0</v>
      </c>
      <c r="G142" s="138">
        <f>IF('1.DATOS-PROD'!P143="SI",VLOOKUP('1.DATOS-PROD'!P$2,'1.PUNTOS'!$A$1:$B$63,2,0),0)</f>
        <v>0</v>
      </c>
      <c r="H142" s="138">
        <f>IF('1.DATOS-PROD'!Q143="SI",VLOOKUP('1.DATOS-PROD'!Q$2,'1.PUNTOS'!$A$1:$B$63,2,0),0)</f>
        <v>0</v>
      </c>
      <c r="I142" s="138">
        <f>IF('1.DATOS-PROD'!R143="SI",VLOOKUP('1.DATOS-PROD'!R$2,'1.PUNTOS'!$A$1:$B$63,2,0),0)</f>
        <v>0</v>
      </c>
      <c r="J142" s="138">
        <f>IF('1.DATOS-PROD'!S143="SI",VLOOKUP('1.DATOS-PROD'!S$2,'1.PUNTOS'!$A$1:$B$63,2,0),0)</f>
        <v>0</v>
      </c>
      <c r="K142" s="138">
        <f>IF('1.DATOS-PROD'!T143="SI",VLOOKUP('1.DATOS-PROD'!T$2,'1.PUNTOS'!$A$1:$B$63,2,0),0)</f>
        <v>0</v>
      </c>
      <c r="L142" s="138">
        <f>IF('1.DATOS-PROD'!U143="SI",VLOOKUP('1.DATOS-PROD'!U$2,'1.PUNTOS'!$A$1:$B$63,2,0),0)</f>
        <v>0</v>
      </c>
      <c r="M142" s="138">
        <f>IF('1.DATOS-PROD'!V143="SI",VLOOKUP('1.DATOS-PROD'!V$2,'1.PUNTOS'!$A$1:$B$63,2,0),0)</f>
        <v>0</v>
      </c>
      <c r="N142" s="138">
        <f>IF('1.DATOS-PROD'!W143="SI",VLOOKUP('1.DATOS-PROD'!W$2,'1.PUNTOS'!$A$1:$B$63,2,0),0)</f>
        <v>0</v>
      </c>
      <c r="O142" s="138">
        <f>IF('1.DATOS-PROD'!X143="SI",VLOOKUP('1.DATOS-PROD'!X$2,'1.PUNTOS'!$A$1:$B$63,2,0),0)</f>
        <v>0</v>
      </c>
      <c r="P142" s="138">
        <f>IF('1.DATOS-PROD'!Y143="SI",VLOOKUP('1.DATOS-PROD'!Y$2,'1.PUNTOS'!$A$1:$B$63,2,0),0)</f>
        <v>0</v>
      </c>
      <c r="Q142" s="138">
        <f>IF('1.DATOS-PROD'!Z143="SI",VLOOKUP('1.DATOS-PROD'!Z$2,'1.PUNTOS'!$A$1:$B$63,2,0),0)</f>
        <v>0</v>
      </c>
      <c r="R142" s="138">
        <f>IF('1.DATOS-PROD'!AA143="SI",VLOOKUP('1.DATOS-PROD'!AA$2,'1.PUNTOS'!$A$1:$B$63,2,0),0)</f>
        <v>0</v>
      </c>
      <c r="S142" s="138">
        <f>IF('1.DATOS-PROD'!AB143="SI",VLOOKUP('1.DATOS-PROD'!AB$2,'1.PUNTOS'!$A$1:$B$63,2,0),0)</f>
        <v>0</v>
      </c>
      <c r="T142" s="138">
        <f>IF('1.DATOS-PROD'!AC143="SI",VLOOKUP('1.DATOS-PROD'!AC$2,'1.PUNTOS'!$A$1:$B$63,2,0),0)</f>
        <v>0</v>
      </c>
      <c r="U142" s="138">
        <f>IF('1.DATOS-PROD'!AD143="SI",VLOOKUP('1.DATOS-PROD'!AD$2,'1.PUNTOS'!$A$1:$B$63,2,0),0)</f>
        <v>0</v>
      </c>
      <c r="V142" s="138">
        <f>IF('1.DATOS-PROD'!AE143="SI",VLOOKUP('1.DATOS-PROD'!AE$2,'1.PUNTOS'!$A$1:$B$63,2,0),0)</f>
        <v>0</v>
      </c>
      <c r="W142" s="138">
        <f>IF('1.DATOS-PROD'!AF143="SI",VLOOKUP('1.DATOS-PROD'!AF$2,'1.PUNTOS'!$A$1:$B$63,2,0),0)</f>
        <v>0</v>
      </c>
      <c r="X142" s="138">
        <f>IF('1.DATOS-PROD'!AG143="SI",VLOOKUP('1.DATOS-PROD'!AG$2,'1.PUNTOS'!$A$1:$B$63,2,0),0)</f>
        <v>0</v>
      </c>
      <c r="Y142" s="138">
        <f>IF('1.DATOS-PROD'!AH143="SI",VLOOKUP('1.DATOS-PROD'!AH$2,'1.PUNTOS'!$A$1:$B$63,2,0),0)</f>
        <v>0</v>
      </c>
      <c r="Z142" s="138">
        <f>IF('1.DATOS-PROD'!AI143="SI",VLOOKUP('1.DATOS-PROD'!AI$2,'1.PUNTOS'!$A$1:$B$63,2,0),0)</f>
        <v>0</v>
      </c>
      <c r="AA142" s="138">
        <f>IF('1.DATOS-PROD'!AJ143="SI",VLOOKUP('1.DATOS-PROD'!AJ$2,'1.PUNTOS'!$A$1:$B$63,2,0),0)</f>
        <v>0</v>
      </c>
      <c r="AB142" s="138">
        <f>IF('1.DATOS-PROD'!AK143="SI",VLOOKUP('1.DATOS-PROD'!AK$2,'1.PUNTOS'!$A$1:$B$63,2,0),0)</f>
        <v>0</v>
      </c>
      <c r="AC142" s="138">
        <f>IF('1.DATOS-PROD'!AL143="SI",VLOOKUP('1.DATOS-PROD'!AL$2,'1.PUNTOS'!$A$1:$B$63,2,0),0)</f>
        <v>0</v>
      </c>
      <c r="AD142" s="138">
        <f>IF('1.DATOS-PROD'!AM143="SI",VLOOKUP('1.DATOS-PROD'!AM$2,'1.PUNTOS'!$A$1:$B$63,2,0),0)</f>
        <v>0</v>
      </c>
      <c r="AE142" s="138">
        <f>IF('1.DATOS-PROD'!AN143="SI",VLOOKUP('1.DATOS-PROD'!AN$2,'1.PUNTOS'!$A$1:$B$63,2,0),0)</f>
        <v>0</v>
      </c>
      <c r="AF142" s="138">
        <f>IF('1.DATOS-PROD'!AO143="SI",VLOOKUP('1.DATOS-PROD'!AO$2,'1.PUNTOS'!$A$1:$B$63,2,0),0)</f>
        <v>0</v>
      </c>
      <c r="AG142" s="138">
        <f>IF('1.DATOS-PROD'!AP143="SI",VLOOKUP('1.DATOS-PROD'!AP$2,'1.PUNTOS'!$A$1:$B$63,2,0),0)</f>
        <v>0</v>
      </c>
      <c r="AH142" s="138">
        <f>IF('1.DATOS-PROD'!AQ143="SI",VLOOKUP('1.DATOS-PROD'!AQ$2,'1.PUNTOS'!$A$1:$B$63,2,0),0)</f>
        <v>0</v>
      </c>
      <c r="AI142" s="138">
        <f>IF('1.DATOS-PROD'!AR143="SI",VLOOKUP('1.DATOS-PROD'!AR$2,'1.PUNTOS'!$A$1:$B$63,2,0),0)</f>
        <v>0</v>
      </c>
      <c r="AJ142" s="138">
        <f>IF('1.DATOS-PROD'!AS143="SI",VLOOKUP('1.DATOS-PROD'!AS$2,'1.PUNTOS'!$A$1:$B$63,2,0),0)</f>
        <v>0</v>
      </c>
      <c r="AK142" s="138">
        <f>IF('1.DATOS-PROD'!AT143="SI",VLOOKUP('1.DATOS-PROD'!AT$2,'1.PUNTOS'!$A$1:$B$63,2,0),0)</f>
        <v>0</v>
      </c>
      <c r="AL142" s="138">
        <f>IF('1.DATOS-PROD'!AU143="SI",VLOOKUP('1.DATOS-PROD'!AU$2,'1.PUNTOS'!$A$1:$B$63,2,0),0)</f>
        <v>0</v>
      </c>
      <c r="AM142" s="138">
        <f>IF('1.DATOS-PROD'!AV143="SI",VLOOKUP('1.DATOS-PROD'!AV$2,'1.PUNTOS'!$A$1:$B$63,2,0),0)</f>
        <v>0</v>
      </c>
      <c r="AN142" s="138">
        <f>IF('1.DATOS-PROD'!AW143="SI",VLOOKUP('1.DATOS-PROD'!AW$2,'1.PUNTOS'!$A$1:$B$63,2,0),0)</f>
        <v>0</v>
      </c>
      <c r="AO142" s="138">
        <f>IF('1.DATOS-PROD'!AX143="SI",VLOOKUP('1.DATOS-PROD'!AX$2,'1.PUNTOS'!$A$1:$B$63,2,0),0)</f>
        <v>0</v>
      </c>
      <c r="AP142" s="138">
        <f>IF('1.DATOS-PROD'!AY143="SI",VLOOKUP('1.DATOS-PROD'!AY$2,'1.PUNTOS'!$A$1:$B$63,2,0),0)</f>
        <v>0</v>
      </c>
      <c r="AQ142" s="138">
        <f>IF('1.DATOS-PROD'!AZ143="SI",VLOOKUP('1.DATOS-PROD'!AZ$2,'1.PUNTOS'!$A$1:$B$63,2,0),0)</f>
        <v>0</v>
      </c>
      <c r="AR142" s="138">
        <f>IF('1.DATOS-PROD'!BA143="SI",VLOOKUP('1.DATOS-PROD'!BA$2,'1.PUNTOS'!$A$1:$B$63,2,0),0)</f>
        <v>0</v>
      </c>
      <c r="AS142" s="138">
        <f>IF('1.DATOS-PROD'!BB143="SI",VLOOKUP('1.DATOS-PROD'!BB$2,'1.PUNTOS'!$A$1:$B$63,2,0),0)</f>
        <v>0</v>
      </c>
      <c r="AT142" s="138">
        <f>IF('1.DATOS-PROD'!BC143="SI",VLOOKUP('1.DATOS-PROD'!BC$2,'1.PUNTOS'!$A$1:$B$63,2,0),0)</f>
        <v>0</v>
      </c>
      <c r="AU142" s="138">
        <f>IF('1.DATOS-PROD'!BD143="SI",VLOOKUP('1.DATOS-PROD'!BD$2,'1.PUNTOS'!$A$1:$B$63,2,0),0)</f>
        <v>0</v>
      </c>
      <c r="AV142" s="138">
        <f>IF('1.DATOS-PROD'!BE143="SI",VLOOKUP('1.DATOS-PROD'!BE$2,'1.PUNTOS'!$A$1:$B$63,2,0),0)</f>
        <v>0</v>
      </c>
      <c r="AW142" s="138">
        <f>IF('1.DATOS-PROD'!BF143="SI",VLOOKUP('1.DATOS-PROD'!BF$2,'1.PUNTOS'!$A$1:$B$63,2,0),0)</f>
        <v>0</v>
      </c>
      <c r="AX142" s="138">
        <f>IF('1.DATOS-PROD'!BG143="SI",VLOOKUP('1.DATOS-PROD'!BG$2,'1.PUNTOS'!$A$1:$B$63,2,0),0)</f>
        <v>0</v>
      </c>
      <c r="AY142" s="138">
        <f>IF('1.DATOS-PROD'!BH143="SI",VLOOKUP('1.DATOS-PROD'!BH$2,'1.PUNTOS'!$A$1:$B$63,2,0),0)</f>
        <v>0</v>
      </c>
      <c r="AZ142" s="138">
        <f>IF('1.DATOS-PROD'!BI143="SI",VLOOKUP('1.DATOS-PROD'!BI$2,'1.PUNTOS'!$A$1:$B$63,2,0),0)</f>
        <v>0</v>
      </c>
      <c r="BA142" s="138">
        <f>IF('1.DATOS-PROD'!BJ143="SI",VLOOKUP('1.DATOS-PROD'!BJ$2,'1.PUNTOS'!$A$1:$B$63,2,0),0)</f>
        <v>0</v>
      </c>
      <c r="BB142" s="138">
        <f>IF('1.DATOS-PROD'!BK143="SI",VLOOKUP('1.DATOS-PROD'!BK$2,'1.PUNTOS'!$A$1:$B$63,2,0),0)</f>
        <v>0</v>
      </c>
      <c r="BC142" s="138">
        <f>IF('1.DATOS-PROD'!BL143="SI",VLOOKUP('1.DATOS-PROD'!BL$2,'1.PUNTOS'!$A$1:$B$63,2,0),0)</f>
        <v>0</v>
      </c>
      <c r="BD142" s="138">
        <f>IF('1.DATOS-PROD'!BM143="SI",VLOOKUP('1.DATOS-PROD'!BM$2,'1.PUNTOS'!$A$1:$B$63,2,0),0)</f>
        <v>0</v>
      </c>
      <c r="BE142" s="138">
        <f>IF('1.DATOS-PROD'!BN143="SI",VLOOKUP('1.DATOS-PROD'!BN$2,'1.PUNTOS'!$A$1:$B$63,2,0),0)</f>
        <v>0</v>
      </c>
      <c r="BF142" s="138">
        <f>IF('1.DATOS-PROD'!BO143="SI",VLOOKUP('1.DATOS-PROD'!BO$2,'1.PUNTOS'!$A$1:$B$63,2,0),0)</f>
        <v>0</v>
      </c>
      <c r="BG142" s="138">
        <f>IF('1.DATOS-PROD'!BP143="SI",VLOOKUP('1.DATOS-PROD'!BP$2,'1.PUNTOS'!$A$1:$B$63,2,0),0)</f>
        <v>0</v>
      </c>
      <c r="BH142" s="138">
        <f>IF('1.DATOS-PROD'!BQ143="SI",VLOOKUP('1.DATOS-PROD'!BQ$2,'1.PUNTOS'!$A$1:$B$63,2,0),0)</f>
        <v>0</v>
      </c>
      <c r="BI142" s="138">
        <f>IF('1.DATOS-PROD'!BR143="SI",VLOOKUP('1.DATOS-PROD'!BR$2,'1.PUNTOS'!$A$1:$B$63,2,0),0)</f>
        <v>0</v>
      </c>
      <c r="BJ142" s="138">
        <f>IF('1.DATOS-PROD'!BS143="SI",VLOOKUP('1.DATOS-PROD'!BS$2,'1.PUNTOS'!$A$1:$B$63,2,0),0)</f>
        <v>0</v>
      </c>
      <c r="BK142" s="138">
        <f>IF('1.DATOS-PROD'!BT143="SI",VLOOKUP('1.DATOS-PROD'!BT$2,'1.PUNTOS'!$A$1:$B$63,2,0),0)</f>
        <v>0</v>
      </c>
    </row>
    <row r="143" spans="1:63" x14ac:dyDescent="0.25">
      <c r="A143">
        <f>'0.Consolidado general'!$A144</f>
        <v>0</v>
      </c>
      <c r="B143" s="138">
        <f>IF('1.DATOS-PROD'!K144="SI",VLOOKUP('1.DATOS-PROD'!K$2,'1.PUNTOS'!$A$1:$B$63,2,0),0)</f>
        <v>0</v>
      </c>
      <c r="C143" s="138">
        <f>IF('1.DATOS-PROD'!L144="SI",VLOOKUP('1.DATOS-PROD'!L$2,'1.PUNTOS'!$A$1:$B$63,2,0),0)</f>
        <v>0</v>
      </c>
      <c r="D143" s="138">
        <f>IF('1.DATOS-PROD'!M144="SI",VLOOKUP('1.DATOS-PROD'!M$2,'1.PUNTOS'!$A$1:$B$63,2,0),0)</f>
        <v>0</v>
      </c>
      <c r="E143" s="138">
        <f>IF('1.DATOS-PROD'!N144="SI",VLOOKUP('1.DATOS-PROD'!N$2,'1.PUNTOS'!$A$1:$B$63,2,0),0)</f>
        <v>0</v>
      </c>
      <c r="F143" s="138">
        <f>IF('1.DATOS-PROD'!O144="SI",VLOOKUP('1.DATOS-PROD'!O$2,'1.PUNTOS'!$A$1:$B$63,2,0),0)</f>
        <v>0</v>
      </c>
      <c r="G143" s="138">
        <f>IF('1.DATOS-PROD'!P144="SI",VLOOKUP('1.DATOS-PROD'!P$2,'1.PUNTOS'!$A$1:$B$63,2,0),0)</f>
        <v>0</v>
      </c>
      <c r="H143" s="138">
        <f>IF('1.DATOS-PROD'!Q144="SI",VLOOKUP('1.DATOS-PROD'!Q$2,'1.PUNTOS'!$A$1:$B$63,2,0),0)</f>
        <v>0</v>
      </c>
      <c r="I143" s="138">
        <f>IF('1.DATOS-PROD'!R144="SI",VLOOKUP('1.DATOS-PROD'!R$2,'1.PUNTOS'!$A$1:$B$63,2,0),0)</f>
        <v>0</v>
      </c>
      <c r="J143" s="138">
        <f>IF('1.DATOS-PROD'!S144="SI",VLOOKUP('1.DATOS-PROD'!S$2,'1.PUNTOS'!$A$1:$B$63,2,0),0)</f>
        <v>0</v>
      </c>
      <c r="K143" s="138">
        <f>IF('1.DATOS-PROD'!T144="SI",VLOOKUP('1.DATOS-PROD'!T$2,'1.PUNTOS'!$A$1:$B$63,2,0),0)</f>
        <v>0</v>
      </c>
      <c r="L143" s="138">
        <f>IF('1.DATOS-PROD'!U144="SI",VLOOKUP('1.DATOS-PROD'!U$2,'1.PUNTOS'!$A$1:$B$63,2,0),0)</f>
        <v>0</v>
      </c>
      <c r="M143" s="138">
        <f>IF('1.DATOS-PROD'!V144="SI",VLOOKUP('1.DATOS-PROD'!V$2,'1.PUNTOS'!$A$1:$B$63,2,0),0)</f>
        <v>0</v>
      </c>
      <c r="N143" s="138">
        <f>IF('1.DATOS-PROD'!W144="SI",VLOOKUP('1.DATOS-PROD'!W$2,'1.PUNTOS'!$A$1:$B$63,2,0),0)</f>
        <v>0</v>
      </c>
      <c r="O143" s="138">
        <f>IF('1.DATOS-PROD'!X144="SI",VLOOKUP('1.DATOS-PROD'!X$2,'1.PUNTOS'!$A$1:$B$63,2,0),0)</f>
        <v>0</v>
      </c>
      <c r="P143" s="138">
        <f>IF('1.DATOS-PROD'!Y144="SI",VLOOKUP('1.DATOS-PROD'!Y$2,'1.PUNTOS'!$A$1:$B$63,2,0),0)</f>
        <v>0</v>
      </c>
      <c r="Q143" s="138">
        <f>IF('1.DATOS-PROD'!Z144="SI",VLOOKUP('1.DATOS-PROD'!Z$2,'1.PUNTOS'!$A$1:$B$63,2,0),0)</f>
        <v>0</v>
      </c>
      <c r="R143" s="138">
        <f>IF('1.DATOS-PROD'!AA144="SI",VLOOKUP('1.DATOS-PROD'!AA$2,'1.PUNTOS'!$A$1:$B$63,2,0),0)</f>
        <v>0</v>
      </c>
      <c r="S143" s="138">
        <f>IF('1.DATOS-PROD'!AB144="SI",VLOOKUP('1.DATOS-PROD'!AB$2,'1.PUNTOS'!$A$1:$B$63,2,0),0)</f>
        <v>0</v>
      </c>
      <c r="T143" s="138">
        <f>IF('1.DATOS-PROD'!AC144="SI",VLOOKUP('1.DATOS-PROD'!AC$2,'1.PUNTOS'!$A$1:$B$63,2,0),0)</f>
        <v>0</v>
      </c>
      <c r="U143" s="138">
        <f>IF('1.DATOS-PROD'!AD144="SI",VLOOKUP('1.DATOS-PROD'!AD$2,'1.PUNTOS'!$A$1:$B$63,2,0),0)</f>
        <v>0</v>
      </c>
      <c r="V143" s="138">
        <f>IF('1.DATOS-PROD'!AE144="SI",VLOOKUP('1.DATOS-PROD'!AE$2,'1.PUNTOS'!$A$1:$B$63,2,0),0)</f>
        <v>0</v>
      </c>
      <c r="W143" s="138">
        <f>IF('1.DATOS-PROD'!AF144="SI",VLOOKUP('1.DATOS-PROD'!AF$2,'1.PUNTOS'!$A$1:$B$63,2,0),0)</f>
        <v>0</v>
      </c>
      <c r="X143" s="138">
        <f>IF('1.DATOS-PROD'!AG144="SI",VLOOKUP('1.DATOS-PROD'!AG$2,'1.PUNTOS'!$A$1:$B$63,2,0),0)</f>
        <v>0</v>
      </c>
      <c r="Y143" s="138">
        <f>IF('1.DATOS-PROD'!AH144="SI",VLOOKUP('1.DATOS-PROD'!AH$2,'1.PUNTOS'!$A$1:$B$63,2,0),0)</f>
        <v>0</v>
      </c>
      <c r="Z143" s="138">
        <f>IF('1.DATOS-PROD'!AI144="SI",VLOOKUP('1.DATOS-PROD'!AI$2,'1.PUNTOS'!$A$1:$B$63,2,0),0)</f>
        <v>0</v>
      </c>
      <c r="AA143" s="138">
        <f>IF('1.DATOS-PROD'!AJ144="SI",VLOOKUP('1.DATOS-PROD'!AJ$2,'1.PUNTOS'!$A$1:$B$63,2,0),0)</f>
        <v>0</v>
      </c>
      <c r="AB143" s="138">
        <f>IF('1.DATOS-PROD'!AK144="SI",VLOOKUP('1.DATOS-PROD'!AK$2,'1.PUNTOS'!$A$1:$B$63,2,0),0)</f>
        <v>0</v>
      </c>
      <c r="AC143" s="138">
        <f>IF('1.DATOS-PROD'!AL144="SI",VLOOKUP('1.DATOS-PROD'!AL$2,'1.PUNTOS'!$A$1:$B$63,2,0),0)</f>
        <v>0</v>
      </c>
      <c r="AD143" s="138">
        <f>IF('1.DATOS-PROD'!AM144="SI",VLOOKUP('1.DATOS-PROD'!AM$2,'1.PUNTOS'!$A$1:$B$63,2,0),0)</f>
        <v>0</v>
      </c>
      <c r="AE143" s="138">
        <f>IF('1.DATOS-PROD'!AN144="SI",VLOOKUP('1.DATOS-PROD'!AN$2,'1.PUNTOS'!$A$1:$B$63,2,0),0)</f>
        <v>0</v>
      </c>
      <c r="AF143" s="138">
        <f>IF('1.DATOS-PROD'!AO144="SI",VLOOKUP('1.DATOS-PROD'!AO$2,'1.PUNTOS'!$A$1:$B$63,2,0),0)</f>
        <v>0</v>
      </c>
      <c r="AG143" s="138">
        <f>IF('1.DATOS-PROD'!AP144="SI",VLOOKUP('1.DATOS-PROD'!AP$2,'1.PUNTOS'!$A$1:$B$63,2,0),0)</f>
        <v>0</v>
      </c>
      <c r="AH143" s="138">
        <f>IF('1.DATOS-PROD'!AQ144="SI",VLOOKUP('1.DATOS-PROD'!AQ$2,'1.PUNTOS'!$A$1:$B$63,2,0),0)</f>
        <v>0</v>
      </c>
      <c r="AI143" s="138">
        <f>IF('1.DATOS-PROD'!AR144="SI",VLOOKUP('1.DATOS-PROD'!AR$2,'1.PUNTOS'!$A$1:$B$63,2,0),0)</f>
        <v>0</v>
      </c>
      <c r="AJ143" s="138">
        <f>IF('1.DATOS-PROD'!AS144="SI",VLOOKUP('1.DATOS-PROD'!AS$2,'1.PUNTOS'!$A$1:$B$63,2,0),0)</f>
        <v>0</v>
      </c>
      <c r="AK143" s="138">
        <f>IF('1.DATOS-PROD'!AT144="SI",VLOOKUP('1.DATOS-PROD'!AT$2,'1.PUNTOS'!$A$1:$B$63,2,0),0)</f>
        <v>0</v>
      </c>
      <c r="AL143" s="138">
        <f>IF('1.DATOS-PROD'!AU144="SI",VLOOKUP('1.DATOS-PROD'!AU$2,'1.PUNTOS'!$A$1:$B$63,2,0),0)</f>
        <v>0</v>
      </c>
      <c r="AM143" s="138">
        <f>IF('1.DATOS-PROD'!AV144="SI",VLOOKUP('1.DATOS-PROD'!AV$2,'1.PUNTOS'!$A$1:$B$63,2,0),0)</f>
        <v>0</v>
      </c>
      <c r="AN143" s="138">
        <f>IF('1.DATOS-PROD'!AW144="SI",VLOOKUP('1.DATOS-PROD'!AW$2,'1.PUNTOS'!$A$1:$B$63,2,0),0)</f>
        <v>0</v>
      </c>
      <c r="AO143" s="138">
        <f>IF('1.DATOS-PROD'!AX144="SI",VLOOKUP('1.DATOS-PROD'!AX$2,'1.PUNTOS'!$A$1:$B$63,2,0),0)</f>
        <v>0</v>
      </c>
      <c r="AP143" s="138">
        <f>IF('1.DATOS-PROD'!AY144="SI",VLOOKUP('1.DATOS-PROD'!AY$2,'1.PUNTOS'!$A$1:$B$63,2,0),0)</f>
        <v>0</v>
      </c>
      <c r="AQ143" s="138">
        <f>IF('1.DATOS-PROD'!AZ144="SI",VLOOKUP('1.DATOS-PROD'!AZ$2,'1.PUNTOS'!$A$1:$B$63,2,0),0)</f>
        <v>0</v>
      </c>
      <c r="AR143" s="138">
        <f>IF('1.DATOS-PROD'!BA144="SI",VLOOKUP('1.DATOS-PROD'!BA$2,'1.PUNTOS'!$A$1:$B$63,2,0),0)</f>
        <v>0</v>
      </c>
      <c r="AS143" s="138">
        <f>IF('1.DATOS-PROD'!BB144="SI",VLOOKUP('1.DATOS-PROD'!BB$2,'1.PUNTOS'!$A$1:$B$63,2,0),0)</f>
        <v>0</v>
      </c>
      <c r="AT143" s="138">
        <f>IF('1.DATOS-PROD'!BC144="SI",VLOOKUP('1.DATOS-PROD'!BC$2,'1.PUNTOS'!$A$1:$B$63,2,0),0)</f>
        <v>0</v>
      </c>
      <c r="AU143" s="138">
        <f>IF('1.DATOS-PROD'!BD144="SI",VLOOKUP('1.DATOS-PROD'!BD$2,'1.PUNTOS'!$A$1:$B$63,2,0),0)</f>
        <v>0</v>
      </c>
      <c r="AV143" s="138">
        <f>IF('1.DATOS-PROD'!BE144="SI",VLOOKUP('1.DATOS-PROD'!BE$2,'1.PUNTOS'!$A$1:$B$63,2,0),0)</f>
        <v>0</v>
      </c>
      <c r="AW143" s="138">
        <f>IF('1.DATOS-PROD'!BF144="SI",VLOOKUP('1.DATOS-PROD'!BF$2,'1.PUNTOS'!$A$1:$B$63,2,0),0)</f>
        <v>0</v>
      </c>
      <c r="AX143" s="138">
        <f>IF('1.DATOS-PROD'!BG144="SI",VLOOKUP('1.DATOS-PROD'!BG$2,'1.PUNTOS'!$A$1:$B$63,2,0),0)</f>
        <v>0</v>
      </c>
      <c r="AY143" s="138">
        <f>IF('1.DATOS-PROD'!BH144="SI",VLOOKUP('1.DATOS-PROD'!BH$2,'1.PUNTOS'!$A$1:$B$63,2,0),0)</f>
        <v>0</v>
      </c>
      <c r="AZ143" s="138">
        <f>IF('1.DATOS-PROD'!BI144="SI",VLOOKUP('1.DATOS-PROD'!BI$2,'1.PUNTOS'!$A$1:$B$63,2,0),0)</f>
        <v>0</v>
      </c>
      <c r="BA143" s="138">
        <f>IF('1.DATOS-PROD'!BJ144="SI",VLOOKUP('1.DATOS-PROD'!BJ$2,'1.PUNTOS'!$A$1:$B$63,2,0),0)</f>
        <v>0</v>
      </c>
      <c r="BB143" s="138">
        <f>IF('1.DATOS-PROD'!BK144="SI",VLOOKUP('1.DATOS-PROD'!BK$2,'1.PUNTOS'!$A$1:$B$63,2,0),0)</f>
        <v>0</v>
      </c>
      <c r="BC143" s="138">
        <f>IF('1.DATOS-PROD'!BL144="SI",VLOOKUP('1.DATOS-PROD'!BL$2,'1.PUNTOS'!$A$1:$B$63,2,0),0)</f>
        <v>0</v>
      </c>
      <c r="BD143" s="138">
        <f>IF('1.DATOS-PROD'!BM144="SI",VLOOKUP('1.DATOS-PROD'!BM$2,'1.PUNTOS'!$A$1:$B$63,2,0),0)</f>
        <v>0</v>
      </c>
      <c r="BE143" s="138">
        <f>IF('1.DATOS-PROD'!BN144="SI",VLOOKUP('1.DATOS-PROD'!BN$2,'1.PUNTOS'!$A$1:$B$63,2,0),0)</f>
        <v>0</v>
      </c>
      <c r="BF143" s="138">
        <f>IF('1.DATOS-PROD'!BO144="SI",VLOOKUP('1.DATOS-PROD'!BO$2,'1.PUNTOS'!$A$1:$B$63,2,0),0)</f>
        <v>0</v>
      </c>
      <c r="BG143" s="138">
        <f>IF('1.DATOS-PROD'!BP144="SI",VLOOKUP('1.DATOS-PROD'!BP$2,'1.PUNTOS'!$A$1:$B$63,2,0),0)</f>
        <v>0</v>
      </c>
      <c r="BH143" s="138">
        <f>IF('1.DATOS-PROD'!BQ144="SI",VLOOKUP('1.DATOS-PROD'!BQ$2,'1.PUNTOS'!$A$1:$B$63,2,0),0)</f>
        <v>0</v>
      </c>
      <c r="BI143" s="138">
        <f>IF('1.DATOS-PROD'!BR144="SI",VLOOKUP('1.DATOS-PROD'!BR$2,'1.PUNTOS'!$A$1:$B$63,2,0),0)</f>
        <v>0</v>
      </c>
      <c r="BJ143" s="138">
        <f>IF('1.DATOS-PROD'!BS144="SI",VLOOKUP('1.DATOS-PROD'!BS$2,'1.PUNTOS'!$A$1:$B$63,2,0),0)</f>
        <v>0</v>
      </c>
      <c r="BK143" s="138">
        <f>IF('1.DATOS-PROD'!BT144="SI",VLOOKUP('1.DATOS-PROD'!BT$2,'1.PUNTOS'!$A$1:$B$63,2,0),0)</f>
        <v>0</v>
      </c>
    </row>
    <row r="144" spans="1:63" x14ac:dyDescent="0.25">
      <c r="A144">
        <f>'0.Consolidado general'!$A145</f>
        <v>0</v>
      </c>
      <c r="B144" s="138">
        <f>IF('1.DATOS-PROD'!K145="SI",VLOOKUP('1.DATOS-PROD'!K$2,'1.PUNTOS'!$A$1:$B$63,2,0),0)</f>
        <v>0</v>
      </c>
      <c r="C144" s="138">
        <f>IF('1.DATOS-PROD'!L145="SI",VLOOKUP('1.DATOS-PROD'!L$2,'1.PUNTOS'!$A$1:$B$63,2,0),0)</f>
        <v>0</v>
      </c>
      <c r="D144" s="138">
        <f>IF('1.DATOS-PROD'!M145="SI",VLOOKUP('1.DATOS-PROD'!M$2,'1.PUNTOS'!$A$1:$B$63,2,0),0)</f>
        <v>0</v>
      </c>
      <c r="E144" s="138">
        <f>IF('1.DATOS-PROD'!N145="SI",VLOOKUP('1.DATOS-PROD'!N$2,'1.PUNTOS'!$A$1:$B$63,2,0),0)</f>
        <v>0</v>
      </c>
      <c r="F144" s="138">
        <f>IF('1.DATOS-PROD'!O145="SI",VLOOKUP('1.DATOS-PROD'!O$2,'1.PUNTOS'!$A$1:$B$63,2,0),0)</f>
        <v>0</v>
      </c>
      <c r="G144" s="138">
        <f>IF('1.DATOS-PROD'!P145="SI",VLOOKUP('1.DATOS-PROD'!P$2,'1.PUNTOS'!$A$1:$B$63,2,0),0)</f>
        <v>0</v>
      </c>
      <c r="H144" s="138">
        <f>IF('1.DATOS-PROD'!Q145="SI",VLOOKUP('1.DATOS-PROD'!Q$2,'1.PUNTOS'!$A$1:$B$63,2,0),0)</f>
        <v>0</v>
      </c>
      <c r="I144" s="138">
        <f>IF('1.DATOS-PROD'!R145="SI",VLOOKUP('1.DATOS-PROD'!R$2,'1.PUNTOS'!$A$1:$B$63,2,0),0)</f>
        <v>0</v>
      </c>
      <c r="J144" s="138">
        <f>IF('1.DATOS-PROD'!S145="SI",VLOOKUP('1.DATOS-PROD'!S$2,'1.PUNTOS'!$A$1:$B$63,2,0),0)</f>
        <v>0</v>
      </c>
      <c r="K144" s="138">
        <f>IF('1.DATOS-PROD'!T145="SI",VLOOKUP('1.DATOS-PROD'!T$2,'1.PUNTOS'!$A$1:$B$63,2,0),0)</f>
        <v>0</v>
      </c>
      <c r="L144" s="138">
        <f>IF('1.DATOS-PROD'!U145="SI",VLOOKUP('1.DATOS-PROD'!U$2,'1.PUNTOS'!$A$1:$B$63,2,0),0)</f>
        <v>0</v>
      </c>
      <c r="M144" s="138">
        <f>IF('1.DATOS-PROD'!V145="SI",VLOOKUP('1.DATOS-PROD'!V$2,'1.PUNTOS'!$A$1:$B$63,2,0),0)</f>
        <v>0</v>
      </c>
      <c r="N144" s="138">
        <f>IF('1.DATOS-PROD'!W145="SI",VLOOKUP('1.DATOS-PROD'!W$2,'1.PUNTOS'!$A$1:$B$63,2,0),0)</f>
        <v>0</v>
      </c>
      <c r="O144" s="138">
        <f>IF('1.DATOS-PROD'!X145="SI",VLOOKUP('1.DATOS-PROD'!X$2,'1.PUNTOS'!$A$1:$B$63,2,0),0)</f>
        <v>0</v>
      </c>
      <c r="P144" s="138">
        <f>IF('1.DATOS-PROD'!Y145="SI",VLOOKUP('1.DATOS-PROD'!Y$2,'1.PUNTOS'!$A$1:$B$63,2,0),0)</f>
        <v>0</v>
      </c>
      <c r="Q144" s="138">
        <f>IF('1.DATOS-PROD'!Z145="SI",VLOOKUP('1.DATOS-PROD'!Z$2,'1.PUNTOS'!$A$1:$B$63,2,0),0)</f>
        <v>0</v>
      </c>
      <c r="R144" s="138">
        <f>IF('1.DATOS-PROD'!AA145="SI",VLOOKUP('1.DATOS-PROD'!AA$2,'1.PUNTOS'!$A$1:$B$63,2,0),0)</f>
        <v>0</v>
      </c>
      <c r="S144" s="138">
        <f>IF('1.DATOS-PROD'!AB145="SI",VLOOKUP('1.DATOS-PROD'!AB$2,'1.PUNTOS'!$A$1:$B$63,2,0),0)</f>
        <v>0</v>
      </c>
      <c r="T144" s="138">
        <f>IF('1.DATOS-PROD'!AC145="SI",VLOOKUP('1.DATOS-PROD'!AC$2,'1.PUNTOS'!$A$1:$B$63,2,0),0)</f>
        <v>0</v>
      </c>
      <c r="U144" s="138">
        <f>IF('1.DATOS-PROD'!AD145="SI",VLOOKUP('1.DATOS-PROD'!AD$2,'1.PUNTOS'!$A$1:$B$63,2,0),0)</f>
        <v>0</v>
      </c>
      <c r="V144" s="138">
        <f>IF('1.DATOS-PROD'!AE145="SI",VLOOKUP('1.DATOS-PROD'!AE$2,'1.PUNTOS'!$A$1:$B$63,2,0),0)</f>
        <v>0</v>
      </c>
      <c r="W144" s="138">
        <f>IF('1.DATOS-PROD'!AF145="SI",VLOOKUP('1.DATOS-PROD'!AF$2,'1.PUNTOS'!$A$1:$B$63,2,0),0)</f>
        <v>0</v>
      </c>
      <c r="X144" s="138">
        <f>IF('1.DATOS-PROD'!AG145="SI",VLOOKUP('1.DATOS-PROD'!AG$2,'1.PUNTOS'!$A$1:$B$63,2,0),0)</f>
        <v>0</v>
      </c>
      <c r="Y144" s="138">
        <f>IF('1.DATOS-PROD'!AH145="SI",VLOOKUP('1.DATOS-PROD'!AH$2,'1.PUNTOS'!$A$1:$B$63,2,0),0)</f>
        <v>0</v>
      </c>
      <c r="Z144" s="138">
        <f>IF('1.DATOS-PROD'!AI145="SI",VLOOKUP('1.DATOS-PROD'!AI$2,'1.PUNTOS'!$A$1:$B$63,2,0),0)</f>
        <v>0</v>
      </c>
      <c r="AA144" s="138">
        <f>IF('1.DATOS-PROD'!AJ145="SI",VLOOKUP('1.DATOS-PROD'!AJ$2,'1.PUNTOS'!$A$1:$B$63,2,0),0)</f>
        <v>0</v>
      </c>
      <c r="AB144" s="138">
        <f>IF('1.DATOS-PROD'!AK145="SI",VLOOKUP('1.DATOS-PROD'!AK$2,'1.PUNTOS'!$A$1:$B$63,2,0),0)</f>
        <v>0</v>
      </c>
      <c r="AC144" s="138">
        <f>IF('1.DATOS-PROD'!AL145="SI",VLOOKUP('1.DATOS-PROD'!AL$2,'1.PUNTOS'!$A$1:$B$63,2,0),0)</f>
        <v>0</v>
      </c>
      <c r="AD144" s="138">
        <f>IF('1.DATOS-PROD'!AM145="SI",VLOOKUP('1.DATOS-PROD'!AM$2,'1.PUNTOS'!$A$1:$B$63,2,0),0)</f>
        <v>0</v>
      </c>
      <c r="AE144" s="138">
        <f>IF('1.DATOS-PROD'!AN145="SI",VLOOKUP('1.DATOS-PROD'!AN$2,'1.PUNTOS'!$A$1:$B$63,2,0),0)</f>
        <v>0</v>
      </c>
      <c r="AF144" s="138">
        <f>IF('1.DATOS-PROD'!AO145="SI",VLOOKUP('1.DATOS-PROD'!AO$2,'1.PUNTOS'!$A$1:$B$63,2,0),0)</f>
        <v>0</v>
      </c>
      <c r="AG144" s="138">
        <f>IF('1.DATOS-PROD'!AP145="SI",VLOOKUP('1.DATOS-PROD'!AP$2,'1.PUNTOS'!$A$1:$B$63,2,0),0)</f>
        <v>0</v>
      </c>
      <c r="AH144" s="138">
        <f>IF('1.DATOS-PROD'!AQ145="SI",VLOOKUP('1.DATOS-PROD'!AQ$2,'1.PUNTOS'!$A$1:$B$63,2,0),0)</f>
        <v>0</v>
      </c>
      <c r="AI144" s="138">
        <f>IF('1.DATOS-PROD'!AR145="SI",VLOOKUP('1.DATOS-PROD'!AR$2,'1.PUNTOS'!$A$1:$B$63,2,0),0)</f>
        <v>0</v>
      </c>
      <c r="AJ144" s="138">
        <f>IF('1.DATOS-PROD'!AS145="SI",VLOOKUP('1.DATOS-PROD'!AS$2,'1.PUNTOS'!$A$1:$B$63,2,0),0)</f>
        <v>0</v>
      </c>
      <c r="AK144" s="138">
        <f>IF('1.DATOS-PROD'!AT145="SI",VLOOKUP('1.DATOS-PROD'!AT$2,'1.PUNTOS'!$A$1:$B$63,2,0),0)</f>
        <v>0</v>
      </c>
      <c r="AL144" s="138">
        <f>IF('1.DATOS-PROD'!AU145="SI",VLOOKUP('1.DATOS-PROD'!AU$2,'1.PUNTOS'!$A$1:$B$63,2,0),0)</f>
        <v>0</v>
      </c>
      <c r="AM144" s="138">
        <f>IF('1.DATOS-PROD'!AV145="SI",VLOOKUP('1.DATOS-PROD'!AV$2,'1.PUNTOS'!$A$1:$B$63,2,0),0)</f>
        <v>0</v>
      </c>
      <c r="AN144" s="138">
        <f>IF('1.DATOS-PROD'!AW145="SI",VLOOKUP('1.DATOS-PROD'!AW$2,'1.PUNTOS'!$A$1:$B$63,2,0),0)</f>
        <v>0</v>
      </c>
      <c r="AO144" s="138">
        <f>IF('1.DATOS-PROD'!AX145="SI",VLOOKUP('1.DATOS-PROD'!AX$2,'1.PUNTOS'!$A$1:$B$63,2,0),0)</f>
        <v>0</v>
      </c>
      <c r="AP144" s="138">
        <f>IF('1.DATOS-PROD'!AY145="SI",VLOOKUP('1.DATOS-PROD'!AY$2,'1.PUNTOS'!$A$1:$B$63,2,0),0)</f>
        <v>0</v>
      </c>
      <c r="AQ144" s="138">
        <f>IF('1.DATOS-PROD'!AZ145="SI",VLOOKUP('1.DATOS-PROD'!AZ$2,'1.PUNTOS'!$A$1:$B$63,2,0),0)</f>
        <v>0</v>
      </c>
      <c r="AR144" s="138">
        <f>IF('1.DATOS-PROD'!BA145="SI",VLOOKUP('1.DATOS-PROD'!BA$2,'1.PUNTOS'!$A$1:$B$63,2,0),0)</f>
        <v>0</v>
      </c>
      <c r="AS144" s="138">
        <f>IF('1.DATOS-PROD'!BB145="SI",VLOOKUP('1.DATOS-PROD'!BB$2,'1.PUNTOS'!$A$1:$B$63,2,0),0)</f>
        <v>0</v>
      </c>
      <c r="AT144" s="138">
        <f>IF('1.DATOS-PROD'!BC145="SI",VLOOKUP('1.DATOS-PROD'!BC$2,'1.PUNTOS'!$A$1:$B$63,2,0),0)</f>
        <v>0</v>
      </c>
      <c r="AU144" s="138">
        <f>IF('1.DATOS-PROD'!BD145="SI",VLOOKUP('1.DATOS-PROD'!BD$2,'1.PUNTOS'!$A$1:$B$63,2,0),0)</f>
        <v>0</v>
      </c>
      <c r="AV144" s="138">
        <f>IF('1.DATOS-PROD'!BE145="SI",VLOOKUP('1.DATOS-PROD'!BE$2,'1.PUNTOS'!$A$1:$B$63,2,0),0)</f>
        <v>0</v>
      </c>
      <c r="AW144" s="138">
        <f>IF('1.DATOS-PROD'!BF145="SI",VLOOKUP('1.DATOS-PROD'!BF$2,'1.PUNTOS'!$A$1:$B$63,2,0),0)</f>
        <v>0</v>
      </c>
      <c r="AX144" s="138">
        <f>IF('1.DATOS-PROD'!BG145="SI",VLOOKUP('1.DATOS-PROD'!BG$2,'1.PUNTOS'!$A$1:$B$63,2,0),0)</f>
        <v>0</v>
      </c>
      <c r="AY144" s="138">
        <f>IF('1.DATOS-PROD'!BH145="SI",VLOOKUP('1.DATOS-PROD'!BH$2,'1.PUNTOS'!$A$1:$B$63,2,0),0)</f>
        <v>0</v>
      </c>
      <c r="AZ144" s="138">
        <f>IF('1.DATOS-PROD'!BI145="SI",VLOOKUP('1.DATOS-PROD'!BI$2,'1.PUNTOS'!$A$1:$B$63,2,0),0)</f>
        <v>0</v>
      </c>
      <c r="BA144" s="138">
        <f>IF('1.DATOS-PROD'!BJ145="SI",VLOOKUP('1.DATOS-PROD'!BJ$2,'1.PUNTOS'!$A$1:$B$63,2,0),0)</f>
        <v>0</v>
      </c>
      <c r="BB144" s="138">
        <f>IF('1.DATOS-PROD'!BK145="SI",VLOOKUP('1.DATOS-PROD'!BK$2,'1.PUNTOS'!$A$1:$B$63,2,0),0)</f>
        <v>0</v>
      </c>
      <c r="BC144" s="138">
        <f>IF('1.DATOS-PROD'!BL145="SI",VLOOKUP('1.DATOS-PROD'!BL$2,'1.PUNTOS'!$A$1:$B$63,2,0),0)</f>
        <v>0</v>
      </c>
      <c r="BD144" s="138">
        <f>IF('1.DATOS-PROD'!BM145="SI",VLOOKUP('1.DATOS-PROD'!BM$2,'1.PUNTOS'!$A$1:$B$63,2,0),0)</f>
        <v>0</v>
      </c>
      <c r="BE144" s="138">
        <f>IF('1.DATOS-PROD'!BN145="SI",VLOOKUP('1.DATOS-PROD'!BN$2,'1.PUNTOS'!$A$1:$B$63,2,0),0)</f>
        <v>0</v>
      </c>
      <c r="BF144" s="138">
        <f>IF('1.DATOS-PROD'!BO145="SI",VLOOKUP('1.DATOS-PROD'!BO$2,'1.PUNTOS'!$A$1:$B$63,2,0),0)</f>
        <v>0</v>
      </c>
      <c r="BG144" s="138">
        <f>IF('1.DATOS-PROD'!BP145="SI",VLOOKUP('1.DATOS-PROD'!BP$2,'1.PUNTOS'!$A$1:$B$63,2,0),0)</f>
        <v>0</v>
      </c>
      <c r="BH144" s="138">
        <f>IF('1.DATOS-PROD'!BQ145="SI",VLOOKUP('1.DATOS-PROD'!BQ$2,'1.PUNTOS'!$A$1:$B$63,2,0),0)</f>
        <v>0</v>
      </c>
      <c r="BI144" s="138">
        <f>IF('1.DATOS-PROD'!BR145="SI",VLOOKUP('1.DATOS-PROD'!BR$2,'1.PUNTOS'!$A$1:$B$63,2,0),0)</f>
        <v>0</v>
      </c>
      <c r="BJ144" s="138">
        <f>IF('1.DATOS-PROD'!BS145="SI",VLOOKUP('1.DATOS-PROD'!BS$2,'1.PUNTOS'!$A$1:$B$63,2,0),0)</f>
        <v>0</v>
      </c>
      <c r="BK144" s="138">
        <f>IF('1.DATOS-PROD'!BT145="SI",VLOOKUP('1.DATOS-PROD'!BT$2,'1.PUNTOS'!$A$1:$B$63,2,0),0)</f>
        <v>0</v>
      </c>
    </row>
    <row r="145" spans="1:63" x14ac:dyDescent="0.25">
      <c r="A145">
        <f>'0.Consolidado general'!$A146</f>
        <v>0</v>
      </c>
      <c r="B145" s="138">
        <f>IF('1.DATOS-PROD'!K146="SI",VLOOKUP('1.DATOS-PROD'!K$2,'1.PUNTOS'!$A$1:$B$63,2,0),0)</f>
        <v>0</v>
      </c>
      <c r="C145" s="138">
        <f>IF('1.DATOS-PROD'!L146="SI",VLOOKUP('1.DATOS-PROD'!L$2,'1.PUNTOS'!$A$1:$B$63,2,0),0)</f>
        <v>0</v>
      </c>
      <c r="D145" s="138">
        <f>IF('1.DATOS-PROD'!M146="SI",VLOOKUP('1.DATOS-PROD'!M$2,'1.PUNTOS'!$A$1:$B$63,2,0),0)</f>
        <v>0</v>
      </c>
      <c r="E145" s="138">
        <f>IF('1.DATOS-PROD'!N146="SI",VLOOKUP('1.DATOS-PROD'!N$2,'1.PUNTOS'!$A$1:$B$63,2,0),0)</f>
        <v>0</v>
      </c>
      <c r="F145" s="138">
        <f>IF('1.DATOS-PROD'!O146="SI",VLOOKUP('1.DATOS-PROD'!O$2,'1.PUNTOS'!$A$1:$B$63,2,0),0)</f>
        <v>0</v>
      </c>
      <c r="G145" s="138">
        <f>IF('1.DATOS-PROD'!P146="SI",VLOOKUP('1.DATOS-PROD'!P$2,'1.PUNTOS'!$A$1:$B$63,2,0),0)</f>
        <v>0</v>
      </c>
      <c r="H145" s="138">
        <f>IF('1.DATOS-PROD'!Q146="SI",VLOOKUP('1.DATOS-PROD'!Q$2,'1.PUNTOS'!$A$1:$B$63,2,0),0)</f>
        <v>0</v>
      </c>
      <c r="I145" s="138">
        <f>IF('1.DATOS-PROD'!R146="SI",VLOOKUP('1.DATOS-PROD'!R$2,'1.PUNTOS'!$A$1:$B$63,2,0),0)</f>
        <v>0</v>
      </c>
      <c r="J145" s="138">
        <f>IF('1.DATOS-PROD'!S146="SI",VLOOKUP('1.DATOS-PROD'!S$2,'1.PUNTOS'!$A$1:$B$63,2,0),0)</f>
        <v>0</v>
      </c>
      <c r="K145" s="138">
        <f>IF('1.DATOS-PROD'!T146="SI",VLOOKUP('1.DATOS-PROD'!T$2,'1.PUNTOS'!$A$1:$B$63,2,0),0)</f>
        <v>0</v>
      </c>
      <c r="L145" s="138">
        <f>IF('1.DATOS-PROD'!U146="SI",VLOOKUP('1.DATOS-PROD'!U$2,'1.PUNTOS'!$A$1:$B$63,2,0),0)</f>
        <v>0</v>
      </c>
      <c r="M145" s="138">
        <f>IF('1.DATOS-PROD'!V146="SI",VLOOKUP('1.DATOS-PROD'!V$2,'1.PUNTOS'!$A$1:$B$63,2,0),0)</f>
        <v>0</v>
      </c>
      <c r="N145" s="138">
        <f>IF('1.DATOS-PROD'!W146="SI",VLOOKUP('1.DATOS-PROD'!W$2,'1.PUNTOS'!$A$1:$B$63,2,0),0)</f>
        <v>0</v>
      </c>
      <c r="O145" s="138">
        <f>IF('1.DATOS-PROD'!X146="SI",VLOOKUP('1.DATOS-PROD'!X$2,'1.PUNTOS'!$A$1:$B$63,2,0),0)</f>
        <v>0</v>
      </c>
      <c r="P145" s="138">
        <f>IF('1.DATOS-PROD'!Y146="SI",VLOOKUP('1.DATOS-PROD'!Y$2,'1.PUNTOS'!$A$1:$B$63,2,0),0)</f>
        <v>0</v>
      </c>
      <c r="Q145" s="138">
        <f>IF('1.DATOS-PROD'!Z146="SI",VLOOKUP('1.DATOS-PROD'!Z$2,'1.PUNTOS'!$A$1:$B$63,2,0),0)</f>
        <v>0</v>
      </c>
      <c r="R145" s="138">
        <f>IF('1.DATOS-PROD'!AA146="SI",VLOOKUP('1.DATOS-PROD'!AA$2,'1.PUNTOS'!$A$1:$B$63,2,0),0)</f>
        <v>0</v>
      </c>
      <c r="S145" s="138">
        <f>IF('1.DATOS-PROD'!AB146="SI",VLOOKUP('1.DATOS-PROD'!AB$2,'1.PUNTOS'!$A$1:$B$63,2,0),0)</f>
        <v>0</v>
      </c>
      <c r="T145" s="138">
        <f>IF('1.DATOS-PROD'!AC146="SI",VLOOKUP('1.DATOS-PROD'!AC$2,'1.PUNTOS'!$A$1:$B$63,2,0),0)</f>
        <v>0</v>
      </c>
      <c r="U145" s="138">
        <f>IF('1.DATOS-PROD'!AD146="SI",VLOOKUP('1.DATOS-PROD'!AD$2,'1.PUNTOS'!$A$1:$B$63,2,0),0)</f>
        <v>0</v>
      </c>
      <c r="V145" s="138">
        <f>IF('1.DATOS-PROD'!AE146="SI",VLOOKUP('1.DATOS-PROD'!AE$2,'1.PUNTOS'!$A$1:$B$63,2,0),0)</f>
        <v>0</v>
      </c>
      <c r="W145" s="138">
        <f>IF('1.DATOS-PROD'!AF146="SI",VLOOKUP('1.DATOS-PROD'!AF$2,'1.PUNTOS'!$A$1:$B$63,2,0),0)</f>
        <v>0</v>
      </c>
      <c r="X145" s="138">
        <f>IF('1.DATOS-PROD'!AG146="SI",VLOOKUP('1.DATOS-PROD'!AG$2,'1.PUNTOS'!$A$1:$B$63,2,0),0)</f>
        <v>0</v>
      </c>
      <c r="Y145" s="138">
        <f>IF('1.DATOS-PROD'!AH146="SI",VLOOKUP('1.DATOS-PROD'!AH$2,'1.PUNTOS'!$A$1:$B$63,2,0),0)</f>
        <v>0</v>
      </c>
      <c r="Z145" s="138">
        <f>IF('1.DATOS-PROD'!AI146="SI",VLOOKUP('1.DATOS-PROD'!AI$2,'1.PUNTOS'!$A$1:$B$63,2,0),0)</f>
        <v>0</v>
      </c>
      <c r="AA145" s="138">
        <f>IF('1.DATOS-PROD'!AJ146="SI",VLOOKUP('1.DATOS-PROD'!AJ$2,'1.PUNTOS'!$A$1:$B$63,2,0),0)</f>
        <v>0</v>
      </c>
      <c r="AB145" s="138">
        <f>IF('1.DATOS-PROD'!AK146="SI",VLOOKUP('1.DATOS-PROD'!AK$2,'1.PUNTOS'!$A$1:$B$63,2,0),0)</f>
        <v>0</v>
      </c>
      <c r="AC145" s="138">
        <f>IF('1.DATOS-PROD'!AL146="SI",VLOOKUP('1.DATOS-PROD'!AL$2,'1.PUNTOS'!$A$1:$B$63,2,0),0)</f>
        <v>0</v>
      </c>
      <c r="AD145" s="138">
        <f>IF('1.DATOS-PROD'!AM146="SI",VLOOKUP('1.DATOS-PROD'!AM$2,'1.PUNTOS'!$A$1:$B$63,2,0),0)</f>
        <v>0</v>
      </c>
      <c r="AE145" s="138">
        <f>IF('1.DATOS-PROD'!AN146="SI",VLOOKUP('1.DATOS-PROD'!AN$2,'1.PUNTOS'!$A$1:$B$63,2,0),0)</f>
        <v>0</v>
      </c>
      <c r="AF145" s="138">
        <f>IF('1.DATOS-PROD'!AO146="SI",VLOOKUP('1.DATOS-PROD'!AO$2,'1.PUNTOS'!$A$1:$B$63,2,0),0)</f>
        <v>0</v>
      </c>
      <c r="AG145" s="138">
        <f>IF('1.DATOS-PROD'!AP146="SI",VLOOKUP('1.DATOS-PROD'!AP$2,'1.PUNTOS'!$A$1:$B$63,2,0),0)</f>
        <v>0</v>
      </c>
      <c r="AH145" s="138">
        <f>IF('1.DATOS-PROD'!AQ146="SI",VLOOKUP('1.DATOS-PROD'!AQ$2,'1.PUNTOS'!$A$1:$B$63,2,0),0)</f>
        <v>0</v>
      </c>
      <c r="AI145" s="138">
        <f>IF('1.DATOS-PROD'!AR146="SI",VLOOKUP('1.DATOS-PROD'!AR$2,'1.PUNTOS'!$A$1:$B$63,2,0),0)</f>
        <v>0</v>
      </c>
      <c r="AJ145" s="138">
        <f>IF('1.DATOS-PROD'!AS146="SI",VLOOKUP('1.DATOS-PROD'!AS$2,'1.PUNTOS'!$A$1:$B$63,2,0),0)</f>
        <v>0</v>
      </c>
      <c r="AK145" s="138">
        <f>IF('1.DATOS-PROD'!AT146="SI",VLOOKUP('1.DATOS-PROD'!AT$2,'1.PUNTOS'!$A$1:$B$63,2,0),0)</f>
        <v>0</v>
      </c>
      <c r="AL145" s="138">
        <f>IF('1.DATOS-PROD'!AU146="SI",VLOOKUP('1.DATOS-PROD'!AU$2,'1.PUNTOS'!$A$1:$B$63,2,0),0)</f>
        <v>0</v>
      </c>
      <c r="AM145" s="138">
        <f>IF('1.DATOS-PROD'!AV146="SI",VLOOKUP('1.DATOS-PROD'!AV$2,'1.PUNTOS'!$A$1:$B$63,2,0),0)</f>
        <v>0</v>
      </c>
      <c r="AN145" s="138">
        <f>IF('1.DATOS-PROD'!AW146="SI",VLOOKUP('1.DATOS-PROD'!AW$2,'1.PUNTOS'!$A$1:$B$63,2,0),0)</f>
        <v>0</v>
      </c>
      <c r="AO145" s="138">
        <f>IF('1.DATOS-PROD'!AX146="SI",VLOOKUP('1.DATOS-PROD'!AX$2,'1.PUNTOS'!$A$1:$B$63,2,0),0)</f>
        <v>0</v>
      </c>
      <c r="AP145" s="138">
        <f>IF('1.DATOS-PROD'!AY146="SI",VLOOKUP('1.DATOS-PROD'!AY$2,'1.PUNTOS'!$A$1:$B$63,2,0),0)</f>
        <v>0</v>
      </c>
      <c r="AQ145" s="138">
        <f>IF('1.DATOS-PROD'!AZ146="SI",VLOOKUP('1.DATOS-PROD'!AZ$2,'1.PUNTOS'!$A$1:$B$63,2,0),0)</f>
        <v>0</v>
      </c>
      <c r="AR145" s="138">
        <f>IF('1.DATOS-PROD'!BA146="SI",VLOOKUP('1.DATOS-PROD'!BA$2,'1.PUNTOS'!$A$1:$B$63,2,0),0)</f>
        <v>0</v>
      </c>
      <c r="AS145" s="138">
        <f>IF('1.DATOS-PROD'!BB146="SI",VLOOKUP('1.DATOS-PROD'!BB$2,'1.PUNTOS'!$A$1:$B$63,2,0),0)</f>
        <v>0</v>
      </c>
      <c r="AT145" s="138">
        <f>IF('1.DATOS-PROD'!BC146="SI",VLOOKUP('1.DATOS-PROD'!BC$2,'1.PUNTOS'!$A$1:$B$63,2,0),0)</f>
        <v>0</v>
      </c>
      <c r="AU145" s="138">
        <f>IF('1.DATOS-PROD'!BD146="SI",VLOOKUP('1.DATOS-PROD'!BD$2,'1.PUNTOS'!$A$1:$B$63,2,0),0)</f>
        <v>0</v>
      </c>
      <c r="AV145" s="138">
        <f>IF('1.DATOS-PROD'!BE146="SI",VLOOKUP('1.DATOS-PROD'!BE$2,'1.PUNTOS'!$A$1:$B$63,2,0),0)</f>
        <v>0</v>
      </c>
      <c r="AW145" s="138">
        <f>IF('1.DATOS-PROD'!BF146="SI",VLOOKUP('1.DATOS-PROD'!BF$2,'1.PUNTOS'!$A$1:$B$63,2,0),0)</f>
        <v>0</v>
      </c>
      <c r="AX145" s="138">
        <f>IF('1.DATOS-PROD'!BG146="SI",VLOOKUP('1.DATOS-PROD'!BG$2,'1.PUNTOS'!$A$1:$B$63,2,0),0)</f>
        <v>0</v>
      </c>
      <c r="AY145" s="138">
        <f>IF('1.DATOS-PROD'!BH146="SI",VLOOKUP('1.DATOS-PROD'!BH$2,'1.PUNTOS'!$A$1:$B$63,2,0),0)</f>
        <v>0</v>
      </c>
      <c r="AZ145" s="138">
        <f>IF('1.DATOS-PROD'!BI146="SI",VLOOKUP('1.DATOS-PROD'!BI$2,'1.PUNTOS'!$A$1:$B$63,2,0),0)</f>
        <v>0</v>
      </c>
      <c r="BA145" s="138">
        <f>IF('1.DATOS-PROD'!BJ146="SI",VLOOKUP('1.DATOS-PROD'!BJ$2,'1.PUNTOS'!$A$1:$B$63,2,0),0)</f>
        <v>0</v>
      </c>
      <c r="BB145" s="138">
        <f>IF('1.DATOS-PROD'!BK146="SI",VLOOKUP('1.DATOS-PROD'!BK$2,'1.PUNTOS'!$A$1:$B$63,2,0),0)</f>
        <v>0</v>
      </c>
      <c r="BC145" s="138">
        <f>IF('1.DATOS-PROD'!BL146="SI",VLOOKUP('1.DATOS-PROD'!BL$2,'1.PUNTOS'!$A$1:$B$63,2,0),0)</f>
        <v>0</v>
      </c>
      <c r="BD145" s="138">
        <f>IF('1.DATOS-PROD'!BM146="SI",VLOOKUP('1.DATOS-PROD'!BM$2,'1.PUNTOS'!$A$1:$B$63,2,0),0)</f>
        <v>0</v>
      </c>
      <c r="BE145" s="138">
        <f>IF('1.DATOS-PROD'!BN146="SI",VLOOKUP('1.DATOS-PROD'!BN$2,'1.PUNTOS'!$A$1:$B$63,2,0),0)</f>
        <v>0</v>
      </c>
      <c r="BF145" s="138">
        <f>IF('1.DATOS-PROD'!BO146="SI",VLOOKUP('1.DATOS-PROD'!BO$2,'1.PUNTOS'!$A$1:$B$63,2,0),0)</f>
        <v>0</v>
      </c>
      <c r="BG145" s="138">
        <f>IF('1.DATOS-PROD'!BP146="SI",VLOOKUP('1.DATOS-PROD'!BP$2,'1.PUNTOS'!$A$1:$B$63,2,0),0)</f>
        <v>0</v>
      </c>
      <c r="BH145" s="138">
        <f>IF('1.DATOS-PROD'!BQ146="SI",VLOOKUP('1.DATOS-PROD'!BQ$2,'1.PUNTOS'!$A$1:$B$63,2,0),0)</f>
        <v>0</v>
      </c>
      <c r="BI145" s="138">
        <f>IF('1.DATOS-PROD'!BR146="SI",VLOOKUP('1.DATOS-PROD'!BR$2,'1.PUNTOS'!$A$1:$B$63,2,0),0)</f>
        <v>0</v>
      </c>
      <c r="BJ145" s="138">
        <f>IF('1.DATOS-PROD'!BS146="SI",VLOOKUP('1.DATOS-PROD'!BS$2,'1.PUNTOS'!$A$1:$B$63,2,0),0)</f>
        <v>0</v>
      </c>
      <c r="BK145" s="138">
        <f>IF('1.DATOS-PROD'!BT146="SI",VLOOKUP('1.DATOS-PROD'!BT$2,'1.PUNTOS'!$A$1:$B$63,2,0),0)</f>
        <v>0</v>
      </c>
    </row>
    <row r="146" spans="1:63" x14ac:dyDescent="0.25">
      <c r="A146">
        <f>'0.Consolidado general'!$A147</f>
        <v>0</v>
      </c>
      <c r="B146" s="138">
        <f>IF('1.DATOS-PROD'!K147="SI",VLOOKUP('1.DATOS-PROD'!K$2,'1.PUNTOS'!$A$1:$B$63,2,0),0)</f>
        <v>0</v>
      </c>
      <c r="C146" s="138">
        <f>IF('1.DATOS-PROD'!L147="SI",VLOOKUP('1.DATOS-PROD'!L$2,'1.PUNTOS'!$A$1:$B$63,2,0),0)</f>
        <v>0</v>
      </c>
      <c r="D146" s="138">
        <f>IF('1.DATOS-PROD'!M147="SI",VLOOKUP('1.DATOS-PROD'!M$2,'1.PUNTOS'!$A$1:$B$63,2,0),0)</f>
        <v>0</v>
      </c>
      <c r="E146" s="138">
        <f>IF('1.DATOS-PROD'!N147="SI",VLOOKUP('1.DATOS-PROD'!N$2,'1.PUNTOS'!$A$1:$B$63,2,0),0)</f>
        <v>0</v>
      </c>
      <c r="F146" s="138">
        <f>IF('1.DATOS-PROD'!O147="SI",VLOOKUP('1.DATOS-PROD'!O$2,'1.PUNTOS'!$A$1:$B$63,2,0),0)</f>
        <v>0</v>
      </c>
      <c r="G146" s="138">
        <f>IF('1.DATOS-PROD'!P147="SI",VLOOKUP('1.DATOS-PROD'!P$2,'1.PUNTOS'!$A$1:$B$63,2,0),0)</f>
        <v>0</v>
      </c>
      <c r="H146" s="138">
        <f>IF('1.DATOS-PROD'!Q147="SI",VLOOKUP('1.DATOS-PROD'!Q$2,'1.PUNTOS'!$A$1:$B$63,2,0),0)</f>
        <v>0</v>
      </c>
      <c r="I146" s="138">
        <f>IF('1.DATOS-PROD'!R147="SI",VLOOKUP('1.DATOS-PROD'!R$2,'1.PUNTOS'!$A$1:$B$63,2,0),0)</f>
        <v>0</v>
      </c>
      <c r="J146" s="138">
        <f>IF('1.DATOS-PROD'!S147="SI",VLOOKUP('1.DATOS-PROD'!S$2,'1.PUNTOS'!$A$1:$B$63,2,0),0)</f>
        <v>0</v>
      </c>
      <c r="K146" s="138">
        <f>IF('1.DATOS-PROD'!T147="SI",VLOOKUP('1.DATOS-PROD'!T$2,'1.PUNTOS'!$A$1:$B$63,2,0),0)</f>
        <v>0</v>
      </c>
      <c r="L146" s="138">
        <f>IF('1.DATOS-PROD'!U147="SI",VLOOKUP('1.DATOS-PROD'!U$2,'1.PUNTOS'!$A$1:$B$63,2,0),0)</f>
        <v>0</v>
      </c>
      <c r="M146" s="138">
        <f>IF('1.DATOS-PROD'!V147="SI",VLOOKUP('1.DATOS-PROD'!V$2,'1.PUNTOS'!$A$1:$B$63,2,0),0)</f>
        <v>0</v>
      </c>
      <c r="N146" s="138">
        <f>IF('1.DATOS-PROD'!W147="SI",VLOOKUP('1.DATOS-PROD'!W$2,'1.PUNTOS'!$A$1:$B$63,2,0),0)</f>
        <v>0</v>
      </c>
      <c r="O146" s="138">
        <f>IF('1.DATOS-PROD'!X147="SI",VLOOKUP('1.DATOS-PROD'!X$2,'1.PUNTOS'!$A$1:$B$63,2,0),0)</f>
        <v>0</v>
      </c>
      <c r="P146" s="138">
        <f>IF('1.DATOS-PROD'!Y147="SI",VLOOKUP('1.DATOS-PROD'!Y$2,'1.PUNTOS'!$A$1:$B$63,2,0),0)</f>
        <v>0</v>
      </c>
      <c r="Q146" s="138">
        <f>IF('1.DATOS-PROD'!Z147="SI",VLOOKUP('1.DATOS-PROD'!Z$2,'1.PUNTOS'!$A$1:$B$63,2,0),0)</f>
        <v>0</v>
      </c>
      <c r="R146" s="138">
        <f>IF('1.DATOS-PROD'!AA147="SI",VLOOKUP('1.DATOS-PROD'!AA$2,'1.PUNTOS'!$A$1:$B$63,2,0),0)</f>
        <v>0</v>
      </c>
      <c r="S146" s="138">
        <f>IF('1.DATOS-PROD'!AB147="SI",VLOOKUP('1.DATOS-PROD'!AB$2,'1.PUNTOS'!$A$1:$B$63,2,0),0)</f>
        <v>0</v>
      </c>
      <c r="T146" s="138">
        <f>IF('1.DATOS-PROD'!AC147="SI",VLOOKUP('1.DATOS-PROD'!AC$2,'1.PUNTOS'!$A$1:$B$63,2,0),0)</f>
        <v>0</v>
      </c>
      <c r="U146" s="138">
        <f>IF('1.DATOS-PROD'!AD147="SI",VLOOKUP('1.DATOS-PROD'!AD$2,'1.PUNTOS'!$A$1:$B$63,2,0),0)</f>
        <v>0</v>
      </c>
      <c r="V146" s="138">
        <f>IF('1.DATOS-PROD'!AE147="SI",VLOOKUP('1.DATOS-PROD'!AE$2,'1.PUNTOS'!$A$1:$B$63,2,0),0)</f>
        <v>0</v>
      </c>
      <c r="W146" s="138">
        <f>IF('1.DATOS-PROD'!AF147="SI",VLOOKUP('1.DATOS-PROD'!AF$2,'1.PUNTOS'!$A$1:$B$63,2,0),0)</f>
        <v>0</v>
      </c>
      <c r="X146" s="138">
        <f>IF('1.DATOS-PROD'!AG147="SI",VLOOKUP('1.DATOS-PROD'!AG$2,'1.PUNTOS'!$A$1:$B$63,2,0),0)</f>
        <v>0</v>
      </c>
      <c r="Y146" s="138">
        <f>IF('1.DATOS-PROD'!AH147="SI",VLOOKUP('1.DATOS-PROD'!AH$2,'1.PUNTOS'!$A$1:$B$63,2,0),0)</f>
        <v>0</v>
      </c>
      <c r="Z146" s="138">
        <f>IF('1.DATOS-PROD'!AI147="SI",VLOOKUP('1.DATOS-PROD'!AI$2,'1.PUNTOS'!$A$1:$B$63,2,0),0)</f>
        <v>0</v>
      </c>
      <c r="AA146" s="138">
        <f>IF('1.DATOS-PROD'!AJ147="SI",VLOOKUP('1.DATOS-PROD'!AJ$2,'1.PUNTOS'!$A$1:$B$63,2,0),0)</f>
        <v>0</v>
      </c>
      <c r="AB146" s="138">
        <f>IF('1.DATOS-PROD'!AK147="SI",VLOOKUP('1.DATOS-PROD'!AK$2,'1.PUNTOS'!$A$1:$B$63,2,0),0)</f>
        <v>0</v>
      </c>
      <c r="AC146" s="138">
        <f>IF('1.DATOS-PROD'!AL147="SI",VLOOKUP('1.DATOS-PROD'!AL$2,'1.PUNTOS'!$A$1:$B$63,2,0),0)</f>
        <v>0</v>
      </c>
      <c r="AD146" s="138">
        <f>IF('1.DATOS-PROD'!AM147="SI",VLOOKUP('1.DATOS-PROD'!AM$2,'1.PUNTOS'!$A$1:$B$63,2,0),0)</f>
        <v>0</v>
      </c>
      <c r="AE146" s="138">
        <f>IF('1.DATOS-PROD'!AN147="SI",VLOOKUP('1.DATOS-PROD'!AN$2,'1.PUNTOS'!$A$1:$B$63,2,0),0)</f>
        <v>0</v>
      </c>
      <c r="AF146" s="138">
        <f>IF('1.DATOS-PROD'!AO147="SI",VLOOKUP('1.DATOS-PROD'!AO$2,'1.PUNTOS'!$A$1:$B$63,2,0),0)</f>
        <v>0</v>
      </c>
      <c r="AG146" s="138">
        <f>IF('1.DATOS-PROD'!AP147="SI",VLOOKUP('1.DATOS-PROD'!AP$2,'1.PUNTOS'!$A$1:$B$63,2,0),0)</f>
        <v>0</v>
      </c>
      <c r="AH146" s="138">
        <f>IF('1.DATOS-PROD'!AQ147="SI",VLOOKUP('1.DATOS-PROD'!AQ$2,'1.PUNTOS'!$A$1:$B$63,2,0),0)</f>
        <v>0</v>
      </c>
      <c r="AI146" s="138">
        <f>IF('1.DATOS-PROD'!AR147="SI",VLOOKUP('1.DATOS-PROD'!AR$2,'1.PUNTOS'!$A$1:$B$63,2,0),0)</f>
        <v>0</v>
      </c>
      <c r="AJ146" s="138">
        <f>IF('1.DATOS-PROD'!AS147="SI",VLOOKUP('1.DATOS-PROD'!AS$2,'1.PUNTOS'!$A$1:$B$63,2,0),0)</f>
        <v>0</v>
      </c>
      <c r="AK146" s="138">
        <f>IF('1.DATOS-PROD'!AT147="SI",VLOOKUP('1.DATOS-PROD'!AT$2,'1.PUNTOS'!$A$1:$B$63,2,0),0)</f>
        <v>0</v>
      </c>
      <c r="AL146" s="138">
        <f>IF('1.DATOS-PROD'!AU147="SI",VLOOKUP('1.DATOS-PROD'!AU$2,'1.PUNTOS'!$A$1:$B$63,2,0),0)</f>
        <v>0</v>
      </c>
      <c r="AM146" s="138">
        <f>IF('1.DATOS-PROD'!AV147="SI",VLOOKUP('1.DATOS-PROD'!AV$2,'1.PUNTOS'!$A$1:$B$63,2,0),0)</f>
        <v>0</v>
      </c>
      <c r="AN146" s="138">
        <f>IF('1.DATOS-PROD'!AW147="SI",VLOOKUP('1.DATOS-PROD'!AW$2,'1.PUNTOS'!$A$1:$B$63,2,0),0)</f>
        <v>0</v>
      </c>
      <c r="AO146" s="138">
        <f>IF('1.DATOS-PROD'!AX147="SI",VLOOKUP('1.DATOS-PROD'!AX$2,'1.PUNTOS'!$A$1:$B$63,2,0),0)</f>
        <v>0</v>
      </c>
      <c r="AP146" s="138">
        <f>IF('1.DATOS-PROD'!AY147="SI",VLOOKUP('1.DATOS-PROD'!AY$2,'1.PUNTOS'!$A$1:$B$63,2,0),0)</f>
        <v>0</v>
      </c>
      <c r="AQ146" s="138">
        <f>IF('1.DATOS-PROD'!AZ147="SI",VLOOKUP('1.DATOS-PROD'!AZ$2,'1.PUNTOS'!$A$1:$B$63,2,0),0)</f>
        <v>0</v>
      </c>
      <c r="AR146" s="138">
        <f>IF('1.DATOS-PROD'!BA147="SI",VLOOKUP('1.DATOS-PROD'!BA$2,'1.PUNTOS'!$A$1:$B$63,2,0),0)</f>
        <v>0</v>
      </c>
      <c r="AS146" s="138">
        <f>IF('1.DATOS-PROD'!BB147="SI",VLOOKUP('1.DATOS-PROD'!BB$2,'1.PUNTOS'!$A$1:$B$63,2,0),0)</f>
        <v>0</v>
      </c>
      <c r="AT146" s="138">
        <f>IF('1.DATOS-PROD'!BC147="SI",VLOOKUP('1.DATOS-PROD'!BC$2,'1.PUNTOS'!$A$1:$B$63,2,0),0)</f>
        <v>0</v>
      </c>
      <c r="AU146" s="138">
        <f>IF('1.DATOS-PROD'!BD147="SI",VLOOKUP('1.DATOS-PROD'!BD$2,'1.PUNTOS'!$A$1:$B$63,2,0),0)</f>
        <v>0</v>
      </c>
      <c r="AV146" s="138">
        <f>IF('1.DATOS-PROD'!BE147="SI",VLOOKUP('1.DATOS-PROD'!BE$2,'1.PUNTOS'!$A$1:$B$63,2,0),0)</f>
        <v>0</v>
      </c>
      <c r="AW146" s="138">
        <f>IF('1.DATOS-PROD'!BF147="SI",VLOOKUP('1.DATOS-PROD'!BF$2,'1.PUNTOS'!$A$1:$B$63,2,0),0)</f>
        <v>0</v>
      </c>
      <c r="AX146" s="138">
        <f>IF('1.DATOS-PROD'!BG147="SI",VLOOKUP('1.DATOS-PROD'!BG$2,'1.PUNTOS'!$A$1:$B$63,2,0),0)</f>
        <v>0</v>
      </c>
      <c r="AY146" s="138">
        <f>IF('1.DATOS-PROD'!BH147="SI",VLOOKUP('1.DATOS-PROD'!BH$2,'1.PUNTOS'!$A$1:$B$63,2,0),0)</f>
        <v>0</v>
      </c>
      <c r="AZ146" s="138">
        <f>IF('1.DATOS-PROD'!BI147="SI",VLOOKUP('1.DATOS-PROD'!BI$2,'1.PUNTOS'!$A$1:$B$63,2,0),0)</f>
        <v>0</v>
      </c>
      <c r="BA146" s="138">
        <f>IF('1.DATOS-PROD'!BJ147="SI",VLOOKUP('1.DATOS-PROD'!BJ$2,'1.PUNTOS'!$A$1:$B$63,2,0),0)</f>
        <v>0</v>
      </c>
      <c r="BB146" s="138">
        <f>IF('1.DATOS-PROD'!BK147="SI",VLOOKUP('1.DATOS-PROD'!BK$2,'1.PUNTOS'!$A$1:$B$63,2,0),0)</f>
        <v>0</v>
      </c>
      <c r="BC146" s="138">
        <f>IF('1.DATOS-PROD'!BL147="SI",VLOOKUP('1.DATOS-PROD'!BL$2,'1.PUNTOS'!$A$1:$B$63,2,0),0)</f>
        <v>0</v>
      </c>
      <c r="BD146" s="138">
        <f>IF('1.DATOS-PROD'!BM147="SI",VLOOKUP('1.DATOS-PROD'!BM$2,'1.PUNTOS'!$A$1:$B$63,2,0),0)</f>
        <v>0</v>
      </c>
      <c r="BE146" s="138">
        <f>IF('1.DATOS-PROD'!BN147="SI",VLOOKUP('1.DATOS-PROD'!BN$2,'1.PUNTOS'!$A$1:$B$63,2,0),0)</f>
        <v>0</v>
      </c>
      <c r="BF146" s="138">
        <f>IF('1.DATOS-PROD'!BO147="SI",VLOOKUP('1.DATOS-PROD'!BO$2,'1.PUNTOS'!$A$1:$B$63,2,0),0)</f>
        <v>0</v>
      </c>
      <c r="BG146" s="138">
        <f>IF('1.DATOS-PROD'!BP147="SI",VLOOKUP('1.DATOS-PROD'!BP$2,'1.PUNTOS'!$A$1:$B$63,2,0),0)</f>
        <v>0</v>
      </c>
      <c r="BH146" s="138">
        <f>IF('1.DATOS-PROD'!BQ147="SI",VLOOKUP('1.DATOS-PROD'!BQ$2,'1.PUNTOS'!$A$1:$B$63,2,0),0)</f>
        <v>0</v>
      </c>
      <c r="BI146" s="138">
        <f>IF('1.DATOS-PROD'!BR147="SI",VLOOKUP('1.DATOS-PROD'!BR$2,'1.PUNTOS'!$A$1:$B$63,2,0),0)</f>
        <v>0</v>
      </c>
      <c r="BJ146" s="138">
        <f>IF('1.DATOS-PROD'!BS147="SI",VLOOKUP('1.DATOS-PROD'!BS$2,'1.PUNTOS'!$A$1:$B$63,2,0),0)</f>
        <v>0</v>
      </c>
      <c r="BK146" s="138">
        <f>IF('1.DATOS-PROD'!BT147="SI",VLOOKUP('1.DATOS-PROD'!BT$2,'1.PUNTOS'!$A$1:$B$63,2,0),0)</f>
        <v>0</v>
      </c>
    </row>
    <row r="147" spans="1:63" x14ac:dyDescent="0.25">
      <c r="A147">
        <f>'0.Consolidado general'!$A148</f>
        <v>0</v>
      </c>
      <c r="B147" s="138">
        <f>IF('1.DATOS-PROD'!K148="SI",VLOOKUP('1.DATOS-PROD'!K$2,'1.PUNTOS'!$A$1:$B$63,2,0),0)</f>
        <v>0</v>
      </c>
      <c r="C147" s="138">
        <f>IF('1.DATOS-PROD'!L148="SI",VLOOKUP('1.DATOS-PROD'!L$2,'1.PUNTOS'!$A$1:$B$63,2,0),0)</f>
        <v>0</v>
      </c>
      <c r="D147" s="138">
        <f>IF('1.DATOS-PROD'!M148="SI",VLOOKUP('1.DATOS-PROD'!M$2,'1.PUNTOS'!$A$1:$B$63,2,0),0)</f>
        <v>0</v>
      </c>
      <c r="E147" s="138">
        <f>IF('1.DATOS-PROD'!N148="SI",VLOOKUP('1.DATOS-PROD'!N$2,'1.PUNTOS'!$A$1:$B$63,2,0),0)</f>
        <v>0</v>
      </c>
      <c r="F147" s="138">
        <f>IF('1.DATOS-PROD'!O148="SI",VLOOKUP('1.DATOS-PROD'!O$2,'1.PUNTOS'!$A$1:$B$63,2,0),0)</f>
        <v>0</v>
      </c>
      <c r="G147" s="138">
        <f>IF('1.DATOS-PROD'!P148="SI",VLOOKUP('1.DATOS-PROD'!P$2,'1.PUNTOS'!$A$1:$B$63,2,0),0)</f>
        <v>0</v>
      </c>
      <c r="H147" s="138">
        <f>IF('1.DATOS-PROD'!Q148="SI",VLOOKUP('1.DATOS-PROD'!Q$2,'1.PUNTOS'!$A$1:$B$63,2,0),0)</f>
        <v>0</v>
      </c>
      <c r="I147" s="138">
        <f>IF('1.DATOS-PROD'!R148="SI",VLOOKUP('1.DATOS-PROD'!R$2,'1.PUNTOS'!$A$1:$B$63,2,0),0)</f>
        <v>0</v>
      </c>
      <c r="J147" s="138">
        <f>IF('1.DATOS-PROD'!S148="SI",VLOOKUP('1.DATOS-PROD'!S$2,'1.PUNTOS'!$A$1:$B$63,2,0),0)</f>
        <v>0</v>
      </c>
      <c r="K147" s="138">
        <f>IF('1.DATOS-PROD'!T148="SI",VLOOKUP('1.DATOS-PROD'!T$2,'1.PUNTOS'!$A$1:$B$63,2,0),0)</f>
        <v>0</v>
      </c>
      <c r="L147" s="138">
        <f>IF('1.DATOS-PROD'!U148="SI",VLOOKUP('1.DATOS-PROD'!U$2,'1.PUNTOS'!$A$1:$B$63,2,0),0)</f>
        <v>0</v>
      </c>
      <c r="M147" s="138">
        <f>IF('1.DATOS-PROD'!V148="SI",VLOOKUP('1.DATOS-PROD'!V$2,'1.PUNTOS'!$A$1:$B$63,2,0),0)</f>
        <v>0</v>
      </c>
      <c r="N147" s="138">
        <f>IF('1.DATOS-PROD'!W148="SI",VLOOKUP('1.DATOS-PROD'!W$2,'1.PUNTOS'!$A$1:$B$63,2,0),0)</f>
        <v>0</v>
      </c>
      <c r="O147" s="138">
        <f>IF('1.DATOS-PROD'!X148="SI",VLOOKUP('1.DATOS-PROD'!X$2,'1.PUNTOS'!$A$1:$B$63,2,0),0)</f>
        <v>0</v>
      </c>
      <c r="P147" s="138">
        <f>IF('1.DATOS-PROD'!Y148="SI",VLOOKUP('1.DATOS-PROD'!Y$2,'1.PUNTOS'!$A$1:$B$63,2,0),0)</f>
        <v>0</v>
      </c>
      <c r="Q147" s="138">
        <f>IF('1.DATOS-PROD'!Z148="SI",VLOOKUP('1.DATOS-PROD'!Z$2,'1.PUNTOS'!$A$1:$B$63,2,0),0)</f>
        <v>0</v>
      </c>
      <c r="R147" s="138">
        <f>IF('1.DATOS-PROD'!AA148="SI",VLOOKUP('1.DATOS-PROD'!AA$2,'1.PUNTOS'!$A$1:$B$63,2,0),0)</f>
        <v>0</v>
      </c>
      <c r="S147" s="138">
        <f>IF('1.DATOS-PROD'!AB148="SI",VLOOKUP('1.DATOS-PROD'!AB$2,'1.PUNTOS'!$A$1:$B$63,2,0),0)</f>
        <v>0</v>
      </c>
      <c r="T147" s="138">
        <f>IF('1.DATOS-PROD'!AC148="SI",VLOOKUP('1.DATOS-PROD'!AC$2,'1.PUNTOS'!$A$1:$B$63,2,0),0)</f>
        <v>0</v>
      </c>
      <c r="U147" s="138">
        <f>IF('1.DATOS-PROD'!AD148="SI",VLOOKUP('1.DATOS-PROD'!AD$2,'1.PUNTOS'!$A$1:$B$63,2,0),0)</f>
        <v>0</v>
      </c>
      <c r="V147" s="138">
        <f>IF('1.DATOS-PROD'!AE148="SI",VLOOKUP('1.DATOS-PROD'!AE$2,'1.PUNTOS'!$A$1:$B$63,2,0),0)</f>
        <v>0</v>
      </c>
      <c r="W147" s="138">
        <f>IF('1.DATOS-PROD'!AF148="SI",VLOOKUP('1.DATOS-PROD'!AF$2,'1.PUNTOS'!$A$1:$B$63,2,0),0)</f>
        <v>0</v>
      </c>
      <c r="X147" s="138">
        <f>IF('1.DATOS-PROD'!AG148="SI",VLOOKUP('1.DATOS-PROD'!AG$2,'1.PUNTOS'!$A$1:$B$63,2,0),0)</f>
        <v>0</v>
      </c>
      <c r="Y147" s="138">
        <f>IF('1.DATOS-PROD'!AH148="SI",VLOOKUP('1.DATOS-PROD'!AH$2,'1.PUNTOS'!$A$1:$B$63,2,0),0)</f>
        <v>0</v>
      </c>
      <c r="Z147" s="138">
        <f>IF('1.DATOS-PROD'!AI148="SI",VLOOKUP('1.DATOS-PROD'!AI$2,'1.PUNTOS'!$A$1:$B$63,2,0),0)</f>
        <v>0</v>
      </c>
      <c r="AA147" s="138">
        <f>IF('1.DATOS-PROD'!AJ148="SI",VLOOKUP('1.DATOS-PROD'!AJ$2,'1.PUNTOS'!$A$1:$B$63,2,0),0)</f>
        <v>0</v>
      </c>
      <c r="AB147" s="138">
        <f>IF('1.DATOS-PROD'!AK148="SI",VLOOKUP('1.DATOS-PROD'!AK$2,'1.PUNTOS'!$A$1:$B$63,2,0),0)</f>
        <v>0</v>
      </c>
      <c r="AC147" s="138">
        <f>IF('1.DATOS-PROD'!AL148="SI",VLOOKUP('1.DATOS-PROD'!AL$2,'1.PUNTOS'!$A$1:$B$63,2,0),0)</f>
        <v>0</v>
      </c>
      <c r="AD147" s="138">
        <f>IF('1.DATOS-PROD'!AM148="SI",VLOOKUP('1.DATOS-PROD'!AM$2,'1.PUNTOS'!$A$1:$B$63,2,0),0)</f>
        <v>0</v>
      </c>
      <c r="AE147" s="138">
        <f>IF('1.DATOS-PROD'!AN148="SI",VLOOKUP('1.DATOS-PROD'!AN$2,'1.PUNTOS'!$A$1:$B$63,2,0),0)</f>
        <v>0</v>
      </c>
      <c r="AF147" s="138">
        <f>IF('1.DATOS-PROD'!AO148="SI",VLOOKUP('1.DATOS-PROD'!AO$2,'1.PUNTOS'!$A$1:$B$63,2,0),0)</f>
        <v>0</v>
      </c>
      <c r="AG147" s="138">
        <f>IF('1.DATOS-PROD'!AP148="SI",VLOOKUP('1.DATOS-PROD'!AP$2,'1.PUNTOS'!$A$1:$B$63,2,0),0)</f>
        <v>0</v>
      </c>
      <c r="AH147" s="138">
        <f>IF('1.DATOS-PROD'!AQ148="SI",VLOOKUP('1.DATOS-PROD'!AQ$2,'1.PUNTOS'!$A$1:$B$63,2,0),0)</f>
        <v>0</v>
      </c>
      <c r="AI147" s="138">
        <f>IF('1.DATOS-PROD'!AR148="SI",VLOOKUP('1.DATOS-PROD'!AR$2,'1.PUNTOS'!$A$1:$B$63,2,0),0)</f>
        <v>0</v>
      </c>
      <c r="AJ147" s="138">
        <f>IF('1.DATOS-PROD'!AS148="SI",VLOOKUP('1.DATOS-PROD'!AS$2,'1.PUNTOS'!$A$1:$B$63,2,0),0)</f>
        <v>0</v>
      </c>
      <c r="AK147" s="138">
        <f>IF('1.DATOS-PROD'!AT148="SI",VLOOKUP('1.DATOS-PROD'!AT$2,'1.PUNTOS'!$A$1:$B$63,2,0),0)</f>
        <v>0</v>
      </c>
      <c r="AL147" s="138">
        <f>IF('1.DATOS-PROD'!AU148="SI",VLOOKUP('1.DATOS-PROD'!AU$2,'1.PUNTOS'!$A$1:$B$63,2,0),0)</f>
        <v>0</v>
      </c>
      <c r="AM147" s="138">
        <f>IF('1.DATOS-PROD'!AV148="SI",VLOOKUP('1.DATOS-PROD'!AV$2,'1.PUNTOS'!$A$1:$B$63,2,0),0)</f>
        <v>0</v>
      </c>
      <c r="AN147" s="138">
        <f>IF('1.DATOS-PROD'!AW148="SI",VLOOKUP('1.DATOS-PROD'!AW$2,'1.PUNTOS'!$A$1:$B$63,2,0),0)</f>
        <v>0</v>
      </c>
      <c r="AO147" s="138">
        <f>IF('1.DATOS-PROD'!AX148="SI",VLOOKUP('1.DATOS-PROD'!AX$2,'1.PUNTOS'!$A$1:$B$63,2,0),0)</f>
        <v>0</v>
      </c>
      <c r="AP147" s="138">
        <f>IF('1.DATOS-PROD'!AY148="SI",VLOOKUP('1.DATOS-PROD'!AY$2,'1.PUNTOS'!$A$1:$B$63,2,0),0)</f>
        <v>0</v>
      </c>
      <c r="AQ147" s="138">
        <f>IF('1.DATOS-PROD'!AZ148="SI",VLOOKUP('1.DATOS-PROD'!AZ$2,'1.PUNTOS'!$A$1:$B$63,2,0),0)</f>
        <v>0</v>
      </c>
      <c r="AR147" s="138">
        <f>IF('1.DATOS-PROD'!BA148="SI",VLOOKUP('1.DATOS-PROD'!BA$2,'1.PUNTOS'!$A$1:$B$63,2,0),0)</f>
        <v>0</v>
      </c>
      <c r="AS147" s="138">
        <f>IF('1.DATOS-PROD'!BB148="SI",VLOOKUP('1.DATOS-PROD'!BB$2,'1.PUNTOS'!$A$1:$B$63,2,0),0)</f>
        <v>0</v>
      </c>
      <c r="AT147" s="138">
        <f>IF('1.DATOS-PROD'!BC148="SI",VLOOKUP('1.DATOS-PROD'!BC$2,'1.PUNTOS'!$A$1:$B$63,2,0),0)</f>
        <v>0</v>
      </c>
      <c r="AU147" s="138">
        <f>IF('1.DATOS-PROD'!BD148="SI",VLOOKUP('1.DATOS-PROD'!BD$2,'1.PUNTOS'!$A$1:$B$63,2,0),0)</f>
        <v>0</v>
      </c>
      <c r="AV147" s="138">
        <f>IF('1.DATOS-PROD'!BE148="SI",VLOOKUP('1.DATOS-PROD'!BE$2,'1.PUNTOS'!$A$1:$B$63,2,0),0)</f>
        <v>0</v>
      </c>
      <c r="AW147" s="138">
        <f>IF('1.DATOS-PROD'!BF148="SI",VLOOKUP('1.DATOS-PROD'!BF$2,'1.PUNTOS'!$A$1:$B$63,2,0),0)</f>
        <v>0</v>
      </c>
      <c r="AX147" s="138">
        <f>IF('1.DATOS-PROD'!BG148="SI",VLOOKUP('1.DATOS-PROD'!BG$2,'1.PUNTOS'!$A$1:$B$63,2,0),0)</f>
        <v>0</v>
      </c>
      <c r="AY147" s="138">
        <f>IF('1.DATOS-PROD'!BH148="SI",VLOOKUP('1.DATOS-PROD'!BH$2,'1.PUNTOS'!$A$1:$B$63,2,0),0)</f>
        <v>0</v>
      </c>
      <c r="AZ147" s="138">
        <f>IF('1.DATOS-PROD'!BI148="SI",VLOOKUP('1.DATOS-PROD'!BI$2,'1.PUNTOS'!$A$1:$B$63,2,0),0)</f>
        <v>0</v>
      </c>
      <c r="BA147" s="138">
        <f>IF('1.DATOS-PROD'!BJ148="SI",VLOOKUP('1.DATOS-PROD'!BJ$2,'1.PUNTOS'!$A$1:$B$63,2,0),0)</f>
        <v>0</v>
      </c>
      <c r="BB147" s="138">
        <f>IF('1.DATOS-PROD'!BK148="SI",VLOOKUP('1.DATOS-PROD'!BK$2,'1.PUNTOS'!$A$1:$B$63,2,0),0)</f>
        <v>0</v>
      </c>
      <c r="BC147" s="138">
        <f>IF('1.DATOS-PROD'!BL148="SI",VLOOKUP('1.DATOS-PROD'!BL$2,'1.PUNTOS'!$A$1:$B$63,2,0),0)</f>
        <v>0</v>
      </c>
      <c r="BD147" s="138">
        <f>IF('1.DATOS-PROD'!BM148="SI",VLOOKUP('1.DATOS-PROD'!BM$2,'1.PUNTOS'!$A$1:$B$63,2,0),0)</f>
        <v>0</v>
      </c>
      <c r="BE147" s="138">
        <f>IF('1.DATOS-PROD'!BN148="SI",VLOOKUP('1.DATOS-PROD'!BN$2,'1.PUNTOS'!$A$1:$B$63,2,0),0)</f>
        <v>0</v>
      </c>
      <c r="BF147" s="138">
        <f>IF('1.DATOS-PROD'!BO148="SI",VLOOKUP('1.DATOS-PROD'!BO$2,'1.PUNTOS'!$A$1:$B$63,2,0),0)</f>
        <v>0</v>
      </c>
      <c r="BG147" s="138">
        <f>IF('1.DATOS-PROD'!BP148="SI",VLOOKUP('1.DATOS-PROD'!BP$2,'1.PUNTOS'!$A$1:$B$63,2,0),0)</f>
        <v>0</v>
      </c>
      <c r="BH147" s="138">
        <f>IF('1.DATOS-PROD'!BQ148="SI",VLOOKUP('1.DATOS-PROD'!BQ$2,'1.PUNTOS'!$A$1:$B$63,2,0),0)</f>
        <v>0</v>
      </c>
      <c r="BI147" s="138">
        <f>IF('1.DATOS-PROD'!BR148="SI",VLOOKUP('1.DATOS-PROD'!BR$2,'1.PUNTOS'!$A$1:$B$63,2,0),0)</f>
        <v>0</v>
      </c>
      <c r="BJ147" s="138">
        <f>IF('1.DATOS-PROD'!BS148="SI",VLOOKUP('1.DATOS-PROD'!BS$2,'1.PUNTOS'!$A$1:$B$63,2,0),0)</f>
        <v>0</v>
      </c>
      <c r="BK147" s="138">
        <f>IF('1.DATOS-PROD'!BT148="SI",VLOOKUP('1.DATOS-PROD'!BT$2,'1.PUNTOS'!$A$1:$B$63,2,0),0)</f>
        <v>0</v>
      </c>
    </row>
    <row r="148" spans="1:63" x14ac:dyDescent="0.25">
      <c r="A148">
        <f>'0.Consolidado general'!$A149</f>
        <v>0</v>
      </c>
      <c r="B148" s="138">
        <f>IF('1.DATOS-PROD'!K149="SI",VLOOKUP('1.DATOS-PROD'!K$2,'1.PUNTOS'!$A$1:$B$63,2,0),0)</f>
        <v>0</v>
      </c>
      <c r="C148" s="138">
        <f>IF('1.DATOS-PROD'!L149="SI",VLOOKUP('1.DATOS-PROD'!L$2,'1.PUNTOS'!$A$1:$B$63,2,0),0)</f>
        <v>0</v>
      </c>
      <c r="D148" s="138">
        <f>IF('1.DATOS-PROD'!M149="SI",VLOOKUP('1.DATOS-PROD'!M$2,'1.PUNTOS'!$A$1:$B$63,2,0),0)</f>
        <v>0</v>
      </c>
      <c r="E148" s="138">
        <f>IF('1.DATOS-PROD'!N149="SI",VLOOKUP('1.DATOS-PROD'!N$2,'1.PUNTOS'!$A$1:$B$63,2,0),0)</f>
        <v>0</v>
      </c>
      <c r="F148" s="138">
        <f>IF('1.DATOS-PROD'!O149="SI",VLOOKUP('1.DATOS-PROD'!O$2,'1.PUNTOS'!$A$1:$B$63,2,0),0)</f>
        <v>0</v>
      </c>
      <c r="G148" s="138">
        <f>IF('1.DATOS-PROD'!P149="SI",VLOOKUP('1.DATOS-PROD'!P$2,'1.PUNTOS'!$A$1:$B$63,2,0),0)</f>
        <v>0</v>
      </c>
      <c r="H148" s="138">
        <f>IF('1.DATOS-PROD'!Q149="SI",VLOOKUP('1.DATOS-PROD'!Q$2,'1.PUNTOS'!$A$1:$B$63,2,0),0)</f>
        <v>0</v>
      </c>
      <c r="I148" s="138">
        <f>IF('1.DATOS-PROD'!R149="SI",VLOOKUP('1.DATOS-PROD'!R$2,'1.PUNTOS'!$A$1:$B$63,2,0),0)</f>
        <v>0</v>
      </c>
      <c r="J148" s="138">
        <f>IF('1.DATOS-PROD'!S149="SI",VLOOKUP('1.DATOS-PROD'!S$2,'1.PUNTOS'!$A$1:$B$63,2,0),0)</f>
        <v>0</v>
      </c>
      <c r="K148" s="138">
        <f>IF('1.DATOS-PROD'!T149="SI",VLOOKUP('1.DATOS-PROD'!T$2,'1.PUNTOS'!$A$1:$B$63,2,0),0)</f>
        <v>0</v>
      </c>
      <c r="L148" s="138">
        <f>IF('1.DATOS-PROD'!U149="SI",VLOOKUP('1.DATOS-PROD'!U$2,'1.PUNTOS'!$A$1:$B$63,2,0),0)</f>
        <v>0</v>
      </c>
      <c r="M148" s="138">
        <f>IF('1.DATOS-PROD'!V149="SI",VLOOKUP('1.DATOS-PROD'!V$2,'1.PUNTOS'!$A$1:$B$63,2,0),0)</f>
        <v>0</v>
      </c>
      <c r="N148" s="138">
        <f>IF('1.DATOS-PROD'!W149="SI",VLOOKUP('1.DATOS-PROD'!W$2,'1.PUNTOS'!$A$1:$B$63,2,0),0)</f>
        <v>0</v>
      </c>
      <c r="O148" s="138">
        <f>IF('1.DATOS-PROD'!X149="SI",VLOOKUP('1.DATOS-PROD'!X$2,'1.PUNTOS'!$A$1:$B$63,2,0),0)</f>
        <v>0</v>
      </c>
      <c r="P148" s="138">
        <f>IF('1.DATOS-PROD'!Y149="SI",VLOOKUP('1.DATOS-PROD'!Y$2,'1.PUNTOS'!$A$1:$B$63,2,0),0)</f>
        <v>0</v>
      </c>
      <c r="Q148" s="138">
        <f>IF('1.DATOS-PROD'!Z149="SI",VLOOKUP('1.DATOS-PROD'!Z$2,'1.PUNTOS'!$A$1:$B$63,2,0),0)</f>
        <v>0</v>
      </c>
      <c r="R148" s="138">
        <f>IF('1.DATOS-PROD'!AA149="SI",VLOOKUP('1.DATOS-PROD'!AA$2,'1.PUNTOS'!$A$1:$B$63,2,0),0)</f>
        <v>0</v>
      </c>
      <c r="S148" s="138">
        <f>IF('1.DATOS-PROD'!AB149="SI",VLOOKUP('1.DATOS-PROD'!AB$2,'1.PUNTOS'!$A$1:$B$63,2,0),0)</f>
        <v>0</v>
      </c>
      <c r="T148" s="138">
        <f>IF('1.DATOS-PROD'!AC149="SI",VLOOKUP('1.DATOS-PROD'!AC$2,'1.PUNTOS'!$A$1:$B$63,2,0),0)</f>
        <v>0</v>
      </c>
      <c r="U148" s="138">
        <f>IF('1.DATOS-PROD'!AD149="SI",VLOOKUP('1.DATOS-PROD'!AD$2,'1.PUNTOS'!$A$1:$B$63,2,0),0)</f>
        <v>0</v>
      </c>
      <c r="V148" s="138">
        <f>IF('1.DATOS-PROD'!AE149="SI",VLOOKUP('1.DATOS-PROD'!AE$2,'1.PUNTOS'!$A$1:$B$63,2,0),0)</f>
        <v>0</v>
      </c>
      <c r="W148" s="138">
        <f>IF('1.DATOS-PROD'!AF149="SI",VLOOKUP('1.DATOS-PROD'!AF$2,'1.PUNTOS'!$A$1:$B$63,2,0),0)</f>
        <v>0</v>
      </c>
      <c r="X148" s="138">
        <f>IF('1.DATOS-PROD'!AG149="SI",VLOOKUP('1.DATOS-PROD'!AG$2,'1.PUNTOS'!$A$1:$B$63,2,0),0)</f>
        <v>0</v>
      </c>
      <c r="Y148" s="138">
        <f>IF('1.DATOS-PROD'!AH149="SI",VLOOKUP('1.DATOS-PROD'!AH$2,'1.PUNTOS'!$A$1:$B$63,2,0),0)</f>
        <v>0</v>
      </c>
      <c r="Z148" s="138">
        <f>IF('1.DATOS-PROD'!AI149="SI",VLOOKUP('1.DATOS-PROD'!AI$2,'1.PUNTOS'!$A$1:$B$63,2,0),0)</f>
        <v>0</v>
      </c>
      <c r="AA148" s="138">
        <f>IF('1.DATOS-PROD'!AJ149="SI",VLOOKUP('1.DATOS-PROD'!AJ$2,'1.PUNTOS'!$A$1:$B$63,2,0),0)</f>
        <v>0</v>
      </c>
      <c r="AB148" s="138">
        <f>IF('1.DATOS-PROD'!AK149="SI",VLOOKUP('1.DATOS-PROD'!AK$2,'1.PUNTOS'!$A$1:$B$63,2,0),0)</f>
        <v>0</v>
      </c>
      <c r="AC148" s="138">
        <f>IF('1.DATOS-PROD'!AL149="SI",VLOOKUP('1.DATOS-PROD'!AL$2,'1.PUNTOS'!$A$1:$B$63,2,0),0)</f>
        <v>0</v>
      </c>
      <c r="AD148" s="138">
        <f>IF('1.DATOS-PROD'!AM149="SI",VLOOKUP('1.DATOS-PROD'!AM$2,'1.PUNTOS'!$A$1:$B$63,2,0),0)</f>
        <v>0</v>
      </c>
      <c r="AE148" s="138">
        <f>IF('1.DATOS-PROD'!AN149="SI",VLOOKUP('1.DATOS-PROD'!AN$2,'1.PUNTOS'!$A$1:$B$63,2,0),0)</f>
        <v>0</v>
      </c>
      <c r="AF148" s="138">
        <f>IF('1.DATOS-PROD'!AO149="SI",VLOOKUP('1.DATOS-PROD'!AO$2,'1.PUNTOS'!$A$1:$B$63,2,0),0)</f>
        <v>0</v>
      </c>
      <c r="AG148" s="138">
        <f>IF('1.DATOS-PROD'!AP149="SI",VLOOKUP('1.DATOS-PROD'!AP$2,'1.PUNTOS'!$A$1:$B$63,2,0),0)</f>
        <v>0</v>
      </c>
      <c r="AH148" s="138">
        <f>IF('1.DATOS-PROD'!AQ149="SI",VLOOKUP('1.DATOS-PROD'!AQ$2,'1.PUNTOS'!$A$1:$B$63,2,0),0)</f>
        <v>0</v>
      </c>
      <c r="AI148" s="138">
        <f>IF('1.DATOS-PROD'!AR149="SI",VLOOKUP('1.DATOS-PROD'!AR$2,'1.PUNTOS'!$A$1:$B$63,2,0),0)</f>
        <v>0</v>
      </c>
      <c r="AJ148" s="138">
        <f>IF('1.DATOS-PROD'!AS149="SI",VLOOKUP('1.DATOS-PROD'!AS$2,'1.PUNTOS'!$A$1:$B$63,2,0),0)</f>
        <v>0</v>
      </c>
      <c r="AK148" s="138">
        <f>IF('1.DATOS-PROD'!AT149="SI",VLOOKUP('1.DATOS-PROD'!AT$2,'1.PUNTOS'!$A$1:$B$63,2,0),0)</f>
        <v>0</v>
      </c>
      <c r="AL148" s="138">
        <f>IF('1.DATOS-PROD'!AU149="SI",VLOOKUP('1.DATOS-PROD'!AU$2,'1.PUNTOS'!$A$1:$B$63,2,0),0)</f>
        <v>0</v>
      </c>
      <c r="AM148" s="138">
        <f>IF('1.DATOS-PROD'!AV149="SI",VLOOKUP('1.DATOS-PROD'!AV$2,'1.PUNTOS'!$A$1:$B$63,2,0),0)</f>
        <v>0</v>
      </c>
      <c r="AN148" s="138">
        <f>IF('1.DATOS-PROD'!AW149="SI",VLOOKUP('1.DATOS-PROD'!AW$2,'1.PUNTOS'!$A$1:$B$63,2,0),0)</f>
        <v>0</v>
      </c>
      <c r="AO148" s="138">
        <f>IF('1.DATOS-PROD'!AX149="SI",VLOOKUP('1.DATOS-PROD'!AX$2,'1.PUNTOS'!$A$1:$B$63,2,0),0)</f>
        <v>0</v>
      </c>
      <c r="AP148" s="138">
        <f>IF('1.DATOS-PROD'!AY149="SI",VLOOKUP('1.DATOS-PROD'!AY$2,'1.PUNTOS'!$A$1:$B$63,2,0),0)</f>
        <v>0</v>
      </c>
      <c r="AQ148" s="138">
        <f>IF('1.DATOS-PROD'!AZ149="SI",VLOOKUP('1.DATOS-PROD'!AZ$2,'1.PUNTOS'!$A$1:$B$63,2,0),0)</f>
        <v>0</v>
      </c>
      <c r="AR148" s="138">
        <f>IF('1.DATOS-PROD'!BA149="SI",VLOOKUP('1.DATOS-PROD'!BA$2,'1.PUNTOS'!$A$1:$B$63,2,0),0)</f>
        <v>0</v>
      </c>
      <c r="AS148" s="138">
        <f>IF('1.DATOS-PROD'!BB149="SI",VLOOKUP('1.DATOS-PROD'!BB$2,'1.PUNTOS'!$A$1:$B$63,2,0),0)</f>
        <v>0</v>
      </c>
      <c r="AT148" s="138">
        <f>IF('1.DATOS-PROD'!BC149="SI",VLOOKUP('1.DATOS-PROD'!BC$2,'1.PUNTOS'!$A$1:$B$63,2,0),0)</f>
        <v>0</v>
      </c>
      <c r="AU148" s="138">
        <f>IF('1.DATOS-PROD'!BD149="SI",VLOOKUP('1.DATOS-PROD'!BD$2,'1.PUNTOS'!$A$1:$B$63,2,0),0)</f>
        <v>0</v>
      </c>
      <c r="AV148" s="138">
        <f>IF('1.DATOS-PROD'!BE149="SI",VLOOKUP('1.DATOS-PROD'!BE$2,'1.PUNTOS'!$A$1:$B$63,2,0),0)</f>
        <v>0</v>
      </c>
      <c r="AW148" s="138">
        <f>IF('1.DATOS-PROD'!BF149="SI",VLOOKUP('1.DATOS-PROD'!BF$2,'1.PUNTOS'!$A$1:$B$63,2,0),0)</f>
        <v>0</v>
      </c>
      <c r="AX148" s="138">
        <f>IF('1.DATOS-PROD'!BG149="SI",VLOOKUP('1.DATOS-PROD'!BG$2,'1.PUNTOS'!$A$1:$B$63,2,0),0)</f>
        <v>0</v>
      </c>
      <c r="AY148" s="138">
        <f>IF('1.DATOS-PROD'!BH149="SI",VLOOKUP('1.DATOS-PROD'!BH$2,'1.PUNTOS'!$A$1:$B$63,2,0),0)</f>
        <v>0</v>
      </c>
      <c r="AZ148" s="138">
        <f>IF('1.DATOS-PROD'!BI149="SI",VLOOKUP('1.DATOS-PROD'!BI$2,'1.PUNTOS'!$A$1:$B$63,2,0),0)</f>
        <v>0</v>
      </c>
      <c r="BA148" s="138">
        <f>IF('1.DATOS-PROD'!BJ149="SI",VLOOKUP('1.DATOS-PROD'!BJ$2,'1.PUNTOS'!$A$1:$B$63,2,0),0)</f>
        <v>0</v>
      </c>
      <c r="BB148" s="138">
        <f>IF('1.DATOS-PROD'!BK149="SI",VLOOKUP('1.DATOS-PROD'!BK$2,'1.PUNTOS'!$A$1:$B$63,2,0),0)</f>
        <v>0</v>
      </c>
      <c r="BC148" s="138">
        <f>IF('1.DATOS-PROD'!BL149="SI",VLOOKUP('1.DATOS-PROD'!BL$2,'1.PUNTOS'!$A$1:$B$63,2,0),0)</f>
        <v>0</v>
      </c>
      <c r="BD148" s="138">
        <f>IF('1.DATOS-PROD'!BM149="SI",VLOOKUP('1.DATOS-PROD'!BM$2,'1.PUNTOS'!$A$1:$B$63,2,0),0)</f>
        <v>0</v>
      </c>
      <c r="BE148" s="138">
        <f>IF('1.DATOS-PROD'!BN149="SI",VLOOKUP('1.DATOS-PROD'!BN$2,'1.PUNTOS'!$A$1:$B$63,2,0),0)</f>
        <v>0</v>
      </c>
      <c r="BF148" s="138">
        <f>IF('1.DATOS-PROD'!BO149="SI",VLOOKUP('1.DATOS-PROD'!BO$2,'1.PUNTOS'!$A$1:$B$63,2,0),0)</f>
        <v>0</v>
      </c>
      <c r="BG148" s="138">
        <f>IF('1.DATOS-PROD'!BP149="SI",VLOOKUP('1.DATOS-PROD'!BP$2,'1.PUNTOS'!$A$1:$B$63,2,0),0)</f>
        <v>0</v>
      </c>
      <c r="BH148" s="138">
        <f>IF('1.DATOS-PROD'!BQ149="SI",VLOOKUP('1.DATOS-PROD'!BQ$2,'1.PUNTOS'!$A$1:$B$63,2,0),0)</f>
        <v>0</v>
      </c>
      <c r="BI148" s="138">
        <f>IF('1.DATOS-PROD'!BR149="SI",VLOOKUP('1.DATOS-PROD'!BR$2,'1.PUNTOS'!$A$1:$B$63,2,0),0)</f>
        <v>0</v>
      </c>
      <c r="BJ148" s="138">
        <f>IF('1.DATOS-PROD'!BS149="SI",VLOOKUP('1.DATOS-PROD'!BS$2,'1.PUNTOS'!$A$1:$B$63,2,0),0)</f>
        <v>0</v>
      </c>
      <c r="BK148" s="138">
        <f>IF('1.DATOS-PROD'!BT149="SI",VLOOKUP('1.DATOS-PROD'!BT$2,'1.PUNTOS'!$A$1:$B$63,2,0),0)</f>
        <v>0</v>
      </c>
    </row>
    <row r="149" spans="1:63" x14ac:dyDescent="0.25">
      <c r="A149">
        <f>'0.Consolidado general'!$A150</f>
        <v>0</v>
      </c>
      <c r="B149" s="138">
        <f>IF('1.DATOS-PROD'!K150="SI",VLOOKUP('1.DATOS-PROD'!K$2,'1.PUNTOS'!$A$1:$B$63,2,0),0)</f>
        <v>0</v>
      </c>
      <c r="C149" s="138">
        <f>IF('1.DATOS-PROD'!L150="SI",VLOOKUP('1.DATOS-PROD'!L$2,'1.PUNTOS'!$A$1:$B$63,2,0),0)</f>
        <v>0</v>
      </c>
      <c r="D149" s="138">
        <f>IF('1.DATOS-PROD'!M150="SI",VLOOKUP('1.DATOS-PROD'!M$2,'1.PUNTOS'!$A$1:$B$63,2,0),0)</f>
        <v>0</v>
      </c>
      <c r="E149" s="138">
        <f>IF('1.DATOS-PROD'!N150="SI",VLOOKUP('1.DATOS-PROD'!N$2,'1.PUNTOS'!$A$1:$B$63,2,0),0)</f>
        <v>0</v>
      </c>
      <c r="F149" s="138">
        <f>IF('1.DATOS-PROD'!O150="SI",VLOOKUP('1.DATOS-PROD'!O$2,'1.PUNTOS'!$A$1:$B$63,2,0),0)</f>
        <v>0</v>
      </c>
      <c r="G149" s="138">
        <f>IF('1.DATOS-PROD'!P150="SI",VLOOKUP('1.DATOS-PROD'!P$2,'1.PUNTOS'!$A$1:$B$63,2,0),0)</f>
        <v>0</v>
      </c>
      <c r="H149" s="138">
        <f>IF('1.DATOS-PROD'!Q150="SI",VLOOKUP('1.DATOS-PROD'!Q$2,'1.PUNTOS'!$A$1:$B$63,2,0),0)</f>
        <v>0</v>
      </c>
      <c r="I149" s="138">
        <f>IF('1.DATOS-PROD'!R150="SI",VLOOKUP('1.DATOS-PROD'!R$2,'1.PUNTOS'!$A$1:$B$63,2,0),0)</f>
        <v>0</v>
      </c>
      <c r="J149" s="138">
        <f>IF('1.DATOS-PROD'!S150="SI",VLOOKUP('1.DATOS-PROD'!S$2,'1.PUNTOS'!$A$1:$B$63,2,0),0)</f>
        <v>0</v>
      </c>
      <c r="K149" s="138">
        <f>IF('1.DATOS-PROD'!T150="SI",VLOOKUP('1.DATOS-PROD'!T$2,'1.PUNTOS'!$A$1:$B$63,2,0),0)</f>
        <v>0</v>
      </c>
      <c r="L149" s="138">
        <f>IF('1.DATOS-PROD'!U150="SI",VLOOKUP('1.DATOS-PROD'!U$2,'1.PUNTOS'!$A$1:$B$63,2,0),0)</f>
        <v>0</v>
      </c>
      <c r="M149" s="138">
        <f>IF('1.DATOS-PROD'!V150="SI",VLOOKUP('1.DATOS-PROD'!V$2,'1.PUNTOS'!$A$1:$B$63,2,0),0)</f>
        <v>0</v>
      </c>
      <c r="N149" s="138">
        <f>IF('1.DATOS-PROD'!W150="SI",VLOOKUP('1.DATOS-PROD'!W$2,'1.PUNTOS'!$A$1:$B$63,2,0),0)</f>
        <v>0</v>
      </c>
      <c r="O149" s="138">
        <f>IF('1.DATOS-PROD'!X150="SI",VLOOKUP('1.DATOS-PROD'!X$2,'1.PUNTOS'!$A$1:$B$63,2,0),0)</f>
        <v>0</v>
      </c>
      <c r="P149" s="138">
        <f>IF('1.DATOS-PROD'!Y150="SI",VLOOKUP('1.DATOS-PROD'!Y$2,'1.PUNTOS'!$A$1:$B$63,2,0),0)</f>
        <v>0</v>
      </c>
      <c r="Q149" s="138">
        <f>IF('1.DATOS-PROD'!Z150="SI",VLOOKUP('1.DATOS-PROD'!Z$2,'1.PUNTOS'!$A$1:$B$63,2,0),0)</f>
        <v>0</v>
      </c>
      <c r="R149" s="138">
        <f>IF('1.DATOS-PROD'!AA150="SI",VLOOKUP('1.DATOS-PROD'!AA$2,'1.PUNTOS'!$A$1:$B$63,2,0),0)</f>
        <v>0</v>
      </c>
      <c r="S149" s="138">
        <f>IF('1.DATOS-PROD'!AB150="SI",VLOOKUP('1.DATOS-PROD'!AB$2,'1.PUNTOS'!$A$1:$B$63,2,0),0)</f>
        <v>0</v>
      </c>
      <c r="T149" s="138">
        <f>IF('1.DATOS-PROD'!AC150="SI",VLOOKUP('1.DATOS-PROD'!AC$2,'1.PUNTOS'!$A$1:$B$63,2,0),0)</f>
        <v>0</v>
      </c>
      <c r="U149" s="138">
        <f>IF('1.DATOS-PROD'!AD150="SI",VLOOKUP('1.DATOS-PROD'!AD$2,'1.PUNTOS'!$A$1:$B$63,2,0),0)</f>
        <v>0</v>
      </c>
      <c r="V149" s="138">
        <f>IF('1.DATOS-PROD'!AE150="SI",VLOOKUP('1.DATOS-PROD'!AE$2,'1.PUNTOS'!$A$1:$B$63,2,0),0)</f>
        <v>0</v>
      </c>
      <c r="W149" s="138">
        <f>IF('1.DATOS-PROD'!AF150="SI",VLOOKUP('1.DATOS-PROD'!AF$2,'1.PUNTOS'!$A$1:$B$63,2,0),0)</f>
        <v>0</v>
      </c>
      <c r="X149" s="138">
        <f>IF('1.DATOS-PROD'!AG150="SI",VLOOKUP('1.DATOS-PROD'!AG$2,'1.PUNTOS'!$A$1:$B$63,2,0),0)</f>
        <v>0</v>
      </c>
      <c r="Y149" s="138">
        <f>IF('1.DATOS-PROD'!AH150="SI",VLOOKUP('1.DATOS-PROD'!AH$2,'1.PUNTOS'!$A$1:$B$63,2,0),0)</f>
        <v>0</v>
      </c>
      <c r="Z149" s="138">
        <f>IF('1.DATOS-PROD'!AI150="SI",VLOOKUP('1.DATOS-PROD'!AI$2,'1.PUNTOS'!$A$1:$B$63,2,0),0)</f>
        <v>0</v>
      </c>
      <c r="AA149" s="138">
        <f>IF('1.DATOS-PROD'!AJ150="SI",VLOOKUP('1.DATOS-PROD'!AJ$2,'1.PUNTOS'!$A$1:$B$63,2,0),0)</f>
        <v>0</v>
      </c>
      <c r="AB149" s="138">
        <f>IF('1.DATOS-PROD'!AK150="SI",VLOOKUP('1.DATOS-PROD'!AK$2,'1.PUNTOS'!$A$1:$B$63,2,0),0)</f>
        <v>0</v>
      </c>
      <c r="AC149" s="138">
        <f>IF('1.DATOS-PROD'!AL150="SI",VLOOKUP('1.DATOS-PROD'!AL$2,'1.PUNTOS'!$A$1:$B$63,2,0),0)</f>
        <v>0</v>
      </c>
      <c r="AD149" s="138">
        <f>IF('1.DATOS-PROD'!AM150="SI",VLOOKUP('1.DATOS-PROD'!AM$2,'1.PUNTOS'!$A$1:$B$63,2,0),0)</f>
        <v>0</v>
      </c>
      <c r="AE149" s="138">
        <f>IF('1.DATOS-PROD'!AN150="SI",VLOOKUP('1.DATOS-PROD'!AN$2,'1.PUNTOS'!$A$1:$B$63,2,0),0)</f>
        <v>0</v>
      </c>
      <c r="AF149" s="138">
        <f>IF('1.DATOS-PROD'!AO150="SI",VLOOKUP('1.DATOS-PROD'!AO$2,'1.PUNTOS'!$A$1:$B$63,2,0),0)</f>
        <v>0</v>
      </c>
      <c r="AG149" s="138">
        <f>IF('1.DATOS-PROD'!AP150="SI",VLOOKUP('1.DATOS-PROD'!AP$2,'1.PUNTOS'!$A$1:$B$63,2,0),0)</f>
        <v>0</v>
      </c>
      <c r="AH149" s="138">
        <f>IF('1.DATOS-PROD'!AQ150="SI",VLOOKUP('1.DATOS-PROD'!AQ$2,'1.PUNTOS'!$A$1:$B$63,2,0),0)</f>
        <v>0</v>
      </c>
      <c r="AI149" s="138">
        <f>IF('1.DATOS-PROD'!AR150="SI",VLOOKUP('1.DATOS-PROD'!AR$2,'1.PUNTOS'!$A$1:$B$63,2,0),0)</f>
        <v>0</v>
      </c>
      <c r="AJ149" s="138">
        <f>IF('1.DATOS-PROD'!AS150="SI",VLOOKUP('1.DATOS-PROD'!AS$2,'1.PUNTOS'!$A$1:$B$63,2,0),0)</f>
        <v>0</v>
      </c>
      <c r="AK149" s="138">
        <f>IF('1.DATOS-PROD'!AT150="SI",VLOOKUP('1.DATOS-PROD'!AT$2,'1.PUNTOS'!$A$1:$B$63,2,0),0)</f>
        <v>0</v>
      </c>
      <c r="AL149" s="138">
        <f>IF('1.DATOS-PROD'!AU150="SI",VLOOKUP('1.DATOS-PROD'!AU$2,'1.PUNTOS'!$A$1:$B$63,2,0),0)</f>
        <v>0</v>
      </c>
      <c r="AM149" s="138">
        <f>IF('1.DATOS-PROD'!AV150="SI",VLOOKUP('1.DATOS-PROD'!AV$2,'1.PUNTOS'!$A$1:$B$63,2,0),0)</f>
        <v>0</v>
      </c>
      <c r="AN149" s="138">
        <f>IF('1.DATOS-PROD'!AW150="SI",VLOOKUP('1.DATOS-PROD'!AW$2,'1.PUNTOS'!$A$1:$B$63,2,0),0)</f>
        <v>0</v>
      </c>
      <c r="AO149" s="138">
        <f>IF('1.DATOS-PROD'!AX150="SI",VLOOKUP('1.DATOS-PROD'!AX$2,'1.PUNTOS'!$A$1:$B$63,2,0),0)</f>
        <v>0</v>
      </c>
      <c r="AP149" s="138">
        <f>IF('1.DATOS-PROD'!AY150="SI",VLOOKUP('1.DATOS-PROD'!AY$2,'1.PUNTOS'!$A$1:$B$63,2,0),0)</f>
        <v>0</v>
      </c>
      <c r="AQ149" s="138">
        <f>IF('1.DATOS-PROD'!AZ150="SI",VLOOKUP('1.DATOS-PROD'!AZ$2,'1.PUNTOS'!$A$1:$B$63,2,0),0)</f>
        <v>0</v>
      </c>
      <c r="AR149" s="138">
        <f>IF('1.DATOS-PROD'!BA150="SI",VLOOKUP('1.DATOS-PROD'!BA$2,'1.PUNTOS'!$A$1:$B$63,2,0),0)</f>
        <v>0</v>
      </c>
      <c r="AS149" s="138">
        <f>IF('1.DATOS-PROD'!BB150="SI",VLOOKUP('1.DATOS-PROD'!BB$2,'1.PUNTOS'!$A$1:$B$63,2,0),0)</f>
        <v>0</v>
      </c>
      <c r="AT149" s="138">
        <f>IF('1.DATOS-PROD'!BC150="SI",VLOOKUP('1.DATOS-PROD'!BC$2,'1.PUNTOS'!$A$1:$B$63,2,0),0)</f>
        <v>0</v>
      </c>
      <c r="AU149" s="138">
        <f>IF('1.DATOS-PROD'!BD150="SI",VLOOKUP('1.DATOS-PROD'!BD$2,'1.PUNTOS'!$A$1:$B$63,2,0),0)</f>
        <v>0</v>
      </c>
      <c r="AV149" s="138">
        <f>IF('1.DATOS-PROD'!BE150="SI",VLOOKUP('1.DATOS-PROD'!BE$2,'1.PUNTOS'!$A$1:$B$63,2,0),0)</f>
        <v>0</v>
      </c>
      <c r="AW149" s="138">
        <f>IF('1.DATOS-PROD'!BF150="SI",VLOOKUP('1.DATOS-PROD'!BF$2,'1.PUNTOS'!$A$1:$B$63,2,0),0)</f>
        <v>0</v>
      </c>
      <c r="AX149" s="138">
        <f>IF('1.DATOS-PROD'!BG150="SI",VLOOKUP('1.DATOS-PROD'!BG$2,'1.PUNTOS'!$A$1:$B$63,2,0),0)</f>
        <v>0</v>
      </c>
      <c r="AY149" s="138">
        <f>IF('1.DATOS-PROD'!BH150="SI",VLOOKUP('1.DATOS-PROD'!BH$2,'1.PUNTOS'!$A$1:$B$63,2,0),0)</f>
        <v>0</v>
      </c>
      <c r="AZ149" s="138">
        <f>IF('1.DATOS-PROD'!BI150="SI",VLOOKUP('1.DATOS-PROD'!BI$2,'1.PUNTOS'!$A$1:$B$63,2,0),0)</f>
        <v>0</v>
      </c>
      <c r="BA149" s="138">
        <f>IF('1.DATOS-PROD'!BJ150="SI",VLOOKUP('1.DATOS-PROD'!BJ$2,'1.PUNTOS'!$A$1:$B$63,2,0),0)</f>
        <v>0</v>
      </c>
      <c r="BB149" s="138">
        <f>IF('1.DATOS-PROD'!BK150="SI",VLOOKUP('1.DATOS-PROD'!BK$2,'1.PUNTOS'!$A$1:$B$63,2,0),0)</f>
        <v>0</v>
      </c>
      <c r="BC149" s="138">
        <f>IF('1.DATOS-PROD'!BL150="SI",VLOOKUP('1.DATOS-PROD'!BL$2,'1.PUNTOS'!$A$1:$B$63,2,0),0)</f>
        <v>0</v>
      </c>
      <c r="BD149" s="138">
        <f>IF('1.DATOS-PROD'!BM150="SI",VLOOKUP('1.DATOS-PROD'!BM$2,'1.PUNTOS'!$A$1:$B$63,2,0),0)</f>
        <v>0</v>
      </c>
      <c r="BE149" s="138">
        <f>IF('1.DATOS-PROD'!BN150="SI",VLOOKUP('1.DATOS-PROD'!BN$2,'1.PUNTOS'!$A$1:$B$63,2,0),0)</f>
        <v>0</v>
      </c>
      <c r="BF149" s="138">
        <f>IF('1.DATOS-PROD'!BO150="SI",VLOOKUP('1.DATOS-PROD'!BO$2,'1.PUNTOS'!$A$1:$B$63,2,0),0)</f>
        <v>0</v>
      </c>
      <c r="BG149" s="138">
        <f>IF('1.DATOS-PROD'!BP150="SI",VLOOKUP('1.DATOS-PROD'!BP$2,'1.PUNTOS'!$A$1:$B$63,2,0),0)</f>
        <v>0</v>
      </c>
      <c r="BH149" s="138">
        <f>IF('1.DATOS-PROD'!BQ150="SI",VLOOKUP('1.DATOS-PROD'!BQ$2,'1.PUNTOS'!$A$1:$B$63,2,0),0)</f>
        <v>0</v>
      </c>
      <c r="BI149" s="138">
        <f>IF('1.DATOS-PROD'!BR150="SI",VLOOKUP('1.DATOS-PROD'!BR$2,'1.PUNTOS'!$A$1:$B$63,2,0),0)</f>
        <v>0</v>
      </c>
      <c r="BJ149" s="138">
        <f>IF('1.DATOS-PROD'!BS150="SI",VLOOKUP('1.DATOS-PROD'!BS$2,'1.PUNTOS'!$A$1:$B$63,2,0),0)</f>
        <v>0</v>
      </c>
      <c r="BK149" s="138">
        <f>IF('1.DATOS-PROD'!BT150="SI",VLOOKUP('1.DATOS-PROD'!BT$2,'1.PUNTOS'!$A$1:$B$63,2,0),0)</f>
        <v>0</v>
      </c>
    </row>
    <row r="150" spans="1:63" x14ac:dyDescent="0.25">
      <c r="A150">
        <f>'0.Consolidado general'!$A151</f>
        <v>0</v>
      </c>
      <c r="B150" s="138">
        <f>IF('1.DATOS-PROD'!K151="SI",VLOOKUP('1.DATOS-PROD'!K$2,'1.PUNTOS'!$A$1:$B$63,2,0),0)</f>
        <v>0</v>
      </c>
      <c r="C150" s="138">
        <f>IF('1.DATOS-PROD'!L151="SI",VLOOKUP('1.DATOS-PROD'!L$2,'1.PUNTOS'!$A$1:$B$63,2,0),0)</f>
        <v>0</v>
      </c>
      <c r="D150" s="138">
        <f>IF('1.DATOS-PROD'!M151="SI",VLOOKUP('1.DATOS-PROD'!M$2,'1.PUNTOS'!$A$1:$B$63,2,0),0)</f>
        <v>0</v>
      </c>
      <c r="E150" s="138">
        <f>IF('1.DATOS-PROD'!N151="SI",VLOOKUP('1.DATOS-PROD'!N$2,'1.PUNTOS'!$A$1:$B$63,2,0),0)</f>
        <v>0</v>
      </c>
      <c r="F150" s="138">
        <f>IF('1.DATOS-PROD'!O151="SI",VLOOKUP('1.DATOS-PROD'!O$2,'1.PUNTOS'!$A$1:$B$63,2,0),0)</f>
        <v>0</v>
      </c>
      <c r="G150" s="138">
        <f>IF('1.DATOS-PROD'!P151="SI",VLOOKUP('1.DATOS-PROD'!P$2,'1.PUNTOS'!$A$1:$B$63,2,0),0)</f>
        <v>0</v>
      </c>
      <c r="H150" s="138">
        <f>IF('1.DATOS-PROD'!Q151="SI",VLOOKUP('1.DATOS-PROD'!Q$2,'1.PUNTOS'!$A$1:$B$63,2,0),0)</f>
        <v>0</v>
      </c>
      <c r="I150" s="138">
        <f>IF('1.DATOS-PROD'!R151="SI",VLOOKUP('1.DATOS-PROD'!R$2,'1.PUNTOS'!$A$1:$B$63,2,0),0)</f>
        <v>0</v>
      </c>
      <c r="J150" s="138">
        <f>IF('1.DATOS-PROD'!S151="SI",VLOOKUP('1.DATOS-PROD'!S$2,'1.PUNTOS'!$A$1:$B$63,2,0),0)</f>
        <v>0</v>
      </c>
      <c r="K150" s="138">
        <f>IF('1.DATOS-PROD'!T151="SI",VLOOKUP('1.DATOS-PROD'!T$2,'1.PUNTOS'!$A$1:$B$63,2,0),0)</f>
        <v>0</v>
      </c>
      <c r="L150" s="138">
        <f>IF('1.DATOS-PROD'!U151="SI",VLOOKUP('1.DATOS-PROD'!U$2,'1.PUNTOS'!$A$1:$B$63,2,0),0)</f>
        <v>0</v>
      </c>
      <c r="M150" s="138">
        <f>IF('1.DATOS-PROD'!V151="SI",VLOOKUP('1.DATOS-PROD'!V$2,'1.PUNTOS'!$A$1:$B$63,2,0),0)</f>
        <v>0</v>
      </c>
      <c r="N150" s="138">
        <f>IF('1.DATOS-PROD'!W151="SI",VLOOKUP('1.DATOS-PROD'!W$2,'1.PUNTOS'!$A$1:$B$63,2,0),0)</f>
        <v>0</v>
      </c>
      <c r="O150" s="138">
        <f>IF('1.DATOS-PROD'!X151="SI",VLOOKUP('1.DATOS-PROD'!X$2,'1.PUNTOS'!$A$1:$B$63,2,0),0)</f>
        <v>0</v>
      </c>
      <c r="P150" s="138">
        <f>IF('1.DATOS-PROD'!Y151="SI",VLOOKUP('1.DATOS-PROD'!Y$2,'1.PUNTOS'!$A$1:$B$63,2,0),0)</f>
        <v>0</v>
      </c>
      <c r="Q150" s="138">
        <f>IF('1.DATOS-PROD'!Z151="SI",VLOOKUP('1.DATOS-PROD'!Z$2,'1.PUNTOS'!$A$1:$B$63,2,0),0)</f>
        <v>0</v>
      </c>
      <c r="R150" s="138">
        <f>IF('1.DATOS-PROD'!AA151="SI",VLOOKUP('1.DATOS-PROD'!AA$2,'1.PUNTOS'!$A$1:$B$63,2,0),0)</f>
        <v>0</v>
      </c>
      <c r="S150" s="138">
        <f>IF('1.DATOS-PROD'!AB151="SI",VLOOKUP('1.DATOS-PROD'!AB$2,'1.PUNTOS'!$A$1:$B$63,2,0),0)</f>
        <v>0</v>
      </c>
      <c r="T150" s="138">
        <f>IF('1.DATOS-PROD'!AC151="SI",VLOOKUP('1.DATOS-PROD'!AC$2,'1.PUNTOS'!$A$1:$B$63,2,0),0)</f>
        <v>0</v>
      </c>
      <c r="U150" s="138">
        <f>IF('1.DATOS-PROD'!AD151="SI",VLOOKUP('1.DATOS-PROD'!AD$2,'1.PUNTOS'!$A$1:$B$63,2,0),0)</f>
        <v>0</v>
      </c>
      <c r="V150" s="138">
        <f>IF('1.DATOS-PROD'!AE151="SI",VLOOKUP('1.DATOS-PROD'!AE$2,'1.PUNTOS'!$A$1:$B$63,2,0),0)</f>
        <v>0</v>
      </c>
      <c r="W150" s="138">
        <f>IF('1.DATOS-PROD'!AF151="SI",VLOOKUP('1.DATOS-PROD'!AF$2,'1.PUNTOS'!$A$1:$B$63,2,0),0)</f>
        <v>0</v>
      </c>
      <c r="X150" s="138">
        <f>IF('1.DATOS-PROD'!AG151="SI",VLOOKUP('1.DATOS-PROD'!AG$2,'1.PUNTOS'!$A$1:$B$63,2,0),0)</f>
        <v>0</v>
      </c>
      <c r="Y150" s="138">
        <f>IF('1.DATOS-PROD'!AH151="SI",VLOOKUP('1.DATOS-PROD'!AH$2,'1.PUNTOS'!$A$1:$B$63,2,0),0)</f>
        <v>0</v>
      </c>
      <c r="Z150" s="138">
        <f>IF('1.DATOS-PROD'!AI151="SI",VLOOKUP('1.DATOS-PROD'!AI$2,'1.PUNTOS'!$A$1:$B$63,2,0),0)</f>
        <v>0</v>
      </c>
      <c r="AA150" s="138">
        <f>IF('1.DATOS-PROD'!AJ151="SI",VLOOKUP('1.DATOS-PROD'!AJ$2,'1.PUNTOS'!$A$1:$B$63,2,0),0)</f>
        <v>0</v>
      </c>
      <c r="AB150" s="138">
        <f>IF('1.DATOS-PROD'!AK151="SI",VLOOKUP('1.DATOS-PROD'!AK$2,'1.PUNTOS'!$A$1:$B$63,2,0),0)</f>
        <v>0</v>
      </c>
      <c r="AC150" s="138">
        <f>IF('1.DATOS-PROD'!AL151="SI",VLOOKUP('1.DATOS-PROD'!AL$2,'1.PUNTOS'!$A$1:$B$63,2,0),0)</f>
        <v>0</v>
      </c>
      <c r="AD150" s="138">
        <f>IF('1.DATOS-PROD'!AM151="SI",VLOOKUP('1.DATOS-PROD'!AM$2,'1.PUNTOS'!$A$1:$B$63,2,0),0)</f>
        <v>0</v>
      </c>
      <c r="AE150" s="138">
        <f>IF('1.DATOS-PROD'!AN151="SI",VLOOKUP('1.DATOS-PROD'!AN$2,'1.PUNTOS'!$A$1:$B$63,2,0),0)</f>
        <v>0</v>
      </c>
      <c r="AF150" s="138">
        <f>IF('1.DATOS-PROD'!AO151="SI",VLOOKUP('1.DATOS-PROD'!AO$2,'1.PUNTOS'!$A$1:$B$63,2,0),0)</f>
        <v>0</v>
      </c>
      <c r="AG150" s="138">
        <f>IF('1.DATOS-PROD'!AP151="SI",VLOOKUP('1.DATOS-PROD'!AP$2,'1.PUNTOS'!$A$1:$B$63,2,0),0)</f>
        <v>0</v>
      </c>
      <c r="AH150" s="138">
        <f>IF('1.DATOS-PROD'!AQ151="SI",VLOOKUP('1.DATOS-PROD'!AQ$2,'1.PUNTOS'!$A$1:$B$63,2,0),0)</f>
        <v>0</v>
      </c>
      <c r="AI150" s="138">
        <f>IF('1.DATOS-PROD'!AR151="SI",VLOOKUP('1.DATOS-PROD'!AR$2,'1.PUNTOS'!$A$1:$B$63,2,0),0)</f>
        <v>0</v>
      </c>
      <c r="AJ150" s="138">
        <f>IF('1.DATOS-PROD'!AS151="SI",VLOOKUP('1.DATOS-PROD'!AS$2,'1.PUNTOS'!$A$1:$B$63,2,0),0)</f>
        <v>0</v>
      </c>
      <c r="AK150" s="138">
        <f>IF('1.DATOS-PROD'!AT151="SI",VLOOKUP('1.DATOS-PROD'!AT$2,'1.PUNTOS'!$A$1:$B$63,2,0),0)</f>
        <v>0</v>
      </c>
      <c r="AL150" s="138">
        <f>IF('1.DATOS-PROD'!AU151="SI",VLOOKUP('1.DATOS-PROD'!AU$2,'1.PUNTOS'!$A$1:$B$63,2,0),0)</f>
        <v>0</v>
      </c>
      <c r="AM150" s="138">
        <f>IF('1.DATOS-PROD'!AV151="SI",VLOOKUP('1.DATOS-PROD'!AV$2,'1.PUNTOS'!$A$1:$B$63,2,0),0)</f>
        <v>0</v>
      </c>
      <c r="AN150" s="138">
        <f>IF('1.DATOS-PROD'!AW151="SI",VLOOKUP('1.DATOS-PROD'!AW$2,'1.PUNTOS'!$A$1:$B$63,2,0),0)</f>
        <v>0</v>
      </c>
      <c r="AO150" s="138">
        <f>IF('1.DATOS-PROD'!AX151="SI",VLOOKUP('1.DATOS-PROD'!AX$2,'1.PUNTOS'!$A$1:$B$63,2,0),0)</f>
        <v>0</v>
      </c>
      <c r="AP150" s="138">
        <f>IF('1.DATOS-PROD'!AY151="SI",VLOOKUP('1.DATOS-PROD'!AY$2,'1.PUNTOS'!$A$1:$B$63,2,0),0)</f>
        <v>0</v>
      </c>
      <c r="AQ150" s="138">
        <f>IF('1.DATOS-PROD'!AZ151="SI",VLOOKUP('1.DATOS-PROD'!AZ$2,'1.PUNTOS'!$A$1:$B$63,2,0),0)</f>
        <v>0</v>
      </c>
      <c r="AR150" s="138">
        <f>IF('1.DATOS-PROD'!BA151="SI",VLOOKUP('1.DATOS-PROD'!BA$2,'1.PUNTOS'!$A$1:$B$63,2,0),0)</f>
        <v>0</v>
      </c>
      <c r="AS150" s="138">
        <f>IF('1.DATOS-PROD'!BB151="SI",VLOOKUP('1.DATOS-PROD'!BB$2,'1.PUNTOS'!$A$1:$B$63,2,0),0)</f>
        <v>0</v>
      </c>
      <c r="AT150" s="138">
        <f>IF('1.DATOS-PROD'!BC151="SI",VLOOKUP('1.DATOS-PROD'!BC$2,'1.PUNTOS'!$A$1:$B$63,2,0),0)</f>
        <v>0</v>
      </c>
      <c r="AU150" s="138">
        <f>IF('1.DATOS-PROD'!BD151="SI",VLOOKUP('1.DATOS-PROD'!BD$2,'1.PUNTOS'!$A$1:$B$63,2,0),0)</f>
        <v>0</v>
      </c>
      <c r="AV150" s="138">
        <f>IF('1.DATOS-PROD'!BE151="SI",VLOOKUP('1.DATOS-PROD'!BE$2,'1.PUNTOS'!$A$1:$B$63,2,0),0)</f>
        <v>0</v>
      </c>
      <c r="AW150" s="138">
        <f>IF('1.DATOS-PROD'!BF151="SI",VLOOKUP('1.DATOS-PROD'!BF$2,'1.PUNTOS'!$A$1:$B$63,2,0),0)</f>
        <v>0</v>
      </c>
      <c r="AX150" s="138">
        <f>IF('1.DATOS-PROD'!BG151="SI",VLOOKUP('1.DATOS-PROD'!BG$2,'1.PUNTOS'!$A$1:$B$63,2,0),0)</f>
        <v>0</v>
      </c>
      <c r="AY150" s="138">
        <f>IF('1.DATOS-PROD'!BH151="SI",VLOOKUP('1.DATOS-PROD'!BH$2,'1.PUNTOS'!$A$1:$B$63,2,0),0)</f>
        <v>0</v>
      </c>
      <c r="AZ150" s="138">
        <f>IF('1.DATOS-PROD'!BI151="SI",VLOOKUP('1.DATOS-PROD'!BI$2,'1.PUNTOS'!$A$1:$B$63,2,0),0)</f>
        <v>0</v>
      </c>
      <c r="BA150" s="138">
        <f>IF('1.DATOS-PROD'!BJ151="SI",VLOOKUP('1.DATOS-PROD'!BJ$2,'1.PUNTOS'!$A$1:$B$63,2,0),0)</f>
        <v>0</v>
      </c>
      <c r="BB150" s="138">
        <f>IF('1.DATOS-PROD'!BK151="SI",VLOOKUP('1.DATOS-PROD'!BK$2,'1.PUNTOS'!$A$1:$B$63,2,0),0)</f>
        <v>0</v>
      </c>
      <c r="BC150" s="138">
        <f>IF('1.DATOS-PROD'!BL151="SI",VLOOKUP('1.DATOS-PROD'!BL$2,'1.PUNTOS'!$A$1:$B$63,2,0),0)</f>
        <v>0</v>
      </c>
      <c r="BD150" s="138">
        <f>IF('1.DATOS-PROD'!BM151="SI",VLOOKUP('1.DATOS-PROD'!BM$2,'1.PUNTOS'!$A$1:$B$63,2,0),0)</f>
        <v>0</v>
      </c>
      <c r="BE150" s="138">
        <f>IF('1.DATOS-PROD'!BN151="SI",VLOOKUP('1.DATOS-PROD'!BN$2,'1.PUNTOS'!$A$1:$B$63,2,0),0)</f>
        <v>0</v>
      </c>
      <c r="BF150" s="138">
        <f>IF('1.DATOS-PROD'!BO151="SI",VLOOKUP('1.DATOS-PROD'!BO$2,'1.PUNTOS'!$A$1:$B$63,2,0),0)</f>
        <v>0</v>
      </c>
      <c r="BG150" s="138">
        <f>IF('1.DATOS-PROD'!BP151="SI",VLOOKUP('1.DATOS-PROD'!BP$2,'1.PUNTOS'!$A$1:$B$63,2,0),0)</f>
        <v>0</v>
      </c>
      <c r="BH150" s="138">
        <f>IF('1.DATOS-PROD'!BQ151="SI",VLOOKUP('1.DATOS-PROD'!BQ$2,'1.PUNTOS'!$A$1:$B$63,2,0),0)</f>
        <v>0</v>
      </c>
      <c r="BI150" s="138">
        <f>IF('1.DATOS-PROD'!BR151="SI",VLOOKUP('1.DATOS-PROD'!BR$2,'1.PUNTOS'!$A$1:$B$63,2,0),0)</f>
        <v>0</v>
      </c>
      <c r="BJ150" s="138">
        <f>IF('1.DATOS-PROD'!BS151="SI",VLOOKUP('1.DATOS-PROD'!BS$2,'1.PUNTOS'!$A$1:$B$63,2,0),0)</f>
        <v>0</v>
      </c>
      <c r="BK150" s="138">
        <f>IF('1.DATOS-PROD'!BT151="SI",VLOOKUP('1.DATOS-PROD'!BT$2,'1.PUNTOS'!$A$1:$B$63,2,0),0)</f>
        <v>0</v>
      </c>
    </row>
    <row r="151" spans="1:63" x14ac:dyDescent="0.25">
      <c r="A151">
        <f>'0.Consolidado general'!$A152</f>
        <v>0</v>
      </c>
      <c r="B151" s="138">
        <f>IF('1.DATOS-PROD'!K152="SI",VLOOKUP('1.DATOS-PROD'!K$2,'1.PUNTOS'!$A$1:$B$63,2,0),0)</f>
        <v>0</v>
      </c>
      <c r="C151" s="138">
        <f>IF('1.DATOS-PROD'!L152="SI",VLOOKUP('1.DATOS-PROD'!L$2,'1.PUNTOS'!$A$1:$B$63,2,0),0)</f>
        <v>0</v>
      </c>
      <c r="D151" s="138">
        <f>IF('1.DATOS-PROD'!M152="SI",VLOOKUP('1.DATOS-PROD'!M$2,'1.PUNTOS'!$A$1:$B$63,2,0),0)</f>
        <v>0</v>
      </c>
      <c r="E151" s="138">
        <f>IF('1.DATOS-PROD'!N152="SI",VLOOKUP('1.DATOS-PROD'!N$2,'1.PUNTOS'!$A$1:$B$63,2,0),0)</f>
        <v>0</v>
      </c>
      <c r="F151" s="138">
        <f>IF('1.DATOS-PROD'!O152="SI",VLOOKUP('1.DATOS-PROD'!O$2,'1.PUNTOS'!$A$1:$B$63,2,0),0)</f>
        <v>0</v>
      </c>
      <c r="G151" s="138">
        <f>IF('1.DATOS-PROD'!P152="SI",VLOOKUP('1.DATOS-PROD'!P$2,'1.PUNTOS'!$A$1:$B$63,2,0),0)</f>
        <v>0</v>
      </c>
      <c r="H151" s="138">
        <f>IF('1.DATOS-PROD'!Q152="SI",VLOOKUP('1.DATOS-PROD'!Q$2,'1.PUNTOS'!$A$1:$B$63,2,0),0)</f>
        <v>0</v>
      </c>
      <c r="I151" s="138">
        <f>IF('1.DATOS-PROD'!R152="SI",VLOOKUP('1.DATOS-PROD'!R$2,'1.PUNTOS'!$A$1:$B$63,2,0),0)</f>
        <v>0</v>
      </c>
      <c r="J151" s="138">
        <f>IF('1.DATOS-PROD'!S152="SI",VLOOKUP('1.DATOS-PROD'!S$2,'1.PUNTOS'!$A$1:$B$63,2,0),0)</f>
        <v>0</v>
      </c>
      <c r="K151" s="138">
        <f>IF('1.DATOS-PROD'!T152="SI",VLOOKUP('1.DATOS-PROD'!T$2,'1.PUNTOS'!$A$1:$B$63,2,0),0)</f>
        <v>0</v>
      </c>
      <c r="L151" s="138">
        <f>IF('1.DATOS-PROD'!U152="SI",VLOOKUP('1.DATOS-PROD'!U$2,'1.PUNTOS'!$A$1:$B$63,2,0),0)</f>
        <v>0</v>
      </c>
      <c r="M151" s="138">
        <f>IF('1.DATOS-PROD'!V152="SI",VLOOKUP('1.DATOS-PROD'!V$2,'1.PUNTOS'!$A$1:$B$63,2,0),0)</f>
        <v>0</v>
      </c>
      <c r="N151" s="138">
        <f>IF('1.DATOS-PROD'!W152="SI",VLOOKUP('1.DATOS-PROD'!W$2,'1.PUNTOS'!$A$1:$B$63,2,0),0)</f>
        <v>0</v>
      </c>
      <c r="O151" s="138">
        <f>IF('1.DATOS-PROD'!X152="SI",VLOOKUP('1.DATOS-PROD'!X$2,'1.PUNTOS'!$A$1:$B$63,2,0),0)</f>
        <v>0</v>
      </c>
      <c r="P151" s="138">
        <f>IF('1.DATOS-PROD'!Y152="SI",VLOOKUP('1.DATOS-PROD'!Y$2,'1.PUNTOS'!$A$1:$B$63,2,0),0)</f>
        <v>0</v>
      </c>
      <c r="Q151" s="138">
        <f>IF('1.DATOS-PROD'!Z152="SI",VLOOKUP('1.DATOS-PROD'!Z$2,'1.PUNTOS'!$A$1:$B$63,2,0),0)</f>
        <v>0</v>
      </c>
      <c r="R151" s="138">
        <f>IF('1.DATOS-PROD'!AA152="SI",VLOOKUP('1.DATOS-PROD'!AA$2,'1.PUNTOS'!$A$1:$B$63,2,0),0)</f>
        <v>0</v>
      </c>
      <c r="S151" s="138">
        <f>IF('1.DATOS-PROD'!AB152="SI",VLOOKUP('1.DATOS-PROD'!AB$2,'1.PUNTOS'!$A$1:$B$63,2,0),0)</f>
        <v>0</v>
      </c>
      <c r="T151" s="138">
        <f>IF('1.DATOS-PROD'!AC152="SI",VLOOKUP('1.DATOS-PROD'!AC$2,'1.PUNTOS'!$A$1:$B$63,2,0),0)</f>
        <v>0</v>
      </c>
      <c r="U151" s="138">
        <f>IF('1.DATOS-PROD'!AD152="SI",VLOOKUP('1.DATOS-PROD'!AD$2,'1.PUNTOS'!$A$1:$B$63,2,0),0)</f>
        <v>0</v>
      </c>
      <c r="V151" s="138">
        <f>IF('1.DATOS-PROD'!AE152="SI",VLOOKUP('1.DATOS-PROD'!AE$2,'1.PUNTOS'!$A$1:$B$63,2,0),0)</f>
        <v>0</v>
      </c>
      <c r="W151" s="138">
        <f>IF('1.DATOS-PROD'!AF152="SI",VLOOKUP('1.DATOS-PROD'!AF$2,'1.PUNTOS'!$A$1:$B$63,2,0),0)</f>
        <v>0</v>
      </c>
      <c r="X151" s="138">
        <f>IF('1.DATOS-PROD'!AG152="SI",VLOOKUP('1.DATOS-PROD'!AG$2,'1.PUNTOS'!$A$1:$B$63,2,0),0)</f>
        <v>0</v>
      </c>
      <c r="Y151" s="138">
        <f>IF('1.DATOS-PROD'!AH152="SI",VLOOKUP('1.DATOS-PROD'!AH$2,'1.PUNTOS'!$A$1:$B$63,2,0),0)</f>
        <v>0</v>
      </c>
      <c r="Z151" s="138">
        <f>IF('1.DATOS-PROD'!AI152="SI",VLOOKUP('1.DATOS-PROD'!AI$2,'1.PUNTOS'!$A$1:$B$63,2,0),0)</f>
        <v>0</v>
      </c>
      <c r="AA151" s="138">
        <f>IF('1.DATOS-PROD'!AJ152="SI",VLOOKUP('1.DATOS-PROD'!AJ$2,'1.PUNTOS'!$A$1:$B$63,2,0),0)</f>
        <v>0</v>
      </c>
      <c r="AB151" s="138">
        <f>IF('1.DATOS-PROD'!AK152="SI",VLOOKUP('1.DATOS-PROD'!AK$2,'1.PUNTOS'!$A$1:$B$63,2,0),0)</f>
        <v>0</v>
      </c>
      <c r="AC151" s="138">
        <f>IF('1.DATOS-PROD'!AL152="SI",VLOOKUP('1.DATOS-PROD'!AL$2,'1.PUNTOS'!$A$1:$B$63,2,0),0)</f>
        <v>0</v>
      </c>
      <c r="AD151" s="138">
        <f>IF('1.DATOS-PROD'!AM152="SI",VLOOKUP('1.DATOS-PROD'!AM$2,'1.PUNTOS'!$A$1:$B$63,2,0),0)</f>
        <v>0</v>
      </c>
      <c r="AE151" s="138">
        <f>IF('1.DATOS-PROD'!AN152="SI",VLOOKUP('1.DATOS-PROD'!AN$2,'1.PUNTOS'!$A$1:$B$63,2,0),0)</f>
        <v>0</v>
      </c>
      <c r="AF151" s="138">
        <f>IF('1.DATOS-PROD'!AO152="SI",VLOOKUP('1.DATOS-PROD'!AO$2,'1.PUNTOS'!$A$1:$B$63,2,0),0)</f>
        <v>0</v>
      </c>
      <c r="AG151" s="138">
        <f>IF('1.DATOS-PROD'!AP152="SI",VLOOKUP('1.DATOS-PROD'!AP$2,'1.PUNTOS'!$A$1:$B$63,2,0),0)</f>
        <v>0</v>
      </c>
      <c r="AH151" s="138">
        <f>IF('1.DATOS-PROD'!AQ152="SI",VLOOKUP('1.DATOS-PROD'!AQ$2,'1.PUNTOS'!$A$1:$B$63,2,0),0)</f>
        <v>0</v>
      </c>
      <c r="AI151" s="138">
        <f>IF('1.DATOS-PROD'!AR152="SI",VLOOKUP('1.DATOS-PROD'!AR$2,'1.PUNTOS'!$A$1:$B$63,2,0),0)</f>
        <v>0</v>
      </c>
      <c r="AJ151" s="138">
        <f>IF('1.DATOS-PROD'!AS152="SI",VLOOKUP('1.DATOS-PROD'!AS$2,'1.PUNTOS'!$A$1:$B$63,2,0),0)</f>
        <v>0</v>
      </c>
      <c r="AK151" s="138">
        <f>IF('1.DATOS-PROD'!AT152="SI",VLOOKUP('1.DATOS-PROD'!AT$2,'1.PUNTOS'!$A$1:$B$63,2,0),0)</f>
        <v>0</v>
      </c>
      <c r="AL151" s="138">
        <f>IF('1.DATOS-PROD'!AU152="SI",VLOOKUP('1.DATOS-PROD'!AU$2,'1.PUNTOS'!$A$1:$B$63,2,0),0)</f>
        <v>0</v>
      </c>
      <c r="AM151" s="138">
        <f>IF('1.DATOS-PROD'!AV152="SI",VLOOKUP('1.DATOS-PROD'!AV$2,'1.PUNTOS'!$A$1:$B$63,2,0),0)</f>
        <v>0</v>
      </c>
      <c r="AN151" s="138">
        <f>IF('1.DATOS-PROD'!AW152="SI",VLOOKUP('1.DATOS-PROD'!AW$2,'1.PUNTOS'!$A$1:$B$63,2,0),0)</f>
        <v>0</v>
      </c>
      <c r="AO151" s="138">
        <f>IF('1.DATOS-PROD'!AX152="SI",VLOOKUP('1.DATOS-PROD'!AX$2,'1.PUNTOS'!$A$1:$B$63,2,0),0)</f>
        <v>0</v>
      </c>
      <c r="AP151" s="138">
        <f>IF('1.DATOS-PROD'!AY152="SI",VLOOKUP('1.DATOS-PROD'!AY$2,'1.PUNTOS'!$A$1:$B$63,2,0),0)</f>
        <v>0</v>
      </c>
      <c r="AQ151" s="138">
        <f>IF('1.DATOS-PROD'!AZ152="SI",VLOOKUP('1.DATOS-PROD'!AZ$2,'1.PUNTOS'!$A$1:$B$63,2,0),0)</f>
        <v>0</v>
      </c>
      <c r="AR151" s="138">
        <f>IF('1.DATOS-PROD'!BA152="SI",VLOOKUP('1.DATOS-PROD'!BA$2,'1.PUNTOS'!$A$1:$B$63,2,0),0)</f>
        <v>0</v>
      </c>
      <c r="AS151" s="138">
        <f>IF('1.DATOS-PROD'!BB152="SI",VLOOKUP('1.DATOS-PROD'!BB$2,'1.PUNTOS'!$A$1:$B$63,2,0),0)</f>
        <v>0</v>
      </c>
      <c r="AT151" s="138">
        <f>IF('1.DATOS-PROD'!BC152="SI",VLOOKUP('1.DATOS-PROD'!BC$2,'1.PUNTOS'!$A$1:$B$63,2,0),0)</f>
        <v>0</v>
      </c>
      <c r="AU151" s="138">
        <f>IF('1.DATOS-PROD'!BD152="SI",VLOOKUP('1.DATOS-PROD'!BD$2,'1.PUNTOS'!$A$1:$B$63,2,0),0)</f>
        <v>0</v>
      </c>
      <c r="AV151" s="138">
        <f>IF('1.DATOS-PROD'!BE152="SI",VLOOKUP('1.DATOS-PROD'!BE$2,'1.PUNTOS'!$A$1:$B$63,2,0),0)</f>
        <v>0</v>
      </c>
      <c r="AW151" s="138">
        <f>IF('1.DATOS-PROD'!BF152="SI",VLOOKUP('1.DATOS-PROD'!BF$2,'1.PUNTOS'!$A$1:$B$63,2,0),0)</f>
        <v>0</v>
      </c>
      <c r="AX151" s="138">
        <f>IF('1.DATOS-PROD'!BG152="SI",VLOOKUP('1.DATOS-PROD'!BG$2,'1.PUNTOS'!$A$1:$B$63,2,0),0)</f>
        <v>0</v>
      </c>
      <c r="AY151" s="138">
        <f>IF('1.DATOS-PROD'!BH152="SI",VLOOKUP('1.DATOS-PROD'!BH$2,'1.PUNTOS'!$A$1:$B$63,2,0),0)</f>
        <v>0</v>
      </c>
      <c r="AZ151" s="138">
        <f>IF('1.DATOS-PROD'!BI152="SI",VLOOKUP('1.DATOS-PROD'!BI$2,'1.PUNTOS'!$A$1:$B$63,2,0),0)</f>
        <v>0</v>
      </c>
      <c r="BA151" s="138">
        <f>IF('1.DATOS-PROD'!BJ152="SI",VLOOKUP('1.DATOS-PROD'!BJ$2,'1.PUNTOS'!$A$1:$B$63,2,0),0)</f>
        <v>0</v>
      </c>
      <c r="BB151" s="138">
        <f>IF('1.DATOS-PROD'!BK152="SI",VLOOKUP('1.DATOS-PROD'!BK$2,'1.PUNTOS'!$A$1:$B$63,2,0),0)</f>
        <v>0</v>
      </c>
      <c r="BC151" s="138">
        <f>IF('1.DATOS-PROD'!BL152="SI",VLOOKUP('1.DATOS-PROD'!BL$2,'1.PUNTOS'!$A$1:$B$63,2,0),0)</f>
        <v>0</v>
      </c>
      <c r="BD151" s="138">
        <f>IF('1.DATOS-PROD'!BM152="SI",VLOOKUP('1.DATOS-PROD'!BM$2,'1.PUNTOS'!$A$1:$B$63,2,0),0)</f>
        <v>0</v>
      </c>
      <c r="BE151" s="138">
        <f>IF('1.DATOS-PROD'!BN152="SI",VLOOKUP('1.DATOS-PROD'!BN$2,'1.PUNTOS'!$A$1:$B$63,2,0),0)</f>
        <v>0</v>
      </c>
      <c r="BF151" s="138">
        <f>IF('1.DATOS-PROD'!BO152="SI",VLOOKUP('1.DATOS-PROD'!BO$2,'1.PUNTOS'!$A$1:$B$63,2,0),0)</f>
        <v>0</v>
      </c>
      <c r="BG151" s="138">
        <f>IF('1.DATOS-PROD'!BP152="SI",VLOOKUP('1.DATOS-PROD'!BP$2,'1.PUNTOS'!$A$1:$B$63,2,0),0)</f>
        <v>0</v>
      </c>
      <c r="BH151" s="138">
        <f>IF('1.DATOS-PROD'!BQ152="SI",VLOOKUP('1.DATOS-PROD'!BQ$2,'1.PUNTOS'!$A$1:$B$63,2,0),0)</f>
        <v>0</v>
      </c>
      <c r="BI151" s="138">
        <f>IF('1.DATOS-PROD'!BR152="SI",VLOOKUP('1.DATOS-PROD'!BR$2,'1.PUNTOS'!$A$1:$B$63,2,0),0)</f>
        <v>0</v>
      </c>
      <c r="BJ151" s="138">
        <f>IF('1.DATOS-PROD'!BS152="SI",VLOOKUP('1.DATOS-PROD'!BS$2,'1.PUNTOS'!$A$1:$B$63,2,0),0)</f>
        <v>0</v>
      </c>
      <c r="BK151" s="138">
        <f>IF('1.DATOS-PROD'!BT152="SI",VLOOKUP('1.DATOS-PROD'!BT$2,'1.PUNTOS'!$A$1:$B$63,2,0),0)</f>
        <v>0</v>
      </c>
    </row>
    <row r="152" spans="1:63" x14ac:dyDescent="0.25">
      <c r="A152">
        <f>'0.Consolidado general'!$A153</f>
        <v>0</v>
      </c>
      <c r="B152" s="138">
        <f>IF('1.DATOS-PROD'!K153="SI",VLOOKUP('1.DATOS-PROD'!K$2,'1.PUNTOS'!$A$1:$B$63,2,0),0)</f>
        <v>0</v>
      </c>
      <c r="C152" s="138">
        <f>IF('1.DATOS-PROD'!L153="SI",VLOOKUP('1.DATOS-PROD'!L$2,'1.PUNTOS'!$A$1:$B$63,2,0),0)</f>
        <v>0</v>
      </c>
      <c r="D152" s="138">
        <f>IF('1.DATOS-PROD'!M153="SI",VLOOKUP('1.DATOS-PROD'!M$2,'1.PUNTOS'!$A$1:$B$63,2,0),0)</f>
        <v>0</v>
      </c>
      <c r="E152" s="138">
        <f>IF('1.DATOS-PROD'!N153="SI",VLOOKUP('1.DATOS-PROD'!N$2,'1.PUNTOS'!$A$1:$B$63,2,0),0)</f>
        <v>0</v>
      </c>
      <c r="F152" s="138">
        <f>IF('1.DATOS-PROD'!O153="SI",VLOOKUP('1.DATOS-PROD'!O$2,'1.PUNTOS'!$A$1:$B$63,2,0),0)</f>
        <v>0</v>
      </c>
      <c r="G152" s="138">
        <f>IF('1.DATOS-PROD'!P153="SI",VLOOKUP('1.DATOS-PROD'!P$2,'1.PUNTOS'!$A$1:$B$63,2,0),0)</f>
        <v>0</v>
      </c>
      <c r="H152" s="138">
        <f>IF('1.DATOS-PROD'!Q153="SI",VLOOKUP('1.DATOS-PROD'!Q$2,'1.PUNTOS'!$A$1:$B$63,2,0),0)</f>
        <v>0</v>
      </c>
      <c r="I152" s="138">
        <f>IF('1.DATOS-PROD'!R153="SI",VLOOKUP('1.DATOS-PROD'!R$2,'1.PUNTOS'!$A$1:$B$63,2,0),0)</f>
        <v>0</v>
      </c>
      <c r="J152" s="138">
        <f>IF('1.DATOS-PROD'!S153="SI",VLOOKUP('1.DATOS-PROD'!S$2,'1.PUNTOS'!$A$1:$B$63,2,0),0)</f>
        <v>0</v>
      </c>
      <c r="K152" s="138">
        <f>IF('1.DATOS-PROD'!T153="SI",VLOOKUP('1.DATOS-PROD'!T$2,'1.PUNTOS'!$A$1:$B$63,2,0),0)</f>
        <v>0</v>
      </c>
      <c r="L152" s="138">
        <f>IF('1.DATOS-PROD'!U153="SI",VLOOKUP('1.DATOS-PROD'!U$2,'1.PUNTOS'!$A$1:$B$63,2,0),0)</f>
        <v>0</v>
      </c>
      <c r="M152" s="138">
        <f>IF('1.DATOS-PROD'!V153="SI",VLOOKUP('1.DATOS-PROD'!V$2,'1.PUNTOS'!$A$1:$B$63,2,0),0)</f>
        <v>0</v>
      </c>
      <c r="N152" s="138">
        <f>IF('1.DATOS-PROD'!W153="SI",VLOOKUP('1.DATOS-PROD'!W$2,'1.PUNTOS'!$A$1:$B$63,2,0),0)</f>
        <v>0</v>
      </c>
      <c r="O152" s="138">
        <f>IF('1.DATOS-PROD'!X153="SI",VLOOKUP('1.DATOS-PROD'!X$2,'1.PUNTOS'!$A$1:$B$63,2,0),0)</f>
        <v>0</v>
      </c>
      <c r="P152" s="138">
        <f>IF('1.DATOS-PROD'!Y153="SI",VLOOKUP('1.DATOS-PROD'!Y$2,'1.PUNTOS'!$A$1:$B$63,2,0),0)</f>
        <v>0</v>
      </c>
      <c r="Q152" s="138">
        <f>IF('1.DATOS-PROD'!Z153="SI",VLOOKUP('1.DATOS-PROD'!Z$2,'1.PUNTOS'!$A$1:$B$63,2,0),0)</f>
        <v>0</v>
      </c>
      <c r="R152" s="138">
        <f>IF('1.DATOS-PROD'!AA153="SI",VLOOKUP('1.DATOS-PROD'!AA$2,'1.PUNTOS'!$A$1:$B$63,2,0),0)</f>
        <v>0</v>
      </c>
      <c r="S152" s="138">
        <f>IF('1.DATOS-PROD'!AB153="SI",VLOOKUP('1.DATOS-PROD'!AB$2,'1.PUNTOS'!$A$1:$B$63,2,0),0)</f>
        <v>0</v>
      </c>
      <c r="T152" s="138">
        <f>IF('1.DATOS-PROD'!AC153="SI",VLOOKUP('1.DATOS-PROD'!AC$2,'1.PUNTOS'!$A$1:$B$63,2,0),0)</f>
        <v>0</v>
      </c>
      <c r="U152" s="138">
        <f>IF('1.DATOS-PROD'!AD153="SI",VLOOKUP('1.DATOS-PROD'!AD$2,'1.PUNTOS'!$A$1:$B$63,2,0),0)</f>
        <v>0</v>
      </c>
      <c r="V152" s="138">
        <f>IF('1.DATOS-PROD'!AE153="SI",VLOOKUP('1.DATOS-PROD'!AE$2,'1.PUNTOS'!$A$1:$B$63,2,0),0)</f>
        <v>0</v>
      </c>
      <c r="W152" s="138">
        <f>IF('1.DATOS-PROD'!AF153="SI",VLOOKUP('1.DATOS-PROD'!AF$2,'1.PUNTOS'!$A$1:$B$63,2,0),0)</f>
        <v>0</v>
      </c>
      <c r="X152" s="138">
        <f>IF('1.DATOS-PROD'!AG153="SI",VLOOKUP('1.DATOS-PROD'!AG$2,'1.PUNTOS'!$A$1:$B$63,2,0),0)</f>
        <v>0</v>
      </c>
      <c r="Y152" s="138">
        <f>IF('1.DATOS-PROD'!AH153="SI",VLOOKUP('1.DATOS-PROD'!AH$2,'1.PUNTOS'!$A$1:$B$63,2,0),0)</f>
        <v>0</v>
      </c>
      <c r="Z152" s="138">
        <f>IF('1.DATOS-PROD'!AI153="SI",VLOOKUP('1.DATOS-PROD'!AI$2,'1.PUNTOS'!$A$1:$B$63,2,0),0)</f>
        <v>0</v>
      </c>
      <c r="AA152" s="138">
        <f>IF('1.DATOS-PROD'!AJ153="SI",VLOOKUP('1.DATOS-PROD'!AJ$2,'1.PUNTOS'!$A$1:$B$63,2,0),0)</f>
        <v>0</v>
      </c>
      <c r="AB152" s="138">
        <f>IF('1.DATOS-PROD'!AK153="SI",VLOOKUP('1.DATOS-PROD'!AK$2,'1.PUNTOS'!$A$1:$B$63,2,0),0)</f>
        <v>0</v>
      </c>
      <c r="AC152" s="138">
        <f>IF('1.DATOS-PROD'!AL153="SI",VLOOKUP('1.DATOS-PROD'!AL$2,'1.PUNTOS'!$A$1:$B$63,2,0),0)</f>
        <v>0</v>
      </c>
      <c r="AD152" s="138">
        <f>IF('1.DATOS-PROD'!AM153="SI",VLOOKUP('1.DATOS-PROD'!AM$2,'1.PUNTOS'!$A$1:$B$63,2,0),0)</f>
        <v>0</v>
      </c>
      <c r="AE152" s="138">
        <f>IF('1.DATOS-PROD'!AN153="SI",VLOOKUP('1.DATOS-PROD'!AN$2,'1.PUNTOS'!$A$1:$B$63,2,0),0)</f>
        <v>0</v>
      </c>
      <c r="AF152" s="138">
        <f>IF('1.DATOS-PROD'!AO153="SI",VLOOKUP('1.DATOS-PROD'!AO$2,'1.PUNTOS'!$A$1:$B$63,2,0),0)</f>
        <v>0</v>
      </c>
      <c r="AG152" s="138">
        <f>IF('1.DATOS-PROD'!AP153="SI",VLOOKUP('1.DATOS-PROD'!AP$2,'1.PUNTOS'!$A$1:$B$63,2,0),0)</f>
        <v>0</v>
      </c>
      <c r="AH152" s="138">
        <f>IF('1.DATOS-PROD'!AQ153="SI",VLOOKUP('1.DATOS-PROD'!AQ$2,'1.PUNTOS'!$A$1:$B$63,2,0),0)</f>
        <v>0</v>
      </c>
      <c r="AI152" s="138">
        <f>IF('1.DATOS-PROD'!AR153="SI",VLOOKUP('1.DATOS-PROD'!AR$2,'1.PUNTOS'!$A$1:$B$63,2,0),0)</f>
        <v>0</v>
      </c>
      <c r="AJ152" s="138">
        <f>IF('1.DATOS-PROD'!AS153="SI",VLOOKUP('1.DATOS-PROD'!AS$2,'1.PUNTOS'!$A$1:$B$63,2,0),0)</f>
        <v>0</v>
      </c>
      <c r="AK152" s="138">
        <f>IF('1.DATOS-PROD'!AT153="SI",VLOOKUP('1.DATOS-PROD'!AT$2,'1.PUNTOS'!$A$1:$B$63,2,0),0)</f>
        <v>0</v>
      </c>
      <c r="AL152" s="138">
        <f>IF('1.DATOS-PROD'!AU153="SI",VLOOKUP('1.DATOS-PROD'!AU$2,'1.PUNTOS'!$A$1:$B$63,2,0),0)</f>
        <v>0</v>
      </c>
      <c r="AM152" s="138">
        <f>IF('1.DATOS-PROD'!AV153="SI",VLOOKUP('1.DATOS-PROD'!AV$2,'1.PUNTOS'!$A$1:$B$63,2,0),0)</f>
        <v>0</v>
      </c>
      <c r="AN152" s="138">
        <f>IF('1.DATOS-PROD'!AW153="SI",VLOOKUP('1.DATOS-PROD'!AW$2,'1.PUNTOS'!$A$1:$B$63,2,0),0)</f>
        <v>0</v>
      </c>
      <c r="AO152" s="138">
        <f>IF('1.DATOS-PROD'!AX153="SI",VLOOKUP('1.DATOS-PROD'!AX$2,'1.PUNTOS'!$A$1:$B$63,2,0),0)</f>
        <v>0</v>
      </c>
      <c r="AP152" s="138">
        <f>IF('1.DATOS-PROD'!AY153="SI",VLOOKUP('1.DATOS-PROD'!AY$2,'1.PUNTOS'!$A$1:$B$63,2,0),0)</f>
        <v>0</v>
      </c>
      <c r="AQ152" s="138">
        <f>IF('1.DATOS-PROD'!AZ153="SI",VLOOKUP('1.DATOS-PROD'!AZ$2,'1.PUNTOS'!$A$1:$B$63,2,0),0)</f>
        <v>0</v>
      </c>
      <c r="AR152" s="138">
        <f>IF('1.DATOS-PROD'!BA153="SI",VLOOKUP('1.DATOS-PROD'!BA$2,'1.PUNTOS'!$A$1:$B$63,2,0),0)</f>
        <v>0</v>
      </c>
      <c r="AS152" s="138">
        <f>IF('1.DATOS-PROD'!BB153="SI",VLOOKUP('1.DATOS-PROD'!BB$2,'1.PUNTOS'!$A$1:$B$63,2,0),0)</f>
        <v>0</v>
      </c>
      <c r="AT152" s="138">
        <f>IF('1.DATOS-PROD'!BC153="SI",VLOOKUP('1.DATOS-PROD'!BC$2,'1.PUNTOS'!$A$1:$B$63,2,0),0)</f>
        <v>0</v>
      </c>
      <c r="AU152" s="138">
        <f>IF('1.DATOS-PROD'!BD153="SI",VLOOKUP('1.DATOS-PROD'!BD$2,'1.PUNTOS'!$A$1:$B$63,2,0),0)</f>
        <v>0</v>
      </c>
      <c r="AV152" s="138">
        <f>IF('1.DATOS-PROD'!BE153="SI",VLOOKUP('1.DATOS-PROD'!BE$2,'1.PUNTOS'!$A$1:$B$63,2,0),0)</f>
        <v>0</v>
      </c>
      <c r="AW152" s="138">
        <f>IF('1.DATOS-PROD'!BF153="SI",VLOOKUP('1.DATOS-PROD'!BF$2,'1.PUNTOS'!$A$1:$B$63,2,0),0)</f>
        <v>0</v>
      </c>
      <c r="AX152" s="138">
        <f>IF('1.DATOS-PROD'!BG153="SI",VLOOKUP('1.DATOS-PROD'!BG$2,'1.PUNTOS'!$A$1:$B$63,2,0),0)</f>
        <v>0</v>
      </c>
      <c r="AY152" s="138">
        <f>IF('1.DATOS-PROD'!BH153="SI",VLOOKUP('1.DATOS-PROD'!BH$2,'1.PUNTOS'!$A$1:$B$63,2,0),0)</f>
        <v>0</v>
      </c>
      <c r="AZ152" s="138">
        <f>IF('1.DATOS-PROD'!BI153="SI",VLOOKUP('1.DATOS-PROD'!BI$2,'1.PUNTOS'!$A$1:$B$63,2,0),0)</f>
        <v>0</v>
      </c>
      <c r="BA152" s="138">
        <f>IF('1.DATOS-PROD'!BJ153="SI",VLOOKUP('1.DATOS-PROD'!BJ$2,'1.PUNTOS'!$A$1:$B$63,2,0),0)</f>
        <v>0</v>
      </c>
      <c r="BB152" s="138">
        <f>IF('1.DATOS-PROD'!BK153="SI",VLOOKUP('1.DATOS-PROD'!BK$2,'1.PUNTOS'!$A$1:$B$63,2,0),0)</f>
        <v>0</v>
      </c>
      <c r="BC152" s="138">
        <f>IF('1.DATOS-PROD'!BL153="SI",VLOOKUP('1.DATOS-PROD'!BL$2,'1.PUNTOS'!$A$1:$B$63,2,0),0)</f>
        <v>0</v>
      </c>
      <c r="BD152" s="138">
        <f>IF('1.DATOS-PROD'!BM153="SI",VLOOKUP('1.DATOS-PROD'!BM$2,'1.PUNTOS'!$A$1:$B$63,2,0),0)</f>
        <v>0</v>
      </c>
      <c r="BE152" s="138">
        <f>IF('1.DATOS-PROD'!BN153="SI",VLOOKUP('1.DATOS-PROD'!BN$2,'1.PUNTOS'!$A$1:$B$63,2,0),0)</f>
        <v>0</v>
      </c>
      <c r="BF152" s="138">
        <f>IF('1.DATOS-PROD'!BO153="SI",VLOOKUP('1.DATOS-PROD'!BO$2,'1.PUNTOS'!$A$1:$B$63,2,0),0)</f>
        <v>0</v>
      </c>
      <c r="BG152" s="138">
        <f>IF('1.DATOS-PROD'!BP153="SI",VLOOKUP('1.DATOS-PROD'!BP$2,'1.PUNTOS'!$A$1:$B$63,2,0),0)</f>
        <v>0</v>
      </c>
      <c r="BH152" s="138">
        <f>IF('1.DATOS-PROD'!BQ153="SI",VLOOKUP('1.DATOS-PROD'!BQ$2,'1.PUNTOS'!$A$1:$B$63,2,0),0)</f>
        <v>0</v>
      </c>
      <c r="BI152" s="138">
        <f>IF('1.DATOS-PROD'!BR153="SI",VLOOKUP('1.DATOS-PROD'!BR$2,'1.PUNTOS'!$A$1:$B$63,2,0),0)</f>
        <v>0</v>
      </c>
      <c r="BJ152" s="138">
        <f>IF('1.DATOS-PROD'!BS153="SI",VLOOKUP('1.DATOS-PROD'!BS$2,'1.PUNTOS'!$A$1:$B$63,2,0),0)</f>
        <v>0</v>
      </c>
      <c r="BK152" s="138">
        <f>IF('1.DATOS-PROD'!BT153="SI",VLOOKUP('1.DATOS-PROD'!BT$2,'1.PUNTOS'!$A$1:$B$63,2,0),0)</f>
        <v>0</v>
      </c>
    </row>
    <row r="153" spans="1:63" x14ac:dyDescent="0.25">
      <c r="A153">
        <f>'0.Consolidado general'!$A154</f>
        <v>0</v>
      </c>
      <c r="B153" s="138">
        <f>IF('1.DATOS-PROD'!K154="SI",VLOOKUP('1.DATOS-PROD'!K$2,'1.PUNTOS'!$A$1:$B$63,2,0),0)</f>
        <v>0</v>
      </c>
      <c r="C153" s="138">
        <f>IF('1.DATOS-PROD'!L154="SI",VLOOKUP('1.DATOS-PROD'!L$2,'1.PUNTOS'!$A$1:$B$63,2,0),0)</f>
        <v>0</v>
      </c>
      <c r="D153" s="138">
        <f>IF('1.DATOS-PROD'!M154="SI",VLOOKUP('1.DATOS-PROD'!M$2,'1.PUNTOS'!$A$1:$B$63,2,0),0)</f>
        <v>0</v>
      </c>
      <c r="E153" s="138">
        <f>IF('1.DATOS-PROD'!N154="SI",VLOOKUP('1.DATOS-PROD'!N$2,'1.PUNTOS'!$A$1:$B$63,2,0),0)</f>
        <v>0</v>
      </c>
      <c r="F153" s="138">
        <f>IF('1.DATOS-PROD'!O154="SI",VLOOKUP('1.DATOS-PROD'!O$2,'1.PUNTOS'!$A$1:$B$63,2,0),0)</f>
        <v>0</v>
      </c>
      <c r="G153" s="138">
        <f>IF('1.DATOS-PROD'!P154="SI",VLOOKUP('1.DATOS-PROD'!P$2,'1.PUNTOS'!$A$1:$B$63,2,0),0)</f>
        <v>0</v>
      </c>
      <c r="H153" s="138">
        <f>IF('1.DATOS-PROD'!Q154="SI",VLOOKUP('1.DATOS-PROD'!Q$2,'1.PUNTOS'!$A$1:$B$63,2,0),0)</f>
        <v>0</v>
      </c>
      <c r="I153" s="138">
        <f>IF('1.DATOS-PROD'!R154="SI",VLOOKUP('1.DATOS-PROD'!R$2,'1.PUNTOS'!$A$1:$B$63,2,0),0)</f>
        <v>0</v>
      </c>
      <c r="J153" s="138">
        <f>IF('1.DATOS-PROD'!S154="SI",VLOOKUP('1.DATOS-PROD'!S$2,'1.PUNTOS'!$A$1:$B$63,2,0),0)</f>
        <v>0</v>
      </c>
      <c r="K153" s="138">
        <f>IF('1.DATOS-PROD'!T154="SI",VLOOKUP('1.DATOS-PROD'!T$2,'1.PUNTOS'!$A$1:$B$63,2,0),0)</f>
        <v>0</v>
      </c>
      <c r="L153" s="138">
        <f>IF('1.DATOS-PROD'!U154="SI",VLOOKUP('1.DATOS-PROD'!U$2,'1.PUNTOS'!$A$1:$B$63,2,0),0)</f>
        <v>0</v>
      </c>
      <c r="M153" s="138">
        <f>IF('1.DATOS-PROD'!V154="SI",VLOOKUP('1.DATOS-PROD'!V$2,'1.PUNTOS'!$A$1:$B$63,2,0),0)</f>
        <v>0</v>
      </c>
      <c r="N153" s="138">
        <f>IF('1.DATOS-PROD'!W154="SI",VLOOKUP('1.DATOS-PROD'!W$2,'1.PUNTOS'!$A$1:$B$63,2,0),0)</f>
        <v>0</v>
      </c>
      <c r="O153" s="138">
        <f>IF('1.DATOS-PROD'!X154="SI",VLOOKUP('1.DATOS-PROD'!X$2,'1.PUNTOS'!$A$1:$B$63,2,0),0)</f>
        <v>0</v>
      </c>
      <c r="P153" s="138">
        <f>IF('1.DATOS-PROD'!Y154="SI",VLOOKUP('1.DATOS-PROD'!Y$2,'1.PUNTOS'!$A$1:$B$63,2,0),0)</f>
        <v>0</v>
      </c>
      <c r="Q153" s="138">
        <f>IF('1.DATOS-PROD'!Z154="SI",VLOOKUP('1.DATOS-PROD'!Z$2,'1.PUNTOS'!$A$1:$B$63,2,0),0)</f>
        <v>0</v>
      </c>
      <c r="R153" s="138">
        <f>IF('1.DATOS-PROD'!AA154="SI",VLOOKUP('1.DATOS-PROD'!AA$2,'1.PUNTOS'!$A$1:$B$63,2,0),0)</f>
        <v>0</v>
      </c>
      <c r="S153" s="138">
        <f>IF('1.DATOS-PROD'!AB154="SI",VLOOKUP('1.DATOS-PROD'!AB$2,'1.PUNTOS'!$A$1:$B$63,2,0),0)</f>
        <v>0</v>
      </c>
      <c r="T153" s="138">
        <f>IF('1.DATOS-PROD'!AC154="SI",VLOOKUP('1.DATOS-PROD'!AC$2,'1.PUNTOS'!$A$1:$B$63,2,0),0)</f>
        <v>0</v>
      </c>
      <c r="U153" s="138">
        <f>IF('1.DATOS-PROD'!AD154="SI",VLOOKUP('1.DATOS-PROD'!AD$2,'1.PUNTOS'!$A$1:$B$63,2,0),0)</f>
        <v>0</v>
      </c>
      <c r="V153" s="138">
        <f>IF('1.DATOS-PROD'!AE154="SI",VLOOKUP('1.DATOS-PROD'!AE$2,'1.PUNTOS'!$A$1:$B$63,2,0),0)</f>
        <v>0</v>
      </c>
      <c r="W153" s="138">
        <f>IF('1.DATOS-PROD'!AF154="SI",VLOOKUP('1.DATOS-PROD'!AF$2,'1.PUNTOS'!$A$1:$B$63,2,0),0)</f>
        <v>0</v>
      </c>
      <c r="X153" s="138">
        <f>IF('1.DATOS-PROD'!AG154="SI",VLOOKUP('1.DATOS-PROD'!AG$2,'1.PUNTOS'!$A$1:$B$63,2,0),0)</f>
        <v>0</v>
      </c>
      <c r="Y153" s="138">
        <f>IF('1.DATOS-PROD'!AH154="SI",VLOOKUP('1.DATOS-PROD'!AH$2,'1.PUNTOS'!$A$1:$B$63,2,0),0)</f>
        <v>0</v>
      </c>
      <c r="Z153" s="138">
        <f>IF('1.DATOS-PROD'!AI154="SI",VLOOKUP('1.DATOS-PROD'!AI$2,'1.PUNTOS'!$A$1:$B$63,2,0),0)</f>
        <v>0</v>
      </c>
      <c r="AA153" s="138">
        <f>IF('1.DATOS-PROD'!AJ154="SI",VLOOKUP('1.DATOS-PROD'!AJ$2,'1.PUNTOS'!$A$1:$B$63,2,0),0)</f>
        <v>0</v>
      </c>
      <c r="AB153" s="138">
        <f>IF('1.DATOS-PROD'!AK154="SI",VLOOKUP('1.DATOS-PROD'!AK$2,'1.PUNTOS'!$A$1:$B$63,2,0),0)</f>
        <v>0</v>
      </c>
      <c r="AC153" s="138">
        <f>IF('1.DATOS-PROD'!AL154="SI",VLOOKUP('1.DATOS-PROD'!AL$2,'1.PUNTOS'!$A$1:$B$63,2,0),0)</f>
        <v>0</v>
      </c>
      <c r="AD153" s="138">
        <f>IF('1.DATOS-PROD'!AM154="SI",VLOOKUP('1.DATOS-PROD'!AM$2,'1.PUNTOS'!$A$1:$B$63,2,0),0)</f>
        <v>0</v>
      </c>
      <c r="AE153" s="138">
        <f>IF('1.DATOS-PROD'!AN154="SI",VLOOKUP('1.DATOS-PROD'!AN$2,'1.PUNTOS'!$A$1:$B$63,2,0),0)</f>
        <v>0</v>
      </c>
      <c r="AF153" s="138">
        <f>IF('1.DATOS-PROD'!AO154="SI",VLOOKUP('1.DATOS-PROD'!AO$2,'1.PUNTOS'!$A$1:$B$63,2,0),0)</f>
        <v>0</v>
      </c>
      <c r="AG153" s="138">
        <f>IF('1.DATOS-PROD'!AP154="SI",VLOOKUP('1.DATOS-PROD'!AP$2,'1.PUNTOS'!$A$1:$B$63,2,0),0)</f>
        <v>0</v>
      </c>
      <c r="AH153" s="138">
        <f>IF('1.DATOS-PROD'!AQ154="SI",VLOOKUP('1.DATOS-PROD'!AQ$2,'1.PUNTOS'!$A$1:$B$63,2,0),0)</f>
        <v>0</v>
      </c>
      <c r="AI153" s="138">
        <f>IF('1.DATOS-PROD'!AR154="SI",VLOOKUP('1.DATOS-PROD'!AR$2,'1.PUNTOS'!$A$1:$B$63,2,0),0)</f>
        <v>0</v>
      </c>
      <c r="AJ153" s="138">
        <f>IF('1.DATOS-PROD'!AS154="SI",VLOOKUP('1.DATOS-PROD'!AS$2,'1.PUNTOS'!$A$1:$B$63,2,0),0)</f>
        <v>0</v>
      </c>
      <c r="AK153" s="138">
        <f>IF('1.DATOS-PROD'!AT154="SI",VLOOKUP('1.DATOS-PROD'!AT$2,'1.PUNTOS'!$A$1:$B$63,2,0),0)</f>
        <v>0</v>
      </c>
      <c r="AL153" s="138">
        <f>IF('1.DATOS-PROD'!AU154="SI",VLOOKUP('1.DATOS-PROD'!AU$2,'1.PUNTOS'!$A$1:$B$63,2,0),0)</f>
        <v>0</v>
      </c>
      <c r="AM153" s="138">
        <f>IF('1.DATOS-PROD'!AV154="SI",VLOOKUP('1.DATOS-PROD'!AV$2,'1.PUNTOS'!$A$1:$B$63,2,0),0)</f>
        <v>0</v>
      </c>
      <c r="AN153" s="138">
        <f>IF('1.DATOS-PROD'!AW154="SI",VLOOKUP('1.DATOS-PROD'!AW$2,'1.PUNTOS'!$A$1:$B$63,2,0),0)</f>
        <v>0</v>
      </c>
      <c r="AO153" s="138">
        <f>IF('1.DATOS-PROD'!AX154="SI",VLOOKUP('1.DATOS-PROD'!AX$2,'1.PUNTOS'!$A$1:$B$63,2,0),0)</f>
        <v>0</v>
      </c>
      <c r="AP153" s="138">
        <f>IF('1.DATOS-PROD'!AY154="SI",VLOOKUP('1.DATOS-PROD'!AY$2,'1.PUNTOS'!$A$1:$B$63,2,0),0)</f>
        <v>0</v>
      </c>
      <c r="AQ153" s="138">
        <f>IF('1.DATOS-PROD'!AZ154="SI",VLOOKUP('1.DATOS-PROD'!AZ$2,'1.PUNTOS'!$A$1:$B$63,2,0),0)</f>
        <v>0</v>
      </c>
      <c r="AR153" s="138">
        <f>IF('1.DATOS-PROD'!BA154="SI",VLOOKUP('1.DATOS-PROD'!BA$2,'1.PUNTOS'!$A$1:$B$63,2,0),0)</f>
        <v>0</v>
      </c>
      <c r="AS153" s="138">
        <f>IF('1.DATOS-PROD'!BB154="SI",VLOOKUP('1.DATOS-PROD'!BB$2,'1.PUNTOS'!$A$1:$B$63,2,0),0)</f>
        <v>0</v>
      </c>
      <c r="AT153" s="138">
        <f>IF('1.DATOS-PROD'!BC154="SI",VLOOKUP('1.DATOS-PROD'!BC$2,'1.PUNTOS'!$A$1:$B$63,2,0),0)</f>
        <v>0</v>
      </c>
      <c r="AU153" s="138">
        <f>IF('1.DATOS-PROD'!BD154="SI",VLOOKUP('1.DATOS-PROD'!BD$2,'1.PUNTOS'!$A$1:$B$63,2,0),0)</f>
        <v>0</v>
      </c>
      <c r="AV153" s="138">
        <f>IF('1.DATOS-PROD'!BE154="SI",VLOOKUP('1.DATOS-PROD'!BE$2,'1.PUNTOS'!$A$1:$B$63,2,0),0)</f>
        <v>0</v>
      </c>
      <c r="AW153" s="138">
        <f>IF('1.DATOS-PROD'!BF154="SI",VLOOKUP('1.DATOS-PROD'!BF$2,'1.PUNTOS'!$A$1:$B$63,2,0),0)</f>
        <v>0</v>
      </c>
      <c r="AX153" s="138">
        <f>IF('1.DATOS-PROD'!BG154="SI",VLOOKUP('1.DATOS-PROD'!BG$2,'1.PUNTOS'!$A$1:$B$63,2,0),0)</f>
        <v>0</v>
      </c>
      <c r="AY153" s="138">
        <f>IF('1.DATOS-PROD'!BH154="SI",VLOOKUP('1.DATOS-PROD'!BH$2,'1.PUNTOS'!$A$1:$B$63,2,0),0)</f>
        <v>0</v>
      </c>
      <c r="AZ153" s="138">
        <f>IF('1.DATOS-PROD'!BI154="SI",VLOOKUP('1.DATOS-PROD'!BI$2,'1.PUNTOS'!$A$1:$B$63,2,0),0)</f>
        <v>0</v>
      </c>
      <c r="BA153" s="138">
        <f>IF('1.DATOS-PROD'!BJ154="SI",VLOOKUP('1.DATOS-PROD'!BJ$2,'1.PUNTOS'!$A$1:$B$63,2,0),0)</f>
        <v>0</v>
      </c>
      <c r="BB153" s="138">
        <f>IF('1.DATOS-PROD'!BK154="SI",VLOOKUP('1.DATOS-PROD'!BK$2,'1.PUNTOS'!$A$1:$B$63,2,0),0)</f>
        <v>0</v>
      </c>
      <c r="BC153" s="138">
        <f>IF('1.DATOS-PROD'!BL154="SI",VLOOKUP('1.DATOS-PROD'!BL$2,'1.PUNTOS'!$A$1:$B$63,2,0),0)</f>
        <v>0</v>
      </c>
      <c r="BD153" s="138">
        <f>IF('1.DATOS-PROD'!BM154="SI",VLOOKUP('1.DATOS-PROD'!BM$2,'1.PUNTOS'!$A$1:$B$63,2,0),0)</f>
        <v>0</v>
      </c>
      <c r="BE153" s="138">
        <f>IF('1.DATOS-PROD'!BN154="SI",VLOOKUP('1.DATOS-PROD'!BN$2,'1.PUNTOS'!$A$1:$B$63,2,0),0)</f>
        <v>0</v>
      </c>
      <c r="BF153" s="138">
        <f>IF('1.DATOS-PROD'!BO154="SI",VLOOKUP('1.DATOS-PROD'!BO$2,'1.PUNTOS'!$A$1:$B$63,2,0),0)</f>
        <v>0</v>
      </c>
      <c r="BG153" s="138">
        <f>IF('1.DATOS-PROD'!BP154="SI",VLOOKUP('1.DATOS-PROD'!BP$2,'1.PUNTOS'!$A$1:$B$63,2,0),0)</f>
        <v>0</v>
      </c>
      <c r="BH153" s="138">
        <f>IF('1.DATOS-PROD'!BQ154="SI",VLOOKUP('1.DATOS-PROD'!BQ$2,'1.PUNTOS'!$A$1:$B$63,2,0),0)</f>
        <v>0</v>
      </c>
      <c r="BI153" s="138">
        <f>IF('1.DATOS-PROD'!BR154="SI",VLOOKUP('1.DATOS-PROD'!BR$2,'1.PUNTOS'!$A$1:$B$63,2,0),0)</f>
        <v>0</v>
      </c>
      <c r="BJ153" s="138">
        <f>IF('1.DATOS-PROD'!BS154="SI",VLOOKUP('1.DATOS-PROD'!BS$2,'1.PUNTOS'!$A$1:$B$63,2,0),0)</f>
        <v>0</v>
      </c>
      <c r="BK153" s="138">
        <f>IF('1.DATOS-PROD'!BT154="SI",VLOOKUP('1.DATOS-PROD'!BT$2,'1.PUNTOS'!$A$1:$B$63,2,0),0)</f>
        <v>0</v>
      </c>
    </row>
    <row r="154" spans="1:63" x14ac:dyDescent="0.25">
      <c r="A154">
        <f>'0.Consolidado general'!$A155</f>
        <v>0</v>
      </c>
      <c r="B154" s="138">
        <f>IF('1.DATOS-PROD'!K155="SI",VLOOKUP('1.DATOS-PROD'!K$2,'1.PUNTOS'!$A$1:$B$63,2,0),0)</f>
        <v>0</v>
      </c>
      <c r="C154" s="138">
        <f>IF('1.DATOS-PROD'!L155="SI",VLOOKUP('1.DATOS-PROD'!L$2,'1.PUNTOS'!$A$1:$B$63,2,0),0)</f>
        <v>0</v>
      </c>
      <c r="D154" s="138">
        <f>IF('1.DATOS-PROD'!M155="SI",VLOOKUP('1.DATOS-PROD'!M$2,'1.PUNTOS'!$A$1:$B$63,2,0),0)</f>
        <v>0</v>
      </c>
      <c r="E154" s="138">
        <f>IF('1.DATOS-PROD'!N155="SI",VLOOKUP('1.DATOS-PROD'!N$2,'1.PUNTOS'!$A$1:$B$63,2,0),0)</f>
        <v>0</v>
      </c>
      <c r="F154" s="138">
        <f>IF('1.DATOS-PROD'!O155="SI",VLOOKUP('1.DATOS-PROD'!O$2,'1.PUNTOS'!$A$1:$B$63,2,0),0)</f>
        <v>0</v>
      </c>
      <c r="G154" s="138">
        <f>IF('1.DATOS-PROD'!P155="SI",VLOOKUP('1.DATOS-PROD'!P$2,'1.PUNTOS'!$A$1:$B$63,2,0),0)</f>
        <v>0</v>
      </c>
      <c r="H154" s="138">
        <f>IF('1.DATOS-PROD'!Q155="SI",VLOOKUP('1.DATOS-PROD'!Q$2,'1.PUNTOS'!$A$1:$B$63,2,0),0)</f>
        <v>0</v>
      </c>
      <c r="I154" s="138">
        <f>IF('1.DATOS-PROD'!R155="SI",VLOOKUP('1.DATOS-PROD'!R$2,'1.PUNTOS'!$A$1:$B$63,2,0),0)</f>
        <v>0</v>
      </c>
      <c r="J154" s="138">
        <f>IF('1.DATOS-PROD'!S155="SI",VLOOKUP('1.DATOS-PROD'!S$2,'1.PUNTOS'!$A$1:$B$63,2,0),0)</f>
        <v>0</v>
      </c>
      <c r="K154" s="138">
        <f>IF('1.DATOS-PROD'!T155="SI",VLOOKUP('1.DATOS-PROD'!T$2,'1.PUNTOS'!$A$1:$B$63,2,0),0)</f>
        <v>0</v>
      </c>
      <c r="L154" s="138">
        <f>IF('1.DATOS-PROD'!U155="SI",VLOOKUP('1.DATOS-PROD'!U$2,'1.PUNTOS'!$A$1:$B$63,2,0),0)</f>
        <v>0</v>
      </c>
      <c r="M154" s="138">
        <f>IF('1.DATOS-PROD'!V155="SI",VLOOKUP('1.DATOS-PROD'!V$2,'1.PUNTOS'!$A$1:$B$63,2,0),0)</f>
        <v>0</v>
      </c>
      <c r="N154" s="138">
        <f>IF('1.DATOS-PROD'!W155="SI",VLOOKUP('1.DATOS-PROD'!W$2,'1.PUNTOS'!$A$1:$B$63,2,0),0)</f>
        <v>0</v>
      </c>
      <c r="O154" s="138">
        <f>IF('1.DATOS-PROD'!X155="SI",VLOOKUP('1.DATOS-PROD'!X$2,'1.PUNTOS'!$A$1:$B$63,2,0),0)</f>
        <v>0</v>
      </c>
      <c r="P154" s="138">
        <f>IF('1.DATOS-PROD'!Y155="SI",VLOOKUP('1.DATOS-PROD'!Y$2,'1.PUNTOS'!$A$1:$B$63,2,0),0)</f>
        <v>0</v>
      </c>
      <c r="Q154" s="138">
        <f>IF('1.DATOS-PROD'!Z155="SI",VLOOKUP('1.DATOS-PROD'!Z$2,'1.PUNTOS'!$A$1:$B$63,2,0),0)</f>
        <v>0</v>
      </c>
      <c r="R154" s="138">
        <f>IF('1.DATOS-PROD'!AA155="SI",VLOOKUP('1.DATOS-PROD'!AA$2,'1.PUNTOS'!$A$1:$B$63,2,0),0)</f>
        <v>0</v>
      </c>
      <c r="S154" s="138">
        <f>IF('1.DATOS-PROD'!AB155="SI",VLOOKUP('1.DATOS-PROD'!AB$2,'1.PUNTOS'!$A$1:$B$63,2,0),0)</f>
        <v>0</v>
      </c>
      <c r="T154" s="138">
        <f>IF('1.DATOS-PROD'!AC155="SI",VLOOKUP('1.DATOS-PROD'!AC$2,'1.PUNTOS'!$A$1:$B$63,2,0),0)</f>
        <v>0</v>
      </c>
      <c r="U154" s="138">
        <f>IF('1.DATOS-PROD'!AD155="SI",VLOOKUP('1.DATOS-PROD'!AD$2,'1.PUNTOS'!$A$1:$B$63,2,0),0)</f>
        <v>0</v>
      </c>
      <c r="V154" s="138">
        <f>IF('1.DATOS-PROD'!AE155="SI",VLOOKUP('1.DATOS-PROD'!AE$2,'1.PUNTOS'!$A$1:$B$63,2,0),0)</f>
        <v>0</v>
      </c>
      <c r="W154" s="138">
        <f>IF('1.DATOS-PROD'!AF155="SI",VLOOKUP('1.DATOS-PROD'!AF$2,'1.PUNTOS'!$A$1:$B$63,2,0),0)</f>
        <v>0</v>
      </c>
      <c r="X154" s="138">
        <f>IF('1.DATOS-PROD'!AG155="SI",VLOOKUP('1.DATOS-PROD'!AG$2,'1.PUNTOS'!$A$1:$B$63,2,0),0)</f>
        <v>0</v>
      </c>
      <c r="Y154" s="138">
        <f>IF('1.DATOS-PROD'!AH155="SI",VLOOKUP('1.DATOS-PROD'!AH$2,'1.PUNTOS'!$A$1:$B$63,2,0),0)</f>
        <v>0</v>
      </c>
      <c r="Z154" s="138">
        <f>IF('1.DATOS-PROD'!AI155="SI",VLOOKUP('1.DATOS-PROD'!AI$2,'1.PUNTOS'!$A$1:$B$63,2,0),0)</f>
        <v>0</v>
      </c>
      <c r="AA154" s="138">
        <f>IF('1.DATOS-PROD'!AJ155="SI",VLOOKUP('1.DATOS-PROD'!AJ$2,'1.PUNTOS'!$A$1:$B$63,2,0),0)</f>
        <v>0</v>
      </c>
      <c r="AB154" s="138">
        <f>IF('1.DATOS-PROD'!AK155="SI",VLOOKUP('1.DATOS-PROD'!AK$2,'1.PUNTOS'!$A$1:$B$63,2,0),0)</f>
        <v>0</v>
      </c>
      <c r="AC154" s="138">
        <f>IF('1.DATOS-PROD'!AL155="SI",VLOOKUP('1.DATOS-PROD'!AL$2,'1.PUNTOS'!$A$1:$B$63,2,0),0)</f>
        <v>0</v>
      </c>
      <c r="AD154" s="138">
        <f>IF('1.DATOS-PROD'!AM155="SI",VLOOKUP('1.DATOS-PROD'!AM$2,'1.PUNTOS'!$A$1:$B$63,2,0),0)</f>
        <v>0</v>
      </c>
      <c r="AE154" s="138">
        <f>IF('1.DATOS-PROD'!AN155="SI",VLOOKUP('1.DATOS-PROD'!AN$2,'1.PUNTOS'!$A$1:$B$63,2,0),0)</f>
        <v>0</v>
      </c>
      <c r="AF154" s="138">
        <f>IF('1.DATOS-PROD'!AO155="SI",VLOOKUP('1.DATOS-PROD'!AO$2,'1.PUNTOS'!$A$1:$B$63,2,0),0)</f>
        <v>0</v>
      </c>
      <c r="AG154" s="138">
        <f>IF('1.DATOS-PROD'!AP155="SI",VLOOKUP('1.DATOS-PROD'!AP$2,'1.PUNTOS'!$A$1:$B$63,2,0),0)</f>
        <v>0</v>
      </c>
      <c r="AH154" s="138">
        <f>IF('1.DATOS-PROD'!AQ155="SI",VLOOKUP('1.DATOS-PROD'!AQ$2,'1.PUNTOS'!$A$1:$B$63,2,0),0)</f>
        <v>0</v>
      </c>
      <c r="AI154" s="138">
        <f>IF('1.DATOS-PROD'!AR155="SI",VLOOKUP('1.DATOS-PROD'!AR$2,'1.PUNTOS'!$A$1:$B$63,2,0),0)</f>
        <v>0</v>
      </c>
      <c r="AJ154" s="138">
        <f>IF('1.DATOS-PROD'!AS155="SI",VLOOKUP('1.DATOS-PROD'!AS$2,'1.PUNTOS'!$A$1:$B$63,2,0),0)</f>
        <v>0</v>
      </c>
      <c r="AK154" s="138">
        <f>IF('1.DATOS-PROD'!AT155="SI",VLOOKUP('1.DATOS-PROD'!AT$2,'1.PUNTOS'!$A$1:$B$63,2,0),0)</f>
        <v>0</v>
      </c>
      <c r="AL154" s="138">
        <f>IF('1.DATOS-PROD'!AU155="SI",VLOOKUP('1.DATOS-PROD'!AU$2,'1.PUNTOS'!$A$1:$B$63,2,0),0)</f>
        <v>0</v>
      </c>
      <c r="AM154" s="138">
        <f>IF('1.DATOS-PROD'!AV155="SI",VLOOKUP('1.DATOS-PROD'!AV$2,'1.PUNTOS'!$A$1:$B$63,2,0),0)</f>
        <v>0</v>
      </c>
      <c r="AN154" s="138">
        <f>IF('1.DATOS-PROD'!AW155="SI",VLOOKUP('1.DATOS-PROD'!AW$2,'1.PUNTOS'!$A$1:$B$63,2,0),0)</f>
        <v>0</v>
      </c>
      <c r="AO154" s="138">
        <f>IF('1.DATOS-PROD'!AX155="SI",VLOOKUP('1.DATOS-PROD'!AX$2,'1.PUNTOS'!$A$1:$B$63,2,0),0)</f>
        <v>0</v>
      </c>
      <c r="AP154" s="138">
        <f>IF('1.DATOS-PROD'!AY155="SI",VLOOKUP('1.DATOS-PROD'!AY$2,'1.PUNTOS'!$A$1:$B$63,2,0),0)</f>
        <v>0</v>
      </c>
      <c r="AQ154" s="138">
        <f>IF('1.DATOS-PROD'!AZ155="SI",VLOOKUP('1.DATOS-PROD'!AZ$2,'1.PUNTOS'!$A$1:$B$63,2,0),0)</f>
        <v>0</v>
      </c>
      <c r="AR154" s="138">
        <f>IF('1.DATOS-PROD'!BA155="SI",VLOOKUP('1.DATOS-PROD'!BA$2,'1.PUNTOS'!$A$1:$B$63,2,0),0)</f>
        <v>0</v>
      </c>
      <c r="AS154" s="138">
        <f>IF('1.DATOS-PROD'!BB155="SI",VLOOKUP('1.DATOS-PROD'!BB$2,'1.PUNTOS'!$A$1:$B$63,2,0),0)</f>
        <v>0</v>
      </c>
      <c r="AT154" s="138">
        <f>IF('1.DATOS-PROD'!BC155="SI",VLOOKUP('1.DATOS-PROD'!BC$2,'1.PUNTOS'!$A$1:$B$63,2,0),0)</f>
        <v>0</v>
      </c>
      <c r="AU154" s="138">
        <f>IF('1.DATOS-PROD'!BD155="SI",VLOOKUP('1.DATOS-PROD'!BD$2,'1.PUNTOS'!$A$1:$B$63,2,0),0)</f>
        <v>0</v>
      </c>
      <c r="AV154" s="138">
        <f>IF('1.DATOS-PROD'!BE155="SI",VLOOKUP('1.DATOS-PROD'!BE$2,'1.PUNTOS'!$A$1:$B$63,2,0),0)</f>
        <v>0</v>
      </c>
      <c r="AW154" s="138">
        <f>IF('1.DATOS-PROD'!BF155="SI",VLOOKUP('1.DATOS-PROD'!BF$2,'1.PUNTOS'!$A$1:$B$63,2,0),0)</f>
        <v>0</v>
      </c>
      <c r="AX154" s="138">
        <f>IF('1.DATOS-PROD'!BG155="SI",VLOOKUP('1.DATOS-PROD'!BG$2,'1.PUNTOS'!$A$1:$B$63,2,0),0)</f>
        <v>0</v>
      </c>
      <c r="AY154" s="138">
        <f>IF('1.DATOS-PROD'!BH155="SI",VLOOKUP('1.DATOS-PROD'!BH$2,'1.PUNTOS'!$A$1:$B$63,2,0),0)</f>
        <v>0</v>
      </c>
      <c r="AZ154" s="138">
        <f>IF('1.DATOS-PROD'!BI155="SI",VLOOKUP('1.DATOS-PROD'!BI$2,'1.PUNTOS'!$A$1:$B$63,2,0),0)</f>
        <v>0</v>
      </c>
      <c r="BA154" s="138">
        <f>IF('1.DATOS-PROD'!BJ155="SI",VLOOKUP('1.DATOS-PROD'!BJ$2,'1.PUNTOS'!$A$1:$B$63,2,0),0)</f>
        <v>0</v>
      </c>
      <c r="BB154" s="138">
        <f>IF('1.DATOS-PROD'!BK155="SI",VLOOKUP('1.DATOS-PROD'!BK$2,'1.PUNTOS'!$A$1:$B$63,2,0),0)</f>
        <v>0</v>
      </c>
      <c r="BC154" s="138">
        <f>IF('1.DATOS-PROD'!BL155="SI",VLOOKUP('1.DATOS-PROD'!BL$2,'1.PUNTOS'!$A$1:$B$63,2,0),0)</f>
        <v>0</v>
      </c>
      <c r="BD154" s="138">
        <f>IF('1.DATOS-PROD'!BM155="SI",VLOOKUP('1.DATOS-PROD'!BM$2,'1.PUNTOS'!$A$1:$B$63,2,0),0)</f>
        <v>0</v>
      </c>
      <c r="BE154" s="138">
        <f>IF('1.DATOS-PROD'!BN155="SI",VLOOKUP('1.DATOS-PROD'!BN$2,'1.PUNTOS'!$A$1:$B$63,2,0),0)</f>
        <v>0</v>
      </c>
      <c r="BF154" s="138">
        <f>IF('1.DATOS-PROD'!BO155="SI",VLOOKUP('1.DATOS-PROD'!BO$2,'1.PUNTOS'!$A$1:$B$63,2,0),0)</f>
        <v>0</v>
      </c>
      <c r="BG154" s="138">
        <f>IF('1.DATOS-PROD'!BP155="SI",VLOOKUP('1.DATOS-PROD'!BP$2,'1.PUNTOS'!$A$1:$B$63,2,0),0)</f>
        <v>0</v>
      </c>
      <c r="BH154" s="138">
        <f>IF('1.DATOS-PROD'!BQ155="SI",VLOOKUP('1.DATOS-PROD'!BQ$2,'1.PUNTOS'!$A$1:$B$63,2,0),0)</f>
        <v>0</v>
      </c>
      <c r="BI154" s="138">
        <f>IF('1.DATOS-PROD'!BR155="SI",VLOOKUP('1.DATOS-PROD'!BR$2,'1.PUNTOS'!$A$1:$B$63,2,0),0)</f>
        <v>0</v>
      </c>
      <c r="BJ154" s="138">
        <f>IF('1.DATOS-PROD'!BS155="SI",VLOOKUP('1.DATOS-PROD'!BS$2,'1.PUNTOS'!$A$1:$B$63,2,0),0)</f>
        <v>0</v>
      </c>
      <c r="BK154" s="138">
        <f>IF('1.DATOS-PROD'!BT155="SI",VLOOKUP('1.DATOS-PROD'!BT$2,'1.PUNTOS'!$A$1:$B$63,2,0),0)</f>
        <v>0</v>
      </c>
    </row>
    <row r="155" spans="1:63" x14ac:dyDescent="0.25">
      <c r="A155">
        <f>'0.Consolidado general'!$A156</f>
        <v>0</v>
      </c>
      <c r="B155" s="138">
        <f>IF('1.DATOS-PROD'!K156="SI",VLOOKUP('1.DATOS-PROD'!K$2,'1.PUNTOS'!$A$1:$B$63,2,0),0)</f>
        <v>0</v>
      </c>
      <c r="C155" s="138">
        <f>IF('1.DATOS-PROD'!L156="SI",VLOOKUP('1.DATOS-PROD'!L$2,'1.PUNTOS'!$A$1:$B$63,2,0),0)</f>
        <v>0</v>
      </c>
      <c r="D155" s="138">
        <f>IF('1.DATOS-PROD'!M156="SI",VLOOKUP('1.DATOS-PROD'!M$2,'1.PUNTOS'!$A$1:$B$63,2,0),0)</f>
        <v>0</v>
      </c>
      <c r="E155" s="138">
        <f>IF('1.DATOS-PROD'!N156="SI",VLOOKUP('1.DATOS-PROD'!N$2,'1.PUNTOS'!$A$1:$B$63,2,0),0)</f>
        <v>0</v>
      </c>
      <c r="F155" s="138">
        <f>IF('1.DATOS-PROD'!O156="SI",VLOOKUP('1.DATOS-PROD'!O$2,'1.PUNTOS'!$A$1:$B$63,2,0),0)</f>
        <v>0</v>
      </c>
      <c r="G155" s="138">
        <f>IF('1.DATOS-PROD'!P156="SI",VLOOKUP('1.DATOS-PROD'!P$2,'1.PUNTOS'!$A$1:$B$63,2,0),0)</f>
        <v>0</v>
      </c>
      <c r="H155" s="138">
        <f>IF('1.DATOS-PROD'!Q156="SI",VLOOKUP('1.DATOS-PROD'!Q$2,'1.PUNTOS'!$A$1:$B$63,2,0),0)</f>
        <v>0</v>
      </c>
      <c r="I155" s="138">
        <f>IF('1.DATOS-PROD'!R156="SI",VLOOKUP('1.DATOS-PROD'!R$2,'1.PUNTOS'!$A$1:$B$63,2,0),0)</f>
        <v>0</v>
      </c>
      <c r="J155" s="138">
        <f>IF('1.DATOS-PROD'!S156="SI",VLOOKUP('1.DATOS-PROD'!S$2,'1.PUNTOS'!$A$1:$B$63,2,0),0)</f>
        <v>0</v>
      </c>
      <c r="K155" s="138">
        <f>IF('1.DATOS-PROD'!T156="SI",VLOOKUP('1.DATOS-PROD'!T$2,'1.PUNTOS'!$A$1:$B$63,2,0),0)</f>
        <v>0</v>
      </c>
      <c r="L155" s="138">
        <f>IF('1.DATOS-PROD'!U156="SI",VLOOKUP('1.DATOS-PROD'!U$2,'1.PUNTOS'!$A$1:$B$63,2,0),0)</f>
        <v>0</v>
      </c>
      <c r="M155" s="138">
        <f>IF('1.DATOS-PROD'!V156="SI",VLOOKUP('1.DATOS-PROD'!V$2,'1.PUNTOS'!$A$1:$B$63,2,0),0)</f>
        <v>0</v>
      </c>
      <c r="N155" s="138">
        <f>IF('1.DATOS-PROD'!W156="SI",VLOOKUP('1.DATOS-PROD'!W$2,'1.PUNTOS'!$A$1:$B$63,2,0),0)</f>
        <v>0</v>
      </c>
      <c r="O155" s="138">
        <f>IF('1.DATOS-PROD'!X156="SI",VLOOKUP('1.DATOS-PROD'!X$2,'1.PUNTOS'!$A$1:$B$63,2,0),0)</f>
        <v>0</v>
      </c>
      <c r="P155" s="138">
        <f>IF('1.DATOS-PROD'!Y156="SI",VLOOKUP('1.DATOS-PROD'!Y$2,'1.PUNTOS'!$A$1:$B$63,2,0),0)</f>
        <v>0</v>
      </c>
      <c r="Q155" s="138">
        <f>IF('1.DATOS-PROD'!Z156="SI",VLOOKUP('1.DATOS-PROD'!Z$2,'1.PUNTOS'!$A$1:$B$63,2,0),0)</f>
        <v>0</v>
      </c>
      <c r="R155" s="138">
        <f>IF('1.DATOS-PROD'!AA156="SI",VLOOKUP('1.DATOS-PROD'!AA$2,'1.PUNTOS'!$A$1:$B$63,2,0),0)</f>
        <v>0</v>
      </c>
      <c r="S155" s="138">
        <f>IF('1.DATOS-PROD'!AB156="SI",VLOOKUP('1.DATOS-PROD'!AB$2,'1.PUNTOS'!$A$1:$B$63,2,0),0)</f>
        <v>0</v>
      </c>
      <c r="T155" s="138">
        <f>IF('1.DATOS-PROD'!AC156="SI",VLOOKUP('1.DATOS-PROD'!AC$2,'1.PUNTOS'!$A$1:$B$63,2,0),0)</f>
        <v>0</v>
      </c>
      <c r="U155" s="138">
        <f>IF('1.DATOS-PROD'!AD156="SI",VLOOKUP('1.DATOS-PROD'!AD$2,'1.PUNTOS'!$A$1:$B$63,2,0),0)</f>
        <v>0</v>
      </c>
      <c r="V155" s="138">
        <f>IF('1.DATOS-PROD'!AE156="SI",VLOOKUP('1.DATOS-PROD'!AE$2,'1.PUNTOS'!$A$1:$B$63,2,0),0)</f>
        <v>0</v>
      </c>
      <c r="W155" s="138">
        <f>IF('1.DATOS-PROD'!AF156="SI",VLOOKUP('1.DATOS-PROD'!AF$2,'1.PUNTOS'!$A$1:$B$63,2,0),0)</f>
        <v>0</v>
      </c>
      <c r="X155" s="138">
        <f>IF('1.DATOS-PROD'!AG156="SI",VLOOKUP('1.DATOS-PROD'!AG$2,'1.PUNTOS'!$A$1:$B$63,2,0),0)</f>
        <v>0</v>
      </c>
      <c r="Y155" s="138">
        <f>IF('1.DATOS-PROD'!AH156="SI",VLOOKUP('1.DATOS-PROD'!AH$2,'1.PUNTOS'!$A$1:$B$63,2,0),0)</f>
        <v>0</v>
      </c>
      <c r="Z155" s="138">
        <f>IF('1.DATOS-PROD'!AI156="SI",VLOOKUP('1.DATOS-PROD'!AI$2,'1.PUNTOS'!$A$1:$B$63,2,0),0)</f>
        <v>0</v>
      </c>
      <c r="AA155" s="138">
        <f>IF('1.DATOS-PROD'!AJ156="SI",VLOOKUP('1.DATOS-PROD'!AJ$2,'1.PUNTOS'!$A$1:$B$63,2,0),0)</f>
        <v>0</v>
      </c>
      <c r="AB155" s="138">
        <f>IF('1.DATOS-PROD'!AK156="SI",VLOOKUP('1.DATOS-PROD'!AK$2,'1.PUNTOS'!$A$1:$B$63,2,0),0)</f>
        <v>0</v>
      </c>
      <c r="AC155" s="138">
        <f>IF('1.DATOS-PROD'!AL156="SI",VLOOKUP('1.DATOS-PROD'!AL$2,'1.PUNTOS'!$A$1:$B$63,2,0),0)</f>
        <v>0</v>
      </c>
      <c r="AD155" s="138">
        <f>IF('1.DATOS-PROD'!AM156="SI",VLOOKUP('1.DATOS-PROD'!AM$2,'1.PUNTOS'!$A$1:$B$63,2,0),0)</f>
        <v>0</v>
      </c>
      <c r="AE155" s="138">
        <f>IF('1.DATOS-PROD'!AN156="SI",VLOOKUP('1.DATOS-PROD'!AN$2,'1.PUNTOS'!$A$1:$B$63,2,0),0)</f>
        <v>0</v>
      </c>
      <c r="AF155" s="138">
        <f>IF('1.DATOS-PROD'!AO156="SI",VLOOKUP('1.DATOS-PROD'!AO$2,'1.PUNTOS'!$A$1:$B$63,2,0),0)</f>
        <v>0</v>
      </c>
      <c r="AG155" s="138">
        <f>IF('1.DATOS-PROD'!AP156="SI",VLOOKUP('1.DATOS-PROD'!AP$2,'1.PUNTOS'!$A$1:$B$63,2,0),0)</f>
        <v>0</v>
      </c>
      <c r="AH155" s="138">
        <f>IF('1.DATOS-PROD'!AQ156="SI",VLOOKUP('1.DATOS-PROD'!AQ$2,'1.PUNTOS'!$A$1:$B$63,2,0),0)</f>
        <v>0</v>
      </c>
      <c r="AI155" s="138">
        <f>IF('1.DATOS-PROD'!AR156="SI",VLOOKUP('1.DATOS-PROD'!AR$2,'1.PUNTOS'!$A$1:$B$63,2,0),0)</f>
        <v>0</v>
      </c>
      <c r="AJ155" s="138">
        <f>IF('1.DATOS-PROD'!AS156="SI",VLOOKUP('1.DATOS-PROD'!AS$2,'1.PUNTOS'!$A$1:$B$63,2,0),0)</f>
        <v>0</v>
      </c>
      <c r="AK155" s="138">
        <f>IF('1.DATOS-PROD'!AT156="SI",VLOOKUP('1.DATOS-PROD'!AT$2,'1.PUNTOS'!$A$1:$B$63,2,0),0)</f>
        <v>0</v>
      </c>
      <c r="AL155" s="138">
        <f>IF('1.DATOS-PROD'!AU156="SI",VLOOKUP('1.DATOS-PROD'!AU$2,'1.PUNTOS'!$A$1:$B$63,2,0),0)</f>
        <v>0</v>
      </c>
      <c r="AM155" s="138">
        <f>IF('1.DATOS-PROD'!AV156="SI",VLOOKUP('1.DATOS-PROD'!AV$2,'1.PUNTOS'!$A$1:$B$63,2,0),0)</f>
        <v>0</v>
      </c>
      <c r="AN155" s="138">
        <f>IF('1.DATOS-PROD'!AW156="SI",VLOOKUP('1.DATOS-PROD'!AW$2,'1.PUNTOS'!$A$1:$B$63,2,0),0)</f>
        <v>0</v>
      </c>
      <c r="AO155" s="138">
        <f>IF('1.DATOS-PROD'!AX156="SI",VLOOKUP('1.DATOS-PROD'!AX$2,'1.PUNTOS'!$A$1:$B$63,2,0),0)</f>
        <v>0</v>
      </c>
      <c r="AP155" s="138">
        <f>IF('1.DATOS-PROD'!AY156="SI",VLOOKUP('1.DATOS-PROD'!AY$2,'1.PUNTOS'!$A$1:$B$63,2,0),0)</f>
        <v>0</v>
      </c>
      <c r="AQ155" s="138">
        <f>IF('1.DATOS-PROD'!AZ156="SI",VLOOKUP('1.DATOS-PROD'!AZ$2,'1.PUNTOS'!$A$1:$B$63,2,0),0)</f>
        <v>0</v>
      </c>
      <c r="AR155" s="138">
        <f>IF('1.DATOS-PROD'!BA156="SI",VLOOKUP('1.DATOS-PROD'!BA$2,'1.PUNTOS'!$A$1:$B$63,2,0),0)</f>
        <v>0</v>
      </c>
      <c r="AS155" s="138">
        <f>IF('1.DATOS-PROD'!BB156="SI",VLOOKUP('1.DATOS-PROD'!BB$2,'1.PUNTOS'!$A$1:$B$63,2,0),0)</f>
        <v>0</v>
      </c>
      <c r="AT155" s="138">
        <f>IF('1.DATOS-PROD'!BC156="SI",VLOOKUP('1.DATOS-PROD'!BC$2,'1.PUNTOS'!$A$1:$B$63,2,0),0)</f>
        <v>0</v>
      </c>
      <c r="AU155" s="138">
        <f>IF('1.DATOS-PROD'!BD156="SI",VLOOKUP('1.DATOS-PROD'!BD$2,'1.PUNTOS'!$A$1:$B$63,2,0),0)</f>
        <v>0</v>
      </c>
      <c r="AV155" s="138">
        <f>IF('1.DATOS-PROD'!BE156="SI",VLOOKUP('1.DATOS-PROD'!BE$2,'1.PUNTOS'!$A$1:$B$63,2,0),0)</f>
        <v>0</v>
      </c>
      <c r="AW155" s="138">
        <f>IF('1.DATOS-PROD'!BF156="SI",VLOOKUP('1.DATOS-PROD'!BF$2,'1.PUNTOS'!$A$1:$B$63,2,0),0)</f>
        <v>0</v>
      </c>
      <c r="AX155" s="138">
        <f>IF('1.DATOS-PROD'!BG156="SI",VLOOKUP('1.DATOS-PROD'!BG$2,'1.PUNTOS'!$A$1:$B$63,2,0),0)</f>
        <v>0</v>
      </c>
      <c r="AY155" s="138">
        <f>IF('1.DATOS-PROD'!BH156="SI",VLOOKUP('1.DATOS-PROD'!BH$2,'1.PUNTOS'!$A$1:$B$63,2,0),0)</f>
        <v>0</v>
      </c>
      <c r="AZ155" s="138">
        <f>IF('1.DATOS-PROD'!BI156="SI",VLOOKUP('1.DATOS-PROD'!BI$2,'1.PUNTOS'!$A$1:$B$63,2,0),0)</f>
        <v>0</v>
      </c>
      <c r="BA155" s="138">
        <f>IF('1.DATOS-PROD'!BJ156="SI",VLOOKUP('1.DATOS-PROD'!BJ$2,'1.PUNTOS'!$A$1:$B$63,2,0),0)</f>
        <v>0</v>
      </c>
      <c r="BB155" s="138">
        <f>IF('1.DATOS-PROD'!BK156="SI",VLOOKUP('1.DATOS-PROD'!BK$2,'1.PUNTOS'!$A$1:$B$63,2,0),0)</f>
        <v>0</v>
      </c>
      <c r="BC155" s="138">
        <f>IF('1.DATOS-PROD'!BL156="SI",VLOOKUP('1.DATOS-PROD'!BL$2,'1.PUNTOS'!$A$1:$B$63,2,0),0)</f>
        <v>0</v>
      </c>
      <c r="BD155" s="138">
        <f>IF('1.DATOS-PROD'!BM156="SI",VLOOKUP('1.DATOS-PROD'!BM$2,'1.PUNTOS'!$A$1:$B$63,2,0),0)</f>
        <v>0</v>
      </c>
      <c r="BE155" s="138">
        <f>IF('1.DATOS-PROD'!BN156="SI",VLOOKUP('1.DATOS-PROD'!BN$2,'1.PUNTOS'!$A$1:$B$63,2,0),0)</f>
        <v>0</v>
      </c>
      <c r="BF155" s="138">
        <f>IF('1.DATOS-PROD'!BO156="SI",VLOOKUP('1.DATOS-PROD'!BO$2,'1.PUNTOS'!$A$1:$B$63,2,0),0)</f>
        <v>0</v>
      </c>
      <c r="BG155" s="138">
        <f>IF('1.DATOS-PROD'!BP156="SI",VLOOKUP('1.DATOS-PROD'!BP$2,'1.PUNTOS'!$A$1:$B$63,2,0),0)</f>
        <v>0</v>
      </c>
      <c r="BH155" s="138">
        <f>IF('1.DATOS-PROD'!BQ156="SI",VLOOKUP('1.DATOS-PROD'!BQ$2,'1.PUNTOS'!$A$1:$B$63,2,0),0)</f>
        <v>0</v>
      </c>
      <c r="BI155" s="138">
        <f>IF('1.DATOS-PROD'!BR156="SI",VLOOKUP('1.DATOS-PROD'!BR$2,'1.PUNTOS'!$A$1:$B$63,2,0),0)</f>
        <v>0</v>
      </c>
      <c r="BJ155" s="138">
        <f>IF('1.DATOS-PROD'!BS156="SI",VLOOKUP('1.DATOS-PROD'!BS$2,'1.PUNTOS'!$A$1:$B$63,2,0),0)</f>
        <v>0</v>
      </c>
      <c r="BK155" s="138">
        <f>IF('1.DATOS-PROD'!BT156="SI",VLOOKUP('1.DATOS-PROD'!BT$2,'1.PUNTOS'!$A$1:$B$63,2,0),0)</f>
        <v>0</v>
      </c>
    </row>
    <row r="156" spans="1:63" x14ac:dyDescent="0.25">
      <c r="A156">
        <f>'0.Consolidado general'!$A157</f>
        <v>0</v>
      </c>
      <c r="B156" s="138">
        <f>IF('1.DATOS-PROD'!K157="SI",VLOOKUP('1.DATOS-PROD'!K$2,'1.PUNTOS'!$A$1:$B$63,2,0),0)</f>
        <v>0</v>
      </c>
      <c r="C156" s="138">
        <f>IF('1.DATOS-PROD'!L157="SI",VLOOKUP('1.DATOS-PROD'!L$2,'1.PUNTOS'!$A$1:$B$63,2,0),0)</f>
        <v>0</v>
      </c>
      <c r="D156" s="138">
        <f>IF('1.DATOS-PROD'!M157="SI",VLOOKUP('1.DATOS-PROD'!M$2,'1.PUNTOS'!$A$1:$B$63,2,0),0)</f>
        <v>0</v>
      </c>
      <c r="E156" s="138">
        <f>IF('1.DATOS-PROD'!N157="SI",VLOOKUP('1.DATOS-PROD'!N$2,'1.PUNTOS'!$A$1:$B$63,2,0),0)</f>
        <v>0</v>
      </c>
      <c r="F156" s="138">
        <f>IF('1.DATOS-PROD'!O157="SI",VLOOKUP('1.DATOS-PROD'!O$2,'1.PUNTOS'!$A$1:$B$63,2,0),0)</f>
        <v>0</v>
      </c>
      <c r="G156" s="138">
        <f>IF('1.DATOS-PROD'!P157="SI",VLOOKUP('1.DATOS-PROD'!P$2,'1.PUNTOS'!$A$1:$B$63,2,0),0)</f>
        <v>0</v>
      </c>
      <c r="H156" s="138">
        <f>IF('1.DATOS-PROD'!Q157="SI",VLOOKUP('1.DATOS-PROD'!Q$2,'1.PUNTOS'!$A$1:$B$63,2,0),0)</f>
        <v>0</v>
      </c>
      <c r="I156" s="138">
        <f>IF('1.DATOS-PROD'!R157="SI",VLOOKUP('1.DATOS-PROD'!R$2,'1.PUNTOS'!$A$1:$B$63,2,0),0)</f>
        <v>0</v>
      </c>
      <c r="J156" s="138">
        <f>IF('1.DATOS-PROD'!S157="SI",VLOOKUP('1.DATOS-PROD'!S$2,'1.PUNTOS'!$A$1:$B$63,2,0),0)</f>
        <v>0</v>
      </c>
      <c r="K156" s="138">
        <f>IF('1.DATOS-PROD'!T157="SI",VLOOKUP('1.DATOS-PROD'!T$2,'1.PUNTOS'!$A$1:$B$63,2,0),0)</f>
        <v>0</v>
      </c>
      <c r="L156" s="138">
        <f>IF('1.DATOS-PROD'!U157="SI",VLOOKUP('1.DATOS-PROD'!U$2,'1.PUNTOS'!$A$1:$B$63,2,0),0)</f>
        <v>0</v>
      </c>
      <c r="M156" s="138">
        <f>IF('1.DATOS-PROD'!V157="SI",VLOOKUP('1.DATOS-PROD'!V$2,'1.PUNTOS'!$A$1:$B$63,2,0),0)</f>
        <v>0</v>
      </c>
      <c r="N156" s="138">
        <f>IF('1.DATOS-PROD'!W157="SI",VLOOKUP('1.DATOS-PROD'!W$2,'1.PUNTOS'!$A$1:$B$63,2,0),0)</f>
        <v>0</v>
      </c>
      <c r="O156" s="138">
        <f>IF('1.DATOS-PROD'!X157="SI",VLOOKUP('1.DATOS-PROD'!X$2,'1.PUNTOS'!$A$1:$B$63,2,0),0)</f>
        <v>0</v>
      </c>
      <c r="P156" s="138">
        <f>IF('1.DATOS-PROD'!Y157="SI",VLOOKUP('1.DATOS-PROD'!Y$2,'1.PUNTOS'!$A$1:$B$63,2,0),0)</f>
        <v>0</v>
      </c>
      <c r="Q156" s="138">
        <f>IF('1.DATOS-PROD'!Z157="SI",VLOOKUP('1.DATOS-PROD'!Z$2,'1.PUNTOS'!$A$1:$B$63,2,0),0)</f>
        <v>0</v>
      </c>
      <c r="R156" s="138">
        <f>IF('1.DATOS-PROD'!AA157="SI",VLOOKUP('1.DATOS-PROD'!AA$2,'1.PUNTOS'!$A$1:$B$63,2,0),0)</f>
        <v>0</v>
      </c>
      <c r="S156" s="138">
        <f>IF('1.DATOS-PROD'!AB157="SI",VLOOKUP('1.DATOS-PROD'!AB$2,'1.PUNTOS'!$A$1:$B$63,2,0),0)</f>
        <v>0</v>
      </c>
      <c r="T156" s="138">
        <f>IF('1.DATOS-PROD'!AC157="SI",VLOOKUP('1.DATOS-PROD'!AC$2,'1.PUNTOS'!$A$1:$B$63,2,0),0)</f>
        <v>0</v>
      </c>
      <c r="U156" s="138">
        <f>IF('1.DATOS-PROD'!AD157="SI",VLOOKUP('1.DATOS-PROD'!AD$2,'1.PUNTOS'!$A$1:$B$63,2,0),0)</f>
        <v>0</v>
      </c>
      <c r="V156" s="138">
        <f>IF('1.DATOS-PROD'!AE157="SI",VLOOKUP('1.DATOS-PROD'!AE$2,'1.PUNTOS'!$A$1:$B$63,2,0),0)</f>
        <v>0</v>
      </c>
      <c r="W156" s="138">
        <f>IF('1.DATOS-PROD'!AF157="SI",VLOOKUP('1.DATOS-PROD'!AF$2,'1.PUNTOS'!$A$1:$B$63,2,0),0)</f>
        <v>0</v>
      </c>
      <c r="X156" s="138">
        <f>IF('1.DATOS-PROD'!AG157="SI",VLOOKUP('1.DATOS-PROD'!AG$2,'1.PUNTOS'!$A$1:$B$63,2,0),0)</f>
        <v>0</v>
      </c>
      <c r="Y156" s="138">
        <f>IF('1.DATOS-PROD'!AH157="SI",VLOOKUP('1.DATOS-PROD'!AH$2,'1.PUNTOS'!$A$1:$B$63,2,0),0)</f>
        <v>0</v>
      </c>
      <c r="Z156" s="138">
        <f>IF('1.DATOS-PROD'!AI157="SI",VLOOKUP('1.DATOS-PROD'!AI$2,'1.PUNTOS'!$A$1:$B$63,2,0),0)</f>
        <v>0</v>
      </c>
      <c r="AA156" s="138">
        <f>IF('1.DATOS-PROD'!AJ157="SI",VLOOKUP('1.DATOS-PROD'!AJ$2,'1.PUNTOS'!$A$1:$B$63,2,0),0)</f>
        <v>0</v>
      </c>
      <c r="AB156" s="138">
        <f>IF('1.DATOS-PROD'!AK157="SI",VLOOKUP('1.DATOS-PROD'!AK$2,'1.PUNTOS'!$A$1:$B$63,2,0),0)</f>
        <v>0</v>
      </c>
      <c r="AC156" s="138">
        <f>IF('1.DATOS-PROD'!AL157="SI",VLOOKUP('1.DATOS-PROD'!AL$2,'1.PUNTOS'!$A$1:$B$63,2,0),0)</f>
        <v>0</v>
      </c>
      <c r="AD156" s="138">
        <f>IF('1.DATOS-PROD'!AM157="SI",VLOOKUP('1.DATOS-PROD'!AM$2,'1.PUNTOS'!$A$1:$B$63,2,0),0)</f>
        <v>0</v>
      </c>
      <c r="AE156" s="138">
        <f>IF('1.DATOS-PROD'!AN157="SI",VLOOKUP('1.DATOS-PROD'!AN$2,'1.PUNTOS'!$A$1:$B$63,2,0),0)</f>
        <v>0</v>
      </c>
      <c r="AF156" s="138">
        <f>IF('1.DATOS-PROD'!AO157="SI",VLOOKUP('1.DATOS-PROD'!AO$2,'1.PUNTOS'!$A$1:$B$63,2,0),0)</f>
        <v>0</v>
      </c>
      <c r="AG156" s="138">
        <f>IF('1.DATOS-PROD'!AP157="SI",VLOOKUP('1.DATOS-PROD'!AP$2,'1.PUNTOS'!$A$1:$B$63,2,0),0)</f>
        <v>0</v>
      </c>
      <c r="AH156" s="138">
        <f>IF('1.DATOS-PROD'!AQ157="SI",VLOOKUP('1.DATOS-PROD'!AQ$2,'1.PUNTOS'!$A$1:$B$63,2,0),0)</f>
        <v>0</v>
      </c>
      <c r="AI156" s="138">
        <f>IF('1.DATOS-PROD'!AR157="SI",VLOOKUP('1.DATOS-PROD'!AR$2,'1.PUNTOS'!$A$1:$B$63,2,0),0)</f>
        <v>0</v>
      </c>
      <c r="AJ156" s="138">
        <f>IF('1.DATOS-PROD'!AS157="SI",VLOOKUP('1.DATOS-PROD'!AS$2,'1.PUNTOS'!$A$1:$B$63,2,0),0)</f>
        <v>0</v>
      </c>
      <c r="AK156" s="138">
        <f>IF('1.DATOS-PROD'!AT157="SI",VLOOKUP('1.DATOS-PROD'!AT$2,'1.PUNTOS'!$A$1:$B$63,2,0),0)</f>
        <v>0</v>
      </c>
      <c r="AL156" s="138">
        <f>IF('1.DATOS-PROD'!AU157="SI",VLOOKUP('1.DATOS-PROD'!AU$2,'1.PUNTOS'!$A$1:$B$63,2,0),0)</f>
        <v>0</v>
      </c>
      <c r="AM156" s="138">
        <f>IF('1.DATOS-PROD'!AV157="SI",VLOOKUP('1.DATOS-PROD'!AV$2,'1.PUNTOS'!$A$1:$B$63,2,0),0)</f>
        <v>0</v>
      </c>
      <c r="AN156" s="138">
        <f>IF('1.DATOS-PROD'!AW157="SI",VLOOKUP('1.DATOS-PROD'!AW$2,'1.PUNTOS'!$A$1:$B$63,2,0),0)</f>
        <v>0</v>
      </c>
      <c r="AO156" s="138">
        <f>IF('1.DATOS-PROD'!AX157="SI",VLOOKUP('1.DATOS-PROD'!AX$2,'1.PUNTOS'!$A$1:$B$63,2,0),0)</f>
        <v>0</v>
      </c>
      <c r="AP156" s="138">
        <f>IF('1.DATOS-PROD'!AY157="SI",VLOOKUP('1.DATOS-PROD'!AY$2,'1.PUNTOS'!$A$1:$B$63,2,0),0)</f>
        <v>0</v>
      </c>
      <c r="AQ156" s="138">
        <f>IF('1.DATOS-PROD'!AZ157="SI",VLOOKUP('1.DATOS-PROD'!AZ$2,'1.PUNTOS'!$A$1:$B$63,2,0),0)</f>
        <v>0</v>
      </c>
      <c r="AR156" s="138">
        <f>IF('1.DATOS-PROD'!BA157="SI",VLOOKUP('1.DATOS-PROD'!BA$2,'1.PUNTOS'!$A$1:$B$63,2,0),0)</f>
        <v>0</v>
      </c>
      <c r="AS156" s="138">
        <f>IF('1.DATOS-PROD'!BB157="SI",VLOOKUP('1.DATOS-PROD'!BB$2,'1.PUNTOS'!$A$1:$B$63,2,0),0)</f>
        <v>0</v>
      </c>
      <c r="AT156" s="138">
        <f>IF('1.DATOS-PROD'!BC157="SI",VLOOKUP('1.DATOS-PROD'!BC$2,'1.PUNTOS'!$A$1:$B$63,2,0),0)</f>
        <v>0</v>
      </c>
      <c r="AU156" s="138">
        <f>IF('1.DATOS-PROD'!BD157="SI",VLOOKUP('1.DATOS-PROD'!BD$2,'1.PUNTOS'!$A$1:$B$63,2,0),0)</f>
        <v>0</v>
      </c>
      <c r="AV156" s="138">
        <f>IF('1.DATOS-PROD'!BE157="SI",VLOOKUP('1.DATOS-PROD'!BE$2,'1.PUNTOS'!$A$1:$B$63,2,0),0)</f>
        <v>0</v>
      </c>
      <c r="AW156" s="138">
        <f>IF('1.DATOS-PROD'!BF157="SI",VLOOKUP('1.DATOS-PROD'!BF$2,'1.PUNTOS'!$A$1:$B$63,2,0),0)</f>
        <v>0</v>
      </c>
      <c r="AX156" s="138">
        <f>IF('1.DATOS-PROD'!BG157="SI",VLOOKUP('1.DATOS-PROD'!BG$2,'1.PUNTOS'!$A$1:$B$63,2,0),0)</f>
        <v>0</v>
      </c>
      <c r="AY156" s="138">
        <f>IF('1.DATOS-PROD'!BH157="SI",VLOOKUP('1.DATOS-PROD'!BH$2,'1.PUNTOS'!$A$1:$B$63,2,0),0)</f>
        <v>0</v>
      </c>
      <c r="AZ156" s="138">
        <f>IF('1.DATOS-PROD'!BI157="SI",VLOOKUP('1.DATOS-PROD'!BI$2,'1.PUNTOS'!$A$1:$B$63,2,0),0)</f>
        <v>0</v>
      </c>
      <c r="BA156" s="138">
        <f>IF('1.DATOS-PROD'!BJ157="SI",VLOOKUP('1.DATOS-PROD'!BJ$2,'1.PUNTOS'!$A$1:$B$63,2,0),0)</f>
        <v>0</v>
      </c>
      <c r="BB156" s="138">
        <f>IF('1.DATOS-PROD'!BK157="SI",VLOOKUP('1.DATOS-PROD'!BK$2,'1.PUNTOS'!$A$1:$B$63,2,0),0)</f>
        <v>0</v>
      </c>
      <c r="BC156" s="138">
        <f>IF('1.DATOS-PROD'!BL157="SI",VLOOKUP('1.DATOS-PROD'!BL$2,'1.PUNTOS'!$A$1:$B$63,2,0),0)</f>
        <v>0</v>
      </c>
      <c r="BD156" s="138">
        <f>IF('1.DATOS-PROD'!BM157="SI",VLOOKUP('1.DATOS-PROD'!BM$2,'1.PUNTOS'!$A$1:$B$63,2,0),0)</f>
        <v>0</v>
      </c>
      <c r="BE156" s="138">
        <f>IF('1.DATOS-PROD'!BN157="SI",VLOOKUP('1.DATOS-PROD'!BN$2,'1.PUNTOS'!$A$1:$B$63,2,0),0)</f>
        <v>0</v>
      </c>
      <c r="BF156" s="138">
        <f>IF('1.DATOS-PROD'!BO157="SI",VLOOKUP('1.DATOS-PROD'!BO$2,'1.PUNTOS'!$A$1:$B$63,2,0),0)</f>
        <v>0</v>
      </c>
      <c r="BG156" s="138">
        <f>IF('1.DATOS-PROD'!BP157="SI",VLOOKUP('1.DATOS-PROD'!BP$2,'1.PUNTOS'!$A$1:$B$63,2,0),0)</f>
        <v>0</v>
      </c>
      <c r="BH156" s="138">
        <f>IF('1.DATOS-PROD'!BQ157="SI",VLOOKUP('1.DATOS-PROD'!BQ$2,'1.PUNTOS'!$A$1:$B$63,2,0),0)</f>
        <v>0</v>
      </c>
      <c r="BI156" s="138">
        <f>IF('1.DATOS-PROD'!BR157="SI",VLOOKUP('1.DATOS-PROD'!BR$2,'1.PUNTOS'!$A$1:$B$63,2,0),0)</f>
        <v>0</v>
      </c>
      <c r="BJ156" s="138">
        <f>IF('1.DATOS-PROD'!BS157="SI",VLOOKUP('1.DATOS-PROD'!BS$2,'1.PUNTOS'!$A$1:$B$63,2,0),0)</f>
        <v>0</v>
      </c>
      <c r="BK156" s="138">
        <f>IF('1.DATOS-PROD'!BT157="SI",VLOOKUP('1.DATOS-PROD'!BT$2,'1.PUNTOS'!$A$1:$B$63,2,0),0)</f>
        <v>0</v>
      </c>
    </row>
    <row r="157" spans="1:63" x14ac:dyDescent="0.25">
      <c r="A157">
        <f>'0.Consolidado general'!$A158</f>
        <v>0</v>
      </c>
      <c r="B157" s="138">
        <f>IF('1.DATOS-PROD'!K158="SI",VLOOKUP('1.DATOS-PROD'!K$2,'1.PUNTOS'!$A$1:$B$63,2,0),0)</f>
        <v>0</v>
      </c>
      <c r="C157" s="138">
        <f>IF('1.DATOS-PROD'!L158="SI",VLOOKUP('1.DATOS-PROD'!L$2,'1.PUNTOS'!$A$1:$B$63,2,0),0)</f>
        <v>0</v>
      </c>
      <c r="D157" s="138">
        <f>IF('1.DATOS-PROD'!M158="SI",VLOOKUP('1.DATOS-PROD'!M$2,'1.PUNTOS'!$A$1:$B$63,2,0),0)</f>
        <v>0</v>
      </c>
      <c r="E157" s="138">
        <f>IF('1.DATOS-PROD'!N158="SI",VLOOKUP('1.DATOS-PROD'!N$2,'1.PUNTOS'!$A$1:$B$63,2,0),0)</f>
        <v>0</v>
      </c>
      <c r="F157" s="138">
        <f>IF('1.DATOS-PROD'!O158="SI",VLOOKUP('1.DATOS-PROD'!O$2,'1.PUNTOS'!$A$1:$B$63,2,0),0)</f>
        <v>0</v>
      </c>
      <c r="G157" s="138">
        <f>IF('1.DATOS-PROD'!P158="SI",VLOOKUP('1.DATOS-PROD'!P$2,'1.PUNTOS'!$A$1:$B$63,2,0),0)</f>
        <v>0</v>
      </c>
      <c r="H157" s="138">
        <f>IF('1.DATOS-PROD'!Q158="SI",VLOOKUP('1.DATOS-PROD'!Q$2,'1.PUNTOS'!$A$1:$B$63,2,0),0)</f>
        <v>0</v>
      </c>
      <c r="I157" s="138">
        <f>IF('1.DATOS-PROD'!R158="SI",VLOOKUP('1.DATOS-PROD'!R$2,'1.PUNTOS'!$A$1:$B$63,2,0),0)</f>
        <v>0</v>
      </c>
      <c r="J157" s="138">
        <f>IF('1.DATOS-PROD'!S158="SI",VLOOKUP('1.DATOS-PROD'!S$2,'1.PUNTOS'!$A$1:$B$63,2,0),0)</f>
        <v>0</v>
      </c>
      <c r="K157" s="138">
        <f>IF('1.DATOS-PROD'!T158="SI",VLOOKUP('1.DATOS-PROD'!T$2,'1.PUNTOS'!$A$1:$B$63,2,0),0)</f>
        <v>0</v>
      </c>
      <c r="L157" s="138">
        <f>IF('1.DATOS-PROD'!U158="SI",VLOOKUP('1.DATOS-PROD'!U$2,'1.PUNTOS'!$A$1:$B$63,2,0),0)</f>
        <v>0</v>
      </c>
      <c r="M157" s="138">
        <f>IF('1.DATOS-PROD'!V158="SI",VLOOKUP('1.DATOS-PROD'!V$2,'1.PUNTOS'!$A$1:$B$63,2,0),0)</f>
        <v>0</v>
      </c>
      <c r="N157" s="138">
        <f>IF('1.DATOS-PROD'!W158="SI",VLOOKUP('1.DATOS-PROD'!W$2,'1.PUNTOS'!$A$1:$B$63,2,0),0)</f>
        <v>0</v>
      </c>
      <c r="O157" s="138">
        <f>IF('1.DATOS-PROD'!X158="SI",VLOOKUP('1.DATOS-PROD'!X$2,'1.PUNTOS'!$A$1:$B$63,2,0),0)</f>
        <v>0</v>
      </c>
      <c r="P157" s="138">
        <f>IF('1.DATOS-PROD'!Y158="SI",VLOOKUP('1.DATOS-PROD'!Y$2,'1.PUNTOS'!$A$1:$B$63,2,0),0)</f>
        <v>0</v>
      </c>
      <c r="Q157" s="138">
        <f>IF('1.DATOS-PROD'!Z158="SI",VLOOKUP('1.DATOS-PROD'!Z$2,'1.PUNTOS'!$A$1:$B$63,2,0),0)</f>
        <v>0</v>
      </c>
      <c r="R157" s="138">
        <f>IF('1.DATOS-PROD'!AA158="SI",VLOOKUP('1.DATOS-PROD'!AA$2,'1.PUNTOS'!$A$1:$B$63,2,0),0)</f>
        <v>0</v>
      </c>
      <c r="S157" s="138">
        <f>IF('1.DATOS-PROD'!AB158="SI",VLOOKUP('1.DATOS-PROD'!AB$2,'1.PUNTOS'!$A$1:$B$63,2,0),0)</f>
        <v>0</v>
      </c>
      <c r="T157" s="138">
        <f>IF('1.DATOS-PROD'!AC158="SI",VLOOKUP('1.DATOS-PROD'!AC$2,'1.PUNTOS'!$A$1:$B$63,2,0),0)</f>
        <v>0</v>
      </c>
      <c r="U157" s="138">
        <f>IF('1.DATOS-PROD'!AD158="SI",VLOOKUP('1.DATOS-PROD'!AD$2,'1.PUNTOS'!$A$1:$B$63,2,0),0)</f>
        <v>0</v>
      </c>
      <c r="V157" s="138">
        <f>IF('1.DATOS-PROD'!AE158="SI",VLOOKUP('1.DATOS-PROD'!AE$2,'1.PUNTOS'!$A$1:$B$63,2,0),0)</f>
        <v>0</v>
      </c>
      <c r="W157" s="138">
        <f>IF('1.DATOS-PROD'!AF158="SI",VLOOKUP('1.DATOS-PROD'!AF$2,'1.PUNTOS'!$A$1:$B$63,2,0),0)</f>
        <v>0</v>
      </c>
      <c r="X157" s="138">
        <f>IF('1.DATOS-PROD'!AG158="SI",VLOOKUP('1.DATOS-PROD'!AG$2,'1.PUNTOS'!$A$1:$B$63,2,0),0)</f>
        <v>0</v>
      </c>
      <c r="Y157" s="138">
        <f>IF('1.DATOS-PROD'!AH158="SI",VLOOKUP('1.DATOS-PROD'!AH$2,'1.PUNTOS'!$A$1:$B$63,2,0),0)</f>
        <v>0</v>
      </c>
      <c r="Z157" s="138">
        <f>IF('1.DATOS-PROD'!AI158="SI",VLOOKUP('1.DATOS-PROD'!AI$2,'1.PUNTOS'!$A$1:$B$63,2,0),0)</f>
        <v>0</v>
      </c>
      <c r="AA157" s="138">
        <f>IF('1.DATOS-PROD'!AJ158="SI",VLOOKUP('1.DATOS-PROD'!AJ$2,'1.PUNTOS'!$A$1:$B$63,2,0),0)</f>
        <v>0</v>
      </c>
      <c r="AB157" s="138">
        <f>IF('1.DATOS-PROD'!AK158="SI",VLOOKUP('1.DATOS-PROD'!AK$2,'1.PUNTOS'!$A$1:$B$63,2,0),0)</f>
        <v>0</v>
      </c>
      <c r="AC157" s="138">
        <f>IF('1.DATOS-PROD'!AL158="SI",VLOOKUP('1.DATOS-PROD'!AL$2,'1.PUNTOS'!$A$1:$B$63,2,0),0)</f>
        <v>0</v>
      </c>
      <c r="AD157" s="138">
        <f>IF('1.DATOS-PROD'!AM158="SI",VLOOKUP('1.DATOS-PROD'!AM$2,'1.PUNTOS'!$A$1:$B$63,2,0),0)</f>
        <v>0</v>
      </c>
      <c r="AE157" s="138">
        <f>IF('1.DATOS-PROD'!AN158="SI",VLOOKUP('1.DATOS-PROD'!AN$2,'1.PUNTOS'!$A$1:$B$63,2,0),0)</f>
        <v>0</v>
      </c>
      <c r="AF157" s="138">
        <f>IF('1.DATOS-PROD'!AO158="SI",VLOOKUP('1.DATOS-PROD'!AO$2,'1.PUNTOS'!$A$1:$B$63,2,0),0)</f>
        <v>0</v>
      </c>
      <c r="AG157" s="138">
        <f>IF('1.DATOS-PROD'!AP158="SI",VLOOKUP('1.DATOS-PROD'!AP$2,'1.PUNTOS'!$A$1:$B$63,2,0),0)</f>
        <v>0</v>
      </c>
      <c r="AH157" s="138">
        <f>IF('1.DATOS-PROD'!AQ158="SI",VLOOKUP('1.DATOS-PROD'!AQ$2,'1.PUNTOS'!$A$1:$B$63,2,0),0)</f>
        <v>0</v>
      </c>
      <c r="AI157" s="138">
        <f>IF('1.DATOS-PROD'!AR158="SI",VLOOKUP('1.DATOS-PROD'!AR$2,'1.PUNTOS'!$A$1:$B$63,2,0),0)</f>
        <v>0</v>
      </c>
      <c r="AJ157" s="138">
        <f>IF('1.DATOS-PROD'!AS158="SI",VLOOKUP('1.DATOS-PROD'!AS$2,'1.PUNTOS'!$A$1:$B$63,2,0),0)</f>
        <v>0</v>
      </c>
      <c r="AK157" s="138">
        <f>IF('1.DATOS-PROD'!AT158="SI",VLOOKUP('1.DATOS-PROD'!AT$2,'1.PUNTOS'!$A$1:$B$63,2,0),0)</f>
        <v>0</v>
      </c>
      <c r="AL157" s="138">
        <f>IF('1.DATOS-PROD'!AU158="SI",VLOOKUP('1.DATOS-PROD'!AU$2,'1.PUNTOS'!$A$1:$B$63,2,0),0)</f>
        <v>0</v>
      </c>
      <c r="AM157" s="138">
        <f>IF('1.DATOS-PROD'!AV158="SI",VLOOKUP('1.DATOS-PROD'!AV$2,'1.PUNTOS'!$A$1:$B$63,2,0),0)</f>
        <v>0</v>
      </c>
      <c r="AN157" s="138">
        <f>IF('1.DATOS-PROD'!AW158="SI",VLOOKUP('1.DATOS-PROD'!AW$2,'1.PUNTOS'!$A$1:$B$63,2,0),0)</f>
        <v>0</v>
      </c>
      <c r="AO157" s="138">
        <f>IF('1.DATOS-PROD'!AX158="SI",VLOOKUP('1.DATOS-PROD'!AX$2,'1.PUNTOS'!$A$1:$B$63,2,0),0)</f>
        <v>0</v>
      </c>
      <c r="AP157" s="138">
        <f>IF('1.DATOS-PROD'!AY158="SI",VLOOKUP('1.DATOS-PROD'!AY$2,'1.PUNTOS'!$A$1:$B$63,2,0),0)</f>
        <v>0</v>
      </c>
      <c r="AQ157" s="138">
        <f>IF('1.DATOS-PROD'!AZ158="SI",VLOOKUP('1.DATOS-PROD'!AZ$2,'1.PUNTOS'!$A$1:$B$63,2,0),0)</f>
        <v>0</v>
      </c>
      <c r="AR157" s="138">
        <f>IF('1.DATOS-PROD'!BA158="SI",VLOOKUP('1.DATOS-PROD'!BA$2,'1.PUNTOS'!$A$1:$B$63,2,0),0)</f>
        <v>0</v>
      </c>
      <c r="AS157" s="138">
        <f>IF('1.DATOS-PROD'!BB158="SI",VLOOKUP('1.DATOS-PROD'!BB$2,'1.PUNTOS'!$A$1:$B$63,2,0),0)</f>
        <v>0</v>
      </c>
      <c r="AT157" s="138">
        <f>IF('1.DATOS-PROD'!BC158="SI",VLOOKUP('1.DATOS-PROD'!BC$2,'1.PUNTOS'!$A$1:$B$63,2,0),0)</f>
        <v>0</v>
      </c>
      <c r="AU157" s="138">
        <f>IF('1.DATOS-PROD'!BD158="SI",VLOOKUP('1.DATOS-PROD'!BD$2,'1.PUNTOS'!$A$1:$B$63,2,0),0)</f>
        <v>0</v>
      </c>
      <c r="AV157" s="138">
        <f>IF('1.DATOS-PROD'!BE158="SI",VLOOKUP('1.DATOS-PROD'!BE$2,'1.PUNTOS'!$A$1:$B$63,2,0),0)</f>
        <v>0</v>
      </c>
      <c r="AW157" s="138">
        <f>IF('1.DATOS-PROD'!BF158="SI",VLOOKUP('1.DATOS-PROD'!BF$2,'1.PUNTOS'!$A$1:$B$63,2,0),0)</f>
        <v>0</v>
      </c>
      <c r="AX157" s="138">
        <f>IF('1.DATOS-PROD'!BG158="SI",VLOOKUP('1.DATOS-PROD'!BG$2,'1.PUNTOS'!$A$1:$B$63,2,0),0)</f>
        <v>0</v>
      </c>
      <c r="AY157" s="138">
        <f>IF('1.DATOS-PROD'!BH158="SI",VLOOKUP('1.DATOS-PROD'!BH$2,'1.PUNTOS'!$A$1:$B$63,2,0),0)</f>
        <v>0</v>
      </c>
      <c r="AZ157" s="138">
        <f>IF('1.DATOS-PROD'!BI158="SI",VLOOKUP('1.DATOS-PROD'!BI$2,'1.PUNTOS'!$A$1:$B$63,2,0),0)</f>
        <v>0</v>
      </c>
      <c r="BA157" s="138">
        <f>IF('1.DATOS-PROD'!BJ158="SI",VLOOKUP('1.DATOS-PROD'!BJ$2,'1.PUNTOS'!$A$1:$B$63,2,0),0)</f>
        <v>0</v>
      </c>
      <c r="BB157" s="138">
        <f>IF('1.DATOS-PROD'!BK158="SI",VLOOKUP('1.DATOS-PROD'!BK$2,'1.PUNTOS'!$A$1:$B$63,2,0),0)</f>
        <v>0</v>
      </c>
      <c r="BC157" s="138">
        <f>IF('1.DATOS-PROD'!BL158="SI",VLOOKUP('1.DATOS-PROD'!BL$2,'1.PUNTOS'!$A$1:$B$63,2,0),0)</f>
        <v>0</v>
      </c>
      <c r="BD157" s="138">
        <f>IF('1.DATOS-PROD'!BM158="SI",VLOOKUP('1.DATOS-PROD'!BM$2,'1.PUNTOS'!$A$1:$B$63,2,0),0)</f>
        <v>0</v>
      </c>
      <c r="BE157" s="138">
        <f>IF('1.DATOS-PROD'!BN158="SI",VLOOKUP('1.DATOS-PROD'!BN$2,'1.PUNTOS'!$A$1:$B$63,2,0),0)</f>
        <v>0</v>
      </c>
      <c r="BF157" s="138">
        <f>IF('1.DATOS-PROD'!BO158="SI",VLOOKUP('1.DATOS-PROD'!BO$2,'1.PUNTOS'!$A$1:$B$63,2,0),0)</f>
        <v>0</v>
      </c>
      <c r="BG157" s="138">
        <f>IF('1.DATOS-PROD'!BP158="SI",VLOOKUP('1.DATOS-PROD'!BP$2,'1.PUNTOS'!$A$1:$B$63,2,0),0)</f>
        <v>0</v>
      </c>
      <c r="BH157" s="138">
        <f>IF('1.DATOS-PROD'!BQ158="SI",VLOOKUP('1.DATOS-PROD'!BQ$2,'1.PUNTOS'!$A$1:$B$63,2,0),0)</f>
        <v>0</v>
      </c>
      <c r="BI157" s="138">
        <f>IF('1.DATOS-PROD'!BR158="SI",VLOOKUP('1.DATOS-PROD'!BR$2,'1.PUNTOS'!$A$1:$B$63,2,0),0)</f>
        <v>0</v>
      </c>
      <c r="BJ157" s="138">
        <f>IF('1.DATOS-PROD'!BS158="SI",VLOOKUP('1.DATOS-PROD'!BS$2,'1.PUNTOS'!$A$1:$B$63,2,0),0)</f>
        <v>0</v>
      </c>
      <c r="BK157" s="138">
        <f>IF('1.DATOS-PROD'!BT158="SI",VLOOKUP('1.DATOS-PROD'!BT$2,'1.PUNTOS'!$A$1:$B$63,2,0),0)</f>
        <v>0</v>
      </c>
    </row>
    <row r="158" spans="1:63" x14ac:dyDescent="0.25">
      <c r="A158">
        <f>'0.Consolidado general'!$A159</f>
        <v>0</v>
      </c>
      <c r="B158" s="138">
        <f>IF('1.DATOS-PROD'!K159="SI",VLOOKUP('1.DATOS-PROD'!K$2,'1.PUNTOS'!$A$1:$B$63,2,0),0)</f>
        <v>0</v>
      </c>
      <c r="C158" s="138">
        <f>IF('1.DATOS-PROD'!L159="SI",VLOOKUP('1.DATOS-PROD'!L$2,'1.PUNTOS'!$A$1:$B$63,2,0),0)</f>
        <v>0</v>
      </c>
      <c r="D158" s="138">
        <f>IF('1.DATOS-PROD'!M159="SI",VLOOKUP('1.DATOS-PROD'!M$2,'1.PUNTOS'!$A$1:$B$63,2,0),0)</f>
        <v>0</v>
      </c>
      <c r="E158" s="138">
        <f>IF('1.DATOS-PROD'!N159="SI",VLOOKUP('1.DATOS-PROD'!N$2,'1.PUNTOS'!$A$1:$B$63,2,0),0)</f>
        <v>0</v>
      </c>
      <c r="F158" s="138">
        <f>IF('1.DATOS-PROD'!O159="SI",VLOOKUP('1.DATOS-PROD'!O$2,'1.PUNTOS'!$A$1:$B$63,2,0),0)</f>
        <v>0</v>
      </c>
      <c r="G158" s="138">
        <f>IF('1.DATOS-PROD'!P159="SI",VLOOKUP('1.DATOS-PROD'!P$2,'1.PUNTOS'!$A$1:$B$63,2,0),0)</f>
        <v>0</v>
      </c>
      <c r="H158" s="138">
        <f>IF('1.DATOS-PROD'!Q159="SI",VLOOKUP('1.DATOS-PROD'!Q$2,'1.PUNTOS'!$A$1:$B$63,2,0),0)</f>
        <v>0</v>
      </c>
      <c r="I158" s="138">
        <f>IF('1.DATOS-PROD'!R159="SI",VLOOKUP('1.DATOS-PROD'!R$2,'1.PUNTOS'!$A$1:$B$63,2,0),0)</f>
        <v>0</v>
      </c>
      <c r="J158" s="138">
        <f>IF('1.DATOS-PROD'!S159="SI",VLOOKUP('1.DATOS-PROD'!S$2,'1.PUNTOS'!$A$1:$B$63,2,0),0)</f>
        <v>0</v>
      </c>
      <c r="K158" s="138">
        <f>IF('1.DATOS-PROD'!T159="SI",VLOOKUP('1.DATOS-PROD'!T$2,'1.PUNTOS'!$A$1:$B$63,2,0),0)</f>
        <v>0</v>
      </c>
      <c r="L158" s="138">
        <f>IF('1.DATOS-PROD'!U159="SI",VLOOKUP('1.DATOS-PROD'!U$2,'1.PUNTOS'!$A$1:$B$63,2,0),0)</f>
        <v>0</v>
      </c>
      <c r="M158" s="138">
        <f>IF('1.DATOS-PROD'!V159="SI",VLOOKUP('1.DATOS-PROD'!V$2,'1.PUNTOS'!$A$1:$B$63,2,0),0)</f>
        <v>0</v>
      </c>
      <c r="N158" s="138">
        <f>IF('1.DATOS-PROD'!W159="SI",VLOOKUP('1.DATOS-PROD'!W$2,'1.PUNTOS'!$A$1:$B$63,2,0),0)</f>
        <v>0</v>
      </c>
      <c r="O158" s="138">
        <f>IF('1.DATOS-PROD'!X159="SI",VLOOKUP('1.DATOS-PROD'!X$2,'1.PUNTOS'!$A$1:$B$63,2,0),0)</f>
        <v>0</v>
      </c>
      <c r="P158" s="138">
        <f>IF('1.DATOS-PROD'!Y159="SI",VLOOKUP('1.DATOS-PROD'!Y$2,'1.PUNTOS'!$A$1:$B$63,2,0),0)</f>
        <v>0</v>
      </c>
      <c r="Q158" s="138">
        <f>IF('1.DATOS-PROD'!Z159="SI",VLOOKUP('1.DATOS-PROD'!Z$2,'1.PUNTOS'!$A$1:$B$63,2,0),0)</f>
        <v>0</v>
      </c>
      <c r="R158" s="138">
        <f>IF('1.DATOS-PROD'!AA159="SI",VLOOKUP('1.DATOS-PROD'!AA$2,'1.PUNTOS'!$A$1:$B$63,2,0),0)</f>
        <v>0</v>
      </c>
      <c r="S158" s="138">
        <f>IF('1.DATOS-PROD'!AB159="SI",VLOOKUP('1.DATOS-PROD'!AB$2,'1.PUNTOS'!$A$1:$B$63,2,0),0)</f>
        <v>0</v>
      </c>
      <c r="T158" s="138">
        <f>IF('1.DATOS-PROD'!AC159="SI",VLOOKUP('1.DATOS-PROD'!AC$2,'1.PUNTOS'!$A$1:$B$63,2,0),0)</f>
        <v>0</v>
      </c>
      <c r="U158" s="138">
        <f>IF('1.DATOS-PROD'!AD159="SI",VLOOKUP('1.DATOS-PROD'!AD$2,'1.PUNTOS'!$A$1:$B$63,2,0),0)</f>
        <v>0</v>
      </c>
      <c r="V158" s="138">
        <f>IF('1.DATOS-PROD'!AE159="SI",VLOOKUP('1.DATOS-PROD'!AE$2,'1.PUNTOS'!$A$1:$B$63,2,0),0)</f>
        <v>0</v>
      </c>
      <c r="W158" s="138">
        <f>IF('1.DATOS-PROD'!AF159="SI",VLOOKUP('1.DATOS-PROD'!AF$2,'1.PUNTOS'!$A$1:$B$63,2,0),0)</f>
        <v>0</v>
      </c>
      <c r="X158" s="138">
        <f>IF('1.DATOS-PROD'!AG159="SI",VLOOKUP('1.DATOS-PROD'!AG$2,'1.PUNTOS'!$A$1:$B$63,2,0),0)</f>
        <v>0</v>
      </c>
      <c r="Y158" s="138">
        <f>IF('1.DATOS-PROD'!AH159="SI",VLOOKUP('1.DATOS-PROD'!AH$2,'1.PUNTOS'!$A$1:$B$63,2,0),0)</f>
        <v>0</v>
      </c>
      <c r="Z158" s="138">
        <f>IF('1.DATOS-PROD'!AI159="SI",VLOOKUP('1.DATOS-PROD'!AI$2,'1.PUNTOS'!$A$1:$B$63,2,0),0)</f>
        <v>0</v>
      </c>
      <c r="AA158" s="138">
        <f>IF('1.DATOS-PROD'!AJ159="SI",VLOOKUP('1.DATOS-PROD'!AJ$2,'1.PUNTOS'!$A$1:$B$63,2,0),0)</f>
        <v>0</v>
      </c>
      <c r="AB158" s="138">
        <f>IF('1.DATOS-PROD'!AK159="SI",VLOOKUP('1.DATOS-PROD'!AK$2,'1.PUNTOS'!$A$1:$B$63,2,0),0)</f>
        <v>0</v>
      </c>
      <c r="AC158" s="138">
        <f>IF('1.DATOS-PROD'!AL159="SI",VLOOKUP('1.DATOS-PROD'!AL$2,'1.PUNTOS'!$A$1:$B$63,2,0),0)</f>
        <v>0</v>
      </c>
      <c r="AD158" s="138">
        <f>IF('1.DATOS-PROD'!AM159="SI",VLOOKUP('1.DATOS-PROD'!AM$2,'1.PUNTOS'!$A$1:$B$63,2,0),0)</f>
        <v>0</v>
      </c>
      <c r="AE158" s="138">
        <f>IF('1.DATOS-PROD'!AN159="SI",VLOOKUP('1.DATOS-PROD'!AN$2,'1.PUNTOS'!$A$1:$B$63,2,0),0)</f>
        <v>0</v>
      </c>
      <c r="AF158" s="138">
        <f>IF('1.DATOS-PROD'!AO159="SI",VLOOKUP('1.DATOS-PROD'!AO$2,'1.PUNTOS'!$A$1:$B$63,2,0),0)</f>
        <v>0</v>
      </c>
      <c r="AG158" s="138">
        <f>IF('1.DATOS-PROD'!AP159="SI",VLOOKUP('1.DATOS-PROD'!AP$2,'1.PUNTOS'!$A$1:$B$63,2,0),0)</f>
        <v>0</v>
      </c>
      <c r="AH158" s="138">
        <f>IF('1.DATOS-PROD'!AQ159="SI",VLOOKUP('1.DATOS-PROD'!AQ$2,'1.PUNTOS'!$A$1:$B$63,2,0),0)</f>
        <v>0</v>
      </c>
      <c r="AI158" s="138">
        <f>IF('1.DATOS-PROD'!AR159="SI",VLOOKUP('1.DATOS-PROD'!AR$2,'1.PUNTOS'!$A$1:$B$63,2,0),0)</f>
        <v>0</v>
      </c>
      <c r="AJ158" s="138">
        <f>IF('1.DATOS-PROD'!AS159="SI",VLOOKUP('1.DATOS-PROD'!AS$2,'1.PUNTOS'!$A$1:$B$63,2,0),0)</f>
        <v>0</v>
      </c>
      <c r="AK158" s="138">
        <f>IF('1.DATOS-PROD'!AT159="SI",VLOOKUP('1.DATOS-PROD'!AT$2,'1.PUNTOS'!$A$1:$B$63,2,0),0)</f>
        <v>0</v>
      </c>
      <c r="AL158" s="138">
        <f>IF('1.DATOS-PROD'!AU159="SI",VLOOKUP('1.DATOS-PROD'!AU$2,'1.PUNTOS'!$A$1:$B$63,2,0),0)</f>
        <v>0</v>
      </c>
      <c r="AM158" s="138">
        <f>IF('1.DATOS-PROD'!AV159="SI",VLOOKUP('1.DATOS-PROD'!AV$2,'1.PUNTOS'!$A$1:$B$63,2,0),0)</f>
        <v>0</v>
      </c>
      <c r="AN158" s="138">
        <f>IF('1.DATOS-PROD'!AW159="SI",VLOOKUP('1.DATOS-PROD'!AW$2,'1.PUNTOS'!$A$1:$B$63,2,0),0)</f>
        <v>0</v>
      </c>
      <c r="AO158" s="138">
        <f>IF('1.DATOS-PROD'!AX159="SI",VLOOKUP('1.DATOS-PROD'!AX$2,'1.PUNTOS'!$A$1:$B$63,2,0),0)</f>
        <v>0</v>
      </c>
      <c r="AP158" s="138">
        <f>IF('1.DATOS-PROD'!AY159="SI",VLOOKUP('1.DATOS-PROD'!AY$2,'1.PUNTOS'!$A$1:$B$63,2,0),0)</f>
        <v>0</v>
      </c>
      <c r="AQ158" s="138">
        <f>IF('1.DATOS-PROD'!AZ159="SI",VLOOKUP('1.DATOS-PROD'!AZ$2,'1.PUNTOS'!$A$1:$B$63,2,0),0)</f>
        <v>0</v>
      </c>
      <c r="AR158" s="138">
        <f>IF('1.DATOS-PROD'!BA159="SI",VLOOKUP('1.DATOS-PROD'!BA$2,'1.PUNTOS'!$A$1:$B$63,2,0),0)</f>
        <v>0</v>
      </c>
      <c r="AS158" s="138">
        <f>IF('1.DATOS-PROD'!BB159="SI",VLOOKUP('1.DATOS-PROD'!BB$2,'1.PUNTOS'!$A$1:$B$63,2,0),0)</f>
        <v>0</v>
      </c>
      <c r="AT158" s="138">
        <f>IF('1.DATOS-PROD'!BC159="SI",VLOOKUP('1.DATOS-PROD'!BC$2,'1.PUNTOS'!$A$1:$B$63,2,0),0)</f>
        <v>0</v>
      </c>
      <c r="AU158" s="138">
        <f>IF('1.DATOS-PROD'!BD159="SI",VLOOKUP('1.DATOS-PROD'!BD$2,'1.PUNTOS'!$A$1:$B$63,2,0),0)</f>
        <v>0</v>
      </c>
      <c r="AV158" s="138">
        <f>IF('1.DATOS-PROD'!BE159="SI",VLOOKUP('1.DATOS-PROD'!BE$2,'1.PUNTOS'!$A$1:$B$63,2,0),0)</f>
        <v>0</v>
      </c>
      <c r="AW158" s="138">
        <f>IF('1.DATOS-PROD'!BF159="SI",VLOOKUP('1.DATOS-PROD'!BF$2,'1.PUNTOS'!$A$1:$B$63,2,0),0)</f>
        <v>0</v>
      </c>
      <c r="AX158" s="138">
        <f>IF('1.DATOS-PROD'!BG159="SI",VLOOKUP('1.DATOS-PROD'!BG$2,'1.PUNTOS'!$A$1:$B$63,2,0),0)</f>
        <v>0</v>
      </c>
      <c r="AY158" s="138">
        <f>IF('1.DATOS-PROD'!BH159="SI",VLOOKUP('1.DATOS-PROD'!BH$2,'1.PUNTOS'!$A$1:$B$63,2,0),0)</f>
        <v>0</v>
      </c>
      <c r="AZ158" s="138">
        <f>IF('1.DATOS-PROD'!BI159="SI",VLOOKUP('1.DATOS-PROD'!BI$2,'1.PUNTOS'!$A$1:$B$63,2,0),0)</f>
        <v>0</v>
      </c>
      <c r="BA158" s="138">
        <f>IF('1.DATOS-PROD'!BJ159="SI",VLOOKUP('1.DATOS-PROD'!BJ$2,'1.PUNTOS'!$A$1:$B$63,2,0),0)</f>
        <v>0</v>
      </c>
      <c r="BB158" s="138">
        <f>IF('1.DATOS-PROD'!BK159="SI",VLOOKUP('1.DATOS-PROD'!BK$2,'1.PUNTOS'!$A$1:$B$63,2,0),0)</f>
        <v>0</v>
      </c>
      <c r="BC158" s="138">
        <f>IF('1.DATOS-PROD'!BL159="SI",VLOOKUP('1.DATOS-PROD'!BL$2,'1.PUNTOS'!$A$1:$B$63,2,0),0)</f>
        <v>0</v>
      </c>
      <c r="BD158" s="138">
        <f>IF('1.DATOS-PROD'!BM159="SI",VLOOKUP('1.DATOS-PROD'!BM$2,'1.PUNTOS'!$A$1:$B$63,2,0),0)</f>
        <v>0</v>
      </c>
      <c r="BE158" s="138">
        <f>IF('1.DATOS-PROD'!BN159="SI",VLOOKUP('1.DATOS-PROD'!BN$2,'1.PUNTOS'!$A$1:$B$63,2,0),0)</f>
        <v>0</v>
      </c>
      <c r="BF158" s="138">
        <f>IF('1.DATOS-PROD'!BO159="SI",VLOOKUP('1.DATOS-PROD'!BO$2,'1.PUNTOS'!$A$1:$B$63,2,0),0)</f>
        <v>0</v>
      </c>
      <c r="BG158" s="138">
        <f>IF('1.DATOS-PROD'!BP159="SI",VLOOKUP('1.DATOS-PROD'!BP$2,'1.PUNTOS'!$A$1:$B$63,2,0),0)</f>
        <v>0</v>
      </c>
      <c r="BH158" s="138">
        <f>IF('1.DATOS-PROD'!BQ159="SI",VLOOKUP('1.DATOS-PROD'!BQ$2,'1.PUNTOS'!$A$1:$B$63,2,0),0)</f>
        <v>0</v>
      </c>
      <c r="BI158" s="138">
        <f>IF('1.DATOS-PROD'!BR159="SI",VLOOKUP('1.DATOS-PROD'!BR$2,'1.PUNTOS'!$A$1:$B$63,2,0),0)</f>
        <v>0</v>
      </c>
      <c r="BJ158" s="138">
        <f>IF('1.DATOS-PROD'!BS159="SI",VLOOKUP('1.DATOS-PROD'!BS$2,'1.PUNTOS'!$A$1:$B$63,2,0),0)</f>
        <v>0</v>
      </c>
      <c r="BK158" s="138">
        <f>IF('1.DATOS-PROD'!BT159="SI",VLOOKUP('1.DATOS-PROD'!BT$2,'1.PUNTOS'!$A$1:$B$63,2,0),0)</f>
        <v>0</v>
      </c>
    </row>
    <row r="159" spans="1:63" x14ac:dyDescent="0.25">
      <c r="A159">
        <f>'0.Consolidado general'!$A160</f>
        <v>0</v>
      </c>
      <c r="B159" s="138">
        <f>IF('1.DATOS-PROD'!K160="SI",VLOOKUP('1.DATOS-PROD'!K$2,'1.PUNTOS'!$A$1:$B$63,2,0),0)</f>
        <v>0</v>
      </c>
      <c r="C159" s="138">
        <f>IF('1.DATOS-PROD'!L160="SI",VLOOKUP('1.DATOS-PROD'!L$2,'1.PUNTOS'!$A$1:$B$63,2,0),0)</f>
        <v>0</v>
      </c>
      <c r="D159" s="138">
        <f>IF('1.DATOS-PROD'!M160="SI",VLOOKUP('1.DATOS-PROD'!M$2,'1.PUNTOS'!$A$1:$B$63,2,0),0)</f>
        <v>0</v>
      </c>
      <c r="E159" s="138">
        <f>IF('1.DATOS-PROD'!N160="SI",VLOOKUP('1.DATOS-PROD'!N$2,'1.PUNTOS'!$A$1:$B$63,2,0),0)</f>
        <v>0</v>
      </c>
      <c r="F159" s="138">
        <f>IF('1.DATOS-PROD'!O160="SI",VLOOKUP('1.DATOS-PROD'!O$2,'1.PUNTOS'!$A$1:$B$63,2,0),0)</f>
        <v>0</v>
      </c>
      <c r="G159" s="138">
        <f>IF('1.DATOS-PROD'!P160="SI",VLOOKUP('1.DATOS-PROD'!P$2,'1.PUNTOS'!$A$1:$B$63,2,0),0)</f>
        <v>0</v>
      </c>
      <c r="H159" s="138">
        <f>IF('1.DATOS-PROD'!Q160="SI",VLOOKUP('1.DATOS-PROD'!Q$2,'1.PUNTOS'!$A$1:$B$63,2,0),0)</f>
        <v>0</v>
      </c>
      <c r="I159" s="138">
        <f>IF('1.DATOS-PROD'!R160="SI",VLOOKUP('1.DATOS-PROD'!R$2,'1.PUNTOS'!$A$1:$B$63,2,0),0)</f>
        <v>0</v>
      </c>
      <c r="J159" s="138">
        <f>IF('1.DATOS-PROD'!S160="SI",VLOOKUP('1.DATOS-PROD'!S$2,'1.PUNTOS'!$A$1:$B$63,2,0),0)</f>
        <v>0</v>
      </c>
      <c r="K159" s="138">
        <f>IF('1.DATOS-PROD'!T160="SI",VLOOKUP('1.DATOS-PROD'!T$2,'1.PUNTOS'!$A$1:$B$63,2,0),0)</f>
        <v>0</v>
      </c>
      <c r="L159" s="138">
        <f>IF('1.DATOS-PROD'!U160="SI",VLOOKUP('1.DATOS-PROD'!U$2,'1.PUNTOS'!$A$1:$B$63,2,0),0)</f>
        <v>0</v>
      </c>
      <c r="M159" s="138">
        <f>IF('1.DATOS-PROD'!V160="SI",VLOOKUP('1.DATOS-PROD'!V$2,'1.PUNTOS'!$A$1:$B$63,2,0),0)</f>
        <v>0</v>
      </c>
      <c r="N159" s="138">
        <f>IF('1.DATOS-PROD'!W160="SI",VLOOKUP('1.DATOS-PROD'!W$2,'1.PUNTOS'!$A$1:$B$63,2,0),0)</f>
        <v>0</v>
      </c>
      <c r="O159" s="138">
        <f>IF('1.DATOS-PROD'!X160="SI",VLOOKUP('1.DATOS-PROD'!X$2,'1.PUNTOS'!$A$1:$B$63,2,0),0)</f>
        <v>0</v>
      </c>
      <c r="P159" s="138">
        <f>IF('1.DATOS-PROD'!Y160="SI",VLOOKUP('1.DATOS-PROD'!Y$2,'1.PUNTOS'!$A$1:$B$63,2,0),0)</f>
        <v>0</v>
      </c>
      <c r="Q159" s="138">
        <f>IF('1.DATOS-PROD'!Z160="SI",VLOOKUP('1.DATOS-PROD'!Z$2,'1.PUNTOS'!$A$1:$B$63,2,0),0)</f>
        <v>0</v>
      </c>
      <c r="R159" s="138">
        <f>IF('1.DATOS-PROD'!AA160="SI",VLOOKUP('1.DATOS-PROD'!AA$2,'1.PUNTOS'!$A$1:$B$63,2,0),0)</f>
        <v>0</v>
      </c>
      <c r="S159" s="138">
        <f>IF('1.DATOS-PROD'!AB160="SI",VLOOKUP('1.DATOS-PROD'!AB$2,'1.PUNTOS'!$A$1:$B$63,2,0),0)</f>
        <v>0</v>
      </c>
      <c r="T159" s="138">
        <f>IF('1.DATOS-PROD'!AC160="SI",VLOOKUP('1.DATOS-PROD'!AC$2,'1.PUNTOS'!$A$1:$B$63,2,0),0)</f>
        <v>0</v>
      </c>
      <c r="U159" s="138">
        <f>IF('1.DATOS-PROD'!AD160="SI",VLOOKUP('1.DATOS-PROD'!AD$2,'1.PUNTOS'!$A$1:$B$63,2,0),0)</f>
        <v>0</v>
      </c>
      <c r="V159" s="138">
        <f>IF('1.DATOS-PROD'!AE160="SI",VLOOKUP('1.DATOS-PROD'!AE$2,'1.PUNTOS'!$A$1:$B$63,2,0),0)</f>
        <v>0</v>
      </c>
      <c r="W159" s="138">
        <f>IF('1.DATOS-PROD'!AF160="SI",VLOOKUP('1.DATOS-PROD'!AF$2,'1.PUNTOS'!$A$1:$B$63,2,0),0)</f>
        <v>0</v>
      </c>
      <c r="X159" s="138">
        <f>IF('1.DATOS-PROD'!AG160="SI",VLOOKUP('1.DATOS-PROD'!AG$2,'1.PUNTOS'!$A$1:$B$63,2,0),0)</f>
        <v>0</v>
      </c>
      <c r="Y159" s="138">
        <f>IF('1.DATOS-PROD'!AH160="SI",VLOOKUP('1.DATOS-PROD'!AH$2,'1.PUNTOS'!$A$1:$B$63,2,0),0)</f>
        <v>0</v>
      </c>
      <c r="Z159" s="138">
        <f>IF('1.DATOS-PROD'!AI160="SI",VLOOKUP('1.DATOS-PROD'!AI$2,'1.PUNTOS'!$A$1:$B$63,2,0),0)</f>
        <v>0</v>
      </c>
      <c r="AA159" s="138">
        <f>IF('1.DATOS-PROD'!AJ160="SI",VLOOKUP('1.DATOS-PROD'!AJ$2,'1.PUNTOS'!$A$1:$B$63,2,0),0)</f>
        <v>0</v>
      </c>
      <c r="AB159" s="138">
        <f>IF('1.DATOS-PROD'!AK160="SI",VLOOKUP('1.DATOS-PROD'!AK$2,'1.PUNTOS'!$A$1:$B$63,2,0),0)</f>
        <v>0</v>
      </c>
      <c r="AC159" s="138">
        <f>IF('1.DATOS-PROD'!AL160="SI",VLOOKUP('1.DATOS-PROD'!AL$2,'1.PUNTOS'!$A$1:$B$63,2,0),0)</f>
        <v>0</v>
      </c>
      <c r="AD159" s="138">
        <f>IF('1.DATOS-PROD'!AM160="SI",VLOOKUP('1.DATOS-PROD'!AM$2,'1.PUNTOS'!$A$1:$B$63,2,0),0)</f>
        <v>0</v>
      </c>
      <c r="AE159" s="138">
        <f>IF('1.DATOS-PROD'!AN160="SI",VLOOKUP('1.DATOS-PROD'!AN$2,'1.PUNTOS'!$A$1:$B$63,2,0),0)</f>
        <v>0</v>
      </c>
      <c r="AF159" s="138">
        <f>IF('1.DATOS-PROD'!AO160="SI",VLOOKUP('1.DATOS-PROD'!AO$2,'1.PUNTOS'!$A$1:$B$63,2,0),0)</f>
        <v>0</v>
      </c>
      <c r="AG159" s="138">
        <f>IF('1.DATOS-PROD'!AP160="SI",VLOOKUP('1.DATOS-PROD'!AP$2,'1.PUNTOS'!$A$1:$B$63,2,0),0)</f>
        <v>0</v>
      </c>
      <c r="AH159" s="138">
        <f>IF('1.DATOS-PROD'!AQ160="SI",VLOOKUP('1.DATOS-PROD'!AQ$2,'1.PUNTOS'!$A$1:$B$63,2,0),0)</f>
        <v>0</v>
      </c>
      <c r="AI159" s="138">
        <f>IF('1.DATOS-PROD'!AR160="SI",VLOOKUP('1.DATOS-PROD'!AR$2,'1.PUNTOS'!$A$1:$B$63,2,0),0)</f>
        <v>0</v>
      </c>
      <c r="AJ159" s="138">
        <f>IF('1.DATOS-PROD'!AS160="SI",VLOOKUP('1.DATOS-PROD'!AS$2,'1.PUNTOS'!$A$1:$B$63,2,0),0)</f>
        <v>0</v>
      </c>
      <c r="AK159" s="138">
        <f>IF('1.DATOS-PROD'!AT160="SI",VLOOKUP('1.DATOS-PROD'!AT$2,'1.PUNTOS'!$A$1:$B$63,2,0),0)</f>
        <v>0</v>
      </c>
      <c r="AL159" s="138">
        <f>IF('1.DATOS-PROD'!AU160="SI",VLOOKUP('1.DATOS-PROD'!AU$2,'1.PUNTOS'!$A$1:$B$63,2,0),0)</f>
        <v>0</v>
      </c>
      <c r="AM159" s="138">
        <f>IF('1.DATOS-PROD'!AV160="SI",VLOOKUP('1.DATOS-PROD'!AV$2,'1.PUNTOS'!$A$1:$B$63,2,0),0)</f>
        <v>0</v>
      </c>
      <c r="AN159" s="138">
        <f>IF('1.DATOS-PROD'!AW160="SI",VLOOKUP('1.DATOS-PROD'!AW$2,'1.PUNTOS'!$A$1:$B$63,2,0),0)</f>
        <v>0</v>
      </c>
      <c r="AO159" s="138">
        <f>IF('1.DATOS-PROD'!AX160="SI",VLOOKUP('1.DATOS-PROD'!AX$2,'1.PUNTOS'!$A$1:$B$63,2,0),0)</f>
        <v>0</v>
      </c>
      <c r="AP159" s="138">
        <f>IF('1.DATOS-PROD'!AY160="SI",VLOOKUP('1.DATOS-PROD'!AY$2,'1.PUNTOS'!$A$1:$B$63,2,0),0)</f>
        <v>0</v>
      </c>
      <c r="AQ159" s="138">
        <f>IF('1.DATOS-PROD'!AZ160="SI",VLOOKUP('1.DATOS-PROD'!AZ$2,'1.PUNTOS'!$A$1:$B$63,2,0),0)</f>
        <v>0</v>
      </c>
      <c r="AR159" s="138">
        <f>IF('1.DATOS-PROD'!BA160="SI",VLOOKUP('1.DATOS-PROD'!BA$2,'1.PUNTOS'!$A$1:$B$63,2,0),0)</f>
        <v>0</v>
      </c>
      <c r="AS159" s="138">
        <f>IF('1.DATOS-PROD'!BB160="SI",VLOOKUP('1.DATOS-PROD'!BB$2,'1.PUNTOS'!$A$1:$B$63,2,0),0)</f>
        <v>0</v>
      </c>
      <c r="AT159" s="138">
        <f>IF('1.DATOS-PROD'!BC160="SI",VLOOKUP('1.DATOS-PROD'!BC$2,'1.PUNTOS'!$A$1:$B$63,2,0),0)</f>
        <v>0</v>
      </c>
      <c r="AU159" s="138">
        <f>IF('1.DATOS-PROD'!BD160="SI",VLOOKUP('1.DATOS-PROD'!BD$2,'1.PUNTOS'!$A$1:$B$63,2,0),0)</f>
        <v>0</v>
      </c>
      <c r="AV159" s="138">
        <f>IF('1.DATOS-PROD'!BE160="SI",VLOOKUP('1.DATOS-PROD'!BE$2,'1.PUNTOS'!$A$1:$B$63,2,0),0)</f>
        <v>0</v>
      </c>
      <c r="AW159" s="138">
        <f>IF('1.DATOS-PROD'!BF160="SI",VLOOKUP('1.DATOS-PROD'!BF$2,'1.PUNTOS'!$A$1:$B$63,2,0),0)</f>
        <v>0</v>
      </c>
      <c r="AX159" s="138">
        <f>IF('1.DATOS-PROD'!BG160="SI",VLOOKUP('1.DATOS-PROD'!BG$2,'1.PUNTOS'!$A$1:$B$63,2,0),0)</f>
        <v>0</v>
      </c>
      <c r="AY159" s="138">
        <f>IF('1.DATOS-PROD'!BH160="SI",VLOOKUP('1.DATOS-PROD'!BH$2,'1.PUNTOS'!$A$1:$B$63,2,0),0)</f>
        <v>0</v>
      </c>
      <c r="AZ159" s="138">
        <f>IF('1.DATOS-PROD'!BI160="SI",VLOOKUP('1.DATOS-PROD'!BI$2,'1.PUNTOS'!$A$1:$B$63,2,0),0)</f>
        <v>0</v>
      </c>
      <c r="BA159" s="138">
        <f>IF('1.DATOS-PROD'!BJ160="SI",VLOOKUP('1.DATOS-PROD'!BJ$2,'1.PUNTOS'!$A$1:$B$63,2,0),0)</f>
        <v>0</v>
      </c>
      <c r="BB159" s="138">
        <f>IF('1.DATOS-PROD'!BK160="SI",VLOOKUP('1.DATOS-PROD'!BK$2,'1.PUNTOS'!$A$1:$B$63,2,0),0)</f>
        <v>0</v>
      </c>
      <c r="BC159" s="138">
        <f>IF('1.DATOS-PROD'!BL160="SI",VLOOKUP('1.DATOS-PROD'!BL$2,'1.PUNTOS'!$A$1:$B$63,2,0),0)</f>
        <v>0</v>
      </c>
      <c r="BD159" s="138">
        <f>IF('1.DATOS-PROD'!BM160="SI",VLOOKUP('1.DATOS-PROD'!BM$2,'1.PUNTOS'!$A$1:$B$63,2,0),0)</f>
        <v>0</v>
      </c>
      <c r="BE159" s="138">
        <f>IF('1.DATOS-PROD'!BN160="SI",VLOOKUP('1.DATOS-PROD'!BN$2,'1.PUNTOS'!$A$1:$B$63,2,0),0)</f>
        <v>0</v>
      </c>
      <c r="BF159" s="138">
        <f>IF('1.DATOS-PROD'!BO160="SI",VLOOKUP('1.DATOS-PROD'!BO$2,'1.PUNTOS'!$A$1:$B$63,2,0),0)</f>
        <v>0</v>
      </c>
      <c r="BG159" s="138">
        <f>IF('1.DATOS-PROD'!BP160="SI",VLOOKUP('1.DATOS-PROD'!BP$2,'1.PUNTOS'!$A$1:$B$63,2,0),0)</f>
        <v>0</v>
      </c>
      <c r="BH159" s="138">
        <f>IF('1.DATOS-PROD'!BQ160="SI",VLOOKUP('1.DATOS-PROD'!BQ$2,'1.PUNTOS'!$A$1:$B$63,2,0),0)</f>
        <v>0</v>
      </c>
      <c r="BI159" s="138">
        <f>IF('1.DATOS-PROD'!BR160="SI",VLOOKUP('1.DATOS-PROD'!BR$2,'1.PUNTOS'!$A$1:$B$63,2,0),0)</f>
        <v>0</v>
      </c>
      <c r="BJ159" s="138">
        <f>IF('1.DATOS-PROD'!BS160="SI",VLOOKUP('1.DATOS-PROD'!BS$2,'1.PUNTOS'!$A$1:$B$63,2,0),0)</f>
        <v>0</v>
      </c>
      <c r="BK159" s="138">
        <f>IF('1.DATOS-PROD'!BT160="SI",VLOOKUP('1.DATOS-PROD'!BT$2,'1.PUNTOS'!$A$1:$B$63,2,0),0)</f>
        <v>0</v>
      </c>
    </row>
    <row r="160" spans="1:63" x14ac:dyDescent="0.25">
      <c r="A160">
        <f>'0.Consolidado general'!$A161</f>
        <v>0</v>
      </c>
      <c r="B160" s="138">
        <f>IF('1.DATOS-PROD'!K161="SI",VLOOKUP('1.DATOS-PROD'!K$2,'1.PUNTOS'!$A$1:$B$63,2,0),0)</f>
        <v>0</v>
      </c>
      <c r="C160" s="138">
        <f>IF('1.DATOS-PROD'!L161="SI",VLOOKUP('1.DATOS-PROD'!L$2,'1.PUNTOS'!$A$1:$B$63,2,0),0)</f>
        <v>0</v>
      </c>
      <c r="D160" s="138">
        <f>IF('1.DATOS-PROD'!M161="SI",VLOOKUP('1.DATOS-PROD'!M$2,'1.PUNTOS'!$A$1:$B$63,2,0),0)</f>
        <v>0</v>
      </c>
      <c r="E160" s="138">
        <f>IF('1.DATOS-PROD'!N161="SI",VLOOKUP('1.DATOS-PROD'!N$2,'1.PUNTOS'!$A$1:$B$63,2,0),0)</f>
        <v>0</v>
      </c>
      <c r="F160" s="138">
        <f>IF('1.DATOS-PROD'!O161="SI",VLOOKUP('1.DATOS-PROD'!O$2,'1.PUNTOS'!$A$1:$B$63,2,0),0)</f>
        <v>0</v>
      </c>
      <c r="G160" s="138">
        <f>IF('1.DATOS-PROD'!P161="SI",VLOOKUP('1.DATOS-PROD'!P$2,'1.PUNTOS'!$A$1:$B$63,2,0),0)</f>
        <v>0</v>
      </c>
      <c r="H160" s="138">
        <f>IF('1.DATOS-PROD'!Q161="SI",VLOOKUP('1.DATOS-PROD'!Q$2,'1.PUNTOS'!$A$1:$B$63,2,0),0)</f>
        <v>0</v>
      </c>
      <c r="I160" s="138">
        <f>IF('1.DATOS-PROD'!R161="SI",VLOOKUP('1.DATOS-PROD'!R$2,'1.PUNTOS'!$A$1:$B$63,2,0),0)</f>
        <v>0</v>
      </c>
      <c r="J160" s="138">
        <f>IF('1.DATOS-PROD'!S161="SI",VLOOKUP('1.DATOS-PROD'!S$2,'1.PUNTOS'!$A$1:$B$63,2,0),0)</f>
        <v>0</v>
      </c>
      <c r="K160" s="138">
        <f>IF('1.DATOS-PROD'!T161="SI",VLOOKUP('1.DATOS-PROD'!T$2,'1.PUNTOS'!$A$1:$B$63,2,0),0)</f>
        <v>0</v>
      </c>
      <c r="L160" s="138">
        <f>IF('1.DATOS-PROD'!U161="SI",VLOOKUP('1.DATOS-PROD'!U$2,'1.PUNTOS'!$A$1:$B$63,2,0),0)</f>
        <v>0</v>
      </c>
      <c r="M160" s="138">
        <f>IF('1.DATOS-PROD'!V161="SI",VLOOKUP('1.DATOS-PROD'!V$2,'1.PUNTOS'!$A$1:$B$63,2,0),0)</f>
        <v>0</v>
      </c>
      <c r="N160" s="138">
        <f>IF('1.DATOS-PROD'!W161="SI",VLOOKUP('1.DATOS-PROD'!W$2,'1.PUNTOS'!$A$1:$B$63,2,0),0)</f>
        <v>0</v>
      </c>
      <c r="O160" s="138">
        <f>IF('1.DATOS-PROD'!X161="SI",VLOOKUP('1.DATOS-PROD'!X$2,'1.PUNTOS'!$A$1:$B$63,2,0),0)</f>
        <v>0</v>
      </c>
      <c r="P160" s="138">
        <f>IF('1.DATOS-PROD'!Y161="SI",VLOOKUP('1.DATOS-PROD'!Y$2,'1.PUNTOS'!$A$1:$B$63,2,0),0)</f>
        <v>0</v>
      </c>
      <c r="Q160" s="138">
        <f>IF('1.DATOS-PROD'!Z161="SI",VLOOKUP('1.DATOS-PROD'!Z$2,'1.PUNTOS'!$A$1:$B$63,2,0),0)</f>
        <v>0</v>
      </c>
      <c r="R160" s="138">
        <f>IF('1.DATOS-PROD'!AA161="SI",VLOOKUP('1.DATOS-PROD'!AA$2,'1.PUNTOS'!$A$1:$B$63,2,0),0)</f>
        <v>0</v>
      </c>
      <c r="S160" s="138">
        <f>IF('1.DATOS-PROD'!AB161="SI",VLOOKUP('1.DATOS-PROD'!AB$2,'1.PUNTOS'!$A$1:$B$63,2,0),0)</f>
        <v>0</v>
      </c>
      <c r="T160" s="138">
        <f>IF('1.DATOS-PROD'!AC161="SI",VLOOKUP('1.DATOS-PROD'!AC$2,'1.PUNTOS'!$A$1:$B$63,2,0),0)</f>
        <v>0</v>
      </c>
      <c r="U160" s="138">
        <f>IF('1.DATOS-PROD'!AD161="SI",VLOOKUP('1.DATOS-PROD'!AD$2,'1.PUNTOS'!$A$1:$B$63,2,0),0)</f>
        <v>0</v>
      </c>
      <c r="V160" s="138">
        <f>IF('1.DATOS-PROD'!AE161="SI",VLOOKUP('1.DATOS-PROD'!AE$2,'1.PUNTOS'!$A$1:$B$63,2,0),0)</f>
        <v>0</v>
      </c>
      <c r="W160" s="138">
        <f>IF('1.DATOS-PROD'!AF161="SI",VLOOKUP('1.DATOS-PROD'!AF$2,'1.PUNTOS'!$A$1:$B$63,2,0),0)</f>
        <v>0</v>
      </c>
      <c r="X160" s="138">
        <f>IF('1.DATOS-PROD'!AG161="SI",VLOOKUP('1.DATOS-PROD'!AG$2,'1.PUNTOS'!$A$1:$B$63,2,0),0)</f>
        <v>0</v>
      </c>
      <c r="Y160" s="138">
        <f>IF('1.DATOS-PROD'!AH161="SI",VLOOKUP('1.DATOS-PROD'!AH$2,'1.PUNTOS'!$A$1:$B$63,2,0),0)</f>
        <v>0</v>
      </c>
      <c r="Z160" s="138">
        <f>IF('1.DATOS-PROD'!AI161="SI",VLOOKUP('1.DATOS-PROD'!AI$2,'1.PUNTOS'!$A$1:$B$63,2,0),0)</f>
        <v>0</v>
      </c>
      <c r="AA160" s="138">
        <f>IF('1.DATOS-PROD'!AJ161="SI",VLOOKUP('1.DATOS-PROD'!AJ$2,'1.PUNTOS'!$A$1:$B$63,2,0),0)</f>
        <v>0</v>
      </c>
      <c r="AB160" s="138">
        <f>IF('1.DATOS-PROD'!AK161="SI",VLOOKUP('1.DATOS-PROD'!AK$2,'1.PUNTOS'!$A$1:$B$63,2,0),0)</f>
        <v>0</v>
      </c>
      <c r="AC160" s="138">
        <f>IF('1.DATOS-PROD'!AL161="SI",VLOOKUP('1.DATOS-PROD'!AL$2,'1.PUNTOS'!$A$1:$B$63,2,0),0)</f>
        <v>0</v>
      </c>
      <c r="AD160" s="138">
        <f>IF('1.DATOS-PROD'!AM161="SI",VLOOKUP('1.DATOS-PROD'!AM$2,'1.PUNTOS'!$A$1:$B$63,2,0),0)</f>
        <v>0</v>
      </c>
      <c r="AE160" s="138">
        <f>IF('1.DATOS-PROD'!AN161="SI",VLOOKUP('1.DATOS-PROD'!AN$2,'1.PUNTOS'!$A$1:$B$63,2,0),0)</f>
        <v>0</v>
      </c>
      <c r="AF160" s="138">
        <f>IF('1.DATOS-PROD'!AO161="SI",VLOOKUP('1.DATOS-PROD'!AO$2,'1.PUNTOS'!$A$1:$B$63,2,0),0)</f>
        <v>0</v>
      </c>
      <c r="AG160" s="138">
        <f>IF('1.DATOS-PROD'!AP161="SI",VLOOKUP('1.DATOS-PROD'!AP$2,'1.PUNTOS'!$A$1:$B$63,2,0),0)</f>
        <v>0</v>
      </c>
      <c r="AH160" s="138">
        <f>IF('1.DATOS-PROD'!AQ161="SI",VLOOKUP('1.DATOS-PROD'!AQ$2,'1.PUNTOS'!$A$1:$B$63,2,0),0)</f>
        <v>0</v>
      </c>
      <c r="AI160" s="138">
        <f>IF('1.DATOS-PROD'!AR161="SI",VLOOKUP('1.DATOS-PROD'!AR$2,'1.PUNTOS'!$A$1:$B$63,2,0),0)</f>
        <v>0</v>
      </c>
      <c r="AJ160" s="138">
        <f>IF('1.DATOS-PROD'!AS161="SI",VLOOKUP('1.DATOS-PROD'!AS$2,'1.PUNTOS'!$A$1:$B$63,2,0),0)</f>
        <v>0</v>
      </c>
      <c r="AK160" s="138">
        <f>IF('1.DATOS-PROD'!AT161="SI",VLOOKUP('1.DATOS-PROD'!AT$2,'1.PUNTOS'!$A$1:$B$63,2,0),0)</f>
        <v>0</v>
      </c>
      <c r="AL160" s="138">
        <f>IF('1.DATOS-PROD'!AU161="SI",VLOOKUP('1.DATOS-PROD'!AU$2,'1.PUNTOS'!$A$1:$B$63,2,0),0)</f>
        <v>0</v>
      </c>
      <c r="AM160" s="138">
        <f>IF('1.DATOS-PROD'!AV161="SI",VLOOKUP('1.DATOS-PROD'!AV$2,'1.PUNTOS'!$A$1:$B$63,2,0),0)</f>
        <v>0</v>
      </c>
      <c r="AN160" s="138">
        <f>IF('1.DATOS-PROD'!AW161="SI",VLOOKUP('1.DATOS-PROD'!AW$2,'1.PUNTOS'!$A$1:$B$63,2,0),0)</f>
        <v>0</v>
      </c>
      <c r="AO160" s="138">
        <f>IF('1.DATOS-PROD'!AX161="SI",VLOOKUP('1.DATOS-PROD'!AX$2,'1.PUNTOS'!$A$1:$B$63,2,0),0)</f>
        <v>0</v>
      </c>
      <c r="AP160" s="138">
        <f>IF('1.DATOS-PROD'!AY161="SI",VLOOKUP('1.DATOS-PROD'!AY$2,'1.PUNTOS'!$A$1:$B$63,2,0),0)</f>
        <v>0</v>
      </c>
      <c r="AQ160" s="138">
        <f>IF('1.DATOS-PROD'!AZ161="SI",VLOOKUP('1.DATOS-PROD'!AZ$2,'1.PUNTOS'!$A$1:$B$63,2,0),0)</f>
        <v>0</v>
      </c>
      <c r="AR160" s="138">
        <f>IF('1.DATOS-PROD'!BA161="SI",VLOOKUP('1.DATOS-PROD'!BA$2,'1.PUNTOS'!$A$1:$B$63,2,0),0)</f>
        <v>0</v>
      </c>
      <c r="AS160" s="138">
        <f>IF('1.DATOS-PROD'!BB161="SI",VLOOKUP('1.DATOS-PROD'!BB$2,'1.PUNTOS'!$A$1:$B$63,2,0),0)</f>
        <v>0</v>
      </c>
      <c r="AT160" s="138">
        <f>IF('1.DATOS-PROD'!BC161="SI",VLOOKUP('1.DATOS-PROD'!BC$2,'1.PUNTOS'!$A$1:$B$63,2,0),0)</f>
        <v>0</v>
      </c>
      <c r="AU160" s="138">
        <f>IF('1.DATOS-PROD'!BD161="SI",VLOOKUP('1.DATOS-PROD'!BD$2,'1.PUNTOS'!$A$1:$B$63,2,0),0)</f>
        <v>0</v>
      </c>
      <c r="AV160" s="138">
        <f>IF('1.DATOS-PROD'!BE161="SI",VLOOKUP('1.DATOS-PROD'!BE$2,'1.PUNTOS'!$A$1:$B$63,2,0),0)</f>
        <v>0</v>
      </c>
      <c r="AW160" s="138">
        <f>IF('1.DATOS-PROD'!BF161="SI",VLOOKUP('1.DATOS-PROD'!BF$2,'1.PUNTOS'!$A$1:$B$63,2,0),0)</f>
        <v>0</v>
      </c>
      <c r="AX160" s="138">
        <f>IF('1.DATOS-PROD'!BG161="SI",VLOOKUP('1.DATOS-PROD'!BG$2,'1.PUNTOS'!$A$1:$B$63,2,0),0)</f>
        <v>0</v>
      </c>
      <c r="AY160" s="138">
        <f>IF('1.DATOS-PROD'!BH161="SI",VLOOKUP('1.DATOS-PROD'!BH$2,'1.PUNTOS'!$A$1:$B$63,2,0),0)</f>
        <v>0</v>
      </c>
      <c r="AZ160" s="138">
        <f>IF('1.DATOS-PROD'!BI161="SI",VLOOKUP('1.DATOS-PROD'!BI$2,'1.PUNTOS'!$A$1:$B$63,2,0),0)</f>
        <v>0</v>
      </c>
      <c r="BA160" s="138">
        <f>IF('1.DATOS-PROD'!BJ161="SI",VLOOKUP('1.DATOS-PROD'!BJ$2,'1.PUNTOS'!$A$1:$B$63,2,0),0)</f>
        <v>0</v>
      </c>
      <c r="BB160" s="138">
        <f>IF('1.DATOS-PROD'!BK161="SI",VLOOKUP('1.DATOS-PROD'!BK$2,'1.PUNTOS'!$A$1:$B$63,2,0),0)</f>
        <v>0</v>
      </c>
      <c r="BC160" s="138">
        <f>IF('1.DATOS-PROD'!BL161="SI",VLOOKUP('1.DATOS-PROD'!BL$2,'1.PUNTOS'!$A$1:$B$63,2,0),0)</f>
        <v>0</v>
      </c>
      <c r="BD160" s="138">
        <f>IF('1.DATOS-PROD'!BM161="SI",VLOOKUP('1.DATOS-PROD'!BM$2,'1.PUNTOS'!$A$1:$B$63,2,0),0)</f>
        <v>0</v>
      </c>
      <c r="BE160" s="138">
        <f>IF('1.DATOS-PROD'!BN161="SI",VLOOKUP('1.DATOS-PROD'!BN$2,'1.PUNTOS'!$A$1:$B$63,2,0),0)</f>
        <v>0</v>
      </c>
      <c r="BF160" s="138">
        <f>IF('1.DATOS-PROD'!BO161="SI",VLOOKUP('1.DATOS-PROD'!BO$2,'1.PUNTOS'!$A$1:$B$63,2,0),0)</f>
        <v>0</v>
      </c>
      <c r="BG160" s="138">
        <f>IF('1.DATOS-PROD'!BP161="SI",VLOOKUP('1.DATOS-PROD'!BP$2,'1.PUNTOS'!$A$1:$B$63,2,0),0)</f>
        <v>0</v>
      </c>
      <c r="BH160" s="138">
        <f>IF('1.DATOS-PROD'!BQ161="SI",VLOOKUP('1.DATOS-PROD'!BQ$2,'1.PUNTOS'!$A$1:$B$63,2,0),0)</f>
        <v>0</v>
      </c>
      <c r="BI160" s="138">
        <f>IF('1.DATOS-PROD'!BR161="SI",VLOOKUP('1.DATOS-PROD'!BR$2,'1.PUNTOS'!$A$1:$B$63,2,0),0)</f>
        <v>0</v>
      </c>
      <c r="BJ160" s="138">
        <f>IF('1.DATOS-PROD'!BS161="SI",VLOOKUP('1.DATOS-PROD'!BS$2,'1.PUNTOS'!$A$1:$B$63,2,0),0)</f>
        <v>0</v>
      </c>
      <c r="BK160" s="138">
        <f>IF('1.DATOS-PROD'!BT161="SI",VLOOKUP('1.DATOS-PROD'!BT$2,'1.PUNTOS'!$A$1:$B$63,2,0),0)</f>
        <v>0</v>
      </c>
    </row>
    <row r="161" spans="1:63" x14ac:dyDescent="0.25">
      <c r="A161">
        <f>'0.Consolidado general'!$A162</f>
        <v>0</v>
      </c>
      <c r="B161" s="138">
        <f>IF('1.DATOS-PROD'!K162="SI",VLOOKUP('1.DATOS-PROD'!K$2,'1.PUNTOS'!$A$1:$B$63,2,0),0)</f>
        <v>0</v>
      </c>
      <c r="C161" s="138">
        <f>IF('1.DATOS-PROD'!L162="SI",VLOOKUP('1.DATOS-PROD'!L$2,'1.PUNTOS'!$A$1:$B$63,2,0),0)</f>
        <v>0</v>
      </c>
      <c r="D161" s="138">
        <f>IF('1.DATOS-PROD'!M162="SI",VLOOKUP('1.DATOS-PROD'!M$2,'1.PUNTOS'!$A$1:$B$63,2,0),0)</f>
        <v>0</v>
      </c>
      <c r="E161" s="138">
        <f>IF('1.DATOS-PROD'!N162="SI",VLOOKUP('1.DATOS-PROD'!N$2,'1.PUNTOS'!$A$1:$B$63,2,0),0)</f>
        <v>0</v>
      </c>
      <c r="F161" s="138">
        <f>IF('1.DATOS-PROD'!O162="SI",VLOOKUP('1.DATOS-PROD'!O$2,'1.PUNTOS'!$A$1:$B$63,2,0),0)</f>
        <v>0</v>
      </c>
      <c r="G161" s="138">
        <f>IF('1.DATOS-PROD'!P162="SI",VLOOKUP('1.DATOS-PROD'!P$2,'1.PUNTOS'!$A$1:$B$63,2,0),0)</f>
        <v>0</v>
      </c>
      <c r="H161" s="138">
        <f>IF('1.DATOS-PROD'!Q162="SI",VLOOKUP('1.DATOS-PROD'!Q$2,'1.PUNTOS'!$A$1:$B$63,2,0),0)</f>
        <v>0</v>
      </c>
      <c r="I161" s="138">
        <f>IF('1.DATOS-PROD'!R162="SI",VLOOKUP('1.DATOS-PROD'!R$2,'1.PUNTOS'!$A$1:$B$63,2,0),0)</f>
        <v>0</v>
      </c>
      <c r="J161" s="138">
        <f>IF('1.DATOS-PROD'!S162="SI",VLOOKUP('1.DATOS-PROD'!S$2,'1.PUNTOS'!$A$1:$B$63,2,0),0)</f>
        <v>0</v>
      </c>
      <c r="K161" s="138">
        <f>IF('1.DATOS-PROD'!T162="SI",VLOOKUP('1.DATOS-PROD'!T$2,'1.PUNTOS'!$A$1:$B$63,2,0),0)</f>
        <v>0</v>
      </c>
      <c r="L161" s="138">
        <f>IF('1.DATOS-PROD'!U162="SI",VLOOKUP('1.DATOS-PROD'!U$2,'1.PUNTOS'!$A$1:$B$63,2,0),0)</f>
        <v>0</v>
      </c>
      <c r="M161" s="138">
        <f>IF('1.DATOS-PROD'!V162="SI",VLOOKUP('1.DATOS-PROD'!V$2,'1.PUNTOS'!$A$1:$B$63,2,0),0)</f>
        <v>0</v>
      </c>
      <c r="N161" s="138">
        <f>IF('1.DATOS-PROD'!W162="SI",VLOOKUP('1.DATOS-PROD'!W$2,'1.PUNTOS'!$A$1:$B$63,2,0),0)</f>
        <v>0</v>
      </c>
      <c r="O161" s="138">
        <f>IF('1.DATOS-PROD'!X162="SI",VLOOKUP('1.DATOS-PROD'!X$2,'1.PUNTOS'!$A$1:$B$63,2,0),0)</f>
        <v>0</v>
      </c>
      <c r="P161" s="138">
        <f>IF('1.DATOS-PROD'!Y162="SI",VLOOKUP('1.DATOS-PROD'!Y$2,'1.PUNTOS'!$A$1:$B$63,2,0),0)</f>
        <v>0</v>
      </c>
      <c r="Q161" s="138">
        <f>IF('1.DATOS-PROD'!Z162="SI",VLOOKUP('1.DATOS-PROD'!Z$2,'1.PUNTOS'!$A$1:$B$63,2,0),0)</f>
        <v>0</v>
      </c>
      <c r="R161" s="138">
        <f>IF('1.DATOS-PROD'!AA162="SI",VLOOKUP('1.DATOS-PROD'!AA$2,'1.PUNTOS'!$A$1:$B$63,2,0),0)</f>
        <v>0</v>
      </c>
      <c r="S161" s="138">
        <f>IF('1.DATOS-PROD'!AB162="SI",VLOOKUP('1.DATOS-PROD'!AB$2,'1.PUNTOS'!$A$1:$B$63,2,0),0)</f>
        <v>0</v>
      </c>
      <c r="T161" s="138">
        <f>IF('1.DATOS-PROD'!AC162="SI",VLOOKUP('1.DATOS-PROD'!AC$2,'1.PUNTOS'!$A$1:$B$63,2,0),0)</f>
        <v>0</v>
      </c>
      <c r="U161" s="138">
        <f>IF('1.DATOS-PROD'!AD162="SI",VLOOKUP('1.DATOS-PROD'!AD$2,'1.PUNTOS'!$A$1:$B$63,2,0),0)</f>
        <v>0</v>
      </c>
      <c r="V161" s="138">
        <f>IF('1.DATOS-PROD'!AE162="SI",VLOOKUP('1.DATOS-PROD'!AE$2,'1.PUNTOS'!$A$1:$B$63,2,0),0)</f>
        <v>0</v>
      </c>
      <c r="W161" s="138">
        <f>IF('1.DATOS-PROD'!AF162="SI",VLOOKUP('1.DATOS-PROD'!AF$2,'1.PUNTOS'!$A$1:$B$63,2,0),0)</f>
        <v>0</v>
      </c>
      <c r="X161" s="138">
        <f>IF('1.DATOS-PROD'!AG162="SI",VLOOKUP('1.DATOS-PROD'!AG$2,'1.PUNTOS'!$A$1:$B$63,2,0),0)</f>
        <v>0</v>
      </c>
      <c r="Y161" s="138">
        <f>IF('1.DATOS-PROD'!AH162="SI",VLOOKUP('1.DATOS-PROD'!AH$2,'1.PUNTOS'!$A$1:$B$63,2,0),0)</f>
        <v>0</v>
      </c>
      <c r="Z161" s="138">
        <f>IF('1.DATOS-PROD'!AI162="SI",VLOOKUP('1.DATOS-PROD'!AI$2,'1.PUNTOS'!$A$1:$B$63,2,0),0)</f>
        <v>0</v>
      </c>
      <c r="AA161" s="138">
        <f>IF('1.DATOS-PROD'!AJ162="SI",VLOOKUP('1.DATOS-PROD'!AJ$2,'1.PUNTOS'!$A$1:$B$63,2,0),0)</f>
        <v>0</v>
      </c>
      <c r="AB161" s="138">
        <f>IF('1.DATOS-PROD'!AK162="SI",VLOOKUP('1.DATOS-PROD'!AK$2,'1.PUNTOS'!$A$1:$B$63,2,0),0)</f>
        <v>0</v>
      </c>
      <c r="AC161" s="138">
        <f>IF('1.DATOS-PROD'!AL162="SI",VLOOKUP('1.DATOS-PROD'!AL$2,'1.PUNTOS'!$A$1:$B$63,2,0),0)</f>
        <v>0</v>
      </c>
      <c r="AD161" s="138">
        <f>IF('1.DATOS-PROD'!AM162="SI",VLOOKUP('1.DATOS-PROD'!AM$2,'1.PUNTOS'!$A$1:$B$63,2,0),0)</f>
        <v>0</v>
      </c>
      <c r="AE161" s="138">
        <f>IF('1.DATOS-PROD'!AN162="SI",VLOOKUP('1.DATOS-PROD'!AN$2,'1.PUNTOS'!$A$1:$B$63,2,0),0)</f>
        <v>0</v>
      </c>
      <c r="AF161" s="138">
        <f>IF('1.DATOS-PROD'!AO162="SI",VLOOKUP('1.DATOS-PROD'!AO$2,'1.PUNTOS'!$A$1:$B$63,2,0),0)</f>
        <v>0</v>
      </c>
      <c r="AG161" s="138">
        <f>IF('1.DATOS-PROD'!AP162="SI",VLOOKUP('1.DATOS-PROD'!AP$2,'1.PUNTOS'!$A$1:$B$63,2,0),0)</f>
        <v>0</v>
      </c>
      <c r="AH161" s="138">
        <f>IF('1.DATOS-PROD'!AQ162="SI",VLOOKUP('1.DATOS-PROD'!AQ$2,'1.PUNTOS'!$A$1:$B$63,2,0),0)</f>
        <v>0</v>
      </c>
      <c r="AI161" s="138">
        <f>IF('1.DATOS-PROD'!AR162="SI",VLOOKUP('1.DATOS-PROD'!AR$2,'1.PUNTOS'!$A$1:$B$63,2,0),0)</f>
        <v>0</v>
      </c>
      <c r="AJ161" s="138">
        <f>IF('1.DATOS-PROD'!AS162="SI",VLOOKUP('1.DATOS-PROD'!AS$2,'1.PUNTOS'!$A$1:$B$63,2,0),0)</f>
        <v>0</v>
      </c>
      <c r="AK161" s="138">
        <f>IF('1.DATOS-PROD'!AT162="SI",VLOOKUP('1.DATOS-PROD'!AT$2,'1.PUNTOS'!$A$1:$B$63,2,0),0)</f>
        <v>0</v>
      </c>
      <c r="AL161" s="138">
        <f>IF('1.DATOS-PROD'!AU162="SI",VLOOKUP('1.DATOS-PROD'!AU$2,'1.PUNTOS'!$A$1:$B$63,2,0),0)</f>
        <v>0</v>
      </c>
      <c r="AM161" s="138">
        <f>IF('1.DATOS-PROD'!AV162="SI",VLOOKUP('1.DATOS-PROD'!AV$2,'1.PUNTOS'!$A$1:$B$63,2,0),0)</f>
        <v>0</v>
      </c>
      <c r="AN161" s="138">
        <f>IF('1.DATOS-PROD'!AW162="SI",VLOOKUP('1.DATOS-PROD'!AW$2,'1.PUNTOS'!$A$1:$B$63,2,0),0)</f>
        <v>0</v>
      </c>
      <c r="AO161" s="138">
        <f>IF('1.DATOS-PROD'!AX162="SI",VLOOKUP('1.DATOS-PROD'!AX$2,'1.PUNTOS'!$A$1:$B$63,2,0),0)</f>
        <v>0</v>
      </c>
      <c r="AP161" s="138">
        <f>IF('1.DATOS-PROD'!AY162="SI",VLOOKUP('1.DATOS-PROD'!AY$2,'1.PUNTOS'!$A$1:$B$63,2,0),0)</f>
        <v>0</v>
      </c>
      <c r="AQ161" s="138">
        <f>IF('1.DATOS-PROD'!AZ162="SI",VLOOKUP('1.DATOS-PROD'!AZ$2,'1.PUNTOS'!$A$1:$B$63,2,0),0)</f>
        <v>0</v>
      </c>
      <c r="AR161" s="138">
        <f>IF('1.DATOS-PROD'!BA162="SI",VLOOKUP('1.DATOS-PROD'!BA$2,'1.PUNTOS'!$A$1:$B$63,2,0),0)</f>
        <v>0</v>
      </c>
      <c r="AS161" s="138">
        <f>IF('1.DATOS-PROD'!BB162="SI",VLOOKUP('1.DATOS-PROD'!BB$2,'1.PUNTOS'!$A$1:$B$63,2,0),0)</f>
        <v>0</v>
      </c>
      <c r="AT161" s="138">
        <f>IF('1.DATOS-PROD'!BC162="SI",VLOOKUP('1.DATOS-PROD'!BC$2,'1.PUNTOS'!$A$1:$B$63,2,0),0)</f>
        <v>0</v>
      </c>
      <c r="AU161" s="138">
        <f>IF('1.DATOS-PROD'!BD162="SI",VLOOKUP('1.DATOS-PROD'!BD$2,'1.PUNTOS'!$A$1:$B$63,2,0),0)</f>
        <v>0</v>
      </c>
      <c r="AV161" s="138">
        <f>IF('1.DATOS-PROD'!BE162="SI",VLOOKUP('1.DATOS-PROD'!BE$2,'1.PUNTOS'!$A$1:$B$63,2,0),0)</f>
        <v>0</v>
      </c>
      <c r="AW161" s="138">
        <f>IF('1.DATOS-PROD'!BF162="SI",VLOOKUP('1.DATOS-PROD'!BF$2,'1.PUNTOS'!$A$1:$B$63,2,0),0)</f>
        <v>0</v>
      </c>
      <c r="AX161" s="138">
        <f>IF('1.DATOS-PROD'!BG162="SI",VLOOKUP('1.DATOS-PROD'!BG$2,'1.PUNTOS'!$A$1:$B$63,2,0),0)</f>
        <v>0</v>
      </c>
      <c r="AY161" s="138">
        <f>IF('1.DATOS-PROD'!BH162="SI",VLOOKUP('1.DATOS-PROD'!BH$2,'1.PUNTOS'!$A$1:$B$63,2,0),0)</f>
        <v>0</v>
      </c>
      <c r="AZ161" s="138">
        <f>IF('1.DATOS-PROD'!BI162="SI",VLOOKUP('1.DATOS-PROD'!BI$2,'1.PUNTOS'!$A$1:$B$63,2,0),0)</f>
        <v>0</v>
      </c>
      <c r="BA161" s="138">
        <f>IF('1.DATOS-PROD'!BJ162="SI",VLOOKUP('1.DATOS-PROD'!BJ$2,'1.PUNTOS'!$A$1:$B$63,2,0),0)</f>
        <v>0</v>
      </c>
      <c r="BB161" s="138">
        <f>IF('1.DATOS-PROD'!BK162="SI",VLOOKUP('1.DATOS-PROD'!BK$2,'1.PUNTOS'!$A$1:$B$63,2,0),0)</f>
        <v>0</v>
      </c>
      <c r="BC161" s="138">
        <f>IF('1.DATOS-PROD'!BL162="SI",VLOOKUP('1.DATOS-PROD'!BL$2,'1.PUNTOS'!$A$1:$B$63,2,0),0)</f>
        <v>0</v>
      </c>
      <c r="BD161" s="138">
        <f>IF('1.DATOS-PROD'!BM162="SI",VLOOKUP('1.DATOS-PROD'!BM$2,'1.PUNTOS'!$A$1:$B$63,2,0),0)</f>
        <v>0</v>
      </c>
      <c r="BE161" s="138">
        <f>IF('1.DATOS-PROD'!BN162="SI",VLOOKUP('1.DATOS-PROD'!BN$2,'1.PUNTOS'!$A$1:$B$63,2,0),0)</f>
        <v>0</v>
      </c>
      <c r="BF161" s="138">
        <f>IF('1.DATOS-PROD'!BO162="SI",VLOOKUP('1.DATOS-PROD'!BO$2,'1.PUNTOS'!$A$1:$B$63,2,0),0)</f>
        <v>0</v>
      </c>
      <c r="BG161" s="138">
        <f>IF('1.DATOS-PROD'!BP162="SI",VLOOKUP('1.DATOS-PROD'!BP$2,'1.PUNTOS'!$A$1:$B$63,2,0),0)</f>
        <v>0</v>
      </c>
      <c r="BH161" s="138">
        <f>IF('1.DATOS-PROD'!BQ162="SI",VLOOKUP('1.DATOS-PROD'!BQ$2,'1.PUNTOS'!$A$1:$B$63,2,0),0)</f>
        <v>0</v>
      </c>
      <c r="BI161" s="138">
        <f>IF('1.DATOS-PROD'!BR162="SI",VLOOKUP('1.DATOS-PROD'!BR$2,'1.PUNTOS'!$A$1:$B$63,2,0),0)</f>
        <v>0</v>
      </c>
      <c r="BJ161" s="138">
        <f>IF('1.DATOS-PROD'!BS162="SI",VLOOKUP('1.DATOS-PROD'!BS$2,'1.PUNTOS'!$A$1:$B$63,2,0),0)</f>
        <v>0</v>
      </c>
      <c r="BK161" s="138">
        <f>IF('1.DATOS-PROD'!BT162="SI",VLOOKUP('1.DATOS-PROD'!BT$2,'1.PUNTOS'!$A$1:$B$63,2,0),0)</f>
        <v>0</v>
      </c>
    </row>
    <row r="162" spans="1:63" x14ac:dyDescent="0.25">
      <c r="A162">
        <f>'0.Consolidado general'!$A163</f>
        <v>0</v>
      </c>
      <c r="B162" s="138">
        <f>IF('1.DATOS-PROD'!K163="SI",VLOOKUP('1.DATOS-PROD'!K$2,'1.PUNTOS'!$A$1:$B$63,2,0),0)</f>
        <v>0</v>
      </c>
      <c r="C162" s="138">
        <f>IF('1.DATOS-PROD'!L163="SI",VLOOKUP('1.DATOS-PROD'!L$2,'1.PUNTOS'!$A$1:$B$63,2,0),0)</f>
        <v>0</v>
      </c>
      <c r="D162" s="138">
        <f>IF('1.DATOS-PROD'!M163="SI",VLOOKUP('1.DATOS-PROD'!M$2,'1.PUNTOS'!$A$1:$B$63,2,0),0)</f>
        <v>0</v>
      </c>
      <c r="E162" s="138">
        <f>IF('1.DATOS-PROD'!N163="SI",VLOOKUP('1.DATOS-PROD'!N$2,'1.PUNTOS'!$A$1:$B$63,2,0),0)</f>
        <v>0</v>
      </c>
      <c r="F162" s="138">
        <f>IF('1.DATOS-PROD'!O163="SI",VLOOKUP('1.DATOS-PROD'!O$2,'1.PUNTOS'!$A$1:$B$63,2,0),0)</f>
        <v>0</v>
      </c>
      <c r="G162" s="138">
        <f>IF('1.DATOS-PROD'!P163="SI",VLOOKUP('1.DATOS-PROD'!P$2,'1.PUNTOS'!$A$1:$B$63,2,0),0)</f>
        <v>0</v>
      </c>
      <c r="H162" s="138">
        <f>IF('1.DATOS-PROD'!Q163="SI",VLOOKUP('1.DATOS-PROD'!Q$2,'1.PUNTOS'!$A$1:$B$63,2,0),0)</f>
        <v>0</v>
      </c>
      <c r="I162" s="138">
        <f>IF('1.DATOS-PROD'!R163="SI",VLOOKUP('1.DATOS-PROD'!R$2,'1.PUNTOS'!$A$1:$B$63,2,0),0)</f>
        <v>0</v>
      </c>
      <c r="J162" s="138">
        <f>IF('1.DATOS-PROD'!S163="SI",VLOOKUP('1.DATOS-PROD'!S$2,'1.PUNTOS'!$A$1:$B$63,2,0),0)</f>
        <v>0</v>
      </c>
      <c r="K162" s="138">
        <f>IF('1.DATOS-PROD'!T163="SI",VLOOKUP('1.DATOS-PROD'!T$2,'1.PUNTOS'!$A$1:$B$63,2,0),0)</f>
        <v>0</v>
      </c>
      <c r="L162" s="138">
        <f>IF('1.DATOS-PROD'!U163="SI",VLOOKUP('1.DATOS-PROD'!U$2,'1.PUNTOS'!$A$1:$B$63,2,0),0)</f>
        <v>0</v>
      </c>
      <c r="M162" s="138">
        <f>IF('1.DATOS-PROD'!V163="SI",VLOOKUP('1.DATOS-PROD'!V$2,'1.PUNTOS'!$A$1:$B$63,2,0),0)</f>
        <v>0</v>
      </c>
      <c r="N162" s="138">
        <f>IF('1.DATOS-PROD'!W163="SI",VLOOKUP('1.DATOS-PROD'!W$2,'1.PUNTOS'!$A$1:$B$63,2,0),0)</f>
        <v>0</v>
      </c>
      <c r="O162" s="138">
        <f>IF('1.DATOS-PROD'!X163="SI",VLOOKUP('1.DATOS-PROD'!X$2,'1.PUNTOS'!$A$1:$B$63,2,0),0)</f>
        <v>0</v>
      </c>
      <c r="P162" s="138">
        <f>IF('1.DATOS-PROD'!Y163="SI",VLOOKUP('1.DATOS-PROD'!Y$2,'1.PUNTOS'!$A$1:$B$63,2,0),0)</f>
        <v>0</v>
      </c>
      <c r="Q162" s="138">
        <f>IF('1.DATOS-PROD'!Z163="SI",VLOOKUP('1.DATOS-PROD'!Z$2,'1.PUNTOS'!$A$1:$B$63,2,0),0)</f>
        <v>0</v>
      </c>
      <c r="R162" s="138">
        <f>IF('1.DATOS-PROD'!AA163="SI",VLOOKUP('1.DATOS-PROD'!AA$2,'1.PUNTOS'!$A$1:$B$63,2,0),0)</f>
        <v>0</v>
      </c>
      <c r="S162" s="138">
        <f>IF('1.DATOS-PROD'!AB163="SI",VLOOKUP('1.DATOS-PROD'!AB$2,'1.PUNTOS'!$A$1:$B$63,2,0),0)</f>
        <v>0</v>
      </c>
      <c r="T162" s="138">
        <f>IF('1.DATOS-PROD'!AC163="SI",VLOOKUP('1.DATOS-PROD'!AC$2,'1.PUNTOS'!$A$1:$B$63,2,0),0)</f>
        <v>0</v>
      </c>
      <c r="U162" s="138">
        <f>IF('1.DATOS-PROD'!AD163="SI",VLOOKUP('1.DATOS-PROD'!AD$2,'1.PUNTOS'!$A$1:$B$63,2,0),0)</f>
        <v>0</v>
      </c>
      <c r="V162" s="138">
        <f>IF('1.DATOS-PROD'!AE163="SI",VLOOKUP('1.DATOS-PROD'!AE$2,'1.PUNTOS'!$A$1:$B$63,2,0),0)</f>
        <v>0</v>
      </c>
      <c r="W162" s="138">
        <f>IF('1.DATOS-PROD'!AF163="SI",VLOOKUP('1.DATOS-PROD'!AF$2,'1.PUNTOS'!$A$1:$B$63,2,0),0)</f>
        <v>0</v>
      </c>
      <c r="X162" s="138">
        <f>IF('1.DATOS-PROD'!AG163="SI",VLOOKUP('1.DATOS-PROD'!AG$2,'1.PUNTOS'!$A$1:$B$63,2,0),0)</f>
        <v>0</v>
      </c>
      <c r="Y162" s="138">
        <f>IF('1.DATOS-PROD'!AH163="SI",VLOOKUP('1.DATOS-PROD'!AH$2,'1.PUNTOS'!$A$1:$B$63,2,0),0)</f>
        <v>0</v>
      </c>
      <c r="Z162" s="138">
        <f>IF('1.DATOS-PROD'!AI163="SI",VLOOKUP('1.DATOS-PROD'!AI$2,'1.PUNTOS'!$A$1:$B$63,2,0),0)</f>
        <v>0</v>
      </c>
      <c r="AA162" s="138">
        <f>IF('1.DATOS-PROD'!AJ163="SI",VLOOKUP('1.DATOS-PROD'!AJ$2,'1.PUNTOS'!$A$1:$B$63,2,0),0)</f>
        <v>0</v>
      </c>
      <c r="AB162" s="138">
        <f>IF('1.DATOS-PROD'!AK163="SI",VLOOKUP('1.DATOS-PROD'!AK$2,'1.PUNTOS'!$A$1:$B$63,2,0),0)</f>
        <v>0</v>
      </c>
      <c r="AC162" s="138">
        <f>IF('1.DATOS-PROD'!AL163="SI",VLOOKUP('1.DATOS-PROD'!AL$2,'1.PUNTOS'!$A$1:$B$63,2,0),0)</f>
        <v>0</v>
      </c>
      <c r="AD162" s="138">
        <f>IF('1.DATOS-PROD'!AM163="SI",VLOOKUP('1.DATOS-PROD'!AM$2,'1.PUNTOS'!$A$1:$B$63,2,0),0)</f>
        <v>0</v>
      </c>
      <c r="AE162" s="138">
        <f>IF('1.DATOS-PROD'!AN163="SI",VLOOKUP('1.DATOS-PROD'!AN$2,'1.PUNTOS'!$A$1:$B$63,2,0),0)</f>
        <v>0</v>
      </c>
      <c r="AF162" s="138">
        <f>IF('1.DATOS-PROD'!AO163="SI",VLOOKUP('1.DATOS-PROD'!AO$2,'1.PUNTOS'!$A$1:$B$63,2,0),0)</f>
        <v>0</v>
      </c>
      <c r="AG162" s="138">
        <f>IF('1.DATOS-PROD'!AP163="SI",VLOOKUP('1.DATOS-PROD'!AP$2,'1.PUNTOS'!$A$1:$B$63,2,0),0)</f>
        <v>0</v>
      </c>
      <c r="AH162" s="138">
        <f>IF('1.DATOS-PROD'!AQ163="SI",VLOOKUP('1.DATOS-PROD'!AQ$2,'1.PUNTOS'!$A$1:$B$63,2,0),0)</f>
        <v>0</v>
      </c>
      <c r="AI162" s="138">
        <f>IF('1.DATOS-PROD'!AR163="SI",VLOOKUP('1.DATOS-PROD'!AR$2,'1.PUNTOS'!$A$1:$B$63,2,0),0)</f>
        <v>0</v>
      </c>
      <c r="AJ162" s="138">
        <f>IF('1.DATOS-PROD'!AS163="SI",VLOOKUP('1.DATOS-PROD'!AS$2,'1.PUNTOS'!$A$1:$B$63,2,0),0)</f>
        <v>0</v>
      </c>
      <c r="AK162" s="138">
        <f>IF('1.DATOS-PROD'!AT163="SI",VLOOKUP('1.DATOS-PROD'!AT$2,'1.PUNTOS'!$A$1:$B$63,2,0),0)</f>
        <v>0</v>
      </c>
      <c r="AL162" s="138">
        <f>IF('1.DATOS-PROD'!AU163="SI",VLOOKUP('1.DATOS-PROD'!AU$2,'1.PUNTOS'!$A$1:$B$63,2,0),0)</f>
        <v>0</v>
      </c>
      <c r="AM162" s="138">
        <f>IF('1.DATOS-PROD'!AV163="SI",VLOOKUP('1.DATOS-PROD'!AV$2,'1.PUNTOS'!$A$1:$B$63,2,0),0)</f>
        <v>0</v>
      </c>
      <c r="AN162" s="138">
        <f>IF('1.DATOS-PROD'!AW163="SI",VLOOKUP('1.DATOS-PROD'!AW$2,'1.PUNTOS'!$A$1:$B$63,2,0),0)</f>
        <v>0</v>
      </c>
      <c r="AO162" s="138">
        <f>IF('1.DATOS-PROD'!AX163="SI",VLOOKUP('1.DATOS-PROD'!AX$2,'1.PUNTOS'!$A$1:$B$63,2,0),0)</f>
        <v>0</v>
      </c>
      <c r="AP162" s="138">
        <f>IF('1.DATOS-PROD'!AY163="SI",VLOOKUP('1.DATOS-PROD'!AY$2,'1.PUNTOS'!$A$1:$B$63,2,0),0)</f>
        <v>0</v>
      </c>
      <c r="AQ162" s="138">
        <f>IF('1.DATOS-PROD'!AZ163="SI",VLOOKUP('1.DATOS-PROD'!AZ$2,'1.PUNTOS'!$A$1:$B$63,2,0),0)</f>
        <v>0</v>
      </c>
      <c r="AR162" s="138">
        <f>IF('1.DATOS-PROD'!BA163="SI",VLOOKUP('1.DATOS-PROD'!BA$2,'1.PUNTOS'!$A$1:$B$63,2,0),0)</f>
        <v>0</v>
      </c>
      <c r="AS162" s="138">
        <f>IF('1.DATOS-PROD'!BB163="SI",VLOOKUP('1.DATOS-PROD'!BB$2,'1.PUNTOS'!$A$1:$B$63,2,0),0)</f>
        <v>0</v>
      </c>
      <c r="AT162" s="138">
        <f>IF('1.DATOS-PROD'!BC163="SI",VLOOKUP('1.DATOS-PROD'!BC$2,'1.PUNTOS'!$A$1:$B$63,2,0),0)</f>
        <v>0</v>
      </c>
      <c r="AU162" s="138">
        <f>IF('1.DATOS-PROD'!BD163="SI",VLOOKUP('1.DATOS-PROD'!BD$2,'1.PUNTOS'!$A$1:$B$63,2,0),0)</f>
        <v>0</v>
      </c>
      <c r="AV162" s="138">
        <f>IF('1.DATOS-PROD'!BE163="SI",VLOOKUP('1.DATOS-PROD'!BE$2,'1.PUNTOS'!$A$1:$B$63,2,0),0)</f>
        <v>0</v>
      </c>
      <c r="AW162" s="138">
        <f>IF('1.DATOS-PROD'!BF163="SI",VLOOKUP('1.DATOS-PROD'!BF$2,'1.PUNTOS'!$A$1:$B$63,2,0),0)</f>
        <v>0</v>
      </c>
      <c r="AX162" s="138">
        <f>IF('1.DATOS-PROD'!BG163="SI",VLOOKUP('1.DATOS-PROD'!BG$2,'1.PUNTOS'!$A$1:$B$63,2,0),0)</f>
        <v>0</v>
      </c>
      <c r="AY162" s="138">
        <f>IF('1.DATOS-PROD'!BH163="SI",VLOOKUP('1.DATOS-PROD'!BH$2,'1.PUNTOS'!$A$1:$B$63,2,0),0)</f>
        <v>0</v>
      </c>
      <c r="AZ162" s="138">
        <f>IF('1.DATOS-PROD'!BI163="SI",VLOOKUP('1.DATOS-PROD'!BI$2,'1.PUNTOS'!$A$1:$B$63,2,0),0)</f>
        <v>0</v>
      </c>
      <c r="BA162" s="138">
        <f>IF('1.DATOS-PROD'!BJ163="SI",VLOOKUP('1.DATOS-PROD'!BJ$2,'1.PUNTOS'!$A$1:$B$63,2,0),0)</f>
        <v>0</v>
      </c>
      <c r="BB162" s="138">
        <f>IF('1.DATOS-PROD'!BK163="SI",VLOOKUP('1.DATOS-PROD'!BK$2,'1.PUNTOS'!$A$1:$B$63,2,0),0)</f>
        <v>0</v>
      </c>
      <c r="BC162" s="138">
        <f>IF('1.DATOS-PROD'!BL163="SI",VLOOKUP('1.DATOS-PROD'!BL$2,'1.PUNTOS'!$A$1:$B$63,2,0),0)</f>
        <v>0</v>
      </c>
      <c r="BD162" s="138">
        <f>IF('1.DATOS-PROD'!BM163="SI",VLOOKUP('1.DATOS-PROD'!BM$2,'1.PUNTOS'!$A$1:$B$63,2,0),0)</f>
        <v>0</v>
      </c>
      <c r="BE162" s="138">
        <f>IF('1.DATOS-PROD'!BN163="SI",VLOOKUP('1.DATOS-PROD'!BN$2,'1.PUNTOS'!$A$1:$B$63,2,0),0)</f>
        <v>0</v>
      </c>
      <c r="BF162" s="138">
        <f>IF('1.DATOS-PROD'!BO163="SI",VLOOKUP('1.DATOS-PROD'!BO$2,'1.PUNTOS'!$A$1:$B$63,2,0),0)</f>
        <v>0</v>
      </c>
      <c r="BG162" s="138">
        <f>IF('1.DATOS-PROD'!BP163="SI",VLOOKUP('1.DATOS-PROD'!BP$2,'1.PUNTOS'!$A$1:$B$63,2,0),0)</f>
        <v>0</v>
      </c>
      <c r="BH162" s="138">
        <f>IF('1.DATOS-PROD'!BQ163="SI",VLOOKUP('1.DATOS-PROD'!BQ$2,'1.PUNTOS'!$A$1:$B$63,2,0),0)</f>
        <v>0</v>
      </c>
      <c r="BI162" s="138">
        <f>IF('1.DATOS-PROD'!BR163="SI",VLOOKUP('1.DATOS-PROD'!BR$2,'1.PUNTOS'!$A$1:$B$63,2,0),0)</f>
        <v>0</v>
      </c>
      <c r="BJ162" s="138">
        <f>IF('1.DATOS-PROD'!BS163="SI",VLOOKUP('1.DATOS-PROD'!BS$2,'1.PUNTOS'!$A$1:$B$63,2,0),0)</f>
        <v>0</v>
      </c>
      <c r="BK162" s="138">
        <f>IF('1.DATOS-PROD'!BT163="SI",VLOOKUP('1.DATOS-PROD'!BT$2,'1.PUNTOS'!$A$1:$B$63,2,0),0)</f>
        <v>0</v>
      </c>
    </row>
    <row r="163" spans="1:63" x14ac:dyDescent="0.25">
      <c r="A163">
        <f>'0.Consolidado general'!$A164</f>
        <v>0</v>
      </c>
      <c r="B163" s="138">
        <f>IF('1.DATOS-PROD'!K164="SI",VLOOKUP('1.DATOS-PROD'!K$2,'1.PUNTOS'!$A$1:$B$63,2,0),0)</f>
        <v>0</v>
      </c>
      <c r="C163" s="138">
        <f>IF('1.DATOS-PROD'!L164="SI",VLOOKUP('1.DATOS-PROD'!L$2,'1.PUNTOS'!$A$1:$B$63,2,0),0)</f>
        <v>0</v>
      </c>
      <c r="D163" s="138">
        <f>IF('1.DATOS-PROD'!M164="SI",VLOOKUP('1.DATOS-PROD'!M$2,'1.PUNTOS'!$A$1:$B$63,2,0),0)</f>
        <v>0</v>
      </c>
      <c r="E163" s="138">
        <f>IF('1.DATOS-PROD'!N164="SI",VLOOKUP('1.DATOS-PROD'!N$2,'1.PUNTOS'!$A$1:$B$63,2,0),0)</f>
        <v>0</v>
      </c>
      <c r="F163" s="138">
        <f>IF('1.DATOS-PROD'!O164="SI",VLOOKUP('1.DATOS-PROD'!O$2,'1.PUNTOS'!$A$1:$B$63,2,0),0)</f>
        <v>0</v>
      </c>
      <c r="G163" s="138">
        <f>IF('1.DATOS-PROD'!P164="SI",VLOOKUP('1.DATOS-PROD'!P$2,'1.PUNTOS'!$A$1:$B$63,2,0),0)</f>
        <v>0</v>
      </c>
      <c r="H163" s="138">
        <f>IF('1.DATOS-PROD'!Q164="SI",VLOOKUP('1.DATOS-PROD'!Q$2,'1.PUNTOS'!$A$1:$B$63,2,0),0)</f>
        <v>0</v>
      </c>
      <c r="I163" s="138">
        <f>IF('1.DATOS-PROD'!R164="SI",VLOOKUP('1.DATOS-PROD'!R$2,'1.PUNTOS'!$A$1:$B$63,2,0),0)</f>
        <v>0</v>
      </c>
      <c r="J163" s="138">
        <f>IF('1.DATOS-PROD'!S164="SI",VLOOKUP('1.DATOS-PROD'!S$2,'1.PUNTOS'!$A$1:$B$63,2,0),0)</f>
        <v>0</v>
      </c>
      <c r="K163" s="138">
        <f>IF('1.DATOS-PROD'!T164="SI",VLOOKUP('1.DATOS-PROD'!T$2,'1.PUNTOS'!$A$1:$B$63,2,0),0)</f>
        <v>0</v>
      </c>
      <c r="L163" s="138">
        <f>IF('1.DATOS-PROD'!U164="SI",VLOOKUP('1.DATOS-PROD'!U$2,'1.PUNTOS'!$A$1:$B$63,2,0),0)</f>
        <v>0</v>
      </c>
      <c r="M163" s="138">
        <f>IF('1.DATOS-PROD'!V164="SI",VLOOKUP('1.DATOS-PROD'!V$2,'1.PUNTOS'!$A$1:$B$63,2,0),0)</f>
        <v>0</v>
      </c>
      <c r="N163" s="138">
        <f>IF('1.DATOS-PROD'!W164="SI",VLOOKUP('1.DATOS-PROD'!W$2,'1.PUNTOS'!$A$1:$B$63,2,0),0)</f>
        <v>0</v>
      </c>
      <c r="O163" s="138">
        <f>IF('1.DATOS-PROD'!X164="SI",VLOOKUP('1.DATOS-PROD'!X$2,'1.PUNTOS'!$A$1:$B$63,2,0),0)</f>
        <v>0</v>
      </c>
      <c r="P163" s="138">
        <f>IF('1.DATOS-PROD'!Y164="SI",VLOOKUP('1.DATOS-PROD'!Y$2,'1.PUNTOS'!$A$1:$B$63,2,0),0)</f>
        <v>0</v>
      </c>
      <c r="Q163" s="138">
        <f>IF('1.DATOS-PROD'!Z164="SI",VLOOKUP('1.DATOS-PROD'!Z$2,'1.PUNTOS'!$A$1:$B$63,2,0),0)</f>
        <v>0</v>
      </c>
      <c r="R163" s="138">
        <f>IF('1.DATOS-PROD'!AA164="SI",VLOOKUP('1.DATOS-PROD'!AA$2,'1.PUNTOS'!$A$1:$B$63,2,0),0)</f>
        <v>0</v>
      </c>
      <c r="S163" s="138">
        <f>IF('1.DATOS-PROD'!AB164="SI",VLOOKUP('1.DATOS-PROD'!AB$2,'1.PUNTOS'!$A$1:$B$63,2,0),0)</f>
        <v>0</v>
      </c>
      <c r="T163" s="138">
        <f>IF('1.DATOS-PROD'!AC164="SI",VLOOKUP('1.DATOS-PROD'!AC$2,'1.PUNTOS'!$A$1:$B$63,2,0),0)</f>
        <v>0</v>
      </c>
      <c r="U163" s="138">
        <f>IF('1.DATOS-PROD'!AD164="SI",VLOOKUP('1.DATOS-PROD'!AD$2,'1.PUNTOS'!$A$1:$B$63,2,0),0)</f>
        <v>0</v>
      </c>
      <c r="V163" s="138">
        <f>IF('1.DATOS-PROD'!AE164="SI",VLOOKUP('1.DATOS-PROD'!AE$2,'1.PUNTOS'!$A$1:$B$63,2,0),0)</f>
        <v>0</v>
      </c>
      <c r="W163" s="138">
        <f>IF('1.DATOS-PROD'!AF164="SI",VLOOKUP('1.DATOS-PROD'!AF$2,'1.PUNTOS'!$A$1:$B$63,2,0),0)</f>
        <v>0</v>
      </c>
      <c r="X163" s="138">
        <f>IF('1.DATOS-PROD'!AG164="SI",VLOOKUP('1.DATOS-PROD'!AG$2,'1.PUNTOS'!$A$1:$B$63,2,0),0)</f>
        <v>0</v>
      </c>
      <c r="Y163" s="138">
        <f>IF('1.DATOS-PROD'!AH164="SI",VLOOKUP('1.DATOS-PROD'!AH$2,'1.PUNTOS'!$A$1:$B$63,2,0),0)</f>
        <v>0</v>
      </c>
      <c r="Z163" s="138">
        <f>IF('1.DATOS-PROD'!AI164="SI",VLOOKUP('1.DATOS-PROD'!AI$2,'1.PUNTOS'!$A$1:$B$63,2,0),0)</f>
        <v>0</v>
      </c>
      <c r="AA163" s="138">
        <f>IF('1.DATOS-PROD'!AJ164="SI",VLOOKUP('1.DATOS-PROD'!AJ$2,'1.PUNTOS'!$A$1:$B$63,2,0),0)</f>
        <v>0</v>
      </c>
      <c r="AB163" s="138">
        <f>IF('1.DATOS-PROD'!AK164="SI",VLOOKUP('1.DATOS-PROD'!AK$2,'1.PUNTOS'!$A$1:$B$63,2,0),0)</f>
        <v>0</v>
      </c>
      <c r="AC163" s="138">
        <f>IF('1.DATOS-PROD'!AL164="SI",VLOOKUP('1.DATOS-PROD'!AL$2,'1.PUNTOS'!$A$1:$B$63,2,0),0)</f>
        <v>0</v>
      </c>
      <c r="AD163" s="138">
        <f>IF('1.DATOS-PROD'!AM164="SI",VLOOKUP('1.DATOS-PROD'!AM$2,'1.PUNTOS'!$A$1:$B$63,2,0),0)</f>
        <v>0</v>
      </c>
      <c r="AE163" s="138">
        <f>IF('1.DATOS-PROD'!AN164="SI",VLOOKUP('1.DATOS-PROD'!AN$2,'1.PUNTOS'!$A$1:$B$63,2,0),0)</f>
        <v>0</v>
      </c>
      <c r="AF163" s="138">
        <f>IF('1.DATOS-PROD'!AO164="SI",VLOOKUP('1.DATOS-PROD'!AO$2,'1.PUNTOS'!$A$1:$B$63,2,0),0)</f>
        <v>0</v>
      </c>
      <c r="AG163" s="138">
        <f>IF('1.DATOS-PROD'!AP164="SI",VLOOKUP('1.DATOS-PROD'!AP$2,'1.PUNTOS'!$A$1:$B$63,2,0),0)</f>
        <v>0</v>
      </c>
      <c r="AH163" s="138">
        <f>IF('1.DATOS-PROD'!AQ164="SI",VLOOKUP('1.DATOS-PROD'!AQ$2,'1.PUNTOS'!$A$1:$B$63,2,0),0)</f>
        <v>0</v>
      </c>
      <c r="AI163" s="138">
        <f>IF('1.DATOS-PROD'!AR164="SI",VLOOKUP('1.DATOS-PROD'!AR$2,'1.PUNTOS'!$A$1:$B$63,2,0),0)</f>
        <v>0</v>
      </c>
      <c r="AJ163" s="138">
        <f>IF('1.DATOS-PROD'!AS164="SI",VLOOKUP('1.DATOS-PROD'!AS$2,'1.PUNTOS'!$A$1:$B$63,2,0),0)</f>
        <v>0</v>
      </c>
      <c r="AK163" s="138">
        <f>IF('1.DATOS-PROD'!AT164="SI",VLOOKUP('1.DATOS-PROD'!AT$2,'1.PUNTOS'!$A$1:$B$63,2,0),0)</f>
        <v>0</v>
      </c>
      <c r="AL163" s="138">
        <f>IF('1.DATOS-PROD'!AU164="SI",VLOOKUP('1.DATOS-PROD'!AU$2,'1.PUNTOS'!$A$1:$B$63,2,0),0)</f>
        <v>0</v>
      </c>
      <c r="AM163" s="138">
        <f>IF('1.DATOS-PROD'!AV164="SI",VLOOKUP('1.DATOS-PROD'!AV$2,'1.PUNTOS'!$A$1:$B$63,2,0),0)</f>
        <v>0</v>
      </c>
      <c r="AN163" s="138">
        <f>IF('1.DATOS-PROD'!AW164="SI",VLOOKUP('1.DATOS-PROD'!AW$2,'1.PUNTOS'!$A$1:$B$63,2,0),0)</f>
        <v>0</v>
      </c>
      <c r="AO163" s="138">
        <f>IF('1.DATOS-PROD'!AX164="SI",VLOOKUP('1.DATOS-PROD'!AX$2,'1.PUNTOS'!$A$1:$B$63,2,0),0)</f>
        <v>0</v>
      </c>
      <c r="AP163" s="138">
        <f>IF('1.DATOS-PROD'!AY164="SI",VLOOKUP('1.DATOS-PROD'!AY$2,'1.PUNTOS'!$A$1:$B$63,2,0),0)</f>
        <v>0</v>
      </c>
      <c r="AQ163" s="138">
        <f>IF('1.DATOS-PROD'!AZ164="SI",VLOOKUP('1.DATOS-PROD'!AZ$2,'1.PUNTOS'!$A$1:$B$63,2,0),0)</f>
        <v>0</v>
      </c>
      <c r="AR163" s="138">
        <f>IF('1.DATOS-PROD'!BA164="SI",VLOOKUP('1.DATOS-PROD'!BA$2,'1.PUNTOS'!$A$1:$B$63,2,0),0)</f>
        <v>0</v>
      </c>
      <c r="AS163" s="138">
        <f>IF('1.DATOS-PROD'!BB164="SI",VLOOKUP('1.DATOS-PROD'!BB$2,'1.PUNTOS'!$A$1:$B$63,2,0),0)</f>
        <v>0</v>
      </c>
      <c r="AT163" s="138">
        <f>IF('1.DATOS-PROD'!BC164="SI",VLOOKUP('1.DATOS-PROD'!BC$2,'1.PUNTOS'!$A$1:$B$63,2,0),0)</f>
        <v>0</v>
      </c>
      <c r="AU163" s="138">
        <f>IF('1.DATOS-PROD'!BD164="SI",VLOOKUP('1.DATOS-PROD'!BD$2,'1.PUNTOS'!$A$1:$B$63,2,0),0)</f>
        <v>0</v>
      </c>
      <c r="AV163" s="138">
        <f>IF('1.DATOS-PROD'!BE164="SI",VLOOKUP('1.DATOS-PROD'!BE$2,'1.PUNTOS'!$A$1:$B$63,2,0),0)</f>
        <v>0</v>
      </c>
      <c r="AW163" s="138">
        <f>IF('1.DATOS-PROD'!BF164="SI",VLOOKUP('1.DATOS-PROD'!BF$2,'1.PUNTOS'!$A$1:$B$63,2,0),0)</f>
        <v>0</v>
      </c>
      <c r="AX163" s="138">
        <f>IF('1.DATOS-PROD'!BG164="SI",VLOOKUP('1.DATOS-PROD'!BG$2,'1.PUNTOS'!$A$1:$B$63,2,0),0)</f>
        <v>0</v>
      </c>
      <c r="AY163" s="138">
        <f>IF('1.DATOS-PROD'!BH164="SI",VLOOKUP('1.DATOS-PROD'!BH$2,'1.PUNTOS'!$A$1:$B$63,2,0),0)</f>
        <v>0</v>
      </c>
      <c r="AZ163" s="138">
        <f>IF('1.DATOS-PROD'!BI164="SI",VLOOKUP('1.DATOS-PROD'!BI$2,'1.PUNTOS'!$A$1:$B$63,2,0),0)</f>
        <v>0</v>
      </c>
      <c r="BA163" s="138">
        <f>IF('1.DATOS-PROD'!BJ164="SI",VLOOKUP('1.DATOS-PROD'!BJ$2,'1.PUNTOS'!$A$1:$B$63,2,0),0)</f>
        <v>0</v>
      </c>
      <c r="BB163" s="138">
        <f>IF('1.DATOS-PROD'!BK164="SI",VLOOKUP('1.DATOS-PROD'!BK$2,'1.PUNTOS'!$A$1:$B$63,2,0),0)</f>
        <v>0</v>
      </c>
      <c r="BC163" s="138">
        <f>IF('1.DATOS-PROD'!BL164="SI",VLOOKUP('1.DATOS-PROD'!BL$2,'1.PUNTOS'!$A$1:$B$63,2,0),0)</f>
        <v>0</v>
      </c>
      <c r="BD163" s="138">
        <f>IF('1.DATOS-PROD'!BM164="SI",VLOOKUP('1.DATOS-PROD'!BM$2,'1.PUNTOS'!$A$1:$B$63,2,0),0)</f>
        <v>0</v>
      </c>
      <c r="BE163" s="138">
        <f>IF('1.DATOS-PROD'!BN164="SI",VLOOKUP('1.DATOS-PROD'!BN$2,'1.PUNTOS'!$A$1:$B$63,2,0),0)</f>
        <v>0</v>
      </c>
      <c r="BF163" s="138">
        <f>IF('1.DATOS-PROD'!BO164="SI",VLOOKUP('1.DATOS-PROD'!BO$2,'1.PUNTOS'!$A$1:$B$63,2,0),0)</f>
        <v>0</v>
      </c>
      <c r="BG163" s="138">
        <f>IF('1.DATOS-PROD'!BP164="SI",VLOOKUP('1.DATOS-PROD'!BP$2,'1.PUNTOS'!$A$1:$B$63,2,0),0)</f>
        <v>0</v>
      </c>
      <c r="BH163" s="138">
        <f>IF('1.DATOS-PROD'!BQ164="SI",VLOOKUP('1.DATOS-PROD'!BQ$2,'1.PUNTOS'!$A$1:$B$63,2,0),0)</f>
        <v>0</v>
      </c>
      <c r="BI163" s="138">
        <f>IF('1.DATOS-PROD'!BR164="SI",VLOOKUP('1.DATOS-PROD'!BR$2,'1.PUNTOS'!$A$1:$B$63,2,0),0)</f>
        <v>0</v>
      </c>
      <c r="BJ163" s="138">
        <f>IF('1.DATOS-PROD'!BS164="SI",VLOOKUP('1.DATOS-PROD'!BS$2,'1.PUNTOS'!$A$1:$B$63,2,0),0)</f>
        <v>0</v>
      </c>
      <c r="BK163" s="138">
        <f>IF('1.DATOS-PROD'!BT164="SI",VLOOKUP('1.DATOS-PROD'!BT$2,'1.PUNTOS'!$A$1:$B$63,2,0),0)</f>
        <v>0</v>
      </c>
    </row>
    <row r="164" spans="1:63" x14ac:dyDescent="0.25">
      <c r="A164">
        <f>'0.Consolidado general'!$A165</f>
        <v>0</v>
      </c>
      <c r="B164" s="138">
        <f>IF('1.DATOS-PROD'!K165="SI",VLOOKUP('1.DATOS-PROD'!K$2,'1.PUNTOS'!$A$1:$B$63,2,0),0)</f>
        <v>0</v>
      </c>
      <c r="C164" s="138">
        <f>IF('1.DATOS-PROD'!L165="SI",VLOOKUP('1.DATOS-PROD'!L$2,'1.PUNTOS'!$A$1:$B$63,2,0),0)</f>
        <v>0</v>
      </c>
      <c r="D164" s="138">
        <f>IF('1.DATOS-PROD'!M165="SI",VLOOKUP('1.DATOS-PROD'!M$2,'1.PUNTOS'!$A$1:$B$63,2,0),0)</f>
        <v>0</v>
      </c>
      <c r="E164" s="138">
        <f>IF('1.DATOS-PROD'!N165="SI",VLOOKUP('1.DATOS-PROD'!N$2,'1.PUNTOS'!$A$1:$B$63,2,0),0)</f>
        <v>0</v>
      </c>
      <c r="F164" s="138">
        <f>IF('1.DATOS-PROD'!O165="SI",VLOOKUP('1.DATOS-PROD'!O$2,'1.PUNTOS'!$A$1:$B$63,2,0),0)</f>
        <v>0</v>
      </c>
      <c r="G164" s="138">
        <f>IF('1.DATOS-PROD'!P165="SI",VLOOKUP('1.DATOS-PROD'!P$2,'1.PUNTOS'!$A$1:$B$63,2,0),0)</f>
        <v>0</v>
      </c>
      <c r="H164" s="138">
        <f>IF('1.DATOS-PROD'!Q165="SI",VLOOKUP('1.DATOS-PROD'!Q$2,'1.PUNTOS'!$A$1:$B$63,2,0),0)</f>
        <v>0</v>
      </c>
      <c r="I164" s="138">
        <f>IF('1.DATOS-PROD'!R165="SI",VLOOKUP('1.DATOS-PROD'!R$2,'1.PUNTOS'!$A$1:$B$63,2,0),0)</f>
        <v>0</v>
      </c>
      <c r="J164" s="138">
        <f>IF('1.DATOS-PROD'!S165="SI",VLOOKUP('1.DATOS-PROD'!S$2,'1.PUNTOS'!$A$1:$B$63,2,0),0)</f>
        <v>0</v>
      </c>
      <c r="K164" s="138">
        <f>IF('1.DATOS-PROD'!T165="SI",VLOOKUP('1.DATOS-PROD'!T$2,'1.PUNTOS'!$A$1:$B$63,2,0),0)</f>
        <v>0</v>
      </c>
      <c r="L164" s="138">
        <f>IF('1.DATOS-PROD'!U165="SI",VLOOKUP('1.DATOS-PROD'!U$2,'1.PUNTOS'!$A$1:$B$63,2,0),0)</f>
        <v>0</v>
      </c>
      <c r="M164" s="138">
        <f>IF('1.DATOS-PROD'!V165="SI",VLOOKUP('1.DATOS-PROD'!V$2,'1.PUNTOS'!$A$1:$B$63,2,0),0)</f>
        <v>0</v>
      </c>
      <c r="N164" s="138">
        <f>IF('1.DATOS-PROD'!W165="SI",VLOOKUP('1.DATOS-PROD'!W$2,'1.PUNTOS'!$A$1:$B$63,2,0),0)</f>
        <v>0</v>
      </c>
      <c r="O164" s="138">
        <f>IF('1.DATOS-PROD'!X165="SI",VLOOKUP('1.DATOS-PROD'!X$2,'1.PUNTOS'!$A$1:$B$63,2,0),0)</f>
        <v>0</v>
      </c>
      <c r="P164" s="138">
        <f>IF('1.DATOS-PROD'!Y165="SI",VLOOKUP('1.DATOS-PROD'!Y$2,'1.PUNTOS'!$A$1:$B$63,2,0),0)</f>
        <v>0</v>
      </c>
      <c r="Q164" s="138">
        <f>IF('1.DATOS-PROD'!Z165="SI",VLOOKUP('1.DATOS-PROD'!Z$2,'1.PUNTOS'!$A$1:$B$63,2,0),0)</f>
        <v>0</v>
      </c>
      <c r="R164" s="138">
        <f>IF('1.DATOS-PROD'!AA165="SI",VLOOKUP('1.DATOS-PROD'!AA$2,'1.PUNTOS'!$A$1:$B$63,2,0),0)</f>
        <v>0</v>
      </c>
      <c r="S164" s="138">
        <f>IF('1.DATOS-PROD'!AB165="SI",VLOOKUP('1.DATOS-PROD'!AB$2,'1.PUNTOS'!$A$1:$B$63,2,0),0)</f>
        <v>0</v>
      </c>
      <c r="T164" s="138">
        <f>IF('1.DATOS-PROD'!AC165="SI",VLOOKUP('1.DATOS-PROD'!AC$2,'1.PUNTOS'!$A$1:$B$63,2,0),0)</f>
        <v>0</v>
      </c>
      <c r="U164" s="138">
        <f>IF('1.DATOS-PROD'!AD165="SI",VLOOKUP('1.DATOS-PROD'!AD$2,'1.PUNTOS'!$A$1:$B$63,2,0),0)</f>
        <v>0</v>
      </c>
      <c r="V164" s="138">
        <f>IF('1.DATOS-PROD'!AE165="SI",VLOOKUP('1.DATOS-PROD'!AE$2,'1.PUNTOS'!$A$1:$B$63,2,0),0)</f>
        <v>0</v>
      </c>
      <c r="W164" s="138">
        <f>IF('1.DATOS-PROD'!AF165="SI",VLOOKUP('1.DATOS-PROD'!AF$2,'1.PUNTOS'!$A$1:$B$63,2,0),0)</f>
        <v>0</v>
      </c>
      <c r="X164" s="138">
        <f>IF('1.DATOS-PROD'!AG165="SI",VLOOKUP('1.DATOS-PROD'!AG$2,'1.PUNTOS'!$A$1:$B$63,2,0),0)</f>
        <v>0</v>
      </c>
      <c r="Y164" s="138">
        <f>IF('1.DATOS-PROD'!AH165="SI",VLOOKUP('1.DATOS-PROD'!AH$2,'1.PUNTOS'!$A$1:$B$63,2,0),0)</f>
        <v>0</v>
      </c>
      <c r="Z164" s="138">
        <f>IF('1.DATOS-PROD'!AI165="SI",VLOOKUP('1.DATOS-PROD'!AI$2,'1.PUNTOS'!$A$1:$B$63,2,0),0)</f>
        <v>0</v>
      </c>
      <c r="AA164" s="138">
        <f>IF('1.DATOS-PROD'!AJ165="SI",VLOOKUP('1.DATOS-PROD'!AJ$2,'1.PUNTOS'!$A$1:$B$63,2,0),0)</f>
        <v>0</v>
      </c>
      <c r="AB164" s="138">
        <f>IF('1.DATOS-PROD'!AK165="SI",VLOOKUP('1.DATOS-PROD'!AK$2,'1.PUNTOS'!$A$1:$B$63,2,0),0)</f>
        <v>0</v>
      </c>
      <c r="AC164" s="138">
        <f>IF('1.DATOS-PROD'!AL165="SI",VLOOKUP('1.DATOS-PROD'!AL$2,'1.PUNTOS'!$A$1:$B$63,2,0),0)</f>
        <v>0</v>
      </c>
      <c r="AD164" s="138">
        <f>IF('1.DATOS-PROD'!AM165="SI",VLOOKUP('1.DATOS-PROD'!AM$2,'1.PUNTOS'!$A$1:$B$63,2,0),0)</f>
        <v>0</v>
      </c>
      <c r="AE164" s="138">
        <f>IF('1.DATOS-PROD'!AN165="SI",VLOOKUP('1.DATOS-PROD'!AN$2,'1.PUNTOS'!$A$1:$B$63,2,0),0)</f>
        <v>0</v>
      </c>
      <c r="AF164" s="138">
        <f>IF('1.DATOS-PROD'!AO165="SI",VLOOKUP('1.DATOS-PROD'!AO$2,'1.PUNTOS'!$A$1:$B$63,2,0),0)</f>
        <v>0</v>
      </c>
      <c r="AG164" s="138">
        <f>IF('1.DATOS-PROD'!AP165="SI",VLOOKUP('1.DATOS-PROD'!AP$2,'1.PUNTOS'!$A$1:$B$63,2,0),0)</f>
        <v>0</v>
      </c>
      <c r="AH164" s="138">
        <f>IF('1.DATOS-PROD'!AQ165="SI",VLOOKUP('1.DATOS-PROD'!AQ$2,'1.PUNTOS'!$A$1:$B$63,2,0),0)</f>
        <v>0</v>
      </c>
      <c r="AI164" s="138">
        <f>IF('1.DATOS-PROD'!AR165="SI",VLOOKUP('1.DATOS-PROD'!AR$2,'1.PUNTOS'!$A$1:$B$63,2,0),0)</f>
        <v>0</v>
      </c>
      <c r="AJ164" s="138">
        <f>IF('1.DATOS-PROD'!AS165="SI",VLOOKUP('1.DATOS-PROD'!AS$2,'1.PUNTOS'!$A$1:$B$63,2,0),0)</f>
        <v>0</v>
      </c>
      <c r="AK164" s="138">
        <f>IF('1.DATOS-PROD'!AT165="SI",VLOOKUP('1.DATOS-PROD'!AT$2,'1.PUNTOS'!$A$1:$B$63,2,0),0)</f>
        <v>0</v>
      </c>
      <c r="AL164" s="138">
        <f>IF('1.DATOS-PROD'!AU165="SI",VLOOKUP('1.DATOS-PROD'!AU$2,'1.PUNTOS'!$A$1:$B$63,2,0),0)</f>
        <v>0</v>
      </c>
      <c r="AM164" s="138">
        <f>IF('1.DATOS-PROD'!AV165="SI",VLOOKUP('1.DATOS-PROD'!AV$2,'1.PUNTOS'!$A$1:$B$63,2,0),0)</f>
        <v>0</v>
      </c>
      <c r="AN164" s="138">
        <f>IF('1.DATOS-PROD'!AW165="SI",VLOOKUP('1.DATOS-PROD'!AW$2,'1.PUNTOS'!$A$1:$B$63,2,0),0)</f>
        <v>0</v>
      </c>
      <c r="AO164" s="138">
        <f>IF('1.DATOS-PROD'!AX165="SI",VLOOKUP('1.DATOS-PROD'!AX$2,'1.PUNTOS'!$A$1:$B$63,2,0),0)</f>
        <v>0</v>
      </c>
      <c r="AP164" s="138">
        <f>IF('1.DATOS-PROD'!AY165="SI",VLOOKUP('1.DATOS-PROD'!AY$2,'1.PUNTOS'!$A$1:$B$63,2,0),0)</f>
        <v>0</v>
      </c>
      <c r="AQ164" s="138">
        <f>IF('1.DATOS-PROD'!AZ165="SI",VLOOKUP('1.DATOS-PROD'!AZ$2,'1.PUNTOS'!$A$1:$B$63,2,0),0)</f>
        <v>0</v>
      </c>
      <c r="AR164" s="138">
        <f>IF('1.DATOS-PROD'!BA165="SI",VLOOKUP('1.DATOS-PROD'!BA$2,'1.PUNTOS'!$A$1:$B$63,2,0),0)</f>
        <v>0</v>
      </c>
      <c r="AS164" s="138">
        <f>IF('1.DATOS-PROD'!BB165="SI",VLOOKUP('1.DATOS-PROD'!BB$2,'1.PUNTOS'!$A$1:$B$63,2,0),0)</f>
        <v>0</v>
      </c>
      <c r="AT164" s="138">
        <f>IF('1.DATOS-PROD'!BC165="SI",VLOOKUP('1.DATOS-PROD'!BC$2,'1.PUNTOS'!$A$1:$B$63,2,0),0)</f>
        <v>0</v>
      </c>
      <c r="AU164" s="138">
        <f>IF('1.DATOS-PROD'!BD165="SI",VLOOKUP('1.DATOS-PROD'!BD$2,'1.PUNTOS'!$A$1:$B$63,2,0),0)</f>
        <v>0</v>
      </c>
      <c r="AV164" s="138">
        <f>IF('1.DATOS-PROD'!BE165="SI",VLOOKUP('1.DATOS-PROD'!BE$2,'1.PUNTOS'!$A$1:$B$63,2,0),0)</f>
        <v>0</v>
      </c>
      <c r="AW164" s="138">
        <f>IF('1.DATOS-PROD'!BF165="SI",VLOOKUP('1.DATOS-PROD'!BF$2,'1.PUNTOS'!$A$1:$B$63,2,0),0)</f>
        <v>0</v>
      </c>
      <c r="AX164" s="138">
        <f>IF('1.DATOS-PROD'!BG165="SI",VLOOKUP('1.DATOS-PROD'!BG$2,'1.PUNTOS'!$A$1:$B$63,2,0),0)</f>
        <v>0</v>
      </c>
      <c r="AY164" s="138">
        <f>IF('1.DATOS-PROD'!BH165="SI",VLOOKUP('1.DATOS-PROD'!BH$2,'1.PUNTOS'!$A$1:$B$63,2,0),0)</f>
        <v>0</v>
      </c>
      <c r="AZ164" s="138">
        <f>IF('1.DATOS-PROD'!BI165="SI",VLOOKUP('1.DATOS-PROD'!BI$2,'1.PUNTOS'!$A$1:$B$63,2,0),0)</f>
        <v>0</v>
      </c>
      <c r="BA164" s="138">
        <f>IF('1.DATOS-PROD'!BJ165="SI",VLOOKUP('1.DATOS-PROD'!BJ$2,'1.PUNTOS'!$A$1:$B$63,2,0),0)</f>
        <v>0</v>
      </c>
      <c r="BB164" s="138">
        <f>IF('1.DATOS-PROD'!BK165="SI",VLOOKUP('1.DATOS-PROD'!BK$2,'1.PUNTOS'!$A$1:$B$63,2,0),0)</f>
        <v>0</v>
      </c>
      <c r="BC164" s="138">
        <f>IF('1.DATOS-PROD'!BL165="SI",VLOOKUP('1.DATOS-PROD'!BL$2,'1.PUNTOS'!$A$1:$B$63,2,0),0)</f>
        <v>0</v>
      </c>
      <c r="BD164" s="138">
        <f>IF('1.DATOS-PROD'!BM165="SI",VLOOKUP('1.DATOS-PROD'!BM$2,'1.PUNTOS'!$A$1:$B$63,2,0),0)</f>
        <v>0</v>
      </c>
      <c r="BE164" s="138">
        <f>IF('1.DATOS-PROD'!BN165="SI",VLOOKUP('1.DATOS-PROD'!BN$2,'1.PUNTOS'!$A$1:$B$63,2,0),0)</f>
        <v>0</v>
      </c>
      <c r="BF164" s="138">
        <f>IF('1.DATOS-PROD'!BO165="SI",VLOOKUP('1.DATOS-PROD'!BO$2,'1.PUNTOS'!$A$1:$B$63,2,0),0)</f>
        <v>0</v>
      </c>
      <c r="BG164" s="138">
        <f>IF('1.DATOS-PROD'!BP165="SI",VLOOKUP('1.DATOS-PROD'!BP$2,'1.PUNTOS'!$A$1:$B$63,2,0),0)</f>
        <v>0</v>
      </c>
      <c r="BH164" s="138">
        <f>IF('1.DATOS-PROD'!BQ165="SI",VLOOKUP('1.DATOS-PROD'!BQ$2,'1.PUNTOS'!$A$1:$B$63,2,0),0)</f>
        <v>0</v>
      </c>
      <c r="BI164" s="138">
        <f>IF('1.DATOS-PROD'!BR165="SI",VLOOKUP('1.DATOS-PROD'!BR$2,'1.PUNTOS'!$A$1:$B$63,2,0),0)</f>
        <v>0</v>
      </c>
      <c r="BJ164" s="138">
        <f>IF('1.DATOS-PROD'!BS165="SI",VLOOKUP('1.DATOS-PROD'!BS$2,'1.PUNTOS'!$A$1:$B$63,2,0),0)</f>
        <v>0</v>
      </c>
      <c r="BK164" s="138">
        <f>IF('1.DATOS-PROD'!BT165="SI",VLOOKUP('1.DATOS-PROD'!BT$2,'1.PUNTOS'!$A$1:$B$63,2,0),0)</f>
        <v>0</v>
      </c>
    </row>
    <row r="165" spans="1:63" x14ac:dyDescent="0.25">
      <c r="A165">
        <f>'0.Consolidado general'!$A166</f>
        <v>0</v>
      </c>
      <c r="B165" s="138">
        <f>IF('1.DATOS-PROD'!K166="SI",VLOOKUP('1.DATOS-PROD'!K$2,'1.PUNTOS'!$A$1:$B$63,2,0),0)</f>
        <v>0</v>
      </c>
      <c r="C165" s="138">
        <f>IF('1.DATOS-PROD'!L166="SI",VLOOKUP('1.DATOS-PROD'!L$2,'1.PUNTOS'!$A$1:$B$63,2,0),0)</f>
        <v>0</v>
      </c>
      <c r="D165" s="138">
        <f>IF('1.DATOS-PROD'!M166="SI",VLOOKUP('1.DATOS-PROD'!M$2,'1.PUNTOS'!$A$1:$B$63,2,0),0)</f>
        <v>0</v>
      </c>
      <c r="E165" s="138">
        <f>IF('1.DATOS-PROD'!N166="SI",VLOOKUP('1.DATOS-PROD'!N$2,'1.PUNTOS'!$A$1:$B$63,2,0),0)</f>
        <v>0</v>
      </c>
      <c r="F165" s="138">
        <f>IF('1.DATOS-PROD'!O166="SI",VLOOKUP('1.DATOS-PROD'!O$2,'1.PUNTOS'!$A$1:$B$63,2,0),0)</f>
        <v>0</v>
      </c>
      <c r="G165" s="138">
        <f>IF('1.DATOS-PROD'!P166="SI",VLOOKUP('1.DATOS-PROD'!P$2,'1.PUNTOS'!$A$1:$B$63,2,0),0)</f>
        <v>0</v>
      </c>
      <c r="H165" s="138">
        <f>IF('1.DATOS-PROD'!Q166="SI",VLOOKUP('1.DATOS-PROD'!Q$2,'1.PUNTOS'!$A$1:$B$63,2,0),0)</f>
        <v>0</v>
      </c>
      <c r="I165" s="138">
        <f>IF('1.DATOS-PROD'!R166="SI",VLOOKUP('1.DATOS-PROD'!R$2,'1.PUNTOS'!$A$1:$B$63,2,0),0)</f>
        <v>0</v>
      </c>
      <c r="J165" s="138">
        <f>IF('1.DATOS-PROD'!S166="SI",VLOOKUP('1.DATOS-PROD'!S$2,'1.PUNTOS'!$A$1:$B$63,2,0),0)</f>
        <v>0</v>
      </c>
      <c r="K165" s="138">
        <f>IF('1.DATOS-PROD'!T166="SI",VLOOKUP('1.DATOS-PROD'!T$2,'1.PUNTOS'!$A$1:$B$63,2,0),0)</f>
        <v>0</v>
      </c>
      <c r="L165" s="138">
        <f>IF('1.DATOS-PROD'!U166="SI",VLOOKUP('1.DATOS-PROD'!U$2,'1.PUNTOS'!$A$1:$B$63,2,0),0)</f>
        <v>0</v>
      </c>
      <c r="M165" s="138">
        <f>IF('1.DATOS-PROD'!V166="SI",VLOOKUP('1.DATOS-PROD'!V$2,'1.PUNTOS'!$A$1:$B$63,2,0),0)</f>
        <v>0</v>
      </c>
      <c r="N165" s="138">
        <f>IF('1.DATOS-PROD'!W166="SI",VLOOKUP('1.DATOS-PROD'!W$2,'1.PUNTOS'!$A$1:$B$63,2,0),0)</f>
        <v>0</v>
      </c>
      <c r="O165" s="138">
        <f>IF('1.DATOS-PROD'!X166="SI",VLOOKUP('1.DATOS-PROD'!X$2,'1.PUNTOS'!$A$1:$B$63,2,0),0)</f>
        <v>0</v>
      </c>
      <c r="P165" s="138">
        <f>IF('1.DATOS-PROD'!Y166="SI",VLOOKUP('1.DATOS-PROD'!Y$2,'1.PUNTOS'!$A$1:$B$63,2,0),0)</f>
        <v>0</v>
      </c>
      <c r="Q165" s="138">
        <f>IF('1.DATOS-PROD'!Z166="SI",VLOOKUP('1.DATOS-PROD'!Z$2,'1.PUNTOS'!$A$1:$B$63,2,0),0)</f>
        <v>0</v>
      </c>
      <c r="R165" s="138">
        <f>IF('1.DATOS-PROD'!AA166="SI",VLOOKUP('1.DATOS-PROD'!AA$2,'1.PUNTOS'!$A$1:$B$63,2,0),0)</f>
        <v>0</v>
      </c>
      <c r="S165" s="138">
        <f>IF('1.DATOS-PROD'!AB166="SI",VLOOKUP('1.DATOS-PROD'!AB$2,'1.PUNTOS'!$A$1:$B$63,2,0),0)</f>
        <v>0</v>
      </c>
      <c r="T165" s="138">
        <f>IF('1.DATOS-PROD'!AC166="SI",VLOOKUP('1.DATOS-PROD'!AC$2,'1.PUNTOS'!$A$1:$B$63,2,0),0)</f>
        <v>0</v>
      </c>
      <c r="U165" s="138">
        <f>IF('1.DATOS-PROD'!AD166="SI",VLOOKUP('1.DATOS-PROD'!AD$2,'1.PUNTOS'!$A$1:$B$63,2,0),0)</f>
        <v>0</v>
      </c>
      <c r="V165" s="138">
        <f>IF('1.DATOS-PROD'!AE166="SI",VLOOKUP('1.DATOS-PROD'!AE$2,'1.PUNTOS'!$A$1:$B$63,2,0),0)</f>
        <v>0</v>
      </c>
      <c r="W165" s="138">
        <f>IF('1.DATOS-PROD'!AF166="SI",VLOOKUP('1.DATOS-PROD'!AF$2,'1.PUNTOS'!$A$1:$B$63,2,0),0)</f>
        <v>0</v>
      </c>
      <c r="X165" s="138">
        <f>IF('1.DATOS-PROD'!AG166="SI",VLOOKUP('1.DATOS-PROD'!AG$2,'1.PUNTOS'!$A$1:$B$63,2,0),0)</f>
        <v>0</v>
      </c>
      <c r="Y165" s="138">
        <f>IF('1.DATOS-PROD'!AH166="SI",VLOOKUP('1.DATOS-PROD'!AH$2,'1.PUNTOS'!$A$1:$B$63,2,0),0)</f>
        <v>0</v>
      </c>
      <c r="Z165" s="138">
        <f>IF('1.DATOS-PROD'!AI166="SI",VLOOKUP('1.DATOS-PROD'!AI$2,'1.PUNTOS'!$A$1:$B$63,2,0),0)</f>
        <v>0</v>
      </c>
      <c r="AA165" s="138">
        <f>IF('1.DATOS-PROD'!AJ166="SI",VLOOKUP('1.DATOS-PROD'!AJ$2,'1.PUNTOS'!$A$1:$B$63,2,0),0)</f>
        <v>0</v>
      </c>
      <c r="AB165" s="138">
        <f>IF('1.DATOS-PROD'!AK166="SI",VLOOKUP('1.DATOS-PROD'!AK$2,'1.PUNTOS'!$A$1:$B$63,2,0),0)</f>
        <v>0</v>
      </c>
      <c r="AC165" s="138">
        <f>IF('1.DATOS-PROD'!AL166="SI",VLOOKUP('1.DATOS-PROD'!AL$2,'1.PUNTOS'!$A$1:$B$63,2,0),0)</f>
        <v>0</v>
      </c>
      <c r="AD165" s="138">
        <f>IF('1.DATOS-PROD'!AM166="SI",VLOOKUP('1.DATOS-PROD'!AM$2,'1.PUNTOS'!$A$1:$B$63,2,0),0)</f>
        <v>0</v>
      </c>
      <c r="AE165" s="138">
        <f>IF('1.DATOS-PROD'!AN166="SI",VLOOKUP('1.DATOS-PROD'!AN$2,'1.PUNTOS'!$A$1:$B$63,2,0),0)</f>
        <v>0</v>
      </c>
      <c r="AF165" s="138">
        <f>IF('1.DATOS-PROD'!AO166="SI",VLOOKUP('1.DATOS-PROD'!AO$2,'1.PUNTOS'!$A$1:$B$63,2,0),0)</f>
        <v>0</v>
      </c>
      <c r="AG165" s="138">
        <f>IF('1.DATOS-PROD'!AP166="SI",VLOOKUP('1.DATOS-PROD'!AP$2,'1.PUNTOS'!$A$1:$B$63,2,0),0)</f>
        <v>0</v>
      </c>
      <c r="AH165" s="138">
        <f>IF('1.DATOS-PROD'!AQ166="SI",VLOOKUP('1.DATOS-PROD'!AQ$2,'1.PUNTOS'!$A$1:$B$63,2,0),0)</f>
        <v>0</v>
      </c>
      <c r="AI165" s="138">
        <f>IF('1.DATOS-PROD'!AR166="SI",VLOOKUP('1.DATOS-PROD'!AR$2,'1.PUNTOS'!$A$1:$B$63,2,0),0)</f>
        <v>0</v>
      </c>
      <c r="AJ165" s="138">
        <f>IF('1.DATOS-PROD'!AS166="SI",VLOOKUP('1.DATOS-PROD'!AS$2,'1.PUNTOS'!$A$1:$B$63,2,0),0)</f>
        <v>0</v>
      </c>
      <c r="AK165" s="138">
        <f>IF('1.DATOS-PROD'!AT166="SI",VLOOKUP('1.DATOS-PROD'!AT$2,'1.PUNTOS'!$A$1:$B$63,2,0),0)</f>
        <v>0</v>
      </c>
      <c r="AL165" s="138">
        <f>IF('1.DATOS-PROD'!AU166="SI",VLOOKUP('1.DATOS-PROD'!AU$2,'1.PUNTOS'!$A$1:$B$63,2,0),0)</f>
        <v>0</v>
      </c>
      <c r="AM165" s="138">
        <f>IF('1.DATOS-PROD'!AV166="SI",VLOOKUP('1.DATOS-PROD'!AV$2,'1.PUNTOS'!$A$1:$B$63,2,0),0)</f>
        <v>0</v>
      </c>
      <c r="AN165" s="138">
        <f>IF('1.DATOS-PROD'!AW166="SI",VLOOKUP('1.DATOS-PROD'!AW$2,'1.PUNTOS'!$A$1:$B$63,2,0),0)</f>
        <v>0</v>
      </c>
      <c r="AO165" s="138">
        <f>IF('1.DATOS-PROD'!AX166="SI",VLOOKUP('1.DATOS-PROD'!AX$2,'1.PUNTOS'!$A$1:$B$63,2,0),0)</f>
        <v>0</v>
      </c>
      <c r="AP165" s="138">
        <f>IF('1.DATOS-PROD'!AY166="SI",VLOOKUP('1.DATOS-PROD'!AY$2,'1.PUNTOS'!$A$1:$B$63,2,0),0)</f>
        <v>0</v>
      </c>
      <c r="AQ165" s="138">
        <f>IF('1.DATOS-PROD'!AZ166="SI",VLOOKUP('1.DATOS-PROD'!AZ$2,'1.PUNTOS'!$A$1:$B$63,2,0),0)</f>
        <v>0</v>
      </c>
      <c r="AR165" s="138">
        <f>IF('1.DATOS-PROD'!BA166="SI",VLOOKUP('1.DATOS-PROD'!BA$2,'1.PUNTOS'!$A$1:$B$63,2,0),0)</f>
        <v>0</v>
      </c>
      <c r="AS165" s="138">
        <f>IF('1.DATOS-PROD'!BB166="SI",VLOOKUP('1.DATOS-PROD'!BB$2,'1.PUNTOS'!$A$1:$B$63,2,0),0)</f>
        <v>0</v>
      </c>
      <c r="AT165" s="138">
        <f>IF('1.DATOS-PROD'!BC166="SI",VLOOKUP('1.DATOS-PROD'!BC$2,'1.PUNTOS'!$A$1:$B$63,2,0),0)</f>
        <v>0</v>
      </c>
      <c r="AU165" s="138">
        <f>IF('1.DATOS-PROD'!BD166="SI",VLOOKUP('1.DATOS-PROD'!BD$2,'1.PUNTOS'!$A$1:$B$63,2,0),0)</f>
        <v>0</v>
      </c>
      <c r="AV165" s="138">
        <f>IF('1.DATOS-PROD'!BE166="SI",VLOOKUP('1.DATOS-PROD'!BE$2,'1.PUNTOS'!$A$1:$B$63,2,0),0)</f>
        <v>0</v>
      </c>
      <c r="AW165" s="138">
        <f>IF('1.DATOS-PROD'!BF166="SI",VLOOKUP('1.DATOS-PROD'!BF$2,'1.PUNTOS'!$A$1:$B$63,2,0),0)</f>
        <v>0</v>
      </c>
      <c r="AX165" s="138">
        <f>IF('1.DATOS-PROD'!BG166="SI",VLOOKUP('1.DATOS-PROD'!BG$2,'1.PUNTOS'!$A$1:$B$63,2,0),0)</f>
        <v>0</v>
      </c>
      <c r="AY165" s="138">
        <f>IF('1.DATOS-PROD'!BH166="SI",VLOOKUP('1.DATOS-PROD'!BH$2,'1.PUNTOS'!$A$1:$B$63,2,0),0)</f>
        <v>0</v>
      </c>
      <c r="AZ165" s="138">
        <f>IF('1.DATOS-PROD'!BI166="SI",VLOOKUP('1.DATOS-PROD'!BI$2,'1.PUNTOS'!$A$1:$B$63,2,0),0)</f>
        <v>0</v>
      </c>
      <c r="BA165" s="138">
        <f>IF('1.DATOS-PROD'!BJ166="SI",VLOOKUP('1.DATOS-PROD'!BJ$2,'1.PUNTOS'!$A$1:$B$63,2,0),0)</f>
        <v>0</v>
      </c>
      <c r="BB165" s="138">
        <f>IF('1.DATOS-PROD'!BK166="SI",VLOOKUP('1.DATOS-PROD'!BK$2,'1.PUNTOS'!$A$1:$B$63,2,0),0)</f>
        <v>0</v>
      </c>
      <c r="BC165" s="138">
        <f>IF('1.DATOS-PROD'!BL166="SI",VLOOKUP('1.DATOS-PROD'!BL$2,'1.PUNTOS'!$A$1:$B$63,2,0),0)</f>
        <v>0</v>
      </c>
      <c r="BD165" s="138">
        <f>IF('1.DATOS-PROD'!BM166="SI",VLOOKUP('1.DATOS-PROD'!BM$2,'1.PUNTOS'!$A$1:$B$63,2,0),0)</f>
        <v>0</v>
      </c>
      <c r="BE165" s="138">
        <f>IF('1.DATOS-PROD'!BN166="SI",VLOOKUP('1.DATOS-PROD'!BN$2,'1.PUNTOS'!$A$1:$B$63,2,0),0)</f>
        <v>0</v>
      </c>
      <c r="BF165" s="138">
        <f>IF('1.DATOS-PROD'!BO166="SI",VLOOKUP('1.DATOS-PROD'!BO$2,'1.PUNTOS'!$A$1:$B$63,2,0),0)</f>
        <v>0</v>
      </c>
      <c r="BG165" s="138">
        <f>IF('1.DATOS-PROD'!BP166="SI",VLOOKUP('1.DATOS-PROD'!BP$2,'1.PUNTOS'!$A$1:$B$63,2,0),0)</f>
        <v>0</v>
      </c>
      <c r="BH165" s="138">
        <f>IF('1.DATOS-PROD'!BQ166="SI",VLOOKUP('1.DATOS-PROD'!BQ$2,'1.PUNTOS'!$A$1:$B$63,2,0),0)</f>
        <v>0</v>
      </c>
      <c r="BI165" s="138">
        <f>IF('1.DATOS-PROD'!BR166="SI",VLOOKUP('1.DATOS-PROD'!BR$2,'1.PUNTOS'!$A$1:$B$63,2,0),0)</f>
        <v>0</v>
      </c>
      <c r="BJ165" s="138">
        <f>IF('1.DATOS-PROD'!BS166="SI",VLOOKUP('1.DATOS-PROD'!BS$2,'1.PUNTOS'!$A$1:$B$63,2,0),0)</f>
        <v>0</v>
      </c>
      <c r="BK165" s="138">
        <f>IF('1.DATOS-PROD'!BT166="SI",VLOOKUP('1.DATOS-PROD'!BT$2,'1.PUNTOS'!$A$1:$B$63,2,0),0)</f>
        <v>0</v>
      </c>
    </row>
    <row r="166" spans="1:63" x14ac:dyDescent="0.25">
      <c r="A166">
        <f>'0.Consolidado general'!$A167</f>
        <v>0</v>
      </c>
      <c r="B166" s="138">
        <f>IF('1.DATOS-PROD'!K167="SI",VLOOKUP('1.DATOS-PROD'!K$2,'1.PUNTOS'!$A$1:$B$63,2,0),0)</f>
        <v>0</v>
      </c>
      <c r="C166" s="138">
        <f>IF('1.DATOS-PROD'!L167="SI",VLOOKUP('1.DATOS-PROD'!L$2,'1.PUNTOS'!$A$1:$B$63,2,0),0)</f>
        <v>0</v>
      </c>
      <c r="D166" s="138">
        <f>IF('1.DATOS-PROD'!M167="SI",VLOOKUP('1.DATOS-PROD'!M$2,'1.PUNTOS'!$A$1:$B$63,2,0),0)</f>
        <v>0</v>
      </c>
      <c r="E166" s="138">
        <f>IF('1.DATOS-PROD'!N167="SI",VLOOKUP('1.DATOS-PROD'!N$2,'1.PUNTOS'!$A$1:$B$63,2,0),0)</f>
        <v>0</v>
      </c>
      <c r="F166" s="138">
        <f>IF('1.DATOS-PROD'!O167="SI",VLOOKUP('1.DATOS-PROD'!O$2,'1.PUNTOS'!$A$1:$B$63,2,0),0)</f>
        <v>0</v>
      </c>
      <c r="G166" s="138">
        <f>IF('1.DATOS-PROD'!P167="SI",VLOOKUP('1.DATOS-PROD'!P$2,'1.PUNTOS'!$A$1:$B$63,2,0),0)</f>
        <v>0</v>
      </c>
      <c r="H166" s="138">
        <f>IF('1.DATOS-PROD'!Q167="SI",VLOOKUP('1.DATOS-PROD'!Q$2,'1.PUNTOS'!$A$1:$B$63,2,0),0)</f>
        <v>0</v>
      </c>
      <c r="I166" s="138">
        <f>IF('1.DATOS-PROD'!R167="SI",VLOOKUP('1.DATOS-PROD'!R$2,'1.PUNTOS'!$A$1:$B$63,2,0),0)</f>
        <v>0</v>
      </c>
      <c r="J166" s="138">
        <f>IF('1.DATOS-PROD'!S167="SI",VLOOKUP('1.DATOS-PROD'!S$2,'1.PUNTOS'!$A$1:$B$63,2,0),0)</f>
        <v>0</v>
      </c>
      <c r="K166" s="138">
        <f>IF('1.DATOS-PROD'!T167="SI",VLOOKUP('1.DATOS-PROD'!T$2,'1.PUNTOS'!$A$1:$B$63,2,0),0)</f>
        <v>0</v>
      </c>
      <c r="L166" s="138">
        <f>IF('1.DATOS-PROD'!U167="SI",VLOOKUP('1.DATOS-PROD'!U$2,'1.PUNTOS'!$A$1:$B$63,2,0),0)</f>
        <v>0</v>
      </c>
      <c r="M166" s="138">
        <f>IF('1.DATOS-PROD'!V167="SI",VLOOKUP('1.DATOS-PROD'!V$2,'1.PUNTOS'!$A$1:$B$63,2,0),0)</f>
        <v>0</v>
      </c>
      <c r="N166" s="138">
        <f>IF('1.DATOS-PROD'!W167="SI",VLOOKUP('1.DATOS-PROD'!W$2,'1.PUNTOS'!$A$1:$B$63,2,0),0)</f>
        <v>0</v>
      </c>
      <c r="O166" s="138">
        <f>IF('1.DATOS-PROD'!X167="SI",VLOOKUP('1.DATOS-PROD'!X$2,'1.PUNTOS'!$A$1:$B$63,2,0),0)</f>
        <v>0</v>
      </c>
      <c r="P166" s="138">
        <f>IF('1.DATOS-PROD'!Y167="SI",VLOOKUP('1.DATOS-PROD'!Y$2,'1.PUNTOS'!$A$1:$B$63,2,0),0)</f>
        <v>0</v>
      </c>
      <c r="Q166" s="138">
        <f>IF('1.DATOS-PROD'!Z167="SI",VLOOKUP('1.DATOS-PROD'!Z$2,'1.PUNTOS'!$A$1:$B$63,2,0),0)</f>
        <v>0</v>
      </c>
      <c r="R166" s="138">
        <f>IF('1.DATOS-PROD'!AA167="SI",VLOOKUP('1.DATOS-PROD'!AA$2,'1.PUNTOS'!$A$1:$B$63,2,0),0)</f>
        <v>0</v>
      </c>
      <c r="S166" s="138">
        <f>IF('1.DATOS-PROD'!AB167="SI",VLOOKUP('1.DATOS-PROD'!AB$2,'1.PUNTOS'!$A$1:$B$63,2,0),0)</f>
        <v>0</v>
      </c>
      <c r="T166" s="138">
        <f>IF('1.DATOS-PROD'!AC167="SI",VLOOKUP('1.DATOS-PROD'!AC$2,'1.PUNTOS'!$A$1:$B$63,2,0),0)</f>
        <v>0</v>
      </c>
      <c r="U166" s="138">
        <f>IF('1.DATOS-PROD'!AD167="SI",VLOOKUP('1.DATOS-PROD'!AD$2,'1.PUNTOS'!$A$1:$B$63,2,0),0)</f>
        <v>0</v>
      </c>
      <c r="V166" s="138">
        <f>IF('1.DATOS-PROD'!AE167="SI",VLOOKUP('1.DATOS-PROD'!AE$2,'1.PUNTOS'!$A$1:$B$63,2,0),0)</f>
        <v>0</v>
      </c>
      <c r="W166" s="138">
        <f>IF('1.DATOS-PROD'!AF167="SI",VLOOKUP('1.DATOS-PROD'!AF$2,'1.PUNTOS'!$A$1:$B$63,2,0),0)</f>
        <v>0</v>
      </c>
      <c r="X166" s="138">
        <f>IF('1.DATOS-PROD'!AG167="SI",VLOOKUP('1.DATOS-PROD'!AG$2,'1.PUNTOS'!$A$1:$B$63,2,0),0)</f>
        <v>0</v>
      </c>
      <c r="Y166" s="138">
        <f>IF('1.DATOS-PROD'!AH167="SI",VLOOKUP('1.DATOS-PROD'!AH$2,'1.PUNTOS'!$A$1:$B$63,2,0),0)</f>
        <v>0</v>
      </c>
      <c r="Z166" s="138">
        <f>IF('1.DATOS-PROD'!AI167="SI",VLOOKUP('1.DATOS-PROD'!AI$2,'1.PUNTOS'!$A$1:$B$63,2,0),0)</f>
        <v>0</v>
      </c>
      <c r="AA166" s="138">
        <f>IF('1.DATOS-PROD'!AJ167="SI",VLOOKUP('1.DATOS-PROD'!AJ$2,'1.PUNTOS'!$A$1:$B$63,2,0),0)</f>
        <v>0</v>
      </c>
      <c r="AB166" s="138">
        <f>IF('1.DATOS-PROD'!AK167="SI",VLOOKUP('1.DATOS-PROD'!AK$2,'1.PUNTOS'!$A$1:$B$63,2,0),0)</f>
        <v>0</v>
      </c>
      <c r="AC166" s="138">
        <f>IF('1.DATOS-PROD'!AL167="SI",VLOOKUP('1.DATOS-PROD'!AL$2,'1.PUNTOS'!$A$1:$B$63,2,0),0)</f>
        <v>0</v>
      </c>
      <c r="AD166" s="138">
        <f>IF('1.DATOS-PROD'!AM167="SI",VLOOKUP('1.DATOS-PROD'!AM$2,'1.PUNTOS'!$A$1:$B$63,2,0),0)</f>
        <v>0</v>
      </c>
      <c r="AE166" s="138">
        <f>IF('1.DATOS-PROD'!AN167="SI",VLOOKUP('1.DATOS-PROD'!AN$2,'1.PUNTOS'!$A$1:$B$63,2,0),0)</f>
        <v>0</v>
      </c>
      <c r="AF166" s="138">
        <f>IF('1.DATOS-PROD'!AO167="SI",VLOOKUP('1.DATOS-PROD'!AO$2,'1.PUNTOS'!$A$1:$B$63,2,0),0)</f>
        <v>0</v>
      </c>
      <c r="AG166" s="138">
        <f>IF('1.DATOS-PROD'!AP167="SI",VLOOKUP('1.DATOS-PROD'!AP$2,'1.PUNTOS'!$A$1:$B$63,2,0),0)</f>
        <v>0</v>
      </c>
      <c r="AH166" s="138">
        <f>IF('1.DATOS-PROD'!AQ167="SI",VLOOKUP('1.DATOS-PROD'!AQ$2,'1.PUNTOS'!$A$1:$B$63,2,0),0)</f>
        <v>0</v>
      </c>
      <c r="AI166" s="138">
        <f>IF('1.DATOS-PROD'!AR167="SI",VLOOKUP('1.DATOS-PROD'!AR$2,'1.PUNTOS'!$A$1:$B$63,2,0),0)</f>
        <v>0</v>
      </c>
      <c r="AJ166" s="138">
        <f>IF('1.DATOS-PROD'!AS167="SI",VLOOKUP('1.DATOS-PROD'!AS$2,'1.PUNTOS'!$A$1:$B$63,2,0),0)</f>
        <v>0</v>
      </c>
      <c r="AK166" s="138">
        <f>IF('1.DATOS-PROD'!AT167="SI",VLOOKUP('1.DATOS-PROD'!AT$2,'1.PUNTOS'!$A$1:$B$63,2,0),0)</f>
        <v>0</v>
      </c>
      <c r="AL166" s="138">
        <f>IF('1.DATOS-PROD'!AU167="SI",VLOOKUP('1.DATOS-PROD'!AU$2,'1.PUNTOS'!$A$1:$B$63,2,0),0)</f>
        <v>0</v>
      </c>
      <c r="AM166" s="138">
        <f>IF('1.DATOS-PROD'!AV167="SI",VLOOKUP('1.DATOS-PROD'!AV$2,'1.PUNTOS'!$A$1:$B$63,2,0),0)</f>
        <v>0</v>
      </c>
      <c r="AN166" s="138">
        <f>IF('1.DATOS-PROD'!AW167="SI",VLOOKUP('1.DATOS-PROD'!AW$2,'1.PUNTOS'!$A$1:$B$63,2,0),0)</f>
        <v>0</v>
      </c>
      <c r="AO166" s="138">
        <f>IF('1.DATOS-PROD'!AX167="SI",VLOOKUP('1.DATOS-PROD'!AX$2,'1.PUNTOS'!$A$1:$B$63,2,0),0)</f>
        <v>0</v>
      </c>
      <c r="AP166" s="138">
        <f>IF('1.DATOS-PROD'!AY167="SI",VLOOKUP('1.DATOS-PROD'!AY$2,'1.PUNTOS'!$A$1:$B$63,2,0),0)</f>
        <v>0</v>
      </c>
      <c r="AQ166" s="138">
        <f>IF('1.DATOS-PROD'!AZ167="SI",VLOOKUP('1.DATOS-PROD'!AZ$2,'1.PUNTOS'!$A$1:$B$63,2,0),0)</f>
        <v>0</v>
      </c>
      <c r="AR166" s="138">
        <f>IF('1.DATOS-PROD'!BA167="SI",VLOOKUP('1.DATOS-PROD'!BA$2,'1.PUNTOS'!$A$1:$B$63,2,0),0)</f>
        <v>0</v>
      </c>
      <c r="AS166" s="138">
        <f>IF('1.DATOS-PROD'!BB167="SI",VLOOKUP('1.DATOS-PROD'!BB$2,'1.PUNTOS'!$A$1:$B$63,2,0),0)</f>
        <v>0</v>
      </c>
      <c r="AT166" s="138">
        <f>IF('1.DATOS-PROD'!BC167="SI",VLOOKUP('1.DATOS-PROD'!BC$2,'1.PUNTOS'!$A$1:$B$63,2,0),0)</f>
        <v>0</v>
      </c>
      <c r="AU166" s="138">
        <f>IF('1.DATOS-PROD'!BD167="SI",VLOOKUP('1.DATOS-PROD'!BD$2,'1.PUNTOS'!$A$1:$B$63,2,0),0)</f>
        <v>0</v>
      </c>
      <c r="AV166" s="138">
        <f>IF('1.DATOS-PROD'!BE167="SI",VLOOKUP('1.DATOS-PROD'!BE$2,'1.PUNTOS'!$A$1:$B$63,2,0),0)</f>
        <v>0</v>
      </c>
      <c r="AW166" s="138">
        <f>IF('1.DATOS-PROD'!BF167="SI",VLOOKUP('1.DATOS-PROD'!BF$2,'1.PUNTOS'!$A$1:$B$63,2,0),0)</f>
        <v>0</v>
      </c>
      <c r="AX166" s="138">
        <f>IF('1.DATOS-PROD'!BG167="SI",VLOOKUP('1.DATOS-PROD'!BG$2,'1.PUNTOS'!$A$1:$B$63,2,0),0)</f>
        <v>0</v>
      </c>
      <c r="AY166" s="138">
        <f>IF('1.DATOS-PROD'!BH167="SI",VLOOKUP('1.DATOS-PROD'!BH$2,'1.PUNTOS'!$A$1:$B$63,2,0),0)</f>
        <v>0</v>
      </c>
      <c r="AZ166" s="138">
        <f>IF('1.DATOS-PROD'!BI167="SI",VLOOKUP('1.DATOS-PROD'!BI$2,'1.PUNTOS'!$A$1:$B$63,2,0),0)</f>
        <v>0</v>
      </c>
      <c r="BA166" s="138">
        <f>IF('1.DATOS-PROD'!BJ167="SI",VLOOKUP('1.DATOS-PROD'!BJ$2,'1.PUNTOS'!$A$1:$B$63,2,0),0)</f>
        <v>0</v>
      </c>
      <c r="BB166" s="138">
        <f>IF('1.DATOS-PROD'!BK167="SI",VLOOKUP('1.DATOS-PROD'!BK$2,'1.PUNTOS'!$A$1:$B$63,2,0),0)</f>
        <v>0</v>
      </c>
      <c r="BC166" s="138">
        <f>IF('1.DATOS-PROD'!BL167="SI",VLOOKUP('1.DATOS-PROD'!BL$2,'1.PUNTOS'!$A$1:$B$63,2,0),0)</f>
        <v>0</v>
      </c>
      <c r="BD166" s="138">
        <f>IF('1.DATOS-PROD'!BM167="SI",VLOOKUP('1.DATOS-PROD'!BM$2,'1.PUNTOS'!$A$1:$B$63,2,0),0)</f>
        <v>0</v>
      </c>
      <c r="BE166" s="138">
        <f>IF('1.DATOS-PROD'!BN167="SI",VLOOKUP('1.DATOS-PROD'!BN$2,'1.PUNTOS'!$A$1:$B$63,2,0),0)</f>
        <v>0</v>
      </c>
      <c r="BF166" s="138">
        <f>IF('1.DATOS-PROD'!BO167="SI",VLOOKUP('1.DATOS-PROD'!BO$2,'1.PUNTOS'!$A$1:$B$63,2,0),0)</f>
        <v>0</v>
      </c>
      <c r="BG166" s="138">
        <f>IF('1.DATOS-PROD'!BP167="SI",VLOOKUP('1.DATOS-PROD'!BP$2,'1.PUNTOS'!$A$1:$B$63,2,0),0)</f>
        <v>0</v>
      </c>
      <c r="BH166" s="138">
        <f>IF('1.DATOS-PROD'!BQ167="SI",VLOOKUP('1.DATOS-PROD'!BQ$2,'1.PUNTOS'!$A$1:$B$63,2,0),0)</f>
        <v>0</v>
      </c>
      <c r="BI166" s="138">
        <f>IF('1.DATOS-PROD'!BR167="SI",VLOOKUP('1.DATOS-PROD'!BR$2,'1.PUNTOS'!$A$1:$B$63,2,0),0)</f>
        <v>0</v>
      </c>
      <c r="BJ166" s="138">
        <f>IF('1.DATOS-PROD'!BS167="SI",VLOOKUP('1.DATOS-PROD'!BS$2,'1.PUNTOS'!$A$1:$B$63,2,0),0)</f>
        <v>0</v>
      </c>
      <c r="BK166" s="138">
        <f>IF('1.DATOS-PROD'!BT167="SI",VLOOKUP('1.DATOS-PROD'!BT$2,'1.PUNTOS'!$A$1:$B$63,2,0),0)</f>
        <v>0</v>
      </c>
    </row>
    <row r="167" spans="1:63" x14ac:dyDescent="0.25">
      <c r="A167">
        <f>'0.Consolidado general'!$A168</f>
        <v>0</v>
      </c>
      <c r="B167" s="138">
        <f>IF('1.DATOS-PROD'!K168="SI",VLOOKUP('1.DATOS-PROD'!K$2,'1.PUNTOS'!$A$1:$B$63,2,0),0)</f>
        <v>0</v>
      </c>
      <c r="C167" s="138">
        <f>IF('1.DATOS-PROD'!L168="SI",VLOOKUP('1.DATOS-PROD'!L$2,'1.PUNTOS'!$A$1:$B$63,2,0),0)</f>
        <v>0</v>
      </c>
      <c r="D167" s="138">
        <f>IF('1.DATOS-PROD'!M168="SI",VLOOKUP('1.DATOS-PROD'!M$2,'1.PUNTOS'!$A$1:$B$63,2,0),0)</f>
        <v>0</v>
      </c>
      <c r="E167" s="138">
        <f>IF('1.DATOS-PROD'!N168="SI",VLOOKUP('1.DATOS-PROD'!N$2,'1.PUNTOS'!$A$1:$B$63,2,0),0)</f>
        <v>0</v>
      </c>
      <c r="F167" s="138">
        <f>IF('1.DATOS-PROD'!O168="SI",VLOOKUP('1.DATOS-PROD'!O$2,'1.PUNTOS'!$A$1:$B$63,2,0),0)</f>
        <v>0</v>
      </c>
      <c r="G167" s="138">
        <f>IF('1.DATOS-PROD'!P168="SI",VLOOKUP('1.DATOS-PROD'!P$2,'1.PUNTOS'!$A$1:$B$63,2,0),0)</f>
        <v>0</v>
      </c>
      <c r="H167" s="138">
        <f>IF('1.DATOS-PROD'!Q168="SI",VLOOKUP('1.DATOS-PROD'!Q$2,'1.PUNTOS'!$A$1:$B$63,2,0),0)</f>
        <v>0</v>
      </c>
      <c r="I167" s="138">
        <f>IF('1.DATOS-PROD'!R168="SI",VLOOKUP('1.DATOS-PROD'!R$2,'1.PUNTOS'!$A$1:$B$63,2,0),0)</f>
        <v>0</v>
      </c>
      <c r="J167" s="138">
        <f>IF('1.DATOS-PROD'!S168="SI",VLOOKUP('1.DATOS-PROD'!S$2,'1.PUNTOS'!$A$1:$B$63,2,0),0)</f>
        <v>0</v>
      </c>
      <c r="K167" s="138">
        <f>IF('1.DATOS-PROD'!T168="SI",VLOOKUP('1.DATOS-PROD'!T$2,'1.PUNTOS'!$A$1:$B$63,2,0),0)</f>
        <v>0</v>
      </c>
      <c r="L167" s="138">
        <f>IF('1.DATOS-PROD'!U168="SI",VLOOKUP('1.DATOS-PROD'!U$2,'1.PUNTOS'!$A$1:$B$63,2,0),0)</f>
        <v>0</v>
      </c>
      <c r="M167" s="138">
        <f>IF('1.DATOS-PROD'!V168="SI",VLOOKUP('1.DATOS-PROD'!V$2,'1.PUNTOS'!$A$1:$B$63,2,0),0)</f>
        <v>0</v>
      </c>
      <c r="N167" s="138">
        <f>IF('1.DATOS-PROD'!W168="SI",VLOOKUP('1.DATOS-PROD'!W$2,'1.PUNTOS'!$A$1:$B$63,2,0),0)</f>
        <v>0</v>
      </c>
      <c r="O167" s="138">
        <f>IF('1.DATOS-PROD'!X168="SI",VLOOKUP('1.DATOS-PROD'!X$2,'1.PUNTOS'!$A$1:$B$63,2,0),0)</f>
        <v>0</v>
      </c>
      <c r="P167" s="138">
        <f>IF('1.DATOS-PROD'!Y168="SI",VLOOKUP('1.DATOS-PROD'!Y$2,'1.PUNTOS'!$A$1:$B$63,2,0),0)</f>
        <v>0</v>
      </c>
      <c r="Q167" s="138">
        <f>IF('1.DATOS-PROD'!Z168="SI",VLOOKUP('1.DATOS-PROD'!Z$2,'1.PUNTOS'!$A$1:$B$63,2,0),0)</f>
        <v>0</v>
      </c>
      <c r="R167" s="138">
        <f>IF('1.DATOS-PROD'!AA168="SI",VLOOKUP('1.DATOS-PROD'!AA$2,'1.PUNTOS'!$A$1:$B$63,2,0),0)</f>
        <v>0</v>
      </c>
      <c r="S167" s="138">
        <f>IF('1.DATOS-PROD'!AB168="SI",VLOOKUP('1.DATOS-PROD'!AB$2,'1.PUNTOS'!$A$1:$B$63,2,0),0)</f>
        <v>0</v>
      </c>
      <c r="T167" s="138">
        <f>IF('1.DATOS-PROD'!AC168="SI",VLOOKUP('1.DATOS-PROD'!AC$2,'1.PUNTOS'!$A$1:$B$63,2,0),0)</f>
        <v>0</v>
      </c>
      <c r="U167" s="138">
        <f>IF('1.DATOS-PROD'!AD168="SI",VLOOKUP('1.DATOS-PROD'!AD$2,'1.PUNTOS'!$A$1:$B$63,2,0),0)</f>
        <v>0</v>
      </c>
      <c r="V167" s="138">
        <f>IF('1.DATOS-PROD'!AE168="SI",VLOOKUP('1.DATOS-PROD'!AE$2,'1.PUNTOS'!$A$1:$B$63,2,0),0)</f>
        <v>0</v>
      </c>
      <c r="W167" s="138">
        <f>IF('1.DATOS-PROD'!AF168="SI",VLOOKUP('1.DATOS-PROD'!AF$2,'1.PUNTOS'!$A$1:$B$63,2,0),0)</f>
        <v>0</v>
      </c>
      <c r="X167" s="138">
        <f>IF('1.DATOS-PROD'!AG168="SI",VLOOKUP('1.DATOS-PROD'!AG$2,'1.PUNTOS'!$A$1:$B$63,2,0),0)</f>
        <v>0</v>
      </c>
      <c r="Y167" s="138">
        <f>IF('1.DATOS-PROD'!AH168="SI",VLOOKUP('1.DATOS-PROD'!AH$2,'1.PUNTOS'!$A$1:$B$63,2,0),0)</f>
        <v>0</v>
      </c>
      <c r="Z167" s="138">
        <f>IF('1.DATOS-PROD'!AI168="SI",VLOOKUP('1.DATOS-PROD'!AI$2,'1.PUNTOS'!$A$1:$B$63,2,0),0)</f>
        <v>0</v>
      </c>
      <c r="AA167" s="138">
        <f>IF('1.DATOS-PROD'!AJ168="SI",VLOOKUP('1.DATOS-PROD'!AJ$2,'1.PUNTOS'!$A$1:$B$63,2,0),0)</f>
        <v>0</v>
      </c>
      <c r="AB167" s="138">
        <f>IF('1.DATOS-PROD'!AK168="SI",VLOOKUP('1.DATOS-PROD'!AK$2,'1.PUNTOS'!$A$1:$B$63,2,0),0)</f>
        <v>0</v>
      </c>
      <c r="AC167" s="138">
        <f>IF('1.DATOS-PROD'!AL168="SI",VLOOKUP('1.DATOS-PROD'!AL$2,'1.PUNTOS'!$A$1:$B$63,2,0),0)</f>
        <v>0</v>
      </c>
      <c r="AD167" s="138">
        <f>IF('1.DATOS-PROD'!AM168="SI",VLOOKUP('1.DATOS-PROD'!AM$2,'1.PUNTOS'!$A$1:$B$63,2,0),0)</f>
        <v>0</v>
      </c>
      <c r="AE167" s="138">
        <f>IF('1.DATOS-PROD'!AN168="SI",VLOOKUP('1.DATOS-PROD'!AN$2,'1.PUNTOS'!$A$1:$B$63,2,0),0)</f>
        <v>0</v>
      </c>
      <c r="AF167" s="138">
        <f>IF('1.DATOS-PROD'!AO168="SI",VLOOKUP('1.DATOS-PROD'!AO$2,'1.PUNTOS'!$A$1:$B$63,2,0),0)</f>
        <v>0</v>
      </c>
      <c r="AG167" s="138">
        <f>IF('1.DATOS-PROD'!AP168="SI",VLOOKUP('1.DATOS-PROD'!AP$2,'1.PUNTOS'!$A$1:$B$63,2,0),0)</f>
        <v>0</v>
      </c>
      <c r="AH167" s="138">
        <f>IF('1.DATOS-PROD'!AQ168="SI",VLOOKUP('1.DATOS-PROD'!AQ$2,'1.PUNTOS'!$A$1:$B$63,2,0),0)</f>
        <v>0</v>
      </c>
      <c r="AI167" s="138">
        <f>IF('1.DATOS-PROD'!AR168="SI",VLOOKUP('1.DATOS-PROD'!AR$2,'1.PUNTOS'!$A$1:$B$63,2,0),0)</f>
        <v>0</v>
      </c>
      <c r="AJ167" s="138">
        <f>IF('1.DATOS-PROD'!AS168="SI",VLOOKUP('1.DATOS-PROD'!AS$2,'1.PUNTOS'!$A$1:$B$63,2,0),0)</f>
        <v>0</v>
      </c>
      <c r="AK167" s="138">
        <f>IF('1.DATOS-PROD'!AT168="SI",VLOOKUP('1.DATOS-PROD'!AT$2,'1.PUNTOS'!$A$1:$B$63,2,0),0)</f>
        <v>0</v>
      </c>
      <c r="AL167" s="138">
        <f>IF('1.DATOS-PROD'!AU168="SI",VLOOKUP('1.DATOS-PROD'!AU$2,'1.PUNTOS'!$A$1:$B$63,2,0),0)</f>
        <v>0</v>
      </c>
      <c r="AM167" s="138">
        <f>IF('1.DATOS-PROD'!AV168="SI",VLOOKUP('1.DATOS-PROD'!AV$2,'1.PUNTOS'!$A$1:$B$63,2,0),0)</f>
        <v>0</v>
      </c>
      <c r="AN167" s="138">
        <f>IF('1.DATOS-PROD'!AW168="SI",VLOOKUP('1.DATOS-PROD'!AW$2,'1.PUNTOS'!$A$1:$B$63,2,0),0)</f>
        <v>0</v>
      </c>
      <c r="AO167" s="138">
        <f>IF('1.DATOS-PROD'!AX168="SI",VLOOKUP('1.DATOS-PROD'!AX$2,'1.PUNTOS'!$A$1:$B$63,2,0),0)</f>
        <v>0</v>
      </c>
      <c r="AP167" s="138">
        <f>IF('1.DATOS-PROD'!AY168="SI",VLOOKUP('1.DATOS-PROD'!AY$2,'1.PUNTOS'!$A$1:$B$63,2,0),0)</f>
        <v>0</v>
      </c>
      <c r="AQ167" s="138">
        <f>IF('1.DATOS-PROD'!AZ168="SI",VLOOKUP('1.DATOS-PROD'!AZ$2,'1.PUNTOS'!$A$1:$B$63,2,0),0)</f>
        <v>0</v>
      </c>
      <c r="AR167" s="138">
        <f>IF('1.DATOS-PROD'!BA168="SI",VLOOKUP('1.DATOS-PROD'!BA$2,'1.PUNTOS'!$A$1:$B$63,2,0),0)</f>
        <v>0</v>
      </c>
      <c r="AS167" s="138">
        <f>IF('1.DATOS-PROD'!BB168="SI",VLOOKUP('1.DATOS-PROD'!BB$2,'1.PUNTOS'!$A$1:$B$63,2,0),0)</f>
        <v>0</v>
      </c>
      <c r="AT167" s="138">
        <f>IF('1.DATOS-PROD'!BC168="SI",VLOOKUP('1.DATOS-PROD'!BC$2,'1.PUNTOS'!$A$1:$B$63,2,0),0)</f>
        <v>0</v>
      </c>
      <c r="AU167" s="138">
        <f>IF('1.DATOS-PROD'!BD168="SI",VLOOKUP('1.DATOS-PROD'!BD$2,'1.PUNTOS'!$A$1:$B$63,2,0),0)</f>
        <v>0</v>
      </c>
      <c r="AV167" s="138">
        <f>IF('1.DATOS-PROD'!BE168="SI",VLOOKUP('1.DATOS-PROD'!BE$2,'1.PUNTOS'!$A$1:$B$63,2,0),0)</f>
        <v>0</v>
      </c>
      <c r="AW167" s="138">
        <f>IF('1.DATOS-PROD'!BF168="SI",VLOOKUP('1.DATOS-PROD'!BF$2,'1.PUNTOS'!$A$1:$B$63,2,0),0)</f>
        <v>0</v>
      </c>
      <c r="AX167" s="138">
        <f>IF('1.DATOS-PROD'!BG168="SI",VLOOKUP('1.DATOS-PROD'!BG$2,'1.PUNTOS'!$A$1:$B$63,2,0),0)</f>
        <v>0</v>
      </c>
      <c r="AY167" s="138">
        <f>IF('1.DATOS-PROD'!BH168="SI",VLOOKUP('1.DATOS-PROD'!BH$2,'1.PUNTOS'!$A$1:$B$63,2,0),0)</f>
        <v>0</v>
      </c>
      <c r="AZ167" s="138">
        <f>IF('1.DATOS-PROD'!BI168="SI",VLOOKUP('1.DATOS-PROD'!BI$2,'1.PUNTOS'!$A$1:$B$63,2,0),0)</f>
        <v>0</v>
      </c>
      <c r="BA167" s="138">
        <f>IF('1.DATOS-PROD'!BJ168="SI",VLOOKUP('1.DATOS-PROD'!BJ$2,'1.PUNTOS'!$A$1:$B$63,2,0),0)</f>
        <v>0</v>
      </c>
      <c r="BB167" s="138">
        <f>IF('1.DATOS-PROD'!BK168="SI",VLOOKUP('1.DATOS-PROD'!BK$2,'1.PUNTOS'!$A$1:$B$63,2,0),0)</f>
        <v>0</v>
      </c>
      <c r="BC167" s="138">
        <f>IF('1.DATOS-PROD'!BL168="SI",VLOOKUP('1.DATOS-PROD'!BL$2,'1.PUNTOS'!$A$1:$B$63,2,0),0)</f>
        <v>0</v>
      </c>
      <c r="BD167" s="138">
        <f>IF('1.DATOS-PROD'!BM168="SI",VLOOKUP('1.DATOS-PROD'!BM$2,'1.PUNTOS'!$A$1:$B$63,2,0),0)</f>
        <v>0</v>
      </c>
      <c r="BE167" s="138">
        <f>IF('1.DATOS-PROD'!BN168="SI",VLOOKUP('1.DATOS-PROD'!BN$2,'1.PUNTOS'!$A$1:$B$63,2,0),0)</f>
        <v>0</v>
      </c>
      <c r="BF167" s="138">
        <f>IF('1.DATOS-PROD'!BO168="SI",VLOOKUP('1.DATOS-PROD'!BO$2,'1.PUNTOS'!$A$1:$B$63,2,0),0)</f>
        <v>0</v>
      </c>
      <c r="BG167" s="138">
        <f>IF('1.DATOS-PROD'!BP168="SI",VLOOKUP('1.DATOS-PROD'!BP$2,'1.PUNTOS'!$A$1:$B$63,2,0),0)</f>
        <v>0</v>
      </c>
      <c r="BH167" s="138">
        <f>IF('1.DATOS-PROD'!BQ168="SI",VLOOKUP('1.DATOS-PROD'!BQ$2,'1.PUNTOS'!$A$1:$B$63,2,0),0)</f>
        <v>0</v>
      </c>
      <c r="BI167" s="138">
        <f>IF('1.DATOS-PROD'!BR168="SI",VLOOKUP('1.DATOS-PROD'!BR$2,'1.PUNTOS'!$A$1:$B$63,2,0),0)</f>
        <v>0</v>
      </c>
      <c r="BJ167" s="138">
        <f>IF('1.DATOS-PROD'!BS168="SI",VLOOKUP('1.DATOS-PROD'!BS$2,'1.PUNTOS'!$A$1:$B$63,2,0),0)</f>
        <v>0</v>
      </c>
      <c r="BK167" s="138">
        <f>IF('1.DATOS-PROD'!BT168="SI",VLOOKUP('1.DATOS-PROD'!BT$2,'1.PUNTOS'!$A$1:$B$63,2,0),0)</f>
        <v>0</v>
      </c>
    </row>
    <row r="168" spans="1:63" x14ac:dyDescent="0.25">
      <c r="A168">
        <f>'0.Consolidado general'!$A169</f>
        <v>0</v>
      </c>
      <c r="B168" s="138">
        <f>IF('1.DATOS-PROD'!K169="SI",VLOOKUP('1.DATOS-PROD'!K$2,'1.PUNTOS'!$A$1:$B$63,2,0),0)</f>
        <v>0</v>
      </c>
      <c r="C168" s="138">
        <f>IF('1.DATOS-PROD'!L169="SI",VLOOKUP('1.DATOS-PROD'!L$2,'1.PUNTOS'!$A$1:$B$63,2,0),0)</f>
        <v>0</v>
      </c>
      <c r="D168" s="138">
        <f>IF('1.DATOS-PROD'!M169="SI",VLOOKUP('1.DATOS-PROD'!M$2,'1.PUNTOS'!$A$1:$B$63,2,0),0)</f>
        <v>0</v>
      </c>
      <c r="E168" s="138">
        <f>IF('1.DATOS-PROD'!N169="SI",VLOOKUP('1.DATOS-PROD'!N$2,'1.PUNTOS'!$A$1:$B$63,2,0),0)</f>
        <v>0</v>
      </c>
      <c r="F168" s="138">
        <f>IF('1.DATOS-PROD'!O169="SI",VLOOKUP('1.DATOS-PROD'!O$2,'1.PUNTOS'!$A$1:$B$63,2,0),0)</f>
        <v>0</v>
      </c>
      <c r="G168" s="138">
        <f>IF('1.DATOS-PROD'!P169="SI",VLOOKUP('1.DATOS-PROD'!P$2,'1.PUNTOS'!$A$1:$B$63,2,0),0)</f>
        <v>0</v>
      </c>
      <c r="H168" s="138">
        <f>IF('1.DATOS-PROD'!Q169="SI",VLOOKUP('1.DATOS-PROD'!Q$2,'1.PUNTOS'!$A$1:$B$63,2,0),0)</f>
        <v>0</v>
      </c>
      <c r="I168" s="138">
        <f>IF('1.DATOS-PROD'!R169="SI",VLOOKUP('1.DATOS-PROD'!R$2,'1.PUNTOS'!$A$1:$B$63,2,0),0)</f>
        <v>0</v>
      </c>
      <c r="J168" s="138">
        <f>IF('1.DATOS-PROD'!S169="SI",VLOOKUP('1.DATOS-PROD'!S$2,'1.PUNTOS'!$A$1:$B$63,2,0),0)</f>
        <v>0</v>
      </c>
      <c r="K168" s="138">
        <f>IF('1.DATOS-PROD'!T169="SI",VLOOKUP('1.DATOS-PROD'!T$2,'1.PUNTOS'!$A$1:$B$63,2,0),0)</f>
        <v>0</v>
      </c>
      <c r="L168" s="138">
        <f>IF('1.DATOS-PROD'!U169="SI",VLOOKUP('1.DATOS-PROD'!U$2,'1.PUNTOS'!$A$1:$B$63,2,0),0)</f>
        <v>0</v>
      </c>
      <c r="M168" s="138">
        <f>IF('1.DATOS-PROD'!V169="SI",VLOOKUP('1.DATOS-PROD'!V$2,'1.PUNTOS'!$A$1:$B$63,2,0),0)</f>
        <v>0</v>
      </c>
      <c r="N168" s="138">
        <f>IF('1.DATOS-PROD'!W169="SI",VLOOKUP('1.DATOS-PROD'!W$2,'1.PUNTOS'!$A$1:$B$63,2,0),0)</f>
        <v>0</v>
      </c>
      <c r="O168" s="138">
        <f>IF('1.DATOS-PROD'!X169="SI",VLOOKUP('1.DATOS-PROD'!X$2,'1.PUNTOS'!$A$1:$B$63,2,0),0)</f>
        <v>0</v>
      </c>
      <c r="P168" s="138">
        <f>IF('1.DATOS-PROD'!Y169="SI",VLOOKUP('1.DATOS-PROD'!Y$2,'1.PUNTOS'!$A$1:$B$63,2,0),0)</f>
        <v>0</v>
      </c>
      <c r="Q168" s="138">
        <f>IF('1.DATOS-PROD'!Z169="SI",VLOOKUP('1.DATOS-PROD'!Z$2,'1.PUNTOS'!$A$1:$B$63,2,0),0)</f>
        <v>0</v>
      </c>
      <c r="R168" s="138">
        <f>IF('1.DATOS-PROD'!AA169="SI",VLOOKUP('1.DATOS-PROD'!AA$2,'1.PUNTOS'!$A$1:$B$63,2,0),0)</f>
        <v>0</v>
      </c>
      <c r="S168" s="138">
        <f>IF('1.DATOS-PROD'!AB169="SI",VLOOKUP('1.DATOS-PROD'!AB$2,'1.PUNTOS'!$A$1:$B$63,2,0),0)</f>
        <v>0</v>
      </c>
      <c r="T168" s="138">
        <f>IF('1.DATOS-PROD'!AC169="SI",VLOOKUP('1.DATOS-PROD'!AC$2,'1.PUNTOS'!$A$1:$B$63,2,0),0)</f>
        <v>0</v>
      </c>
      <c r="U168" s="138">
        <f>IF('1.DATOS-PROD'!AD169="SI",VLOOKUP('1.DATOS-PROD'!AD$2,'1.PUNTOS'!$A$1:$B$63,2,0),0)</f>
        <v>0</v>
      </c>
      <c r="V168" s="138">
        <f>IF('1.DATOS-PROD'!AE169="SI",VLOOKUP('1.DATOS-PROD'!AE$2,'1.PUNTOS'!$A$1:$B$63,2,0),0)</f>
        <v>0</v>
      </c>
      <c r="W168" s="138">
        <f>IF('1.DATOS-PROD'!AF169="SI",VLOOKUP('1.DATOS-PROD'!AF$2,'1.PUNTOS'!$A$1:$B$63,2,0),0)</f>
        <v>0</v>
      </c>
      <c r="X168" s="138">
        <f>IF('1.DATOS-PROD'!AG169="SI",VLOOKUP('1.DATOS-PROD'!AG$2,'1.PUNTOS'!$A$1:$B$63,2,0),0)</f>
        <v>0</v>
      </c>
      <c r="Y168" s="138">
        <f>IF('1.DATOS-PROD'!AH169="SI",VLOOKUP('1.DATOS-PROD'!AH$2,'1.PUNTOS'!$A$1:$B$63,2,0),0)</f>
        <v>0</v>
      </c>
      <c r="Z168" s="138">
        <f>IF('1.DATOS-PROD'!AI169="SI",VLOOKUP('1.DATOS-PROD'!AI$2,'1.PUNTOS'!$A$1:$B$63,2,0),0)</f>
        <v>0</v>
      </c>
      <c r="AA168" s="138">
        <f>IF('1.DATOS-PROD'!AJ169="SI",VLOOKUP('1.DATOS-PROD'!AJ$2,'1.PUNTOS'!$A$1:$B$63,2,0),0)</f>
        <v>0</v>
      </c>
      <c r="AB168" s="138">
        <f>IF('1.DATOS-PROD'!AK169="SI",VLOOKUP('1.DATOS-PROD'!AK$2,'1.PUNTOS'!$A$1:$B$63,2,0),0)</f>
        <v>0</v>
      </c>
      <c r="AC168" s="138">
        <f>IF('1.DATOS-PROD'!AL169="SI",VLOOKUP('1.DATOS-PROD'!AL$2,'1.PUNTOS'!$A$1:$B$63,2,0),0)</f>
        <v>0</v>
      </c>
      <c r="AD168" s="138">
        <f>IF('1.DATOS-PROD'!AM169="SI",VLOOKUP('1.DATOS-PROD'!AM$2,'1.PUNTOS'!$A$1:$B$63,2,0),0)</f>
        <v>0</v>
      </c>
      <c r="AE168" s="138">
        <f>IF('1.DATOS-PROD'!AN169="SI",VLOOKUP('1.DATOS-PROD'!AN$2,'1.PUNTOS'!$A$1:$B$63,2,0),0)</f>
        <v>0</v>
      </c>
      <c r="AF168" s="138">
        <f>IF('1.DATOS-PROD'!AO169="SI",VLOOKUP('1.DATOS-PROD'!AO$2,'1.PUNTOS'!$A$1:$B$63,2,0),0)</f>
        <v>0</v>
      </c>
      <c r="AG168" s="138">
        <f>IF('1.DATOS-PROD'!AP169="SI",VLOOKUP('1.DATOS-PROD'!AP$2,'1.PUNTOS'!$A$1:$B$63,2,0),0)</f>
        <v>0</v>
      </c>
      <c r="AH168" s="138">
        <f>IF('1.DATOS-PROD'!AQ169="SI",VLOOKUP('1.DATOS-PROD'!AQ$2,'1.PUNTOS'!$A$1:$B$63,2,0),0)</f>
        <v>0</v>
      </c>
      <c r="AI168" s="138">
        <f>IF('1.DATOS-PROD'!AR169="SI",VLOOKUP('1.DATOS-PROD'!AR$2,'1.PUNTOS'!$A$1:$B$63,2,0),0)</f>
        <v>0</v>
      </c>
      <c r="AJ168" s="138">
        <f>IF('1.DATOS-PROD'!AS169="SI",VLOOKUP('1.DATOS-PROD'!AS$2,'1.PUNTOS'!$A$1:$B$63,2,0),0)</f>
        <v>0</v>
      </c>
      <c r="AK168" s="138">
        <f>IF('1.DATOS-PROD'!AT169="SI",VLOOKUP('1.DATOS-PROD'!AT$2,'1.PUNTOS'!$A$1:$B$63,2,0),0)</f>
        <v>0</v>
      </c>
      <c r="AL168" s="138">
        <f>IF('1.DATOS-PROD'!AU169="SI",VLOOKUP('1.DATOS-PROD'!AU$2,'1.PUNTOS'!$A$1:$B$63,2,0),0)</f>
        <v>0</v>
      </c>
      <c r="AM168" s="138">
        <f>IF('1.DATOS-PROD'!AV169="SI",VLOOKUP('1.DATOS-PROD'!AV$2,'1.PUNTOS'!$A$1:$B$63,2,0),0)</f>
        <v>0</v>
      </c>
      <c r="AN168" s="138">
        <f>IF('1.DATOS-PROD'!AW169="SI",VLOOKUP('1.DATOS-PROD'!AW$2,'1.PUNTOS'!$A$1:$B$63,2,0),0)</f>
        <v>0</v>
      </c>
      <c r="AO168" s="138">
        <f>IF('1.DATOS-PROD'!AX169="SI",VLOOKUP('1.DATOS-PROD'!AX$2,'1.PUNTOS'!$A$1:$B$63,2,0),0)</f>
        <v>0</v>
      </c>
      <c r="AP168" s="138">
        <f>IF('1.DATOS-PROD'!AY169="SI",VLOOKUP('1.DATOS-PROD'!AY$2,'1.PUNTOS'!$A$1:$B$63,2,0),0)</f>
        <v>0</v>
      </c>
      <c r="AQ168" s="138">
        <f>IF('1.DATOS-PROD'!AZ169="SI",VLOOKUP('1.DATOS-PROD'!AZ$2,'1.PUNTOS'!$A$1:$B$63,2,0),0)</f>
        <v>0</v>
      </c>
      <c r="AR168" s="138">
        <f>IF('1.DATOS-PROD'!BA169="SI",VLOOKUP('1.DATOS-PROD'!BA$2,'1.PUNTOS'!$A$1:$B$63,2,0),0)</f>
        <v>0</v>
      </c>
      <c r="AS168" s="138">
        <f>IF('1.DATOS-PROD'!BB169="SI",VLOOKUP('1.DATOS-PROD'!BB$2,'1.PUNTOS'!$A$1:$B$63,2,0),0)</f>
        <v>0</v>
      </c>
      <c r="AT168" s="138">
        <f>IF('1.DATOS-PROD'!BC169="SI",VLOOKUP('1.DATOS-PROD'!BC$2,'1.PUNTOS'!$A$1:$B$63,2,0),0)</f>
        <v>0</v>
      </c>
      <c r="AU168" s="138">
        <f>IF('1.DATOS-PROD'!BD169="SI",VLOOKUP('1.DATOS-PROD'!BD$2,'1.PUNTOS'!$A$1:$B$63,2,0),0)</f>
        <v>0</v>
      </c>
      <c r="AV168" s="138">
        <f>IF('1.DATOS-PROD'!BE169="SI",VLOOKUP('1.DATOS-PROD'!BE$2,'1.PUNTOS'!$A$1:$B$63,2,0),0)</f>
        <v>0</v>
      </c>
      <c r="AW168" s="138">
        <f>IF('1.DATOS-PROD'!BF169="SI",VLOOKUP('1.DATOS-PROD'!BF$2,'1.PUNTOS'!$A$1:$B$63,2,0),0)</f>
        <v>0</v>
      </c>
      <c r="AX168" s="138">
        <f>IF('1.DATOS-PROD'!BG169="SI",VLOOKUP('1.DATOS-PROD'!BG$2,'1.PUNTOS'!$A$1:$B$63,2,0),0)</f>
        <v>0</v>
      </c>
      <c r="AY168" s="138">
        <f>IF('1.DATOS-PROD'!BH169="SI",VLOOKUP('1.DATOS-PROD'!BH$2,'1.PUNTOS'!$A$1:$B$63,2,0),0)</f>
        <v>0</v>
      </c>
      <c r="AZ168" s="138">
        <f>IF('1.DATOS-PROD'!BI169="SI",VLOOKUP('1.DATOS-PROD'!BI$2,'1.PUNTOS'!$A$1:$B$63,2,0),0)</f>
        <v>0</v>
      </c>
      <c r="BA168" s="138">
        <f>IF('1.DATOS-PROD'!BJ169="SI",VLOOKUP('1.DATOS-PROD'!BJ$2,'1.PUNTOS'!$A$1:$B$63,2,0),0)</f>
        <v>0</v>
      </c>
      <c r="BB168" s="138">
        <f>IF('1.DATOS-PROD'!BK169="SI",VLOOKUP('1.DATOS-PROD'!BK$2,'1.PUNTOS'!$A$1:$B$63,2,0),0)</f>
        <v>0</v>
      </c>
      <c r="BC168" s="138">
        <f>IF('1.DATOS-PROD'!BL169="SI",VLOOKUP('1.DATOS-PROD'!BL$2,'1.PUNTOS'!$A$1:$B$63,2,0),0)</f>
        <v>0</v>
      </c>
      <c r="BD168" s="138">
        <f>IF('1.DATOS-PROD'!BM169="SI",VLOOKUP('1.DATOS-PROD'!BM$2,'1.PUNTOS'!$A$1:$B$63,2,0),0)</f>
        <v>0</v>
      </c>
      <c r="BE168" s="138">
        <f>IF('1.DATOS-PROD'!BN169="SI",VLOOKUP('1.DATOS-PROD'!BN$2,'1.PUNTOS'!$A$1:$B$63,2,0),0)</f>
        <v>0</v>
      </c>
      <c r="BF168" s="138">
        <f>IF('1.DATOS-PROD'!BO169="SI",VLOOKUP('1.DATOS-PROD'!BO$2,'1.PUNTOS'!$A$1:$B$63,2,0),0)</f>
        <v>0</v>
      </c>
      <c r="BG168" s="138">
        <f>IF('1.DATOS-PROD'!BP169="SI",VLOOKUP('1.DATOS-PROD'!BP$2,'1.PUNTOS'!$A$1:$B$63,2,0),0)</f>
        <v>0</v>
      </c>
      <c r="BH168" s="138">
        <f>IF('1.DATOS-PROD'!BQ169="SI",VLOOKUP('1.DATOS-PROD'!BQ$2,'1.PUNTOS'!$A$1:$B$63,2,0),0)</f>
        <v>0</v>
      </c>
      <c r="BI168" s="138">
        <f>IF('1.DATOS-PROD'!BR169="SI",VLOOKUP('1.DATOS-PROD'!BR$2,'1.PUNTOS'!$A$1:$B$63,2,0),0)</f>
        <v>0</v>
      </c>
      <c r="BJ168" s="138">
        <f>IF('1.DATOS-PROD'!BS169="SI",VLOOKUP('1.DATOS-PROD'!BS$2,'1.PUNTOS'!$A$1:$B$63,2,0),0)</f>
        <v>0</v>
      </c>
      <c r="BK168" s="138">
        <f>IF('1.DATOS-PROD'!BT169="SI",VLOOKUP('1.DATOS-PROD'!BT$2,'1.PUNTOS'!$A$1:$B$63,2,0),0)</f>
        <v>0</v>
      </c>
    </row>
    <row r="169" spans="1:63" x14ac:dyDescent="0.25">
      <c r="A169">
        <f>'0.Consolidado general'!$A170</f>
        <v>0</v>
      </c>
      <c r="B169" s="138">
        <f>IF('1.DATOS-PROD'!K170="SI",VLOOKUP('1.DATOS-PROD'!K$2,'1.PUNTOS'!$A$1:$B$63,2,0),0)</f>
        <v>0</v>
      </c>
      <c r="C169" s="138">
        <f>IF('1.DATOS-PROD'!L170="SI",VLOOKUP('1.DATOS-PROD'!L$2,'1.PUNTOS'!$A$1:$B$63,2,0),0)</f>
        <v>0</v>
      </c>
      <c r="D169" s="138">
        <f>IF('1.DATOS-PROD'!M170="SI",VLOOKUP('1.DATOS-PROD'!M$2,'1.PUNTOS'!$A$1:$B$63,2,0),0)</f>
        <v>0</v>
      </c>
      <c r="E169" s="138">
        <f>IF('1.DATOS-PROD'!N170="SI",VLOOKUP('1.DATOS-PROD'!N$2,'1.PUNTOS'!$A$1:$B$63,2,0),0)</f>
        <v>0</v>
      </c>
      <c r="F169" s="138">
        <f>IF('1.DATOS-PROD'!O170="SI",VLOOKUP('1.DATOS-PROD'!O$2,'1.PUNTOS'!$A$1:$B$63,2,0),0)</f>
        <v>0</v>
      </c>
      <c r="G169" s="138">
        <f>IF('1.DATOS-PROD'!P170="SI",VLOOKUP('1.DATOS-PROD'!P$2,'1.PUNTOS'!$A$1:$B$63,2,0),0)</f>
        <v>0</v>
      </c>
      <c r="H169" s="138">
        <f>IF('1.DATOS-PROD'!Q170="SI",VLOOKUP('1.DATOS-PROD'!Q$2,'1.PUNTOS'!$A$1:$B$63,2,0),0)</f>
        <v>0</v>
      </c>
      <c r="I169" s="138">
        <f>IF('1.DATOS-PROD'!R170="SI",VLOOKUP('1.DATOS-PROD'!R$2,'1.PUNTOS'!$A$1:$B$63,2,0),0)</f>
        <v>0</v>
      </c>
      <c r="J169" s="138">
        <f>IF('1.DATOS-PROD'!S170="SI",VLOOKUP('1.DATOS-PROD'!S$2,'1.PUNTOS'!$A$1:$B$63,2,0),0)</f>
        <v>0</v>
      </c>
      <c r="K169" s="138">
        <f>IF('1.DATOS-PROD'!T170="SI",VLOOKUP('1.DATOS-PROD'!T$2,'1.PUNTOS'!$A$1:$B$63,2,0),0)</f>
        <v>0</v>
      </c>
      <c r="L169" s="138">
        <f>IF('1.DATOS-PROD'!U170="SI",VLOOKUP('1.DATOS-PROD'!U$2,'1.PUNTOS'!$A$1:$B$63,2,0),0)</f>
        <v>0</v>
      </c>
      <c r="M169" s="138">
        <f>IF('1.DATOS-PROD'!V170="SI",VLOOKUP('1.DATOS-PROD'!V$2,'1.PUNTOS'!$A$1:$B$63,2,0),0)</f>
        <v>0</v>
      </c>
      <c r="N169" s="138">
        <f>IF('1.DATOS-PROD'!W170="SI",VLOOKUP('1.DATOS-PROD'!W$2,'1.PUNTOS'!$A$1:$B$63,2,0),0)</f>
        <v>0</v>
      </c>
      <c r="O169" s="138">
        <f>IF('1.DATOS-PROD'!X170="SI",VLOOKUP('1.DATOS-PROD'!X$2,'1.PUNTOS'!$A$1:$B$63,2,0),0)</f>
        <v>0</v>
      </c>
      <c r="P169" s="138">
        <f>IF('1.DATOS-PROD'!Y170="SI",VLOOKUP('1.DATOS-PROD'!Y$2,'1.PUNTOS'!$A$1:$B$63,2,0),0)</f>
        <v>0</v>
      </c>
      <c r="Q169" s="138">
        <f>IF('1.DATOS-PROD'!Z170="SI",VLOOKUP('1.DATOS-PROD'!Z$2,'1.PUNTOS'!$A$1:$B$63,2,0),0)</f>
        <v>0</v>
      </c>
      <c r="R169" s="138">
        <f>IF('1.DATOS-PROD'!AA170="SI",VLOOKUP('1.DATOS-PROD'!AA$2,'1.PUNTOS'!$A$1:$B$63,2,0),0)</f>
        <v>0</v>
      </c>
      <c r="S169" s="138">
        <f>IF('1.DATOS-PROD'!AB170="SI",VLOOKUP('1.DATOS-PROD'!AB$2,'1.PUNTOS'!$A$1:$B$63,2,0),0)</f>
        <v>0</v>
      </c>
      <c r="T169" s="138">
        <f>IF('1.DATOS-PROD'!AC170="SI",VLOOKUP('1.DATOS-PROD'!AC$2,'1.PUNTOS'!$A$1:$B$63,2,0),0)</f>
        <v>0</v>
      </c>
      <c r="U169" s="138">
        <f>IF('1.DATOS-PROD'!AD170="SI",VLOOKUP('1.DATOS-PROD'!AD$2,'1.PUNTOS'!$A$1:$B$63,2,0),0)</f>
        <v>0</v>
      </c>
      <c r="V169" s="138">
        <f>IF('1.DATOS-PROD'!AE170="SI",VLOOKUP('1.DATOS-PROD'!AE$2,'1.PUNTOS'!$A$1:$B$63,2,0),0)</f>
        <v>0</v>
      </c>
      <c r="W169" s="138">
        <f>IF('1.DATOS-PROD'!AF170="SI",VLOOKUP('1.DATOS-PROD'!AF$2,'1.PUNTOS'!$A$1:$B$63,2,0),0)</f>
        <v>0</v>
      </c>
      <c r="X169" s="138">
        <f>IF('1.DATOS-PROD'!AG170="SI",VLOOKUP('1.DATOS-PROD'!AG$2,'1.PUNTOS'!$A$1:$B$63,2,0),0)</f>
        <v>0</v>
      </c>
      <c r="Y169" s="138">
        <f>IF('1.DATOS-PROD'!AH170="SI",VLOOKUP('1.DATOS-PROD'!AH$2,'1.PUNTOS'!$A$1:$B$63,2,0),0)</f>
        <v>0</v>
      </c>
      <c r="Z169" s="138">
        <f>IF('1.DATOS-PROD'!AI170="SI",VLOOKUP('1.DATOS-PROD'!AI$2,'1.PUNTOS'!$A$1:$B$63,2,0),0)</f>
        <v>0</v>
      </c>
      <c r="AA169" s="138">
        <f>IF('1.DATOS-PROD'!AJ170="SI",VLOOKUP('1.DATOS-PROD'!AJ$2,'1.PUNTOS'!$A$1:$B$63,2,0),0)</f>
        <v>0</v>
      </c>
      <c r="AB169" s="138">
        <f>IF('1.DATOS-PROD'!AK170="SI",VLOOKUP('1.DATOS-PROD'!AK$2,'1.PUNTOS'!$A$1:$B$63,2,0),0)</f>
        <v>0</v>
      </c>
      <c r="AC169" s="138">
        <f>IF('1.DATOS-PROD'!AL170="SI",VLOOKUP('1.DATOS-PROD'!AL$2,'1.PUNTOS'!$A$1:$B$63,2,0),0)</f>
        <v>0</v>
      </c>
      <c r="AD169" s="138">
        <f>IF('1.DATOS-PROD'!AM170="SI",VLOOKUP('1.DATOS-PROD'!AM$2,'1.PUNTOS'!$A$1:$B$63,2,0),0)</f>
        <v>0</v>
      </c>
      <c r="AE169" s="138">
        <f>IF('1.DATOS-PROD'!AN170="SI",VLOOKUP('1.DATOS-PROD'!AN$2,'1.PUNTOS'!$A$1:$B$63,2,0),0)</f>
        <v>0</v>
      </c>
      <c r="AF169" s="138">
        <f>IF('1.DATOS-PROD'!AO170="SI",VLOOKUP('1.DATOS-PROD'!AO$2,'1.PUNTOS'!$A$1:$B$63,2,0),0)</f>
        <v>0</v>
      </c>
      <c r="AG169" s="138">
        <f>IF('1.DATOS-PROD'!AP170="SI",VLOOKUP('1.DATOS-PROD'!AP$2,'1.PUNTOS'!$A$1:$B$63,2,0),0)</f>
        <v>0</v>
      </c>
      <c r="AH169" s="138">
        <f>IF('1.DATOS-PROD'!AQ170="SI",VLOOKUP('1.DATOS-PROD'!AQ$2,'1.PUNTOS'!$A$1:$B$63,2,0),0)</f>
        <v>0</v>
      </c>
      <c r="AI169" s="138">
        <f>IF('1.DATOS-PROD'!AR170="SI",VLOOKUP('1.DATOS-PROD'!AR$2,'1.PUNTOS'!$A$1:$B$63,2,0),0)</f>
        <v>0</v>
      </c>
      <c r="AJ169" s="138">
        <f>IF('1.DATOS-PROD'!AS170="SI",VLOOKUP('1.DATOS-PROD'!AS$2,'1.PUNTOS'!$A$1:$B$63,2,0),0)</f>
        <v>0</v>
      </c>
      <c r="AK169" s="138">
        <f>IF('1.DATOS-PROD'!AT170="SI",VLOOKUP('1.DATOS-PROD'!AT$2,'1.PUNTOS'!$A$1:$B$63,2,0),0)</f>
        <v>0</v>
      </c>
      <c r="AL169" s="138">
        <f>IF('1.DATOS-PROD'!AU170="SI",VLOOKUP('1.DATOS-PROD'!AU$2,'1.PUNTOS'!$A$1:$B$63,2,0),0)</f>
        <v>0</v>
      </c>
      <c r="AM169" s="138">
        <f>IF('1.DATOS-PROD'!AV170="SI",VLOOKUP('1.DATOS-PROD'!AV$2,'1.PUNTOS'!$A$1:$B$63,2,0),0)</f>
        <v>0</v>
      </c>
      <c r="AN169" s="138">
        <f>IF('1.DATOS-PROD'!AW170="SI",VLOOKUP('1.DATOS-PROD'!AW$2,'1.PUNTOS'!$A$1:$B$63,2,0),0)</f>
        <v>0</v>
      </c>
      <c r="AO169" s="138">
        <f>IF('1.DATOS-PROD'!AX170="SI",VLOOKUP('1.DATOS-PROD'!AX$2,'1.PUNTOS'!$A$1:$B$63,2,0),0)</f>
        <v>0</v>
      </c>
      <c r="AP169" s="138">
        <f>IF('1.DATOS-PROD'!AY170="SI",VLOOKUP('1.DATOS-PROD'!AY$2,'1.PUNTOS'!$A$1:$B$63,2,0),0)</f>
        <v>0</v>
      </c>
      <c r="AQ169" s="138">
        <f>IF('1.DATOS-PROD'!AZ170="SI",VLOOKUP('1.DATOS-PROD'!AZ$2,'1.PUNTOS'!$A$1:$B$63,2,0),0)</f>
        <v>0</v>
      </c>
      <c r="AR169" s="138">
        <f>IF('1.DATOS-PROD'!BA170="SI",VLOOKUP('1.DATOS-PROD'!BA$2,'1.PUNTOS'!$A$1:$B$63,2,0),0)</f>
        <v>0</v>
      </c>
      <c r="AS169" s="138">
        <f>IF('1.DATOS-PROD'!BB170="SI",VLOOKUP('1.DATOS-PROD'!BB$2,'1.PUNTOS'!$A$1:$B$63,2,0),0)</f>
        <v>0</v>
      </c>
      <c r="AT169" s="138">
        <f>IF('1.DATOS-PROD'!BC170="SI",VLOOKUP('1.DATOS-PROD'!BC$2,'1.PUNTOS'!$A$1:$B$63,2,0),0)</f>
        <v>0</v>
      </c>
      <c r="AU169" s="138">
        <f>IF('1.DATOS-PROD'!BD170="SI",VLOOKUP('1.DATOS-PROD'!BD$2,'1.PUNTOS'!$A$1:$B$63,2,0),0)</f>
        <v>0</v>
      </c>
      <c r="AV169" s="138">
        <f>IF('1.DATOS-PROD'!BE170="SI",VLOOKUP('1.DATOS-PROD'!BE$2,'1.PUNTOS'!$A$1:$B$63,2,0),0)</f>
        <v>0</v>
      </c>
      <c r="AW169" s="138">
        <f>IF('1.DATOS-PROD'!BF170="SI",VLOOKUP('1.DATOS-PROD'!BF$2,'1.PUNTOS'!$A$1:$B$63,2,0),0)</f>
        <v>0</v>
      </c>
      <c r="AX169" s="138">
        <f>IF('1.DATOS-PROD'!BG170="SI",VLOOKUP('1.DATOS-PROD'!BG$2,'1.PUNTOS'!$A$1:$B$63,2,0),0)</f>
        <v>0</v>
      </c>
      <c r="AY169" s="138">
        <f>IF('1.DATOS-PROD'!BH170="SI",VLOOKUP('1.DATOS-PROD'!BH$2,'1.PUNTOS'!$A$1:$B$63,2,0),0)</f>
        <v>0</v>
      </c>
      <c r="AZ169" s="138">
        <f>IF('1.DATOS-PROD'!BI170="SI",VLOOKUP('1.DATOS-PROD'!BI$2,'1.PUNTOS'!$A$1:$B$63,2,0),0)</f>
        <v>0</v>
      </c>
      <c r="BA169" s="138">
        <f>IF('1.DATOS-PROD'!BJ170="SI",VLOOKUP('1.DATOS-PROD'!BJ$2,'1.PUNTOS'!$A$1:$B$63,2,0),0)</f>
        <v>0</v>
      </c>
      <c r="BB169" s="138">
        <f>IF('1.DATOS-PROD'!BK170="SI",VLOOKUP('1.DATOS-PROD'!BK$2,'1.PUNTOS'!$A$1:$B$63,2,0),0)</f>
        <v>0</v>
      </c>
      <c r="BC169" s="138">
        <f>IF('1.DATOS-PROD'!BL170="SI",VLOOKUP('1.DATOS-PROD'!BL$2,'1.PUNTOS'!$A$1:$B$63,2,0),0)</f>
        <v>0</v>
      </c>
      <c r="BD169" s="138">
        <f>IF('1.DATOS-PROD'!BM170="SI",VLOOKUP('1.DATOS-PROD'!BM$2,'1.PUNTOS'!$A$1:$B$63,2,0),0)</f>
        <v>0</v>
      </c>
      <c r="BE169" s="138">
        <f>IF('1.DATOS-PROD'!BN170="SI",VLOOKUP('1.DATOS-PROD'!BN$2,'1.PUNTOS'!$A$1:$B$63,2,0),0)</f>
        <v>0</v>
      </c>
      <c r="BF169" s="138">
        <f>IF('1.DATOS-PROD'!BO170="SI",VLOOKUP('1.DATOS-PROD'!BO$2,'1.PUNTOS'!$A$1:$B$63,2,0),0)</f>
        <v>0</v>
      </c>
      <c r="BG169" s="138">
        <f>IF('1.DATOS-PROD'!BP170="SI",VLOOKUP('1.DATOS-PROD'!BP$2,'1.PUNTOS'!$A$1:$B$63,2,0),0)</f>
        <v>0</v>
      </c>
      <c r="BH169" s="138">
        <f>IF('1.DATOS-PROD'!BQ170="SI",VLOOKUP('1.DATOS-PROD'!BQ$2,'1.PUNTOS'!$A$1:$B$63,2,0),0)</f>
        <v>0</v>
      </c>
      <c r="BI169" s="138">
        <f>IF('1.DATOS-PROD'!BR170="SI",VLOOKUP('1.DATOS-PROD'!BR$2,'1.PUNTOS'!$A$1:$B$63,2,0),0)</f>
        <v>0</v>
      </c>
      <c r="BJ169" s="138">
        <f>IF('1.DATOS-PROD'!BS170="SI",VLOOKUP('1.DATOS-PROD'!BS$2,'1.PUNTOS'!$A$1:$B$63,2,0),0)</f>
        <v>0</v>
      </c>
      <c r="BK169" s="138">
        <f>IF('1.DATOS-PROD'!BT170="SI",VLOOKUP('1.DATOS-PROD'!BT$2,'1.PUNTOS'!$A$1:$B$63,2,0),0)</f>
        <v>0</v>
      </c>
    </row>
    <row r="170" spans="1:63" x14ac:dyDescent="0.25">
      <c r="A170">
        <f>'0.Consolidado general'!$A171</f>
        <v>0</v>
      </c>
      <c r="B170" s="138">
        <f>IF('1.DATOS-PROD'!K171="SI",VLOOKUP('1.DATOS-PROD'!K$2,'1.PUNTOS'!$A$1:$B$63,2,0),0)</f>
        <v>0</v>
      </c>
      <c r="C170" s="138">
        <f>IF('1.DATOS-PROD'!L171="SI",VLOOKUP('1.DATOS-PROD'!L$2,'1.PUNTOS'!$A$1:$B$63,2,0),0)</f>
        <v>0</v>
      </c>
      <c r="D170" s="138">
        <f>IF('1.DATOS-PROD'!M171="SI",VLOOKUP('1.DATOS-PROD'!M$2,'1.PUNTOS'!$A$1:$B$63,2,0),0)</f>
        <v>0</v>
      </c>
      <c r="E170" s="138">
        <f>IF('1.DATOS-PROD'!N171="SI",VLOOKUP('1.DATOS-PROD'!N$2,'1.PUNTOS'!$A$1:$B$63,2,0),0)</f>
        <v>0</v>
      </c>
      <c r="F170" s="138">
        <f>IF('1.DATOS-PROD'!O171="SI",VLOOKUP('1.DATOS-PROD'!O$2,'1.PUNTOS'!$A$1:$B$63,2,0),0)</f>
        <v>0</v>
      </c>
      <c r="G170" s="138">
        <f>IF('1.DATOS-PROD'!P171="SI",VLOOKUP('1.DATOS-PROD'!P$2,'1.PUNTOS'!$A$1:$B$63,2,0),0)</f>
        <v>0</v>
      </c>
      <c r="H170" s="138">
        <f>IF('1.DATOS-PROD'!Q171="SI",VLOOKUP('1.DATOS-PROD'!Q$2,'1.PUNTOS'!$A$1:$B$63,2,0),0)</f>
        <v>0</v>
      </c>
      <c r="I170" s="138">
        <f>IF('1.DATOS-PROD'!R171="SI",VLOOKUP('1.DATOS-PROD'!R$2,'1.PUNTOS'!$A$1:$B$63,2,0),0)</f>
        <v>0</v>
      </c>
      <c r="J170" s="138">
        <f>IF('1.DATOS-PROD'!S171="SI",VLOOKUP('1.DATOS-PROD'!S$2,'1.PUNTOS'!$A$1:$B$63,2,0),0)</f>
        <v>0</v>
      </c>
      <c r="K170" s="138">
        <f>IF('1.DATOS-PROD'!T171="SI",VLOOKUP('1.DATOS-PROD'!T$2,'1.PUNTOS'!$A$1:$B$63,2,0),0)</f>
        <v>0</v>
      </c>
      <c r="L170" s="138">
        <f>IF('1.DATOS-PROD'!U171="SI",VLOOKUP('1.DATOS-PROD'!U$2,'1.PUNTOS'!$A$1:$B$63,2,0),0)</f>
        <v>0</v>
      </c>
      <c r="M170" s="138">
        <f>IF('1.DATOS-PROD'!V171="SI",VLOOKUP('1.DATOS-PROD'!V$2,'1.PUNTOS'!$A$1:$B$63,2,0),0)</f>
        <v>0</v>
      </c>
      <c r="N170" s="138">
        <f>IF('1.DATOS-PROD'!W171="SI",VLOOKUP('1.DATOS-PROD'!W$2,'1.PUNTOS'!$A$1:$B$63,2,0),0)</f>
        <v>0</v>
      </c>
      <c r="O170" s="138">
        <f>IF('1.DATOS-PROD'!X171="SI",VLOOKUP('1.DATOS-PROD'!X$2,'1.PUNTOS'!$A$1:$B$63,2,0),0)</f>
        <v>0</v>
      </c>
      <c r="P170" s="138">
        <f>IF('1.DATOS-PROD'!Y171="SI",VLOOKUP('1.DATOS-PROD'!Y$2,'1.PUNTOS'!$A$1:$B$63,2,0),0)</f>
        <v>0</v>
      </c>
      <c r="Q170" s="138">
        <f>IF('1.DATOS-PROD'!Z171="SI",VLOOKUP('1.DATOS-PROD'!Z$2,'1.PUNTOS'!$A$1:$B$63,2,0),0)</f>
        <v>0</v>
      </c>
      <c r="R170" s="138">
        <f>IF('1.DATOS-PROD'!AA171="SI",VLOOKUP('1.DATOS-PROD'!AA$2,'1.PUNTOS'!$A$1:$B$63,2,0),0)</f>
        <v>0</v>
      </c>
      <c r="S170" s="138">
        <f>IF('1.DATOS-PROD'!AB171="SI",VLOOKUP('1.DATOS-PROD'!AB$2,'1.PUNTOS'!$A$1:$B$63,2,0),0)</f>
        <v>0</v>
      </c>
      <c r="T170" s="138">
        <f>IF('1.DATOS-PROD'!AC171="SI",VLOOKUP('1.DATOS-PROD'!AC$2,'1.PUNTOS'!$A$1:$B$63,2,0),0)</f>
        <v>0</v>
      </c>
      <c r="U170" s="138">
        <f>IF('1.DATOS-PROD'!AD171="SI",VLOOKUP('1.DATOS-PROD'!AD$2,'1.PUNTOS'!$A$1:$B$63,2,0),0)</f>
        <v>0</v>
      </c>
      <c r="V170" s="138">
        <f>IF('1.DATOS-PROD'!AE171="SI",VLOOKUP('1.DATOS-PROD'!AE$2,'1.PUNTOS'!$A$1:$B$63,2,0),0)</f>
        <v>0</v>
      </c>
      <c r="W170" s="138">
        <f>IF('1.DATOS-PROD'!AF171="SI",VLOOKUP('1.DATOS-PROD'!AF$2,'1.PUNTOS'!$A$1:$B$63,2,0),0)</f>
        <v>0</v>
      </c>
      <c r="X170" s="138">
        <f>IF('1.DATOS-PROD'!AG171="SI",VLOOKUP('1.DATOS-PROD'!AG$2,'1.PUNTOS'!$A$1:$B$63,2,0),0)</f>
        <v>0</v>
      </c>
      <c r="Y170" s="138">
        <f>IF('1.DATOS-PROD'!AH171="SI",VLOOKUP('1.DATOS-PROD'!AH$2,'1.PUNTOS'!$A$1:$B$63,2,0),0)</f>
        <v>0</v>
      </c>
      <c r="Z170" s="138">
        <f>IF('1.DATOS-PROD'!AI171="SI",VLOOKUP('1.DATOS-PROD'!AI$2,'1.PUNTOS'!$A$1:$B$63,2,0),0)</f>
        <v>0</v>
      </c>
      <c r="AA170" s="138">
        <f>IF('1.DATOS-PROD'!AJ171="SI",VLOOKUP('1.DATOS-PROD'!AJ$2,'1.PUNTOS'!$A$1:$B$63,2,0),0)</f>
        <v>0</v>
      </c>
      <c r="AB170" s="138">
        <f>IF('1.DATOS-PROD'!AK171="SI",VLOOKUP('1.DATOS-PROD'!AK$2,'1.PUNTOS'!$A$1:$B$63,2,0),0)</f>
        <v>0</v>
      </c>
      <c r="AC170" s="138">
        <f>IF('1.DATOS-PROD'!AL171="SI",VLOOKUP('1.DATOS-PROD'!AL$2,'1.PUNTOS'!$A$1:$B$63,2,0),0)</f>
        <v>0</v>
      </c>
      <c r="AD170" s="138">
        <f>IF('1.DATOS-PROD'!AM171="SI",VLOOKUP('1.DATOS-PROD'!AM$2,'1.PUNTOS'!$A$1:$B$63,2,0),0)</f>
        <v>0</v>
      </c>
      <c r="AE170" s="138">
        <f>IF('1.DATOS-PROD'!AN171="SI",VLOOKUP('1.DATOS-PROD'!AN$2,'1.PUNTOS'!$A$1:$B$63,2,0),0)</f>
        <v>0</v>
      </c>
      <c r="AF170" s="138">
        <f>IF('1.DATOS-PROD'!AO171="SI",VLOOKUP('1.DATOS-PROD'!AO$2,'1.PUNTOS'!$A$1:$B$63,2,0),0)</f>
        <v>0</v>
      </c>
      <c r="AG170" s="138">
        <f>IF('1.DATOS-PROD'!AP171="SI",VLOOKUP('1.DATOS-PROD'!AP$2,'1.PUNTOS'!$A$1:$B$63,2,0),0)</f>
        <v>0</v>
      </c>
      <c r="AH170" s="138">
        <f>IF('1.DATOS-PROD'!AQ171="SI",VLOOKUP('1.DATOS-PROD'!AQ$2,'1.PUNTOS'!$A$1:$B$63,2,0),0)</f>
        <v>0</v>
      </c>
      <c r="AI170" s="138">
        <f>IF('1.DATOS-PROD'!AR171="SI",VLOOKUP('1.DATOS-PROD'!AR$2,'1.PUNTOS'!$A$1:$B$63,2,0),0)</f>
        <v>0</v>
      </c>
      <c r="AJ170" s="138">
        <f>IF('1.DATOS-PROD'!AS171="SI",VLOOKUP('1.DATOS-PROD'!AS$2,'1.PUNTOS'!$A$1:$B$63,2,0),0)</f>
        <v>0</v>
      </c>
      <c r="AK170" s="138">
        <f>IF('1.DATOS-PROD'!AT171="SI",VLOOKUP('1.DATOS-PROD'!AT$2,'1.PUNTOS'!$A$1:$B$63,2,0),0)</f>
        <v>0</v>
      </c>
      <c r="AL170" s="138">
        <f>IF('1.DATOS-PROD'!AU171="SI",VLOOKUP('1.DATOS-PROD'!AU$2,'1.PUNTOS'!$A$1:$B$63,2,0),0)</f>
        <v>0</v>
      </c>
      <c r="AM170" s="138">
        <f>IF('1.DATOS-PROD'!AV171="SI",VLOOKUP('1.DATOS-PROD'!AV$2,'1.PUNTOS'!$A$1:$B$63,2,0),0)</f>
        <v>0</v>
      </c>
      <c r="AN170" s="138">
        <f>IF('1.DATOS-PROD'!AW171="SI",VLOOKUP('1.DATOS-PROD'!AW$2,'1.PUNTOS'!$A$1:$B$63,2,0),0)</f>
        <v>0</v>
      </c>
      <c r="AO170" s="138">
        <f>IF('1.DATOS-PROD'!AX171="SI",VLOOKUP('1.DATOS-PROD'!AX$2,'1.PUNTOS'!$A$1:$B$63,2,0),0)</f>
        <v>0</v>
      </c>
      <c r="AP170" s="138">
        <f>IF('1.DATOS-PROD'!AY171="SI",VLOOKUP('1.DATOS-PROD'!AY$2,'1.PUNTOS'!$A$1:$B$63,2,0),0)</f>
        <v>0</v>
      </c>
      <c r="AQ170" s="138">
        <f>IF('1.DATOS-PROD'!AZ171="SI",VLOOKUP('1.DATOS-PROD'!AZ$2,'1.PUNTOS'!$A$1:$B$63,2,0),0)</f>
        <v>0</v>
      </c>
      <c r="AR170" s="138">
        <f>IF('1.DATOS-PROD'!BA171="SI",VLOOKUP('1.DATOS-PROD'!BA$2,'1.PUNTOS'!$A$1:$B$63,2,0),0)</f>
        <v>0</v>
      </c>
      <c r="AS170" s="138">
        <f>IF('1.DATOS-PROD'!BB171="SI",VLOOKUP('1.DATOS-PROD'!BB$2,'1.PUNTOS'!$A$1:$B$63,2,0),0)</f>
        <v>0</v>
      </c>
      <c r="AT170" s="138">
        <f>IF('1.DATOS-PROD'!BC171="SI",VLOOKUP('1.DATOS-PROD'!BC$2,'1.PUNTOS'!$A$1:$B$63,2,0),0)</f>
        <v>0</v>
      </c>
      <c r="AU170" s="138">
        <f>IF('1.DATOS-PROD'!BD171="SI",VLOOKUP('1.DATOS-PROD'!BD$2,'1.PUNTOS'!$A$1:$B$63,2,0),0)</f>
        <v>0</v>
      </c>
      <c r="AV170" s="138">
        <f>IF('1.DATOS-PROD'!BE171="SI",VLOOKUP('1.DATOS-PROD'!BE$2,'1.PUNTOS'!$A$1:$B$63,2,0),0)</f>
        <v>0</v>
      </c>
      <c r="AW170" s="138">
        <f>IF('1.DATOS-PROD'!BF171="SI",VLOOKUP('1.DATOS-PROD'!BF$2,'1.PUNTOS'!$A$1:$B$63,2,0),0)</f>
        <v>0</v>
      </c>
      <c r="AX170" s="138">
        <f>IF('1.DATOS-PROD'!BG171="SI",VLOOKUP('1.DATOS-PROD'!BG$2,'1.PUNTOS'!$A$1:$B$63,2,0),0)</f>
        <v>0</v>
      </c>
      <c r="AY170" s="138">
        <f>IF('1.DATOS-PROD'!BH171="SI",VLOOKUP('1.DATOS-PROD'!BH$2,'1.PUNTOS'!$A$1:$B$63,2,0),0)</f>
        <v>0</v>
      </c>
      <c r="AZ170" s="138">
        <f>IF('1.DATOS-PROD'!BI171="SI",VLOOKUP('1.DATOS-PROD'!BI$2,'1.PUNTOS'!$A$1:$B$63,2,0),0)</f>
        <v>0</v>
      </c>
      <c r="BA170" s="138">
        <f>IF('1.DATOS-PROD'!BJ171="SI",VLOOKUP('1.DATOS-PROD'!BJ$2,'1.PUNTOS'!$A$1:$B$63,2,0),0)</f>
        <v>0</v>
      </c>
      <c r="BB170" s="138">
        <f>IF('1.DATOS-PROD'!BK171="SI",VLOOKUP('1.DATOS-PROD'!BK$2,'1.PUNTOS'!$A$1:$B$63,2,0),0)</f>
        <v>0</v>
      </c>
      <c r="BC170" s="138">
        <f>IF('1.DATOS-PROD'!BL171="SI",VLOOKUP('1.DATOS-PROD'!BL$2,'1.PUNTOS'!$A$1:$B$63,2,0),0)</f>
        <v>0</v>
      </c>
      <c r="BD170" s="138">
        <f>IF('1.DATOS-PROD'!BM171="SI",VLOOKUP('1.DATOS-PROD'!BM$2,'1.PUNTOS'!$A$1:$B$63,2,0),0)</f>
        <v>0</v>
      </c>
      <c r="BE170" s="138">
        <f>IF('1.DATOS-PROD'!BN171="SI",VLOOKUP('1.DATOS-PROD'!BN$2,'1.PUNTOS'!$A$1:$B$63,2,0),0)</f>
        <v>0</v>
      </c>
      <c r="BF170" s="138">
        <f>IF('1.DATOS-PROD'!BO171="SI",VLOOKUP('1.DATOS-PROD'!BO$2,'1.PUNTOS'!$A$1:$B$63,2,0),0)</f>
        <v>0</v>
      </c>
      <c r="BG170" s="138">
        <f>IF('1.DATOS-PROD'!BP171="SI",VLOOKUP('1.DATOS-PROD'!BP$2,'1.PUNTOS'!$A$1:$B$63,2,0),0)</f>
        <v>0</v>
      </c>
      <c r="BH170" s="138">
        <f>IF('1.DATOS-PROD'!BQ171="SI",VLOOKUP('1.DATOS-PROD'!BQ$2,'1.PUNTOS'!$A$1:$B$63,2,0),0)</f>
        <v>0</v>
      </c>
      <c r="BI170" s="138">
        <f>IF('1.DATOS-PROD'!BR171="SI",VLOOKUP('1.DATOS-PROD'!BR$2,'1.PUNTOS'!$A$1:$B$63,2,0),0)</f>
        <v>0</v>
      </c>
      <c r="BJ170" s="138">
        <f>IF('1.DATOS-PROD'!BS171="SI",VLOOKUP('1.DATOS-PROD'!BS$2,'1.PUNTOS'!$A$1:$B$63,2,0),0)</f>
        <v>0</v>
      </c>
      <c r="BK170" s="138">
        <f>IF('1.DATOS-PROD'!BT171="SI",VLOOKUP('1.DATOS-PROD'!BT$2,'1.PUNTOS'!$A$1:$B$63,2,0),0)</f>
        <v>0</v>
      </c>
    </row>
    <row r="171" spans="1:63" x14ac:dyDescent="0.25">
      <c r="A171">
        <f>'0.Consolidado general'!$A172</f>
        <v>0</v>
      </c>
      <c r="B171" s="138">
        <f>IF('1.DATOS-PROD'!K172="SI",VLOOKUP('1.DATOS-PROD'!K$2,'1.PUNTOS'!$A$1:$B$63,2,0),0)</f>
        <v>0</v>
      </c>
      <c r="C171" s="138">
        <f>IF('1.DATOS-PROD'!L172="SI",VLOOKUP('1.DATOS-PROD'!L$2,'1.PUNTOS'!$A$1:$B$63,2,0),0)</f>
        <v>0</v>
      </c>
      <c r="D171" s="138">
        <f>IF('1.DATOS-PROD'!M172="SI",VLOOKUP('1.DATOS-PROD'!M$2,'1.PUNTOS'!$A$1:$B$63,2,0),0)</f>
        <v>0</v>
      </c>
      <c r="E171" s="138">
        <f>IF('1.DATOS-PROD'!N172="SI",VLOOKUP('1.DATOS-PROD'!N$2,'1.PUNTOS'!$A$1:$B$63,2,0),0)</f>
        <v>0</v>
      </c>
      <c r="F171" s="138">
        <f>IF('1.DATOS-PROD'!O172="SI",VLOOKUP('1.DATOS-PROD'!O$2,'1.PUNTOS'!$A$1:$B$63,2,0),0)</f>
        <v>0</v>
      </c>
      <c r="G171" s="138">
        <f>IF('1.DATOS-PROD'!P172="SI",VLOOKUP('1.DATOS-PROD'!P$2,'1.PUNTOS'!$A$1:$B$63,2,0),0)</f>
        <v>0</v>
      </c>
      <c r="H171" s="138">
        <f>IF('1.DATOS-PROD'!Q172="SI",VLOOKUP('1.DATOS-PROD'!Q$2,'1.PUNTOS'!$A$1:$B$63,2,0),0)</f>
        <v>0</v>
      </c>
      <c r="I171" s="138">
        <f>IF('1.DATOS-PROD'!R172="SI",VLOOKUP('1.DATOS-PROD'!R$2,'1.PUNTOS'!$A$1:$B$63,2,0),0)</f>
        <v>0</v>
      </c>
      <c r="J171" s="138">
        <f>IF('1.DATOS-PROD'!S172="SI",VLOOKUP('1.DATOS-PROD'!S$2,'1.PUNTOS'!$A$1:$B$63,2,0),0)</f>
        <v>0</v>
      </c>
      <c r="K171" s="138">
        <f>IF('1.DATOS-PROD'!T172="SI",VLOOKUP('1.DATOS-PROD'!T$2,'1.PUNTOS'!$A$1:$B$63,2,0),0)</f>
        <v>0</v>
      </c>
      <c r="L171" s="138">
        <f>IF('1.DATOS-PROD'!U172="SI",VLOOKUP('1.DATOS-PROD'!U$2,'1.PUNTOS'!$A$1:$B$63,2,0),0)</f>
        <v>0</v>
      </c>
      <c r="M171" s="138">
        <f>IF('1.DATOS-PROD'!V172="SI",VLOOKUP('1.DATOS-PROD'!V$2,'1.PUNTOS'!$A$1:$B$63,2,0),0)</f>
        <v>0</v>
      </c>
      <c r="N171" s="138">
        <f>IF('1.DATOS-PROD'!W172="SI",VLOOKUP('1.DATOS-PROD'!W$2,'1.PUNTOS'!$A$1:$B$63,2,0),0)</f>
        <v>0</v>
      </c>
      <c r="O171" s="138">
        <f>IF('1.DATOS-PROD'!X172="SI",VLOOKUP('1.DATOS-PROD'!X$2,'1.PUNTOS'!$A$1:$B$63,2,0),0)</f>
        <v>0</v>
      </c>
      <c r="P171" s="138">
        <f>IF('1.DATOS-PROD'!Y172="SI",VLOOKUP('1.DATOS-PROD'!Y$2,'1.PUNTOS'!$A$1:$B$63,2,0),0)</f>
        <v>0</v>
      </c>
      <c r="Q171" s="138">
        <f>IF('1.DATOS-PROD'!Z172="SI",VLOOKUP('1.DATOS-PROD'!Z$2,'1.PUNTOS'!$A$1:$B$63,2,0),0)</f>
        <v>0</v>
      </c>
      <c r="R171" s="138">
        <f>IF('1.DATOS-PROD'!AA172="SI",VLOOKUP('1.DATOS-PROD'!AA$2,'1.PUNTOS'!$A$1:$B$63,2,0),0)</f>
        <v>0</v>
      </c>
      <c r="S171" s="138">
        <f>IF('1.DATOS-PROD'!AB172="SI",VLOOKUP('1.DATOS-PROD'!AB$2,'1.PUNTOS'!$A$1:$B$63,2,0),0)</f>
        <v>0</v>
      </c>
      <c r="T171" s="138">
        <f>IF('1.DATOS-PROD'!AC172="SI",VLOOKUP('1.DATOS-PROD'!AC$2,'1.PUNTOS'!$A$1:$B$63,2,0),0)</f>
        <v>0</v>
      </c>
      <c r="U171" s="138">
        <f>IF('1.DATOS-PROD'!AD172="SI",VLOOKUP('1.DATOS-PROD'!AD$2,'1.PUNTOS'!$A$1:$B$63,2,0),0)</f>
        <v>0</v>
      </c>
      <c r="V171" s="138">
        <f>IF('1.DATOS-PROD'!AE172="SI",VLOOKUP('1.DATOS-PROD'!AE$2,'1.PUNTOS'!$A$1:$B$63,2,0),0)</f>
        <v>0</v>
      </c>
      <c r="W171" s="138">
        <f>IF('1.DATOS-PROD'!AF172="SI",VLOOKUP('1.DATOS-PROD'!AF$2,'1.PUNTOS'!$A$1:$B$63,2,0),0)</f>
        <v>0</v>
      </c>
      <c r="X171" s="138">
        <f>IF('1.DATOS-PROD'!AG172="SI",VLOOKUP('1.DATOS-PROD'!AG$2,'1.PUNTOS'!$A$1:$B$63,2,0),0)</f>
        <v>0</v>
      </c>
      <c r="Y171" s="138">
        <f>IF('1.DATOS-PROD'!AH172="SI",VLOOKUP('1.DATOS-PROD'!AH$2,'1.PUNTOS'!$A$1:$B$63,2,0),0)</f>
        <v>0</v>
      </c>
      <c r="Z171" s="138">
        <f>IF('1.DATOS-PROD'!AI172="SI",VLOOKUP('1.DATOS-PROD'!AI$2,'1.PUNTOS'!$A$1:$B$63,2,0),0)</f>
        <v>0</v>
      </c>
      <c r="AA171" s="138">
        <f>IF('1.DATOS-PROD'!AJ172="SI",VLOOKUP('1.DATOS-PROD'!AJ$2,'1.PUNTOS'!$A$1:$B$63,2,0),0)</f>
        <v>0</v>
      </c>
      <c r="AB171" s="138">
        <f>IF('1.DATOS-PROD'!AK172="SI",VLOOKUP('1.DATOS-PROD'!AK$2,'1.PUNTOS'!$A$1:$B$63,2,0),0)</f>
        <v>0</v>
      </c>
      <c r="AC171" s="138">
        <f>IF('1.DATOS-PROD'!AL172="SI",VLOOKUP('1.DATOS-PROD'!AL$2,'1.PUNTOS'!$A$1:$B$63,2,0),0)</f>
        <v>0</v>
      </c>
      <c r="AD171" s="138">
        <f>IF('1.DATOS-PROD'!AM172="SI",VLOOKUP('1.DATOS-PROD'!AM$2,'1.PUNTOS'!$A$1:$B$63,2,0),0)</f>
        <v>0</v>
      </c>
      <c r="AE171" s="138">
        <f>IF('1.DATOS-PROD'!AN172="SI",VLOOKUP('1.DATOS-PROD'!AN$2,'1.PUNTOS'!$A$1:$B$63,2,0),0)</f>
        <v>0</v>
      </c>
      <c r="AF171" s="138">
        <f>IF('1.DATOS-PROD'!AO172="SI",VLOOKUP('1.DATOS-PROD'!AO$2,'1.PUNTOS'!$A$1:$B$63,2,0),0)</f>
        <v>0</v>
      </c>
      <c r="AG171" s="138">
        <f>IF('1.DATOS-PROD'!AP172="SI",VLOOKUP('1.DATOS-PROD'!AP$2,'1.PUNTOS'!$A$1:$B$63,2,0),0)</f>
        <v>0</v>
      </c>
      <c r="AH171" s="138">
        <f>IF('1.DATOS-PROD'!AQ172="SI",VLOOKUP('1.DATOS-PROD'!AQ$2,'1.PUNTOS'!$A$1:$B$63,2,0),0)</f>
        <v>0</v>
      </c>
      <c r="AI171" s="138">
        <f>IF('1.DATOS-PROD'!AR172="SI",VLOOKUP('1.DATOS-PROD'!AR$2,'1.PUNTOS'!$A$1:$B$63,2,0),0)</f>
        <v>0</v>
      </c>
      <c r="AJ171" s="138">
        <f>IF('1.DATOS-PROD'!AS172="SI",VLOOKUP('1.DATOS-PROD'!AS$2,'1.PUNTOS'!$A$1:$B$63,2,0),0)</f>
        <v>0</v>
      </c>
      <c r="AK171" s="138">
        <f>IF('1.DATOS-PROD'!AT172="SI",VLOOKUP('1.DATOS-PROD'!AT$2,'1.PUNTOS'!$A$1:$B$63,2,0),0)</f>
        <v>0</v>
      </c>
      <c r="AL171" s="138">
        <f>IF('1.DATOS-PROD'!AU172="SI",VLOOKUP('1.DATOS-PROD'!AU$2,'1.PUNTOS'!$A$1:$B$63,2,0),0)</f>
        <v>0</v>
      </c>
      <c r="AM171" s="138">
        <f>IF('1.DATOS-PROD'!AV172="SI",VLOOKUP('1.DATOS-PROD'!AV$2,'1.PUNTOS'!$A$1:$B$63,2,0),0)</f>
        <v>0</v>
      </c>
      <c r="AN171" s="138">
        <f>IF('1.DATOS-PROD'!AW172="SI",VLOOKUP('1.DATOS-PROD'!AW$2,'1.PUNTOS'!$A$1:$B$63,2,0),0)</f>
        <v>0</v>
      </c>
      <c r="AO171" s="138">
        <f>IF('1.DATOS-PROD'!AX172="SI",VLOOKUP('1.DATOS-PROD'!AX$2,'1.PUNTOS'!$A$1:$B$63,2,0),0)</f>
        <v>0</v>
      </c>
      <c r="AP171" s="138">
        <f>IF('1.DATOS-PROD'!AY172="SI",VLOOKUP('1.DATOS-PROD'!AY$2,'1.PUNTOS'!$A$1:$B$63,2,0),0)</f>
        <v>0</v>
      </c>
      <c r="AQ171" s="138">
        <f>IF('1.DATOS-PROD'!AZ172="SI",VLOOKUP('1.DATOS-PROD'!AZ$2,'1.PUNTOS'!$A$1:$B$63,2,0),0)</f>
        <v>0</v>
      </c>
      <c r="AR171" s="138">
        <f>IF('1.DATOS-PROD'!BA172="SI",VLOOKUP('1.DATOS-PROD'!BA$2,'1.PUNTOS'!$A$1:$B$63,2,0),0)</f>
        <v>0</v>
      </c>
      <c r="AS171" s="138">
        <f>IF('1.DATOS-PROD'!BB172="SI",VLOOKUP('1.DATOS-PROD'!BB$2,'1.PUNTOS'!$A$1:$B$63,2,0),0)</f>
        <v>0</v>
      </c>
      <c r="AT171" s="138">
        <f>IF('1.DATOS-PROD'!BC172="SI",VLOOKUP('1.DATOS-PROD'!BC$2,'1.PUNTOS'!$A$1:$B$63,2,0),0)</f>
        <v>0</v>
      </c>
      <c r="AU171" s="138">
        <f>IF('1.DATOS-PROD'!BD172="SI",VLOOKUP('1.DATOS-PROD'!BD$2,'1.PUNTOS'!$A$1:$B$63,2,0),0)</f>
        <v>0</v>
      </c>
      <c r="AV171" s="138">
        <f>IF('1.DATOS-PROD'!BE172="SI",VLOOKUP('1.DATOS-PROD'!BE$2,'1.PUNTOS'!$A$1:$B$63,2,0),0)</f>
        <v>0</v>
      </c>
      <c r="AW171" s="138">
        <f>IF('1.DATOS-PROD'!BF172="SI",VLOOKUP('1.DATOS-PROD'!BF$2,'1.PUNTOS'!$A$1:$B$63,2,0),0)</f>
        <v>0</v>
      </c>
      <c r="AX171" s="138">
        <f>IF('1.DATOS-PROD'!BG172="SI",VLOOKUP('1.DATOS-PROD'!BG$2,'1.PUNTOS'!$A$1:$B$63,2,0),0)</f>
        <v>0</v>
      </c>
      <c r="AY171" s="138">
        <f>IF('1.DATOS-PROD'!BH172="SI",VLOOKUP('1.DATOS-PROD'!BH$2,'1.PUNTOS'!$A$1:$B$63,2,0),0)</f>
        <v>0</v>
      </c>
      <c r="AZ171" s="138">
        <f>IF('1.DATOS-PROD'!BI172="SI",VLOOKUP('1.DATOS-PROD'!BI$2,'1.PUNTOS'!$A$1:$B$63,2,0),0)</f>
        <v>0</v>
      </c>
      <c r="BA171" s="138">
        <f>IF('1.DATOS-PROD'!BJ172="SI",VLOOKUP('1.DATOS-PROD'!BJ$2,'1.PUNTOS'!$A$1:$B$63,2,0),0)</f>
        <v>0</v>
      </c>
      <c r="BB171" s="138">
        <f>IF('1.DATOS-PROD'!BK172="SI",VLOOKUP('1.DATOS-PROD'!BK$2,'1.PUNTOS'!$A$1:$B$63,2,0),0)</f>
        <v>0</v>
      </c>
      <c r="BC171" s="138">
        <f>IF('1.DATOS-PROD'!BL172="SI",VLOOKUP('1.DATOS-PROD'!BL$2,'1.PUNTOS'!$A$1:$B$63,2,0),0)</f>
        <v>0</v>
      </c>
      <c r="BD171" s="138">
        <f>IF('1.DATOS-PROD'!BM172="SI",VLOOKUP('1.DATOS-PROD'!BM$2,'1.PUNTOS'!$A$1:$B$63,2,0),0)</f>
        <v>0</v>
      </c>
      <c r="BE171" s="138">
        <f>IF('1.DATOS-PROD'!BN172="SI",VLOOKUP('1.DATOS-PROD'!BN$2,'1.PUNTOS'!$A$1:$B$63,2,0),0)</f>
        <v>0</v>
      </c>
      <c r="BF171" s="138">
        <f>IF('1.DATOS-PROD'!BO172="SI",VLOOKUP('1.DATOS-PROD'!BO$2,'1.PUNTOS'!$A$1:$B$63,2,0),0)</f>
        <v>0</v>
      </c>
      <c r="BG171" s="138">
        <f>IF('1.DATOS-PROD'!BP172="SI",VLOOKUP('1.DATOS-PROD'!BP$2,'1.PUNTOS'!$A$1:$B$63,2,0),0)</f>
        <v>0</v>
      </c>
      <c r="BH171" s="138">
        <f>IF('1.DATOS-PROD'!BQ172="SI",VLOOKUP('1.DATOS-PROD'!BQ$2,'1.PUNTOS'!$A$1:$B$63,2,0),0)</f>
        <v>0</v>
      </c>
      <c r="BI171" s="138">
        <f>IF('1.DATOS-PROD'!BR172="SI",VLOOKUP('1.DATOS-PROD'!BR$2,'1.PUNTOS'!$A$1:$B$63,2,0),0)</f>
        <v>0</v>
      </c>
      <c r="BJ171" s="138">
        <f>IF('1.DATOS-PROD'!BS172="SI",VLOOKUP('1.DATOS-PROD'!BS$2,'1.PUNTOS'!$A$1:$B$63,2,0),0)</f>
        <v>0</v>
      </c>
      <c r="BK171" s="138">
        <f>IF('1.DATOS-PROD'!BT172="SI",VLOOKUP('1.DATOS-PROD'!BT$2,'1.PUNTOS'!$A$1:$B$63,2,0),0)</f>
        <v>0</v>
      </c>
    </row>
    <row r="172" spans="1:63" x14ac:dyDescent="0.25">
      <c r="A172">
        <f>'0.Consolidado general'!$A173</f>
        <v>0</v>
      </c>
      <c r="B172" s="138">
        <f>IF('1.DATOS-PROD'!K173="SI",VLOOKUP('1.DATOS-PROD'!K$2,'1.PUNTOS'!$A$1:$B$63,2,0),0)</f>
        <v>0</v>
      </c>
      <c r="C172" s="138">
        <f>IF('1.DATOS-PROD'!L173="SI",VLOOKUP('1.DATOS-PROD'!L$2,'1.PUNTOS'!$A$1:$B$63,2,0),0)</f>
        <v>0</v>
      </c>
      <c r="D172" s="138">
        <f>IF('1.DATOS-PROD'!M173="SI",VLOOKUP('1.DATOS-PROD'!M$2,'1.PUNTOS'!$A$1:$B$63,2,0),0)</f>
        <v>0</v>
      </c>
      <c r="E172" s="138">
        <f>IF('1.DATOS-PROD'!N173="SI",VLOOKUP('1.DATOS-PROD'!N$2,'1.PUNTOS'!$A$1:$B$63,2,0),0)</f>
        <v>0</v>
      </c>
      <c r="F172" s="138">
        <f>IF('1.DATOS-PROD'!O173="SI",VLOOKUP('1.DATOS-PROD'!O$2,'1.PUNTOS'!$A$1:$B$63,2,0),0)</f>
        <v>0</v>
      </c>
      <c r="G172" s="138">
        <f>IF('1.DATOS-PROD'!P173="SI",VLOOKUP('1.DATOS-PROD'!P$2,'1.PUNTOS'!$A$1:$B$63,2,0),0)</f>
        <v>0</v>
      </c>
      <c r="H172" s="138">
        <f>IF('1.DATOS-PROD'!Q173="SI",VLOOKUP('1.DATOS-PROD'!Q$2,'1.PUNTOS'!$A$1:$B$63,2,0),0)</f>
        <v>0</v>
      </c>
      <c r="I172" s="138">
        <f>IF('1.DATOS-PROD'!R173="SI",VLOOKUP('1.DATOS-PROD'!R$2,'1.PUNTOS'!$A$1:$B$63,2,0),0)</f>
        <v>0</v>
      </c>
      <c r="J172" s="138">
        <f>IF('1.DATOS-PROD'!S173="SI",VLOOKUP('1.DATOS-PROD'!S$2,'1.PUNTOS'!$A$1:$B$63,2,0),0)</f>
        <v>0</v>
      </c>
      <c r="K172" s="138">
        <f>IF('1.DATOS-PROD'!T173="SI",VLOOKUP('1.DATOS-PROD'!T$2,'1.PUNTOS'!$A$1:$B$63,2,0),0)</f>
        <v>0</v>
      </c>
      <c r="L172" s="138">
        <f>IF('1.DATOS-PROD'!U173="SI",VLOOKUP('1.DATOS-PROD'!U$2,'1.PUNTOS'!$A$1:$B$63,2,0),0)</f>
        <v>0</v>
      </c>
      <c r="M172" s="138">
        <f>IF('1.DATOS-PROD'!V173="SI",VLOOKUP('1.DATOS-PROD'!V$2,'1.PUNTOS'!$A$1:$B$63,2,0),0)</f>
        <v>0</v>
      </c>
      <c r="N172" s="138">
        <f>IF('1.DATOS-PROD'!W173="SI",VLOOKUP('1.DATOS-PROD'!W$2,'1.PUNTOS'!$A$1:$B$63,2,0),0)</f>
        <v>0</v>
      </c>
      <c r="O172" s="138">
        <f>IF('1.DATOS-PROD'!X173="SI",VLOOKUP('1.DATOS-PROD'!X$2,'1.PUNTOS'!$A$1:$B$63,2,0),0)</f>
        <v>0</v>
      </c>
      <c r="P172" s="138">
        <f>IF('1.DATOS-PROD'!Y173="SI",VLOOKUP('1.DATOS-PROD'!Y$2,'1.PUNTOS'!$A$1:$B$63,2,0),0)</f>
        <v>0</v>
      </c>
      <c r="Q172" s="138">
        <f>IF('1.DATOS-PROD'!Z173="SI",VLOOKUP('1.DATOS-PROD'!Z$2,'1.PUNTOS'!$A$1:$B$63,2,0),0)</f>
        <v>0</v>
      </c>
      <c r="R172" s="138">
        <f>IF('1.DATOS-PROD'!AA173="SI",VLOOKUP('1.DATOS-PROD'!AA$2,'1.PUNTOS'!$A$1:$B$63,2,0),0)</f>
        <v>0</v>
      </c>
      <c r="S172" s="138">
        <f>IF('1.DATOS-PROD'!AB173="SI",VLOOKUP('1.DATOS-PROD'!AB$2,'1.PUNTOS'!$A$1:$B$63,2,0),0)</f>
        <v>0</v>
      </c>
      <c r="T172" s="138">
        <f>IF('1.DATOS-PROD'!AC173="SI",VLOOKUP('1.DATOS-PROD'!AC$2,'1.PUNTOS'!$A$1:$B$63,2,0),0)</f>
        <v>0</v>
      </c>
      <c r="U172" s="138">
        <f>IF('1.DATOS-PROD'!AD173="SI",VLOOKUP('1.DATOS-PROD'!AD$2,'1.PUNTOS'!$A$1:$B$63,2,0),0)</f>
        <v>0</v>
      </c>
      <c r="V172" s="138">
        <f>IF('1.DATOS-PROD'!AE173="SI",VLOOKUP('1.DATOS-PROD'!AE$2,'1.PUNTOS'!$A$1:$B$63,2,0),0)</f>
        <v>0</v>
      </c>
      <c r="W172" s="138">
        <f>IF('1.DATOS-PROD'!AF173="SI",VLOOKUP('1.DATOS-PROD'!AF$2,'1.PUNTOS'!$A$1:$B$63,2,0),0)</f>
        <v>0</v>
      </c>
      <c r="X172" s="138">
        <f>IF('1.DATOS-PROD'!AG173="SI",VLOOKUP('1.DATOS-PROD'!AG$2,'1.PUNTOS'!$A$1:$B$63,2,0),0)</f>
        <v>0</v>
      </c>
      <c r="Y172" s="138">
        <f>IF('1.DATOS-PROD'!AH173="SI",VLOOKUP('1.DATOS-PROD'!AH$2,'1.PUNTOS'!$A$1:$B$63,2,0),0)</f>
        <v>0</v>
      </c>
      <c r="Z172" s="138">
        <f>IF('1.DATOS-PROD'!AI173="SI",VLOOKUP('1.DATOS-PROD'!AI$2,'1.PUNTOS'!$A$1:$B$63,2,0),0)</f>
        <v>0</v>
      </c>
      <c r="AA172" s="138">
        <f>IF('1.DATOS-PROD'!AJ173="SI",VLOOKUP('1.DATOS-PROD'!AJ$2,'1.PUNTOS'!$A$1:$B$63,2,0),0)</f>
        <v>0</v>
      </c>
      <c r="AB172" s="138">
        <f>IF('1.DATOS-PROD'!AK173="SI",VLOOKUP('1.DATOS-PROD'!AK$2,'1.PUNTOS'!$A$1:$B$63,2,0),0)</f>
        <v>0</v>
      </c>
      <c r="AC172" s="138">
        <f>IF('1.DATOS-PROD'!AL173="SI",VLOOKUP('1.DATOS-PROD'!AL$2,'1.PUNTOS'!$A$1:$B$63,2,0),0)</f>
        <v>0</v>
      </c>
      <c r="AD172" s="138">
        <f>IF('1.DATOS-PROD'!AM173="SI",VLOOKUP('1.DATOS-PROD'!AM$2,'1.PUNTOS'!$A$1:$B$63,2,0),0)</f>
        <v>0</v>
      </c>
      <c r="AE172" s="138">
        <f>IF('1.DATOS-PROD'!AN173="SI",VLOOKUP('1.DATOS-PROD'!AN$2,'1.PUNTOS'!$A$1:$B$63,2,0),0)</f>
        <v>0</v>
      </c>
      <c r="AF172" s="138">
        <f>IF('1.DATOS-PROD'!AO173="SI",VLOOKUP('1.DATOS-PROD'!AO$2,'1.PUNTOS'!$A$1:$B$63,2,0),0)</f>
        <v>0</v>
      </c>
      <c r="AG172" s="138">
        <f>IF('1.DATOS-PROD'!AP173="SI",VLOOKUP('1.DATOS-PROD'!AP$2,'1.PUNTOS'!$A$1:$B$63,2,0),0)</f>
        <v>0</v>
      </c>
      <c r="AH172" s="138">
        <f>IF('1.DATOS-PROD'!AQ173="SI",VLOOKUP('1.DATOS-PROD'!AQ$2,'1.PUNTOS'!$A$1:$B$63,2,0),0)</f>
        <v>0</v>
      </c>
      <c r="AI172" s="138">
        <f>IF('1.DATOS-PROD'!AR173="SI",VLOOKUP('1.DATOS-PROD'!AR$2,'1.PUNTOS'!$A$1:$B$63,2,0),0)</f>
        <v>0</v>
      </c>
      <c r="AJ172" s="138">
        <f>IF('1.DATOS-PROD'!AS173="SI",VLOOKUP('1.DATOS-PROD'!AS$2,'1.PUNTOS'!$A$1:$B$63,2,0),0)</f>
        <v>0</v>
      </c>
      <c r="AK172" s="138">
        <f>IF('1.DATOS-PROD'!AT173="SI",VLOOKUP('1.DATOS-PROD'!AT$2,'1.PUNTOS'!$A$1:$B$63,2,0),0)</f>
        <v>0</v>
      </c>
      <c r="AL172" s="138">
        <f>IF('1.DATOS-PROD'!AU173="SI",VLOOKUP('1.DATOS-PROD'!AU$2,'1.PUNTOS'!$A$1:$B$63,2,0),0)</f>
        <v>0</v>
      </c>
      <c r="AM172" s="138">
        <f>IF('1.DATOS-PROD'!AV173="SI",VLOOKUP('1.DATOS-PROD'!AV$2,'1.PUNTOS'!$A$1:$B$63,2,0),0)</f>
        <v>0</v>
      </c>
      <c r="AN172" s="138">
        <f>IF('1.DATOS-PROD'!AW173="SI",VLOOKUP('1.DATOS-PROD'!AW$2,'1.PUNTOS'!$A$1:$B$63,2,0),0)</f>
        <v>0</v>
      </c>
      <c r="AO172" s="138">
        <f>IF('1.DATOS-PROD'!AX173="SI",VLOOKUP('1.DATOS-PROD'!AX$2,'1.PUNTOS'!$A$1:$B$63,2,0),0)</f>
        <v>0</v>
      </c>
      <c r="AP172" s="138">
        <f>IF('1.DATOS-PROD'!AY173="SI",VLOOKUP('1.DATOS-PROD'!AY$2,'1.PUNTOS'!$A$1:$B$63,2,0),0)</f>
        <v>0</v>
      </c>
      <c r="AQ172" s="138">
        <f>IF('1.DATOS-PROD'!AZ173="SI",VLOOKUP('1.DATOS-PROD'!AZ$2,'1.PUNTOS'!$A$1:$B$63,2,0),0)</f>
        <v>0</v>
      </c>
      <c r="AR172" s="138">
        <f>IF('1.DATOS-PROD'!BA173="SI",VLOOKUP('1.DATOS-PROD'!BA$2,'1.PUNTOS'!$A$1:$B$63,2,0),0)</f>
        <v>0</v>
      </c>
      <c r="AS172" s="138">
        <f>IF('1.DATOS-PROD'!BB173="SI",VLOOKUP('1.DATOS-PROD'!BB$2,'1.PUNTOS'!$A$1:$B$63,2,0),0)</f>
        <v>0</v>
      </c>
      <c r="AT172" s="138">
        <f>IF('1.DATOS-PROD'!BC173="SI",VLOOKUP('1.DATOS-PROD'!BC$2,'1.PUNTOS'!$A$1:$B$63,2,0),0)</f>
        <v>0</v>
      </c>
      <c r="AU172" s="138">
        <f>IF('1.DATOS-PROD'!BD173="SI",VLOOKUP('1.DATOS-PROD'!BD$2,'1.PUNTOS'!$A$1:$B$63,2,0),0)</f>
        <v>0</v>
      </c>
      <c r="AV172" s="138">
        <f>IF('1.DATOS-PROD'!BE173="SI",VLOOKUP('1.DATOS-PROD'!BE$2,'1.PUNTOS'!$A$1:$B$63,2,0),0)</f>
        <v>0</v>
      </c>
      <c r="AW172" s="138">
        <f>IF('1.DATOS-PROD'!BF173="SI",VLOOKUP('1.DATOS-PROD'!BF$2,'1.PUNTOS'!$A$1:$B$63,2,0),0)</f>
        <v>0</v>
      </c>
      <c r="AX172" s="138">
        <f>IF('1.DATOS-PROD'!BG173="SI",VLOOKUP('1.DATOS-PROD'!BG$2,'1.PUNTOS'!$A$1:$B$63,2,0),0)</f>
        <v>0</v>
      </c>
      <c r="AY172" s="138">
        <f>IF('1.DATOS-PROD'!BH173="SI",VLOOKUP('1.DATOS-PROD'!BH$2,'1.PUNTOS'!$A$1:$B$63,2,0),0)</f>
        <v>0</v>
      </c>
      <c r="AZ172" s="138">
        <f>IF('1.DATOS-PROD'!BI173="SI",VLOOKUP('1.DATOS-PROD'!BI$2,'1.PUNTOS'!$A$1:$B$63,2,0),0)</f>
        <v>0</v>
      </c>
      <c r="BA172" s="138">
        <f>IF('1.DATOS-PROD'!BJ173="SI",VLOOKUP('1.DATOS-PROD'!BJ$2,'1.PUNTOS'!$A$1:$B$63,2,0),0)</f>
        <v>0</v>
      </c>
      <c r="BB172" s="138">
        <f>IF('1.DATOS-PROD'!BK173="SI",VLOOKUP('1.DATOS-PROD'!BK$2,'1.PUNTOS'!$A$1:$B$63,2,0),0)</f>
        <v>0</v>
      </c>
      <c r="BC172" s="138">
        <f>IF('1.DATOS-PROD'!BL173="SI",VLOOKUP('1.DATOS-PROD'!BL$2,'1.PUNTOS'!$A$1:$B$63,2,0),0)</f>
        <v>0</v>
      </c>
      <c r="BD172" s="138">
        <f>IF('1.DATOS-PROD'!BM173="SI",VLOOKUP('1.DATOS-PROD'!BM$2,'1.PUNTOS'!$A$1:$B$63,2,0),0)</f>
        <v>0</v>
      </c>
      <c r="BE172" s="138">
        <f>IF('1.DATOS-PROD'!BN173="SI",VLOOKUP('1.DATOS-PROD'!BN$2,'1.PUNTOS'!$A$1:$B$63,2,0),0)</f>
        <v>0</v>
      </c>
      <c r="BF172" s="138">
        <f>IF('1.DATOS-PROD'!BO173="SI",VLOOKUP('1.DATOS-PROD'!BO$2,'1.PUNTOS'!$A$1:$B$63,2,0),0)</f>
        <v>0</v>
      </c>
      <c r="BG172" s="138">
        <f>IF('1.DATOS-PROD'!BP173="SI",VLOOKUP('1.DATOS-PROD'!BP$2,'1.PUNTOS'!$A$1:$B$63,2,0),0)</f>
        <v>0</v>
      </c>
      <c r="BH172" s="138">
        <f>IF('1.DATOS-PROD'!BQ173="SI",VLOOKUP('1.DATOS-PROD'!BQ$2,'1.PUNTOS'!$A$1:$B$63,2,0),0)</f>
        <v>0</v>
      </c>
      <c r="BI172" s="138">
        <f>IF('1.DATOS-PROD'!BR173="SI",VLOOKUP('1.DATOS-PROD'!BR$2,'1.PUNTOS'!$A$1:$B$63,2,0),0)</f>
        <v>0</v>
      </c>
      <c r="BJ172" s="138">
        <f>IF('1.DATOS-PROD'!BS173="SI",VLOOKUP('1.DATOS-PROD'!BS$2,'1.PUNTOS'!$A$1:$B$63,2,0),0)</f>
        <v>0</v>
      </c>
      <c r="BK172" s="138">
        <f>IF('1.DATOS-PROD'!BT173="SI",VLOOKUP('1.DATOS-PROD'!BT$2,'1.PUNTOS'!$A$1:$B$63,2,0),0)</f>
        <v>0</v>
      </c>
    </row>
    <row r="173" spans="1:63" x14ac:dyDescent="0.25">
      <c r="A173">
        <f>'0.Consolidado general'!$A174</f>
        <v>0</v>
      </c>
      <c r="B173" s="138">
        <f>IF('1.DATOS-PROD'!K174="SI",VLOOKUP('1.DATOS-PROD'!K$2,'1.PUNTOS'!$A$1:$B$63,2,0),0)</f>
        <v>0</v>
      </c>
      <c r="C173" s="138">
        <f>IF('1.DATOS-PROD'!L174="SI",VLOOKUP('1.DATOS-PROD'!L$2,'1.PUNTOS'!$A$1:$B$63,2,0),0)</f>
        <v>0</v>
      </c>
      <c r="D173" s="138">
        <f>IF('1.DATOS-PROD'!M174="SI",VLOOKUP('1.DATOS-PROD'!M$2,'1.PUNTOS'!$A$1:$B$63,2,0),0)</f>
        <v>0</v>
      </c>
      <c r="E173" s="138">
        <f>IF('1.DATOS-PROD'!N174="SI",VLOOKUP('1.DATOS-PROD'!N$2,'1.PUNTOS'!$A$1:$B$63,2,0),0)</f>
        <v>0</v>
      </c>
      <c r="F173" s="138">
        <f>IF('1.DATOS-PROD'!O174="SI",VLOOKUP('1.DATOS-PROD'!O$2,'1.PUNTOS'!$A$1:$B$63,2,0),0)</f>
        <v>0</v>
      </c>
      <c r="G173" s="138">
        <f>IF('1.DATOS-PROD'!P174="SI",VLOOKUP('1.DATOS-PROD'!P$2,'1.PUNTOS'!$A$1:$B$63,2,0),0)</f>
        <v>0</v>
      </c>
      <c r="H173" s="138">
        <f>IF('1.DATOS-PROD'!Q174="SI",VLOOKUP('1.DATOS-PROD'!Q$2,'1.PUNTOS'!$A$1:$B$63,2,0),0)</f>
        <v>0</v>
      </c>
      <c r="I173" s="138">
        <f>IF('1.DATOS-PROD'!R174="SI",VLOOKUP('1.DATOS-PROD'!R$2,'1.PUNTOS'!$A$1:$B$63,2,0),0)</f>
        <v>0</v>
      </c>
      <c r="J173" s="138">
        <f>IF('1.DATOS-PROD'!S174="SI",VLOOKUP('1.DATOS-PROD'!S$2,'1.PUNTOS'!$A$1:$B$63,2,0),0)</f>
        <v>0</v>
      </c>
      <c r="K173" s="138">
        <f>IF('1.DATOS-PROD'!T174="SI",VLOOKUP('1.DATOS-PROD'!T$2,'1.PUNTOS'!$A$1:$B$63,2,0),0)</f>
        <v>0</v>
      </c>
      <c r="L173" s="138">
        <f>IF('1.DATOS-PROD'!U174="SI",VLOOKUP('1.DATOS-PROD'!U$2,'1.PUNTOS'!$A$1:$B$63,2,0),0)</f>
        <v>0</v>
      </c>
      <c r="M173" s="138">
        <f>IF('1.DATOS-PROD'!V174="SI",VLOOKUP('1.DATOS-PROD'!V$2,'1.PUNTOS'!$A$1:$B$63,2,0),0)</f>
        <v>0</v>
      </c>
      <c r="N173" s="138">
        <f>IF('1.DATOS-PROD'!W174="SI",VLOOKUP('1.DATOS-PROD'!W$2,'1.PUNTOS'!$A$1:$B$63,2,0),0)</f>
        <v>0</v>
      </c>
      <c r="O173" s="138">
        <f>IF('1.DATOS-PROD'!X174="SI",VLOOKUP('1.DATOS-PROD'!X$2,'1.PUNTOS'!$A$1:$B$63,2,0),0)</f>
        <v>0</v>
      </c>
      <c r="P173" s="138">
        <f>IF('1.DATOS-PROD'!Y174="SI",VLOOKUP('1.DATOS-PROD'!Y$2,'1.PUNTOS'!$A$1:$B$63,2,0),0)</f>
        <v>0</v>
      </c>
      <c r="Q173" s="138">
        <f>IF('1.DATOS-PROD'!Z174="SI",VLOOKUP('1.DATOS-PROD'!Z$2,'1.PUNTOS'!$A$1:$B$63,2,0),0)</f>
        <v>0</v>
      </c>
      <c r="R173" s="138">
        <f>IF('1.DATOS-PROD'!AA174="SI",VLOOKUP('1.DATOS-PROD'!AA$2,'1.PUNTOS'!$A$1:$B$63,2,0),0)</f>
        <v>0</v>
      </c>
      <c r="S173" s="138">
        <f>IF('1.DATOS-PROD'!AB174="SI",VLOOKUP('1.DATOS-PROD'!AB$2,'1.PUNTOS'!$A$1:$B$63,2,0),0)</f>
        <v>0</v>
      </c>
      <c r="T173" s="138">
        <f>IF('1.DATOS-PROD'!AC174="SI",VLOOKUP('1.DATOS-PROD'!AC$2,'1.PUNTOS'!$A$1:$B$63,2,0),0)</f>
        <v>0</v>
      </c>
      <c r="U173" s="138">
        <f>IF('1.DATOS-PROD'!AD174="SI",VLOOKUP('1.DATOS-PROD'!AD$2,'1.PUNTOS'!$A$1:$B$63,2,0),0)</f>
        <v>0</v>
      </c>
      <c r="V173" s="138">
        <f>IF('1.DATOS-PROD'!AE174="SI",VLOOKUP('1.DATOS-PROD'!AE$2,'1.PUNTOS'!$A$1:$B$63,2,0),0)</f>
        <v>0</v>
      </c>
      <c r="W173" s="138">
        <f>IF('1.DATOS-PROD'!AF174="SI",VLOOKUP('1.DATOS-PROD'!AF$2,'1.PUNTOS'!$A$1:$B$63,2,0),0)</f>
        <v>0</v>
      </c>
      <c r="X173" s="138">
        <f>IF('1.DATOS-PROD'!AG174="SI",VLOOKUP('1.DATOS-PROD'!AG$2,'1.PUNTOS'!$A$1:$B$63,2,0),0)</f>
        <v>0</v>
      </c>
      <c r="Y173" s="138">
        <f>IF('1.DATOS-PROD'!AH174="SI",VLOOKUP('1.DATOS-PROD'!AH$2,'1.PUNTOS'!$A$1:$B$63,2,0),0)</f>
        <v>0</v>
      </c>
      <c r="Z173" s="138">
        <f>IF('1.DATOS-PROD'!AI174="SI",VLOOKUP('1.DATOS-PROD'!AI$2,'1.PUNTOS'!$A$1:$B$63,2,0),0)</f>
        <v>0</v>
      </c>
      <c r="AA173" s="138">
        <f>IF('1.DATOS-PROD'!AJ174="SI",VLOOKUP('1.DATOS-PROD'!AJ$2,'1.PUNTOS'!$A$1:$B$63,2,0),0)</f>
        <v>0</v>
      </c>
      <c r="AB173" s="138">
        <f>IF('1.DATOS-PROD'!AK174="SI",VLOOKUP('1.DATOS-PROD'!AK$2,'1.PUNTOS'!$A$1:$B$63,2,0),0)</f>
        <v>0</v>
      </c>
      <c r="AC173" s="138">
        <f>IF('1.DATOS-PROD'!AL174="SI",VLOOKUP('1.DATOS-PROD'!AL$2,'1.PUNTOS'!$A$1:$B$63,2,0),0)</f>
        <v>0</v>
      </c>
      <c r="AD173" s="138">
        <f>IF('1.DATOS-PROD'!AM174="SI",VLOOKUP('1.DATOS-PROD'!AM$2,'1.PUNTOS'!$A$1:$B$63,2,0),0)</f>
        <v>0</v>
      </c>
      <c r="AE173" s="138">
        <f>IF('1.DATOS-PROD'!AN174="SI",VLOOKUP('1.DATOS-PROD'!AN$2,'1.PUNTOS'!$A$1:$B$63,2,0),0)</f>
        <v>0</v>
      </c>
      <c r="AF173" s="138">
        <f>IF('1.DATOS-PROD'!AO174="SI",VLOOKUP('1.DATOS-PROD'!AO$2,'1.PUNTOS'!$A$1:$B$63,2,0),0)</f>
        <v>0</v>
      </c>
      <c r="AG173" s="138">
        <f>IF('1.DATOS-PROD'!AP174="SI",VLOOKUP('1.DATOS-PROD'!AP$2,'1.PUNTOS'!$A$1:$B$63,2,0),0)</f>
        <v>0</v>
      </c>
      <c r="AH173" s="138">
        <f>IF('1.DATOS-PROD'!AQ174="SI",VLOOKUP('1.DATOS-PROD'!AQ$2,'1.PUNTOS'!$A$1:$B$63,2,0),0)</f>
        <v>0</v>
      </c>
      <c r="AI173" s="138">
        <f>IF('1.DATOS-PROD'!AR174="SI",VLOOKUP('1.DATOS-PROD'!AR$2,'1.PUNTOS'!$A$1:$B$63,2,0),0)</f>
        <v>0</v>
      </c>
      <c r="AJ173" s="138">
        <f>IF('1.DATOS-PROD'!AS174="SI",VLOOKUP('1.DATOS-PROD'!AS$2,'1.PUNTOS'!$A$1:$B$63,2,0),0)</f>
        <v>0</v>
      </c>
      <c r="AK173" s="138">
        <f>IF('1.DATOS-PROD'!AT174="SI",VLOOKUP('1.DATOS-PROD'!AT$2,'1.PUNTOS'!$A$1:$B$63,2,0),0)</f>
        <v>0</v>
      </c>
      <c r="AL173" s="138">
        <f>IF('1.DATOS-PROD'!AU174="SI",VLOOKUP('1.DATOS-PROD'!AU$2,'1.PUNTOS'!$A$1:$B$63,2,0),0)</f>
        <v>0</v>
      </c>
      <c r="AM173" s="138">
        <f>IF('1.DATOS-PROD'!AV174="SI",VLOOKUP('1.DATOS-PROD'!AV$2,'1.PUNTOS'!$A$1:$B$63,2,0),0)</f>
        <v>0</v>
      </c>
      <c r="AN173" s="138">
        <f>IF('1.DATOS-PROD'!AW174="SI",VLOOKUP('1.DATOS-PROD'!AW$2,'1.PUNTOS'!$A$1:$B$63,2,0),0)</f>
        <v>0</v>
      </c>
      <c r="AO173" s="138">
        <f>IF('1.DATOS-PROD'!AX174="SI",VLOOKUP('1.DATOS-PROD'!AX$2,'1.PUNTOS'!$A$1:$B$63,2,0),0)</f>
        <v>0</v>
      </c>
      <c r="AP173" s="138">
        <f>IF('1.DATOS-PROD'!AY174="SI",VLOOKUP('1.DATOS-PROD'!AY$2,'1.PUNTOS'!$A$1:$B$63,2,0),0)</f>
        <v>0</v>
      </c>
      <c r="AQ173" s="138">
        <f>IF('1.DATOS-PROD'!AZ174="SI",VLOOKUP('1.DATOS-PROD'!AZ$2,'1.PUNTOS'!$A$1:$B$63,2,0),0)</f>
        <v>0</v>
      </c>
      <c r="AR173" s="138">
        <f>IF('1.DATOS-PROD'!BA174="SI",VLOOKUP('1.DATOS-PROD'!BA$2,'1.PUNTOS'!$A$1:$B$63,2,0),0)</f>
        <v>0</v>
      </c>
      <c r="AS173" s="138">
        <f>IF('1.DATOS-PROD'!BB174="SI",VLOOKUP('1.DATOS-PROD'!BB$2,'1.PUNTOS'!$A$1:$B$63,2,0),0)</f>
        <v>0</v>
      </c>
      <c r="AT173" s="138">
        <f>IF('1.DATOS-PROD'!BC174="SI",VLOOKUP('1.DATOS-PROD'!BC$2,'1.PUNTOS'!$A$1:$B$63,2,0),0)</f>
        <v>0</v>
      </c>
      <c r="AU173" s="138">
        <f>IF('1.DATOS-PROD'!BD174="SI",VLOOKUP('1.DATOS-PROD'!BD$2,'1.PUNTOS'!$A$1:$B$63,2,0),0)</f>
        <v>0</v>
      </c>
      <c r="AV173" s="138">
        <f>IF('1.DATOS-PROD'!BE174="SI",VLOOKUP('1.DATOS-PROD'!BE$2,'1.PUNTOS'!$A$1:$B$63,2,0),0)</f>
        <v>0</v>
      </c>
      <c r="AW173" s="138">
        <f>IF('1.DATOS-PROD'!BF174="SI",VLOOKUP('1.DATOS-PROD'!BF$2,'1.PUNTOS'!$A$1:$B$63,2,0),0)</f>
        <v>0</v>
      </c>
      <c r="AX173" s="138">
        <f>IF('1.DATOS-PROD'!BG174="SI",VLOOKUP('1.DATOS-PROD'!BG$2,'1.PUNTOS'!$A$1:$B$63,2,0),0)</f>
        <v>0</v>
      </c>
      <c r="AY173" s="138">
        <f>IF('1.DATOS-PROD'!BH174="SI",VLOOKUP('1.DATOS-PROD'!BH$2,'1.PUNTOS'!$A$1:$B$63,2,0),0)</f>
        <v>0</v>
      </c>
      <c r="AZ173" s="138">
        <f>IF('1.DATOS-PROD'!BI174="SI",VLOOKUP('1.DATOS-PROD'!BI$2,'1.PUNTOS'!$A$1:$B$63,2,0),0)</f>
        <v>0</v>
      </c>
      <c r="BA173" s="138">
        <f>IF('1.DATOS-PROD'!BJ174="SI",VLOOKUP('1.DATOS-PROD'!BJ$2,'1.PUNTOS'!$A$1:$B$63,2,0),0)</f>
        <v>0</v>
      </c>
      <c r="BB173" s="138">
        <f>IF('1.DATOS-PROD'!BK174="SI",VLOOKUP('1.DATOS-PROD'!BK$2,'1.PUNTOS'!$A$1:$B$63,2,0),0)</f>
        <v>0</v>
      </c>
      <c r="BC173" s="138">
        <f>IF('1.DATOS-PROD'!BL174="SI",VLOOKUP('1.DATOS-PROD'!BL$2,'1.PUNTOS'!$A$1:$B$63,2,0),0)</f>
        <v>0</v>
      </c>
      <c r="BD173" s="138">
        <f>IF('1.DATOS-PROD'!BM174="SI",VLOOKUP('1.DATOS-PROD'!BM$2,'1.PUNTOS'!$A$1:$B$63,2,0),0)</f>
        <v>0</v>
      </c>
      <c r="BE173" s="138">
        <f>IF('1.DATOS-PROD'!BN174="SI",VLOOKUP('1.DATOS-PROD'!BN$2,'1.PUNTOS'!$A$1:$B$63,2,0),0)</f>
        <v>0</v>
      </c>
      <c r="BF173" s="138">
        <f>IF('1.DATOS-PROD'!BO174="SI",VLOOKUP('1.DATOS-PROD'!BO$2,'1.PUNTOS'!$A$1:$B$63,2,0),0)</f>
        <v>0</v>
      </c>
      <c r="BG173" s="138">
        <f>IF('1.DATOS-PROD'!BP174="SI",VLOOKUP('1.DATOS-PROD'!BP$2,'1.PUNTOS'!$A$1:$B$63,2,0),0)</f>
        <v>0</v>
      </c>
      <c r="BH173" s="138">
        <f>IF('1.DATOS-PROD'!BQ174="SI",VLOOKUP('1.DATOS-PROD'!BQ$2,'1.PUNTOS'!$A$1:$B$63,2,0),0)</f>
        <v>0</v>
      </c>
      <c r="BI173" s="138">
        <f>IF('1.DATOS-PROD'!BR174="SI",VLOOKUP('1.DATOS-PROD'!BR$2,'1.PUNTOS'!$A$1:$B$63,2,0),0)</f>
        <v>0</v>
      </c>
      <c r="BJ173" s="138">
        <f>IF('1.DATOS-PROD'!BS174="SI",VLOOKUP('1.DATOS-PROD'!BS$2,'1.PUNTOS'!$A$1:$B$63,2,0),0)</f>
        <v>0</v>
      </c>
      <c r="BK173" s="138">
        <f>IF('1.DATOS-PROD'!BT174="SI",VLOOKUP('1.DATOS-PROD'!BT$2,'1.PUNTOS'!$A$1:$B$63,2,0),0)</f>
        <v>0</v>
      </c>
    </row>
    <row r="174" spans="1:63" x14ac:dyDescent="0.25">
      <c r="A174">
        <f>'0.Consolidado general'!$A175</f>
        <v>0</v>
      </c>
      <c r="B174" s="138">
        <f>IF('1.DATOS-PROD'!K175="SI",VLOOKUP('1.DATOS-PROD'!K$2,'1.PUNTOS'!$A$1:$B$63,2,0),0)</f>
        <v>0</v>
      </c>
      <c r="C174" s="138">
        <f>IF('1.DATOS-PROD'!L175="SI",VLOOKUP('1.DATOS-PROD'!L$2,'1.PUNTOS'!$A$1:$B$63,2,0),0)</f>
        <v>0</v>
      </c>
      <c r="D174" s="138">
        <f>IF('1.DATOS-PROD'!M175="SI",VLOOKUP('1.DATOS-PROD'!M$2,'1.PUNTOS'!$A$1:$B$63,2,0),0)</f>
        <v>0</v>
      </c>
      <c r="E174" s="138">
        <f>IF('1.DATOS-PROD'!N175="SI",VLOOKUP('1.DATOS-PROD'!N$2,'1.PUNTOS'!$A$1:$B$63,2,0),0)</f>
        <v>0</v>
      </c>
      <c r="F174" s="138">
        <f>IF('1.DATOS-PROD'!O175="SI",VLOOKUP('1.DATOS-PROD'!O$2,'1.PUNTOS'!$A$1:$B$63,2,0),0)</f>
        <v>0</v>
      </c>
      <c r="G174" s="138">
        <f>IF('1.DATOS-PROD'!P175="SI",VLOOKUP('1.DATOS-PROD'!P$2,'1.PUNTOS'!$A$1:$B$63,2,0),0)</f>
        <v>0</v>
      </c>
      <c r="H174" s="138">
        <f>IF('1.DATOS-PROD'!Q175="SI",VLOOKUP('1.DATOS-PROD'!Q$2,'1.PUNTOS'!$A$1:$B$63,2,0),0)</f>
        <v>0</v>
      </c>
      <c r="I174" s="138">
        <f>IF('1.DATOS-PROD'!R175="SI",VLOOKUP('1.DATOS-PROD'!R$2,'1.PUNTOS'!$A$1:$B$63,2,0),0)</f>
        <v>0</v>
      </c>
      <c r="J174" s="138">
        <f>IF('1.DATOS-PROD'!S175="SI",VLOOKUP('1.DATOS-PROD'!S$2,'1.PUNTOS'!$A$1:$B$63,2,0),0)</f>
        <v>0</v>
      </c>
      <c r="K174" s="138">
        <f>IF('1.DATOS-PROD'!T175="SI",VLOOKUP('1.DATOS-PROD'!T$2,'1.PUNTOS'!$A$1:$B$63,2,0),0)</f>
        <v>0</v>
      </c>
      <c r="L174" s="138">
        <f>IF('1.DATOS-PROD'!U175="SI",VLOOKUP('1.DATOS-PROD'!U$2,'1.PUNTOS'!$A$1:$B$63,2,0),0)</f>
        <v>0</v>
      </c>
      <c r="M174" s="138">
        <f>IF('1.DATOS-PROD'!V175="SI",VLOOKUP('1.DATOS-PROD'!V$2,'1.PUNTOS'!$A$1:$B$63,2,0),0)</f>
        <v>0</v>
      </c>
      <c r="N174" s="138">
        <f>IF('1.DATOS-PROD'!W175="SI",VLOOKUP('1.DATOS-PROD'!W$2,'1.PUNTOS'!$A$1:$B$63,2,0),0)</f>
        <v>0</v>
      </c>
      <c r="O174" s="138">
        <f>IF('1.DATOS-PROD'!X175="SI",VLOOKUP('1.DATOS-PROD'!X$2,'1.PUNTOS'!$A$1:$B$63,2,0),0)</f>
        <v>0</v>
      </c>
      <c r="P174" s="138">
        <f>IF('1.DATOS-PROD'!Y175="SI",VLOOKUP('1.DATOS-PROD'!Y$2,'1.PUNTOS'!$A$1:$B$63,2,0),0)</f>
        <v>0</v>
      </c>
      <c r="Q174" s="138">
        <f>IF('1.DATOS-PROD'!Z175="SI",VLOOKUP('1.DATOS-PROD'!Z$2,'1.PUNTOS'!$A$1:$B$63,2,0),0)</f>
        <v>0</v>
      </c>
      <c r="R174" s="138">
        <f>IF('1.DATOS-PROD'!AA175="SI",VLOOKUP('1.DATOS-PROD'!AA$2,'1.PUNTOS'!$A$1:$B$63,2,0),0)</f>
        <v>0</v>
      </c>
      <c r="S174" s="138">
        <f>IF('1.DATOS-PROD'!AB175="SI",VLOOKUP('1.DATOS-PROD'!AB$2,'1.PUNTOS'!$A$1:$B$63,2,0),0)</f>
        <v>0</v>
      </c>
      <c r="T174" s="138">
        <f>IF('1.DATOS-PROD'!AC175="SI",VLOOKUP('1.DATOS-PROD'!AC$2,'1.PUNTOS'!$A$1:$B$63,2,0),0)</f>
        <v>0</v>
      </c>
      <c r="U174" s="138">
        <f>IF('1.DATOS-PROD'!AD175="SI",VLOOKUP('1.DATOS-PROD'!AD$2,'1.PUNTOS'!$A$1:$B$63,2,0),0)</f>
        <v>0</v>
      </c>
      <c r="V174" s="138">
        <f>IF('1.DATOS-PROD'!AE175="SI",VLOOKUP('1.DATOS-PROD'!AE$2,'1.PUNTOS'!$A$1:$B$63,2,0),0)</f>
        <v>0</v>
      </c>
      <c r="W174" s="138">
        <f>IF('1.DATOS-PROD'!AF175="SI",VLOOKUP('1.DATOS-PROD'!AF$2,'1.PUNTOS'!$A$1:$B$63,2,0),0)</f>
        <v>0</v>
      </c>
      <c r="X174" s="138">
        <f>IF('1.DATOS-PROD'!AG175="SI",VLOOKUP('1.DATOS-PROD'!AG$2,'1.PUNTOS'!$A$1:$B$63,2,0),0)</f>
        <v>0</v>
      </c>
      <c r="Y174" s="138">
        <f>IF('1.DATOS-PROD'!AH175="SI",VLOOKUP('1.DATOS-PROD'!AH$2,'1.PUNTOS'!$A$1:$B$63,2,0),0)</f>
        <v>0</v>
      </c>
      <c r="Z174" s="138">
        <f>IF('1.DATOS-PROD'!AI175="SI",VLOOKUP('1.DATOS-PROD'!AI$2,'1.PUNTOS'!$A$1:$B$63,2,0),0)</f>
        <v>0</v>
      </c>
      <c r="AA174" s="138">
        <f>IF('1.DATOS-PROD'!AJ175="SI",VLOOKUP('1.DATOS-PROD'!AJ$2,'1.PUNTOS'!$A$1:$B$63,2,0),0)</f>
        <v>0</v>
      </c>
      <c r="AB174" s="138">
        <f>IF('1.DATOS-PROD'!AK175="SI",VLOOKUP('1.DATOS-PROD'!AK$2,'1.PUNTOS'!$A$1:$B$63,2,0),0)</f>
        <v>0</v>
      </c>
      <c r="AC174" s="138">
        <f>IF('1.DATOS-PROD'!AL175="SI",VLOOKUP('1.DATOS-PROD'!AL$2,'1.PUNTOS'!$A$1:$B$63,2,0),0)</f>
        <v>0</v>
      </c>
      <c r="AD174" s="138">
        <f>IF('1.DATOS-PROD'!AM175="SI",VLOOKUP('1.DATOS-PROD'!AM$2,'1.PUNTOS'!$A$1:$B$63,2,0),0)</f>
        <v>0</v>
      </c>
      <c r="AE174" s="138">
        <f>IF('1.DATOS-PROD'!AN175="SI",VLOOKUP('1.DATOS-PROD'!AN$2,'1.PUNTOS'!$A$1:$B$63,2,0),0)</f>
        <v>0</v>
      </c>
      <c r="AF174" s="138">
        <f>IF('1.DATOS-PROD'!AO175="SI",VLOOKUP('1.DATOS-PROD'!AO$2,'1.PUNTOS'!$A$1:$B$63,2,0),0)</f>
        <v>0</v>
      </c>
      <c r="AG174" s="138">
        <f>IF('1.DATOS-PROD'!AP175="SI",VLOOKUP('1.DATOS-PROD'!AP$2,'1.PUNTOS'!$A$1:$B$63,2,0),0)</f>
        <v>0</v>
      </c>
      <c r="AH174" s="138">
        <f>IF('1.DATOS-PROD'!AQ175="SI",VLOOKUP('1.DATOS-PROD'!AQ$2,'1.PUNTOS'!$A$1:$B$63,2,0),0)</f>
        <v>0</v>
      </c>
      <c r="AI174" s="138">
        <f>IF('1.DATOS-PROD'!AR175="SI",VLOOKUP('1.DATOS-PROD'!AR$2,'1.PUNTOS'!$A$1:$B$63,2,0),0)</f>
        <v>0</v>
      </c>
      <c r="AJ174" s="138">
        <f>IF('1.DATOS-PROD'!AS175="SI",VLOOKUP('1.DATOS-PROD'!AS$2,'1.PUNTOS'!$A$1:$B$63,2,0),0)</f>
        <v>0</v>
      </c>
      <c r="AK174" s="138">
        <f>IF('1.DATOS-PROD'!AT175="SI",VLOOKUP('1.DATOS-PROD'!AT$2,'1.PUNTOS'!$A$1:$B$63,2,0),0)</f>
        <v>0</v>
      </c>
      <c r="AL174" s="138">
        <f>IF('1.DATOS-PROD'!AU175="SI",VLOOKUP('1.DATOS-PROD'!AU$2,'1.PUNTOS'!$A$1:$B$63,2,0),0)</f>
        <v>0</v>
      </c>
      <c r="AM174" s="138">
        <f>IF('1.DATOS-PROD'!AV175="SI",VLOOKUP('1.DATOS-PROD'!AV$2,'1.PUNTOS'!$A$1:$B$63,2,0),0)</f>
        <v>0</v>
      </c>
      <c r="AN174" s="138">
        <f>IF('1.DATOS-PROD'!AW175="SI",VLOOKUP('1.DATOS-PROD'!AW$2,'1.PUNTOS'!$A$1:$B$63,2,0),0)</f>
        <v>0</v>
      </c>
      <c r="AO174" s="138">
        <f>IF('1.DATOS-PROD'!AX175="SI",VLOOKUP('1.DATOS-PROD'!AX$2,'1.PUNTOS'!$A$1:$B$63,2,0),0)</f>
        <v>0</v>
      </c>
      <c r="AP174" s="138">
        <f>IF('1.DATOS-PROD'!AY175="SI",VLOOKUP('1.DATOS-PROD'!AY$2,'1.PUNTOS'!$A$1:$B$63,2,0),0)</f>
        <v>0</v>
      </c>
      <c r="AQ174" s="138">
        <f>IF('1.DATOS-PROD'!AZ175="SI",VLOOKUP('1.DATOS-PROD'!AZ$2,'1.PUNTOS'!$A$1:$B$63,2,0),0)</f>
        <v>0</v>
      </c>
      <c r="AR174" s="138">
        <f>IF('1.DATOS-PROD'!BA175="SI",VLOOKUP('1.DATOS-PROD'!BA$2,'1.PUNTOS'!$A$1:$B$63,2,0),0)</f>
        <v>0</v>
      </c>
      <c r="AS174" s="138">
        <f>IF('1.DATOS-PROD'!BB175="SI",VLOOKUP('1.DATOS-PROD'!BB$2,'1.PUNTOS'!$A$1:$B$63,2,0),0)</f>
        <v>0</v>
      </c>
      <c r="AT174" s="138">
        <f>IF('1.DATOS-PROD'!BC175="SI",VLOOKUP('1.DATOS-PROD'!BC$2,'1.PUNTOS'!$A$1:$B$63,2,0),0)</f>
        <v>0</v>
      </c>
      <c r="AU174" s="138">
        <f>IF('1.DATOS-PROD'!BD175="SI",VLOOKUP('1.DATOS-PROD'!BD$2,'1.PUNTOS'!$A$1:$B$63,2,0),0)</f>
        <v>0</v>
      </c>
      <c r="AV174" s="138">
        <f>IF('1.DATOS-PROD'!BE175="SI",VLOOKUP('1.DATOS-PROD'!BE$2,'1.PUNTOS'!$A$1:$B$63,2,0),0)</f>
        <v>0</v>
      </c>
      <c r="AW174" s="138">
        <f>IF('1.DATOS-PROD'!BF175="SI",VLOOKUP('1.DATOS-PROD'!BF$2,'1.PUNTOS'!$A$1:$B$63,2,0),0)</f>
        <v>0</v>
      </c>
      <c r="AX174" s="138">
        <f>IF('1.DATOS-PROD'!BG175="SI",VLOOKUP('1.DATOS-PROD'!BG$2,'1.PUNTOS'!$A$1:$B$63,2,0),0)</f>
        <v>0</v>
      </c>
      <c r="AY174" s="138">
        <f>IF('1.DATOS-PROD'!BH175="SI",VLOOKUP('1.DATOS-PROD'!BH$2,'1.PUNTOS'!$A$1:$B$63,2,0),0)</f>
        <v>0</v>
      </c>
      <c r="AZ174" s="138">
        <f>IF('1.DATOS-PROD'!BI175="SI",VLOOKUP('1.DATOS-PROD'!BI$2,'1.PUNTOS'!$A$1:$B$63,2,0),0)</f>
        <v>0</v>
      </c>
      <c r="BA174" s="138">
        <f>IF('1.DATOS-PROD'!BJ175="SI",VLOOKUP('1.DATOS-PROD'!BJ$2,'1.PUNTOS'!$A$1:$B$63,2,0),0)</f>
        <v>0</v>
      </c>
      <c r="BB174" s="138">
        <f>IF('1.DATOS-PROD'!BK175="SI",VLOOKUP('1.DATOS-PROD'!BK$2,'1.PUNTOS'!$A$1:$B$63,2,0),0)</f>
        <v>0</v>
      </c>
      <c r="BC174" s="138">
        <f>IF('1.DATOS-PROD'!BL175="SI",VLOOKUP('1.DATOS-PROD'!BL$2,'1.PUNTOS'!$A$1:$B$63,2,0),0)</f>
        <v>0</v>
      </c>
      <c r="BD174" s="138">
        <f>IF('1.DATOS-PROD'!BM175="SI",VLOOKUP('1.DATOS-PROD'!BM$2,'1.PUNTOS'!$A$1:$B$63,2,0),0)</f>
        <v>0</v>
      </c>
      <c r="BE174" s="138">
        <f>IF('1.DATOS-PROD'!BN175="SI",VLOOKUP('1.DATOS-PROD'!BN$2,'1.PUNTOS'!$A$1:$B$63,2,0),0)</f>
        <v>0</v>
      </c>
      <c r="BF174" s="138">
        <f>IF('1.DATOS-PROD'!BO175="SI",VLOOKUP('1.DATOS-PROD'!BO$2,'1.PUNTOS'!$A$1:$B$63,2,0),0)</f>
        <v>0</v>
      </c>
      <c r="BG174" s="138">
        <f>IF('1.DATOS-PROD'!BP175="SI",VLOOKUP('1.DATOS-PROD'!BP$2,'1.PUNTOS'!$A$1:$B$63,2,0),0)</f>
        <v>0</v>
      </c>
      <c r="BH174" s="138">
        <f>IF('1.DATOS-PROD'!BQ175="SI",VLOOKUP('1.DATOS-PROD'!BQ$2,'1.PUNTOS'!$A$1:$B$63,2,0),0)</f>
        <v>0</v>
      </c>
      <c r="BI174" s="138">
        <f>IF('1.DATOS-PROD'!BR175="SI",VLOOKUP('1.DATOS-PROD'!BR$2,'1.PUNTOS'!$A$1:$B$63,2,0),0)</f>
        <v>0</v>
      </c>
      <c r="BJ174" s="138">
        <f>IF('1.DATOS-PROD'!BS175="SI",VLOOKUP('1.DATOS-PROD'!BS$2,'1.PUNTOS'!$A$1:$B$63,2,0),0)</f>
        <v>0</v>
      </c>
      <c r="BK174" s="138">
        <f>IF('1.DATOS-PROD'!BT175="SI",VLOOKUP('1.DATOS-PROD'!BT$2,'1.PUNTOS'!$A$1:$B$63,2,0),0)</f>
        <v>0</v>
      </c>
    </row>
    <row r="175" spans="1:63" x14ac:dyDescent="0.25">
      <c r="A175">
        <f>'0.Consolidado general'!$A176</f>
        <v>0</v>
      </c>
      <c r="B175" s="138">
        <f>IF('1.DATOS-PROD'!K176="SI",VLOOKUP('1.DATOS-PROD'!K$2,'1.PUNTOS'!$A$1:$B$63,2,0),0)</f>
        <v>0</v>
      </c>
      <c r="C175" s="138">
        <f>IF('1.DATOS-PROD'!L176="SI",VLOOKUP('1.DATOS-PROD'!L$2,'1.PUNTOS'!$A$1:$B$63,2,0),0)</f>
        <v>0</v>
      </c>
      <c r="D175" s="138">
        <f>IF('1.DATOS-PROD'!M176="SI",VLOOKUP('1.DATOS-PROD'!M$2,'1.PUNTOS'!$A$1:$B$63,2,0),0)</f>
        <v>0</v>
      </c>
      <c r="E175" s="138">
        <f>IF('1.DATOS-PROD'!N176="SI",VLOOKUP('1.DATOS-PROD'!N$2,'1.PUNTOS'!$A$1:$B$63,2,0),0)</f>
        <v>0</v>
      </c>
      <c r="F175" s="138">
        <f>IF('1.DATOS-PROD'!O176="SI",VLOOKUP('1.DATOS-PROD'!O$2,'1.PUNTOS'!$A$1:$B$63,2,0),0)</f>
        <v>0</v>
      </c>
      <c r="G175" s="138">
        <f>IF('1.DATOS-PROD'!P176="SI",VLOOKUP('1.DATOS-PROD'!P$2,'1.PUNTOS'!$A$1:$B$63,2,0),0)</f>
        <v>0</v>
      </c>
      <c r="H175" s="138">
        <f>IF('1.DATOS-PROD'!Q176="SI",VLOOKUP('1.DATOS-PROD'!Q$2,'1.PUNTOS'!$A$1:$B$63,2,0),0)</f>
        <v>0</v>
      </c>
      <c r="I175" s="138">
        <f>IF('1.DATOS-PROD'!R176="SI",VLOOKUP('1.DATOS-PROD'!R$2,'1.PUNTOS'!$A$1:$B$63,2,0),0)</f>
        <v>0</v>
      </c>
      <c r="J175" s="138">
        <f>IF('1.DATOS-PROD'!S176="SI",VLOOKUP('1.DATOS-PROD'!S$2,'1.PUNTOS'!$A$1:$B$63,2,0),0)</f>
        <v>0</v>
      </c>
      <c r="K175" s="138">
        <f>IF('1.DATOS-PROD'!T176="SI",VLOOKUP('1.DATOS-PROD'!T$2,'1.PUNTOS'!$A$1:$B$63,2,0),0)</f>
        <v>0</v>
      </c>
      <c r="L175" s="138">
        <f>IF('1.DATOS-PROD'!U176="SI",VLOOKUP('1.DATOS-PROD'!U$2,'1.PUNTOS'!$A$1:$B$63,2,0),0)</f>
        <v>0</v>
      </c>
      <c r="M175" s="138">
        <f>IF('1.DATOS-PROD'!V176="SI",VLOOKUP('1.DATOS-PROD'!V$2,'1.PUNTOS'!$A$1:$B$63,2,0),0)</f>
        <v>0</v>
      </c>
      <c r="N175" s="138">
        <f>IF('1.DATOS-PROD'!W176="SI",VLOOKUP('1.DATOS-PROD'!W$2,'1.PUNTOS'!$A$1:$B$63,2,0),0)</f>
        <v>0</v>
      </c>
      <c r="O175" s="138">
        <f>IF('1.DATOS-PROD'!X176="SI",VLOOKUP('1.DATOS-PROD'!X$2,'1.PUNTOS'!$A$1:$B$63,2,0),0)</f>
        <v>0</v>
      </c>
      <c r="P175" s="138">
        <f>IF('1.DATOS-PROD'!Y176="SI",VLOOKUP('1.DATOS-PROD'!Y$2,'1.PUNTOS'!$A$1:$B$63,2,0),0)</f>
        <v>0</v>
      </c>
      <c r="Q175" s="138">
        <f>IF('1.DATOS-PROD'!Z176="SI",VLOOKUP('1.DATOS-PROD'!Z$2,'1.PUNTOS'!$A$1:$B$63,2,0),0)</f>
        <v>0</v>
      </c>
      <c r="R175" s="138">
        <f>IF('1.DATOS-PROD'!AA176="SI",VLOOKUP('1.DATOS-PROD'!AA$2,'1.PUNTOS'!$A$1:$B$63,2,0),0)</f>
        <v>0</v>
      </c>
      <c r="S175" s="138">
        <f>IF('1.DATOS-PROD'!AB176="SI",VLOOKUP('1.DATOS-PROD'!AB$2,'1.PUNTOS'!$A$1:$B$63,2,0),0)</f>
        <v>0</v>
      </c>
      <c r="T175" s="138">
        <f>IF('1.DATOS-PROD'!AC176="SI",VLOOKUP('1.DATOS-PROD'!AC$2,'1.PUNTOS'!$A$1:$B$63,2,0),0)</f>
        <v>0</v>
      </c>
      <c r="U175" s="138">
        <f>IF('1.DATOS-PROD'!AD176="SI",VLOOKUP('1.DATOS-PROD'!AD$2,'1.PUNTOS'!$A$1:$B$63,2,0),0)</f>
        <v>0</v>
      </c>
      <c r="V175" s="138">
        <f>IF('1.DATOS-PROD'!AE176="SI",VLOOKUP('1.DATOS-PROD'!AE$2,'1.PUNTOS'!$A$1:$B$63,2,0),0)</f>
        <v>0</v>
      </c>
      <c r="W175" s="138">
        <f>IF('1.DATOS-PROD'!AF176="SI",VLOOKUP('1.DATOS-PROD'!AF$2,'1.PUNTOS'!$A$1:$B$63,2,0),0)</f>
        <v>0</v>
      </c>
      <c r="X175" s="138">
        <f>IF('1.DATOS-PROD'!AG176="SI",VLOOKUP('1.DATOS-PROD'!AG$2,'1.PUNTOS'!$A$1:$B$63,2,0),0)</f>
        <v>0</v>
      </c>
      <c r="Y175" s="138">
        <f>IF('1.DATOS-PROD'!AH176="SI",VLOOKUP('1.DATOS-PROD'!AH$2,'1.PUNTOS'!$A$1:$B$63,2,0),0)</f>
        <v>0</v>
      </c>
      <c r="Z175" s="138">
        <f>IF('1.DATOS-PROD'!AI176="SI",VLOOKUP('1.DATOS-PROD'!AI$2,'1.PUNTOS'!$A$1:$B$63,2,0),0)</f>
        <v>0</v>
      </c>
      <c r="AA175" s="138">
        <f>IF('1.DATOS-PROD'!AJ176="SI",VLOOKUP('1.DATOS-PROD'!AJ$2,'1.PUNTOS'!$A$1:$B$63,2,0),0)</f>
        <v>0</v>
      </c>
      <c r="AB175" s="138">
        <f>IF('1.DATOS-PROD'!AK176="SI",VLOOKUP('1.DATOS-PROD'!AK$2,'1.PUNTOS'!$A$1:$B$63,2,0),0)</f>
        <v>0</v>
      </c>
      <c r="AC175" s="138">
        <f>IF('1.DATOS-PROD'!AL176="SI",VLOOKUP('1.DATOS-PROD'!AL$2,'1.PUNTOS'!$A$1:$B$63,2,0),0)</f>
        <v>0</v>
      </c>
      <c r="AD175" s="138">
        <f>IF('1.DATOS-PROD'!AM176="SI",VLOOKUP('1.DATOS-PROD'!AM$2,'1.PUNTOS'!$A$1:$B$63,2,0),0)</f>
        <v>0</v>
      </c>
      <c r="AE175" s="138">
        <f>IF('1.DATOS-PROD'!AN176="SI",VLOOKUP('1.DATOS-PROD'!AN$2,'1.PUNTOS'!$A$1:$B$63,2,0),0)</f>
        <v>0</v>
      </c>
      <c r="AF175" s="138">
        <f>IF('1.DATOS-PROD'!AO176="SI",VLOOKUP('1.DATOS-PROD'!AO$2,'1.PUNTOS'!$A$1:$B$63,2,0),0)</f>
        <v>0</v>
      </c>
      <c r="AG175" s="138">
        <f>IF('1.DATOS-PROD'!AP176="SI",VLOOKUP('1.DATOS-PROD'!AP$2,'1.PUNTOS'!$A$1:$B$63,2,0),0)</f>
        <v>0</v>
      </c>
      <c r="AH175" s="138">
        <f>IF('1.DATOS-PROD'!AQ176="SI",VLOOKUP('1.DATOS-PROD'!AQ$2,'1.PUNTOS'!$A$1:$B$63,2,0),0)</f>
        <v>0</v>
      </c>
      <c r="AI175" s="138">
        <f>IF('1.DATOS-PROD'!AR176="SI",VLOOKUP('1.DATOS-PROD'!AR$2,'1.PUNTOS'!$A$1:$B$63,2,0),0)</f>
        <v>0</v>
      </c>
      <c r="AJ175" s="138">
        <f>IF('1.DATOS-PROD'!AS176="SI",VLOOKUP('1.DATOS-PROD'!AS$2,'1.PUNTOS'!$A$1:$B$63,2,0),0)</f>
        <v>0</v>
      </c>
      <c r="AK175" s="138">
        <f>IF('1.DATOS-PROD'!AT176="SI",VLOOKUP('1.DATOS-PROD'!AT$2,'1.PUNTOS'!$A$1:$B$63,2,0),0)</f>
        <v>0</v>
      </c>
      <c r="AL175" s="138">
        <f>IF('1.DATOS-PROD'!AU176="SI",VLOOKUP('1.DATOS-PROD'!AU$2,'1.PUNTOS'!$A$1:$B$63,2,0),0)</f>
        <v>0</v>
      </c>
      <c r="AM175" s="138">
        <f>IF('1.DATOS-PROD'!AV176="SI",VLOOKUP('1.DATOS-PROD'!AV$2,'1.PUNTOS'!$A$1:$B$63,2,0),0)</f>
        <v>0</v>
      </c>
      <c r="AN175" s="138">
        <f>IF('1.DATOS-PROD'!AW176="SI",VLOOKUP('1.DATOS-PROD'!AW$2,'1.PUNTOS'!$A$1:$B$63,2,0),0)</f>
        <v>0</v>
      </c>
      <c r="AO175" s="138">
        <f>IF('1.DATOS-PROD'!AX176="SI",VLOOKUP('1.DATOS-PROD'!AX$2,'1.PUNTOS'!$A$1:$B$63,2,0),0)</f>
        <v>0</v>
      </c>
      <c r="AP175" s="138">
        <f>IF('1.DATOS-PROD'!AY176="SI",VLOOKUP('1.DATOS-PROD'!AY$2,'1.PUNTOS'!$A$1:$B$63,2,0),0)</f>
        <v>0</v>
      </c>
      <c r="AQ175" s="138">
        <f>IF('1.DATOS-PROD'!AZ176="SI",VLOOKUP('1.DATOS-PROD'!AZ$2,'1.PUNTOS'!$A$1:$B$63,2,0),0)</f>
        <v>0</v>
      </c>
      <c r="AR175" s="138">
        <f>IF('1.DATOS-PROD'!BA176="SI",VLOOKUP('1.DATOS-PROD'!BA$2,'1.PUNTOS'!$A$1:$B$63,2,0),0)</f>
        <v>0</v>
      </c>
      <c r="AS175" s="138">
        <f>IF('1.DATOS-PROD'!BB176="SI",VLOOKUP('1.DATOS-PROD'!BB$2,'1.PUNTOS'!$A$1:$B$63,2,0),0)</f>
        <v>0</v>
      </c>
      <c r="AT175" s="138">
        <f>IF('1.DATOS-PROD'!BC176="SI",VLOOKUP('1.DATOS-PROD'!BC$2,'1.PUNTOS'!$A$1:$B$63,2,0),0)</f>
        <v>0</v>
      </c>
      <c r="AU175" s="138">
        <f>IF('1.DATOS-PROD'!BD176="SI",VLOOKUP('1.DATOS-PROD'!BD$2,'1.PUNTOS'!$A$1:$B$63,2,0),0)</f>
        <v>0</v>
      </c>
      <c r="AV175" s="138">
        <f>IF('1.DATOS-PROD'!BE176="SI",VLOOKUP('1.DATOS-PROD'!BE$2,'1.PUNTOS'!$A$1:$B$63,2,0),0)</f>
        <v>0</v>
      </c>
      <c r="AW175" s="138">
        <f>IF('1.DATOS-PROD'!BF176="SI",VLOOKUP('1.DATOS-PROD'!BF$2,'1.PUNTOS'!$A$1:$B$63,2,0),0)</f>
        <v>0</v>
      </c>
      <c r="AX175" s="138">
        <f>IF('1.DATOS-PROD'!BG176="SI",VLOOKUP('1.DATOS-PROD'!BG$2,'1.PUNTOS'!$A$1:$B$63,2,0),0)</f>
        <v>0</v>
      </c>
      <c r="AY175" s="138">
        <f>IF('1.DATOS-PROD'!BH176="SI",VLOOKUP('1.DATOS-PROD'!BH$2,'1.PUNTOS'!$A$1:$B$63,2,0),0)</f>
        <v>0</v>
      </c>
      <c r="AZ175" s="138">
        <f>IF('1.DATOS-PROD'!BI176="SI",VLOOKUP('1.DATOS-PROD'!BI$2,'1.PUNTOS'!$A$1:$B$63,2,0),0)</f>
        <v>0</v>
      </c>
      <c r="BA175" s="138">
        <f>IF('1.DATOS-PROD'!BJ176="SI",VLOOKUP('1.DATOS-PROD'!BJ$2,'1.PUNTOS'!$A$1:$B$63,2,0),0)</f>
        <v>0</v>
      </c>
      <c r="BB175" s="138">
        <f>IF('1.DATOS-PROD'!BK176="SI",VLOOKUP('1.DATOS-PROD'!BK$2,'1.PUNTOS'!$A$1:$B$63,2,0),0)</f>
        <v>0</v>
      </c>
      <c r="BC175" s="138">
        <f>IF('1.DATOS-PROD'!BL176="SI",VLOOKUP('1.DATOS-PROD'!BL$2,'1.PUNTOS'!$A$1:$B$63,2,0),0)</f>
        <v>0</v>
      </c>
      <c r="BD175" s="138">
        <f>IF('1.DATOS-PROD'!BM176="SI",VLOOKUP('1.DATOS-PROD'!BM$2,'1.PUNTOS'!$A$1:$B$63,2,0),0)</f>
        <v>0</v>
      </c>
      <c r="BE175" s="138">
        <f>IF('1.DATOS-PROD'!BN176="SI",VLOOKUP('1.DATOS-PROD'!BN$2,'1.PUNTOS'!$A$1:$B$63,2,0),0)</f>
        <v>0</v>
      </c>
      <c r="BF175" s="138">
        <f>IF('1.DATOS-PROD'!BO176="SI",VLOOKUP('1.DATOS-PROD'!BO$2,'1.PUNTOS'!$A$1:$B$63,2,0),0)</f>
        <v>0</v>
      </c>
      <c r="BG175" s="138">
        <f>IF('1.DATOS-PROD'!BP176="SI",VLOOKUP('1.DATOS-PROD'!BP$2,'1.PUNTOS'!$A$1:$B$63,2,0),0)</f>
        <v>0</v>
      </c>
      <c r="BH175" s="138">
        <f>IF('1.DATOS-PROD'!BQ176="SI",VLOOKUP('1.DATOS-PROD'!BQ$2,'1.PUNTOS'!$A$1:$B$63,2,0),0)</f>
        <v>0</v>
      </c>
      <c r="BI175" s="138">
        <f>IF('1.DATOS-PROD'!BR176="SI",VLOOKUP('1.DATOS-PROD'!BR$2,'1.PUNTOS'!$A$1:$B$63,2,0),0)</f>
        <v>0</v>
      </c>
      <c r="BJ175" s="138">
        <f>IF('1.DATOS-PROD'!BS176="SI",VLOOKUP('1.DATOS-PROD'!BS$2,'1.PUNTOS'!$A$1:$B$63,2,0),0)</f>
        <v>0</v>
      </c>
      <c r="BK175" s="138">
        <f>IF('1.DATOS-PROD'!BT176="SI",VLOOKUP('1.DATOS-PROD'!BT$2,'1.PUNTOS'!$A$1:$B$63,2,0),0)</f>
        <v>0</v>
      </c>
    </row>
    <row r="176" spans="1:63" x14ac:dyDescent="0.25">
      <c r="A176">
        <f>'0.Consolidado general'!$A177</f>
        <v>0</v>
      </c>
      <c r="B176" s="138">
        <f>IF('1.DATOS-PROD'!K177="SI",VLOOKUP('1.DATOS-PROD'!K$2,'1.PUNTOS'!$A$1:$B$63,2,0),0)</f>
        <v>0</v>
      </c>
      <c r="C176" s="138">
        <f>IF('1.DATOS-PROD'!L177="SI",VLOOKUP('1.DATOS-PROD'!L$2,'1.PUNTOS'!$A$1:$B$63,2,0),0)</f>
        <v>0</v>
      </c>
      <c r="D176" s="138">
        <f>IF('1.DATOS-PROD'!M177="SI",VLOOKUP('1.DATOS-PROD'!M$2,'1.PUNTOS'!$A$1:$B$63,2,0),0)</f>
        <v>0</v>
      </c>
      <c r="E176" s="138">
        <f>IF('1.DATOS-PROD'!N177="SI",VLOOKUP('1.DATOS-PROD'!N$2,'1.PUNTOS'!$A$1:$B$63,2,0),0)</f>
        <v>0</v>
      </c>
      <c r="F176" s="138">
        <f>IF('1.DATOS-PROD'!O177="SI",VLOOKUP('1.DATOS-PROD'!O$2,'1.PUNTOS'!$A$1:$B$63,2,0),0)</f>
        <v>0</v>
      </c>
      <c r="G176" s="138">
        <f>IF('1.DATOS-PROD'!P177="SI",VLOOKUP('1.DATOS-PROD'!P$2,'1.PUNTOS'!$A$1:$B$63,2,0),0)</f>
        <v>0</v>
      </c>
      <c r="H176" s="138">
        <f>IF('1.DATOS-PROD'!Q177="SI",VLOOKUP('1.DATOS-PROD'!Q$2,'1.PUNTOS'!$A$1:$B$63,2,0),0)</f>
        <v>0</v>
      </c>
      <c r="I176" s="138">
        <f>IF('1.DATOS-PROD'!R177="SI",VLOOKUP('1.DATOS-PROD'!R$2,'1.PUNTOS'!$A$1:$B$63,2,0),0)</f>
        <v>0</v>
      </c>
      <c r="J176" s="138">
        <f>IF('1.DATOS-PROD'!S177="SI",VLOOKUP('1.DATOS-PROD'!S$2,'1.PUNTOS'!$A$1:$B$63,2,0),0)</f>
        <v>0</v>
      </c>
      <c r="K176" s="138">
        <f>IF('1.DATOS-PROD'!T177="SI",VLOOKUP('1.DATOS-PROD'!T$2,'1.PUNTOS'!$A$1:$B$63,2,0),0)</f>
        <v>0</v>
      </c>
      <c r="L176" s="138">
        <f>IF('1.DATOS-PROD'!U177="SI",VLOOKUP('1.DATOS-PROD'!U$2,'1.PUNTOS'!$A$1:$B$63,2,0),0)</f>
        <v>0</v>
      </c>
      <c r="M176" s="138">
        <f>IF('1.DATOS-PROD'!V177="SI",VLOOKUP('1.DATOS-PROD'!V$2,'1.PUNTOS'!$A$1:$B$63,2,0),0)</f>
        <v>0</v>
      </c>
      <c r="N176" s="138">
        <f>IF('1.DATOS-PROD'!W177="SI",VLOOKUP('1.DATOS-PROD'!W$2,'1.PUNTOS'!$A$1:$B$63,2,0),0)</f>
        <v>0</v>
      </c>
      <c r="O176" s="138">
        <f>IF('1.DATOS-PROD'!X177="SI",VLOOKUP('1.DATOS-PROD'!X$2,'1.PUNTOS'!$A$1:$B$63,2,0),0)</f>
        <v>0</v>
      </c>
      <c r="P176" s="138">
        <f>IF('1.DATOS-PROD'!Y177="SI",VLOOKUP('1.DATOS-PROD'!Y$2,'1.PUNTOS'!$A$1:$B$63,2,0),0)</f>
        <v>0</v>
      </c>
      <c r="Q176" s="138">
        <f>IF('1.DATOS-PROD'!Z177="SI",VLOOKUP('1.DATOS-PROD'!Z$2,'1.PUNTOS'!$A$1:$B$63,2,0),0)</f>
        <v>0</v>
      </c>
      <c r="R176" s="138">
        <f>IF('1.DATOS-PROD'!AA177="SI",VLOOKUP('1.DATOS-PROD'!AA$2,'1.PUNTOS'!$A$1:$B$63,2,0),0)</f>
        <v>0</v>
      </c>
      <c r="S176" s="138">
        <f>IF('1.DATOS-PROD'!AB177="SI",VLOOKUP('1.DATOS-PROD'!AB$2,'1.PUNTOS'!$A$1:$B$63,2,0),0)</f>
        <v>0</v>
      </c>
      <c r="T176" s="138">
        <f>IF('1.DATOS-PROD'!AC177="SI",VLOOKUP('1.DATOS-PROD'!AC$2,'1.PUNTOS'!$A$1:$B$63,2,0),0)</f>
        <v>0</v>
      </c>
      <c r="U176" s="138">
        <f>IF('1.DATOS-PROD'!AD177="SI",VLOOKUP('1.DATOS-PROD'!AD$2,'1.PUNTOS'!$A$1:$B$63,2,0),0)</f>
        <v>0</v>
      </c>
      <c r="V176" s="138">
        <f>IF('1.DATOS-PROD'!AE177="SI",VLOOKUP('1.DATOS-PROD'!AE$2,'1.PUNTOS'!$A$1:$B$63,2,0),0)</f>
        <v>0</v>
      </c>
      <c r="W176" s="138">
        <f>IF('1.DATOS-PROD'!AF177="SI",VLOOKUP('1.DATOS-PROD'!AF$2,'1.PUNTOS'!$A$1:$B$63,2,0),0)</f>
        <v>0</v>
      </c>
      <c r="X176" s="138">
        <f>IF('1.DATOS-PROD'!AG177="SI",VLOOKUP('1.DATOS-PROD'!AG$2,'1.PUNTOS'!$A$1:$B$63,2,0),0)</f>
        <v>0</v>
      </c>
      <c r="Y176" s="138">
        <f>IF('1.DATOS-PROD'!AH177="SI",VLOOKUP('1.DATOS-PROD'!AH$2,'1.PUNTOS'!$A$1:$B$63,2,0),0)</f>
        <v>0</v>
      </c>
      <c r="Z176" s="138">
        <f>IF('1.DATOS-PROD'!AI177="SI",VLOOKUP('1.DATOS-PROD'!AI$2,'1.PUNTOS'!$A$1:$B$63,2,0),0)</f>
        <v>0</v>
      </c>
      <c r="AA176" s="138">
        <f>IF('1.DATOS-PROD'!AJ177="SI",VLOOKUP('1.DATOS-PROD'!AJ$2,'1.PUNTOS'!$A$1:$B$63,2,0),0)</f>
        <v>0</v>
      </c>
      <c r="AB176" s="138">
        <f>IF('1.DATOS-PROD'!AK177="SI",VLOOKUP('1.DATOS-PROD'!AK$2,'1.PUNTOS'!$A$1:$B$63,2,0),0)</f>
        <v>0</v>
      </c>
      <c r="AC176" s="138">
        <f>IF('1.DATOS-PROD'!AL177="SI",VLOOKUP('1.DATOS-PROD'!AL$2,'1.PUNTOS'!$A$1:$B$63,2,0),0)</f>
        <v>0</v>
      </c>
      <c r="AD176" s="138">
        <f>IF('1.DATOS-PROD'!AM177="SI",VLOOKUP('1.DATOS-PROD'!AM$2,'1.PUNTOS'!$A$1:$B$63,2,0),0)</f>
        <v>0</v>
      </c>
      <c r="AE176" s="138">
        <f>IF('1.DATOS-PROD'!AN177="SI",VLOOKUP('1.DATOS-PROD'!AN$2,'1.PUNTOS'!$A$1:$B$63,2,0),0)</f>
        <v>0</v>
      </c>
      <c r="AF176" s="138">
        <f>IF('1.DATOS-PROD'!AO177="SI",VLOOKUP('1.DATOS-PROD'!AO$2,'1.PUNTOS'!$A$1:$B$63,2,0),0)</f>
        <v>0</v>
      </c>
      <c r="AG176" s="138">
        <f>IF('1.DATOS-PROD'!AP177="SI",VLOOKUP('1.DATOS-PROD'!AP$2,'1.PUNTOS'!$A$1:$B$63,2,0),0)</f>
        <v>0</v>
      </c>
      <c r="AH176" s="138">
        <f>IF('1.DATOS-PROD'!AQ177="SI",VLOOKUP('1.DATOS-PROD'!AQ$2,'1.PUNTOS'!$A$1:$B$63,2,0),0)</f>
        <v>0</v>
      </c>
      <c r="AI176" s="138">
        <f>IF('1.DATOS-PROD'!AR177="SI",VLOOKUP('1.DATOS-PROD'!AR$2,'1.PUNTOS'!$A$1:$B$63,2,0),0)</f>
        <v>0</v>
      </c>
      <c r="AJ176" s="138">
        <f>IF('1.DATOS-PROD'!AS177="SI",VLOOKUP('1.DATOS-PROD'!AS$2,'1.PUNTOS'!$A$1:$B$63,2,0),0)</f>
        <v>0</v>
      </c>
      <c r="AK176" s="138">
        <f>IF('1.DATOS-PROD'!AT177="SI",VLOOKUP('1.DATOS-PROD'!AT$2,'1.PUNTOS'!$A$1:$B$63,2,0),0)</f>
        <v>0</v>
      </c>
      <c r="AL176" s="138">
        <f>IF('1.DATOS-PROD'!AU177="SI",VLOOKUP('1.DATOS-PROD'!AU$2,'1.PUNTOS'!$A$1:$B$63,2,0),0)</f>
        <v>0</v>
      </c>
      <c r="AM176" s="138">
        <f>IF('1.DATOS-PROD'!AV177="SI",VLOOKUP('1.DATOS-PROD'!AV$2,'1.PUNTOS'!$A$1:$B$63,2,0),0)</f>
        <v>0</v>
      </c>
      <c r="AN176" s="138">
        <f>IF('1.DATOS-PROD'!AW177="SI",VLOOKUP('1.DATOS-PROD'!AW$2,'1.PUNTOS'!$A$1:$B$63,2,0),0)</f>
        <v>0</v>
      </c>
      <c r="AO176" s="138">
        <f>IF('1.DATOS-PROD'!AX177="SI",VLOOKUP('1.DATOS-PROD'!AX$2,'1.PUNTOS'!$A$1:$B$63,2,0),0)</f>
        <v>0</v>
      </c>
      <c r="AP176" s="138">
        <f>IF('1.DATOS-PROD'!AY177="SI",VLOOKUP('1.DATOS-PROD'!AY$2,'1.PUNTOS'!$A$1:$B$63,2,0),0)</f>
        <v>0</v>
      </c>
      <c r="AQ176" s="138">
        <f>IF('1.DATOS-PROD'!AZ177="SI",VLOOKUP('1.DATOS-PROD'!AZ$2,'1.PUNTOS'!$A$1:$B$63,2,0),0)</f>
        <v>0</v>
      </c>
      <c r="AR176" s="138">
        <f>IF('1.DATOS-PROD'!BA177="SI",VLOOKUP('1.DATOS-PROD'!BA$2,'1.PUNTOS'!$A$1:$B$63,2,0),0)</f>
        <v>0</v>
      </c>
      <c r="AS176" s="138">
        <f>IF('1.DATOS-PROD'!BB177="SI",VLOOKUP('1.DATOS-PROD'!BB$2,'1.PUNTOS'!$A$1:$B$63,2,0),0)</f>
        <v>0</v>
      </c>
      <c r="AT176" s="138">
        <f>IF('1.DATOS-PROD'!BC177="SI",VLOOKUP('1.DATOS-PROD'!BC$2,'1.PUNTOS'!$A$1:$B$63,2,0),0)</f>
        <v>0</v>
      </c>
      <c r="AU176" s="138">
        <f>IF('1.DATOS-PROD'!BD177="SI",VLOOKUP('1.DATOS-PROD'!BD$2,'1.PUNTOS'!$A$1:$B$63,2,0),0)</f>
        <v>0</v>
      </c>
      <c r="AV176" s="138">
        <f>IF('1.DATOS-PROD'!BE177="SI",VLOOKUP('1.DATOS-PROD'!BE$2,'1.PUNTOS'!$A$1:$B$63,2,0),0)</f>
        <v>0</v>
      </c>
      <c r="AW176" s="138">
        <f>IF('1.DATOS-PROD'!BF177="SI",VLOOKUP('1.DATOS-PROD'!BF$2,'1.PUNTOS'!$A$1:$B$63,2,0),0)</f>
        <v>0</v>
      </c>
      <c r="AX176" s="138">
        <f>IF('1.DATOS-PROD'!BG177="SI",VLOOKUP('1.DATOS-PROD'!BG$2,'1.PUNTOS'!$A$1:$B$63,2,0),0)</f>
        <v>0</v>
      </c>
      <c r="AY176" s="138">
        <f>IF('1.DATOS-PROD'!BH177="SI",VLOOKUP('1.DATOS-PROD'!BH$2,'1.PUNTOS'!$A$1:$B$63,2,0),0)</f>
        <v>0</v>
      </c>
      <c r="AZ176" s="138">
        <f>IF('1.DATOS-PROD'!BI177="SI",VLOOKUP('1.DATOS-PROD'!BI$2,'1.PUNTOS'!$A$1:$B$63,2,0),0)</f>
        <v>0</v>
      </c>
      <c r="BA176" s="138">
        <f>IF('1.DATOS-PROD'!BJ177="SI",VLOOKUP('1.DATOS-PROD'!BJ$2,'1.PUNTOS'!$A$1:$B$63,2,0),0)</f>
        <v>0</v>
      </c>
      <c r="BB176" s="138">
        <f>IF('1.DATOS-PROD'!BK177="SI",VLOOKUP('1.DATOS-PROD'!BK$2,'1.PUNTOS'!$A$1:$B$63,2,0),0)</f>
        <v>0</v>
      </c>
      <c r="BC176" s="138">
        <f>IF('1.DATOS-PROD'!BL177="SI",VLOOKUP('1.DATOS-PROD'!BL$2,'1.PUNTOS'!$A$1:$B$63,2,0),0)</f>
        <v>0</v>
      </c>
      <c r="BD176" s="138">
        <f>IF('1.DATOS-PROD'!BM177="SI",VLOOKUP('1.DATOS-PROD'!BM$2,'1.PUNTOS'!$A$1:$B$63,2,0),0)</f>
        <v>0</v>
      </c>
      <c r="BE176" s="138">
        <f>IF('1.DATOS-PROD'!BN177="SI",VLOOKUP('1.DATOS-PROD'!BN$2,'1.PUNTOS'!$A$1:$B$63,2,0),0)</f>
        <v>0</v>
      </c>
      <c r="BF176" s="138">
        <f>IF('1.DATOS-PROD'!BO177="SI",VLOOKUP('1.DATOS-PROD'!BO$2,'1.PUNTOS'!$A$1:$B$63,2,0),0)</f>
        <v>0</v>
      </c>
      <c r="BG176" s="138">
        <f>IF('1.DATOS-PROD'!BP177="SI",VLOOKUP('1.DATOS-PROD'!BP$2,'1.PUNTOS'!$A$1:$B$63,2,0),0)</f>
        <v>0</v>
      </c>
      <c r="BH176" s="138">
        <f>IF('1.DATOS-PROD'!BQ177="SI",VLOOKUP('1.DATOS-PROD'!BQ$2,'1.PUNTOS'!$A$1:$B$63,2,0),0)</f>
        <v>0</v>
      </c>
      <c r="BI176" s="138">
        <f>IF('1.DATOS-PROD'!BR177="SI",VLOOKUP('1.DATOS-PROD'!BR$2,'1.PUNTOS'!$A$1:$B$63,2,0),0)</f>
        <v>0</v>
      </c>
      <c r="BJ176" s="138">
        <f>IF('1.DATOS-PROD'!BS177="SI",VLOOKUP('1.DATOS-PROD'!BS$2,'1.PUNTOS'!$A$1:$B$63,2,0),0)</f>
        <v>0</v>
      </c>
      <c r="BK176" s="138">
        <f>IF('1.DATOS-PROD'!BT177="SI",VLOOKUP('1.DATOS-PROD'!BT$2,'1.PUNTOS'!$A$1:$B$63,2,0),0)</f>
        <v>0</v>
      </c>
    </row>
    <row r="177" spans="1:63" x14ac:dyDescent="0.25">
      <c r="A177">
        <f>'0.Consolidado general'!$A178</f>
        <v>0</v>
      </c>
      <c r="B177" s="138">
        <f>IF('1.DATOS-PROD'!K178="SI",VLOOKUP('1.DATOS-PROD'!K$2,'1.PUNTOS'!$A$1:$B$63,2,0),0)</f>
        <v>0</v>
      </c>
      <c r="C177" s="138">
        <f>IF('1.DATOS-PROD'!L178="SI",VLOOKUP('1.DATOS-PROD'!L$2,'1.PUNTOS'!$A$1:$B$63,2,0),0)</f>
        <v>0</v>
      </c>
      <c r="D177" s="138">
        <f>IF('1.DATOS-PROD'!M178="SI",VLOOKUP('1.DATOS-PROD'!M$2,'1.PUNTOS'!$A$1:$B$63,2,0),0)</f>
        <v>0</v>
      </c>
      <c r="E177" s="138">
        <f>IF('1.DATOS-PROD'!N178="SI",VLOOKUP('1.DATOS-PROD'!N$2,'1.PUNTOS'!$A$1:$B$63,2,0),0)</f>
        <v>0</v>
      </c>
      <c r="F177" s="138">
        <f>IF('1.DATOS-PROD'!O178="SI",VLOOKUP('1.DATOS-PROD'!O$2,'1.PUNTOS'!$A$1:$B$63,2,0),0)</f>
        <v>0</v>
      </c>
      <c r="G177" s="138">
        <f>IF('1.DATOS-PROD'!P178="SI",VLOOKUP('1.DATOS-PROD'!P$2,'1.PUNTOS'!$A$1:$B$63,2,0),0)</f>
        <v>0</v>
      </c>
      <c r="H177" s="138">
        <f>IF('1.DATOS-PROD'!Q178="SI",VLOOKUP('1.DATOS-PROD'!Q$2,'1.PUNTOS'!$A$1:$B$63,2,0),0)</f>
        <v>0</v>
      </c>
      <c r="I177" s="138">
        <f>IF('1.DATOS-PROD'!R178="SI",VLOOKUP('1.DATOS-PROD'!R$2,'1.PUNTOS'!$A$1:$B$63,2,0),0)</f>
        <v>0</v>
      </c>
      <c r="J177" s="138">
        <f>IF('1.DATOS-PROD'!S178="SI",VLOOKUP('1.DATOS-PROD'!S$2,'1.PUNTOS'!$A$1:$B$63,2,0),0)</f>
        <v>0</v>
      </c>
      <c r="K177" s="138">
        <f>IF('1.DATOS-PROD'!T178="SI",VLOOKUP('1.DATOS-PROD'!T$2,'1.PUNTOS'!$A$1:$B$63,2,0),0)</f>
        <v>0</v>
      </c>
      <c r="L177" s="138">
        <f>IF('1.DATOS-PROD'!U178="SI",VLOOKUP('1.DATOS-PROD'!U$2,'1.PUNTOS'!$A$1:$B$63,2,0),0)</f>
        <v>0</v>
      </c>
      <c r="M177" s="138">
        <f>IF('1.DATOS-PROD'!V178="SI",VLOOKUP('1.DATOS-PROD'!V$2,'1.PUNTOS'!$A$1:$B$63,2,0),0)</f>
        <v>0</v>
      </c>
      <c r="N177" s="138">
        <f>IF('1.DATOS-PROD'!W178="SI",VLOOKUP('1.DATOS-PROD'!W$2,'1.PUNTOS'!$A$1:$B$63,2,0),0)</f>
        <v>0</v>
      </c>
      <c r="O177" s="138">
        <f>IF('1.DATOS-PROD'!X178="SI",VLOOKUP('1.DATOS-PROD'!X$2,'1.PUNTOS'!$A$1:$B$63,2,0),0)</f>
        <v>0</v>
      </c>
      <c r="P177" s="138">
        <f>IF('1.DATOS-PROD'!Y178="SI",VLOOKUP('1.DATOS-PROD'!Y$2,'1.PUNTOS'!$A$1:$B$63,2,0),0)</f>
        <v>0</v>
      </c>
      <c r="Q177" s="138">
        <f>IF('1.DATOS-PROD'!Z178="SI",VLOOKUP('1.DATOS-PROD'!Z$2,'1.PUNTOS'!$A$1:$B$63,2,0),0)</f>
        <v>0</v>
      </c>
      <c r="R177" s="138">
        <f>IF('1.DATOS-PROD'!AA178="SI",VLOOKUP('1.DATOS-PROD'!AA$2,'1.PUNTOS'!$A$1:$B$63,2,0),0)</f>
        <v>0</v>
      </c>
      <c r="S177" s="138">
        <f>IF('1.DATOS-PROD'!AB178="SI",VLOOKUP('1.DATOS-PROD'!AB$2,'1.PUNTOS'!$A$1:$B$63,2,0),0)</f>
        <v>0</v>
      </c>
      <c r="T177" s="138">
        <f>IF('1.DATOS-PROD'!AC178="SI",VLOOKUP('1.DATOS-PROD'!AC$2,'1.PUNTOS'!$A$1:$B$63,2,0),0)</f>
        <v>0</v>
      </c>
      <c r="U177" s="138">
        <f>IF('1.DATOS-PROD'!AD178="SI",VLOOKUP('1.DATOS-PROD'!AD$2,'1.PUNTOS'!$A$1:$B$63,2,0),0)</f>
        <v>0</v>
      </c>
      <c r="V177" s="138">
        <f>IF('1.DATOS-PROD'!AE178="SI",VLOOKUP('1.DATOS-PROD'!AE$2,'1.PUNTOS'!$A$1:$B$63,2,0),0)</f>
        <v>0</v>
      </c>
      <c r="W177" s="138">
        <f>IF('1.DATOS-PROD'!AF178="SI",VLOOKUP('1.DATOS-PROD'!AF$2,'1.PUNTOS'!$A$1:$B$63,2,0),0)</f>
        <v>0</v>
      </c>
      <c r="X177" s="138">
        <f>IF('1.DATOS-PROD'!AG178="SI",VLOOKUP('1.DATOS-PROD'!AG$2,'1.PUNTOS'!$A$1:$B$63,2,0),0)</f>
        <v>0</v>
      </c>
      <c r="Y177" s="138">
        <f>IF('1.DATOS-PROD'!AH178="SI",VLOOKUP('1.DATOS-PROD'!AH$2,'1.PUNTOS'!$A$1:$B$63,2,0),0)</f>
        <v>0</v>
      </c>
      <c r="Z177" s="138">
        <f>IF('1.DATOS-PROD'!AI178="SI",VLOOKUP('1.DATOS-PROD'!AI$2,'1.PUNTOS'!$A$1:$B$63,2,0),0)</f>
        <v>0</v>
      </c>
      <c r="AA177" s="138">
        <f>IF('1.DATOS-PROD'!AJ178="SI",VLOOKUP('1.DATOS-PROD'!AJ$2,'1.PUNTOS'!$A$1:$B$63,2,0),0)</f>
        <v>0</v>
      </c>
      <c r="AB177" s="138">
        <f>IF('1.DATOS-PROD'!AK178="SI",VLOOKUP('1.DATOS-PROD'!AK$2,'1.PUNTOS'!$A$1:$B$63,2,0),0)</f>
        <v>0</v>
      </c>
      <c r="AC177" s="138">
        <f>IF('1.DATOS-PROD'!AL178="SI",VLOOKUP('1.DATOS-PROD'!AL$2,'1.PUNTOS'!$A$1:$B$63,2,0),0)</f>
        <v>0</v>
      </c>
      <c r="AD177" s="138">
        <f>IF('1.DATOS-PROD'!AM178="SI",VLOOKUP('1.DATOS-PROD'!AM$2,'1.PUNTOS'!$A$1:$B$63,2,0),0)</f>
        <v>0</v>
      </c>
      <c r="AE177" s="138">
        <f>IF('1.DATOS-PROD'!AN178="SI",VLOOKUP('1.DATOS-PROD'!AN$2,'1.PUNTOS'!$A$1:$B$63,2,0),0)</f>
        <v>0</v>
      </c>
      <c r="AF177" s="138">
        <f>IF('1.DATOS-PROD'!AO178="SI",VLOOKUP('1.DATOS-PROD'!AO$2,'1.PUNTOS'!$A$1:$B$63,2,0),0)</f>
        <v>0</v>
      </c>
      <c r="AG177" s="138">
        <f>IF('1.DATOS-PROD'!AP178="SI",VLOOKUP('1.DATOS-PROD'!AP$2,'1.PUNTOS'!$A$1:$B$63,2,0),0)</f>
        <v>0</v>
      </c>
      <c r="AH177" s="138">
        <f>IF('1.DATOS-PROD'!AQ178="SI",VLOOKUP('1.DATOS-PROD'!AQ$2,'1.PUNTOS'!$A$1:$B$63,2,0),0)</f>
        <v>0</v>
      </c>
      <c r="AI177" s="138">
        <f>IF('1.DATOS-PROD'!AR178="SI",VLOOKUP('1.DATOS-PROD'!AR$2,'1.PUNTOS'!$A$1:$B$63,2,0),0)</f>
        <v>0</v>
      </c>
      <c r="AJ177" s="138">
        <f>IF('1.DATOS-PROD'!AS178="SI",VLOOKUP('1.DATOS-PROD'!AS$2,'1.PUNTOS'!$A$1:$B$63,2,0),0)</f>
        <v>0</v>
      </c>
      <c r="AK177" s="138">
        <f>IF('1.DATOS-PROD'!AT178="SI",VLOOKUP('1.DATOS-PROD'!AT$2,'1.PUNTOS'!$A$1:$B$63,2,0),0)</f>
        <v>0</v>
      </c>
      <c r="AL177" s="138">
        <f>IF('1.DATOS-PROD'!AU178="SI",VLOOKUP('1.DATOS-PROD'!AU$2,'1.PUNTOS'!$A$1:$B$63,2,0),0)</f>
        <v>0</v>
      </c>
      <c r="AM177" s="138">
        <f>IF('1.DATOS-PROD'!AV178="SI",VLOOKUP('1.DATOS-PROD'!AV$2,'1.PUNTOS'!$A$1:$B$63,2,0),0)</f>
        <v>0</v>
      </c>
      <c r="AN177" s="138">
        <f>IF('1.DATOS-PROD'!AW178="SI",VLOOKUP('1.DATOS-PROD'!AW$2,'1.PUNTOS'!$A$1:$B$63,2,0),0)</f>
        <v>0</v>
      </c>
      <c r="AO177" s="138">
        <f>IF('1.DATOS-PROD'!AX178="SI",VLOOKUP('1.DATOS-PROD'!AX$2,'1.PUNTOS'!$A$1:$B$63,2,0),0)</f>
        <v>0</v>
      </c>
      <c r="AP177" s="138">
        <f>IF('1.DATOS-PROD'!AY178="SI",VLOOKUP('1.DATOS-PROD'!AY$2,'1.PUNTOS'!$A$1:$B$63,2,0),0)</f>
        <v>0</v>
      </c>
      <c r="AQ177" s="138">
        <f>IF('1.DATOS-PROD'!AZ178="SI",VLOOKUP('1.DATOS-PROD'!AZ$2,'1.PUNTOS'!$A$1:$B$63,2,0),0)</f>
        <v>0</v>
      </c>
      <c r="AR177" s="138">
        <f>IF('1.DATOS-PROD'!BA178="SI",VLOOKUP('1.DATOS-PROD'!BA$2,'1.PUNTOS'!$A$1:$B$63,2,0),0)</f>
        <v>0</v>
      </c>
      <c r="AS177" s="138">
        <f>IF('1.DATOS-PROD'!BB178="SI",VLOOKUP('1.DATOS-PROD'!BB$2,'1.PUNTOS'!$A$1:$B$63,2,0),0)</f>
        <v>0</v>
      </c>
      <c r="AT177" s="138">
        <f>IF('1.DATOS-PROD'!BC178="SI",VLOOKUP('1.DATOS-PROD'!BC$2,'1.PUNTOS'!$A$1:$B$63,2,0),0)</f>
        <v>0</v>
      </c>
      <c r="AU177" s="138">
        <f>IF('1.DATOS-PROD'!BD178="SI",VLOOKUP('1.DATOS-PROD'!BD$2,'1.PUNTOS'!$A$1:$B$63,2,0),0)</f>
        <v>0</v>
      </c>
      <c r="AV177" s="138">
        <f>IF('1.DATOS-PROD'!BE178="SI",VLOOKUP('1.DATOS-PROD'!BE$2,'1.PUNTOS'!$A$1:$B$63,2,0),0)</f>
        <v>0</v>
      </c>
      <c r="AW177" s="138">
        <f>IF('1.DATOS-PROD'!BF178="SI",VLOOKUP('1.DATOS-PROD'!BF$2,'1.PUNTOS'!$A$1:$B$63,2,0),0)</f>
        <v>0</v>
      </c>
      <c r="AX177" s="138">
        <f>IF('1.DATOS-PROD'!BG178="SI",VLOOKUP('1.DATOS-PROD'!BG$2,'1.PUNTOS'!$A$1:$B$63,2,0),0)</f>
        <v>0</v>
      </c>
      <c r="AY177" s="138">
        <f>IF('1.DATOS-PROD'!BH178="SI",VLOOKUP('1.DATOS-PROD'!BH$2,'1.PUNTOS'!$A$1:$B$63,2,0),0)</f>
        <v>0</v>
      </c>
      <c r="AZ177" s="138">
        <f>IF('1.DATOS-PROD'!BI178="SI",VLOOKUP('1.DATOS-PROD'!BI$2,'1.PUNTOS'!$A$1:$B$63,2,0),0)</f>
        <v>0</v>
      </c>
      <c r="BA177" s="138">
        <f>IF('1.DATOS-PROD'!BJ178="SI",VLOOKUP('1.DATOS-PROD'!BJ$2,'1.PUNTOS'!$A$1:$B$63,2,0),0)</f>
        <v>0</v>
      </c>
      <c r="BB177" s="138">
        <f>IF('1.DATOS-PROD'!BK178="SI",VLOOKUP('1.DATOS-PROD'!BK$2,'1.PUNTOS'!$A$1:$B$63,2,0),0)</f>
        <v>0</v>
      </c>
      <c r="BC177" s="138">
        <f>IF('1.DATOS-PROD'!BL178="SI",VLOOKUP('1.DATOS-PROD'!BL$2,'1.PUNTOS'!$A$1:$B$63,2,0),0)</f>
        <v>0</v>
      </c>
      <c r="BD177" s="138">
        <f>IF('1.DATOS-PROD'!BM178="SI",VLOOKUP('1.DATOS-PROD'!BM$2,'1.PUNTOS'!$A$1:$B$63,2,0),0)</f>
        <v>0</v>
      </c>
      <c r="BE177" s="138">
        <f>IF('1.DATOS-PROD'!BN178="SI",VLOOKUP('1.DATOS-PROD'!BN$2,'1.PUNTOS'!$A$1:$B$63,2,0),0)</f>
        <v>0</v>
      </c>
      <c r="BF177" s="138">
        <f>IF('1.DATOS-PROD'!BO178="SI",VLOOKUP('1.DATOS-PROD'!BO$2,'1.PUNTOS'!$A$1:$B$63,2,0),0)</f>
        <v>0</v>
      </c>
      <c r="BG177" s="138">
        <f>IF('1.DATOS-PROD'!BP178="SI",VLOOKUP('1.DATOS-PROD'!BP$2,'1.PUNTOS'!$A$1:$B$63,2,0),0)</f>
        <v>0</v>
      </c>
      <c r="BH177" s="138">
        <f>IF('1.DATOS-PROD'!BQ178="SI",VLOOKUP('1.DATOS-PROD'!BQ$2,'1.PUNTOS'!$A$1:$B$63,2,0),0)</f>
        <v>0</v>
      </c>
      <c r="BI177" s="138">
        <f>IF('1.DATOS-PROD'!BR178="SI",VLOOKUP('1.DATOS-PROD'!BR$2,'1.PUNTOS'!$A$1:$B$63,2,0),0)</f>
        <v>0</v>
      </c>
      <c r="BJ177" s="138">
        <f>IF('1.DATOS-PROD'!BS178="SI",VLOOKUP('1.DATOS-PROD'!BS$2,'1.PUNTOS'!$A$1:$B$63,2,0),0)</f>
        <v>0</v>
      </c>
      <c r="BK177" s="138">
        <f>IF('1.DATOS-PROD'!BT178="SI",VLOOKUP('1.DATOS-PROD'!BT$2,'1.PUNTOS'!$A$1:$B$63,2,0),0)</f>
        <v>0</v>
      </c>
    </row>
    <row r="178" spans="1:63" x14ac:dyDescent="0.25">
      <c r="A178">
        <f>'0.Consolidado general'!$A179</f>
        <v>0</v>
      </c>
      <c r="B178" s="138">
        <f>IF('1.DATOS-PROD'!K179="SI",VLOOKUP('1.DATOS-PROD'!K$2,'1.PUNTOS'!$A$1:$B$63,2,0),0)</f>
        <v>0</v>
      </c>
      <c r="C178" s="138">
        <f>IF('1.DATOS-PROD'!L179="SI",VLOOKUP('1.DATOS-PROD'!L$2,'1.PUNTOS'!$A$1:$B$63,2,0),0)</f>
        <v>0</v>
      </c>
      <c r="D178" s="138">
        <f>IF('1.DATOS-PROD'!M179="SI",VLOOKUP('1.DATOS-PROD'!M$2,'1.PUNTOS'!$A$1:$B$63,2,0),0)</f>
        <v>0</v>
      </c>
      <c r="E178" s="138">
        <f>IF('1.DATOS-PROD'!N179="SI",VLOOKUP('1.DATOS-PROD'!N$2,'1.PUNTOS'!$A$1:$B$63,2,0),0)</f>
        <v>0</v>
      </c>
      <c r="F178" s="138">
        <f>IF('1.DATOS-PROD'!O179="SI",VLOOKUP('1.DATOS-PROD'!O$2,'1.PUNTOS'!$A$1:$B$63,2,0),0)</f>
        <v>0</v>
      </c>
      <c r="G178" s="138">
        <f>IF('1.DATOS-PROD'!P179="SI",VLOOKUP('1.DATOS-PROD'!P$2,'1.PUNTOS'!$A$1:$B$63,2,0),0)</f>
        <v>0</v>
      </c>
      <c r="H178" s="138">
        <f>IF('1.DATOS-PROD'!Q179="SI",VLOOKUP('1.DATOS-PROD'!Q$2,'1.PUNTOS'!$A$1:$B$63,2,0),0)</f>
        <v>0</v>
      </c>
      <c r="I178" s="138">
        <f>IF('1.DATOS-PROD'!R179="SI",VLOOKUP('1.DATOS-PROD'!R$2,'1.PUNTOS'!$A$1:$B$63,2,0),0)</f>
        <v>0</v>
      </c>
      <c r="J178" s="138">
        <f>IF('1.DATOS-PROD'!S179="SI",VLOOKUP('1.DATOS-PROD'!S$2,'1.PUNTOS'!$A$1:$B$63,2,0),0)</f>
        <v>0</v>
      </c>
      <c r="K178" s="138">
        <f>IF('1.DATOS-PROD'!T179="SI",VLOOKUP('1.DATOS-PROD'!T$2,'1.PUNTOS'!$A$1:$B$63,2,0),0)</f>
        <v>0</v>
      </c>
      <c r="L178" s="138">
        <f>IF('1.DATOS-PROD'!U179="SI",VLOOKUP('1.DATOS-PROD'!U$2,'1.PUNTOS'!$A$1:$B$63,2,0),0)</f>
        <v>0</v>
      </c>
      <c r="M178" s="138">
        <f>IF('1.DATOS-PROD'!V179="SI",VLOOKUP('1.DATOS-PROD'!V$2,'1.PUNTOS'!$A$1:$B$63,2,0),0)</f>
        <v>0</v>
      </c>
      <c r="N178" s="138">
        <f>IF('1.DATOS-PROD'!W179="SI",VLOOKUP('1.DATOS-PROD'!W$2,'1.PUNTOS'!$A$1:$B$63,2,0),0)</f>
        <v>0</v>
      </c>
      <c r="O178" s="138">
        <f>IF('1.DATOS-PROD'!X179="SI",VLOOKUP('1.DATOS-PROD'!X$2,'1.PUNTOS'!$A$1:$B$63,2,0),0)</f>
        <v>0</v>
      </c>
      <c r="P178" s="138">
        <f>IF('1.DATOS-PROD'!Y179="SI",VLOOKUP('1.DATOS-PROD'!Y$2,'1.PUNTOS'!$A$1:$B$63,2,0),0)</f>
        <v>0</v>
      </c>
      <c r="Q178" s="138">
        <f>IF('1.DATOS-PROD'!Z179="SI",VLOOKUP('1.DATOS-PROD'!Z$2,'1.PUNTOS'!$A$1:$B$63,2,0),0)</f>
        <v>0</v>
      </c>
      <c r="R178" s="138">
        <f>IF('1.DATOS-PROD'!AA179="SI",VLOOKUP('1.DATOS-PROD'!AA$2,'1.PUNTOS'!$A$1:$B$63,2,0),0)</f>
        <v>0</v>
      </c>
      <c r="S178" s="138">
        <f>IF('1.DATOS-PROD'!AB179="SI",VLOOKUP('1.DATOS-PROD'!AB$2,'1.PUNTOS'!$A$1:$B$63,2,0),0)</f>
        <v>0</v>
      </c>
      <c r="T178" s="138">
        <f>IF('1.DATOS-PROD'!AC179="SI",VLOOKUP('1.DATOS-PROD'!AC$2,'1.PUNTOS'!$A$1:$B$63,2,0),0)</f>
        <v>0</v>
      </c>
      <c r="U178" s="138">
        <f>IF('1.DATOS-PROD'!AD179="SI",VLOOKUP('1.DATOS-PROD'!AD$2,'1.PUNTOS'!$A$1:$B$63,2,0),0)</f>
        <v>0</v>
      </c>
      <c r="V178" s="138">
        <f>IF('1.DATOS-PROD'!AE179="SI",VLOOKUP('1.DATOS-PROD'!AE$2,'1.PUNTOS'!$A$1:$B$63,2,0),0)</f>
        <v>0</v>
      </c>
      <c r="W178" s="138">
        <f>IF('1.DATOS-PROD'!AF179="SI",VLOOKUP('1.DATOS-PROD'!AF$2,'1.PUNTOS'!$A$1:$B$63,2,0),0)</f>
        <v>0</v>
      </c>
      <c r="X178" s="138">
        <f>IF('1.DATOS-PROD'!AG179="SI",VLOOKUP('1.DATOS-PROD'!AG$2,'1.PUNTOS'!$A$1:$B$63,2,0),0)</f>
        <v>0</v>
      </c>
      <c r="Y178" s="138">
        <f>IF('1.DATOS-PROD'!AH179="SI",VLOOKUP('1.DATOS-PROD'!AH$2,'1.PUNTOS'!$A$1:$B$63,2,0),0)</f>
        <v>0</v>
      </c>
      <c r="Z178" s="138">
        <f>IF('1.DATOS-PROD'!AI179="SI",VLOOKUP('1.DATOS-PROD'!AI$2,'1.PUNTOS'!$A$1:$B$63,2,0),0)</f>
        <v>0</v>
      </c>
      <c r="AA178" s="138">
        <f>IF('1.DATOS-PROD'!AJ179="SI",VLOOKUP('1.DATOS-PROD'!AJ$2,'1.PUNTOS'!$A$1:$B$63,2,0),0)</f>
        <v>0</v>
      </c>
      <c r="AB178" s="138">
        <f>IF('1.DATOS-PROD'!AK179="SI",VLOOKUP('1.DATOS-PROD'!AK$2,'1.PUNTOS'!$A$1:$B$63,2,0),0)</f>
        <v>0</v>
      </c>
      <c r="AC178" s="138">
        <f>IF('1.DATOS-PROD'!AL179="SI",VLOOKUP('1.DATOS-PROD'!AL$2,'1.PUNTOS'!$A$1:$B$63,2,0),0)</f>
        <v>0</v>
      </c>
      <c r="AD178" s="138">
        <f>IF('1.DATOS-PROD'!AM179="SI",VLOOKUP('1.DATOS-PROD'!AM$2,'1.PUNTOS'!$A$1:$B$63,2,0),0)</f>
        <v>0</v>
      </c>
      <c r="AE178" s="138">
        <f>IF('1.DATOS-PROD'!AN179="SI",VLOOKUP('1.DATOS-PROD'!AN$2,'1.PUNTOS'!$A$1:$B$63,2,0),0)</f>
        <v>0</v>
      </c>
      <c r="AF178" s="138">
        <f>IF('1.DATOS-PROD'!AO179="SI",VLOOKUP('1.DATOS-PROD'!AO$2,'1.PUNTOS'!$A$1:$B$63,2,0),0)</f>
        <v>0</v>
      </c>
      <c r="AG178" s="138">
        <f>IF('1.DATOS-PROD'!AP179="SI",VLOOKUP('1.DATOS-PROD'!AP$2,'1.PUNTOS'!$A$1:$B$63,2,0),0)</f>
        <v>0</v>
      </c>
      <c r="AH178" s="138">
        <f>IF('1.DATOS-PROD'!AQ179="SI",VLOOKUP('1.DATOS-PROD'!AQ$2,'1.PUNTOS'!$A$1:$B$63,2,0),0)</f>
        <v>0</v>
      </c>
      <c r="AI178" s="138">
        <f>IF('1.DATOS-PROD'!AR179="SI",VLOOKUP('1.DATOS-PROD'!AR$2,'1.PUNTOS'!$A$1:$B$63,2,0),0)</f>
        <v>0</v>
      </c>
      <c r="AJ178" s="138">
        <f>IF('1.DATOS-PROD'!AS179="SI",VLOOKUP('1.DATOS-PROD'!AS$2,'1.PUNTOS'!$A$1:$B$63,2,0),0)</f>
        <v>0</v>
      </c>
      <c r="AK178" s="138">
        <f>IF('1.DATOS-PROD'!AT179="SI",VLOOKUP('1.DATOS-PROD'!AT$2,'1.PUNTOS'!$A$1:$B$63,2,0),0)</f>
        <v>0</v>
      </c>
      <c r="AL178" s="138">
        <f>IF('1.DATOS-PROD'!AU179="SI",VLOOKUP('1.DATOS-PROD'!AU$2,'1.PUNTOS'!$A$1:$B$63,2,0),0)</f>
        <v>0</v>
      </c>
      <c r="AM178" s="138">
        <f>IF('1.DATOS-PROD'!AV179="SI",VLOOKUP('1.DATOS-PROD'!AV$2,'1.PUNTOS'!$A$1:$B$63,2,0),0)</f>
        <v>0</v>
      </c>
      <c r="AN178" s="138">
        <f>IF('1.DATOS-PROD'!AW179="SI",VLOOKUP('1.DATOS-PROD'!AW$2,'1.PUNTOS'!$A$1:$B$63,2,0),0)</f>
        <v>0</v>
      </c>
      <c r="AO178" s="138">
        <f>IF('1.DATOS-PROD'!AX179="SI",VLOOKUP('1.DATOS-PROD'!AX$2,'1.PUNTOS'!$A$1:$B$63,2,0),0)</f>
        <v>0</v>
      </c>
      <c r="AP178" s="138">
        <f>IF('1.DATOS-PROD'!AY179="SI",VLOOKUP('1.DATOS-PROD'!AY$2,'1.PUNTOS'!$A$1:$B$63,2,0),0)</f>
        <v>0</v>
      </c>
      <c r="AQ178" s="138">
        <f>IF('1.DATOS-PROD'!AZ179="SI",VLOOKUP('1.DATOS-PROD'!AZ$2,'1.PUNTOS'!$A$1:$B$63,2,0),0)</f>
        <v>0</v>
      </c>
      <c r="AR178" s="138">
        <f>IF('1.DATOS-PROD'!BA179="SI",VLOOKUP('1.DATOS-PROD'!BA$2,'1.PUNTOS'!$A$1:$B$63,2,0),0)</f>
        <v>0</v>
      </c>
      <c r="AS178" s="138">
        <f>IF('1.DATOS-PROD'!BB179="SI",VLOOKUP('1.DATOS-PROD'!BB$2,'1.PUNTOS'!$A$1:$B$63,2,0),0)</f>
        <v>0</v>
      </c>
      <c r="AT178" s="138">
        <f>IF('1.DATOS-PROD'!BC179="SI",VLOOKUP('1.DATOS-PROD'!BC$2,'1.PUNTOS'!$A$1:$B$63,2,0),0)</f>
        <v>0</v>
      </c>
      <c r="AU178" s="138">
        <f>IF('1.DATOS-PROD'!BD179="SI",VLOOKUP('1.DATOS-PROD'!BD$2,'1.PUNTOS'!$A$1:$B$63,2,0),0)</f>
        <v>0</v>
      </c>
      <c r="AV178" s="138">
        <f>IF('1.DATOS-PROD'!BE179="SI",VLOOKUP('1.DATOS-PROD'!BE$2,'1.PUNTOS'!$A$1:$B$63,2,0),0)</f>
        <v>0</v>
      </c>
      <c r="AW178" s="138">
        <f>IF('1.DATOS-PROD'!BF179="SI",VLOOKUP('1.DATOS-PROD'!BF$2,'1.PUNTOS'!$A$1:$B$63,2,0),0)</f>
        <v>0</v>
      </c>
      <c r="AX178" s="138">
        <f>IF('1.DATOS-PROD'!BG179="SI",VLOOKUP('1.DATOS-PROD'!BG$2,'1.PUNTOS'!$A$1:$B$63,2,0),0)</f>
        <v>0</v>
      </c>
      <c r="AY178" s="138">
        <f>IF('1.DATOS-PROD'!BH179="SI",VLOOKUP('1.DATOS-PROD'!BH$2,'1.PUNTOS'!$A$1:$B$63,2,0),0)</f>
        <v>0</v>
      </c>
      <c r="AZ178" s="138">
        <f>IF('1.DATOS-PROD'!BI179="SI",VLOOKUP('1.DATOS-PROD'!BI$2,'1.PUNTOS'!$A$1:$B$63,2,0),0)</f>
        <v>0</v>
      </c>
      <c r="BA178" s="138">
        <f>IF('1.DATOS-PROD'!BJ179="SI",VLOOKUP('1.DATOS-PROD'!BJ$2,'1.PUNTOS'!$A$1:$B$63,2,0),0)</f>
        <v>0</v>
      </c>
      <c r="BB178" s="138">
        <f>IF('1.DATOS-PROD'!BK179="SI",VLOOKUP('1.DATOS-PROD'!BK$2,'1.PUNTOS'!$A$1:$B$63,2,0),0)</f>
        <v>0</v>
      </c>
      <c r="BC178" s="138">
        <f>IF('1.DATOS-PROD'!BL179="SI",VLOOKUP('1.DATOS-PROD'!BL$2,'1.PUNTOS'!$A$1:$B$63,2,0),0)</f>
        <v>0</v>
      </c>
      <c r="BD178" s="138">
        <f>IF('1.DATOS-PROD'!BM179="SI",VLOOKUP('1.DATOS-PROD'!BM$2,'1.PUNTOS'!$A$1:$B$63,2,0),0)</f>
        <v>0</v>
      </c>
      <c r="BE178" s="138">
        <f>IF('1.DATOS-PROD'!BN179="SI",VLOOKUP('1.DATOS-PROD'!BN$2,'1.PUNTOS'!$A$1:$B$63,2,0),0)</f>
        <v>0</v>
      </c>
      <c r="BF178" s="138">
        <f>IF('1.DATOS-PROD'!BO179="SI",VLOOKUP('1.DATOS-PROD'!BO$2,'1.PUNTOS'!$A$1:$B$63,2,0),0)</f>
        <v>0</v>
      </c>
      <c r="BG178" s="138">
        <f>IF('1.DATOS-PROD'!BP179="SI",VLOOKUP('1.DATOS-PROD'!BP$2,'1.PUNTOS'!$A$1:$B$63,2,0),0)</f>
        <v>0</v>
      </c>
      <c r="BH178" s="138">
        <f>IF('1.DATOS-PROD'!BQ179="SI",VLOOKUP('1.DATOS-PROD'!BQ$2,'1.PUNTOS'!$A$1:$B$63,2,0),0)</f>
        <v>0</v>
      </c>
      <c r="BI178" s="138">
        <f>IF('1.DATOS-PROD'!BR179="SI",VLOOKUP('1.DATOS-PROD'!BR$2,'1.PUNTOS'!$A$1:$B$63,2,0),0)</f>
        <v>0</v>
      </c>
      <c r="BJ178" s="138">
        <f>IF('1.DATOS-PROD'!BS179="SI",VLOOKUP('1.DATOS-PROD'!BS$2,'1.PUNTOS'!$A$1:$B$63,2,0),0)</f>
        <v>0</v>
      </c>
      <c r="BK178" s="138">
        <f>IF('1.DATOS-PROD'!BT179="SI",VLOOKUP('1.DATOS-PROD'!BT$2,'1.PUNTOS'!$A$1:$B$63,2,0),0)</f>
        <v>0</v>
      </c>
    </row>
    <row r="179" spans="1:63" x14ac:dyDescent="0.25">
      <c r="A179">
        <f>'0.Consolidado general'!$A180</f>
        <v>0</v>
      </c>
      <c r="B179" s="138">
        <f>IF('1.DATOS-PROD'!K180="SI",VLOOKUP('1.DATOS-PROD'!K$2,'1.PUNTOS'!$A$1:$B$63,2,0),0)</f>
        <v>0</v>
      </c>
      <c r="C179" s="138">
        <f>IF('1.DATOS-PROD'!L180="SI",VLOOKUP('1.DATOS-PROD'!L$2,'1.PUNTOS'!$A$1:$B$63,2,0),0)</f>
        <v>0</v>
      </c>
      <c r="D179" s="138">
        <f>IF('1.DATOS-PROD'!M180="SI",VLOOKUP('1.DATOS-PROD'!M$2,'1.PUNTOS'!$A$1:$B$63,2,0),0)</f>
        <v>0</v>
      </c>
      <c r="E179" s="138">
        <f>IF('1.DATOS-PROD'!N180="SI",VLOOKUP('1.DATOS-PROD'!N$2,'1.PUNTOS'!$A$1:$B$63,2,0),0)</f>
        <v>0</v>
      </c>
      <c r="F179" s="138">
        <f>IF('1.DATOS-PROD'!O180="SI",VLOOKUP('1.DATOS-PROD'!O$2,'1.PUNTOS'!$A$1:$B$63,2,0),0)</f>
        <v>0</v>
      </c>
      <c r="G179" s="138">
        <f>IF('1.DATOS-PROD'!P180="SI",VLOOKUP('1.DATOS-PROD'!P$2,'1.PUNTOS'!$A$1:$B$63,2,0),0)</f>
        <v>0</v>
      </c>
      <c r="H179" s="138">
        <f>IF('1.DATOS-PROD'!Q180="SI",VLOOKUP('1.DATOS-PROD'!Q$2,'1.PUNTOS'!$A$1:$B$63,2,0),0)</f>
        <v>0</v>
      </c>
      <c r="I179" s="138">
        <f>IF('1.DATOS-PROD'!R180="SI",VLOOKUP('1.DATOS-PROD'!R$2,'1.PUNTOS'!$A$1:$B$63,2,0),0)</f>
        <v>0</v>
      </c>
      <c r="J179" s="138">
        <f>IF('1.DATOS-PROD'!S180="SI",VLOOKUP('1.DATOS-PROD'!S$2,'1.PUNTOS'!$A$1:$B$63,2,0),0)</f>
        <v>0</v>
      </c>
      <c r="K179" s="138">
        <f>IF('1.DATOS-PROD'!T180="SI",VLOOKUP('1.DATOS-PROD'!T$2,'1.PUNTOS'!$A$1:$B$63,2,0),0)</f>
        <v>0</v>
      </c>
      <c r="L179" s="138">
        <f>IF('1.DATOS-PROD'!U180="SI",VLOOKUP('1.DATOS-PROD'!U$2,'1.PUNTOS'!$A$1:$B$63,2,0),0)</f>
        <v>0</v>
      </c>
      <c r="M179" s="138">
        <f>IF('1.DATOS-PROD'!V180="SI",VLOOKUP('1.DATOS-PROD'!V$2,'1.PUNTOS'!$A$1:$B$63,2,0),0)</f>
        <v>0</v>
      </c>
      <c r="N179" s="138">
        <f>IF('1.DATOS-PROD'!W180="SI",VLOOKUP('1.DATOS-PROD'!W$2,'1.PUNTOS'!$A$1:$B$63,2,0),0)</f>
        <v>0</v>
      </c>
      <c r="O179" s="138">
        <f>IF('1.DATOS-PROD'!X180="SI",VLOOKUP('1.DATOS-PROD'!X$2,'1.PUNTOS'!$A$1:$B$63,2,0),0)</f>
        <v>0</v>
      </c>
      <c r="P179" s="138">
        <f>IF('1.DATOS-PROD'!Y180="SI",VLOOKUP('1.DATOS-PROD'!Y$2,'1.PUNTOS'!$A$1:$B$63,2,0),0)</f>
        <v>0</v>
      </c>
      <c r="Q179" s="138">
        <f>IF('1.DATOS-PROD'!Z180="SI",VLOOKUP('1.DATOS-PROD'!Z$2,'1.PUNTOS'!$A$1:$B$63,2,0),0)</f>
        <v>0</v>
      </c>
      <c r="R179" s="138">
        <f>IF('1.DATOS-PROD'!AA180="SI",VLOOKUP('1.DATOS-PROD'!AA$2,'1.PUNTOS'!$A$1:$B$63,2,0),0)</f>
        <v>0</v>
      </c>
      <c r="S179" s="138">
        <f>IF('1.DATOS-PROD'!AB180="SI",VLOOKUP('1.DATOS-PROD'!AB$2,'1.PUNTOS'!$A$1:$B$63,2,0),0)</f>
        <v>0</v>
      </c>
      <c r="T179" s="138">
        <f>IF('1.DATOS-PROD'!AC180="SI",VLOOKUP('1.DATOS-PROD'!AC$2,'1.PUNTOS'!$A$1:$B$63,2,0),0)</f>
        <v>0</v>
      </c>
      <c r="U179" s="138">
        <f>IF('1.DATOS-PROD'!AD180="SI",VLOOKUP('1.DATOS-PROD'!AD$2,'1.PUNTOS'!$A$1:$B$63,2,0),0)</f>
        <v>0</v>
      </c>
      <c r="V179" s="138">
        <f>IF('1.DATOS-PROD'!AE180="SI",VLOOKUP('1.DATOS-PROD'!AE$2,'1.PUNTOS'!$A$1:$B$63,2,0),0)</f>
        <v>0</v>
      </c>
      <c r="W179" s="138">
        <f>IF('1.DATOS-PROD'!AF180="SI",VLOOKUP('1.DATOS-PROD'!AF$2,'1.PUNTOS'!$A$1:$B$63,2,0),0)</f>
        <v>0</v>
      </c>
      <c r="X179" s="138">
        <f>IF('1.DATOS-PROD'!AG180="SI",VLOOKUP('1.DATOS-PROD'!AG$2,'1.PUNTOS'!$A$1:$B$63,2,0),0)</f>
        <v>0</v>
      </c>
      <c r="Y179" s="138">
        <f>IF('1.DATOS-PROD'!AH180="SI",VLOOKUP('1.DATOS-PROD'!AH$2,'1.PUNTOS'!$A$1:$B$63,2,0),0)</f>
        <v>0</v>
      </c>
      <c r="Z179" s="138">
        <f>IF('1.DATOS-PROD'!AI180="SI",VLOOKUP('1.DATOS-PROD'!AI$2,'1.PUNTOS'!$A$1:$B$63,2,0),0)</f>
        <v>0</v>
      </c>
      <c r="AA179" s="138">
        <f>IF('1.DATOS-PROD'!AJ180="SI",VLOOKUP('1.DATOS-PROD'!AJ$2,'1.PUNTOS'!$A$1:$B$63,2,0),0)</f>
        <v>0</v>
      </c>
      <c r="AB179" s="138">
        <f>IF('1.DATOS-PROD'!AK180="SI",VLOOKUP('1.DATOS-PROD'!AK$2,'1.PUNTOS'!$A$1:$B$63,2,0),0)</f>
        <v>0</v>
      </c>
      <c r="AC179" s="138">
        <f>IF('1.DATOS-PROD'!AL180="SI",VLOOKUP('1.DATOS-PROD'!AL$2,'1.PUNTOS'!$A$1:$B$63,2,0),0)</f>
        <v>0</v>
      </c>
      <c r="AD179" s="138">
        <f>IF('1.DATOS-PROD'!AM180="SI",VLOOKUP('1.DATOS-PROD'!AM$2,'1.PUNTOS'!$A$1:$B$63,2,0),0)</f>
        <v>0</v>
      </c>
      <c r="AE179" s="138">
        <f>IF('1.DATOS-PROD'!AN180="SI",VLOOKUP('1.DATOS-PROD'!AN$2,'1.PUNTOS'!$A$1:$B$63,2,0),0)</f>
        <v>0</v>
      </c>
      <c r="AF179" s="138">
        <f>IF('1.DATOS-PROD'!AO180="SI",VLOOKUP('1.DATOS-PROD'!AO$2,'1.PUNTOS'!$A$1:$B$63,2,0),0)</f>
        <v>0</v>
      </c>
      <c r="AG179" s="138">
        <f>IF('1.DATOS-PROD'!AP180="SI",VLOOKUP('1.DATOS-PROD'!AP$2,'1.PUNTOS'!$A$1:$B$63,2,0),0)</f>
        <v>0</v>
      </c>
      <c r="AH179" s="138">
        <f>IF('1.DATOS-PROD'!AQ180="SI",VLOOKUP('1.DATOS-PROD'!AQ$2,'1.PUNTOS'!$A$1:$B$63,2,0),0)</f>
        <v>0</v>
      </c>
      <c r="AI179" s="138">
        <f>IF('1.DATOS-PROD'!AR180="SI",VLOOKUP('1.DATOS-PROD'!AR$2,'1.PUNTOS'!$A$1:$B$63,2,0),0)</f>
        <v>0</v>
      </c>
      <c r="AJ179" s="138">
        <f>IF('1.DATOS-PROD'!AS180="SI",VLOOKUP('1.DATOS-PROD'!AS$2,'1.PUNTOS'!$A$1:$B$63,2,0),0)</f>
        <v>0</v>
      </c>
      <c r="AK179" s="138">
        <f>IF('1.DATOS-PROD'!AT180="SI",VLOOKUP('1.DATOS-PROD'!AT$2,'1.PUNTOS'!$A$1:$B$63,2,0),0)</f>
        <v>0</v>
      </c>
      <c r="AL179" s="138">
        <f>IF('1.DATOS-PROD'!AU180="SI",VLOOKUP('1.DATOS-PROD'!AU$2,'1.PUNTOS'!$A$1:$B$63,2,0),0)</f>
        <v>0</v>
      </c>
      <c r="AM179" s="138">
        <f>IF('1.DATOS-PROD'!AV180="SI",VLOOKUP('1.DATOS-PROD'!AV$2,'1.PUNTOS'!$A$1:$B$63,2,0),0)</f>
        <v>0</v>
      </c>
      <c r="AN179" s="138">
        <f>IF('1.DATOS-PROD'!AW180="SI",VLOOKUP('1.DATOS-PROD'!AW$2,'1.PUNTOS'!$A$1:$B$63,2,0),0)</f>
        <v>0</v>
      </c>
      <c r="AO179" s="138">
        <f>IF('1.DATOS-PROD'!AX180="SI",VLOOKUP('1.DATOS-PROD'!AX$2,'1.PUNTOS'!$A$1:$B$63,2,0),0)</f>
        <v>0</v>
      </c>
      <c r="AP179" s="138">
        <f>IF('1.DATOS-PROD'!AY180="SI",VLOOKUP('1.DATOS-PROD'!AY$2,'1.PUNTOS'!$A$1:$B$63,2,0),0)</f>
        <v>0</v>
      </c>
      <c r="AQ179" s="138">
        <f>IF('1.DATOS-PROD'!AZ180="SI",VLOOKUP('1.DATOS-PROD'!AZ$2,'1.PUNTOS'!$A$1:$B$63,2,0),0)</f>
        <v>0</v>
      </c>
      <c r="AR179" s="138">
        <f>IF('1.DATOS-PROD'!BA180="SI",VLOOKUP('1.DATOS-PROD'!BA$2,'1.PUNTOS'!$A$1:$B$63,2,0),0)</f>
        <v>0</v>
      </c>
      <c r="AS179" s="138">
        <f>IF('1.DATOS-PROD'!BB180="SI",VLOOKUP('1.DATOS-PROD'!BB$2,'1.PUNTOS'!$A$1:$B$63,2,0),0)</f>
        <v>0</v>
      </c>
      <c r="AT179" s="138">
        <f>IF('1.DATOS-PROD'!BC180="SI",VLOOKUP('1.DATOS-PROD'!BC$2,'1.PUNTOS'!$A$1:$B$63,2,0),0)</f>
        <v>0</v>
      </c>
      <c r="AU179" s="138">
        <f>IF('1.DATOS-PROD'!BD180="SI",VLOOKUP('1.DATOS-PROD'!BD$2,'1.PUNTOS'!$A$1:$B$63,2,0),0)</f>
        <v>0</v>
      </c>
      <c r="AV179" s="138">
        <f>IF('1.DATOS-PROD'!BE180="SI",VLOOKUP('1.DATOS-PROD'!BE$2,'1.PUNTOS'!$A$1:$B$63,2,0),0)</f>
        <v>0</v>
      </c>
      <c r="AW179" s="138">
        <f>IF('1.DATOS-PROD'!BF180="SI",VLOOKUP('1.DATOS-PROD'!BF$2,'1.PUNTOS'!$A$1:$B$63,2,0),0)</f>
        <v>0</v>
      </c>
      <c r="AX179" s="138">
        <f>IF('1.DATOS-PROD'!BG180="SI",VLOOKUP('1.DATOS-PROD'!BG$2,'1.PUNTOS'!$A$1:$B$63,2,0),0)</f>
        <v>0</v>
      </c>
      <c r="AY179" s="138">
        <f>IF('1.DATOS-PROD'!BH180="SI",VLOOKUP('1.DATOS-PROD'!BH$2,'1.PUNTOS'!$A$1:$B$63,2,0),0)</f>
        <v>0</v>
      </c>
      <c r="AZ179" s="138">
        <f>IF('1.DATOS-PROD'!BI180="SI",VLOOKUP('1.DATOS-PROD'!BI$2,'1.PUNTOS'!$A$1:$B$63,2,0),0)</f>
        <v>0</v>
      </c>
      <c r="BA179" s="138">
        <f>IF('1.DATOS-PROD'!BJ180="SI",VLOOKUP('1.DATOS-PROD'!BJ$2,'1.PUNTOS'!$A$1:$B$63,2,0),0)</f>
        <v>0</v>
      </c>
      <c r="BB179" s="138">
        <f>IF('1.DATOS-PROD'!BK180="SI",VLOOKUP('1.DATOS-PROD'!BK$2,'1.PUNTOS'!$A$1:$B$63,2,0),0)</f>
        <v>0</v>
      </c>
      <c r="BC179" s="138">
        <f>IF('1.DATOS-PROD'!BL180="SI",VLOOKUP('1.DATOS-PROD'!BL$2,'1.PUNTOS'!$A$1:$B$63,2,0),0)</f>
        <v>0</v>
      </c>
      <c r="BD179" s="138">
        <f>IF('1.DATOS-PROD'!BM180="SI",VLOOKUP('1.DATOS-PROD'!BM$2,'1.PUNTOS'!$A$1:$B$63,2,0),0)</f>
        <v>0</v>
      </c>
      <c r="BE179" s="138">
        <f>IF('1.DATOS-PROD'!BN180="SI",VLOOKUP('1.DATOS-PROD'!BN$2,'1.PUNTOS'!$A$1:$B$63,2,0),0)</f>
        <v>0</v>
      </c>
      <c r="BF179" s="138">
        <f>IF('1.DATOS-PROD'!BO180="SI",VLOOKUP('1.DATOS-PROD'!BO$2,'1.PUNTOS'!$A$1:$B$63,2,0),0)</f>
        <v>0</v>
      </c>
      <c r="BG179" s="138">
        <f>IF('1.DATOS-PROD'!BP180="SI",VLOOKUP('1.DATOS-PROD'!BP$2,'1.PUNTOS'!$A$1:$B$63,2,0),0)</f>
        <v>0</v>
      </c>
      <c r="BH179" s="138">
        <f>IF('1.DATOS-PROD'!BQ180="SI",VLOOKUP('1.DATOS-PROD'!BQ$2,'1.PUNTOS'!$A$1:$B$63,2,0),0)</f>
        <v>0</v>
      </c>
      <c r="BI179" s="138">
        <f>IF('1.DATOS-PROD'!BR180="SI",VLOOKUP('1.DATOS-PROD'!BR$2,'1.PUNTOS'!$A$1:$B$63,2,0),0)</f>
        <v>0</v>
      </c>
      <c r="BJ179" s="138">
        <f>IF('1.DATOS-PROD'!BS180="SI",VLOOKUP('1.DATOS-PROD'!BS$2,'1.PUNTOS'!$A$1:$B$63,2,0),0)</f>
        <v>0</v>
      </c>
      <c r="BK179" s="138">
        <f>IF('1.DATOS-PROD'!BT180="SI",VLOOKUP('1.DATOS-PROD'!BT$2,'1.PUNTOS'!$A$1:$B$63,2,0),0)</f>
        <v>0</v>
      </c>
    </row>
    <row r="180" spans="1:63" x14ac:dyDescent="0.25">
      <c r="A180">
        <f>'0.Consolidado general'!$A181</f>
        <v>0</v>
      </c>
      <c r="B180" s="138">
        <f>IF('1.DATOS-PROD'!K181="SI",VLOOKUP('1.DATOS-PROD'!K$2,'1.PUNTOS'!$A$1:$B$63,2,0),0)</f>
        <v>0</v>
      </c>
      <c r="C180" s="138">
        <f>IF('1.DATOS-PROD'!L181="SI",VLOOKUP('1.DATOS-PROD'!L$2,'1.PUNTOS'!$A$1:$B$63,2,0),0)</f>
        <v>0</v>
      </c>
      <c r="D180" s="138">
        <f>IF('1.DATOS-PROD'!M181="SI",VLOOKUP('1.DATOS-PROD'!M$2,'1.PUNTOS'!$A$1:$B$63,2,0),0)</f>
        <v>0</v>
      </c>
      <c r="E180" s="138">
        <f>IF('1.DATOS-PROD'!N181="SI",VLOOKUP('1.DATOS-PROD'!N$2,'1.PUNTOS'!$A$1:$B$63,2,0),0)</f>
        <v>0</v>
      </c>
      <c r="F180" s="138">
        <f>IF('1.DATOS-PROD'!O181="SI",VLOOKUP('1.DATOS-PROD'!O$2,'1.PUNTOS'!$A$1:$B$63,2,0),0)</f>
        <v>0</v>
      </c>
      <c r="G180" s="138">
        <f>IF('1.DATOS-PROD'!P181="SI",VLOOKUP('1.DATOS-PROD'!P$2,'1.PUNTOS'!$A$1:$B$63,2,0),0)</f>
        <v>0</v>
      </c>
      <c r="H180" s="138">
        <f>IF('1.DATOS-PROD'!Q181="SI",VLOOKUP('1.DATOS-PROD'!Q$2,'1.PUNTOS'!$A$1:$B$63,2,0),0)</f>
        <v>0</v>
      </c>
      <c r="I180" s="138">
        <f>IF('1.DATOS-PROD'!R181="SI",VLOOKUP('1.DATOS-PROD'!R$2,'1.PUNTOS'!$A$1:$B$63,2,0),0)</f>
        <v>0</v>
      </c>
      <c r="J180" s="138">
        <f>IF('1.DATOS-PROD'!S181="SI",VLOOKUP('1.DATOS-PROD'!S$2,'1.PUNTOS'!$A$1:$B$63,2,0),0)</f>
        <v>0</v>
      </c>
      <c r="K180" s="138">
        <f>IF('1.DATOS-PROD'!T181="SI",VLOOKUP('1.DATOS-PROD'!T$2,'1.PUNTOS'!$A$1:$B$63,2,0),0)</f>
        <v>0</v>
      </c>
      <c r="L180" s="138">
        <f>IF('1.DATOS-PROD'!U181="SI",VLOOKUP('1.DATOS-PROD'!U$2,'1.PUNTOS'!$A$1:$B$63,2,0),0)</f>
        <v>0</v>
      </c>
      <c r="M180" s="138">
        <f>IF('1.DATOS-PROD'!V181="SI",VLOOKUP('1.DATOS-PROD'!V$2,'1.PUNTOS'!$A$1:$B$63,2,0),0)</f>
        <v>0</v>
      </c>
      <c r="N180" s="138">
        <f>IF('1.DATOS-PROD'!W181="SI",VLOOKUP('1.DATOS-PROD'!W$2,'1.PUNTOS'!$A$1:$B$63,2,0),0)</f>
        <v>0</v>
      </c>
      <c r="O180" s="138">
        <f>IF('1.DATOS-PROD'!X181="SI",VLOOKUP('1.DATOS-PROD'!X$2,'1.PUNTOS'!$A$1:$B$63,2,0),0)</f>
        <v>0</v>
      </c>
      <c r="P180" s="138">
        <f>IF('1.DATOS-PROD'!Y181="SI",VLOOKUP('1.DATOS-PROD'!Y$2,'1.PUNTOS'!$A$1:$B$63,2,0),0)</f>
        <v>0</v>
      </c>
      <c r="Q180" s="138">
        <f>IF('1.DATOS-PROD'!Z181="SI",VLOOKUP('1.DATOS-PROD'!Z$2,'1.PUNTOS'!$A$1:$B$63,2,0),0)</f>
        <v>0</v>
      </c>
      <c r="R180" s="138">
        <f>IF('1.DATOS-PROD'!AA181="SI",VLOOKUP('1.DATOS-PROD'!AA$2,'1.PUNTOS'!$A$1:$B$63,2,0),0)</f>
        <v>0</v>
      </c>
      <c r="S180" s="138">
        <f>IF('1.DATOS-PROD'!AB181="SI",VLOOKUP('1.DATOS-PROD'!AB$2,'1.PUNTOS'!$A$1:$B$63,2,0),0)</f>
        <v>0</v>
      </c>
      <c r="T180" s="138">
        <f>IF('1.DATOS-PROD'!AC181="SI",VLOOKUP('1.DATOS-PROD'!AC$2,'1.PUNTOS'!$A$1:$B$63,2,0),0)</f>
        <v>0</v>
      </c>
      <c r="U180" s="138">
        <f>IF('1.DATOS-PROD'!AD181="SI",VLOOKUP('1.DATOS-PROD'!AD$2,'1.PUNTOS'!$A$1:$B$63,2,0),0)</f>
        <v>0</v>
      </c>
      <c r="V180" s="138">
        <f>IF('1.DATOS-PROD'!AE181="SI",VLOOKUP('1.DATOS-PROD'!AE$2,'1.PUNTOS'!$A$1:$B$63,2,0),0)</f>
        <v>0</v>
      </c>
      <c r="W180" s="138">
        <f>IF('1.DATOS-PROD'!AF181="SI",VLOOKUP('1.DATOS-PROD'!AF$2,'1.PUNTOS'!$A$1:$B$63,2,0),0)</f>
        <v>0</v>
      </c>
      <c r="X180" s="138">
        <f>IF('1.DATOS-PROD'!AG181="SI",VLOOKUP('1.DATOS-PROD'!AG$2,'1.PUNTOS'!$A$1:$B$63,2,0),0)</f>
        <v>0</v>
      </c>
      <c r="Y180" s="138">
        <f>IF('1.DATOS-PROD'!AH181="SI",VLOOKUP('1.DATOS-PROD'!AH$2,'1.PUNTOS'!$A$1:$B$63,2,0),0)</f>
        <v>0</v>
      </c>
      <c r="Z180" s="138">
        <f>IF('1.DATOS-PROD'!AI181="SI",VLOOKUP('1.DATOS-PROD'!AI$2,'1.PUNTOS'!$A$1:$B$63,2,0),0)</f>
        <v>0</v>
      </c>
      <c r="AA180" s="138">
        <f>IF('1.DATOS-PROD'!AJ181="SI",VLOOKUP('1.DATOS-PROD'!AJ$2,'1.PUNTOS'!$A$1:$B$63,2,0),0)</f>
        <v>0</v>
      </c>
      <c r="AB180" s="138">
        <f>IF('1.DATOS-PROD'!AK181="SI",VLOOKUP('1.DATOS-PROD'!AK$2,'1.PUNTOS'!$A$1:$B$63,2,0),0)</f>
        <v>0</v>
      </c>
      <c r="AC180" s="138">
        <f>IF('1.DATOS-PROD'!AL181="SI",VLOOKUP('1.DATOS-PROD'!AL$2,'1.PUNTOS'!$A$1:$B$63,2,0),0)</f>
        <v>0</v>
      </c>
      <c r="AD180" s="138">
        <f>IF('1.DATOS-PROD'!AM181="SI",VLOOKUP('1.DATOS-PROD'!AM$2,'1.PUNTOS'!$A$1:$B$63,2,0),0)</f>
        <v>0</v>
      </c>
      <c r="AE180" s="138">
        <f>IF('1.DATOS-PROD'!AN181="SI",VLOOKUP('1.DATOS-PROD'!AN$2,'1.PUNTOS'!$A$1:$B$63,2,0),0)</f>
        <v>0</v>
      </c>
      <c r="AF180" s="138">
        <f>IF('1.DATOS-PROD'!AO181="SI",VLOOKUP('1.DATOS-PROD'!AO$2,'1.PUNTOS'!$A$1:$B$63,2,0),0)</f>
        <v>0</v>
      </c>
      <c r="AG180" s="138">
        <f>IF('1.DATOS-PROD'!AP181="SI",VLOOKUP('1.DATOS-PROD'!AP$2,'1.PUNTOS'!$A$1:$B$63,2,0),0)</f>
        <v>0</v>
      </c>
      <c r="AH180" s="138">
        <f>IF('1.DATOS-PROD'!AQ181="SI",VLOOKUP('1.DATOS-PROD'!AQ$2,'1.PUNTOS'!$A$1:$B$63,2,0),0)</f>
        <v>0</v>
      </c>
      <c r="AI180" s="138">
        <f>IF('1.DATOS-PROD'!AR181="SI",VLOOKUP('1.DATOS-PROD'!AR$2,'1.PUNTOS'!$A$1:$B$63,2,0),0)</f>
        <v>0</v>
      </c>
      <c r="AJ180" s="138">
        <f>IF('1.DATOS-PROD'!AS181="SI",VLOOKUP('1.DATOS-PROD'!AS$2,'1.PUNTOS'!$A$1:$B$63,2,0),0)</f>
        <v>0</v>
      </c>
      <c r="AK180" s="138">
        <f>IF('1.DATOS-PROD'!AT181="SI",VLOOKUP('1.DATOS-PROD'!AT$2,'1.PUNTOS'!$A$1:$B$63,2,0),0)</f>
        <v>0</v>
      </c>
      <c r="AL180" s="138">
        <f>IF('1.DATOS-PROD'!AU181="SI",VLOOKUP('1.DATOS-PROD'!AU$2,'1.PUNTOS'!$A$1:$B$63,2,0),0)</f>
        <v>0</v>
      </c>
      <c r="AM180" s="138">
        <f>IF('1.DATOS-PROD'!AV181="SI",VLOOKUP('1.DATOS-PROD'!AV$2,'1.PUNTOS'!$A$1:$B$63,2,0),0)</f>
        <v>0</v>
      </c>
      <c r="AN180" s="138">
        <f>IF('1.DATOS-PROD'!AW181="SI",VLOOKUP('1.DATOS-PROD'!AW$2,'1.PUNTOS'!$A$1:$B$63,2,0),0)</f>
        <v>0</v>
      </c>
      <c r="AO180" s="138">
        <f>IF('1.DATOS-PROD'!AX181="SI",VLOOKUP('1.DATOS-PROD'!AX$2,'1.PUNTOS'!$A$1:$B$63,2,0),0)</f>
        <v>0</v>
      </c>
      <c r="AP180" s="138">
        <f>IF('1.DATOS-PROD'!AY181="SI",VLOOKUP('1.DATOS-PROD'!AY$2,'1.PUNTOS'!$A$1:$B$63,2,0),0)</f>
        <v>0</v>
      </c>
      <c r="AQ180" s="138">
        <f>IF('1.DATOS-PROD'!AZ181="SI",VLOOKUP('1.DATOS-PROD'!AZ$2,'1.PUNTOS'!$A$1:$B$63,2,0),0)</f>
        <v>0</v>
      </c>
      <c r="AR180" s="138">
        <f>IF('1.DATOS-PROD'!BA181="SI",VLOOKUP('1.DATOS-PROD'!BA$2,'1.PUNTOS'!$A$1:$B$63,2,0),0)</f>
        <v>0</v>
      </c>
      <c r="AS180" s="138">
        <f>IF('1.DATOS-PROD'!BB181="SI",VLOOKUP('1.DATOS-PROD'!BB$2,'1.PUNTOS'!$A$1:$B$63,2,0),0)</f>
        <v>0</v>
      </c>
      <c r="AT180" s="138">
        <f>IF('1.DATOS-PROD'!BC181="SI",VLOOKUP('1.DATOS-PROD'!BC$2,'1.PUNTOS'!$A$1:$B$63,2,0),0)</f>
        <v>0</v>
      </c>
      <c r="AU180" s="138">
        <f>IF('1.DATOS-PROD'!BD181="SI",VLOOKUP('1.DATOS-PROD'!BD$2,'1.PUNTOS'!$A$1:$B$63,2,0),0)</f>
        <v>0</v>
      </c>
      <c r="AV180" s="138">
        <f>IF('1.DATOS-PROD'!BE181="SI",VLOOKUP('1.DATOS-PROD'!BE$2,'1.PUNTOS'!$A$1:$B$63,2,0),0)</f>
        <v>0</v>
      </c>
      <c r="AW180" s="138">
        <f>IF('1.DATOS-PROD'!BF181="SI",VLOOKUP('1.DATOS-PROD'!BF$2,'1.PUNTOS'!$A$1:$B$63,2,0),0)</f>
        <v>0</v>
      </c>
      <c r="AX180" s="138">
        <f>IF('1.DATOS-PROD'!BG181="SI",VLOOKUP('1.DATOS-PROD'!BG$2,'1.PUNTOS'!$A$1:$B$63,2,0),0)</f>
        <v>0</v>
      </c>
      <c r="AY180" s="138">
        <f>IF('1.DATOS-PROD'!BH181="SI",VLOOKUP('1.DATOS-PROD'!BH$2,'1.PUNTOS'!$A$1:$B$63,2,0),0)</f>
        <v>0</v>
      </c>
      <c r="AZ180" s="138">
        <f>IF('1.DATOS-PROD'!BI181="SI",VLOOKUP('1.DATOS-PROD'!BI$2,'1.PUNTOS'!$A$1:$B$63,2,0),0)</f>
        <v>0</v>
      </c>
      <c r="BA180" s="138">
        <f>IF('1.DATOS-PROD'!BJ181="SI",VLOOKUP('1.DATOS-PROD'!BJ$2,'1.PUNTOS'!$A$1:$B$63,2,0),0)</f>
        <v>0</v>
      </c>
      <c r="BB180" s="138">
        <f>IF('1.DATOS-PROD'!BK181="SI",VLOOKUP('1.DATOS-PROD'!BK$2,'1.PUNTOS'!$A$1:$B$63,2,0),0)</f>
        <v>0</v>
      </c>
      <c r="BC180" s="138">
        <f>IF('1.DATOS-PROD'!BL181="SI",VLOOKUP('1.DATOS-PROD'!BL$2,'1.PUNTOS'!$A$1:$B$63,2,0),0)</f>
        <v>0</v>
      </c>
      <c r="BD180" s="138">
        <f>IF('1.DATOS-PROD'!BM181="SI",VLOOKUP('1.DATOS-PROD'!BM$2,'1.PUNTOS'!$A$1:$B$63,2,0),0)</f>
        <v>0</v>
      </c>
      <c r="BE180" s="138">
        <f>IF('1.DATOS-PROD'!BN181="SI",VLOOKUP('1.DATOS-PROD'!BN$2,'1.PUNTOS'!$A$1:$B$63,2,0),0)</f>
        <v>0</v>
      </c>
      <c r="BF180" s="138">
        <f>IF('1.DATOS-PROD'!BO181="SI",VLOOKUP('1.DATOS-PROD'!BO$2,'1.PUNTOS'!$A$1:$B$63,2,0),0)</f>
        <v>0</v>
      </c>
      <c r="BG180" s="138">
        <f>IF('1.DATOS-PROD'!BP181="SI",VLOOKUP('1.DATOS-PROD'!BP$2,'1.PUNTOS'!$A$1:$B$63,2,0),0)</f>
        <v>0</v>
      </c>
      <c r="BH180" s="138">
        <f>IF('1.DATOS-PROD'!BQ181="SI",VLOOKUP('1.DATOS-PROD'!BQ$2,'1.PUNTOS'!$A$1:$B$63,2,0),0)</f>
        <v>0</v>
      </c>
      <c r="BI180" s="138">
        <f>IF('1.DATOS-PROD'!BR181="SI",VLOOKUP('1.DATOS-PROD'!BR$2,'1.PUNTOS'!$A$1:$B$63,2,0),0)</f>
        <v>0</v>
      </c>
      <c r="BJ180" s="138">
        <f>IF('1.DATOS-PROD'!BS181="SI",VLOOKUP('1.DATOS-PROD'!BS$2,'1.PUNTOS'!$A$1:$B$63,2,0),0)</f>
        <v>0</v>
      </c>
      <c r="BK180" s="138">
        <f>IF('1.DATOS-PROD'!BT181="SI",VLOOKUP('1.DATOS-PROD'!BT$2,'1.PUNTOS'!$A$1:$B$63,2,0),0)</f>
        <v>0</v>
      </c>
    </row>
    <row r="181" spans="1:63" x14ac:dyDescent="0.25">
      <c r="A181">
        <f>'0.Consolidado general'!$A182</f>
        <v>0</v>
      </c>
      <c r="B181" s="138">
        <f>IF('1.DATOS-PROD'!K182="SI",VLOOKUP('1.DATOS-PROD'!K$2,'1.PUNTOS'!$A$1:$B$63,2,0),0)</f>
        <v>0</v>
      </c>
      <c r="C181" s="138">
        <f>IF('1.DATOS-PROD'!L182="SI",VLOOKUP('1.DATOS-PROD'!L$2,'1.PUNTOS'!$A$1:$B$63,2,0),0)</f>
        <v>0</v>
      </c>
      <c r="D181" s="138">
        <f>IF('1.DATOS-PROD'!M182="SI",VLOOKUP('1.DATOS-PROD'!M$2,'1.PUNTOS'!$A$1:$B$63,2,0),0)</f>
        <v>0</v>
      </c>
      <c r="E181" s="138">
        <f>IF('1.DATOS-PROD'!N182="SI",VLOOKUP('1.DATOS-PROD'!N$2,'1.PUNTOS'!$A$1:$B$63,2,0),0)</f>
        <v>0</v>
      </c>
      <c r="F181" s="138">
        <f>IF('1.DATOS-PROD'!O182="SI",VLOOKUP('1.DATOS-PROD'!O$2,'1.PUNTOS'!$A$1:$B$63,2,0),0)</f>
        <v>0</v>
      </c>
      <c r="G181" s="138">
        <f>IF('1.DATOS-PROD'!P182="SI",VLOOKUP('1.DATOS-PROD'!P$2,'1.PUNTOS'!$A$1:$B$63,2,0),0)</f>
        <v>0</v>
      </c>
      <c r="H181" s="138">
        <f>IF('1.DATOS-PROD'!Q182="SI",VLOOKUP('1.DATOS-PROD'!Q$2,'1.PUNTOS'!$A$1:$B$63,2,0),0)</f>
        <v>0</v>
      </c>
      <c r="I181" s="138">
        <f>IF('1.DATOS-PROD'!R182="SI",VLOOKUP('1.DATOS-PROD'!R$2,'1.PUNTOS'!$A$1:$B$63,2,0),0)</f>
        <v>0</v>
      </c>
      <c r="J181" s="138">
        <f>IF('1.DATOS-PROD'!S182="SI",VLOOKUP('1.DATOS-PROD'!S$2,'1.PUNTOS'!$A$1:$B$63,2,0),0)</f>
        <v>0</v>
      </c>
      <c r="K181" s="138">
        <f>IF('1.DATOS-PROD'!T182="SI",VLOOKUP('1.DATOS-PROD'!T$2,'1.PUNTOS'!$A$1:$B$63,2,0),0)</f>
        <v>0</v>
      </c>
      <c r="L181" s="138">
        <f>IF('1.DATOS-PROD'!U182="SI",VLOOKUP('1.DATOS-PROD'!U$2,'1.PUNTOS'!$A$1:$B$63,2,0),0)</f>
        <v>0</v>
      </c>
      <c r="M181" s="138">
        <f>IF('1.DATOS-PROD'!V182="SI",VLOOKUP('1.DATOS-PROD'!V$2,'1.PUNTOS'!$A$1:$B$63,2,0),0)</f>
        <v>0</v>
      </c>
      <c r="N181" s="138">
        <f>IF('1.DATOS-PROD'!W182="SI",VLOOKUP('1.DATOS-PROD'!W$2,'1.PUNTOS'!$A$1:$B$63,2,0),0)</f>
        <v>0</v>
      </c>
      <c r="O181" s="138">
        <f>IF('1.DATOS-PROD'!X182="SI",VLOOKUP('1.DATOS-PROD'!X$2,'1.PUNTOS'!$A$1:$B$63,2,0),0)</f>
        <v>0</v>
      </c>
      <c r="P181" s="138">
        <f>IF('1.DATOS-PROD'!Y182="SI",VLOOKUP('1.DATOS-PROD'!Y$2,'1.PUNTOS'!$A$1:$B$63,2,0),0)</f>
        <v>0</v>
      </c>
      <c r="Q181" s="138">
        <f>IF('1.DATOS-PROD'!Z182="SI",VLOOKUP('1.DATOS-PROD'!Z$2,'1.PUNTOS'!$A$1:$B$63,2,0),0)</f>
        <v>0</v>
      </c>
      <c r="R181" s="138">
        <f>IF('1.DATOS-PROD'!AA182="SI",VLOOKUP('1.DATOS-PROD'!AA$2,'1.PUNTOS'!$A$1:$B$63,2,0),0)</f>
        <v>0</v>
      </c>
      <c r="S181" s="138">
        <f>IF('1.DATOS-PROD'!AB182="SI",VLOOKUP('1.DATOS-PROD'!AB$2,'1.PUNTOS'!$A$1:$B$63,2,0),0)</f>
        <v>0</v>
      </c>
      <c r="T181" s="138">
        <f>IF('1.DATOS-PROD'!AC182="SI",VLOOKUP('1.DATOS-PROD'!AC$2,'1.PUNTOS'!$A$1:$B$63,2,0),0)</f>
        <v>0</v>
      </c>
      <c r="U181" s="138">
        <f>IF('1.DATOS-PROD'!AD182="SI",VLOOKUP('1.DATOS-PROD'!AD$2,'1.PUNTOS'!$A$1:$B$63,2,0),0)</f>
        <v>0</v>
      </c>
      <c r="V181" s="138">
        <f>IF('1.DATOS-PROD'!AE182="SI",VLOOKUP('1.DATOS-PROD'!AE$2,'1.PUNTOS'!$A$1:$B$63,2,0),0)</f>
        <v>0</v>
      </c>
      <c r="W181" s="138">
        <f>IF('1.DATOS-PROD'!AF182="SI",VLOOKUP('1.DATOS-PROD'!AF$2,'1.PUNTOS'!$A$1:$B$63,2,0),0)</f>
        <v>0</v>
      </c>
      <c r="X181" s="138">
        <f>IF('1.DATOS-PROD'!AG182="SI",VLOOKUP('1.DATOS-PROD'!AG$2,'1.PUNTOS'!$A$1:$B$63,2,0),0)</f>
        <v>0</v>
      </c>
      <c r="Y181" s="138">
        <f>IF('1.DATOS-PROD'!AH182="SI",VLOOKUP('1.DATOS-PROD'!AH$2,'1.PUNTOS'!$A$1:$B$63,2,0),0)</f>
        <v>0</v>
      </c>
      <c r="Z181" s="138">
        <f>IF('1.DATOS-PROD'!AI182="SI",VLOOKUP('1.DATOS-PROD'!AI$2,'1.PUNTOS'!$A$1:$B$63,2,0),0)</f>
        <v>0</v>
      </c>
      <c r="AA181" s="138">
        <f>IF('1.DATOS-PROD'!AJ182="SI",VLOOKUP('1.DATOS-PROD'!AJ$2,'1.PUNTOS'!$A$1:$B$63,2,0),0)</f>
        <v>0</v>
      </c>
      <c r="AB181" s="138">
        <f>IF('1.DATOS-PROD'!AK182="SI",VLOOKUP('1.DATOS-PROD'!AK$2,'1.PUNTOS'!$A$1:$B$63,2,0),0)</f>
        <v>0</v>
      </c>
      <c r="AC181" s="138">
        <f>IF('1.DATOS-PROD'!AL182="SI",VLOOKUP('1.DATOS-PROD'!AL$2,'1.PUNTOS'!$A$1:$B$63,2,0),0)</f>
        <v>0</v>
      </c>
      <c r="AD181" s="138">
        <f>IF('1.DATOS-PROD'!AM182="SI",VLOOKUP('1.DATOS-PROD'!AM$2,'1.PUNTOS'!$A$1:$B$63,2,0),0)</f>
        <v>0</v>
      </c>
      <c r="AE181" s="138">
        <f>IF('1.DATOS-PROD'!AN182="SI",VLOOKUP('1.DATOS-PROD'!AN$2,'1.PUNTOS'!$A$1:$B$63,2,0),0)</f>
        <v>0</v>
      </c>
      <c r="AF181" s="138">
        <f>IF('1.DATOS-PROD'!AO182="SI",VLOOKUP('1.DATOS-PROD'!AO$2,'1.PUNTOS'!$A$1:$B$63,2,0),0)</f>
        <v>0</v>
      </c>
      <c r="AG181" s="138">
        <f>IF('1.DATOS-PROD'!AP182="SI",VLOOKUP('1.DATOS-PROD'!AP$2,'1.PUNTOS'!$A$1:$B$63,2,0),0)</f>
        <v>0</v>
      </c>
      <c r="AH181" s="138">
        <f>IF('1.DATOS-PROD'!AQ182="SI",VLOOKUP('1.DATOS-PROD'!AQ$2,'1.PUNTOS'!$A$1:$B$63,2,0),0)</f>
        <v>0</v>
      </c>
      <c r="AI181" s="138">
        <f>IF('1.DATOS-PROD'!AR182="SI",VLOOKUP('1.DATOS-PROD'!AR$2,'1.PUNTOS'!$A$1:$B$63,2,0),0)</f>
        <v>0</v>
      </c>
      <c r="AJ181" s="138">
        <f>IF('1.DATOS-PROD'!AS182="SI",VLOOKUP('1.DATOS-PROD'!AS$2,'1.PUNTOS'!$A$1:$B$63,2,0),0)</f>
        <v>0</v>
      </c>
      <c r="AK181" s="138">
        <f>IF('1.DATOS-PROD'!AT182="SI",VLOOKUP('1.DATOS-PROD'!AT$2,'1.PUNTOS'!$A$1:$B$63,2,0),0)</f>
        <v>0</v>
      </c>
      <c r="AL181" s="138">
        <f>IF('1.DATOS-PROD'!AU182="SI",VLOOKUP('1.DATOS-PROD'!AU$2,'1.PUNTOS'!$A$1:$B$63,2,0),0)</f>
        <v>0</v>
      </c>
      <c r="AM181" s="138">
        <f>IF('1.DATOS-PROD'!AV182="SI",VLOOKUP('1.DATOS-PROD'!AV$2,'1.PUNTOS'!$A$1:$B$63,2,0),0)</f>
        <v>0</v>
      </c>
      <c r="AN181" s="138">
        <f>IF('1.DATOS-PROD'!AW182="SI",VLOOKUP('1.DATOS-PROD'!AW$2,'1.PUNTOS'!$A$1:$B$63,2,0),0)</f>
        <v>0</v>
      </c>
      <c r="AO181" s="138">
        <f>IF('1.DATOS-PROD'!AX182="SI",VLOOKUP('1.DATOS-PROD'!AX$2,'1.PUNTOS'!$A$1:$B$63,2,0),0)</f>
        <v>0</v>
      </c>
      <c r="AP181" s="138">
        <f>IF('1.DATOS-PROD'!AY182="SI",VLOOKUP('1.DATOS-PROD'!AY$2,'1.PUNTOS'!$A$1:$B$63,2,0),0)</f>
        <v>0</v>
      </c>
      <c r="AQ181" s="138">
        <f>IF('1.DATOS-PROD'!AZ182="SI",VLOOKUP('1.DATOS-PROD'!AZ$2,'1.PUNTOS'!$A$1:$B$63,2,0),0)</f>
        <v>0</v>
      </c>
      <c r="AR181" s="138">
        <f>IF('1.DATOS-PROD'!BA182="SI",VLOOKUP('1.DATOS-PROD'!BA$2,'1.PUNTOS'!$A$1:$B$63,2,0),0)</f>
        <v>0</v>
      </c>
      <c r="AS181" s="138">
        <f>IF('1.DATOS-PROD'!BB182="SI",VLOOKUP('1.DATOS-PROD'!BB$2,'1.PUNTOS'!$A$1:$B$63,2,0),0)</f>
        <v>0</v>
      </c>
      <c r="AT181" s="138">
        <f>IF('1.DATOS-PROD'!BC182="SI",VLOOKUP('1.DATOS-PROD'!BC$2,'1.PUNTOS'!$A$1:$B$63,2,0),0)</f>
        <v>0</v>
      </c>
      <c r="AU181" s="138">
        <f>IF('1.DATOS-PROD'!BD182="SI",VLOOKUP('1.DATOS-PROD'!BD$2,'1.PUNTOS'!$A$1:$B$63,2,0),0)</f>
        <v>0</v>
      </c>
      <c r="AV181" s="138">
        <f>IF('1.DATOS-PROD'!BE182="SI",VLOOKUP('1.DATOS-PROD'!BE$2,'1.PUNTOS'!$A$1:$B$63,2,0),0)</f>
        <v>0</v>
      </c>
      <c r="AW181" s="138">
        <f>IF('1.DATOS-PROD'!BF182="SI",VLOOKUP('1.DATOS-PROD'!BF$2,'1.PUNTOS'!$A$1:$B$63,2,0),0)</f>
        <v>0</v>
      </c>
      <c r="AX181" s="138">
        <f>IF('1.DATOS-PROD'!BG182="SI",VLOOKUP('1.DATOS-PROD'!BG$2,'1.PUNTOS'!$A$1:$B$63,2,0),0)</f>
        <v>0</v>
      </c>
      <c r="AY181" s="138">
        <f>IF('1.DATOS-PROD'!BH182="SI",VLOOKUP('1.DATOS-PROD'!BH$2,'1.PUNTOS'!$A$1:$B$63,2,0),0)</f>
        <v>0</v>
      </c>
      <c r="AZ181" s="138">
        <f>IF('1.DATOS-PROD'!BI182="SI",VLOOKUP('1.DATOS-PROD'!BI$2,'1.PUNTOS'!$A$1:$B$63,2,0),0)</f>
        <v>0</v>
      </c>
      <c r="BA181" s="138">
        <f>IF('1.DATOS-PROD'!BJ182="SI",VLOOKUP('1.DATOS-PROD'!BJ$2,'1.PUNTOS'!$A$1:$B$63,2,0),0)</f>
        <v>0</v>
      </c>
      <c r="BB181" s="138">
        <f>IF('1.DATOS-PROD'!BK182="SI",VLOOKUP('1.DATOS-PROD'!BK$2,'1.PUNTOS'!$A$1:$B$63,2,0),0)</f>
        <v>0</v>
      </c>
      <c r="BC181" s="138">
        <f>IF('1.DATOS-PROD'!BL182="SI",VLOOKUP('1.DATOS-PROD'!BL$2,'1.PUNTOS'!$A$1:$B$63,2,0),0)</f>
        <v>0</v>
      </c>
      <c r="BD181" s="138">
        <f>IF('1.DATOS-PROD'!BM182="SI",VLOOKUP('1.DATOS-PROD'!BM$2,'1.PUNTOS'!$A$1:$B$63,2,0),0)</f>
        <v>0</v>
      </c>
      <c r="BE181" s="138">
        <f>IF('1.DATOS-PROD'!BN182="SI",VLOOKUP('1.DATOS-PROD'!BN$2,'1.PUNTOS'!$A$1:$B$63,2,0),0)</f>
        <v>0</v>
      </c>
      <c r="BF181" s="138">
        <f>IF('1.DATOS-PROD'!BO182="SI",VLOOKUP('1.DATOS-PROD'!BO$2,'1.PUNTOS'!$A$1:$B$63,2,0),0)</f>
        <v>0</v>
      </c>
      <c r="BG181" s="138">
        <f>IF('1.DATOS-PROD'!BP182="SI",VLOOKUP('1.DATOS-PROD'!BP$2,'1.PUNTOS'!$A$1:$B$63,2,0),0)</f>
        <v>0</v>
      </c>
      <c r="BH181" s="138">
        <f>IF('1.DATOS-PROD'!BQ182="SI",VLOOKUP('1.DATOS-PROD'!BQ$2,'1.PUNTOS'!$A$1:$B$63,2,0),0)</f>
        <v>0</v>
      </c>
      <c r="BI181" s="138">
        <f>IF('1.DATOS-PROD'!BR182="SI",VLOOKUP('1.DATOS-PROD'!BR$2,'1.PUNTOS'!$A$1:$B$63,2,0),0)</f>
        <v>0</v>
      </c>
      <c r="BJ181" s="138">
        <f>IF('1.DATOS-PROD'!BS182="SI",VLOOKUP('1.DATOS-PROD'!BS$2,'1.PUNTOS'!$A$1:$B$63,2,0),0)</f>
        <v>0</v>
      </c>
      <c r="BK181" s="138">
        <f>IF('1.DATOS-PROD'!BT182="SI",VLOOKUP('1.DATOS-PROD'!BT$2,'1.PUNTOS'!$A$1:$B$63,2,0),0)</f>
        <v>0</v>
      </c>
    </row>
    <row r="182" spans="1:63" x14ac:dyDescent="0.25">
      <c r="A182">
        <f>'0.Consolidado general'!$A183</f>
        <v>0</v>
      </c>
      <c r="B182" s="138">
        <f>IF('1.DATOS-PROD'!K183="SI",VLOOKUP('1.DATOS-PROD'!K$2,'1.PUNTOS'!$A$1:$B$63,2,0),0)</f>
        <v>0</v>
      </c>
      <c r="C182" s="138">
        <f>IF('1.DATOS-PROD'!L183="SI",VLOOKUP('1.DATOS-PROD'!L$2,'1.PUNTOS'!$A$1:$B$63,2,0),0)</f>
        <v>0</v>
      </c>
      <c r="D182" s="138">
        <f>IF('1.DATOS-PROD'!M183="SI",VLOOKUP('1.DATOS-PROD'!M$2,'1.PUNTOS'!$A$1:$B$63,2,0),0)</f>
        <v>0</v>
      </c>
      <c r="E182" s="138">
        <f>IF('1.DATOS-PROD'!N183="SI",VLOOKUP('1.DATOS-PROD'!N$2,'1.PUNTOS'!$A$1:$B$63,2,0),0)</f>
        <v>0</v>
      </c>
      <c r="F182" s="138">
        <f>IF('1.DATOS-PROD'!O183="SI",VLOOKUP('1.DATOS-PROD'!O$2,'1.PUNTOS'!$A$1:$B$63,2,0),0)</f>
        <v>0</v>
      </c>
      <c r="G182" s="138">
        <f>IF('1.DATOS-PROD'!P183="SI",VLOOKUP('1.DATOS-PROD'!P$2,'1.PUNTOS'!$A$1:$B$63,2,0),0)</f>
        <v>0</v>
      </c>
      <c r="H182" s="138">
        <f>IF('1.DATOS-PROD'!Q183="SI",VLOOKUP('1.DATOS-PROD'!Q$2,'1.PUNTOS'!$A$1:$B$63,2,0),0)</f>
        <v>0</v>
      </c>
      <c r="I182" s="138">
        <f>IF('1.DATOS-PROD'!R183="SI",VLOOKUP('1.DATOS-PROD'!R$2,'1.PUNTOS'!$A$1:$B$63,2,0),0)</f>
        <v>0</v>
      </c>
      <c r="J182" s="138">
        <f>IF('1.DATOS-PROD'!S183="SI",VLOOKUP('1.DATOS-PROD'!S$2,'1.PUNTOS'!$A$1:$B$63,2,0),0)</f>
        <v>0</v>
      </c>
      <c r="K182" s="138">
        <f>IF('1.DATOS-PROD'!T183="SI",VLOOKUP('1.DATOS-PROD'!T$2,'1.PUNTOS'!$A$1:$B$63,2,0),0)</f>
        <v>0</v>
      </c>
      <c r="L182" s="138">
        <f>IF('1.DATOS-PROD'!U183="SI",VLOOKUP('1.DATOS-PROD'!U$2,'1.PUNTOS'!$A$1:$B$63,2,0),0)</f>
        <v>0</v>
      </c>
      <c r="M182" s="138">
        <f>IF('1.DATOS-PROD'!V183="SI",VLOOKUP('1.DATOS-PROD'!V$2,'1.PUNTOS'!$A$1:$B$63,2,0),0)</f>
        <v>0</v>
      </c>
      <c r="N182" s="138">
        <f>IF('1.DATOS-PROD'!W183="SI",VLOOKUP('1.DATOS-PROD'!W$2,'1.PUNTOS'!$A$1:$B$63,2,0),0)</f>
        <v>0</v>
      </c>
      <c r="O182" s="138">
        <f>IF('1.DATOS-PROD'!X183="SI",VLOOKUP('1.DATOS-PROD'!X$2,'1.PUNTOS'!$A$1:$B$63,2,0),0)</f>
        <v>0</v>
      </c>
      <c r="P182" s="138">
        <f>IF('1.DATOS-PROD'!Y183="SI",VLOOKUP('1.DATOS-PROD'!Y$2,'1.PUNTOS'!$A$1:$B$63,2,0),0)</f>
        <v>0</v>
      </c>
      <c r="Q182" s="138">
        <f>IF('1.DATOS-PROD'!Z183="SI",VLOOKUP('1.DATOS-PROD'!Z$2,'1.PUNTOS'!$A$1:$B$63,2,0),0)</f>
        <v>0</v>
      </c>
      <c r="R182" s="138">
        <f>IF('1.DATOS-PROD'!AA183="SI",VLOOKUP('1.DATOS-PROD'!AA$2,'1.PUNTOS'!$A$1:$B$63,2,0),0)</f>
        <v>0</v>
      </c>
      <c r="S182" s="138">
        <f>IF('1.DATOS-PROD'!AB183="SI",VLOOKUP('1.DATOS-PROD'!AB$2,'1.PUNTOS'!$A$1:$B$63,2,0),0)</f>
        <v>0</v>
      </c>
      <c r="T182" s="138">
        <f>IF('1.DATOS-PROD'!AC183="SI",VLOOKUP('1.DATOS-PROD'!AC$2,'1.PUNTOS'!$A$1:$B$63,2,0),0)</f>
        <v>0</v>
      </c>
      <c r="U182" s="138">
        <f>IF('1.DATOS-PROD'!AD183="SI",VLOOKUP('1.DATOS-PROD'!AD$2,'1.PUNTOS'!$A$1:$B$63,2,0),0)</f>
        <v>0</v>
      </c>
      <c r="V182" s="138">
        <f>IF('1.DATOS-PROD'!AE183="SI",VLOOKUP('1.DATOS-PROD'!AE$2,'1.PUNTOS'!$A$1:$B$63,2,0),0)</f>
        <v>0</v>
      </c>
      <c r="W182" s="138">
        <f>IF('1.DATOS-PROD'!AF183="SI",VLOOKUP('1.DATOS-PROD'!AF$2,'1.PUNTOS'!$A$1:$B$63,2,0),0)</f>
        <v>0</v>
      </c>
      <c r="X182" s="138">
        <f>IF('1.DATOS-PROD'!AG183="SI",VLOOKUP('1.DATOS-PROD'!AG$2,'1.PUNTOS'!$A$1:$B$63,2,0),0)</f>
        <v>0</v>
      </c>
      <c r="Y182" s="138">
        <f>IF('1.DATOS-PROD'!AH183="SI",VLOOKUP('1.DATOS-PROD'!AH$2,'1.PUNTOS'!$A$1:$B$63,2,0),0)</f>
        <v>0</v>
      </c>
      <c r="Z182" s="138">
        <f>IF('1.DATOS-PROD'!AI183="SI",VLOOKUP('1.DATOS-PROD'!AI$2,'1.PUNTOS'!$A$1:$B$63,2,0),0)</f>
        <v>0</v>
      </c>
      <c r="AA182" s="138">
        <f>IF('1.DATOS-PROD'!AJ183="SI",VLOOKUP('1.DATOS-PROD'!AJ$2,'1.PUNTOS'!$A$1:$B$63,2,0),0)</f>
        <v>0</v>
      </c>
      <c r="AB182" s="138">
        <f>IF('1.DATOS-PROD'!AK183="SI",VLOOKUP('1.DATOS-PROD'!AK$2,'1.PUNTOS'!$A$1:$B$63,2,0),0)</f>
        <v>0</v>
      </c>
      <c r="AC182" s="138">
        <f>IF('1.DATOS-PROD'!AL183="SI",VLOOKUP('1.DATOS-PROD'!AL$2,'1.PUNTOS'!$A$1:$B$63,2,0),0)</f>
        <v>0</v>
      </c>
      <c r="AD182" s="138">
        <f>IF('1.DATOS-PROD'!AM183="SI",VLOOKUP('1.DATOS-PROD'!AM$2,'1.PUNTOS'!$A$1:$B$63,2,0),0)</f>
        <v>0</v>
      </c>
      <c r="AE182" s="138">
        <f>IF('1.DATOS-PROD'!AN183="SI",VLOOKUP('1.DATOS-PROD'!AN$2,'1.PUNTOS'!$A$1:$B$63,2,0),0)</f>
        <v>0</v>
      </c>
      <c r="AF182" s="138">
        <f>IF('1.DATOS-PROD'!AO183="SI",VLOOKUP('1.DATOS-PROD'!AO$2,'1.PUNTOS'!$A$1:$B$63,2,0),0)</f>
        <v>0</v>
      </c>
      <c r="AG182" s="138">
        <f>IF('1.DATOS-PROD'!AP183="SI",VLOOKUP('1.DATOS-PROD'!AP$2,'1.PUNTOS'!$A$1:$B$63,2,0),0)</f>
        <v>0</v>
      </c>
      <c r="AH182" s="138">
        <f>IF('1.DATOS-PROD'!AQ183="SI",VLOOKUP('1.DATOS-PROD'!AQ$2,'1.PUNTOS'!$A$1:$B$63,2,0),0)</f>
        <v>0</v>
      </c>
      <c r="AI182" s="138">
        <f>IF('1.DATOS-PROD'!AR183="SI",VLOOKUP('1.DATOS-PROD'!AR$2,'1.PUNTOS'!$A$1:$B$63,2,0),0)</f>
        <v>0</v>
      </c>
      <c r="AJ182" s="138">
        <f>IF('1.DATOS-PROD'!AS183="SI",VLOOKUP('1.DATOS-PROD'!AS$2,'1.PUNTOS'!$A$1:$B$63,2,0),0)</f>
        <v>0</v>
      </c>
      <c r="AK182" s="138">
        <f>IF('1.DATOS-PROD'!AT183="SI",VLOOKUP('1.DATOS-PROD'!AT$2,'1.PUNTOS'!$A$1:$B$63,2,0),0)</f>
        <v>0</v>
      </c>
      <c r="AL182" s="138">
        <f>IF('1.DATOS-PROD'!AU183="SI",VLOOKUP('1.DATOS-PROD'!AU$2,'1.PUNTOS'!$A$1:$B$63,2,0),0)</f>
        <v>0</v>
      </c>
      <c r="AM182" s="138">
        <f>IF('1.DATOS-PROD'!AV183="SI",VLOOKUP('1.DATOS-PROD'!AV$2,'1.PUNTOS'!$A$1:$B$63,2,0),0)</f>
        <v>0</v>
      </c>
      <c r="AN182" s="138">
        <f>IF('1.DATOS-PROD'!AW183="SI",VLOOKUP('1.DATOS-PROD'!AW$2,'1.PUNTOS'!$A$1:$B$63,2,0),0)</f>
        <v>0</v>
      </c>
      <c r="AO182" s="138">
        <f>IF('1.DATOS-PROD'!AX183="SI",VLOOKUP('1.DATOS-PROD'!AX$2,'1.PUNTOS'!$A$1:$B$63,2,0),0)</f>
        <v>0</v>
      </c>
      <c r="AP182" s="138">
        <f>IF('1.DATOS-PROD'!AY183="SI",VLOOKUP('1.DATOS-PROD'!AY$2,'1.PUNTOS'!$A$1:$B$63,2,0),0)</f>
        <v>0</v>
      </c>
      <c r="AQ182" s="138">
        <f>IF('1.DATOS-PROD'!AZ183="SI",VLOOKUP('1.DATOS-PROD'!AZ$2,'1.PUNTOS'!$A$1:$B$63,2,0),0)</f>
        <v>0</v>
      </c>
      <c r="AR182" s="138">
        <f>IF('1.DATOS-PROD'!BA183="SI",VLOOKUP('1.DATOS-PROD'!BA$2,'1.PUNTOS'!$A$1:$B$63,2,0),0)</f>
        <v>0</v>
      </c>
      <c r="AS182" s="138">
        <f>IF('1.DATOS-PROD'!BB183="SI",VLOOKUP('1.DATOS-PROD'!BB$2,'1.PUNTOS'!$A$1:$B$63,2,0),0)</f>
        <v>0</v>
      </c>
      <c r="AT182" s="138">
        <f>IF('1.DATOS-PROD'!BC183="SI",VLOOKUP('1.DATOS-PROD'!BC$2,'1.PUNTOS'!$A$1:$B$63,2,0),0)</f>
        <v>0</v>
      </c>
      <c r="AU182" s="138">
        <f>IF('1.DATOS-PROD'!BD183="SI",VLOOKUP('1.DATOS-PROD'!BD$2,'1.PUNTOS'!$A$1:$B$63,2,0),0)</f>
        <v>0</v>
      </c>
      <c r="AV182" s="138">
        <f>IF('1.DATOS-PROD'!BE183="SI",VLOOKUP('1.DATOS-PROD'!BE$2,'1.PUNTOS'!$A$1:$B$63,2,0),0)</f>
        <v>0</v>
      </c>
      <c r="AW182" s="138">
        <f>IF('1.DATOS-PROD'!BF183="SI",VLOOKUP('1.DATOS-PROD'!BF$2,'1.PUNTOS'!$A$1:$B$63,2,0),0)</f>
        <v>0</v>
      </c>
      <c r="AX182" s="138">
        <f>IF('1.DATOS-PROD'!BG183="SI",VLOOKUP('1.DATOS-PROD'!BG$2,'1.PUNTOS'!$A$1:$B$63,2,0),0)</f>
        <v>0</v>
      </c>
      <c r="AY182" s="138">
        <f>IF('1.DATOS-PROD'!BH183="SI",VLOOKUP('1.DATOS-PROD'!BH$2,'1.PUNTOS'!$A$1:$B$63,2,0),0)</f>
        <v>0</v>
      </c>
      <c r="AZ182" s="138">
        <f>IF('1.DATOS-PROD'!BI183="SI",VLOOKUP('1.DATOS-PROD'!BI$2,'1.PUNTOS'!$A$1:$B$63,2,0),0)</f>
        <v>0</v>
      </c>
      <c r="BA182" s="138">
        <f>IF('1.DATOS-PROD'!BJ183="SI",VLOOKUP('1.DATOS-PROD'!BJ$2,'1.PUNTOS'!$A$1:$B$63,2,0),0)</f>
        <v>0</v>
      </c>
      <c r="BB182" s="138">
        <f>IF('1.DATOS-PROD'!BK183="SI",VLOOKUP('1.DATOS-PROD'!BK$2,'1.PUNTOS'!$A$1:$B$63,2,0),0)</f>
        <v>0</v>
      </c>
      <c r="BC182" s="138">
        <f>IF('1.DATOS-PROD'!BL183="SI",VLOOKUP('1.DATOS-PROD'!BL$2,'1.PUNTOS'!$A$1:$B$63,2,0),0)</f>
        <v>0</v>
      </c>
      <c r="BD182" s="138">
        <f>IF('1.DATOS-PROD'!BM183="SI",VLOOKUP('1.DATOS-PROD'!BM$2,'1.PUNTOS'!$A$1:$B$63,2,0),0)</f>
        <v>0</v>
      </c>
      <c r="BE182" s="138">
        <f>IF('1.DATOS-PROD'!BN183="SI",VLOOKUP('1.DATOS-PROD'!BN$2,'1.PUNTOS'!$A$1:$B$63,2,0),0)</f>
        <v>0</v>
      </c>
      <c r="BF182" s="138">
        <f>IF('1.DATOS-PROD'!BO183="SI",VLOOKUP('1.DATOS-PROD'!BO$2,'1.PUNTOS'!$A$1:$B$63,2,0),0)</f>
        <v>0</v>
      </c>
      <c r="BG182" s="138">
        <f>IF('1.DATOS-PROD'!BP183="SI",VLOOKUP('1.DATOS-PROD'!BP$2,'1.PUNTOS'!$A$1:$B$63,2,0),0)</f>
        <v>0</v>
      </c>
      <c r="BH182" s="138">
        <f>IF('1.DATOS-PROD'!BQ183="SI",VLOOKUP('1.DATOS-PROD'!BQ$2,'1.PUNTOS'!$A$1:$B$63,2,0),0)</f>
        <v>0</v>
      </c>
      <c r="BI182" s="138">
        <f>IF('1.DATOS-PROD'!BR183="SI",VLOOKUP('1.DATOS-PROD'!BR$2,'1.PUNTOS'!$A$1:$B$63,2,0),0)</f>
        <v>0</v>
      </c>
      <c r="BJ182" s="138">
        <f>IF('1.DATOS-PROD'!BS183="SI",VLOOKUP('1.DATOS-PROD'!BS$2,'1.PUNTOS'!$A$1:$B$63,2,0),0)</f>
        <v>0</v>
      </c>
      <c r="BK182" s="138">
        <f>IF('1.DATOS-PROD'!BT183="SI",VLOOKUP('1.DATOS-PROD'!BT$2,'1.PUNTOS'!$A$1:$B$63,2,0),0)</f>
        <v>0</v>
      </c>
    </row>
    <row r="183" spans="1:63" x14ac:dyDescent="0.25">
      <c r="A183">
        <f>'0.Consolidado general'!$A184</f>
        <v>0</v>
      </c>
      <c r="B183" s="138">
        <f>IF('1.DATOS-PROD'!K184="SI",VLOOKUP('1.DATOS-PROD'!K$2,'1.PUNTOS'!$A$1:$B$63,2,0),0)</f>
        <v>0</v>
      </c>
      <c r="C183" s="138">
        <f>IF('1.DATOS-PROD'!L184="SI",VLOOKUP('1.DATOS-PROD'!L$2,'1.PUNTOS'!$A$1:$B$63,2,0),0)</f>
        <v>0</v>
      </c>
      <c r="D183" s="138">
        <f>IF('1.DATOS-PROD'!M184="SI",VLOOKUP('1.DATOS-PROD'!M$2,'1.PUNTOS'!$A$1:$B$63,2,0),0)</f>
        <v>0</v>
      </c>
      <c r="E183" s="138">
        <f>IF('1.DATOS-PROD'!N184="SI",VLOOKUP('1.DATOS-PROD'!N$2,'1.PUNTOS'!$A$1:$B$63,2,0),0)</f>
        <v>0</v>
      </c>
      <c r="F183" s="138">
        <f>IF('1.DATOS-PROD'!O184="SI",VLOOKUP('1.DATOS-PROD'!O$2,'1.PUNTOS'!$A$1:$B$63,2,0),0)</f>
        <v>0</v>
      </c>
      <c r="G183" s="138">
        <f>IF('1.DATOS-PROD'!P184="SI",VLOOKUP('1.DATOS-PROD'!P$2,'1.PUNTOS'!$A$1:$B$63,2,0),0)</f>
        <v>0</v>
      </c>
      <c r="H183" s="138">
        <f>IF('1.DATOS-PROD'!Q184="SI",VLOOKUP('1.DATOS-PROD'!Q$2,'1.PUNTOS'!$A$1:$B$63,2,0),0)</f>
        <v>0</v>
      </c>
      <c r="I183" s="138">
        <f>IF('1.DATOS-PROD'!R184="SI",VLOOKUP('1.DATOS-PROD'!R$2,'1.PUNTOS'!$A$1:$B$63,2,0),0)</f>
        <v>0</v>
      </c>
      <c r="J183" s="138">
        <f>IF('1.DATOS-PROD'!S184="SI",VLOOKUP('1.DATOS-PROD'!S$2,'1.PUNTOS'!$A$1:$B$63,2,0),0)</f>
        <v>0</v>
      </c>
      <c r="K183" s="138">
        <f>IF('1.DATOS-PROD'!T184="SI",VLOOKUP('1.DATOS-PROD'!T$2,'1.PUNTOS'!$A$1:$B$63,2,0),0)</f>
        <v>0</v>
      </c>
      <c r="L183" s="138">
        <f>IF('1.DATOS-PROD'!U184="SI",VLOOKUP('1.DATOS-PROD'!U$2,'1.PUNTOS'!$A$1:$B$63,2,0),0)</f>
        <v>0</v>
      </c>
      <c r="M183" s="138">
        <f>IF('1.DATOS-PROD'!V184="SI",VLOOKUP('1.DATOS-PROD'!V$2,'1.PUNTOS'!$A$1:$B$63,2,0),0)</f>
        <v>0</v>
      </c>
      <c r="N183" s="138">
        <f>IF('1.DATOS-PROD'!W184="SI",VLOOKUP('1.DATOS-PROD'!W$2,'1.PUNTOS'!$A$1:$B$63,2,0),0)</f>
        <v>0</v>
      </c>
      <c r="O183" s="138">
        <f>IF('1.DATOS-PROD'!X184="SI",VLOOKUP('1.DATOS-PROD'!X$2,'1.PUNTOS'!$A$1:$B$63,2,0),0)</f>
        <v>0</v>
      </c>
      <c r="P183" s="138">
        <f>IF('1.DATOS-PROD'!Y184="SI",VLOOKUP('1.DATOS-PROD'!Y$2,'1.PUNTOS'!$A$1:$B$63,2,0),0)</f>
        <v>0</v>
      </c>
      <c r="Q183" s="138">
        <f>IF('1.DATOS-PROD'!Z184="SI",VLOOKUP('1.DATOS-PROD'!Z$2,'1.PUNTOS'!$A$1:$B$63,2,0),0)</f>
        <v>0</v>
      </c>
      <c r="R183" s="138">
        <f>IF('1.DATOS-PROD'!AA184="SI",VLOOKUP('1.DATOS-PROD'!AA$2,'1.PUNTOS'!$A$1:$B$63,2,0),0)</f>
        <v>0</v>
      </c>
      <c r="S183" s="138">
        <f>IF('1.DATOS-PROD'!AB184="SI",VLOOKUP('1.DATOS-PROD'!AB$2,'1.PUNTOS'!$A$1:$B$63,2,0),0)</f>
        <v>0</v>
      </c>
      <c r="T183" s="138">
        <f>IF('1.DATOS-PROD'!AC184="SI",VLOOKUP('1.DATOS-PROD'!AC$2,'1.PUNTOS'!$A$1:$B$63,2,0),0)</f>
        <v>0</v>
      </c>
      <c r="U183" s="138">
        <f>IF('1.DATOS-PROD'!AD184="SI",VLOOKUP('1.DATOS-PROD'!AD$2,'1.PUNTOS'!$A$1:$B$63,2,0),0)</f>
        <v>0</v>
      </c>
      <c r="V183" s="138">
        <f>IF('1.DATOS-PROD'!AE184="SI",VLOOKUP('1.DATOS-PROD'!AE$2,'1.PUNTOS'!$A$1:$B$63,2,0),0)</f>
        <v>0</v>
      </c>
      <c r="W183" s="138">
        <f>IF('1.DATOS-PROD'!AF184="SI",VLOOKUP('1.DATOS-PROD'!AF$2,'1.PUNTOS'!$A$1:$B$63,2,0),0)</f>
        <v>0</v>
      </c>
      <c r="X183" s="138">
        <f>IF('1.DATOS-PROD'!AG184="SI",VLOOKUP('1.DATOS-PROD'!AG$2,'1.PUNTOS'!$A$1:$B$63,2,0),0)</f>
        <v>0</v>
      </c>
      <c r="Y183" s="138">
        <f>IF('1.DATOS-PROD'!AH184="SI",VLOOKUP('1.DATOS-PROD'!AH$2,'1.PUNTOS'!$A$1:$B$63,2,0),0)</f>
        <v>0</v>
      </c>
      <c r="Z183" s="138">
        <f>IF('1.DATOS-PROD'!AI184="SI",VLOOKUP('1.DATOS-PROD'!AI$2,'1.PUNTOS'!$A$1:$B$63,2,0),0)</f>
        <v>0</v>
      </c>
      <c r="AA183" s="138">
        <f>IF('1.DATOS-PROD'!AJ184="SI",VLOOKUP('1.DATOS-PROD'!AJ$2,'1.PUNTOS'!$A$1:$B$63,2,0),0)</f>
        <v>0</v>
      </c>
      <c r="AB183" s="138">
        <f>IF('1.DATOS-PROD'!AK184="SI",VLOOKUP('1.DATOS-PROD'!AK$2,'1.PUNTOS'!$A$1:$B$63,2,0),0)</f>
        <v>0</v>
      </c>
      <c r="AC183" s="138">
        <f>IF('1.DATOS-PROD'!AL184="SI",VLOOKUP('1.DATOS-PROD'!AL$2,'1.PUNTOS'!$A$1:$B$63,2,0),0)</f>
        <v>0</v>
      </c>
      <c r="AD183" s="138">
        <f>IF('1.DATOS-PROD'!AM184="SI",VLOOKUP('1.DATOS-PROD'!AM$2,'1.PUNTOS'!$A$1:$B$63,2,0),0)</f>
        <v>0</v>
      </c>
      <c r="AE183" s="138">
        <f>IF('1.DATOS-PROD'!AN184="SI",VLOOKUP('1.DATOS-PROD'!AN$2,'1.PUNTOS'!$A$1:$B$63,2,0),0)</f>
        <v>0</v>
      </c>
      <c r="AF183" s="138">
        <f>IF('1.DATOS-PROD'!AO184="SI",VLOOKUP('1.DATOS-PROD'!AO$2,'1.PUNTOS'!$A$1:$B$63,2,0),0)</f>
        <v>0</v>
      </c>
      <c r="AG183" s="138">
        <f>IF('1.DATOS-PROD'!AP184="SI",VLOOKUP('1.DATOS-PROD'!AP$2,'1.PUNTOS'!$A$1:$B$63,2,0),0)</f>
        <v>0</v>
      </c>
      <c r="AH183" s="138">
        <f>IF('1.DATOS-PROD'!AQ184="SI",VLOOKUP('1.DATOS-PROD'!AQ$2,'1.PUNTOS'!$A$1:$B$63,2,0),0)</f>
        <v>0</v>
      </c>
      <c r="AI183" s="138">
        <f>IF('1.DATOS-PROD'!AR184="SI",VLOOKUP('1.DATOS-PROD'!AR$2,'1.PUNTOS'!$A$1:$B$63,2,0),0)</f>
        <v>0</v>
      </c>
      <c r="AJ183" s="138">
        <f>IF('1.DATOS-PROD'!AS184="SI",VLOOKUP('1.DATOS-PROD'!AS$2,'1.PUNTOS'!$A$1:$B$63,2,0),0)</f>
        <v>0</v>
      </c>
      <c r="AK183" s="138">
        <f>IF('1.DATOS-PROD'!AT184="SI",VLOOKUP('1.DATOS-PROD'!AT$2,'1.PUNTOS'!$A$1:$B$63,2,0),0)</f>
        <v>0</v>
      </c>
      <c r="AL183" s="138">
        <f>IF('1.DATOS-PROD'!AU184="SI",VLOOKUP('1.DATOS-PROD'!AU$2,'1.PUNTOS'!$A$1:$B$63,2,0),0)</f>
        <v>0</v>
      </c>
      <c r="AM183" s="138">
        <f>IF('1.DATOS-PROD'!AV184="SI",VLOOKUP('1.DATOS-PROD'!AV$2,'1.PUNTOS'!$A$1:$B$63,2,0),0)</f>
        <v>0</v>
      </c>
      <c r="AN183" s="138">
        <f>IF('1.DATOS-PROD'!AW184="SI",VLOOKUP('1.DATOS-PROD'!AW$2,'1.PUNTOS'!$A$1:$B$63,2,0),0)</f>
        <v>0</v>
      </c>
      <c r="AO183" s="138">
        <f>IF('1.DATOS-PROD'!AX184="SI",VLOOKUP('1.DATOS-PROD'!AX$2,'1.PUNTOS'!$A$1:$B$63,2,0),0)</f>
        <v>0</v>
      </c>
      <c r="AP183" s="138">
        <f>IF('1.DATOS-PROD'!AY184="SI",VLOOKUP('1.DATOS-PROD'!AY$2,'1.PUNTOS'!$A$1:$B$63,2,0),0)</f>
        <v>0</v>
      </c>
      <c r="AQ183" s="138">
        <f>IF('1.DATOS-PROD'!AZ184="SI",VLOOKUP('1.DATOS-PROD'!AZ$2,'1.PUNTOS'!$A$1:$B$63,2,0),0)</f>
        <v>0</v>
      </c>
      <c r="AR183" s="138">
        <f>IF('1.DATOS-PROD'!BA184="SI",VLOOKUP('1.DATOS-PROD'!BA$2,'1.PUNTOS'!$A$1:$B$63,2,0),0)</f>
        <v>0</v>
      </c>
      <c r="AS183" s="138">
        <f>IF('1.DATOS-PROD'!BB184="SI",VLOOKUP('1.DATOS-PROD'!BB$2,'1.PUNTOS'!$A$1:$B$63,2,0),0)</f>
        <v>0</v>
      </c>
      <c r="AT183" s="138">
        <f>IF('1.DATOS-PROD'!BC184="SI",VLOOKUP('1.DATOS-PROD'!BC$2,'1.PUNTOS'!$A$1:$B$63,2,0),0)</f>
        <v>0</v>
      </c>
      <c r="AU183" s="138">
        <f>IF('1.DATOS-PROD'!BD184="SI",VLOOKUP('1.DATOS-PROD'!BD$2,'1.PUNTOS'!$A$1:$B$63,2,0),0)</f>
        <v>0</v>
      </c>
      <c r="AV183" s="138">
        <f>IF('1.DATOS-PROD'!BE184="SI",VLOOKUP('1.DATOS-PROD'!BE$2,'1.PUNTOS'!$A$1:$B$63,2,0),0)</f>
        <v>0</v>
      </c>
      <c r="AW183" s="138">
        <f>IF('1.DATOS-PROD'!BF184="SI",VLOOKUP('1.DATOS-PROD'!BF$2,'1.PUNTOS'!$A$1:$B$63,2,0),0)</f>
        <v>0</v>
      </c>
      <c r="AX183" s="138">
        <f>IF('1.DATOS-PROD'!BG184="SI",VLOOKUP('1.DATOS-PROD'!BG$2,'1.PUNTOS'!$A$1:$B$63,2,0),0)</f>
        <v>0</v>
      </c>
      <c r="AY183" s="138">
        <f>IF('1.DATOS-PROD'!BH184="SI",VLOOKUP('1.DATOS-PROD'!BH$2,'1.PUNTOS'!$A$1:$B$63,2,0),0)</f>
        <v>0</v>
      </c>
      <c r="AZ183" s="138">
        <f>IF('1.DATOS-PROD'!BI184="SI",VLOOKUP('1.DATOS-PROD'!BI$2,'1.PUNTOS'!$A$1:$B$63,2,0),0)</f>
        <v>0</v>
      </c>
      <c r="BA183" s="138">
        <f>IF('1.DATOS-PROD'!BJ184="SI",VLOOKUP('1.DATOS-PROD'!BJ$2,'1.PUNTOS'!$A$1:$B$63,2,0),0)</f>
        <v>0</v>
      </c>
      <c r="BB183" s="138">
        <f>IF('1.DATOS-PROD'!BK184="SI",VLOOKUP('1.DATOS-PROD'!BK$2,'1.PUNTOS'!$A$1:$B$63,2,0),0)</f>
        <v>0</v>
      </c>
      <c r="BC183" s="138">
        <f>IF('1.DATOS-PROD'!BL184="SI",VLOOKUP('1.DATOS-PROD'!BL$2,'1.PUNTOS'!$A$1:$B$63,2,0),0)</f>
        <v>0</v>
      </c>
      <c r="BD183" s="138">
        <f>IF('1.DATOS-PROD'!BM184="SI",VLOOKUP('1.DATOS-PROD'!BM$2,'1.PUNTOS'!$A$1:$B$63,2,0),0)</f>
        <v>0</v>
      </c>
      <c r="BE183" s="138">
        <f>IF('1.DATOS-PROD'!BN184="SI",VLOOKUP('1.DATOS-PROD'!BN$2,'1.PUNTOS'!$A$1:$B$63,2,0),0)</f>
        <v>0</v>
      </c>
      <c r="BF183" s="138">
        <f>IF('1.DATOS-PROD'!BO184="SI",VLOOKUP('1.DATOS-PROD'!BO$2,'1.PUNTOS'!$A$1:$B$63,2,0),0)</f>
        <v>0</v>
      </c>
      <c r="BG183" s="138">
        <f>IF('1.DATOS-PROD'!BP184="SI",VLOOKUP('1.DATOS-PROD'!BP$2,'1.PUNTOS'!$A$1:$B$63,2,0),0)</f>
        <v>0</v>
      </c>
      <c r="BH183" s="138">
        <f>IF('1.DATOS-PROD'!BQ184="SI",VLOOKUP('1.DATOS-PROD'!BQ$2,'1.PUNTOS'!$A$1:$B$63,2,0),0)</f>
        <v>0</v>
      </c>
      <c r="BI183" s="138">
        <f>IF('1.DATOS-PROD'!BR184="SI",VLOOKUP('1.DATOS-PROD'!BR$2,'1.PUNTOS'!$A$1:$B$63,2,0),0)</f>
        <v>0</v>
      </c>
      <c r="BJ183" s="138">
        <f>IF('1.DATOS-PROD'!BS184="SI",VLOOKUP('1.DATOS-PROD'!BS$2,'1.PUNTOS'!$A$1:$B$63,2,0),0)</f>
        <v>0</v>
      </c>
      <c r="BK183" s="138">
        <f>IF('1.DATOS-PROD'!BT184="SI",VLOOKUP('1.DATOS-PROD'!BT$2,'1.PUNTOS'!$A$1:$B$63,2,0),0)</f>
        <v>0</v>
      </c>
    </row>
    <row r="184" spans="1:63" x14ac:dyDescent="0.25">
      <c r="A184">
        <f>'0.Consolidado general'!$A185</f>
        <v>0</v>
      </c>
      <c r="B184" s="138">
        <f>IF('1.DATOS-PROD'!K185="SI",VLOOKUP('1.DATOS-PROD'!K$2,'1.PUNTOS'!$A$1:$B$63,2,0),0)</f>
        <v>0</v>
      </c>
      <c r="C184" s="138">
        <f>IF('1.DATOS-PROD'!L185="SI",VLOOKUP('1.DATOS-PROD'!L$2,'1.PUNTOS'!$A$1:$B$63,2,0),0)</f>
        <v>0</v>
      </c>
      <c r="D184" s="138">
        <f>IF('1.DATOS-PROD'!M185="SI",VLOOKUP('1.DATOS-PROD'!M$2,'1.PUNTOS'!$A$1:$B$63,2,0),0)</f>
        <v>0</v>
      </c>
      <c r="E184" s="138">
        <f>IF('1.DATOS-PROD'!N185="SI",VLOOKUP('1.DATOS-PROD'!N$2,'1.PUNTOS'!$A$1:$B$63,2,0),0)</f>
        <v>0</v>
      </c>
      <c r="F184" s="138">
        <f>IF('1.DATOS-PROD'!O185="SI",VLOOKUP('1.DATOS-PROD'!O$2,'1.PUNTOS'!$A$1:$B$63,2,0),0)</f>
        <v>0</v>
      </c>
      <c r="G184" s="138">
        <f>IF('1.DATOS-PROD'!P185="SI",VLOOKUP('1.DATOS-PROD'!P$2,'1.PUNTOS'!$A$1:$B$63,2,0),0)</f>
        <v>0</v>
      </c>
      <c r="H184" s="138">
        <f>IF('1.DATOS-PROD'!Q185="SI",VLOOKUP('1.DATOS-PROD'!Q$2,'1.PUNTOS'!$A$1:$B$63,2,0),0)</f>
        <v>0</v>
      </c>
      <c r="I184" s="138">
        <f>IF('1.DATOS-PROD'!R185="SI",VLOOKUP('1.DATOS-PROD'!R$2,'1.PUNTOS'!$A$1:$B$63,2,0),0)</f>
        <v>0</v>
      </c>
      <c r="J184" s="138">
        <f>IF('1.DATOS-PROD'!S185="SI",VLOOKUP('1.DATOS-PROD'!S$2,'1.PUNTOS'!$A$1:$B$63,2,0),0)</f>
        <v>0</v>
      </c>
      <c r="K184" s="138">
        <f>IF('1.DATOS-PROD'!T185="SI",VLOOKUP('1.DATOS-PROD'!T$2,'1.PUNTOS'!$A$1:$B$63,2,0),0)</f>
        <v>0</v>
      </c>
      <c r="L184" s="138">
        <f>IF('1.DATOS-PROD'!U185="SI",VLOOKUP('1.DATOS-PROD'!U$2,'1.PUNTOS'!$A$1:$B$63,2,0),0)</f>
        <v>0</v>
      </c>
      <c r="M184" s="138">
        <f>IF('1.DATOS-PROD'!V185="SI",VLOOKUP('1.DATOS-PROD'!V$2,'1.PUNTOS'!$A$1:$B$63,2,0),0)</f>
        <v>0</v>
      </c>
      <c r="N184" s="138">
        <f>IF('1.DATOS-PROD'!W185="SI",VLOOKUP('1.DATOS-PROD'!W$2,'1.PUNTOS'!$A$1:$B$63,2,0),0)</f>
        <v>0</v>
      </c>
      <c r="O184" s="138">
        <f>IF('1.DATOS-PROD'!X185="SI",VLOOKUP('1.DATOS-PROD'!X$2,'1.PUNTOS'!$A$1:$B$63,2,0),0)</f>
        <v>0</v>
      </c>
      <c r="P184" s="138">
        <f>IF('1.DATOS-PROD'!Y185="SI",VLOOKUP('1.DATOS-PROD'!Y$2,'1.PUNTOS'!$A$1:$B$63,2,0),0)</f>
        <v>0</v>
      </c>
      <c r="Q184" s="138">
        <f>IF('1.DATOS-PROD'!Z185="SI",VLOOKUP('1.DATOS-PROD'!Z$2,'1.PUNTOS'!$A$1:$B$63,2,0),0)</f>
        <v>0</v>
      </c>
      <c r="R184" s="138">
        <f>IF('1.DATOS-PROD'!AA185="SI",VLOOKUP('1.DATOS-PROD'!AA$2,'1.PUNTOS'!$A$1:$B$63,2,0),0)</f>
        <v>0</v>
      </c>
      <c r="S184" s="138">
        <f>IF('1.DATOS-PROD'!AB185="SI",VLOOKUP('1.DATOS-PROD'!AB$2,'1.PUNTOS'!$A$1:$B$63,2,0),0)</f>
        <v>0</v>
      </c>
      <c r="T184" s="138">
        <f>IF('1.DATOS-PROD'!AC185="SI",VLOOKUP('1.DATOS-PROD'!AC$2,'1.PUNTOS'!$A$1:$B$63,2,0),0)</f>
        <v>0</v>
      </c>
      <c r="U184" s="138">
        <f>IF('1.DATOS-PROD'!AD185="SI",VLOOKUP('1.DATOS-PROD'!AD$2,'1.PUNTOS'!$A$1:$B$63,2,0),0)</f>
        <v>0</v>
      </c>
      <c r="V184" s="138">
        <f>IF('1.DATOS-PROD'!AE185="SI",VLOOKUP('1.DATOS-PROD'!AE$2,'1.PUNTOS'!$A$1:$B$63,2,0),0)</f>
        <v>0</v>
      </c>
      <c r="W184" s="138">
        <f>IF('1.DATOS-PROD'!AF185="SI",VLOOKUP('1.DATOS-PROD'!AF$2,'1.PUNTOS'!$A$1:$B$63,2,0),0)</f>
        <v>0</v>
      </c>
      <c r="X184" s="138">
        <f>IF('1.DATOS-PROD'!AG185="SI",VLOOKUP('1.DATOS-PROD'!AG$2,'1.PUNTOS'!$A$1:$B$63,2,0),0)</f>
        <v>0</v>
      </c>
      <c r="Y184" s="138">
        <f>IF('1.DATOS-PROD'!AH185="SI",VLOOKUP('1.DATOS-PROD'!AH$2,'1.PUNTOS'!$A$1:$B$63,2,0),0)</f>
        <v>0</v>
      </c>
      <c r="Z184" s="138">
        <f>IF('1.DATOS-PROD'!AI185="SI",VLOOKUP('1.DATOS-PROD'!AI$2,'1.PUNTOS'!$A$1:$B$63,2,0),0)</f>
        <v>0</v>
      </c>
      <c r="AA184" s="138">
        <f>IF('1.DATOS-PROD'!AJ185="SI",VLOOKUP('1.DATOS-PROD'!AJ$2,'1.PUNTOS'!$A$1:$B$63,2,0),0)</f>
        <v>0</v>
      </c>
      <c r="AB184" s="138">
        <f>IF('1.DATOS-PROD'!AK185="SI",VLOOKUP('1.DATOS-PROD'!AK$2,'1.PUNTOS'!$A$1:$B$63,2,0),0)</f>
        <v>0</v>
      </c>
      <c r="AC184" s="138">
        <f>IF('1.DATOS-PROD'!AL185="SI",VLOOKUP('1.DATOS-PROD'!AL$2,'1.PUNTOS'!$A$1:$B$63,2,0),0)</f>
        <v>0</v>
      </c>
      <c r="AD184" s="138">
        <f>IF('1.DATOS-PROD'!AM185="SI",VLOOKUP('1.DATOS-PROD'!AM$2,'1.PUNTOS'!$A$1:$B$63,2,0),0)</f>
        <v>0</v>
      </c>
      <c r="AE184" s="138">
        <f>IF('1.DATOS-PROD'!AN185="SI",VLOOKUP('1.DATOS-PROD'!AN$2,'1.PUNTOS'!$A$1:$B$63,2,0),0)</f>
        <v>0</v>
      </c>
      <c r="AF184" s="138">
        <f>IF('1.DATOS-PROD'!AO185="SI",VLOOKUP('1.DATOS-PROD'!AO$2,'1.PUNTOS'!$A$1:$B$63,2,0),0)</f>
        <v>0</v>
      </c>
      <c r="AG184" s="138">
        <f>IF('1.DATOS-PROD'!AP185="SI",VLOOKUP('1.DATOS-PROD'!AP$2,'1.PUNTOS'!$A$1:$B$63,2,0),0)</f>
        <v>0</v>
      </c>
      <c r="AH184" s="138">
        <f>IF('1.DATOS-PROD'!AQ185="SI",VLOOKUP('1.DATOS-PROD'!AQ$2,'1.PUNTOS'!$A$1:$B$63,2,0),0)</f>
        <v>0</v>
      </c>
      <c r="AI184" s="138">
        <f>IF('1.DATOS-PROD'!AR185="SI",VLOOKUP('1.DATOS-PROD'!AR$2,'1.PUNTOS'!$A$1:$B$63,2,0),0)</f>
        <v>0</v>
      </c>
      <c r="AJ184" s="138">
        <f>IF('1.DATOS-PROD'!AS185="SI",VLOOKUP('1.DATOS-PROD'!AS$2,'1.PUNTOS'!$A$1:$B$63,2,0),0)</f>
        <v>0</v>
      </c>
      <c r="AK184" s="138">
        <f>IF('1.DATOS-PROD'!AT185="SI",VLOOKUP('1.DATOS-PROD'!AT$2,'1.PUNTOS'!$A$1:$B$63,2,0),0)</f>
        <v>0</v>
      </c>
      <c r="AL184" s="138">
        <f>IF('1.DATOS-PROD'!AU185="SI",VLOOKUP('1.DATOS-PROD'!AU$2,'1.PUNTOS'!$A$1:$B$63,2,0),0)</f>
        <v>0</v>
      </c>
      <c r="AM184" s="138">
        <f>IF('1.DATOS-PROD'!AV185="SI",VLOOKUP('1.DATOS-PROD'!AV$2,'1.PUNTOS'!$A$1:$B$63,2,0),0)</f>
        <v>0</v>
      </c>
      <c r="AN184" s="138">
        <f>IF('1.DATOS-PROD'!AW185="SI",VLOOKUP('1.DATOS-PROD'!AW$2,'1.PUNTOS'!$A$1:$B$63,2,0),0)</f>
        <v>0</v>
      </c>
      <c r="AO184" s="138">
        <f>IF('1.DATOS-PROD'!AX185="SI",VLOOKUP('1.DATOS-PROD'!AX$2,'1.PUNTOS'!$A$1:$B$63,2,0),0)</f>
        <v>0</v>
      </c>
      <c r="AP184" s="138">
        <f>IF('1.DATOS-PROD'!AY185="SI",VLOOKUP('1.DATOS-PROD'!AY$2,'1.PUNTOS'!$A$1:$B$63,2,0),0)</f>
        <v>0</v>
      </c>
      <c r="AQ184" s="138">
        <f>IF('1.DATOS-PROD'!AZ185="SI",VLOOKUP('1.DATOS-PROD'!AZ$2,'1.PUNTOS'!$A$1:$B$63,2,0),0)</f>
        <v>0</v>
      </c>
      <c r="AR184" s="138">
        <f>IF('1.DATOS-PROD'!BA185="SI",VLOOKUP('1.DATOS-PROD'!BA$2,'1.PUNTOS'!$A$1:$B$63,2,0),0)</f>
        <v>0</v>
      </c>
      <c r="AS184" s="138">
        <f>IF('1.DATOS-PROD'!BB185="SI",VLOOKUP('1.DATOS-PROD'!BB$2,'1.PUNTOS'!$A$1:$B$63,2,0),0)</f>
        <v>0</v>
      </c>
      <c r="AT184" s="138">
        <f>IF('1.DATOS-PROD'!BC185="SI",VLOOKUP('1.DATOS-PROD'!BC$2,'1.PUNTOS'!$A$1:$B$63,2,0),0)</f>
        <v>0</v>
      </c>
      <c r="AU184" s="138">
        <f>IF('1.DATOS-PROD'!BD185="SI",VLOOKUP('1.DATOS-PROD'!BD$2,'1.PUNTOS'!$A$1:$B$63,2,0),0)</f>
        <v>0</v>
      </c>
      <c r="AV184" s="138">
        <f>IF('1.DATOS-PROD'!BE185="SI",VLOOKUP('1.DATOS-PROD'!BE$2,'1.PUNTOS'!$A$1:$B$63,2,0),0)</f>
        <v>0</v>
      </c>
      <c r="AW184" s="138">
        <f>IF('1.DATOS-PROD'!BF185="SI",VLOOKUP('1.DATOS-PROD'!BF$2,'1.PUNTOS'!$A$1:$B$63,2,0),0)</f>
        <v>0</v>
      </c>
      <c r="AX184" s="138">
        <f>IF('1.DATOS-PROD'!BG185="SI",VLOOKUP('1.DATOS-PROD'!BG$2,'1.PUNTOS'!$A$1:$B$63,2,0),0)</f>
        <v>0</v>
      </c>
      <c r="AY184" s="138">
        <f>IF('1.DATOS-PROD'!BH185="SI",VLOOKUP('1.DATOS-PROD'!BH$2,'1.PUNTOS'!$A$1:$B$63,2,0),0)</f>
        <v>0</v>
      </c>
      <c r="AZ184" s="138">
        <f>IF('1.DATOS-PROD'!BI185="SI",VLOOKUP('1.DATOS-PROD'!BI$2,'1.PUNTOS'!$A$1:$B$63,2,0),0)</f>
        <v>0</v>
      </c>
      <c r="BA184" s="138">
        <f>IF('1.DATOS-PROD'!BJ185="SI",VLOOKUP('1.DATOS-PROD'!BJ$2,'1.PUNTOS'!$A$1:$B$63,2,0),0)</f>
        <v>0</v>
      </c>
      <c r="BB184" s="138">
        <f>IF('1.DATOS-PROD'!BK185="SI",VLOOKUP('1.DATOS-PROD'!BK$2,'1.PUNTOS'!$A$1:$B$63,2,0),0)</f>
        <v>0</v>
      </c>
      <c r="BC184" s="138">
        <f>IF('1.DATOS-PROD'!BL185="SI",VLOOKUP('1.DATOS-PROD'!BL$2,'1.PUNTOS'!$A$1:$B$63,2,0),0)</f>
        <v>0</v>
      </c>
      <c r="BD184" s="138">
        <f>IF('1.DATOS-PROD'!BM185="SI",VLOOKUP('1.DATOS-PROD'!BM$2,'1.PUNTOS'!$A$1:$B$63,2,0),0)</f>
        <v>0</v>
      </c>
      <c r="BE184" s="138">
        <f>IF('1.DATOS-PROD'!BN185="SI",VLOOKUP('1.DATOS-PROD'!BN$2,'1.PUNTOS'!$A$1:$B$63,2,0),0)</f>
        <v>0</v>
      </c>
      <c r="BF184" s="138">
        <f>IF('1.DATOS-PROD'!BO185="SI",VLOOKUP('1.DATOS-PROD'!BO$2,'1.PUNTOS'!$A$1:$B$63,2,0),0)</f>
        <v>0</v>
      </c>
      <c r="BG184" s="138">
        <f>IF('1.DATOS-PROD'!BP185="SI",VLOOKUP('1.DATOS-PROD'!BP$2,'1.PUNTOS'!$A$1:$B$63,2,0),0)</f>
        <v>0</v>
      </c>
      <c r="BH184" s="138">
        <f>IF('1.DATOS-PROD'!BQ185="SI",VLOOKUP('1.DATOS-PROD'!BQ$2,'1.PUNTOS'!$A$1:$B$63,2,0),0)</f>
        <v>0</v>
      </c>
      <c r="BI184" s="138">
        <f>IF('1.DATOS-PROD'!BR185="SI",VLOOKUP('1.DATOS-PROD'!BR$2,'1.PUNTOS'!$A$1:$B$63,2,0),0)</f>
        <v>0</v>
      </c>
      <c r="BJ184" s="138">
        <f>IF('1.DATOS-PROD'!BS185="SI",VLOOKUP('1.DATOS-PROD'!BS$2,'1.PUNTOS'!$A$1:$B$63,2,0),0)</f>
        <v>0</v>
      </c>
      <c r="BK184" s="138">
        <f>IF('1.DATOS-PROD'!BT185="SI",VLOOKUP('1.DATOS-PROD'!BT$2,'1.PUNTOS'!$A$1:$B$63,2,0),0)</f>
        <v>0</v>
      </c>
    </row>
    <row r="185" spans="1:63" x14ac:dyDescent="0.25">
      <c r="A185">
        <f>'0.Consolidado general'!$A186</f>
        <v>0</v>
      </c>
      <c r="B185" s="138">
        <f>IF('1.DATOS-PROD'!K186="SI",VLOOKUP('1.DATOS-PROD'!K$2,'1.PUNTOS'!$A$1:$B$63,2,0),0)</f>
        <v>0</v>
      </c>
      <c r="C185" s="138">
        <f>IF('1.DATOS-PROD'!L186="SI",VLOOKUP('1.DATOS-PROD'!L$2,'1.PUNTOS'!$A$1:$B$63,2,0),0)</f>
        <v>0</v>
      </c>
      <c r="D185" s="138">
        <f>IF('1.DATOS-PROD'!M186="SI",VLOOKUP('1.DATOS-PROD'!M$2,'1.PUNTOS'!$A$1:$B$63,2,0),0)</f>
        <v>0</v>
      </c>
      <c r="E185" s="138">
        <f>IF('1.DATOS-PROD'!N186="SI",VLOOKUP('1.DATOS-PROD'!N$2,'1.PUNTOS'!$A$1:$B$63,2,0),0)</f>
        <v>0</v>
      </c>
      <c r="F185" s="138">
        <f>IF('1.DATOS-PROD'!O186="SI",VLOOKUP('1.DATOS-PROD'!O$2,'1.PUNTOS'!$A$1:$B$63,2,0),0)</f>
        <v>0</v>
      </c>
      <c r="G185" s="138">
        <f>IF('1.DATOS-PROD'!P186="SI",VLOOKUP('1.DATOS-PROD'!P$2,'1.PUNTOS'!$A$1:$B$63,2,0),0)</f>
        <v>0</v>
      </c>
      <c r="H185" s="138">
        <f>IF('1.DATOS-PROD'!Q186="SI",VLOOKUP('1.DATOS-PROD'!Q$2,'1.PUNTOS'!$A$1:$B$63,2,0),0)</f>
        <v>0</v>
      </c>
      <c r="I185" s="138">
        <f>IF('1.DATOS-PROD'!R186="SI",VLOOKUP('1.DATOS-PROD'!R$2,'1.PUNTOS'!$A$1:$B$63,2,0),0)</f>
        <v>0</v>
      </c>
      <c r="J185" s="138">
        <f>IF('1.DATOS-PROD'!S186="SI",VLOOKUP('1.DATOS-PROD'!S$2,'1.PUNTOS'!$A$1:$B$63,2,0),0)</f>
        <v>0</v>
      </c>
      <c r="K185" s="138">
        <f>IF('1.DATOS-PROD'!T186="SI",VLOOKUP('1.DATOS-PROD'!T$2,'1.PUNTOS'!$A$1:$B$63,2,0),0)</f>
        <v>0</v>
      </c>
      <c r="L185" s="138">
        <f>IF('1.DATOS-PROD'!U186="SI",VLOOKUP('1.DATOS-PROD'!U$2,'1.PUNTOS'!$A$1:$B$63,2,0),0)</f>
        <v>0</v>
      </c>
      <c r="M185" s="138">
        <f>IF('1.DATOS-PROD'!V186="SI",VLOOKUP('1.DATOS-PROD'!V$2,'1.PUNTOS'!$A$1:$B$63,2,0),0)</f>
        <v>0</v>
      </c>
      <c r="N185" s="138">
        <f>IF('1.DATOS-PROD'!W186="SI",VLOOKUP('1.DATOS-PROD'!W$2,'1.PUNTOS'!$A$1:$B$63,2,0),0)</f>
        <v>0</v>
      </c>
      <c r="O185" s="138">
        <f>IF('1.DATOS-PROD'!X186="SI",VLOOKUP('1.DATOS-PROD'!X$2,'1.PUNTOS'!$A$1:$B$63,2,0),0)</f>
        <v>0</v>
      </c>
      <c r="P185" s="138">
        <f>IF('1.DATOS-PROD'!Y186="SI",VLOOKUP('1.DATOS-PROD'!Y$2,'1.PUNTOS'!$A$1:$B$63,2,0),0)</f>
        <v>0</v>
      </c>
      <c r="Q185" s="138">
        <f>IF('1.DATOS-PROD'!Z186="SI",VLOOKUP('1.DATOS-PROD'!Z$2,'1.PUNTOS'!$A$1:$B$63,2,0),0)</f>
        <v>0</v>
      </c>
      <c r="R185" s="138">
        <f>IF('1.DATOS-PROD'!AA186="SI",VLOOKUP('1.DATOS-PROD'!AA$2,'1.PUNTOS'!$A$1:$B$63,2,0),0)</f>
        <v>0</v>
      </c>
      <c r="S185" s="138">
        <f>IF('1.DATOS-PROD'!AB186="SI",VLOOKUP('1.DATOS-PROD'!AB$2,'1.PUNTOS'!$A$1:$B$63,2,0),0)</f>
        <v>0</v>
      </c>
      <c r="T185" s="138">
        <f>IF('1.DATOS-PROD'!AC186="SI",VLOOKUP('1.DATOS-PROD'!AC$2,'1.PUNTOS'!$A$1:$B$63,2,0),0)</f>
        <v>0</v>
      </c>
      <c r="U185" s="138">
        <f>IF('1.DATOS-PROD'!AD186="SI",VLOOKUP('1.DATOS-PROD'!AD$2,'1.PUNTOS'!$A$1:$B$63,2,0),0)</f>
        <v>0</v>
      </c>
      <c r="V185" s="138">
        <f>IF('1.DATOS-PROD'!AE186="SI",VLOOKUP('1.DATOS-PROD'!AE$2,'1.PUNTOS'!$A$1:$B$63,2,0),0)</f>
        <v>0</v>
      </c>
      <c r="W185" s="138">
        <f>IF('1.DATOS-PROD'!AF186="SI",VLOOKUP('1.DATOS-PROD'!AF$2,'1.PUNTOS'!$A$1:$B$63,2,0),0)</f>
        <v>0</v>
      </c>
      <c r="X185" s="138">
        <f>IF('1.DATOS-PROD'!AG186="SI",VLOOKUP('1.DATOS-PROD'!AG$2,'1.PUNTOS'!$A$1:$B$63,2,0),0)</f>
        <v>0</v>
      </c>
      <c r="Y185" s="138">
        <f>IF('1.DATOS-PROD'!AH186="SI",VLOOKUP('1.DATOS-PROD'!AH$2,'1.PUNTOS'!$A$1:$B$63,2,0),0)</f>
        <v>0</v>
      </c>
      <c r="Z185" s="138">
        <f>IF('1.DATOS-PROD'!AI186="SI",VLOOKUP('1.DATOS-PROD'!AI$2,'1.PUNTOS'!$A$1:$B$63,2,0),0)</f>
        <v>0</v>
      </c>
      <c r="AA185" s="138">
        <f>IF('1.DATOS-PROD'!AJ186="SI",VLOOKUP('1.DATOS-PROD'!AJ$2,'1.PUNTOS'!$A$1:$B$63,2,0),0)</f>
        <v>0</v>
      </c>
      <c r="AB185" s="138">
        <f>IF('1.DATOS-PROD'!AK186="SI",VLOOKUP('1.DATOS-PROD'!AK$2,'1.PUNTOS'!$A$1:$B$63,2,0),0)</f>
        <v>0</v>
      </c>
      <c r="AC185" s="138">
        <f>IF('1.DATOS-PROD'!AL186="SI",VLOOKUP('1.DATOS-PROD'!AL$2,'1.PUNTOS'!$A$1:$B$63,2,0),0)</f>
        <v>0</v>
      </c>
      <c r="AD185" s="138">
        <f>IF('1.DATOS-PROD'!AM186="SI",VLOOKUP('1.DATOS-PROD'!AM$2,'1.PUNTOS'!$A$1:$B$63,2,0),0)</f>
        <v>0</v>
      </c>
      <c r="AE185" s="138">
        <f>IF('1.DATOS-PROD'!AN186="SI",VLOOKUP('1.DATOS-PROD'!AN$2,'1.PUNTOS'!$A$1:$B$63,2,0),0)</f>
        <v>0</v>
      </c>
      <c r="AF185" s="138">
        <f>IF('1.DATOS-PROD'!AO186="SI",VLOOKUP('1.DATOS-PROD'!AO$2,'1.PUNTOS'!$A$1:$B$63,2,0),0)</f>
        <v>0</v>
      </c>
      <c r="AG185" s="138">
        <f>IF('1.DATOS-PROD'!AP186="SI",VLOOKUP('1.DATOS-PROD'!AP$2,'1.PUNTOS'!$A$1:$B$63,2,0),0)</f>
        <v>0</v>
      </c>
      <c r="AH185" s="138">
        <f>IF('1.DATOS-PROD'!AQ186="SI",VLOOKUP('1.DATOS-PROD'!AQ$2,'1.PUNTOS'!$A$1:$B$63,2,0),0)</f>
        <v>0</v>
      </c>
      <c r="AI185" s="138">
        <f>IF('1.DATOS-PROD'!AR186="SI",VLOOKUP('1.DATOS-PROD'!AR$2,'1.PUNTOS'!$A$1:$B$63,2,0),0)</f>
        <v>0</v>
      </c>
      <c r="AJ185" s="138">
        <f>IF('1.DATOS-PROD'!AS186="SI",VLOOKUP('1.DATOS-PROD'!AS$2,'1.PUNTOS'!$A$1:$B$63,2,0),0)</f>
        <v>0</v>
      </c>
      <c r="AK185" s="138">
        <f>IF('1.DATOS-PROD'!AT186="SI",VLOOKUP('1.DATOS-PROD'!AT$2,'1.PUNTOS'!$A$1:$B$63,2,0),0)</f>
        <v>0</v>
      </c>
      <c r="AL185" s="138">
        <f>IF('1.DATOS-PROD'!AU186="SI",VLOOKUP('1.DATOS-PROD'!AU$2,'1.PUNTOS'!$A$1:$B$63,2,0),0)</f>
        <v>0</v>
      </c>
      <c r="AM185" s="138">
        <f>IF('1.DATOS-PROD'!AV186="SI",VLOOKUP('1.DATOS-PROD'!AV$2,'1.PUNTOS'!$A$1:$B$63,2,0),0)</f>
        <v>0</v>
      </c>
      <c r="AN185" s="138">
        <f>IF('1.DATOS-PROD'!AW186="SI",VLOOKUP('1.DATOS-PROD'!AW$2,'1.PUNTOS'!$A$1:$B$63,2,0),0)</f>
        <v>0</v>
      </c>
      <c r="AO185" s="138">
        <f>IF('1.DATOS-PROD'!AX186="SI",VLOOKUP('1.DATOS-PROD'!AX$2,'1.PUNTOS'!$A$1:$B$63,2,0),0)</f>
        <v>0</v>
      </c>
      <c r="AP185" s="138">
        <f>IF('1.DATOS-PROD'!AY186="SI",VLOOKUP('1.DATOS-PROD'!AY$2,'1.PUNTOS'!$A$1:$B$63,2,0),0)</f>
        <v>0</v>
      </c>
      <c r="AQ185" s="138">
        <f>IF('1.DATOS-PROD'!AZ186="SI",VLOOKUP('1.DATOS-PROD'!AZ$2,'1.PUNTOS'!$A$1:$B$63,2,0),0)</f>
        <v>0</v>
      </c>
      <c r="AR185" s="138">
        <f>IF('1.DATOS-PROD'!BA186="SI",VLOOKUP('1.DATOS-PROD'!BA$2,'1.PUNTOS'!$A$1:$B$63,2,0),0)</f>
        <v>0</v>
      </c>
      <c r="AS185" s="138">
        <f>IF('1.DATOS-PROD'!BB186="SI",VLOOKUP('1.DATOS-PROD'!BB$2,'1.PUNTOS'!$A$1:$B$63,2,0),0)</f>
        <v>0</v>
      </c>
      <c r="AT185" s="138">
        <f>IF('1.DATOS-PROD'!BC186="SI",VLOOKUP('1.DATOS-PROD'!BC$2,'1.PUNTOS'!$A$1:$B$63,2,0),0)</f>
        <v>0</v>
      </c>
      <c r="AU185" s="138">
        <f>IF('1.DATOS-PROD'!BD186="SI",VLOOKUP('1.DATOS-PROD'!BD$2,'1.PUNTOS'!$A$1:$B$63,2,0),0)</f>
        <v>0</v>
      </c>
      <c r="AV185" s="138">
        <f>IF('1.DATOS-PROD'!BE186="SI",VLOOKUP('1.DATOS-PROD'!BE$2,'1.PUNTOS'!$A$1:$B$63,2,0),0)</f>
        <v>0</v>
      </c>
      <c r="AW185" s="138">
        <f>IF('1.DATOS-PROD'!BF186="SI",VLOOKUP('1.DATOS-PROD'!BF$2,'1.PUNTOS'!$A$1:$B$63,2,0),0)</f>
        <v>0</v>
      </c>
      <c r="AX185" s="138">
        <f>IF('1.DATOS-PROD'!BG186="SI",VLOOKUP('1.DATOS-PROD'!BG$2,'1.PUNTOS'!$A$1:$B$63,2,0),0)</f>
        <v>0</v>
      </c>
      <c r="AY185" s="138">
        <f>IF('1.DATOS-PROD'!BH186="SI",VLOOKUP('1.DATOS-PROD'!BH$2,'1.PUNTOS'!$A$1:$B$63,2,0),0)</f>
        <v>0</v>
      </c>
      <c r="AZ185" s="138">
        <f>IF('1.DATOS-PROD'!BI186="SI",VLOOKUP('1.DATOS-PROD'!BI$2,'1.PUNTOS'!$A$1:$B$63,2,0),0)</f>
        <v>0</v>
      </c>
      <c r="BA185" s="138">
        <f>IF('1.DATOS-PROD'!BJ186="SI",VLOOKUP('1.DATOS-PROD'!BJ$2,'1.PUNTOS'!$A$1:$B$63,2,0),0)</f>
        <v>0</v>
      </c>
      <c r="BB185" s="138">
        <f>IF('1.DATOS-PROD'!BK186="SI",VLOOKUP('1.DATOS-PROD'!BK$2,'1.PUNTOS'!$A$1:$B$63,2,0),0)</f>
        <v>0</v>
      </c>
      <c r="BC185" s="138">
        <f>IF('1.DATOS-PROD'!BL186="SI",VLOOKUP('1.DATOS-PROD'!BL$2,'1.PUNTOS'!$A$1:$B$63,2,0),0)</f>
        <v>0</v>
      </c>
      <c r="BD185" s="138">
        <f>IF('1.DATOS-PROD'!BM186="SI",VLOOKUP('1.DATOS-PROD'!BM$2,'1.PUNTOS'!$A$1:$B$63,2,0),0)</f>
        <v>0</v>
      </c>
      <c r="BE185" s="138">
        <f>IF('1.DATOS-PROD'!BN186="SI",VLOOKUP('1.DATOS-PROD'!BN$2,'1.PUNTOS'!$A$1:$B$63,2,0),0)</f>
        <v>0</v>
      </c>
      <c r="BF185" s="138">
        <f>IF('1.DATOS-PROD'!BO186="SI",VLOOKUP('1.DATOS-PROD'!BO$2,'1.PUNTOS'!$A$1:$B$63,2,0),0)</f>
        <v>0</v>
      </c>
      <c r="BG185" s="138">
        <f>IF('1.DATOS-PROD'!BP186="SI",VLOOKUP('1.DATOS-PROD'!BP$2,'1.PUNTOS'!$A$1:$B$63,2,0),0)</f>
        <v>0</v>
      </c>
      <c r="BH185" s="138">
        <f>IF('1.DATOS-PROD'!BQ186="SI",VLOOKUP('1.DATOS-PROD'!BQ$2,'1.PUNTOS'!$A$1:$B$63,2,0),0)</f>
        <v>0</v>
      </c>
      <c r="BI185" s="138">
        <f>IF('1.DATOS-PROD'!BR186="SI",VLOOKUP('1.DATOS-PROD'!BR$2,'1.PUNTOS'!$A$1:$B$63,2,0),0)</f>
        <v>0</v>
      </c>
      <c r="BJ185" s="138">
        <f>IF('1.DATOS-PROD'!BS186="SI",VLOOKUP('1.DATOS-PROD'!BS$2,'1.PUNTOS'!$A$1:$B$63,2,0),0)</f>
        <v>0</v>
      </c>
      <c r="BK185" s="138">
        <f>IF('1.DATOS-PROD'!BT186="SI",VLOOKUP('1.DATOS-PROD'!BT$2,'1.PUNTOS'!$A$1:$B$63,2,0),0)</f>
        <v>0</v>
      </c>
    </row>
    <row r="186" spans="1:63" x14ac:dyDescent="0.25">
      <c r="A186">
        <f>'0.Consolidado general'!$A187</f>
        <v>0</v>
      </c>
      <c r="B186" s="138">
        <f>IF('1.DATOS-PROD'!K187="SI",VLOOKUP('1.DATOS-PROD'!K$2,'1.PUNTOS'!$A$1:$B$63,2,0),0)</f>
        <v>0</v>
      </c>
      <c r="C186" s="138">
        <f>IF('1.DATOS-PROD'!L187="SI",VLOOKUP('1.DATOS-PROD'!L$2,'1.PUNTOS'!$A$1:$B$63,2,0),0)</f>
        <v>0</v>
      </c>
      <c r="D186" s="138">
        <f>IF('1.DATOS-PROD'!M187="SI",VLOOKUP('1.DATOS-PROD'!M$2,'1.PUNTOS'!$A$1:$B$63,2,0),0)</f>
        <v>0</v>
      </c>
      <c r="E186" s="138">
        <f>IF('1.DATOS-PROD'!N187="SI",VLOOKUP('1.DATOS-PROD'!N$2,'1.PUNTOS'!$A$1:$B$63,2,0),0)</f>
        <v>0</v>
      </c>
      <c r="F186" s="138">
        <f>IF('1.DATOS-PROD'!O187="SI",VLOOKUP('1.DATOS-PROD'!O$2,'1.PUNTOS'!$A$1:$B$63,2,0),0)</f>
        <v>0</v>
      </c>
      <c r="G186" s="138">
        <f>IF('1.DATOS-PROD'!P187="SI",VLOOKUP('1.DATOS-PROD'!P$2,'1.PUNTOS'!$A$1:$B$63,2,0),0)</f>
        <v>0</v>
      </c>
      <c r="H186" s="138">
        <f>IF('1.DATOS-PROD'!Q187="SI",VLOOKUP('1.DATOS-PROD'!Q$2,'1.PUNTOS'!$A$1:$B$63,2,0),0)</f>
        <v>0</v>
      </c>
      <c r="I186" s="138">
        <f>IF('1.DATOS-PROD'!R187="SI",VLOOKUP('1.DATOS-PROD'!R$2,'1.PUNTOS'!$A$1:$B$63,2,0),0)</f>
        <v>0</v>
      </c>
      <c r="J186" s="138">
        <f>IF('1.DATOS-PROD'!S187="SI",VLOOKUP('1.DATOS-PROD'!S$2,'1.PUNTOS'!$A$1:$B$63,2,0),0)</f>
        <v>0</v>
      </c>
      <c r="K186" s="138">
        <f>IF('1.DATOS-PROD'!T187="SI",VLOOKUP('1.DATOS-PROD'!T$2,'1.PUNTOS'!$A$1:$B$63,2,0),0)</f>
        <v>0</v>
      </c>
      <c r="L186" s="138">
        <f>IF('1.DATOS-PROD'!U187="SI",VLOOKUP('1.DATOS-PROD'!U$2,'1.PUNTOS'!$A$1:$B$63,2,0),0)</f>
        <v>0</v>
      </c>
      <c r="M186" s="138">
        <f>IF('1.DATOS-PROD'!V187="SI",VLOOKUP('1.DATOS-PROD'!V$2,'1.PUNTOS'!$A$1:$B$63,2,0),0)</f>
        <v>0</v>
      </c>
      <c r="N186" s="138">
        <f>IF('1.DATOS-PROD'!W187="SI",VLOOKUP('1.DATOS-PROD'!W$2,'1.PUNTOS'!$A$1:$B$63,2,0),0)</f>
        <v>0</v>
      </c>
      <c r="O186" s="138">
        <f>IF('1.DATOS-PROD'!X187="SI",VLOOKUP('1.DATOS-PROD'!X$2,'1.PUNTOS'!$A$1:$B$63,2,0),0)</f>
        <v>0</v>
      </c>
      <c r="P186" s="138">
        <f>IF('1.DATOS-PROD'!Y187="SI",VLOOKUP('1.DATOS-PROD'!Y$2,'1.PUNTOS'!$A$1:$B$63,2,0),0)</f>
        <v>0</v>
      </c>
      <c r="Q186" s="138">
        <f>IF('1.DATOS-PROD'!Z187="SI",VLOOKUP('1.DATOS-PROD'!Z$2,'1.PUNTOS'!$A$1:$B$63,2,0),0)</f>
        <v>0</v>
      </c>
      <c r="R186" s="138">
        <f>IF('1.DATOS-PROD'!AA187="SI",VLOOKUP('1.DATOS-PROD'!AA$2,'1.PUNTOS'!$A$1:$B$63,2,0),0)</f>
        <v>0</v>
      </c>
      <c r="S186" s="138">
        <f>IF('1.DATOS-PROD'!AB187="SI",VLOOKUP('1.DATOS-PROD'!AB$2,'1.PUNTOS'!$A$1:$B$63,2,0),0)</f>
        <v>0</v>
      </c>
      <c r="T186" s="138">
        <f>IF('1.DATOS-PROD'!AC187="SI",VLOOKUP('1.DATOS-PROD'!AC$2,'1.PUNTOS'!$A$1:$B$63,2,0),0)</f>
        <v>0</v>
      </c>
      <c r="U186" s="138">
        <f>IF('1.DATOS-PROD'!AD187="SI",VLOOKUP('1.DATOS-PROD'!AD$2,'1.PUNTOS'!$A$1:$B$63,2,0),0)</f>
        <v>0</v>
      </c>
      <c r="V186" s="138">
        <f>IF('1.DATOS-PROD'!AE187="SI",VLOOKUP('1.DATOS-PROD'!AE$2,'1.PUNTOS'!$A$1:$B$63,2,0),0)</f>
        <v>0</v>
      </c>
      <c r="W186" s="138">
        <f>IF('1.DATOS-PROD'!AF187="SI",VLOOKUP('1.DATOS-PROD'!AF$2,'1.PUNTOS'!$A$1:$B$63,2,0),0)</f>
        <v>0</v>
      </c>
      <c r="X186" s="138">
        <f>IF('1.DATOS-PROD'!AG187="SI",VLOOKUP('1.DATOS-PROD'!AG$2,'1.PUNTOS'!$A$1:$B$63,2,0),0)</f>
        <v>0</v>
      </c>
      <c r="Y186" s="138">
        <f>IF('1.DATOS-PROD'!AH187="SI",VLOOKUP('1.DATOS-PROD'!AH$2,'1.PUNTOS'!$A$1:$B$63,2,0),0)</f>
        <v>0</v>
      </c>
      <c r="Z186" s="138">
        <f>IF('1.DATOS-PROD'!AI187="SI",VLOOKUP('1.DATOS-PROD'!AI$2,'1.PUNTOS'!$A$1:$B$63,2,0),0)</f>
        <v>0</v>
      </c>
      <c r="AA186" s="138">
        <f>IF('1.DATOS-PROD'!AJ187="SI",VLOOKUP('1.DATOS-PROD'!AJ$2,'1.PUNTOS'!$A$1:$B$63,2,0),0)</f>
        <v>0</v>
      </c>
      <c r="AB186" s="138">
        <f>IF('1.DATOS-PROD'!AK187="SI",VLOOKUP('1.DATOS-PROD'!AK$2,'1.PUNTOS'!$A$1:$B$63,2,0),0)</f>
        <v>0</v>
      </c>
      <c r="AC186" s="138">
        <f>IF('1.DATOS-PROD'!AL187="SI",VLOOKUP('1.DATOS-PROD'!AL$2,'1.PUNTOS'!$A$1:$B$63,2,0),0)</f>
        <v>0</v>
      </c>
      <c r="AD186" s="138">
        <f>IF('1.DATOS-PROD'!AM187="SI",VLOOKUP('1.DATOS-PROD'!AM$2,'1.PUNTOS'!$A$1:$B$63,2,0),0)</f>
        <v>0</v>
      </c>
      <c r="AE186" s="138">
        <f>IF('1.DATOS-PROD'!AN187="SI",VLOOKUP('1.DATOS-PROD'!AN$2,'1.PUNTOS'!$A$1:$B$63,2,0),0)</f>
        <v>0</v>
      </c>
      <c r="AF186" s="138">
        <f>IF('1.DATOS-PROD'!AO187="SI",VLOOKUP('1.DATOS-PROD'!AO$2,'1.PUNTOS'!$A$1:$B$63,2,0),0)</f>
        <v>0</v>
      </c>
      <c r="AG186" s="138">
        <f>IF('1.DATOS-PROD'!AP187="SI",VLOOKUP('1.DATOS-PROD'!AP$2,'1.PUNTOS'!$A$1:$B$63,2,0),0)</f>
        <v>0</v>
      </c>
      <c r="AH186" s="138">
        <f>IF('1.DATOS-PROD'!AQ187="SI",VLOOKUP('1.DATOS-PROD'!AQ$2,'1.PUNTOS'!$A$1:$B$63,2,0),0)</f>
        <v>0</v>
      </c>
      <c r="AI186" s="138">
        <f>IF('1.DATOS-PROD'!AR187="SI",VLOOKUP('1.DATOS-PROD'!AR$2,'1.PUNTOS'!$A$1:$B$63,2,0),0)</f>
        <v>0</v>
      </c>
      <c r="AJ186" s="138">
        <f>IF('1.DATOS-PROD'!AS187="SI",VLOOKUP('1.DATOS-PROD'!AS$2,'1.PUNTOS'!$A$1:$B$63,2,0),0)</f>
        <v>0</v>
      </c>
      <c r="AK186" s="138">
        <f>IF('1.DATOS-PROD'!AT187="SI",VLOOKUP('1.DATOS-PROD'!AT$2,'1.PUNTOS'!$A$1:$B$63,2,0),0)</f>
        <v>0</v>
      </c>
      <c r="AL186" s="138">
        <f>IF('1.DATOS-PROD'!AU187="SI",VLOOKUP('1.DATOS-PROD'!AU$2,'1.PUNTOS'!$A$1:$B$63,2,0),0)</f>
        <v>0</v>
      </c>
      <c r="AM186" s="138">
        <f>IF('1.DATOS-PROD'!AV187="SI",VLOOKUP('1.DATOS-PROD'!AV$2,'1.PUNTOS'!$A$1:$B$63,2,0),0)</f>
        <v>0</v>
      </c>
      <c r="AN186" s="138">
        <f>IF('1.DATOS-PROD'!AW187="SI",VLOOKUP('1.DATOS-PROD'!AW$2,'1.PUNTOS'!$A$1:$B$63,2,0),0)</f>
        <v>0</v>
      </c>
      <c r="AO186" s="138">
        <f>IF('1.DATOS-PROD'!AX187="SI",VLOOKUP('1.DATOS-PROD'!AX$2,'1.PUNTOS'!$A$1:$B$63,2,0),0)</f>
        <v>0</v>
      </c>
      <c r="AP186" s="138">
        <f>IF('1.DATOS-PROD'!AY187="SI",VLOOKUP('1.DATOS-PROD'!AY$2,'1.PUNTOS'!$A$1:$B$63,2,0),0)</f>
        <v>0</v>
      </c>
      <c r="AQ186" s="138">
        <f>IF('1.DATOS-PROD'!AZ187="SI",VLOOKUP('1.DATOS-PROD'!AZ$2,'1.PUNTOS'!$A$1:$B$63,2,0),0)</f>
        <v>0</v>
      </c>
      <c r="AR186" s="138">
        <f>IF('1.DATOS-PROD'!BA187="SI",VLOOKUP('1.DATOS-PROD'!BA$2,'1.PUNTOS'!$A$1:$B$63,2,0),0)</f>
        <v>0</v>
      </c>
      <c r="AS186" s="138">
        <f>IF('1.DATOS-PROD'!BB187="SI",VLOOKUP('1.DATOS-PROD'!BB$2,'1.PUNTOS'!$A$1:$B$63,2,0),0)</f>
        <v>0</v>
      </c>
      <c r="AT186" s="138">
        <f>IF('1.DATOS-PROD'!BC187="SI",VLOOKUP('1.DATOS-PROD'!BC$2,'1.PUNTOS'!$A$1:$B$63,2,0),0)</f>
        <v>0</v>
      </c>
      <c r="AU186" s="138">
        <f>IF('1.DATOS-PROD'!BD187="SI",VLOOKUP('1.DATOS-PROD'!BD$2,'1.PUNTOS'!$A$1:$B$63,2,0),0)</f>
        <v>0</v>
      </c>
      <c r="AV186" s="138">
        <f>IF('1.DATOS-PROD'!BE187="SI",VLOOKUP('1.DATOS-PROD'!BE$2,'1.PUNTOS'!$A$1:$B$63,2,0),0)</f>
        <v>0</v>
      </c>
      <c r="AW186" s="138">
        <f>IF('1.DATOS-PROD'!BF187="SI",VLOOKUP('1.DATOS-PROD'!BF$2,'1.PUNTOS'!$A$1:$B$63,2,0),0)</f>
        <v>0</v>
      </c>
      <c r="AX186" s="138">
        <f>IF('1.DATOS-PROD'!BG187="SI",VLOOKUP('1.DATOS-PROD'!BG$2,'1.PUNTOS'!$A$1:$B$63,2,0),0)</f>
        <v>0</v>
      </c>
      <c r="AY186" s="138">
        <f>IF('1.DATOS-PROD'!BH187="SI",VLOOKUP('1.DATOS-PROD'!BH$2,'1.PUNTOS'!$A$1:$B$63,2,0),0)</f>
        <v>0</v>
      </c>
      <c r="AZ186" s="138">
        <f>IF('1.DATOS-PROD'!BI187="SI",VLOOKUP('1.DATOS-PROD'!BI$2,'1.PUNTOS'!$A$1:$B$63,2,0),0)</f>
        <v>0</v>
      </c>
      <c r="BA186" s="138">
        <f>IF('1.DATOS-PROD'!BJ187="SI",VLOOKUP('1.DATOS-PROD'!BJ$2,'1.PUNTOS'!$A$1:$B$63,2,0),0)</f>
        <v>0</v>
      </c>
      <c r="BB186" s="138">
        <f>IF('1.DATOS-PROD'!BK187="SI",VLOOKUP('1.DATOS-PROD'!BK$2,'1.PUNTOS'!$A$1:$B$63,2,0),0)</f>
        <v>0</v>
      </c>
      <c r="BC186" s="138">
        <f>IF('1.DATOS-PROD'!BL187="SI",VLOOKUP('1.DATOS-PROD'!BL$2,'1.PUNTOS'!$A$1:$B$63,2,0),0)</f>
        <v>0</v>
      </c>
      <c r="BD186" s="138">
        <f>IF('1.DATOS-PROD'!BM187="SI",VLOOKUP('1.DATOS-PROD'!BM$2,'1.PUNTOS'!$A$1:$B$63,2,0),0)</f>
        <v>0</v>
      </c>
      <c r="BE186" s="138">
        <f>IF('1.DATOS-PROD'!BN187="SI",VLOOKUP('1.DATOS-PROD'!BN$2,'1.PUNTOS'!$A$1:$B$63,2,0),0)</f>
        <v>0</v>
      </c>
      <c r="BF186" s="138">
        <f>IF('1.DATOS-PROD'!BO187="SI",VLOOKUP('1.DATOS-PROD'!BO$2,'1.PUNTOS'!$A$1:$B$63,2,0),0)</f>
        <v>0</v>
      </c>
      <c r="BG186" s="138">
        <f>IF('1.DATOS-PROD'!BP187="SI",VLOOKUP('1.DATOS-PROD'!BP$2,'1.PUNTOS'!$A$1:$B$63,2,0),0)</f>
        <v>0</v>
      </c>
      <c r="BH186" s="138">
        <f>IF('1.DATOS-PROD'!BQ187="SI",VLOOKUP('1.DATOS-PROD'!BQ$2,'1.PUNTOS'!$A$1:$B$63,2,0),0)</f>
        <v>0</v>
      </c>
      <c r="BI186" s="138">
        <f>IF('1.DATOS-PROD'!BR187="SI",VLOOKUP('1.DATOS-PROD'!BR$2,'1.PUNTOS'!$A$1:$B$63,2,0),0)</f>
        <v>0</v>
      </c>
      <c r="BJ186" s="138">
        <f>IF('1.DATOS-PROD'!BS187="SI",VLOOKUP('1.DATOS-PROD'!BS$2,'1.PUNTOS'!$A$1:$B$63,2,0),0)</f>
        <v>0</v>
      </c>
      <c r="BK186" s="138">
        <f>IF('1.DATOS-PROD'!BT187="SI",VLOOKUP('1.DATOS-PROD'!BT$2,'1.PUNTOS'!$A$1:$B$63,2,0),0)</f>
        <v>0</v>
      </c>
    </row>
    <row r="187" spans="1:63" x14ac:dyDescent="0.25">
      <c r="A187">
        <f>'0.Consolidado general'!$A188</f>
        <v>0</v>
      </c>
      <c r="B187" s="138">
        <f>IF('1.DATOS-PROD'!K188="SI",VLOOKUP('1.DATOS-PROD'!K$2,'1.PUNTOS'!$A$1:$B$63,2,0),0)</f>
        <v>0</v>
      </c>
      <c r="C187" s="138">
        <f>IF('1.DATOS-PROD'!L188="SI",VLOOKUP('1.DATOS-PROD'!L$2,'1.PUNTOS'!$A$1:$B$63,2,0),0)</f>
        <v>0</v>
      </c>
      <c r="D187" s="138">
        <f>IF('1.DATOS-PROD'!M188="SI",VLOOKUP('1.DATOS-PROD'!M$2,'1.PUNTOS'!$A$1:$B$63,2,0),0)</f>
        <v>0</v>
      </c>
      <c r="E187" s="138">
        <f>IF('1.DATOS-PROD'!N188="SI",VLOOKUP('1.DATOS-PROD'!N$2,'1.PUNTOS'!$A$1:$B$63,2,0),0)</f>
        <v>0</v>
      </c>
      <c r="F187" s="138">
        <f>IF('1.DATOS-PROD'!O188="SI",VLOOKUP('1.DATOS-PROD'!O$2,'1.PUNTOS'!$A$1:$B$63,2,0),0)</f>
        <v>0</v>
      </c>
      <c r="G187" s="138">
        <f>IF('1.DATOS-PROD'!P188="SI",VLOOKUP('1.DATOS-PROD'!P$2,'1.PUNTOS'!$A$1:$B$63,2,0),0)</f>
        <v>0</v>
      </c>
      <c r="H187" s="138">
        <f>IF('1.DATOS-PROD'!Q188="SI",VLOOKUP('1.DATOS-PROD'!Q$2,'1.PUNTOS'!$A$1:$B$63,2,0),0)</f>
        <v>0</v>
      </c>
      <c r="I187" s="138">
        <f>IF('1.DATOS-PROD'!R188="SI",VLOOKUP('1.DATOS-PROD'!R$2,'1.PUNTOS'!$A$1:$B$63,2,0),0)</f>
        <v>0</v>
      </c>
      <c r="J187" s="138">
        <f>IF('1.DATOS-PROD'!S188="SI",VLOOKUP('1.DATOS-PROD'!S$2,'1.PUNTOS'!$A$1:$B$63,2,0),0)</f>
        <v>0</v>
      </c>
      <c r="K187" s="138">
        <f>IF('1.DATOS-PROD'!T188="SI",VLOOKUP('1.DATOS-PROD'!T$2,'1.PUNTOS'!$A$1:$B$63,2,0),0)</f>
        <v>0</v>
      </c>
      <c r="L187" s="138">
        <f>IF('1.DATOS-PROD'!U188="SI",VLOOKUP('1.DATOS-PROD'!U$2,'1.PUNTOS'!$A$1:$B$63,2,0),0)</f>
        <v>0</v>
      </c>
      <c r="M187" s="138">
        <f>IF('1.DATOS-PROD'!V188="SI",VLOOKUP('1.DATOS-PROD'!V$2,'1.PUNTOS'!$A$1:$B$63,2,0),0)</f>
        <v>0</v>
      </c>
      <c r="N187" s="138">
        <f>IF('1.DATOS-PROD'!W188="SI",VLOOKUP('1.DATOS-PROD'!W$2,'1.PUNTOS'!$A$1:$B$63,2,0),0)</f>
        <v>0</v>
      </c>
      <c r="O187" s="138">
        <f>IF('1.DATOS-PROD'!X188="SI",VLOOKUP('1.DATOS-PROD'!X$2,'1.PUNTOS'!$A$1:$B$63,2,0),0)</f>
        <v>0</v>
      </c>
      <c r="P187" s="138">
        <f>IF('1.DATOS-PROD'!Y188="SI",VLOOKUP('1.DATOS-PROD'!Y$2,'1.PUNTOS'!$A$1:$B$63,2,0),0)</f>
        <v>0</v>
      </c>
      <c r="Q187" s="138">
        <f>IF('1.DATOS-PROD'!Z188="SI",VLOOKUP('1.DATOS-PROD'!Z$2,'1.PUNTOS'!$A$1:$B$63,2,0),0)</f>
        <v>0</v>
      </c>
      <c r="R187" s="138">
        <f>IF('1.DATOS-PROD'!AA188="SI",VLOOKUP('1.DATOS-PROD'!AA$2,'1.PUNTOS'!$A$1:$B$63,2,0),0)</f>
        <v>0</v>
      </c>
      <c r="S187" s="138">
        <f>IF('1.DATOS-PROD'!AB188="SI",VLOOKUP('1.DATOS-PROD'!AB$2,'1.PUNTOS'!$A$1:$B$63,2,0),0)</f>
        <v>0</v>
      </c>
      <c r="T187" s="138">
        <f>IF('1.DATOS-PROD'!AC188="SI",VLOOKUP('1.DATOS-PROD'!AC$2,'1.PUNTOS'!$A$1:$B$63,2,0),0)</f>
        <v>0</v>
      </c>
      <c r="U187" s="138">
        <f>IF('1.DATOS-PROD'!AD188="SI",VLOOKUP('1.DATOS-PROD'!AD$2,'1.PUNTOS'!$A$1:$B$63,2,0),0)</f>
        <v>0</v>
      </c>
      <c r="V187" s="138">
        <f>IF('1.DATOS-PROD'!AE188="SI",VLOOKUP('1.DATOS-PROD'!AE$2,'1.PUNTOS'!$A$1:$B$63,2,0),0)</f>
        <v>0</v>
      </c>
      <c r="W187" s="138">
        <f>IF('1.DATOS-PROD'!AF188="SI",VLOOKUP('1.DATOS-PROD'!AF$2,'1.PUNTOS'!$A$1:$B$63,2,0),0)</f>
        <v>0</v>
      </c>
      <c r="X187" s="138">
        <f>IF('1.DATOS-PROD'!AG188="SI",VLOOKUP('1.DATOS-PROD'!AG$2,'1.PUNTOS'!$A$1:$B$63,2,0),0)</f>
        <v>0</v>
      </c>
      <c r="Y187" s="138">
        <f>IF('1.DATOS-PROD'!AH188="SI",VLOOKUP('1.DATOS-PROD'!AH$2,'1.PUNTOS'!$A$1:$B$63,2,0),0)</f>
        <v>0</v>
      </c>
      <c r="Z187" s="138">
        <f>IF('1.DATOS-PROD'!AI188="SI",VLOOKUP('1.DATOS-PROD'!AI$2,'1.PUNTOS'!$A$1:$B$63,2,0),0)</f>
        <v>0</v>
      </c>
      <c r="AA187" s="138">
        <f>IF('1.DATOS-PROD'!AJ188="SI",VLOOKUP('1.DATOS-PROD'!AJ$2,'1.PUNTOS'!$A$1:$B$63,2,0),0)</f>
        <v>0</v>
      </c>
      <c r="AB187" s="138">
        <f>IF('1.DATOS-PROD'!AK188="SI",VLOOKUP('1.DATOS-PROD'!AK$2,'1.PUNTOS'!$A$1:$B$63,2,0),0)</f>
        <v>0</v>
      </c>
      <c r="AC187" s="138">
        <f>IF('1.DATOS-PROD'!AL188="SI",VLOOKUP('1.DATOS-PROD'!AL$2,'1.PUNTOS'!$A$1:$B$63,2,0),0)</f>
        <v>0</v>
      </c>
      <c r="AD187" s="138">
        <f>IF('1.DATOS-PROD'!AM188="SI",VLOOKUP('1.DATOS-PROD'!AM$2,'1.PUNTOS'!$A$1:$B$63,2,0),0)</f>
        <v>0</v>
      </c>
      <c r="AE187" s="138">
        <f>IF('1.DATOS-PROD'!AN188="SI",VLOOKUP('1.DATOS-PROD'!AN$2,'1.PUNTOS'!$A$1:$B$63,2,0),0)</f>
        <v>0</v>
      </c>
      <c r="AF187" s="138">
        <f>IF('1.DATOS-PROD'!AO188="SI",VLOOKUP('1.DATOS-PROD'!AO$2,'1.PUNTOS'!$A$1:$B$63,2,0),0)</f>
        <v>0</v>
      </c>
      <c r="AG187" s="138">
        <f>IF('1.DATOS-PROD'!AP188="SI",VLOOKUP('1.DATOS-PROD'!AP$2,'1.PUNTOS'!$A$1:$B$63,2,0),0)</f>
        <v>0</v>
      </c>
      <c r="AH187" s="138">
        <f>IF('1.DATOS-PROD'!AQ188="SI",VLOOKUP('1.DATOS-PROD'!AQ$2,'1.PUNTOS'!$A$1:$B$63,2,0),0)</f>
        <v>0</v>
      </c>
      <c r="AI187" s="138">
        <f>IF('1.DATOS-PROD'!AR188="SI",VLOOKUP('1.DATOS-PROD'!AR$2,'1.PUNTOS'!$A$1:$B$63,2,0),0)</f>
        <v>0</v>
      </c>
      <c r="AJ187" s="138">
        <f>IF('1.DATOS-PROD'!AS188="SI",VLOOKUP('1.DATOS-PROD'!AS$2,'1.PUNTOS'!$A$1:$B$63,2,0),0)</f>
        <v>0</v>
      </c>
      <c r="AK187" s="138">
        <f>IF('1.DATOS-PROD'!AT188="SI",VLOOKUP('1.DATOS-PROD'!AT$2,'1.PUNTOS'!$A$1:$B$63,2,0),0)</f>
        <v>0</v>
      </c>
      <c r="AL187" s="138">
        <f>IF('1.DATOS-PROD'!AU188="SI",VLOOKUP('1.DATOS-PROD'!AU$2,'1.PUNTOS'!$A$1:$B$63,2,0),0)</f>
        <v>0</v>
      </c>
      <c r="AM187" s="138">
        <f>IF('1.DATOS-PROD'!AV188="SI",VLOOKUP('1.DATOS-PROD'!AV$2,'1.PUNTOS'!$A$1:$B$63,2,0),0)</f>
        <v>0</v>
      </c>
      <c r="AN187" s="138">
        <f>IF('1.DATOS-PROD'!AW188="SI",VLOOKUP('1.DATOS-PROD'!AW$2,'1.PUNTOS'!$A$1:$B$63,2,0),0)</f>
        <v>0</v>
      </c>
      <c r="AO187" s="138">
        <f>IF('1.DATOS-PROD'!AX188="SI",VLOOKUP('1.DATOS-PROD'!AX$2,'1.PUNTOS'!$A$1:$B$63,2,0),0)</f>
        <v>0</v>
      </c>
      <c r="AP187" s="138">
        <f>IF('1.DATOS-PROD'!AY188="SI",VLOOKUP('1.DATOS-PROD'!AY$2,'1.PUNTOS'!$A$1:$B$63,2,0),0)</f>
        <v>0</v>
      </c>
      <c r="AQ187" s="138">
        <f>IF('1.DATOS-PROD'!AZ188="SI",VLOOKUP('1.DATOS-PROD'!AZ$2,'1.PUNTOS'!$A$1:$B$63,2,0),0)</f>
        <v>0</v>
      </c>
      <c r="AR187" s="138">
        <f>IF('1.DATOS-PROD'!BA188="SI",VLOOKUP('1.DATOS-PROD'!BA$2,'1.PUNTOS'!$A$1:$B$63,2,0),0)</f>
        <v>0</v>
      </c>
      <c r="AS187" s="138">
        <f>IF('1.DATOS-PROD'!BB188="SI",VLOOKUP('1.DATOS-PROD'!BB$2,'1.PUNTOS'!$A$1:$B$63,2,0),0)</f>
        <v>0</v>
      </c>
      <c r="AT187" s="138">
        <f>IF('1.DATOS-PROD'!BC188="SI",VLOOKUP('1.DATOS-PROD'!BC$2,'1.PUNTOS'!$A$1:$B$63,2,0),0)</f>
        <v>0</v>
      </c>
      <c r="AU187" s="138">
        <f>IF('1.DATOS-PROD'!BD188="SI",VLOOKUP('1.DATOS-PROD'!BD$2,'1.PUNTOS'!$A$1:$B$63,2,0),0)</f>
        <v>0</v>
      </c>
      <c r="AV187" s="138">
        <f>IF('1.DATOS-PROD'!BE188="SI",VLOOKUP('1.DATOS-PROD'!BE$2,'1.PUNTOS'!$A$1:$B$63,2,0),0)</f>
        <v>0</v>
      </c>
      <c r="AW187" s="138">
        <f>IF('1.DATOS-PROD'!BF188="SI",VLOOKUP('1.DATOS-PROD'!BF$2,'1.PUNTOS'!$A$1:$B$63,2,0),0)</f>
        <v>0</v>
      </c>
      <c r="AX187" s="138">
        <f>IF('1.DATOS-PROD'!BG188="SI",VLOOKUP('1.DATOS-PROD'!BG$2,'1.PUNTOS'!$A$1:$B$63,2,0),0)</f>
        <v>0</v>
      </c>
      <c r="AY187" s="138">
        <f>IF('1.DATOS-PROD'!BH188="SI",VLOOKUP('1.DATOS-PROD'!BH$2,'1.PUNTOS'!$A$1:$B$63,2,0),0)</f>
        <v>0</v>
      </c>
      <c r="AZ187" s="138">
        <f>IF('1.DATOS-PROD'!BI188="SI",VLOOKUP('1.DATOS-PROD'!BI$2,'1.PUNTOS'!$A$1:$B$63,2,0),0)</f>
        <v>0</v>
      </c>
      <c r="BA187" s="138">
        <f>IF('1.DATOS-PROD'!BJ188="SI",VLOOKUP('1.DATOS-PROD'!BJ$2,'1.PUNTOS'!$A$1:$B$63,2,0),0)</f>
        <v>0</v>
      </c>
      <c r="BB187" s="138">
        <f>IF('1.DATOS-PROD'!BK188="SI",VLOOKUP('1.DATOS-PROD'!BK$2,'1.PUNTOS'!$A$1:$B$63,2,0),0)</f>
        <v>0</v>
      </c>
      <c r="BC187" s="138">
        <f>IF('1.DATOS-PROD'!BL188="SI",VLOOKUP('1.DATOS-PROD'!BL$2,'1.PUNTOS'!$A$1:$B$63,2,0),0)</f>
        <v>0</v>
      </c>
      <c r="BD187" s="138">
        <f>IF('1.DATOS-PROD'!BM188="SI",VLOOKUP('1.DATOS-PROD'!BM$2,'1.PUNTOS'!$A$1:$B$63,2,0),0)</f>
        <v>0</v>
      </c>
      <c r="BE187" s="138">
        <f>IF('1.DATOS-PROD'!BN188="SI",VLOOKUP('1.DATOS-PROD'!BN$2,'1.PUNTOS'!$A$1:$B$63,2,0),0)</f>
        <v>0</v>
      </c>
      <c r="BF187" s="138">
        <f>IF('1.DATOS-PROD'!BO188="SI",VLOOKUP('1.DATOS-PROD'!BO$2,'1.PUNTOS'!$A$1:$B$63,2,0),0)</f>
        <v>0</v>
      </c>
      <c r="BG187" s="138">
        <f>IF('1.DATOS-PROD'!BP188="SI",VLOOKUP('1.DATOS-PROD'!BP$2,'1.PUNTOS'!$A$1:$B$63,2,0),0)</f>
        <v>0</v>
      </c>
      <c r="BH187" s="138">
        <f>IF('1.DATOS-PROD'!BQ188="SI",VLOOKUP('1.DATOS-PROD'!BQ$2,'1.PUNTOS'!$A$1:$B$63,2,0),0)</f>
        <v>0</v>
      </c>
      <c r="BI187" s="138">
        <f>IF('1.DATOS-PROD'!BR188="SI",VLOOKUP('1.DATOS-PROD'!BR$2,'1.PUNTOS'!$A$1:$B$63,2,0),0)</f>
        <v>0</v>
      </c>
      <c r="BJ187" s="138">
        <f>IF('1.DATOS-PROD'!BS188="SI",VLOOKUP('1.DATOS-PROD'!BS$2,'1.PUNTOS'!$A$1:$B$63,2,0),0)</f>
        <v>0</v>
      </c>
      <c r="BK187" s="138">
        <f>IF('1.DATOS-PROD'!BT188="SI",VLOOKUP('1.DATOS-PROD'!BT$2,'1.PUNTOS'!$A$1:$B$63,2,0),0)</f>
        <v>0</v>
      </c>
    </row>
    <row r="188" spans="1:63" x14ac:dyDescent="0.25">
      <c r="A188">
        <f>'0.Consolidado general'!$A189</f>
        <v>0</v>
      </c>
      <c r="B188" s="138">
        <f>IF('1.DATOS-PROD'!K189="SI",VLOOKUP('1.DATOS-PROD'!K$2,'1.PUNTOS'!$A$1:$B$63,2,0),0)</f>
        <v>0</v>
      </c>
      <c r="C188" s="138">
        <f>IF('1.DATOS-PROD'!L189="SI",VLOOKUP('1.DATOS-PROD'!L$2,'1.PUNTOS'!$A$1:$B$63,2,0),0)</f>
        <v>0</v>
      </c>
      <c r="D188" s="138">
        <f>IF('1.DATOS-PROD'!M189="SI",VLOOKUP('1.DATOS-PROD'!M$2,'1.PUNTOS'!$A$1:$B$63,2,0),0)</f>
        <v>0</v>
      </c>
      <c r="E188" s="138">
        <f>IF('1.DATOS-PROD'!N189="SI",VLOOKUP('1.DATOS-PROD'!N$2,'1.PUNTOS'!$A$1:$B$63,2,0),0)</f>
        <v>0</v>
      </c>
      <c r="F188" s="138">
        <f>IF('1.DATOS-PROD'!O189="SI",VLOOKUP('1.DATOS-PROD'!O$2,'1.PUNTOS'!$A$1:$B$63,2,0),0)</f>
        <v>0</v>
      </c>
      <c r="G188" s="138">
        <f>IF('1.DATOS-PROD'!P189="SI",VLOOKUP('1.DATOS-PROD'!P$2,'1.PUNTOS'!$A$1:$B$63,2,0),0)</f>
        <v>0</v>
      </c>
      <c r="H188" s="138">
        <f>IF('1.DATOS-PROD'!Q189="SI",VLOOKUP('1.DATOS-PROD'!Q$2,'1.PUNTOS'!$A$1:$B$63,2,0),0)</f>
        <v>0</v>
      </c>
      <c r="I188" s="138">
        <f>IF('1.DATOS-PROD'!R189="SI",VLOOKUP('1.DATOS-PROD'!R$2,'1.PUNTOS'!$A$1:$B$63,2,0),0)</f>
        <v>0</v>
      </c>
      <c r="J188" s="138">
        <f>IF('1.DATOS-PROD'!S189="SI",VLOOKUP('1.DATOS-PROD'!S$2,'1.PUNTOS'!$A$1:$B$63,2,0),0)</f>
        <v>0</v>
      </c>
      <c r="K188" s="138">
        <f>IF('1.DATOS-PROD'!T189="SI",VLOOKUP('1.DATOS-PROD'!T$2,'1.PUNTOS'!$A$1:$B$63,2,0),0)</f>
        <v>0</v>
      </c>
      <c r="L188" s="138">
        <f>IF('1.DATOS-PROD'!U189="SI",VLOOKUP('1.DATOS-PROD'!U$2,'1.PUNTOS'!$A$1:$B$63,2,0),0)</f>
        <v>0</v>
      </c>
      <c r="M188" s="138">
        <f>IF('1.DATOS-PROD'!V189="SI",VLOOKUP('1.DATOS-PROD'!V$2,'1.PUNTOS'!$A$1:$B$63,2,0),0)</f>
        <v>0</v>
      </c>
      <c r="N188" s="138">
        <f>IF('1.DATOS-PROD'!W189="SI",VLOOKUP('1.DATOS-PROD'!W$2,'1.PUNTOS'!$A$1:$B$63,2,0),0)</f>
        <v>0</v>
      </c>
      <c r="O188" s="138">
        <f>IF('1.DATOS-PROD'!X189="SI",VLOOKUP('1.DATOS-PROD'!X$2,'1.PUNTOS'!$A$1:$B$63,2,0),0)</f>
        <v>0</v>
      </c>
      <c r="P188" s="138">
        <f>IF('1.DATOS-PROD'!Y189="SI",VLOOKUP('1.DATOS-PROD'!Y$2,'1.PUNTOS'!$A$1:$B$63,2,0),0)</f>
        <v>0</v>
      </c>
      <c r="Q188" s="138">
        <f>IF('1.DATOS-PROD'!Z189="SI",VLOOKUP('1.DATOS-PROD'!Z$2,'1.PUNTOS'!$A$1:$B$63,2,0),0)</f>
        <v>0</v>
      </c>
      <c r="R188" s="138">
        <f>IF('1.DATOS-PROD'!AA189="SI",VLOOKUP('1.DATOS-PROD'!AA$2,'1.PUNTOS'!$A$1:$B$63,2,0),0)</f>
        <v>0</v>
      </c>
      <c r="S188" s="138">
        <f>IF('1.DATOS-PROD'!AB189="SI",VLOOKUP('1.DATOS-PROD'!AB$2,'1.PUNTOS'!$A$1:$B$63,2,0),0)</f>
        <v>0</v>
      </c>
      <c r="T188" s="138">
        <f>IF('1.DATOS-PROD'!AC189="SI",VLOOKUP('1.DATOS-PROD'!AC$2,'1.PUNTOS'!$A$1:$B$63,2,0),0)</f>
        <v>0</v>
      </c>
      <c r="U188" s="138">
        <f>IF('1.DATOS-PROD'!AD189="SI",VLOOKUP('1.DATOS-PROD'!AD$2,'1.PUNTOS'!$A$1:$B$63,2,0),0)</f>
        <v>0</v>
      </c>
      <c r="V188" s="138">
        <f>IF('1.DATOS-PROD'!AE189="SI",VLOOKUP('1.DATOS-PROD'!AE$2,'1.PUNTOS'!$A$1:$B$63,2,0),0)</f>
        <v>0</v>
      </c>
      <c r="W188" s="138">
        <f>IF('1.DATOS-PROD'!AF189="SI",VLOOKUP('1.DATOS-PROD'!AF$2,'1.PUNTOS'!$A$1:$B$63,2,0),0)</f>
        <v>0</v>
      </c>
      <c r="X188" s="138">
        <f>IF('1.DATOS-PROD'!AG189="SI",VLOOKUP('1.DATOS-PROD'!AG$2,'1.PUNTOS'!$A$1:$B$63,2,0),0)</f>
        <v>0</v>
      </c>
      <c r="Y188" s="138">
        <f>IF('1.DATOS-PROD'!AH189="SI",VLOOKUP('1.DATOS-PROD'!AH$2,'1.PUNTOS'!$A$1:$B$63,2,0),0)</f>
        <v>0</v>
      </c>
      <c r="Z188" s="138">
        <f>IF('1.DATOS-PROD'!AI189="SI",VLOOKUP('1.DATOS-PROD'!AI$2,'1.PUNTOS'!$A$1:$B$63,2,0),0)</f>
        <v>0</v>
      </c>
      <c r="AA188" s="138">
        <f>IF('1.DATOS-PROD'!AJ189="SI",VLOOKUP('1.DATOS-PROD'!AJ$2,'1.PUNTOS'!$A$1:$B$63,2,0),0)</f>
        <v>0</v>
      </c>
      <c r="AB188" s="138">
        <f>IF('1.DATOS-PROD'!AK189="SI",VLOOKUP('1.DATOS-PROD'!AK$2,'1.PUNTOS'!$A$1:$B$63,2,0),0)</f>
        <v>0</v>
      </c>
      <c r="AC188" s="138">
        <f>IF('1.DATOS-PROD'!AL189="SI",VLOOKUP('1.DATOS-PROD'!AL$2,'1.PUNTOS'!$A$1:$B$63,2,0),0)</f>
        <v>0</v>
      </c>
      <c r="AD188" s="138">
        <f>IF('1.DATOS-PROD'!AM189="SI",VLOOKUP('1.DATOS-PROD'!AM$2,'1.PUNTOS'!$A$1:$B$63,2,0),0)</f>
        <v>0</v>
      </c>
      <c r="AE188" s="138">
        <f>IF('1.DATOS-PROD'!AN189="SI",VLOOKUP('1.DATOS-PROD'!AN$2,'1.PUNTOS'!$A$1:$B$63,2,0),0)</f>
        <v>0</v>
      </c>
      <c r="AF188" s="138">
        <f>IF('1.DATOS-PROD'!AO189="SI",VLOOKUP('1.DATOS-PROD'!AO$2,'1.PUNTOS'!$A$1:$B$63,2,0),0)</f>
        <v>0</v>
      </c>
      <c r="AG188" s="138">
        <f>IF('1.DATOS-PROD'!AP189="SI",VLOOKUP('1.DATOS-PROD'!AP$2,'1.PUNTOS'!$A$1:$B$63,2,0),0)</f>
        <v>0</v>
      </c>
      <c r="AH188" s="138">
        <f>IF('1.DATOS-PROD'!AQ189="SI",VLOOKUP('1.DATOS-PROD'!AQ$2,'1.PUNTOS'!$A$1:$B$63,2,0),0)</f>
        <v>0</v>
      </c>
      <c r="AI188" s="138">
        <f>IF('1.DATOS-PROD'!AR189="SI",VLOOKUP('1.DATOS-PROD'!AR$2,'1.PUNTOS'!$A$1:$B$63,2,0),0)</f>
        <v>0</v>
      </c>
      <c r="AJ188" s="138">
        <f>IF('1.DATOS-PROD'!AS189="SI",VLOOKUP('1.DATOS-PROD'!AS$2,'1.PUNTOS'!$A$1:$B$63,2,0),0)</f>
        <v>0</v>
      </c>
      <c r="AK188" s="138">
        <f>IF('1.DATOS-PROD'!AT189="SI",VLOOKUP('1.DATOS-PROD'!AT$2,'1.PUNTOS'!$A$1:$B$63,2,0),0)</f>
        <v>0</v>
      </c>
      <c r="AL188" s="138">
        <f>IF('1.DATOS-PROD'!AU189="SI",VLOOKUP('1.DATOS-PROD'!AU$2,'1.PUNTOS'!$A$1:$B$63,2,0),0)</f>
        <v>0</v>
      </c>
      <c r="AM188" s="138">
        <f>IF('1.DATOS-PROD'!AV189="SI",VLOOKUP('1.DATOS-PROD'!AV$2,'1.PUNTOS'!$A$1:$B$63,2,0),0)</f>
        <v>0</v>
      </c>
      <c r="AN188" s="138">
        <f>IF('1.DATOS-PROD'!AW189="SI",VLOOKUP('1.DATOS-PROD'!AW$2,'1.PUNTOS'!$A$1:$B$63,2,0),0)</f>
        <v>0</v>
      </c>
      <c r="AO188" s="138">
        <f>IF('1.DATOS-PROD'!AX189="SI",VLOOKUP('1.DATOS-PROD'!AX$2,'1.PUNTOS'!$A$1:$B$63,2,0),0)</f>
        <v>0</v>
      </c>
      <c r="AP188" s="138">
        <f>IF('1.DATOS-PROD'!AY189="SI",VLOOKUP('1.DATOS-PROD'!AY$2,'1.PUNTOS'!$A$1:$B$63,2,0),0)</f>
        <v>0</v>
      </c>
      <c r="AQ188" s="138">
        <f>IF('1.DATOS-PROD'!AZ189="SI",VLOOKUP('1.DATOS-PROD'!AZ$2,'1.PUNTOS'!$A$1:$B$63,2,0),0)</f>
        <v>0</v>
      </c>
      <c r="AR188" s="138">
        <f>IF('1.DATOS-PROD'!BA189="SI",VLOOKUP('1.DATOS-PROD'!BA$2,'1.PUNTOS'!$A$1:$B$63,2,0),0)</f>
        <v>0</v>
      </c>
      <c r="AS188" s="138">
        <f>IF('1.DATOS-PROD'!BB189="SI",VLOOKUP('1.DATOS-PROD'!BB$2,'1.PUNTOS'!$A$1:$B$63,2,0),0)</f>
        <v>0</v>
      </c>
      <c r="AT188" s="138">
        <f>IF('1.DATOS-PROD'!BC189="SI",VLOOKUP('1.DATOS-PROD'!BC$2,'1.PUNTOS'!$A$1:$B$63,2,0),0)</f>
        <v>0</v>
      </c>
      <c r="AU188" s="138">
        <f>IF('1.DATOS-PROD'!BD189="SI",VLOOKUP('1.DATOS-PROD'!BD$2,'1.PUNTOS'!$A$1:$B$63,2,0),0)</f>
        <v>0</v>
      </c>
      <c r="AV188" s="138">
        <f>IF('1.DATOS-PROD'!BE189="SI",VLOOKUP('1.DATOS-PROD'!BE$2,'1.PUNTOS'!$A$1:$B$63,2,0),0)</f>
        <v>0</v>
      </c>
      <c r="AW188" s="138">
        <f>IF('1.DATOS-PROD'!BF189="SI",VLOOKUP('1.DATOS-PROD'!BF$2,'1.PUNTOS'!$A$1:$B$63,2,0),0)</f>
        <v>0</v>
      </c>
      <c r="AX188" s="138">
        <f>IF('1.DATOS-PROD'!BG189="SI",VLOOKUP('1.DATOS-PROD'!BG$2,'1.PUNTOS'!$A$1:$B$63,2,0),0)</f>
        <v>0</v>
      </c>
      <c r="AY188" s="138">
        <f>IF('1.DATOS-PROD'!BH189="SI",VLOOKUP('1.DATOS-PROD'!BH$2,'1.PUNTOS'!$A$1:$B$63,2,0),0)</f>
        <v>0</v>
      </c>
      <c r="AZ188" s="138">
        <f>IF('1.DATOS-PROD'!BI189="SI",VLOOKUP('1.DATOS-PROD'!BI$2,'1.PUNTOS'!$A$1:$B$63,2,0),0)</f>
        <v>0</v>
      </c>
      <c r="BA188" s="138">
        <f>IF('1.DATOS-PROD'!BJ189="SI",VLOOKUP('1.DATOS-PROD'!BJ$2,'1.PUNTOS'!$A$1:$B$63,2,0),0)</f>
        <v>0</v>
      </c>
      <c r="BB188" s="138">
        <f>IF('1.DATOS-PROD'!BK189="SI",VLOOKUP('1.DATOS-PROD'!BK$2,'1.PUNTOS'!$A$1:$B$63,2,0),0)</f>
        <v>0</v>
      </c>
      <c r="BC188" s="138">
        <f>IF('1.DATOS-PROD'!BL189="SI",VLOOKUP('1.DATOS-PROD'!BL$2,'1.PUNTOS'!$A$1:$B$63,2,0),0)</f>
        <v>0</v>
      </c>
      <c r="BD188" s="138">
        <f>IF('1.DATOS-PROD'!BM189="SI",VLOOKUP('1.DATOS-PROD'!BM$2,'1.PUNTOS'!$A$1:$B$63,2,0),0)</f>
        <v>0</v>
      </c>
      <c r="BE188" s="138">
        <f>IF('1.DATOS-PROD'!BN189="SI",VLOOKUP('1.DATOS-PROD'!BN$2,'1.PUNTOS'!$A$1:$B$63,2,0),0)</f>
        <v>0</v>
      </c>
      <c r="BF188" s="138">
        <f>IF('1.DATOS-PROD'!BO189="SI",VLOOKUP('1.DATOS-PROD'!BO$2,'1.PUNTOS'!$A$1:$B$63,2,0),0)</f>
        <v>0</v>
      </c>
      <c r="BG188" s="138">
        <f>IF('1.DATOS-PROD'!BP189="SI",VLOOKUP('1.DATOS-PROD'!BP$2,'1.PUNTOS'!$A$1:$B$63,2,0),0)</f>
        <v>0</v>
      </c>
      <c r="BH188" s="138">
        <f>IF('1.DATOS-PROD'!BQ189="SI",VLOOKUP('1.DATOS-PROD'!BQ$2,'1.PUNTOS'!$A$1:$B$63,2,0),0)</f>
        <v>0</v>
      </c>
      <c r="BI188" s="138">
        <f>IF('1.DATOS-PROD'!BR189="SI",VLOOKUP('1.DATOS-PROD'!BR$2,'1.PUNTOS'!$A$1:$B$63,2,0),0)</f>
        <v>0</v>
      </c>
      <c r="BJ188" s="138">
        <f>IF('1.DATOS-PROD'!BS189="SI",VLOOKUP('1.DATOS-PROD'!BS$2,'1.PUNTOS'!$A$1:$B$63,2,0),0)</f>
        <v>0</v>
      </c>
      <c r="BK188" s="138">
        <f>IF('1.DATOS-PROD'!BT189="SI",VLOOKUP('1.DATOS-PROD'!BT$2,'1.PUNTOS'!$A$1:$B$63,2,0),0)</f>
        <v>0</v>
      </c>
    </row>
    <row r="189" spans="1:63" x14ac:dyDescent="0.25">
      <c r="A189">
        <f>'0.Consolidado general'!$A190</f>
        <v>0</v>
      </c>
      <c r="B189" s="138">
        <f>IF('1.DATOS-PROD'!K190="SI",VLOOKUP('1.DATOS-PROD'!K$2,'1.PUNTOS'!$A$1:$B$63,2,0),0)</f>
        <v>0</v>
      </c>
      <c r="C189" s="138">
        <f>IF('1.DATOS-PROD'!L190="SI",VLOOKUP('1.DATOS-PROD'!L$2,'1.PUNTOS'!$A$1:$B$63,2,0),0)</f>
        <v>0</v>
      </c>
      <c r="D189" s="138">
        <f>IF('1.DATOS-PROD'!M190="SI",VLOOKUP('1.DATOS-PROD'!M$2,'1.PUNTOS'!$A$1:$B$63,2,0),0)</f>
        <v>0</v>
      </c>
      <c r="E189" s="138">
        <f>IF('1.DATOS-PROD'!N190="SI",VLOOKUP('1.DATOS-PROD'!N$2,'1.PUNTOS'!$A$1:$B$63,2,0),0)</f>
        <v>0</v>
      </c>
      <c r="F189" s="138">
        <f>IF('1.DATOS-PROD'!O190="SI",VLOOKUP('1.DATOS-PROD'!O$2,'1.PUNTOS'!$A$1:$B$63,2,0),0)</f>
        <v>0</v>
      </c>
      <c r="G189" s="138">
        <f>IF('1.DATOS-PROD'!P190="SI",VLOOKUP('1.DATOS-PROD'!P$2,'1.PUNTOS'!$A$1:$B$63,2,0),0)</f>
        <v>0</v>
      </c>
      <c r="H189" s="138">
        <f>IF('1.DATOS-PROD'!Q190="SI",VLOOKUP('1.DATOS-PROD'!Q$2,'1.PUNTOS'!$A$1:$B$63,2,0),0)</f>
        <v>0</v>
      </c>
      <c r="I189" s="138">
        <f>IF('1.DATOS-PROD'!R190="SI",VLOOKUP('1.DATOS-PROD'!R$2,'1.PUNTOS'!$A$1:$B$63,2,0),0)</f>
        <v>0</v>
      </c>
      <c r="J189" s="138">
        <f>IF('1.DATOS-PROD'!S190="SI",VLOOKUP('1.DATOS-PROD'!S$2,'1.PUNTOS'!$A$1:$B$63,2,0),0)</f>
        <v>0</v>
      </c>
      <c r="K189" s="138">
        <f>IF('1.DATOS-PROD'!T190="SI",VLOOKUP('1.DATOS-PROD'!T$2,'1.PUNTOS'!$A$1:$B$63,2,0),0)</f>
        <v>0</v>
      </c>
      <c r="L189" s="138">
        <f>IF('1.DATOS-PROD'!U190="SI",VLOOKUP('1.DATOS-PROD'!U$2,'1.PUNTOS'!$A$1:$B$63,2,0),0)</f>
        <v>0</v>
      </c>
      <c r="M189" s="138">
        <f>IF('1.DATOS-PROD'!V190="SI",VLOOKUP('1.DATOS-PROD'!V$2,'1.PUNTOS'!$A$1:$B$63,2,0),0)</f>
        <v>0</v>
      </c>
      <c r="N189" s="138">
        <f>IF('1.DATOS-PROD'!W190="SI",VLOOKUP('1.DATOS-PROD'!W$2,'1.PUNTOS'!$A$1:$B$63,2,0),0)</f>
        <v>0</v>
      </c>
      <c r="O189" s="138">
        <f>IF('1.DATOS-PROD'!X190="SI",VLOOKUP('1.DATOS-PROD'!X$2,'1.PUNTOS'!$A$1:$B$63,2,0),0)</f>
        <v>0</v>
      </c>
      <c r="P189" s="138">
        <f>IF('1.DATOS-PROD'!Y190="SI",VLOOKUP('1.DATOS-PROD'!Y$2,'1.PUNTOS'!$A$1:$B$63,2,0),0)</f>
        <v>0</v>
      </c>
      <c r="Q189" s="138">
        <f>IF('1.DATOS-PROD'!Z190="SI",VLOOKUP('1.DATOS-PROD'!Z$2,'1.PUNTOS'!$A$1:$B$63,2,0),0)</f>
        <v>0</v>
      </c>
      <c r="R189" s="138">
        <f>IF('1.DATOS-PROD'!AA190="SI",VLOOKUP('1.DATOS-PROD'!AA$2,'1.PUNTOS'!$A$1:$B$63,2,0),0)</f>
        <v>0</v>
      </c>
      <c r="S189" s="138">
        <f>IF('1.DATOS-PROD'!AB190="SI",VLOOKUP('1.DATOS-PROD'!AB$2,'1.PUNTOS'!$A$1:$B$63,2,0),0)</f>
        <v>0</v>
      </c>
      <c r="T189" s="138">
        <f>IF('1.DATOS-PROD'!AC190="SI",VLOOKUP('1.DATOS-PROD'!AC$2,'1.PUNTOS'!$A$1:$B$63,2,0),0)</f>
        <v>0</v>
      </c>
      <c r="U189" s="138">
        <f>IF('1.DATOS-PROD'!AD190="SI",VLOOKUP('1.DATOS-PROD'!AD$2,'1.PUNTOS'!$A$1:$B$63,2,0),0)</f>
        <v>0</v>
      </c>
      <c r="V189" s="138">
        <f>IF('1.DATOS-PROD'!AE190="SI",VLOOKUP('1.DATOS-PROD'!AE$2,'1.PUNTOS'!$A$1:$B$63,2,0),0)</f>
        <v>0</v>
      </c>
      <c r="W189" s="138">
        <f>IF('1.DATOS-PROD'!AF190="SI",VLOOKUP('1.DATOS-PROD'!AF$2,'1.PUNTOS'!$A$1:$B$63,2,0),0)</f>
        <v>0</v>
      </c>
      <c r="X189" s="138">
        <f>IF('1.DATOS-PROD'!AG190="SI",VLOOKUP('1.DATOS-PROD'!AG$2,'1.PUNTOS'!$A$1:$B$63,2,0),0)</f>
        <v>0</v>
      </c>
      <c r="Y189" s="138">
        <f>IF('1.DATOS-PROD'!AH190="SI",VLOOKUP('1.DATOS-PROD'!AH$2,'1.PUNTOS'!$A$1:$B$63,2,0),0)</f>
        <v>0</v>
      </c>
      <c r="Z189" s="138">
        <f>IF('1.DATOS-PROD'!AI190="SI",VLOOKUP('1.DATOS-PROD'!AI$2,'1.PUNTOS'!$A$1:$B$63,2,0),0)</f>
        <v>0</v>
      </c>
      <c r="AA189" s="138">
        <f>IF('1.DATOS-PROD'!AJ190="SI",VLOOKUP('1.DATOS-PROD'!AJ$2,'1.PUNTOS'!$A$1:$B$63,2,0),0)</f>
        <v>0</v>
      </c>
      <c r="AB189" s="138">
        <f>IF('1.DATOS-PROD'!AK190="SI",VLOOKUP('1.DATOS-PROD'!AK$2,'1.PUNTOS'!$A$1:$B$63,2,0),0)</f>
        <v>0</v>
      </c>
      <c r="AC189" s="138">
        <f>IF('1.DATOS-PROD'!AL190="SI",VLOOKUP('1.DATOS-PROD'!AL$2,'1.PUNTOS'!$A$1:$B$63,2,0),0)</f>
        <v>0</v>
      </c>
      <c r="AD189" s="138">
        <f>IF('1.DATOS-PROD'!AM190="SI",VLOOKUP('1.DATOS-PROD'!AM$2,'1.PUNTOS'!$A$1:$B$63,2,0),0)</f>
        <v>0</v>
      </c>
      <c r="AE189" s="138">
        <f>IF('1.DATOS-PROD'!AN190="SI",VLOOKUP('1.DATOS-PROD'!AN$2,'1.PUNTOS'!$A$1:$B$63,2,0),0)</f>
        <v>0</v>
      </c>
      <c r="AF189" s="138">
        <f>IF('1.DATOS-PROD'!AO190="SI",VLOOKUP('1.DATOS-PROD'!AO$2,'1.PUNTOS'!$A$1:$B$63,2,0),0)</f>
        <v>0</v>
      </c>
      <c r="AG189" s="138">
        <f>IF('1.DATOS-PROD'!AP190="SI",VLOOKUP('1.DATOS-PROD'!AP$2,'1.PUNTOS'!$A$1:$B$63,2,0),0)</f>
        <v>0</v>
      </c>
      <c r="AH189" s="138">
        <f>IF('1.DATOS-PROD'!AQ190="SI",VLOOKUP('1.DATOS-PROD'!AQ$2,'1.PUNTOS'!$A$1:$B$63,2,0),0)</f>
        <v>0</v>
      </c>
      <c r="AI189" s="138">
        <f>IF('1.DATOS-PROD'!AR190="SI",VLOOKUP('1.DATOS-PROD'!AR$2,'1.PUNTOS'!$A$1:$B$63,2,0),0)</f>
        <v>0</v>
      </c>
      <c r="AJ189" s="138">
        <f>IF('1.DATOS-PROD'!AS190="SI",VLOOKUP('1.DATOS-PROD'!AS$2,'1.PUNTOS'!$A$1:$B$63,2,0),0)</f>
        <v>0</v>
      </c>
      <c r="AK189" s="138">
        <f>IF('1.DATOS-PROD'!AT190="SI",VLOOKUP('1.DATOS-PROD'!AT$2,'1.PUNTOS'!$A$1:$B$63,2,0),0)</f>
        <v>0</v>
      </c>
      <c r="AL189" s="138">
        <f>IF('1.DATOS-PROD'!AU190="SI",VLOOKUP('1.DATOS-PROD'!AU$2,'1.PUNTOS'!$A$1:$B$63,2,0),0)</f>
        <v>0</v>
      </c>
      <c r="AM189" s="138">
        <f>IF('1.DATOS-PROD'!AV190="SI",VLOOKUP('1.DATOS-PROD'!AV$2,'1.PUNTOS'!$A$1:$B$63,2,0),0)</f>
        <v>0</v>
      </c>
      <c r="AN189" s="138">
        <f>IF('1.DATOS-PROD'!AW190="SI",VLOOKUP('1.DATOS-PROD'!AW$2,'1.PUNTOS'!$A$1:$B$63,2,0),0)</f>
        <v>0</v>
      </c>
      <c r="AO189" s="138">
        <f>IF('1.DATOS-PROD'!AX190="SI",VLOOKUP('1.DATOS-PROD'!AX$2,'1.PUNTOS'!$A$1:$B$63,2,0),0)</f>
        <v>0</v>
      </c>
      <c r="AP189" s="138">
        <f>IF('1.DATOS-PROD'!AY190="SI",VLOOKUP('1.DATOS-PROD'!AY$2,'1.PUNTOS'!$A$1:$B$63,2,0),0)</f>
        <v>0</v>
      </c>
      <c r="AQ189" s="138">
        <f>IF('1.DATOS-PROD'!AZ190="SI",VLOOKUP('1.DATOS-PROD'!AZ$2,'1.PUNTOS'!$A$1:$B$63,2,0),0)</f>
        <v>0</v>
      </c>
      <c r="AR189" s="138">
        <f>IF('1.DATOS-PROD'!BA190="SI",VLOOKUP('1.DATOS-PROD'!BA$2,'1.PUNTOS'!$A$1:$B$63,2,0),0)</f>
        <v>0</v>
      </c>
      <c r="AS189" s="138">
        <f>IF('1.DATOS-PROD'!BB190="SI",VLOOKUP('1.DATOS-PROD'!BB$2,'1.PUNTOS'!$A$1:$B$63,2,0),0)</f>
        <v>0</v>
      </c>
      <c r="AT189" s="138">
        <f>IF('1.DATOS-PROD'!BC190="SI",VLOOKUP('1.DATOS-PROD'!BC$2,'1.PUNTOS'!$A$1:$B$63,2,0),0)</f>
        <v>0</v>
      </c>
      <c r="AU189" s="138">
        <f>IF('1.DATOS-PROD'!BD190="SI",VLOOKUP('1.DATOS-PROD'!BD$2,'1.PUNTOS'!$A$1:$B$63,2,0),0)</f>
        <v>0</v>
      </c>
      <c r="AV189" s="138">
        <f>IF('1.DATOS-PROD'!BE190="SI",VLOOKUP('1.DATOS-PROD'!BE$2,'1.PUNTOS'!$A$1:$B$63,2,0),0)</f>
        <v>0</v>
      </c>
      <c r="AW189" s="138">
        <f>IF('1.DATOS-PROD'!BF190="SI",VLOOKUP('1.DATOS-PROD'!BF$2,'1.PUNTOS'!$A$1:$B$63,2,0),0)</f>
        <v>0</v>
      </c>
      <c r="AX189" s="138">
        <f>IF('1.DATOS-PROD'!BG190="SI",VLOOKUP('1.DATOS-PROD'!BG$2,'1.PUNTOS'!$A$1:$B$63,2,0),0)</f>
        <v>0</v>
      </c>
      <c r="AY189" s="138">
        <f>IF('1.DATOS-PROD'!BH190="SI",VLOOKUP('1.DATOS-PROD'!BH$2,'1.PUNTOS'!$A$1:$B$63,2,0),0)</f>
        <v>0</v>
      </c>
      <c r="AZ189" s="138">
        <f>IF('1.DATOS-PROD'!BI190="SI",VLOOKUP('1.DATOS-PROD'!BI$2,'1.PUNTOS'!$A$1:$B$63,2,0),0)</f>
        <v>0</v>
      </c>
      <c r="BA189" s="138">
        <f>IF('1.DATOS-PROD'!BJ190="SI",VLOOKUP('1.DATOS-PROD'!BJ$2,'1.PUNTOS'!$A$1:$B$63,2,0),0)</f>
        <v>0</v>
      </c>
      <c r="BB189" s="138">
        <f>IF('1.DATOS-PROD'!BK190="SI",VLOOKUP('1.DATOS-PROD'!BK$2,'1.PUNTOS'!$A$1:$B$63,2,0),0)</f>
        <v>0</v>
      </c>
      <c r="BC189" s="138">
        <f>IF('1.DATOS-PROD'!BL190="SI",VLOOKUP('1.DATOS-PROD'!BL$2,'1.PUNTOS'!$A$1:$B$63,2,0),0)</f>
        <v>0</v>
      </c>
      <c r="BD189" s="138">
        <f>IF('1.DATOS-PROD'!BM190="SI",VLOOKUP('1.DATOS-PROD'!BM$2,'1.PUNTOS'!$A$1:$B$63,2,0),0)</f>
        <v>0</v>
      </c>
      <c r="BE189" s="138">
        <f>IF('1.DATOS-PROD'!BN190="SI",VLOOKUP('1.DATOS-PROD'!BN$2,'1.PUNTOS'!$A$1:$B$63,2,0),0)</f>
        <v>0</v>
      </c>
      <c r="BF189" s="138">
        <f>IF('1.DATOS-PROD'!BO190="SI",VLOOKUP('1.DATOS-PROD'!BO$2,'1.PUNTOS'!$A$1:$B$63,2,0),0)</f>
        <v>0</v>
      </c>
      <c r="BG189" s="138">
        <f>IF('1.DATOS-PROD'!BP190="SI",VLOOKUP('1.DATOS-PROD'!BP$2,'1.PUNTOS'!$A$1:$B$63,2,0),0)</f>
        <v>0</v>
      </c>
      <c r="BH189" s="138">
        <f>IF('1.DATOS-PROD'!BQ190="SI",VLOOKUP('1.DATOS-PROD'!BQ$2,'1.PUNTOS'!$A$1:$B$63,2,0),0)</f>
        <v>0</v>
      </c>
      <c r="BI189" s="138">
        <f>IF('1.DATOS-PROD'!BR190="SI",VLOOKUP('1.DATOS-PROD'!BR$2,'1.PUNTOS'!$A$1:$B$63,2,0),0)</f>
        <v>0</v>
      </c>
      <c r="BJ189" s="138">
        <f>IF('1.DATOS-PROD'!BS190="SI",VLOOKUP('1.DATOS-PROD'!BS$2,'1.PUNTOS'!$A$1:$B$63,2,0),0)</f>
        <v>0</v>
      </c>
      <c r="BK189" s="138">
        <f>IF('1.DATOS-PROD'!BT190="SI",VLOOKUP('1.DATOS-PROD'!BT$2,'1.PUNTOS'!$A$1:$B$63,2,0),0)</f>
        <v>0</v>
      </c>
    </row>
    <row r="190" spans="1:63" x14ac:dyDescent="0.25">
      <c r="A190">
        <f>'0.Consolidado general'!$A191</f>
        <v>0</v>
      </c>
      <c r="B190" s="138">
        <f>IF('1.DATOS-PROD'!K191="SI",VLOOKUP('1.DATOS-PROD'!K$2,'1.PUNTOS'!$A$1:$B$63,2,0),0)</f>
        <v>0</v>
      </c>
      <c r="C190" s="138">
        <f>IF('1.DATOS-PROD'!L191="SI",VLOOKUP('1.DATOS-PROD'!L$2,'1.PUNTOS'!$A$1:$B$63,2,0),0)</f>
        <v>0</v>
      </c>
      <c r="D190" s="138">
        <f>IF('1.DATOS-PROD'!M191="SI",VLOOKUP('1.DATOS-PROD'!M$2,'1.PUNTOS'!$A$1:$B$63,2,0),0)</f>
        <v>0</v>
      </c>
      <c r="E190" s="138">
        <f>IF('1.DATOS-PROD'!N191="SI",VLOOKUP('1.DATOS-PROD'!N$2,'1.PUNTOS'!$A$1:$B$63,2,0),0)</f>
        <v>0</v>
      </c>
      <c r="F190" s="138">
        <f>IF('1.DATOS-PROD'!O191="SI",VLOOKUP('1.DATOS-PROD'!O$2,'1.PUNTOS'!$A$1:$B$63,2,0),0)</f>
        <v>0</v>
      </c>
      <c r="G190" s="138">
        <f>IF('1.DATOS-PROD'!P191="SI",VLOOKUP('1.DATOS-PROD'!P$2,'1.PUNTOS'!$A$1:$B$63,2,0),0)</f>
        <v>0</v>
      </c>
      <c r="H190" s="138">
        <f>IF('1.DATOS-PROD'!Q191="SI",VLOOKUP('1.DATOS-PROD'!Q$2,'1.PUNTOS'!$A$1:$B$63,2,0),0)</f>
        <v>0</v>
      </c>
      <c r="I190" s="138">
        <f>IF('1.DATOS-PROD'!R191="SI",VLOOKUP('1.DATOS-PROD'!R$2,'1.PUNTOS'!$A$1:$B$63,2,0),0)</f>
        <v>0</v>
      </c>
      <c r="J190" s="138">
        <f>IF('1.DATOS-PROD'!S191="SI",VLOOKUP('1.DATOS-PROD'!S$2,'1.PUNTOS'!$A$1:$B$63,2,0),0)</f>
        <v>0</v>
      </c>
      <c r="K190" s="138">
        <f>IF('1.DATOS-PROD'!T191="SI",VLOOKUP('1.DATOS-PROD'!T$2,'1.PUNTOS'!$A$1:$B$63,2,0),0)</f>
        <v>0</v>
      </c>
      <c r="L190" s="138">
        <f>IF('1.DATOS-PROD'!U191="SI",VLOOKUP('1.DATOS-PROD'!U$2,'1.PUNTOS'!$A$1:$B$63,2,0),0)</f>
        <v>0</v>
      </c>
      <c r="M190" s="138">
        <f>IF('1.DATOS-PROD'!V191="SI",VLOOKUP('1.DATOS-PROD'!V$2,'1.PUNTOS'!$A$1:$B$63,2,0),0)</f>
        <v>0</v>
      </c>
      <c r="N190" s="138">
        <f>IF('1.DATOS-PROD'!W191="SI",VLOOKUP('1.DATOS-PROD'!W$2,'1.PUNTOS'!$A$1:$B$63,2,0),0)</f>
        <v>0</v>
      </c>
      <c r="O190" s="138">
        <f>IF('1.DATOS-PROD'!X191="SI",VLOOKUP('1.DATOS-PROD'!X$2,'1.PUNTOS'!$A$1:$B$63,2,0),0)</f>
        <v>0</v>
      </c>
      <c r="P190" s="138">
        <f>IF('1.DATOS-PROD'!Y191="SI",VLOOKUP('1.DATOS-PROD'!Y$2,'1.PUNTOS'!$A$1:$B$63,2,0),0)</f>
        <v>0</v>
      </c>
      <c r="Q190" s="138">
        <f>IF('1.DATOS-PROD'!Z191="SI",VLOOKUP('1.DATOS-PROD'!Z$2,'1.PUNTOS'!$A$1:$B$63,2,0),0)</f>
        <v>0</v>
      </c>
      <c r="R190" s="138">
        <f>IF('1.DATOS-PROD'!AA191="SI",VLOOKUP('1.DATOS-PROD'!AA$2,'1.PUNTOS'!$A$1:$B$63,2,0),0)</f>
        <v>0</v>
      </c>
      <c r="S190" s="138">
        <f>IF('1.DATOS-PROD'!AB191="SI",VLOOKUP('1.DATOS-PROD'!AB$2,'1.PUNTOS'!$A$1:$B$63,2,0),0)</f>
        <v>0</v>
      </c>
      <c r="T190" s="138">
        <f>IF('1.DATOS-PROD'!AC191="SI",VLOOKUP('1.DATOS-PROD'!AC$2,'1.PUNTOS'!$A$1:$B$63,2,0),0)</f>
        <v>0</v>
      </c>
      <c r="U190" s="138">
        <f>IF('1.DATOS-PROD'!AD191="SI",VLOOKUP('1.DATOS-PROD'!AD$2,'1.PUNTOS'!$A$1:$B$63,2,0),0)</f>
        <v>0</v>
      </c>
      <c r="V190" s="138">
        <f>IF('1.DATOS-PROD'!AE191="SI",VLOOKUP('1.DATOS-PROD'!AE$2,'1.PUNTOS'!$A$1:$B$63,2,0),0)</f>
        <v>0</v>
      </c>
      <c r="W190" s="138">
        <f>IF('1.DATOS-PROD'!AF191="SI",VLOOKUP('1.DATOS-PROD'!AF$2,'1.PUNTOS'!$A$1:$B$63,2,0),0)</f>
        <v>0</v>
      </c>
      <c r="X190" s="138">
        <f>IF('1.DATOS-PROD'!AG191="SI",VLOOKUP('1.DATOS-PROD'!AG$2,'1.PUNTOS'!$A$1:$B$63,2,0),0)</f>
        <v>0</v>
      </c>
      <c r="Y190" s="138">
        <f>IF('1.DATOS-PROD'!AH191="SI",VLOOKUP('1.DATOS-PROD'!AH$2,'1.PUNTOS'!$A$1:$B$63,2,0),0)</f>
        <v>0</v>
      </c>
      <c r="Z190" s="138">
        <f>IF('1.DATOS-PROD'!AI191="SI",VLOOKUP('1.DATOS-PROD'!AI$2,'1.PUNTOS'!$A$1:$B$63,2,0),0)</f>
        <v>0</v>
      </c>
      <c r="AA190" s="138">
        <f>IF('1.DATOS-PROD'!AJ191="SI",VLOOKUP('1.DATOS-PROD'!AJ$2,'1.PUNTOS'!$A$1:$B$63,2,0),0)</f>
        <v>0</v>
      </c>
      <c r="AB190" s="138">
        <f>IF('1.DATOS-PROD'!AK191="SI",VLOOKUP('1.DATOS-PROD'!AK$2,'1.PUNTOS'!$A$1:$B$63,2,0),0)</f>
        <v>0</v>
      </c>
      <c r="AC190" s="138">
        <f>IF('1.DATOS-PROD'!AL191="SI",VLOOKUP('1.DATOS-PROD'!AL$2,'1.PUNTOS'!$A$1:$B$63,2,0),0)</f>
        <v>0</v>
      </c>
      <c r="AD190" s="138">
        <f>IF('1.DATOS-PROD'!AM191="SI",VLOOKUP('1.DATOS-PROD'!AM$2,'1.PUNTOS'!$A$1:$B$63,2,0),0)</f>
        <v>0</v>
      </c>
      <c r="AE190" s="138">
        <f>IF('1.DATOS-PROD'!AN191="SI",VLOOKUP('1.DATOS-PROD'!AN$2,'1.PUNTOS'!$A$1:$B$63,2,0),0)</f>
        <v>0</v>
      </c>
      <c r="AF190" s="138">
        <f>IF('1.DATOS-PROD'!AO191="SI",VLOOKUP('1.DATOS-PROD'!AO$2,'1.PUNTOS'!$A$1:$B$63,2,0),0)</f>
        <v>0</v>
      </c>
      <c r="AG190" s="138">
        <f>IF('1.DATOS-PROD'!AP191="SI",VLOOKUP('1.DATOS-PROD'!AP$2,'1.PUNTOS'!$A$1:$B$63,2,0),0)</f>
        <v>0</v>
      </c>
      <c r="AH190" s="138">
        <f>IF('1.DATOS-PROD'!AQ191="SI",VLOOKUP('1.DATOS-PROD'!AQ$2,'1.PUNTOS'!$A$1:$B$63,2,0),0)</f>
        <v>0</v>
      </c>
      <c r="AI190" s="138">
        <f>IF('1.DATOS-PROD'!AR191="SI",VLOOKUP('1.DATOS-PROD'!AR$2,'1.PUNTOS'!$A$1:$B$63,2,0),0)</f>
        <v>0</v>
      </c>
      <c r="AJ190" s="138">
        <f>IF('1.DATOS-PROD'!AS191="SI",VLOOKUP('1.DATOS-PROD'!AS$2,'1.PUNTOS'!$A$1:$B$63,2,0),0)</f>
        <v>0</v>
      </c>
      <c r="AK190" s="138">
        <f>IF('1.DATOS-PROD'!AT191="SI",VLOOKUP('1.DATOS-PROD'!AT$2,'1.PUNTOS'!$A$1:$B$63,2,0),0)</f>
        <v>0</v>
      </c>
      <c r="AL190" s="138">
        <f>IF('1.DATOS-PROD'!AU191="SI",VLOOKUP('1.DATOS-PROD'!AU$2,'1.PUNTOS'!$A$1:$B$63,2,0),0)</f>
        <v>0</v>
      </c>
      <c r="AM190" s="138">
        <f>IF('1.DATOS-PROD'!AV191="SI",VLOOKUP('1.DATOS-PROD'!AV$2,'1.PUNTOS'!$A$1:$B$63,2,0),0)</f>
        <v>0</v>
      </c>
      <c r="AN190" s="138">
        <f>IF('1.DATOS-PROD'!AW191="SI",VLOOKUP('1.DATOS-PROD'!AW$2,'1.PUNTOS'!$A$1:$B$63,2,0),0)</f>
        <v>0</v>
      </c>
      <c r="AO190" s="138">
        <f>IF('1.DATOS-PROD'!AX191="SI",VLOOKUP('1.DATOS-PROD'!AX$2,'1.PUNTOS'!$A$1:$B$63,2,0),0)</f>
        <v>0</v>
      </c>
      <c r="AP190" s="138">
        <f>IF('1.DATOS-PROD'!AY191="SI",VLOOKUP('1.DATOS-PROD'!AY$2,'1.PUNTOS'!$A$1:$B$63,2,0),0)</f>
        <v>0</v>
      </c>
      <c r="AQ190" s="138">
        <f>IF('1.DATOS-PROD'!AZ191="SI",VLOOKUP('1.DATOS-PROD'!AZ$2,'1.PUNTOS'!$A$1:$B$63,2,0),0)</f>
        <v>0</v>
      </c>
      <c r="AR190" s="138">
        <f>IF('1.DATOS-PROD'!BA191="SI",VLOOKUP('1.DATOS-PROD'!BA$2,'1.PUNTOS'!$A$1:$B$63,2,0),0)</f>
        <v>0</v>
      </c>
      <c r="AS190" s="138">
        <f>IF('1.DATOS-PROD'!BB191="SI",VLOOKUP('1.DATOS-PROD'!BB$2,'1.PUNTOS'!$A$1:$B$63,2,0),0)</f>
        <v>0</v>
      </c>
      <c r="AT190" s="138">
        <f>IF('1.DATOS-PROD'!BC191="SI",VLOOKUP('1.DATOS-PROD'!BC$2,'1.PUNTOS'!$A$1:$B$63,2,0),0)</f>
        <v>0</v>
      </c>
      <c r="AU190" s="138">
        <f>IF('1.DATOS-PROD'!BD191="SI",VLOOKUP('1.DATOS-PROD'!BD$2,'1.PUNTOS'!$A$1:$B$63,2,0),0)</f>
        <v>0</v>
      </c>
      <c r="AV190" s="138">
        <f>IF('1.DATOS-PROD'!BE191="SI",VLOOKUP('1.DATOS-PROD'!BE$2,'1.PUNTOS'!$A$1:$B$63,2,0),0)</f>
        <v>0</v>
      </c>
      <c r="AW190" s="138">
        <f>IF('1.DATOS-PROD'!BF191="SI",VLOOKUP('1.DATOS-PROD'!BF$2,'1.PUNTOS'!$A$1:$B$63,2,0),0)</f>
        <v>0</v>
      </c>
      <c r="AX190" s="138">
        <f>IF('1.DATOS-PROD'!BG191="SI",VLOOKUP('1.DATOS-PROD'!BG$2,'1.PUNTOS'!$A$1:$B$63,2,0),0)</f>
        <v>0</v>
      </c>
      <c r="AY190" s="138">
        <f>IF('1.DATOS-PROD'!BH191="SI",VLOOKUP('1.DATOS-PROD'!BH$2,'1.PUNTOS'!$A$1:$B$63,2,0),0)</f>
        <v>0</v>
      </c>
      <c r="AZ190" s="138">
        <f>IF('1.DATOS-PROD'!BI191="SI",VLOOKUP('1.DATOS-PROD'!BI$2,'1.PUNTOS'!$A$1:$B$63,2,0),0)</f>
        <v>0</v>
      </c>
      <c r="BA190" s="138">
        <f>IF('1.DATOS-PROD'!BJ191="SI",VLOOKUP('1.DATOS-PROD'!BJ$2,'1.PUNTOS'!$A$1:$B$63,2,0),0)</f>
        <v>0</v>
      </c>
      <c r="BB190" s="138">
        <f>IF('1.DATOS-PROD'!BK191="SI",VLOOKUP('1.DATOS-PROD'!BK$2,'1.PUNTOS'!$A$1:$B$63,2,0),0)</f>
        <v>0</v>
      </c>
      <c r="BC190" s="138">
        <f>IF('1.DATOS-PROD'!BL191="SI",VLOOKUP('1.DATOS-PROD'!BL$2,'1.PUNTOS'!$A$1:$B$63,2,0),0)</f>
        <v>0</v>
      </c>
      <c r="BD190" s="138">
        <f>IF('1.DATOS-PROD'!BM191="SI",VLOOKUP('1.DATOS-PROD'!BM$2,'1.PUNTOS'!$A$1:$B$63,2,0),0)</f>
        <v>0</v>
      </c>
      <c r="BE190" s="138">
        <f>IF('1.DATOS-PROD'!BN191="SI",VLOOKUP('1.DATOS-PROD'!BN$2,'1.PUNTOS'!$A$1:$B$63,2,0),0)</f>
        <v>0</v>
      </c>
      <c r="BF190" s="138">
        <f>IF('1.DATOS-PROD'!BO191="SI",VLOOKUP('1.DATOS-PROD'!BO$2,'1.PUNTOS'!$A$1:$B$63,2,0),0)</f>
        <v>0</v>
      </c>
      <c r="BG190" s="138">
        <f>IF('1.DATOS-PROD'!BP191="SI",VLOOKUP('1.DATOS-PROD'!BP$2,'1.PUNTOS'!$A$1:$B$63,2,0),0)</f>
        <v>0</v>
      </c>
      <c r="BH190" s="138">
        <f>IF('1.DATOS-PROD'!BQ191="SI",VLOOKUP('1.DATOS-PROD'!BQ$2,'1.PUNTOS'!$A$1:$B$63,2,0),0)</f>
        <v>0</v>
      </c>
      <c r="BI190" s="138">
        <f>IF('1.DATOS-PROD'!BR191="SI",VLOOKUP('1.DATOS-PROD'!BR$2,'1.PUNTOS'!$A$1:$B$63,2,0),0)</f>
        <v>0</v>
      </c>
      <c r="BJ190" s="138">
        <f>IF('1.DATOS-PROD'!BS191="SI",VLOOKUP('1.DATOS-PROD'!BS$2,'1.PUNTOS'!$A$1:$B$63,2,0),0)</f>
        <v>0</v>
      </c>
      <c r="BK190" s="138">
        <f>IF('1.DATOS-PROD'!BT191="SI",VLOOKUP('1.DATOS-PROD'!BT$2,'1.PUNTOS'!$A$1:$B$63,2,0),0)</f>
        <v>0</v>
      </c>
    </row>
    <row r="191" spans="1:63" x14ac:dyDescent="0.25">
      <c r="A191">
        <f>'0.Consolidado general'!$A192</f>
        <v>0</v>
      </c>
      <c r="B191" s="138">
        <f>IF('1.DATOS-PROD'!K192="SI",VLOOKUP('1.DATOS-PROD'!K$2,'1.PUNTOS'!$A$1:$B$63,2,0),0)</f>
        <v>0</v>
      </c>
      <c r="C191" s="138">
        <f>IF('1.DATOS-PROD'!L192="SI",VLOOKUP('1.DATOS-PROD'!L$2,'1.PUNTOS'!$A$1:$B$63,2,0),0)</f>
        <v>0</v>
      </c>
      <c r="D191" s="138">
        <f>IF('1.DATOS-PROD'!M192="SI",VLOOKUP('1.DATOS-PROD'!M$2,'1.PUNTOS'!$A$1:$B$63,2,0),0)</f>
        <v>0</v>
      </c>
      <c r="E191" s="138">
        <f>IF('1.DATOS-PROD'!N192="SI",VLOOKUP('1.DATOS-PROD'!N$2,'1.PUNTOS'!$A$1:$B$63,2,0),0)</f>
        <v>0</v>
      </c>
      <c r="F191" s="138">
        <f>IF('1.DATOS-PROD'!O192="SI",VLOOKUP('1.DATOS-PROD'!O$2,'1.PUNTOS'!$A$1:$B$63,2,0),0)</f>
        <v>0</v>
      </c>
      <c r="G191" s="138">
        <f>IF('1.DATOS-PROD'!P192="SI",VLOOKUP('1.DATOS-PROD'!P$2,'1.PUNTOS'!$A$1:$B$63,2,0),0)</f>
        <v>0</v>
      </c>
      <c r="H191" s="138">
        <f>IF('1.DATOS-PROD'!Q192="SI",VLOOKUP('1.DATOS-PROD'!Q$2,'1.PUNTOS'!$A$1:$B$63,2,0),0)</f>
        <v>0</v>
      </c>
      <c r="I191" s="138">
        <f>IF('1.DATOS-PROD'!R192="SI",VLOOKUP('1.DATOS-PROD'!R$2,'1.PUNTOS'!$A$1:$B$63,2,0),0)</f>
        <v>0</v>
      </c>
      <c r="J191" s="138">
        <f>IF('1.DATOS-PROD'!S192="SI",VLOOKUP('1.DATOS-PROD'!S$2,'1.PUNTOS'!$A$1:$B$63,2,0),0)</f>
        <v>0</v>
      </c>
      <c r="K191" s="138">
        <f>IF('1.DATOS-PROD'!T192="SI",VLOOKUP('1.DATOS-PROD'!T$2,'1.PUNTOS'!$A$1:$B$63,2,0),0)</f>
        <v>0</v>
      </c>
      <c r="L191" s="138">
        <f>IF('1.DATOS-PROD'!U192="SI",VLOOKUP('1.DATOS-PROD'!U$2,'1.PUNTOS'!$A$1:$B$63,2,0),0)</f>
        <v>0</v>
      </c>
      <c r="M191" s="138">
        <f>IF('1.DATOS-PROD'!V192="SI",VLOOKUP('1.DATOS-PROD'!V$2,'1.PUNTOS'!$A$1:$B$63,2,0),0)</f>
        <v>0</v>
      </c>
      <c r="N191" s="138">
        <f>IF('1.DATOS-PROD'!W192="SI",VLOOKUP('1.DATOS-PROD'!W$2,'1.PUNTOS'!$A$1:$B$63,2,0),0)</f>
        <v>0</v>
      </c>
      <c r="O191" s="138">
        <f>IF('1.DATOS-PROD'!X192="SI",VLOOKUP('1.DATOS-PROD'!X$2,'1.PUNTOS'!$A$1:$B$63,2,0),0)</f>
        <v>0</v>
      </c>
      <c r="P191" s="138">
        <f>IF('1.DATOS-PROD'!Y192="SI",VLOOKUP('1.DATOS-PROD'!Y$2,'1.PUNTOS'!$A$1:$B$63,2,0),0)</f>
        <v>0</v>
      </c>
      <c r="Q191" s="138">
        <f>IF('1.DATOS-PROD'!Z192="SI",VLOOKUP('1.DATOS-PROD'!Z$2,'1.PUNTOS'!$A$1:$B$63,2,0),0)</f>
        <v>0</v>
      </c>
      <c r="R191" s="138">
        <f>IF('1.DATOS-PROD'!AA192="SI",VLOOKUP('1.DATOS-PROD'!AA$2,'1.PUNTOS'!$A$1:$B$63,2,0),0)</f>
        <v>0</v>
      </c>
      <c r="S191" s="138">
        <f>IF('1.DATOS-PROD'!AB192="SI",VLOOKUP('1.DATOS-PROD'!AB$2,'1.PUNTOS'!$A$1:$B$63,2,0),0)</f>
        <v>0</v>
      </c>
      <c r="T191" s="138">
        <f>IF('1.DATOS-PROD'!AC192="SI",VLOOKUP('1.DATOS-PROD'!AC$2,'1.PUNTOS'!$A$1:$B$63,2,0),0)</f>
        <v>0</v>
      </c>
      <c r="U191" s="138">
        <f>IF('1.DATOS-PROD'!AD192="SI",VLOOKUP('1.DATOS-PROD'!AD$2,'1.PUNTOS'!$A$1:$B$63,2,0),0)</f>
        <v>0</v>
      </c>
      <c r="V191" s="138">
        <f>IF('1.DATOS-PROD'!AE192="SI",VLOOKUP('1.DATOS-PROD'!AE$2,'1.PUNTOS'!$A$1:$B$63,2,0),0)</f>
        <v>0</v>
      </c>
      <c r="W191" s="138">
        <f>IF('1.DATOS-PROD'!AF192="SI",VLOOKUP('1.DATOS-PROD'!AF$2,'1.PUNTOS'!$A$1:$B$63,2,0),0)</f>
        <v>0</v>
      </c>
      <c r="X191" s="138">
        <f>IF('1.DATOS-PROD'!AG192="SI",VLOOKUP('1.DATOS-PROD'!AG$2,'1.PUNTOS'!$A$1:$B$63,2,0),0)</f>
        <v>0</v>
      </c>
      <c r="Y191" s="138">
        <f>IF('1.DATOS-PROD'!AH192="SI",VLOOKUP('1.DATOS-PROD'!AH$2,'1.PUNTOS'!$A$1:$B$63,2,0),0)</f>
        <v>0</v>
      </c>
      <c r="Z191" s="138">
        <f>IF('1.DATOS-PROD'!AI192="SI",VLOOKUP('1.DATOS-PROD'!AI$2,'1.PUNTOS'!$A$1:$B$63,2,0),0)</f>
        <v>0</v>
      </c>
      <c r="AA191" s="138">
        <f>IF('1.DATOS-PROD'!AJ192="SI",VLOOKUP('1.DATOS-PROD'!AJ$2,'1.PUNTOS'!$A$1:$B$63,2,0),0)</f>
        <v>0</v>
      </c>
      <c r="AB191" s="138">
        <f>IF('1.DATOS-PROD'!AK192="SI",VLOOKUP('1.DATOS-PROD'!AK$2,'1.PUNTOS'!$A$1:$B$63,2,0),0)</f>
        <v>0</v>
      </c>
      <c r="AC191" s="138">
        <f>IF('1.DATOS-PROD'!AL192="SI",VLOOKUP('1.DATOS-PROD'!AL$2,'1.PUNTOS'!$A$1:$B$63,2,0),0)</f>
        <v>0</v>
      </c>
      <c r="AD191" s="138">
        <f>IF('1.DATOS-PROD'!AM192="SI",VLOOKUP('1.DATOS-PROD'!AM$2,'1.PUNTOS'!$A$1:$B$63,2,0),0)</f>
        <v>0</v>
      </c>
      <c r="AE191" s="138">
        <f>IF('1.DATOS-PROD'!AN192="SI",VLOOKUP('1.DATOS-PROD'!AN$2,'1.PUNTOS'!$A$1:$B$63,2,0),0)</f>
        <v>0</v>
      </c>
      <c r="AF191" s="138">
        <f>IF('1.DATOS-PROD'!AO192="SI",VLOOKUP('1.DATOS-PROD'!AO$2,'1.PUNTOS'!$A$1:$B$63,2,0),0)</f>
        <v>0</v>
      </c>
      <c r="AG191" s="138">
        <f>IF('1.DATOS-PROD'!AP192="SI",VLOOKUP('1.DATOS-PROD'!AP$2,'1.PUNTOS'!$A$1:$B$63,2,0),0)</f>
        <v>0</v>
      </c>
      <c r="AH191" s="138">
        <f>IF('1.DATOS-PROD'!AQ192="SI",VLOOKUP('1.DATOS-PROD'!AQ$2,'1.PUNTOS'!$A$1:$B$63,2,0),0)</f>
        <v>0</v>
      </c>
      <c r="AI191" s="138">
        <f>IF('1.DATOS-PROD'!AR192="SI",VLOOKUP('1.DATOS-PROD'!AR$2,'1.PUNTOS'!$A$1:$B$63,2,0),0)</f>
        <v>0</v>
      </c>
      <c r="AJ191" s="138">
        <f>IF('1.DATOS-PROD'!AS192="SI",VLOOKUP('1.DATOS-PROD'!AS$2,'1.PUNTOS'!$A$1:$B$63,2,0),0)</f>
        <v>0</v>
      </c>
      <c r="AK191" s="138">
        <f>IF('1.DATOS-PROD'!AT192="SI",VLOOKUP('1.DATOS-PROD'!AT$2,'1.PUNTOS'!$A$1:$B$63,2,0),0)</f>
        <v>0</v>
      </c>
      <c r="AL191" s="138">
        <f>IF('1.DATOS-PROD'!AU192="SI",VLOOKUP('1.DATOS-PROD'!AU$2,'1.PUNTOS'!$A$1:$B$63,2,0),0)</f>
        <v>0</v>
      </c>
      <c r="AM191" s="138">
        <f>IF('1.DATOS-PROD'!AV192="SI",VLOOKUP('1.DATOS-PROD'!AV$2,'1.PUNTOS'!$A$1:$B$63,2,0),0)</f>
        <v>0</v>
      </c>
      <c r="AN191" s="138">
        <f>IF('1.DATOS-PROD'!AW192="SI",VLOOKUP('1.DATOS-PROD'!AW$2,'1.PUNTOS'!$A$1:$B$63,2,0),0)</f>
        <v>0</v>
      </c>
      <c r="AO191" s="138">
        <f>IF('1.DATOS-PROD'!AX192="SI",VLOOKUP('1.DATOS-PROD'!AX$2,'1.PUNTOS'!$A$1:$B$63,2,0),0)</f>
        <v>0</v>
      </c>
      <c r="AP191" s="138">
        <f>IF('1.DATOS-PROD'!AY192="SI",VLOOKUP('1.DATOS-PROD'!AY$2,'1.PUNTOS'!$A$1:$B$63,2,0),0)</f>
        <v>0</v>
      </c>
      <c r="AQ191" s="138">
        <f>IF('1.DATOS-PROD'!AZ192="SI",VLOOKUP('1.DATOS-PROD'!AZ$2,'1.PUNTOS'!$A$1:$B$63,2,0),0)</f>
        <v>0</v>
      </c>
      <c r="AR191" s="138">
        <f>IF('1.DATOS-PROD'!BA192="SI",VLOOKUP('1.DATOS-PROD'!BA$2,'1.PUNTOS'!$A$1:$B$63,2,0),0)</f>
        <v>0</v>
      </c>
      <c r="AS191" s="138">
        <f>IF('1.DATOS-PROD'!BB192="SI",VLOOKUP('1.DATOS-PROD'!BB$2,'1.PUNTOS'!$A$1:$B$63,2,0),0)</f>
        <v>0</v>
      </c>
      <c r="AT191" s="138">
        <f>IF('1.DATOS-PROD'!BC192="SI",VLOOKUP('1.DATOS-PROD'!BC$2,'1.PUNTOS'!$A$1:$B$63,2,0),0)</f>
        <v>0</v>
      </c>
      <c r="AU191" s="138">
        <f>IF('1.DATOS-PROD'!BD192="SI",VLOOKUP('1.DATOS-PROD'!BD$2,'1.PUNTOS'!$A$1:$B$63,2,0),0)</f>
        <v>0</v>
      </c>
      <c r="AV191" s="138">
        <f>IF('1.DATOS-PROD'!BE192="SI",VLOOKUP('1.DATOS-PROD'!BE$2,'1.PUNTOS'!$A$1:$B$63,2,0),0)</f>
        <v>0</v>
      </c>
      <c r="AW191" s="138">
        <f>IF('1.DATOS-PROD'!BF192="SI",VLOOKUP('1.DATOS-PROD'!BF$2,'1.PUNTOS'!$A$1:$B$63,2,0),0)</f>
        <v>0</v>
      </c>
      <c r="AX191" s="138">
        <f>IF('1.DATOS-PROD'!BG192="SI",VLOOKUP('1.DATOS-PROD'!BG$2,'1.PUNTOS'!$A$1:$B$63,2,0),0)</f>
        <v>0</v>
      </c>
      <c r="AY191" s="138">
        <f>IF('1.DATOS-PROD'!BH192="SI",VLOOKUP('1.DATOS-PROD'!BH$2,'1.PUNTOS'!$A$1:$B$63,2,0),0)</f>
        <v>0</v>
      </c>
      <c r="AZ191" s="138">
        <f>IF('1.DATOS-PROD'!BI192="SI",VLOOKUP('1.DATOS-PROD'!BI$2,'1.PUNTOS'!$A$1:$B$63,2,0),0)</f>
        <v>0</v>
      </c>
      <c r="BA191" s="138">
        <f>IF('1.DATOS-PROD'!BJ192="SI",VLOOKUP('1.DATOS-PROD'!BJ$2,'1.PUNTOS'!$A$1:$B$63,2,0),0)</f>
        <v>0</v>
      </c>
      <c r="BB191" s="138">
        <f>IF('1.DATOS-PROD'!BK192="SI",VLOOKUP('1.DATOS-PROD'!BK$2,'1.PUNTOS'!$A$1:$B$63,2,0),0)</f>
        <v>0</v>
      </c>
      <c r="BC191" s="138">
        <f>IF('1.DATOS-PROD'!BL192="SI",VLOOKUP('1.DATOS-PROD'!BL$2,'1.PUNTOS'!$A$1:$B$63,2,0),0)</f>
        <v>0</v>
      </c>
      <c r="BD191" s="138">
        <f>IF('1.DATOS-PROD'!BM192="SI",VLOOKUP('1.DATOS-PROD'!BM$2,'1.PUNTOS'!$A$1:$B$63,2,0),0)</f>
        <v>0</v>
      </c>
      <c r="BE191" s="138">
        <f>IF('1.DATOS-PROD'!BN192="SI",VLOOKUP('1.DATOS-PROD'!BN$2,'1.PUNTOS'!$A$1:$B$63,2,0),0)</f>
        <v>0</v>
      </c>
      <c r="BF191" s="138">
        <f>IF('1.DATOS-PROD'!BO192="SI",VLOOKUP('1.DATOS-PROD'!BO$2,'1.PUNTOS'!$A$1:$B$63,2,0),0)</f>
        <v>0</v>
      </c>
      <c r="BG191" s="138">
        <f>IF('1.DATOS-PROD'!BP192="SI",VLOOKUP('1.DATOS-PROD'!BP$2,'1.PUNTOS'!$A$1:$B$63,2,0),0)</f>
        <v>0</v>
      </c>
      <c r="BH191" s="138">
        <f>IF('1.DATOS-PROD'!BQ192="SI",VLOOKUP('1.DATOS-PROD'!BQ$2,'1.PUNTOS'!$A$1:$B$63,2,0),0)</f>
        <v>0</v>
      </c>
      <c r="BI191" s="138">
        <f>IF('1.DATOS-PROD'!BR192="SI",VLOOKUP('1.DATOS-PROD'!BR$2,'1.PUNTOS'!$A$1:$B$63,2,0),0)</f>
        <v>0</v>
      </c>
      <c r="BJ191" s="138">
        <f>IF('1.DATOS-PROD'!BS192="SI",VLOOKUP('1.DATOS-PROD'!BS$2,'1.PUNTOS'!$A$1:$B$63,2,0),0)</f>
        <v>0</v>
      </c>
      <c r="BK191" s="138">
        <f>IF('1.DATOS-PROD'!BT192="SI",VLOOKUP('1.DATOS-PROD'!BT$2,'1.PUNTOS'!$A$1:$B$63,2,0),0)</f>
        <v>0</v>
      </c>
    </row>
    <row r="192" spans="1:63" x14ac:dyDescent="0.25">
      <c r="A192">
        <f>'0.Consolidado general'!$A193</f>
        <v>0</v>
      </c>
      <c r="B192" s="138">
        <f>IF('1.DATOS-PROD'!K193="SI",VLOOKUP('1.DATOS-PROD'!K$2,'1.PUNTOS'!$A$1:$B$63,2,0),0)</f>
        <v>0</v>
      </c>
      <c r="C192" s="138">
        <f>IF('1.DATOS-PROD'!L193="SI",VLOOKUP('1.DATOS-PROD'!L$2,'1.PUNTOS'!$A$1:$B$63,2,0),0)</f>
        <v>0</v>
      </c>
      <c r="D192" s="138">
        <f>IF('1.DATOS-PROD'!M193="SI",VLOOKUP('1.DATOS-PROD'!M$2,'1.PUNTOS'!$A$1:$B$63,2,0),0)</f>
        <v>0</v>
      </c>
      <c r="E192" s="138">
        <f>IF('1.DATOS-PROD'!N193="SI",VLOOKUP('1.DATOS-PROD'!N$2,'1.PUNTOS'!$A$1:$B$63,2,0),0)</f>
        <v>0</v>
      </c>
      <c r="F192" s="138">
        <f>IF('1.DATOS-PROD'!O193="SI",VLOOKUP('1.DATOS-PROD'!O$2,'1.PUNTOS'!$A$1:$B$63,2,0),0)</f>
        <v>0</v>
      </c>
      <c r="G192" s="138">
        <f>IF('1.DATOS-PROD'!P193="SI",VLOOKUP('1.DATOS-PROD'!P$2,'1.PUNTOS'!$A$1:$B$63,2,0),0)</f>
        <v>0</v>
      </c>
      <c r="H192" s="138">
        <f>IF('1.DATOS-PROD'!Q193="SI",VLOOKUP('1.DATOS-PROD'!Q$2,'1.PUNTOS'!$A$1:$B$63,2,0),0)</f>
        <v>0</v>
      </c>
      <c r="I192" s="138">
        <f>IF('1.DATOS-PROD'!R193="SI",VLOOKUP('1.DATOS-PROD'!R$2,'1.PUNTOS'!$A$1:$B$63,2,0),0)</f>
        <v>0</v>
      </c>
      <c r="J192" s="138">
        <f>IF('1.DATOS-PROD'!S193="SI",VLOOKUP('1.DATOS-PROD'!S$2,'1.PUNTOS'!$A$1:$B$63,2,0),0)</f>
        <v>0</v>
      </c>
      <c r="K192" s="138">
        <f>IF('1.DATOS-PROD'!T193="SI",VLOOKUP('1.DATOS-PROD'!T$2,'1.PUNTOS'!$A$1:$B$63,2,0),0)</f>
        <v>0</v>
      </c>
      <c r="L192" s="138">
        <f>IF('1.DATOS-PROD'!U193="SI",VLOOKUP('1.DATOS-PROD'!U$2,'1.PUNTOS'!$A$1:$B$63,2,0),0)</f>
        <v>0</v>
      </c>
      <c r="M192" s="138">
        <f>IF('1.DATOS-PROD'!V193="SI",VLOOKUP('1.DATOS-PROD'!V$2,'1.PUNTOS'!$A$1:$B$63,2,0),0)</f>
        <v>0</v>
      </c>
      <c r="N192" s="138">
        <f>IF('1.DATOS-PROD'!W193="SI",VLOOKUP('1.DATOS-PROD'!W$2,'1.PUNTOS'!$A$1:$B$63,2,0),0)</f>
        <v>0</v>
      </c>
      <c r="O192" s="138">
        <f>IF('1.DATOS-PROD'!X193="SI",VLOOKUP('1.DATOS-PROD'!X$2,'1.PUNTOS'!$A$1:$B$63,2,0),0)</f>
        <v>0</v>
      </c>
      <c r="P192" s="138">
        <f>IF('1.DATOS-PROD'!Y193="SI",VLOOKUP('1.DATOS-PROD'!Y$2,'1.PUNTOS'!$A$1:$B$63,2,0),0)</f>
        <v>0</v>
      </c>
      <c r="Q192" s="138">
        <f>IF('1.DATOS-PROD'!Z193="SI",VLOOKUP('1.DATOS-PROD'!Z$2,'1.PUNTOS'!$A$1:$B$63,2,0),0)</f>
        <v>0</v>
      </c>
      <c r="R192" s="138">
        <f>IF('1.DATOS-PROD'!AA193="SI",VLOOKUP('1.DATOS-PROD'!AA$2,'1.PUNTOS'!$A$1:$B$63,2,0),0)</f>
        <v>0</v>
      </c>
      <c r="S192" s="138">
        <f>IF('1.DATOS-PROD'!AB193="SI",VLOOKUP('1.DATOS-PROD'!AB$2,'1.PUNTOS'!$A$1:$B$63,2,0),0)</f>
        <v>0</v>
      </c>
      <c r="T192" s="138">
        <f>IF('1.DATOS-PROD'!AC193="SI",VLOOKUP('1.DATOS-PROD'!AC$2,'1.PUNTOS'!$A$1:$B$63,2,0),0)</f>
        <v>0</v>
      </c>
      <c r="U192" s="138">
        <f>IF('1.DATOS-PROD'!AD193="SI",VLOOKUP('1.DATOS-PROD'!AD$2,'1.PUNTOS'!$A$1:$B$63,2,0),0)</f>
        <v>0</v>
      </c>
      <c r="V192" s="138">
        <f>IF('1.DATOS-PROD'!AE193="SI",VLOOKUP('1.DATOS-PROD'!AE$2,'1.PUNTOS'!$A$1:$B$63,2,0),0)</f>
        <v>0</v>
      </c>
      <c r="W192" s="138">
        <f>IF('1.DATOS-PROD'!AF193="SI",VLOOKUP('1.DATOS-PROD'!AF$2,'1.PUNTOS'!$A$1:$B$63,2,0),0)</f>
        <v>0</v>
      </c>
      <c r="X192" s="138">
        <f>IF('1.DATOS-PROD'!AG193="SI",VLOOKUP('1.DATOS-PROD'!AG$2,'1.PUNTOS'!$A$1:$B$63,2,0),0)</f>
        <v>0</v>
      </c>
      <c r="Y192" s="138">
        <f>IF('1.DATOS-PROD'!AH193="SI",VLOOKUP('1.DATOS-PROD'!AH$2,'1.PUNTOS'!$A$1:$B$63,2,0),0)</f>
        <v>0</v>
      </c>
      <c r="Z192" s="138">
        <f>IF('1.DATOS-PROD'!AI193="SI",VLOOKUP('1.DATOS-PROD'!AI$2,'1.PUNTOS'!$A$1:$B$63,2,0),0)</f>
        <v>0</v>
      </c>
      <c r="AA192" s="138">
        <f>IF('1.DATOS-PROD'!AJ193="SI",VLOOKUP('1.DATOS-PROD'!AJ$2,'1.PUNTOS'!$A$1:$B$63,2,0),0)</f>
        <v>0</v>
      </c>
      <c r="AB192" s="138">
        <f>IF('1.DATOS-PROD'!AK193="SI",VLOOKUP('1.DATOS-PROD'!AK$2,'1.PUNTOS'!$A$1:$B$63,2,0),0)</f>
        <v>0</v>
      </c>
      <c r="AC192" s="138">
        <f>IF('1.DATOS-PROD'!AL193="SI",VLOOKUP('1.DATOS-PROD'!AL$2,'1.PUNTOS'!$A$1:$B$63,2,0),0)</f>
        <v>0</v>
      </c>
      <c r="AD192" s="138">
        <f>IF('1.DATOS-PROD'!AM193="SI",VLOOKUP('1.DATOS-PROD'!AM$2,'1.PUNTOS'!$A$1:$B$63,2,0),0)</f>
        <v>0</v>
      </c>
      <c r="AE192" s="138">
        <f>IF('1.DATOS-PROD'!AN193="SI",VLOOKUP('1.DATOS-PROD'!AN$2,'1.PUNTOS'!$A$1:$B$63,2,0),0)</f>
        <v>0</v>
      </c>
      <c r="AF192" s="138">
        <f>IF('1.DATOS-PROD'!AO193="SI",VLOOKUP('1.DATOS-PROD'!AO$2,'1.PUNTOS'!$A$1:$B$63,2,0),0)</f>
        <v>0</v>
      </c>
      <c r="AG192" s="138">
        <f>IF('1.DATOS-PROD'!AP193="SI",VLOOKUP('1.DATOS-PROD'!AP$2,'1.PUNTOS'!$A$1:$B$63,2,0),0)</f>
        <v>0</v>
      </c>
      <c r="AH192" s="138">
        <f>IF('1.DATOS-PROD'!AQ193="SI",VLOOKUP('1.DATOS-PROD'!AQ$2,'1.PUNTOS'!$A$1:$B$63,2,0),0)</f>
        <v>0</v>
      </c>
      <c r="AI192" s="138">
        <f>IF('1.DATOS-PROD'!AR193="SI",VLOOKUP('1.DATOS-PROD'!AR$2,'1.PUNTOS'!$A$1:$B$63,2,0),0)</f>
        <v>0</v>
      </c>
      <c r="AJ192" s="138">
        <f>IF('1.DATOS-PROD'!AS193="SI",VLOOKUP('1.DATOS-PROD'!AS$2,'1.PUNTOS'!$A$1:$B$63,2,0),0)</f>
        <v>0</v>
      </c>
      <c r="AK192" s="138">
        <f>IF('1.DATOS-PROD'!AT193="SI",VLOOKUP('1.DATOS-PROD'!AT$2,'1.PUNTOS'!$A$1:$B$63,2,0),0)</f>
        <v>0</v>
      </c>
      <c r="AL192" s="138">
        <f>IF('1.DATOS-PROD'!AU193="SI",VLOOKUP('1.DATOS-PROD'!AU$2,'1.PUNTOS'!$A$1:$B$63,2,0),0)</f>
        <v>0</v>
      </c>
      <c r="AM192" s="138">
        <f>IF('1.DATOS-PROD'!AV193="SI",VLOOKUP('1.DATOS-PROD'!AV$2,'1.PUNTOS'!$A$1:$B$63,2,0),0)</f>
        <v>0</v>
      </c>
      <c r="AN192" s="138">
        <f>IF('1.DATOS-PROD'!AW193="SI",VLOOKUP('1.DATOS-PROD'!AW$2,'1.PUNTOS'!$A$1:$B$63,2,0),0)</f>
        <v>0</v>
      </c>
      <c r="AO192" s="138">
        <f>IF('1.DATOS-PROD'!AX193="SI",VLOOKUP('1.DATOS-PROD'!AX$2,'1.PUNTOS'!$A$1:$B$63,2,0),0)</f>
        <v>0</v>
      </c>
      <c r="AP192" s="138">
        <f>IF('1.DATOS-PROD'!AY193="SI",VLOOKUP('1.DATOS-PROD'!AY$2,'1.PUNTOS'!$A$1:$B$63,2,0),0)</f>
        <v>0</v>
      </c>
      <c r="AQ192" s="138">
        <f>IF('1.DATOS-PROD'!AZ193="SI",VLOOKUP('1.DATOS-PROD'!AZ$2,'1.PUNTOS'!$A$1:$B$63,2,0),0)</f>
        <v>0</v>
      </c>
      <c r="AR192" s="138">
        <f>IF('1.DATOS-PROD'!BA193="SI",VLOOKUP('1.DATOS-PROD'!BA$2,'1.PUNTOS'!$A$1:$B$63,2,0),0)</f>
        <v>0</v>
      </c>
      <c r="AS192" s="138">
        <f>IF('1.DATOS-PROD'!BB193="SI",VLOOKUP('1.DATOS-PROD'!BB$2,'1.PUNTOS'!$A$1:$B$63,2,0),0)</f>
        <v>0</v>
      </c>
      <c r="AT192" s="138">
        <f>IF('1.DATOS-PROD'!BC193="SI",VLOOKUP('1.DATOS-PROD'!BC$2,'1.PUNTOS'!$A$1:$B$63,2,0),0)</f>
        <v>0</v>
      </c>
      <c r="AU192" s="138">
        <f>IF('1.DATOS-PROD'!BD193="SI",VLOOKUP('1.DATOS-PROD'!BD$2,'1.PUNTOS'!$A$1:$B$63,2,0),0)</f>
        <v>0</v>
      </c>
      <c r="AV192" s="138">
        <f>IF('1.DATOS-PROD'!BE193="SI",VLOOKUP('1.DATOS-PROD'!BE$2,'1.PUNTOS'!$A$1:$B$63,2,0),0)</f>
        <v>0</v>
      </c>
      <c r="AW192" s="138">
        <f>IF('1.DATOS-PROD'!BF193="SI",VLOOKUP('1.DATOS-PROD'!BF$2,'1.PUNTOS'!$A$1:$B$63,2,0),0)</f>
        <v>0</v>
      </c>
      <c r="AX192" s="138">
        <f>IF('1.DATOS-PROD'!BG193="SI",VLOOKUP('1.DATOS-PROD'!BG$2,'1.PUNTOS'!$A$1:$B$63,2,0),0)</f>
        <v>0</v>
      </c>
      <c r="AY192" s="138">
        <f>IF('1.DATOS-PROD'!BH193="SI",VLOOKUP('1.DATOS-PROD'!BH$2,'1.PUNTOS'!$A$1:$B$63,2,0),0)</f>
        <v>0</v>
      </c>
      <c r="AZ192" s="138">
        <f>IF('1.DATOS-PROD'!BI193="SI",VLOOKUP('1.DATOS-PROD'!BI$2,'1.PUNTOS'!$A$1:$B$63,2,0),0)</f>
        <v>0</v>
      </c>
      <c r="BA192" s="138">
        <f>IF('1.DATOS-PROD'!BJ193="SI",VLOOKUP('1.DATOS-PROD'!BJ$2,'1.PUNTOS'!$A$1:$B$63,2,0),0)</f>
        <v>0</v>
      </c>
      <c r="BB192" s="138">
        <f>IF('1.DATOS-PROD'!BK193="SI",VLOOKUP('1.DATOS-PROD'!BK$2,'1.PUNTOS'!$A$1:$B$63,2,0),0)</f>
        <v>0</v>
      </c>
      <c r="BC192" s="138">
        <f>IF('1.DATOS-PROD'!BL193="SI",VLOOKUP('1.DATOS-PROD'!BL$2,'1.PUNTOS'!$A$1:$B$63,2,0),0)</f>
        <v>0</v>
      </c>
      <c r="BD192" s="138">
        <f>IF('1.DATOS-PROD'!BM193="SI",VLOOKUP('1.DATOS-PROD'!BM$2,'1.PUNTOS'!$A$1:$B$63,2,0),0)</f>
        <v>0</v>
      </c>
      <c r="BE192" s="138">
        <f>IF('1.DATOS-PROD'!BN193="SI",VLOOKUP('1.DATOS-PROD'!BN$2,'1.PUNTOS'!$A$1:$B$63,2,0),0)</f>
        <v>0</v>
      </c>
      <c r="BF192" s="138">
        <f>IF('1.DATOS-PROD'!BO193="SI",VLOOKUP('1.DATOS-PROD'!BO$2,'1.PUNTOS'!$A$1:$B$63,2,0),0)</f>
        <v>0</v>
      </c>
      <c r="BG192" s="138">
        <f>IF('1.DATOS-PROD'!BP193="SI",VLOOKUP('1.DATOS-PROD'!BP$2,'1.PUNTOS'!$A$1:$B$63,2,0),0)</f>
        <v>0</v>
      </c>
      <c r="BH192" s="138">
        <f>IF('1.DATOS-PROD'!BQ193="SI",VLOOKUP('1.DATOS-PROD'!BQ$2,'1.PUNTOS'!$A$1:$B$63,2,0),0)</f>
        <v>0</v>
      </c>
      <c r="BI192" s="138">
        <f>IF('1.DATOS-PROD'!BR193="SI",VLOOKUP('1.DATOS-PROD'!BR$2,'1.PUNTOS'!$A$1:$B$63,2,0),0)</f>
        <v>0</v>
      </c>
      <c r="BJ192" s="138">
        <f>IF('1.DATOS-PROD'!BS193="SI",VLOOKUP('1.DATOS-PROD'!BS$2,'1.PUNTOS'!$A$1:$B$63,2,0),0)</f>
        <v>0</v>
      </c>
      <c r="BK192" s="138">
        <f>IF('1.DATOS-PROD'!BT193="SI",VLOOKUP('1.DATOS-PROD'!BT$2,'1.PUNTOS'!$A$1:$B$63,2,0),0)</f>
        <v>0</v>
      </c>
    </row>
    <row r="193" spans="1:63" x14ac:dyDescent="0.25">
      <c r="A193">
        <f>'0.Consolidado general'!$A194</f>
        <v>0</v>
      </c>
      <c r="B193" s="138">
        <f>IF('1.DATOS-PROD'!K194="SI",VLOOKUP('1.DATOS-PROD'!K$2,'1.PUNTOS'!$A$1:$B$63,2,0),0)</f>
        <v>0</v>
      </c>
      <c r="C193" s="138">
        <f>IF('1.DATOS-PROD'!L194="SI",VLOOKUP('1.DATOS-PROD'!L$2,'1.PUNTOS'!$A$1:$B$63,2,0),0)</f>
        <v>0</v>
      </c>
      <c r="D193" s="138">
        <f>IF('1.DATOS-PROD'!M194="SI",VLOOKUP('1.DATOS-PROD'!M$2,'1.PUNTOS'!$A$1:$B$63,2,0),0)</f>
        <v>0</v>
      </c>
      <c r="E193" s="138">
        <f>IF('1.DATOS-PROD'!N194="SI",VLOOKUP('1.DATOS-PROD'!N$2,'1.PUNTOS'!$A$1:$B$63,2,0),0)</f>
        <v>0</v>
      </c>
      <c r="F193" s="138">
        <f>IF('1.DATOS-PROD'!O194="SI",VLOOKUP('1.DATOS-PROD'!O$2,'1.PUNTOS'!$A$1:$B$63,2,0),0)</f>
        <v>0</v>
      </c>
      <c r="G193" s="138">
        <f>IF('1.DATOS-PROD'!P194="SI",VLOOKUP('1.DATOS-PROD'!P$2,'1.PUNTOS'!$A$1:$B$63,2,0),0)</f>
        <v>0</v>
      </c>
      <c r="H193" s="138">
        <f>IF('1.DATOS-PROD'!Q194="SI",VLOOKUP('1.DATOS-PROD'!Q$2,'1.PUNTOS'!$A$1:$B$63,2,0),0)</f>
        <v>0</v>
      </c>
      <c r="I193" s="138">
        <f>IF('1.DATOS-PROD'!R194="SI",VLOOKUP('1.DATOS-PROD'!R$2,'1.PUNTOS'!$A$1:$B$63,2,0),0)</f>
        <v>0</v>
      </c>
      <c r="J193" s="138">
        <f>IF('1.DATOS-PROD'!S194="SI",VLOOKUP('1.DATOS-PROD'!S$2,'1.PUNTOS'!$A$1:$B$63,2,0),0)</f>
        <v>0</v>
      </c>
      <c r="K193" s="138">
        <f>IF('1.DATOS-PROD'!T194="SI",VLOOKUP('1.DATOS-PROD'!T$2,'1.PUNTOS'!$A$1:$B$63,2,0),0)</f>
        <v>0</v>
      </c>
      <c r="L193" s="138">
        <f>IF('1.DATOS-PROD'!U194="SI",VLOOKUP('1.DATOS-PROD'!U$2,'1.PUNTOS'!$A$1:$B$63,2,0),0)</f>
        <v>0</v>
      </c>
      <c r="M193" s="138">
        <f>IF('1.DATOS-PROD'!V194="SI",VLOOKUP('1.DATOS-PROD'!V$2,'1.PUNTOS'!$A$1:$B$63,2,0),0)</f>
        <v>0</v>
      </c>
      <c r="N193" s="138">
        <f>IF('1.DATOS-PROD'!W194="SI",VLOOKUP('1.DATOS-PROD'!W$2,'1.PUNTOS'!$A$1:$B$63,2,0),0)</f>
        <v>0</v>
      </c>
      <c r="O193" s="138">
        <f>IF('1.DATOS-PROD'!X194="SI",VLOOKUP('1.DATOS-PROD'!X$2,'1.PUNTOS'!$A$1:$B$63,2,0),0)</f>
        <v>0</v>
      </c>
      <c r="P193" s="138">
        <f>IF('1.DATOS-PROD'!Y194="SI",VLOOKUP('1.DATOS-PROD'!Y$2,'1.PUNTOS'!$A$1:$B$63,2,0),0)</f>
        <v>0</v>
      </c>
      <c r="Q193" s="138">
        <f>IF('1.DATOS-PROD'!Z194="SI",VLOOKUP('1.DATOS-PROD'!Z$2,'1.PUNTOS'!$A$1:$B$63,2,0),0)</f>
        <v>0</v>
      </c>
      <c r="R193" s="138">
        <f>IF('1.DATOS-PROD'!AA194="SI",VLOOKUP('1.DATOS-PROD'!AA$2,'1.PUNTOS'!$A$1:$B$63,2,0),0)</f>
        <v>0</v>
      </c>
      <c r="S193" s="138">
        <f>IF('1.DATOS-PROD'!AB194="SI",VLOOKUP('1.DATOS-PROD'!AB$2,'1.PUNTOS'!$A$1:$B$63,2,0),0)</f>
        <v>0</v>
      </c>
      <c r="T193" s="138">
        <f>IF('1.DATOS-PROD'!AC194="SI",VLOOKUP('1.DATOS-PROD'!AC$2,'1.PUNTOS'!$A$1:$B$63,2,0),0)</f>
        <v>0</v>
      </c>
      <c r="U193" s="138">
        <f>IF('1.DATOS-PROD'!AD194="SI",VLOOKUP('1.DATOS-PROD'!AD$2,'1.PUNTOS'!$A$1:$B$63,2,0),0)</f>
        <v>0</v>
      </c>
      <c r="V193" s="138">
        <f>IF('1.DATOS-PROD'!AE194="SI",VLOOKUP('1.DATOS-PROD'!AE$2,'1.PUNTOS'!$A$1:$B$63,2,0),0)</f>
        <v>0</v>
      </c>
      <c r="W193" s="138">
        <f>IF('1.DATOS-PROD'!AF194="SI",VLOOKUP('1.DATOS-PROD'!AF$2,'1.PUNTOS'!$A$1:$B$63,2,0),0)</f>
        <v>0</v>
      </c>
      <c r="X193" s="138">
        <f>IF('1.DATOS-PROD'!AG194="SI",VLOOKUP('1.DATOS-PROD'!AG$2,'1.PUNTOS'!$A$1:$B$63,2,0),0)</f>
        <v>0</v>
      </c>
      <c r="Y193" s="138">
        <f>IF('1.DATOS-PROD'!AH194="SI",VLOOKUP('1.DATOS-PROD'!AH$2,'1.PUNTOS'!$A$1:$B$63,2,0),0)</f>
        <v>0</v>
      </c>
      <c r="Z193" s="138">
        <f>IF('1.DATOS-PROD'!AI194="SI",VLOOKUP('1.DATOS-PROD'!AI$2,'1.PUNTOS'!$A$1:$B$63,2,0),0)</f>
        <v>0</v>
      </c>
      <c r="AA193" s="138">
        <f>IF('1.DATOS-PROD'!AJ194="SI",VLOOKUP('1.DATOS-PROD'!AJ$2,'1.PUNTOS'!$A$1:$B$63,2,0),0)</f>
        <v>0</v>
      </c>
      <c r="AB193" s="138">
        <f>IF('1.DATOS-PROD'!AK194="SI",VLOOKUP('1.DATOS-PROD'!AK$2,'1.PUNTOS'!$A$1:$B$63,2,0),0)</f>
        <v>0</v>
      </c>
      <c r="AC193" s="138">
        <f>IF('1.DATOS-PROD'!AL194="SI",VLOOKUP('1.DATOS-PROD'!AL$2,'1.PUNTOS'!$A$1:$B$63,2,0),0)</f>
        <v>0</v>
      </c>
      <c r="AD193" s="138">
        <f>IF('1.DATOS-PROD'!AM194="SI",VLOOKUP('1.DATOS-PROD'!AM$2,'1.PUNTOS'!$A$1:$B$63,2,0),0)</f>
        <v>0</v>
      </c>
      <c r="AE193" s="138">
        <f>IF('1.DATOS-PROD'!AN194="SI",VLOOKUP('1.DATOS-PROD'!AN$2,'1.PUNTOS'!$A$1:$B$63,2,0),0)</f>
        <v>0</v>
      </c>
      <c r="AF193" s="138">
        <f>IF('1.DATOS-PROD'!AO194="SI",VLOOKUP('1.DATOS-PROD'!AO$2,'1.PUNTOS'!$A$1:$B$63,2,0),0)</f>
        <v>0</v>
      </c>
      <c r="AG193" s="138">
        <f>IF('1.DATOS-PROD'!AP194="SI",VLOOKUP('1.DATOS-PROD'!AP$2,'1.PUNTOS'!$A$1:$B$63,2,0),0)</f>
        <v>0</v>
      </c>
      <c r="AH193" s="138">
        <f>IF('1.DATOS-PROD'!AQ194="SI",VLOOKUP('1.DATOS-PROD'!AQ$2,'1.PUNTOS'!$A$1:$B$63,2,0),0)</f>
        <v>0</v>
      </c>
      <c r="AI193" s="138">
        <f>IF('1.DATOS-PROD'!AR194="SI",VLOOKUP('1.DATOS-PROD'!AR$2,'1.PUNTOS'!$A$1:$B$63,2,0),0)</f>
        <v>0</v>
      </c>
      <c r="AJ193" s="138">
        <f>IF('1.DATOS-PROD'!AS194="SI",VLOOKUP('1.DATOS-PROD'!AS$2,'1.PUNTOS'!$A$1:$B$63,2,0),0)</f>
        <v>0</v>
      </c>
      <c r="AK193" s="138">
        <f>IF('1.DATOS-PROD'!AT194="SI",VLOOKUP('1.DATOS-PROD'!AT$2,'1.PUNTOS'!$A$1:$B$63,2,0),0)</f>
        <v>0</v>
      </c>
      <c r="AL193" s="138">
        <f>IF('1.DATOS-PROD'!AU194="SI",VLOOKUP('1.DATOS-PROD'!AU$2,'1.PUNTOS'!$A$1:$B$63,2,0),0)</f>
        <v>0</v>
      </c>
      <c r="AM193" s="138">
        <f>IF('1.DATOS-PROD'!AV194="SI",VLOOKUP('1.DATOS-PROD'!AV$2,'1.PUNTOS'!$A$1:$B$63,2,0),0)</f>
        <v>0</v>
      </c>
      <c r="AN193" s="138">
        <f>IF('1.DATOS-PROD'!AW194="SI",VLOOKUP('1.DATOS-PROD'!AW$2,'1.PUNTOS'!$A$1:$B$63,2,0),0)</f>
        <v>0</v>
      </c>
      <c r="AO193" s="138">
        <f>IF('1.DATOS-PROD'!AX194="SI",VLOOKUP('1.DATOS-PROD'!AX$2,'1.PUNTOS'!$A$1:$B$63,2,0),0)</f>
        <v>0</v>
      </c>
      <c r="AP193" s="138">
        <f>IF('1.DATOS-PROD'!AY194="SI",VLOOKUP('1.DATOS-PROD'!AY$2,'1.PUNTOS'!$A$1:$B$63,2,0),0)</f>
        <v>0</v>
      </c>
      <c r="AQ193" s="138">
        <f>IF('1.DATOS-PROD'!AZ194="SI",VLOOKUP('1.DATOS-PROD'!AZ$2,'1.PUNTOS'!$A$1:$B$63,2,0),0)</f>
        <v>0</v>
      </c>
      <c r="AR193" s="138">
        <f>IF('1.DATOS-PROD'!BA194="SI",VLOOKUP('1.DATOS-PROD'!BA$2,'1.PUNTOS'!$A$1:$B$63,2,0),0)</f>
        <v>0</v>
      </c>
      <c r="AS193" s="138">
        <f>IF('1.DATOS-PROD'!BB194="SI",VLOOKUP('1.DATOS-PROD'!BB$2,'1.PUNTOS'!$A$1:$B$63,2,0),0)</f>
        <v>0</v>
      </c>
      <c r="AT193" s="138">
        <f>IF('1.DATOS-PROD'!BC194="SI",VLOOKUP('1.DATOS-PROD'!BC$2,'1.PUNTOS'!$A$1:$B$63,2,0),0)</f>
        <v>0</v>
      </c>
      <c r="AU193" s="138">
        <f>IF('1.DATOS-PROD'!BD194="SI",VLOOKUP('1.DATOS-PROD'!BD$2,'1.PUNTOS'!$A$1:$B$63,2,0),0)</f>
        <v>0</v>
      </c>
      <c r="AV193" s="138">
        <f>IF('1.DATOS-PROD'!BE194="SI",VLOOKUP('1.DATOS-PROD'!BE$2,'1.PUNTOS'!$A$1:$B$63,2,0),0)</f>
        <v>0</v>
      </c>
      <c r="AW193" s="138">
        <f>IF('1.DATOS-PROD'!BF194="SI",VLOOKUP('1.DATOS-PROD'!BF$2,'1.PUNTOS'!$A$1:$B$63,2,0),0)</f>
        <v>0</v>
      </c>
      <c r="AX193" s="138">
        <f>IF('1.DATOS-PROD'!BG194="SI",VLOOKUP('1.DATOS-PROD'!BG$2,'1.PUNTOS'!$A$1:$B$63,2,0),0)</f>
        <v>0</v>
      </c>
      <c r="AY193" s="138">
        <f>IF('1.DATOS-PROD'!BH194="SI",VLOOKUP('1.DATOS-PROD'!BH$2,'1.PUNTOS'!$A$1:$B$63,2,0),0)</f>
        <v>0</v>
      </c>
      <c r="AZ193" s="138">
        <f>IF('1.DATOS-PROD'!BI194="SI",VLOOKUP('1.DATOS-PROD'!BI$2,'1.PUNTOS'!$A$1:$B$63,2,0),0)</f>
        <v>0</v>
      </c>
      <c r="BA193" s="138">
        <f>IF('1.DATOS-PROD'!BJ194="SI",VLOOKUP('1.DATOS-PROD'!BJ$2,'1.PUNTOS'!$A$1:$B$63,2,0),0)</f>
        <v>0</v>
      </c>
      <c r="BB193" s="138">
        <f>IF('1.DATOS-PROD'!BK194="SI",VLOOKUP('1.DATOS-PROD'!BK$2,'1.PUNTOS'!$A$1:$B$63,2,0),0)</f>
        <v>0</v>
      </c>
      <c r="BC193" s="138">
        <f>IF('1.DATOS-PROD'!BL194="SI",VLOOKUP('1.DATOS-PROD'!BL$2,'1.PUNTOS'!$A$1:$B$63,2,0),0)</f>
        <v>0</v>
      </c>
      <c r="BD193" s="138">
        <f>IF('1.DATOS-PROD'!BM194="SI",VLOOKUP('1.DATOS-PROD'!BM$2,'1.PUNTOS'!$A$1:$B$63,2,0),0)</f>
        <v>0</v>
      </c>
      <c r="BE193" s="138">
        <f>IF('1.DATOS-PROD'!BN194="SI",VLOOKUP('1.DATOS-PROD'!BN$2,'1.PUNTOS'!$A$1:$B$63,2,0),0)</f>
        <v>0</v>
      </c>
      <c r="BF193" s="138">
        <f>IF('1.DATOS-PROD'!BO194="SI",VLOOKUP('1.DATOS-PROD'!BO$2,'1.PUNTOS'!$A$1:$B$63,2,0),0)</f>
        <v>0</v>
      </c>
      <c r="BG193" s="138">
        <f>IF('1.DATOS-PROD'!BP194="SI",VLOOKUP('1.DATOS-PROD'!BP$2,'1.PUNTOS'!$A$1:$B$63,2,0),0)</f>
        <v>0</v>
      </c>
      <c r="BH193" s="138">
        <f>IF('1.DATOS-PROD'!BQ194="SI",VLOOKUP('1.DATOS-PROD'!BQ$2,'1.PUNTOS'!$A$1:$B$63,2,0),0)</f>
        <v>0</v>
      </c>
      <c r="BI193" s="138">
        <f>IF('1.DATOS-PROD'!BR194="SI",VLOOKUP('1.DATOS-PROD'!BR$2,'1.PUNTOS'!$A$1:$B$63,2,0),0)</f>
        <v>0</v>
      </c>
      <c r="BJ193" s="138">
        <f>IF('1.DATOS-PROD'!BS194="SI",VLOOKUP('1.DATOS-PROD'!BS$2,'1.PUNTOS'!$A$1:$B$63,2,0),0)</f>
        <v>0</v>
      </c>
      <c r="BK193" s="138">
        <f>IF('1.DATOS-PROD'!BT194="SI",VLOOKUP('1.DATOS-PROD'!BT$2,'1.PUNTOS'!$A$1:$B$63,2,0),0)</f>
        <v>0</v>
      </c>
    </row>
    <row r="194" spans="1:63" x14ac:dyDescent="0.25">
      <c r="A194">
        <f>'0.Consolidado general'!$A195</f>
        <v>0</v>
      </c>
      <c r="B194" s="138">
        <f>IF('1.DATOS-PROD'!K195="SI",VLOOKUP('1.DATOS-PROD'!K$2,'1.PUNTOS'!$A$1:$B$63,2,0),0)</f>
        <v>0</v>
      </c>
      <c r="C194" s="138">
        <f>IF('1.DATOS-PROD'!L195="SI",VLOOKUP('1.DATOS-PROD'!L$2,'1.PUNTOS'!$A$1:$B$63,2,0),0)</f>
        <v>0</v>
      </c>
      <c r="D194" s="138">
        <f>IF('1.DATOS-PROD'!M195="SI",VLOOKUP('1.DATOS-PROD'!M$2,'1.PUNTOS'!$A$1:$B$63,2,0),0)</f>
        <v>0</v>
      </c>
      <c r="E194" s="138">
        <f>IF('1.DATOS-PROD'!N195="SI",VLOOKUP('1.DATOS-PROD'!N$2,'1.PUNTOS'!$A$1:$B$63,2,0),0)</f>
        <v>0</v>
      </c>
      <c r="F194" s="138">
        <f>IF('1.DATOS-PROD'!O195="SI",VLOOKUP('1.DATOS-PROD'!O$2,'1.PUNTOS'!$A$1:$B$63,2,0),0)</f>
        <v>0</v>
      </c>
      <c r="G194" s="138">
        <f>IF('1.DATOS-PROD'!P195="SI",VLOOKUP('1.DATOS-PROD'!P$2,'1.PUNTOS'!$A$1:$B$63,2,0),0)</f>
        <v>0</v>
      </c>
      <c r="H194" s="138">
        <f>IF('1.DATOS-PROD'!Q195="SI",VLOOKUP('1.DATOS-PROD'!Q$2,'1.PUNTOS'!$A$1:$B$63,2,0),0)</f>
        <v>0</v>
      </c>
      <c r="I194" s="138">
        <f>IF('1.DATOS-PROD'!R195="SI",VLOOKUP('1.DATOS-PROD'!R$2,'1.PUNTOS'!$A$1:$B$63,2,0),0)</f>
        <v>0</v>
      </c>
      <c r="J194" s="138">
        <f>IF('1.DATOS-PROD'!S195="SI",VLOOKUP('1.DATOS-PROD'!S$2,'1.PUNTOS'!$A$1:$B$63,2,0),0)</f>
        <v>0</v>
      </c>
      <c r="K194" s="138">
        <f>IF('1.DATOS-PROD'!T195="SI",VLOOKUP('1.DATOS-PROD'!T$2,'1.PUNTOS'!$A$1:$B$63,2,0),0)</f>
        <v>0</v>
      </c>
      <c r="L194" s="138">
        <f>IF('1.DATOS-PROD'!U195="SI",VLOOKUP('1.DATOS-PROD'!U$2,'1.PUNTOS'!$A$1:$B$63,2,0),0)</f>
        <v>0</v>
      </c>
      <c r="M194" s="138">
        <f>IF('1.DATOS-PROD'!V195="SI",VLOOKUP('1.DATOS-PROD'!V$2,'1.PUNTOS'!$A$1:$B$63,2,0),0)</f>
        <v>0</v>
      </c>
      <c r="N194" s="138">
        <f>IF('1.DATOS-PROD'!W195="SI",VLOOKUP('1.DATOS-PROD'!W$2,'1.PUNTOS'!$A$1:$B$63,2,0),0)</f>
        <v>0</v>
      </c>
      <c r="O194" s="138">
        <f>IF('1.DATOS-PROD'!X195="SI",VLOOKUP('1.DATOS-PROD'!X$2,'1.PUNTOS'!$A$1:$B$63,2,0),0)</f>
        <v>0</v>
      </c>
      <c r="P194" s="138">
        <f>IF('1.DATOS-PROD'!Y195="SI",VLOOKUP('1.DATOS-PROD'!Y$2,'1.PUNTOS'!$A$1:$B$63,2,0),0)</f>
        <v>0</v>
      </c>
      <c r="Q194" s="138">
        <f>IF('1.DATOS-PROD'!Z195="SI",VLOOKUP('1.DATOS-PROD'!Z$2,'1.PUNTOS'!$A$1:$B$63,2,0),0)</f>
        <v>0</v>
      </c>
      <c r="R194" s="138">
        <f>IF('1.DATOS-PROD'!AA195="SI",VLOOKUP('1.DATOS-PROD'!AA$2,'1.PUNTOS'!$A$1:$B$63,2,0),0)</f>
        <v>0</v>
      </c>
      <c r="S194" s="138">
        <f>IF('1.DATOS-PROD'!AB195="SI",VLOOKUP('1.DATOS-PROD'!AB$2,'1.PUNTOS'!$A$1:$B$63,2,0),0)</f>
        <v>0</v>
      </c>
      <c r="T194" s="138">
        <f>IF('1.DATOS-PROD'!AC195="SI",VLOOKUP('1.DATOS-PROD'!AC$2,'1.PUNTOS'!$A$1:$B$63,2,0),0)</f>
        <v>0</v>
      </c>
      <c r="U194" s="138">
        <f>IF('1.DATOS-PROD'!AD195="SI",VLOOKUP('1.DATOS-PROD'!AD$2,'1.PUNTOS'!$A$1:$B$63,2,0),0)</f>
        <v>0</v>
      </c>
      <c r="V194" s="138">
        <f>IF('1.DATOS-PROD'!AE195="SI",VLOOKUP('1.DATOS-PROD'!AE$2,'1.PUNTOS'!$A$1:$B$63,2,0),0)</f>
        <v>0</v>
      </c>
      <c r="W194" s="138">
        <f>IF('1.DATOS-PROD'!AF195="SI",VLOOKUP('1.DATOS-PROD'!AF$2,'1.PUNTOS'!$A$1:$B$63,2,0),0)</f>
        <v>0</v>
      </c>
      <c r="X194" s="138">
        <f>IF('1.DATOS-PROD'!AG195="SI",VLOOKUP('1.DATOS-PROD'!AG$2,'1.PUNTOS'!$A$1:$B$63,2,0),0)</f>
        <v>0</v>
      </c>
      <c r="Y194" s="138">
        <f>IF('1.DATOS-PROD'!AH195="SI",VLOOKUP('1.DATOS-PROD'!AH$2,'1.PUNTOS'!$A$1:$B$63,2,0),0)</f>
        <v>0</v>
      </c>
      <c r="Z194" s="138">
        <f>IF('1.DATOS-PROD'!AI195="SI",VLOOKUP('1.DATOS-PROD'!AI$2,'1.PUNTOS'!$A$1:$B$63,2,0),0)</f>
        <v>0</v>
      </c>
      <c r="AA194" s="138">
        <f>IF('1.DATOS-PROD'!AJ195="SI",VLOOKUP('1.DATOS-PROD'!AJ$2,'1.PUNTOS'!$A$1:$B$63,2,0),0)</f>
        <v>0</v>
      </c>
      <c r="AB194" s="138">
        <f>IF('1.DATOS-PROD'!AK195="SI",VLOOKUP('1.DATOS-PROD'!AK$2,'1.PUNTOS'!$A$1:$B$63,2,0),0)</f>
        <v>0</v>
      </c>
      <c r="AC194" s="138">
        <f>IF('1.DATOS-PROD'!AL195="SI",VLOOKUP('1.DATOS-PROD'!AL$2,'1.PUNTOS'!$A$1:$B$63,2,0),0)</f>
        <v>0</v>
      </c>
      <c r="AD194" s="138">
        <f>IF('1.DATOS-PROD'!AM195="SI",VLOOKUP('1.DATOS-PROD'!AM$2,'1.PUNTOS'!$A$1:$B$63,2,0),0)</f>
        <v>0</v>
      </c>
      <c r="AE194" s="138">
        <f>IF('1.DATOS-PROD'!AN195="SI",VLOOKUP('1.DATOS-PROD'!AN$2,'1.PUNTOS'!$A$1:$B$63,2,0),0)</f>
        <v>0</v>
      </c>
      <c r="AF194" s="138">
        <f>IF('1.DATOS-PROD'!AO195="SI",VLOOKUP('1.DATOS-PROD'!AO$2,'1.PUNTOS'!$A$1:$B$63,2,0),0)</f>
        <v>0</v>
      </c>
      <c r="AG194" s="138">
        <f>IF('1.DATOS-PROD'!AP195="SI",VLOOKUP('1.DATOS-PROD'!AP$2,'1.PUNTOS'!$A$1:$B$63,2,0),0)</f>
        <v>0</v>
      </c>
      <c r="AH194" s="138">
        <f>IF('1.DATOS-PROD'!AQ195="SI",VLOOKUP('1.DATOS-PROD'!AQ$2,'1.PUNTOS'!$A$1:$B$63,2,0),0)</f>
        <v>0</v>
      </c>
      <c r="AI194" s="138">
        <f>IF('1.DATOS-PROD'!AR195="SI",VLOOKUP('1.DATOS-PROD'!AR$2,'1.PUNTOS'!$A$1:$B$63,2,0),0)</f>
        <v>0</v>
      </c>
      <c r="AJ194" s="138">
        <f>IF('1.DATOS-PROD'!AS195="SI",VLOOKUP('1.DATOS-PROD'!AS$2,'1.PUNTOS'!$A$1:$B$63,2,0),0)</f>
        <v>0</v>
      </c>
      <c r="AK194" s="138">
        <f>IF('1.DATOS-PROD'!AT195="SI",VLOOKUP('1.DATOS-PROD'!AT$2,'1.PUNTOS'!$A$1:$B$63,2,0),0)</f>
        <v>0</v>
      </c>
      <c r="AL194" s="138">
        <f>IF('1.DATOS-PROD'!AU195="SI",VLOOKUP('1.DATOS-PROD'!AU$2,'1.PUNTOS'!$A$1:$B$63,2,0),0)</f>
        <v>0</v>
      </c>
      <c r="AM194" s="138">
        <f>IF('1.DATOS-PROD'!AV195="SI",VLOOKUP('1.DATOS-PROD'!AV$2,'1.PUNTOS'!$A$1:$B$63,2,0),0)</f>
        <v>0</v>
      </c>
      <c r="AN194" s="138">
        <f>IF('1.DATOS-PROD'!AW195="SI",VLOOKUP('1.DATOS-PROD'!AW$2,'1.PUNTOS'!$A$1:$B$63,2,0),0)</f>
        <v>0</v>
      </c>
      <c r="AO194" s="138">
        <f>IF('1.DATOS-PROD'!AX195="SI",VLOOKUP('1.DATOS-PROD'!AX$2,'1.PUNTOS'!$A$1:$B$63,2,0),0)</f>
        <v>0</v>
      </c>
      <c r="AP194" s="138">
        <f>IF('1.DATOS-PROD'!AY195="SI",VLOOKUP('1.DATOS-PROD'!AY$2,'1.PUNTOS'!$A$1:$B$63,2,0),0)</f>
        <v>0</v>
      </c>
      <c r="AQ194" s="138">
        <f>IF('1.DATOS-PROD'!AZ195="SI",VLOOKUP('1.DATOS-PROD'!AZ$2,'1.PUNTOS'!$A$1:$B$63,2,0),0)</f>
        <v>0</v>
      </c>
      <c r="AR194" s="138">
        <f>IF('1.DATOS-PROD'!BA195="SI",VLOOKUP('1.DATOS-PROD'!BA$2,'1.PUNTOS'!$A$1:$B$63,2,0),0)</f>
        <v>0</v>
      </c>
      <c r="AS194" s="138">
        <f>IF('1.DATOS-PROD'!BB195="SI",VLOOKUP('1.DATOS-PROD'!BB$2,'1.PUNTOS'!$A$1:$B$63,2,0),0)</f>
        <v>0</v>
      </c>
      <c r="AT194" s="138">
        <f>IF('1.DATOS-PROD'!BC195="SI",VLOOKUP('1.DATOS-PROD'!BC$2,'1.PUNTOS'!$A$1:$B$63,2,0),0)</f>
        <v>0</v>
      </c>
      <c r="AU194" s="138">
        <f>IF('1.DATOS-PROD'!BD195="SI",VLOOKUP('1.DATOS-PROD'!BD$2,'1.PUNTOS'!$A$1:$B$63,2,0),0)</f>
        <v>0</v>
      </c>
      <c r="AV194" s="138">
        <f>IF('1.DATOS-PROD'!BE195="SI",VLOOKUP('1.DATOS-PROD'!BE$2,'1.PUNTOS'!$A$1:$B$63,2,0),0)</f>
        <v>0</v>
      </c>
      <c r="AW194" s="138">
        <f>IF('1.DATOS-PROD'!BF195="SI",VLOOKUP('1.DATOS-PROD'!BF$2,'1.PUNTOS'!$A$1:$B$63,2,0),0)</f>
        <v>0</v>
      </c>
      <c r="AX194" s="138">
        <f>IF('1.DATOS-PROD'!BG195="SI",VLOOKUP('1.DATOS-PROD'!BG$2,'1.PUNTOS'!$A$1:$B$63,2,0),0)</f>
        <v>0</v>
      </c>
      <c r="AY194" s="138">
        <f>IF('1.DATOS-PROD'!BH195="SI",VLOOKUP('1.DATOS-PROD'!BH$2,'1.PUNTOS'!$A$1:$B$63,2,0),0)</f>
        <v>0</v>
      </c>
      <c r="AZ194" s="138">
        <f>IF('1.DATOS-PROD'!BI195="SI",VLOOKUP('1.DATOS-PROD'!BI$2,'1.PUNTOS'!$A$1:$B$63,2,0),0)</f>
        <v>0</v>
      </c>
      <c r="BA194" s="138">
        <f>IF('1.DATOS-PROD'!BJ195="SI",VLOOKUP('1.DATOS-PROD'!BJ$2,'1.PUNTOS'!$A$1:$B$63,2,0),0)</f>
        <v>0</v>
      </c>
      <c r="BB194" s="138">
        <f>IF('1.DATOS-PROD'!BK195="SI",VLOOKUP('1.DATOS-PROD'!BK$2,'1.PUNTOS'!$A$1:$B$63,2,0),0)</f>
        <v>0</v>
      </c>
      <c r="BC194" s="138">
        <f>IF('1.DATOS-PROD'!BL195="SI",VLOOKUP('1.DATOS-PROD'!BL$2,'1.PUNTOS'!$A$1:$B$63,2,0),0)</f>
        <v>0</v>
      </c>
      <c r="BD194" s="138">
        <f>IF('1.DATOS-PROD'!BM195="SI",VLOOKUP('1.DATOS-PROD'!BM$2,'1.PUNTOS'!$A$1:$B$63,2,0),0)</f>
        <v>0</v>
      </c>
      <c r="BE194" s="138">
        <f>IF('1.DATOS-PROD'!BN195="SI",VLOOKUP('1.DATOS-PROD'!BN$2,'1.PUNTOS'!$A$1:$B$63,2,0),0)</f>
        <v>0</v>
      </c>
      <c r="BF194" s="138">
        <f>IF('1.DATOS-PROD'!BO195="SI",VLOOKUP('1.DATOS-PROD'!BO$2,'1.PUNTOS'!$A$1:$B$63,2,0),0)</f>
        <v>0</v>
      </c>
      <c r="BG194" s="138">
        <f>IF('1.DATOS-PROD'!BP195="SI",VLOOKUP('1.DATOS-PROD'!BP$2,'1.PUNTOS'!$A$1:$B$63,2,0),0)</f>
        <v>0</v>
      </c>
      <c r="BH194" s="138">
        <f>IF('1.DATOS-PROD'!BQ195="SI",VLOOKUP('1.DATOS-PROD'!BQ$2,'1.PUNTOS'!$A$1:$B$63,2,0),0)</f>
        <v>0</v>
      </c>
      <c r="BI194" s="138">
        <f>IF('1.DATOS-PROD'!BR195="SI",VLOOKUP('1.DATOS-PROD'!BR$2,'1.PUNTOS'!$A$1:$B$63,2,0),0)</f>
        <v>0</v>
      </c>
      <c r="BJ194" s="138">
        <f>IF('1.DATOS-PROD'!BS195="SI",VLOOKUP('1.DATOS-PROD'!BS$2,'1.PUNTOS'!$A$1:$B$63,2,0),0)</f>
        <v>0</v>
      </c>
      <c r="BK194" s="138">
        <f>IF('1.DATOS-PROD'!BT195="SI",VLOOKUP('1.DATOS-PROD'!BT$2,'1.PUNTOS'!$A$1:$B$63,2,0),0)</f>
        <v>0</v>
      </c>
    </row>
    <row r="195" spans="1:63" x14ac:dyDescent="0.25">
      <c r="A195">
        <f>'0.Consolidado general'!$A196</f>
        <v>0</v>
      </c>
      <c r="B195" s="138">
        <f>IF('1.DATOS-PROD'!K196="SI",VLOOKUP('1.DATOS-PROD'!K$2,'1.PUNTOS'!$A$1:$B$63,2,0),0)</f>
        <v>0</v>
      </c>
      <c r="C195" s="138">
        <f>IF('1.DATOS-PROD'!L196="SI",VLOOKUP('1.DATOS-PROD'!L$2,'1.PUNTOS'!$A$1:$B$63,2,0),0)</f>
        <v>0</v>
      </c>
      <c r="D195" s="138">
        <f>IF('1.DATOS-PROD'!M196="SI",VLOOKUP('1.DATOS-PROD'!M$2,'1.PUNTOS'!$A$1:$B$63,2,0),0)</f>
        <v>0</v>
      </c>
      <c r="E195" s="138">
        <f>IF('1.DATOS-PROD'!N196="SI",VLOOKUP('1.DATOS-PROD'!N$2,'1.PUNTOS'!$A$1:$B$63,2,0),0)</f>
        <v>0</v>
      </c>
      <c r="F195" s="138">
        <f>IF('1.DATOS-PROD'!O196="SI",VLOOKUP('1.DATOS-PROD'!O$2,'1.PUNTOS'!$A$1:$B$63,2,0),0)</f>
        <v>0</v>
      </c>
      <c r="G195" s="138">
        <f>IF('1.DATOS-PROD'!P196="SI",VLOOKUP('1.DATOS-PROD'!P$2,'1.PUNTOS'!$A$1:$B$63,2,0),0)</f>
        <v>0</v>
      </c>
      <c r="H195" s="138">
        <f>IF('1.DATOS-PROD'!Q196="SI",VLOOKUP('1.DATOS-PROD'!Q$2,'1.PUNTOS'!$A$1:$B$63,2,0),0)</f>
        <v>0</v>
      </c>
      <c r="I195" s="138">
        <f>IF('1.DATOS-PROD'!R196="SI",VLOOKUP('1.DATOS-PROD'!R$2,'1.PUNTOS'!$A$1:$B$63,2,0),0)</f>
        <v>0</v>
      </c>
      <c r="J195" s="138">
        <f>IF('1.DATOS-PROD'!S196="SI",VLOOKUP('1.DATOS-PROD'!S$2,'1.PUNTOS'!$A$1:$B$63,2,0),0)</f>
        <v>0</v>
      </c>
      <c r="K195" s="138">
        <f>IF('1.DATOS-PROD'!T196="SI",VLOOKUP('1.DATOS-PROD'!T$2,'1.PUNTOS'!$A$1:$B$63,2,0),0)</f>
        <v>0</v>
      </c>
      <c r="L195" s="138">
        <f>IF('1.DATOS-PROD'!U196="SI",VLOOKUP('1.DATOS-PROD'!U$2,'1.PUNTOS'!$A$1:$B$63,2,0),0)</f>
        <v>0</v>
      </c>
      <c r="M195" s="138">
        <f>IF('1.DATOS-PROD'!V196="SI",VLOOKUP('1.DATOS-PROD'!V$2,'1.PUNTOS'!$A$1:$B$63,2,0),0)</f>
        <v>0</v>
      </c>
      <c r="N195" s="138">
        <f>IF('1.DATOS-PROD'!W196="SI",VLOOKUP('1.DATOS-PROD'!W$2,'1.PUNTOS'!$A$1:$B$63,2,0),0)</f>
        <v>0</v>
      </c>
      <c r="O195" s="138">
        <f>IF('1.DATOS-PROD'!X196="SI",VLOOKUP('1.DATOS-PROD'!X$2,'1.PUNTOS'!$A$1:$B$63,2,0),0)</f>
        <v>0</v>
      </c>
      <c r="P195" s="138">
        <f>IF('1.DATOS-PROD'!Y196="SI",VLOOKUP('1.DATOS-PROD'!Y$2,'1.PUNTOS'!$A$1:$B$63,2,0),0)</f>
        <v>0</v>
      </c>
      <c r="Q195" s="138">
        <f>IF('1.DATOS-PROD'!Z196="SI",VLOOKUP('1.DATOS-PROD'!Z$2,'1.PUNTOS'!$A$1:$B$63,2,0),0)</f>
        <v>0</v>
      </c>
      <c r="R195" s="138">
        <f>IF('1.DATOS-PROD'!AA196="SI",VLOOKUP('1.DATOS-PROD'!AA$2,'1.PUNTOS'!$A$1:$B$63,2,0),0)</f>
        <v>0</v>
      </c>
      <c r="S195" s="138">
        <f>IF('1.DATOS-PROD'!AB196="SI",VLOOKUP('1.DATOS-PROD'!AB$2,'1.PUNTOS'!$A$1:$B$63,2,0),0)</f>
        <v>0</v>
      </c>
      <c r="T195" s="138">
        <f>IF('1.DATOS-PROD'!AC196="SI",VLOOKUP('1.DATOS-PROD'!AC$2,'1.PUNTOS'!$A$1:$B$63,2,0),0)</f>
        <v>0</v>
      </c>
      <c r="U195" s="138">
        <f>IF('1.DATOS-PROD'!AD196="SI",VLOOKUP('1.DATOS-PROD'!AD$2,'1.PUNTOS'!$A$1:$B$63,2,0),0)</f>
        <v>0</v>
      </c>
      <c r="V195" s="138">
        <f>IF('1.DATOS-PROD'!AE196="SI",VLOOKUP('1.DATOS-PROD'!AE$2,'1.PUNTOS'!$A$1:$B$63,2,0),0)</f>
        <v>0</v>
      </c>
      <c r="W195" s="138">
        <f>IF('1.DATOS-PROD'!AF196="SI",VLOOKUP('1.DATOS-PROD'!AF$2,'1.PUNTOS'!$A$1:$B$63,2,0),0)</f>
        <v>0</v>
      </c>
      <c r="X195" s="138">
        <f>IF('1.DATOS-PROD'!AG196="SI",VLOOKUP('1.DATOS-PROD'!AG$2,'1.PUNTOS'!$A$1:$B$63,2,0),0)</f>
        <v>0</v>
      </c>
      <c r="Y195" s="138">
        <f>IF('1.DATOS-PROD'!AH196="SI",VLOOKUP('1.DATOS-PROD'!AH$2,'1.PUNTOS'!$A$1:$B$63,2,0),0)</f>
        <v>0</v>
      </c>
      <c r="Z195" s="138">
        <f>IF('1.DATOS-PROD'!AI196="SI",VLOOKUP('1.DATOS-PROD'!AI$2,'1.PUNTOS'!$A$1:$B$63,2,0),0)</f>
        <v>0</v>
      </c>
      <c r="AA195" s="138">
        <f>IF('1.DATOS-PROD'!AJ196="SI",VLOOKUP('1.DATOS-PROD'!AJ$2,'1.PUNTOS'!$A$1:$B$63,2,0),0)</f>
        <v>0</v>
      </c>
      <c r="AB195" s="138">
        <f>IF('1.DATOS-PROD'!AK196="SI",VLOOKUP('1.DATOS-PROD'!AK$2,'1.PUNTOS'!$A$1:$B$63,2,0),0)</f>
        <v>0</v>
      </c>
      <c r="AC195" s="138">
        <f>IF('1.DATOS-PROD'!AL196="SI",VLOOKUP('1.DATOS-PROD'!AL$2,'1.PUNTOS'!$A$1:$B$63,2,0),0)</f>
        <v>0</v>
      </c>
      <c r="AD195" s="138">
        <f>IF('1.DATOS-PROD'!AM196="SI",VLOOKUP('1.DATOS-PROD'!AM$2,'1.PUNTOS'!$A$1:$B$63,2,0),0)</f>
        <v>0</v>
      </c>
      <c r="AE195" s="138">
        <f>IF('1.DATOS-PROD'!AN196="SI",VLOOKUP('1.DATOS-PROD'!AN$2,'1.PUNTOS'!$A$1:$B$63,2,0),0)</f>
        <v>0</v>
      </c>
      <c r="AF195" s="138">
        <f>IF('1.DATOS-PROD'!AO196="SI",VLOOKUP('1.DATOS-PROD'!AO$2,'1.PUNTOS'!$A$1:$B$63,2,0),0)</f>
        <v>0</v>
      </c>
      <c r="AG195" s="138">
        <f>IF('1.DATOS-PROD'!AP196="SI",VLOOKUP('1.DATOS-PROD'!AP$2,'1.PUNTOS'!$A$1:$B$63,2,0),0)</f>
        <v>0</v>
      </c>
      <c r="AH195" s="138">
        <f>IF('1.DATOS-PROD'!AQ196="SI",VLOOKUP('1.DATOS-PROD'!AQ$2,'1.PUNTOS'!$A$1:$B$63,2,0),0)</f>
        <v>0</v>
      </c>
      <c r="AI195" s="138">
        <f>IF('1.DATOS-PROD'!AR196="SI",VLOOKUP('1.DATOS-PROD'!AR$2,'1.PUNTOS'!$A$1:$B$63,2,0),0)</f>
        <v>0</v>
      </c>
      <c r="AJ195" s="138">
        <f>IF('1.DATOS-PROD'!AS196="SI",VLOOKUP('1.DATOS-PROD'!AS$2,'1.PUNTOS'!$A$1:$B$63,2,0),0)</f>
        <v>0</v>
      </c>
      <c r="AK195" s="138">
        <f>IF('1.DATOS-PROD'!AT196="SI",VLOOKUP('1.DATOS-PROD'!AT$2,'1.PUNTOS'!$A$1:$B$63,2,0),0)</f>
        <v>0</v>
      </c>
      <c r="AL195" s="138">
        <f>IF('1.DATOS-PROD'!AU196="SI",VLOOKUP('1.DATOS-PROD'!AU$2,'1.PUNTOS'!$A$1:$B$63,2,0),0)</f>
        <v>0</v>
      </c>
      <c r="AM195" s="138">
        <f>IF('1.DATOS-PROD'!AV196="SI",VLOOKUP('1.DATOS-PROD'!AV$2,'1.PUNTOS'!$A$1:$B$63,2,0),0)</f>
        <v>0</v>
      </c>
      <c r="AN195" s="138">
        <f>IF('1.DATOS-PROD'!AW196="SI",VLOOKUP('1.DATOS-PROD'!AW$2,'1.PUNTOS'!$A$1:$B$63,2,0),0)</f>
        <v>0</v>
      </c>
      <c r="AO195" s="138">
        <f>IF('1.DATOS-PROD'!AX196="SI",VLOOKUP('1.DATOS-PROD'!AX$2,'1.PUNTOS'!$A$1:$B$63,2,0),0)</f>
        <v>0</v>
      </c>
      <c r="AP195" s="138">
        <f>IF('1.DATOS-PROD'!AY196="SI",VLOOKUP('1.DATOS-PROD'!AY$2,'1.PUNTOS'!$A$1:$B$63,2,0),0)</f>
        <v>0</v>
      </c>
      <c r="AQ195" s="138">
        <f>IF('1.DATOS-PROD'!AZ196="SI",VLOOKUP('1.DATOS-PROD'!AZ$2,'1.PUNTOS'!$A$1:$B$63,2,0),0)</f>
        <v>0</v>
      </c>
      <c r="AR195" s="138">
        <f>IF('1.DATOS-PROD'!BA196="SI",VLOOKUP('1.DATOS-PROD'!BA$2,'1.PUNTOS'!$A$1:$B$63,2,0),0)</f>
        <v>0</v>
      </c>
      <c r="AS195" s="138">
        <f>IF('1.DATOS-PROD'!BB196="SI",VLOOKUP('1.DATOS-PROD'!BB$2,'1.PUNTOS'!$A$1:$B$63,2,0),0)</f>
        <v>0</v>
      </c>
      <c r="AT195" s="138">
        <f>IF('1.DATOS-PROD'!BC196="SI",VLOOKUP('1.DATOS-PROD'!BC$2,'1.PUNTOS'!$A$1:$B$63,2,0),0)</f>
        <v>0</v>
      </c>
      <c r="AU195" s="138">
        <f>IF('1.DATOS-PROD'!BD196="SI",VLOOKUP('1.DATOS-PROD'!BD$2,'1.PUNTOS'!$A$1:$B$63,2,0),0)</f>
        <v>0</v>
      </c>
      <c r="AV195" s="138">
        <f>IF('1.DATOS-PROD'!BE196="SI",VLOOKUP('1.DATOS-PROD'!BE$2,'1.PUNTOS'!$A$1:$B$63,2,0),0)</f>
        <v>0</v>
      </c>
      <c r="AW195" s="138">
        <f>IF('1.DATOS-PROD'!BF196="SI",VLOOKUP('1.DATOS-PROD'!BF$2,'1.PUNTOS'!$A$1:$B$63,2,0),0)</f>
        <v>0</v>
      </c>
      <c r="AX195" s="138">
        <f>IF('1.DATOS-PROD'!BG196="SI",VLOOKUP('1.DATOS-PROD'!BG$2,'1.PUNTOS'!$A$1:$B$63,2,0),0)</f>
        <v>0</v>
      </c>
      <c r="AY195" s="138">
        <f>IF('1.DATOS-PROD'!BH196="SI",VLOOKUP('1.DATOS-PROD'!BH$2,'1.PUNTOS'!$A$1:$B$63,2,0),0)</f>
        <v>0</v>
      </c>
      <c r="AZ195" s="138">
        <f>IF('1.DATOS-PROD'!BI196="SI",VLOOKUP('1.DATOS-PROD'!BI$2,'1.PUNTOS'!$A$1:$B$63,2,0),0)</f>
        <v>0</v>
      </c>
      <c r="BA195" s="138">
        <f>IF('1.DATOS-PROD'!BJ196="SI",VLOOKUP('1.DATOS-PROD'!BJ$2,'1.PUNTOS'!$A$1:$B$63,2,0),0)</f>
        <v>0</v>
      </c>
      <c r="BB195" s="138">
        <f>IF('1.DATOS-PROD'!BK196="SI",VLOOKUP('1.DATOS-PROD'!BK$2,'1.PUNTOS'!$A$1:$B$63,2,0),0)</f>
        <v>0</v>
      </c>
      <c r="BC195" s="138">
        <f>IF('1.DATOS-PROD'!BL196="SI",VLOOKUP('1.DATOS-PROD'!BL$2,'1.PUNTOS'!$A$1:$B$63,2,0),0)</f>
        <v>0</v>
      </c>
      <c r="BD195" s="138">
        <f>IF('1.DATOS-PROD'!BM196="SI",VLOOKUP('1.DATOS-PROD'!BM$2,'1.PUNTOS'!$A$1:$B$63,2,0),0)</f>
        <v>0</v>
      </c>
      <c r="BE195" s="138">
        <f>IF('1.DATOS-PROD'!BN196="SI",VLOOKUP('1.DATOS-PROD'!BN$2,'1.PUNTOS'!$A$1:$B$63,2,0),0)</f>
        <v>0</v>
      </c>
      <c r="BF195" s="138">
        <f>IF('1.DATOS-PROD'!BO196="SI",VLOOKUP('1.DATOS-PROD'!BO$2,'1.PUNTOS'!$A$1:$B$63,2,0),0)</f>
        <v>0</v>
      </c>
      <c r="BG195" s="138">
        <f>IF('1.DATOS-PROD'!BP196="SI",VLOOKUP('1.DATOS-PROD'!BP$2,'1.PUNTOS'!$A$1:$B$63,2,0),0)</f>
        <v>0</v>
      </c>
      <c r="BH195" s="138">
        <f>IF('1.DATOS-PROD'!BQ196="SI",VLOOKUP('1.DATOS-PROD'!BQ$2,'1.PUNTOS'!$A$1:$B$63,2,0),0)</f>
        <v>0</v>
      </c>
      <c r="BI195" s="138">
        <f>IF('1.DATOS-PROD'!BR196="SI",VLOOKUP('1.DATOS-PROD'!BR$2,'1.PUNTOS'!$A$1:$B$63,2,0),0)</f>
        <v>0</v>
      </c>
      <c r="BJ195" s="138">
        <f>IF('1.DATOS-PROD'!BS196="SI",VLOOKUP('1.DATOS-PROD'!BS$2,'1.PUNTOS'!$A$1:$B$63,2,0),0)</f>
        <v>0</v>
      </c>
      <c r="BK195" s="138">
        <f>IF('1.DATOS-PROD'!BT196="SI",VLOOKUP('1.DATOS-PROD'!BT$2,'1.PUNTOS'!$A$1:$B$63,2,0),0)</f>
        <v>0</v>
      </c>
    </row>
    <row r="196" spans="1:63" x14ac:dyDescent="0.25">
      <c r="A196">
        <f>'0.Consolidado general'!$A197</f>
        <v>0</v>
      </c>
      <c r="B196" s="138">
        <f>IF('1.DATOS-PROD'!K197="SI",VLOOKUP('1.DATOS-PROD'!K$2,'1.PUNTOS'!$A$1:$B$63,2,0),0)</f>
        <v>0</v>
      </c>
      <c r="C196" s="138">
        <f>IF('1.DATOS-PROD'!L197="SI",VLOOKUP('1.DATOS-PROD'!L$2,'1.PUNTOS'!$A$1:$B$63,2,0),0)</f>
        <v>0</v>
      </c>
      <c r="D196" s="138">
        <f>IF('1.DATOS-PROD'!M197="SI",VLOOKUP('1.DATOS-PROD'!M$2,'1.PUNTOS'!$A$1:$B$63,2,0),0)</f>
        <v>0</v>
      </c>
      <c r="E196" s="138">
        <f>IF('1.DATOS-PROD'!N197="SI",VLOOKUP('1.DATOS-PROD'!N$2,'1.PUNTOS'!$A$1:$B$63,2,0),0)</f>
        <v>0</v>
      </c>
      <c r="F196" s="138">
        <f>IF('1.DATOS-PROD'!O197="SI",VLOOKUP('1.DATOS-PROD'!O$2,'1.PUNTOS'!$A$1:$B$63,2,0),0)</f>
        <v>0</v>
      </c>
      <c r="G196" s="138">
        <f>IF('1.DATOS-PROD'!P197="SI",VLOOKUP('1.DATOS-PROD'!P$2,'1.PUNTOS'!$A$1:$B$63,2,0),0)</f>
        <v>0</v>
      </c>
      <c r="H196" s="138">
        <f>IF('1.DATOS-PROD'!Q197="SI",VLOOKUP('1.DATOS-PROD'!Q$2,'1.PUNTOS'!$A$1:$B$63,2,0),0)</f>
        <v>0</v>
      </c>
      <c r="I196" s="138">
        <f>IF('1.DATOS-PROD'!R197="SI",VLOOKUP('1.DATOS-PROD'!R$2,'1.PUNTOS'!$A$1:$B$63,2,0),0)</f>
        <v>0</v>
      </c>
      <c r="J196" s="138">
        <f>IF('1.DATOS-PROD'!S197="SI",VLOOKUP('1.DATOS-PROD'!S$2,'1.PUNTOS'!$A$1:$B$63,2,0),0)</f>
        <v>0</v>
      </c>
      <c r="K196" s="138">
        <f>IF('1.DATOS-PROD'!T197="SI",VLOOKUP('1.DATOS-PROD'!T$2,'1.PUNTOS'!$A$1:$B$63,2,0),0)</f>
        <v>0</v>
      </c>
      <c r="L196" s="138">
        <f>IF('1.DATOS-PROD'!U197="SI",VLOOKUP('1.DATOS-PROD'!U$2,'1.PUNTOS'!$A$1:$B$63,2,0),0)</f>
        <v>0</v>
      </c>
      <c r="M196" s="138">
        <f>IF('1.DATOS-PROD'!V197="SI",VLOOKUP('1.DATOS-PROD'!V$2,'1.PUNTOS'!$A$1:$B$63,2,0),0)</f>
        <v>0</v>
      </c>
      <c r="N196" s="138">
        <f>IF('1.DATOS-PROD'!W197="SI",VLOOKUP('1.DATOS-PROD'!W$2,'1.PUNTOS'!$A$1:$B$63,2,0),0)</f>
        <v>0</v>
      </c>
      <c r="O196" s="138">
        <f>IF('1.DATOS-PROD'!X197="SI",VLOOKUP('1.DATOS-PROD'!X$2,'1.PUNTOS'!$A$1:$B$63,2,0),0)</f>
        <v>0</v>
      </c>
      <c r="P196" s="138">
        <f>IF('1.DATOS-PROD'!Y197="SI",VLOOKUP('1.DATOS-PROD'!Y$2,'1.PUNTOS'!$A$1:$B$63,2,0),0)</f>
        <v>0</v>
      </c>
      <c r="Q196" s="138">
        <f>IF('1.DATOS-PROD'!Z197="SI",VLOOKUP('1.DATOS-PROD'!Z$2,'1.PUNTOS'!$A$1:$B$63,2,0),0)</f>
        <v>0</v>
      </c>
      <c r="R196" s="138">
        <f>IF('1.DATOS-PROD'!AA197="SI",VLOOKUP('1.DATOS-PROD'!AA$2,'1.PUNTOS'!$A$1:$B$63,2,0),0)</f>
        <v>0</v>
      </c>
      <c r="S196" s="138">
        <f>IF('1.DATOS-PROD'!AB197="SI",VLOOKUP('1.DATOS-PROD'!AB$2,'1.PUNTOS'!$A$1:$B$63,2,0),0)</f>
        <v>0</v>
      </c>
      <c r="T196" s="138">
        <f>IF('1.DATOS-PROD'!AC197="SI",VLOOKUP('1.DATOS-PROD'!AC$2,'1.PUNTOS'!$A$1:$B$63,2,0),0)</f>
        <v>0</v>
      </c>
      <c r="U196" s="138">
        <f>IF('1.DATOS-PROD'!AD197="SI",VLOOKUP('1.DATOS-PROD'!AD$2,'1.PUNTOS'!$A$1:$B$63,2,0),0)</f>
        <v>0</v>
      </c>
      <c r="V196" s="138">
        <f>IF('1.DATOS-PROD'!AE197="SI",VLOOKUP('1.DATOS-PROD'!AE$2,'1.PUNTOS'!$A$1:$B$63,2,0),0)</f>
        <v>0</v>
      </c>
      <c r="W196" s="138">
        <f>IF('1.DATOS-PROD'!AF197="SI",VLOOKUP('1.DATOS-PROD'!AF$2,'1.PUNTOS'!$A$1:$B$63,2,0),0)</f>
        <v>0</v>
      </c>
      <c r="X196" s="138">
        <f>IF('1.DATOS-PROD'!AG197="SI",VLOOKUP('1.DATOS-PROD'!AG$2,'1.PUNTOS'!$A$1:$B$63,2,0),0)</f>
        <v>0</v>
      </c>
      <c r="Y196" s="138">
        <f>IF('1.DATOS-PROD'!AH197="SI",VLOOKUP('1.DATOS-PROD'!AH$2,'1.PUNTOS'!$A$1:$B$63,2,0),0)</f>
        <v>0</v>
      </c>
      <c r="Z196" s="138">
        <f>IF('1.DATOS-PROD'!AI197="SI",VLOOKUP('1.DATOS-PROD'!AI$2,'1.PUNTOS'!$A$1:$B$63,2,0),0)</f>
        <v>0</v>
      </c>
      <c r="AA196" s="138">
        <f>IF('1.DATOS-PROD'!AJ197="SI",VLOOKUP('1.DATOS-PROD'!AJ$2,'1.PUNTOS'!$A$1:$B$63,2,0),0)</f>
        <v>0</v>
      </c>
      <c r="AB196" s="138">
        <f>IF('1.DATOS-PROD'!AK197="SI",VLOOKUP('1.DATOS-PROD'!AK$2,'1.PUNTOS'!$A$1:$B$63,2,0),0)</f>
        <v>0</v>
      </c>
      <c r="AC196" s="138">
        <f>IF('1.DATOS-PROD'!AL197="SI",VLOOKUP('1.DATOS-PROD'!AL$2,'1.PUNTOS'!$A$1:$B$63,2,0),0)</f>
        <v>0</v>
      </c>
      <c r="AD196" s="138">
        <f>IF('1.DATOS-PROD'!AM197="SI",VLOOKUP('1.DATOS-PROD'!AM$2,'1.PUNTOS'!$A$1:$B$63,2,0),0)</f>
        <v>0</v>
      </c>
      <c r="AE196" s="138">
        <f>IF('1.DATOS-PROD'!AN197="SI",VLOOKUP('1.DATOS-PROD'!AN$2,'1.PUNTOS'!$A$1:$B$63,2,0),0)</f>
        <v>0</v>
      </c>
      <c r="AF196" s="138">
        <f>IF('1.DATOS-PROD'!AO197="SI",VLOOKUP('1.DATOS-PROD'!AO$2,'1.PUNTOS'!$A$1:$B$63,2,0),0)</f>
        <v>0</v>
      </c>
      <c r="AG196" s="138">
        <f>IF('1.DATOS-PROD'!AP197="SI",VLOOKUP('1.DATOS-PROD'!AP$2,'1.PUNTOS'!$A$1:$B$63,2,0),0)</f>
        <v>0</v>
      </c>
      <c r="AH196" s="138">
        <f>IF('1.DATOS-PROD'!AQ197="SI",VLOOKUP('1.DATOS-PROD'!AQ$2,'1.PUNTOS'!$A$1:$B$63,2,0),0)</f>
        <v>0</v>
      </c>
      <c r="AI196" s="138">
        <f>IF('1.DATOS-PROD'!AR197="SI",VLOOKUP('1.DATOS-PROD'!AR$2,'1.PUNTOS'!$A$1:$B$63,2,0),0)</f>
        <v>0</v>
      </c>
      <c r="AJ196" s="138">
        <f>IF('1.DATOS-PROD'!AS197="SI",VLOOKUP('1.DATOS-PROD'!AS$2,'1.PUNTOS'!$A$1:$B$63,2,0),0)</f>
        <v>0</v>
      </c>
      <c r="AK196" s="138">
        <f>IF('1.DATOS-PROD'!AT197="SI",VLOOKUP('1.DATOS-PROD'!AT$2,'1.PUNTOS'!$A$1:$B$63,2,0),0)</f>
        <v>0</v>
      </c>
      <c r="AL196" s="138">
        <f>IF('1.DATOS-PROD'!AU197="SI",VLOOKUP('1.DATOS-PROD'!AU$2,'1.PUNTOS'!$A$1:$B$63,2,0),0)</f>
        <v>0</v>
      </c>
      <c r="AM196" s="138">
        <f>IF('1.DATOS-PROD'!AV197="SI",VLOOKUP('1.DATOS-PROD'!AV$2,'1.PUNTOS'!$A$1:$B$63,2,0),0)</f>
        <v>0</v>
      </c>
      <c r="AN196" s="138">
        <f>IF('1.DATOS-PROD'!AW197="SI",VLOOKUP('1.DATOS-PROD'!AW$2,'1.PUNTOS'!$A$1:$B$63,2,0),0)</f>
        <v>0</v>
      </c>
      <c r="AO196" s="138">
        <f>IF('1.DATOS-PROD'!AX197="SI",VLOOKUP('1.DATOS-PROD'!AX$2,'1.PUNTOS'!$A$1:$B$63,2,0),0)</f>
        <v>0</v>
      </c>
      <c r="AP196" s="138">
        <f>IF('1.DATOS-PROD'!AY197="SI",VLOOKUP('1.DATOS-PROD'!AY$2,'1.PUNTOS'!$A$1:$B$63,2,0),0)</f>
        <v>0</v>
      </c>
      <c r="AQ196" s="138">
        <f>IF('1.DATOS-PROD'!AZ197="SI",VLOOKUP('1.DATOS-PROD'!AZ$2,'1.PUNTOS'!$A$1:$B$63,2,0),0)</f>
        <v>0</v>
      </c>
      <c r="AR196" s="138">
        <f>IF('1.DATOS-PROD'!BA197="SI",VLOOKUP('1.DATOS-PROD'!BA$2,'1.PUNTOS'!$A$1:$B$63,2,0),0)</f>
        <v>0</v>
      </c>
      <c r="AS196" s="138">
        <f>IF('1.DATOS-PROD'!BB197="SI",VLOOKUP('1.DATOS-PROD'!BB$2,'1.PUNTOS'!$A$1:$B$63,2,0),0)</f>
        <v>0</v>
      </c>
      <c r="AT196" s="138">
        <f>IF('1.DATOS-PROD'!BC197="SI",VLOOKUP('1.DATOS-PROD'!BC$2,'1.PUNTOS'!$A$1:$B$63,2,0),0)</f>
        <v>0</v>
      </c>
      <c r="AU196" s="138">
        <f>IF('1.DATOS-PROD'!BD197="SI",VLOOKUP('1.DATOS-PROD'!BD$2,'1.PUNTOS'!$A$1:$B$63,2,0),0)</f>
        <v>0</v>
      </c>
      <c r="AV196" s="138">
        <f>IF('1.DATOS-PROD'!BE197="SI",VLOOKUP('1.DATOS-PROD'!BE$2,'1.PUNTOS'!$A$1:$B$63,2,0),0)</f>
        <v>0</v>
      </c>
      <c r="AW196" s="138">
        <f>IF('1.DATOS-PROD'!BF197="SI",VLOOKUP('1.DATOS-PROD'!BF$2,'1.PUNTOS'!$A$1:$B$63,2,0),0)</f>
        <v>0</v>
      </c>
      <c r="AX196" s="138">
        <f>IF('1.DATOS-PROD'!BG197="SI",VLOOKUP('1.DATOS-PROD'!BG$2,'1.PUNTOS'!$A$1:$B$63,2,0),0)</f>
        <v>0</v>
      </c>
      <c r="AY196" s="138">
        <f>IF('1.DATOS-PROD'!BH197="SI",VLOOKUP('1.DATOS-PROD'!BH$2,'1.PUNTOS'!$A$1:$B$63,2,0),0)</f>
        <v>0</v>
      </c>
      <c r="AZ196" s="138">
        <f>IF('1.DATOS-PROD'!BI197="SI",VLOOKUP('1.DATOS-PROD'!BI$2,'1.PUNTOS'!$A$1:$B$63,2,0),0)</f>
        <v>0</v>
      </c>
      <c r="BA196" s="138">
        <f>IF('1.DATOS-PROD'!BJ197="SI",VLOOKUP('1.DATOS-PROD'!BJ$2,'1.PUNTOS'!$A$1:$B$63,2,0),0)</f>
        <v>0</v>
      </c>
      <c r="BB196" s="138">
        <f>IF('1.DATOS-PROD'!BK197="SI",VLOOKUP('1.DATOS-PROD'!BK$2,'1.PUNTOS'!$A$1:$B$63,2,0),0)</f>
        <v>0</v>
      </c>
      <c r="BC196" s="138">
        <f>IF('1.DATOS-PROD'!BL197="SI",VLOOKUP('1.DATOS-PROD'!BL$2,'1.PUNTOS'!$A$1:$B$63,2,0),0)</f>
        <v>0</v>
      </c>
      <c r="BD196" s="138">
        <f>IF('1.DATOS-PROD'!BM197="SI",VLOOKUP('1.DATOS-PROD'!BM$2,'1.PUNTOS'!$A$1:$B$63,2,0),0)</f>
        <v>0</v>
      </c>
      <c r="BE196" s="138">
        <f>IF('1.DATOS-PROD'!BN197="SI",VLOOKUP('1.DATOS-PROD'!BN$2,'1.PUNTOS'!$A$1:$B$63,2,0),0)</f>
        <v>0</v>
      </c>
      <c r="BF196" s="138">
        <f>IF('1.DATOS-PROD'!BO197="SI",VLOOKUP('1.DATOS-PROD'!BO$2,'1.PUNTOS'!$A$1:$B$63,2,0),0)</f>
        <v>0</v>
      </c>
      <c r="BG196" s="138">
        <f>IF('1.DATOS-PROD'!BP197="SI",VLOOKUP('1.DATOS-PROD'!BP$2,'1.PUNTOS'!$A$1:$B$63,2,0),0)</f>
        <v>0</v>
      </c>
      <c r="BH196" s="138">
        <f>IF('1.DATOS-PROD'!BQ197="SI",VLOOKUP('1.DATOS-PROD'!BQ$2,'1.PUNTOS'!$A$1:$B$63,2,0),0)</f>
        <v>0</v>
      </c>
      <c r="BI196" s="138">
        <f>IF('1.DATOS-PROD'!BR197="SI",VLOOKUP('1.DATOS-PROD'!BR$2,'1.PUNTOS'!$A$1:$B$63,2,0),0)</f>
        <v>0</v>
      </c>
      <c r="BJ196" s="138">
        <f>IF('1.DATOS-PROD'!BS197="SI",VLOOKUP('1.DATOS-PROD'!BS$2,'1.PUNTOS'!$A$1:$B$63,2,0),0)</f>
        <v>0</v>
      </c>
      <c r="BK196" s="138">
        <f>IF('1.DATOS-PROD'!BT197="SI",VLOOKUP('1.DATOS-PROD'!BT$2,'1.PUNTOS'!$A$1:$B$63,2,0),0)</f>
        <v>0</v>
      </c>
    </row>
    <row r="197" spans="1:63" x14ac:dyDescent="0.25">
      <c r="A197">
        <f>'0.Consolidado general'!$A198</f>
        <v>0</v>
      </c>
      <c r="B197" s="138">
        <f>IF('1.DATOS-PROD'!K198="SI",VLOOKUP('1.DATOS-PROD'!K$2,'1.PUNTOS'!$A$1:$B$63,2,0),0)</f>
        <v>0</v>
      </c>
      <c r="C197" s="138">
        <f>IF('1.DATOS-PROD'!L198="SI",VLOOKUP('1.DATOS-PROD'!L$2,'1.PUNTOS'!$A$1:$B$63,2,0),0)</f>
        <v>0</v>
      </c>
      <c r="D197" s="138">
        <f>IF('1.DATOS-PROD'!M198="SI",VLOOKUP('1.DATOS-PROD'!M$2,'1.PUNTOS'!$A$1:$B$63,2,0),0)</f>
        <v>0</v>
      </c>
      <c r="E197" s="138">
        <f>IF('1.DATOS-PROD'!N198="SI",VLOOKUP('1.DATOS-PROD'!N$2,'1.PUNTOS'!$A$1:$B$63,2,0),0)</f>
        <v>0</v>
      </c>
      <c r="F197" s="138">
        <f>IF('1.DATOS-PROD'!O198="SI",VLOOKUP('1.DATOS-PROD'!O$2,'1.PUNTOS'!$A$1:$B$63,2,0),0)</f>
        <v>0</v>
      </c>
      <c r="G197" s="138">
        <f>IF('1.DATOS-PROD'!P198="SI",VLOOKUP('1.DATOS-PROD'!P$2,'1.PUNTOS'!$A$1:$B$63,2,0),0)</f>
        <v>0</v>
      </c>
      <c r="H197" s="138">
        <f>IF('1.DATOS-PROD'!Q198="SI",VLOOKUP('1.DATOS-PROD'!Q$2,'1.PUNTOS'!$A$1:$B$63,2,0),0)</f>
        <v>0</v>
      </c>
      <c r="I197" s="138">
        <f>IF('1.DATOS-PROD'!R198="SI",VLOOKUP('1.DATOS-PROD'!R$2,'1.PUNTOS'!$A$1:$B$63,2,0),0)</f>
        <v>0</v>
      </c>
      <c r="J197" s="138">
        <f>IF('1.DATOS-PROD'!S198="SI",VLOOKUP('1.DATOS-PROD'!S$2,'1.PUNTOS'!$A$1:$B$63,2,0),0)</f>
        <v>0</v>
      </c>
      <c r="K197" s="138">
        <f>IF('1.DATOS-PROD'!T198="SI",VLOOKUP('1.DATOS-PROD'!T$2,'1.PUNTOS'!$A$1:$B$63,2,0),0)</f>
        <v>0</v>
      </c>
      <c r="L197" s="138">
        <f>IF('1.DATOS-PROD'!U198="SI",VLOOKUP('1.DATOS-PROD'!U$2,'1.PUNTOS'!$A$1:$B$63,2,0),0)</f>
        <v>0</v>
      </c>
      <c r="M197" s="138">
        <f>IF('1.DATOS-PROD'!V198="SI",VLOOKUP('1.DATOS-PROD'!V$2,'1.PUNTOS'!$A$1:$B$63,2,0),0)</f>
        <v>0</v>
      </c>
      <c r="N197" s="138">
        <f>IF('1.DATOS-PROD'!W198="SI",VLOOKUP('1.DATOS-PROD'!W$2,'1.PUNTOS'!$A$1:$B$63,2,0),0)</f>
        <v>0</v>
      </c>
      <c r="O197" s="138">
        <f>IF('1.DATOS-PROD'!X198="SI",VLOOKUP('1.DATOS-PROD'!X$2,'1.PUNTOS'!$A$1:$B$63,2,0),0)</f>
        <v>0</v>
      </c>
      <c r="P197" s="138">
        <f>IF('1.DATOS-PROD'!Y198="SI",VLOOKUP('1.DATOS-PROD'!Y$2,'1.PUNTOS'!$A$1:$B$63,2,0),0)</f>
        <v>0</v>
      </c>
      <c r="Q197" s="138">
        <f>IF('1.DATOS-PROD'!Z198="SI",VLOOKUP('1.DATOS-PROD'!Z$2,'1.PUNTOS'!$A$1:$B$63,2,0),0)</f>
        <v>0</v>
      </c>
      <c r="R197" s="138">
        <f>IF('1.DATOS-PROD'!AA198="SI",VLOOKUP('1.DATOS-PROD'!AA$2,'1.PUNTOS'!$A$1:$B$63,2,0),0)</f>
        <v>0</v>
      </c>
      <c r="S197" s="138">
        <f>IF('1.DATOS-PROD'!AB198="SI",VLOOKUP('1.DATOS-PROD'!AB$2,'1.PUNTOS'!$A$1:$B$63,2,0),0)</f>
        <v>0</v>
      </c>
      <c r="T197" s="138">
        <f>IF('1.DATOS-PROD'!AC198="SI",VLOOKUP('1.DATOS-PROD'!AC$2,'1.PUNTOS'!$A$1:$B$63,2,0),0)</f>
        <v>0</v>
      </c>
      <c r="U197" s="138">
        <f>IF('1.DATOS-PROD'!AD198="SI",VLOOKUP('1.DATOS-PROD'!AD$2,'1.PUNTOS'!$A$1:$B$63,2,0),0)</f>
        <v>0</v>
      </c>
      <c r="V197" s="138">
        <f>IF('1.DATOS-PROD'!AE198="SI",VLOOKUP('1.DATOS-PROD'!AE$2,'1.PUNTOS'!$A$1:$B$63,2,0),0)</f>
        <v>0</v>
      </c>
      <c r="W197" s="138">
        <f>IF('1.DATOS-PROD'!AF198="SI",VLOOKUP('1.DATOS-PROD'!AF$2,'1.PUNTOS'!$A$1:$B$63,2,0),0)</f>
        <v>0</v>
      </c>
      <c r="X197" s="138">
        <f>IF('1.DATOS-PROD'!AG198="SI",VLOOKUP('1.DATOS-PROD'!AG$2,'1.PUNTOS'!$A$1:$B$63,2,0),0)</f>
        <v>0</v>
      </c>
      <c r="Y197" s="138">
        <f>IF('1.DATOS-PROD'!AH198="SI",VLOOKUP('1.DATOS-PROD'!AH$2,'1.PUNTOS'!$A$1:$B$63,2,0),0)</f>
        <v>0</v>
      </c>
      <c r="Z197" s="138">
        <f>IF('1.DATOS-PROD'!AI198="SI",VLOOKUP('1.DATOS-PROD'!AI$2,'1.PUNTOS'!$A$1:$B$63,2,0),0)</f>
        <v>0</v>
      </c>
      <c r="AA197" s="138">
        <f>IF('1.DATOS-PROD'!AJ198="SI",VLOOKUP('1.DATOS-PROD'!AJ$2,'1.PUNTOS'!$A$1:$B$63,2,0),0)</f>
        <v>0</v>
      </c>
      <c r="AB197" s="138">
        <f>IF('1.DATOS-PROD'!AK198="SI",VLOOKUP('1.DATOS-PROD'!AK$2,'1.PUNTOS'!$A$1:$B$63,2,0),0)</f>
        <v>0</v>
      </c>
      <c r="AC197" s="138">
        <f>IF('1.DATOS-PROD'!AL198="SI",VLOOKUP('1.DATOS-PROD'!AL$2,'1.PUNTOS'!$A$1:$B$63,2,0),0)</f>
        <v>0</v>
      </c>
      <c r="AD197" s="138">
        <f>IF('1.DATOS-PROD'!AM198="SI",VLOOKUP('1.DATOS-PROD'!AM$2,'1.PUNTOS'!$A$1:$B$63,2,0),0)</f>
        <v>0</v>
      </c>
      <c r="AE197" s="138">
        <f>IF('1.DATOS-PROD'!AN198="SI",VLOOKUP('1.DATOS-PROD'!AN$2,'1.PUNTOS'!$A$1:$B$63,2,0),0)</f>
        <v>0</v>
      </c>
      <c r="AF197" s="138">
        <f>IF('1.DATOS-PROD'!AO198="SI",VLOOKUP('1.DATOS-PROD'!AO$2,'1.PUNTOS'!$A$1:$B$63,2,0),0)</f>
        <v>0</v>
      </c>
      <c r="AG197" s="138">
        <f>IF('1.DATOS-PROD'!AP198="SI",VLOOKUP('1.DATOS-PROD'!AP$2,'1.PUNTOS'!$A$1:$B$63,2,0),0)</f>
        <v>0</v>
      </c>
      <c r="AH197" s="138">
        <f>IF('1.DATOS-PROD'!AQ198="SI",VLOOKUP('1.DATOS-PROD'!AQ$2,'1.PUNTOS'!$A$1:$B$63,2,0),0)</f>
        <v>0</v>
      </c>
      <c r="AI197" s="138">
        <f>IF('1.DATOS-PROD'!AR198="SI",VLOOKUP('1.DATOS-PROD'!AR$2,'1.PUNTOS'!$A$1:$B$63,2,0),0)</f>
        <v>0</v>
      </c>
      <c r="AJ197" s="138">
        <f>IF('1.DATOS-PROD'!AS198="SI",VLOOKUP('1.DATOS-PROD'!AS$2,'1.PUNTOS'!$A$1:$B$63,2,0),0)</f>
        <v>0</v>
      </c>
      <c r="AK197" s="138">
        <f>IF('1.DATOS-PROD'!AT198="SI",VLOOKUP('1.DATOS-PROD'!AT$2,'1.PUNTOS'!$A$1:$B$63,2,0),0)</f>
        <v>0</v>
      </c>
      <c r="AL197" s="138">
        <f>IF('1.DATOS-PROD'!AU198="SI",VLOOKUP('1.DATOS-PROD'!AU$2,'1.PUNTOS'!$A$1:$B$63,2,0),0)</f>
        <v>0</v>
      </c>
      <c r="AM197" s="138">
        <f>IF('1.DATOS-PROD'!AV198="SI",VLOOKUP('1.DATOS-PROD'!AV$2,'1.PUNTOS'!$A$1:$B$63,2,0),0)</f>
        <v>0</v>
      </c>
      <c r="AN197" s="138">
        <f>IF('1.DATOS-PROD'!AW198="SI",VLOOKUP('1.DATOS-PROD'!AW$2,'1.PUNTOS'!$A$1:$B$63,2,0),0)</f>
        <v>0</v>
      </c>
      <c r="AO197" s="138">
        <f>IF('1.DATOS-PROD'!AX198="SI",VLOOKUP('1.DATOS-PROD'!AX$2,'1.PUNTOS'!$A$1:$B$63,2,0),0)</f>
        <v>0</v>
      </c>
      <c r="AP197" s="138">
        <f>IF('1.DATOS-PROD'!AY198="SI",VLOOKUP('1.DATOS-PROD'!AY$2,'1.PUNTOS'!$A$1:$B$63,2,0),0)</f>
        <v>0</v>
      </c>
      <c r="AQ197" s="138">
        <f>IF('1.DATOS-PROD'!AZ198="SI",VLOOKUP('1.DATOS-PROD'!AZ$2,'1.PUNTOS'!$A$1:$B$63,2,0),0)</f>
        <v>0</v>
      </c>
      <c r="AR197" s="138">
        <f>IF('1.DATOS-PROD'!BA198="SI",VLOOKUP('1.DATOS-PROD'!BA$2,'1.PUNTOS'!$A$1:$B$63,2,0),0)</f>
        <v>0</v>
      </c>
      <c r="AS197" s="138">
        <f>IF('1.DATOS-PROD'!BB198="SI",VLOOKUP('1.DATOS-PROD'!BB$2,'1.PUNTOS'!$A$1:$B$63,2,0),0)</f>
        <v>0</v>
      </c>
      <c r="AT197" s="138">
        <f>IF('1.DATOS-PROD'!BC198="SI",VLOOKUP('1.DATOS-PROD'!BC$2,'1.PUNTOS'!$A$1:$B$63,2,0),0)</f>
        <v>0</v>
      </c>
      <c r="AU197" s="138">
        <f>IF('1.DATOS-PROD'!BD198="SI",VLOOKUP('1.DATOS-PROD'!BD$2,'1.PUNTOS'!$A$1:$B$63,2,0),0)</f>
        <v>0</v>
      </c>
      <c r="AV197" s="138">
        <f>IF('1.DATOS-PROD'!BE198="SI",VLOOKUP('1.DATOS-PROD'!BE$2,'1.PUNTOS'!$A$1:$B$63,2,0),0)</f>
        <v>0</v>
      </c>
      <c r="AW197" s="138">
        <f>IF('1.DATOS-PROD'!BF198="SI",VLOOKUP('1.DATOS-PROD'!BF$2,'1.PUNTOS'!$A$1:$B$63,2,0),0)</f>
        <v>0</v>
      </c>
      <c r="AX197" s="138">
        <f>IF('1.DATOS-PROD'!BG198="SI",VLOOKUP('1.DATOS-PROD'!BG$2,'1.PUNTOS'!$A$1:$B$63,2,0),0)</f>
        <v>0</v>
      </c>
      <c r="AY197" s="138">
        <f>IF('1.DATOS-PROD'!BH198="SI",VLOOKUP('1.DATOS-PROD'!BH$2,'1.PUNTOS'!$A$1:$B$63,2,0),0)</f>
        <v>0</v>
      </c>
      <c r="AZ197" s="138">
        <f>IF('1.DATOS-PROD'!BI198="SI",VLOOKUP('1.DATOS-PROD'!BI$2,'1.PUNTOS'!$A$1:$B$63,2,0),0)</f>
        <v>0</v>
      </c>
      <c r="BA197" s="138">
        <f>IF('1.DATOS-PROD'!BJ198="SI",VLOOKUP('1.DATOS-PROD'!BJ$2,'1.PUNTOS'!$A$1:$B$63,2,0),0)</f>
        <v>0</v>
      </c>
      <c r="BB197" s="138">
        <f>IF('1.DATOS-PROD'!BK198="SI",VLOOKUP('1.DATOS-PROD'!BK$2,'1.PUNTOS'!$A$1:$B$63,2,0),0)</f>
        <v>0</v>
      </c>
      <c r="BC197" s="138">
        <f>IF('1.DATOS-PROD'!BL198="SI",VLOOKUP('1.DATOS-PROD'!BL$2,'1.PUNTOS'!$A$1:$B$63,2,0),0)</f>
        <v>0</v>
      </c>
      <c r="BD197" s="138">
        <f>IF('1.DATOS-PROD'!BM198="SI",VLOOKUP('1.DATOS-PROD'!BM$2,'1.PUNTOS'!$A$1:$B$63,2,0),0)</f>
        <v>0</v>
      </c>
      <c r="BE197" s="138">
        <f>IF('1.DATOS-PROD'!BN198="SI",VLOOKUP('1.DATOS-PROD'!BN$2,'1.PUNTOS'!$A$1:$B$63,2,0),0)</f>
        <v>0</v>
      </c>
      <c r="BF197" s="138">
        <f>IF('1.DATOS-PROD'!BO198="SI",VLOOKUP('1.DATOS-PROD'!BO$2,'1.PUNTOS'!$A$1:$B$63,2,0),0)</f>
        <v>0</v>
      </c>
      <c r="BG197" s="138">
        <f>IF('1.DATOS-PROD'!BP198="SI",VLOOKUP('1.DATOS-PROD'!BP$2,'1.PUNTOS'!$A$1:$B$63,2,0),0)</f>
        <v>0</v>
      </c>
      <c r="BH197" s="138">
        <f>IF('1.DATOS-PROD'!BQ198="SI",VLOOKUP('1.DATOS-PROD'!BQ$2,'1.PUNTOS'!$A$1:$B$63,2,0),0)</f>
        <v>0</v>
      </c>
      <c r="BI197" s="138">
        <f>IF('1.DATOS-PROD'!BR198="SI",VLOOKUP('1.DATOS-PROD'!BR$2,'1.PUNTOS'!$A$1:$B$63,2,0),0)</f>
        <v>0</v>
      </c>
      <c r="BJ197" s="138">
        <f>IF('1.DATOS-PROD'!BS198="SI",VLOOKUP('1.DATOS-PROD'!BS$2,'1.PUNTOS'!$A$1:$B$63,2,0),0)</f>
        <v>0</v>
      </c>
      <c r="BK197" s="138">
        <f>IF('1.DATOS-PROD'!BT198="SI",VLOOKUP('1.DATOS-PROD'!BT$2,'1.PUNTOS'!$A$1:$B$63,2,0),0)</f>
        <v>0</v>
      </c>
    </row>
    <row r="198" spans="1:63" x14ac:dyDescent="0.25">
      <c r="A198">
        <f>'0.Consolidado general'!$A199</f>
        <v>0</v>
      </c>
      <c r="B198" s="138">
        <f>IF('1.DATOS-PROD'!K199="SI",VLOOKUP('1.DATOS-PROD'!K$2,'1.PUNTOS'!$A$1:$B$63,2,0),0)</f>
        <v>0</v>
      </c>
      <c r="C198" s="138">
        <f>IF('1.DATOS-PROD'!L199="SI",VLOOKUP('1.DATOS-PROD'!L$2,'1.PUNTOS'!$A$1:$B$63,2,0),0)</f>
        <v>0</v>
      </c>
      <c r="D198" s="138">
        <f>IF('1.DATOS-PROD'!M199="SI",VLOOKUP('1.DATOS-PROD'!M$2,'1.PUNTOS'!$A$1:$B$63,2,0),0)</f>
        <v>0</v>
      </c>
      <c r="E198" s="138">
        <f>IF('1.DATOS-PROD'!N199="SI",VLOOKUP('1.DATOS-PROD'!N$2,'1.PUNTOS'!$A$1:$B$63,2,0),0)</f>
        <v>0</v>
      </c>
      <c r="F198" s="138">
        <f>IF('1.DATOS-PROD'!O199="SI",VLOOKUP('1.DATOS-PROD'!O$2,'1.PUNTOS'!$A$1:$B$63,2,0),0)</f>
        <v>0</v>
      </c>
      <c r="G198" s="138">
        <f>IF('1.DATOS-PROD'!P199="SI",VLOOKUP('1.DATOS-PROD'!P$2,'1.PUNTOS'!$A$1:$B$63,2,0),0)</f>
        <v>0</v>
      </c>
      <c r="H198" s="138">
        <f>IF('1.DATOS-PROD'!Q199="SI",VLOOKUP('1.DATOS-PROD'!Q$2,'1.PUNTOS'!$A$1:$B$63,2,0),0)</f>
        <v>0</v>
      </c>
      <c r="I198" s="138">
        <f>IF('1.DATOS-PROD'!R199="SI",VLOOKUP('1.DATOS-PROD'!R$2,'1.PUNTOS'!$A$1:$B$63,2,0),0)</f>
        <v>0</v>
      </c>
      <c r="J198" s="138">
        <f>IF('1.DATOS-PROD'!S199="SI",VLOOKUP('1.DATOS-PROD'!S$2,'1.PUNTOS'!$A$1:$B$63,2,0),0)</f>
        <v>0</v>
      </c>
      <c r="K198" s="138">
        <f>IF('1.DATOS-PROD'!T199="SI",VLOOKUP('1.DATOS-PROD'!T$2,'1.PUNTOS'!$A$1:$B$63,2,0),0)</f>
        <v>0</v>
      </c>
      <c r="L198" s="138">
        <f>IF('1.DATOS-PROD'!U199="SI",VLOOKUP('1.DATOS-PROD'!U$2,'1.PUNTOS'!$A$1:$B$63,2,0),0)</f>
        <v>0</v>
      </c>
      <c r="M198" s="138">
        <f>IF('1.DATOS-PROD'!V199="SI",VLOOKUP('1.DATOS-PROD'!V$2,'1.PUNTOS'!$A$1:$B$63,2,0),0)</f>
        <v>0</v>
      </c>
      <c r="N198" s="138">
        <f>IF('1.DATOS-PROD'!W199="SI",VLOOKUP('1.DATOS-PROD'!W$2,'1.PUNTOS'!$A$1:$B$63,2,0),0)</f>
        <v>0</v>
      </c>
      <c r="O198" s="138">
        <f>IF('1.DATOS-PROD'!X199="SI",VLOOKUP('1.DATOS-PROD'!X$2,'1.PUNTOS'!$A$1:$B$63,2,0),0)</f>
        <v>0</v>
      </c>
      <c r="P198" s="138">
        <f>IF('1.DATOS-PROD'!Y199="SI",VLOOKUP('1.DATOS-PROD'!Y$2,'1.PUNTOS'!$A$1:$B$63,2,0),0)</f>
        <v>0</v>
      </c>
      <c r="Q198" s="138">
        <f>IF('1.DATOS-PROD'!Z199="SI",VLOOKUP('1.DATOS-PROD'!Z$2,'1.PUNTOS'!$A$1:$B$63,2,0),0)</f>
        <v>0</v>
      </c>
      <c r="R198" s="138">
        <f>IF('1.DATOS-PROD'!AA199="SI",VLOOKUP('1.DATOS-PROD'!AA$2,'1.PUNTOS'!$A$1:$B$63,2,0),0)</f>
        <v>0</v>
      </c>
      <c r="S198" s="138">
        <f>IF('1.DATOS-PROD'!AB199="SI",VLOOKUP('1.DATOS-PROD'!AB$2,'1.PUNTOS'!$A$1:$B$63,2,0),0)</f>
        <v>0</v>
      </c>
      <c r="T198" s="138">
        <f>IF('1.DATOS-PROD'!AC199="SI",VLOOKUP('1.DATOS-PROD'!AC$2,'1.PUNTOS'!$A$1:$B$63,2,0),0)</f>
        <v>0</v>
      </c>
      <c r="U198" s="138">
        <f>IF('1.DATOS-PROD'!AD199="SI",VLOOKUP('1.DATOS-PROD'!AD$2,'1.PUNTOS'!$A$1:$B$63,2,0),0)</f>
        <v>0</v>
      </c>
      <c r="V198" s="138">
        <f>IF('1.DATOS-PROD'!AE199="SI",VLOOKUP('1.DATOS-PROD'!AE$2,'1.PUNTOS'!$A$1:$B$63,2,0),0)</f>
        <v>0</v>
      </c>
      <c r="W198" s="138">
        <f>IF('1.DATOS-PROD'!AF199="SI",VLOOKUP('1.DATOS-PROD'!AF$2,'1.PUNTOS'!$A$1:$B$63,2,0),0)</f>
        <v>0</v>
      </c>
      <c r="X198" s="138">
        <f>IF('1.DATOS-PROD'!AG199="SI",VLOOKUP('1.DATOS-PROD'!AG$2,'1.PUNTOS'!$A$1:$B$63,2,0),0)</f>
        <v>0</v>
      </c>
      <c r="Y198" s="138">
        <f>IF('1.DATOS-PROD'!AH199="SI",VLOOKUP('1.DATOS-PROD'!AH$2,'1.PUNTOS'!$A$1:$B$63,2,0),0)</f>
        <v>0</v>
      </c>
      <c r="Z198" s="138">
        <f>IF('1.DATOS-PROD'!AI199="SI",VLOOKUP('1.DATOS-PROD'!AI$2,'1.PUNTOS'!$A$1:$B$63,2,0),0)</f>
        <v>0</v>
      </c>
      <c r="AA198" s="138">
        <f>IF('1.DATOS-PROD'!AJ199="SI",VLOOKUP('1.DATOS-PROD'!AJ$2,'1.PUNTOS'!$A$1:$B$63,2,0),0)</f>
        <v>0</v>
      </c>
      <c r="AB198" s="138">
        <f>IF('1.DATOS-PROD'!AK199="SI",VLOOKUP('1.DATOS-PROD'!AK$2,'1.PUNTOS'!$A$1:$B$63,2,0),0)</f>
        <v>0</v>
      </c>
      <c r="AC198" s="138">
        <f>IF('1.DATOS-PROD'!AL199="SI",VLOOKUP('1.DATOS-PROD'!AL$2,'1.PUNTOS'!$A$1:$B$63,2,0),0)</f>
        <v>0</v>
      </c>
      <c r="AD198" s="138">
        <f>IF('1.DATOS-PROD'!AM199="SI",VLOOKUP('1.DATOS-PROD'!AM$2,'1.PUNTOS'!$A$1:$B$63,2,0),0)</f>
        <v>0</v>
      </c>
      <c r="AE198" s="138">
        <f>IF('1.DATOS-PROD'!AN199="SI",VLOOKUP('1.DATOS-PROD'!AN$2,'1.PUNTOS'!$A$1:$B$63,2,0),0)</f>
        <v>0</v>
      </c>
      <c r="AF198" s="138">
        <f>IF('1.DATOS-PROD'!AO199="SI",VLOOKUP('1.DATOS-PROD'!AO$2,'1.PUNTOS'!$A$1:$B$63,2,0),0)</f>
        <v>0</v>
      </c>
      <c r="AG198" s="138">
        <f>IF('1.DATOS-PROD'!AP199="SI",VLOOKUP('1.DATOS-PROD'!AP$2,'1.PUNTOS'!$A$1:$B$63,2,0),0)</f>
        <v>0</v>
      </c>
      <c r="AH198" s="138">
        <f>IF('1.DATOS-PROD'!AQ199="SI",VLOOKUP('1.DATOS-PROD'!AQ$2,'1.PUNTOS'!$A$1:$B$63,2,0),0)</f>
        <v>0</v>
      </c>
      <c r="AI198" s="138">
        <f>IF('1.DATOS-PROD'!AR199="SI",VLOOKUP('1.DATOS-PROD'!AR$2,'1.PUNTOS'!$A$1:$B$63,2,0),0)</f>
        <v>0</v>
      </c>
      <c r="AJ198" s="138">
        <f>IF('1.DATOS-PROD'!AS199="SI",VLOOKUP('1.DATOS-PROD'!AS$2,'1.PUNTOS'!$A$1:$B$63,2,0),0)</f>
        <v>0</v>
      </c>
      <c r="AK198" s="138">
        <f>IF('1.DATOS-PROD'!AT199="SI",VLOOKUP('1.DATOS-PROD'!AT$2,'1.PUNTOS'!$A$1:$B$63,2,0),0)</f>
        <v>0</v>
      </c>
      <c r="AL198" s="138">
        <f>IF('1.DATOS-PROD'!AU199="SI",VLOOKUP('1.DATOS-PROD'!AU$2,'1.PUNTOS'!$A$1:$B$63,2,0),0)</f>
        <v>0</v>
      </c>
      <c r="AM198" s="138">
        <f>IF('1.DATOS-PROD'!AV199="SI",VLOOKUP('1.DATOS-PROD'!AV$2,'1.PUNTOS'!$A$1:$B$63,2,0),0)</f>
        <v>0</v>
      </c>
      <c r="AN198" s="138">
        <f>IF('1.DATOS-PROD'!AW199="SI",VLOOKUP('1.DATOS-PROD'!AW$2,'1.PUNTOS'!$A$1:$B$63,2,0),0)</f>
        <v>0</v>
      </c>
      <c r="AO198" s="138">
        <f>IF('1.DATOS-PROD'!AX199="SI",VLOOKUP('1.DATOS-PROD'!AX$2,'1.PUNTOS'!$A$1:$B$63,2,0),0)</f>
        <v>0</v>
      </c>
      <c r="AP198" s="138">
        <f>IF('1.DATOS-PROD'!AY199="SI",VLOOKUP('1.DATOS-PROD'!AY$2,'1.PUNTOS'!$A$1:$B$63,2,0),0)</f>
        <v>0</v>
      </c>
      <c r="AQ198" s="138">
        <f>IF('1.DATOS-PROD'!AZ199="SI",VLOOKUP('1.DATOS-PROD'!AZ$2,'1.PUNTOS'!$A$1:$B$63,2,0),0)</f>
        <v>0</v>
      </c>
      <c r="AR198" s="138">
        <f>IF('1.DATOS-PROD'!BA199="SI",VLOOKUP('1.DATOS-PROD'!BA$2,'1.PUNTOS'!$A$1:$B$63,2,0),0)</f>
        <v>0</v>
      </c>
      <c r="AS198" s="138">
        <f>IF('1.DATOS-PROD'!BB199="SI",VLOOKUP('1.DATOS-PROD'!BB$2,'1.PUNTOS'!$A$1:$B$63,2,0),0)</f>
        <v>0</v>
      </c>
      <c r="AT198" s="138">
        <f>IF('1.DATOS-PROD'!BC199="SI",VLOOKUP('1.DATOS-PROD'!BC$2,'1.PUNTOS'!$A$1:$B$63,2,0),0)</f>
        <v>0</v>
      </c>
      <c r="AU198" s="138">
        <f>IF('1.DATOS-PROD'!BD199="SI",VLOOKUP('1.DATOS-PROD'!BD$2,'1.PUNTOS'!$A$1:$B$63,2,0),0)</f>
        <v>0</v>
      </c>
      <c r="AV198" s="138">
        <f>IF('1.DATOS-PROD'!BE199="SI",VLOOKUP('1.DATOS-PROD'!BE$2,'1.PUNTOS'!$A$1:$B$63,2,0),0)</f>
        <v>0</v>
      </c>
      <c r="AW198" s="138">
        <f>IF('1.DATOS-PROD'!BF199="SI",VLOOKUP('1.DATOS-PROD'!BF$2,'1.PUNTOS'!$A$1:$B$63,2,0),0)</f>
        <v>0</v>
      </c>
      <c r="AX198" s="138">
        <f>IF('1.DATOS-PROD'!BG199="SI",VLOOKUP('1.DATOS-PROD'!BG$2,'1.PUNTOS'!$A$1:$B$63,2,0),0)</f>
        <v>0</v>
      </c>
      <c r="AY198" s="138">
        <f>IF('1.DATOS-PROD'!BH199="SI",VLOOKUP('1.DATOS-PROD'!BH$2,'1.PUNTOS'!$A$1:$B$63,2,0),0)</f>
        <v>0</v>
      </c>
      <c r="AZ198" s="138">
        <f>IF('1.DATOS-PROD'!BI199="SI",VLOOKUP('1.DATOS-PROD'!BI$2,'1.PUNTOS'!$A$1:$B$63,2,0),0)</f>
        <v>0</v>
      </c>
      <c r="BA198" s="138">
        <f>IF('1.DATOS-PROD'!BJ199="SI",VLOOKUP('1.DATOS-PROD'!BJ$2,'1.PUNTOS'!$A$1:$B$63,2,0),0)</f>
        <v>0</v>
      </c>
      <c r="BB198" s="138">
        <f>IF('1.DATOS-PROD'!BK199="SI",VLOOKUP('1.DATOS-PROD'!BK$2,'1.PUNTOS'!$A$1:$B$63,2,0),0)</f>
        <v>0</v>
      </c>
      <c r="BC198" s="138">
        <f>IF('1.DATOS-PROD'!BL199="SI",VLOOKUP('1.DATOS-PROD'!BL$2,'1.PUNTOS'!$A$1:$B$63,2,0),0)</f>
        <v>0</v>
      </c>
      <c r="BD198" s="138">
        <f>IF('1.DATOS-PROD'!BM199="SI",VLOOKUP('1.DATOS-PROD'!BM$2,'1.PUNTOS'!$A$1:$B$63,2,0),0)</f>
        <v>0</v>
      </c>
      <c r="BE198" s="138">
        <f>IF('1.DATOS-PROD'!BN199="SI",VLOOKUP('1.DATOS-PROD'!BN$2,'1.PUNTOS'!$A$1:$B$63,2,0),0)</f>
        <v>0</v>
      </c>
      <c r="BF198" s="138">
        <f>IF('1.DATOS-PROD'!BO199="SI",VLOOKUP('1.DATOS-PROD'!BO$2,'1.PUNTOS'!$A$1:$B$63,2,0),0)</f>
        <v>0</v>
      </c>
      <c r="BG198" s="138">
        <f>IF('1.DATOS-PROD'!BP199="SI",VLOOKUP('1.DATOS-PROD'!BP$2,'1.PUNTOS'!$A$1:$B$63,2,0),0)</f>
        <v>0</v>
      </c>
      <c r="BH198" s="138">
        <f>IF('1.DATOS-PROD'!BQ199="SI",VLOOKUP('1.DATOS-PROD'!BQ$2,'1.PUNTOS'!$A$1:$B$63,2,0),0)</f>
        <v>0</v>
      </c>
      <c r="BI198" s="138">
        <f>IF('1.DATOS-PROD'!BR199="SI",VLOOKUP('1.DATOS-PROD'!BR$2,'1.PUNTOS'!$A$1:$B$63,2,0),0)</f>
        <v>0</v>
      </c>
      <c r="BJ198" s="138">
        <f>IF('1.DATOS-PROD'!BS199="SI",VLOOKUP('1.DATOS-PROD'!BS$2,'1.PUNTOS'!$A$1:$B$63,2,0),0)</f>
        <v>0</v>
      </c>
      <c r="BK198" s="138">
        <f>IF('1.DATOS-PROD'!BT199="SI",VLOOKUP('1.DATOS-PROD'!BT$2,'1.PUNTOS'!$A$1:$B$63,2,0),0)</f>
        <v>0</v>
      </c>
    </row>
    <row r="199" spans="1:63" x14ac:dyDescent="0.25">
      <c r="A199">
        <f>'0.Consolidado general'!$A200</f>
        <v>0</v>
      </c>
      <c r="B199" s="138">
        <f>IF('1.DATOS-PROD'!K200="SI",VLOOKUP('1.DATOS-PROD'!K$2,'1.PUNTOS'!$A$1:$B$63,2,0),0)</f>
        <v>0</v>
      </c>
      <c r="C199" s="138">
        <f>IF('1.DATOS-PROD'!L200="SI",VLOOKUP('1.DATOS-PROD'!L$2,'1.PUNTOS'!$A$1:$B$63,2,0),0)</f>
        <v>0</v>
      </c>
      <c r="D199" s="138">
        <f>IF('1.DATOS-PROD'!M200="SI",VLOOKUP('1.DATOS-PROD'!M$2,'1.PUNTOS'!$A$1:$B$63,2,0),0)</f>
        <v>0</v>
      </c>
      <c r="E199" s="138">
        <f>IF('1.DATOS-PROD'!N200="SI",VLOOKUP('1.DATOS-PROD'!N$2,'1.PUNTOS'!$A$1:$B$63,2,0),0)</f>
        <v>0</v>
      </c>
      <c r="F199" s="138">
        <f>IF('1.DATOS-PROD'!O200="SI",VLOOKUP('1.DATOS-PROD'!O$2,'1.PUNTOS'!$A$1:$B$63,2,0),0)</f>
        <v>0</v>
      </c>
      <c r="G199" s="138">
        <f>IF('1.DATOS-PROD'!P200="SI",VLOOKUP('1.DATOS-PROD'!P$2,'1.PUNTOS'!$A$1:$B$63,2,0),0)</f>
        <v>0</v>
      </c>
      <c r="H199" s="138">
        <f>IF('1.DATOS-PROD'!Q200="SI",VLOOKUP('1.DATOS-PROD'!Q$2,'1.PUNTOS'!$A$1:$B$63,2,0),0)</f>
        <v>0</v>
      </c>
      <c r="I199" s="138">
        <f>IF('1.DATOS-PROD'!R200="SI",VLOOKUP('1.DATOS-PROD'!R$2,'1.PUNTOS'!$A$1:$B$63,2,0),0)</f>
        <v>0</v>
      </c>
      <c r="J199" s="138">
        <f>IF('1.DATOS-PROD'!S200="SI",VLOOKUP('1.DATOS-PROD'!S$2,'1.PUNTOS'!$A$1:$B$63,2,0),0)</f>
        <v>0</v>
      </c>
      <c r="K199" s="138">
        <f>IF('1.DATOS-PROD'!T200="SI",VLOOKUP('1.DATOS-PROD'!T$2,'1.PUNTOS'!$A$1:$B$63,2,0),0)</f>
        <v>0</v>
      </c>
      <c r="L199" s="138">
        <f>IF('1.DATOS-PROD'!U200="SI",VLOOKUP('1.DATOS-PROD'!U$2,'1.PUNTOS'!$A$1:$B$63,2,0),0)</f>
        <v>0</v>
      </c>
      <c r="M199" s="138">
        <f>IF('1.DATOS-PROD'!V200="SI",VLOOKUP('1.DATOS-PROD'!V$2,'1.PUNTOS'!$A$1:$B$63,2,0),0)</f>
        <v>0</v>
      </c>
      <c r="N199" s="138">
        <f>IF('1.DATOS-PROD'!W200="SI",VLOOKUP('1.DATOS-PROD'!W$2,'1.PUNTOS'!$A$1:$B$63,2,0),0)</f>
        <v>0</v>
      </c>
      <c r="O199" s="138">
        <f>IF('1.DATOS-PROD'!X200="SI",VLOOKUP('1.DATOS-PROD'!X$2,'1.PUNTOS'!$A$1:$B$63,2,0),0)</f>
        <v>0</v>
      </c>
      <c r="P199" s="138">
        <f>IF('1.DATOS-PROD'!Y200="SI",VLOOKUP('1.DATOS-PROD'!Y$2,'1.PUNTOS'!$A$1:$B$63,2,0),0)</f>
        <v>0</v>
      </c>
      <c r="Q199" s="138">
        <f>IF('1.DATOS-PROD'!Z200="SI",VLOOKUP('1.DATOS-PROD'!Z$2,'1.PUNTOS'!$A$1:$B$63,2,0),0)</f>
        <v>0</v>
      </c>
      <c r="R199" s="138">
        <f>IF('1.DATOS-PROD'!AA200="SI",VLOOKUP('1.DATOS-PROD'!AA$2,'1.PUNTOS'!$A$1:$B$63,2,0),0)</f>
        <v>0</v>
      </c>
      <c r="S199" s="138">
        <f>IF('1.DATOS-PROD'!AB200="SI",VLOOKUP('1.DATOS-PROD'!AB$2,'1.PUNTOS'!$A$1:$B$63,2,0),0)</f>
        <v>0</v>
      </c>
      <c r="T199" s="138">
        <f>IF('1.DATOS-PROD'!AC200="SI",VLOOKUP('1.DATOS-PROD'!AC$2,'1.PUNTOS'!$A$1:$B$63,2,0),0)</f>
        <v>0</v>
      </c>
      <c r="U199" s="138">
        <f>IF('1.DATOS-PROD'!AD200="SI",VLOOKUP('1.DATOS-PROD'!AD$2,'1.PUNTOS'!$A$1:$B$63,2,0),0)</f>
        <v>0</v>
      </c>
      <c r="V199" s="138">
        <f>IF('1.DATOS-PROD'!AE200="SI",VLOOKUP('1.DATOS-PROD'!AE$2,'1.PUNTOS'!$A$1:$B$63,2,0),0)</f>
        <v>0</v>
      </c>
      <c r="W199" s="138">
        <f>IF('1.DATOS-PROD'!AF200="SI",VLOOKUP('1.DATOS-PROD'!AF$2,'1.PUNTOS'!$A$1:$B$63,2,0),0)</f>
        <v>0</v>
      </c>
      <c r="X199" s="138">
        <f>IF('1.DATOS-PROD'!AG200="SI",VLOOKUP('1.DATOS-PROD'!AG$2,'1.PUNTOS'!$A$1:$B$63,2,0),0)</f>
        <v>0</v>
      </c>
      <c r="Y199" s="138">
        <f>IF('1.DATOS-PROD'!AH200="SI",VLOOKUP('1.DATOS-PROD'!AH$2,'1.PUNTOS'!$A$1:$B$63,2,0),0)</f>
        <v>0</v>
      </c>
      <c r="Z199" s="138">
        <f>IF('1.DATOS-PROD'!AI200="SI",VLOOKUP('1.DATOS-PROD'!AI$2,'1.PUNTOS'!$A$1:$B$63,2,0),0)</f>
        <v>0</v>
      </c>
      <c r="AA199" s="138">
        <f>IF('1.DATOS-PROD'!AJ200="SI",VLOOKUP('1.DATOS-PROD'!AJ$2,'1.PUNTOS'!$A$1:$B$63,2,0),0)</f>
        <v>0</v>
      </c>
      <c r="AB199" s="138">
        <f>IF('1.DATOS-PROD'!AK200="SI",VLOOKUP('1.DATOS-PROD'!AK$2,'1.PUNTOS'!$A$1:$B$63,2,0),0)</f>
        <v>0</v>
      </c>
      <c r="AC199" s="138">
        <f>IF('1.DATOS-PROD'!AL200="SI",VLOOKUP('1.DATOS-PROD'!AL$2,'1.PUNTOS'!$A$1:$B$63,2,0),0)</f>
        <v>0</v>
      </c>
      <c r="AD199" s="138">
        <f>IF('1.DATOS-PROD'!AM200="SI",VLOOKUP('1.DATOS-PROD'!AM$2,'1.PUNTOS'!$A$1:$B$63,2,0),0)</f>
        <v>0</v>
      </c>
      <c r="AE199" s="138">
        <f>IF('1.DATOS-PROD'!AN200="SI",VLOOKUP('1.DATOS-PROD'!AN$2,'1.PUNTOS'!$A$1:$B$63,2,0),0)</f>
        <v>0</v>
      </c>
      <c r="AF199" s="138">
        <f>IF('1.DATOS-PROD'!AO200="SI",VLOOKUP('1.DATOS-PROD'!AO$2,'1.PUNTOS'!$A$1:$B$63,2,0),0)</f>
        <v>0</v>
      </c>
      <c r="AG199" s="138">
        <f>IF('1.DATOS-PROD'!AP200="SI",VLOOKUP('1.DATOS-PROD'!AP$2,'1.PUNTOS'!$A$1:$B$63,2,0),0)</f>
        <v>0</v>
      </c>
      <c r="AH199" s="138">
        <f>IF('1.DATOS-PROD'!AQ200="SI",VLOOKUP('1.DATOS-PROD'!AQ$2,'1.PUNTOS'!$A$1:$B$63,2,0),0)</f>
        <v>0</v>
      </c>
      <c r="AI199" s="138">
        <f>IF('1.DATOS-PROD'!AR200="SI",VLOOKUP('1.DATOS-PROD'!AR$2,'1.PUNTOS'!$A$1:$B$63,2,0),0)</f>
        <v>0</v>
      </c>
      <c r="AJ199" s="138">
        <f>IF('1.DATOS-PROD'!AS200="SI",VLOOKUP('1.DATOS-PROD'!AS$2,'1.PUNTOS'!$A$1:$B$63,2,0),0)</f>
        <v>0</v>
      </c>
      <c r="AK199" s="138">
        <f>IF('1.DATOS-PROD'!AT200="SI",VLOOKUP('1.DATOS-PROD'!AT$2,'1.PUNTOS'!$A$1:$B$63,2,0),0)</f>
        <v>0</v>
      </c>
      <c r="AL199" s="138">
        <f>IF('1.DATOS-PROD'!AU200="SI",VLOOKUP('1.DATOS-PROD'!AU$2,'1.PUNTOS'!$A$1:$B$63,2,0),0)</f>
        <v>0</v>
      </c>
      <c r="AM199" s="138">
        <f>IF('1.DATOS-PROD'!AV200="SI",VLOOKUP('1.DATOS-PROD'!AV$2,'1.PUNTOS'!$A$1:$B$63,2,0),0)</f>
        <v>0</v>
      </c>
      <c r="AN199" s="138">
        <f>IF('1.DATOS-PROD'!AW200="SI",VLOOKUP('1.DATOS-PROD'!AW$2,'1.PUNTOS'!$A$1:$B$63,2,0),0)</f>
        <v>0</v>
      </c>
      <c r="AO199" s="138">
        <f>IF('1.DATOS-PROD'!AX200="SI",VLOOKUP('1.DATOS-PROD'!AX$2,'1.PUNTOS'!$A$1:$B$63,2,0),0)</f>
        <v>0</v>
      </c>
      <c r="AP199" s="138">
        <f>IF('1.DATOS-PROD'!AY200="SI",VLOOKUP('1.DATOS-PROD'!AY$2,'1.PUNTOS'!$A$1:$B$63,2,0),0)</f>
        <v>0</v>
      </c>
      <c r="AQ199" s="138">
        <f>IF('1.DATOS-PROD'!AZ200="SI",VLOOKUP('1.DATOS-PROD'!AZ$2,'1.PUNTOS'!$A$1:$B$63,2,0),0)</f>
        <v>0</v>
      </c>
      <c r="AR199" s="138">
        <f>IF('1.DATOS-PROD'!BA200="SI",VLOOKUP('1.DATOS-PROD'!BA$2,'1.PUNTOS'!$A$1:$B$63,2,0),0)</f>
        <v>0</v>
      </c>
      <c r="AS199" s="138">
        <f>IF('1.DATOS-PROD'!BB200="SI",VLOOKUP('1.DATOS-PROD'!BB$2,'1.PUNTOS'!$A$1:$B$63,2,0),0)</f>
        <v>0</v>
      </c>
      <c r="AT199" s="138">
        <f>IF('1.DATOS-PROD'!BC200="SI",VLOOKUP('1.DATOS-PROD'!BC$2,'1.PUNTOS'!$A$1:$B$63,2,0),0)</f>
        <v>0</v>
      </c>
      <c r="AU199" s="138">
        <f>IF('1.DATOS-PROD'!BD200="SI",VLOOKUP('1.DATOS-PROD'!BD$2,'1.PUNTOS'!$A$1:$B$63,2,0),0)</f>
        <v>0</v>
      </c>
      <c r="AV199" s="138">
        <f>IF('1.DATOS-PROD'!BE200="SI",VLOOKUP('1.DATOS-PROD'!BE$2,'1.PUNTOS'!$A$1:$B$63,2,0),0)</f>
        <v>0</v>
      </c>
      <c r="AW199" s="138">
        <f>IF('1.DATOS-PROD'!BF200="SI",VLOOKUP('1.DATOS-PROD'!BF$2,'1.PUNTOS'!$A$1:$B$63,2,0),0)</f>
        <v>0</v>
      </c>
      <c r="AX199" s="138">
        <f>IF('1.DATOS-PROD'!BG200="SI",VLOOKUP('1.DATOS-PROD'!BG$2,'1.PUNTOS'!$A$1:$B$63,2,0),0)</f>
        <v>0</v>
      </c>
      <c r="AY199" s="138">
        <f>IF('1.DATOS-PROD'!BH200="SI",VLOOKUP('1.DATOS-PROD'!BH$2,'1.PUNTOS'!$A$1:$B$63,2,0),0)</f>
        <v>0</v>
      </c>
      <c r="AZ199" s="138">
        <f>IF('1.DATOS-PROD'!BI200="SI",VLOOKUP('1.DATOS-PROD'!BI$2,'1.PUNTOS'!$A$1:$B$63,2,0),0)</f>
        <v>0</v>
      </c>
      <c r="BA199" s="138">
        <f>IF('1.DATOS-PROD'!BJ200="SI",VLOOKUP('1.DATOS-PROD'!BJ$2,'1.PUNTOS'!$A$1:$B$63,2,0),0)</f>
        <v>0</v>
      </c>
      <c r="BB199" s="138">
        <f>IF('1.DATOS-PROD'!BK200="SI",VLOOKUP('1.DATOS-PROD'!BK$2,'1.PUNTOS'!$A$1:$B$63,2,0),0)</f>
        <v>0</v>
      </c>
      <c r="BC199" s="138">
        <f>IF('1.DATOS-PROD'!BL200="SI",VLOOKUP('1.DATOS-PROD'!BL$2,'1.PUNTOS'!$A$1:$B$63,2,0),0)</f>
        <v>0</v>
      </c>
      <c r="BD199" s="138">
        <f>IF('1.DATOS-PROD'!BM200="SI",VLOOKUP('1.DATOS-PROD'!BM$2,'1.PUNTOS'!$A$1:$B$63,2,0),0)</f>
        <v>0</v>
      </c>
      <c r="BE199" s="138">
        <f>IF('1.DATOS-PROD'!BN200="SI",VLOOKUP('1.DATOS-PROD'!BN$2,'1.PUNTOS'!$A$1:$B$63,2,0),0)</f>
        <v>0</v>
      </c>
      <c r="BF199" s="138">
        <f>IF('1.DATOS-PROD'!BO200="SI",VLOOKUP('1.DATOS-PROD'!BO$2,'1.PUNTOS'!$A$1:$B$63,2,0),0)</f>
        <v>0</v>
      </c>
      <c r="BG199" s="138">
        <f>IF('1.DATOS-PROD'!BP200="SI",VLOOKUP('1.DATOS-PROD'!BP$2,'1.PUNTOS'!$A$1:$B$63,2,0),0)</f>
        <v>0</v>
      </c>
      <c r="BH199" s="138">
        <f>IF('1.DATOS-PROD'!BQ200="SI",VLOOKUP('1.DATOS-PROD'!BQ$2,'1.PUNTOS'!$A$1:$B$63,2,0),0)</f>
        <v>0</v>
      </c>
      <c r="BI199" s="138">
        <f>IF('1.DATOS-PROD'!BR200="SI",VLOOKUP('1.DATOS-PROD'!BR$2,'1.PUNTOS'!$A$1:$B$63,2,0),0)</f>
        <v>0</v>
      </c>
      <c r="BJ199" s="138">
        <f>IF('1.DATOS-PROD'!BS200="SI",VLOOKUP('1.DATOS-PROD'!BS$2,'1.PUNTOS'!$A$1:$B$63,2,0),0)</f>
        <v>0</v>
      </c>
      <c r="BK199" s="138">
        <f>IF('1.DATOS-PROD'!BT200="SI",VLOOKUP('1.DATOS-PROD'!BT$2,'1.PUNTOS'!$A$1:$B$63,2,0),0)</f>
        <v>0</v>
      </c>
    </row>
    <row r="200" spans="1:63" x14ac:dyDescent="0.25">
      <c r="A200">
        <f>'0.Consolidado general'!$A201</f>
        <v>0</v>
      </c>
      <c r="B200" s="138">
        <f>IF('1.DATOS-PROD'!K201="SI",VLOOKUP('1.DATOS-PROD'!K$2,'1.PUNTOS'!$A$1:$B$63,2,0),0)</f>
        <v>0</v>
      </c>
      <c r="C200" s="138">
        <f>IF('1.DATOS-PROD'!L201="SI",VLOOKUP('1.DATOS-PROD'!L$2,'1.PUNTOS'!$A$1:$B$63,2,0),0)</f>
        <v>0</v>
      </c>
      <c r="D200" s="138">
        <f>IF('1.DATOS-PROD'!M201="SI",VLOOKUP('1.DATOS-PROD'!M$2,'1.PUNTOS'!$A$1:$B$63,2,0),0)</f>
        <v>0</v>
      </c>
      <c r="E200" s="138">
        <f>IF('1.DATOS-PROD'!N201="SI",VLOOKUP('1.DATOS-PROD'!N$2,'1.PUNTOS'!$A$1:$B$63,2,0),0)</f>
        <v>0</v>
      </c>
      <c r="F200" s="138">
        <f>IF('1.DATOS-PROD'!O201="SI",VLOOKUP('1.DATOS-PROD'!O$2,'1.PUNTOS'!$A$1:$B$63,2,0),0)</f>
        <v>0</v>
      </c>
      <c r="G200" s="138">
        <f>IF('1.DATOS-PROD'!P201="SI",VLOOKUP('1.DATOS-PROD'!P$2,'1.PUNTOS'!$A$1:$B$63,2,0),0)</f>
        <v>0</v>
      </c>
      <c r="H200" s="138">
        <f>IF('1.DATOS-PROD'!Q201="SI",VLOOKUP('1.DATOS-PROD'!Q$2,'1.PUNTOS'!$A$1:$B$63,2,0),0)</f>
        <v>0</v>
      </c>
      <c r="I200" s="138">
        <f>IF('1.DATOS-PROD'!R201="SI",VLOOKUP('1.DATOS-PROD'!R$2,'1.PUNTOS'!$A$1:$B$63,2,0),0)</f>
        <v>0</v>
      </c>
      <c r="J200" s="138">
        <f>IF('1.DATOS-PROD'!S201="SI",VLOOKUP('1.DATOS-PROD'!S$2,'1.PUNTOS'!$A$1:$B$63,2,0),0)</f>
        <v>0</v>
      </c>
      <c r="K200" s="138">
        <f>IF('1.DATOS-PROD'!T201="SI",VLOOKUP('1.DATOS-PROD'!T$2,'1.PUNTOS'!$A$1:$B$63,2,0),0)</f>
        <v>0</v>
      </c>
      <c r="L200" s="138">
        <f>IF('1.DATOS-PROD'!U201="SI",VLOOKUP('1.DATOS-PROD'!U$2,'1.PUNTOS'!$A$1:$B$63,2,0),0)</f>
        <v>0</v>
      </c>
      <c r="M200" s="138">
        <f>IF('1.DATOS-PROD'!V201="SI",VLOOKUP('1.DATOS-PROD'!V$2,'1.PUNTOS'!$A$1:$B$63,2,0),0)</f>
        <v>0</v>
      </c>
      <c r="N200" s="138">
        <f>IF('1.DATOS-PROD'!W201="SI",VLOOKUP('1.DATOS-PROD'!W$2,'1.PUNTOS'!$A$1:$B$63,2,0),0)</f>
        <v>0</v>
      </c>
      <c r="O200" s="138">
        <f>IF('1.DATOS-PROD'!X201="SI",VLOOKUP('1.DATOS-PROD'!X$2,'1.PUNTOS'!$A$1:$B$63,2,0),0)</f>
        <v>0</v>
      </c>
      <c r="P200" s="138">
        <f>IF('1.DATOS-PROD'!Y201="SI",VLOOKUP('1.DATOS-PROD'!Y$2,'1.PUNTOS'!$A$1:$B$63,2,0),0)</f>
        <v>0</v>
      </c>
      <c r="Q200" s="138">
        <f>IF('1.DATOS-PROD'!Z201="SI",VLOOKUP('1.DATOS-PROD'!Z$2,'1.PUNTOS'!$A$1:$B$63,2,0),0)</f>
        <v>0</v>
      </c>
      <c r="R200" s="138">
        <f>IF('1.DATOS-PROD'!AA201="SI",VLOOKUP('1.DATOS-PROD'!AA$2,'1.PUNTOS'!$A$1:$B$63,2,0),0)</f>
        <v>0</v>
      </c>
      <c r="S200" s="138">
        <f>IF('1.DATOS-PROD'!AB201="SI",VLOOKUP('1.DATOS-PROD'!AB$2,'1.PUNTOS'!$A$1:$B$63,2,0),0)</f>
        <v>0</v>
      </c>
      <c r="T200" s="138">
        <f>IF('1.DATOS-PROD'!AC201="SI",VLOOKUP('1.DATOS-PROD'!AC$2,'1.PUNTOS'!$A$1:$B$63,2,0),0)</f>
        <v>0</v>
      </c>
      <c r="U200" s="138">
        <f>IF('1.DATOS-PROD'!AD201="SI",VLOOKUP('1.DATOS-PROD'!AD$2,'1.PUNTOS'!$A$1:$B$63,2,0),0)</f>
        <v>0</v>
      </c>
      <c r="V200" s="138">
        <f>IF('1.DATOS-PROD'!AE201="SI",VLOOKUP('1.DATOS-PROD'!AE$2,'1.PUNTOS'!$A$1:$B$63,2,0),0)</f>
        <v>0</v>
      </c>
      <c r="W200" s="138">
        <f>IF('1.DATOS-PROD'!AF201="SI",VLOOKUP('1.DATOS-PROD'!AF$2,'1.PUNTOS'!$A$1:$B$63,2,0),0)</f>
        <v>0</v>
      </c>
      <c r="X200" s="138">
        <f>IF('1.DATOS-PROD'!AG201="SI",VLOOKUP('1.DATOS-PROD'!AG$2,'1.PUNTOS'!$A$1:$B$63,2,0),0)</f>
        <v>0</v>
      </c>
      <c r="Y200" s="138">
        <f>IF('1.DATOS-PROD'!AH201="SI",VLOOKUP('1.DATOS-PROD'!AH$2,'1.PUNTOS'!$A$1:$B$63,2,0),0)</f>
        <v>0</v>
      </c>
      <c r="Z200" s="138">
        <f>IF('1.DATOS-PROD'!AI201="SI",VLOOKUP('1.DATOS-PROD'!AI$2,'1.PUNTOS'!$A$1:$B$63,2,0),0)</f>
        <v>0</v>
      </c>
      <c r="AA200" s="138">
        <f>IF('1.DATOS-PROD'!AJ201="SI",VLOOKUP('1.DATOS-PROD'!AJ$2,'1.PUNTOS'!$A$1:$B$63,2,0),0)</f>
        <v>0</v>
      </c>
      <c r="AB200" s="138">
        <f>IF('1.DATOS-PROD'!AK201="SI",VLOOKUP('1.DATOS-PROD'!AK$2,'1.PUNTOS'!$A$1:$B$63,2,0),0)</f>
        <v>0</v>
      </c>
      <c r="AC200" s="138">
        <f>IF('1.DATOS-PROD'!AL201="SI",VLOOKUP('1.DATOS-PROD'!AL$2,'1.PUNTOS'!$A$1:$B$63,2,0),0)</f>
        <v>0</v>
      </c>
      <c r="AD200" s="138">
        <f>IF('1.DATOS-PROD'!AM201="SI",VLOOKUP('1.DATOS-PROD'!AM$2,'1.PUNTOS'!$A$1:$B$63,2,0),0)</f>
        <v>0</v>
      </c>
      <c r="AE200" s="138">
        <f>IF('1.DATOS-PROD'!AN201="SI",VLOOKUP('1.DATOS-PROD'!AN$2,'1.PUNTOS'!$A$1:$B$63,2,0),0)</f>
        <v>0</v>
      </c>
      <c r="AF200" s="138">
        <f>IF('1.DATOS-PROD'!AO201="SI",VLOOKUP('1.DATOS-PROD'!AO$2,'1.PUNTOS'!$A$1:$B$63,2,0),0)</f>
        <v>0</v>
      </c>
      <c r="AG200" s="138">
        <f>IF('1.DATOS-PROD'!AP201="SI",VLOOKUP('1.DATOS-PROD'!AP$2,'1.PUNTOS'!$A$1:$B$63,2,0),0)</f>
        <v>0</v>
      </c>
      <c r="AH200" s="138">
        <f>IF('1.DATOS-PROD'!AQ201="SI",VLOOKUP('1.DATOS-PROD'!AQ$2,'1.PUNTOS'!$A$1:$B$63,2,0),0)</f>
        <v>0</v>
      </c>
      <c r="AI200" s="138">
        <f>IF('1.DATOS-PROD'!AR201="SI",VLOOKUP('1.DATOS-PROD'!AR$2,'1.PUNTOS'!$A$1:$B$63,2,0),0)</f>
        <v>0</v>
      </c>
      <c r="AJ200" s="138">
        <f>IF('1.DATOS-PROD'!AS201="SI",VLOOKUP('1.DATOS-PROD'!AS$2,'1.PUNTOS'!$A$1:$B$63,2,0),0)</f>
        <v>0</v>
      </c>
      <c r="AK200" s="138">
        <f>IF('1.DATOS-PROD'!AT201="SI",VLOOKUP('1.DATOS-PROD'!AT$2,'1.PUNTOS'!$A$1:$B$63,2,0),0)</f>
        <v>0</v>
      </c>
      <c r="AL200" s="138">
        <f>IF('1.DATOS-PROD'!AU201="SI",VLOOKUP('1.DATOS-PROD'!AU$2,'1.PUNTOS'!$A$1:$B$63,2,0),0)</f>
        <v>0</v>
      </c>
      <c r="AM200" s="138">
        <f>IF('1.DATOS-PROD'!AV201="SI",VLOOKUP('1.DATOS-PROD'!AV$2,'1.PUNTOS'!$A$1:$B$63,2,0),0)</f>
        <v>0</v>
      </c>
      <c r="AN200" s="138">
        <f>IF('1.DATOS-PROD'!AW201="SI",VLOOKUP('1.DATOS-PROD'!AW$2,'1.PUNTOS'!$A$1:$B$63,2,0),0)</f>
        <v>0</v>
      </c>
      <c r="AO200" s="138">
        <f>IF('1.DATOS-PROD'!AX201="SI",VLOOKUP('1.DATOS-PROD'!AX$2,'1.PUNTOS'!$A$1:$B$63,2,0),0)</f>
        <v>0</v>
      </c>
      <c r="AP200" s="138">
        <f>IF('1.DATOS-PROD'!AY201="SI",VLOOKUP('1.DATOS-PROD'!AY$2,'1.PUNTOS'!$A$1:$B$63,2,0),0)</f>
        <v>0</v>
      </c>
      <c r="AQ200" s="138">
        <f>IF('1.DATOS-PROD'!AZ201="SI",VLOOKUP('1.DATOS-PROD'!AZ$2,'1.PUNTOS'!$A$1:$B$63,2,0),0)</f>
        <v>0</v>
      </c>
      <c r="AR200" s="138">
        <f>IF('1.DATOS-PROD'!BA201="SI",VLOOKUP('1.DATOS-PROD'!BA$2,'1.PUNTOS'!$A$1:$B$63,2,0),0)</f>
        <v>0</v>
      </c>
      <c r="AS200" s="138">
        <f>IF('1.DATOS-PROD'!BB201="SI",VLOOKUP('1.DATOS-PROD'!BB$2,'1.PUNTOS'!$A$1:$B$63,2,0),0)</f>
        <v>0</v>
      </c>
      <c r="AT200" s="138">
        <f>IF('1.DATOS-PROD'!BC201="SI",VLOOKUP('1.DATOS-PROD'!BC$2,'1.PUNTOS'!$A$1:$B$63,2,0),0)</f>
        <v>0</v>
      </c>
      <c r="AU200" s="138">
        <f>IF('1.DATOS-PROD'!BD201="SI",VLOOKUP('1.DATOS-PROD'!BD$2,'1.PUNTOS'!$A$1:$B$63,2,0),0)</f>
        <v>0</v>
      </c>
      <c r="AV200" s="138">
        <f>IF('1.DATOS-PROD'!BE201="SI",VLOOKUP('1.DATOS-PROD'!BE$2,'1.PUNTOS'!$A$1:$B$63,2,0),0)</f>
        <v>0</v>
      </c>
      <c r="AW200" s="138">
        <f>IF('1.DATOS-PROD'!BF201="SI",VLOOKUP('1.DATOS-PROD'!BF$2,'1.PUNTOS'!$A$1:$B$63,2,0),0)</f>
        <v>0</v>
      </c>
      <c r="AX200" s="138">
        <f>IF('1.DATOS-PROD'!BG201="SI",VLOOKUP('1.DATOS-PROD'!BG$2,'1.PUNTOS'!$A$1:$B$63,2,0),0)</f>
        <v>0</v>
      </c>
      <c r="AY200" s="138">
        <f>IF('1.DATOS-PROD'!BH201="SI",VLOOKUP('1.DATOS-PROD'!BH$2,'1.PUNTOS'!$A$1:$B$63,2,0),0)</f>
        <v>0</v>
      </c>
      <c r="AZ200" s="138">
        <f>IF('1.DATOS-PROD'!BI201="SI",VLOOKUP('1.DATOS-PROD'!BI$2,'1.PUNTOS'!$A$1:$B$63,2,0),0)</f>
        <v>0</v>
      </c>
      <c r="BA200" s="138">
        <f>IF('1.DATOS-PROD'!BJ201="SI",VLOOKUP('1.DATOS-PROD'!BJ$2,'1.PUNTOS'!$A$1:$B$63,2,0),0)</f>
        <v>0</v>
      </c>
      <c r="BB200" s="138">
        <f>IF('1.DATOS-PROD'!BK201="SI",VLOOKUP('1.DATOS-PROD'!BK$2,'1.PUNTOS'!$A$1:$B$63,2,0),0)</f>
        <v>0</v>
      </c>
      <c r="BC200" s="138">
        <f>IF('1.DATOS-PROD'!BL201="SI",VLOOKUP('1.DATOS-PROD'!BL$2,'1.PUNTOS'!$A$1:$B$63,2,0),0)</f>
        <v>0</v>
      </c>
      <c r="BD200" s="138">
        <f>IF('1.DATOS-PROD'!BM201="SI",VLOOKUP('1.DATOS-PROD'!BM$2,'1.PUNTOS'!$A$1:$B$63,2,0),0)</f>
        <v>0</v>
      </c>
      <c r="BE200" s="138">
        <f>IF('1.DATOS-PROD'!BN201="SI",VLOOKUP('1.DATOS-PROD'!BN$2,'1.PUNTOS'!$A$1:$B$63,2,0),0)</f>
        <v>0</v>
      </c>
      <c r="BF200" s="138">
        <f>IF('1.DATOS-PROD'!BO201="SI",VLOOKUP('1.DATOS-PROD'!BO$2,'1.PUNTOS'!$A$1:$B$63,2,0),0)</f>
        <v>0</v>
      </c>
      <c r="BG200" s="138">
        <f>IF('1.DATOS-PROD'!BP201="SI",VLOOKUP('1.DATOS-PROD'!BP$2,'1.PUNTOS'!$A$1:$B$63,2,0),0)</f>
        <v>0</v>
      </c>
      <c r="BH200" s="138">
        <f>IF('1.DATOS-PROD'!BQ201="SI",VLOOKUP('1.DATOS-PROD'!BQ$2,'1.PUNTOS'!$A$1:$B$63,2,0),0)</f>
        <v>0</v>
      </c>
      <c r="BI200" s="138">
        <f>IF('1.DATOS-PROD'!BR201="SI",VLOOKUP('1.DATOS-PROD'!BR$2,'1.PUNTOS'!$A$1:$B$63,2,0),0)</f>
        <v>0</v>
      </c>
      <c r="BJ200" s="138">
        <f>IF('1.DATOS-PROD'!BS201="SI",VLOOKUP('1.DATOS-PROD'!BS$2,'1.PUNTOS'!$A$1:$B$63,2,0),0)</f>
        <v>0</v>
      </c>
      <c r="BK200" s="138">
        <f>IF('1.DATOS-PROD'!BT201="SI",VLOOKUP('1.DATOS-PROD'!BT$2,'1.PUNTOS'!$A$1:$B$63,2,0),0)</f>
        <v>0</v>
      </c>
    </row>
    <row r="201" spans="1:63" x14ac:dyDescent="0.25">
      <c r="A201">
        <f>'0.Consolidado general'!$A202</f>
        <v>0</v>
      </c>
      <c r="B201" s="138">
        <f>IF('1.DATOS-PROD'!K202="SI",VLOOKUP('1.DATOS-PROD'!K$2,'1.PUNTOS'!$A$1:$B$63,2,0),0)</f>
        <v>0</v>
      </c>
      <c r="C201" s="138">
        <f>IF('1.DATOS-PROD'!L202="SI",VLOOKUP('1.DATOS-PROD'!L$2,'1.PUNTOS'!$A$1:$B$63,2,0),0)</f>
        <v>0</v>
      </c>
      <c r="D201" s="138">
        <f>IF('1.DATOS-PROD'!M202="SI",VLOOKUP('1.DATOS-PROD'!M$2,'1.PUNTOS'!$A$1:$B$63,2,0),0)</f>
        <v>0</v>
      </c>
      <c r="E201" s="138">
        <f>IF('1.DATOS-PROD'!N202="SI",VLOOKUP('1.DATOS-PROD'!N$2,'1.PUNTOS'!$A$1:$B$63,2,0),0)</f>
        <v>0</v>
      </c>
      <c r="F201" s="138">
        <f>IF('1.DATOS-PROD'!O202="SI",VLOOKUP('1.DATOS-PROD'!O$2,'1.PUNTOS'!$A$1:$B$63,2,0),0)</f>
        <v>0</v>
      </c>
      <c r="G201" s="138">
        <f>IF('1.DATOS-PROD'!P202="SI",VLOOKUP('1.DATOS-PROD'!P$2,'1.PUNTOS'!$A$1:$B$63,2,0),0)</f>
        <v>0</v>
      </c>
      <c r="H201" s="138">
        <f>IF('1.DATOS-PROD'!Q202="SI",VLOOKUP('1.DATOS-PROD'!Q$2,'1.PUNTOS'!$A$1:$B$63,2,0),0)</f>
        <v>0</v>
      </c>
      <c r="I201" s="138">
        <f>IF('1.DATOS-PROD'!R202="SI",VLOOKUP('1.DATOS-PROD'!R$2,'1.PUNTOS'!$A$1:$B$63,2,0),0)</f>
        <v>0</v>
      </c>
      <c r="J201" s="138">
        <f>IF('1.DATOS-PROD'!S202="SI",VLOOKUP('1.DATOS-PROD'!S$2,'1.PUNTOS'!$A$1:$B$63,2,0),0)</f>
        <v>0</v>
      </c>
      <c r="K201" s="138">
        <f>IF('1.DATOS-PROD'!T202="SI",VLOOKUP('1.DATOS-PROD'!T$2,'1.PUNTOS'!$A$1:$B$63,2,0),0)</f>
        <v>0</v>
      </c>
      <c r="L201" s="138">
        <f>IF('1.DATOS-PROD'!U202="SI",VLOOKUP('1.DATOS-PROD'!U$2,'1.PUNTOS'!$A$1:$B$63,2,0),0)</f>
        <v>0</v>
      </c>
      <c r="M201" s="138">
        <f>IF('1.DATOS-PROD'!V202="SI",VLOOKUP('1.DATOS-PROD'!V$2,'1.PUNTOS'!$A$1:$B$63,2,0),0)</f>
        <v>0</v>
      </c>
      <c r="N201" s="138">
        <f>IF('1.DATOS-PROD'!W202="SI",VLOOKUP('1.DATOS-PROD'!W$2,'1.PUNTOS'!$A$1:$B$63,2,0),0)</f>
        <v>0</v>
      </c>
      <c r="O201" s="138">
        <f>IF('1.DATOS-PROD'!X202="SI",VLOOKUP('1.DATOS-PROD'!X$2,'1.PUNTOS'!$A$1:$B$63,2,0),0)</f>
        <v>0</v>
      </c>
      <c r="P201" s="138">
        <f>IF('1.DATOS-PROD'!Y202="SI",VLOOKUP('1.DATOS-PROD'!Y$2,'1.PUNTOS'!$A$1:$B$63,2,0),0)</f>
        <v>0</v>
      </c>
      <c r="Q201" s="138">
        <f>IF('1.DATOS-PROD'!Z202="SI",VLOOKUP('1.DATOS-PROD'!Z$2,'1.PUNTOS'!$A$1:$B$63,2,0),0)</f>
        <v>0</v>
      </c>
      <c r="R201" s="138">
        <f>IF('1.DATOS-PROD'!AA202="SI",VLOOKUP('1.DATOS-PROD'!AA$2,'1.PUNTOS'!$A$1:$B$63,2,0),0)</f>
        <v>0</v>
      </c>
      <c r="S201" s="138">
        <f>IF('1.DATOS-PROD'!AB202="SI",VLOOKUP('1.DATOS-PROD'!AB$2,'1.PUNTOS'!$A$1:$B$63,2,0),0)</f>
        <v>0</v>
      </c>
      <c r="T201" s="138">
        <f>IF('1.DATOS-PROD'!AC202="SI",VLOOKUP('1.DATOS-PROD'!AC$2,'1.PUNTOS'!$A$1:$B$63,2,0),0)</f>
        <v>0</v>
      </c>
      <c r="U201" s="138">
        <f>IF('1.DATOS-PROD'!AD202="SI",VLOOKUP('1.DATOS-PROD'!AD$2,'1.PUNTOS'!$A$1:$B$63,2,0),0)</f>
        <v>0</v>
      </c>
      <c r="V201" s="138">
        <f>IF('1.DATOS-PROD'!AE202="SI",VLOOKUP('1.DATOS-PROD'!AE$2,'1.PUNTOS'!$A$1:$B$63,2,0),0)</f>
        <v>0</v>
      </c>
      <c r="W201" s="138">
        <f>IF('1.DATOS-PROD'!AF202="SI",VLOOKUP('1.DATOS-PROD'!AF$2,'1.PUNTOS'!$A$1:$B$63,2,0),0)</f>
        <v>0</v>
      </c>
      <c r="X201" s="138">
        <f>IF('1.DATOS-PROD'!AG202="SI",VLOOKUP('1.DATOS-PROD'!AG$2,'1.PUNTOS'!$A$1:$B$63,2,0),0)</f>
        <v>0</v>
      </c>
      <c r="Y201" s="138">
        <f>IF('1.DATOS-PROD'!AH202="SI",VLOOKUP('1.DATOS-PROD'!AH$2,'1.PUNTOS'!$A$1:$B$63,2,0),0)</f>
        <v>0</v>
      </c>
      <c r="Z201" s="138">
        <f>IF('1.DATOS-PROD'!AI202="SI",VLOOKUP('1.DATOS-PROD'!AI$2,'1.PUNTOS'!$A$1:$B$63,2,0),0)</f>
        <v>0</v>
      </c>
      <c r="AA201" s="138">
        <f>IF('1.DATOS-PROD'!AJ202="SI",VLOOKUP('1.DATOS-PROD'!AJ$2,'1.PUNTOS'!$A$1:$B$63,2,0),0)</f>
        <v>0</v>
      </c>
      <c r="AB201" s="138">
        <f>IF('1.DATOS-PROD'!AK202="SI",VLOOKUP('1.DATOS-PROD'!AK$2,'1.PUNTOS'!$A$1:$B$63,2,0),0)</f>
        <v>0</v>
      </c>
      <c r="AC201" s="138">
        <f>IF('1.DATOS-PROD'!AL202="SI",VLOOKUP('1.DATOS-PROD'!AL$2,'1.PUNTOS'!$A$1:$B$63,2,0),0)</f>
        <v>0</v>
      </c>
      <c r="AD201" s="138">
        <f>IF('1.DATOS-PROD'!AM202="SI",VLOOKUP('1.DATOS-PROD'!AM$2,'1.PUNTOS'!$A$1:$B$63,2,0),0)</f>
        <v>0</v>
      </c>
      <c r="AE201" s="138">
        <f>IF('1.DATOS-PROD'!AN202="SI",VLOOKUP('1.DATOS-PROD'!AN$2,'1.PUNTOS'!$A$1:$B$63,2,0),0)</f>
        <v>0</v>
      </c>
      <c r="AF201" s="138">
        <f>IF('1.DATOS-PROD'!AO202="SI",VLOOKUP('1.DATOS-PROD'!AO$2,'1.PUNTOS'!$A$1:$B$63,2,0),0)</f>
        <v>0</v>
      </c>
      <c r="AG201" s="138">
        <f>IF('1.DATOS-PROD'!AP202="SI",VLOOKUP('1.DATOS-PROD'!AP$2,'1.PUNTOS'!$A$1:$B$63,2,0),0)</f>
        <v>0</v>
      </c>
      <c r="AH201" s="138">
        <f>IF('1.DATOS-PROD'!AQ202="SI",VLOOKUP('1.DATOS-PROD'!AQ$2,'1.PUNTOS'!$A$1:$B$63,2,0),0)</f>
        <v>0</v>
      </c>
      <c r="AI201" s="138">
        <f>IF('1.DATOS-PROD'!AR202="SI",VLOOKUP('1.DATOS-PROD'!AR$2,'1.PUNTOS'!$A$1:$B$63,2,0),0)</f>
        <v>0</v>
      </c>
      <c r="AJ201" s="138">
        <f>IF('1.DATOS-PROD'!AS202="SI",VLOOKUP('1.DATOS-PROD'!AS$2,'1.PUNTOS'!$A$1:$B$63,2,0),0)</f>
        <v>0</v>
      </c>
      <c r="AK201" s="138">
        <f>IF('1.DATOS-PROD'!AT202="SI",VLOOKUP('1.DATOS-PROD'!AT$2,'1.PUNTOS'!$A$1:$B$63,2,0),0)</f>
        <v>0</v>
      </c>
      <c r="AL201" s="138">
        <f>IF('1.DATOS-PROD'!AU202="SI",VLOOKUP('1.DATOS-PROD'!AU$2,'1.PUNTOS'!$A$1:$B$63,2,0),0)</f>
        <v>0</v>
      </c>
      <c r="AM201" s="138">
        <f>IF('1.DATOS-PROD'!AV202="SI",VLOOKUP('1.DATOS-PROD'!AV$2,'1.PUNTOS'!$A$1:$B$63,2,0),0)</f>
        <v>0</v>
      </c>
      <c r="AN201" s="138">
        <f>IF('1.DATOS-PROD'!AW202="SI",VLOOKUP('1.DATOS-PROD'!AW$2,'1.PUNTOS'!$A$1:$B$63,2,0),0)</f>
        <v>0</v>
      </c>
      <c r="AO201" s="138">
        <f>IF('1.DATOS-PROD'!AX202="SI",VLOOKUP('1.DATOS-PROD'!AX$2,'1.PUNTOS'!$A$1:$B$63,2,0),0)</f>
        <v>0</v>
      </c>
      <c r="AP201" s="138">
        <f>IF('1.DATOS-PROD'!AY202="SI",VLOOKUP('1.DATOS-PROD'!AY$2,'1.PUNTOS'!$A$1:$B$63,2,0),0)</f>
        <v>0</v>
      </c>
      <c r="AQ201" s="138">
        <f>IF('1.DATOS-PROD'!AZ202="SI",VLOOKUP('1.DATOS-PROD'!AZ$2,'1.PUNTOS'!$A$1:$B$63,2,0),0)</f>
        <v>0</v>
      </c>
      <c r="AR201" s="138">
        <f>IF('1.DATOS-PROD'!BA202="SI",VLOOKUP('1.DATOS-PROD'!BA$2,'1.PUNTOS'!$A$1:$B$63,2,0),0)</f>
        <v>0</v>
      </c>
      <c r="AS201" s="138">
        <f>IF('1.DATOS-PROD'!BB202="SI",VLOOKUP('1.DATOS-PROD'!BB$2,'1.PUNTOS'!$A$1:$B$63,2,0),0)</f>
        <v>0</v>
      </c>
      <c r="AT201" s="138">
        <f>IF('1.DATOS-PROD'!BC202="SI",VLOOKUP('1.DATOS-PROD'!BC$2,'1.PUNTOS'!$A$1:$B$63,2,0),0)</f>
        <v>0</v>
      </c>
      <c r="AU201" s="138">
        <f>IF('1.DATOS-PROD'!BD202="SI",VLOOKUP('1.DATOS-PROD'!BD$2,'1.PUNTOS'!$A$1:$B$63,2,0),0)</f>
        <v>0</v>
      </c>
      <c r="AV201" s="138">
        <f>IF('1.DATOS-PROD'!BE202="SI",VLOOKUP('1.DATOS-PROD'!BE$2,'1.PUNTOS'!$A$1:$B$63,2,0),0)</f>
        <v>0</v>
      </c>
      <c r="AW201" s="138">
        <f>IF('1.DATOS-PROD'!BF202="SI",VLOOKUP('1.DATOS-PROD'!BF$2,'1.PUNTOS'!$A$1:$B$63,2,0),0)</f>
        <v>0</v>
      </c>
      <c r="AX201" s="138">
        <f>IF('1.DATOS-PROD'!BG202="SI",VLOOKUP('1.DATOS-PROD'!BG$2,'1.PUNTOS'!$A$1:$B$63,2,0),0)</f>
        <v>0</v>
      </c>
      <c r="AY201" s="138">
        <f>IF('1.DATOS-PROD'!BH202="SI",VLOOKUP('1.DATOS-PROD'!BH$2,'1.PUNTOS'!$A$1:$B$63,2,0),0)</f>
        <v>0</v>
      </c>
      <c r="AZ201" s="138">
        <f>IF('1.DATOS-PROD'!BI202="SI",VLOOKUP('1.DATOS-PROD'!BI$2,'1.PUNTOS'!$A$1:$B$63,2,0),0)</f>
        <v>0</v>
      </c>
      <c r="BA201" s="138">
        <f>IF('1.DATOS-PROD'!BJ202="SI",VLOOKUP('1.DATOS-PROD'!BJ$2,'1.PUNTOS'!$A$1:$B$63,2,0),0)</f>
        <v>0</v>
      </c>
      <c r="BB201" s="138">
        <f>IF('1.DATOS-PROD'!BK202="SI",VLOOKUP('1.DATOS-PROD'!BK$2,'1.PUNTOS'!$A$1:$B$63,2,0),0)</f>
        <v>0</v>
      </c>
      <c r="BC201" s="138">
        <f>IF('1.DATOS-PROD'!BL202="SI",VLOOKUP('1.DATOS-PROD'!BL$2,'1.PUNTOS'!$A$1:$B$63,2,0),0)</f>
        <v>0</v>
      </c>
      <c r="BD201" s="138">
        <f>IF('1.DATOS-PROD'!BM202="SI",VLOOKUP('1.DATOS-PROD'!BM$2,'1.PUNTOS'!$A$1:$B$63,2,0),0)</f>
        <v>0</v>
      </c>
      <c r="BE201" s="138">
        <f>IF('1.DATOS-PROD'!BN202="SI",VLOOKUP('1.DATOS-PROD'!BN$2,'1.PUNTOS'!$A$1:$B$63,2,0),0)</f>
        <v>0</v>
      </c>
      <c r="BF201" s="138">
        <f>IF('1.DATOS-PROD'!BO202="SI",VLOOKUP('1.DATOS-PROD'!BO$2,'1.PUNTOS'!$A$1:$B$63,2,0),0)</f>
        <v>0</v>
      </c>
      <c r="BG201" s="138">
        <f>IF('1.DATOS-PROD'!BP202="SI",VLOOKUP('1.DATOS-PROD'!BP$2,'1.PUNTOS'!$A$1:$B$63,2,0),0)</f>
        <v>0</v>
      </c>
      <c r="BH201" s="138">
        <f>IF('1.DATOS-PROD'!BQ202="SI",VLOOKUP('1.DATOS-PROD'!BQ$2,'1.PUNTOS'!$A$1:$B$63,2,0),0)</f>
        <v>0</v>
      </c>
      <c r="BI201" s="138">
        <f>IF('1.DATOS-PROD'!BR202="SI",VLOOKUP('1.DATOS-PROD'!BR$2,'1.PUNTOS'!$A$1:$B$63,2,0),0)</f>
        <v>0</v>
      </c>
      <c r="BJ201" s="138">
        <f>IF('1.DATOS-PROD'!BS202="SI",VLOOKUP('1.DATOS-PROD'!BS$2,'1.PUNTOS'!$A$1:$B$63,2,0),0)</f>
        <v>0</v>
      </c>
      <c r="BK201" s="138">
        <f>IF('1.DATOS-PROD'!BT202="SI",VLOOKUP('1.DATOS-PROD'!BT$2,'1.PUNTOS'!$A$1:$B$63,2,0),0)</f>
        <v>0</v>
      </c>
    </row>
    <row r="202" spans="1:63" x14ac:dyDescent="0.25">
      <c r="A202">
        <f>'0.Consolidado general'!$A203</f>
        <v>0</v>
      </c>
      <c r="B202" s="138">
        <f>IF('1.DATOS-PROD'!K203="SI",VLOOKUP('1.DATOS-PROD'!K$2,'1.PUNTOS'!$A$1:$B$63,2,0),0)</f>
        <v>0</v>
      </c>
      <c r="C202" s="138">
        <f>IF('1.DATOS-PROD'!L203="SI",VLOOKUP('1.DATOS-PROD'!L$2,'1.PUNTOS'!$A$1:$B$63,2,0),0)</f>
        <v>0</v>
      </c>
      <c r="D202" s="138">
        <f>IF('1.DATOS-PROD'!M203="SI",VLOOKUP('1.DATOS-PROD'!M$2,'1.PUNTOS'!$A$1:$B$63,2,0),0)</f>
        <v>0</v>
      </c>
      <c r="E202" s="138">
        <f>IF('1.DATOS-PROD'!N203="SI",VLOOKUP('1.DATOS-PROD'!N$2,'1.PUNTOS'!$A$1:$B$63,2,0),0)</f>
        <v>0</v>
      </c>
      <c r="F202" s="138">
        <f>IF('1.DATOS-PROD'!O203="SI",VLOOKUP('1.DATOS-PROD'!O$2,'1.PUNTOS'!$A$1:$B$63,2,0),0)</f>
        <v>0</v>
      </c>
      <c r="G202" s="138">
        <f>IF('1.DATOS-PROD'!P203="SI",VLOOKUP('1.DATOS-PROD'!P$2,'1.PUNTOS'!$A$1:$B$63,2,0),0)</f>
        <v>0</v>
      </c>
      <c r="H202" s="138">
        <f>IF('1.DATOS-PROD'!Q203="SI",VLOOKUP('1.DATOS-PROD'!Q$2,'1.PUNTOS'!$A$1:$B$63,2,0),0)</f>
        <v>0</v>
      </c>
      <c r="I202" s="138">
        <f>IF('1.DATOS-PROD'!R203="SI",VLOOKUP('1.DATOS-PROD'!R$2,'1.PUNTOS'!$A$1:$B$63,2,0),0)</f>
        <v>0</v>
      </c>
      <c r="J202" s="138">
        <f>IF('1.DATOS-PROD'!S203="SI",VLOOKUP('1.DATOS-PROD'!S$2,'1.PUNTOS'!$A$1:$B$63,2,0),0)</f>
        <v>0</v>
      </c>
      <c r="K202" s="138">
        <f>IF('1.DATOS-PROD'!T203="SI",VLOOKUP('1.DATOS-PROD'!T$2,'1.PUNTOS'!$A$1:$B$63,2,0),0)</f>
        <v>0</v>
      </c>
      <c r="L202" s="138">
        <f>IF('1.DATOS-PROD'!U203="SI",VLOOKUP('1.DATOS-PROD'!U$2,'1.PUNTOS'!$A$1:$B$63,2,0),0)</f>
        <v>0</v>
      </c>
      <c r="M202" s="138">
        <f>IF('1.DATOS-PROD'!V203="SI",VLOOKUP('1.DATOS-PROD'!V$2,'1.PUNTOS'!$A$1:$B$63,2,0),0)</f>
        <v>0</v>
      </c>
      <c r="N202" s="138">
        <f>IF('1.DATOS-PROD'!W203="SI",VLOOKUP('1.DATOS-PROD'!W$2,'1.PUNTOS'!$A$1:$B$63,2,0),0)</f>
        <v>0</v>
      </c>
      <c r="O202" s="138">
        <f>IF('1.DATOS-PROD'!X203="SI",VLOOKUP('1.DATOS-PROD'!X$2,'1.PUNTOS'!$A$1:$B$63,2,0),0)</f>
        <v>0</v>
      </c>
      <c r="P202" s="138">
        <f>IF('1.DATOS-PROD'!Y203="SI",VLOOKUP('1.DATOS-PROD'!Y$2,'1.PUNTOS'!$A$1:$B$63,2,0),0)</f>
        <v>0</v>
      </c>
      <c r="Q202" s="138">
        <f>IF('1.DATOS-PROD'!Z203="SI",VLOOKUP('1.DATOS-PROD'!Z$2,'1.PUNTOS'!$A$1:$B$63,2,0),0)</f>
        <v>0</v>
      </c>
      <c r="R202" s="138">
        <f>IF('1.DATOS-PROD'!AA203="SI",VLOOKUP('1.DATOS-PROD'!AA$2,'1.PUNTOS'!$A$1:$B$63,2,0),0)</f>
        <v>0</v>
      </c>
      <c r="S202" s="138">
        <f>IF('1.DATOS-PROD'!AB203="SI",VLOOKUP('1.DATOS-PROD'!AB$2,'1.PUNTOS'!$A$1:$B$63,2,0),0)</f>
        <v>0</v>
      </c>
      <c r="T202" s="138">
        <f>IF('1.DATOS-PROD'!AC203="SI",VLOOKUP('1.DATOS-PROD'!AC$2,'1.PUNTOS'!$A$1:$B$63,2,0),0)</f>
        <v>0</v>
      </c>
      <c r="U202" s="138">
        <f>IF('1.DATOS-PROD'!AD203="SI",VLOOKUP('1.DATOS-PROD'!AD$2,'1.PUNTOS'!$A$1:$B$63,2,0),0)</f>
        <v>0</v>
      </c>
      <c r="V202" s="138">
        <f>IF('1.DATOS-PROD'!AE203="SI",VLOOKUP('1.DATOS-PROD'!AE$2,'1.PUNTOS'!$A$1:$B$63,2,0),0)</f>
        <v>0</v>
      </c>
      <c r="W202" s="138">
        <f>IF('1.DATOS-PROD'!AF203="SI",VLOOKUP('1.DATOS-PROD'!AF$2,'1.PUNTOS'!$A$1:$B$63,2,0),0)</f>
        <v>0</v>
      </c>
      <c r="X202" s="138">
        <f>IF('1.DATOS-PROD'!AG203="SI",VLOOKUP('1.DATOS-PROD'!AG$2,'1.PUNTOS'!$A$1:$B$63,2,0),0)</f>
        <v>0</v>
      </c>
      <c r="Y202" s="138">
        <f>IF('1.DATOS-PROD'!AH203="SI",VLOOKUP('1.DATOS-PROD'!AH$2,'1.PUNTOS'!$A$1:$B$63,2,0),0)</f>
        <v>0</v>
      </c>
      <c r="Z202" s="138">
        <f>IF('1.DATOS-PROD'!AI203="SI",VLOOKUP('1.DATOS-PROD'!AI$2,'1.PUNTOS'!$A$1:$B$63,2,0),0)</f>
        <v>0</v>
      </c>
      <c r="AA202" s="138">
        <f>IF('1.DATOS-PROD'!AJ203="SI",VLOOKUP('1.DATOS-PROD'!AJ$2,'1.PUNTOS'!$A$1:$B$63,2,0),0)</f>
        <v>0</v>
      </c>
      <c r="AB202" s="138">
        <f>IF('1.DATOS-PROD'!AK203="SI",VLOOKUP('1.DATOS-PROD'!AK$2,'1.PUNTOS'!$A$1:$B$63,2,0),0)</f>
        <v>0</v>
      </c>
      <c r="AC202" s="138">
        <f>IF('1.DATOS-PROD'!AL203="SI",VLOOKUP('1.DATOS-PROD'!AL$2,'1.PUNTOS'!$A$1:$B$63,2,0),0)</f>
        <v>0</v>
      </c>
      <c r="AD202" s="138">
        <f>IF('1.DATOS-PROD'!AM203="SI",VLOOKUP('1.DATOS-PROD'!AM$2,'1.PUNTOS'!$A$1:$B$63,2,0),0)</f>
        <v>0</v>
      </c>
      <c r="AE202" s="138">
        <f>IF('1.DATOS-PROD'!AN203="SI",VLOOKUP('1.DATOS-PROD'!AN$2,'1.PUNTOS'!$A$1:$B$63,2,0),0)</f>
        <v>0</v>
      </c>
      <c r="AF202" s="138">
        <f>IF('1.DATOS-PROD'!AO203="SI",VLOOKUP('1.DATOS-PROD'!AO$2,'1.PUNTOS'!$A$1:$B$63,2,0),0)</f>
        <v>0</v>
      </c>
      <c r="AG202" s="138">
        <f>IF('1.DATOS-PROD'!AP203="SI",VLOOKUP('1.DATOS-PROD'!AP$2,'1.PUNTOS'!$A$1:$B$63,2,0),0)</f>
        <v>0</v>
      </c>
      <c r="AH202" s="138">
        <f>IF('1.DATOS-PROD'!AQ203="SI",VLOOKUP('1.DATOS-PROD'!AQ$2,'1.PUNTOS'!$A$1:$B$63,2,0),0)</f>
        <v>0</v>
      </c>
      <c r="AI202" s="138">
        <f>IF('1.DATOS-PROD'!AR203="SI",VLOOKUP('1.DATOS-PROD'!AR$2,'1.PUNTOS'!$A$1:$B$63,2,0),0)</f>
        <v>0</v>
      </c>
      <c r="AJ202" s="138">
        <f>IF('1.DATOS-PROD'!AS203="SI",VLOOKUP('1.DATOS-PROD'!AS$2,'1.PUNTOS'!$A$1:$B$63,2,0),0)</f>
        <v>0</v>
      </c>
      <c r="AK202" s="138">
        <f>IF('1.DATOS-PROD'!AT203="SI",VLOOKUP('1.DATOS-PROD'!AT$2,'1.PUNTOS'!$A$1:$B$63,2,0),0)</f>
        <v>0</v>
      </c>
      <c r="AL202" s="138">
        <f>IF('1.DATOS-PROD'!AU203="SI",VLOOKUP('1.DATOS-PROD'!AU$2,'1.PUNTOS'!$A$1:$B$63,2,0),0)</f>
        <v>0</v>
      </c>
      <c r="AM202" s="138">
        <f>IF('1.DATOS-PROD'!AV203="SI",VLOOKUP('1.DATOS-PROD'!AV$2,'1.PUNTOS'!$A$1:$B$63,2,0),0)</f>
        <v>0</v>
      </c>
      <c r="AN202" s="138">
        <f>IF('1.DATOS-PROD'!AW203="SI",VLOOKUP('1.DATOS-PROD'!AW$2,'1.PUNTOS'!$A$1:$B$63,2,0),0)</f>
        <v>0</v>
      </c>
      <c r="AO202" s="138">
        <f>IF('1.DATOS-PROD'!AX203="SI",VLOOKUP('1.DATOS-PROD'!AX$2,'1.PUNTOS'!$A$1:$B$63,2,0),0)</f>
        <v>0</v>
      </c>
      <c r="AP202" s="138">
        <f>IF('1.DATOS-PROD'!AY203="SI",VLOOKUP('1.DATOS-PROD'!AY$2,'1.PUNTOS'!$A$1:$B$63,2,0),0)</f>
        <v>0</v>
      </c>
      <c r="AQ202" s="138">
        <f>IF('1.DATOS-PROD'!AZ203="SI",VLOOKUP('1.DATOS-PROD'!AZ$2,'1.PUNTOS'!$A$1:$B$63,2,0),0)</f>
        <v>0</v>
      </c>
      <c r="AR202" s="138">
        <f>IF('1.DATOS-PROD'!BA203="SI",VLOOKUP('1.DATOS-PROD'!BA$2,'1.PUNTOS'!$A$1:$B$63,2,0),0)</f>
        <v>0</v>
      </c>
      <c r="AS202" s="138">
        <f>IF('1.DATOS-PROD'!BB203="SI",VLOOKUP('1.DATOS-PROD'!BB$2,'1.PUNTOS'!$A$1:$B$63,2,0),0)</f>
        <v>0</v>
      </c>
      <c r="AT202" s="138">
        <f>IF('1.DATOS-PROD'!BC203="SI",VLOOKUP('1.DATOS-PROD'!BC$2,'1.PUNTOS'!$A$1:$B$63,2,0),0)</f>
        <v>0</v>
      </c>
      <c r="AU202" s="138">
        <f>IF('1.DATOS-PROD'!BD203="SI",VLOOKUP('1.DATOS-PROD'!BD$2,'1.PUNTOS'!$A$1:$B$63,2,0),0)</f>
        <v>0</v>
      </c>
      <c r="AV202" s="138">
        <f>IF('1.DATOS-PROD'!BE203="SI",VLOOKUP('1.DATOS-PROD'!BE$2,'1.PUNTOS'!$A$1:$B$63,2,0),0)</f>
        <v>0</v>
      </c>
      <c r="AW202" s="138">
        <f>IF('1.DATOS-PROD'!BF203="SI",VLOOKUP('1.DATOS-PROD'!BF$2,'1.PUNTOS'!$A$1:$B$63,2,0),0)</f>
        <v>0</v>
      </c>
      <c r="AX202" s="138">
        <f>IF('1.DATOS-PROD'!BG203="SI",VLOOKUP('1.DATOS-PROD'!BG$2,'1.PUNTOS'!$A$1:$B$63,2,0),0)</f>
        <v>0</v>
      </c>
      <c r="AY202" s="138">
        <f>IF('1.DATOS-PROD'!BH203="SI",VLOOKUP('1.DATOS-PROD'!BH$2,'1.PUNTOS'!$A$1:$B$63,2,0),0)</f>
        <v>0</v>
      </c>
      <c r="AZ202" s="138">
        <f>IF('1.DATOS-PROD'!BI203="SI",VLOOKUP('1.DATOS-PROD'!BI$2,'1.PUNTOS'!$A$1:$B$63,2,0),0)</f>
        <v>0</v>
      </c>
      <c r="BA202" s="138">
        <f>IF('1.DATOS-PROD'!BJ203="SI",VLOOKUP('1.DATOS-PROD'!BJ$2,'1.PUNTOS'!$A$1:$B$63,2,0),0)</f>
        <v>0</v>
      </c>
      <c r="BB202" s="138">
        <f>IF('1.DATOS-PROD'!BK203="SI",VLOOKUP('1.DATOS-PROD'!BK$2,'1.PUNTOS'!$A$1:$B$63,2,0),0)</f>
        <v>0</v>
      </c>
      <c r="BC202" s="138">
        <f>IF('1.DATOS-PROD'!BL203="SI",VLOOKUP('1.DATOS-PROD'!BL$2,'1.PUNTOS'!$A$1:$B$63,2,0),0)</f>
        <v>0</v>
      </c>
      <c r="BD202" s="138">
        <f>IF('1.DATOS-PROD'!BM203="SI",VLOOKUP('1.DATOS-PROD'!BM$2,'1.PUNTOS'!$A$1:$B$63,2,0),0)</f>
        <v>0</v>
      </c>
      <c r="BE202" s="138">
        <f>IF('1.DATOS-PROD'!BN203="SI",VLOOKUP('1.DATOS-PROD'!BN$2,'1.PUNTOS'!$A$1:$B$63,2,0),0)</f>
        <v>0</v>
      </c>
      <c r="BF202" s="138">
        <f>IF('1.DATOS-PROD'!BO203="SI",VLOOKUP('1.DATOS-PROD'!BO$2,'1.PUNTOS'!$A$1:$B$63,2,0),0)</f>
        <v>0</v>
      </c>
      <c r="BG202" s="138">
        <f>IF('1.DATOS-PROD'!BP203="SI",VLOOKUP('1.DATOS-PROD'!BP$2,'1.PUNTOS'!$A$1:$B$63,2,0),0)</f>
        <v>0</v>
      </c>
      <c r="BH202" s="138">
        <f>IF('1.DATOS-PROD'!BQ203="SI",VLOOKUP('1.DATOS-PROD'!BQ$2,'1.PUNTOS'!$A$1:$B$63,2,0),0)</f>
        <v>0</v>
      </c>
      <c r="BI202" s="138">
        <f>IF('1.DATOS-PROD'!BR203="SI",VLOOKUP('1.DATOS-PROD'!BR$2,'1.PUNTOS'!$A$1:$B$63,2,0),0)</f>
        <v>0</v>
      </c>
      <c r="BJ202" s="138">
        <f>IF('1.DATOS-PROD'!BS203="SI",VLOOKUP('1.DATOS-PROD'!BS$2,'1.PUNTOS'!$A$1:$B$63,2,0),0)</f>
        <v>0</v>
      </c>
      <c r="BK202" s="138">
        <f>IF('1.DATOS-PROD'!BT203="SI",VLOOKUP('1.DATOS-PROD'!BT$2,'1.PUNTOS'!$A$1:$B$63,2,0),0)</f>
        <v>0</v>
      </c>
    </row>
    <row r="203" spans="1:63" x14ac:dyDescent="0.25">
      <c r="A203">
        <f>'0.Consolidado general'!$A204</f>
        <v>0</v>
      </c>
      <c r="B203" s="138">
        <f>IF('1.DATOS-PROD'!K204="SI",VLOOKUP('1.DATOS-PROD'!K$2,'1.PUNTOS'!$A$1:$B$63,2,0),0)</f>
        <v>0</v>
      </c>
      <c r="C203" s="138">
        <f>IF('1.DATOS-PROD'!L204="SI",VLOOKUP('1.DATOS-PROD'!L$2,'1.PUNTOS'!$A$1:$B$63,2,0),0)</f>
        <v>0</v>
      </c>
      <c r="D203" s="138">
        <f>IF('1.DATOS-PROD'!M204="SI",VLOOKUP('1.DATOS-PROD'!M$2,'1.PUNTOS'!$A$1:$B$63,2,0),0)</f>
        <v>0</v>
      </c>
      <c r="E203" s="138">
        <f>IF('1.DATOS-PROD'!N204="SI",VLOOKUP('1.DATOS-PROD'!N$2,'1.PUNTOS'!$A$1:$B$63,2,0),0)</f>
        <v>0</v>
      </c>
      <c r="F203" s="138">
        <f>IF('1.DATOS-PROD'!O204="SI",VLOOKUP('1.DATOS-PROD'!O$2,'1.PUNTOS'!$A$1:$B$63,2,0),0)</f>
        <v>0</v>
      </c>
      <c r="G203" s="138">
        <f>IF('1.DATOS-PROD'!P204="SI",VLOOKUP('1.DATOS-PROD'!P$2,'1.PUNTOS'!$A$1:$B$63,2,0),0)</f>
        <v>0</v>
      </c>
      <c r="H203" s="138">
        <f>IF('1.DATOS-PROD'!Q204="SI",VLOOKUP('1.DATOS-PROD'!Q$2,'1.PUNTOS'!$A$1:$B$63,2,0),0)</f>
        <v>0</v>
      </c>
      <c r="I203" s="138">
        <f>IF('1.DATOS-PROD'!R204="SI",VLOOKUP('1.DATOS-PROD'!R$2,'1.PUNTOS'!$A$1:$B$63,2,0),0)</f>
        <v>0</v>
      </c>
      <c r="J203" s="138">
        <f>IF('1.DATOS-PROD'!S204="SI",VLOOKUP('1.DATOS-PROD'!S$2,'1.PUNTOS'!$A$1:$B$63,2,0),0)</f>
        <v>0</v>
      </c>
      <c r="K203" s="138">
        <f>IF('1.DATOS-PROD'!T204="SI",VLOOKUP('1.DATOS-PROD'!T$2,'1.PUNTOS'!$A$1:$B$63,2,0),0)</f>
        <v>0</v>
      </c>
      <c r="L203" s="138">
        <f>IF('1.DATOS-PROD'!U204="SI",VLOOKUP('1.DATOS-PROD'!U$2,'1.PUNTOS'!$A$1:$B$63,2,0),0)</f>
        <v>0</v>
      </c>
      <c r="M203" s="138">
        <f>IF('1.DATOS-PROD'!V204="SI",VLOOKUP('1.DATOS-PROD'!V$2,'1.PUNTOS'!$A$1:$B$63,2,0),0)</f>
        <v>0</v>
      </c>
      <c r="N203" s="138">
        <f>IF('1.DATOS-PROD'!W204="SI",VLOOKUP('1.DATOS-PROD'!W$2,'1.PUNTOS'!$A$1:$B$63,2,0),0)</f>
        <v>0</v>
      </c>
      <c r="O203" s="138">
        <f>IF('1.DATOS-PROD'!X204="SI",VLOOKUP('1.DATOS-PROD'!X$2,'1.PUNTOS'!$A$1:$B$63,2,0),0)</f>
        <v>0</v>
      </c>
      <c r="P203" s="138">
        <f>IF('1.DATOS-PROD'!Y204="SI",VLOOKUP('1.DATOS-PROD'!Y$2,'1.PUNTOS'!$A$1:$B$63,2,0),0)</f>
        <v>0</v>
      </c>
      <c r="Q203" s="138">
        <f>IF('1.DATOS-PROD'!Z204="SI",VLOOKUP('1.DATOS-PROD'!Z$2,'1.PUNTOS'!$A$1:$B$63,2,0),0)</f>
        <v>0</v>
      </c>
      <c r="R203" s="138">
        <f>IF('1.DATOS-PROD'!AA204="SI",VLOOKUP('1.DATOS-PROD'!AA$2,'1.PUNTOS'!$A$1:$B$63,2,0),0)</f>
        <v>0</v>
      </c>
      <c r="S203" s="138">
        <f>IF('1.DATOS-PROD'!AB204="SI",VLOOKUP('1.DATOS-PROD'!AB$2,'1.PUNTOS'!$A$1:$B$63,2,0),0)</f>
        <v>0</v>
      </c>
      <c r="T203" s="138">
        <f>IF('1.DATOS-PROD'!AC204="SI",VLOOKUP('1.DATOS-PROD'!AC$2,'1.PUNTOS'!$A$1:$B$63,2,0),0)</f>
        <v>0</v>
      </c>
      <c r="U203" s="138">
        <f>IF('1.DATOS-PROD'!AD204="SI",VLOOKUP('1.DATOS-PROD'!AD$2,'1.PUNTOS'!$A$1:$B$63,2,0),0)</f>
        <v>0</v>
      </c>
      <c r="V203" s="138">
        <f>IF('1.DATOS-PROD'!AE204="SI",VLOOKUP('1.DATOS-PROD'!AE$2,'1.PUNTOS'!$A$1:$B$63,2,0),0)</f>
        <v>0</v>
      </c>
      <c r="W203" s="138">
        <f>IF('1.DATOS-PROD'!AF204="SI",VLOOKUP('1.DATOS-PROD'!AF$2,'1.PUNTOS'!$A$1:$B$63,2,0),0)</f>
        <v>0</v>
      </c>
      <c r="X203" s="138">
        <f>IF('1.DATOS-PROD'!AG204="SI",VLOOKUP('1.DATOS-PROD'!AG$2,'1.PUNTOS'!$A$1:$B$63,2,0),0)</f>
        <v>0</v>
      </c>
      <c r="Y203" s="138">
        <f>IF('1.DATOS-PROD'!AH204="SI",VLOOKUP('1.DATOS-PROD'!AH$2,'1.PUNTOS'!$A$1:$B$63,2,0),0)</f>
        <v>0</v>
      </c>
      <c r="Z203" s="138">
        <f>IF('1.DATOS-PROD'!AI204="SI",VLOOKUP('1.DATOS-PROD'!AI$2,'1.PUNTOS'!$A$1:$B$63,2,0),0)</f>
        <v>0</v>
      </c>
      <c r="AA203" s="138">
        <f>IF('1.DATOS-PROD'!AJ204="SI",VLOOKUP('1.DATOS-PROD'!AJ$2,'1.PUNTOS'!$A$1:$B$63,2,0),0)</f>
        <v>0</v>
      </c>
      <c r="AB203" s="138">
        <f>IF('1.DATOS-PROD'!AK204="SI",VLOOKUP('1.DATOS-PROD'!AK$2,'1.PUNTOS'!$A$1:$B$63,2,0),0)</f>
        <v>0</v>
      </c>
      <c r="AC203" s="138">
        <f>IF('1.DATOS-PROD'!AL204="SI",VLOOKUP('1.DATOS-PROD'!AL$2,'1.PUNTOS'!$A$1:$B$63,2,0),0)</f>
        <v>0</v>
      </c>
      <c r="AD203" s="138">
        <f>IF('1.DATOS-PROD'!AM204="SI",VLOOKUP('1.DATOS-PROD'!AM$2,'1.PUNTOS'!$A$1:$B$63,2,0),0)</f>
        <v>0</v>
      </c>
      <c r="AE203" s="138">
        <f>IF('1.DATOS-PROD'!AN204="SI",VLOOKUP('1.DATOS-PROD'!AN$2,'1.PUNTOS'!$A$1:$B$63,2,0),0)</f>
        <v>0</v>
      </c>
      <c r="AF203" s="138">
        <f>IF('1.DATOS-PROD'!AO204="SI",VLOOKUP('1.DATOS-PROD'!AO$2,'1.PUNTOS'!$A$1:$B$63,2,0),0)</f>
        <v>0</v>
      </c>
      <c r="AG203" s="138">
        <f>IF('1.DATOS-PROD'!AP204="SI",VLOOKUP('1.DATOS-PROD'!AP$2,'1.PUNTOS'!$A$1:$B$63,2,0),0)</f>
        <v>0</v>
      </c>
      <c r="AH203" s="138">
        <f>IF('1.DATOS-PROD'!AQ204="SI",VLOOKUP('1.DATOS-PROD'!AQ$2,'1.PUNTOS'!$A$1:$B$63,2,0),0)</f>
        <v>0</v>
      </c>
      <c r="AI203" s="138">
        <f>IF('1.DATOS-PROD'!AR204="SI",VLOOKUP('1.DATOS-PROD'!AR$2,'1.PUNTOS'!$A$1:$B$63,2,0),0)</f>
        <v>0</v>
      </c>
      <c r="AJ203" s="138">
        <f>IF('1.DATOS-PROD'!AS204="SI",VLOOKUP('1.DATOS-PROD'!AS$2,'1.PUNTOS'!$A$1:$B$63,2,0),0)</f>
        <v>0</v>
      </c>
      <c r="AK203" s="138">
        <f>IF('1.DATOS-PROD'!AT204="SI",VLOOKUP('1.DATOS-PROD'!AT$2,'1.PUNTOS'!$A$1:$B$63,2,0),0)</f>
        <v>0</v>
      </c>
      <c r="AL203" s="138">
        <f>IF('1.DATOS-PROD'!AU204="SI",VLOOKUP('1.DATOS-PROD'!AU$2,'1.PUNTOS'!$A$1:$B$63,2,0),0)</f>
        <v>0</v>
      </c>
      <c r="AM203" s="138">
        <f>IF('1.DATOS-PROD'!AV204="SI",VLOOKUP('1.DATOS-PROD'!AV$2,'1.PUNTOS'!$A$1:$B$63,2,0),0)</f>
        <v>0</v>
      </c>
      <c r="AN203" s="138">
        <f>IF('1.DATOS-PROD'!AW204="SI",VLOOKUP('1.DATOS-PROD'!AW$2,'1.PUNTOS'!$A$1:$B$63,2,0),0)</f>
        <v>0</v>
      </c>
      <c r="AO203" s="138">
        <f>IF('1.DATOS-PROD'!AX204="SI",VLOOKUP('1.DATOS-PROD'!AX$2,'1.PUNTOS'!$A$1:$B$63,2,0),0)</f>
        <v>0</v>
      </c>
      <c r="AP203" s="138">
        <f>IF('1.DATOS-PROD'!AY204="SI",VLOOKUP('1.DATOS-PROD'!AY$2,'1.PUNTOS'!$A$1:$B$63,2,0),0)</f>
        <v>0</v>
      </c>
      <c r="AQ203" s="138">
        <f>IF('1.DATOS-PROD'!AZ204="SI",VLOOKUP('1.DATOS-PROD'!AZ$2,'1.PUNTOS'!$A$1:$B$63,2,0),0)</f>
        <v>0</v>
      </c>
      <c r="AR203" s="138">
        <f>IF('1.DATOS-PROD'!BA204="SI",VLOOKUP('1.DATOS-PROD'!BA$2,'1.PUNTOS'!$A$1:$B$63,2,0),0)</f>
        <v>0</v>
      </c>
      <c r="AS203" s="138">
        <f>IF('1.DATOS-PROD'!BB204="SI",VLOOKUP('1.DATOS-PROD'!BB$2,'1.PUNTOS'!$A$1:$B$63,2,0),0)</f>
        <v>0</v>
      </c>
      <c r="AT203" s="138">
        <f>IF('1.DATOS-PROD'!BC204="SI",VLOOKUP('1.DATOS-PROD'!BC$2,'1.PUNTOS'!$A$1:$B$63,2,0),0)</f>
        <v>0</v>
      </c>
      <c r="AU203" s="138">
        <f>IF('1.DATOS-PROD'!BD204="SI",VLOOKUP('1.DATOS-PROD'!BD$2,'1.PUNTOS'!$A$1:$B$63,2,0),0)</f>
        <v>0</v>
      </c>
      <c r="AV203" s="138">
        <f>IF('1.DATOS-PROD'!BE204="SI",VLOOKUP('1.DATOS-PROD'!BE$2,'1.PUNTOS'!$A$1:$B$63,2,0),0)</f>
        <v>0</v>
      </c>
      <c r="AW203" s="138">
        <f>IF('1.DATOS-PROD'!BF204="SI",VLOOKUP('1.DATOS-PROD'!BF$2,'1.PUNTOS'!$A$1:$B$63,2,0),0)</f>
        <v>0</v>
      </c>
      <c r="AX203" s="138">
        <f>IF('1.DATOS-PROD'!BG204="SI",VLOOKUP('1.DATOS-PROD'!BG$2,'1.PUNTOS'!$A$1:$B$63,2,0),0)</f>
        <v>0</v>
      </c>
      <c r="AY203" s="138">
        <f>IF('1.DATOS-PROD'!BH204="SI",VLOOKUP('1.DATOS-PROD'!BH$2,'1.PUNTOS'!$A$1:$B$63,2,0),0)</f>
        <v>0</v>
      </c>
      <c r="AZ203" s="138">
        <f>IF('1.DATOS-PROD'!BI204="SI",VLOOKUP('1.DATOS-PROD'!BI$2,'1.PUNTOS'!$A$1:$B$63,2,0),0)</f>
        <v>0</v>
      </c>
      <c r="BA203" s="138">
        <f>IF('1.DATOS-PROD'!BJ204="SI",VLOOKUP('1.DATOS-PROD'!BJ$2,'1.PUNTOS'!$A$1:$B$63,2,0),0)</f>
        <v>0</v>
      </c>
      <c r="BB203" s="138">
        <f>IF('1.DATOS-PROD'!BK204="SI",VLOOKUP('1.DATOS-PROD'!BK$2,'1.PUNTOS'!$A$1:$B$63,2,0),0)</f>
        <v>0</v>
      </c>
      <c r="BC203" s="138">
        <f>IF('1.DATOS-PROD'!BL204="SI",VLOOKUP('1.DATOS-PROD'!BL$2,'1.PUNTOS'!$A$1:$B$63,2,0),0)</f>
        <v>0</v>
      </c>
      <c r="BD203" s="138">
        <f>IF('1.DATOS-PROD'!BM204="SI",VLOOKUP('1.DATOS-PROD'!BM$2,'1.PUNTOS'!$A$1:$B$63,2,0),0)</f>
        <v>0</v>
      </c>
      <c r="BE203" s="138">
        <f>IF('1.DATOS-PROD'!BN204="SI",VLOOKUP('1.DATOS-PROD'!BN$2,'1.PUNTOS'!$A$1:$B$63,2,0),0)</f>
        <v>0</v>
      </c>
      <c r="BF203" s="138">
        <f>IF('1.DATOS-PROD'!BO204="SI",VLOOKUP('1.DATOS-PROD'!BO$2,'1.PUNTOS'!$A$1:$B$63,2,0),0)</f>
        <v>0</v>
      </c>
      <c r="BG203" s="138">
        <f>IF('1.DATOS-PROD'!BP204="SI",VLOOKUP('1.DATOS-PROD'!BP$2,'1.PUNTOS'!$A$1:$B$63,2,0),0)</f>
        <v>0</v>
      </c>
      <c r="BH203" s="138">
        <f>IF('1.DATOS-PROD'!BQ204="SI",VLOOKUP('1.DATOS-PROD'!BQ$2,'1.PUNTOS'!$A$1:$B$63,2,0),0)</f>
        <v>0</v>
      </c>
      <c r="BI203" s="138">
        <f>IF('1.DATOS-PROD'!BR204="SI",VLOOKUP('1.DATOS-PROD'!BR$2,'1.PUNTOS'!$A$1:$B$63,2,0),0)</f>
        <v>0</v>
      </c>
      <c r="BJ203" s="138">
        <f>IF('1.DATOS-PROD'!BS204="SI",VLOOKUP('1.DATOS-PROD'!BS$2,'1.PUNTOS'!$A$1:$B$63,2,0),0)</f>
        <v>0</v>
      </c>
      <c r="BK203" s="138">
        <f>IF('1.DATOS-PROD'!BT204="SI",VLOOKUP('1.DATOS-PROD'!BT$2,'1.PUNTOS'!$A$1:$B$63,2,0),0)</f>
        <v>0</v>
      </c>
    </row>
    <row r="204" spans="1:63" x14ac:dyDescent="0.25">
      <c r="A204">
        <f>'0.Consolidado general'!$A205</f>
        <v>0</v>
      </c>
      <c r="B204" s="138">
        <f>IF('1.DATOS-PROD'!K205="SI",VLOOKUP('1.DATOS-PROD'!K$2,'1.PUNTOS'!$A$1:$B$63,2,0),0)</f>
        <v>0</v>
      </c>
      <c r="C204" s="138">
        <f>IF('1.DATOS-PROD'!L205="SI",VLOOKUP('1.DATOS-PROD'!L$2,'1.PUNTOS'!$A$1:$B$63,2,0),0)</f>
        <v>0</v>
      </c>
      <c r="D204" s="138">
        <f>IF('1.DATOS-PROD'!M205="SI",VLOOKUP('1.DATOS-PROD'!M$2,'1.PUNTOS'!$A$1:$B$63,2,0),0)</f>
        <v>0</v>
      </c>
      <c r="E204" s="138">
        <f>IF('1.DATOS-PROD'!N205="SI",VLOOKUP('1.DATOS-PROD'!N$2,'1.PUNTOS'!$A$1:$B$63,2,0),0)</f>
        <v>0</v>
      </c>
      <c r="F204" s="138">
        <f>IF('1.DATOS-PROD'!O205="SI",VLOOKUP('1.DATOS-PROD'!O$2,'1.PUNTOS'!$A$1:$B$63,2,0),0)</f>
        <v>0</v>
      </c>
      <c r="G204" s="138">
        <f>IF('1.DATOS-PROD'!P205="SI",VLOOKUP('1.DATOS-PROD'!P$2,'1.PUNTOS'!$A$1:$B$63,2,0),0)</f>
        <v>0</v>
      </c>
      <c r="H204" s="138">
        <f>IF('1.DATOS-PROD'!Q205="SI",VLOOKUP('1.DATOS-PROD'!Q$2,'1.PUNTOS'!$A$1:$B$63,2,0),0)</f>
        <v>0</v>
      </c>
      <c r="I204" s="138">
        <f>IF('1.DATOS-PROD'!R205="SI",VLOOKUP('1.DATOS-PROD'!R$2,'1.PUNTOS'!$A$1:$B$63,2,0),0)</f>
        <v>0</v>
      </c>
      <c r="J204" s="138">
        <f>IF('1.DATOS-PROD'!S205="SI",VLOOKUP('1.DATOS-PROD'!S$2,'1.PUNTOS'!$A$1:$B$63,2,0),0)</f>
        <v>0</v>
      </c>
      <c r="K204" s="138">
        <f>IF('1.DATOS-PROD'!T205="SI",VLOOKUP('1.DATOS-PROD'!T$2,'1.PUNTOS'!$A$1:$B$63,2,0),0)</f>
        <v>0</v>
      </c>
      <c r="L204" s="138">
        <f>IF('1.DATOS-PROD'!U205="SI",VLOOKUP('1.DATOS-PROD'!U$2,'1.PUNTOS'!$A$1:$B$63,2,0),0)</f>
        <v>0</v>
      </c>
      <c r="M204" s="138">
        <f>IF('1.DATOS-PROD'!V205="SI",VLOOKUP('1.DATOS-PROD'!V$2,'1.PUNTOS'!$A$1:$B$63,2,0),0)</f>
        <v>0</v>
      </c>
      <c r="N204" s="138">
        <f>IF('1.DATOS-PROD'!W205="SI",VLOOKUP('1.DATOS-PROD'!W$2,'1.PUNTOS'!$A$1:$B$63,2,0),0)</f>
        <v>0</v>
      </c>
      <c r="O204" s="138">
        <f>IF('1.DATOS-PROD'!X205="SI",VLOOKUP('1.DATOS-PROD'!X$2,'1.PUNTOS'!$A$1:$B$63,2,0),0)</f>
        <v>0</v>
      </c>
      <c r="P204" s="138">
        <f>IF('1.DATOS-PROD'!Y205="SI",VLOOKUP('1.DATOS-PROD'!Y$2,'1.PUNTOS'!$A$1:$B$63,2,0),0)</f>
        <v>0</v>
      </c>
      <c r="Q204" s="138">
        <f>IF('1.DATOS-PROD'!Z205="SI",VLOOKUP('1.DATOS-PROD'!Z$2,'1.PUNTOS'!$A$1:$B$63,2,0),0)</f>
        <v>0</v>
      </c>
      <c r="R204" s="138">
        <f>IF('1.DATOS-PROD'!AA205="SI",VLOOKUP('1.DATOS-PROD'!AA$2,'1.PUNTOS'!$A$1:$B$63,2,0),0)</f>
        <v>0</v>
      </c>
      <c r="S204" s="138">
        <f>IF('1.DATOS-PROD'!AB205="SI",VLOOKUP('1.DATOS-PROD'!AB$2,'1.PUNTOS'!$A$1:$B$63,2,0),0)</f>
        <v>0</v>
      </c>
      <c r="T204" s="138">
        <f>IF('1.DATOS-PROD'!AC205="SI",VLOOKUP('1.DATOS-PROD'!AC$2,'1.PUNTOS'!$A$1:$B$63,2,0),0)</f>
        <v>0</v>
      </c>
      <c r="U204" s="138">
        <f>IF('1.DATOS-PROD'!AD205="SI",VLOOKUP('1.DATOS-PROD'!AD$2,'1.PUNTOS'!$A$1:$B$63,2,0),0)</f>
        <v>0</v>
      </c>
      <c r="V204" s="138">
        <f>IF('1.DATOS-PROD'!AE205="SI",VLOOKUP('1.DATOS-PROD'!AE$2,'1.PUNTOS'!$A$1:$B$63,2,0),0)</f>
        <v>0</v>
      </c>
      <c r="W204" s="138">
        <f>IF('1.DATOS-PROD'!AF205="SI",VLOOKUP('1.DATOS-PROD'!AF$2,'1.PUNTOS'!$A$1:$B$63,2,0),0)</f>
        <v>0</v>
      </c>
      <c r="X204" s="138">
        <f>IF('1.DATOS-PROD'!AG205="SI",VLOOKUP('1.DATOS-PROD'!AG$2,'1.PUNTOS'!$A$1:$B$63,2,0),0)</f>
        <v>0</v>
      </c>
      <c r="Y204" s="138">
        <f>IF('1.DATOS-PROD'!AH205="SI",VLOOKUP('1.DATOS-PROD'!AH$2,'1.PUNTOS'!$A$1:$B$63,2,0),0)</f>
        <v>0</v>
      </c>
      <c r="Z204" s="138">
        <f>IF('1.DATOS-PROD'!AI205="SI",VLOOKUP('1.DATOS-PROD'!AI$2,'1.PUNTOS'!$A$1:$B$63,2,0),0)</f>
        <v>0</v>
      </c>
      <c r="AA204" s="138">
        <f>IF('1.DATOS-PROD'!AJ205="SI",VLOOKUP('1.DATOS-PROD'!AJ$2,'1.PUNTOS'!$A$1:$B$63,2,0),0)</f>
        <v>0</v>
      </c>
      <c r="AB204" s="138">
        <f>IF('1.DATOS-PROD'!AK205="SI",VLOOKUP('1.DATOS-PROD'!AK$2,'1.PUNTOS'!$A$1:$B$63,2,0),0)</f>
        <v>0</v>
      </c>
      <c r="AC204" s="138">
        <f>IF('1.DATOS-PROD'!AL205="SI",VLOOKUP('1.DATOS-PROD'!AL$2,'1.PUNTOS'!$A$1:$B$63,2,0),0)</f>
        <v>0</v>
      </c>
      <c r="AD204" s="138">
        <f>IF('1.DATOS-PROD'!AM205="SI",VLOOKUP('1.DATOS-PROD'!AM$2,'1.PUNTOS'!$A$1:$B$63,2,0),0)</f>
        <v>0</v>
      </c>
      <c r="AE204" s="138">
        <f>IF('1.DATOS-PROD'!AN205="SI",VLOOKUP('1.DATOS-PROD'!AN$2,'1.PUNTOS'!$A$1:$B$63,2,0),0)</f>
        <v>0</v>
      </c>
      <c r="AF204" s="138">
        <f>IF('1.DATOS-PROD'!AO205="SI",VLOOKUP('1.DATOS-PROD'!AO$2,'1.PUNTOS'!$A$1:$B$63,2,0),0)</f>
        <v>0</v>
      </c>
      <c r="AG204" s="138">
        <f>IF('1.DATOS-PROD'!AP205="SI",VLOOKUP('1.DATOS-PROD'!AP$2,'1.PUNTOS'!$A$1:$B$63,2,0),0)</f>
        <v>0</v>
      </c>
      <c r="AH204" s="138">
        <f>IF('1.DATOS-PROD'!AQ205="SI",VLOOKUP('1.DATOS-PROD'!AQ$2,'1.PUNTOS'!$A$1:$B$63,2,0),0)</f>
        <v>0</v>
      </c>
      <c r="AI204" s="138">
        <f>IF('1.DATOS-PROD'!AR205="SI",VLOOKUP('1.DATOS-PROD'!AR$2,'1.PUNTOS'!$A$1:$B$63,2,0),0)</f>
        <v>0</v>
      </c>
      <c r="AJ204" s="138">
        <f>IF('1.DATOS-PROD'!AS205="SI",VLOOKUP('1.DATOS-PROD'!AS$2,'1.PUNTOS'!$A$1:$B$63,2,0),0)</f>
        <v>0</v>
      </c>
      <c r="AK204" s="138">
        <f>IF('1.DATOS-PROD'!AT205="SI",VLOOKUP('1.DATOS-PROD'!AT$2,'1.PUNTOS'!$A$1:$B$63,2,0),0)</f>
        <v>0</v>
      </c>
      <c r="AL204" s="138">
        <f>IF('1.DATOS-PROD'!AU205="SI",VLOOKUP('1.DATOS-PROD'!AU$2,'1.PUNTOS'!$A$1:$B$63,2,0),0)</f>
        <v>0</v>
      </c>
      <c r="AM204" s="138">
        <f>IF('1.DATOS-PROD'!AV205="SI",VLOOKUP('1.DATOS-PROD'!AV$2,'1.PUNTOS'!$A$1:$B$63,2,0),0)</f>
        <v>0</v>
      </c>
      <c r="AN204" s="138">
        <f>IF('1.DATOS-PROD'!AW205="SI",VLOOKUP('1.DATOS-PROD'!AW$2,'1.PUNTOS'!$A$1:$B$63,2,0),0)</f>
        <v>0</v>
      </c>
      <c r="AO204" s="138">
        <f>IF('1.DATOS-PROD'!AX205="SI",VLOOKUP('1.DATOS-PROD'!AX$2,'1.PUNTOS'!$A$1:$B$63,2,0),0)</f>
        <v>0</v>
      </c>
      <c r="AP204" s="138">
        <f>IF('1.DATOS-PROD'!AY205="SI",VLOOKUP('1.DATOS-PROD'!AY$2,'1.PUNTOS'!$A$1:$B$63,2,0),0)</f>
        <v>0</v>
      </c>
      <c r="AQ204" s="138">
        <f>IF('1.DATOS-PROD'!AZ205="SI",VLOOKUP('1.DATOS-PROD'!AZ$2,'1.PUNTOS'!$A$1:$B$63,2,0),0)</f>
        <v>0</v>
      </c>
      <c r="AR204" s="138">
        <f>IF('1.DATOS-PROD'!BA205="SI",VLOOKUP('1.DATOS-PROD'!BA$2,'1.PUNTOS'!$A$1:$B$63,2,0),0)</f>
        <v>0</v>
      </c>
      <c r="AS204" s="138">
        <f>IF('1.DATOS-PROD'!BB205="SI",VLOOKUP('1.DATOS-PROD'!BB$2,'1.PUNTOS'!$A$1:$B$63,2,0),0)</f>
        <v>0</v>
      </c>
      <c r="AT204" s="138">
        <f>IF('1.DATOS-PROD'!BC205="SI",VLOOKUP('1.DATOS-PROD'!BC$2,'1.PUNTOS'!$A$1:$B$63,2,0),0)</f>
        <v>0</v>
      </c>
      <c r="AU204" s="138">
        <f>IF('1.DATOS-PROD'!BD205="SI",VLOOKUP('1.DATOS-PROD'!BD$2,'1.PUNTOS'!$A$1:$B$63,2,0),0)</f>
        <v>0</v>
      </c>
      <c r="AV204" s="138">
        <f>IF('1.DATOS-PROD'!BE205="SI",VLOOKUP('1.DATOS-PROD'!BE$2,'1.PUNTOS'!$A$1:$B$63,2,0),0)</f>
        <v>0</v>
      </c>
      <c r="AW204" s="138">
        <f>IF('1.DATOS-PROD'!BF205="SI",VLOOKUP('1.DATOS-PROD'!BF$2,'1.PUNTOS'!$A$1:$B$63,2,0),0)</f>
        <v>0</v>
      </c>
      <c r="AX204" s="138">
        <f>IF('1.DATOS-PROD'!BG205="SI",VLOOKUP('1.DATOS-PROD'!BG$2,'1.PUNTOS'!$A$1:$B$63,2,0),0)</f>
        <v>0</v>
      </c>
      <c r="AY204" s="138">
        <f>IF('1.DATOS-PROD'!BH205="SI",VLOOKUP('1.DATOS-PROD'!BH$2,'1.PUNTOS'!$A$1:$B$63,2,0),0)</f>
        <v>0</v>
      </c>
      <c r="AZ204" s="138">
        <f>IF('1.DATOS-PROD'!BI205="SI",VLOOKUP('1.DATOS-PROD'!BI$2,'1.PUNTOS'!$A$1:$B$63,2,0),0)</f>
        <v>0</v>
      </c>
      <c r="BA204" s="138">
        <f>IF('1.DATOS-PROD'!BJ205="SI",VLOOKUP('1.DATOS-PROD'!BJ$2,'1.PUNTOS'!$A$1:$B$63,2,0),0)</f>
        <v>0</v>
      </c>
      <c r="BB204" s="138">
        <f>IF('1.DATOS-PROD'!BK205="SI",VLOOKUP('1.DATOS-PROD'!BK$2,'1.PUNTOS'!$A$1:$B$63,2,0),0)</f>
        <v>0</v>
      </c>
      <c r="BC204" s="138">
        <f>IF('1.DATOS-PROD'!BL205="SI",VLOOKUP('1.DATOS-PROD'!BL$2,'1.PUNTOS'!$A$1:$B$63,2,0),0)</f>
        <v>0</v>
      </c>
      <c r="BD204" s="138">
        <f>IF('1.DATOS-PROD'!BM205="SI",VLOOKUP('1.DATOS-PROD'!BM$2,'1.PUNTOS'!$A$1:$B$63,2,0),0)</f>
        <v>0</v>
      </c>
      <c r="BE204" s="138">
        <f>IF('1.DATOS-PROD'!BN205="SI",VLOOKUP('1.DATOS-PROD'!BN$2,'1.PUNTOS'!$A$1:$B$63,2,0),0)</f>
        <v>0</v>
      </c>
      <c r="BF204" s="138">
        <f>IF('1.DATOS-PROD'!BO205="SI",VLOOKUP('1.DATOS-PROD'!BO$2,'1.PUNTOS'!$A$1:$B$63,2,0),0)</f>
        <v>0</v>
      </c>
      <c r="BG204" s="138">
        <f>IF('1.DATOS-PROD'!BP205="SI",VLOOKUP('1.DATOS-PROD'!BP$2,'1.PUNTOS'!$A$1:$B$63,2,0),0)</f>
        <v>0</v>
      </c>
      <c r="BH204" s="138">
        <f>IF('1.DATOS-PROD'!BQ205="SI",VLOOKUP('1.DATOS-PROD'!BQ$2,'1.PUNTOS'!$A$1:$B$63,2,0),0)</f>
        <v>0</v>
      </c>
      <c r="BI204" s="138">
        <f>IF('1.DATOS-PROD'!BR205="SI",VLOOKUP('1.DATOS-PROD'!BR$2,'1.PUNTOS'!$A$1:$B$63,2,0),0)</f>
        <v>0</v>
      </c>
      <c r="BJ204" s="138">
        <f>IF('1.DATOS-PROD'!BS205="SI",VLOOKUP('1.DATOS-PROD'!BS$2,'1.PUNTOS'!$A$1:$B$63,2,0),0)</f>
        <v>0</v>
      </c>
      <c r="BK204" s="138">
        <f>IF('1.DATOS-PROD'!BT205="SI",VLOOKUP('1.DATOS-PROD'!BT$2,'1.PUNTOS'!$A$1:$B$63,2,0),0)</f>
        <v>0</v>
      </c>
    </row>
    <row r="205" spans="1:63" x14ac:dyDescent="0.25">
      <c r="A205">
        <f>'0.Consolidado general'!$A206</f>
        <v>0</v>
      </c>
      <c r="B205" s="138">
        <f>IF('1.DATOS-PROD'!K206="SI",VLOOKUP('1.DATOS-PROD'!K$2,'1.PUNTOS'!$A$1:$B$63,2,0),0)</f>
        <v>0</v>
      </c>
      <c r="C205" s="138">
        <f>IF('1.DATOS-PROD'!L206="SI",VLOOKUP('1.DATOS-PROD'!L$2,'1.PUNTOS'!$A$1:$B$63,2,0),0)</f>
        <v>0</v>
      </c>
      <c r="D205" s="138">
        <f>IF('1.DATOS-PROD'!M206="SI",VLOOKUP('1.DATOS-PROD'!M$2,'1.PUNTOS'!$A$1:$B$63,2,0),0)</f>
        <v>0</v>
      </c>
      <c r="E205" s="138">
        <f>IF('1.DATOS-PROD'!N206="SI",VLOOKUP('1.DATOS-PROD'!N$2,'1.PUNTOS'!$A$1:$B$63,2,0),0)</f>
        <v>0</v>
      </c>
      <c r="F205" s="138">
        <f>IF('1.DATOS-PROD'!O206="SI",VLOOKUP('1.DATOS-PROD'!O$2,'1.PUNTOS'!$A$1:$B$63,2,0),0)</f>
        <v>0</v>
      </c>
      <c r="G205" s="138">
        <f>IF('1.DATOS-PROD'!P206="SI",VLOOKUP('1.DATOS-PROD'!P$2,'1.PUNTOS'!$A$1:$B$63,2,0),0)</f>
        <v>0</v>
      </c>
      <c r="H205" s="138">
        <f>IF('1.DATOS-PROD'!Q206="SI",VLOOKUP('1.DATOS-PROD'!Q$2,'1.PUNTOS'!$A$1:$B$63,2,0),0)</f>
        <v>0</v>
      </c>
      <c r="I205" s="138">
        <f>IF('1.DATOS-PROD'!R206="SI",VLOOKUP('1.DATOS-PROD'!R$2,'1.PUNTOS'!$A$1:$B$63,2,0),0)</f>
        <v>0</v>
      </c>
      <c r="J205" s="138">
        <f>IF('1.DATOS-PROD'!S206="SI",VLOOKUP('1.DATOS-PROD'!S$2,'1.PUNTOS'!$A$1:$B$63,2,0),0)</f>
        <v>0</v>
      </c>
      <c r="K205" s="138">
        <f>IF('1.DATOS-PROD'!T206="SI",VLOOKUP('1.DATOS-PROD'!T$2,'1.PUNTOS'!$A$1:$B$63,2,0),0)</f>
        <v>0</v>
      </c>
      <c r="L205" s="138">
        <f>IF('1.DATOS-PROD'!U206="SI",VLOOKUP('1.DATOS-PROD'!U$2,'1.PUNTOS'!$A$1:$B$63,2,0),0)</f>
        <v>0</v>
      </c>
      <c r="M205" s="138">
        <f>IF('1.DATOS-PROD'!V206="SI",VLOOKUP('1.DATOS-PROD'!V$2,'1.PUNTOS'!$A$1:$B$63,2,0),0)</f>
        <v>0</v>
      </c>
      <c r="N205" s="138">
        <f>IF('1.DATOS-PROD'!W206="SI",VLOOKUP('1.DATOS-PROD'!W$2,'1.PUNTOS'!$A$1:$B$63,2,0),0)</f>
        <v>0</v>
      </c>
      <c r="O205" s="138">
        <f>IF('1.DATOS-PROD'!X206="SI",VLOOKUP('1.DATOS-PROD'!X$2,'1.PUNTOS'!$A$1:$B$63,2,0),0)</f>
        <v>0</v>
      </c>
      <c r="P205" s="138">
        <f>IF('1.DATOS-PROD'!Y206="SI",VLOOKUP('1.DATOS-PROD'!Y$2,'1.PUNTOS'!$A$1:$B$63,2,0),0)</f>
        <v>0</v>
      </c>
      <c r="Q205" s="138">
        <f>IF('1.DATOS-PROD'!Z206="SI",VLOOKUP('1.DATOS-PROD'!Z$2,'1.PUNTOS'!$A$1:$B$63,2,0),0)</f>
        <v>0</v>
      </c>
      <c r="R205" s="138">
        <f>IF('1.DATOS-PROD'!AA206="SI",VLOOKUP('1.DATOS-PROD'!AA$2,'1.PUNTOS'!$A$1:$B$63,2,0),0)</f>
        <v>0</v>
      </c>
      <c r="S205" s="138">
        <f>IF('1.DATOS-PROD'!AB206="SI",VLOOKUP('1.DATOS-PROD'!AB$2,'1.PUNTOS'!$A$1:$B$63,2,0),0)</f>
        <v>0</v>
      </c>
      <c r="T205" s="138">
        <f>IF('1.DATOS-PROD'!AC206="SI",VLOOKUP('1.DATOS-PROD'!AC$2,'1.PUNTOS'!$A$1:$B$63,2,0),0)</f>
        <v>0</v>
      </c>
      <c r="U205" s="138">
        <f>IF('1.DATOS-PROD'!AD206="SI",VLOOKUP('1.DATOS-PROD'!AD$2,'1.PUNTOS'!$A$1:$B$63,2,0),0)</f>
        <v>0</v>
      </c>
      <c r="V205" s="138">
        <f>IF('1.DATOS-PROD'!AE206="SI",VLOOKUP('1.DATOS-PROD'!AE$2,'1.PUNTOS'!$A$1:$B$63,2,0),0)</f>
        <v>0</v>
      </c>
      <c r="W205" s="138">
        <f>IF('1.DATOS-PROD'!AF206="SI",VLOOKUP('1.DATOS-PROD'!AF$2,'1.PUNTOS'!$A$1:$B$63,2,0),0)</f>
        <v>0</v>
      </c>
      <c r="X205" s="138">
        <f>IF('1.DATOS-PROD'!AG206="SI",VLOOKUP('1.DATOS-PROD'!AG$2,'1.PUNTOS'!$A$1:$B$63,2,0),0)</f>
        <v>0</v>
      </c>
      <c r="Y205" s="138">
        <f>IF('1.DATOS-PROD'!AH206="SI",VLOOKUP('1.DATOS-PROD'!AH$2,'1.PUNTOS'!$A$1:$B$63,2,0),0)</f>
        <v>0</v>
      </c>
      <c r="Z205" s="138">
        <f>IF('1.DATOS-PROD'!AI206="SI",VLOOKUP('1.DATOS-PROD'!AI$2,'1.PUNTOS'!$A$1:$B$63,2,0),0)</f>
        <v>0</v>
      </c>
      <c r="AA205" s="138">
        <f>IF('1.DATOS-PROD'!AJ206="SI",VLOOKUP('1.DATOS-PROD'!AJ$2,'1.PUNTOS'!$A$1:$B$63,2,0),0)</f>
        <v>0</v>
      </c>
      <c r="AB205" s="138">
        <f>IF('1.DATOS-PROD'!AK206="SI",VLOOKUP('1.DATOS-PROD'!AK$2,'1.PUNTOS'!$A$1:$B$63,2,0),0)</f>
        <v>0</v>
      </c>
      <c r="AC205" s="138">
        <f>IF('1.DATOS-PROD'!AL206="SI",VLOOKUP('1.DATOS-PROD'!AL$2,'1.PUNTOS'!$A$1:$B$63,2,0),0)</f>
        <v>0</v>
      </c>
      <c r="AD205" s="138">
        <f>IF('1.DATOS-PROD'!AM206="SI",VLOOKUP('1.DATOS-PROD'!AM$2,'1.PUNTOS'!$A$1:$B$63,2,0),0)</f>
        <v>0</v>
      </c>
      <c r="AE205" s="138">
        <f>IF('1.DATOS-PROD'!AN206="SI",VLOOKUP('1.DATOS-PROD'!AN$2,'1.PUNTOS'!$A$1:$B$63,2,0),0)</f>
        <v>0</v>
      </c>
      <c r="AF205" s="138">
        <f>IF('1.DATOS-PROD'!AO206="SI",VLOOKUP('1.DATOS-PROD'!AO$2,'1.PUNTOS'!$A$1:$B$63,2,0),0)</f>
        <v>0</v>
      </c>
      <c r="AG205" s="138">
        <f>IF('1.DATOS-PROD'!AP206="SI",VLOOKUP('1.DATOS-PROD'!AP$2,'1.PUNTOS'!$A$1:$B$63,2,0),0)</f>
        <v>0</v>
      </c>
      <c r="AH205" s="138">
        <f>IF('1.DATOS-PROD'!AQ206="SI",VLOOKUP('1.DATOS-PROD'!AQ$2,'1.PUNTOS'!$A$1:$B$63,2,0),0)</f>
        <v>0</v>
      </c>
      <c r="AI205" s="138">
        <f>IF('1.DATOS-PROD'!AR206="SI",VLOOKUP('1.DATOS-PROD'!AR$2,'1.PUNTOS'!$A$1:$B$63,2,0),0)</f>
        <v>0</v>
      </c>
      <c r="AJ205" s="138">
        <f>IF('1.DATOS-PROD'!AS206="SI",VLOOKUP('1.DATOS-PROD'!AS$2,'1.PUNTOS'!$A$1:$B$63,2,0),0)</f>
        <v>0</v>
      </c>
      <c r="AK205" s="138">
        <f>IF('1.DATOS-PROD'!AT206="SI",VLOOKUP('1.DATOS-PROD'!AT$2,'1.PUNTOS'!$A$1:$B$63,2,0),0)</f>
        <v>0</v>
      </c>
      <c r="AL205" s="138">
        <f>IF('1.DATOS-PROD'!AU206="SI",VLOOKUP('1.DATOS-PROD'!AU$2,'1.PUNTOS'!$A$1:$B$63,2,0),0)</f>
        <v>0</v>
      </c>
      <c r="AM205" s="138">
        <f>IF('1.DATOS-PROD'!AV206="SI",VLOOKUP('1.DATOS-PROD'!AV$2,'1.PUNTOS'!$A$1:$B$63,2,0),0)</f>
        <v>0</v>
      </c>
      <c r="AN205" s="138">
        <f>IF('1.DATOS-PROD'!AW206="SI",VLOOKUP('1.DATOS-PROD'!AW$2,'1.PUNTOS'!$A$1:$B$63,2,0),0)</f>
        <v>0</v>
      </c>
      <c r="AO205" s="138">
        <f>IF('1.DATOS-PROD'!AX206="SI",VLOOKUP('1.DATOS-PROD'!AX$2,'1.PUNTOS'!$A$1:$B$63,2,0),0)</f>
        <v>0</v>
      </c>
      <c r="AP205" s="138">
        <f>IF('1.DATOS-PROD'!AY206="SI",VLOOKUP('1.DATOS-PROD'!AY$2,'1.PUNTOS'!$A$1:$B$63,2,0),0)</f>
        <v>0</v>
      </c>
      <c r="AQ205" s="138">
        <f>IF('1.DATOS-PROD'!AZ206="SI",VLOOKUP('1.DATOS-PROD'!AZ$2,'1.PUNTOS'!$A$1:$B$63,2,0),0)</f>
        <v>0</v>
      </c>
      <c r="AR205" s="138">
        <f>IF('1.DATOS-PROD'!BA206="SI",VLOOKUP('1.DATOS-PROD'!BA$2,'1.PUNTOS'!$A$1:$B$63,2,0),0)</f>
        <v>0</v>
      </c>
      <c r="AS205" s="138">
        <f>IF('1.DATOS-PROD'!BB206="SI",VLOOKUP('1.DATOS-PROD'!BB$2,'1.PUNTOS'!$A$1:$B$63,2,0),0)</f>
        <v>0</v>
      </c>
      <c r="AT205" s="138">
        <f>IF('1.DATOS-PROD'!BC206="SI",VLOOKUP('1.DATOS-PROD'!BC$2,'1.PUNTOS'!$A$1:$B$63,2,0),0)</f>
        <v>0</v>
      </c>
      <c r="AU205" s="138">
        <f>IF('1.DATOS-PROD'!BD206="SI",VLOOKUP('1.DATOS-PROD'!BD$2,'1.PUNTOS'!$A$1:$B$63,2,0),0)</f>
        <v>0</v>
      </c>
      <c r="AV205" s="138">
        <f>IF('1.DATOS-PROD'!BE206="SI",VLOOKUP('1.DATOS-PROD'!BE$2,'1.PUNTOS'!$A$1:$B$63,2,0),0)</f>
        <v>0</v>
      </c>
      <c r="AW205" s="138">
        <f>IF('1.DATOS-PROD'!BF206="SI",VLOOKUP('1.DATOS-PROD'!BF$2,'1.PUNTOS'!$A$1:$B$63,2,0),0)</f>
        <v>0</v>
      </c>
      <c r="AX205" s="138">
        <f>IF('1.DATOS-PROD'!BG206="SI",VLOOKUP('1.DATOS-PROD'!BG$2,'1.PUNTOS'!$A$1:$B$63,2,0),0)</f>
        <v>0</v>
      </c>
      <c r="AY205" s="138">
        <f>IF('1.DATOS-PROD'!BH206="SI",VLOOKUP('1.DATOS-PROD'!BH$2,'1.PUNTOS'!$A$1:$B$63,2,0),0)</f>
        <v>0</v>
      </c>
      <c r="AZ205" s="138">
        <f>IF('1.DATOS-PROD'!BI206="SI",VLOOKUP('1.DATOS-PROD'!BI$2,'1.PUNTOS'!$A$1:$B$63,2,0),0)</f>
        <v>0</v>
      </c>
      <c r="BA205" s="138">
        <f>IF('1.DATOS-PROD'!BJ206="SI",VLOOKUP('1.DATOS-PROD'!BJ$2,'1.PUNTOS'!$A$1:$B$63,2,0),0)</f>
        <v>0</v>
      </c>
      <c r="BB205" s="138">
        <f>IF('1.DATOS-PROD'!BK206="SI",VLOOKUP('1.DATOS-PROD'!BK$2,'1.PUNTOS'!$A$1:$B$63,2,0),0)</f>
        <v>0</v>
      </c>
      <c r="BC205" s="138">
        <f>IF('1.DATOS-PROD'!BL206="SI",VLOOKUP('1.DATOS-PROD'!BL$2,'1.PUNTOS'!$A$1:$B$63,2,0),0)</f>
        <v>0</v>
      </c>
      <c r="BD205" s="138">
        <f>IF('1.DATOS-PROD'!BM206="SI",VLOOKUP('1.DATOS-PROD'!BM$2,'1.PUNTOS'!$A$1:$B$63,2,0),0)</f>
        <v>0</v>
      </c>
      <c r="BE205" s="138">
        <f>IF('1.DATOS-PROD'!BN206="SI",VLOOKUP('1.DATOS-PROD'!BN$2,'1.PUNTOS'!$A$1:$B$63,2,0),0)</f>
        <v>0</v>
      </c>
      <c r="BF205" s="138">
        <f>IF('1.DATOS-PROD'!BO206="SI",VLOOKUP('1.DATOS-PROD'!BO$2,'1.PUNTOS'!$A$1:$B$63,2,0),0)</f>
        <v>0</v>
      </c>
      <c r="BG205" s="138">
        <f>IF('1.DATOS-PROD'!BP206="SI",VLOOKUP('1.DATOS-PROD'!BP$2,'1.PUNTOS'!$A$1:$B$63,2,0),0)</f>
        <v>0</v>
      </c>
      <c r="BH205" s="138">
        <f>IF('1.DATOS-PROD'!BQ206="SI",VLOOKUP('1.DATOS-PROD'!BQ$2,'1.PUNTOS'!$A$1:$B$63,2,0),0)</f>
        <v>0</v>
      </c>
      <c r="BI205" s="138">
        <f>IF('1.DATOS-PROD'!BR206="SI",VLOOKUP('1.DATOS-PROD'!BR$2,'1.PUNTOS'!$A$1:$B$63,2,0),0)</f>
        <v>0</v>
      </c>
      <c r="BJ205" s="138">
        <f>IF('1.DATOS-PROD'!BS206="SI",VLOOKUP('1.DATOS-PROD'!BS$2,'1.PUNTOS'!$A$1:$B$63,2,0),0)</f>
        <v>0</v>
      </c>
      <c r="BK205" s="138">
        <f>IF('1.DATOS-PROD'!BT206="SI",VLOOKUP('1.DATOS-PROD'!BT$2,'1.PUNTOS'!$A$1:$B$63,2,0),0)</f>
        <v>0</v>
      </c>
    </row>
    <row r="206" spans="1:63" x14ac:dyDescent="0.25">
      <c r="A206">
        <f>'0.Consolidado general'!$A207</f>
        <v>0</v>
      </c>
      <c r="B206" s="138">
        <f>IF('1.DATOS-PROD'!K207="SI",VLOOKUP('1.DATOS-PROD'!K$2,'1.PUNTOS'!$A$1:$B$63,2,0),0)</f>
        <v>0</v>
      </c>
      <c r="C206" s="138">
        <f>IF('1.DATOS-PROD'!L207="SI",VLOOKUP('1.DATOS-PROD'!L$2,'1.PUNTOS'!$A$1:$B$63,2,0),0)</f>
        <v>0</v>
      </c>
      <c r="D206" s="138">
        <f>IF('1.DATOS-PROD'!M207="SI",VLOOKUP('1.DATOS-PROD'!M$2,'1.PUNTOS'!$A$1:$B$63,2,0),0)</f>
        <v>0</v>
      </c>
      <c r="E206" s="138">
        <f>IF('1.DATOS-PROD'!N207="SI",VLOOKUP('1.DATOS-PROD'!N$2,'1.PUNTOS'!$A$1:$B$63,2,0),0)</f>
        <v>0</v>
      </c>
      <c r="F206" s="138">
        <f>IF('1.DATOS-PROD'!O207="SI",VLOOKUP('1.DATOS-PROD'!O$2,'1.PUNTOS'!$A$1:$B$63,2,0),0)</f>
        <v>0</v>
      </c>
      <c r="G206" s="138">
        <f>IF('1.DATOS-PROD'!P207="SI",VLOOKUP('1.DATOS-PROD'!P$2,'1.PUNTOS'!$A$1:$B$63,2,0),0)</f>
        <v>0</v>
      </c>
      <c r="H206" s="138">
        <f>IF('1.DATOS-PROD'!Q207="SI",VLOOKUP('1.DATOS-PROD'!Q$2,'1.PUNTOS'!$A$1:$B$63,2,0),0)</f>
        <v>0</v>
      </c>
      <c r="I206" s="138">
        <f>IF('1.DATOS-PROD'!R207="SI",VLOOKUP('1.DATOS-PROD'!R$2,'1.PUNTOS'!$A$1:$B$63,2,0),0)</f>
        <v>0</v>
      </c>
      <c r="J206" s="138">
        <f>IF('1.DATOS-PROD'!S207="SI",VLOOKUP('1.DATOS-PROD'!S$2,'1.PUNTOS'!$A$1:$B$63,2,0),0)</f>
        <v>0</v>
      </c>
      <c r="K206" s="138">
        <f>IF('1.DATOS-PROD'!T207="SI",VLOOKUP('1.DATOS-PROD'!T$2,'1.PUNTOS'!$A$1:$B$63,2,0),0)</f>
        <v>0</v>
      </c>
      <c r="L206" s="138">
        <f>IF('1.DATOS-PROD'!U207="SI",VLOOKUP('1.DATOS-PROD'!U$2,'1.PUNTOS'!$A$1:$B$63,2,0),0)</f>
        <v>0</v>
      </c>
      <c r="M206" s="138">
        <f>IF('1.DATOS-PROD'!V207="SI",VLOOKUP('1.DATOS-PROD'!V$2,'1.PUNTOS'!$A$1:$B$63,2,0),0)</f>
        <v>0</v>
      </c>
      <c r="N206" s="138">
        <f>IF('1.DATOS-PROD'!W207="SI",VLOOKUP('1.DATOS-PROD'!W$2,'1.PUNTOS'!$A$1:$B$63,2,0),0)</f>
        <v>0</v>
      </c>
      <c r="O206" s="138">
        <f>IF('1.DATOS-PROD'!X207="SI",VLOOKUP('1.DATOS-PROD'!X$2,'1.PUNTOS'!$A$1:$B$63,2,0),0)</f>
        <v>0</v>
      </c>
      <c r="P206" s="138">
        <f>IF('1.DATOS-PROD'!Y207="SI",VLOOKUP('1.DATOS-PROD'!Y$2,'1.PUNTOS'!$A$1:$B$63,2,0),0)</f>
        <v>0</v>
      </c>
      <c r="Q206" s="138">
        <f>IF('1.DATOS-PROD'!Z207="SI",VLOOKUP('1.DATOS-PROD'!Z$2,'1.PUNTOS'!$A$1:$B$63,2,0),0)</f>
        <v>0</v>
      </c>
      <c r="R206" s="138">
        <f>IF('1.DATOS-PROD'!AA207="SI",VLOOKUP('1.DATOS-PROD'!AA$2,'1.PUNTOS'!$A$1:$B$63,2,0),0)</f>
        <v>0</v>
      </c>
      <c r="S206" s="138">
        <f>IF('1.DATOS-PROD'!AB207="SI",VLOOKUP('1.DATOS-PROD'!AB$2,'1.PUNTOS'!$A$1:$B$63,2,0),0)</f>
        <v>0</v>
      </c>
      <c r="T206" s="138">
        <f>IF('1.DATOS-PROD'!AC207="SI",VLOOKUP('1.DATOS-PROD'!AC$2,'1.PUNTOS'!$A$1:$B$63,2,0),0)</f>
        <v>0</v>
      </c>
      <c r="U206" s="138">
        <f>IF('1.DATOS-PROD'!AD207="SI",VLOOKUP('1.DATOS-PROD'!AD$2,'1.PUNTOS'!$A$1:$B$63,2,0),0)</f>
        <v>0</v>
      </c>
      <c r="V206" s="138">
        <f>IF('1.DATOS-PROD'!AE207="SI",VLOOKUP('1.DATOS-PROD'!AE$2,'1.PUNTOS'!$A$1:$B$63,2,0),0)</f>
        <v>0</v>
      </c>
      <c r="W206" s="138">
        <f>IF('1.DATOS-PROD'!AF207="SI",VLOOKUP('1.DATOS-PROD'!AF$2,'1.PUNTOS'!$A$1:$B$63,2,0),0)</f>
        <v>0</v>
      </c>
      <c r="X206" s="138">
        <f>IF('1.DATOS-PROD'!AG207="SI",VLOOKUP('1.DATOS-PROD'!AG$2,'1.PUNTOS'!$A$1:$B$63,2,0),0)</f>
        <v>0</v>
      </c>
      <c r="Y206" s="138">
        <f>IF('1.DATOS-PROD'!AH207="SI",VLOOKUP('1.DATOS-PROD'!AH$2,'1.PUNTOS'!$A$1:$B$63,2,0),0)</f>
        <v>0</v>
      </c>
      <c r="Z206" s="138">
        <f>IF('1.DATOS-PROD'!AI207="SI",VLOOKUP('1.DATOS-PROD'!AI$2,'1.PUNTOS'!$A$1:$B$63,2,0),0)</f>
        <v>0</v>
      </c>
      <c r="AA206" s="138">
        <f>IF('1.DATOS-PROD'!AJ207="SI",VLOOKUP('1.DATOS-PROD'!AJ$2,'1.PUNTOS'!$A$1:$B$63,2,0),0)</f>
        <v>0</v>
      </c>
      <c r="AB206" s="138">
        <f>IF('1.DATOS-PROD'!AK207="SI",VLOOKUP('1.DATOS-PROD'!AK$2,'1.PUNTOS'!$A$1:$B$63,2,0),0)</f>
        <v>0</v>
      </c>
      <c r="AC206" s="138">
        <f>IF('1.DATOS-PROD'!AL207="SI",VLOOKUP('1.DATOS-PROD'!AL$2,'1.PUNTOS'!$A$1:$B$63,2,0),0)</f>
        <v>0</v>
      </c>
      <c r="AD206" s="138">
        <f>IF('1.DATOS-PROD'!AM207="SI",VLOOKUP('1.DATOS-PROD'!AM$2,'1.PUNTOS'!$A$1:$B$63,2,0),0)</f>
        <v>0</v>
      </c>
      <c r="AE206" s="138">
        <f>IF('1.DATOS-PROD'!AN207="SI",VLOOKUP('1.DATOS-PROD'!AN$2,'1.PUNTOS'!$A$1:$B$63,2,0),0)</f>
        <v>0</v>
      </c>
      <c r="AF206" s="138">
        <f>IF('1.DATOS-PROD'!AO207="SI",VLOOKUP('1.DATOS-PROD'!AO$2,'1.PUNTOS'!$A$1:$B$63,2,0),0)</f>
        <v>0</v>
      </c>
      <c r="AG206" s="138">
        <f>IF('1.DATOS-PROD'!AP207="SI",VLOOKUP('1.DATOS-PROD'!AP$2,'1.PUNTOS'!$A$1:$B$63,2,0),0)</f>
        <v>0</v>
      </c>
      <c r="AH206" s="138">
        <f>IF('1.DATOS-PROD'!AQ207="SI",VLOOKUP('1.DATOS-PROD'!AQ$2,'1.PUNTOS'!$A$1:$B$63,2,0),0)</f>
        <v>0</v>
      </c>
      <c r="AI206" s="138">
        <f>IF('1.DATOS-PROD'!AR207="SI",VLOOKUP('1.DATOS-PROD'!AR$2,'1.PUNTOS'!$A$1:$B$63,2,0),0)</f>
        <v>0</v>
      </c>
      <c r="AJ206" s="138">
        <f>IF('1.DATOS-PROD'!AS207="SI",VLOOKUP('1.DATOS-PROD'!AS$2,'1.PUNTOS'!$A$1:$B$63,2,0),0)</f>
        <v>0</v>
      </c>
      <c r="AK206" s="138">
        <f>IF('1.DATOS-PROD'!AT207="SI",VLOOKUP('1.DATOS-PROD'!AT$2,'1.PUNTOS'!$A$1:$B$63,2,0),0)</f>
        <v>0</v>
      </c>
      <c r="AL206" s="138">
        <f>IF('1.DATOS-PROD'!AU207="SI",VLOOKUP('1.DATOS-PROD'!AU$2,'1.PUNTOS'!$A$1:$B$63,2,0),0)</f>
        <v>0</v>
      </c>
      <c r="AM206" s="138">
        <f>IF('1.DATOS-PROD'!AV207="SI",VLOOKUP('1.DATOS-PROD'!AV$2,'1.PUNTOS'!$A$1:$B$63,2,0),0)</f>
        <v>0</v>
      </c>
      <c r="AN206" s="138">
        <f>IF('1.DATOS-PROD'!AW207="SI",VLOOKUP('1.DATOS-PROD'!AW$2,'1.PUNTOS'!$A$1:$B$63,2,0),0)</f>
        <v>0</v>
      </c>
      <c r="AO206" s="138">
        <f>IF('1.DATOS-PROD'!AX207="SI",VLOOKUP('1.DATOS-PROD'!AX$2,'1.PUNTOS'!$A$1:$B$63,2,0),0)</f>
        <v>0</v>
      </c>
      <c r="AP206" s="138">
        <f>IF('1.DATOS-PROD'!AY207="SI",VLOOKUP('1.DATOS-PROD'!AY$2,'1.PUNTOS'!$A$1:$B$63,2,0),0)</f>
        <v>0</v>
      </c>
      <c r="AQ206" s="138">
        <f>IF('1.DATOS-PROD'!AZ207="SI",VLOOKUP('1.DATOS-PROD'!AZ$2,'1.PUNTOS'!$A$1:$B$63,2,0),0)</f>
        <v>0</v>
      </c>
      <c r="AR206" s="138">
        <f>IF('1.DATOS-PROD'!BA207="SI",VLOOKUP('1.DATOS-PROD'!BA$2,'1.PUNTOS'!$A$1:$B$63,2,0),0)</f>
        <v>0</v>
      </c>
      <c r="AS206" s="138">
        <f>IF('1.DATOS-PROD'!BB207="SI",VLOOKUP('1.DATOS-PROD'!BB$2,'1.PUNTOS'!$A$1:$B$63,2,0),0)</f>
        <v>0</v>
      </c>
      <c r="AT206" s="138">
        <f>IF('1.DATOS-PROD'!BC207="SI",VLOOKUP('1.DATOS-PROD'!BC$2,'1.PUNTOS'!$A$1:$B$63,2,0),0)</f>
        <v>0</v>
      </c>
      <c r="AU206" s="138">
        <f>IF('1.DATOS-PROD'!BD207="SI",VLOOKUP('1.DATOS-PROD'!BD$2,'1.PUNTOS'!$A$1:$B$63,2,0),0)</f>
        <v>0</v>
      </c>
      <c r="AV206" s="138">
        <f>IF('1.DATOS-PROD'!BE207="SI",VLOOKUP('1.DATOS-PROD'!BE$2,'1.PUNTOS'!$A$1:$B$63,2,0),0)</f>
        <v>0</v>
      </c>
      <c r="AW206" s="138">
        <f>IF('1.DATOS-PROD'!BF207="SI",VLOOKUP('1.DATOS-PROD'!BF$2,'1.PUNTOS'!$A$1:$B$63,2,0),0)</f>
        <v>0</v>
      </c>
      <c r="AX206" s="138">
        <f>IF('1.DATOS-PROD'!BG207="SI",VLOOKUP('1.DATOS-PROD'!BG$2,'1.PUNTOS'!$A$1:$B$63,2,0),0)</f>
        <v>0</v>
      </c>
      <c r="AY206" s="138">
        <f>IF('1.DATOS-PROD'!BH207="SI",VLOOKUP('1.DATOS-PROD'!BH$2,'1.PUNTOS'!$A$1:$B$63,2,0),0)</f>
        <v>0</v>
      </c>
      <c r="AZ206" s="138">
        <f>IF('1.DATOS-PROD'!BI207="SI",VLOOKUP('1.DATOS-PROD'!BI$2,'1.PUNTOS'!$A$1:$B$63,2,0),0)</f>
        <v>0</v>
      </c>
      <c r="BA206" s="138">
        <f>IF('1.DATOS-PROD'!BJ207="SI",VLOOKUP('1.DATOS-PROD'!BJ$2,'1.PUNTOS'!$A$1:$B$63,2,0),0)</f>
        <v>0</v>
      </c>
      <c r="BB206" s="138">
        <f>IF('1.DATOS-PROD'!BK207="SI",VLOOKUP('1.DATOS-PROD'!BK$2,'1.PUNTOS'!$A$1:$B$63,2,0),0)</f>
        <v>0</v>
      </c>
      <c r="BC206" s="138">
        <f>IF('1.DATOS-PROD'!BL207="SI",VLOOKUP('1.DATOS-PROD'!BL$2,'1.PUNTOS'!$A$1:$B$63,2,0),0)</f>
        <v>0</v>
      </c>
      <c r="BD206" s="138">
        <f>IF('1.DATOS-PROD'!BM207="SI",VLOOKUP('1.DATOS-PROD'!BM$2,'1.PUNTOS'!$A$1:$B$63,2,0),0)</f>
        <v>0</v>
      </c>
      <c r="BE206" s="138">
        <f>IF('1.DATOS-PROD'!BN207="SI",VLOOKUP('1.DATOS-PROD'!BN$2,'1.PUNTOS'!$A$1:$B$63,2,0),0)</f>
        <v>0</v>
      </c>
      <c r="BF206" s="138">
        <f>IF('1.DATOS-PROD'!BO207="SI",VLOOKUP('1.DATOS-PROD'!BO$2,'1.PUNTOS'!$A$1:$B$63,2,0),0)</f>
        <v>0</v>
      </c>
      <c r="BG206" s="138">
        <f>IF('1.DATOS-PROD'!BP207="SI",VLOOKUP('1.DATOS-PROD'!BP$2,'1.PUNTOS'!$A$1:$B$63,2,0),0)</f>
        <v>0</v>
      </c>
      <c r="BH206" s="138">
        <f>IF('1.DATOS-PROD'!BQ207="SI",VLOOKUP('1.DATOS-PROD'!BQ$2,'1.PUNTOS'!$A$1:$B$63,2,0),0)</f>
        <v>0</v>
      </c>
      <c r="BI206" s="138">
        <f>IF('1.DATOS-PROD'!BR207="SI",VLOOKUP('1.DATOS-PROD'!BR$2,'1.PUNTOS'!$A$1:$B$63,2,0),0)</f>
        <v>0</v>
      </c>
      <c r="BJ206" s="138">
        <f>IF('1.DATOS-PROD'!BS207="SI",VLOOKUP('1.DATOS-PROD'!BS$2,'1.PUNTOS'!$A$1:$B$63,2,0),0)</f>
        <v>0</v>
      </c>
      <c r="BK206" s="138">
        <f>IF('1.DATOS-PROD'!BT207="SI",VLOOKUP('1.DATOS-PROD'!BT$2,'1.PUNTOS'!$A$1:$B$63,2,0),0)</f>
        <v>0</v>
      </c>
    </row>
    <row r="207" spans="1:63" x14ac:dyDescent="0.25">
      <c r="A207">
        <f>'0.Consolidado general'!$A208</f>
        <v>0</v>
      </c>
      <c r="B207" s="138">
        <f>IF('1.DATOS-PROD'!K208="SI",VLOOKUP('1.DATOS-PROD'!K$2,'1.PUNTOS'!$A$1:$B$63,2,0),0)</f>
        <v>0</v>
      </c>
      <c r="C207" s="138">
        <f>IF('1.DATOS-PROD'!L208="SI",VLOOKUP('1.DATOS-PROD'!L$2,'1.PUNTOS'!$A$1:$B$63,2,0),0)</f>
        <v>0</v>
      </c>
      <c r="D207" s="138">
        <f>IF('1.DATOS-PROD'!M208="SI",VLOOKUP('1.DATOS-PROD'!M$2,'1.PUNTOS'!$A$1:$B$63,2,0),0)</f>
        <v>0</v>
      </c>
      <c r="E207" s="138">
        <f>IF('1.DATOS-PROD'!N208="SI",VLOOKUP('1.DATOS-PROD'!N$2,'1.PUNTOS'!$A$1:$B$63,2,0),0)</f>
        <v>0</v>
      </c>
      <c r="F207" s="138">
        <f>IF('1.DATOS-PROD'!O208="SI",VLOOKUP('1.DATOS-PROD'!O$2,'1.PUNTOS'!$A$1:$B$63,2,0),0)</f>
        <v>0</v>
      </c>
      <c r="G207" s="138">
        <f>IF('1.DATOS-PROD'!P208="SI",VLOOKUP('1.DATOS-PROD'!P$2,'1.PUNTOS'!$A$1:$B$63,2,0),0)</f>
        <v>0</v>
      </c>
      <c r="H207" s="138">
        <f>IF('1.DATOS-PROD'!Q208="SI",VLOOKUP('1.DATOS-PROD'!Q$2,'1.PUNTOS'!$A$1:$B$63,2,0),0)</f>
        <v>0</v>
      </c>
      <c r="I207" s="138">
        <f>IF('1.DATOS-PROD'!R208="SI",VLOOKUP('1.DATOS-PROD'!R$2,'1.PUNTOS'!$A$1:$B$63,2,0),0)</f>
        <v>0</v>
      </c>
      <c r="J207" s="138">
        <f>IF('1.DATOS-PROD'!S208="SI",VLOOKUP('1.DATOS-PROD'!S$2,'1.PUNTOS'!$A$1:$B$63,2,0),0)</f>
        <v>0</v>
      </c>
      <c r="K207" s="138">
        <f>IF('1.DATOS-PROD'!T208="SI",VLOOKUP('1.DATOS-PROD'!T$2,'1.PUNTOS'!$A$1:$B$63,2,0),0)</f>
        <v>0</v>
      </c>
      <c r="L207" s="138">
        <f>IF('1.DATOS-PROD'!U208="SI",VLOOKUP('1.DATOS-PROD'!U$2,'1.PUNTOS'!$A$1:$B$63,2,0),0)</f>
        <v>0</v>
      </c>
      <c r="M207" s="138">
        <f>IF('1.DATOS-PROD'!V208="SI",VLOOKUP('1.DATOS-PROD'!V$2,'1.PUNTOS'!$A$1:$B$63,2,0),0)</f>
        <v>0</v>
      </c>
      <c r="N207" s="138">
        <f>IF('1.DATOS-PROD'!W208="SI",VLOOKUP('1.DATOS-PROD'!W$2,'1.PUNTOS'!$A$1:$B$63,2,0),0)</f>
        <v>0</v>
      </c>
      <c r="O207" s="138">
        <f>IF('1.DATOS-PROD'!X208="SI",VLOOKUP('1.DATOS-PROD'!X$2,'1.PUNTOS'!$A$1:$B$63,2,0),0)</f>
        <v>0</v>
      </c>
      <c r="P207" s="138">
        <f>IF('1.DATOS-PROD'!Y208="SI",VLOOKUP('1.DATOS-PROD'!Y$2,'1.PUNTOS'!$A$1:$B$63,2,0),0)</f>
        <v>0</v>
      </c>
      <c r="Q207" s="138">
        <f>IF('1.DATOS-PROD'!Z208="SI",VLOOKUP('1.DATOS-PROD'!Z$2,'1.PUNTOS'!$A$1:$B$63,2,0),0)</f>
        <v>0</v>
      </c>
      <c r="R207" s="138">
        <f>IF('1.DATOS-PROD'!AA208="SI",VLOOKUP('1.DATOS-PROD'!AA$2,'1.PUNTOS'!$A$1:$B$63,2,0),0)</f>
        <v>0</v>
      </c>
      <c r="S207" s="138">
        <f>IF('1.DATOS-PROD'!AB208="SI",VLOOKUP('1.DATOS-PROD'!AB$2,'1.PUNTOS'!$A$1:$B$63,2,0),0)</f>
        <v>0</v>
      </c>
      <c r="T207" s="138">
        <f>IF('1.DATOS-PROD'!AC208="SI",VLOOKUP('1.DATOS-PROD'!AC$2,'1.PUNTOS'!$A$1:$B$63,2,0),0)</f>
        <v>0</v>
      </c>
      <c r="U207" s="138">
        <f>IF('1.DATOS-PROD'!AD208="SI",VLOOKUP('1.DATOS-PROD'!AD$2,'1.PUNTOS'!$A$1:$B$63,2,0),0)</f>
        <v>0</v>
      </c>
      <c r="V207" s="138">
        <f>IF('1.DATOS-PROD'!AE208="SI",VLOOKUP('1.DATOS-PROD'!AE$2,'1.PUNTOS'!$A$1:$B$63,2,0),0)</f>
        <v>0</v>
      </c>
      <c r="W207" s="138">
        <f>IF('1.DATOS-PROD'!AF208="SI",VLOOKUP('1.DATOS-PROD'!AF$2,'1.PUNTOS'!$A$1:$B$63,2,0),0)</f>
        <v>0</v>
      </c>
      <c r="X207" s="138">
        <f>IF('1.DATOS-PROD'!AG208="SI",VLOOKUP('1.DATOS-PROD'!AG$2,'1.PUNTOS'!$A$1:$B$63,2,0),0)</f>
        <v>0</v>
      </c>
      <c r="Y207" s="138">
        <f>IF('1.DATOS-PROD'!AH208="SI",VLOOKUP('1.DATOS-PROD'!AH$2,'1.PUNTOS'!$A$1:$B$63,2,0),0)</f>
        <v>0</v>
      </c>
      <c r="Z207" s="138">
        <f>IF('1.DATOS-PROD'!AI208="SI",VLOOKUP('1.DATOS-PROD'!AI$2,'1.PUNTOS'!$A$1:$B$63,2,0),0)</f>
        <v>0</v>
      </c>
      <c r="AA207" s="138">
        <f>IF('1.DATOS-PROD'!AJ208="SI",VLOOKUP('1.DATOS-PROD'!AJ$2,'1.PUNTOS'!$A$1:$B$63,2,0),0)</f>
        <v>0</v>
      </c>
      <c r="AB207" s="138">
        <f>IF('1.DATOS-PROD'!AK208="SI",VLOOKUP('1.DATOS-PROD'!AK$2,'1.PUNTOS'!$A$1:$B$63,2,0),0)</f>
        <v>0</v>
      </c>
      <c r="AC207" s="138">
        <f>IF('1.DATOS-PROD'!AL208="SI",VLOOKUP('1.DATOS-PROD'!AL$2,'1.PUNTOS'!$A$1:$B$63,2,0),0)</f>
        <v>0</v>
      </c>
      <c r="AD207" s="138">
        <f>IF('1.DATOS-PROD'!AM208="SI",VLOOKUP('1.DATOS-PROD'!AM$2,'1.PUNTOS'!$A$1:$B$63,2,0),0)</f>
        <v>0</v>
      </c>
      <c r="AE207" s="138">
        <f>IF('1.DATOS-PROD'!AN208="SI",VLOOKUP('1.DATOS-PROD'!AN$2,'1.PUNTOS'!$A$1:$B$63,2,0),0)</f>
        <v>0</v>
      </c>
      <c r="AF207" s="138">
        <f>IF('1.DATOS-PROD'!AO208="SI",VLOOKUP('1.DATOS-PROD'!AO$2,'1.PUNTOS'!$A$1:$B$63,2,0),0)</f>
        <v>0</v>
      </c>
      <c r="AG207" s="138">
        <f>IF('1.DATOS-PROD'!AP208="SI",VLOOKUP('1.DATOS-PROD'!AP$2,'1.PUNTOS'!$A$1:$B$63,2,0),0)</f>
        <v>0</v>
      </c>
      <c r="AH207" s="138">
        <f>IF('1.DATOS-PROD'!AQ208="SI",VLOOKUP('1.DATOS-PROD'!AQ$2,'1.PUNTOS'!$A$1:$B$63,2,0),0)</f>
        <v>0</v>
      </c>
      <c r="AI207" s="138">
        <f>IF('1.DATOS-PROD'!AR208="SI",VLOOKUP('1.DATOS-PROD'!AR$2,'1.PUNTOS'!$A$1:$B$63,2,0),0)</f>
        <v>0</v>
      </c>
      <c r="AJ207" s="138">
        <f>IF('1.DATOS-PROD'!AS208="SI",VLOOKUP('1.DATOS-PROD'!AS$2,'1.PUNTOS'!$A$1:$B$63,2,0),0)</f>
        <v>0</v>
      </c>
      <c r="AK207" s="138">
        <f>IF('1.DATOS-PROD'!AT208="SI",VLOOKUP('1.DATOS-PROD'!AT$2,'1.PUNTOS'!$A$1:$B$63,2,0),0)</f>
        <v>0</v>
      </c>
      <c r="AL207" s="138">
        <f>IF('1.DATOS-PROD'!AU208="SI",VLOOKUP('1.DATOS-PROD'!AU$2,'1.PUNTOS'!$A$1:$B$63,2,0),0)</f>
        <v>0</v>
      </c>
      <c r="AM207" s="138">
        <f>IF('1.DATOS-PROD'!AV208="SI",VLOOKUP('1.DATOS-PROD'!AV$2,'1.PUNTOS'!$A$1:$B$63,2,0),0)</f>
        <v>0</v>
      </c>
      <c r="AN207" s="138">
        <f>IF('1.DATOS-PROD'!AW208="SI",VLOOKUP('1.DATOS-PROD'!AW$2,'1.PUNTOS'!$A$1:$B$63,2,0),0)</f>
        <v>0</v>
      </c>
      <c r="AO207" s="138">
        <f>IF('1.DATOS-PROD'!AX208="SI",VLOOKUP('1.DATOS-PROD'!AX$2,'1.PUNTOS'!$A$1:$B$63,2,0),0)</f>
        <v>0</v>
      </c>
      <c r="AP207" s="138">
        <f>IF('1.DATOS-PROD'!AY208="SI",VLOOKUP('1.DATOS-PROD'!AY$2,'1.PUNTOS'!$A$1:$B$63,2,0),0)</f>
        <v>0</v>
      </c>
      <c r="AQ207" s="138">
        <f>IF('1.DATOS-PROD'!AZ208="SI",VLOOKUP('1.DATOS-PROD'!AZ$2,'1.PUNTOS'!$A$1:$B$63,2,0),0)</f>
        <v>0</v>
      </c>
      <c r="AR207" s="138">
        <f>IF('1.DATOS-PROD'!BA208="SI",VLOOKUP('1.DATOS-PROD'!BA$2,'1.PUNTOS'!$A$1:$B$63,2,0),0)</f>
        <v>0</v>
      </c>
      <c r="AS207" s="138">
        <f>IF('1.DATOS-PROD'!BB208="SI",VLOOKUP('1.DATOS-PROD'!BB$2,'1.PUNTOS'!$A$1:$B$63,2,0),0)</f>
        <v>0</v>
      </c>
      <c r="AT207" s="138">
        <f>IF('1.DATOS-PROD'!BC208="SI",VLOOKUP('1.DATOS-PROD'!BC$2,'1.PUNTOS'!$A$1:$B$63,2,0),0)</f>
        <v>0</v>
      </c>
      <c r="AU207" s="138">
        <f>IF('1.DATOS-PROD'!BD208="SI",VLOOKUP('1.DATOS-PROD'!BD$2,'1.PUNTOS'!$A$1:$B$63,2,0),0)</f>
        <v>0</v>
      </c>
      <c r="AV207" s="138">
        <f>IF('1.DATOS-PROD'!BE208="SI",VLOOKUP('1.DATOS-PROD'!BE$2,'1.PUNTOS'!$A$1:$B$63,2,0),0)</f>
        <v>0</v>
      </c>
      <c r="AW207" s="138">
        <f>IF('1.DATOS-PROD'!BF208="SI",VLOOKUP('1.DATOS-PROD'!BF$2,'1.PUNTOS'!$A$1:$B$63,2,0),0)</f>
        <v>0</v>
      </c>
      <c r="AX207" s="138">
        <f>IF('1.DATOS-PROD'!BG208="SI",VLOOKUP('1.DATOS-PROD'!BG$2,'1.PUNTOS'!$A$1:$B$63,2,0),0)</f>
        <v>0</v>
      </c>
      <c r="AY207" s="138">
        <f>IF('1.DATOS-PROD'!BH208="SI",VLOOKUP('1.DATOS-PROD'!BH$2,'1.PUNTOS'!$A$1:$B$63,2,0),0)</f>
        <v>0</v>
      </c>
      <c r="AZ207" s="138">
        <f>IF('1.DATOS-PROD'!BI208="SI",VLOOKUP('1.DATOS-PROD'!BI$2,'1.PUNTOS'!$A$1:$B$63,2,0),0)</f>
        <v>0</v>
      </c>
      <c r="BA207" s="138">
        <f>IF('1.DATOS-PROD'!BJ208="SI",VLOOKUP('1.DATOS-PROD'!BJ$2,'1.PUNTOS'!$A$1:$B$63,2,0),0)</f>
        <v>0</v>
      </c>
      <c r="BB207" s="138">
        <f>IF('1.DATOS-PROD'!BK208="SI",VLOOKUP('1.DATOS-PROD'!BK$2,'1.PUNTOS'!$A$1:$B$63,2,0),0)</f>
        <v>0</v>
      </c>
      <c r="BC207" s="138">
        <f>IF('1.DATOS-PROD'!BL208="SI",VLOOKUP('1.DATOS-PROD'!BL$2,'1.PUNTOS'!$A$1:$B$63,2,0),0)</f>
        <v>0</v>
      </c>
      <c r="BD207" s="138">
        <f>IF('1.DATOS-PROD'!BM208="SI",VLOOKUP('1.DATOS-PROD'!BM$2,'1.PUNTOS'!$A$1:$B$63,2,0),0)</f>
        <v>0</v>
      </c>
      <c r="BE207" s="138">
        <f>IF('1.DATOS-PROD'!BN208="SI",VLOOKUP('1.DATOS-PROD'!BN$2,'1.PUNTOS'!$A$1:$B$63,2,0),0)</f>
        <v>0</v>
      </c>
      <c r="BF207" s="138">
        <f>IF('1.DATOS-PROD'!BO208="SI",VLOOKUP('1.DATOS-PROD'!BO$2,'1.PUNTOS'!$A$1:$B$63,2,0),0)</f>
        <v>0</v>
      </c>
      <c r="BG207" s="138">
        <f>IF('1.DATOS-PROD'!BP208="SI",VLOOKUP('1.DATOS-PROD'!BP$2,'1.PUNTOS'!$A$1:$B$63,2,0),0)</f>
        <v>0</v>
      </c>
      <c r="BH207" s="138">
        <f>IF('1.DATOS-PROD'!BQ208="SI",VLOOKUP('1.DATOS-PROD'!BQ$2,'1.PUNTOS'!$A$1:$B$63,2,0),0)</f>
        <v>0</v>
      </c>
      <c r="BI207" s="138">
        <f>IF('1.DATOS-PROD'!BR208="SI",VLOOKUP('1.DATOS-PROD'!BR$2,'1.PUNTOS'!$A$1:$B$63,2,0),0)</f>
        <v>0</v>
      </c>
      <c r="BJ207" s="138">
        <f>IF('1.DATOS-PROD'!BS208="SI",VLOOKUP('1.DATOS-PROD'!BS$2,'1.PUNTOS'!$A$1:$B$63,2,0),0)</f>
        <v>0</v>
      </c>
      <c r="BK207" s="138">
        <f>IF('1.DATOS-PROD'!BT208="SI",VLOOKUP('1.DATOS-PROD'!BT$2,'1.PUNTOS'!$A$1:$B$63,2,0),0)</f>
        <v>0</v>
      </c>
    </row>
    <row r="208" spans="1:63" x14ac:dyDescent="0.25">
      <c r="A208">
        <f>'0.Consolidado general'!$A209</f>
        <v>0</v>
      </c>
      <c r="B208" s="138">
        <f>IF('1.DATOS-PROD'!K209="SI",VLOOKUP('1.DATOS-PROD'!K$2,'1.PUNTOS'!$A$1:$B$63,2,0),0)</f>
        <v>0</v>
      </c>
      <c r="C208" s="138">
        <f>IF('1.DATOS-PROD'!L209="SI",VLOOKUP('1.DATOS-PROD'!L$2,'1.PUNTOS'!$A$1:$B$63,2,0),0)</f>
        <v>0</v>
      </c>
      <c r="D208" s="138">
        <f>IF('1.DATOS-PROD'!M209="SI",VLOOKUP('1.DATOS-PROD'!M$2,'1.PUNTOS'!$A$1:$B$63,2,0),0)</f>
        <v>0</v>
      </c>
      <c r="E208" s="138">
        <f>IF('1.DATOS-PROD'!N209="SI",VLOOKUP('1.DATOS-PROD'!N$2,'1.PUNTOS'!$A$1:$B$63,2,0),0)</f>
        <v>0</v>
      </c>
      <c r="F208" s="138">
        <f>IF('1.DATOS-PROD'!O209="SI",VLOOKUP('1.DATOS-PROD'!O$2,'1.PUNTOS'!$A$1:$B$63,2,0),0)</f>
        <v>0</v>
      </c>
      <c r="G208" s="138">
        <f>IF('1.DATOS-PROD'!P209="SI",VLOOKUP('1.DATOS-PROD'!P$2,'1.PUNTOS'!$A$1:$B$63,2,0),0)</f>
        <v>0</v>
      </c>
      <c r="H208" s="138">
        <f>IF('1.DATOS-PROD'!Q209="SI",VLOOKUP('1.DATOS-PROD'!Q$2,'1.PUNTOS'!$A$1:$B$63,2,0),0)</f>
        <v>0</v>
      </c>
      <c r="I208" s="138">
        <f>IF('1.DATOS-PROD'!R209="SI",VLOOKUP('1.DATOS-PROD'!R$2,'1.PUNTOS'!$A$1:$B$63,2,0),0)</f>
        <v>0</v>
      </c>
      <c r="J208" s="138">
        <f>IF('1.DATOS-PROD'!S209="SI",VLOOKUP('1.DATOS-PROD'!S$2,'1.PUNTOS'!$A$1:$B$63,2,0),0)</f>
        <v>0</v>
      </c>
      <c r="K208" s="138">
        <f>IF('1.DATOS-PROD'!T209="SI",VLOOKUP('1.DATOS-PROD'!T$2,'1.PUNTOS'!$A$1:$B$63,2,0),0)</f>
        <v>0</v>
      </c>
      <c r="L208" s="138">
        <f>IF('1.DATOS-PROD'!U209="SI",VLOOKUP('1.DATOS-PROD'!U$2,'1.PUNTOS'!$A$1:$B$63,2,0),0)</f>
        <v>0</v>
      </c>
      <c r="M208" s="138">
        <f>IF('1.DATOS-PROD'!V209="SI",VLOOKUP('1.DATOS-PROD'!V$2,'1.PUNTOS'!$A$1:$B$63,2,0),0)</f>
        <v>0</v>
      </c>
      <c r="N208" s="138">
        <f>IF('1.DATOS-PROD'!W209="SI",VLOOKUP('1.DATOS-PROD'!W$2,'1.PUNTOS'!$A$1:$B$63,2,0),0)</f>
        <v>0</v>
      </c>
      <c r="O208" s="138">
        <f>IF('1.DATOS-PROD'!X209="SI",VLOOKUP('1.DATOS-PROD'!X$2,'1.PUNTOS'!$A$1:$B$63,2,0),0)</f>
        <v>0</v>
      </c>
      <c r="P208" s="138">
        <f>IF('1.DATOS-PROD'!Y209="SI",VLOOKUP('1.DATOS-PROD'!Y$2,'1.PUNTOS'!$A$1:$B$63,2,0),0)</f>
        <v>0</v>
      </c>
      <c r="Q208" s="138">
        <f>IF('1.DATOS-PROD'!Z209="SI",VLOOKUP('1.DATOS-PROD'!Z$2,'1.PUNTOS'!$A$1:$B$63,2,0),0)</f>
        <v>0</v>
      </c>
      <c r="R208" s="138">
        <f>IF('1.DATOS-PROD'!AA209="SI",VLOOKUP('1.DATOS-PROD'!AA$2,'1.PUNTOS'!$A$1:$B$63,2,0),0)</f>
        <v>0</v>
      </c>
      <c r="S208" s="138">
        <f>IF('1.DATOS-PROD'!AB209="SI",VLOOKUP('1.DATOS-PROD'!AB$2,'1.PUNTOS'!$A$1:$B$63,2,0),0)</f>
        <v>0</v>
      </c>
      <c r="T208" s="138">
        <f>IF('1.DATOS-PROD'!AC209="SI",VLOOKUP('1.DATOS-PROD'!AC$2,'1.PUNTOS'!$A$1:$B$63,2,0),0)</f>
        <v>0</v>
      </c>
      <c r="U208" s="138">
        <f>IF('1.DATOS-PROD'!AD209="SI",VLOOKUP('1.DATOS-PROD'!AD$2,'1.PUNTOS'!$A$1:$B$63,2,0),0)</f>
        <v>0</v>
      </c>
      <c r="V208" s="138">
        <f>IF('1.DATOS-PROD'!AE209="SI",VLOOKUP('1.DATOS-PROD'!AE$2,'1.PUNTOS'!$A$1:$B$63,2,0),0)</f>
        <v>0</v>
      </c>
      <c r="W208" s="138">
        <f>IF('1.DATOS-PROD'!AF209="SI",VLOOKUP('1.DATOS-PROD'!AF$2,'1.PUNTOS'!$A$1:$B$63,2,0),0)</f>
        <v>0</v>
      </c>
      <c r="X208" s="138">
        <f>IF('1.DATOS-PROD'!AG209="SI",VLOOKUP('1.DATOS-PROD'!AG$2,'1.PUNTOS'!$A$1:$B$63,2,0),0)</f>
        <v>0</v>
      </c>
      <c r="Y208" s="138">
        <f>IF('1.DATOS-PROD'!AH209="SI",VLOOKUP('1.DATOS-PROD'!AH$2,'1.PUNTOS'!$A$1:$B$63,2,0),0)</f>
        <v>0</v>
      </c>
      <c r="Z208" s="138">
        <f>IF('1.DATOS-PROD'!AI209="SI",VLOOKUP('1.DATOS-PROD'!AI$2,'1.PUNTOS'!$A$1:$B$63,2,0),0)</f>
        <v>0</v>
      </c>
      <c r="AA208" s="138">
        <f>IF('1.DATOS-PROD'!AJ209="SI",VLOOKUP('1.DATOS-PROD'!AJ$2,'1.PUNTOS'!$A$1:$B$63,2,0),0)</f>
        <v>0</v>
      </c>
      <c r="AB208" s="138">
        <f>IF('1.DATOS-PROD'!AK209="SI",VLOOKUP('1.DATOS-PROD'!AK$2,'1.PUNTOS'!$A$1:$B$63,2,0),0)</f>
        <v>0</v>
      </c>
      <c r="AC208" s="138">
        <f>IF('1.DATOS-PROD'!AL209="SI",VLOOKUP('1.DATOS-PROD'!AL$2,'1.PUNTOS'!$A$1:$B$63,2,0),0)</f>
        <v>0</v>
      </c>
      <c r="AD208" s="138">
        <f>IF('1.DATOS-PROD'!AM209="SI",VLOOKUP('1.DATOS-PROD'!AM$2,'1.PUNTOS'!$A$1:$B$63,2,0),0)</f>
        <v>0</v>
      </c>
      <c r="AE208" s="138">
        <f>IF('1.DATOS-PROD'!AN209="SI",VLOOKUP('1.DATOS-PROD'!AN$2,'1.PUNTOS'!$A$1:$B$63,2,0),0)</f>
        <v>0</v>
      </c>
      <c r="AF208" s="138">
        <f>IF('1.DATOS-PROD'!AO209="SI",VLOOKUP('1.DATOS-PROD'!AO$2,'1.PUNTOS'!$A$1:$B$63,2,0),0)</f>
        <v>0</v>
      </c>
      <c r="AG208" s="138">
        <f>IF('1.DATOS-PROD'!AP209="SI",VLOOKUP('1.DATOS-PROD'!AP$2,'1.PUNTOS'!$A$1:$B$63,2,0),0)</f>
        <v>0</v>
      </c>
      <c r="AH208" s="138">
        <f>IF('1.DATOS-PROD'!AQ209="SI",VLOOKUP('1.DATOS-PROD'!AQ$2,'1.PUNTOS'!$A$1:$B$63,2,0),0)</f>
        <v>0</v>
      </c>
      <c r="AI208" s="138">
        <f>IF('1.DATOS-PROD'!AR209="SI",VLOOKUP('1.DATOS-PROD'!AR$2,'1.PUNTOS'!$A$1:$B$63,2,0),0)</f>
        <v>0</v>
      </c>
      <c r="AJ208" s="138">
        <f>IF('1.DATOS-PROD'!AS209="SI",VLOOKUP('1.DATOS-PROD'!AS$2,'1.PUNTOS'!$A$1:$B$63,2,0),0)</f>
        <v>0</v>
      </c>
      <c r="AK208" s="138">
        <f>IF('1.DATOS-PROD'!AT209="SI",VLOOKUP('1.DATOS-PROD'!AT$2,'1.PUNTOS'!$A$1:$B$63,2,0),0)</f>
        <v>0</v>
      </c>
      <c r="AL208" s="138">
        <f>IF('1.DATOS-PROD'!AU209="SI",VLOOKUP('1.DATOS-PROD'!AU$2,'1.PUNTOS'!$A$1:$B$63,2,0),0)</f>
        <v>0</v>
      </c>
      <c r="AM208" s="138">
        <f>IF('1.DATOS-PROD'!AV209="SI",VLOOKUP('1.DATOS-PROD'!AV$2,'1.PUNTOS'!$A$1:$B$63,2,0),0)</f>
        <v>0</v>
      </c>
      <c r="AN208" s="138">
        <f>IF('1.DATOS-PROD'!AW209="SI",VLOOKUP('1.DATOS-PROD'!AW$2,'1.PUNTOS'!$A$1:$B$63,2,0),0)</f>
        <v>0</v>
      </c>
      <c r="AO208" s="138">
        <f>IF('1.DATOS-PROD'!AX209="SI",VLOOKUP('1.DATOS-PROD'!AX$2,'1.PUNTOS'!$A$1:$B$63,2,0),0)</f>
        <v>0</v>
      </c>
      <c r="AP208" s="138">
        <f>IF('1.DATOS-PROD'!AY209="SI",VLOOKUP('1.DATOS-PROD'!AY$2,'1.PUNTOS'!$A$1:$B$63,2,0),0)</f>
        <v>0</v>
      </c>
      <c r="AQ208" s="138">
        <f>IF('1.DATOS-PROD'!AZ209="SI",VLOOKUP('1.DATOS-PROD'!AZ$2,'1.PUNTOS'!$A$1:$B$63,2,0),0)</f>
        <v>0</v>
      </c>
      <c r="AR208" s="138">
        <f>IF('1.DATOS-PROD'!BA209="SI",VLOOKUP('1.DATOS-PROD'!BA$2,'1.PUNTOS'!$A$1:$B$63,2,0),0)</f>
        <v>0</v>
      </c>
      <c r="AS208" s="138">
        <f>IF('1.DATOS-PROD'!BB209="SI",VLOOKUP('1.DATOS-PROD'!BB$2,'1.PUNTOS'!$A$1:$B$63,2,0),0)</f>
        <v>0</v>
      </c>
      <c r="AT208" s="138">
        <f>IF('1.DATOS-PROD'!BC209="SI",VLOOKUP('1.DATOS-PROD'!BC$2,'1.PUNTOS'!$A$1:$B$63,2,0),0)</f>
        <v>0</v>
      </c>
      <c r="AU208" s="138">
        <f>IF('1.DATOS-PROD'!BD209="SI",VLOOKUP('1.DATOS-PROD'!BD$2,'1.PUNTOS'!$A$1:$B$63,2,0),0)</f>
        <v>0</v>
      </c>
      <c r="AV208" s="138">
        <f>IF('1.DATOS-PROD'!BE209="SI",VLOOKUP('1.DATOS-PROD'!BE$2,'1.PUNTOS'!$A$1:$B$63,2,0),0)</f>
        <v>0</v>
      </c>
      <c r="AW208" s="138">
        <f>IF('1.DATOS-PROD'!BF209="SI",VLOOKUP('1.DATOS-PROD'!BF$2,'1.PUNTOS'!$A$1:$B$63,2,0),0)</f>
        <v>0</v>
      </c>
      <c r="AX208" s="138">
        <f>IF('1.DATOS-PROD'!BG209="SI",VLOOKUP('1.DATOS-PROD'!BG$2,'1.PUNTOS'!$A$1:$B$63,2,0),0)</f>
        <v>0</v>
      </c>
      <c r="AY208" s="138">
        <f>IF('1.DATOS-PROD'!BH209="SI",VLOOKUP('1.DATOS-PROD'!BH$2,'1.PUNTOS'!$A$1:$B$63,2,0),0)</f>
        <v>0</v>
      </c>
      <c r="AZ208" s="138">
        <f>IF('1.DATOS-PROD'!BI209="SI",VLOOKUP('1.DATOS-PROD'!BI$2,'1.PUNTOS'!$A$1:$B$63,2,0),0)</f>
        <v>0</v>
      </c>
      <c r="BA208" s="138">
        <f>IF('1.DATOS-PROD'!BJ209="SI",VLOOKUP('1.DATOS-PROD'!BJ$2,'1.PUNTOS'!$A$1:$B$63,2,0),0)</f>
        <v>0</v>
      </c>
      <c r="BB208" s="138">
        <f>IF('1.DATOS-PROD'!BK209="SI",VLOOKUP('1.DATOS-PROD'!BK$2,'1.PUNTOS'!$A$1:$B$63,2,0),0)</f>
        <v>0</v>
      </c>
      <c r="BC208" s="138">
        <f>IF('1.DATOS-PROD'!BL209="SI",VLOOKUP('1.DATOS-PROD'!BL$2,'1.PUNTOS'!$A$1:$B$63,2,0),0)</f>
        <v>0</v>
      </c>
      <c r="BD208" s="138">
        <f>IF('1.DATOS-PROD'!BM209="SI",VLOOKUP('1.DATOS-PROD'!BM$2,'1.PUNTOS'!$A$1:$B$63,2,0),0)</f>
        <v>0</v>
      </c>
      <c r="BE208" s="138">
        <f>IF('1.DATOS-PROD'!BN209="SI",VLOOKUP('1.DATOS-PROD'!BN$2,'1.PUNTOS'!$A$1:$B$63,2,0),0)</f>
        <v>0</v>
      </c>
      <c r="BF208" s="138">
        <f>IF('1.DATOS-PROD'!BO209="SI",VLOOKUP('1.DATOS-PROD'!BO$2,'1.PUNTOS'!$A$1:$B$63,2,0),0)</f>
        <v>0</v>
      </c>
      <c r="BG208" s="138">
        <f>IF('1.DATOS-PROD'!BP209="SI",VLOOKUP('1.DATOS-PROD'!BP$2,'1.PUNTOS'!$A$1:$B$63,2,0),0)</f>
        <v>0</v>
      </c>
      <c r="BH208" s="138">
        <f>IF('1.DATOS-PROD'!BQ209="SI",VLOOKUP('1.DATOS-PROD'!BQ$2,'1.PUNTOS'!$A$1:$B$63,2,0),0)</f>
        <v>0</v>
      </c>
      <c r="BI208" s="138">
        <f>IF('1.DATOS-PROD'!BR209="SI",VLOOKUP('1.DATOS-PROD'!BR$2,'1.PUNTOS'!$A$1:$B$63,2,0),0)</f>
        <v>0</v>
      </c>
      <c r="BJ208" s="138">
        <f>IF('1.DATOS-PROD'!BS209="SI",VLOOKUP('1.DATOS-PROD'!BS$2,'1.PUNTOS'!$A$1:$B$63,2,0),0)</f>
        <v>0</v>
      </c>
      <c r="BK208" s="138">
        <f>IF('1.DATOS-PROD'!BT209="SI",VLOOKUP('1.DATOS-PROD'!BT$2,'1.PUNTOS'!$A$1:$B$63,2,0),0)</f>
        <v>0</v>
      </c>
    </row>
    <row r="209" spans="1:63" x14ac:dyDescent="0.25">
      <c r="A209">
        <f>'0.Consolidado general'!$A210</f>
        <v>0</v>
      </c>
      <c r="B209" s="138">
        <f>IF('1.DATOS-PROD'!K210="SI",VLOOKUP('1.DATOS-PROD'!K$2,'1.PUNTOS'!$A$1:$B$63,2,0),0)</f>
        <v>0</v>
      </c>
      <c r="C209" s="138">
        <f>IF('1.DATOS-PROD'!L210="SI",VLOOKUP('1.DATOS-PROD'!L$2,'1.PUNTOS'!$A$1:$B$63,2,0),0)</f>
        <v>0</v>
      </c>
      <c r="D209" s="138">
        <f>IF('1.DATOS-PROD'!M210="SI",VLOOKUP('1.DATOS-PROD'!M$2,'1.PUNTOS'!$A$1:$B$63,2,0),0)</f>
        <v>0</v>
      </c>
      <c r="E209" s="138">
        <f>IF('1.DATOS-PROD'!N210="SI",VLOOKUP('1.DATOS-PROD'!N$2,'1.PUNTOS'!$A$1:$B$63,2,0),0)</f>
        <v>0</v>
      </c>
      <c r="F209" s="138">
        <f>IF('1.DATOS-PROD'!O210="SI",VLOOKUP('1.DATOS-PROD'!O$2,'1.PUNTOS'!$A$1:$B$63,2,0),0)</f>
        <v>0</v>
      </c>
      <c r="G209" s="138">
        <f>IF('1.DATOS-PROD'!P210="SI",VLOOKUP('1.DATOS-PROD'!P$2,'1.PUNTOS'!$A$1:$B$63,2,0),0)</f>
        <v>0</v>
      </c>
      <c r="H209" s="138">
        <f>IF('1.DATOS-PROD'!Q210="SI",VLOOKUP('1.DATOS-PROD'!Q$2,'1.PUNTOS'!$A$1:$B$63,2,0),0)</f>
        <v>0</v>
      </c>
      <c r="I209" s="138">
        <f>IF('1.DATOS-PROD'!R210="SI",VLOOKUP('1.DATOS-PROD'!R$2,'1.PUNTOS'!$A$1:$B$63,2,0),0)</f>
        <v>0</v>
      </c>
      <c r="J209" s="138">
        <f>IF('1.DATOS-PROD'!S210="SI",VLOOKUP('1.DATOS-PROD'!S$2,'1.PUNTOS'!$A$1:$B$63,2,0),0)</f>
        <v>0</v>
      </c>
      <c r="K209" s="138">
        <f>IF('1.DATOS-PROD'!T210="SI",VLOOKUP('1.DATOS-PROD'!T$2,'1.PUNTOS'!$A$1:$B$63,2,0),0)</f>
        <v>0</v>
      </c>
      <c r="L209" s="138">
        <f>IF('1.DATOS-PROD'!U210="SI",VLOOKUP('1.DATOS-PROD'!U$2,'1.PUNTOS'!$A$1:$B$63,2,0),0)</f>
        <v>0</v>
      </c>
      <c r="M209" s="138">
        <f>IF('1.DATOS-PROD'!V210="SI",VLOOKUP('1.DATOS-PROD'!V$2,'1.PUNTOS'!$A$1:$B$63,2,0),0)</f>
        <v>0</v>
      </c>
      <c r="N209" s="138">
        <f>IF('1.DATOS-PROD'!W210="SI",VLOOKUP('1.DATOS-PROD'!W$2,'1.PUNTOS'!$A$1:$B$63,2,0),0)</f>
        <v>0</v>
      </c>
      <c r="O209" s="138">
        <f>IF('1.DATOS-PROD'!X210="SI",VLOOKUP('1.DATOS-PROD'!X$2,'1.PUNTOS'!$A$1:$B$63,2,0),0)</f>
        <v>0</v>
      </c>
      <c r="P209" s="138">
        <f>IF('1.DATOS-PROD'!Y210="SI",VLOOKUP('1.DATOS-PROD'!Y$2,'1.PUNTOS'!$A$1:$B$63,2,0),0)</f>
        <v>0</v>
      </c>
      <c r="Q209" s="138">
        <f>IF('1.DATOS-PROD'!Z210="SI",VLOOKUP('1.DATOS-PROD'!Z$2,'1.PUNTOS'!$A$1:$B$63,2,0),0)</f>
        <v>0</v>
      </c>
      <c r="R209" s="138">
        <f>IF('1.DATOS-PROD'!AA210="SI",VLOOKUP('1.DATOS-PROD'!AA$2,'1.PUNTOS'!$A$1:$B$63,2,0),0)</f>
        <v>0</v>
      </c>
      <c r="S209" s="138">
        <f>IF('1.DATOS-PROD'!AB210="SI",VLOOKUP('1.DATOS-PROD'!AB$2,'1.PUNTOS'!$A$1:$B$63,2,0),0)</f>
        <v>0</v>
      </c>
      <c r="T209" s="138">
        <f>IF('1.DATOS-PROD'!AC210="SI",VLOOKUP('1.DATOS-PROD'!AC$2,'1.PUNTOS'!$A$1:$B$63,2,0),0)</f>
        <v>0</v>
      </c>
      <c r="U209" s="138">
        <f>IF('1.DATOS-PROD'!AD210="SI",VLOOKUP('1.DATOS-PROD'!AD$2,'1.PUNTOS'!$A$1:$B$63,2,0),0)</f>
        <v>0</v>
      </c>
      <c r="V209" s="138">
        <f>IF('1.DATOS-PROD'!AE210="SI",VLOOKUP('1.DATOS-PROD'!AE$2,'1.PUNTOS'!$A$1:$B$63,2,0),0)</f>
        <v>0</v>
      </c>
      <c r="W209" s="138">
        <f>IF('1.DATOS-PROD'!AF210="SI",VLOOKUP('1.DATOS-PROD'!AF$2,'1.PUNTOS'!$A$1:$B$63,2,0),0)</f>
        <v>0</v>
      </c>
      <c r="X209" s="138">
        <f>IF('1.DATOS-PROD'!AG210="SI",VLOOKUP('1.DATOS-PROD'!AG$2,'1.PUNTOS'!$A$1:$B$63,2,0),0)</f>
        <v>0</v>
      </c>
      <c r="Y209" s="138">
        <f>IF('1.DATOS-PROD'!AH210="SI",VLOOKUP('1.DATOS-PROD'!AH$2,'1.PUNTOS'!$A$1:$B$63,2,0),0)</f>
        <v>0</v>
      </c>
      <c r="Z209" s="138">
        <f>IF('1.DATOS-PROD'!AI210="SI",VLOOKUP('1.DATOS-PROD'!AI$2,'1.PUNTOS'!$A$1:$B$63,2,0),0)</f>
        <v>0</v>
      </c>
      <c r="AA209" s="138">
        <f>IF('1.DATOS-PROD'!AJ210="SI",VLOOKUP('1.DATOS-PROD'!AJ$2,'1.PUNTOS'!$A$1:$B$63,2,0),0)</f>
        <v>0</v>
      </c>
      <c r="AB209" s="138">
        <f>IF('1.DATOS-PROD'!AK210="SI",VLOOKUP('1.DATOS-PROD'!AK$2,'1.PUNTOS'!$A$1:$B$63,2,0),0)</f>
        <v>0</v>
      </c>
      <c r="AC209" s="138">
        <f>IF('1.DATOS-PROD'!AL210="SI",VLOOKUP('1.DATOS-PROD'!AL$2,'1.PUNTOS'!$A$1:$B$63,2,0),0)</f>
        <v>0</v>
      </c>
      <c r="AD209" s="138">
        <f>IF('1.DATOS-PROD'!AM210="SI",VLOOKUP('1.DATOS-PROD'!AM$2,'1.PUNTOS'!$A$1:$B$63,2,0),0)</f>
        <v>0</v>
      </c>
      <c r="AE209" s="138">
        <f>IF('1.DATOS-PROD'!AN210="SI",VLOOKUP('1.DATOS-PROD'!AN$2,'1.PUNTOS'!$A$1:$B$63,2,0),0)</f>
        <v>0</v>
      </c>
      <c r="AF209" s="138">
        <f>IF('1.DATOS-PROD'!AO210="SI",VLOOKUP('1.DATOS-PROD'!AO$2,'1.PUNTOS'!$A$1:$B$63,2,0),0)</f>
        <v>0</v>
      </c>
      <c r="AG209" s="138">
        <f>IF('1.DATOS-PROD'!AP210="SI",VLOOKUP('1.DATOS-PROD'!AP$2,'1.PUNTOS'!$A$1:$B$63,2,0),0)</f>
        <v>0</v>
      </c>
      <c r="AH209" s="138">
        <f>IF('1.DATOS-PROD'!AQ210="SI",VLOOKUP('1.DATOS-PROD'!AQ$2,'1.PUNTOS'!$A$1:$B$63,2,0),0)</f>
        <v>0</v>
      </c>
      <c r="AI209" s="138">
        <f>IF('1.DATOS-PROD'!AR210="SI",VLOOKUP('1.DATOS-PROD'!AR$2,'1.PUNTOS'!$A$1:$B$63,2,0),0)</f>
        <v>0</v>
      </c>
      <c r="AJ209" s="138">
        <f>IF('1.DATOS-PROD'!AS210="SI",VLOOKUP('1.DATOS-PROD'!AS$2,'1.PUNTOS'!$A$1:$B$63,2,0),0)</f>
        <v>0</v>
      </c>
      <c r="AK209" s="138">
        <f>IF('1.DATOS-PROD'!AT210="SI",VLOOKUP('1.DATOS-PROD'!AT$2,'1.PUNTOS'!$A$1:$B$63,2,0),0)</f>
        <v>0</v>
      </c>
      <c r="AL209" s="138">
        <f>IF('1.DATOS-PROD'!AU210="SI",VLOOKUP('1.DATOS-PROD'!AU$2,'1.PUNTOS'!$A$1:$B$63,2,0),0)</f>
        <v>0</v>
      </c>
      <c r="AM209" s="138">
        <f>IF('1.DATOS-PROD'!AV210="SI",VLOOKUP('1.DATOS-PROD'!AV$2,'1.PUNTOS'!$A$1:$B$63,2,0),0)</f>
        <v>0</v>
      </c>
      <c r="AN209" s="138">
        <f>IF('1.DATOS-PROD'!AW210="SI",VLOOKUP('1.DATOS-PROD'!AW$2,'1.PUNTOS'!$A$1:$B$63,2,0),0)</f>
        <v>0</v>
      </c>
      <c r="AO209" s="138">
        <f>IF('1.DATOS-PROD'!AX210="SI",VLOOKUP('1.DATOS-PROD'!AX$2,'1.PUNTOS'!$A$1:$B$63,2,0),0)</f>
        <v>0</v>
      </c>
      <c r="AP209" s="138">
        <f>IF('1.DATOS-PROD'!AY210="SI",VLOOKUP('1.DATOS-PROD'!AY$2,'1.PUNTOS'!$A$1:$B$63,2,0),0)</f>
        <v>0</v>
      </c>
      <c r="AQ209" s="138">
        <f>IF('1.DATOS-PROD'!AZ210="SI",VLOOKUP('1.DATOS-PROD'!AZ$2,'1.PUNTOS'!$A$1:$B$63,2,0),0)</f>
        <v>0</v>
      </c>
      <c r="AR209" s="138">
        <f>IF('1.DATOS-PROD'!BA210="SI",VLOOKUP('1.DATOS-PROD'!BA$2,'1.PUNTOS'!$A$1:$B$63,2,0),0)</f>
        <v>0</v>
      </c>
      <c r="AS209" s="138">
        <f>IF('1.DATOS-PROD'!BB210="SI",VLOOKUP('1.DATOS-PROD'!BB$2,'1.PUNTOS'!$A$1:$B$63,2,0),0)</f>
        <v>0</v>
      </c>
      <c r="AT209" s="138">
        <f>IF('1.DATOS-PROD'!BC210="SI",VLOOKUP('1.DATOS-PROD'!BC$2,'1.PUNTOS'!$A$1:$B$63,2,0),0)</f>
        <v>0</v>
      </c>
      <c r="AU209" s="138">
        <f>IF('1.DATOS-PROD'!BD210="SI",VLOOKUP('1.DATOS-PROD'!BD$2,'1.PUNTOS'!$A$1:$B$63,2,0),0)</f>
        <v>0</v>
      </c>
      <c r="AV209" s="138">
        <f>IF('1.DATOS-PROD'!BE210="SI",VLOOKUP('1.DATOS-PROD'!BE$2,'1.PUNTOS'!$A$1:$B$63,2,0),0)</f>
        <v>0</v>
      </c>
      <c r="AW209" s="138">
        <f>IF('1.DATOS-PROD'!BF210="SI",VLOOKUP('1.DATOS-PROD'!BF$2,'1.PUNTOS'!$A$1:$B$63,2,0),0)</f>
        <v>0</v>
      </c>
      <c r="AX209" s="138">
        <f>IF('1.DATOS-PROD'!BG210="SI",VLOOKUP('1.DATOS-PROD'!BG$2,'1.PUNTOS'!$A$1:$B$63,2,0),0)</f>
        <v>0</v>
      </c>
      <c r="AY209" s="138">
        <f>IF('1.DATOS-PROD'!BH210="SI",VLOOKUP('1.DATOS-PROD'!BH$2,'1.PUNTOS'!$A$1:$B$63,2,0),0)</f>
        <v>0</v>
      </c>
      <c r="AZ209" s="138">
        <f>IF('1.DATOS-PROD'!BI210="SI",VLOOKUP('1.DATOS-PROD'!BI$2,'1.PUNTOS'!$A$1:$B$63,2,0),0)</f>
        <v>0</v>
      </c>
      <c r="BA209" s="138">
        <f>IF('1.DATOS-PROD'!BJ210="SI",VLOOKUP('1.DATOS-PROD'!BJ$2,'1.PUNTOS'!$A$1:$B$63,2,0),0)</f>
        <v>0</v>
      </c>
      <c r="BB209" s="138">
        <f>IF('1.DATOS-PROD'!BK210="SI",VLOOKUP('1.DATOS-PROD'!BK$2,'1.PUNTOS'!$A$1:$B$63,2,0),0)</f>
        <v>0</v>
      </c>
      <c r="BC209" s="138">
        <f>IF('1.DATOS-PROD'!BL210="SI",VLOOKUP('1.DATOS-PROD'!BL$2,'1.PUNTOS'!$A$1:$B$63,2,0),0)</f>
        <v>0</v>
      </c>
      <c r="BD209" s="138">
        <f>IF('1.DATOS-PROD'!BM210="SI",VLOOKUP('1.DATOS-PROD'!BM$2,'1.PUNTOS'!$A$1:$B$63,2,0),0)</f>
        <v>0</v>
      </c>
      <c r="BE209" s="138">
        <f>IF('1.DATOS-PROD'!BN210="SI",VLOOKUP('1.DATOS-PROD'!BN$2,'1.PUNTOS'!$A$1:$B$63,2,0),0)</f>
        <v>0</v>
      </c>
      <c r="BF209" s="138">
        <f>IF('1.DATOS-PROD'!BO210="SI",VLOOKUP('1.DATOS-PROD'!BO$2,'1.PUNTOS'!$A$1:$B$63,2,0),0)</f>
        <v>0</v>
      </c>
      <c r="BG209" s="138">
        <f>IF('1.DATOS-PROD'!BP210="SI",VLOOKUP('1.DATOS-PROD'!BP$2,'1.PUNTOS'!$A$1:$B$63,2,0),0)</f>
        <v>0</v>
      </c>
      <c r="BH209" s="138">
        <f>IF('1.DATOS-PROD'!BQ210="SI",VLOOKUP('1.DATOS-PROD'!BQ$2,'1.PUNTOS'!$A$1:$B$63,2,0),0)</f>
        <v>0</v>
      </c>
      <c r="BI209" s="138">
        <f>IF('1.DATOS-PROD'!BR210="SI",VLOOKUP('1.DATOS-PROD'!BR$2,'1.PUNTOS'!$A$1:$B$63,2,0),0)</f>
        <v>0</v>
      </c>
      <c r="BJ209" s="138">
        <f>IF('1.DATOS-PROD'!BS210="SI",VLOOKUP('1.DATOS-PROD'!BS$2,'1.PUNTOS'!$A$1:$B$63,2,0),0)</f>
        <v>0</v>
      </c>
      <c r="BK209" s="138">
        <f>IF('1.DATOS-PROD'!BT210="SI",VLOOKUP('1.DATOS-PROD'!BT$2,'1.PUNTOS'!$A$1:$B$63,2,0),0)</f>
        <v>0</v>
      </c>
    </row>
    <row r="210" spans="1:63" x14ac:dyDescent="0.25">
      <c r="A210">
        <f>'0.Consolidado general'!$A211</f>
        <v>0</v>
      </c>
      <c r="B210" s="138">
        <f>IF('1.DATOS-PROD'!K211="SI",VLOOKUP('1.DATOS-PROD'!K$2,'1.PUNTOS'!$A$1:$B$63,2,0),0)</f>
        <v>0</v>
      </c>
      <c r="C210" s="138">
        <f>IF('1.DATOS-PROD'!L211="SI",VLOOKUP('1.DATOS-PROD'!L$2,'1.PUNTOS'!$A$1:$B$63,2,0),0)</f>
        <v>0</v>
      </c>
      <c r="D210" s="138">
        <f>IF('1.DATOS-PROD'!M211="SI",VLOOKUP('1.DATOS-PROD'!M$2,'1.PUNTOS'!$A$1:$B$63,2,0),0)</f>
        <v>0</v>
      </c>
      <c r="E210" s="138">
        <f>IF('1.DATOS-PROD'!N211="SI",VLOOKUP('1.DATOS-PROD'!N$2,'1.PUNTOS'!$A$1:$B$63,2,0),0)</f>
        <v>0</v>
      </c>
      <c r="F210" s="138">
        <f>IF('1.DATOS-PROD'!O211="SI",VLOOKUP('1.DATOS-PROD'!O$2,'1.PUNTOS'!$A$1:$B$63,2,0),0)</f>
        <v>0</v>
      </c>
      <c r="G210" s="138">
        <f>IF('1.DATOS-PROD'!P211="SI",VLOOKUP('1.DATOS-PROD'!P$2,'1.PUNTOS'!$A$1:$B$63,2,0),0)</f>
        <v>0</v>
      </c>
      <c r="H210" s="138">
        <f>IF('1.DATOS-PROD'!Q211="SI",VLOOKUP('1.DATOS-PROD'!Q$2,'1.PUNTOS'!$A$1:$B$63,2,0),0)</f>
        <v>0</v>
      </c>
      <c r="I210" s="138">
        <f>IF('1.DATOS-PROD'!R211="SI",VLOOKUP('1.DATOS-PROD'!R$2,'1.PUNTOS'!$A$1:$B$63,2,0),0)</f>
        <v>0</v>
      </c>
      <c r="J210" s="138">
        <f>IF('1.DATOS-PROD'!S211="SI",VLOOKUP('1.DATOS-PROD'!S$2,'1.PUNTOS'!$A$1:$B$63,2,0),0)</f>
        <v>0</v>
      </c>
      <c r="K210" s="138">
        <f>IF('1.DATOS-PROD'!T211="SI",VLOOKUP('1.DATOS-PROD'!T$2,'1.PUNTOS'!$A$1:$B$63,2,0),0)</f>
        <v>0</v>
      </c>
      <c r="L210" s="138">
        <f>IF('1.DATOS-PROD'!U211="SI",VLOOKUP('1.DATOS-PROD'!U$2,'1.PUNTOS'!$A$1:$B$63,2,0),0)</f>
        <v>0</v>
      </c>
      <c r="M210" s="138">
        <f>IF('1.DATOS-PROD'!V211="SI",VLOOKUP('1.DATOS-PROD'!V$2,'1.PUNTOS'!$A$1:$B$63,2,0),0)</f>
        <v>0</v>
      </c>
      <c r="N210" s="138">
        <f>IF('1.DATOS-PROD'!W211="SI",VLOOKUP('1.DATOS-PROD'!W$2,'1.PUNTOS'!$A$1:$B$63,2,0),0)</f>
        <v>0</v>
      </c>
      <c r="O210" s="138">
        <f>IF('1.DATOS-PROD'!X211="SI",VLOOKUP('1.DATOS-PROD'!X$2,'1.PUNTOS'!$A$1:$B$63,2,0),0)</f>
        <v>0</v>
      </c>
      <c r="P210" s="138">
        <f>IF('1.DATOS-PROD'!Y211="SI",VLOOKUP('1.DATOS-PROD'!Y$2,'1.PUNTOS'!$A$1:$B$63,2,0),0)</f>
        <v>0</v>
      </c>
      <c r="Q210" s="138">
        <f>IF('1.DATOS-PROD'!Z211="SI",VLOOKUP('1.DATOS-PROD'!Z$2,'1.PUNTOS'!$A$1:$B$63,2,0),0)</f>
        <v>0</v>
      </c>
      <c r="R210" s="138">
        <f>IF('1.DATOS-PROD'!AA211="SI",VLOOKUP('1.DATOS-PROD'!AA$2,'1.PUNTOS'!$A$1:$B$63,2,0),0)</f>
        <v>0</v>
      </c>
      <c r="S210" s="138">
        <f>IF('1.DATOS-PROD'!AB211="SI",VLOOKUP('1.DATOS-PROD'!AB$2,'1.PUNTOS'!$A$1:$B$63,2,0),0)</f>
        <v>0</v>
      </c>
      <c r="T210" s="138">
        <f>IF('1.DATOS-PROD'!AC211="SI",VLOOKUP('1.DATOS-PROD'!AC$2,'1.PUNTOS'!$A$1:$B$63,2,0),0)</f>
        <v>0</v>
      </c>
      <c r="U210" s="138">
        <f>IF('1.DATOS-PROD'!AD211="SI",VLOOKUP('1.DATOS-PROD'!AD$2,'1.PUNTOS'!$A$1:$B$63,2,0),0)</f>
        <v>0</v>
      </c>
      <c r="V210" s="138">
        <f>IF('1.DATOS-PROD'!AE211="SI",VLOOKUP('1.DATOS-PROD'!AE$2,'1.PUNTOS'!$A$1:$B$63,2,0),0)</f>
        <v>0</v>
      </c>
      <c r="W210" s="138">
        <f>IF('1.DATOS-PROD'!AF211="SI",VLOOKUP('1.DATOS-PROD'!AF$2,'1.PUNTOS'!$A$1:$B$63,2,0),0)</f>
        <v>0</v>
      </c>
      <c r="X210" s="138">
        <f>IF('1.DATOS-PROD'!AG211="SI",VLOOKUP('1.DATOS-PROD'!AG$2,'1.PUNTOS'!$A$1:$B$63,2,0),0)</f>
        <v>0</v>
      </c>
      <c r="Y210" s="138">
        <f>IF('1.DATOS-PROD'!AH211="SI",VLOOKUP('1.DATOS-PROD'!AH$2,'1.PUNTOS'!$A$1:$B$63,2,0),0)</f>
        <v>0</v>
      </c>
      <c r="Z210" s="138">
        <f>IF('1.DATOS-PROD'!AI211="SI",VLOOKUP('1.DATOS-PROD'!AI$2,'1.PUNTOS'!$A$1:$B$63,2,0),0)</f>
        <v>0</v>
      </c>
      <c r="AA210" s="138">
        <f>IF('1.DATOS-PROD'!AJ211="SI",VLOOKUP('1.DATOS-PROD'!AJ$2,'1.PUNTOS'!$A$1:$B$63,2,0),0)</f>
        <v>0</v>
      </c>
      <c r="AB210" s="138">
        <f>IF('1.DATOS-PROD'!AK211="SI",VLOOKUP('1.DATOS-PROD'!AK$2,'1.PUNTOS'!$A$1:$B$63,2,0),0)</f>
        <v>0</v>
      </c>
      <c r="AC210" s="138">
        <f>IF('1.DATOS-PROD'!AL211="SI",VLOOKUP('1.DATOS-PROD'!AL$2,'1.PUNTOS'!$A$1:$B$63,2,0),0)</f>
        <v>0</v>
      </c>
      <c r="AD210" s="138">
        <f>IF('1.DATOS-PROD'!AM211="SI",VLOOKUP('1.DATOS-PROD'!AM$2,'1.PUNTOS'!$A$1:$B$63,2,0),0)</f>
        <v>0</v>
      </c>
      <c r="AE210" s="138">
        <f>IF('1.DATOS-PROD'!AN211="SI",VLOOKUP('1.DATOS-PROD'!AN$2,'1.PUNTOS'!$A$1:$B$63,2,0),0)</f>
        <v>0</v>
      </c>
      <c r="AF210" s="138">
        <f>IF('1.DATOS-PROD'!AO211="SI",VLOOKUP('1.DATOS-PROD'!AO$2,'1.PUNTOS'!$A$1:$B$63,2,0),0)</f>
        <v>0</v>
      </c>
      <c r="AG210" s="138">
        <f>IF('1.DATOS-PROD'!AP211="SI",VLOOKUP('1.DATOS-PROD'!AP$2,'1.PUNTOS'!$A$1:$B$63,2,0),0)</f>
        <v>0</v>
      </c>
      <c r="AH210" s="138">
        <f>IF('1.DATOS-PROD'!AQ211="SI",VLOOKUP('1.DATOS-PROD'!AQ$2,'1.PUNTOS'!$A$1:$B$63,2,0),0)</f>
        <v>0</v>
      </c>
      <c r="AI210" s="138">
        <f>IF('1.DATOS-PROD'!AR211="SI",VLOOKUP('1.DATOS-PROD'!AR$2,'1.PUNTOS'!$A$1:$B$63,2,0),0)</f>
        <v>0</v>
      </c>
      <c r="AJ210" s="138">
        <f>IF('1.DATOS-PROD'!AS211="SI",VLOOKUP('1.DATOS-PROD'!AS$2,'1.PUNTOS'!$A$1:$B$63,2,0),0)</f>
        <v>0</v>
      </c>
      <c r="AK210" s="138">
        <f>IF('1.DATOS-PROD'!AT211="SI",VLOOKUP('1.DATOS-PROD'!AT$2,'1.PUNTOS'!$A$1:$B$63,2,0),0)</f>
        <v>0</v>
      </c>
      <c r="AL210" s="138">
        <f>IF('1.DATOS-PROD'!AU211="SI",VLOOKUP('1.DATOS-PROD'!AU$2,'1.PUNTOS'!$A$1:$B$63,2,0),0)</f>
        <v>0</v>
      </c>
      <c r="AM210" s="138">
        <f>IF('1.DATOS-PROD'!AV211="SI",VLOOKUP('1.DATOS-PROD'!AV$2,'1.PUNTOS'!$A$1:$B$63,2,0),0)</f>
        <v>0</v>
      </c>
      <c r="AN210" s="138">
        <f>IF('1.DATOS-PROD'!AW211="SI",VLOOKUP('1.DATOS-PROD'!AW$2,'1.PUNTOS'!$A$1:$B$63,2,0),0)</f>
        <v>0</v>
      </c>
      <c r="AO210" s="138">
        <f>IF('1.DATOS-PROD'!AX211="SI",VLOOKUP('1.DATOS-PROD'!AX$2,'1.PUNTOS'!$A$1:$B$63,2,0),0)</f>
        <v>0</v>
      </c>
      <c r="AP210" s="138">
        <f>IF('1.DATOS-PROD'!AY211="SI",VLOOKUP('1.DATOS-PROD'!AY$2,'1.PUNTOS'!$A$1:$B$63,2,0),0)</f>
        <v>0</v>
      </c>
      <c r="AQ210" s="138">
        <f>IF('1.DATOS-PROD'!AZ211="SI",VLOOKUP('1.DATOS-PROD'!AZ$2,'1.PUNTOS'!$A$1:$B$63,2,0),0)</f>
        <v>0</v>
      </c>
      <c r="AR210" s="138">
        <f>IF('1.DATOS-PROD'!BA211="SI",VLOOKUP('1.DATOS-PROD'!BA$2,'1.PUNTOS'!$A$1:$B$63,2,0),0)</f>
        <v>0</v>
      </c>
      <c r="AS210" s="138">
        <f>IF('1.DATOS-PROD'!BB211="SI",VLOOKUP('1.DATOS-PROD'!BB$2,'1.PUNTOS'!$A$1:$B$63,2,0),0)</f>
        <v>0</v>
      </c>
      <c r="AT210" s="138">
        <f>IF('1.DATOS-PROD'!BC211="SI",VLOOKUP('1.DATOS-PROD'!BC$2,'1.PUNTOS'!$A$1:$B$63,2,0),0)</f>
        <v>0</v>
      </c>
      <c r="AU210" s="138">
        <f>IF('1.DATOS-PROD'!BD211="SI",VLOOKUP('1.DATOS-PROD'!BD$2,'1.PUNTOS'!$A$1:$B$63,2,0),0)</f>
        <v>0</v>
      </c>
      <c r="AV210" s="138">
        <f>IF('1.DATOS-PROD'!BE211="SI",VLOOKUP('1.DATOS-PROD'!BE$2,'1.PUNTOS'!$A$1:$B$63,2,0),0)</f>
        <v>0</v>
      </c>
      <c r="AW210" s="138">
        <f>IF('1.DATOS-PROD'!BF211="SI",VLOOKUP('1.DATOS-PROD'!BF$2,'1.PUNTOS'!$A$1:$B$63,2,0),0)</f>
        <v>0</v>
      </c>
      <c r="AX210" s="138">
        <f>IF('1.DATOS-PROD'!BG211="SI",VLOOKUP('1.DATOS-PROD'!BG$2,'1.PUNTOS'!$A$1:$B$63,2,0),0)</f>
        <v>0</v>
      </c>
      <c r="AY210" s="138">
        <f>IF('1.DATOS-PROD'!BH211="SI",VLOOKUP('1.DATOS-PROD'!BH$2,'1.PUNTOS'!$A$1:$B$63,2,0),0)</f>
        <v>0</v>
      </c>
      <c r="AZ210" s="138">
        <f>IF('1.DATOS-PROD'!BI211="SI",VLOOKUP('1.DATOS-PROD'!BI$2,'1.PUNTOS'!$A$1:$B$63,2,0),0)</f>
        <v>0</v>
      </c>
      <c r="BA210" s="138">
        <f>IF('1.DATOS-PROD'!BJ211="SI",VLOOKUP('1.DATOS-PROD'!BJ$2,'1.PUNTOS'!$A$1:$B$63,2,0),0)</f>
        <v>0</v>
      </c>
      <c r="BB210" s="138">
        <f>IF('1.DATOS-PROD'!BK211="SI",VLOOKUP('1.DATOS-PROD'!BK$2,'1.PUNTOS'!$A$1:$B$63,2,0),0)</f>
        <v>0</v>
      </c>
      <c r="BC210" s="138">
        <f>IF('1.DATOS-PROD'!BL211="SI",VLOOKUP('1.DATOS-PROD'!BL$2,'1.PUNTOS'!$A$1:$B$63,2,0),0)</f>
        <v>0</v>
      </c>
      <c r="BD210" s="138">
        <f>IF('1.DATOS-PROD'!BM211="SI",VLOOKUP('1.DATOS-PROD'!BM$2,'1.PUNTOS'!$A$1:$B$63,2,0),0)</f>
        <v>0</v>
      </c>
      <c r="BE210" s="138">
        <f>IF('1.DATOS-PROD'!BN211="SI",VLOOKUP('1.DATOS-PROD'!BN$2,'1.PUNTOS'!$A$1:$B$63,2,0),0)</f>
        <v>0</v>
      </c>
      <c r="BF210" s="138">
        <f>IF('1.DATOS-PROD'!BO211="SI",VLOOKUP('1.DATOS-PROD'!BO$2,'1.PUNTOS'!$A$1:$B$63,2,0),0)</f>
        <v>0</v>
      </c>
      <c r="BG210" s="138">
        <f>IF('1.DATOS-PROD'!BP211="SI",VLOOKUP('1.DATOS-PROD'!BP$2,'1.PUNTOS'!$A$1:$B$63,2,0),0)</f>
        <v>0</v>
      </c>
      <c r="BH210" s="138">
        <f>IF('1.DATOS-PROD'!BQ211="SI",VLOOKUP('1.DATOS-PROD'!BQ$2,'1.PUNTOS'!$A$1:$B$63,2,0),0)</f>
        <v>0</v>
      </c>
      <c r="BI210" s="138">
        <f>IF('1.DATOS-PROD'!BR211="SI",VLOOKUP('1.DATOS-PROD'!BR$2,'1.PUNTOS'!$A$1:$B$63,2,0),0)</f>
        <v>0</v>
      </c>
      <c r="BJ210" s="138">
        <f>IF('1.DATOS-PROD'!BS211="SI",VLOOKUP('1.DATOS-PROD'!BS$2,'1.PUNTOS'!$A$1:$B$63,2,0),0)</f>
        <v>0</v>
      </c>
      <c r="BK210" s="138">
        <f>IF('1.DATOS-PROD'!BT211="SI",VLOOKUP('1.DATOS-PROD'!BT$2,'1.PUNTOS'!$A$1:$B$63,2,0),0)</f>
        <v>0</v>
      </c>
    </row>
    <row r="211" spans="1:63" x14ac:dyDescent="0.25">
      <c r="A211">
        <f>'0.Consolidado general'!$A212</f>
        <v>0</v>
      </c>
      <c r="B211" s="138">
        <f>IF('1.DATOS-PROD'!K212="SI",VLOOKUP('1.DATOS-PROD'!K$2,'1.PUNTOS'!$A$1:$B$63,2,0),0)</f>
        <v>0</v>
      </c>
      <c r="C211" s="138">
        <f>IF('1.DATOS-PROD'!L212="SI",VLOOKUP('1.DATOS-PROD'!L$2,'1.PUNTOS'!$A$1:$B$63,2,0),0)</f>
        <v>0</v>
      </c>
      <c r="D211" s="138">
        <f>IF('1.DATOS-PROD'!M212="SI",VLOOKUP('1.DATOS-PROD'!M$2,'1.PUNTOS'!$A$1:$B$63,2,0),0)</f>
        <v>0</v>
      </c>
      <c r="E211" s="138">
        <f>IF('1.DATOS-PROD'!N212="SI",VLOOKUP('1.DATOS-PROD'!N$2,'1.PUNTOS'!$A$1:$B$63,2,0),0)</f>
        <v>0</v>
      </c>
      <c r="F211" s="138">
        <f>IF('1.DATOS-PROD'!O212="SI",VLOOKUP('1.DATOS-PROD'!O$2,'1.PUNTOS'!$A$1:$B$63,2,0),0)</f>
        <v>0</v>
      </c>
      <c r="G211" s="138">
        <f>IF('1.DATOS-PROD'!P212="SI",VLOOKUP('1.DATOS-PROD'!P$2,'1.PUNTOS'!$A$1:$B$63,2,0),0)</f>
        <v>0</v>
      </c>
      <c r="H211" s="138">
        <f>IF('1.DATOS-PROD'!Q212="SI",VLOOKUP('1.DATOS-PROD'!Q$2,'1.PUNTOS'!$A$1:$B$63,2,0),0)</f>
        <v>0</v>
      </c>
      <c r="I211" s="138">
        <f>IF('1.DATOS-PROD'!R212="SI",VLOOKUP('1.DATOS-PROD'!R$2,'1.PUNTOS'!$A$1:$B$63,2,0),0)</f>
        <v>0</v>
      </c>
      <c r="J211" s="138">
        <f>IF('1.DATOS-PROD'!S212="SI",VLOOKUP('1.DATOS-PROD'!S$2,'1.PUNTOS'!$A$1:$B$63,2,0),0)</f>
        <v>0</v>
      </c>
      <c r="K211" s="138">
        <f>IF('1.DATOS-PROD'!T212="SI",VLOOKUP('1.DATOS-PROD'!T$2,'1.PUNTOS'!$A$1:$B$63,2,0),0)</f>
        <v>0</v>
      </c>
      <c r="L211" s="138">
        <f>IF('1.DATOS-PROD'!U212="SI",VLOOKUP('1.DATOS-PROD'!U$2,'1.PUNTOS'!$A$1:$B$63,2,0),0)</f>
        <v>0</v>
      </c>
      <c r="M211" s="138">
        <f>IF('1.DATOS-PROD'!V212="SI",VLOOKUP('1.DATOS-PROD'!V$2,'1.PUNTOS'!$A$1:$B$63,2,0),0)</f>
        <v>0</v>
      </c>
      <c r="N211" s="138">
        <f>IF('1.DATOS-PROD'!W212="SI",VLOOKUP('1.DATOS-PROD'!W$2,'1.PUNTOS'!$A$1:$B$63,2,0),0)</f>
        <v>0</v>
      </c>
      <c r="O211" s="138">
        <f>IF('1.DATOS-PROD'!X212="SI",VLOOKUP('1.DATOS-PROD'!X$2,'1.PUNTOS'!$A$1:$B$63,2,0),0)</f>
        <v>0</v>
      </c>
      <c r="P211" s="138">
        <f>IF('1.DATOS-PROD'!Y212="SI",VLOOKUP('1.DATOS-PROD'!Y$2,'1.PUNTOS'!$A$1:$B$63,2,0),0)</f>
        <v>0</v>
      </c>
      <c r="Q211" s="138">
        <f>IF('1.DATOS-PROD'!Z212="SI",VLOOKUP('1.DATOS-PROD'!Z$2,'1.PUNTOS'!$A$1:$B$63,2,0),0)</f>
        <v>0</v>
      </c>
      <c r="R211" s="138">
        <f>IF('1.DATOS-PROD'!AA212="SI",VLOOKUP('1.DATOS-PROD'!AA$2,'1.PUNTOS'!$A$1:$B$63,2,0),0)</f>
        <v>0</v>
      </c>
      <c r="S211" s="138">
        <f>IF('1.DATOS-PROD'!AB212="SI",VLOOKUP('1.DATOS-PROD'!AB$2,'1.PUNTOS'!$A$1:$B$63,2,0),0)</f>
        <v>0</v>
      </c>
      <c r="T211" s="138">
        <f>IF('1.DATOS-PROD'!AC212="SI",VLOOKUP('1.DATOS-PROD'!AC$2,'1.PUNTOS'!$A$1:$B$63,2,0),0)</f>
        <v>0</v>
      </c>
      <c r="U211" s="138">
        <f>IF('1.DATOS-PROD'!AD212="SI",VLOOKUP('1.DATOS-PROD'!AD$2,'1.PUNTOS'!$A$1:$B$63,2,0),0)</f>
        <v>0</v>
      </c>
      <c r="V211" s="138">
        <f>IF('1.DATOS-PROD'!AE212="SI",VLOOKUP('1.DATOS-PROD'!AE$2,'1.PUNTOS'!$A$1:$B$63,2,0),0)</f>
        <v>0</v>
      </c>
      <c r="W211" s="138">
        <f>IF('1.DATOS-PROD'!AF212="SI",VLOOKUP('1.DATOS-PROD'!AF$2,'1.PUNTOS'!$A$1:$B$63,2,0),0)</f>
        <v>0</v>
      </c>
      <c r="X211" s="138">
        <f>IF('1.DATOS-PROD'!AG212="SI",VLOOKUP('1.DATOS-PROD'!AG$2,'1.PUNTOS'!$A$1:$B$63,2,0),0)</f>
        <v>0</v>
      </c>
      <c r="Y211" s="138">
        <f>IF('1.DATOS-PROD'!AH212="SI",VLOOKUP('1.DATOS-PROD'!AH$2,'1.PUNTOS'!$A$1:$B$63,2,0),0)</f>
        <v>0</v>
      </c>
      <c r="Z211" s="138">
        <f>IF('1.DATOS-PROD'!AI212="SI",VLOOKUP('1.DATOS-PROD'!AI$2,'1.PUNTOS'!$A$1:$B$63,2,0),0)</f>
        <v>0</v>
      </c>
      <c r="AA211" s="138">
        <f>IF('1.DATOS-PROD'!AJ212="SI",VLOOKUP('1.DATOS-PROD'!AJ$2,'1.PUNTOS'!$A$1:$B$63,2,0),0)</f>
        <v>0</v>
      </c>
      <c r="AB211" s="138">
        <f>IF('1.DATOS-PROD'!AK212="SI",VLOOKUP('1.DATOS-PROD'!AK$2,'1.PUNTOS'!$A$1:$B$63,2,0),0)</f>
        <v>0</v>
      </c>
      <c r="AC211" s="138">
        <f>IF('1.DATOS-PROD'!AL212="SI",VLOOKUP('1.DATOS-PROD'!AL$2,'1.PUNTOS'!$A$1:$B$63,2,0),0)</f>
        <v>0</v>
      </c>
      <c r="AD211" s="138">
        <f>IF('1.DATOS-PROD'!AM212="SI",VLOOKUP('1.DATOS-PROD'!AM$2,'1.PUNTOS'!$A$1:$B$63,2,0),0)</f>
        <v>0</v>
      </c>
      <c r="AE211" s="138">
        <f>IF('1.DATOS-PROD'!AN212="SI",VLOOKUP('1.DATOS-PROD'!AN$2,'1.PUNTOS'!$A$1:$B$63,2,0),0)</f>
        <v>0</v>
      </c>
      <c r="AF211" s="138">
        <f>IF('1.DATOS-PROD'!AO212="SI",VLOOKUP('1.DATOS-PROD'!AO$2,'1.PUNTOS'!$A$1:$B$63,2,0),0)</f>
        <v>0</v>
      </c>
      <c r="AG211" s="138">
        <f>IF('1.DATOS-PROD'!AP212="SI",VLOOKUP('1.DATOS-PROD'!AP$2,'1.PUNTOS'!$A$1:$B$63,2,0),0)</f>
        <v>0</v>
      </c>
      <c r="AH211" s="138">
        <f>IF('1.DATOS-PROD'!AQ212="SI",VLOOKUP('1.DATOS-PROD'!AQ$2,'1.PUNTOS'!$A$1:$B$63,2,0),0)</f>
        <v>0</v>
      </c>
      <c r="AI211" s="138">
        <f>IF('1.DATOS-PROD'!AR212="SI",VLOOKUP('1.DATOS-PROD'!AR$2,'1.PUNTOS'!$A$1:$B$63,2,0),0)</f>
        <v>0</v>
      </c>
      <c r="AJ211" s="138">
        <f>IF('1.DATOS-PROD'!AS212="SI",VLOOKUP('1.DATOS-PROD'!AS$2,'1.PUNTOS'!$A$1:$B$63,2,0),0)</f>
        <v>0</v>
      </c>
      <c r="AK211" s="138">
        <f>IF('1.DATOS-PROD'!AT212="SI",VLOOKUP('1.DATOS-PROD'!AT$2,'1.PUNTOS'!$A$1:$B$63,2,0),0)</f>
        <v>0</v>
      </c>
      <c r="AL211" s="138">
        <f>IF('1.DATOS-PROD'!AU212="SI",VLOOKUP('1.DATOS-PROD'!AU$2,'1.PUNTOS'!$A$1:$B$63,2,0),0)</f>
        <v>0</v>
      </c>
      <c r="AM211" s="138">
        <f>IF('1.DATOS-PROD'!AV212="SI",VLOOKUP('1.DATOS-PROD'!AV$2,'1.PUNTOS'!$A$1:$B$63,2,0),0)</f>
        <v>0</v>
      </c>
      <c r="AN211" s="138">
        <f>IF('1.DATOS-PROD'!AW212="SI",VLOOKUP('1.DATOS-PROD'!AW$2,'1.PUNTOS'!$A$1:$B$63,2,0),0)</f>
        <v>0</v>
      </c>
      <c r="AO211" s="138">
        <f>IF('1.DATOS-PROD'!AX212="SI",VLOOKUP('1.DATOS-PROD'!AX$2,'1.PUNTOS'!$A$1:$B$63,2,0),0)</f>
        <v>0</v>
      </c>
      <c r="AP211" s="138">
        <f>IF('1.DATOS-PROD'!AY212="SI",VLOOKUP('1.DATOS-PROD'!AY$2,'1.PUNTOS'!$A$1:$B$63,2,0),0)</f>
        <v>0</v>
      </c>
      <c r="AQ211" s="138">
        <f>IF('1.DATOS-PROD'!AZ212="SI",VLOOKUP('1.DATOS-PROD'!AZ$2,'1.PUNTOS'!$A$1:$B$63,2,0),0)</f>
        <v>0</v>
      </c>
      <c r="AR211" s="138">
        <f>IF('1.DATOS-PROD'!BA212="SI",VLOOKUP('1.DATOS-PROD'!BA$2,'1.PUNTOS'!$A$1:$B$63,2,0),0)</f>
        <v>0</v>
      </c>
      <c r="AS211" s="138">
        <f>IF('1.DATOS-PROD'!BB212="SI",VLOOKUP('1.DATOS-PROD'!BB$2,'1.PUNTOS'!$A$1:$B$63,2,0),0)</f>
        <v>0</v>
      </c>
      <c r="AT211" s="138">
        <f>IF('1.DATOS-PROD'!BC212="SI",VLOOKUP('1.DATOS-PROD'!BC$2,'1.PUNTOS'!$A$1:$B$63,2,0),0)</f>
        <v>0</v>
      </c>
      <c r="AU211" s="138">
        <f>IF('1.DATOS-PROD'!BD212="SI",VLOOKUP('1.DATOS-PROD'!BD$2,'1.PUNTOS'!$A$1:$B$63,2,0),0)</f>
        <v>0</v>
      </c>
      <c r="AV211" s="138">
        <f>IF('1.DATOS-PROD'!BE212="SI",VLOOKUP('1.DATOS-PROD'!BE$2,'1.PUNTOS'!$A$1:$B$63,2,0),0)</f>
        <v>0</v>
      </c>
      <c r="AW211" s="138">
        <f>IF('1.DATOS-PROD'!BF212="SI",VLOOKUP('1.DATOS-PROD'!BF$2,'1.PUNTOS'!$A$1:$B$63,2,0),0)</f>
        <v>0</v>
      </c>
      <c r="AX211" s="138">
        <f>IF('1.DATOS-PROD'!BG212="SI",VLOOKUP('1.DATOS-PROD'!BG$2,'1.PUNTOS'!$A$1:$B$63,2,0),0)</f>
        <v>0</v>
      </c>
      <c r="AY211" s="138">
        <f>IF('1.DATOS-PROD'!BH212="SI",VLOOKUP('1.DATOS-PROD'!BH$2,'1.PUNTOS'!$A$1:$B$63,2,0),0)</f>
        <v>0</v>
      </c>
      <c r="AZ211" s="138">
        <f>IF('1.DATOS-PROD'!BI212="SI",VLOOKUP('1.DATOS-PROD'!BI$2,'1.PUNTOS'!$A$1:$B$63,2,0),0)</f>
        <v>0</v>
      </c>
      <c r="BA211" s="138">
        <f>IF('1.DATOS-PROD'!BJ212="SI",VLOOKUP('1.DATOS-PROD'!BJ$2,'1.PUNTOS'!$A$1:$B$63,2,0),0)</f>
        <v>0</v>
      </c>
      <c r="BB211" s="138">
        <f>IF('1.DATOS-PROD'!BK212="SI",VLOOKUP('1.DATOS-PROD'!BK$2,'1.PUNTOS'!$A$1:$B$63,2,0),0)</f>
        <v>0</v>
      </c>
      <c r="BC211" s="138">
        <f>IF('1.DATOS-PROD'!BL212="SI",VLOOKUP('1.DATOS-PROD'!BL$2,'1.PUNTOS'!$A$1:$B$63,2,0),0)</f>
        <v>0</v>
      </c>
      <c r="BD211" s="138">
        <f>IF('1.DATOS-PROD'!BM212="SI",VLOOKUP('1.DATOS-PROD'!BM$2,'1.PUNTOS'!$A$1:$B$63,2,0),0)</f>
        <v>0</v>
      </c>
      <c r="BE211" s="138">
        <f>IF('1.DATOS-PROD'!BN212="SI",VLOOKUP('1.DATOS-PROD'!BN$2,'1.PUNTOS'!$A$1:$B$63,2,0),0)</f>
        <v>0</v>
      </c>
      <c r="BF211" s="138">
        <f>IF('1.DATOS-PROD'!BO212="SI",VLOOKUP('1.DATOS-PROD'!BO$2,'1.PUNTOS'!$A$1:$B$63,2,0),0)</f>
        <v>0</v>
      </c>
      <c r="BG211" s="138">
        <f>IF('1.DATOS-PROD'!BP212="SI",VLOOKUP('1.DATOS-PROD'!BP$2,'1.PUNTOS'!$A$1:$B$63,2,0),0)</f>
        <v>0</v>
      </c>
      <c r="BH211" s="138">
        <f>IF('1.DATOS-PROD'!BQ212="SI",VLOOKUP('1.DATOS-PROD'!BQ$2,'1.PUNTOS'!$A$1:$B$63,2,0),0)</f>
        <v>0</v>
      </c>
      <c r="BI211" s="138">
        <f>IF('1.DATOS-PROD'!BR212="SI",VLOOKUP('1.DATOS-PROD'!BR$2,'1.PUNTOS'!$A$1:$B$63,2,0),0)</f>
        <v>0</v>
      </c>
      <c r="BJ211" s="138">
        <f>IF('1.DATOS-PROD'!BS212="SI",VLOOKUP('1.DATOS-PROD'!BS$2,'1.PUNTOS'!$A$1:$B$63,2,0),0)</f>
        <v>0</v>
      </c>
      <c r="BK211" s="138">
        <f>IF('1.DATOS-PROD'!BT212="SI",VLOOKUP('1.DATOS-PROD'!BT$2,'1.PUNTOS'!$A$1:$B$63,2,0),0)</f>
        <v>0</v>
      </c>
    </row>
    <row r="212" spans="1:63" x14ac:dyDescent="0.25">
      <c r="A212">
        <f>'0.Consolidado general'!$A213</f>
        <v>0</v>
      </c>
      <c r="B212" s="138">
        <f>IF('1.DATOS-PROD'!K213="SI",VLOOKUP('1.DATOS-PROD'!K$2,'1.PUNTOS'!$A$1:$B$63,2,0),0)</f>
        <v>0</v>
      </c>
      <c r="C212" s="138">
        <f>IF('1.DATOS-PROD'!L213="SI",VLOOKUP('1.DATOS-PROD'!L$2,'1.PUNTOS'!$A$1:$B$63,2,0),0)</f>
        <v>0</v>
      </c>
      <c r="D212" s="138">
        <f>IF('1.DATOS-PROD'!M213="SI",VLOOKUP('1.DATOS-PROD'!M$2,'1.PUNTOS'!$A$1:$B$63,2,0),0)</f>
        <v>0</v>
      </c>
      <c r="E212" s="138">
        <f>IF('1.DATOS-PROD'!N213="SI",VLOOKUP('1.DATOS-PROD'!N$2,'1.PUNTOS'!$A$1:$B$63,2,0),0)</f>
        <v>0</v>
      </c>
      <c r="F212" s="138">
        <f>IF('1.DATOS-PROD'!O213="SI",VLOOKUP('1.DATOS-PROD'!O$2,'1.PUNTOS'!$A$1:$B$63,2,0),0)</f>
        <v>0</v>
      </c>
      <c r="G212" s="138">
        <f>IF('1.DATOS-PROD'!P213="SI",VLOOKUP('1.DATOS-PROD'!P$2,'1.PUNTOS'!$A$1:$B$63,2,0),0)</f>
        <v>0</v>
      </c>
      <c r="H212" s="138">
        <f>IF('1.DATOS-PROD'!Q213="SI",VLOOKUP('1.DATOS-PROD'!Q$2,'1.PUNTOS'!$A$1:$B$63,2,0),0)</f>
        <v>0</v>
      </c>
      <c r="I212" s="138">
        <f>IF('1.DATOS-PROD'!R213="SI",VLOOKUP('1.DATOS-PROD'!R$2,'1.PUNTOS'!$A$1:$B$63,2,0),0)</f>
        <v>0</v>
      </c>
      <c r="J212" s="138">
        <f>IF('1.DATOS-PROD'!S213="SI",VLOOKUP('1.DATOS-PROD'!S$2,'1.PUNTOS'!$A$1:$B$63,2,0),0)</f>
        <v>0</v>
      </c>
      <c r="K212" s="138">
        <f>IF('1.DATOS-PROD'!T213="SI",VLOOKUP('1.DATOS-PROD'!T$2,'1.PUNTOS'!$A$1:$B$63,2,0),0)</f>
        <v>0</v>
      </c>
      <c r="L212" s="138">
        <f>IF('1.DATOS-PROD'!U213="SI",VLOOKUP('1.DATOS-PROD'!U$2,'1.PUNTOS'!$A$1:$B$63,2,0),0)</f>
        <v>0</v>
      </c>
      <c r="M212" s="138">
        <f>IF('1.DATOS-PROD'!V213="SI",VLOOKUP('1.DATOS-PROD'!V$2,'1.PUNTOS'!$A$1:$B$63,2,0),0)</f>
        <v>0</v>
      </c>
      <c r="N212" s="138">
        <f>IF('1.DATOS-PROD'!W213="SI",VLOOKUP('1.DATOS-PROD'!W$2,'1.PUNTOS'!$A$1:$B$63,2,0),0)</f>
        <v>0</v>
      </c>
      <c r="O212" s="138">
        <f>IF('1.DATOS-PROD'!X213="SI",VLOOKUP('1.DATOS-PROD'!X$2,'1.PUNTOS'!$A$1:$B$63,2,0),0)</f>
        <v>0</v>
      </c>
      <c r="P212" s="138">
        <f>IF('1.DATOS-PROD'!Y213="SI",VLOOKUP('1.DATOS-PROD'!Y$2,'1.PUNTOS'!$A$1:$B$63,2,0),0)</f>
        <v>0</v>
      </c>
      <c r="Q212" s="138">
        <f>IF('1.DATOS-PROD'!Z213="SI",VLOOKUP('1.DATOS-PROD'!Z$2,'1.PUNTOS'!$A$1:$B$63,2,0),0)</f>
        <v>0</v>
      </c>
      <c r="R212" s="138">
        <f>IF('1.DATOS-PROD'!AA213="SI",VLOOKUP('1.DATOS-PROD'!AA$2,'1.PUNTOS'!$A$1:$B$63,2,0),0)</f>
        <v>0</v>
      </c>
      <c r="S212" s="138">
        <f>IF('1.DATOS-PROD'!AB213="SI",VLOOKUP('1.DATOS-PROD'!AB$2,'1.PUNTOS'!$A$1:$B$63,2,0),0)</f>
        <v>0</v>
      </c>
      <c r="T212" s="138">
        <f>IF('1.DATOS-PROD'!AC213="SI",VLOOKUP('1.DATOS-PROD'!AC$2,'1.PUNTOS'!$A$1:$B$63,2,0),0)</f>
        <v>0</v>
      </c>
      <c r="U212" s="138">
        <f>IF('1.DATOS-PROD'!AD213="SI",VLOOKUP('1.DATOS-PROD'!AD$2,'1.PUNTOS'!$A$1:$B$63,2,0),0)</f>
        <v>0</v>
      </c>
      <c r="V212" s="138">
        <f>IF('1.DATOS-PROD'!AE213="SI",VLOOKUP('1.DATOS-PROD'!AE$2,'1.PUNTOS'!$A$1:$B$63,2,0),0)</f>
        <v>0</v>
      </c>
      <c r="W212" s="138">
        <f>IF('1.DATOS-PROD'!AF213="SI",VLOOKUP('1.DATOS-PROD'!AF$2,'1.PUNTOS'!$A$1:$B$63,2,0),0)</f>
        <v>0</v>
      </c>
      <c r="X212" s="138">
        <f>IF('1.DATOS-PROD'!AG213="SI",VLOOKUP('1.DATOS-PROD'!AG$2,'1.PUNTOS'!$A$1:$B$63,2,0),0)</f>
        <v>0</v>
      </c>
      <c r="Y212" s="138">
        <f>IF('1.DATOS-PROD'!AH213="SI",VLOOKUP('1.DATOS-PROD'!AH$2,'1.PUNTOS'!$A$1:$B$63,2,0),0)</f>
        <v>0</v>
      </c>
      <c r="Z212" s="138">
        <f>IF('1.DATOS-PROD'!AI213="SI",VLOOKUP('1.DATOS-PROD'!AI$2,'1.PUNTOS'!$A$1:$B$63,2,0),0)</f>
        <v>0</v>
      </c>
      <c r="AA212" s="138">
        <f>IF('1.DATOS-PROD'!AJ213="SI",VLOOKUP('1.DATOS-PROD'!AJ$2,'1.PUNTOS'!$A$1:$B$63,2,0),0)</f>
        <v>0</v>
      </c>
      <c r="AB212" s="138">
        <f>IF('1.DATOS-PROD'!AK213="SI",VLOOKUP('1.DATOS-PROD'!AK$2,'1.PUNTOS'!$A$1:$B$63,2,0),0)</f>
        <v>0</v>
      </c>
      <c r="AC212" s="138">
        <f>IF('1.DATOS-PROD'!AL213="SI",VLOOKUP('1.DATOS-PROD'!AL$2,'1.PUNTOS'!$A$1:$B$63,2,0),0)</f>
        <v>0</v>
      </c>
      <c r="AD212" s="138">
        <f>IF('1.DATOS-PROD'!AM213="SI",VLOOKUP('1.DATOS-PROD'!AM$2,'1.PUNTOS'!$A$1:$B$63,2,0),0)</f>
        <v>0</v>
      </c>
      <c r="AE212" s="138">
        <f>IF('1.DATOS-PROD'!AN213="SI",VLOOKUP('1.DATOS-PROD'!AN$2,'1.PUNTOS'!$A$1:$B$63,2,0),0)</f>
        <v>0</v>
      </c>
      <c r="AF212" s="138">
        <f>IF('1.DATOS-PROD'!AO213="SI",VLOOKUP('1.DATOS-PROD'!AO$2,'1.PUNTOS'!$A$1:$B$63,2,0),0)</f>
        <v>0</v>
      </c>
      <c r="AG212" s="138">
        <f>IF('1.DATOS-PROD'!AP213="SI",VLOOKUP('1.DATOS-PROD'!AP$2,'1.PUNTOS'!$A$1:$B$63,2,0),0)</f>
        <v>0</v>
      </c>
      <c r="AH212" s="138">
        <f>IF('1.DATOS-PROD'!AQ213="SI",VLOOKUP('1.DATOS-PROD'!AQ$2,'1.PUNTOS'!$A$1:$B$63,2,0),0)</f>
        <v>0</v>
      </c>
      <c r="AI212" s="138">
        <f>IF('1.DATOS-PROD'!AR213="SI",VLOOKUP('1.DATOS-PROD'!AR$2,'1.PUNTOS'!$A$1:$B$63,2,0),0)</f>
        <v>0</v>
      </c>
      <c r="AJ212" s="138">
        <f>IF('1.DATOS-PROD'!AS213="SI",VLOOKUP('1.DATOS-PROD'!AS$2,'1.PUNTOS'!$A$1:$B$63,2,0),0)</f>
        <v>0</v>
      </c>
      <c r="AK212" s="138">
        <f>IF('1.DATOS-PROD'!AT213="SI",VLOOKUP('1.DATOS-PROD'!AT$2,'1.PUNTOS'!$A$1:$B$63,2,0),0)</f>
        <v>0</v>
      </c>
      <c r="AL212" s="138">
        <f>IF('1.DATOS-PROD'!AU213="SI",VLOOKUP('1.DATOS-PROD'!AU$2,'1.PUNTOS'!$A$1:$B$63,2,0),0)</f>
        <v>0</v>
      </c>
      <c r="AM212" s="138">
        <f>IF('1.DATOS-PROD'!AV213="SI",VLOOKUP('1.DATOS-PROD'!AV$2,'1.PUNTOS'!$A$1:$B$63,2,0),0)</f>
        <v>0</v>
      </c>
      <c r="AN212" s="138">
        <f>IF('1.DATOS-PROD'!AW213="SI",VLOOKUP('1.DATOS-PROD'!AW$2,'1.PUNTOS'!$A$1:$B$63,2,0),0)</f>
        <v>0</v>
      </c>
      <c r="AO212" s="138">
        <f>IF('1.DATOS-PROD'!AX213="SI",VLOOKUP('1.DATOS-PROD'!AX$2,'1.PUNTOS'!$A$1:$B$63,2,0),0)</f>
        <v>0</v>
      </c>
      <c r="AP212" s="138">
        <f>IF('1.DATOS-PROD'!AY213="SI",VLOOKUP('1.DATOS-PROD'!AY$2,'1.PUNTOS'!$A$1:$B$63,2,0),0)</f>
        <v>0</v>
      </c>
      <c r="AQ212" s="138">
        <f>IF('1.DATOS-PROD'!AZ213="SI",VLOOKUP('1.DATOS-PROD'!AZ$2,'1.PUNTOS'!$A$1:$B$63,2,0),0)</f>
        <v>0</v>
      </c>
      <c r="AR212" s="138">
        <f>IF('1.DATOS-PROD'!BA213="SI",VLOOKUP('1.DATOS-PROD'!BA$2,'1.PUNTOS'!$A$1:$B$63,2,0),0)</f>
        <v>0</v>
      </c>
      <c r="AS212" s="138">
        <f>IF('1.DATOS-PROD'!BB213="SI",VLOOKUP('1.DATOS-PROD'!BB$2,'1.PUNTOS'!$A$1:$B$63,2,0),0)</f>
        <v>0</v>
      </c>
      <c r="AT212" s="138">
        <f>IF('1.DATOS-PROD'!BC213="SI",VLOOKUP('1.DATOS-PROD'!BC$2,'1.PUNTOS'!$A$1:$B$63,2,0),0)</f>
        <v>0</v>
      </c>
      <c r="AU212" s="138">
        <f>IF('1.DATOS-PROD'!BD213="SI",VLOOKUP('1.DATOS-PROD'!BD$2,'1.PUNTOS'!$A$1:$B$63,2,0),0)</f>
        <v>0</v>
      </c>
      <c r="AV212" s="138">
        <f>IF('1.DATOS-PROD'!BE213="SI",VLOOKUP('1.DATOS-PROD'!BE$2,'1.PUNTOS'!$A$1:$B$63,2,0),0)</f>
        <v>0</v>
      </c>
      <c r="AW212" s="138">
        <f>IF('1.DATOS-PROD'!BF213="SI",VLOOKUP('1.DATOS-PROD'!BF$2,'1.PUNTOS'!$A$1:$B$63,2,0),0)</f>
        <v>0</v>
      </c>
      <c r="AX212" s="138">
        <f>IF('1.DATOS-PROD'!BG213="SI",VLOOKUP('1.DATOS-PROD'!BG$2,'1.PUNTOS'!$A$1:$B$63,2,0),0)</f>
        <v>0</v>
      </c>
      <c r="AY212" s="138">
        <f>IF('1.DATOS-PROD'!BH213="SI",VLOOKUP('1.DATOS-PROD'!BH$2,'1.PUNTOS'!$A$1:$B$63,2,0),0)</f>
        <v>0</v>
      </c>
      <c r="AZ212" s="138">
        <f>IF('1.DATOS-PROD'!BI213="SI",VLOOKUP('1.DATOS-PROD'!BI$2,'1.PUNTOS'!$A$1:$B$63,2,0),0)</f>
        <v>0</v>
      </c>
      <c r="BA212" s="138">
        <f>IF('1.DATOS-PROD'!BJ213="SI",VLOOKUP('1.DATOS-PROD'!BJ$2,'1.PUNTOS'!$A$1:$B$63,2,0),0)</f>
        <v>0</v>
      </c>
      <c r="BB212" s="138">
        <f>IF('1.DATOS-PROD'!BK213="SI",VLOOKUP('1.DATOS-PROD'!BK$2,'1.PUNTOS'!$A$1:$B$63,2,0),0)</f>
        <v>0</v>
      </c>
      <c r="BC212" s="138">
        <f>IF('1.DATOS-PROD'!BL213="SI",VLOOKUP('1.DATOS-PROD'!BL$2,'1.PUNTOS'!$A$1:$B$63,2,0),0)</f>
        <v>0</v>
      </c>
      <c r="BD212" s="138">
        <f>IF('1.DATOS-PROD'!BM213="SI",VLOOKUP('1.DATOS-PROD'!BM$2,'1.PUNTOS'!$A$1:$B$63,2,0),0)</f>
        <v>0</v>
      </c>
      <c r="BE212" s="138">
        <f>IF('1.DATOS-PROD'!BN213="SI",VLOOKUP('1.DATOS-PROD'!BN$2,'1.PUNTOS'!$A$1:$B$63,2,0),0)</f>
        <v>0</v>
      </c>
      <c r="BF212" s="138">
        <f>IF('1.DATOS-PROD'!BO213="SI",VLOOKUP('1.DATOS-PROD'!BO$2,'1.PUNTOS'!$A$1:$B$63,2,0),0)</f>
        <v>0</v>
      </c>
      <c r="BG212" s="138">
        <f>IF('1.DATOS-PROD'!BP213="SI",VLOOKUP('1.DATOS-PROD'!BP$2,'1.PUNTOS'!$A$1:$B$63,2,0),0)</f>
        <v>0</v>
      </c>
      <c r="BH212" s="138">
        <f>IF('1.DATOS-PROD'!BQ213="SI",VLOOKUP('1.DATOS-PROD'!BQ$2,'1.PUNTOS'!$A$1:$B$63,2,0),0)</f>
        <v>0</v>
      </c>
      <c r="BI212" s="138">
        <f>IF('1.DATOS-PROD'!BR213="SI",VLOOKUP('1.DATOS-PROD'!BR$2,'1.PUNTOS'!$A$1:$B$63,2,0),0)</f>
        <v>0</v>
      </c>
      <c r="BJ212" s="138">
        <f>IF('1.DATOS-PROD'!BS213="SI",VLOOKUP('1.DATOS-PROD'!BS$2,'1.PUNTOS'!$A$1:$B$63,2,0),0)</f>
        <v>0</v>
      </c>
      <c r="BK212" s="138">
        <f>IF('1.DATOS-PROD'!BT213="SI",VLOOKUP('1.DATOS-PROD'!BT$2,'1.PUNTOS'!$A$1:$B$63,2,0),0)</f>
        <v>0</v>
      </c>
    </row>
    <row r="213" spans="1:63" x14ac:dyDescent="0.25">
      <c r="A213">
        <f>'0.Consolidado general'!$A214</f>
        <v>0</v>
      </c>
      <c r="B213" s="138">
        <f>IF('1.DATOS-PROD'!K214="SI",VLOOKUP('1.DATOS-PROD'!K$2,'1.PUNTOS'!$A$1:$B$63,2,0),0)</f>
        <v>0</v>
      </c>
      <c r="C213" s="138">
        <f>IF('1.DATOS-PROD'!L214="SI",VLOOKUP('1.DATOS-PROD'!L$2,'1.PUNTOS'!$A$1:$B$63,2,0),0)</f>
        <v>0</v>
      </c>
      <c r="D213" s="138">
        <f>IF('1.DATOS-PROD'!M214="SI",VLOOKUP('1.DATOS-PROD'!M$2,'1.PUNTOS'!$A$1:$B$63,2,0),0)</f>
        <v>0</v>
      </c>
      <c r="E213" s="138">
        <f>IF('1.DATOS-PROD'!N214="SI",VLOOKUP('1.DATOS-PROD'!N$2,'1.PUNTOS'!$A$1:$B$63,2,0),0)</f>
        <v>0</v>
      </c>
      <c r="F213" s="138">
        <f>IF('1.DATOS-PROD'!O214="SI",VLOOKUP('1.DATOS-PROD'!O$2,'1.PUNTOS'!$A$1:$B$63,2,0),0)</f>
        <v>0</v>
      </c>
      <c r="G213" s="138">
        <f>IF('1.DATOS-PROD'!P214="SI",VLOOKUP('1.DATOS-PROD'!P$2,'1.PUNTOS'!$A$1:$B$63,2,0),0)</f>
        <v>0</v>
      </c>
      <c r="H213" s="138">
        <f>IF('1.DATOS-PROD'!Q214="SI",VLOOKUP('1.DATOS-PROD'!Q$2,'1.PUNTOS'!$A$1:$B$63,2,0),0)</f>
        <v>0</v>
      </c>
      <c r="I213" s="138">
        <f>IF('1.DATOS-PROD'!R214="SI",VLOOKUP('1.DATOS-PROD'!R$2,'1.PUNTOS'!$A$1:$B$63,2,0),0)</f>
        <v>0</v>
      </c>
      <c r="J213" s="138">
        <f>IF('1.DATOS-PROD'!S214="SI",VLOOKUP('1.DATOS-PROD'!S$2,'1.PUNTOS'!$A$1:$B$63,2,0),0)</f>
        <v>0</v>
      </c>
      <c r="K213" s="138">
        <f>IF('1.DATOS-PROD'!T214="SI",VLOOKUP('1.DATOS-PROD'!T$2,'1.PUNTOS'!$A$1:$B$63,2,0),0)</f>
        <v>0</v>
      </c>
      <c r="L213" s="138">
        <f>IF('1.DATOS-PROD'!U214="SI",VLOOKUP('1.DATOS-PROD'!U$2,'1.PUNTOS'!$A$1:$B$63,2,0),0)</f>
        <v>0</v>
      </c>
      <c r="M213" s="138">
        <f>IF('1.DATOS-PROD'!V214="SI",VLOOKUP('1.DATOS-PROD'!V$2,'1.PUNTOS'!$A$1:$B$63,2,0),0)</f>
        <v>0</v>
      </c>
      <c r="N213" s="138">
        <f>IF('1.DATOS-PROD'!W214="SI",VLOOKUP('1.DATOS-PROD'!W$2,'1.PUNTOS'!$A$1:$B$63,2,0),0)</f>
        <v>0</v>
      </c>
      <c r="O213" s="138">
        <f>IF('1.DATOS-PROD'!X214="SI",VLOOKUP('1.DATOS-PROD'!X$2,'1.PUNTOS'!$A$1:$B$63,2,0),0)</f>
        <v>0</v>
      </c>
      <c r="P213" s="138">
        <f>IF('1.DATOS-PROD'!Y214="SI",VLOOKUP('1.DATOS-PROD'!Y$2,'1.PUNTOS'!$A$1:$B$63,2,0),0)</f>
        <v>0</v>
      </c>
      <c r="Q213" s="138">
        <f>IF('1.DATOS-PROD'!Z214="SI",VLOOKUP('1.DATOS-PROD'!Z$2,'1.PUNTOS'!$A$1:$B$63,2,0),0)</f>
        <v>0</v>
      </c>
      <c r="R213" s="138">
        <f>IF('1.DATOS-PROD'!AA214="SI",VLOOKUP('1.DATOS-PROD'!AA$2,'1.PUNTOS'!$A$1:$B$63,2,0),0)</f>
        <v>0</v>
      </c>
      <c r="S213" s="138">
        <f>IF('1.DATOS-PROD'!AB214="SI",VLOOKUP('1.DATOS-PROD'!AB$2,'1.PUNTOS'!$A$1:$B$63,2,0),0)</f>
        <v>0</v>
      </c>
      <c r="T213" s="138">
        <f>IF('1.DATOS-PROD'!AC214="SI",VLOOKUP('1.DATOS-PROD'!AC$2,'1.PUNTOS'!$A$1:$B$63,2,0),0)</f>
        <v>0</v>
      </c>
      <c r="U213" s="138">
        <f>IF('1.DATOS-PROD'!AD214="SI",VLOOKUP('1.DATOS-PROD'!AD$2,'1.PUNTOS'!$A$1:$B$63,2,0),0)</f>
        <v>0</v>
      </c>
      <c r="V213" s="138">
        <f>IF('1.DATOS-PROD'!AE214="SI",VLOOKUP('1.DATOS-PROD'!AE$2,'1.PUNTOS'!$A$1:$B$63,2,0),0)</f>
        <v>0</v>
      </c>
      <c r="W213" s="138">
        <f>IF('1.DATOS-PROD'!AF214="SI",VLOOKUP('1.DATOS-PROD'!AF$2,'1.PUNTOS'!$A$1:$B$63,2,0),0)</f>
        <v>0</v>
      </c>
      <c r="X213" s="138">
        <f>IF('1.DATOS-PROD'!AG214="SI",VLOOKUP('1.DATOS-PROD'!AG$2,'1.PUNTOS'!$A$1:$B$63,2,0),0)</f>
        <v>0</v>
      </c>
      <c r="Y213" s="138">
        <f>IF('1.DATOS-PROD'!AH214="SI",VLOOKUP('1.DATOS-PROD'!AH$2,'1.PUNTOS'!$A$1:$B$63,2,0),0)</f>
        <v>0</v>
      </c>
      <c r="Z213" s="138">
        <f>IF('1.DATOS-PROD'!AI214="SI",VLOOKUP('1.DATOS-PROD'!AI$2,'1.PUNTOS'!$A$1:$B$63,2,0),0)</f>
        <v>0</v>
      </c>
      <c r="AA213" s="138">
        <f>IF('1.DATOS-PROD'!AJ214="SI",VLOOKUP('1.DATOS-PROD'!AJ$2,'1.PUNTOS'!$A$1:$B$63,2,0),0)</f>
        <v>0</v>
      </c>
      <c r="AB213" s="138">
        <f>IF('1.DATOS-PROD'!AK214="SI",VLOOKUP('1.DATOS-PROD'!AK$2,'1.PUNTOS'!$A$1:$B$63,2,0),0)</f>
        <v>0</v>
      </c>
      <c r="AC213" s="138">
        <f>IF('1.DATOS-PROD'!AL214="SI",VLOOKUP('1.DATOS-PROD'!AL$2,'1.PUNTOS'!$A$1:$B$63,2,0),0)</f>
        <v>0</v>
      </c>
      <c r="AD213" s="138">
        <f>IF('1.DATOS-PROD'!AM214="SI",VLOOKUP('1.DATOS-PROD'!AM$2,'1.PUNTOS'!$A$1:$B$63,2,0),0)</f>
        <v>0</v>
      </c>
      <c r="AE213" s="138">
        <f>IF('1.DATOS-PROD'!AN214="SI",VLOOKUP('1.DATOS-PROD'!AN$2,'1.PUNTOS'!$A$1:$B$63,2,0),0)</f>
        <v>0</v>
      </c>
      <c r="AF213" s="138">
        <f>IF('1.DATOS-PROD'!AO214="SI",VLOOKUP('1.DATOS-PROD'!AO$2,'1.PUNTOS'!$A$1:$B$63,2,0),0)</f>
        <v>0</v>
      </c>
      <c r="AG213" s="138">
        <f>IF('1.DATOS-PROD'!AP214="SI",VLOOKUP('1.DATOS-PROD'!AP$2,'1.PUNTOS'!$A$1:$B$63,2,0),0)</f>
        <v>0</v>
      </c>
      <c r="AH213" s="138">
        <f>IF('1.DATOS-PROD'!AQ214="SI",VLOOKUP('1.DATOS-PROD'!AQ$2,'1.PUNTOS'!$A$1:$B$63,2,0),0)</f>
        <v>0</v>
      </c>
      <c r="AI213" s="138">
        <f>IF('1.DATOS-PROD'!AR214="SI",VLOOKUP('1.DATOS-PROD'!AR$2,'1.PUNTOS'!$A$1:$B$63,2,0),0)</f>
        <v>0</v>
      </c>
      <c r="AJ213" s="138">
        <f>IF('1.DATOS-PROD'!AS214="SI",VLOOKUP('1.DATOS-PROD'!AS$2,'1.PUNTOS'!$A$1:$B$63,2,0),0)</f>
        <v>0</v>
      </c>
      <c r="AK213" s="138">
        <f>IF('1.DATOS-PROD'!AT214="SI",VLOOKUP('1.DATOS-PROD'!AT$2,'1.PUNTOS'!$A$1:$B$63,2,0),0)</f>
        <v>0</v>
      </c>
      <c r="AL213" s="138">
        <f>IF('1.DATOS-PROD'!AU214="SI",VLOOKUP('1.DATOS-PROD'!AU$2,'1.PUNTOS'!$A$1:$B$63,2,0),0)</f>
        <v>0</v>
      </c>
      <c r="AM213" s="138">
        <f>IF('1.DATOS-PROD'!AV214="SI",VLOOKUP('1.DATOS-PROD'!AV$2,'1.PUNTOS'!$A$1:$B$63,2,0),0)</f>
        <v>0</v>
      </c>
      <c r="AN213" s="138">
        <f>IF('1.DATOS-PROD'!AW214="SI",VLOOKUP('1.DATOS-PROD'!AW$2,'1.PUNTOS'!$A$1:$B$63,2,0),0)</f>
        <v>0</v>
      </c>
      <c r="AO213" s="138">
        <f>IF('1.DATOS-PROD'!AX214="SI",VLOOKUP('1.DATOS-PROD'!AX$2,'1.PUNTOS'!$A$1:$B$63,2,0),0)</f>
        <v>0</v>
      </c>
      <c r="AP213" s="138">
        <f>IF('1.DATOS-PROD'!AY214="SI",VLOOKUP('1.DATOS-PROD'!AY$2,'1.PUNTOS'!$A$1:$B$63,2,0),0)</f>
        <v>0</v>
      </c>
      <c r="AQ213" s="138">
        <f>IF('1.DATOS-PROD'!AZ214="SI",VLOOKUP('1.DATOS-PROD'!AZ$2,'1.PUNTOS'!$A$1:$B$63,2,0),0)</f>
        <v>0</v>
      </c>
      <c r="AR213" s="138">
        <f>IF('1.DATOS-PROD'!BA214="SI",VLOOKUP('1.DATOS-PROD'!BA$2,'1.PUNTOS'!$A$1:$B$63,2,0),0)</f>
        <v>0</v>
      </c>
      <c r="AS213" s="138">
        <f>IF('1.DATOS-PROD'!BB214="SI",VLOOKUP('1.DATOS-PROD'!BB$2,'1.PUNTOS'!$A$1:$B$63,2,0),0)</f>
        <v>0</v>
      </c>
      <c r="AT213" s="138">
        <f>IF('1.DATOS-PROD'!BC214="SI",VLOOKUP('1.DATOS-PROD'!BC$2,'1.PUNTOS'!$A$1:$B$63,2,0),0)</f>
        <v>0</v>
      </c>
      <c r="AU213" s="138">
        <f>IF('1.DATOS-PROD'!BD214="SI",VLOOKUP('1.DATOS-PROD'!BD$2,'1.PUNTOS'!$A$1:$B$63,2,0),0)</f>
        <v>0</v>
      </c>
      <c r="AV213" s="138">
        <f>IF('1.DATOS-PROD'!BE214="SI",VLOOKUP('1.DATOS-PROD'!BE$2,'1.PUNTOS'!$A$1:$B$63,2,0),0)</f>
        <v>0</v>
      </c>
      <c r="AW213" s="138">
        <f>IF('1.DATOS-PROD'!BF214="SI",VLOOKUP('1.DATOS-PROD'!BF$2,'1.PUNTOS'!$A$1:$B$63,2,0),0)</f>
        <v>0</v>
      </c>
      <c r="AX213" s="138">
        <f>IF('1.DATOS-PROD'!BG214="SI",VLOOKUP('1.DATOS-PROD'!BG$2,'1.PUNTOS'!$A$1:$B$63,2,0),0)</f>
        <v>0</v>
      </c>
      <c r="AY213" s="138">
        <f>IF('1.DATOS-PROD'!BH214="SI",VLOOKUP('1.DATOS-PROD'!BH$2,'1.PUNTOS'!$A$1:$B$63,2,0),0)</f>
        <v>0</v>
      </c>
      <c r="AZ213" s="138">
        <f>IF('1.DATOS-PROD'!BI214="SI",VLOOKUP('1.DATOS-PROD'!BI$2,'1.PUNTOS'!$A$1:$B$63,2,0),0)</f>
        <v>0</v>
      </c>
      <c r="BA213" s="138">
        <f>IF('1.DATOS-PROD'!BJ214="SI",VLOOKUP('1.DATOS-PROD'!BJ$2,'1.PUNTOS'!$A$1:$B$63,2,0),0)</f>
        <v>0</v>
      </c>
      <c r="BB213" s="138">
        <f>IF('1.DATOS-PROD'!BK214="SI",VLOOKUP('1.DATOS-PROD'!BK$2,'1.PUNTOS'!$A$1:$B$63,2,0),0)</f>
        <v>0</v>
      </c>
      <c r="BC213" s="138">
        <f>IF('1.DATOS-PROD'!BL214="SI",VLOOKUP('1.DATOS-PROD'!BL$2,'1.PUNTOS'!$A$1:$B$63,2,0),0)</f>
        <v>0</v>
      </c>
      <c r="BD213" s="138">
        <f>IF('1.DATOS-PROD'!BM214="SI",VLOOKUP('1.DATOS-PROD'!BM$2,'1.PUNTOS'!$A$1:$B$63,2,0),0)</f>
        <v>0</v>
      </c>
      <c r="BE213" s="138">
        <f>IF('1.DATOS-PROD'!BN214="SI",VLOOKUP('1.DATOS-PROD'!BN$2,'1.PUNTOS'!$A$1:$B$63,2,0),0)</f>
        <v>0</v>
      </c>
      <c r="BF213" s="138">
        <f>IF('1.DATOS-PROD'!BO214="SI",VLOOKUP('1.DATOS-PROD'!BO$2,'1.PUNTOS'!$A$1:$B$63,2,0),0)</f>
        <v>0</v>
      </c>
      <c r="BG213" s="138">
        <f>IF('1.DATOS-PROD'!BP214="SI",VLOOKUP('1.DATOS-PROD'!BP$2,'1.PUNTOS'!$A$1:$B$63,2,0),0)</f>
        <v>0</v>
      </c>
      <c r="BH213" s="138">
        <f>IF('1.DATOS-PROD'!BQ214="SI",VLOOKUP('1.DATOS-PROD'!BQ$2,'1.PUNTOS'!$A$1:$B$63,2,0),0)</f>
        <v>0</v>
      </c>
      <c r="BI213" s="138">
        <f>IF('1.DATOS-PROD'!BR214="SI",VLOOKUP('1.DATOS-PROD'!BR$2,'1.PUNTOS'!$A$1:$B$63,2,0),0)</f>
        <v>0</v>
      </c>
      <c r="BJ213" s="138">
        <f>IF('1.DATOS-PROD'!BS214="SI",VLOOKUP('1.DATOS-PROD'!BS$2,'1.PUNTOS'!$A$1:$B$63,2,0),0)</f>
        <v>0</v>
      </c>
      <c r="BK213" s="138">
        <f>IF('1.DATOS-PROD'!BT214="SI",VLOOKUP('1.DATOS-PROD'!BT$2,'1.PUNTOS'!$A$1:$B$63,2,0),0)</f>
        <v>0</v>
      </c>
    </row>
    <row r="214" spans="1:63" x14ac:dyDescent="0.25">
      <c r="A214">
        <f>'0.Consolidado general'!$A215</f>
        <v>0</v>
      </c>
      <c r="B214" s="138">
        <f>IF('1.DATOS-PROD'!K215="SI",VLOOKUP('1.DATOS-PROD'!K$2,'1.PUNTOS'!$A$1:$B$63,2,0),0)</f>
        <v>0</v>
      </c>
      <c r="C214" s="138">
        <f>IF('1.DATOS-PROD'!L215="SI",VLOOKUP('1.DATOS-PROD'!L$2,'1.PUNTOS'!$A$1:$B$63,2,0),0)</f>
        <v>0</v>
      </c>
      <c r="D214" s="138">
        <f>IF('1.DATOS-PROD'!M215="SI",VLOOKUP('1.DATOS-PROD'!M$2,'1.PUNTOS'!$A$1:$B$63,2,0),0)</f>
        <v>0</v>
      </c>
      <c r="E214" s="138">
        <f>IF('1.DATOS-PROD'!N215="SI",VLOOKUP('1.DATOS-PROD'!N$2,'1.PUNTOS'!$A$1:$B$63,2,0),0)</f>
        <v>0</v>
      </c>
      <c r="F214" s="138">
        <f>IF('1.DATOS-PROD'!O215="SI",VLOOKUP('1.DATOS-PROD'!O$2,'1.PUNTOS'!$A$1:$B$63,2,0),0)</f>
        <v>0</v>
      </c>
      <c r="G214" s="138">
        <f>IF('1.DATOS-PROD'!P215="SI",VLOOKUP('1.DATOS-PROD'!P$2,'1.PUNTOS'!$A$1:$B$63,2,0),0)</f>
        <v>0</v>
      </c>
      <c r="H214" s="138">
        <f>IF('1.DATOS-PROD'!Q215="SI",VLOOKUP('1.DATOS-PROD'!Q$2,'1.PUNTOS'!$A$1:$B$63,2,0),0)</f>
        <v>0</v>
      </c>
      <c r="I214" s="138">
        <f>IF('1.DATOS-PROD'!R215="SI",VLOOKUP('1.DATOS-PROD'!R$2,'1.PUNTOS'!$A$1:$B$63,2,0),0)</f>
        <v>0</v>
      </c>
      <c r="J214" s="138">
        <f>IF('1.DATOS-PROD'!S215="SI",VLOOKUP('1.DATOS-PROD'!S$2,'1.PUNTOS'!$A$1:$B$63,2,0),0)</f>
        <v>0</v>
      </c>
      <c r="K214" s="138">
        <f>IF('1.DATOS-PROD'!T215="SI",VLOOKUP('1.DATOS-PROD'!T$2,'1.PUNTOS'!$A$1:$B$63,2,0),0)</f>
        <v>0</v>
      </c>
      <c r="L214" s="138">
        <f>IF('1.DATOS-PROD'!U215="SI",VLOOKUP('1.DATOS-PROD'!U$2,'1.PUNTOS'!$A$1:$B$63,2,0),0)</f>
        <v>0</v>
      </c>
      <c r="M214" s="138">
        <f>IF('1.DATOS-PROD'!V215="SI",VLOOKUP('1.DATOS-PROD'!V$2,'1.PUNTOS'!$A$1:$B$63,2,0),0)</f>
        <v>0</v>
      </c>
      <c r="N214" s="138">
        <f>IF('1.DATOS-PROD'!W215="SI",VLOOKUP('1.DATOS-PROD'!W$2,'1.PUNTOS'!$A$1:$B$63,2,0),0)</f>
        <v>0</v>
      </c>
      <c r="O214" s="138">
        <f>IF('1.DATOS-PROD'!X215="SI",VLOOKUP('1.DATOS-PROD'!X$2,'1.PUNTOS'!$A$1:$B$63,2,0),0)</f>
        <v>0</v>
      </c>
      <c r="P214" s="138">
        <f>IF('1.DATOS-PROD'!Y215="SI",VLOOKUP('1.DATOS-PROD'!Y$2,'1.PUNTOS'!$A$1:$B$63,2,0),0)</f>
        <v>0</v>
      </c>
      <c r="Q214" s="138">
        <f>IF('1.DATOS-PROD'!Z215="SI",VLOOKUP('1.DATOS-PROD'!Z$2,'1.PUNTOS'!$A$1:$B$63,2,0),0)</f>
        <v>0</v>
      </c>
      <c r="R214" s="138">
        <f>IF('1.DATOS-PROD'!AA215="SI",VLOOKUP('1.DATOS-PROD'!AA$2,'1.PUNTOS'!$A$1:$B$63,2,0),0)</f>
        <v>0</v>
      </c>
      <c r="S214" s="138">
        <f>IF('1.DATOS-PROD'!AB215="SI",VLOOKUP('1.DATOS-PROD'!AB$2,'1.PUNTOS'!$A$1:$B$63,2,0),0)</f>
        <v>0</v>
      </c>
      <c r="T214" s="138">
        <f>IF('1.DATOS-PROD'!AC215="SI",VLOOKUP('1.DATOS-PROD'!AC$2,'1.PUNTOS'!$A$1:$B$63,2,0),0)</f>
        <v>0</v>
      </c>
      <c r="U214" s="138">
        <f>IF('1.DATOS-PROD'!AD215="SI",VLOOKUP('1.DATOS-PROD'!AD$2,'1.PUNTOS'!$A$1:$B$63,2,0),0)</f>
        <v>0</v>
      </c>
      <c r="V214" s="138">
        <f>IF('1.DATOS-PROD'!AE215="SI",VLOOKUP('1.DATOS-PROD'!AE$2,'1.PUNTOS'!$A$1:$B$63,2,0),0)</f>
        <v>0</v>
      </c>
      <c r="W214" s="138">
        <f>IF('1.DATOS-PROD'!AF215="SI",VLOOKUP('1.DATOS-PROD'!AF$2,'1.PUNTOS'!$A$1:$B$63,2,0),0)</f>
        <v>0</v>
      </c>
      <c r="X214" s="138">
        <f>IF('1.DATOS-PROD'!AG215="SI",VLOOKUP('1.DATOS-PROD'!AG$2,'1.PUNTOS'!$A$1:$B$63,2,0),0)</f>
        <v>0</v>
      </c>
      <c r="Y214" s="138">
        <f>IF('1.DATOS-PROD'!AH215="SI",VLOOKUP('1.DATOS-PROD'!AH$2,'1.PUNTOS'!$A$1:$B$63,2,0),0)</f>
        <v>0</v>
      </c>
      <c r="Z214" s="138">
        <f>IF('1.DATOS-PROD'!AI215="SI",VLOOKUP('1.DATOS-PROD'!AI$2,'1.PUNTOS'!$A$1:$B$63,2,0),0)</f>
        <v>0</v>
      </c>
      <c r="AA214" s="138">
        <f>IF('1.DATOS-PROD'!AJ215="SI",VLOOKUP('1.DATOS-PROD'!AJ$2,'1.PUNTOS'!$A$1:$B$63,2,0),0)</f>
        <v>0</v>
      </c>
      <c r="AB214" s="138">
        <f>IF('1.DATOS-PROD'!AK215="SI",VLOOKUP('1.DATOS-PROD'!AK$2,'1.PUNTOS'!$A$1:$B$63,2,0),0)</f>
        <v>0</v>
      </c>
      <c r="AC214" s="138">
        <f>IF('1.DATOS-PROD'!AL215="SI",VLOOKUP('1.DATOS-PROD'!AL$2,'1.PUNTOS'!$A$1:$B$63,2,0),0)</f>
        <v>0</v>
      </c>
      <c r="AD214" s="138">
        <f>IF('1.DATOS-PROD'!AM215="SI",VLOOKUP('1.DATOS-PROD'!AM$2,'1.PUNTOS'!$A$1:$B$63,2,0),0)</f>
        <v>0</v>
      </c>
      <c r="AE214" s="138">
        <f>IF('1.DATOS-PROD'!AN215="SI",VLOOKUP('1.DATOS-PROD'!AN$2,'1.PUNTOS'!$A$1:$B$63,2,0),0)</f>
        <v>0</v>
      </c>
      <c r="AF214" s="138">
        <f>IF('1.DATOS-PROD'!AO215="SI",VLOOKUP('1.DATOS-PROD'!AO$2,'1.PUNTOS'!$A$1:$B$63,2,0),0)</f>
        <v>0</v>
      </c>
      <c r="AG214" s="138">
        <f>IF('1.DATOS-PROD'!AP215="SI",VLOOKUP('1.DATOS-PROD'!AP$2,'1.PUNTOS'!$A$1:$B$63,2,0),0)</f>
        <v>0</v>
      </c>
      <c r="AH214" s="138">
        <f>IF('1.DATOS-PROD'!AQ215="SI",VLOOKUP('1.DATOS-PROD'!AQ$2,'1.PUNTOS'!$A$1:$B$63,2,0),0)</f>
        <v>0</v>
      </c>
      <c r="AI214" s="138">
        <f>IF('1.DATOS-PROD'!AR215="SI",VLOOKUP('1.DATOS-PROD'!AR$2,'1.PUNTOS'!$A$1:$B$63,2,0),0)</f>
        <v>0</v>
      </c>
      <c r="AJ214" s="138">
        <f>IF('1.DATOS-PROD'!AS215="SI",VLOOKUP('1.DATOS-PROD'!AS$2,'1.PUNTOS'!$A$1:$B$63,2,0),0)</f>
        <v>0</v>
      </c>
      <c r="AK214" s="138">
        <f>IF('1.DATOS-PROD'!AT215="SI",VLOOKUP('1.DATOS-PROD'!AT$2,'1.PUNTOS'!$A$1:$B$63,2,0),0)</f>
        <v>0</v>
      </c>
      <c r="AL214" s="138">
        <f>IF('1.DATOS-PROD'!AU215="SI",VLOOKUP('1.DATOS-PROD'!AU$2,'1.PUNTOS'!$A$1:$B$63,2,0),0)</f>
        <v>0</v>
      </c>
      <c r="AM214" s="138">
        <f>IF('1.DATOS-PROD'!AV215="SI",VLOOKUP('1.DATOS-PROD'!AV$2,'1.PUNTOS'!$A$1:$B$63,2,0),0)</f>
        <v>0</v>
      </c>
      <c r="AN214" s="138">
        <f>IF('1.DATOS-PROD'!AW215="SI",VLOOKUP('1.DATOS-PROD'!AW$2,'1.PUNTOS'!$A$1:$B$63,2,0),0)</f>
        <v>0</v>
      </c>
      <c r="AO214" s="138">
        <f>IF('1.DATOS-PROD'!AX215="SI",VLOOKUP('1.DATOS-PROD'!AX$2,'1.PUNTOS'!$A$1:$B$63,2,0),0)</f>
        <v>0</v>
      </c>
      <c r="AP214" s="138">
        <f>IF('1.DATOS-PROD'!AY215="SI",VLOOKUP('1.DATOS-PROD'!AY$2,'1.PUNTOS'!$A$1:$B$63,2,0),0)</f>
        <v>0</v>
      </c>
      <c r="AQ214" s="138">
        <f>IF('1.DATOS-PROD'!AZ215="SI",VLOOKUP('1.DATOS-PROD'!AZ$2,'1.PUNTOS'!$A$1:$B$63,2,0),0)</f>
        <v>0</v>
      </c>
      <c r="AR214" s="138">
        <f>IF('1.DATOS-PROD'!BA215="SI",VLOOKUP('1.DATOS-PROD'!BA$2,'1.PUNTOS'!$A$1:$B$63,2,0),0)</f>
        <v>0</v>
      </c>
      <c r="AS214" s="138">
        <f>IF('1.DATOS-PROD'!BB215="SI",VLOOKUP('1.DATOS-PROD'!BB$2,'1.PUNTOS'!$A$1:$B$63,2,0),0)</f>
        <v>0</v>
      </c>
      <c r="AT214" s="138">
        <f>IF('1.DATOS-PROD'!BC215="SI",VLOOKUP('1.DATOS-PROD'!BC$2,'1.PUNTOS'!$A$1:$B$63,2,0),0)</f>
        <v>0</v>
      </c>
      <c r="AU214" s="138">
        <f>IF('1.DATOS-PROD'!BD215="SI",VLOOKUP('1.DATOS-PROD'!BD$2,'1.PUNTOS'!$A$1:$B$63,2,0),0)</f>
        <v>0</v>
      </c>
      <c r="AV214" s="138">
        <f>IF('1.DATOS-PROD'!BE215="SI",VLOOKUP('1.DATOS-PROD'!BE$2,'1.PUNTOS'!$A$1:$B$63,2,0),0)</f>
        <v>0</v>
      </c>
      <c r="AW214" s="138">
        <f>IF('1.DATOS-PROD'!BF215="SI",VLOOKUP('1.DATOS-PROD'!BF$2,'1.PUNTOS'!$A$1:$B$63,2,0),0)</f>
        <v>0</v>
      </c>
      <c r="AX214" s="138">
        <f>IF('1.DATOS-PROD'!BG215="SI",VLOOKUP('1.DATOS-PROD'!BG$2,'1.PUNTOS'!$A$1:$B$63,2,0),0)</f>
        <v>0</v>
      </c>
      <c r="AY214" s="138">
        <f>IF('1.DATOS-PROD'!BH215="SI",VLOOKUP('1.DATOS-PROD'!BH$2,'1.PUNTOS'!$A$1:$B$63,2,0),0)</f>
        <v>0</v>
      </c>
      <c r="AZ214" s="138">
        <f>IF('1.DATOS-PROD'!BI215="SI",VLOOKUP('1.DATOS-PROD'!BI$2,'1.PUNTOS'!$A$1:$B$63,2,0),0)</f>
        <v>0</v>
      </c>
      <c r="BA214" s="138">
        <f>IF('1.DATOS-PROD'!BJ215="SI",VLOOKUP('1.DATOS-PROD'!BJ$2,'1.PUNTOS'!$A$1:$B$63,2,0),0)</f>
        <v>0</v>
      </c>
      <c r="BB214" s="138">
        <f>IF('1.DATOS-PROD'!BK215="SI",VLOOKUP('1.DATOS-PROD'!BK$2,'1.PUNTOS'!$A$1:$B$63,2,0),0)</f>
        <v>0</v>
      </c>
      <c r="BC214" s="138">
        <f>IF('1.DATOS-PROD'!BL215="SI",VLOOKUP('1.DATOS-PROD'!BL$2,'1.PUNTOS'!$A$1:$B$63,2,0),0)</f>
        <v>0</v>
      </c>
      <c r="BD214" s="138">
        <f>IF('1.DATOS-PROD'!BM215="SI",VLOOKUP('1.DATOS-PROD'!BM$2,'1.PUNTOS'!$A$1:$B$63,2,0),0)</f>
        <v>0</v>
      </c>
      <c r="BE214" s="138">
        <f>IF('1.DATOS-PROD'!BN215="SI",VLOOKUP('1.DATOS-PROD'!BN$2,'1.PUNTOS'!$A$1:$B$63,2,0),0)</f>
        <v>0</v>
      </c>
      <c r="BF214" s="138">
        <f>IF('1.DATOS-PROD'!BO215="SI",VLOOKUP('1.DATOS-PROD'!BO$2,'1.PUNTOS'!$A$1:$B$63,2,0),0)</f>
        <v>0</v>
      </c>
      <c r="BG214" s="138">
        <f>IF('1.DATOS-PROD'!BP215="SI",VLOOKUP('1.DATOS-PROD'!BP$2,'1.PUNTOS'!$A$1:$B$63,2,0),0)</f>
        <v>0</v>
      </c>
      <c r="BH214" s="138">
        <f>IF('1.DATOS-PROD'!BQ215="SI",VLOOKUP('1.DATOS-PROD'!BQ$2,'1.PUNTOS'!$A$1:$B$63,2,0),0)</f>
        <v>0</v>
      </c>
      <c r="BI214" s="138">
        <f>IF('1.DATOS-PROD'!BR215="SI",VLOOKUP('1.DATOS-PROD'!BR$2,'1.PUNTOS'!$A$1:$B$63,2,0),0)</f>
        <v>0</v>
      </c>
      <c r="BJ214" s="138">
        <f>IF('1.DATOS-PROD'!BS215="SI",VLOOKUP('1.DATOS-PROD'!BS$2,'1.PUNTOS'!$A$1:$B$63,2,0),0)</f>
        <v>0</v>
      </c>
      <c r="BK214" s="138">
        <f>IF('1.DATOS-PROD'!BT215="SI",VLOOKUP('1.DATOS-PROD'!BT$2,'1.PUNTOS'!$A$1:$B$63,2,0),0)</f>
        <v>0</v>
      </c>
    </row>
    <row r="215" spans="1:63" x14ac:dyDescent="0.25">
      <c r="A215">
        <f>'0.Consolidado general'!$A216</f>
        <v>0</v>
      </c>
      <c r="B215" s="138">
        <f>IF('1.DATOS-PROD'!K216="SI",VLOOKUP('1.DATOS-PROD'!K$2,'1.PUNTOS'!$A$1:$B$63,2,0),0)</f>
        <v>0</v>
      </c>
      <c r="C215" s="138">
        <f>IF('1.DATOS-PROD'!L216="SI",VLOOKUP('1.DATOS-PROD'!L$2,'1.PUNTOS'!$A$1:$B$63,2,0),0)</f>
        <v>0</v>
      </c>
      <c r="D215" s="138">
        <f>IF('1.DATOS-PROD'!M216="SI",VLOOKUP('1.DATOS-PROD'!M$2,'1.PUNTOS'!$A$1:$B$63,2,0),0)</f>
        <v>0</v>
      </c>
      <c r="E215" s="138">
        <f>IF('1.DATOS-PROD'!N216="SI",VLOOKUP('1.DATOS-PROD'!N$2,'1.PUNTOS'!$A$1:$B$63,2,0),0)</f>
        <v>0</v>
      </c>
      <c r="F215" s="138">
        <f>IF('1.DATOS-PROD'!O216="SI",VLOOKUP('1.DATOS-PROD'!O$2,'1.PUNTOS'!$A$1:$B$63,2,0),0)</f>
        <v>0</v>
      </c>
      <c r="G215" s="138">
        <f>IF('1.DATOS-PROD'!P216="SI",VLOOKUP('1.DATOS-PROD'!P$2,'1.PUNTOS'!$A$1:$B$63,2,0),0)</f>
        <v>0</v>
      </c>
      <c r="H215" s="138">
        <f>IF('1.DATOS-PROD'!Q216="SI",VLOOKUP('1.DATOS-PROD'!Q$2,'1.PUNTOS'!$A$1:$B$63,2,0),0)</f>
        <v>0</v>
      </c>
      <c r="I215" s="138">
        <f>IF('1.DATOS-PROD'!R216="SI",VLOOKUP('1.DATOS-PROD'!R$2,'1.PUNTOS'!$A$1:$B$63,2,0),0)</f>
        <v>0</v>
      </c>
      <c r="J215" s="138">
        <f>IF('1.DATOS-PROD'!S216="SI",VLOOKUP('1.DATOS-PROD'!S$2,'1.PUNTOS'!$A$1:$B$63,2,0),0)</f>
        <v>0</v>
      </c>
      <c r="K215" s="138">
        <f>IF('1.DATOS-PROD'!T216="SI",VLOOKUP('1.DATOS-PROD'!T$2,'1.PUNTOS'!$A$1:$B$63,2,0),0)</f>
        <v>0</v>
      </c>
      <c r="L215" s="138">
        <f>IF('1.DATOS-PROD'!U216="SI",VLOOKUP('1.DATOS-PROD'!U$2,'1.PUNTOS'!$A$1:$B$63,2,0),0)</f>
        <v>0</v>
      </c>
      <c r="M215" s="138">
        <f>IF('1.DATOS-PROD'!V216="SI",VLOOKUP('1.DATOS-PROD'!V$2,'1.PUNTOS'!$A$1:$B$63,2,0),0)</f>
        <v>0</v>
      </c>
      <c r="N215" s="138">
        <f>IF('1.DATOS-PROD'!W216="SI",VLOOKUP('1.DATOS-PROD'!W$2,'1.PUNTOS'!$A$1:$B$63,2,0),0)</f>
        <v>0</v>
      </c>
      <c r="O215" s="138">
        <f>IF('1.DATOS-PROD'!X216="SI",VLOOKUP('1.DATOS-PROD'!X$2,'1.PUNTOS'!$A$1:$B$63,2,0),0)</f>
        <v>0</v>
      </c>
      <c r="P215" s="138">
        <f>IF('1.DATOS-PROD'!Y216="SI",VLOOKUP('1.DATOS-PROD'!Y$2,'1.PUNTOS'!$A$1:$B$63,2,0),0)</f>
        <v>0</v>
      </c>
      <c r="Q215" s="138">
        <f>IF('1.DATOS-PROD'!Z216="SI",VLOOKUP('1.DATOS-PROD'!Z$2,'1.PUNTOS'!$A$1:$B$63,2,0),0)</f>
        <v>0</v>
      </c>
      <c r="R215" s="138">
        <f>IF('1.DATOS-PROD'!AA216="SI",VLOOKUP('1.DATOS-PROD'!AA$2,'1.PUNTOS'!$A$1:$B$63,2,0),0)</f>
        <v>0</v>
      </c>
      <c r="S215" s="138">
        <f>IF('1.DATOS-PROD'!AB216="SI",VLOOKUP('1.DATOS-PROD'!AB$2,'1.PUNTOS'!$A$1:$B$63,2,0),0)</f>
        <v>0</v>
      </c>
      <c r="T215" s="138">
        <f>IF('1.DATOS-PROD'!AC216="SI",VLOOKUP('1.DATOS-PROD'!AC$2,'1.PUNTOS'!$A$1:$B$63,2,0),0)</f>
        <v>0</v>
      </c>
      <c r="U215" s="138">
        <f>IF('1.DATOS-PROD'!AD216="SI",VLOOKUP('1.DATOS-PROD'!AD$2,'1.PUNTOS'!$A$1:$B$63,2,0),0)</f>
        <v>0</v>
      </c>
      <c r="V215" s="138">
        <f>IF('1.DATOS-PROD'!AE216="SI",VLOOKUP('1.DATOS-PROD'!AE$2,'1.PUNTOS'!$A$1:$B$63,2,0),0)</f>
        <v>0</v>
      </c>
      <c r="W215" s="138">
        <f>IF('1.DATOS-PROD'!AF216="SI",VLOOKUP('1.DATOS-PROD'!AF$2,'1.PUNTOS'!$A$1:$B$63,2,0),0)</f>
        <v>0</v>
      </c>
      <c r="X215" s="138">
        <f>IF('1.DATOS-PROD'!AG216="SI",VLOOKUP('1.DATOS-PROD'!AG$2,'1.PUNTOS'!$A$1:$B$63,2,0),0)</f>
        <v>0</v>
      </c>
      <c r="Y215" s="138">
        <f>IF('1.DATOS-PROD'!AH216="SI",VLOOKUP('1.DATOS-PROD'!AH$2,'1.PUNTOS'!$A$1:$B$63,2,0),0)</f>
        <v>0</v>
      </c>
      <c r="Z215" s="138">
        <f>IF('1.DATOS-PROD'!AI216="SI",VLOOKUP('1.DATOS-PROD'!AI$2,'1.PUNTOS'!$A$1:$B$63,2,0),0)</f>
        <v>0</v>
      </c>
      <c r="AA215" s="138">
        <f>IF('1.DATOS-PROD'!AJ216="SI",VLOOKUP('1.DATOS-PROD'!AJ$2,'1.PUNTOS'!$A$1:$B$63,2,0),0)</f>
        <v>0</v>
      </c>
      <c r="AB215" s="138">
        <f>IF('1.DATOS-PROD'!AK216="SI",VLOOKUP('1.DATOS-PROD'!AK$2,'1.PUNTOS'!$A$1:$B$63,2,0),0)</f>
        <v>0</v>
      </c>
      <c r="AC215" s="138">
        <f>IF('1.DATOS-PROD'!AL216="SI",VLOOKUP('1.DATOS-PROD'!AL$2,'1.PUNTOS'!$A$1:$B$63,2,0),0)</f>
        <v>0</v>
      </c>
      <c r="AD215" s="138">
        <f>IF('1.DATOS-PROD'!AM216="SI",VLOOKUP('1.DATOS-PROD'!AM$2,'1.PUNTOS'!$A$1:$B$63,2,0),0)</f>
        <v>0</v>
      </c>
      <c r="AE215" s="138">
        <f>IF('1.DATOS-PROD'!AN216="SI",VLOOKUP('1.DATOS-PROD'!AN$2,'1.PUNTOS'!$A$1:$B$63,2,0),0)</f>
        <v>0</v>
      </c>
      <c r="AF215" s="138">
        <f>IF('1.DATOS-PROD'!AO216="SI",VLOOKUP('1.DATOS-PROD'!AO$2,'1.PUNTOS'!$A$1:$B$63,2,0),0)</f>
        <v>0</v>
      </c>
      <c r="AG215" s="138">
        <f>IF('1.DATOS-PROD'!AP216="SI",VLOOKUP('1.DATOS-PROD'!AP$2,'1.PUNTOS'!$A$1:$B$63,2,0),0)</f>
        <v>0</v>
      </c>
      <c r="AH215" s="138">
        <f>IF('1.DATOS-PROD'!AQ216="SI",VLOOKUP('1.DATOS-PROD'!AQ$2,'1.PUNTOS'!$A$1:$B$63,2,0),0)</f>
        <v>0</v>
      </c>
      <c r="AI215" s="138">
        <f>IF('1.DATOS-PROD'!AR216="SI",VLOOKUP('1.DATOS-PROD'!AR$2,'1.PUNTOS'!$A$1:$B$63,2,0),0)</f>
        <v>0</v>
      </c>
      <c r="AJ215" s="138">
        <f>IF('1.DATOS-PROD'!AS216="SI",VLOOKUP('1.DATOS-PROD'!AS$2,'1.PUNTOS'!$A$1:$B$63,2,0),0)</f>
        <v>0</v>
      </c>
      <c r="AK215" s="138">
        <f>IF('1.DATOS-PROD'!AT216="SI",VLOOKUP('1.DATOS-PROD'!AT$2,'1.PUNTOS'!$A$1:$B$63,2,0),0)</f>
        <v>0</v>
      </c>
      <c r="AL215" s="138">
        <f>IF('1.DATOS-PROD'!AU216="SI",VLOOKUP('1.DATOS-PROD'!AU$2,'1.PUNTOS'!$A$1:$B$63,2,0),0)</f>
        <v>0</v>
      </c>
      <c r="AM215" s="138">
        <f>IF('1.DATOS-PROD'!AV216="SI",VLOOKUP('1.DATOS-PROD'!AV$2,'1.PUNTOS'!$A$1:$B$63,2,0),0)</f>
        <v>0</v>
      </c>
      <c r="AN215" s="138">
        <f>IF('1.DATOS-PROD'!AW216="SI",VLOOKUP('1.DATOS-PROD'!AW$2,'1.PUNTOS'!$A$1:$B$63,2,0),0)</f>
        <v>0</v>
      </c>
      <c r="AO215" s="138">
        <f>IF('1.DATOS-PROD'!AX216="SI",VLOOKUP('1.DATOS-PROD'!AX$2,'1.PUNTOS'!$A$1:$B$63,2,0),0)</f>
        <v>0</v>
      </c>
      <c r="AP215" s="138">
        <f>IF('1.DATOS-PROD'!AY216="SI",VLOOKUP('1.DATOS-PROD'!AY$2,'1.PUNTOS'!$A$1:$B$63,2,0),0)</f>
        <v>0</v>
      </c>
      <c r="AQ215" s="138">
        <f>IF('1.DATOS-PROD'!AZ216="SI",VLOOKUP('1.DATOS-PROD'!AZ$2,'1.PUNTOS'!$A$1:$B$63,2,0),0)</f>
        <v>0</v>
      </c>
      <c r="AR215" s="138">
        <f>IF('1.DATOS-PROD'!BA216="SI",VLOOKUP('1.DATOS-PROD'!BA$2,'1.PUNTOS'!$A$1:$B$63,2,0),0)</f>
        <v>0</v>
      </c>
      <c r="AS215" s="138">
        <f>IF('1.DATOS-PROD'!BB216="SI",VLOOKUP('1.DATOS-PROD'!BB$2,'1.PUNTOS'!$A$1:$B$63,2,0),0)</f>
        <v>0</v>
      </c>
      <c r="AT215" s="138">
        <f>IF('1.DATOS-PROD'!BC216="SI",VLOOKUP('1.DATOS-PROD'!BC$2,'1.PUNTOS'!$A$1:$B$63,2,0),0)</f>
        <v>0</v>
      </c>
      <c r="AU215" s="138">
        <f>IF('1.DATOS-PROD'!BD216="SI",VLOOKUP('1.DATOS-PROD'!BD$2,'1.PUNTOS'!$A$1:$B$63,2,0),0)</f>
        <v>0</v>
      </c>
      <c r="AV215" s="138">
        <f>IF('1.DATOS-PROD'!BE216="SI",VLOOKUP('1.DATOS-PROD'!BE$2,'1.PUNTOS'!$A$1:$B$63,2,0),0)</f>
        <v>0</v>
      </c>
      <c r="AW215" s="138">
        <f>IF('1.DATOS-PROD'!BF216="SI",VLOOKUP('1.DATOS-PROD'!BF$2,'1.PUNTOS'!$A$1:$B$63,2,0),0)</f>
        <v>0</v>
      </c>
      <c r="AX215" s="138">
        <f>IF('1.DATOS-PROD'!BG216="SI",VLOOKUP('1.DATOS-PROD'!BG$2,'1.PUNTOS'!$A$1:$B$63,2,0),0)</f>
        <v>0</v>
      </c>
      <c r="AY215" s="138">
        <f>IF('1.DATOS-PROD'!BH216="SI",VLOOKUP('1.DATOS-PROD'!BH$2,'1.PUNTOS'!$A$1:$B$63,2,0),0)</f>
        <v>0</v>
      </c>
      <c r="AZ215" s="138">
        <f>IF('1.DATOS-PROD'!BI216="SI",VLOOKUP('1.DATOS-PROD'!BI$2,'1.PUNTOS'!$A$1:$B$63,2,0),0)</f>
        <v>0</v>
      </c>
      <c r="BA215" s="138">
        <f>IF('1.DATOS-PROD'!BJ216="SI",VLOOKUP('1.DATOS-PROD'!BJ$2,'1.PUNTOS'!$A$1:$B$63,2,0),0)</f>
        <v>0</v>
      </c>
      <c r="BB215" s="138">
        <f>IF('1.DATOS-PROD'!BK216="SI",VLOOKUP('1.DATOS-PROD'!BK$2,'1.PUNTOS'!$A$1:$B$63,2,0),0)</f>
        <v>0</v>
      </c>
      <c r="BC215" s="138">
        <f>IF('1.DATOS-PROD'!BL216="SI",VLOOKUP('1.DATOS-PROD'!BL$2,'1.PUNTOS'!$A$1:$B$63,2,0),0)</f>
        <v>0</v>
      </c>
      <c r="BD215" s="138">
        <f>IF('1.DATOS-PROD'!BM216="SI",VLOOKUP('1.DATOS-PROD'!BM$2,'1.PUNTOS'!$A$1:$B$63,2,0),0)</f>
        <v>0</v>
      </c>
      <c r="BE215" s="138">
        <f>IF('1.DATOS-PROD'!BN216="SI",VLOOKUP('1.DATOS-PROD'!BN$2,'1.PUNTOS'!$A$1:$B$63,2,0),0)</f>
        <v>0</v>
      </c>
      <c r="BF215" s="138">
        <f>IF('1.DATOS-PROD'!BO216="SI",VLOOKUP('1.DATOS-PROD'!BO$2,'1.PUNTOS'!$A$1:$B$63,2,0),0)</f>
        <v>0</v>
      </c>
      <c r="BG215" s="138">
        <f>IF('1.DATOS-PROD'!BP216="SI",VLOOKUP('1.DATOS-PROD'!BP$2,'1.PUNTOS'!$A$1:$B$63,2,0),0)</f>
        <v>0</v>
      </c>
      <c r="BH215" s="138">
        <f>IF('1.DATOS-PROD'!BQ216="SI",VLOOKUP('1.DATOS-PROD'!BQ$2,'1.PUNTOS'!$A$1:$B$63,2,0),0)</f>
        <v>0</v>
      </c>
      <c r="BI215" s="138">
        <f>IF('1.DATOS-PROD'!BR216="SI",VLOOKUP('1.DATOS-PROD'!BR$2,'1.PUNTOS'!$A$1:$B$63,2,0),0)</f>
        <v>0</v>
      </c>
      <c r="BJ215" s="138">
        <f>IF('1.DATOS-PROD'!BS216="SI",VLOOKUP('1.DATOS-PROD'!BS$2,'1.PUNTOS'!$A$1:$B$63,2,0),0)</f>
        <v>0</v>
      </c>
      <c r="BK215" s="138">
        <f>IF('1.DATOS-PROD'!BT216="SI",VLOOKUP('1.DATOS-PROD'!BT$2,'1.PUNTOS'!$A$1:$B$63,2,0),0)</f>
        <v>0</v>
      </c>
    </row>
    <row r="216" spans="1:63" x14ac:dyDescent="0.25">
      <c r="A216">
        <f>'0.Consolidado general'!$A217</f>
        <v>0</v>
      </c>
      <c r="B216" s="138">
        <f>IF('1.DATOS-PROD'!K217="SI",VLOOKUP('1.DATOS-PROD'!K$2,'1.PUNTOS'!$A$1:$B$63,2,0),0)</f>
        <v>0</v>
      </c>
      <c r="C216" s="138">
        <f>IF('1.DATOS-PROD'!L217="SI",VLOOKUP('1.DATOS-PROD'!L$2,'1.PUNTOS'!$A$1:$B$63,2,0),0)</f>
        <v>0</v>
      </c>
      <c r="D216" s="138">
        <f>IF('1.DATOS-PROD'!M217="SI",VLOOKUP('1.DATOS-PROD'!M$2,'1.PUNTOS'!$A$1:$B$63,2,0),0)</f>
        <v>0</v>
      </c>
      <c r="E216" s="138">
        <f>IF('1.DATOS-PROD'!N217="SI",VLOOKUP('1.DATOS-PROD'!N$2,'1.PUNTOS'!$A$1:$B$63,2,0),0)</f>
        <v>0</v>
      </c>
      <c r="F216" s="138">
        <f>IF('1.DATOS-PROD'!O217="SI",VLOOKUP('1.DATOS-PROD'!O$2,'1.PUNTOS'!$A$1:$B$63,2,0),0)</f>
        <v>0</v>
      </c>
      <c r="G216" s="138">
        <f>IF('1.DATOS-PROD'!P217="SI",VLOOKUP('1.DATOS-PROD'!P$2,'1.PUNTOS'!$A$1:$B$63,2,0),0)</f>
        <v>0</v>
      </c>
      <c r="H216" s="138">
        <f>IF('1.DATOS-PROD'!Q217="SI",VLOOKUP('1.DATOS-PROD'!Q$2,'1.PUNTOS'!$A$1:$B$63,2,0),0)</f>
        <v>0</v>
      </c>
      <c r="I216" s="138">
        <f>IF('1.DATOS-PROD'!R217="SI",VLOOKUP('1.DATOS-PROD'!R$2,'1.PUNTOS'!$A$1:$B$63,2,0),0)</f>
        <v>0</v>
      </c>
      <c r="J216" s="138">
        <f>IF('1.DATOS-PROD'!S217="SI",VLOOKUP('1.DATOS-PROD'!S$2,'1.PUNTOS'!$A$1:$B$63,2,0),0)</f>
        <v>0</v>
      </c>
      <c r="K216" s="138">
        <f>IF('1.DATOS-PROD'!T217="SI",VLOOKUP('1.DATOS-PROD'!T$2,'1.PUNTOS'!$A$1:$B$63,2,0),0)</f>
        <v>0</v>
      </c>
      <c r="L216" s="138">
        <f>IF('1.DATOS-PROD'!U217="SI",VLOOKUP('1.DATOS-PROD'!U$2,'1.PUNTOS'!$A$1:$B$63,2,0),0)</f>
        <v>0</v>
      </c>
      <c r="M216" s="138">
        <f>IF('1.DATOS-PROD'!V217="SI",VLOOKUP('1.DATOS-PROD'!V$2,'1.PUNTOS'!$A$1:$B$63,2,0),0)</f>
        <v>0</v>
      </c>
      <c r="N216" s="138">
        <f>IF('1.DATOS-PROD'!W217="SI",VLOOKUP('1.DATOS-PROD'!W$2,'1.PUNTOS'!$A$1:$B$63,2,0),0)</f>
        <v>0</v>
      </c>
      <c r="O216" s="138">
        <f>IF('1.DATOS-PROD'!X217="SI",VLOOKUP('1.DATOS-PROD'!X$2,'1.PUNTOS'!$A$1:$B$63,2,0),0)</f>
        <v>0</v>
      </c>
      <c r="P216" s="138">
        <f>IF('1.DATOS-PROD'!Y217="SI",VLOOKUP('1.DATOS-PROD'!Y$2,'1.PUNTOS'!$A$1:$B$63,2,0),0)</f>
        <v>0</v>
      </c>
      <c r="Q216" s="138">
        <f>IF('1.DATOS-PROD'!Z217="SI",VLOOKUP('1.DATOS-PROD'!Z$2,'1.PUNTOS'!$A$1:$B$63,2,0),0)</f>
        <v>0</v>
      </c>
      <c r="R216" s="138">
        <f>IF('1.DATOS-PROD'!AA217="SI",VLOOKUP('1.DATOS-PROD'!AA$2,'1.PUNTOS'!$A$1:$B$63,2,0),0)</f>
        <v>0</v>
      </c>
      <c r="S216" s="138">
        <f>IF('1.DATOS-PROD'!AB217="SI",VLOOKUP('1.DATOS-PROD'!AB$2,'1.PUNTOS'!$A$1:$B$63,2,0),0)</f>
        <v>0</v>
      </c>
      <c r="T216" s="138">
        <f>IF('1.DATOS-PROD'!AC217="SI",VLOOKUP('1.DATOS-PROD'!AC$2,'1.PUNTOS'!$A$1:$B$63,2,0),0)</f>
        <v>0</v>
      </c>
      <c r="U216" s="138">
        <f>IF('1.DATOS-PROD'!AD217="SI",VLOOKUP('1.DATOS-PROD'!AD$2,'1.PUNTOS'!$A$1:$B$63,2,0),0)</f>
        <v>0</v>
      </c>
      <c r="V216" s="138">
        <f>IF('1.DATOS-PROD'!AE217="SI",VLOOKUP('1.DATOS-PROD'!AE$2,'1.PUNTOS'!$A$1:$B$63,2,0),0)</f>
        <v>0</v>
      </c>
      <c r="W216" s="138">
        <f>IF('1.DATOS-PROD'!AF217="SI",VLOOKUP('1.DATOS-PROD'!AF$2,'1.PUNTOS'!$A$1:$B$63,2,0),0)</f>
        <v>0</v>
      </c>
      <c r="X216" s="138">
        <f>IF('1.DATOS-PROD'!AG217="SI",VLOOKUP('1.DATOS-PROD'!AG$2,'1.PUNTOS'!$A$1:$B$63,2,0),0)</f>
        <v>0</v>
      </c>
      <c r="Y216" s="138">
        <f>IF('1.DATOS-PROD'!AH217="SI",VLOOKUP('1.DATOS-PROD'!AH$2,'1.PUNTOS'!$A$1:$B$63,2,0),0)</f>
        <v>0</v>
      </c>
      <c r="Z216" s="138">
        <f>IF('1.DATOS-PROD'!AI217="SI",VLOOKUP('1.DATOS-PROD'!AI$2,'1.PUNTOS'!$A$1:$B$63,2,0),0)</f>
        <v>0</v>
      </c>
      <c r="AA216" s="138">
        <f>IF('1.DATOS-PROD'!AJ217="SI",VLOOKUP('1.DATOS-PROD'!AJ$2,'1.PUNTOS'!$A$1:$B$63,2,0),0)</f>
        <v>0</v>
      </c>
      <c r="AB216" s="138">
        <f>IF('1.DATOS-PROD'!AK217="SI",VLOOKUP('1.DATOS-PROD'!AK$2,'1.PUNTOS'!$A$1:$B$63,2,0),0)</f>
        <v>0</v>
      </c>
      <c r="AC216" s="138">
        <f>IF('1.DATOS-PROD'!AL217="SI",VLOOKUP('1.DATOS-PROD'!AL$2,'1.PUNTOS'!$A$1:$B$63,2,0),0)</f>
        <v>0</v>
      </c>
      <c r="AD216" s="138">
        <f>IF('1.DATOS-PROD'!AM217="SI",VLOOKUP('1.DATOS-PROD'!AM$2,'1.PUNTOS'!$A$1:$B$63,2,0),0)</f>
        <v>0</v>
      </c>
      <c r="AE216" s="138">
        <f>IF('1.DATOS-PROD'!AN217="SI",VLOOKUP('1.DATOS-PROD'!AN$2,'1.PUNTOS'!$A$1:$B$63,2,0),0)</f>
        <v>0</v>
      </c>
      <c r="AF216" s="138">
        <f>IF('1.DATOS-PROD'!AO217="SI",VLOOKUP('1.DATOS-PROD'!AO$2,'1.PUNTOS'!$A$1:$B$63,2,0),0)</f>
        <v>0</v>
      </c>
      <c r="AG216" s="138">
        <f>IF('1.DATOS-PROD'!AP217="SI",VLOOKUP('1.DATOS-PROD'!AP$2,'1.PUNTOS'!$A$1:$B$63,2,0),0)</f>
        <v>0</v>
      </c>
      <c r="AH216" s="138">
        <f>IF('1.DATOS-PROD'!AQ217="SI",VLOOKUP('1.DATOS-PROD'!AQ$2,'1.PUNTOS'!$A$1:$B$63,2,0),0)</f>
        <v>0</v>
      </c>
      <c r="AI216" s="138">
        <f>IF('1.DATOS-PROD'!AR217="SI",VLOOKUP('1.DATOS-PROD'!AR$2,'1.PUNTOS'!$A$1:$B$63,2,0),0)</f>
        <v>0</v>
      </c>
      <c r="AJ216" s="138">
        <f>IF('1.DATOS-PROD'!AS217="SI",VLOOKUP('1.DATOS-PROD'!AS$2,'1.PUNTOS'!$A$1:$B$63,2,0),0)</f>
        <v>0</v>
      </c>
      <c r="AK216" s="138">
        <f>IF('1.DATOS-PROD'!AT217="SI",VLOOKUP('1.DATOS-PROD'!AT$2,'1.PUNTOS'!$A$1:$B$63,2,0),0)</f>
        <v>0</v>
      </c>
      <c r="AL216" s="138">
        <f>IF('1.DATOS-PROD'!AU217="SI",VLOOKUP('1.DATOS-PROD'!AU$2,'1.PUNTOS'!$A$1:$B$63,2,0),0)</f>
        <v>0</v>
      </c>
      <c r="AM216" s="138">
        <f>IF('1.DATOS-PROD'!AV217="SI",VLOOKUP('1.DATOS-PROD'!AV$2,'1.PUNTOS'!$A$1:$B$63,2,0),0)</f>
        <v>0</v>
      </c>
      <c r="AN216" s="138">
        <f>IF('1.DATOS-PROD'!AW217="SI",VLOOKUP('1.DATOS-PROD'!AW$2,'1.PUNTOS'!$A$1:$B$63,2,0),0)</f>
        <v>0</v>
      </c>
      <c r="AO216" s="138">
        <f>IF('1.DATOS-PROD'!AX217="SI",VLOOKUP('1.DATOS-PROD'!AX$2,'1.PUNTOS'!$A$1:$B$63,2,0),0)</f>
        <v>0</v>
      </c>
      <c r="AP216" s="138">
        <f>IF('1.DATOS-PROD'!AY217="SI",VLOOKUP('1.DATOS-PROD'!AY$2,'1.PUNTOS'!$A$1:$B$63,2,0),0)</f>
        <v>0</v>
      </c>
      <c r="AQ216" s="138">
        <f>IF('1.DATOS-PROD'!AZ217="SI",VLOOKUP('1.DATOS-PROD'!AZ$2,'1.PUNTOS'!$A$1:$B$63,2,0),0)</f>
        <v>0</v>
      </c>
      <c r="AR216" s="138">
        <f>IF('1.DATOS-PROD'!BA217="SI",VLOOKUP('1.DATOS-PROD'!BA$2,'1.PUNTOS'!$A$1:$B$63,2,0),0)</f>
        <v>0</v>
      </c>
      <c r="AS216" s="138">
        <f>IF('1.DATOS-PROD'!BB217="SI",VLOOKUP('1.DATOS-PROD'!BB$2,'1.PUNTOS'!$A$1:$B$63,2,0),0)</f>
        <v>0</v>
      </c>
      <c r="AT216" s="138">
        <f>IF('1.DATOS-PROD'!BC217="SI",VLOOKUP('1.DATOS-PROD'!BC$2,'1.PUNTOS'!$A$1:$B$63,2,0),0)</f>
        <v>0</v>
      </c>
      <c r="AU216" s="138">
        <f>IF('1.DATOS-PROD'!BD217="SI",VLOOKUP('1.DATOS-PROD'!BD$2,'1.PUNTOS'!$A$1:$B$63,2,0),0)</f>
        <v>0</v>
      </c>
      <c r="AV216" s="138">
        <f>IF('1.DATOS-PROD'!BE217="SI",VLOOKUP('1.DATOS-PROD'!BE$2,'1.PUNTOS'!$A$1:$B$63,2,0),0)</f>
        <v>0</v>
      </c>
      <c r="AW216" s="138">
        <f>IF('1.DATOS-PROD'!BF217="SI",VLOOKUP('1.DATOS-PROD'!BF$2,'1.PUNTOS'!$A$1:$B$63,2,0),0)</f>
        <v>0</v>
      </c>
      <c r="AX216" s="138">
        <f>IF('1.DATOS-PROD'!BG217="SI",VLOOKUP('1.DATOS-PROD'!BG$2,'1.PUNTOS'!$A$1:$B$63,2,0),0)</f>
        <v>0</v>
      </c>
      <c r="AY216" s="138">
        <f>IF('1.DATOS-PROD'!BH217="SI",VLOOKUP('1.DATOS-PROD'!BH$2,'1.PUNTOS'!$A$1:$B$63,2,0),0)</f>
        <v>0</v>
      </c>
      <c r="AZ216" s="138">
        <f>IF('1.DATOS-PROD'!BI217="SI",VLOOKUP('1.DATOS-PROD'!BI$2,'1.PUNTOS'!$A$1:$B$63,2,0),0)</f>
        <v>0</v>
      </c>
      <c r="BA216" s="138">
        <f>IF('1.DATOS-PROD'!BJ217="SI",VLOOKUP('1.DATOS-PROD'!BJ$2,'1.PUNTOS'!$A$1:$B$63,2,0),0)</f>
        <v>0</v>
      </c>
      <c r="BB216" s="138">
        <f>IF('1.DATOS-PROD'!BK217="SI",VLOOKUP('1.DATOS-PROD'!BK$2,'1.PUNTOS'!$A$1:$B$63,2,0),0)</f>
        <v>0</v>
      </c>
      <c r="BC216" s="138">
        <f>IF('1.DATOS-PROD'!BL217="SI",VLOOKUP('1.DATOS-PROD'!BL$2,'1.PUNTOS'!$A$1:$B$63,2,0),0)</f>
        <v>0</v>
      </c>
      <c r="BD216" s="138">
        <f>IF('1.DATOS-PROD'!BM217="SI",VLOOKUP('1.DATOS-PROD'!BM$2,'1.PUNTOS'!$A$1:$B$63,2,0),0)</f>
        <v>0</v>
      </c>
      <c r="BE216" s="138">
        <f>IF('1.DATOS-PROD'!BN217="SI",VLOOKUP('1.DATOS-PROD'!BN$2,'1.PUNTOS'!$A$1:$B$63,2,0),0)</f>
        <v>0</v>
      </c>
      <c r="BF216" s="138">
        <f>IF('1.DATOS-PROD'!BO217="SI",VLOOKUP('1.DATOS-PROD'!BO$2,'1.PUNTOS'!$A$1:$B$63,2,0),0)</f>
        <v>0</v>
      </c>
      <c r="BG216" s="138">
        <f>IF('1.DATOS-PROD'!BP217="SI",VLOOKUP('1.DATOS-PROD'!BP$2,'1.PUNTOS'!$A$1:$B$63,2,0),0)</f>
        <v>0</v>
      </c>
      <c r="BH216" s="138">
        <f>IF('1.DATOS-PROD'!BQ217="SI",VLOOKUP('1.DATOS-PROD'!BQ$2,'1.PUNTOS'!$A$1:$B$63,2,0),0)</f>
        <v>0</v>
      </c>
      <c r="BI216" s="138">
        <f>IF('1.DATOS-PROD'!BR217="SI",VLOOKUP('1.DATOS-PROD'!BR$2,'1.PUNTOS'!$A$1:$B$63,2,0),0)</f>
        <v>0</v>
      </c>
      <c r="BJ216" s="138">
        <f>IF('1.DATOS-PROD'!BS217="SI",VLOOKUP('1.DATOS-PROD'!BS$2,'1.PUNTOS'!$A$1:$B$63,2,0),0)</f>
        <v>0</v>
      </c>
      <c r="BK216" s="138">
        <f>IF('1.DATOS-PROD'!BT217="SI",VLOOKUP('1.DATOS-PROD'!BT$2,'1.PUNTOS'!$A$1:$B$63,2,0),0)</f>
        <v>0</v>
      </c>
    </row>
    <row r="217" spans="1:63" x14ac:dyDescent="0.25">
      <c r="A217">
        <f>'0.Consolidado general'!$A218</f>
        <v>0</v>
      </c>
      <c r="B217" s="138">
        <f>IF('1.DATOS-PROD'!K218="SI",VLOOKUP('1.DATOS-PROD'!K$2,'1.PUNTOS'!$A$1:$B$63,2,0),0)</f>
        <v>0</v>
      </c>
      <c r="C217" s="138">
        <f>IF('1.DATOS-PROD'!L218="SI",VLOOKUP('1.DATOS-PROD'!L$2,'1.PUNTOS'!$A$1:$B$63,2,0),0)</f>
        <v>0</v>
      </c>
      <c r="D217" s="138">
        <f>IF('1.DATOS-PROD'!M218="SI",VLOOKUP('1.DATOS-PROD'!M$2,'1.PUNTOS'!$A$1:$B$63,2,0),0)</f>
        <v>0</v>
      </c>
      <c r="E217" s="138">
        <f>IF('1.DATOS-PROD'!N218="SI",VLOOKUP('1.DATOS-PROD'!N$2,'1.PUNTOS'!$A$1:$B$63,2,0),0)</f>
        <v>0</v>
      </c>
      <c r="F217" s="138">
        <f>IF('1.DATOS-PROD'!O218="SI",VLOOKUP('1.DATOS-PROD'!O$2,'1.PUNTOS'!$A$1:$B$63,2,0),0)</f>
        <v>0</v>
      </c>
      <c r="G217" s="138">
        <f>IF('1.DATOS-PROD'!P218="SI",VLOOKUP('1.DATOS-PROD'!P$2,'1.PUNTOS'!$A$1:$B$63,2,0),0)</f>
        <v>0</v>
      </c>
      <c r="H217" s="138">
        <f>IF('1.DATOS-PROD'!Q218="SI",VLOOKUP('1.DATOS-PROD'!Q$2,'1.PUNTOS'!$A$1:$B$63,2,0),0)</f>
        <v>0</v>
      </c>
      <c r="I217" s="138">
        <f>IF('1.DATOS-PROD'!R218="SI",VLOOKUP('1.DATOS-PROD'!R$2,'1.PUNTOS'!$A$1:$B$63,2,0),0)</f>
        <v>0</v>
      </c>
      <c r="J217" s="138">
        <f>IF('1.DATOS-PROD'!S218="SI",VLOOKUP('1.DATOS-PROD'!S$2,'1.PUNTOS'!$A$1:$B$63,2,0),0)</f>
        <v>0</v>
      </c>
      <c r="K217" s="138">
        <f>IF('1.DATOS-PROD'!T218="SI",VLOOKUP('1.DATOS-PROD'!T$2,'1.PUNTOS'!$A$1:$B$63,2,0),0)</f>
        <v>0</v>
      </c>
      <c r="L217" s="138">
        <f>IF('1.DATOS-PROD'!U218="SI",VLOOKUP('1.DATOS-PROD'!U$2,'1.PUNTOS'!$A$1:$B$63,2,0),0)</f>
        <v>0</v>
      </c>
      <c r="M217" s="138">
        <f>IF('1.DATOS-PROD'!V218="SI",VLOOKUP('1.DATOS-PROD'!V$2,'1.PUNTOS'!$A$1:$B$63,2,0),0)</f>
        <v>0</v>
      </c>
      <c r="N217" s="138">
        <f>IF('1.DATOS-PROD'!W218="SI",VLOOKUP('1.DATOS-PROD'!W$2,'1.PUNTOS'!$A$1:$B$63,2,0),0)</f>
        <v>0</v>
      </c>
      <c r="O217" s="138">
        <f>IF('1.DATOS-PROD'!X218="SI",VLOOKUP('1.DATOS-PROD'!X$2,'1.PUNTOS'!$A$1:$B$63,2,0),0)</f>
        <v>0</v>
      </c>
      <c r="P217" s="138">
        <f>IF('1.DATOS-PROD'!Y218="SI",VLOOKUP('1.DATOS-PROD'!Y$2,'1.PUNTOS'!$A$1:$B$63,2,0),0)</f>
        <v>0</v>
      </c>
      <c r="Q217" s="138">
        <f>IF('1.DATOS-PROD'!Z218="SI",VLOOKUP('1.DATOS-PROD'!Z$2,'1.PUNTOS'!$A$1:$B$63,2,0),0)</f>
        <v>0</v>
      </c>
      <c r="R217" s="138">
        <f>IF('1.DATOS-PROD'!AA218="SI",VLOOKUP('1.DATOS-PROD'!AA$2,'1.PUNTOS'!$A$1:$B$63,2,0),0)</f>
        <v>0</v>
      </c>
      <c r="S217" s="138">
        <f>IF('1.DATOS-PROD'!AB218="SI",VLOOKUP('1.DATOS-PROD'!AB$2,'1.PUNTOS'!$A$1:$B$63,2,0),0)</f>
        <v>0</v>
      </c>
      <c r="T217" s="138">
        <f>IF('1.DATOS-PROD'!AC218="SI",VLOOKUP('1.DATOS-PROD'!AC$2,'1.PUNTOS'!$A$1:$B$63,2,0),0)</f>
        <v>0</v>
      </c>
      <c r="U217" s="138">
        <f>IF('1.DATOS-PROD'!AD218="SI",VLOOKUP('1.DATOS-PROD'!AD$2,'1.PUNTOS'!$A$1:$B$63,2,0),0)</f>
        <v>0</v>
      </c>
      <c r="V217" s="138">
        <f>IF('1.DATOS-PROD'!AE218="SI",VLOOKUP('1.DATOS-PROD'!AE$2,'1.PUNTOS'!$A$1:$B$63,2,0),0)</f>
        <v>0</v>
      </c>
      <c r="W217" s="138">
        <f>IF('1.DATOS-PROD'!AF218="SI",VLOOKUP('1.DATOS-PROD'!AF$2,'1.PUNTOS'!$A$1:$B$63,2,0),0)</f>
        <v>0</v>
      </c>
      <c r="X217" s="138">
        <f>IF('1.DATOS-PROD'!AG218="SI",VLOOKUP('1.DATOS-PROD'!AG$2,'1.PUNTOS'!$A$1:$B$63,2,0),0)</f>
        <v>0</v>
      </c>
      <c r="Y217" s="138">
        <f>IF('1.DATOS-PROD'!AH218="SI",VLOOKUP('1.DATOS-PROD'!AH$2,'1.PUNTOS'!$A$1:$B$63,2,0),0)</f>
        <v>0</v>
      </c>
      <c r="Z217" s="138">
        <f>IF('1.DATOS-PROD'!AI218="SI",VLOOKUP('1.DATOS-PROD'!AI$2,'1.PUNTOS'!$A$1:$B$63,2,0),0)</f>
        <v>0</v>
      </c>
      <c r="AA217" s="138">
        <f>IF('1.DATOS-PROD'!AJ218="SI",VLOOKUP('1.DATOS-PROD'!AJ$2,'1.PUNTOS'!$A$1:$B$63,2,0),0)</f>
        <v>0</v>
      </c>
      <c r="AB217" s="138">
        <f>IF('1.DATOS-PROD'!AK218="SI",VLOOKUP('1.DATOS-PROD'!AK$2,'1.PUNTOS'!$A$1:$B$63,2,0),0)</f>
        <v>0</v>
      </c>
      <c r="AC217" s="138">
        <f>IF('1.DATOS-PROD'!AL218="SI",VLOOKUP('1.DATOS-PROD'!AL$2,'1.PUNTOS'!$A$1:$B$63,2,0),0)</f>
        <v>0</v>
      </c>
      <c r="AD217" s="138">
        <f>IF('1.DATOS-PROD'!AM218="SI",VLOOKUP('1.DATOS-PROD'!AM$2,'1.PUNTOS'!$A$1:$B$63,2,0),0)</f>
        <v>0</v>
      </c>
      <c r="AE217" s="138">
        <f>IF('1.DATOS-PROD'!AN218="SI",VLOOKUP('1.DATOS-PROD'!AN$2,'1.PUNTOS'!$A$1:$B$63,2,0),0)</f>
        <v>0</v>
      </c>
      <c r="AF217" s="138">
        <f>IF('1.DATOS-PROD'!AO218="SI",VLOOKUP('1.DATOS-PROD'!AO$2,'1.PUNTOS'!$A$1:$B$63,2,0),0)</f>
        <v>0</v>
      </c>
      <c r="AG217" s="138">
        <f>IF('1.DATOS-PROD'!AP218="SI",VLOOKUP('1.DATOS-PROD'!AP$2,'1.PUNTOS'!$A$1:$B$63,2,0),0)</f>
        <v>0</v>
      </c>
      <c r="AH217" s="138">
        <f>IF('1.DATOS-PROD'!AQ218="SI",VLOOKUP('1.DATOS-PROD'!AQ$2,'1.PUNTOS'!$A$1:$B$63,2,0),0)</f>
        <v>0</v>
      </c>
      <c r="AI217" s="138">
        <f>IF('1.DATOS-PROD'!AR218="SI",VLOOKUP('1.DATOS-PROD'!AR$2,'1.PUNTOS'!$A$1:$B$63,2,0),0)</f>
        <v>0</v>
      </c>
      <c r="AJ217" s="138">
        <f>IF('1.DATOS-PROD'!AS218="SI",VLOOKUP('1.DATOS-PROD'!AS$2,'1.PUNTOS'!$A$1:$B$63,2,0),0)</f>
        <v>0</v>
      </c>
      <c r="AK217" s="138">
        <f>IF('1.DATOS-PROD'!AT218="SI",VLOOKUP('1.DATOS-PROD'!AT$2,'1.PUNTOS'!$A$1:$B$63,2,0),0)</f>
        <v>0</v>
      </c>
      <c r="AL217" s="138">
        <f>IF('1.DATOS-PROD'!AU218="SI",VLOOKUP('1.DATOS-PROD'!AU$2,'1.PUNTOS'!$A$1:$B$63,2,0),0)</f>
        <v>0</v>
      </c>
      <c r="AM217" s="138">
        <f>IF('1.DATOS-PROD'!AV218="SI",VLOOKUP('1.DATOS-PROD'!AV$2,'1.PUNTOS'!$A$1:$B$63,2,0),0)</f>
        <v>0</v>
      </c>
      <c r="AN217" s="138">
        <f>IF('1.DATOS-PROD'!AW218="SI",VLOOKUP('1.DATOS-PROD'!AW$2,'1.PUNTOS'!$A$1:$B$63,2,0),0)</f>
        <v>0</v>
      </c>
      <c r="AO217" s="138">
        <f>IF('1.DATOS-PROD'!AX218="SI",VLOOKUP('1.DATOS-PROD'!AX$2,'1.PUNTOS'!$A$1:$B$63,2,0),0)</f>
        <v>0</v>
      </c>
      <c r="AP217" s="138">
        <f>IF('1.DATOS-PROD'!AY218="SI",VLOOKUP('1.DATOS-PROD'!AY$2,'1.PUNTOS'!$A$1:$B$63,2,0),0)</f>
        <v>0</v>
      </c>
      <c r="AQ217" s="138">
        <f>IF('1.DATOS-PROD'!AZ218="SI",VLOOKUP('1.DATOS-PROD'!AZ$2,'1.PUNTOS'!$A$1:$B$63,2,0),0)</f>
        <v>0</v>
      </c>
      <c r="AR217" s="138">
        <f>IF('1.DATOS-PROD'!BA218="SI",VLOOKUP('1.DATOS-PROD'!BA$2,'1.PUNTOS'!$A$1:$B$63,2,0),0)</f>
        <v>0</v>
      </c>
      <c r="AS217" s="138">
        <f>IF('1.DATOS-PROD'!BB218="SI",VLOOKUP('1.DATOS-PROD'!BB$2,'1.PUNTOS'!$A$1:$B$63,2,0),0)</f>
        <v>0</v>
      </c>
      <c r="AT217" s="138">
        <f>IF('1.DATOS-PROD'!BC218="SI",VLOOKUP('1.DATOS-PROD'!BC$2,'1.PUNTOS'!$A$1:$B$63,2,0),0)</f>
        <v>0</v>
      </c>
      <c r="AU217" s="138">
        <f>IF('1.DATOS-PROD'!BD218="SI",VLOOKUP('1.DATOS-PROD'!BD$2,'1.PUNTOS'!$A$1:$B$63,2,0),0)</f>
        <v>0</v>
      </c>
      <c r="AV217" s="138">
        <f>IF('1.DATOS-PROD'!BE218="SI",VLOOKUP('1.DATOS-PROD'!BE$2,'1.PUNTOS'!$A$1:$B$63,2,0),0)</f>
        <v>0</v>
      </c>
      <c r="AW217" s="138">
        <f>IF('1.DATOS-PROD'!BF218="SI",VLOOKUP('1.DATOS-PROD'!BF$2,'1.PUNTOS'!$A$1:$B$63,2,0),0)</f>
        <v>0</v>
      </c>
      <c r="AX217" s="138">
        <f>IF('1.DATOS-PROD'!BG218="SI",VLOOKUP('1.DATOS-PROD'!BG$2,'1.PUNTOS'!$A$1:$B$63,2,0),0)</f>
        <v>0</v>
      </c>
      <c r="AY217" s="138">
        <f>IF('1.DATOS-PROD'!BH218="SI",VLOOKUP('1.DATOS-PROD'!BH$2,'1.PUNTOS'!$A$1:$B$63,2,0),0)</f>
        <v>0</v>
      </c>
      <c r="AZ217" s="138">
        <f>IF('1.DATOS-PROD'!BI218="SI",VLOOKUP('1.DATOS-PROD'!BI$2,'1.PUNTOS'!$A$1:$B$63,2,0),0)</f>
        <v>0</v>
      </c>
      <c r="BA217" s="138">
        <f>IF('1.DATOS-PROD'!BJ218="SI",VLOOKUP('1.DATOS-PROD'!BJ$2,'1.PUNTOS'!$A$1:$B$63,2,0),0)</f>
        <v>0</v>
      </c>
      <c r="BB217" s="138">
        <f>IF('1.DATOS-PROD'!BK218="SI",VLOOKUP('1.DATOS-PROD'!BK$2,'1.PUNTOS'!$A$1:$B$63,2,0),0)</f>
        <v>0</v>
      </c>
      <c r="BC217" s="138">
        <f>IF('1.DATOS-PROD'!BL218="SI",VLOOKUP('1.DATOS-PROD'!BL$2,'1.PUNTOS'!$A$1:$B$63,2,0),0)</f>
        <v>0</v>
      </c>
      <c r="BD217" s="138">
        <f>IF('1.DATOS-PROD'!BM218="SI",VLOOKUP('1.DATOS-PROD'!BM$2,'1.PUNTOS'!$A$1:$B$63,2,0),0)</f>
        <v>0</v>
      </c>
      <c r="BE217" s="138">
        <f>IF('1.DATOS-PROD'!BN218="SI",VLOOKUP('1.DATOS-PROD'!BN$2,'1.PUNTOS'!$A$1:$B$63,2,0),0)</f>
        <v>0</v>
      </c>
      <c r="BF217" s="138">
        <f>IF('1.DATOS-PROD'!BO218="SI",VLOOKUP('1.DATOS-PROD'!BO$2,'1.PUNTOS'!$A$1:$B$63,2,0),0)</f>
        <v>0</v>
      </c>
      <c r="BG217" s="138">
        <f>IF('1.DATOS-PROD'!BP218="SI",VLOOKUP('1.DATOS-PROD'!BP$2,'1.PUNTOS'!$A$1:$B$63,2,0),0)</f>
        <v>0</v>
      </c>
      <c r="BH217" s="138">
        <f>IF('1.DATOS-PROD'!BQ218="SI",VLOOKUP('1.DATOS-PROD'!BQ$2,'1.PUNTOS'!$A$1:$B$63,2,0),0)</f>
        <v>0</v>
      </c>
      <c r="BI217" s="138">
        <f>IF('1.DATOS-PROD'!BR218="SI",VLOOKUP('1.DATOS-PROD'!BR$2,'1.PUNTOS'!$A$1:$B$63,2,0),0)</f>
        <v>0</v>
      </c>
      <c r="BJ217" s="138">
        <f>IF('1.DATOS-PROD'!BS218="SI",VLOOKUP('1.DATOS-PROD'!BS$2,'1.PUNTOS'!$A$1:$B$63,2,0),0)</f>
        <v>0</v>
      </c>
      <c r="BK217" s="138">
        <f>IF('1.DATOS-PROD'!BT218="SI",VLOOKUP('1.DATOS-PROD'!BT$2,'1.PUNTOS'!$A$1:$B$63,2,0),0)</f>
        <v>0</v>
      </c>
    </row>
    <row r="218" spans="1:63" x14ac:dyDescent="0.25">
      <c r="A218">
        <f>'0.Consolidado general'!$A219</f>
        <v>0</v>
      </c>
      <c r="B218" s="138">
        <f>IF('1.DATOS-PROD'!K219="SI",VLOOKUP('1.DATOS-PROD'!K$2,'1.PUNTOS'!$A$1:$B$63,2,0),0)</f>
        <v>0</v>
      </c>
      <c r="C218" s="138">
        <f>IF('1.DATOS-PROD'!L219="SI",VLOOKUP('1.DATOS-PROD'!L$2,'1.PUNTOS'!$A$1:$B$63,2,0),0)</f>
        <v>0</v>
      </c>
      <c r="D218" s="138">
        <f>IF('1.DATOS-PROD'!M219="SI",VLOOKUP('1.DATOS-PROD'!M$2,'1.PUNTOS'!$A$1:$B$63,2,0),0)</f>
        <v>0</v>
      </c>
      <c r="E218" s="138">
        <f>IF('1.DATOS-PROD'!N219="SI",VLOOKUP('1.DATOS-PROD'!N$2,'1.PUNTOS'!$A$1:$B$63,2,0),0)</f>
        <v>0</v>
      </c>
      <c r="F218" s="138">
        <f>IF('1.DATOS-PROD'!O219="SI",VLOOKUP('1.DATOS-PROD'!O$2,'1.PUNTOS'!$A$1:$B$63,2,0),0)</f>
        <v>0</v>
      </c>
      <c r="G218" s="138">
        <f>IF('1.DATOS-PROD'!P219="SI",VLOOKUP('1.DATOS-PROD'!P$2,'1.PUNTOS'!$A$1:$B$63,2,0),0)</f>
        <v>0</v>
      </c>
      <c r="H218" s="138">
        <f>IF('1.DATOS-PROD'!Q219="SI",VLOOKUP('1.DATOS-PROD'!Q$2,'1.PUNTOS'!$A$1:$B$63,2,0),0)</f>
        <v>0</v>
      </c>
      <c r="I218" s="138">
        <f>IF('1.DATOS-PROD'!R219="SI",VLOOKUP('1.DATOS-PROD'!R$2,'1.PUNTOS'!$A$1:$B$63,2,0),0)</f>
        <v>0</v>
      </c>
      <c r="J218" s="138">
        <f>IF('1.DATOS-PROD'!S219="SI",VLOOKUP('1.DATOS-PROD'!S$2,'1.PUNTOS'!$A$1:$B$63,2,0),0)</f>
        <v>0</v>
      </c>
      <c r="K218" s="138">
        <f>IF('1.DATOS-PROD'!T219="SI",VLOOKUP('1.DATOS-PROD'!T$2,'1.PUNTOS'!$A$1:$B$63,2,0),0)</f>
        <v>0</v>
      </c>
      <c r="L218" s="138">
        <f>IF('1.DATOS-PROD'!U219="SI",VLOOKUP('1.DATOS-PROD'!U$2,'1.PUNTOS'!$A$1:$B$63,2,0),0)</f>
        <v>0</v>
      </c>
      <c r="M218" s="138">
        <f>IF('1.DATOS-PROD'!V219="SI",VLOOKUP('1.DATOS-PROD'!V$2,'1.PUNTOS'!$A$1:$B$63,2,0),0)</f>
        <v>0</v>
      </c>
      <c r="N218" s="138">
        <f>IF('1.DATOS-PROD'!W219="SI",VLOOKUP('1.DATOS-PROD'!W$2,'1.PUNTOS'!$A$1:$B$63,2,0),0)</f>
        <v>0</v>
      </c>
      <c r="O218" s="138">
        <f>IF('1.DATOS-PROD'!X219="SI",VLOOKUP('1.DATOS-PROD'!X$2,'1.PUNTOS'!$A$1:$B$63,2,0),0)</f>
        <v>0</v>
      </c>
      <c r="P218" s="138">
        <f>IF('1.DATOS-PROD'!Y219="SI",VLOOKUP('1.DATOS-PROD'!Y$2,'1.PUNTOS'!$A$1:$B$63,2,0),0)</f>
        <v>0</v>
      </c>
      <c r="Q218" s="138">
        <f>IF('1.DATOS-PROD'!Z219="SI",VLOOKUP('1.DATOS-PROD'!Z$2,'1.PUNTOS'!$A$1:$B$63,2,0),0)</f>
        <v>0</v>
      </c>
      <c r="R218" s="138">
        <f>IF('1.DATOS-PROD'!AA219="SI",VLOOKUP('1.DATOS-PROD'!AA$2,'1.PUNTOS'!$A$1:$B$63,2,0),0)</f>
        <v>0</v>
      </c>
      <c r="S218" s="138">
        <f>IF('1.DATOS-PROD'!AB219="SI",VLOOKUP('1.DATOS-PROD'!AB$2,'1.PUNTOS'!$A$1:$B$63,2,0),0)</f>
        <v>0</v>
      </c>
      <c r="T218" s="138">
        <f>IF('1.DATOS-PROD'!AC219="SI",VLOOKUP('1.DATOS-PROD'!AC$2,'1.PUNTOS'!$A$1:$B$63,2,0),0)</f>
        <v>0</v>
      </c>
      <c r="U218" s="138">
        <f>IF('1.DATOS-PROD'!AD219="SI",VLOOKUP('1.DATOS-PROD'!AD$2,'1.PUNTOS'!$A$1:$B$63,2,0),0)</f>
        <v>0</v>
      </c>
      <c r="V218" s="138">
        <f>IF('1.DATOS-PROD'!AE219="SI",VLOOKUP('1.DATOS-PROD'!AE$2,'1.PUNTOS'!$A$1:$B$63,2,0),0)</f>
        <v>0</v>
      </c>
      <c r="W218" s="138">
        <f>IF('1.DATOS-PROD'!AF219="SI",VLOOKUP('1.DATOS-PROD'!AF$2,'1.PUNTOS'!$A$1:$B$63,2,0),0)</f>
        <v>0</v>
      </c>
      <c r="X218" s="138">
        <f>IF('1.DATOS-PROD'!AG219="SI",VLOOKUP('1.DATOS-PROD'!AG$2,'1.PUNTOS'!$A$1:$B$63,2,0),0)</f>
        <v>0</v>
      </c>
      <c r="Y218" s="138">
        <f>IF('1.DATOS-PROD'!AH219="SI",VLOOKUP('1.DATOS-PROD'!AH$2,'1.PUNTOS'!$A$1:$B$63,2,0),0)</f>
        <v>0</v>
      </c>
      <c r="Z218" s="138">
        <f>IF('1.DATOS-PROD'!AI219="SI",VLOOKUP('1.DATOS-PROD'!AI$2,'1.PUNTOS'!$A$1:$B$63,2,0),0)</f>
        <v>0</v>
      </c>
      <c r="AA218" s="138">
        <f>IF('1.DATOS-PROD'!AJ219="SI",VLOOKUP('1.DATOS-PROD'!AJ$2,'1.PUNTOS'!$A$1:$B$63,2,0),0)</f>
        <v>0</v>
      </c>
      <c r="AB218" s="138">
        <f>IF('1.DATOS-PROD'!AK219="SI",VLOOKUP('1.DATOS-PROD'!AK$2,'1.PUNTOS'!$A$1:$B$63,2,0),0)</f>
        <v>0</v>
      </c>
      <c r="AC218" s="138">
        <f>IF('1.DATOS-PROD'!AL219="SI",VLOOKUP('1.DATOS-PROD'!AL$2,'1.PUNTOS'!$A$1:$B$63,2,0),0)</f>
        <v>0</v>
      </c>
      <c r="AD218" s="138">
        <f>IF('1.DATOS-PROD'!AM219="SI",VLOOKUP('1.DATOS-PROD'!AM$2,'1.PUNTOS'!$A$1:$B$63,2,0),0)</f>
        <v>0</v>
      </c>
      <c r="AE218" s="138">
        <f>IF('1.DATOS-PROD'!AN219="SI",VLOOKUP('1.DATOS-PROD'!AN$2,'1.PUNTOS'!$A$1:$B$63,2,0),0)</f>
        <v>0</v>
      </c>
      <c r="AF218" s="138">
        <f>IF('1.DATOS-PROD'!AO219="SI",VLOOKUP('1.DATOS-PROD'!AO$2,'1.PUNTOS'!$A$1:$B$63,2,0),0)</f>
        <v>0</v>
      </c>
      <c r="AG218" s="138">
        <f>IF('1.DATOS-PROD'!AP219="SI",VLOOKUP('1.DATOS-PROD'!AP$2,'1.PUNTOS'!$A$1:$B$63,2,0),0)</f>
        <v>0</v>
      </c>
      <c r="AH218" s="138">
        <f>IF('1.DATOS-PROD'!AQ219="SI",VLOOKUP('1.DATOS-PROD'!AQ$2,'1.PUNTOS'!$A$1:$B$63,2,0),0)</f>
        <v>0</v>
      </c>
      <c r="AI218" s="138">
        <f>IF('1.DATOS-PROD'!AR219="SI",VLOOKUP('1.DATOS-PROD'!AR$2,'1.PUNTOS'!$A$1:$B$63,2,0),0)</f>
        <v>0</v>
      </c>
      <c r="AJ218" s="138">
        <f>IF('1.DATOS-PROD'!AS219="SI",VLOOKUP('1.DATOS-PROD'!AS$2,'1.PUNTOS'!$A$1:$B$63,2,0),0)</f>
        <v>0</v>
      </c>
      <c r="AK218" s="138">
        <f>IF('1.DATOS-PROD'!AT219="SI",VLOOKUP('1.DATOS-PROD'!AT$2,'1.PUNTOS'!$A$1:$B$63,2,0),0)</f>
        <v>0</v>
      </c>
      <c r="AL218" s="138">
        <f>IF('1.DATOS-PROD'!AU219="SI",VLOOKUP('1.DATOS-PROD'!AU$2,'1.PUNTOS'!$A$1:$B$63,2,0),0)</f>
        <v>0</v>
      </c>
      <c r="AM218" s="138">
        <f>IF('1.DATOS-PROD'!AV219="SI",VLOOKUP('1.DATOS-PROD'!AV$2,'1.PUNTOS'!$A$1:$B$63,2,0),0)</f>
        <v>0</v>
      </c>
      <c r="AN218" s="138">
        <f>IF('1.DATOS-PROD'!AW219="SI",VLOOKUP('1.DATOS-PROD'!AW$2,'1.PUNTOS'!$A$1:$B$63,2,0),0)</f>
        <v>0</v>
      </c>
      <c r="AO218" s="138">
        <f>IF('1.DATOS-PROD'!AX219="SI",VLOOKUP('1.DATOS-PROD'!AX$2,'1.PUNTOS'!$A$1:$B$63,2,0),0)</f>
        <v>0</v>
      </c>
      <c r="AP218" s="138">
        <f>IF('1.DATOS-PROD'!AY219="SI",VLOOKUP('1.DATOS-PROD'!AY$2,'1.PUNTOS'!$A$1:$B$63,2,0),0)</f>
        <v>0</v>
      </c>
      <c r="AQ218" s="138">
        <f>IF('1.DATOS-PROD'!AZ219="SI",VLOOKUP('1.DATOS-PROD'!AZ$2,'1.PUNTOS'!$A$1:$B$63,2,0),0)</f>
        <v>0</v>
      </c>
      <c r="AR218" s="138">
        <f>IF('1.DATOS-PROD'!BA219="SI",VLOOKUP('1.DATOS-PROD'!BA$2,'1.PUNTOS'!$A$1:$B$63,2,0),0)</f>
        <v>0</v>
      </c>
      <c r="AS218" s="138">
        <f>IF('1.DATOS-PROD'!BB219="SI",VLOOKUP('1.DATOS-PROD'!BB$2,'1.PUNTOS'!$A$1:$B$63,2,0),0)</f>
        <v>0</v>
      </c>
      <c r="AT218" s="138">
        <f>IF('1.DATOS-PROD'!BC219="SI",VLOOKUP('1.DATOS-PROD'!BC$2,'1.PUNTOS'!$A$1:$B$63,2,0),0)</f>
        <v>0</v>
      </c>
      <c r="AU218" s="138">
        <f>IF('1.DATOS-PROD'!BD219="SI",VLOOKUP('1.DATOS-PROD'!BD$2,'1.PUNTOS'!$A$1:$B$63,2,0),0)</f>
        <v>0</v>
      </c>
      <c r="AV218" s="138">
        <f>IF('1.DATOS-PROD'!BE219="SI",VLOOKUP('1.DATOS-PROD'!BE$2,'1.PUNTOS'!$A$1:$B$63,2,0),0)</f>
        <v>0</v>
      </c>
      <c r="AW218" s="138">
        <f>IF('1.DATOS-PROD'!BF219="SI",VLOOKUP('1.DATOS-PROD'!BF$2,'1.PUNTOS'!$A$1:$B$63,2,0),0)</f>
        <v>0</v>
      </c>
      <c r="AX218" s="138">
        <f>IF('1.DATOS-PROD'!BG219="SI",VLOOKUP('1.DATOS-PROD'!BG$2,'1.PUNTOS'!$A$1:$B$63,2,0),0)</f>
        <v>0</v>
      </c>
      <c r="AY218" s="138">
        <f>IF('1.DATOS-PROD'!BH219="SI",VLOOKUP('1.DATOS-PROD'!BH$2,'1.PUNTOS'!$A$1:$B$63,2,0),0)</f>
        <v>0</v>
      </c>
      <c r="AZ218" s="138">
        <f>IF('1.DATOS-PROD'!BI219="SI",VLOOKUP('1.DATOS-PROD'!BI$2,'1.PUNTOS'!$A$1:$B$63,2,0),0)</f>
        <v>0</v>
      </c>
      <c r="BA218" s="138">
        <f>IF('1.DATOS-PROD'!BJ219="SI",VLOOKUP('1.DATOS-PROD'!BJ$2,'1.PUNTOS'!$A$1:$B$63,2,0),0)</f>
        <v>0</v>
      </c>
      <c r="BB218" s="138">
        <f>IF('1.DATOS-PROD'!BK219="SI",VLOOKUP('1.DATOS-PROD'!BK$2,'1.PUNTOS'!$A$1:$B$63,2,0),0)</f>
        <v>0</v>
      </c>
      <c r="BC218" s="138">
        <f>IF('1.DATOS-PROD'!BL219="SI",VLOOKUP('1.DATOS-PROD'!BL$2,'1.PUNTOS'!$A$1:$B$63,2,0),0)</f>
        <v>0</v>
      </c>
      <c r="BD218" s="138">
        <f>IF('1.DATOS-PROD'!BM219="SI",VLOOKUP('1.DATOS-PROD'!BM$2,'1.PUNTOS'!$A$1:$B$63,2,0),0)</f>
        <v>0</v>
      </c>
      <c r="BE218" s="138">
        <f>IF('1.DATOS-PROD'!BN219="SI",VLOOKUP('1.DATOS-PROD'!BN$2,'1.PUNTOS'!$A$1:$B$63,2,0),0)</f>
        <v>0</v>
      </c>
      <c r="BF218" s="138">
        <f>IF('1.DATOS-PROD'!BO219="SI",VLOOKUP('1.DATOS-PROD'!BO$2,'1.PUNTOS'!$A$1:$B$63,2,0),0)</f>
        <v>0</v>
      </c>
      <c r="BG218" s="138">
        <f>IF('1.DATOS-PROD'!BP219="SI",VLOOKUP('1.DATOS-PROD'!BP$2,'1.PUNTOS'!$A$1:$B$63,2,0),0)</f>
        <v>0</v>
      </c>
      <c r="BH218" s="138">
        <f>IF('1.DATOS-PROD'!BQ219="SI",VLOOKUP('1.DATOS-PROD'!BQ$2,'1.PUNTOS'!$A$1:$B$63,2,0),0)</f>
        <v>0</v>
      </c>
      <c r="BI218" s="138">
        <f>IF('1.DATOS-PROD'!BR219="SI",VLOOKUP('1.DATOS-PROD'!BR$2,'1.PUNTOS'!$A$1:$B$63,2,0),0)</f>
        <v>0</v>
      </c>
      <c r="BJ218" s="138">
        <f>IF('1.DATOS-PROD'!BS219="SI",VLOOKUP('1.DATOS-PROD'!BS$2,'1.PUNTOS'!$A$1:$B$63,2,0),0)</f>
        <v>0</v>
      </c>
      <c r="BK218" s="138">
        <f>IF('1.DATOS-PROD'!BT219="SI",VLOOKUP('1.DATOS-PROD'!BT$2,'1.PUNTOS'!$A$1:$B$63,2,0),0)</f>
        <v>0</v>
      </c>
    </row>
    <row r="219" spans="1:63" x14ac:dyDescent="0.25">
      <c r="A219">
        <f>'0.Consolidado general'!$A220</f>
        <v>0</v>
      </c>
      <c r="B219" s="138">
        <f>IF('1.DATOS-PROD'!K220="SI",VLOOKUP('1.DATOS-PROD'!K$2,'1.PUNTOS'!$A$1:$B$63,2,0),0)</f>
        <v>0</v>
      </c>
      <c r="C219" s="138">
        <f>IF('1.DATOS-PROD'!L220="SI",VLOOKUP('1.DATOS-PROD'!L$2,'1.PUNTOS'!$A$1:$B$63,2,0),0)</f>
        <v>0</v>
      </c>
      <c r="D219" s="138">
        <f>IF('1.DATOS-PROD'!M220="SI",VLOOKUP('1.DATOS-PROD'!M$2,'1.PUNTOS'!$A$1:$B$63,2,0),0)</f>
        <v>0</v>
      </c>
      <c r="E219" s="138">
        <f>IF('1.DATOS-PROD'!N220="SI",VLOOKUP('1.DATOS-PROD'!N$2,'1.PUNTOS'!$A$1:$B$63,2,0),0)</f>
        <v>0</v>
      </c>
      <c r="F219" s="138">
        <f>IF('1.DATOS-PROD'!O220="SI",VLOOKUP('1.DATOS-PROD'!O$2,'1.PUNTOS'!$A$1:$B$63,2,0),0)</f>
        <v>0</v>
      </c>
      <c r="G219" s="138">
        <f>IF('1.DATOS-PROD'!P220="SI",VLOOKUP('1.DATOS-PROD'!P$2,'1.PUNTOS'!$A$1:$B$63,2,0),0)</f>
        <v>0</v>
      </c>
      <c r="H219" s="138">
        <f>IF('1.DATOS-PROD'!Q220="SI",VLOOKUP('1.DATOS-PROD'!Q$2,'1.PUNTOS'!$A$1:$B$63,2,0),0)</f>
        <v>0</v>
      </c>
      <c r="I219" s="138">
        <f>IF('1.DATOS-PROD'!R220="SI",VLOOKUP('1.DATOS-PROD'!R$2,'1.PUNTOS'!$A$1:$B$63,2,0),0)</f>
        <v>0</v>
      </c>
      <c r="J219" s="138">
        <f>IF('1.DATOS-PROD'!S220="SI",VLOOKUP('1.DATOS-PROD'!S$2,'1.PUNTOS'!$A$1:$B$63,2,0),0)</f>
        <v>0</v>
      </c>
      <c r="K219" s="138">
        <f>IF('1.DATOS-PROD'!T220="SI",VLOOKUP('1.DATOS-PROD'!T$2,'1.PUNTOS'!$A$1:$B$63,2,0),0)</f>
        <v>0</v>
      </c>
      <c r="L219" s="138">
        <f>IF('1.DATOS-PROD'!U220="SI",VLOOKUP('1.DATOS-PROD'!U$2,'1.PUNTOS'!$A$1:$B$63,2,0),0)</f>
        <v>0</v>
      </c>
      <c r="M219" s="138">
        <f>IF('1.DATOS-PROD'!V220="SI",VLOOKUP('1.DATOS-PROD'!V$2,'1.PUNTOS'!$A$1:$B$63,2,0),0)</f>
        <v>0</v>
      </c>
      <c r="N219" s="138">
        <f>IF('1.DATOS-PROD'!W220="SI",VLOOKUP('1.DATOS-PROD'!W$2,'1.PUNTOS'!$A$1:$B$63,2,0),0)</f>
        <v>0</v>
      </c>
      <c r="O219" s="138">
        <f>IF('1.DATOS-PROD'!X220="SI",VLOOKUP('1.DATOS-PROD'!X$2,'1.PUNTOS'!$A$1:$B$63,2,0),0)</f>
        <v>0</v>
      </c>
      <c r="P219" s="138">
        <f>IF('1.DATOS-PROD'!Y220="SI",VLOOKUP('1.DATOS-PROD'!Y$2,'1.PUNTOS'!$A$1:$B$63,2,0),0)</f>
        <v>0</v>
      </c>
      <c r="Q219" s="138">
        <f>IF('1.DATOS-PROD'!Z220="SI",VLOOKUP('1.DATOS-PROD'!Z$2,'1.PUNTOS'!$A$1:$B$63,2,0),0)</f>
        <v>0</v>
      </c>
      <c r="R219" s="138">
        <f>IF('1.DATOS-PROD'!AA220="SI",VLOOKUP('1.DATOS-PROD'!AA$2,'1.PUNTOS'!$A$1:$B$63,2,0),0)</f>
        <v>0</v>
      </c>
      <c r="S219" s="138">
        <f>IF('1.DATOS-PROD'!AB220="SI",VLOOKUP('1.DATOS-PROD'!AB$2,'1.PUNTOS'!$A$1:$B$63,2,0),0)</f>
        <v>0</v>
      </c>
      <c r="T219" s="138">
        <f>IF('1.DATOS-PROD'!AC220="SI",VLOOKUP('1.DATOS-PROD'!AC$2,'1.PUNTOS'!$A$1:$B$63,2,0),0)</f>
        <v>0</v>
      </c>
      <c r="U219" s="138">
        <f>IF('1.DATOS-PROD'!AD220="SI",VLOOKUP('1.DATOS-PROD'!AD$2,'1.PUNTOS'!$A$1:$B$63,2,0),0)</f>
        <v>0</v>
      </c>
      <c r="V219" s="138">
        <f>IF('1.DATOS-PROD'!AE220="SI",VLOOKUP('1.DATOS-PROD'!AE$2,'1.PUNTOS'!$A$1:$B$63,2,0),0)</f>
        <v>0</v>
      </c>
      <c r="W219" s="138">
        <f>IF('1.DATOS-PROD'!AF220="SI",VLOOKUP('1.DATOS-PROD'!AF$2,'1.PUNTOS'!$A$1:$B$63,2,0),0)</f>
        <v>0</v>
      </c>
      <c r="X219" s="138">
        <f>IF('1.DATOS-PROD'!AG220="SI",VLOOKUP('1.DATOS-PROD'!AG$2,'1.PUNTOS'!$A$1:$B$63,2,0),0)</f>
        <v>0</v>
      </c>
      <c r="Y219" s="138">
        <f>IF('1.DATOS-PROD'!AH220="SI",VLOOKUP('1.DATOS-PROD'!AH$2,'1.PUNTOS'!$A$1:$B$63,2,0),0)</f>
        <v>0</v>
      </c>
      <c r="Z219" s="138">
        <f>IF('1.DATOS-PROD'!AI220="SI",VLOOKUP('1.DATOS-PROD'!AI$2,'1.PUNTOS'!$A$1:$B$63,2,0),0)</f>
        <v>0</v>
      </c>
      <c r="AA219" s="138">
        <f>IF('1.DATOS-PROD'!AJ220="SI",VLOOKUP('1.DATOS-PROD'!AJ$2,'1.PUNTOS'!$A$1:$B$63,2,0),0)</f>
        <v>0</v>
      </c>
      <c r="AB219" s="138">
        <f>IF('1.DATOS-PROD'!AK220="SI",VLOOKUP('1.DATOS-PROD'!AK$2,'1.PUNTOS'!$A$1:$B$63,2,0),0)</f>
        <v>0</v>
      </c>
      <c r="AC219" s="138">
        <f>IF('1.DATOS-PROD'!AL220="SI",VLOOKUP('1.DATOS-PROD'!AL$2,'1.PUNTOS'!$A$1:$B$63,2,0),0)</f>
        <v>0</v>
      </c>
      <c r="AD219" s="138">
        <f>IF('1.DATOS-PROD'!AM220="SI",VLOOKUP('1.DATOS-PROD'!AM$2,'1.PUNTOS'!$A$1:$B$63,2,0),0)</f>
        <v>0</v>
      </c>
      <c r="AE219" s="138">
        <f>IF('1.DATOS-PROD'!AN220="SI",VLOOKUP('1.DATOS-PROD'!AN$2,'1.PUNTOS'!$A$1:$B$63,2,0),0)</f>
        <v>0</v>
      </c>
      <c r="AF219" s="138">
        <f>IF('1.DATOS-PROD'!AO220="SI",VLOOKUP('1.DATOS-PROD'!AO$2,'1.PUNTOS'!$A$1:$B$63,2,0),0)</f>
        <v>0</v>
      </c>
      <c r="AG219" s="138">
        <f>IF('1.DATOS-PROD'!AP220="SI",VLOOKUP('1.DATOS-PROD'!AP$2,'1.PUNTOS'!$A$1:$B$63,2,0),0)</f>
        <v>0</v>
      </c>
      <c r="AH219" s="138">
        <f>IF('1.DATOS-PROD'!AQ220="SI",VLOOKUP('1.DATOS-PROD'!AQ$2,'1.PUNTOS'!$A$1:$B$63,2,0),0)</f>
        <v>0</v>
      </c>
      <c r="AI219" s="138">
        <f>IF('1.DATOS-PROD'!AR220="SI",VLOOKUP('1.DATOS-PROD'!AR$2,'1.PUNTOS'!$A$1:$B$63,2,0),0)</f>
        <v>0</v>
      </c>
      <c r="AJ219" s="138">
        <f>IF('1.DATOS-PROD'!AS220="SI",VLOOKUP('1.DATOS-PROD'!AS$2,'1.PUNTOS'!$A$1:$B$63,2,0),0)</f>
        <v>0</v>
      </c>
      <c r="AK219" s="138">
        <f>IF('1.DATOS-PROD'!AT220="SI",VLOOKUP('1.DATOS-PROD'!AT$2,'1.PUNTOS'!$A$1:$B$63,2,0),0)</f>
        <v>0</v>
      </c>
      <c r="AL219" s="138">
        <f>IF('1.DATOS-PROD'!AU220="SI",VLOOKUP('1.DATOS-PROD'!AU$2,'1.PUNTOS'!$A$1:$B$63,2,0),0)</f>
        <v>0</v>
      </c>
      <c r="AM219" s="138">
        <f>IF('1.DATOS-PROD'!AV220="SI",VLOOKUP('1.DATOS-PROD'!AV$2,'1.PUNTOS'!$A$1:$B$63,2,0),0)</f>
        <v>0</v>
      </c>
      <c r="AN219" s="138">
        <f>IF('1.DATOS-PROD'!AW220="SI",VLOOKUP('1.DATOS-PROD'!AW$2,'1.PUNTOS'!$A$1:$B$63,2,0),0)</f>
        <v>0</v>
      </c>
      <c r="AO219" s="138">
        <f>IF('1.DATOS-PROD'!AX220="SI",VLOOKUP('1.DATOS-PROD'!AX$2,'1.PUNTOS'!$A$1:$B$63,2,0),0)</f>
        <v>0</v>
      </c>
      <c r="AP219" s="138">
        <f>IF('1.DATOS-PROD'!AY220="SI",VLOOKUP('1.DATOS-PROD'!AY$2,'1.PUNTOS'!$A$1:$B$63,2,0),0)</f>
        <v>0</v>
      </c>
      <c r="AQ219" s="138">
        <f>IF('1.DATOS-PROD'!AZ220="SI",VLOOKUP('1.DATOS-PROD'!AZ$2,'1.PUNTOS'!$A$1:$B$63,2,0),0)</f>
        <v>0</v>
      </c>
      <c r="AR219" s="138">
        <f>IF('1.DATOS-PROD'!BA220="SI",VLOOKUP('1.DATOS-PROD'!BA$2,'1.PUNTOS'!$A$1:$B$63,2,0),0)</f>
        <v>0</v>
      </c>
      <c r="AS219" s="138">
        <f>IF('1.DATOS-PROD'!BB220="SI",VLOOKUP('1.DATOS-PROD'!BB$2,'1.PUNTOS'!$A$1:$B$63,2,0),0)</f>
        <v>0</v>
      </c>
      <c r="AT219" s="138">
        <f>IF('1.DATOS-PROD'!BC220="SI",VLOOKUP('1.DATOS-PROD'!BC$2,'1.PUNTOS'!$A$1:$B$63,2,0),0)</f>
        <v>0</v>
      </c>
      <c r="AU219" s="138">
        <f>IF('1.DATOS-PROD'!BD220="SI",VLOOKUP('1.DATOS-PROD'!BD$2,'1.PUNTOS'!$A$1:$B$63,2,0),0)</f>
        <v>0</v>
      </c>
      <c r="AV219" s="138">
        <f>IF('1.DATOS-PROD'!BE220="SI",VLOOKUP('1.DATOS-PROD'!BE$2,'1.PUNTOS'!$A$1:$B$63,2,0),0)</f>
        <v>0</v>
      </c>
      <c r="AW219" s="138">
        <f>IF('1.DATOS-PROD'!BF220="SI",VLOOKUP('1.DATOS-PROD'!BF$2,'1.PUNTOS'!$A$1:$B$63,2,0),0)</f>
        <v>0</v>
      </c>
      <c r="AX219" s="138">
        <f>IF('1.DATOS-PROD'!BG220="SI",VLOOKUP('1.DATOS-PROD'!BG$2,'1.PUNTOS'!$A$1:$B$63,2,0),0)</f>
        <v>0</v>
      </c>
      <c r="AY219" s="138">
        <f>IF('1.DATOS-PROD'!BH220="SI",VLOOKUP('1.DATOS-PROD'!BH$2,'1.PUNTOS'!$A$1:$B$63,2,0),0)</f>
        <v>0</v>
      </c>
      <c r="AZ219" s="138">
        <f>IF('1.DATOS-PROD'!BI220="SI",VLOOKUP('1.DATOS-PROD'!BI$2,'1.PUNTOS'!$A$1:$B$63,2,0),0)</f>
        <v>0</v>
      </c>
      <c r="BA219" s="138">
        <f>IF('1.DATOS-PROD'!BJ220="SI",VLOOKUP('1.DATOS-PROD'!BJ$2,'1.PUNTOS'!$A$1:$B$63,2,0),0)</f>
        <v>0</v>
      </c>
      <c r="BB219" s="138">
        <f>IF('1.DATOS-PROD'!BK220="SI",VLOOKUP('1.DATOS-PROD'!BK$2,'1.PUNTOS'!$A$1:$B$63,2,0),0)</f>
        <v>0</v>
      </c>
      <c r="BC219" s="138">
        <f>IF('1.DATOS-PROD'!BL220="SI",VLOOKUP('1.DATOS-PROD'!BL$2,'1.PUNTOS'!$A$1:$B$63,2,0),0)</f>
        <v>0</v>
      </c>
      <c r="BD219" s="138">
        <f>IF('1.DATOS-PROD'!BM220="SI",VLOOKUP('1.DATOS-PROD'!BM$2,'1.PUNTOS'!$A$1:$B$63,2,0),0)</f>
        <v>0</v>
      </c>
      <c r="BE219" s="138">
        <f>IF('1.DATOS-PROD'!BN220="SI",VLOOKUP('1.DATOS-PROD'!BN$2,'1.PUNTOS'!$A$1:$B$63,2,0),0)</f>
        <v>0</v>
      </c>
      <c r="BF219" s="138">
        <f>IF('1.DATOS-PROD'!BO220="SI",VLOOKUP('1.DATOS-PROD'!BO$2,'1.PUNTOS'!$A$1:$B$63,2,0),0)</f>
        <v>0</v>
      </c>
      <c r="BG219" s="138">
        <f>IF('1.DATOS-PROD'!BP220="SI",VLOOKUP('1.DATOS-PROD'!BP$2,'1.PUNTOS'!$A$1:$B$63,2,0),0)</f>
        <v>0</v>
      </c>
      <c r="BH219" s="138">
        <f>IF('1.DATOS-PROD'!BQ220="SI",VLOOKUP('1.DATOS-PROD'!BQ$2,'1.PUNTOS'!$A$1:$B$63,2,0),0)</f>
        <v>0</v>
      </c>
      <c r="BI219" s="138">
        <f>IF('1.DATOS-PROD'!BR220="SI",VLOOKUP('1.DATOS-PROD'!BR$2,'1.PUNTOS'!$A$1:$B$63,2,0),0)</f>
        <v>0</v>
      </c>
      <c r="BJ219" s="138">
        <f>IF('1.DATOS-PROD'!BS220="SI",VLOOKUP('1.DATOS-PROD'!BS$2,'1.PUNTOS'!$A$1:$B$63,2,0),0)</f>
        <v>0</v>
      </c>
      <c r="BK219" s="138">
        <f>IF('1.DATOS-PROD'!BT220="SI",VLOOKUP('1.DATOS-PROD'!BT$2,'1.PUNTOS'!$A$1:$B$63,2,0),0)</f>
        <v>0</v>
      </c>
    </row>
    <row r="220" spans="1:63" x14ac:dyDescent="0.25">
      <c r="A220">
        <f>'0.Consolidado general'!$A221</f>
        <v>0</v>
      </c>
      <c r="B220" s="138">
        <f>IF('1.DATOS-PROD'!K221="SI",VLOOKUP('1.DATOS-PROD'!K$2,'1.PUNTOS'!$A$1:$B$63,2,0),0)</f>
        <v>0</v>
      </c>
      <c r="C220" s="138">
        <f>IF('1.DATOS-PROD'!L221="SI",VLOOKUP('1.DATOS-PROD'!L$2,'1.PUNTOS'!$A$1:$B$63,2,0),0)</f>
        <v>0</v>
      </c>
      <c r="D220" s="138">
        <f>IF('1.DATOS-PROD'!M221="SI",VLOOKUP('1.DATOS-PROD'!M$2,'1.PUNTOS'!$A$1:$B$63,2,0),0)</f>
        <v>0</v>
      </c>
      <c r="E220" s="138">
        <f>IF('1.DATOS-PROD'!N221="SI",VLOOKUP('1.DATOS-PROD'!N$2,'1.PUNTOS'!$A$1:$B$63,2,0),0)</f>
        <v>0</v>
      </c>
      <c r="F220" s="138">
        <f>IF('1.DATOS-PROD'!O221="SI",VLOOKUP('1.DATOS-PROD'!O$2,'1.PUNTOS'!$A$1:$B$63,2,0),0)</f>
        <v>0</v>
      </c>
      <c r="G220" s="138">
        <f>IF('1.DATOS-PROD'!P221="SI",VLOOKUP('1.DATOS-PROD'!P$2,'1.PUNTOS'!$A$1:$B$63,2,0),0)</f>
        <v>0</v>
      </c>
      <c r="H220" s="138">
        <f>IF('1.DATOS-PROD'!Q221="SI",VLOOKUP('1.DATOS-PROD'!Q$2,'1.PUNTOS'!$A$1:$B$63,2,0),0)</f>
        <v>0</v>
      </c>
      <c r="I220" s="138">
        <f>IF('1.DATOS-PROD'!R221="SI",VLOOKUP('1.DATOS-PROD'!R$2,'1.PUNTOS'!$A$1:$B$63,2,0),0)</f>
        <v>0</v>
      </c>
      <c r="J220" s="138">
        <f>IF('1.DATOS-PROD'!S221="SI",VLOOKUP('1.DATOS-PROD'!S$2,'1.PUNTOS'!$A$1:$B$63,2,0),0)</f>
        <v>0</v>
      </c>
      <c r="K220" s="138">
        <f>IF('1.DATOS-PROD'!T221="SI",VLOOKUP('1.DATOS-PROD'!T$2,'1.PUNTOS'!$A$1:$B$63,2,0),0)</f>
        <v>0</v>
      </c>
      <c r="L220" s="138">
        <f>IF('1.DATOS-PROD'!U221="SI",VLOOKUP('1.DATOS-PROD'!U$2,'1.PUNTOS'!$A$1:$B$63,2,0),0)</f>
        <v>0</v>
      </c>
      <c r="M220" s="138">
        <f>IF('1.DATOS-PROD'!V221="SI",VLOOKUP('1.DATOS-PROD'!V$2,'1.PUNTOS'!$A$1:$B$63,2,0),0)</f>
        <v>0</v>
      </c>
      <c r="N220" s="138">
        <f>IF('1.DATOS-PROD'!W221="SI",VLOOKUP('1.DATOS-PROD'!W$2,'1.PUNTOS'!$A$1:$B$63,2,0),0)</f>
        <v>0</v>
      </c>
      <c r="O220" s="138">
        <f>IF('1.DATOS-PROD'!X221="SI",VLOOKUP('1.DATOS-PROD'!X$2,'1.PUNTOS'!$A$1:$B$63,2,0),0)</f>
        <v>0</v>
      </c>
      <c r="P220" s="138">
        <f>IF('1.DATOS-PROD'!Y221="SI",VLOOKUP('1.DATOS-PROD'!Y$2,'1.PUNTOS'!$A$1:$B$63,2,0),0)</f>
        <v>0</v>
      </c>
      <c r="Q220" s="138">
        <f>IF('1.DATOS-PROD'!Z221="SI",VLOOKUP('1.DATOS-PROD'!Z$2,'1.PUNTOS'!$A$1:$B$63,2,0),0)</f>
        <v>0</v>
      </c>
      <c r="R220" s="138">
        <f>IF('1.DATOS-PROD'!AA221="SI",VLOOKUP('1.DATOS-PROD'!AA$2,'1.PUNTOS'!$A$1:$B$63,2,0),0)</f>
        <v>0</v>
      </c>
      <c r="S220" s="138">
        <f>IF('1.DATOS-PROD'!AB221="SI",VLOOKUP('1.DATOS-PROD'!AB$2,'1.PUNTOS'!$A$1:$B$63,2,0),0)</f>
        <v>0</v>
      </c>
      <c r="T220" s="138">
        <f>IF('1.DATOS-PROD'!AC221="SI",VLOOKUP('1.DATOS-PROD'!AC$2,'1.PUNTOS'!$A$1:$B$63,2,0),0)</f>
        <v>0</v>
      </c>
      <c r="U220" s="138">
        <f>IF('1.DATOS-PROD'!AD221="SI",VLOOKUP('1.DATOS-PROD'!AD$2,'1.PUNTOS'!$A$1:$B$63,2,0),0)</f>
        <v>0</v>
      </c>
      <c r="V220" s="138">
        <f>IF('1.DATOS-PROD'!AE221="SI",VLOOKUP('1.DATOS-PROD'!AE$2,'1.PUNTOS'!$A$1:$B$63,2,0),0)</f>
        <v>0</v>
      </c>
      <c r="W220" s="138">
        <f>IF('1.DATOS-PROD'!AF221="SI",VLOOKUP('1.DATOS-PROD'!AF$2,'1.PUNTOS'!$A$1:$B$63,2,0),0)</f>
        <v>0</v>
      </c>
      <c r="X220" s="138">
        <f>IF('1.DATOS-PROD'!AG221="SI",VLOOKUP('1.DATOS-PROD'!AG$2,'1.PUNTOS'!$A$1:$B$63,2,0),0)</f>
        <v>0</v>
      </c>
      <c r="Y220" s="138">
        <f>IF('1.DATOS-PROD'!AH221="SI",VLOOKUP('1.DATOS-PROD'!AH$2,'1.PUNTOS'!$A$1:$B$63,2,0),0)</f>
        <v>0</v>
      </c>
      <c r="Z220" s="138">
        <f>IF('1.DATOS-PROD'!AI221="SI",VLOOKUP('1.DATOS-PROD'!AI$2,'1.PUNTOS'!$A$1:$B$63,2,0),0)</f>
        <v>0</v>
      </c>
      <c r="AA220" s="138">
        <f>IF('1.DATOS-PROD'!AJ221="SI",VLOOKUP('1.DATOS-PROD'!AJ$2,'1.PUNTOS'!$A$1:$B$63,2,0),0)</f>
        <v>0</v>
      </c>
      <c r="AB220" s="138">
        <f>IF('1.DATOS-PROD'!AK221="SI",VLOOKUP('1.DATOS-PROD'!AK$2,'1.PUNTOS'!$A$1:$B$63,2,0),0)</f>
        <v>0</v>
      </c>
      <c r="AC220" s="138">
        <f>IF('1.DATOS-PROD'!AL221="SI",VLOOKUP('1.DATOS-PROD'!AL$2,'1.PUNTOS'!$A$1:$B$63,2,0),0)</f>
        <v>0</v>
      </c>
      <c r="AD220" s="138">
        <f>IF('1.DATOS-PROD'!AM221="SI",VLOOKUP('1.DATOS-PROD'!AM$2,'1.PUNTOS'!$A$1:$B$63,2,0),0)</f>
        <v>0</v>
      </c>
      <c r="AE220" s="138">
        <f>IF('1.DATOS-PROD'!AN221="SI",VLOOKUP('1.DATOS-PROD'!AN$2,'1.PUNTOS'!$A$1:$B$63,2,0),0)</f>
        <v>0</v>
      </c>
      <c r="AF220" s="138">
        <f>IF('1.DATOS-PROD'!AO221="SI",VLOOKUP('1.DATOS-PROD'!AO$2,'1.PUNTOS'!$A$1:$B$63,2,0),0)</f>
        <v>0</v>
      </c>
      <c r="AG220" s="138">
        <f>IF('1.DATOS-PROD'!AP221="SI",VLOOKUP('1.DATOS-PROD'!AP$2,'1.PUNTOS'!$A$1:$B$63,2,0),0)</f>
        <v>0</v>
      </c>
      <c r="AH220" s="138">
        <f>IF('1.DATOS-PROD'!AQ221="SI",VLOOKUP('1.DATOS-PROD'!AQ$2,'1.PUNTOS'!$A$1:$B$63,2,0),0)</f>
        <v>0</v>
      </c>
      <c r="AI220" s="138">
        <f>IF('1.DATOS-PROD'!AR221="SI",VLOOKUP('1.DATOS-PROD'!AR$2,'1.PUNTOS'!$A$1:$B$63,2,0),0)</f>
        <v>0</v>
      </c>
      <c r="AJ220" s="138">
        <f>IF('1.DATOS-PROD'!AS221="SI",VLOOKUP('1.DATOS-PROD'!AS$2,'1.PUNTOS'!$A$1:$B$63,2,0),0)</f>
        <v>0</v>
      </c>
      <c r="AK220" s="138">
        <f>IF('1.DATOS-PROD'!AT221="SI",VLOOKUP('1.DATOS-PROD'!AT$2,'1.PUNTOS'!$A$1:$B$63,2,0),0)</f>
        <v>0</v>
      </c>
      <c r="AL220" s="138">
        <f>IF('1.DATOS-PROD'!AU221="SI",VLOOKUP('1.DATOS-PROD'!AU$2,'1.PUNTOS'!$A$1:$B$63,2,0),0)</f>
        <v>0</v>
      </c>
      <c r="AM220" s="138">
        <f>IF('1.DATOS-PROD'!AV221="SI",VLOOKUP('1.DATOS-PROD'!AV$2,'1.PUNTOS'!$A$1:$B$63,2,0),0)</f>
        <v>0</v>
      </c>
      <c r="AN220" s="138">
        <f>IF('1.DATOS-PROD'!AW221="SI",VLOOKUP('1.DATOS-PROD'!AW$2,'1.PUNTOS'!$A$1:$B$63,2,0),0)</f>
        <v>0</v>
      </c>
      <c r="AO220" s="138">
        <f>IF('1.DATOS-PROD'!AX221="SI",VLOOKUP('1.DATOS-PROD'!AX$2,'1.PUNTOS'!$A$1:$B$63,2,0),0)</f>
        <v>0</v>
      </c>
      <c r="AP220" s="138">
        <f>IF('1.DATOS-PROD'!AY221="SI",VLOOKUP('1.DATOS-PROD'!AY$2,'1.PUNTOS'!$A$1:$B$63,2,0),0)</f>
        <v>0</v>
      </c>
      <c r="AQ220" s="138">
        <f>IF('1.DATOS-PROD'!AZ221="SI",VLOOKUP('1.DATOS-PROD'!AZ$2,'1.PUNTOS'!$A$1:$B$63,2,0),0)</f>
        <v>0</v>
      </c>
      <c r="AR220" s="138">
        <f>IF('1.DATOS-PROD'!BA221="SI",VLOOKUP('1.DATOS-PROD'!BA$2,'1.PUNTOS'!$A$1:$B$63,2,0),0)</f>
        <v>0</v>
      </c>
      <c r="AS220" s="138">
        <f>IF('1.DATOS-PROD'!BB221="SI",VLOOKUP('1.DATOS-PROD'!BB$2,'1.PUNTOS'!$A$1:$B$63,2,0),0)</f>
        <v>0</v>
      </c>
      <c r="AT220" s="138">
        <f>IF('1.DATOS-PROD'!BC221="SI",VLOOKUP('1.DATOS-PROD'!BC$2,'1.PUNTOS'!$A$1:$B$63,2,0),0)</f>
        <v>0</v>
      </c>
      <c r="AU220" s="138">
        <f>IF('1.DATOS-PROD'!BD221="SI",VLOOKUP('1.DATOS-PROD'!BD$2,'1.PUNTOS'!$A$1:$B$63,2,0),0)</f>
        <v>0</v>
      </c>
      <c r="AV220" s="138">
        <f>IF('1.DATOS-PROD'!BE221="SI",VLOOKUP('1.DATOS-PROD'!BE$2,'1.PUNTOS'!$A$1:$B$63,2,0),0)</f>
        <v>0</v>
      </c>
      <c r="AW220" s="138">
        <f>IF('1.DATOS-PROD'!BF221="SI",VLOOKUP('1.DATOS-PROD'!BF$2,'1.PUNTOS'!$A$1:$B$63,2,0),0)</f>
        <v>0</v>
      </c>
      <c r="AX220" s="138">
        <f>IF('1.DATOS-PROD'!BG221="SI",VLOOKUP('1.DATOS-PROD'!BG$2,'1.PUNTOS'!$A$1:$B$63,2,0),0)</f>
        <v>0</v>
      </c>
      <c r="AY220" s="138">
        <f>IF('1.DATOS-PROD'!BH221="SI",VLOOKUP('1.DATOS-PROD'!BH$2,'1.PUNTOS'!$A$1:$B$63,2,0),0)</f>
        <v>0</v>
      </c>
      <c r="AZ220" s="138">
        <f>IF('1.DATOS-PROD'!BI221="SI",VLOOKUP('1.DATOS-PROD'!BI$2,'1.PUNTOS'!$A$1:$B$63,2,0),0)</f>
        <v>0</v>
      </c>
      <c r="BA220" s="138">
        <f>IF('1.DATOS-PROD'!BJ221="SI",VLOOKUP('1.DATOS-PROD'!BJ$2,'1.PUNTOS'!$A$1:$B$63,2,0),0)</f>
        <v>0</v>
      </c>
      <c r="BB220" s="138">
        <f>IF('1.DATOS-PROD'!BK221="SI",VLOOKUP('1.DATOS-PROD'!BK$2,'1.PUNTOS'!$A$1:$B$63,2,0),0)</f>
        <v>0</v>
      </c>
      <c r="BC220" s="138">
        <f>IF('1.DATOS-PROD'!BL221="SI",VLOOKUP('1.DATOS-PROD'!BL$2,'1.PUNTOS'!$A$1:$B$63,2,0),0)</f>
        <v>0</v>
      </c>
      <c r="BD220" s="138">
        <f>IF('1.DATOS-PROD'!BM221="SI",VLOOKUP('1.DATOS-PROD'!BM$2,'1.PUNTOS'!$A$1:$B$63,2,0),0)</f>
        <v>0</v>
      </c>
      <c r="BE220" s="138">
        <f>IF('1.DATOS-PROD'!BN221="SI",VLOOKUP('1.DATOS-PROD'!BN$2,'1.PUNTOS'!$A$1:$B$63,2,0),0)</f>
        <v>0</v>
      </c>
      <c r="BF220" s="138">
        <f>IF('1.DATOS-PROD'!BO221="SI",VLOOKUP('1.DATOS-PROD'!BO$2,'1.PUNTOS'!$A$1:$B$63,2,0),0)</f>
        <v>0</v>
      </c>
      <c r="BG220" s="138">
        <f>IF('1.DATOS-PROD'!BP221="SI",VLOOKUP('1.DATOS-PROD'!BP$2,'1.PUNTOS'!$A$1:$B$63,2,0),0)</f>
        <v>0</v>
      </c>
      <c r="BH220" s="138">
        <f>IF('1.DATOS-PROD'!BQ221="SI",VLOOKUP('1.DATOS-PROD'!BQ$2,'1.PUNTOS'!$A$1:$B$63,2,0),0)</f>
        <v>0</v>
      </c>
      <c r="BI220" s="138">
        <f>IF('1.DATOS-PROD'!BR221="SI",VLOOKUP('1.DATOS-PROD'!BR$2,'1.PUNTOS'!$A$1:$B$63,2,0),0)</f>
        <v>0</v>
      </c>
      <c r="BJ220" s="138">
        <f>IF('1.DATOS-PROD'!BS221="SI",VLOOKUP('1.DATOS-PROD'!BS$2,'1.PUNTOS'!$A$1:$B$63,2,0),0)</f>
        <v>0</v>
      </c>
      <c r="BK220" s="138">
        <f>IF('1.DATOS-PROD'!BT221="SI",VLOOKUP('1.DATOS-PROD'!BT$2,'1.PUNTOS'!$A$1:$B$63,2,0),0)</f>
        <v>0</v>
      </c>
    </row>
    <row r="221" spans="1:63" x14ac:dyDescent="0.25">
      <c r="A221">
        <f>'0.Consolidado general'!$A222</f>
        <v>0</v>
      </c>
      <c r="B221" s="138">
        <f>IF('1.DATOS-PROD'!K222="SI",VLOOKUP('1.DATOS-PROD'!K$2,'1.PUNTOS'!$A$1:$B$63,2,0),0)</f>
        <v>0</v>
      </c>
      <c r="C221" s="138">
        <f>IF('1.DATOS-PROD'!L222="SI",VLOOKUP('1.DATOS-PROD'!L$2,'1.PUNTOS'!$A$1:$B$63,2,0),0)</f>
        <v>0</v>
      </c>
      <c r="D221" s="138">
        <f>IF('1.DATOS-PROD'!M222="SI",VLOOKUP('1.DATOS-PROD'!M$2,'1.PUNTOS'!$A$1:$B$63,2,0),0)</f>
        <v>0</v>
      </c>
      <c r="E221" s="138">
        <f>IF('1.DATOS-PROD'!N222="SI",VLOOKUP('1.DATOS-PROD'!N$2,'1.PUNTOS'!$A$1:$B$63,2,0),0)</f>
        <v>0</v>
      </c>
      <c r="F221" s="138">
        <f>IF('1.DATOS-PROD'!O222="SI",VLOOKUP('1.DATOS-PROD'!O$2,'1.PUNTOS'!$A$1:$B$63,2,0),0)</f>
        <v>0</v>
      </c>
      <c r="G221" s="138">
        <f>IF('1.DATOS-PROD'!P222="SI",VLOOKUP('1.DATOS-PROD'!P$2,'1.PUNTOS'!$A$1:$B$63,2,0),0)</f>
        <v>0</v>
      </c>
      <c r="H221" s="138">
        <f>IF('1.DATOS-PROD'!Q222="SI",VLOOKUP('1.DATOS-PROD'!Q$2,'1.PUNTOS'!$A$1:$B$63,2,0),0)</f>
        <v>0</v>
      </c>
      <c r="I221" s="138">
        <f>IF('1.DATOS-PROD'!R222="SI",VLOOKUP('1.DATOS-PROD'!R$2,'1.PUNTOS'!$A$1:$B$63,2,0),0)</f>
        <v>0</v>
      </c>
      <c r="J221" s="138">
        <f>IF('1.DATOS-PROD'!S222="SI",VLOOKUP('1.DATOS-PROD'!S$2,'1.PUNTOS'!$A$1:$B$63,2,0),0)</f>
        <v>0</v>
      </c>
      <c r="K221" s="138">
        <f>IF('1.DATOS-PROD'!T222="SI",VLOOKUP('1.DATOS-PROD'!T$2,'1.PUNTOS'!$A$1:$B$63,2,0),0)</f>
        <v>0</v>
      </c>
      <c r="L221" s="138">
        <f>IF('1.DATOS-PROD'!U222="SI",VLOOKUP('1.DATOS-PROD'!U$2,'1.PUNTOS'!$A$1:$B$63,2,0),0)</f>
        <v>0</v>
      </c>
      <c r="M221" s="138">
        <f>IF('1.DATOS-PROD'!V222="SI",VLOOKUP('1.DATOS-PROD'!V$2,'1.PUNTOS'!$A$1:$B$63,2,0),0)</f>
        <v>0</v>
      </c>
      <c r="N221" s="138">
        <f>IF('1.DATOS-PROD'!W222="SI",VLOOKUP('1.DATOS-PROD'!W$2,'1.PUNTOS'!$A$1:$B$63,2,0),0)</f>
        <v>0</v>
      </c>
      <c r="O221" s="138">
        <f>IF('1.DATOS-PROD'!X222="SI",VLOOKUP('1.DATOS-PROD'!X$2,'1.PUNTOS'!$A$1:$B$63,2,0),0)</f>
        <v>0</v>
      </c>
      <c r="P221" s="138">
        <f>IF('1.DATOS-PROD'!Y222="SI",VLOOKUP('1.DATOS-PROD'!Y$2,'1.PUNTOS'!$A$1:$B$63,2,0),0)</f>
        <v>0</v>
      </c>
      <c r="Q221" s="138">
        <f>IF('1.DATOS-PROD'!Z222="SI",VLOOKUP('1.DATOS-PROD'!Z$2,'1.PUNTOS'!$A$1:$B$63,2,0),0)</f>
        <v>0</v>
      </c>
      <c r="R221" s="138">
        <f>IF('1.DATOS-PROD'!AA222="SI",VLOOKUP('1.DATOS-PROD'!AA$2,'1.PUNTOS'!$A$1:$B$63,2,0),0)</f>
        <v>0</v>
      </c>
      <c r="S221" s="138">
        <f>IF('1.DATOS-PROD'!AB222="SI",VLOOKUP('1.DATOS-PROD'!AB$2,'1.PUNTOS'!$A$1:$B$63,2,0),0)</f>
        <v>0</v>
      </c>
      <c r="T221" s="138">
        <f>IF('1.DATOS-PROD'!AC222="SI",VLOOKUP('1.DATOS-PROD'!AC$2,'1.PUNTOS'!$A$1:$B$63,2,0),0)</f>
        <v>0</v>
      </c>
      <c r="U221" s="138">
        <f>IF('1.DATOS-PROD'!AD222="SI",VLOOKUP('1.DATOS-PROD'!AD$2,'1.PUNTOS'!$A$1:$B$63,2,0),0)</f>
        <v>0</v>
      </c>
      <c r="V221" s="138">
        <f>IF('1.DATOS-PROD'!AE222="SI",VLOOKUP('1.DATOS-PROD'!AE$2,'1.PUNTOS'!$A$1:$B$63,2,0),0)</f>
        <v>0</v>
      </c>
      <c r="W221" s="138">
        <f>IF('1.DATOS-PROD'!AF222="SI",VLOOKUP('1.DATOS-PROD'!AF$2,'1.PUNTOS'!$A$1:$B$63,2,0),0)</f>
        <v>0</v>
      </c>
      <c r="X221" s="138">
        <f>IF('1.DATOS-PROD'!AG222="SI",VLOOKUP('1.DATOS-PROD'!AG$2,'1.PUNTOS'!$A$1:$B$63,2,0),0)</f>
        <v>0</v>
      </c>
      <c r="Y221" s="138">
        <f>IF('1.DATOS-PROD'!AH222="SI",VLOOKUP('1.DATOS-PROD'!AH$2,'1.PUNTOS'!$A$1:$B$63,2,0),0)</f>
        <v>0</v>
      </c>
      <c r="Z221" s="138">
        <f>IF('1.DATOS-PROD'!AI222="SI",VLOOKUP('1.DATOS-PROD'!AI$2,'1.PUNTOS'!$A$1:$B$63,2,0),0)</f>
        <v>0</v>
      </c>
      <c r="AA221" s="138">
        <f>IF('1.DATOS-PROD'!AJ222="SI",VLOOKUP('1.DATOS-PROD'!AJ$2,'1.PUNTOS'!$A$1:$B$63,2,0),0)</f>
        <v>0</v>
      </c>
      <c r="AB221" s="138">
        <f>IF('1.DATOS-PROD'!AK222="SI",VLOOKUP('1.DATOS-PROD'!AK$2,'1.PUNTOS'!$A$1:$B$63,2,0),0)</f>
        <v>0</v>
      </c>
      <c r="AC221" s="138">
        <f>IF('1.DATOS-PROD'!AL222="SI",VLOOKUP('1.DATOS-PROD'!AL$2,'1.PUNTOS'!$A$1:$B$63,2,0),0)</f>
        <v>0</v>
      </c>
      <c r="AD221" s="138">
        <f>IF('1.DATOS-PROD'!AM222="SI",VLOOKUP('1.DATOS-PROD'!AM$2,'1.PUNTOS'!$A$1:$B$63,2,0),0)</f>
        <v>0</v>
      </c>
      <c r="AE221" s="138">
        <f>IF('1.DATOS-PROD'!AN222="SI",VLOOKUP('1.DATOS-PROD'!AN$2,'1.PUNTOS'!$A$1:$B$63,2,0),0)</f>
        <v>0</v>
      </c>
      <c r="AF221" s="138">
        <f>IF('1.DATOS-PROD'!AO222="SI",VLOOKUP('1.DATOS-PROD'!AO$2,'1.PUNTOS'!$A$1:$B$63,2,0),0)</f>
        <v>0</v>
      </c>
      <c r="AG221" s="138">
        <f>IF('1.DATOS-PROD'!AP222="SI",VLOOKUP('1.DATOS-PROD'!AP$2,'1.PUNTOS'!$A$1:$B$63,2,0),0)</f>
        <v>0</v>
      </c>
      <c r="AH221" s="138">
        <f>IF('1.DATOS-PROD'!AQ222="SI",VLOOKUP('1.DATOS-PROD'!AQ$2,'1.PUNTOS'!$A$1:$B$63,2,0),0)</f>
        <v>0</v>
      </c>
      <c r="AI221" s="138">
        <f>IF('1.DATOS-PROD'!AR222="SI",VLOOKUP('1.DATOS-PROD'!AR$2,'1.PUNTOS'!$A$1:$B$63,2,0),0)</f>
        <v>0</v>
      </c>
      <c r="AJ221" s="138">
        <f>IF('1.DATOS-PROD'!AS222="SI",VLOOKUP('1.DATOS-PROD'!AS$2,'1.PUNTOS'!$A$1:$B$63,2,0),0)</f>
        <v>0</v>
      </c>
      <c r="AK221" s="138">
        <f>IF('1.DATOS-PROD'!AT222="SI",VLOOKUP('1.DATOS-PROD'!AT$2,'1.PUNTOS'!$A$1:$B$63,2,0),0)</f>
        <v>0</v>
      </c>
      <c r="AL221" s="138">
        <f>IF('1.DATOS-PROD'!AU222="SI",VLOOKUP('1.DATOS-PROD'!AU$2,'1.PUNTOS'!$A$1:$B$63,2,0),0)</f>
        <v>0</v>
      </c>
      <c r="AM221" s="138">
        <f>IF('1.DATOS-PROD'!AV222="SI",VLOOKUP('1.DATOS-PROD'!AV$2,'1.PUNTOS'!$A$1:$B$63,2,0),0)</f>
        <v>0</v>
      </c>
      <c r="AN221" s="138">
        <f>IF('1.DATOS-PROD'!AW222="SI",VLOOKUP('1.DATOS-PROD'!AW$2,'1.PUNTOS'!$A$1:$B$63,2,0),0)</f>
        <v>0</v>
      </c>
      <c r="AO221" s="138">
        <f>IF('1.DATOS-PROD'!AX222="SI",VLOOKUP('1.DATOS-PROD'!AX$2,'1.PUNTOS'!$A$1:$B$63,2,0),0)</f>
        <v>0</v>
      </c>
      <c r="AP221" s="138">
        <f>IF('1.DATOS-PROD'!AY222="SI",VLOOKUP('1.DATOS-PROD'!AY$2,'1.PUNTOS'!$A$1:$B$63,2,0),0)</f>
        <v>0</v>
      </c>
      <c r="AQ221" s="138">
        <f>IF('1.DATOS-PROD'!AZ222="SI",VLOOKUP('1.DATOS-PROD'!AZ$2,'1.PUNTOS'!$A$1:$B$63,2,0),0)</f>
        <v>0</v>
      </c>
      <c r="AR221" s="138">
        <f>IF('1.DATOS-PROD'!BA222="SI",VLOOKUP('1.DATOS-PROD'!BA$2,'1.PUNTOS'!$A$1:$B$63,2,0),0)</f>
        <v>0</v>
      </c>
      <c r="AS221" s="138">
        <f>IF('1.DATOS-PROD'!BB222="SI",VLOOKUP('1.DATOS-PROD'!BB$2,'1.PUNTOS'!$A$1:$B$63,2,0),0)</f>
        <v>0</v>
      </c>
      <c r="AT221" s="138">
        <f>IF('1.DATOS-PROD'!BC222="SI",VLOOKUP('1.DATOS-PROD'!BC$2,'1.PUNTOS'!$A$1:$B$63,2,0),0)</f>
        <v>0</v>
      </c>
      <c r="AU221" s="138">
        <f>IF('1.DATOS-PROD'!BD222="SI",VLOOKUP('1.DATOS-PROD'!BD$2,'1.PUNTOS'!$A$1:$B$63,2,0),0)</f>
        <v>0</v>
      </c>
      <c r="AV221" s="138">
        <f>IF('1.DATOS-PROD'!BE222="SI",VLOOKUP('1.DATOS-PROD'!BE$2,'1.PUNTOS'!$A$1:$B$63,2,0),0)</f>
        <v>0</v>
      </c>
      <c r="AW221" s="138">
        <f>IF('1.DATOS-PROD'!BF222="SI",VLOOKUP('1.DATOS-PROD'!BF$2,'1.PUNTOS'!$A$1:$B$63,2,0),0)</f>
        <v>0</v>
      </c>
      <c r="AX221" s="138">
        <f>IF('1.DATOS-PROD'!BG222="SI",VLOOKUP('1.DATOS-PROD'!BG$2,'1.PUNTOS'!$A$1:$B$63,2,0),0)</f>
        <v>0</v>
      </c>
      <c r="AY221" s="138">
        <f>IF('1.DATOS-PROD'!BH222="SI",VLOOKUP('1.DATOS-PROD'!BH$2,'1.PUNTOS'!$A$1:$B$63,2,0),0)</f>
        <v>0</v>
      </c>
      <c r="AZ221" s="138">
        <f>IF('1.DATOS-PROD'!BI222="SI",VLOOKUP('1.DATOS-PROD'!BI$2,'1.PUNTOS'!$A$1:$B$63,2,0),0)</f>
        <v>0</v>
      </c>
      <c r="BA221" s="138">
        <f>IF('1.DATOS-PROD'!BJ222="SI",VLOOKUP('1.DATOS-PROD'!BJ$2,'1.PUNTOS'!$A$1:$B$63,2,0),0)</f>
        <v>0</v>
      </c>
      <c r="BB221" s="138">
        <f>IF('1.DATOS-PROD'!BK222="SI",VLOOKUP('1.DATOS-PROD'!BK$2,'1.PUNTOS'!$A$1:$B$63,2,0),0)</f>
        <v>0</v>
      </c>
      <c r="BC221" s="138">
        <f>IF('1.DATOS-PROD'!BL222="SI",VLOOKUP('1.DATOS-PROD'!BL$2,'1.PUNTOS'!$A$1:$B$63,2,0),0)</f>
        <v>0</v>
      </c>
      <c r="BD221" s="138">
        <f>IF('1.DATOS-PROD'!BM222="SI",VLOOKUP('1.DATOS-PROD'!BM$2,'1.PUNTOS'!$A$1:$B$63,2,0),0)</f>
        <v>0</v>
      </c>
      <c r="BE221" s="138">
        <f>IF('1.DATOS-PROD'!BN222="SI",VLOOKUP('1.DATOS-PROD'!BN$2,'1.PUNTOS'!$A$1:$B$63,2,0),0)</f>
        <v>0</v>
      </c>
      <c r="BF221" s="138">
        <f>IF('1.DATOS-PROD'!BO222="SI",VLOOKUP('1.DATOS-PROD'!BO$2,'1.PUNTOS'!$A$1:$B$63,2,0),0)</f>
        <v>0</v>
      </c>
      <c r="BG221" s="138">
        <f>IF('1.DATOS-PROD'!BP222="SI",VLOOKUP('1.DATOS-PROD'!BP$2,'1.PUNTOS'!$A$1:$B$63,2,0),0)</f>
        <v>0</v>
      </c>
      <c r="BH221" s="138">
        <f>IF('1.DATOS-PROD'!BQ222="SI",VLOOKUP('1.DATOS-PROD'!BQ$2,'1.PUNTOS'!$A$1:$B$63,2,0),0)</f>
        <v>0</v>
      </c>
      <c r="BI221" s="138">
        <f>IF('1.DATOS-PROD'!BR222="SI",VLOOKUP('1.DATOS-PROD'!BR$2,'1.PUNTOS'!$A$1:$B$63,2,0),0)</f>
        <v>0</v>
      </c>
      <c r="BJ221" s="138">
        <f>IF('1.DATOS-PROD'!BS222="SI",VLOOKUP('1.DATOS-PROD'!BS$2,'1.PUNTOS'!$A$1:$B$63,2,0),0)</f>
        <v>0</v>
      </c>
      <c r="BK221" s="138">
        <f>IF('1.DATOS-PROD'!BT222="SI",VLOOKUP('1.DATOS-PROD'!BT$2,'1.PUNTOS'!$A$1:$B$63,2,0),0)</f>
        <v>0</v>
      </c>
    </row>
    <row r="222" spans="1:63" x14ac:dyDescent="0.25">
      <c r="A222">
        <f>'0.Consolidado general'!$A223</f>
        <v>0</v>
      </c>
      <c r="B222" s="138">
        <f>IF('1.DATOS-PROD'!K223="SI",VLOOKUP('1.DATOS-PROD'!K$2,'1.PUNTOS'!$A$1:$B$63,2,0),0)</f>
        <v>0</v>
      </c>
      <c r="C222" s="138">
        <f>IF('1.DATOS-PROD'!L223="SI",VLOOKUP('1.DATOS-PROD'!L$2,'1.PUNTOS'!$A$1:$B$63,2,0),0)</f>
        <v>0</v>
      </c>
      <c r="D222" s="138">
        <f>IF('1.DATOS-PROD'!M223="SI",VLOOKUP('1.DATOS-PROD'!M$2,'1.PUNTOS'!$A$1:$B$63,2,0),0)</f>
        <v>0</v>
      </c>
      <c r="E222" s="138">
        <f>IF('1.DATOS-PROD'!N223="SI",VLOOKUP('1.DATOS-PROD'!N$2,'1.PUNTOS'!$A$1:$B$63,2,0),0)</f>
        <v>0</v>
      </c>
      <c r="F222" s="138">
        <f>IF('1.DATOS-PROD'!O223="SI",VLOOKUP('1.DATOS-PROD'!O$2,'1.PUNTOS'!$A$1:$B$63,2,0),0)</f>
        <v>0</v>
      </c>
      <c r="G222" s="138">
        <f>IF('1.DATOS-PROD'!P223="SI",VLOOKUP('1.DATOS-PROD'!P$2,'1.PUNTOS'!$A$1:$B$63,2,0),0)</f>
        <v>0</v>
      </c>
      <c r="H222" s="138">
        <f>IF('1.DATOS-PROD'!Q223="SI",VLOOKUP('1.DATOS-PROD'!Q$2,'1.PUNTOS'!$A$1:$B$63,2,0),0)</f>
        <v>0</v>
      </c>
      <c r="I222" s="138">
        <f>IF('1.DATOS-PROD'!R223="SI",VLOOKUP('1.DATOS-PROD'!R$2,'1.PUNTOS'!$A$1:$B$63,2,0),0)</f>
        <v>0</v>
      </c>
      <c r="J222" s="138">
        <f>IF('1.DATOS-PROD'!S223="SI",VLOOKUP('1.DATOS-PROD'!S$2,'1.PUNTOS'!$A$1:$B$63,2,0),0)</f>
        <v>0</v>
      </c>
      <c r="K222" s="138">
        <f>IF('1.DATOS-PROD'!T223="SI",VLOOKUP('1.DATOS-PROD'!T$2,'1.PUNTOS'!$A$1:$B$63,2,0),0)</f>
        <v>0</v>
      </c>
      <c r="L222" s="138">
        <f>IF('1.DATOS-PROD'!U223="SI",VLOOKUP('1.DATOS-PROD'!U$2,'1.PUNTOS'!$A$1:$B$63,2,0),0)</f>
        <v>0</v>
      </c>
      <c r="M222" s="138">
        <f>IF('1.DATOS-PROD'!V223="SI",VLOOKUP('1.DATOS-PROD'!V$2,'1.PUNTOS'!$A$1:$B$63,2,0),0)</f>
        <v>0</v>
      </c>
      <c r="N222" s="138">
        <f>IF('1.DATOS-PROD'!W223="SI",VLOOKUP('1.DATOS-PROD'!W$2,'1.PUNTOS'!$A$1:$B$63,2,0),0)</f>
        <v>0</v>
      </c>
      <c r="O222" s="138">
        <f>IF('1.DATOS-PROD'!X223="SI",VLOOKUP('1.DATOS-PROD'!X$2,'1.PUNTOS'!$A$1:$B$63,2,0),0)</f>
        <v>0</v>
      </c>
      <c r="P222" s="138">
        <f>IF('1.DATOS-PROD'!Y223="SI",VLOOKUP('1.DATOS-PROD'!Y$2,'1.PUNTOS'!$A$1:$B$63,2,0),0)</f>
        <v>0</v>
      </c>
      <c r="Q222" s="138">
        <f>IF('1.DATOS-PROD'!Z223="SI",VLOOKUP('1.DATOS-PROD'!Z$2,'1.PUNTOS'!$A$1:$B$63,2,0),0)</f>
        <v>0</v>
      </c>
      <c r="R222" s="138">
        <f>IF('1.DATOS-PROD'!AA223="SI",VLOOKUP('1.DATOS-PROD'!AA$2,'1.PUNTOS'!$A$1:$B$63,2,0),0)</f>
        <v>0</v>
      </c>
      <c r="S222" s="138">
        <f>IF('1.DATOS-PROD'!AB223="SI",VLOOKUP('1.DATOS-PROD'!AB$2,'1.PUNTOS'!$A$1:$B$63,2,0),0)</f>
        <v>0</v>
      </c>
      <c r="T222" s="138">
        <f>IF('1.DATOS-PROD'!AC223="SI",VLOOKUP('1.DATOS-PROD'!AC$2,'1.PUNTOS'!$A$1:$B$63,2,0),0)</f>
        <v>0</v>
      </c>
      <c r="U222" s="138">
        <f>IF('1.DATOS-PROD'!AD223="SI",VLOOKUP('1.DATOS-PROD'!AD$2,'1.PUNTOS'!$A$1:$B$63,2,0),0)</f>
        <v>0</v>
      </c>
      <c r="V222" s="138">
        <f>IF('1.DATOS-PROD'!AE223="SI",VLOOKUP('1.DATOS-PROD'!AE$2,'1.PUNTOS'!$A$1:$B$63,2,0),0)</f>
        <v>0</v>
      </c>
      <c r="W222" s="138">
        <f>IF('1.DATOS-PROD'!AF223="SI",VLOOKUP('1.DATOS-PROD'!AF$2,'1.PUNTOS'!$A$1:$B$63,2,0),0)</f>
        <v>0</v>
      </c>
      <c r="X222" s="138">
        <f>IF('1.DATOS-PROD'!AG223="SI",VLOOKUP('1.DATOS-PROD'!AG$2,'1.PUNTOS'!$A$1:$B$63,2,0),0)</f>
        <v>0</v>
      </c>
      <c r="Y222" s="138">
        <f>IF('1.DATOS-PROD'!AH223="SI",VLOOKUP('1.DATOS-PROD'!AH$2,'1.PUNTOS'!$A$1:$B$63,2,0),0)</f>
        <v>0</v>
      </c>
      <c r="Z222" s="138">
        <f>IF('1.DATOS-PROD'!AI223="SI",VLOOKUP('1.DATOS-PROD'!AI$2,'1.PUNTOS'!$A$1:$B$63,2,0),0)</f>
        <v>0</v>
      </c>
      <c r="AA222" s="138">
        <f>IF('1.DATOS-PROD'!AJ223="SI",VLOOKUP('1.DATOS-PROD'!AJ$2,'1.PUNTOS'!$A$1:$B$63,2,0),0)</f>
        <v>0</v>
      </c>
      <c r="AB222" s="138">
        <f>IF('1.DATOS-PROD'!AK223="SI",VLOOKUP('1.DATOS-PROD'!AK$2,'1.PUNTOS'!$A$1:$B$63,2,0),0)</f>
        <v>0</v>
      </c>
      <c r="AC222" s="138">
        <f>IF('1.DATOS-PROD'!AL223="SI",VLOOKUP('1.DATOS-PROD'!AL$2,'1.PUNTOS'!$A$1:$B$63,2,0),0)</f>
        <v>0</v>
      </c>
      <c r="AD222" s="138">
        <f>IF('1.DATOS-PROD'!AM223="SI",VLOOKUP('1.DATOS-PROD'!AM$2,'1.PUNTOS'!$A$1:$B$63,2,0),0)</f>
        <v>0</v>
      </c>
      <c r="AE222" s="138">
        <f>IF('1.DATOS-PROD'!AN223="SI",VLOOKUP('1.DATOS-PROD'!AN$2,'1.PUNTOS'!$A$1:$B$63,2,0),0)</f>
        <v>0</v>
      </c>
      <c r="AF222" s="138">
        <f>IF('1.DATOS-PROD'!AO223="SI",VLOOKUP('1.DATOS-PROD'!AO$2,'1.PUNTOS'!$A$1:$B$63,2,0),0)</f>
        <v>0</v>
      </c>
      <c r="AG222" s="138">
        <f>IF('1.DATOS-PROD'!AP223="SI",VLOOKUP('1.DATOS-PROD'!AP$2,'1.PUNTOS'!$A$1:$B$63,2,0),0)</f>
        <v>0</v>
      </c>
      <c r="AH222" s="138">
        <f>IF('1.DATOS-PROD'!AQ223="SI",VLOOKUP('1.DATOS-PROD'!AQ$2,'1.PUNTOS'!$A$1:$B$63,2,0),0)</f>
        <v>0</v>
      </c>
      <c r="AI222" s="138">
        <f>IF('1.DATOS-PROD'!AR223="SI",VLOOKUP('1.DATOS-PROD'!AR$2,'1.PUNTOS'!$A$1:$B$63,2,0),0)</f>
        <v>0</v>
      </c>
      <c r="AJ222" s="138">
        <f>IF('1.DATOS-PROD'!AS223="SI",VLOOKUP('1.DATOS-PROD'!AS$2,'1.PUNTOS'!$A$1:$B$63,2,0),0)</f>
        <v>0</v>
      </c>
      <c r="AK222" s="138">
        <f>IF('1.DATOS-PROD'!AT223="SI",VLOOKUP('1.DATOS-PROD'!AT$2,'1.PUNTOS'!$A$1:$B$63,2,0),0)</f>
        <v>0</v>
      </c>
      <c r="AL222" s="138">
        <f>IF('1.DATOS-PROD'!AU223="SI",VLOOKUP('1.DATOS-PROD'!AU$2,'1.PUNTOS'!$A$1:$B$63,2,0),0)</f>
        <v>0</v>
      </c>
      <c r="AM222" s="138">
        <f>IF('1.DATOS-PROD'!AV223="SI",VLOOKUP('1.DATOS-PROD'!AV$2,'1.PUNTOS'!$A$1:$B$63,2,0),0)</f>
        <v>0</v>
      </c>
      <c r="AN222" s="138">
        <f>IF('1.DATOS-PROD'!AW223="SI",VLOOKUP('1.DATOS-PROD'!AW$2,'1.PUNTOS'!$A$1:$B$63,2,0),0)</f>
        <v>0</v>
      </c>
      <c r="AO222" s="138">
        <f>IF('1.DATOS-PROD'!AX223="SI",VLOOKUP('1.DATOS-PROD'!AX$2,'1.PUNTOS'!$A$1:$B$63,2,0),0)</f>
        <v>0</v>
      </c>
      <c r="AP222" s="138">
        <f>IF('1.DATOS-PROD'!AY223="SI",VLOOKUP('1.DATOS-PROD'!AY$2,'1.PUNTOS'!$A$1:$B$63,2,0),0)</f>
        <v>0</v>
      </c>
      <c r="AQ222" s="138">
        <f>IF('1.DATOS-PROD'!AZ223="SI",VLOOKUP('1.DATOS-PROD'!AZ$2,'1.PUNTOS'!$A$1:$B$63,2,0),0)</f>
        <v>0</v>
      </c>
      <c r="AR222" s="138">
        <f>IF('1.DATOS-PROD'!BA223="SI",VLOOKUP('1.DATOS-PROD'!BA$2,'1.PUNTOS'!$A$1:$B$63,2,0),0)</f>
        <v>0</v>
      </c>
      <c r="AS222" s="138">
        <f>IF('1.DATOS-PROD'!BB223="SI",VLOOKUP('1.DATOS-PROD'!BB$2,'1.PUNTOS'!$A$1:$B$63,2,0),0)</f>
        <v>0</v>
      </c>
      <c r="AT222" s="138">
        <f>IF('1.DATOS-PROD'!BC223="SI",VLOOKUP('1.DATOS-PROD'!BC$2,'1.PUNTOS'!$A$1:$B$63,2,0),0)</f>
        <v>0</v>
      </c>
      <c r="AU222" s="138">
        <f>IF('1.DATOS-PROD'!BD223="SI",VLOOKUP('1.DATOS-PROD'!BD$2,'1.PUNTOS'!$A$1:$B$63,2,0),0)</f>
        <v>0</v>
      </c>
      <c r="AV222" s="138">
        <f>IF('1.DATOS-PROD'!BE223="SI",VLOOKUP('1.DATOS-PROD'!BE$2,'1.PUNTOS'!$A$1:$B$63,2,0),0)</f>
        <v>0</v>
      </c>
      <c r="AW222" s="138">
        <f>IF('1.DATOS-PROD'!BF223="SI",VLOOKUP('1.DATOS-PROD'!BF$2,'1.PUNTOS'!$A$1:$B$63,2,0),0)</f>
        <v>0</v>
      </c>
      <c r="AX222" s="138">
        <f>IF('1.DATOS-PROD'!BG223="SI",VLOOKUP('1.DATOS-PROD'!BG$2,'1.PUNTOS'!$A$1:$B$63,2,0),0)</f>
        <v>0</v>
      </c>
      <c r="AY222" s="138">
        <f>IF('1.DATOS-PROD'!BH223="SI",VLOOKUP('1.DATOS-PROD'!BH$2,'1.PUNTOS'!$A$1:$B$63,2,0),0)</f>
        <v>0</v>
      </c>
      <c r="AZ222" s="138">
        <f>IF('1.DATOS-PROD'!BI223="SI",VLOOKUP('1.DATOS-PROD'!BI$2,'1.PUNTOS'!$A$1:$B$63,2,0),0)</f>
        <v>0</v>
      </c>
      <c r="BA222" s="138">
        <f>IF('1.DATOS-PROD'!BJ223="SI",VLOOKUP('1.DATOS-PROD'!BJ$2,'1.PUNTOS'!$A$1:$B$63,2,0),0)</f>
        <v>0</v>
      </c>
      <c r="BB222" s="138">
        <f>IF('1.DATOS-PROD'!BK223="SI",VLOOKUP('1.DATOS-PROD'!BK$2,'1.PUNTOS'!$A$1:$B$63,2,0),0)</f>
        <v>0</v>
      </c>
      <c r="BC222" s="138">
        <f>IF('1.DATOS-PROD'!BL223="SI",VLOOKUP('1.DATOS-PROD'!BL$2,'1.PUNTOS'!$A$1:$B$63,2,0),0)</f>
        <v>0</v>
      </c>
      <c r="BD222" s="138">
        <f>IF('1.DATOS-PROD'!BM223="SI",VLOOKUP('1.DATOS-PROD'!BM$2,'1.PUNTOS'!$A$1:$B$63,2,0),0)</f>
        <v>0</v>
      </c>
      <c r="BE222" s="138">
        <f>IF('1.DATOS-PROD'!BN223="SI",VLOOKUP('1.DATOS-PROD'!BN$2,'1.PUNTOS'!$A$1:$B$63,2,0),0)</f>
        <v>0</v>
      </c>
      <c r="BF222" s="138">
        <f>IF('1.DATOS-PROD'!BO223="SI",VLOOKUP('1.DATOS-PROD'!BO$2,'1.PUNTOS'!$A$1:$B$63,2,0),0)</f>
        <v>0</v>
      </c>
      <c r="BG222" s="138">
        <f>IF('1.DATOS-PROD'!BP223="SI",VLOOKUP('1.DATOS-PROD'!BP$2,'1.PUNTOS'!$A$1:$B$63,2,0),0)</f>
        <v>0</v>
      </c>
      <c r="BH222" s="138">
        <f>IF('1.DATOS-PROD'!BQ223="SI",VLOOKUP('1.DATOS-PROD'!BQ$2,'1.PUNTOS'!$A$1:$B$63,2,0),0)</f>
        <v>0</v>
      </c>
      <c r="BI222" s="138">
        <f>IF('1.DATOS-PROD'!BR223="SI",VLOOKUP('1.DATOS-PROD'!BR$2,'1.PUNTOS'!$A$1:$B$63,2,0),0)</f>
        <v>0</v>
      </c>
      <c r="BJ222" s="138">
        <f>IF('1.DATOS-PROD'!BS223="SI",VLOOKUP('1.DATOS-PROD'!BS$2,'1.PUNTOS'!$A$1:$B$63,2,0),0)</f>
        <v>0</v>
      </c>
      <c r="BK222" s="138">
        <f>IF('1.DATOS-PROD'!BT223="SI",VLOOKUP('1.DATOS-PROD'!BT$2,'1.PUNTOS'!$A$1:$B$63,2,0),0)</f>
        <v>0</v>
      </c>
    </row>
    <row r="223" spans="1:63" x14ac:dyDescent="0.25">
      <c r="A223">
        <f>'0.Consolidado general'!$A224</f>
        <v>0</v>
      </c>
      <c r="B223" s="138">
        <f>IF('1.DATOS-PROD'!K224="SI",VLOOKUP('1.DATOS-PROD'!K$2,'1.PUNTOS'!$A$1:$B$63,2,0),0)</f>
        <v>0</v>
      </c>
      <c r="C223" s="138">
        <f>IF('1.DATOS-PROD'!L224="SI",VLOOKUP('1.DATOS-PROD'!L$2,'1.PUNTOS'!$A$1:$B$63,2,0),0)</f>
        <v>0</v>
      </c>
      <c r="D223" s="138">
        <f>IF('1.DATOS-PROD'!M224="SI",VLOOKUP('1.DATOS-PROD'!M$2,'1.PUNTOS'!$A$1:$B$63,2,0),0)</f>
        <v>0</v>
      </c>
      <c r="E223" s="138">
        <f>IF('1.DATOS-PROD'!N224="SI",VLOOKUP('1.DATOS-PROD'!N$2,'1.PUNTOS'!$A$1:$B$63,2,0),0)</f>
        <v>0</v>
      </c>
      <c r="F223" s="138">
        <f>IF('1.DATOS-PROD'!O224="SI",VLOOKUP('1.DATOS-PROD'!O$2,'1.PUNTOS'!$A$1:$B$63,2,0),0)</f>
        <v>0</v>
      </c>
      <c r="G223" s="138">
        <f>IF('1.DATOS-PROD'!P224="SI",VLOOKUP('1.DATOS-PROD'!P$2,'1.PUNTOS'!$A$1:$B$63,2,0),0)</f>
        <v>0</v>
      </c>
      <c r="H223" s="138">
        <f>IF('1.DATOS-PROD'!Q224="SI",VLOOKUP('1.DATOS-PROD'!Q$2,'1.PUNTOS'!$A$1:$B$63,2,0),0)</f>
        <v>0</v>
      </c>
      <c r="I223" s="138">
        <f>IF('1.DATOS-PROD'!R224="SI",VLOOKUP('1.DATOS-PROD'!R$2,'1.PUNTOS'!$A$1:$B$63,2,0),0)</f>
        <v>0</v>
      </c>
      <c r="J223" s="138">
        <f>IF('1.DATOS-PROD'!S224="SI",VLOOKUP('1.DATOS-PROD'!S$2,'1.PUNTOS'!$A$1:$B$63,2,0),0)</f>
        <v>0</v>
      </c>
      <c r="K223" s="138">
        <f>IF('1.DATOS-PROD'!T224="SI",VLOOKUP('1.DATOS-PROD'!T$2,'1.PUNTOS'!$A$1:$B$63,2,0),0)</f>
        <v>0</v>
      </c>
      <c r="L223" s="138">
        <f>IF('1.DATOS-PROD'!U224="SI",VLOOKUP('1.DATOS-PROD'!U$2,'1.PUNTOS'!$A$1:$B$63,2,0),0)</f>
        <v>0</v>
      </c>
      <c r="M223" s="138">
        <f>IF('1.DATOS-PROD'!V224="SI",VLOOKUP('1.DATOS-PROD'!V$2,'1.PUNTOS'!$A$1:$B$63,2,0),0)</f>
        <v>0</v>
      </c>
      <c r="N223" s="138">
        <f>IF('1.DATOS-PROD'!W224="SI",VLOOKUP('1.DATOS-PROD'!W$2,'1.PUNTOS'!$A$1:$B$63,2,0),0)</f>
        <v>0</v>
      </c>
      <c r="O223" s="138">
        <f>IF('1.DATOS-PROD'!X224="SI",VLOOKUP('1.DATOS-PROD'!X$2,'1.PUNTOS'!$A$1:$B$63,2,0),0)</f>
        <v>0</v>
      </c>
      <c r="P223" s="138">
        <f>IF('1.DATOS-PROD'!Y224="SI",VLOOKUP('1.DATOS-PROD'!Y$2,'1.PUNTOS'!$A$1:$B$63,2,0),0)</f>
        <v>0</v>
      </c>
      <c r="Q223" s="138">
        <f>IF('1.DATOS-PROD'!Z224="SI",VLOOKUP('1.DATOS-PROD'!Z$2,'1.PUNTOS'!$A$1:$B$63,2,0),0)</f>
        <v>0</v>
      </c>
      <c r="R223" s="138">
        <f>IF('1.DATOS-PROD'!AA224="SI",VLOOKUP('1.DATOS-PROD'!AA$2,'1.PUNTOS'!$A$1:$B$63,2,0),0)</f>
        <v>0</v>
      </c>
      <c r="S223" s="138">
        <f>IF('1.DATOS-PROD'!AB224="SI",VLOOKUP('1.DATOS-PROD'!AB$2,'1.PUNTOS'!$A$1:$B$63,2,0),0)</f>
        <v>0</v>
      </c>
      <c r="T223" s="138">
        <f>IF('1.DATOS-PROD'!AC224="SI",VLOOKUP('1.DATOS-PROD'!AC$2,'1.PUNTOS'!$A$1:$B$63,2,0),0)</f>
        <v>0</v>
      </c>
      <c r="U223" s="138">
        <f>IF('1.DATOS-PROD'!AD224="SI",VLOOKUP('1.DATOS-PROD'!AD$2,'1.PUNTOS'!$A$1:$B$63,2,0),0)</f>
        <v>0</v>
      </c>
      <c r="V223" s="138">
        <f>IF('1.DATOS-PROD'!AE224="SI",VLOOKUP('1.DATOS-PROD'!AE$2,'1.PUNTOS'!$A$1:$B$63,2,0),0)</f>
        <v>0</v>
      </c>
      <c r="W223" s="138">
        <f>IF('1.DATOS-PROD'!AF224="SI",VLOOKUP('1.DATOS-PROD'!AF$2,'1.PUNTOS'!$A$1:$B$63,2,0),0)</f>
        <v>0</v>
      </c>
      <c r="X223" s="138">
        <f>IF('1.DATOS-PROD'!AG224="SI",VLOOKUP('1.DATOS-PROD'!AG$2,'1.PUNTOS'!$A$1:$B$63,2,0),0)</f>
        <v>0</v>
      </c>
      <c r="Y223" s="138">
        <f>IF('1.DATOS-PROD'!AH224="SI",VLOOKUP('1.DATOS-PROD'!AH$2,'1.PUNTOS'!$A$1:$B$63,2,0),0)</f>
        <v>0</v>
      </c>
      <c r="Z223" s="138">
        <f>IF('1.DATOS-PROD'!AI224="SI",VLOOKUP('1.DATOS-PROD'!AI$2,'1.PUNTOS'!$A$1:$B$63,2,0),0)</f>
        <v>0</v>
      </c>
      <c r="AA223" s="138">
        <f>IF('1.DATOS-PROD'!AJ224="SI",VLOOKUP('1.DATOS-PROD'!AJ$2,'1.PUNTOS'!$A$1:$B$63,2,0),0)</f>
        <v>0</v>
      </c>
      <c r="AB223" s="138">
        <f>IF('1.DATOS-PROD'!AK224="SI",VLOOKUP('1.DATOS-PROD'!AK$2,'1.PUNTOS'!$A$1:$B$63,2,0),0)</f>
        <v>0</v>
      </c>
      <c r="AC223" s="138">
        <f>IF('1.DATOS-PROD'!AL224="SI",VLOOKUP('1.DATOS-PROD'!AL$2,'1.PUNTOS'!$A$1:$B$63,2,0),0)</f>
        <v>0</v>
      </c>
      <c r="AD223" s="138">
        <f>IF('1.DATOS-PROD'!AM224="SI",VLOOKUP('1.DATOS-PROD'!AM$2,'1.PUNTOS'!$A$1:$B$63,2,0),0)</f>
        <v>0</v>
      </c>
      <c r="AE223" s="138">
        <f>IF('1.DATOS-PROD'!AN224="SI",VLOOKUP('1.DATOS-PROD'!AN$2,'1.PUNTOS'!$A$1:$B$63,2,0),0)</f>
        <v>0</v>
      </c>
      <c r="AF223" s="138">
        <f>IF('1.DATOS-PROD'!AO224="SI",VLOOKUP('1.DATOS-PROD'!AO$2,'1.PUNTOS'!$A$1:$B$63,2,0),0)</f>
        <v>0</v>
      </c>
      <c r="AG223" s="138">
        <f>IF('1.DATOS-PROD'!AP224="SI",VLOOKUP('1.DATOS-PROD'!AP$2,'1.PUNTOS'!$A$1:$B$63,2,0),0)</f>
        <v>0</v>
      </c>
      <c r="AH223" s="138">
        <f>IF('1.DATOS-PROD'!AQ224="SI",VLOOKUP('1.DATOS-PROD'!AQ$2,'1.PUNTOS'!$A$1:$B$63,2,0),0)</f>
        <v>0</v>
      </c>
      <c r="AI223" s="138">
        <f>IF('1.DATOS-PROD'!AR224="SI",VLOOKUP('1.DATOS-PROD'!AR$2,'1.PUNTOS'!$A$1:$B$63,2,0),0)</f>
        <v>0</v>
      </c>
      <c r="AJ223" s="138">
        <f>IF('1.DATOS-PROD'!AS224="SI",VLOOKUP('1.DATOS-PROD'!AS$2,'1.PUNTOS'!$A$1:$B$63,2,0),0)</f>
        <v>0</v>
      </c>
      <c r="AK223" s="138">
        <f>IF('1.DATOS-PROD'!AT224="SI",VLOOKUP('1.DATOS-PROD'!AT$2,'1.PUNTOS'!$A$1:$B$63,2,0),0)</f>
        <v>0</v>
      </c>
      <c r="AL223" s="138">
        <f>IF('1.DATOS-PROD'!AU224="SI",VLOOKUP('1.DATOS-PROD'!AU$2,'1.PUNTOS'!$A$1:$B$63,2,0),0)</f>
        <v>0</v>
      </c>
      <c r="AM223" s="138">
        <f>IF('1.DATOS-PROD'!AV224="SI",VLOOKUP('1.DATOS-PROD'!AV$2,'1.PUNTOS'!$A$1:$B$63,2,0),0)</f>
        <v>0</v>
      </c>
      <c r="AN223" s="138">
        <f>IF('1.DATOS-PROD'!AW224="SI",VLOOKUP('1.DATOS-PROD'!AW$2,'1.PUNTOS'!$A$1:$B$63,2,0),0)</f>
        <v>0</v>
      </c>
      <c r="AO223" s="138">
        <f>IF('1.DATOS-PROD'!AX224="SI",VLOOKUP('1.DATOS-PROD'!AX$2,'1.PUNTOS'!$A$1:$B$63,2,0),0)</f>
        <v>0</v>
      </c>
      <c r="AP223" s="138">
        <f>IF('1.DATOS-PROD'!AY224="SI",VLOOKUP('1.DATOS-PROD'!AY$2,'1.PUNTOS'!$A$1:$B$63,2,0),0)</f>
        <v>0</v>
      </c>
      <c r="AQ223" s="138">
        <f>IF('1.DATOS-PROD'!AZ224="SI",VLOOKUP('1.DATOS-PROD'!AZ$2,'1.PUNTOS'!$A$1:$B$63,2,0),0)</f>
        <v>0</v>
      </c>
      <c r="AR223" s="138">
        <f>IF('1.DATOS-PROD'!BA224="SI",VLOOKUP('1.DATOS-PROD'!BA$2,'1.PUNTOS'!$A$1:$B$63,2,0),0)</f>
        <v>0</v>
      </c>
      <c r="AS223" s="138">
        <f>IF('1.DATOS-PROD'!BB224="SI",VLOOKUP('1.DATOS-PROD'!BB$2,'1.PUNTOS'!$A$1:$B$63,2,0),0)</f>
        <v>0</v>
      </c>
      <c r="AT223" s="138">
        <f>IF('1.DATOS-PROD'!BC224="SI",VLOOKUP('1.DATOS-PROD'!BC$2,'1.PUNTOS'!$A$1:$B$63,2,0),0)</f>
        <v>0</v>
      </c>
      <c r="AU223" s="138">
        <f>IF('1.DATOS-PROD'!BD224="SI",VLOOKUP('1.DATOS-PROD'!BD$2,'1.PUNTOS'!$A$1:$B$63,2,0),0)</f>
        <v>0</v>
      </c>
      <c r="AV223" s="138">
        <f>IF('1.DATOS-PROD'!BE224="SI",VLOOKUP('1.DATOS-PROD'!BE$2,'1.PUNTOS'!$A$1:$B$63,2,0),0)</f>
        <v>0</v>
      </c>
      <c r="AW223" s="138">
        <f>IF('1.DATOS-PROD'!BF224="SI",VLOOKUP('1.DATOS-PROD'!BF$2,'1.PUNTOS'!$A$1:$B$63,2,0),0)</f>
        <v>0</v>
      </c>
      <c r="AX223" s="138">
        <f>IF('1.DATOS-PROD'!BG224="SI",VLOOKUP('1.DATOS-PROD'!BG$2,'1.PUNTOS'!$A$1:$B$63,2,0),0)</f>
        <v>0</v>
      </c>
      <c r="AY223" s="138">
        <f>IF('1.DATOS-PROD'!BH224="SI",VLOOKUP('1.DATOS-PROD'!BH$2,'1.PUNTOS'!$A$1:$B$63,2,0),0)</f>
        <v>0</v>
      </c>
      <c r="AZ223" s="138">
        <f>IF('1.DATOS-PROD'!BI224="SI",VLOOKUP('1.DATOS-PROD'!BI$2,'1.PUNTOS'!$A$1:$B$63,2,0),0)</f>
        <v>0</v>
      </c>
      <c r="BA223" s="138">
        <f>IF('1.DATOS-PROD'!BJ224="SI",VLOOKUP('1.DATOS-PROD'!BJ$2,'1.PUNTOS'!$A$1:$B$63,2,0),0)</f>
        <v>0</v>
      </c>
      <c r="BB223" s="138">
        <f>IF('1.DATOS-PROD'!BK224="SI",VLOOKUP('1.DATOS-PROD'!BK$2,'1.PUNTOS'!$A$1:$B$63,2,0),0)</f>
        <v>0</v>
      </c>
      <c r="BC223" s="138">
        <f>IF('1.DATOS-PROD'!BL224="SI",VLOOKUP('1.DATOS-PROD'!BL$2,'1.PUNTOS'!$A$1:$B$63,2,0),0)</f>
        <v>0</v>
      </c>
      <c r="BD223" s="138">
        <f>IF('1.DATOS-PROD'!BM224="SI",VLOOKUP('1.DATOS-PROD'!BM$2,'1.PUNTOS'!$A$1:$B$63,2,0),0)</f>
        <v>0</v>
      </c>
      <c r="BE223" s="138">
        <f>IF('1.DATOS-PROD'!BN224="SI",VLOOKUP('1.DATOS-PROD'!BN$2,'1.PUNTOS'!$A$1:$B$63,2,0),0)</f>
        <v>0</v>
      </c>
      <c r="BF223" s="138">
        <f>IF('1.DATOS-PROD'!BO224="SI",VLOOKUP('1.DATOS-PROD'!BO$2,'1.PUNTOS'!$A$1:$B$63,2,0),0)</f>
        <v>0</v>
      </c>
      <c r="BG223" s="138">
        <f>IF('1.DATOS-PROD'!BP224="SI",VLOOKUP('1.DATOS-PROD'!BP$2,'1.PUNTOS'!$A$1:$B$63,2,0),0)</f>
        <v>0</v>
      </c>
      <c r="BH223" s="138">
        <f>IF('1.DATOS-PROD'!BQ224="SI",VLOOKUP('1.DATOS-PROD'!BQ$2,'1.PUNTOS'!$A$1:$B$63,2,0),0)</f>
        <v>0</v>
      </c>
      <c r="BI223" s="138">
        <f>IF('1.DATOS-PROD'!BR224="SI",VLOOKUP('1.DATOS-PROD'!BR$2,'1.PUNTOS'!$A$1:$B$63,2,0),0)</f>
        <v>0</v>
      </c>
      <c r="BJ223" s="138">
        <f>IF('1.DATOS-PROD'!BS224="SI",VLOOKUP('1.DATOS-PROD'!BS$2,'1.PUNTOS'!$A$1:$B$63,2,0),0)</f>
        <v>0</v>
      </c>
      <c r="BK223" s="138">
        <f>IF('1.DATOS-PROD'!BT224="SI",VLOOKUP('1.DATOS-PROD'!BT$2,'1.PUNTOS'!$A$1:$B$63,2,0),0)</f>
        <v>0</v>
      </c>
    </row>
    <row r="224" spans="1:63" x14ac:dyDescent="0.25">
      <c r="A224">
        <f>'0.Consolidado general'!$A225</f>
        <v>0</v>
      </c>
      <c r="B224" s="138">
        <f>IF('1.DATOS-PROD'!K225="SI",VLOOKUP('1.DATOS-PROD'!K$2,'1.PUNTOS'!$A$1:$B$63,2,0),0)</f>
        <v>0</v>
      </c>
      <c r="C224" s="138">
        <f>IF('1.DATOS-PROD'!L225="SI",VLOOKUP('1.DATOS-PROD'!L$2,'1.PUNTOS'!$A$1:$B$63,2,0),0)</f>
        <v>0</v>
      </c>
      <c r="D224" s="138">
        <f>IF('1.DATOS-PROD'!M225="SI",VLOOKUP('1.DATOS-PROD'!M$2,'1.PUNTOS'!$A$1:$B$63,2,0),0)</f>
        <v>0</v>
      </c>
      <c r="E224" s="138">
        <f>IF('1.DATOS-PROD'!N225="SI",VLOOKUP('1.DATOS-PROD'!N$2,'1.PUNTOS'!$A$1:$B$63,2,0),0)</f>
        <v>0</v>
      </c>
      <c r="F224" s="138">
        <f>IF('1.DATOS-PROD'!O225="SI",VLOOKUP('1.DATOS-PROD'!O$2,'1.PUNTOS'!$A$1:$B$63,2,0),0)</f>
        <v>0</v>
      </c>
      <c r="G224" s="138">
        <f>IF('1.DATOS-PROD'!P225="SI",VLOOKUP('1.DATOS-PROD'!P$2,'1.PUNTOS'!$A$1:$B$63,2,0),0)</f>
        <v>0</v>
      </c>
      <c r="H224" s="138">
        <f>IF('1.DATOS-PROD'!Q225="SI",VLOOKUP('1.DATOS-PROD'!Q$2,'1.PUNTOS'!$A$1:$B$63,2,0),0)</f>
        <v>0</v>
      </c>
      <c r="I224" s="138">
        <f>IF('1.DATOS-PROD'!R225="SI",VLOOKUP('1.DATOS-PROD'!R$2,'1.PUNTOS'!$A$1:$B$63,2,0),0)</f>
        <v>0</v>
      </c>
      <c r="J224" s="138">
        <f>IF('1.DATOS-PROD'!S225="SI",VLOOKUP('1.DATOS-PROD'!S$2,'1.PUNTOS'!$A$1:$B$63,2,0),0)</f>
        <v>0</v>
      </c>
      <c r="K224" s="138">
        <f>IF('1.DATOS-PROD'!T225="SI",VLOOKUP('1.DATOS-PROD'!T$2,'1.PUNTOS'!$A$1:$B$63,2,0),0)</f>
        <v>0</v>
      </c>
      <c r="L224" s="138">
        <f>IF('1.DATOS-PROD'!U225="SI",VLOOKUP('1.DATOS-PROD'!U$2,'1.PUNTOS'!$A$1:$B$63,2,0),0)</f>
        <v>0</v>
      </c>
      <c r="M224" s="138">
        <f>IF('1.DATOS-PROD'!V225="SI",VLOOKUP('1.DATOS-PROD'!V$2,'1.PUNTOS'!$A$1:$B$63,2,0),0)</f>
        <v>0</v>
      </c>
      <c r="N224" s="138">
        <f>IF('1.DATOS-PROD'!W225="SI",VLOOKUP('1.DATOS-PROD'!W$2,'1.PUNTOS'!$A$1:$B$63,2,0),0)</f>
        <v>0</v>
      </c>
      <c r="O224" s="138">
        <f>IF('1.DATOS-PROD'!X225="SI",VLOOKUP('1.DATOS-PROD'!X$2,'1.PUNTOS'!$A$1:$B$63,2,0),0)</f>
        <v>0</v>
      </c>
      <c r="P224" s="138">
        <f>IF('1.DATOS-PROD'!Y225="SI",VLOOKUP('1.DATOS-PROD'!Y$2,'1.PUNTOS'!$A$1:$B$63,2,0),0)</f>
        <v>0</v>
      </c>
      <c r="Q224" s="138">
        <f>IF('1.DATOS-PROD'!Z225="SI",VLOOKUP('1.DATOS-PROD'!Z$2,'1.PUNTOS'!$A$1:$B$63,2,0),0)</f>
        <v>0</v>
      </c>
      <c r="R224" s="138">
        <f>IF('1.DATOS-PROD'!AA225="SI",VLOOKUP('1.DATOS-PROD'!AA$2,'1.PUNTOS'!$A$1:$B$63,2,0),0)</f>
        <v>0</v>
      </c>
      <c r="S224" s="138">
        <f>IF('1.DATOS-PROD'!AB225="SI",VLOOKUP('1.DATOS-PROD'!AB$2,'1.PUNTOS'!$A$1:$B$63,2,0),0)</f>
        <v>0</v>
      </c>
      <c r="T224" s="138">
        <f>IF('1.DATOS-PROD'!AC225="SI",VLOOKUP('1.DATOS-PROD'!AC$2,'1.PUNTOS'!$A$1:$B$63,2,0),0)</f>
        <v>0</v>
      </c>
      <c r="U224" s="138">
        <f>IF('1.DATOS-PROD'!AD225="SI",VLOOKUP('1.DATOS-PROD'!AD$2,'1.PUNTOS'!$A$1:$B$63,2,0),0)</f>
        <v>0</v>
      </c>
      <c r="V224" s="138">
        <f>IF('1.DATOS-PROD'!AE225="SI",VLOOKUP('1.DATOS-PROD'!AE$2,'1.PUNTOS'!$A$1:$B$63,2,0),0)</f>
        <v>0</v>
      </c>
      <c r="W224" s="138">
        <f>IF('1.DATOS-PROD'!AF225="SI",VLOOKUP('1.DATOS-PROD'!AF$2,'1.PUNTOS'!$A$1:$B$63,2,0),0)</f>
        <v>0</v>
      </c>
      <c r="X224" s="138">
        <f>IF('1.DATOS-PROD'!AG225="SI",VLOOKUP('1.DATOS-PROD'!AG$2,'1.PUNTOS'!$A$1:$B$63,2,0),0)</f>
        <v>0</v>
      </c>
      <c r="Y224" s="138">
        <f>IF('1.DATOS-PROD'!AH225="SI",VLOOKUP('1.DATOS-PROD'!AH$2,'1.PUNTOS'!$A$1:$B$63,2,0),0)</f>
        <v>0</v>
      </c>
      <c r="Z224" s="138">
        <f>IF('1.DATOS-PROD'!AI225="SI",VLOOKUP('1.DATOS-PROD'!AI$2,'1.PUNTOS'!$A$1:$B$63,2,0),0)</f>
        <v>0</v>
      </c>
      <c r="AA224" s="138">
        <f>IF('1.DATOS-PROD'!AJ225="SI",VLOOKUP('1.DATOS-PROD'!AJ$2,'1.PUNTOS'!$A$1:$B$63,2,0),0)</f>
        <v>0</v>
      </c>
      <c r="AB224" s="138">
        <f>IF('1.DATOS-PROD'!AK225="SI",VLOOKUP('1.DATOS-PROD'!AK$2,'1.PUNTOS'!$A$1:$B$63,2,0),0)</f>
        <v>0</v>
      </c>
      <c r="AC224" s="138">
        <f>IF('1.DATOS-PROD'!AL225="SI",VLOOKUP('1.DATOS-PROD'!AL$2,'1.PUNTOS'!$A$1:$B$63,2,0),0)</f>
        <v>0</v>
      </c>
      <c r="AD224" s="138">
        <f>IF('1.DATOS-PROD'!AM225="SI",VLOOKUP('1.DATOS-PROD'!AM$2,'1.PUNTOS'!$A$1:$B$63,2,0),0)</f>
        <v>0</v>
      </c>
      <c r="AE224" s="138">
        <f>IF('1.DATOS-PROD'!AN225="SI",VLOOKUP('1.DATOS-PROD'!AN$2,'1.PUNTOS'!$A$1:$B$63,2,0),0)</f>
        <v>0</v>
      </c>
      <c r="AF224" s="138">
        <f>IF('1.DATOS-PROD'!AO225="SI",VLOOKUP('1.DATOS-PROD'!AO$2,'1.PUNTOS'!$A$1:$B$63,2,0),0)</f>
        <v>0</v>
      </c>
      <c r="AG224" s="138">
        <f>IF('1.DATOS-PROD'!AP225="SI",VLOOKUP('1.DATOS-PROD'!AP$2,'1.PUNTOS'!$A$1:$B$63,2,0),0)</f>
        <v>0</v>
      </c>
      <c r="AH224" s="138">
        <f>IF('1.DATOS-PROD'!AQ225="SI",VLOOKUP('1.DATOS-PROD'!AQ$2,'1.PUNTOS'!$A$1:$B$63,2,0),0)</f>
        <v>0</v>
      </c>
      <c r="AI224" s="138">
        <f>IF('1.DATOS-PROD'!AR225="SI",VLOOKUP('1.DATOS-PROD'!AR$2,'1.PUNTOS'!$A$1:$B$63,2,0),0)</f>
        <v>0</v>
      </c>
      <c r="AJ224" s="138">
        <f>IF('1.DATOS-PROD'!AS225="SI",VLOOKUP('1.DATOS-PROD'!AS$2,'1.PUNTOS'!$A$1:$B$63,2,0),0)</f>
        <v>0</v>
      </c>
      <c r="AK224" s="138">
        <f>IF('1.DATOS-PROD'!AT225="SI",VLOOKUP('1.DATOS-PROD'!AT$2,'1.PUNTOS'!$A$1:$B$63,2,0),0)</f>
        <v>0</v>
      </c>
      <c r="AL224" s="138">
        <f>IF('1.DATOS-PROD'!AU225="SI",VLOOKUP('1.DATOS-PROD'!AU$2,'1.PUNTOS'!$A$1:$B$63,2,0),0)</f>
        <v>0</v>
      </c>
      <c r="AM224" s="138">
        <f>IF('1.DATOS-PROD'!AV225="SI",VLOOKUP('1.DATOS-PROD'!AV$2,'1.PUNTOS'!$A$1:$B$63,2,0),0)</f>
        <v>0</v>
      </c>
      <c r="AN224" s="138">
        <f>IF('1.DATOS-PROD'!AW225="SI",VLOOKUP('1.DATOS-PROD'!AW$2,'1.PUNTOS'!$A$1:$B$63,2,0),0)</f>
        <v>0</v>
      </c>
      <c r="AO224" s="138">
        <f>IF('1.DATOS-PROD'!AX225="SI",VLOOKUP('1.DATOS-PROD'!AX$2,'1.PUNTOS'!$A$1:$B$63,2,0),0)</f>
        <v>0</v>
      </c>
      <c r="AP224" s="138">
        <f>IF('1.DATOS-PROD'!AY225="SI",VLOOKUP('1.DATOS-PROD'!AY$2,'1.PUNTOS'!$A$1:$B$63,2,0),0)</f>
        <v>0</v>
      </c>
      <c r="AQ224" s="138">
        <f>IF('1.DATOS-PROD'!AZ225="SI",VLOOKUP('1.DATOS-PROD'!AZ$2,'1.PUNTOS'!$A$1:$B$63,2,0),0)</f>
        <v>0</v>
      </c>
      <c r="AR224" s="138">
        <f>IF('1.DATOS-PROD'!BA225="SI",VLOOKUP('1.DATOS-PROD'!BA$2,'1.PUNTOS'!$A$1:$B$63,2,0),0)</f>
        <v>0</v>
      </c>
      <c r="AS224" s="138">
        <f>IF('1.DATOS-PROD'!BB225="SI",VLOOKUP('1.DATOS-PROD'!BB$2,'1.PUNTOS'!$A$1:$B$63,2,0),0)</f>
        <v>0</v>
      </c>
      <c r="AT224" s="138">
        <f>IF('1.DATOS-PROD'!BC225="SI",VLOOKUP('1.DATOS-PROD'!BC$2,'1.PUNTOS'!$A$1:$B$63,2,0),0)</f>
        <v>0</v>
      </c>
      <c r="AU224" s="138">
        <f>IF('1.DATOS-PROD'!BD225="SI",VLOOKUP('1.DATOS-PROD'!BD$2,'1.PUNTOS'!$A$1:$B$63,2,0),0)</f>
        <v>0</v>
      </c>
      <c r="AV224" s="138">
        <f>IF('1.DATOS-PROD'!BE225="SI",VLOOKUP('1.DATOS-PROD'!BE$2,'1.PUNTOS'!$A$1:$B$63,2,0),0)</f>
        <v>0</v>
      </c>
      <c r="AW224" s="138">
        <f>IF('1.DATOS-PROD'!BF225="SI",VLOOKUP('1.DATOS-PROD'!BF$2,'1.PUNTOS'!$A$1:$B$63,2,0),0)</f>
        <v>0</v>
      </c>
      <c r="AX224" s="138">
        <f>IF('1.DATOS-PROD'!BG225="SI",VLOOKUP('1.DATOS-PROD'!BG$2,'1.PUNTOS'!$A$1:$B$63,2,0),0)</f>
        <v>0</v>
      </c>
      <c r="AY224" s="138">
        <f>IF('1.DATOS-PROD'!BH225="SI",VLOOKUP('1.DATOS-PROD'!BH$2,'1.PUNTOS'!$A$1:$B$63,2,0),0)</f>
        <v>0</v>
      </c>
      <c r="AZ224" s="138">
        <f>IF('1.DATOS-PROD'!BI225="SI",VLOOKUP('1.DATOS-PROD'!BI$2,'1.PUNTOS'!$A$1:$B$63,2,0),0)</f>
        <v>0</v>
      </c>
      <c r="BA224" s="138">
        <f>IF('1.DATOS-PROD'!BJ225="SI",VLOOKUP('1.DATOS-PROD'!BJ$2,'1.PUNTOS'!$A$1:$B$63,2,0),0)</f>
        <v>0</v>
      </c>
      <c r="BB224" s="138">
        <f>IF('1.DATOS-PROD'!BK225="SI",VLOOKUP('1.DATOS-PROD'!BK$2,'1.PUNTOS'!$A$1:$B$63,2,0),0)</f>
        <v>0</v>
      </c>
      <c r="BC224" s="138">
        <f>IF('1.DATOS-PROD'!BL225="SI",VLOOKUP('1.DATOS-PROD'!BL$2,'1.PUNTOS'!$A$1:$B$63,2,0),0)</f>
        <v>0</v>
      </c>
      <c r="BD224" s="138">
        <f>IF('1.DATOS-PROD'!BM225="SI",VLOOKUP('1.DATOS-PROD'!BM$2,'1.PUNTOS'!$A$1:$B$63,2,0),0)</f>
        <v>0</v>
      </c>
      <c r="BE224" s="138">
        <f>IF('1.DATOS-PROD'!BN225="SI",VLOOKUP('1.DATOS-PROD'!BN$2,'1.PUNTOS'!$A$1:$B$63,2,0),0)</f>
        <v>0</v>
      </c>
      <c r="BF224" s="138">
        <f>IF('1.DATOS-PROD'!BO225="SI",VLOOKUP('1.DATOS-PROD'!BO$2,'1.PUNTOS'!$A$1:$B$63,2,0),0)</f>
        <v>0</v>
      </c>
      <c r="BG224" s="138">
        <f>IF('1.DATOS-PROD'!BP225="SI",VLOOKUP('1.DATOS-PROD'!BP$2,'1.PUNTOS'!$A$1:$B$63,2,0),0)</f>
        <v>0</v>
      </c>
      <c r="BH224" s="138">
        <f>IF('1.DATOS-PROD'!BQ225="SI",VLOOKUP('1.DATOS-PROD'!BQ$2,'1.PUNTOS'!$A$1:$B$63,2,0),0)</f>
        <v>0</v>
      </c>
      <c r="BI224" s="138">
        <f>IF('1.DATOS-PROD'!BR225="SI",VLOOKUP('1.DATOS-PROD'!BR$2,'1.PUNTOS'!$A$1:$B$63,2,0),0)</f>
        <v>0</v>
      </c>
      <c r="BJ224" s="138">
        <f>IF('1.DATOS-PROD'!BS225="SI",VLOOKUP('1.DATOS-PROD'!BS$2,'1.PUNTOS'!$A$1:$B$63,2,0),0)</f>
        <v>0</v>
      </c>
      <c r="BK224" s="138">
        <f>IF('1.DATOS-PROD'!BT225="SI",VLOOKUP('1.DATOS-PROD'!BT$2,'1.PUNTOS'!$A$1:$B$63,2,0),0)</f>
        <v>0</v>
      </c>
    </row>
    <row r="225" spans="1:63" x14ac:dyDescent="0.25">
      <c r="A225">
        <f>'0.Consolidado general'!$A226</f>
        <v>0</v>
      </c>
      <c r="B225" s="138">
        <f>IF('1.DATOS-PROD'!K226="SI",VLOOKUP('1.DATOS-PROD'!K$2,'1.PUNTOS'!$A$1:$B$63,2,0),0)</f>
        <v>0</v>
      </c>
      <c r="C225" s="138">
        <f>IF('1.DATOS-PROD'!L226="SI",VLOOKUP('1.DATOS-PROD'!L$2,'1.PUNTOS'!$A$1:$B$63,2,0),0)</f>
        <v>0</v>
      </c>
      <c r="D225" s="138">
        <f>IF('1.DATOS-PROD'!M226="SI",VLOOKUP('1.DATOS-PROD'!M$2,'1.PUNTOS'!$A$1:$B$63,2,0),0)</f>
        <v>0</v>
      </c>
      <c r="E225" s="138">
        <f>IF('1.DATOS-PROD'!N226="SI",VLOOKUP('1.DATOS-PROD'!N$2,'1.PUNTOS'!$A$1:$B$63,2,0),0)</f>
        <v>0</v>
      </c>
      <c r="F225" s="138">
        <f>IF('1.DATOS-PROD'!O226="SI",VLOOKUP('1.DATOS-PROD'!O$2,'1.PUNTOS'!$A$1:$B$63,2,0),0)</f>
        <v>0</v>
      </c>
      <c r="G225" s="138">
        <f>IF('1.DATOS-PROD'!P226="SI",VLOOKUP('1.DATOS-PROD'!P$2,'1.PUNTOS'!$A$1:$B$63,2,0),0)</f>
        <v>0</v>
      </c>
      <c r="H225" s="138">
        <f>IF('1.DATOS-PROD'!Q226="SI",VLOOKUP('1.DATOS-PROD'!Q$2,'1.PUNTOS'!$A$1:$B$63,2,0),0)</f>
        <v>0</v>
      </c>
      <c r="I225" s="138">
        <f>IF('1.DATOS-PROD'!R226="SI",VLOOKUP('1.DATOS-PROD'!R$2,'1.PUNTOS'!$A$1:$B$63,2,0),0)</f>
        <v>0</v>
      </c>
      <c r="J225" s="138">
        <f>IF('1.DATOS-PROD'!S226="SI",VLOOKUP('1.DATOS-PROD'!S$2,'1.PUNTOS'!$A$1:$B$63,2,0),0)</f>
        <v>0</v>
      </c>
      <c r="K225" s="138">
        <f>IF('1.DATOS-PROD'!T226="SI",VLOOKUP('1.DATOS-PROD'!T$2,'1.PUNTOS'!$A$1:$B$63,2,0),0)</f>
        <v>0</v>
      </c>
      <c r="L225" s="138">
        <f>IF('1.DATOS-PROD'!U226="SI",VLOOKUP('1.DATOS-PROD'!U$2,'1.PUNTOS'!$A$1:$B$63,2,0),0)</f>
        <v>0</v>
      </c>
      <c r="M225" s="138">
        <f>IF('1.DATOS-PROD'!V226="SI",VLOOKUP('1.DATOS-PROD'!V$2,'1.PUNTOS'!$A$1:$B$63,2,0),0)</f>
        <v>0</v>
      </c>
      <c r="N225" s="138">
        <f>IF('1.DATOS-PROD'!W226="SI",VLOOKUP('1.DATOS-PROD'!W$2,'1.PUNTOS'!$A$1:$B$63,2,0),0)</f>
        <v>0</v>
      </c>
      <c r="O225" s="138">
        <f>IF('1.DATOS-PROD'!X226="SI",VLOOKUP('1.DATOS-PROD'!X$2,'1.PUNTOS'!$A$1:$B$63,2,0),0)</f>
        <v>0</v>
      </c>
      <c r="P225" s="138">
        <f>IF('1.DATOS-PROD'!Y226="SI",VLOOKUP('1.DATOS-PROD'!Y$2,'1.PUNTOS'!$A$1:$B$63,2,0),0)</f>
        <v>0</v>
      </c>
      <c r="Q225" s="138">
        <f>IF('1.DATOS-PROD'!Z226="SI",VLOOKUP('1.DATOS-PROD'!Z$2,'1.PUNTOS'!$A$1:$B$63,2,0),0)</f>
        <v>0</v>
      </c>
      <c r="R225" s="138">
        <f>IF('1.DATOS-PROD'!AA226="SI",VLOOKUP('1.DATOS-PROD'!AA$2,'1.PUNTOS'!$A$1:$B$63,2,0),0)</f>
        <v>0</v>
      </c>
      <c r="S225" s="138">
        <f>IF('1.DATOS-PROD'!AB226="SI",VLOOKUP('1.DATOS-PROD'!AB$2,'1.PUNTOS'!$A$1:$B$63,2,0),0)</f>
        <v>0</v>
      </c>
      <c r="T225" s="138">
        <f>IF('1.DATOS-PROD'!AC226="SI",VLOOKUP('1.DATOS-PROD'!AC$2,'1.PUNTOS'!$A$1:$B$63,2,0),0)</f>
        <v>0</v>
      </c>
      <c r="U225" s="138">
        <f>IF('1.DATOS-PROD'!AD226="SI",VLOOKUP('1.DATOS-PROD'!AD$2,'1.PUNTOS'!$A$1:$B$63,2,0),0)</f>
        <v>0</v>
      </c>
      <c r="V225" s="138">
        <f>IF('1.DATOS-PROD'!AE226="SI",VLOOKUP('1.DATOS-PROD'!AE$2,'1.PUNTOS'!$A$1:$B$63,2,0),0)</f>
        <v>0</v>
      </c>
      <c r="W225" s="138">
        <f>IF('1.DATOS-PROD'!AF226="SI",VLOOKUP('1.DATOS-PROD'!AF$2,'1.PUNTOS'!$A$1:$B$63,2,0),0)</f>
        <v>0</v>
      </c>
      <c r="X225" s="138">
        <f>IF('1.DATOS-PROD'!AG226="SI",VLOOKUP('1.DATOS-PROD'!AG$2,'1.PUNTOS'!$A$1:$B$63,2,0),0)</f>
        <v>0</v>
      </c>
      <c r="Y225" s="138">
        <f>IF('1.DATOS-PROD'!AH226="SI",VLOOKUP('1.DATOS-PROD'!AH$2,'1.PUNTOS'!$A$1:$B$63,2,0),0)</f>
        <v>0</v>
      </c>
      <c r="Z225" s="138">
        <f>IF('1.DATOS-PROD'!AI226="SI",VLOOKUP('1.DATOS-PROD'!AI$2,'1.PUNTOS'!$A$1:$B$63,2,0),0)</f>
        <v>0</v>
      </c>
      <c r="AA225" s="138">
        <f>IF('1.DATOS-PROD'!AJ226="SI",VLOOKUP('1.DATOS-PROD'!AJ$2,'1.PUNTOS'!$A$1:$B$63,2,0),0)</f>
        <v>0</v>
      </c>
      <c r="AB225" s="138">
        <f>IF('1.DATOS-PROD'!AK226="SI",VLOOKUP('1.DATOS-PROD'!AK$2,'1.PUNTOS'!$A$1:$B$63,2,0),0)</f>
        <v>0</v>
      </c>
      <c r="AC225" s="138">
        <f>IF('1.DATOS-PROD'!AL226="SI",VLOOKUP('1.DATOS-PROD'!AL$2,'1.PUNTOS'!$A$1:$B$63,2,0),0)</f>
        <v>0</v>
      </c>
      <c r="AD225" s="138">
        <f>IF('1.DATOS-PROD'!AM226="SI",VLOOKUP('1.DATOS-PROD'!AM$2,'1.PUNTOS'!$A$1:$B$63,2,0),0)</f>
        <v>0</v>
      </c>
      <c r="AE225" s="138">
        <f>IF('1.DATOS-PROD'!AN226="SI",VLOOKUP('1.DATOS-PROD'!AN$2,'1.PUNTOS'!$A$1:$B$63,2,0),0)</f>
        <v>0</v>
      </c>
      <c r="AF225" s="138">
        <f>IF('1.DATOS-PROD'!AO226="SI",VLOOKUP('1.DATOS-PROD'!AO$2,'1.PUNTOS'!$A$1:$B$63,2,0),0)</f>
        <v>0</v>
      </c>
      <c r="AG225" s="138">
        <f>IF('1.DATOS-PROD'!AP226="SI",VLOOKUP('1.DATOS-PROD'!AP$2,'1.PUNTOS'!$A$1:$B$63,2,0),0)</f>
        <v>0</v>
      </c>
      <c r="AH225" s="138">
        <f>IF('1.DATOS-PROD'!AQ226="SI",VLOOKUP('1.DATOS-PROD'!AQ$2,'1.PUNTOS'!$A$1:$B$63,2,0),0)</f>
        <v>0</v>
      </c>
      <c r="AI225" s="138">
        <f>IF('1.DATOS-PROD'!AR226="SI",VLOOKUP('1.DATOS-PROD'!AR$2,'1.PUNTOS'!$A$1:$B$63,2,0),0)</f>
        <v>0</v>
      </c>
      <c r="AJ225" s="138">
        <f>IF('1.DATOS-PROD'!AS226="SI",VLOOKUP('1.DATOS-PROD'!AS$2,'1.PUNTOS'!$A$1:$B$63,2,0),0)</f>
        <v>0</v>
      </c>
      <c r="AK225" s="138">
        <f>IF('1.DATOS-PROD'!AT226="SI",VLOOKUP('1.DATOS-PROD'!AT$2,'1.PUNTOS'!$A$1:$B$63,2,0),0)</f>
        <v>0</v>
      </c>
      <c r="AL225" s="138">
        <f>IF('1.DATOS-PROD'!AU226="SI",VLOOKUP('1.DATOS-PROD'!AU$2,'1.PUNTOS'!$A$1:$B$63,2,0),0)</f>
        <v>0</v>
      </c>
      <c r="AM225" s="138">
        <f>IF('1.DATOS-PROD'!AV226="SI",VLOOKUP('1.DATOS-PROD'!AV$2,'1.PUNTOS'!$A$1:$B$63,2,0),0)</f>
        <v>0</v>
      </c>
      <c r="AN225" s="138">
        <f>IF('1.DATOS-PROD'!AW226="SI",VLOOKUP('1.DATOS-PROD'!AW$2,'1.PUNTOS'!$A$1:$B$63,2,0),0)</f>
        <v>0</v>
      </c>
      <c r="AO225" s="138">
        <f>IF('1.DATOS-PROD'!AX226="SI",VLOOKUP('1.DATOS-PROD'!AX$2,'1.PUNTOS'!$A$1:$B$63,2,0),0)</f>
        <v>0</v>
      </c>
      <c r="AP225" s="138">
        <f>IF('1.DATOS-PROD'!AY226="SI",VLOOKUP('1.DATOS-PROD'!AY$2,'1.PUNTOS'!$A$1:$B$63,2,0),0)</f>
        <v>0</v>
      </c>
      <c r="AQ225" s="138">
        <f>IF('1.DATOS-PROD'!AZ226="SI",VLOOKUP('1.DATOS-PROD'!AZ$2,'1.PUNTOS'!$A$1:$B$63,2,0),0)</f>
        <v>0</v>
      </c>
      <c r="AR225" s="138">
        <f>IF('1.DATOS-PROD'!BA226="SI",VLOOKUP('1.DATOS-PROD'!BA$2,'1.PUNTOS'!$A$1:$B$63,2,0),0)</f>
        <v>0</v>
      </c>
      <c r="AS225" s="138">
        <f>IF('1.DATOS-PROD'!BB226="SI",VLOOKUP('1.DATOS-PROD'!BB$2,'1.PUNTOS'!$A$1:$B$63,2,0),0)</f>
        <v>0</v>
      </c>
      <c r="AT225" s="138">
        <f>IF('1.DATOS-PROD'!BC226="SI",VLOOKUP('1.DATOS-PROD'!BC$2,'1.PUNTOS'!$A$1:$B$63,2,0),0)</f>
        <v>0</v>
      </c>
      <c r="AU225" s="138">
        <f>IF('1.DATOS-PROD'!BD226="SI",VLOOKUP('1.DATOS-PROD'!BD$2,'1.PUNTOS'!$A$1:$B$63,2,0),0)</f>
        <v>0</v>
      </c>
      <c r="AV225" s="138">
        <f>IF('1.DATOS-PROD'!BE226="SI",VLOOKUP('1.DATOS-PROD'!BE$2,'1.PUNTOS'!$A$1:$B$63,2,0),0)</f>
        <v>0</v>
      </c>
      <c r="AW225" s="138">
        <f>IF('1.DATOS-PROD'!BF226="SI",VLOOKUP('1.DATOS-PROD'!BF$2,'1.PUNTOS'!$A$1:$B$63,2,0),0)</f>
        <v>0</v>
      </c>
      <c r="AX225" s="138">
        <f>IF('1.DATOS-PROD'!BG226="SI",VLOOKUP('1.DATOS-PROD'!BG$2,'1.PUNTOS'!$A$1:$B$63,2,0),0)</f>
        <v>0</v>
      </c>
      <c r="AY225" s="138">
        <f>IF('1.DATOS-PROD'!BH226="SI",VLOOKUP('1.DATOS-PROD'!BH$2,'1.PUNTOS'!$A$1:$B$63,2,0),0)</f>
        <v>0</v>
      </c>
      <c r="AZ225" s="138">
        <f>IF('1.DATOS-PROD'!BI226="SI",VLOOKUP('1.DATOS-PROD'!BI$2,'1.PUNTOS'!$A$1:$B$63,2,0),0)</f>
        <v>0</v>
      </c>
      <c r="BA225" s="138">
        <f>IF('1.DATOS-PROD'!BJ226="SI",VLOOKUP('1.DATOS-PROD'!BJ$2,'1.PUNTOS'!$A$1:$B$63,2,0),0)</f>
        <v>0</v>
      </c>
      <c r="BB225" s="138">
        <f>IF('1.DATOS-PROD'!BK226="SI",VLOOKUP('1.DATOS-PROD'!BK$2,'1.PUNTOS'!$A$1:$B$63,2,0),0)</f>
        <v>0</v>
      </c>
      <c r="BC225" s="138">
        <f>IF('1.DATOS-PROD'!BL226="SI",VLOOKUP('1.DATOS-PROD'!BL$2,'1.PUNTOS'!$A$1:$B$63,2,0),0)</f>
        <v>0</v>
      </c>
      <c r="BD225" s="138">
        <f>IF('1.DATOS-PROD'!BM226="SI",VLOOKUP('1.DATOS-PROD'!BM$2,'1.PUNTOS'!$A$1:$B$63,2,0),0)</f>
        <v>0</v>
      </c>
      <c r="BE225" s="138">
        <f>IF('1.DATOS-PROD'!BN226="SI",VLOOKUP('1.DATOS-PROD'!BN$2,'1.PUNTOS'!$A$1:$B$63,2,0),0)</f>
        <v>0</v>
      </c>
      <c r="BF225" s="138">
        <f>IF('1.DATOS-PROD'!BO226="SI",VLOOKUP('1.DATOS-PROD'!BO$2,'1.PUNTOS'!$A$1:$B$63,2,0),0)</f>
        <v>0</v>
      </c>
      <c r="BG225" s="138">
        <f>IF('1.DATOS-PROD'!BP226="SI",VLOOKUP('1.DATOS-PROD'!BP$2,'1.PUNTOS'!$A$1:$B$63,2,0),0)</f>
        <v>0</v>
      </c>
      <c r="BH225" s="138">
        <f>IF('1.DATOS-PROD'!BQ226="SI",VLOOKUP('1.DATOS-PROD'!BQ$2,'1.PUNTOS'!$A$1:$B$63,2,0),0)</f>
        <v>0</v>
      </c>
      <c r="BI225" s="138">
        <f>IF('1.DATOS-PROD'!BR226="SI",VLOOKUP('1.DATOS-PROD'!BR$2,'1.PUNTOS'!$A$1:$B$63,2,0),0)</f>
        <v>0</v>
      </c>
      <c r="BJ225" s="138">
        <f>IF('1.DATOS-PROD'!BS226="SI",VLOOKUP('1.DATOS-PROD'!BS$2,'1.PUNTOS'!$A$1:$B$63,2,0),0)</f>
        <v>0</v>
      </c>
      <c r="BK225" s="138">
        <f>IF('1.DATOS-PROD'!BT226="SI",VLOOKUP('1.DATOS-PROD'!BT$2,'1.PUNTOS'!$A$1:$B$63,2,0),0)</f>
        <v>0</v>
      </c>
    </row>
    <row r="226" spans="1:63" x14ac:dyDescent="0.25">
      <c r="A226">
        <f>'0.Consolidado general'!$A227</f>
        <v>0</v>
      </c>
      <c r="B226" s="138">
        <f>IF('1.DATOS-PROD'!K227="SI",VLOOKUP('1.DATOS-PROD'!K$2,'1.PUNTOS'!$A$1:$B$63,2,0),0)</f>
        <v>0</v>
      </c>
      <c r="C226" s="138">
        <f>IF('1.DATOS-PROD'!L227="SI",VLOOKUP('1.DATOS-PROD'!L$2,'1.PUNTOS'!$A$1:$B$63,2,0),0)</f>
        <v>0</v>
      </c>
      <c r="D226" s="138">
        <f>IF('1.DATOS-PROD'!M227="SI",VLOOKUP('1.DATOS-PROD'!M$2,'1.PUNTOS'!$A$1:$B$63,2,0),0)</f>
        <v>0</v>
      </c>
      <c r="E226" s="138">
        <f>IF('1.DATOS-PROD'!N227="SI",VLOOKUP('1.DATOS-PROD'!N$2,'1.PUNTOS'!$A$1:$B$63,2,0),0)</f>
        <v>0</v>
      </c>
      <c r="F226" s="138">
        <f>IF('1.DATOS-PROD'!O227="SI",VLOOKUP('1.DATOS-PROD'!O$2,'1.PUNTOS'!$A$1:$B$63,2,0),0)</f>
        <v>0</v>
      </c>
      <c r="G226" s="138">
        <f>IF('1.DATOS-PROD'!P227="SI",VLOOKUP('1.DATOS-PROD'!P$2,'1.PUNTOS'!$A$1:$B$63,2,0),0)</f>
        <v>0</v>
      </c>
      <c r="H226" s="138">
        <f>IF('1.DATOS-PROD'!Q227="SI",VLOOKUP('1.DATOS-PROD'!Q$2,'1.PUNTOS'!$A$1:$B$63,2,0),0)</f>
        <v>0</v>
      </c>
      <c r="I226" s="138">
        <f>IF('1.DATOS-PROD'!R227="SI",VLOOKUP('1.DATOS-PROD'!R$2,'1.PUNTOS'!$A$1:$B$63,2,0),0)</f>
        <v>0</v>
      </c>
      <c r="J226" s="138">
        <f>IF('1.DATOS-PROD'!S227="SI",VLOOKUP('1.DATOS-PROD'!S$2,'1.PUNTOS'!$A$1:$B$63,2,0),0)</f>
        <v>0</v>
      </c>
      <c r="K226" s="138">
        <f>IF('1.DATOS-PROD'!T227="SI",VLOOKUP('1.DATOS-PROD'!T$2,'1.PUNTOS'!$A$1:$B$63,2,0),0)</f>
        <v>0</v>
      </c>
      <c r="L226" s="138">
        <f>IF('1.DATOS-PROD'!U227="SI",VLOOKUP('1.DATOS-PROD'!U$2,'1.PUNTOS'!$A$1:$B$63,2,0),0)</f>
        <v>0</v>
      </c>
      <c r="M226" s="138">
        <f>IF('1.DATOS-PROD'!V227="SI",VLOOKUP('1.DATOS-PROD'!V$2,'1.PUNTOS'!$A$1:$B$63,2,0),0)</f>
        <v>0</v>
      </c>
      <c r="N226" s="138">
        <f>IF('1.DATOS-PROD'!W227="SI",VLOOKUP('1.DATOS-PROD'!W$2,'1.PUNTOS'!$A$1:$B$63,2,0),0)</f>
        <v>0</v>
      </c>
      <c r="O226" s="138">
        <f>IF('1.DATOS-PROD'!X227="SI",VLOOKUP('1.DATOS-PROD'!X$2,'1.PUNTOS'!$A$1:$B$63,2,0),0)</f>
        <v>0</v>
      </c>
      <c r="P226" s="138">
        <f>IF('1.DATOS-PROD'!Y227="SI",VLOOKUP('1.DATOS-PROD'!Y$2,'1.PUNTOS'!$A$1:$B$63,2,0),0)</f>
        <v>0</v>
      </c>
      <c r="Q226" s="138">
        <f>IF('1.DATOS-PROD'!Z227="SI",VLOOKUP('1.DATOS-PROD'!Z$2,'1.PUNTOS'!$A$1:$B$63,2,0),0)</f>
        <v>0</v>
      </c>
      <c r="R226" s="138">
        <f>IF('1.DATOS-PROD'!AA227="SI",VLOOKUP('1.DATOS-PROD'!AA$2,'1.PUNTOS'!$A$1:$B$63,2,0),0)</f>
        <v>0</v>
      </c>
      <c r="S226" s="138">
        <f>IF('1.DATOS-PROD'!AB227="SI",VLOOKUP('1.DATOS-PROD'!AB$2,'1.PUNTOS'!$A$1:$B$63,2,0),0)</f>
        <v>0</v>
      </c>
      <c r="T226" s="138">
        <f>IF('1.DATOS-PROD'!AC227="SI",VLOOKUP('1.DATOS-PROD'!AC$2,'1.PUNTOS'!$A$1:$B$63,2,0),0)</f>
        <v>0</v>
      </c>
      <c r="U226" s="138">
        <f>IF('1.DATOS-PROD'!AD227="SI",VLOOKUP('1.DATOS-PROD'!AD$2,'1.PUNTOS'!$A$1:$B$63,2,0),0)</f>
        <v>0</v>
      </c>
      <c r="V226" s="138">
        <f>IF('1.DATOS-PROD'!AE227="SI",VLOOKUP('1.DATOS-PROD'!AE$2,'1.PUNTOS'!$A$1:$B$63,2,0),0)</f>
        <v>0</v>
      </c>
      <c r="W226" s="138">
        <f>IF('1.DATOS-PROD'!AF227="SI",VLOOKUP('1.DATOS-PROD'!AF$2,'1.PUNTOS'!$A$1:$B$63,2,0),0)</f>
        <v>0</v>
      </c>
      <c r="X226" s="138">
        <f>IF('1.DATOS-PROD'!AG227="SI",VLOOKUP('1.DATOS-PROD'!AG$2,'1.PUNTOS'!$A$1:$B$63,2,0),0)</f>
        <v>0</v>
      </c>
      <c r="Y226" s="138">
        <f>IF('1.DATOS-PROD'!AH227="SI",VLOOKUP('1.DATOS-PROD'!AH$2,'1.PUNTOS'!$A$1:$B$63,2,0),0)</f>
        <v>0</v>
      </c>
      <c r="Z226" s="138">
        <f>IF('1.DATOS-PROD'!AI227="SI",VLOOKUP('1.DATOS-PROD'!AI$2,'1.PUNTOS'!$A$1:$B$63,2,0),0)</f>
        <v>0</v>
      </c>
      <c r="AA226" s="138">
        <f>IF('1.DATOS-PROD'!AJ227="SI",VLOOKUP('1.DATOS-PROD'!AJ$2,'1.PUNTOS'!$A$1:$B$63,2,0),0)</f>
        <v>0</v>
      </c>
      <c r="AB226" s="138">
        <f>IF('1.DATOS-PROD'!AK227="SI",VLOOKUP('1.DATOS-PROD'!AK$2,'1.PUNTOS'!$A$1:$B$63,2,0),0)</f>
        <v>0</v>
      </c>
      <c r="AC226" s="138">
        <f>IF('1.DATOS-PROD'!AL227="SI",VLOOKUP('1.DATOS-PROD'!AL$2,'1.PUNTOS'!$A$1:$B$63,2,0),0)</f>
        <v>0</v>
      </c>
      <c r="AD226" s="138">
        <f>IF('1.DATOS-PROD'!AM227="SI",VLOOKUP('1.DATOS-PROD'!AM$2,'1.PUNTOS'!$A$1:$B$63,2,0),0)</f>
        <v>0</v>
      </c>
      <c r="AE226" s="138">
        <f>IF('1.DATOS-PROD'!AN227="SI",VLOOKUP('1.DATOS-PROD'!AN$2,'1.PUNTOS'!$A$1:$B$63,2,0),0)</f>
        <v>0</v>
      </c>
      <c r="AF226" s="138">
        <f>IF('1.DATOS-PROD'!AO227="SI",VLOOKUP('1.DATOS-PROD'!AO$2,'1.PUNTOS'!$A$1:$B$63,2,0),0)</f>
        <v>0</v>
      </c>
      <c r="AG226" s="138">
        <f>IF('1.DATOS-PROD'!AP227="SI",VLOOKUP('1.DATOS-PROD'!AP$2,'1.PUNTOS'!$A$1:$B$63,2,0),0)</f>
        <v>0</v>
      </c>
      <c r="AH226" s="138">
        <f>IF('1.DATOS-PROD'!AQ227="SI",VLOOKUP('1.DATOS-PROD'!AQ$2,'1.PUNTOS'!$A$1:$B$63,2,0),0)</f>
        <v>0</v>
      </c>
      <c r="AI226" s="138">
        <f>IF('1.DATOS-PROD'!AR227="SI",VLOOKUP('1.DATOS-PROD'!AR$2,'1.PUNTOS'!$A$1:$B$63,2,0),0)</f>
        <v>0</v>
      </c>
      <c r="AJ226" s="138">
        <f>IF('1.DATOS-PROD'!AS227="SI",VLOOKUP('1.DATOS-PROD'!AS$2,'1.PUNTOS'!$A$1:$B$63,2,0),0)</f>
        <v>0</v>
      </c>
      <c r="AK226" s="138">
        <f>IF('1.DATOS-PROD'!AT227="SI",VLOOKUP('1.DATOS-PROD'!AT$2,'1.PUNTOS'!$A$1:$B$63,2,0),0)</f>
        <v>0</v>
      </c>
      <c r="AL226" s="138">
        <f>IF('1.DATOS-PROD'!AU227="SI",VLOOKUP('1.DATOS-PROD'!AU$2,'1.PUNTOS'!$A$1:$B$63,2,0),0)</f>
        <v>0</v>
      </c>
      <c r="AM226" s="138">
        <f>IF('1.DATOS-PROD'!AV227="SI",VLOOKUP('1.DATOS-PROD'!AV$2,'1.PUNTOS'!$A$1:$B$63,2,0),0)</f>
        <v>0</v>
      </c>
      <c r="AN226" s="138">
        <f>IF('1.DATOS-PROD'!AW227="SI",VLOOKUP('1.DATOS-PROD'!AW$2,'1.PUNTOS'!$A$1:$B$63,2,0),0)</f>
        <v>0</v>
      </c>
      <c r="AO226" s="138">
        <f>IF('1.DATOS-PROD'!AX227="SI",VLOOKUP('1.DATOS-PROD'!AX$2,'1.PUNTOS'!$A$1:$B$63,2,0),0)</f>
        <v>0</v>
      </c>
      <c r="AP226" s="138">
        <f>IF('1.DATOS-PROD'!AY227="SI",VLOOKUP('1.DATOS-PROD'!AY$2,'1.PUNTOS'!$A$1:$B$63,2,0),0)</f>
        <v>0</v>
      </c>
      <c r="AQ226" s="138">
        <f>IF('1.DATOS-PROD'!AZ227="SI",VLOOKUP('1.DATOS-PROD'!AZ$2,'1.PUNTOS'!$A$1:$B$63,2,0),0)</f>
        <v>0</v>
      </c>
      <c r="AR226" s="138">
        <f>IF('1.DATOS-PROD'!BA227="SI",VLOOKUP('1.DATOS-PROD'!BA$2,'1.PUNTOS'!$A$1:$B$63,2,0),0)</f>
        <v>0</v>
      </c>
      <c r="AS226" s="138">
        <f>IF('1.DATOS-PROD'!BB227="SI",VLOOKUP('1.DATOS-PROD'!BB$2,'1.PUNTOS'!$A$1:$B$63,2,0),0)</f>
        <v>0</v>
      </c>
      <c r="AT226" s="138">
        <f>IF('1.DATOS-PROD'!BC227="SI",VLOOKUP('1.DATOS-PROD'!BC$2,'1.PUNTOS'!$A$1:$B$63,2,0),0)</f>
        <v>0</v>
      </c>
      <c r="AU226" s="138">
        <f>IF('1.DATOS-PROD'!BD227="SI",VLOOKUP('1.DATOS-PROD'!BD$2,'1.PUNTOS'!$A$1:$B$63,2,0),0)</f>
        <v>0</v>
      </c>
      <c r="AV226" s="138">
        <f>IF('1.DATOS-PROD'!BE227="SI",VLOOKUP('1.DATOS-PROD'!BE$2,'1.PUNTOS'!$A$1:$B$63,2,0),0)</f>
        <v>0</v>
      </c>
      <c r="AW226" s="138">
        <f>IF('1.DATOS-PROD'!BF227="SI",VLOOKUP('1.DATOS-PROD'!BF$2,'1.PUNTOS'!$A$1:$B$63,2,0),0)</f>
        <v>0</v>
      </c>
      <c r="AX226" s="138">
        <f>IF('1.DATOS-PROD'!BG227="SI",VLOOKUP('1.DATOS-PROD'!BG$2,'1.PUNTOS'!$A$1:$B$63,2,0),0)</f>
        <v>0</v>
      </c>
      <c r="AY226" s="138">
        <f>IF('1.DATOS-PROD'!BH227="SI",VLOOKUP('1.DATOS-PROD'!BH$2,'1.PUNTOS'!$A$1:$B$63,2,0),0)</f>
        <v>0</v>
      </c>
      <c r="AZ226" s="138">
        <f>IF('1.DATOS-PROD'!BI227="SI",VLOOKUP('1.DATOS-PROD'!BI$2,'1.PUNTOS'!$A$1:$B$63,2,0),0)</f>
        <v>0</v>
      </c>
      <c r="BA226" s="138">
        <f>IF('1.DATOS-PROD'!BJ227="SI",VLOOKUP('1.DATOS-PROD'!BJ$2,'1.PUNTOS'!$A$1:$B$63,2,0),0)</f>
        <v>0</v>
      </c>
      <c r="BB226" s="138">
        <f>IF('1.DATOS-PROD'!BK227="SI",VLOOKUP('1.DATOS-PROD'!BK$2,'1.PUNTOS'!$A$1:$B$63,2,0),0)</f>
        <v>0</v>
      </c>
      <c r="BC226" s="138">
        <f>IF('1.DATOS-PROD'!BL227="SI",VLOOKUP('1.DATOS-PROD'!BL$2,'1.PUNTOS'!$A$1:$B$63,2,0),0)</f>
        <v>0</v>
      </c>
      <c r="BD226" s="138">
        <f>IF('1.DATOS-PROD'!BM227="SI",VLOOKUP('1.DATOS-PROD'!BM$2,'1.PUNTOS'!$A$1:$B$63,2,0),0)</f>
        <v>0</v>
      </c>
      <c r="BE226" s="138">
        <f>IF('1.DATOS-PROD'!BN227="SI",VLOOKUP('1.DATOS-PROD'!BN$2,'1.PUNTOS'!$A$1:$B$63,2,0),0)</f>
        <v>0</v>
      </c>
      <c r="BF226" s="138">
        <f>IF('1.DATOS-PROD'!BO227="SI",VLOOKUP('1.DATOS-PROD'!BO$2,'1.PUNTOS'!$A$1:$B$63,2,0),0)</f>
        <v>0</v>
      </c>
      <c r="BG226" s="138">
        <f>IF('1.DATOS-PROD'!BP227="SI",VLOOKUP('1.DATOS-PROD'!BP$2,'1.PUNTOS'!$A$1:$B$63,2,0),0)</f>
        <v>0</v>
      </c>
      <c r="BH226" s="138">
        <f>IF('1.DATOS-PROD'!BQ227="SI",VLOOKUP('1.DATOS-PROD'!BQ$2,'1.PUNTOS'!$A$1:$B$63,2,0),0)</f>
        <v>0</v>
      </c>
      <c r="BI226" s="138">
        <f>IF('1.DATOS-PROD'!BR227="SI",VLOOKUP('1.DATOS-PROD'!BR$2,'1.PUNTOS'!$A$1:$B$63,2,0),0)</f>
        <v>0</v>
      </c>
      <c r="BJ226" s="138">
        <f>IF('1.DATOS-PROD'!BS227="SI",VLOOKUP('1.DATOS-PROD'!BS$2,'1.PUNTOS'!$A$1:$B$63,2,0),0)</f>
        <v>0</v>
      </c>
      <c r="BK226" s="138">
        <f>IF('1.DATOS-PROD'!BT227="SI",VLOOKUP('1.DATOS-PROD'!BT$2,'1.PUNTOS'!$A$1:$B$63,2,0),0)</f>
        <v>0</v>
      </c>
    </row>
    <row r="227" spans="1:63" x14ac:dyDescent="0.25">
      <c r="A227">
        <f>'0.Consolidado general'!$A228</f>
        <v>0</v>
      </c>
      <c r="B227" s="138">
        <f>IF('1.DATOS-PROD'!K228="SI",VLOOKUP('1.DATOS-PROD'!K$2,'1.PUNTOS'!$A$1:$B$63,2,0),0)</f>
        <v>0</v>
      </c>
      <c r="C227" s="138">
        <f>IF('1.DATOS-PROD'!L228="SI",VLOOKUP('1.DATOS-PROD'!L$2,'1.PUNTOS'!$A$1:$B$63,2,0),0)</f>
        <v>0</v>
      </c>
      <c r="D227" s="138">
        <f>IF('1.DATOS-PROD'!M228="SI",VLOOKUP('1.DATOS-PROD'!M$2,'1.PUNTOS'!$A$1:$B$63,2,0),0)</f>
        <v>0</v>
      </c>
      <c r="E227" s="138">
        <f>IF('1.DATOS-PROD'!N228="SI",VLOOKUP('1.DATOS-PROD'!N$2,'1.PUNTOS'!$A$1:$B$63,2,0),0)</f>
        <v>0</v>
      </c>
      <c r="F227" s="138">
        <f>IF('1.DATOS-PROD'!O228="SI",VLOOKUP('1.DATOS-PROD'!O$2,'1.PUNTOS'!$A$1:$B$63,2,0),0)</f>
        <v>0</v>
      </c>
      <c r="G227" s="138">
        <f>IF('1.DATOS-PROD'!P228="SI",VLOOKUP('1.DATOS-PROD'!P$2,'1.PUNTOS'!$A$1:$B$63,2,0),0)</f>
        <v>0</v>
      </c>
      <c r="H227" s="138">
        <f>IF('1.DATOS-PROD'!Q228="SI",VLOOKUP('1.DATOS-PROD'!Q$2,'1.PUNTOS'!$A$1:$B$63,2,0),0)</f>
        <v>0</v>
      </c>
      <c r="I227" s="138">
        <f>IF('1.DATOS-PROD'!R228="SI",VLOOKUP('1.DATOS-PROD'!R$2,'1.PUNTOS'!$A$1:$B$63,2,0),0)</f>
        <v>0</v>
      </c>
      <c r="J227" s="138">
        <f>IF('1.DATOS-PROD'!S228="SI",VLOOKUP('1.DATOS-PROD'!S$2,'1.PUNTOS'!$A$1:$B$63,2,0),0)</f>
        <v>0</v>
      </c>
      <c r="K227" s="138">
        <f>IF('1.DATOS-PROD'!T228="SI",VLOOKUP('1.DATOS-PROD'!T$2,'1.PUNTOS'!$A$1:$B$63,2,0),0)</f>
        <v>0</v>
      </c>
      <c r="L227" s="138">
        <f>IF('1.DATOS-PROD'!U228="SI",VLOOKUP('1.DATOS-PROD'!U$2,'1.PUNTOS'!$A$1:$B$63,2,0),0)</f>
        <v>0</v>
      </c>
      <c r="M227" s="138">
        <f>IF('1.DATOS-PROD'!V228="SI",VLOOKUP('1.DATOS-PROD'!V$2,'1.PUNTOS'!$A$1:$B$63,2,0),0)</f>
        <v>0</v>
      </c>
      <c r="N227" s="138">
        <f>IF('1.DATOS-PROD'!W228="SI",VLOOKUP('1.DATOS-PROD'!W$2,'1.PUNTOS'!$A$1:$B$63,2,0),0)</f>
        <v>0</v>
      </c>
      <c r="O227" s="138">
        <f>IF('1.DATOS-PROD'!X228="SI",VLOOKUP('1.DATOS-PROD'!X$2,'1.PUNTOS'!$A$1:$B$63,2,0),0)</f>
        <v>0</v>
      </c>
      <c r="P227" s="138">
        <f>IF('1.DATOS-PROD'!Y228="SI",VLOOKUP('1.DATOS-PROD'!Y$2,'1.PUNTOS'!$A$1:$B$63,2,0),0)</f>
        <v>0</v>
      </c>
      <c r="Q227" s="138">
        <f>IF('1.DATOS-PROD'!Z228="SI",VLOOKUP('1.DATOS-PROD'!Z$2,'1.PUNTOS'!$A$1:$B$63,2,0),0)</f>
        <v>0</v>
      </c>
      <c r="R227" s="138">
        <f>IF('1.DATOS-PROD'!AA228="SI",VLOOKUP('1.DATOS-PROD'!AA$2,'1.PUNTOS'!$A$1:$B$63,2,0),0)</f>
        <v>0</v>
      </c>
      <c r="S227" s="138">
        <f>IF('1.DATOS-PROD'!AB228="SI",VLOOKUP('1.DATOS-PROD'!AB$2,'1.PUNTOS'!$A$1:$B$63,2,0),0)</f>
        <v>0</v>
      </c>
      <c r="T227" s="138">
        <f>IF('1.DATOS-PROD'!AC228="SI",VLOOKUP('1.DATOS-PROD'!AC$2,'1.PUNTOS'!$A$1:$B$63,2,0),0)</f>
        <v>0</v>
      </c>
      <c r="U227" s="138">
        <f>IF('1.DATOS-PROD'!AD228="SI",VLOOKUP('1.DATOS-PROD'!AD$2,'1.PUNTOS'!$A$1:$B$63,2,0),0)</f>
        <v>0</v>
      </c>
      <c r="V227" s="138">
        <f>IF('1.DATOS-PROD'!AE228="SI",VLOOKUP('1.DATOS-PROD'!AE$2,'1.PUNTOS'!$A$1:$B$63,2,0),0)</f>
        <v>0</v>
      </c>
      <c r="W227" s="138">
        <f>IF('1.DATOS-PROD'!AF228="SI",VLOOKUP('1.DATOS-PROD'!AF$2,'1.PUNTOS'!$A$1:$B$63,2,0),0)</f>
        <v>0</v>
      </c>
      <c r="X227" s="138">
        <f>IF('1.DATOS-PROD'!AG228="SI",VLOOKUP('1.DATOS-PROD'!AG$2,'1.PUNTOS'!$A$1:$B$63,2,0),0)</f>
        <v>0</v>
      </c>
      <c r="Y227" s="138">
        <f>IF('1.DATOS-PROD'!AH228="SI",VLOOKUP('1.DATOS-PROD'!AH$2,'1.PUNTOS'!$A$1:$B$63,2,0),0)</f>
        <v>0</v>
      </c>
      <c r="Z227" s="138">
        <f>IF('1.DATOS-PROD'!AI228="SI",VLOOKUP('1.DATOS-PROD'!AI$2,'1.PUNTOS'!$A$1:$B$63,2,0),0)</f>
        <v>0</v>
      </c>
      <c r="AA227" s="138">
        <f>IF('1.DATOS-PROD'!AJ228="SI",VLOOKUP('1.DATOS-PROD'!AJ$2,'1.PUNTOS'!$A$1:$B$63,2,0),0)</f>
        <v>0</v>
      </c>
      <c r="AB227" s="138">
        <f>IF('1.DATOS-PROD'!AK228="SI",VLOOKUP('1.DATOS-PROD'!AK$2,'1.PUNTOS'!$A$1:$B$63,2,0),0)</f>
        <v>0</v>
      </c>
      <c r="AC227" s="138">
        <f>IF('1.DATOS-PROD'!AL228="SI",VLOOKUP('1.DATOS-PROD'!AL$2,'1.PUNTOS'!$A$1:$B$63,2,0),0)</f>
        <v>0</v>
      </c>
      <c r="AD227" s="138">
        <f>IF('1.DATOS-PROD'!AM228="SI",VLOOKUP('1.DATOS-PROD'!AM$2,'1.PUNTOS'!$A$1:$B$63,2,0),0)</f>
        <v>0</v>
      </c>
      <c r="AE227" s="138">
        <f>IF('1.DATOS-PROD'!AN228="SI",VLOOKUP('1.DATOS-PROD'!AN$2,'1.PUNTOS'!$A$1:$B$63,2,0),0)</f>
        <v>0</v>
      </c>
      <c r="AF227" s="138">
        <f>IF('1.DATOS-PROD'!AO228="SI",VLOOKUP('1.DATOS-PROD'!AO$2,'1.PUNTOS'!$A$1:$B$63,2,0),0)</f>
        <v>0</v>
      </c>
      <c r="AG227" s="138">
        <f>IF('1.DATOS-PROD'!AP228="SI",VLOOKUP('1.DATOS-PROD'!AP$2,'1.PUNTOS'!$A$1:$B$63,2,0),0)</f>
        <v>0</v>
      </c>
      <c r="AH227" s="138">
        <f>IF('1.DATOS-PROD'!AQ228="SI",VLOOKUP('1.DATOS-PROD'!AQ$2,'1.PUNTOS'!$A$1:$B$63,2,0),0)</f>
        <v>0</v>
      </c>
      <c r="AI227" s="138">
        <f>IF('1.DATOS-PROD'!AR228="SI",VLOOKUP('1.DATOS-PROD'!AR$2,'1.PUNTOS'!$A$1:$B$63,2,0),0)</f>
        <v>0</v>
      </c>
      <c r="AJ227" s="138">
        <f>IF('1.DATOS-PROD'!AS228="SI",VLOOKUP('1.DATOS-PROD'!AS$2,'1.PUNTOS'!$A$1:$B$63,2,0),0)</f>
        <v>0</v>
      </c>
      <c r="AK227" s="138">
        <f>IF('1.DATOS-PROD'!AT228="SI",VLOOKUP('1.DATOS-PROD'!AT$2,'1.PUNTOS'!$A$1:$B$63,2,0),0)</f>
        <v>0</v>
      </c>
      <c r="AL227" s="138">
        <f>IF('1.DATOS-PROD'!AU228="SI",VLOOKUP('1.DATOS-PROD'!AU$2,'1.PUNTOS'!$A$1:$B$63,2,0),0)</f>
        <v>0</v>
      </c>
      <c r="AM227" s="138">
        <f>IF('1.DATOS-PROD'!AV228="SI",VLOOKUP('1.DATOS-PROD'!AV$2,'1.PUNTOS'!$A$1:$B$63,2,0),0)</f>
        <v>0</v>
      </c>
      <c r="AN227" s="138">
        <f>IF('1.DATOS-PROD'!AW228="SI",VLOOKUP('1.DATOS-PROD'!AW$2,'1.PUNTOS'!$A$1:$B$63,2,0),0)</f>
        <v>0</v>
      </c>
      <c r="AO227" s="138">
        <f>IF('1.DATOS-PROD'!AX228="SI",VLOOKUP('1.DATOS-PROD'!AX$2,'1.PUNTOS'!$A$1:$B$63,2,0),0)</f>
        <v>0</v>
      </c>
      <c r="AP227" s="138">
        <f>IF('1.DATOS-PROD'!AY228="SI",VLOOKUP('1.DATOS-PROD'!AY$2,'1.PUNTOS'!$A$1:$B$63,2,0),0)</f>
        <v>0</v>
      </c>
      <c r="AQ227" s="138">
        <f>IF('1.DATOS-PROD'!AZ228="SI",VLOOKUP('1.DATOS-PROD'!AZ$2,'1.PUNTOS'!$A$1:$B$63,2,0),0)</f>
        <v>0</v>
      </c>
      <c r="AR227" s="138">
        <f>IF('1.DATOS-PROD'!BA228="SI",VLOOKUP('1.DATOS-PROD'!BA$2,'1.PUNTOS'!$A$1:$B$63,2,0),0)</f>
        <v>0</v>
      </c>
      <c r="AS227" s="138">
        <f>IF('1.DATOS-PROD'!BB228="SI",VLOOKUP('1.DATOS-PROD'!BB$2,'1.PUNTOS'!$A$1:$B$63,2,0),0)</f>
        <v>0</v>
      </c>
      <c r="AT227" s="138">
        <f>IF('1.DATOS-PROD'!BC228="SI",VLOOKUP('1.DATOS-PROD'!BC$2,'1.PUNTOS'!$A$1:$B$63,2,0),0)</f>
        <v>0</v>
      </c>
      <c r="AU227" s="138">
        <f>IF('1.DATOS-PROD'!BD228="SI",VLOOKUP('1.DATOS-PROD'!BD$2,'1.PUNTOS'!$A$1:$B$63,2,0),0)</f>
        <v>0</v>
      </c>
      <c r="AV227" s="138">
        <f>IF('1.DATOS-PROD'!BE228="SI",VLOOKUP('1.DATOS-PROD'!BE$2,'1.PUNTOS'!$A$1:$B$63,2,0),0)</f>
        <v>0</v>
      </c>
      <c r="AW227" s="138">
        <f>IF('1.DATOS-PROD'!BF228="SI",VLOOKUP('1.DATOS-PROD'!BF$2,'1.PUNTOS'!$A$1:$B$63,2,0),0)</f>
        <v>0</v>
      </c>
      <c r="AX227" s="138">
        <f>IF('1.DATOS-PROD'!BG228="SI",VLOOKUP('1.DATOS-PROD'!BG$2,'1.PUNTOS'!$A$1:$B$63,2,0),0)</f>
        <v>0</v>
      </c>
      <c r="AY227" s="138">
        <f>IF('1.DATOS-PROD'!BH228="SI",VLOOKUP('1.DATOS-PROD'!BH$2,'1.PUNTOS'!$A$1:$B$63,2,0),0)</f>
        <v>0</v>
      </c>
      <c r="AZ227" s="138">
        <f>IF('1.DATOS-PROD'!BI228="SI",VLOOKUP('1.DATOS-PROD'!BI$2,'1.PUNTOS'!$A$1:$B$63,2,0),0)</f>
        <v>0</v>
      </c>
      <c r="BA227" s="138">
        <f>IF('1.DATOS-PROD'!BJ228="SI",VLOOKUP('1.DATOS-PROD'!BJ$2,'1.PUNTOS'!$A$1:$B$63,2,0),0)</f>
        <v>0</v>
      </c>
      <c r="BB227" s="138">
        <f>IF('1.DATOS-PROD'!BK228="SI",VLOOKUP('1.DATOS-PROD'!BK$2,'1.PUNTOS'!$A$1:$B$63,2,0),0)</f>
        <v>0</v>
      </c>
      <c r="BC227" s="138">
        <f>IF('1.DATOS-PROD'!BL228="SI",VLOOKUP('1.DATOS-PROD'!BL$2,'1.PUNTOS'!$A$1:$B$63,2,0),0)</f>
        <v>0</v>
      </c>
      <c r="BD227" s="138">
        <f>IF('1.DATOS-PROD'!BM228="SI",VLOOKUP('1.DATOS-PROD'!BM$2,'1.PUNTOS'!$A$1:$B$63,2,0),0)</f>
        <v>0</v>
      </c>
      <c r="BE227" s="138">
        <f>IF('1.DATOS-PROD'!BN228="SI",VLOOKUP('1.DATOS-PROD'!BN$2,'1.PUNTOS'!$A$1:$B$63,2,0),0)</f>
        <v>0</v>
      </c>
      <c r="BF227" s="138">
        <f>IF('1.DATOS-PROD'!BO228="SI",VLOOKUP('1.DATOS-PROD'!BO$2,'1.PUNTOS'!$A$1:$B$63,2,0),0)</f>
        <v>0</v>
      </c>
      <c r="BG227" s="138">
        <f>IF('1.DATOS-PROD'!BP228="SI",VLOOKUP('1.DATOS-PROD'!BP$2,'1.PUNTOS'!$A$1:$B$63,2,0),0)</f>
        <v>0</v>
      </c>
      <c r="BH227" s="138">
        <f>IF('1.DATOS-PROD'!BQ228="SI",VLOOKUP('1.DATOS-PROD'!BQ$2,'1.PUNTOS'!$A$1:$B$63,2,0),0)</f>
        <v>0</v>
      </c>
      <c r="BI227" s="138">
        <f>IF('1.DATOS-PROD'!BR228="SI",VLOOKUP('1.DATOS-PROD'!BR$2,'1.PUNTOS'!$A$1:$B$63,2,0),0)</f>
        <v>0</v>
      </c>
      <c r="BJ227" s="138">
        <f>IF('1.DATOS-PROD'!BS228="SI",VLOOKUP('1.DATOS-PROD'!BS$2,'1.PUNTOS'!$A$1:$B$63,2,0),0)</f>
        <v>0</v>
      </c>
      <c r="BK227" s="138">
        <f>IF('1.DATOS-PROD'!BT228="SI",VLOOKUP('1.DATOS-PROD'!BT$2,'1.PUNTOS'!$A$1:$B$63,2,0),0)</f>
        <v>0</v>
      </c>
    </row>
    <row r="228" spans="1:63" x14ac:dyDescent="0.25">
      <c r="A228">
        <f>'0.Consolidado general'!$A229</f>
        <v>0</v>
      </c>
      <c r="B228" s="138">
        <f>IF('1.DATOS-PROD'!K229="SI",VLOOKUP('1.DATOS-PROD'!K$2,'1.PUNTOS'!$A$1:$B$63,2,0),0)</f>
        <v>0</v>
      </c>
      <c r="C228" s="138">
        <f>IF('1.DATOS-PROD'!L229="SI",VLOOKUP('1.DATOS-PROD'!L$2,'1.PUNTOS'!$A$1:$B$63,2,0),0)</f>
        <v>0</v>
      </c>
      <c r="D228" s="138">
        <f>IF('1.DATOS-PROD'!M229="SI",VLOOKUP('1.DATOS-PROD'!M$2,'1.PUNTOS'!$A$1:$B$63,2,0),0)</f>
        <v>0</v>
      </c>
      <c r="E228" s="138">
        <f>IF('1.DATOS-PROD'!N229="SI",VLOOKUP('1.DATOS-PROD'!N$2,'1.PUNTOS'!$A$1:$B$63,2,0),0)</f>
        <v>0</v>
      </c>
      <c r="F228" s="138">
        <f>IF('1.DATOS-PROD'!O229="SI",VLOOKUP('1.DATOS-PROD'!O$2,'1.PUNTOS'!$A$1:$B$63,2,0),0)</f>
        <v>0</v>
      </c>
      <c r="G228" s="138">
        <f>IF('1.DATOS-PROD'!P229="SI",VLOOKUP('1.DATOS-PROD'!P$2,'1.PUNTOS'!$A$1:$B$63,2,0),0)</f>
        <v>0</v>
      </c>
      <c r="H228" s="138">
        <f>IF('1.DATOS-PROD'!Q229="SI",VLOOKUP('1.DATOS-PROD'!Q$2,'1.PUNTOS'!$A$1:$B$63,2,0),0)</f>
        <v>0</v>
      </c>
      <c r="I228" s="138">
        <f>IF('1.DATOS-PROD'!R229="SI",VLOOKUP('1.DATOS-PROD'!R$2,'1.PUNTOS'!$A$1:$B$63,2,0),0)</f>
        <v>0</v>
      </c>
      <c r="J228" s="138">
        <f>IF('1.DATOS-PROD'!S229="SI",VLOOKUP('1.DATOS-PROD'!S$2,'1.PUNTOS'!$A$1:$B$63,2,0),0)</f>
        <v>0</v>
      </c>
      <c r="K228" s="138">
        <f>IF('1.DATOS-PROD'!T229="SI",VLOOKUP('1.DATOS-PROD'!T$2,'1.PUNTOS'!$A$1:$B$63,2,0),0)</f>
        <v>0</v>
      </c>
      <c r="L228" s="138">
        <f>IF('1.DATOS-PROD'!U229="SI",VLOOKUP('1.DATOS-PROD'!U$2,'1.PUNTOS'!$A$1:$B$63,2,0),0)</f>
        <v>0</v>
      </c>
      <c r="M228" s="138">
        <f>IF('1.DATOS-PROD'!V229="SI",VLOOKUP('1.DATOS-PROD'!V$2,'1.PUNTOS'!$A$1:$B$63,2,0),0)</f>
        <v>0</v>
      </c>
      <c r="N228" s="138">
        <f>IF('1.DATOS-PROD'!W229="SI",VLOOKUP('1.DATOS-PROD'!W$2,'1.PUNTOS'!$A$1:$B$63,2,0),0)</f>
        <v>0</v>
      </c>
      <c r="O228" s="138">
        <f>IF('1.DATOS-PROD'!X229="SI",VLOOKUP('1.DATOS-PROD'!X$2,'1.PUNTOS'!$A$1:$B$63,2,0),0)</f>
        <v>0</v>
      </c>
      <c r="P228" s="138">
        <f>IF('1.DATOS-PROD'!Y229="SI",VLOOKUP('1.DATOS-PROD'!Y$2,'1.PUNTOS'!$A$1:$B$63,2,0),0)</f>
        <v>0</v>
      </c>
      <c r="Q228" s="138">
        <f>IF('1.DATOS-PROD'!Z229="SI",VLOOKUP('1.DATOS-PROD'!Z$2,'1.PUNTOS'!$A$1:$B$63,2,0),0)</f>
        <v>0</v>
      </c>
      <c r="R228" s="138">
        <f>IF('1.DATOS-PROD'!AA229="SI",VLOOKUP('1.DATOS-PROD'!AA$2,'1.PUNTOS'!$A$1:$B$63,2,0),0)</f>
        <v>0</v>
      </c>
      <c r="S228" s="138">
        <f>IF('1.DATOS-PROD'!AB229="SI",VLOOKUP('1.DATOS-PROD'!AB$2,'1.PUNTOS'!$A$1:$B$63,2,0),0)</f>
        <v>0</v>
      </c>
      <c r="T228" s="138">
        <f>IF('1.DATOS-PROD'!AC229="SI",VLOOKUP('1.DATOS-PROD'!AC$2,'1.PUNTOS'!$A$1:$B$63,2,0),0)</f>
        <v>0</v>
      </c>
      <c r="U228" s="138">
        <f>IF('1.DATOS-PROD'!AD229="SI",VLOOKUP('1.DATOS-PROD'!AD$2,'1.PUNTOS'!$A$1:$B$63,2,0),0)</f>
        <v>0</v>
      </c>
      <c r="V228" s="138">
        <f>IF('1.DATOS-PROD'!AE229="SI",VLOOKUP('1.DATOS-PROD'!AE$2,'1.PUNTOS'!$A$1:$B$63,2,0),0)</f>
        <v>0</v>
      </c>
      <c r="W228" s="138">
        <f>IF('1.DATOS-PROD'!AF229="SI",VLOOKUP('1.DATOS-PROD'!AF$2,'1.PUNTOS'!$A$1:$B$63,2,0),0)</f>
        <v>0</v>
      </c>
      <c r="X228" s="138">
        <f>IF('1.DATOS-PROD'!AG229="SI",VLOOKUP('1.DATOS-PROD'!AG$2,'1.PUNTOS'!$A$1:$B$63,2,0),0)</f>
        <v>0</v>
      </c>
      <c r="Y228" s="138">
        <f>IF('1.DATOS-PROD'!AH229="SI",VLOOKUP('1.DATOS-PROD'!AH$2,'1.PUNTOS'!$A$1:$B$63,2,0),0)</f>
        <v>0</v>
      </c>
      <c r="Z228" s="138">
        <f>IF('1.DATOS-PROD'!AI229="SI",VLOOKUP('1.DATOS-PROD'!AI$2,'1.PUNTOS'!$A$1:$B$63,2,0),0)</f>
        <v>0</v>
      </c>
      <c r="AA228" s="138">
        <f>IF('1.DATOS-PROD'!AJ229="SI",VLOOKUP('1.DATOS-PROD'!AJ$2,'1.PUNTOS'!$A$1:$B$63,2,0),0)</f>
        <v>0</v>
      </c>
      <c r="AB228" s="138">
        <f>IF('1.DATOS-PROD'!AK229="SI",VLOOKUP('1.DATOS-PROD'!AK$2,'1.PUNTOS'!$A$1:$B$63,2,0),0)</f>
        <v>0</v>
      </c>
      <c r="AC228" s="138">
        <f>IF('1.DATOS-PROD'!AL229="SI",VLOOKUP('1.DATOS-PROD'!AL$2,'1.PUNTOS'!$A$1:$B$63,2,0),0)</f>
        <v>0</v>
      </c>
      <c r="AD228" s="138">
        <f>IF('1.DATOS-PROD'!AM229="SI",VLOOKUP('1.DATOS-PROD'!AM$2,'1.PUNTOS'!$A$1:$B$63,2,0),0)</f>
        <v>0</v>
      </c>
      <c r="AE228" s="138">
        <f>IF('1.DATOS-PROD'!AN229="SI",VLOOKUP('1.DATOS-PROD'!AN$2,'1.PUNTOS'!$A$1:$B$63,2,0),0)</f>
        <v>0</v>
      </c>
      <c r="AF228" s="138">
        <f>IF('1.DATOS-PROD'!AO229="SI",VLOOKUP('1.DATOS-PROD'!AO$2,'1.PUNTOS'!$A$1:$B$63,2,0),0)</f>
        <v>0</v>
      </c>
      <c r="AG228" s="138">
        <f>IF('1.DATOS-PROD'!AP229="SI",VLOOKUP('1.DATOS-PROD'!AP$2,'1.PUNTOS'!$A$1:$B$63,2,0),0)</f>
        <v>0</v>
      </c>
      <c r="AH228" s="138">
        <f>IF('1.DATOS-PROD'!AQ229="SI",VLOOKUP('1.DATOS-PROD'!AQ$2,'1.PUNTOS'!$A$1:$B$63,2,0),0)</f>
        <v>0</v>
      </c>
      <c r="AI228" s="138">
        <f>IF('1.DATOS-PROD'!AR229="SI",VLOOKUP('1.DATOS-PROD'!AR$2,'1.PUNTOS'!$A$1:$B$63,2,0),0)</f>
        <v>0</v>
      </c>
      <c r="AJ228" s="138">
        <f>IF('1.DATOS-PROD'!AS229="SI",VLOOKUP('1.DATOS-PROD'!AS$2,'1.PUNTOS'!$A$1:$B$63,2,0),0)</f>
        <v>0</v>
      </c>
      <c r="AK228" s="138">
        <f>IF('1.DATOS-PROD'!AT229="SI",VLOOKUP('1.DATOS-PROD'!AT$2,'1.PUNTOS'!$A$1:$B$63,2,0),0)</f>
        <v>0</v>
      </c>
      <c r="AL228" s="138">
        <f>IF('1.DATOS-PROD'!AU229="SI",VLOOKUP('1.DATOS-PROD'!AU$2,'1.PUNTOS'!$A$1:$B$63,2,0),0)</f>
        <v>0</v>
      </c>
      <c r="AM228" s="138">
        <f>IF('1.DATOS-PROD'!AV229="SI",VLOOKUP('1.DATOS-PROD'!AV$2,'1.PUNTOS'!$A$1:$B$63,2,0),0)</f>
        <v>0</v>
      </c>
      <c r="AN228" s="138">
        <f>IF('1.DATOS-PROD'!AW229="SI",VLOOKUP('1.DATOS-PROD'!AW$2,'1.PUNTOS'!$A$1:$B$63,2,0),0)</f>
        <v>0</v>
      </c>
      <c r="AO228" s="138">
        <f>IF('1.DATOS-PROD'!AX229="SI",VLOOKUP('1.DATOS-PROD'!AX$2,'1.PUNTOS'!$A$1:$B$63,2,0),0)</f>
        <v>0</v>
      </c>
      <c r="AP228" s="138">
        <f>IF('1.DATOS-PROD'!AY229="SI",VLOOKUP('1.DATOS-PROD'!AY$2,'1.PUNTOS'!$A$1:$B$63,2,0),0)</f>
        <v>0</v>
      </c>
      <c r="AQ228" s="138">
        <f>IF('1.DATOS-PROD'!AZ229="SI",VLOOKUP('1.DATOS-PROD'!AZ$2,'1.PUNTOS'!$A$1:$B$63,2,0),0)</f>
        <v>0</v>
      </c>
      <c r="AR228" s="138">
        <f>IF('1.DATOS-PROD'!BA229="SI",VLOOKUP('1.DATOS-PROD'!BA$2,'1.PUNTOS'!$A$1:$B$63,2,0),0)</f>
        <v>0</v>
      </c>
      <c r="AS228" s="138">
        <f>IF('1.DATOS-PROD'!BB229="SI",VLOOKUP('1.DATOS-PROD'!BB$2,'1.PUNTOS'!$A$1:$B$63,2,0),0)</f>
        <v>0</v>
      </c>
      <c r="AT228" s="138">
        <f>IF('1.DATOS-PROD'!BC229="SI",VLOOKUP('1.DATOS-PROD'!BC$2,'1.PUNTOS'!$A$1:$B$63,2,0),0)</f>
        <v>0</v>
      </c>
      <c r="AU228" s="138">
        <f>IF('1.DATOS-PROD'!BD229="SI",VLOOKUP('1.DATOS-PROD'!BD$2,'1.PUNTOS'!$A$1:$B$63,2,0),0)</f>
        <v>0</v>
      </c>
      <c r="AV228" s="138">
        <f>IF('1.DATOS-PROD'!BE229="SI",VLOOKUP('1.DATOS-PROD'!BE$2,'1.PUNTOS'!$A$1:$B$63,2,0),0)</f>
        <v>0</v>
      </c>
      <c r="AW228" s="138">
        <f>IF('1.DATOS-PROD'!BF229="SI",VLOOKUP('1.DATOS-PROD'!BF$2,'1.PUNTOS'!$A$1:$B$63,2,0),0)</f>
        <v>0</v>
      </c>
      <c r="AX228" s="138">
        <f>IF('1.DATOS-PROD'!BG229="SI",VLOOKUP('1.DATOS-PROD'!BG$2,'1.PUNTOS'!$A$1:$B$63,2,0),0)</f>
        <v>0</v>
      </c>
      <c r="AY228" s="138">
        <f>IF('1.DATOS-PROD'!BH229="SI",VLOOKUP('1.DATOS-PROD'!BH$2,'1.PUNTOS'!$A$1:$B$63,2,0),0)</f>
        <v>0</v>
      </c>
      <c r="AZ228" s="138">
        <f>IF('1.DATOS-PROD'!BI229="SI",VLOOKUP('1.DATOS-PROD'!BI$2,'1.PUNTOS'!$A$1:$B$63,2,0),0)</f>
        <v>0</v>
      </c>
      <c r="BA228" s="138">
        <f>IF('1.DATOS-PROD'!BJ229="SI",VLOOKUP('1.DATOS-PROD'!BJ$2,'1.PUNTOS'!$A$1:$B$63,2,0),0)</f>
        <v>0</v>
      </c>
      <c r="BB228" s="138">
        <f>IF('1.DATOS-PROD'!BK229="SI",VLOOKUP('1.DATOS-PROD'!BK$2,'1.PUNTOS'!$A$1:$B$63,2,0),0)</f>
        <v>0</v>
      </c>
      <c r="BC228" s="138">
        <f>IF('1.DATOS-PROD'!BL229="SI",VLOOKUP('1.DATOS-PROD'!BL$2,'1.PUNTOS'!$A$1:$B$63,2,0),0)</f>
        <v>0</v>
      </c>
      <c r="BD228" s="138">
        <f>IF('1.DATOS-PROD'!BM229="SI",VLOOKUP('1.DATOS-PROD'!BM$2,'1.PUNTOS'!$A$1:$B$63,2,0),0)</f>
        <v>0</v>
      </c>
      <c r="BE228" s="138">
        <f>IF('1.DATOS-PROD'!BN229="SI",VLOOKUP('1.DATOS-PROD'!BN$2,'1.PUNTOS'!$A$1:$B$63,2,0),0)</f>
        <v>0</v>
      </c>
      <c r="BF228" s="138">
        <f>IF('1.DATOS-PROD'!BO229="SI",VLOOKUP('1.DATOS-PROD'!BO$2,'1.PUNTOS'!$A$1:$B$63,2,0),0)</f>
        <v>0</v>
      </c>
      <c r="BG228" s="138">
        <f>IF('1.DATOS-PROD'!BP229="SI",VLOOKUP('1.DATOS-PROD'!BP$2,'1.PUNTOS'!$A$1:$B$63,2,0),0)</f>
        <v>0</v>
      </c>
      <c r="BH228" s="138">
        <f>IF('1.DATOS-PROD'!BQ229="SI",VLOOKUP('1.DATOS-PROD'!BQ$2,'1.PUNTOS'!$A$1:$B$63,2,0),0)</f>
        <v>0</v>
      </c>
      <c r="BI228" s="138">
        <f>IF('1.DATOS-PROD'!BR229="SI",VLOOKUP('1.DATOS-PROD'!BR$2,'1.PUNTOS'!$A$1:$B$63,2,0),0)</f>
        <v>0</v>
      </c>
      <c r="BJ228" s="138">
        <f>IF('1.DATOS-PROD'!BS229="SI",VLOOKUP('1.DATOS-PROD'!BS$2,'1.PUNTOS'!$A$1:$B$63,2,0),0)</f>
        <v>0</v>
      </c>
      <c r="BK228" s="138">
        <f>IF('1.DATOS-PROD'!BT229="SI",VLOOKUP('1.DATOS-PROD'!BT$2,'1.PUNTOS'!$A$1:$B$63,2,0),0)</f>
        <v>0</v>
      </c>
    </row>
    <row r="229" spans="1:63" x14ac:dyDescent="0.25">
      <c r="A229">
        <f>'0.Consolidado general'!$A230</f>
        <v>0</v>
      </c>
      <c r="B229" s="138">
        <f>IF('1.DATOS-PROD'!K230="SI",VLOOKUP('1.DATOS-PROD'!K$2,'1.PUNTOS'!$A$1:$B$63,2,0),0)</f>
        <v>0</v>
      </c>
      <c r="C229" s="138">
        <f>IF('1.DATOS-PROD'!L230="SI",VLOOKUP('1.DATOS-PROD'!L$2,'1.PUNTOS'!$A$1:$B$63,2,0),0)</f>
        <v>0</v>
      </c>
      <c r="D229" s="138">
        <f>IF('1.DATOS-PROD'!M230="SI",VLOOKUP('1.DATOS-PROD'!M$2,'1.PUNTOS'!$A$1:$B$63,2,0),0)</f>
        <v>0</v>
      </c>
      <c r="E229" s="138">
        <f>IF('1.DATOS-PROD'!N230="SI",VLOOKUP('1.DATOS-PROD'!N$2,'1.PUNTOS'!$A$1:$B$63,2,0),0)</f>
        <v>0</v>
      </c>
      <c r="F229" s="138">
        <f>IF('1.DATOS-PROD'!O230="SI",VLOOKUP('1.DATOS-PROD'!O$2,'1.PUNTOS'!$A$1:$B$63,2,0),0)</f>
        <v>0</v>
      </c>
      <c r="G229" s="138">
        <f>IF('1.DATOS-PROD'!P230="SI",VLOOKUP('1.DATOS-PROD'!P$2,'1.PUNTOS'!$A$1:$B$63,2,0),0)</f>
        <v>0</v>
      </c>
      <c r="H229" s="138">
        <f>IF('1.DATOS-PROD'!Q230="SI",VLOOKUP('1.DATOS-PROD'!Q$2,'1.PUNTOS'!$A$1:$B$63,2,0),0)</f>
        <v>0</v>
      </c>
      <c r="I229" s="138">
        <f>IF('1.DATOS-PROD'!R230="SI",VLOOKUP('1.DATOS-PROD'!R$2,'1.PUNTOS'!$A$1:$B$63,2,0),0)</f>
        <v>0</v>
      </c>
      <c r="J229" s="138">
        <f>IF('1.DATOS-PROD'!S230="SI",VLOOKUP('1.DATOS-PROD'!S$2,'1.PUNTOS'!$A$1:$B$63,2,0),0)</f>
        <v>0</v>
      </c>
      <c r="K229" s="138">
        <f>IF('1.DATOS-PROD'!T230="SI",VLOOKUP('1.DATOS-PROD'!T$2,'1.PUNTOS'!$A$1:$B$63,2,0),0)</f>
        <v>0</v>
      </c>
      <c r="L229" s="138">
        <f>IF('1.DATOS-PROD'!U230="SI",VLOOKUP('1.DATOS-PROD'!U$2,'1.PUNTOS'!$A$1:$B$63,2,0),0)</f>
        <v>0</v>
      </c>
      <c r="M229" s="138">
        <f>IF('1.DATOS-PROD'!V230="SI",VLOOKUP('1.DATOS-PROD'!V$2,'1.PUNTOS'!$A$1:$B$63,2,0),0)</f>
        <v>0</v>
      </c>
      <c r="N229" s="138">
        <f>IF('1.DATOS-PROD'!W230="SI",VLOOKUP('1.DATOS-PROD'!W$2,'1.PUNTOS'!$A$1:$B$63,2,0),0)</f>
        <v>0</v>
      </c>
      <c r="O229" s="138">
        <f>IF('1.DATOS-PROD'!X230="SI",VLOOKUP('1.DATOS-PROD'!X$2,'1.PUNTOS'!$A$1:$B$63,2,0),0)</f>
        <v>0</v>
      </c>
      <c r="P229" s="138">
        <f>IF('1.DATOS-PROD'!Y230="SI",VLOOKUP('1.DATOS-PROD'!Y$2,'1.PUNTOS'!$A$1:$B$63,2,0),0)</f>
        <v>0</v>
      </c>
      <c r="Q229" s="138">
        <f>IF('1.DATOS-PROD'!Z230="SI",VLOOKUP('1.DATOS-PROD'!Z$2,'1.PUNTOS'!$A$1:$B$63,2,0),0)</f>
        <v>0</v>
      </c>
      <c r="R229" s="138">
        <f>IF('1.DATOS-PROD'!AA230="SI",VLOOKUP('1.DATOS-PROD'!AA$2,'1.PUNTOS'!$A$1:$B$63,2,0),0)</f>
        <v>0</v>
      </c>
      <c r="S229" s="138">
        <f>IF('1.DATOS-PROD'!AB230="SI",VLOOKUP('1.DATOS-PROD'!AB$2,'1.PUNTOS'!$A$1:$B$63,2,0),0)</f>
        <v>0</v>
      </c>
      <c r="T229" s="138">
        <f>IF('1.DATOS-PROD'!AC230="SI",VLOOKUP('1.DATOS-PROD'!AC$2,'1.PUNTOS'!$A$1:$B$63,2,0),0)</f>
        <v>0</v>
      </c>
      <c r="U229" s="138">
        <f>IF('1.DATOS-PROD'!AD230="SI",VLOOKUP('1.DATOS-PROD'!AD$2,'1.PUNTOS'!$A$1:$B$63,2,0),0)</f>
        <v>0</v>
      </c>
      <c r="V229" s="138">
        <f>IF('1.DATOS-PROD'!AE230="SI",VLOOKUP('1.DATOS-PROD'!AE$2,'1.PUNTOS'!$A$1:$B$63,2,0),0)</f>
        <v>0</v>
      </c>
      <c r="W229" s="138">
        <f>IF('1.DATOS-PROD'!AF230="SI",VLOOKUP('1.DATOS-PROD'!AF$2,'1.PUNTOS'!$A$1:$B$63,2,0),0)</f>
        <v>0</v>
      </c>
      <c r="X229" s="138">
        <f>IF('1.DATOS-PROD'!AG230="SI",VLOOKUP('1.DATOS-PROD'!AG$2,'1.PUNTOS'!$A$1:$B$63,2,0),0)</f>
        <v>0</v>
      </c>
      <c r="Y229" s="138">
        <f>IF('1.DATOS-PROD'!AH230="SI",VLOOKUP('1.DATOS-PROD'!AH$2,'1.PUNTOS'!$A$1:$B$63,2,0),0)</f>
        <v>0</v>
      </c>
      <c r="Z229" s="138">
        <f>IF('1.DATOS-PROD'!AI230="SI",VLOOKUP('1.DATOS-PROD'!AI$2,'1.PUNTOS'!$A$1:$B$63,2,0),0)</f>
        <v>0</v>
      </c>
      <c r="AA229" s="138">
        <f>IF('1.DATOS-PROD'!AJ230="SI",VLOOKUP('1.DATOS-PROD'!AJ$2,'1.PUNTOS'!$A$1:$B$63,2,0),0)</f>
        <v>0</v>
      </c>
      <c r="AB229" s="138">
        <f>IF('1.DATOS-PROD'!AK230="SI",VLOOKUP('1.DATOS-PROD'!AK$2,'1.PUNTOS'!$A$1:$B$63,2,0),0)</f>
        <v>0</v>
      </c>
      <c r="AC229" s="138">
        <f>IF('1.DATOS-PROD'!AL230="SI",VLOOKUP('1.DATOS-PROD'!AL$2,'1.PUNTOS'!$A$1:$B$63,2,0),0)</f>
        <v>0</v>
      </c>
      <c r="AD229" s="138">
        <f>IF('1.DATOS-PROD'!AM230="SI",VLOOKUP('1.DATOS-PROD'!AM$2,'1.PUNTOS'!$A$1:$B$63,2,0),0)</f>
        <v>0</v>
      </c>
      <c r="AE229" s="138">
        <f>IF('1.DATOS-PROD'!AN230="SI",VLOOKUP('1.DATOS-PROD'!AN$2,'1.PUNTOS'!$A$1:$B$63,2,0),0)</f>
        <v>0</v>
      </c>
      <c r="AF229" s="138">
        <f>IF('1.DATOS-PROD'!AO230="SI",VLOOKUP('1.DATOS-PROD'!AO$2,'1.PUNTOS'!$A$1:$B$63,2,0),0)</f>
        <v>0</v>
      </c>
      <c r="AG229" s="138">
        <f>IF('1.DATOS-PROD'!AP230="SI",VLOOKUP('1.DATOS-PROD'!AP$2,'1.PUNTOS'!$A$1:$B$63,2,0),0)</f>
        <v>0</v>
      </c>
      <c r="AH229" s="138">
        <f>IF('1.DATOS-PROD'!AQ230="SI",VLOOKUP('1.DATOS-PROD'!AQ$2,'1.PUNTOS'!$A$1:$B$63,2,0),0)</f>
        <v>0</v>
      </c>
      <c r="AI229" s="138">
        <f>IF('1.DATOS-PROD'!AR230="SI",VLOOKUP('1.DATOS-PROD'!AR$2,'1.PUNTOS'!$A$1:$B$63,2,0),0)</f>
        <v>0</v>
      </c>
      <c r="AJ229" s="138">
        <f>IF('1.DATOS-PROD'!AS230="SI",VLOOKUP('1.DATOS-PROD'!AS$2,'1.PUNTOS'!$A$1:$B$63,2,0),0)</f>
        <v>0</v>
      </c>
      <c r="AK229" s="138">
        <f>IF('1.DATOS-PROD'!AT230="SI",VLOOKUP('1.DATOS-PROD'!AT$2,'1.PUNTOS'!$A$1:$B$63,2,0),0)</f>
        <v>0</v>
      </c>
      <c r="AL229" s="138">
        <f>IF('1.DATOS-PROD'!AU230="SI",VLOOKUP('1.DATOS-PROD'!AU$2,'1.PUNTOS'!$A$1:$B$63,2,0),0)</f>
        <v>0</v>
      </c>
      <c r="AM229" s="138">
        <f>IF('1.DATOS-PROD'!AV230="SI",VLOOKUP('1.DATOS-PROD'!AV$2,'1.PUNTOS'!$A$1:$B$63,2,0),0)</f>
        <v>0</v>
      </c>
      <c r="AN229" s="138">
        <f>IF('1.DATOS-PROD'!AW230="SI",VLOOKUP('1.DATOS-PROD'!AW$2,'1.PUNTOS'!$A$1:$B$63,2,0),0)</f>
        <v>0</v>
      </c>
      <c r="AO229" s="138">
        <f>IF('1.DATOS-PROD'!AX230="SI",VLOOKUP('1.DATOS-PROD'!AX$2,'1.PUNTOS'!$A$1:$B$63,2,0),0)</f>
        <v>0</v>
      </c>
      <c r="AP229" s="138">
        <f>IF('1.DATOS-PROD'!AY230="SI",VLOOKUP('1.DATOS-PROD'!AY$2,'1.PUNTOS'!$A$1:$B$63,2,0),0)</f>
        <v>0</v>
      </c>
      <c r="AQ229" s="138">
        <f>IF('1.DATOS-PROD'!AZ230="SI",VLOOKUP('1.DATOS-PROD'!AZ$2,'1.PUNTOS'!$A$1:$B$63,2,0),0)</f>
        <v>0</v>
      </c>
      <c r="AR229" s="138">
        <f>IF('1.DATOS-PROD'!BA230="SI",VLOOKUP('1.DATOS-PROD'!BA$2,'1.PUNTOS'!$A$1:$B$63,2,0),0)</f>
        <v>0</v>
      </c>
      <c r="AS229" s="138">
        <f>IF('1.DATOS-PROD'!BB230="SI",VLOOKUP('1.DATOS-PROD'!BB$2,'1.PUNTOS'!$A$1:$B$63,2,0),0)</f>
        <v>0</v>
      </c>
      <c r="AT229" s="138">
        <f>IF('1.DATOS-PROD'!BC230="SI",VLOOKUP('1.DATOS-PROD'!BC$2,'1.PUNTOS'!$A$1:$B$63,2,0),0)</f>
        <v>0</v>
      </c>
      <c r="AU229" s="138">
        <f>IF('1.DATOS-PROD'!BD230="SI",VLOOKUP('1.DATOS-PROD'!BD$2,'1.PUNTOS'!$A$1:$B$63,2,0),0)</f>
        <v>0</v>
      </c>
      <c r="AV229" s="138">
        <f>IF('1.DATOS-PROD'!BE230="SI",VLOOKUP('1.DATOS-PROD'!BE$2,'1.PUNTOS'!$A$1:$B$63,2,0),0)</f>
        <v>0</v>
      </c>
      <c r="AW229" s="138">
        <f>IF('1.DATOS-PROD'!BF230="SI",VLOOKUP('1.DATOS-PROD'!BF$2,'1.PUNTOS'!$A$1:$B$63,2,0),0)</f>
        <v>0</v>
      </c>
      <c r="AX229" s="138">
        <f>IF('1.DATOS-PROD'!BG230="SI",VLOOKUP('1.DATOS-PROD'!BG$2,'1.PUNTOS'!$A$1:$B$63,2,0),0)</f>
        <v>0</v>
      </c>
      <c r="AY229" s="138">
        <f>IF('1.DATOS-PROD'!BH230="SI",VLOOKUP('1.DATOS-PROD'!BH$2,'1.PUNTOS'!$A$1:$B$63,2,0),0)</f>
        <v>0</v>
      </c>
      <c r="AZ229" s="138">
        <f>IF('1.DATOS-PROD'!BI230="SI",VLOOKUP('1.DATOS-PROD'!BI$2,'1.PUNTOS'!$A$1:$B$63,2,0),0)</f>
        <v>0</v>
      </c>
      <c r="BA229" s="138">
        <f>IF('1.DATOS-PROD'!BJ230="SI",VLOOKUP('1.DATOS-PROD'!BJ$2,'1.PUNTOS'!$A$1:$B$63,2,0),0)</f>
        <v>0</v>
      </c>
      <c r="BB229" s="138">
        <f>IF('1.DATOS-PROD'!BK230="SI",VLOOKUP('1.DATOS-PROD'!BK$2,'1.PUNTOS'!$A$1:$B$63,2,0),0)</f>
        <v>0</v>
      </c>
      <c r="BC229" s="138">
        <f>IF('1.DATOS-PROD'!BL230="SI",VLOOKUP('1.DATOS-PROD'!BL$2,'1.PUNTOS'!$A$1:$B$63,2,0),0)</f>
        <v>0</v>
      </c>
      <c r="BD229" s="138">
        <f>IF('1.DATOS-PROD'!BM230="SI",VLOOKUP('1.DATOS-PROD'!BM$2,'1.PUNTOS'!$A$1:$B$63,2,0),0)</f>
        <v>0</v>
      </c>
      <c r="BE229" s="138">
        <f>IF('1.DATOS-PROD'!BN230="SI",VLOOKUP('1.DATOS-PROD'!BN$2,'1.PUNTOS'!$A$1:$B$63,2,0),0)</f>
        <v>0</v>
      </c>
      <c r="BF229" s="138">
        <f>IF('1.DATOS-PROD'!BO230="SI",VLOOKUP('1.DATOS-PROD'!BO$2,'1.PUNTOS'!$A$1:$B$63,2,0),0)</f>
        <v>0</v>
      </c>
      <c r="BG229" s="138">
        <f>IF('1.DATOS-PROD'!BP230="SI",VLOOKUP('1.DATOS-PROD'!BP$2,'1.PUNTOS'!$A$1:$B$63,2,0),0)</f>
        <v>0</v>
      </c>
      <c r="BH229" s="138">
        <f>IF('1.DATOS-PROD'!BQ230="SI",VLOOKUP('1.DATOS-PROD'!BQ$2,'1.PUNTOS'!$A$1:$B$63,2,0),0)</f>
        <v>0</v>
      </c>
      <c r="BI229" s="138">
        <f>IF('1.DATOS-PROD'!BR230="SI",VLOOKUP('1.DATOS-PROD'!BR$2,'1.PUNTOS'!$A$1:$B$63,2,0),0)</f>
        <v>0</v>
      </c>
      <c r="BJ229" s="138">
        <f>IF('1.DATOS-PROD'!BS230="SI",VLOOKUP('1.DATOS-PROD'!BS$2,'1.PUNTOS'!$A$1:$B$63,2,0),0)</f>
        <v>0</v>
      </c>
      <c r="BK229" s="138">
        <f>IF('1.DATOS-PROD'!BT230="SI",VLOOKUP('1.DATOS-PROD'!BT$2,'1.PUNTOS'!$A$1:$B$63,2,0),0)</f>
        <v>0</v>
      </c>
    </row>
    <row r="230" spans="1:63" x14ac:dyDescent="0.25">
      <c r="A230">
        <f>'0.Consolidado general'!$A231</f>
        <v>0</v>
      </c>
      <c r="B230" s="138">
        <f>IF('1.DATOS-PROD'!K231="SI",VLOOKUP('1.DATOS-PROD'!K$2,'1.PUNTOS'!$A$1:$B$63,2,0),0)</f>
        <v>0</v>
      </c>
      <c r="C230" s="138">
        <f>IF('1.DATOS-PROD'!L231="SI",VLOOKUP('1.DATOS-PROD'!L$2,'1.PUNTOS'!$A$1:$B$63,2,0),0)</f>
        <v>0</v>
      </c>
      <c r="D230" s="138">
        <f>IF('1.DATOS-PROD'!M231="SI",VLOOKUP('1.DATOS-PROD'!M$2,'1.PUNTOS'!$A$1:$B$63,2,0),0)</f>
        <v>0</v>
      </c>
      <c r="E230" s="138">
        <f>IF('1.DATOS-PROD'!N231="SI",VLOOKUP('1.DATOS-PROD'!N$2,'1.PUNTOS'!$A$1:$B$63,2,0),0)</f>
        <v>0</v>
      </c>
      <c r="F230" s="138">
        <f>IF('1.DATOS-PROD'!O231="SI",VLOOKUP('1.DATOS-PROD'!O$2,'1.PUNTOS'!$A$1:$B$63,2,0),0)</f>
        <v>0</v>
      </c>
      <c r="G230" s="138">
        <f>IF('1.DATOS-PROD'!P231="SI",VLOOKUP('1.DATOS-PROD'!P$2,'1.PUNTOS'!$A$1:$B$63,2,0),0)</f>
        <v>0</v>
      </c>
      <c r="H230" s="138">
        <f>IF('1.DATOS-PROD'!Q231="SI",VLOOKUP('1.DATOS-PROD'!Q$2,'1.PUNTOS'!$A$1:$B$63,2,0),0)</f>
        <v>0</v>
      </c>
      <c r="I230" s="138">
        <f>IF('1.DATOS-PROD'!R231="SI",VLOOKUP('1.DATOS-PROD'!R$2,'1.PUNTOS'!$A$1:$B$63,2,0),0)</f>
        <v>0</v>
      </c>
      <c r="J230" s="138">
        <f>IF('1.DATOS-PROD'!S231="SI",VLOOKUP('1.DATOS-PROD'!S$2,'1.PUNTOS'!$A$1:$B$63,2,0),0)</f>
        <v>0</v>
      </c>
      <c r="K230" s="138">
        <f>IF('1.DATOS-PROD'!T231="SI",VLOOKUP('1.DATOS-PROD'!T$2,'1.PUNTOS'!$A$1:$B$63,2,0),0)</f>
        <v>0</v>
      </c>
      <c r="L230" s="138">
        <f>IF('1.DATOS-PROD'!U231="SI",VLOOKUP('1.DATOS-PROD'!U$2,'1.PUNTOS'!$A$1:$B$63,2,0),0)</f>
        <v>0</v>
      </c>
      <c r="M230" s="138">
        <f>IF('1.DATOS-PROD'!V231="SI",VLOOKUP('1.DATOS-PROD'!V$2,'1.PUNTOS'!$A$1:$B$63,2,0),0)</f>
        <v>0</v>
      </c>
      <c r="N230" s="138">
        <f>IF('1.DATOS-PROD'!W231="SI",VLOOKUP('1.DATOS-PROD'!W$2,'1.PUNTOS'!$A$1:$B$63,2,0),0)</f>
        <v>0</v>
      </c>
      <c r="O230" s="138">
        <f>IF('1.DATOS-PROD'!X231="SI",VLOOKUP('1.DATOS-PROD'!X$2,'1.PUNTOS'!$A$1:$B$63,2,0),0)</f>
        <v>0</v>
      </c>
      <c r="P230" s="138">
        <f>IF('1.DATOS-PROD'!Y231="SI",VLOOKUP('1.DATOS-PROD'!Y$2,'1.PUNTOS'!$A$1:$B$63,2,0),0)</f>
        <v>0</v>
      </c>
      <c r="Q230" s="138">
        <f>IF('1.DATOS-PROD'!Z231="SI",VLOOKUP('1.DATOS-PROD'!Z$2,'1.PUNTOS'!$A$1:$B$63,2,0),0)</f>
        <v>0</v>
      </c>
      <c r="R230" s="138">
        <f>IF('1.DATOS-PROD'!AA231="SI",VLOOKUP('1.DATOS-PROD'!AA$2,'1.PUNTOS'!$A$1:$B$63,2,0),0)</f>
        <v>0</v>
      </c>
      <c r="S230" s="138">
        <f>IF('1.DATOS-PROD'!AB231="SI",VLOOKUP('1.DATOS-PROD'!AB$2,'1.PUNTOS'!$A$1:$B$63,2,0),0)</f>
        <v>0</v>
      </c>
      <c r="T230" s="138">
        <f>IF('1.DATOS-PROD'!AC231="SI",VLOOKUP('1.DATOS-PROD'!AC$2,'1.PUNTOS'!$A$1:$B$63,2,0),0)</f>
        <v>0</v>
      </c>
      <c r="U230" s="138">
        <f>IF('1.DATOS-PROD'!AD231="SI",VLOOKUP('1.DATOS-PROD'!AD$2,'1.PUNTOS'!$A$1:$B$63,2,0),0)</f>
        <v>0</v>
      </c>
      <c r="V230" s="138">
        <f>IF('1.DATOS-PROD'!AE231="SI",VLOOKUP('1.DATOS-PROD'!AE$2,'1.PUNTOS'!$A$1:$B$63,2,0),0)</f>
        <v>0</v>
      </c>
      <c r="W230" s="138">
        <f>IF('1.DATOS-PROD'!AF231="SI",VLOOKUP('1.DATOS-PROD'!AF$2,'1.PUNTOS'!$A$1:$B$63,2,0),0)</f>
        <v>0</v>
      </c>
      <c r="X230" s="138">
        <f>IF('1.DATOS-PROD'!AG231="SI",VLOOKUP('1.DATOS-PROD'!AG$2,'1.PUNTOS'!$A$1:$B$63,2,0),0)</f>
        <v>0</v>
      </c>
      <c r="Y230" s="138">
        <f>IF('1.DATOS-PROD'!AH231="SI",VLOOKUP('1.DATOS-PROD'!AH$2,'1.PUNTOS'!$A$1:$B$63,2,0),0)</f>
        <v>0</v>
      </c>
      <c r="Z230" s="138">
        <f>IF('1.DATOS-PROD'!AI231="SI",VLOOKUP('1.DATOS-PROD'!AI$2,'1.PUNTOS'!$A$1:$B$63,2,0),0)</f>
        <v>0</v>
      </c>
      <c r="AA230" s="138">
        <f>IF('1.DATOS-PROD'!AJ231="SI",VLOOKUP('1.DATOS-PROD'!AJ$2,'1.PUNTOS'!$A$1:$B$63,2,0),0)</f>
        <v>0</v>
      </c>
      <c r="AB230" s="138">
        <f>IF('1.DATOS-PROD'!AK231="SI",VLOOKUP('1.DATOS-PROD'!AK$2,'1.PUNTOS'!$A$1:$B$63,2,0),0)</f>
        <v>0</v>
      </c>
      <c r="AC230" s="138">
        <f>IF('1.DATOS-PROD'!AL231="SI",VLOOKUP('1.DATOS-PROD'!AL$2,'1.PUNTOS'!$A$1:$B$63,2,0),0)</f>
        <v>0</v>
      </c>
      <c r="AD230" s="138">
        <f>IF('1.DATOS-PROD'!AM231="SI",VLOOKUP('1.DATOS-PROD'!AM$2,'1.PUNTOS'!$A$1:$B$63,2,0),0)</f>
        <v>0</v>
      </c>
      <c r="AE230" s="138">
        <f>IF('1.DATOS-PROD'!AN231="SI",VLOOKUP('1.DATOS-PROD'!AN$2,'1.PUNTOS'!$A$1:$B$63,2,0),0)</f>
        <v>0</v>
      </c>
      <c r="AF230" s="138">
        <f>IF('1.DATOS-PROD'!AO231="SI",VLOOKUP('1.DATOS-PROD'!AO$2,'1.PUNTOS'!$A$1:$B$63,2,0),0)</f>
        <v>0</v>
      </c>
      <c r="AG230" s="138">
        <f>IF('1.DATOS-PROD'!AP231="SI",VLOOKUP('1.DATOS-PROD'!AP$2,'1.PUNTOS'!$A$1:$B$63,2,0),0)</f>
        <v>0</v>
      </c>
      <c r="AH230" s="138">
        <f>IF('1.DATOS-PROD'!AQ231="SI",VLOOKUP('1.DATOS-PROD'!AQ$2,'1.PUNTOS'!$A$1:$B$63,2,0),0)</f>
        <v>0</v>
      </c>
      <c r="AI230" s="138">
        <f>IF('1.DATOS-PROD'!AR231="SI",VLOOKUP('1.DATOS-PROD'!AR$2,'1.PUNTOS'!$A$1:$B$63,2,0),0)</f>
        <v>0</v>
      </c>
      <c r="AJ230" s="138">
        <f>IF('1.DATOS-PROD'!AS231="SI",VLOOKUP('1.DATOS-PROD'!AS$2,'1.PUNTOS'!$A$1:$B$63,2,0),0)</f>
        <v>0</v>
      </c>
      <c r="AK230" s="138">
        <f>IF('1.DATOS-PROD'!AT231="SI",VLOOKUP('1.DATOS-PROD'!AT$2,'1.PUNTOS'!$A$1:$B$63,2,0),0)</f>
        <v>0</v>
      </c>
      <c r="AL230" s="138">
        <f>IF('1.DATOS-PROD'!AU231="SI",VLOOKUP('1.DATOS-PROD'!AU$2,'1.PUNTOS'!$A$1:$B$63,2,0),0)</f>
        <v>0</v>
      </c>
      <c r="AM230" s="138">
        <f>IF('1.DATOS-PROD'!AV231="SI",VLOOKUP('1.DATOS-PROD'!AV$2,'1.PUNTOS'!$A$1:$B$63,2,0),0)</f>
        <v>0</v>
      </c>
      <c r="AN230" s="138">
        <f>IF('1.DATOS-PROD'!AW231="SI",VLOOKUP('1.DATOS-PROD'!AW$2,'1.PUNTOS'!$A$1:$B$63,2,0),0)</f>
        <v>0</v>
      </c>
      <c r="AO230" s="138">
        <f>IF('1.DATOS-PROD'!AX231="SI",VLOOKUP('1.DATOS-PROD'!AX$2,'1.PUNTOS'!$A$1:$B$63,2,0),0)</f>
        <v>0</v>
      </c>
      <c r="AP230" s="138">
        <f>IF('1.DATOS-PROD'!AY231="SI",VLOOKUP('1.DATOS-PROD'!AY$2,'1.PUNTOS'!$A$1:$B$63,2,0),0)</f>
        <v>0</v>
      </c>
      <c r="AQ230" s="138">
        <f>IF('1.DATOS-PROD'!AZ231="SI",VLOOKUP('1.DATOS-PROD'!AZ$2,'1.PUNTOS'!$A$1:$B$63,2,0),0)</f>
        <v>0</v>
      </c>
      <c r="AR230" s="138">
        <f>IF('1.DATOS-PROD'!BA231="SI",VLOOKUP('1.DATOS-PROD'!BA$2,'1.PUNTOS'!$A$1:$B$63,2,0),0)</f>
        <v>0</v>
      </c>
      <c r="AS230" s="138">
        <f>IF('1.DATOS-PROD'!BB231="SI",VLOOKUP('1.DATOS-PROD'!BB$2,'1.PUNTOS'!$A$1:$B$63,2,0),0)</f>
        <v>0</v>
      </c>
      <c r="AT230" s="138">
        <f>IF('1.DATOS-PROD'!BC231="SI",VLOOKUP('1.DATOS-PROD'!BC$2,'1.PUNTOS'!$A$1:$B$63,2,0),0)</f>
        <v>0</v>
      </c>
      <c r="AU230" s="138">
        <f>IF('1.DATOS-PROD'!BD231="SI",VLOOKUP('1.DATOS-PROD'!BD$2,'1.PUNTOS'!$A$1:$B$63,2,0),0)</f>
        <v>0</v>
      </c>
      <c r="AV230" s="138">
        <f>IF('1.DATOS-PROD'!BE231="SI",VLOOKUP('1.DATOS-PROD'!BE$2,'1.PUNTOS'!$A$1:$B$63,2,0),0)</f>
        <v>0</v>
      </c>
      <c r="AW230" s="138">
        <f>IF('1.DATOS-PROD'!BF231="SI",VLOOKUP('1.DATOS-PROD'!BF$2,'1.PUNTOS'!$A$1:$B$63,2,0),0)</f>
        <v>0</v>
      </c>
      <c r="AX230" s="138">
        <f>IF('1.DATOS-PROD'!BG231="SI",VLOOKUP('1.DATOS-PROD'!BG$2,'1.PUNTOS'!$A$1:$B$63,2,0),0)</f>
        <v>0</v>
      </c>
      <c r="AY230" s="138">
        <f>IF('1.DATOS-PROD'!BH231="SI",VLOOKUP('1.DATOS-PROD'!BH$2,'1.PUNTOS'!$A$1:$B$63,2,0),0)</f>
        <v>0</v>
      </c>
      <c r="AZ230" s="138">
        <f>IF('1.DATOS-PROD'!BI231="SI",VLOOKUP('1.DATOS-PROD'!BI$2,'1.PUNTOS'!$A$1:$B$63,2,0),0)</f>
        <v>0</v>
      </c>
      <c r="BA230" s="138">
        <f>IF('1.DATOS-PROD'!BJ231="SI",VLOOKUP('1.DATOS-PROD'!BJ$2,'1.PUNTOS'!$A$1:$B$63,2,0),0)</f>
        <v>0</v>
      </c>
      <c r="BB230" s="138">
        <f>IF('1.DATOS-PROD'!BK231="SI",VLOOKUP('1.DATOS-PROD'!BK$2,'1.PUNTOS'!$A$1:$B$63,2,0),0)</f>
        <v>0</v>
      </c>
      <c r="BC230" s="138">
        <f>IF('1.DATOS-PROD'!BL231="SI",VLOOKUP('1.DATOS-PROD'!BL$2,'1.PUNTOS'!$A$1:$B$63,2,0),0)</f>
        <v>0</v>
      </c>
      <c r="BD230" s="138">
        <f>IF('1.DATOS-PROD'!BM231="SI",VLOOKUP('1.DATOS-PROD'!BM$2,'1.PUNTOS'!$A$1:$B$63,2,0),0)</f>
        <v>0</v>
      </c>
      <c r="BE230" s="138">
        <f>IF('1.DATOS-PROD'!BN231="SI",VLOOKUP('1.DATOS-PROD'!BN$2,'1.PUNTOS'!$A$1:$B$63,2,0),0)</f>
        <v>0</v>
      </c>
      <c r="BF230" s="138">
        <f>IF('1.DATOS-PROD'!BO231="SI",VLOOKUP('1.DATOS-PROD'!BO$2,'1.PUNTOS'!$A$1:$B$63,2,0),0)</f>
        <v>0</v>
      </c>
      <c r="BG230" s="138">
        <f>IF('1.DATOS-PROD'!BP231="SI",VLOOKUP('1.DATOS-PROD'!BP$2,'1.PUNTOS'!$A$1:$B$63,2,0),0)</f>
        <v>0</v>
      </c>
      <c r="BH230" s="138">
        <f>IF('1.DATOS-PROD'!BQ231="SI",VLOOKUP('1.DATOS-PROD'!BQ$2,'1.PUNTOS'!$A$1:$B$63,2,0),0)</f>
        <v>0</v>
      </c>
      <c r="BI230" s="138">
        <f>IF('1.DATOS-PROD'!BR231="SI",VLOOKUP('1.DATOS-PROD'!BR$2,'1.PUNTOS'!$A$1:$B$63,2,0),0)</f>
        <v>0</v>
      </c>
      <c r="BJ230" s="138">
        <f>IF('1.DATOS-PROD'!BS231="SI",VLOOKUP('1.DATOS-PROD'!BS$2,'1.PUNTOS'!$A$1:$B$63,2,0),0)</f>
        <v>0</v>
      </c>
      <c r="BK230" s="138">
        <f>IF('1.DATOS-PROD'!BT231="SI",VLOOKUP('1.DATOS-PROD'!BT$2,'1.PUNTOS'!$A$1:$B$63,2,0),0)</f>
        <v>0</v>
      </c>
    </row>
    <row r="231" spans="1:63" x14ac:dyDescent="0.25">
      <c r="A231">
        <f>'0.Consolidado general'!$A232</f>
        <v>0</v>
      </c>
      <c r="B231" s="138">
        <f>IF('1.DATOS-PROD'!K232="SI",VLOOKUP('1.DATOS-PROD'!K$2,'1.PUNTOS'!$A$1:$B$63,2,0),0)</f>
        <v>0</v>
      </c>
      <c r="C231" s="138">
        <f>IF('1.DATOS-PROD'!L232="SI",VLOOKUP('1.DATOS-PROD'!L$2,'1.PUNTOS'!$A$1:$B$63,2,0),0)</f>
        <v>0</v>
      </c>
      <c r="D231" s="138">
        <f>IF('1.DATOS-PROD'!M232="SI",VLOOKUP('1.DATOS-PROD'!M$2,'1.PUNTOS'!$A$1:$B$63,2,0),0)</f>
        <v>0</v>
      </c>
      <c r="E231" s="138">
        <f>IF('1.DATOS-PROD'!N232="SI",VLOOKUP('1.DATOS-PROD'!N$2,'1.PUNTOS'!$A$1:$B$63,2,0),0)</f>
        <v>0</v>
      </c>
      <c r="F231" s="138">
        <f>IF('1.DATOS-PROD'!O232="SI",VLOOKUP('1.DATOS-PROD'!O$2,'1.PUNTOS'!$A$1:$B$63,2,0),0)</f>
        <v>0</v>
      </c>
      <c r="G231" s="138">
        <f>IF('1.DATOS-PROD'!P232="SI",VLOOKUP('1.DATOS-PROD'!P$2,'1.PUNTOS'!$A$1:$B$63,2,0),0)</f>
        <v>0</v>
      </c>
      <c r="H231" s="138">
        <f>IF('1.DATOS-PROD'!Q232="SI",VLOOKUP('1.DATOS-PROD'!Q$2,'1.PUNTOS'!$A$1:$B$63,2,0),0)</f>
        <v>0</v>
      </c>
      <c r="I231" s="138">
        <f>IF('1.DATOS-PROD'!R232="SI",VLOOKUP('1.DATOS-PROD'!R$2,'1.PUNTOS'!$A$1:$B$63,2,0),0)</f>
        <v>0</v>
      </c>
      <c r="J231" s="138">
        <f>IF('1.DATOS-PROD'!S232="SI",VLOOKUP('1.DATOS-PROD'!S$2,'1.PUNTOS'!$A$1:$B$63,2,0),0)</f>
        <v>0</v>
      </c>
      <c r="K231" s="138">
        <f>IF('1.DATOS-PROD'!T232="SI",VLOOKUP('1.DATOS-PROD'!T$2,'1.PUNTOS'!$A$1:$B$63,2,0),0)</f>
        <v>0</v>
      </c>
      <c r="L231" s="138">
        <f>IF('1.DATOS-PROD'!U232="SI",VLOOKUP('1.DATOS-PROD'!U$2,'1.PUNTOS'!$A$1:$B$63,2,0),0)</f>
        <v>0</v>
      </c>
      <c r="M231" s="138">
        <f>IF('1.DATOS-PROD'!V232="SI",VLOOKUP('1.DATOS-PROD'!V$2,'1.PUNTOS'!$A$1:$B$63,2,0),0)</f>
        <v>0</v>
      </c>
      <c r="N231" s="138">
        <f>IF('1.DATOS-PROD'!W232="SI",VLOOKUP('1.DATOS-PROD'!W$2,'1.PUNTOS'!$A$1:$B$63,2,0),0)</f>
        <v>0</v>
      </c>
      <c r="O231" s="138">
        <f>IF('1.DATOS-PROD'!X232="SI",VLOOKUP('1.DATOS-PROD'!X$2,'1.PUNTOS'!$A$1:$B$63,2,0),0)</f>
        <v>0</v>
      </c>
      <c r="P231" s="138">
        <f>IF('1.DATOS-PROD'!Y232="SI",VLOOKUP('1.DATOS-PROD'!Y$2,'1.PUNTOS'!$A$1:$B$63,2,0),0)</f>
        <v>0</v>
      </c>
      <c r="Q231" s="138">
        <f>IF('1.DATOS-PROD'!Z232="SI",VLOOKUP('1.DATOS-PROD'!Z$2,'1.PUNTOS'!$A$1:$B$63,2,0),0)</f>
        <v>0</v>
      </c>
      <c r="R231" s="138">
        <f>IF('1.DATOS-PROD'!AA232="SI",VLOOKUP('1.DATOS-PROD'!AA$2,'1.PUNTOS'!$A$1:$B$63,2,0),0)</f>
        <v>0</v>
      </c>
      <c r="S231" s="138">
        <f>IF('1.DATOS-PROD'!AB232="SI",VLOOKUP('1.DATOS-PROD'!AB$2,'1.PUNTOS'!$A$1:$B$63,2,0),0)</f>
        <v>0</v>
      </c>
      <c r="T231" s="138">
        <f>IF('1.DATOS-PROD'!AC232="SI",VLOOKUP('1.DATOS-PROD'!AC$2,'1.PUNTOS'!$A$1:$B$63,2,0),0)</f>
        <v>0</v>
      </c>
      <c r="U231" s="138">
        <f>IF('1.DATOS-PROD'!AD232="SI",VLOOKUP('1.DATOS-PROD'!AD$2,'1.PUNTOS'!$A$1:$B$63,2,0),0)</f>
        <v>0</v>
      </c>
      <c r="V231" s="138">
        <f>IF('1.DATOS-PROD'!AE232="SI",VLOOKUP('1.DATOS-PROD'!AE$2,'1.PUNTOS'!$A$1:$B$63,2,0),0)</f>
        <v>0</v>
      </c>
      <c r="W231" s="138">
        <f>IF('1.DATOS-PROD'!AF232="SI",VLOOKUP('1.DATOS-PROD'!AF$2,'1.PUNTOS'!$A$1:$B$63,2,0),0)</f>
        <v>0</v>
      </c>
      <c r="X231" s="138">
        <f>IF('1.DATOS-PROD'!AG232="SI",VLOOKUP('1.DATOS-PROD'!AG$2,'1.PUNTOS'!$A$1:$B$63,2,0),0)</f>
        <v>0</v>
      </c>
      <c r="Y231" s="138">
        <f>IF('1.DATOS-PROD'!AH232="SI",VLOOKUP('1.DATOS-PROD'!AH$2,'1.PUNTOS'!$A$1:$B$63,2,0),0)</f>
        <v>0</v>
      </c>
      <c r="Z231" s="138">
        <f>IF('1.DATOS-PROD'!AI232="SI",VLOOKUP('1.DATOS-PROD'!AI$2,'1.PUNTOS'!$A$1:$B$63,2,0),0)</f>
        <v>0</v>
      </c>
      <c r="AA231" s="138">
        <f>IF('1.DATOS-PROD'!AJ232="SI",VLOOKUP('1.DATOS-PROD'!AJ$2,'1.PUNTOS'!$A$1:$B$63,2,0),0)</f>
        <v>0</v>
      </c>
      <c r="AB231" s="138">
        <f>IF('1.DATOS-PROD'!AK232="SI",VLOOKUP('1.DATOS-PROD'!AK$2,'1.PUNTOS'!$A$1:$B$63,2,0),0)</f>
        <v>0</v>
      </c>
      <c r="AC231" s="138">
        <f>IF('1.DATOS-PROD'!AL232="SI",VLOOKUP('1.DATOS-PROD'!AL$2,'1.PUNTOS'!$A$1:$B$63,2,0),0)</f>
        <v>0</v>
      </c>
      <c r="AD231" s="138">
        <f>IF('1.DATOS-PROD'!AM232="SI",VLOOKUP('1.DATOS-PROD'!AM$2,'1.PUNTOS'!$A$1:$B$63,2,0),0)</f>
        <v>0</v>
      </c>
      <c r="AE231" s="138">
        <f>IF('1.DATOS-PROD'!AN232="SI",VLOOKUP('1.DATOS-PROD'!AN$2,'1.PUNTOS'!$A$1:$B$63,2,0),0)</f>
        <v>0</v>
      </c>
      <c r="AF231" s="138">
        <f>IF('1.DATOS-PROD'!AO232="SI",VLOOKUP('1.DATOS-PROD'!AO$2,'1.PUNTOS'!$A$1:$B$63,2,0),0)</f>
        <v>0</v>
      </c>
      <c r="AG231" s="138">
        <f>IF('1.DATOS-PROD'!AP232="SI",VLOOKUP('1.DATOS-PROD'!AP$2,'1.PUNTOS'!$A$1:$B$63,2,0),0)</f>
        <v>0</v>
      </c>
      <c r="AH231" s="138">
        <f>IF('1.DATOS-PROD'!AQ232="SI",VLOOKUP('1.DATOS-PROD'!AQ$2,'1.PUNTOS'!$A$1:$B$63,2,0),0)</f>
        <v>0</v>
      </c>
      <c r="AI231" s="138">
        <f>IF('1.DATOS-PROD'!AR232="SI",VLOOKUP('1.DATOS-PROD'!AR$2,'1.PUNTOS'!$A$1:$B$63,2,0),0)</f>
        <v>0</v>
      </c>
      <c r="AJ231" s="138">
        <f>IF('1.DATOS-PROD'!AS232="SI",VLOOKUP('1.DATOS-PROD'!AS$2,'1.PUNTOS'!$A$1:$B$63,2,0),0)</f>
        <v>0</v>
      </c>
      <c r="AK231" s="138">
        <f>IF('1.DATOS-PROD'!AT232="SI",VLOOKUP('1.DATOS-PROD'!AT$2,'1.PUNTOS'!$A$1:$B$63,2,0),0)</f>
        <v>0</v>
      </c>
      <c r="AL231" s="138">
        <f>IF('1.DATOS-PROD'!AU232="SI",VLOOKUP('1.DATOS-PROD'!AU$2,'1.PUNTOS'!$A$1:$B$63,2,0),0)</f>
        <v>0</v>
      </c>
      <c r="AM231" s="138">
        <f>IF('1.DATOS-PROD'!AV232="SI",VLOOKUP('1.DATOS-PROD'!AV$2,'1.PUNTOS'!$A$1:$B$63,2,0),0)</f>
        <v>0</v>
      </c>
      <c r="AN231" s="138">
        <f>IF('1.DATOS-PROD'!AW232="SI",VLOOKUP('1.DATOS-PROD'!AW$2,'1.PUNTOS'!$A$1:$B$63,2,0),0)</f>
        <v>0</v>
      </c>
      <c r="AO231" s="138">
        <f>IF('1.DATOS-PROD'!AX232="SI",VLOOKUP('1.DATOS-PROD'!AX$2,'1.PUNTOS'!$A$1:$B$63,2,0),0)</f>
        <v>0</v>
      </c>
      <c r="AP231" s="138">
        <f>IF('1.DATOS-PROD'!AY232="SI",VLOOKUP('1.DATOS-PROD'!AY$2,'1.PUNTOS'!$A$1:$B$63,2,0),0)</f>
        <v>0</v>
      </c>
      <c r="AQ231" s="138">
        <f>IF('1.DATOS-PROD'!AZ232="SI",VLOOKUP('1.DATOS-PROD'!AZ$2,'1.PUNTOS'!$A$1:$B$63,2,0),0)</f>
        <v>0</v>
      </c>
      <c r="AR231" s="138">
        <f>IF('1.DATOS-PROD'!BA232="SI",VLOOKUP('1.DATOS-PROD'!BA$2,'1.PUNTOS'!$A$1:$B$63,2,0),0)</f>
        <v>0</v>
      </c>
      <c r="AS231" s="138">
        <f>IF('1.DATOS-PROD'!BB232="SI",VLOOKUP('1.DATOS-PROD'!BB$2,'1.PUNTOS'!$A$1:$B$63,2,0),0)</f>
        <v>0</v>
      </c>
      <c r="AT231" s="138">
        <f>IF('1.DATOS-PROD'!BC232="SI",VLOOKUP('1.DATOS-PROD'!BC$2,'1.PUNTOS'!$A$1:$B$63,2,0),0)</f>
        <v>0</v>
      </c>
      <c r="AU231" s="138">
        <f>IF('1.DATOS-PROD'!BD232="SI",VLOOKUP('1.DATOS-PROD'!BD$2,'1.PUNTOS'!$A$1:$B$63,2,0),0)</f>
        <v>0</v>
      </c>
      <c r="AV231" s="138">
        <f>IF('1.DATOS-PROD'!BE232="SI",VLOOKUP('1.DATOS-PROD'!BE$2,'1.PUNTOS'!$A$1:$B$63,2,0),0)</f>
        <v>0</v>
      </c>
      <c r="AW231" s="138">
        <f>IF('1.DATOS-PROD'!BF232="SI",VLOOKUP('1.DATOS-PROD'!BF$2,'1.PUNTOS'!$A$1:$B$63,2,0),0)</f>
        <v>0</v>
      </c>
      <c r="AX231" s="138">
        <f>IF('1.DATOS-PROD'!BG232="SI",VLOOKUP('1.DATOS-PROD'!BG$2,'1.PUNTOS'!$A$1:$B$63,2,0),0)</f>
        <v>0</v>
      </c>
      <c r="AY231" s="138">
        <f>IF('1.DATOS-PROD'!BH232="SI",VLOOKUP('1.DATOS-PROD'!BH$2,'1.PUNTOS'!$A$1:$B$63,2,0),0)</f>
        <v>0</v>
      </c>
      <c r="AZ231" s="138">
        <f>IF('1.DATOS-PROD'!BI232="SI",VLOOKUP('1.DATOS-PROD'!BI$2,'1.PUNTOS'!$A$1:$B$63,2,0),0)</f>
        <v>0</v>
      </c>
      <c r="BA231" s="138">
        <f>IF('1.DATOS-PROD'!BJ232="SI",VLOOKUP('1.DATOS-PROD'!BJ$2,'1.PUNTOS'!$A$1:$B$63,2,0),0)</f>
        <v>0</v>
      </c>
      <c r="BB231" s="138">
        <f>IF('1.DATOS-PROD'!BK232="SI",VLOOKUP('1.DATOS-PROD'!BK$2,'1.PUNTOS'!$A$1:$B$63,2,0),0)</f>
        <v>0</v>
      </c>
      <c r="BC231" s="138">
        <f>IF('1.DATOS-PROD'!BL232="SI",VLOOKUP('1.DATOS-PROD'!BL$2,'1.PUNTOS'!$A$1:$B$63,2,0),0)</f>
        <v>0</v>
      </c>
      <c r="BD231" s="138">
        <f>IF('1.DATOS-PROD'!BM232="SI",VLOOKUP('1.DATOS-PROD'!BM$2,'1.PUNTOS'!$A$1:$B$63,2,0),0)</f>
        <v>0</v>
      </c>
      <c r="BE231" s="138">
        <f>IF('1.DATOS-PROD'!BN232="SI",VLOOKUP('1.DATOS-PROD'!BN$2,'1.PUNTOS'!$A$1:$B$63,2,0),0)</f>
        <v>0</v>
      </c>
      <c r="BF231" s="138">
        <f>IF('1.DATOS-PROD'!BO232="SI",VLOOKUP('1.DATOS-PROD'!BO$2,'1.PUNTOS'!$A$1:$B$63,2,0),0)</f>
        <v>0</v>
      </c>
      <c r="BG231" s="138">
        <f>IF('1.DATOS-PROD'!BP232="SI",VLOOKUP('1.DATOS-PROD'!BP$2,'1.PUNTOS'!$A$1:$B$63,2,0),0)</f>
        <v>0</v>
      </c>
      <c r="BH231" s="138">
        <f>IF('1.DATOS-PROD'!BQ232="SI",VLOOKUP('1.DATOS-PROD'!BQ$2,'1.PUNTOS'!$A$1:$B$63,2,0),0)</f>
        <v>0</v>
      </c>
      <c r="BI231" s="138">
        <f>IF('1.DATOS-PROD'!BR232="SI",VLOOKUP('1.DATOS-PROD'!BR$2,'1.PUNTOS'!$A$1:$B$63,2,0),0)</f>
        <v>0</v>
      </c>
      <c r="BJ231" s="138">
        <f>IF('1.DATOS-PROD'!BS232="SI",VLOOKUP('1.DATOS-PROD'!BS$2,'1.PUNTOS'!$A$1:$B$63,2,0),0)</f>
        <v>0</v>
      </c>
      <c r="BK231" s="138">
        <f>IF('1.DATOS-PROD'!BT232="SI",VLOOKUP('1.DATOS-PROD'!BT$2,'1.PUNTOS'!$A$1:$B$63,2,0),0)</f>
        <v>0</v>
      </c>
    </row>
    <row r="232" spans="1:63" x14ac:dyDescent="0.25">
      <c r="A232">
        <f>'0.Consolidado general'!$A233</f>
        <v>0</v>
      </c>
      <c r="B232" s="138">
        <f>IF('1.DATOS-PROD'!K233="SI",VLOOKUP('1.DATOS-PROD'!K$2,'1.PUNTOS'!$A$1:$B$63,2,0),0)</f>
        <v>0</v>
      </c>
      <c r="C232" s="138">
        <f>IF('1.DATOS-PROD'!L233="SI",VLOOKUP('1.DATOS-PROD'!L$2,'1.PUNTOS'!$A$1:$B$63,2,0),0)</f>
        <v>0</v>
      </c>
      <c r="D232" s="138">
        <f>IF('1.DATOS-PROD'!M233="SI",VLOOKUP('1.DATOS-PROD'!M$2,'1.PUNTOS'!$A$1:$B$63,2,0),0)</f>
        <v>0</v>
      </c>
      <c r="E232" s="138">
        <f>IF('1.DATOS-PROD'!N233="SI",VLOOKUP('1.DATOS-PROD'!N$2,'1.PUNTOS'!$A$1:$B$63,2,0),0)</f>
        <v>0</v>
      </c>
      <c r="F232" s="138">
        <f>IF('1.DATOS-PROD'!O233="SI",VLOOKUP('1.DATOS-PROD'!O$2,'1.PUNTOS'!$A$1:$B$63,2,0),0)</f>
        <v>0</v>
      </c>
      <c r="G232" s="138">
        <f>IF('1.DATOS-PROD'!P233="SI",VLOOKUP('1.DATOS-PROD'!P$2,'1.PUNTOS'!$A$1:$B$63,2,0),0)</f>
        <v>0</v>
      </c>
      <c r="H232" s="138">
        <f>IF('1.DATOS-PROD'!Q233="SI",VLOOKUP('1.DATOS-PROD'!Q$2,'1.PUNTOS'!$A$1:$B$63,2,0),0)</f>
        <v>0</v>
      </c>
      <c r="I232" s="138">
        <f>IF('1.DATOS-PROD'!R233="SI",VLOOKUP('1.DATOS-PROD'!R$2,'1.PUNTOS'!$A$1:$B$63,2,0),0)</f>
        <v>0</v>
      </c>
      <c r="J232" s="138">
        <f>IF('1.DATOS-PROD'!S233="SI",VLOOKUP('1.DATOS-PROD'!S$2,'1.PUNTOS'!$A$1:$B$63,2,0),0)</f>
        <v>0</v>
      </c>
      <c r="K232" s="138">
        <f>IF('1.DATOS-PROD'!T233="SI",VLOOKUP('1.DATOS-PROD'!T$2,'1.PUNTOS'!$A$1:$B$63,2,0),0)</f>
        <v>0</v>
      </c>
      <c r="L232" s="138">
        <f>IF('1.DATOS-PROD'!U233="SI",VLOOKUP('1.DATOS-PROD'!U$2,'1.PUNTOS'!$A$1:$B$63,2,0),0)</f>
        <v>0</v>
      </c>
      <c r="M232" s="138">
        <f>IF('1.DATOS-PROD'!V233="SI",VLOOKUP('1.DATOS-PROD'!V$2,'1.PUNTOS'!$A$1:$B$63,2,0),0)</f>
        <v>0</v>
      </c>
      <c r="N232" s="138">
        <f>IF('1.DATOS-PROD'!W233="SI",VLOOKUP('1.DATOS-PROD'!W$2,'1.PUNTOS'!$A$1:$B$63,2,0),0)</f>
        <v>0</v>
      </c>
      <c r="O232" s="138">
        <f>IF('1.DATOS-PROD'!X233="SI",VLOOKUP('1.DATOS-PROD'!X$2,'1.PUNTOS'!$A$1:$B$63,2,0),0)</f>
        <v>0</v>
      </c>
      <c r="P232" s="138">
        <f>IF('1.DATOS-PROD'!Y233="SI",VLOOKUP('1.DATOS-PROD'!Y$2,'1.PUNTOS'!$A$1:$B$63,2,0),0)</f>
        <v>0</v>
      </c>
      <c r="Q232" s="138">
        <f>IF('1.DATOS-PROD'!Z233="SI",VLOOKUP('1.DATOS-PROD'!Z$2,'1.PUNTOS'!$A$1:$B$63,2,0),0)</f>
        <v>0</v>
      </c>
      <c r="R232" s="138">
        <f>IF('1.DATOS-PROD'!AA233="SI",VLOOKUP('1.DATOS-PROD'!AA$2,'1.PUNTOS'!$A$1:$B$63,2,0),0)</f>
        <v>0</v>
      </c>
      <c r="S232" s="138">
        <f>IF('1.DATOS-PROD'!AB233="SI",VLOOKUP('1.DATOS-PROD'!AB$2,'1.PUNTOS'!$A$1:$B$63,2,0),0)</f>
        <v>0</v>
      </c>
      <c r="T232" s="138">
        <f>IF('1.DATOS-PROD'!AC233="SI",VLOOKUP('1.DATOS-PROD'!AC$2,'1.PUNTOS'!$A$1:$B$63,2,0),0)</f>
        <v>0</v>
      </c>
      <c r="U232" s="138">
        <f>IF('1.DATOS-PROD'!AD233="SI",VLOOKUP('1.DATOS-PROD'!AD$2,'1.PUNTOS'!$A$1:$B$63,2,0),0)</f>
        <v>0</v>
      </c>
      <c r="V232" s="138">
        <f>IF('1.DATOS-PROD'!AE233="SI",VLOOKUP('1.DATOS-PROD'!AE$2,'1.PUNTOS'!$A$1:$B$63,2,0),0)</f>
        <v>0</v>
      </c>
      <c r="W232" s="138">
        <f>IF('1.DATOS-PROD'!AF233="SI",VLOOKUP('1.DATOS-PROD'!AF$2,'1.PUNTOS'!$A$1:$B$63,2,0),0)</f>
        <v>0</v>
      </c>
      <c r="X232" s="138">
        <f>IF('1.DATOS-PROD'!AG233="SI",VLOOKUP('1.DATOS-PROD'!AG$2,'1.PUNTOS'!$A$1:$B$63,2,0),0)</f>
        <v>0</v>
      </c>
      <c r="Y232" s="138">
        <f>IF('1.DATOS-PROD'!AH233="SI",VLOOKUP('1.DATOS-PROD'!AH$2,'1.PUNTOS'!$A$1:$B$63,2,0),0)</f>
        <v>0</v>
      </c>
      <c r="Z232" s="138">
        <f>IF('1.DATOS-PROD'!AI233="SI",VLOOKUP('1.DATOS-PROD'!AI$2,'1.PUNTOS'!$A$1:$B$63,2,0),0)</f>
        <v>0</v>
      </c>
      <c r="AA232" s="138">
        <f>IF('1.DATOS-PROD'!AJ233="SI",VLOOKUP('1.DATOS-PROD'!AJ$2,'1.PUNTOS'!$A$1:$B$63,2,0),0)</f>
        <v>0</v>
      </c>
      <c r="AB232" s="138">
        <f>IF('1.DATOS-PROD'!AK233="SI",VLOOKUP('1.DATOS-PROD'!AK$2,'1.PUNTOS'!$A$1:$B$63,2,0),0)</f>
        <v>0</v>
      </c>
      <c r="AC232" s="138">
        <f>IF('1.DATOS-PROD'!AL233="SI",VLOOKUP('1.DATOS-PROD'!AL$2,'1.PUNTOS'!$A$1:$B$63,2,0),0)</f>
        <v>0</v>
      </c>
      <c r="AD232" s="138">
        <f>IF('1.DATOS-PROD'!AM233="SI",VLOOKUP('1.DATOS-PROD'!AM$2,'1.PUNTOS'!$A$1:$B$63,2,0),0)</f>
        <v>0</v>
      </c>
      <c r="AE232" s="138">
        <f>IF('1.DATOS-PROD'!AN233="SI",VLOOKUP('1.DATOS-PROD'!AN$2,'1.PUNTOS'!$A$1:$B$63,2,0),0)</f>
        <v>0</v>
      </c>
      <c r="AF232" s="138">
        <f>IF('1.DATOS-PROD'!AO233="SI",VLOOKUP('1.DATOS-PROD'!AO$2,'1.PUNTOS'!$A$1:$B$63,2,0),0)</f>
        <v>0</v>
      </c>
      <c r="AG232" s="138">
        <f>IF('1.DATOS-PROD'!AP233="SI",VLOOKUP('1.DATOS-PROD'!AP$2,'1.PUNTOS'!$A$1:$B$63,2,0),0)</f>
        <v>0</v>
      </c>
      <c r="AH232" s="138">
        <f>IF('1.DATOS-PROD'!AQ233="SI",VLOOKUP('1.DATOS-PROD'!AQ$2,'1.PUNTOS'!$A$1:$B$63,2,0),0)</f>
        <v>0</v>
      </c>
      <c r="AI232" s="138">
        <f>IF('1.DATOS-PROD'!AR233="SI",VLOOKUP('1.DATOS-PROD'!AR$2,'1.PUNTOS'!$A$1:$B$63,2,0),0)</f>
        <v>0</v>
      </c>
      <c r="AJ232" s="138">
        <f>IF('1.DATOS-PROD'!AS233="SI",VLOOKUP('1.DATOS-PROD'!AS$2,'1.PUNTOS'!$A$1:$B$63,2,0),0)</f>
        <v>0</v>
      </c>
      <c r="AK232" s="138">
        <f>IF('1.DATOS-PROD'!AT233="SI",VLOOKUP('1.DATOS-PROD'!AT$2,'1.PUNTOS'!$A$1:$B$63,2,0),0)</f>
        <v>0</v>
      </c>
      <c r="AL232" s="138">
        <f>IF('1.DATOS-PROD'!AU233="SI",VLOOKUP('1.DATOS-PROD'!AU$2,'1.PUNTOS'!$A$1:$B$63,2,0),0)</f>
        <v>0</v>
      </c>
      <c r="AM232" s="138">
        <f>IF('1.DATOS-PROD'!AV233="SI",VLOOKUP('1.DATOS-PROD'!AV$2,'1.PUNTOS'!$A$1:$B$63,2,0),0)</f>
        <v>0</v>
      </c>
      <c r="AN232" s="138">
        <f>IF('1.DATOS-PROD'!AW233="SI",VLOOKUP('1.DATOS-PROD'!AW$2,'1.PUNTOS'!$A$1:$B$63,2,0),0)</f>
        <v>0</v>
      </c>
      <c r="AO232" s="138">
        <f>IF('1.DATOS-PROD'!AX233="SI",VLOOKUP('1.DATOS-PROD'!AX$2,'1.PUNTOS'!$A$1:$B$63,2,0),0)</f>
        <v>0</v>
      </c>
      <c r="AP232" s="138">
        <f>IF('1.DATOS-PROD'!AY233="SI",VLOOKUP('1.DATOS-PROD'!AY$2,'1.PUNTOS'!$A$1:$B$63,2,0),0)</f>
        <v>0</v>
      </c>
      <c r="AQ232" s="138">
        <f>IF('1.DATOS-PROD'!AZ233="SI",VLOOKUP('1.DATOS-PROD'!AZ$2,'1.PUNTOS'!$A$1:$B$63,2,0),0)</f>
        <v>0</v>
      </c>
      <c r="AR232" s="138">
        <f>IF('1.DATOS-PROD'!BA233="SI",VLOOKUP('1.DATOS-PROD'!BA$2,'1.PUNTOS'!$A$1:$B$63,2,0),0)</f>
        <v>0</v>
      </c>
      <c r="AS232" s="138">
        <f>IF('1.DATOS-PROD'!BB233="SI",VLOOKUP('1.DATOS-PROD'!BB$2,'1.PUNTOS'!$A$1:$B$63,2,0),0)</f>
        <v>0</v>
      </c>
      <c r="AT232" s="138">
        <f>IF('1.DATOS-PROD'!BC233="SI",VLOOKUP('1.DATOS-PROD'!BC$2,'1.PUNTOS'!$A$1:$B$63,2,0),0)</f>
        <v>0</v>
      </c>
      <c r="AU232" s="138">
        <f>IF('1.DATOS-PROD'!BD233="SI",VLOOKUP('1.DATOS-PROD'!BD$2,'1.PUNTOS'!$A$1:$B$63,2,0),0)</f>
        <v>0</v>
      </c>
      <c r="AV232" s="138">
        <f>IF('1.DATOS-PROD'!BE233="SI",VLOOKUP('1.DATOS-PROD'!BE$2,'1.PUNTOS'!$A$1:$B$63,2,0),0)</f>
        <v>0</v>
      </c>
      <c r="AW232" s="138">
        <f>IF('1.DATOS-PROD'!BF233="SI",VLOOKUP('1.DATOS-PROD'!BF$2,'1.PUNTOS'!$A$1:$B$63,2,0),0)</f>
        <v>0</v>
      </c>
      <c r="AX232" s="138">
        <f>IF('1.DATOS-PROD'!BG233="SI",VLOOKUP('1.DATOS-PROD'!BG$2,'1.PUNTOS'!$A$1:$B$63,2,0),0)</f>
        <v>0</v>
      </c>
      <c r="AY232" s="138">
        <f>IF('1.DATOS-PROD'!BH233="SI",VLOOKUP('1.DATOS-PROD'!BH$2,'1.PUNTOS'!$A$1:$B$63,2,0),0)</f>
        <v>0</v>
      </c>
      <c r="AZ232" s="138">
        <f>IF('1.DATOS-PROD'!BI233="SI",VLOOKUP('1.DATOS-PROD'!BI$2,'1.PUNTOS'!$A$1:$B$63,2,0),0)</f>
        <v>0</v>
      </c>
      <c r="BA232" s="138">
        <f>IF('1.DATOS-PROD'!BJ233="SI",VLOOKUP('1.DATOS-PROD'!BJ$2,'1.PUNTOS'!$A$1:$B$63,2,0),0)</f>
        <v>0</v>
      </c>
      <c r="BB232" s="138">
        <f>IF('1.DATOS-PROD'!BK233="SI",VLOOKUP('1.DATOS-PROD'!BK$2,'1.PUNTOS'!$A$1:$B$63,2,0),0)</f>
        <v>0</v>
      </c>
      <c r="BC232" s="138">
        <f>IF('1.DATOS-PROD'!BL233="SI",VLOOKUP('1.DATOS-PROD'!BL$2,'1.PUNTOS'!$A$1:$B$63,2,0),0)</f>
        <v>0</v>
      </c>
      <c r="BD232" s="138">
        <f>IF('1.DATOS-PROD'!BM233="SI",VLOOKUP('1.DATOS-PROD'!BM$2,'1.PUNTOS'!$A$1:$B$63,2,0),0)</f>
        <v>0</v>
      </c>
      <c r="BE232" s="138">
        <f>IF('1.DATOS-PROD'!BN233="SI",VLOOKUP('1.DATOS-PROD'!BN$2,'1.PUNTOS'!$A$1:$B$63,2,0),0)</f>
        <v>0</v>
      </c>
      <c r="BF232" s="138">
        <f>IF('1.DATOS-PROD'!BO233="SI",VLOOKUP('1.DATOS-PROD'!BO$2,'1.PUNTOS'!$A$1:$B$63,2,0),0)</f>
        <v>0</v>
      </c>
      <c r="BG232" s="138">
        <f>IF('1.DATOS-PROD'!BP233="SI",VLOOKUP('1.DATOS-PROD'!BP$2,'1.PUNTOS'!$A$1:$B$63,2,0),0)</f>
        <v>0</v>
      </c>
      <c r="BH232" s="138">
        <f>IF('1.DATOS-PROD'!BQ233="SI",VLOOKUP('1.DATOS-PROD'!BQ$2,'1.PUNTOS'!$A$1:$B$63,2,0),0)</f>
        <v>0</v>
      </c>
      <c r="BI232" s="138">
        <f>IF('1.DATOS-PROD'!BR233="SI",VLOOKUP('1.DATOS-PROD'!BR$2,'1.PUNTOS'!$A$1:$B$63,2,0),0)</f>
        <v>0</v>
      </c>
      <c r="BJ232" s="138">
        <f>IF('1.DATOS-PROD'!BS233="SI",VLOOKUP('1.DATOS-PROD'!BS$2,'1.PUNTOS'!$A$1:$B$63,2,0),0)</f>
        <v>0</v>
      </c>
      <c r="BK232" s="138">
        <f>IF('1.DATOS-PROD'!BT233="SI",VLOOKUP('1.DATOS-PROD'!BT$2,'1.PUNTOS'!$A$1:$B$63,2,0),0)</f>
        <v>0</v>
      </c>
    </row>
    <row r="233" spans="1:63" x14ac:dyDescent="0.25">
      <c r="A233">
        <f>'0.Consolidado general'!$A234</f>
        <v>0</v>
      </c>
      <c r="B233" s="138">
        <f>IF('1.DATOS-PROD'!K234="SI",VLOOKUP('1.DATOS-PROD'!K$2,'1.PUNTOS'!$A$1:$B$63,2,0),0)</f>
        <v>0</v>
      </c>
      <c r="C233" s="138">
        <f>IF('1.DATOS-PROD'!L234="SI",VLOOKUP('1.DATOS-PROD'!L$2,'1.PUNTOS'!$A$1:$B$63,2,0),0)</f>
        <v>0</v>
      </c>
      <c r="D233" s="138">
        <f>IF('1.DATOS-PROD'!M234="SI",VLOOKUP('1.DATOS-PROD'!M$2,'1.PUNTOS'!$A$1:$B$63,2,0),0)</f>
        <v>0</v>
      </c>
      <c r="E233" s="138">
        <f>IF('1.DATOS-PROD'!N234="SI",VLOOKUP('1.DATOS-PROD'!N$2,'1.PUNTOS'!$A$1:$B$63,2,0),0)</f>
        <v>0</v>
      </c>
      <c r="F233" s="138">
        <f>IF('1.DATOS-PROD'!O234="SI",VLOOKUP('1.DATOS-PROD'!O$2,'1.PUNTOS'!$A$1:$B$63,2,0),0)</f>
        <v>0</v>
      </c>
      <c r="G233" s="138">
        <f>IF('1.DATOS-PROD'!P234="SI",VLOOKUP('1.DATOS-PROD'!P$2,'1.PUNTOS'!$A$1:$B$63,2,0),0)</f>
        <v>0</v>
      </c>
      <c r="H233" s="138">
        <f>IF('1.DATOS-PROD'!Q234="SI",VLOOKUP('1.DATOS-PROD'!Q$2,'1.PUNTOS'!$A$1:$B$63,2,0),0)</f>
        <v>0</v>
      </c>
      <c r="I233" s="138">
        <f>IF('1.DATOS-PROD'!R234="SI",VLOOKUP('1.DATOS-PROD'!R$2,'1.PUNTOS'!$A$1:$B$63,2,0),0)</f>
        <v>0</v>
      </c>
      <c r="J233" s="138">
        <f>IF('1.DATOS-PROD'!S234="SI",VLOOKUP('1.DATOS-PROD'!S$2,'1.PUNTOS'!$A$1:$B$63,2,0),0)</f>
        <v>0</v>
      </c>
      <c r="K233" s="138">
        <f>IF('1.DATOS-PROD'!T234="SI",VLOOKUP('1.DATOS-PROD'!T$2,'1.PUNTOS'!$A$1:$B$63,2,0),0)</f>
        <v>0</v>
      </c>
      <c r="L233" s="138">
        <f>IF('1.DATOS-PROD'!U234="SI",VLOOKUP('1.DATOS-PROD'!U$2,'1.PUNTOS'!$A$1:$B$63,2,0),0)</f>
        <v>0</v>
      </c>
      <c r="M233" s="138">
        <f>IF('1.DATOS-PROD'!V234="SI",VLOOKUP('1.DATOS-PROD'!V$2,'1.PUNTOS'!$A$1:$B$63,2,0),0)</f>
        <v>0</v>
      </c>
      <c r="N233" s="138">
        <f>IF('1.DATOS-PROD'!W234="SI",VLOOKUP('1.DATOS-PROD'!W$2,'1.PUNTOS'!$A$1:$B$63,2,0),0)</f>
        <v>0</v>
      </c>
      <c r="O233" s="138">
        <f>IF('1.DATOS-PROD'!X234="SI",VLOOKUP('1.DATOS-PROD'!X$2,'1.PUNTOS'!$A$1:$B$63,2,0),0)</f>
        <v>0</v>
      </c>
      <c r="P233" s="138">
        <f>IF('1.DATOS-PROD'!Y234="SI",VLOOKUP('1.DATOS-PROD'!Y$2,'1.PUNTOS'!$A$1:$B$63,2,0),0)</f>
        <v>0</v>
      </c>
      <c r="Q233" s="138">
        <f>IF('1.DATOS-PROD'!Z234="SI",VLOOKUP('1.DATOS-PROD'!Z$2,'1.PUNTOS'!$A$1:$B$63,2,0),0)</f>
        <v>0</v>
      </c>
      <c r="R233" s="138">
        <f>IF('1.DATOS-PROD'!AA234="SI",VLOOKUP('1.DATOS-PROD'!AA$2,'1.PUNTOS'!$A$1:$B$63,2,0),0)</f>
        <v>0</v>
      </c>
      <c r="S233" s="138">
        <f>IF('1.DATOS-PROD'!AB234="SI",VLOOKUP('1.DATOS-PROD'!AB$2,'1.PUNTOS'!$A$1:$B$63,2,0),0)</f>
        <v>0</v>
      </c>
      <c r="T233" s="138">
        <f>IF('1.DATOS-PROD'!AC234="SI",VLOOKUP('1.DATOS-PROD'!AC$2,'1.PUNTOS'!$A$1:$B$63,2,0),0)</f>
        <v>0</v>
      </c>
      <c r="U233" s="138">
        <f>IF('1.DATOS-PROD'!AD234="SI",VLOOKUP('1.DATOS-PROD'!AD$2,'1.PUNTOS'!$A$1:$B$63,2,0),0)</f>
        <v>0</v>
      </c>
      <c r="V233" s="138">
        <f>IF('1.DATOS-PROD'!AE234="SI",VLOOKUP('1.DATOS-PROD'!AE$2,'1.PUNTOS'!$A$1:$B$63,2,0),0)</f>
        <v>0</v>
      </c>
      <c r="W233" s="138">
        <f>IF('1.DATOS-PROD'!AF234="SI",VLOOKUP('1.DATOS-PROD'!AF$2,'1.PUNTOS'!$A$1:$B$63,2,0),0)</f>
        <v>0</v>
      </c>
      <c r="X233" s="138">
        <f>IF('1.DATOS-PROD'!AG234="SI",VLOOKUP('1.DATOS-PROD'!AG$2,'1.PUNTOS'!$A$1:$B$63,2,0),0)</f>
        <v>0</v>
      </c>
      <c r="Y233" s="138">
        <f>IF('1.DATOS-PROD'!AH234="SI",VLOOKUP('1.DATOS-PROD'!AH$2,'1.PUNTOS'!$A$1:$B$63,2,0),0)</f>
        <v>0</v>
      </c>
      <c r="Z233" s="138">
        <f>IF('1.DATOS-PROD'!AI234="SI",VLOOKUP('1.DATOS-PROD'!AI$2,'1.PUNTOS'!$A$1:$B$63,2,0),0)</f>
        <v>0</v>
      </c>
      <c r="AA233" s="138">
        <f>IF('1.DATOS-PROD'!AJ234="SI",VLOOKUP('1.DATOS-PROD'!AJ$2,'1.PUNTOS'!$A$1:$B$63,2,0),0)</f>
        <v>0</v>
      </c>
      <c r="AB233" s="138">
        <f>IF('1.DATOS-PROD'!AK234="SI",VLOOKUP('1.DATOS-PROD'!AK$2,'1.PUNTOS'!$A$1:$B$63,2,0),0)</f>
        <v>0</v>
      </c>
      <c r="AC233" s="138">
        <f>IF('1.DATOS-PROD'!AL234="SI",VLOOKUP('1.DATOS-PROD'!AL$2,'1.PUNTOS'!$A$1:$B$63,2,0),0)</f>
        <v>0</v>
      </c>
      <c r="AD233" s="138">
        <f>IF('1.DATOS-PROD'!AM234="SI",VLOOKUP('1.DATOS-PROD'!AM$2,'1.PUNTOS'!$A$1:$B$63,2,0),0)</f>
        <v>0</v>
      </c>
      <c r="AE233" s="138">
        <f>IF('1.DATOS-PROD'!AN234="SI",VLOOKUP('1.DATOS-PROD'!AN$2,'1.PUNTOS'!$A$1:$B$63,2,0),0)</f>
        <v>0</v>
      </c>
      <c r="AF233" s="138">
        <f>IF('1.DATOS-PROD'!AO234="SI",VLOOKUP('1.DATOS-PROD'!AO$2,'1.PUNTOS'!$A$1:$B$63,2,0),0)</f>
        <v>0</v>
      </c>
      <c r="AG233" s="138">
        <f>IF('1.DATOS-PROD'!AP234="SI",VLOOKUP('1.DATOS-PROD'!AP$2,'1.PUNTOS'!$A$1:$B$63,2,0),0)</f>
        <v>0</v>
      </c>
      <c r="AH233" s="138">
        <f>IF('1.DATOS-PROD'!AQ234="SI",VLOOKUP('1.DATOS-PROD'!AQ$2,'1.PUNTOS'!$A$1:$B$63,2,0),0)</f>
        <v>0</v>
      </c>
      <c r="AI233" s="138">
        <f>IF('1.DATOS-PROD'!AR234="SI",VLOOKUP('1.DATOS-PROD'!AR$2,'1.PUNTOS'!$A$1:$B$63,2,0),0)</f>
        <v>0</v>
      </c>
      <c r="AJ233" s="138">
        <f>IF('1.DATOS-PROD'!AS234="SI",VLOOKUP('1.DATOS-PROD'!AS$2,'1.PUNTOS'!$A$1:$B$63,2,0),0)</f>
        <v>0</v>
      </c>
      <c r="AK233" s="138">
        <f>IF('1.DATOS-PROD'!AT234="SI",VLOOKUP('1.DATOS-PROD'!AT$2,'1.PUNTOS'!$A$1:$B$63,2,0),0)</f>
        <v>0</v>
      </c>
      <c r="AL233" s="138">
        <f>IF('1.DATOS-PROD'!AU234="SI",VLOOKUP('1.DATOS-PROD'!AU$2,'1.PUNTOS'!$A$1:$B$63,2,0),0)</f>
        <v>0</v>
      </c>
      <c r="AM233" s="138">
        <f>IF('1.DATOS-PROD'!AV234="SI",VLOOKUP('1.DATOS-PROD'!AV$2,'1.PUNTOS'!$A$1:$B$63,2,0),0)</f>
        <v>0</v>
      </c>
      <c r="AN233" s="138">
        <f>IF('1.DATOS-PROD'!AW234="SI",VLOOKUP('1.DATOS-PROD'!AW$2,'1.PUNTOS'!$A$1:$B$63,2,0),0)</f>
        <v>0</v>
      </c>
      <c r="AO233" s="138">
        <f>IF('1.DATOS-PROD'!AX234="SI",VLOOKUP('1.DATOS-PROD'!AX$2,'1.PUNTOS'!$A$1:$B$63,2,0),0)</f>
        <v>0</v>
      </c>
      <c r="AP233" s="138">
        <f>IF('1.DATOS-PROD'!AY234="SI",VLOOKUP('1.DATOS-PROD'!AY$2,'1.PUNTOS'!$A$1:$B$63,2,0),0)</f>
        <v>0</v>
      </c>
      <c r="AQ233" s="138">
        <f>IF('1.DATOS-PROD'!AZ234="SI",VLOOKUP('1.DATOS-PROD'!AZ$2,'1.PUNTOS'!$A$1:$B$63,2,0),0)</f>
        <v>0</v>
      </c>
      <c r="AR233" s="138">
        <f>IF('1.DATOS-PROD'!BA234="SI",VLOOKUP('1.DATOS-PROD'!BA$2,'1.PUNTOS'!$A$1:$B$63,2,0),0)</f>
        <v>0</v>
      </c>
      <c r="AS233" s="138">
        <f>IF('1.DATOS-PROD'!BB234="SI",VLOOKUP('1.DATOS-PROD'!BB$2,'1.PUNTOS'!$A$1:$B$63,2,0),0)</f>
        <v>0</v>
      </c>
      <c r="AT233" s="138">
        <f>IF('1.DATOS-PROD'!BC234="SI",VLOOKUP('1.DATOS-PROD'!BC$2,'1.PUNTOS'!$A$1:$B$63,2,0),0)</f>
        <v>0</v>
      </c>
      <c r="AU233" s="138">
        <f>IF('1.DATOS-PROD'!BD234="SI",VLOOKUP('1.DATOS-PROD'!BD$2,'1.PUNTOS'!$A$1:$B$63,2,0),0)</f>
        <v>0</v>
      </c>
      <c r="AV233" s="138">
        <f>IF('1.DATOS-PROD'!BE234="SI",VLOOKUP('1.DATOS-PROD'!BE$2,'1.PUNTOS'!$A$1:$B$63,2,0),0)</f>
        <v>0</v>
      </c>
      <c r="AW233" s="138">
        <f>IF('1.DATOS-PROD'!BF234="SI",VLOOKUP('1.DATOS-PROD'!BF$2,'1.PUNTOS'!$A$1:$B$63,2,0),0)</f>
        <v>0</v>
      </c>
      <c r="AX233" s="138">
        <f>IF('1.DATOS-PROD'!BG234="SI",VLOOKUP('1.DATOS-PROD'!BG$2,'1.PUNTOS'!$A$1:$B$63,2,0),0)</f>
        <v>0</v>
      </c>
      <c r="AY233" s="138">
        <f>IF('1.DATOS-PROD'!BH234="SI",VLOOKUP('1.DATOS-PROD'!BH$2,'1.PUNTOS'!$A$1:$B$63,2,0),0)</f>
        <v>0</v>
      </c>
      <c r="AZ233" s="138">
        <f>IF('1.DATOS-PROD'!BI234="SI",VLOOKUP('1.DATOS-PROD'!BI$2,'1.PUNTOS'!$A$1:$B$63,2,0),0)</f>
        <v>0</v>
      </c>
      <c r="BA233" s="138">
        <f>IF('1.DATOS-PROD'!BJ234="SI",VLOOKUP('1.DATOS-PROD'!BJ$2,'1.PUNTOS'!$A$1:$B$63,2,0),0)</f>
        <v>0</v>
      </c>
      <c r="BB233" s="138">
        <f>IF('1.DATOS-PROD'!BK234="SI",VLOOKUP('1.DATOS-PROD'!BK$2,'1.PUNTOS'!$A$1:$B$63,2,0),0)</f>
        <v>0</v>
      </c>
      <c r="BC233" s="138">
        <f>IF('1.DATOS-PROD'!BL234="SI",VLOOKUP('1.DATOS-PROD'!BL$2,'1.PUNTOS'!$A$1:$B$63,2,0),0)</f>
        <v>0</v>
      </c>
      <c r="BD233" s="138">
        <f>IF('1.DATOS-PROD'!BM234="SI",VLOOKUP('1.DATOS-PROD'!BM$2,'1.PUNTOS'!$A$1:$B$63,2,0),0)</f>
        <v>0</v>
      </c>
      <c r="BE233" s="138">
        <f>IF('1.DATOS-PROD'!BN234="SI",VLOOKUP('1.DATOS-PROD'!BN$2,'1.PUNTOS'!$A$1:$B$63,2,0),0)</f>
        <v>0</v>
      </c>
      <c r="BF233" s="138">
        <f>IF('1.DATOS-PROD'!BO234="SI",VLOOKUP('1.DATOS-PROD'!BO$2,'1.PUNTOS'!$A$1:$B$63,2,0),0)</f>
        <v>0</v>
      </c>
      <c r="BG233" s="138">
        <f>IF('1.DATOS-PROD'!BP234="SI",VLOOKUP('1.DATOS-PROD'!BP$2,'1.PUNTOS'!$A$1:$B$63,2,0),0)</f>
        <v>0</v>
      </c>
      <c r="BH233" s="138">
        <f>IF('1.DATOS-PROD'!BQ234="SI",VLOOKUP('1.DATOS-PROD'!BQ$2,'1.PUNTOS'!$A$1:$B$63,2,0),0)</f>
        <v>0</v>
      </c>
      <c r="BI233" s="138">
        <f>IF('1.DATOS-PROD'!BR234="SI",VLOOKUP('1.DATOS-PROD'!BR$2,'1.PUNTOS'!$A$1:$B$63,2,0),0)</f>
        <v>0</v>
      </c>
      <c r="BJ233" s="138">
        <f>IF('1.DATOS-PROD'!BS234="SI",VLOOKUP('1.DATOS-PROD'!BS$2,'1.PUNTOS'!$A$1:$B$63,2,0),0)</f>
        <v>0</v>
      </c>
      <c r="BK233" s="138">
        <f>IF('1.DATOS-PROD'!BT234="SI",VLOOKUP('1.DATOS-PROD'!BT$2,'1.PUNTOS'!$A$1:$B$63,2,0),0)</f>
        <v>0</v>
      </c>
    </row>
    <row r="234" spans="1:63" x14ac:dyDescent="0.25">
      <c r="A234">
        <f>'0.Consolidado general'!$A235</f>
        <v>0</v>
      </c>
      <c r="B234" s="138">
        <f>IF('1.DATOS-PROD'!K235="SI",VLOOKUP('1.DATOS-PROD'!K$2,'1.PUNTOS'!$A$1:$B$63,2,0),0)</f>
        <v>0</v>
      </c>
      <c r="C234" s="138">
        <f>IF('1.DATOS-PROD'!L235="SI",VLOOKUP('1.DATOS-PROD'!L$2,'1.PUNTOS'!$A$1:$B$63,2,0),0)</f>
        <v>0</v>
      </c>
      <c r="D234" s="138">
        <f>IF('1.DATOS-PROD'!M235="SI",VLOOKUP('1.DATOS-PROD'!M$2,'1.PUNTOS'!$A$1:$B$63,2,0),0)</f>
        <v>0</v>
      </c>
      <c r="E234" s="138">
        <f>IF('1.DATOS-PROD'!N235="SI",VLOOKUP('1.DATOS-PROD'!N$2,'1.PUNTOS'!$A$1:$B$63,2,0),0)</f>
        <v>0</v>
      </c>
      <c r="F234" s="138">
        <f>IF('1.DATOS-PROD'!O235="SI",VLOOKUP('1.DATOS-PROD'!O$2,'1.PUNTOS'!$A$1:$B$63,2,0),0)</f>
        <v>0</v>
      </c>
      <c r="G234" s="138">
        <f>IF('1.DATOS-PROD'!P235="SI",VLOOKUP('1.DATOS-PROD'!P$2,'1.PUNTOS'!$A$1:$B$63,2,0),0)</f>
        <v>0</v>
      </c>
      <c r="H234" s="138">
        <f>IF('1.DATOS-PROD'!Q235="SI",VLOOKUP('1.DATOS-PROD'!Q$2,'1.PUNTOS'!$A$1:$B$63,2,0),0)</f>
        <v>0</v>
      </c>
      <c r="I234" s="138">
        <f>IF('1.DATOS-PROD'!R235="SI",VLOOKUP('1.DATOS-PROD'!R$2,'1.PUNTOS'!$A$1:$B$63,2,0),0)</f>
        <v>0</v>
      </c>
      <c r="J234" s="138">
        <f>IF('1.DATOS-PROD'!S235="SI",VLOOKUP('1.DATOS-PROD'!S$2,'1.PUNTOS'!$A$1:$B$63,2,0),0)</f>
        <v>0</v>
      </c>
      <c r="K234" s="138">
        <f>IF('1.DATOS-PROD'!T235="SI",VLOOKUP('1.DATOS-PROD'!T$2,'1.PUNTOS'!$A$1:$B$63,2,0),0)</f>
        <v>0</v>
      </c>
      <c r="L234" s="138">
        <f>IF('1.DATOS-PROD'!U235="SI",VLOOKUP('1.DATOS-PROD'!U$2,'1.PUNTOS'!$A$1:$B$63,2,0),0)</f>
        <v>0</v>
      </c>
      <c r="M234" s="138">
        <f>IF('1.DATOS-PROD'!V235="SI",VLOOKUP('1.DATOS-PROD'!V$2,'1.PUNTOS'!$A$1:$B$63,2,0),0)</f>
        <v>0</v>
      </c>
      <c r="N234" s="138">
        <f>IF('1.DATOS-PROD'!W235="SI",VLOOKUP('1.DATOS-PROD'!W$2,'1.PUNTOS'!$A$1:$B$63,2,0),0)</f>
        <v>0</v>
      </c>
      <c r="O234" s="138">
        <f>IF('1.DATOS-PROD'!X235="SI",VLOOKUP('1.DATOS-PROD'!X$2,'1.PUNTOS'!$A$1:$B$63,2,0),0)</f>
        <v>0</v>
      </c>
      <c r="P234" s="138">
        <f>IF('1.DATOS-PROD'!Y235="SI",VLOOKUP('1.DATOS-PROD'!Y$2,'1.PUNTOS'!$A$1:$B$63,2,0),0)</f>
        <v>0</v>
      </c>
      <c r="Q234" s="138">
        <f>IF('1.DATOS-PROD'!Z235="SI",VLOOKUP('1.DATOS-PROD'!Z$2,'1.PUNTOS'!$A$1:$B$63,2,0),0)</f>
        <v>0</v>
      </c>
      <c r="R234" s="138">
        <f>IF('1.DATOS-PROD'!AA235="SI",VLOOKUP('1.DATOS-PROD'!AA$2,'1.PUNTOS'!$A$1:$B$63,2,0),0)</f>
        <v>0</v>
      </c>
      <c r="S234" s="138">
        <f>IF('1.DATOS-PROD'!AB235="SI",VLOOKUP('1.DATOS-PROD'!AB$2,'1.PUNTOS'!$A$1:$B$63,2,0),0)</f>
        <v>0</v>
      </c>
      <c r="T234" s="138">
        <f>IF('1.DATOS-PROD'!AC235="SI",VLOOKUP('1.DATOS-PROD'!AC$2,'1.PUNTOS'!$A$1:$B$63,2,0),0)</f>
        <v>0</v>
      </c>
      <c r="U234" s="138">
        <f>IF('1.DATOS-PROD'!AD235="SI",VLOOKUP('1.DATOS-PROD'!AD$2,'1.PUNTOS'!$A$1:$B$63,2,0),0)</f>
        <v>0</v>
      </c>
      <c r="V234" s="138">
        <f>IF('1.DATOS-PROD'!AE235="SI",VLOOKUP('1.DATOS-PROD'!AE$2,'1.PUNTOS'!$A$1:$B$63,2,0),0)</f>
        <v>0</v>
      </c>
      <c r="W234" s="138">
        <f>IF('1.DATOS-PROD'!AF235="SI",VLOOKUP('1.DATOS-PROD'!AF$2,'1.PUNTOS'!$A$1:$B$63,2,0),0)</f>
        <v>0</v>
      </c>
      <c r="X234" s="138">
        <f>IF('1.DATOS-PROD'!AG235="SI",VLOOKUP('1.DATOS-PROD'!AG$2,'1.PUNTOS'!$A$1:$B$63,2,0),0)</f>
        <v>0</v>
      </c>
      <c r="Y234" s="138">
        <f>IF('1.DATOS-PROD'!AH235="SI",VLOOKUP('1.DATOS-PROD'!AH$2,'1.PUNTOS'!$A$1:$B$63,2,0),0)</f>
        <v>0</v>
      </c>
      <c r="Z234" s="138">
        <f>IF('1.DATOS-PROD'!AI235="SI",VLOOKUP('1.DATOS-PROD'!AI$2,'1.PUNTOS'!$A$1:$B$63,2,0),0)</f>
        <v>0</v>
      </c>
      <c r="AA234" s="138">
        <f>IF('1.DATOS-PROD'!AJ235="SI",VLOOKUP('1.DATOS-PROD'!AJ$2,'1.PUNTOS'!$A$1:$B$63,2,0),0)</f>
        <v>0</v>
      </c>
      <c r="AB234" s="138">
        <f>IF('1.DATOS-PROD'!AK235="SI",VLOOKUP('1.DATOS-PROD'!AK$2,'1.PUNTOS'!$A$1:$B$63,2,0),0)</f>
        <v>0</v>
      </c>
      <c r="AC234" s="138">
        <f>IF('1.DATOS-PROD'!AL235="SI",VLOOKUP('1.DATOS-PROD'!AL$2,'1.PUNTOS'!$A$1:$B$63,2,0),0)</f>
        <v>0</v>
      </c>
      <c r="AD234" s="138">
        <f>IF('1.DATOS-PROD'!AM235="SI",VLOOKUP('1.DATOS-PROD'!AM$2,'1.PUNTOS'!$A$1:$B$63,2,0),0)</f>
        <v>0</v>
      </c>
      <c r="AE234" s="138">
        <f>IF('1.DATOS-PROD'!AN235="SI",VLOOKUP('1.DATOS-PROD'!AN$2,'1.PUNTOS'!$A$1:$B$63,2,0),0)</f>
        <v>0</v>
      </c>
      <c r="AF234" s="138">
        <f>IF('1.DATOS-PROD'!AO235="SI",VLOOKUP('1.DATOS-PROD'!AO$2,'1.PUNTOS'!$A$1:$B$63,2,0),0)</f>
        <v>0</v>
      </c>
      <c r="AG234" s="138">
        <f>IF('1.DATOS-PROD'!AP235="SI",VLOOKUP('1.DATOS-PROD'!AP$2,'1.PUNTOS'!$A$1:$B$63,2,0),0)</f>
        <v>0</v>
      </c>
      <c r="AH234" s="138">
        <f>IF('1.DATOS-PROD'!AQ235="SI",VLOOKUP('1.DATOS-PROD'!AQ$2,'1.PUNTOS'!$A$1:$B$63,2,0),0)</f>
        <v>0</v>
      </c>
      <c r="AI234" s="138">
        <f>IF('1.DATOS-PROD'!AR235="SI",VLOOKUP('1.DATOS-PROD'!AR$2,'1.PUNTOS'!$A$1:$B$63,2,0),0)</f>
        <v>0</v>
      </c>
      <c r="AJ234" s="138">
        <f>IF('1.DATOS-PROD'!AS235="SI",VLOOKUP('1.DATOS-PROD'!AS$2,'1.PUNTOS'!$A$1:$B$63,2,0),0)</f>
        <v>0</v>
      </c>
      <c r="AK234" s="138">
        <f>IF('1.DATOS-PROD'!AT235="SI",VLOOKUP('1.DATOS-PROD'!AT$2,'1.PUNTOS'!$A$1:$B$63,2,0),0)</f>
        <v>0</v>
      </c>
      <c r="AL234" s="138">
        <f>IF('1.DATOS-PROD'!AU235="SI",VLOOKUP('1.DATOS-PROD'!AU$2,'1.PUNTOS'!$A$1:$B$63,2,0),0)</f>
        <v>0</v>
      </c>
      <c r="AM234" s="138">
        <f>IF('1.DATOS-PROD'!AV235="SI",VLOOKUP('1.DATOS-PROD'!AV$2,'1.PUNTOS'!$A$1:$B$63,2,0),0)</f>
        <v>0</v>
      </c>
      <c r="AN234" s="138">
        <f>IF('1.DATOS-PROD'!AW235="SI",VLOOKUP('1.DATOS-PROD'!AW$2,'1.PUNTOS'!$A$1:$B$63,2,0),0)</f>
        <v>0</v>
      </c>
      <c r="AO234" s="138">
        <f>IF('1.DATOS-PROD'!AX235="SI",VLOOKUP('1.DATOS-PROD'!AX$2,'1.PUNTOS'!$A$1:$B$63,2,0),0)</f>
        <v>0</v>
      </c>
      <c r="AP234" s="138">
        <f>IF('1.DATOS-PROD'!AY235="SI",VLOOKUP('1.DATOS-PROD'!AY$2,'1.PUNTOS'!$A$1:$B$63,2,0),0)</f>
        <v>0</v>
      </c>
      <c r="AQ234" s="138">
        <f>IF('1.DATOS-PROD'!AZ235="SI",VLOOKUP('1.DATOS-PROD'!AZ$2,'1.PUNTOS'!$A$1:$B$63,2,0),0)</f>
        <v>0</v>
      </c>
      <c r="AR234" s="138">
        <f>IF('1.DATOS-PROD'!BA235="SI",VLOOKUP('1.DATOS-PROD'!BA$2,'1.PUNTOS'!$A$1:$B$63,2,0),0)</f>
        <v>0</v>
      </c>
      <c r="AS234" s="138">
        <f>IF('1.DATOS-PROD'!BB235="SI",VLOOKUP('1.DATOS-PROD'!BB$2,'1.PUNTOS'!$A$1:$B$63,2,0),0)</f>
        <v>0</v>
      </c>
      <c r="AT234" s="138">
        <f>IF('1.DATOS-PROD'!BC235="SI",VLOOKUP('1.DATOS-PROD'!BC$2,'1.PUNTOS'!$A$1:$B$63,2,0),0)</f>
        <v>0</v>
      </c>
      <c r="AU234" s="138">
        <f>IF('1.DATOS-PROD'!BD235="SI",VLOOKUP('1.DATOS-PROD'!BD$2,'1.PUNTOS'!$A$1:$B$63,2,0),0)</f>
        <v>0</v>
      </c>
      <c r="AV234" s="138">
        <f>IF('1.DATOS-PROD'!BE235="SI",VLOOKUP('1.DATOS-PROD'!BE$2,'1.PUNTOS'!$A$1:$B$63,2,0),0)</f>
        <v>0</v>
      </c>
      <c r="AW234" s="138">
        <f>IF('1.DATOS-PROD'!BF235="SI",VLOOKUP('1.DATOS-PROD'!BF$2,'1.PUNTOS'!$A$1:$B$63,2,0),0)</f>
        <v>0</v>
      </c>
      <c r="AX234" s="138">
        <f>IF('1.DATOS-PROD'!BG235="SI",VLOOKUP('1.DATOS-PROD'!BG$2,'1.PUNTOS'!$A$1:$B$63,2,0),0)</f>
        <v>0</v>
      </c>
      <c r="AY234" s="138">
        <f>IF('1.DATOS-PROD'!BH235="SI",VLOOKUP('1.DATOS-PROD'!BH$2,'1.PUNTOS'!$A$1:$B$63,2,0),0)</f>
        <v>0</v>
      </c>
      <c r="AZ234" s="138">
        <f>IF('1.DATOS-PROD'!BI235="SI",VLOOKUP('1.DATOS-PROD'!BI$2,'1.PUNTOS'!$A$1:$B$63,2,0),0)</f>
        <v>0</v>
      </c>
      <c r="BA234" s="138">
        <f>IF('1.DATOS-PROD'!BJ235="SI",VLOOKUP('1.DATOS-PROD'!BJ$2,'1.PUNTOS'!$A$1:$B$63,2,0),0)</f>
        <v>0</v>
      </c>
      <c r="BB234" s="138">
        <f>IF('1.DATOS-PROD'!BK235="SI",VLOOKUP('1.DATOS-PROD'!BK$2,'1.PUNTOS'!$A$1:$B$63,2,0),0)</f>
        <v>0</v>
      </c>
      <c r="BC234" s="138">
        <f>IF('1.DATOS-PROD'!BL235="SI",VLOOKUP('1.DATOS-PROD'!BL$2,'1.PUNTOS'!$A$1:$B$63,2,0),0)</f>
        <v>0</v>
      </c>
      <c r="BD234" s="138">
        <f>IF('1.DATOS-PROD'!BM235="SI",VLOOKUP('1.DATOS-PROD'!BM$2,'1.PUNTOS'!$A$1:$B$63,2,0),0)</f>
        <v>0</v>
      </c>
      <c r="BE234" s="138">
        <f>IF('1.DATOS-PROD'!BN235="SI",VLOOKUP('1.DATOS-PROD'!BN$2,'1.PUNTOS'!$A$1:$B$63,2,0),0)</f>
        <v>0</v>
      </c>
      <c r="BF234" s="138">
        <f>IF('1.DATOS-PROD'!BO235="SI",VLOOKUP('1.DATOS-PROD'!BO$2,'1.PUNTOS'!$A$1:$B$63,2,0),0)</f>
        <v>0</v>
      </c>
      <c r="BG234" s="138">
        <f>IF('1.DATOS-PROD'!BP235="SI",VLOOKUP('1.DATOS-PROD'!BP$2,'1.PUNTOS'!$A$1:$B$63,2,0),0)</f>
        <v>0</v>
      </c>
      <c r="BH234" s="138">
        <f>IF('1.DATOS-PROD'!BQ235="SI",VLOOKUP('1.DATOS-PROD'!BQ$2,'1.PUNTOS'!$A$1:$B$63,2,0),0)</f>
        <v>0</v>
      </c>
      <c r="BI234" s="138">
        <f>IF('1.DATOS-PROD'!BR235="SI",VLOOKUP('1.DATOS-PROD'!BR$2,'1.PUNTOS'!$A$1:$B$63,2,0),0)</f>
        <v>0</v>
      </c>
      <c r="BJ234" s="138">
        <f>IF('1.DATOS-PROD'!BS235="SI",VLOOKUP('1.DATOS-PROD'!BS$2,'1.PUNTOS'!$A$1:$B$63,2,0),0)</f>
        <v>0</v>
      </c>
      <c r="BK234" s="138">
        <f>IF('1.DATOS-PROD'!BT235="SI",VLOOKUP('1.DATOS-PROD'!BT$2,'1.PUNTOS'!$A$1:$B$63,2,0),0)</f>
        <v>0</v>
      </c>
    </row>
    <row r="235" spans="1:63" x14ac:dyDescent="0.25">
      <c r="A235">
        <f>'0.Consolidado general'!$A236</f>
        <v>0</v>
      </c>
      <c r="B235" s="138">
        <f>IF('1.DATOS-PROD'!K236="SI",VLOOKUP('1.DATOS-PROD'!K$2,'1.PUNTOS'!$A$1:$B$63,2,0),0)</f>
        <v>0</v>
      </c>
      <c r="C235" s="138">
        <f>IF('1.DATOS-PROD'!L236="SI",VLOOKUP('1.DATOS-PROD'!L$2,'1.PUNTOS'!$A$1:$B$63,2,0),0)</f>
        <v>0</v>
      </c>
      <c r="D235" s="138">
        <f>IF('1.DATOS-PROD'!M236="SI",VLOOKUP('1.DATOS-PROD'!M$2,'1.PUNTOS'!$A$1:$B$63,2,0),0)</f>
        <v>0</v>
      </c>
      <c r="E235" s="138">
        <f>IF('1.DATOS-PROD'!N236="SI",VLOOKUP('1.DATOS-PROD'!N$2,'1.PUNTOS'!$A$1:$B$63,2,0),0)</f>
        <v>0</v>
      </c>
      <c r="F235" s="138">
        <f>IF('1.DATOS-PROD'!O236="SI",VLOOKUP('1.DATOS-PROD'!O$2,'1.PUNTOS'!$A$1:$B$63,2,0),0)</f>
        <v>0</v>
      </c>
      <c r="G235" s="138">
        <f>IF('1.DATOS-PROD'!P236="SI",VLOOKUP('1.DATOS-PROD'!P$2,'1.PUNTOS'!$A$1:$B$63,2,0),0)</f>
        <v>0</v>
      </c>
      <c r="H235" s="138">
        <f>IF('1.DATOS-PROD'!Q236="SI",VLOOKUP('1.DATOS-PROD'!Q$2,'1.PUNTOS'!$A$1:$B$63,2,0),0)</f>
        <v>0</v>
      </c>
      <c r="I235" s="138">
        <f>IF('1.DATOS-PROD'!R236="SI",VLOOKUP('1.DATOS-PROD'!R$2,'1.PUNTOS'!$A$1:$B$63,2,0),0)</f>
        <v>0</v>
      </c>
      <c r="J235" s="138">
        <f>IF('1.DATOS-PROD'!S236="SI",VLOOKUP('1.DATOS-PROD'!S$2,'1.PUNTOS'!$A$1:$B$63,2,0),0)</f>
        <v>0</v>
      </c>
      <c r="K235" s="138">
        <f>IF('1.DATOS-PROD'!T236="SI",VLOOKUP('1.DATOS-PROD'!T$2,'1.PUNTOS'!$A$1:$B$63,2,0),0)</f>
        <v>0</v>
      </c>
      <c r="L235" s="138">
        <f>IF('1.DATOS-PROD'!U236="SI",VLOOKUP('1.DATOS-PROD'!U$2,'1.PUNTOS'!$A$1:$B$63,2,0),0)</f>
        <v>0</v>
      </c>
      <c r="M235" s="138">
        <f>IF('1.DATOS-PROD'!V236="SI",VLOOKUP('1.DATOS-PROD'!V$2,'1.PUNTOS'!$A$1:$B$63,2,0),0)</f>
        <v>0</v>
      </c>
      <c r="N235" s="138">
        <f>IF('1.DATOS-PROD'!W236="SI",VLOOKUP('1.DATOS-PROD'!W$2,'1.PUNTOS'!$A$1:$B$63,2,0),0)</f>
        <v>0</v>
      </c>
      <c r="O235" s="138">
        <f>IF('1.DATOS-PROD'!X236="SI",VLOOKUP('1.DATOS-PROD'!X$2,'1.PUNTOS'!$A$1:$B$63,2,0),0)</f>
        <v>0</v>
      </c>
      <c r="P235" s="138">
        <f>IF('1.DATOS-PROD'!Y236="SI",VLOOKUP('1.DATOS-PROD'!Y$2,'1.PUNTOS'!$A$1:$B$63,2,0),0)</f>
        <v>0</v>
      </c>
      <c r="Q235" s="138">
        <f>IF('1.DATOS-PROD'!Z236="SI",VLOOKUP('1.DATOS-PROD'!Z$2,'1.PUNTOS'!$A$1:$B$63,2,0),0)</f>
        <v>0</v>
      </c>
      <c r="R235" s="138">
        <f>IF('1.DATOS-PROD'!AA236="SI",VLOOKUP('1.DATOS-PROD'!AA$2,'1.PUNTOS'!$A$1:$B$63,2,0),0)</f>
        <v>0</v>
      </c>
      <c r="S235" s="138">
        <f>IF('1.DATOS-PROD'!AB236="SI",VLOOKUP('1.DATOS-PROD'!AB$2,'1.PUNTOS'!$A$1:$B$63,2,0),0)</f>
        <v>0</v>
      </c>
      <c r="T235" s="138">
        <f>IF('1.DATOS-PROD'!AC236="SI",VLOOKUP('1.DATOS-PROD'!AC$2,'1.PUNTOS'!$A$1:$B$63,2,0),0)</f>
        <v>0</v>
      </c>
      <c r="U235" s="138">
        <f>IF('1.DATOS-PROD'!AD236="SI",VLOOKUP('1.DATOS-PROD'!AD$2,'1.PUNTOS'!$A$1:$B$63,2,0),0)</f>
        <v>0</v>
      </c>
      <c r="V235" s="138">
        <f>IF('1.DATOS-PROD'!AE236="SI",VLOOKUP('1.DATOS-PROD'!AE$2,'1.PUNTOS'!$A$1:$B$63,2,0),0)</f>
        <v>0</v>
      </c>
      <c r="W235" s="138">
        <f>IF('1.DATOS-PROD'!AF236="SI",VLOOKUP('1.DATOS-PROD'!AF$2,'1.PUNTOS'!$A$1:$B$63,2,0),0)</f>
        <v>0</v>
      </c>
      <c r="X235" s="138">
        <f>IF('1.DATOS-PROD'!AG236="SI",VLOOKUP('1.DATOS-PROD'!AG$2,'1.PUNTOS'!$A$1:$B$63,2,0),0)</f>
        <v>0</v>
      </c>
      <c r="Y235" s="138">
        <f>IF('1.DATOS-PROD'!AH236="SI",VLOOKUP('1.DATOS-PROD'!AH$2,'1.PUNTOS'!$A$1:$B$63,2,0),0)</f>
        <v>0</v>
      </c>
      <c r="Z235" s="138">
        <f>IF('1.DATOS-PROD'!AI236="SI",VLOOKUP('1.DATOS-PROD'!AI$2,'1.PUNTOS'!$A$1:$B$63,2,0),0)</f>
        <v>0</v>
      </c>
      <c r="AA235" s="138">
        <f>IF('1.DATOS-PROD'!AJ236="SI",VLOOKUP('1.DATOS-PROD'!AJ$2,'1.PUNTOS'!$A$1:$B$63,2,0),0)</f>
        <v>0</v>
      </c>
      <c r="AB235" s="138">
        <f>IF('1.DATOS-PROD'!AK236="SI",VLOOKUP('1.DATOS-PROD'!AK$2,'1.PUNTOS'!$A$1:$B$63,2,0),0)</f>
        <v>0</v>
      </c>
      <c r="AC235" s="138">
        <f>IF('1.DATOS-PROD'!AL236="SI",VLOOKUP('1.DATOS-PROD'!AL$2,'1.PUNTOS'!$A$1:$B$63,2,0),0)</f>
        <v>0</v>
      </c>
      <c r="AD235" s="138">
        <f>IF('1.DATOS-PROD'!AM236="SI",VLOOKUP('1.DATOS-PROD'!AM$2,'1.PUNTOS'!$A$1:$B$63,2,0),0)</f>
        <v>0</v>
      </c>
      <c r="AE235" s="138">
        <f>IF('1.DATOS-PROD'!AN236="SI",VLOOKUP('1.DATOS-PROD'!AN$2,'1.PUNTOS'!$A$1:$B$63,2,0),0)</f>
        <v>0</v>
      </c>
      <c r="AF235" s="138">
        <f>IF('1.DATOS-PROD'!AO236="SI",VLOOKUP('1.DATOS-PROD'!AO$2,'1.PUNTOS'!$A$1:$B$63,2,0),0)</f>
        <v>0</v>
      </c>
      <c r="AG235" s="138">
        <f>IF('1.DATOS-PROD'!AP236="SI",VLOOKUP('1.DATOS-PROD'!AP$2,'1.PUNTOS'!$A$1:$B$63,2,0),0)</f>
        <v>0</v>
      </c>
      <c r="AH235" s="138">
        <f>IF('1.DATOS-PROD'!AQ236="SI",VLOOKUP('1.DATOS-PROD'!AQ$2,'1.PUNTOS'!$A$1:$B$63,2,0),0)</f>
        <v>0</v>
      </c>
      <c r="AI235" s="138">
        <f>IF('1.DATOS-PROD'!AR236="SI",VLOOKUP('1.DATOS-PROD'!AR$2,'1.PUNTOS'!$A$1:$B$63,2,0),0)</f>
        <v>0</v>
      </c>
      <c r="AJ235" s="138">
        <f>IF('1.DATOS-PROD'!AS236="SI",VLOOKUP('1.DATOS-PROD'!AS$2,'1.PUNTOS'!$A$1:$B$63,2,0),0)</f>
        <v>0</v>
      </c>
      <c r="AK235" s="138">
        <f>IF('1.DATOS-PROD'!AT236="SI",VLOOKUP('1.DATOS-PROD'!AT$2,'1.PUNTOS'!$A$1:$B$63,2,0),0)</f>
        <v>0</v>
      </c>
      <c r="AL235" s="138">
        <f>IF('1.DATOS-PROD'!AU236="SI",VLOOKUP('1.DATOS-PROD'!AU$2,'1.PUNTOS'!$A$1:$B$63,2,0),0)</f>
        <v>0</v>
      </c>
      <c r="AM235" s="138">
        <f>IF('1.DATOS-PROD'!AV236="SI",VLOOKUP('1.DATOS-PROD'!AV$2,'1.PUNTOS'!$A$1:$B$63,2,0),0)</f>
        <v>0</v>
      </c>
      <c r="AN235" s="138">
        <f>IF('1.DATOS-PROD'!AW236="SI",VLOOKUP('1.DATOS-PROD'!AW$2,'1.PUNTOS'!$A$1:$B$63,2,0),0)</f>
        <v>0</v>
      </c>
      <c r="AO235" s="138">
        <f>IF('1.DATOS-PROD'!AX236="SI",VLOOKUP('1.DATOS-PROD'!AX$2,'1.PUNTOS'!$A$1:$B$63,2,0),0)</f>
        <v>0</v>
      </c>
      <c r="AP235" s="138">
        <f>IF('1.DATOS-PROD'!AY236="SI",VLOOKUP('1.DATOS-PROD'!AY$2,'1.PUNTOS'!$A$1:$B$63,2,0),0)</f>
        <v>0</v>
      </c>
      <c r="AQ235" s="138">
        <f>IF('1.DATOS-PROD'!AZ236="SI",VLOOKUP('1.DATOS-PROD'!AZ$2,'1.PUNTOS'!$A$1:$B$63,2,0),0)</f>
        <v>0</v>
      </c>
      <c r="AR235" s="138">
        <f>IF('1.DATOS-PROD'!BA236="SI",VLOOKUP('1.DATOS-PROD'!BA$2,'1.PUNTOS'!$A$1:$B$63,2,0),0)</f>
        <v>0</v>
      </c>
      <c r="AS235" s="138">
        <f>IF('1.DATOS-PROD'!BB236="SI",VLOOKUP('1.DATOS-PROD'!BB$2,'1.PUNTOS'!$A$1:$B$63,2,0),0)</f>
        <v>0</v>
      </c>
      <c r="AT235" s="138">
        <f>IF('1.DATOS-PROD'!BC236="SI",VLOOKUP('1.DATOS-PROD'!BC$2,'1.PUNTOS'!$A$1:$B$63,2,0),0)</f>
        <v>0</v>
      </c>
      <c r="AU235" s="138">
        <f>IF('1.DATOS-PROD'!BD236="SI",VLOOKUP('1.DATOS-PROD'!BD$2,'1.PUNTOS'!$A$1:$B$63,2,0),0)</f>
        <v>0</v>
      </c>
      <c r="AV235" s="138">
        <f>IF('1.DATOS-PROD'!BE236="SI",VLOOKUP('1.DATOS-PROD'!BE$2,'1.PUNTOS'!$A$1:$B$63,2,0),0)</f>
        <v>0</v>
      </c>
      <c r="AW235" s="138">
        <f>IF('1.DATOS-PROD'!BF236="SI",VLOOKUP('1.DATOS-PROD'!BF$2,'1.PUNTOS'!$A$1:$B$63,2,0),0)</f>
        <v>0</v>
      </c>
      <c r="AX235" s="138">
        <f>IF('1.DATOS-PROD'!BG236="SI",VLOOKUP('1.DATOS-PROD'!BG$2,'1.PUNTOS'!$A$1:$B$63,2,0),0)</f>
        <v>0</v>
      </c>
      <c r="AY235" s="138">
        <f>IF('1.DATOS-PROD'!BH236="SI",VLOOKUP('1.DATOS-PROD'!BH$2,'1.PUNTOS'!$A$1:$B$63,2,0),0)</f>
        <v>0</v>
      </c>
      <c r="AZ235" s="138">
        <f>IF('1.DATOS-PROD'!BI236="SI",VLOOKUP('1.DATOS-PROD'!BI$2,'1.PUNTOS'!$A$1:$B$63,2,0),0)</f>
        <v>0</v>
      </c>
      <c r="BA235" s="138">
        <f>IF('1.DATOS-PROD'!BJ236="SI",VLOOKUP('1.DATOS-PROD'!BJ$2,'1.PUNTOS'!$A$1:$B$63,2,0),0)</f>
        <v>0</v>
      </c>
      <c r="BB235" s="138">
        <f>IF('1.DATOS-PROD'!BK236="SI",VLOOKUP('1.DATOS-PROD'!BK$2,'1.PUNTOS'!$A$1:$B$63,2,0),0)</f>
        <v>0</v>
      </c>
      <c r="BC235" s="138">
        <f>IF('1.DATOS-PROD'!BL236="SI",VLOOKUP('1.DATOS-PROD'!BL$2,'1.PUNTOS'!$A$1:$B$63,2,0),0)</f>
        <v>0</v>
      </c>
      <c r="BD235" s="138">
        <f>IF('1.DATOS-PROD'!BM236="SI",VLOOKUP('1.DATOS-PROD'!BM$2,'1.PUNTOS'!$A$1:$B$63,2,0),0)</f>
        <v>0</v>
      </c>
      <c r="BE235" s="138">
        <f>IF('1.DATOS-PROD'!BN236="SI",VLOOKUP('1.DATOS-PROD'!BN$2,'1.PUNTOS'!$A$1:$B$63,2,0),0)</f>
        <v>0</v>
      </c>
      <c r="BF235" s="138">
        <f>IF('1.DATOS-PROD'!BO236="SI",VLOOKUP('1.DATOS-PROD'!BO$2,'1.PUNTOS'!$A$1:$B$63,2,0),0)</f>
        <v>0</v>
      </c>
      <c r="BG235" s="138">
        <f>IF('1.DATOS-PROD'!BP236="SI",VLOOKUP('1.DATOS-PROD'!BP$2,'1.PUNTOS'!$A$1:$B$63,2,0),0)</f>
        <v>0</v>
      </c>
      <c r="BH235" s="138">
        <f>IF('1.DATOS-PROD'!BQ236="SI",VLOOKUP('1.DATOS-PROD'!BQ$2,'1.PUNTOS'!$A$1:$B$63,2,0),0)</f>
        <v>0</v>
      </c>
      <c r="BI235" s="138">
        <f>IF('1.DATOS-PROD'!BR236="SI",VLOOKUP('1.DATOS-PROD'!BR$2,'1.PUNTOS'!$A$1:$B$63,2,0),0)</f>
        <v>0</v>
      </c>
      <c r="BJ235" s="138">
        <f>IF('1.DATOS-PROD'!BS236="SI",VLOOKUP('1.DATOS-PROD'!BS$2,'1.PUNTOS'!$A$1:$B$63,2,0),0)</f>
        <v>0</v>
      </c>
      <c r="BK235" s="138">
        <f>IF('1.DATOS-PROD'!BT236="SI",VLOOKUP('1.DATOS-PROD'!BT$2,'1.PUNTOS'!$A$1:$B$63,2,0),0)</f>
        <v>0</v>
      </c>
    </row>
    <row r="236" spans="1:63" x14ac:dyDescent="0.25">
      <c r="A236">
        <f>'0.Consolidado general'!$A237</f>
        <v>0</v>
      </c>
      <c r="B236" s="138">
        <f>IF('1.DATOS-PROD'!K237="SI",VLOOKUP('1.DATOS-PROD'!K$2,'1.PUNTOS'!$A$1:$B$63,2,0),0)</f>
        <v>0</v>
      </c>
      <c r="C236" s="138">
        <f>IF('1.DATOS-PROD'!L237="SI",VLOOKUP('1.DATOS-PROD'!L$2,'1.PUNTOS'!$A$1:$B$63,2,0),0)</f>
        <v>0</v>
      </c>
      <c r="D236" s="138">
        <f>IF('1.DATOS-PROD'!M237="SI",VLOOKUP('1.DATOS-PROD'!M$2,'1.PUNTOS'!$A$1:$B$63,2,0),0)</f>
        <v>0</v>
      </c>
      <c r="E236" s="138">
        <f>IF('1.DATOS-PROD'!N237="SI",VLOOKUP('1.DATOS-PROD'!N$2,'1.PUNTOS'!$A$1:$B$63,2,0),0)</f>
        <v>0</v>
      </c>
      <c r="F236" s="138">
        <f>IF('1.DATOS-PROD'!O237="SI",VLOOKUP('1.DATOS-PROD'!O$2,'1.PUNTOS'!$A$1:$B$63,2,0),0)</f>
        <v>0</v>
      </c>
      <c r="G236" s="138">
        <f>IF('1.DATOS-PROD'!P237="SI",VLOOKUP('1.DATOS-PROD'!P$2,'1.PUNTOS'!$A$1:$B$63,2,0),0)</f>
        <v>0</v>
      </c>
      <c r="H236" s="138">
        <f>IF('1.DATOS-PROD'!Q237="SI",VLOOKUP('1.DATOS-PROD'!Q$2,'1.PUNTOS'!$A$1:$B$63,2,0),0)</f>
        <v>0</v>
      </c>
      <c r="I236" s="138">
        <f>IF('1.DATOS-PROD'!R237="SI",VLOOKUP('1.DATOS-PROD'!R$2,'1.PUNTOS'!$A$1:$B$63,2,0),0)</f>
        <v>0</v>
      </c>
      <c r="J236" s="138">
        <f>IF('1.DATOS-PROD'!S237="SI",VLOOKUP('1.DATOS-PROD'!S$2,'1.PUNTOS'!$A$1:$B$63,2,0),0)</f>
        <v>0</v>
      </c>
      <c r="K236" s="138">
        <f>IF('1.DATOS-PROD'!T237="SI",VLOOKUP('1.DATOS-PROD'!T$2,'1.PUNTOS'!$A$1:$B$63,2,0),0)</f>
        <v>0</v>
      </c>
      <c r="L236" s="138">
        <f>IF('1.DATOS-PROD'!U237="SI",VLOOKUP('1.DATOS-PROD'!U$2,'1.PUNTOS'!$A$1:$B$63,2,0),0)</f>
        <v>0</v>
      </c>
      <c r="M236" s="138">
        <f>IF('1.DATOS-PROD'!V237="SI",VLOOKUP('1.DATOS-PROD'!V$2,'1.PUNTOS'!$A$1:$B$63,2,0),0)</f>
        <v>0</v>
      </c>
      <c r="N236" s="138">
        <f>IF('1.DATOS-PROD'!W237="SI",VLOOKUP('1.DATOS-PROD'!W$2,'1.PUNTOS'!$A$1:$B$63,2,0),0)</f>
        <v>0</v>
      </c>
      <c r="O236" s="138">
        <f>IF('1.DATOS-PROD'!X237="SI",VLOOKUP('1.DATOS-PROD'!X$2,'1.PUNTOS'!$A$1:$B$63,2,0),0)</f>
        <v>0</v>
      </c>
      <c r="P236" s="138">
        <f>IF('1.DATOS-PROD'!Y237="SI",VLOOKUP('1.DATOS-PROD'!Y$2,'1.PUNTOS'!$A$1:$B$63,2,0),0)</f>
        <v>0</v>
      </c>
      <c r="Q236" s="138">
        <f>IF('1.DATOS-PROD'!Z237="SI",VLOOKUP('1.DATOS-PROD'!Z$2,'1.PUNTOS'!$A$1:$B$63,2,0),0)</f>
        <v>0</v>
      </c>
      <c r="R236" s="138">
        <f>IF('1.DATOS-PROD'!AA237="SI",VLOOKUP('1.DATOS-PROD'!AA$2,'1.PUNTOS'!$A$1:$B$63,2,0),0)</f>
        <v>0</v>
      </c>
      <c r="S236" s="138">
        <f>IF('1.DATOS-PROD'!AB237="SI",VLOOKUP('1.DATOS-PROD'!AB$2,'1.PUNTOS'!$A$1:$B$63,2,0),0)</f>
        <v>0</v>
      </c>
      <c r="T236" s="138">
        <f>IF('1.DATOS-PROD'!AC237="SI",VLOOKUP('1.DATOS-PROD'!AC$2,'1.PUNTOS'!$A$1:$B$63,2,0),0)</f>
        <v>0</v>
      </c>
      <c r="U236" s="138">
        <f>IF('1.DATOS-PROD'!AD237="SI",VLOOKUP('1.DATOS-PROD'!AD$2,'1.PUNTOS'!$A$1:$B$63,2,0),0)</f>
        <v>0</v>
      </c>
      <c r="V236" s="138">
        <f>IF('1.DATOS-PROD'!AE237="SI",VLOOKUP('1.DATOS-PROD'!AE$2,'1.PUNTOS'!$A$1:$B$63,2,0),0)</f>
        <v>0</v>
      </c>
      <c r="W236" s="138">
        <f>IF('1.DATOS-PROD'!AF237="SI",VLOOKUP('1.DATOS-PROD'!AF$2,'1.PUNTOS'!$A$1:$B$63,2,0),0)</f>
        <v>0</v>
      </c>
      <c r="X236" s="138">
        <f>IF('1.DATOS-PROD'!AG237="SI",VLOOKUP('1.DATOS-PROD'!AG$2,'1.PUNTOS'!$A$1:$B$63,2,0),0)</f>
        <v>0</v>
      </c>
      <c r="Y236" s="138">
        <f>IF('1.DATOS-PROD'!AH237="SI",VLOOKUP('1.DATOS-PROD'!AH$2,'1.PUNTOS'!$A$1:$B$63,2,0),0)</f>
        <v>0</v>
      </c>
      <c r="Z236" s="138">
        <f>IF('1.DATOS-PROD'!AI237="SI",VLOOKUP('1.DATOS-PROD'!AI$2,'1.PUNTOS'!$A$1:$B$63,2,0),0)</f>
        <v>0</v>
      </c>
      <c r="AA236" s="138">
        <f>IF('1.DATOS-PROD'!AJ237="SI",VLOOKUP('1.DATOS-PROD'!AJ$2,'1.PUNTOS'!$A$1:$B$63,2,0),0)</f>
        <v>0</v>
      </c>
      <c r="AB236" s="138">
        <f>IF('1.DATOS-PROD'!AK237="SI",VLOOKUP('1.DATOS-PROD'!AK$2,'1.PUNTOS'!$A$1:$B$63,2,0),0)</f>
        <v>0</v>
      </c>
      <c r="AC236" s="138">
        <f>IF('1.DATOS-PROD'!AL237="SI",VLOOKUP('1.DATOS-PROD'!AL$2,'1.PUNTOS'!$A$1:$B$63,2,0),0)</f>
        <v>0</v>
      </c>
      <c r="AD236" s="138">
        <f>IF('1.DATOS-PROD'!AM237="SI",VLOOKUP('1.DATOS-PROD'!AM$2,'1.PUNTOS'!$A$1:$B$63,2,0),0)</f>
        <v>0</v>
      </c>
      <c r="AE236" s="138">
        <f>IF('1.DATOS-PROD'!AN237="SI",VLOOKUP('1.DATOS-PROD'!AN$2,'1.PUNTOS'!$A$1:$B$63,2,0),0)</f>
        <v>0</v>
      </c>
      <c r="AF236" s="138">
        <f>IF('1.DATOS-PROD'!AO237="SI",VLOOKUP('1.DATOS-PROD'!AO$2,'1.PUNTOS'!$A$1:$B$63,2,0),0)</f>
        <v>0</v>
      </c>
      <c r="AG236" s="138">
        <f>IF('1.DATOS-PROD'!AP237="SI",VLOOKUP('1.DATOS-PROD'!AP$2,'1.PUNTOS'!$A$1:$B$63,2,0),0)</f>
        <v>0</v>
      </c>
      <c r="AH236" s="138">
        <f>IF('1.DATOS-PROD'!AQ237="SI",VLOOKUP('1.DATOS-PROD'!AQ$2,'1.PUNTOS'!$A$1:$B$63,2,0),0)</f>
        <v>0</v>
      </c>
      <c r="AI236" s="138">
        <f>IF('1.DATOS-PROD'!AR237="SI",VLOOKUP('1.DATOS-PROD'!AR$2,'1.PUNTOS'!$A$1:$B$63,2,0),0)</f>
        <v>0</v>
      </c>
      <c r="AJ236" s="138">
        <f>IF('1.DATOS-PROD'!AS237="SI",VLOOKUP('1.DATOS-PROD'!AS$2,'1.PUNTOS'!$A$1:$B$63,2,0),0)</f>
        <v>0</v>
      </c>
      <c r="AK236" s="138">
        <f>IF('1.DATOS-PROD'!AT237="SI",VLOOKUP('1.DATOS-PROD'!AT$2,'1.PUNTOS'!$A$1:$B$63,2,0),0)</f>
        <v>0</v>
      </c>
      <c r="AL236" s="138">
        <f>IF('1.DATOS-PROD'!AU237="SI",VLOOKUP('1.DATOS-PROD'!AU$2,'1.PUNTOS'!$A$1:$B$63,2,0),0)</f>
        <v>0</v>
      </c>
      <c r="AM236" s="138">
        <f>IF('1.DATOS-PROD'!AV237="SI",VLOOKUP('1.DATOS-PROD'!AV$2,'1.PUNTOS'!$A$1:$B$63,2,0),0)</f>
        <v>0</v>
      </c>
      <c r="AN236" s="138">
        <f>IF('1.DATOS-PROD'!AW237="SI",VLOOKUP('1.DATOS-PROD'!AW$2,'1.PUNTOS'!$A$1:$B$63,2,0),0)</f>
        <v>0</v>
      </c>
      <c r="AO236" s="138">
        <f>IF('1.DATOS-PROD'!AX237="SI",VLOOKUP('1.DATOS-PROD'!AX$2,'1.PUNTOS'!$A$1:$B$63,2,0),0)</f>
        <v>0</v>
      </c>
      <c r="AP236" s="138">
        <f>IF('1.DATOS-PROD'!AY237="SI",VLOOKUP('1.DATOS-PROD'!AY$2,'1.PUNTOS'!$A$1:$B$63,2,0),0)</f>
        <v>0</v>
      </c>
      <c r="AQ236" s="138">
        <f>IF('1.DATOS-PROD'!AZ237="SI",VLOOKUP('1.DATOS-PROD'!AZ$2,'1.PUNTOS'!$A$1:$B$63,2,0),0)</f>
        <v>0</v>
      </c>
      <c r="AR236" s="138">
        <f>IF('1.DATOS-PROD'!BA237="SI",VLOOKUP('1.DATOS-PROD'!BA$2,'1.PUNTOS'!$A$1:$B$63,2,0),0)</f>
        <v>0</v>
      </c>
      <c r="AS236" s="138">
        <f>IF('1.DATOS-PROD'!BB237="SI",VLOOKUP('1.DATOS-PROD'!BB$2,'1.PUNTOS'!$A$1:$B$63,2,0),0)</f>
        <v>0</v>
      </c>
      <c r="AT236" s="138">
        <f>IF('1.DATOS-PROD'!BC237="SI",VLOOKUP('1.DATOS-PROD'!BC$2,'1.PUNTOS'!$A$1:$B$63,2,0),0)</f>
        <v>0</v>
      </c>
      <c r="AU236" s="138">
        <f>IF('1.DATOS-PROD'!BD237="SI",VLOOKUP('1.DATOS-PROD'!BD$2,'1.PUNTOS'!$A$1:$B$63,2,0),0)</f>
        <v>0</v>
      </c>
      <c r="AV236" s="138">
        <f>IF('1.DATOS-PROD'!BE237="SI",VLOOKUP('1.DATOS-PROD'!BE$2,'1.PUNTOS'!$A$1:$B$63,2,0),0)</f>
        <v>0</v>
      </c>
      <c r="AW236" s="138">
        <f>IF('1.DATOS-PROD'!BF237="SI",VLOOKUP('1.DATOS-PROD'!BF$2,'1.PUNTOS'!$A$1:$B$63,2,0),0)</f>
        <v>0</v>
      </c>
      <c r="AX236" s="138">
        <f>IF('1.DATOS-PROD'!BG237="SI",VLOOKUP('1.DATOS-PROD'!BG$2,'1.PUNTOS'!$A$1:$B$63,2,0),0)</f>
        <v>0</v>
      </c>
      <c r="AY236" s="138">
        <f>IF('1.DATOS-PROD'!BH237="SI",VLOOKUP('1.DATOS-PROD'!BH$2,'1.PUNTOS'!$A$1:$B$63,2,0),0)</f>
        <v>0</v>
      </c>
      <c r="AZ236" s="138">
        <f>IF('1.DATOS-PROD'!BI237="SI",VLOOKUP('1.DATOS-PROD'!BI$2,'1.PUNTOS'!$A$1:$B$63,2,0),0)</f>
        <v>0</v>
      </c>
      <c r="BA236" s="138">
        <f>IF('1.DATOS-PROD'!BJ237="SI",VLOOKUP('1.DATOS-PROD'!BJ$2,'1.PUNTOS'!$A$1:$B$63,2,0),0)</f>
        <v>0</v>
      </c>
      <c r="BB236" s="138">
        <f>IF('1.DATOS-PROD'!BK237="SI",VLOOKUP('1.DATOS-PROD'!BK$2,'1.PUNTOS'!$A$1:$B$63,2,0),0)</f>
        <v>0</v>
      </c>
      <c r="BC236" s="138">
        <f>IF('1.DATOS-PROD'!BL237="SI",VLOOKUP('1.DATOS-PROD'!BL$2,'1.PUNTOS'!$A$1:$B$63,2,0),0)</f>
        <v>0</v>
      </c>
      <c r="BD236" s="138">
        <f>IF('1.DATOS-PROD'!BM237="SI",VLOOKUP('1.DATOS-PROD'!BM$2,'1.PUNTOS'!$A$1:$B$63,2,0),0)</f>
        <v>0</v>
      </c>
      <c r="BE236" s="138">
        <f>IF('1.DATOS-PROD'!BN237="SI",VLOOKUP('1.DATOS-PROD'!BN$2,'1.PUNTOS'!$A$1:$B$63,2,0),0)</f>
        <v>0</v>
      </c>
      <c r="BF236" s="138">
        <f>IF('1.DATOS-PROD'!BO237="SI",VLOOKUP('1.DATOS-PROD'!BO$2,'1.PUNTOS'!$A$1:$B$63,2,0),0)</f>
        <v>0</v>
      </c>
      <c r="BG236" s="138">
        <f>IF('1.DATOS-PROD'!BP237="SI",VLOOKUP('1.DATOS-PROD'!BP$2,'1.PUNTOS'!$A$1:$B$63,2,0),0)</f>
        <v>0</v>
      </c>
      <c r="BH236" s="138">
        <f>IF('1.DATOS-PROD'!BQ237="SI",VLOOKUP('1.DATOS-PROD'!BQ$2,'1.PUNTOS'!$A$1:$B$63,2,0),0)</f>
        <v>0</v>
      </c>
      <c r="BI236" s="138">
        <f>IF('1.DATOS-PROD'!BR237="SI",VLOOKUP('1.DATOS-PROD'!BR$2,'1.PUNTOS'!$A$1:$B$63,2,0),0)</f>
        <v>0</v>
      </c>
      <c r="BJ236" s="138">
        <f>IF('1.DATOS-PROD'!BS237="SI",VLOOKUP('1.DATOS-PROD'!BS$2,'1.PUNTOS'!$A$1:$B$63,2,0),0)</f>
        <v>0</v>
      </c>
      <c r="BK236" s="138">
        <f>IF('1.DATOS-PROD'!BT237="SI",VLOOKUP('1.DATOS-PROD'!BT$2,'1.PUNTOS'!$A$1:$B$63,2,0),0)</f>
        <v>0</v>
      </c>
    </row>
    <row r="237" spans="1:63" x14ac:dyDescent="0.25">
      <c r="A237">
        <f>'0.Consolidado general'!$A238</f>
        <v>0</v>
      </c>
      <c r="B237" s="138">
        <f>IF('1.DATOS-PROD'!K238="SI",VLOOKUP('1.DATOS-PROD'!K$2,'1.PUNTOS'!$A$1:$B$63,2,0),0)</f>
        <v>0</v>
      </c>
      <c r="C237" s="138">
        <f>IF('1.DATOS-PROD'!L238="SI",VLOOKUP('1.DATOS-PROD'!L$2,'1.PUNTOS'!$A$1:$B$63,2,0),0)</f>
        <v>0</v>
      </c>
      <c r="D237" s="138">
        <f>IF('1.DATOS-PROD'!M238="SI",VLOOKUP('1.DATOS-PROD'!M$2,'1.PUNTOS'!$A$1:$B$63,2,0),0)</f>
        <v>0</v>
      </c>
      <c r="E237" s="138">
        <f>IF('1.DATOS-PROD'!N238="SI",VLOOKUP('1.DATOS-PROD'!N$2,'1.PUNTOS'!$A$1:$B$63,2,0),0)</f>
        <v>0</v>
      </c>
      <c r="F237" s="138">
        <f>IF('1.DATOS-PROD'!O238="SI",VLOOKUP('1.DATOS-PROD'!O$2,'1.PUNTOS'!$A$1:$B$63,2,0),0)</f>
        <v>0</v>
      </c>
      <c r="G237" s="138">
        <f>IF('1.DATOS-PROD'!P238="SI",VLOOKUP('1.DATOS-PROD'!P$2,'1.PUNTOS'!$A$1:$B$63,2,0),0)</f>
        <v>0</v>
      </c>
      <c r="H237" s="138">
        <f>IF('1.DATOS-PROD'!Q238="SI",VLOOKUP('1.DATOS-PROD'!Q$2,'1.PUNTOS'!$A$1:$B$63,2,0),0)</f>
        <v>0</v>
      </c>
      <c r="I237" s="138">
        <f>IF('1.DATOS-PROD'!R238="SI",VLOOKUP('1.DATOS-PROD'!R$2,'1.PUNTOS'!$A$1:$B$63,2,0),0)</f>
        <v>0</v>
      </c>
      <c r="J237" s="138">
        <f>IF('1.DATOS-PROD'!S238="SI",VLOOKUP('1.DATOS-PROD'!S$2,'1.PUNTOS'!$A$1:$B$63,2,0),0)</f>
        <v>0</v>
      </c>
      <c r="K237" s="138">
        <f>IF('1.DATOS-PROD'!T238="SI",VLOOKUP('1.DATOS-PROD'!T$2,'1.PUNTOS'!$A$1:$B$63,2,0),0)</f>
        <v>0</v>
      </c>
      <c r="L237" s="138">
        <f>IF('1.DATOS-PROD'!U238="SI",VLOOKUP('1.DATOS-PROD'!U$2,'1.PUNTOS'!$A$1:$B$63,2,0),0)</f>
        <v>0</v>
      </c>
      <c r="M237" s="138">
        <f>IF('1.DATOS-PROD'!V238="SI",VLOOKUP('1.DATOS-PROD'!V$2,'1.PUNTOS'!$A$1:$B$63,2,0),0)</f>
        <v>0</v>
      </c>
      <c r="N237" s="138">
        <f>IF('1.DATOS-PROD'!W238="SI",VLOOKUP('1.DATOS-PROD'!W$2,'1.PUNTOS'!$A$1:$B$63,2,0),0)</f>
        <v>0</v>
      </c>
      <c r="O237" s="138">
        <f>IF('1.DATOS-PROD'!X238="SI",VLOOKUP('1.DATOS-PROD'!X$2,'1.PUNTOS'!$A$1:$B$63,2,0),0)</f>
        <v>0</v>
      </c>
      <c r="P237" s="138">
        <f>IF('1.DATOS-PROD'!Y238="SI",VLOOKUP('1.DATOS-PROD'!Y$2,'1.PUNTOS'!$A$1:$B$63,2,0),0)</f>
        <v>0</v>
      </c>
      <c r="Q237" s="138">
        <f>IF('1.DATOS-PROD'!Z238="SI",VLOOKUP('1.DATOS-PROD'!Z$2,'1.PUNTOS'!$A$1:$B$63,2,0),0)</f>
        <v>0</v>
      </c>
      <c r="R237" s="138">
        <f>IF('1.DATOS-PROD'!AA238="SI",VLOOKUP('1.DATOS-PROD'!AA$2,'1.PUNTOS'!$A$1:$B$63,2,0),0)</f>
        <v>0</v>
      </c>
      <c r="S237" s="138">
        <f>IF('1.DATOS-PROD'!AB238="SI",VLOOKUP('1.DATOS-PROD'!AB$2,'1.PUNTOS'!$A$1:$B$63,2,0),0)</f>
        <v>0</v>
      </c>
      <c r="T237" s="138">
        <f>IF('1.DATOS-PROD'!AC238="SI",VLOOKUP('1.DATOS-PROD'!AC$2,'1.PUNTOS'!$A$1:$B$63,2,0),0)</f>
        <v>0</v>
      </c>
      <c r="U237" s="138">
        <f>IF('1.DATOS-PROD'!AD238="SI",VLOOKUP('1.DATOS-PROD'!AD$2,'1.PUNTOS'!$A$1:$B$63,2,0),0)</f>
        <v>0</v>
      </c>
      <c r="V237" s="138">
        <f>IF('1.DATOS-PROD'!AE238="SI",VLOOKUP('1.DATOS-PROD'!AE$2,'1.PUNTOS'!$A$1:$B$63,2,0),0)</f>
        <v>0</v>
      </c>
      <c r="W237" s="138">
        <f>IF('1.DATOS-PROD'!AF238="SI",VLOOKUP('1.DATOS-PROD'!AF$2,'1.PUNTOS'!$A$1:$B$63,2,0),0)</f>
        <v>0</v>
      </c>
      <c r="X237" s="138">
        <f>IF('1.DATOS-PROD'!AG238="SI",VLOOKUP('1.DATOS-PROD'!AG$2,'1.PUNTOS'!$A$1:$B$63,2,0),0)</f>
        <v>0</v>
      </c>
      <c r="Y237" s="138">
        <f>IF('1.DATOS-PROD'!AH238="SI",VLOOKUP('1.DATOS-PROD'!AH$2,'1.PUNTOS'!$A$1:$B$63,2,0),0)</f>
        <v>0</v>
      </c>
      <c r="Z237" s="138">
        <f>IF('1.DATOS-PROD'!AI238="SI",VLOOKUP('1.DATOS-PROD'!AI$2,'1.PUNTOS'!$A$1:$B$63,2,0),0)</f>
        <v>0</v>
      </c>
      <c r="AA237" s="138">
        <f>IF('1.DATOS-PROD'!AJ238="SI",VLOOKUP('1.DATOS-PROD'!AJ$2,'1.PUNTOS'!$A$1:$B$63,2,0),0)</f>
        <v>0</v>
      </c>
      <c r="AB237" s="138">
        <f>IF('1.DATOS-PROD'!AK238="SI",VLOOKUP('1.DATOS-PROD'!AK$2,'1.PUNTOS'!$A$1:$B$63,2,0),0)</f>
        <v>0</v>
      </c>
      <c r="AC237" s="138">
        <f>IF('1.DATOS-PROD'!AL238="SI",VLOOKUP('1.DATOS-PROD'!AL$2,'1.PUNTOS'!$A$1:$B$63,2,0),0)</f>
        <v>0</v>
      </c>
      <c r="AD237" s="138">
        <f>IF('1.DATOS-PROD'!AM238="SI",VLOOKUP('1.DATOS-PROD'!AM$2,'1.PUNTOS'!$A$1:$B$63,2,0),0)</f>
        <v>0</v>
      </c>
      <c r="AE237" s="138">
        <f>IF('1.DATOS-PROD'!AN238="SI",VLOOKUP('1.DATOS-PROD'!AN$2,'1.PUNTOS'!$A$1:$B$63,2,0),0)</f>
        <v>0</v>
      </c>
      <c r="AF237" s="138">
        <f>IF('1.DATOS-PROD'!AO238="SI",VLOOKUP('1.DATOS-PROD'!AO$2,'1.PUNTOS'!$A$1:$B$63,2,0),0)</f>
        <v>0</v>
      </c>
      <c r="AG237" s="138">
        <f>IF('1.DATOS-PROD'!AP238="SI",VLOOKUP('1.DATOS-PROD'!AP$2,'1.PUNTOS'!$A$1:$B$63,2,0),0)</f>
        <v>0</v>
      </c>
      <c r="AH237" s="138">
        <f>IF('1.DATOS-PROD'!AQ238="SI",VLOOKUP('1.DATOS-PROD'!AQ$2,'1.PUNTOS'!$A$1:$B$63,2,0),0)</f>
        <v>0</v>
      </c>
      <c r="AI237" s="138">
        <f>IF('1.DATOS-PROD'!AR238="SI",VLOOKUP('1.DATOS-PROD'!AR$2,'1.PUNTOS'!$A$1:$B$63,2,0),0)</f>
        <v>0</v>
      </c>
      <c r="AJ237" s="138">
        <f>IF('1.DATOS-PROD'!AS238="SI",VLOOKUP('1.DATOS-PROD'!AS$2,'1.PUNTOS'!$A$1:$B$63,2,0),0)</f>
        <v>0</v>
      </c>
      <c r="AK237" s="138">
        <f>IF('1.DATOS-PROD'!AT238="SI",VLOOKUP('1.DATOS-PROD'!AT$2,'1.PUNTOS'!$A$1:$B$63,2,0),0)</f>
        <v>0</v>
      </c>
      <c r="AL237" s="138">
        <f>IF('1.DATOS-PROD'!AU238="SI",VLOOKUP('1.DATOS-PROD'!AU$2,'1.PUNTOS'!$A$1:$B$63,2,0),0)</f>
        <v>0</v>
      </c>
      <c r="AM237" s="138">
        <f>IF('1.DATOS-PROD'!AV238="SI",VLOOKUP('1.DATOS-PROD'!AV$2,'1.PUNTOS'!$A$1:$B$63,2,0),0)</f>
        <v>0</v>
      </c>
      <c r="AN237" s="138">
        <f>IF('1.DATOS-PROD'!AW238="SI",VLOOKUP('1.DATOS-PROD'!AW$2,'1.PUNTOS'!$A$1:$B$63,2,0),0)</f>
        <v>0</v>
      </c>
      <c r="AO237" s="138">
        <f>IF('1.DATOS-PROD'!AX238="SI",VLOOKUP('1.DATOS-PROD'!AX$2,'1.PUNTOS'!$A$1:$B$63,2,0),0)</f>
        <v>0</v>
      </c>
      <c r="AP237" s="138">
        <f>IF('1.DATOS-PROD'!AY238="SI",VLOOKUP('1.DATOS-PROD'!AY$2,'1.PUNTOS'!$A$1:$B$63,2,0),0)</f>
        <v>0</v>
      </c>
      <c r="AQ237" s="138">
        <f>IF('1.DATOS-PROD'!AZ238="SI",VLOOKUP('1.DATOS-PROD'!AZ$2,'1.PUNTOS'!$A$1:$B$63,2,0),0)</f>
        <v>0</v>
      </c>
      <c r="AR237" s="138">
        <f>IF('1.DATOS-PROD'!BA238="SI",VLOOKUP('1.DATOS-PROD'!BA$2,'1.PUNTOS'!$A$1:$B$63,2,0),0)</f>
        <v>0</v>
      </c>
      <c r="AS237" s="138">
        <f>IF('1.DATOS-PROD'!BB238="SI",VLOOKUP('1.DATOS-PROD'!BB$2,'1.PUNTOS'!$A$1:$B$63,2,0),0)</f>
        <v>0</v>
      </c>
      <c r="AT237" s="138">
        <f>IF('1.DATOS-PROD'!BC238="SI",VLOOKUP('1.DATOS-PROD'!BC$2,'1.PUNTOS'!$A$1:$B$63,2,0),0)</f>
        <v>0</v>
      </c>
      <c r="AU237" s="138">
        <f>IF('1.DATOS-PROD'!BD238="SI",VLOOKUP('1.DATOS-PROD'!BD$2,'1.PUNTOS'!$A$1:$B$63,2,0),0)</f>
        <v>0</v>
      </c>
      <c r="AV237" s="138">
        <f>IF('1.DATOS-PROD'!BE238="SI",VLOOKUP('1.DATOS-PROD'!BE$2,'1.PUNTOS'!$A$1:$B$63,2,0),0)</f>
        <v>0</v>
      </c>
      <c r="AW237" s="138">
        <f>IF('1.DATOS-PROD'!BF238="SI",VLOOKUP('1.DATOS-PROD'!BF$2,'1.PUNTOS'!$A$1:$B$63,2,0),0)</f>
        <v>0</v>
      </c>
      <c r="AX237" s="138">
        <f>IF('1.DATOS-PROD'!BG238="SI",VLOOKUP('1.DATOS-PROD'!BG$2,'1.PUNTOS'!$A$1:$B$63,2,0),0)</f>
        <v>0</v>
      </c>
      <c r="AY237" s="138">
        <f>IF('1.DATOS-PROD'!BH238="SI",VLOOKUP('1.DATOS-PROD'!BH$2,'1.PUNTOS'!$A$1:$B$63,2,0),0)</f>
        <v>0</v>
      </c>
      <c r="AZ237" s="138">
        <f>IF('1.DATOS-PROD'!BI238="SI",VLOOKUP('1.DATOS-PROD'!BI$2,'1.PUNTOS'!$A$1:$B$63,2,0),0)</f>
        <v>0</v>
      </c>
      <c r="BA237" s="138">
        <f>IF('1.DATOS-PROD'!BJ238="SI",VLOOKUP('1.DATOS-PROD'!BJ$2,'1.PUNTOS'!$A$1:$B$63,2,0),0)</f>
        <v>0</v>
      </c>
      <c r="BB237" s="138">
        <f>IF('1.DATOS-PROD'!BK238="SI",VLOOKUP('1.DATOS-PROD'!BK$2,'1.PUNTOS'!$A$1:$B$63,2,0),0)</f>
        <v>0</v>
      </c>
      <c r="BC237" s="138">
        <f>IF('1.DATOS-PROD'!BL238="SI",VLOOKUP('1.DATOS-PROD'!BL$2,'1.PUNTOS'!$A$1:$B$63,2,0),0)</f>
        <v>0</v>
      </c>
      <c r="BD237" s="138">
        <f>IF('1.DATOS-PROD'!BM238="SI",VLOOKUP('1.DATOS-PROD'!BM$2,'1.PUNTOS'!$A$1:$B$63,2,0),0)</f>
        <v>0</v>
      </c>
      <c r="BE237" s="138">
        <f>IF('1.DATOS-PROD'!BN238="SI",VLOOKUP('1.DATOS-PROD'!BN$2,'1.PUNTOS'!$A$1:$B$63,2,0),0)</f>
        <v>0</v>
      </c>
      <c r="BF237" s="138">
        <f>IF('1.DATOS-PROD'!BO238="SI",VLOOKUP('1.DATOS-PROD'!BO$2,'1.PUNTOS'!$A$1:$B$63,2,0),0)</f>
        <v>0</v>
      </c>
      <c r="BG237" s="138">
        <f>IF('1.DATOS-PROD'!BP238="SI",VLOOKUP('1.DATOS-PROD'!BP$2,'1.PUNTOS'!$A$1:$B$63,2,0),0)</f>
        <v>0</v>
      </c>
      <c r="BH237" s="138">
        <f>IF('1.DATOS-PROD'!BQ238="SI",VLOOKUP('1.DATOS-PROD'!BQ$2,'1.PUNTOS'!$A$1:$B$63,2,0),0)</f>
        <v>0</v>
      </c>
      <c r="BI237" s="138">
        <f>IF('1.DATOS-PROD'!BR238="SI",VLOOKUP('1.DATOS-PROD'!BR$2,'1.PUNTOS'!$A$1:$B$63,2,0),0)</f>
        <v>0</v>
      </c>
      <c r="BJ237" s="138">
        <f>IF('1.DATOS-PROD'!BS238="SI",VLOOKUP('1.DATOS-PROD'!BS$2,'1.PUNTOS'!$A$1:$B$63,2,0),0)</f>
        <v>0</v>
      </c>
      <c r="BK237" s="138">
        <f>IF('1.DATOS-PROD'!BT238="SI",VLOOKUP('1.DATOS-PROD'!BT$2,'1.PUNTOS'!$A$1:$B$63,2,0),0)</f>
        <v>0</v>
      </c>
    </row>
    <row r="238" spans="1:63" x14ac:dyDescent="0.25">
      <c r="A238">
        <f>'0.Consolidado general'!$A239</f>
        <v>0</v>
      </c>
      <c r="B238" s="138">
        <f>IF('1.DATOS-PROD'!K239="SI",VLOOKUP('1.DATOS-PROD'!K$2,'1.PUNTOS'!$A$1:$B$63,2,0),0)</f>
        <v>0</v>
      </c>
      <c r="C238" s="138">
        <f>IF('1.DATOS-PROD'!L239="SI",VLOOKUP('1.DATOS-PROD'!L$2,'1.PUNTOS'!$A$1:$B$63,2,0),0)</f>
        <v>0</v>
      </c>
      <c r="D238" s="138">
        <f>IF('1.DATOS-PROD'!M239="SI",VLOOKUP('1.DATOS-PROD'!M$2,'1.PUNTOS'!$A$1:$B$63,2,0),0)</f>
        <v>0</v>
      </c>
      <c r="E238" s="138">
        <f>IF('1.DATOS-PROD'!N239="SI",VLOOKUP('1.DATOS-PROD'!N$2,'1.PUNTOS'!$A$1:$B$63,2,0),0)</f>
        <v>0</v>
      </c>
      <c r="F238" s="138">
        <f>IF('1.DATOS-PROD'!O239="SI",VLOOKUP('1.DATOS-PROD'!O$2,'1.PUNTOS'!$A$1:$B$63,2,0),0)</f>
        <v>0</v>
      </c>
      <c r="G238" s="138">
        <f>IF('1.DATOS-PROD'!P239="SI",VLOOKUP('1.DATOS-PROD'!P$2,'1.PUNTOS'!$A$1:$B$63,2,0),0)</f>
        <v>0</v>
      </c>
      <c r="H238" s="138">
        <f>IF('1.DATOS-PROD'!Q239="SI",VLOOKUP('1.DATOS-PROD'!Q$2,'1.PUNTOS'!$A$1:$B$63,2,0),0)</f>
        <v>0</v>
      </c>
      <c r="I238" s="138">
        <f>IF('1.DATOS-PROD'!R239="SI",VLOOKUP('1.DATOS-PROD'!R$2,'1.PUNTOS'!$A$1:$B$63,2,0),0)</f>
        <v>0</v>
      </c>
      <c r="J238" s="138">
        <f>IF('1.DATOS-PROD'!S239="SI",VLOOKUP('1.DATOS-PROD'!S$2,'1.PUNTOS'!$A$1:$B$63,2,0),0)</f>
        <v>0</v>
      </c>
      <c r="K238" s="138">
        <f>IF('1.DATOS-PROD'!T239="SI",VLOOKUP('1.DATOS-PROD'!T$2,'1.PUNTOS'!$A$1:$B$63,2,0),0)</f>
        <v>0</v>
      </c>
      <c r="L238" s="138">
        <f>IF('1.DATOS-PROD'!U239="SI",VLOOKUP('1.DATOS-PROD'!U$2,'1.PUNTOS'!$A$1:$B$63,2,0),0)</f>
        <v>0</v>
      </c>
      <c r="M238" s="138">
        <f>IF('1.DATOS-PROD'!V239="SI",VLOOKUP('1.DATOS-PROD'!V$2,'1.PUNTOS'!$A$1:$B$63,2,0),0)</f>
        <v>0</v>
      </c>
      <c r="N238" s="138">
        <f>IF('1.DATOS-PROD'!W239="SI",VLOOKUP('1.DATOS-PROD'!W$2,'1.PUNTOS'!$A$1:$B$63,2,0),0)</f>
        <v>0</v>
      </c>
      <c r="O238" s="138">
        <f>IF('1.DATOS-PROD'!X239="SI",VLOOKUP('1.DATOS-PROD'!X$2,'1.PUNTOS'!$A$1:$B$63,2,0),0)</f>
        <v>0</v>
      </c>
      <c r="P238" s="138">
        <f>IF('1.DATOS-PROD'!Y239="SI",VLOOKUP('1.DATOS-PROD'!Y$2,'1.PUNTOS'!$A$1:$B$63,2,0),0)</f>
        <v>0</v>
      </c>
      <c r="Q238" s="138">
        <f>IF('1.DATOS-PROD'!Z239="SI",VLOOKUP('1.DATOS-PROD'!Z$2,'1.PUNTOS'!$A$1:$B$63,2,0),0)</f>
        <v>0</v>
      </c>
      <c r="R238" s="138">
        <f>IF('1.DATOS-PROD'!AA239="SI",VLOOKUP('1.DATOS-PROD'!AA$2,'1.PUNTOS'!$A$1:$B$63,2,0),0)</f>
        <v>0</v>
      </c>
      <c r="S238" s="138">
        <f>IF('1.DATOS-PROD'!AB239="SI",VLOOKUP('1.DATOS-PROD'!AB$2,'1.PUNTOS'!$A$1:$B$63,2,0),0)</f>
        <v>0</v>
      </c>
      <c r="T238" s="138">
        <f>IF('1.DATOS-PROD'!AC239="SI",VLOOKUP('1.DATOS-PROD'!AC$2,'1.PUNTOS'!$A$1:$B$63,2,0),0)</f>
        <v>0</v>
      </c>
      <c r="U238" s="138">
        <f>IF('1.DATOS-PROD'!AD239="SI",VLOOKUP('1.DATOS-PROD'!AD$2,'1.PUNTOS'!$A$1:$B$63,2,0),0)</f>
        <v>0</v>
      </c>
      <c r="V238" s="138">
        <f>IF('1.DATOS-PROD'!AE239="SI",VLOOKUP('1.DATOS-PROD'!AE$2,'1.PUNTOS'!$A$1:$B$63,2,0),0)</f>
        <v>0</v>
      </c>
      <c r="W238" s="138">
        <f>IF('1.DATOS-PROD'!AF239="SI",VLOOKUP('1.DATOS-PROD'!AF$2,'1.PUNTOS'!$A$1:$B$63,2,0),0)</f>
        <v>0</v>
      </c>
      <c r="X238" s="138">
        <f>IF('1.DATOS-PROD'!AG239="SI",VLOOKUP('1.DATOS-PROD'!AG$2,'1.PUNTOS'!$A$1:$B$63,2,0),0)</f>
        <v>0</v>
      </c>
      <c r="Y238" s="138">
        <f>IF('1.DATOS-PROD'!AH239="SI",VLOOKUP('1.DATOS-PROD'!AH$2,'1.PUNTOS'!$A$1:$B$63,2,0),0)</f>
        <v>0</v>
      </c>
      <c r="Z238" s="138">
        <f>IF('1.DATOS-PROD'!AI239="SI",VLOOKUP('1.DATOS-PROD'!AI$2,'1.PUNTOS'!$A$1:$B$63,2,0),0)</f>
        <v>0</v>
      </c>
      <c r="AA238" s="138">
        <f>IF('1.DATOS-PROD'!AJ239="SI",VLOOKUP('1.DATOS-PROD'!AJ$2,'1.PUNTOS'!$A$1:$B$63,2,0),0)</f>
        <v>0</v>
      </c>
      <c r="AB238" s="138">
        <f>IF('1.DATOS-PROD'!AK239="SI",VLOOKUP('1.DATOS-PROD'!AK$2,'1.PUNTOS'!$A$1:$B$63,2,0),0)</f>
        <v>0</v>
      </c>
      <c r="AC238" s="138">
        <f>IF('1.DATOS-PROD'!AL239="SI",VLOOKUP('1.DATOS-PROD'!AL$2,'1.PUNTOS'!$A$1:$B$63,2,0),0)</f>
        <v>0</v>
      </c>
      <c r="AD238" s="138">
        <f>IF('1.DATOS-PROD'!AM239="SI",VLOOKUP('1.DATOS-PROD'!AM$2,'1.PUNTOS'!$A$1:$B$63,2,0),0)</f>
        <v>0</v>
      </c>
      <c r="AE238" s="138">
        <f>IF('1.DATOS-PROD'!AN239="SI",VLOOKUP('1.DATOS-PROD'!AN$2,'1.PUNTOS'!$A$1:$B$63,2,0),0)</f>
        <v>0</v>
      </c>
      <c r="AF238" s="138">
        <f>IF('1.DATOS-PROD'!AO239="SI",VLOOKUP('1.DATOS-PROD'!AO$2,'1.PUNTOS'!$A$1:$B$63,2,0),0)</f>
        <v>0</v>
      </c>
      <c r="AG238" s="138">
        <f>IF('1.DATOS-PROD'!AP239="SI",VLOOKUP('1.DATOS-PROD'!AP$2,'1.PUNTOS'!$A$1:$B$63,2,0),0)</f>
        <v>0</v>
      </c>
      <c r="AH238" s="138">
        <f>IF('1.DATOS-PROD'!AQ239="SI",VLOOKUP('1.DATOS-PROD'!AQ$2,'1.PUNTOS'!$A$1:$B$63,2,0),0)</f>
        <v>0</v>
      </c>
      <c r="AI238" s="138">
        <f>IF('1.DATOS-PROD'!AR239="SI",VLOOKUP('1.DATOS-PROD'!AR$2,'1.PUNTOS'!$A$1:$B$63,2,0),0)</f>
        <v>0</v>
      </c>
      <c r="AJ238" s="138">
        <f>IF('1.DATOS-PROD'!AS239="SI",VLOOKUP('1.DATOS-PROD'!AS$2,'1.PUNTOS'!$A$1:$B$63,2,0),0)</f>
        <v>0</v>
      </c>
      <c r="AK238" s="138">
        <f>IF('1.DATOS-PROD'!AT239="SI",VLOOKUP('1.DATOS-PROD'!AT$2,'1.PUNTOS'!$A$1:$B$63,2,0),0)</f>
        <v>0</v>
      </c>
      <c r="AL238" s="138">
        <f>IF('1.DATOS-PROD'!AU239="SI",VLOOKUP('1.DATOS-PROD'!AU$2,'1.PUNTOS'!$A$1:$B$63,2,0),0)</f>
        <v>0</v>
      </c>
      <c r="AM238" s="138">
        <f>IF('1.DATOS-PROD'!AV239="SI",VLOOKUP('1.DATOS-PROD'!AV$2,'1.PUNTOS'!$A$1:$B$63,2,0),0)</f>
        <v>0</v>
      </c>
      <c r="AN238" s="138">
        <f>IF('1.DATOS-PROD'!AW239="SI",VLOOKUP('1.DATOS-PROD'!AW$2,'1.PUNTOS'!$A$1:$B$63,2,0),0)</f>
        <v>0</v>
      </c>
      <c r="AO238" s="138">
        <f>IF('1.DATOS-PROD'!AX239="SI",VLOOKUP('1.DATOS-PROD'!AX$2,'1.PUNTOS'!$A$1:$B$63,2,0),0)</f>
        <v>0</v>
      </c>
      <c r="AP238" s="138">
        <f>IF('1.DATOS-PROD'!AY239="SI",VLOOKUP('1.DATOS-PROD'!AY$2,'1.PUNTOS'!$A$1:$B$63,2,0),0)</f>
        <v>0</v>
      </c>
      <c r="AQ238" s="138">
        <f>IF('1.DATOS-PROD'!AZ239="SI",VLOOKUP('1.DATOS-PROD'!AZ$2,'1.PUNTOS'!$A$1:$B$63,2,0),0)</f>
        <v>0</v>
      </c>
      <c r="AR238" s="138">
        <f>IF('1.DATOS-PROD'!BA239="SI",VLOOKUP('1.DATOS-PROD'!BA$2,'1.PUNTOS'!$A$1:$B$63,2,0),0)</f>
        <v>0</v>
      </c>
      <c r="AS238" s="138">
        <f>IF('1.DATOS-PROD'!BB239="SI",VLOOKUP('1.DATOS-PROD'!BB$2,'1.PUNTOS'!$A$1:$B$63,2,0),0)</f>
        <v>0</v>
      </c>
      <c r="AT238" s="138">
        <f>IF('1.DATOS-PROD'!BC239="SI",VLOOKUP('1.DATOS-PROD'!BC$2,'1.PUNTOS'!$A$1:$B$63,2,0),0)</f>
        <v>0</v>
      </c>
      <c r="AU238" s="138">
        <f>IF('1.DATOS-PROD'!BD239="SI",VLOOKUP('1.DATOS-PROD'!BD$2,'1.PUNTOS'!$A$1:$B$63,2,0),0)</f>
        <v>0</v>
      </c>
      <c r="AV238" s="138">
        <f>IF('1.DATOS-PROD'!BE239="SI",VLOOKUP('1.DATOS-PROD'!BE$2,'1.PUNTOS'!$A$1:$B$63,2,0),0)</f>
        <v>0</v>
      </c>
      <c r="AW238" s="138">
        <f>IF('1.DATOS-PROD'!BF239="SI",VLOOKUP('1.DATOS-PROD'!BF$2,'1.PUNTOS'!$A$1:$B$63,2,0),0)</f>
        <v>0</v>
      </c>
      <c r="AX238" s="138">
        <f>IF('1.DATOS-PROD'!BG239="SI",VLOOKUP('1.DATOS-PROD'!BG$2,'1.PUNTOS'!$A$1:$B$63,2,0),0)</f>
        <v>0</v>
      </c>
      <c r="AY238" s="138">
        <f>IF('1.DATOS-PROD'!BH239="SI",VLOOKUP('1.DATOS-PROD'!BH$2,'1.PUNTOS'!$A$1:$B$63,2,0),0)</f>
        <v>0</v>
      </c>
      <c r="AZ238" s="138">
        <f>IF('1.DATOS-PROD'!BI239="SI",VLOOKUP('1.DATOS-PROD'!BI$2,'1.PUNTOS'!$A$1:$B$63,2,0),0)</f>
        <v>0</v>
      </c>
      <c r="BA238" s="138">
        <f>IF('1.DATOS-PROD'!BJ239="SI",VLOOKUP('1.DATOS-PROD'!BJ$2,'1.PUNTOS'!$A$1:$B$63,2,0),0)</f>
        <v>0</v>
      </c>
      <c r="BB238" s="138">
        <f>IF('1.DATOS-PROD'!BK239="SI",VLOOKUP('1.DATOS-PROD'!BK$2,'1.PUNTOS'!$A$1:$B$63,2,0),0)</f>
        <v>0</v>
      </c>
      <c r="BC238" s="138">
        <f>IF('1.DATOS-PROD'!BL239="SI",VLOOKUP('1.DATOS-PROD'!BL$2,'1.PUNTOS'!$A$1:$B$63,2,0),0)</f>
        <v>0</v>
      </c>
      <c r="BD238" s="138">
        <f>IF('1.DATOS-PROD'!BM239="SI",VLOOKUP('1.DATOS-PROD'!BM$2,'1.PUNTOS'!$A$1:$B$63,2,0),0)</f>
        <v>0</v>
      </c>
      <c r="BE238" s="138">
        <f>IF('1.DATOS-PROD'!BN239="SI",VLOOKUP('1.DATOS-PROD'!BN$2,'1.PUNTOS'!$A$1:$B$63,2,0),0)</f>
        <v>0</v>
      </c>
      <c r="BF238" s="138">
        <f>IF('1.DATOS-PROD'!BO239="SI",VLOOKUP('1.DATOS-PROD'!BO$2,'1.PUNTOS'!$A$1:$B$63,2,0),0)</f>
        <v>0</v>
      </c>
      <c r="BG238" s="138">
        <f>IF('1.DATOS-PROD'!BP239="SI",VLOOKUP('1.DATOS-PROD'!BP$2,'1.PUNTOS'!$A$1:$B$63,2,0),0)</f>
        <v>0</v>
      </c>
      <c r="BH238" s="138">
        <f>IF('1.DATOS-PROD'!BQ239="SI",VLOOKUP('1.DATOS-PROD'!BQ$2,'1.PUNTOS'!$A$1:$B$63,2,0),0)</f>
        <v>0</v>
      </c>
      <c r="BI238" s="138">
        <f>IF('1.DATOS-PROD'!BR239="SI",VLOOKUP('1.DATOS-PROD'!BR$2,'1.PUNTOS'!$A$1:$B$63,2,0),0)</f>
        <v>0</v>
      </c>
      <c r="BJ238" s="138">
        <f>IF('1.DATOS-PROD'!BS239="SI",VLOOKUP('1.DATOS-PROD'!BS$2,'1.PUNTOS'!$A$1:$B$63,2,0),0)</f>
        <v>0</v>
      </c>
      <c r="BK238" s="138">
        <f>IF('1.DATOS-PROD'!BT239="SI",VLOOKUP('1.DATOS-PROD'!BT$2,'1.PUNTOS'!$A$1:$B$63,2,0),0)</f>
        <v>0</v>
      </c>
    </row>
    <row r="239" spans="1:63" x14ac:dyDescent="0.25">
      <c r="A239">
        <f>'0.Consolidado general'!$A240</f>
        <v>0</v>
      </c>
      <c r="B239" s="138">
        <f>IF('1.DATOS-PROD'!K240="SI",VLOOKUP('1.DATOS-PROD'!K$2,'1.PUNTOS'!$A$1:$B$63,2,0),0)</f>
        <v>0</v>
      </c>
      <c r="C239" s="138">
        <f>IF('1.DATOS-PROD'!L240="SI",VLOOKUP('1.DATOS-PROD'!L$2,'1.PUNTOS'!$A$1:$B$63,2,0),0)</f>
        <v>0</v>
      </c>
      <c r="D239" s="138">
        <f>IF('1.DATOS-PROD'!M240="SI",VLOOKUP('1.DATOS-PROD'!M$2,'1.PUNTOS'!$A$1:$B$63,2,0),0)</f>
        <v>0</v>
      </c>
      <c r="E239" s="138">
        <f>IF('1.DATOS-PROD'!N240="SI",VLOOKUP('1.DATOS-PROD'!N$2,'1.PUNTOS'!$A$1:$B$63,2,0),0)</f>
        <v>0</v>
      </c>
      <c r="F239" s="138">
        <f>IF('1.DATOS-PROD'!O240="SI",VLOOKUP('1.DATOS-PROD'!O$2,'1.PUNTOS'!$A$1:$B$63,2,0),0)</f>
        <v>0</v>
      </c>
      <c r="G239" s="138">
        <f>IF('1.DATOS-PROD'!P240="SI",VLOOKUP('1.DATOS-PROD'!P$2,'1.PUNTOS'!$A$1:$B$63,2,0),0)</f>
        <v>0</v>
      </c>
      <c r="H239" s="138">
        <f>IF('1.DATOS-PROD'!Q240="SI",VLOOKUP('1.DATOS-PROD'!Q$2,'1.PUNTOS'!$A$1:$B$63,2,0),0)</f>
        <v>0</v>
      </c>
      <c r="I239" s="138">
        <f>IF('1.DATOS-PROD'!R240="SI",VLOOKUP('1.DATOS-PROD'!R$2,'1.PUNTOS'!$A$1:$B$63,2,0),0)</f>
        <v>0</v>
      </c>
      <c r="J239" s="138">
        <f>IF('1.DATOS-PROD'!S240="SI",VLOOKUP('1.DATOS-PROD'!S$2,'1.PUNTOS'!$A$1:$B$63,2,0),0)</f>
        <v>0</v>
      </c>
      <c r="K239" s="138">
        <f>IF('1.DATOS-PROD'!T240="SI",VLOOKUP('1.DATOS-PROD'!T$2,'1.PUNTOS'!$A$1:$B$63,2,0),0)</f>
        <v>0</v>
      </c>
      <c r="L239" s="138">
        <f>IF('1.DATOS-PROD'!U240="SI",VLOOKUP('1.DATOS-PROD'!U$2,'1.PUNTOS'!$A$1:$B$63,2,0),0)</f>
        <v>0</v>
      </c>
      <c r="M239" s="138">
        <f>IF('1.DATOS-PROD'!V240="SI",VLOOKUP('1.DATOS-PROD'!V$2,'1.PUNTOS'!$A$1:$B$63,2,0),0)</f>
        <v>0</v>
      </c>
      <c r="N239" s="138">
        <f>IF('1.DATOS-PROD'!W240="SI",VLOOKUP('1.DATOS-PROD'!W$2,'1.PUNTOS'!$A$1:$B$63,2,0),0)</f>
        <v>0</v>
      </c>
      <c r="O239" s="138">
        <f>IF('1.DATOS-PROD'!X240="SI",VLOOKUP('1.DATOS-PROD'!X$2,'1.PUNTOS'!$A$1:$B$63,2,0),0)</f>
        <v>0</v>
      </c>
      <c r="P239" s="138">
        <f>IF('1.DATOS-PROD'!Y240="SI",VLOOKUP('1.DATOS-PROD'!Y$2,'1.PUNTOS'!$A$1:$B$63,2,0),0)</f>
        <v>0</v>
      </c>
      <c r="Q239" s="138">
        <f>IF('1.DATOS-PROD'!Z240="SI",VLOOKUP('1.DATOS-PROD'!Z$2,'1.PUNTOS'!$A$1:$B$63,2,0),0)</f>
        <v>0</v>
      </c>
      <c r="R239" s="138">
        <f>IF('1.DATOS-PROD'!AA240="SI",VLOOKUP('1.DATOS-PROD'!AA$2,'1.PUNTOS'!$A$1:$B$63,2,0),0)</f>
        <v>0</v>
      </c>
      <c r="S239" s="138">
        <f>IF('1.DATOS-PROD'!AB240="SI",VLOOKUP('1.DATOS-PROD'!AB$2,'1.PUNTOS'!$A$1:$B$63,2,0),0)</f>
        <v>0</v>
      </c>
      <c r="T239" s="138">
        <f>IF('1.DATOS-PROD'!AC240="SI",VLOOKUP('1.DATOS-PROD'!AC$2,'1.PUNTOS'!$A$1:$B$63,2,0),0)</f>
        <v>0</v>
      </c>
      <c r="U239" s="138">
        <f>IF('1.DATOS-PROD'!AD240="SI",VLOOKUP('1.DATOS-PROD'!AD$2,'1.PUNTOS'!$A$1:$B$63,2,0),0)</f>
        <v>0</v>
      </c>
      <c r="V239" s="138">
        <f>IF('1.DATOS-PROD'!AE240="SI",VLOOKUP('1.DATOS-PROD'!AE$2,'1.PUNTOS'!$A$1:$B$63,2,0),0)</f>
        <v>0</v>
      </c>
      <c r="W239" s="138">
        <f>IF('1.DATOS-PROD'!AF240="SI",VLOOKUP('1.DATOS-PROD'!AF$2,'1.PUNTOS'!$A$1:$B$63,2,0),0)</f>
        <v>0</v>
      </c>
      <c r="X239" s="138">
        <f>IF('1.DATOS-PROD'!AG240="SI",VLOOKUP('1.DATOS-PROD'!AG$2,'1.PUNTOS'!$A$1:$B$63,2,0),0)</f>
        <v>0</v>
      </c>
      <c r="Y239" s="138">
        <f>IF('1.DATOS-PROD'!AH240="SI",VLOOKUP('1.DATOS-PROD'!AH$2,'1.PUNTOS'!$A$1:$B$63,2,0),0)</f>
        <v>0</v>
      </c>
      <c r="Z239" s="138">
        <f>IF('1.DATOS-PROD'!AI240="SI",VLOOKUP('1.DATOS-PROD'!AI$2,'1.PUNTOS'!$A$1:$B$63,2,0),0)</f>
        <v>0</v>
      </c>
      <c r="AA239" s="138">
        <f>IF('1.DATOS-PROD'!AJ240="SI",VLOOKUP('1.DATOS-PROD'!AJ$2,'1.PUNTOS'!$A$1:$B$63,2,0),0)</f>
        <v>0</v>
      </c>
      <c r="AB239" s="138">
        <f>IF('1.DATOS-PROD'!AK240="SI",VLOOKUP('1.DATOS-PROD'!AK$2,'1.PUNTOS'!$A$1:$B$63,2,0),0)</f>
        <v>0</v>
      </c>
      <c r="AC239" s="138">
        <f>IF('1.DATOS-PROD'!AL240="SI",VLOOKUP('1.DATOS-PROD'!AL$2,'1.PUNTOS'!$A$1:$B$63,2,0),0)</f>
        <v>0</v>
      </c>
      <c r="AD239" s="138">
        <f>IF('1.DATOS-PROD'!AM240="SI",VLOOKUP('1.DATOS-PROD'!AM$2,'1.PUNTOS'!$A$1:$B$63,2,0),0)</f>
        <v>0</v>
      </c>
      <c r="AE239" s="138">
        <f>IF('1.DATOS-PROD'!AN240="SI",VLOOKUP('1.DATOS-PROD'!AN$2,'1.PUNTOS'!$A$1:$B$63,2,0),0)</f>
        <v>0</v>
      </c>
      <c r="AF239" s="138">
        <f>IF('1.DATOS-PROD'!AO240="SI",VLOOKUP('1.DATOS-PROD'!AO$2,'1.PUNTOS'!$A$1:$B$63,2,0),0)</f>
        <v>0</v>
      </c>
      <c r="AG239" s="138">
        <f>IF('1.DATOS-PROD'!AP240="SI",VLOOKUP('1.DATOS-PROD'!AP$2,'1.PUNTOS'!$A$1:$B$63,2,0),0)</f>
        <v>0</v>
      </c>
      <c r="AH239" s="138">
        <f>IF('1.DATOS-PROD'!AQ240="SI",VLOOKUP('1.DATOS-PROD'!AQ$2,'1.PUNTOS'!$A$1:$B$63,2,0),0)</f>
        <v>0</v>
      </c>
      <c r="AI239" s="138">
        <f>IF('1.DATOS-PROD'!AR240="SI",VLOOKUP('1.DATOS-PROD'!AR$2,'1.PUNTOS'!$A$1:$B$63,2,0),0)</f>
        <v>0</v>
      </c>
      <c r="AJ239" s="138">
        <f>IF('1.DATOS-PROD'!AS240="SI",VLOOKUP('1.DATOS-PROD'!AS$2,'1.PUNTOS'!$A$1:$B$63,2,0),0)</f>
        <v>0</v>
      </c>
      <c r="AK239" s="138">
        <f>IF('1.DATOS-PROD'!AT240="SI",VLOOKUP('1.DATOS-PROD'!AT$2,'1.PUNTOS'!$A$1:$B$63,2,0),0)</f>
        <v>0</v>
      </c>
      <c r="AL239" s="138">
        <f>IF('1.DATOS-PROD'!AU240="SI",VLOOKUP('1.DATOS-PROD'!AU$2,'1.PUNTOS'!$A$1:$B$63,2,0),0)</f>
        <v>0</v>
      </c>
      <c r="AM239" s="138">
        <f>IF('1.DATOS-PROD'!AV240="SI",VLOOKUP('1.DATOS-PROD'!AV$2,'1.PUNTOS'!$A$1:$B$63,2,0),0)</f>
        <v>0</v>
      </c>
      <c r="AN239" s="138">
        <f>IF('1.DATOS-PROD'!AW240="SI",VLOOKUP('1.DATOS-PROD'!AW$2,'1.PUNTOS'!$A$1:$B$63,2,0),0)</f>
        <v>0</v>
      </c>
      <c r="AO239" s="138">
        <f>IF('1.DATOS-PROD'!AX240="SI",VLOOKUP('1.DATOS-PROD'!AX$2,'1.PUNTOS'!$A$1:$B$63,2,0),0)</f>
        <v>0</v>
      </c>
      <c r="AP239" s="138">
        <f>IF('1.DATOS-PROD'!AY240="SI",VLOOKUP('1.DATOS-PROD'!AY$2,'1.PUNTOS'!$A$1:$B$63,2,0),0)</f>
        <v>0</v>
      </c>
      <c r="AQ239" s="138">
        <f>IF('1.DATOS-PROD'!AZ240="SI",VLOOKUP('1.DATOS-PROD'!AZ$2,'1.PUNTOS'!$A$1:$B$63,2,0),0)</f>
        <v>0</v>
      </c>
      <c r="AR239" s="138">
        <f>IF('1.DATOS-PROD'!BA240="SI",VLOOKUP('1.DATOS-PROD'!BA$2,'1.PUNTOS'!$A$1:$B$63,2,0),0)</f>
        <v>0</v>
      </c>
      <c r="AS239" s="138">
        <f>IF('1.DATOS-PROD'!BB240="SI",VLOOKUP('1.DATOS-PROD'!BB$2,'1.PUNTOS'!$A$1:$B$63,2,0),0)</f>
        <v>0</v>
      </c>
      <c r="AT239" s="138">
        <f>IF('1.DATOS-PROD'!BC240="SI",VLOOKUP('1.DATOS-PROD'!BC$2,'1.PUNTOS'!$A$1:$B$63,2,0),0)</f>
        <v>0</v>
      </c>
      <c r="AU239" s="138">
        <f>IF('1.DATOS-PROD'!BD240="SI",VLOOKUP('1.DATOS-PROD'!BD$2,'1.PUNTOS'!$A$1:$B$63,2,0),0)</f>
        <v>0</v>
      </c>
      <c r="AV239" s="138">
        <f>IF('1.DATOS-PROD'!BE240="SI",VLOOKUP('1.DATOS-PROD'!BE$2,'1.PUNTOS'!$A$1:$B$63,2,0),0)</f>
        <v>0</v>
      </c>
      <c r="AW239" s="138">
        <f>IF('1.DATOS-PROD'!BF240="SI",VLOOKUP('1.DATOS-PROD'!BF$2,'1.PUNTOS'!$A$1:$B$63,2,0),0)</f>
        <v>0</v>
      </c>
      <c r="AX239" s="138">
        <f>IF('1.DATOS-PROD'!BG240="SI",VLOOKUP('1.DATOS-PROD'!BG$2,'1.PUNTOS'!$A$1:$B$63,2,0),0)</f>
        <v>0</v>
      </c>
      <c r="AY239" s="138">
        <f>IF('1.DATOS-PROD'!BH240="SI",VLOOKUP('1.DATOS-PROD'!BH$2,'1.PUNTOS'!$A$1:$B$63,2,0),0)</f>
        <v>0</v>
      </c>
      <c r="AZ239" s="138">
        <f>IF('1.DATOS-PROD'!BI240="SI",VLOOKUP('1.DATOS-PROD'!BI$2,'1.PUNTOS'!$A$1:$B$63,2,0),0)</f>
        <v>0</v>
      </c>
      <c r="BA239" s="138">
        <f>IF('1.DATOS-PROD'!BJ240="SI",VLOOKUP('1.DATOS-PROD'!BJ$2,'1.PUNTOS'!$A$1:$B$63,2,0),0)</f>
        <v>0</v>
      </c>
      <c r="BB239" s="138">
        <f>IF('1.DATOS-PROD'!BK240="SI",VLOOKUP('1.DATOS-PROD'!BK$2,'1.PUNTOS'!$A$1:$B$63,2,0),0)</f>
        <v>0</v>
      </c>
      <c r="BC239" s="138">
        <f>IF('1.DATOS-PROD'!BL240="SI",VLOOKUP('1.DATOS-PROD'!BL$2,'1.PUNTOS'!$A$1:$B$63,2,0),0)</f>
        <v>0</v>
      </c>
      <c r="BD239" s="138">
        <f>IF('1.DATOS-PROD'!BM240="SI",VLOOKUP('1.DATOS-PROD'!BM$2,'1.PUNTOS'!$A$1:$B$63,2,0),0)</f>
        <v>0</v>
      </c>
      <c r="BE239" s="138">
        <f>IF('1.DATOS-PROD'!BN240="SI",VLOOKUP('1.DATOS-PROD'!BN$2,'1.PUNTOS'!$A$1:$B$63,2,0),0)</f>
        <v>0</v>
      </c>
      <c r="BF239" s="138">
        <f>IF('1.DATOS-PROD'!BO240="SI",VLOOKUP('1.DATOS-PROD'!BO$2,'1.PUNTOS'!$A$1:$B$63,2,0),0)</f>
        <v>0</v>
      </c>
      <c r="BG239" s="138">
        <f>IF('1.DATOS-PROD'!BP240="SI",VLOOKUP('1.DATOS-PROD'!BP$2,'1.PUNTOS'!$A$1:$B$63,2,0),0)</f>
        <v>0</v>
      </c>
      <c r="BH239" s="138">
        <f>IF('1.DATOS-PROD'!BQ240="SI",VLOOKUP('1.DATOS-PROD'!BQ$2,'1.PUNTOS'!$A$1:$B$63,2,0),0)</f>
        <v>0</v>
      </c>
      <c r="BI239" s="138">
        <f>IF('1.DATOS-PROD'!BR240="SI",VLOOKUP('1.DATOS-PROD'!BR$2,'1.PUNTOS'!$A$1:$B$63,2,0),0)</f>
        <v>0</v>
      </c>
      <c r="BJ239" s="138">
        <f>IF('1.DATOS-PROD'!BS240="SI",VLOOKUP('1.DATOS-PROD'!BS$2,'1.PUNTOS'!$A$1:$B$63,2,0),0)</f>
        <v>0</v>
      </c>
      <c r="BK239" s="138">
        <f>IF('1.DATOS-PROD'!BT240="SI",VLOOKUP('1.DATOS-PROD'!BT$2,'1.PUNTOS'!$A$1:$B$63,2,0),0)</f>
        <v>0</v>
      </c>
    </row>
    <row r="240" spans="1:63" x14ac:dyDescent="0.25">
      <c r="A240">
        <f>'0.Consolidado general'!$A241</f>
        <v>0</v>
      </c>
      <c r="B240" s="138">
        <f>IF('1.DATOS-PROD'!K241="SI",VLOOKUP('1.DATOS-PROD'!K$2,'1.PUNTOS'!$A$1:$B$63,2,0),0)</f>
        <v>0</v>
      </c>
      <c r="C240" s="138">
        <f>IF('1.DATOS-PROD'!L241="SI",VLOOKUP('1.DATOS-PROD'!L$2,'1.PUNTOS'!$A$1:$B$63,2,0),0)</f>
        <v>0</v>
      </c>
      <c r="D240" s="138">
        <f>IF('1.DATOS-PROD'!M241="SI",VLOOKUP('1.DATOS-PROD'!M$2,'1.PUNTOS'!$A$1:$B$63,2,0),0)</f>
        <v>0</v>
      </c>
      <c r="E240" s="138">
        <f>IF('1.DATOS-PROD'!N241="SI",VLOOKUP('1.DATOS-PROD'!N$2,'1.PUNTOS'!$A$1:$B$63,2,0),0)</f>
        <v>0</v>
      </c>
      <c r="F240" s="138">
        <f>IF('1.DATOS-PROD'!O241="SI",VLOOKUP('1.DATOS-PROD'!O$2,'1.PUNTOS'!$A$1:$B$63,2,0),0)</f>
        <v>0</v>
      </c>
      <c r="G240" s="138">
        <f>IF('1.DATOS-PROD'!P241="SI",VLOOKUP('1.DATOS-PROD'!P$2,'1.PUNTOS'!$A$1:$B$63,2,0),0)</f>
        <v>0</v>
      </c>
      <c r="H240" s="138">
        <f>IF('1.DATOS-PROD'!Q241="SI",VLOOKUP('1.DATOS-PROD'!Q$2,'1.PUNTOS'!$A$1:$B$63,2,0),0)</f>
        <v>0</v>
      </c>
      <c r="I240" s="138">
        <f>IF('1.DATOS-PROD'!R241="SI",VLOOKUP('1.DATOS-PROD'!R$2,'1.PUNTOS'!$A$1:$B$63,2,0),0)</f>
        <v>0</v>
      </c>
      <c r="J240" s="138">
        <f>IF('1.DATOS-PROD'!S241="SI",VLOOKUP('1.DATOS-PROD'!S$2,'1.PUNTOS'!$A$1:$B$63,2,0),0)</f>
        <v>0</v>
      </c>
      <c r="K240" s="138">
        <f>IF('1.DATOS-PROD'!T241="SI",VLOOKUP('1.DATOS-PROD'!T$2,'1.PUNTOS'!$A$1:$B$63,2,0),0)</f>
        <v>0</v>
      </c>
      <c r="L240" s="138">
        <f>IF('1.DATOS-PROD'!U241="SI",VLOOKUP('1.DATOS-PROD'!U$2,'1.PUNTOS'!$A$1:$B$63,2,0),0)</f>
        <v>0</v>
      </c>
      <c r="M240" s="138">
        <f>IF('1.DATOS-PROD'!V241="SI",VLOOKUP('1.DATOS-PROD'!V$2,'1.PUNTOS'!$A$1:$B$63,2,0),0)</f>
        <v>0</v>
      </c>
      <c r="N240" s="138">
        <f>IF('1.DATOS-PROD'!W241="SI",VLOOKUP('1.DATOS-PROD'!W$2,'1.PUNTOS'!$A$1:$B$63,2,0),0)</f>
        <v>0</v>
      </c>
      <c r="O240" s="138">
        <f>IF('1.DATOS-PROD'!X241="SI",VLOOKUP('1.DATOS-PROD'!X$2,'1.PUNTOS'!$A$1:$B$63,2,0),0)</f>
        <v>0</v>
      </c>
      <c r="P240" s="138">
        <f>IF('1.DATOS-PROD'!Y241="SI",VLOOKUP('1.DATOS-PROD'!Y$2,'1.PUNTOS'!$A$1:$B$63,2,0),0)</f>
        <v>0</v>
      </c>
      <c r="Q240" s="138">
        <f>IF('1.DATOS-PROD'!Z241="SI",VLOOKUP('1.DATOS-PROD'!Z$2,'1.PUNTOS'!$A$1:$B$63,2,0),0)</f>
        <v>0</v>
      </c>
      <c r="R240" s="138">
        <f>IF('1.DATOS-PROD'!AA241="SI",VLOOKUP('1.DATOS-PROD'!AA$2,'1.PUNTOS'!$A$1:$B$63,2,0),0)</f>
        <v>0</v>
      </c>
      <c r="S240" s="138">
        <f>IF('1.DATOS-PROD'!AB241="SI",VLOOKUP('1.DATOS-PROD'!AB$2,'1.PUNTOS'!$A$1:$B$63,2,0),0)</f>
        <v>0</v>
      </c>
      <c r="T240" s="138">
        <f>IF('1.DATOS-PROD'!AC241="SI",VLOOKUP('1.DATOS-PROD'!AC$2,'1.PUNTOS'!$A$1:$B$63,2,0),0)</f>
        <v>0</v>
      </c>
      <c r="U240" s="138">
        <f>IF('1.DATOS-PROD'!AD241="SI",VLOOKUP('1.DATOS-PROD'!AD$2,'1.PUNTOS'!$A$1:$B$63,2,0),0)</f>
        <v>0</v>
      </c>
      <c r="V240" s="138">
        <f>IF('1.DATOS-PROD'!AE241="SI",VLOOKUP('1.DATOS-PROD'!AE$2,'1.PUNTOS'!$A$1:$B$63,2,0),0)</f>
        <v>0</v>
      </c>
      <c r="W240" s="138">
        <f>IF('1.DATOS-PROD'!AF241="SI",VLOOKUP('1.DATOS-PROD'!AF$2,'1.PUNTOS'!$A$1:$B$63,2,0),0)</f>
        <v>0</v>
      </c>
      <c r="X240" s="138">
        <f>IF('1.DATOS-PROD'!AG241="SI",VLOOKUP('1.DATOS-PROD'!AG$2,'1.PUNTOS'!$A$1:$B$63,2,0),0)</f>
        <v>0</v>
      </c>
      <c r="Y240" s="138">
        <f>IF('1.DATOS-PROD'!AH241="SI",VLOOKUP('1.DATOS-PROD'!AH$2,'1.PUNTOS'!$A$1:$B$63,2,0),0)</f>
        <v>0</v>
      </c>
      <c r="Z240" s="138">
        <f>IF('1.DATOS-PROD'!AI241="SI",VLOOKUP('1.DATOS-PROD'!AI$2,'1.PUNTOS'!$A$1:$B$63,2,0),0)</f>
        <v>0</v>
      </c>
      <c r="AA240" s="138">
        <f>IF('1.DATOS-PROD'!AJ241="SI",VLOOKUP('1.DATOS-PROD'!AJ$2,'1.PUNTOS'!$A$1:$B$63,2,0),0)</f>
        <v>0</v>
      </c>
      <c r="AB240" s="138">
        <f>IF('1.DATOS-PROD'!AK241="SI",VLOOKUP('1.DATOS-PROD'!AK$2,'1.PUNTOS'!$A$1:$B$63,2,0),0)</f>
        <v>0</v>
      </c>
      <c r="AC240" s="138">
        <f>IF('1.DATOS-PROD'!AL241="SI",VLOOKUP('1.DATOS-PROD'!AL$2,'1.PUNTOS'!$A$1:$B$63,2,0),0)</f>
        <v>0</v>
      </c>
      <c r="AD240" s="138">
        <f>IF('1.DATOS-PROD'!AM241="SI",VLOOKUP('1.DATOS-PROD'!AM$2,'1.PUNTOS'!$A$1:$B$63,2,0),0)</f>
        <v>0</v>
      </c>
      <c r="AE240" s="138">
        <f>IF('1.DATOS-PROD'!AN241="SI",VLOOKUP('1.DATOS-PROD'!AN$2,'1.PUNTOS'!$A$1:$B$63,2,0),0)</f>
        <v>0</v>
      </c>
      <c r="AF240" s="138">
        <f>IF('1.DATOS-PROD'!AO241="SI",VLOOKUP('1.DATOS-PROD'!AO$2,'1.PUNTOS'!$A$1:$B$63,2,0),0)</f>
        <v>0</v>
      </c>
      <c r="AG240" s="138">
        <f>IF('1.DATOS-PROD'!AP241="SI",VLOOKUP('1.DATOS-PROD'!AP$2,'1.PUNTOS'!$A$1:$B$63,2,0),0)</f>
        <v>0</v>
      </c>
      <c r="AH240" s="138">
        <f>IF('1.DATOS-PROD'!AQ241="SI",VLOOKUP('1.DATOS-PROD'!AQ$2,'1.PUNTOS'!$A$1:$B$63,2,0),0)</f>
        <v>0</v>
      </c>
      <c r="AI240" s="138">
        <f>IF('1.DATOS-PROD'!AR241="SI",VLOOKUP('1.DATOS-PROD'!AR$2,'1.PUNTOS'!$A$1:$B$63,2,0),0)</f>
        <v>0</v>
      </c>
      <c r="AJ240" s="138">
        <f>IF('1.DATOS-PROD'!AS241="SI",VLOOKUP('1.DATOS-PROD'!AS$2,'1.PUNTOS'!$A$1:$B$63,2,0),0)</f>
        <v>0</v>
      </c>
      <c r="AK240" s="138">
        <f>IF('1.DATOS-PROD'!AT241="SI",VLOOKUP('1.DATOS-PROD'!AT$2,'1.PUNTOS'!$A$1:$B$63,2,0),0)</f>
        <v>0</v>
      </c>
      <c r="AL240" s="138">
        <f>IF('1.DATOS-PROD'!AU241="SI",VLOOKUP('1.DATOS-PROD'!AU$2,'1.PUNTOS'!$A$1:$B$63,2,0),0)</f>
        <v>0</v>
      </c>
      <c r="AM240" s="138">
        <f>IF('1.DATOS-PROD'!AV241="SI",VLOOKUP('1.DATOS-PROD'!AV$2,'1.PUNTOS'!$A$1:$B$63,2,0),0)</f>
        <v>0</v>
      </c>
      <c r="AN240" s="138">
        <f>IF('1.DATOS-PROD'!AW241="SI",VLOOKUP('1.DATOS-PROD'!AW$2,'1.PUNTOS'!$A$1:$B$63,2,0),0)</f>
        <v>0</v>
      </c>
      <c r="AO240" s="138">
        <f>IF('1.DATOS-PROD'!AX241="SI",VLOOKUP('1.DATOS-PROD'!AX$2,'1.PUNTOS'!$A$1:$B$63,2,0),0)</f>
        <v>0</v>
      </c>
      <c r="AP240" s="138">
        <f>IF('1.DATOS-PROD'!AY241="SI",VLOOKUP('1.DATOS-PROD'!AY$2,'1.PUNTOS'!$A$1:$B$63,2,0),0)</f>
        <v>0</v>
      </c>
      <c r="AQ240" s="138">
        <f>IF('1.DATOS-PROD'!AZ241="SI",VLOOKUP('1.DATOS-PROD'!AZ$2,'1.PUNTOS'!$A$1:$B$63,2,0),0)</f>
        <v>0</v>
      </c>
      <c r="AR240" s="138">
        <f>IF('1.DATOS-PROD'!BA241="SI",VLOOKUP('1.DATOS-PROD'!BA$2,'1.PUNTOS'!$A$1:$B$63,2,0),0)</f>
        <v>0</v>
      </c>
      <c r="AS240" s="138">
        <f>IF('1.DATOS-PROD'!BB241="SI",VLOOKUP('1.DATOS-PROD'!BB$2,'1.PUNTOS'!$A$1:$B$63,2,0),0)</f>
        <v>0</v>
      </c>
      <c r="AT240" s="138">
        <f>IF('1.DATOS-PROD'!BC241="SI",VLOOKUP('1.DATOS-PROD'!BC$2,'1.PUNTOS'!$A$1:$B$63,2,0),0)</f>
        <v>0</v>
      </c>
      <c r="AU240" s="138">
        <f>IF('1.DATOS-PROD'!BD241="SI",VLOOKUP('1.DATOS-PROD'!BD$2,'1.PUNTOS'!$A$1:$B$63,2,0),0)</f>
        <v>0</v>
      </c>
      <c r="AV240" s="138">
        <f>IF('1.DATOS-PROD'!BE241="SI",VLOOKUP('1.DATOS-PROD'!BE$2,'1.PUNTOS'!$A$1:$B$63,2,0),0)</f>
        <v>0</v>
      </c>
      <c r="AW240" s="138">
        <f>IF('1.DATOS-PROD'!BF241="SI",VLOOKUP('1.DATOS-PROD'!BF$2,'1.PUNTOS'!$A$1:$B$63,2,0),0)</f>
        <v>0</v>
      </c>
      <c r="AX240" s="138">
        <f>IF('1.DATOS-PROD'!BG241="SI",VLOOKUP('1.DATOS-PROD'!BG$2,'1.PUNTOS'!$A$1:$B$63,2,0),0)</f>
        <v>0</v>
      </c>
      <c r="AY240" s="138">
        <f>IF('1.DATOS-PROD'!BH241="SI",VLOOKUP('1.DATOS-PROD'!BH$2,'1.PUNTOS'!$A$1:$B$63,2,0),0)</f>
        <v>0</v>
      </c>
      <c r="AZ240" s="138">
        <f>IF('1.DATOS-PROD'!BI241="SI",VLOOKUP('1.DATOS-PROD'!BI$2,'1.PUNTOS'!$A$1:$B$63,2,0),0)</f>
        <v>0</v>
      </c>
      <c r="BA240" s="138">
        <f>IF('1.DATOS-PROD'!BJ241="SI",VLOOKUP('1.DATOS-PROD'!BJ$2,'1.PUNTOS'!$A$1:$B$63,2,0),0)</f>
        <v>0</v>
      </c>
      <c r="BB240" s="138">
        <f>IF('1.DATOS-PROD'!BK241="SI",VLOOKUP('1.DATOS-PROD'!BK$2,'1.PUNTOS'!$A$1:$B$63,2,0),0)</f>
        <v>0</v>
      </c>
      <c r="BC240" s="138">
        <f>IF('1.DATOS-PROD'!BL241="SI",VLOOKUP('1.DATOS-PROD'!BL$2,'1.PUNTOS'!$A$1:$B$63,2,0),0)</f>
        <v>0</v>
      </c>
      <c r="BD240" s="138">
        <f>IF('1.DATOS-PROD'!BM241="SI",VLOOKUP('1.DATOS-PROD'!BM$2,'1.PUNTOS'!$A$1:$B$63,2,0),0)</f>
        <v>0</v>
      </c>
      <c r="BE240" s="138">
        <f>IF('1.DATOS-PROD'!BN241="SI",VLOOKUP('1.DATOS-PROD'!BN$2,'1.PUNTOS'!$A$1:$B$63,2,0),0)</f>
        <v>0</v>
      </c>
      <c r="BF240" s="138">
        <f>IF('1.DATOS-PROD'!BO241="SI",VLOOKUP('1.DATOS-PROD'!BO$2,'1.PUNTOS'!$A$1:$B$63,2,0),0)</f>
        <v>0</v>
      </c>
      <c r="BG240" s="138">
        <f>IF('1.DATOS-PROD'!BP241="SI",VLOOKUP('1.DATOS-PROD'!BP$2,'1.PUNTOS'!$A$1:$B$63,2,0),0)</f>
        <v>0</v>
      </c>
      <c r="BH240" s="138">
        <f>IF('1.DATOS-PROD'!BQ241="SI",VLOOKUP('1.DATOS-PROD'!BQ$2,'1.PUNTOS'!$A$1:$B$63,2,0),0)</f>
        <v>0</v>
      </c>
      <c r="BI240" s="138">
        <f>IF('1.DATOS-PROD'!BR241="SI",VLOOKUP('1.DATOS-PROD'!BR$2,'1.PUNTOS'!$A$1:$B$63,2,0),0)</f>
        <v>0</v>
      </c>
      <c r="BJ240" s="138">
        <f>IF('1.DATOS-PROD'!BS241="SI",VLOOKUP('1.DATOS-PROD'!BS$2,'1.PUNTOS'!$A$1:$B$63,2,0),0)</f>
        <v>0</v>
      </c>
      <c r="BK240" s="138">
        <f>IF('1.DATOS-PROD'!BT241="SI",VLOOKUP('1.DATOS-PROD'!BT$2,'1.PUNTOS'!$A$1:$B$63,2,0),0)</f>
        <v>0</v>
      </c>
    </row>
    <row r="241" spans="1:63" x14ac:dyDescent="0.25">
      <c r="A241">
        <f>'0.Consolidado general'!$A242</f>
        <v>0</v>
      </c>
      <c r="B241" s="138">
        <f>IF('1.DATOS-PROD'!K242="SI",VLOOKUP('1.DATOS-PROD'!K$2,'1.PUNTOS'!$A$1:$B$63,2,0),0)</f>
        <v>0</v>
      </c>
      <c r="C241" s="138">
        <f>IF('1.DATOS-PROD'!L242="SI",VLOOKUP('1.DATOS-PROD'!L$2,'1.PUNTOS'!$A$1:$B$63,2,0),0)</f>
        <v>0</v>
      </c>
      <c r="D241" s="138">
        <f>IF('1.DATOS-PROD'!M242="SI",VLOOKUP('1.DATOS-PROD'!M$2,'1.PUNTOS'!$A$1:$B$63,2,0),0)</f>
        <v>0</v>
      </c>
      <c r="E241" s="138">
        <f>IF('1.DATOS-PROD'!N242="SI",VLOOKUP('1.DATOS-PROD'!N$2,'1.PUNTOS'!$A$1:$B$63,2,0),0)</f>
        <v>0</v>
      </c>
      <c r="F241" s="138">
        <f>IF('1.DATOS-PROD'!O242="SI",VLOOKUP('1.DATOS-PROD'!O$2,'1.PUNTOS'!$A$1:$B$63,2,0),0)</f>
        <v>0</v>
      </c>
      <c r="G241" s="138">
        <f>IF('1.DATOS-PROD'!P242="SI",VLOOKUP('1.DATOS-PROD'!P$2,'1.PUNTOS'!$A$1:$B$63,2,0),0)</f>
        <v>0</v>
      </c>
      <c r="H241" s="138">
        <f>IF('1.DATOS-PROD'!Q242="SI",VLOOKUP('1.DATOS-PROD'!Q$2,'1.PUNTOS'!$A$1:$B$63,2,0),0)</f>
        <v>0</v>
      </c>
      <c r="I241" s="138">
        <f>IF('1.DATOS-PROD'!R242="SI",VLOOKUP('1.DATOS-PROD'!R$2,'1.PUNTOS'!$A$1:$B$63,2,0),0)</f>
        <v>0</v>
      </c>
      <c r="J241" s="138">
        <f>IF('1.DATOS-PROD'!S242="SI",VLOOKUP('1.DATOS-PROD'!S$2,'1.PUNTOS'!$A$1:$B$63,2,0),0)</f>
        <v>0</v>
      </c>
      <c r="K241" s="138">
        <f>IF('1.DATOS-PROD'!T242="SI",VLOOKUP('1.DATOS-PROD'!T$2,'1.PUNTOS'!$A$1:$B$63,2,0),0)</f>
        <v>0</v>
      </c>
      <c r="L241" s="138">
        <f>IF('1.DATOS-PROD'!U242="SI",VLOOKUP('1.DATOS-PROD'!U$2,'1.PUNTOS'!$A$1:$B$63,2,0),0)</f>
        <v>0</v>
      </c>
      <c r="M241" s="138">
        <f>IF('1.DATOS-PROD'!V242="SI",VLOOKUP('1.DATOS-PROD'!V$2,'1.PUNTOS'!$A$1:$B$63,2,0),0)</f>
        <v>0</v>
      </c>
      <c r="N241" s="138">
        <f>IF('1.DATOS-PROD'!W242="SI",VLOOKUP('1.DATOS-PROD'!W$2,'1.PUNTOS'!$A$1:$B$63,2,0),0)</f>
        <v>0</v>
      </c>
      <c r="O241" s="138">
        <f>IF('1.DATOS-PROD'!X242="SI",VLOOKUP('1.DATOS-PROD'!X$2,'1.PUNTOS'!$A$1:$B$63,2,0),0)</f>
        <v>0</v>
      </c>
      <c r="P241" s="138">
        <f>IF('1.DATOS-PROD'!Y242="SI",VLOOKUP('1.DATOS-PROD'!Y$2,'1.PUNTOS'!$A$1:$B$63,2,0),0)</f>
        <v>0</v>
      </c>
      <c r="Q241" s="138">
        <f>IF('1.DATOS-PROD'!Z242="SI",VLOOKUP('1.DATOS-PROD'!Z$2,'1.PUNTOS'!$A$1:$B$63,2,0),0)</f>
        <v>0</v>
      </c>
      <c r="R241" s="138">
        <f>IF('1.DATOS-PROD'!AA242="SI",VLOOKUP('1.DATOS-PROD'!AA$2,'1.PUNTOS'!$A$1:$B$63,2,0),0)</f>
        <v>0</v>
      </c>
      <c r="S241" s="138">
        <f>IF('1.DATOS-PROD'!AB242="SI",VLOOKUP('1.DATOS-PROD'!AB$2,'1.PUNTOS'!$A$1:$B$63,2,0),0)</f>
        <v>0</v>
      </c>
      <c r="T241" s="138">
        <f>IF('1.DATOS-PROD'!AC242="SI",VLOOKUP('1.DATOS-PROD'!AC$2,'1.PUNTOS'!$A$1:$B$63,2,0),0)</f>
        <v>0</v>
      </c>
      <c r="U241" s="138">
        <f>IF('1.DATOS-PROD'!AD242="SI",VLOOKUP('1.DATOS-PROD'!AD$2,'1.PUNTOS'!$A$1:$B$63,2,0),0)</f>
        <v>0</v>
      </c>
      <c r="V241" s="138">
        <f>IF('1.DATOS-PROD'!AE242="SI",VLOOKUP('1.DATOS-PROD'!AE$2,'1.PUNTOS'!$A$1:$B$63,2,0),0)</f>
        <v>0</v>
      </c>
      <c r="W241" s="138">
        <f>IF('1.DATOS-PROD'!AF242="SI",VLOOKUP('1.DATOS-PROD'!AF$2,'1.PUNTOS'!$A$1:$B$63,2,0),0)</f>
        <v>0</v>
      </c>
      <c r="X241" s="138">
        <f>IF('1.DATOS-PROD'!AG242="SI",VLOOKUP('1.DATOS-PROD'!AG$2,'1.PUNTOS'!$A$1:$B$63,2,0),0)</f>
        <v>0</v>
      </c>
      <c r="Y241" s="138">
        <f>IF('1.DATOS-PROD'!AH242="SI",VLOOKUP('1.DATOS-PROD'!AH$2,'1.PUNTOS'!$A$1:$B$63,2,0),0)</f>
        <v>0</v>
      </c>
      <c r="Z241" s="138">
        <f>IF('1.DATOS-PROD'!AI242="SI",VLOOKUP('1.DATOS-PROD'!AI$2,'1.PUNTOS'!$A$1:$B$63,2,0),0)</f>
        <v>0</v>
      </c>
      <c r="AA241" s="138">
        <f>IF('1.DATOS-PROD'!AJ242="SI",VLOOKUP('1.DATOS-PROD'!AJ$2,'1.PUNTOS'!$A$1:$B$63,2,0),0)</f>
        <v>0</v>
      </c>
      <c r="AB241" s="138">
        <f>IF('1.DATOS-PROD'!AK242="SI",VLOOKUP('1.DATOS-PROD'!AK$2,'1.PUNTOS'!$A$1:$B$63,2,0),0)</f>
        <v>0</v>
      </c>
      <c r="AC241" s="138">
        <f>IF('1.DATOS-PROD'!AL242="SI",VLOOKUP('1.DATOS-PROD'!AL$2,'1.PUNTOS'!$A$1:$B$63,2,0),0)</f>
        <v>0</v>
      </c>
      <c r="AD241" s="138">
        <f>IF('1.DATOS-PROD'!AM242="SI",VLOOKUP('1.DATOS-PROD'!AM$2,'1.PUNTOS'!$A$1:$B$63,2,0),0)</f>
        <v>0</v>
      </c>
      <c r="AE241" s="138">
        <f>IF('1.DATOS-PROD'!AN242="SI",VLOOKUP('1.DATOS-PROD'!AN$2,'1.PUNTOS'!$A$1:$B$63,2,0),0)</f>
        <v>0</v>
      </c>
      <c r="AF241" s="138">
        <f>IF('1.DATOS-PROD'!AO242="SI",VLOOKUP('1.DATOS-PROD'!AO$2,'1.PUNTOS'!$A$1:$B$63,2,0),0)</f>
        <v>0</v>
      </c>
      <c r="AG241" s="138">
        <f>IF('1.DATOS-PROD'!AP242="SI",VLOOKUP('1.DATOS-PROD'!AP$2,'1.PUNTOS'!$A$1:$B$63,2,0),0)</f>
        <v>0</v>
      </c>
      <c r="AH241" s="138">
        <f>IF('1.DATOS-PROD'!AQ242="SI",VLOOKUP('1.DATOS-PROD'!AQ$2,'1.PUNTOS'!$A$1:$B$63,2,0),0)</f>
        <v>0</v>
      </c>
      <c r="AI241" s="138">
        <f>IF('1.DATOS-PROD'!AR242="SI",VLOOKUP('1.DATOS-PROD'!AR$2,'1.PUNTOS'!$A$1:$B$63,2,0),0)</f>
        <v>0</v>
      </c>
      <c r="AJ241" s="138">
        <f>IF('1.DATOS-PROD'!AS242="SI",VLOOKUP('1.DATOS-PROD'!AS$2,'1.PUNTOS'!$A$1:$B$63,2,0),0)</f>
        <v>0</v>
      </c>
      <c r="AK241" s="138">
        <f>IF('1.DATOS-PROD'!AT242="SI",VLOOKUP('1.DATOS-PROD'!AT$2,'1.PUNTOS'!$A$1:$B$63,2,0),0)</f>
        <v>0</v>
      </c>
      <c r="AL241" s="138">
        <f>IF('1.DATOS-PROD'!AU242="SI",VLOOKUP('1.DATOS-PROD'!AU$2,'1.PUNTOS'!$A$1:$B$63,2,0),0)</f>
        <v>0</v>
      </c>
      <c r="AM241" s="138">
        <f>IF('1.DATOS-PROD'!AV242="SI",VLOOKUP('1.DATOS-PROD'!AV$2,'1.PUNTOS'!$A$1:$B$63,2,0),0)</f>
        <v>0</v>
      </c>
      <c r="AN241" s="138">
        <f>IF('1.DATOS-PROD'!AW242="SI",VLOOKUP('1.DATOS-PROD'!AW$2,'1.PUNTOS'!$A$1:$B$63,2,0),0)</f>
        <v>0</v>
      </c>
      <c r="AO241" s="138">
        <f>IF('1.DATOS-PROD'!AX242="SI",VLOOKUP('1.DATOS-PROD'!AX$2,'1.PUNTOS'!$A$1:$B$63,2,0),0)</f>
        <v>0</v>
      </c>
      <c r="AP241" s="138">
        <f>IF('1.DATOS-PROD'!AY242="SI",VLOOKUP('1.DATOS-PROD'!AY$2,'1.PUNTOS'!$A$1:$B$63,2,0),0)</f>
        <v>0</v>
      </c>
      <c r="AQ241" s="138">
        <f>IF('1.DATOS-PROD'!AZ242="SI",VLOOKUP('1.DATOS-PROD'!AZ$2,'1.PUNTOS'!$A$1:$B$63,2,0),0)</f>
        <v>0</v>
      </c>
      <c r="AR241" s="138">
        <f>IF('1.DATOS-PROD'!BA242="SI",VLOOKUP('1.DATOS-PROD'!BA$2,'1.PUNTOS'!$A$1:$B$63,2,0),0)</f>
        <v>0</v>
      </c>
      <c r="AS241" s="138">
        <f>IF('1.DATOS-PROD'!BB242="SI",VLOOKUP('1.DATOS-PROD'!BB$2,'1.PUNTOS'!$A$1:$B$63,2,0),0)</f>
        <v>0</v>
      </c>
      <c r="AT241" s="138">
        <f>IF('1.DATOS-PROD'!BC242="SI",VLOOKUP('1.DATOS-PROD'!BC$2,'1.PUNTOS'!$A$1:$B$63,2,0),0)</f>
        <v>0</v>
      </c>
      <c r="AU241" s="138">
        <f>IF('1.DATOS-PROD'!BD242="SI",VLOOKUP('1.DATOS-PROD'!BD$2,'1.PUNTOS'!$A$1:$B$63,2,0),0)</f>
        <v>0</v>
      </c>
      <c r="AV241" s="138">
        <f>IF('1.DATOS-PROD'!BE242="SI",VLOOKUP('1.DATOS-PROD'!BE$2,'1.PUNTOS'!$A$1:$B$63,2,0),0)</f>
        <v>0</v>
      </c>
      <c r="AW241" s="138">
        <f>IF('1.DATOS-PROD'!BF242="SI",VLOOKUP('1.DATOS-PROD'!BF$2,'1.PUNTOS'!$A$1:$B$63,2,0),0)</f>
        <v>0</v>
      </c>
      <c r="AX241" s="138">
        <f>IF('1.DATOS-PROD'!BG242="SI",VLOOKUP('1.DATOS-PROD'!BG$2,'1.PUNTOS'!$A$1:$B$63,2,0),0)</f>
        <v>0</v>
      </c>
      <c r="AY241" s="138">
        <f>IF('1.DATOS-PROD'!BH242="SI",VLOOKUP('1.DATOS-PROD'!BH$2,'1.PUNTOS'!$A$1:$B$63,2,0),0)</f>
        <v>0</v>
      </c>
      <c r="AZ241" s="138">
        <f>IF('1.DATOS-PROD'!BI242="SI",VLOOKUP('1.DATOS-PROD'!BI$2,'1.PUNTOS'!$A$1:$B$63,2,0),0)</f>
        <v>0</v>
      </c>
      <c r="BA241" s="138">
        <f>IF('1.DATOS-PROD'!BJ242="SI",VLOOKUP('1.DATOS-PROD'!BJ$2,'1.PUNTOS'!$A$1:$B$63,2,0),0)</f>
        <v>0</v>
      </c>
      <c r="BB241" s="138">
        <f>IF('1.DATOS-PROD'!BK242="SI",VLOOKUP('1.DATOS-PROD'!BK$2,'1.PUNTOS'!$A$1:$B$63,2,0),0)</f>
        <v>0</v>
      </c>
      <c r="BC241" s="138">
        <f>IF('1.DATOS-PROD'!BL242="SI",VLOOKUP('1.DATOS-PROD'!BL$2,'1.PUNTOS'!$A$1:$B$63,2,0),0)</f>
        <v>0</v>
      </c>
      <c r="BD241" s="138">
        <f>IF('1.DATOS-PROD'!BM242="SI",VLOOKUP('1.DATOS-PROD'!BM$2,'1.PUNTOS'!$A$1:$B$63,2,0),0)</f>
        <v>0</v>
      </c>
      <c r="BE241" s="138">
        <f>IF('1.DATOS-PROD'!BN242="SI",VLOOKUP('1.DATOS-PROD'!BN$2,'1.PUNTOS'!$A$1:$B$63,2,0),0)</f>
        <v>0</v>
      </c>
      <c r="BF241" s="138">
        <f>IF('1.DATOS-PROD'!BO242="SI",VLOOKUP('1.DATOS-PROD'!BO$2,'1.PUNTOS'!$A$1:$B$63,2,0),0)</f>
        <v>0</v>
      </c>
      <c r="BG241" s="138">
        <f>IF('1.DATOS-PROD'!BP242="SI",VLOOKUP('1.DATOS-PROD'!BP$2,'1.PUNTOS'!$A$1:$B$63,2,0),0)</f>
        <v>0</v>
      </c>
      <c r="BH241" s="138">
        <f>IF('1.DATOS-PROD'!BQ242="SI",VLOOKUP('1.DATOS-PROD'!BQ$2,'1.PUNTOS'!$A$1:$B$63,2,0),0)</f>
        <v>0</v>
      </c>
      <c r="BI241" s="138">
        <f>IF('1.DATOS-PROD'!BR242="SI",VLOOKUP('1.DATOS-PROD'!BR$2,'1.PUNTOS'!$A$1:$B$63,2,0),0)</f>
        <v>0</v>
      </c>
      <c r="BJ241" s="138">
        <f>IF('1.DATOS-PROD'!BS242="SI",VLOOKUP('1.DATOS-PROD'!BS$2,'1.PUNTOS'!$A$1:$B$63,2,0),0)</f>
        <v>0</v>
      </c>
      <c r="BK241" s="138">
        <f>IF('1.DATOS-PROD'!BT242="SI",VLOOKUP('1.DATOS-PROD'!BT$2,'1.PUNTOS'!$A$1:$B$63,2,0),0)</f>
        <v>0</v>
      </c>
    </row>
    <row r="242" spans="1:63" x14ac:dyDescent="0.25">
      <c r="A242">
        <f>'0.Consolidado general'!$A243</f>
        <v>0</v>
      </c>
      <c r="B242" s="138">
        <f>IF('1.DATOS-PROD'!K243="SI",VLOOKUP('1.DATOS-PROD'!K$2,'1.PUNTOS'!$A$1:$B$63,2,0),0)</f>
        <v>0</v>
      </c>
      <c r="C242" s="138">
        <f>IF('1.DATOS-PROD'!L243="SI",VLOOKUP('1.DATOS-PROD'!L$2,'1.PUNTOS'!$A$1:$B$63,2,0),0)</f>
        <v>0</v>
      </c>
      <c r="D242" s="138">
        <f>IF('1.DATOS-PROD'!M243="SI",VLOOKUP('1.DATOS-PROD'!M$2,'1.PUNTOS'!$A$1:$B$63,2,0),0)</f>
        <v>0</v>
      </c>
      <c r="E242" s="138">
        <f>IF('1.DATOS-PROD'!N243="SI",VLOOKUP('1.DATOS-PROD'!N$2,'1.PUNTOS'!$A$1:$B$63,2,0),0)</f>
        <v>0</v>
      </c>
      <c r="F242" s="138">
        <f>IF('1.DATOS-PROD'!O243="SI",VLOOKUP('1.DATOS-PROD'!O$2,'1.PUNTOS'!$A$1:$B$63,2,0),0)</f>
        <v>0</v>
      </c>
      <c r="G242" s="138">
        <f>IF('1.DATOS-PROD'!P243="SI",VLOOKUP('1.DATOS-PROD'!P$2,'1.PUNTOS'!$A$1:$B$63,2,0),0)</f>
        <v>0</v>
      </c>
      <c r="H242" s="138">
        <f>IF('1.DATOS-PROD'!Q243="SI",VLOOKUP('1.DATOS-PROD'!Q$2,'1.PUNTOS'!$A$1:$B$63,2,0),0)</f>
        <v>0</v>
      </c>
      <c r="I242" s="138">
        <f>IF('1.DATOS-PROD'!R243="SI",VLOOKUP('1.DATOS-PROD'!R$2,'1.PUNTOS'!$A$1:$B$63,2,0),0)</f>
        <v>0</v>
      </c>
      <c r="J242" s="138">
        <f>IF('1.DATOS-PROD'!S243="SI",VLOOKUP('1.DATOS-PROD'!S$2,'1.PUNTOS'!$A$1:$B$63,2,0),0)</f>
        <v>0</v>
      </c>
      <c r="K242" s="138">
        <f>IF('1.DATOS-PROD'!T243="SI",VLOOKUP('1.DATOS-PROD'!T$2,'1.PUNTOS'!$A$1:$B$63,2,0),0)</f>
        <v>0</v>
      </c>
      <c r="L242" s="138">
        <f>IF('1.DATOS-PROD'!U243="SI",VLOOKUP('1.DATOS-PROD'!U$2,'1.PUNTOS'!$A$1:$B$63,2,0),0)</f>
        <v>0</v>
      </c>
      <c r="M242" s="138">
        <f>IF('1.DATOS-PROD'!V243="SI",VLOOKUP('1.DATOS-PROD'!V$2,'1.PUNTOS'!$A$1:$B$63,2,0),0)</f>
        <v>0</v>
      </c>
      <c r="N242" s="138">
        <f>IF('1.DATOS-PROD'!W243="SI",VLOOKUP('1.DATOS-PROD'!W$2,'1.PUNTOS'!$A$1:$B$63,2,0),0)</f>
        <v>0</v>
      </c>
      <c r="O242" s="138">
        <f>IF('1.DATOS-PROD'!X243="SI",VLOOKUP('1.DATOS-PROD'!X$2,'1.PUNTOS'!$A$1:$B$63,2,0),0)</f>
        <v>0</v>
      </c>
      <c r="P242" s="138">
        <f>IF('1.DATOS-PROD'!Y243="SI",VLOOKUP('1.DATOS-PROD'!Y$2,'1.PUNTOS'!$A$1:$B$63,2,0),0)</f>
        <v>0</v>
      </c>
      <c r="Q242" s="138">
        <f>IF('1.DATOS-PROD'!Z243="SI",VLOOKUP('1.DATOS-PROD'!Z$2,'1.PUNTOS'!$A$1:$B$63,2,0),0)</f>
        <v>0</v>
      </c>
      <c r="R242" s="138">
        <f>IF('1.DATOS-PROD'!AA243="SI",VLOOKUP('1.DATOS-PROD'!AA$2,'1.PUNTOS'!$A$1:$B$63,2,0),0)</f>
        <v>0</v>
      </c>
      <c r="S242" s="138">
        <f>IF('1.DATOS-PROD'!AB243="SI",VLOOKUP('1.DATOS-PROD'!AB$2,'1.PUNTOS'!$A$1:$B$63,2,0),0)</f>
        <v>0</v>
      </c>
      <c r="T242" s="138">
        <f>IF('1.DATOS-PROD'!AC243="SI",VLOOKUP('1.DATOS-PROD'!AC$2,'1.PUNTOS'!$A$1:$B$63,2,0),0)</f>
        <v>0</v>
      </c>
      <c r="U242" s="138">
        <f>IF('1.DATOS-PROD'!AD243="SI",VLOOKUP('1.DATOS-PROD'!AD$2,'1.PUNTOS'!$A$1:$B$63,2,0),0)</f>
        <v>0</v>
      </c>
      <c r="V242" s="138">
        <f>IF('1.DATOS-PROD'!AE243="SI",VLOOKUP('1.DATOS-PROD'!AE$2,'1.PUNTOS'!$A$1:$B$63,2,0),0)</f>
        <v>0</v>
      </c>
      <c r="W242" s="138">
        <f>IF('1.DATOS-PROD'!AF243="SI",VLOOKUP('1.DATOS-PROD'!AF$2,'1.PUNTOS'!$A$1:$B$63,2,0),0)</f>
        <v>0</v>
      </c>
      <c r="X242" s="138">
        <f>IF('1.DATOS-PROD'!AG243="SI",VLOOKUP('1.DATOS-PROD'!AG$2,'1.PUNTOS'!$A$1:$B$63,2,0),0)</f>
        <v>0</v>
      </c>
      <c r="Y242" s="138">
        <f>IF('1.DATOS-PROD'!AH243="SI",VLOOKUP('1.DATOS-PROD'!AH$2,'1.PUNTOS'!$A$1:$B$63,2,0),0)</f>
        <v>0</v>
      </c>
      <c r="Z242" s="138">
        <f>IF('1.DATOS-PROD'!AI243="SI",VLOOKUP('1.DATOS-PROD'!AI$2,'1.PUNTOS'!$A$1:$B$63,2,0),0)</f>
        <v>0</v>
      </c>
      <c r="AA242" s="138">
        <f>IF('1.DATOS-PROD'!AJ243="SI",VLOOKUP('1.DATOS-PROD'!AJ$2,'1.PUNTOS'!$A$1:$B$63,2,0),0)</f>
        <v>0</v>
      </c>
      <c r="AB242" s="138">
        <f>IF('1.DATOS-PROD'!AK243="SI",VLOOKUP('1.DATOS-PROD'!AK$2,'1.PUNTOS'!$A$1:$B$63,2,0),0)</f>
        <v>0</v>
      </c>
      <c r="AC242" s="138">
        <f>IF('1.DATOS-PROD'!AL243="SI",VLOOKUP('1.DATOS-PROD'!AL$2,'1.PUNTOS'!$A$1:$B$63,2,0),0)</f>
        <v>0</v>
      </c>
      <c r="AD242" s="138">
        <f>IF('1.DATOS-PROD'!AM243="SI",VLOOKUP('1.DATOS-PROD'!AM$2,'1.PUNTOS'!$A$1:$B$63,2,0),0)</f>
        <v>0</v>
      </c>
      <c r="AE242" s="138">
        <f>IF('1.DATOS-PROD'!AN243="SI",VLOOKUP('1.DATOS-PROD'!AN$2,'1.PUNTOS'!$A$1:$B$63,2,0),0)</f>
        <v>0</v>
      </c>
      <c r="AF242" s="138">
        <f>IF('1.DATOS-PROD'!AO243="SI",VLOOKUP('1.DATOS-PROD'!AO$2,'1.PUNTOS'!$A$1:$B$63,2,0),0)</f>
        <v>0</v>
      </c>
      <c r="AG242" s="138">
        <f>IF('1.DATOS-PROD'!AP243="SI",VLOOKUP('1.DATOS-PROD'!AP$2,'1.PUNTOS'!$A$1:$B$63,2,0),0)</f>
        <v>0</v>
      </c>
      <c r="AH242" s="138">
        <f>IF('1.DATOS-PROD'!AQ243="SI",VLOOKUP('1.DATOS-PROD'!AQ$2,'1.PUNTOS'!$A$1:$B$63,2,0),0)</f>
        <v>0</v>
      </c>
      <c r="AI242" s="138">
        <f>IF('1.DATOS-PROD'!AR243="SI",VLOOKUP('1.DATOS-PROD'!AR$2,'1.PUNTOS'!$A$1:$B$63,2,0),0)</f>
        <v>0</v>
      </c>
      <c r="AJ242" s="138">
        <f>IF('1.DATOS-PROD'!AS243="SI",VLOOKUP('1.DATOS-PROD'!AS$2,'1.PUNTOS'!$A$1:$B$63,2,0),0)</f>
        <v>0</v>
      </c>
      <c r="AK242" s="138">
        <f>IF('1.DATOS-PROD'!AT243="SI",VLOOKUP('1.DATOS-PROD'!AT$2,'1.PUNTOS'!$A$1:$B$63,2,0),0)</f>
        <v>0</v>
      </c>
      <c r="AL242" s="138">
        <f>IF('1.DATOS-PROD'!AU243="SI",VLOOKUP('1.DATOS-PROD'!AU$2,'1.PUNTOS'!$A$1:$B$63,2,0),0)</f>
        <v>0</v>
      </c>
      <c r="AM242" s="138">
        <f>IF('1.DATOS-PROD'!AV243="SI",VLOOKUP('1.DATOS-PROD'!AV$2,'1.PUNTOS'!$A$1:$B$63,2,0),0)</f>
        <v>0</v>
      </c>
      <c r="AN242" s="138">
        <f>IF('1.DATOS-PROD'!AW243="SI",VLOOKUP('1.DATOS-PROD'!AW$2,'1.PUNTOS'!$A$1:$B$63,2,0),0)</f>
        <v>0</v>
      </c>
      <c r="AO242" s="138">
        <f>IF('1.DATOS-PROD'!AX243="SI",VLOOKUP('1.DATOS-PROD'!AX$2,'1.PUNTOS'!$A$1:$B$63,2,0),0)</f>
        <v>0</v>
      </c>
      <c r="AP242" s="138">
        <f>IF('1.DATOS-PROD'!AY243="SI",VLOOKUP('1.DATOS-PROD'!AY$2,'1.PUNTOS'!$A$1:$B$63,2,0),0)</f>
        <v>0</v>
      </c>
      <c r="AQ242" s="138">
        <f>IF('1.DATOS-PROD'!AZ243="SI",VLOOKUP('1.DATOS-PROD'!AZ$2,'1.PUNTOS'!$A$1:$B$63,2,0),0)</f>
        <v>0</v>
      </c>
      <c r="AR242" s="138">
        <f>IF('1.DATOS-PROD'!BA243="SI",VLOOKUP('1.DATOS-PROD'!BA$2,'1.PUNTOS'!$A$1:$B$63,2,0),0)</f>
        <v>0</v>
      </c>
      <c r="AS242" s="138">
        <f>IF('1.DATOS-PROD'!BB243="SI",VLOOKUP('1.DATOS-PROD'!BB$2,'1.PUNTOS'!$A$1:$B$63,2,0),0)</f>
        <v>0</v>
      </c>
      <c r="AT242" s="138">
        <f>IF('1.DATOS-PROD'!BC243="SI",VLOOKUP('1.DATOS-PROD'!BC$2,'1.PUNTOS'!$A$1:$B$63,2,0),0)</f>
        <v>0</v>
      </c>
      <c r="AU242" s="138">
        <f>IF('1.DATOS-PROD'!BD243="SI",VLOOKUP('1.DATOS-PROD'!BD$2,'1.PUNTOS'!$A$1:$B$63,2,0),0)</f>
        <v>0</v>
      </c>
      <c r="AV242" s="138">
        <f>IF('1.DATOS-PROD'!BE243="SI",VLOOKUP('1.DATOS-PROD'!BE$2,'1.PUNTOS'!$A$1:$B$63,2,0),0)</f>
        <v>0</v>
      </c>
      <c r="AW242" s="138">
        <f>IF('1.DATOS-PROD'!BF243="SI",VLOOKUP('1.DATOS-PROD'!BF$2,'1.PUNTOS'!$A$1:$B$63,2,0),0)</f>
        <v>0</v>
      </c>
      <c r="AX242" s="138">
        <f>IF('1.DATOS-PROD'!BG243="SI",VLOOKUP('1.DATOS-PROD'!BG$2,'1.PUNTOS'!$A$1:$B$63,2,0),0)</f>
        <v>0</v>
      </c>
      <c r="AY242" s="138">
        <f>IF('1.DATOS-PROD'!BH243="SI",VLOOKUP('1.DATOS-PROD'!BH$2,'1.PUNTOS'!$A$1:$B$63,2,0),0)</f>
        <v>0</v>
      </c>
      <c r="AZ242" s="138">
        <f>IF('1.DATOS-PROD'!BI243="SI",VLOOKUP('1.DATOS-PROD'!BI$2,'1.PUNTOS'!$A$1:$B$63,2,0),0)</f>
        <v>0</v>
      </c>
      <c r="BA242" s="138">
        <f>IF('1.DATOS-PROD'!BJ243="SI",VLOOKUP('1.DATOS-PROD'!BJ$2,'1.PUNTOS'!$A$1:$B$63,2,0),0)</f>
        <v>0</v>
      </c>
      <c r="BB242" s="138">
        <f>IF('1.DATOS-PROD'!BK243="SI",VLOOKUP('1.DATOS-PROD'!BK$2,'1.PUNTOS'!$A$1:$B$63,2,0),0)</f>
        <v>0</v>
      </c>
      <c r="BC242" s="138">
        <f>IF('1.DATOS-PROD'!BL243="SI",VLOOKUP('1.DATOS-PROD'!BL$2,'1.PUNTOS'!$A$1:$B$63,2,0),0)</f>
        <v>0</v>
      </c>
      <c r="BD242" s="138">
        <f>IF('1.DATOS-PROD'!BM243="SI",VLOOKUP('1.DATOS-PROD'!BM$2,'1.PUNTOS'!$A$1:$B$63,2,0),0)</f>
        <v>0</v>
      </c>
      <c r="BE242" s="138">
        <f>IF('1.DATOS-PROD'!BN243="SI",VLOOKUP('1.DATOS-PROD'!BN$2,'1.PUNTOS'!$A$1:$B$63,2,0),0)</f>
        <v>0</v>
      </c>
      <c r="BF242" s="138">
        <f>IF('1.DATOS-PROD'!BO243="SI",VLOOKUP('1.DATOS-PROD'!BO$2,'1.PUNTOS'!$A$1:$B$63,2,0),0)</f>
        <v>0</v>
      </c>
      <c r="BG242" s="138">
        <f>IF('1.DATOS-PROD'!BP243="SI",VLOOKUP('1.DATOS-PROD'!BP$2,'1.PUNTOS'!$A$1:$B$63,2,0),0)</f>
        <v>0</v>
      </c>
      <c r="BH242" s="138">
        <f>IF('1.DATOS-PROD'!BQ243="SI",VLOOKUP('1.DATOS-PROD'!BQ$2,'1.PUNTOS'!$A$1:$B$63,2,0),0)</f>
        <v>0</v>
      </c>
      <c r="BI242" s="138">
        <f>IF('1.DATOS-PROD'!BR243="SI",VLOOKUP('1.DATOS-PROD'!BR$2,'1.PUNTOS'!$A$1:$B$63,2,0),0)</f>
        <v>0</v>
      </c>
      <c r="BJ242" s="138">
        <f>IF('1.DATOS-PROD'!BS243="SI",VLOOKUP('1.DATOS-PROD'!BS$2,'1.PUNTOS'!$A$1:$B$63,2,0),0)</f>
        <v>0</v>
      </c>
      <c r="BK242" s="138">
        <f>IF('1.DATOS-PROD'!BT243="SI",VLOOKUP('1.DATOS-PROD'!BT$2,'1.PUNTOS'!$A$1:$B$63,2,0),0)</f>
        <v>0</v>
      </c>
    </row>
    <row r="243" spans="1:63" x14ac:dyDescent="0.25">
      <c r="A243">
        <f>'0.Consolidado general'!$A244</f>
        <v>0</v>
      </c>
      <c r="B243" s="138">
        <f>IF('1.DATOS-PROD'!K244="SI",VLOOKUP('1.DATOS-PROD'!K$2,'1.PUNTOS'!$A$1:$B$63,2,0),0)</f>
        <v>0</v>
      </c>
      <c r="C243" s="138">
        <f>IF('1.DATOS-PROD'!L244="SI",VLOOKUP('1.DATOS-PROD'!L$2,'1.PUNTOS'!$A$1:$B$63,2,0),0)</f>
        <v>0</v>
      </c>
      <c r="D243" s="138">
        <f>IF('1.DATOS-PROD'!M244="SI",VLOOKUP('1.DATOS-PROD'!M$2,'1.PUNTOS'!$A$1:$B$63,2,0),0)</f>
        <v>0</v>
      </c>
      <c r="E243" s="138">
        <f>IF('1.DATOS-PROD'!N244="SI",VLOOKUP('1.DATOS-PROD'!N$2,'1.PUNTOS'!$A$1:$B$63,2,0),0)</f>
        <v>0</v>
      </c>
      <c r="F243" s="138">
        <f>IF('1.DATOS-PROD'!O244="SI",VLOOKUP('1.DATOS-PROD'!O$2,'1.PUNTOS'!$A$1:$B$63,2,0),0)</f>
        <v>0</v>
      </c>
      <c r="G243" s="138">
        <f>IF('1.DATOS-PROD'!P244="SI",VLOOKUP('1.DATOS-PROD'!P$2,'1.PUNTOS'!$A$1:$B$63,2,0),0)</f>
        <v>0</v>
      </c>
      <c r="H243" s="138">
        <f>IF('1.DATOS-PROD'!Q244="SI",VLOOKUP('1.DATOS-PROD'!Q$2,'1.PUNTOS'!$A$1:$B$63,2,0),0)</f>
        <v>0</v>
      </c>
      <c r="I243" s="138">
        <f>IF('1.DATOS-PROD'!R244="SI",VLOOKUP('1.DATOS-PROD'!R$2,'1.PUNTOS'!$A$1:$B$63,2,0),0)</f>
        <v>0</v>
      </c>
      <c r="J243" s="138">
        <f>IF('1.DATOS-PROD'!S244="SI",VLOOKUP('1.DATOS-PROD'!S$2,'1.PUNTOS'!$A$1:$B$63,2,0),0)</f>
        <v>0</v>
      </c>
      <c r="K243" s="138">
        <f>IF('1.DATOS-PROD'!T244="SI",VLOOKUP('1.DATOS-PROD'!T$2,'1.PUNTOS'!$A$1:$B$63,2,0),0)</f>
        <v>0</v>
      </c>
      <c r="L243" s="138">
        <f>IF('1.DATOS-PROD'!U244="SI",VLOOKUP('1.DATOS-PROD'!U$2,'1.PUNTOS'!$A$1:$B$63,2,0),0)</f>
        <v>0</v>
      </c>
      <c r="M243" s="138">
        <f>IF('1.DATOS-PROD'!V244="SI",VLOOKUP('1.DATOS-PROD'!V$2,'1.PUNTOS'!$A$1:$B$63,2,0),0)</f>
        <v>0</v>
      </c>
      <c r="N243" s="138">
        <f>IF('1.DATOS-PROD'!W244="SI",VLOOKUP('1.DATOS-PROD'!W$2,'1.PUNTOS'!$A$1:$B$63,2,0),0)</f>
        <v>0</v>
      </c>
      <c r="O243" s="138">
        <f>IF('1.DATOS-PROD'!X244="SI",VLOOKUP('1.DATOS-PROD'!X$2,'1.PUNTOS'!$A$1:$B$63,2,0),0)</f>
        <v>0</v>
      </c>
      <c r="P243" s="138">
        <f>IF('1.DATOS-PROD'!Y244="SI",VLOOKUP('1.DATOS-PROD'!Y$2,'1.PUNTOS'!$A$1:$B$63,2,0),0)</f>
        <v>0</v>
      </c>
      <c r="Q243" s="138">
        <f>IF('1.DATOS-PROD'!Z244="SI",VLOOKUP('1.DATOS-PROD'!Z$2,'1.PUNTOS'!$A$1:$B$63,2,0),0)</f>
        <v>0</v>
      </c>
      <c r="R243" s="138">
        <f>IF('1.DATOS-PROD'!AA244="SI",VLOOKUP('1.DATOS-PROD'!AA$2,'1.PUNTOS'!$A$1:$B$63,2,0),0)</f>
        <v>0</v>
      </c>
      <c r="S243" s="138">
        <f>IF('1.DATOS-PROD'!AB244="SI",VLOOKUP('1.DATOS-PROD'!AB$2,'1.PUNTOS'!$A$1:$B$63,2,0),0)</f>
        <v>0</v>
      </c>
      <c r="T243" s="138">
        <f>IF('1.DATOS-PROD'!AC244="SI",VLOOKUP('1.DATOS-PROD'!AC$2,'1.PUNTOS'!$A$1:$B$63,2,0),0)</f>
        <v>0</v>
      </c>
      <c r="U243" s="138">
        <f>IF('1.DATOS-PROD'!AD244="SI",VLOOKUP('1.DATOS-PROD'!AD$2,'1.PUNTOS'!$A$1:$B$63,2,0),0)</f>
        <v>0</v>
      </c>
      <c r="V243" s="138">
        <f>IF('1.DATOS-PROD'!AE244="SI",VLOOKUP('1.DATOS-PROD'!AE$2,'1.PUNTOS'!$A$1:$B$63,2,0),0)</f>
        <v>0</v>
      </c>
      <c r="W243" s="138">
        <f>IF('1.DATOS-PROD'!AF244="SI",VLOOKUP('1.DATOS-PROD'!AF$2,'1.PUNTOS'!$A$1:$B$63,2,0),0)</f>
        <v>0</v>
      </c>
      <c r="X243" s="138">
        <f>IF('1.DATOS-PROD'!AG244="SI",VLOOKUP('1.DATOS-PROD'!AG$2,'1.PUNTOS'!$A$1:$B$63,2,0),0)</f>
        <v>0</v>
      </c>
      <c r="Y243" s="138">
        <f>IF('1.DATOS-PROD'!AH244="SI",VLOOKUP('1.DATOS-PROD'!AH$2,'1.PUNTOS'!$A$1:$B$63,2,0),0)</f>
        <v>0</v>
      </c>
      <c r="Z243" s="138">
        <f>IF('1.DATOS-PROD'!AI244="SI",VLOOKUP('1.DATOS-PROD'!AI$2,'1.PUNTOS'!$A$1:$B$63,2,0),0)</f>
        <v>0</v>
      </c>
      <c r="AA243" s="138">
        <f>IF('1.DATOS-PROD'!AJ244="SI",VLOOKUP('1.DATOS-PROD'!AJ$2,'1.PUNTOS'!$A$1:$B$63,2,0),0)</f>
        <v>0</v>
      </c>
      <c r="AB243" s="138">
        <f>IF('1.DATOS-PROD'!AK244="SI",VLOOKUP('1.DATOS-PROD'!AK$2,'1.PUNTOS'!$A$1:$B$63,2,0),0)</f>
        <v>0</v>
      </c>
      <c r="AC243" s="138">
        <f>IF('1.DATOS-PROD'!AL244="SI",VLOOKUP('1.DATOS-PROD'!AL$2,'1.PUNTOS'!$A$1:$B$63,2,0),0)</f>
        <v>0</v>
      </c>
      <c r="AD243" s="138">
        <f>IF('1.DATOS-PROD'!AM244="SI",VLOOKUP('1.DATOS-PROD'!AM$2,'1.PUNTOS'!$A$1:$B$63,2,0),0)</f>
        <v>0</v>
      </c>
      <c r="AE243" s="138">
        <f>IF('1.DATOS-PROD'!AN244="SI",VLOOKUP('1.DATOS-PROD'!AN$2,'1.PUNTOS'!$A$1:$B$63,2,0),0)</f>
        <v>0</v>
      </c>
      <c r="AF243" s="138">
        <f>IF('1.DATOS-PROD'!AO244="SI",VLOOKUP('1.DATOS-PROD'!AO$2,'1.PUNTOS'!$A$1:$B$63,2,0),0)</f>
        <v>0</v>
      </c>
      <c r="AG243" s="138">
        <f>IF('1.DATOS-PROD'!AP244="SI",VLOOKUP('1.DATOS-PROD'!AP$2,'1.PUNTOS'!$A$1:$B$63,2,0),0)</f>
        <v>0</v>
      </c>
      <c r="AH243" s="138">
        <f>IF('1.DATOS-PROD'!AQ244="SI",VLOOKUP('1.DATOS-PROD'!AQ$2,'1.PUNTOS'!$A$1:$B$63,2,0),0)</f>
        <v>0</v>
      </c>
      <c r="AI243" s="138">
        <f>IF('1.DATOS-PROD'!AR244="SI",VLOOKUP('1.DATOS-PROD'!AR$2,'1.PUNTOS'!$A$1:$B$63,2,0),0)</f>
        <v>0</v>
      </c>
      <c r="AJ243" s="138">
        <f>IF('1.DATOS-PROD'!AS244="SI",VLOOKUP('1.DATOS-PROD'!AS$2,'1.PUNTOS'!$A$1:$B$63,2,0),0)</f>
        <v>0</v>
      </c>
      <c r="AK243" s="138">
        <f>IF('1.DATOS-PROD'!AT244="SI",VLOOKUP('1.DATOS-PROD'!AT$2,'1.PUNTOS'!$A$1:$B$63,2,0),0)</f>
        <v>0</v>
      </c>
      <c r="AL243" s="138">
        <f>IF('1.DATOS-PROD'!AU244="SI",VLOOKUP('1.DATOS-PROD'!AU$2,'1.PUNTOS'!$A$1:$B$63,2,0),0)</f>
        <v>0</v>
      </c>
      <c r="AM243" s="138">
        <f>IF('1.DATOS-PROD'!AV244="SI",VLOOKUP('1.DATOS-PROD'!AV$2,'1.PUNTOS'!$A$1:$B$63,2,0),0)</f>
        <v>0</v>
      </c>
      <c r="AN243" s="138">
        <f>IF('1.DATOS-PROD'!AW244="SI",VLOOKUP('1.DATOS-PROD'!AW$2,'1.PUNTOS'!$A$1:$B$63,2,0),0)</f>
        <v>0</v>
      </c>
      <c r="AO243" s="138">
        <f>IF('1.DATOS-PROD'!AX244="SI",VLOOKUP('1.DATOS-PROD'!AX$2,'1.PUNTOS'!$A$1:$B$63,2,0),0)</f>
        <v>0</v>
      </c>
      <c r="AP243" s="138">
        <f>IF('1.DATOS-PROD'!AY244="SI",VLOOKUP('1.DATOS-PROD'!AY$2,'1.PUNTOS'!$A$1:$B$63,2,0),0)</f>
        <v>0</v>
      </c>
      <c r="AQ243" s="138">
        <f>IF('1.DATOS-PROD'!AZ244="SI",VLOOKUP('1.DATOS-PROD'!AZ$2,'1.PUNTOS'!$A$1:$B$63,2,0),0)</f>
        <v>0</v>
      </c>
      <c r="AR243" s="138">
        <f>IF('1.DATOS-PROD'!BA244="SI",VLOOKUP('1.DATOS-PROD'!BA$2,'1.PUNTOS'!$A$1:$B$63,2,0),0)</f>
        <v>0</v>
      </c>
      <c r="AS243" s="138">
        <f>IF('1.DATOS-PROD'!BB244="SI",VLOOKUP('1.DATOS-PROD'!BB$2,'1.PUNTOS'!$A$1:$B$63,2,0),0)</f>
        <v>0</v>
      </c>
      <c r="AT243" s="138">
        <f>IF('1.DATOS-PROD'!BC244="SI",VLOOKUP('1.DATOS-PROD'!BC$2,'1.PUNTOS'!$A$1:$B$63,2,0),0)</f>
        <v>0</v>
      </c>
      <c r="AU243" s="138">
        <f>IF('1.DATOS-PROD'!BD244="SI",VLOOKUP('1.DATOS-PROD'!BD$2,'1.PUNTOS'!$A$1:$B$63,2,0),0)</f>
        <v>0</v>
      </c>
      <c r="AV243" s="138">
        <f>IF('1.DATOS-PROD'!BE244="SI",VLOOKUP('1.DATOS-PROD'!BE$2,'1.PUNTOS'!$A$1:$B$63,2,0),0)</f>
        <v>0</v>
      </c>
      <c r="AW243" s="138">
        <f>IF('1.DATOS-PROD'!BF244="SI",VLOOKUP('1.DATOS-PROD'!BF$2,'1.PUNTOS'!$A$1:$B$63,2,0),0)</f>
        <v>0</v>
      </c>
      <c r="AX243" s="138">
        <f>IF('1.DATOS-PROD'!BG244="SI",VLOOKUP('1.DATOS-PROD'!BG$2,'1.PUNTOS'!$A$1:$B$63,2,0),0)</f>
        <v>0</v>
      </c>
      <c r="AY243" s="138">
        <f>IF('1.DATOS-PROD'!BH244="SI",VLOOKUP('1.DATOS-PROD'!BH$2,'1.PUNTOS'!$A$1:$B$63,2,0),0)</f>
        <v>0</v>
      </c>
      <c r="AZ243" s="138">
        <f>IF('1.DATOS-PROD'!BI244="SI",VLOOKUP('1.DATOS-PROD'!BI$2,'1.PUNTOS'!$A$1:$B$63,2,0),0)</f>
        <v>0</v>
      </c>
      <c r="BA243" s="138">
        <f>IF('1.DATOS-PROD'!BJ244="SI",VLOOKUP('1.DATOS-PROD'!BJ$2,'1.PUNTOS'!$A$1:$B$63,2,0),0)</f>
        <v>0</v>
      </c>
      <c r="BB243" s="138">
        <f>IF('1.DATOS-PROD'!BK244="SI",VLOOKUP('1.DATOS-PROD'!BK$2,'1.PUNTOS'!$A$1:$B$63,2,0),0)</f>
        <v>0</v>
      </c>
      <c r="BC243" s="138">
        <f>IF('1.DATOS-PROD'!BL244="SI",VLOOKUP('1.DATOS-PROD'!BL$2,'1.PUNTOS'!$A$1:$B$63,2,0),0)</f>
        <v>0</v>
      </c>
      <c r="BD243" s="138">
        <f>IF('1.DATOS-PROD'!BM244="SI",VLOOKUP('1.DATOS-PROD'!BM$2,'1.PUNTOS'!$A$1:$B$63,2,0),0)</f>
        <v>0</v>
      </c>
      <c r="BE243" s="138">
        <f>IF('1.DATOS-PROD'!BN244="SI",VLOOKUP('1.DATOS-PROD'!BN$2,'1.PUNTOS'!$A$1:$B$63,2,0),0)</f>
        <v>0</v>
      </c>
      <c r="BF243" s="138">
        <f>IF('1.DATOS-PROD'!BO244="SI",VLOOKUP('1.DATOS-PROD'!BO$2,'1.PUNTOS'!$A$1:$B$63,2,0),0)</f>
        <v>0</v>
      </c>
      <c r="BG243" s="138">
        <f>IF('1.DATOS-PROD'!BP244="SI",VLOOKUP('1.DATOS-PROD'!BP$2,'1.PUNTOS'!$A$1:$B$63,2,0),0)</f>
        <v>0</v>
      </c>
      <c r="BH243" s="138">
        <f>IF('1.DATOS-PROD'!BQ244="SI",VLOOKUP('1.DATOS-PROD'!BQ$2,'1.PUNTOS'!$A$1:$B$63,2,0),0)</f>
        <v>0</v>
      </c>
      <c r="BI243" s="138">
        <f>IF('1.DATOS-PROD'!BR244="SI",VLOOKUP('1.DATOS-PROD'!BR$2,'1.PUNTOS'!$A$1:$B$63,2,0),0)</f>
        <v>0</v>
      </c>
      <c r="BJ243" s="138">
        <f>IF('1.DATOS-PROD'!BS244="SI",VLOOKUP('1.DATOS-PROD'!BS$2,'1.PUNTOS'!$A$1:$B$63,2,0),0)</f>
        <v>0</v>
      </c>
      <c r="BK243" s="138">
        <f>IF('1.DATOS-PROD'!BT244="SI",VLOOKUP('1.DATOS-PROD'!BT$2,'1.PUNTOS'!$A$1:$B$63,2,0),0)</f>
        <v>0</v>
      </c>
    </row>
    <row r="244" spans="1:63" x14ac:dyDescent="0.25">
      <c r="A244">
        <f>'0.Consolidado general'!$A245</f>
        <v>0</v>
      </c>
      <c r="B244" s="138">
        <f>IF('1.DATOS-PROD'!K245="SI",VLOOKUP('1.DATOS-PROD'!K$2,'1.PUNTOS'!$A$1:$B$63,2,0),0)</f>
        <v>0</v>
      </c>
      <c r="C244" s="138">
        <f>IF('1.DATOS-PROD'!L245="SI",VLOOKUP('1.DATOS-PROD'!L$2,'1.PUNTOS'!$A$1:$B$63,2,0),0)</f>
        <v>0</v>
      </c>
      <c r="D244" s="138">
        <f>IF('1.DATOS-PROD'!M245="SI",VLOOKUP('1.DATOS-PROD'!M$2,'1.PUNTOS'!$A$1:$B$63,2,0),0)</f>
        <v>0</v>
      </c>
      <c r="E244" s="138">
        <f>IF('1.DATOS-PROD'!N245="SI",VLOOKUP('1.DATOS-PROD'!N$2,'1.PUNTOS'!$A$1:$B$63,2,0),0)</f>
        <v>0</v>
      </c>
      <c r="F244" s="138">
        <f>IF('1.DATOS-PROD'!O245="SI",VLOOKUP('1.DATOS-PROD'!O$2,'1.PUNTOS'!$A$1:$B$63,2,0),0)</f>
        <v>0</v>
      </c>
      <c r="G244" s="138">
        <f>IF('1.DATOS-PROD'!P245="SI",VLOOKUP('1.DATOS-PROD'!P$2,'1.PUNTOS'!$A$1:$B$63,2,0),0)</f>
        <v>0</v>
      </c>
      <c r="H244" s="138">
        <f>IF('1.DATOS-PROD'!Q245="SI",VLOOKUP('1.DATOS-PROD'!Q$2,'1.PUNTOS'!$A$1:$B$63,2,0),0)</f>
        <v>0</v>
      </c>
      <c r="I244" s="138">
        <f>IF('1.DATOS-PROD'!R245="SI",VLOOKUP('1.DATOS-PROD'!R$2,'1.PUNTOS'!$A$1:$B$63,2,0),0)</f>
        <v>0</v>
      </c>
      <c r="J244" s="138">
        <f>IF('1.DATOS-PROD'!S245="SI",VLOOKUP('1.DATOS-PROD'!S$2,'1.PUNTOS'!$A$1:$B$63,2,0),0)</f>
        <v>0</v>
      </c>
      <c r="K244" s="138">
        <f>IF('1.DATOS-PROD'!T245="SI",VLOOKUP('1.DATOS-PROD'!T$2,'1.PUNTOS'!$A$1:$B$63,2,0),0)</f>
        <v>0</v>
      </c>
      <c r="L244" s="138">
        <f>IF('1.DATOS-PROD'!U245="SI",VLOOKUP('1.DATOS-PROD'!U$2,'1.PUNTOS'!$A$1:$B$63,2,0),0)</f>
        <v>0</v>
      </c>
      <c r="M244" s="138">
        <f>IF('1.DATOS-PROD'!V245="SI",VLOOKUP('1.DATOS-PROD'!V$2,'1.PUNTOS'!$A$1:$B$63,2,0),0)</f>
        <v>0</v>
      </c>
      <c r="N244" s="138">
        <f>IF('1.DATOS-PROD'!W245="SI",VLOOKUP('1.DATOS-PROD'!W$2,'1.PUNTOS'!$A$1:$B$63,2,0),0)</f>
        <v>0</v>
      </c>
      <c r="O244" s="138">
        <f>IF('1.DATOS-PROD'!X245="SI",VLOOKUP('1.DATOS-PROD'!X$2,'1.PUNTOS'!$A$1:$B$63,2,0),0)</f>
        <v>0</v>
      </c>
      <c r="P244" s="138">
        <f>IF('1.DATOS-PROD'!Y245="SI",VLOOKUP('1.DATOS-PROD'!Y$2,'1.PUNTOS'!$A$1:$B$63,2,0),0)</f>
        <v>0</v>
      </c>
      <c r="Q244" s="138">
        <f>IF('1.DATOS-PROD'!Z245="SI",VLOOKUP('1.DATOS-PROD'!Z$2,'1.PUNTOS'!$A$1:$B$63,2,0),0)</f>
        <v>0</v>
      </c>
      <c r="R244" s="138">
        <f>IF('1.DATOS-PROD'!AA245="SI",VLOOKUP('1.DATOS-PROD'!AA$2,'1.PUNTOS'!$A$1:$B$63,2,0),0)</f>
        <v>0</v>
      </c>
      <c r="S244" s="138">
        <f>IF('1.DATOS-PROD'!AB245="SI",VLOOKUP('1.DATOS-PROD'!AB$2,'1.PUNTOS'!$A$1:$B$63,2,0),0)</f>
        <v>0</v>
      </c>
      <c r="T244" s="138">
        <f>IF('1.DATOS-PROD'!AC245="SI",VLOOKUP('1.DATOS-PROD'!AC$2,'1.PUNTOS'!$A$1:$B$63,2,0),0)</f>
        <v>0</v>
      </c>
      <c r="U244" s="138">
        <f>IF('1.DATOS-PROD'!AD245="SI",VLOOKUP('1.DATOS-PROD'!AD$2,'1.PUNTOS'!$A$1:$B$63,2,0),0)</f>
        <v>0</v>
      </c>
      <c r="V244" s="138">
        <f>IF('1.DATOS-PROD'!AE245="SI",VLOOKUP('1.DATOS-PROD'!AE$2,'1.PUNTOS'!$A$1:$B$63,2,0),0)</f>
        <v>0</v>
      </c>
      <c r="W244" s="138">
        <f>IF('1.DATOS-PROD'!AF245="SI",VLOOKUP('1.DATOS-PROD'!AF$2,'1.PUNTOS'!$A$1:$B$63,2,0),0)</f>
        <v>0</v>
      </c>
      <c r="X244" s="138">
        <f>IF('1.DATOS-PROD'!AG245="SI",VLOOKUP('1.DATOS-PROD'!AG$2,'1.PUNTOS'!$A$1:$B$63,2,0),0)</f>
        <v>0</v>
      </c>
      <c r="Y244" s="138">
        <f>IF('1.DATOS-PROD'!AH245="SI",VLOOKUP('1.DATOS-PROD'!AH$2,'1.PUNTOS'!$A$1:$B$63,2,0),0)</f>
        <v>0</v>
      </c>
      <c r="Z244" s="138">
        <f>IF('1.DATOS-PROD'!AI245="SI",VLOOKUP('1.DATOS-PROD'!AI$2,'1.PUNTOS'!$A$1:$B$63,2,0),0)</f>
        <v>0</v>
      </c>
      <c r="AA244" s="138">
        <f>IF('1.DATOS-PROD'!AJ245="SI",VLOOKUP('1.DATOS-PROD'!AJ$2,'1.PUNTOS'!$A$1:$B$63,2,0),0)</f>
        <v>0</v>
      </c>
      <c r="AB244" s="138">
        <f>IF('1.DATOS-PROD'!AK245="SI",VLOOKUP('1.DATOS-PROD'!AK$2,'1.PUNTOS'!$A$1:$B$63,2,0),0)</f>
        <v>0</v>
      </c>
      <c r="AC244" s="138">
        <f>IF('1.DATOS-PROD'!AL245="SI",VLOOKUP('1.DATOS-PROD'!AL$2,'1.PUNTOS'!$A$1:$B$63,2,0),0)</f>
        <v>0</v>
      </c>
      <c r="AD244" s="138">
        <f>IF('1.DATOS-PROD'!AM245="SI",VLOOKUP('1.DATOS-PROD'!AM$2,'1.PUNTOS'!$A$1:$B$63,2,0),0)</f>
        <v>0</v>
      </c>
      <c r="AE244" s="138">
        <f>IF('1.DATOS-PROD'!AN245="SI",VLOOKUP('1.DATOS-PROD'!AN$2,'1.PUNTOS'!$A$1:$B$63,2,0),0)</f>
        <v>0</v>
      </c>
      <c r="AF244" s="138">
        <f>IF('1.DATOS-PROD'!AO245="SI",VLOOKUP('1.DATOS-PROD'!AO$2,'1.PUNTOS'!$A$1:$B$63,2,0),0)</f>
        <v>0</v>
      </c>
      <c r="AG244" s="138">
        <f>IF('1.DATOS-PROD'!AP245="SI",VLOOKUP('1.DATOS-PROD'!AP$2,'1.PUNTOS'!$A$1:$B$63,2,0),0)</f>
        <v>0</v>
      </c>
      <c r="AH244" s="138">
        <f>IF('1.DATOS-PROD'!AQ245="SI",VLOOKUP('1.DATOS-PROD'!AQ$2,'1.PUNTOS'!$A$1:$B$63,2,0),0)</f>
        <v>0</v>
      </c>
      <c r="AI244" s="138">
        <f>IF('1.DATOS-PROD'!AR245="SI",VLOOKUP('1.DATOS-PROD'!AR$2,'1.PUNTOS'!$A$1:$B$63,2,0),0)</f>
        <v>0</v>
      </c>
      <c r="AJ244" s="138">
        <f>IF('1.DATOS-PROD'!AS245="SI",VLOOKUP('1.DATOS-PROD'!AS$2,'1.PUNTOS'!$A$1:$B$63,2,0),0)</f>
        <v>0</v>
      </c>
      <c r="AK244" s="138">
        <f>IF('1.DATOS-PROD'!AT245="SI",VLOOKUP('1.DATOS-PROD'!AT$2,'1.PUNTOS'!$A$1:$B$63,2,0),0)</f>
        <v>0</v>
      </c>
      <c r="AL244" s="138">
        <f>IF('1.DATOS-PROD'!AU245="SI",VLOOKUP('1.DATOS-PROD'!AU$2,'1.PUNTOS'!$A$1:$B$63,2,0),0)</f>
        <v>0</v>
      </c>
      <c r="AM244" s="138">
        <f>IF('1.DATOS-PROD'!AV245="SI",VLOOKUP('1.DATOS-PROD'!AV$2,'1.PUNTOS'!$A$1:$B$63,2,0),0)</f>
        <v>0</v>
      </c>
      <c r="AN244" s="138">
        <f>IF('1.DATOS-PROD'!AW245="SI",VLOOKUP('1.DATOS-PROD'!AW$2,'1.PUNTOS'!$A$1:$B$63,2,0),0)</f>
        <v>0</v>
      </c>
      <c r="AO244" s="138">
        <f>IF('1.DATOS-PROD'!AX245="SI",VLOOKUP('1.DATOS-PROD'!AX$2,'1.PUNTOS'!$A$1:$B$63,2,0),0)</f>
        <v>0</v>
      </c>
      <c r="AP244" s="138">
        <f>IF('1.DATOS-PROD'!AY245="SI",VLOOKUP('1.DATOS-PROD'!AY$2,'1.PUNTOS'!$A$1:$B$63,2,0),0)</f>
        <v>0</v>
      </c>
      <c r="AQ244" s="138">
        <f>IF('1.DATOS-PROD'!AZ245="SI",VLOOKUP('1.DATOS-PROD'!AZ$2,'1.PUNTOS'!$A$1:$B$63,2,0),0)</f>
        <v>0</v>
      </c>
      <c r="AR244" s="138">
        <f>IF('1.DATOS-PROD'!BA245="SI",VLOOKUP('1.DATOS-PROD'!BA$2,'1.PUNTOS'!$A$1:$B$63,2,0),0)</f>
        <v>0</v>
      </c>
      <c r="AS244" s="138">
        <f>IF('1.DATOS-PROD'!BB245="SI",VLOOKUP('1.DATOS-PROD'!BB$2,'1.PUNTOS'!$A$1:$B$63,2,0),0)</f>
        <v>0</v>
      </c>
      <c r="AT244" s="138">
        <f>IF('1.DATOS-PROD'!BC245="SI",VLOOKUP('1.DATOS-PROD'!BC$2,'1.PUNTOS'!$A$1:$B$63,2,0),0)</f>
        <v>0</v>
      </c>
      <c r="AU244" s="138">
        <f>IF('1.DATOS-PROD'!BD245="SI",VLOOKUP('1.DATOS-PROD'!BD$2,'1.PUNTOS'!$A$1:$B$63,2,0),0)</f>
        <v>0</v>
      </c>
      <c r="AV244" s="138">
        <f>IF('1.DATOS-PROD'!BE245="SI",VLOOKUP('1.DATOS-PROD'!BE$2,'1.PUNTOS'!$A$1:$B$63,2,0),0)</f>
        <v>0</v>
      </c>
      <c r="AW244" s="138">
        <f>IF('1.DATOS-PROD'!BF245="SI",VLOOKUP('1.DATOS-PROD'!BF$2,'1.PUNTOS'!$A$1:$B$63,2,0),0)</f>
        <v>0</v>
      </c>
      <c r="AX244" s="138">
        <f>IF('1.DATOS-PROD'!BG245="SI",VLOOKUP('1.DATOS-PROD'!BG$2,'1.PUNTOS'!$A$1:$B$63,2,0),0)</f>
        <v>0</v>
      </c>
      <c r="AY244" s="138">
        <f>IF('1.DATOS-PROD'!BH245="SI",VLOOKUP('1.DATOS-PROD'!BH$2,'1.PUNTOS'!$A$1:$B$63,2,0),0)</f>
        <v>0</v>
      </c>
      <c r="AZ244" s="138">
        <f>IF('1.DATOS-PROD'!BI245="SI",VLOOKUP('1.DATOS-PROD'!BI$2,'1.PUNTOS'!$A$1:$B$63,2,0),0)</f>
        <v>0</v>
      </c>
      <c r="BA244" s="138">
        <f>IF('1.DATOS-PROD'!BJ245="SI",VLOOKUP('1.DATOS-PROD'!BJ$2,'1.PUNTOS'!$A$1:$B$63,2,0),0)</f>
        <v>0</v>
      </c>
      <c r="BB244" s="138">
        <f>IF('1.DATOS-PROD'!BK245="SI",VLOOKUP('1.DATOS-PROD'!BK$2,'1.PUNTOS'!$A$1:$B$63,2,0),0)</f>
        <v>0</v>
      </c>
      <c r="BC244" s="138">
        <f>IF('1.DATOS-PROD'!BL245="SI",VLOOKUP('1.DATOS-PROD'!BL$2,'1.PUNTOS'!$A$1:$B$63,2,0),0)</f>
        <v>0</v>
      </c>
      <c r="BD244" s="138">
        <f>IF('1.DATOS-PROD'!BM245="SI",VLOOKUP('1.DATOS-PROD'!BM$2,'1.PUNTOS'!$A$1:$B$63,2,0),0)</f>
        <v>0</v>
      </c>
      <c r="BE244" s="138">
        <f>IF('1.DATOS-PROD'!BN245="SI",VLOOKUP('1.DATOS-PROD'!BN$2,'1.PUNTOS'!$A$1:$B$63,2,0),0)</f>
        <v>0</v>
      </c>
      <c r="BF244" s="138">
        <f>IF('1.DATOS-PROD'!BO245="SI",VLOOKUP('1.DATOS-PROD'!BO$2,'1.PUNTOS'!$A$1:$B$63,2,0),0)</f>
        <v>0</v>
      </c>
      <c r="BG244" s="138">
        <f>IF('1.DATOS-PROD'!BP245="SI",VLOOKUP('1.DATOS-PROD'!BP$2,'1.PUNTOS'!$A$1:$B$63,2,0),0)</f>
        <v>0</v>
      </c>
      <c r="BH244" s="138">
        <f>IF('1.DATOS-PROD'!BQ245="SI",VLOOKUP('1.DATOS-PROD'!BQ$2,'1.PUNTOS'!$A$1:$B$63,2,0),0)</f>
        <v>0</v>
      </c>
      <c r="BI244" s="138">
        <f>IF('1.DATOS-PROD'!BR245="SI",VLOOKUP('1.DATOS-PROD'!BR$2,'1.PUNTOS'!$A$1:$B$63,2,0),0)</f>
        <v>0</v>
      </c>
      <c r="BJ244" s="138">
        <f>IF('1.DATOS-PROD'!BS245="SI",VLOOKUP('1.DATOS-PROD'!BS$2,'1.PUNTOS'!$A$1:$B$63,2,0),0)</f>
        <v>0</v>
      </c>
      <c r="BK244" s="138">
        <f>IF('1.DATOS-PROD'!BT245="SI",VLOOKUP('1.DATOS-PROD'!BT$2,'1.PUNTOS'!$A$1:$B$63,2,0),0)</f>
        <v>0</v>
      </c>
    </row>
    <row r="245" spans="1:63" x14ac:dyDescent="0.25">
      <c r="A245">
        <f>'0.Consolidado general'!$A246</f>
        <v>0</v>
      </c>
      <c r="B245" s="138">
        <f>IF('1.DATOS-PROD'!K246="SI",VLOOKUP('1.DATOS-PROD'!K$2,'1.PUNTOS'!$A$1:$B$63,2,0),0)</f>
        <v>0</v>
      </c>
      <c r="C245" s="138">
        <f>IF('1.DATOS-PROD'!L246="SI",VLOOKUP('1.DATOS-PROD'!L$2,'1.PUNTOS'!$A$1:$B$63,2,0),0)</f>
        <v>0</v>
      </c>
      <c r="D245" s="138">
        <f>IF('1.DATOS-PROD'!M246="SI",VLOOKUP('1.DATOS-PROD'!M$2,'1.PUNTOS'!$A$1:$B$63,2,0),0)</f>
        <v>0</v>
      </c>
      <c r="E245" s="138">
        <f>IF('1.DATOS-PROD'!N246="SI",VLOOKUP('1.DATOS-PROD'!N$2,'1.PUNTOS'!$A$1:$B$63,2,0),0)</f>
        <v>0</v>
      </c>
      <c r="F245" s="138">
        <f>IF('1.DATOS-PROD'!O246="SI",VLOOKUP('1.DATOS-PROD'!O$2,'1.PUNTOS'!$A$1:$B$63,2,0),0)</f>
        <v>0</v>
      </c>
      <c r="G245" s="138">
        <f>IF('1.DATOS-PROD'!P246="SI",VLOOKUP('1.DATOS-PROD'!P$2,'1.PUNTOS'!$A$1:$B$63,2,0),0)</f>
        <v>0</v>
      </c>
      <c r="H245" s="138">
        <f>IF('1.DATOS-PROD'!Q246="SI",VLOOKUP('1.DATOS-PROD'!Q$2,'1.PUNTOS'!$A$1:$B$63,2,0),0)</f>
        <v>0</v>
      </c>
      <c r="I245" s="138">
        <f>IF('1.DATOS-PROD'!R246="SI",VLOOKUP('1.DATOS-PROD'!R$2,'1.PUNTOS'!$A$1:$B$63,2,0),0)</f>
        <v>0</v>
      </c>
      <c r="J245" s="138">
        <f>IF('1.DATOS-PROD'!S246="SI",VLOOKUP('1.DATOS-PROD'!S$2,'1.PUNTOS'!$A$1:$B$63,2,0),0)</f>
        <v>0</v>
      </c>
      <c r="K245" s="138">
        <f>IF('1.DATOS-PROD'!T246="SI",VLOOKUP('1.DATOS-PROD'!T$2,'1.PUNTOS'!$A$1:$B$63,2,0),0)</f>
        <v>0</v>
      </c>
      <c r="L245" s="138">
        <f>IF('1.DATOS-PROD'!U246="SI",VLOOKUP('1.DATOS-PROD'!U$2,'1.PUNTOS'!$A$1:$B$63,2,0),0)</f>
        <v>0</v>
      </c>
      <c r="M245" s="138">
        <f>IF('1.DATOS-PROD'!V246="SI",VLOOKUP('1.DATOS-PROD'!V$2,'1.PUNTOS'!$A$1:$B$63,2,0),0)</f>
        <v>0</v>
      </c>
      <c r="N245" s="138">
        <f>IF('1.DATOS-PROD'!W246="SI",VLOOKUP('1.DATOS-PROD'!W$2,'1.PUNTOS'!$A$1:$B$63,2,0),0)</f>
        <v>0</v>
      </c>
      <c r="O245" s="138">
        <f>IF('1.DATOS-PROD'!X246="SI",VLOOKUP('1.DATOS-PROD'!X$2,'1.PUNTOS'!$A$1:$B$63,2,0),0)</f>
        <v>0</v>
      </c>
      <c r="P245" s="138">
        <f>IF('1.DATOS-PROD'!Y246="SI",VLOOKUP('1.DATOS-PROD'!Y$2,'1.PUNTOS'!$A$1:$B$63,2,0),0)</f>
        <v>0</v>
      </c>
      <c r="Q245" s="138">
        <f>IF('1.DATOS-PROD'!Z246="SI",VLOOKUP('1.DATOS-PROD'!Z$2,'1.PUNTOS'!$A$1:$B$63,2,0),0)</f>
        <v>0</v>
      </c>
      <c r="R245" s="138">
        <f>IF('1.DATOS-PROD'!AA246="SI",VLOOKUP('1.DATOS-PROD'!AA$2,'1.PUNTOS'!$A$1:$B$63,2,0),0)</f>
        <v>0</v>
      </c>
      <c r="S245" s="138">
        <f>IF('1.DATOS-PROD'!AB246="SI",VLOOKUP('1.DATOS-PROD'!AB$2,'1.PUNTOS'!$A$1:$B$63,2,0),0)</f>
        <v>0</v>
      </c>
      <c r="T245" s="138">
        <f>IF('1.DATOS-PROD'!AC246="SI",VLOOKUP('1.DATOS-PROD'!AC$2,'1.PUNTOS'!$A$1:$B$63,2,0),0)</f>
        <v>0</v>
      </c>
      <c r="U245" s="138">
        <f>IF('1.DATOS-PROD'!AD246="SI",VLOOKUP('1.DATOS-PROD'!AD$2,'1.PUNTOS'!$A$1:$B$63,2,0),0)</f>
        <v>0</v>
      </c>
      <c r="V245" s="138">
        <f>IF('1.DATOS-PROD'!AE246="SI",VLOOKUP('1.DATOS-PROD'!AE$2,'1.PUNTOS'!$A$1:$B$63,2,0),0)</f>
        <v>0</v>
      </c>
      <c r="W245" s="138">
        <f>IF('1.DATOS-PROD'!AF246="SI",VLOOKUP('1.DATOS-PROD'!AF$2,'1.PUNTOS'!$A$1:$B$63,2,0),0)</f>
        <v>0</v>
      </c>
      <c r="X245" s="138">
        <f>IF('1.DATOS-PROD'!AG246="SI",VLOOKUP('1.DATOS-PROD'!AG$2,'1.PUNTOS'!$A$1:$B$63,2,0),0)</f>
        <v>0</v>
      </c>
      <c r="Y245" s="138">
        <f>IF('1.DATOS-PROD'!AH246="SI",VLOOKUP('1.DATOS-PROD'!AH$2,'1.PUNTOS'!$A$1:$B$63,2,0),0)</f>
        <v>0</v>
      </c>
      <c r="Z245" s="138">
        <f>IF('1.DATOS-PROD'!AI246="SI",VLOOKUP('1.DATOS-PROD'!AI$2,'1.PUNTOS'!$A$1:$B$63,2,0),0)</f>
        <v>0</v>
      </c>
      <c r="AA245" s="138">
        <f>IF('1.DATOS-PROD'!AJ246="SI",VLOOKUP('1.DATOS-PROD'!AJ$2,'1.PUNTOS'!$A$1:$B$63,2,0),0)</f>
        <v>0</v>
      </c>
      <c r="AB245" s="138">
        <f>IF('1.DATOS-PROD'!AK246="SI",VLOOKUP('1.DATOS-PROD'!AK$2,'1.PUNTOS'!$A$1:$B$63,2,0),0)</f>
        <v>0</v>
      </c>
      <c r="AC245" s="138">
        <f>IF('1.DATOS-PROD'!AL246="SI",VLOOKUP('1.DATOS-PROD'!AL$2,'1.PUNTOS'!$A$1:$B$63,2,0),0)</f>
        <v>0</v>
      </c>
      <c r="AD245" s="138">
        <f>IF('1.DATOS-PROD'!AM246="SI",VLOOKUP('1.DATOS-PROD'!AM$2,'1.PUNTOS'!$A$1:$B$63,2,0),0)</f>
        <v>0</v>
      </c>
      <c r="AE245" s="138">
        <f>IF('1.DATOS-PROD'!AN246="SI",VLOOKUP('1.DATOS-PROD'!AN$2,'1.PUNTOS'!$A$1:$B$63,2,0),0)</f>
        <v>0</v>
      </c>
      <c r="AF245" s="138">
        <f>IF('1.DATOS-PROD'!AO246="SI",VLOOKUP('1.DATOS-PROD'!AO$2,'1.PUNTOS'!$A$1:$B$63,2,0),0)</f>
        <v>0</v>
      </c>
      <c r="AG245" s="138">
        <f>IF('1.DATOS-PROD'!AP246="SI",VLOOKUP('1.DATOS-PROD'!AP$2,'1.PUNTOS'!$A$1:$B$63,2,0),0)</f>
        <v>0</v>
      </c>
      <c r="AH245" s="138">
        <f>IF('1.DATOS-PROD'!AQ246="SI",VLOOKUP('1.DATOS-PROD'!AQ$2,'1.PUNTOS'!$A$1:$B$63,2,0),0)</f>
        <v>0</v>
      </c>
      <c r="AI245" s="138">
        <f>IF('1.DATOS-PROD'!AR246="SI",VLOOKUP('1.DATOS-PROD'!AR$2,'1.PUNTOS'!$A$1:$B$63,2,0),0)</f>
        <v>0</v>
      </c>
      <c r="AJ245" s="138">
        <f>IF('1.DATOS-PROD'!AS246="SI",VLOOKUP('1.DATOS-PROD'!AS$2,'1.PUNTOS'!$A$1:$B$63,2,0),0)</f>
        <v>0</v>
      </c>
      <c r="AK245" s="138">
        <f>IF('1.DATOS-PROD'!AT246="SI",VLOOKUP('1.DATOS-PROD'!AT$2,'1.PUNTOS'!$A$1:$B$63,2,0),0)</f>
        <v>0</v>
      </c>
      <c r="AL245" s="138">
        <f>IF('1.DATOS-PROD'!AU246="SI",VLOOKUP('1.DATOS-PROD'!AU$2,'1.PUNTOS'!$A$1:$B$63,2,0),0)</f>
        <v>0</v>
      </c>
      <c r="AM245" s="138">
        <f>IF('1.DATOS-PROD'!AV246="SI",VLOOKUP('1.DATOS-PROD'!AV$2,'1.PUNTOS'!$A$1:$B$63,2,0),0)</f>
        <v>0</v>
      </c>
      <c r="AN245" s="138">
        <f>IF('1.DATOS-PROD'!AW246="SI",VLOOKUP('1.DATOS-PROD'!AW$2,'1.PUNTOS'!$A$1:$B$63,2,0),0)</f>
        <v>0</v>
      </c>
      <c r="AO245" s="138">
        <f>IF('1.DATOS-PROD'!AX246="SI",VLOOKUP('1.DATOS-PROD'!AX$2,'1.PUNTOS'!$A$1:$B$63,2,0),0)</f>
        <v>0</v>
      </c>
      <c r="AP245" s="138">
        <f>IF('1.DATOS-PROD'!AY246="SI",VLOOKUP('1.DATOS-PROD'!AY$2,'1.PUNTOS'!$A$1:$B$63,2,0),0)</f>
        <v>0</v>
      </c>
      <c r="AQ245" s="138">
        <f>IF('1.DATOS-PROD'!AZ246="SI",VLOOKUP('1.DATOS-PROD'!AZ$2,'1.PUNTOS'!$A$1:$B$63,2,0),0)</f>
        <v>0</v>
      </c>
      <c r="AR245" s="138">
        <f>IF('1.DATOS-PROD'!BA246="SI",VLOOKUP('1.DATOS-PROD'!BA$2,'1.PUNTOS'!$A$1:$B$63,2,0),0)</f>
        <v>0</v>
      </c>
      <c r="AS245" s="138">
        <f>IF('1.DATOS-PROD'!BB246="SI",VLOOKUP('1.DATOS-PROD'!BB$2,'1.PUNTOS'!$A$1:$B$63,2,0),0)</f>
        <v>0</v>
      </c>
      <c r="AT245" s="138">
        <f>IF('1.DATOS-PROD'!BC246="SI",VLOOKUP('1.DATOS-PROD'!BC$2,'1.PUNTOS'!$A$1:$B$63,2,0),0)</f>
        <v>0</v>
      </c>
      <c r="AU245" s="138">
        <f>IF('1.DATOS-PROD'!BD246="SI",VLOOKUP('1.DATOS-PROD'!BD$2,'1.PUNTOS'!$A$1:$B$63,2,0),0)</f>
        <v>0</v>
      </c>
      <c r="AV245" s="138">
        <f>IF('1.DATOS-PROD'!BE246="SI",VLOOKUP('1.DATOS-PROD'!BE$2,'1.PUNTOS'!$A$1:$B$63,2,0),0)</f>
        <v>0</v>
      </c>
      <c r="AW245" s="138">
        <f>IF('1.DATOS-PROD'!BF246="SI",VLOOKUP('1.DATOS-PROD'!BF$2,'1.PUNTOS'!$A$1:$B$63,2,0),0)</f>
        <v>0</v>
      </c>
      <c r="AX245" s="138">
        <f>IF('1.DATOS-PROD'!BG246="SI",VLOOKUP('1.DATOS-PROD'!BG$2,'1.PUNTOS'!$A$1:$B$63,2,0),0)</f>
        <v>0</v>
      </c>
      <c r="AY245" s="138">
        <f>IF('1.DATOS-PROD'!BH246="SI",VLOOKUP('1.DATOS-PROD'!BH$2,'1.PUNTOS'!$A$1:$B$63,2,0),0)</f>
        <v>0</v>
      </c>
      <c r="AZ245" s="138">
        <f>IF('1.DATOS-PROD'!BI246="SI",VLOOKUP('1.DATOS-PROD'!BI$2,'1.PUNTOS'!$A$1:$B$63,2,0),0)</f>
        <v>0</v>
      </c>
      <c r="BA245" s="138">
        <f>IF('1.DATOS-PROD'!BJ246="SI",VLOOKUP('1.DATOS-PROD'!BJ$2,'1.PUNTOS'!$A$1:$B$63,2,0),0)</f>
        <v>0</v>
      </c>
      <c r="BB245" s="138">
        <f>IF('1.DATOS-PROD'!BK246="SI",VLOOKUP('1.DATOS-PROD'!BK$2,'1.PUNTOS'!$A$1:$B$63,2,0),0)</f>
        <v>0</v>
      </c>
      <c r="BC245" s="138">
        <f>IF('1.DATOS-PROD'!BL246="SI",VLOOKUP('1.DATOS-PROD'!BL$2,'1.PUNTOS'!$A$1:$B$63,2,0),0)</f>
        <v>0</v>
      </c>
      <c r="BD245" s="138">
        <f>IF('1.DATOS-PROD'!BM246="SI",VLOOKUP('1.DATOS-PROD'!BM$2,'1.PUNTOS'!$A$1:$B$63,2,0),0)</f>
        <v>0</v>
      </c>
      <c r="BE245" s="138">
        <f>IF('1.DATOS-PROD'!BN246="SI",VLOOKUP('1.DATOS-PROD'!BN$2,'1.PUNTOS'!$A$1:$B$63,2,0),0)</f>
        <v>0</v>
      </c>
      <c r="BF245" s="138">
        <f>IF('1.DATOS-PROD'!BO246="SI",VLOOKUP('1.DATOS-PROD'!BO$2,'1.PUNTOS'!$A$1:$B$63,2,0),0)</f>
        <v>0</v>
      </c>
      <c r="BG245" s="138">
        <f>IF('1.DATOS-PROD'!BP246="SI",VLOOKUP('1.DATOS-PROD'!BP$2,'1.PUNTOS'!$A$1:$B$63,2,0),0)</f>
        <v>0</v>
      </c>
      <c r="BH245" s="138">
        <f>IF('1.DATOS-PROD'!BQ246="SI",VLOOKUP('1.DATOS-PROD'!BQ$2,'1.PUNTOS'!$A$1:$B$63,2,0),0)</f>
        <v>0</v>
      </c>
      <c r="BI245" s="138">
        <f>IF('1.DATOS-PROD'!BR246="SI",VLOOKUP('1.DATOS-PROD'!BR$2,'1.PUNTOS'!$A$1:$B$63,2,0),0)</f>
        <v>0</v>
      </c>
      <c r="BJ245" s="138">
        <f>IF('1.DATOS-PROD'!BS246="SI",VLOOKUP('1.DATOS-PROD'!BS$2,'1.PUNTOS'!$A$1:$B$63,2,0),0)</f>
        <v>0</v>
      </c>
      <c r="BK245" s="138">
        <f>IF('1.DATOS-PROD'!BT246="SI",VLOOKUP('1.DATOS-PROD'!BT$2,'1.PUNTOS'!$A$1:$B$63,2,0),0)</f>
        <v>0</v>
      </c>
    </row>
    <row r="246" spans="1:63" x14ac:dyDescent="0.25">
      <c r="A246">
        <f>'0.Consolidado general'!$A247</f>
        <v>0</v>
      </c>
      <c r="B246" s="138">
        <f>IF('1.DATOS-PROD'!K247="SI",VLOOKUP('1.DATOS-PROD'!K$2,'1.PUNTOS'!$A$1:$B$63,2,0),0)</f>
        <v>0</v>
      </c>
      <c r="C246" s="138">
        <f>IF('1.DATOS-PROD'!L247="SI",VLOOKUP('1.DATOS-PROD'!L$2,'1.PUNTOS'!$A$1:$B$63,2,0),0)</f>
        <v>0</v>
      </c>
      <c r="D246" s="138">
        <f>IF('1.DATOS-PROD'!M247="SI",VLOOKUP('1.DATOS-PROD'!M$2,'1.PUNTOS'!$A$1:$B$63,2,0),0)</f>
        <v>0</v>
      </c>
      <c r="E246" s="138">
        <f>IF('1.DATOS-PROD'!N247="SI",VLOOKUP('1.DATOS-PROD'!N$2,'1.PUNTOS'!$A$1:$B$63,2,0),0)</f>
        <v>0</v>
      </c>
      <c r="F246" s="138">
        <f>IF('1.DATOS-PROD'!O247="SI",VLOOKUP('1.DATOS-PROD'!O$2,'1.PUNTOS'!$A$1:$B$63,2,0),0)</f>
        <v>0</v>
      </c>
      <c r="G246" s="138">
        <f>IF('1.DATOS-PROD'!P247="SI",VLOOKUP('1.DATOS-PROD'!P$2,'1.PUNTOS'!$A$1:$B$63,2,0),0)</f>
        <v>0</v>
      </c>
      <c r="H246" s="138">
        <f>IF('1.DATOS-PROD'!Q247="SI",VLOOKUP('1.DATOS-PROD'!Q$2,'1.PUNTOS'!$A$1:$B$63,2,0),0)</f>
        <v>0</v>
      </c>
      <c r="I246" s="138">
        <f>IF('1.DATOS-PROD'!R247="SI",VLOOKUP('1.DATOS-PROD'!R$2,'1.PUNTOS'!$A$1:$B$63,2,0),0)</f>
        <v>0</v>
      </c>
      <c r="J246" s="138">
        <f>IF('1.DATOS-PROD'!S247="SI",VLOOKUP('1.DATOS-PROD'!S$2,'1.PUNTOS'!$A$1:$B$63,2,0),0)</f>
        <v>0</v>
      </c>
      <c r="K246" s="138">
        <f>IF('1.DATOS-PROD'!T247="SI",VLOOKUP('1.DATOS-PROD'!T$2,'1.PUNTOS'!$A$1:$B$63,2,0),0)</f>
        <v>0</v>
      </c>
      <c r="L246" s="138">
        <f>IF('1.DATOS-PROD'!U247="SI",VLOOKUP('1.DATOS-PROD'!U$2,'1.PUNTOS'!$A$1:$B$63,2,0),0)</f>
        <v>0</v>
      </c>
      <c r="M246" s="138">
        <f>IF('1.DATOS-PROD'!V247="SI",VLOOKUP('1.DATOS-PROD'!V$2,'1.PUNTOS'!$A$1:$B$63,2,0),0)</f>
        <v>0</v>
      </c>
      <c r="N246" s="138">
        <f>IF('1.DATOS-PROD'!W247="SI",VLOOKUP('1.DATOS-PROD'!W$2,'1.PUNTOS'!$A$1:$B$63,2,0),0)</f>
        <v>0</v>
      </c>
      <c r="O246" s="138">
        <f>IF('1.DATOS-PROD'!X247="SI",VLOOKUP('1.DATOS-PROD'!X$2,'1.PUNTOS'!$A$1:$B$63,2,0),0)</f>
        <v>0</v>
      </c>
      <c r="P246" s="138">
        <f>IF('1.DATOS-PROD'!Y247="SI",VLOOKUP('1.DATOS-PROD'!Y$2,'1.PUNTOS'!$A$1:$B$63,2,0),0)</f>
        <v>0</v>
      </c>
      <c r="Q246" s="138">
        <f>IF('1.DATOS-PROD'!Z247="SI",VLOOKUP('1.DATOS-PROD'!Z$2,'1.PUNTOS'!$A$1:$B$63,2,0),0)</f>
        <v>0</v>
      </c>
      <c r="R246" s="138">
        <f>IF('1.DATOS-PROD'!AA247="SI",VLOOKUP('1.DATOS-PROD'!AA$2,'1.PUNTOS'!$A$1:$B$63,2,0),0)</f>
        <v>0</v>
      </c>
      <c r="S246" s="138">
        <f>IF('1.DATOS-PROD'!AB247="SI",VLOOKUP('1.DATOS-PROD'!AB$2,'1.PUNTOS'!$A$1:$B$63,2,0),0)</f>
        <v>0</v>
      </c>
      <c r="T246" s="138">
        <f>IF('1.DATOS-PROD'!AC247="SI",VLOOKUP('1.DATOS-PROD'!AC$2,'1.PUNTOS'!$A$1:$B$63,2,0),0)</f>
        <v>0</v>
      </c>
      <c r="U246" s="138">
        <f>IF('1.DATOS-PROD'!AD247="SI",VLOOKUP('1.DATOS-PROD'!AD$2,'1.PUNTOS'!$A$1:$B$63,2,0),0)</f>
        <v>0</v>
      </c>
      <c r="V246" s="138">
        <f>IF('1.DATOS-PROD'!AE247="SI",VLOOKUP('1.DATOS-PROD'!AE$2,'1.PUNTOS'!$A$1:$B$63,2,0),0)</f>
        <v>0</v>
      </c>
      <c r="W246" s="138">
        <f>IF('1.DATOS-PROD'!AF247="SI",VLOOKUP('1.DATOS-PROD'!AF$2,'1.PUNTOS'!$A$1:$B$63,2,0),0)</f>
        <v>0</v>
      </c>
      <c r="X246" s="138">
        <f>IF('1.DATOS-PROD'!AG247="SI",VLOOKUP('1.DATOS-PROD'!AG$2,'1.PUNTOS'!$A$1:$B$63,2,0),0)</f>
        <v>0</v>
      </c>
      <c r="Y246" s="138">
        <f>IF('1.DATOS-PROD'!AH247="SI",VLOOKUP('1.DATOS-PROD'!AH$2,'1.PUNTOS'!$A$1:$B$63,2,0),0)</f>
        <v>0</v>
      </c>
      <c r="Z246" s="138">
        <f>IF('1.DATOS-PROD'!AI247="SI",VLOOKUP('1.DATOS-PROD'!AI$2,'1.PUNTOS'!$A$1:$B$63,2,0),0)</f>
        <v>0</v>
      </c>
      <c r="AA246" s="138">
        <f>IF('1.DATOS-PROD'!AJ247="SI",VLOOKUP('1.DATOS-PROD'!AJ$2,'1.PUNTOS'!$A$1:$B$63,2,0),0)</f>
        <v>0</v>
      </c>
      <c r="AB246" s="138">
        <f>IF('1.DATOS-PROD'!AK247="SI",VLOOKUP('1.DATOS-PROD'!AK$2,'1.PUNTOS'!$A$1:$B$63,2,0),0)</f>
        <v>0</v>
      </c>
      <c r="AC246" s="138">
        <f>IF('1.DATOS-PROD'!AL247="SI",VLOOKUP('1.DATOS-PROD'!AL$2,'1.PUNTOS'!$A$1:$B$63,2,0),0)</f>
        <v>0</v>
      </c>
      <c r="AD246" s="138">
        <f>IF('1.DATOS-PROD'!AM247="SI",VLOOKUP('1.DATOS-PROD'!AM$2,'1.PUNTOS'!$A$1:$B$63,2,0),0)</f>
        <v>0</v>
      </c>
      <c r="AE246" s="138">
        <f>IF('1.DATOS-PROD'!AN247="SI",VLOOKUP('1.DATOS-PROD'!AN$2,'1.PUNTOS'!$A$1:$B$63,2,0),0)</f>
        <v>0</v>
      </c>
      <c r="AF246" s="138">
        <f>IF('1.DATOS-PROD'!AO247="SI",VLOOKUP('1.DATOS-PROD'!AO$2,'1.PUNTOS'!$A$1:$B$63,2,0),0)</f>
        <v>0</v>
      </c>
      <c r="AG246" s="138">
        <f>IF('1.DATOS-PROD'!AP247="SI",VLOOKUP('1.DATOS-PROD'!AP$2,'1.PUNTOS'!$A$1:$B$63,2,0),0)</f>
        <v>0</v>
      </c>
      <c r="AH246" s="138">
        <f>IF('1.DATOS-PROD'!AQ247="SI",VLOOKUP('1.DATOS-PROD'!AQ$2,'1.PUNTOS'!$A$1:$B$63,2,0),0)</f>
        <v>0</v>
      </c>
      <c r="AI246" s="138">
        <f>IF('1.DATOS-PROD'!AR247="SI",VLOOKUP('1.DATOS-PROD'!AR$2,'1.PUNTOS'!$A$1:$B$63,2,0),0)</f>
        <v>0</v>
      </c>
      <c r="AJ246" s="138">
        <f>IF('1.DATOS-PROD'!AS247="SI",VLOOKUP('1.DATOS-PROD'!AS$2,'1.PUNTOS'!$A$1:$B$63,2,0),0)</f>
        <v>0</v>
      </c>
      <c r="AK246" s="138">
        <f>IF('1.DATOS-PROD'!AT247="SI",VLOOKUP('1.DATOS-PROD'!AT$2,'1.PUNTOS'!$A$1:$B$63,2,0),0)</f>
        <v>0</v>
      </c>
      <c r="AL246" s="138">
        <f>IF('1.DATOS-PROD'!AU247="SI",VLOOKUP('1.DATOS-PROD'!AU$2,'1.PUNTOS'!$A$1:$B$63,2,0),0)</f>
        <v>0</v>
      </c>
      <c r="AM246" s="138">
        <f>IF('1.DATOS-PROD'!AV247="SI",VLOOKUP('1.DATOS-PROD'!AV$2,'1.PUNTOS'!$A$1:$B$63,2,0),0)</f>
        <v>0</v>
      </c>
      <c r="AN246" s="138">
        <f>IF('1.DATOS-PROD'!AW247="SI",VLOOKUP('1.DATOS-PROD'!AW$2,'1.PUNTOS'!$A$1:$B$63,2,0),0)</f>
        <v>0</v>
      </c>
      <c r="AO246" s="138">
        <f>IF('1.DATOS-PROD'!AX247="SI",VLOOKUP('1.DATOS-PROD'!AX$2,'1.PUNTOS'!$A$1:$B$63,2,0),0)</f>
        <v>0</v>
      </c>
      <c r="AP246" s="138">
        <f>IF('1.DATOS-PROD'!AY247="SI",VLOOKUP('1.DATOS-PROD'!AY$2,'1.PUNTOS'!$A$1:$B$63,2,0),0)</f>
        <v>0</v>
      </c>
      <c r="AQ246" s="138">
        <f>IF('1.DATOS-PROD'!AZ247="SI",VLOOKUP('1.DATOS-PROD'!AZ$2,'1.PUNTOS'!$A$1:$B$63,2,0),0)</f>
        <v>0</v>
      </c>
      <c r="AR246" s="138">
        <f>IF('1.DATOS-PROD'!BA247="SI",VLOOKUP('1.DATOS-PROD'!BA$2,'1.PUNTOS'!$A$1:$B$63,2,0),0)</f>
        <v>0</v>
      </c>
      <c r="AS246" s="138">
        <f>IF('1.DATOS-PROD'!BB247="SI",VLOOKUP('1.DATOS-PROD'!BB$2,'1.PUNTOS'!$A$1:$B$63,2,0),0)</f>
        <v>0</v>
      </c>
      <c r="AT246" s="138">
        <f>IF('1.DATOS-PROD'!BC247="SI",VLOOKUP('1.DATOS-PROD'!BC$2,'1.PUNTOS'!$A$1:$B$63,2,0),0)</f>
        <v>0</v>
      </c>
      <c r="AU246" s="138">
        <f>IF('1.DATOS-PROD'!BD247="SI",VLOOKUP('1.DATOS-PROD'!BD$2,'1.PUNTOS'!$A$1:$B$63,2,0),0)</f>
        <v>0</v>
      </c>
      <c r="AV246" s="138">
        <f>IF('1.DATOS-PROD'!BE247="SI",VLOOKUP('1.DATOS-PROD'!BE$2,'1.PUNTOS'!$A$1:$B$63,2,0),0)</f>
        <v>0</v>
      </c>
      <c r="AW246" s="138">
        <f>IF('1.DATOS-PROD'!BF247="SI",VLOOKUP('1.DATOS-PROD'!BF$2,'1.PUNTOS'!$A$1:$B$63,2,0),0)</f>
        <v>0</v>
      </c>
      <c r="AX246" s="138">
        <f>IF('1.DATOS-PROD'!BG247="SI",VLOOKUP('1.DATOS-PROD'!BG$2,'1.PUNTOS'!$A$1:$B$63,2,0),0)</f>
        <v>0</v>
      </c>
      <c r="AY246" s="138">
        <f>IF('1.DATOS-PROD'!BH247="SI",VLOOKUP('1.DATOS-PROD'!BH$2,'1.PUNTOS'!$A$1:$B$63,2,0),0)</f>
        <v>0</v>
      </c>
      <c r="AZ246" s="138">
        <f>IF('1.DATOS-PROD'!BI247="SI",VLOOKUP('1.DATOS-PROD'!BI$2,'1.PUNTOS'!$A$1:$B$63,2,0),0)</f>
        <v>0</v>
      </c>
      <c r="BA246" s="138">
        <f>IF('1.DATOS-PROD'!BJ247="SI",VLOOKUP('1.DATOS-PROD'!BJ$2,'1.PUNTOS'!$A$1:$B$63,2,0),0)</f>
        <v>0</v>
      </c>
      <c r="BB246" s="138">
        <f>IF('1.DATOS-PROD'!BK247="SI",VLOOKUP('1.DATOS-PROD'!BK$2,'1.PUNTOS'!$A$1:$B$63,2,0),0)</f>
        <v>0</v>
      </c>
      <c r="BC246" s="138">
        <f>IF('1.DATOS-PROD'!BL247="SI",VLOOKUP('1.DATOS-PROD'!BL$2,'1.PUNTOS'!$A$1:$B$63,2,0),0)</f>
        <v>0</v>
      </c>
      <c r="BD246" s="138">
        <f>IF('1.DATOS-PROD'!BM247="SI",VLOOKUP('1.DATOS-PROD'!BM$2,'1.PUNTOS'!$A$1:$B$63,2,0),0)</f>
        <v>0</v>
      </c>
      <c r="BE246" s="138">
        <f>IF('1.DATOS-PROD'!BN247="SI",VLOOKUP('1.DATOS-PROD'!BN$2,'1.PUNTOS'!$A$1:$B$63,2,0),0)</f>
        <v>0</v>
      </c>
      <c r="BF246" s="138">
        <f>IF('1.DATOS-PROD'!BO247="SI",VLOOKUP('1.DATOS-PROD'!BO$2,'1.PUNTOS'!$A$1:$B$63,2,0),0)</f>
        <v>0</v>
      </c>
      <c r="BG246" s="138">
        <f>IF('1.DATOS-PROD'!BP247="SI",VLOOKUP('1.DATOS-PROD'!BP$2,'1.PUNTOS'!$A$1:$B$63,2,0),0)</f>
        <v>0</v>
      </c>
      <c r="BH246" s="138">
        <f>IF('1.DATOS-PROD'!BQ247="SI",VLOOKUP('1.DATOS-PROD'!BQ$2,'1.PUNTOS'!$A$1:$B$63,2,0),0)</f>
        <v>0</v>
      </c>
      <c r="BI246" s="138">
        <f>IF('1.DATOS-PROD'!BR247="SI",VLOOKUP('1.DATOS-PROD'!BR$2,'1.PUNTOS'!$A$1:$B$63,2,0),0)</f>
        <v>0</v>
      </c>
      <c r="BJ246" s="138">
        <f>IF('1.DATOS-PROD'!BS247="SI",VLOOKUP('1.DATOS-PROD'!BS$2,'1.PUNTOS'!$A$1:$B$63,2,0),0)</f>
        <v>0</v>
      </c>
      <c r="BK246" s="138">
        <f>IF('1.DATOS-PROD'!BT247="SI",VLOOKUP('1.DATOS-PROD'!BT$2,'1.PUNTOS'!$A$1:$B$63,2,0),0)</f>
        <v>0</v>
      </c>
    </row>
    <row r="247" spans="1:63" x14ac:dyDescent="0.25">
      <c r="A247">
        <f>'0.Consolidado general'!$A248</f>
        <v>0</v>
      </c>
      <c r="B247" s="138">
        <f>IF('1.DATOS-PROD'!K248="SI",VLOOKUP('1.DATOS-PROD'!K$2,'1.PUNTOS'!$A$1:$B$63,2,0),0)</f>
        <v>0</v>
      </c>
      <c r="C247" s="138">
        <f>IF('1.DATOS-PROD'!L248="SI",VLOOKUP('1.DATOS-PROD'!L$2,'1.PUNTOS'!$A$1:$B$63,2,0),0)</f>
        <v>0</v>
      </c>
      <c r="D247" s="138">
        <f>IF('1.DATOS-PROD'!M248="SI",VLOOKUP('1.DATOS-PROD'!M$2,'1.PUNTOS'!$A$1:$B$63,2,0),0)</f>
        <v>0</v>
      </c>
      <c r="E247" s="138">
        <f>IF('1.DATOS-PROD'!N248="SI",VLOOKUP('1.DATOS-PROD'!N$2,'1.PUNTOS'!$A$1:$B$63,2,0),0)</f>
        <v>0</v>
      </c>
      <c r="F247" s="138">
        <f>IF('1.DATOS-PROD'!O248="SI",VLOOKUP('1.DATOS-PROD'!O$2,'1.PUNTOS'!$A$1:$B$63,2,0),0)</f>
        <v>0</v>
      </c>
      <c r="G247" s="138">
        <f>IF('1.DATOS-PROD'!P248="SI",VLOOKUP('1.DATOS-PROD'!P$2,'1.PUNTOS'!$A$1:$B$63,2,0),0)</f>
        <v>0</v>
      </c>
      <c r="H247" s="138">
        <f>IF('1.DATOS-PROD'!Q248="SI",VLOOKUP('1.DATOS-PROD'!Q$2,'1.PUNTOS'!$A$1:$B$63,2,0),0)</f>
        <v>0</v>
      </c>
      <c r="I247" s="138">
        <f>IF('1.DATOS-PROD'!R248="SI",VLOOKUP('1.DATOS-PROD'!R$2,'1.PUNTOS'!$A$1:$B$63,2,0),0)</f>
        <v>0</v>
      </c>
      <c r="J247" s="138">
        <f>IF('1.DATOS-PROD'!S248="SI",VLOOKUP('1.DATOS-PROD'!S$2,'1.PUNTOS'!$A$1:$B$63,2,0),0)</f>
        <v>0</v>
      </c>
      <c r="K247" s="138">
        <f>IF('1.DATOS-PROD'!T248="SI",VLOOKUP('1.DATOS-PROD'!T$2,'1.PUNTOS'!$A$1:$B$63,2,0),0)</f>
        <v>0</v>
      </c>
      <c r="L247" s="138">
        <f>IF('1.DATOS-PROD'!U248="SI",VLOOKUP('1.DATOS-PROD'!U$2,'1.PUNTOS'!$A$1:$B$63,2,0),0)</f>
        <v>0</v>
      </c>
      <c r="M247" s="138">
        <f>IF('1.DATOS-PROD'!V248="SI",VLOOKUP('1.DATOS-PROD'!V$2,'1.PUNTOS'!$A$1:$B$63,2,0),0)</f>
        <v>0</v>
      </c>
      <c r="N247" s="138">
        <f>IF('1.DATOS-PROD'!W248="SI",VLOOKUP('1.DATOS-PROD'!W$2,'1.PUNTOS'!$A$1:$B$63,2,0),0)</f>
        <v>0</v>
      </c>
      <c r="O247" s="138">
        <f>IF('1.DATOS-PROD'!X248="SI",VLOOKUP('1.DATOS-PROD'!X$2,'1.PUNTOS'!$A$1:$B$63,2,0),0)</f>
        <v>0</v>
      </c>
      <c r="P247" s="138">
        <f>IF('1.DATOS-PROD'!Y248="SI",VLOOKUP('1.DATOS-PROD'!Y$2,'1.PUNTOS'!$A$1:$B$63,2,0),0)</f>
        <v>0</v>
      </c>
      <c r="Q247" s="138">
        <f>IF('1.DATOS-PROD'!Z248="SI",VLOOKUP('1.DATOS-PROD'!Z$2,'1.PUNTOS'!$A$1:$B$63,2,0),0)</f>
        <v>0</v>
      </c>
      <c r="R247" s="138">
        <f>IF('1.DATOS-PROD'!AA248="SI",VLOOKUP('1.DATOS-PROD'!AA$2,'1.PUNTOS'!$A$1:$B$63,2,0),0)</f>
        <v>0</v>
      </c>
      <c r="S247" s="138">
        <f>IF('1.DATOS-PROD'!AB248="SI",VLOOKUP('1.DATOS-PROD'!AB$2,'1.PUNTOS'!$A$1:$B$63,2,0),0)</f>
        <v>0</v>
      </c>
      <c r="T247" s="138">
        <f>IF('1.DATOS-PROD'!AC248="SI",VLOOKUP('1.DATOS-PROD'!AC$2,'1.PUNTOS'!$A$1:$B$63,2,0),0)</f>
        <v>0</v>
      </c>
      <c r="U247" s="138">
        <f>IF('1.DATOS-PROD'!AD248="SI",VLOOKUP('1.DATOS-PROD'!AD$2,'1.PUNTOS'!$A$1:$B$63,2,0),0)</f>
        <v>0</v>
      </c>
      <c r="V247" s="138">
        <f>IF('1.DATOS-PROD'!AE248="SI",VLOOKUP('1.DATOS-PROD'!AE$2,'1.PUNTOS'!$A$1:$B$63,2,0),0)</f>
        <v>0</v>
      </c>
      <c r="W247" s="138">
        <f>IF('1.DATOS-PROD'!AF248="SI",VLOOKUP('1.DATOS-PROD'!AF$2,'1.PUNTOS'!$A$1:$B$63,2,0),0)</f>
        <v>0</v>
      </c>
      <c r="X247" s="138">
        <f>IF('1.DATOS-PROD'!AG248="SI",VLOOKUP('1.DATOS-PROD'!AG$2,'1.PUNTOS'!$A$1:$B$63,2,0),0)</f>
        <v>0</v>
      </c>
      <c r="Y247" s="138">
        <f>IF('1.DATOS-PROD'!AH248="SI",VLOOKUP('1.DATOS-PROD'!AH$2,'1.PUNTOS'!$A$1:$B$63,2,0),0)</f>
        <v>0</v>
      </c>
      <c r="Z247" s="138">
        <f>IF('1.DATOS-PROD'!AI248="SI",VLOOKUP('1.DATOS-PROD'!AI$2,'1.PUNTOS'!$A$1:$B$63,2,0),0)</f>
        <v>0</v>
      </c>
      <c r="AA247" s="138">
        <f>IF('1.DATOS-PROD'!AJ248="SI",VLOOKUP('1.DATOS-PROD'!AJ$2,'1.PUNTOS'!$A$1:$B$63,2,0),0)</f>
        <v>0</v>
      </c>
      <c r="AB247" s="138">
        <f>IF('1.DATOS-PROD'!AK248="SI",VLOOKUP('1.DATOS-PROD'!AK$2,'1.PUNTOS'!$A$1:$B$63,2,0),0)</f>
        <v>0</v>
      </c>
      <c r="AC247" s="138">
        <f>IF('1.DATOS-PROD'!AL248="SI",VLOOKUP('1.DATOS-PROD'!AL$2,'1.PUNTOS'!$A$1:$B$63,2,0),0)</f>
        <v>0</v>
      </c>
      <c r="AD247" s="138">
        <f>IF('1.DATOS-PROD'!AM248="SI",VLOOKUP('1.DATOS-PROD'!AM$2,'1.PUNTOS'!$A$1:$B$63,2,0),0)</f>
        <v>0</v>
      </c>
      <c r="AE247" s="138">
        <f>IF('1.DATOS-PROD'!AN248="SI",VLOOKUP('1.DATOS-PROD'!AN$2,'1.PUNTOS'!$A$1:$B$63,2,0),0)</f>
        <v>0</v>
      </c>
      <c r="AF247" s="138">
        <f>IF('1.DATOS-PROD'!AO248="SI",VLOOKUP('1.DATOS-PROD'!AO$2,'1.PUNTOS'!$A$1:$B$63,2,0),0)</f>
        <v>0</v>
      </c>
      <c r="AG247" s="138">
        <f>IF('1.DATOS-PROD'!AP248="SI",VLOOKUP('1.DATOS-PROD'!AP$2,'1.PUNTOS'!$A$1:$B$63,2,0),0)</f>
        <v>0</v>
      </c>
      <c r="AH247" s="138">
        <f>IF('1.DATOS-PROD'!AQ248="SI",VLOOKUP('1.DATOS-PROD'!AQ$2,'1.PUNTOS'!$A$1:$B$63,2,0),0)</f>
        <v>0</v>
      </c>
      <c r="AI247" s="138">
        <f>IF('1.DATOS-PROD'!AR248="SI",VLOOKUP('1.DATOS-PROD'!AR$2,'1.PUNTOS'!$A$1:$B$63,2,0),0)</f>
        <v>0</v>
      </c>
      <c r="AJ247" s="138">
        <f>IF('1.DATOS-PROD'!AS248="SI",VLOOKUP('1.DATOS-PROD'!AS$2,'1.PUNTOS'!$A$1:$B$63,2,0),0)</f>
        <v>0</v>
      </c>
      <c r="AK247" s="138">
        <f>IF('1.DATOS-PROD'!AT248="SI",VLOOKUP('1.DATOS-PROD'!AT$2,'1.PUNTOS'!$A$1:$B$63,2,0),0)</f>
        <v>0</v>
      </c>
      <c r="AL247" s="138">
        <f>IF('1.DATOS-PROD'!AU248="SI",VLOOKUP('1.DATOS-PROD'!AU$2,'1.PUNTOS'!$A$1:$B$63,2,0),0)</f>
        <v>0</v>
      </c>
      <c r="AM247" s="138">
        <f>IF('1.DATOS-PROD'!AV248="SI",VLOOKUP('1.DATOS-PROD'!AV$2,'1.PUNTOS'!$A$1:$B$63,2,0),0)</f>
        <v>0</v>
      </c>
      <c r="AN247" s="138">
        <f>IF('1.DATOS-PROD'!AW248="SI",VLOOKUP('1.DATOS-PROD'!AW$2,'1.PUNTOS'!$A$1:$B$63,2,0),0)</f>
        <v>0</v>
      </c>
      <c r="AO247" s="138">
        <f>IF('1.DATOS-PROD'!AX248="SI",VLOOKUP('1.DATOS-PROD'!AX$2,'1.PUNTOS'!$A$1:$B$63,2,0),0)</f>
        <v>0</v>
      </c>
      <c r="AP247" s="138">
        <f>IF('1.DATOS-PROD'!AY248="SI",VLOOKUP('1.DATOS-PROD'!AY$2,'1.PUNTOS'!$A$1:$B$63,2,0),0)</f>
        <v>0</v>
      </c>
      <c r="AQ247" s="138">
        <f>IF('1.DATOS-PROD'!AZ248="SI",VLOOKUP('1.DATOS-PROD'!AZ$2,'1.PUNTOS'!$A$1:$B$63,2,0),0)</f>
        <v>0</v>
      </c>
      <c r="AR247" s="138">
        <f>IF('1.DATOS-PROD'!BA248="SI",VLOOKUP('1.DATOS-PROD'!BA$2,'1.PUNTOS'!$A$1:$B$63,2,0),0)</f>
        <v>0</v>
      </c>
      <c r="AS247" s="138">
        <f>IF('1.DATOS-PROD'!BB248="SI",VLOOKUP('1.DATOS-PROD'!BB$2,'1.PUNTOS'!$A$1:$B$63,2,0),0)</f>
        <v>0</v>
      </c>
      <c r="AT247" s="138">
        <f>IF('1.DATOS-PROD'!BC248="SI",VLOOKUP('1.DATOS-PROD'!BC$2,'1.PUNTOS'!$A$1:$B$63,2,0),0)</f>
        <v>0</v>
      </c>
      <c r="AU247" s="138">
        <f>IF('1.DATOS-PROD'!BD248="SI",VLOOKUP('1.DATOS-PROD'!BD$2,'1.PUNTOS'!$A$1:$B$63,2,0),0)</f>
        <v>0</v>
      </c>
      <c r="AV247" s="138">
        <f>IF('1.DATOS-PROD'!BE248="SI",VLOOKUP('1.DATOS-PROD'!BE$2,'1.PUNTOS'!$A$1:$B$63,2,0),0)</f>
        <v>0</v>
      </c>
      <c r="AW247" s="138">
        <f>IF('1.DATOS-PROD'!BF248="SI",VLOOKUP('1.DATOS-PROD'!BF$2,'1.PUNTOS'!$A$1:$B$63,2,0),0)</f>
        <v>0</v>
      </c>
      <c r="AX247" s="138">
        <f>IF('1.DATOS-PROD'!BG248="SI",VLOOKUP('1.DATOS-PROD'!BG$2,'1.PUNTOS'!$A$1:$B$63,2,0),0)</f>
        <v>0</v>
      </c>
      <c r="AY247" s="138">
        <f>IF('1.DATOS-PROD'!BH248="SI",VLOOKUP('1.DATOS-PROD'!BH$2,'1.PUNTOS'!$A$1:$B$63,2,0),0)</f>
        <v>0</v>
      </c>
      <c r="AZ247" s="138">
        <f>IF('1.DATOS-PROD'!BI248="SI",VLOOKUP('1.DATOS-PROD'!BI$2,'1.PUNTOS'!$A$1:$B$63,2,0),0)</f>
        <v>0</v>
      </c>
      <c r="BA247" s="138">
        <f>IF('1.DATOS-PROD'!BJ248="SI",VLOOKUP('1.DATOS-PROD'!BJ$2,'1.PUNTOS'!$A$1:$B$63,2,0),0)</f>
        <v>0</v>
      </c>
      <c r="BB247" s="138">
        <f>IF('1.DATOS-PROD'!BK248="SI",VLOOKUP('1.DATOS-PROD'!BK$2,'1.PUNTOS'!$A$1:$B$63,2,0),0)</f>
        <v>0</v>
      </c>
      <c r="BC247" s="138">
        <f>IF('1.DATOS-PROD'!BL248="SI",VLOOKUP('1.DATOS-PROD'!BL$2,'1.PUNTOS'!$A$1:$B$63,2,0),0)</f>
        <v>0</v>
      </c>
      <c r="BD247" s="138">
        <f>IF('1.DATOS-PROD'!BM248="SI",VLOOKUP('1.DATOS-PROD'!BM$2,'1.PUNTOS'!$A$1:$B$63,2,0),0)</f>
        <v>0</v>
      </c>
      <c r="BE247" s="138">
        <f>IF('1.DATOS-PROD'!BN248="SI",VLOOKUP('1.DATOS-PROD'!BN$2,'1.PUNTOS'!$A$1:$B$63,2,0),0)</f>
        <v>0</v>
      </c>
      <c r="BF247" s="138">
        <f>IF('1.DATOS-PROD'!BO248="SI",VLOOKUP('1.DATOS-PROD'!BO$2,'1.PUNTOS'!$A$1:$B$63,2,0),0)</f>
        <v>0</v>
      </c>
      <c r="BG247" s="138">
        <f>IF('1.DATOS-PROD'!BP248="SI",VLOOKUP('1.DATOS-PROD'!BP$2,'1.PUNTOS'!$A$1:$B$63,2,0),0)</f>
        <v>0</v>
      </c>
      <c r="BH247" s="138">
        <f>IF('1.DATOS-PROD'!BQ248="SI",VLOOKUP('1.DATOS-PROD'!BQ$2,'1.PUNTOS'!$A$1:$B$63,2,0),0)</f>
        <v>0</v>
      </c>
      <c r="BI247" s="138">
        <f>IF('1.DATOS-PROD'!BR248="SI",VLOOKUP('1.DATOS-PROD'!BR$2,'1.PUNTOS'!$A$1:$B$63,2,0),0)</f>
        <v>0</v>
      </c>
      <c r="BJ247" s="138">
        <f>IF('1.DATOS-PROD'!BS248="SI",VLOOKUP('1.DATOS-PROD'!BS$2,'1.PUNTOS'!$A$1:$B$63,2,0),0)</f>
        <v>0</v>
      </c>
      <c r="BK247" s="138">
        <f>IF('1.DATOS-PROD'!BT248="SI",VLOOKUP('1.DATOS-PROD'!BT$2,'1.PUNTOS'!$A$1:$B$63,2,0),0)</f>
        <v>0</v>
      </c>
    </row>
    <row r="248" spans="1:63" x14ac:dyDescent="0.25">
      <c r="A248">
        <f>'0.Consolidado general'!$A249</f>
        <v>0</v>
      </c>
      <c r="B248" s="138">
        <f>IF('1.DATOS-PROD'!K249="SI",VLOOKUP('1.DATOS-PROD'!K$2,'1.PUNTOS'!$A$1:$B$63,2,0),0)</f>
        <v>0</v>
      </c>
      <c r="C248" s="138">
        <f>IF('1.DATOS-PROD'!L249="SI",VLOOKUP('1.DATOS-PROD'!L$2,'1.PUNTOS'!$A$1:$B$63,2,0),0)</f>
        <v>0</v>
      </c>
      <c r="D248" s="138">
        <f>IF('1.DATOS-PROD'!M249="SI",VLOOKUP('1.DATOS-PROD'!M$2,'1.PUNTOS'!$A$1:$B$63,2,0),0)</f>
        <v>0</v>
      </c>
      <c r="E248" s="138">
        <f>IF('1.DATOS-PROD'!N249="SI",VLOOKUP('1.DATOS-PROD'!N$2,'1.PUNTOS'!$A$1:$B$63,2,0),0)</f>
        <v>0</v>
      </c>
      <c r="F248" s="138">
        <f>IF('1.DATOS-PROD'!O249="SI",VLOOKUP('1.DATOS-PROD'!O$2,'1.PUNTOS'!$A$1:$B$63,2,0),0)</f>
        <v>0</v>
      </c>
      <c r="G248" s="138">
        <f>IF('1.DATOS-PROD'!P249="SI",VLOOKUP('1.DATOS-PROD'!P$2,'1.PUNTOS'!$A$1:$B$63,2,0),0)</f>
        <v>0</v>
      </c>
      <c r="H248" s="138">
        <f>IF('1.DATOS-PROD'!Q249="SI",VLOOKUP('1.DATOS-PROD'!Q$2,'1.PUNTOS'!$A$1:$B$63,2,0),0)</f>
        <v>0</v>
      </c>
      <c r="I248" s="138">
        <f>IF('1.DATOS-PROD'!R249="SI",VLOOKUP('1.DATOS-PROD'!R$2,'1.PUNTOS'!$A$1:$B$63,2,0),0)</f>
        <v>0</v>
      </c>
      <c r="J248" s="138">
        <f>IF('1.DATOS-PROD'!S249="SI",VLOOKUP('1.DATOS-PROD'!S$2,'1.PUNTOS'!$A$1:$B$63,2,0),0)</f>
        <v>0</v>
      </c>
      <c r="K248" s="138">
        <f>IF('1.DATOS-PROD'!T249="SI",VLOOKUP('1.DATOS-PROD'!T$2,'1.PUNTOS'!$A$1:$B$63,2,0),0)</f>
        <v>0</v>
      </c>
      <c r="L248" s="138">
        <f>IF('1.DATOS-PROD'!U249="SI",VLOOKUP('1.DATOS-PROD'!U$2,'1.PUNTOS'!$A$1:$B$63,2,0),0)</f>
        <v>0</v>
      </c>
      <c r="M248" s="138">
        <f>IF('1.DATOS-PROD'!V249="SI",VLOOKUP('1.DATOS-PROD'!V$2,'1.PUNTOS'!$A$1:$B$63,2,0),0)</f>
        <v>0</v>
      </c>
      <c r="N248" s="138">
        <f>IF('1.DATOS-PROD'!W249="SI",VLOOKUP('1.DATOS-PROD'!W$2,'1.PUNTOS'!$A$1:$B$63,2,0),0)</f>
        <v>0</v>
      </c>
      <c r="O248" s="138">
        <f>IF('1.DATOS-PROD'!X249="SI",VLOOKUP('1.DATOS-PROD'!X$2,'1.PUNTOS'!$A$1:$B$63,2,0),0)</f>
        <v>0</v>
      </c>
      <c r="P248" s="138">
        <f>IF('1.DATOS-PROD'!Y249="SI",VLOOKUP('1.DATOS-PROD'!Y$2,'1.PUNTOS'!$A$1:$B$63,2,0),0)</f>
        <v>0</v>
      </c>
      <c r="Q248" s="138">
        <f>IF('1.DATOS-PROD'!Z249="SI",VLOOKUP('1.DATOS-PROD'!Z$2,'1.PUNTOS'!$A$1:$B$63,2,0),0)</f>
        <v>0</v>
      </c>
      <c r="R248" s="138">
        <f>IF('1.DATOS-PROD'!AA249="SI",VLOOKUP('1.DATOS-PROD'!AA$2,'1.PUNTOS'!$A$1:$B$63,2,0),0)</f>
        <v>0</v>
      </c>
      <c r="S248" s="138">
        <f>IF('1.DATOS-PROD'!AB249="SI",VLOOKUP('1.DATOS-PROD'!AB$2,'1.PUNTOS'!$A$1:$B$63,2,0),0)</f>
        <v>0</v>
      </c>
      <c r="T248" s="138">
        <f>IF('1.DATOS-PROD'!AC249="SI",VLOOKUP('1.DATOS-PROD'!AC$2,'1.PUNTOS'!$A$1:$B$63,2,0),0)</f>
        <v>0</v>
      </c>
      <c r="U248" s="138">
        <f>IF('1.DATOS-PROD'!AD249="SI",VLOOKUP('1.DATOS-PROD'!AD$2,'1.PUNTOS'!$A$1:$B$63,2,0),0)</f>
        <v>0</v>
      </c>
      <c r="V248" s="138">
        <f>IF('1.DATOS-PROD'!AE249="SI",VLOOKUP('1.DATOS-PROD'!AE$2,'1.PUNTOS'!$A$1:$B$63,2,0),0)</f>
        <v>0</v>
      </c>
      <c r="W248" s="138">
        <f>IF('1.DATOS-PROD'!AF249="SI",VLOOKUP('1.DATOS-PROD'!AF$2,'1.PUNTOS'!$A$1:$B$63,2,0),0)</f>
        <v>0</v>
      </c>
      <c r="X248" s="138">
        <f>IF('1.DATOS-PROD'!AG249="SI",VLOOKUP('1.DATOS-PROD'!AG$2,'1.PUNTOS'!$A$1:$B$63,2,0),0)</f>
        <v>0</v>
      </c>
      <c r="Y248" s="138">
        <f>IF('1.DATOS-PROD'!AH249="SI",VLOOKUP('1.DATOS-PROD'!AH$2,'1.PUNTOS'!$A$1:$B$63,2,0),0)</f>
        <v>0</v>
      </c>
      <c r="Z248" s="138">
        <f>IF('1.DATOS-PROD'!AI249="SI",VLOOKUP('1.DATOS-PROD'!AI$2,'1.PUNTOS'!$A$1:$B$63,2,0),0)</f>
        <v>0</v>
      </c>
      <c r="AA248" s="138">
        <f>IF('1.DATOS-PROD'!AJ249="SI",VLOOKUP('1.DATOS-PROD'!AJ$2,'1.PUNTOS'!$A$1:$B$63,2,0),0)</f>
        <v>0</v>
      </c>
      <c r="AB248" s="138">
        <f>IF('1.DATOS-PROD'!AK249="SI",VLOOKUP('1.DATOS-PROD'!AK$2,'1.PUNTOS'!$A$1:$B$63,2,0),0)</f>
        <v>0</v>
      </c>
      <c r="AC248" s="138">
        <f>IF('1.DATOS-PROD'!AL249="SI",VLOOKUP('1.DATOS-PROD'!AL$2,'1.PUNTOS'!$A$1:$B$63,2,0),0)</f>
        <v>0</v>
      </c>
      <c r="AD248" s="138">
        <f>IF('1.DATOS-PROD'!AM249="SI",VLOOKUP('1.DATOS-PROD'!AM$2,'1.PUNTOS'!$A$1:$B$63,2,0),0)</f>
        <v>0</v>
      </c>
      <c r="AE248" s="138">
        <f>IF('1.DATOS-PROD'!AN249="SI",VLOOKUP('1.DATOS-PROD'!AN$2,'1.PUNTOS'!$A$1:$B$63,2,0),0)</f>
        <v>0</v>
      </c>
      <c r="AF248" s="138">
        <f>IF('1.DATOS-PROD'!AO249="SI",VLOOKUP('1.DATOS-PROD'!AO$2,'1.PUNTOS'!$A$1:$B$63,2,0),0)</f>
        <v>0</v>
      </c>
      <c r="AG248" s="138">
        <f>IF('1.DATOS-PROD'!AP249="SI",VLOOKUP('1.DATOS-PROD'!AP$2,'1.PUNTOS'!$A$1:$B$63,2,0),0)</f>
        <v>0</v>
      </c>
      <c r="AH248" s="138">
        <f>IF('1.DATOS-PROD'!AQ249="SI",VLOOKUP('1.DATOS-PROD'!AQ$2,'1.PUNTOS'!$A$1:$B$63,2,0),0)</f>
        <v>0</v>
      </c>
      <c r="AI248" s="138">
        <f>IF('1.DATOS-PROD'!AR249="SI",VLOOKUP('1.DATOS-PROD'!AR$2,'1.PUNTOS'!$A$1:$B$63,2,0),0)</f>
        <v>0</v>
      </c>
      <c r="AJ248" s="138">
        <f>IF('1.DATOS-PROD'!AS249="SI",VLOOKUP('1.DATOS-PROD'!AS$2,'1.PUNTOS'!$A$1:$B$63,2,0),0)</f>
        <v>0</v>
      </c>
      <c r="AK248" s="138">
        <f>IF('1.DATOS-PROD'!AT249="SI",VLOOKUP('1.DATOS-PROD'!AT$2,'1.PUNTOS'!$A$1:$B$63,2,0),0)</f>
        <v>0</v>
      </c>
      <c r="AL248" s="138">
        <f>IF('1.DATOS-PROD'!AU249="SI",VLOOKUP('1.DATOS-PROD'!AU$2,'1.PUNTOS'!$A$1:$B$63,2,0),0)</f>
        <v>0</v>
      </c>
      <c r="AM248" s="138">
        <f>IF('1.DATOS-PROD'!AV249="SI",VLOOKUP('1.DATOS-PROD'!AV$2,'1.PUNTOS'!$A$1:$B$63,2,0),0)</f>
        <v>0</v>
      </c>
      <c r="AN248" s="138">
        <f>IF('1.DATOS-PROD'!AW249="SI",VLOOKUP('1.DATOS-PROD'!AW$2,'1.PUNTOS'!$A$1:$B$63,2,0),0)</f>
        <v>0</v>
      </c>
      <c r="AO248" s="138">
        <f>IF('1.DATOS-PROD'!AX249="SI",VLOOKUP('1.DATOS-PROD'!AX$2,'1.PUNTOS'!$A$1:$B$63,2,0),0)</f>
        <v>0</v>
      </c>
      <c r="AP248" s="138">
        <f>IF('1.DATOS-PROD'!AY249="SI",VLOOKUP('1.DATOS-PROD'!AY$2,'1.PUNTOS'!$A$1:$B$63,2,0),0)</f>
        <v>0</v>
      </c>
      <c r="AQ248" s="138">
        <f>IF('1.DATOS-PROD'!AZ249="SI",VLOOKUP('1.DATOS-PROD'!AZ$2,'1.PUNTOS'!$A$1:$B$63,2,0),0)</f>
        <v>0</v>
      </c>
      <c r="AR248" s="138">
        <f>IF('1.DATOS-PROD'!BA249="SI",VLOOKUP('1.DATOS-PROD'!BA$2,'1.PUNTOS'!$A$1:$B$63,2,0),0)</f>
        <v>0</v>
      </c>
      <c r="AS248" s="138">
        <f>IF('1.DATOS-PROD'!BB249="SI",VLOOKUP('1.DATOS-PROD'!BB$2,'1.PUNTOS'!$A$1:$B$63,2,0),0)</f>
        <v>0</v>
      </c>
      <c r="AT248" s="138">
        <f>IF('1.DATOS-PROD'!BC249="SI",VLOOKUP('1.DATOS-PROD'!BC$2,'1.PUNTOS'!$A$1:$B$63,2,0),0)</f>
        <v>0</v>
      </c>
      <c r="AU248" s="138">
        <f>IF('1.DATOS-PROD'!BD249="SI",VLOOKUP('1.DATOS-PROD'!BD$2,'1.PUNTOS'!$A$1:$B$63,2,0),0)</f>
        <v>0</v>
      </c>
      <c r="AV248" s="138">
        <f>IF('1.DATOS-PROD'!BE249="SI",VLOOKUP('1.DATOS-PROD'!BE$2,'1.PUNTOS'!$A$1:$B$63,2,0),0)</f>
        <v>0</v>
      </c>
      <c r="AW248" s="138">
        <f>IF('1.DATOS-PROD'!BF249="SI",VLOOKUP('1.DATOS-PROD'!BF$2,'1.PUNTOS'!$A$1:$B$63,2,0),0)</f>
        <v>0</v>
      </c>
      <c r="AX248" s="138">
        <f>IF('1.DATOS-PROD'!BG249="SI",VLOOKUP('1.DATOS-PROD'!BG$2,'1.PUNTOS'!$A$1:$B$63,2,0),0)</f>
        <v>0</v>
      </c>
      <c r="AY248" s="138">
        <f>IF('1.DATOS-PROD'!BH249="SI",VLOOKUP('1.DATOS-PROD'!BH$2,'1.PUNTOS'!$A$1:$B$63,2,0),0)</f>
        <v>0</v>
      </c>
      <c r="AZ248" s="138">
        <f>IF('1.DATOS-PROD'!BI249="SI",VLOOKUP('1.DATOS-PROD'!BI$2,'1.PUNTOS'!$A$1:$B$63,2,0),0)</f>
        <v>0</v>
      </c>
      <c r="BA248" s="138">
        <f>IF('1.DATOS-PROD'!BJ249="SI",VLOOKUP('1.DATOS-PROD'!BJ$2,'1.PUNTOS'!$A$1:$B$63,2,0),0)</f>
        <v>0</v>
      </c>
      <c r="BB248" s="138">
        <f>IF('1.DATOS-PROD'!BK249="SI",VLOOKUP('1.DATOS-PROD'!BK$2,'1.PUNTOS'!$A$1:$B$63,2,0),0)</f>
        <v>0</v>
      </c>
      <c r="BC248" s="138">
        <f>IF('1.DATOS-PROD'!BL249="SI",VLOOKUP('1.DATOS-PROD'!BL$2,'1.PUNTOS'!$A$1:$B$63,2,0),0)</f>
        <v>0</v>
      </c>
      <c r="BD248" s="138">
        <f>IF('1.DATOS-PROD'!BM249="SI",VLOOKUP('1.DATOS-PROD'!BM$2,'1.PUNTOS'!$A$1:$B$63,2,0),0)</f>
        <v>0</v>
      </c>
      <c r="BE248" s="138">
        <f>IF('1.DATOS-PROD'!BN249="SI",VLOOKUP('1.DATOS-PROD'!BN$2,'1.PUNTOS'!$A$1:$B$63,2,0),0)</f>
        <v>0</v>
      </c>
      <c r="BF248" s="138">
        <f>IF('1.DATOS-PROD'!BO249="SI",VLOOKUP('1.DATOS-PROD'!BO$2,'1.PUNTOS'!$A$1:$B$63,2,0),0)</f>
        <v>0</v>
      </c>
      <c r="BG248" s="138">
        <f>IF('1.DATOS-PROD'!BP249="SI",VLOOKUP('1.DATOS-PROD'!BP$2,'1.PUNTOS'!$A$1:$B$63,2,0),0)</f>
        <v>0</v>
      </c>
      <c r="BH248" s="138">
        <f>IF('1.DATOS-PROD'!BQ249="SI",VLOOKUP('1.DATOS-PROD'!BQ$2,'1.PUNTOS'!$A$1:$B$63,2,0),0)</f>
        <v>0</v>
      </c>
      <c r="BI248" s="138">
        <f>IF('1.DATOS-PROD'!BR249="SI",VLOOKUP('1.DATOS-PROD'!BR$2,'1.PUNTOS'!$A$1:$B$63,2,0),0)</f>
        <v>0</v>
      </c>
      <c r="BJ248" s="138">
        <f>IF('1.DATOS-PROD'!BS249="SI",VLOOKUP('1.DATOS-PROD'!BS$2,'1.PUNTOS'!$A$1:$B$63,2,0),0)</f>
        <v>0</v>
      </c>
      <c r="BK248" s="138">
        <f>IF('1.DATOS-PROD'!BT249="SI",VLOOKUP('1.DATOS-PROD'!BT$2,'1.PUNTOS'!$A$1:$B$63,2,0),0)</f>
        <v>0</v>
      </c>
    </row>
    <row r="249" spans="1:63" x14ac:dyDescent="0.25">
      <c r="A249">
        <f>'0.Consolidado general'!$A250</f>
        <v>0</v>
      </c>
      <c r="B249" s="138">
        <f>IF('1.DATOS-PROD'!K250="SI",VLOOKUP('1.DATOS-PROD'!K$2,'1.PUNTOS'!$A$1:$B$63,2,0),0)</f>
        <v>0</v>
      </c>
      <c r="C249" s="138">
        <f>IF('1.DATOS-PROD'!L250="SI",VLOOKUP('1.DATOS-PROD'!L$2,'1.PUNTOS'!$A$1:$B$63,2,0),0)</f>
        <v>0</v>
      </c>
      <c r="D249" s="138">
        <f>IF('1.DATOS-PROD'!M250="SI",VLOOKUP('1.DATOS-PROD'!M$2,'1.PUNTOS'!$A$1:$B$63,2,0),0)</f>
        <v>0</v>
      </c>
      <c r="E249" s="138">
        <f>IF('1.DATOS-PROD'!N250="SI",VLOOKUP('1.DATOS-PROD'!N$2,'1.PUNTOS'!$A$1:$B$63,2,0),0)</f>
        <v>0</v>
      </c>
      <c r="F249" s="138">
        <f>IF('1.DATOS-PROD'!O250="SI",VLOOKUP('1.DATOS-PROD'!O$2,'1.PUNTOS'!$A$1:$B$63,2,0),0)</f>
        <v>0</v>
      </c>
      <c r="G249" s="138">
        <f>IF('1.DATOS-PROD'!P250="SI",VLOOKUP('1.DATOS-PROD'!P$2,'1.PUNTOS'!$A$1:$B$63,2,0),0)</f>
        <v>0</v>
      </c>
      <c r="H249" s="138">
        <f>IF('1.DATOS-PROD'!Q250="SI",VLOOKUP('1.DATOS-PROD'!Q$2,'1.PUNTOS'!$A$1:$B$63,2,0),0)</f>
        <v>0</v>
      </c>
      <c r="I249" s="138">
        <f>IF('1.DATOS-PROD'!R250="SI",VLOOKUP('1.DATOS-PROD'!R$2,'1.PUNTOS'!$A$1:$B$63,2,0),0)</f>
        <v>0</v>
      </c>
      <c r="J249" s="138">
        <f>IF('1.DATOS-PROD'!S250="SI",VLOOKUP('1.DATOS-PROD'!S$2,'1.PUNTOS'!$A$1:$B$63,2,0),0)</f>
        <v>0</v>
      </c>
      <c r="K249" s="138">
        <f>IF('1.DATOS-PROD'!T250="SI",VLOOKUP('1.DATOS-PROD'!T$2,'1.PUNTOS'!$A$1:$B$63,2,0),0)</f>
        <v>0</v>
      </c>
      <c r="L249" s="138">
        <f>IF('1.DATOS-PROD'!U250="SI",VLOOKUP('1.DATOS-PROD'!U$2,'1.PUNTOS'!$A$1:$B$63,2,0),0)</f>
        <v>0</v>
      </c>
      <c r="M249" s="138">
        <f>IF('1.DATOS-PROD'!V250="SI",VLOOKUP('1.DATOS-PROD'!V$2,'1.PUNTOS'!$A$1:$B$63,2,0),0)</f>
        <v>0</v>
      </c>
      <c r="N249" s="138">
        <f>IF('1.DATOS-PROD'!W250="SI",VLOOKUP('1.DATOS-PROD'!W$2,'1.PUNTOS'!$A$1:$B$63,2,0),0)</f>
        <v>0</v>
      </c>
      <c r="O249" s="138">
        <f>IF('1.DATOS-PROD'!X250="SI",VLOOKUP('1.DATOS-PROD'!X$2,'1.PUNTOS'!$A$1:$B$63,2,0),0)</f>
        <v>0</v>
      </c>
      <c r="P249" s="138">
        <f>IF('1.DATOS-PROD'!Y250="SI",VLOOKUP('1.DATOS-PROD'!Y$2,'1.PUNTOS'!$A$1:$B$63,2,0),0)</f>
        <v>0</v>
      </c>
      <c r="Q249" s="138">
        <f>IF('1.DATOS-PROD'!Z250="SI",VLOOKUP('1.DATOS-PROD'!Z$2,'1.PUNTOS'!$A$1:$B$63,2,0),0)</f>
        <v>0</v>
      </c>
      <c r="R249" s="138">
        <f>IF('1.DATOS-PROD'!AA250="SI",VLOOKUP('1.DATOS-PROD'!AA$2,'1.PUNTOS'!$A$1:$B$63,2,0),0)</f>
        <v>0</v>
      </c>
      <c r="S249" s="138">
        <f>IF('1.DATOS-PROD'!AB250="SI",VLOOKUP('1.DATOS-PROD'!AB$2,'1.PUNTOS'!$A$1:$B$63,2,0),0)</f>
        <v>0</v>
      </c>
      <c r="T249" s="138">
        <f>IF('1.DATOS-PROD'!AC250="SI",VLOOKUP('1.DATOS-PROD'!AC$2,'1.PUNTOS'!$A$1:$B$63,2,0),0)</f>
        <v>0</v>
      </c>
      <c r="U249" s="138">
        <f>IF('1.DATOS-PROD'!AD250="SI",VLOOKUP('1.DATOS-PROD'!AD$2,'1.PUNTOS'!$A$1:$B$63,2,0),0)</f>
        <v>0</v>
      </c>
      <c r="V249" s="138">
        <f>IF('1.DATOS-PROD'!AE250="SI",VLOOKUP('1.DATOS-PROD'!AE$2,'1.PUNTOS'!$A$1:$B$63,2,0),0)</f>
        <v>0</v>
      </c>
      <c r="W249" s="138">
        <f>IF('1.DATOS-PROD'!AF250="SI",VLOOKUP('1.DATOS-PROD'!AF$2,'1.PUNTOS'!$A$1:$B$63,2,0),0)</f>
        <v>0</v>
      </c>
      <c r="X249" s="138">
        <f>IF('1.DATOS-PROD'!AG250="SI",VLOOKUP('1.DATOS-PROD'!AG$2,'1.PUNTOS'!$A$1:$B$63,2,0),0)</f>
        <v>0</v>
      </c>
      <c r="Y249" s="138">
        <f>IF('1.DATOS-PROD'!AH250="SI",VLOOKUP('1.DATOS-PROD'!AH$2,'1.PUNTOS'!$A$1:$B$63,2,0),0)</f>
        <v>0</v>
      </c>
      <c r="Z249" s="138">
        <f>IF('1.DATOS-PROD'!AI250="SI",VLOOKUP('1.DATOS-PROD'!AI$2,'1.PUNTOS'!$A$1:$B$63,2,0),0)</f>
        <v>0</v>
      </c>
      <c r="AA249" s="138">
        <f>IF('1.DATOS-PROD'!AJ250="SI",VLOOKUP('1.DATOS-PROD'!AJ$2,'1.PUNTOS'!$A$1:$B$63,2,0),0)</f>
        <v>0</v>
      </c>
      <c r="AB249" s="138">
        <f>IF('1.DATOS-PROD'!AK250="SI",VLOOKUP('1.DATOS-PROD'!AK$2,'1.PUNTOS'!$A$1:$B$63,2,0),0)</f>
        <v>0</v>
      </c>
      <c r="AC249" s="138">
        <f>IF('1.DATOS-PROD'!AL250="SI",VLOOKUP('1.DATOS-PROD'!AL$2,'1.PUNTOS'!$A$1:$B$63,2,0),0)</f>
        <v>0</v>
      </c>
      <c r="AD249" s="138">
        <f>IF('1.DATOS-PROD'!AM250="SI",VLOOKUP('1.DATOS-PROD'!AM$2,'1.PUNTOS'!$A$1:$B$63,2,0),0)</f>
        <v>0</v>
      </c>
      <c r="AE249" s="138">
        <f>IF('1.DATOS-PROD'!AN250="SI",VLOOKUP('1.DATOS-PROD'!AN$2,'1.PUNTOS'!$A$1:$B$63,2,0),0)</f>
        <v>0</v>
      </c>
      <c r="AF249" s="138">
        <f>IF('1.DATOS-PROD'!AO250="SI",VLOOKUP('1.DATOS-PROD'!AO$2,'1.PUNTOS'!$A$1:$B$63,2,0),0)</f>
        <v>0</v>
      </c>
      <c r="AG249" s="138">
        <f>IF('1.DATOS-PROD'!AP250="SI",VLOOKUP('1.DATOS-PROD'!AP$2,'1.PUNTOS'!$A$1:$B$63,2,0),0)</f>
        <v>0</v>
      </c>
      <c r="AH249" s="138">
        <f>IF('1.DATOS-PROD'!AQ250="SI",VLOOKUP('1.DATOS-PROD'!AQ$2,'1.PUNTOS'!$A$1:$B$63,2,0),0)</f>
        <v>0</v>
      </c>
      <c r="AI249" s="138">
        <f>IF('1.DATOS-PROD'!AR250="SI",VLOOKUP('1.DATOS-PROD'!AR$2,'1.PUNTOS'!$A$1:$B$63,2,0),0)</f>
        <v>0</v>
      </c>
      <c r="AJ249" s="138">
        <f>IF('1.DATOS-PROD'!AS250="SI",VLOOKUP('1.DATOS-PROD'!AS$2,'1.PUNTOS'!$A$1:$B$63,2,0),0)</f>
        <v>0</v>
      </c>
      <c r="AK249" s="138">
        <f>IF('1.DATOS-PROD'!AT250="SI",VLOOKUP('1.DATOS-PROD'!AT$2,'1.PUNTOS'!$A$1:$B$63,2,0),0)</f>
        <v>0</v>
      </c>
      <c r="AL249" s="138">
        <f>IF('1.DATOS-PROD'!AU250="SI",VLOOKUP('1.DATOS-PROD'!AU$2,'1.PUNTOS'!$A$1:$B$63,2,0),0)</f>
        <v>0</v>
      </c>
      <c r="AM249" s="138">
        <f>IF('1.DATOS-PROD'!AV250="SI",VLOOKUP('1.DATOS-PROD'!AV$2,'1.PUNTOS'!$A$1:$B$63,2,0),0)</f>
        <v>0</v>
      </c>
      <c r="AN249" s="138">
        <f>IF('1.DATOS-PROD'!AW250="SI",VLOOKUP('1.DATOS-PROD'!AW$2,'1.PUNTOS'!$A$1:$B$63,2,0),0)</f>
        <v>0</v>
      </c>
      <c r="AO249" s="138">
        <f>IF('1.DATOS-PROD'!AX250="SI",VLOOKUP('1.DATOS-PROD'!AX$2,'1.PUNTOS'!$A$1:$B$63,2,0),0)</f>
        <v>0</v>
      </c>
      <c r="AP249" s="138">
        <f>IF('1.DATOS-PROD'!AY250="SI",VLOOKUP('1.DATOS-PROD'!AY$2,'1.PUNTOS'!$A$1:$B$63,2,0),0)</f>
        <v>0</v>
      </c>
      <c r="AQ249" s="138">
        <f>IF('1.DATOS-PROD'!AZ250="SI",VLOOKUP('1.DATOS-PROD'!AZ$2,'1.PUNTOS'!$A$1:$B$63,2,0),0)</f>
        <v>0</v>
      </c>
      <c r="AR249" s="138">
        <f>IF('1.DATOS-PROD'!BA250="SI",VLOOKUP('1.DATOS-PROD'!BA$2,'1.PUNTOS'!$A$1:$B$63,2,0),0)</f>
        <v>0</v>
      </c>
      <c r="AS249" s="138">
        <f>IF('1.DATOS-PROD'!BB250="SI",VLOOKUP('1.DATOS-PROD'!BB$2,'1.PUNTOS'!$A$1:$B$63,2,0),0)</f>
        <v>0</v>
      </c>
      <c r="AT249" s="138">
        <f>IF('1.DATOS-PROD'!BC250="SI",VLOOKUP('1.DATOS-PROD'!BC$2,'1.PUNTOS'!$A$1:$B$63,2,0),0)</f>
        <v>0</v>
      </c>
      <c r="AU249" s="138">
        <f>IF('1.DATOS-PROD'!BD250="SI",VLOOKUP('1.DATOS-PROD'!BD$2,'1.PUNTOS'!$A$1:$B$63,2,0),0)</f>
        <v>0</v>
      </c>
      <c r="AV249" s="138">
        <f>IF('1.DATOS-PROD'!BE250="SI",VLOOKUP('1.DATOS-PROD'!BE$2,'1.PUNTOS'!$A$1:$B$63,2,0),0)</f>
        <v>0</v>
      </c>
      <c r="AW249" s="138">
        <f>IF('1.DATOS-PROD'!BF250="SI",VLOOKUP('1.DATOS-PROD'!BF$2,'1.PUNTOS'!$A$1:$B$63,2,0),0)</f>
        <v>0</v>
      </c>
      <c r="AX249" s="138">
        <f>IF('1.DATOS-PROD'!BG250="SI",VLOOKUP('1.DATOS-PROD'!BG$2,'1.PUNTOS'!$A$1:$B$63,2,0),0)</f>
        <v>0</v>
      </c>
      <c r="AY249" s="138">
        <f>IF('1.DATOS-PROD'!BH250="SI",VLOOKUP('1.DATOS-PROD'!BH$2,'1.PUNTOS'!$A$1:$B$63,2,0),0)</f>
        <v>0</v>
      </c>
      <c r="AZ249" s="138">
        <f>IF('1.DATOS-PROD'!BI250="SI",VLOOKUP('1.DATOS-PROD'!BI$2,'1.PUNTOS'!$A$1:$B$63,2,0),0)</f>
        <v>0</v>
      </c>
      <c r="BA249" s="138">
        <f>IF('1.DATOS-PROD'!BJ250="SI",VLOOKUP('1.DATOS-PROD'!BJ$2,'1.PUNTOS'!$A$1:$B$63,2,0),0)</f>
        <v>0</v>
      </c>
      <c r="BB249" s="138">
        <f>IF('1.DATOS-PROD'!BK250="SI",VLOOKUP('1.DATOS-PROD'!BK$2,'1.PUNTOS'!$A$1:$B$63,2,0),0)</f>
        <v>0</v>
      </c>
      <c r="BC249" s="138">
        <f>IF('1.DATOS-PROD'!BL250="SI",VLOOKUP('1.DATOS-PROD'!BL$2,'1.PUNTOS'!$A$1:$B$63,2,0),0)</f>
        <v>0</v>
      </c>
      <c r="BD249" s="138">
        <f>IF('1.DATOS-PROD'!BM250="SI",VLOOKUP('1.DATOS-PROD'!BM$2,'1.PUNTOS'!$A$1:$B$63,2,0),0)</f>
        <v>0</v>
      </c>
      <c r="BE249" s="138">
        <f>IF('1.DATOS-PROD'!BN250="SI",VLOOKUP('1.DATOS-PROD'!BN$2,'1.PUNTOS'!$A$1:$B$63,2,0),0)</f>
        <v>0</v>
      </c>
      <c r="BF249" s="138">
        <f>IF('1.DATOS-PROD'!BO250="SI",VLOOKUP('1.DATOS-PROD'!BO$2,'1.PUNTOS'!$A$1:$B$63,2,0),0)</f>
        <v>0</v>
      </c>
      <c r="BG249" s="138">
        <f>IF('1.DATOS-PROD'!BP250="SI",VLOOKUP('1.DATOS-PROD'!BP$2,'1.PUNTOS'!$A$1:$B$63,2,0),0)</f>
        <v>0</v>
      </c>
      <c r="BH249" s="138">
        <f>IF('1.DATOS-PROD'!BQ250="SI",VLOOKUP('1.DATOS-PROD'!BQ$2,'1.PUNTOS'!$A$1:$B$63,2,0),0)</f>
        <v>0</v>
      </c>
      <c r="BI249" s="138">
        <f>IF('1.DATOS-PROD'!BR250="SI",VLOOKUP('1.DATOS-PROD'!BR$2,'1.PUNTOS'!$A$1:$B$63,2,0),0)</f>
        <v>0</v>
      </c>
      <c r="BJ249" s="138">
        <f>IF('1.DATOS-PROD'!BS250="SI",VLOOKUP('1.DATOS-PROD'!BS$2,'1.PUNTOS'!$A$1:$B$63,2,0),0)</f>
        <v>0</v>
      </c>
      <c r="BK249" s="138">
        <f>IF('1.DATOS-PROD'!BT250="SI",VLOOKUP('1.DATOS-PROD'!BT$2,'1.PUNTOS'!$A$1:$B$63,2,0),0)</f>
        <v>0</v>
      </c>
    </row>
    <row r="250" spans="1:63" x14ac:dyDescent="0.25">
      <c r="A250">
        <f>'0.Consolidado general'!$A251</f>
        <v>0</v>
      </c>
      <c r="B250" s="138">
        <f>IF('1.DATOS-PROD'!K251="SI",VLOOKUP('1.DATOS-PROD'!K$2,'1.PUNTOS'!$A$1:$B$63,2,0),0)</f>
        <v>0</v>
      </c>
      <c r="C250" s="138">
        <f>IF('1.DATOS-PROD'!L251="SI",VLOOKUP('1.DATOS-PROD'!L$2,'1.PUNTOS'!$A$1:$B$63,2,0),0)</f>
        <v>0</v>
      </c>
      <c r="D250" s="138">
        <f>IF('1.DATOS-PROD'!M251="SI",VLOOKUP('1.DATOS-PROD'!M$2,'1.PUNTOS'!$A$1:$B$63,2,0),0)</f>
        <v>0</v>
      </c>
      <c r="E250" s="138">
        <f>IF('1.DATOS-PROD'!N251="SI",VLOOKUP('1.DATOS-PROD'!N$2,'1.PUNTOS'!$A$1:$B$63,2,0),0)</f>
        <v>0</v>
      </c>
      <c r="F250" s="138">
        <f>IF('1.DATOS-PROD'!O251="SI",VLOOKUP('1.DATOS-PROD'!O$2,'1.PUNTOS'!$A$1:$B$63,2,0),0)</f>
        <v>0</v>
      </c>
      <c r="G250" s="138">
        <f>IF('1.DATOS-PROD'!P251="SI",VLOOKUP('1.DATOS-PROD'!P$2,'1.PUNTOS'!$A$1:$B$63,2,0),0)</f>
        <v>0</v>
      </c>
      <c r="H250" s="138">
        <f>IF('1.DATOS-PROD'!Q251="SI",VLOOKUP('1.DATOS-PROD'!Q$2,'1.PUNTOS'!$A$1:$B$63,2,0),0)</f>
        <v>0</v>
      </c>
      <c r="I250" s="138">
        <f>IF('1.DATOS-PROD'!R251="SI",VLOOKUP('1.DATOS-PROD'!R$2,'1.PUNTOS'!$A$1:$B$63,2,0),0)</f>
        <v>0</v>
      </c>
      <c r="J250" s="138">
        <f>IF('1.DATOS-PROD'!S251="SI",VLOOKUP('1.DATOS-PROD'!S$2,'1.PUNTOS'!$A$1:$B$63,2,0),0)</f>
        <v>0</v>
      </c>
      <c r="K250" s="138">
        <f>IF('1.DATOS-PROD'!T251="SI",VLOOKUP('1.DATOS-PROD'!T$2,'1.PUNTOS'!$A$1:$B$63,2,0),0)</f>
        <v>0</v>
      </c>
      <c r="L250" s="138">
        <f>IF('1.DATOS-PROD'!U251="SI",VLOOKUP('1.DATOS-PROD'!U$2,'1.PUNTOS'!$A$1:$B$63,2,0),0)</f>
        <v>0</v>
      </c>
      <c r="M250" s="138">
        <f>IF('1.DATOS-PROD'!V251="SI",VLOOKUP('1.DATOS-PROD'!V$2,'1.PUNTOS'!$A$1:$B$63,2,0),0)</f>
        <v>0</v>
      </c>
      <c r="N250" s="138">
        <f>IF('1.DATOS-PROD'!W251="SI",VLOOKUP('1.DATOS-PROD'!W$2,'1.PUNTOS'!$A$1:$B$63,2,0),0)</f>
        <v>0</v>
      </c>
      <c r="O250" s="138">
        <f>IF('1.DATOS-PROD'!X251="SI",VLOOKUP('1.DATOS-PROD'!X$2,'1.PUNTOS'!$A$1:$B$63,2,0),0)</f>
        <v>0</v>
      </c>
      <c r="P250" s="138">
        <f>IF('1.DATOS-PROD'!Y251="SI",VLOOKUP('1.DATOS-PROD'!Y$2,'1.PUNTOS'!$A$1:$B$63,2,0),0)</f>
        <v>0</v>
      </c>
      <c r="Q250" s="138">
        <f>IF('1.DATOS-PROD'!Z251="SI",VLOOKUP('1.DATOS-PROD'!Z$2,'1.PUNTOS'!$A$1:$B$63,2,0),0)</f>
        <v>0</v>
      </c>
      <c r="R250" s="138">
        <f>IF('1.DATOS-PROD'!AA251="SI",VLOOKUP('1.DATOS-PROD'!AA$2,'1.PUNTOS'!$A$1:$B$63,2,0),0)</f>
        <v>0</v>
      </c>
      <c r="S250" s="138">
        <f>IF('1.DATOS-PROD'!AB251="SI",VLOOKUP('1.DATOS-PROD'!AB$2,'1.PUNTOS'!$A$1:$B$63,2,0),0)</f>
        <v>0</v>
      </c>
      <c r="T250" s="138">
        <f>IF('1.DATOS-PROD'!AC251="SI",VLOOKUP('1.DATOS-PROD'!AC$2,'1.PUNTOS'!$A$1:$B$63,2,0),0)</f>
        <v>0</v>
      </c>
      <c r="U250" s="138">
        <f>IF('1.DATOS-PROD'!AD251="SI",VLOOKUP('1.DATOS-PROD'!AD$2,'1.PUNTOS'!$A$1:$B$63,2,0),0)</f>
        <v>0</v>
      </c>
      <c r="V250" s="138">
        <f>IF('1.DATOS-PROD'!AE251="SI",VLOOKUP('1.DATOS-PROD'!AE$2,'1.PUNTOS'!$A$1:$B$63,2,0),0)</f>
        <v>0</v>
      </c>
      <c r="W250" s="138">
        <f>IF('1.DATOS-PROD'!AF251="SI",VLOOKUP('1.DATOS-PROD'!AF$2,'1.PUNTOS'!$A$1:$B$63,2,0),0)</f>
        <v>0</v>
      </c>
      <c r="X250" s="138">
        <f>IF('1.DATOS-PROD'!AG251="SI",VLOOKUP('1.DATOS-PROD'!AG$2,'1.PUNTOS'!$A$1:$B$63,2,0),0)</f>
        <v>0</v>
      </c>
      <c r="Y250" s="138">
        <f>IF('1.DATOS-PROD'!AH251="SI",VLOOKUP('1.DATOS-PROD'!AH$2,'1.PUNTOS'!$A$1:$B$63,2,0),0)</f>
        <v>0</v>
      </c>
      <c r="Z250" s="138">
        <f>IF('1.DATOS-PROD'!AI251="SI",VLOOKUP('1.DATOS-PROD'!AI$2,'1.PUNTOS'!$A$1:$B$63,2,0),0)</f>
        <v>0</v>
      </c>
      <c r="AA250" s="138">
        <f>IF('1.DATOS-PROD'!AJ251="SI",VLOOKUP('1.DATOS-PROD'!AJ$2,'1.PUNTOS'!$A$1:$B$63,2,0),0)</f>
        <v>0</v>
      </c>
      <c r="AB250" s="138">
        <f>IF('1.DATOS-PROD'!AK251="SI",VLOOKUP('1.DATOS-PROD'!AK$2,'1.PUNTOS'!$A$1:$B$63,2,0),0)</f>
        <v>0</v>
      </c>
      <c r="AC250" s="138">
        <f>IF('1.DATOS-PROD'!AL251="SI",VLOOKUP('1.DATOS-PROD'!AL$2,'1.PUNTOS'!$A$1:$B$63,2,0),0)</f>
        <v>0</v>
      </c>
      <c r="AD250" s="138">
        <f>IF('1.DATOS-PROD'!AM251="SI",VLOOKUP('1.DATOS-PROD'!AM$2,'1.PUNTOS'!$A$1:$B$63,2,0),0)</f>
        <v>0</v>
      </c>
      <c r="AE250" s="138">
        <f>IF('1.DATOS-PROD'!AN251="SI",VLOOKUP('1.DATOS-PROD'!AN$2,'1.PUNTOS'!$A$1:$B$63,2,0),0)</f>
        <v>0</v>
      </c>
      <c r="AF250" s="138">
        <f>IF('1.DATOS-PROD'!AO251="SI",VLOOKUP('1.DATOS-PROD'!AO$2,'1.PUNTOS'!$A$1:$B$63,2,0),0)</f>
        <v>0</v>
      </c>
      <c r="AG250" s="138">
        <f>IF('1.DATOS-PROD'!AP251="SI",VLOOKUP('1.DATOS-PROD'!AP$2,'1.PUNTOS'!$A$1:$B$63,2,0),0)</f>
        <v>0</v>
      </c>
      <c r="AH250" s="138">
        <f>IF('1.DATOS-PROD'!AQ251="SI",VLOOKUP('1.DATOS-PROD'!AQ$2,'1.PUNTOS'!$A$1:$B$63,2,0),0)</f>
        <v>0</v>
      </c>
      <c r="AI250" s="138">
        <f>IF('1.DATOS-PROD'!AR251="SI",VLOOKUP('1.DATOS-PROD'!AR$2,'1.PUNTOS'!$A$1:$B$63,2,0),0)</f>
        <v>0</v>
      </c>
      <c r="AJ250" s="138">
        <f>IF('1.DATOS-PROD'!AS251="SI",VLOOKUP('1.DATOS-PROD'!AS$2,'1.PUNTOS'!$A$1:$B$63,2,0),0)</f>
        <v>0</v>
      </c>
      <c r="AK250" s="138">
        <f>IF('1.DATOS-PROD'!AT251="SI",VLOOKUP('1.DATOS-PROD'!AT$2,'1.PUNTOS'!$A$1:$B$63,2,0),0)</f>
        <v>0</v>
      </c>
      <c r="AL250" s="138">
        <f>IF('1.DATOS-PROD'!AU251="SI",VLOOKUP('1.DATOS-PROD'!AU$2,'1.PUNTOS'!$A$1:$B$63,2,0),0)</f>
        <v>0</v>
      </c>
      <c r="AM250" s="138">
        <f>IF('1.DATOS-PROD'!AV251="SI",VLOOKUP('1.DATOS-PROD'!AV$2,'1.PUNTOS'!$A$1:$B$63,2,0),0)</f>
        <v>0</v>
      </c>
      <c r="AN250" s="138">
        <f>IF('1.DATOS-PROD'!AW251="SI",VLOOKUP('1.DATOS-PROD'!AW$2,'1.PUNTOS'!$A$1:$B$63,2,0),0)</f>
        <v>0</v>
      </c>
      <c r="AO250" s="138">
        <f>IF('1.DATOS-PROD'!AX251="SI",VLOOKUP('1.DATOS-PROD'!AX$2,'1.PUNTOS'!$A$1:$B$63,2,0),0)</f>
        <v>0</v>
      </c>
      <c r="AP250" s="138">
        <f>IF('1.DATOS-PROD'!AY251="SI",VLOOKUP('1.DATOS-PROD'!AY$2,'1.PUNTOS'!$A$1:$B$63,2,0),0)</f>
        <v>0</v>
      </c>
      <c r="AQ250" s="138">
        <f>IF('1.DATOS-PROD'!AZ251="SI",VLOOKUP('1.DATOS-PROD'!AZ$2,'1.PUNTOS'!$A$1:$B$63,2,0),0)</f>
        <v>0</v>
      </c>
      <c r="AR250" s="138">
        <f>IF('1.DATOS-PROD'!BA251="SI",VLOOKUP('1.DATOS-PROD'!BA$2,'1.PUNTOS'!$A$1:$B$63,2,0),0)</f>
        <v>0</v>
      </c>
      <c r="AS250" s="138">
        <f>IF('1.DATOS-PROD'!BB251="SI",VLOOKUP('1.DATOS-PROD'!BB$2,'1.PUNTOS'!$A$1:$B$63,2,0),0)</f>
        <v>0</v>
      </c>
      <c r="AT250" s="138">
        <f>IF('1.DATOS-PROD'!BC251="SI",VLOOKUP('1.DATOS-PROD'!BC$2,'1.PUNTOS'!$A$1:$B$63,2,0),0)</f>
        <v>0</v>
      </c>
      <c r="AU250" s="138">
        <f>IF('1.DATOS-PROD'!BD251="SI",VLOOKUP('1.DATOS-PROD'!BD$2,'1.PUNTOS'!$A$1:$B$63,2,0),0)</f>
        <v>0</v>
      </c>
      <c r="AV250" s="138">
        <f>IF('1.DATOS-PROD'!BE251="SI",VLOOKUP('1.DATOS-PROD'!BE$2,'1.PUNTOS'!$A$1:$B$63,2,0),0)</f>
        <v>0</v>
      </c>
      <c r="AW250" s="138">
        <f>IF('1.DATOS-PROD'!BF251="SI",VLOOKUP('1.DATOS-PROD'!BF$2,'1.PUNTOS'!$A$1:$B$63,2,0),0)</f>
        <v>0</v>
      </c>
      <c r="AX250" s="138">
        <f>IF('1.DATOS-PROD'!BG251="SI",VLOOKUP('1.DATOS-PROD'!BG$2,'1.PUNTOS'!$A$1:$B$63,2,0),0)</f>
        <v>0</v>
      </c>
      <c r="AY250" s="138">
        <f>IF('1.DATOS-PROD'!BH251="SI",VLOOKUP('1.DATOS-PROD'!BH$2,'1.PUNTOS'!$A$1:$B$63,2,0),0)</f>
        <v>0</v>
      </c>
      <c r="AZ250" s="138">
        <f>IF('1.DATOS-PROD'!BI251="SI",VLOOKUP('1.DATOS-PROD'!BI$2,'1.PUNTOS'!$A$1:$B$63,2,0),0)</f>
        <v>0</v>
      </c>
      <c r="BA250" s="138">
        <f>IF('1.DATOS-PROD'!BJ251="SI",VLOOKUP('1.DATOS-PROD'!BJ$2,'1.PUNTOS'!$A$1:$B$63,2,0),0)</f>
        <v>0</v>
      </c>
      <c r="BB250" s="138">
        <f>IF('1.DATOS-PROD'!BK251="SI",VLOOKUP('1.DATOS-PROD'!BK$2,'1.PUNTOS'!$A$1:$B$63,2,0),0)</f>
        <v>0</v>
      </c>
      <c r="BC250" s="138">
        <f>IF('1.DATOS-PROD'!BL251="SI",VLOOKUP('1.DATOS-PROD'!BL$2,'1.PUNTOS'!$A$1:$B$63,2,0),0)</f>
        <v>0</v>
      </c>
      <c r="BD250" s="138">
        <f>IF('1.DATOS-PROD'!BM251="SI",VLOOKUP('1.DATOS-PROD'!BM$2,'1.PUNTOS'!$A$1:$B$63,2,0),0)</f>
        <v>0</v>
      </c>
      <c r="BE250" s="138">
        <f>IF('1.DATOS-PROD'!BN251="SI",VLOOKUP('1.DATOS-PROD'!BN$2,'1.PUNTOS'!$A$1:$B$63,2,0),0)</f>
        <v>0</v>
      </c>
      <c r="BF250" s="138">
        <f>IF('1.DATOS-PROD'!BO251="SI",VLOOKUP('1.DATOS-PROD'!BO$2,'1.PUNTOS'!$A$1:$B$63,2,0),0)</f>
        <v>0</v>
      </c>
      <c r="BG250" s="138">
        <f>IF('1.DATOS-PROD'!BP251="SI",VLOOKUP('1.DATOS-PROD'!BP$2,'1.PUNTOS'!$A$1:$B$63,2,0),0)</f>
        <v>0</v>
      </c>
      <c r="BH250" s="138">
        <f>IF('1.DATOS-PROD'!BQ251="SI",VLOOKUP('1.DATOS-PROD'!BQ$2,'1.PUNTOS'!$A$1:$B$63,2,0),0)</f>
        <v>0</v>
      </c>
      <c r="BI250" s="138">
        <f>IF('1.DATOS-PROD'!BR251="SI",VLOOKUP('1.DATOS-PROD'!BR$2,'1.PUNTOS'!$A$1:$B$63,2,0),0)</f>
        <v>0</v>
      </c>
      <c r="BJ250" s="138">
        <f>IF('1.DATOS-PROD'!BS251="SI",VLOOKUP('1.DATOS-PROD'!BS$2,'1.PUNTOS'!$A$1:$B$63,2,0),0)</f>
        <v>0</v>
      </c>
      <c r="BK250" s="138">
        <f>IF('1.DATOS-PROD'!BT251="SI",VLOOKUP('1.DATOS-PROD'!BT$2,'1.PUNTOS'!$A$1:$B$63,2,0),0)</f>
        <v>0</v>
      </c>
    </row>
    <row r="251" spans="1:63" x14ac:dyDescent="0.25">
      <c r="A251">
        <f>'0.Consolidado general'!$A252</f>
        <v>0</v>
      </c>
      <c r="B251" s="138">
        <f>IF('1.DATOS-PROD'!K252="SI",VLOOKUP('1.DATOS-PROD'!K$2,'1.PUNTOS'!$A$1:$B$63,2,0),0)</f>
        <v>0</v>
      </c>
      <c r="C251" s="138">
        <f>IF('1.DATOS-PROD'!L252="SI",VLOOKUP('1.DATOS-PROD'!L$2,'1.PUNTOS'!$A$1:$B$63,2,0),0)</f>
        <v>0</v>
      </c>
      <c r="D251" s="138">
        <f>IF('1.DATOS-PROD'!M252="SI",VLOOKUP('1.DATOS-PROD'!M$2,'1.PUNTOS'!$A$1:$B$63,2,0),0)</f>
        <v>0</v>
      </c>
      <c r="E251" s="138">
        <f>IF('1.DATOS-PROD'!N252="SI",VLOOKUP('1.DATOS-PROD'!N$2,'1.PUNTOS'!$A$1:$B$63,2,0),0)</f>
        <v>0</v>
      </c>
      <c r="F251" s="138">
        <f>IF('1.DATOS-PROD'!O252="SI",VLOOKUP('1.DATOS-PROD'!O$2,'1.PUNTOS'!$A$1:$B$63,2,0),0)</f>
        <v>0</v>
      </c>
      <c r="G251" s="138">
        <f>IF('1.DATOS-PROD'!P252="SI",VLOOKUP('1.DATOS-PROD'!P$2,'1.PUNTOS'!$A$1:$B$63,2,0),0)</f>
        <v>0</v>
      </c>
      <c r="H251" s="138">
        <f>IF('1.DATOS-PROD'!Q252="SI",VLOOKUP('1.DATOS-PROD'!Q$2,'1.PUNTOS'!$A$1:$B$63,2,0),0)</f>
        <v>0</v>
      </c>
      <c r="I251" s="138">
        <f>IF('1.DATOS-PROD'!R252="SI",VLOOKUP('1.DATOS-PROD'!R$2,'1.PUNTOS'!$A$1:$B$63,2,0),0)</f>
        <v>0</v>
      </c>
      <c r="J251" s="138">
        <f>IF('1.DATOS-PROD'!S252="SI",VLOOKUP('1.DATOS-PROD'!S$2,'1.PUNTOS'!$A$1:$B$63,2,0),0)</f>
        <v>0</v>
      </c>
      <c r="K251" s="138">
        <f>IF('1.DATOS-PROD'!T252="SI",VLOOKUP('1.DATOS-PROD'!T$2,'1.PUNTOS'!$A$1:$B$63,2,0),0)</f>
        <v>0</v>
      </c>
      <c r="L251" s="138">
        <f>IF('1.DATOS-PROD'!U252="SI",VLOOKUP('1.DATOS-PROD'!U$2,'1.PUNTOS'!$A$1:$B$63,2,0),0)</f>
        <v>0</v>
      </c>
      <c r="M251" s="138">
        <f>IF('1.DATOS-PROD'!V252="SI",VLOOKUP('1.DATOS-PROD'!V$2,'1.PUNTOS'!$A$1:$B$63,2,0),0)</f>
        <v>0</v>
      </c>
      <c r="N251" s="138">
        <f>IF('1.DATOS-PROD'!W252="SI",VLOOKUP('1.DATOS-PROD'!W$2,'1.PUNTOS'!$A$1:$B$63,2,0),0)</f>
        <v>0</v>
      </c>
      <c r="O251" s="138">
        <f>IF('1.DATOS-PROD'!X252="SI",VLOOKUP('1.DATOS-PROD'!X$2,'1.PUNTOS'!$A$1:$B$63,2,0),0)</f>
        <v>0</v>
      </c>
      <c r="P251" s="138">
        <f>IF('1.DATOS-PROD'!Y252="SI",VLOOKUP('1.DATOS-PROD'!Y$2,'1.PUNTOS'!$A$1:$B$63,2,0),0)</f>
        <v>0</v>
      </c>
      <c r="Q251" s="138">
        <f>IF('1.DATOS-PROD'!Z252="SI",VLOOKUP('1.DATOS-PROD'!Z$2,'1.PUNTOS'!$A$1:$B$63,2,0),0)</f>
        <v>0</v>
      </c>
      <c r="R251" s="138">
        <f>IF('1.DATOS-PROD'!AA252="SI",VLOOKUP('1.DATOS-PROD'!AA$2,'1.PUNTOS'!$A$1:$B$63,2,0),0)</f>
        <v>0</v>
      </c>
      <c r="S251" s="138">
        <f>IF('1.DATOS-PROD'!AB252="SI",VLOOKUP('1.DATOS-PROD'!AB$2,'1.PUNTOS'!$A$1:$B$63,2,0),0)</f>
        <v>0</v>
      </c>
      <c r="T251" s="138">
        <f>IF('1.DATOS-PROD'!AC252="SI",VLOOKUP('1.DATOS-PROD'!AC$2,'1.PUNTOS'!$A$1:$B$63,2,0),0)</f>
        <v>0</v>
      </c>
      <c r="U251" s="138">
        <f>IF('1.DATOS-PROD'!AD252="SI",VLOOKUP('1.DATOS-PROD'!AD$2,'1.PUNTOS'!$A$1:$B$63,2,0),0)</f>
        <v>0</v>
      </c>
      <c r="V251" s="138">
        <f>IF('1.DATOS-PROD'!AE252="SI",VLOOKUP('1.DATOS-PROD'!AE$2,'1.PUNTOS'!$A$1:$B$63,2,0),0)</f>
        <v>0</v>
      </c>
      <c r="W251" s="138">
        <f>IF('1.DATOS-PROD'!AF252="SI",VLOOKUP('1.DATOS-PROD'!AF$2,'1.PUNTOS'!$A$1:$B$63,2,0),0)</f>
        <v>0</v>
      </c>
      <c r="X251" s="138">
        <f>IF('1.DATOS-PROD'!AG252="SI",VLOOKUP('1.DATOS-PROD'!AG$2,'1.PUNTOS'!$A$1:$B$63,2,0),0)</f>
        <v>0</v>
      </c>
      <c r="Y251" s="138">
        <f>IF('1.DATOS-PROD'!AH252="SI",VLOOKUP('1.DATOS-PROD'!AH$2,'1.PUNTOS'!$A$1:$B$63,2,0),0)</f>
        <v>0</v>
      </c>
      <c r="Z251" s="138">
        <f>IF('1.DATOS-PROD'!AI252="SI",VLOOKUP('1.DATOS-PROD'!AI$2,'1.PUNTOS'!$A$1:$B$63,2,0),0)</f>
        <v>0</v>
      </c>
      <c r="AA251" s="138">
        <f>IF('1.DATOS-PROD'!AJ252="SI",VLOOKUP('1.DATOS-PROD'!AJ$2,'1.PUNTOS'!$A$1:$B$63,2,0),0)</f>
        <v>0</v>
      </c>
      <c r="AB251" s="138">
        <f>IF('1.DATOS-PROD'!AK252="SI",VLOOKUP('1.DATOS-PROD'!AK$2,'1.PUNTOS'!$A$1:$B$63,2,0),0)</f>
        <v>0</v>
      </c>
      <c r="AC251" s="138">
        <f>IF('1.DATOS-PROD'!AL252="SI",VLOOKUP('1.DATOS-PROD'!AL$2,'1.PUNTOS'!$A$1:$B$63,2,0),0)</f>
        <v>0</v>
      </c>
      <c r="AD251" s="138">
        <f>IF('1.DATOS-PROD'!AM252="SI",VLOOKUP('1.DATOS-PROD'!AM$2,'1.PUNTOS'!$A$1:$B$63,2,0),0)</f>
        <v>0</v>
      </c>
      <c r="AE251" s="138">
        <f>IF('1.DATOS-PROD'!AN252="SI",VLOOKUP('1.DATOS-PROD'!AN$2,'1.PUNTOS'!$A$1:$B$63,2,0),0)</f>
        <v>0</v>
      </c>
      <c r="AF251" s="138">
        <f>IF('1.DATOS-PROD'!AO252="SI",VLOOKUP('1.DATOS-PROD'!AO$2,'1.PUNTOS'!$A$1:$B$63,2,0),0)</f>
        <v>0</v>
      </c>
      <c r="AG251" s="138">
        <f>IF('1.DATOS-PROD'!AP252="SI",VLOOKUP('1.DATOS-PROD'!AP$2,'1.PUNTOS'!$A$1:$B$63,2,0),0)</f>
        <v>0</v>
      </c>
      <c r="AH251" s="138">
        <f>IF('1.DATOS-PROD'!AQ252="SI",VLOOKUP('1.DATOS-PROD'!AQ$2,'1.PUNTOS'!$A$1:$B$63,2,0),0)</f>
        <v>0</v>
      </c>
      <c r="AI251" s="138">
        <f>IF('1.DATOS-PROD'!AR252="SI",VLOOKUP('1.DATOS-PROD'!AR$2,'1.PUNTOS'!$A$1:$B$63,2,0),0)</f>
        <v>0</v>
      </c>
      <c r="AJ251" s="138">
        <f>IF('1.DATOS-PROD'!AS252="SI",VLOOKUP('1.DATOS-PROD'!AS$2,'1.PUNTOS'!$A$1:$B$63,2,0),0)</f>
        <v>0</v>
      </c>
      <c r="AK251" s="138">
        <f>IF('1.DATOS-PROD'!AT252="SI",VLOOKUP('1.DATOS-PROD'!AT$2,'1.PUNTOS'!$A$1:$B$63,2,0),0)</f>
        <v>0</v>
      </c>
      <c r="AL251" s="138">
        <f>IF('1.DATOS-PROD'!AU252="SI",VLOOKUP('1.DATOS-PROD'!AU$2,'1.PUNTOS'!$A$1:$B$63,2,0),0)</f>
        <v>0</v>
      </c>
      <c r="AM251" s="138">
        <f>IF('1.DATOS-PROD'!AV252="SI",VLOOKUP('1.DATOS-PROD'!AV$2,'1.PUNTOS'!$A$1:$B$63,2,0),0)</f>
        <v>0</v>
      </c>
      <c r="AN251" s="138">
        <f>IF('1.DATOS-PROD'!AW252="SI",VLOOKUP('1.DATOS-PROD'!AW$2,'1.PUNTOS'!$A$1:$B$63,2,0),0)</f>
        <v>0</v>
      </c>
      <c r="AO251" s="138">
        <f>IF('1.DATOS-PROD'!AX252="SI",VLOOKUP('1.DATOS-PROD'!AX$2,'1.PUNTOS'!$A$1:$B$63,2,0),0)</f>
        <v>0</v>
      </c>
      <c r="AP251" s="138">
        <f>IF('1.DATOS-PROD'!AY252="SI",VLOOKUP('1.DATOS-PROD'!AY$2,'1.PUNTOS'!$A$1:$B$63,2,0),0)</f>
        <v>0</v>
      </c>
      <c r="AQ251" s="138">
        <f>IF('1.DATOS-PROD'!AZ252="SI",VLOOKUP('1.DATOS-PROD'!AZ$2,'1.PUNTOS'!$A$1:$B$63,2,0),0)</f>
        <v>0</v>
      </c>
      <c r="AR251" s="138">
        <f>IF('1.DATOS-PROD'!BA252="SI",VLOOKUP('1.DATOS-PROD'!BA$2,'1.PUNTOS'!$A$1:$B$63,2,0),0)</f>
        <v>0</v>
      </c>
      <c r="AS251" s="138">
        <f>IF('1.DATOS-PROD'!BB252="SI",VLOOKUP('1.DATOS-PROD'!BB$2,'1.PUNTOS'!$A$1:$B$63,2,0),0)</f>
        <v>0</v>
      </c>
      <c r="AT251" s="138">
        <f>IF('1.DATOS-PROD'!BC252="SI",VLOOKUP('1.DATOS-PROD'!BC$2,'1.PUNTOS'!$A$1:$B$63,2,0),0)</f>
        <v>0</v>
      </c>
      <c r="AU251" s="138">
        <f>IF('1.DATOS-PROD'!BD252="SI",VLOOKUP('1.DATOS-PROD'!BD$2,'1.PUNTOS'!$A$1:$B$63,2,0),0)</f>
        <v>0</v>
      </c>
      <c r="AV251" s="138">
        <f>IF('1.DATOS-PROD'!BE252="SI",VLOOKUP('1.DATOS-PROD'!BE$2,'1.PUNTOS'!$A$1:$B$63,2,0),0)</f>
        <v>0</v>
      </c>
      <c r="AW251" s="138">
        <f>IF('1.DATOS-PROD'!BF252="SI",VLOOKUP('1.DATOS-PROD'!BF$2,'1.PUNTOS'!$A$1:$B$63,2,0),0)</f>
        <v>0</v>
      </c>
      <c r="AX251" s="138">
        <f>IF('1.DATOS-PROD'!BG252="SI",VLOOKUP('1.DATOS-PROD'!BG$2,'1.PUNTOS'!$A$1:$B$63,2,0),0)</f>
        <v>0</v>
      </c>
      <c r="AY251" s="138">
        <f>IF('1.DATOS-PROD'!BH252="SI",VLOOKUP('1.DATOS-PROD'!BH$2,'1.PUNTOS'!$A$1:$B$63,2,0),0)</f>
        <v>0</v>
      </c>
      <c r="AZ251" s="138">
        <f>IF('1.DATOS-PROD'!BI252="SI",VLOOKUP('1.DATOS-PROD'!BI$2,'1.PUNTOS'!$A$1:$B$63,2,0),0)</f>
        <v>0</v>
      </c>
      <c r="BA251" s="138">
        <f>IF('1.DATOS-PROD'!BJ252="SI",VLOOKUP('1.DATOS-PROD'!BJ$2,'1.PUNTOS'!$A$1:$B$63,2,0),0)</f>
        <v>0</v>
      </c>
      <c r="BB251" s="138">
        <f>IF('1.DATOS-PROD'!BK252="SI",VLOOKUP('1.DATOS-PROD'!BK$2,'1.PUNTOS'!$A$1:$B$63,2,0),0)</f>
        <v>0</v>
      </c>
      <c r="BC251" s="138">
        <f>IF('1.DATOS-PROD'!BL252="SI",VLOOKUP('1.DATOS-PROD'!BL$2,'1.PUNTOS'!$A$1:$B$63,2,0),0)</f>
        <v>0</v>
      </c>
      <c r="BD251" s="138">
        <f>IF('1.DATOS-PROD'!BM252="SI",VLOOKUP('1.DATOS-PROD'!BM$2,'1.PUNTOS'!$A$1:$B$63,2,0),0)</f>
        <v>0</v>
      </c>
      <c r="BE251" s="138">
        <f>IF('1.DATOS-PROD'!BN252="SI",VLOOKUP('1.DATOS-PROD'!BN$2,'1.PUNTOS'!$A$1:$B$63,2,0),0)</f>
        <v>0</v>
      </c>
      <c r="BF251" s="138">
        <f>IF('1.DATOS-PROD'!BO252="SI",VLOOKUP('1.DATOS-PROD'!BO$2,'1.PUNTOS'!$A$1:$B$63,2,0),0)</f>
        <v>0</v>
      </c>
      <c r="BG251" s="138">
        <f>IF('1.DATOS-PROD'!BP252="SI",VLOOKUP('1.DATOS-PROD'!BP$2,'1.PUNTOS'!$A$1:$B$63,2,0),0)</f>
        <v>0</v>
      </c>
      <c r="BH251" s="138">
        <f>IF('1.DATOS-PROD'!BQ252="SI",VLOOKUP('1.DATOS-PROD'!BQ$2,'1.PUNTOS'!$A$1:$B$63,2,0),0)</f>
        <v>0</v>
      </c>
      <c r="BI251" s="138">
        <f>IF('1.DATOS-PROD'!BR252="SI",VLOOKUP('1.DATOS-PROD'!BR$2,'1.PUNTOS'!$A$1:$B$63,2,0),0)</f>
        <v>0</v>
      </c>
      <c r="BJ251" s="138">
        <f>IF('1.DATOS-PROD'!BS252="SI",VLOOKUP('1.DATOS-PROD'!BS$2,'1.PUNTOS'!$A$1:$B$63,2,0),0)</f>
        <v>0</v>
      </c>
      <c r="BK251" s="138">
        <f>IF('1.DATOS-PROD'!BT252="SI",VLOOKUP('1.DATOS-PROD'!BT$2,'1.PUNTOS'!$A$1:$B$63,2,0),0)</f>
        <v>0</v>
      </c>
    </row>
    <row r="252" spans="1:63" x14ac:dyDescent="0.25">
      <c r="A252">
        <f>'0.Consolidado general'!$A253</f>
        <v>0</v>
      </c>
      <c r="B252" s="138">
        <f>IF('1.DATOS-PROD'!K253="SI",VLOOKUP('1.DATOS-PROD'!K$2,'1.PUNTOS'!$A$1:$B$63,2,0),0)</f>
        <v>0</v>
      </c>
      <c r="C252" s="138">
        <f>IF('1.DATOS-PROD'!L253="SI",VLOOKUP('1.DATOS-PROD'!L$2,'1.PUNTOS'!$A$1:$B$63,2,0),0)</f>
        <v>0</v>
      </c>
      <c r="D252" s="138">
        <f>IF('1.DATOS-PROD'!M253="SI",VLOOKUP('1.DATOS-PROD'!M$2,'1.PUNTOS'!$A$1:$B$63,2,0),0)</f>
        <v>0</v>
      </c>
      <c r="E252" s="138">
        <f>IF('1.DATOS-PROD'!N253="SI",VLOOKUP('1.DATOS-PROD'!N$2,'1.PUNTOS'!$A$1:$B$63,2,0),0)</f>
        <v>0</v>
      </c>
      <c r="F252" s="138">
        <f>IF('1.DATOS-PROD'!O253="SI",VLOOKUP('1.DATOS-PROD'!O$2,'1.PUNTOS'!$A$1:$B$63,2,0),0)</f>
        <v>0</v>
      </c>
      <c r="G252" s="138">
        <f>IF('1.DATOS-PROD'!P253="SI",VLOOKUP('1.DATOS-PROD'!P$2,'1.PUNTOS'!$A$1:$B$63,2,0),0)</f>
        <v>0</v>
      </c>
      <c r="H252" s="138">
        <f>IF('1.DATOS-PROD'!Q253="SI",VLOOKUP('1.DATOS-PROD'!Q$2,'1.PUNTOS'!$A$1:$B$63,2,0),0)</f>
        <v>0</v>
      </c>
      <c r="I252" s="138">
        <f>IF('1.DATOS-PROD'!R253="SI",VLOOKUP('1.DATOS-PROD'!R$2,'1.PUNTOS'!$A$1:$B$63,2,0),0)</f>
        <v>0</v>
      </c>
      <c r="J252" s="138">
        <f>IF('1.DATOS-PROD'!S253="SI",VLOOKUP('1.DATOS-PROD'!S$2,'1.PUNTOS'!$A$1:$B$63,2,0),0)</f>
        <v>0</v>
      </c>
      <c r="K252" s="138">
        <f>IF('1.DATOS-PROD'!T253="SI",VLOOKUP('1.DATOS-PROD'!T$2,'1.PUNTOS'!$A$1:$B$63,2,0),0)</f>
        <v>0</v>
      </c>
      <c r="L252" s="138">
        <f>IF('1.DATOS-PROD'!U253="SI",VLOOKUP('1.DATOS-PROD'!U$2,'1.PUNTOS'!$A$1:$B$63,2,0),0)</f>
        <v>0</v>
      </c>
      <c r="M252" s="138">
        <f>IF('1.DATOS-PROD'!V253="SI",VLOOKUP('1.DATOS-PROD'!V$2,'1.PUNTOS'!$A$1:$B$63,2,0),0)</f>
        <v>0</v>
      </c>
      <c r="N252" s="138">
        <f>IF('1.DATOS-PROD'!W253="SI",VLOOKUP('1.DATOS-PROD'!W$2,'1.PUNTOS'!$A$1:$B$63,2,0),0)</f>
        <v>0</v>
      </c>
      <c r="O252" s="138">
        <f>IF('1.DATOS-PROD'!X253="SI",VLOOKUP('1.DATOS-PROD'!X$2,'1.PUNTOS'!$A$1:$B$63,2,0),0)</f>
        <v>0</v>
      </c>
      <c r="P252" s="138">
        <f>IF('1.DATOS-PROD'!Y253="SI",VLOOKUP('1.DATOS-PROD'!Y$2,'1.PUNTOS'!$A$1:$B$63,2,0),0)</f>
        <v>0</v>
      </c>
      <c r="Q252" s="138">
        <f>IF('1.DATOS-PROD'!Z253="SI",VLOOKUP('1.DATOS-PROD'!Z$2,'1.PUNTOS'!$A$1:$B$63,2,0),0)</f>
        <v>0</v>
      </c>
      <c r="R252" s="138">
        <f>IF('1.DATOS-PROD'!AA253="SI",VLOOKUP('1.DATOS-PROD'!AA$2,'1.PUNTOS'!$A$1:$B$63,2,0),0)</f>
        <v>0</v>
      </c>
      <c r="S252" s="138">
        <f>IF('1.DATOS-PROD'!AB253="SI",VLOOKUP('1.DATOS-PROD'!AB$2,'1.PUNTOS'!$A$1:$B$63,2,0),0)</f>
        <v>0</v>
      </c>
      <c r="T252" s="138">
        <f>IF('1.DATOS-PROD'!AC253="SI",VLOOKUP('1.DATOS-PROD'!AC$2,'1.PUNTOS'!$A$1:$B$63,2,0),0)</f>
        <v>0</v>
      </c>
      <c r="U252" s="138">
        <f>IF('1.DATOS-PROD'!AD253="SI",VLOOKUP('1.DATOS-PROD'!AD$2,'1.PUNTOS'!$A$1:$B$63,2,0),0)</f>
        <v>0</v>
      </c>
      <c r="V252" s="138">
        <f>IF('1.DATOS-PROD'!AE253="SI",VLOOKUP('1.DATOS-PROD'!AE$2,'1.PUNTOS'!$A$1:$B$63,2,0),0)</f>
        <v>0</v>
      </c>
      <c r="W252" s="138">
        <f>IF('1.DATOS-PROD'!AF253="SI",VLOOKUP('1.DATOS-PROD'!AF$2,'1.PUNTOS'!$A$1:$B$63,2,0),0)</f>
        <v>0</v>
      </c>
      <c r="X252" s="138">
        <f>IF('1.DATOS-PROD'!AG253="SI",VLOOKUP('1.DATOS-PROD'!AG$2,'1.PUNTOS'!$A$1:$B$63,2,0),0)</f>
        <v>0</v>
      </c>
      <c r="Y252" s="138">
        <f>IF('1.DATOS-PROD'!AH253="SI",VLOOKUP('1.DATOS-PROD'!AH$2,'1.PUNTOS'!$A$1:$B$63,2,0),0)</f>
        <v>0</v>
      </c>
      <c r="Z252" s="138">
        <f>IF('1.DATOS-PROD'!AI253="SI",VLOOKUP('1.DATOS-PROD'!AI$2,'1.PUNTOS'!$A$1:$B$63,2,0),0)</f>
        <v>0</v>
      </c>
      <c r="AA252" s="138">
        <f>IF('1.DATOS-PROD'!AJ253="SI",VLOOKUP('1.DATOS-PROD'!AJ$2,'1.PUNTOS'!$A$1:$B$63,2,0),0)</f>
        <v>0</v>
      </c>
      <c r="AB252" s="138">
        <f>IF('1.DATOS-PROD'!AK253="SI",VLOOKUP('1.DATOS-PROD'!AK$2,'1.PUNTOS'!$A$1:$B$63,2,0),0)</f>
        <v>0</v>
      </c>
      <c r="AC252" s="138">
        <f>IF('1.DATOS-PROD'!AL253="SI",VLOOKUP('1.DATOS-PROD'!AL$2,'1.PUNTOS'!$A$1:$B$63,2,0),0)</f>
        <v>0</v>
      </c>
      <c r="AD252" s="138">
        <f>IF('1.DATOS-PROD'!AM253="SI",VLOOKUP('1.DATOS-PROD'!AM$2,'1.PUNTOS'!$A$1:$B$63,2,0),0)</f>
        <v>0</v>
      </c>
      <c r="AE252" s="138">
        <f>IF('1.DATOS-PROD'!AN253="SI",VLOOKUP('1.DATOS-PROD'!AN$2,'1.PUNTOS'!$A$1:$B$63,2,0),0)</f>
        <v>0</v>
      </c>
      <c r="AF252" s="138">
        <f>IF('1.DATOS-PROD'!AO253="SI",VLOOKUP('1.DATOS-PROD'!AO$2,'1.PUNTOS'!$A$1:$B$63,2,0),0)</f>
        <v>0</v>
      </c>
      <c r="AG252" s="138">
        <f>IF('1.DATOS-PROD'!AP253="SI",VLOOKUP('1.DATOS-PROD'!AP$2,'1.PUNTOS'!$A$1:$B$63,2,0),0)</f>
        <v>0</v>
      </c>
      <c r="AH252" s="138">
        <f>IF('1.DATOS-PROD'!AQ253="SI",VLOOKUP('1.DATOS-PROD'!AQ$2,'1.PUNTOS'!$A$1:$B$63,2,0),0)</f>
        <v>0</v>
      </c>
      <c r="AI252" s="138">
        <f>IF('1.DATOS-PROD'!AR253="SI",VLOOKUP('1.DATOS-PROD'!AR$2,'1.PUNTOS'!$A$1:$B$63,2,0),0)</f>
        <v>0</v>
      </c>
      <c r="AJ252" s="138">
        <f>IF('1.DATOS-PROD'!AS253="SI",VLOOKUP('1.DATOS-PROD'!AS$2,'1.PUNTOS'!$A$1:$B$63,2,0),0)</f>
        <v>0</v>
      </c>
      <c r="AK252" s="138">
        <f>IF('1.DATOS-PROD'!AT253="SI",VLOOKUP('1.DATOS-PROD'!AT$2,'1.PUNTOS'!$A$1:$B$63,2,0),0)</f>
        <v>0</v>
      </c>
      <c r="AL252" s="138">
        <f>IF('1.DATOS-PROD'!AU253="SI",VLOOKUP('1.DATOS-PROD'!AU$2,'1.PUNTOS'!$A$1:$B$63,2,0),0)</f>
        <v>0</v>
      </c>
      <c r="AM252" s="138">
        <f>IF('1.DATOS-PROD'!AV253="SI",VLOOKUP('1.DATOS-PROD'!AV$2,'1.PUNTOS'!$A$1:$B$63,2,0),0)</f>
        <v>0</v>
      </c>
      <c r="AN252" s="138">
        <f>IF('1.DATOS-PROD'!AW253="SI",VLOOKUP('1.DATOS-PROD'!AW$2,'1.PUNTOS'!$A$1:$B$63,2,0),0)</f>
        <v>0</v>
      </c>
      <c r="AO252" s="138">
        <f>IF('1.DATOS-PROD'!AX253="SI",VLOOKUP('1.DATOS-PROD'!AX$2,'1.PUNTOS'!$A$1:$B$63,2,0),0)</f>
        <v>0</v>
      </c>
      <c r="AP252" s="138">
        <f>IF('1.DATOS-PROD'!AY253="SI",VLOOKUP('1.DATOS-PROD'!AY$2,'1.PUNTOS'!$A$1:$B$63,2,0),0)</f>
        <v>0</v>
      </c>
      <c r="AQ252" s="138">
        <f>IF('1.DATOS-PROD'!AZ253="SI",VLOOKUP('1.DATOS-PROD'!AZ$2,'1.PUNTOS'!$A$1:$B$63,2,0),0)</f>
        <v>0</v>
      </c>
      <c r="AR252" s="138">
        <f>IF('1.DATOS-PROD'!BA253="SI",VLOOKUP('1.DATOS-PROD'!BA$2,'1.PUNTOS'!$A$1:$B$63,2,0),0)</f>
        <v>0</v>
      </c>
      <c r="AS252" s="138">
        <f>IF('1.DATOS-PROD'!BB253="SI",VLOOKUP('1.DATOS-PROD'!BB$2,'1.PUNTOS'!$A$1:$B$63,2,0),0)</f>
        <v>0</v>
      </c>
      <c r="AT252" s="138">
        <f>IF('1.DATOS-PROD'!BC253="SI",VLOOKUP('1.DATOS-PROD'!BC$2,'1.PUNTOS'!$A$1:$B$63,2,0),0)</f>
        <v>0</v>
      </c>
      <c r="AU252" s="138">
        <f>IF('1.DATOS-PROD'!BD253="SI",VLOOKUP('1.DATOS-PROD'!BD$2,'1.PUNTOS'!$A$1:$B$63,2,0),0)</f>
        <v>0</v>
      </c>
      <c r="AV252" s="138">
        <f>IF('1.DATOS-PROD'!BE253="SI",VLOOKUP('1.DATOS-PROD'!BE$2,'1.PUNTOS'!$A$1:$B$63,2,0),0)</f>
        <v>0</v>
      </c>
      <c r="AW252" s="138">
        <f>IF('1.DATOS-PROD'!BF253="SI",VLOOKUP('1.DATOS-PROD'!BF$2,'1.PUNTOS'!$A$1:$B$63,2,0),0)</f>
        <v>0</v>
      </c>
      <c r="AX252" s="138">
        <f>IF('1.DATOS-PROD'!BG253="SI",VLOOKUP('1.DATOS-PROD'!BG$2,'1.PUNTOS'!$A$1:$B$63,2,0),0)</f>
        <v>0</v>
      </c>
      <c r="AY252" s="138">
        <f>IF('1.DATOS-PROD'!BH253="SI",VLOOKUP('1.DATOS-PROD'!BH$2,'1.PUNTOS'!$A$1:$B$63,2,0),0)</f>
        <v>0</v>
      </c>
      <c r="AZ252" s="138">
        <f>IF('1.DATOS-PROD'!BI253="SI",VLOOKUP('1.DATOS-PROD'!BI$2,'1.PUNTOS'!$A$1:$B$63,2,0),0)</f>
        <v>0</v>
      </c>
      <c r="BA252" s="138">
        <f>IF('1.DATOS-PROD'!BJ253="SI",VLOOKUP('1.DATOS-PROD'!BJ$2,'1.PUNTOS'!$A$1:$B$63,2,0),0)</f>
        <v>0</v>
      </c>
      <c r="BB252" s="138">
        <f>IF('1.DATOS-PROD'!BK253="SI",VLOOKUP('1.DATOS-PROD'!BK$2,'1.PUNTOS'!$A$1:$B$63,2,0),0)</f>
        <v>0</v>
      </c>
      <c r="BC252" s="138">
        <f>IF('1.DATOS-PROD'!BL253="SI",VLOOKUP('1.DATOS-PROD'!BL$2,'1.PUNTOS'!$A$1:$B$63,2,0),0)</f>
        <v>0</v>
      </c>
      <c r="BD252" s="138">
        <f>IF('1.DATOS-PROD'!BM253="SI",VLOOKUP('1.DATOS-PROD'!BM$2,'1.PUNTOS'!$A$1:$B$63,2,0),0)</f>
        <v>0</v>
      </c>
      <c r="BE252" s="138">
        <f>IF('1.DATOS-PROD'!BN253="SI",VLOOKUP('1.DATOS-PROD'!BN$2,'1.PUNTOS'!$A$1:$B$63,2,0),0)</f>
        <v>0</v>
      </c>
      <c r="BF252" s="138">
        <f>IF('1.DATOS-PROD'!BO253="SI",VLOOKUP('1.DATOS-PROD'!BO$2,'1.PUNTOS'!$A$1:$B$63,2,0),0)</f>
        <v>0</v>
      </c>
      <c r="BG252" s="138">
        <f>IF('1.DATOS-PROD'!BP253="SI",VLOOKUP('1.DATOS-PROD'!BP$2,'1.PUNTOS'!$A$1:$B$63,2,0),0)</f>
        <v>0</v>
      </c>
      <c r="BH252" s="138">
        <f>IF('1.DATOS-PROD'!BQ253="SI",VLOOKUP('1.DATOS-PROD'!BQ$2,'1.PUNTOS'!$A$1:$B$63,2,0),0)</f>
        <v>0</v>
      </c>
      <c r="BI252" s="138">
        <f>IF('1.DATOS-PROD'!BR253="SI",VLOOKUP('1.DATOS-PROD'!BR$2,'1.PUNTOS'!$A$1:$B$63,2,0),0)</f>
        <v>0</v>
      </c>
      <c r="BJ252" s="138">
        <f>IF('1.DATOS-PROD'!BS253="SI",VLOOKUP('1.DATOS-PROD'!BS$2,'1.PUNTOS'!$A$1:$B$63,2,0),0)</f>
        <v>0</v>
      </c>
      <c r="BK252" s="138">
        <f>IF('1.DATOS-PROD'!BT253="SI",VLOOKUP('1.DATOS-PROD'!BT$2,'1.PUNTOS'!$A$1:$B$63,2,0),0)</f>
        <v>0</v>
      </c>
    </row>
    <row r="253" spans="1:63" x14ac:dyDescent="0.25">
      <c r="A253">
        <f>'0.Consolidado general'!$A254</f>
        <v>0</v>
      </c>
      <c r="B253" s="138">
        <f>IF('1.DATOS-PROD'!K254="SI",VLOOKUP('1.DATOS-PROD'!K$2,'1.PUNTOS'!$A$1:$B$63,2,0),0)</f>
        <v>0</v>
      </c>
      <c r="C253" s="138">
        <f>IF('1.DATOS-PROD'!L254="SI",VLOOKUP('1.DATOS-PROD'!L$2,'1.PUNTOS'!$A$1:$B$63,2,0),0)</f>
        <v>0</v>
      </c>
      <c r="D253" s="138">
        <f>IF('1.DATOS-PROD'!M254="SI",VLOOKUP('1.DATOS-PROD'!M$2,'1.PUNTOS'!$A$1:$B$63,2,0),0)</f>
        <v>0</v>
      </c>
      <c r="E253" s="138">
        <f>IF('1.DATOS-PROD'!N254="SI",VLOOKUP('1.DATOS-PROD'!N$2,'1.PUNTOS'!$A$1:$B$63,2,0),0)</f>
        <v>0</v>
      </c>
      <c r="F253" s="138">
        <f>IF('1.DATOS-PROD'!O254="SI",VLOOKUP('1.DATOS-PROD'!O$2,'1.PUNTOS'!$A$1:$B$63,2,0),0)</f>
        <v>0</v>
      </c>
      <c r="G253" s="138">
        <f>IF('1.DATOS-PROD'!P254="SI",VLOOKUP('1.DATOS-PROD'!P$2,'1.PUNTOS'!$A$1:$B$63,2,0),0)</f>
        <v>0</v>
      </c>
      <c r="H253" s="138">
        <f>IF('1.DATOS-PROD'!Q254="SI",VLOOKUP('1.DATOS-PROD'!Q$2,'1.PUNTOS'!$A$1:$B$63,2,0),0)</f>
        <v>0</v>
      </c>
      <c r="I253" s="138">
        <f>IF('1.DATOS-PROD'!R254="SI",VLOOKUP('1.DATOS-PROD'!R$2,'1.PUNTOS'!$A$1:$B$63,2,0),0)</f>
        <v>0</v>
      </c>
      <c r="J253" s="138">
        <f>IF('1.DATOS-PROD'!S254="SI",VLOOKUP('1.DATOS-PROD'!S$2,'1.PUNTOS'!$A$1:$B$63,2,0),0)</f>
        <v>0</v>
      </c>
      <c r="K253" s="138">
        <f>IF('1.DATOS-PROD'!T254="SI",VLOOKUP('1.DATOS-PROD'!T$2,'1.PUNTOS'!$A$1:$B$63,2,0),0)</f>
        <v>0</v>
      </c>
      <c r="L253" s="138">
        <f>IF('1.DATOS-PROD'!U254="SI",VLOOKUP('1.DATOS-PROD'!U$2,'1.PUNTOS'!$A$1:$B$63,2,0),0)</f>
        <v>0</v>
      </c>
      <c r="M253" s="138">
        <f>IF('1.DATOS-PROD'!V254="SI",VLOOKUP('1.DATOS-PROD'!V$2,'1.PUNTOS'!$A$1:$B$63,2,0),0)</f>
        <v>0</v>
      </c>
      <c r="N253" s="138">
        <f>IF('1.DATOS-PROD'!W254="SI",VLOOKUP('1.DATOS-PROD'!W$2,'1.PUNTOS'!$A$1:$B$63,2,0),0)</f>
        <v>0</v>
      </c>
      <c r="O253" s="138">
        <f>IF('1.DATOS-PROD'!X254="SI",VLOOKUP('1.DATOS-PROD'!X$2,'1.PUNTOS'!$A$1:$B$63,2,0),0)</f>
        <v>0</v>
      </c>
      <c r="P253" s="138">
        <f>IF('1.DATOS-PROD'!Y254="SI",VLOOKUP('1.DATOS-PROD'!Y$2,'1.PUNTOS'!$A$1:$B$63,2,0),0)</f>
        <v>0</v>
      </c>
      <c r="Q253" s="138">
        <f>IF('1.DATOS-PROD'!Z254="SI",VLOOKUP('1.DATOS-PROD'!Z$2,'1.PUNTOS'!$A$1:$B$63,2,0),0)</f>
        <v>0</v>
      </c>
      <c r="R253" s="138">
        <f>IF('1.DATOS-PROD'!AA254="SI",VLOOKUP('1.DATOS-PROD'!AA$2,'1.PUNTOS'!$A$1:$B$63,2,0),0)</f>
        <v>0</v>
      </c>
      <c r="S253" s="138">
        <f>IF('1.DATOS-PROD'!AB254="SI",VLOOKUP('1.DATOS-PROD'!AB$2,'1.PUNTOS'!$A$1:$B$63,2,0),0)</f>
        <v>0</v>
      </c>
      <c r="T253" s="138">
        <f>IF('1.DATOS-PROD'!AC254="SI",VLOOKUP('1.DATOS-PROD'!AC$2,'1.PUNTOS'!$A$1:$B$63,2,0),0)</f>
        <v>0</v>
      </c>
      <c r="U253" s="138">
        <f>IF('1.DATOS-PROD'!AD254="SI",VLOOKUP('1.DATOS-PROD'!AD$2,'1.PUNTOS'!$A$1:$B$63,2,0),0)</f>
        <v>0</v>
      </c>
      <c r="V253" s="138">
        <f>IF('1.DATOS-PROD'!AE254="SI",VLOOKUP('1.DATOS-PROD'!AE$2,'1.PUNTOS'!$A$1:$B$63,2,0),0)</f>
        <v>0</v>
      </c>
      <c r="W253" s="138">
        <f>IF('1.DATOS-PROD'!AF254="SI",VLOOKUP('1.DATOS-PROD'!AF$2,'1.PUNTOS'!$A$1:$B$63,2,0),0)</f>
        <v>0</v>
      </c>
      <c r="X253" s="138">
        <f>IF('1.DATOS-PROD'!AG254="SI",VLOOKUP('1.DATOS-PROD'!AG$2,'1.PUNTOS'!$A$1:$B$63,2,0),0)</f>
        <v>0</v>
      </c>
      <c r="Y253" s="138">
        <f>IF('1.DATOS-PROD'!AH254="SI",VLOOKUP('1.DATOS-PROD'!AH$2,'1.PUNTOS'!$A$1:$B$63,2,0),0)</f>
        <v>0</v>
      </c>
      <c r="Z253" s="138">
        <f>IF('1.DATOS-PROD'!AI254="SI",VLOOKUP('1.DATOS-PROD'!AI$2,'1.PUNTOS'!$A$1:$B$63,2,0),0)</f>
        <v>0</v>
      </c>
      <c r="AA253" s="138">
        <f>IF('1.DATOS-PROD'!AJ254="SI",VLOOKUP('1.DATOS-PROD'!AJ$2,'1.PUNTOS'!$A$1:$B$63,2,0),0)</f>
        <v>0</v>
      </c>
      <c r="AB253" s="138">
        <f>IF('1.DATOS-PROD'!AK254="SI",VLOOKUP('1.DATOS-PROD'!AK$2,'1.PUNTOS'!$A$1:$B$63,2,0),0)</f>
        <v>0</v>
      </c>
      <c r="AC253" s="138">
        <f>IF('1.DATOS-PROD'!AL254="SI",VLOOKUP('1.DATOS-PROD'!AL$2,'1.PUNTOS'!$A$1:$B$63,2,0),0)</f>
        <v>0</v>
      </c>
      <c r="AD253" s="138">
        <f>IF('1.DATOS-PROD'!AM254="SI",VLOOKUP('1.DATOS-PROD'!AM$2,'1.PUNTOS'!$A$1:$B$63,2,0),0)</f>
        <v>0</v>
      </c>
      <c r="AE253" s="138">
        <f>IF('1.DATOS-PROD'!AN254="SI",VLOOKUP('1.DATOS-PROD'!AN$2,'1.PUNTOS'!$A$1:$B$63,2,0),0)</f>
        <v>0</v>
      </c>
      <c r="AF253" s="138">
        <f>IF('1.DATOS-PROD'!AO254="SI",VLOOKUP('1.DATOS-PROD'!AO$2,'1.PUNTOS'!$A$1:$B$63,2,0),0)</f>
        <v>0</v>
      </c>
      <c r="AG253" s="138">
        <f>IF('1.DATOS-PROD'!AP254="SI",VLOOKUP('1.DATOS-PROD'!AP$2,'1.PUNTOS'!$A$1:$B$63,2,0),0)</f>
        <v>0</v>
      </c>
      <c r="AH253" s="138">
        <f>IF('1.DATOS-PROD'!AQ254="SI",VLOOKUP('1.DATOS-PROD'!AQ$2,'1.PUNTOS'!$A$1:$B$63,2,0),0)</f>
        <v>0</v>
      </c>
      <c r="AI253" s="138">
        <f>IF('1.DATOS-PROD'!AR254="SI",VLOOKUP('1.DATOS-PROD'!AR$2,'1.PUNTOS'!$A$1:$B$63,2,0),0)</f>
        <v>0</v>
      </c>
      <c r="AJ253" s="138">
        <f>IF('1.DATOS-PROD'!AS254="SI",VLOOKUP('1.DATOS-PROD'!AS$2,'1.PUNTOS'!$A$1:$B$63,2,0),0)</f>
        <v>0</v>
      </c>
      <c r="AK253" s="138">
        <f>IF('1.DATOS-PROD'!AT254="SI",VLOOKUP('1.DATOS-PROD'!AT$2,'1.PUNTOS'!$A$1:$B$63,2,0),0)</f>
        <v>0</v>
      </c>
      <c r="AL253" s="138">
        <f>IF('1.DATOS-PROD'!AU254="SI",VLOOKUP('1.DATOS-PROD'!AU$2,'1.PUNTOS'!$A$1:$B$63,2,0),0)</f>
        <v>0</v>
      </c>
      <c r="AM253" s="138">
        <f>IF('1.DATOS-PROD'!AV254="SI",VLOOKUP('1.DATOS-PROD'!AV$2,'1.PUNTOS'!$A$1:$B$63,2,0),0)</f>
        <v>0</v>
      </c>
      <c r="AN253" s="138">
        <f>IF('1.DATOS-PROD'!AW254="SI",VLOOKUP('1.DATOS-PROD'!AW$2,'1.PUNTOS'!$A$1:$B$63,2,0),0)</f>
        <v>0</v>
      </c>
      <c r="AO253" s="138">
        <f>IF('1.DATOS-PROD'!AX254="SI",VLOOKUP('1.DATOS-PROD'!AX$2,'1.PUNTOS'!$A$1:$B$63,2,0),0)</f>
        <v>0</v>
      </c>
      <c r="AP253" s="138">
        <f>IF('1.DATOS-PROD'!AY254="SI",VLOOKUP('1.DATOS-PROD'!AY$2,'1.PUNTOS'!$A$1:$B$63,2,0),0)</f>
        <v>0</v>
      </c>
      <c r="AQ253" s="138">
        <f>IF('1.DATOS-PROD'!AZ254="SI",VLOOKUP('1.DATOS-PROD'!AZ$2,'1.PUNTOS'!$A$1:$B$63,2,0),0)</f>
        <v>0</v>
      </c>
      <c r="AR253" s="138">
        <f>IF('1.DATOS-PROD'!BA254="SI",VLOOKUP('1.DATOS-PROD'!BA$2,'1.PUNTOS'!$A$1:$B$63,2,0),0)</f>
        <v>0</v>
      </c>
      <c r="AS253" s="138">
        <f>IF('1.DATOS-PROD'!BB254="SI",VLOOKUP('1.DATOS-PROD'!BB$2,'1.PUNTOS'!$A$1:$B$63,2,0),0)</f>
        <v>0</v>
      </c>
      <c r="AT253" s="138">
        <f>IF('1.DATOS-PROD'!BC254="SI",VLOOKUP('1.DATOS-PROD'!BC$2,'1.PUNTOS'!$A$1:$B$63,2,0),0)</f>
        <v>0</v>
      </c>
      <c r="AU253" s="138">
        <f>IF('1.DATOS-PROD'!BD254="SI",VLOOKUP('1.DATOS-PROD'!BD$2,'1.PUNTOS'!$A$1:$B$63,2,0),0)</f>
        <v>0</v>
      </c>
      <c r="AV253" s="138">
        <f>IF('1.DATOS-PROD'!BE254="SI",VLOOKUP('1.DATOS-PROD'!BE$2,'1.PUNTOS'!$A$1:$B$63,2,0),0)</f>
        <v>0</v>
      </c>
      <c r="AW253" s="138">
        <f>IF('1.DATOS-PROD'!BF254="SI",VLOOKUP('1.DATOS-PROD'!BF$2,'1.PUNTOS'!$A$1:$B$63,2,0),0)</f>
        <v>0</v>
      </c>
      <c r="AX253" s="138">
        <f>IF('1.DATOS-PROD'!BG254="SI",VLOOKUP('1.DATOS-PROD'!BG$2,'1.PUNTOS'!$A$1:$B$63,2,0),0)</f>
        <v>0</v>
      </c>
      <c r="AY253" s="138">
        <f>IF('1.DATOS-PROD'!BH254="SI",VLOOKUP('1.DATOS-PROD'!BH$2,'1.PUNTOS'!$A$1:$B$63,2,0),0)</f>
        <v>0</v>
      </c>
      <c r="AZ253" s="138">
        <f>IF('1.DATOS-PROD'!BI254="SI",VLOOKUP('1.DATOS-PROD'!BI$2,'1.PUNTOS'!$A$1:$B$63,2,0),0)</f>
        <v>0</v>
      </c>
      <c r="BA253" s="138">
        <f>IF('1.DATOS-PROD'!BJ254="SI",VLOOKUP('1.DATOS-PROD'!BJ$2,'1.PUNTOS'!$A$1:$B$63,2,0),0)</f>
        <v>0</v>
      </c>
      <c r="BB253" s="138">
        <f>IF('1.DATOS-PROD'!BK254="SI",VLOOKUP('1.DATOS-PROD'!BK$2,'1.PUNTOS'!$A$1:$B$63,2,0),0)</f>
        <v>0</v>
      </c>
      <c r="BC253" s="138">
        <f>IF('1.DATOS-PROD'!BL254="SI",VLOOKUP('1.DATOS-PROD'!BL$2,'1.PUNTOS'!$A$1:$B$63,2,0),0)</f>
        <v>0</v>
      </c>
      <c r="BD253" s="138">
        <f>IF('1.DATOS-PROD'!BM254="SI",VLOOKUP('1.DATOS-PROD'!BM$2,'1.PUNTOS'!$A$1:$B$63,2,0),0)</f>
        <v>0</v>
      </c>
      <c r="BE253" s="138">
        <f>IF('1.DATOS-PROD'!BN254="SI",VLOOKUP('1.DATOS-PROD'!BN$2,'1.PUNTOS'!$A$1:$B$63,2,0),0)</f>
        <v>0</v>
      </c>
      <c r="BF253" s="138">
        <f>IF('1.DATOS-PROD'!BO254="SI",VLOOKUP('1.DATOS-PROD'!BO$2,'1.PUNTOS'!$A$1:$B$63,2,0),0)</f>
        <v>0</v>
      </c>
      <c r="BG253" s="138">
        <f>IF('1.DATOS-PROD'!BP254="SI",VLOOKUP('1.DATOS-PROD'!BP$2,'1.PUNTOS'!$A$1:$B$63,2,0),0)</f>
        <v>0</v>
      </c>
      <c r="BH253" s="138">
        <f>IF('1.DATOS-PROD'!BQ254="SI",VLOOKUP('1.DATOS-PROD'!BQ$2,'1.PUNTOS'!$A$1:$B$63,2,0),0)</f>
        <v>0</v>
      </c>
      <c r="BI253" s="138">
        <f>IF('1.DATOS-PROD'!BR254="SI",VLOOKUP('1.DATOS-PROD'!BR$2,'1.PUNTOS'!$A$1:$B$63,2,0),0)</f>
        <v>0</v>
      </c>
      <c r="BJ253" s="138">
        <f>IF('1.DATOS-PROD'!BS254="SI",VLOOKUP('1.DATOS-PROD'!BS$2,'1.PUNTOS'!$A$1:$B$63,2,0),0)</f>
        <v>0</v>
      </c>
      <c r="BK253" s="138">
        <f>IF('1.DATOS-PROD'!BT254="SI",VLOOKUP('1.DATOS-PROD'!BT$2,'1.PUNTOS'!$A$1:$B$63,2,0),0)</f>
        <v>0</v>
      </c>
    </row>
    <row r="254" spans="1:63" x14ac:dyDescent="0.25">
      <c r="A254">
        <f>'0.Consolidado general'!$A255</f>
        <v>0</v>
      </c>
      <c r="B254" s="138">
        <f>IF('1.DATOS-PROD'!K255="SI",VLOOKUP('1.DATOS-PROD'!K$2,'1.PUNTOS'!$A$1:$B$63,2,0),0)</f>
        <v>0</v>
      </c>
      <c r="C254" s="138">
        <f>IF('1.DATOS-PROD'!L255="SI",VLOOKUP('1.DATOS-PROD'!L$2,'1.PUNTOS'!$A$1:$B$63,2,0),0)</f>
        <v>0</v>
      </c>
      <c r="D254" s="138">
        <f>IF('1.DATOS-PROD'!M255="SI",VLOOKUP('1.DATOS-PROD'!M$2,'1.PUNTOS'!$A$1:$B$63,2,0),0)</f>
        <v>0</v>
      </c>
      <c r="E254" s="138">
        <f>IF('1.DATOS-PROD'!N255="SI",VLOOKUP('1.DATOS-PROD'!N$2,'1.PUNTOS'!$A$1:$B$63,2,0),0)</f>
        <v>0</v>
      </c>
      <c r="F254" s="138">
        <f>IF('1.DATOS-PROD'!O255="SI",VLOOKUP('1.DATOS-PROD'!O$2,'1.PUNTOS'!$A$1:$B$63,2,0),0)</f>
        <v>0</v>
      </c>
      <c r="G254" s="138">
        <f>IF('1.DATOS-PROD'!P255="SI",VLOOKUP('1.DATOS-PROD'!P$2,'1.PUNTOS'!$A$1:$B$63,2,0),0)</f>
        <v>0</v>
      </c>
      <c r="H254" s="138">
        <f>IF('1.DATOS-PROD'!Q255="SI",VLOOKUP('1.DATOS-PROD'!Q$2,'1.PUNTOS'!$A$1:$B$63,2,0),0)</f>
        <v>0</v>
      </c>
      <c r="I254" s="138">
        <f>IF('1.DATOS-PROD'!R255="SI",VLOOKUP('1.DATOS-PROD'!R$2,'1.PUNTOS'!$A$1:$B$63,2,0),0)</f>
        <v>0</v>
      </c>
      <c r="J254" s="138">
        <f>IF('1.DATOS-PROD'!S255="SI",VLOOKUP('1.DATOS-PROD'!S$2,'1.PUNTOS'!$A$1:$B$63,2,0),0)</f>
        <v>0</v>
      </c>
      <c r="K254" s="138">
        <f>IF('1.DATOS-PROD'!T255="SI",VLOOKUP('1.DATOS-PROD'!T$2,'1.PUNTOS'!$A$1:$B$63,2,0),0)</f>
        <v>0</v>
      </c>
      <c r="L254" s="138">
        <f>IF('1.DATOS-PROD'!U255="SI",VLOOKUP('1.DATOS-PROD'!U$2,'1.PUNTOS'!$A$1:$B$63,2,0),0)</f>
        <v>0</v>
      </c>
      <c r="M254" s="138">
        <f>IF('1.DATOS-PROD'!V255="SI",VLOOKUP('1.DATOS-PROD'!V$2,'1.PUNTOS'!$A$1:$B$63,2,0),0)</f>
        <v>0</v>
      </c>
      <c r="N254" s="138">
        <f>IF('1.DATOS-PROD'!W255="SI",VLOOKUP('1.DATOS-PROD'!W$2,'1.PUNTOS'!$A$1:$B$63,2,0),0)</f>
        <v>0</v>
      </c>
      <c r="O254" s="138">
        <f>IF('1.DATOS-PROD'!X255="SI",VLOOKUP('1.DATOS-PROD'!X$2,'1.PUNTOS'!$A$1:$B$63,2,0),0)</f>
        <v>0</v>
      </c>
      <c r="P254" s="138">
        <f>IF('1.DATOS-PROD'!Y255="SI",VLOOKUP('1.DATOS-PROD'!Y$2,'1.PUNTOS'!$A$1:$B$63,2,0),0)</f>
        <v>0</v>
      </c>
      <c r="Q254" s="138">
        <f>IF('1.DATOS-PROD'!Z255="SI",VLOOKUP('1.DATOS-PROD'!Z$2,'1.PUNTOS'!$A$1:$B$63,2,0),0)</f>
        <v>0</v>
      </c>
      <c r="R254" s="138">
        <f>IF('1.DATOS-PROD'!AA255="SI",VLOOKUP('1.DATOS-PROD'!AA$2,'1.PUNTOS'!$A$1:$B$63,2,0),0)</f>
        <v>0</v>
      </c>
      <c r="S254" s="138">
        <f>IF('1.DATOS-PROD'!AB255="SI",VLOOKUP('1.DATOS-PROD'!AB$2,'1.PUNTOS'!$A$1:$B$63,2,0),0)</f>
        <v>0</v>
      </c>
      <c r="T254" s="138">
        <f>IF('1.DATOS-PROD'!AC255="SI",VLOOKUP('1.DATOS-PROD'!AC$2,'1.PUNTOS'!$A$1:$B$63,2,0),0)</f>
        <v>0</v>
      </c>
      <c r="U254" s="138">
        <f>IF('1.DATOS-PROD'!AD255="SI",VLOOKUP('1.DATOS-PROD'!AD$2,'1.PUNTOS'!$A$1:$B$63,2,0),0)</f>
        <v>0</v>
      </c>
      <c r="V254" s="138">
        <f>IF('1.DATOS-PROD'!AE255="SI",VLOOKUP('1.DATOS-PROD'!AE$2,'1.PUNTOS'!$A$1:$B$63,2,0),0)</f>
        <v>0</v>
      </c>
      <c r="W254" s="138">
        <f>IF('1.DATOS-PROD'!AF255="SI",VLOOKUP('1.DATOS-PROD'!AF$2,'1.PUNTOS'!$A$1:$B$63,2,0),0)</f>
        <v>0</v>
      </c>
      <c r="X254" s="138">
        <f>IF('1.DATOS-PROD'!AG255="SI",VLOOKUP('1.DATOS-PROD'!AG$2,'1.PUNTOS'!$A$1:$B$63,2,0),0)</f>
        <v>0</v>
      </c>
      <c r="Y254" s="138">
        <f>IF('1.DATOS-PROD'!AH255="SI",VLOOKUP('1.DATOS-PROD'!AH$2,'1.PUNTOS'!$A$1:$B$63,2,0),0)</f>
        <v>0</v>
      </c>
      <c r="Z254" s="138">
        <f>IF('1.DATOS-PROD'!AI255="SI",VLOOKUP('1.DATOS-PROD'!AI$2,'1.PUNTOS'!$A$1:$B$63,2,0),0)</f>
        <v>0</v>
      </c>
      <c r="AA254" s="138">
        <f>IF('1.DATOS-PROD'!AJ255="SI",VLOOKUP('1.DATOS-PROD'!AJ$2,'1.PUNTOS'!$A$1:$B$63,2,0),0)</f>
        <v>0</v>
      </c>
      <c r="AB254" s="138">
        <f>IF('1.DATOS-PROD'!AK255="SI",VLOOKUP('1.DATOS-PROD'!AK$2,'1.PUNTOS'!$A$1:$B$63,2,0),0)</f>
        <v>0</v>
      </c>
      <c r="AC254" s="138">
        <f>IF('1.DATOS-PROD'!AL255="SI",VLOOKUP('1.DATOS-PROD'!AL$2,'1.PUNTOS'!$A$1:$B$63,2,0),0)</f>
        <v>0</v>
      </c>
      <c r="AD254" s="138">
        <f>IF('1.DATOS-PROD'!AM255="SI",VLOOKUP('1.DATOS-PROD'!AM$2,'1.PUNTOS'!$A$1:$B$63,2,0),0)</f>
        <v>0</v>
      </c>
      <c r="AE254" s="138">
        <f>IF('1.DATOS-PROD'!AN255="SI",VLOOKUP('1.DATOS-PROD'!AN$2,'1.PUNTOS'!$A$1:$B$63,2,0),0)</f>
        <v>0</v>
      </c>
      <c r="AF254" s="138">
        <f>IF('1.DATOS-PROD'!AO255="SI",VLOOKUP('1.DATOS-PROD'!AO$2,'1.PUNTOS'!$A$1:$B$63,2,0),0)</f>
        <v>0</v>
      </c>
      <c r="AG254" s="138">
        <f>IF('1.DATOS-PROD'!AP255="SI",VLOOKUP('1.DATOS-PROD'!AP$2,'1.PUNTOS'!$A$1:$B$63,2,0),0)</f>
        <v>0</v>
      </c>
      <c r="AH254" s="138">
        <f>IF('1.DATOS-PROD'!AQ255="SI",VLOOKUP('1.DATOS-PROD'!AQ$2,'1.PUNTOS'!$A$1:$B$63,2,0),0)</f>
        <v>0</v>
      </c>
      <c r="AI254" s="138">
        <f>IF('1.DATOS-PROD'!AR255="SI",VLOOKUP('1.DATOS-PROD'!AR$2,'1.PUNTOS'!$A$1:$B$63,2,0),0)</f>
        <v>0</v>
      </c>
      <c r="AJ254" s="138">
        <f>IF('1.DATOS-PROD'!AS255="SI",VLOOKUP('1.DATOS-PROD'!AS$2,'1.PUNTOS'!$A$1:$B$63,2,0),0)</f>
        <v>0</v>
      </c>
      <c r="AK254" s="138">
        <f>IF('1.DATOS-PROD'!AT255="SI",VLOOKUP('1.DATOS-PROD'!AT$2,'1.PUNTOS'!$A$1:$B$63,2,0),0)</f>
        <v>0</v>
      </c>
      <c r="AL254" s="138">
        <f>IF('1.DATOS-PROD'!AU255="SI",VLOOKUP('1.DATOS-PROD'!AU$2,'1.PUNTOS'!$A$1:$B$63,2,0),0)</f>
        <v>0</v>
      </c>
      <c r="AM254" s="138">
        <f>IF('1.DATOS-PROD'!AV255="SI",VLOOKUP('1.DATOS-PROD'!AV$2,'1.PUNTOS'!$A$1:$B$63,2,0),0)</f>
        <v>0</v>
      </c>
      <c r="AN254" s="138">
        <f>IF('1.DATOS-PROD'!AW255="SI",VLOOKUP('1.DATOS-PROD'!AW$2,'1.PUNTOS'!$A$1:$B$63,2,0),0)</f>
        <v>0</v>
      </c>
      <c r="AO254" s="138">
        <f>IF('1.DATOS-PROD'!AX255="SI",VLOOKUP('1.DATOS-PROD'!AX$2,'1.PUNTOS'!$A$1:$B$63,2,0),0)</f>
        <v>0</v>
      </c>
      <c r="AP254" s="138">
        <f>IF('1.DATOS-PROD'!AY255="SI",VLOOKUP('1.DATOS-PROD'!AY$2,'1.PUNTOS'!$A$1:$B$63,2,0),0)</f>
        <v>0</v>
      </c>
      <c r="AQ254" s="138">
        <f>IF('1.DATOS-PROD'!AZ255="SI",VLOOKUP('1.DATOS-PROD'!AZ$2,'1.PUNTOS'!$A$1:$B$63,2,0),0)</f>
        <v>0</v>
      </c>
      <c r="AR254" s="138">
        <f>IF('1.DATOS-PROD'!BA255="SI",VLOOKUP('1.DATOS-PROD'!BA$2,'1.PUNTOS'!$A$1:$B$63,2,0),0)</f>
        <v>0</v>
      </c>
      <c r="AS254" s="138">
        <f>IF('1.DATOS-PROD'!BB255="SI",VLOOKUP('1.DATOS-PROD'!BB$2,'1.PUNTOS'!$A$1:$B$63,2,0),0)</f>
        <v>0</v>
      </c>
      <c r="AT254" s="138">
        <f>IF('1.DATOS-PROD'!BC255="SI",VLOOKUP('1.DATOS-PROD'!BC$2,'1.PUNTOS'!$A$1:$B$63,2,0),0)</f>
        <v>0</v>
      </c>
      <c r="AU254" s="138">
        <f>IF('1.DATOS-PROD'!BD255="SI",VLOOKUP('1.DATOS-PROD'!BD$2,'1.PUNTOS'!$A$1:$B$63,2,0),0)</f>
        <v>0</v>
      </c>
      <c r="AV254" s="138">
        <f>IF('1.DATOS-PROD'!BE255="SI",VLOOKUP('1.DATOS-PROD'!BE$2,'1.PUNTOS'!$A$1:$B$63,2,0),0)</f>
        <v>0</v>
      </c>
      <c r="AW254" s="138">
        <f>IF('1.DATOS-PROD'!BF255="SI",VLOOKUP('1.DATOS-PROD'!BF$2,'1.PUNTOS'!$A$1:$B$63,2,0),0)</f>
        <v>0</v>
      </c>
      <c r="AX254" s="138">
        <f>IF('1.DATOS-PROD'!BG255="SI",VLOOKUP('1.DATOS-PROD'!BG$2,'1.PUNTOS'!$A$1:$B$63,2,0),0)</f>
        <v>0</v>
      </c>
      <c r="AY254" s="138">
        <f>IF('1.DATOS-PROD'!BH255="SI",VLOOKUP('1.DATOS-PROD'!BH$2,'1.PUNTOS'!$A$1:$B$63,2,0),0)</f>
        <v>0</v>
      </c>
      <c r="AZ254" s="138">
        <f>IF('1.DATOS-PROD'!BI255="SI",VLOOKUP('1.DATOS-PROD'!BI$2,'1.PUNTOS'!$A$1:$B$63,2,0),0)</f>
        <v>0</v>
      </c>
      <c r="BA254" s="138">
        <f>IF('1.DATOS-PROD'!BJ255="SI",VLOOKUP('1.DATOS-PROD'!BJ$2,'1.PUNTOS'!$A$1:$B$63,2,0),0)</f>
        <v>0</v>
      </c>
      <c r="BB254" s="138">
        <f>IF('1.DATOS-PROD'!BK255="SI",VLOOKUP('1.DATOS-PROD'!BK$2,'1.PUNTOS'!$A$1:$B$63,2,0),0)</f>
        <v>0</v>
      </c>
      <c r="BC254" s="138">
        <f>IF('1.DATOS-PROD'!BL255="SI",VLOOKUP('1.DATOS-PROD'!BL$2,'1.PUNTOS'!$A$1:$B$63,2,0),0)</f>
        <v>0</v>
      </c>
      <c r="BD254" s="138">
        <f>IF('1.DATOS-PROD'!BM255="SI",VLOOKUP('1.DATOS-PROD'!BM$2,'1.PUNTOS'!$A$1:$B$63,2,0),0)</f>
        <v>0</v>
      </c>
      <c r="BE254" s="138">
        <f>IF('1.DATOS-PROD'!BN255="SI",VLOOKUP('1.DATOS-PROD'!BN$2,'1.PUNTOS'!$A$1:$B$63,2,0),0)</f>
        <v>0</v>
      </c>
      <c r="BF254" s="138">
        <f>IF('1.DATOS-PROD'!BO255="SI",VLOOKUP('1.DATOS-PROD'!BO$2,'1.PUNTOS'!$A$1:$B$63,2,0),0)</f>
        <v>0</v>
      </c>
      <c r="BG254" s="138">
        <f>IF('1.DATOS-PROD'!BP255="SI",VLOOKUP('1.DATOS-PROD'!BP$2,'1.PUNTOS'!$A$1:$B$63,2,0),0)</f>
        <v>0</v>
      </c>
      <c r="BH254" s="138">
        <f>IF('1.DATOS-PROD'!BQ255="SI",VLOOKUP('1.DATOS-PROD'!BQ$2,'1.PUNTOS'!$A$1:$B$63,2,0),0)</f>
        <v>0</v>
      </c>
      <c r="BI254" s="138">
        <f>IF('1.DATOS-PROD'!BR255="SI",VLOOKUP('1.DATOS-PROD'!BR$2,'1.PUNTOS'!$A$1:$B$63,2,0),0)</f>
        <v>0</v>
      </c>
      <c r="BJ254" s="138">
        <f>IF('1.DATOS-PROD'!BS255="SI",VLOOKUP('1.DATOS-PROD'!BS$2,'1.PUNTOS'!$A$1:$B$63,2,0),0)</f>
        <v>0</v>
      </c>
      <c r="BK254" s="138">
        <f>IF('1.DATOS-PROD'!BT255="SI",VLOOKUP('1.DATOS-PROD'!BT$2,'1.PUNTOS'!$A$1:$B$63,2,0),0)</f>
        <v>0</v>
      </c>
    </row>
    <row r="255" spans="1:63" x14ac:dyDescent="0.25">
      <c r="A255">
        <f>'0.Consolidado general'!$A256</f>
        <v>0</v>
      </c>
      <c r="B255" s="138">
        <f>IF('1.DATOS-PROD'!K256="SI",VLOOKUP('1.DATOS-PROD'!K$2,'1.PUNTOS'!$A$1:$B$63,2,0),0)</f>
        <v>0</v>
      </c>
      <c r="C255" s="138">
        <f>IF('1.DATOS-PROD'!L256="SI",VLOOKUP('1.DATOS-PROD'!L$2,'1.PUNTOS'!$A$1:$B$63,2,0),0)</f>
        <v>0</v>
      </c>
      <c r="D255" s="138">
        <f>IF('1.DATOS-PROD'!M256="SI",VLOOKUP('1.DATOS-PROD'!M$2,'1.PUNTOS'!$A$1:$B$63,2,0),0)</f>
        <v>0</v>
      </c>
      <c r="E255" s="138">
        <f>IF('1.DATOS-PROD'!N256="SI",VLOOKUP('1.DATOS-PROD'!N$2,'1.PUNTOS'!$A$1:$B$63,2,0),0)</f>
        <v>0</v>
      </c>
      <c r="F255" s="138">
        <f>IF('1.DATOS-PROD'!O256="SI",VLOOKUP('1.DATOS-PROD'!O$2,'1.PUNTOS'!$A$1:$B$63,2,0),0)</f>
        <v>0</v>
      </c>
      <c r="G255" s="138">
        <f>IF('1.DATOS-PROD'!P256="SI",VLOOKUP('1.DATOS-PROD'!P$2,'1.PUNTOS'!$A$1:$B$63,2,0),0)</f>
        <v>0</v>
      </c>
      <c r="H255" s="138">
        <f>IF('1.DATOS-PROD'!Q256="SI",VLOOKUP('1.DATOS-PROD'!Q$2,'1.PUNTOS'!$A$1:$B$63,2,0),0)</f>
        <v>0</v>
      </c>
      <c r="I255" s="138">
        <f>IF('1.DATOS-PROD'!R256="SI",VLOOKUP('1.DATOS-PROD'!R$2,'1.PUNTOS'!$A$1:$B$63,2,0),0)</f>
        <v>0</v>
      </c>
      <c r="J255" s="138">
        <f>IF('1.DATOS-PROD'!S256="SI",VLOOKUP('1.DATOS-PROD'!S$2,'1.PUNTOS'!$A$1:$B$63,2,0),0)</f>
        <v>0</v>
      </c>
      <c r="K255" s="138">
        <f>IF('1.DATOS-PROD'!T256="SI",VLOOKUP('1.DATOS-PROD'!T$2,'1.PUNTOS'!$A$1:$B$63,2,0),0)</f>
        <v>0</v>
      </c>
      <c r="L255" s="138">
        <f>IF('1.DATOS-PROD'!U256="SI",VLOOKUP('1.DATOS-PROD'!U$2,'1.PUNTOS'!$A$1:$B$63,2,0),0)</f>
        <v>0</v>
      </c>
      <c r="M255" s="138">
        <f>IF('1.DATOS-PROD'!V256="SI",VLOOKUP('1.DATOS-PROD'!V$2,'1.PUNTOS'!$A$1:$B$63,2,0),0)</f>
        <v>0</v>
      </c>
      <c r="N255" s="138">
        <f>IF('1.DATOS-PROD'!W256="SI",VLOOKUP('1.DATOS-PROD'!W$2,'1.PUNTOS'!$A$1:$B$63,2,0),0)</f>
        <v>0</v>
      </c>
      <c r="O255" s="138">
        <f>IF('1.DATOS-PROD'!X256="SI",VLOOKUP('1.DATOS-PROD'!X$2,'1.PUNTOS'!$A$1:$B$63,2,0),0)</f>
        <v>0</v>
      </c>
      <c r="P255" s="138">
        <f>IF('1.DATOS-PROD'!Y256="SI",VLOOKUP('1.DATOS-PROD'!Y$2,'1.PUNTOS'!$A$1:$B$63,2,0),0)</f>
        <v>0</v>
      </c>
      <c r="Q255" s="138">
        <f>IF('1.DATOS-PROD'!Z256="SI",VLOOKUP('1.DATOS-PROD'!Z$2,'1.PUNTOS'!$A$1:$B$63,2,0),0)</f>
        <v>0</v>
      </c>
      <c r="R255" s="138">
        <f>IF('1.DATOS-PROD'!AA256="SI",VLOOKUP('1.DATOS-PROD'!AA$2,'1.PUNTOS'!$A$1:$B$63,2,0),0)</f>
        <v>0</v>
      </c>
      <c r="S255" s="138">
        <f>IF('1.DATOS-PROD'!AB256="SI",VLOOKUP('1.DATOS-PROD'!AB$2,'1.PUNTOS'!$A$1:$B$63,2,0),0)</f>
        <v>0</v>
      </c>
      <c r="T255" s="138">
        <f>IF('1.DATOS-PROD'!AC256="SI",VLOOKUP('1.DATOS-PROD'!AC$2,'1.PUNTOS'!$A$1:$B$63,2,0),0)</f>
        <v>0</v>
      </c>
      <c r="U255" s="138">
        <f>IF('1.DATOS-PROD'!AD256="SI",VLOOKUP('1.DATOS-PROD'!AD$2,'1.PUNTOS'!$A$1:$B$63,2,0),0)</f>
        <v>0</v>
      </c>
      <c r="V255" s="138">
        <f>IF('1.DATOS-PROD'!AE256="SI",VLOOKUP('1.DATOS-PROD'!AE$2,'1.PUNTOS'!$A$1:$B$63,2,0),0)</f>
        <v>0</v>
      </c>
      <c r="W255" s="138">
        <f>IF('1.DATOS-PROD'!AF256="SI",VLOOKUP('1.DATOS-PROD'!AF$2,'1.PUNTOS'!$A$1:$B$63,2,0),0)</f>
        <v>0</v>
      </c>
      <c r="X255" s="138">
        <f>IF('1.DATOS-PROD'!AG256="SI",VLOOKUP('1.DATOS-PROD'!AG$2,'1.PUNTOS'!$A$1:$B$63,2,0),0)</f>
        <v>0</v>
      </c>
      <c r="Y255" s="138">
        <f>IF('1.DATOS-PROD'!AH256="SI",VLOOKUP('1.DATOS-PROD'!AH$2,'1.PUNTOS'!$A$1:$B$63,2,0),0)</f>
        <v>0</v>
      </c>
      <c r="Z255" s="138">
        <f>IF('1.DATOS-PROD'!AI256="SI",VLOOKUP('1.DATOS-PROD'!AI$2,'1.PUNTOS'!$A$1:$B$63,2,0),0)</f>
        <v>0</v>
      </c>
      <c r="AA255" s="138">
        <f>IF('1.DATOS-PROD'!AJ256="SI",VLOOKUP('1.DATOS-PROD'!AJ$2,'1.PUNTOS'!$A$1:$B$63,2,0),0)</f>
        <v>0</v>
      </c>
      <c r="AB255" s="138">
        <f>IF('1.DATOS-PROD'!AK256="SI",VLOOKUP('1.DATOS-PROD'!AK$2,'1.PUNTOS'!$A$1:$B$63,2,0),0)</f>
        <v>0</v>
      </c>
      <c r="AC255" s="138">
        <f>IF('1.DATOS-PROD'!AL256="SI",VLOOKUP('1.DATOS-PROD'!AL$2,'1.PUNTOS'!$A$1:$B$63,2,0),0)</f>
        <v>0</v>
      </c>
      <c r="AD255" s="138">
        <f>IF('1.DATOS-PROD'!AM256="SI",VLOOKUP('1.DATOS-PROD'!AM$2,'1.PUNTOS'!$A$1:$B$63,2,0),0)</f>
        <v>0</v>
      </c>
      <c r="AE255" s="138">
        <f>IF('1.DATOS-PROD'!AN256="SI",VLOOKUP('1.DATOS-PROD'!AN$2,'1.PUNTOS'!$A$1:$B$63,2,0),0)</f>
        <v>0</v>
      </c>
      <c r="AF255" s="138">
        <f>IF('1.DATOS-PROD'!AO256="SI",VLOOKUP('1.DATOS-PROD'!AO$2,'1.PUNTOS'!$A$1:$B$63,2,0),0)</f>
        <v>0</v>
      </c>
      <c r="AG255" s="138">
        <f>IF('1.DATOS-PROD'!AP256="SI",VLOOKUP('1.DATOS-PROD'!AP$2,'1.PUNTOS'!$A$1:$B$63,2,0),0)</f>
        <v>0</v>
      </c>
      <c r="AH255" s="138">
        <f>IF('1.DATOS-PROD'!AQ256="SI",VLOOKUP('1.DATOS-PROD'!AQ$2,'1.PUNTOS'!$A$1:$B$63,2,0),0)</f>
        <v>0</v>
      </c>
      <c r="AI255" s="138">
        <f>IF('1.DATOS-PROD'!AR256="SI",VLOOKUP('1.DATOS-PROD'!AR$2,'1.PUNTOS'!$A$1:$B$63,2,0),0)</f>
        <v>0</v>
      </c>
      <c r="AJ255" s="138">
        <f>IF('1.DATOS-PROD'!AS256="SI",VLOOKUP('1.DATOS-PROD'!AS$2,'1.PUNTOS'!$A$1:$B$63,2,0),0)</f>
        <v>0</v>
      </c>
      <c r="AK255" s="138">
        <f>IF('1.DATOS-PROD'!AT256="SI",VLOOKUP('1.DATOS-PROD'!AT$2,'1.PUNTOS'!$A$1:$B$63,2,0),0)</f>
        <v>0</v>
      </c>
      <c r="AL255" s="138">
        <f>IF('1.DATOS-PROD'!AU256="SI",VLOOKUP('1.DATOS-PROD'!AU$2,'1.PUNTOS'!$A$1:$B$63,2,0),0)</f>
        <v>0</v>
      </c>
      <c r="AM255" s="138">
        <f>IF('1.DATOS-PROD'!AV256="SI",VLOOKUP('1.DATOS-PROD'!AV$2,'1.PUNTOS'!$A$1:$B$63,2,0),0)</f>
        <v>0</v>
      </c>
      <c r="AN255" s="138">
        <f>IF('1.DATOS-PROD'!AW256="SI",VLOOKUP('1.DATOS-PROD'!AW$2,'1.PUNTOS'!$A$1:$B$63,2,0),0)</f>
        <v>0</v>
      </c>
      <c r="AO255" s="138">
        <f>IF('1.DATOS-PROD'!AX256="SI",VLOOKUP('1.DATOS-PROD'!AX$2,'1.PUNTOS'!$A$1:$B$63,2,0),0)</f>
        <v>0</v>
      </c>
      <c r="AP255" s="138">
        <f>IF('1.DATOS-PROD'!AY256="SI",VLOOKUP('1.DATOS-PROD'!AY$2,'1.PUNTOS'!$A$1:$B$63,2,0),0)</f>
        <v>0</v>
      </c>
      <c r="AQ255" s="138">
        <f>IF('1.DATOS-PROD'!AZ256="SI",VLOOKUP('1.DATOS-PROD'!AZ$2,'1.PUNTOS'!$A$1:$B$63,2,0),0)</f>
        <v>0</v>
      </c>
      <c r="AR255" s="138">
        <f>IF('1.DATOS-PROD'!BA256="SI",VLOOKUP('1.DATOS-PROD'!BA$2,'1.PUNTOS'!$A$1:$B$63,2,0),0)</f>
        <v>0</v>
      </c>
      <c r="AS255" s="138">
        <f>IF('1.DATOS-PROD'!BB256="SI",VLOOKUP('1.DATOS-PROD'!BB$2,'1.PUNTOS'!$A$1:$B$63,2,0),0)</f>
        <v>0</v>
      </c>
      <c r="AT255" s="138">
        <f>IF('1.DATOS-PROD'!BC256="SI",VLOOKUP('1.DATOS-PROD'!BC$2,'1.PUNTOS'!$A$1:$B$63,2,0),0)</f>
        <v>0</v>
      </c>
      <c r="AU255" s="138">
        <f>IF('1.DATOS-PROD'!BD256="SI",VLOOKUP('1.DATOS-PROD'!BD$2,'1.PUNTOS'!$A$1:$B$63,2,0),0)</f>
        <v>0</v>
      </c>
      <c r="AV255" s="138">
        <f>IF('1.DATOS-PROD'!BE256="SI",VLOOKUP('1.DATOS-PROD'!BE$2,'1.PUNTOS'!$A$1:$B$63,2,0),0)</f>
        <v>0</v>
      </c>
      <c r="AW255" s="138">
        <f>IF('1.DATOS-PROD'!BF256="SI",VLOOKUP('1.DATOS-PROD'!BF$2,'1.PUNTOS'!$A$1:$B$63,2,0),0)</f>
        <v>0</v>
      </c>
      <c r="AX255" s="138">
        <f>IF('1.DATOS-PROD'!BG256="SI",VLOOKUP('1.DATOS-PROD'!BG$2,'1.PUNTOS'!$A$1:$B$63,2,0),0)</f>
        <v>0</v>
      </c>
      <c r="AY255" s="138">
        <f>IF('1.DATOS-PROD'!BH256="SI",VLOOKUP('1.DATOS-PROD'!BH$2,'1.PUNTOS'!$A$1:$B$63,2,0),0)</f>
        <v>0</v>
      </c>
      <c r="AZ255" s="138">
        <f>IF('1.DATOS-PROD'!BI256="SI",VLOOKUP('1.DATOS-PROD'!BI$2,'1.PUNTOS'!$A$1:$B$63,2,0),0)</f>
        <v>0</v>
      </c>
      <c r="BA255" s="138">
        <f>IF('1.DATOS-PROD'!BJ256="SI",VLOOKUP('1.DATOS-PROD'!BJ$2,'1.PUNTOS'!$A$1:$B$63,2,0),0)</f>
        <v>0</v>
      </c>
      <c r="BB255" s="138">
        <f>IF('1.DATOS-PROD'!BK256="SI",VLOOKUP('1.DATOS-PROD'!BK$2,'1.PUNTOS'!$A$1:$B$63,2,0),0)</f>
        <v>0</v>
      </c>
      <c r="BC255" s="138">
        <f>IF('1.DATOS-PROD'!BL256="SI",VLOOKUP('1.DATOS-PROD'!BL$2,'1.PUNTOS'!$A$1:$B$63,2,0),0)</f>
        <v>0</v>
      </c>
      <c r="BD255" s="138">
        <f>IF('1.DATOS-PROD'!BM256="SI",VLOOKUP('1.DATOS-PROD'!BM$2,'1.PUNTOS'!$A$1:$B$63,2,0),0)</f>
        <v>0</v>
      </c>
      <c r="BE255" s="138">
        <f>IF('1.DATOS-PROD'!BN256="SI",VLOOKUP('1.DATOS-PROD'!BN$2,'1.PUNTOS'!$A$1:$B$63,2,0),0)</f>
        <v>0</v>
      </c>
      <c r="BF255" s="138">
        <f>IF('1.DATOS-PROD'!BO256="SI",VLOOKUP('1.DATOS-PROD'!BO$2,'1.PUNTOS'!$A$1:$B$63,2,0),0)</f>
        <v>0</v>
      </c>
      <c r="BG255" s="138">
        <f>IF('1.DATOS-PROD'!BP256="SI",VLOOKUP('1.DATOS-PROD'!BP$2,'1.PUNTOS'!$A$1:$B$63,2,0),0)</f>
        <v>0</v>
      </c>
      <c r="BH255" s="138">
        <f>IF('1.DATOS-PROD'!BQ256="SI",VLOOKUP('1.DATOS-PROD'!BQ$2,'1.PUNTOS'!$A$1:$B$63,2,0),0)</f>
        <v>0</v>
      </c>
      <c r="BI255" s="138">
        <f>IF('1.DATOS-PROD'!BR256="SI",VLOOKUP('1.DATOS-PROD'!BR$2,'1.PUNTOS'!$A$1:$B$63,2,0),0)</f>
        <v>0</v>
      </c>
      <c r="BJ255" s="138">
        <f>IF('1.DATOS-PROD'!BS256="SI",VLOOKUP('1.DATOS-PROD'!BS$2,'1.PUNTOS'!$A$1:$B$63,2,0),0)</f>
        <v>0</v>
      </c>
      <c r="BK255" s="138">
        <f>IF('1.DATOS-PROD'!BT256="SI",VLOOKUP('1.DATOS-PROD'!BT$2,'1.PUNTOS'!$A$1:$B$63,2,0),0)</f>
        <v>0</v>
      </c>
    </row>
    <row r="256" spans="1:63" x14ac:dyDescent="0.25">
      <c r="A256">
        <f>'0.Consolidado general'!$A257</f>
        <v>0</v>
      </c>
      <c r="B256" s="138">
        <f>IF('1.DATOS-PROD'!K257="SI",VLOOKUP('1.DATOS-PROD'!K$2,'1.PUNTOS'!$A$1:$B$63,2,0),0)</f>
        <v>0</v>
      </c>
      <c r="C256" s="138">
        <f>IF('1.DATOS-PROD'!L257="SI",VLOOKUP('1.DATOS-PROD'!L$2,'1.PUNTOS'!$A$1:$B$63,2,0),0)</f>
        <v>0</v>
      </c>
      <c r="D256" s="138">
        <f>IF('1.DATOS-PROD'!M257="SI",VLOOKUP('1.DATOS-PROD'!M$2,'1.PUNTOS'!$A$1:$B$63,2,0),0)</f>
        <v>0</v>
      </c>
      <c r="E256" s="138">
        <f>IF('1.DATOS-PROD'!N257="SI",VLOOKUP('1.DATOS-PROD'!N$2,'1.PUNTOS'!$A$1:$B$63,2,0),0)</f>
        <v>0</v>
      </c>
      <c r="F256" s="138">
        <f>IF('1.DATOS-PROD'!O257="SI",VLOOKUP('1.DATOS-PROD'!O$2,'1.PUNTOS'!$A$1:$B$63,2,0),0)</f>
        <v>0</v>
      </c>
      <c r="G256" s="138">
        <f>IF('1.DATOS-PROD'!P257="SI",VLOOKUP('1.DATOS-PROD'!P$2,'1.PUNTOS'!$A$1:$B$63,2,0),0)</f>
        <v>0</v>
      </c>
      <c r="H256" s="138">
        <f>IF('1.DATOS-PROD'!Q257="SI",VLOOKUP('1.DATOS-PROD'!Q$2,'1.PUNTOS'!$A$1:$B$63,2,0),0)</f>
        <v>0</v>
      </c>
      <c r="I256" s="138">
        <f>IF('1.DATOS-PROD'!R257="SI",VLOOKUP('1.DATOS-PROD'!R$2,'1.PUNTOS'!$A$1:$B$63,2,0),0)</f>
        <v>0</v>
      </c>
      <c r="J256" s="138">
        <f>IF('1.DATOS-PROD'!S257="SI",VLOOKUP('1.DATOS-PROD'!S$2,'1.PUNTOS'!$A$1:$B$63,2,0),0)</f>
        <v>0</v>
      </c>
      <c r="K256" s="138">
        <f>IF('1.DATOS-PROD'!T257="SI",VLOOKUP('1.DATOS-PROD'!T$2,'1.PUNTOS'!$A$1:$B$63,2,0),0)</f>
        <v>0</v>
      </c>
      <c r="L256" s="138">
        <f>IF('1.DATOS-PROD'!U257="SI",VLOOKUP('1.DATOS-PROD'!U$2,'1.PUNTOS'!$A$1:$B$63,2,0),0)</f>
        <v>0</v>
      </c>
      <c r="M256" s="138">
        <f>IF('1.DATOS-PROD'!V257="SI",VLOOKUP('1.DATOS-PROD'!V$2,'1.PUNTOS'!$A$1:$B$63,2,0),0)</f>
        <v>0</v>
      </c>
      <c r="N256" s="138">
        <f>IF('1.DATOS-PROD'!W257="SI",VLOOKUP('1.DATOS-PROD'!W$2,'1.PUNTOS'!$A$1:$B$63,2,0),0)</f>
        <v>0</v>
      </c>
      <c r="O256" s="138">
        <f>IF('1.DATOS-PROD'!X257="SI",VLOOKUP('1.DATOS-PROD'!X$2,'1.PUNTOS'!$A$1:$B$63,2,0),0)</f>
        <v>0</v>
      </c>
      <c r="P256" s="138">
        <f>IF('1.DATOS-PROD'!Y257="SI",VLOOKUP('1.DATOS-PROD'!Y$2,'1.PUNTOS'!$A$1:$B$63,2,0),0)</f>
        <v>0</v>
      </c>
      <c r="Q256" s="138">
        <f>IF('1.DATOS-PROD'!Z257="SI",VLOOKUP('1.DATOS-PROD'!Z$2,'1.PUNTOS'!$A$1:$B$63,2,0),0)</f>
        <v>0</v>
      </c>
      <c r="R256" s="138">
        <f>IF('1.DATOS-PROD'!AA257="SI",VLOOKUP('1.DATOS-PROD'!AA$2,'1.PUNTOS'!$A$1:$B$63,2,0),0)</f>
        <v>0</v>
      </c>
      <c r="S256" s="138">
        <f>IF('1.DATOS-PROD'!AB257="SI",VLOOKUP('1.DATOS-PROD'!AB$2,'1.PUNTOS'!$A$1:$B$63,2,0),0)</f>
        <v>0</v>
      </c>
      <c r="T256" s="138">
        <f>IF('1.DATOS-PROD'!AC257="SI",VLOOKUP('1.DATOS-PROD'!AC$2,'1.PUNTOS'!$A$1:$B$63,2,0),0)</f>
        <v>0</v>
      </c>
      <c r="U256" s="138">
        <f>IF('1.DATOS-PROD'!AD257="SI",VLOOKUP('1.DATOS-PROD'!AD$2,'1.PUNTOS'!$A$1:$B$63,2,0),0)</f>
        <v>0</v>
      </c>
      <c r="V256" s="138">
        <f>IF('1.DATOS-PROD'!AE257="SI",VLOOKUP('1.DATOS-PROD'!AE$2,'1.PUNTOS'!$A$1:$B$63,2,0),0)</f>
        <v>0</v>
      </c>
      <c r="W256" s="138">
        <f>IF('1.DATOS-PROD'!AF257="SI",VLOOKUP('1.DATOS-PROD'!AF$2,'1.PUNTOS'!$A$1:$B$63,2,0),0)</f>
        <v>0</v>
      </c>
      <c r="X256" s="138">
        <f>IF('1.DATOS-PROD'!AG257="SI",VLOOKUP('1.DATOS-PROD'!AG$2,'1.PUNTOS'!$A$1:$B$63,2,0),0)</f>
        <v>0</v>
      </c>
      <c r="Y256" s="138">
        <f>IF('1.DATOS-PROD'!AH257="SI",VLOOKUP('1.DATOS-PROD'!AH$2,'1.PUNTOS'!$A$1:$B$63,2,0),0)</f>
        <v>0</v>
      </c>
      <c r="Z256" s="138">
        <f>IF('1.DATOS-PROD'!AI257="SI",VLOOKUP('1.DATOS-PROD'!AI$2,'1.PUNTOS'!$A$1:$B$63,2,0),0)</f>
        <v>0</v>
      </c>
      <c r="AA256" s="138">
        <f>IF('1.DATOS-PROD'!AJ257="SI",VLOOKUP('1.DATOS-PROD'!AJ$2,'1.PUNTOS'!$A$1:$B$63,2,0),0)</f>
        <v>0</v>
      </c>
      <c r="AB256" s="138">
        <f>IF('1.DATOS-PROD'!AK257="SI",VLOOKUP('1.DATOS-PROD'!AK$2,'1.PUNTOS'!$A$1:$B$63,2,0),0)</f>
        <v>0</v>
      </c>
      <c r="AC256" s="138">
        <f>IF('1.DATOS-PROD'!AL257="SI",VLOOKUP('1.DATOS-PROD'!AL$2,'1.PUNTOS'!$A$1:$B$63,2,0),0)</f>
        <v>0</v>
      </c>
      <c r="AD256" s="138">
        <f>IF('1.DATOS-PROD'!AM257="SI",VLOOKUP('1.DATOS-PROD'!AM$2,'1.PUNTOS'!$A$1:$B$63,2,0),0)</f>
        <v>0</v>
      </c>
      <c r="AE256" s="138">
        <f>IF('1.DATOS-PROD'!AN257="SI",VLOOKUP('1.DATOS-PROD'!AN$2,'1.PUNTOS'!$A$1:$B$63,2,0),0)</f>
        <v>0</v>
      </c>
      <c r="AF256" s="138">
        <f>IF('1.DATOS-PROD'!AO257="SI",VLOOKUP('1.DATOS-PROD'!AO$2,'1.PUNTOS'!$A$1:$B$63,2,0),0)</f>
        <v>0</v>
      </c>
      <c r="AG256" s="138">
        <f>IF('1.DATOS-PROD'!AP257="SI",VLOOKUP('1.DATOS-PROD'!AP$2,'1.PUNTOS'!$A$1:$B$63,2,0),0)</f>
        <v>0</v>
      </c>
      <c r="AH256" s="138">
        <f>IF('1.DATOS-PROD'!AQ257="SI",VLOOKUP('1.DATOS-PROD'!AQ$2,'1.PUNTOS'!$A$1:$B$63,2,0),0)</f>
        <v>0</v>
      </c>
      <c r="AI256" s="138">
        <f>IF('1.DATOS-PROD'!AR257="SI",VLOOKUP('1.DATOS-PROD'!AR$2,'1.PUNTOS'!$A$1:$B$63,2,0),0)</f>
        <v>0</v>
      </c>
      <c r="AJ256" s="138">
        <f>IF('1.DATOS-PROD'!AS257="SI",VLOOKUP('1.DATOS-PROD'!AS$2,'1.PUNTOS'!$A$1:$B$63,2,0),0)</f>
        <v>0</v>
      </c>
      <c r="AK256" s="138">
        <f>IF('1.DATOS-PROD'!AT257="SI",VLOOKUP('1.DATOS-PROD'!AT$2,'1.PUNTOS'!$A$1:$B$63,2,0),0)</f>
        <v>0</v>
      </c>
      <c r="AL256" s="138">
        <f>IF('1.DATOS-PROD'!AU257="SI",VLOOKUP('1.DATOS-PROD'!AU$2,'1.PUNTOS'!$A$1:$B$63,2,0),0)</f>
        <v>0</v>
      </c>
      <c r="AM256" s="138">
        <f>IF('1.DATOS-PROD'!AV257="SI",VLOOKUP('1.DATOS-PROD'!AV$2,'1.PUNTOS'!$A$1:$B$63,2,0),0)</f>
        <v>0</v>
      </c>
      <c r="AN256" s="138">
        <f>IF('1.DATOS-PROD'!AW257="SI",VLOOKUP('1.DATOS-PROD'!AW$2,'1.PUNTOS'!$A$1:$B$63,2,0),0)</f>
        <v>0</v>
      </c>
      <c r="AO256" s="138">
        <f>IF('1.DATOS-PROD'!AX257="SI",VLOOKUP('1.DATOS-PROD'!AX$2,'1.PUNTOS'!$A$1:$B$63,2,0),0)</f>
        <v>0</v>
      </c>
      <c r="AP256" s="138">
        <f>IF('1.DATOS-PROD'!AY257="SI",VLOOKUP('1.DATOS-PROD'!AY$2,'1.PUNTOS'!$A$1:$B$63,2,0),0)</f>
        <v>0</v>
      </c>
      <c r="AQ256" s="138">
        <f>IF('1.DATOS-PROD'!AZ257="SI",VLOOKUP('1.DATOS-PROD'!AZ$2,'1.PUNTOS'!$A$1:$B$63,2,0),0)</f>
        <v>0</v>
      </c>
      <c r="AR256" s="138">
        <f>IF('1.DATOS-PROD'!BA257="SI",VLOOKUP('1.DATOS-PROD'!BA$2,'1.PUNTOS'!$A$1:$B$63,2,0),0)</f>
        <v>0</v>
      </c>
      <c r="AS256" s="138">
        <f>IF('1.DATOS-PROD'!BB257="SI",VLOOKUP('1.DATOS-PROD'!BB$2,'1.PUNTOS'!$A$1:$B$63,2,0),0)</f>
        <v>0</v>
      </c>
      <c r="AT256" s="138">
        <f>IF('1.DATOS-PROD'!BC257="SI",VLOOKUP('1.DATOS-PROD'!BC$2,'1.PUNTOS'!$A$1:$B$63,2,0),0)</f>
        <v>0</v>
      </c>
      <c r="AU256" s="138">
        <f>IF('1.DATOS-PROD'!BD257="SI",VLOOKUP('1.DATOS-PROD'!BD$2,'1.PUNTOS'!$A$1:$B$63,2,0),0)</f>
        <v>0</v>
      </c>
      <c r="AV256" s="138">
        <f>IF('1.DATOS-PROD'!BE257="SI",VLOOKUP('1.DATOS-PROD'!BE$2,'1.PUNTOS'!$A$1:$B$63,2,0),0)</f>
        <v>0</v>
      </c>
      <c r="AW256" s="138">
        <f>IF('1.DATOS-PROD'!BF257="SI",VLOOKUP('1.DATOS-PROD'!BF$2,'1.PUNTOS'!$A$1:$B$63,2,0),0)</f>
        <v>0</v>
      </c>
      <c r="AX256" s="138">
        <f>IF('1.DATOS-PROD'!BG257="SI",VLOOKUP('1.DATOS-PROD'!BG$2,'1.PUNTOS'!$A$1:$B$63,2,0),0)</f>
        <v>0</v>
      </c>
      <c r="AY256" s="138">
        <f>IF('1.DATOS-PROD'!BH257="SI",VLOOKUP('1.DATOS-PROD'!BH$2,'1.PUNTOS'!$A$1:$B$63,2,0),0)</f>
        <v>0</v>
      </c>
      <c r="AZ256" s="138">
        <f>IF('1.DATOS-PROD'!BI257="SI",VLOOKUP('1.DATOS-PROD'!BI$2,'1.PUNTOS'!$A$1:$B$63,2,0),0)</f>
        <v>0</v>
      </c>
      <c r="BA256" s="138">
        <f>IF('1.DATOS-PROD'!BJ257="SI",VLOOKUP('1.DATOS-PROD'!BJ$2,'1.PUNTOS'!$A$1:$B$63,2,0),0)</f>
        <v>0</v>
      </c>
      <c r="BB256" s="138">
        <f>IF('1.DATOS-PROD'!BK257="SI",VLOOKUP('1.DATOS-PROD'!BK$2,'1.PUNTOS'!$A$1:$B$63,2,0),0)</f>
        <v>0</v>
      </c>
      <c r="BC256" s="138">
        <f>IF('1.DATOS-PROD'!BL257="SI",VLOOKUP('1.DATOS-PROD'!BL$2,'1.PUNTOS'!$A$1:$B$63,2,0),0)</f>
        <v>0</v>
      </c>
      <c r="BD256" s="138">
        <f>IF('1.DATOS-PROD'!BM257="SI",VLOOKUP('1.DATOS-PROD'!BM$2,'1.PUNTOS'!$A$1:$B$63,2,0),0)</f>
        <v>0</v>
      </c>
      <c r="BE256" s="138">
        <f>IF('1.DATOS-PROD'!BN257="SI",VLOOKUP('1.DATOS-PROD'!BN$2,'1.PUNTOS'!$A$1:$B$63,2,0),0)</f>
        <v>0</v>
      </c>
      <c r="BF256" s="138">
        <f>IF('1.DATOS-PROD'!BO257="SI",VLOOKUP('1.DATOS-PROD'!BO$2,'1.PUNTOS'!$A$1:$B$63,2,0),0)</f>
        <v>0</v>
      </c>
      <c r="BG256" s="138">
        <f>IF('1.DATOS-PROD'!BP257="SI",VLOOKUP('1.DATOS-PROD'!BP$2,'1.PUNTOS'!$A$1:$B$63,2,0),0)</f>
        <v>0</v>
      </c>
      <c r="BH256" s="138">
        <f>IF('1.DATOS-PROD'!BQ257="SI",VLOOKUP('1.DATOS-PROD'!BQ$2,'1.PUNTOS'!$A$1:$B$63,2,0),0)</f>
        <v>0</v>
      </c>
      <c r="BI256" s="138">
        <f>IF('1.DATOS-PROD'!BR257="SI",VLOOKUP('1.DATOS-PROD'!BR$2,'1.PUNTOS'!$A$1:$B$63,2,0),0)</f>
        <v>0</v>
      </c>
      <c r="BJ256" s="138">
        <f>IF('1.DATOS-PROD'!BS257="SI",VLOOKUP('1.DATOS-PROD'!BS$2,'1.PUNTOS'!$A$1:$B$63,2,0),0)</f>
        <v>0</v>
      </c>
      <c r="BK256" s="138">
        <f>IF('1.DATOS-PROD'!BT257="SI",VLOOKUP('1.DATOS-PROD'!BT$2,'1.PUNTOS'!$A$1:$B$63,2,0),0)</f>
        <v>0</v>
      </c>
    </row>
    <row r="257" spans="1:63" x14ac:dyDescent="0.25">
      <c r="A257">
        <f>'0.Consolidado general'!$A258</f>
        <v>0</v>
      </c>
      <c r="B257" s="138">
        <f>IF('1.DATOS-PROD'!K258="SI",VLOOKUP('1.DATOS-PROD'!K$2,'1.PUNTOS'!$A$1:$B$63,2,0),0)</f>
        <v>0</v>
      </c>
      <c r="C257" s="138">
        <f>IF('1.DATOS-PROD'!L258="SI",VLOOKUP('1.DATOS-PROD'!L$2,'1.PUNTOS'!$A$1:$B$63,2,0),0)</f>
        <v>0</v>
      </c>
      <c r="D257" s="138">
        <f>IF('1.DATOS-PROD'!M258="SI",VLOOKUP('1.DATOS-PROD'!M$2,'1.PUNTOS'!$A$1:$B$63,2,0),0)</f>
        <v>0</v>
      </c>
      <c r="E257" s="138">
        <f>IF('1.DATOS-PROD'!N258="SI",VLOOKUP('1.DATOS-PROD'!N$2,'1.PUNTOS'!$A$1:$B$63,2,0),0)</f>
        <v>0</v>
      </c>
      <c r="F257" s="138">
        <f>IF('1.DATOS-PROD'!O258="SI",VLOOKUP('1.DATOS-PROD'!O$2,'1.PUNTOS'!$A$1:$B$63,2,0),0)</f>
        <v>0</v>
      </c>
      <c r="G257" s="138">
        <f>IF('1.DATOS-PROD'!P258="SI",VLOOKUP('1.DATOS-PROD'!P$2,'1.PUNTOS'!$A$1:$B$63,2,0),0)</f>
        <v>0</v>
      </c>
      <c r="H257" s="138">
        <f>IF('1.DATOS-PROD'!Q258="SI",VLOOKUP('1.DATOS-PROD'!Q$2,'1.PUNTOS'!$A$1:$B$63,2,0),0)</f>
        <v>0</v>
      </c>
      <c r="I257" s="138">
        <f>IF('1.DATOS-PROD'!R258="SI",VLOOKUP('1.DATOS-PROD'!R$2,'1.PUNTOS'!$A$1:$B$63,2,0),0)</f>
        <v>0</v>
      </c>
      <c r="J257" s="138">
        <f>IF('1.DATOS-PROD'!S258="SI",VLOOKUP('1.DATOS-PROD'!S$2,'1.PUNTOS'!$A$1:$B$63,2,0),0)</f>
        <v>0</v>
      </c>
      <c r="K257" s="138">
        <f>IF('1.DATOS-PROD'!T258="SI",VLOOKUP('1.DATOS-PROD'!T$2,'1.PUNTOS'!$A$1:$B$63,2,0),0)</f>
        <v>0</v>
      </c>
      <c r="L257" s="138">
        <f>IF('1.DATOS-PROD'!U258="SI",VLOOKUP('1.DATOS-PROD'!U$2,'1.PUNTOS'!$A$1:$B$63,2,0),0)</f>
        <v>0</v>
      </c>
      <c r="M257" s="138">
        <f>IF('1.DATOS-PROD'!V258="SI",VLOOKUP('1.DATOS-PROD'!V$2,'1.PUNTOS'!$A$1:$B$63,2,0),0)</f>
        <v>0</v>
      </c>
      <c r="N257" s="138">
        <f>IF('1.DATOS-PROD'!W258="SI",VLOOKUP('1.DATOS-PROD'!W$2,'1.PUNTOS'!$A$1:$B$63,2,0),0)</f>
        <v>0</v>
      </c>
      <c r="O257" s="138">
        <f>IF('1.DATOS-PROD'!X258="SI",VLOOKUP('1.DATOS-PROD'!X$2,'1.PUNTOS'!$A$1:$B$63,2,0),0)</f>
        <v>0</v>
      </c>
      <c r="P257" s="138">
        <f>IF('1.DATOS-PROD'!Y258="SI",VLOOKUP('1.DATOS-PROD'!Y$2,'1.PUNTOS'!$A$1:$B$63,2,0),0)</f>
        <v>0</v>
      </c>
      <c r="Q257" s="138">
        <f>IF('1.DATOS-PROD'!Z258="SI",VLOOKUP('1.DATOS-PROD'!Z$2,'1.PUNTOS'!$A$1:$B$63,2,0),0)</f>
        <v>0</v>
      </c>
      <c r="R257" s="138">
        <f>IF('1.DATOS-PROD'!AA258="SI",VLOOKUP('1.DATOS-PROD'!AA$2,'1.PUNTOS'!$A$1:$B$63,2,0),0)</f>
        <v>0</v>
      </c>
      <c r="S257" s="138">
        <f>IF('1.DATOS-PROD'!AB258="SI",VLOOKUP('1.DATOS-PROD'!AB$2,'1.PUNTOS'!$A$1:$B$63,2,0),0)</f>
        <v>0</v>
      </c>
      <c r="T257" s="138">
        <f>IF('1.DATOS-PROD'!AC258="SI",VLOOKUP('1.DATOS-PROD'!AC$2,'1.PUNTOS'!$A$1:$B$63,2,0),0)</f>
        <v>0</v>
      </c>
      <c r="U257" s="138">
        <f>IF('1.DATOS-PROD'!AD258="SI",VLOOKUP('1.DATOS-PROD'!AD$2,'1.PUNTOS'!$A$1:$B$63,2,0),0)</f>
        <v>0</v>
      </c>
      <c r="V257" s="138">
        <f>IF('1.DATOS-PROD'!AE258="SI",VLOOKUP('1.DATOS-PROD'!AE$2,'1.PUNTOS'!$A$1:$B$63,2,0),0)</f>
        <v>0</v>
      </c>
      <c r="W257" s="138">
        <f>IF('1.DATOS-PROD'!AF258="SI",VLOOKUP('1.DATOS-PROD'!AF$2,'1.PUNTOS'!$A$1:$B$63,2,0),0)</f>
        <v>0</v>
      </c>
      <c r="X257" s="138">
        <f>IF('1.DATOS-PROD'!AG258="SI",VLOOKUP('1.DATOS-PROD'!AG$2,'1.PUNTOS'!$A$1:$B$63,2,0),0)</f>
        <v>0</v>
      </c>
      <c r="Y257" s="138">
        <f>IF('1.DATOS-PROD'!AH258="SI",VLOOKUP('1.DATOS-PROD'!AH$2,'1.PUNTOS'!$A$1:$B$63,2,0),0)</f>
        <v>0</v>
      </c>
      <c r="Z257" s="138">
        <f>IF('1.DATOS-PROD'!AI258="SI",VLOOKUP('1.DATOS-PROD'!AI$2,'1.PUNTOS'!$A$1:$B$63,2,0),0)</f>
        <v>0</v>
      </c>
      <c r="AA257" s="138">
        <f>IF('1.DATOS-PROD'!AJ258="SI",VLOOKUP('1.DATOS-PROD'!AJ$2,'1.PUNTOS'!$A$1:$B$63,2,0),0)</f>
        <v>0</v>
      </c>
      <c r="AB257" s="138">
        <f>IF('1.DATOS-PROD'!AK258="SI",VLOOKUP('1.DATOS-PROD'!AK$2,'1.PUNTOS'!$A$1:$B$63,2,0),0)</f>
        <v>0</v>
      </c>
      <c r="AC257" s="138">
        <f>IF('1.DATOS-PROD'!AL258="SI",VLOOKUP('1.DATOS-PROD'!AL$2,'1.PUNTOS'!$A$1:$B$63,2,0),0)</f>
        <v>0</v>
      </c>
      <c r="AD257" s="138">
        <f>IF('1.DATOS-PROD'!AM258="SI",VLOOKUP('1.DATOS-PROD'!AM$2,'1.PUNTOS'!$A$1:$B$63,2,0),0)</f>
        <v>0</v>
      </c>
      <c r="AE257" s="138">
        <f>IF('1.DATOS-PROD'!AN258="SI",VLOOKUP('1.DATOS-PROD'!AN$2,'1.PUNTOS'!$A$1:$B$63,2,0),0)</f>
        <v>0</v>
      </c>
      <c r="AF257" s="138">
        <f>IF('1.DATOS-PROD'!AO258="SI",VLOOKUP('1.DATOS-PROD'!AO$2,'1.PUNTOS'!$A$1:$B$63,2,0),0)</f>
        <v>0</v>
      </c>
      <c r="AG257" s="138">
        <f>IF('1.DATOS-PROD'!AP258="SI",VLOOKUP('1.DATOS-PROD'!AP$2,'1.PUNTOS'!$A$1:$B$63,2,0),0)</f>
        <v>0</v>
      </c>
      <c r="AH257" s="138">
        <f>IF('1.DATOS-PROD'!AQ258="SI",VLOOKUP('1.DATOS-PROD'!AQ$2,'1.PUNTOS'!$A$1:$B$63,2,0),0)</f>
        <v>0</v>
      </c>
      <c r="AI257" s="138">
        <f>IF('1.DATOS-PROD'!AR258="SI",VLOOKUP('1.DATOS-PROD'!AR$2,'1.PUNTOS'!$A$1:$B$63,2,0),0)</f>
        <v>0</v>
      </c>
      <c r="AJ257" s="138">
        <f>IF('1.DATOS-PROD'!AS258="SI",VLOOKUP('1.DATOS-PROD'!AS$2,'1.PUNTOS'!$A$1:$B$63,2,0),0)</f>
        <v>0</v>
      </c>
      <c r="AK257" s="138">
        <f>IF('1.DATOS-PROD'!AT258="SI",VLOOKUP('1.DATOS-PROD'!AT$2,'1.PUNTOS'!$A$1:$B$63,2,0),0)</f>
        <v>0</v>
      </c>
      <c r="AL257" s="138">
        <f>IF('1.DATOS-PROD'!AU258="SI",VLOOKUP('1.DATOS-PROD'!AU$2,'1.PUNTOS'!$A$1:$B$63,2,0),0)</f>
        <v>0</v>
      </c>
      <c r="AM257" s="138">
        <f>IF('1.DATOS-PROD'!AV258="SI",VLOOKUP('1.DATOS-PROD'!AV$2,'1.PUNTOS'!$A$1:$B$63,2,0),0)</f>
        <v>0</v>
      </c>
      <c r="AN257" s="138">
        <f>IF('1.DATOS-PROD'!AW258="SI",VLOOKUP('1.DATOS-PROD'!AW$2,'1.PUNTOS'!$A$1:$B$63,2,0),0)</f>
        <v>0</v>
      </c>
      <c r="AO257" s="138">
        <f>IF('1.DATOS-PROD'!AX258="SI",VLOOKUP('1.DATOS-PROD'!AX$2,'1.PUNTOS'!$A$1:$B$63,2,0),0)</f>
        <v>0</v>
      </c>
      <c r="AP257" s="138">
        <f>IF('1.DATOS-PROD'!AY258="SI",VLOOKUP('1.DATOS-PROD'!AY$2,'1.PUNTOS'!$A$1:$B$63,2,0),0)</f>
        <v>0</v>
      </c>
      <c r="AQ257" s="138">
        <f>IF('1.DATOS-PROD'!AZ258="SI",VLOOKUP('1.DATOS-PROD'!AZ$2,'1.PUNTOS'!$A$1:$B$63,2,0),0)</f>
        <v>0</v>
      </c>
      <c r="AR257" s="138">
        <f>IF('1.DATOS-PROD'!BA258="SI",VLOOKUP('1.DATOS-PROD'!BA$2,'1.PUNTOS'!$A$1:$B$63,2,0),0)</f>
        <v>0</v>
      </c>
      <c r="AS257" s="138">
        <f>IF('1.DATOS-PROD'!BB258="SI",VLOOKUP('1.DATOS-PROD'!BB$2,'1.PUNTOS'!$A$1:$B$63,2,0),0)</f>
        <v>0</v>
      </c>
      <c r="AT257" s="138">
        <f>IF('1.DATOS-PROD'!BC258="SI",VLOOKUP('1.DATOS-PROD'!BC$2,'1.PUNTOS'!$A$1:$B$63,2,0),0)</f>
        <v>0</v>
      </c>
      <c r="AU257" s="138">
        <f>IF('1.DATOS-PROD'!BD258="SI",VLOOKUP('1.DATOS-PROD'!BD$2,'1.PUNTOS'!$A$1:$B$63,2,0),0)</f>
        <v>0</v>
      </c>
      <c r="AV257" s="138">
        <f>IF('1.DATOS-PROD'!BE258="SI",VLOOKUP('1.DATOS-PROD'!BE$2,'1.PUNTOS'!$A$1:$B$63,2,0),0)</f>
        <v>0</v>
      </c>
      <c r="AW257" s="138">
        <f>IF('1.DATOS-PROD'!BF258="SI",VLOOKUP('1.DATOS-PROD'!BF$2,'1.PUNTOS'!$A$1:$B$63,2,0),0)</f>
        <v>0</v>
      </c>
      <c r="AX257" s="138">
        <f>IF('1.DATOS-PROD'!BG258="SI",VLOOKUP('1.DATOS-PROD'!BG$2,'1.PUNTOS'!$A$1:$B$63,2,0),0)</f>
        <v>0</v>
      </c>
      <c r="AY257" s="138">
        <f>IF('1.DATOS-PROD'!BH258="SI",VLOOKUP('1.DATOS-PROD'!BH$2,'1.PUNTOS'!$A$1:$B$63,2,0),0)</f>
        <v>0</v>
      </c>
      <c r="AZ257" s="138">
        <f>IF('1.DATOS-PROD'!BI258="SI",VLOOKUP('1.DATOS-PROD'!BI$2,'1.PUNTOS'!$A$1:$B$63,2,0),0)</f>
        <v>0</v>
      </c>
      <c r="BA257" s="138">
        <f>IF('1.DATOS-PROD'!BJ258="SI",VLOOKUP('1.DATOS-PROD'!BJ$2,'1.PUNTOS'!$A$1:$B$63,2,0),0)</f>
        <v>0</v>
      </c>
      <c r="BB257" s="138">
        <f>IF('1.DATOS-PROD'!BK258="SI",VLOOKUP('1.DATOS-PROD'!BK$2,'1.PUNTOS'!$A$1:$B$63,2,0),0)</f>
        <v>0</v>
      </c>
      <c r="BC257" s="138">
        <f>IF('1.DATOS-PROD'!BL258="SI",VLOOKUP('1.DATOS-PROD'!BL$2,'1.PUNTOS'!$A$1:$B$63,2,0),0)</f>
        <v>0</v>
      </c>
      <c r="BD257" s="138">
        <f>IF('1.DATOS-PROD'!BM258="SI",VLOOKUP('1.DATOS-PROD'!BM$2,'1.PUNTOS'!$A$1:$B$63,2,0),0)</f>
        <v>0</v>
      </c>
      <c r="BE257" s="138">
        <f>IF('1.DATOS-PROD'!BN258="SI",VLOOKUP('1.DATOS-PROD'!BN$2,'1.PUNTOS'!$A$1:$B$63,2,0),0)</f>
        <v>0</v>
      </c>
      <c r="BF257" s="138">
        <f>IF('1.DATOS-PROD'!BO258="SI",VLOOKUP('1.DATOS-PROD'!BO$2,'1.PUNTOS'!$A$1:$B$63,2,0),0)</f>
        <v>0</v>
      </c>
      <c r="BG257" s="138">
        <f>IF('1.DATOS-PROD'!BP258="SI",VLOOKUP('1.DATOS-PROD'!BP$2,'1.PUNTOS'!$A$1:$B$63,2,0),0)</f>
        <v>0</v>
      </c>
      <c r="BH257" s="138">
        <f>IF('1.DATOS-PROD'!BQ258="SI",VLOOKUP('1.DATOS-PROD'!BQ$2,'1.PUNTOS'!$A$1:$B$63,2,0),0)</f>
        <v>0</v>
      </c>
      <c r="BI257" s="138">
        <f>IF('1.DATOS-PROD'!BR258="SI",VLOOKUP('1.DATOS-PROD'!BR$2,'1.PUNTOS'!$A$1:$B$63,2,0),0)</f>
        <v>0</v>
      </c>
      <c r="BJ257" s="138">
        <f>IF('1.DATOS-PROD'!BS258="SI",VLOOKUP('1.DATOS-PROD'!BS$2,'1.PUNTOS'!$A$1:$B$63,2,0),0)</f>
        <v>0</v>
      </c>
      <c r="BK257" s="138">
        <f>IF('1.DATOS-PROD'!BT258="SI",VLOOKUP('1.DATOS-PROD'!BT$2,'1.PUNTOS'!$A$1:$B$63,2,0),0)</f>
        <v>0</v>
      </c>
    </row>
    <row r="258" spans="1:63" x14ac:dyDescent="0.25">
      <c r="A258">
        <f>'0.Consolidado general'!$A259</f>
        <v>0</v>
      </c>
      <c r="B258" s="138">
        <f>IF('1.DATOS-PROD'!K259="SI",VLOOKUP('1.DATOS-PROD'!K$2,'1.PUNTOS'!$A$1:$B$63,2,0),0)</f>
        <v>0</v>
      </c>
      <c r="C258" s="138">
        <f>IF('1.DATOS-PROD'!L259="SI",VLOOKUP('1.DATOS-PROD'!L$2,'1.PUNTOS'!$A$1:$B$63,2,0),0)</f>
        <v>0</v>
      </c>
      <c r="D258" s="138">
        <f>IF('1.DATOS-PROD'!M259="SI",VLOOKUP('1.DATOS-PROD'!M$2,'1.PUNTOS'!$A$1:$B$63,2,0),0)</f>
        <v>0</v>
      </c>
      <c r="E258" s="138">
        <f>IF('1.DATOS-PROD'!N259="SI",VLOOKUP('1.DATOS-PROD'!N$2,'1.PUNTOS'!$A$1:$B$63,2,0),0)</f>
        <v>0</v>
      </c>
      <c r="F258" s="138">
        <f>IF('1.DATOS-PROD'!O259="SI",VLOOKUP('1.DATOS-PROD'!O$2,'1.PUNTOS'!$A$1:$B$63,2,0),0)</f>
        <v>0</v>
      </c>
      <c r="G258" s="138">
        <f>IF('1.DATOS-PROD'!P259="SI",VLOOKUP('1.DATOS-PROD'!P$2,'1.PUNTOS'!$A$1:$B$63,2,0),0)</f>
        <v>0</v>
      </c>
      <c r="H258" s="138">
        <f>IF('1.DATOS-PROD'!Q259="SI",VLOOKUP('1.DATOS-PROD'!Q$2,'1.PUNTOS'!$A$1:$B$63,2,0),0)</f>
        <v>0</v>
      </c>
      <c r="I258" s="138">
        <f>IF('1.DATOS-PROD'!R259="SI",VLOOKUP('1.DATOS-PROD'!R$2,'1.PUNTOS'!$A$1:$B$63,2,0),0)</f>
        <v>0</v>
      </c>
      <c r="J258" s="138">
        <f>IF('1.DATOS-PROD'!S259="SI",VLOOKUP('1.DATOS-PROD'!S$2,'1.PUNTOS'!$A$1:$B$63,2,0),0)</f>
        <v>0</v>
      </c>
      <c r="K258" s="138">
        <f>IF('1.DATOS-PROD'!T259="SI",VLOOKUP('1.DATOS-PROD'!T$2,'1.PUNTOS'!$A$1:$B$63,2,0),0)</f>
        <v>0</v>
      </c>
      <c r="L258" s="138">
        <f>IF('1.DATOS-PROD'!U259="SI",VLOOKUP('1.DATOS-PROD'!U$2,'1.PUNTOS'!$A$1:$B$63,2,0),0)</f>
        <v>0</v>
      </c>
      <c r="M258" s="138">
        <f>IF('1.DATOS-PROD'!V259="SI",VLOOKUP('1.DATOS-PROD'!V$2,'1.PUNTOS'!$A$1:$B$63,2,0),0)</f>
        <v>0</v>
      </c>
      <c r="N258" s="138">
        <f>IF('1.DATOS-PROD'!W259="SI",VLOOKUP('1.DATOS-PROD'!W$2,'1.PUNTOS'!$A$1:$B$63,2,0),0)</f>
        <v>0</v>
      </c>
      <c r="O258" s="138">
        <f>IF('1.DATOS-PROD'!X259="SI",VLOOKUP('1.DATOS-PROD'!X$2,'1.PUNTOS'!$A$1:$B$63,2,0),0)</f>
        <v>0</v>
      </c>
      <c r="P258" s="138">
        <f>IF('1.DATOS-PROD'!Y259="SI",VLOOKUP('1.DATOS-PROD'!Y$2,'1.PUNTOS'!$A$1:$B$63,2,0),0)</f>
        <v>0</v>
      </c>
      <c r="Q258" s="138">
        <f>IF('1.DATOS-PROD'!Z259="SI",VLOOKUP('1.DATOS-PROD'!Z$2,'1.PUNTOS'!$A$1:$B$63,2,0),0)</f>
        <v>0</v>
      </c>
      <c r="R258" s="138">
        <f>IF('1.DATOS-PROD'!AA259="SI",VLOOKUP('1.DATOS-PROD'!AA$2,'1.PUNTOS'!$A$1:$B$63,2,0),0)</f>
        <v>0</v>
      </c>
      <c r="S258" s="138">
        <f>IF('1.DATOS-PROD'!AB259="SI",VLOOKUP('1.DATOS-PROD'!AB$2,'1.PUNTOS'!$A$1:$B$63,2,0),0)</f>
        <v>0</v>
      </c>
      <c r="T258" s="138">
        <f>IF('1.DATOS-PROD'!AC259="SI",VLOOKUP('1.DATOS-PROD'!AC$2,'1.PUNTOS'!$A$1:$B$63,2,0),0)</f>
        <v>0</v>
      </c>
      <c r="U258" s="138">
        <f>IF('1.DATOS-PROD'!AD259="SI",VLOOKUP('1.DATOS-PROD'!AD$2,'1.PUNTOS'!$A$1:$B$63,2,0),0)</f>
        <v>0</v>
      </c>
      <c r="V258" s="138">
        <f>IF('1.DATOS-PROD'!AE259="SI",VLOOKUP('1.DATOS-PROD'!AE$2,'1.PUNTOS'!$A$1:$B$63,2,0),0)</f>
        <v>0</v>
      </c>
      <c r="W258" s="138">
        <f>IF('1.DATOS-PROD'!AF259="SI",VLOOKUP('1.DATOS-PROD'!AF$2,'1.PUNTOS'!$A$1:$B$63,2,0),0)</f>
        <v>0</v>
      </c>
      <c r="X258" s="138">
        <f>IF('1.DATOS-PROD'!AG259="SI",VLOOKUP('1.DATOS-PROD'!AG$2,'1.PUNTOS'!$A$1:$B$63,2,0),0)</f>
        <v>0</v>
      </c>
      <c r="Y258" s="138">
        <f>IF('1.DATOS-PROD'!AH259="SI",VLOOKUP('1.DATOS-PROD'!AH$2,'1.PUNTOS'!$A$1:$B$63,2,0),0)</f>
        <v>0</v>
      </c>
      <c r="Z258" s="138">
        <f>IF('1.DATOS-PROD'!AI259="SI",VLOOKUP('1.DATOS-PROD'!AI$2,'1.PUNTOS'!$A$1:$B$63,2,0),0)</f>
        <v>0</v>
      </c>
      <c r="AA258" s="138">
        <f>IF('1.DATOS-PROD'!AJ259="SI",VLOOKUP('1.DATOS-PROD'!AJ$2,'1.PUNTOS'!$A$1:$B$63,2,0),0)</f>
        <v>0</v>
      </c>
      <c r="AB258" s="138">
        <f>IF('1.DATOS-PROD'!AK259="SI",VLOOKUP('1.DATOS-PROD'!AK$2,'1.PUNTOS'!$A$1:$B$63,2,0),0)</f>
        <v>0</v>
      </c>
      <c r="AC258" s="138">
        <f>IF('1.DATOS-PROD'!AL259="SI",VLOOKUP('1.DATOS-PROD'!AL$2,'1.PUNTOS'!$A$1:$B$63,2,0),0)</f>
        <v>0</v>
      </c>
      <c r="AD258" s="138">
        <f>IF('1.DATOS-PROD'!AM259="SI",VLOOKUP('1.DATOS-PROD'!AM$2,'1.PUNTOS'!$A$1:$B$63,2,0),0)</f>
        <v>0</v>
      </c>
      <c r="AE258" s="138">
        <f>IF('1.DATOS-PROD'!AN259="SI",VLOOKUP('1.DATOS-PROD'!AN$2,'1.PUNTOS'!$A$1:$B$63,2,0),0)</f>
        <v>0</v>
      </c>
      <c r="AF258" s="138">
        <f>IF('1.DATOS-PROD'!AO259="SI",VLOOKUP('1.DATOS-PROD'!AO$2,'1.PUNTOS'!$A$1:$B$63,2,0),0)</f>
        <v>0</v>
      </c>
      <c r="AG258" s="138">
        <f>IF('1.DATOS-PROD'!AP259="SI",VLOOKUP('1.DATOS-PROD'!AP$2,'1.PUNTOS'!$A$1:$B$63,2,0),0)</f>
        <v>0</v>
      </c>
      <c r="AH258" s="138">
        <f>IF('1.DATOS-PROD'!AQ259="SI",VLOOKUP('1.DATOS-PROD'!AQ$2,'1.PUNTOS'!$A$1:$B$63,2,0),0)</f>
        <v>0</v>
      </c>
      <c r="AI258" s="138">
        <f>IF('1.DATOS-PROD'!AR259="SI",VLOOKUP('1.DATOS-PROD'!AR$2,'1.PUNTOS'!$A$1:$B$63,2,0),0)</f>
        <v>0</v>
      </c>
      <c r="AJ258" s="138">
        <f>IF('1.DATOS-PROD'!AS259="SI",VLOOKUP('1.DATOS-PROD'!AS$2,'1.PUNTOS'!$A$1:$B$63,2,0),0)</f>
        <v>0</v>
      </c>
      <c r="AK258" s="138">
        <f>IF('1.DATOS-PROD'!AT259="SI",VLOOKUP('1.DATOS-PROD'!AT$2,'1.PUNTOS'!$A$1:$B$63,2,0),0)</f>
        <v>0</v>
      </c>
      <c r="AL258" s="138">
        <f>IF('1.DATOS-PROD'!AU259="SI",VLOOKUP('1.DATOS-PROD'!AU$2,'1.PUNTOS'!$A$1:$B$63,2,0),0)</f>
        <v>0</v>
      </c>
      <c r="AM258" s="138">
        <f>IF('1.DATOS-PROD'!AV259="SI",VLOOKUP('1.DATOS-PROD'!AV$2,'1.PUNTOS'!$A$1:$B$63,2,0),0)</f>
        <v>0</v>
      </c>
      <c r="AN258" s="138">
        <f>IF('1.DATOS-PROD'!AW259="SI",VLOOKUP('1.DATOS-PROD'!AW$2,'1.PUNTOS'!$A$1:$B$63,2,0),0)</f>
        <v>0</v>
      </c>
      <c r="AO258" s="138">
        <f>IF('1.DATOS-PROD'!AX259="SI",VLOOKUP('1.DATOS-PROD'!AX$2,'1.PUNTOS'!$A$1:$B$63,2,0),0)</f>
        <v>0</v>
      </c>
      <c r="AP258" s="138">
        <f>IF('1.DATOS-PROD'!AY259="SI",VLOOKUP('1.DATOS-PROD'!AY$2,'1.PUNTOS'!$A$1:$B$63,2,0),0)</f>
        <v>0</v>
      </c>
      <c r="AQ258" s="138">
        <f>IF('1.DATOS-PROD'!AZ259="SI",VLOOKUP('1.DATOS-PROD'!AZ$2,'1.PUNTOS'!$A$1:$B$63,2,0),0)</f>
        <v>0</v>
      </c>
      <c r="AR258" s="138">
        <f>IF('1.DATOS-PROD'!BA259="SI",VLOOKUP('1.DATOS-PROD'!BA$2,'1.PUNTOS'!$A$1:$B$63,2,0),0)</f>
        <v>0</v>
      </c>
      <c r="AS258" s="138">
        <f>IF('1.DATOS-PROD'!BB259="SI",VLOOKUP('1.DATOS-PROD'!BB$2,'1.PUNTOS'!$A$1:$B$63,2,0),0)</f>
        <v>0</v>
      </c>
      <c r="AT258" s="138">
        <f>IF('1.DATOS-PROD'!BC259="SI",VLOOKUP('1.DATOS-PROD'!BC$2,'1.PUNTOS'!$A$1:$B$63,2,0),0)</f>
        <v>0</v>
      </c>
      <c r="AU258" s="138">
        <f>IF('1.DATOS-PROD'!BD259="SI",VLOOKUP('1.DATOS-PROD'!BD$2,'1.PUNTOS'!$A$1:$B$63,2,0),0)</f>
        <v>0</v>
      </c>
      <c r="AV258" s="138">
        <f>IF('1.DATOS-PROD'!BE259="SI",VLOOKUP('1.DATOS-PROD'!BE$2,'1.PUNTOS'!$A$1:$B$63,2,0),0)</f>
        <v>0</v>
      </c>
      <c r="AW258" s="138">
        <f>IF('1.DATOS-PROD'!BF259="SI",VLOOKUP('1.DATOS-PROD'!BF$2,'1.PUNTOS'!$A$1:$B$63,2,0),0)</f>
        <v>0</v>
      </c>
      <c r="AX258" s="138">
        <f>IF('1.DATOS-PROD'!BG259="SI",VLOOKUP('1.DATOS-PROD'!BG$2,'1.PUNTOS'!$A$1:$B$63,2,0),0)</f>
        <v>0</v>
      </c>
      <c r="AY258" s="138">
        <f>IF('1.DATOS-PROD'!BH259="SI",VLOOKUP('1.DATOS-PROD'!BH$2,'1.PUNTOS'!$A$1:$B$63,2,0),0)</f>
        <v>0</v>
      </c>
      <c r="AZ258" s="138">
        <f>IF('1.DATOS-PROD'!BI259="SI",VLOOKUP('1.DATOS-PROD'!BI$2,'1.PUNTOS'!$A$1:$B$63,2,0),0)</f>
        <v>0</v>
      </c>
      <c r="BA258" s="138">
        <f>IF('1.DATOS-PROD'!BJ259="SI",VLOOKUP('1.DATOS-PROD'!BJ$2,'1.PUNTOS'!$A$1:$B$63,2,0),0)</f>
        <v>0</v>
      </c>
      <c r="BB258" s="138">
        <f>IF('1.DATOS-PROD'!BK259="SI",VLOOKUP('1.DATOS-PROD'!BK$2,'1.PUNTOS'!$A$1:$B$63,2,0),0)</f>
        <v>0</v>
      </c>
      <c r="BC258" s="138">
        <f>IF('1.DATOS-PROD'!BL259="SI",VLOOKUP('1.DATOS-PROD'!BL$2,'1.PUNTOS'!$A$1:$B$63,2,0),0)</f>
        <v>0</v>
      </c>
      <c r="BD258" s="138">
        <f>IF('1.DATOS-PROD'!BM259="SI",VLOOKUP('1.DATOS-PROD'!BM$2,'1.PUNTOS'!$A$1:$B$63,2,0),0)</f>
        <v>0</v>
      </c>
      <c r="BE258" s="138">
        <f>IF('1.DATOS-PROD'!BN259="SI",VLOOKUP('1.DATOS-PROD'!BN$2,'1.PUNTOS'!$A$1:$B$63,2,0),0)</f>
        <v>0</v>
      </c>
      <c r="BF258" s="138">
        <f>IF('1.DATOS-PROD'!BO259="SI",VLOOKUP('1.DATOS-PROD'!BO$2,'1.PUNTOS'!$A$1:$B$63,2,0),0)</f>
        <v>0</v>
      </c>
      <c r="BG258" s="138">
        <f>IF('1.DATOS-PROD'!BP259="SI",VLOOKUP('1.DATOS-PROD'!BP$2,'1.PUNTOS'!$A$1:$B$63,2,0),0)</f>
        <v>0</v>
      </c>
      <c r="BH258" s="138">
        <f>IF('1.DATOS-PROD'!BQ259="SI",VLOOKUP('1.DATOS-PROD'!BQ$2,'1.PUNTOS'!$A$1:$B$63,2,0),0)</f>
        <v>0</v>
      </c>
      <c r="BI258" s="138">
        <f>IF('1.DATOS-PROD'!BR259="SI",VLOOKUP('1.DATOS-PROD'!BR$2,'1.PUNTOS'!$A$1:$B$63,2,0),0)</f>
        <v>0</v>
      </c>
      <c r="BJ258" s="138">
        <f>IF('1.DATOS-PROD'!BS259="SI",VLOOKUP('1.DATOS-PROD'!BS$2,'1.PUNTOS'!$A$1:$B$63,2,0),0)</f>
        <v>0</v>
      </c>
      <c r="BK258" s="138">
        <f>IF('1.DATOS-PROD'!BT259="SI",VLOOKUP('1.DATOS-PROD'!BT$2,'1.PUNTOS'!$A$1:$B$63,2,0),0)</f>
        <v>0</v>
      </c>
    </row>
    <row r="259" spans="1:63" x14ac:dyDescent="0.25">
      <c r="A259">
        <f>'0.Consolidado general'!$A260</f>
        <v>0</v>
      </c>
      <c r="B259" s="138">
        <f>IF('1.DATOS-PROD'!K260="SI",VLOOKUP('1.DATOS-PROD'!K$2,'1.PUNTOS'!$A$1:$B$63,2,0),0)</f>
        <v>0</v>
      </c>
      <c r="C259" s="138">
        <f>IF('1.DATOS-PROD'!L260="SI",VLOOKUP('1.DATOS-PROD'!L$2,'1.PUNTOS'!$A$1:$B$63,2,0),0)</f>
        <v>0</v>
      </c>
      <c r="D259" s="138">
        <f>IF('1.DATOS-PROD'!M260="SI",VLOOKUP('1.DATOS-PROD'!M$2,'1.PUNTOS'!$A$1:$B$63,2,0),0)</f>
        <v>0</v>
      </c>
      <c r="E259" s="138">
        <f>IF('1.DATOS-PROD'!N260="SI",VLOOKUP('1.DATOS-PROD'!N$2,'1.PUNTOS'!$A$1:$B$63,2,0),0)</f>
        <v>0</v>
      </c>
      <c r="F259" s="138">
        <f>IF('1.DATOS-PROD'!O260="SI",VLOOKUP('1.DATOS-PROD'!O$2,'1.PUNTOS'!$A$1:$B$63,2,0),0)</f>
        <v>0</v>
      </c>
      <c r="G259" s="138">
        <f>IF('1.DATOS-PROD'!P260="SI",VLOOKUP('1.DATOS-PROD'!P$2,'1.PUNTOS'!$A$1:$B$63,2,0),0)</f>
        <v>0</v>
      </c>
      <c r="H259" s="138">
        <f>IF('1.DATOS-PROD'!Q260="SI",VLOOKUP('1.DATOS-PROD'!Q$2,'1.PUNTOS'!$A$1:$B$63,2,0),0)</f>
        <v>0</v>
      </c>
      <c r="I259" s="138">
        <f>IF('1.DATOS-PROD'!R260="SI",VLOOKUP('1.DATOS-PROD'!R$2,'1.PUNTOS'!$A$1:$B$63,2,0),0)</f>
        <v>0</v>
      </c>
      <c r="J259" s="138">
        <f>IF('1.DATOS-PROD'!S260="SI",VLOOKUP('1.DATOS-PROD'!S$2,'1.PUNTOS'!$A$1:$B$63,2,0),0)</f>
        <v>0</v>
      </c>
      <c r="K259" s="138">
        <f>IF('1.DATOS-PROD'!T260="SI",VLOOKUP('1.DATOS-PROD'!T$2,'1.PUNTOS'!$A$1:$B$63,2,0),0)</f>
        <v>0</v>
      </c>
      <c r="L259" s="138">
        <f>IF('1.DATOS-PROD'!U260="SI",VLOOKUP('1.DATOS-PROD'!U$2,'1.PUNTOS'!$A$1:$B$63,2,0),0)</f>
        <v>0</v>
      </c>
      <c r="M259" s="138">
        <f>IF('1.DATOS-PROD'!V260="SI",VLOOKUP('1.DATOS-PROD'!V$2,'1.PUNTOS'!$A$1:$B$63,2,0),0)</f>
        <v>0</v>
      </c>
      <c r="N259" s="138">
        <f>IF('1.DATOS-PROD'!W260="SI",VLOOKUP('1.DATOS-PROD'!W$2,'1.PUNTOS'!$A$1:$B$63,2,0),0)</f>
        <v>0</v>
      </c>
      <c r="O259" s="138">
        <f>IF('1.DATOS-PROD'!X260="SI",VLOOKUP('1.DATOS-PROD'!X$2,'1.PUNTOS'!$A$1:$B$63,2,0),0)</f>
        <v>0</v>
      </c>
      <c r="P259" s="138">
        <f>IF('1.DATOS-PROD'!Y260="SI",VLOOKUP('1.DATOS-PROD'!Y$2,'1.PUNTOS'!$A$1:$B$63,2,0),0)</f>
        <v>0</v>
      </c>
      <c r="Q259" s="138">
        <f>IF('1.DATOS-PROD'!Z260="SI",VLOOKUP('1.DATOS-PROD'!Z$2,'1.PUNTOS'!$A$1:$B$63,2,0),0)</f>
        <v>0</v>
      </c>
      <c r="R259" s="138">
        <f>IF('1.DATOS-PROD'!AA260="SI",VLOOKUP('1.DATOS-PROD'!AA$2,'1.PUNTOS'!$A$1:$B$63,2,0),0)</f>
        <v>0</v>
      </c>
      <c r="S259" s="138">
        <f>IF('1.DATOS-PROD'!AB260="SI",VLOOKUP('1.DATOS-PROD'!AB$2,'1.PUNTOS'!$A$1:$B$63,2,0),0)</f>
        <v>0</v>
      </c>
      <c r="T259" s="138">
        <f>IF('1.DATOS-PROD'!AC260="SI",VLOOKUP('1.DATOS-PROD'!AC$2,'1.PUNTOS'!$A$1:$B$63,2,0),0)</f>
        <v>0</v>
      </c>
      <c r="U259" s="138">
        <f>IF('1.DATOS-PROD'!AD260="SI",VLOOKUP('1.DATOS-PROD'!AD$2,'1.PUNTOS'!$A$1:$B$63,2,0),0)</f>
        <v>0</v>
      </c>
      <c r="V259" s="138">
        <f>IF('1.DATOS-PROD'!AE260="SI",VLOOKUP('1.DATOS-PROD'!AE$2,'1.PUNTOS'!$A$1:$B$63,2,0),0)</f>
        <v>0</v>
      </c>
      <c r="W259" s="138">
        <f>IF('1.DATOS-PROD'!AF260="SI",VLOOKUP('1.DATOS-PROD'!AF$2,'1.PUNTOS'!$A$1:$B$63,2,0),0)</f>
        <v>0</v>
      </c>
      <c r="X259" s="138">
        <f>IF('1.DATOS-PROD'!AG260="SI",VLOOKUP('1.DATOS-PROD'!AG$2,'1.PUNTOS'!$A$1:$B$63,2,0),0)</f>
        <v>0</v>
      </c>
      <c r="Y259" s="138">
        <f>IF('1.DATOS-PROD'!AH260="SI",VLOOKUP('1.DATOS-PROD'!AH$2,'1.PUNTOS'!$A$1:$B$63,2,0),0)</f>
        <v>0</v>
      </c>
      <c r="Z259" s="138">
        <f>IF('1.DATOS-PROD'!AI260="SI",VLOOKUP('1.DATOS-PROD'!AI$2,'1.PUNTOS'!$A$1:$B$63,2,0),0)</f>
        <v>0</v>
      </c>
      <c r="AA259" s="138">
        <f>IF('1.DATOS-PROD'!AJ260="SI",VLOOKUP('1.DATOS-PROD'!AJ$2,'1.PUNTOS'!$A$1:$B$63,2,0),0)</f>
        <v>0</v>
      </c>
      <c r="AB259" s="138">
        <f>IF('1.DATOS-PROD'!AK260="SI",VLOOKUP('1.DATOS-PROD'!AK$2,'1.PUNTOS'!$A$1:$B$63,2,0),0)</f>
        <v>0</v>
      </c>
      <c r="AC259" s="138">
        <f>IF('1.DATOS-PROD'!AL260="SI",VLOOKUP('1.DATOS-PROD'!AL$2,'1.PUNTOS'!$A$1:$B$63,2,0),0)</f>
        <v>0</v>
      </c>
      <c r="AD259" s="138">
        <f>IF('1.DATOS-PROD'!AM260="SI",VLOOKUP('1.DATOS-PROD'!AM$2,'1.PUNTOS'!$A$1:$B$63,2,0),0)</f>
        <v>0</v>
      </c>
      <c r="AE259" s="138">
        <f>IF('1.DATOS-PROD'!AN260="SI",VLOOKUP('1.DATOS-PROD'!AN$2,'1.PUNTOS'!$A$1:$B$63,2,0),0)</f>
        <v>0</v>
      </c>
      <c r="AF259" s="138">
        <f>IF('1.DATOS-PROD'!AO260="SI",VLOOKUP('1.DATOS-PROD'!AO$2,'1.PUNTOS'!$A$1:$B$63,2,0),0)</f>
        <v>0</v>
      </c>
      <c r="AG259" s="138">
        <f>IF('1.DATOS-PROD'!AP260="SI",VLOOKUP('1.DATOS-PROD'!AP$2,'1.PUNTOS'!$A$1:$B$63,2,0),0)</f>
        <v>0</v>
      </c>
      <c r="AH259" s="138">
        <f>IF('1.DATOS-PROD'!AQ260="SI",VLOOKUP('1.DATOS-PROD'!AQ$2,'1.PUNTOS'!$A$1:$B$63,2,0),0)</f>
        <v>0</v>
      </c>
      <c r="AI259" s="138">
        <f>IF('1.DATOS-PROD'!AR260="SI",VLOOKUP('1.DATOS-PROD'!AR$2,'1.PUNTOS'!$A$1:$B$63,2,0),0)</f>
        <v>0</v>
      </c>
      <c r="AJ259" s="138">
        <f>IF('1.DATOS-PROD'!AS260="SI",VLOOKUP('1.DATOS-PROD'!AS$2,'1.PUNTOS'!$A$1:$B$63,2,0),0)</f>
        <v>0</v>
      </c>
      <c r="AK259" s="138">
        <f>IF('1.DATOS-PROD'!AT260="SI",VLOOKUP('1.DATOS-PROD'!AT$2,'1.PUNTOS'!$A$1:$B$63,2,0),0)</f>
        <v>0</v>
      </c>
      <c r="AL259" s="138">
        <f>IF('1.DATOS-PROD'!AU260="SI",VLOOKUP('1.DATOS-PROD'!AU$2,'1.PUNTOS'!$A$1:$B$63,2,0),0)</f>
        <v>0</v>
      </c>
      <c r="AM259" s="138">
        <f>IF('1.DATOS-PROD'!AV260="SI",VLOOKUP('1.DATOS-PROD'!AV$2,'1.PUNTOS'!$A$1:$B$63,2,0),0)</f>
        <v>0</v>
      </c>
      <c r="AN259" s="138">
        <f>IF('1.DATOS-PROD'!AW260="SI",VLOOKUP('1.DATOS-PROD'!AW$2,'1.PUNTOS'!$A$1:$B$63,2,0),0)</f>
        <v>0</v>
      </c>
      <c r="AO259" s="138">
        <f>IF('1.DATOS-PROD'!AX260="SI",VLOOKUP('1.DATOS-PROD'!AX$2,'1.PUNTOS'!$A$1:$B$63,2,0),0)</f>
        <v>0</v>
      </c>
      <c r="AP259" s="138">
        <f>IF('1.DATOS-PROD'!AY260="SI",VLOOKUP('1.DATOS-PROD'!AY$2,'1.PUNTOS'!$A$1:$B$63,2,0),0)</f>
        <v>0</v>
      </c>
      <c r="AQ259" s="138">
        <f>IF('1.DATOS-PROD'!AZ260="SI",VLOOKUP('1.DATOS-PROD'!AZ$2,'1.PUNTOS'!$A$1:$B$63,2,0),0)</f>
        <v>0</v>
      </c>
      <c r="AR259" s="138">
        <f>IF('1.DATOS-PROD'!BA260="SI",VLOOKUP('1.DATOS-PROD'!BA$2,'1.PUNTOS'!$A$1:$B$63,2,0),0)</f>
        <v>0</v>
      </c>
      <c r="AS259" s="138">
        <f>IF('1.DATOS-PROD'!BB260="SI",VLOOKUP('1.DATOS-PROD'!BB$2,'1.PUNTOS'!$A$1:$B$63,2,0),0)</f>
        <v>0</v>
      </c>
      <c r="AT259" s="138">
        <f>IF('1.DATOS-PROD'!BC260="SI",VLOOKUP('1.DATOS-PROD'!BC$2,'1.PUNTOS'!$A$1:$B$63,2,0),0)</f>
        <v>0</v>
      </c>
      <c r="AU259" s="138">
        <f>IF('1.DATOS-PROD'!BD260="SI",VLOOKUP('1.DATOS-PROD'!BD$2,'1.PUNTOS'!$A$1:$B$63,2,0),0)</f>
        <v>0</v>
      </c>
      <c r="AV259" s="138">
        <f>IF('1.DATOS-PROD'!BE260="SI",VLOOKUP('1.DATOS-PROD'!BE$2,'1.PUNTOS'!$A$1:$B$63,2,0),0)</f>
        <v>0</v>
      </c>
      <c r="AW259" s="138">
        <f>IF('1.DATOS-PROD'!BF260="SI",VLOOKUP('1.DATOS-PROD'!BF$2,'1.PUNTOS'!$A$1:$B$63,2,0),0)</f>
        <v>0</v>
      </c>
      <c r="AX259" s="138">
        <f>IF('1.DATOS-PROD'!BG260="SI",VLOOKUP('1.DATOS-PROD'!BG$2,'1.PUNTOS'!$A$1:$B$63,2,0),0)</f>
        <v>0</v>
      </c>
      <c r="AY259" s="138">
        <f>IF('1.DATOS-PROD'!BH260="SI",VLOOKUP('1.DATOS-PROD'!BH$2,'1.PUNTOS'!$A$1:$B$63,2,0),0)</f>
        <v>0</v>
      </c>
      <c r="AZ259" s="138">
        <f>IF('1.DATOS-PROD'!BI260="SI",VLOOKUP('1.DATOS-PROD'!BI$2,'1.PUNTOS'!$A$1:$B$63,2,0),0)</f>
        <v>0</v>
      </c>
      <c r="BA259" s="138">
        <f>IF('1.DATOS-PROD'!BJ260="SI",VLOOKUP('1.DATOS-PROD'!BJ$2,'1.PUNTOS'!$A$1:$B$63,2,0),0)</f>
        <v>0</v>
      </c>
      <c r="BB259" s="138">
        <f>IF('1.DATOS-PROD'!BK260="SI",VLOOKUP('1.DATOS-PROD'!BK$2,'1.PUNTOS'!$A$1:$B$63,2,0),0)</f>
        <v>0</v>
      </c>
      <c r="BC259" s="138">
        <f>IF('1.DATOS-PROD'!BL260="SI",VLOOKUP('1.DATOS-PROD'!BL$2,'1.PUNTOS'!$A$1:$B$63,2,0),0)</f>
        <v>0</v>
      </c>
      <c r="BD259" s="138">
        <f>IF('1.DATOS-PROD'!BM260="SI",VLOOKUP('1.DATOS-PROD'!BM$2,'1.PUNTOS'!$A$1:$B$63,2,0),0)</f>
        <v>0</v>
      </c>
      <c r="BE259" s="138">
        <f>IF('1.DATOS-PROD'!BN260="SI",VLOOKUP('1.DATOS-PROD'!BN$2,'1.PUNTOS'!$A$1:$B$63,2,0),0)</f>
        <v>0</v>
      </c>
      <c r="BF259" s="138">
        <f>IF('1.DATOS-PROD'!BO260="SI",VLOOKUP('1.DATOS-PROD'!BO$2,'1.PUNTOS'!$A$1:$B$63,2,0),0)</f>
        <v>0</v>
      </c>
      <c r="BG259" s="138">
        <f>IF('1.DATOS-PROD'!BP260="SI",VLOOKUP('1.DATOS-PROD'!BP$2,'1.PUNTOS'!$A$1:$B$63,2,0),0)</f>
        <v>0</v>
      </c>
      <c r="BH259" s="138">
        <f>IF('1.DATOS-PROD'!BQ260="SI",VLOOKUP('1.DATOS-PROD'!BQ$2,'1.PUNTOS'!$A$1:$B$63,2,0),0)</f>
        <v>0</v>
      </c>
      <c r="BI259" s="138">
        <f>IF('1.DATOS-PROD'!BR260="SI",VLOOKUP('1.DATOS-PROD'!BR$2,'1.PUNTOS'!$A$1:$B$63,2,0),0)</f>
        <v>0</v>
      </c>
      <c r="BJ259" s="138">
        <f>IF('1.DATOS-PROD'!BS260="SI",VLOOKUP('1.DATOS-PROD'!BS$2,'1.PUNTOS'!$A$1:$B$63,2,0),0)</f>
        <v>0</v>
      </c>
      <c r="BK259" s="138">
        <f>IF('1.DATOS-PROD'!BT260="SI",VLOOKUP('1.DATOS-PROD'!BT$2,'1.PUNTOS'!$A$1:$B$63,2,0),0)</f>
        <v>0</v>
      </c>
    </row>
    <row r="260" spans="1:63" x14ac:dyDescent="0.25">
      <c r="A260">
        <f>'0.Consolidado general'!$A261</f>
        <v>0</v>
      </c>
      <c r="B260" s="138">
        <f>IF('1.DATOS-PROD'!K261="SI",VLOOKUP('1.DATOS-PROD'!K$2,'1.PUNTOS'!$A$1:$B$63,2,0),0)</f>
        <v>0</v>
      </c>
      <c r="C260" s="138">
        <f>IF('1.DATOS-PROD'!L261="SI",VLOOKUP('1.DATOS-PROD'!L$2,'1.PUNTOS'!$A$1:$B$63,2,0),0)</f>
        <v>0</v>
      </c>
      <c r="D260" s="138">
        <f>IF('1.DATOS-PROD'!M261="SI",VLOOKUP('1.DATOS-PROD'!M$2,'1.PUNTOS'!$A$1:$B$63,2,0),0)</f>
        <v>0</v>
      </c>
      <c r="E260" s="138">
        <f>IF('1.DATOS-PROD'!N261="SI",VLOOKUP('1.DATOS-PROD'!N$2,'1.PUNTOS'!$A$1:$B$63,2,0),0)</f>
        <v>0</v>
      </c>
      <c r="F260" s="138">
        <f>IF('1.DATOS-PROD'!O261="SI",VLOOKUP('1.DATOS-PROD'!O$2,'1.PUNTOS'!$A$1:$B$63,2,0),0)</f>
        <v>0</v>
      </c>
      <c r="G260" s="138">
        <f>IF('1.DATOS-PROD'!P261="SI",VLOOKUP('1.DATOS-PROD'!P$2,'1.PUNTOS'!$A$1:$B$63,2,0),0)</f>
        <v>0</v>
      </c>
      <c r="H260" s="138">
        <f>IF('1.DATOS-PROD'!Q261="SI",VLOOKUP('1.DATOS-PROD'!Q$2,'1.PUNTOS'!$A$1:$B$63,2,0),0)</f>
        <v>0</v>
      </c>
      <c r="I260" s="138">
        <f>IF('1.DATOS-PROD'!R261="SI",VLOOKUP('1.DATOS-PROD'!R$2,'1.PUNTOS'!$A$1:$B$63,2,0),0)</f>
        <v>0</v>
      </c>
      <c r="J260" s="138">
        <f>IF('1.DATOS-PROD'!S261="SI",VLOOKUP('1.DATOS-PROD'!S$2,'1.PUNTOS'!$A$1:$B$63,2,0),0)</f>
        <v>0</v>
      </c>
      <c r="K260" s="138">
        <f>IF('1.DATOS-PROD'!T261="SI",VLOOKUP('1.DATOS-PROD'!T$2,'1.PUNTOS'!$A$1:$B$63,2,0),0)</f>
        <v>0</v>
      </c>
      <c r="L260" s="138">
        <f>IF('1.DATOS-PROD'!U261="SI",VLOOKUP('1.DATOS-PROD'!U$2,'1.PUNTOS'!$A$1:$B$63,2,0),0)</f>
        <v>0</v>
      </c>
      <c r="M260" s="138">
        <f>IF('1.DATOS-PROD'!V261="SI",VLOOKUP('1.DATOS-PROD'!V$2,'1.PUNTOS'!$A$1:$B$63,2,0),0)</f>
        <v>0</v>
      </c>
      <c r="N260" s="138">
        <f>IF('1.DATOS-PROD'!W261="SI",VLOOKUP('1.DATOS-PROD'!W$2,'1.PUNTOS'!$A$1:$B$63,2,0),0)</f>
        <v>0</v>
      </c>
      <c r="O260" s="138">
        <f>IF('1.DATOS-PROD'!X261="SI",VLOOKUP('1.DATOS-PROD'!X$2,'1.PUNTOS'!$A$1:$B$63,2,0),0)</f>
        <v>0</v>
      </c>
      <c r="P260" s="138">
        <f>IF('1.DATOS-PROD'!Y261="SI",VLOOKUP('1.DATOS-PROD'!Y$2,'1.PUNTOS'!$A$1:$B$63,2,0),0)</f>
        <v>0</v>
      </c>
      <c r="Q260" s="138">
        <f>IF('1.DATOS-PROD'!Z261="SI",VLOOKUP('1.DATOS-PROD'!Z$2,'1.PUNTOS'!$A$1:$B$63,2,0),0)</f>
        <v>0</v>
      </c>
      <c r="R260" s="138">
        <f>IF('1.DATOS-PROD'!AA261="SI",VLOOKUP('1.DATOS-PROD'!AA$2,'1.PUNTOS'!$A$1:$B$63,2,0),0)</f>
        <v>0</v>
      </c>
      <c r="S260" s="138">
        <f>IF('1.DATOS-PROD'!AB261="SI",VLOOKUP('1.DATOS-PROD'!AB$2,'1.PUNTOS'!$A$1:$B$63,2,0),0)</f>
        <v>0</v>
      </c>
      <c r="T260" s="138">
        <f>IF('1.DATOS-PROD'!AC261="SI",VLOOKUP('1.DATOS-PROD'!AC$2,'1.PUNTOS'!$A$1:$B$63,2,0),0)</f>
        <v>0</v>
      </c>
      <c r="U260" s="138">
        <f>IF('1.DATOS-PROD'!AD261="SI",VLOOKUP('1.DATOS-PROD'!AD$2,'1.PUNTOS'!$A$1:$B$63,2,0),0)</f>
        <v>0</v>
      </c>
      <c r="V260" s="138">
        <f>IF('1.DATOS-PROD'!AE261="SI",VLOOKUP('1.DATOS-PROD'!AE$2,'1.PUNTOS'!$A$1:$B$63,2,0),0)</f>
        <v>0</v>
      </c>
      <c r="W260" s="138">
        <f>IF('1.DATOS-PROD'!AF261="SI",VLOOKUP('1.DATOS-PROD'!AF$2,'1.PUNTOS'!$A$1:$B$63,2,0),0)</f>
        <v>0</v>
      </c>
      <c r="X260" s="138">
        <f>IF('1.DATOS-PROD'!AG261="SI",VLOOKUP('1.DATOS-PROD'!AG$2,'1.PUNTOS'!$A$1:$B$63,2,0),0)</f>
        <v>0</v>
      </c>
      <c r="Y260" s="138">
        <f>IF('1.DATOS-PROD'!AH261="SI",VLOOKUP('1.DATOS-PROD'!AH$2,'1.PUNTOS'!$A$1:$B$63,2,0),0)</f>
        <v>0</v>
      </c>
      <c r="Z260" s="138">
        <f>IF('1.DATOS-PROD'!AI261="SI",VLOOKUP('1.DATOS-PROD'!AI$2,'1.PUNTOS'!$A$1:$B$63,2,0),0)</f>
        <v>0</v>
      </c>
      <c r="AA260" s="138">
        <f>IF('1.DATOS-PROD'!AJ261="SI",VLOOKUP('1.DATOS-PROD'!AJ$2,'1.PUNTOS'!$A$1:$B$63,2,0),0)</f>
        <v>0</v>
      </c>
      <c r="AB260" s="138">
        <f>IF('1.DATOS-PROD'!AK261="SI",VLOOKUP('1.DATOS-PROD'!AK$2,'1.PUNTOS'!$A$1:$B$63,2,0),0)</f>
        <v>0</v>
      </c>
      <c r="AC260" s="138">
        <f>IF('1.DATOS-PROD'!AL261="SI",VLOOKUP('1.DATOS-PROD'!AL$2,'1.PUNTOS'!$A$1:$B$63,2,0),0)</f>
        <v>0</v>
      </c>
      <c r="AD260" s="138">
        <f>IF('1.DATOS-PROD'!AM261="SI",VLOOKUP('1.DATOS-PROD'!AM$2,'1.PUNTOS'!$A$1:$B$63,2,0),0)</f>
        <v>0</v>
      </c>
      <c r="AE260" s="138">
        <f>IF('1.DATOS-PROD'!AN261="SI",VLOOKUP('1.DATOS-PROD'!AN$2,'1.PUNTOS'!$A$1:$B$63,2,0),0)</f>
        <v>0</v>
      </c>
      <c r="AF260" s="138">
        <f>IF('1.DATOS-PROD'!AO261="SI",VLOOKUP('1.DATOS-PROD'!AO$2,'1.PUNTOS'!$A$1:$B$63,2,0),0)</f>
        <v>0</v>
      </c>
      <c r="AG260" s="138">
        <f>IF('1.DATOS-PROD'!AP261="SI",VLOOKUP('1.DATOS-PROD'!AP$2,'1.PUNTOS'!$A$1:$B$63,2,0),0)</f>
        <v>0</v>
      </c>
      <c r="AH260" s="138">
        <f>IF('1.DATOS-PROD'!AQ261="SI",VLOOKUP('1.DATOS-PROD'!AQ$2,'1.PUNTOS'!$A$1:$B$63,2,0),0)</f>
        <v>0</v>
      </c>
      <c r="AI260" s="138">
        <f>IF('1.DATOS-PROD'!AR261="SI",VLOOKUP('1.DATOS-PROD'!AR$2,'1.PUNTOS'!$A$1:$B$63,2,0),0)</f>
        <v>0</v>
      </c>
      <c r="AJ260" s="138">
        <f>IF('1.DATOS-PROD'!AS261="SI",VLOOKUP('1.DATOS-PROD'!AS$2,'1.PUNTOS'!$A$1:$B$63,2,0),0)</f>
        <v>0</v>
      </c>
      <c r="AK260" s="138">
        <f>IF('1.DATOS-PROD'!AT261="SI",VLOOKUP('1.DATOS-PROD'!AT$2,'1.PUNTOS'!$A$1:$B$63,2,0),0)</f>
        <v>0</v>
      </c>
      <c r="AL260" s="138">
        <f>IF('1.DATOS-PROD'!AU261="SI",VLOOKUP('1.DATOS-PROD'!AU$2,'1.PUNTOS'!$A$1:$B$63,2,0),0)</f>
        <v>0</v>
      </c>
      <c r="AM260" s="138">
        <f>IF('1.DATOS-PROD'!AV261="SI",VLOOKUP('1.DATOS-PROD'!AV$2,'1.PUNTOS'!$A$1:$B$63,2,0),0)</f>
        <v>0</v>
      </c>
      <c r="AN260" s="138">
        <f>IF('1.DATOS-PROD'!AW261="SI",VLOOKUP('1.DATOS-PROD'!AW$2,'1.PUNTOS'!$A$1:$B$63,2,0),0)</f>
        <v>0</v>
      </c>
      <c r="AO260" s="138">
        <f>IF('1.DATOS-PROD'!AX261="SI",VLOOKUP('1.DATOS-PROD'!AX$2,'1.PUNTOS'!$A$1:$B$63,2,0),0)</f>
        <v>0</v>
      </c>
      <c r="AP260" s="138">
        <f>IF('1.DATOS-PROD'!AY261="SI",VLOOKUP('1.DATOS-PROD'!AY$2,'1.PUNTOS'!$A$1:$B$63,2,0),0)</f>
        <v>0</v>
      </c>
      <c r="AQ260" s="138">
        <f>IF('1.DATOS-PROD'!AZ261="SI",VLOOKUP('1.DATOS-PROD'!AZ$2,'1.PUNTOS'!$A$1:$B$63,2,0),0)</f>
        <v>0</v>
      </c>
      <c r="AR260" s="138">
        <f>IF('1.DATOS-PROD'!BA261="SI",VLOOKUP('1.DATOS-PROD'!BA$2,'1.PUNTOS'!$A$1:$B$63,2,0),0)</f>
        <v>0</v>
      </c>
      <c r="AS260" s="138">
        <f>IF('1.DATOS-PROD'!BB261="SI",VLOOKUP('1.DATOS-PROD'!BB$2,'1.PUNTOS'!$A$1:$B$63,2,0),0)</f>
        <v>0</v>
      </c>
      <c r="AT260" s="138">
        <f>IF('1.DATOS-PROD'!BC261="SI",VLOOKUP('1.DATOS-PROD'!BC$2,'1.PUNTOS'!$A$1:$B$63,2,0),0)</f>
        <v>0</v>
      </c>
      <c r="AU260" s="138">
        <f>IF('1.DATOS-PROD'!BD261="SI",VLOOKUP('1.DATOS-PROD'!BD$2,'1.PUNTOS'!$A$1:$B$63,2,0),0)</f>
        <v>0</v>
      </c>
      <c r="AV260" s="138">
        <f>IF('1.DATOS-PROD'!BE261="SI",VLOOKUP('1.DATOS-PROD'!BE$2,'1.PUNTOS'!$A$1:$B$63,2,0),0)</f>
        <v>0</v>
      </c>
      <c r="AW260" s="138">
        <f>IF('1.DATOS-PROD'!BF261="SI",VLOOKUP('1.DATOS-PROD'!BF$2,'1.PUNTOS'!$A$1:$B$63,2,0),0)</f>
        <v>0</v>
      </c>
      <c r="AX260" s="138">
        <f>IF('1.DATOS-PROD'!BG261="SI",VLOOKUP('1.DATOS-PROD'!BG$2,'1.PUNTOS'!$A$1:$B$63,2,0),0)</f>
        <v>0</v>
      </c>
      <c r="AY260" s="138">
        <f>IF('1.DATOS-PROD'!BH261="SI",VLOOKUP('1.DATOS-PROD'!BH$2,'1.PUNTOS'!$A$1:$B$63,2,0),0)</f>
        <v>0</v>
      </c>
      <c r="AZ260" s="138">
        <f>IF('1.DATOS-PROD'!BI261="SI",VLOOKUP('1.DATOS-PROD'!BI$2,'1.PUNTOS'!$A$1:$B$63,2,0),0)</f>
        <v>0</v>
      </c>
      <c r="BA260" s="138">
        <f>IF('1.DATOS-PROD'!BJ261="SI",VLOOKUP('1.DATOS-PROD'!BJ$2,'1.PUNTOS'!$A$1:$B$63,2,0),0)</f>
        <v>0</v>
      </c>
      <c r="BB260" s="138">
        <f>IF('1.DATOS-PROD'!BK261="SI",VLOOKUP('1.DATOS-PROD'!BK$2,'1.PUNTOS'!$A$1:$B$63,2,0),0)</f>
        <v>0</v>
      </c>
      <c r="BC260" s="138">
        <f>IF('1.DATOS-PROD'!BL261="SI",VLOOKUP('1.DATOS-PROD'!BL$2,'1.PUNTOS'!$A$1:$B$63,2,0),0)</f>
        <v>0</v>
      </c>
      <c r="BD260" s="138">
        <f>IF('1.DATOS-PROD'!BM261="SI",VLOOKUP('1.DATOS-PROD'!BM$2,'1.PUNTOS'!$A$1:$B$63,2,0),0)</f>
        <v>0</v>
      </c>
      <c r="BE260" s="138">
        <f>IF('1.DATOS-PROD'!BN261="SI",VLOOKUP('1.DATOS-PROD'!BN$2,'1.PUNTOS'!$A$1:$B$63,2,0),0)</f>
        <v>0</v>
      </c>
      <c r="BF260" s="138">
        <f>IF('1.DATOS-PROD'!BO261="SI",VLOOKUP('1.DATOS-PROD'!BO$2,'1.PUNTOS'!$A$1:$B$63,2,0),0)</f>
        <v>0</v>
      </c>
      <c r="BG260" s="138">
        <f>IF('1.DATOS-PROD'!BP261="SI",VLOOKUP('1.DATOS-PROD'!BP$2,'1.PUNTOS'!$A$1:$B$63,2,0),0)</f>
        <v>0</v>
      </c>
      <c r="BH260" s="138">
        <f>IF('1.DATOS-PROD'!BQ261="SI",VLOOKUP('1.DATOS-PROD'!BQ$2,'1.PUNTOS'!$A$1:$B$63,2,0),0)</f>
        <v>0</v>
      </c>
      <c r="BI260" s="138">
        <f>IF('1.DATOS-PROD'!BR261="SI",VLOOKUP('1.DATOS-PROD'!BR$2,'1.PUNTOS'!$A$1:$B$63,2,0),0)</f>
        <v>0</v>
      </c>
      <c r="BJ260" s="138">
        <f>IF('1.DATOS-PROD'!BS261="SI",VLOOKUP('1.DATOS-PROD'!BS$2,'1.PUNTOS'!$A$1:$B$63,2,0),0)</f>
        <v>0</v>
      </c>
      <c r="BK260" s="138">
        <f>IF('1.DATOS-PROD'!BT261="SI",VLOOKUP('1.DATOS-PROD'!BT$2,'1.PUNTOS'!$A$1:$B$63,2,0),0)</f>
        <v>0</v>
      </c>
    </row>
    <row r="261" spans="1:63" x14ac:dyDescent="0.25">
      <c r="A261">
        <f>'0.Consolidado general'!$A262</f>
        <v>0</v>
      </c>
      <c r="B261" s="138">
        <f>IF('1.DATOS-PROD'!K262="SI",VLOOKUP('1.DATOS-PROD'!K$2,'1.PUNTOS'!$A$1:$B$63,2,0),0)</f>
        <v>0</v>
      </c>
      <c r="C261" s="138">
        <f>IF('1.DATOS-PROD'!L262="SI",VLOOKUP('1.DATOS-PROD'!L$2,'1.PUNTOS'!$A$1:$B$63,2,0),0)</f>
        <v>0</v>
      </c>
      <c r="D261" s="138">
        <f>IF('1.DATOS-PROD'!M262="SI",VLOOKUP('1.DATOS-PROD'!M$2,'1.PUNTOS'!$A$1:$B$63,2,0),0)</f>
        <v>0</v>
      </c>
      <c r="E261" s="138">
        <f>IF('1.DATOS-PROD'!N262="SI",VLOOKUP('1.DATOS-PROD'!N$2,'1.PUNTOS'!$A$1:$B$63,2,0),0)</f>
        <v>0</v>
      </c>
      <c r="F261" s="138">
        <f>IF('1.DATOS-PROD'!O262="SI",VLOOKUP('1.DATOS-PROD'!O$2,'1.PUNTOS'!$A$1:$B$63,2,0),0)</f>
        <v>0</v>
      </c>
      <c r="G261" s="138">
        <f>IF('1.DATOS-PROD'!P262="SI",VLOOKUP('1.DATOS-PROD'!P$2,'1.PUNTOS'!$A$1:$B$63,2,0),0)</f>
        <v>0</v>
      </c>
      <c r="H261" s="138">
        <f>IF('1.DATOS-PROD'!Q262="SI",VLOOKUP('1.DATOS-PROD'!Q$2,'1.PUNTOS'!$A$1:$B$63,2,0),0)</f>
        <v>0</v>
      </c>
      <c r="I261" s="138">
        <f>IF('1.DATOS-PROD'!R262="SI",VLOOKUP('1.DATOS-PROD'!R$2,'1.PUNTOS'!$A$1:$B$63,2,0),0)</f>
        <v>0</v>
      </c>
      <c r="J261" s="138">
        <f>IF('1.DATOS-PROD'!S262="SI",VLOOKUP('1.DATOS-PROD'!S$2,'1.PUNTOS'!$A$1:$B$63,2,0),0)</f>
        <v>0</v>
      </c>
      <c r="K261" s="138">
        <f>IF('1.DATOS-PROD'!T262="SI",VLOOKUP('1.DATOS-PROD'!T$2,'1.PUNTOS'!$A$1:$B$63,2,0),0)</f>
        <v>0</v>
      </c>
      <c r="L261" s="138">
        <f>IF('1.DATOS-PROD'!U262="SI",VLOOKUP('1.DATOS-PROD'!U$2,'1.PUNTOS'!$A$1:$B$63,2,0),0)</f>
        <v>0</v>
      </c>
      <c r="M261" s="138">
        <f>IF('1.DATOS-PROD'!V262="SI",VLOOKUP('1.DATOS-PROD'!V$2,'1.PUNTOS'!$A$1:$B$63,2,0),0)</f>
        <v>0</v>
      </c>
      <c r="N261" s="138">
        <f>IF('1.DATOS-PROD'!W262="SI",VLOOKUP('1.DATOS-PROD'!W$2,'1.PUNTOS'!$A$1:$B$63,2,0),0)</f>
        <v>0</v>
      </c>
      <c r="O261" s="138">
        <f>IF('1.DATOS-PROD'!X262="SI",VLOOKUP('1.DATOS-PROD'!X$2,'1.PUNTOS'!$A$1:$B$63,2,0),0)</f>
        <v>0</v>
      </c>
      <c r="P261" s="138">
        <f>IF('1.DATOS-PROD'!Y262="SI",VLOOKUP('1.DATOS-PROD'!Y$2,'1.PUNTOS'!$A$1:$B$63,2,0),0)</f>
        <v>0</v>
      </c>
      <c r="Q261" s="138">
        <f>IF('1.DATOS-PROD'!Z262="SI",VLOOKUP('1.DATOS-PROD'!Z$2,'1.PUNTOS'!$A$1:$B$63,2,0),0)</f>
        <v>0</v>
      </c>
      <c r="R261" s="138">
        <f>IF('1.DATOS-PROD'!AA262="SI",VLOOKUP('1.DATOS-PROD'!AA$2,'1.PUNTOS'!$A$1:$B$63,2,0),0)</f>
        <v>0</v>
      </c>
      <c r="S261" s="138">
        <f>IF('1.DATOS-PROD'!AB262="SI",VLOOKUP('1.DATOS-PROD'!AB$2,'1.PUNTOS'!$A$1:$B$63,2,0),0)</f>
        <v>0</v>
      </c>
      <c r="T261" s="138">
        <f>IF('1.DATOS-PROD'!AC262="SI",VLOOKUP('1.DATOS-PROD'!AC$2,'1.PUNTOS'!$A$1:$B$63,2,0),0)</f>
        <v>0</v>
      </c>
      <c r="U261" s="138">
        <f>IF('1.DATOS-PROD'!AD262="SI",VLOOKUP('1.DATOS-PROD'!AD$2,'1.PUNTOS'!$A$1:$B$63,2,0),0)</f>
        <v>0</v>
      </c>
      <c r="V261" s="138">
        <f>IF('1.DATOS-PROD'!AE262="SI",VLOOKUP('1.DATOS-PROD'!AE$2,'1.PUNTOS'!$A$1:$B$63,2,0),0)</f>
        <v>0</v>
      </c>
      <c r="W261" s="138">
        <f>IF('1.DATOS-PROD'!AF262="SI",VLOOKUP('1.DATOS-PROD'!AF$2,'1.PUNTOS'!$A$1:$B$63,2,0),0)</f>
        <v>0</v>
      </c>
      <c r="X261" s="138">
        <f>IF('1.DATOS-PROD'!AG262="SI",VLOOKUP('1.DATOS-PROD'!AG$2,'1.PUNTOS'!$A$1:$B$63,2,0),0)</f>
        <v>0</v>
      </c>
      <c r="Y261" s="138">
        <f>IF('1.DATOS-PROD'!AH262="SI",VLOOKUP('1.DATOS-PROD'!AH$2,'1.PUNTOS'!$A$1:$B$63,2,0),0)</f>
        <v>0</v>
      </c>
      <c r="Z261" s="138">
        <f>IF('1.DATOS-PROD'!AI262="SI",VLOOKUP('1.DATOS-PROD'!AI$2,'1.PUNTOS'!$A$1:$B$63,2,0),0)</f>
        <v>0</v>
      </c>
      <c r="AA261" s="138">
        <f>IF('1.DATOS-PROD'!AJ262="SI",VLOOKUP('1.DATOS-PROD'!AJ$2,'1.PUNTOS'!$A$1:$B$63,2,0),0)</f>
        <v>0</v>
      </c>
      <c r="AB261" s="138">
        <f>IF('1.DATOS-PROD'!AK262="SI",VLOOKUP('1.DATOS-PROD'!AK$2,'1.PUNTOS'!$A$1:$B$63,2,0),0)</f>
        <v>0</v>
      </c>
      <c r="AC261" s="138">
        <f>IF('1.DATOS-PROD'!AL262="SI",VLOOKUP('1.DATOS-PROD'!AL$2,'1.PUNTOS'!$A$1:$B$63,2,0),0)</f>
        <v>0</v>
      </c>
      <c r="AD261" s="138">
        <f>IF('1.DATOS-PROD'!AM262="SI",VLOOKUP('1.DATOS-PROD'!AM$2,'1.PUNTOS'!$A$1:$B$63,2,0),0)</f>
        <v>0</v>
      </c>
      <c r="AE261" s="138">
        <f>IF('1.DATOS-PROD'!AN262="SI",VLOOKUP('1.DATOS-PROD'!AN$2,'1.PUNTOS'!$A$1:$B$63,2,0),0)</f>
        <v>0</v>
      </c>
      <c r="AF261" s="138">
        <f>IF('1.DATOS-PROD'!AO262="SI",VLOOKUP('1.DATOS-PROD'!AO$2,'1.PUNTOS'!$A$1:$B$63,2,0),0)</f>
        <v>0</v>
      </c>
      <c r="AG261" s="138">
        <f>IF('1.DATOS-PROD'!AP262="SI",VLOOKUP('1.DATOS-PROD'!AP$2,'1.PUNTOS'!$A$1:$B$63,2,0),0)</f>
        <v>0</v>
      </c>
      <c r="AH261" s="138">
        <f>IF('1.DATOS-PROD'!AQ262="SI",VLOOKUP('1.DATOS-PROD'!AQ$2,'1.PUNTOS'!$A$1:$B$63,2,0),0)</f>
        <v>0</v>
      </c>
      <c r="AI261" s="138">
        <f>IF('1.DATOS-PROD'!AR262="SI",VLOOKUP('1.DATOS-PROD'!AR$2,'1.PUNTOS'!$A$1:$B$63,2,0),0)</f>
        <v>0</v>
      </c>
      <c r="AJ261" s="138">
        <f>IF('1.DATOS-PROD'!AS262="SI",VLOOKUP('1.DATOS-PROD'!AS$2,'1.PUNTOS'!$A$1:$B$63,2,0),0)</f>
        <v>0</v>
      </c>
      <c r="AK261" s="138">
        <f>IF('1.DATOS-PROD'!AT262="SI",VLOOKUP('1.DATOS-PROD'!AT$2,'1.PUNTOS'!$A$1:$B$63,2,0),0)</f>
        <v>0</v>
      </c>
      <c r="AL261" s="138">
        <f>IF('1.DATOS-PROD'!AU262="SI",VLOOKUP('1.DATOS-PROD'!AU$2,'1.PUNTOS'!$A$1:$B$63,2,0),0)</f>
        <v>0</v>
      </c>
      <c r="AM261" s="138">
        <f>IF('1.DATOS-PROD'!AV262="SI",VLOOKUP('1.DATOS-PROD'!AV$2,'1.PUNTOS'!$A$1:$B$63,2,0),0)</f>
        <v>0</v>
      </c>
      <c r="AN261" s="138">
        <f>IF('1.DATOS-PROD'!AW262="SI",VLOOKUP('1.DATOS-PROD'!AW$2,'1.PUNTOS'!$A$1:$B$63,2,0),0)</f>
        <v>0</v>
      </c>
      <c r="AO261" s="138">
        <f>IF('1.DATOS-PROD'!AX262="SI",VLOOKUP('1.DATOS-PROD'!AX$2,'1.PUNTOS'!$A$1:$B$63,2,0),0)</f>
        <v>0</v>
      </c>
      <c r="AP261" s="138">
        <f>IF('1.DATOS-PROD'!AY262="SI",VLOOKUP('1.DATOS-PROD'!AY$2,'1.PUNTOS'!$A$1:$B$63,2,0),0)</f>
        <v>0</v>
      </c>
      <c r="AQ261" s="138">
        <f>IF('1.DATOS-PROD'!AZ262="SI",VLOOKUP('1.DATOS-PROD'!AZ$2,'1.PUNTOS'!$A$1:$B$63,2,0),0)</f>
        <v>0</v>
      </c>
      <c r="AR261" s="138">
        <f>IF('1.DATOS-PROD'!BA262="SI",VLOOKUP('1.DATOS-PROD'!BA$2,'1.PUNTOS'!$A$1:$B$63,2,0),0)</f>
        <v>0</v>
      </c>
      <c r="AS261" s="138">
        <f>IF('1.DATOS-PROD'!BB262="SI",VLOOKUP('1.DATOS-PROD'!BB$2,'1.PUNTOS'!$A$1:$B$63,2,0),0)</f>
        <v>0</v>
      </c>
      <c r="AT261" s="138">
        <f>IF('1.DATOS-PROD'!BC262="SI",VLOOKUP('1.DATOS-PROD'!BC$2,'1.PUNTOS'!$A$1:$B$63,2,0),0)</f>
        <v>0</v>
      </c>
      <c r="AU261" s="138">
        <f>IF('1.DATOS-PROD'!BD262="SI",VLOOKUP('1.DATOS-PROD'!BD$2,'1.PUNTOS'!$A$1:$B$63,2,0),0)</f>
        <v>0</v>
      </c>
      <c r="AV261" s="138">
        <f>IF('1.DATOS-PROD'!BE262="SI",VLOOKUP('1.DATOS-PROD'!BE$2,'1.PUNTOS'!$A$1:$B$63,2,0),0)</f>
        <v>0</v>
      </c>
      <c r="AW261" s="138">
        <f>IF('1.DATOS-PROD'!BF262="SI",VLOOKUP('1.DATOS-PROD'!BF$2,'1.PUNTOS'!$A$1:$B$63,2,0),0)</f>
        <v>0</v>
      </c>
      <c r="AX261" s="138">
        <f>IF('1.DATOS-PROD'!BG262="SI",VLOOKUP('1.DATOS-PROD'!BG$2,'1.PUNTOS'!$A$1:$B$63,2,0),0)</f>
        <v>0</v>
      </c>
      <c r="AY261" s="138">
        <f>IF('1.DATOS-PROD'!BH262="SI",VLOOKUP('1.DATOS-PROD'!BH$2,'1.PUNTOS'!$A$1:$B$63,2,0),0)</f>
        <v>0</v>
      </c>
      <c r="AZ261" s="138">
        <f>IF('1.DATOS-PROD'!BI262="SI",VLOOKUP('1.DATOS-PROD'!BI$2,'1.PUNTOS'!$A$1:$B$63,2,0),0)</f>
        <v>0</v>
      </c>
      <c r="BA261" s="138">
        <f>IF('1.DATOS-PROD'!BJ262="SI",VLOOKUP('1.DATOS-PROD'!BJ$2,'1.PUNTOS'!$A$1:$B$63,2,0),0)</f>
        <v>0</v>
      </c>
      <c r="BB261" s="138">
        <f>IF('1.DATOS-PROD'!BK262="SI",VLOOKUP('1.DATOS-PROD'!BK$2,'1.PUNTOS'!$A$1:$B$63,2,0),0)</f>
        <v>0</v>
      </c>
      <c r="BC261" s="138">
        <f>IF('1.DATOS-PROD'!BL262="SI",VLOOKUP('1.DATOS-PROD'!BL$2,'1.PUNTOS'!$A$1:$B$63,2,0),0)</f>
        <v>0</v>
      </c>
      <c r="BD261" s="138">
        <f>IF('1.DATOS-PROD'!BM262="SI",VLOOKUP('1.DATOS-PROD'!BM$2,'1.PUNTOS'!$A$1:$B$63,2,0),0)</f>
        <v>0</v>
      </c>
      <c r="BE261" s="138">
        <f>IF('1.DATOS-PROD'!BN262="SI",VLOOKUP('1.DATOS-PROD'!BN$2,'1.PUNTOS'!$A$1:$B$63,2,0),0)</f>
        <v>0</v>
      </c>
      <c r="BF261" s="138">
        <f>IF('1.DATOS-PROD'!BO262="SI",VLOOKUP('1.DATOS-PROD'!BO$2,'1.PUNTOS'!$A$1:$B$63,2,0),0)</f>
        <v>0</v>
      </c>
      <c r="BG261" s="138">
        <f>IF('1.DATOS-PROD'!BP262="SI",VLOOKUP('1.DATOS-PROD'!BP$2,'1.PUNTOS'!$A$1:$B$63,2,0),0)</f>
        <v>0</v>
      </c>
      <c r="BH261" s="138">
        <f>IF('1.DATOS-PROD'!BQ262="SI",VLOOKUP('1.DATOS-PROD'!BQ$2,'1.PUNTOS'!$A$1:$B$63,2,0),0)</f>
        <v>0</v>
      </c>
      <c r="BI261" s="138">
        <f>IF('1.DATOS-PROD'!BR262="SI",VLOOKUP('1.DATOS-PROD'!BR$2,'1.PUNTOS'!$A$1:$B$63,2,0),0)</f>
        <v>0</v>
      </c>
      <c r="BJ261" s="138">
        <f>IF('1.DATOS-PROD'!BS262="SI",VLOOKUP('1.DATOS-PROD'!BS$2,'1.PUNTOS'!$A$1:$B$63,2,0),0)</f>
        <v>0</v>
      </c>
      <c r="BK261" s="138">
        <f>IF('1.DATOS-PROD'!BT262="SI",VLOOKUP('1.DATOS-PROD'!BT$2,'1.PUNTOS'!$A$1:$B$63,2,0),0)</f>
        <v>0</v>
      </c>
    </row>
    <row r="262" spans="1:63" x14ac:dyDescent="0.25">
      <c r="A262">
        <f>'0.Consolidado general'!$A263</f>
        <v>0</v>
      </c>
      <c r="B262" s="138">
        <f>IF('1.DATOS-PROD'!K263="SI",VLOOKUP('1.DATOS-PROD'!K$2,'1.PUNTOS'!$A$1:$B$63,2,0),0)</f>
        <v>0</v>
      </c>
      <c r="C262" s="138">
        <f>IF('1.DATOS-PROD'!L263="SI",VLOOKUP('1.DATOS-PROD'!L$2,'1.PUNTOS'!$A$1:$B$63,2,0),0)</f>
        <v>0</v>
      </c>
      <c r="D262" s="138">
        <f>IF('1.DATOS-PROD'!M263="SI",VLOOKUP('1.DATOS-PROD'!M$2,'1.PUNTOS'!$A$1:$B$63,2,0),0)</f>
        <v>0</v>
      </c>
      <c r="E262" s="138">
        <f>IF('1.DATOS-PROD'!N263="SI",VLOOKUP('1.DATOS-PROD'!N$2,'1.PUNTOS'!$A$1:$B$63,2,0),0)</f>
        <v>0</v>
      </c>
      <c r="F262" s="138">
        <f>IF('1.DATOS-PROD'!O263="SI",VLOOKUP('1.DATOS-PROD'!O$2,'1.PUNTOS'!$A$1:$B$63,2,0),0)</f>
        <v>0</v>
      </c>
      <c r="G262" s="138">
        <f>IF('1.DATOS-PROD'!P263="SI",VLOOKUP('1.DATOS-PROD'!P$2,'1.PUNTOS'!$A$1:$B$63,2,0),0)</f>
        <v>0</v>
      </c>
      <c r="H262" s="138">
        <f>IF('1.DATOS-PROD'!Q263="SI",VLOOKUP('1.DATOS-PROD'!Q$2,'1.PUNTOS'!$A$1:$B$63,2,0),0)</f>
        <v>0</v>
      </c>
      <c r="I262" s="138">
        <f>IF('1.DATOS-PROD'!R263="SI",VLOOKUP('1.DATOS-PROD'!R$2,'1.PUNTOS'!$A$1:$B$63,2,0),0)</f>
        <v>0</v>
      </c>
      <c r="J262" s="138">
        <f>IF('1.DATOS-PROD'!S263="SI",VLOOKUP('1.DATOS-PROD'!S$2,'1.PUNTOS'!$A$1:$B$63,2,0),0)</f>
        <v>0</v>
      </c>
      <c r="K262" s="138">
        <f>IF('1.DATOS-PROD'!T263="SI",VLOOKUP('1.DATOS-PROD'!T$2,'1.PUNTOS'!$A$1:$B$63,2,0),0)</f>
        <v>0</v>
      </c>
      <c r="L262" s="138">
        <f>IF('1.DATOS-PROD'!U263="SI",VLOOKUP('1.DATOS-PROD'!U$2,'1.PUNTOS'!$A$1:$B$63,2,0),0)</f>
        <v>0</v>
      </c>
      <c r="M262" s="138">
        <f>IF('1.DATOS-PROD'!V263="SI",VLOOKUP('1.DATOS-PROD'!V$2,'1.PUNTOS'!$A$1:$B$63,2,0),0)</f>
        <v>0</v>
      </c>
      <c r="N262" s="138">
        <f>IF('1.DATOS-PROD'!W263="SI",VLOOKUP('1.DATOS-PROD'!W$2,'1.PUNTOS'!$A$1:$B$63,2,0),0)</f>
        <v>0</v>
      </c>
      <c r="O262" s="138">
        <f>IF('1.DATOS-PROD'!X263="SI",VLOOKUP('1.DATOS-PROD'!X$2,'1.PUNTOS'!$A$1:$B$63,2,0),0)</f>
        <v>0</v>
      </c>
      <c r="P262" s="138">
        <f>IF('1.DATOS-PROD'!Y263="SI",VLOOKUP('1.DATOS-PROD'!Y$2,'1.PUNTOS'!$A$1:$B$63,2,0),0)</f>
        <v>0</v>
      </c>
      <c r="Q262" s="138">
        <f>IF('1.DATOS-PROD'!Z263="SI",VLOOKUP('1.DATOS-PROD'!Z$2,'1.PUNTOS'!$A$1:$B$63,2,0),0)</f>
        <v>0</v>
      </c>
      <c r="R262" s="138">
        <f>IF('1.DATOS-PROD'!AA263="SI",VLOOKUP('1.DATOS-PROD'!AA$2,'1.PUNTOS'!$A$1:$B$63,2,0),0)</f>
        <v>0</v>
      </c>
      <c r="S262" s="138">
        <f>IF('1.DATOS-PROD'!AB263="SI",VLOOKUP('1.DATOS-PROD'!AB$2,'1.PUNTOS'!$A$1:$B$63,2,0),0)</f>
        <v>0</v>
      </c>
      <c r="T262" s="138">
        <f>IF('1.DATOS-PROD'!AC263="SI",VLOOKUP('1.DATOS-PROD'!AC$2,'1.PUNTOS'!$A$1:$B$63,2,0),0)</f>
        <v>0</v>
      </c>
      <c r="U262" s="138">
        <f>IF('1.DATOS-PROD'!AD263="SI",VLOOKUP('1.DATOS-PROD'!AD$2,'1.PUNTOS'!$A$1:$B$63,2,0),0)</f>
        <v>0</v>
      </c>
      <c r="V262" s="138">
        <f>IF('1.DATOS-PROD'!AE263="SI",VLOOKUP('1.DATOS-PROD'!AE$2,'1.PUNTOS'!$A$1:$B$63,2,0),0)</f>
        <v>0</v>
      </c>
      <c r="W262" s="138">
        <f>IF('1.DATOS-PROD'!AF263="SI",VLOOKUP('1.DATOS-PROD'!AF$2,'1.PUNTOS'!$A$1:$B$63,2,0),0)</f>
        <v>0</v>
      </c>
      <c r="X262" s="138">
        <f>IF('1.DATOS-PROD'!AG263="SI",VLOOKUP('1.DATOS-PROD'!AG$2,'1.PUNTOS'!$A$1:$B$63,2,0),0)</f>
        <v>0</v>
      </c>
      <c r="Y262" s="138">
        <f>IF('1.DATOS-PROD'!AH263="SI",VLOOKUP('1.DATOS-PROD'!AH$2,'1.PUNTOS'!$A$1:$B$63,2,0),0)</f>
        <v>0</v>
      </c>
      <c r="Z262" s="138">
        <f>IF('1.DATOS-PROD'!AI263="SI",VLOOKUP('1.DATOS-PROD'!AI$2,'1.PUNTOS'!$A$1:$B$63,2,0),0)</f>
        <v>0</v>
      </c>
      <c r="AA262" s="138">
        <f>IF('1.DATOS-PROD'!AJ263="SI",VLOOKUP('1.DATOS-PROD'!AJ$2,'1.PUNTOS'!$A$1:$B$63,2,0),0)</f>
        <v>0</v>
      </c>
      <c r="AB262" s="138">
        <f>IF('1.DATOS-PROD'!AK263="SI",VLOOKUP('1.DATOS-PROD'!AK$2,'1.PUNTOS'!$A$1:$B$63,2,0),0)</f>
        <v>0</v>
      </c>
      <c r="AC262" s="138">
        <f>IF('1.DATOS-PROD'!AL263="SI",VLOOKUP('1.DATOS-PROD'!AL$2,'1.PUNTOS'!$A$1:$B$63,2,0),0)</f>
        <v>0</v>
      </c>
      <c r="AD262" s="138">
        <f>IF('1.DATOS-PROD'!AM263="SI",VLOOKUP('1.DATOS-PROD'!AM$2,'1.PUNTOS'!$A$1:$B$63,2,0),0)</f>
        <v>0</v>
      </c>
      <c r="AE262" s="138">
        <f>IF('1.DATOS-PROD'!AN263="SI",VLOOKUP('1.DATOS-PROD'!AN$2,'1.PUNTOS'!$A$1:$B$63,2,0),0)</f>
        <v>0</v>
      </c>
      <c r="AF262" s="138">
        <f>IF('1.DATOS-PROD'!AO263="SI",VLOOKUP('1.DATOS-PROD'!AO$2,'1.PUNTOS'!$A$1:$B$63,2,0),0)</f>
        <v>0</v>
      </c>
      <c r="AG262" s="138">
        <f>IF('1.DATOS-PROD'!AP263="SI",VLOOKUP('1.DATOS-PROD'!AP$2,'1.PUNTOS'!$A$1:$B$63,2,0),0)</f>
        <v>0</v>
      </c>
      <c r="AH262" s="138">
        <f>IF('1.DATOS-PROD'!AQ263="SI",VLOOKUP('1.DATOS-PROD'!AQ$2,'1.PUNTOS'!$A$1:$B$63,2,0),0)</f>
        <v>0</v>
      </c>
      <c r="AI262" s="138">
        <f>IF('1.DATOS-PROD'!AR263="SI",VLOOKUP('1.DATOS-PROD'!AR$2,'1.PUNTOS'!$A$1:$B$63,2,0),0)</f>
        <v>0</v>
      </c>
      <c r="AJ262" s="138">
        <f>IF('1.DATOS-PROD'!AS263="SI",VLOOKUP('1.DATOS-PROD'!AS$2,'1.PUNTOS'!$A$1:$B$63,2,0),0)</f>
        <v>0</v>
      </c>
      <c r="AK262" s="138">
        <f>IF('1.DATOS-PROD'!AT263="SI",VLOOKUP('1.DATOS-PROD'!AT$2,'1.PUNTOS'!$A$1:$B$63,2,0),0)</f>
        <v>0</v>
      </c>
      <c r="AL262" s="138">
        <f>IF('1.DATOS-PROD'!AU263="SI",VLOOKUP('1.DATOS-PROD'!AU$2,'1.PUNTOS'!$A$1:$B$63,2,0),0)</f>
        <v>0</v>
      </c>
      <c r="AM262" s="138">
        <f>IF('1.DATOS-PROD'!AV263="SI",VLOOKUP('1.DATOS-PROD'!AV$2,'1.PUNTOS'!$A$1:$B$63,2,0),0)</f>
        <v>0</v>
      </c>
      <c r="AN262" s="138">
        <f>IF('1.DATOS-PROD'!AW263="SI",VLOOKUP('1.DATOS-PROD'!AW$2,'1.PUNTOS'!$A$1:$B$63,2,0),0)</f>
        <v>0</v>
      </c>
      <c r="AO262" s="138">
        <f>IF('1.DATOS-PROD'!AX263="SI",VLOOKUP('1.DATOS-PROD'!AX$2,'1.PUNTOS'!$A$1:$B$63,2,0),0)</f>
        <v>0</v>
      </c>
      <c r="AP262" s="138">
        <f>IF('1.DATOS-PROD'!AY263="SI",VLOOKUP('1.DATOS-PROD'!AY$2,'1.PUNTOS'!$A$1:$B$63,2,0),0)</f>
        <v>0</v>
      </c>
      <c r="AQ262" s="138">
        <f>IF('1.DATOS-PROD'!AZ263="SI",VLOOKUP('1.DATOS-PROD'!AZ$2,'1.PUNTOS'!$A$1:$B$63,2,0),0)</f>
        <v>0</v>
      </c>
      <c r="AR262" s="138">
        <f>IF('1.DATOS-PROD'!BA263="SI",VLOOKUP('1.DATOS-PROD'!BA$2,'1.PUNTOS'!$A$1:$B$63,2,0),0)</f>
        <v>0</v>
      </c>
      <c r="AS262" s="138">
        <f>IF('1.DATOS-PROD'!BB263="SI",VLOOKUP('1.DATOS-PROD'!BB$2,'1.PUNTOS'!$A$1:$B$63,2,0),0)</f>
        <v>0</v>
      </c>
      <c r="AT262" s="138">
        <f>IF('1.DATOS-PROD'!BC263="SI",VLOOKUP('1.DATOS-PROD'!BC$2,'1.PUNTOS'!$A$1:$B$63,2,0),0)</f>
        <v>0</v>
      </c>
      <c r="AU262" s="138">
        <f>IF('1.DATOS-PROD'!BD263="SI",VLOOKUP('1.DATOS-PROD'!BD$2,'1.PUNTOS'!$A$1:$B$63,2,0),0)</f>
        <v>0</v>
      </c>
      <c r="AV262" s="138">
        <f>IF('1.DATOS-PROD'!BE263="SI",VLOOKUP('1.DATOS-PROD'!BE$2,'1.PUNTOS'!$A$1:$B$63,2,0),0)</f>
        <v>0</v>
      </c>
      <c r="AW262" s="138">
        <f>IF('1.DATOS-PROD'!BF263="SI",VLOOKUP('1.DATOS-PROD'!BF$2,'1.PUNTOS'!$A$1:$B$63,2,0),0)</f>
        <v>0</v>
      </c>
      <c r="AX262" s="138">
        <f>IF('1.DATOS-PROD'!BG263="SI",VLOOKUP('1.DATOS-PROD'!BG$2,'1.PUNTOS'!$A$1:$B$63,2,0),0)</f>
        <v>0</v>
      </c>
      <c r="AY262" s="138">
        <f>IF('1.DATOS-PROD'!BH263="SI",VLOOKUP('1.DATOS-PROD'!BH$2,'1.PUNTOS'!$A$1:$B$63,2,0),0)</f>
        <v>0</v>
      </c>
      <c r="AZ262" s="138">
        <f>IF('1.DATOS-PROD'!BI263="SI",VLOOKUP('1.DATOS-PROD'!BI$2,'1.PUNTOS'!$A$1:$B$63,2,0),0)</f>
        <v>0</v>
      </c>
      <c r="BA262" s="138">
        <f>IF('1.DATOS-PROD'!BJ263="SI",VLOOKUP('1.DATOS-PROD'!BJ$2,'1.PUNTOS'!$A$1:$B$63,2,0),0)</f>
        <v>0</v>
      </c>
      <c r="BB262" s="138">
        <f>IF('1.DATOS-PROD'!BK263="SI",VLOOKUP('1.DATOS-PROD'!BK$2,'1.PUNTOS'!$A$1:$B$63,2,0),0)</f>
        <v>0</v>
      </c>
      <c r="BC262" s="138">
        <f>IF('1.DATOS-PROD'!BL263="SI",VLOOKUP('1.DATOS-PROD'!BL$2,'1.PUNTOS'!$A$1:$B$63,2,0),0)</f>
        <v>0</v>
      </c>
      <c r="BD262" s="138">
        <f>IF('1.DATOS-PROD'!BM263="SI",VLOOKUP('1.DATOS-PROD'!BM$2,'1.PUNTOS'!$A$1:$B$63,2,0),0)</f>
        <v>0</v>
      </c>
      <c r="BE262" s="138">
        <f>IF('1.DATOS-PROD'!BN263="SI",VLOOKUP('1.DATOS-PROD'!BN$2,'1.PUNTOS'!$A$1:$B$63,2,0),0)</f>
        <v>0</v>
      </c>
      <c r="BF262" s="138">
        <f>IF('1.DATOS-PROD'!BO263="SI",VLOOKUP('1.DATOS-PROD'!BO$2,'1.PUNTOS'!$A$1:$B$63,2,0),0)</f>
        <v>0</v>
      </c>
      <c r="BG262" s="138">
        <f>IF('1.DATOS-PROD'!BP263="SI",VLOOKUP('1.DATOS-PROD'!BP$2,'1.PUNTOS'!$A$1:$B$63,2,0),0)</f>
        <v>0</v>
      </c>
      <c r="BH262" s="138">
        <f>IF('1.DATOS-PROD'!BQ263="SI",VLOOKUP('1.DATOS-PROD'!BQ$2,'1.PUNTOS'!$A$1:$B$63,2,0),0)</f>
        <v>0</v>
      </c>
      <c r="BI262" s="138">
        <f>IF('1.DATOS-PROD'!BR263="SI",VLOOKUP('1.DATOS-PROD'!BR$2,'1.PUNTOS'!$A$1:$B$63,2,0),0)</f>
        <v>0</v>
      </c>
      <c r="BJ262" s="138">
        <f>IF('1.DATOS-PROD'!BS263="SI",VLOOKUP('1.DATOS-PROD'!BS$2,'1.PUNTOS'!$A$1:$B$63,2,0),0)</f>
        <v>0</v>
      </c>
      <c r="BK262" s="138">
        <f>IF('1.DATOS-PROD'!BT263="SI",VLOOKUP('1.DATOS-PROD'!BT$2,'1.PUNTOS'!$A$1:$B$63,2,0),0)</f>
        <v>0</v>
      </c>
    </row>
    <row r="263" spans="1:63" x14ac:dyDescent="0.25">
      <c r="A263">
        <f>'0.Consolidado general'!$A264</f>
        <v>0</v>
      </c>
      <c r="B263" s="138">
        <f>IF('1.DATOS-PROD'!K264="SI",VLOOKUP('1.DATOS-PROD'!K$2,'1.PUNTOS'!$A$1:$B$63,2,0),0)</f>
        <v>0</v>
      </c>
      <c r="C263" s="138">
        <f>IF('1.DATOS-PROD'!L264="SI",VLOOKUP('1.DATOS-PROD'!L$2,'1.PUNTOS'!$A$1:$B$63,2,0),0)</f>
        <v>0</v>
      </c>
      <c r="D263" s="138">
        <f>IF('1.DATOS-PROD'!M264="SI",VLOOKUP('1.DATOS-PROD'!M$2,'1.PUNTOS'!$A$1:$B$63,2,0),0)</f>
        <v>0</v>
      </c>
      <c r="E263" s="138">
        <f>IF('1.DATOS-PROD'!N264="SI",VLOOKUP('1.DATOS-PROD'!N$2,'1.PUNTOS'!$A$1:$B$63,2,0),0)</f>
        <v>0</v>
      </c>
      <c r="F263" s="138">
        <f>IF('1.DATOS-PROD'!O264="SI",VLOOKUP('1.DATOS-PROD'!O$2,'1.PUNTOS'!$A$1:$B$63,2,0),0)</f>
        <v>0</v>
      </c>
      <c r="G263" s="138">
        <f>IF('1.DATOS-PROD'!P264="SI",VLOOKUP('1.DATOS-PROD'!P$2,'1.PUNTOS'!$A$1:$B$63,2,0),0)</f>
        <v>0</v>
      </c>
      <c r="H263" s="138">
        <f>IF('1.DATOS-PROD'!Q264="SI",VLOOKUP('1.DATOS-PROD'!Q$2,'1.PUNTOS'!$A$1:$B$63,2,0),0)</f>
        <v>0</v>
      </c>
      <c r="I263" s="138">
        <f>IF('1.DATOS-PROD'!R264="SI",VLOOKUP('1.DATOS-PROD'!R$2,'1.PUNTOS'!$A$1:$B$63,2,0),0)</f>
        <v>0</v>
      </c>
      <c r="J263" s="138">
        <f>IF('1.DATOS-PROD'!S264="SI",VLOOKUP('1.DATOS-PROD'!S$2,'1.PUNTOS'!$A$1:$B$63,2,0),0)</f>
        <v>0</v>
      </c>
      <c r="K263" s="138">
        <f>IF('1.DATOS-PROD'!T264="SI",VLOOKUP('1.DATOS-PROD'!T$2,'1.PUNTOS'!$A$1:$B$63,2,0),0)</f>
        <v>0</v>
      </c>
      <c r="L263" s="138">
        <f>IF('1.DATOS-PROD'!U264="SI",VLOOKUP('1.DATOS-PROD'!U$2,'1.PUNTOS'!$A$1:$B$63,2,0),0)</f>
        <v>0</v>
      </c>
      <c r="M263" s="138">
        <f>IF('1.DATOS-PROD'!V264="SI",VLOOKUP('1.DATOS-PROD'!V$2,'1.PUNTOS'!$A$1:$B$63,2,0),0)</f>
        <v>0</v>
      </c>
      <c r="N263" s="138">
        <f>IF('1.DATOS-PROD'!W264="SI",VLOOKUP('1.DATOS-PROD'!W$2,'1.PUNTOS'!$A$1:$B$63,2,0),0)</f>
        <v>0</v>
      </c>
      <c r="O263" s="138">
        <f>IF('1.DATOS-PROD'!X264="SI",VLOOKUP('1.DATOS-PROD'!X$2,'1.PUNTOS'!$A$1:$B$63,2,0),0)</f>
        <v>0</v>
      </c>
      <c r="P263" s="138">
        <f>IF('1.DATOS-PROD'!Y264="SI",VLOOKUP('1.DATOS-PROD'!Y$2,'1.PUNTOS'!$A$1:$B$63,2,0),0)</f>
        <v>0</v>
      </c>
      <c r="Q263" s="138">
        <f>IF('1.DATOS-PROD'!Z264="SI",VLOOKUP('1.DATOS-PROD'!Z$2,'1.PUNTOS'!$A$1:$B$63,2,0),0)</f>
        <v>0</v>
      </c>
      <c r="R263" s="138">
        <f>IF('1.DATOS-PROD'!AA264="SI",VLOOKUP('1.DATOS-PROD'!AA$2,'1.PUNTOS'!$A$1:$B$63,2,0),0)</f>
        <v>0</v>
      </c>
      <c r="S263" s="138">
        <f>IF('1.DATOS-PROD'!AB264="SI",VLOOKUP('1.DATOS-PROD'!AB$2,'1.PUNTOS'!$A$1:$B$63,2,0),0)</f>
        <v>0</v>
      </c>
      <c r="T263" s="138">
        <f>IF('1.DATOS-PROD'!AC264="SI",VLOOKUP('1.DATOS-PROD'!AC$2,'1.PUNTOS'!$A$1:$B$63,2,0),0)</f>
        <v>0</v>
      </c>
      <c r="U263" s="138">
        <f>IF('1.DATOS-PROD'!AD264="SI",VLOOKUP('1.DATOS-PROD'!AD$2,'1.PUNTOS'!$A$1:$B$63,2,0),0)</f>
        <v>0</v>
      </c>
      <c r="V263" s="138">
        <f>IF('1.DATOS-PROD'!AE264="SI",VLOOKUP('1.DATOS-PROD'!AE$2,'1.PUNTOS'!$A$1:$B$63,2,0),0)</f>
        <v>0</v>
      </c>
      <c r="W263" s="138">
        <f>IF('1.DATOS-PROD'!AF264="SI",VLOOKUP('1.DATOS-PROD'!AF$2,'1.PUNTOS'!$A$1:$B$63,2,0),0)</f>
        <v>0</v>
      </c>
      <c r="X263" s="138">
        <f>IF('1.DATOS-PROD'!AG264="SI",VLOOKUP('1.DATOS-PROD'!AG$2,'1.PUNTOS'!$A$1:$B$63,2,0),0)</f>
        <v>0</v>
      </c>
      <c r="Y263" s="138">
        <f>IF('1.DATOS-PROD'!AH264="SI",VLOOKUP('1.DATOS-PROD'!AH$2,'1.PUNTOS'!$A$1:$B$63,2,0),0)</f>
        <v>0</v>
      </c>
      <c r="Z263" s="138">
        <f>IF('1.DATOS-PROD'!AI264="SI",VLOOKUP('1.DATOS-PROD'!AI$2,'1.PUNTOS'!$A$1:$B$63,2,0),0)</f>
        <v>0</v>
      </c>
      <c r="AA263" s="138">
        <f>IF('1.DATOS-PROD'!AJ264="SI",VLOOKUP('1.DATOS-PROD'!AJ$2,'1.PUNTOS'!$A$1:$B$63,2,0),0)</f>
        <v>0</v>
      </c>
      <c r="AB263" s="138">
        <f>IF('1.DATOS-PROD'!AK264="SI",VLOOKUP('1.DATOS-PROD'!AK$2,'1.PUNTOS'!$A$1:$B$63,2,0),0)</f>
        <v>0</v>
      </c>
      <c r="AC263" s="138">
        <f>IF('1.DATOS-PROD'!AL264="SI",VLOOKUP('1.DATOS-PROD'!AL$2,'1.PUNTOS'!$A$1:$B$63,2,0),0)</f>
        <v>0</v>
      </c>
      <c r="AD263" s="138">
        <f>IF('1.DATOS-PROD'!AM264="SI",VLOOKUP('1.DATOS-PROD'!AM$2,'1.PUNTOS'!$A$1:$B$63,2,0),0)</f>
        <v>0</v>
      </c>
      <c r="AE263" s="138">
        <f>IF('1.DATOS-PROD'!AN264="SI",VLOOKUP('1.DATOS-PROD'!AN$2,'1.PUNTOS'!$A$1:$B$63,2,0),0)</f>
        <v>0</v>
      </c>
      <c r="AF263" s="138">
        <f>IF('1.DATOS-PROD'!AO264="SI",VLOOKUP('1.DATOS-PROD'!AO$2,'1.PUNTOS'!$A$1:$B$63,2,0),0)</f>
        <v>0</v>
      </c>
      <c r="AG263" s="138">
        <f>IF('1.DATOS-PROD'!AP264="SI",VLOOKUP('1.DATOS-PROD'!AP$2,'1.PUNTOS'!$A$1:$B$63,2,0),0)</f>
        <v>0</v>
      </c>
      <c r="AH263" s="138">
        <f>IF('1.DATOS-PROD'!AQ264="SI",VLOOKUP('1.DATOS-PROD'!AQ$2,'1.PUNTOS'!$A$1:$B$63,2,0),0)</f>
        <v>0</v>
      </c>
      <c r="AI263" s="138">
        <f>IF('1.DATOS-PROD'!AR264="SI",VLOOKUP('1.DATOS-PROD'!AR$2,'1.PUNTOS'!$A$1:$B$63,2,0),0)</f>
        <v>0</v>
      </c>
      <c r="AJ263" s="138">
        <f>IF('1.DATOS-PROD'!AS264="SI",VLOOKUP('1.DATOS-PROD'!AS$2,'1.PUNTOS'!$A$1:$B$63,2,0),0)</f>
        <v>0</v>
      </c>
      <c r="AK263" s="138">
        <f>IF('1.DATOS-PROD'!AT264="SI",VLOOKUP('1.DATOS-PROD'!AT$2,'1.PUNTOS'!$A$1:$B$63,2,0),0)</f>
        <v>0</v>
      </c>
      <c r="AL263" s="138">
        <f>IF('1.DATOS-PROD'!AU264="SI",VLOOKUP('1.DATOS-PROD'!AU$2,'1.PUNTOS'!$A$1:$B$63,2,0),0)</f>
        <v>0</v>
      </c>
      <c r="AM263" s="138">
        <f>IF('1.DATOS-PROD'!AV264="SI",VLOOKUP('1.DATOS-PROD'!AV$2,'1.PUNTOS'!$A$1:$B$63,2,0),0)</f>
        <v>0</v>
      </c>
      <c r="AN263" s="138">
        <f>IF('1.DATOS-PROD'!AW264="SI",VLOOKUP('1.DATOS-PROD'!AW$2,'1.PUNTOS'!$A$1:$B$63,2,0),0)</f>
        <v>0</v>
      </c>
      <c r="AO263" s="138">
        <f>IF('1.DATOS-PROD'!AX264="SI",VLOOKUP('1.DATOS-PROD'!AX$2,'1.PUNTOS'!$A$1:$B$63,2,0),0)</f>
        <v>0</v>
      </c>
      <c r="AP263" s="138">
        <f>IF('1.DATOS-PROD'!AY264="SI",VLOOKUP('1.DATOS-PROD'!AY$2,'1.PUNTOS'!$A$1:$B$63,2,0),0)</f>
        <v>0</v>
      </c>
      <c r="AQ263" s="138">
        <f>IF('1.DATOS-PROD'!AZ264="SI",VLOOKUP('1.DATOS-PROD'!AZ$2,'1.PUNTOS'!$A$1:$B$63,2,0),0)</f>
        <v>0</v>
      </c>
      <c r="AR263" s="138">
        <f>IF('1.DATOS-PROD'!BA264="SI",VLOOKUP('1.DATOS-PROD'!BA$2,'1.PUNTOS'!$A$1:$B$63,2,0),0)</f>
        <v>0</v>
      </c>
      <c r="AS263" s="138">
        <f>IF('1.DATOS-PROD'!BB264="SI",VLOOKUP('1.DATOS-PROD'!BB$2,'1.PUNTOS'!$A$1:$B$63,2,0),0)</f>
        <v>0</v>
      </c>
      <c r="AT263" s="138">
        <f>IF('1.DATOS-PROD'!BC264="SI",VLOOKUP('1.DATOS-PROD'!BC$2,'1.PUNTOS'!$A$1:$B$63,2,0),0)</f>
        <v>0</v>
      </c>
      <c r="AU263" s="138">
        <f>IF('1.DATOS-PROD'!BD264="SI",VLOOKUP('1.DATOS-PROD'!BD$2,'1.PUNTOS'!$A$1:$B$63,2,0),0)</f>
        <v>0</v>
      </c>
      <c r="AV263" s="138">
        <f>IF('1.DATOS-PROD'!BE264="SI",VLOOKUP('1.DATOS-PROD'!BE$2,'1.PUNTOS'!$A$1:$B$63,2,0),0)</f>
        <v>0</v>
      </c>
      <c r="AW263" s="138">
        <f>IF('1.DATOS-PROD'!BF264="SI",VLOOKUP('1.DATOS-PROD'!BF$2,'1.PUNTOS'!$A$1:$B$63,2,0),0)</f>
        <v>0</v>
      </c>
      <c r="AX263" s="138">
        <f>IF('1.DATOS-PROD'!BG264="SI",VLOOKUP('1.DATOS-PROD'!BG$2,'1.PUNTOS'!$A$1:$B$63,2,0),0)</f>
        <v>0</v>
      </c>
      <c r="AY263" s="138">
        <f>IF('1.DATOS-PROD'!BH264="SI",VLOOKUP('1.DATOS-PROD'!BH$2,'1.PUNTOS'!$A$1:$B$63,2,0),0)</f>
        <v>0</v>
      </c>
      <c r="AZ263" s="138">
        <f>IF('1.DATOS-PROD'!BI264="SI",VLOOKUP('1.DATOS-PROD'!BI$2,'1.PUNTOS'!$A$1:$B$63,2,0),0)</f>
        <v>0</v>
      </c>
      <c r="BA263" s="138">
        <f>IF('1.DATOS-PROD'!BJ264="SI",VLOOKUP('1.DATOS-PROD'!BJ$2,'1.PUNTOS'!$A$1:$B$63,2,0),0)</f>
        <v>0</v>
      </c>
      <c r="BB263" s="138">
        <f>IF('1.DATOS-PROD'!BK264="SI",VLOOKUP('1.DATOS-PROD'!BK$2,'1.PUNTOS'!$A$1:$B$63,2,0),0)</f>
        <v>0</v>
      </c>
      <c r="BC263" s="138">
        <f>IF('1.DATOS-PROD'!BL264="SI",VLOOKUP('1.DATOS-PROD'!BL$2,'1.PUNTOS'!$A$1:$B$63,2,0),0)</f>
        <v>0</v>
      </c>
      <c r="BD263" s="138">
        <f>IF('1.DATOS-PROD'!BM264="SI",VLOOKUP('1.DATOS-PROD'!BM$2,'1.PUNTOS'!$A$1:$B$63,2,0),0)</f>
        <v>0</v>
      </c>
      <c r="BE263" s="138">
        <f>IF('1.DATOS-PROD'!BN264="SI",VLOOKUP('1.DATOS-PROD'!BN$2,'1.PUNTOS'!$A$1:$B$63,2,0),0)</f>
        <v>0</v>
      </c>
      <c r="BF263" s="138">
        <f>IF('1.DATOS-PROD'!BO264="SI",VLOOKUP('1.DATOS-PROD'!BO$2,'1.PUNTOS'!$A$1:$B$63,2,0),0)</f>
        <v>0</v>
      </c>
      <c r="BG263" s="138">
        <f>IF('1.DATOS-PROD'!BP264="SI",VLOOKUP('1.DATOS-PROD'!BP$2,'1.PUNTOS'!$A$1:$B$63,2,0),0)</f>
        <v>0</v>
      </c>
      <c r="BH263" s="138">
        <f>IF('1.DATOS-PROD'!BQ264="SI",VLOOKUP('1.DATOS-PROD'!BQ$2,'1.PUNTOS'!$A$1:$B$63,2,0),0)</f>
        <v>0</v>
      </c>
      <c r="BI263" s="138">
        <f>IF('1.DATOS-PROD'!BR264="SI",VLOOKUP('1.DATOS-PROD'!BR$2,'1.PUNTOS'!$A$1:$B$63,2,0),0)</f>
        <v>0</v>
      </c>
      <c r="BJ263" s="138">
        <f>IF('1.DATOS-PROD'!BS264="SI",VLOOKUP('1.DATOS-PROD'!BS$2,'1.PUNTOS'!$A$1:$B$63,2,0),0)</f>
        <v>0</v>
      </c>
      <c r="BK263" s="138">
        <f>IF('1.DATOS-PROD'!BT264="SI",VLOOKUP('1.DATOS-PROD'!BT$2,'1.PUNTOS'!$A$1:$B$63,2,0),0)</f>
        <v>0</v>
      </c>
    </row>
    <row r="264" spans="1:63" x14ac:dyDescent="0.25">
      <c r="A264">
        <f>'0.Consolidado general'!$A265</f>
        <v>0</v>
      </c>
      <c r="B264" s="138">
        <f>IF('1.DATOS-PROD'!K265="SI",VLOOKUP('1.DATOS-PROD'!K$2,'1.PUNTOS'!$A$1:$B$63,2,0),0)</f>
        <v>0</v>
      </c>
      <c r="C264" s="138">
        <f>IF('1.DATOS-PROD'!L265="SI",VLOOKUP('1.DATOS-PROD'!L$2,'1.PUNTOS'!$A$1:$B$63,2,0),0)</f>
        <v>0</v>
      </c>
      <c r="D264" s="138">
        <f>IF('1.DATOS-PROD'!M265="SI",VLOOKUP('1.DATOS-PROD'!M$2,'1.PUNTOS'!$A$1:$B$63,2,0),0)</f>
        <v>0</v>
      </c>
      <c r="E264" s="138">
        <f>IF('1.DATOS-PROD'!N265="SI",VLOOKUP('1.DATOS-PROD'!N$2,'1.PUNTOS'!$A$1:$B$63,2,0),0)</f>
        <v>0</v>
      </c>
      <c r="F264" s="138">
        <f>IF('1.DATOS-PROD'!O265="SI",VLOOKUP('1.DATOS-PROD'!O$2,'1.PUNTOS'!$A$1:$B$63,2,0),0)</f>
        <v>0</v>
      </c>
      <c r="G264" s="138">
        <f>IF('1.DATOS-PROD'!P265="SI",VLOOKUP('1.DATOS-PROD'!P$2,'1.PUNTOS'!$A$1:$B$63,2,0),0)</f>
        <v>0</v>
      </c>
      <c r="H264" s="138">
        <f>IF('1.DATOS-PROD'!Q265="SI",VLOOKUP('1.DATOS-PROD'!Q$2,'1.PUNTOS'!$A$1:$B$63,2,0),0)</f>
        <v>0</v>
      </c>
      <c r="I264" s="138">
        <f>IF('1.DATOS-PROD'!R265="SI",VLOOKUP('1.DATOS-PROD'!R$2,'1.PUNTOS'!$A$1:$B$63,2,0),0)</f>
        <v>0</v>
      </c>
      <c r="J264" s="138">
        <f>IF('1.DATOS-PROD'!S265="SI",VLOOKUP('1.DATOS-PROD'!S$2,'1.PUNTOS'!$A$1:$B$63,2,0),0)</f>
        <v>0</v>
      </c>
      <c r="K264" s="138">
        <f>IF('1.DATOS-PROD'!T265="SI",VLOOKUP('1.DATOS-PROD'!T$2,'1.PUNTOS'!$A$1:$B$63,2,0),0)</f>
        <v>0</v>
      </c>
      <c r="L264" s="138">
        <f>IF('1.DATOS-PROD'!U265="SI",VLOOKUP('1.DATOS-PROD'!U$2,'1.PUNTOS'!$A$1:$B$63,2,0),0)</f>
        <v>0</v>
      </c>
      <c r="M264" s="138">
        <f>IF('1.DATOS-PROD'!V265="SI",VLOOKUP('1.DATOS-PROD'!V$2,'1.PUNTOS'!$A$1:$B$63,2,0),0)</f>
        <v>0</v>
      </c>
      <c r="N264" s="138">
        <f>IF('1.DATOS-PROD'!W265="SI",VLOOKUP('1.DATOS-PROD'!W$2,'1.PUNTOS'!$A$1:$B$63,2,0),0)</f>
        <v>0</v>
      </c>
      <c r="O264" s="138">
        <f>IF('1.DATOS-PROD'!X265="SI",VLOOKUP('1.DATOS-PROD'!X$2,'1.PUNTOS'!$A$1:$B$63,2,0),0)</f>
        <v>0</v>
      </c>
      <c r="P264" s="138">
        <f>IF('1.DATOS-PROD'!Y265="SI",VLOOKUP('1.DATOS-PROD'!Y$2,'1.PUNTOS'!$A$1:$B$63,2,0),0)</f>
        <v>0</v>
      </c>
      <c r="Q264" s="138">
        <f>IF('1.DATOS-PROD'!Z265="SI",VLOOKUP('1.DATOS-PROD'!Z$2,'1.PUNTOS'!$A$1:$B$63,2,0),0)</f>
        <v>0</v>
      </c>
      <c r="R264" s="138">
        <f>IF('1.DATOS-PROD'!AA265="SI",VLOOKUP('1.DATOS-PROD'!AA$2,'1.PUNTOS'!$A$1:$B$63,2,0),0)</f>
        <v>0</v>
      </c>
      <c r="S264" s="138">
        <f>IF('1.DATOS-PROD'!AB265="SI",VLOOKUP('1.DATOS-PROD'!AB$2,'1.PUNTOS'!$A$1:$B$63,2,0),0)</f>
        <v>0</v>
      </c>
      <c r="T264" s="138">
        <f>IF('1.DATOS-PROD'!AC265="SI",VLOOKUP('1.DATOS-PROD'!AC$2,'1.PUNTOS'!$A$1:$B$63,2,0),0)</f>
        <v>0</v>
      </c>
      <c r="U264" s="138">
        <f>IF('1.DATOS-PROD'!AD265="SI",VLOOKUP('1.DATOS-PROD'!AD$2,'1.PUNTOS'!$A$1:$B$63,2,0),0)</f>
        <v>0</v>
      </c>
      <c r="V264" s="138">
        <f>IF('1.DATOS-PROD'!AE265="SI",VLOOKUP('1.DATOS-PROD'!AE$2,'1.PUNTOS'!$A$1:$B$63,2,0),0)</f>
        <v>0</v>
      </c>
      <c r="W264" s="138">
        <f>IF('1.DATOS-PROD'!AF265="SI",VLOOKUP('1.DATOS-PROD'!AF$2,'1.PUNTOS'!$A$1:$B$63,2,0),0)</f>
        <v>0</v>
      </c>
      <c r="X264" s="138">
        <f>IF('1.DATOS-PROD'!AG265="SI",VLOOKUP('1.DATOS-PROD'!AG$2,'1.PUNTOS'!$A$1:$B$63,2,0),0)</f>
        <v>0</v>
      </c>
      <c r="Y264" s="138">
        <f>IF('1.DATOS-PROD'!AH265="SI",VLOOKUP('1.DATOS-PROD'!AH$2,'1.PUNTOS'!$A$1:$B$63,2,0),0)</f>
        <v>0</v>
      </c>
      <c r="Z264" s="138">
        <f>IF('1.DATOS-PROD'!AI265="SI",VLOOKUP('1.DATOS-PROD'!AI$2,'1.PUNTOS'!$A$1:$B$63,2,0),0)</f>
        <v>0</v>
      </c>
      <c r="AA264" s="138">
        <f>IF('1.DATOS-PROD'!AJ265="SI",VLOOKUP('1.DATOS-PROD'!AJ$2,'1.PUNTOS'!$A$1:$B$63,2,0),0)</f>
        <v>0</v>
      </c>
      <c r="AB264" s="138">
        <f>IF('1.DATOS-PROD'!AK265="SI",VLOOKUP('1.DATOS-PROD'!AK$2,'1.PUNTOS'!$A$1:$B$63,2,0),0)</f>
        <v>0</v>
      </c>
      <c r="AC264" s="138">
        <f>IF('1.DATOS-PROD'!AL265="SI",VLOOKUP('1.DATOS-PROD'!AL$2,'1.PUNTOS'!$A$1:$B$63,2,0),0)</f>
        <v>0</v>
      </c>
      <c r="AD264" s="138">
        <f>IF('1.DATOS-PROD'!AM265="SI",VLOOKUP('1.DATOS-PROD'!AM$2,'1.PUNTOS'!$A$1:$B$63,2,0),0)</f>
        <v>0</v>
      </c>
      <c r="AE264" s="138">
        <f>IF('1.DATOS-PROD'!AN265="SI",VLOOKUP('1.DATOS-PROD'!AN$2,'1.PUNTOS'!$A$1:$B$63,2,0),0)</f>
        <v>0</v>
      </c>
      <c r="AF264" s="138">
        <f>IF('1.DATOS-PROD'!AO265="SI",VLOOKUP('1.DATOS-PROD'!AO$2,'1.PUNTOS'!$A$1:$B$63,2,0),0)</f>
        <v>0</v>
      </c>
      <c r="AG264" s="138">
        <f>IF('1.DATOS-PROD'!AP265="SI",VLOOKUP('1.DATOS-PROD'!AP$2,'1.PUNTOS'!$A$1:$B$63,2,0),0)</f>
        <v>0</v>
      </c>
      <c r="AH264" s="138">
        <f>IF('1.DATOS-PROD'!AQ265="SI",VLOOKUP('1.DATOS-PROD'!AQ$2,'1.PUNTOS'!$A$1:$B$63,2,0),0)</f>
        <v>0</v>
      </c>
      <c r="AI264" s="138">
        <f>IF('1.DATOS-PROD'!AR265="SI",VLOOKUP('1.DATOS-PROD'!AR$2,'1.PUNTOS'!$A$1:$B$63,2,0),0)</f>
        <v>0</v>
      </c>
      <c r="AJ264" s="138">
        <f>IF('1.DATOS-PROD'!AS265="SI",VLOOKUP('1.DATOS-PROD'!AS$2,'1.PUNTOS'!$A$1:$B$63,2,0),0)</f>
        <v>0</v>
      </c>
      <c r="AK264" s="138">
        <f>IF('1.DATOS-PROD'!AT265="SI",VLOOKUP('1.DATOS-PROD'!AT$2,'1.PUNTOS'!$A$1:$B$63,2,0),0)</f>
        <v>0</v>
      </c>
      <c r="AL264" s="138">
        <f>IF('1.DATOS-PROD'!AU265="SI",VLOOKUP('1.DATOS-PROD'!AU$2,'1.PUNTOS'!$A$1:$B$63,2,0),0)</f>
        <v>0</v>
      </c>
      <c r="AM264" s="138">
        <f>IF('1.DATOS-PROD'!AV265="SI",VLOOKUP('1.DATOS-PROD'!AV$2,'1.PUNTOS'!$A$1:$B$63,2,0),0)</f>
        <v>0</v>
      </c>
      <c r="AN264" s="138">
        <f>IF('1.DATOS-PROD'!AW265="SI",VLOOKUP('1.DATOS-PROD'!AW$2,'1.PUNTOS'!$A$1:$B$63,2,0),0)</f>
        <v>0</v>
      </c>
      <c r="AO264" s="138">
        <f>IF('1.DATOS-PROD'!AX265="SI",VLOOKUP('1.DATOS-PROD'!AX$2,'1.PUNTOS'!$A$1:$B$63,2,0),0)</f>
        <v>0</v>
      </c>
      <c r="AP264" s="138">
        <f>IF('1.DATOS-PROD'!AY265="SI",VLOOKUP('1.DATOS-PROD'!AY$2,'1.PUNTOS'!$A$1:$B$63,2,0),0)</f>
        <v>0</v>
      </c>
      <c r="AQ264" s="138">
        <f>IF('1.DATOS-PROD'!AZ265="SI",VLOOKUP('1.DATOS-PROD'!AZ$2,'1.PUNTOS'!$A$1:$B$63,2,0),0)</f>
        <v>0</v>
      </c>
      <c r="AR264" s="138">
        <f>IF('1.DATOS-PROD'!BA265="SI",VLOOKUP('1.DATOS-PROD'!BA$2,'1.PUNTOS'!$A$1:$B$63,2,0),0)</f>
        <v>0</v>
      </c>
      <c r="AS264" s="138">
        <f>IF('1.DATOS-PROD'!BB265="SI",VLOOKUP('1.DATOS-PROD'!BB$2,'1.PUNTOS'!$A$1:$B$63,2,0),0)</f>
        <v>0</v>
      </c>
      <c r="AT264" s="138">
        <f>IF('1.DATOS-PROD'!BC265="SI",VLOOKUP('1.DATOS-PROD'!BC$2,'1.PUNTOS'!$A$1:$B$63,2,0),0)</f>
        <v>0</v>
      </c>
      <c r="AU264" s="138">
        <f>IF('1.DATOS-PROD'!BD265="SI",VLOOKUP('1.DATOS-PROD'!BD$2,'1.PUNTOS'!$A$1:$B$63,2,0),0)</f>
        <v>0</v>
      </c>
      <c r="AV264" s="138">
        <f>IF('1.DATOS-PROD'!BE265="SI",VLOOKUP('1.DATOS-PROD'!BE$2,'1.PUNTOS'!$A$1:$B$63,2,0),0)</f>
        <v>0</v>
      </c>
      <c r="AW264" s="138">
        <f>IF('1.DATOS-PROD'!BF265="SI",VLOOKUP('1.DATOS-PROD'!BF$2,'1.PUNTOS'!$A$1:$B$63,2,0),0)</f>
        <v>0</v>
      </c>
      <c r="AX264" s="138">
        <f>IF('1.DATOS-PROD'!BG265="SI",VLOOKUP('1.DATOS-PROD'!BG$2,'1.PUNTOS'!$A$1:$B$63,2,0),0)</f>
        <v>0</v>
      </c>
      <c r="AY264" s="138">
        <f>IF('1.DATOS-PROD'!BH265="SI",VLOOKUP('1.DATOS-PROD'!BH$2,'1.PUNTOS'!$A$1:$B$63,2,0),0)</f>
        <v>0</v>
      </c>
      <c r="AZ264" s="138">
        <f>IF('1.DATOS-PROD'!BI265="SI",VLOOKUP('1.DATOS-PROD'!BI$2,'1.PUNTOS'!$A$1:$B$63,2,0),0)</f>
        <v>0</v>
      </c>
      <c r="BA264" s="138">
        <f>IF('1.DATOS-PROD'!BJ265="SI",VLOOKUP('1.DATOS-PROD'!BJ$2,'1.PUNTOS'!$A$1:$B$63,2,0),0)</f>
        <v>0</v>
      </c>
      <c r="BB264" s="138">
        <f>IF('1.DATOS-PROD'!BK265="SI",VLOOKUP('1.DATOS-PROD'!BK$2,'1.PUNTOS'!$A$1:$B$63,2,0),0)</f>
        <v>0</v>
      </c>
      <c r="BC264" s="138">
        <f>IF('1.DATOS-PROD'!BL265="SI",VLOOKUP('1.DATOS-PROD'!BL$2,'1.PUNTOS'!$A$1:$B$63,2,0),0)</f>
        <v>0</v>
      </c>
      <c r="BD264" s="138">
        <f>IF('1.DATOS-PROD'!BM265="SI",VLOOKUP('1.DATOS-PROD'!BM$2,'1.PUNTOS'!$A$1:$B$63,2,0),0)</f>
        <v>0</v>
      </c>
      <c r="BE264" s="138">
        <f>IF('1.DATOS-PROD'!BN265="SI",VLOOKUP('1.DATOS-PROD'!BN$2,'1.PUNTOS'!$A$1:$B$63,2,0),0)</f>
        <v>0</v>
      </c>
      <c r="BF264" s="138">
        <f>IF('1.DATOS-PROD'!BO265="SI",VLOOKUP('1.DATOS-PROD'!BO$2,'1.PUNTOS'!$A$1:$B$63,2,0),0)</f>
        <v>0</v>
      </c>
      <c r="BG264" s="138">
        <f>IF('1.DATOS-PROD'!BP265="SI",VLOOKUP('1.DATOS-PROD'!BP$2,'1.PUNTOS'!$A$1:$B$63,2,0),0)</f>
        <v>0</v>
      </c>
      <c r="BH264" s="138">
        <f>IF('1.DATOS-PROD'!BQ265="SI",VLOOKUP('1.DATOS-PROD'!BQ$2,'1.PUNTOS'!$A$1:$B$63,2,0),0)</f>
        <v>0</v>
      </c>
      <c r="BI264" s="138">
        <f>IF('1.DATOS-PROD'!BR265="SI",VLOOKUP('1.DATOS-PROD'!BR$2,'1.PUNTOS'!$A$1:$B$63,2,0),0)</f>
        <v>0</v>
      </c>
      <c r="BJ264" s="138">
        <f>IF('1.DATOS-PROD'!BS265="SI",VLOOKUP('1.DATOS-PROD'!BS$2,'1.PUNTOS'!$A$1:$B$63,2,0),0)</f>
        <v>0</v>
      </c>
      <c r="BK264" s="138">
        <f>IF('1.DATOS-PROD'!BT265="SI",VLOOKUP('1.DATOS-PROD'!BT$2,'1.PUNTOS'!$A$1:$B$63,2,0),0)</f>
        <v>0</v>
      </c>
    </row>
    <row r="265" spans="1:63" x14ac:dyDescent="0.25">
      <c r="A265">
        <f>'0.Consolidado general'!$A266</f>
        <v>0</v>
      </c>
      <c r="B265" s="138">
        <f>IF('1.DATOS-PROD'!K266="SI",VLOOKUP('1.DATOS-PROD'!K$2,'1.PUNTOS'!$A$1:$B$63,2,0),0)</f>
        <v>0</v>
      </c>
      <c r="C265" s="138">
        <f>IF('1.DATOS-PROD'!L266="SI",VLOOKUP('1.DATOS-PROD'!L$2,'1.PUNTOS'!$A$1:$B$63,2,0),0)</f>
        <v>0</v>
      </c>
      <c r="D265" s="138">
        <f>IF('1.DATOS-PROD'!M266="SI",VLOOKUP('1.DATOS-PROD'!M$2,'1.PUNTOS'!$A$1:$B$63,2,0),0)</f>
        <v>0</v>
      </c>
      <c r="E265" s="138">
        <f>IF('1.DATOS-PROD'!N266="SI",VLOOKUP('1.DATOS-PROD'!N$2,'1.PUNTOS'!$A$1:$B$63,2,0),0)</f>
        <v>0</v>
      </c>
      <c r="F265" s="138">
        <f>IF('1.DATOS-PROD'!O266="SI",VLOOKUP('1.DATOS-PROD'!O$2,'1.PUNTOS'!$A$1:$B$63,2,0),0)</f>
        <v>0</v>
      </c>
      <c r="G265" s="138">
        <f>IF('1.DATOS-PROD'!P266="SI",VLOOKUP('1.DATOS-PROD'!P$2,'1.PUNTOS'!$A$1:$B$63,2,0),0)</f>
        <v>0</v>
      </c>
      <c r="H265" s="138">
        <f>IF('1.DATOS-PROD'!Q266="SI",VLOOKUP('1.DATOS-PROD'!Q$2,'1.PUNTOS'!$A$1:$B$63,2,0),0)</f>
        <v>0</v>
      </c>
      <c r="I265" s="138">
        <f>IF('1.DATOS-PROD'!R266="SI",VLOOKUP('1.DATOS-PROD'!R$2,'1.PUNTOS'!$A$1:$B$63,2,0),0)</f>
        <v>0</v>
      </c>
      <c r="J265" s="138">
        <f>IF('1.DATOS-PROD'!S266="SI",VLOOKUP('1.DATOS-PROD'!S$2,'1.PUNTOS'!$A$1:$B$63,2,0),0)</f>
        <v>0</v>
      </c>
      <c r="K265" s="138">
        <f>IF('1.DATOS-PROD'!T266="SI",VLOOKUP('1.DATOS-PROD'!T$2,'1.PUNTOS'!$A$1:$B$63,2,0),0)</f>
        <v>0</v>
      </c>
      <c r="L265" s="138">
        <f>IF('1.DATOS-PROD'!U266="SI",VLOOKUP('1.DATOS-PROD'!U$2,'1.PUNTOS'!$A$1:$B$63,2,0),0)</f>
        <v>0</v>
      </c>
      <c r="M265" s="138">
        <f>IF('1.DATOS-PROD'!V266="SI",VLOOKUP('1.DATOS-PROD'!V$2,'1.PUNTOS'!$A$1:$B$63,2,0),0)</f>
        <v>0</v>
      </c>
      <c r="N265" s="138">
        <f>IF('1.DATOS-PROD'!W266="SI",VLOOKUP('1.DATOS-PROD'!W$2,'1.PUNTOS'!$A$1:$B$63,2,0),0)</f>
        <v>0</v>
      </c>
      <c r="O265" s="138">
        <f>IF('1.DATOS-PROD'!X266="SI",VLOOKUP('1.DATOS-PROD'!X$2,'1.PUNTOS'!$A$1:$B$63,2,0),0)</f>
        <v>0</v>
      </c>
      <c r="P265" s="138">
        <f>IF('1.DATOS-PROD'!Y266="SI",VLOOKUP('1.DATOS-PROD'!Y$2,'1.PUNTOS'!$A$1:$B$63,2,0),0)</f>
        <v>0</v>
      </c>
      <c r="Q265" s="138">
        <f>IF('1.DATOS-PROD'!Z266="SI",VLOOKUP('1.DATOS-PROD'!Z$2,'1.PUNTOS'!$A$1:$B$63,2,0),0)</f>
        <v>0</v>
      </c>
      <c r="R265" s="138">
        <f>IF('1.DATOS-PROD'!AA266="SI",VLOOKUP('1.DATOS-PROD'!AA$2,'1.PUNTOS'!$A$1:$B$63,2,0),0)</f>
        <v>0</v>
      </c>
      <c r="S265" s="138">
        <f>IF('1.DATOS-PROD'!AB266="SI",VLOOKUP('1.DATOS-PROD'!AB$2,'1.PUNTOS'!$A$1:$B$63,2,0),0)</f>
        <v>0</v>
      </c>
      <c r="T265" s="138">
        <f>IF('1.DATOS-PROD'!AC266="SI",VLOOKUP('1.DATOS-PROD'!AC$2,'1.PUNTOS'!$A$1:$B$63,2,0),0)</f>
        <v>0</v>
      </c>
      <c r="U265" s="138">
        <f>IF('1.DATOS-PROD'!AD266="SI",VLOOKUP('1.DATOS-PROD'!AD$2,'1.PUNTOS'!$A$1:$B$63,2,0),0)</f>
        <v>0</v>
      </c>
      <c r="V265" s="138">
        <f>IF('1.DATOS-PROD'!AE266="SI",VLOOKUP('1.DATOS-PROD'!AE$2,'1.PUNTOS'!$A$1:$B$63,2,0),0)</f>
        <v>0</v>
      </c>
      <c r="W265" s="138">
        <f>IF('1.DATOS-PROD'!AF266="SI",VLOOKUP('1.DATOS-PROD'!AF$2,'1.PUNTOS'!$A$1:$B$63,2,0),0)</f>
        <v>0</v>
      </c>
      <c r="X265" s="138">
        <f>IF('1.DATOS-PROD'!AG266="SI",VLOOKUP('1.DATOS-PROD'!AG$2,'1.PUNTOS'!$A$1:$B$63,2,0),0)</f>
        <v>0</v>
      </c>
      <c r="Y265" s="138">
        <f>IF('1.DATOS-PROD'!AH266="SI",VLOOKUP('1.DATOS-PROD'!AH$2,'1.PUNTOS'!$A$1:$B$63,2,0),0)</f>
        <v>0</v>
      </c>
      <c r="Z265" s="138">
        <f>IF('1.DATOS-PROD'!AI266="SI",VLOOKUP('1.DATOS-PROD'!AI$2,'1.PUNTOS'!$A$1:$B$63,2,0),0)</f>
        <v>0</v>
      </c>
      <c r="AA265" s="138">
        <f>IF('1.DATOS-PROD'!AJ266="SI",VLOOKUP('1.DATOS-PROD'!AJ$2,'1.PUNTOS'!$A$1:$B$63,2,0),0)</f>
        <v>0</v>
      </c>
      <c r="AB265" s="138">
        <f>IF('1.DATOS-PROD'!AK266="SI",VLOOKUP('1.DATOS-PROD'!AK$2,'1.PUNTOS'!$A$1:$B$63,2,0),0)</f>
        <v>0</v>
      </c>
      <c r="AC265" s="138">
        <f>IF('1.DATOS-PROD'!AL266="SI",VLOOKUP('1.DATOS-PROD'!AL$2,'1.PUNTOS'!$A$1:$B$63,2,0),0)</f>
        <v>0</v>
      </c>
      <c r="AD265" s="138">
        <f>IF('1.DATOS-PROD'!AM266="SI",VLOOKUP('1.DATOS-PROD'!AM$2,'1.PUNTOS'!$A$1:$B$63,2,0),0)</f>
        <v>0</v>
      </c>
      <c r="AE265" s="138">
        <f>IF('1.DATOS-PROD'!AN266="SI",VLOOKUP('1.DATOS-PROD'!AN$2,'1.PUNTOS'!$A$1:$B$63,2,0),0)</f>
        <v>0</v>
      </c>
      <c r="AF265" s="138">
        <f>IF('1.DATOS-PROD'!AO266="SI",VLOOKUP('1.DATOS-PROD'!AO$2,'1.PUNTOS'!$A$1:$B$63,2,0),0)</f>
        <v>0</v>
      </c>
      <c r="AG265" s="138">
        <f>IF('1.DATOS-PROD'!AP266="SI",VLOOKUP('1.DATOS-PROD'!AP$2,'1.PUNTOS'!$A$1:$B$63,2,0),0)</f>
        <v>0</v>
      </c>
      <c r="AH265" s="138">
        <f>IF('1.DATOS-PROD'!AQ266="SI",VLOOKUP('1.DATOS-PROD'!AQ$2,'1.PUNTOS'!$A$1:$B$63,2,0),0)</f>
        <v>0</v>
      </c>
      <c r="AI265" s="138">
        <f>IF('1.DATOS-PROD'!AR266="SI",VLOOKUP('1.DATOS-PROD'!AR$2,'1.PUNTOS'!$A$1:$B$63,2,0),0)</f>
        <v>0</v>
      </c>
      <c r="AJ265" s="138">
        <f>IF('1.DATOS-PROD'!AS266="SI",VLOOKUP('1.DATOS-PROD'!AS$2,'1.PUNTOS'!$A$1:$B$63,2,0),0)</f>
        <v>0</v>
      </c>
      <c r="AK265" s="138">
        <f>IF('1.DATOS-PROD'!AT266="SI",VLOOKUP('1.DATOS-PROD'!AT$2,'1.PUNTOS'!$A$1:$B$63,2,0),0)</f>
        <v>0</v>
      </c>
      <c r="AL265" s="138">
        <f>IF('1.DATOS-PROD'!AU266="SI",VLOOKUP('1.DATOS-PROD'!AU$2,'1.PUNTOS'!$A$1:$B$63,2,0),0)</f>
        <v>0</v>
      </c>
      <c r="AM265" s="138">
        <f>IF('1.DATOS-PROD'!AV266="SI",VLOOKUP('1.DATOS-PROD'!AV$2,'1.PUNTOS'!$A$1:$B$63,2,0),0)</f>
        <v>0</v>
      </c>
      <c r="AN265" s="138">
        <f>IF('1.DATOS-PROD'!AW266="SI",VLOOKUP('1.DATOS-PROD'!AW$2,'1.PUNTOS'!$A$1:$B$63,2,0),0)</f>
        <v>0</v>
      </c>
      <c r="AO265" s="138">
        <f>IF('1.DATOS-PROD'!AX266="SI",VLOOKUP('1.DATOS-PROD'!AX$2,'1.PUNTOS'!$A$1:$B$63,2,0),0)</f>
        <v>0</v>
      </c>
      <c r="AP265" s="138">
        <f>IF('1.DATOS-PROD'!AY266="SI",VLOOKUP('1.DATOS-PROD'!AY$2,'1.PUNTOS'!$A$1:$B$63,2,0),0)</f>
        <v>0</v>
      </c>
      <c r="AQ265" s="138">
        <f>IF('1.DATOS-PROD'!AZ266="SI",VLOOKUP('1.DATOS-PROD'!AZ$2,'1.PUNTOS'!$A$1:$B$63,2,0),0)</f>
        <v>0</v>
      </c>
      <c r="AR265" s="138">
        <f>IF('1.DATOS-PROD'!BA266="SI",VLOOKUP('1.DATOS-PROD'!BA$2,'1.PUNTOS'!$A$1:$B$63,2,0),0)</f>
        <v>0</v>
      </c>
      <c r="AS265" s="138">
        <f>IF('1.DATOS-PROD'!BB266="SI",VLOOKUP('1.DATOS-PROD'!BB$2,'1.PUNTOS'!$A$1:$B$63,2,0),0)</f>
        <v>0</v>
      </c>
      <c r="AT265" s="138">
        <f>IF('1.DATOS-PROD'!BC266="SI",VLOOKUP('1.DATOS-PROD'!BC$2,'1.PUNTOS'!$A$1:$B$63,2,0),0)</f>
        <v>0</v>
      </c>
      <c r="AU265" s="138">
        <f>IF('1.DATOS-PROD'!BD266="SI",VLOOKUP('1.DATOS-PROD'!BD$2,'1.PUNTOS'!$A$1:$B$63,2,0),0)</f>
        <v>0</v>
      </c>
      <c r="AV265" s="138">
        <f>IF('1.DATOS-PROD'!BE266="SI",VLOOKUP('1.DATOS-PROD'!BE$2,'1.PUNTOS'!$A$1:$B$63,2,0),0)</f>
        <v>0</v>
      </c>
      <c r="AW265" s="138">
        <f>IF('1.DATOS-PROD'!BF266="SI",VLOOKUP('1.DATOS-PROD'!BF$2,'1.PUNTOS'!$A$1:$B$63,2,0),0)</f>
        <v>0</v>
      </c>
      <c r="AX265" s="138">
        <f>IF('1.DATOS-PROD'!BG266="SI",VLOOKUP('1.DATOS-PROD'!BG$2,'1.PUNTOS'!$A$1:$B$63,2,0),0)</f>
        <v>0</v>
      </c>
      <c r="AY265" s="138">
        <f>IF('1.DATOS-PROD'!BH266="SI",VLOOKUP('1.DATOS-PROD'!BH$2,'1.PUNTOS'!$A$1:$B$63,2,0),0)</f>
        <v>0</v>
      </c>
      <c r="AZ265" s="138">
        <f>IF('1.DATOS-PROD'!BI266="SI",VLOOKUP('1.DATOS-PROD'!BI$2,'1.PUNTOS'!$A$1:$B$63,2,0),0)</f>
        <v>0</v>
      </c>
      <c r="BA265" s="138">
        <f>IF('1.DATOS-PROD'!BJ266="SI",VLOOKUP('1.DATOS-PROD'!BJ$2,'1.PUNTOS'!$A$1:$B$63,2,0),0)</f>
        <v>0</v>
      </c>
      <c r="BB265" s="138">
        <f>IF('1.DATOS-PROD'!BK266="SI",VLOOKUP('1.DATOS-PROD'!BK$2,'1.PUNTOS'!$A$1:$B$63,2,0),0)</f>
        <v>0</v>
      </c>
      <c r="BC265" s="138">
        <f>IF('1.DATOS-PROD'!BL266="SI",VLOOKUP('1.DATOS-PROD'!BL$2,'1.PUNTOS'!$A$1:$B$63,2,0),0)</f>
        <v>0</v>
      </c>
      <c r="BD265" s="138">
        <f>IF('1.DATOS-PROD'!BM266="SI",VLOOKUP('1.DATOS-PROD'!BM$2,'1.PUNTOS'!$A$1:$B$63,2,0),0)</f>
        <v>0</v>
      </c>
      <c r="BE265" s="138">
        <f>IF('1.DATOS-PROD'!BN266="SI",VLOOKUP('1.DATOS-PROD'!BN$2,'1.PUNTOS'!$A$1:$B$63,2,0),0)</f>
        <v>0</v>
      </c>
      <c r="BF265" s="138">
        <f>IF('1.DATOS-PROD'!BO266="SI",VLOOKUP('1.DATOS-PROD'!BO$2,'1.PUNTOS'!$A$1:$B$63,2,0),0)</f>
        <v>0</v>
      </c>
      <c r="BG265" s="138">
        <f>IF('1.DATOS-PROD'!BP266="SI",VLOOKUP('1.DATOS-PROD'!BP$2,'1.PUNTOS'!$A$1:$B$63,2,0),0)</f>
        <v>0</v>
      </c>
      <c r="BH265" s="138">
        <f>IF('1.DATOS-PROD'!BQ266="SI",VLOOKUP('1.DATOS-PROD'!BQ$2,'1.PUNTOS'!$A$1:$B$63,2,0),0)</f>
        <v>0</v>
      </c>
      <c r="BI265" s="138">
        <f>IF('1.DATOS-PROD'!BR266="SI",VLOOKUP('1.DATOS-PROD'!BR$2,'1.PUNTOS'!$A$1:$B$63,2,0),0)</f>
        <v>0</v>
      </c>
      <c r="BJ265" s="138">
        <f>IF('1.DATOS-PROD'!BS266="SI",VLOOKUP('1.DATOS-PROD'!BS$2,'1.PUNTOS'!$A$1:$B$63,2,0),0)</f>
        <v>0</v>
      </c>
      <c r="BK265" s="138">
        <f>IF('1.DATOS-PROD'!BT266="SI",VLOOKUP('1.DATOS-PROD'!BT$2,'1.PUNTOS'!$A$1:$B$63,2,0),0)</f>
        <v>0</v>
      </c>
    </row>
    <row r="266" spans="1:63" x14ac:dyDescent="0.25">
      <c r="A266">
        <f>'0.Consolidado general'!$A267</f>
        <v>0</v>
      </c>
      <c r="B266" s="138">
        <f>IF('1.DATOS-PROD'!K267="SI",VLOOKUP('1.DATOS-PROD'!K$2,'1.PUNTOS'!$A$1:$B$63,2,0),0)</f>
        <v>0</v>
      </c>
      <c r="C266" s="138">
        <f>IF('1.DATOS-PROD'!L267="SI",VLOOKUP('1.DATOS-PROD'!L$2,'1.PUNTOS'!$A$1:$B$63,2,0),0)</f>
        <v>0</v>
      </c>
      <c r="D266" s="138">
        <f>IF('1.DATOS-PROD'!M267="SI",VLOOKUP('1.DATOS-PROD'!M$2,'1.PUNTOS'!$A$1:$B$63,2,0),0)</f>
        <v>0</v>
      </c>
      <c r="E266" s="138">
        <f>IF('1.DATOS-PROD'!N267="SI",VLOOKUP('1.DATOS-PROD'!N$2,'1.PUNTOS'!$A$1:$B$63,2,0),0)</f>
        <v>0</v>
      </c>
      <c r="F266" s="138">
        <f>IF('1.DATOS-PROD'!O267="SI",VLOOKUP('1.DATOS-PROD'!O$2,'1.PUNTOS'!$A$1:$B$63,2,0),0)</f>
        <v>0</v>
      </c>
      <c r="G266" s="138">
        <f>IF('1.DATOS-PROD'!P267="SI",VLOOKUP('1.DATOS-PROD'!P$2,'1.PUNTOS'!$A$1:$B$63,2,0),0)</f>
        <v>0</v>
      </c>
      <c r="H266" s="138">
        <f>IF('1.DATOS-PROD'!Q267="SI",VLOOKUP('1.DATOS-PROD'!Q$2,'1.PUNTOS'!$A$1:$B$63,2,0),0)</f>
        <v>0</v>
      </c>
      <c r="I266" s="138">
        <f>IF('1.DATOS-PROD'!R267="SI",VLOOKUP('1.DATOS-PROD'!R$2,'1.PUNTOS'!$A$1:$B$63,2,0),0)</f>
        <v>0</v>
      </c>
      <c r="J266" s="138">
        <f>IF('1.DATOS-PROD'!S267="SI",VLOOKUP('1.DATOS-PROD'!S$2,'1.PUNTOS'!$A$1:$B$63,2,0),0)</f>
        <v>0</v>
      </c>
      <c r="K266" s="138">
        <f>IF('1.DATOS-PROD'!T267="SI",VLOOKUP('1.DATOS-PROD'!T$2,'1.PUNTOS'!$A$1:$B$63,2,0),0)</f>
        <v>0</v>
      </c>
      <c r="L266" s="138">
        <f>IF('1.DATOS-PROD'!U267="SI",VLOOKUP('1.DATOS-PROD'!U$2,'1.PUNTOS'!$A$1:$B$63,2,0),0)</f>
        <v>0</v>
      </c>
      <c r="M266" s="138">
        <f>IF('1.DATOS-PROD'!V267="SI",VLOOKUP('1.DATOS-PROD'!V$2,'1.PUNTOS'!$A$1:$B$63,2,0),0)</f>
        <v>0</v>
      </c>
      <c r="N266" s="138">
        <f>IF('1.DATOS-PROD'!W267="SI",VLOOKUP('1.DATOS-PROD'!W$2,'1.PUNTOS'!$A$1:$B$63,2,0),0)</f>
        <v>0</v>
      </c>
      <c r="O266" s="138">
        <f>IF('1.DATOS-PROD'!X267="SI",VLOOKUP('1.DATOS-PROD'!X$2,'1.PUNTOS'!$A$1:$B$63,2,0),0)</f>
        <v>0</v>
      </c>
      <c r="P266" s="138">
        <f>IF('1.DATOS-PROD'!Y267="SI",VLOOKUP('1.DATOS-PROD'!Y$2,'1.PUNTOS'!$A$1:$B$63,2,0),0)</f>
        <v>0</v>
      </c>
      <c r="Q266" s="138">
        <f>IF('1.DATOS-PROD'!Z267="SI",VLOOKUP('1.DATOS-PROD'!Z$2,'1.PUNTOS'!$A$1:$B$63,2,0),0)</f>
        <v>0</v>
      </c>
      <c r="R266" s="138">
        <f>IF('1.DATOS-PROD'!AA267="SI",VLOOKUP('1.DATOS-PROD'!AA$2,'1.PUNTOS'!$A$1:$B$63,2,0),0)</f>
        <v>0</v>
      </c>
      <c r="S266" s="138">
        <f>IF('1.DATOS-PROD'!AB267="SI",VLOOKUP('1.DATOS-PROD'!AB$2,'1.PUNTOS'!$A$1:$B$63,2,0),0)</f>
        <v>0</v>
      </c>
      <c r="T266" s="138">
        <f>IF('1.DATOS-PROD'!AC267="SI",VLOOKUP('1.DATOS-PROD'!AC$2,'1.PUNTOS'!$A$1:$B$63,2,0),0)</f>
        <v>0</v>
      </c>
      <c r="U266" s="138">
        <f>IF('1.DATOS-PROD'!AD267="SI",VLOOKUP('1.DATOS-PROD'!AD$2,'1.PUNTOS'!$A$1:$B$63,2,0),0)</f>
        <v>0</v>
      </c>
      <c r="V266" s="138">
        <f>IF('1.DATOS-PROD'!AE267="SI",VLOOKUP('1.DATOS-PROD'!AE$2,'1.PUNTOS'!$A$1:$B$63,2,0),0)</f>
        <v>0</v>
      </c>
      <c r="W266" s="138">
        <f>IF('1.DATOS-PROD'!AF267="SI",VLOOKUP('1.DATOS-PROD'!AF$2,'1.PUNTOS'!$A$1:$B$63,2,0),0)</f>
        <v>0</v>
      </c>
      <c r="X266" s="138">
        <f>IF('1.DATOS-PROD'!AG267="SI",VLOOKUP('1.DATOS-PROD'!AG$2,'1.PUNTOS'!$A$1:$B$63,2,0),0)</f>
        <v>0</v>
      </c>
      <c r="Y266" s="138">
        <f>IF('1.DATOS-PROD'!AH267="SI",VLOOKUP('1.DATOS-PROD'!AH$2,'1.PUNTOS'!$A$1:$B$63,2,0),0)</f>
        <v>0</v>
      </c>
      <c r="Z266" s="138">
        <f>IF('1.DATOS-PROD'!AI267="SI",VLOOKUP('1.DATOS-PROD'!AI$2,'1.PUNTOS'!$A$1:$B$63,2,0),0)</f>
        <v>0</v>
      </c>
      <c r="AA266" s="138">
        <f>IF('1.DATOS-PROD'!AJ267="SI",VLOOKUP('1.DATOS-PROD'!AJ$2,'1.PUNTOS'!$A$1:$B$63,2,0),0)</f>
        <v>0</v>
      </c>
      <c r="AB266" s="138">
        <f>IF('1.DATOS-PROD'!AK267="SI",VLOOKUP('1.DATOS-PROD'!AK$2,'1.PUNTOS'!$A$1:$B$63,2,0),0)</f>
        <v>0</v>
      </c>
      <c r="AC266" s="138">
        <f>IF('1.DATOS-PROD'!AL267="SI",VLOOKUP('1.DATOS-PROD'!AL$2,'1.PUNTOS'!$A$1:$B$63,2,0),0)</f>
        <v>0</v>
      </c>
      <c r="AD266" s="138">
        <f>IF('1.DATOS-PROD'!AM267="SI",VLOOKUP('1.DATOS-PROD'!AM$2,'1.PUNTOS'!$A$1:$B$63,2,0),0)</f>
        <v>0</v>
      </c>
      <c r="AE266" s="138">
        <f>IF('1.DATOS-PROD'!AN267="SI",VLOOKUP('1.DATOS-PROD'!AN$2,'1.PUNTOS'!$A$1:$B$63,2,0),0)</f>
        <v>0</v>
      </c>
      <c r="AF266" s="138">
        <f>IF('1.DATOS-PROD'!AO267="SI",VLOOKUP('1.DATOS-PROD'!AO$2,'1.PUNTOS'!$A$1:$B$63,2,0),0)</f>
        <v>0</v>
      </c>
      <c r="AG266" s="138">
        <f>IF('1.DATOS-PROD'!AP267="SI",VLOOKUP('1.DATOS-PROD'!AP$2,'1.PUNTOS'!$A$1:$B$63,2,0),0)</f>
        <v>0</v>
      </c>
      <c r="AH266" s="138">
        <f>IF('1.DATOS-PROD'!AQ267="SI",VLOOKUP('1.DATOS-PROD'!AQ$2,'1.PUNTOS'!$A$1:$B$63,2,0),0)</f>
        <v>0</v>
      </c>
      <c r="AI266" s="138">
        <f>IF('1.DATOS-PROD'!AR267="SI",VLOOKUP('1.DATOS-PROD'!AR$2,'1.PUNTOS'!$A$1:$B$63,2,0),0)</f>
        <v>0</v>
      </c>
      <c r="AJ266" s="138">
        <f>IF('1.DATOS-PROD'!AS267="SI",VLOOKUP('1.DATOS-PROD'!AS$2,'1.PUNTOS'!$A$1:$B$63,2,0),0)</f>
        <v>0</v>
      </c>
      <c r="AK266" s="138">
        <f>IF('1.DATOS-PROD'!AT267="SI",VLOOKUP('1.DATOS-PROD'!AT$2,'1.PUNTOS'!$A$1:$B$63,2,0),0)</f>
        <v>0</v>
      </c>
      <c r="AL266" s="138">
        <f>IF('1.DATOS-PROD'!AU267="SI",VLOOKUP('1.DATOS-PROD'!AU$2,'1.PUNTOS'!$A$1:$B$63,2,0),0)</f>
        <v>0</v>
      </c>
      <c r="AM266" s="138">
        <f>IF('1.DATOS-PROD'!AV267="SI",VLOOKUP('1.DATOS-PROD'!AV$2,'1.PUNTOS'!$A$1:$B$63,2,0),0)</f>
        <v>0</v>
      </c>
      <c r="AN266" s="138">
        <f>IF('1.DATOS-PROD'!AW267="SI",VLOOKUP('1.DATOS-PROD'!AW$2,'1.PUNTOS'!$A$1:$B$63,2,0),0)</f>
        <v>0</v>
      </c>
      <c r="AO266" s="138">
        <f>IF('1.DATOS-PROD'!AX267="SI",VLOOKUP('1.DATOS-PROD'!AX$2,'1.PUNTOS'!$A$1:$B$63,2,0),0)</f>
        <v>0</v>
      </c>
      <c r="AP266" s="138">
        <f>IF('1.DATOS-PROD'!AY267="SI",VLOOKUP('1.DATOS-PROD'!AY$2,'1.PUNTOS'!$A$1:$B$63,2,0),0)</f>
        <v>0</v>
      </c>
      <c r="AQ266" s="138">
        <f>IF('1.DATOS-PROD'!AZ267="SI",VLOOKUP('1.DATOS-PROD'!AZ$2,'1.PUNTOS'!$A$1:$B$63,2,0),0)</f>
        <v>0</v>
      </c>
      <c r="AR266" s="138">
        <f>IF('1.DATOS-PROD'!BA267="SI",VLOOKUP('1.DATOS-PROD'!BA$2,'1.PUNTOS'!$A$1:$B$63,2,0),0)</f>
        <v>0</v>
      </c>
      <c r="AS266" s="138">
        <f>IF('1.DATOS-PROD'!BB267="SI",VLOOKUP('1.DATOS-PROD'!BB$2,'1.PUNTOS'!$A$1:$B$63,2,0),0)</f>
        <v>0</v>
      </c>
      <c r="AT266" s="138">
        <f>IF('1.DATOS-PROD'!BC267="SI",VLOOKUP('1.DATOS-PROD'!BC$2,'1.PUNTOS'!$A$1:$B$63,2,0),0)</f>
        <v>0</v>
      </c>
      <c r="AU266" s="138">
        <f>IF('1.DATOS-PROD'!BD267="SI",VLOOKUP('1.DATOS-PROD'!BD$2,'1.PUNTOS'!$A$1:$B$63,2,0),0)</f>
        <v>0</v>
      </c>
      <c r="AV266" s="138">
        <f>IF('1.DATOS-PROD'!BE267="SI",VLOOKUP('1.DATOS-PROD'!BE$2,'1.PUNTOS'!$A$1:$B$63,2,0),0)</f>
        <v>0</v>
      </c>
      <c r="AW266" s="138">
        <f>IF('1.DATOS-PROD'!BF267="SI",VLOOKUP('1.DATOS-PROD'!BF$2,'1.PUNTOS'!$A$1:$B$63,2,0),0)</f>
        <v>0</v>
      </c>
      <c r="AX266" s="138">
        <f>IF('1.DATOS-PROD'!BG267="SI",VLOOKUP('1.DATOS-PROD'!BG$2,'1.PUNTOS'!$A$1:$B$63,2,0),0)</f>
        <v>0</v>
      </c>
      <c r="AY266" s="138">
        <f>IF('1.DATOS-PROD'!BH267="SI",VLOOKUP('1.DATOS-PROD'!BH$2,'1.PUNTOS'!$A$1:$B$63,2,0),0)</f>
        <v>0</v>
      </c>
      <c r="AZ266" s="138">
        <f>IF('1.DATOS-PROD'!BI267="SI",VLOOKUP('1.DATOS-PROD'!BI$2,'1.PUNTOS'!$A$1:$B$63,2,0),0)</f>
        <v>0</v>
      </c>
      <c r="BA266" s="138">
        <f>IF('1.DATOS-PROD'!BJ267="SI",VLOOKUP('1.DATOS-PROD'!BJ$2,'1.PUNTOS'!$A$1:$B$63,2,0),0)</f>
        <v>0</v>
      </c>
      <c r="BB266" s="138">
        <f>IF('1.DATOS-PROD'!BK267="SI",VLOOKUP('1.DATOS-PROD'!BK$2,'1.PUNTOS'!$A$1:$B$63,2,0),0)</f>
        <v>0</v>
      </c>
      <c r="BC266" s="138">
        <f>IF('1.DATOS-PROD'!BL267="SI",VLOOKUP('1.DATOS-PROD'!BL$2,'1.PUNTOS'!$A$1:$B$63,2,0),0)</f>
        <v>0</v>
      </c>
      <c r="BD266" s="138">
        <f>IF('1.DATOS-PROD'!BM267="SI",VLOOKUP('1.DATOS-PROD'!BM$2,'1.PUNTOS'!$A$1:$B$63,2,0),0)</f>
        <v>0</v>
      </c>
      <c r="BE266" s="138">
        <f>IF('1.DATOS-PROD'!BN267="SI",VLOOKUP('1.DATOS-PROD'!BN$2,'1.PUNTOS'!$A$1:$B$63,2,0),0)</f>
        <v>0</v>
      </c>
      <c r="BF266" s="138">
        <f>IF('1.DATOS-PROD'!BO267="SI",VLOOKUP('1.DATOS-PROD'!BO$2,'1.PUNTOS'!$A$1:$B$63,2,0),0)</f>
        <v>0</v>
      </c>
      <c r="BG266" s="138">
        <f>IF('1.DATOS-PROD'!BP267="SI",VLOOKUP('1.DATOS-PROD'!BP$2,'1.PUNTOS'!$A$1:$B$63,2,0),0)</f>
        <v>0</v>
      </c>
      <c r="BH266" s="138">
        <f>IF('1.DATOS-PROD'!BQ267="SI",VLOOKUP('1.DATOS-PROD'!BQ$2,'1.PUNTOS'!$A$1:$B$63,2,0),0)</f>
        <v>0</v>
      </c>
      <c r="BI266" s="138">
        <f>IF('1.DATOS-PROD'!BR267="SI",VLOOKUP('1.DATOS-PROD'!BR$2,'1.PUNTOS'!$A$1:$B$63,2,0),0)</f>
        <v>0</v>
      </c>
      <c r="BJ266" s="138">
        <f>IF('1.DATOS-PROD'!BS267="SI",VLOOKUP('1.DATOS-PROD'!BS$2,'1.PUNTOS'!$A$1:$B$63,2,0),0)</f>
        <v>0</v>
      </c>
      <c r="BK266" s="138">
        <f>IF('1.DATOS-PROD'!BT267="SI",VLOOKUP('1.DATOS-PROD'!BT$2,'1.PUNTOS'!$A$1:$B$63,2,0),0)</f>
        <v>0</v>
      </c>
    </row>
    <row r="267" spans="1:63" x14ac:dyDescent="0.25">
      <c r="A267">
        <f>'0.Consolidado general'!$A268</f>
        <v>0</v>
      </c>
      <c r="B267" s="138">
        <f>IF('1.DATOS-PROD'!K268="SI",VLOOKUP('1.DATOS-PROD'!K$2,'1.PUNTOS'!$A$1:$B$63,2,0),0)</f>
        <v>0</v>
      </c>
      <c r="C267" s="138">
        <f>IF('1.DATOS-PROD'!L268="SI",VLOOKUP('1.DATOS-PROD'!L$2,'1.PUNTOS'!$A$1:$B$63,2,0),0)</f>
        <v>0</v>
      </c>
      <c r="D267" s="138">
        <f>IF('1.DATOS-PROD'!M268="SI",VLOOKUP('1.DATOS-PROD'!M$2,'1.PUNTOS'!$A$1:$B$63,2,0),0)</f>
        <v>0</v>
      </c>
      <c r="E267" s="138">
        <f>IF('1.DATOS-PROD'!N268="SI",VLOOKUP('1.DATOS-PROD'!N$2,'1.PUNTOS'!$A$1:$B$63,2,0),0)</f>
        <v>0</v>
      </c>
      <c r="F267" s="138">
        <f>IF('1.DATOS-PROD'!O268="SI",VLOOKUP('1.DATOS-PROD'!O$2,'1.PUNTOS'!$A$1:$B$63,2,0),0)</f>
        <v>0</v>
      </c>
      <c r="G267" s="138">
        <f>IF('1.DATOS-PROD'!P268="SI",VLOOKUP('1.DATOS-PROD'!P$2,'1.PUNTOS'!$A$1:$B$63,2,0),0)</f>
        <v>0</v>
      </c>
      <c r="H267" s="138">
        <f>IF('1.DATOS-PROD'!Q268="SI",VLOOKUP('1.DATOS-PROD'!Q$2,'1.PUNTOS'!$A$1:$B$63,2,0),0)</f>
        <v>0</v>
      </c>
      <c r="I267" s="138">
        <f>IF('1.DATOS-PROD'!R268="SI",VLOOKUP('1.DATOS-PROD'!R$2,'1.PUNTOS'!$A$1:$B$63,2,0),0)</f>
        <v>0</v>
      </c>
      <c r="J267" s="138">
        <f>IF('1.DATOS-PROD'!S268="SI",VLOOKUP('1.DATOS-PROD'!S$2,'1.PUNTOS'!$A$1:$B$63,2,0),0)</f>
        <v>0</v>
      </c>
      <c r="K267" s="138">
        <f>IF('1.DATOS-PROD'!T268="SI",VLOOKUP('1.DATOS-PROD'!T$2,'1.PUNTOS'!$A$1:$B$63,2,0),0)</f>
        <v>0</v>
      </c>
      <c r="L267" s="138">
        <f>IF('1.DATOS-PROD'!U268="SI",VLOOKUP('1.DATOS-PROD'!U$2,'1.PUNTOS'!$A$1:$B$63,2,0),0)</f>
        <v>0</v>
      </c>
      <c r="M267" s="138">
        <f>IF('1.DATOS-PROD'!V268="SI",VLOOKUP('1.DATOS-PROD'!V$2,'1.PUNTOS'!$A$1:$B$63,2,0),0)</f>
        <v>0</v>
      </c>
      <c r="N267" s="138">
        <f>IF('1.DATOS-PROD'!W268="SI",VLOOKUP('1.DATOS-PROD'!W$2,'1.PUNTOS'!$A$1:$B$63,2,0),0)</f>
        <v>0</v>
      </c>
      <c r="O267" s="138">
        <f>IF('1.DATOS-PROD'!X268="SI",VLOOKUP('1.DATOS-PROD'!X$2,'1.PUNTOS'!$A$1:$B$63,2,0),0)</f>
        <v>0</v>
      </c>
      <c r="P267" s="138">
        <f>IF('1.DATOS-PROD'!Y268="SI",VLOOKUP('1.DATOS-PROD'!Y$2,'1.PUNTOS'!$A$1:$B$63,2,0),0)</f>
        <v>0</v>
      </c>
      <c r="Q267" s="138">
        <f>IF('1.DATOS-PROD'!Z268="SI",VLOOKUP('1.DATOS-PROD'!Z$2,'1.PUNTOS'!$A$1:$B$63,2,0),0)</f>
        <v>0</v>
      </c>
      <c r="R267" s="138">
        <f>IF('1.DATOS-PROD'!AA268="SI",VLOOKUP('1.DATOS-PROD'!AA$2,'1.PUNTOS'!$A$1:$B$63,2,0),0)</f>
        <v>0</v>
      </c>
      <c r="S267" s="138">
        <f>IF('1.DATOS-PROD'!AB268="SI",VLOOKUP('1.DATOS-PROD'!AB$2,'1.PUNTOS'!$A$1:$B$63,2,0),0)</f>
        <v>0</v>
      </c>
      <c r="T267" s="138">
        <f>IF('1.DATOS-PROD'!AC268="SI",VLOOKUP('1.DATOS-PROD'!AC$2,'1.PUNTOS'!$A$1:$B$63,2,0),0)</f>
        <v>0</v>
      </c>
      <c r="U267" s="138">
        <f>IF('1.DATOS-PROD'!AD268="SI",VLOOKUP('1.DATOS-PROD'!AD$2,'1.PUNTOS'!$A$1:$B$63,2,0),0)</f>
        <v>0</v>
      </c>
      <c r="V267" s="138">
        <f>IF('1.DATOS-PROD'!AE268="SI",VLOOKUP('1.DATOS-PROD'!AE$2,'1.PUNTOS'!$A$1:$B$63,2,0),0)</f>
        <v>0</v>
      </c>
      <c r="W267" s="138">
        <f>IF('1.DATOS-PROD'!AF268="SI",VLOOKUP('1.DATOS-PROD'!AF$2,'1.PUNTOS'!$A$1:$B$63,2,0),0)</f>
        <v>0</v>
      </c>
      <c r="X267" s="138">
        <f>IF('1.DATOS-PROD'!AG268="SI",VLOOKUP('1.DATOS-PROD'!AG$2,'1.PUNTOS'!$A$1:$B$63,2,0),0)</f>
        <v>0</v>
      </c>
      <c r="Y267" s="138">
        <f>IF('1.DATOS-PROD'!AH268="SI",VLOOKUP('1.DATOS-PROD'!AH$2,'1.PUNTOS'!$A$1:$B$63,2,0),0)</f>
        <v>0</v>
      </c>
      <c r="Z267" s="138">
        <f>IF('1.DATOS-PROD'!AI268="SI",VLOOKUP('1.DATOS-PROD'!AI$2,'1.PUNTOS'!$A$1:$B$63,2,0),0)</f>
        <v>0</v>
      </c>
      <c r="AA267" s="138">
        <f>IF('1.DATOS-PROD'!AJ268="SI",VLOOKUP('1.DATOS-PROD'!AJ$2,'1.PUNTOS'!$A$1:$B$63,2,0),0)</f>
        <v>0</v>
      </c>
      <c r="AB267" s="138">
        <f>IF('1.DATOS-PROD'!AK268="SI",VLOOKUP('1.DATOS-PROD'!AK$2,'1.PUNTOS'!$A$1:$B$63,2,0),0)</f>
        <v>0</v>
      </c>
      <c r="AC267" s="138">
        <f>IF('1.DATOS-PROD'!AL268="SI",VLOOKUP('1.DATOS-PROD'!AL$2,'1.PUNTOS'!$A$1:$B$63,2,0),0)</f>
        <v>0</v>
      </c>
      <c r="AD267" s="138">
        <f>IF('1.DATOS-PROD'!AM268="SI",VLOOKUP('1.DATOS-PROD'!AM$2,'1.PUNTOS'!$A$1:$B$63,2,0),0)</f>
        <v>0</v>
      </c>
      <c r="AE267" s="138">
        <f>IF('1.DATOS-PROD'!AN268="SI",VLOOKUP('1.DATOS-PROD'!AN$2,'1.PUNTOS'!$A$1:$B$63,2,0),0)</f>
        <v>0</v>
      </c>
      <c r="AF267" s="138">
        <f>IF('1.DATOS-PROD'!AO268="SI",VLOOKUP('1.DATOS-PROD'!AO$2,'1.PUNTOS'!$A$1:$B$63,2,0),0)</f>
        <v>0</v>
      </c>
      <c r="AG267" s="138">
        <f>IF('1.DATOS-PROD'!AP268="SI",VLOOKUP('1.DATOS-PROD'!AP$2,'1.PUNTOS'!$A$1:$B$63,2,0),0)</f>
        <v>0</v>
      </c>
      <c r="AH267" s="138">
        <f>IF('1.DATOS-PROD'!AQ268="SI",VLOOKUP('1.DATOS-PROD'!AQ$2,'1.PUNTOS'!$A$1:$B$63,2,0),0)</f>
        <v>0</v>
      </c>
      <c r="AI267" s="138">
        <f>IF('1.DATOS-PROD'!AR268="SI",VLOOKUP('1.DATOS-PROD'!AR$2,'1.PUNTOS'!$A$1:$B$63,2,0),0)</f>
        <v>0</v>
      </c>
      <c r="AJ267" s="138">
        <f>IF('1.DATOS-PROD'!AS268="SI",VLOOKUP('1.DATOS-PROD'!AS$2,'1.PUNTOS'!$A$1:$B$63,2,0),0)</f>
        <v>0</v>
      </c>
      <c r="AK267" s="138">
        <f>IF('1.DATOS-PROD'!AT268="SI",VLOOKUP('1.DATOS-PROD'!AT$2,'1.PUNTOS'!$A$1:$B$63,2,0),0)</f>
        <v>0</v>
      </c>
      <c r="AL267" s="138">
        <f>IF('1.DATOS-PROD'!AU268="SI",VLOOKUP('1.DATOS-PROD'!AU$2,'1.PUNTOS'!$A$1:$B$63,2,0),0)</f>
        <v>0</v>
      </c>
      <c r="AM267" s="138">
        <f>IF('1.DATOS-PROD'!AV268="SI",VLOOKUP('1.DATOS-PROD'!AV$2,'1.PUNTOS'!$A$1:$B$63,2,0),0)</f>
        <v>0</v>
      </c>
      <c r="AN267" s="138">
        <f>IF('1.DATOS-PROD'!AW268="SI",VLOOKUP('1.DATOS-PROD'!AW$2,'1.PUNTOS'!$A$1:$B$63,2,0),0)</f>
        <v>0</v>
      </c>
      <c r="AO267" s="138">
        <f>IF('1.DATOS-PROD'!AX268="SI",VLOOKUP('1.DATOS-PROD'!AX$2,'1.PUNTOS'!$A$1:$B$63,2,0),0)</f>
        <v>0</v>
      </c>
      <c r="AP267" s="138">
        <f>IF('1.DATOS-PROD'!AY268="SI",VLOOKUP('1.DATOS-PROD'!AY$2,'1.PUNTOS'!$A$1:$B$63,2,0),0)</f>
        <v>0</v>
      </c>
      <c r="AQ267" s="138">
        <f>IF('1.DATOS-PROD'!AZ268="SI",VLOOKUP('1.DATOS-PROD'!AZ$2,'1.PUNTOS'!$A$1:$B$63,2,0),0)</f>
        <v>0</v>
      </c>
      <c r="AR267" s="138">
        <f>IF('1.DATOS-PROD'!BA268="SI",VLOOKUP('1.DATOS-PROD'!BA$2,'1.PUNTOS'!$A$1:$B$63,2,0),0)</f>
        <v>0</v>
      </c>
      <c r="AS267" s="138">
        <f>IF('1.DATOS-PROD'!BB268="SI",VLOOKUP('1.DATOS-PROD'!BB$2,'1.PUNTOS'!$A$1:$B$63,2,0),0)</f>
        <v>0</v>
      </c>
      <c r="AT267" s="138">
        <f>IF('1.DATOS-PROD'!BC268="SI",VLOOKUP('1.DATOS-PROD'!BC$2,'1.PUNTOS'!$A$1:$B$63,2,0),0)</f>
        <v>0</v>
      </c>
      <c r="AU267" s="138">
        <f>IF('1.DATOS-PROD'!BD268="SI",VLOOKUP('1.DATOS-PROD'!BD$2,'1.PUNTOS'!$A$1:$B$63,2,0),0)</f>
        <v>0</v>
      </c>
      <c r="AV267" s="138">
        <f>IF('1.DATOS-PROD'!BE268="SI",VLOOKUP('1.DATOS-PROD'!BE$2,'1.PUNTOS'!$A$1:$B$63,2,0),0)</f>
        <v>0</v>
      </c>
      <c r="AW267" s="138">
        <f>IF('1.DATOS-PROD'!BF268="SI",VLOOKUP('1.DATOS-PROD'!BF$2,'1.PUNTOS'!$A$1:$B$63,2,0),0)</f>
        <v>0</v>
      </c>
      <c r="AX267" s="138">
        <f>IF('1.DATOS-PROD'!BG268="SI",VLOOKUP('1.DATOS-PROD'!BG$2,'1.PUNTOS'!$A$1:$B$63,2,0),0)</f>
        <v>0</v>
      </c>
      <c r="AY267" s="138">
        <f>IF('1.DATOS-PROD'!BH268="SI",VLOOKUP('1.DATOS-PROD'!BH$2,'1.PUNTOS'!$A$1:$B$63,2,0),0)</f>
        <v>0</v>
      </c>
      <c r="AZ267" s="138">
        <f>IF('1.DATOS-PROD'!BI268="SI",VLOOKUP('1.DATOS-PROD'!BI$2,'1.PUNTOS'!$A$1:$B$63,2,0),0)</f>
        <v>0</v>
      </c>
      <c r="BA267" s="138">
        <f>IF('1.DATOS-PROD'!BJ268="SI",VLOOKUP('1.DATOS-PROD'!BJ$2,'1.PUNTOS'!$A$1:$B$63,2,0),0)</f>
        <v>0</v>
      </c>
      <c r="BB267" s="138">
        <f>IF('1.DATOS-PROD'!BK268="SI",VLOOKUP('1.DATOS-PROD'!BK$2,'1.PUNTOS'!$A$1:$B$63,2,0),0)</f>
        <v>0</v>
      </c>
      <c r="BC267" s="138">
        <f>IF('1.DATOS-PROD'!BL268="SI",VLOOKUP('1.DATOS-PROD'!BL$2,'1.PUNTOS'!$A$1:$B$63,2,0),0)</f>
        <v>0</v>
      </c>
      <c r="BD267" s="138">
        <f>IF('1.DATOS-PROD'!BM268="SI",VLOOKUP('1.DATOS-PROD'!BM$2,'1.PUNTOS'!$A$1:$B$63,2,0),0)</f>
        <v>0</v>
      </c>
      <c r="BE267" s="138">
        <f>IF('1.DATOS-PROD'!BN268="SI",VLOOKUP('1.DATOS-PROD'!BN$2,'1.PUNTOS'!$A$1:$B$63,2,0),0)</f>
        <v>0</v>
      </c>
      <c r="BF267" s="138">
        <f>IF('1.DATOS-PROD'!BO268="SI",VLOOKUP('1.DATOS-PROD'!BO$2,'1.PUNTOS'!$A$1:$B$63,2,0),0)</f>
        <v>0</v>
      </c>
      <c r="BG267" s="138">
        <f>IF('1.DATOS-PROD'!BP268="SI",VLOOKUP('1.DATOS-PROD'!BP$2,'1.PUNTOS'!$A$1:$B$63,2,0),0)</f>
        <v>0</v>
      </c>
      <c r="BH267" s="138">
        <f>IF('1.DATOS-PROD'!BQ268="SI",VLOOKUP('1.DATOS-PROD'!BQ$2,'1.PUNTOS'!$A$1:$B$63,2,0),0)</f>
        <v>0</v>
      </c>
      <c r="BI267" s="138">
        <f>IF('1.DATOS-PROD'!BR268="SI",VLOOKUP('1.DATOS-PROD'!BR$2,'1.PUNTOS'!$A$1:$B$63,2,0),0)</f>
        <v>0</v>
      </c>
      <c r="BJ267" s="138">
        <f>IF('1.DATOS-PROD'!BS268="SI",VLOOKUP('1.DATOS-PROD'!BS$2,'1.PUNTOS'!$A$1:$B$63,2,0),0)</f>
        <v>0</v>
      </c>
      <c r="BK267" s="138">
        <f>IF('1.DATOS-PROD'!BT268="SI",VLOOKUP('1.DATOS-PROD'!BT$2,'1.PUNTOS'!$A$1:$B$63,2,0),0)</f>
        <v>0</v>
      </c>
    </row>
    <row r="268" spans="1:63" x14ac:dyDescent="0.25">
      <c r="A268">
        <f>'0.Consolidado general'!$A269</f>
        <v>0</v>
      </c>
      <c r="B268" s="138">
        <f>IF('1.DATOS-PROD'!K269="SI",VLOOKUP('1.DATOS-PROD'!K$2,'1.PUNTOS'!$A$1:$B$63,2,0),0)</f>
        <v>0</v>
      </c>
      <c r="C268" s="138">
        <f>IF('1.DATOS-PROD'!L269="SI",VLOOKUP('1.DATOS-PROD'!L$2,'1.PUNTOS'!$A$1:$B$63,2,0),0)</f>
        <v>0</v>
      </c>
      <c r="D268" s="138">
        <f>IF('1.DATOS-PROD'!M269="SI",VLOOKUP('1.DATOS-PROD'!M$2,'1.PUNTOS'!$A$1:$B$63,2,0),0)</f>
        <v>0</v>
      </c>
      <c r="E268" s="138">
        <f>IF('1.DATOS-PROD'!N269="SI",VLOOKUP('1.DATOS-PROD'!N$2,'1.PUNTOS'!$A$1:$B$63,2,0),0)</f>
        <v>0</v>
      </c>
      <c r="F268" s="138">
        <f>IF('1.DATOS-PROD'!O269="SI",VLOOKUP('1.DATOS-PROD'!O$2,'1.PUNTOS'!$A$1:$B$63,2,0),0)</f>
        <v>0</v>
      </c>
      <c r="G268" s="138">
        <f>IF('1.DATOS-PROD'!P269="SI",VLOOKUP('1.DATOS-PROD'!P$2,'1.PUNTOS'!$A$1:$B$63,2,0),0)</f>
        <v>0</v>
      </c>
      <c r="H268" s="138">
        <f>IF('1.DATOS-PROD'!Q269="SI",VLOOKUP('1.DATOS-PROD'!Q$2,'1.PUNTOS'!$A$1:$B$63,2,0),0)</f>
        <v>0</v>
      </c>
      <c r="I268" s="138">
        <f>IF('1.DATOS-PROD'!R269="SI",VLOOKUP('1.DATOS-PROD'!R$2,'1.PUNTOS'!$A$1:$B$63,2,0),0)</f>
        <v>0</v>
      </c>
      <c r="J268" s="138">
        <f>IF('1.DATOS-PROD'!S269="SI",VLOOKUP('1.DATOS-PROD'!S$2,'1.PUNTOS'!$A$1:$B$63,2,0),0)</f>
        <v>0</v>
      </c>
      <c r="K268" s="138">
        <f>IF('1.DATOS-PROD'!T269="SI",VLOOKUP('1.DATOS-PROD'!T$2,'1.PUNTOS'!$A$1:$B$63,2,0),0)</f>
        <v>0</v>
      </c>
      <c r="L268" s="138">
        <f>IF('1.DATOS-PROD'!U269="SI",VLOOKUP('1.DATOS-PROD'!U$2,'1.PUNTOS'!$A$1:$B$63,2,0),0)</f>
        <v>0</v>
      </c>
      <c r="M268" s="138">
        <f>IF('1.DATOS-PROD'!V269="SI",VLOOKUP('1.DATOS-PROD'!V$2,'1.PUNTOS'!$A$1:$B$63,2,0),0)</f>
        <v>0</v>
      </c>
      <c r="N268" s="138">
        <f>IF('1.DATOS-PROD'!W269="SI",VLOOKUP('1.DATOS-PROD'!W$2,'1.PUNTOS'!$A$1:$B$63,2,0),0)</f>
        <v>0</v>
      </c>
      <c r="O268" s="138">
        <f>IF('1.DATOS-PROD'!X269="SI",VLOOKUP('1.DATOS-PROD'!X$2,'1.PUNTOS'!$A$1:$B$63,2,0),0)</f>
        <v>0</v>
      </c>
      <c r="P268" s="138">
        <f>IF('1.DATOS-PROD'!Y269="SI",VLOOKUP('1.DATOS-PROD'!Y$2,'1.PUNTOS'!$A$1:$B$63,2,0),0)</f>
        <v>0</v>
      </c>
      <c r="Q268" s="138">
        <f>IF('1.DATOS-PROD'!Z269="SI",VLOOKUP('1.DATOS-PROD'!Z$2,'1.PUNTOS'!$A$1:$B$63,2,0),0)</f>
        <v>0</v>
      </c>
      <c r="R268" s="138">
        <f>IF('1.DATOS-PROD'!AA269="SI",VLOOKUP('1.DATOS-PROD'!AA$2,'1.PUNTOS'!$A$1:$B$63,2,0),0)</f>
        <v>0</v>
      </c>
      <c r="S268" s="138">
        <f>IF('1.DATOS-PROD'!AB269="SI",VLOOKUP('1.DATOS-PROD'!AB$2,'1.PUNTOS'!$A$1:$B$63,2,0),0)</f>
        <v>0</v>
      </c>
      <c r="T268" s="138">
        <f>IF('1.DATOS-PROD'!AC269="SI",VLOOKUP('1.DATOS-PROD'!AC$2,'1.PUNTOS'!$A$1:$B$63,2,0),0)</f>
        <v>0</v>
      </c>
      <c r="U268" s="138">
        <f>IF('1.DATOS-PROD'!AD269="SI",VLOOKUP('1.DATOS-PROD'!AD$2,'1.PUNTOS'!$A$1:$B$63,2,0),0)</f>
        <v>0</v>
      </c>
      <c r="V268" s="138">
        <f>IF('1.DATOS-PROD'!AE269="SI",VLOOKUP('1.DATOS-PROD'!AE$2,'1.PUNTOS'!$A$1:$B$63,2,0),0)</f>
        <v>0</v>
      </c>
      <c r="W268" s="138">
        <f>IF('1.DATOS-PROD'!AF269="SI",VLOOKUP('1.DATOS-PROD'!AF$2,'1.PUNTOS'!$A$1:$B$63,2,0),0)</f>
        <v>0</v>
      </c>
      <c r="X268" s="138">
        <f>IF('1.DATOS-PROD'!AG269="SI",VLOOKUP('1.DATOS-PROD'!AG$2,'1.PUNTOS'!$A$1:$B$63,2,0),0)</f>
        <v>0</v>
      </c>
      <c r="Y268" s="138">
        <f>IF('1.DATOS-PROD'!AH269="SI",VLOOKUP('1.DATOS-PROD'!AH$2,'1.PUNTOS'!$A$1:$B$63,2,0),0)</f>
        <v>0</v>
      </c>
      <c r="Z268" s="138">
        <f>IF('1.DATOS-PROD'!AI269="SI",VLOOKUP('1.DATOS-PROD'!AI$2,'1.PUNTOS'!$A$1:$B$63,2,0),0)</f>
        <v>0</v>
      </c>
      <c r="AA268" s="138">
        <f>IF('1.DATOS-PROD'!AJ269="SI",VLOOKUP('1.DATOS-PROD'!AJ$2,'1.PUNTOS'!$A$1:$B$63,2,0),0)</f>
        <v>0</v>
      </c>
      <c r="AB268" s="138">
        <f>IF('1.DATOS-PROD'!AK269="SI",VLOOKUP('1.DATOS-PROD'!AK$2,'1.PUNTOS'!$A$1:$B$63,2,0),0)</f>
        <v>0</v>
      </c>
      <c r="AC268" s="138">
        <f>IF('1.DATOS-PROD'!AL269="SI",VLOOKUP('1.DATOS-PROD'!AL$2,'1.PUNTOS'!$A$1:$B$63,2,0),0)</f>
        <v>0</v>
      </c>
      <c r="AD268" s="138">
        <f>IF('1.DATOS-PROD'!AM269="SI",VLOOKUP('1.DATOS-PROD'!AM$2,'1.PUNTOS'!$A$1:$B$63,2,0),0)</f>
        <v>0</v>
      </c>
      <c r="AE268" s="138">
        <f>IF('1.DATOS-PROD'!AN269="SI",VLOOKUP('1.DATOS-PROD'!AN$2,'1.PUNTOS'!$A$1:$B$63,2,0),0)</f>
        <v>0</v>
      </c>
      <c r="AF268" s="138">
        <f>IF('1.DATOS-PROD'!AO269="SI",VLOOKUP('1.DATOS-PROD'!AO$2,'1.PUNTOS'!$A$1:$B$63,2,0),0)</f>
        <v>0</v>
      </c>
      <c r="AG268" s="138">
        <f>IF('1.DATOS-PROD'!AP269="SI",VLOOKUP('1.DATOS-PROD'!AP$2,'1.PUNTOS'!$A$1:$B$63,2,0),0)</f>
        <v>0</v>
      </c>
      <c r="AH268" s="138">
        <f>IF('1.DATOS-PROD'!AQ269="SI",VLOOKUP('1.DATOS-PROD'!AQ$2,'1.PUNTOS'!$A$1:$B$63,2,0),0)</f>
        <v>0</v>
      </c>
      <c r="AI268" s="138">
        <f>IF('1.DATOS-PROD'!AR269="SI",VLOOKUP('1.DATOS-PROD'!AR$2,'1.PUNTOS'!$A$1:$B$63,2,0),0)</f>
        <v>0</v>
      </c>
      <c r="AJ268" s="138">
        <f>IF('1.DATOS-PROD'!AS269="SI",VLOOKUP('1.DATOS-PROD'!AS$2,'1.PUNTOS'!$A$1:$B$63,2,0),0)</f>
        <v>0</v>
      </c>
      <c r="AK268" s="138">
        <f>IF('1.DATOS-PROD'!AT269="SI",VLOOKUP('1.DATOS-PROD'!AT$2,'1.PUNTOS'!$A$1:$B$63,2,0),0)</f>
        <v>0</v>
      </c>
      <c r="AL268" s="138">
        <f>IF('1.DATOS-PROD'!AU269="SI",VLOOKUP('1.DATOS-PROD'!AU$2,'1.PUNTOS'!$A$1:$B$63,2,0),0)</f>
        <v>0</v>
      </c>
      <c r="AM268" s="138">
        <f>IF('1.DATOS-PROD'!AV269="SI",VLOOKUP('1.DATOS-PROD'!AV$2,'1.PUNTOS'!$A$1:$B$63,2,0),0)</f>
        <v>0</v>
      </c>
      <c r="AN268" s="138">
        <f>IF('1.DATOS-PROD'!AW269="SI",VLOOKUP('1.DATOS-PROD'!AW$2,'1.PUNTOS'!$A$1:$B$63,2,0),0)</f>
        <v>0</v>
      </c>
      <c r="AO268" s="138">
        <f>IF('1.DATOS-PROD'!AX269="SI",VLOOKUP('1.DATOS-PROD'!AX$2,'1.PUNTOS'!$A$1:$B$63,2,0),0)</f>
        <v>0</v>
      </c>
      <c r="AP268" s="138">
        <f>IF('1.DATOS-PROD'!AY269="SI",VLOOKUP('1.DATOS-PROD'!AY$2,'1.PUNTOS'!$A$1:$B$63,2,0),0)</f>
        <v>0</v>
      </c>
      <c r="AQ268" s="138">
        <f>IF('1.DATOS-PROD'!AZ269="SI",VLOOKUP('1.DATOS-PROD'!AZ$2,'1.PUNTOS'!$A$1:$B$63,2,0),0)</f>
        <v>0</v>
      </c>
      <c r="AR268" s="138">
        <f>IF('1.DATOS-PROD'!BA269="SI",VLOOKUP('1.DATOS-PROD'!BA$2,'1.PUNTOS'!$A$1:$B$63,2,0),0)</f>
        <v>0</v>
      </c>
      <c r="AS268" s="138">
        <f>IF('1.DATOS-PROD'!BB269="SI",VLOOKUP('1.DATOS-PROD'!BB$2,'1.PUNTOS'!$A$1:$B$63,2,0),0)</f>
        <v>0</v>
      </c>
      <c r="AT268" s="138">
        <f>IF('1.DATOS-PROD'!BC269="SI",VLOOKUP('1.DATOS-PROD'!BC$2,'1.PUNTOS'!$A$1:$B$63,2,0),0)</f>
        <v>0</v>
      </c>
      <c r="AU268" s="138">
        <f>IF('1.DATOS-PROD'!BD269="SI",VLOOKUP('1.DATOS-PROD'!BD$2,'1.PUNTOS'!$A$1:$B$63,2,0),0)</f>
        <v>0</v>
      </c>
      <c r="AV268" s="138">
        <f>IF('1.DATOS-PROD'!BE269="SI",VLOOKUP('1.DATOS-PROD'!BE$2,'1.PUNTOS'!$A$1:$B$63,2,0),0)</f>
        <v>0</v>
      </c>
      <c r="AW268" s="138">
        <f>IF('1.DATOS-PROD'!BF269="SI",VLOOKUP('1.DATOS-PROD'!BF$2,'1.PUNTOS'!$A$1:$B$63,2,0),0)</f>
        <v>0</v>
      </c>
      <c r="AX268" s="138">
        <f>IF('1.DATOS-PROD'!BG269="SI",VLOOKUP('1.DATOS-PROD'!BG$2,'1.PUNTOS'!$A$1:$B$63,2,0),0)</f>
        <v>0</v>
      </c>
      <c r="AY268" s="138">
        <f>IF('1.DATOS-PROD'!BH269="SI",VLOOKUP('1.DATOS-PROD'!BH$2,'1.PUNTOS'!$A$1:$B$63,2,0),0)</f>
        <v>0</v>
      </c>
      <c r="AZ268" s="138">
        <f>IF('1.DATOS-PROD'!BI269="SI",VLOOKUP('1.DATOS-PROD'!BI$2,'1.PUNTOS'!$A$1:$B$63,2,0),0)</f>
        <v>0</v>
      </c>
      <c r="BA268" s="138">
        <f>IF('1.DATOS-PROD'!BJ269="SI",VLOOKUP('1.DATOS-PROD'!BJ$2,'1.PUNTOS'!$A$1:$B$63,2,0),0)</f>
        <v>0</v>
      </c>
      <c r="BB268" s="138">
        <f>IF('1.DATOS-PROD'!BK269="SI",VLOOKUP('1.DATOS-PROD'!BK$2,'1.PUNTOS'!$A$1:$B$63,2,0),0)</f>
        <v>0</v>
      </c>
      <c r="BC268" s="138">
        <f>IF('1.DATOS-PROD'!BL269="SI",VLOOKUP('1.DATOS-PROD'!BL$2,'1.PUNTOS'!$A$1:$B$63,2,0),0)</f>
        <v>0</v>
      </c>
      <c r="BD268" s="138">
        <f>IF('1.DATOS-PROD'!BM269="SI",VLOOKUP('1.DATOS-PROD'!BM$2,'1.PUNTOS'!$A$1:$B$63,2,0),0)</f>
        <v>0</v>
      </c>
      <c r="BE268" s="138">
        <f>IF('1.DATOS-PROD'!BN269="SI",VLOOKUP('1.DATOS-PROD'!BN$2,'1.PUNTOS'!$A$1:$B$63,2,0),0)</f>
        <v>0</v>
      </c>
      <c r="BF268" s="138">
        <f>IF('1.DATOS-PROD'!BO269="SI",VLOOKUP('1.DATOS-PROD'!BO$2,'1.PUNTOS'!$A$1:$B$63,2,0),0)</f>
        <v>0</v>
      </c>
      <c r="BG268" s="138">
        <f>IF('1.DATOS-PROD'!BP269="SI",VLOOKUP('1.DATOS-PROD'!BP$2,'1.PUNTOS'!$A$1:$B$63,2,0),0)</f>
        <v>0</v>
      </c>
      <c r="BH268" s="138">
        <f>IF('1.DATOS-PROD'!BQ269="SI",VLOOKUP('1.DATOS-PROD'!BQ$2,'1.PUNTOS'!$A$1:$B$63,2,0),0)</f>
        <v>0</v>
      </c>
      <c r="BI268" s="138">
        <f>IF('1.DATOS-PROD'!BR269="SI",VLOOKUP('1.DATOS-PROD'!BR$2,'1.PUNTOS'!$A$1:$B$63,2,0),0)</f>
        <v>0</v>
      </c>
      <c r="BJ268" s="138">
        <f>IF('1.DATOS-PROD'!BS269="SI",VLOOKUP('1.DATOS-PROD'!BS$2,'1.PUNTOS'!$A$1:$B$63,2,0),0)</f>
        <v>0</v>
      </c>
      <c r="BK268" s="138">
        <f>IF('1.DATOS-PROD'!BT269="SI",VLOOKUP('1.DATOS-PROD'!BT$2,'1.PUNTOS'!$A$1:$B$63,2,0),0)</f>
        <v>0</v>
      </c>
    </row>
    <row r="269" spans="1:63" x14ac:dyDescent="0.25">
      <c r="A269">
        <f>'0.Consolidado general'!$A270</f>
        <v>0</v>
      </c>
      <c r="B269" s="138">
        <f>IF('1.DATOS-PROD'!K270="SI",VLOOKUP('1.DATOS-PROD'!K$2,'1.PUNTOS'!$A$1:$B$63,2,0),0)</f>
        <v>0</v>
      </c>
      <c r="C269" s="138">
        <f>IF('1.DATOS-PROD'!L270="SI",VLOOKUP('1.DATOS-PROD'!L$2,'1.PUNTOS'!$A$1:$B$63,2,0),0)</f>
        <v>0</v>
      </c>
      <c r="D269" s="138">
        <f>IF('1.DATOS-PROD'!M270="SI",VLOOKUP('1.DATOS-PROD'!M$2,'1.PUNTOS'!$A$1:$B$63,2,0),0)</f>
        <v>0</v>
      </c>
      <c r="E269" s="138">
        <f>IF('1.DATOS-PROD'!N270="SI",VLOOKUP('1.DATOS-PROD'!N$2,'1.PUNTOS'!$A$1:$B$63,2,0),0)</f>
        <v>0</v>
      </c>
      <c r="F269" s="138">
        <f>IF('1.DATOS-PROD'!O270="SI",VLOOKUP('1.DATOS-PROD'!O$2,'1.PUNTOS'!$A$1:$B$63,2,0),0)</f>
        <v>0</v>
      </c>
      <c r="G269" s="138">
        <f>IF('1.DATOS-PROD'!P270="SI",VLOOKUP('1.DATOS-PROD'!P$2,'1.PUNTOS'!$A$1:$B$63,2,0),0)</f>
        <v>0</v>
      </c>
      <c r="H269" s="138">
        <f>IF('1.DATOS-PROD'!Q270="SI",VLOOKUP('1.DATOS-PROD'!Q$2,'1.PUNTOS'!$A$1:$B$63,2,0),0)</f>
        <v>0</v>
      </c>
      <c r="I269" s="138">
        <f>IF('1.DATOS-PROD'!R270="SI",VLOOKUP('1.DATOS-PROD'!R$2,'1.PUNTOS'!$A$1:$B$63,2,0),0)</f>
        <v>0</v>
      </c>
      <c r="J269" s="138">
        <f>IF('1.DATOS-PROD'!S270="SI",VLOOKUP('1.DATOS-PROD'!S$2,'1.PUNTOS'!$A$1:$B$63,2,0),0)</f>
        <v>0</v>
      </c>
      <c r="K269" s="138">
        <f>IF('1.DATOS-PROD'!T270="SI",VLOOKUP('1.DATOS-PROD'!T$2,'1.PUNTOS'!$A$1:$B$63,2,0),0)</f>
        <v>0</v>
      </c>
      <c r="L269" s="138">
        <f>IF('1.DATOS-PROD'!U270="SI",VLOOKUP('1.DATOS-PROD'!U$2,'1.PUNTOS'!$A$1:$B$63,2,0),0)</f>
        <v>0</v>
      </c>
      <c r="M269" s="138">
        <f>IF('1.DATOS-PROD'!V270="SI",VLOOKUP('1.DATOS-PROD'!V$2,'1.PUNTOS'!$A$1:$B$63,2,0),0)</f>
        <v>0</v>
      </c>
      <c r="N269" s="138">
        <f>IF('1.DATOS-PROD'!W270="SI",VLOOKUP('1.DATOS-PROD'!W$2,'1.PUNTOS'!$A$1:$B$63,2,0),0)</f>
        <v>0</v>
      </c>
      <c r="O269" s="138">
        <f>IF('1.DATOS-PROD'!X270="SI",VLOOKUP('1.DATOS-PROD'!X$2,'1.PUNTOS'!$A$1:$B$63,2,0),0)</f>
        <v>0</v>
      </c>
      <c r="P269" s="138">
        <f>IF('1.DATOS-PROD'!Y270="SI",VLOOKUP('1.DATOS-PROD'!Y$2,'1.PUNTOS'!$A$1:$B$63,2,0),0)</f>
        <v>0</v>
      </c>
      <c r="Q269" s="138">
        <f>IF('1.DATOS-PROD'!Z270="SI",VLOOKUP('1.DATOS-PROD'!Z$2,'1.PUNTOS'!$A$1:$B$63,2,0),0)</f>
        <v>0</v>
      </c>
      <c r="R269" s="138">
        <f>IF('1.DATOS-PROD'!AA270="SI",VLOOKUP('1.DATOS-PROD'!AA$2,'1.PUNTOS'!$A$1:$B$63,2,0),0)</f>
        <v>0</v>
      </c>
      <c r="S269" s="138">
        <f>IF('1.DATOS-PROD'!AB270="SI",VLOOKUP('1.DATOS-PROD'!AB$2,'1.PUNTOS'!$A$1:$B$63,2,0),0)</f>
        <v>0</v>
      </c>
      <c r="T269" s="138">
        <f>IF('1.DATOS-PROD'!AC270="SI",VLOOKUP('1.DATOS-PROD'!AC$2,'1.PUNTOS'!$A$1:$B$63,2,0),0)</f>
        <v>0</v>
      </c>
      <c r="U269" s="138">
        <f>IF('1.DATOS-PROD'!AD270="SI",VLOOKUP('1.DATOS-PROD'!AD$2,'1.PUNTOS'!$A$1:$B$63,2,0),0)</f>
        <v>0</v>
      </c>
      <c r="V269" s="138">
        <f>IF('1.DATOS-PROD'!AE270="SI",VLOOKUP('1.DATOS-PROD'!AE$2,'1.PUNTOS'!$A$1:$B$63,2,0),0)</f>
        <v>0</v>
      </c>
      <c r="W269" s="138">
        <f>IF('1.DATOS-PROD'!AF270="SI",VLOOKUP('1.DATOS-PROD'!AF$2,'1.PUNTOS'!$A$1:$B$63,2,0),0)</f>
        <v>0</v>
      </c>
      <c r="X269" s="138">
        <f>IF('1.DATOS-PROD'!AG270="SI",VLOOKUP('1.DATOS-PROD'!AG$2,'1.PUNTOS'!$A$1:$B$63,2,0),0)</f>
        <v>0</v>
      </c>
      <c r="Y269" s="138">
        <f>IF('1.DATOS-PROD'!AH270="SI",VLOOKUP('1.DATOS-PROD'!AH$2,'1.PUNTOS'!$A$1:$B$63,2,0),0)</f>
        <v>0</v>
      </c>
      <c r="Z269" s="138">
        <f>IF('1.DATOS-PROD'!AI270="SI",VLOOKUP('1.DATOS-PROD'!AI$2,'1.PUNTOS'!$A$1:$B$63,2,0),0)</f>
        <v>0</v>
      </c>
      <c r="AA269" s="138">
        <f>IF('1.DATOS-PROD'!AJ270="SI",VLOOKUP('1.DATOS-PROD'!AJ$2,'1.PUNTOS'!$A$1:$B$63,2,0),0)</f>
        <v>0</v>
      </c>
      <c r="AB269" s="138">
        <f>IF('1.DATOS-PROD'!AK270="SI",VLOOKUP('1.DATOS-PROD'!AK$2,'1.PUNTOS'!$A$1:$B$63,2,0),0)</f>
        <v>0</v>
      </c>
      <c r="AC269" s="138">
        <f>IF('1.DATOS-PROD'!AL270="SI",VLOOKUP('1.DATOS-PROD'!AL$2,'1.PUNTOS'!$A$1:$B$63,2,0),0)</f>
        <v>0</v>
      </c>
      <c r="AD269" s="138">
        <f>IF('1.DATOS-PROD'!AM270="SI",VLOOKUP('1.DATOS-PROD'!AM$2,'1.PUNTOS'!$A$1:$B$63,2,0),0)</f>
        <v>0</v>
      </c>
      <c r="AE269" s="138">
        <f>IF('1.DATOS-PROD'!AN270="SI",VLOOKUP('1.DATOS-PROD'!AN$2,'1.PUNTOS'!$A$1:$B$63,2,0),0)</f>
        <v>0</v>
      </c>
      <c r="AF269" s="138">
        <f>IF('1.DATOS-PROD'!AO270="SI",VLOOKUP('1.DATOS-PROD'!AO$2,'1.PUNTOS'!$A$1:$B$63,2,0),0)</f>
        <v>0</v>
      </c>
      <c r="AG269" s="138">
        <f>IF('1.DATOS-PROD'!AP270="SI",VLOOKUP('1.DATOS-PROD'!AP$2,'1.PUNTOS'!$A$1:$B$63,2,0),0)</f>
        <v>0</v>
      </c>
      <c r="AH269" s="138">
        <f>IF('1.DATOS-PROD'!AQ270="SI",VLOOKUP('1.DATOS-PROD'!AQ$2,'1.PUNTOS'!$A$1:$B$63,2,0),0)</f>
        <v>0</v>
      </c>
      <c r="AI269" s="138">
        <f>IF('1.DATOS-PROD'!AR270="SI",VLOOKUP('1.DATOS-PROD'!AR$2,'1.PUNTOS'!$A$1:$B$63,2,0),0)</f>
        <v>0</v>
      </c>
      <c r="AJ269" s="138">
        <f>IF('1.DATOS-PROD'!AS270="SI",VLOOKUP('1.DATOS-PROD'!AS$2,'1.PUNTOS'!$A$1:$B$63,2,0),0)</f>
        <v>0</v>
      </c>
      <c r="AK269" s="138">
        <f>IF('1.DATOS-PROD'!AT270="SI",VLOOKUP('1.DATOS-PROD'!AT$2,'1.PUNTOS'!$A$1:$B$63,2,0),0)</f>
        <v>0</v>
      </c>
      <c r="AL269" s="138">
        <f>IF('1.DATOS-PROD'!AU270="SI",VLOOKUP('1.DATOS-PROD'!AU$2,'1.PUNTOS'!$A$1:$B$63,2,0),0)</f>
        <v>0</v>
      </c>
      <c r="AM269" s="138">
        <f>IF('1.DATOS-PROD'!AV270="SI",VLOOKUP('1.DATOS-PROD'!AV$2,'1.PUNTOS'!$A$1:$B$63,2,0),0)</f>
        <v>0</v>
      </c>
      <c r="AN269" s="138">
        <f>IF('1.DATOS-PROD'!AW270="SI",VLOOKUP('1.DATOS-PROD'!AW$2,'1.PUNTOS'!$A$1:$B$63,2,0),0)</f>
        <v>0</v>
      </c>
      <c r="AO269" s="138">
        <f>IF('1.DATOS-PROD'!AX270="SI",VLOOKUP('1.DATOS-PROD'!AX$2,'1.PUNTOS'!$A$1:$B$63,2,0),0)</f>
        <v>0</v>
      </c>
      <c r="AP269" s="138">
        <f>IF('1.DATOS-PROD'!AY270="SI",VLOOKUP('1.DATOS-PROD'!AY$2,'1.PUNTOS'!$A$1:$B$63,2,0),0)</f>
        <v>0</v>
      </c>
      <c r="AQ269" s="138">
        <f>IF('1.DATOS-PROD'!AZ270="SI",VLOOKUP('1.DATOS-PROD'!AZ$2,'1.PUNTOS'!$A$1:$B$63,2,0),0)</f>
        <v>0</v>
      </c>
      <c r="AR269" s="138">
        <f>IF('1.DATOS-PROD'!BA270="SI",VLOOKUP('1.DATOS-PROD'!BA$2,'1.PUNTOS'!$A$1:$B$63,2,0),0)</f>
        <v>0</v>
      </c>
      <c r="AS269" s="138">
        <f>IF('1.DATOS-PROD'!BB270="SI",VLOOKUP('1.DATOS-PROD'!BB$2,'1.PUNTOS'!$A$1:$B$63,2,0),0)</f>
        <v>0</v>
      </c>
      <c r="AT269" s="138">
        <f>IF('1.DATOS-PROD'!BC270="SI",VLOOKUP('1.DATOS-PROD'!BC$2,'1.PUNTOS'!$A$1:$B$63,2,0),0)</f>
        <v>0</v>
      </c>
      <c r="AU269" s="138">
        <f>IF('1.DATOS-PROD'!BD270="SI",VLOOKUP('1.DATOS-PROD'!BD$2,'1.PUNTOS'!$A$1:$B$63,2,0),0)</f>
        <v>0</v>
      </c>
      <c r="AV269" s="138">
        <f>IF('1.DATOS-PROD'!BE270="SI",VLOOKUP('1.DATOS-PROD'!BE$2,'1.PUNTOS'!$A$1:$B$63,2,0),0)</f>
        <v>0</v>
      </c>
      <c r="AW269" s="138">
        <f>IF('1.DATOS-PROD'!BF270="SI",VLOOKUP('1.DATOS-PROD'!BF$2,'1.PUNTOS'!$A$1:$B$63,2,0),0)</f>
        <v>0</v>
      </c>
      <c r="AX269" s="138">
        <f>IF('1.DATOS-PROD'!BG270="SI",VLOOKUP('1.DATOS-PROD'!BG$2,'1.PUNTOS'!$A$1:$B$63,2,0),0)</f>
        <v>0</v>
      </c>
      <c r="AY269" s="138">
        <f>IF('1.DATOS-PROD'!BH270="SI",VLOOKUP('1.DATOS-PROD'!BH$2,'1.PUNTOS'!$A$1:$B$63,2,0),0)</f>
        <v>0</v>
      </c>
      <c r="AZ269" s="138">
        <f>IF('1.DATOS-PROD'!BI270="SI",VLOOKUP('1.DATOS-PROD'!BI$2,'1.PUNTOS'!$A$1:$B$63,2,0),0)</f>
        <v>0</v>
      </c>
      <c r="BA269" s="138">
        <f>IF('1.DATOS-PROD'!BJ270="SI",VLOOKUP('1.DATOS-PROD'!BJ$2,'1.PUNTOS'!$A$1:$B$63,2,0),0)</f>
        <v>0</v>
      </c>
      <c r="BB269" s="138">
        <f>IF('1.DATOS-PROD'!BK270="SI",VLOOKUP('1.DATOS-PROD'!BK$2,'1.PUNTOS'!$A$1:$B$63,2,0),0)</f>
        <v>0</v>
      </c>
      <c r="BC269" s="138">
        <f>IF('1.DATOS-PROD'!BL270="SI",VLOOKUP('1.DATOS-PROD'!BL$2,'1.PUNTOS'!$A$1:$B$63,2,0),0)</f>
        <v>0</v>
      </c>
      <c r="BD269" s="138">
        <f>IF('1.DATOS-PROD'!BM270="SI",VLOOKUP('1.DATOS-PROD'!BM$2,'1.PUNTOS'!$A$1:$B$63,2,0),0)</f>
        <v>0</v>
      </c>
      <c r="BE269" s="138">
        <f>IF('1.DATOS-PROD'!BN270="SI",VLOOKUP('1.DATOS-PROD'!BN$2,'1.PUNTOS'!$A$1:$B$63,2,0),0)</f>
        <v>0</v>
      </c>
      <c r="BF269" s="138">
        <f>IF('1.DATOS-PROD'!BO270="SI",VLOOKUP('1.DATOS-PROD'!BO$2,'1.PUNTOS'!$A$1:$B$63,2,0),0)</f>
        <v>0</v>
      </c>
      <c r="BG269" s="138">
        <f>IF('1.DATOS-PROD'!BP270="SI",VLOOKUP('1.DATOS-PROD'!BP$2,'1.PUNTOS'!$A$1:$B$63,2,0),0)</f>
        <v>0</v>
      </c>
      <c r="BH269" s="138">
        <f>IF('1.DATOS-PROD'!BQ270="SI",VLOOKUP('1.DATOS-PROD'!BQ$2,'1.PUNTOS'!$A$1:$B$63,2,0),0)</f>
        <v>0</v>
      </c>
      <c r="BI269" s="138">
        <f>IF('1.DATOS-PROD'!BR270="SI",VLOOKUP('1.DATOS-PROD'!BR$2,'1.PUNTOS'!$A$1:$B$63,2,0),0)</f>
        <v>0</v>
      </c>
      <c r="BJ269" s="138">
        <f>IF('1.DATOS-PROD'!BS270="SI",VLOOKUP('1.DATOS-PROD'!BS$2,'1.PUNTOS'!$A$1:$B$63,2,0),0)</f>
        <v>0</v>
      </c>
      <c r="BK269" s="138">
        <f>IF('1.DATOS-PROD'!BT270="SI",VLOOKUP('1.DATOS-PROD'!BT$2,'1.PUNTOS'!$A$1:$B$63,2,0),0)</f>
        <v>0</v>
      </c>
    </row>
    <row r="270" spans="1:63" x14ac:dyDescent="0.25">
      <c r="A270">
        <f>'0.Consolidado general'!$A271</f>
        <v>0</v>
      </c>
      <c r="B270" s="138">
        <f>IF('1.DATOS-PROD'!K271="SI",VLOOKUP('1.DATOS-PROD'!K$2,'1.PUNTOS'!$A$1:$B$63,2,0),0)</f>
        <v>0</v>
      </c>
      <c r="C270" s="138">
        <f>IF('1.DATOS-PROD'!L271="SI",VLOOKUP('1.DATOS-PROD'!L$2,'1.PUNTOS'!$A$1:$B$63,2,0),0)</f>
        <v>0</v>
      </c>
      <c r="D270" s="138">
        <f>IF('1.DATOS-PROD'!M271="SI",VLOOKUP('1.DATOS-PROD'!M$2,'1.PUNTOS'!$A$1:$B$63,2,0),0)</f>
        <v>0</v>
      </c>
      <c r="E270" s="138">
        <f>IF('1.DATOS-PROD'!N271="SI",VLOOKUP('1.DATOS-PROD'!N$2,'1.PUNTOS'!$A$1:$B$63,2,0),0)</f>
        <v>0</v>
      </c>
      <c r="F270" s="138">
        <f>IF('1.DATOS-PROD'!O271="SI",VLOOKUP('1.DATOS-PROD'!O$2,'1.PUNTOS'!$A$1:$B$63,2,0),0)</f>
        <v>0</v>
      </c>
      <c r="G270" s="138">
        <f>IF('1.DATOS-PROD'!P271="SI",VLOOKUP('1.DATOS-PROD'!P$2,'1.PUNTOS'!$A$1:$B$63,2,0),0)</f>
        <v>0</v>
      </c>
      <c r="H270" s="138">
        <f>IF('1.DATOS-PROD'!Q271="SI",VLOOKUP('1.DATOS-PROD'!Q$2,'1.PUNTOS'!$A$1:$B$63,2,0),0)</f>
        <v>0</v>
      </c>
      <c r="I270" s="138">
        <f>IF('1.DATOS-PROD'!R271="SI",VLOOKUP('1.DATOS-PROD'!R$2,'1.PUNTOS'!$A$1:$B$63,2,0),0)</f>
        <v>0</v>
      </c>
      <c r="J270" s="138">
        <f>IF('1.DATOS-PROD'!S271="SI",VLOOKUP('1.DATOS-PROD'!S$2,'1.PUNTOS'!$A$1:$B$63,2,0),0)</f>
        <v>0</v>
      </c>
      <c r="K270" s="138">
        <f>IF('1.DATOS-PROD'!T271="SI",VLOOKUP('1.DATOS-PROD'!T$2,'1.PUNTOS'!$A$1:$B$63,2,0),0)</f>
        <v>0</v>
      </c>
      <c r="L270" s="138">
        <f>IF('1.DATOS-PROD'!U271="SI",VLOOKUP('1.DATOS-PROD'!U$2,'1.PUNTOS'!$A$1:$B$63,2,0),0)</f>
        <v>0</v>
      </c>
      <c r="M270" s="138">
        <f>IF('1.DATOS-PROD'!V271="SI",VLOOKUP('1.DATOS-PROD'!V$2,'1.PUNTOS'!$A$1:$B$63,2,0),0)</f>
        <v>0</v>
      </c>
      <c r="N270" s="138">
        <f>IF('1.DATOS-PROD'!W271="SI",VLOOKUP('1.DATOS-PROD'!W$2,'1.PUNTOS'!$A$1:$B$63,2,0),0)</f>
        <v>0</v>
      </c>
      <c r="O270" s="138">
        <f>IF('1.DATOS-PROD'!X271="SI",VLOOKUP('1.DATOS-PROD'!X$2,'1.PUNTOS'!$A$1:$B$63,2,0),0)</f>
        <v>0</v>
      </c>
      <c r="P270" s="138">
        <f>IF('1.DATOS-PROD'!Y271="SI",VLOOKUP('1.DATOS-PROD'!Y$2,'1.PUNTOS'!$A$1:$B$63,2,0),0)</f>
        <v>0</v>
      </c>
      <c r="Q270" s="138">
        <f>IF('1.DATOS-PROD'!Z271="SI",VLOOKUP('1.DATOS-PROD'!Z$2,'1.PUNTOS'!$A$1:$B$63,2,0),0)</f>
        <v>0</v>
      </c>
      <c r="R270" s="138">
        <f>IF('1.DATOS-PROD'!AA271="SI",VLOOKUP('1.DATOS-PROD'!AA$2,'1.PUNTOS'!$A$1:$B$63,2,0),0)</f>
        <v>0</v>
      </c>
      <c r="S270" s="138">
        <f>IF('1.DATOS-PROD'!AB271="SI",VLOOKUP('1.DATOS-PROD'!AB$2,'1.PUNTOS'!$A$1:$B$63,2,0),0)</f>
        <v>0</v>
      </c>
      <c r="T270" s="138">
        <f>IF('1.DATOS-PROD'!AC271="SI",VLOOKUP('1.DATOS-PROD'!AC$2,'1.PUNTOS'!$A$1:$B$63,2,0),0)</f>
        <v>0</v>
      </c>
      <c r="U270" s="138">
        <f>IF('1.DATOS-PROD'!AD271="SI",VLOOKUP('1.DATOS-PROD'!AD$2,'1.PUNTOS'!$A$1:$B$63,2,0),0)</f>
        <v>0</v>
      </c>
      <c r="V270" s="138">
        <f>IF('1.DATOS-PROD'!AE271="SI",VLOOKUP('1.DATOS-PROD'!AE$2,'1.PUNTOS'!$A$1:$B$63,2,0),0)</f>
        <v>0</v>
      </c>
      <c r="W270" s="138">
        <f>IF('1.DATOS-PROD'!AF271="SI",VLOOKUP('1.DATOS-PROD'!AF$2,'1.PUNTOS'!$A$1:$B$63,2,0),0)</f>
        <v>0</v>
      </c>
      <c r="X270" s="138">
        <f>IF('1.DATOS-PROD'!AG271="SI",VLOOKUP('1.DATOS-PROD'!AG$2,'1.PUNTOS'!$A$1:$B$63,2,0),0)</f>
        <v>0</v>
      </c>
      <c r="Y270" s="138">
        <f>IF('1.DATOS-PROD'!AH271="SI",VLOOKUP('1.DATOS-PROD'!AH$2,'1.PUNTOS'!$A$1:$B$63,2,0),0)</f>
        <v>0</v>
      </c>
      <c r="Z270" s="138">
        <f>IF('1.DATOS-PROD'!AI271="SI",VLOOKUP('1.DATOS-PROD'!AI$2,'1.PUNTOS'!$A$1:$B$63,2,0),0)</f>
        <v>0</v>
      </c>
      <c r="AA270" s="138">
        <f>IF('1.DATOS-PROD'!AJ271="SI",VLOOKUP('1.DATOS-PROD'!AJ$2,'1.PUNTOS'!$A$1:$B$63,2,0),0)</f>
        <v>0</v>
      </c>
      <c r="AB270" s="138">
        <f>IF('1.DATOS-PROD'!AK271="SI",VLOOKUP('1.DATOS-PROD'!AK$2,'1.PUNTOS'!$A$1:$B$63,2,0),0)</f>
        <v>0</v>
      </c>
      <c r="AC270" s="138">
        <f>IF('1.DATOS-PROD'!AL271="SI",VLOOKUP('1.DATOS-PROD'!AL$2,'1.PUNTOS'!$A$1:$B$63,2,0),0)</f>
        <v>0</v>
      </c>
      <c r="AD270" s="138">
        <f>IF('1.DATOS-PROD'!AM271="SI",VLOOKUP('1.DATOS-PROD'!AM$2,'1.PUNTOS'!$A$1:$B$63,2,0),0)</f>
        <v>0</v>
      </c>
      <c r="AE270" s="138">
        <f>IF('1.DATOS-PROD'!AN271="SI",VLOOKUP('1.DATOS-PROD'!AN$2,'1.PUNTOS'!$A$1:$B$63,2,0),0)</f>
        <v>0</v>
      </c>
      <c r="AF270" s="138">
        <f>IF('1.DATOS-PROD'!AO271="SI",VLOOKUP('1.DATOS-PROD'!AO$2,'1.PUNTOS'!$A$1:$B$63,2,0),0)</f>
        <v>0</v>
      </c>
      <c r="AG270" s="138">
        <f>IF('1.DATOS-PROD'!AP271="SI",VLOOKUP('1.DATOS-PROD'!AP$2,'1.PUNTOS'!$A$1:$B$63,2,0),0)</f>
        <v>0</v>
      </c>
      <c r="AH270" s="138">
        <f>IF('1.DATOS-PROD'!AQ271="SI",VLOOKUP('1.DATOS-PROD'!AQ$2,'1.PUNTOS'!$A$1:$B$63,2,0),0)</f>
        <v>0</v>
      </c>
      <c r="AI270" s="138">
        <f>IF('1.DATOS-PROD'!AR271="SI",VLOOKUP('1.DATOS-PROD'!AR$2,'1.PUNTOS'!$A$1:$B$63,2,0),0)</f>
        <v>0</v>
      </c>
      <c r="AJ270" s="138">
        <f>IF('1.DATOS-PROD'!AS271="SI",VLOOKUP('1.DATOS-PROD'!AS$2,'1.PUNTOS'!$A$1:$B$63,2,0),0)</f>
        <v>0</v>
      </c>
      <c r="AK270" s="138">
        <f>IF('1.DATOS-PROD'!AT271="SI",VLOOKUP('1.DATOS-PROD'!AT$2,'1.PUNTOS'!$A$1:$B$63,2,0),0)</f>
        <v>0</v>
      </c>
      <c r="AL270" s="138">
        <f>IF('1.DATOS-PROD'!AU271="SI",VLOOKUP('1.DATOS-PROD'!AU$2,'1.PUNTOS'!$A$1:$B$63,2,0),0)</f>
        <v>0</v>
      </c>
      <c r="AM270" s="138">
        <f>IF('1.DATOS-PROD'!AV271="SI",VLOOKUP('1.DATOS-PROD'!AV$2,'1.PUNTOS'!$A$1:$B$63,2,0),0)</f>
        <v>0</v>
      </c>
      <c r="AN270" s="138">
        <f>IF('1.DATOS-PROD'!AW271="SI",VLOOKUP('1.DATOS-PROD'!AW$2,'1.PUNTOS'!$A$1:$B$63,2,0),0)</f>
        <v>0</v>
      </c>
      <c r="AO270" s="138">
        <f>IF('1.DATOS-PROD'!AX271="SI",VLOOKUP('1.DATOS-PROD'!AX$2,'1.PUNTOS'!$A$1:$B$63,2,0),0)</f>
        <v>0</v>
      </c>
      <c r="AP270" s="138">
        <f>IF('1.DATOS-PROD'!AY271="SI",VLOOKUP('1.DATOS-PROD'!AY$2,'1.PUNTOS'!$A$1:$B$63,2,0),0)</f>
        <v>0</v>
      </c>
      <c r="AQ270" s="138">
        <f>IF('1.DATOS-PROD'!AZ271="SI",VLOOKUP('1.DATOS-PROD'!AZ$2,'1.PUNTOS'!$A$1:$B$63,2,0),0)</f>
        <v>0</v>
      </c>
      <c r="AR270" s="138">
        <f>IF('1.DATOS-PROD'!BA271="SI",VLOOKUP('1.DATOS-PROD'!BA$2,'1.PUNTOS'!$A$1:$B$63,2,0),0)</f>
        <v>0</v>
      </c>
      <c r="AS270" s="138">
        <f>IF('1.DATOS-PROD'!BB271="SI",VLOOKUP('1.DATOS-PROD'!BB$2,'1.PUNTOS'!$A$1:$B$63,2,0),0)</f>
        <v>0</v>
      </c>
      <c r="AT270" s="138">
        <f>IF('1.DATOS-PROD'!BC271="SI",VLOOKUP('1.DATOS-PROD'!BC$2,'1.PUNTOS'!$A$1:$B$63,2,0),0)</f>
        <v>0</v>
      </c>
      <c r="AU270" s="138">
        <f>IF('1.DATOS-PROD'!BD271="SI",VLOOKUP('1.DATOS-PROD'!BD$2,'1.PUNTOS'!$A$1:$B$63,2,0),0)</f>
        <v>0</v>
      </c>
      <c r="AV270" s="138">
        <f>IF('1.DATOS-PROD'!BE271="SI",VLOOKUP('1.DATOS-PROD'!BE$2,'1.PUNTOS'!$A$1:$B$63,2,0),0)</f>
        <v>0</v>
      </c>
      <c r="AW270" s="138">
        <f>IF('1.DATOS-PROD'!BF271="SI",VLOOKUP('1.DATOS-PROD'!BF$2,'1.PUNTOS'!$A$1:$B$63,2,0),0)</f>
        <v>0</v>
      </c>
      <c r="AX270" s="138">
        <f>IF('1.DATOS-PROD'!BG271="SI",VLOOKUP('1.DATOS-PROD'!BG$2,'1.PUNTOS'!$A$1:$B$63,2,0),0)</f>
        <v>0</v>
      </c>
      <c r="AY270" s="138">
        <f>IF('1.DATOS-PROD'!BH271="SI",VLOOKUP('1.DATOS-PROD'!BH$2,'1.PUNTOS'!$A$1:$B$63,2,0),0)</f>
        <v>0</v>
      </c>
      <c r="AZ270" s="138">
        <f>IF('1.DATOS-PROD'!BI271="SI",VLOOKUP('1.DATOS-PROD'!BI$2,'1.PUNTOS'!$A$1:$B$63,2,0),0)</f>
        <v>0</v>
      </c>
      <c r="BA270" s="138">
        <f>IF('1.DATOS-PROD'!BJ271="SI",VLOOKUP('1.DATOS-PROD'!BJ$2,'1.PUNTOS'!$A$1:$B$63,2,0),0)</f>
        <v>0</v>
      </c>
      <c r="BB270" s="138">
        <f>IF('1.DATOS-PROD'!BK271="SI",VLOOKUP('1.DATOS-PROD'!BK$2,'1.PUNTOS'!$A$1:$B$63,2,0),0)</f>
        <v>0</v>
      </c>
      <c r="BC270" s="138">
        <f>IF('1.DATOS-PROD'!BL271="SI",VLOOKUP('1.DATOS-PROD'!BL$2,'1.PUNTOS'!$A$1:$B$63,2,0),0)</f>
        <v>0</v>
      </c>
      <c r="BD270" s="138">
        <f>IF('1.DATOS-PROD'!BM271="SI",VLOOKUP('1.DATOS-PROD'!BM$2,'1.PUNTOS'!$A$1:$B$63,2,0),0)</f>
        <v>0</v>
      </c>
      <c r="BE270" s="138">
        <f>IF('1.DATOS-PROD'!BN271="SI",VLOOKUP('1.DATOS-PROD'!BN$2,'1.PUNTOS'!$A$1:$B$63,2,0),0)</f>
        <v>0</v>
      </c>
      <c r="BF270" s="138">
        <f>IF('1.DATOS-PROD'!BO271="SI",VLOOKUP('1.DATOS-PROD'!BO$2,'1.PUNTOS'!$A$1:$B$63,2,0),0)</f>
        <v>0</v>
      </c>
      <c r="BG270" s="138">
        <f>IF('1.DATOS-PROD'!BP271="SI",VLOOKUP('1.DATOS-PROD'!BP$2,'1.PUNTOS'!$A$1:$B$63,2,0),0)</f>
        <v>0</v>
      </c>
      <c r="BH270" s="138">
        <f>IF('1.DATOS-PROD'!BQ271="SI",VLOOKUP('1.DATOS-PROD'!BQ$2,'1.PUNTOS'!$A$1:$B$63,2,0),0)</f>
        <v>0</v>
      </c>
      <c r="BI270" s="138">
        <f>IF('1.DATOS-PROD'!BR271="SI",VLOOKUP('1.DATOS-PROD'!BR$2,'1.PUNTOS'!$A$1:$B$63,2,0),0)</f>
        <v>0</v>
      </c>
      <c r="BJ270" s="138">
        <f>IF('1.DATOS-PROD'!BS271="SI",VLOOKUP('1.DATOS-PROD'!BS$2,'1.PUNTOS'!$A$1:$B$63,2,0),0)</f>
        <v>0</v>
      </c>
      <c r="BK270" s="138">
        <f>IF('1.DATOS-PROD'!BT271="SI",VLOOKUP('1.DATOS-PROD'!BT$2,'1.PUNTOS'!$A$1:$B$63,2,0),0)</f>
        <v>0</v>
      </c>
    </row>
    <row r="271" spans="1:63" x14ac:dyDescent="0.25">
      <c r="A271">
        <f>'0.Consolidado general'!$A272</f>
        <v>0</v>
      </c>
      <c r="B271" s="138">
        <f>IF('1.DATOS-PROD'!K272="SI",VLOOKUP('1.DATOS-PROD'!K$2,'1.PUNTOS'!$A$1:$B$63,2,0),0)</f>
        <v>0</v>
      </c>
      <c r="C271" s="138">
        <f>IF('1.DATOS-PROD'!L272="SI",VLOOKUP('1.DATOS-PROD'!L$2,'1.PUNTOS'!$A$1:$B$63,2,0),0)</f>
        <v>0</v>
      </c>
      <c r="D271" s="138">
        <f>IF('1.DATOS-PROD'!M272="SI",VLOOKUP('1.DATOS-PROD'!M$2,'1.PUNTOS'!$A$1:$B$63,2,0),0)</f>
        <v>0</v>
      </c>
      <c r="E271" s="138">
        <f>IF('1.DATOS-PROD'!N272="SI",VLOOKUP('1.DATOS-PROD'!N$2,'1.PUNTOS'!$A$1:$B$63,2,0),0)</f>
        <v>0</v>
      </c>
      <c r="F271" s="138">
        <f>IF('1.DATOS-PROD'!O272="SI",VLOOKUP('1.DATOS-PROD'!O$2,'1.PUNTOS'!$A$1:$B$63,2,0),0)</f>
        <v>0</v>
      </c>
      <c r="G271" s="138">
        <f>IF('1.DATOS-PROD'!P272="SI",VLOOKUP('1.DATOS-PROD'!P$2,'1.PUNTOS'!$A$1:$B$63,2,0),0)</f>
        <v>0</v>
      </c>
      <c r="H271" s="138">
        <f>IF('1.DATOS-PROD'!Q272="SI",VLOOKUP('1.DATOS-PROD'!Q$2,'1.PUNTOS'!$A$1:$B$63,2,0),0)</f>
        <v>0</v>
      </c>
      <c r="I271" s="138">
        <f>IF('1.DATOS-PROD'!R272="SI",VLOOKUP('1.DATOS-PROD'!R$2,'1.PUNTOS'!$A$1:$B$63,2,0),0)</f>
        <v>0</v>
      </c>
      <c r="J271" s="138">
        <f>IF('1.DATOS-PROD'!S272="SI",VLOOKUP('1.DATOS-PROD'!S$2,'1.PUNTOS'!$A$1:$B$63,2,0),0)</f>
        <v>0</v>
      </c>
      <c r="K271" s="138">
        <f>IF('1.DATOS-PROD'!T272="SI",VLOOKUP('1.DATOS-PROD'!T$2,'1.PUNTOS'!$A$1:$B$63,2,0),0)</f>
        <v>0</v>
      </c>
      <c r="L271" s="138">
        <f>IF('1.DATOS-PROD'!U272="SI",VLOOKUP('1.DATOS-PROD'!U$2,'1.PUNTOS'!$A$1:$B$63,2,0),0)</f>
        <v>0</v>
      </c>
      <c r="M271" s="138">
        <f>IF('1.DATOS-PROD'!V272="SI",VLOOKUP('1.DATOS-PROD'!V$2,'1.PUNTOS'!$A$1:$B$63,2,0),0)</f>
        <v>0</v>
      </c>
      <c r="N271" s="138">
        <f>IF('1.DATOS-PROD'!W272="SI",VLOOKUP('1.DATOS-PROD'!W$2,'1.PUNTOS'!$A$1:$B$63,2,0),0)</f>
        <v>0</v>
      </c>
      <c r="O271" s="138">
        <f>IF('1.DATOS-PROD'!X272="SI",VLOOKUP('1.DATOS-PROD'!X$2,'1.PUNTOS'!$A$1:$B$63,2,0),0)</f>
        <v>0</v>
      </c>
      <c r="P271" s="138">
        <f>IF('1.DATOS-PROD'!Y272="SI",VLOOKUP('1.DATOS-PROD'!Y$2,'1.PUNTOS'!$A$1:$B$63,2,0),0)</f>
        <v>0</v>
      </c>
      <c r="Q271" s="138">
        <f>IF('1.DATOS-PROD'!Z272="SI",VLOOKUP('1.DATOS-PROD'!Z$2,'1.PUNTOS'!$A$1:$B$63,2,0),0)</f>
        <v>0</v>
      </c>
      <c r="R271" s="138">
        <f>IF('1.DATOS-PROD'!AA272="SI",VLOOKUP('1.DATOS-PROD'!AA$2,'1.PUNTOS'!$A$1:$B$63,2,0),0)</f>
        <v>0</v>
      </c>
      <c r="S271" s="138">
        <f>IF('1.DATOS-PROD'!AB272="SI",VLOOKUP('1.DATOS-PROD'!AB$2,'1.PUNTOS'!$A$1:$B$63,2,0),0)</f>
        <v>0</v>
      </c>
      <c r="T271" s="138">
        <f>IF('1.DATOS-PROD'!AC272="SI",VLOOKUP('1.DATOS-PROD'!AC$2,'1.PUNTOS'!$A$1:$B$63,2,0),0)</f>
        <v>0</v>
      </c>
      <c r="U271" s="138">
        <f>IF('1.DATOS-PROD'!AD272="SI",VLOOKUP('1.DATOS-PROD'!AD$2,'1.PUNTOS'!$A$1:$B$63,2,0),0)</f>
        <v>0</v>
      </c>
      <c r="V271" s="138">
        <f>IF('1.DATOS-PROD'!AE272="SI",VLOOKUP('1.DATOS-PROD'!AE$2,'1.PUNTOS'!$A$1:$B$63,2,0),0)</f>
        <v>0</v>
      </c>
      <c r="W271" s="138">
        <f>IF('1.DATOS-PROD'!AF272="SI",VLOOKUP('1.DATOS-PROD'!AF$2,'1.PUNTOS'!$A$1:$B$63,2,0),0)</f>
        <v>0</v>
      </c>
      <c r="X271" s="138">
        <f>IF('1.DATOS-PROD'!AG272="SI",VLOOKUP('1.DATOS-PROD'!AG$2,'1.PUNTOS'!$A$1:$B$63,2,0),0)</f>
        <v>0</v>
      </c>
      <c r="Y271" s="138">
        <f>IF('1.DATOS-PROD'!AH272="SI",VLOOKUP('1.DATOS-PROD'!AH$2,'1.PUNTOS'!$A$1:$B$63,2,0),0)</f>
        <v>0</v>
      </c>
      <c r="Z271" s="138">
        <f>IF('1.DATOS-PROD'!AI272="SI",VLOOKUP('1.DATOS-PROD'!AI$2,'1.PUNTOS'!$A$1:$B$63,2,0),0)</f>
        <v>0</v>
      </c>
      <c r="AA271" s="138">
        <f>IF('1.DATOS-PROD'!AJ272="SI",VLOOKUP('1.DATOS-PROD'!AJ$2,'1.PUNTOS'!$A$1:$B$63,2,0),0)</f>
        <v>0</v>
      </c>
      <c r="AB271" s="138">
        <f>IF('1.DATOS-PROD'!AK272="SI",VLOOKUP('1.DATOS-PROD'!AK$2,'1.PUNTOS'!$A$1:$B$63,2,0),0)</f>
        <v>0</v>
      </c>
      <c r="AC271" s="138">
        <f>IF('1.DATOS-PROD'!AL272="SI",VLOOKUP('1.DATOS-PROD'!AL$2,'1.PUNTOS'!$A$1:$B$63,2,0),0)</f>
        <v>0</v>
      </c>
      <c r="AD271" s="138">
        <f>IF('1.DATOS-PROD'!AM272="SI",VLOOKUP('1.DATOS-PROD'!AM$2,'1.PUNTOS'!$A$1:$B$63,2,0),0)</f>
        <v>0</v>
      </c>
      <c r="AE271" s="138">
        <f>IF('1.DATOS-PROD'!AN272="SI",VLOOKUP('1.DATOS-PROD'!AN$2,'1.PUNTOS'!$A$1:$B$63,2,0),0)</f>
        <v>0</v>
      </c>
      <c r="AF271" s="138">
        <f>IF('1.DATOS-PROD'!AO272="SI",VLOOKUP('1.DATOS-PROD'!AO$2,'1.PUNTOS'!$A$1:$B$63,2,0),0)</f>
        <v>0</v>
      </c>
      <c r="AG271" s="138">
        <f>IF('1.DATOS-PROD'!AP272="SI",VLOOKUP('1.DATOS-PROD'!AP$2,'1.PUNTOS'!$A$1:$B$63,2,0),0)</f>
        <v>0</v>
      </c>
      <c r="AH271" s="138">
        <f>IF('1.DATOS-PROD'!AQ272="SI",VLOOKUP('1.DATOS-PROD'!AQ$2,'1.PUNTOS'!$A$1:$B$63,2,0),0)</f>
        <v>0</v>
      </c>
      <c r="AI271" s="138">
        <f>IF('1.DATOS-PROD'!AR272="SI",VLOOKUP('1.DATOS-PROD'!AR$2,'1.PUNTOS'!$A$1:$B$63,2,0),0)</f>
        <v>0</v>
      </c>
      <c r="AJ271" s="138">
        <f>IF('1.DATOS-PROD'!AS272="SI",VLOOKUP('1.DATOS-PROD'!AS$2,'1.PUNTOS'!$A$1:$B$63,2,0),0)</f>
        <v>0</v>
      </c>
      <c r="AK271" s="138">
        <f>IF('1.DATOS-PROD'!AT272="SI",VLOOKUP('1.DATOS-PROD'!AT$2,'1.PUNTOS'!$A$1:$B$63,2,0),0)</f>
        <v>0</v>
      </c>
      <c r="AL271" s="138">
        <f>IF('1.DATOS-PROD'!AU272="SI",VLOOKUP('1.DATOS-PROD'!AU$2,'1.PUNTOS'!$A$1:$B$63,2,0),0)</f>
        <v>0</v>
      </c>
      <c r="AM271" s="138">
        <f>IF('1.DATOS-PROD'!AV272="SI",VLOOKUP('1.DATOS-PROD'!AV$2,'1.PUNTOS'!$A$1:$B$63,2,0),0)</f>
        <v>0</v>
      </c>
      <c r="AN271" s="138">
        <f>IF('1.DATOS-PROD'!AW272="SI",VLOOKUP('1.DATOS-PROD'!AW$2,'1.PUNTOS'!$A$1:$B$63,2,0),0)</f>
        <v>0</v>
      </c>
      <c r="AO271" s="138">
        <f>IF('1.DATOS-PROD'!AX272="SI",VLOOKUP('1.DATOS-PROD'!AX$2,'1.PUNTOS'!$A$1:$B$63,2,0),0)</f>
        <v>0</v>
      </c>
      <c r="AP271" s="138">
        <f>IF('1.DATOS-PROD'!AY272="SI",VLOOKUP('1.DATOS-PROD'!AY$2,'1.PUNTOS'!$A$1:$B$63,2,0),0)</f>
        <v>0</v>
      </c>
      <c r="AQ271" s="138">
        <f>IF('1.DATOS-PROD'!AZ272="SI",VLOOKUP('1.DATOS-PROD'!AZ$2,'1.PUNTOS'!$A$1:$B$63,2,0),0)</f>
        <v>0</v>
      </c>
      <c r="AR271" s="138">
        <f>IF('1.DATOS-PROD'!BA272="SI",VLOOKUP('1.DATOS-PROD'!BA$2,'1.PUNTOS'!$A$1:$B$63,2,0),0)</f>
        <v>0</v>
      </c>
      <c r="AS271" s="138">
        <f>IF('1.DATOS-PROD'!BB272="SI",VLOOKUP('1.DATOS-PROD'!BB$2,'1.PUNTOS'!$A$1:$B$63,2,0),0)</f>
        <v>0</v>
      </c>
      <c r="AT271" s="138">
        <f>IF('1.DATOS-PROD'!BC272="SI",VLOOKUP('1.DATOS-PROD'!BC$2,'1.PUNTOS'!$A$1:$B$63,2,0),0)</f>
        <v>0</v>
      </c>
      <c r="AU271" s="138">
        <f>IF('1.DATOS-PROD'!BD272="SI",VLOOKUP('1.DATOS-PROD'!BD$2,'1.PUNTOS'!$A$1:$B$63,2,0),0)</f>
        <v>0</v>
      </c>
      <c r="AV271" s="138">
        <f>IF('1.DATOS-PROD'!BE272="SI",VLOOKUP('1.DATOS-PROD'!BE$2,'1.PUNTOS'!$A$1:$B$63,2,0),0)</f>
        <v>0</v>
      </c>
      <c r="AW271" s="138">
        <f>IF('1.DATOS-PROD'!BF272="SI",VLOOKUP('1.DATOS-PROD'!BF$2,'1.PUNTOS'!$A$1:$B$63,2,0),0)</f>
        <v>0</v>
      </c>
      <c r="AX271" s="138">
        <f>IF('1.DATOS-PROD'!BG272="SI",VLOOKUP('1.DATOS-PROD'!BG$2,'1.PUNTOS'!$A$1:$B$63,2,0),0)</f>
        <v>0</v>
      </c>
      <c r="AY271" s="138">
        <f>IF('1.DATOS-PROD'!BH272="SI",VLOOKUP('1.DATOS-PROD'!BH$2,'1.PUNTOS'!$A$1:$B$63,2,0),0)</f>
        <v>0</v>
      </c>
      <c r="AZ271" s="138">
        <f>IF('1.DATOS-PROD'!BI272="SI",VLOOKUP('1.DATOS-PROD'!BI$2,'1.PUNTOS'!$A$1:$B$63,2,0),0)</f>
        <v>0</v>
      </c>
      <c r="BA271" s="138">
        <f>IF('1.DATOS-PROD'!BJ272="SI",VLOOKUP('1.DATOS-PROD'!BJ$2,'1.PUNTOS'!$A$1:$B$63,2,0),0)</f>
        <v>0</v>
      </c>
      <c r="BB271" s="138">
        <f>IF('1.DATOS-PROD'!BK272="SI",VLOOKUP('1.DATOS-PROD'!BK$2,'1.PUNTOS'!$A$1:$B$63,2,0),0)</f>
        <v>0</v>
      </c>
      <c r="BC271" s="138">
        <f>IF('1.DATOS-PROD'!BL272="SI",VLOOKUP('1.DATOS-PROD'!BL$2,'1.PUNTOS'!$A$1:$B$63,2,0),0)</f>
        <v>0</v>
      </c>
      <c r="BD271" s="138">
        <f>IF('1.DATOS-PROD'!BM272="SI",VLOOKUP('1.DATOS-PROD'!BM$2,'1.PUNTOS'!$A$1:$B$63,2,0),0)</f>
        <v>0</v>
      </c>
      <c r="BE271" s="138">
        <f>IF('1.DATOS-PROD'!BN272="SI",VLOOKUP('1.DATOS-PROD'!BN$2,'1.PUNTOS'!$A$1:$B$63,2,0),0)</f>
        <v>0</v>
      </c>
      <c r="BF271" s="138">
        <f>IF('1.DATOS-PROD'!BO272="SI",VLOOKUP('1.DATOS-PROD'!BO$2,'1.PUNTOS'!$A$1:$B$63,2,0),0)</f>
        <v>0</v>
      </c>
      <c r="BG271" s="138">
        <f>IF('1.DATOS-PROD'!BP272="SI",VLOOKUP('1.DATOS-PROD'!BP$2,'1.PUNTOS'!$A$1:$B$63,2,0),0)</f>
        <v>0</v>
      </c>
      <c r="BH271" s="138">
        <f>IF('1.DATOS-PROD'!BQ272="SI",VLOOKUP('1.DATOS-PROD'!BQ$2,'1.PUNTOS'!$A$1:$B$63,2,0),0)</f>
        <v>0</v>
      </c>
      <c r="BI271" s="138">
        <f>IF('1.DATOS-PROD'!BR272="SI",VLOOKUP('1.DATOS-PROD'!BR$2,'1.PUNTOS'!$A$1:$B$63,2,0),0)</f>
        <v>0</v>
      </c>
      <c r="BJ271" s="138">
        <f>IF('1.DATOS-PROD'!BS272="SI",VLOOKUP('1.DATOS-PROD'!BS$2,'1.PUNTOS'!$A$1:$B$63,2,0),0)</f>
        <v>0</v>
      </c>
      <c r="BK271" s="138">
        <f>IF('1.DATOS-PROD'!BT272="SI",VLOOKUP('1.DATOS-PROD'!BT$2,'1.PUNTOS'!$A$1:$B$63,2,0),0)</f>
        <v>0</v>
      </c>
    </row>
    <row r="272" spans="1:63" x14ac:dyDescent="0.25">
      <c r="A272">
        <f>'0.Consolidado general'!$A273</f>
        <v>0</v>
      </c>
      <c r="B272" s="138">
        <f>IF('1.DATOS-PROD'!K273="SI",VLOOKUP('1.DATOS-PROD'!K$2,'1.PUNTOS'!$A$1:$B$63,2,0),0)</f>
        <v>0</v>
      </c>
      <c r="C272" s="138">
        <f>IF('1.DATOS-PROD'!L273="SI",VLOOKUP('1.DATOS-PROD'!L$2,'1.PUNTOS'!$A$1:$B$63,2,0),0)</f>
        <v>0</v>
      </c>
      <c r="D272" s="138">
        <f>IF('1.DATOS-PROD'!M273="SI",VLOOKUP('1.DATOS-PROD'!M$2,'1.PUNTOS'!$A$1:$B$63,2,0),0)</f>
        <v>0</v>
      </c>
      <c r="E272" s="138">
        <f>IF('1.DATOS-PROD'!N273="SI",VLOOKUP('1.DATOS-PROD'!N$2,'1.PUNTOS'!$A$1:$B$63,2,0),0)</f>
        <v>0</v>
      </c>
      <c r="F272" s="138">
        <f>IF('1.DATOS-PROD'!O273="SI",VLOOKUP('1.DATOS-PROD'!O$2,'1.PUNTOS'!$A$1:$B$63,2,0),0)</f>
        <v>0</v>
      </c>
      <c r="G272" s="138">
        <f>IF('1.DATOS-PROD'!P273="SI",VLOOKUP('1.DATOS-PROD'!P$2,'1.PUNTOS'!$A$1:$B$63,2,0),0)</f>
        <v>0</v>
      </c>
      <c r="H272" s="138">
        <f>IF('1.DATOS-PROD'!Q273="SI",VLOOKUP('1.DATOS-PROD'!Q$2,'1.PUNTOS'!$A$1:$B$63,2,0),0)</f>
        <v>0</v>
      </c>
      <c r="I272" s="138">
        <f>IF('1.DATOS-PROD'!R273="SI",VLOOKUP('1.DATOS-PROD'!R$2,'1.PUNTOS'!$A$1:$B$63,2,0),0)</f>
        <v>0</v>
      </c>
      <c r="J272" s="138">
        <f>IF('1.DATOS-PROD'!S273="SI",VLOOKUP('1.DATOS-PROD'!S$2,'1.PUNTOS'!$A$1:$B$63,2,0),0)</f>
        <v>0</v>
      </c>
      <c r="K272" s="138">
        <f>IF('1.DATOS-PROD'!T273="SI",VLOOKUP('1.DATOS-PROD'!T$2,'1.PUNTOS'!$A$1:$B$63,2,0),0)</f>
        <v>0</v>
      </c>
      <c r="L272" s="138">
        <f>IF('1.DATOS-PROD'!U273="SI",VLOOKUP('1.DATOS-PROD'!U$2,'1.PUNTOS'!$A$1:$B$63,2,0),0)</f>
        <v>0</v>
      </c>
      <c r="M272" s="138">
        <f>IF('1.DATOS-PROD'!V273="SI",VLOOKUP('1.DATOS-PROD'!V$2,'1.PUNTOS'!$A$1:$B$63,2,0),0)</f>
        <v>0</v>
      </c>
      <c r="N272" s="138">
        <f>IF('1.DATOS-PROD'!W273="SI",VLOOKUP('1.DATOS-PROD'!W$2,'1.PUNTOS'!$A$1:$B$63,2,0),0)</f>
        <v>0</v>
      </c>
      <c r="O272" s="138">
        <f>IF('1.DATOS-PROD'!X273="SI",VLOOKUP('1.DATOS-PROD'!X$2,'1.PUNTOS'!$A$1:$B$63,2,0),0)</f>
        <v>0</v>
      </c>
      <c r="P272" s="138">
        <f>IF('1.DATOS-PROD'!Y273="SI",VLOOKUP('1.DATOS-PROD'!Y$2,'1.PUNTOS'!$A$1:$B$63,2,0),0)</f>
        <v>0</v>
      </c>
      <c r="Q272" s="138">
        <f>IF('1.DATOS-PROD'!Z273="SI",VLOOKUP('1.DATOS-PROD'!Z$2,'1.PUNTOS'!$A$1:$B$63,2,0),0)</f>
        <v>0</v>
      </c>
      <c r="R272" s="138">
        <f>IF('1.DATOS-PROD'!AA273="SI",VLOOKUP('1.DATOS-PROD'!AA$2,'1.PUNTOS'!$A$1:$B$63,2,0),0)</f>
        <v>0</v>
      </c>
      <c r="S272" s="138">
        <f>IF('1.DATOS-PROD'!AB273="SI",VLOOKUP('1.DATOS-PROD'!AB$2,'1.PUNTOS'!$A$1:$B$63,2,0),0)</f>
        <v>0</v>
      </c>
      <c r="T272" s="138">
        <f>IF('1.DATOS-PROD'!AC273="SI",VLOOKUP('1.DATOS-PROD'!AC$2,'1.PUNTOS'!$A$1:$B$63,2,0),0)</f>
        <v>0</v>
      </c>
      <c r="U272" s="138">
        <f>IF('1.DATOS-PROD'!AD273="SI",VLOOKUP('1.DATOS-PROD'!AD$2,'1.PUNTOS'!$A$1:$B$63,2,0),0)</f>
        <v>0</v>
      </c>
      <c r="V272" s="138">
        <f>IF('1.DATOS-PROD'!AE273="SI",VLOOKUP('1.DATOS-PROD'!AE$2,'1.PUNTOS'!$A$1:$B$63,2,0),0)</f>
        <v>0</v>
      </c>
      <c r="W272" s="138">
        <f>IF('1.DATOS-PROD'!AF273="SI",VLOOKUP('1.DATOS-PROD'!AF$2,'1.PUNTOS'!$A$1:$B$63,2,0),0)</f>
        <v>0</v>
      </c>
      <c r="X272" s="138">
        <f>IF('1.DATOS-PROD'!AG273="SI",VLOOKUP('1.DATOS-PROD'!AG$2,'1.PUNTOS'!$A$1:$B$63,2,0),0)</f>
        <v>0</v>
      </c>
      <c r="Y272" s="138">
        <f>IF('1.DATOS-PROD'!AH273="SI",VLOOKUP('1.DATOS-PROD'!AH$2,'1.PUNTOS'!$A$1:$B$63,2,0),0)</f>
        <v>0</v>
      </c>
      <c r="Z272" s="138">
        <f>IF('1.DATOS-PROD'!AI273="SI",VLOOKUP('1.DATOS-PROD'!AI$2,'1.PUNTOS'!$A$1:$B$63,2,0),0)</f>
        <v>0</v>
      </c>
      <c r="AA272" s="138">
        <f>IF('1.DATOS-PROD'!AJ273="SI",VLOOKUP('1.DATOS-PROD'!AJ$2,'1.PUNTOS'!$A$1:$B$63,2,0),0)</f>
        <v>0</v>
      </c>
      <c r="AB272" s="138">
        <f>IF('1.DATOS-PROD'!AK273="SI",VLOOKUP('1.DATOS-PROD'!AK$2,'1.PUNTOS'!$A$1:$B$63,2,0),0)</f>
        <v>0</v>
      </c>
      <c r="AC272" s="138">
        <f>IF('1.DATOS-PROD'!AL273="SI",VLOOKUP('1.DATOS-PROD'!AL$2,'1.PUNTOS'!$A$1:$B$63,2,0),0)</f>
        <v>0</v>
      </c>
      <c r="AD272" s="138">
        <f>IF('1.DATOS-PROD'!AM273="SI",VLOOKUP('1.DATOS-PROD'!AM$2,'1.PUNTOS'!$A$1:$B$63,2,0),0)</f>
        <v>0</v>
      </c>
      <c r="AE272" s="138">
        <f>IF('1.DATOS-PROD'!AN273="SI",VLOOKUP('1.DATOS-PROD'!AN$2,'1.PUNTOS'!$A$1:$B$63,2,0),0)</f>
        <v>0</v>
      </c>
      <c r="AF272" s="138">
        <f>IF('1.DATOS-PROD'!AO273="SI",VLOOKUP('1.DATOS-PROD'!AO$2,'1.PUNTOS'!$A$1:$B$63,2,0),0)</f>
        <v>0</v>
      </c>
      <c r="AG272" s="138">
        <f>IF('1.DATOS-PROD'!AP273="SI",VLOOKUP('1.DATOS-PROD'!AP$2,'1.PUNTOS'!$A$1:$B$63,2,0),0)</f>
        <v>0</v>
      </c>
      <c r="AH272" s="138">
        <f>IF('1.DATOS-PROD'!AQ273="SI",VLOOKUP('1.DATOS-PROD'!AQ$2,'1.PUNTOS'!$A$1:$B$63,2,0),0)</f>
        <v>0</v>
      </c>
      <c r="AI272" s="138">
        <f>IF('1.DATOS-PROD'!AR273="SI",VLOOKUP('1.DATOS-PROD'!AR$2,'1.PUNTOS'!$A$1:$B$63,2,0),0)</f>
        <v>0</v>
      </c>
      <c r="AJ272" s="138">
        <f>IF('1.DATOS-PROD'!AS273="SI",VLOOKUP('1.DATOS-PROD'!AS$2,'1.PUNTOS'!$A$1:$B$63,2,0),0)</f>
        <v>0</v>
      </c>
      <c r="AK272" s="138">
        <f>IF('1.DATOS-PROD'!AT273="SI",VLOOKUP('1.DATOS-PROD'!AT$2,'1.PUNTOS'!$A$1:$B$63,2,0),0)</f>
        <v>0</v>
      </c>
      <c r="AL272" s="138">
        <f>IF('1.DATOS-PROD'!AU273="SI",VLOOKUP('1.DATOS-PROD'!AU$2,'1.PUNTOS'!$A$1:$B$63,2,0),0)</f>
        <v>0</v>
      </c>
      <c r="AM272" s="138">
        <f>IF('1.DATOS-PROD'!AV273="SI",VLOOKUP('1.DATOS-PROD'!AV$2,'1.PUNTOS'!$A$1:$B$63,2,0),0)</f>
        <v>0</v>
      </c>
      <c r="AN272" s="138">
        <f>IF('1.DATOS-PROD'!AW273="SI",VLOOKUP('1.DATOS-PROD'!AW$2,'1.PUNTOS'!$A$1:$B$63,2,0),0)</f>
        <v>0</v>
      </c>
      <c r="AO272" s="138">
        <f>IF('1.DATOS-PROD'!AX273="SI",VLOOKUP('1.DATOS-PROD'!AX$2,'1.PUNTOS'!$A$1:$B$63,2,0),0)</f>
        <v>0</v>
      </c>
      <c r="AP272" s="138">
        <f>IF('1.DATOS-PROD'!AY273="SI",VLOOKUP('1.DATOS-PROD'!AY$2,'1.PUNTOS'!$A$1:$B$63,2,0),0)</f>
        <v>0</v>
      </c>
      <c r="AQ272" s="138">
        <f>IF('1.DATOS-PROD'!AZ273="SI",VLOOKUP('1.DATOS-PROD'!AZ$2,'1.PUNTOS'!$A$1:$B$63,2,0),0)</f>
        <v>0</v>
      </c>
      <c r="AR272" s="138">
        <f>IF('1.DATOS-PROD'!BA273="SI",VLOOKUP('1.DATOS-PROD'!BA$2,'1.PUNTOS'!$A$1:$B$63,2,0),0)</f>
        <v>0</v>
      </c>
      <c r="AS272" s="138">
        <f>IF('1.DATOS-PROD'!BB273="SI",VLOOKUP('1.DATOS-PROD'!BB$2,'1.PUNTOS'!$A$1:$B$63,2,0),0)</f>
        <v>0</v>
      </c>
      <c r="AT272" s="138">
        <f>IF('1.DATOS-PROD'!BC273="SI",VLOOKUP('1.DATOS-PROD'!BC$2,'1.PUNTOS'!$A$1:$B$63,2,0),0)</f>
        <v>0</v>
      </c>
      <c r="AU272" s="138">
        <f>IF('1.DATOS-PROD'!BD273="SI",VLOOKUP('1.DATOS-PROD'!BD$2,'1.PUNTOS'!$A$1:$B$63,2,0),0)</f>
        <v>0</v>
      </c>
      <c r="AV272" s="138">
        <f>IF('1.DATOS-PROD'!BE273="SI",VLOOKUP('1.DATOS-PROD'!BE$2,'1.PUNTOS'!$A$1:$B$63,2,0),0)</f>
        <v>0</v>
      </c>
      <c r="AW272" s="138">
        <f>IF('1.DATOS-PROD'!BF273="SI",VLOOKUP('1.DATOS-PROD'!BF$2,'1.PUNTOS'!$A$1:$B$63,2,0),0)</f>
        <v>0</v>
      </c>
      <c r="AX272" s="138">
        <f>IF('1.DATOS-PROD'!BG273="SI",VLOOKUP('1.DATOS-PROD'!BG$2,'1.PUNTOS'!$A$1:$B$63,2,0),0)</f>
        <v>0</v>
      </c>
      <c r="AY272" s="138">
        <f>IF('1.DATOS-PROD'!BH273="SI",VLOOKUP('1.DATOS-PROD'!BH$2,'1.PUNTOS'!$A$1:$B$63,2,0),0)</f>
        <v>0</v>
      </c>
      <c r="AZ272" s="138">
        <f>IF('1.DATOS-PROD'!BI273="SI",VLOOKUP('1.DATOS-PROD'!BI$2,'1.PUNTOS'!$A$1:$B$63,2,0),0)</f>
        <v>0</v>
      </c>
      <c r="BA272" s="138">
        <f>IF('1.DATOS-PROD'!BJ273="SI",VLOOKUP('1.DATOS-PROD'!BJ$2,'1.PUNTOS'!$A$1:$B$63,2,0),0)</f>
        <v>0</v>
      </c>
      <c r="BB272" s="138">
        <f>IF('1.DATOS-PROD'!BK273="SI",VLOOKUP('1.DATOS-PROD'!BK$2,'1.PUNTOS'!$A$1:$B$63,2,0),0)</f>
        <v>0</v>
      </c>
      <c r="BC272" s="138">
        <f>IF('1.DATOS-PROD'!BL273="SI",VLOOKUP('1.DATOS-PROD'!BL$2,'1.PUNTOS'!$A$1:$B$63,2,0),0)</f>
        <v>0</v>
      </c>
      <c r="BD272" s="138">
        <f>IF('1.DATOS-PROD'!BM273="SI",VLOOKUP('1.DATOS-PROD'!BM$2,'1.PUNTOS'!$A$1:$B$63,2,0),0)</f>
        <v>0</v>
      </c>
      <c r="BE272" s="138">
        <f>IF('1.DATOS-PROD'!BN273="SI",VLOOKUP('1.DATOS-PROD'!BN$2,'1.PUNTOS'!$A$1:$B$63,2,0),0)</f>
        <v>0</v>
      </c>
      <c r="BF272" s="138">
        <f>IF('1.DATOS-PROD'!BO273="SI",VLOOKUP('1.DATOS-PROD'!BO$2,'1.PUNTOS'!$A$1:$B$63,2,0),0)</f>
        <v>0</v>
      </c>
      <c r="BG272" s="138">
        <f>IF('1.DATOS-PROD'!BP273="SI",VLOOKUP('1.DATOS-PROD'!BP$2,'1.PUNTOS'!$A$1:$B$63,2,0),0)</f>
        <v>0</v>
      </c>
      <c r="BH272" s="138">
        <f>IF('1.DATOS-PROD'!BQ273="SI",VLOOKUP('1.DATOS-PROD'!BQ$2,'1.PUNTOS'!$A$1:$B$63,2,0),0)</f>
        <v>0</v>
      </c>
      <c r="BI272" s="138">
        <f>IF('1.DATOS-PROD'!BR273="SI",VLOOKUP('1.DATOS-PROD'!BR$2,'1.PUNTOS'!$A$1:$B$63,2,0),0)</f>
        <v>0</v>
      </c>
      <c r="BJ272" s="138">
        <f>IF('1.DATOS-PROD'!BS273="SI",VLOOKUP('1.DATOS-PROD'!BS$2,'1.PUNTOS'!$A$1:$B$63,2,0),0)</f>
        <v>0</v>
      </c>
      <c r="BK272" s="138">
        <f>IF('1.DATOS-PROD'!BT273="SI",VLOOKUP('1.DATOS-PROD'!BT$2,'1.PUNTOS'!$A$1:$B$63,2,0),0)</f>
        <v>0</v>
      </c>
    </row>
    <row r="273" spans="1:63" x14ac:dyDescent="0.25">
      <c r="A273">
        <f>'0.Consolidado general'!$A274</f>
        <v>0</v>
      </c>
      <c r="B273" s="138">
        <f>IF('1.DATOS-PROD'!K274="SI",VLOOKUP('1.DATOS-PROD'!K$2,'1.PUNTOS'!$A$1:$B$63,2,0),0)</f>
        <v>0</v>
      </c>
      <c r="C273" s="138">
        <f>IF('1.DATOS-PROD'!L274="SI",VLOOKUP('1.DATOS-PROD'!L$2,'1.PUNTOS'!$A$1:$B$63,2,0),0)</f>
        <v>0</v>
      </c>
      <c r="D273" s="138">
        <f>IF('1.DATOS-PROD'!M274="SI",VLOOKUP('1.DATOS-PROD'!M$2,'1.PUNTOS'!$A$1:$B$63,2,0),0)</f>
        <v>0</v>
      </c>
      <c r="E273" s="138">
        <f>IF('1.DATOS-PROD'!N274="SI",VLOOKUP('1.DATOS-PROD'!N$2,'1.PUNTOS'!$A$1:$B$63,2,0),0)</f>
        <v>0</v>
      </c>
      <c r="F273" s="138">
        <f>IF('1.DATOS-PROD'!O274="SI",VLOOKUP('1.DATOS-PROD'!O$2,'1.PUNTOS'!$A$1:$B$63,2,0),0)</f>
        <v>0</v>
      </c>
      <c r="G273" s="138">
        <f>IF('1.DATOS-PROD'!P274="SI",VLOOKUP('1.DATOS-PROD'!P$2,'1.PUNTOS'!$A$1:$B$63,2,0),0)</f>
        <v>0</v>
      </c>
      <c r="H273" s="138">
        <f>IF('1.DATOS-PROD'!Q274="SI",VLOOKUP('1.DATOS-PROD'!Q$2,'1.PUNTOS'!$A$1:$B$63,2,0),0)</f>
        <v>0</v>
      </c>
      <c r="I273" s="138">
        <f>IF('1.DATOS-PROD'!R274="SI",VLOOKUP('1.DATOS-PROD'!R$2,'1.PUNTOS'!$A$1:$B$63,2,0),0)</f>
        <v>0</v>
      </c>
      <c r="J273" s="138">
        <f>IF('1.DATOS-PROD'!S274="SI",VLOOKUP('1.DATOS-PROD'!S$2,'1.PUNTOS'!$A$1:$B$63,2,0),0)</f>
        <v>0</v>
      </c>
      <c r="K273" s="138">
        <f>IF('1.DATOS-PROD'!T274="SI",VLOOKUP('1.DATOS-PROD'!T$2,'1.PUNTOS'!$A$1:$B$63,2,0),0)</f>
        <v>0</v>
      </c>
      <c r="L273" s="138">
        <f>IF('1.DATOS-PROD'!U274="SI",VLOOKUP('1.DATOS-PROD'!U$2,'1.PUNTOS'!$A$1:$B$63,2,0),0)</f>
        <v>0</v>
      </c>
      <c r="M273" s="138">
        <f>IF('1.DATOS-PROD'!V274="SI",VLOOKUP('1.DATOS-PROD'!V$2,'1.PUNTOS'!$A$1:$B$63,2,0),0)</f>
        <v>0</v>
      </c>
      <c r="N273" s="138">
        <f>IF('1.DATOS-PROD'!W274="SI",VLOOKUP('1.DATOS-PROD'!W$2,'1.PUNTOS'!$A$1:$B$63,2,0),0)</f>
        <v>0</v>
      </c>
      <c r="O273" s="138">
        <f>IF('1.DATOS-PROD'!X274="SI",VLOOKUP('1.DATOS-PROD'!X$2,'1.PUNTOS'!$A$1:$B$63,2,0),0)</f>
        <v>0</v>
      </c>
      <c r="P273" s="138">
        <f>IF('1.DATOS-PROD'!Y274="SI",VLOOKUP('1.DATOS-PROD'!Y$2,'1.PUNTOS'!$A$1:$B$63,2,0),0)</f>
        <v>0</v>
      </c>
      <c r="Q273" s="138">
        <f>IF('1.DATOS-PROD'!Z274="SI",VLOOKUP('1.DATOS-PROD'!Z$2,'1.PUNTOS'!$A$1:$B$63,2,0),0)</f>
        <v>0</v>
      </c>
      <c r="R273" s="138">
        <f>IF('1.DATOS-PROD'!AA274="SI",VLOOKUP('1.DATOS-PROD'!AA$2,'1.PUNTOS'!$A$1:$B$63,2,0),0)</f>
        <v>0</v>
      </c>
      <c r="S273" s="138">
        <f>IF('1.DATOS-PROD'!AB274="SI",VLOOKUP('1.DATOS-PROD'!AB$2,'1.PUNTOS'!$A$1:$B$63,2,0),0)</f>
        <v>0</v>
      </c>
      <c r="T273" s="138">
        <f>IF('1.DATOS-PROD'!AC274="SI",VLOOKUP('1.DATOS-PROD'!AC$2,'1.PUNTOS'!$A$1:$B$63,2,0),0)</f>
        <v>0</v>
      </c>
      <c r="U273" s="138">
        <f>IF('1.DATOS-PROD'!AD274="SI",VLOOKUP('1.DATOS-PROD'!AD$2,'1.PUNTOS'!$A$1:$B$63,2,0),0)</f>
        <v>0</v>
      </c>
      <c r="V273" s="138">
        <f>IF('1.DATOS-PROD'!AE274="SI",VLOOKUP('1.DATOS-PROD'!AE$2,'1.PUNTOS'!$A$1:$B$63,2,0),0)</f>
        <v>0</v>
      </c>
      <c r="W273" s="138">
        <f>IF('1.DATOS-PROD'!AF274="SI",VLOOKUP('1.DATOS-PROD'!AF$2,'1.PUNTOS'!$A$1:$B$63,2,0),0)</f>
        <v>0</v>
      </c>
      <c r="X273" s="138">
        <f>IF('1.DATOS-PROD'!AG274="SI",VLOOKUP('1.DATOS-PROD'!AG$2,'1.PUNTOS'!$A$1:$B$63,2,0),0)</f>
        <v>0</v>
      </c>
      <c r="Y273" s="138">
        <f>IF('1.DATOS-PROD'!AH274="SI",VLOOKUP('1.DATOS-PROD'!AH$2,'1.PUNTOS'!$A$1:$B$63,2,0),0)</f>
        <v>0</v>
      </c>
      <c r="Z273" s="138">
        <f>IF('1.DATOS-PROD'!AI274="SI",VLOOKUP('1.DATOS-PROD'!AI$2,'1.PUNTOS'!$A$1:$B$63,2,0),0)</f>
        <v>0</v>
      </c>
      <c r="AA273" s="138">
        <f>IF('1.DATOS-PROD'!AJ274="SI",VLOOKUP('1.DATOS-PROD'!AJ$2,'1.PUNTOS'!$A$1:$B$63,2,0),0)</f>
        <v>0</v>
      </c>
      <c r="AB273" s="138">
        <f>IF('1.DATOS-PROD'!AK274="SI",VLOOKUP('1.DATOS-PROD'!AK$2,'1.PUNTOS'!$A$1:$B$63,2,0),0)</f>
        <v>0</v>
      </c>
      <c r="AC273" s="138">
        <f>IF('1.DATOS-PROD'!AL274="SI",VLOOKUP('1.DATOS-PROD'!AL$2,'1.PUNTOS'!$A$1:$B$63,2,0),0)</f>
        <v>0</v>
      </c>
      <c r="AD273" s="138">
        <f>IF('1.DATOS-PROD'!AM274="SI",VLOOKUP('1.DATOS-PROD'!AM$2,'1.PUNTOS'!$A$1:$B$63,2,0),0)</f>
        <v>0</v>
      </c>
      <c r="AE273" s="138">
        <f>IF('1.DATOS-PROD'!AN274="SI",VLOOKUP('1.DATOS-PROD'!AN$2,'1.PUNTOS'!$A$1:$B$63,2,0),0)</f>
        <v>0</v>
      </c>
      <c r="AF273" s="138">
        <f>IF('1.DATOS-PROD'!AO274="SI",VLOOKUP('1.DATOS-PROD'!AO$2,'1.PUNTOS'!$A$1:$B$63,2,0),0)</f>
        <v>0</v>
      </c>
      <c r="AG273" s="138">
        <f>IF('1.DATOS-PROD'!AP274="SI",VLOOKUP('1.DATOS-PROD'!AP$2,'1.PUNTOS'!$A$1:$B$63,2,0),0)</f>
        <v>0</v>
      </c>
      <c r="AH273" s="138">
        <f>IF('1.DATOS-PROD'!AQ274="SI",VLOOKUP('1.DATOS-PROD'!AQ$2,'1.PUNTOS'!$A$1:$B$63,2,0),0)</f>
        <v>0</v>
      </c>
      <c r="AI273" s="138">
        <f>IF('1.DATOS-PROD'!AR274="SI",VLOOKUP('1.DATOS-PROD'!AR$2,'1.PUNTOS'!$A$1:$B$63,2,0),0)</f>
        <v>0</v>
      </c>
      <c r="AJ273" s="138">
        <f>IF('1.DATOS-PROD'!AS274="SI",VLOOKUP('1.DATOS-PROD'!AS$2,'1.PUNTOS'!$A$1:$B$63,2,0),0)</f>
        <v>0</v>
      </c>
      <c r="AK273" s="138">
        <f>IF('1.DATOS-PROD'!AT274="SI",VLOOKUP('1.DATOS-PROD'!AT$2,'1.PUNTOS'!$A$1:$B$63,2,0),0)</f>
        <v>0</v>
      </c>
      <c r="AL273" s="138">
        <f>IF('1.DATOS-PROD'!AU274="SI",VLOOKUP('1.DATOS-PROD'!AU$2,'1.PUNTOS'!$A$1:$B$63,2,0),0)</f>
        <v>0</v>
      </c>
      <c r="AM273" s="138">
        <f>IF('1.DATOS-PROD'!AV274="SI",VLOOKUP('1.DATOS-PROD'!AV$2,'1.PUNTOS'!$A$1:$B$63,2,0),0)</f>
        <v>0</v>
      </c>
      <c r="AN273" s="138">
        <f>IF('1.DATOS-PROD'!AW274="SI",VLOOKUP('1.DATOS-PROD'!AW$2,'1.PUNTOS'!$A$1:$B$63,2,0),0)</f>
        <v>0</v>
      </c>
      <c r="AO273" s="138">
        <f>IF('1.DATOS-PROD'!AX274="SI",VLOOKUP('1.DATOS-PROD'!AX$2,'1.PUNTOS'!$A$1:$B$63,2,0),0)</f>
        <v>0</v>
      </c>
      <c r="AP273" s="138">
        <f>IF('1.DATOS-PROD'!AY274="SI",VLOOKUP('1.DATOS-PROD'!AY$2,'1.PUNTOS'!$A$1:$B$63,2,0),0)</f>
        <v>0</v>
      </c>
      <c r="AQ273" s="138">
        <f>IF('1.DATOS-PROD'!AZ274="SI",VLOOKUP('1.DATOS-PROD'!AZ$2,'1.PUNTOS'!$A$1:$B$63,2,0),0)</f>
        <v>0</v>
      </c>
      <c r="AR273" s="138">
        <f>IF('1.DATOS-PROD'!BA274="SI",VLOOKUP('1.DATOS-PROD'!BA$2,'1.PUNTOS'!$A$1:$B$63,2,0),0)</f>
        <v>0</v>
      </c>
      <c r="AS273" s="138">
        <f>IF('1.DATOS-PROD'!BB274="SI",VLOOKUP('1.DATOS-PROD'!BB$2,'1.PUNTOS'!$A$1:$B$63,2,0),0)</f>
        <v>0</v>
      </c>
      <c r="AT273" s="138">
        <f>IF('1.DATOS-PROD'!BC274="SI",VLOOKUP('1.DATOS-PROD'!BC$2,'1.PUNTOS'!$A$1:$B$63,2,0),0)</f>
        <v>0</v>
      </c>
      <c r="AU273" s="138">
        <f>IF('1.DATOS-PROD'!BD274="SI",VLOOKUP('1.DATOS-PROD'!BD$2,'1.PUNTOS'!$A$1:$B$63,2,0),0)</f>
        <v>0</v>
      </c>
      <c r="AV273" s="138">
        <f>IF('1.DATOS-PROD'!BE274="SI",VLOOKUP('1.DATOS-PROD'!BE$2,'1.PUNTOS'!$A$1:$B$63,2,0),0)</f>
        <v>0</v>
      </c>
      <c r="AW273" s="138">
        <f>IF('1.DATOS-PROD'!BF274="SI",VLOOKUP('1.DATOS-PROD'!BF$2,'1.PUNTOS'!$A$1:$B$63,2,0),0)</f>
        <v>0</v>
      </c>
      <c r="AX273" s="138">
        <f>IF('1.DATOS-PROD'!BG274="SI",VLOOKUP('1.DATOS-PROD'!BG$2,'1.PUNTOS'!$A$1:$B$63,2,0),0)</f>
        <v>0</v>
      </c>
      <c r="AY273" s="138">
        <f>IF('1.DATOS-PROD'!BH274="SI",VLOOKUP('1.DATOS-PROD'!BH$2,'1.PUNTOS'!$A$1:$B$63,2,0),0)</f>
        <v>0</v>
      </c>
      <c r="AZ273" s="138">
        <f>IF('1.DATOS-PROD'!BI274="SI",VLOOKUP('1.DATOS-PROD'!BI$2,'1.PUNTOS'!$A$1:$B$63,2,0),0)</f>
        <v>0</v>
      </c>
      <c r="BA273" s="138">
        <f>IF('1.DATOS-PROD'!BJ274="SI",VLOOKUP('1.DATOS-PROD'!BJ$2,'1.PUNTOS'!$A$1:$B$63,2,0),0)</f>
        <v>0</v>
      </c>
      <c r="BB273" s="138">
        <f>IF('1.DATOS-PROD'!BK274="SI",VLOOKUP('1.DATOS-PROD'!BK$2,'1.PUNTOS'!$A$1:$B$63,2,0),0)</f>
        <v>0</v>
      </c>
      <c r="BC273" s="138">
        <f>IF('1.DATOS-PROD'!BL274="SI",VLOOKUP('1.DATOS-PROD'!BL$2,'1.PUNTOS'!$A$1:$B$63,2,0),0)</f>
        <v>0</v>
      </c>
      <c r="BD273" s="138">
        <f>IF('1.DATOS-PROD'!BM274="SI",VLOOKUP('1.DATOS-PROD'!BM$2,'1.PUNTOS'!$A$1:$B$63,2,0),0)</f>
        <v>0</v>
      </c>
      <c r="BE273" s="138">
        <f>IF('1.DATOS-PROD'!BN274="SI",VLOOKUP('1.DATOS-PROD'!BN$2,'1.PUNTOS'!$A$1:$B$63,2,0),0)</f>
        <v>0</v>
      </c>
      <c r="BF273" s="138">
        <f>IF('1.DATOS-PROD'!BO274="SI",VLOOKUP('1.DATOS-PROD'!BO$2,'1.PUNTOS'!$A$1:$B$63,2,0),0)</f>
        <v>0</v>
      </c>
      <c r="BG273" s="138">
        <f>IF('1.DATOS-PROD'!BP274="SI",VLOOKUP('1.DATOS-PROD'!BP$2,'1.PUNTOS'!$A$1:$B$63,2,0),0)</f>
        <v>0</v>
      </c>
      <c r="BH273" s="138">
        <f>IF('1.DATOS-PROD'!BQ274="SI",VLOOKUP('1.DATOS-PROD'!BQ$2,'1.PUNTOS'!$A$1:$B$63,2,0),0)</f>
        <v>0</v>
      </c>
      <c r="BI273" s="138">
        <f>IF('1.DATOS-PROD'!BR274="SI",VLOOKUP('1.DATOS-PROD'!BR$2,'1.PUNTOS'!$A$1:$B$63,2,0),0)</f>
        <v>0</v>
      </c>
      <c r="BJ273" s="138">
        <f>IF('1.DATOS-PROD'!BS274="SI",VLOOKUP('1.DATOS-PROD'!BS$2,'1.PUNTOS'!$A$1:$B$63,2,0),0)</f>
        <v>0</v>
      </c>
      <c r="BK273" s="138">
        <f>IF('1.DATOS-PROD'!BT274="SI",VLOOKUP('1.DATOS-PROD'!BT$2,'1.PUNTOS'!$A$1:$B$63,2,0),0)</f>
        <v>0</v>
      </c>
    </row>
    <row r="274" spans="1:63" x14ac:dyDescent="0.25">
      <c r="A274">
        <f>'0.Consolidado general'!$A275</f>
        <v>0</v>
      </c>
      <c r="B274" s="138">
        <f>IF('1.DATOS-PROD'!K275="SI",VLOOKUP('1.DATOS-PROD'!K$2,'1.PUNTOS'!$A$1:$B$63,2,0),0)</f>
        <v>0</v>
      </c>
      <c r="C274" s="138">
        <f>IF('1.DATOS-PROD'!L275="SI",VLOOKUP('1.DATOS-PROD'!L$2,'1.PUNTOS'!$A$1:$B$63,2,0),0)</f>
        <v>0</v>
      </c>
      <c r="D274" s="138">
        <f>IF('1.DATOS-PROD'!M275="SI",VLOOKUP('1.DATOS-PROD'!M$2,'1.PUNTOS'!$A$1:$B$63,2,0),0)</f>
        <v>0</v>
      </c>
      <c r="E274" s="138">
        <f>IF('1.DATOS-PROD'!N275="SI",VLOOKUP('1.DATOS-PROD'!N$2,'1.PUNTOS'!$A$1:$B$63,2,0),0)</f>
        <v>0</v>
      </c>
      <c r="F274" s="138">
        <f>IF('1.DATOS-PROD'!O275="SI",VLOOKUP('1.DATOS-PROD'!O$2,'1.PUNTOS'!$A$1:$B$63,2,0),0)</f>
        <v>0</v>
      </c>
      <c r="G274" s="138">
        <f>IF('1.DATOS-PROD'!P275="SI",VLOOKUP('1.DATOS-PROD'!P$2,'1.PUNTOS'!$A$1:$B$63,2,0),0)</f>
        <v>0</v>
      </c>
      <c r="H274" s="138">
        <f>IF('1.DATOS-PROD'!Q275="SI",VLOOKUP('1.DATOS-PROD'!Q$2,'1.PUNTOS'!$A$1:$B$63,2,0),0)</f>
        <v>0</v>
      </c>
      <c r="I274" s="138">
        <f>IF('1.DATOS-PROD'!R275="SI",VLOOKUP('1.DATOS-PROD'!R$2,'1.PUNTOS'!$A$1:$B$63,2,0),0)</f>
        <v>0</v>
      </c>
      <c r="J274" s="138">
        <f>IF('1.DATOS-PROD'!S275="SI",VLOOKUP('1.DATOS-PROD'!S$2,'1.PUNTOS'!$A$1:$B$63,2,0),0)</f>
        <v>0</v>
      </c>
      <c r="K274" s="138">
        <f>IF('1.DATOS-PROD'!T275="SI",VLOOKUP('1.DATOS-PROD'!T$2,'1.PUNTOS'!$A$1:$B$63,2,0),0)</f>
        <v>0</v>
      </c>
      <c r="L274" s="138">
        <f>IF('1.DATOS-PROD'!U275="SI",VLOOKUP('1.DATOS-PROD'!U$2,'1.PUNTOS'!$A$1:$B$63,2,0),0)</f>
        <v>0</v>
      </c>
      <c r="M274" s="138">
        <f>IF('1.DATOS-PROD'!V275="SI",VLOOKUP('1.DATOS-PROD'!V$2,'1.PUNTOS'!$A$1:$B$63,2,0),0)</f>
        <v>0</v>
      </c>
      <c r="N274" s="138">
        <f>IF('1.DATOS-PROD'!W275="SI",VLOOKUP('1.DATOS-PROD'!W$2,'1.PUNTOS'!$A$1:$B$63,2,0),0)</f>
        <v>0</v>
      </c>
      <c r="O274" s="138">
        <f>IF('1.DATOS-PROD'!X275="SI",VLOOKUP('1.DATOS-PROD'!X$2,'1.PUNTOS'!$A$1:$B$63,2,0),0)</f>
        <v>0</v>
      </c>
      <c r="P274" s="138">
        <f>IF('1.DATOS-PROD'!Y275="SI",VLOOKUP('1.DATOS-PROD'!Y$2,'1.PUNTOS'!$A$1:$B$63,2,0),0)</f>
        <v>0</v>
      </c>
      <c r="Q274" s="138">
        <f>IF('1.DATOS-PROD'!Z275="SI",VLOOKUP('1.DATOS-PROD'!Z$2,'1.PUNTOS'!$A$1:$B$63,2,0),0)</f>
        <v>0</v>
      </c>
      <c r="R274" s="138">
        <f>IF('1.DATOS-PROD'!AA275="SI",VLOOKUP('1.DATOS-PROD'!AA$2,'1.PUNTOS'!$A$1:$B$63,2,0),0)</f>
        <v>0</v>
      </c>
      <c r="S274" s="138">
        <f>IF('1.DATOS-PROD'!AB275="SI",VLOOKUP('1.DATOS-PROD'!AB$2,'1.PUNTOS'!$A$1:$B$63,2,0),0)</f>
        <v>0</v>
      </c>
      <c r="T274" s="138">
        <f>IF('1.DATOS-PROD'!AC275="SI",VLOOKUP('1.DATOS-PROD'!AC$2,'1.PUNTOS'!$A$1:$B$63,2,0),0)</f>
        <v>0</v>
      </c>
      <c r="U274" s="138">
        <f>IF('1.DATOS-PROD'!AD275="SI",VLOOKUP('1.DATOS-PROD'!AD$2,'1.PUNTOS'!$A$1:$B$63,2,0),0)</f>
        <v>0</v>
      </c>
      <c r="V274" s="138">
        <f>IF('1.DATOS-PROD'!AE275="SI",VLOOKUP('1.DATOS-PROD'!AE$2,'1.PUNTOS'!$A$1:$B$63,2,0),0)</f>
        <v>0</v>
      </c>
      <c r="W274" s="138">
        <f>IF('1.DATOS-PROD'!AF275="SI",VLOOKUP('1.DATOS-PROD'!AF$2,'1.PUNTOS'!$A$1:$B$63,2,0),0)</f>
        <v>0</v>
      </c>
      <c r="X274" s="138">
        <f>IF('1.DATOS-PROD'!AG275="SI",VLOOKUP('1.DATOS-PROD'!AG$2,'1.PUNTOS'!$A$1:$B$63,2,0),0)</f>
        <v>0</v>
      </c>
      <c r="Y274" s="138">
        <f>IF('1.DATOS-PROD'!AH275="SI",VLOOKUP('1.DATOS-PROD'!AH$2,'1.PUNTOS'!$A$1:$B$63,2,0),0)</f>
        <v>0</v>
      </c>
      <c r="Z274" s="138">
        <f>IF('1.DATOS-PROD'!AI275="SI",VLOOKUP('1.DATOS-PROD'!AI$2,'1.PUNTOS'!$A$1:$B$63,2,0),0)</f>
        <v>0</v>
      </c>
      <c r="AA274" s="138">
        <f>IF('1.DATOS-PROD'!AJ275="SI",VLOOKUP('1.DATOS-PROD'!AJ$2,'1.PUNTOS'!$A$1:$B$63,2,0),0)</f>
        <v>0</v>
      </c>
      <c r="AB274" s="138">
        <f>IF('1.DATOS-PROD'!AK275="SI",VLOOKUP('1.DATOS-PROD'!AK$2,'1.PUNTOS'!$A$1:$B$63,2,0),0)</f>
        <v>0</v>
      </c>
      <c r="AC274" s="138">
        <f>IF('1.DATOS-PROD'!AL275="SI",VLOOKUP('1.DATOS-PROD'!AL$2,'1.PUNTOS'!$A$1:$B$63,2,0),0)</f>
        <v>0</v>
      </c>
      <c r="AD274" s="138">
        <f>IF('1.DATOS-PROD'!AM275="SI",VLOOKUP('1.DATOS-PROD'!AM$2,'1.PUNTOS'!$A$1:$B$63,2,0),0)</f>
        <v>0</v>
      </c>
      <c r="AE274" s="138">
        <f>IF('1.DATOS-PROD'!AN275="SI",VLOOKUP('1.DATOS-PROD'!AN$2,'1.PUNTOS'!$A$1:$B$63,2,0),0)</f>
        <v>0</v>
      </c>
      <c r="AF274" s="138">
        <f>IF('1.DATOS-PROD'!AO275="SI",VLOOKUP('1.DATOS-PROD'!AO$2,'1.PUNTOS'!$A$1:$B$63,2,0),0)</f>
        <v>0</v>
      </c>
      <c r="AG274" s="138">
        <f>IF('1.DATOS-PROD'!AP275="SI",VLOOKUP('1.DATOS-PROD'!AP$2,'1.PUNTOS'!$A$1:$B$63,2,0),0)</f>
        <v>0</v>
      </c>
      <c r="AH274" s="138">
        <f>IF('1.DATOS-PROD'!AQ275="SI",VLOOKUP('1.DATOS-PROD'!AQ$2,'1.PUNTOS'!$A$1:$B$63,2,0),0)</f>
        <v>0</v>
      </c>
      <c r="AI274" s="138">
        <f>IF('1.DATOS-PROD'!AR275="SI",VLOOKUP('1.DATOS-PROD'!AR$2,'1.PUNTOS'!$A$1:$B$63,2,0),0)</f>
        <v>0</v>
      </c>
      <c r="AJ274" s="138">
        <f>IF('1.DATOS-PROD'!AS275="SI",VLOOKUP('1.DATOS-PROD'!AS$2,'1.PUNTOS'!$A$1:$B$63,2,0),0)</f>
        <v>0</v>
      </c>
      <c r="AK274" s="138">
        <f>IF('1.DATOS-PROD'!AT275="SI",VLOOKUP('1.DATOS-PROD'!AT$2,'1.PUNTOS'!$A$1:$B$63,2,0),0)</f>
        <v>0</v>
      </c>
      <c r="AL274" s="138">
        <f>IF('1.DATOS-PROD'!AU275="SI",VLOOKUP('1.DATOS-PROD'!AU$2,'1.PUNTOS'!$A$1:$B$63,2,0),0)</f>
        <v>0</v>
      </c>
      <c r="AM274" s="138">
        <f>IF('1.DATOS-PROD'!AV275="SI",VLOOKUP('1.DATOS-PROD'!AV$2,'1.PUNTOS'!$A$1:$B$63,2,0),0)</f>
        <v>0</v>
      </c>
      <c r="AN274" s="138">
        <f>IF('1.DATOS-PROD'!AW275="SI",VLOOKUP('1.DATOS-PROD'!AW$2,'1.PUNTOS'!$A$1:$B$63,2,0),0)</f>
        <v>0</v>
      </c>
      <c r="AO274" s="138">
        <f>IF('1.DATOS-PROD'!AX275="SI",VLOOKUP('1.DATOS-PROD'!AX$2,'1.PUNTOS'!$A$1:$B$63,2,0),0)</f>
        <v>0</v>
      </c>
      <c r="AP274" s="138">
        <f>IF('1.DATOS-PROD'!AY275="SI",VLOOKUP('1.DATOS-PROD'!AY$2,'1.PUNTOS'!$A$1:$B$63,2,0),0)</f>
        <v>0</v>
      </c>
      <c r="AQ274" s="138">
        <f>IF('1.DATOS-PROD'!AZ275="SI",VLOOKUP('1.DATOS-PROD'!AZ$2,'1.PUNTOS'!$A$1:$B$63,2,0),0)</f>
        <v>0</v>
      </c>
      <c r="AR274" s="138">
        <f>IF('1.DATOS-PROD'!BA275="SI",VLOOKUP('1.DATOS-PROD'!BA$2,'1.PUNTOS'!$A$1:$B$63,2,0),0)</f>
        <v>0</v>
      </c>
      <c r="AS274" s="138">
        <f>IF('1.DATOS-PROD'!BB275="SI",VLOOKUP('1.DATOS-PROD'!BB$2,'1.PUNTOS'!$A$1:$B$63,2,0),0)</f>
        <v>0</v>
      </c>
      <c r="AT274" s="138">
        <f>IF('1.DATOS-PROD'!BC275="SI",VLOOKUP('1.DATOS-PROD'!BC$2,'1.PUNTOS'!$A$1:$B$63,2,0),0)</f>
        <v>0</v>
      </c>
      <c r="AU274" s="138">
        <f>IF('1.DATOS-PROD'!BD275="SI",VLOOKUP('1.DATOS-PROD'!BD$2,'1.PUNTOS'!$A$1:$B$63,2,0),0)</f>
        <v>0</v>
      </c>
      <c r="AV274" s="138">
        <f>IF('1.DATOS-PROD'!BE275="SI",VLOOKUP('1.DATOS-PROD'!BE$2,'1.PUNTOS'!$A$1:$B$63,2,0),0)</f>
        <v>0</v>
      </c>
      <c r="AW274" s="138">
        <f>IF('1.DATOS-PROD'!BF275="SI",VLOOKUP('1.DATOS-PROD'!BF$2,'1.PUNTOS'!$A$1:$B$63,2,0),0)</f>
        <v>0</v>
      </c>
      <c r="AX274" s="138">
        <f>IF('1.DATOS-PROD'!BG275="SI",VLOOKUP('1.DATOS-PROD'!BG$2,'1.PUNTOS'!$A$1:$B$63,2,0),0)</f>
        <v>0</v>
      </c>
      <c r="AY274" s="138">
        <f>IF('1.DATOS-PROD'!BH275="SI",VLOOKUP('1.DATOS-PROD'!BH$2,'1.PUNTOS'!$A$1:$B$63,2,0),0)</f>
        <v>0</v>
      </c>
      <c r="AZ274" s="138">
        <f>IF('1.DATOS-PROD'!BI275="SI",VLOOKUP('1.DATOS-PROD'!BI$2,'1.PUNTOS'!$A$1:$B$63,2,0),0)</f>
        <v>0</v>
      </c>
      <c r="BA274" s="138">
        <f>IF('1.DATOS-PROD'!BJ275="SI",VLOOKUP('1.DATOS-PROD'!BJ$2,'1.PUNTOS'!$A$1:$B$63,2,0),0)</f>
        <v>0</v>
      </c>
      <c r="BB274" s="138">
        <f>IF('1.DATOS-PROD'!BK275="SI",VLOOKUP('1.DATOS-PROD'!BK$2,'1.PUNTOS'!$A$1:$B$63,2,0),0)</f>
        <v>0</v>
      </c>
      <c r="BC274" s="138">
        <f>IF('1.DATOS-PROD'!BL275="SI",VLOOKUP('1.DATOS-PROD'!BL$2,'1.PUNTOS'!$A$1:$B$63,2,0),0)</f>
        <v>0</v>
      </c>
      <c r="BD274" s="138">
        <f>IF('1.DATOS-PROD'!BM275="SI",VLOOKUP('1.DATOS-PROD'!BM$2,'1.PUNTOS'!$A$1:$B$63,2,0),0)</f>
        <v>0</v>
      </c>
      <c r="BE274" s="138">
        <f>IF('1.DATOS-PROD'!BN275="SI",VLOOKUP('1.DATOS-PROD'!BN$2,'1.PUNTOS'!$A$1:$B$63,2,0),0)</f>
        <v>0</v>
      </c>
      <c r="BF274" s="138">
        <f>IF('1.DATOS-PROD'!BO275="SI",VLOOKUP('1.DATOS-PROD'!BO$2,'1.PUNTOS'!$A$1:$B$63,2,0),0)</f>
        <v>0</v>
      </c>
      <c r="BG274" s="138">
        <f>IF('1.DATOS-PROD'!BP275="SI",VLOOKUP('1.DATOS-PROD'!BP$2,'1.PUNTOS'!$A$1:$B$63,2,0),0)</f>
        <v>0</v>
      </c>
      <c r="BH274" s="138">
        <f>IF('1.DATOS-PROD'!BQ275="SI",VLOOKUP('1.DATOS-PROD'!BQ$2,'1.PUNTOS'!$A$1:$B$63,2,0),0)</f>
        <v>0</v>
      </c>
      <c r="BI274" s="138">
        <f>IF('1.DATOS-PROD'!BR275="SI",VLOOKUP('1.DATOS-PROD'!BR$2,'1.PUNTOS'!$A$1:$B$63,2,0),0)</f>
        <v>0</v>
      </c>
      <c r="BJ274" s="138">
        <f>IF('1.DATOS-PROD'!BS275="SI",VLOOKUP('1.DATOS-PROD'!BS$2,'1.PUNTOS'!$A$1:$B$63,2,0),0)</f>
        <v>0</v>
      </c>
      <c r="BK274" s="138">
        <f>IF('1.DATOS-PROD'!BT275="SI",VLOOKUP('1.DATOS-PROD'!BT$2,'1.PUNTOS'!$A$1:$B$63,2,0),0)</f>
        <v>0</v>
      </c>
    </row>
    <row r="275" spans="1:63" x14ac:dyDescent="0.25">
      <c r="A275">
        <f>'0.Consolidado general'!$A276</f>
        <v>0</v>
      </c>
      <c r="B275" s="138">
        <f>IF('1.DATOS-PROD'!K276="SI",VLOOKUP('1.DATOS-PROD'!K$2,'1.PUNTOS'!$A$1:$B$63,2,0),0)</f>
        <v>0</v>
      </c>
      <c r="C275" s="138">
        <f>IF('1.DATOS-PROD'!L276="SI",VLOOKUP('1.DATOS-PROD'!L$2,'1.PUNTOS'!$A$1:$B$63,2,0),0)</f>
        <v>0</v>
      </c>
      <c r="D275" s="138">
        <f>IF('1.DATOS-PROD'!M276="SI",VLOOKUP('1.DATOS-PROD'!M$2,'1.PUNTOS'!$A$1:$B$63,2,0),0)</f>
        <v>0</v>
      </c>
      <c r="E275" s="138">
        <f>IF('1.DATOS-PROD'!N276="SI",VLOOKUP('1.DATOS-PROD'!N$2,'1.PUNTOS'!$A$1:$B$63,2,0),0)</f>
        <v>0</v>
      </c>
      <c r="F275" s="138">
        <f>IF('1.DATOS-PROD'!O276="SI",VLOOKUP('1.DATOS-PROD'!O$2,'1.PUNTOS'!$A$1:$B$63,2,0),0)</f>
        <v>0</v>
      </c>
      <c r="G275" s="138">
        <f>IF('1.DATOS-PROD'!P276="SI",VLOOKUP('1.DATOS-PROD'!P$2,'1.PUNTOS'!$A$1:$B$63,2,0),0)</f>
        <v>0</v>
      </c>
      <c r="H275" s="138">
        <f>IF('1.DATOS-PROD'!Q276="SI",VLOOKUP('1.DATOS-PROD'!Q$2,'1.PUNTOS'!$A$1:$B$63,2,0),0)</f>
        <v>0</v>
      </c>
      <c r="I275" s="138">
        <f>IF('1.DATOS-PROD'!R276="SI",VLOOKUP('1.DATOS-PROD'!R$2,'1.PUNTOS'!$A$1:$B$63,2,0),0)</f>
        <v>0</v>
      </c>
      <c r="J275" s="138">
        <f>IF('1.DATOS-PROD'!S276="SI",VLOOKUP('1.DATOS-PROD'!S$2,'1.PUNTOS'!$A$1:$B$63,2,0),0)</f>
        <v>0</v>
      </c>
      <c r="K275" s="138">
        <f>IF('1.DATOS-PROD'!T276="SI",VLOOKUP('1.DATOS-PROD'!T$2,'1.PUNTOS'!$A$1:$B$63,2,0),0)</f>
        <v>0</v>
      </c>
      <c r="L275" s="138">
        <f>IF('1.DATOS-PROD'!U276="SI",VLOOKUP('1.DATOS-PROD'!U$2,'1.PUNTOS'!$A$1:$B$63,2,0),0)</f>
        <v>0</v>
      </c>
      <c r="M275" s="138">
        <f>IF('1.DATOS-PROD'!V276="SI",VLOOKUP('1.DATOS-PROD'!V$2,'1.PUNTOS'!$A$1:$B$63,2,0),0)</f>
        <v>0</v>
      </c>
      <c r="N275" s="138">
        <f>IF('1.DATOS-PROD'!W276="SI",VLOOKUP('1.DATOS-PROD'!W$2,'1.PUNTOS'!$A$1:$B$63,2,0),0)</f>
        <v>0</v>
      </c>
      <c r="O275" s="138">
        <f>IF('1.DATOS-PROD'!X276="SI",VLOOKUP('1.DATOS-PROD'!X$2,'1.PUNTOS'!$A$1:$B$63,2,0),0)</f>
        <v>0</v>
      </c>
      <c r="P275" s="138">
        <f>IF('1.DATOS-PROD'!Y276="SI",VLOOKUP('1.DATOS-PROD'!Y$2,'1.PUNTOS'!$A$1:$B$63,2,0),0)</f>
        <v>0</v>
      </c>
      <c r="Q275" s="138">
        <f>IF('1.DATOS-PROD'!Z276="SI",VLOOKUP('1.DATOS-PROD'!Z$2,'1.PUNTOS'!$A$1:$B$63,2,0),0)</f>
        <v>0</v>
      </c>
      <c r="R275" s="138">
        <f>IF('1.DATOS-PROD'!AA276="SI",VLOOKUP('1.DATOS-PROD'!AA$2,'1.PUNTOS'!$A$1:$B$63,2,0),0)</f>
        <v>0</v>
      </c>
      <c r="S275" s="138">
        <f>IF('1.DATOS-PROD'!AB276="SI",VLOOKUP('1.DATOS-PROD'!AB$2,'1.PUNTOS'!$A$1:$B$63,2,0),0)</f>
        <v>0</v>
      </c>
      <c r="T275" s="138">
        <f>IF('1.DATOS-PROD'!AC276="SI",VLOOKUP('1.DATOS-PROD'!AC$2,'1.PUNTOS'!$A$1:$B$63,2,0),0)</f>
        <v>0</v>
      </c>
      <c r="U275" s="138">
        <f>IF('1.DATOS-PROD'!AD276="SI",VLOOKUP('1.DATOS-PROD'!AD$2,'1.PUNTOS'!$A$1:$B$63,2,0),0)</f>
        <v>0</v>
      </c>
      <c r="V275" s="138">
        <f>IF('1.DATOS-PROD'!AE276="SI",VLOOKUP('1.DATOS-PROD'!AE$2,'1.PUNTOS'!$A$1:$B$63,2,0),0)</f>
        <v>0</v>
      </c>
      <c r="W275" s="138">
        <f>IF('1.DATOS-PROD'!AF276="SI",VLOOKUP('1.DATOS-PROD'!AF$2,'1.PUNTOS'!$A$1:$B$63,2,0),0)</f>
        <v>0</v>
      </c>
      <c r="X275" s="138">
        <f>IF('1.DATOS-PROD'!AG276="SI",VLOOKUP('1.DATOS-PROD'!AG$2,'1.PUNTOS'!$A$1:$B$63,2,0),0)</f>
        <v>0</v>
      </c>
      <c r="Y275" s="138">
        <f>IF('1.DATOS-PROD'!AH276="SI",VLOOKUP('1.DATOS-PROD'!AH$2,'1.PUNTOS'!$A$1:$B$63,2,0),0)</f>
        <v>0</v>
      </c>
      <c r="Z275" s="138">
        <f>IF('1.DATOS-PROD'!AI276="SI",VLOOKUP('1.DATOS-PROD'!AI$2,'1.PUNTOS'!$A$1:$B$63,2,0),0)</f>
        <v>0</v>
      </c>
      <c r="AA275" s="138">
        <f>IF('1.DATOS-PROD'!AJ276="SI",VLOOKUP('1.DATOS-PROD'!AJ$2,'1.PUNTOS'!$A$1:$B$63,2,0),0)</f>
        <v>0</v>
      </c>
      <c r="AB275" s="138">
        <f>IF('1.DATOS-PROD'!AK276="SI",VLOOKUP('1.DATOS-PROD'!AK$2,'1.PUNTOS'!$A$1:$B$63,2,0),0)</f>
        <v>0</v>
      </c>
      <c r="AC275" s="138">
        <f>IF('1.DATOS-PROD'!AL276="SI",VLOOKUP('1.DATOS-PROD'!AL$2,'1.PUNTOS'!$A$1:$B$63,2,0),0)</f>
        <v>0</v>
      </c>
      <c r="AD275" s="138">
        <f>IF('1.DATOS-PROD'!AM276="SI",VLOOKUP('1.DATOS-PROD'!AM$2,'1.PUNTOS'!$A$1:$B$63,2,0),0)</f>
        <v>0</v>
      </c>
      <c r="AE275" s="138">
        <f>IF('1.DATOS-PROD'!AN276="SI",VLOOKUP('1.DATOS-PROD'!AN$2,'1.PUNTOS'!$A$1:$B$63,2,0),0)</f>
        <v>0</v>
      </c>
      <c r="AF275" s="138">
        <f>IF('1.DATOS-PROD'!AO276="SI",VLOOKUP('1.DATOS-PROD'!AO$2,'1.PUNTOS'!$A$1:$B$63,2,0),0)</f>
        <v>0</v>
      </c>
      <c r="AG275" s="138">
        <f>IF('1.DATOS-PROD'!AP276="SI",VLOOKUP('1.DATOS-PROD'!AP$2,'1.PUNTOS'!$A$1:$B$63,2,0),0)</f>
        <v>0</v>
      </c>
      <c r="AH275" s="138">
        <f>IF('1.DATOS-PROD'!AQ276="SI",VLOOKUP('1.DATOS-PROD'!AQ$2,'1.PUNTOS'!$A$1:$B$63,2,0),0)</f>
        <v>0</v>
      </c>
      <c r="AI275" s="138">
        <f>IF('1.DATOS-PROD'!AR276="SI",VLOOKUP('1.DATOS-PROD'!AR$2,'1.PUNTOS'!$A$1:$B$63,2,0),0)</f>
        <v>0</v>
      </c>
      <c r="AJ275" s="138">
        <f>IF('1.DATOS-PROD'!AS276="SI",VLOOKUP('1.DATOS-PROD'!AS$2,'1.PUNTOS'!$A$1:$B$63,2,0),0)</f>
        <v>0</v>
      </c>
      <c r="AK275" s="138">
        <f>IF('1.DATOS-PROD'!AT276="SI",VLOOKUP('1.DATOS-PROD'!AT$2,'1.PUNTOS'!$A$1:$B$63,2,0),0)</f>
        <v>0</v>
      </c>
      <c r="AL275" s="138">
        <f>IF('1.DATOS-PROD'!AU276="SI",VLOOKUP('1.DATOS-PROD'!AU$2,'1.PUNTOS'!$A$1:$B$63,2,0),0)</f>
        <v>0</v>
      </c>
      <c r="AM275" s="138">
        <f>IF('1.DATOS-PROD'!AV276="SI",VLOOKUP('1.DATOS-PROD'!AV$2,'1.PUNTOS'!$A$1:$B$63,2,0),0)</f>
        <v>0</v>
      </c>
      <c r="AN275" s="138">
        <f>IF('1.DATOS-PROD'!AW276="SI",VLOOKUP('1.DATOS-PROD'!AW$2,'1.PUNTOS'!$A$1:$B$63,2,0),0)</f>
        <v>0</v>
      </c>
      <c r="AO275" s="138">
        <f>IF('1.DATOS-PROD'!AX276="SI",VLOOKUP('1.DATOS-PROD'!AX$2,'1.PUNTOS'!$A$1:$B$63,2,0),0)</f>
        <v>0</v>
      </c>
      <c r="AP275" s="138">
        <f>IF('1.DATOS-PROD'!AY276="SI",VLOOKUP('1.DATOS-PROD'!AY$2,'1.PUNTOS'!$A$1:$B$63,2,0),0)</f>
        <v>0</v>
      </c>
      <c r="AQ275" s="138">
        <f>IF('1.DATOS-PROD'!AZ276="SI",VLOOKUP('1.DATOS-PROD'!AZ$2,'1.PUNTOS'!$A$1:$B$63,2,0),0)</f>
        <v>0</v>
      </c>
      <c r="AR275" s="138">
        <f>IF('1.DATOS-PROD'!BA276="SI",VLOOKUP('1.DATOS-PROD'!BA$2,'1.PUNTOS'!$A$1:$B$63,2,0),0)</f>
        <v>0</v>
      </c>
      <c r="AS275" s="138">
        <f>IF('1.DATOS-PROD'!BB276="SI",VLOOKUP('1.DATOS-PROD'!BB$2,'1.PUNTOS'!$A$1:$B$63,2,0),0)</f>
        <v>0</v>
      </c>
      <c r="AT275" s="138">
        <f>IF('1.DATOS-PROD'!BC276="SI",VLOOKUP('1.DATOS-PROD'!BC$2,'1.PUNTOS'!$A$1:$B$63,2,0),0)</f>
        <v>0</v>
      </c>
      <c r="AU275" s="138">
        <f>IF('1.DATOS-PROD'!BD276="SI",VLOOKUP('1.DATOS-PROD'!BD$2,'1.PUNTOS'!$A$1:$B$63,2,0),0)</f>
        <v>0</v>
      </c>
      <c r="AV275" s="138">
        <f>IF('1.DATOS-PROD'!BE276="SI",VLOOKUP('1.DATOS-PROD'!BE$2,'1.PUNTOS'!$A$1:$B$63,2,0),0)</f>
        <v>0</v>
      </c>
      <c r="AW275" s="138">
        <f>IF('1.DATOS-PROD'!BF276="SI",VLOOKUP('1.DATOS-PROD'!BF$2,'1.PUNTOS'!$A$1:$B$63,2,0),0)</f>
        <v>0</v>
      </c>
      <c r="AX275" s="138">
        <f>IF('1.DATOS-PROD'!BG276="SI",VLOOKUP('1.DATOS-PROD'!BG$2,'1.PUNTOS'!$A$1:$B$63,2,0),0)</f>
        <v>0</v>
      </c>
      <c r="AY275" s="138">
        <f>IF('1.DATOS-PROD'!BH276="SI",VLOOKUP('1.DATOS-PROD'!BH$2,'1.PUNTOS'!$A$1:$B$63,2,0),0)</f>
        <v>0</v>
      </c>
      <c r="AZ275" s="138">
        <f>IF('1.DATOS-PROD'!BI276="SI",VLOOKUP('1.DATOS-PROD'!BI$2,'1.PUNTOS'!$A$1:$B$63,2,0),0)</f>
        <v>0</v>
      </c>
      <c r="BA275" s="138">
        <f>IF('1.DATOS-PROD'!BJ276="SI",VLOOKUP('1.DATOS-PROD'!BJ$2,'1.PUNTOS'!$A$1:$B$63,2,0),0)</f>
        <v>0</v>
      </c>
      <c r="BB275" s="138">
        <f>IF('1.DATOS-PROD'!BK276="SI",VLOOKUP('1.DATOS-PROD'!BK$2,'1.PUNTOS'!$A$1:$B$63,2,0),0)</f>
        <v>0</v>
      </c>
      <c r="BC275" s="138">
        <f>IF('1.DATOS-PROD'!BL276="SI",VLOOKUP('1.DATOS-PROD'!BL$2,'1.PUNTOS'!$A$1:$B$63,2,0),0)</f>
        <v>0</v>
      </c>
      <c r="BD275" s="138">
        <f>IF('1.DATOS-PROD'!BM276="SI",VLOOKUP('1.DATOS-PROD'!BM$2,'1.PUNTOS'!$A$1:$B$63,2,0),0)</f>
        <v>0</v>
      </c>
      <c r="BE275" s="138">
        <f>IF('1.DATOS-PROD'!BN276="SI",VLOOKUP('1.DATOS-PROD'!BN$2,'1.PUNTOS'!$A$1:$B$63,2,0),0)</f>
        <v>0</v>
      </c>
      <c r="BF275" s="138">
        <f>IF('1.DATOS-PROD'!BO276="SI",VLOOKUP('1.DATOS-PROD'!BO$2,'1.PUNTOS'!$A$1:$B$63,2,0),0)</f>
        <v>0</v>
      </c>
      <c r="BG275" s="138">
        <f>IF('1.DATOS-PROD'!BP276="SI",VLOOKUP('1.DATOS-PROD'!BP$2,'1.PUNTOS'!$A$1:$B$63,2,0),0)</f>
        <v>0</v>
      </c>
      <c r="BH275" s="138">
        <f>IF('1.DATOS-PROD'!BQ276="SI",VLOOKUP('1.DATOS-PROD'!BQ$2,'1.PUNTOS'!$A$1:$B$63,2,0),0)</f>
        <v>0</v>
      </c>
      <c r="BI275" s="138">
        <f>IF('1.DATOS-PROD'!BR276="SI",VLOOKUP('1.DATOS-PROD'!BR$2,'1.PUNTOS'!$A$1:$B$63,2,0),0)</f>
        <v>0</v>
      </c>
      <c r="BJ275" s="138">
        <f>IF('1.DATOS-PROD'!BS276="SI",VLOOKUP('1.DATOS-PROD'!BS$2,'1.PUNTOS'!$A$1:$B$63,2,0),0)</f>
        <v>0</v>
      </c>
      <c r="BK275" s="138">
        <f>IF('1.DATOS-PROD'!BT276="SI",VLOOKUP('1.DATOS-PROD'!BT$2,'1.PUNTOS'!$A$1:$B$63,2,0),0)</f>
        <v>0</v>
      </c>
    </row>
    <row r="276" spans="1:63" x14ac:dyDescent="0.25">
      <c r="A276">
        <f>'0.Consolidado general'!$A277</f>
        <v>0</v>
      </c>
      <c r="B276" s="138">
        <f>IF('1.DATOS-PROD'!K277="SI",VLOOKUP('1.DATOS-PROD'!K$2,'1.PUNTOS'!$A$1:$B$63,2,0),0)</f>
        <v>0</v>
      </c>
      <c r="C276" s="138">
        <f>IF('1.DATOS-PROD'!L277="SI",VLOOKUP('1.DATOS-PROD'!L$2,'1.PUNTOS'!$A$1:$B$63,2,0),0)</f>
        <v>0</v>
      </c>
      <c r="D276" s="138">
        <f>IF('1.DATOS-PROD'!M277="SI",VLOOKUP('1.DATOS-PROD'!M$2,'1.PUNTOS'!$A$1:$B$63,2,0),0)</f>
        <v>0</v>
      </c>
      <c r="E276" s="138">
        <f>IF('1.DATOS-PROD'!N277="SI",VLOOKUP('1.DATOS-PROD'!N$2,'1.PUNTOS'!$A$1:$B$63,2,0),0)</f>
        <v>0</v>
      </c>
      <c r="F276" s="138">
        <f>IF('1.DATOS-PROD'!O277="SI",VLOOKUP('1.DATOS-PROD'!O$2,'1.PUNTOS'!$A$1:$B$63,2,0),0)</f>
        <v>0</v>
      </c>
      <c r="G276" s="138">
        <f>IF('1.DATOS-PROD'!P277="SI",VLOOKUP('1.DATOS-PROD'!P$2,'1.PUNTOS'!$A$1:$B$63,2,0),0)</f>
        <v>0</v>
      </c>
      <c r="H276" s="138">
        <f>IF('1.DATOS-PROD'!Q277="SI",VLOOKUP('1.DATOS-PROD'!Q$2,'1.PUNTOS'!$A$1:$B$63,2,0),0)</f>
        <v>0</v>
      </c>
      <c r="I276" s="138">
        <f>IF('1.DATOS-PROD'!R277="SI",VLOOKUP('1.DATOS-PROD'!R$2,'1.PUNTOS'!$A$1:$B$63,2,0),0)</f>
        <v>0</v>
      </c>
      <c r="J276" s="138">
        <f>IF('1.DATOS-PROD'!S277="SI",VLOOKUP('1.DATOS-PROD'!S$2,'1.PUNTOS'!$A$1:$B$63,2,0),0)</f>
        <v>0</v>
      </c>
      <c r="K276" s="138">
        <f>IF('1.DATOS-PROD'!T277="SI",VLOOKUP('1.DATOS-PROD'!T$2,'1.PUNTOS'!$A$1:$B$63,2,0),0)</f>
        <v>0</v>
      </c>
      <c r="L276" s="138">
        <f>IF('1.DATOS-PROD'!U277="SI",VLOOKUP('1.DATOS-PROD'!U$2,'1.PUNTOS'!$A$1:$B$63,2,0),0)</f>
        <v>0</v>
      </c>
      <c r="M276" s="138">
        <f>IF('1.DATOS-PROD'!V277="SI",VLOOKUP('1.DATOS-PROD'!V$2,'1.PUNTOS'!$A$1:$B$63,2,0),0)</f>
        <v>0</v>
      </c>
      <c r="N276" s="138">
        <f>IF('1.DATOS-PROD'!W277="SI",VLOOKUP('1.DATOS-PROD'!W$2,'1.PUNTOS'!$A$1:$B$63,2,0),0)</f>
        <v>0</v>
      </c>
      <c r="O276" s="138">
        <f>IF('1.DATOS-PROD'!X277="SI",VLOOKUP('1.DATOS-PROD'!X$2,'1.PUNTOS'!$A$1:$B$63,2,0),0)</f>
        <v>0</v>
      </c>
      <c r="P276" s="138">
        <f>IF('1.DATOS-PROD'!Y277="SI",VLOOKUP('1.DATOS-PROD'!Y$2,'1.PUNTOS'!$A$1:$B$63,2,0),0)</f>
        <v>0</v>
      </c>
      <c r="Q276" s="138">
        <f>IF('1.DATOS-PROD'!Z277="SI",VLOOKUP('1.DATOS-PROD'!Z$2,'1.PUNTOS'!$A$1:$B$63,2,0),0)</f>
        <v>0</v>
      </c>
      <c r="R276" s="138">
        <f>IF('1.DATOS-PROD'!AA277="SI",VLOOKUP('1.DATOS-PROD'!AA$2,'1.PUNTOS'!$A$1:$B$63,2,0),0)</f>
        <v>0</v>
      </c>
      <c r="S276" s="138">
        <f>IF('1.DATOS-PROD'!AB277="SI",VLOOKUP('1.DATOS-PROD'!AB$2,'1.PUNTOS'!$A$1:$B$63,2,0),0)</f>
        <v>0</v>
      </c>
      <c r="T276" s="138">
        <f>IF('1.DATOS-PROD'!AC277="SI",VLOOKUP('1.DATOS-PROD'!AC$2,'1.PUNTOS'!$A$1:$B$63,2,0),0)</f>
        <v>0</v>
      </c>
      <c r="U276" s="138">
        <f>IF('1.DATOS-PROD'!AD277="SI",VLOOKUP('1.DATOS-PROD'!AD$2,'1.PUNTOS'!$A$1:$B$63,2,0),0)</f>
        <v>0</v>
      </c>
      <c r="V276" s="138">
        <f>IF('1.DATOS-PROD'!AE277="SI",VLOOKUP('1.DATOS-PROD'!AE$2,'1.PUNTOS'!$A$1:$B$63,2,0),0)</f>
        <v>0</v>
      </c>
      <c r="W276" s="138">
        <f>IF('1.DATOS-PROD'!AF277="SI",VLOOKUP('1.DATOS-PROD'!AF$2,'1.PUNTOS'!$A$1:$B$63,2,0),0)</f>
        <v>0</v>
      </c>
      <c r="X276" s="138">
        <f>IF('1.DATOS-PROD'!AG277="SI",VLOOKUP('1.DATOS-PROD'!AG$2,'1.PUNTOS'!$A$1:$B$63,2,0),0)</f>
        <v>0</v>
      </c>
      <c r="Y276" s="138">
        <f>IF('1.DATOS-PROD'!AH277="SI",VLOOKUP('1.DATOS-PROD'!AH$2,'1.PUNTOS'!$A$1:$B$63,2,0),0)</f>
        <v>0</v>
      </c>
      <c r="Z276" s="138">
        <f>IF('1.DATOS-PROD'!AI277="SI",VLOOKUP('1.DATOS-PROD'!AI$2,'1.PUNTOS'!$A$1:$B$63,2,0),0)</f>
        <v>0</v>
      </c>
      <c r="AA276" s="138">
        <f>IF('1.DATOS-PROD'!AJ277="SI",VLOOKUP('1.DATOS-PROD'!AJ$2,'1.PUNTOS'!$A$1:$B$63,2,0),0)</f>
        <v>0</v>
      </c>
      <c r="AB276" s="138">
        <f>IF('1.DATOS-PROD'!AK277="SI",VLOOKUP('1.DATOS-PROD'!AK$2,'1.PUNTOS'!$A$1:$B$63,2,0),0)</f>
        <v>0</v>
      </c>
      <c r="AC276" s="138">
        <f>IF('1.DATOS-PROD'!AL277="SI",VLOOKUP('1.DATOS-PROD'!AL$2,'1.PUNTOS'!$A$1:$B$63,2,0),0)</f>
        <v>0</v>
      </c>
      <c r="AD276" s="138">
        <f>IF('1.DATOS-PROD'!AM277="SI",VLOOKUP('1.DATOS-PROD'!AM$2,'1.PUNTOS'!$A$1:$B$63,2,0),0)</f>
        <v>0</v>
      </c>
      <c r="AE276" s="138">
        <f>IF('1.DATOS-PROD'!AN277="SI",VLOOKUP('1.DATOS-PROD'!AN$2,'1.PUNTOS'!$A$1:$B$63,2,0),0)</f>
        <v>0</v>
      </c>
      <c r="AF276" s="138">
        <f>IF('1.DATOS-PROD'!AO277="SI",VLOOKUP('1.DATOS-PROD'!AO$2,'1.PUNTOS'!$A$1:$B$63,2,0),0)</f>
        <v>0</v>
      </c>
      <c r="AG276" s="138">
        <f>IF('1.DATOS-PROD'!AP277="SI",VLOOKUP('1.DATOS-PROD'!AP$2,'1.PUNTOS'!$A$1:$B$63,2,0),0)</f>
        <v>0</v>
      </c>
      <c r="AH276" s="138">
        <f>IF('1.DATOS-PROD'!AQ277="SI",VLOOKUP('1.DATOS-PROD'!AQ$2,'1.PUNTOS'!$A$1:$B$63,2,0),0)</f>
        <v>0</v>
      </c>
      <c r="AI276" s="138">
        <f>IF('1.DATOS-PROD'!AR277="SI",VLOOKUP('1.DATOS-PROD'!AR$2,'1.PUNTOS'!$A$1:$B$63,2,0),0)</f>
        <v>0</v>
      </c>
      <c r="AJ276" s="138">
        <f>IF('1.DATOS-PROD'!AS277="SI",VLOOKUP('1.DATOS-PROD'!AS$2,'1.PUNTOS'!$A$1:$B$63,2,0),0)</f>
        <v>0</v>
      </c>
      <c r="AK276" s="138">
        <f>IF('1.DATOS-PROD'!AT277="SI",VLOOKUP('1.DATOS-PROD'!AT$2,'1.PUNTOS'!$A$1:$B$63,2,0),0)</f>
        <v>0</v>
      </c>
      <c r="AL276" s="138">
        <f>IF('1.DATOS-PROD'!AU277="SI",VLOOKUP('1.DATOS-PROD'!AU$2,'1.PUNTOS'!$A$1:$B$63,2,0),0)</f>
        <v>0</v>
      </c>
      <c r="AM276" s="138">
        <f>IF('1.DATOS-PROD'!AV277="SI",VLOOKUP('1.DATOS-PROD'!AV$2,'1.PUNTOS'!$A$1:$B$63,2,0),0)</f>
        <v>0</v>
      </c>
      <c r="AN276" s="138">
        <f>IF('1.DATOS-PROD'!AW277="SI",VLOOKUP('1.DATOS-PROD'!AW$2,'1.PUNTOS'!$A$1:$B$63,2,0),0)</f>
        <v>0</v>
      </c>
      <c r="AO276" s="138">
        <f>IF('1.DATOS-PROD'!AX277="SI",VLOOKUP('1.DATOS-PROD'!AX$2,'1.PUNTOS'!$A$1:$B$63,2,0),0)</f>
        <v>0</v>
      </c>
      <c r="AP276" s="138">
        <f>IF('1.DATOS-PROD'!AY277="SI",VLOOKUP('1.DATOS-PROD'!AY$2,'1.PUNTOS'!$A$1:$B$63,2,0),0)</f>
        <v>0</v>
      </c>
      <c r="AQ276" s="138">
        <f>IF('1.DATOS-PROD'!AZ277="SI",VLOOKUP('1.DATOS-PROD'!AZ$2,'1.PUNTOS'!$A$1:$B$63,2,0),0)</f>
        <v>0</v>
      </c>
      <c r="AR276" s="138">
        <f>IF('1.DATOS-PROD'!BA277="SI",VLOOKUP('1.DATOS-PROD'!BA$2,'1.PUNTOS'!$A$1:$B$63,2,0),0)</f>
        <v>0</v>
      </c>
      <c r="AS276" s="138">
        <f>IF('1.DATOS-PROD'!BB277="SI",VLOOKUP('1.DATOS-PROD'!BB$2,'1.PUNTOS'!$A$1:$B$63,2,0),0)</f>
        <v>0</v>
      </c>
      <c r="AT276" s="138">
        <f>IF('1.DATOS-PROD'!BC277="SI",VLOOKUP('1.DATOS-PROD'!BC$2,'1.PUNTOS'!$A$1:$B$63,2,0),0)</f>
        <v>0</v>
      </c>
      <c r="AU276" s="138">
        <f>IF('1.DATOS-PROD'!BD277="SI",VLOOKUP('1.DATOS-PROD'!BD$2,'1.PUNTOS'!$A$1:$B$63,2,0),0)</f>
        <v>0</v>
      </c>
      <c r="AV276" s="138">
        <f>IF('1.DATOS-PROD'!BE277="SI",VLOOKUP('1.DATOS-PROD'!BE$2,'1.PUNTOS'!$A$1:$B$63,2,0),0)</f>
        <v>0</v>
      </c>
      <c r="AW276" s="138">
        <f>IF('1.DATOS-PROD'!BF277="SI",VLOOKUP('1.DATOS-PROD'!BF$2,'1.PUNTOS'!$A$1:$B$63,2,0),0)</f>
        <v>0</v>
      </c>
      <c r="AX276" s="138">
        <f>IF('1.DATOS-PROD'!BG277="SI",VLOOKUP('1.DATOS-PROD'!BG$2,'1.PUNTOS'!$A$1:$B$63,2,0),0)</f>
        <v>0</v>
      </c>
      <c r="AY276" s="138">
        <f>IF('1.DATOS-PROD'!BH277="SI",VLOOKUP('1.DATOS-PROD'!BH$2,'1.PUNTOS'!$A$1:$B$63,2,0),0)</f>
        <v>0</v>
      </c>
      <c r="AZ276" s="138">
        <f>IF('1.DATOS-PROD'!BI277="SI",VLOOKUP('1.DATOS-PROD'!BI$2,'1.PUNTOS'!$A$1:$B$63,2,0),0)</f>
        <v>0</v>
      </c>
      <c r="BA276" s="138">
        <f>IF('1.DATOS-PROD'!BJ277="SI",VLOOKUP('1.DATOS-PROD'!BJ$2,'1.PUNTOS'!$A$1:$B$63,2,0),0)</f>
        <v>0</v>
      </c>
      <c r="BB276" s="138">
        <f>IF('1.DATOS-PROD'!BK277="SI",VLOOKUP('1.DATOS-PROD'!BK$2,'1.PUNTOS'!$A$1:$B$63,2,0),0)</f>
        <v>0</v>
      </c>
      <c r="BC276" s="138">
        <f>IF('1.DATOS-PROD'!BL277="SI",VLOOKUP('1.DATOS-PROD'!BL$2,'1.PUNTOS'!$A$1:$B$63,2,0),0)</f>
        <v>0</v>
      </c>
      <c r="BD276" s="138">
        <f>IF('1.DATOS-PROD'!BM277="SI",VLOOKUP('1.DATOS-PROD'!BM$2,'1.PUNTOS'!$A$1:$B$63,2,0),0)</f>
        <v>0</v>
      </c>
      <c r="BE276" s="138">
        <f>IF('1.DATOS-PROD'!BN277="SI",VLOOKUP('1.DATOS-PROD'!BN$2,'1.PUNTOS'!$A$1:$B$63,2,0),0)</f>
        <v>0</v>
      </c>
      <c r="BF276" s="138">
        <f>IF('1.DATOS-PROD'!BO277="SI",VLOOKUP('1.DATOS-PROD'!BO$2,'1.PUNTOS'!$A$1:$B$63,2,0),0)</f>
        <v>0</v>
      </c>
      <c r="BG276" s="138">
        <f>IF('1.DATOS-PROD'!BP277="SI",VLOOKUP('1.DATOS-PROD'!BP$2,'1.PUNTOS'!$A$1:$B$63,2,0),0)</f>
        <v>0</v>
      </c>
      <c r="BH276" s="138">
        <f>IF('1.DATOS-PROD'!BQ277="SI",VLOOKUP('1.DATOS-PROD'!BQ$2,'1.PUNTOS'!$A$1:$B$63,2,0),0)</f>
        <v>0</v>
      </c>
      <c r="BI276" s="138">
        <f>IF('1.DATOS-PROD'!BR277="SI",VLOOKUP('1.DATOS-PROD'!BR$2,'1.PUNTOS'!$A$1:$B$63,2,0),0)</f>
        <v>0</v>
      </c>
      <c r="BJ276" s="138">
        <f>IF('1.DATOS-PROD'!BS277="SI",VLOOKUP('1.DATOS-PROD'!BS$2,'1.PUNTOS'!$A$1:$B$63,2,0),0)</f>
        <v>0</v>
      </c>
      <c r="BK276" s="138">
        <f>IF('1.DATOS-PROD'!BT277="SI",VLOOKUP('1.DATOS-PROD'!BT$2,'1.PUNTOS'!$A$1:$B$63,2,0),0)</f>
        <v>0</v>
      </c>
    </row>
    <row r="277" spans="1:63" x14ac:dyDescent="0.25">
      <c r="A277">
        <f>'0.Consolidado general'!$A278</f>
        <v>0</v>
      </c>
      <c r="B277" s="138">
        <f>IF('1.DATOS-PROD'!K278="SI",VLOOKUP('1.DATOS-PROD'!K$2,'1.PUNTOS'!$A$1:$B$63,2,0),0)</f>
        <v>0</v>
      </c>
      <c r="C277" s="138">
        <f>IF('1.DATOS-PROD'!L278="SI",VLOOKUP('1.DATOS-PROD'!L$2,'1.PUNTOS'!$A$1:$B$63,2,0),0)</f>
        <v>0</v>
      </c>
      <c r="D277" s="138">
        <f>IF('1.DATOS-PROD'!M278="SI",VLOOKUP('1.DATOS-PROD'!M$2,'1.PUNTOS'!$A$1:$B$63,2,0),0)</f>
        <v>0</v>
      </c>
      <c r="E277" s="138">
        <f>IF('1.DATOS-PROD'!N278="SI",VLOOKUP('1.DATOS-PROD'!N$2,'1.PUNTOS'!$A$1:$B$63,2,0),0)</f>
        <v>0</v>
      </c>
      <c r="F277" s="138">
        <f>IF('1.DATOS-PROD'!O278="SI",VLOOKUP('1.DATOS-PROD'!O$2,'1.PUNTOS'!$A$1:$B$63,2,0),0)</f>
        <v>0</v>
      </c>
      <c r="G277" s="138">
        <f>IF('1.DATOS-PROD'!P278="SI",VLOOKUP('1.DATOS-PROD'!P$2,'1.PUNTOS'!$A$1:$B$63,2,0),0)</f>
        <v>0</v>
      </c>
      <c r="H277" s="138">
        <f>IF('1.DATOS-PROD'!Q278="SI",VLOOKUP('1.DATOS-PROD'!Q$2,'1.PUNTOS'!$A$1:$B$63,2,0),0)</f>
        <v>0</v>
      </c>
      <c r="I277" s="138">
        <f>IF('1.DATOS-PROD'!R278="SI",VLOOKUP('1.DATOS-PROD'!R$2,'1.PUNTOS'!$A$1:$B$63,2,0),0)</f>
        <v>0</v>
      </c>
      <c r="J277" s="138">
        <f>IF('1.DATOS-PROD'!S278="SI",VLOOKUP('1.DATOS-PROD'!S$2,'1.PUNTOS'!$A$1:$B$63,2,0),0)</f>
        <v>0</v>
      </c>
      <c r="K277" s="138">
        <f>IF('1.DATOS-PROD'!T278="SI",VLOOKUP('1.DATOS-PROD'!T$2,'1.PUNTOS'!$A$1:$B$63,2,0),0)</f>
        <v>0</v>
      </c>
      <c r="L277" s="138">
        <f>IF('1.DATOS-PROD'!U278="SI",VLOOKUP('1.DATOS-PROD'!U$2,'1.PUNTOS'!$A$1:$B$63,2,0),0)</f>
        <v>0</v>
      </c>
      <c r="M277" s="138">
        <f>IF('1.DATOS-PROD'!V278="SI",VLOOKUP('1.DATOS-PROD'!V$2,'1.PUNTOS'!$A$1:$B$63,2,0),0)</f>
        <v>0</v>
      </c>
      <c r="N277" s="138">
        <f>IF('1.DATOS-PROD'!W278="SI",VLOOKUP('1.DATOS-PROD'!W$2,'1.PUNTOS'!$A$1:$B$63,2,0),0)</f>
        <v>0</v>
      </c>
      <c r="O277" s="138">
        <f>IF('1.DATOS-PROD'!X278="SI",VLOOKUP('1.DATOS-PROD'!X$2,'1.PUNTOS'!$A$1:$B$63,2,0),0)</f>
        <v>0</v>
      </c>
      <c r="P277" s="138">
        <f>IF('1.DATOS-PROD'!Y278="SI",VLOOKUP('1.DATOS-PROD'!Y$2,'1.PUNTOS'!$A$1:$B$63,2,0),0)</f>
        <v>0</v>
      </c>
      <c r="Q277" s="138">
        <f>IF('1.DATOS-PROD'!Z278="SI",VLOOKUP('1.DATOS-PROD'!Z$2,'1.PUNTOS'!$A$1:$B$63,2,0),0)</f>
        <v>0</v>
      </c>
      <c r="R277" s="138">
        <f>IF('1.DATOS-PROD'!AA278="SI",VLOOKUP('1.DATOS-PROD'!AA$2,'1.PUNTOS'!$A$1:$B$63,2,0),0)</f>
        <v>0</v>
      </c>
      <c r="S277" s="138">
        <f>IF('1.DATOS-PROD'!AB278="SI",VLOOKUP('1.DATOS-PROD'!AB$2,'1.PUNTOS'!$A$1:$B$63,2,0),0)</f>
        <v>0</v>
      </c>
      <c r="T277" s="138">
        <f>IF('1.DATOS-PROD'!AC278="SI",VLOOKUP('1.DATOS-PROD'!AC$2,'1.PUNTOS'!$A$1:$B$63,2,0),0)</f>
        <v>0</v>
      </c>
      <c r="U277" s="138">
        <f>IF('1.DATOS-PROD'!AD278="SI",VLOOKUP('1.DATOS-PROD'!AD$2,'1.PUNTOS'!$A$1:$B$63,2,0),0)</f>
        <v>0</v>
      </c>
      <c r="V277" s="138">
        <f>IF('1.DATOS-PROD'!AE278="SI",VLOOKUP('1.DATOS-PROD'!AE$2,'1.PUNTOS'!$A$1:$B$63,2,0),0)</f>
        <v>0</v>
      </c>
      <c r="W277" s="138">
        <f>IF('1.DATOS-PROD'!AF278="SI",VLOOKUP('1.DATOS-PROD'!AF$2,'1.PUNTOS'!$A$1:$B$63,2,0),0)</f>
        <v>0</v>
      </c>
      <c r="X277" s="138">
        <f>IF('1.DATOS-PROD'!AG278="SI",VLOOKUP('1.DATOS-PROD'!AG$2,'1.PUNTOS'!$A$1:$B$63,2,0),0)</f>
        <v>0</v>
      </c>
      <c r="Y277" s="138">
        <f>IF('1.DATOS-PROD'!AH278="SI",VLOOKUP('1.DATOS-PROD'!AH$2,'1.PUNTOS'!$A$1:$B$63,2,0),0)</f>
        <v>0</v>
      </c>
      <c r="Z277" s="138">
        <f>IF('1.DATOS-PROD'!AI278="SI",VLOOKUP('1.DATOS-PROD'!AI$2,'1.PUNTOS'!$A$1:$B$63,2,0),0)</f>
        <v>0</v>
      </c>
      <c r="AA277" s="138">
        <f>IF('1.DATOS-PROD'!AJ278="SI",VLOOKUP('1.DATOS-PROD'!AJ$2,'1.PUNTOS'!$A$1:$B$63,2,0),0)</f>
        <v>0</v>
      </c>
      <c r="AB277" s="138">
        <f>IF('1.DATOS-PROD'!AK278="SI",VLOOKUP('1.DATOS-PROD'!AK$2,'1.PUNTOS'!$A$1:$B$63,2,0),0)</f>
        <v>0</v>
      </c>
      <c r="AC277" s="138">
        <f>IF('1.DATOS-PROD'!AL278="SI",VLOOKUP('1.DATOS-PROD'!AL$2,'1.PUNTOS'!$A$1:$B$63,2,0),0)</f>
        <v>0</v>
      </c>
      <c r="AD277" s="138">
        <f>IF('1.DATOS-PROD'!AM278="SI",VLOOKUP('1.DATOS-PROD'!AM$2,'1.PUNTOS'!$A$1:$B$63,2,0),0)</f>
        <v>0</v>
      </c>
      <c r="AE277" s="138">
        <f>IF('1.DATOS-PROD'!AN278="SI",VLOOKUP('1.DATOS-PROD'!AN$2,'1.PUNTOS'!$A$1:$B$63,2,0),0)</f>
        <v>0</v>
      </c>
      <c r="AF277" s="138">
        <f>IF('1.DATOS-PROD'!AO278="SI",VLOOKUP('1.DATOS-PROD'!AO$2,'1.PUNTOS'!$A$1:$B$63,2,0),0)</f>
        <v>0</v>
      </c>
      <c r="AG277" s="138">
        <f>IF('1.DATOS-PROD'!AP278="SI",VLOOKUP('1.DATOS-PROD'!AP$2,'1.PUNTOS'!$A$1:$B$63,2,0),0)</f>
        <v>0</v>
      </c>
      <c r="AH277" s="138">
        <f>IF('1.DATOS-PROD'!AQ278="SI",VLOOKUP('1.DATOS-PROD'!AQ$2,'1.PUNTOS'!$A$1:$B$63,2,0),0)</f>
        <v>0</v>
      </c>
      <c r="AI277" s="138">
        <f>IF('1.DATOS-PROD'!AR278="SI",VLOOKUP('1.DATOS-PROD'!AR$2,'1.PUNTOS'!$A$1:$B$63,2,0),0)</f>
        <v>0</v>
      </c>
      <c r="AJ277" s="138">
        <f>IF('1.DATOS-PROD'!AS278="SI",VLOOKUP('1.DATOS-PROD'!AS$2,'1.PUNTOS'!$A$1:$B$63,2,0),0)</f>
        <v>0</v>
      </c>
      <c r="AK277" s="138">
        <f>IF('1.DATOS-PROD'!AT278="SI",VLOOKUP('1.DATOS-PROD'!AT$2,'1.PUNTOS'!$A$1:$B$63,2,0),0)</f>
        <v>0</v>
      </c>
      <c r="AL277" s="138">
        <f>IF('1.DATOS-PROD'!AU278="SI",VLOOKUP('1.DATOS-PROD'!AU$2,'1.PUNTOS'!$A$1:$B$63,2,0),0)</f>
        <v>0</v>
      </c>
      <c r="AM277" s="138">
        <f>IF('1.DATOS-PROD'!AV278="SI",VLOOKUP('1.DATOS-PROD'!AV$2,'1.PUNTOS'!$A$1:$B$63,2,0),0)</f>
        <v>0</v>
      </c>
      <c r="AN277" s="138">
        <f>IF('1.DATOS-PROD'!AW278="SI",VLOOKUP('1.DATOS-PROD'!AW$2,'1.PUNTOS'!$A$1:$B$63,2,0),0)</f>
        <v>0</v>
      </c>
      <c r="AO277" s="138">
        <f>IF('1.DATOS-PROD'!AX278="SI",VLOOKUP('1.DATOS-PROD'!AX$2,'1.PUNTOS'!$A$1:$B$63,2,0),0)</f>
        <v>0</v>
      </c>
      <c r="AP277" s="138">
        <f>IF('1.DATOS-PROD'!AY278="SI",VLOOKUP('1.DATOS-PROD'!AY$2,'1.PUNTOS'!$A$1:$B$63,2,0),0)</f>
        <v>0</v>
      </c>
      <c r="AQ277" s="138">
        <f>IF('1.DATOS-PROD'!AZ278="SI",VLOOKUP('1.DATOS-PROD'!AZ$2,'1.PUNTOS'!$A$1:$B$63,2,0),0)</f>
        <v>0</v>
      </c>
      <c r="AR277" s="138">
        <f>IF('1.DATOS-PROD'!BA278="SI",VLOOKUP('1.DATOS-PROD'!BA$2,'1.PUNTOS'!$A$1:$B$63,2,0),0)</f>
        <v>0</v>
      </c>
      <c r="AS277" s="138">
        <f>IF('1.DATOS-PROD'!BB278="SI",VLOOKUP('1.DATOS-PROD'!BB$2,'1.PUNTOS'!$A$1:$B$63,2,0),0)</f>
        <v>0</v>
      </c>
      <c r="AT277" s="138">
        <f>IF('1.DATOS-PROD'!BC278="SI",VLOOKUP('1.DATOS-PROD'!BC$2,'1.PUNTOS'!$A$1:$B$63,2,0),0)</f>
        <v>0</v>
      </c>
      <c r="AU277" s="138">
        <f>IF('1.DATOS-PROD'!BD278="SI",VLOOKUP('1.DATOS-PROD'!BD$2,'1.PUNTOS'!$A$1:$B$63,2,0),0)</f>
        <v>0</v>
      </c>
      <c r="AV277" s="138">
        <f>IF('1.DATOS-PROD'!BE278="SI",VLOOKUP('1.DATOS-PROD'!BE$2,'1.PUNTOS'!$A$1:$B$63,2,0),0)</f>
        <v>0</v>
      </c>
      <c r="AW277" s="138">
        <f>IF('1.DATOS-PROD'!BF278="SI",VLOOKUP('1.DATOS-PROD'!BF$2,'1.PUNTOS'!$A$1:$B$63,2,0),0)</f>
        <v>0</v>
      </c>
      <c r="AX277" s="138">
        <f>IF('1.DATOS-PROD'!BG278="SI",VLOOKUP('1.DATOS-PROD'!BG$2,'1.PUNTOS'!$A$1:$B$63,2,0),0)</f>
        <v>0</v>
      </c>
      <c r="AY277" s="138">
        <f>IF('1.DATOS-PROD'!BH278="SI",VLOOKUP('1.DATOS-PROD'!BH$2,'1.PUNTOS'!$A$1:$B$63,2,0),0)</f>
        <v>0</v>
      </c>
      <c r="AZ277" s="138">
        <f>IF('1.DATOS-PROD'!BI278="SI",VLOOKUP('1.DATOS-PROD'!BI$2,'1.PUNTOS'!$A$1:$B$63,2,0),0)</f>
        <v>0</v>
      </c>
      <c r="BA277" s="138">
        <f>IF('1.DATOS-PROD'!BJ278="SI",VLOOKUP('1.DATOS-PROD'!BJ$2,'1.PUNTOS'!$A$1:$B$63,2,0),0)</f>
        <v>0</v>
      </c>
      <c r="BB277" s="138">
        <f>IF('1.DATOS-PROD'!BK278="SI",VLOOKUP('1.DATOS-PROD'!BK$2,'1.PUNTOS'!$A$1:$B$63,2,0),0)</f>
        <v>0</v>
      </c>
      <c r="BC277" s="138">
        <f>IF('1.DATOS-PROD'!BL278="SI",VLOOKUP('1.DATOS-PROD'!BL$2,'1.PUNTOS'!$A$1:$B$63,2,0),0)</f>
        <v>0</v>
      </c>
      <c r="BD277" s="138">
        <f>IF('1.DATOS-PROD'!BM278="SI",VLOOKUP('1.DATOS-PROD'!BM$2,'1.PUNTOS'!$A$1:$B$63,2,0),0)</f>
        <v>0</v>
      </c>
      <c r="BE277" s="138">
        <f>IF('1.DATOS-PROD'!BN278="SI",VLOOKUP('1.DATOS-PROD'!BN$2,'1.PUNTOS'!$A$1:$B$63,2,0),0)</f>
        <v>0</v>
      </c>
      <c r="BF277" s="138">
        <f>IF('1.DATOS-PROD'!BO278="SI",VLOOKUP('1.DATOS-PROD'!BO$2,'1.PUNTOS'!$A$1:$B$63,2,0),0)</f>
        <v>0</v>
      </c>
      <c r="BG277" s="138">
        <f>IF('1.DATOS-PROD'!BP278="SI",VLOOKUP('1.DATOS-PROD'!BP$2,'1.PUNTOS'!$A$1:$B$63,2,0),0)</f>
        <v>0</v>
      </c>
      <c r="BH277" s="138">
        <f>IF('1.DATOS-PROD'!BQ278="SI",VLOOKUP('1.DATOS-PROD'!BQ$2,'1.PUNTOS'!$A$1:$B$63,2,0),0)</f>
        <v>0</v>
      </c>
      <c r="BI277" s="138">
        <f>IF('1.DATOS-PROD'!BR278="SI",VLOOKUP('1.DATOS-PROD'!BR$2,'1.PUNTOS'!$A$1:$B$63,2,0),0)</f>
        <v>0</v>
      </c>
      <c r="BJ277" s="138">
        <f>IF('1.DATOS-PROD'!BS278="SI",VLOOKUP('1.DATOS-PROD'!BS$2,'1.PUNTOS'!$A$1:$B$63,2,0),0)</f>
        <v>0</v>
      </c>
      <c r="BK277" s="138">
        <f>IF('1.DATOS-PROD'!BT278="SI",VLOOKUP('1.DATOS-PROD'!BT$2,'1.PUNTOS'!$A$1:$B$63,2,0),0)</f>
        <v>0</v>
      </c>
    </row>
    <row r="278" spans="1:63" x14ac:dyDescent="0.25">
      <c r="A278">
        <f>'0.Consolidado general'!$A279</f>
        <v>0</v>
      </c>
      <c r="B278" s="138">
        <f>IF('1.DATOS-PROD'!K279="SI",VLOOKUP('1.DATOS-PROD'!K$2,'1.PUNTOS'!$A$1:$B$63,2,0),0)</f>
        <v>0</v>
      </c>
      <c r="C278" s="138">
        <f>IF('1.DATOS-PROD'!L279="SI",VLOOKUP('1.DATOS-PROD'!L$2,'1.PUNTOS'!$A$1:$B$63,2,0),0)</f>
        <v>0</v>
      </c>
      <c r="D278" s="138">
        <f>IF('1.DATOS-PROD'!M279="SI",VLOOKUP('1.DATOS-PROD'!M$2,'1.PUNTOS'!$A$1:$B$63,2,0),0)</f>
        <v>0</v>
      </c>
      <c r="E278" s="138">
        <f>IF('1.DATOS-PROD'!N279="SI",VLOOKUP('1.DATOS-PROD'!N$2,'1.PUNTOS'!$A$1:$B$63,2,0),0)</f>
        <v>0</v>
      </c>
      <c r="F278" s="138">
        <f>IF('1.DATOS-PROD'!O279="SI",VLOOKUP('1.DATOS-PROD'!O$2,'1.PUNTOS'!$A$1:$B$63,2,0),0)</f>
        <v>0</v>
      </c>
      <c r="G278" s="138">
        <f>IF('1.DATOS-PROD'!P279="SI",VLOOKUP('1.DATOS-PROD'!P$2,'1.PUNTOS'!$A$1:$B$63,2,0),0)</f>
        <v>0</v>
      </c>
      <c r="H278" s="138">
        <f>IF('1.DATOS-PROD'!Q279="SI",VLOOKUP('1.DATOS-PROD'!Q$2,'1.PUNTOS'!$A$1:$B$63,2,0),0)</f>
        <v>0</v>
      </c>
      <c r="I278" s="138">
        <f>IF('1.DATOS-PROD'!R279="SI",VLOOKUP('1.DATOS-PROD'!R$2,'1.PUNTOS'!$A$1:$B$63,2,0),0)</f>
        <v>0</v>
      </c>
      <c r="J278" s="138">
        <f>IF('1.DATOS-PROD'!S279="SI",VLOOKUP('1.DATOS-PROD'!S$2,'1.PUNTOS'!$A$1:$B$63,2,0),0)</f>
        <v>0</v>
      </c>
      <c r="K278" s="138">
        <f>IF('1.DATOS-PROD'!T279="SI",VLOOKUP('1.DATOS-PROD'!T$2,'1.PUNTOS'!$A$1:$B$63,2,0),0)</f>
        <v>0</v>
      </c>
      <c r="L278" s="138">
        <f>IF('1.DATOS-PROD'!U279="SI",VLOOKUP('1.DATOS-PROD'!U$2,'1.PUNTOS'!$A$1:$B$63,2,0),0)</f>
        <v>0</v>
      </c>
      <c r="M278" s="138">
        <f>IF('1.DATOS-PROD'!V279="SI",VLOOKUP('1.DATOS-PROD'!V$2,'1.PUNTOS'!$A$1:$B$63,2,0),0)</f>
        <v>0</v>
      </c>
      <c r="N278" s="138">
        <f>IF('1.DATOS-PROD'!W279="SI",VLOOKUP('1.DATOS-PROD'!W$2,'1.PUNTOS'!$A$1:$B$63,2,0),0)</f>
        <v>0</v>
      </c>
      <c r="O278" s="138">
        <f>IF('1.DATOS-PROD'!X279="SI",VLOOKUP('1.DATOS-PROD'!X$2,'1.PUNTOS'!$A$1:$B$63,2,0),0)</f>
        <v>0</v>
      </c>
      <c r="P278" s="138">
        <f>IF('1.DATOS-PROD'!Y279="SI",VLOOKUP('1.DATOS-PROD'!Y$2,'1.PUNTOS'!$A$1:$B$63,2,0),0)</f>
        <v>0</v>
      </c>
      <c r="Q278" s="138">
        <f>IF('1.DATOS-PROD'!Z279="SI",VLOOKUP('1.DATOS-PROD'!Z$2,'1.PUNTOS'!$A$1:$B$63,2,0),0)</f>
        <v>0</v>
      </c>
      <c r="R278" s="138">
        <f>IF('1.DATOS-PROD'!AA279="SI",VLOOKUP('1.DATOS-PROD'!AA$2,'1.PUNTOS'!$A$1:$B$63,2,0),0)</f>
        <v>0</v>
      </c>
      <c r="S278" s="138">
        <f>IF('1.DATOS-PROD'!AB279="SI",VLOOKUP('1.DATOS-PROD'!AB$2,'1.PUNTOS'!$A$1:$B$63,2,0),0)</f>
        <v>0</v>
      </c>
      <c r="T278" s="138">
        <f>IF('1.DATOS-PROD'!AC279="SI",VLOOKUP('1.DATOS-PROD'!AC$2,'1.PUNTOS'!$A$1:$B$63,2,0),0)</f>
        <v>0</v>
      </c>
      <c r="U278" s="138">
        <f>IF('1.DATOS-PROD'!AD279="SI",VLOOKUP('1.DATOS-PROD'!AD$2,'1.PUNTOS'!$A$1:$B$63,2,0),0)</f>
        <v>0</v>
      </c>
      <c r="V278" s="138">
        <f>IF('1.DATOS-PROD'!AE279="SI",VLOOKUP('1.DATOS-PROD'!AE$2,'1.PUNTOS'!$A$1:$B$63,2,0),0)</f>
        <v>0</v>
      </c>
      <c r="W278" s="138">
        <f>IF('1.DATOS-PROD'!AF279="SI",VLOOKUP('1.DATOS-PROD'!AF$2,'1.PUNTOS'!$A$1:$B$63,2,0),0)</f>
        <v>0</v>
      </c>
      <c r="X278" s="138">
        <f>IF('1.DATOS-PROD'!AG279="SI",VLOOKUP('1.DATOS-PROD'!AG$2,'1.PUNTOS'!$A$1:$B$63,2,0),0)</f>
        <v>0</v>
      </c>
      <c r="Y278" s="138">
        <f>IF('1.DATOS-PROD'!AH279="SI",VLOOKUP('1.DATOS-PROD'!AH$2,'1.PUNTOS'!$A$1:$B$63,2,0),0)</f>
        <v>0</v>
      </c>
      <c r="Z278" s="138">
        <f>IF('1.DATOS-PROD'!AI279="SI",VLOOKUP('1.DATOS-PROD'!AI$2,'1.PUNTOS'!$A$1:$B$63,2,0),0)</f>
        <v>0</v>
      </c>
      <c r="AA278" s="138">
        <f>IF('1.DATOS-PROD'!AJ279="SI",VLOOKUP('1.DATOS-PROD'!AJ$2,'1.PUNTOS'!$A$1:$B$63,2,0),0)</f>
        <v>0</v>
      </c>
      <c r="AB278" s="138">
        <f>IF('1.DATOS-PROD'!AK279="SI",VLOOKUP('1.DATOS-PROD'!AK$2,'1.PUNTOS'!$A$1:$B$63,2,0),0)</f>
        <v>0</v>
      </c>
      <c r="AC278" s="138">
        <f>IF('1.DATOS-PROD'!AL279="SI",VLOOKUP('1.DATOS-PROD'!AL$2,'1.PUNTOS'!$A$1:$B$63,2,0),0)</f>
        <v>0</v>
      </c>
      <c r="AD278" s="138">
        <f>IF('1.DATOS-PROD'!AM279="SI",VLOOKUP('1.DATOS-PROD'!AM$2,'1.PUNTOS'!$A$1:$B$63,2,0),0)</f>
        <v>0</v>
      </c>
      <c r="AE278" s="138">
        <f>IF('1.DATOS-PROD'!AN279="SI",VLOOKUP('1.DATOS-PROD'!AN$2,'1.PUNTOS'!$A$1:$B$63,2,0),0)</f>
        <v>0</v>
      </c>
      <c r="AF278" s="138">
        <f>IF('1.DATOS-PROD'!AO279="SI",VLOOKUP('1.DATOS-PROD'!AO$2,'1.PUNTOS'!$A$1:$B$63,2,0),0)</f>
        <v>0</v>
      </c>
      <c r="AG278" s="138">
        <f>IF('1.DATOS-PROD'!AP279="SI",VLOOKUP('1.DATOS-PROD'!AP$2,'1.PUNTOS'!$A$1:$B$63,2,0),0)</f>
        <v>0</v>
      </c>
      <c r="AH278" s="138">
        <f>IF('1.DATOS-PROD'!AQ279="SI",VLOOKUP('1.DATOS-PROD'!AQ$2,'1.PUNTOS'!$A$1:$B$63,2,0),0)</f>
        <v>0</v>
      </c>
      <c r="AI278" s="138">
        <f>IF('1.DATOS-PROD'!AR279="SI",VLOOKUP('1.DATOS-PROD'!AR$2,'1.PUNTOS'!$A$1:$B$63,2,0),0)</f>
        <v>0</v>
      </c>
      <c r="AJ278" s="138">
        <f>IF('1.DATOS-PROD'!AS279="SI",VLOOKUP('1.DATOS-PROD'!AS$2,'1.PUNTOS'!$A$1:$B$63,2,0),0)</f>
        <v>0</v>
      </c>
      <c r="AK278" s="138">
        <f>IF('1.DATOS-PROD'!AT279="SI",VLOOKUP('1.DATOS-PROD'!AT$2,'1.PUNTOS'!$A$1:$B$63,2,0),0)</f>
        <v>0</v>
      </c>
      <c r="AL278" s="138">
        <f>IF('1.DATOS-PROD'!AU279="SI",VLOOKUP('1.DATOS-PROD'!AU$2,'1.PUNTOS'!$A$1:$B$63,2,0),0)</f>
        <v>0</v>
      </c>
      <c r="AM278" s="138">
        <f>IF('1.DATOS-PROD'!AV279="SI",VLOOKUP('1.DATOS-PROD'!AV$2,'1.PUNTOS'!$A$1:$B$63,2,0),0)</f>
        <v>0</v>
      </c>
      <c r="AN278" s="138">
        <f>IF('1.DATOS-PROD'!AW279="SI",VLOOKUP('1.DATOS-PROD'!AW$2,'1.PUNTOS'!$A$1:$B$63,2,0),0)</f>
        <v>0</v>
      </c>
      <c r="AO278" s="138">
        <f>IF('1.DATOS-PROD'!AX279="SI",VLOOKUP('1.DATOS-PROD'!AX$2,'1.PUNTOS'!$A$1:$B$63,2,0),0)</f>
        <v>0</v>
      </c>
      <c r="AP278" s="138">
        <f>IF('1.DATOS-PROD'!AY279="SI",VLOOKUP('1.DATOS-PROD'!AY$2,'1.PUNTOS'!$A$1:$B$63,2,0),0)</f>
        <v>0</v>
      </c>
      <c r="AQ278" s="138">
        <f>IF('1.DATOS-PROD'!AZ279="SI",VLOOKUP('1.DATOS-PROD'!AZ$2,'1.PUNTOS'!$A$1:$B$63,2,0),0)</f>
        <v>0</v>
      </c>
      <c r="AR278" s="138">
        <f>IF('1.DATOS-PROD'!BA279="SI",VLOOKUP('1.DATOS-PROD'!BA$2,'1.PUNTOS'!$A$1:$B$63,2,0),0)</f>
        <v>0</v>
      </c>
      <c r="AS278" s="138">
        <f>IF('1.DATOS-PROD'!BB279="SI",VLOOKUP('1.DATOS-PROD'!BB$2,'1.PUNTOS'!$A$1:$B$63,2,0),0)</f>
        <v>0</v>
      </c>
      <c r="AT278" s="138">
        <f>IF('1.DATOS-PROD'!BC279="SI",VLOOKUP('1.DATOS-PROD'!BC$2,'1.PUNTOS'!$A$1:$B$63,2,0),0)</f>
        <v>0</v>
      </c>
      <c r="AU278" s="138">
        <f>IF('1.DATOS-PROD'!BD279="SI",VLOOKUP('1.DATOS-PROD'!BD$2,'1.PUNTOS'!$A$1:$B$63,2,0),0)</f>
        <v>0</v>
      </c>
      <c r="AV278" s="138">
        <f>IF('1.DATOS-PROD'!BE279="SI",VLOOKUP('1.DATOS-PROD'!BE$2,'1.PUNTOS'!$A$1:$B$63,2,0),0)</f>
        <v>0</v>
      </c>
      <c r="AW278" s="138">
        <f>IF('1.DATOS-PROD'!BF279="SI",VLOOKUP('1.DATOS-PROD'!BF$2,'1.PUNTOS'!$A$1:$B$63,2,0),0)</f>
        <v>0</v>
      </c>
      <c r="AX278" s="138">
        <f>IF('1.DATOS-PROD'!BG279="SI",VLOOKUP('1.DATOS-PROD'!BG$2,'1.PUNTOS'!$A$1:$B$63,2,0),0)</f>
        <v>0</v>
      </c>
      <c r="AY278" s="138">
        <f>IF('1.DATOS-PROD'!BH279="SI",VLOOKUP('1.DATOS-PROD'!BH$2,'1.PUNTOS'!$A$1:$B$63,2,0),0)</f>
        <v>0</v>
      </c>
      <c r="AZ278" s="138">
        <f>IF('1.DATOS-PROD'!BI279="SI",VLOOKUP('1.DATOS-PROD'!BI$2,'1.PUNTOS'!$A$1:$B$63,2,0),0)</f>
        <v>0</v>
      </c>
      <c r="BA278" s="138">
        <f>IF('1.DATOS-PROD'!BJ279="SI",VLOOKUP('1.DATOS-PROD'!BJ$2,'1.PUNTOS'!$A$1:$B$63,2,0),0)</f>
        <v>0</v>
      </c>
      <c r="BB278" s="138">
        <f>IF('1.DATOS-PROD'!BK279="SI",VLOOKUP('1.DATOS-PROD'!BK$2,'1.PUNTOS'!$A$1:$B$63,2,0),0)</f>
        <v>0</v>
      </c>
      <c r="BC278" s="138">
        <f>IF('1.DATOS-PROD'!BL279="SI",VLOOKUP('1.DATOS-PROD'!BL$2,'1.PUNTOS'!$A$1:$B$63,2,0),0)</f>
        <v>0</v>
      </c>
      <c r="BD278" s="138">
        <f>IF('1.DATOS-PROD'!BM279="SI",VLOOKUP('1.DATOS-PROD'!BM$2,'1.PUNTOS'!$A$1:$B$63,2,0),0)</f>
        <v>0</v>
      </c>
      <c r="BE278" s="138">
        <f>IF('1.DATOS-PROD'!BN279="SI",VLOOKUP('1.DATOS-PROD'!BN$2,'1.PUNTOS'!$A$1:$B$63,2,0),0)</f>
        <v>0</v>
      </c>
      <c r="BF278" s="138">
        <f>IF('1.DATOS-PROD'!BO279="SI",VLOOKUP('1.DATOS-PROD'!BO$2,'1.PUNTOS'!$A$1:$B$63,2,0),0)</f>
        <v>0</v>
      </c>
      <c r="BG278" s="138">
        <f>IF('1.DATOS-PROD'!BP279="SI",VLOOKUP('1.DATOS-PROD'!BP$2,'1.PUNTOS'!$A$1:$B$63,2,0),0)</f>
        <v>0</v>
      </c>
      <c r="BH278" s="138">
        <f>IF('1.DATOS-PROD'!BQ279="SI",VLOOKUP('1.DATOS-PROD'!BQ$2,'1.PUNTOS'!$A$1:$B$63,2,0),0)</f>
        <v>0</v>
      </c>
      <c r="BI278" s="138">
        <f>IF('1.DATOS-PROD'!BR279="SI",VLOOKUP('1.DATOS-PROD'!BR$2,'1.PUNTOS'!$A$1:$B$63,2,0),0)</f>
        <v>0</v>
      </c>
      <c r="BJ278" s="138">
        <f>IF('1.DATOS-PROD'!BS279="SI",VLOOKUP('1.DATOS-PROD'!BS$2,'1.PUNTOS'!$A$1:$B$63,2,0),0)</f>
        <v>0</v>
      </c>
      <c r="BK278" s="138">
        <f>IF('1.DATOS-PROD'!BT279="SI",VLOOKUP('1.DATOS-PROD'!BT$2,'1.PUNTOS'!$A$1:$B$63,2,0),0)</f>
        <v>0</v>
      </c>
    </row>
    <row r="279" spans="1:63" x14ac:dyDescent="0.25">
      <c r="A279">
        <f>'0.Consolidado general'!$A280</f>
        <v>0</v>
      </c>
      <c r="B279" s="138">
        <f>IF('1.DATOS-PROD'!K280="SI",VLOOKUP('1.DATOS-PROD'!K$2,'1.PUNTOS'!$A$1:$B$63,2,0),0)</f>
        <v>0</v>
      </c>
      <c r="C279" s="138">
        <f>IF('1.DATOS-PROD'!L280="SI",VLOOKUP('1.DATOS-PROD'!L$2,'1.PUNTOS'!$A$1:$B$63,2,0),0)</f>
        <v>0</v>
      </c>
      <c r="D279" s="138">
        <f>IF('1.DATOS-PROD'!M280="SI",VLOOKUP('1.DATOS-PROD'!M$2,'1.PUNTOS'!$A$1:$B$63,2,0),0)</f>
        <v>0</v>
      </c>
      <c r="E279" s="138">
        <f>IF('1.DATOS-PROD'!N280="SI",VLOOKUP('1.DATOS-PROD'!N$2,'1.PUNTOS'!$A$1:$B$63,2,0),0)</f>
        <v>0</v>
      </c>
      <c r="F279" s="138">
        <f>IF('1.DATOS-PROD'!O280="SI",VLOOKUP('1.DATOS-PROD'!O$2,'1.PUNTOS'!$A$1:$B$63,2,0),0)</f>
        <v>0</v>
      </c>
      <c r="G279" s="138">
        <f>IF('1.DATOS-PROD'!P280="SI",VLOOKUP('1.DATOS-PROD'!P$2,'1.PUNTOS'!$A$1:$B$63,2,0),0)</f>
        <v>0</v>
      </c>
      <c r="H279" s="138">
        <f>IF('1.DATOS-PROD'!Q280="SI",VLOOKUP('1.DATOS-PROD'!Q$2,'1.PUNTOS'!$A$1:$B$63,2,0),0)</f>
        <v>0</v>
      </c>
      <c r="I279" s="138">
        <f>IF('1.DATOS-PROD'!R280="SI",VLOOKUP('1.DATOS-PROD'!R$2,'1.PUNTOS'!$A$1:$B$63,2,0),0)</f>
        <v>0</v>
      </c>
      <c r="J279" s="138">
        <f>IF('1.DATOS-PROD'!S280="SI",VLOOKUP('1.DATOS-PROD'!S$2,'1.PUNTOS'!$A$1:$B$63,2,0),0)</f>
        <v>0</v>
      </c>
      <c r="K279" s="138">
        <f>IF('1.DATOS-PROD'!T280="SI",VLOOKUP('1.DATOS-PROD'!T$2,'1.PUNTOS'!$A$1:$B$63,2,0),0)</f>
        <v>0</v>
      </c>
      <c r="L279" s="138">
        <f>IF('1.DATOS-PROD'!U280="SI",VLOOKUP('1.DATOS-PROD'!U$2,'1.PUNTOS'!$A$1:$B$63,2,0),0)</f>
        <v>0</v>
      </c>
      <c r="M279" s="138">
        <f>IF('1.DATOS-PROD'!V280="SI",VLOOKUP('1.DATOS-PROD'!V$2,'1.PUNTOS'!$A$1:$B$63,2,0),0)</f>
        <v>0</v>
      </c>
      <c r="N279" s="138">
        <f>IF('1.DATOS-PROD'!W280="SI",VLOOKUP('1.DATOS-PROD'!W$2,'1.PUNTOS'!$A$1:$B$63,2,0),0)</f>
        <v>0</v>
      </c>
      <c r="O279" s="138">
        <f>IF('1.DATOS-PROD'!X280="SI",VLOOKUP('1.DATOS-PROD'!X$2,'1.PUNTOS'!$A$1:$B$63,2,0),0)</f>
        <v>0</v>
      </c>
      <c r="P279" s="138">
        <f>IF('1.DATOS-PROD'!Y280="SI",VLOOKUP('1.DATOS-PROD'!Y$2,'1.PUNTOS'!$A$1:$B$63,2,0),0)</f>
        <v>0</v>
      </c>
      <c r="Q279" s="138">
        <f>IF('1.DATOS-PROD'!Z280="SI",VLOOKUP('1.DATOS-PROD'!Z$2,'1.PUNTOS'!$A$1:$B$63,2,0),0)</f>
        <v>0</v>
      </c>
      <c r="R279" s="138">
        <f>IF('1.DATOS-PROD'!AA280="SI",VLOOKUP('1.DATOS-PROD'!AA$2,'1.PUNTOS'!$A$1:$B$63,2,0),0)</f>
        <v>0</v>
      </c>
      <c r="S279" s="138">
        <f>IF('1.DATOS-PROD'!AB280="SI",VLOOKUP('1.DATOS-PROD'!AB$2,'1.PUNTOS'!$A$1:$B$63,2,0),0)</f>
        <v>0</v>
      </c>
      <c r="T279" s="138">
        <f>IF('1.DATOS-PROD'!AC280="SI",VLOOKUP('1.DATOS-PROD'!AC$2,'1.PUNTOS'!$A$1:$B$63,2,0),0)</f>
        <v>0</v>
      </c>
      <c r="U279" s="138">
        <f>IF('1.DATOS-PROD'!AD280="SI",VLOOKUP('1.DATOS-PROD'!AD$2,'1.PUNTOS'!$A$1:$B$63,2,0),0)</f>
        <v>0</v>
      </c>
      <c r="V279" s="138">
        <f>IF('1.DATOS-PROD'!AE280="SI",VLOOKUP('1.DATOS-PROD'!AE$2,'1.PUNTOS'!$A$1:$B$63,2,0),0)</f>
        <v>0</v>
      </c>
      <c r="W279" s="138">
        <f>IF('1.DATOS-PROD'!AF280="SI",VLOOKUP('1.DATOS-PROD'!AF$2,'1.PUNTOS'!$A$1:$B$63,2,0),0)</f>
        <v>0</v>
      </c>
      <c r="X279" s="138">
        <f>IF('1.DATOS-PROD'!AG280="SI",VLOOKUP('1.DATOS-PROD'!AG$2,'1.PUNTOS'!$A$1:$B$63,2,0),0)</f>
        <v>0</v>
      </c>
      <c r="Y279" s="138">
        <f>IF('1.DATOS-PROD'!AH280="SI",VLOOKUP('1.DATOS-PROD'!AH$2,'1.PUNTOS'!$A$1:$B$63,2,0),0)</f>
        <v>0</v>
      </c>
      <c r="Z279" s="138">
        <f>IF('1.DATOS-PROD'!AI280="SI",VLOOKUP('1.DATOS-PROD'!AI$2,'1.PUNTOS'!$A$1:$B$63,2,0),0)</f>
        <v>0</v>
      </c>
      <c r="AA279" s="138">
        <f>IF('1.DATOS-PROD'!AJ280="SI",VLOOKUP('1.DATOS-PROD'!AJ$2,'1.PUNTOS'!$A$1:$B$63,2,0),0)</f>
        <v>0</v>
      </c>
      <c r="AB279" s="138">
        <f>IF('1.DATOS-PROD'!AK280="SI",VLOOKUP('1.DATOS-PROD'!AK$2,'1.PUNTOS'!$A$1:$B$63,2,0),0)</f>
        <v>0</v>
      </c>
      <c r="AC279" s="138">
        <f>IF('1.DATOS-PROD'!AL280="SI",VLOOKUP('1.DATOS-PROD'!AL$2,'1.PUNTOS'!$A$1:$B$63,2,0),0)</f>
        <v>0</v>
      </c>
      <c r="AD279" s="138">
        <f>IF('1.DATOS-PROD'!AM280="SI",VLOOKUP('1.DATOS-PROD'!AM$2,'1.PUNTOS'!$A$1:$B$63,2,0),0)</f>
        <v>0</v>
      </c>
      <c r="AE279" s="138">
        <f>IF('1.DATOS-PROD'!AN280="SI",VLOOKUP('1.DATOS-PROD'!AN$2,'1.PUNTOS'!$A$1:$B$63,2,0),0)</f>
        <v>0</v>
      </c>
      <c r="AF279" s="138">
        <f>IF('1.DATOS-PROD'!AO280="SI",VLOOKUP('1.DATOS-PROD'!AO$2,'1.PUNTOS'!$A$1:$B$63,2,0),0)</f>
        <v>0</v>
      </c>
      <c r="AG279" s="138">
        <f>IF('1.DATOS-PROD'!AP280="SI",VLOOKUP('1.DATOS-PROD'!AP$2,'1.PUNTOS'!$A$1:$B$63,2,0),0)</f>
        <v>0</v>
      </c>
      <c r="AH279" s="138">
        <f>IF('1.DATOS-PROD'!AQ280="SI",VLOOKUP('1.DATOS-PROD'!AQ$2,'1.PUNTOS'!$A$1:$B$63,2,0),0)</f>
        <v>0</v>
      </c>
      <c r="AI279" s="138">
        <f>IF('1.DATOS-PROD'!AR280="SI",VLOOKUP('1.DATOS-PROD'!AR$2,'1.PUNTOS'!$A$1:$B$63,2,0),0)</f>
        <v>0</v>
      </c>
      <c r="AJ279" s="138">
        <f>IF('1.DATOS-PROD'!AS280="SI",VLOOKUP('1.DATOS-PROD'!AS$2,'1.PUNTOS'!$A$1:$B$63,2,0),0)</f>
        <v>0</v>
      </c>
      <c r="AK279" s="138">
        <f>IF('1.DATOS-PROD'!AT280="SI",VLOOKUP('1.DATOS-PROD'!AT$2,'1.PUNTOS'!$A$1:$B$63,2,0),0)</f>
        <v>0</v>
      </c>
      <c r="AL279" s="138">
        <f>IF('1.DATOS-PROD'!AU280="SI",VLOOKUP('1.DATOS-PROD'!AU$2,'1.PUNTOS'!$A$1:$B$63,2,0),0)</f>
        <v>0</v>
      </c>
      <c r="AM279" s="138">
        <f>IF('1.DATOS-PROD'!AV280="SI",VLOOKUP('1.DATOS-PROD'!AV$2,'1.PUNTOS'!$A$1:$B$63,2,0),0)</f>
        <v>0</v>
      </c>
      <c r="AN279" s="138">
        <f>IF('1.DATOS-PROD'!AW280="SI",VLOOKUP('1.DATOS-PROD'!AW$2,'1.PUNTOS'!$A$1:$B$63,2,0),0)</f>
        <v>0</v>
      </c>
      <c r="AO279" s="138">
        <f>IF('1.DATOS-PROD'!AX280="SI",VLOOKUP('1.DATOS-PROD'!AX$2,'1.PUNTOS'!$A$1:$B$63,2,0),0)</f>
        <v>0</v>
      </c>
      <c r="AP279" s="138">
        <f>IF('1.DATOS-PROD'!AY280="SI",VLOOKUP('1.DATOS-PROD'!AY$2,'1.PUNTOS'!$A$1:$B$63,2,0),0)</f>
        <v>0</v>
      </c>
      <c r="AQ279" s="138">
        <f>IF('1.DATOS-PROD'!AZ280="SI",VLOOKUP('1.DATOS-PROD'!AZ$2,'1.PUNTOS'!$A$1:$B$63,2,0),0)</f>
        <v>0</v>
      </c>
      <c r="AR279" s="138">
        <f>IF('1.DATOS-PROD'!BA280="SI",VLOOKUP('1.DATOS-PROD'!BA$2,'1.PUNTOS'!$A$1:$B$63,2,0),0)</f>
        <v>0</v>
      </c>
      <c r="AS279" s="138">
        <f>IF('1.DATOS-PROD'!BB280="SI",VLOOKUP('1.DATOS-PROD'!BB$2,'1.PUNTOS'!$A$1:$B$63,2,0),0)</f>
        <v>0</v>
      </c>
      <c r="AT279" s="138">
        <f>IF('1.DATOS-PROD'!BC280="SI",VLOOKUP('1.DATOS-PROD'!BC$2,'1.PUNTOS'!$A$1:$B$63,2,0),0)</f>
        <v>0</v>
      </c>
      <c r="AU279" s="138">
        <f>IF('1.DATOS-PROD'!BD280="SI",VLOOKUP('1.DATOS-PROD'!BD$2,'1.PUNTOS'!$A$1:$B$63,2,0),0)</f>
        <v>0</v>
      </c>
      <c r="AV279" s="138">
        <f>IF('1.DATOS-PROD'!BE280="SI",VLOOKUP('1.DATOS-PROD'!BE$2,'1.PUNTOS'!$A$1:$B$63,2,0),0)</f>
        <v>0</v>
      </c>
      <c r="AW279" s="138">
        <f>IF('1.DATOS-PROD'!BF280="SI",VLOOKUP('1.DATOS-PROD'!BF$2,'1.PUNTOS'!$A$1:$B$63,2,0),0)</f>
        <v>0</v>
      </c>
      <c r="AX279" s="138">
        <f>IF('1.DATOS-PROD'!BG280="SI",VLOOKUP('1.DATOS-PROD'!BG$2,'1.PUNTOS'!$A$1:$B$63,2,0),0)</f>
        <v>0</v>
      </c>
      <c r="AY279" s="138">
        <f>IF('1.DATOS-PROD'!BH280="SI",VLOOKUP('1.DATOS-PROD'!BH$2,'1.PUNTOS'!$A$1:$B$63,2,0),0)</f>
        <v>0</v>
      </c>
      <c r="AZ279" s="138">
        <f>IF('1.DATOS-PROD'!BI280="SI",VLOOKUP('1.DATOS-PROD'!BI$2,'1.PUNTOS'!$A$1:$B$63,2,0),0)</f>
        <v>0</v>
      </c>
      <c r="BA279" s="138">
        <f>IF('1.DATOS-PROD'!BJ280="SI",VLOOKUP('1.DATOS-PROD'!BJ$2,'1.PUNTOS'!$A$1:$B$63,2,0),0)</f>
        <v>0</v>
      </c>
      <c r="BB279" s="138">
        <f>IF('1.DATOS-PROD'!BK280="SI",VLOOKUP('1.DATOS-PROD'!BK$2,'1.PUNTOS'!$A$1:$B$63,2,0),0)</f>
        <v>0</v>
      </c>
      <c r="BC279" s="138">
        <f>IF('1.DATOS-PROD'!BL280="SI",VLOOKUP('1.DATOS-PROD'!BL$2,'1.PUNTOS'!$A$1:$B$63,2,0),0)</f>
        <v>0</v>
      </c>
      <c r="BD279" s="138">
        <f>IF('1.DATOS-PROD'!BM280="SI",VLOOKUP('1.DATOS-PROD'!BM$2,'1.PUNTOS'!$A$1:$B$63,2,0),0)</f>
        <v>0</v>
      </c>
      <c r="BE279" s="138">
        <f>IF('1.DATOS-PROD'!BN280="SI",VLOOKUP('1.DATOS-PROD'!BN$2,'1.PUNTOS'!$A$1:$B$63,2,0),0)</f>
        <v>0</v>
      </c>
      <c r="BF279" s="138">
        <f>IF('1.DATOS-PROD'!BO280="SI",VLOOKUP('1.DATOS-PROD'!BO$2,'1.PUNTOS'!$A$1:$B$63,2,0),0)</f>
        <v>0</v>
      </c>
      <c r="BG279" s="138">
        <f>IF('1.DATOS-PROD'!BP280="SI",VLOOKUP('1.DATOS-PROD'!BP$2,'1.PUNTOS'!$A$1:$B$63,2,0),0)</f>
        <v>0</v>
      </c>
      <c r="BH279" s="138">
        <f>IF('1.DATOS-PROD'!BQ280="SI",VLOOKUP('1.DATOS-PROD'!BQ$2,'1.PUNTOS'!$A$1:$B$63,2,0),0)</f>
        <v>0</v>
      </c>
      <c r="BI279" s="138">
        <f>IF('1.DATOS-PROD'!BR280="SI",VLOOKUP('1.DATOS-PROD'!BR$2,'1.PUNTOS'!$A$1:$B$63,2,0),0)</f>
        <v>0</v>
      </c>
      <c r="BJ279" s="138">
        <f>IF('1.DATOS-PROD'!BS280="SI",VLOOKUP('1.DATOS-PROD'!BS$2,'1.PUNTOS'!$A$1:$B$63,2,0),0)</f>
        <v>0</v>
      </c>
      <c r="BK279" s="138">
        <f>IF('1.DATOS-PROD'!BT280="SI",VLOOKUP('1.DATOS-PROD'!BT$2,'1.PUNTOS'!$A$1:$B$63,2,0),0)</f>
        <v>0</v>
      </c>
    </row>
    <row r="280" spans="1:63" x14ac:dyDescent="0.25">
      <c r="A280">
        <f>'0.Consolidado general'!$A281</f>
        <v>0</v>
      </c>
      <c r="B280" s="138">
        <f>IF('1.DATOS-PROD'!K281="SI",VLOOKUP('1.DATOS-PROD'!K$2,'1.PUNTOS'!$A$1:$B$63,2,0),0)</f>
        <v>0</v>
      </c>
      <c r="C280" s="138">
        <f>IF('1.DATOS-PROD'!L281="SI",VLOOKUP('1.DATOS-PROD'!L$2,'1.PUNTOS'!$A$1:$B$63,2,0),0)</f>
        <v>0</v>
      </c>
      <c r="D280" s="138">
        <f>IF('1.DATOS-PROD'!M281="SI",VLOOKUP('1.DATOS-PROD'!M$2,'1.PUNTOS'!$A$1:$B$63,2,0),0)</f>
        <v>0</v>
      </c>
      <c r="E280" s="138">
        <f>IF('1.DATOS-PROD'!N281="SI",VLOOKUP('1.DATOS-PROD'!N$2,'1.PUNTOS'!$A$1:$B$63,2,0),0)</f>
        <v>0</v>
      </c>
      <c r="F280" s="138">
        <f>IF('1.DATOS-PROD'!O281="SI",VLOOKUP('1.DATOS-PROD'!O$2,'1.PUNTOS'!$A$1:$B$63,2,0),0)</f>
        <v>0</v>
      </c>
      <c r="G280" s="138">
        <f>IF('1.DATOS-PROD'!P281="SI",VLOOKUP('1.DATOS-PROD'!P$2,'1.PUNTOS'!$A$1:$B$63,2,0),0)</f>
        <v>0</v>
      </c>
      <c r="H280" s="138">
        <f>IF('1.DATOS-PROD'!Q281="SI",VLOOKUP('1.DATOS-PROD'!Q$2,'1.PUNTOS'!$A$1:$B$63,2,0),0)</f>
        <v>0</v>
      </c>
      <c r="I280" s="138">
        <f>IF('1.DATOS-PROD'!R281="SI",VLOOKUP('1.DATOS-PROD'!R$2,'1.PUNTOS'!$A$1:$B$63,2,0),0)</f>
        <v>0</v>
      </c>
      <c r="J280" s="138">
        <f>IF('1.DATOS-PROD'!S281="SI",VLOOKUP('1.DATOS-PROD'!S$2,'1.PUNTOS'!$A$1:$B$63,2,0),0)</f>
        <v>0</v>
      </c>
      <c r="K280" s="138">
        <f>IF('1.DATOS-PROD'!T281="SI",VLOOKUP('1.DATOS-PROD'!T$2,'1.PUNTOS'!$A$1:$B$63,2,0),0)</f>
        <v>0</v>
      </c>
      <c r="L280" s="138">
        <f>IF('1.DATOS-PROD'!U281="SI",VLOOKUP('1.DATOS-PROD'!U$2,'1.PUNTOS'!$A$1:$B$63,2,0),0)</f>
        <v>0</v>
      </c>
      <c r="M280" s="138">
        <f>IF('1.DATOS-PROD'!V281="SI",VLOOKUP('1.DATOS-PROD'!V$2,'1.PUNTOS'!$A$1:$B$63,2,0),0)</f>
        <v>0</v>
      </c>
      <c r="N280" s="138">
        <f>IF('1.DATOS-PROD'!W281="SI",VLOOKUP('1.DATOS-PROD'!W$2,'1.PUNTOS'!$A$1:$B$63,2,0),0)</f>
        <v>0</v>
      </c>
      <c r="O280" s="138">
        <f>IF('1.DATOS-PROD'!X281="SI",VLOOKUP('1.DATOS-PROD'!X$2,'1.PUNTOS'!$A$1:$B$63,2,0),0)</f>
        <v>0</v>
      </c>
      <c r="P280" s="138">
        <f>IF('1.DATOS-PROD'!Y281="SI",VLOOKUP('1.DATOS-PROD'!Y$2,'1.PUNTOS'!$A$1:$B$63,2,0),0)</f>
        <v>0</v>
      </c>
      <c r="Q280" s="138">
        <f>IF('1.DATOS-PROD'!Z281="SI",VLOOKUP('1.DATOS-PROD'!Z$2,'1.PUNTOS'!$A$1:$B$63,2,0),0)</f>
        <v>0</v>
      </c>
      <c r="R280" s="138">
        <f>IF('1.DATOS-PROD'!AA281="SI",VLOOKUP('1.DATOS-PROD'!AA$2,'1.PUNTOS'!$A$1:$B$63,2,0),0)</f>
        <v>0</v>
      </c>
      <c r="S280" s="138">
        <f>IF('1.DATOS-PROD'!AB281="SI",VLOOKUP('1.DATOS-PROD'!AB$2,'1.PUNTOS'!$A$1:$B$63,2,0),0)</f>
        <v>0</v>
      </c>
      <c r="T280" s="138">
        <f>IF('1.DATOS-PROD'!AC281="SI",VLOOKUP('1.DATOS-PROD'!AC$2,'1.PUNTOS'!$A$1:$B$63,2,0),0)</f>
        <v>0</v>
      </c>
      <c r="U280" s="138">
        <f>IF('1.DATOS-PROD'!AD281="SI",VLOOKUP('1.DATOS-PROD'!AD$2,'1.PUNTOS'!$A$1:$B$63,2,0),0)</f>
        <v>0</v>
      </c>
      <c r="V280" s="138">
        <f>IF('1.DATOS-PROD'!AE281="SI",VLOOKUP('1.DATOS-PROD'!AE$2,'1.PUNTOS'!$A$1:$B$63,2,0),0)</f>
        <v>0</v>
      </c>
      <c r="W280" s="138">
        <f>IF('1.DATOS-PROD'!AF281="SI",VLOOKUP('1.DATOS-PROD'!AF$2,'1.PUNTOS'!$A$1:$B$63,2,0),0)</f>
        <v>0</v>
      </c>
      <c r="X280" s="138">
        <f>IF('1.DATOS-PROD'!AG281="SI",VLOOKUP('1.DATOS-PROD'!AG$2,'1.PUNTOS'!$A$1:$B$63,2,0),0)</f>
        <v>0</v>
      </c>
      <c r="Y280" s="138">
        <f>IF('1.DATOS-PROD'!AH281="SI",VLOOKUP('1.DATOS-PROD'!AH$2,'1.PUNTOS'!$A$1:$B$63,2,0),0)</f>
        <v>0</v>
      </c>
      <c r="Z280" s="138">
        <f>IF('1.DATOS-PROD'!AI281="SI",VLOOKUP('1.DATOS-PROD'!AI$2,'1.PUNTOS'!$A$1:$B$63,2,0),0)</f>
        <v>0</v>
      </c>
      <c r="AA280" s="138">
        <f>IF('1.DATOS-PROD'!AJ281="SI",VLOOKUP('1.DATOS-PROD'!AJ$2,'1.PUNTOS'!$A$1:$B$63,2,0),0)</f>
        <v>0</v>
      </c>
      <c r="AB280" s="138">
        <f>IF('1.DATOS-PROD'!AK281="SI",VLOOKUP('1.DATOS-PROD'!AK$2,'1.PUNTOS'!$A$1:$B$63,2,0),0)</f>
        <v>0</v>
      </c>
      <c r="AC280" s="138">
        <f>IF('1.DATOS-PROD'!AL281="SI",VLOOKUP('1.DATOS-PROD'!AL$2,'1.PUNTOS'!$A$1:$B$63,2,0),0)</f>
        <v>0</v>
      </c>
      <c r="AD280" s="138">
        <f>IF('1.DATOS-PROD'!AM281="SI",VLOOKUP('1.DATOS-PROD'!AM$2,'1.PUNTOS'!$A$1:$B$63,2,0),0)</f>
        <v>0</v>
      </c>
      <c r="AE280" s="138">
        <f>IF('1.DATOS-PROD'!AN281="SI",VLOOKUP('1.DATOS-PROD'!AN$2,'1.PUNTOS'!$A$1:$B$63,2,0),0)</f>
        <v>0</v>
      </c>
      <c r="AF280" s="138">
        <f>IF('1.DATOS-PROD'!AO281="SI",VLOOKUP('1.DATOS-PROD'!AO$2,'1.PUNTOS'!$A$1:$B$63,2,0),0)</f>
        <v>0</v>
      </c>
      <c r="AG280" s="138">
        <f>IF('1.DATOS-PROD'!AP281="SI",VLOOKUP('1.DATOS-PROD'!AP$2,'1.PUNTOS'!$A$1:$B$63,2,0),0)</f>
        <v>0</v>
      </c>
      <c r="AH280" s="138">
        <f>IF('1.DATOS-PROD'!AQ281="SI",VLOOKUP('1.DATOS-PROD'!AQ$2,'1.PUNTOS'!$A$1:$B$63,2,0),0)</f>
        <v>0</v>
      </c>
      <c r="AI280" s="138">
        <f>IF('1.DATOS-PROD'!AR281="SI",VLOOKUP('1.DATOS-PROD'!AR$2,'1.PUNTOS'!$A$1:$B$63,2,0),0)</f>
        <v>0</v>
      </c>
      <c r="AJ280" s="138">
        <f>IF('1.DATOS-PROD'!AS281="SI",VLOOKUP('1.DATOS-PROD'!AS$2,'1.PUNTOS'!$A$1:$B$63,2,0),0)</f>
        <v>0</v>
      </c>
      <c r="AK280" s="138">
        <f>IF('1.DATOS-PROD'!AT281="SI",VLOOKUP('1.DATOS-PROD'!AT$2,'1.PUNTOS'!$A$1:$B$63,2,0),0)</f>
        <v>0</v>
      </c>
      <c r="AL280" s="138">
        <f>IF('1.DATOS-PROD'!AU281="SI",VLOOKUP('1.DATOS-PROD'!AU$2,'1.PUNTOS'!$A$1:$B$63,2,0),0)</f>
        <v>0</v>
      </c>
      <c r="AM280" s="138">
        <f>IF('1.DATOS-PROD'!AV281="SI",VLOOKUP('1.DATOS-PROD'!AV$2,'1.PUNTOS'!$A$1:$B$63,2,0),0)</f>
        <v>0</v>
      </c>
      <c r="AN280" s="138">
        <f>IF('1.DATOS-PROD'!AW281="SI",VLOOKUP('1.DATOS-PROD'!AW$2,'1.PUNTOS'!$A$1:$B$63,2,0),0)</f>
        <v>0</v>
      </c>
      <c r="AO280" s="138">
        <f>IF('1.DATOS-PROD'!AX281="SI",VLOOKUP('1.DATOS-PROD'!AX$2,'1.PUNTOS'!$A$1:$B$63,2,0),0)</f>
        <v>0</v>
      </c>
      <c r="AP280" s="138">
        <f>IF('1.DATOS-PROD'!AY281="SI",VLOOKUP('1.DATOS-PROD'!AY$2,'1.PUNTOS'!$A$1:$B$63,2,0),0)</f>
        <v>0</v>
      </c>
      <c r="AQ280" s="138">
        <f>IF('1.DATOS-PROD'!AZ281="SI",VLOOKUP('1.DATOS-PROD'!AZ$2,'1.PUNTOS'!$A$1:$B$63,2,0),0)</f>
        <v>0</v>
      </c>
      <c r="AR280" s="138">
        <f>IF('1.DATOS-PROD'!BA281="SI",VLOOKUP('1.DATOS-PROD'!BA$2,'1.PUNTOS'!$A$1:$B$63,2,0),0)</f>
        <v>0</v>
      </c>
      <c r="AS280" s="138">
        <f>IF('1.DATOS-PROD'!BB281="SI",VLOOKUP('1.DATOS-PROD'!BB$2,'1.PUNTOS'!$A$1:$B$63,2,0),0)</f>
        <v>0</v>
      </c>
      <c r="AT280" s="138">
        <f>IF('1.DATOS-PROD'!BC281="SI",VLOOKUP('1.DATOS-PROD'!BC$2,'1.PUNTOS'!$A$1:$B$63,2,0),0)</f>
        <v>0</v>
      </c>
      <c r="AU280" s="138">
        <f>IF('1.DATOS-PROD'!BD281="SI",VLOOKUP('1.DATOS-PROD'!BD$2,'1.PUNTOS'!$A$1:$B$63,2,0),0)</f>
        <v>0</v>
      </c>
      <c r="AV280" s="138">
        <f>IF('1.DATOS-PROD'!BE281="SI",VLOOKUP('1.DATOS-PROD'!BE$2,'1.PUNTOS'!$A$1:$B$63,2,0),0)</f>
        <v>0</v>
      </c>
      <c r="AW280" s="138">
        <f>IF('1.DATOS-PROD'!BF281="SI",VLOOKUP('1.DATOS-PROD'!BF$2,'1.PUNTOS'!$A$1:$B$63,2,0),0)</f>
        <v>0</v>
      </c>
      <c r="AX280" s="138">
        <f>IF('1.DATOS-PROD'!BG281="SI",VLOOKUP('1.DATOS-PROD'!BG$2,'1.PUNTOS'!$A$1:$B$63,2,0),0)</f>
        <v>0</v>
      </c>
      <c r="AY280" s="138">
        <f>IF('1.DATOS-PROD'!BH281="SI",VLOOKUP('1.DATOS-PROD'!BH$2,'1.PUNTOS'!$A$1:$B$63,2,0),0)</f>
        <v>0</v>
      </c>
      <c r="AZ280" s="138">
        <f>IF('1.DATOS-PROD'!BI281="SI",VLOOKUP('1.DATOS-PROD'!BI$2,'1.PUNTOS'!$A$1:$B$63,2,0),0)</f>
        <v>0</v>
      </c>
      <c r="BA280" s="138">
        <f>IF('1.DATOS-PROD'!BJ281="SI",VLOOKUP('1.DATOS-PROD'!BJ$2,'1.PUNTOS'!$A$1:$B$63,2,0),0)</f>
        <v>0</v>
      </c>
      <c r="BB280" s="138">
        <f>IF('1.DATOS-PROD'!BK281="SI",VLOOKUP('1.DATOS-PROD'!BK$2,'1.PUNTOS'!$A$1:$B$63,2,0),0)</f>
        <v>0</v>
      </c>
      <c r="BC280" s="138">
        <f>IF('1.DATOS-PROD'!BL281="SI",VLOOKUP('1.DATOS-PROD'!BL$2,'1.PUNTOS'!$A$1:$B$63,2,0),0)</f>
        <v>0</v>
      </c>
      <c r="BD280" s="138">
        <f>IF('1.DATOS-PROD'!BM281="SI",VLOOKUP('1.DATOS-PROD'!BM$2,'1.PUNTOS'!$A$1:$B$63,2,0),0)</f>
        <v>0</v>
      </c>
      <c r="BE280" s="138">
        <f>IF('1.DATOS-PROD'!BN281="SI",VLOOKUP('1.DATOS-PROD'!BN$2,'1.PUNTOS'!$A$1:$B$63,2,0),0)</f>
        <v>0</v>
      </c>
      <c r="BF280" s="138">
        <f>IF('1.DATOS-PROD'!BO281="SI",VLOOKUP('1.DATOS-PROD'!BO$2,'1.PUNTOS'!$A$1:$B$63,2,0),0)</f>
        <v>0</v>
      </c>
      <c r="BG280" s="138">
        <f>IF('1.DATOS-PROD'!BP281="SI",VLOOKUP('1.DATOS-PROD'!BP$2,'1.PUNTOS'!$A$1:$B$63,2,0),0)</f>
        <v>0</v>
      </c>
      <c r="BH280" s="138">
        <f>IF('1.DATOS-PROD'!BQ281="SI",VLOOKUP('1.DATOS-PROD'!BQ$2,'1.PUNTOS'!$A$1:$B$63,2,0),0)</f>
        <v>0</v>
      </c>
      <c r="BI280" s="138">
        <f>IF('1.DATOS-PROD'!BR281="SI",VLOOKUP('1.DATOS-PROD'!BR$2,'1.PUNTOS'!$A$1:$B$63,2,0),0)</f>
        <v>0</v>
      </c>
      <c r="BJ280" s="138">
        <f>IF('1.DATOS-PROD'!BS281="SI",VLOOKUP('1.DATOS-PROD'!BS$2,'1.PUNTOS'!$A$1:$B$63,2,0),0)</f>
        <v>0</v>
      </c>
      <c r="BK280" s="138">
        <f>IF('1.DATOS-PROD'!BT281="SI",VLOOKUP('1.DATOS-PROD'!BT$2,'1.PUNTOS'!$A$1:$B$63,2,0),0)</f>
        <v>0</v>
      </c>
    </row>
    <row r="281" spans="1:63" x14ac:dyDescent="0.25">
      <c r="A281">
        <f>'0.Consolidado general'!$A282</f>
        <v>0</v>
      </c>
      <c r="B281" s="138">
        <f>IF('1.DATOS-PROD'!K282="SI",VLOOKUP('1.DATOS-PROD'!K$2,'1.PUNTOS'!$A$1:$B$63,2,0),0)</f>
        <v>0</v>
      </c>
      <c r="C281" s="138">
        <f>IF('1.DATOS-PROD'!L282="SI",VLOOKUP('1.DATOS-PROD'!L$2,'1.PUNTOS'!$A$1:$B$63,2,0),0)</f>
        <v>0</v>
      </c>
      <c r="D281" s="138">
        <f>IF('1.DATOS-PROD'!M282="SI",VLOOKUP('1.DATOS-PROD'!M$2,'1.PUNTOS'!$A$1:$B$63,2,0),0)</f>
        <v>0</v>
      </c>
      <c r="E281" s="138">
        <f>IF('1.DATOS-PROD'!N282="SI",VLOOKUP('1.DATOS-PROD'!N$2,'1.PUNTOS'!$A$1:$B$63,2,0),0)</f>
        <v>0</v>
      </c>
      <c r="F281" s="138">
        <f>IF('1.DATOS-PROD'!O282="SI",VLOOKUP('1.DATOS-PROD'!O$2,'1.PUNTOS'!$A$1:$B$63,2,0),0)</f>
        <v>0</v>
      </c>
      <c r="G281" s="138">
        <f>IF('1.DATOS-PROD'!P282="SI",VLOOKUP('1.DATOS-PROD'!P$2,'1.PUNTOS'!$A$1:$B$63,2,0),0)</f>
        <v>0</v>
      </c>
      <c r="H281" s="138">
        <f>IF('1.DATOS-PROD'!Q282="SI",VLOOKUP('1.DATOS-PROD'!Q$2,'1.PUNTOS'!$A$1:$B$63,2,0),0)</f>
        <v>0</v>
      </c>
      <c r="I281" s="138">
        <f>IF('1.DATOS-PROD'!R282="SI",VLOOKUP('1.DATOS-PROD'!R$2,'1.PUNTOS'!$A$1:$B$63,2,0),0)</f>
        <v>0</v>
      </c>
      <c r="J281" s="138">
        <f>IF('1.DATOS-PROD'!S282="SI",VLOOKUP('1.DATOS-PROD'!S$2,'1.PUNTOS'!$A$1:$B$63,2,0),0)</f>
        <v>0</v>
      </c>
      <c r="K281" s="138">
        <f>IF('1.DATOS-PROD'!T282="SI",VLOOKUP('1.DATOS-PROD'!T$2,'1.PUNTOS'!$A$1:$B$63,2,0),0)</f>
        <v>0</v>
      </c>
      <c r="L281" s="138">
        <f>IF('1.DATOS-PROD'!U282="SI",VLOOKUP('1.DATOS-PROD'!U$2,'1.PUNTOS'!$A$1:$B$63,2,0),0)</f>
        <v>0</v>
      </c>
      <c r="M281" s="138">
        <f>IF('1.DATOS-PROD'!V282="SI",VLOOKUP('1.DATOS-PROD'!V$2,'1.PUNTOS'!$A$1:$B$63,2,0),0)</f>
        <v>0</v>
      </c>
      <c r="N281" s="138">
        <f>IF('1.DATOS-PROD'!W282="SI",VLOOKUP('1.DATOS-PROD'!W$2,'1.PUNTOS'!$A$1:$B$63,2,0),0)</f>
        <v>0</v>
      </c>
      <c r="O281" s="138">
        <f>IF('1.DATOS-PROD'!X282="SI",VLOOKUP('1.DATOS-PROD'!X$2,'1.PUNTOS'!$A$1:$B$63,2,0),0)</f>
        <v>0</v>
      </c>
      <c r="P281" s="138">
        <f>IF('1.DATOS-PROD'!Y282="SI",VLOOKUP('1.DATOS-PROD'!Y$2,'1.PUNTOS'!$A$1:$B$63,2,0),0)</f>
        <v>0</v>
      </c>
      <c r="Q281" s="138">
        <f>IF('1.DATOS-PROD'!Z282="SI",VLOOKUP('1.DATOS-PROD'!Z$2,'1.PUNTOS'!$A$1:$B$63,2,0),0)</f>
        <v>0</v>
      </c>
      <c r="R281" s="138">
        <f>IF('1.DATOS-PROD'!AA282="SI",VLOOKUP('1.DATOS-PROD'!AA$2,'1.PUNTOS'!$A$1:$B$63,2,0),0)</f>
        <v>0</v>
      </c>
      <c r="S281" s="138">
        <f>IF('1.DATOS-PROD'!AB282="SI",VLOOKUP('1.DATOS-PROD'!AB$2,'1.PUNTOS'!$A$1:$B$63,2,0),0)</f>
        <v>0</v>
      </c>
      <c r="T281" s="138">
        <f>IF('1.DATOS-PROD'!AC282="SI",VLOOKUP('1.DATOS-PROD'!AC$2,'1.PUNTOS'!$A$1:$B$63,2,0),0)</f>
        <v>0</v>
      </c>
      <c r="U281" s="138">
        <f>IF('1.DATOS-PROD'!AD282="SI",VLOOKUP('1.DATOS-PROD'!AD$2,'1.PUNTOS'!$A$1:$B$63,2,0),0)</f>
        <v>0</v>
      </c>
      <c r="V281" s="138">
        <f>IF('1.DATOS-PROD'!AE282="SI",VLOOKUP('1.DATOS-PROD'!AE$2,'1.PUNTOS'!$A$1:$B$63,2,0),0)</f>
        <v>0</v>
      </c>
      <c r="W281" s="138">
        <f>IF('1.DATOS-PROD'!AF282="SI",VLOOKUP('1.DATOS-PROD'!AF$2,'1.PUNTOS'!$A$1:$B$63,2,0),0)</f>
        <v>0</v>
      </c>
      <c r="X281" s="138">
        <f>IF('1.DATOS-PROD'!AG282="SI",VLOOKUP('1.DATOS-PROD'!AG$2,'1.PUNTOS'!$A$1:$B$63,2,0),0)</f>
        <v>0</v>
      </c>
      <c r="Y281" s="138">
        <f>IF('1.DATOS-PROD'!AH282="SI",VLOOKUP('1.DATOS-PROD'!AH$2,'1.PUNTOS'!$A$1:$B$63,2,0),0)</f>
        <v>0</v>
      </c>
      <c r="Z281" s="138">
        <f>IF('1.DATOS-PROD'!AI282="SI",VLOOKUP('1.DATOS-PROD'!AI$2,'1.PUNTOS'!$A$1:$B$63,2,0),0)</f>
        <v>0</v>
      </c>
      <c r="AA281" s="138">
        <f>IF('1.DATOS-PROD'!AJ282="SI",VLOOKUP('1.DATOS-PROD'!AJ$2,'1.PUNTOS'!$A$1:$B$63,2,0),0)</f>
        <v>0</v>
      </c>
      <c r="AB281" s="138">
        <f>IF('1.DATOS-PROD'!AK282="SI",VLOOKUP('1.DATOS-PROD'!AK$2,'1.PUNTOS'!$A$1:$B$63,2,0),0)</f>
        <v>0</v>
      </c>
      <c r="AC281" s="138">
        <f>IF('1.DATOS-PROD'!AL282="SI",VLOOKUP('1.DATOS-PROD'!AL$2,'1.PUNTOS'!$A$1:$B$63,2,0),0)</f>
        <v>0</v>
      </c>
      <c r="AD281" s="138">
        <f>IF('1.DATOS-PROD'!AM282="SI",VLOOKUP('1.DATOS-PROD'!AM$2,'1.PUNTOS'!$A$1:$B$63,2,0),0)</f>
        <v>0</v>
      </c>
      <c r="AE281" s="138">
        <f>IF('1.DATOS-PROD'!AN282="SI",VLOOKUP('1.DATOS-PROD'!AN$2,'1.PUNTOS'!$A$1:$B$63,2,0),0)</f>
        <v>0</v>
      </c>
      <c r="AF281" s="138">
        <f>IF('1.DATOS-PROD'!AO282="SI",VLOOKUP('1.DATOS-PROD'!AO$2,'1.PUNTOS'!$A$1:$B$63,2,0),0)</f>
        <v>0</v>
      </c>
      <c r="AG281" s="138">
        <f>IF('1.DATOS-PROD'!AP282="SI",VLOOKUP('1.DATOS-PROD'!AP$2,'1.PUNTOS'!$A$1:$B$63,2,0),0)</f>
        <v>0</v>
      </c>
      <c r="AH281" s="138">
        <f>IF('1.DATOS-PROD'!AQ282="SI",VLOOKUP('1.DATOS-PROD'!AQ$2,'1.PUNTOS'!$A$1:$B$63,2,0),0)</f>
        <v>0</v>
      </c>
      <c r="AI281" s="138">
        <f>IF('1.DATOS-PROD'!AR282="SI",VLOOKUP('1.DATOS-PROD'!AR$2,'1.PUNTOS'!$A$1:$B$63,2,0),0)</f>
        <v>0</v>
      </c>
      <c r="AJ281" s="138">
        <f>IF('1.DATOS-PROD'!AS282="SI",VLOOKUP('1.DATOS-PROD'!AS$2,'1.PUNTOS'!$A$1:$B$63,2,0),0)</f>
        <v>0</v>
      </c>
      <c r="AK281" s="138">
        <f>IF('1.DATOS-PROD'!AT282="SI",VLOOKUP('1.DATOS-PROD'!AT$2,'1.PUNTOS'!$A$1:$B$63,2,0),0)</f>
        <v>0</v>
      </c>
      <c r="AL281" s="138">
        <f>IF('1.DATOS-PROD'!AU282="SI",VLOOKUP('1.DATOS-PROD'!AU$2,'1.PUNTOS'!$A$1:$B$63,2,0),0)</f>
        <v>0</v>
      </c>
      <c r="AM281" s="138">
        <f>IF('1.DATOS-PROD'!AV282="SI",VLOOKUP('1.DATOS-PROD'!AV$2,'1.PUNTOS'!$A$1:$B$63,2,0),0)</f>
        <v>0</v>
      </c>
      <c r="AN281" s="138">
        <f>IF('1.DATOS-PROD'!AW282="SI",VLOOKUP('1.DATOS-PROD'!AW$2,'1.PUNTOS'!$A$1:$B$63,2,0),0)</f>
        <v>0</v>
      </c>
      <c r="AO281" s="138">
        <f>IF('1.DATOS-PROD'!AX282="SI",VLOOKUP('1.DATOS-PROD'!AX$2,'1.PUNTOS'!$A$1:$B$63,2,0),0)</f>
        <v>0</v>
      </c>
      <c r="AP281" s="138">
        <f>IF('1.DATOS-PROD'!AY282="SI",VLOOKUP('1.DATOS-PROD'!AY$2,'1.PUNTOS'!$A$1:$B$63,2,0),0)</f>
        <v>0</v>
      </c>
      <c r="AQ281" s="138">
        <f>IF('1.DATOS-PROD'!AZ282="SI",VLOOKUP('1.DATOS-PROD'!AZ$2,'1.PUNTOS'!$A$1:$B$63,2,0),0)</f>
        <v>0</v>
      </c>
      <c r="AR281" s="138">
        <f>IF('1.DATOS-PROD'!BA282="SI",VLOOKUP('1.DATOS-PROD'!BA$2,'1.PUNTOS'!$A$1:$B$63,2,0),0)</f>
        <v>0</v>
      </c>
      <c r="AS281" s="138">
        <f>IF('1.DATOS-PROD'!BB282="SI",VLOOKUP('1.DATOS-PROD'!BB$2,'1.PUNTOS'!$A$1:$B$63,2,0),0)</f>
        <v>0</v>
      </c>
      <c r="AT281" s="138">
        <f>IF('1.DATOS-PROD'!BC282="SI",VLOOKUP('1.DATOS-PROD'!BC$2,'1.PUNTOS'!$A$1:$B$63,2,0),0)</f>
        <v>0</v>
      </c>
      <c r="AU281" s="138">
        <f>IF('1.DATOS-PROD'!BD282="SI",VLOOKUP('1.DATOS-PROD'!BD$2,'1.PUNTOS'!$A$1:$B$63,2,0),0)</f>
        <v>0</v>
      </c>
      <c r="AV281" s="138">
        <f>IF('1.DATOS-PROD'!BE282="SI",VLOOKUP('1.DATOS-PROD'!BE$2,'1.PUNTOS'!$A$1:$B$63,2,0),0)</f>
        <v>0</v>
      </c>
      <c r="AW281" s="138">
        <f>IF('1.DATOS-PROD'!BF282="SI",VLOOKUP('1.DATOS-PROD'!BF$2,'1.PUNTOS'!$A$1:$B$63,2,0),0)</f>
        <v>0</v>
      </c>
      <c r="AX281" s="138">
        <f>IF('1.DATOS-PROD'!BG282="SI",VLOOKUP('1.DATOS-PROD'!BG$2,'1.PUNTOS'!$A$1:$B$63,2,0),0)</f>
        <v>0</v>
      </c>
      <c r="AY281" s="138">
        <f>IF('1.DATOS-PROD'!BH282="SI",VLOOKUP('1.DATOS-PROD'!BH$2,'1.PUNTOS'!$A$1:$B$63,2,0),0)</f>
        <v>0</v>
      </c>
      <c r="AZ281" s="138">
        <f>IF('1.DATOS-PROD'!BI282="SI",VLOOKUP('1.DATOS-PROD'!BI$2,'1.PUNTOS'!$A$1:$B$63,2,0),0)</f>
        <v>0</v>
      </c>
      <c r="BA281" s="138">
        <f>IF('1.DATOS-PROD'!BJ282="SI",VLOOKUP('1.DATOS-PROD'!BJ$2,'1.PUNTOS'!$A$1:$B$63,2,0),0)</f>
        <v>0</v>
      </c>
      <c r="BB281" s="138">
        <f>IF('1.DATOS-PROD'!BK282="SI",VLOOKUP('1.DATOS-PROD'!BK$2,'1.PUNTOS'!$A$1:$B$63,2,0),0)</f>
        <v>0</v>
      </c>
      <c r="BC281" s="138">
        <f>IF('1.DATOS-PROD'!BL282="SI",VLOOKUP('1.DATOS-PROD'!BL$2,'1.PUNTOS'!$A$1:$B$63,2,0),0)</f>
        <v>0</v>
      </c>
      <c r="BD281" s="138">
        <f>IF('1.DATOS-PROD'!BM282="SI",VLOOKUP('1.DATOS-PROD'!BM$2,'1.PUNTOS'!$A$1:$B$63,2,0),0)</f>
        <v>0</v>
      </c>
      <c r="BE281" s="138">
        <f>IF('1.DATOS-PROD'!BN282="SI",VLOOKUP('1.DATOS-PROD'!BN$2,'1.PUNTOS'!$A$1:$B$63,2,0),0)</f>
        <v>0</v>
      </c>
      <c r="BF281" s="138">
        <f>IF('1.DATOS-PROD'!BO282="SI",VLOOKUP('1.DATOS-PROD'!BO$2,'1.PUNTOS'!$A$1:$B$63,2,0),0)</f>
        <v>0</v>
      </c>
      <c r="BG281" s="138">
        <f>IF('1.DATOS-PROD'!BP282="SI",VLOOKUP('1.DATOS-PROD'!BP$2,'1.PUNTOS'!$A$1:$B$63,2,0),0)</f>
        <v>0</v>
      </c>
      <c r="BH281" s="138">
        <f>IF('1.DATOS-PROD'!BQ282="SI",VLOOKUP('1.DATOS-PROD'!BQ$2,'1.PUNTOS'!$A$1:$B$63,2,0),0)</f>
        <v>0</v>
      </c>
      <c r="BI281" s="138">
        <f>IF('1.DATOS-PROD'!BR282="SI",VLOOKUP('1.DATOS-PROD'!BR$2,'1.PUNTOS'!$A$1:$B$63,2,0),0)</f>
        <v>0</v>
      </c>
      <c r="BJ281" s="138">
        <f>IF('1.DATOS-PROD'!BS282="SI",VLOOKUP('1.DATOS-PROD'!BS$2,'1.PUNTOS'!$A$1:$B$63,2,0),0)</f>
        <v>0</v>
      </c>
      <c r="BK281" s="138">
        <f>IF('1.DATOS-PROD'!BT282="SI",VLOOKUP('1.DATOS-PROD'!BT$2,'1.PUNTOS'!$A$1:$B$63,2,0),0)</f>
        <v>0</v>
      </c>
    </row>
    <row r="282" spans="1:63" x14ac:dyDescent="0.25">
      <c r="A282">
        <f>'0.Consolidado general'!$A283</f>
        <v>0</v>
      </c>
      <c r="B282" s="138">
        <f>IF('1.DATOS-PROD'!K283="SI",VLOOKUP('1.DATOS-PROD'!K$2,'1.PUNTOS'!$A$1:$B$63,2,0),0)</f>
        <v>0</v>
      </c>
      <c r="C282" s="138">
        <f>IF('1.DATOS-PROD'!L283="SI",VLOOKUP('1.DATOS-PROD'!L$2,'1.PUNTOS'!$A$1:$B$63,2,0),0)</f>
        <v>0</v>
      </c>
      <c r="D282" s="138">
        <f>IF('1.DATOS-PROD'!M283="SI",VLOOKUP('1.DATOS-PROD'!M$2,'1.PUNTOS'!$A$1:$B$63,2,0),0)</f>
        <v>0</v>
      </c>
      <c r="E282" s="138">
        <f>IF('1.DATOS-PROD'!N283="SI",VLOOKUP('1.DATOS-PROD'!N$2,'1.PUNTOS'!$A$1:$B$63,2,0),0)</f>
        <v>0</v>
      </c>
      <c r="F282" s="138">
        <f>IF('1.DATOS-PROD'!O283="SI",VLOOKUP('1.DATOS-PROD'!O$2,'1.PUNTOS'!$A$1:$B$63,2,0),0)</f>
        <v>0</v>
      </c>
      <c r="G282" s="138">
        <f>IF('1.DATOS-PROD'!P283="SI",VLOOKUP('1.DATOS-PROD'!P$2,'1.PUNTOS'!$A$1:$B$63,2,0),0)</f>
        <v>0</v>
      </c>
      <c r="H282" s="138">
        <f>IF('1.DATOS-PROD'!Q283="SI",VLOOKUP('1.DATOS-PROD'!Q$2,'1.PUNTOS'!$A$1:$B$63,2,0),0)</f>
        <v>0</v>
      </c>
      <c r="I282" s="138">
        <f>IF('1.DATOS-PROD'!R283="SI",VLOOKUP('1.DATOS-PROD'!R$2,'1.PUNTOS'!$A$1:$B$63,2,0),0)</f>
        <v>0</v>
      </c>
      <c r="J282" s="138">
        <f>IF('1.DATOS-PROD'!S283="SI",VLOOKUP('1.DATOS-PROD'!S$2,'1.PUNTOS'!$A$1:$B$63,2,0),0)</f>
        <v>0</v>
      </c>
      <c r="K282" s="138">
        <f>IF('1.DATOS-PROD'!T283="SI",VLOOKUP('1.DATOS-PROD'!T$2,'1.PUNTOS'!$A$1:$B$63,2,0),0)</f>
        <v>0</v>
      </c>
      <c r="L282" s="138">
        <f>IF('1.DATOS-PROD'!U283="SI",VLOOKUP('1.DATOS-PROD'!U$2,'1.PUNTOS'!$A$1:$B$63,2,0),0)</f>
        <v>0</v>
      </c>
      <c r="M282" s="138">
        <f>IF('1.DATOS-PROD'!V283="SI",VLOOKUP('1.DATOS-PROD'!V$2,'1.PUNTOS'!$A$1:$B$63,2,0),0)</f>
        <v>0</v>
      </c>
      <c r="N282" s="138">
        <f>IF('1.DATOS-PROD'!W283="SI",VLOOKUP('1.DATOS-PROD'!W$2,'1.PUNTOS'!$A$1:$B$63,2,0),0)</f>
        <v>0</v>
      </c>
      <c r="O282" s="138">
        <f>IF('1.DATOS-PROD'!X283="SI",VLOOKUP('1.DATOS-PROD'!X$2,'1.PUNTOS'!$A$1:$B$63,2,0),0)</f>
        <v>0</v>
      </c>
      <c r="P282" s="138">
        <f>IF('1.DATOS-PROD'!Y283="SI",VLOOKUP('1.DATOS-PROD'!Y$2,'1.PUNTOS'!$A$1:$B$63,2,0),0)</f>
        <v>0</v>
      </c>
      <c r="Q282" s="138">
        <f>IF('1.DATOS-PROD'!Z283="SI",VLOOKUP('1.DATOS-PROD'!Z$2,'1.PUNTOS'!$A$1:$B$63,2,0),0)</f>
        <v>0</v>
      </c>
      <c r="R282" s="138">
        <f>IF('1.DATOS-PROD'!AA283="SI",VLOOKUP('1.DATOS-PROD'!AA$2,'1.PUNTOS'!$A$1:$B$63,2,0),0)</f>
        <v>0</v>
      </c>
      <c r="S282" s="138">
        <f>IF('1.DATOS-PROD'!AB283="SI",VLOOKUP('1.DATOS-PROD'!AB$2,'1.PUNTOS'!$A$1:$B$63,2,0),0)</f>
        <v>0</v>
      </c>
      <c r="T282" s="138">
        <f>IF('1.DATOS-PROD'!AC283="SI",VLOOKUP('1.DATOS-PROD'!AC$2,'1.PUNTOS'!$A$1:$B$63,2,0),0)</f>
        <v>0</v>
      </c>
      <c r="U282" s="138">
        <f>IF('1.DATOS-PROD'!AD283="SI",VLOOKUP('1.DATOS-PROD'!AD$2,'1.PUNTOS'!$A$1:$B$63,2,0),0)</f>
        <v>0</v>
      </c>
      <c r="V282" s="138">
        <f>IF('1.DATOS-PROD'!AE283="SI",VLOOKUP('1.DATOS-PROD'!AE$2,'1.PUNTOS'!$A$1:$B$63,2,0),0)</f>
        <v>0</v>
      </c>
      <c r="W282" s="138">
        <f>IF('1.DATOS-PROD'!AF283="SI",VLOOKUP('1.DATOS-PROD'!AF$2,'1.PUNTOS'!$A$1:$B$63,2,0),0)</f>
        <v>0</v>
      </c>
      <c r="X282" s="138">
        <f>IF('1.DATOS-PROD'!AG283="SI",VLOOKUP('1.DATOS-PROD'!AG$2,'1.PUNTOS'!$A$1:$B$63,2,0),0)</f>
        <v>0</v>
      </c>
      <c r="Y282" s="138">
        <f>IF('1.DATOS-PROD'!AH283="SI",VLOOKUP('1.DATOS-PROD'!AH$2,'1.PUNTOS'!$A$1:$B$63,2,0),0)</f>
        <v>0</v>
      </c>
      <c r="Z282" s="138">
        <f>IF('1.DATOS-PROD'!AI283="SI",VLOOKUP('1.DATOS-PROD'!AI$2,'1.PUNTOS'!$A$1:$B$63,2,0),0)</f>
        <v>0</v>
      </c>
      <c r="AA282" s="138">
        <f>IF('1.DATOS-PROD'!AJ283="SI",VLOOKUP('1.DATOS-PROD'!AJ$2,'1.PUNTOS'!$A$1:$B$63,2,0),0)</f>
        <v>0</v>
      </c>
      <c r="AB282" s="138">
        <f>IF('1.DATOS-PROD'!AK283="SI",VLOOKUP('1.DATOS-PROD'!AK$2,'1.PUNTOS'!$A$1:$B$63,2,0),0)</f>
        <v>0</v>
      </c>
      <c r="AC282" s="138">
        <f>IF('1.DATOS-PROD'!AL283="SI",VLOOKUP('1.DATOS-PROD'!AL$2,'1.PUNTOS'!$A$1:$B$63,2,0),0)</f>
        <v>0</v>
      </c>
      <c r="AD282" s="138">
        <f>IF('1.DATOS-PROD'!AM283="SI",VLOOKUP('1.DATOS-PROD'!AM$2,'1.PUNTOS'!$A$1:$B$63,2,0),0)</f>
        <v>0</v>
      </c>
      <c r="AE282" s="138">
        <f>IF('1.DATOS-PROD'!AN283="SI",VLOOKUP('1.DATOS-PROD'!AN$2,'1.PUNTOS'!$A$1:$B$63,2,0),0)</f>
        <v>0</v>
      </c>
      <c r="AF282" s="138">
        <f>IF('1.DATOS-PROD'!AO283="SI",VLOOKUP('1.DATOS-PROD'!AO$2,'1.PUNTOS'!$A$1:$B$63,2,0),0)</f>
        <v>0</v>
      </c>
      <c r="AG282" s="138">
        <f>IF('1.DATOS-PROD'!AP283="SI",VLOOKUP('1.DATOS-PROD'!AP$2,'1.PUNTOS'!$A$1:$B$63,2,0),0)</f>
        <v>0</v>
      </c>
      <c r="AH282" s="138">
        <f>IF('1.DATOS-PROD'!AQ283="SI",VLOOKUP('1.DATOS-PROD'!AQ$2,'1.PUNTOS'!$A$1:$B$63,2,0),0)</f>
        <v>0</v>
      </c>
      <c r="AI282" s="138">
        <f>IF('1.DATOS-PROD'!AR283="SI",VLOOKUP('1.DATOS-PROD'!AR$2,'1.PUNTOS'!$A$1:$B$63,2,0),0)</f>
        <v>0</v>
      </c>
      <c r="AJ282" s="138">
        <f>IF('1.DATOS-PROD'!AS283="SI",VLOOKUP('1.DATOS-PROD'!AS$2,'1.PUNTOS'!$A$1:$B$63,2,0),0)</f>
        <v>0</v>
      </c>
      <c r="AK282" s="138">
        <f>IF('1.DATOS-PROD'!AT283="SI",VLOOKUP('1.DATOS-PROD'!AT$2,'1.PUNTOS'!$A$1:$B$63,2,0),0)</f>
        <v>0</v>
      </c>
      <c r="AL282" s="138">
        <f>IF('1.DATOS-PROD'!AU283="SI",VLOOKUP('1.DATOS-PROD'!AU$2,'1.PUNTOS'!$A$1:$B$63,2,0),0)</f>
        <v>0</v>
      </c>
      <c r="AM282" s="138">
        <f>IF('1.DATOS-PROD'!AV283="SI",VLOOKUP('1.DATOS-PROD'!AV$2,'1.PUNTOS'!$A$1:$B$63,2,0),0)</f>
        <v>0</v>
      </c>
      <c r="AN282" s="138">
        <f>IF('1.DATOS-PROD'!AW283="SI",VLOOKUP('1.DATOS-PROD'!AW$2,'1.PUNTOS'!$A$1:$B$63,2,0),0)</f>
        <v>0</v>
      </c>
      <c r="AO282" s="138">
        <f>IF('1.DATOS-PROD'!AX283="SI",VLOOKUP('1.DATOS-PROD'!AX$2,'1.PUNTOS'!$A$1:$B$63,2,0),0)</f>
        <v>0</v>
      </c>
      <c r="AP282" s="138">
        <f>IF('1.DATOS-PROD'!AY283="SI",VLOOKUP('1.DATOS-PROD'!AY$2,'1.PUNTOS'!$A$1:$B$63,2,0),0)</f>
        <v>0</v>
      </c>
      <c r="AQ282" s="138">
        <f>IF('1.DATOS-PROD'!AZ283="SI",VLOOKUP('1.DATOS-PROD'!AZ$2,'1.PUNTOS'!$A$1:$B$63,2,0),0)</f>
        <v>0</v>
      </c>
      <c r="AR282" s="138">
        <f>IF('1.DATOS-PROD'!BA283="SI",VLOOKUP('1.DATOS-PROD'!BA$2,'1.PUNTOS'!$A$1:$B$63,2,0),0)</f>
        <v>0</v>
      </c>
      <c r="AS282" s="138">
        <f>IF('1.DATOS-PROD'!BB283="SI",VLOOKUP('1.DATOS-PROD'!BB$2,'1.PUNTOS'!$A$1:$B$63,2,0),0)</f>
        <v>0</v>
      </c>
      <c r="AT282" s="138">
        <f>IF('1.DATOS-PROD'!BC283="SI",VLOOKUP('1.DATOS-PROD'!BC$2,'1.PUNTOS'!$A$1:$B$63,2,0),0)</f>
        <v>0</v>
      </c>
      <c r="AU282" s="138">
        <f>IF('1.DATOS-PROD'!BD283="SI",VLOOKUP('1.DATOS-PROD'!BD$2,'1.PUNTOS'!$A$1:$B$63,2,0),0)</f>
        <v>0</v>
      </c>
      <c r="AV282" s="138">
        <f>IF('1.DATOS-PROD'!BE283="SI",VLOOKUP('1.DATOS-PROD'!BE$2,'1.PUNTOS'!$A$1:$B$63,2,0),0)</f>
        <v>0</v>
      </c>
      <c r="AW282" s="138">
        <f>IF('1.DATOS-PROD'!BF283="SI",VLOOKUP('1.DATOS-PROD'!BF$2,'1.PUNTOS'!$A$1:$B$63,2,0),0)</f>
        <v>0</v>
      </c>
      <c r="AX282" s="138">
        <f>IF('1.DATOS-PROD'!BG283="SI",VLOOKUP('1.DATOS-PROD'!BG$2,'1.PUNTOS'!$A$1:$B$63,2,0),0)</f>
        <v>0</v>
      </c>
      <c r="AY282" s="138">
        <f>IF('1.DATOS-PROD'!BH283="SI",VLOOKUP('1.DATOS-PROD'!BH$2,'1.PUNTOS'!$A$1:$B$63,2,0),0)</f>
        <v>0</v>
      </c>
      <c r="AZ282" s="138">
        <f>IF('1.DATOS-PROD'!BI283="SI",VLOOKUP('1.DATOS-PROD'!BI$2,'1.PUNTOS'!$A$1:$B$63,2,0),0)</f>
        <v>0</v>
      </c>
      <c r="BA282" s="138">
        <f>IF('1.DATOS-PROD'!BJ283="SI",VLOOKUP('1.DATOS-PROD'!BJ$2,'1.PUNTOS'!$A$1:$B$63,2,0),0)</f>
        <v>0</v>
      </c>
      <c r="BB282" s="138">
        <f>IF('1.DATOS-PROD'!BK283="SI",VLOOKUP('1.DATOS-PROD'!BK$2,'1.PUNTOS'!$A$1:$B$63,2,0),0)</f>
        <v>0</v>
      </c>
      <c r="BC282" s="138">
        <f>IF('1.DATOS-PROD'!BL283="SI",VLOOKUP('1.DATOS-PROD'!BL$2,'1.PUNTOS'!$A$1:$B$63,2,0),0)</f>
        <v>0</v>
      </c>
      <c r="BD282" s="138">
        <f>IF('1.DATOS-PROD'!BM283="SI",VLOOKUP('1.DATOS-PROD'!BM$2,'1.PUNTOS'!$A$1:$B$63,2,0),0)</f>
        <v>0</v>
      </c>
      <c r="BE282" s="138">
        <f>IF('1.DATOS-PROD'!BN283="SI",VLOOKUP('1.DATOS-PROD'!BN$2,'1.PUNTOS'!$A$1:$B$63,2,0),0)</f>
        <v>0</v>
      </c>
      <c r="BF282" s="138">
        <f>IF('1.DATOS-PROD'!BO283="SI",VLOOKUP('1.DATOS-PROD'!BO$2,'1.PUNTOS'!$A$1:$B$63,2,0),0)</f>
        <v>0</v>
      </c>
      <c r="BG282" s="138">
        <f>IF('1.DATOS-PROD'!BP283="SI",VLOOKUP('1.DATOS-PROD'!BP$2,'1.PUNTOS'!$A$1:$B$63,2,0),0)</f>
        <v>0</v>
      </c>
      <c r="BH282" s="138">
        <f>IF('1.DATOS-PROD'!BQ283="SI",VLOOKUP('1.DATOS-PROD'!BQ$2,'1.PUNTOS'!$A$1:$B$63,2,0),0)</f>
        <v>0</v>
      </c>
      <c r="BI282" s="138">
        <f>IF('1.DATOS-PROD'!BR283="SI",VLOOKUP('1.DATOS-PROD'!BR$2,'1.PUNTOS'!$A$1:$B$63,2,0),0)</f>
        <v>0</v>
      </c>
      <c r="BJ282" s="138">
        <f>IF('1.DATOS-PROD'!BS283="SI",VLOOKUP('1.DATOS-PROD'!BS$2,'1.PUNTOS'!$A$1:$B$63,2,0),0)</f>
        <v>0</v>
      </c>
      <c r="BK282" s="138">
        <f>IF('1.DATOS-PROD'!BT283="SI",VLOOKUP('1.DATOS-PROD'!BT$2,'1.PUNTOS'!$A$1:$B$63,2,0),0)</f>
        <v>0</v>
      </c>
    </row>
    <row r="283" spans="1:63" x14ac:dyDescent="0.25">
      <c r="A283">
        <f>'0.Consolidado general'!$A284</f>
        <v>0</v>
      </c>
      <c r="B283" s="138">
        <f>IF('1.DATOS-PROD'!K284="SI",VLOOKUP('1.DATOS-PROD'!K$2,'1.PUNTOS'!$A$1:$B$63,2,0),0)</f>
        <v>0</v>
      </c>
      <c r="C283" s="138">
        <f>IF('1.DATOS-PROD'!L284="SI",VLOOKUP('1.DATOS-PROD'!L$2,'1.PUNTOS'!$A$1:$B$63,2,0),0)</f>
        <v>0</v>
      </c>
      <c r="D283" s="138">
        <f>IF('1.DATOS-PROD'!M284="SI",VLOOKUP('1.DATOS-PROD'!M$2,'1.PUNTOS'!$A$1:$B$63,2,0),0)</f>
        <v>0</v>
      </c>
      <c r="E283" s="138">
        <f>IF('1.DATOS-PROD'!N284="SI",VLOOKUP('1.DATOS-PROD'!N$2,'1.PUNTOS'!$A$1:$B$63,2,0),0)</f>
        <v>0</v>
      </c>
      <c r="F283" s="138">
        <f>IF('1.DATOS-PROD'!O284="SI",VLOOKUP('1.DATOS-PROD'!O$2,'1.PUNTOS'!$A$1:$B$63,2,0),0)</f>
        <v>0</v>
      </c>
      <c r="G283" s="138">
        <f>IF('1.DATOS-PROD'!P284="SI",VLOOKUP('1.DATOS-PROD'!P$2,'1.PUNTOS'!$A$1:$B$63,2,0),0)</f>
        <v>0</v>
      </c>
      <c r="H283" s="138">
        <f>IF('1.DATOS-PROD'!Q284="SI",VLOOKUP('1.DATOS-PROD'!Q$2,'1.PUNTOS'!$A$1:$B$63,2,0),0)</f>
        <v>0</v>
      </c>
      <c r="I283" s="138">
        <f>IF('1.DATOS-PROD'!R284="SI",VLOOKUP('1.DATOS-PROD'!R$2,'1.PUNTOS'!$A$1:$B$63,2,0),0)</f>
        <v>0</v>
      </c>
      <c r="J283" s="138">
        <f>IF('1.DATOS-PROD'!S284="SI",VLOOKUP('1.DATOS-PROD'!S$2,'1.PUNTOS'!$A$1:$B$63,2,0),0)</f>
        <v>0</v>
      </c>
      <c r="K283" s="138">
        <f>IF('1.DATOS-PROD'!T284="SI",VLOOKUP('1.DATOS-PROD'!T$2,'1.PUNTOS'!$A$1:$B$63,2,0),0)</f>
        <v>0</v>
      </c>
      <c r="L283" s="138">
        <f>IF('1.DATOS-PROD'!U284="SI",VLOOKUP('1.DATOS-PROD'!U$2,'1.PUNTOS'!$A$1:$B$63,2,0),0)</f>
        <v>0</v>
      </c>
      <c r="M283" s="138">
        <f>IF('1.DATOS-PROD'!V284="SI",VLOOKUP('1.DATOS-PROD'!V$2,'1.PUNTOS'!$A$1:$B$63,2,0),0)</f>
        <v>0</v>
      </c>
      <c r="N283" s="138">
        <f>IF('1.DATOS-PROD'!W284="SI",VLOOKUP('1.DATOS-PROD'!W$2,'1.PUNTOS'!$A$1:$B$63,2,0),0)</f>
        <v>0</v>
      </c>
      <c r="O283" s="138">
        <f>IF('1.DATOS-PROD'!X284="SI",VLOOKUP('1.DATOS-PROD'!X$2,'1.PUNTOS'!$A$1:$B$63,2,0),0)</f>
        <v>0</v>
      </c>
      <c r="P283" s="138">
        <f>IF('1.DATOS-PROD'!Y284="SI",VLOOKUP('1.DATOS-PROD'!Y$2,'1.PUNTOS'!$A$1:$B$63,2,0),0)</f>
        <v>0</v>
      </c>
      <c r="Q283" s="138">
        <f>IF('1.DATOS-PROD'!Z284="SI",VLOOKUP('1.DATOS-PROD'!Z$2,'1.PUNTOS'!$A$1:$B$63,2,0),0)</f>
        <v>0</v>
      </c>
      <c r="R283" s="138">
        <f>IF('1.DATOS-PROD'!AA284="SI",VLOOKUP('1.DATOS-PROD'!AA$2,'1.PUNTOS'!$A$1:$B$63,2,0),0)</f>
        <v>0</v>
      </c>
      <c r="S283" s="138">
        <f>IF('1.DATOS-PROD'!AB284="SI",VLOOKUP('1.DATOS-PROD'!AB$2,'1.PUNTOS'!$A$1:$B$63,2,0),0)</f>
        <v>0</v>
      </c>
      <c r="T283" s="138">
        <f>IF('1.DATOS-PROD'!AC284="SI",VLOOKUP('1.DATOS-PROD'!AC$2,'1.PUNTOS'!$A$1:$B$63,2,0),0)</f>
        <v>0</v>
      </c>
      <c r="U283" s="138">
        <f>IF('1.DATOS-PROD'!AD284="SI",VLOOKUP('1.DATOS-PROD'!AD$2,'1.PUNTOS'!$A$1:$B$63,2,0),0)</f>
        <v>0</v>
      </c>
      <c r="V283" s="138">
        <f>IF('1.DATOS-PROD'!AE284="SI",VLOOKUP('1.DATOS-PROD'!AE$2,'1.PUNTOS'!$A$1:$B$63,2,0),0)</f>
        <v>0</v>
      </c>
      <c r="W283" s="138">
        <f>IF('1.DATOS-PROD'!AF284="SI",VLOOKUP('1.DATOS-PROD'!AF$2,'1.PUNTOS'!$A$1:$B$63,2,0),0)</f>
        <v>0</v>
      </c>
      <c r="X283" s="138">
        <f>IF('1.DATOS-PROD'!AG284="SI",VLOOKUP('1.DATOS-PROD'!AG$2,'1.PUNTOS'!$A$1:$B$63,2,0),0)</f>
        <v>0</v>
      </c>
      <c r="Y283" s="138">
        <f>IF('1.DATOS-PROD'!AH284="SI",VLOOKUP('1.DATOS-PROD'!AH$2,'1.PUNTOS'!$A$1:$B$63,2,0),0)</f>
        <v>0</v>
      </c>
      <c r="Z283" s="138">
        <f>IF('1.DATOS-PROD'!AI284="SI",VLOOKUP('1.DATOS-PROD'!AI$2,'1.PUNTOS'!$A$1:$B$63,2,0),0)</f>
        <v>0</v>
      </c>
      <c r="AA283" s="138">
        <f>IF('1.DATOS-PROD'!AJ284="SI",VLOOKUP('1.DATOS-PROD'!AJ$2,'1.PUNTOS'!$A$1:$B$63,2,0),0)</f>
        <v>0</v>
      </c>
      <c r="AB283" s="138">
        <f>IF('1.DATOS-PROD'!AK284="SI",VLOOKUP('1.DATOS-PROD'!AK$2,'1.PUNTOS'!$A$1:$B$63,2,0),0)</f>
        <v>0</v>
      </c>
      <c r="AC283" s="138">
        <f>IF('1.DATOS-PROD'!AL284="SI",VLOOKUP('1.DATOS-PROD'!AL$2,'1.PUNTOS'!$A$1:$B$63,2,0),0)</f>
        <v>0</v>
      </c>
      <c r="AD283" s="138">
        <f>IF('1.DATOS-PROD'!AM284="SI",VLOOKUP('1.DATOS-PROD'!AM$2,'1.PUNTOS'!$A$1:$B$63,2,0),0)</f>
        <v>0</v>
      </c>
      <c r="AE283" s="138">
        <f>IF('1.DATOS-PROD'!AN284="SI",VLOOKUP('1.DATOS-PROD'!AN$2,'1.PUNTOS'!$A$1:$B$63,2,0),0)</f>
        <v>0</v>
      </c>
      <c r="AF283" s="138">
        <f>IF('1.DATOS-PROD'!AO284="SI",VLOOKUP('1.DATOS-PROD'!AO$2,'1.PUNTOS'!$A$1:$B$63,2,0),0)</f>
        <v>0</v>
      </c>
      <c r="AG283" s="138">
        <f>IF('1.DATOS-PROD'!AP284="SI",VLOOKUP('1.DATOS-PROD'!AP$2,'1.PUNTOS'!$A$1:$B$63,2,0),0)</f>
        <v>0</v>
      </c>
      <c r="AH283" s="138">
        <f>IF('1.DATOS-PROD'!AQ284="SI",VLOOKUP('1.DATOS-PROD'!AQ$2,'1.PUNTOS'!$A$1:$B$63,2,0),0)</f>
        <v>0</v>
      </c>
      <c r="AI283" s="138">
        <f>IF('1.DATOS-PROD'!AR284="SI",VLOOKUP('1.DATOS-PROD'!AR$2,'1.PUNTOS'!$A$1:$B$63,2,0),0)</f>
        <v>0</v>
      </c>
      <c r="AJ283" s="138">
        <f>IF('1.DATOS-PROD'!AS284="SI",VLOOKUP('1.DATOS-PROD'!AS$2,'1.PUNTOS'!$A$1:$B$63,2,0),0)</f>
        <v>0</v>
      </c>
      <c r="AK283" s="138">
        <f>IF('1.DATOS-PROD'!AT284="SI",VLOOKUP('1.DATOS-PROD'!AT$2,'1.PUNTOS'!$A$1:$B$63,2,0),0)</f>
        <v>0</v>
      </c>
      <c r="AL283" s="138">
        <f>IF('1.DATOS-PROD'!AU284="SI",VLOOKUP('1.DATOS-PROD'!AU$2,'1.PUNTOS'!$A$1:$B$63,2,0),0)</f>
        <v>0</v>
      </c>
      <c r="AM283" s="138">
        <f>IF('1.DATOS-PROD'!AV284="SI",VLOOKUP('1.DATOS-PROD'!AV$2,'1.PUNTOS'!$A$1:$B$63,2,0),0)</f>
        <v>0</v>
      </c>
      <c r="AN283" s="138">
        <f>IF('1.DATOS-PROD'!AW284="SI",VLOOKUP('1.DATOS-PROD'!AW$2,'1.PUNTOS'!$A$1:$B$63,2,0),0)</f>
        <v>0</v>
      </c>
      <c r="AO283" s="138">
        <f>IF('1.DATOS-PROD'!AX284="SI",VLOOKUP('1.DATOS-PROD'!AX$2,'1.PUNTOS'!$A$1:$B$63,2,0),0)</f>
        <v>0</v>
      </c>
      <c r="AP283" s="138">
        <f>IF('1.DATOS-PROD'!AY284="SI",VLOOKUP('1.DATOS-PROD'!AY$2,'1.PUNTOS'!$A$1:$B$63,2,0),0)</f>
        <v>0</v>
      </c>
      <c r="AQ283" s="138">
        <f>IF('1.DATOS-PROD'!AZ284="SI",VLOOKUP('1.DATOS-PROD'!AZ$2,'1.PUNTOS'!$A$1:$B$63,2,0),0)</f>
        <v>0</v>
      </c>
      <c r="AR283" s="138">
        <f>IF('1.DATOS-PROD'!BA284="SI",VLOOKUP('1.DATOS-PROD'!BA$2,'1.PUNTOS'!$A$1:$B$63,2,0),0)</f>
        <v>0</v>
      </c>
      <c r="AS283" s="138">
        <f>IF('1.DATOS-PROD'!BB284="SI",VLOOKUP('1.DATOS-PROD'!BB$2,'1.PUNTOS'!$A$1:$B$63,2,0),0)</f>
        <v>0</v>
      </c>
      <c r="AT283" s="138">
        <f>IF('1.DATOS-PROD'!BC284="SI",VLOOKUP('1.DATOS-PROD'!BC$2,'1.PUNTOS'!$A$1:$B$63,2,0),0)</f>
        <v>0</v>
      </c>
      <c r="AU283" s="138">
        <f>IF('1.DATOS-PROD'!BD284="SI",VLOOKUP('1.DATOS-PROD'!BD$2,'1.PUNTOS'!$A$1:$B$63,2,0),0)</f>
        <v>0</v>
      </c>
      <c r="AV283" s="138">
        <f>IF('1.DATOS-PROD'!BE284="SI",VLOOKUP('1.DATOS-PROD'!BE$2,'1.PUNTOS'!$A$1:$B$63,2,0),0)</f>
        <v>0</v>
      </c>
      <c r="AW283" s="138">
        <f>IF('1.DATOS-PROD'!BF284="SI",VLOOKUP('1.DATOS-PROD'!BF$2,'1.PUNTOS'!$A$1:$B$63,2,0),0)</f>
        <v>0</v>
      </c>
      <c r="AX283" s="138">
        <f>IF('1.DATOS-PROD'!BG284="SI",VLOOKUP('1.DATOS-PROD'!BG$2,'1.PUNTOS'!$A$1:$B$63,2,0),0)</f>
        <v>0</v>
      </c>
      <c r="AY283" s="138">
        <f>IF('1.DATOS-PROD'!BH284="SI",VLOOKUP('1.DATOS-PROD'!BH$2,'1.PUNTOS'!$A$1:$B$63,2,0),0)</f>
        <v>0</v>
      </c>
      <c r="AZ283" s="138">
        <f>IF('1.DATOS-PROD'!BI284="SI",VLOOKUP('1.DATOS-PROD'!BI$2,'1.PUNTOS'!$A$1:$B$63,2,0),0)</f>
        <v>0</v>
      </c>
      <c r="BA283" s="138">
        <f>IF('1.DATOS-PROD'!BJ284="SI",VLOOKUP('1.DATOS-PROD'!BJ$2,'1.PUNTOS'!$A$1:$B$63,2,0),0)</f>
        <v>0</v>
      </c>
      <c r="BB283" s="138">
        <f>IF('1.DATOS-PROD'!BK284="SI",VLOOKUP('1.DATOS-PROD'!BK$2,'1.PUNTOS'!$A$1:$B$63,2,0),0)</f>
        <v>0</v>
      </c>
      <c r="BC283" s="138">
        <f>IF('1.DATOS-PROD'!BL284="SI",VLOOKUP('1.DATOS-PROD'!BL$2,'1.PUNTOS'!$A$1:$B$63,2,0),0)</f>
        <v>0</v>
      </c>
      <c r="BD283" s="138">
        <f>IF('1.DATOS-PROD'!BM284="SI",VLOOKUP('1.DATOS-PROD'!BM$2,'1.PUNTOS'!$A$1:$B$63,2,0),0)</f>
        <v>0</v>
      </c>
      <c r="BE283" s="138">
        <f>IF('1.DATOS-PROD'!BN284="SI",VLOOKUP('1.DATOS-PROD'!BN$2,'1.PUNTOS'!$A$1:$B$63,2,0),0)</f>
        <v>0</v>
      </c>
      <c r="BF283" s="138">
        <f>IF('1.DATOS-PROD'!BO284="SI",VLOOKUP('1.DATOS-PROD'!BO$2,'1.PUNTOS'!$A$1:$B$63,2,0),0)</f>
        <v>0</v>
      </c>
      <c r="BG283" s="138">
        <f>IF('1.DATOS-PROD'!BP284="SI",VLOOKUP('1.DATOS-PROD'!BP$2,'1.PUNTOS'!$A$1:$B$63,2,0),0)</f>
        <v>0</v>
      </c>
      <c r="BH283" s="138">
        <f>IF('1.DATOS-PROD'!BQ284="SI",VLOOKUP('1.DATOS-PROD'!BQ$2,'1.PUNTOS'!$A$1:$B$63,2,0),0)</f>
        <v>0</v>
      </c>
      <c r="BI283" s="138">
        <f>IF('1.DATOS-PROD'!BR284="SI",VLOOKUP('1.DATOS-PROD'!BR$2,'1.PUNTOS'!$A$1:$B$63,2,0),0)</f>
        <v>0</v>
      </c>
      <c r="BJ283" s="138">
        <f>IF('1.DATOS-PROD'!BS284="SI",VLOOKUP('1.DATOS-PROD'!BS$2,'1.PUNTOS'!$A$1:$B$63,2,0),0)</f>
        <v>0</v>
      </c>
      <c r="BK283" s="138">
        <f>IF('1.DATOS-PROD'!BT284="SI",VLOOKUP('1.DATOS-PROD'!BT$2,'1.PUNTOS'!$A$1:$B$63,2,0),0)</f>
        <v>0</v>
      </c>
    </row>
    <row r="284" spans="1:63" x14ac:dyDescent="0.25">
      <c r="A284">
        <f>'0.Consolidado general'!$A285</f>
        <v>0</v>
      </c>
      <c r="B284" s="138">
        <f>IF('1.DATOS-PROD'!K285="SI",VLOOKUP('1.DATOS-PROD'!K$2,'1.PUNTOS'!$A$1:$B$63,2,0),0)</f>
        <v>0</v>
      </c>
      <c r="C284" s="138">
        <f>IF('1.DATOS-PROD'!L285="SI",VLOOKUP('1.DATOS-PROD'!L$2,'1.PUNTOS'!$A$1:$B$63,2,0),0)</f>
        <v>0</v>
      </c>
      <c r="D284" s="138">
        <f>IF('1.DATOS-PROD'!M285="SI",VLOOKUP('1.DATOS-PROD'!M$2,'1.PUNTOS'!$A$1:$B$63,2,0),0)</f>
        <v>0</v>
      </c>
      <c r="E284" s="138">
        <f>IF('1.DATOS-PROD'!N285="SI",VLOOKUP('1.DATOS-PROD'!N$2,'1.PUNTOS'!$A$1:$B$63,2,0),0)</f>
        <v>0</v>
      </c>
      <c r="F284" s="138">
        <f>IF('1.DATOS-PROD'!O285="SI",VLOOKUP('1.DATOS-PROD'!O$2,'1.PUNTOS'!$A$1:$B$63,2,0),0)</f>
        <v>0</v>
      </c>
      <c r="G284" s="138">
        <f>IF('1.DATOS-PROD'!P285="SI",VLOOKUP('1.DATOS-PROD'!P$2,'1.PUNTOS'!$A$1:$B$63,2,0),0)</f>
        <v>0</v>
      </c>
      <c r="H284" s="138">
        <f>IF('1.DATOS-PROD'!Q285="SI",VLOOKUP('1.DATOS-PROD'!Q$2,'1.PUNTOS'!$A$1:$B$63,2,0),0)</f>
        <v>0</v>
      </c>
      <c r="I284" s="138">
        <f>IF('1.DATOS-PROD'!R285="SI",VLOOKUP('1.DATOS-PROD'!R$2,'1.PUNTOS'!$A$1:$B$63,2,0),0)</f>
        <v>0</v>
      </c>
      <c r="J284" s="138">
        <f>IF('1.DATOS-PROD'!S285="SI",VLOOKUP('1.DATOS-PROD'!S$2,'1.PUNTOS'!$A$1:$B$63,2,0),0)</f>
        <v>0</v>
      </c>
      <c r="K284" s="138">
        <f>IF('1.DATOS-PROD'!T285="SI",VLOOKUP('1.DATOS-PROD'!T$2,'1.PUNTOS'!$A$1:$B$63,2,0),0)</f>
        <v>0</v>
      </c>
      <c r="L284" s="138">
        <f>IF('1.DATOS-PROD'!U285="SI",VLOOKUP('1.DATOS-PROD'!U$2,'1.PUNTOS'!$A$1:$B$63,2,0),0)</f>
        <v>0</v>
      </c>
      <c r="M284" s="138">
        <f>IF('1.DATOS-PROD'!V285="SI",VLOOKUP('1.DATOS-PROD'!V$2,'1.PUNTOS'!$A$1:$B$63,2,0),0)</f>
        <v>0</v>
      </c>
      <c r="N284" s="138">
        <f>IF('1.DATOS-PROD'!W285="SI",VLOOKUP('1.DATOS-PROD'!W$2,'1.PUNTOS'!$A$1:$B$63,2,0),0)</f>
        <v>0</v>
      </c>
      <c r="O284" s="138">
        <f>IF('1.DATOS-PROD'!X285="SI",VLOOKUP('1.DATOS-PROD'!X$2,'1.PUNTOS'!$A$1:$B$63,2,0),0)</f>
        <v>0</v>
      </c>
      <c r="P284" s="138">
        <f>IF('1.DATOS-PROD'!Y285="SI",VLOOKUP('1.DATOS-PROD'!Y$2,'1.PUNTOS'!$A$1:$B$63,2,0),0)</f>
        <v>0</v>
      </c>
      <c r="Q284" s="138">
        <f>IF('1.DATOS-PROD'!Z285="SI",VLOOKUP('1.DATOS-PROD'!Z$2,'1.PUNTOS'!$A$1:$B$63,2,0),0)</f>
        <v>0</v>
      </c>
      <c r="R284" s="138">
        <f>IF('1.DATOS-PROD'!AA285="SI",VLOOKUP('1.DATOS-PROD'!AA$2,'1.PUNTOS'!$A$1:$B$63,2,0),0)</f>
        <v>0</v>
      </c>
      <c r="S284" s="138">
        <f>IF('1.DATOS-PROD'!AB285="SI",VLOOKUP('1.DATOS-PROD'!AB$2,'1.PUNTOS'!$A$1:$B$63,2,0),0)</f>
        <v>0</v>
      </c>
      <c r="T284" s="138">
        <f>IF('1.DATOS-PROD'!AC285="SI",VLOOKUP('1.DATOS-PROD'!AC$2,'1.PUNTOS'!$A$1:$B$63,2,0),0)</f>
        <v>0</v>
      </c>
      <c r="U284" s="138">
        <f>IF('1.DATOS-PROD'!AD285="SI",VLOOKUP('1.DATOS-PROD'!AD$2,'1.PUNTOS'!$A$1:$B$63,2,0),0)</f>
        <v>0</v>
      </c>
      <c r="V284" s="138">
        <f>IF('1.DATOS-PROD'!AE285="SI",VLOOKUP('1.DATOS-PROD'!AE$2,'1.PUNTOS'!$A$1:$B$63,2,0),0)</f>
        <v>0</v>
      </c>
      <c r="W284" s="138">
        <f>IF('1.DATOS-PROD'!AF285="SI",VLOOKUP('1.DATOS-PROD'!AF$2,'1.PUNTOS'!$A$1:$B$63,2,0),0)</f>
        <v>0</v>
      </c>
      <c r="X284" s="138">
        <f>IF('1.DATOS-PROD'!AG285="SI",VLOOKUP('1.DATOS-PROD'!AG$2,'1.PUNTOS'!$A$1:$B$63,2,0),0)</f>
        <v>0</v>
      </c>
      <c r="Y284" s="138">
        <f>IF('1.DATOS-PROD'!AH285="SI",VLOOKUP('1.DATOS-PROD'!AH$2,'1.PUNTOS'!$A$1:$B$63,2,0),0)</f>
        <v>0</v>
      </c>
      <c r="Z284" s="138">
        <f>IF('1.DATOS-PROD'!AI285="SI",VLOOKUP('1.DATOS-PROD'!AI$2,'1.PUNTOS'!$A$1:$B$63,2,0),0)</f>
        <v>0</v>
      </c>
      <c r="AA284" s="138">
        <f>IF('1.DATOS-PROD'!AJ285="SI",VLOOKUP('1.DATOS-PROD'!AJ$2,'1.PUNTOS'!$A$1:$B$63,2,0),0)</f>
        <v>0</v>
      </c>
      <c r="AB284" s="138">
        <f>IF('1.DATOS-PROD'!AK285="SI",VLOOKUP('1.DATOS-PROD'!AK$2,'1.PUNTOS'!$A$1:$B$63,2,0),0)</f>
        <v>0</v>
      </c>
      <c r="AC284" s="138">
        <f>IF('1.DATOS-PROD'!AL285="SI",VLOOKUP('1.DATOS-PROD'!AL$2,'1.PUNTOS'!$A$1:$B$63,2,0),0)</f>
        <v>0</v>
      </c>
      <c r="AD284" s="138">
        <f>IF('1.DATOS-PROD'!AM285="SI",VLOOKUP('1.DATOS-PROD'!AM$2,'1.PUNTOS'!$A$1:$B$63,2,0),0)</f>
        <v>0</v>
      </c>
      <c r="AE284" s="138">
        <f>IF('1.DATOS-PROD'!AN285="SI",VLOOKUP('1.DATOS-PROD'!AN$2,'1.PUNTOS'!$A$1:$B$63,2,0),0)</f>
        <v>0</v>
      </c>
      <c r="AF284" s="138">
        <f>IF('1.DATOS-PROD'!AO285="SI",VLOOKUP('1.DATOS-PROD'!AO$2,'1.PUNTOS'!$A$1:$B$63,2,0),0)</f>
        <v>0</v>
      </c>
      <c r="AG284" s="138">
        <f>IF('1.DATOS-PROD'!AP285="SI",VLOOKUP('1.DATOS-PROD'!AP$2,'1.PUNTOS'!$A$1:$B$63,2,0),0)</f>
        <v>0</v>
      </c>
      <c r="AH284" s="138">
        <f>IF('1.DATOS-PROD'!AQ285="SI",VLOOKUP('1.DATOS-PROD'!AQ$2,'1.PUNTOS'!$A$1:$B$63,2,0),0)</f>
        <v>0</v>
      </c>
      <c r="AI284" s="138">
        <f>IF('1.DATOS-PROD'!AR285="SI",VLOOKUP('1.DATOS-PROD'!AR$2,'1.PUNTOS'!$A$1:$B$63,2,0),0)</f>
        <v>0</v>
      </c>
      <c r="AJ284" s="138">
        <f>IF('1.DATOS-PROD'!AS285="SI",VLOOKUP('1.DATOS-PROD'!AS$2,'1.PUNTOS'!$A$1:$B$63,2,0),0)</f>
        <v>0</v>
      </c>
      <c r="AK284" s="138">
        <f>IF('1.DATOS-PROD'!AT285="SI",VLOOKUP('1.DATOS-PROD'!AT$2,'1.PUNTOS'!$A$1:$B$63,2,0),0)</f>
        <v>0</v>
      </c>
      <c r="AL284" s="138">
        <f>IF('1.DATOS-PROD'!AU285="SI",VLOOKUP('1.DATOS-PROD'!AU$2,'1.PUNTOS'!$A$1:$B$63,2,0),0)</f>
        <v>0</v>
      </c>
      <c r="AM284" s="138">
        <f>IF('1.DATOS-PROD'!AV285="SI",VLOOKUP('1.DATOS-PROD'!AV$2,'1.PUNTOS'!$A$1:$B$63,2,0),0)</f>
        <v>0</v>
      </c>
      <c r="AN284" s="138">
        <f>IF('1.DATOS-PROD'!AW285="SI",VLOOKUP('1.DATOS-PROD'!AW$2,'1.PUNTOS'!$A$1:$B$63,2,0),0)</f>
        <v>0</v>
      </c>
      <c r="AO284" s="138">
        <f>IF('1.DATOS-PROD'!AX285="SI",VLOOKUP('1.DATOS-PROD'!AX$2,'1.PUNTOS'!$A$1:$B$63,2,0),0)</f>
        <v>0</v>
      </c>
      <c r="AP284" s="138">
        <f>IF('1.DATOS-PROD'!AY285="SI",VLOOKUP('1.DATOS-PROD'!AY$2,'1.PUNTOS'!$A$1:$B$63,2,0),0)</f>
        <v>0</v>
      </c>
      <c r="AQ284" s="138">
        <f>IF('1.DATOS-PROD'!AZ285="SI",VLOOKUP('1.DATOS-PROD'!AZ$2,'1.PUNTOS'!$A$1:$B$63,2,0),0)</f>
        <v>0</v>
      </c>
      <c r="AR284" s="138">
        <f>IF('1.DATOS-PROD'!BA285="SI",VLOOKUP('1.DATOS-PROD'!BA$2,'1.PUNTOS'!$A$1:$B$63,2,0),0)</f>
        <v>0</v>
      </c>
      <c r="AS284" s="138">
        <f>IF('1.DATOS-PROD'!BB285="SI",VLOOKUP('1.DATOS-PROD'!BB$2,'1.PUNTOS'!$A$1:$B$63,2,0),0)</f>
        <v>0</v>
      </c>
      <c r="AT284" s="138">
        <f>IF('1.DATOS-PROD'!BC285="SI",VLOOKUP('1.DATOS-PROD'!BC$2,'1.PUNTOS'!$A$1:$B$63,2,0),0)</f>
        <v>0</v>
      </c>
      <c r="AU284" s="138">
        <f>IF('1.DATOS-PROD'!BD285="SI",VLOOKUP('1.DATOS-PROD'!BD$2,'1.PUNTOS'!$A$1:$B$63,2,0),0)</f>
        <v>0</v>
      </c>
      <c r="AV284" s="138">
        <f>IF('1.DATOS-PROD'!BE285="SI",VLOOKUP('1.DATOS-PROD'!BE$2,'1.PUNTOS'!$A$1:$B$63,2,0),0)</f>
        <v>0</v>
      </c>
      <c r="AW284" s="138">
        <f>IF('1.DATOS-PROD'!BF285="SI",VLOOKUP('1.DATOS-PROD'!BF$2,'1.PUNTOS'!$A$1:$B$63,2,0),0)</f>
        <v>0</v>
      </c>
      <c r="AX284" s="138">
        <f>IF('1.DATOS-PROD'!BG285="SI",VLOOKUP('1.DATOS-PROD'!BG$2,'1.PUNTOS'!$A$1:$B$63,2,0),0)</f>
        <v>0</v>
      </c>
      <c r="AY284" s="138">
        <f>IF('1.DATOS-PROD'!BH285="SI",VLOOKUP('1.DATOS-PROD'!BH$2,'1.PUNTOS'!$A$1:$B$63,2,0),0)</f>
        <v>0</v>
      </c>
      <c r="AZ284" s="138">
        <f>IF('1.DATOS-PROD'!BI285="SI",VLOOKUP('1.DATOS-PROD'!BI$2,'1.PUNTOS'!$A$1:$B$63,2,0),0)</f>
        <v>0</v>
      </c>
      <c r="BA284" s="138">
        <f>IF('1.DATOS-PROD'!BJ285="SI",VLOOKUP('1.DATOS-PROD'!BJ$2,'1.PUNTOS'!$A$1:$B$63,2,0),0)</f>
        <v>0</v>
      </c>
      <c r="BB284" s="138">
        <f>IF('1.DATOS-PROD'!BK285="SI",VLOOKUP('1.DATOS-PROD'!BK$2,'1.PUNTOS'!$A$1:$B$63,2,0),0)</f>
        <v>0</v>
      </c>
      <c r="BC284" s="138">
        <f>IF('1.DATOS-PROD'!BL285="SI",VLOOKUP('1.DATOS-PROD'!BL$2,'1.PUNTOS'!$A$1:$B$63,2,0),0)</f>
        <v>0</v>
      </c>
      <c r="BD284" s="138">
        <f>IF('1.DATOS-PROD'!BM285="SI",VLOOKUP('1.DATOS-PROD'!BM$2,'1.PUNTOS'!$A$1:$B$63,2,0),0)</f>
        <v>0</v>
      </c>
      <c r="BE284" s="138">
        <f>IF('1.DATOS-PROD'!BN285="SI",VLOOKUP('1.DATOS-PROD'!BN$2,'1.PUNTOS'!$A$1:$B$63,2,0),0)</f>
        <v>0</v>
      </c>
      <c r="BF284" s="138">
        <f>IF('1.DATOS-PROD'!BO285="SI",VLOOKUP('1.DATOS-PROD'!BO$2,'1.PUNTOS'!$A$1:$B$63,2,0),0)</f>
        <v>0</v>
      </c>
      <c r="BG284" s="138">
        <f>IF('1.DATOS-PROD'!BP285="SI",VLOOKUP('1.DATOS-PROD'!BP$2,'1.PUNTOS'!$A$1:$B$63,2,0),0)</f>
        <v>0</v>
      </c>
      <c r="BH284" s="138">
        <f>IF('1.DATOS-PROD'!BQ285="SI",VLOOKUP('1.DATOS-PROD'!BQ$2,'1.PUNTOS'!$A$1:$B$63,2,0),0)</f>
        <v>0</v>
      </c>
      <c r="BI284" s="138">
        <f>IF('1.DATOS-PROD'!BR285="SI",VLOOKUP('1.DATOS-PROD'!BR$2,'1.PUNTOS'!$A$1:$B$63,2,0),0)</f>
        <v>0</v>
      </c>
      <c r="BJ284" s="138">
        <f>IF('1.DATOS-PROD'!BS285="SI",VLOOKUP('1.DATOS-PROD'!BS$2,'1.PUNTOS'!$A$1:$B$63,2,0),0)</f>
        <v>0</v>
      </c>
      <c r="BK284" s="138">
        <f>IF('1.DATOS-PROD'!BT285="SI",VLOOKUP('1.DATOS-PROD'!BT$2,'1.PUNTOS'!$A$1:$B$63,2,0),0)</f>
        <v>0</v>
      </c>
    </row>
    <row r="285" spans="1:63" x14ac:dyDescent="0.25">
      <c r="A285">
        <f>'0.Consolidado general'!$A286</f>
        <v>0</v>
      </c>
      <c r="B285" s="138">
        <f>IF('1.DATOS-PROD'!K286="SI",VLOOKUP('1.DATOS-PROD'!K$2,'1.PUNTOS'!$A$1:$B$63,2,0),0)</f>
        <v>0</v>
      </c>
      <c r="C285" s="138">
        <f>IF('1.DATOS-PROD'!L286="SI",VLOOKUP('1.DATOS-PROD'!L$2,'1.PUNTOS'!$A$1:$B$63,2,0),0)</f>
        <v>0</v>
      </c>
      <c r="D285" s="138">
        <f>IF('1.DATOS-PROD'!M286="SI",VLOOKUP('1.DATOS-PROD'!M$2,'1.PUNTOS'!$A$1:$B$63,2,0),0)</f>
        <v>0</v>
      </c>
      <c r="E285" s="138">
        <f>IF('1.DATOS-PROD'!N286="SI",VLOOKUP('1.DATOS-PROD'!N$2,'1.PUNTOS'!$A$1:$B$63,2,0),0)</f>
        <v>0</v>
      </c>
      <c r="F285" s="138">
        <f>IF('1.DATOS-PROD'!O286="SI",VLOOKUP('1.DATOS-PROD'!O$2,'1.PUNTOS'!$A$1:$B$63,2,0),0)</f>
        <v>0</v>
      </c>
      <c r="G285" s="138">
        <f>IF('1.DATOS-PROD'!P286="SI",VLOOKUP('1.DATOS-PROD'!P$2,'1.PUNTOS'!$A$1:$B$63,2,0),0)</f>
        <v>0</v>
      </c>
      <c r="H285" s="138">
        <f>IF('1.DATOS-PROD'!Q286="SI",VLOOKUP('1.DATOS-PROD'!Q$2,'1.PUNTOS'!$A$1:$B$63,2,0),0)</f>
        <v>0</v>
      </c>
      <c r="I285" s="138">
        <f>IF('1.DATOS-PROD'!R286="SI",VLOOKUP('1.DATOS-PROD'!R$2,'1.PUNTOS'!$A$1:$B$63,2,0),0)</f>
        <v>0</v>
      </c>
      <c r="J285" s="138">
        <f>IF('1.DATOS-PROD'!S286="SI",VLOOKUP('1.DATOS-PROD'!S$2,'1.PUNTOS'!$A$1:$B$63,2,0),0)</f>
        <v>0</v>
      </c>
      <c r="K285" s="138">
        <f>IF('1.DATOS-PROD'!T286="SI",VLOOKUP('1.DATOS-PROD'!T$2,'1.PUNTOS'!$A$1:$B$63,2,0),0)</f>
        <v>0</v>
      </c>
      <c r="L285" s="138">
        <f>IF('1.DATOS-PROD'!U286="SI",VLOOKUP('1.DATOS-PROD'!U$2,'1.PUNTOS'!$A$1:$B$63,2,0),0)</f>
        <v>0</v>
      </c>
      <c r="M285" s="138">
        <f>IF('1.DATOS-PROD'!V286="SI",VLOOKUP('1.DATOS-PROD'!V$2,'1.PUNTOS'!$A$1:$B$63,2,0),0)</f>
        <v>0</v>
      </c>
      <c r="N285" s="138">
        <f>IF('1.DATOS-PROD'!W286="SI",VLOOKUP('1.DATOS-PROD'!W$2,'1.PUNTOS'!$A$1:$B$63,2,0),0)</f>
        <v>0</v>
      </c>
      <c r="O285" s="138">
        <f>IF('1.DATOS-PROD'!X286="SI",VLOOKUP('1.DATOS-PROD'!X$2,'1.PUNTOS'!$A$1:$B$63,2,0),0)</f>
        <v>0</v>
      </c>
      <c r="P285" s="138">
        <f>IF('1.DATOS-PROD'!Y286="SI",VLOOKUP('1.DATOS-PROD'!Y$2,'1.PUNTOS'!$A$1:$B$63,2,0),0)</f>
        <v>0</v>
      </c>
      <c r="Q285" s="138">
        <f>IF('1.DATOS-PROD'!Z286="SI",VLOOKUP('1.DATOS-PROD'!Z$2,'1.PUNTOS'!$A$1:$B$63,2,0),0)</f>
        <v>0</v>
      </c>
      <c r="R285" s="138">
        <f>IF('1.DATOS-PROD'!AA286="SI",VLOOKUP('1.DATOS-PROD'!AA$2,'1.PUNTOS'!$A$1:$B$63,2,0),0)</f>
        <v>0</v>
      </c>
      <c r="S285" s="138">
        <f>IF('1.DATOS-PROD'!AB286="SI",VLOOKUP('1.DATOS-PROD'!AB$2,'1.PUNTOS'!$A$1:$B$63,2,0),0)</f>
        <v>0</v>
      </c>
      <c r="T285" s="138">
        <f>IF('1.DATOS-PROD'!AC286="SI",VLOOKUP('1.DATOS-PROD'!AC$2,'1.PUNTOS'!$A$1:$B$63,2,0),0)</f>
        <v>0</v>
      </c>
      <c r="U285" s="138">
        <f>IF('1.DATOS-PROD'!AD286="SI",VLOOKUP('1.DATOS-PROD'!AD$2,'1.PUNTOS'!$A$1:$B$63,2,0),0)</f>
        <v>0</v>
      </c>
      <c r="V285" s="138">
        <f>IF('1.DATOS-PROD'!AE286="SI",VLOOKUP('1.DATOS-PROD'!AE$2,'1.PUNTOS'!$A$1:$B$63,2,0),0)</f>
        <v>0</v>
      </c>
      <c r="W285" s="138">
        <f>IF('1.DATOS-PROD'!AF286="SI",VLOOKUP('1.DATOS-PROD'!AF$2,'1.PUNTOS'!$A$1:$B$63,2,0),0)</f>
        <v>0</v>
      </c>
      <c r="X285" s="138">
        <f>IF('1.DATOS-PROD'!AG286="SI",VLOOKUP('1.DATOS-PROD'!AG$2,'1.PUNTOS'!$A$1:$B$63,2,0),0)</f>
        <v>0</v>
      </c>
      <c r="Y285" s="138">
        <f>IF('1.DATOS-PROD'!AH286="SI",VLOOKUP('1.DATOS-PROD'!AH$2,'1.PUNTOS'!$A$1:$B$63,2,0),0)</f>
        <v>0</v>
      </c>
      <c r="Z285" s="138">
        <f>IF('1.DATOS-PROD'!AI286="SI",VLOOKUP('1.DATOS-PROD'!AI$2,'1.PUNTOS'!$A$1:$B$63,2,0),0)</f>
        <v>0</v>
      </c>
      <c r="AA285" s="138">
        <f>IF('1.DATOS-PROD'!AJ286="SI",VLOOKUP('1.DATOS-PROD'!AJ$2,'1.PUNTOS'!$A$1:$B$63,2,0),0)</f>
        <v>0</v>
      </c>
      <c r="AB285" s="138">
        <f>IF('1.DATOS-PROD'!AK286="SI",VLOOKUP('1.DATOS-PROD'!AK$2,'1.PUNTOS'!$A$1:$B$63,2,0),0)</f>
        <v>0</v>
      </c>
      <c r="AC285" s="138">
        <f>IF('1.DATOS-PROD'!AL286="SI",VLOOKUP('1.DATOS-PROD'!AL$2,'1.PUNTOS'!$A$1:$B$63,2,0),0)</f>
        <v>0</v>
      </c>
      <c r="AD285" s="138">
        <f>IF('1.DATOS-PROD'!AM286="SI",VLOOKUP('1.DATOS-PROD'!AM$2,'1.PUNTOS'!$A$1:$B$63,2,0),0)</f>
        <v>0</v>
      </c>
      <c r="AE285" s="138">
        <f>IF('1.DATOS-PROD'!AN286="SI",VLOOKUP('1.DATOS-PROD'!AN$2,'1.PUNTOS'!$A$1:$B$63,2,0),0)</f>
        <v>0</v>
      </c>
      <c r="AF285" s="138">
        <f>IF('1.DATOS-PROD'!AO286="SI",VLOOKUP('1.DATOS-PROD'!AO$2,'1.PUNTOS'!$A$1:$B$63,2,0),0)</f>
        <v>0</v>
      </c>
      <c r="AG285" s="138">
        <f>IF('1.DATOS-PROD'!AP286="SI",VLOOKUP('1.DATOS-PROD'!AP$2,'1.PUNTOS'!$A$1:$B$63,2,0),0)</f>
        <v>0</v>
      </c>
      <c r="AH285" s="138">
        <f>IF('1.DATOS-PROD'!AQ286="SI",VLOOKUP('1.DATOS-PROD'!AQ$2,'1.PUNTOS'!$A$1:$B$63,2,0),0)</f>
        <v>0</v>
      </c>
      <c r="AI285" s="138">
        <f>IF('1.DATOS-PROD'!AR286="SI",VLOOKUP('1.DATOS-PROD'!AR$2,'1.PUNTOS'!$A$1:$B$63,2,0),0)</f>
        <v>0</v>
      </c>
      <c r="AJ285" s="138">
        <f>IF('1.DATOS-PROD'!AS286="SI",VLOOKUP('1.DATOS-PROD'!AS$2,'1.PUNTOS'!$A$1:$B$63,2,0),0)</f>
        <v>0</v>
      </c>
      <c r="AK285" s="138">
        <f>IF('1.DATOS-PROD'!AT286="SI",VLOOKUP('1.DATOS-PROD'!AT$2,'1.PUNTOS'!$A$1:$B$63,2,0),0)</f>
        <v>0</v>
      </c>
      <c r="AL285" s="138">
        <f>IF('1.DATOS-PROD'!AU286="SI",VLOOKUP('1.DATOS-PROD'!AU$2,'1.PUNTOS'!$A$1:$B$63,2,0),0)</f>
        <v>0</v>
      </c>
      <c r="AM285" s="138">
        <f>IF('1.DATOS-PROD'!AV286="SI",VLOOKUP('1.DATOS-PROD'!AV$2,'1.PUNTOS'!$A$1:$B$63,2,0),0)</f>
        <v>0</v>
      </c>
      <c r="AN285" s="138">
        <f>IF('1.DATOS-PROD'!AW286="SI",VLOOKUP('1.DATOS-PROD'!AW$2,'1.PUNTOS'!$A$1:$B$63,2,0),0)</f>
        <v>0</v>
      </c>
      <c r="AO285" s="138">
        <f>IF('1.DATOS-PROD'!AX286="SI",VLOOKUP('1.DATOS-PROD'!AX$2,'1.PUNTOS'!$A$1:$B$63,2,0),0)</f>
        <v>0</v>
      </c>
      <c r="AP285" s="138">
        <f>IF('1.DATOS-PROD'!AY286="SI",VLOOKUP('1.DATOS-PROD'!AY$2,'1.PUNTOS'!$A$1:$B$63,2,0),0)</f>
        <v>0</v>
      </c>
      <c r="AQ285" s="138">
        <f>IF('1.DATOS-PROD'!AZ286="SI",VLOOKUP('1.DATOS-PROD'!AZ$2,'1.PUNTOS'!$A$1:$B$63,2,0),0)</f>
        <v>0</v>
      </c>
      <c r="AR285" s="138">
        <f>IF('1.DATOS-PROD'!BA286="SI",VLOOKUP('1.DATOS-PROD'!BA$2,'1.PUNTOS'!$A$1:$B$63,2,0),0)</f>
        <v>0</v>
      </c>
      <c r="AS285" s="138">
        <f>IF('1.DATOS-PROD'!BB286="SI",VLOOKUP('1.DATOS-PROD'!BB$2,'1.PUNTOS'!$A$1:$B$63,2,0),0)</f>
        <v>0</v>
      </c>
      <c r="AT285" s="138">
        <f>IF('1.DATOS-PROD'!BC286="SI",VLOOKUP('1.DATOS-PROD'!BC$2,'1.PUNTOS'!$A$1:$B$63,2,0),0)</f>
        <v>0</v>
      </c>
      <c r="AU285" s="138">
        <f>IF('1.DATOS-PROD'!BD286="SI",VLOOKUP('1.DATOS-PROD'!BD$2,'1.PUNTOS'!$A$1:$B$63,2,0),0)</f>
        <v>0</v>
      </c>
      <c r="AV285" s="138">
        <f>IF('1.DATOS-PROD'!BE286="SI",VLOOKUP('1.DATOS-PROD'!BE$2,'1.PUNTOS'!$A$1:$B$63,2,0),0)</f>
        <v>0</v>
      </c>
      <c r="AW285" s="138">
        <f>IF('1.DATOS-PROD'!BF286="SI",VLOOKUP('1.DATOS-PROD'!BF$2,'1.PUNTOS'!$A$1:$B$63,2,0),0)</f>
        <v>0</v>
      </c>
      <c r="AX285" s="138">
        <f>IF('1.DATOS-PROD'!BG286="SI",VLOOKUP('1.DATOS-PROD'!BG$2,'1.PUNTOS'!$A$1:$B$63,2,0),0)</f>
        <v>0</v>
      </c>
      <c r="AY285" s="138">
        <f>IF('1.DATOS-PROD'!BH286="SI",VLOOKUP('1.DATOS-PROD'!BH$2,'1.PUNTOS'!$A$1:$B$63,2,0),0)</f>
        <v>0</v>
      </c>
      <c r="AZ285" s="138">
        <f>IF('1.DATOS-PROD'!BI286="SI",VLOOKUP('1.DATOS-PROD'!BI$2,'1.PUNTOS'!$A$1:$B$63,2,0),0)</f>
        <v>0</v>
      </c>
      <c r="BA285" s="138">
        <f>IF('1.DATOS-PROD'!BJ286="SI",VLOOKUP('1.DATOS-PROD'!BJ$2,'1.PUNTOS'!$A$1:$B$63,2,0),0)</f>
        <v>0</v>
      </c>
      <c r="BB285" s="138">
        <f>IF('1.DATOS-PROD'!BK286="SI",VLOOKUP('1.DATOS-PROD'!BK$2,'1.PUNTOS'!$A$1:$B$63,2,0),0)</f>
        <v>0</v>
      </c>
      <c r="BC285" s="138">
        <f>IF('1.DATOS-PROD'!BL286="SI",VLOOKUP('1.DATOS-PROD'!BL$2,'1.PUNTOS'!$A$1:$B$63,2,0),0)</f>
        <v>0</v>
      </c>
      <c r="BD285" s="138">
        <f>IF('1.DATOS-PROD'!BM286="SI",VLOOKUP('1.DATOS-PROD'!BM$2,'1.PUNTOS'!$A$1:$B$63,2,0),0)</f>
        <v>0</v>
      </c>
      <c r="BE285" s="138">
        <f>IF('1.DATOS-PROD'!BN286="SI",VLOOKUP('1.DATOS-PROD'!BN$2,'1.PUNTOS'!$A$1:$B$63,2,0),0)</f>
        <v>0</v>
      </c>
      <c r="BF285" s="138">
        <f>IF('1.DATOS-PROD'!BO286="SI",VLOOKUP('1.DATOS-PROD'!BO$2,'1.PUNTOS'!$A$1:$B$63,2,0),0)</f>
        <v>0</v>
      </c>
      <c r="BG285" s="138">
        <f>IF('1.DATOS-PROD'!BP286="SI",VLOOKUP('1.DATOS-PROD'!BP$2,'1.PUNTOS'!$A$1:$B$63,2,0),0)</f>
        <v>0</v>
      </c>
      <c r="BH285" s="138">
        <f>IF('1.DATOS-PROD'!BQ286="SI",VLOOKUP('1.DATOS-PROD'!BQ$2,'1.PUNTOS'!$A$1:$B$63,2,0),0)</f>
        <v>0</v>
      </c>
      <c r="BI285" s="138">
        <f>IF('1.DATOS-PROD'!BR286="SI",VLOOKUP('1.DATOS-PROD'!BR$2,'1.PUNTOS'!$A$1:$B$63,2,0),0)</f>
        <v>0</v>
      </c>
      <c r="BJ285" s="138">
        <f>IF('1.DATOS-PROD'!BS286="SI",VLOOKUP('1.DATOS-PROD'!BS$2,'1.PUNTOS'!$A$1:$B$63,2,0),0)</f>
        <v>0</v>
      </c>
      <c r="BK285" s="138">
        <f>IF('1.DATOS-PROD'!BT286="SI",VLOOKUP('1.DATOS-PROD'!BT$2,'1.PUNTOS'!$A$1:$B$63,2,0),0)</f>
        <v>0</v>
      </c>
    </row>
    <row r="286" spans="1:63" x14ac:dyDescent="0.25">
      <c r="A286">
        <f>'0.Consolidado general'!$A287</f>
        <v>0</v>
      </c>
      <c r="B286" s="138">
        <f>IF('1.DATOS-PROD'!K287="SI",VLOOKUP('1.DATOS-PROD'!K$2,'1.PUNTOS'!$A$1:$B$63,2,0),0)</f>
        <v>0</v>
      </c>
      <c r="C286" s="138">
        <f>IF('1.DATOS-PROD'!L287="SI",VLOOKUP('1.DATOS-PROD'!L$2,'1.PUNTOS'!$A$1:$B$63,2,0),0)</f>
        <v>0</v>
      </c>
      <c r="D286" s="138">
        <f>IF('1.DATOS-PROD'!M287="SI",VLOOKUP('1.DATOS-PROD'!M$2,'1.PUNTOS'!$A$1:$B$63,2,0),0)</f>
        <v>0</v>
      </c>
      <c r="E286" s="138">
        <f>IF('1.DATOS-PROD'!N287="SI",VLOOKUP('1.DATOS-PROD'!N$2,'1.PUNTOS'!$A$1:$B$63,2,0),0)</f>
        <v>0</v>
      </c>
      <c r="F286" s="138">
        <f>IF('1.DATOS-PROD'!O287="SI",VLOOKUP('1.DATOS-PROD'!O$2,'1.PUNTOS'!$A$1:$B$63,2,0),0)</f>
        <v>0</v>
      </c>
      <c r="G286" s="138">
        <f>IF('1.DATOS-PROD'!P287="SI",VLOOKUP('1.DATOS-PROD'!P$2,'1.PUNTOS'!$A$1:$B$63,2,0),0)</f>
        <v>0</v>
      </c>
      <c r="H286" s="138">
        <f>IF('1.DATOS-PROD'!Q287="SI",VLOOKUP('1.DATOS-PROD'!Q$2,'1.PUNTOS'!$A$1:$B$63,2,0),0)</f>
        <v>0</v>
      </c>
      <c r="I286" s="138">
        <f>IF('1.DATOS-PROD'!R287="SI",VLOOKUP('1.DATOS-PROD'!R$2,'1.PUNTOS'!$A$1:$B$63,2,0),0)</f>
        <v>0</v>
      </c>
      <c r="J286" s="138">
        <f>IF('1.DATOS-PROD'!S287="SI",VLOOKUP('1.DATOS-PROD'!S$2,'1.PUNTOS'!$A$1:$B$63,2,0),0)</f>
        <v>0</v>
      </c>
      <c r="K286" s="138">
        <f>IF('1.DATOS-PROD'!T287="SI",VLOOKUP('1.DATOS-PROD'!T$2,'1.PUNTOS'!$A$1:$B$63,2,0),0)</f>
        <v>0</v>
      </c>
      <c r="L286" s="138">
        <f>IF('1.DATOS-PROD'!U287="SI",VLOOKUP('1.DATOS-PROD'!U$2,'1.PUNTOS'!$A$1:$B$63,2,0),0)</f>
        <v>0</v>
      </c>
      <c r="M286" s="138">
        <f>IF('1.DATOS-PROD'!V287="SI",VLOOKUP('1.DATOS-PROD'!V$2,'1.PUNTOS'!$A$1:$B$63,2,0),0)</f>
        <v>0</v>
      </c>
      <c r="N286" s="138">
        <f>IF('1.DATOS-PROD'!W287="SI",VLOOKUP('1.DATOS-PROD'!W$2,'1.PUNTOS'!$A$1:$B$63,2,0),0)</f>
        <v>0</v>
      </c>
      <c r="O286" s="138">
        <f>IF('1.DATOS-PROD'!X287="SI",VLOOKUP('1.DATOS-PROD'!X$2,'1.PUNTOS'!$A$1:$B$63,2,0),0)</f>
        <v>0</v>
      </c>
      <c r="P286" s="138">
        <f>IF('1.DATOS-PROD'!Y287="SI",VLOOKUP('1.DATOS-PROD'!Y$2,'1.PUNTOS'!$A$1:$B$63,2,0),0)</f>
        <v>0</v>
      </c>
      <c r="Q286" s="138">
        <f>IF('1.DATOS-PROD'!Z287="SI",VLOOKUP('1.DATOS-PROD'!Z$2,'1.PUNTOS'!$A$1:$B$63,2,0),0)</f>
        <v>0</v>
      </c>
      <c r="R286" s="138">
        <f>IF('1.DATOS-PROD'!AA287="SI",VLOOKUP('1.DATOS-PROD'!AA$2,'1.PUNTOS'!$A$1:$B$63,2,0),0)</f>
        <v>0</v>
      </c>
      <c r="S286" s="138">
        <f>IF('1.DATOS-PROD'!AB287="SI",VLOOKUP('1.DATOS-PROD'!AB$2,'1.PUNTOS'!$A$1:$B$63,2,0),0)</f>
        <v>0</v>
      </c>
      <c r="T286" s="138">
        <f>IF('1.DATOS-PROD'!AC287="SI",VLOOKUP('1.DATOS-PROD'!AC$2,'1.PUNTOS'!$A$1:$B$63,2,0),0)</f>
        <v>0</v>
      </c>
      <c r="U286" s="138">
        <f>IF('1.DATOS-PROD'!AD287="SI",VLOOKUP('1.DATOS-PROD'!AD$2,'1.PUNTOS'!$A$1:$B$63,2,0),0)</f>
        <v>0</v>
      </c>
      <c r="V286" s="138">
        <f>IF('1.DATOS-PROD'!AE287="SI",VLOOKUP('1.DATOS-PROD'!AE$2,'1.PUNTOS'!$A$1:$B$63,2,0),0)</f>
        <v>0</v>
      </c>
      <c r="W286" s="138">
        <f>IF('1.DATOS-PROD'!AF287="SI",VLOOKUP('1.DATOS-PROD'!AF$2,'1.PUNTOS'!$A$1:$B$63,2,0),0)</f>
        <v>0</v>
      </c>
      <c r="X286" s="138">
        <f>IF('1.DATOS-PROD'!AG287="SI",VLOOKUP('1.DATOS-PROD'!AG$2,'1.PUNTOS'!$A$1:$B$63,2,0),0)</f>
        <v>0</v>
      </c>
      <c r="Y286" s="138">
        <f>IF('1.DATOS-PROD'!AH287="SI",VLOOKUP('1.DATOS-PROD'!AH$2,'1.PUNTOS'!$A$1:$B$63,2,0),0)</f>
        <v>0</v>
      </c>
      <c r="Z286" s="138">
        <f>IF('1.DATOS-PROD'!AI287="SI",VLOOKUP('1.DATOS-PROD'!AI$2,'1.PUNTOS'!$A$1:$B$63,2,0),0)</f>
        <v>0</v>
      </c>
      <c r="AA286" s="138">
        <f>IF('1.DATOS-PROD'!AJ287="SI",VLOOKUP('1.DATOS-PROD'!AJ$2,'1.PUNTOS'!$A$1:$B$63,2,0),0)</f>
        <v>0</v>
      </c>
      <c r="AB286" s="138">
        <f>IF('1.DATOS-PROD'!AK287="SI",VLOOKUP('1.DATOS-PROD'!AK$2,'1.PUNTOS'!$A$1:$B$63,2,0),0)</f>
        <v>0</v>
      </c>
      <c r="AC286" s="138">
        <f>IF('1.DATOS-PROD'!AL287="SI",VLOOKUP('1.DATOS-PROD'!AL$2,'1.PUNTOS'!$A$1:$B$63,2,0),0)</f>
        <v>0</v>
      </c>
      <c r="AD286" s="138">
        <f>IF('1.DATOS-PROD'!AM287="SI",VLOOKUP('1.DATOS-PROD'!AM$2,'1.PUNTOS'!$A$1:$B$63,2,0),0)</f>
        <v>0</v>
      </c>
      <c r="AE286" s="138">
        <f>IF('1.DATOS-PROD'!AN287="SI",VLOOKUP('1.DATOS-PROD'!AN$2,'1.PUNTOS'!$A$1:$B$63,2,0),0)</f>
        <v>0</v>
      </c>
      <c r="AF286" s="138">
        <f>IF('1.DATOS-PROD'!AO287="SI",VLOOKUP('1.DATOS-PROD'!AO$2,'1.PUNTOS'!$A$1:$B$63,2,0),0)</f>
        <v>0</v>
      </c>
      <c r="AG286" s="138">
        <f>IF('1.DATOS-PROD'!AP287="SI",VLOOKUP('1.DATOS-PROD'!AP$2,'1.PUNTOS'!$A$1:$B$63,2,0),0)</f>
        <v>0</v>
      </c>
      <c r="AH286" s="138">
        <f>IF('1.DATOS-PROD'!AQ287="SI",VLOOKUP('1.DATOS-PROD'!AQ$2,'1.PUNTOS'!$A$1:$B$63,2,0),0)</f>
        <v>0</v>
      </c>
      <c r="AI286" s="138">
        <f>IF('1.DATOS-PROD'!AR287="SI",VLOOKUP('1.DATOS-PROD'!AR$2,'1.PUNTOS'!$A$1:$B$63,2,0),0)</f>
        <v>0</v>
      </c>
      <c r="AJ286" s="138">
        <f>IF('1.DATOS-PROD'!AS287="SI",VLOOKUP('1.DATOS-PROD'!AS$2,'1.PUNTOS'!$A$1:$B$63,2,0),0)</f>
        <v>0</v>
      </c>
      <c r="AK286" s="138">
        <f>IF('1.DATOS-PROD'!AT287="SI",VLOOKUP('1.DATOS-PROD'!AT$2,'1.PUNTOS'!$A$1:$B$63,2,0),0)</f>
        <v>0</v>
      </c>
      <c r="AL286" s="138">
        <f>IF('1.DATOS-PROD'!AU287="SI",VLOOKUP('1.DATOS-PROD'!AU$2,'1.PUNTOS'!$A$1:$B$63,2,0),0)</f>
        <v>0</v>
      </c>
      <c r="AM286" s="138">
        <f>IF('1.DATOS-PROD'!AV287="SI",VLOOKUP('1.DATOS-PROD'!AV$2,'1.PUNTOS'!$A$1:$B$63,2,0),0)</f>
        <v>0</v>
      </c>
      <c r="AN286" s="138">
        <f>IF('1.DATOS-PROD'!AW287="SI",VLOOKUP('1.DATOS-PROD'!AW$2,'1.PUNTOS'!$A$1:$B$63,2,0),0)</f>
        <v>0</v>
      </c>
      <c r="AO286" s="138">
        <f>IF('1.DATOS-PROD'!AX287="SI",VLOOKUP('1.DATOS-PROD'!AX$2,'1.PUNTOS'!$A$1:$B$63,2,0),0)</f>
        <v>0</v>
      </c>
      <c r="AP286" s="138">
        <f>IF('1.DATOS-PROD'!AY287="SI",VLOOKUP('1.DATOS-PROD'!AY$2,'1.PUNTOS'!$A$1:$B$63,2,0),0)</f>
        <v>0</v>
      </c>
      <c r="AQ286" s="138">
        <f>IF('1.DATOS-PROD'!AZ287="SI",VLOOKUP('1.DATOS-PROD'!AZ$2,'1.PUNTOS'!$A$1:$B$63,2,0),0)</f>
        <v>0</v>
      </c>
      <c r="AR286" s="138">
        <f>IF('1.DATOS-PROD'!BA287="SI",VLOOKUP('1.DATOS-PROD'!BA$2,'1.PUNTOS'!$A$1:$B$63,2,0),0)</f>
        <v>0</v>
      </c>
      <c r="AS286" s="138">
        <f>IF('1.DATOS-PROD'!BB287="SI",VLOOKUP('1.DATOS-PROD'!BB$2,'1.PUNTOS'!$A$1:$B$63,2,0),0)</f>
        <v>0</v>
      </c>
      <c r="AT286" s="138">
        <f>IF('1.DATOS-PROD'!BC287="SI",VLOOKUP('1.DATOS-PROD'!BC$2,'1.PUNTOS'!$A$1:$B$63,2,0),0)</f>
        <v>0</v>
      </c>
      <c r="AU286" s="138">
        <f>IF('1.DATOS-PROD'!BD287="SI",VLOOKUP('1.DATOS-PROD'!BD$2,'1.PUNTOS'!$A$1:$B$63,2,0),0)</f>
        <v>0</v>
      </c>
      <c r="AV286" s="138">
        <f>IF('1.DATOS-PROD'!BE287="SI",VLOOKUP('1.DATOS-PROD'!BE$2,'1.PUNTOS'!$A$1:$B$63,2,0),0)</f>
        <v>0</v>
      </c>
      <c r="AW286" s="138">
        <f>IF('1.DATOS-PROD'!BF287="SI",VLOOKUP('1.DATOS-PROD'!BF$2,'1.PUNTOS'!$A$1:$B$63,2,0),0)</f>
        <v>0</v>
      </c>
      <c r="AX286" s="138">
        <f>IF('1.DATOS-PROD'!BG287="SI",VLOOKUP('1.DATOS-PROD'!BG$2,'1.PUNTOS'!$A$1:$B$63,2,0),0)</f>
        <v>0</v>
      </c>
      <c r="AY286" s="138">
        <f>IF('1.DATOS-PROD'!BH287="SI",VLOOKUP('1.DATOS-PROD'!BH$2,'1.PUNTOS'!$A$1:$B$63,2,0),0)</f>
        <v>0</v>
      </c>
      <c r="AZ286" s="138">
        <f>IF('1.DATOS-PROD'!BI287="SI",VLOOKUP('1.DATOS-PROD'!BI$2,'1.PUNTOS'!$A$1:$B$63,2,0),0)</f>
        <v>0</v>
      </c>
      <c r="BA286" s="138">
        <f>IF('1.DATOS-PROD'!BJ287="SI",VLOOKUP('1.DATOS-PROD'!BJ$2,'1.PUNTOS'!$A$1:$B$63,2,0),0)</f>
        <v>0</v>
      </c>
      <c r="BB286" s="138">
        <f>IF('1.DATOS-PROD'!BK287="SI",VLOOKUP('1.DATOS-PROD'!BK$2,'1.PUNTOS'!$A$1:$B$63,2,0),0)</f>
        <v>0</v>
      </c>
      <c r="BC286" s="138">
        <f>IF('1.DATOS-PROD'!BL287="SI",VLOOKUP('1.DATOS-PROD'!BL$2,'1.PUNTOS'!$A$1:$B$63,2,0),0)</f>
        <v>0</v>
      </c>
      <c r="BD286" s="138">
        <f>IF('1.DATOS-PROD'!BM287="SI",VLOOKUP('1.DATOS-PROD'!BM$2,'1.PUNTOS'!$A$1:$B$63,2,0),0)</f>
        <v>0</v>
      </c>
      <c r="BE286" s="138">
        <f>IF('1.DATOS-PROD'!BN287="SI",VLOOKUP('1.DATOS-PROD'!BN$2,'1.PUNTOS'!$A$1:$B$63,2,0),0)</f>
        <v>0</v>
      </c>
      <c r="BF286" s="138">
        <f>IF('1.DATOS-PROD'!BO287="SI",VLOOKUP('1.DATOS-PROD'!BO$2,'1.PUNTOS'!$A$1:$B$63,2,0),0)</f>
        <v>0</v>
      </c>
      <c r="BG286" s="138">
        <f>IF('1.DATOS-PROD'!BP287="SI",VLOOKUP('1.DATOS-PROD'!BP$2,'1.PUNTOS'!$A$1:$B$63,2,0),0)</f>
        <v>0</v>
      </c>
      <c r="BH286" s="138">
        <f>IF('1.DATOS-PROD'!BQ287="SI",VLOOKUP('1.DATOS-PROD'!BQ$2,'1.PUNTOS'!$A$1:$B$63,2,0),0)</f>
        <v>0</v>
      </c>
      <c r="BI286" s="138">
        <f>IF('1.DATOS-PROD'!BR287="SI",VLOOKUP('1.DATOS-PROD'!BR$2,'1.PUNTOS'!$A$1:$B$63,2,0),0)</f>
        <v>0</v>
      </c>
      <c r="BJ286" s="138">
        <f>IF('1.DATOS-PROD'!BS287="SI",VLOOKUP('1.DATOS-PROD'!BS$2,'1.PUNTOS'!$A$1:$B$63,2,0),0)</f>
        <v>0</v>
      </c>
      <c r="BK286" s="138">
        <f>IF('1.DATOS-PROD'!BT287="SI",VLOOKUP('1.DATOS-PROD'!BT$2,'1.PUNTOS'!$A$1:$B$63,2,0),0)</f>
        <v>0</v>
      </c>
    </row>
    <row r="287" spans="1:63" x14ac:dyDescent="0.25">
      <c r="A287">
        <f>'0.Consolidado general'!$A288</f>
        <v>0</v>
      </c>
      <c r="B287" s="138">
        <f>IF('1.DATOS-PROD'!K288="SI",VLOOKUP('1.DATOS-PROD'!K$2,'1.PUNTOS'!$A$1:$B$63,2,0),0)</f>
        <v>0</v>
      </c>
      <c r="C287" s="138">
        <f>IF('1.DATOS-PROD'!L288="SI",VLOOKUP('1.DATOS-PROD'!L$2,'1.PUNTOS'!$A$1:$B$63,2,0),0)</f>
        <v>0</v>
      </c>
      <c r="D287" s="138">
        <f>IF('1.DATOS-PROD'!M288="SI",VLOOKUP('1.DATOS-PROD'!M$2,'1.PUNTOS'!$A$1:$B$63,2,0),0)</f>
        <v>0</v>
      </c>
      <c r="E287" s="138">
        <f>IF('1.DATOS-PROD'!N288="SI",VLOOKUP('1.DATOS-PROD'!N$2,'1.PUNTOS'!$A$1:$B$63,2,0),0)</f>
        <v>0</v>
      </c>
      <c r="F287" s="138">
        <f>IF('1.DATOS-PROD'!O288="SI",VLOOKUP('1.DATOS-PROD'!O$2,'1.PUNTOS'!$A$1:$B$63,2,0),0)</f>
        <v>0</v>
      </c>
      <c r="G287" s="138">
        <f>IF('1.DATOS-PROD'!P288="SI",VLOOKUP('1.DATOS-PROD'!P$2,'1.PUNTOS'!$A$1:$B$63,2,0),0)</f>
        <v>0</v>
      </c>
      <c r="H287" s="138">
        <f>IF('1.DATOS-PROD'!Q288="SI",VLOOKUP('1.DATOS-PROD'!Q$2,'1.PUNTOS'!$A$1:$B$63,2,0),0)</f>
        <v>0</v>
      </c>
      <c r="I287" s="138">
        <f>IF('1.DATOS-PROD'!R288="SI",VLOOKUP('1.DATOS-PROD'!R$2,'1.PUNTOS'!$A$1:$B$63,2,0),0)</f>
        <v>0</v>
      </c>
      <c r="J287" s="138">
        <f>IF('1.DATOS-PROD'!S288="SI",VLOOKUP('1.DATOS-PROD'!S$2,'1.PUNTOS'!$A$1:$B$63,2,0),0)</f>
        <v>0</v>
      </c>
      <c r="K287" s="138">
        <f>IF('1.DATOS-PROD'!T288="SI",VLOOKUP('1.DATOS-PROD'!T$2,'1.PUNTOS'!$A$1:$B$63,2,0),0)</f>
        <v>0</v>
      </c>
      <c r="L287" s="138">
        <f>IF('1.DATOS-PROD'!U288="SI",VLOOKUP('1.DATOS-PROD'!U$2,'1.PUNTOS'!$A$1:$B$63,2,0),0)</f>
        <v>0</v>
      </c>
      <c r="M287" s="138">
        <f>IF('1.DATOS-PROD'!V288="SI",VLOOKUP('1.DATOS-PROD'!V$2,'1.PUNTOS'!$A$1:$B$63,2,0),0)</f>
        <v>0</v>
      </c>
      <c r="N287" s="138">
        <f>IF('1.DATOS-PROD'!W288="SI",VLOOKUP('1.DATOS-PROD'!W$2,'1.PUNTOS'!$A$1:$B$63,2,0),0)</f>
        <v>0</v>
      </c>
      <c r="O287" s="138">
        <f>IF('1.DATOS-PROD'!X288="SI",VLOOKUP('1.DATOS-PROD'!X$2,'1.PUNTOS'!$A$1:$B$63,2,0),0)</f>
        <v>0</v>
      </c>
      <c r="P287" s="138">
        <f>IF('1.DATOS-PROD'!Y288="SI",VLOOKUP('1.DATOS-PROD'!Y$2,'1.PUNTOS'!$A$1:$B$63,2,0),0)</f>
        <v>0</v>
      </c>
      <c r="Q287" s="138">
        <f>IF('1.DATOS-PROD'!Z288="SI",VLOOKUP('1.DATOS-PROD'!Z$2,'1.PUNTOS'!$A$1:$B$63,2,0),0)</f>
        <v>0</v>
      </c>
      <c r="R287" s="138">
        <f>IF('1.DATOS-PROD'!AA288="SI",VLOOKUP('1.DATOS-PROD'!AA$2,'1.PUNTOS'!$A$1:$B$63,2,0),0)</f>
        <v>0</v>
      </c>
      <c r="S287" s="138">
        <f>IF('1.DATOS-PROD'!AB288="SI",VLOOKUP('1.DATOS-PROD'!AB$2,'1.PUNTOS'!$A$1:$B$63,2,0),0)</f>
        <v>0</v>
      </c>
      <c r="T287" s="138">
        <f>IF('1.DATOS-PROD'!AC288="SI",VLOOKUP('1.DATOS-PROD'!AC$2,'1.PUNTOS'!$A$1:$B$63,2,0),0)</f>
        <v>0</v>
      </c>
      <c r="U287" s="138">
        <f>IF('1.DATOS-PROD'!AD288="SI",VLOOKUP('1.DATOS-PROD'!AD$2,'1.PUNTOS'!$A$1:$B$63,2,0),0)</f>
        <v>0</v>
      </c>
      <c r="V287" s="138">
        <f>IF('1.DATOS-PROD'!AE288="SI",VLOOKUP('1.DATOS-PROD'!AE$2,'1.PUNTOS'!$A$1:$B$63,2,0),0)</f>
        <v>0</v>
      </c>
      <c r="W287" s="138">
        <f>IF('1.DATOS-PROD'!AF288="SI",VLOOKUP('1.DATOS-PROD'!AF$2,'1.PUNTOS'!$A$1:$B$63,2,0),0)</f>
        <v>0</v>
      </c>
      <c r="X287" s="138">
        <f>IF('1.DATOS-PROD'!AG288="SI",VLOOKUP('1.DATOS-PROD'!AG$2,'1.PUNTOS'!$A$1:$B$63,2,0),0)</f>
        <v>0</v>
      </c>
      <c r="Y287" s="138">
        <f>IF('1.DATOS-PROD'!AH288="SI",VLOOKUP('1.DATOS-PROD'!AH$2,'1.PUNTOS'!$A$1:$B$63,2,0),0)</f>
        <v>0</v>
      </c>
      <c r="Z287" s="138">
        <f>IF('1.DATOS-PROD'!AI288="SI",VLOOKUP('1.DATOS-PROD'!AI$2,'1.PUNTOS'!$A$1:$B$63,2,0),0)</f>
        <v>0</v>
      </c>
      <c r="AA287" s="138">
        <f>IF('1.DATOS-PROD'!AJ288="SI",VLOOKUP('1.DATOS-PROD'!AJ$2,'1.PUNTOS'!$A$1:$B$63,2,0),0)</f>
        <v>0</v>
      </c>
      <c r="AB287" s="138">
        <f>IF('1.DATOS-PROD'!AK288="SI",VLOOKUP('1.DATOS-PROD'!AK$2,'1.PUNTOS'!$A$1:$B$63,2,0),0)</f>
        <v>0</v>
      </c>
      <c r="AC287" s="138">
        <f>IF('1.DATOS-PROD'!AL288="SI",VLOOKUP('1.DATOS-PROD'!AL$2,'1.PUNTOS'!$A$1:$B$63,2,0),0)</f>
        <v>0</v>
      </c>
      <c r="AD287" s="138">
        <f>IF('1.DATOS-PROD'!AM288="SI",VLOOKUP('1.DATOS-PROD'!AM$2,'1.PUNTOS'!$A$1:$B$63,2,0),0)</f>
        <v>0</v>
      </c>
      <c r="AE287" s="138">
        <f>IF('1.DATOS-PROD'!AN288="SI",VLOOKUP('1.DATOS-PROD'!AN$2,'1.PUNTOS'!$A$1:$B$63,2,0),0)</f>
        <v>0</v>
      </c>
      <c r="AF287" s="138">
        <f>IF('1.DATOS-PROD'!AO288="SI",VLOOKUP('1.DATOS-PROD'!AO$2,'1.PUNTOS'!$A$1:$B$63,2,0),0)</f>
        <v>0</v>
      </c>
      <c r="AG287" s="138">
        <f>IF('1.DATOS-PROD'!AP288="SI",VLOOKUP('1.DATOS-PROD'!AP$2,'1.PUNTOS'!$A$1:$B$63,2,0),0)</f>
        <v>0</v>
      </c>
      <c r="AH287" s="138">
        <f>IF('1.DATOS-PROD'!AQ288="SI",VLOOKUP('1.DATOS-PROD'!AQ$2,'1.PUNTOS'!$A$1:$B$63,2,0),0)</f>
        <v>0</v>
      </c>
      <c r="AI287" s="138">
        <f>IF('1.DATOS-PROD'!AR288="SI",VLOOKUP('1.DATOS-PROD'!AR$2,'1.PUNTOS'!$A$1:$B$63,2,0),0)</f>
        <v>0</v>
      </c>
      <c r="AJ287" s="138">
        <f>IF('1.DATOS-PROD'!AS288="SI",VLOOKUP('1.DATOS-PROD'!AS$2,'1.PUNTOS'!$A$1:$B$63,2,0),0)</f>
        <v>0</v>
      </c>
      <c r="AK287" s="138">
        <f>IF('1.DATOS-PROD'!AT288="SI",VLOOKUP('1.DATOS-PROD'!AT$2,'1.PUNTOS'!$A$1:$B$63,2,0),0)</f>
        <v>0</v>
      </c>
      <c r="AL287" s="138">
        <f>IF('1.DATOS-PROD'!AU288="SI",VLOOKUP('1.DATOS-PROD'!AU$2,'1.PUNTOS'!$A$1:$B$63,2,0),0)</f>
        <v>0</v>
      </c>
      <c r="AM287" s="138">
        <f>IF('1.DATOS-PROD'!AV288="SI",VLOOKUP('1.DATOS-PROD'!AV$2,'1.PUNTOS'!$A$1:$B$63,2,0),0)</f>
        <v>0</v>
      </c>
      <c r="AN287" s="138">
        <f>IF('1.DATOS-PROD'!AW288="SI",VLOOKUP('1.DATOS-PROD'!AW$2,'1.PUNTOS'!$A$1:$B$63,2,0),0)</f>
        <v>0</v>
      </c>
      <c r="AO287" s="138">
        <f>IF('1.DATOS-PROD'!AX288="SI",VLOOKUP('1.DATOS-PROD'!AX$2,'1.PUNTOS'!$A$1:$B$63,2,0),0)</f>
        <v>0</v>
      </c>
      <c r="AP287" s="138">
        <f>IF('1.DATOS-PROD'!AY288="SI",VLOOKUP('1.DATOS-PROD'!AY$2,'1.PUNTOS'!$A$1:$B$63,2,0),0)</f>
        <v>0</v>
      </c>
      <c r="AQ287" s="138">
        <f>IF('1.DATOS-PROD'!AZ288="SI",VLOOKUP('1.DATOS-PROD'!AZ$2,'1.PUNTOS'!$A$1:$B$63,2,0),0)</f>
        <v>0</v>
      </c>
      <c r="AR287" s="138">
        <f>IF('1.DATOS-PROD'!BA288="SI",VLOOKUP('1.DATOS-PROD'!BA$2,'1.PUNTOS'!$A$1:$B$63,2,0),0)</f>
        <v>0</v>
      </c>
      <c r="AS287" s="138">
        <f>IF('1.DATOS-PROD'!BB288="SI",VLOOKUP('1.DATOS-PROD'!BB$2,'1.PUNTOS'!$A$1:$B$63,2,0),0)</f>
        <v>0</v>
      </c>
      <c r="AT287" s="138">
        <f>IF('1.DATOS-PROD'!BC288="SI",VLOOKUP('1.DATOS-PROD'!BC$2,'1.PUNTOS'!$A$1:$B$63,2,0),0)</f>
        <v>0</v>
      </c>
      <c r="AU287" s="138">
        <f>IF('1.DATOS-PROD'!BD288="SI",VLOOKUP('1.DATOS-PROD'!BD$2,'1.PUNTOS'!$A$1:$B$63,2,0),0)</f>
        <v>0</v>
      </c>
      <c r="AV287" s="138">
        <f>IF('1.DATOS-PROD'!BE288="SI",VLOOKUP('1.DATOS-PROD'!BE$2,'1.PUNTOS'!$A$1:$B$63,2,0),0)</f>
        <v>0</v>
      </c>
      <c r="AW287" s="138">
        <f>IF('1.DATOS-PROD'!BF288="SI",VLOOKUP('1.DATOS-PROD'!BF$2,'1.PUNTOS'!$A$1:$B$63,2,0),0)</f>
        <v>0</v>
      </c>
      <c r="AX287" s="138">
        <f>IF('1.DATOS-PROD'!BG288="SI",VLOOKUP('1.DATOS-PROD'!BG$2,'1.PUNTOS'!$A$1:$B$63,2,0),0)</f>
        <v>0</v>
      </c>
      <c r="AY287" s="138">
        <f>IF('1.DATOS-PROD'!BH288="SI",VLOOKUP('1.DATOS-PROD'!BH$2,'1.PUNTOS'!$A$1:$B$63,2,0),0)</f>
        <v>0</v>
      </c>
      <c r="AZ287" s="138">
        <f>IF('1.DATOS-PROD'!BI288="SI",VLOOKUP('1.DATOS-PROD'!BI$2,'1.PUNTOS'!$A$1:$B$63,2,0),0)</f>
        <v>0</v>
      </c>
      <c r="BA287" s="138">
        <f>IF('1.DATOS-PROD'!BJ288="SI",VLOOKUP('1.DATOS-PROD'!BJ$2,'1.PUNTOS'!$A$1:$B$63,2,0),0)</f>
        <v>0</v>
      </c>
      <c r="BB287" s="138">
        <f>IF('1.DATOS-PROD'!BK288="SI",VLOOKUP('1.DATOS-PROD'!BK$2,'1.PUNTOS'!$A$1:$B$63,2,0),0)</f>
        <v>0</v>
      </c>
      <c r="BC287" s="138">
        <f>IF('1.DATOS-PROD'!BL288="SI",VLOOKUP('1.DATOS-PROD'!BL$2,'1.PUNTOS'!$A$1:$B$63,2,0),0)</f>
        <v>0</v>
      </c>
      <c r="BD287" s="138">
        <f>IF('1.DATOS-PROD'!BM288="SI",VLOOKUP('1.DATOS-PROD'!BM$2,'1.PUNTOS'!$A$1:$B$63,2,0),0)</f>
        <v>0</v>
      </c>
      <c r="BE287" s="138">
        <f>IF('1.DATOS-PROD'!BN288="SI",VLOOKUP('1.DATOS-PROD'!BN$2,'1.PUNTOS'!$A$1:$B$63,2,0),0)</f>
        <v>0</v>
      </c>
      <c r="BF287" s="138">
        <f>IF('1.DATOS-PROD'!BO288="SI",VLOOKUP('1.DATOS-PROD'!BO$2,'1.PUNTOS'!$A$1:$B$63,2,0),0)</f>
        <v>0</v>
      </c>
      <c r="BG287" s="138">
        <f>IF('1.DATOS-PROD'!BP288="SI",VLOOKUP('1.DATOS-PROD'!BP$2,'1.PUNTOS'!$A$1:$B$63,2,0),0)</f>
        <v>0</v>
      </c>
      <c r="BH287" s="138">
        <f>IF('1.DATOS-PROD'!BQ288="SI",VLOOKUP('1.DATOS-PROD'!BQ$2,'1.PUNTOS'!$A$1:$B$63,2,0),0)</f>
        <v>0</v>
      </c>
      <c r="BI287" s="138">
        <f>IF('1.DATOS-PROD'!BR288="SI",VLOOKUP('1.DATOS-PROD'!BR$2,'1.PUNTOS'!$A$1:$B$63,2,0),0)</f>
        <v>0</v>
      </c>
      <c r="BJ287" s="138">
        <f>IF('1.DATOS-PROD'!BS288="SI",VLOOKUP('1.DATOS-PROD'!BS$2,'1.PUNTOS'!$A$1:$B$63,2,0),0)</f>
        <v>0</v>
      </c>
      <c r="BK287" s="138">
        <f>IF('1.DATOS-PROD'!BT288="SI",VLOOKUP('1.DATOS-PROD'!BT$2,'1.PUNTOS'!$A$1:$B$63,2,0),0)</f>
        <v>0</v>
      </c>
    </row>
    <row r="288" spans="1:63" x14ac:dyDescent="0.25">
      <c r="A288">
        <f>'0.Consolidado general'!$A289</f>
        <v>0</v>
      </c>
      <c r="B288" s="138">
        <f>IF('1.DATOS-PROD'!K289="SI",VLOOKUP('1.DATOS-PROD'!K$2,'1.PUNTOS'!$A$1:$B$63,2,0),0)</f>
        <v>0</v>
      </c>
      <c r="C288" s="138">
        <f>IF('1.DATOS-PROD'!L289="SI",VLOOKUP('1.DATOS-PROD'!L$2,'1.PUNTOS'!$A$1:$B$63,2,0),0)</f>
        <v>0</v>
      </c>
      <c r="D288" s="138">
        <f>IF('1.DATOS-PROD'!M289="SI",VLOOKUP('1.DATOS-PROD'!M$2,'1.PUNTOS'!$A$1:$B$63,2,0),0)</f>
        <v>0</v>
      </c>
      <c r="E288" s="138">
        <f>IF('1.DATOS-PROD'!N289="SI",VLOOKUP('1.DATOS-PROD'!N$2,'1.PUNTOS'!$A$1:$B$63,2,0),0)</f>
        <v>0</v>
      </c>
      <c r="F288" s="138">
        <f>IF('1.DATOS-PROD'!O289="SI",VLOOKUP('1.DATOS-PROD'!O$2,'1.PUNTOS'!$A$1:$B$63,2,0),0)</f>
        <v>0</v>
      </c>
      <c r="G288" s="138">
        <f>IF('1.DATOS-PROD'!P289="SI",VLOOKUP('1.DATOS-PROD'!P$2,'1.PUNTOS'!$A$1:$B$63,2,0),0)</f>
        <v>0</v>
      </c>
      <c r="H288" s="138">
        <f>IF('1.DATOS-PROD'!Q289="SI",VLOOKUP('1.DATOS-PROD'!Q$2,'1.PUNTOS'!$A$1:$B$63,2,0),0)</f>
        <v>0</v>
      </c>
      <c r="I288" s="138">
        <f>IF('1.DATOS-PROD'!R289="SI",VLOOKUP('1.DATOS-PROD'!R$2,'1.PUNTOS'!$A$1:$B$63,2,0),0)</f>
        <v>0</v>
      </c>
      <c r="J288" s="138">
        <f>IF('1.DATOS-PROD'!S289="SI",VLOOKUP('1.DATOS-PROD'!S$2,'1.PUNTOS'!$A$1:$B$63,2,0),0)</f>
        <v>0</v>
      </c>
      <c r="K288" s="138">
        <f>IF('1.DATOS-PROD'!T289="SI",VLOOKUP('1.DATOS-PROD'!T$2,'1.PUNTOS'!$A$1:$B$63,2,0),0)</f>
        <v>0</v>
      </c>
      <c r="L288" s="138">
        <f>IF('1.DATOS-PROD'!U289="SI",VLOOKUP('1.DATOS-PROD'!U$2,'1.PUNTOS'!$A$1:$B$63,2,0),0)</f>
        <v>0</v>
      </c>
      <c r="M288" s="138">
        <f>IF('1.DATOS-PROD'!V289="SI",VLOOKUP('1.DATOS-PROD'!V$2,'1.PUNTOS'!$A$1:$B$63,2,0),0)</f>
        <v>0</v>
      </c>
      <c r="N288" s="138">
        <f>IF('1.DATOS-PROD'!W289="SI",VLOOKUP('1.DATOS-PROD'!W$2,'1.PUNTOS'!$A$1:$B$63,2,0),0)</f>
        <v>0</v>
      </c>
      <c r="O288" s="138">
        <f>IF('1.DATOS-PROD'!X289="SI",VLOOKUP('1.DATOS-PROD'!X$2,'1.PUNTOS'!$A$1:$B$63,2,0),0)</f>
        <v>0</v>
      </c>
      <c r="P288" s="138">
        <f>IF('1.DATOS-PROD'!Y289="SI",VLOOKUP('1.DATOS-PROD'!Y$2,'1.PUNTOS'!$A$1:$B$63,2,0),0)</f>
        <v>0</v>
      </c>
      <c r="Q288" s="138">
        <f>IF('1.DATOS-PROD'!Z289="SI",VLOOKUP('1.DATOS-PROD'!Z$2,'1.PUNTOS'!$A$1:$B$63,2,0),0)</f>
        <v>0</v>
      </c>
      <c r="R288" s="138">
        <f>IF('1.DATOS-PROD'!AA289="SI",VLOOKUP('1.DATOS-PROD'!AA$2,'1.PUNTOS'!$A$1:$B$63,2,0),0)</f>
        <v>0</v>
      </c>
      <c r="S288" s="138">
        <f>IF('1.DATOS-PROD'!AB289="SI",VLOOKUP('1.DATOS-PROD'!AB$2,'1.PUNTOS'!$A$1:$B$63,2,0),0)</f>
        <v>0</v>
      </c>
      <c r="T288" s="138">
        <f>IF('1.DATOS-PROD'!AC289="SI",VLOOKUP('1.DATOS-PROD'!AC$2,'1.PUNTOS'!$A$1:$B$63,2,0),0)</f>
        <v>0</v>
      </c>
      <c r="U288" s="138">
        <f>IF('1.DATOS-PROD'!AD289="SI",VLOOKUP('1.DATOS-PROD'!AD$2,'1.PUNTOS'!$A$1:$B$63,2,0),0)</f>
        <v>0</v>
      </c>
      <c r="V288" s="138">
        <f>IF('1.DATOS-PROD'!AE289="SI",VLOOKUP('1.DATOS-PROD'!AE$2,'1.PUNTOS'!$A$1:$B$63,2,0),0)</f>
        <v>0</v>
      </c>
      <c r="W288" s="138">
        <f>IF('1.DATOS-PROD'!AF289="SI",VLOOKUP('1.DATOS-PROD'!AF$2,'1.PUNTOS'!$A$1:$B$63,2,0),0)</f>
        <v>0</v>
      </c>
      <c r="X288" s="138">
        <f>IF('1.DATOS-PROD'!AG289="SI",VLOOKUP('1.DATOS-PROD'!AG$2,'1.PUNTOS'!$A$1:$B$63,2,0),0)</f>
        <v>0</v>
      </c>
      <c r="Y288" s="138">
        <f>IF('1.DATOS-PROD'!AH289="SI",VLOOKUP('1.DATOS-PROD'!AH$2,'1.PUNTOS'!$A$1:$B$63,2,0),0)</f>
        <v>0</v>
      </c>
      <c r="Z288" s="138">
        <f>IF('1.DATOS-PROD'!AI289="SI",VLOOKUP('1.DATOS-PROD'!AI$2,'1.PUNTOS'!$A$1:$B$63,2,0),0)</f>
        <v>0</v>
      </c>
      <c r="AA288" s="138">
        <f>IF('1.DATOS-PROD'!AJ289="SI",VLOOKUP('1.DATOS-PROD'!AJ$2,'1.PUNTOS'!$A$1:$B$63,2,0),0)</f>
        <v>0</v>
      </c>
      <c r="AB288" s="138">
        <f>IF('1.DATOS-PROD'!AK289="SI",VLOOKUP('1.DATOS-PROD'!AK$2,'1.PUNTOS'!$A$1:$B$63,2,0),0)</f>
        <v>0</v>
      </c>
      <c r="AC288" s="138">
        <f>IF('1.DATOS-PROD'!AL289="SI",VLOOKUP('1.DATOS-PROD'!AL$2,'1.PUNTOS'!$A$1:$B$63,2,0),0)</f>
        <v>0</v>
      </c>
      <c r="AD288" s="138">
        <f>IF('1.DATOS-PROD'!AM289="SI",VLOOKUP('1.DATOS-PROD'!AM$2,'1.PUNTOS'!$A$1:$B$63,2,0),0)</f>
        <v>0</v>
      </c>
      <c r="AE288" s="138">
        <f>IF('1.DATOS-PROD'!AN289="SI",VLOOKUP('1.DATOS-PROD'!AN$2,'1.PUNTOS'!$A$1:$B$63,2,0),0)</f>
        <v>0</v>
      </c>
      <c r="AF288" s="138">
        <f>IF('1.DATOS-PROD'!AO289="SI",VLOOKUP('1.DATOS-PROD'!AO$2,'1.PUNTOS'!$A$1:$B$63,2,0),0)</f>
        <v>0</v>
      </c>
      <c r="AG288" s="138">
        <f>IF('1.DATOS-PROD'!AP289="SI",VLOOKUP('1.DATOS-PROD'!AP$2,'1.PUNTOS'!$A$1:$B$63,2,0),0)</f>
        <v>0</v>
      </c>
      <c r="AH288" s="138">
        <f>IF('1.DATOS-PROD'!AQ289="SI",VLOOKUP('1.DATOS-PROD'!AQ$2,'1.PUNTOS'!$A$1:$B$63,2,0),0)</f>
        <v>0</v>
      </c>
      <c r="AI288" s="138">
        <f>IF('1.DATOS-PROD'!AR289="SI",VLOOKUP('1.DATOS-PROD'!AR$2,'1.PUNTOS'!$A$1:$B$63,2,0),0)</f>
        <v>0</v>
      </c>
      <c r="AJ288" s="138">
        <f>IF('1.DATOS-PROD'!AS289="SI",VLOOKUP('1.DATOS-PROD'!AS$2,'1.PUNTOS'!$A$1:$B$63,2,0),0)</f>
        <v>0</v>
      </c>
      <c r="AK288" s="138">
        <f>IF('1.DATOS-PROD'!AT289="SI",VLOOKUP('1.DATOS-PROD'!AT$2,'1.PUNTOS'!$A$1:$B$63,2,0),0)</f>
        <v>0</v>
      </c>
      <c r="AL288" s="138">
        <f>IF('1.DATOS-PROD'!AU289="SI",VLOOKUP('1.DATOS-PROD'!AU$2,'1.PUNTOS'!$A$1:$B$63,2,0),0)</f>
        <v>0</v>
      </c>
      <c r="AM288" s="138">
        <f>IF('1.DATOS-PROD'!AV289="SI",VLOOKUP('1.DATOS-PROD'!AV$2,'1.PUNTOS'!$A$1:$B$63,2,0),0)</f>
        <v>0</v>
      </c>
      <c r="AN288" s="138">
        <f>IF('1.DATOS-PROD'!AW289="SI",VLOOKUP('1.DATOS-PROD'!AW$2,'1.PUNTOS'!$A$1:$B$63,2,0),0)</f>
        <v>0</v>
      </c>
      <c r="AO288" s="138">
        <f>IF('1.DATOS-PROD'!AX289="SI",VLOOKUP('1.DATOS-PROD'!AX$2,'1.PUNTOS'!$A$1:$B$63,2,0),0)</f>
        <v>0</v>
      </c>
      <c r="AP288" s="138">
        <f>IF('1.DATOS-PROD'!AY289="SI",VLOOKUP('1.DATOS-PROD'!AY$2,'1.PUNTOS'!$A$1:$B$63,2,0),0)</f>
        <v>0</v>
      </c>
      <c r="AQ288" s="138">
        <f>IF('1.DATOS-PROD'!AZ289="SI",VLOOKUP('1.DATOS-PROD'!AZ$2,'1.PUNTOS'!$A$1:$B$63,2,0),0)</f>
        <v>0</v>
      </c>
      <c r="AR288" s="138">
        <f>IF('1.DATOS-PROD'!BA289="SI",VLOOKUP('1.DATOS-PROD'!BA$2,'1.PUNTOS'!$A$1:$B$63,2,0),0)</f>
        <v>0</v>
      </c>
      <c r="AS288" s="138">
        <f>IF('1.DATOS-PROD'!BB289="SI",VLOOKUP('1.DATOS-PROD'!BB$2,'1.PUNTOS'!$A$1:$B$63,2,0),0)</f>
        <v>0</v>
      </c>
      <c r="AT288" s="138">
        <f>IF('1.DATOS-PROD'!BC289="SI",VLOOKUP('1.DATOS-PROD'!BC$2,'1.PUNTOS'!$A$1:$B$63,2,0),0)</f>
        <v>0</v>
      </c>
      <c r="AU288" s="138">
        <f>IF('1.DATOS-PROD'!BD289="SI",VLOOKUP('1.DATOS-PROD'!BD$2,'1.PUNTOS'!$A$1:$B$63,2,0),0)</f>
        <v>0</v>
      </c>
      <c r="AV288" s="138">
        <f>IF('1.DATOS-PROD'!BE289="SI",VLOOKUP('1.DATOS-PROD'!BE$2,'1.PUNTOS'!$A$1:$B$63,2,0),0)</f>
        <v>0</v>
      </c>
      <c r="AW288" s="138">
        <f>IF('1.DATOS-PROD'!BF289="SI",VLOOKUP('1.DATOS-PROD'!BF$2,'1.PUNTOS'!$A$1:$B$63,2,0),0)</f>
        <v>0</v>
      </c>
      <c r="AX288" s="138">
        <f>IF('1.DATOS-PROD'!BG289="SI",VLOOKUP('1.DATOS-PROD'!BG$2,'1.PUNTOS'!$A$1:$B$63,2,0),0)</f>
        <v>0</v>
      </c>
      <c r="AY288" s="138">
        <f>IF('1.DATOS-PROD'!BH289="SI",VLOOKUP('1.DATOS-PROD'!BH$2,'1.PUNTOS'!$A$1:$B$63,2,0),0)</f>
        <v>0</v>
      </c>
      <c r="AZ288" s="138">
        <f>IF('1.DATOS-PROD'!BI289="SI",VLOOKUP('1.DATOS-PROD'!BI$2,'1.PUNTOS'!$A$1:$B$63,2,0),0)</f>
        <v>0</v>
      </c>
      <c r="BA288" s="138">
        <f>IF('1.DATOS-PROD'!BJ289="SI",VLOOKUP('1.DATOS-PROD'!BJ$2,'1.PUNTOS'!$A$1:$B$63,2,0),0)</f>
        <v>0</v>
      </c>
      <c r="BB288" s="138">
        <f>IF('1.DATOS-PROD'!BK289="SI",VLOOKUP('1.DATOS-PROD'!BK$2,'1.PUNTOS'!$A$1:$B$63,2,0),0)</f>
        <v>0</v>
      </c>
      <c r="BC288" s="138">
        <f>IF('1.DATOS-PROD'!BL289="SI",VLOOKUP('1.DATOS-PROD'!BL$2,'1.PUNTOS'!$A$1:$B$63,2,0),0)</f>
        <v>0</v>
      </c>
      <c r="BD288" s="138">
        <f>IF('1.DATOS-PROD'!BM289="SI",VLOOKUP('1.DATOS-PROD'!BM$2,'1.PUNTOS'!$A$1:$B$63,2,0),0)</f>
        <v>0</v>
      </c>
      <c r="BE288" s="138">
        <f>IF('1.DATOS-PROD'!BN289="SI",VLOOKUP('1.DATOS-PROD'!BN$2,'1.PUNTOS'!$A$1:$B$63,2,0),0)</f>
        <v>0</v>
      </c>
      <c r="BF288" s="138">
        <f>IF('1.DATOS-PROD'!BO289="SI",VLOOKUP('1.DATOS-PROD'!BO$2,'1.PUNTOS'!$A$1:$B$63,2,0),0)</f>
        <v>0</v>
      </c>
      <c r="BG288" s="138">
        <f>IF('1.DATOS-PROD'!BP289="SI",VLOOKUP('1.DATOS-PROD'!BP$2,'1.PUNTOS'!$A$1:$B$63,2,0),0)</f>
        <v>0</v>
      </c>
      <c r="BH288" s="138">
        <f>IF('1.DATOS-PROD'!BQ289="SI",VLOOKUP('1.DATOS-PROD'!BQ$2,'1.PUNTOS'!$A$1:$B$63,2,0),0)</f>
        <v>0</v>
      </c>
      <c r="BI288" s="138">
        <f>IF('1.DATOS-PROD'!BR289="SI",VLOOKUP('1.DATOS-PROD'!BR$2,'1.PUNTOS'!$A$1:$B$63,2,0),0)</f>
        <v>0</v>
      </c>
      <c r="BJ288" s="138">
        <f>IF('1.DATOS-PROD'!BS289="SI",VLOOKUP('1.DATOS-PROD'!BS$2,'1.PUNTOS'!$A$1:$B$63,2,0),0)</f>
        <v>0</v>
      </c>
      <c r="BK288" s="138">
        <f>IF('1.DATOS-PROD'!BT289="SI",VLOOKUP('1.DATOS-PROD'!BT$2,'1.PUNTOS'!$A$1:$B$63,2,0),0)</f>
        <v>0</v>
      </c>
    </row>
    <row r="289" spans="1:63" x14ac:dyDescent="0.25">
      <c r="A289">
        <f>'0.Consolidado general'!$A290</f>
        <v>0</v>
      </c>
      <c r="B289" s="138">
        <f>IF('1.DATOS-PROD'!K290="SI",VLOOKUP('1.DATOS-PROD'!K$2,'1.PUNTOS'!$A$1:$B$63,2,0),0)</f>
        <v>0</v>
      </c>
      <c r="C289" s="138">
        <f>IF('1.DATOS-PROD'!L290="SI",VLOOKUP('1.DATOS-PROD'!L$2,'1.PUNTOS'!$A$1:$B$63,2,0),0)</f>
        <v>0</v>
      </c>
      <c r="D289" s="138">
        <f>IF('1.DATOS-PROD'!M290="SI",VLOOKUP('1.DATOS-PROD'!M$2,'1.PUNTOS'!$A$1:$B$63,2,0),0)</f>
        <v>0</v>
      </c>
      <c r="E289" s="138">
        <f>IF('1.DATOS-PROD'!N290="SI",VLOOKUP('1.DATOS-PROD'!N$2,'1.PUNTOS'!$A$1:$B$63,2,0),0)</f>
        <v>0</v>
      </c>
      <c r="F289" s="138">
        <f>IF('1.DATOS-PROD'!O290="SI",VLOOKUP('1.DATOS-PROD'!O$2,'1.PUNTOS'!$A$1:$B$63,2,0),0)</f>
        <v>0</v>
      </c>
      <c r="G289" s="138">
        <f>IF('1.DATOS-PROD'!P290="SI",VLOOKUP('1.DATOS-PROD'!P$2,'1.PUNTOS'!$A$1:$B$63,2,0),0)</f>
        <v>0</v>
      </c>
      <c r="H289" s="138">
        <f>IF('1.DATOS-PROD'!Q290="SI",VLOOKUP('1.DATOS-PROD'!Q$2,'1.PUNTOS'!$A$1:$B$63,2,0),0)</f>
        <v>0</v>
      </c>
      <c r="I289" s="138">
        <f>IF('1.DATOS-PROD'!R290="SI",VLOOKUP('1.DATOS-PROD'!R$2,'1.PUNTOS'!$A$1:$B$63,2,0),0)</f>
        <v>0</v>
      </c>
      <c r="J289" s="138">
        <f>IF('1.DATOS-PROD'!S290="SI",VLOOKUP('1.DATOS-PROD'!S$2,'1.PUNTOS'!$A$1:$B$63,2,0),0)</f>
        <v>0</v>
      </c>
      <c r="K289" s="138">
        <f>IF('1.DATOS-PROD'!T290="SI",VLOOKUP('1.DATOS-PROD'!T$2,'1.PUNTOS'!$A$1:$B$63,2,0),0)</f>
        <v>0</v>
      </c>
      <c r="L289" s="138">
        <f>IF('1.DATOS-PROD'!U290="SI",VLOOKUP('1.DATOS-PROD'!U$2,'1.PUNTOS'!$A$1:$B$63,2,0),0)</f>
        <v>0</v>
      </c>
      <c r="M289" s="138">
        <f>IF('1.DATOS-PROD'!V290="SI",VLOOKUP('1.DATOS-PROD'!V$2,'1.PUNTOS'!$A$1:$B$63,2,0),0)</f>
        <v>0</v>
      </c>
      <c r="N289" s="138">
        <f>IF('1.DATOS-PROD'!W290="SI",VLOOKUP('1.DATOS-PROD'!W$2,'1.PUNTOS'!$A$1:$B$63,2,0),0)</f>
        <v>0</v>
      </c>
      <c r="O289" s="138">
        <f>IF('1.DATOS-PROD'!X290="SI",VLOOKUP('1.DATOS-PROD'!X$2,'1.PUNTOS'!$A$1:$B$63,2,0),0)</f>
        <v>0</v>
      </c>
      <c r="P289" s="138">
        <f>IF('1.DATOS-PROD'!Y290="SI",VLOOKUP('1.DATOS-PROD'!Y$2,'1.PUNTOS'!$A$1:$B$63,2,0),0)</f>
        <v>0</v>
      </c>
      <c r="Q289" s="138">
        <f>IF('1.DATOS-PROD'!Z290="SI",VLOOKUP('1.DATOS-PROD'!Z$2,'1.PUNTOS'!$A$1:$B$63,2,0),0)</f>
        <v>0</v>
      </c>
      <c r="R289" s="138">
        <f>IF('1.DATOS-PROD'!AA290="SI",VLOOKUP('1.DATOS-PROD'!AA$2,'1.PUNTOS'!$A$1:$B$63,2,0),0)</f>
        <v>0</v>
      </c>
      <c r="S289" s="138">
        <f>IF('1.DATOS-PROD'!AB290="SI",VLOOKUP('1.DATOS-PROD'!AB$2,'1.PUNTOS'!$A$1:$B$63,2,0),0)</f>
        <v>0</v>
      </c>
      <c r="T289" s="138">
        <f>IF('1.DATOS-PROD'!AC290="SI",VLOOKUP('1.DATOS-PROD'!AC$2,'1.PUNTOS'!$A$1:$B$63,2,0),0)</f>
        <v>0</v>
      </c>
      <c r="U289" s="138">
        <f>IF('1.DATOS-PROD'!AD290="SI",VLOOKUP('1.DATOS-PROD'!AD$2,'1.PUNTOS'!$A$1:$B$63,2,0),0)</f>
        <v>0</v>
      </c>
      <c r="V289" s="138">
        <f>IF('1.DATOS-PROD'!AE290="SI",VLOOKUP('1.DATOS-PROD'!AE$2,'1.PUNTOS'!$A$1:$B$63,2,0),0)</f>
        <v>0</v>
      </c>
      <c r="W289" s="138">
        <f>IF('1.DATOS-PROD'!AF290="SI",VLOOKUP('1.DATOS-PROD'!AF$2,'1.PUNTOS'!$A$1:$B$63,2,0),0)</f>
        <v>0</v>
      </c>
      <c r="X289" s="138">
        <f>IF('1.DATOS-PROD'!AG290="SI",VLOOKUP('1.DATOS-PROD'!AG$2,'1.PUNTOS'!$A$1:$B$63,2,0),0)</f>
        <v>0</v>
      </c>
      <c r="Y289" s="138">
        <f>IF('1.DATOS-PROD'!AH290="SI",VLOOKUP('1.DATOS-PROD'!AH$2,'1.PUNTOS'!$A$1:$B$63,2,0),0)</f>
        <v>0</v>
      </c>
      <c r="Z289" s="138">
        <f>IF('1.DATOS-PROD'!AI290="SI",VLOOKUP('1.DATOS-PROD'!AI$2,'1.PUNTOS'!$A$1:$B$63,2,0),0)</f>
        <v>0</v>
      </c>
      <c r="AA289" s="138">
        <f>IF('1.DATOS-PROD'!AJ290="SI",VLOOKUP('1.DATOS-PROD'!AJ$2,'1.PUNTOS'!$A$1:$B$63,2,0),0)</f>
        <v>0</v>
      </c>
      <c r="AB289" s="138">
        <f>IF('1.DATOS-PROD'!AK290="SI",VLOOKUP('1.DATOS-PROD'!AK$2,'1.PUNTOS'!$A$1:$B$63,2,0),0)</f>
        <v>0</v>
      </c>
      <c r="AC289" s="138">
        <f>IF('1.DATOS-PROD'!AL290="SI",VLOOKUP('1.DATOS-PROD'!AL$2,'1.PUNTOS'!$A$1:$B$63,2,0),0)</f>
        <v>0</v>
      </c>
      <c r="AD289" s="138">
        <f>IF('1.DATOS-PROD'!AM290="SI",VLOOKUP('1.DATOS-PROD'!AM$2,'1.PUNTOS'!$A$1:$B$63,2,0),0)</f>
        <v>0</v>
      </c>
      <c r="AE289" s="138">
        <f>IF('1.DATOS-PROD'!AN290="SI",VLOOKUP('1.DATOS-PROD'!AN$2,'1.PUNTOS'!$A$1:$B$63,2,0),0)</f>
        <v>0</v>
      </c>
      <c r="AF289" s="138">
        <f>IF('1.DATOS-PROD'!AO290="SI",VLOOKUP('1.DATOS-PROD'!AO$2,'1.PUNTOS'!$A$1:$B$63,2,0),0)</f>
        <v>0</v>
      </c>
      <c r="AG289" s="138">
        <f>IF('1.DATOS-PROD'!AP290="SI",VLOOKUP('1.DATOS-PROD'!AP$2,'1.PUNTOS'!$A$1:$B$63,2,0),0)</f>
        <v>0</v>
      </c>
      <c r="AH289" s="138">
        <f>IF('1.DATOS-PROD'!AQ290="SI",VLOOKUP('1.DATOS-PROD'!AQ$2,'1.PUNTOS'!$A$1:$B$63,2,0),0)</f>
        <v>0</v>
      </c>
      <c r="AI289" s="138">
        <f>IF('1.DATOS-PROD'!AR290="SI",VLOOKUP('1.DATOS-PROD'!AR$2,'1.PUNTOS'!$A$1:$B$63,2,0),0)</f>
        <v>0</v>
      </c>
      <c r="AJ289" s="138">
        <f>IF('1.DATOS-PROD'!AS290="SI",VLOOKUP('1.DATOS-PROD'!AS$2,'1.PUNTOS'!$A$1:$B$63,2,0),0)</f>
        <v>0</v>
      </c>
      <c r="AK289" s="138">
        <f>IF('1.DATOS-PROD'!AT290="SI",VLOOKUP('1.DATOS-PROD'!AT$2,'1.PUNTOS'!$A$1:$B$63,2,0),0)</f>
        <v>0</v>
      </c>
      <c r="AL289" s="138">
        <f>IF('1.DATOS-PROD'!AU290="SI",VLOOKUP('1.DATOS-PROD'!AU$2,'1.PUNTOS'!$A$1:$B$63,2,0),0)</f>
        <v>0</v>
      </c>
      <c r="AM289" s="138">
        <f>IF('1.DATOS-PROD'!AV290="SI",VLOOKUP('1.DATOS-PROD'!AV$2,'1.PUNTOS'!$A$1:$B$63,2,0),0)</f>
        <v>0</v>
      </c>
      <c r="AN289" s="138">
        <f>IF('1.DATOS-PROD'!AW290="SI",VLOOKUP('1.DATOS-PROD'!AW$2,'1.PUNTOS'!$A$1:$B$63,2,0),0)</f>
        <v>0</v>
      </c>
      <c r="AO289" s="138">
        <f>IF('1.DATOS-PROD'!AX290="SI",VLOOKUP('1.DATOS-PROD'!AX$2,'1.PUNTOS'!$A$1:$B$63,2,0),0)</f>
        <v>0</v>
      </c>
      <c r="AP289" s="138">
        <f>IF('1.DATOS-PROD'!AY290="SI",VLOOKUP('1.DATOS-PROD'!AY$2,'1.PUNTOS'!$A$1:$B$63,2,0),0)</f>
        <v>0</v>
      </c>
      <c r="AQ289" s="138">
        <f>IF('1.DATOS-PROD'!AZ290="SI",VLOOKUP('1.DATOS-PROD'!AZ$2,'1.PUNTOS'!$A$1:$B$63,2,0),0)</f>
        <v>0</v>
      </c>
      <c r="AR289" s="138">
        <f>IF('1.DATOS-PROD'!BA290="SI",VLOOKUP('1.DATOS-PROD'!BA$2,'1.PUNTOS'!$A$1:$B$63,2,0),0)</f>
        <v>0</v>
      </c>
      <c r="AS289" s="138">
        <f>IF('1.DATOS-PROD'!BB290="SI",VLOOKUP('1.DATOS-PROD'!BB$2,'1.PUNTOS'!$A$1:$B$63,2,0),0)</f>
        <v>0</v>
      </c>
      <c r="AT289" s="138">
        <f>IF('1.DATOS-PROD'!BC290="SI",VLOOKUP('1.DATOS-PROD'!BC$2,'1.PUNTOS'!$A$1:$B$63,2,0),0)</f>
        <v>0</v>
      </c>
      <c r="AU289" s="138">
        <f>IF('1.DATOS-PROD'!BD290="SI",VLOOKUP('1.DATOS-PROD'!BD$2,'1.PUNTOS'!$A$1:$B$63,2,0),0)</f>
        <v>0</v>
      </c>
      <c r="AV289" s="138">
        <f>IF('1.DATOS-PROD'!BE290="SI",VLOOKUP('1.DATOS-PROD'!BE$2,'1.PUNTOS'!$A$1:$B$63,2,0),0)</f>
        <v>0</v>
      </c>
      <c r="AW289" s="138">
        <f>IF('1.DATOS-PROD'!BF290="SI",VLOOKUP('1.DATOS-PROD'!BF$2,'1.PUNTOS'!$A$1:$B$63,2,0),0)</f>
        <v>0</v>
      </c>
      <c r="AX289" s="138">
        <f>IF('1.DATOS-PROD'!BG290="SI",VLOOKUP('1.DATOS-PROD'!BG$2,'1.PUNTOS'!$A$1:$B$63,2,0),0)</f>
        <v>0</v>
      </c>
      <c r="AY289" s="138">
        <f>IF('1.DATOS-PROD'!BH290="SI",VLOOKUP('1.DATOS-PROD'!BH$2,'1.PUNTOS'!$A$1:$B$63,2,0),0)</f>
        <v>0</v>
      </c>
      <c r="AZ289" s="138">
        <f>IF('1.DATOS-PROD'!BI290="SI",VLOOKUP('1.DATOS-PROD'!BI$2,'1.PUNTOS'!$A$1:$B$63,2,0),0)</f>
        <v>0</v>
      </c>
      <c r="BA289" s="138">
        <f>IF('1.DATOS-PROD'!BJ290="SI",VLOOKUP('1.DATOS-PROD'!BJ$2,'1.PUNTOS'!$A$1:$B$63,2,0),0)</f>
        <v>0</v>
      </c>
      <c r="BB289" s="138">
        <f>IF('1.DATOS-PROD'!BK290="SI",VLOOKUP('1.DATOS-PROD'!BK$2,'1.PUNTOS'!$A$1:$B$63,2,0),0)</f>
        <v>0</v>
      </c>
      <c r="BC289" s="138">
        <f>IF('1.DATOS-PROD'!BL290="SI",VLOOKUP('1.DATOS-PROD'!BL$2,'1.PUNTOS'!$A$1:$B$63,2,0),0)</f>
        <v>0</v>
      </c>
      <c r="BD289" s="138">
        <f>IF('1.DATOS-PROD'!BM290="SI",VLOOKUP('1.DATOS-PROD'!BM$2,'1.PUNTOS'!$A$1:$B$63,2,0),0)</f>
        <v>0</v>
      </c>
      <c r="BE289" s="138">
        <f>IF('1.DATOS-PROD'!BN290="SI",VLOOKUP('1.DATOS-PROD'!BN$2,'1.PUNTOS'!$A$1:$B$63,2,0),0)</f>
        <v>0</v>
      </c>
      <c r="BF289" s="138">
        <f>IF('1.DATOS-PROD'!BO290="SI",VLOOKUP('1.DATOS-PROD'!BO$2,'1.PUNTOS'!$A$1:$B$63,2,0),0)</f>
        <v>0</v>
      </c>
      <c r="BG289" s="138">
        <f>IF('1.DATOS-PROD'!BP290="SI",VLOOKUP('1.DATOS-PROD'!BP$2,'1.PUNTOS'!$A$1:$B$63,2,0),0)</f>
        <v>0</v>
      </c>
      <c r="BH289" s="138">
        <f>IF('1.DATOS-PROD'!BQ290="SI",VLOOKUP('1.DATOS-PROD'!BQ$2,'1.PUNTOS'!$A$1:$B$63,2,0),0)</f>
        <v>0</v>
      </c>
      <c r="BI289" s="138">
        <f>IF('1.DATOS-PROD'!BR290="SI",VLOOKUP('1.DATOS-PROD'!BR$2,'1.PUNTOS'!$A$1:$B$63,2,0),0)</f>
        <v>0</v>
      </c>
      <c r="BJ289" s="138">
        <f>IF('1.DATOS-PROD'!BS290="SI",VLOOKUP('1.DATOS-PROD'!BS$2,'1.PUNTOS'!$A$1:$B$63,2,0),0)</f>
        <v>0</v>
      </c>
      <c r="BK289" s="138">
        <f>IF('1.DATOS-PROD'!BT290="SI",VLOOKUP('1.DATOS-PROD'!BT$2,'1.PUNTOS'!$A$1:$B$63,2,0),0)</f>
        <v>0</v>
      </c>
    </row>
    <row r="290" spans="1:63" x14ac:dyDescent="0.25">
      <c r="A290">
        <f>'0.Consolidado general'!$A291</f>
        <v>0</v>
      </c>
      <c r="B290" s="138">
        <f>IF('1.DATOS-PROD'!K291="SI",VLOOKUP('1.DATOS-PROD'!K$2,'1.PUNTOS'!$A$1:$B$63,2,0),0)</f>
        <v>0</v>
      </c>
      <c r="C290" s="138">
        <f>IF('1.DATOS-PROD'!L291="SI",VLOOKUP('1.DATOS-PROD'!L$2,'1.PUNTOS'!$A$1:$B$63,2,0),0)</f>
        <v>0</v>
      </c>
      <c r="D290" s="138">
        <f>IF('1.DATOS-PROD'!M291="SI",VLOOKUP('1.DATOS-PROD'!M$2,'1.PUNTOS'!$A$1:$B$63,2,0),0)</f>
        <v>0</v>
      </c>
      <c r="E290" s="138">
        <f>IF('1.DATOS-PROD'!N291="SI",VLOOKUP('1.DATOS-PROD'!N$2,'1.PUNTOS'!$A$1:$B$63,2,0),0)</f>
        <v>0</v>
      </c>
      <c r="F290" s="138">
        <f>IF('1.DATOS-PROD'!O291="SI",VLOOKUP('1.DATOS-PROD'!O$2,'1.PUNTOS'!$A$1:$B$63,2,0),0)</f>
        <v>0</v>
      </c>
      <c r="G290" s="138">
        <f>IF('1.DATOS-PROD'!P291="SI",VLOOKUP('1.DATOS-PROD'!P$2,'1.PUNTOS'!$A$1:$B$63,2,0),0)</f>
        <v>0</v>
      </c>
      <c r="H290" s="138">
        <f>IF('1.DATOS-PROD'!Q291="SI",VLOOKUP('1.DATOS-PROD'!Q$2,'1.PUNTOS'!$A$1:$B$63,2,0),0)</f>
        <v>0</v>
      </c>
      <c r="I290" s="138">
        <f>IF('1.DATOS-PROD'!R291="SI",VLOOKUP('1.DATOS-PROD'!R$2,'1.PUNTOS'!$A$1:$B$63,2,0),0)</f>
        <v>0</v>
      </c>
      <c r="J290" s="138">
        <f>IF('1.DATOS-PROD'!S291="SI",VLOOKUP('1.DATOS-PROD'!S$2,'1.PUNTOS'!$A$1:$B$63,2,0),0)</f>
        <v>0</v>
      </c>
      <c r="K290" s="138">
        <f>IF('1.DATOS-PROD'!T291="SI",VLOOKUP('1.DATOS-PROD'!T$2,'1.PUNTOS'!$A$1:$B$63,2,0),0)</f>
        <v>0</v>
      </c>
      <c r="L290" s="138">
        <f>IF('1.DATOS-PROD'!U291="SI",VLOOKUP('1.DATOS-PROD'!U$2,'1.PUNTOS'!$A$1:$B$63,2,0),0)</f>
        <v>0</v>
      </c>
      <c r="M290" s="138">
        <f>IF('1.DATOS-PROD'!V291="SI",VLOOKUP('1.DATOS-PROD'!V$2,'1.PUNTOS'!$A$1:$B$63,2,0),0)</f>
        <v>0</v>
      </c>
      <c r="N290" s="138">
        <f>IF('1.DATOS-PROD'!W291="SI",VLOOKUP('1.DATOS-PROD'!W$2,'1.PUNTOS'!$A$1:$B$63,2,0),0)</f>
        <v>0</v>
      </c>
      <c r="O290" s="138">
        <f>IF('1.DATOS-PROD'!X291="SI",VLOOKUP('1.DATOS-PROD'!X$2,'1.PUNTOS'!$A$1:$B$63,2,0),0)</f>
        <v>0</v>
      </c>
      <c r="P290" s="138">
        <f>IF('1.DATOS-PROD'!Y291="SI",VLOOKUP('1.DATOS-PROD'!Y$2,'1.PUNTOS'!$A$1:$B$63,2,0),0)</f>
        <v>0</v>
      </c>
      <c r="Q290" s="138">
        <f>IF('1.DATOS-PROD'!Z291="SI",VLOOKUP('1.DATOS-PROD'!Z$2,'1.PUNTOS'!$A$1:$B$63,2,0),0)</f>
        <v>0</v>
      </c>
      <c r="R290" s="138">
        <f>IF('1.DATOS-PROD'!AA291="SI",VLOOKUP('1.DATOS-PROD'!AA$2,'1.PUNTOS'!$A$1:$B$63,2,0),0)</f>
        <v>0</v>
      </c>
      <c r="S290" s="138">
        <f>IF('1.DATOS-PROD'!AB291="SI",VLOOKUP('1.DATOS-PROD'!AB$2,'1.PUNTOS'!$A$1:$B$63,2,0),0)</f>
        <v>0</v>
      </c>
      <c r="T290" s="138">
        <f>IF('1.DATOS-PROD'!AC291="SI",VLOOKUP('1.DATOS-PROD'!AC$2,'1.PUNTOS'!$A$1:$B$63,2,0),0)</f>
        <v>0</v>
      </c>
      <c r="U290" s="138">
        <f>IF('1.DATOS-PROD'!AD291="SI",VLOOKUP('1.DATOS-PROD'!AD$2,'1.PUNTOS'!$A$1:$B$63,2,0),0)</f>
        <v>0</v>
      </c>
      <c r="V290" s="138">
        <f>IF('1.DATOS-PROD'!AE291="SI",VLOOKUP('1.DATOS-PROD'!AE$2,'1.PUNTOS'!$A$1:$B$63,2,0),0)</f>
        <v>0</v>
      </c>
      <c r="W290" s="138">
        <f>IF('1.DATOS-PROD'!AF291="SI",VLOOKUP('1.DATOS-PROD'!AF$2,'1.PUNTOS'!$A$1:$B$63,2,0),0)</f>
        <v>0</v>
      </c>
      <c r="X290" s="138">
        <f>IF('1.DATOS-PROD'!AG291="SI",VLOOKUP('1.DATOS-PROD'!AG$2,'1.PUNTOS'!$A$1:$B$63,2,0),0)</f>
        <v>0</v>
      </c>
      <c r="Y290" s="138">
        <f>IF('1.DATOS-PROD'!AH291="SI",VLOOKUP('1.DATOS-PROD'!AH$2,'1.PUNTOS'!$A$1:$B$63,2,0),0)</f>
        <v>0</v>
      </c>
      <c r="Z290" s="138">
        <f>IF('1.DATOS-PROD'!AI291="SI",VLOOKUP('1.DATOS-PROD'!AI$2,'1.PUNTOS'!$A$1:$B$63,2,0),0)</f>
        <v>0</v>
      </c>
      <c r="AA290" s="138">
        <f>IF('1.DATOS-PROD'!AJ291="SI",VLOOKUP('1.DATOS-PROD'!AJ$2,'1.PUNTOS'!$A$1:$B$63,2,0),0)</f>
        <v>0</v>
      </c>
      <c r="AB290" s="138">
        <f>IF('1.DATOS-PROD'!AK291="SI",VLOOKUP('1.DATOS-PROD'!AK$2,'1.PUNTOS'!$A$1:$B$63,2,0),0)</f>
        <v>0</v>
      </c>
      <c r="AC290" s="138">
        <f>IF('1.DATOS-PROD'!AL291="SI",VLOOKUP('1.DATOS-PROD'!AL$2,'1.PUNTOS'!$A$1:$B$63,2,0),0)</f>
        <v>0</v>
      </c>
      <c r="AD290" s="138">
        <f>IF('1.DATOS-PROD'!AM291="SI",VLOOKUP('1.DATOS-PROD'!AM$2,'1.PUNTOS'!$A$1:$B$63,2,0),0)</f>
        <v>0</v>
      </c>
      <c r="AE290" s="138">
        <f>IF('1.DATOS-PROD'!AN291="SI",VLOOKUP('1.DATOS-PROD'!AN$2,'1.PUNTOS'!$A$1:$B$63,2,0),0)</f>
        <v>0</v>
      </c>
      <c r="AF290" s="138">
        <f>IF('1.DATOS-PROD'!AO291="SI",VLOOKUP('1.DATOS-PROD'!AO$2,'1.PUNTOS'!$A$1:$B$63,2,0),0)</f>
        <v>0</v>
      </c>
      <c r="AG290" s="138">
        <f>IF('1.DATOS-PROD'!AP291="SI",VLOOKUP('1.DATOS-PROD'!AP$2,'1.PUNTOS'!$A$1:$B$63,2,0),0)</f>
        <v>0</v>
      </c>
      <c r="AH290" s="138">
        <f>IF('1.DATOS-PROD'!AQ291="SI",VLOOKUP('1.DATOS-PROD'!AQ$2,'1.PUNTOS'!$A$1:$B$63,2,0),0)</f>
        <v>0</v>
      </c>
      <c r="AI290" s="138">
        <f>IF('1.DATOS-PROD'!AR291="SI",VLOOKUP('1.DATOS-PROD'!AR$2,'1.PUNTOS'!$A$1:$B$63,2,0),0)</f>
        <v>0</v>
      </c>
      <c r="AJ290" s="138">
        <f>IF('1.DATOS-PROD'!AS291="SI",VLOOKUP('1.DATOS-PROD'!AS$2,'1.PUNTOS'!$A$1:$B$63,2,0),0)</f>
        <v>0</v>
      </c>
      <c r="AK290" s="138">
        <f>IF('1.DATOS-PROD'!AT291="SI",VLOOKUP('1.DATOS-PROD'!AT$2,'1.PUNTOS'!$A$1:$B$63,2,0),0)</f>
        <v>0</v>
      </c>
      <c r="AL290" s="138">
        <f>IF('1.DATOS-PROD'!AU291="SI",VLOOKUP('1.DATOS-PROD'!AU$2,'1.PUNTOS'!$A$1:$B$63,2,0),0)</f>
        <v>0</v>
      </c>
      <c r="AM290" s="138">
        <f>IF('1.DATOS-PROD'!AV291="SI",VLOOKUP('1.DATOS-PROD'!AV$2,'1.PUNTOS'!$A$1:$B$63,2,0),0)</f>
        <v>0</v>
      </c>
      <c r="AN290" s="138">
        <f>IF('1.DATOS-PROD'!AW291="SI",VLOOKUP('1.DATOS-PROD'!AW$2,'1.PUNTOS'!$A$1:$B$63,2,0),0)</f>
        <v>0</v>
      </c>
      <c r="AO290" s="138">
        <f>IF('1.DATOS-PROD'!AX291="SI",VLOOKUP('1.DATOS-PROD'!AX$2,'1.PUNTOS'!$A$1:$B$63,2,0),0)</f>
        <v>0</v>
      </c>
      <c r="AP290" s="138">
        <f>IF('1.DATOS-PROD'!AY291="SI",VLOOKUP('1.DATOS-PROD'!AY$2,'1.PUNTOS'!$A$1:$B$63,2,0),0)</f>
        <v>0</v>
      </c>
      <c r="AQ290" s="138">
        <f>IF('1.DATOS-PROD'!AZ291="SI",VLOOKUP('1.DATOS-PROD'!AZ$2,'1.PUNTOS'!$A$1:$B$63,2,0),0)</f>
        <v>0</v>
      </c>
      <c r="AR290" s="138">
        <f>IF('1.DATOS-PROD'!BA291="SI",VLOOKUP('1.DATOS-PROD'!BA$2,'1.PUNTOS'!$A$1:$B$63,2,0),0)</f>
        <v>0</v>
      </c>
      <c r="AS290" s="138">
        <f>IF('1.DATOS-PROD'!BB291="SI",VLOOKUP('1.DATOS-PROD'!BB$2,'1.PUNTOS'!$A$1:$B$63,2,0),0)</f>
        <v>0</v>
      </c>
      <c r="AT290" s="138">
        <f>IF('1.DATOS-PROD'!BC291="SI",VLOOKUP('1.DATOS-PROD'!BC$2,'1.PUNTOS'!$A$1:$B$63,2,0),0)</f>
        <v>0</v>
      </c>
      <c r="AU290" s="138">
        <f>IF('1.DATOS-PROD'!BD291="SI",VLOOKUP('1.DATOS-PROD'!BD$2,'1.PUNTOS'!$A$1:$B$63,2,0),0)</f>
        <v>0</v>
      </c>
      <c r="AV290" s="138">
        <f>IF('1.DATOS-PROD'!BE291="SI",VLOOKUP('1.DATOS-PROD'!BE$2,'1.PUNTOS'!$A$1:$B$63,2,0),0)</f>
        <v>0</v>
      </c>
      <c r="AW290" s="138">
        <f>IF('1.DATOS-PROD'!BF291="SI",VLOOKUP('1.DATOS-PROD'!BF$2,'1.PUNTOS'!$A$1:$B$63,2,0),0)</f>
        <v>0</v>
      </c>
      <c r="AX290" s="138">
        <f>IF('1.DATOS-PROD'!BG291="SI",VLOOKUP('1.DATOS-PROD'!BG$2,'1.PUNTOS'!$A$1:$B$63,2,0),0)</f>
        <v>0</v>
      </c>
      <c r="AY290" s="138">
        <f>IF('1.DATOS-PROD'!BH291="SI",VLOOKUP('1.DATOS-PROD'!BH$2,'1.PUNTOS'!$A$1:$B$63,2,0),0)</f>
        <v>0</v>
      </c>
      <c r="AZ290" s="138">
        <f>IF('1.DATOS-PROD'!BI291="SI",VLOOKUP('1.DATOS-PROD'!BI$2,'1.PUNTOS'!$A$1:$B$63,2,0),0)</f>
        <v>0</v>
      </c>
      <c r="BA290" s="138">
        <f>IF('1.DATOS-PROD'!BJ291="SI",VLOOKUP('1.DATOS-PROD'!BJ$2,'1.PUNTOS'!$A$1:$B$63,2,0),0)</f>
        <v>0</v>
      </c>
      <c r="BB290" s="138">
        <f>IF('1.DATOS-PROD'!BK291="SI",VLOOKUP('1.DATOS-PROD'!BK$2,'1.PUNTOS'!$A$1:$B$63,2,0),0)</f>
        <v>0</v>
      </c>
      <c r="BC290" s="138">
        <f>IF('1.DATOS-PROD'!BL291="SI",VLOOKUP('1.DATOS-PROD'!BL$2,'1.PUNTOS'!$A$1:$B$63,2,0),0)</f>
        <v>0</v>
      </c>
      <c r="BD290" s="138">
        <f>IF('1.DATOS-PROD'!BM291="SI",VLOOKUP('1.DATOS-PROD'!BM$2,'1.PUNTOS'!$A$1:$B$63,2,0),0)</f>
        <v>0</v>
      </c>
      <c r="BE290" s="138">
        <f>IF('1.DATOS-PROD'!BN291="SI",VLOOKUP('1.DATOS-PROD'!BN$2,'1.PUNTOS'!$A$1:$B$63,2,0),0)</f>
        <v>0</v>
      </c>
      <c r="BF290" s="138">
        <f>IF('1.DATOS-PROD'!BO291="SI",VLOOKUP('1.DATOS-PROD'!BO$2,'1.PUNTOS'!$A$1:$B$63,2,0),0)</f>
        <v>0</v>
      </c>
      <c r="BG290" s="138">
        <f>IF('1.DATOS-PROD'!BP291="SI",VLOOKUP('1.DATOS-PROD'!BP$2,'1.PUNTOS'!$A$1:$B$63,2,0),0)</f>
        <v>0</v>
      </c>
      <c r="BH290" s="138">
        <f>IF('1.DATOS-PROD'!BQ291="SI",VLOOKUP('1.DATOS-PROD'!BQ$2,'1.PUNTOS'!$A$1:$B$63,2,0),0)</f>
        <v>0</v>
      </c>
      <c r="BI290" s="138">
        <f>IF('1.DATOS-PROD'!BR291="SI",VLOOKUP('1.DATOS-PROD'!BR$2,'1.PUNTOS'!$A$1:$B$63,2,0),0)</f>
        <v>0</v>
      </c>
      <c r="BJ290" s="138">
        <f>IF('1.DATOS-PROD'!BS291="SI",VLOOKUP('1.DATOS-PROD'!BS$2,'1.PUNTOS'!$A$1:$B$63,2,0),0)</f>
        <v>0</v>
      </c>
      <c r="BK290" s="138">
        <f>IF('1.DATOS-PROD'!BT291="SI",VLOOKUP('1.DATOS-PROD'!BT$2,'1.PUNTOS'!$A$1:$B$63,2,0),0)</f>
        <v>0</v>
      </c>
    </row>
    <row r="291" spans="1:63" x14ac:dyDescent="0.25">
      <c r="A291">
        <f>'0.Consolidado general'!$A292</f>
        <v>0</v>
      </c>
      <c r="B291" s="138">
        <f>IF('1.DATOS-PROD'!K292="SI",VLOOKUP('1.DATOS-PROD'!K$2,'1.PUNTOS'!$A$1:$B$63,2,0),0)</f>
        <v>0</v>
      </c>
      <c r="C291" s="138">
        <f>IF('1.DATOS-PROD'!L292="SI",VLOOKUP('1.DATOS-PROD'!L$2,'1.PUNTOS'!$A$1:$B$63,2,0),0)</f>
        <v>0</v>
      </c>
      <c r="D291" s="138">
        <f>IF('1.DATOS-PROD'!M292="SI",VLOOKUP('1.DATOS-PROD'!M$2,'1.PUNTOS'!$A$1:$B$63,2,0),0)</f>
        <v>0</v>
      </c>
      <c r="E291" s="138">
        <f>IF('1.DATOS-PROD'!N292="SI",VLOOKUP('1.DATOS-PROD'!N$2,'1.PUNTOS'!$A$1:$B$63,2,0),0)</f>
        <v>0</v>
      </c>
      <c r="F291" s="138">
        <f>IF('1.DATOS-PROD'!O292="SI",VLOOKUP('1.DATOS-PROD'!O$2,'1.PUNTOS'!$A$1:$B$63,2,0),0)</f>
        <v>0</v>
      </c>
      <c r="G291" s="138">
        <f>IF('1.DATOS-PROD'!P292="SI",VLOOKUP('1.DATOS-PROD'!P$2,'1.PUNTOS'!$A$1:$B$63,2,0),0)</f>
        <v>0</v>
      </c>
      <c r="H291" s="138">
        <f>IF('1.DATOS-PROD'!Q292="SI",VLOOKUP('1.DATOS-PROD'!Q$2,'1.PUNTOS'!$A$1:$B$63,2,0),0)</f>
        <v>0</v>
      </c>
      <c r="I291" s="138">
        <f>IF('1.DATOS-PROD'!R292="SI",VLOOKUP('1.DATOS-PROD'!R$2,'1.PUNTOS'!$A$1:$B$63,2,0),0)</f>
        <v>0</v>
      </c>
      <c r="J291" s="138">
        <f>IF('1.DATOS-PROD'!S292="SI",VLOOKUP('1.DATOS-PROD'!S$2,'1.PUNTOS'!$A$1:$B$63,2,0),0)</f>
        <v>0</v>
      </c>
      <c r="K291" s="138">
        <f>IF('1.DATOS-PROD'!T292="SI",VLOOKUP('1.DATOS-PROD'!T$2,'1.PUNTOS'!$A$1:$B$63,2,0),0)</f>
        <v>0</v>
      </c>
      <c r="L291" s="138">
        <f>IF('1.DATOS-PROD'!U292="SI",VLOOKUP('1.DATOS-PROD'!U$2,'1.PUNTOS'!$A$1:$B$63,2,0),0)</f>
        <v>0</v>
      </c>
      <c r="M291" s="138">
        <f>IF('1.DATOS-PROD'!V292="SI",VLOOKUP('1.DATOS-PROD'!V$2,'1.PUNTOS'!$A$1:$B$63,2,0),0)</f>
        <v>0</v>
      </c>
      <c r="N291" s="138">
        <f>IF('1.DATOS-PROD'!W292="SI",VLOOKUP('1.DATOS-PROD'!W$2,'1.PUNTOS'!$A$1:$B$63,2,0),0)</f>
        <v>0</v>
      </c>
      <c r="O291" s="138">
        <f>IF('1.DATOS-PROD'!X292="SI",VLOOKUP('1.DATOS-PROD'!X$2,'1.PUNTOS'!$A$1:$B$63,2,0),0)</f>
        <v>0</v>
      </c>
      <c r="P291" s="138">
        <f>IF('1.DATOS-PROD'!Y292="SI",VLOOKUP('1.DATOS-PROD'!Y$2,'1.PUNTOS'!$A$1:$B$63,2,0),0)</f>
        <v>0</v>
      </c>
      <c r="Q291" s="138">
        <f>IF('1.DATOS-PROD'!Z292="SI",VLOOKUP('1.DATOS-PROD'!Z$2,'1.PUNTOS'!$A$1:$B$63,2,0),0)</f>
        <v>0</v>
      </c>
      <c r="R291" s="138">
        <f>IF('1.DATOS-PROD'!AA292="SI",VLOOKUP('1.DATOS-PROD'!AA$2,'1.PUNTOS'!$A$1:$B$63,2,0),0)</f>
        <v>0</v>
      </c>
      <c r="S291" s="138">
        <f>IF('1.DATOS-PROD'!AB292="SI",VLOOKUP('1.DATOS-PROD'!AB$2,'1.PUNTOS'!$A$1:$B$63,2,0),0)</f>
        <v>0</v>
      </c>
      <c r="T291" s="138">
        <f>IF('1.DATOS-PROD'!AC292="SI",VLOOKUP('1.DATOS-PROD'!AC$2,'1.PUNTOS'!$A$1:$B$63,2,0),0)</f>
        <v>0</v>
      </c>
      <c r="U291" s="138">
        <f>IF('1.DATOS-PROD'!AD292="SI",VLOOKUP('1.DATOS-PROD'!AD$2,'1.PUNTOS'!$A$1:$B$63,2,0),0)</f>
        <v>0</v>
      </c>
      <c r="V291" s="138">
        <f>IF('1.DATOS-PROD'!AE292="SI",VLOOKUP('1.DATOS-PROD'!AE$2,'1.PUNTOS'!$A$1:$B$63,2,0),0)</f>
        <v>0</v>
      </c>
      <c r="W291" s="138">
        <f>IF('1.DATOS-PROD'!AF292="SI",VLOOKUP('1.DATOS-PROD'!AF$2,'1.PUNTOS'!$A$1:$B$63,2,0),0)</f>
        <v>0</v>
      </c>
      <c r="X291" s="138">
        <f>IF('1.DATOS-PROD'!AG292="SI",VLOOKUP('1.DATOS-PROD'!AG$2,'1.PUNTOS'!$A$1:$B$63,2,0),0)</f>
        <v>0</v>
      </c>
      <c r="Y291" s="138">
        <f>IF('1.DATOS-PROD'!AH292="SI",VLOOKUP('1.DATOS-PROD'!AH$2,'1.PUNTOS'!$A$1:$B$63,2,0),0)</f>
        <v>0</v>
      </c>
      <c r="Z291" s="138">
        <f>IF('1.DATOS-PROD'!AI292="SI",VLOOKUP('1.DATOS-PROD'!AI$2,'1.PUNTOS'!$A$1:$B$63,2,0),0)</f>
        <v>0</v>
      </c>
      <c r="AA291" s="138">
        <f>IF('1.DATOS-PROD'!AJ292="SI",VLOOKUP('1.DATOS-PROD'!AJ$2,'1.PUNTOS'!$A$1:$B$63,2,0),0)</f>
        <v>0</v>
      </c>
      <c r="AB291" s="138">
        <f>IF('1.DATOS-PROD'!AK292="SI",VLOOKUP('1.DATOS-PROD'!AK$2,'1.PUNTOS'!$A$1:$B$63,2,0),0)</f>
        <v>0</v>
      </c>
      <c r="AC291" s="138">
        <f>IF('1.DATOS-PROD'!AL292="SI",VLOOKUP('1.DATOS-PROD'!AL$2,'1.PUNTOS'!$A$1:$B$63,2,0),0)</f>
        <v>0</v>
      </c>
      <c r="AD291" s="138">
        <f>IF('1.DATOS-PROD'!AM292="SI",VLOOKUP('1.DATOS-PROD'!AM$2,'1.PUNTOS'!$A$1:$B$63,2,0),0)</f>
        <v>0</v>
      </c>
      <c r="AE291" s="138">
        <f>IF('1.DATOS-PROD'!AN292="SI",VLOOKUP('1.DATOS-PROD'!AN$2,'1.PUNTOS'!$A$1:$B$63,2,0),0)</f>
        <v>0</v>
      </c>
      <c r="AF291" s="138">
        <f>IF('1.DATOS-PROD'!AO292="SI",VLOOKUP('1.DATOS-PROD'!AO$2,'1.PUNTOS'!$A$1:$B$63,2,0),0)</f>
        <v>0</v>
      </c>
      <c r="AG291" s="138">
        <f>IF('1.DATOS-PROD'!AP292="SI",VLOOKUP('1.DATOS-PROD'!AP$2,'1.PUNTOS'!$A$1:$B$63,2,0),0)</f>
        <v>0</v>
      </c>
      <c r="AH291" s="138">
        <f>IF('1.DATOS-PROD'!AQ292="SI",VLOOKUP('1.DATOS-PROD'!AQ$2,'1.PUNTOS'!$A$1:$B$63,2,0),0)</f>
        <v>0</v>
      </c>
      <c r="AI291" s="138">
        <f>IF('1.DATOS-PROD'!AR292="SI",VLOOKUP('1.DATOS-PROD'!AR$2,'1.PUNTOS'!$A$1:$B$63,2,0),0)</f>
        <v>0</v>
      </c>
      <c r="AJ291" s="138">
        <f>IF('1.DATOS-PROD'!AS292="SI",VLOOKUP('1.DATOS-PROD'!AS$2,'1.PUNTOS'!$A$1:$B$63,2,0),0)</f>
        <v>0</v>
      </c>
      <c r="AK291" s="138">
        <f>IF('1.DATOS-PROD'!AT292="SI",VLOOKUP('1.DATOS-PROD'!AT$2,'1.PUNTOS'!$A$1:$B$63,2,0),0)</f>
        <v>0</v>
      </c>
      <c r="AL291" s="138">
        <f>IF('1.DATOS-PROD'!AU292="SI",VLOOKUP('1.DATOS-PROD'!AU$2,'1.PUNTOS'!$A$1:$B$63,2,0),0)</f>
        <v>0</v>
      </c>
      <c r="AM291" s="138">
        <f>IF('1.DATOS-PROD'!AV292="SI",VLOOKUP('1.DATOS-PROD'!AV$2,'1.PUNTOS'!$A$1:$B$63,2,0),0)</f>
        <v>0</v>
      </c>
      <c r="AN291" s="138">
        <f>IF('1.DATOS-PROD'!AW292="SI",VLOOKUP('1.DATOS-PROD'!AW$2,'1.PUNTOS'!$A$1:$B$63,2,0),0)</f>
        <v>0</v>
      </c>
      <c r="AO291" s="138">
        <f>IF('1.DATOS-PROD'!AX292="SI",VLOOKUP('1.DATOS-PROD'!AX$2,'1.PUNTOS'!$A$1:$B$63,2,0),0)</f>
        <v>0</v>
      </c>
      <c r="AP291" s="138">
        <f>IF('1.DATOS-PROD'!AY292="SI",VLOOKUP('1.DATOS-PROD'!AY$2,'1.PUNTOS'!$A$1:$B$63,2,0),0)</f>
        <v>0</v>
      </c>
      <c r="AQ291" s="138">
        <f>IF('1.DATOS-PROD'!AZ292="SI",VLOOKUP('1.DATOS-PROD'!AZ$2,'1.PUNTOS'!$A$1:$B$63,2,0),0)</f>
        <v>0</v>
      </c>
      <c r="AR291" s="138">
        <f>IF('1.DATOS-PROD'!BA292="SI",VLOOKUP('1.DATOS-PROD'!BA$2,'1.PUNTOS'!$A$1:$B$63,2,0),0)</f>
        <v>0</v>
      </c>
      <c r="AS291" s="138">
        <f>IF('1.DATOS-PROD'!BB292="SI",VLOOKUP('1.DATOS-PROD'!BB$2,'1.PUNTOS'!$A$1:$B$63,2,0),0)</f>
        <v>0</v>
      </c>
      <c r="AT291" s="138">
        <f>IF('1.DATOS-PROD'!BC292="SI",VLOOKUP('1.DATOS-PROD'!BC$2,'1.PUNTOS'!$A$1:$B$63,2,0),0)</f>
        <v>0</v>
      </c>
      <c r="AU291" s="138">
        <f>IF('1.DATOS-PROD'!BD292="SI",VLOOKUP('1.DATOS-PROD'!BD$2,'1.PUNTOS'!$A$1:$B$63,2,0),0)</f>
        <v>0</v>
      </c>
      <c r="AV291" s="138">
        <f>IF('1.DATOS-PROD'!BE292="SI",VLOOKUP('1.DATOS-PROD'!BE$2,'1.PUNTOS'!$A$1:$B$63,2,0),0)</f>
        <v>0</v>
      </c>
      <c r="AW291" s="138">
        <f>IF('1.DATOS-PROD'!BF292="SI",VLOOKUP('1.DATOS-PROD'!BF$2,'1.PUNTOS'!$A$1:$B$63,2,0),0)</f>
        <v>0</v>
      </c>
      <c r="AX291" s="138">
        <f>IF('1.DATOS-PROD'!BG292="SI",VLOOKUP('1.DATOS-PROD'!BG$2,'1.PUNTOS'!$A$1:$B$63,2,0),0)</f>
        <v>0</v>
      </c>
      <c r="AY291" s="138">
        <f>IF('1.DATOS-PROD'!BH292="SI",VLOOKUP('1.DATOS-PROD'!BH$2,'1.PUNTOS'!$A$1:$B$63,2,0),0)</f>
        <v>0</v>
      </c>
      <c r="AZ291" s="138">
        <f>IF('1.DATOS-PROD'!BI292="SI",VLOOKUP('1.DATOS-PROD'!BI$2,'1.PUNTOS'!$A$1:$B$63,2,0),0)</f>
        <v>0</v>
      </c>
      <c r="BA291" s="138">
        <f>IF('1.DATOS-PROD'!BJ292="SI",VLOOKUP('1.DATOS-PROD'!BJ$2,'1.PUNTOS'!$A$1:$B$63,2,0),0)</f>
        <v>0</v>
      </c>
      <c r="BB291" s="138">
        <f>IF('1.DATOS-PROD'!BK292="SI",VLOOKUP('1.DATOS-PROD'!BK$2,'1.PUNTOS'!$A$1:$B$63,2,0),0)</f>
        <v>0</v>
      </c>
      <c r="BC291" s="138">
        <f>IF('1.DATOS-PROD'!BL292="SI",VLOOKUP('1.DATOS-PROD'!BL$2,'1.PUNTOS'!$A$1:$B$63,2,0),0)</f>
        <v>0</v>
      </c>
      <c r="BD291" s="138">
        <f>IF('1.DATOS-PROD'!BM292="SI",VLOOKUP('1.DATOS-PROD'!BM$2,'1.PUNTOS'!$A$1:$B$63,2,0),0)</f>
        <v>0</v>
      </c>
      <c r="BE291" s="138">
        <f>IF('1.DATOS-PROD'!BN292="SI",VLOOKUP('1.DATOS-PROD'!BN$2,'1.PUNTOS'!$A$1:$B$63,2,0),0)</f>
        <v>0</v>
      </c>
      <c r="BF291" s="138">
        <f>IF('1.DATOS-PROD'!BO292="SI",VLOOKUP('1.DATOS-PROD'!BO$2,'1.PUNTOS'!$A$1:$B$63,2,0),0)</f>
        <v>0</v>
      </c>
      <c r="BG291" s="138">
        <f>IF('1.DATOS-PROD'!BP292="SI",VLOOKUP('1.DATOS-PROD'!BP$2,'1.PUNTOS'!$A$1:$B$63,2,0),0)</f>
        <v>0</v>
      </c>
      <c r="BH291" s="138">
        <f>IF('1.DATOS-PROD'!BQ292="SI",VLOOKUP('1.DATOS-PROD'!BQ$2,'1.PUNTOS'!$A$1:$B$63,2,0),0)</f>
        <v>0</v>
      </c>
      <c r="BI291" s="138">
        <f>IF('1.DATOS-PROD'!BR292="SI",VLOOKUP('1.DATOS-PROD'!BR$2,'1.PUNTOS'!$A$1:$B$63,2,0),0)</f>
        <v>0</v>
      </c>
      <c r="BJ291" s="138">
        <f>IF('1.DATOS-PROD'!BS292="SI",VLOOKUP('1.DATOS-PROD'!BS$2,'1.PUNTOS'!$A$1:$B$63,2,0),0)</f>
        <v>0</v>
      </c>
      <c r="BK291" s="138">
        <f>IF('1.DATOS-PROD'!BT292="SI",VLOOKUP('1.DATOS-PROD'!BT$2,'1.PUNTOS'!$A$1:$B$63,2,0),0)</f>
        <v>0</v>
      </c>
    </row>
    <row r="292" spans="1:63" x14ac:dyDescent="0.25">
      <c r="A292">
        <f>'0.Consolidado general'!$A293</f>
        <v>0</v>
      </c>
      <c r="B292" s="138">
        <f>IF('1.DATOS-PROD'!K293="SI",VLOOKUP('1.DATOS-PROD'!K$2,'1.PUNTOS'!$A$1:$B$63,2,0),0)</f>
        <v>0</v>
      </c>
      <c r="C292" s="138">
        <f>IF('1.DATOS-PROD'!L293="SI",VLOOKUP('1.DATOS-PROD'!L$2,'1.PUNTOS'!$A$1:$B$63,2,0),0)</f>
        <v>0</v>
      </c>
      <c r="D292" s="138">
        <f>IF('1.DATOS-PROD'!M293="SI",VLOOKUP('1.DATOS-PROD'!M$2,'1.PUNTOS'!$A$1:$B$63,2,0),0)</f>
        <v>0</v>
      </c>
      <c r="E292" s="138">
        <f>IF('1.DATOS-PROD'!N293="SI",VLOOKUP('1.DATOS-PROD'!N$2,'1.PUNTOS'!$A$1:$B$63,2,0),0)</f>
        <v>0</v>
      </c>
      <c r="F292" s="138">
        <f>IF('1.DATOS-PROD'!O293="SI",VLOOKUP('1.DATOS-PROD'!O$2,'1.PUNTOS'!$A$1:$B$63,2,0),0)</f>
        <v>0</v>
      </c>
      <c r="G292" s="138">
        <f>IF('1.DATOS-PROD'!P293="SI",VLOOKUP('1.DATOS-PROD'!P$2,'1.PUNTOS'!$A$1:$B$63,2,0),0)</f>
        <v>0</v>
      </c>
      <c r="H292" s="138">
        <f>IF('1.DATOS-PROD'!Q293="SI",VLOOKUP('1.DATOS-PROD'!Q$2,'1.PUNTOS'!$A$1:$B$63,2,0),0)</f>
        <v>0</v>
      </c>
      <c r="I292" s="138">
        <f>IF('1.DATOS-PROD'!R293="SI",VLOOKUP('1.DATOS-PROD'!R$2,'1.PUNTOS'!$A$1:$B$63,2,0),0)</f>
        <v>0</v>
      </c>
      <c r="J292" s="138">
        <f>IF('1.DATOS-PROD'!S293="SI",VLOOKUP('1.DATOS-PROD'!S$2,'1.PUNTOS'!$A$1:$B$63,2,0),0)</f>
        <v>0</v>
      </c>
      <c r="K292" s="138">
        <f>IF('1.DATOS-PROD'!T293="SI",VLOOKUP('1.DATOS-PROD'!T$2,'1.PUNTOS'!$A$1:$B$63,2,0),0)</f>
        <v>0</v>
      </c>
      <c r="L292" s="138">
        <f>IF('1.DATOS-PROD'!U293="SI",VLOOKUP('1.DATOS-PROD'!U$2,'1.PUNTOS'!$A$1:$B$63,2,0),0)</f>
        <v>0</v>
      </c>
      <c r="M292" s="138">
        <f>IF('1.DATOS-PROD'!V293="SI",VLOOKUP('1.DATOS-PROD'!V$2,'1.PUNTOS'!$A$1:$B$63,2,0),0)</f>
        <v>0</v>
      </c>
      <c r="N292" s="138">
        <f>IF('1.DATOS-PROD'!W293="SI",VLOOKUP('1.DATOS-PROD'!W$2,'1.PUNTOS'!$A$1:$B$63,2,0),0)</f>
        <v>0</v>
      </c>
      <c r="O292" s="138">
        <f>IF('1.DATOS-PROD'!X293="SI",VLOOKUP('1.DATOS-PROD'!X$2,'1.PUNTOS'!$A$1:$B$63,2,0),0)</f>
        <v>0</v>
      </c>
      <c r="P292" s="138">
        <f>IF('1.DATOS-PROD'!Y293="SI",VLOOKUP('1.DATOS-PROD'!Y$2,'1.PUNTOS'!$A$1:$B$63,2,0),0)</f>
        <v>0</v>
      </c>
      <c r="Q292" s="138">
        <f>IF('1.DATOS-PROD'!Z293="SI",VLOOKUP('1.DATOS-PROD'!Z$2,'1.PUNTOS'!$A$1:$B$63,2,0),0)</f>
        <v>0</v>
      </c>
      <c r="R292" s="138">
        <f>IF('1.DATOS-PROD'!AA293="SI",VLOOKUP('1.DATOS-PROD'!AA$2,'1.PUNTOS'!$A$1:$B$63,2,0),0)</f>
        <v>0</v>
      </c>
      <c r="S292" s="138">
        <f>IF('1.DATOS-PROD'!AB293="SI",VLOOKUP('1.DATOS-PROD'!AB$2,'1.PUNTOS'!$A$1:$B$63,2,0),0)</f>
        <v>0</v>
      </c>
      <c r="T292" s="138">
        <f>IF('1.DATOS-PROD'!AC293="SI",VLOOKUP('1.DATOS-PROD'!AC$2,'1.PUNTOS'!$A$1:$B$63,2,0),0)</f>
        <v>0</v>
      </c>
      <c r="U292" s="138">
        <f>IF('1.DATOS-PROD'!AD293="SI",VLOOKUP('1.DATOS-PROD'!AD$2,'1.PUNTOS'!$A$1:$B$63,2,0),0)</f>
        <v>0</v>
      </c>
      <c r="V292" s="138">
        <f>IF('1.DATOS-PROD'!AE293="SI",VLOOKUP('1.DATOS-PROD'!AE$2,'1.PUNTOS'!$A$1:$B$63,2,0),0)</f>
        <v>0</v>
      </c>
      <c r="W292" s="138">
        <f>IF('1.DATOS-PROD'!AF293="SI",VLOOKUP('1.DATOS-PROD'!AF$2,'1.PUNTOS'!$A$1:$B$63,2,0),0)</f>
        <v>0</v>
      </c>
      <c r="X292" s="138">
        <f>IF('1.DATOS-PROD'!AG293="SI",VLOOKUP('1.DATOS-PROD'!AG$2,'1.PUNTOS'!$A$1:$B$63,2,0),0)</f>
        <v>0</v>
      </c>
      <c r="Y292" s="138">
        <f>IF('1.DATOS-PROD'!AH293="SI",VLOOKUP('1.DATOS-PROD'!AH$2,'1.PUNTOS'!$A$1:$B$63,2,0),0)</f>
        <v>0</v>
      </c>
      <c r="Z292" s="138">
        <f>IF('1.DATOS-PROD'!AI293="SI",VLOOKUP('1.DATOS-PROD'!AI$2,'1.PUNTOS'!$A$1:$B$63,2,0),0)</f>
        <v>0</v>
      </c>
      <c r="AA292" s="138">
        <f>IF('1.DATOS-PROD'!AJ293="SI",VLOOKUP('1.DATOS-PROD'!AJ$2,'1.PUNTOS'!$A$1:$B$63,2,0),0)</f>
        <v>0</v>
      </c>
      <c r="AB292" s="138">
        <f>IF('1.DATOS-PROD'!AK293="SI",VLOOKUP('1.DATOS-PROD'!AK$2,'1.PUNTOS'!$A$1:$B$63,2,0),0)</f>
        <v>0</v>
      </c>
      <c r="AC292" s="138">
        <f>IF('1.DATOS-PROD'!AL293="SI",VLOOKUP('1.DATOS-PROD'!AL$2,'1.PUNTOS'!$A$1:$B$63,2,0),0)</f>
        <v>0</v>
      </c>
      <c r="AD292" s="138">
        <f>IF('1.DATOS-PROD'!AM293="SI",VLOOKUP('1.DATOS-PROD'!AM$2,'1.PUNTOS'!$A$1:$B$63,2,0),0)</f>
        <v>0</v>
      </c>
      <c r="AE292" s="138">
        <f>IF('1.DATOS-PROD'!AN293="SI",VLOOKUP('1.DATOS-PROD'!AN$2,'1.PUNTOS'!$A$1:$B$63,2,0),0)</f>
        <v>0</v>
      </c>
      <c r="AF292" s="138">
        <f>IF('1.DATOS-PROD'!AO293="SI",VLOOKUP('1.DATOS-PROD'!AO$2,'1.PUNTOS'!$A$1:$B$63,2,0),0)</f>
        <v>0</v>
      </c>
      <c r="AG292" s="138">
        <f>IF('1.DATOS-PROD'!AP293="SI",VLOOKUP('1.DATOS-PROD'!AP$2,'1.PUNTOS'!$A$1:$B$63,2,0),0)</f>
        <v>0</v>
      </c>
      <c r="AH292" s="138">
        <f>IF('1.DATOS-PROD'!AQ293="SI",VLOOKUP('1.DATOS-PROD'!AQ$2,'1.PUNTOS'!$A$1:$B$63,2,0),0)</f>
        <v>0</v>
      </c>
      <c r="AI292" s="138">
        <f>IF('1.DATOS-PROD'!AR293="SI",VLOOKUP('1.DATOS-PROD'!AR$2,'1.PUNTOS'!$A$1:$B$63,2,0),0)</f>
        <v>0</v>
      </c>
      <c r="AJ292" s="138">
        <f>IF('1.DATOS-PROD'!AS293="SI",VLOOKUP('1.DATOS-PROD'!AS$2,'1.PUNTOS'!$A$1:$B$63,2,0),0)</f>
        <v>0</v>
      </c>
      <c r="AK292" s="138">
        <f>IF('1.DATOS-PROD'!AT293="SI",VLOOKUP('1.DATOS-PROD'!AT$2,'1.PUNTOS'!$A$1:$B$63,2,0),0)</f>
        <v>0</v>
      </c>
      <c r="AL292" s="138">
        <f>IF('1.DATOS-PROD'!AU293="SI",VLOOKUP('1.DATOS-PROD'!AU$2,'1.PUNTOS'!$A$1:$B$63,2,0),0)</f>
        <v>0</v>
      </c>
      <c r="AM292" s="138">
        <f>IF('1.DATOS-PROD'!AV293="SI",VLOOKUP('1.DATOS-PROD'!AV$2,'1.PUNTOS'!$A$1:$B$63,2,0),0)</f>
        <v>0</v>
      </c>
      <c r="AN292" s="138">
        <f>IF('1.DATOS-PROD'!AW293="SI",VLOOKUP('1.DATOS-PROD'!AW$2,'1.PUNTOS'!$A$1:$B$63,2,0),0)</f>
        <v>0</v>
      </c>
      <c r="AO292" s="138">
        <f>IF('1.DATOS-PROD'!AX293="SI",VLOOKUP('1.DATOS-PROD'!AX$2,'1.PUNTOS'!$A$1:$B$63,2,0),0)</f>
        <v>0</v>
      </c>
      <c r="AP292" s="138">
        <f>IF('1.DATOS-PROD'!AY293="SI",VLOOKUP('1.DATOS-PROD'!AY$2,'1.PUNTOS'!$A$1:$B$63,2,0),0)</f>
        <v>0</v>
      </c>
      <c r="AQ292" s="138">
        <f>IF('1.DATOS-PROD'!AZ293="SI",VLOOKUP('1.DATOS-PROD'!AZ$2,'1.PUNTOS'!$A$1:$B$63,2,0),0)</f>
        <v>0</v>
      </c>
      <c r="AR292" s="138">
        <f>IF('1.DATOS-PROD'!BA293="SI",VLOOKUP('1.DATOS-PROD'!BA$2,'1.PUNTOS'!$A$1:$B$63,2,0),0)</f>
        <v>0</v>
      </c>
      <c r="AS292" s="138">
        <f>IF('1.DATOS-PROD'!BB293="SI",VLOOKUP('1.DATOS-PROD'!BB$2,'1.PUNTOS'!$A$1:$B$63,2,0),0)</f>
        <v>0</v>
      </c>
      <c r="AT292" s="138">
        <f>IF('1.DATOS-PROD'!BC293="SI",VLOOKUP('1.DATOS-PROD'!BC$2,'1.PUNTOS'!$A$1:$B$63,2,0),0)</f>
        <v>0</v>
      </c>
      <c r="AU292" s="138">
        <f>IF('1.DATOS-PROD'!BD293="SI",VLOOKUP('1.DATOS-PROD'!BD$2,'1.PUNTOS'!$A$1:$B$63,2,0),0)</f>
        <v>0</v>
      </c>
      <c r="AV292" s="138">
        <f>IF('1.DATOS-PROD'!BE293="SI",VLOOKUP('1.DATOS-PROD'!BE$2,'1.PUNTOS'!$A$1:$B$63,2,0),0)</f>
        <v>0</v>
      </c>
      <c r="AW292" s="138">
        <f>IF('1.DATOS-PROD'!BF293="SI",VLOOKUP('1.DATOS-PROD'!BF$2,'1.PUNTOS'!$A$1:$B$63,2,0),0)</f>
        <v>0</v>
      </c>
      <c r="AX292" s="138">
        <f>IF('1.DATOS-PROD'!BG293="SI",VLOOKUP('1.DATOS-PROD'!BG$2,'1.PUNTOS'!$A$1:$B$63,2,0),0)</f>
        <v>0</v>
      </c>
      <c r="AY292" s="138">
        <f>IF('1.DATOS-PROD'!BH293="SI",VLOOKUP('1.DATOS-PROD'!BH$2,'1.PUNTOS'!$A$1:$B$63,2,0),0)</f>
        <v>0</v>
      </c>
      <c r="AZ292" s="138">
        <f>IF('1.DATOS-PROD'!BI293="SI",VLOOKUP('1.DATOS-PROD'!BI$2,'1.PUNTOS'!$A$1:$B$63,2,0),0)</f>
        <v>0</v>
      </c>
      <c r="BA292" s="138">
        <f>IF('1.DATOS-PROD'!BJ293="SI",VLOOKUP('1.DATOS-PROD'!BJ$2,'1.PUNTOS'!$A$1:$B$63,2,0),0)</f>
        <v>0</v>
      </c>
      <c r="BB292" s="138">
        <f>IF('1.DATOS-PROD'!BK293="SI",VLOOKUP('1.DATOS-PROD'!BK$2,'1.PUNTOS'!$A$1:$B$63,2,0),0)</f>
        <v>0</v>
      </c>
      <c r="BC292" s="138">
        <f>IF('1.DATOS-PROD'!BL293="SI",VLOOKUP('1.DATOS-PROD'!BL$2,'1.PUNTOS'!$A$1:$B$63,2,0),0)</f>
        <v>0</v>
      </c>
      <c r="BD292" s="138">
        <f>IF('1.DATOS-PROD'!BM293="SI",VLOOKUP('1.DATOS-PROD'!BM$2,'1.PUNTOS'!$A$1:$B$63,2,0),0)</f>
        <v>0</v>
      </c>
      <c r="BE292" s="138">
        <f>IF('1.DATOS-PROD'!BN293="SI",VLOOKUP('1.DATOS-PROD'!BN$2,'1.PUNTOS'!$A$1:$B$63,2,0),0)</f>
        <v>0</v>
      </c>
      <c r="BF292" s="138">
        <f>IF('1.DATOS-PROD'!BO293="SI",VLOOKUP('1.DATOS-PROD'!BO$2,'1.PUNTOS'!$A$1:$B$63,2,0),0)</f>
        <v>0</v>
      </c>
      <c r="BG292" s="138">
        <f>IF('1.DATOS-PROD'!BP293="SI",VLOOKUP('1.DATOS-PROD'!BP$2,'1.PUNTOS'!$A$1:$B$63,2,0),0)</f>
        <v>0</v>
      </c>
      <c r="BH292" s="138">
        <f>IF('1.DATOS-PROD'!BQ293="SI",VLOOKUP('1.DATOS-PROD'!BQ$2,'1.PUNTOS'!$A$1:$B$63,2,0),0)</f>
        <v>0</v>
      </c>
      <c r="BI292" s="138">
        <f>IF('1.DATOS-PROD'!BR293="SI",VLOOKUP('1.DATOS-PROD'!BR$2,'1.PUNTOS'!$A$1:$B$63,2,0),0)</f>
        <v>0</v>
      </c>
      <c r="BJ292" s="138">
        <f>IF('1.DATOS-PROD'!BS293="SI",VLOOKUP('1.DATOS-PROD'!BS$2,'1.PUNTOS'!$A$1:$B$63,2,0),0)</f>
        <v>0</v>
      </c>
      <c r="BK292" s="138">
        <f>IF('1.DATOS-PROD'!BT293="SI",VLOOKUP('1.DATOS-PROD'!BT$2,'1.PUNTOS'!$A$1:$B$63,2,0),0)</f>
        <v>0</v>
      </c>
    </row>
    <row r="293" spans="1:63" x14ac:dyDescent="0.25">
      <c r="A293">
        <f>'0.Consolidado general'!$A294</f>
        <v>0</v>
      </c>
      <c r="B293" s="138">
        <f>IF('1.DATOS-PROD'!K294="SI",VLOOKUP('1.DATOS-PROD'!K$2,'1.PUNTOS'!$A$1:$B$63,2,0),0)</f>
        <v>0</v>
      </c>
      <c r="C293" s="138">
        <f>IF('1.DATOS-PROD'!L294="SI",VLOOKUP('1.DATOS-PROD'!L$2,'1.PUNTOS'!$A$1:$B$63,2,0),0)</f>
        <v>0</v>
      </c>
      <c r="D293" s="138">
        <f>IF('1.DATOS-PROD'!M294="SI",VLOOKUP('1.DATOS-PROD'!M$2,'1.PUNTOS'!$A$1:$B$63,2,0),0)</f>
        <v>0</v>
      </c>
      <c r="E293" s="138">
        <f>IF('1.DATOS-PROD'!N294="SI",VLOOKUP('1.DATOS-PROD'!N$2,'1.PUNTOS'!$A$1:$B$63,2,0),0)</f>
        <v>0</v>
      </c>
      <c r="F293" s="138">
        <f>IF('1.DATOS-PROD'!O294="SI",VLOOKUP('1.DATOS-PROD'!O$2,'1.PUNTOS'!$A$1:$B$63,2,0),0)</f>
        <v>0</v>
      </c>
      <c r="G293" s="138">
        <f>IF('1.DATOS-PROD'!P294="SI",VLOOKUP('1.DATOS-PROD'!P$2,'1.PUNTOS'!$A$1:$B$63,2,0),0)</f>
        <v>0</v>
      </c>
      <c r="H293" s="138">
        <f>IF('1.DATOS-PROD'!Q294="SI",VLOOKUP('1.DATOS-PROD'!Q$2,'1.PUNTOS'!$A$1:$B$63,2,0),0)</f>
        <v>0</v>
      </c>
      <c r="I293" s="138">
        <f>IF('1.DATOS-PROD'!R294="SI",VLOOKUP('1.DATOS-PROD'!R$2,'1.PUNTOS'!$A$1:$B$63,2,0),0)</f>
        <v>0</v>
      </c>
      <c r="J293" s="138">
        <f>IF('1.DATOS-PROD'!S294="SI",VLOOKUP('1.DATOS-PROD'!S$2,'1.PUNTOS'!$A$1:$B$63,2,0),0)</f>
        <v>0</v>
      </c>
      <c r="K293" s="138">
        <f>IF('1.DATOS-PROD'!T294="SI",VLOOKUP('1.DATOS-PROD'!T$2,'1.PUNTOS'!$A$1:$B$63,2,0),0)</f>
        <v>0</v>
      </c>
      <c r="L293" s="138">
        <f>IF('1.DATOS-PROD'!U294="SI",VLOOKUP('1.DATOS-PROD'!U$2,'1.PUNTOS'!$A$1:$B$63,2,0),0)</f>
        <v>0</v>
      </c>
      <c r="M293" s="138">
        <f>IF('1.DATOS-PROD'!V294="SI",VLOOKUP('1.DATOS-PROD'!V$2,'1.PUNTOS'!$A$1:$B$63,2,0),0)</f>
        <v>0</v>
      </c>
      <c r="N293" s="138">
        <f>IF('1.DATOS-PROD'!W294="SI",VLOOKUP('1.DATOS-PROD'!W$2,'1.PUNTOS'!$A$1:$B$63,2,0),0)</f>
        <v>0</v>
      </c>
      <c r="O293" s="138">
        <f>IF('1.DATOS-PROD'!X294="SI",VLOOKUP('1.DATOS-PROD'!X$2,'1.PUNTOS'!$A$1:$B$63,2,0),0)</f>
        <v>0</v>
      </c>
      <c r="P293" s="138">
        <f>IF('1.DATOS-PROD'!Y294="SI",VLOOKUP('1.DATOS-PROD'!Y$2,'1.PUNTOS'!$A$1:$B$63,2,0),0)</f>
        <v>0</v>
      </c>
      <c r="Q293" s="138">
        <f>IF('1.DATOS-PROD'!Z294="SI",VLOOKUP('1.DATOS-PROD'!Z$2,'1.PUNTOS'!$A$1:$B$63,2,0),0)</f>
        <v>0</v>
      </c>
      <c r="R293" s="138">
        <f>IF('1.DATOS-PROD'!AA294="SI",VLOOKUP('1.DATOS-PROD'!AA$2,'1.PUNTOS'!$A$1:$B$63,2,0),0)</f>
        <v>0</v>
      </c>
      <c r="S293" s="138">
        <f>IF('1.DATOS-PROD'!AB294="SI",VLOOKUP('1.DATOS-PROD'!AB$2,'1.PUNTOS'!$A$1:$B$63,2,0),0)</f>
        <v>0</v>
      </c>
      <c r="T293" s="138">
        <f>IF('1.DATOS-PROD'!AC294="SI",VLOOKUP('1.DATOS-PROD'!AC$2,'1.PUNTOS'!$A$1:$B$63,2,0),0)</f>
        <v>0</v>
      </c>
      <c r="U293" s="138">
        <f>IF('1.DATOS-PROD'!AD294="SI",VLOOKUP('1.DATOS-PROD'!AD$2,'1.PUNTOS'!$A$1:$B$63,2,0),0)</f>
        <v>0</v>
      </c>
      <c r="V293" s="138">
        <f>IF('1.DATOS-PROD'!AE294="SI",VLOOKUP('1.DATOS-PROD'!AE$2,'1.PUNTOS'!$A$1:$B$63,2,0),0)</f>
        <v>0</v>
      </c>
      <c r="W293" s="138">
        <f>IF('1.DATOS-PROD'!AF294="SI",VLOOKUP('1.DATOS-PROD'!AF$2,'1.PUNTOS'!$A$1:$B$63,2,0),0)</f>
        <v>0</v>
      </c>
      <c r="X293" s="138">
        <f>IF('1.DATOS-PROD'!AG294="SI",VLOOKUP('1.DATOS-PROD'!AG$2,'1.PUNTOS'!$A$1:$B$63,2,0),0)</f>
        <v>0</v>
      </c>
      <c r="Y293" s="138">
        <f>IF('1.DATOS-PROD'!AH294="SI",VLOOKUP('1.DATOS-PROD'!AH$2,'1.PUNTOS'!$A$1:$B$63,2,0),0)</f>
        <v>0</v>
      </c>
      <c r="Z293" s="138">
        <f>IF('1.DATOS-PROD'!AI294="SI",VLOOKUP('1.DATOS-PROD'!AI$2,'1.PUNTOS'!$A$1:$B$63,2,0),0)</f>
        <v>0</v>
      </c>
      <c r="AA293" s="138">
        <f>IF('1.DATOS-PROD'!AJ294="SI",VLOOKUP('1.DATOS-PROD'!AJ$2,'1.PUNTOS'!$A$1:$B$63,2,0),0)</f>
        <v>0</v>
      </c>
      <c r="AB293" s="138">
        <f>IF('1.DATOS-PROD'!AK294="SI",VLOOKUP('1.DATOS-PROD'!AK$2,'1.PUNTOS'!$A$1:$B$63,2,0),0)</f>
        <v>0</v>
      </c>
      <c r="AC293" s="138">
        <f>IF('1.DATOS-PROD'!AL294="SI",VLOOKUP('1.DATOS-PROD'!AL$2,'1.PUNTOS'!$A$1:$B$63,2,0),0)</f>
        <v>0</v>
      </c>
      <c r="AD293" s="138">
        <f>IF('1.DATOS-PROD'!AM294="SI",VLOOKUP('1.DATOS-PROD'!AM$2,'1.PUNTOS'!$A$1:$B$63,2,0),0)</f>
        <v>0</v>
      </c>
      <c r="AE293" s="138">
        <f>IF('1.DATOS-PROD'!AN294="SI",VLOOKUP('1.DATOS-PROD'!AN$2,'1.PUNTOS'!$A$1:$B$63,2,0),0)</f>
        <v>0</v>
      </c>
      <c r="AF293" s="138">
        <f>IF('1.DATOS-PROD'!AO294="SI",VLOOKUP('1.DATOS-PROD'!AO$2,'1.PUNTOS'!$A$1:$B$63,2,0),0)</f>
        <v>0</v>
      </c>
      <c r="AG293" s="138">
        <f>IF('1.DATOS-PROD'!AP294="SI",VLOOKUP('1.DATOS-PROD'!AP$2,'1.PUNTOS'!$A$1:$B$63,2,0),0)</f>
        <v>0</v>
      </c>
      <c r="AH293" s="138">
        <f>IF('1.DATOS-PROD'!AQ294="SI",VLOOKUP('1.DATOS-PROD'!AQ$2,'1.PUNTOS'!$A$1:$B$63,2,0),0)</f>
        <v>0</v>
      </c>
      <c r="AI293" s="138">
        <f>IF('1.DATOS-PROD'!AR294="SI",VLOOKUP('1.DATOS-PROD'!AR$2,'1.PUNTOS'!$A$1:$B$63,2,0),0)</f>
        <v>0</v>
      </c>
      <c r="AJ293" s="138">
        <f>IF('1.DATOS-PROD'!AS294="SI",VLOOKUP('1.DATOS-PROD'!AS$2,'1.PUNTOS'!$A$1:$B$63,2,0),0)</f>
        <v>0</v>
      </c>
      <c r="AK293" s="138">
        <f>IF('1.DATOS-PROD'!AT294="SI",VLOOKUP('1.DATOS-PROD'!AT$2,'1.PUNTOS'!$A$1:$B$63,2,0),0)</f>
        <v>0</v>
      </c>
      <c r="AL293" s="138">
        <f>IF('1.DATOS-PROD'!AU294="SI",VLOOKUP('1.DATOS-PROD'!AU$2,'1.PUNTOS'!$A$1:$B$63,2,0),0)</f>
        <v>0</v>
      </c>
      <c r="AM293" s="138">
        <f>IF('1.DATOS-PROD'!AV294="SI",VLOOKUP('1.DATOS-PROD'!AV$2,'1.PUNTOS'!$A$1:$B$63,2,0),0)</f>
        <v>0</v>
      </c>
      <c r="AN293" s="138">
        <f>IF('1.DATOS-PROD'!AW294="SI",VLOOKUP('1.DATOS-PROD'!AW$2,'1.PUNTOS'!$A$1:$B$63,2,0),0)</f>
        <v>0</v>
      </c>
      <c r="AO293" s="138">
        <f>IF('1.DATOS-PROD'!AX294="SI",VLOOKUP('1.DATOS-PROD'!AX$2,'1.PUNTOS'!$A$1:$B$63,2,0),0)</f>
        <v>0</v>
      </c>
      <c r="AP293" s="138">
        <f>IF('1.DATOS-PROD'!AY294="SI",VLOOKUP('1.DATOS-PROD'!AY$2,'1.PUNTOS'!$A$1:$B$63,2,0),0)</f>
        <v>0</v>
      </c>
      <c r="AQ293" s="138">
        <f>IF('1.DATOS-PROD'!AZ294="SI",VLOOKUP('1.DATOS-PROD'!AZ$2,'1.PUNTOS'!$A$1:$B$63,2,0),0)</f>
        <v>0</v>
      </c>
      <c r="AR293" s="138">
        <f>IF('1.DATOS-PROD'!BA294="SI",VLOOKUP('1.DATOS-PROD'!BA$2,'1.PUNTOS'!$A$1:$B$63,2,0),0)</f>
        <v>0</v>
      </c>
      <c r="AS293" s="138">
        <f>IF('1.DATOS-PROD'!BB294="SI",VLOOKUP('1.DATOS-PROD'!BB$2,'1.PUNTOS'!$A$1:$B$63,2,0),0)</f>
        <v>0</v>
      </c>
      <c r="AT293" s="138">
        <f>IF('1.DATOS-PROD'!BC294="SI",VLOOKUP('1.DATOS-PROD'!BC$2,'1.PUNTOS'!$A$1:$B$63,2,0),0)</f>
        <v>0</v>
      </c>
      <c r="AU293" s="138">
        <f>IF('1.DATOS-PROD'!BD294="SI",VLOOKUP('1.DATOS-PROD'!BD$2,'1.PUNTOS'!$A$1:$B$63,2,0),0)</f>
        <v>0</v>
      </c>
      <c r="AV293" s="138">
        <f>IF('1.DATOS-PROD'!BE294="SI",VLOOKUP('1.DATOS-PROD'!BE$2,'1.PUNTOS'!$A$1:$B$63,2,0),0)</f>
        <v>0</v>
      </c>
      <c r="AW293" s="138">
        <f>IF('1.DATOS-PROD'!BF294="SI",VLOOKUP('1.DATOS-PROD'!BF$2,'1.PUNTOS'!$A$1:$B$63,2,0),0)</f>
        <v>0</v>
      </c>
      <c r="AX293" s="138">
        <f>IF('1.DATOS-PROD'!BG294="SI",VLOOKUP('1.DATOS-PROD'!BG$2,'1.PUNTOS'!$A$1:$B$63,2,0),0)</f>
        <v>0</v>
      </c>
      <c r="AY293" s="138">
        <f>IF('1.DATOS-PROD'!BH294="SI",VLOOKUP('1.DATOS-PROD'!BH$2,'1.PUNTOS'!$A$1:$B$63,2,0),0)</f>
        <v>0</v>
      </c>
      <c r="AZ293" s="138">
        <f>IF('1.DATOS-PROD'!BI294="SI",VLOOKUP('1.DATOS-PROD'!BI$2,'1.PUNTOS'!$A$1:$B$63,2,0),0)</f>
        <v>0</v>
      </c>
      <c r="BA293" s="138">
        <f>IF('1.DATOS-PROD'!BJ294="SI",VLOOKUP('1.DATOS-PROD'!BJ$2,'1.PUNTOS'!$A$1:$B$63,2,0),0)</f>
        <v>0</v>
      </c>
      <c r="BB293" s="138">
        <f>IF('1.DATOS-PROD'!BK294="SI",VLOOKUP('1.DATOS-PROD'!BK$2,'1.PUNTOS'!$A$1:$B$63,2,0),0)</f>
        <v>0</v>
      </c>
      <c r="BC293" s="138">
        <f>IF('1.DATOS-PROD'!BL294="SI",VLOOKUP('1.DATOS-PROD'!BL$2,'1.PUNTOS'!$A$1:$B$63,2,0),0)</f>
        <v>0</v>
      </c>
      <c r="BD293" s="138">
        <f>IF('1.DATOS-PROD'!BM294="SI",VLOOKUP('1.DATOS-PROD'!BM$2,'1.PUNTOS'!$A$1:$B$63,2,0),0)</f>
        <v>0</v>
      </c>
      <c r="BE293" s="138">
        <f>IF('1.DATOS-PROD'!BN294="SI",VLOOKUP('1.DATOS-PROD'!BN$2,'1.PUNTOS'!$A$1:$B$63,2,0),0)</f>
        <v>0</v>
      </c>
      <c r="BF293" s="138">
        <f>IF('1.DATOS-PROD'!BO294="SI",VLOOKUP('1.DATOS-PROD'!BO$2,'1.PUNTOS'!$A$1:$B$63,2,0),0)</f>
        <v>0</v>
      </c>
      <c r="BG293" s="138">
        <f>IF('1.DATOS-PROD'!BP294="SI",VLOOKUP('1.DATOS-PROD'!BP$2,'1.PUNTOS'!$A$1:$B$63,2,0),0)</f>
        <v>0</v>
      </c>
      <c r="BH293" s="138">
        <f>IF('1.DATOS-PROD'!BQ294="SI",VLOOKUP('1.DATOS-PROD'!BQ$2,'1.PUNTOS'!$A$1:$B$63,2,0),0)</f>
        <v>0</v>
      </c>
      <c r="BI293" s="138">
        <f>IF('1.DATOS-PROD'!BR294="SI",VLOOKUP('1.DATOS-PROD'!BR$2,'1.PUNTOS'!$A$1:$B$63,2,0),0)</f>
        <v>0</v>
      </c>
      <c r="BJ293" s="138">
        <f>IF('1.DATOS-PROD'!BS294="SI",VLOOKUP('1.DATOS-PROD'!BS$2,'1.PUNTOS'!$A$1:$B$63,2,0),0)</f>
        <v>0</v>
      </c>
      <c r="BK293" s="138">
        <f>IF('1.DATOS-PROD'!BT294="SI",VLOOKUP('1.DATOS-PROD'!BT$2,'1.PUNTOS'!$A$1:$B$63,2,0),0)</f>
        <v>0</v>
      </c>
    </row>
    <row r="294" spans="1:63" x14ac:dyDescent="0.25">
      <c r="A294">
        <f>'0.Consolidado general'!$A295</f>
        <v>0</v>
      </c>
      <c r="B294" s="138">
        <f>IF('1.DATOS-PROD'!K295="SI",VLOOKUP('1.DATOS-PROD'!K$2,'1.PUNTOS'!$A$1:$B$63,2,0),0)</f>
        <v>0</v>
      </c>
      <c r="C294" s="138">
        <f>IF('1.DATOS-PROD'!L295="SI",VLOOKUP('1.DATOS-PROD'!L$2,'1.PUNTOS'!$A$1:$B$63,2,0),0)</f>
        <v>0</v>
      </c>
      <c r="D294" s="138">
        <f>IF('1.DATOS-PROD'!M295="SI",VLOOKUP('1.DATOS-PROD'!M$2,'1.PUNTOS'!$A$1:$B$63,2,0),0)</f>
        <v>0</v>
      </c>
      <c r="E294" s="138">
        <f>IF('1.DATOS-PROD'!N295="SI",VLOOKUP('1.DATOS-PROD'!N$2,'1.PUNTOS'!$A$1:$B$63,2,0),0)</f>
        <v>0</v>
      </c>
      <c r="F294" s="138">
        <f>IF('1.DATOS-PROD'!O295="SI",VLOOKUP('1.DATOS-PROD'!O$2,'1.PUNTOS'!$A$1:$B$63,2,0),0)</f>
        <v>0</v>
      </c>
      <c r="G294" s="138">
        <f>IF('1.DATOS-PROD'!P295="SI",VLOOKUP('1.DATOS-PROD'!P$2,'1.PUNTOS'!$A$1:$B$63,2,0),0)</f>
        <v>0</v>
      </c>
      <c r="H294" s="138">
        <f>IF('1.DATOS-PROD'!Q295="SI",VLOOKUP('1.DATOS-PROD'!Q$2,'1.PUNTOS'!$A$1:$B$63,2,0),0)</f>
        <v>0</v>
      </c>
      <c r="I294" s="138">
        <f>IF('1.DATOS-PROD'!R295="SI",VLOOKUP('1.DATOS-PROD'!R$2,'1.PUNTOS'!$A$1:$B$63,2,0),0)</f>
        <v>0</v>
      </c>
      <c r="J294" s="138">
        <f>IF('1.DATOS-PROD'!S295="SI",VLOOKUP('1.DATOS-PROD'!S$2,'1.PUNTOS'!$A$1:$B$63,2,0),0)</f>
        <v>0</v>
      </c>
      <c r="K294" s="138">
        <f>IF('1.DATOS-PROD'!T295="SI",VLOOKUP('1.DATOS-PROD'!T$2,'1.PUNTOS'!$A$1:$B$63,2,0),0)</f>
        <v>0</v>
      </c>
      <c r="L294" s="138">
        <f>IF('1.DATOS-PROD'!U295="SI",VLOOKUP('1.DATOS-PROD'!U$2,'1.PUNTOS'!$A$1:$B$63,2,0),0)</f>
        <v>0</v>
      </c>
      <c r="M294" s="138">
        <f>IF('1.DATOS-PROD'!V295="SI",VLOOKUP('1.DATOS-PROD'!V$2,'1.PUNTOS'!$A$1:$B$63,2,0),0)</f>
        <v>0</v>
      </c>
      <c r="N294" s="138">
        <f>IF('1.DATOS-PROD'!W295="SI",VLOOKUP('1.DATOS-PROD'!W$2,'1.PUNTOS'!$A$1:$B$63,2,0),0)</f>
        <v>0</v>
      </c>
      <c r="O294" s="138">
        <f>IF('1.DATOS-PROD'!X295="SI",VLOOKUP('1.DATOS-PROD'!X$2,'1.PUNTOS'!$A$1:$B$63,2,0),0)</f>
        <v>0</v>
      </c>
      <c r="P294" s="138">
        <f>IF('1.DATOS-PROD'!Y295="SI",VLOOKUP('1.DATOS-PROD'!Y$2,'1.PUNTOS'!$A$1:$B$63,2,0),0)</f>
        <v>0</v>
      </c>
      <c r="Q294" s="138">
        <f>IF('1.DATOS-PROD'!Z295="SI",VLOOKUP('1.DATOS-PROD'!Z$2,'1.PUNTOS'!$A$1:$B$63,2,0),0)</f>
        <v>0</v>
      </c>
      <c r="R294" s="138">
        <f>IF('1.DATOS-PROD'!AA295="SI",VLOOKUP('1.DATOS-PROD'!AA$2,'1.PUNTOS'!$A$1:$B$63,2,0),0)</f>
        <v>0</v>
      </c>
      <c r="S294" s="138">
        <f>IF('1.DATOS-PROD'!AB295="SI",VLOOKUP('1.DATOS-PROD'!AB$2,'1.PUNTOS'!$A$1:$B$63,2,0),0)</f>
        <v>0</v>
      </c>
      <c r="T294" s="138">
        <f>IF('1.DATOS-PROD'!AC295="SI",VLOOKUP('1.DATOS-PROD'!AC$2,'1.PUNTOS'!$A$1:$B$63,2,0),0)</f>
        <v>0</v>
      </c>
      <c r="U294" s="138">
        <f>IF('1.DATOS-PROD'!AD295="SI",VLOOKUP('1.DATOS-PROD'!AD$2,'1.PUNTOS'!$A$1:$B$63,2,0),0)</f>
        <v>0</v>
      </c>
      <c r="V294" s="138">
        <f>IF('1.DATOS-PROD'!AE295="SI",VLOOKUP('1.DATOS-PROD'!AE$2,'1.PUNTOS'!$A$1:$B$63,2,0),0)</f>
        <v>0</v>
      </c>
      <c r="W294" s="138">
        <f>IF('1.DATOS-PROD'!AF295="SI",VLOOKUP('1.DATOS-PROD'!AF$2,'1.PUNTOS'!$A$1:$B$63,2,0),0)</f>
        <v>0</v>
      </c>
      <c r="X294" s="138">
        <f>IF('1.DATOS-PROD'!AG295="SI",VLOOKUP('1.DATOS-PROD'!AG$2,'1.PUNTOS'!$A$1:$B$63,2,0),0)</f>
        <v>0</v>
      </c>
      <c r="Y294" s="138">
        <f>IF('1.DATOS-PROD'!AH295="SI",VLOOKUP('1.DATOS-PROD'!AH$2,'1.PUNTOS'!$A$1:$B$63,2,0),0)</f>
        <v>0</v>
      </c>
      <c r="Z294" s="138">
        <f>IF('1.DATOS-PROD'!AI295="SI",VLOOKUP('1.DATOS-PROD'!AI$2,'1.PUNTOS'!$A$1:$B$63,2,0),0)</f>
        <v>0</v>
      </c>
      <c r="AA294" s="138">
        <f>IF('1.DATOS-PROD'!AJ295="SI",VLOOKUP('1.DATOS-PROD'!AJ$2,'1.PUNTOS'!$A$1:$B$63,2,0),0)</f>
        <v>0</v>
      </c>
      <c r="AB294" s="138">
        <f>IF('1.DATOS-PROD'!AK295="SI",VLOOKUP('1.DATOS-PROD'!AK$2,'1.PUNTOS'!$A$1:$B$63,2,0),0)</f>
        <v>0</v>
      </c>
      <c r="AC294" s="138">
        <f>IF('1.DATOS-PROD'!AL295="SI",VLOOKUP('1.DATOS-PROD'!AL$2,'1.PUNTOS'!$A$1:$B$63,2,0),0)</f>
        <v>0</v>
      </c>
      <c r="AD294" s="138">
        <f>IF('1.DATOS-PROD'!AM295="SI",VLOOKUP('1.DATOS-PROD'!AM$2,'1.PUNTOS'!$A$1:$B$63,2,0),0)</f>
        <v>0</v>
      </c>
      <c r="AE294" s="138">
        <f>IF('1.DATOS-PROD'!AN295="SI",VLOOKUP('1.DATOS-PROD'!AN$2,'1.PUNTOS'!$A$1:$B$63,2,0),0)</f>
        <v>0</v>
      </c>
      <c r="AF294" s="138">
        <f>IF('1.DATOS-PROD'!AO295="SI",VLOOKUP('1.DATOS-PROD'!AO$2,'1.PUNTOS'!$A$1:$B$63,2,0),0)</f>
        <v>0</v>
      </c>
      <c r="AG294" s="138">
        <f>IF('1.DATOS-PROD'!AP295="SI",VLOOKUP('1.DATOS-PROD'!AP$2,'1.PUNTOS'!$A$1:$B$63,2,0),0)</f>
        <v>0</v>
      </c>
      <c r="AH294" s="138">
        <f>IF('1.DATOS-PROD'!AQ295="SI",VLOOKUP('1.DATOS-PROD'!AQ$2,'1.PUNTOS'!$A$1:$B$63,2,0),0)</f>
        <v>0</v>
      </c>
      <c r="AI294" s="138">
        <f>IF('1.DATOS-PROD'!AR295="SI",VLOOKUP('1.DATOS-PROD'!AR$2,'1.PUNTOS'!$A$1:$B$63,2,0),0)</f>
        <v>0</v>
      </c>
      <c r="AJ294" s="138">
        <f>IF('1.DATOS-PROD'!AS295="SI",VLOOKUP('1.DATOS-PROD'!AS$2,'1.PUNTOS'!$A$1:$B$63,2,0),0)</f>
        <v>0</v>
      </c>
      <c r="AK294" s="138">
        <f>IF('1.DATOS-PROD'!AT295="SI",VLOOKUP('1.DATOS-PROD'!AT$2,'1.PUNTOS'!$A$1:$B$63,2,0),0)</f>
        <v>0</v>
      </c>
      <c r="AL294" s="138">
        <f>IF('1.DATOS-PROD'!AU295="SI",VLOOKUP('1.DATOS-PROD'!AU$2,'1.PUNTOS'!$A$1:$B$63,2,0),0)</f>
        <v>0</v>
      </c>
      <c r="AM294" s="138">
        <f>IF('1.DATOS-PROD'!AV295="SI",VLOOKUP('1.DATOS-PROD'!AV$2,'1.PUNTOS'!$A$1:$B$63,2,0),0)</f>
        <v>0</v>
      </c>
      <c r="AN294" s="138">
        <f>IF('1.DATOS-PROD'!AW295="SI",VLOOKUP('1.DATOS-PROD'!AW$2,'1.PUNTOS'!$A$1:$B$63,2,0),0)</f>
        <v>0</v>
      </c>
      <c r="AO294" s="138">
        <f>IF('1.DATOS-PROD'!AX295="SI",VLOOKUP('1.DATOS-PROD'!AX$2,'1.PUNTOS'!$A$1:$B$63,2,0),0)</f>
        <v>0</v>
      </c>
      <c r="AP294" s="138">
        <f>IF('1.DATOS-PROD'!AY295="SI",VLOOKUP('1.DATOS-PROD'!AY$2,'1.PUNTOS'!$A$1:$B$63,2,0),0)</f>
        <v>0</v>
      </c>
      <c r="AQ294" s="138">
        <f>IF('1.DATOS-PROD'!AZ295="SI",VLOOKUP('1.DATOS-PROD'!AZ$2,'1.PUNTOS'!$A$1:$B$63,2,0),0)</f>
        <v>0</v>
      </c>
      <c r="AR294" s="138">
        <f>IF('1.DATOS-PROD'!BA295="SI",VLOOKUP('1.DATOS-PROD'!BA$2,'1.PUNTOS'!$A$1:$B$63,2,0),0)</f>
        <v>0</v>
      </c>
      <c r="AS294" s="138">
        <f>IF('1.DATOS-PROD'!BB295="SI",VLOOKUP('1.DATOS-PROD'!BB$2,'1.PUNTOS'!$A$1:$B$63,2,0),0)</f>
        <v>0</v>
      </c>
      <c r="AT294" s="138">
        <f>IF('1.DATOS-PROD'!BC295="SI",VLOOKUP('1.DATOS-PROD'!BC$2,'1.PUNTOS'!$A$1:$B$63,2,0),0)</f>
        <v>0</v>
      </c>
      <c r="AU294" s="138">
        <f>IF('1.DATOS-PROD'!BD295="SI",VLOOKUP('1.DATOS-PROD'!BD$2,'1.PUNTOS'!$A$1:$B$63,2,0),0)</f>
        <v>0</v>
      </c>
      <c r="AV294" s="138">
        <f>IF('1.DATOS-PROD'!BE295="SI",VLOOKUP('1.DATOS-PROD'!BE$2,'1.PUNTOS'!$A$1:$B$63,2,0),0)</f>
        <v>0</v>
      </c>
      <c r="AW294" s="138">
        <f>IF('1.DATOS-PROD'!BF295="SI",VLOOKUP('1.DATOS-PROD'!BF$2,'1.PUNTOS'!$A$1:$B$63,2,0),0)</f>
        <v>0</v>
      </c>
      <c r="AX294" s="138">
        <f>IF('1.DATOS-PROD'!BG295="SI",VLOOKUP('1.DATOS-PROD'!BG$2,'1.PUNTOS'!$A$1:$B$63,2,0),0)</f>
        <v>0</v>
      </c>
      <c r="AY294" s="138">
        <f>IF('1.DATOS-PROD'!BH295="SI",VLOOKUP('1.DATOS-PROD'!BH$2,'1.PUNTOS'!$A$1:$B$63,2,0),0)</f>
        <v>0</v>
      </c>
      <c r="AZ294" s="138">
        <f>IF('1.DATOS-PROD'!BI295="SI",VLOOKUP('1.DATOS-PROD'!BI$2,'1.PUNTOS'!$A$1:$B$63,2,0),0)</f>
        <v>0</v>
      </c>
      <c r="BA294" s="138">
        <f>IF('1.DATOS-PROD'!BJ295="SI",VLOOKUP('1.DATOS-PROD'!BJ$2,'1.PUNTOS'!$A$1:$B$63,2,0),0)</f>
        <v>0</v>
      </c>
      <c r="BB294" s="138">
        <f>IF('1.DATOS-PROD'!BK295="SI",VLOOKUP('1.DATOS-PROD'!BK$2,'1.PUNTOS'!$A$1:$B$63,2,0),0)</f>
        <v>0</v>
      </c>
      <c r="BC294" s="138">
        <f>IF('1.DATOS-PROD'!BL295="SI",VLOOKUP('1.DATOS-PROD'!BL$2,'1.PUNTOS'!$A$1:$B$63,2,0),0)</f>
        <v>0</v>
      </c>
      <c r="BD294" s="138">
        <f>IF('1.DATOS-PROD'!BM295="SI",VLOOKUP('1.DATOS-PROD'!BM$2,'1.PUNTOS'!$A$1:$B$63,2,0),0)</f>
        <v>0</v>
      </c>
      <c r="BE294" s="138">
        <f>IF('1.DATOS-PROD'!BN295="SI",VLOOKUP('1.DATOS-PROD'!BN$2,'1.PUNTOS'!$A$1:$B$63,2,0),0)</f>
        <v>0</v>
      </c>
      <c r="BF294" s="138">
        <f>IF('1.DATOS-PROD'!BO295="SI",VLOOKUP('1.DATOS-PROD'!BO$2,'1.PUNTOS'!$A$1:$B$63,2,0),0)</f>
        <v>0</v>
      </c>
      <c r="BG294" s="138">
        <f>IF('1.DATOS-PROD'!BP295="SI",VLOOKUP('1.DATOS-PROD'!BP$2,'1.PUNTOS'!$A$1:$B$63,2,0),0)</f>
        <v>0</v>
      </c>
      <c r="BH294" s="138">
        <f>IF('1.DATOS-PROD'!BQ295="SI",VLOOKUP('1.DATOS-PROD'!BQ$2,'1.PUNTOS'!$A$1:$B$63,2,0),0)</f>
        <v>0</v>
      </c>
      <c r="BI294" s="138">
        <f>IF('1.DATOS-PROD'!BR295="SI",VLOOKUP('1.DATOS-PROD'!BR$2,'1.PUNTOS'!$A$1:$B$63,2,0),0)</f>
        <v>0</v>
      </c>
      <c r="BJ294" s="138">
        <f>IF('1.DATOS-PROD'!BS295="SI",VLOOKUP('1.DATOS-PROD'!BS$2,'1.PUNTOS'!$A$1:$B$63,2,0),0)</f>
        <v>0</v>
      </c>
      <c r="BK294" s="138">
        <f>IF('1.DATOS-PROD'!BT295="SI",VLOOKUP('1.DATOS-PROD'!BT$2,'1.PUNTOS'!$A$1:$B$63,2,0),0)</f>
        <v>0</v>
      </c>
    </row>
    <row r="295" spans="1:63" x14ac:dyDescent="0.25">
      <c r="A295">
        <f>'0.Consolidado general'!$A296</f>
        <v>0</v>
      </c>
      <c r="B295" s="138">
        <f>IF('1.DATOS-PROD'!K296="SI",VLOOKUP('1.DATOS-PROD'!K$2,'1.PUNTOS'!$A$1:$B$63,2,0),0)</f>
        <v>0</v>
      </c>
      <c r="C295" s="138">
        <f>IF('1.DATOS-PROD'!L296="SI",VLOOKUP('1.DATOS-PROD'!L$2,'1.PUNTOS'!$A$1:$B$63,2,0),0)</f>
        <v>0</v>
      </c>
      <c r="D295" s="138">
        <f>IF('1.DATOS-PROD'!M296="SI",VLOOKUP('1.DATOS-PROD'!M$2,'1.PUNTOS'!$A$1:$B$63,2,0),0)</f>
        <v>0</v>
      </c>
      <c r="E295" s="138">
        <f>IF('1.DATOS-PROD'!N296="SI",VLOOKUP('1.DATOS-PROD'!N$2,'1.PUNTOS'!$A$1:$B$63,2,0),0)</f>
        <v>0</v>
      </c>
      <c r="F295" s="138">
        <f>IF('1.DATOS-PROD'!O296="SI",VLOOKUP('1.DATOS-PROD'!O$2,'1.PUNTOS'!$A$1:$B$63,2,0),0)</f>
        <v>0</v>
      </c>
      <c r="G295" s="138">
        <f>IF('1.DATOS-PROD'!P296="SI",VLOOKUP('1.DATOS-PROD'!P$2,'1.PUNTOS'!$A$1:$B$63,2,0),0)</f>
        <v>0</v>
      </c>
      <c r="H295" s="138">
        <f>IF('1.DATOS-PROD'!Q296="SI",VLOOKUP('1.DATOS-PROD'!Q$2,'1.PUNTOS'!$A$1:$B$63,2,0),0)</f>
        <v>0</v>
      </c>
      <c r="I295" s="138">
        <f>IF('1.DATOS-PROD'!R296="SI",VLOOKUP('1.DATOS-PROD'!R$2,'1.PUNTOS'!$A$1:$B$63,2,0),0)</f>
        <v>0</v>
      </c>
      <c r="J295" s="138">
        <f>IF('1.DATOS-PROD'!S296="SI",VLOOKUP('1.DATOS-PROD'!S$2,'1.PUNTOS'!$A$1:$B$63,2,0),0)</f>
        <v>0</v>
      </c>
      <c r="K295" s="138">
        <f>IF('1.DATOS-PROD'!T296="SI",VLOOKUP('1.DATOS-PROD'!T$2,'1.PUNTOS'!$A$1:$B$63,2,0),0)</f>
        <v>0</v>
      </c>
      <c r="L295" s="138">
        <f>IF('1.DATOS-PROD'!U296="SI",VLOOKUP('1.DATOS-PROD'!U$2,'1.PUNTOS'!$A$1:$B$63,2,0),0)</f>
        <v>0</v>
      </c>
      <c r="M295" s="138">
        <f>IF('1.DATOS-PROD'!V296="SI",VLOOKUP('1.DATOS-PROD'!V$2,'1.PUNTOS'!$A$1:$B$63,2,0),0)</f>
        <v>0</v>
      </c>
      <c r="N295" s="138">
        <f>IF('1.DATOS-PROD'!W296="SI",VLOOKUP('1.DATOS-PROD'!W$2,'1.PUNTOS'!$A$1:$B$63,2,0),0)</f>
        <v>0</v>
      </c>
      <c r="O295" s="138">
        <f>IF('1.DATOS-PROD'!X296="SI",VLOOKUP('1.DATOS-PROD'!X$2,'1.PUNTOS'!$A$1:$B$63,2,0),0)</f>
        <v>0</v>
      </c>
      <c r="P295" s="138">
        <f>IF('1.DATOS-PROD'!Y296="SI",VLOOKUP('1.DATOS-PROD'!Y$2,'1.PUNTOS'!$A$1:$B$63,2,0),0)</f>
        <v>0</v>
      </c>
      <c r="Q295" s="138">
        <f>IF('1.DATOS-PROD'!Z296="SI",VLOOKUP('1.DATOS-PROD'!Z$2,'1.PUNTOS'!$A$1:$B$63,2,0),0)</f>
        <v>0</v>
      </c>
      <c r="R295" s="138">
        <f>IF('1.DATOS-PROD'!AA296="SI",VLOOKUP('1.DATOS-PROD'!AA$2,'1.PUNTOS'!$A$1:$B$63,2,0),0)</f>
        <v>0</v>
      </c>
      <c r="S295" s="138">
        <f>IF('1.DATOS-PROD'!AB296="SI",VLOOKUP('1.DATOS-PROD'!AB$2,'1.PUNTOS'!$A$1:$B$63,2,0),0)</f>
        <v>0</v>
      </c>
      <c r="T295" s="138">
        <f>IF('1.DATOS-PROD'!AC296="SI",VLOOKUP('1.DATOS-PROD'!AC$2,'1.PUNTOS'!$A$1:$B$63,2,0),0)</f>
        <v>0</v>
      </c>
      <c r="U295" s="138">
        <f>IF('1.DATOS-PROD'!AD296="SI",VLOOKUP('1.DATOS-PROD'!AD$2,'1.PUNTOS'!$A$1:$B$63,2,0),0)</f>
        <v>0</v>
      </c>
      <c r="V295" s="138">
        <f>IF('1.DATOS-PROD'!AE296="SI",VLOOKUP('1.DATOS-PROD'!AE$2,'1.PUNTOS'!$A$1:$B$63,2,0),0)</f>
        <v>0</v>
      </c>
      <c r="W295" s="138">
        <f>IF('1.DATOS-PROD'!AF296="SI",VLOOKUP('1.DATOS-PROD'!AF$2,'1.PUNTOS'!$A$1:$B$63,2,0),0)</f>
        <v>0</v>
      </c>
      <c r="X295" s="138">
        <f>IF('1.DATOS-PROD'!AG296="SI",VLOOKUP('1.DATOS-PROD'!AG$2,'1.PUNTOS'!$A$1:$B$63,2,0),0)</f>
        <v>0</v>
      </c>
      <c r="Y295" s="138">
        <f>IF('1.DATOS-PROD'!AH296="SI",VLOOKUP('1.DATOS-PROD'!AH$2,'1.PUNTOS'!$A$1:$B$63,2,0),0)</f>
        <v>0</v>
      </c>
      <c r="Z295" s="138">
        <f>IF('1.DATOS-PROD'!AI296="SI",VLOOKUP('1.DATOS-PROD'!AI$2,'1.PUNTOS'!$A$1:$B$63,2,0),0)</f>
        <v>0</v>
      </c>
      <c r="AA295" s="138">
        <f>IF('1.DATOS-PROD'!AJ296="SI",VLOOKUP('1.DATOS-PROD'!AJ$2,'1.PUNTOS'!$A$1:$B$63,2,0),0)</f>
        <v>0</v>
      </c>
      <c r="AB295" s="138">
        <f>IF('1.DATOS-PROD'!AK296="SI",VLOOKUP('1.DATOS-PROD'!AK$2,'1.PUNTOS'!$A$1:$B$63,2,0),0)</f>
        <v>0</v>
      </c>
      <c r="AC295" s="138">
        <f>IF('1.DATOS-PROD'!AL296="SI",VLOOKUP('1.DATOS-PROD'!AL$2,'1.PUNTOS'!$A$1:$B$63,2,0),0)</f>
        <v>0</v>
      </c>
      <c r="AD295" s="138">
        <f>IF('1.DATOS-PROD'!AM296="SI",VLOOKUP('1.DATOS-PROD'!AM$2,'1.PUNTOS'!$A$1:$B$63,2,0),0)</f>
        <v>0</v>
      </c>
      <c r="AE295" s="138">
        <f>IF('1.DATOS-PROD'!AN296="SI",VLOOKUP('1.DATOS-PROD'!AN$2,'1.PUNTOS'!$A$1:$B$63,2,0),0)</f>
        <v>0</v>
      </c>
      <c r="AF295" s="138">
        <f>IF('1.DATOS-PROD'!AO296="SI",VLOOKUP('1.DATOS-PROD'!AO$2,'1.PUNTOS'!$A$1:$B$63,2,0),0)</f>
        <v>0</v>
      </c>
      <c r="AG295" s="138">
        <f>IF('1.DATOS-PROD'!AP296="SI",VLOOKUP('1.DATOS-PROD'!AP$2,'1.PUNTOS'!$A$1:$B$63,2,0),0)</f>
        <v>0</v>
      </c>
      <c r="AH295" s="138">
        <f>IF('1.DATOS-PROD'!AQ296="SI",VLOOKUP('1.DATOS-PROD'!AQ$2,'1.PUNTOS'!$A$1:$B$63,2,0),0)</f>
        <v>0</v>
      </c>
      <c r="AI295" s="138">
        <f>IF('1.DATOS-PROD'!AR296="SI",VLOOKUP('1.DATOS-PROD'!AR$2,'1.PUNTOS'!$A$1:$B$63,2,0),0)</f>
        <v>0</v>
      </c>
      <c r="AJ295" s="138">
        <f>IF('1.DATOS-PROD'!AS296="SI",VLOOKUP('1.DATOS-PROD'!AS$2,'1.PUNTOS'!$A$1:$B$63,2,0),0)</f>
        <v>0</v>
      </c>
      <c r="AK295" s="138">
        <f>IF('1.DATOS-PROD'!AT296="SI",VLOOKUP('1.DATOS-PROD'!AT$2,'1.PUNTOS'!$A$1:$B$63,2,0),0)</f>
        <v>0</v>
      </c>
      <c r="AL295" s="138">
        <f>IF('1.DATOS-PROD'!AU296="SI",VLOOKUP('1.DATOS-PROD'!AU$2,'1.PUNTOS'!$A$1:$B$63,2,0),0)</f>
        <v>0</v>
      </c>
      <c r="AM295" s="138">
        <f>IF('1.DATOS-PROD'!AV296="SI",VLOOKUP('1.DATOS-PROD'!AV$2,'1.PUNTOS'!$A$1:$B$63,2,0),0)</f>
        <v>0</v>
      </c>
      <c r="AN295" s="138">
        <f>IF('1.DATOS-PROD'!AW296="SI",VLOOKUP('1.DATOS-PROD'!AW$2,'1.PUNTOS'!$A$1:$B$63,2,0),0)</f>
        <v>0</v>
      </c>
      <c r="AO295" s="138">
        <f>IF('1.DATOS-PROD'!AX296="SI",VLOOKUP('1.DATOS-PROD'!AX$2,'1.PUNTOS'!$A$1:$B$63,2,0),0)</f>
        <v>0</v>
      </c>
      <c r="AP295" s="138">
        <f>IF('1.DATOS-PROD'!AY296="SI",VLOOKUP('1.DATOS-PROD'!AY$2,'1.PUNTOS'!$A$1:$B$63,2,0),0)</f>
        <v>0</v>
      </c>
      <c r="AQ295" s="138">
        <f>IF('1.DATOS-PROD'!AZ296="SI",VLOOKUP('1.DATOS-PROD'!AZ$2,'1.PUNTOS'!$A$1:$B$63,2,0),0)</f>
        <v>0</v>
      </c>
      <c r="AR295" s="138">
        <f>IF('1.DATOS-PROD'!BA296="SI",VLOOKUP('1.DATOS-PROD'!BA$2,'1.PUNTOS'!$A$1:$B$63,2,0),0)</f>
        <v>0</v>
      </c>
      <c r="AS295" s="138">
        <f>IF('1.DATOS-PROD'!BB296="SI",VLOOKUP('1.DATOS-PROD'!BB$2,'1.PUNTOS'!$A$1:$B$63,2,0),0)</f>
        <v>0</v>
      </c>
      <c r="AT295" s="138">
        <f>IF('1.DATOS-PROD'!BC296="SI",VLOOKUP('1.DATOS-PROD'!BC$2,'1.PUNTOS'!$A$1:$B$63,2,0),0)</f>
        <v>0</v>
      </c>
      <c r="AU295" s="138">
        <f>IF('1.DATOS-PROD'!BD296="SI",VLOOKUP('1.DATOS-PROD'!BD$2,'1.PUNTOS'!$A$1:$B$63,2,0),0)</f>
        <v>0</v>
      </c>
      <c r="AV295" s="138">
        <f>IF('1.DATOS-PROD'!BE296="SI",VLOOKUP('1.DATOS-PROD'!BE$2,'1.PUNTOS'!$A$1:$B$63,2,0),0)</f>
        <v>0</v>
      </c>
      <c r="AW295" s="138">
        <f>IF('1.DATOS-PROD'!BF296="SI",VLOOKUP('1.DATOS-PROD'!BF$2,'1.PUNTOS'!$A$1:$B$63,2,0),0)</f>
        <v>0</v>
      </c>
      <c r="AX295" s="138">
        <f>IF('1.DATOS-PROD'!BG296="SI",VLOOKUP('1.DATOS-PROD'!BG$2,'1.PUNTOS'!$A$1:$B$63,2,0),0)</f>
        <v>0</v>
      </c>
      <c r="AY295" s="138">
        <f>IF('1.DATOS-PROD'!BH296="SI",VLOOKUP('1.DATOS-PROD'!BH$2,'1.PUNTOS'!$A$1:$B$63,2,0),0)</f>
        <v>0</v>
      </c>
      <c r="AZ295" s="138">
        <f>IF('1.DATOS-PROD'!BI296="SI",VLOOKUP('1.DATOS-PROD'!BI$2,'1.PUNTOS'!$A$1:$B$63,2,0),0)</f>
        <v>0</v>
      </c>
      <c r="BA295" s="138">
        <f>IF('1.DATOS-PROD'!BJ296="SI",VLOOKUP('1.DATOS-PROD'!BJ$2,'1.PUNTOS'!$A$1:$B$63,2,0),0)</f>
        <v>0</v>
      </c>
      <c r="BB295" s="138">
        <f>IF('1.DATOS-PROD'!BK296="SI",VLOOKUP('1.DATOS-PROD'!BK$2,'1.PUNTOS'!$A$1:$B$63,2,0),0)</f>
        <v>0</v>
      </c>
      <c r="BC295" s="138">
        <f>IF('1.DATOS-PROD'!BL296="SI",VLOOKUP('1.DATOS-PROD'!BL$2,'1.PUNTOS'!$A$1:$B$63,2,0),0)</f>
        <v>0</v>
      </c>
      <c r="BD295" s="138">
        <f>IF('1.DATOS-PROD'!BM296="SI",VLOOKUP('1.DATOS-PROD'!BM$2,'1.PUNTOS'!$A$1:$B$63,2,0),0)</f>
        <v>0</v>
      </c>
      <c r="BE295" s="138">
        <f>IF('1.DATOS-PROD'!BN296="SI",VLOOKUP('1.DATOS-PROD'!BN$2,'1.PUNTOS'!$A$1:$B$63,2,0),0)</f>
        <v>0</v>
      </c>
      <c r="BF295" s="138">
        <f>IF('1.DATOS-PROD'!BO296="SI",VLOOKUP('1.DATOS-PROD'!BO$2,'1.PUNTOS'!$A$1:$B$63,2,0),0)</f>
        <v>0</v>
      </c>
      <c r="BG295" s="138">
        <f>IF('1.DATOS-PROD'!BP296="SI",VLOOKUP('1.DATOS-PROD'!BP$2,'1.PUNTOS'!$A$1:$B$63,2,0),0)</f>
        <v>0</v>
      </c>
      <c r="BH295" s="138">
        <f>IF('1.DATOS-PROD'!BQ296="SI",VLOOKUP('1.DATOS-PROD'!BQ$2,'1.PUNTOS'!$A$1:$B$63,2,0),0)</f>
        <v>0</v>
      </c>
      <c r="BI295" s="138">
        <f>IF('1.DATOS-PROD'!BR296="SI",VLOOKUP('1.DATOS-PROD'!BR$2,'1.PUNTOS'!$A$1:$B$63,2,0),0)</f>
        <v>0</v>
      </c>
      <c r="BJ295" s="138">
        <f>IF('1.DATOS-PROD'!BS296="SI",VLOOKUP('1.DATOS-PROD'!BS$2,'1.PUNTOS'!$A$1:$B$63,2,0),0)</f>
        <v>0</v>
      </c>
      <c r="BK295" s="138">
        <f>IF('1.DATOS-PROD'!BT296="SI",VLOOKUP('1.DATOS-PROD'!BT$2,'1.PUNTOS'!$A$1:$B$63,2,0),0)</f>
        <v>0</v>
      </c>
    </row>
    <row r="296" spans="1:63" x14ac:dyDescent="0.25">
      <c r="A296">
        <f>'0.Consolidado general'!$A297</f>
        <v>0</v>
      </c>
      <c r="B296" s="138">
        <f>IF('1.DATOS-PROD'!K297="SI",VLOOKUP('1.DATOS-PROD'!K$2,'1.PUNTOS'!$A$1:$B$63,2,0),0)</f>
        <v>0</v>
      </c>
      <c r="C296" s="138">
        <f>IF('1.DATOS-PROD'!L297="SI",VLOOKUP('1.DATOS-PROD'!L$2,'1.PUNTOS'!$A$1:$B$63,2,0),0)</f>
        <v>0</v>
      </c>
      <c r="D296" s="138">
        <f>IF('1.DATOS-PROD'!M297="SI",VLOOKUP('1.DATOS-PROD'!M$2,'1.PUNTOS'!$A$1:$B$63,2,0),0)</f>
        <v>0</v>
      </c>
      <c r="E296" s="138">
        <f>IF('1.DATOS-PROD'!N297="SI",VLOOKUP('1.DATOS-PROD'!N$2,'1.PUNTOS'!$A$1:$B$63,2,0),0)</f>
        <v>0</v>
      </c>
      <c r="F296" s="138">
        <f>IF('1.DATOS-PROD'!O297="SI",VLOOKUP('1.DATOS-PROD'!O$2,'1.PUNTOS'!$A$1:$B$63,2,0),0)</f>
        <v>0</v>
      </c>
      <c r="G296" s="138">
        <f>IF('1.DATOS-PROD'!P297="SI",VLOOKUP('1.DATOS-PROD'!P$2,'1.PUNTOS'!$A$1:$B$63,2,0),0)</f>
        <v>0</v>
      </c>
      <c r="H296" s="138">
        <f>IF('1.DATOS-PROD'!Q297="SI",VLOOKUP('1.DATOS-PROD'!Q$2,'1.PUNTOS'!$A$1:$B$63,2,0),0)</f>
        <v>0</v>
      </c>
      <c r="I296" s="138">
        <f>IF('1.DATOS-PROD'!R297="SI",VLOOKUP('1.DATOS-PROD'!R$2,'1.PUNTOS'!$A$1:$B$63,2,0),0)</f>
        <v>0</v>
      </c>
      <c r="J296" s="138">
        <f>IF('1.DATOS-PROD'!S297="SI",VLOOKUP('1.DATOS-PROD'!S$2,'1.PUNTOS'!$A$1:$B$63,2,0),0)</f>
        <v>0</v>
      </c>
      <c r="K296" s="138">
        <f>IF('1.DATOS-PROD'!T297="SI",VLOOKUP('1.DATOS-PROD'!T$2,'1.PUNTOS'!$A$1:$B$63,2,0),0)</f>
        <v>0</v>
      </c>
      <c r="L296" s="138">
        <f>IF('1.DATOS-PROD'!U297="SI",VLOOKUP('1.DATOS-PROD'!U$2,'1.PUNTOS'!$A$1:$B$63,2,0),0)</f>
        <v>0</v>
      </c>
      <c r="M296" s="138">
        <f>IF('1.DATOS-PROD'!V297="SI",VLOOKUP('1.DATOS-PROD'!V$2,'1.PUNTOS'!$A$1:$B$63,2,0),0)</f>
        <v>0</v>
      </c>
      <c r="N296" s="138">
        <f>IF('1.DATOS-PROD'!W297="SI",VLOOKUP('1.DATOS-PROD'!W$2,'1.PUNTOS'!$A$1:$B$63,2,0),0)</f>
        <v>0</v>
      </c>
      <c r="O296" s="138">
        <f>IF('1.DATOS-PROD'!X297="SI",VLOOKUP('1.DATOS-PROD'!X$2,'1.PUNTOS'!$A$1:$B$63,2,0),0)</f>
        <v>0</v>
      </c>
      <c r="P296" s="138">
        <f>IF('1.DATOS-PROD'!Y297="SI",VLOOKUP('1.DATOS-PROD'!Y$2,'1.PUNTOS'!$A$1:$B$63,2,0),0)</f>
        <v>0</v>
      </c>
      <c r="Q296" s="138">
        <f>IF('1.DATOS-PROD'!Z297="SI",VLOOKUP('1.DATOS-PROD'!Z$2,'1.PUNTOS'!$A$1:$B$63,2,0),0)</f>
        <v>0</v>
      </c>
      <c r="R296" s="138">
        <f>IF('1.DATOS-PROD'!AA297="SI",VLOOKUP('1.DATOS-PROD'!AA$2,'1.PUNTOS'!$A$1:$B$63,2,0),0)</f>
        <v>0</v>
      </c>
      <c r="S296" s="138">
        <f>IF('1.DATOS-PROD'!AB297="SI",VLOOKUP('1.DATOS-PROD'!AB$2,'1.PUNTOS'!$A$1:$B$63,2,0),0)</f>
        <v>0</v>
      </c>
      <c r="T296" s="138">
        <f>IF('1.DATOS-PROD'!AC297="SI",VLOOKUP('1.DATOS-PROD'!AC$2,'1.PUNTOS'!$A$1:$B$63,2,0),0)</f>
        <v>0</v>
      </c>
      <c r="U296" s="138">
        <f>IF('1.DATOS-PROD'!AD297="SI",VLOOKUP('1.DATOS-PROD'!AD$2,'1.PUNTOS'!$A$1:$B$63,2,0),0)</f>
        <v>0</v>
      </c>
      <c r="V296" s="138">
        <f>IF('1.DATOS-PROD'!AE297="SI",VLOOKUP('1.DATOS-PROD'!AE$2,'1.PUNTOS'!$A$1:$B$63,2,0),0)</f>
        <v>0</v>
      </c>
      <c r="W296" s="138">
        <f>IF('1.DATOS-PROD'!AF297="SI",VLOOKUP('1.DATOS-PROD'!AF$2,'1.PUNTOS'!$A$1:$B$63,2,0),0)</f>
        <v>0</v>
      </c>
      <c r="X296" s="138">
        <f>IF('1.DATOS-PROD'!AG297="SI",VLOOKUP('1.DATOS-PROD'!AG$2,'1.PUNTOS'!$A$1:$B$63,2,0),0)</f>
        <v>0</v>
      </c>
      <c r="Y296" s="138">
        <f>IF('1.DATOS-PROD'!AH297="SI",VLOOKUP('1.DATOS-PROD'!AH$2,'1.PUNTOS'!$A$1:$B$63,2,0),0)</f>
        <v>0</v>
      </c>
      <c r="Z296" s="138">
        <f>IF('1.DATOS-PROD'!AI297="SI",VLOOKUP('1.DATOS-PROD'!AI$2,'1.PUNTOS'!$A$1:$B$63,2,0),0)</f>
        <v>0</v>
      </c>
      <c r="AA296" s="138">
        <f>IF('1.DATOS-PROD'!AJ297="SI",VLOOKUP('1.DATOS-PROD'!AJ$2,'1.PUNTOS'!$A$1:$B$63,2,0),0)</f>
        <v>0</v>
      </c>
      <c r="AB296" s="138">
        <f>IF('1.DATOS-PROD'!AK297="SI",VLOOKUP('1.DATOS-PROD'!AK$2,'1.PUNTOS'!$A$1:$B$63,2,0),0)</f>
        <v>0</v>
      </c>
      <c r="AC296" s="138">
        <f>IF('1.DATOS-PROD'!AL297="SI",VLOOKUP('1.DATOS-PROD'!AL$2,'1.PUNTOS'!$A$1:$B$63,2,0),0)</f>
        <v>0</v>
      </c>
      <c r="AD296" s="138">
        <f>IF('1.DATOS-PROD'!AM297="SI",VLOOKUP('1.DATOS-PROD'!AM$2,'1.PUNTOS'!$A$1:$B$63,2,0),0)</f>
        <v>0</v>
      </c>
      <c r="AE296" s="138">
        <f>IF('1.DATOS-PROD'!AN297="SI",VLOOKUP('1.DATOS-PROD'!AN$2,'1.PUNTOS'!$A$1:$B$63,2,0),0)</f>
        <v>0</v>
      </c>
      <c r="AF296" s="138">
        <f>IF('1.DATOS-PROD'!AO297="SI",VLOOKUP('1.DATOS-PROD'!AO$2,'1.PUNTOS'!$A$1:$B$63,2,0),0)</f>
        <v>0</v>
      </c>
      <c r="AG296" s="138">
        <f>IF('1.DATOS-PROD'!AP297="SI",VLOOKUP('1.DATOS-PROD'!AP$2,'1.PUNTOS'!$A$1:$B$63,2,0),0)</f>
        <v>0</v>
      </c>
      <c r="AH296" s="138">
        <f>IF('1.DATOS-PROD'!AQ297="SI",VLOOKUP('1.DATOS-PROD'!AQ$2,'1.PUNTOS'!$A$1:$B$63,2,0),0)</f>
        <v>0</v>
      </c>
      <c r="AI296" s="138">
        <f>IF('1.DATOS-PROD'!AR297="SI",VLOOKUP('1.DATOS-PROD'!AR$2,'1.PUNTOS'!$A$1:$B$63,2,0),0)</f>
        <v>0</v>
      </c>
      <c r="AJ296" s="138">
        <f>IF('1.DATOS-PROD'!AS297="SI",VLOOKUP('1.DATOS-PROD'!AS$2,'1.PUNTOS'!$A$1:$B$63,2,0),0)</f>
        <v>0</v>
      </c>
      <c r="AK296" s="138">
        <f>IF('1.DATOS-PROD'!AT297="SI",VLOOKUP('1.DATOS-PROD'!AT$2,'1.PUNTOS'!$A$1:$B$63,2,0),0)</f>
        <v>0</v>
      </c>
      <c r="AL296" s="138">
        <f>IF('1.DATOS-PROD'!AU297="SI",VLOOKUP('1.DATOS-PROD'!AU$2,'1.PUNTOS'!$A$1:$B$63,2,0),0)</f>
        <v>0</v>
      </c>
      <c r="AM296" s="138">
        <f>IF('1.DATOS-PROD'!AV297="SI",VLOOKUP('1.DATOS-PROD'!AV$2,'1.PUNTOS'!$A$1:$B$63,2,0),0)</f>
        <v>0</v>
      </c>
      <c r="AN296" s="138">
        <f>IF('1.DATOS-PROD'!AW297="SI",VLOOKUP('1.DATOS-PROD'!AW$2,'1.PUNTOS'!$A$1:$B$63,2,0),0)</f>
        <v>0</v>
      </c>
      <c r="AO296" s="138">
        <f>IF('1.DATOS-PROD'!AX297="SI",VLOOKUP('1.DATOS-PROD'!AX$2,'1.PUNTOS'!$A$1:$B$63,2,0),0)</f>
        <v>0</v>
      </c>
      <c r="AP296" s="138">
        <f>IF('1.DATOS-PROD'!AY297="SI",VLOOKUP('1.DATOS-PROD'!AY$2,'1.PUNTOS'!$A$1:$B$63,2,0),0)</f>
        <v>0</v>
      </c>
      <c r="AQ296" s="138">
        <f>IF('1.DATOS-PROD'!AZ297="SI",VLOOKUP('1.DATOS-PROD'!AZ$2,'1.PUNTOS'!$A$1:$B$63,2,0),0)</f>
        <v>0</v>
      </c>
      <c r="AR296" s="138">
        <f>IF('1.DATOS-PROD'!BA297="SI",VLOOKUP('1.DATOS-PROD'!BA$2,'1.PUNTOS'!$A$1:$B$63,2,0),0)</f>
        <v>0</v>
      </c>
      <c r="AS296" s="138">
        <f>IF('1.DATOS-PROD'!BB297="SI",VLOOKUP('1.DATOS-PROD'!BB$2,'1.PUNTOS'!$A$1:$B$63,2,0),0)</f>
        <v>0</v>
      </c>
      <c r="AT296" s="138">
        <f>IF('1.DATOS-PROD'!BC297="SI",VLOOKUP('1.DATOS-PROD'!BC$2,'1.PUNTOS'!$A$1:$B$63,2,0),0)</f>
        <v>0</v>
      </c>
      <c r="AU296" s="138">
        <f>IF('1.DATOS-PROD'!BD297="SI",VLOOKUP('1.DATOS-PROD'!BD$2,'1.PUNTOS'!$A$1:$B$63,2,0),0)</f>
        <v>0</v>
      </c>
      <c r="AV296" s="138">
        <f>IF('1.DATOS-PROD'!BE297="SI",VLOOKUP('1.DATOS-PROD'!BE$2,'1.PUNTOS'!$A$1:$B$63,2,0),0)</f>
        <v>0</v>
      </c>
      <c r="AW296" s="138">
        <f>IF('1.DATOS-PROD'!BF297="SI",VLOOKUP('1.DATOS-PROD'!BF$2,'1.PUNTOS'!$A$1:$B$63,2,0),0)</f>
        <v>0</v>
      </c>
      <c r="AX296" s="138">
        <f>IF('1.DATOS-PROD'!BG297="SI",VLOOKUP('1.DATOS-PROD'!BG$2,'1.PUNTOS'!$A$1:$B$63,2,0),0)</f>
        <v>0</v>
      </c>
      <c r="AY296" s="138">
        <f>IF('1.DATOS-PROD'!BH297="SI",VLOOKUP('1.DATOS-PROD'!BH$2,'1.PUNTOS'!$A$1:$B$63,2,0),0)</f>
        <v>0</v>
      </c>
      <c r="AZ296" s="138">
        <f>IF('1.DATOS-PROD'!BI297="SI",VLOOKUP('1.DATOS-PROD'!BI$2,'1.PUNTOS'!$A$1:$B$63,2,0),0)</f>
        <v>0</v>
      </c>
      <c r="BA296" s="138">
        <f>IF('1.DATOS-PROD'!BJ297="SI",VLOOKUP('1.DATOS-PROD'!BJ$2,'1.PUNTOS'!$A$1:$B$63,2,0),0)</f>
        <v>0</v>
      </c>
      <c r="BB296" s="138">
        <f>IF('1.DATOS-PROD'!BK297="SI",VLOOKUP('1.DATOS-PROD'!BK$2,'1.PUNTOS'!$A$1:$B$63,2,0),0)</f>
        <v>0</v>
      </c>
      <c r="BC296" s="138">
        <f>IF('1.DATOS-PROD'!BL297="SI",VLOOKUP('1.DATOS-PROD'!BL$2,'1.PUNTOS'!$A$1:$B$63,2,0),0)</f>
        <v>0</v>
      </c>
      <c r="BD296" s="138">
        <f>IF('1.DATOS-PROD'!BM297="SI",VLOOKUP('1.DATOS-PROD'!BM$2,'1.PUNTOS'!$A$1:$B$63,2,0),0)</f>
        <v>0</v>
      </c>
      <c r="BE296" s="138">
        <f>IF('1.DATOS-PROD'!BN297="SI",VLOOKUP('1.DATOS-PROD'!BN$2,'1.PUNTOS'!$A$1:$B$63,2,0),0)</f>
        <v>0</v>
      </c>
      <c r="BF296" s="138">
        <f>IF('1.DATOS-PROD'!BO297="SI",VLOOKUP('1.DATOS-PROD'!BO$2,'1.PUNTOS'!$A$1:$B$63,2,0),0)</f>
        <v>0</v>
      </c>
      <c r="BG296" s="138">
        <f>IF('1.DATOS-PROD'!BP297="SI",VLOOKUP('1.DATOS-PROD'!BP$2,'1.PUNTOS'!$A$1:$B$63,2,0),0)</f>
        <v>0</v>
      </c>
      <c r="BH296" s="138">
        <f>IF('1.DATOS-PROD'!BQ297="SI",VLOOKUP('1.DATOS-PROD'!BQ$2,'1.PUNTOS'!$A$1:$B$63,2,0),0)</f>
        <v>0</v>
      </c>
      <c r="BI296" s="138">
        <f>IF('1.DATOS-PROD'!BR297="SI",VLOOKUP('1.DATOS-PROD'!BR$2,'1.PUNTOS'!$A$1:$B$63,2,0),0)</f>
        <v>0</v>
      </c>
      <c r="BJ296" s="138">
        <f>IF('1.DATOS-PROD'!BS297="SI",VLOOKUP('1.DATOS-PROD'!BS$2,'1.PUNTOS'!$A$1:$B$63,2,0),0)</f>
        <v>0</v>
      </c>
      <c r="BK296" s="138">
        <f>IF('1.DATOS-PROD'!BT297="SI",VLOOKUP('1.DATOS-PROD'!BT$2,'1.PUNTOS'!$A$1:$B$63,2,0),0)</f>
        <v>0</v>
      </c>
    </row>
    <row r="297" spans="1:63" x14ac:dyDescent="0.25">
      <c r="A297">
        <f>'0.Consolidado general'!$A298</f>
        <v>0</v>
      </c>
      <c r="B297" s="138">
        <f>IF('1.DATOS-PROD'!K298="SI",VLOOKUP('1.DATOS-PROD'!K$2,'1.PUNTOS'!$A$1:$B$63,2,0),0)</f>
        <v>0</v>
      </c>
      <c r="C297" s="138">
        <f>IF('1.DATOS-PROD'!L298="SI",VLOOKUP('1.DATOS-PROD'!L$2,'1.PUNTOS'!$A$1:$B$63,2,0),0)</f>
        <v>0</v>
      </c>
      <c r="D297" s="138">
        <f>IF('1.DATOS-PROD'!M298="SI",VLOOKUP('1.DATOS-PROD'!M$2,'1.PUNTOS'!$A$1:$B$63,2,0),0)</f>
        <v>0</v>
      </c>
      <c r="E297" s="138">
        <f>IF('1.DATOS-PROD'!N298="SI",VLOOKUP('1.DATOS-PROD'!N$2,'1.PUNTOS'!$A$1:$B$63,2,0),0)</f>
        <v>0</v>
      </c>
      <c r="F297" s="138">
        <f>IF('1.DATOS-PROD'!O298="SI",VLOOKUP('1.DATOS-PROD'!O$2,'1.PUNTOS'!$A$1:$B$63,2,0),0)</f>
        <v>0</v>
      </c>
      <c r="G297" s="138">
        <f>IF('1.DATOS-PROD'!P298="SI",VLOOKUP('1.DATOS-PROD'!P$2,'1.PUNTOS'!$A$1:$B$63,2,0),0)</f>
        <v>0</v>
      </c>
      <c r="H297" s="138">
        <f>IF('1.DATOS-PROD'!Q298="SI",VLOOKUP('1.DATOS-PROD'!Q$2,'1.PUNTOS'!$A$1:$B$63,2,0),0)</f>
        <v>0</v>
      </c>
      <c r="I297" s="138">
        <f>IF('1.DATOS-PROD'!R298="SI",VLOOKUP('1.DATOS-PROD'!R$2,'1.PUNTOS'!$A$1:$B$63,2,0),0)</f>
        <v>0</v>
      </c>
      <c r="J297" s="138">
        <f>IF('1.DATOS-PROD'!S298="SI",VLOOKUP('1.DATOS-PROD'!S$2,'1.PUNTOS'!$A$1:$B$63,2,0),0)</f>
        <v>0</v>
      </c>
      <c r="K297" s="138">
        <f>IF('1.DATOS-PROD'!T298="SI",VLOOKUP('1.DATOS-PROD'!T$2,'1.PUNTOS'!$A$1:$B$63,2,0),0)</f>
        <v>0</v>
      </c>
      <c r="L297" s="138">
        <f>IF('1.DATOS-PROD'!U298="SI",VLOOKUP('1.DATOS-PROD'!U$2,'1.PUNTOS'!$A$1:$B$63,2,0),0)</f>
        <v>0</v>
      </c>
      <c r="M297" s="138">
        <f>IF('1.DATOS-PROD'!V298="SI",VLOOKUP('1.DATOS-PROD'!V$2,'1.PUNTOS'!$A$1:$B$63,2,0),0)</f>
        <v>0</v>
      </c>
      <c r="N297" s="138">
        <f>IF('1.DATOS-PROD'!W298="SI",VLOOKUP('1.DATOS-PROD'!W$2,'1.PUNTOS'!$A$1:$B$63,2,0),0)</f>
        <v>0</v>
      </c>
      <c r="O297" s="138">
        <f>IF('1.DATOS-PROD'!X298="SI",VLOOKUP('1.DATOS-PROD'!X$2,'1.PUNTOS'!$A$1:$B$63,2,0),0)</f>
        <v>0</v>
      </c>
      <c r="P297" s="138">
        <f>IF('1.DATOS-PROD'!Y298="SI",VLOOKUP('1.DATOS-PROD'!Y$2,'1.PUNTOS'!$A$1:$B$63,2,0),0)</f>
        <v>0</v>
      </c>
      <c r="Q297" s="138">
        <f>IF('1.DATOS-PROD'!Z298="SI",VLOOKUP('1.DATOS-PROD'!Z$2,'1.PUNTOS'!$A$1:$B$63,2,0),0)</f>
        <v>0</v>
      </c>
      <c r="R297" s="138">
        <f>IF('1.DATOS-PROD'!AA298="SI",VLOOKUP('1.DATOS-PROD'!AA$2,'1.PUNTOS'!$A$1:$B$63,2,0),0)</f>
        <v>0</v>
      </c>
      <c r="S297" s="138">
        <f>IF('1.DATOS-PROD'!AB298="SI",VLOOKUP('1.DATOS-PROD'!AB$2,'1.PUNTOS'!$A$1:$B$63,2,0),0)</f>
        <v>0</v>
      </c>
      <c r="T297" s="138">
        <f>IF('1.DATOS-PROD'!AC298="SI",VLOOKUP('1.DATOS-PROD'!AC$2,'1.PUNTOS'!$A$1:$B$63,2,0),0)</f>
        <v>0</v>
      </c>
      <c r="U297" s="138">
        <f>IF('1.DATOS-PROD'!AD298="SI",VLOOKUP('1.DATOS-PROD'!AD$2,'1.PUNTOS'!$A$1:$B$63,2,0),0)</f>
        <v>0</v>
      </c>
      <c r="V297" s="138">
        <f>IF('1.DATOS-PROD'!AE298="SI",VLOOKUP('1.DATOS-PROD'!AE$2,'1.PUNTOS'!$A$1:$B$63,2,0),0)</f>
        <v>0</v>
      </c>
      <c r="W297" s="138">
        <f>IF('1.DATOS-PROD'!AF298="SI",VLOOKUP('1.DATOS-PROD'!AF$2,'1.PUNTOS'!$A$1:$B$63,2,0),0)</f>
        <v>0</v>
      </c>
      <c r="X297" s="138">
        <f>IF('1.DATOS-PROD'!AG298="SI",VLOOKUP('1.DATOS-PROD'!AG$2,'1.PUNTOS'!$A$1:$B$63,2,0),0)</f>
        <v>0</v>
      </c>
      <c r="Y297" s="138">
        <f>IF('1.DATOS-PROD'!AH298="SI",VLOOKUP('1.DATOS-PROD'!AH$2,'1.PUNTOS'!$A$1:$B$63,2,0),0)</f>
        <v>0</v>
      </c>
      <c r="Z297" s="138">
        <f>IF('1.DATOS-PROD'!AI298="SI",VLOOKUP('1.DATOS-PROD'!AI$2,'1.PUNTOS'!$A$1:$B$63,2,0),0)</f>
        <v>0</v>
      </c>
      <c r="AA297" s="138">
        <f>IF('1.DATOS-PROD'!AJ298="SI",VLOOKUP('1.DATOS-PROD'!AJ$2,'1.PUNTOS'!$A$1:$B$63,2,0),0)</f>
        <v>0</v>
      </c>
      <c r="AB297" s="138">
        <f>IF('1.DATOS-PROD'!AK298="SI",VLOOKUP('1.DATOS-PROD'!AK$2,'1.PUNTOS'!$A$1:$B$63,2,0),0)</f>
        <v>0</v>
      </c>
      <c r="AC297" s="138">
        <f>IF('1.DATOS-PROD'!AL298="SI",VLOOKUP('1.DATOS-PROD'!AL$2,'1.PUNTOS'!$A$1:$B$63,2,0),0)</f>
        <v>0</v>
      </c>
      <c r="AD297" s="138">
        <f>IF('1.DATOS-PROD'!AM298="SI",VLOOKUP('1.DATOS-PROD'!AM$2,'1.PUNTOS'!$A$1:$B$63,2,0),0)</f>
        <v>0</v>
      </c>
      <c r="AE297" s="138">
        <f>IF('1.DATOS-PROD'!AN298="SI",VLOOKUP('1.DATOS-PROD'!AN$2,'1.PUNTOS'!$A$1:$B$63,2,0),0)</f>
        <v>0</v>
      </c>
      <c r="AF297" s="138">
        <f>IF('1.DATOS-PROD'!AO298="SI",VLOOKUP('1.DATOS-PROD'!AO$2,'1.PUNTOS'!$A$1:$B$63,2,0),0)</f>
        <v>0</v>
      </c>
      <c r="AG297" s="138">
        <f>IF('1.DATOS-PROD'!AP298="SI",VLOOKUP('1.DATOS-PROD'!AP$2,'1.PUNTOS'!$A$1:$B$63,2,0),0)</f>
        <v>0</v>
      </c>
      <c r="AH297" s="138">
        <f>IF('1.DATOS-PROD'!AQ298="SI",VLOOKUP('1.DATOS-PROD'!AQ$2,'1.PUNTOS'!$A$1:$B$63,2,0),0)</f>
        <v>0</v>
      </c>
      <c r="AI297" s="138">
        <f>IF('1.DATOS-PROD'!AR298="SI",VLOOKUP('1.DATOS-PROD'!AR$2,'1.PUNTOS'!$A$1:$B$63,2,0),0)</f>
        <v>0</v>
      </c>
      <c r="AJ297" s="138">
        <f>IF('1.DATOS-PROD'!AS298="SI",VLOOKUP('1.DATOS-PROD'!AS$2,'1.PUNTOS'!$A$1:$B$63,2,0),0)</f>
        <v>0</v>
      </c>
      <c r="AK297" s="138">
        <f>IF('1.DATOS-PROD'!AT298="SI",VLOOKUP('1.DATOS-PROD'!AT$2,'1.PUNTOS'!$A$1:$B$63,2,0),0)</f>
        <v>0</v>
      </c>
      <c r="AL297" s="138">
        <f>IF('1.DATOS-PROD'!AU298="SI",VLOOKUP('1.DATOS-PROD'!AU$2,'1.PUNTOS'!$A$1:$B$63,2,0),0)</f>
        <v>0</v>
      </c>
      <c r="AM297" s="138">
        <f>IF('1.DATOS-PROD'!AV298="SI",VLOOKUP('1.DATOS-PROD'!AV$2,'1.PUNTOS'!$A$1:$B$63,2,0),0)</f>
        <v>0</v>
      </c>
      <c r="AN297" s="138">
        <f>IF('1.DATOS-PROD'!AW298="SI",VLOOKUP('1.DATOS-PROD'!AW$2,'1.PUNTOS'!$A$1:$B$63,2,0),0)</f>
        <v>0</v>
      </c>
      <c r="AO297" s="138">
        <f>IF('1.DATOS-PROD'!AX298="SI",VLOOKUP('1.DATOS-PROD'!AX$2,'1.PUNTOS'!$A$1:$B$63,2,0),0)</f>
        <v>0</v>
      </c>
      <c r="AP297" s="138">
        <f>IF('1.DATOS-PROD'!AY298="SI",VLOOKUP('1.DATOS-PROD'!AY$2,'1.PUNTOS'!$A$1:$B$63,2,0),0)</f>
        <v>0</v>
      </c>
      <c r="AQ297" s="138">
        <f>IF('1.DATOS-PROD'!AZ298="SI",VLOOKUP('1.DATOS-PROD'!AZ$2,'1.PUNTOS'!$A$1:$B$63,2,0),0)</f>
        <v>0</v>
      </c>
      <c r="AR297" s="138">
        <f>IF('1.DATOS-PROD'!BA298="SI",VLOOKUP('1.DATOS-PROD'!BA$2,'1.PUNTOS'!$A$1:$B$63,2,0),0)</f>
        <v>0</v>
      </c>
      <c r="AS297" s="138">
        <f>IF('1.DATOS-PROD'!BB298="SI",VLOOKUP('1.DATOS-PROD'!BB$2,'1.PUNTOS'!$A$1:$B$63,2,0),0)</f>
        <v>0</v>
      </c>
      <c r="AT297" s="138">
        <f>IF('1.DATOS-PROD'!BC298="SI",VLOOKUP('1.DATOS-PROD'!BC$2,'1.PUNTOS'!$A$1:$B$63,2,0),0)</f>
        <v>0</v>
      </c>
      <c r="AU297" s="138">
        <f>IF('1.DATOS-PROD'!BD298="SI",VLOOKUP('1.DATOS-PROD'!BD$2,'1.PUNTOS'!$A$1:$B$63,2,0),0)</f>
        <v>0</v>
      </c>
      <c r="AV297" s="138">
        <f>IF('1.DATOS-PROD'!BE298="SI",VLOOKUP('1.DATOS-PROD'!BE$2,'1.PUNTOS'!$A$1:$B$63,2,0),0)</f>
        <v>0</v>
      </c>
      <c r="AW297" s="138">
        <f>IF('1.DATOS-PROD'!BF298="SI",VLOOKUP('1.DATOS-PROD'!BF$2,'1.PUNTOS'!$A$1:$B$63,2,0),0)</f>
        <v>0</v>
      </c>
      <c r="AX297" s="138">
        <f>IF('1.DATOS-PROD'!BG298="SI",VLOOKUP('1.DATOS-PROD'!BG$2,'1.PUNTOS'!$A$1:$B$63,2,0),0)</f>
        <v>0</v>
      </c>
      <c r="AY297" s="138">
        <f>IF('1.DATOS-PROD'!BH298="SI",VLOOKUP('1.DATOS-PROD'!BH$2,'1.PUNTOS'!$A$1:$B$63,2,0),0)</f>
        <v>0</v>
      </c>
      <c r="AZ297" s="138">
        <f>IF('1.DATOS-PROD'!BI298="SI",VLOOKUP('1.DATOS-PROD'!BI$2,'1.PUNTOS'!$A$1:$B$63,2,0),0)</f>
        <v>0</v>
      </c>
      <c r="BA297" s="138">
        <f>IF('1.DATOS-PROD'!BJ298="SI",VLOOKUP('1.DATOS-PROD'!BJ$2,'1.PUNTOS'!$A$1:$B$63,2,0),0)</f>
        <v>0</v>
      </c>
      <c r="BB297" s="138">
        <f>IF('1.DATOS-PROD'!BK298="SI",VLOOKUP('1.DATOS-PROD'!BK$2,'1.PUNTOS'!$A$1:$B$63,2,0),0)</f>
        <v>0</v>
      </c>
      <c r="BC297" s="138">
        <f>IF('1.DATOS-PROD'!BL298="SI",VLOOKUP('1.DATOS-PROD'!BL$2,'1.PUNTOS'!$A$1:$B$63,2,0),0)</f>
        <v>0</v>
      </c>
      <c r="BD297" s="138">
        <f>IF('1.DATOS-PROD'!BM298="SI",VLOOKUP('1.DATOS-PROD'!BM$2,'1.PUNTOS'!$A$1:$B$63,2,0),0)</f>
        <v>0</v>
      </c>
      <c r="BE297" s="138">
        <f>IF('1.DATOS-PROD'!BN298="SI",VLOOKUP('1.DATOS-PROD'!BN$2,'1.PUNTOS'!$A$1:$B$63,2,0),0)</f>
        <v>0</v>
      </c>
      <c r="BF297" s="138">
        <f>IF('1.DATOS-PROD'!BO298="SI",VLOOKUP('1.DATOS-PROD'!BO$2,'1.PUNTOS'!$A$1:$B$63,2,0),0)</f>
        <v>0</v>
      </c>
      <c r="BG297" s="138">
        <f>IF('1.DATOS-PROD'!BP298="SI",VLOOKUP('1.DATOS-PROD'!BP$2,'1.PUNTOS'!$A$1:$B$63,2,0),0)</f>
        <v>0</v>
      </c>
      <c r="BH297" s="138">
        <f>IF('1.DATOS-PROD'!BQ298="SI",VLOOKUP('1.DATOS-PROD'!BQ$2,'1.PUNTOS'!$A$1:$B$63,2,0),0)</f>
        <v>0</v>
      </c>
      <c r="BI297" s="138">
        <f>IF('1.DATOS-PROD'!BR298="SI",VLOOKUP('1.DATOS-PROD'!BR$2,'1.PUNTOS'!$A$1:$B$63,2,0),0)</f>
        <v>0</v>
      </c>
      <c r="BJ297" s="138">
        <f>IF('1.DATOS-PROD'!BS298="SI",VLOOKUP('1.DATOS-PROD'!BS$2,'1.PUNTOS'!$A$1:$B$63,2,0),0)</f>
        <v>0</v>
      </c>
      <c r="BK297" s="138">
        <f>IF('1.DATOS-PROD'!BT298="SI",VLOOKUP('1.DATOS-PROD'!BT$2,'1.PUNTOS'!$A$1:$B$63,2,0),0)</f>
        <v>0</v>
      </c>
    </row>
    <row r="298" spans="1:63" x14ac:dyDescent="0.25">
      <c r="A298">
        <f>'0.Consolidado general'!$A299</f>
        <v>0</v>
      </c>
      <c r="B298" s="138">
        <f>IF('1.DATOS-PROD'!K299="SI",VLOOKUP('1.DATOS-PROD'!K$2,'1.PUNTOS'!$A$1:$B$63,2,0),0)</f>
        <v>0</v>
      </c>
      <c r="C298" s="138">
        <f>IF('1.DATOS-PROD'!L299="SI",VLOOKUP('1.DATOS-PROD'!L$2,'1.PUNTOS'!$A$1:$B$63,2,0),0)</f>
        <v>0</v>
      </c>
      <c r="D298" s="138">
        <f>IF('1.DATOS-PROD'!M299="SI",VLOOKUP('1.DATOS-PROD'!M$2,'1.PUNTOS'!$A$1:$B$63,2,0),0)</f>
        <v>0</v>
      </c>
      <c r="E298" s="138">
        <f>IF('1.DATOS-PROD'!N299="SI",VLOOKUP('1.DATOS-PROD'!N$2,'1.PUNTOS'!$A$1:$B$63,2,0),0)</f>
        <v>0</v>
      </c>
      <c r="F298" s="138">
        <f>IF('1.DATOS-PROD'!O299="SI",VLOOKUP('1.DATOS-PROD'!O$2,'1.PUNTOS'!$A$1:$B$63,2,0),0)</f>
        <v>0</v>
      </c>
      <c r="G298" s="138">
        <f>IF('1.DATOS-PROD'!P299="SI",VLOOKUP('1.DATOS-PROD'!P$2,'1.PUNTOS'!$A$1:$B$63,2,0),0)</f>
        <v>0</v>
      </c>
      <c r="H298" s="138">
        <f>IF('1.DATOS-PROD'!Q299="SI",VLOOKUP('1.DATOS-PROD'!Q$2,'1.PUNTOS'!$A$1:$B$63,2,0),0)</f>
        <v>0</v>
      </c>
      <c r="I298" s="138">
        <f>IF('1.DATOS-PROD'!R299="SI",VLOOKUP('1.DATOS-PROD'!R$2,'1.PUNTOS'!$A$1:$B$63,2,0),0)</f>
        <v>0</v>
      </c>
      <c r="J298" s="138">
        <f>IF('1.DATOS-PROD'!S299="SI",VLOOKUP('1.DATOS-PROD'!S$2,'1.PUNTOS'!$A$1:$B$63,2,0),0)</f>
        <v>0</v>
      </c>
      <c r="K298" s="138">
        <f>IF('1.DATOS-PROD'!T299="SI",VLOOKUP('1.DATOS-PROD'!T$2,'1.PUNTOS'!$A$1:$B$63,2,0),0)</f>
        <v>0</v>
      </c>
      <c r="L298" s="138">
        <f>IF('1.DATOS-PROD'!U299="SI",VLOOKUP('1.DATOS-PROD'!U$2,'1.PUNTOS'!$A$1:$B$63,2,0),0)</f>
        <v>0</v>
      </c>
      <c r="M298" s="138">
        <f>IF('1.DATOS-PROD'!V299="SI",VLOOKUP('1.DATOS-PROD'!V$2,'1.PUNTOS'!$A$1:$B$63,2,0),0)</f>
        <v>0</v>
      </c>
      <c r="N298" s="138">
        <f>IF('1.DATOS-PROD'!W299="SI",VLOOKUP('1.DATOS-PROD'!W$2,'1.PUNTOS'!$A$1:$B$63,2,0),0)</f>
        <v>0</v>
      </c>
      <c r="O298" s="138">
        <f>IF('1.DATOS-PROD'!X299="SI",VLOOKUP('1.DATOS-PROD'!X$2,'1.PUNTOS'!$A$1:$B$63,2,0),0)</f>
        <v>0</v>
      </c>
      <c r="P298" s="138">
        <f>IF('1.DATOS-PROD'!Y299="SI",VLOOKUP('1.DATOS-PROD'!Y$2,'1.PUNTOS'!$A$1:$B$63,2,0),0)</f>
        <v>0</v>
      </c>
      <c r="Q298" s="138">
        <f>IF('1.DATOS-PROD'!Z299="SI",VLOOKUP('1.DATOS-PROD'!Z$2,'1.PUNTOS'!$A$1:$B$63,2,0),0)</f>
        <v>0</v>
      </c>
      <c r="R298" s="138">
        <f>IF('1.DATOS-PROD'!AA299="SI",VLOOKUP('1.DATOS-PROD'!AA$2,'1.PUNTOS'!$A$1:$B$63,2,0),0)</f>
        <v>0</v>
      </c>
      <c r="S298" s="138">
        <f>IF('1.DATOS-PROD'!AB299="SI",VLOOKUP('1.DATOS-PROD'!AB$2,'1.PUNTOS'!$A$1:$B$63,2,0),0)</f>
        <v>0</v>
      </c>
      <c r="T298" s="138">
        <f>IF('1.DATOS-PROD'!AC299="SI",VLOOKUP('1.DATOS-PROD'!AC$2,'1.PUNTOS'!$A$1:$B$63,2,0),0)</f>
        <v>0</v>
      </c>
      <c r="U298" s="138">
        <f>IF('1.DATOS-PROD'!AD299="SI",VLOOKUP('1.DATOS-PROD'!AD$2,'1.PUNTOS'!$A$1:$B$63,2,0),0)</f>
        <v>0</v>
      </c>
      <c r="V298" s="138">
        <f>IF('1.DATOS-PROD'!AE299="SI",VLOOKUP('1.DATOS-PROD'!AE$2,'1.PUNTOS'!$A$1:$B$63,2,0),0)</f>
        <v>0</v>
      </c>
      <c r="W298" s="138">
        <f>IF('1.DATOS-PROD'!AF299="SI",VLOOKUP('1.DATOS-PROD'!AF$2,'1.PUNTOS'!$A$1:$B$63,2,0),0)</f>
        <v>0</v>
      </c>
      <c r="X298" s="138">
        <f>IF('1.DATOS-PROD'!AG299="SI",VLOOKUP('1.DATOS-PROD'!AG$2,'1.PUNTOS'!$A$1:$B$63,2,0),0)</f>
        <v>0</v>
      </c>
      <c r="Y298" s="138">
        <f>IF('1.DATOS-PROD'!AH299="SI",VLOOKUP('1.DATOS-PROD'!AH$2,'1.PUNTOS'!$A$1:$B$63,2,0),0)</f>
        <v>0</v>
      </c>
      <c r="Z298" s="138">
        <f>IF('1.DATOS-PROD'!AI299="SI",VLOOKUP('1.DATOS-PROD'!AI$2,'1.PUNTOS'!$A$1:$B$63,2,0),0)</f>
        <v>0</v>
      </c>
      <c r="AA298" s="138">
        <f>IF('1.DATOS-PROD'!AJ299="SI",VLOOKUP('1.DATOS-PROD'!AJ$2,'1.PUNTOS'!$A$1:$B$63,2,0),0)</f>
        <v>0</v>
      </c>
      <c r="AB298" s="138">
        <f>IF('1.DATOS-PROD'!AK299="SI",VLOOKUP('1.DATOS-PROD'!AK$2,'1.PUNTOS'!$A$1:$B$63,2,0),0)</f>
        <v>0</v>
      </c>
      <c r="AC298" s="138">
        <f>IF('1.DATOS-PROD'!AL299="SI",VLOOKUP('1.DATOS-PROD'!AL$2,'1.PUNTOS'!$A$1:$B$63,2,0),0)</f>
        <v>0</v>
      </c>
      <c r="AD298" s="138">
        <f>IF('1.DATOS-PROD'!AM299="SI",VLOOKUP('1.DATOS-PROD'!AM$2,'1.PUNTOS'!$A$1:$B$63,2,0),0)</f>
        <v>0</v>
      </c>
      <c r="AE298" s="138">
        <f>IF('1.DATOS-PROD'!AN299="SI",VLOOKUP('1.DATOS-PROD'!AN$2,'1.PUNTOS'!$A$1:$B$63,2,0),0)</f>
        <v>0</v>
      </c>
      <c r="AF298" s="138">
        <f>IF('1.DATOS-PROD'!AO299="SI",VLOOKUP('1.DATOS-PROD'!AO$2,'1.PUNTOS'!$A$1:$B$63,2,0),0)</f>
        <v>0</v>
      </c>
      <c r="AG298" s="138">
        <f>IF('1.DATOS-PROD'!AP299="SI",VLOOKUP('1.DATOS-PROD'!AP$2,'1.PUNTOS'!$A$1:$B$63,2,0),0)</f>
        <v>0</v>
      </c>
      <c r="AH298" s="138">
        <f>IF('1.DATOS-PROD'!AQ299="SI",VLOOKUP('1.DATOS-PROD'!AQ$2,'1.PUNTOS'!$A$1:$B$63,2,0),0)</f>
        <v>0</v>
      </c>
      <c r="AI298" s="138">
        <f>IF('1.DATOS-PROD'!AR299="SI",VLOOKUP('1.DATOS-PROD'!AR$2,'1.PUNTOS'!$A$1:$B$63,2,0),0)</f>
        <v>0</v>
      </c>
      <c r="AJ298" s="138">
        <f>IF('1.DATOS-PROD'!AS299="SI",VLOOKUP('1.DATOS-PROD'!AS$2,'1.PUNTOS'!$A$1:$B$63,2,0),0)</f>
        <v>0</v>
      </c>
      <c r="AK298" s="138">
        <f>IF('1.DATOS-PROD'!AT299="SI",VLOOKUP('1.DATOS-PROD'!AT$2,'1.PUNTOS'!$A$1:$B$63,2,0),0)</f>
        <v>0</v>
      </c>
      <c r="AL298" s="138">
        <f>IF('1.DATOS-PROD'!AU299="SI",VLOOKUP('1.DATOS-PROD'!AU$2,'1.PUNTOS'!$A$1:$B$63,2,0),0)</f>
        <v>0</v>
      </c>
      <c r="AM298" s="138">
        <f>IF('1.DATOS-PROD'!AV299="SI",VLOOKUP('1.DATOS-PROD'!AV$2,'1.PUNTOS'!$A$1:$B$63,2,0),0)</f>
        <v>0</v>
      </c>
      <c r="AN298" s="138">
        <f>IF('1.DATOS-PROD'!AW299="SI",VLOOKUP('1.DATOS-PROD'!AW$2,'1.PUNTOS'!$A$1:$B$63,2,0),0)</f>
        <v>0</v>
      </c>
      <c r="AO298" s="138">
        <f>IF('1.DATOS-PROD'!AX299="SI",VLOOKUP('1.DATOS-PROD'!AX$2,'1.PUNTOS'!$A$1:$B$63,2,0),0)</f>
        <v>0</v>
      </c>
      <c r="AP298" s="138">
        <f>IF('1.DATOS-PROD'!AY299="SI",VLOOKUP('1.DATOS-PROD'!AY$2,'1.PUNTOS'!$A$1:$B$63,2,0),0)</f>
        <v>0</v>
      </c>
      <c r="AQ298" s="138">
        <f>IF('1.DATOS-PROD'!AZ299="SI",VLOOKUP('1.DATOS-PROD'!AZ$2,'1.PUNTOS'!$A$1:$B$63,2,0),0)</f>
        <v>0</v>
      </c>
      <c r="AR298" s="138">
        <f>IF('1.DATOS-PROD'!BA299="SI",VLOOKUP('1.DATOS-PROD'!BA$2,'1.PUNTOS'!$A$1:$B$63,2,0),0)</f>
        <v>0</v>
      </c>
      <c r="AS298" s="138">
        <f>IF('1.DATOS-PROD'!BB299="SI",VLOOKUP('1.DATOS-PROD'!BB$2,'1.PUNTOS'!$A$1:$B$63,2,0),0)</f>
        <v>0</v>
      </c>
      <c r="AT298" s="138">
        <f>IF('1.DATOS-PROD'!BC299="SI",VLOOKUP('1.DATOS-PROD'!BC$2,'1.PUNTOS'!$A$1:$B$63,2,0),0)</f>
        <v>0</v>
      </c>
      <c r="AU298" s="138">
        <f>IF('1.DATOS-PROD'!BD299="SI",VLOOKUP('1.DATOS-PROD'!BD$2,'1.PUNTOS'!$A$1:$B$63,2,0),0)</f>
        <v>0</v>
      </c>
      <c r="AV298" s="138">
        <f>IF('1.DATOS-PROD'!BE299="SI",VLOOKUP('1.DATOS-PROD'!BE$2,'1.PUNTOS'!$A$1:$B$63,2,0),0)</f>
        <v>0</v>
      </c>
      <c r="AW298" s="138">
        <f>IF('1.DATOS-PROD'!BF299="SI",VLOOKUP('1.DATOS-PROD'!BF$2,'1.PUNTOS'!$A$1:$B$63,2,0),0)</f>
        <v>0</v>
      </c>
      <c r="AX298" s="138">
        <f>IF('1.DATOS-PROD'!BG299="SI",VLOOKUP('1.DATOS-PROD'!BG$2,'1.PUNTOS'!$A$1:$B$63,2,0),0)</f>
        <v>0</v>
      </c>
      <c r="AY298" s="138">
        <f>IF('1.DATOS-PROD'!BH299="SI",VLOOKUP('1.DATOS-PROD'!BH$2,'1.PUNTOS'!$A$1:$B$63,2,0),0)</f>
        <v>0</v>
      </c>
      <c r="AZ298" s="138">
        <f>IF('1.DATOS-PROD'!BI299="SI",VLOOKUP('1.DATOS-PROD'!BI$2,'1.PUNTOS'!$A$1:$B$63,2,0),0)</f>
        <v>0</v>
      </c>
      <c r="BA298" s="138">
        <f>IF('1.DATOS-PROD'!BJ299="SI",VLOOKUP('1.DATOS-PROD'!BJ$2,'1.PUNTOS'!$A$1:$B$63,2,0),0)</f>
        <v>0</v>
      </c>
      <c r="BB298" s="138">
        <f>IF('1.DATOS-PROD'!BK299="SI",VLOOKUP('1.DATOS-PROD'!BK$2,'1.PUNTOS'!$A$1:$B$63,2,0),0)</f>
        <v>0</v>
      </c>
      <c r="BC298" s="138">
        <f>IF('1.DATOS-PROD'!BL299="SI",VLOOKUP('1.DATOS-PROD'!BL$2,'1.PUNTOS'!$A$1:$B$63,2,0),0)</f>
        <v>0</v>
      </c>
      <c r="BD298" s="138">
        <f>IF('1.DATOS-PROD'!BM299="SI",VLOOKUP('1.DATOS-PROD'!BM$2,'1.PUNTOS'!$A$1:$B$63,2,0),0)</f>
        <v>0</v>
      </c>
      <c r="BE298" s="138">
        <f>IF('1.DATOS-PROD'!BN299="SI",VLOOKUP('1.DATOS-PROD'!BN$2,'1.PUNTOS'!$A$1:$B$63,2,0),0)</f>
        <v>0</v>
      </c>
      <c r="BF298" s="138">
        <f>IF('1.DATOS-PROD'!BO299="SI",VLOOKUP('1.DATOS-PROD'!BO$2,'1.PUNTOS'!$A$1:$B$63,2,0),0)</f>
        <v>0</v>
      </c>
      <c r="BG298" s="138">
        <f>IF('1.DATOS-PROD'!BP299="SI",VLOOKUP('1.DATOS-PROD'!BP$2,'1.PUNTOS'!$A$1:$B$63,2,0),0)</f>
        <v>0</v>
      </c>
      <c r="BH298" s="138">
        <f>IF('1.DATOS-PROD'!BQ299="SI",VLOOKUP('1.DATOS-PROD'!BQ$2,'1.PUNTOS'!$A$1:$B$63,2,0),0)</f>
        <v>0</v>
      </c>
      <c r="BI298" s="138">
        <f>IF('1.DATOS-PROD'!BR299="SI",VLOOKUP('1.DATOS-PROD'!BR$2,'1.PUNTOS'!$A$1:$B$63,2,0),0)</f>
        <v>0</v>
      </c>
      <c r="BJ298" s="138">
        <f>IF('1.DATOS-PROD'!BS299="SI",VLOOKUP('1.DATOS-PROD'!BS$2,'1.PUNTOS'!$A$1:$B$63,2,0),0)</f>
        <v>0</v>
      </c>
      <c r="BK298" s="138">
        <f>IF('1.DATOS-PROD'!BT299="SI",VLOOKUP('1.DATOS-PROD'!BT$2,'1.PUNTOS'!$A$1:$B$63,2,0),0)</f>
        <v>0</v>
      </c>
    </row>
    <row r="299" spans="1:63" x14ac:dyDescent="0.25">
      <c r="A299">
        <f>'0.Consolidado general'!$A300</f>
        <v>0</v>
      </c>
      <c r="B299" s="138">
        <f>IF('1.DATOS-PROD'!K300="SI",VLOOKUP('1.DATOS-PROD'!K$2,'1.PUNTOS'!$A$1:$B$63,2,0),0)</f>
        <v>0</v>
      </c>
      <c r="C299" s="138">
        <f>IF('1.DATOS-PROD'!L300="SI",VLOOKUP('1.DATOS-PROD'!L$2,'1.PUNTOS'!$A$1:$B$63,2,0),0)</f>
        <v>0</v>
      </c>
      <c r="D299" s="138">
        <f>IF('1.DATOS-PROD'!M300="SI",VLOOKUP('1.DATOS-PROD'!M$2,'1.PUNTOS'!$A$1:$B$63,2,0),0)</f>
        <v>0</v>
      </c>
      <c r="E299" s="138">
        <f>IF('1.DATOS-PROD'!N300="SI",VLOOKUP('1.DATOS-PROD'!N$2,'1.PUNTOS'!$A$1:$B$63,2,0),0)</f>
        <v>0</v>
      </c>
      <c r="F299" s="138">
        <f>IF('1.DATOS-PROD'!O300="SI",VLOOKUP('1.DATOS-PROD'!O$2,'1.PUNTOS'!$A$1:$B$63,2,0),0)</f>
        <v>0</v>
      </c>
      <c r="G299" s="138">
        <f>IF('1.DATOS-PROD'!P300="SI",VLOOKUP('1.DATOS-PROD'!P$2,'1.PUNTOS'!$A$1:$B$63,2,0),0)</f>
        <v>0</v>
      </c>
      <c r="H299" s="138">
        <f>IF('1.DATOS-PROD'!Q300="SI",VLOOKUP('1.DATOS-PROD'!Q$2,'1.PUNTOS'!$A$1:$B$63,2,0),0)</f>
        <v>0</v>
      </c>
      <c r="I299" s="138">
        <f>IF('1.DATOS-PROD'!R300="SI",VLOOKUP('1.DATOS-PROD'!R$2,'1.PUNTOS'!$A$1:$B$63,2,0),0)</f>
        <v>0</v>
      </c>
      <c r="J299" s="138">
        <f>IF('1.DATOS-PROD'!S300="SI",VLOOKUP('1.DATOS-PROD'!S$2,'1.PUNTOS'!$A$1:$B$63,2,0),0)</f>
        <v>0</v>
      </c>
      <c r="K299" s="138">
        <f>IF('1.DATOS-PROD'!T300="SI",VLOOKUP('1.DATOS-PROD'!T$2,'1.PUNTOS'!$A$1:$B$63,2,0),0)</f>
        <v>0</v>
      </c>
      <c r="L299" s="138">
        <f>IF('1.DATOS-PROD'!U300="SI",VLOOKUP('1.DATOS-PROD'!U$2,'1.PUNTOS'!$A$1:$B$63,2,0),0)</f>
        <v>0</v>
      </c>
      <c r="M299" s="138">
        <f>IF('1.DATOS-PROD'!V300="SI",VLOOKUP('1.DATOS-PROD'!V$2,'1.PUNTOS'!$A$1:$B$63,2,0),0)</f>
        <v>0</v>
      </c>
      <c r="N299" s="138">
        <f>IF('1.DATOS-PROD'!W300="SI",VLOOKUP('1.DATOS-PROD'!W$2,'1.PUNTOS'!$A$1:$B$63,2,0),0)</f>
        <v>0</v>
      </c>
      <c r="O299" s="138">
        <f>IF('1.DATOS-PROD'!X300="SI",VLOOKUP('1.DATOS-PROD'!X$2,'1.PUNTOS'!$A$1:$B$63,2,0),0)</f>
        <v>0</v>
      </c>
      <c r="P299" s="138">
        <f>IF('1.DATOS-PROD'!Y300="SI",VLOOKUP('1.DATOS-PROD'!Y$2,'1.PUNTOS'!$A$1:$B$63,2,0),0)</f>
        <v>0</v>
      </c>
      <c r="Q299" s="138">
        <f>IF('1.DATOS-PROD'!Z300="SI",VLOOKUP('1.DATOS-PROD'!Z$2,'1.PUNTOS'!$A$1:$B$63,2,0),0)</f>
        <v>0</v>
      </c>
      <c r="R299" s="138">
        <f>IF('1.DATOS-PROD'!AA300="SI",VLOOKUP('1.DATOS-PROD'!AA$2,'1.PUNTOS'!$A$1:$B$63,2,0),0)</f>
        <v>0</v>
      </c>
      <c r="S299" s="138">
        <f>IF('1.DATOS-PROD'!AB300="SI",VLOOKUP('1.DATOS-PROD'!AB$2,'1.PUNTOS'!$A$1:$B$63,2,0),0)</f>
        <v>0</v>
      </c>
      <c r="T299" s="138">
        <f>IF('1.DATOS-PROD'!AC300="SI",VLOOKUP('1.DATOS-PROD'!AC$2,'1.PUNTOS'!$A$1:$B$63,2,0),0)</f>
        <v>0</v>
      </c>
      <c r="U299" s="138">
        <f>IF('1.DATOS-PROD'!AD300="SI",VLOOKUP('1.DATOS-PROD'!AD$2,'1.PUNTOS'!$A$1:$B$63,2,0),0)</f>
        <v>0</v>
      </c>
      <c r="V299" s="138">
        <f>IF('1.DATOS-PROD'!AE300="SI",VLOOKUP('1.DATOS-PROD'!AE$2,'1.PUNTOS'!$A$1:$B$63,2,0),0)</f>
        <v>0</v>
      </c>
      <c r="W299" s="138">
        <f>IF('1.DATOS-PROD'!AF300="SI",VLOOKUP('1.DATOS-PROD'!AF$2,'1.PUNTOS'!$A$1:$B$63,2,0),0)</f>
        <v>0</v>
      </c>
      <c r="X299" s="138">
        <f>IF('1.DATOS-PROD'!AG300="SI",VLOOKUP('1.DATOS-PROD'!AG$2,'1.PUNTOS'!$A$1:$B$63,2,0),0)</f>
        <v>0</v>
      </c>
      <c r="Y299" s="138">
        <f>IF('1.DATOS-PROD'!AH300="SI",VLOOKUP('1.DATOS-PROD'!AH$2,'1.PUNTOS'!$A$1:$B$63,2,0),0)</f>
        <v>0</v>
      </c>
      <c r="Z299" s="138">
        <f>IF('1.DATOS-PROD'!AI300="SI",VLOOKUP('1.DATOS-PROD'!AI$2,'1.PUNTOS'!$A$1:$B$63,2,0),0)</f>
        <v>0</v>
      </c>
      <c r="AA299" s="138">
        <f>IF('1.DATOS-PROD'!AJ300="SI",VLOOKUP('1.DATOS-PROD'!AJ$2,'1.PUNTOS'!$A$1:$B$63,2,0),0)</f>
        <v>0</v>
      </c>
      <c r="AB299" s="138">
        <f>IF('1.DATOS-PROD'!AK300="SI",VLOOKUP('1.DATOS-PROD'!AK$2,'1.PUNTOS'!$A$1:$B$63,2,0),0)</f>
        <v>0</v>
      </c>
      <c r="AC299" s="138">
        <f>IF('1.DATOS-PROD'!AL300="SI",VLOOKUP('1.DATOS-PROD'!AL$2,'1.PUNTOS'!$A$1:$B$63,2,0),0)</f>
        <v>0</v>
      </c>
      <c r="AD299" s="138">
        <f>IF('1.DATOS-PROD'!AM300="SI",VLOOKUP('1.DATOS-PROD'!AM$2,'1.PUNTOS'!$A$1:$B$63,2,0),0)</f>
        <v>0</v>
      </c>
      <c r="AE299" s="138">
        <f>IF('1.DATOS-PROD'!AN300="SI",VLOOKUP('1.DATOS-PROD'!AN$2,'1.PUNTOS'!$A$1:$B$63,2,0),0)</f>
        <v>0</v>
      </c>
      <c r="AF299" s="138">
        <f>IF('1.DATOS-PROD'!AO300="SI",VLOOKUP('1.DATOS-PROD'!AO$2,'1.PUNTOS'!$A$1:$B$63,2,0),0)</f>
        <v>0</v>
      </c>
      <c r="AG299" s="138">
        <f>IF('1.DATOS-PROD'!AP300="SI",VLOOKUP('1.DATOS-PROD'!AP$2,'1.PUNTOS'!$A$1:$B$63,2,0),0)</f>
        <v>0</v>
      </c>
      <c r="AH299" s="138">
        <f>IF('1.DATOS-PROD'!AQ300="SI",VLOOKUP('1.DATOS-PROD'!AQ$2,'1.PUNTOS'!$A$1:$B$63,2,0),0)</f>
        <v>0</v>
      </c>
      <c r="AI299" s="138">
        <f>IF('1.DATOS-PROD'!AR300="SI",VLOOKUP('1.DATOS-PROD'!AR$2,'1.PUNTOS'!$A$1:$B$63,2,0),0)</f>
        <v>0</v>
      </c>
      <c r="AJ299" s="138">
        <f>IF('1.DATOS-PROD'!AS300="SI",VLOOKUP('1.DATOS-PROD'!AS$2,'1.PUNTOS'!$A$1:$B$63,2,0),0)</f>
        <v>0</v>
      </c>
      <c r="AK299" s="138">
        <f>IF('1.DATOS-PROD'!AT300="SI",VLOOKUP('1.DATOS-PROD'!AT$2,'1.PUNTOS'!$A$1:$B$63,2,0),0)</f>
        <v>0</v>
      </c>
      <c r="AL299" s="138">
        <f>IF('1.DATOS-PROD'!AU300="SI",VLOOKUP('1.DATOS-PROD'!AU$2,'1.PUNTOS'!$A$1:$B$63,2,0),0)</f>
        <v>0</v>
      </c>
      <c r="AM299" s="138">
        <f>IF('1.DATOS-PROD'!AV300="SI",VLOOKUP('1.DATOS-PROD'!AV$2,'1.PUNTOS'!$A$1:$B$63,2,0),0)</f>
        <v>0</v>
      </c>
      <c r="AN299" s="138">
        <f>IF('1.DATOS-PROD'!AW300="SI",VLOOKUP('1.DATOS-PROD'!AW$2,'1.PUNTOS'!$A$1:$B$63,2,0),0)</f>
        <v>0</v>
      </c>
      <c r="AO299" s="138">
        <f>IF('1.DATOS-PROD'!AX300="SI",VLOOKUP('1.DATOS-PROD'!AX$2,'1.PUNTOS'!$A$1:$B$63,2,0),0)</f>
        <v>0</v>
      </c>
      <c r="AP299" s="138">
        <f>IF('1.DATOS-PROD'!AY300="SI",VLOOKUP('1.DATOS-PROD'!AY$2,'1.PUNTOS'!$A$1:$B$63,2,0),0)</f>
        <v>0</v>
      </c>
      <c r="AQ299" s="138">
        <f>IF('1.DATOS-PROD'!AZ300="SI",VLOOKUP('1.DATOS-PROD'!AZ$2,'1.PUNTOS'!$A$1:$B$63,2,0),0)</f>
        <v>0</v>
      </c>
      <c r="AR299" s="138">
        <f>IF('1.DATOS-PROD'!BA300="SI",VLOOKUP('1.DATOS-PROD'!BA$2,'1.PUNTOS'!$A$1:$B$63,2,0),0)</f>
        <v>0</v>
      </c>
      <c r="AS299" s="138">
        <f>IF('1.DATOS-PROD'!BB300="SI",VLOOKUP('1.DATOS-PROD'!BB$2,'1.PUNTOS'!$A$1:$B$63,2,0),0)</f>
        <v>0</v>
      </c>
      <c r="AT299" s="138">
        <f>IF('1.DATOS-PROD'!BC300="SI",VLOOKUP('1.DATOS-PROD'!BC$2,'1.PUNTOS'!$A$1:$B$63,2,0),0)</f>
        <v>0</v>
      </c>
      <c r="AU299" s="138">
        <f>IF('1.DATOS-PROD'!BD300="SI",VLOOKUP('1.DATOS-PROD'!BD$2,'1.PUNTOS'!$A$1:$B$63,2,0),0)</f>
        <v>0</v>
      </c>
      <c r="AV299" s="138">
        <f>IF('1.DATOS-PROD'!BE300="SI",VLOOKUP('1.DATOS-PROD'!BE$2,'1.PUNTOS'!$A$1:$B$63,2,0),0)</f>
        <v>0</v>
      </c>
      <c r="AW299" s="138">
        <f>IF('1.DATOS-PROD'!BF300="SI",VLOOKUP('1.DATOS-PROD'!BF$2,'1.PUNTOS'!$A$1:$B$63,2,0),0)</f>
        <v>0</v>
      </c>
      <c r="AX299" s="138">
        <f>IF('1.DATOS-PROD'!BG300="SI",VLOOKUP('1.DATOS-PROD'!BG$2,'1.PUNTOS'!$A$1:$B$63,2,0),0)</f>
        <v>0</v>
      </c>
      <c r="AY299" s="138">
        <f>IF('1.DATOS-PROD'!BH300="SI",VLOOKUP('1.DATOS-PROD'!BH$2,'1.PUNTOS'!$A$1:$B$63,2,0),0)</f>
        <v>0</v>
      </c>
      <c r="AZ299" s="138">
        <f>IF('1.DATOS-PROD'!BI300="SI",VLOOKUP('1.DATOS-PROD'!BI$2,'1.PUNTOS'!$A$1:$B$63,2,0),0)</f>
        <v>0</v>
      </c>
      <c r="BA299" s="138">
        <f>IF('1.DATOS-PROD'!BJ300="SI",VLOOKUP('1.DATOS-PROD'!BJ$2,'1.PUNTOS'!$A$1:$B$63,2,0),0)</f>
        <v>0</v>
      </c>
      <c r="BB299" s="138">
        <f>IF('1.DATOS-PROD'!BK300="SI",VLOOKUP('1.DATOS-PROD'!BK$2,'1.PUNTOS'!$A$1:$B$63,2,0),0)</f>
        <v>0</v>
      </c>
      <c r="BC299" s="138">
        <f>IF('1.DATOS-PROD'!BL300="SI",VLOOKUP('1.DATOS-PROD'!BL$2,'1.PUNTOS'!$A$1:$B$63,2,0),0)</f>
        <v>0</v>
      </c>
      <c r="BD299" s="138">
        <f>IF('1.DATOS-PROD'!BM300="SI",VLOOKUP('1.DATOS-PROD'!BM$2,'1.PUNTOS'!$A$1:$B$63,2,0),0)</f>
        <v>0</v>
      </c>
      <c r="BE299" s="138">
        <f>IF('1.DATOS-PROD'!BN300="SI",VLOOKUP('1.DATOS-PROD'!BN$2,'1.PUNTOS'!$A$1:$B$63,2,0),0)</f>
        <v>0</v>
      </c>
      <c r="BF299" s="138">
        <f>IF('1.DATOS-PROD'!BO300="SI",VLOOKUP('1.DATOS-PROD'!BO$2,'1.PUNTOS'!$A$1:$B$63,2,0),0)</f>
        <v>0</v>
      </c>
      <c r="BG299" s="138">
        <f>IF('1.DATOS-PROD'!BP300="SI",VLOOKUP('1.DATOS-PROD'!BP$2,'1.PUNTOS'!$A$1:$B$63,2,0),0)</f>
        <v>0</v>
      </c>
      <c r="BH299" s="138">
        <f>IF('1.DATOS-PROD'!BQ300="SI",VLOOKUP('1.DATOS-PROD'!BQ$2,'1.PUNTOS'!$A$1:$B$63,2,0),0)</f>
        <v>0</v>
      </c>
      <c r="BI299" s="138">
        <f>IF('1.DATOS-PROD'!BR300="SI",VLOOKUP('1.DATOS-PROD'!BR$2,'1.PUNTOS'!$A$1:$B$63,2,0),0)</f>
        <v>0</v>
      </c>
      <c r="BJ299" s="138">
        <f>IF('1.DATOS-PROD'!BS300="SI",VLOOKUP('1.DATOS-PROD'!BS$2,'1.PUNTOS'!$A$1:$B$63,2,0),0)</f>
        <v>0</v>
      </c>
      <c r="BK299" s="138">
        <f>IF('1.DATOS-PROD'!BT300="SI",VLOOKUP('1.DATOS-PROD'!BT$2,'1.PUNTOS'!$A$1:$B$63,2,0),0)</f>
        <v>0</v>
      </c>
    </row>
    <row r="300" spans="1:63" x14ac:dyDescent="0.25">
      <c r="A300">
        <f>'0.Consolidado general'!$A301</f>
        <v>0</v>
      </c>
      <c r="B300" s="138">
        <f>IF('1.DATOS-PROD'!K301="SI",VLOOKUP('1.DATOS-PROD'!K$2,'1.PUNTOS'!$A$1:$B$63,2,0),0)</f>
        <v>0</v>
      </c>
      <c r="C300" s="138">
        <f>IF('1.DATOS-PROD'!L301="SI",VLOOKUP('1.DATOS-PROD'!L$2,'1.PUNTOS'!$A$1:$B$63,2,0),0)</f>
        <v>0</v>
      </c>
      <c r="D300" s="138">
        <f>IF('1.DATOS-PROD'!M301="SI",VLOOKUP('1.DATOS-PROD'!M$2,'1.PUNTOS'!$A$1:$B$63,2,0),0)</f>
        <v>0</v>
      </c>
      <c r="E300" s="138">
        <f>IF('1.DATOS-PROD'!N301="SI",VLOOKUP('1.DATOS-PROD'!N$2,'1.PUNTOS'!$A$1:$B$63,2,0),0)</f>
        <v>0</v>
      </c>
      <c r="F300" s="138">
        <f>IF('1.DATOS-PROD'!O301="SI",VLOOKUP('1.DATOS-PROD'!O$2,'1.PUNTOS'!$A$1:$B$63,2,0),0)</f>
        <v>0</v>
      </c>
      <c r="G300" s="138">
        <f>IF('1.DATOS-PROD'!P301="SI",VLOOKUP('1.DATOS-PROD'!P$2,'1.PUNTOS'!$A$1:$B$63,2,0),0)</f>
        <v>0</v>
      </c>
      <c r="H300" s="138">
        <f>IF('1.DATOS-PROD'!Q301="SI",VLOOKUP('1.DATOS-PROD'!Q$2,'1.PUNTOS'!$A$1:$B$63,2,0),0)</f>
        <v>0</v>
      </c>
      <c r="I300" s="138">
        <f>IF('1.DATOS-PROD'!R301="SI",VLOOKUP('1.DATOS-PROD'!R$2,'1.PUNTOS'!$A$1:$B$63,2,0),0)</f>
        <v>0</v>
      </c>
      <c r="J300" s="138">
        <f>IF('1.DATOS-PROD'!S301="SI",VLOOKUP('1.DATOS-PROD'!S$2,'1.PUNTOS'!$A$1:$B$63,2,0),0)</f>
        <v>0</v>
      </c>
      <c r="K300" s="138">
        <f>IF('1.DATOS-PROD'!T301="SI",VLOOKUP('1.DATOS-PROD'!T$2,'1.PUNTOS'!$A$1:$B$63,2,0),0)</f>
        <v>0</v>
      </c>
      <c r="L300" s="138">
        <f>IF('1.DATOS-PROD'!U301="SI",VLOOKUP('1.DATOS-PROD'!U$2,'1.PUNTOS'!$A$1:$B$63,2,0),0)</f>
        <v>0</v>
      </c>
      <c r="M300" s="138">
        <f>IF('1.DATOS-PROD'!V301="SI",VLOOKUP('1.DATOS-PROD'!V$2,'1.PUNTOS'!$A$1:$B$63,2,0),0)</f>
        <v>0</v>
      </c>
      <c r="N300" s="138">
        <f>IF('1.DATOS-PROD'!W301="SI",VLOOKUP('1.DATOS-PROD'!W$2,'1.PUNTOS'!$A$1:$B$63,2,0),0)</f>
        <v>0</v>
      </c>
      <c r="O300" s="138">
        <f>IF('1.DATOS-PROD'!X301="SI",VLOOKUP('1.DATOS-PROD'!X$2,'1.PUNTOS'!$A$1:$B$63,2,0),0)</f>
        <v>0</v>
      </c>
      <c r="P300" s="138">
        <f>IF('1.DATOS-PROD'!Y301="SI",VLOOKUP('1.DATOS-PROD'!Y$2,'1.PUNTOS'!$A$1:$B$63,2,0),0)</f>
        <v>0</v>
      </c>
      <c r="Q300" s="138">
        <f>IF('1.DATOS-PROD'!Z301="SI",VLOOKUP('1.DATOS-PROD'!Z$2,'1.PUNTOS'!$A$1:$B$63,2,0),0)</f>
        <v>0</v>
      </c>
      <c r="R300" s="138">
        <f>IF('1.DATOS-PROD'!AA301="SI",VLOOKUP('1.DATOS-PROD'!AA$2,'1.PUNTOS'!$A$1:$B$63,2,0),0)</f>
        <v>0</v>
      </c>
      <c r="S300" s="138">
        <f>IF('1.DATOS-PROD'!AB301="SI",VLOOKUP('1.DATOS-PROD'!AB$2,'1.PUNTOS'!$A$1:$B$63,2,0),0)</f>
        <v>0</v>
      </c>
      <c r="T300" s="138">
        <f>IF('1.DATOS-PROD'!AC301="SI",VLOOKUP('1.DATOS-PROD'!AC$2,'1.PUNTOS'!$A$1:$B$63,2,0),0)</f>
        <v>0</v>
      </c>
      <c r="U300" s="138">
        <f>IF('1.DATOS-PROD'!AD301="SI",VLOOKUP('1.DATOS-PROD'!AD$2,'1.PUNTOS'!$A$1:$B$63,2,0),0)</f>
        <v>0</v>
      </c>
      <c r="V300" s="138">
        <f>IF('1.DATOS-PROD'!AE301="SI",VLOOKUP('1.DATOS-PROD'!AE$2,'1.PUNTOS'!$A$1:$B$63,2,0),0)</f>
        <v>0</v>
      </c>
      <c r="W300" s="138">
        <f>IF('1.DATOS-PROD'!AF301="SI",VLOOKUP('1.DATOS-PROD'!AF$2,'1.PUNTOS'!$A$1:$B$63,2,0),0)</f>
        <v>0</v>
      </c>
      <c r="X300" s="138">
        <f>IF('1.DATOS-PROD'!AG301="SI",VLOOKUP('1.DATOS-PROD'!AG$2,'1.PUNTOS'!$A$1:$B$63,2,0),0)</f>
        <v>0</v>
      </c>
      <c r="Y300" s="138">
        <f>IF('1.DATOS-PROD'!AH301="SI",VLOOKUP('1.DATOS-PROD'!AH$2,'1.PUNTOS'!$A$1:$B$63,2,0),0)</f>
        <v>0</v>
      </c>
      <c r="Z300" s="138">
        <f>IF('1.DATOS-PROD'!AI301="SI",VLOOKUP('1.DATOS-PROD'!AI$2,'1.PUNTOS'!$A$1:$B$63,2,0),0)</f>
        <v>0</v>
      </c>
      <c r="AA300" s="138">
        <f>IF('1.DATOS-PROD'!AJ301="SI",VLOOKUP('1.DATOS-PROD'!AJ$2,'1.PUNTOS'!$A$1:$B$63,2,0),0)</f>
        <v>0</v>
      </c>
      <c r="AB300" s="138">
        <f>IF('1.DATOS-PROD'!AK301="SI",VLOOKUP('1.DATOS-PROD'!AK$2,'1.PUNTOS'!$A$1:$B$63,2,0),0)</f>
        <v>0</v>
      </c>
      <c r="AC300" s="138">
        <f>IF('1.DATOS-PROD'!AL301="SI",VLOOKUP('1.DATOS-PROD'!AL$2,'1.PUNTOS'!$A$1:$B$63,2,0),0)</f>
        <v>0</v>
      </c>
      <c r="AD300" s="138">
        <f>IF('1.DATOS-PROD'!AM301="SI",VLOOKUP('1.DATOS-PROD'!AM$2,'1.PUNTOS'!$A$1:$B$63,2,0),0)</f>
        <v>0</v>
      </c>
      <c r="AE300" s="138">
        <f>IF('1.DATOS-PROD'!AN301="SI",VLOOKUP('1.DATOS-PROD'!AN$2,'1.PUNTOS'!$A$1:$B$63,2,0),0)</f>
        <v>0</v>
      </c>
      <c r="AF300" s="138">
        <f>IF('1.DATOS-PROD'!AO301="SI",VLOOKUP('1.DATOS-PROD'!AO$2,'1.PUNTOS'!$A$1:$B$63,2,0),0)</f>
        <v>0</v>
      </c>
      <c r="AG300" s="138">
        <f>IF('1.DATOS-PROD'!AP301="SI",VLOOKUP('1.DATOS-PROD'!AP$2,'1.PUNTOS'!$A$1:$B$63,2,0),0)</f>
        <v>0</v>
      </c>
      <c r="AH300" s="138">
        <f>IF('1.DATOS-PROD'!AQ301="SI",VLOOKUP('1.DATOS-PROD'!AQ$2,'1.PUNTOS'!$A$1:$B$63,2,0),0)</f>
        <v>0</v>
      </c>
      <c r="AI300" s="138">
        <f>IF('1.DATOS-PROD'!AR301="SI",VLOOKUP('1.DATOS-PROD'!AR$2,'1.PUNTOS'!$A$1:$B$63,2,0),0)</f>
        <v>0</v>
      </c>
      <c r="AJ300" s="138">
        <f>IF('1.DATOS-PROD'!AS301="SI",VLOOKUP('1.DATOS-PROD'!AS$2,'1.PUNTOS'!$A$1:$B$63,2,0),0)</f>
        <v>0</v>
      </c>
      <c r="AK300" s="138">
        <f>IF('1.DATOS-PROD'!AT301="SI",VLOOKUP('1.DATOS-PROD'!AT$2,'1.PUNTOS'!$A$1:$B$63,2,0),0)</f>
        <v>0</v>
      </c>
      <c r="AL300" s="138">
        <f>IF('1.DATOS-PROD'!AU301="SI",VLOOKUP('1.DATOS-PROD'!AU$2,'1.PUNTOS'!$A$1:$B$63,2,0),0)</f>
        <v>0</v>
      </c>
      <c r="AM300" s="138">
        <f>IF('1.DATOS-PROD'!AV301="SI",VLOOKUP('1.DATOS-PROD'!AV$2,'1.PUNTOS'!$A$1:$B$63,2,0),0)</f>
        <v>0</v>
      </c>
      <c r="AN300" s="138">
        <f>IF('1.DATOS-PROD'!AW301="SI",VLOOKUP('1.DATOS-PROD'!AW$2,'1.PUNTOS'!$A$1:$B$63,2,0),0)</f>
        <v>0</v>
      </c>
      <c r="AO300" s="138">
        <f>IF('1.DATOS-PROD'!AX301="SI",VLOOKUP('1.DATOS-PROD'!AX$2,'1.PUNTOS'!$A$1:$B$63,2,0),0)</f>
        <v>0</v>
      </c>
      <c r="AP300" s="138">
        <f>IF('1.DATOS-PROD'!AY301="SI",VLOOKUP('1.DATOS-PROD'!AY$2,'1.PUNTOS'!$A$1:$B$63,2,0),0)</f>
        <v>0</v>
      </c>
      <c r="AQ300" s="138">
        <f>IF('1.DATOS-PROD'!AZ301="SI",VLOOKUP('1.DATOS-PROD'!AZ$2,'1.PUNTOS'!$A$1:$B$63,2,0),0)</f>
        <v>0</v>
      </c>
      <c r="AR300" s="138">
        <f>IF('1.DATOS-PROD'!BA301="SI",VLOOKUP('1.DATOS-PROD'!BA$2,'1.PUNTOS'!$A$1:$B$63,2,0),0)</f>
        <v>0</v>
      </c>
      <c r="AS300" s="138">
        <f>IF('1.DATOS-PROD'!BB301="SI",VLOOKUP('1.DATOS-PROD'!BB$2,'1.PUNTOS'!$A$1:$B$63,2,0),0)</f>
        <v>0</v>
      </c>
      <c r="AT300" s="138">
        <f>IF('1.DATOS-PROD'!BC301="SI",VLOOKUP('1.DATOS-PROD'!BC$2,'1.PUNTOS'!$A$1:$B$63,2,0),0)</f>
        <v>0</v>
      </c>
      <c r="AU300" s="138">
        <f>IF('1.DATOS-PROD'!BD301="SI",VLOOKUP('1.DATOS-PROD'!BD$2,'1.PUNTOS'!$A$1:$B$63,2,0),0)</f>
        <v>0</v>
      </c>
      <c r="AV300" s="138">
        <f>IF('1.DATOS-PROD'!BE301="SI",VLOOKUP('1.DATOS-PROD'!BE$2,'1.PUNTOS'!$A$1:$B$63,2,0),0)</f>
        <v>0</v>
      </c>
      <c r="AW300" s="138">
        <f>IF('1.DATOS-PROD'!BF301="SI",VLOOKUP('1.DATOS-PROD'!BF$2,'1.PUNTOS'!$A$1:$B$63,2,0),0)</f>
        <v>0</v>
      </c>
      <c r="AX300" s="138">
        <f>IF('1.DATOS-PROD'!BG301="SI",VLOOKUP('1.DATOS-PROD'!BG$2,'1.PUNTOS'!$A$1:$B$63,2,0),0)</f>
        <v>0</v>
      </c>
      <c r="AY300" s="138">
        <f>IF('1.DATOS-PROD'!BH301="SI",VLOOKUP('1.DATOS-PROD'!BH$2,'1.PUNTOS'!$A$1:$B$63,2,0),0)</f>
        <v>0</v>
      </c>
      <c r="AZ300" s="138">
        <f>IF('1.DATOS-PROD'!BI301="SI",VLOOKUP('1.DATOS-PROD'!BI$2,'1.PUNTOS'!$A$1:$B$63,2,0),0)</f>
        <v>0</v>
      </c>
      <c r="BA300" s="138">
        <f>IF('1.DATOS-PROD'!BJ301="SI",VLOOKUP('1.DATOS-PROD'!BJ$2,'1.PUNTOS'!$A$1:$B$63,2,0),0)</f>
        <v>0</v>
      </c>
      <c r="BB300" s="138">
        <f>IF('1.DATOS-PROD'!BK301="SI",VLOOKUP('1.DATOS-PROD'!BK$2,'1.PUNTOS'!$A$1:$B$63,2,0),0)</f>
        <v>0</v>
      </c>
      <c r="BC300" s="138">
        <f>IF('1.DATOS-PROD'!BL301="SI",VLOOKUP('1.DATOS-PROD'!BL$2,'1.PUNTOS'!$A$1:$B$63,2,0),0)</f>
        <v>0</v>
      </c>
      <c r="BD300" s="138">
        <f>IF('1.DATOS-PROD'!BM301="SI",VLOOKUP('1.DATOS-PROD'!BM$2,'1.PUNTOS'!$A$1:$B$63,2,0),0)</f>
        <v>0</v>
      </c>
      <c r="BE300" s="138">
        <f>IF('1.DATOS-PROD'!BN301="SI",VLOOKUP('1.DATOS-PROD'!BN$2,'1.PUNTOS'!$A$1:$B$63,2,0),0)</f>
        <v>0</v>
      </c>
      <c r="BF300" s="138">
        <f>IF('1.DATOS-PROD'!BO301="SI",VLOOKUP('1.DATOS-PROD'!BO$2,'1.PUNTOS'!$A$1:$B$63,2,0),0)</f>
        <v>0</v>
      </c>
      <c r="BG300" s="138">
        <f>IF('1.DATOS-PROD'!BP301="SI",VLOOKUP('1.DATOS-PROD'!BP$2,'1.PUNTOS'!$A$1:$B$63,2,0),0)</f>
        <v>0</v>
      </c>
      <c r="BH300" s="138">
        <f>IF('1.DATOS-PROD'!BQ301="SI",VLOOKUP('1.DATOS-PROD'!BQ$2,'1.PUNTOS'!$A$1:$B$63,2,0),0)</f>
        <v>0</v>
      </c>
      <c r="BI300" s="138">
        <f>IF('1.DATOS-PROD'!BR301="SI",VLOOKUP('1.DATOS-PROD'!BR$2,'1.PUNTOS'!$A$1:$B$63,2,0),0)</f>
        <v>0</v>
      </c>
      <c r="BJ300" s="138">
        <f>IF('1.DATOS-PROD'!BS301="SI",VLOOKUP('1.DATOS-PROD'!BS$2,'1.PUNTOS'!$A$1:$B$63,2,0),0)</f>
        <v>0</v>
      </c>
      <c r="BK300" s="138">
        <f>IF('1.DATOS-PROD'!BT301="SI",VLOOKUP('1.DATOS-PROD'!BT$2,'1.PUNTOS'!$A$1:$B$63,2,0),0)</f>
        <v>0</v>
      </c>
    </row>
    <row r="301" spans="1:63" x14ac:dyDescent="0.25">
      <c r="A301">
        <f>'0.Consolidado general'!$A302</f>
        <v>0</v>
      </c>
      <c r="B301" s="138">
        <f>IF('1.DATOS-PROD'!K302="SI",VLOOKUP('1.DATOS-PROD'!K$2,'1.PUNTOS'!$A$1:$B$63,2,0),0)</f>
        <v>0</v>
      </c>
      <c r="C301" s="138">
        <f>IF('1.DATOS-PROD'!L302="SI",VLOOKUP('1.DATOS-PROD'!L$2,'1.PUNTOS'!$A$1:$B$63,2,0),0)</f>
        <v>0</v>
      </c>
      <c r="D301" s="138">
        <f>IF('1.DATOS-PROD'!M302="SI",VLOOKUP('1.DATOS-PROD'!M$2,'1.PUNTOS'!$A$1:$B$63,2,0),0)</f>
        <v>0</v>
      </c>
      <c r="E301" s="138">
        <f>IF('1.DATOS-PROD'!N302="SI",VLOOKUP('1.DATOS-PROD'!N$2,'1.PUNTOS'!$A$1:$B$63,2,0),0)</f>
        <v>0</v>
      </c>
      <c r="F301" s="138">
        <f>IF('1.DATOS-PROD'!O302="SI",VLOOKUP('1.DATOS-PROD'!O$2,'1.PUNTOS'!$A$1:$B$63,2,0),0)</f>
        <v>0</v>
      </c>
      <c r="G301" s="138">
        <f>IF('1.DATOS-PROD'!P302="SI",VLOOKUP('1.DATOS-PROD'!P$2,'1.PUNTOS'!$A$1:$B$63,2,0),0)</f>
        <v>0</v>
      </c>
      <c r="H301" s="138">
        <f>IF('1.DATOS-PROD'!Q302="SI",VLOOKUP('1.DATOS-PROD'!Q$2,'1.PUNTOS'!$A$1:$B$63,2,0),0)</f>
        <v>0</v>
      </c>
      <c r="I301" s="138">
        <f>IF('1.DATOS-PROD'!R302="SI",VLOOKUP('1.DATOS-PROD'!R$2,'1.PUNTOS'!$A$1:$B$63,2,0),0)</f>
        <v>0</v>
      </c>
      <c r="J301" s="138">
        <f>IF('1.DATOS-PROD'!S302="SI",VLOOKUP('1.DATOS-PROD'!S$2,'1.PUNTOS'!$A$1:$B$63,2,0),0)</f>
        <v>0</v>
      </c>
      <c r="K301" s="138">
        <f>IF('1.DATOS-PROD'!T302="SI",VLOOKUP('1.DATOS-PROD'!T$2,'1.PUNTOS'!$A$1:$B$63,2,0),0)</f>
        <v>0</v>
      </c>
      <c r="L301" s="138">
        <f>IF('1.DATOS-PROD'!U302="SI",VLOOKUP('1.DATOS-PROD'!U$2,'1.PUNTOS'!$A$1:$B$63,2,0),0)</f>
        <v>0</v>
      </c>
      <c r="M301" s="138">
        <f>IF('1.DATOS-PROD'!V302="SI",VLOOKUP('1.DATOS-PROD'!V$2,'1.PUNTOS'!$A$1:$B$63,2,0),0)</f>
        <v>0</v>
      </c>
      <c r="N301" s="138">
        <f>IF('1.DATOS-PROD'!W302="SI",VLOOKUP('1.DATOS-PROD'!W$2,'1.PUNTOS'!$A$1:$B$63,2,0),0)</f>
        <v>0</v>
      </c>
      <c r="O301" s="138">
        <f>IF('1.DATOS-PROD'!X302="SI",VLOOKUP('1.DATOS-PROD'!X$2,'1.PUNTOS'!$A$1:$B$63,2,0),0)</f>
        <v>0</v>
      </c>
      <c r="P301" s="138">
        <f>IF('1.DATOS-PROD'!Y302="SI",VLOOKUP('1.DATOS-PROD'!Y$2,'1.PUNTOS'!$A$1:$B$63,2,0),0)</f>
        <v>0</v>
      </c>
      <c r="Q301" s="138">
        <f>IF('1.DATOS-PROD'!Z302="SI",VLOOKUP('1.DATOS-PROD'!Z$2,'1.PUNTOS'!$A$1:$B$63,2,0),0)</f>
        <v>0</v>
      </c>
      <c r="R301" s="138">
        <f>IF('1.DATOS-PROD'!AA302="SI",VLOOKUP('1.DATOS-PROD'!AA$2,'1.PUNTOS'!$A$1:$B$63,2,0),0)</f>
        <v>0</v>
      </c>
      <c r="S301" s="138">
        <f>IF('1.DATOS-PROD'!AB302="SI",VLOOKUP('1.DATOS-PROD'!AB$2,'1.PUNTOS'!$A$1:$B$63,2,0),0)</f>
        <v>0</v>
      </c>
      <c r="T301" s="138">
        <f>IF('1.DATOS-PROD'!AC302="SI",VLOOKUP('1.DATOS-PROD'!AC$2,'1.PUNTOS'!$A$1:$B$63,2,0),0)</f>
        <v>0</v>
      </c>
      <c r="U301" s="138">
        <f>IF('1.DATOS-PROD'!AD302="SI",VLOOKUP('1.DATOS-PROD'!AD$2,'1.PUNTOS'!$A$1:$B$63,2,0),0)</f>
        <v>0</v>
      </c>
      <c r="V301" s="138">
        <f>IF('1.DATOS-PROD'!AE302="SI",VLOOKUP('1.DATOS-PROD'!AE$2,'1.PUNTOS'!$A$1:$B$63,2,0),0)</f>
        <v>0</v>
      </c>
      <c r="W301" s="138">
        <f>IF('1.DATOS-PROD'!AF302="SI",VLOOKUP('1.DATOS-PROD'!AF$2,'1.PUNTOS'!$A$1:$B$63,2,0),0)</f>
        <v>0</v>
      </c>
      <c r="X301" s="138">
        <f>IF('1.DATOS-PROD'!AG302="SI",VLOOKUP('1.DATOS-PROD'!AG$2,'1.PUNTOS'!$A$1:$B$63,2,0),0)</f>
        <v>0</v>
      </c>
      <c r="Y301" s="138">
        <f>IF('1.DATOS-PROD'!AH302="SI",VLOOKUP('1.DATOS-PROD'!AH$2,'1.PUNTOS'!$A$1:$B$63,2,0),0)</f>
        <v>0</v>
      </c>
      <c r="Z301" s="138">
        <f>IF('1.DATOS-PROD'!AI302="SI",VLOOKUP('1.DATOS-PROD'!AI$2,'1.PUNTOS'!$A$1:$B$63,2,0),0)</f>
        <v>0</v>
      </c>
      <c r="AA301" s="138">
        <f>IF('1.DATOS-PROD'!AJ302="SI",VLOOKUP('1.DATOS-PROD'!AJ$2,'1.PUNTOS'!$A$1:$B$63,2,0),0)</f>
        <v>0</v>
      </c>
      <c r="AB301" s="138">
        <f>IF('1.DATOS-PROD'!AK302="SI",VLOOKUP('1.DATOS-PROD'!AK$2,'1.PUNTOS'!$A$1:$B$63,2,0),0)</f>
        <v>0</v>
      </c>
      <c r="AC301" s="138">
        <f>IF('1.DATOS-PROD'!AL302="SI",VLOOKUP('1.DATOS-PROD'!AL$2,'1.PUNTOS'!$A$1:$B$63,2,0),0)</f>
        <v>0</v>
      </c>
      <c r="AD301" s="138">
        <f>IF('1.DATOS-PROD'!AM302="SI",VLOOKUP('1.DATOS-PROD'!AM$2,'1.PUNTOS'!$A$1:$B$63,2,0),0)</f>
        <v>0</v>
      </c>
      <c r="AE301" s="138">
        <f>IF('1.DATOS-PROD'!AN302="SI",VLOOKUP('1.DATOS-PROD'!AN$2,'1.PUNTOS'!$A$1:$B$63,2,0),0)</f>
        <v>0</v>
      </c>
      <c r="AF301" s="138">
        <f>IF('1.DATOS-PROD'!AO302="SI",VLOOKUP('1.DATOS-PROD'!AO$2,'1.PUNTOS'!$A$1:$B$63,2,0),0)</f>
        <v>0</v>
      </c>
      <c r="AG301" s="138">
        <f>IF('1.DATOS-PROD'!AP302="SI",VLOOKUP('1.DATOS-PROD'!AP$2,'1.PUNTOS'!$A$1:$B$63,2,0),0)</f>
        <v>0</v>
      </c>
      <c r="AH301" s="138">
        <f>IF('1.DATOS-PROD'!AQ302="SI",VLOOKUP('1.DATOS-PROD'!AQ$2,'1.PUNTOS'!$A$1:$B$63,2,0),0)</f>
        <v>0</v>
      </c>
      <c r="AI301" s="138">
        <f>IF('1.DATOS-PROD'!AR302="SI",VLOOKUP('1.DATOS-PROD'!AR$2,'1.PUNTOS'!$A$1:$B$63,2,0),0)</f>
        <v>0</v>
      </c>
      <c r="AJ301" s="138">
        <f>IF('1.DATOS-PROD'!AS302="SI",VLOOKUP('1.DATOS-PROD'!AS$2,'1.PUNTOS'!$A$1:$B$63,2,0),0)</f>
        <v>0</v>
      </c>
      <c r="AK301" s="138">
        <f>IF('1.DATOS-PROD'!AT302="SI",VLOOKUP('1.DATOS-PROD'!AT$2,'1.PUNTOS'!$A$1:$B$63,2,0),0)</f>
        <v>0</v>
      </c>
      <c r="AL301" s="138">
        <f>IF('1.DATOS-PROD'!AU302="SI",VLOOKUP('1.DATOS-PROD'!AU$2,'1.PUNTOS'!$A$1:$B$63,2,0),0)</f>
        <v>0</v>
      </c>
      <c r="AM301" s="138">
        <f>IF('1.DATOS-PROD'!AV302="SI",VLOOKUP('1.DATOS-PROD'!AV$2,'1.PUNTOS'!$A$1:$B$63,2,0),0)</f>
        <v>0</v>
      </c>
      <c r="AN301" s="138">
        <f>IF('1.DATOS-PROD'!AW302="SI",VLOOKUP('1.DATOS-PROD'!AW$2,'1.PUNTOS'!$A$1:$B$63,2,0),0)</f>
        <v>0</v>
      </c>
      <c r="AO301" s="138">
        <f>IF('1.DATOS-PROD'!AX302="SI",VLOOKUP('1.DATOS-PROD'!AX$2,'1.PUNTOS'!$A$1:$B$63,2,0),0)</f>
        <v>0</v>
      </c>
      <c r="AP301" s="138">
        <f>IF('1.DATOS-PROD'!AY302="SI",VLOOKUP('1.DATOS-PROD'!AY$2,'1.PUNTOS'!$A$1:$B$63,2,0),0)</f>
        <v>0</v>
      </c>
      <c r="AQ301" s="138">
        <f>IF('1.DATOS-PROD'!AZ302="SI",VLOOKUP('1.DATOS-PROD'!AZ$2,'1.PUNTOS'!$A$1:$B$63,2,0),0)</f>
        <v>0</v>
      </c>
      <c r="AR301" s="138">
        <f>IF('1.DATOS-PROD'!BA302="SI",VLOOKUP('1.DATOS-PROD'!BA$2,'1.PUNTOS'!$A$1:$B$63,2,0),0)</f>
        <v>0</v>
      </c>
      <c r="AS301" s="138">
        <f>IF('1.DATOS-PROD'!BB302="SI",VLOOKUP('1.DATOS-PROD'!BB$2,'1.PUNTOS'!$A$1:$B$63,2,0),0)</f>
        <v>0</v>
      </c>
      <c r="AT301" s="138">
        <f>IF('1.DATOS-PROD'!BC302="SI",VLOOKUP('1.DATOS-PROD'!BC$2,'1.PUNTOS'!$A$1:$B$63,2,0),0)</f>
        <v>0</v>
      </c>
      <c r="AU301" s="138">
        <f>IF('1.DATOS-PROD'!BD302="SI",VLOOKUP('1.DATOS-PROD'!BD$2,'1.PUNTOS'!$A$1:$B$63,2,0),0)</f>
        <v>0</v>
      </c>
      <c r="AV301" s="138">
        <f>IF('1.DATOS-PROD'!BE302="SI",VLOOKUP('1.DATOS-PROD'!BE$2,'1.PUNTOS'!$A$1:$B$63,2,0),0)</f>
        <v>0</v>
      </c>
      <c r="AW301" s="138">
        <f>IF('1.DATOS-PROD'!BF302="SI",VLOOKUP('1.DATOS-PROD'!BF$2,'1.PUNTOS'!$A$1:$B$63,2,0),0)</f>
        <v>0</v>
      </c>
      <c r="AX301" s="138">
        <f>IF('1.DATOS-PROD'!BG302="SI",VLOOKUP('1.DATOS-PROD'!BG$2,'1.PUNTOS'!$A$1:$B$63,2,0),0)</f>
        <v>0</v>
      </c>
      <c r="AY301" s="138">
        <f>IF('1.DATOS-PROD'!BH302="SI",VLOOKUP('1.DATOS-PROD'!BH$2,'1.PUNTOS'!$A$1:$B$63,2,0),0)</f>
        <v>0</v>
      </c>
      <c r="AZ301" s="138">
        <f>IF('1.DATOS-PROD'!BI302="SI",VLOOKUP('1.DATOS-PROD'!BI$2,'1.PUNTOS'!$A$1:$B$63,2,0),0)</f>
        <v>0</v>
      </c>
      <c r="BA301" s="138">
        <f>IF('1.DATOS-PROD'!BJ302="SI",VLOOKUP('1.DATOS-PROD'!BJ$2,'1.PUNTOS'!$A$1:$B$63,2,0),0)</f>
        <v>0</v>
      </c>
      <c r="BB301" s="138">
        <f>IF('1.DATOS-PROD'!BK302="SI",VLOOKUP('1.DATOS-PROD'!BK$2,'1.PUNTOS'!$A$1:$B$63,2,0),0)</f>
        <v>0</v>
      </c>
      <c r="BC301" s="138">
        <f>IF('1.DATOS-PROD'!BL302="SI",VLOOKUP('1.DATOS-PROD'!BL$2,'1.PUNTOS'!$A$1:$B$63,2,0),0)</f>
        <v>0</v>
      </c>
      <c r="BD301" s="138">
        <f>IF('1.DATOS-PROD'!BM302="SI",VLOOKUP('1.DATOS-PROD'!BM$2,'1.PUNTOS'!$A$1:$B$63,2,0),0)</f>
        <v>0</v>
      </c>
      <c r="BE301" s="138">
        <f>IF('1.DATOS-PROD'!BN302="SI",VLOOKUP('1.DATOS-PROD'!BN$2,'1.PUNTOS'!$A$1:$B$63,2,0),0)</f>
        <v>0</v>
      </c>
      <c r="BF301" s="138">
        <f>IF('1.DATOS-PROD'!BO302="SI",VLOOKUP('1.DATOS-PROD'!BO$2,'1.PUNTOS'!$A$1:$B$63,2,0),0)</f>
        <v>0</v>
      </c>
      <c r="BG301" s="138">
        <f>IF('1.DATOS-PROD'!BP302="SI",VLOOKUP('1.DATOS-PROD'!BP$2,'1.PUNTOS'!$A$1:$B$63,2,0),0)</f>
        <v>0</v>
      </c>
      <c r="BH301" s="138">
        <f>IF('1.DATOS-PROD'!BQ302="SI",VLOOKUP('1.DATOS-PROD'!BQ$2,'1.PUNTOS'!$A$1:$B$63,2,0),0)</f>
        <v>0</v>
      </c>
      <c r="BI301" s="138">
        <f>IF('1.DATOS-PROD'!BR302="SI",VLOOKUP('1.DATOS-PROD'!BR$2,'1.PUNTOS'!$A$1:$B$63,2,0),0)</f>
        <v>0</v>
      </c>
      <c r="BJ301" s="138">
        <f>IF('1.DATOS-PROD'!BS302="SI",VLOOKUP('1.DATOS-PROD'!BS$2,'1.PUNTOS'!$A$1:$B$63,2,0),0)</f>
        <v>0</v>
      </c>
      <c r="BK301" s="138">
        <f>IF('1.DATOS-PROD'!BT302="SI",VLOOKUP('1.DATOS-PROD'!BT$2,'1.PUNTOS'!$A$1:$B$63,2,0),0)</f>
        <v>0</v>
      </c>
    </row>
    <row r="302" spans="1:63" x14ac:dyDescent="0.25">
      <c r="A302">
        <f>'0.Consolidado general'!$A303</f>
        <v>0</v>
      </c>
      <c r="B302" s="138">
        <f>IF('1.DATOS-PROD'!K303="SI",VLOOKUP('1.DATOS-PROD'!K$2,'1.PUNTOS'!$A$1:$B$63,2,0),0)</f>
        <v>0</v>
      </c>
      <c r="C302" s="138">
        <f>IF('1.DATOS-PROD'!L303="SI",VLOOKUP('1.DATOS-PROD'!L$2,'1.PUNTOS'!$A$1:$B$63,2,0),0)</f>
        <v>0</v>
      </c>
      <c r="D302" s="138">
        <f>IF('1.DATOS-PROD'!M303="SI",VLOOKUP('1.DATOS-PROD'!M$2,'1.PUNTOS'!$A$1:$B$63,2,0),0)</f>
        <v>0</v>
      </c>
      <c r="E302" s="138">
        <f>IF('1.DATOS-PROD'!N303="SI",VLOOKUP('1.DATOS-PROD'!N$2,'1.PUNTOS'!$A$1:$B$63,2,0),0)</f>
        <v>0</v>
      </c>
      <c r="F302" s="138">
        <f>IF('1.DATOS-PROD'!O303="SI",VLOOKUP('1.DATOS-PROD'!O$2,'1.PUNTOS'!$A$1:$B$63,2,0),0)</f>
        <v>0</v>
      </c>
      <c r="G302" s="138">
        <f>IF('1.DATOS-PROD'!P303="SI",VLOOKUP('1.DATOS-PROD'!P$2,'1.PUNTOS'!$A$1:$B$63,2,0),0)</f>
        <v>0</v>
      </c>
      <c r="H302" s="138">
        <f>IF('1.DATOS-PROD'!Q303="SI",VLOOKUP('1.DATOS-PROD'!Q$2,'1.PUNTOS'!$A$1:$B$63,2,0),0)</f>
        <v>0</v>
      </c>
      <c r="I302" s="138">
        <f>IF('1.DATOS-PROD'!R303="SI",VLOOKUP('1.DATOS-PROD'!R$2,'1.PUNTOS'!$A$1:$B$63,2,0),0)</f>
        <v>0</v>
      </c>
      <c r="J302" s="138">
        <f>IF('1.DATOS-PROD'!S303="SI",VLOOKUP('1.DATOS-PROD'!S$2,'1.PUNTOS'!$A$1:$B$63,2,0),0)</f>
        <v>0</v>
      </c>
      <c r="K302" s="138">
        <f>IF('1.DATOS-PROD'!T303="SI",VLOOKUP('1.DATOS-PROD'!T$2,'1.PUNTOS'!$A$1:$B$63,2,0),0)</f>
        <v>0</v>
      </c>
      <c r="L302" s="138">
        <f>IF('1.DATOS-PROD'!U303="SI",VLOOKUP('1.DATOS-PROD'!U$2,'1.PUNTOS'!$A$1:$B$63,2,0),0)</f>
        <v>0</v>
      </c>
      <c r="M302" s="138">
        <f>IF('1.DATOS-PROD'!V303="SI",VLOOKUP('1.DATOS-PROD'!V$2,'1.PUNTOS'!$A$1:$B$63,2,0),0)</f>
        <v>0</v>
      </c>
      <c r="N302" s="138">
        <f>IF('1.DATOS-PROD'!W303="SI",VLOOKUP('1.DATOS-PROD'!W$2,'1.PUNTOS'!$A$1:$B$63,2,0),0)</f>
        <v>0</v>
      </c>
      <c r="O302" s="138">
        <f>IF('1.DATOS-PROD'!X303="SI",VLOOKUP('1.DATOS-PROD'!X$2,'1.PUNTOS'!$A$1:$B$63,2,0),0)</f>
        <v>0</v>
      </c>
      <c r="P302" s="138">
        <f>IF('1.DATOS-PROD'!Y303="SI",VLOOKUP('1.DATOS-PROD'!Y$2,'1.PUNTOS'!$A$1:$B$63,2,0),0)</f>
        <v>0</v>
      </c>
      <c r="Q302" s="138">
        <f>IF('1.DATOS-PROD'!Z303="SI",VLOOKUP('1.DATOS-PROD'!Z$2,'1.PUNTOS'!$A$1:$B$63,2,0),0)</f>
        <v>0</v>
      </c>
      <c r="R302" s="138">
        <f>IF('1.DATOS-PROD'!AA303="SI",VLOOKUP('1.DATOS-PROD'!AA$2,'1.PUNTOS'!$A$1:$B$63,2,0),0)</f>
        <v>0</v>
      </c>
      <c r="S302" s="138">
        <f>IF('1.DATOS-PROD'!AB303="SI",VLOOKUP('1.DATOS-PROD'!AB$2,'1.PUNTOS'!$A$1:$B$63,2,0),0)</f>
        <v>0</v>
      </c>
      <c r="T302" s="138">
        <f>IF('1.DATOS-PROD'!AC303="SI",VLOOKUP('1.DATOS-PROD'!AC$2,'1.PUNTOS'!$A$1:$B$63,2,0),0)</f>
        <v>0</v>
      </c>
      <c r="U302" s="138">
        <f>IF('1.DATOS-PROD'!AD303="SI",VLOOKUP('1.DATOS-PROD'!AD$2,'1.PUNTOS'!$A$1:$B$63,2,0),0)</f>
        <v>0</v>
      </c>
      <c r="V302" s="138">
        <f>IF('1.DATOS-PROD'!AE303="SI",VLOOKUP('1.DATOS-PROD'!AE$2,'1.PUNTOS'!$A$1:$B$63,2,0),0)</f>
        <v>0</v>
      </c>
      <c r="W302" s="138">
        <f>IF('1.DATOS-PROD'!AF303="SI",VLOOKUP('1.DATOS-PROD'!AF$2,'1.PUNTOS'!$A$1:$B$63,2,0),0)</f>
        <v>0</v>
      </c>
      <c r="X302" s="138">
        <f>IF('1.DATOS-PROD'!AG303="SI",VLOOKUP('1.DATOS-PROD'!AG$2,'1.PUNTOS'!$A$1:$B$63,2,0),0)</f>
        <v>0</v>
      </c>
      <c r="Y302" s="138">
        <f>IF('1.DATOS-PROD'!AH303="SI",VLOOKUP('1.DATOS-PROD'!AH$2,'1.PUNTOS'!$A$1:$B$63,2,0),0)</f>
        <v>0</v>
      </c>
      <c r="Z302" s="138">
        <f>IF('1.DATOS-PROD'!AI303="SI",VLOOKUP('1.DATOS-PROD'!AI$2,'1.PUNTOS'!$A$1:$B$63,2,0),0)</f>
        <v>0</v>
      </c>
      <c r="AA302" s="138">
        <f>IF('1.DATOS-PROD'!AJ303="SI",VLOOKUP('1.DATOS-PROD'!AJ$2,'1.PUNTOS'!$A$1:$B$63,2,0),0)</f>
        <v>0</v>
      </c>
      <c r="AB302" s="138">
        <f>IF('1.DATOS-PROD'!AK303="SI",VLOOKUP('1.DATOS-PROD'!AK$2,'1.PUNTOS'!$A$1:$B$63,2,0),0)</f>
        <v>0</v>
      </c>
      <c r="AC302" s="138">
        <f>IF('1.DATOS-PROD'!AL303="SI",VLOOKUP('1.DATOS-PROD'!AL$2,'1.PUNTOS'!$A$1:$B$63,2,0),0)</f>
        <v>0</v>
      </c>
      <c r="AD302" s="138">
        <f>IF('1.DATOS-PROD'!AM303="SI",VLOOKUP('1.DATOS-PROD'!AM$2,'1.PUNTOS'!$A$1:$B$63,2,0),0)</f>
        <v>0</v>
      </c>
      <c r="AE302" s="138">
        <f>IF('1.DATOS-PROD'!AN303="SI",VLOOKUP('1.DATOS-PROD'!AN$2,'1.PUNTOS'!$A$1:$B$63,2,0),0)</f>
        <v>0</v>
      </c>
      <c r="AF302" s="138">
        <f>IF('1.DATOS-PROD'!AO303="SI",VLOOKUP('1.DATOS-PROD'!AO$2,'1.PUNTOS'!$A$1:$B$63,2,0),0)</f>
        <v>0</v>
      </c>
      <c r="AG302" s="138">
        <f>IF('1.DATOS-PROD'!AP303="SI",VLOOKUP('1.DATOS-PROD'!AP$2,'1.PUNTOS'!$A$1:$B$63,2,0),0)</f>
        <v>0</v>
      </c>
      <c r="AH302" s="138">
        <f>IF('1.DATOS-PROD'!AQ303="SI",VLOOKUP('1.DATOS-PROD'!AQ$2,'1.PUNTOS'!$A$1:$B$63,2,0),0)</f>
        <v>0</v>
      </c>
      <c r="AI302" s="138">
        <f>IF('1.DATOS-PROD'!AR303="SI",VLOOKUP('1.DATOS-PROD'!AR$2,'1.PUNTOS'!$A$1:$B$63,2,0),0)</f>
        <v>0</v>
      </c>
      <c r="AJ302" s="138">
        <f>IF('1.DATOS-PROD'!AS303="SI",VLOOKUP('1.DATOS-PROD'!AS$2,'1.PUNTOS'!$A$1:$B$63,2,0),0)</f>
        <v>0</v>
      </c>
      <c r="AK302" s="138">
        <f>IF('1.DATOS-PROD'!AT303="SI",VLOOKUP('1.DATOS-PROD'!AT$2,'1.PUNTOS'!$A$1:$B$63,2,0),0)</f>
        <v>0</v>
      </c>
      <c r="AL302" s="138">
        <f>IF('1.DATOS-PROD'!AU303="SI",VLOOKUP('1.DATOS-PROD'!AU$2,'1.PUNTOS'!$A$1:$B$63,2,0),0)</f>
        <v>0</v>
      </c>
      <c r="AM302" s="138">
        <f>IF('1.DATOS-PROD'!AV303="SI",VLOOKUP('1.DATOS-PROD'!AV$2,'1.PUNTOS'!$A$1:$B$63,2,0),0)</f>
        <v>0</v>
      </c>
      <c r="AN302" s="138">
        <f>IF('1.DATOS-PROD'!AW303="SI",VLOOKUP('1.DATOS-PROD'!AW$2,'1.PUNTOS'!$A$1:$B$63,2,0),0)</f>
        <v>0</v>
      </c>
      <c r="AO302" s="138">
        <f>IF('1.DATOS-PROD'!AX303="SI",VLOOKUP('1.DATOS-PROD'!AX$2,'1.PUNTOS'!$A$1:$B$63,2,0),0)</f>
        <v>0</v>
      </c>
      <c r="AP302" s="138">
        <f>IF('1.DATOS-PROD'!AY303="SI",VLOOKUP('1.DATOS-PROD'!AY$2,'1.PUNTOS'!$A$1:$B$63,2,0),0)</f>
        <v>0</v>
      </c>
      <c r="AQ302" s="138">
        <f>IF('1.DATOS-PROD'!AZ303="SI",VLOOKUP('1.DATOS-PROD'!AZ$2,'1.PUNTOS'!$A$1:$B$63,2,0),0)</f>
        <v>0</v>
      </c>
      <c r="AR302" s="138">
        <f>IF('1.DATOS-PROD'!BA303="SI",VLOOKUP('1.DATOS-PROD'!BA$2,'1.PUNTOS'!$A$1:$B$63,2,0),0)</f>
        <v>0</v>
      </c>
      <c r="AS302" s="138">
        <f>IF('1.DATOS-PROD'!BB303="SI",VLOOKUP('1.DATOS-PROD'!BB$2,'1.PUNTOS'!$A$1:$B$63,2,0),0)</f>
        <v>0</v>
      </c>
      <c r="AT302" s="138">
        <f>IF('1.DATOS-PROD'!BC303="SI",VLOOKUP('1.DATOS-PROD'!BC$2,'1.PUNTOS'!$A$1:$B$63,2,0),0)</f>
        <v>0</v>
      </c>
      <c r="AU302" s="138">
        <f>IF('1.DATOS-PROD'!BD303="SI",VLOOKUP('1.DATOS-PROD'!BD$2,'1.PUNTOS'!$A$1:$B$63,2,0),0)</f>
        <v>0</v>
      </c>
      <c r="AV302" s="138">
        <f>IF('1.DATOS-PROD'!BE303="SI",VLOOKUP('1.DATOS-PROD'!BE$2,'1.PUNTOS'!$A$1:$B$63,2,0),0)</f>
        <v>0</v>
      </c>
      <c r="AW302" s="138">
        <f>IF('1.DATOS-PROD'!BF303="SI",VLOOKUP('1.DATOS-PROD'!BF$2,'1.PUNTOS'!$A$1:$B$63,2,0),0)</f>
        <v>0</v>
      </c>
      <c r="AX302" s="138">
        <f>IF('1.DATOS-PROD'!BG303="SI",VLOOKUP('1.DATOS-PROD'!BG$2,'1.PUNTOS'!$A$1:$B$63,2,0),0)</f>
        <v>0</v>
      </c>
      <c r="AY302" s="138">
        <f>IF('1.DATOS-PROD'!BH303="SI",VLOOKUP('1.DATOS-PROD'!BH$2,'1.PUNTOS'!$A$1:$B$63,2,0),0)</f>
        <v>0</v>
      </c>
      <c r="AZ302" s="138">
        <f>IF('1.DATOS-PROD'!BI303="SI",VLOOKUP('1.DATOS-PROD'!BI$2,'1.PUNTOS'!$A$1:$B$63,2,0),0)</f>
        <v>0</v>
      </c>
      <c r="BA302" s="138">
        <f>IF('1.DATOS-PROD'!BJ303="SI",VLOOKUP('1.DATOS-PROD'!BJ$2,'1.PUNTOS'!$A$1:$B$63,2,0),0)</f>
        <v>0</v>
      </c>
      <c r="BB302" s="138">
        <f>IF('1.DATOS-PROD'!BK303="SI",VLOOKUP('1.DATOS-PROD'!BK$2,'1.PUNTOS'!$A$1:$B$63,2,0),0)</f>
        <v>0</v>
      </c>
      <c r="BC302" s="138">
        <f>IF('1.DATOS-PROD'!BL303="SI",VLOOKUP('1.DATOS-PROD'!BL$2,'1.PUNTOS'!$A$1:$B$63,2,0),0)</f>
        <v>0</v>
      </c>
      <c r="BD302" s="138">
        <f>IF('1.DATOS-PROD'!BM303="SI",VLOOKUP('1.DATOS-PROD'!BM$2,'1.PUNTOS'!$A$1:$B$63,2,0),0)</f>
        <v>0</v>
      </c>
      <c r="BE302" s="138">
        <f>IF('1.DATOS-PROD'!BN303="SI",VLOOKUP('1.DATOS-PROD'!BN$2,'1.PUNTOS'!$A$1:$B$63,2,0),0)</f>
        <v>0</v>
      </c>
      <c r="BF302" s="138">
        <f>IF('1.DATOS-PROD'!BO303="SI",VLOOKUP('1.DATOS-PROD'!BO$2,'1.PUNTOS'!$A$1:$B$63,2,0),0)</f>
        <v>0</v>
      </c>
      <c r="BG302" s="138">
        <f>IF('1.DATOS-PROD'!BP303="SI",VLOOKUP('1.DATOS-PROD'!BP$2,'1.PUNTOS'!$A$1:$B$63,2,0),0)</f>
        <v>0</v>
      </c>
      <c r="BH302" s="138">
        <f>IF('1.DATOS-PROD'!BQ303="SI",VLOOKUP('1.DATOS-PROD'!BQ$2,'1.PUNTOS'!$A$1:$B$63,2,0),0)</f>
        <v>0</v>
      </c>
      <c r="BI302" s="138">
        <f>IF('1.DATOS-PROD'!BR303="SI",VLOOKUP('1.DATOS-PROD'!BR$2,'1.PUNTOS'!$A$1:$B$63,2,0),0)</f>
        <v>0</v>
      </c>
      <c r="BJ302" s="138">
        <f>IF('1.DATOS-PROD'!BS303="SI",VLOOKUP('1.DATOS-PROD'!BS$2,'1.PUNTOS'!$A$1:$B$63,2,0),0)</f>
        <v>0</v>
      </c>
      <c r="BK302" s="138">
        <f>IF('1.DATOS-PROD'!BT303="SI",VLOOKUP('1.DATOS-PROD'!BT$2,'1.PUNTOS'!$A$1:$B$63,2,0),0)</f>
        <v>0</v>
      </c>
    </row>
    <row r="303" spans="1:63" x14ac:dyDescent="0.25">
      <c r="A303">
        <f>'0.Consolidado general'!$A304</f>
        <v>0</v>
      </c>
      <c r="B303" s="138">
        <f>IF('1.DATOS-PROD'!K304="SI",VLOOKUP('1.DATOS-PROD'!K$2,'1.PUNTOS'!$A$1:$B$63,2,0),0)</f>
        <v>0</v>
      </c>
      <c r="C303" s="138">
        <f>IF('1.DATOS-PROD'!L304="SI",VLOOKUP('1.DATOS-PROD'!L$2,'1.PUNTOS'!$A$1:$B$63,2,0),0)</f>
        <v>0</v>
      </c>
      <c r="D303" s="138">
        <f>IF('1.DATOS-PROD'!M304="SI",VLOOKUP('1.DATOS-PROD'!M$2,'1.PUNTOS'!$A$1:$B$63,2,0),0)</f>
        <v>0</v>
      </c>
      <c r="E303" s="138">
        <f>IF('1.DATOS-PROD'!N304="SI",VLOOKUP('1.DATOS-PROD'!N$2,'1.PUNTOS'!$A$1:$B$63,2,0),0)</f>
        <v>0</v>
      </c>
      <c r="F303" s="138">
        <f>IF('1.DATOS-PROD'!O304="SI",VLOOKUP('1.DATOS-PROD'!O$2,'1.PUNTOS'!$A$1:$B$63,2,0),0)</f>
        <v>0</v>
      </c>
      <c r="G303" s="138">
        <f>IF('1.DATOS-PROD'!P304="SI",VLOOKUP('1.DATOS-PROD'!P$2,'1.PUNTOS'!$A$1:$B$63,2,0),0)</f>
        <v>0</v>
      </c>
      <c r="H303" s="138">
        <f>IF('1.DATOS-PROD'!Q304="SI",VLOOKUP('1.DATOS-PROD'!Q$2,'1.PUNTOS'!$A$1:$B$63,2,0),0)</f>
        <v>0</v>
      </c>
      <c r="I303" s="138">
        <f>IF('1.DATOS-PROD'!R304="SI",VLOOKUP('1.DATOS-PROD'!R$2,'1.PUNTOS'!$A$1:$B$63,2,0),0)</f>
        <v>0</v>
      </c>
      <c r="J303" s="138">
        <f>IF('1.DATOS-PROD'!S304="SI",VLOOKUP('1.DATOS-PROD'!S$2,'1.PUNTOS'!$A$1:$B$63,2,0),0)</f>
        <v>0</v>
      </c>
      <c r="K303" s="138">
        <f>IF('1.DATOS-PROD'!T304="SI",VLOOKUP('1.DATOS-PROD'!T$2,'1.PUNTOS'!$A$1:$B$63,2,0),0)</f>
        <v>0</v>
      </c>
      <c r="L303" s="138">
        <f>IF('1.DATOS-PROD'!U304="SI",VLOOKUP('1.DATOS-PROD'!U$2,'1.PUNTOS'!$A$1:$B$63,2,0),0)</f>
        <v>0</v>
      </c>
      <c r="M303" s="138">
        <f>IF('1.DATOS-PROD'!V304="SI",VLOOKUP('1.DATOS-PROD'!V$2,'1.PUNTOS'!$A$1:$B$63,2,0),0)</f>
        <v>0</v>
      </c>
      <c r="N303" s="138">
        <f>IF('1.DATOS-PROD'!W304="SI",VLOOKUP('1.DATOS-PROD'!W$2,'1.PUNTOS'!$A$1:$B$63,2,0),0)</f>
        <v>0</v>
      </c>
      <c r="O303" s="138">
        <f>IF('1.DATOS-PROD'!X304="SI",VLOOKUP('1.DATOS-PROD'!X$2,'1.PUNTOS'!$A$1:$B$63,2,0),0)</f>
        <v>0</v>
      </c>
      <c r="P303" s="138">
        <f>IF('1.DATOS-PROD'!Y304="SI",VLOOKUP('1.DATOS-PROD'!Y$2,'1.PUNTOS'!$A$1:$B$63,2,0),0)</f>
        <v>0</v>
      </c>
      <c r="Q303" s="138">
        <f>IF('1.DATOS-PROD'!Z304="SI",VLOOKUP('1.DATOS-PROD'!Z$2,'1.PUNTOS'!$A$1:$B$63,2,0),0)</f>
        <v>0</v>
      </c>
      <c r="R303" s="138">
        <f>IF('1.DATOS-PROD'!AA304="SI",VLOOKUP('1.DATOS-PROD'!AA$2,'1.PUNTOS'!$A$1:$B$63,2,0),0)</f>
        <v>0</v>
      </c>
      <c r="S303" s="138">
        <f>IF('1.DATOS-PROD'!AB304="SI",VLOOKUP('1.DATOS-PROD'!AB$2,'1.PUNTOS'!$A$1:$B$63,2,0),0)</f>
        <v>0</v>
      </c>
      <c r="T303" s="138">
        <f>IF('1.DATOS-PROD'!AC304="SI",VLOOKUP('1.DATOS-PROD'!AC$2,'1.PUNTOS'!$A$1:$B$63,2,0),0)</f>
        <v>0</v>
      </c>
      <c r="U303" s="138">
        <f>IF('1.DATOS-PROD'!AD304="SI",VLOOKUP('1.DATOS-PROD'!AD$2,'1.PUNTOS'!$A$1:$B$63,2,0),0)</f>
        <v>0</v>
      </c>
      <c r="V303" s="138">
        <f>IF('1.DATOS-PROD'!AE304="SI",VLOOKUP('1.DATOS-PROD'!AE$2,'1.PUNTOS'!$A$1:$B$63,2,0),0)</f>
        <v>0</v>
      </c>
      <c r="W303" s="138">
        <f>IF('1.DATOS-PROD'!AF304="SI",VLOOKUP('1.DATOS-PROD'!AF$2,'1.PUNTOS'!$A$1:$B$63,2,0),0)</f>
        <v>0</v>
      </c>
      <c r="X303" s="138">
        <f>IF('1.DATOS-PROD'!AG304="SI",VLOOKUP('1.DATOS-PROD'!AG$2,'1.PUNTOS'!$A$1:$B$63,2,0),0)</f>
        <v>0</v>
      </c>
      <c r="Y303" s="138">
        <f>IF('1.DATOS-PROD'!AH304="SI",VLOOKUP('1.DATOS-PROD'!AH$2,'1.PUNTOS'!$A$1:$B$63,2,0),0)</f>
        <v>0</v>
      </c>
      <c r="Z303" s="138">
        <f>IF('1.DATOS-PROD'!AI304="SI",VLOOKUP('1.DATOS-PROD'!AI$2,'1.PUNTOS'!$A$1:$B$63,2,0),0)</f>
        <v>0</v>
      </c>
      <c r="AA303" s="138">
        <f>IF('1.DATOS-PROD'!AJ304="SI",VLOOKUP('1.DATOS-PROD'!AJ$2,'1.PUNTOS'!$A$1:$B$63,2,0),0)</f>
        <v>0</v>
      </c>
      <c r="AB303" s="138">
        <f>IF('1.DATOS-PROD'!AK304="SI",VLOOKUP('1.DATOS-PROD'!AK$2,'1.PUNTOS'!$A$1:$B$63,2,0),0)</f>
        <v>0</v>
      </c>
      <c r="AC303" s="138">
        <f>IF('1.DATOS-PROD'!AL304="SI",VLOOKUP('1.DATOS-PROD'!AL$2,'1.PUNTOS'!$A$1:$B$63,2,0),0)</f>
        <v>0</v>
      </c>
      <c r="AD303" s="138">
        <f>IF('1.DATOS-PROD'!AM304="SI",VLOOKUP('1.DATOS-PROD'!AM$2,'1.PUNTOS'!$A$1:$B$63,2,0),0)</f>
        <v>0</v>
      </c>
      <c r="AE303" s="138">
        <f>IF('1.DATOS-PROD'!AN304="SI",VLOOKUP('1.DATOS-PROD'!AN$2,'1.PUNTOS'!$A$1:$B$63,2,0),0)</f>
        <v>0</v>
      </c>
      <c r="AF303" s="138">
        <f>IF('1.DATOS-PROD'!AO304="SI",VLOOKUP('1.DATOS-PROD'!AO$2,'1.PUNTOS'!$A$1:$B$63,2,0),0)</f>
        <v>0</v>
      </c>
      <c r="AG303" s="138">
        <f>IF('1.DATOS-PROD'!AP304="SI",VLOOKUP('1.DATOS-PROD'!AP$2,'1.PUNTOS'!$A$1:$B$63,2,0),0)</f>
        <v>0</v>
      </c>
      <c r="AH303" s="138">
        <f>IF('1.DATOS-PROD'!AQ304="SI",VLOOKUP('1.DATOS-PROD'!AQ$2,'1.PUNTOS'!$A$1:$B$63,2,0),0)</f>
        <v>0</v>
      </c>
      <c r="AI303" s="138">
        <f>IF('1.DATOS-PROD'!AR304="SI",VLOOKUP('1.DATOS-PROD'!AR$2,'1.PUNTOS'!$A$1:$B$63,2,0),0)</f>
        <v>0</v>
      </c>
      <c r="AJ303" s="138">
        <f>IF('1.DATOS-PROD'!AS304="SI",VLOOKUP('1.DATOS-PROD'!AS$2,'1.PUNTOS'!$A$1:$B$63,2,0),0)</f>
        <v>0</v>
      </c>
      <c r="AK303" s="138">
        <f>IF('1.DATOS-PROD'!AT304="SI",VLOOKUP('1.DATOS-PROD'!AT$2,'1.PUNTOS'!$A$1:$B$63,2,0),0)</f>
        <v>0</v>
      </c>
      <c r="AL303" s="138">
        <f>IF('1.DATOS-PROD'!AU304="SI",VLOOKUP('1.DATOS-PROD'!AU$2,'1.PUNTOS'!$A$1:$B$63,2,0),0)</f>
        <v>0</v>
      </c>
      <c r="AM303" s="138">
        <f>IF('1.DATOS-PROD'!AV304="SI",VLOOKUP('1.DATOS-PROD'!AV$2,'1.PUNTOS'!$A$1:$B$63,2,0),0)</f>
        <v>0</v>
      </c>
      <c r="AN303" s="138">
        <f>IF('1.DATOS-PROD'!AW304="SI",VLOOKUP('1.DATOS-PROD'!AW$2,'1.PUNTOS'!$A$1:$B$63,2,0),0)</f>
        <v>0</v>
      </c>
      <c r="AO303" s="138">
        <f>IF('1.DATOS-PROD'!AX304="SI",VLOOKUP('1.DATOS-PROD'!AX$2,'1.PUNTOS'!$A$1:$B$63,2,0),0)</f>
        <v>0</v>
      </c>
      <c r="AP303" s="138">
        <f>IF('1.DATOS-PROD'!AY304="SI",VLOOKUP('1.DATOS-PROD'!AY$2,'1.PUNTOS'!$A$1:$B$63,2,0),0)</f>
        <v>0</v>
      </c>
      <c r="AQ303" s="138">
        <f>IF('1.DATOS-PROD'!AZ304="SI",VLOOKUP('1.DATOS-PROD'!AZ$2,'1.PUNTOS'!$A$1:$B$63,2,0),0)</f>
        <v>0</v>
      </c>
      <c r="AR303" s="138">
        <f>IF('1.DATOS-PROD'!BA304="SI",VLOOKUP('1.DATOS-PROD'!BA$2,'1.PUNTOS'!$A$1:$B$63,2,0),0)</f>
        <v>0</v>
      </c>
      <c r="AS303" s="138">
        <f>IF('1.DATOS-PROD'!BB304="SI",VLOOKUP('1.DATOS-PROD'!BB$2,'1.PUNTOS'!$A$1:$B$63,2,0),0)</f>
        <v>0</v>
      </c>
      <c r="AT303" s="138">
        <f>IF('1.DATOS-PROD'!BC304="SI",VLOOKUP('1.DATOS-PROD'!BC$2,'1.PUNTOS'!$A$1:$B$63,2,0),0)</f>
        <v>0</v>
      </c>
      <c r="AU303" s="138">
        <f>IF('1.DATOS-PROD'!BD304="SI",VLOOKUP('1.DATOS-PROD'!BD$2,'1.PUNTOS'!$A$1:$B$63,2,0),0)</f>
        <v>0</v>
      </c>
      <c r="AV303" s="138">
        <f>IF('1.DATOS-PROD'!BE304="SI",VLOOKUP('1.DATOS-PROD'!BE$2,'1.PUNTOS'!$A$1:$B$63,2,0),0)</f>
        <v>0</v>
      </c>
      <c r="AW303" s="138">
        <f>IF('1.DATOS-PROD'!BF304="SI",VLOOKUP('1.DATOS-PROD'!BF$2,'1.PUNTOS'!$A$1:$B$63,2,0),0)</f>
        <v>0</v>
      </c>
      <c r="AX303" s="138">
        <f>IF('1.DATOS-PROD'!BG304="SI",VLOOKUP('1.DATOS-PROD'!BG$2,'1.PUNTOS'!$A$1:$B$63,2,0),0)</f>
        <v>0</v>
      </c>
      <c r="AY303" s="138">
        <f>IF('1.DATOS-PROD'!BH304="SI",VLOOKUP('1.DATOS-PROD'!BH$2,'1.PUNTOS'!$A$1:$B$63,2,0),0)</f>
        <v>0</v>
      </c>
      <c r="AZ303" s="138">
        <f>IF('1.DATOS-PROD'!BI304="SI",VLOOKUP('1.DATOS-PROD'!BI$2,'1.PUNTOS'!$A$1:$B$63,2,0),0)</f>
        <v>0</v>
      </c>
      <c r="BA303" s="138">
        <f>IF('1.DATOS-PROD'!BJ304="SI",VLOOKUP('1.DATOS-PROD'!BJ$2,'1.PUNTOS'!$A$1:$B$63,2,0),0)</f>
        <v>0</v>
      </c>
      <c r="BB303" s="138">
        <f>IF('1.DATOS-PROD'!BK304="SI",VLOOKUP('1.DATOS-PROD'!BK$2,'1.PUNTOS'!$A$1:$B$63,2,0),0)</f>
        <v>0</v>
      </c>
      <c r="BC303" s="138">
        <f>IF('1.DATOS-PROD'!BL304="SI",VLOOKUP('1.DATOS-PROD'!BL$2,'1.PUNTOS'!$A$1:$B$63,2,0),0)</f>
        <v>0</v>
      </c>
      <c r="BD303" s="138">
        <f>IF('1.DATOS-PROD'!BM304="SI",VLOOKUP('1.DATOS-PROD'!BM$2,'1.PUNTOS'!$A$1:$B$63,2,0),0)</f>
        <v>0</v>
      </c>
      <c r="BE303" s="138">
        <f>IF('1.DATOS-PROD'!BN304="SI",VLOOKUP('1.DATOS-PROD'!BN$2,'1.PUNTOS'!$A$1:$B$63,2,0),0)</f>
        <v>0</v>
      </c>
      <c r="BF303" s="138">
        <f>IF('1.DATOS-PROD'!BO304="SI",VLOOKUP('1.DATOS-PROD'!BO$2,'1.PUNTOS'!$A$1:$B$63,2,0),0)</f>
        <v>0</v>
      </c>
      <c r="BG303" s="138">
        <f>IF('1.DATOS-PROD'!BP304="SI",VLOOKUP('1.DATOS-PROD'!BP$2,'1.PUNTOS'!$A$1:$B$63,2,0),0)</f>
        <v>0</v>
      </c>
      <c r="BH303" s="138">
        <f>IF('1.DATOS-PROD'!BQ304="SI",VLOOKUP('1.DATOS-PROD'!BQ$2,'1.PUNTOS'!$A$1:$B$63,2,0),0)</f>
        <v>0</v>
      </c>
      <c r="BI303" s="138">
        <f>IF('1.DATOS-PROD'!BR304="SI",VLOOKUP('1.DATOS-PROD'!BR$2,'1.PUNTOS'!$A$1:$B$63,2,0),0)</f>
        <v>0</v>
      </c>
      <c r="BJ303" s="138">
        <f>IF('1.DATOS-PROD'!BS304="SI",VLOOKUP('1.DATOS-PROD'!BS$2,'1.PUNTOS'!$A$1:$B$63,2,0),0)</f>
        <v>0</v>
      </c>
      <c r="BK303" s="138">
        <f>IF('1.DATOS-PROD'!BT304="SI",VLOOKUP('1.DATOS-PROD'!BT$2,'1.PUNTOS'!$A$1:$B$63,2,0),0)</f>
        <v>0</v>
      </c>
    </row>
    <row r="304" spans="1:63" x14ac:dyDescent="0.25">
      <c r="A304">
        <f>'0.Consolidado general'!$A305</f>
        <v>0</v>
      </c>
      <c r="B304" s="138">
        <f>IF('1.DATOS-PROD'!K305="SI",VLOOKUP('1.DATOS-PROD'!K$2,'1.PUNTOS'!$A$1:$B$63,2,0),0)</f>
        <v>0</v>
      </c>
      <c r="C304" s="138">
        <f>IF('1.DATOS-PROD'!L305="SI",VLOOKUP('1.DATOS-PROD'!L$2,'1.PUNTOS'!$A$1:$B$63,2,0),0)</f>
        <v>0</v>
      </c>
      <c r="D304" s="138">
        <f>IF('1.DATOS-PROD'!M305="SI",VLOOKUP('1.DATOS-PROD'!M$2,'1.PUNTOS'!$A$1:$B$63,2,0),0)</f>
        <v>0</v>
      </c>
      <c r="E304" s="138">
        <f>IF('1.DATOS-PROD'!N305="SI",VLOOKUP('1.DATOS-PROD'!N$2,'1.PUNTOS'!$A$1:$B$63,2,0),0)</f>
        <v>0</v>
      </c>
      <c r="F304" s="138">
        <f>IF('1.DATOS-PROD'!O305="SI",VLOOKUP('1.DATOS-PROD'!O$2,'1.PUNTOS'!$A$1:$B$63,2,0),0)</f>
        <v>0</v>
      </c>
      <c r="G304" s="138">
        <f>IF('1.DATOS-PROD'!P305="SI",VLOOKUP('1.DATOS-PROD'!P$2,'1.PUNTOS'!$A$1:$B$63,2,0),0)</f>
        <v>0</v>
      </c>
      <c r="H304" s="138">
        <f>IF('1.DATOS-PROD'!Q305="SI",VLOOKUP('1.DATOS-PROD'!Q$2,'1.PUNTOS'!$A$1:$B$63,2,0),0)</f>
        <v>0</v>
      </c>
      <c r="I304" s="138">
        <f>IF('1.DATOS-PROD'!R305="SI",VLOOKUP('1.DATOS-PROD'!R$2,'1.PUNTOS'!$A$1:$B$63,2,0),0)</f>
        <v>0</v>
      </c>
      <c r="J304" s="138">
        <f>IF('1.DATOS-PROD'!S305="SI",VLOOKUP('1.DATOS-PROD'!S$2,'1.PUNTOS'!$A$1:$B$63,2,0),0)</f>
        <v>0</v>
      </c>
      <c r="K304" s="138">
        <f>IF('1.DATOS-PROD'!T305="SI",VLOOKUP('1.DATOS-PROD'!T$2,'1.PUNTOS'!$A$1:$B$63,2,0),0)</f>
        <v>0</v>
      </c>
      <c r="L304" s="138">
        <f>IF('1.DATOS-PROD'!U305="SI",VLOOKUP('1.DATOS-PROD'!U$2,'1.PUNTOS'!$A$1:$B$63,2,0),0)</f>
        <v>0</v>
      </c>
      <c r="M304" s="138">
        <f>IF('1.DATOS-PROD'!V305="SI",VLOOKUP('1.DATOS-PROD'!V$2,'1.PUNTOS'!$A$1:$B$63,2,0),0)</f>
        <v>0</v>
      </c>
      <c r="N304" s="138">
        <f>IF('1.DATOS-PROD'!W305="SI",VLOOKUP('1.DATOS-PROD'!W$2,'1.PUNTOS'!$A$1:$B$63,2,0),0)</f>
        <v>0</v>
      </c>
      <c r="O304" s="138">
        <f>IF('1.DATOS-PROD'!X305="SI",VLOOKUP('1.DATOS-PROD'!X$2,'1.PUNTOS'!$A$1:$B$63,2,0),0)</f>
        <v>0</v>
      </c>
      <c r="P304" s="138">
        <f>IF('1.DATOS-PROD'!Y305="SI",VLOOKUP('1.DATOS-PROD'!Y$2,'1.PUNTOS'!$A$1:$B$63,2,0),0)</f>
        <v>0</v>
      </c>
      <c r="Q304" s="138">
        <f>IF('1.DATOS-PROD'!Z305="SI",VLOOKUP('1.DATOS-PROD'!Z$2,'1.PUNTOS'!$A$1:$B$63,2,0),0)</f>
        <v>0</v>
      </c>
      <c r="R304" s="138">
        <f>IF('1.DATOS-PROD'!AA305="SI",VLOOKUP('1.DATOS-PROD'!AA$2,'1.PUNTOS'!$A$1:$B$63,2,0),0)</f>
        <v>0</v>
      </c>
      <c r="S304" s="138">
        <f>IF('1.DATOS-PROD'!AB305="SI",VLOOKUP('1.DATOS-PROD'!AB$2,'1.PUNTOS'!$A$1:$B$63,2,0),0)</f>
        <v>0</v>
      </c>
      <c r="T304" s="138">
        <f>IF('1.DATOS-PROD'!AC305="SI",VLOOKUP('1.DATOS-PROD'!AC$2,'1.PUNTOS'!$A$1:$B$63,2,0),0)</f>
        <v>0</v>
      </c>
      <c r="U304" s="138">
        <f>IF('1.DATOS-PROD'!AD305="SI",VLOOKUP('1.DATOS-PROD'!AD$2,'1.PUNTOS'!$A$1:$B$63,2,0),0)</f>
        <v>0</v>
      </c>
      <c r="V304" s="138">
        <f>IF('1.DATOS-PROD'!AE305="SI",VLOOKUP('1.DATOS-PROD'!AE$2,'1.PUNTOS'!$A$1:$B$63,2,0),0)</f>
        <v>0</v>
      </c>
      <c r="W304" s="138">
        <f>IF('1.DATOS-PROD'!AF305="SI",VLOOKUP('1.DATOS-PROD'!AF$2,'1.PUNTOS'!$A$1:$B$63,2,0),0)</f>
        <v>0</v>
      </c>
      <c r="X304" s="138">
        <f>IF('1.DATOS-PROD'!AG305="SI",VLOOKUP('1.DATOS-PROD'!AG$2,'1.PUNTOS'!$A$1:$B$63,2,0),0)</f>
        <v>0</v>
      </c>
      <c r="Y304" s="138">
        <f>IF('1.DATOS-PROD'!AH305="SI",VLOOKUP('1.DATOS-PROD'!AH$2,'1.PUNTOS'!$A$1:$B$63,2,0),0)</f>
        <v>0</v>
      </c>
      <c r="Z304" s="138">
        <f>IF('1.DATOS-PROD'!AI305="SI",VLOOKUP('1.DATOS-PROD'!AI$2,'1.PUNTOS'!$A$1:$B$63,2,0),0)</f>
        <v>0</v>
      </c>
      <c r="AA304" s="138">
        <f>IF('1.DATOS-PROD'!AJ305="SI",VLOOKUP('1.DATOS-PROD'!AJ$2,'1.PUNTOS'!$A$1:$B$63,2,0),0)</f>
        <v>0</v>
      </c>
      <c r="AB304" s="138">
        <f>IF('1.DATOS-PROD'!AK305="SI",VLOOKUP('1.DATOS-PROD'!AK$2,'1.PUNTOS'!$A$1:$B$63,2,0),0)</f>
        <v>0</v>
      </c>
      <c r="AC304" s="138">
        <f>IF('1.DATOS-PROD'!AL305="SI",VLOOKUP('1.DATOS-PROD'!AL$2,'1.PUNTOS'!$A$1:$B$63,2,0),0)</f>
        <v>0</v>
      </c>
      <c r="AD304" s="138">
        <f>IF('1.DATOS-PROD'!AM305="SI",VLOOKUP('1.DATOS-PROD'!AM$2,'1.PUNTOS'!$A$1:$B$63,2,0),0)</f>
        <v>0</v>
      </c>
      <c r="AE304" s="138">
        <f>IF('1.DATOS-PROD'!AN305="SI",VLOOKUP('1.DATOS-PROD'!AN$2,'1.PUNTOS'!$A$1:$B$63,2,0),0)</f>
        <v>0</v>
      </c>
      <c r="AF304" s="138">
        <f>IF('1.DATOS-PROD'!AO305="SI",VLOOKUP('1.DATOS-PROD'!AO$2,'1.PUNTOS'!$A$1:$B$63,2,0),0)</f>
        <v>0</v>
      </c>
      <c r="AG304" s="138">
        <f>IF('1.DATOS-PROD'!AP305="SI",VLOOKUP('1.DATOS-PROD'!AP$2,'1.PUNTOS'!$A$1:$B$63,2,0),0)</f>
        <v>0</v>
      </c>
      <c r="AH304" s="138">
        <f>IF('1.DATOS-PROD'!AQ305="SI",VLOOKUP('1.DATOS-PROD'!AQ$2,'1.PUNTOS'!$A$1:$B$63,2,0),0)</f>
        <v>0</v>
      </c>
      <c r="AI304" s="138">
        <f>IF('1.DATOS-PROD'!AR305="SI",VLOOKUP('1.DATOS-PROD'!AR$2,'1.PUNTOS'!$A$1:$B$63,2,0),0)</f>
        <v>0</v>
      </c>
      <c r="AJ304" s="138">
        <f>IF('1.DATOS-PROD'!AS305="SI",VLOOKUP('1.DATOS-PROD'!AS$2,'1.PUNTOS'!$A$1:$B$63,2,0),0)</f>
        <v>0</v>
      </c>
      <c r="AK304" s="138">
        <f>IF('1.DATOS-PROD'!AT305="SI",VLOOKUP('1.DATOS-PROD'!AT$2,'1.PUNTOS'!$A$1:$B$63,2,0),0)</f>
        <v>0</v>
      </c>
      <c r="AL304" s="138">
        <f>IF('1.DATOS-PROD'!AU305="SI",VLOOKUP('1.DATOS-PROD'!AU$2,'1.PUNTOS'!$A$1:$B$63,2,0),0)</f>
        <v>0</v>
      </c>
      <c r="AM304" s="138">
        <f>IF('1.DATOS-PROD'!AV305="SI",VLOOKUP('1.DATOS-PROD'!AV$2,'1.PUNTOS'!$A$1:$B$63,2,0),0)</f>
        <v>0</v>
      </c>
      <c r="AN304" s="138">
        <f>IF('1.DATOS-PROD'!AW305="SI",VLOOKUP('1.DATOS-PROD'!AW$2,'1.PUNTOS'!$A$1:$B$63,2,0),0)</f>
        <v>0</v>
      </c>
      <c r="AO304" s="138">
        <f>IF('1.DATOS-PROD'!AX305="SI",VLOOKUP('1.DATOS-PROD'!AX$2,'1.PUNTOS'!$A$1:$B$63,2,0),0)</f>
        <v>0</v>
      </c>
      <c r="AP304" s="138">
        <f>IF('1.DATOS-PROD'!AY305="SI",VLOOKUP('1.DATOS-PROD'!AY$2,'1.PUNTOS'!$A$1:$B$63,2,0),0)</f>
        <v>0</v>
      </c>
      <c r="AQ304" s="138">
        <f>IF('1.DATOS-PROD'!AZ305="SI",VLOOKUP('1.DATOS-PROD'!AZ$2,'1.PUNTOS'!$A$1:$B$63,2,0),0)</f>
        <v>0</v>
      </c>
      <c r="AR304" s="138">
        <f>IF('1.DATOS-PROD'!BA305="SI",VLOOKUP('1.DATOS-PROD'!BA$2,'1.PUNTOS'!$A$1:$B$63,2,0),0)</f>
        <v>0</v>
      </c>
      <c r="AS304" s="138">
        <f>IF('1.DATOS-PROD'!BB305="SI",VLOOKUP('1.DATOS-PROD'!BB$2,'1.PUNTOS'!$A$1:$B$63,2,0),0)</f>
        <v>0</v>
      </c>
      <c r="AT304" s="138">
        <f>IF('1.DATOS-PROD'!BC305="SI",VLOOKUP('1.DATOS-PROD'!BC$2,'1.PUNTOS'!$A$1:$B$63,2,0),0)</f>
        <v>0</v>
      </c>
      <c r="AU304" s="138">
        <f>IF('1.DATOS-PROD'!BD305="SI",VLOOKUP('1.DATOS-PROD'!BD$2,'1.PUNTOS'!$A$1:$B$63,2,0),0)</f>
        <v>0</v>
      </c>
      <c r="AV304" s="138">
        <f>IF('1.DATOS-PROD'!BE305="SI",VLOOKUP('1.DATOS-PROD'!BE$2,'1.PUNTOS'!$A$1:$B$63,2,0),0)</f>
        <v>0</v>
      </c>
      <c r="AW304" s="138">
        <f>IF('1.DATOS-PROD'!BF305="SI",VLOOKUP('1.DATOS-PROD'!BF$2,'1.PUNTOS'!$A$1:$B$63,2,0),0)</f>
        <v>0</v>
      </c>
      <c r="AX304" s="138">
        <f>IF('1.DATOS-PROD'!BG305="SI",VLOOKUP('1.DATOS-PROD'!BG$2,'1.PUNTOS'!$A$1:$B$63,2,0),0)</f>
        <v>0</v>
      </c>
      <c r="AY304" s="138">
        <f>IF('1.DATOS-PROD'!BH305="SI",VLOOKUP('1.DATOS-PROD'!BH$2,'1.PUNTOS'!$A$1:$B$63,2,0),0)</f>
        <v>0</v>
      </c>
      <c r="AZ304" s="138">
        <f>IF('1.DATOS-PROD'!BI305="SI",VLOOKUP('1.DATOS-PROD'!BI$2,'1.PUNTOS'!$A$1:$B$63,2,0),0)</f>
        <v>0</v>
      </c>
      <c r="BA304" s="138">
        <f>IF('1.DATOS-PROD'!BJ305="SI",VLOOKUP('1.DATOS-PROD'!BJ$2,'1.PUNTOS'!$A$1:$B$63,2,0),0)</f>
        <v>0</v>
      </c>
      <c r="BB304" s="138">
        <f>IF('1.DATOS-PROD'!BK305="SI",VLOOKUP('1.DATOS-PROD'!BK$2,'1.PUNTOS'!$A$1:$B$63,2,0),0)</f>
        <v>0</v>
      </c>
      <c r="BC304" s="138">
        <f>IF('1.DATOS-PROD'!BL305="SI",VLOOKUP('1.DATOS-PROD'!BL$2,'1.PUNTOS'!$A$1:$B$63,2,0),0)</f>
        <v>0</v>
      </c>
      <c r="BD304" s="138">
        <f>IF('1.DATOS-PROD'!BM305="SI",VLOOKUP('1.DATOS-PROD'!BM$2,'1.PUNTOS'!$A$1:$B$63,2,0),0)</f>
        <v>0</v>
      </c>
      <c r="BE304" s="138">
        <f>IF('1.DATOS-PROD'!BN305="SI",VLOOKUP('1.DATOS-PROD'!BN$2,'1.PUNTOS'!$A$1:$B$63,2,0),0)</f>
        <v>0</v>
      </c>
      <c r="BF304" s="138">
        <f>IF('1.DATOS-PROD'!BO305="SI",VLOOKUP('1.DATOS-PROD'!BO$2,'1.PUNTOS'!$A$1:$B$63,2,0),0)</f>
        <v>0</v>
      </c>
      <c r="BG304" s="138">
        <f>IF('1.DATOS-PROD'!BP305="SI",VLOOKUP('1.DATOS-PROD'!BP$2,'1.PUNTOS'!$A$1:$B$63,2,0),0)</f>
        <v>0</v>
      </c>
      <c r="BH304" s="138">
        <f>IF('1.DATOS-PROD'!BQ305="SI",VLOOKUP('1.DATOS-PROD'!BQ$2,'1.PUNTOS'!$A$1:$B$63,2,0),0)</f>
        <v>0</v>
      </c>
      <c r="BI304" s="138">
        <f>IF('1.DATOS-PROD'!BR305="SI",VLOOKUP('1.DATOS-PROD'!BR$2,'1.PUNTOS'!$A$1:$B$63,2,0),0)</f>
        <v>0</v>
      </c>
      <c r="BJ304" s="138">
        <f>IF('1.DATOS-PROD'!BS305="SI",VLOOKUP('1.DATOS-PROD'!BS$2,'1.PUNTOS'!$A$1:$B$63,2,0),0)</f>
        <v>0</v>
      </c>
      <c r="BK304" s="138">
        <f>IF('1.DATOS-PROD'!BT305="SI",VLOOKUP('1.DATOS-PROD'!BT$2,'1.PUNTOS'!$A$1:$B$63,2,0),0)</f>
        <v>0</v>
      </c>
    </row>
    <row r="305" spans="1:63" x14ac:dyDescent="0.25">
      <c r="A305">
        <f>'0.Consolidado general'!$A306</f>
        <v>0</v>
      </c>
      <c r="B305" s="138">
        <f>IF('1.DATOS-PROD'!K306="SI",VLOOKUP('1.DATOS-PROD'!K$2,'1.PUNTOS'!$A$1:$B$63,2,0),0)</f>
        <v>0</v>
      </c>
      <c r="C305" s="138">
        <f>IF('1.DATOS-PROD'!L306="SI",VLOOKUP('1.DATOS-PROD'!L$2,'1.PUNTOS'!$A$1:$B$63,2,0),0)</f>
        <v>0</v>
      </c>
      <c r="D305" s="138">
        <f>IF('1.DATOS-PROD'!M306="SI",VLOOKUP('1.DATOS-PROD'!M$2,'1.PUNTOS'!$A$1:$B$63,2,0),0)</f>
        <v>0</v>
      </c>
      <c r="E305" s="138">
        <f>IF('1.DATOS-PROD'!N306="SI",VLOOKUP('1.DATOS-PROD'!N$2,'1.PUNTOS'!$A$1:$B$63,2,0),0)</f>
        <v>0</v>
      </c>
      <c r="F305" s="138">
        <f>IF('1.DATOS-PROD'!O306="SI",VLOOKUP('1.DATOS-PROD'!O$2,'1.PUNTOS'!$A$1:$B$63,2,0),0)</f>
        <v>0</v>
      </c>
      <c r="G305" s="138">
        <f>IF('1.DATOS-PROD'!P306="SI",VLOOKUP('1.DATOS-PROD'!P$2,'1.PUNTOS'!$A$1:$B$63,2,0),0)</f>
        <v>0</v>
      </c>
      <c r="H305" s="138">
        <f>IF('1.DATOS-PROD'!Q306="SI",VLOOKUP('1.DATOS-PROD'!Q$2,'1.PUNTOS'!$A$1:$B$63,2,0),0)</f>
        <v>0</v>
      </c>
      <c r="I305" s="138">
        <f>IF('1.DATOS-PROD'!R306="SI",VLOOKUP('1.DATOS-PROD'!R$2,'1.PUNTOS'!$A$1:$B$63,2,0),0)</f>
        <v>0</v>
      </c>
      <c r="J305" s="138">
        <f>IF('1.DATOS-PROD'!S306="SI",VLOOKUP('1.DATOS-PROD'!S$2,'1.PUNTOS'!$A$1:$B$63,2,0),0)</f>
        <v>0</v>
      </c>
      <c r="K305" s="138">
        <f>IF('1.DATOS-PROD'!T306="SI",VLOOKUP('1.DATOS-PROD'!T$2,'1.PUNTOS'!$A$1:$B$63,2,0),0)</f>
        <v>0</v>
      </c>
      <c r="L305" s="138">
        <f>IF('1.DATOS-PROD'!U306="SI",VLOOKUP('1.DATOS-PROD'!U$2,'1.PUNTOS'!$A$1:$B$63,2,0),0)</f>
        <v>0</v>
      </c>
      <c r="M305" s="138">
        <f>IF('1.DATOS-PROD'!V306="SI",VLOOKUP('1.DATOS-PROD'!V$2,'1.PUNTOS'!$A$1:$B$63,2,0),0)</f>
        <v>0</v>
      </c>
      <c r="N305" s="138">
        <f>IF('1.DATOS-PROD'!W306="SI",VLOOKUP('1.DATOS-PROD'!W$2,'1.PUNTOS'!$A$1:$B$63,2,0),0)</f>
        <v>0</v>
      </c>
      <c r="O305" s="138">
        <f>IF('1.DATOS-PROD'!X306="SI",VLOOKUP('1.DATOS-PROD'!X$2,'1.PUNTOS'!$A$1:$B$63,2,0),0)</f>
        <v>0</v>
      </c>
      <c r="P305" s="138">
        <f>IF('1.DATOS-PROD'!Y306="SI",VLOOKUP('1.DATOS-PROD'!Y$2,'1.PUNTOS'!$A$1:$B$63,2,0),0)</f>
        <v>0</v>
      </c>
      <c r="Q305" s="138">
        <f>IF('1.DATOS-PROD'!Z306="SI",VLOOKUP('1.DATOS-PROD'!Z$2,'1.PUNTOS'!$A$1:$B$63,2,0),0)</f>
        <v>0</v>
      </c>
      <c r="R305" s="138">
        <f>IF('1.DATOS-PROD'!AA306="SI",VLOOKUP('1.DATOS-PROD'!AA$2,'1.PUNTOS'!$A$1:$B$63,2,0),0)</f>
        <v>0</v>
      </c>
      <c r="S305" s="138">
        <f>IF('1.DATOS-PROD'!AB306="SI",VLOOKUP('1.DATOS-PROD'!AB$2,'1.PUNTOS'!$A$1:$B$63,2,0),0)</f>
        <v>0</v>
      </c>
      <c r="T305" s="138">
        <f>IF('1.DATOS-PROD'!AC306="SI",VLOOKUP('1.DATOS-PROD'!AC$2,'1.PUNTOS'!$A$1:$B$63,2,0),0)</f>
        <v>0</v>
      </c>
      <c r="U305" s="138">
        <f>IF('1.DATOS-PROD'!AD306="SI",VLOOKUP('1.DATOS-PROD'!AD$2,'1.PUNTOS'!$A$1:$B$63,2,0),0)</f>
        <v>0</v>
      </c>
      <c r="V305" s="138">
        <f>IF('1.DATOS-PROD'!AE306="SI",VLOOKUP('1.DATOS-PROD'!AE$2,'1.PUNTOS'!$A$1:$B$63,2,0),0)</f>
        <v>0</v>
      </c>
      <c r="W305" s="138">
        <f>IF('1.DATOS-PROD'!AF306="SI",VLOOKUP('1.DATOS-PROD'!AF$2,'1.PUNTOS'!$A$1:$B$63,2,0),0)</f>
        <v>0</v>
      </c>
      <c r="X305" s="138">
        <f>IF('1.DATOS-PROD'!AG306="SI",VLOOKUP('1.DATOS-PROD'!AG$2,'1.PUNTOS'!$A$1:$B$63,2,0),0)</f>
        <v>0</v>
      </c>
      <c r="Y305" s="138">
        <f>IF('1.DATOS-PROD'!AH306="SI",VLOOKUP('1.DATOS-PROD'!AH$2,'1.PUNTOS'!$A$1:$B$63,2,0),0)</f>
        <v>0</v>
      </c>
      <c r="Z305" s="138">
        <f>IF('1.DATOS-PROD'!AI306="SI",VLOOKUP('1.DATOS-PROD'!AI$2,'1.PUNTOS'!$A$1:$B$63,2,0),0)</f>
        <v>0</v>
      </c>
      <c r="AA305" s="138">
        <f>IF('1.DATOS-PROD'!AJ306="SI",VLOOKUP('1.DATOS-PROD'!AJ$2,'1.PUNTOS'!$A$1:$B$63,2,0),0)</f>
        <v>0</v>
      </c>
      <c r="AB305" s="138">
        <f>IF('1.DATOS-PROD'!AK306="SI",VLOOKUP('1.DATOS-PROD'!AK$2,'1.PUNTOS'!$A$1:$B$63,2,0),0)</f>
        <v>0</v>
      </c>
      <c r="AC305" s="138">
        <f>IF('1.DATOS-PROD'!AL306="SI",VLOOKUP('1.DATOS-PROD'!AL$2,'1.PUNTOS'!$A$1:$B$63,2,0),0)</f>
        <v>0</v>
      </c>
      <c r="AD305" s="138">
        <f>IF('1.DATOS-PROD'!AM306="SI",VLOOKUP('1.DATOS-PROD'!AM$2,'1.PUNTOS'!$A$1:$B$63,2,0),0)</f>
        <v>0</v>
      </c>
      <c r="AE305" s="138">
        <f>IF('1.DATOS-PROD'!AN306="SI",VLOOKUP('1.DATOS-PROD'!AN$2,'1.PUNTOS'!$A$1:$B$63,2,0),0)</f>
        <v>0</v>
      </c>
      <c r="AF305" s="138">
        <f>IF('1.DATOS-PROD'!AO306="SI",VLOOKUP('1.DATOS-PROD'!AO$2,'1.PUNTOS'!$A$1:$B$63,2,0),0)</f>
        <v>0</v>
      </c>
      <c r="AG305" s="138">
        <f>IF('1.DATOS-PROD'!AP306="SI",VLOOKUP('1.DATOS-PROD'!AP$2,'1.PUNTOS'!$A$1:$B$63,2,0),0)</f>
        <v>0</v>
      </c>
      <c r="AH305" s="138">
        <f>IF('1.DATOS-PROD'!AQ306="SI",VLOOKUP('1.DATOS-PROD'!AQ$2,'1.PUNTOS'!$A$1:$B$63,2,0),0)</f>
        <v>0</v>
      </c>
      <c r="AI305" s="138">
        <f>IF('1.DATOS-PROD'!AR306="SI",VLOOKUP('1.DATOS-PROD'!AR$2,'1.PUNTOS'!$A$1:$B$63,2,0),0)</f>
        <v>0</v>
      </c>
      <c r="AJ305" s="138">
        <f>IF('1.DATOS-PROD'!AS306="SI",VLOOKUP('1.DATOS-PROD'!AS$2,'1.PUNTOS'!$A$1:$B$63,2,0),0)</f>
        <v>0</v>
      </c>
      <c r="AK305" s="138">
        <f>IF('1.DATOS-PROD'!AT306="SI",VLOOKUP('1.DATOS-PROD'!AT$2,'1.PUNTOS'!$A$1:$B$63,2,0),0)</f>
        <v>0</v>
      </c>
      <c r="AL305" s="138">
        <f>IF('1.DATOS-PROD'!AU306="SI",VLOOKUP('1.DATOS-PROD'!AU$2,'1.PUNTOS'!$A$1:$B$63,2,0),0)</f>
        <v>0</v>
      </c>
      <c r="AM305" s="138">
        <f>IF('1.DATOS-PROD'!AV306="SI",VLOOKUP('1.DATOS-PROD'!AV$2,'1.PUNTOS'!$A$1:$B$63,2,0),0)</f>
        <v>0</v>
      </c>
      <c r="AN305" s="138">
        <f>IF('1.DATOS-PROD'!AW306="SI",VLOOKUP('1.DATOS-PROD'!AW$2,'1.PUNTOS'!$A$1:$B$63,2,0),0)</f>
        <v>0</v>
      </c>
      <c r="AO305" s="138">
        <f>IF('1.DATOS-PROD'!AX306="SI",VLOOKUP('1.DATOS-PROD'!AX$2,'1.PUNTOS'!$A$1:$B$63,2,0),0)</f>
        <v>0</v>
      </c>
      <c r="AP305" s="138">
        <f>IF('1.DATOS-PROD'!AY306="SI",VLOOKUP('1.DATOS-PROD'!AY$2,'1.PUNTOS'!$A$1:$B$63,2,0),0)</f>
        <v>0</v>
      </c>
      <c r="AQ305" s="138">
        <f>IF('1.DATOS-PROD'!AZ306="SI",VLOOKUP('1.DATOS-PROD'!AZ$2,'1.PUNTOS'!$A$1:$B$63,2,0),0)</f>
        <v>0</v>
      </c>
      <c r="AR305" s="138">
        <f>IF('1.DATOS-PROD'!BA306="SI",VLOOKUP('1.DATOS-PROD'!BA$2,'1.PUNTOS'!$A$1:$B$63,2,0),0)</f>
        <v>0</v>
      </c>
      <c r="AS305" s="138">
        <f>IF('1.DATOS-PROD'!BB306="SI",VLOOKUP('1.DATOS-PROD'!BB$2,'1.PUNTOS'!$A$1:$B$63,2,0),0)</f>
        <v>0</v>
      </c>
      <c r="AT305" s="138">
        <f>IF('1.DATOS-PROD'!BC306="SI",VLOOKUP('1.DATOS-PROD'!BC$2,'1.PUNTOS'!$A$1:$B$63,2,0),0)</f>
        <v>0</v>
      </c>
      <c r="AU305" s="138">
        <f>IF('1.DATOS-PROD'!BD306="SI",VLOOKUP('1.DATOS-PROD'!BD$2,'1.PUNTOS'!$A$1:$B$63,2,0),0)</f>
        <v>0</v>
      </c>
      <c r="AV305" s="138">
        <f>IF('1.DATOS-PROD'!BE306="SI",VLOOKUP('1.DATOS-PROD'!BE$2,'1.PUNTOS'!$A$1:$B$63,2,0),0)</f>
        <v>0</v>
      </c>
      <c r="AW305" s="138">
        <f>IF('1.DATOS-PROD'!BF306="SI",VLOOKUP('1.DATOS-PROD'!BF$2,'1.PUNTOS'!$A$1:$B$63,2,0),0)</f>
        <v>0</v>
      </c>
      <c r="AX305" s="138">
        <f>IF('1.DATOS-PROD'!BG306="SI",VLOOKUP('1.DATOS-PROD'!BG$2,'1.PUNTOS'!$A$1:$B$63,2,0),0)</f>
        <v>0</v>
      </c>
      <c r="AY305" s="138">
        <f>IF('1.DATOS-PROD'!BH306="SI",VLOOKUP('1.DATOS-PROD'!BH$2,'1.PUNTOS'!$A$1:$B$63,2,0),0)</f>
        <v>0</v>
      </c>
      <c r="AZ305" s="138">
        <f>IF('1.DATOS-PROD'!BI306="SI",VLOOKUP('1.DATOS-PROD'!BI$2,'1.PUNTOS'!$A$1:$B$63,2,0),0)</f>
        <v>0</v>
      </c>
      <c r="BA305" s="138">
        <f>IF('1.DATOS-PROD'!BJ306="SI",VLOOKUP('1.DATOS-PROD'!BJ$2,'1.PUNTOS'!$A$1:$B$63,2,0),0)</f>
        <v>0</v>
      </c>
      <c r="BB305" s="138">
        <f>IF('1.DATOS-PROD'!BK306="SI",VLOOKUP('1.DATOS-PROD'!BK$2,'1.PUNTOS'!$A$1:$B$63,2,0),0)</f>
        <v>0</v>
      </c>
      <c r="BC305" s="138">
        <f>IF('1.DATOS-PROD'!BL306="SI",VLOOKUP('1.DATOS-PROD'!BL$2,'1.PUNTOS'!$A$1:$B$63,2,0),0)</f>
        <v>0</v>
      </c>
      <c r="BD305" s="138">
        <f>IF('1.DATOS-PROD'!BM306="SI",VLOOKUP('1.DATOS-PROD'!BM$2,'1.PUNTOS'!$A$1:$B$63,2,0),0)</f>
        <v>0</v>
      </c>
      <c r="BE305" s="138">
        <f>IF('1.DATOS-PROD'!BN306="SI",VLOOKUP('1.DATOS-PROD'!BN$2,'1.PUNTOS'!$A$1:$B$63,2,0),0)</f>
        <v>0</v>
      </c>
      <c r="BF305" s="138">
        <f>IF('1.DATOS-PROD'!BO306="SI",VLOOKUP('1.DATOS-PROD'!BO$2,'1.PUNTOS'!$A$1:$B$63,2,0),0)</f>
        <v>0</v>
      </c>
      <c r="BG305" s="138">
        <f>IF('1.DATOS-PROD'!BP306="SI",VLOOKUP('1.DATOS-PROD'!BP$2,'1.PUNTOS'!$A$1:$B$63,2,0),0)</f>
        <v>0</v>
      </c>
      <c r="BH305" s="138">
        <f>IF('1.DATOS-PROD'!BQ306="SI",VLOOKUP('1.DATOS-PROD'!BQ$2,'1.PUNTOS'!$A$1:$B$63,2,0),0)</f>
        <v>0</v>
      </c>
      <c r="BI305" s="138">
        <f>IF('1.DATOS-PROD'!BR306="SI",VLOOKUP('1.DATOS-PROD'!BR$2,'1.PUNTOS'!$A$1:$B$63,2,0),0)</f>
        <v>0</v>
      </c>
      <c r="BJ305" s="138">
        <f>IF('1.DATOS-PROD'!BS306="SI",VLOOKUP('1.DATOS-PROD'!BS$2,'1.PUNTOS'!$A$1:$B$63,2,0),0)</f>
        <v>0</v>
      </c>
      <c r="BK305" s="138">
        <f>IF('1.DATOS-PROD'!BT306="SI",VLOOKUP('1.DATOS-PROD'!BT$2,'1.PUNTOS'!$A$1:$B$63,2,0),0)</f>
        <v>0</v>
      </c>
    </row>
    <row r="306" spans="1:63" x14ac:dyDescent="0.25">
      <c r="A306">
        <f>'0.Consolidado general'!$A307</f>
        <v>0</v>
      </c>
      <c r="B306" s="138">
        <f>IF('1.DATOS-PROD'!K307="SI",VLOOKUP('1.DATOS-PROD'!K$2,'1.PUNTOS'!$A$1:$B$63,2,0),0)</f>
        <v>0</v>
      </c>
      <c r="C306" s="138">
        <f>IF('1.DATOS-PROD'!L307="SI",VLOOKUP('1.DATOS-PROD'!L$2,'1.PUNTOS'!$A$1:$B$63,2,0),0)</f>
        <v>0</v>
      </c>
      <c r="D306" s="138">
        <f>IF('1.DATOS-PROD'!M307="SI",VLOOKUP('1.DATOS-PROD'!M$2,'1.PUNTOS'!$A$1:$B$63,2,0),0)</f>
        <v>0</v>
      </c>
      <c r="E306" s="138">
        <f>IF('1.DATOS-PROD'!N307="SI",VLOOKUP('1.DATOS-PROD'!N$2,'1.PUNTOS'!$A$1:$B$63,2,0),0)</f>
        <v>0</v>
      </c>
      <c r="F306" s="138">
        <f>IF('1.DATOS-PROD'!O307="SI",VLOOKUP('1.DATOS-PROD'!O$2,'1.PUNTOS'!$A$1:$B$63,2,0),0)</f>
        <v>0</v>
      </c>
      <c r="G306" s="138">
        <f>IF('1.DATOS-PROD'!P307="SI",VLOOKUP('1.DATOS-PROD'!P$2,'1.PUNTOS'!$A$1:$B$63,2,0),0)</f>
        <v>0</v>
      </c>
      <c r="H306" s="138">
        <f>IF('1.DATOS-PROD'!Q307="SI",VLOOKUP('1.DATOS-PROD'!Q$2,'1.PUNTOS'!$A$1:$B$63,2,0),0)</f>
        <v>0</v>
      </c>
      <c r="I306" s="138">
        <f>IF('1.DATOS-PROD'!R307="SI",VLOOKUP('1.DATOS-PROD'!R$2,'1.PUNTOS'!$A$1:$B$63,2,0),0)</f>
        <v>0</v>
      </c>
      <c r="J306" s="138">
        <f>IF('1.DATOS-PROD'!S307="SI",VLOOKUP('1.DATOS-PROD'!S$2,'1.PUNTOS'!$A$1:$B$63,2,0),0)</f>
        <v>0</v>
      </c>
      <c r="K306" s="138">
        <f>IF('1.DATOS-PROD'!T307="SI",VLOOKUP('1.DATOS-PROD'!T$2,'1.PUNTOS'!$A$1:$B$63,2,0),0)</f>
        <v>0</v>
      </c>
      <c r="L306" s="138">
        <f>IF('1.DATOS-PROD'!U307="SI",VLOOKUP('1.DATOS-PROD'!U$2,'1.PUNTOS'!$A$1:$B$63,2,0),0)</f>
        <v>0</v>
      </c>
      <c r="M306" s="138">
        <f>IF('1.DATOS-PROD'!V307="SI",VLOOKUP('1.DATOS-PROD'!V$2,'1.PUNTOS'!$A$1:$B$63,2,0),0)</f>
        <v>0</v>
      </c>
      <c r="N306" s="138">
        <f>IF('1.DATOS-PROD'!W307="SI",VLOOKUP('1.DATOS-PROD'!W$2,'1.PUNTOS'!$A$1:$B$63,2,0),0)</f>
        <v>0</v>
      </c>
      <c r="O306" s="138">
        <f>IF('1.DATOS-PROD'!X307="SI",VLOOKUP('1.DATOS-PROD'!X$2,'1.PUNTOS'!$A$1:$B$63,2,0),0)</f>
        <v>0</v>
      </c>
      <c r="P306" s="138">
        <f>IF('1.DATOS-PROD'!Y307="SI",VLOOKUP('1.DATOS-PROD'!Y$2,'1.PUNTOS'!$A$1:$B$63,2,0),0)</f>
        <v>0</v>
      </c>
      <c r="Q306" s="138">
        <f>IF('1.DATOS-PROD'!Z307="SI",VLOOKUP('1.DATOS-PROD'!Z$2,'1.PUNTOS'!$A$1:$B$63,2,0),0)</f>
        <v>0</v>
      </c>
      <c r="R306" s="138">
        <f>IF('1.DATOS-PROD'!AA307="SI",VLOOKUP('1.DATOS-PROD'!AA$2,'1.PUNTOS'!$A$1:$B$63,2,0),0)</f>
        <v>0</v>
      </c>
      <c r="S306" s="138">
        <f>IF('1.DATOS-PROD'!AB307="SI",VLOOKUP('1.DATOS-PROD'!AB$2,'1.PUNTOS'!$A$1:$B$63,2,0),0)</f>
        <v>0</v>
      </c>
      <c r="T306" s="138">
        <f>IF('1.DATOS-PROD'!AC307="SI",VLOOKUP('1.DATOS-PROD'!AC$2,'1.PUNTOS'!$A$1:$B$63,2,0),0)</f>
        <v>0</v>
      </c>
      <c r="U306" s="138">
        <f>IF('1.DATOS-PROD'!AD307="SI",VLOOKUP('1.DATOS-PROD'!AD$2,'1.PUNTOS'!$A$1:$B$63,2,0),0)</f>
        <v>0</v>
      </c>
      <c r="V306" s="138">
        <f>IF('1.DATOS-PROD'!AE307="SI",VLOOKUP('1.DATOS-PROD'!AE$2,'1.PUNTOS'!$A$1:$B$63,2,0),0)</f>
        <v>0</v>
      </c>
      <c r="W306" s="138">
        <f>IF('1.DATOS-PROD'!AF307="SI",VLOOKUP('1.DATOS-PROD'!AF$2,'1.PUNTOS'!$A$1:$B$63,2,0),0)</f>
        <v>0</v>
      </c>
      <c r="X306" s="138">
        <f>IF('1.DATOS-PROD'!AG307="SI",VLOOKUP('1.DATOS-PROD'!AG$2,'1.PUNTOS'!$A$1:$B$63,2,0),0)</f>
        <v>0</v>
      </c>
      <c r="Y306" s="138">
        <f>IF('1.DATOS-PROD'!AH307="SI",VLOOKUP('1.DATOS-PROD'!AH$2,'1.PUNTOS'!$A$1:$B$63,2,0),0)</f>
        <v>0</v>
      </c>
      <c r="Z306" s="138">
        <f>IF('1.DATOS-PROD'!AI307="SI",VLOOKUP('1.DATOS-PROD'!AI$2,'1.PUNTOS'!$A$1:$B$63,2,0),0)</f>
        <v>0</v>
      </c>
      <c r="AA306" s="138">
        <f>IF('1.DATOS-PROD'!AJ307="SI",VLOOKUP('1.DATOS-PROD'!AJ$2,'1.PUNTOS'!$A$1:$B$63,2,0),0)</f>
        <v>0</v>
      </c>
      <c r="AB306" s="138">
        <f>IF('1.DATOS-PROD'!AK307="SI",VLOOKUP('1.DATOS-PROD'!AK$2,'1.PUNTOS'!$A$1:$B$63,2,0),0)</f>
        <v>0</v>
      </c>
      <c r="AC306" s="138">
        <f>IF('1.DATOS-PROD'!AL307="SI",VLOOKUP('1.DATOS-PROD'!AL$2,'1.PUNTOS'!$A$1:$B$63,2,0),0)</f>
        <v>0</v>
      </c>
      <c r="AD306" s="138">
        <f>IF('1.DATOS-PROD'!AM307="SI",VLOOKUP('1.DATOS-PROD'!AM$2,'1.PUNTOS'!$A$1:$B$63,2,0),0)</f>
        <v>0</v>
      </c>
      <c r="AE306" s="138">
        <f>IF('1.DATOS-PROD'!AN307="SI",VLOOKUP('1.DATOS-PROD'!AN$2,'1.PUNTOS'!$A$1:$B$63,2,0),0)</f>
        <v>0</v>
      </c>
      <c r="AF306" s="138">
        <f>IF('1.DATOS-PROD'!AO307="SI",VLOOKUP('1.DATOS-PROD'!AO$2,'1.PUNTOS'!$A$1:$B$63,2,0),0)</f>
        <v>0</v>
      </c>
      <c r="AG306" s="138">
        <f>IF('1.DATOS-PROD'!AP307="SI",VLOOKUP('1.DATOS-PROD'!AP$2,'1.PUNTOS'!$A$1:$B$63,2,0),0)</f>
        <v>0</v>
      </c>
      <c r="AH306" s="138">
        <f>IF('1.DATOS-PROD'!AQ307="SI",VLOOKUP('1.DATOS-PROD'!AQ$2,'1.PUNTOS'!$A$1:$B$63,2,0),0)</f>
        <v>0</v>
      </c>
      <c r="AI306" s="138">
        <f>IF('1.DATOS-PROD'!AR307="SI",VLOOKUP('1.DATOS-PROD'!AR$2,'1.PUNTOS'!$A$1:$B$63,2,0),0)</f>
        <v>0</v>
      </c>
      <c r="AJ306" s="138">
        <f>IF('1.DATOS-PROD'!AS307="SI",VLOOKUP('1.DATOS-PROD'!AS$2,'1.PUNTOS'!$A$1:$B$63,2,0),0)</f>
        <v>0</v>
      </c>
      <c r="AK306" s="138">
        <f>IF('1.DATOS-PROD'!AT307="SI",VLOOKUP('1.DATOS-PROD'!AT$2,'1.PUNTOS'!$A$1:$B$63,2,0),0)</f>
        <v>0</v>
      </c>
      <c r="AL306" s="138">
        <f>IF('1.DATOS-PROD'!AU307="SI",VLOOKUP('1.DATOS-PROD'!AU$2,'1.PUNTOS'!$A$1:$B$63,2,0),0)</f>
        <v>0</v>
      </c>
      <c r="AM306" s="138">
        <f>IF('1.DATOS-PROD'!AV307="SI",VLOOKUP('1.DATOS-PROD'!AV$2,'1.PUNTOS'!$A$1:$B$63,2,0),0)</f>
        <v>0</v>
      </c>
      <c r="AN306" s="138">
        <f>IF('1.DATOS-PROD'!AW307="SI",VLOOKUP('1.DATOS-PROD'!AW$2,'1.PUNTOS'!$A$1:$B$63,2,0),0)</f>
        <v>0</v>
      </c>
      <c r="AO306" s="138">
        <f>IF('1.DATOS-PROD'!AX307="SI",VLOOKUP('1.DATOS-PROD'!AX$2,'1.PUNTOS'!$A$1:$B$63,2,0),0)</f>
        <v>0</v>
      </c>
      <c r="AP306" s="138">
        <f>IF('1.DATOS-PROD'!AY307="SI",VLOOKUP('1.DATOS-PROD'!AY$2,'1.PUNTOS'!$A$1:$B$63,2,0),0)</f>
        <v>0</v>
      </c>
      <c r="AQ306" s="138">
        <f>IF('1.DATOS-PROD'!AZ307="SI",VLOOKUP('1.DATOS-PROD'!AZ$2,'1.PUNTOS'!$A$1:$B$63,2,0),0)</f>
        <v>0</v>
      </c>
      <c r="AR306" s="138">
        <f>IF('1.DATOS-PROD'!BA307="SI",VLOOKUP('1.DATOS-PROD'!BA$2,'1.PUNTOS'!$A$1:$B$63,2,0),0)</f>
        <v>0</v>
      </c>
      <c r="AS306" s="138">
        <f>IF('1.DATOS-PROD'!BB307="SI",VLOOKUP('1.DATOS-PROD'!BB$2,'1.PUNTOS'!$A$1:$B$63,2,0),0)</f>
        <v>0</v>
      </c>
      <c r="AT306" s="138">
        <f>IF('1.DATOS-PROD'!BC307="SI",VLOOKUP('1.DATOS-PROD'!BC$2,'1.PUNTOS'!$A$1:$B$63,2,0),0)</f>
        <v>0</v>
      </c>
      <c r="AU306" s="138">
        <f>IF('1.DATOS-PROD'!BD307="SI",VLOOKUP('1.DATOS-PROD'!BD$2,'1.PUNTOS'!$A$1:$B$63,2,0),0)</f>
        <v>0</v>
      </c>
      <c r="AV306" s="138">
        <f>IF('1.DATOS-PROD'!BE307="SI",VLOOKUP('1.DATOS-PROD'!BE$2,'1.PUNTOS'!$A$1:$B$63,2,0),0)</f>
        <v>0</v>
      </c>
      <c r="AW306" s="138">
        <f>IF('1.DATOS-PROD'!BF307="SI",VLOOKUP('1.DATOS-PROD'!BF$2,'1.PUNTOS'!$A$1:$B$63,2,0),0)</f>
        <v>0</v>
      </c>
      <c r="AX306" s="138">
        <f>IF('1.DATOS-PROD'!BG307="SI",VLOOKUP('1.DATOS-PROD'!BG$2,'1.PUNTOS'!$A$1:$B$63,2,0),0)</f>
        <v>0</v>
      </c>
      <c r="AY306" s="138">
        <f>IF('1.DATOS-PROD'!BH307="SI",VLOOKUP('1.DATOS-PROD'!BH$2,'1.PUNTOS'!$A$1:$B$63,2,0),0)</f>
        <v>0</v>
      </c>
      <c r="AZ306" s="138">
        <f>IF('1.DATOS-PROD'!BI307="SI",VLOOKUP('1.DATOS-PROD'!BI$2,'1.PUNTOS'!$A$1:$B$63,2,0),0)</f>
        <v>0</v>
      </c>
      <c r="BA306" s="138">
        <f>IF('1.DATOS-PROD'!BJ307="SI",VLOOKUP('1.DATOS-PROD'!BJ$2,'1.PUNTOS'!$A$1:$B$63,2,0),0)</f>
        <v>0</v>
      </c>
      <c r="BB306" s="138">
        <f>IF('1.DATOS-PROD'!BK307="SI",VLOOKUP('1.DATOS-PROD'!BK$2,'1.PUNTOS'!$A$1:$B$63,2,0),0)</f>
        <v>0</v>
      </c>
      <c r="BC306" s="138">
        <f>IF('1.DATOS-PROD'!BL307="SI",VLOOKUP('1.DATOS-PROD'!BL$2,'1.PUNTOS'!$A$1:$B$63,2,0),0)</f>
        <v>0</v>
      </c>
      <c r="BD306" s="138">
        <f>IF('1.DATOS-PROD'!BM307="SI",VLOOKUP('1.DATOS-PROD'!BM$2,'1.PUNTOS'!$A$1:$B$63,2,0),0)</f>
        <v>0</v>
      </c>
      <c r="BE306" s="138">
        <f>IF('1.DATOS-PROD'!BN307="SI",VLOOKUP('1.DATOS-PROD'!BN$2,'1.PUNTOS'!$A$1:$B$63,2,0),0)</f>
        <v>0</v>
      </c>
      <c r="BF306" s="138">
        <f>IF('1.DATOS-PROD'!BO307="SI",VLOOKUP('1.DATOS-PROD'!BO$2,'1.PUNTOS'!$A$1:$B$63,2,0),0)</f>
        <v>0</v>
      </c>
      <c r="BG306" s="138">
        <f>IF('1.DATOS-PROD'!BP307="SI",VLOOKUP('1.DATOS-PROD'!BP$2,'1.PUNTOS'!$A$1:$B$63,2,0),0)</f>
        <v>0</v>
      </c>
      <c r="BH306" s="138">
        <f>IF('1.DATOS-PROD'!BQ307="SI",VLOOKUP('1.DATOS-PROD'!BQ$2,'1.PUNTOS'!$A$1:$B$63,2,0),0)</f>
        <v>0</v>
      </c>
      <c r="BI306" s="138">
        <f>IF('1.DATOS-PROD'!BR307="SI",VLOOKUP('1.DATOS-PROD'!BR$2,'1.PUNTOS'!$A$1:$B$63,2,0),0)</f>
        <v>0</v>
      </c>
      <c r="BJ306" s="138">
        <f>IF('1.DATOS-PROD'!BS307="SI",VLOOKUP('1.DATOS-PROD'!BS$2,'1.PUNTOS'!$A$1:$B$63,2,0),0)</f>
        <v>0</v>
      </c>
      <c r="BK306" s="138">
        <f>IF('1.DATOS-PROD'!BT307="SI",VLOOKUP('1.DATOS-PROD'!BT$2,'1.PUNTOS'!$A$1:$B$63,2,0),0)</f>
        <v>0</v>
      </c>
    </row>
    <row r="307" spans="1:63" x14ac:dyDescent="0.25">
      <c r="A307">
        <f>'0.Consolidado general'!$A308</f>
        <v>0</v>
      </c>
      <c r="B307" s="138">
        <f>IF('1.DATOS-PROD'!K308="SI",VLOOKUP('1.DATOS-PROD'!K$2,'1.PUNTOS'!$A$1:$B$63,2,0),0)</f>
        <v>0</v>
      </c>
      <c r="C307" s="138">
        <f>IF('1.DATOS-PROD'!L308="SI",VLOOKUP('1.DATOS-PROD'!L$2,'1.PUNTOS'!$A$1:$B$63,2,0),0)</f>
        <v>0</v>
      </c>
      <c r="D307" s="138">
        <f>IF('1.DATOS-PROD'!M308="SI",VLOOKUP('1.DATOS-PROD'!M$2,'1.PUNTOS'!$A$1:$B$63,2,0),0)</f>
        <v>0</v>
      </c>
      <c r="E307" s="138">
        <f>IF('1.DATOS-PROD'!N308="SI",VLOOKUP('1.DATOS-PROD'!N$2,'1.PUNTOS'!$A$1:$B$63,2,0),0)</f>
        <v>0</v>
      </c>
      <c r="F307" s="138">
        <f>IF('1.DATOS-PROD'!O308="SI",VLOOKUP('1.DATOS-PROD'!O$2,'1.PUNTOS'!$A$1:$B$63,2,0),0)</f>
        <v>0</v>
      </c>
      <c r="G307" s="138">
        <f>IF('1.DATOS-PROD'!P308="SI",VLOOKUP('1.DATOS-PROD'!P$2,'1.PUNTOS'!$A$1:$B$63,2,0),0)</f>
        <v>0</v>
      </c>
      <c r="H307" s="138">
        <f>IF('1.DATOS-PROD'!Q308="SI",VLOOKUP('1.DATOS-PROD'!Q$2,'1.PUNTOS'!$A$1:$B$63,2,0),0)</f>
        <v>0</v>
      </c>
      <c r="I307" s="138">
        <f>IF('1.DATOS-PROD'!R308="SI",VLOOKUP('1.DATOS-PROD'!R$2,'1.PUNTOS'!$A$1:$B$63,2,0),0)</f>
        <v>0</v>
      </c>
      <c r="J307" s="138">
        <f>IF('1.DATOS-PROD'!S308="SI",VLOOKUP('1.DATOS-PROD'!S$2,'1.PUNTOS'!$A$1:$B$63,2,0),0)</f>
        <v>0</v>
      </c>
      <c r="K307" s="138">
        <f>IF('1.DATOS-PROD'!T308="SI",VLOOKUP('1.DATOS-PROD'!T$2,'1.PUNTOS'!$A$1:$B$63,2,0),0)</f>
        <v>0</v>
      </c>
      <c r="L307" s="138">
        <f>IF('1.DATOS-PROD'!U308="SI",VLOOKUP('1.DATOS-PROD'!U$2,'1.PUNTOS'!$A$1:$B$63,2,0),0)</f>
        <v>0</v>
      </c>
      <c r="M307" s="138">
        <f>IF('1.DATOS-PROD'!V308="SI",VLOOKUP('1.DATOS-PROD'!V$2,'1.PUNTOS'!$A$1:$B$63,2,0),0)</f>
        <v>0</v>
      </c>
      <c r="N307" s="138">
        <f>IF('1.DATOS-PROD'!W308="SI",VLOOKUP('1.DATOS-PROD'!W$2,'1.PUNTOS'!$A$1:$B$63,2,0),0)</f>
        <v>0</v>
      </c>
      <c r="O307" s="138">
        <f>IF('1.DATOS-PROD'!X308="SI",VLOOKUP('1.DATOS-PROD'!X$2,'1.PUNTOS'!$A$1:$B$63,2,0),0)</f>
        <v>0</v>
      </c>
      <c r="P307" s="138">
        <f>IF('1.DATOS-PROD'!Y308="SI",VLOOKUP('1.DATOS-PROD'!Y$2,'1.PUNTOS'!$A$1:$B$63,2,0),0)</f>
        <v>0</v>
      </c>
      <c r="Q307" s="138">
        <f>IF('1.DATOS-PROD'!Z308="SI",VLOOKUP('1.DATOS-PROD'!Z$2,'1.PUNTOS'!$A$1:$B$63,2,0),0)</f>
        <v>0</v>
      </c>
      <c r="R307" s="138">
        <f>IF('1.DATOS-PROD'!AA308="SI",VLOOKUP('1.DATOS-PROD'!AA$2,'1.PUNTOS'!$A$1:$B$63,2,0),0)</f>
        <v>0</v>
      </c>
      <c r="S307" s="138">
        <f>IF('1.DATOS-PROD'!AB308="SI",VLOOKUP('1.DATOS-PROD'!AB$2,'1.PUNTOS'!$A$1:$B$63,2,0),0)</f>
        <v>0</v>
      </c>
      <c r="T307" s="138">
        <f>IF('1.DATOS-PROD'!AC308="SI",VLOOKUP('1.DATOS-PROD'!AC$2,'1.PUNTOS'!$A$1:$B$63,2,0),0)</f>
        <v>0</v>
      </c>
      <c r="U307" s="138">
        <f>IF('1.DATOS-PROD'!AD308="SI",VLOOKUP('1.DATOS-PROD'!AD$2,'1.PUNTOS'!$A$1:$B$63,2,0),0)</f>
        <v>0</v>
      </c>
      <c r="V307" s="138">
        <f>IF('1.DATOS-PROD'!AE308="SI",VLOOKUP('1.DATOS-PROD'!AE$2,'1.PUNTOS'!$A$1:$B$63,2,0),0)</f>
        <v>0</v>
      </c>
      <c r="W307" s="138">
        <f>IF('1.DATOS-PROD'!AF308="SI",VLOOKUP('1.DATOS-PROD'!AF$2,'1.PUNTOS'!$A$1:$B$63,2,0),0)</f>
        <v>0</v>
      </c>
      <c r="X307" s="138">
        <f>IF('1.DATOS-PROD'!AG308="SI",VLOOKUP('1.DATOS-PROD'!AG$2,'1.PUNTOS'!$A$1:$B$63,2,0),0)</f>
        <v>0</v>
      </c>
      <c r="Y307" s="138">
        <f>IF('1.DATOS-PROD'!AH308="SI",VLOOKUP('1.DATOS-PROD'!AH$2,'1.PUNTOS'!$A$1:$B$63,2,0),0)</f>
        <v>0</v>
      </c>
      <c r="Z307" s="138">
        <f>IF('1.DATOS-PROD'!AI308="SI",VLOOKUP('1.DATOS-PROD'!AI$2,'1.PUNTOS'!$A$1:$B$63,2,0),0)</f>
        <v>0</v>
      </c>
      <c r="AA307" s="138">
        <f>IF('1.DATOS-PROD'!AJ308="SI",VLOOKUP('1.DATOS-PROD'!AJ$2,'1.PUNTOS'!$A$1:$B$63,2,0),0)</f>
        <v>0</v>
      </c>
      <c r="AB307" s="138">
        <f>IF('1.DATOS-PROD'!AK308="SI",VLOOKUP('1.DATOS-PROD'!AK$2,'1.PUNTOS'!$A$1:$B$63,2,0),0)</f>
        <v>0</v>
      </c>
      <c r="AC307" s="138">
        <f>IF('1.DATOS-PROD'!AL308="SI",VLOOKUP('1.DATOS-PROD'!AL$2,'1.PUNTOS'!$A$1:$B$63,2,0),0)</f>
        <v>0</v>
      </c>
      <c r="AD307" s="138">
        <f>IF('1.DATOS-PROD'!AM308="SI",VLOOKUP('1.DATOS-PROD'!AM$2,'1.PUNTOS'!$A$1:$B$63,2,0),0)</f>
        <v>0</v>
      </c>
      <c r="AE307" s="138">
        <f>IF('1.DATOS-PROD'!AN308="SI",VLOOKUP('1.DATOS-PROD'!AN$2,'1.PUNTOS'!$A$1:$B$63,2,0),0)</f>
        <v>0</v>
      </c>
      <c r="AF307" s="138">
        <f>IF('1.DATOS-PROD'!AO308="SI",VLOOKUP('1.DATOS-PROD'!AO$2,'1.PUNTOS'!$A$1:$B$63,2,0),0)</f>
        <v>0</v>
      </c>
      <c r="AG307" s="138">
        <f>IF('1.DATOS-PROD'!AP308="SI",VLOOKUP('1.DATOS-PROD'!AP$2,'1.PUNTOS'!$A$1:$B$63,2,0),0)</f>
        <v>0</v>
      </c>
      <c r="AH307" s="138">
        <f>IF('1.DATOS-PROD'!AQ308="SI",VLOOKUP('1.DATOS-PROD'!AQ$2,'1.PUNTOS'!$A$1:$B$63,2,0),0)</f>
        <v>0</v>
      </c>
      <c r="AI307" s="138">
        <f>IF('1.DATOS-PROD'!AR308="SI",VLOOKUP('1.DATOS-PROD'!AR$2,'1.PUNTOS'!$A$1:$B$63,2,0),0)</f>
        <v>0</v>
      </c>
      <c r="AJ307" s="138">
        <f>IF('1.DATOS-PROD'!AS308="SI",VLOOKUP('1.DATOS-PROD'!AS$2,'1.PUNTOS'!$A$1:$B$63,2,0),0)</f>
        <v>0</v>
      </c>
      <c r="AK307" s="138">
        <f>IF('1.DATOS-PROD'!AT308="SI",VLOOKUP('1.DATOS-PROD'!AT$2,'1.PUNTOS'!$A$1:$B$63,2,0),0)</f>
        <v>0</v>
      </c>
      <c r="AL307" s="138">
        <f>IF('1.DATOS-PROD'!AU308="SI",VLOOKUP('1.DATOS-PROD'!AU$2,'1.PUNTOS'!$A$1:$B$63,2,0),0)</f>
        <v>0</v>
      </c>
      <c r="AM307" s="138">
        <f>IF('1.DATOS-PROD'!AV308="SI",VLOOKUP('1.DATOS-PROD'!AV$2,'1.PUNTOS'!$A$1:$B$63,2,0),0)</f>
        <v>0</v>
      </c>
      <c r="AN307" s="138">
        <f>IF('1.DATOS-PROD'!AW308="SI",VLOOKUP('1.DATOS-PROD'!AW$2,'1.PUNTOS'!$A$1:$B$63,2,0),0)</f>
        <v>0</v>
      </c>
      <c r="AO307" s="138">
        <f>IF('1.DATOS-PROD'!AX308="SI",VLOOKUP('1.DATOS-PROD'!AX$2,'1.PUNTOS'!$A$1:$B$63,2,0),0)</f>
        <v>0</v>
      </c>
      <c r="AP307" s="138">
        <f>IF('1.DATOS-PROD'!AY308="SI",VLOOKUP('1.DATOS-PROD'!AY$2,'1.PUNTOS'!$A$1:$B$63,2,0),0)</f>
        <v>0</v>
      </c>
      <c r="AQ307" s="138">
        <f>IF('1.DATOS-PROD'!AZ308="SI",VLOOKUP('1.DATOS-PROD'!AZ$2,'1.PUNTOS'!$A$1:$B$63,2,0),0)</f>
        <v>0</v>
      </c>
      <c r="AR307" s="138">
        <f>IF('1.DATOS-PROD'!BA308="SI",VLOOKUP('1.DATOS-PROD'!BA$2,'1.PUNTOS'!$A$1:$B$63,2,0),0)</f>
        <v>0</v>
      </c>
      <c r="AS307" s="138">
        <f>IF('1.DATOS-PROD'!BB308="SI",VLOOKUP('1.DATOS-PROD'!BB$2,'1.PUNTOS'!$A$1:$B$63,2,0),0)</f>
        <v>0</v>
      </c>
      <c r="AT307" s="138">
        <f>IF('1.DATOS-PROD'!BC308="SI",VLOOKUP('1.DATOS-PROD'!BC$2,'1.PUNTOS'!$A$1:$B$63,2,0),0)</f>
        <v>0</v>
      </c>
      <c r="AU307" s="138">
        <f>IF('1.DATOS-PROD'!BD308="SI",VLOOKUP('1.DATOS-PROD'!BD$2,'1.PUNTOS'!$A$1:$B$63,2,0),0)</f>
        <v>0</v>
      </c>
      <c r="AV307" s="138">
        <f>IF('1.DATOS-PROD'!BE308="SI",VLOOKUP('1.DATOS-PROD'!BE$2,'1.PUNTOS'!$A$1:$B$63,2,0),0)</f>
        <v>0</v>
      </c>
      <c r="AW307" s="138">
        <f>IF('1.DATOS-PROD'!BF308="SI",VLOOKUP('1.DATOS-PROD'!BF$2,'1.PUNTOS'!$A$1:$B$63,2,0),0)</f>
        <v>0</v>
      </c>
      <c r="AX307" s="138">
        <f>IF('1.DATOS-PROD'!BG308="SI",VLOOKUP('1.DATOS-PROD'!BG$2,'1.PUNTOS'!$A$1:$B$63,2,0),0)</f>
        <v>0</v>
      </c>
      <c r="AY307" s="138">
        <f>IF('1.DATOS-PROD'!BH308="SI",VLOOKUP('1.DATOS-PROD'!BH$2,'1.PUNTOS'!$A$1:$B$63,2,0),0)</f>
        <v>0</v>
      </c>
      <c r="AZ307" s="138">
        <f>IF('1.DATOS-PROD'!BI308="SI",VLOOKUP('1.DATOS-PROD'!BI$2,'1.PUNTOS'!$A$1:$B$63,2,0),0)</f>
        <v>0</v>
      </c>
      <c r="BA307" s="138">
        <f>IF('1.DATOS-PROD'!BJ308="SI",VLOOKUP('1.DATOS-PROD'!BJ$2,'1.PUNTOS'!$A$1:$B$63,2,0),0)</f>
        <v>0</v>
      </c>
      <c r="BB307" s="138">
        <f>IF('1.DATOS-PROD'!BK308="SI",VLOOKUP('1.DATOS-PROD'!BK$2,'1.PUNTOS'!$A$1:$B$63,2,0),0)</f>
        <v>0</v>
      </c>
      <c r="BC307" s="138">
        <f>IF('1.DATOS-PROD'!BL308="SI",VLOOKUP('1.DATOS-PROD'!BL$2,'1.PUNTOS'!$A$1:$B$63,2,0),0)</f>
        <v>0</v>
      </c>
      <c r="BD307" s="138">
        <f>IF('1.DATOS-PROD'!BM308="SI",VLOOKUP('1.DATOS-PROD'!BM$2,'1.PUNTOS'!$A$1:$B$63,2,0),0)</f>
        <v>0</v>
      </c>
      <c r="BE307" s="138">
        <f>IF('1.DATOS-PROD'!BN308="SI",VLOOKUP('1.DATOS-PROD'!BN$2,'1.PUNTOS'!$A$1:$B$63,2,0),0)</f>
        <v>0</v>
      </c>
      <c r="BF307" s="138">
        <f>IF('1.DATOS-PROD'!BO308="SI",VLOOKUP('1.DATOS-PROD'!BO$2,'1.PUNTOS'!$A$1:$B$63,2,0),0)</f>
        <v>0</v>
      </c>
      <c r="BG307" s="138">
        <f>IF('1.DATOS-PROD'!BP308="SI",VLOOKUP('1.DATOS-PROD'!BP$2,'1.PUNTOS'!$A$1:$B$63,2,0),0)</f>
        <v>0</v>
      </c>
      <c r="BH307" s="138">
        <f>IF('1.DATOS-PROD'!BQ308="SI",VLOOKUP('1.DATOS-PROD'!BQ$2,'1.PUNTOS'!$A$1:$B$63,2,0),0)</f>
        <v>0</v>
      </c>
      <c r="BI307" s="138">
        <f>IF('1.DATOS-PROD'!BR308="SI",VLOOKUP('1.DATOS-PROD'!BR$2,'1.PUNTOS'!$A$1:$B$63,2,0),0)</f>
        <v>0</v>
      </c>
      <c r="BJ307" s="138">
        <f>IF('1.DATOS-PROD'!BS308="SI",VLOOKUP('1.DATOS-PROD'!BS$2,'1.PUNTOS'!$A$1:$B$63,2,0),0)</f>
        <v>0</v>
      </c>
      <c r="BK307" s="138">
        <f>IF('1.DATOS-PROD'!BT308="SI",VLOOKUP('1.DATOS-PROD'!BT$2,'1.PUNTOS'!$A$1:$B$63,2,0),0)</f>
        <v>0</v>
      </c>
    </row>
    <row r="308" spans="1:63" x14ac:dyDescent="0.25">
      <c r="A308">
        <f>'0.Consolidado general'!$A309</f>
        <v>0</v>
      </c>
      <c r="B308" s="138">
        <f>IF('1.DATOS-PROD'!K309="SI",VLOOKUP('1.DATOS-PROD'!K$2,'1.PUNTOS'!$A$1:$B$63,2,0),0)</f>
        <v>0</v>
      </c>
      <c r="C308" s="138">
        <f>IF('1.DATOS-PROD'!L309="SI",VLOOKUP('1.DATOS-PROD'!L$2,'1.PUNTOS'!$A$1:$B$63,2,0),0)</f>
        <v>0</v>
      </c>
      <c r="D308" s="138">
        <f>IF('1.DATOS-PROD'!M309="SI",VLOOKUP('1.DATOS-PROD'!M$2,'1.PUNTOS'!$A$1:$B$63,2,0),0)</f>
        <v>0</v>
      </c>
      <c r="E308" s="138">
        <f>IF('1.DATOS-PROD'!N309="SI",VLOOKUP('1.DATOS-PROD'!N$2,'1.PUNTOS'!$A$1:$B$63,2,0),0)</f>
        <v>0</v>
      </c>
      <c r="F308" s="138">
        <f>IF('1.DATOS-PROD'!O309="SI",VLOOKUP('1.DATOS-PROD'!O$2,'1.PUNTOS'!$A$1:$B$63,2,0),0)</f>
        <v>0</v>
      </c>
      <c r="G308" s="138">
        <f>IF('1.DATOS-PROD'!P309="SI",VLOOKUP('1.DATOS-PROD'!P$2,'1.PUNTOS'!$A$1:$B$63,2,0),0)</f>
        <v>0</v>
      </c>
      <c r="H308" s="138">
        <f>IF('1.DATOS-PROD'!Q309="SI",VLOOKUP('1.DATOS-PROD'!Q$2,'1.PUNTOS'!$A$1:$B$63,2,0),0)</f>
        <v>0</v>
      </c>
      <c r="I308" s="138">
        <f>IF('1.DATOS-PROD'!R309="SI",VLOOKUP('1.DATOS-PROD'!R$2,'1.PUNTOS'!$A$1:$B$63,2,0),0)</f>
        <v>0</v>
      </c>
      <c r="J308" s="138">
        <f>IF('1.DATOS-PROD'!S309="SI",VLOOKUP('1.DATOS-PROD'!S$2,'1.PUNTOS'!$A$1:$B$63,2,0),0)</f>
        <v>0</v>
      </c>
      <c r="K308" s="138">
        <f>IF('1.DATOS-PROD'!T309="SI",VLOOKUP('1.DATOS-PROD'!T$2,'1.PUNTOS'!$A$1:$B$63,2,0),0)</f>
        <v>0</v>
      </c>
      <c r="L308" s="138">
        <f>IF('1.DATOS-PROD'!U309="SI",VLOOKUP('1.DATOS-PROD'!U$2,'1.PUNTOS'!$A$1:$B$63,2,0),0)</f>
        <v>0</v>
      </c>
      <c r="M308" s="138">
        <f>IF('1.DATOS-PROD'!V309="SI",VLOOKUP('1.DATOS-PROD'!V$2,'1.PUNTOS'!$A$1:$B$63,2,0),0)</f>
        <v>0</v>
      </c>
      <c r="N308" s="138">
        <f>IF('1.DATOS-PROD'!W309="SI",VLOOKUP('1.DATOS-PROD'!W$2,'1.PUNTOS'!$A$1:$B$63,2,0),0)</f>
        <v>0</v>
      </c>
      <c r="O308" s="138">
        <f>IF('1.DATOS-PROD'!X309="SI",VLOOKUP('1.DATOS-PROD'!X$2,'1.PUNTOS'!$A$1:$B$63,2,0),0)</f>
        <v>0</v>
      </c>
      <c r="P308" s="138">
        <f>IF('1.DATOS-PROD'!Y309="SI",VLOOKUP('1.DATOS-PROD'!Y$2,'1.PUNTOS'!$A$1:$B$63,2,0),0)</f>
        <v>0</v>
      </c>
      <c r="Q308" s="138">
        <f>IF('1.DATOS-PROD'!Z309="SI",VLOOKUP('1.DATOS-PROD'!Z$2,'1.PUNTOS'!$A$1:$B$63,2,0),0)</f>
        <v>0</v>
      </c>
      <c r="R308" s="138">
        <f>IF('1.DATOS-PROD'!AA309="SI",VLOOKUP('1.DATOS-PROD'!AA$2,'1.PUNTOS'!$A$1:$B$63,2,0),0)</f>
        <v>0</v>
      </c>
      <c r="S308" s="138">
        <f>IF('1.DATOS-PROD'!AB309="SI",VLOOKUP('1.DATOS-PROD'!AB$2,'1.PUNTOS'!$A$1:$B$63,2,0),0)</f>
        <v>0</v>
      </c>
      <c r="T308" s="138">
        <f>IF('1.DATOS-PROD'!AC309="SI",VLOOKUP('1.DATOS-PROD'!AC$2,'1.PUNTOS'!$A$1:$B$63,2,0),0)</f>
        <v>0</v>
      </c>
      <c r="U308" s="138">
        <f>IF('1.DATOS-PROD'!AD309="SI",VLOOKUP('1.DATOS-PROD'!AD$2,'1.PUNTOS'!$A$1:$B$63,2,0),0)</f>
        <v>0</v>
      </c>
      <c r="V308" s="138">
        <f>IF('1.DATOS-PROD'!AE309="SI",VLOOKUP('1.DATOS-PROD'!AE$2,'1.PUNTOS'!$A$1:$B$63,2,0),0)</f>
        <v>0</v>
      </c>
      <c r="W308" s="138">
        <f>IF('1.DATOS-PROD'!AF309="SI",VLOOKUP('1.DATOS-PROD'!AF$2,'1.PUNTOS'!$A$1:$B$63,2,0),0)</f>
        <v>0</v>
      </c>
      <c r="X308" s="138">
        <f>IF('1.DATOS-PROD'!AG309="SI",VLOOKUP('1.DATOS-PROD'!AG$2,'1.PUNTOS'!$A$1:$B$63,2,0),0)</f>
        <v>0</v>
      </c>
      <c r="Y308" s="138">
        <f>IF('1.DATOS-PROD'!AH309="SI",VLOOKUP('1.DATOS-PROD'!AH$2,'1.PUNTOS'!$A$1:$B$63,2,0),0)</f>
        <v>0</v>
      </c>
      <c r="Z308" s="138">
        <f>IF('1.DATOS-PROD'!AI309="SI",VLOOKUP('1.DATOS-PROD'!AI$2,'1.PUNTOS'!$A$1:$B$63,2,0),0)</f>
        <v>0</v>
      </c>
      <c r="AA308" s="138">
        <f>IF('1.DATOS-PROD'!AJ309="SI",VLOOKUP('1.DATOS-PROD'!AJ$2,'1.PUNTOS'!$A$1:$B$63,2,0),0)</f>
        <v>0</v>
      </c>
      <c r="AB308" s="138">
        <f>IF('1.DATOS-PROD'!AK309="SI",VLOOKUP('1.DATOS-PROD'!AK$2,'1.PUNTOS'!$A$1:$B$63,2,0),0)</f>
        <v>0</v>
      </c>
      <c r="AC308" s="138">
        <f>IF('1.DATOS-PROD'!AL309="SI",VLOOKUP('1.DATOS-PROD'!AL$2,'1.PUNTOS'!$A$1:$B$63,2,0),0)</f>
        <v>0</v>
      </c>
      <c r="AD308" s="138">
        <f>IF('1.DATOS-PROD'!AM309="SI",VLOOKUP('1.DATOS-PROD'!AM$2,'1.PUNTOS'!$A$1:$B$63,2,0),0)</f>
        <v>0</v>
      </c>
      <c r="AE308" s="138">
        <f>IF('1.DATOS-PROD'!AN309="SI",VLOOKUP('1.DATOS-PROD'!AN$2,'1.PUNTOS'!$A$1:$B$63,2,0),0)</f>
        <v>0</v>
      </c>
      <c r="AF308" s="138">
        <f>IF('1.DATOS-PROD'!AO309="SI",VLOOKUP('1.DATOS-PROD'!AO$2,'1.PUNTOS'!$A$1:$B$63,2,0),0)</f>
        <v>0</v>
      </c>
      <c r="AG308" s="138">
        <f>IF('1.DATOS-PROD'!AP309="SI",VLOOKUP('1.DATOS-PROD'!AP$2,'1.PUNTOS'!$A$1:$B$63,2,0),0)</f>
        <v>0</v>
      </c>
      <c r="AH308" s="138">
        <f>IF('1.DATOS-PROD'!AQ309="SI",VLOOKUP('1.DATOS-PROD'!AQ$2,'1.PUNTOS'!$A$1:$B$63,2,0),0)</f>
        <v>0</v>
      </c>
      <c r="AI308" s="138">
        <f>IF('1.DATOS-PROD'!AR309="SI",VLOOKUP('1.DATOS-PROD'!AR$2,'1.PUNTOS'!$A$1:$B$63,2,0),0)</f>
        <v>0</v>
      </c>
      <c r="AJ308" s="138">
        <f>IF('1.DATOS-PROD'!AS309="SI",VLOOKUP('1.DATOS-PROD'!AS$2,'1.PUNTOS'!$A$1:$B$63,2,0),0)</f>
        <v>0</v>
      </c>
      <c r="AK308" s="138">
        <f>IF('1.DATOS-PROD'!AT309="SI",VLOOKUP('1.DATOS-PROD'!AT$2,'1.PUNTOS'!$A$1:$B$63,2,0),0)</f>
        <v>0</v>
      </c>
      <c r="AL308" s="138">
        <f>IF('1.DATOS-PROD'!AU309="SI",VLOOKUP('1.DATOS-PROD'!AU$2,'1.PUNTOS'!$A$1:$B$63,2,0),0)</f>
        <v>0</v>
      </c>
      <c r="AM308" s="138">
        <f>IF('1.DATOS-PROD'!AV309="SI",VLOOKUP('1.DATOS-PROD'!AV$2,'1.PUNTOS'!$A$1:$B$63,2,0),0)</f>
        <v>0</v>
      </c>
      <c r="AN308" s="138">
        <f>IF('1.DATOS-PROD'!AW309="SI",VLOOKUP('1.DATOS-PROD'!AW$2,'1.PUNTOS'!$A$1:$B$63,2,0),0)</f>
        <v>0</v>
      </c>
      <c r="AO308" s="138">
        <f>IF('1.DATOS-PROD'!AX309="SI",VLOOKUP('1.DATOS-PROD'!AX$2,'1.PUNTOS'!$A$1:$B$63,2,0),0)</f>
        <v>0</v>
      </c>
      <c r="AP308" s="138">
        <f>IF('1.DATOS-PROD'!AY309="SI",VLOOKUP('1.DATOS-PROD'!AY$2,'1.PUNTOS'!$A$1:$B$63,2,0),0)</f>
        <v>0</v>
      </c>
      <c r="AQ308" s="138">
        <f>IF('1.DATOS-PROD'!AZ309="SI",VLOOKUP('1.DATOS-PROD'!AZ$2,'1.PUNTOS'!$A$1:$B$63,2,0),0)</f>
        <v>0</v>
      </c>
      <c r="AR308" s="138">
        <f>IF('1.DATOS-PROD'!BA309="SI",VLOOKUP('1.DATOS-PROD'!BA$2,'1.PUNTOS'!$A$1:$B$63,2,0),0)</f>
        <v>0</v>
      </c>
      <c r="AS308" s="138">
        <f>IF('1.DATOS-PROD'!BB309="SI",VLOOKUP('1.DATOS-PROD'!BB$2,'1.PUNTOS'!$A$1:$B$63,2,0),0)</f>
        <v>0</v>
      </c>
      <c r="AT308" s="138">
        <f>IF('1.DATOS-PROD'!BC309="SI",VLOOKUP('1.DATOS-PROD'!BC$2,'1.PUNTOS'!$A$1:$B$63,2,0),0)</f>
        <v>0</v>
      </c>
      <c r="AU308" s="138">
        <f>IF('1.DATOS-PROD'!BD309="SI",VLOOKUP('1.DATOS-PROD'!BD$2,'1.PUNTOS'!$A$1:$B$63,2,0),0)</f>
        <v>0</v>
      </c>
      <c r="AV308" s="138">
        <f>IF('1.DATOS-PROD'!BE309="SI",VLOOKUP('1.DATOS-PROD'!BE$2,'1.PUNTOS'!$A$1:$B$63,2,0),0)</f>
        <v>0</v>
      </c>
      <c r="AW308" s="138">
        <f>IF('1.DATOS-PROD'!BF309="SI",VLOOKUP('1.DATOS-PROD'!BF$2,'1.PUNTOS'!$A$1:$B$63,2,0),0)</f>
        <v>0</v>
      </c>
      <c r="AX308" s="138">
        <f>IF('1.DATOS-PROD'!BG309="SI",VLOOKUP('1.DATOS-PROD'!BG$2,'1.PUNTOS'!$A$1:$B$63,2,0),0)</f>
        <v>0</v>
      </c>
      <c r="AY308" s="138">
        <f>IF('1.DATOS-PROD'!BH309="SI",VLOOKUP('1.DATOS-PROD'!BH$2,'1.PUNTOS'!$A$1:$B$63,2,0),0)</f>
        <v>0</v>
      </c>
      <c r="AZ308" s="138">
        <f>IF('1.DATOS-PROD'!BI309="SI",VLOOKUP('1.DATOS-PROD'!BI$2,'1.PUNTOS'!$A$1:$B$63,2,0),0)</f>
        <v>0</v>
      </c>
      <c r="BA308" s="138">
        <f>IF('1.DATOS-PROD'!BJ309="SI",VLOOKUP('1.DATOS-PROD'!BJ$2,'1.PUNTOS'!$A$1:$B$63,2,0),0)</f>
        <v>0</v>
      </c>
      <c r="BB308" s="138">
        <f>IF('1.DATOS-PROD'!BK309="SI",VLOOKUP('1.DATOS-PROD'!BK$2,'1.PUNTOS'!$A$1:$B$63,2,0),0)</f>
        <v>0</v>
      </c>
      <c r="BC308" s="138">
        <f>IF('1.DATOS-PROD'!BL309="SI",VLOOKUP('1.DATOS-PROD'!BL$2,'1.PUNTOS'!$A$1:$B$63,2,0),0)</f>
        <v>0</v>
      </c>
      <c r="BD308" s="138">
        <f>IF('1.DATOS-PROD'!BM309="SI",VLOOKUP('1.DATOS-PROD'!BM$2,'1.PUNTOS'!$A$1:$B$63,2,0),0)</f>
        <v>0</v>
      </c>
      <c r="BE308" s="138">
        <f>IF('1.DATOS-PROD'!BN309="SI",VLOOKUP('1.DATOS-PROD'!BN$2,'1.PUNTOS'!$A$1:$B$63,2,0),0)</f>
        <v>0</v>
      </c>
      <c r="BF308" s="138">
        <f>IF('1.DATOS-PROD'!BO309="SI",VLOOKUP('1.DATOS-PROD'!BO$2,'1.PUNTOS'!$A$1:$B$63,2,0),0)</f>
        <v>0</v>
      </c>
      <c r="BG308" s="138">
        <f>IF('1.DATOS-PROD'!BP309="SI",VLOOKUP('1.DATOS-PROD'!BP$2,'1.PUNTOS'!$A$1:$B$63,2,0),0)</f>
        <v>0</v>
      </c>
      <c r="BH308" s="138">
        <f>IF('1.DATOS-PROD'!BQ309="SI",VLOOKUP('1.DATOS-PROD'!BQ$2,'1.PUNTOS'!$A$1:$B$63,2,0),0)</f>
        <v>0</v>
      </c>
      <c r="BI308" s="138">
        <f>IF('1.DATOS-PROD'!BR309="SI",VLOOKUP('1.DATOS-PROD'!BR$2,'1.PUNTOS'!$A$1:$B$63,2,0),0)</f>
        <v>0</v>
      </c>
      <c r="BJ308" s="138">
        <f>IF('1.DATOS-PROD'!BS309="SI",VLOOKUP('1.DATOS-PROD'!BS$2,'1.PUNTOS'!$A$1:$B$63,2,0),0)</f>
        <v>0</v>
      </c>
      <c r="BK308" s="138">
        <f>IF('1.DATOS-PROD'!BT309="SI",VLOOKUP('1.DATOS-PROD'!BT$2,'1.PUNTOS'!$A$1:$B$63,2,0),0)</f>
        <v>0</v>
      </c>
    </row>
    <row r="309" spans="1:63" x14ac:dyDescent="0.25">
      <c r="A309">
        <f>'0.Consolidado general'!$A310</f>
        <v>0</v>
      </c>
      <c r="B309" s="138">
        <f>IF('1.DATOS-PROD'!K310="SI",VLOOKUP('1.DATOS-PROD'!K$2,'1.PUNTOS'!$A$1:$B$63,2,0),0)</f>
        <v>0</v>
      </c>
      <c r="C309" s="138">
        <f>IF('1.DATOS-PROD'!L310="SI",VLOOKUP('1.DATOS-PROD'!L$2,'1.PUNTOS'!$A$1:$B$63,2,0),0)</f>
        <v>0</v>
      </c>
      <c r="D309" s="138">
        <f>IF('1.DATOS-PROD'!M310="SI",VLOOKUP('1.DATOS-PROD'!M$2,'1.PUNTOS'!$A$1:$B$63,2,0),0)</f>
        <v>0</v>
      </c>
      <c r="E309" s="138">
        <f>IF('1.DATOS-PROD'!N310="SI",VLOOKUP('1.DATOS-PROD'!N$2,'1.PUNTOS'!$A$1:$B$63,2,0),0)</f>
        <v>0</v>
      </c>
      <c r="F309" s="138">
        <f>IF('1.DATOS-PROD'!O310="SI",VLOOKUP('1.DATOS-PROD'!O$2,'1.PUNTOS'!$A$1:$B$63,2,0),0)</f>
        <v>0</v>
      </c>
      <c r="G309" s="138">
        <f>IF('1.DATOS-PROD'!P310="SI",VLOOKUP('1.DATOS-PROD'!P$2,'1.PUNTOS'!$A$1:$B$63,2,0),0)</f>
        <v>0</v>
      </c>
      <c r="H309" s="138">
        <f>IF('1.DATOS-PROD'!Q310="SI",VLOOKUP('1.DATOS-PROD'!Q$2,'1.PUNTOS'!$A$1:$B$63,2,0),0)</f>
        <v>0</v>
      </c>
      <c r="I309" s="138">
        <f>IF('1.DATOS-PROD'!R310="SI",VLOOKUP('1.DATOS-PROD'!R$2,'1.PUNTOS'!$A$1:$B$63,2,0),0)</f>
        <v>0</v>
      </c>
      <c r="J309" s="138">
        <f>IF('1.DATOS-PROD'!S310="SI",VLOOKUP('1.DATOS-PROD'!S$2,'1.PUNTOS'!$A$1:$B$63,2,0),0)</f>
        <v>0</v>
      </c>
      <c r="K309" s="138">
        <f>IF('1.DATOS-PROD'!T310="SI",VLOOKUP('1.DATOS-PROD'!T$2,'1.PUNTOS'!$A$1:$B$63,2,0),0)</f>
        <v>0</v>
      </c>
      <c r="L309" s="138">
        <f>IF('1.DATOS-PROD'!U310="SI",VLOOKUP('1.DATOS-PROD'!U$2,'1.PUNTOS'!$A$1:$B$63,2,0),0)</f>
        <v>0</v>
      </c>
      <c r="M309" s="138">
        <f>IF('1.DATOS-PROD'!V310="SI",VLOOKUP('1.DATOS-PROD'!V$2,'1.PUNTOS'!$A$1:$B$63,2,0),0)</f>
        <v>0</v>
      </c>
      <c r="N309" s="138">
        <f>IF('1.DATOS-PROD'!W310="SI",VLOOKUP('1.DATOS-PROD'!W$2,'1.PUNTOS'!$A$1:$B$63,2,0),0)</f>
        <v>0</v>
      </c>
      <c r="O309" s="138">
        <f>IF('1.DATOS-PROD'!X310="SI",VLOOKUP('1.DATOS-PROD'!X$2,'1.PUNTOS'!$A$1:$B$63,2,0),0)</f>
        <v>0</v>
      </c>
      <c r="P309" s="138">
        <f>IF('1.DATOS-PROD'!Y310="SI",VLOOKUP('1.DATOS-PROD'!Y$2,'1.PUNTOS'!$A$1:$B$63,2,0),0)</f>
        <v>0</v>
      </c>
      <c r="Q309" s="138">
        <f>IF('1.DATOS-PROD'!Z310="SI",VLOOKUP('1.DATOS-PROD'!Z$2,'1.PUNTOS'!$A$1:$B$63,2,0),0)</f>
        <v>0</v>
      </c>
      <c r="R309" s="138">
        <f>IF('1.DATOS-PROD'!AA310="SI",VLOOKUP('1.DATOS-PROD'!AA$2,'1.PUNTOS'!$A$1:$B$63,2,0),0)</f>
        <v>0</v>
      </c>
      <c r="S309" s="138">
        <f>IF('1.DATOS-PROD'!AB310="SI",VLOOKUP('1.DATOS-PROD'!AB$2,'1.PUNTOS'!$A$1:$B$63,2,0),0)</f>
        <v>0</v>
      </c>
      <c r="T309" s="138">
        <f>IF('1.DATOS-PROD'!AC310="SI",VLOOKUP('1.DATOS-PROD'!AC$2,'1.PUNTOS'!$A$1:$B$63,2,0),0)</f>
        <v>0</v>
      </c>
      <c r="U309" s="138">
        <f>IF('1.DATOS-PROD'!AD310="SI",VLOOKUP('1.DATOS-PROD'!AD$2,'1.PUNTOS'!$A$1:$B$63,2,0),0)</f>
        <v>0</v>
      </c>
      <c r="V309" s="138">
        <f>IF('1.DATOS-PROD'!AE310="SI",VLOOKUP('1.DATOS-PROD'!AE$2,'1.PUNTOS'!$A$1:$B$63,2,0),0)</f>
        <v>0</v>
      </c>
      <c r="W309" s="138">
        <f>IF('1.DATOS-PROD'!AF310="SI",VLOOKUP('1.DATOS-PROD'!AF$2,'1.PUNTOS'!$A$1:$B$63,2,0),0)</f>
        <v>0</v>
      </c>
      <c r="X309" s="138">
        <f>IF('1.DATOS-PROD'!AG310="SI",VLOOKUP('1.DATOS-PROD'!AG$2,'1.PUNTOS'!$A$1:$B$63,2,0),0)</f>
        <v>0</v>
      </c>
      <c r="Y309" s="138">
        <f>IF('1.DATOS-PROD'!AH310="SI",VLOOKUP('1.DATOS-PROD'!AH$2,'1.PUNTOS'!$A$1:$B$63,2,0),0)</f>
        <v>0</v>
      </c>
      <c r="Z309" s="138">
        <f>IF('1.DATOS-PROD'!AI310="SI",VLOOKUP('1.DATOS-PROD'!AI$2,'1.PUNTOS'!$A$1:$B$63,2,0),0)</f>
        <v>0</v>
      </c>
      <c r="AA309" s="138">
        <f>IF('1.DATOS-PROD'!AJ310="SI",VLOOKUP('1.DATOS-PROD'!AJ$2,'1.PUNTOS'!$A$1:$B$63,2,0),0)</f>
        <v>0</v>
      </c>
      <c r="AB309" s="138">
        <f>IF('1.DATOS-PROD'!AK310="SI",VLOOKUP('1.DATOS-PROD'!AK$2,'1.PUNTOS'!$A$1:$B$63,2,0),0)</f>
        <v>0</v>
      </c>
      <c r="AC309" s="138">
        <f>IF('1.DATOS-PROD'!AL310="SI",VLOOKUP('1.DATOS-PROD'!AL$2,'1.PUNTOS'!$A$1:$B$63,2,0),0)</f>
        <v>0</v>
      </c>
      <c r="AD309" s="138">
        <f>IF('1.DATOS-PROD'!AM310="SI",VLOOKUP('1.DATOS-PROD'!AM$2,'1.PUNTOS'!$A$1:$B$63,2,0),0)</f>
        <v>0</v>
      </c>
      <c r="AE309" s="138">
        <f>IF('1.DATOS-PROD'!AN310="SI",VLOOKUP('1.DATOS-PROD'!AN$2,'1.PUNTOS'!$A$1:$B$63,2,0),0)</f>
        <v>0</v>
      </c>
      <c r="AF309" s="138">
        <f>IF('1.DATOS-PROD'!AO310="SI",VLOOKUP('1.DATOS-PROD'!AO$2,'1.PUNTOS'!$A$1:$B$63,2,0),0)</f>
        <v>0</v>
      </c>
      <c r="AG309" s="138">
        <f>IF('1.DATOS-PROD'!AP310="SI",VLOOKUP('1.DATOS-PROD'!AP$2,'1.PUNTOS'!$A$1:$B$63,2,0),0)</f>
        <v>0</v>
      </c>
      <c r="AH309" s="138">
        <f>IF('1.DATOS-PROD'!AQ310="SI",VLOOKUP('1.DATOS-PROD'!AQ$2,'1.PUNTOS'!$A$1:$B$63,2,0),0)</f>
        <v>0</v>
      </c>
      <c r="AI309" s="138">
        <f>IF('1.DATOS-PROD'!AR310="SI",VLOOKUP('1.DATOS-PROD'!AR$2,'1.PUNTOS'!$A$1:$B$63,2,0),0)</f>
        <v>0</v>
      </c>
      <c r="AJ309" s="138">
        <f>IF('1.DATOS-PROD'!AS310="SI",VLOOKUP('1.DATOS-PROD'!AS$2,'1.PUNTOS'!$A$1:$B$63,2,0),0)</f>
        <v>0</v>
      </c>
      <c r="AK309" s="138">
        <f>IF('1.DATOS-PROD'!AT310="SI",VLOOKUP('1.DATOS-PROD'!AT$2,'1.PUNTOS'!$A$1:$B$63,2,0),0)</f>
        <v>0</v>
      </c>
      <c r="AL309" s="138">
        <f>IF('1.DATOS-PROD'!AU310="SI",VLOOKUP('1.DATOS-PROD'!AU$2,'1.PUNTOS'!$A$1:$B$63,2,0),0)</f>
        <v>0</v>
      </c>
      <c r="AM309" s="138">
        <f>IF('1.DATOS-PROD'!AV310="SI",VLOOKUP('1.DATOS-PROD'!AV$2,'1.PUNTOS'!$A$1:$B$63,2,0),0)</f>
        <v>0</v>
      </c>
      <c r="AN309" s="138">
        <f>IF('1.DATOS-PROD'!AW310="SI",VLOOKUP('1.DATOS-PROD'!AW$2,'1.PUNTOS'!$A$1:$B$63,2,0),0)</f>
        <v>0</v>
      </c>
      <c r="AO309" s="138">
        <f>IF('1.DATOS-PROD'!AX310="SI",VLOOKUP('1.DATOS-PROD'!AX$2,'1.PUNTOS'!$A$1:$B$63,2,0),0)</f>
        <v>0</v>
      </c>
      <c r="AP309" s="138">
        <f>IF('1.DATOS-PROD'!AY310="SI",VLOOKUP('1.DATOS-PROD'!AY$2,'1.PUNTOS'!$A$1:$B$63,2,0),0)</f>
        <v>0</v>
      </c>
      <c r="AQ309" s="138">
        <f>IF('1.DATOS-PROD'!AZ310="SI",VLOOKUP('1.DATOS-PROD'!AZ$2,'1.PUNTOS'!$A$1:$B$63,2,0),0)</f>
        <v>0</v>
      </c>
      <c r="AR309" s="138">
        <f>IF('1.DATOS-PROD'!BA310="SI",VLOOKUP('1.DATOS-PROD'!BA$2,'1.PUNTOS'!$A$1:$B$63,2,0),0)</f>
        <v>0</v>
      </c>
      <c r="AS309" s="138">
        <f>IF('1.DATOS-PROD'!BB310="SI",VLOOKUP('1.DATOS-PROD'!BB$2,'1.PUNTOS'!$A$1:$B$63,2,0),0)</f>
        <v>0</v>
      </c>
      <c r="AT309" s="138">
        <f>IF('1.DATOS-PROD'!BC310="SI",VLOOKUP('1.DATOS-PROD'!BC$2,'1.PUNTOS'!$A$1:$B$63,2,0),0)</f>
        <v>0</v>
      </c>
      <c r="AU309" s="138">
        <f>IF('1.DATOS-PROD'!BD310="SI",VLOOKUP('1.DATOS-PROD'!BD$2,'1.PUNTOS'!$A$1:$B$63,2,0),0)</f>
        <v>0</v>
      </c>
      <c r="AV309" s="138">
        <f>IF('1.DATOS-PROD'!BE310="SI",VLOOKUP('1.DATOS-PROD'!BE$2,'1.PUNTOS'!$A$1:$B$63,2,0),0)</f>
        <v>0</v>
      </c>
      <c r="AW309" s="138">
        <f>IF('1.DATOS-PROD'!BF310="SI",VLOOKUP('1.DATOS-PROD'!BF$2,'1.PUNTOS'!$A$1:$B$63,2,0),0)</f>
        <v>0</v>
      </c>
      <c r="AX309" s="138">
        <f>IF('1.DATOS-PROD'!BG310="SI",VLOOKUP('1.DATOS-PROD'!BG$2,'1.PUNTOS'!$A$1:$B$63,2,0),0)</f>
        <v>0</v>
      </c>
      <c r="AY309" s="138">
        <f>IF('1.DATOS-PROD'!BH310="SI",VLOOKUP('1.DATOS-PROD'!BH$2,'1.PUNTOS'!$A$1:$B$63,2,0),0)</f>
        <v>0</v>
      </c>
      <c r="AZ309" s="138">
        <f>IF('1.DATOS-PROD'!BI310="SI",VLOOKUP('1.DATOS-PROD'!BI$2,'1.PUNTOS'!$A$1:$B$63,2,0),0)</f>
        <v>0</v>
      </c>
      <c r="BA309" s="138">
        <f>IF('1.DATOS-PROD'!BJ310="SI",VLOOKUP('1.DATOS-PROD'!BJ$2,'1.PUNTOS'!$A$1:$B$63,2,0),0)</f>
        <v>0</v>
      </c>
      <c r="BB309" s="138">
        <f>IF('1.DATOS-PROD'!BK310="SI",VLOOKUP('1.DATOS-PROD'!BK$2,'1.PUNTOS'!$A$1:$B$63,2,0),0)</f>
        <v>0</v>
      </c>
      <c r="BC309" s="138">
        <f>IF('1.DATOS-PROD'!BL310="SI",VLOOKUP('1.DATOS-PROD'!BL$2,'1.PUNTOS'!$A$1:$B$63,2,0),0)</f>
        <v>0</v>
      </c>
      <c r="BD309" s="138">
        <f>IF('1.DATOS-PROD'!BM310="SI",VLOOKUP('1.DATOS-PROD'!BM$2,'1.PUNTOS'!$A$1:$B$63,2,0),0)</f>
        <v>0</v>
      </c>
      <c r="BE309" s="138">
        <f>IF('1.DATOS-PROD'!BN310="SI",VLOOKUP('1.DATOS-PROD'!BN$2,'1.PUNTOS'!$A$1:$B$63,2,0),0)</f>
        <v>0</v>
      </c>
      <c r="BF309" s="138">
        <f>IF('1.DATOS-PROD'!BO310="SI",VLOOKUP('1.DATOS-PROD'!BO$2,'1.PUNTOS'!$A$1:$B$63,2,0),0)</f>
        <v>0</v>
      </c>
      <c r="BG309" s="138">
        <f>IF('1.DATOS-PROD'!BP310="SI",VLOOKUP('1.DATOS-PROD'!BP$2,'1.PUNTOS'!$A$1:$B$63,2,0),0)</f>
        <v>0</v>
      </c>
      <c r="BH309" s="138">
        <f>IF('1.DATOS-PROD'!BQ310="SI",VLOOKUP('1.DATOS-PROD'!BQ$2,'1.PUNTOS'!$A$1:$B$63,2,0),0)</f>
        <v>0</v>
      </c>
      <c r="BI309" s="138">
        <f>IF('1.DATOS-PROD'!BR310="SI",VLOOKUP('1.DATOS-PROD'!BR$2,'1.PUNTOS'!$A$1:$B$63,2,0),0)</f>
        <v>0</v>
      </c>
      <c r="BJ309" s="138">
        <f>IF('1.DATOS-PROD'!BS310="SI",VLOOKUP('1.DATOS-PROD'!BS$2,'1.PUNTOS'!$A$1:$B$63,2,0),0)</f>
        <v>0</v>
      </c>
      <c r="BK309" s="138">
        <f>IF('1.DATOS-PROD'!BT310="SI",VLOOKUP('1.DATOS-PROD'!BT$2,'1.PUNTOS'!$A$1:$B$63,2,0),0)</f>
        <v>0</v>
      </c>
    </row>
    <row r="310" spans="1:63" x14ac:dyDescent="0.25">
      <c r="A310">
        <f>'0.Consolidado general'!$A311</f>
        <v>0</v>
      </c>
      <c r="B310" s="138">
        <f>IF('1.DATOS-PROD'!K311="SI",VLOOKUP('1.DATOS-PROD'!K$2,'1.PUNTOS'!$A$1:$B$63,2,0),0)</f>
        <v>0</v>
      </c>
      <c r="C310" s="138">
        <f>IF('1.DATOS-PROD'!L311="SI",VLOOKUP('1.DATOS-PROD'!L$2,'1.PUNTOS'!$A$1:$B$63,2,0),0)</f>
        <v>0</v>
      </c>
      <c r="D310" s="138">
        <f>IF('1.DATOS-PROD'!M311="SI",VLOOKUP('1.DATOS-PROD'!M$2,'1.PUNTOS'!$A$1:$B$63,2,0),0)</f>
        <v>0</v>
      </c>
      <c r="E310" s="138">
        <f>IF('1.DATOS-PROD'!N311="SI",VLOOKUP('1.DATOS-PROD'!N$2,'1.PUNTOS'!$A$1:$B$63,2,0),0)</f>
        <v>0</v>
      </c>
      <c r="F310" s="138">
        <f>IF('1.DATOS-PROD'!O311="SI",VLOOKUP('1.DATOS-PROD'!O$2,'1.PUNTOS'!$A$1:$B$63,2,0),0)</f>
        <v>0</v>
      </c>
      <c r="G310" s="138">
        <f>IF('1.DATOS-PROD'!P311="SI",VLOOKUP('1.DATOS-PROD'!P$2,'1.PUNTOS'!$A$1:$B$63,2,0),0)</f>
        <v>0</v>
      </c>
      <c r="H310" s="138">
        <f>IF('1.DATOS-PROD'!Q311="SI",VLOOKUP('1.DATOS-PROD'!Q$2,'1.PUNTOS'!$A$1:$B$63,2,0),0)</f>
        <v>0</v>
      </c>
      <c r="I310" s="138">
        <f>IF('1.DATOS-PROD'!R311="SI",VLOOKUP('1.DATOS-PROD'!R$2,'1.PUNTOS'!$A$1:$B$63,2,0),0)</f>
        <v>0</v>
      </c>
      <c r="J310" s="138">
        <f>IF('1.DATOS-PROD'!S311="SI",VLOOKUP('1.DATOS-PROD'!S$2,'1.PUNTOS'!$A$1:$B$63,2,0),0)</f>
        <v>0</v>
      </c>
      <c r="K310" s="138">
        <f>IF('1.DATOS-PROD'!T311="SI",VLOOKUP('1.DATOS-PROD'!T$2,'1.PUNTOS'!$A$1:$B$63,2,0),0)</f>
        <v>0</v>
      </c>
      <c r="L310" s="138">
        <f>IF('1.DATOS-PROD'!U311="SI",VLOOKUP('1.DATOS-PROD'!U$2,'1.PUNTOS'!$A$1:$B$63,2,0),0)</f>
        <v>0</v>
      </c>
      <c r="M310" s="138">
        <f>IF('1.DATOS-PROD'!V311="SI",VLOOKUP('1.DATOS-PROD'!V$2,'1.PUNTOS'!$A$1:$B$63,2,0),0)</f>
        <v>0</v>
      </c>
      <c r="N310" s="138">
        <f>IF('1.DATOS-PROD'!W311="SI",VLOOKUP('1.DATOS-PROD'!W$2,'1.PUNTOS'!$A$1:$B$63,2,0),0)</f>
        <v>0</v>
      </c>
      <c r="O310" s="138">
        <f>IF('1.DATOS-PROD'!X311="SI",VLOOKUP('1.DATOS-PROD'!X$2,'1.PUNTOS'!$A$1:$B$63,2,0),0)</f>
        <v>0</v>
      </c>
      <c r="P310" s="138">
        <f>IF('1.DATOS-PROD'!Y311="SI",VLOOKUP('1.DATOS-PROD'!Y$2,'1.PUNTOS'!$A$1:$B$63,2,0),0)</f>
        <v>0</v>
      </c>
      <c r="Q310" s="138">
        <f>IF('1.DATOS-PROD'!Z311="SI",VLOOKUP('1.DATOS-PROD'!Z$2,'1.PUNTOS'!$A$1:$B$63,2,0),0)</f>
        <v>0</v>
      </c>
      <c r="R310" s="138">
        <f>IF('1.DATOS-PROD'!AA311="SI",VLOOKUP('1.DATOS-PROD'!AA$2,'1.PUNTOS'!$A$1:$B$63,2,0),0)</f>
        <v>0</v>
      </c>
      <c r="S310" s="138">
        <f>IF('1.DATOS-PROD'!AB311="SI",VLOOKUP('1.DATOS-PROD'!AB$2,'1.PUNTOS'!$A$1:$B$63,2,0),0)</f>
        <v>0</v>
      </c>
      <c r="T310" s="138">
        <f>IF('1.DATOS-PROD'!AC311="SI",VLOOKUP('1.DATOS-PROD'!AC$2,'1.PUNTOS'!$A$1:$B$63,2,0),0)</f>
        <v>0</v>
      </c>
      <c r="U310" s="138">
        <f>IF('1.DATOS-PROD'!AD311="SI",VLOOKUP('1.DATOS-PROD'!AD$2,'1.PUNTOS'!$A$1:$B$63,2,0),0)</f>
        <v>0</v>
      </c>
      <c r="V310" s="138">
        <f>IF('1.DATOS-PROD'!AE311="SI",VLOOKUP('1.DATOS-PROD'!AE$2,'1.PUNTOS'!$A$1:$B$63,2,0),0)</f>
        <v>0</v>
      </c>
      <c r="W310" s="138">
        <f>IF('1.DATOS-PROD'!AF311="SI",VLOOKUP('1.DATOS-PROD'!AF$2,'1.PUNTOS'!$A$1:$B$63,2,0),0)</f>
        <v>0</v>
      </c>
      <c r="X310" s="138">
        <f>IF('1.DATOS-PROD'!AG311="SI",VLOOKUP('1.DATOS-PROD'!AG$2,'1.PUNTOS'!$A$1:$B$63,2,0),0)</f>
        <v>0</v>
      </c>
      <c r="Y310" s="138">
        <f>IF('1.DATOS-PROD'!AH311="SI",VLOOKUP('1.DATOS-PROD'!AH$2,'1.PUNTOS'!$A$1:$B$63,2,0),0)</f>
        <v>0</v>
      </c>
      <c r="Z310" s="138">
        <f>IF('1.DATOS-PROD'!AI311="SI",VLOOKUP('1.DATOS-PROD'!AI$2,'1.PUNTOS'!$A$1:$B$63,2,0),0)</f>
        <v>0</v>
      </c>
      <c r="AA310" s="138">
        <f>IF('1.DATOS-PROD'!AJ311="SI",VLOOKUP('1.DATOS-PROD'!AJ$2,'1.PUNTOS'!$A$1:$B$63,2,0),0)</f>
        <v>0</v>
      </c>
      <c r="AB310" s="138">
        <f>IF('1.DATOS-PROD'!AK311="SI",VLOOKUP('1.DATOS-PROD'!AK$2,'1.PUNTOS'!$A$1:$B$63,2,0),0)</f>
        <v>0</v>
      </c>
      <c r="AC310" s="138">
        <f>IF('1.DATOS-PROD'!AL311="SI",VLOOKUP('1.DATOS-PROD'!AL$2,'1.PUNTOS'!$A$1:$B$63,2,0),0)</f>
        <v>0</v>
      </c>
      <c r="AD310" s="138">
        <f>IF('1.DATOS-PROD'!AM311="SI",VLOOKUP('1.DATOS-PROD'!AM$2,'1.PUNTOS'!$A$1:$B$63,2,0),0)</f>
        <v>0</v>
      </c>
      <c r="AE310" s="138">
        <f>IF('1.DATOS-PROD'!AN311="SI",VLOOKUP('1.DATOS-PROD'!AN$2,'1.PUNTOS'!$A$1:$B$63,2,0),0)</f>
        <v>0</v>
      </c>
      <c r="AF310" s="138">
        <f>IF('1.DATOS-PROD'!AO311="SI",VLOOKUP('1.DATOS-PROD'!AO$2,'1.PUNTOS'!$A$1:$B$63,2,0),0)</f>
        <v>0</v>
      </c>
      <c r="AG310" s="138">
        <f>IF('1.DATOS-PROD'!AP311="SI",VLOOKUP('1.DATOS-PROD'!AP$2,'1.PUNTOS'!$A$1:$B$63,2,0),0)</f>
        <v>0</v>
      </c>
      <c r="AH310" s="138">
        <f>IF('1.DATOS-PROD'!AQ311="SI",VLOOKUP('1.DATOS-PROD'!AQ$2,'1.PUNTOS'!$A$1:$B$63,2,0),0)</f>
        <v>0</v>
      </c>
      <c r="AI310" s="138">
        <f>IF('1.DATOS-PROD'!AR311="SI",VLOOKUP('1.DATOS-PROD'!AR$2,'1.PUNTOS'!$A$1:$B$63,2,0),0)</f>
        <v>0</v>
      </c>
      <c r="AJ310" s="138">
        <f>IF('1.DATOS-PROD'!AS311="SI",VLOOKUP('1.DATOS-PROD'!AS$2,'1.PUNTOS'!$A$1:$B$63,2,0),0)</f>
        <v>0</v>
      </c>
      <c r="AK310" s="138">
        <f>IF('1.DATOS-PROD'!AT311="SI",VLOOKUP('1.DATOS-PROD'!AT$2,'1.PUNTOS'!$A$1:$B$63,2,0),0)</f>
        <v>0</v>
      </c>
      <c r="AL310" s="138">
        <f>IF('1.DATOS-PROD'!AU311="SI",VLOOKUP('1.DATOS-PROD'!AU$2,'1.PUNTOS'!$A$1:$B$63,2,0),0)</f>
        <v>0</v>
      </c>
      <c r="AM310" s="138">
        <f>IF('1.DATOS-PROD'!AV311="SI",VLOOKUP('1.DATOS-PROD'!AV$2,'1.PUNTOS'!$A$1:$B$63,2,0),0)</f>
        <v>0</v>
      </c>
      <c r="AN310" s="138">
        <f>IF('1.DATOS-PROD'!AW311="SI",VLOOKUP('1.DATOS-PROD'!AW$2,'1.PUNTOS'!$A$1:$B$63,2,0),0)</f>
        <v>0</v>
      </c>
      <c r="AO310" s="138">
        <f>IF('1.DATOS-PROD'!AX311="SI",VLOOKUP('1.DATOS-PROD'!AX$2,'1.PUNTOS'!$A$1:$B$63,2,0),0)</f>
        <v>0</v>
      </c>
      <c r="AP310" s="138">
        <f>IF('1.DATOS-PROD'!AY311="SI",VLOOKUP('1.DATOS-PROD'!AY$2,'1.PUNTOS'!$A$1:$B$63,2,0),0)</f>
        <v>0</v>
      </c>
      <c r="AQ310" s="138">
        <f>IF('1.DATOS-PROD'!AZ311="SI",VLOOKUP('1.DATOS-PROD'!AZ$2,'1.PUNTOS'!$A$1:$B$63,2,0),0)</f>
        <v>0</v>
      </c>
      <c r="AR310" s="138">
        <f>IF('1.DATOS-PROD'!BA311="SI",VLOOKUP('1.DATOS-PROD'!BA$2,'1.PUNTOS'!$A$1:$B$63,2,0),0)</f>
        <v>0</v>
      </c>
      <c r="AS310" s="138">
        <f>IF('1.DATOS-PROD'!BB311="SI",VLOOKUP('1.DATOS-PROD'!BB$2,'1.PUNTOS'!$A$1:$B$63,2,0),0)</f>
        <v>0</v>
      </c>
      <c r="AT310" s="138">
        <f>IF('1.DATOS-PROD'!BC311="SI",VLOOKUP('1.DATOS-PROD'!BC$2,'1.PUNTOS'!$A$1:$B$63,2,0),0)</f>
        <v>0</v>
      </c>
      <c r="AU310" s="138">
        <f>IF('1.DATOS-PROD'!BD311="SI",VLOOKUP('1.DATOS-PROD'!BD$2,'1.PUNTOS'!$A$1:$B$63,2,0),0)</f>
        <v>0</v>
      </c>
      <c r="AV310" s="138">
        <f>IF('1.DATOS-PROD'!BE311="SI",VLOOKUP('1.DATOS-PROD'!BE$2,'1.PUNTOS'!$A$1:$B$63,2,0),0)</f>
        <v>0</v>
      </c>
      <c r="AW310" s="138">
        <f>IF('1.DATOS-PROD'!BF311="SI",VLOOKUP('1.DATOS-PROD'!BF$2,'1.PUNTOS'!$A$1:$B$63,2,0),0)</f>
        <v>0</v>
      </c>
      <c r="AX310" s="138">
        <f>IF('1.DATOS-PROD'!BG311="SI",VLOOKUP('1.DATOS-PROD'!BG$2,'1.PUNTOS'!$A$1:$B$63,2,0),0)</f>
        <v>0</v>
      </c>
      <c r="AY310" s="138">
        <f>IF('1.DATOS-PROD'!BH311="SI",VLOOKUP('1.DATOS-PROD'!BH$2,'1.PUNTOS'!$A$1:$B$63,2,0),0)</f>
        <v>0</v>
      </c>
      <c r="AZ310" s="138">
        <f>IF('1.DATOS-PROD'!BI311="SI",VLOOKUP('1.DATOS-PROD'!BI$2,'1.PUNTOS'!$A$1:$B$63,2,0),0)</f>
        <v>0</v>
      </c>
      <c r="BA310" s="138">
        <f>IF('1.DATOS-PROD'!BJ311="SI",VLOOKUP('1.DATOS-PROD'!BJ$2,'1.PUNTOS'!$A$1:$B$63,2,0),0)</f>
        <v>0</v>
      </c>
      <c r="BB310" s="138">
        <f>IF('1.DATOS-PROD'!BK311="SI",VLOOKUP('1.DATOS-PROD'!BK$2,'1.PUNTOS'!$A$1:$B$63,2,0),0)</f>
        <v>0</v>
      </c>
      <c r="BC310" s="138">
        <f>IF('1.DATOS-PROD'!BL311="SI",VLOOKUP('1.DATOS-PROD'!BL$2,'1.PUNTOS'!$A$1:$B$63,2,0),0)</f>
        <v>0</v>
      </c>
      <c r="BD310" s="138">
        <f>IF('1.DATOS-PROD'!BM311="SI",VLOOKUP('1.DATOS-PROD'!BM$2,'1.PUNTOS'!$A$1:$B$63,2,0),0)</f>
        <v>0</v>
      </c>
      <c r="BE310" s="138">
        <f>IF('1.DATOS-PROD'!BN311="SI",VLOOKUP('1.DATOS-PROD'!BN$2,'1.PUNTOS'!$A$1:$B$63,2,0),0)</f>
        <v>0</v>
      </c>
      <c r="BF310" s="138">
        <f>IF('1.DATOS-PROD'!BO311="SI",VLOOKUP('1.DATOS-PROD'!BO$2,'1.PUNTOS'!$A$1:$B$63,2,0),0)</f>
        <v>0</v>
      </c>
      <c r="BG310" s="138">
        <f>IF('1.DATOS-PROD'!BP311="SI",VLOOKUP('1.DATOS-PROD'!BP$2,'1.PUNTOS'!$A$1:$B$63,2,0),0)</f>
        <v>0</v>
      </c>
      <c r="BH310" s="138">
        <f>IF('1.DATOS-PROD'!BQ311="SI",VLOOKUP('1.DATOS-PROD'!BQ$2,'1.PUNTOS'!$A$1:$B$63,2,0),0)</f>
        <v>0</v>
      </c>
      <c r="BI310" s="138">
        <f>IF('1.DATOS-PROD'!BR311="SI",VLOOKUP('1.DATOS-PROD'!BR$2,'1.PUNTOS'!$A$1:$B$63,2,0),0)</f>
        <v>0</v>
      </c>
      <c r="BJ310" s="138">
        <f>IF('1.DATOS-PROD'!BS311="SI",VLOOKUP('1.DATOS-PROD'!BS$2,'1.PUNTOS'!$A$1:$B$63,2,0),0)</f>
        <v>0</v>
      </c>
      <c r="BK310" s="138">
        <f>IF('1.DATOS-PROD'!BT311="SI",VLOOKUP('1.DATOS-PROD'!BT$2,'1.PUNTOS'!$A$1:$B$63,2,0),0)</f>
        <v>0</v>
      </c>
    </row>
    <row r="311" spans="1:63" x14ac:dyDescent="0.25">
      <c r="A311">
        <f>'0.Consolidado general'!$A312</f>
        <v>0</v>
      </c>
      <c r="B311" s="138">
        <f>IF('1.DATOS-PROD'!K312="SI",VLOOKUP('1.DATOS-PROD'!K$2,'1.PUNTOS'!$A$1:$B$63,2,0),0)</f>
        <v>0</v>
      </c>
      <c r="C311" s="138">
        <f>IF('1.DATOS-PROD'!L312="SI",VLOOKUP('1.DATOS-PROD'!L$2,'1.PUNTOS'!$A$1:$B$63,2,0),0)</f>
        <v>0</v>
      </c>
      <c r="D311" s="138">
        <f>IF('1.DATOS-PROD'!M312="SI",VLOOKUP('1.DATOS-PROD'!M$2,'1.PUNTOS'!$A$1:$B$63,2,0),0)</f>
        <v>0</v>
      </c>
      <c r="E311" s="138">
        <f>IF('1.DATOS-PROD'!N312="SI",VLOOKUP('1.DATOS-PROD'!N$2,'1.PUNTOS'!$A$1:$B$63,2,0),0)</f>
        <v>0</v>
      </c>
      <c r="F311" s="138">
        <f>IF('1.DATOS-PROD'!O312="SI",VLOOKUP('1.DATOS-PROD'!O$2,'1.PUNTOS'!$A$1:$B$63,2,0),0)</f>
        <v>0</v>
      </c>
      <c r="G311" s="138">
        <f>IF('1.DATOS-PROD'!P312="SI",VLOOKUP('1.DATOS-PROD'!P$2,'1.PUNTOS'!$A$1:$B$63,2,0),0)</f>
        <v>0</v>
      </c>
      <c r="H311" s="138">
        <f>IF('1.DATOS-PROD'!Q312="SI",VLOOKUP('1.DATOS-PROD'!Q$2,'1.PUNTOS'!$A$1:$B$63,2,0),0)</f>
        <v>0</v>
      </c>
      <c r="I311" s="138">
        <f>IF('1.DATOS-PROD'!R312="SI",VLOOKUP('1.DATOS-PROD'!R$2,'1.PUNTOS'!$A$1:$B$63,2,0),0)</f>
        <v>0</v>
      </c>
      <c r="J311" s="138">
        <f>IF('1.DATOS-PROD'!S312="SI",VLOOKUP('1.DATOS-PROD'!S$2,'1.PUNTOS'!$A$1:$B$63,2,0),0)</f>
        <v>0</v>
      </c>
      <c r="K311" s="138">
        <f>IF('1.DATOS-PROD'!T312="SI",VLOOKUP('1.DATOS-PROD'!T$2,'1.PUNTOS'!$A$1:$B$63,2,0),0)</f>
        <v>0</v>
      </c>
      <c r="L311" s="138">
        <f>IF('1.DATOS-PROD'!U312="SI",VLOOKUP('1.DATOS-PROD'!U$2,'1.PUNTOS'!$A$1:$B$63,2,0),0)</f>
        <v>0</v>
      </c>
      <c r="M311" s="138">
        <f>IF('1.DATOS-PROD'!V312="SI",VLOOKUP('1.DATOS-PROD'!V$2,'1.PUNTOS'!$A$1:$B$63,2,0),0)</f>
        <v>0</v>
      </c>
      <c r="N311" s="138">
        <f>IF('1.DATOS-PROD'!W312="SI",VLOOKUP('1.DATOS-PROD'!W$2,'1.PUNTOS'!$A$1:$B$63,2,0),0)</f>
        <v>0</v>
      </c>
      <c r="O311" s="138">
        <f>IF('1.DATOS-PROD'!X312="SI",VLOOKUP('1.DATOS-PROD'!X$2,'1.PUNTOS'!$A$1:$B$63,2,0),0)</f>
        <v>0</v>
      </c>
      <c r="P311" s="138">
        <f>IF('1.DATOS-PROD'!Y312="SI",VLOOKUP('1.DATOS-PROD'!Y$2,'1.PUNTOS'!$A$1:$B$63,2,0),0)</f>
        <v>0</v>
      </c>
      <c r="Q311" s="138">
        <f>IF('1.DATOS-PROD'!Z312="SI",VLOOKUP('1.DATOS-PROD'!Z$2,'1.PUNTOS'!$A$1:$B$63,2,0),0)</f>
        <v>0</v>
      </c>
      <c r="R311" s="138">
        <f>IF('1.DATOS-PROD'!AA312="SI",VLOOKUP('1.DATOS-PROD'!AA$2,'1.PUNTOS'!$A$1:$B$63,2,0),0)</f>
        <v>0</v>
      </c>
      <c r="S311" s="138">
        <f>IF('1.DATOS-PROD'!AB312="SI",VLOOKUP('1.DATOS-PROD'!AB$2,'1.PUNTOS'!$A$1:$B$63,2,0),0)</f>
        <v>0</v>
      </c>
      <c r="T311" s="138">
        <f>IF('1.DATOS-PROD'!AC312="SI",VLOOKUP('1.DATOS-PROD'!AC$2,'1.PUNTOS'!$A$1:$B$63,2,0),0)</f>
        <v>0</v>
      </c>
      <c r="U311" s="138">
        <f>IF('1.DATOS-PROD'!AD312="SI",VLOOKUP('1.DATOS-PROD'!AD$2,'1.PUNTOS'!$A$1:$B$63,2,0),0)</f>
        <v>0</v>
      </c>
      <c r="V311" s="138">
        <f>IF('1.DATOS-PROD'!AE312="SI",VLOOKUP('1.DATOS-PROD'!AE$2,'1.PUNTOS'!$A$1:$B$63,2,0),0)</f>
        <v>0</v>
      </c>
      <c r="W311" s="138">
        <f>IF('1.DATOS-PROD'!AF312="SI",VLOOKUP('1.DATOS-PROD'!AF$2,'1.PUNTOS'!$A$1:$B$63,2,0),0)</f>
        <v>0</v>
      </c>
      <c r="X311" s="138">
        <f>IF('1.DATOS-PROD'!AG312="SI",VLOOKUP('1.DATOS-PROD'!AG$2,'1.PUNTOS'!$A$1:$B$63,2,0),0)</f>
        <v>0</v>
      </c>
      <c r="Y311" s="138">
        <f>IF('1.DATOS-PROD'!AH312="SI",VLOOKUP('1.DATOS-PROD'!AH$2,'1.PUNTOS'!$A$1:$B$63,2,0),0)</f>
        <v>0</v>
      </c>
      <c r="Z311" s="138">
        <f>IF('1.DATOS-PROD'!AI312="SI",VLOOKUP('1.DATOS-PROD'!AI$2,'1.PUNTOS'!$A$1:$B$63,2,0),0)</f>
        <v>0</v>
      </c>
      <c r="AA311" s="138">
        <f>IF('1.DATOS-PROD'!AJ312="SI",VLOOKUP('1.DATOS-PROD'!AJ$2,'1.PUNTOS'!$A$1:$B$63,2,0),0)</f>
        <v>0</v>
      </c>
      <c r="AB311" s="138">
        <f>IF('1.DATOS-PROD'!AK312="SI",VLOOKUP('1.DATOS-PROD'!AK$2,'1.PUNTOS'!$A$1:$B$63,2,0),0)</f>
        <v>0</v>
      </c>
      <c r="AC311" s="138">
        <f>IF('1.DATOS-PROD'!AL312="SI",VLOOKUP('1.DATOS-PROD'!AL$2,'1.PUNTOS'!$A$1:$B$63,2,0),0)</f>
        <v>0</v>
      </c>
      <c r="AD311" s="138">
        <f>IF('1.DATOS-PROD'!AM312="SI",VLOOKUP('1.DATOS-PROD'!AM$2,'1.PUNTOS'!$A$1:$B$63,2,0),0)</f>
        <v>0</v>
      </c>
      <c r="AE311" s="138">
        <f>IF('1.DATOS-PROD'!AN312="SI",VLOOKUP('1.DATOS-PROD'!AN$2,'1.PUNTOS'!$A$1:$B$63,2,0),0)</f>
        <v>0</v>
      </c>
      <c r="AF311" s="138">
        <f>IF('1.DATOS-PROD'!AO312="SI",VLOOKUP('1.DATOS-PROD'!AO$2,'1.PUNTOS'!$A$1:$B$63,2,0),0)</f>
        <v>0</v>
      </c>
      <c r="AG311" s="138">
        <f>IF('1.DATOS-PROD'!AP312="SI",VLOOKUP('1.DATOS-PROD'!AP$2,'1.PUNTOS'!$A$1:$B$63,2,0),0)</f>
        <v>0</v>
      </c>
      <c r="AH311" s="138">
        <f>IF('1.DATOS-PROD'!AQ312="SI",VLOOKUP('1.DATOS-PROD'!AQ$2,'1.PUNTOS'!$A$1:$B$63,2,0),0)</f>
        <v>0</v>
      </c>
      <c r="AI311" s="138">
        <f>IF('1.DATOS-PROD'!AR312="SI",VLOOKUP('1.DATOS-PROD'!AR$2,'1.PUNTOS'!$A$1:$B$63,2,0),0)</f>
        <v>0</v>
      </c>
      <c r="AJ311" s="138">
        <f>IF('1.DATOS-PROD'!AS312="SI",VLOOKUP('1.DATOS-PROD'!AS$2,'1.PUNTOS'!$A$1:$B$63,2,0),0)</f>
        <v>0</v>
      </c>
      <c r="AK311" s="138">
        <f>IF('1.DATOS-PROD'!AT312="SI",VLOOKUP('1.DATOS-PROD'!AT$2,'1.PUNTOS'!$A$1:$B$63,2,0),0)</f>
        <v>0</v>
      </c>
      <c r="AL311" s="138">
        <f>IF('1.DATOS-PROD'!AU312="SI",VLOOKUP('1.DATOS-PROD'!AU$2,'1.PUNTOS'!$A$1:$B$63,2,0),0)</f>
        <v>0</v>
      </c>
      <c r="AM311" s="138">
        <f>IF('1.DATOS-PROD'!AV312="SI",VLOOKUP('1.DATOS-PROD'!AV$2,'1.PUNTOS'!$A$1:$B$63,2,0),0)</f>
        <v>0</v>
      </c>
      <c r="AN311" s="138">
        <f>IF('1.DATOS-PROD'!AW312="SI",VLOOKUP('1.DATOS-PROD'!AW$2,'1.PUNTOS'!$A$1:$B$63,2,0),0)</f>
        <v>0</v>
      </c>
      <c r="AO311" s="138">
        <f>IF('1.DATOS-PROD'!AX312="SI",VLOOKUP('1.DATOS-PROD'!AX$2,'1.PUNTOS'!$A$1:$B$63,2,0),0)</f>
        <v>0</v>
      </c>
      <c r="AP311" s="138">
        <f>IF('1.DATOS-PROD'!AY312="SI",VLOOKUP('1.DATOS-PROD'!AY$2,'1.PUNTOS'!$A$1:$B$63,2,0),0)</f>
        <v>0</v>
      </c>
      <c r="AQ311" s="138">
        <f>IF('1.DATOS-PROD'!AZ312="SI",VLOOKUP('1.DATOS-PROD'!AZ$2,'1.PUNTOS'!$A$1:$B$63,2,0),0)</f>
        <v>0</v>
      </c>
      <c r="AR311" s="138">
        <f>IF('1.DATOS-PROD'!BA312="SI",VLOOKUP('1.DATOS-PROD'!BA$2,'1.PUNTOS'!$A$1:$B$63,2,0),0)</f>
        <v>0</v>
      </c>
      <c r="AS311" s="138">
        <f>IF('1.DATOS-PROD'!BB312="SI",VLOOKUP('1.DATOS-PROD'!BB$2,'1.PUNTOS'!$A$1:$B$63,2,0),0)</f>
        <v>0</v>
      </c>
      <c r="AT311" s="138">
        <f>IF('1.DATOS-PROD'!BC312="SI",VLOOKUP('1.DATOS-PROD'!BC$2,'1.PUNTOS'!$A$1:$B$63,2,0),0)</f>
        <v>0</v>
      </c>
      <c r="AU311" s="138">
        <f>IF('1.DATOS-PROD'!BD312="SI",VLOOKUP('1.DATOS-PROD'!BD$2,'1.PUNTOS'!$A$1:$B$63,2,0),0)</f>
        <v>0</v>
      </c>
      <c r="AV311" s="138">
        <f>IF('1.DATOS-PROD'!BE312="SI",VLOOKUP('1.DATOS-PROD'!BE$2,'1.PUNTOS'!$A$1:$B$63,2,0),0)</f>
        <v>0</v>
      </c>
      <c r="AW311" s="138">
        <f>IF('1.DATOS-PROD'!BF312="SI",VLOOKUP('1.DATOS-PROD'!BF$2,'1.PUNTOS'!$A$1:$B$63,2,0),0)</f>
        <v>0</v>
      </c>
      <c r="AX311" s="138">
        <f>IF('1.DATOS-PROD'!BG312="SI",VLOOKUP('1.DATOS-PROD'!BG$2,'1.PUNTOS'!$A$1:$B$63,2,0),0)</f>
        <v>0</v>
      </c>
      <c r="AY311" s="138">
        <f>IF('1.DATOS-PROD'!BH312="SI",VLOOKUP('1.DATOS-PROD'!BH$2,'1.PUNTOS'!$A$1:$B$63,2,0),0)</f>
        <v>0</v>
      </c>
      <c r="AZ311" s="138">
        <f>IF('1.DATOS-PROD'!BI312="SI",VLOOKUP('1.DATOS-PROD'!BI$2,'1.PUNTOS'!$A$1:$B$63,2,0),0)</f>
        <v>0</v>
      </c>
      <c r="BA311" s="138">
        <f>IF('1.DATOS-PROD'!BJ312="SI",VLOOKUP('1.DATOS-PROD'!BJ$2,'1.PUNTOS'!$A$1:$B$63,2,0),0)</f>
        <v>0</v>
      </c>
      <c r="BB311" s="138">
        <f>IF('1.DATOS-PROD'!BK312="SI",VLOOKUP('1.DATOS-PROD'!BK$2,'1.PUNTOS'!$A$1:$B$63,2,0),0)</f>
        <v>0</v>
      </c>
      <c r="BC311" s="138">
        <f>IF('1.DATOS-PROD'!BL312="SI",VLOOKUP('1.DATOS-PROD'!BL$2,'1.PUNTOS'!$A$1:$B$63,2,0),0)</f>
        <v>0</v>
      </c>
      <c r="BD311" s="138">
        <f>IF('1.DATOS-PROD'!BM312="SI",VLOOKUP('1.DATOS-PROD'!BM$2,'1.PUNTOS'!$A$1:$B$63,2,0),0)</f>
        <v>0</v>
      </c>
      <c r="BE311" s="138">
        <f>IF('1.DATOS-PROD'!BN312="SI",VLOOKUP('1.DATOS-PROD'!BN$2,'1.PUNTOS'!$A$1:$B$63,2,0),0)</f>
        <v>0</v>
      </c>
      <c r="BF311" s="138">
        <f>IF('1.DATOS-PROD'!BO312="SI",VLOOKUP('1.DATOS-PROD'!BO$2,'1.PUNTOS'!$A$1:$B$63,2,0),0)</f>
        <v>0</v>
      </c>
      <c r="BG311" s="138">
        <f>IF('1.DATOS-PROD'!BP312="SI",VLOOKUP('1.DATOS-PROD'!BP$2,'1.PUNTOS'!$A$1:$B$63,2,0),0)</f>
        <v>0</v>
      </c>
      <c r="BH311" s="138">
        <f>IF('1.DATOS-PROD'!BQ312="SI",VLOOKUP('1.DATOS-PROD'!BQ$2,'1.PUNTOS'!$A$1:$B$63,2,0),0)</f>
        <v>0</v>
      </c>
      <c r="BI311" s="138">
        <f>IF('1.DATOS-PROD'!BR312="SI",VLOOKUP('1.DATOS-PROD'!BR$2,'1.PUNTOS'!$A$1:$B$63,2,0),0)</f>
        <v>0</v>
      </c>
      <c r="BJ311" s="138">
        <f>IF('1.DATOS-PROD'!BS312="SI",VLOOKUP('1.DATOS-PROD'!BS$2,'1.PUNTOS'!$A$1:$B$63,2,0),0)</f>
        <v>0</v>
      </c>
      <c r="BK311" s="138">
        <f>IF('1.DATOS-PROD'!BT312="SI",VLOOKUP('1.DATOS-PROD'!BT$2,'1.PUNTOS'!$A$1:$B$63,2,0),0)</f>
        <v>0</v>
      </c>
    </row>
    <row r="312" spans="1:63" x14ac:dyDescent="0.25">
      <c r="A312">
        <f>'0.Consolidado general'!$A313</f>
        <v>0</v>
      </c>
      <c r="B312" s="138">
        <f>IF('1.DATOS-PROD'!K313="SI",VLOOKUP('1.DATOS-PROD'!K$2,'1.PUNTOS'!$A$1:$B$63,2,0),0)</f>
        <v>0</v>
      </c>
      <c r="C312" s="138">
        <f>IF('1.DATOS-PROD'!L313="SI",VLOOKUP('1.DATOS-PROD'!L$2,'1.PUNTOS'!$A$1:$B$63,2,0),0)</f>
        <v>0</v>
      </c>
      <c r="D312" s="138">
        <f>IF('1.DATOS-PROD'!M313="SI",VLOOKUP('1.DATOS-PROD'!M$2,'1.PUNTOS'!$A$1:$B$63,2,0),0)</f>
        <v>0</v>
      </c>
      <c r="E312" s="138">
        <f>IF('1.DATOS-PROD'!N313="SI",VLOOKUP('1.DATOS-PROD'!N$2,'1.PUNTOS'!$A$1:$B$63,2,0),0)</f>
        <v>0</v>
      </c>
      <c r="F312" s="138">
        <f>IF('1.DATOS-PROD'!O313="SI",VLOOKUP('1.DATOS-PROD'!O$2,'1.PUNTOS'!$A$1:$B$63,2,0),0)</f>
        <v>0</v>
      </c>
      <c r="G312" s="138">
        <f>IF('1.DATOS-PROD'!P313="SI",VLOOKUP('1.DATOS-PROD'!P$2,'1.PUNTOS'!$A$1:$B$63,2,0),0)</f>
        <v>0</v>
      </c>
      <c r="H312" s="138">
        <f>IF('1.DATOS-PROD'!Q313="SI",VLOOKUP('1.DATOS-PROD'!Q$2,'1.PUNTOS'!$A$1:$B$63,2,0),0)</f>
        <v>0</v>
      </c>
      <c r="I312" s="138">
        <f>IF('1.DATOS-PROD'!R313="SI",VLOOKUP('1.DATOS-PROD'!R$2,'1.PUNTOS'!$A$1:$B$63,2,0),0)</f>
        <v>0</v>
      </c>
      <c r="J312" s="138">
        <f>IF('1.DATOS-PROD'!S313="SI",VLOOKUP('1.DATOS-PROD'!S$2,'1.PUNTOS'!$A$1:$B$63,2,0),0)</f>
        <v>0</v>
      </c>
      <c r="K312" s="138">
        <f>IF('1.DATOS-PROD'!T313="SI",VLOOKUP('1.DATOS-PROD'!T$2,'1.PUNTOS'!$A$1:$B$63,2,0),0)</f>
        <v>0</v>
      </c>
      <c r="L312" s="138">
        <f>IF('1.DATOS-PROD'!U313="SI",VLOOKUP('1.DATOS-PROD'!U$2,'1.PUNTOS'!$A$1:$B$63,2,0),0)</f>
        <v>0</v>
      </c>
      <c r="M312" s="138">
        <f>IF('1.DATOS-PROD'!V313="SI",VLOOKUP('1.DATOS-PROD'!V$2,'1.PUNTOS'!$A$1:$B$63,2,0),0)</f>
        <v>0</v>
      </c>
      <c r="N312" s="138">
        <f>IF('1.DATOS-PROD'!W313="SI",VLOOKUP('1.DATOS-PROD'!W$2,'1.PUNTOS'!$A$1:$B$63,2,0),0)</f>
        <v>0</v>
      </c>
      <c r="O312" s="138">
        <f>IF('1.DATOS-PROD'!X313="SI",VLOOKUP('1.DATOS-PROD'!X$2,'1.PUNTOS'!$A$1:$B$63,2,0),0)</f>
        <v>0</v>
      </c>
      <c r="P312" s="138">
        <f>IF('1.DATOS-PROD'!Y313="SI",VLOOKUP('1.DATOS-PROD'!Y$2,'1.PUNTOS'!$A$1:$B$63,2,0),0)</f>
        <v>0</v>
      </c>
      <c r="Q312" s="138">
        <f>IF('1.DATOS-PROD'!Z313="SI",VLOOKUP('1.DATOS-PROD'!Z$2,'1.PUNTOS'!$A$1:$B$63,2,0),0)</f>
        <v>0</v>
      </c>
      <c r="R312" s="138">
        <f>IF('1.DATOS-PROD'!AA313="SI",VLOOKUP('1.DATOS-PROD'!AA$2,'1.PUNTOS'!$A$1:$B$63,2,0),0)</f>
        <v>0</v>
      </c>
      <c r="S312" s="138">
        <f>IF('1.DATOS-PROD'!AB313="SI",VLOOKUP('1.DATOS-PROD'!AB$2,'1.PUNTOS'!$A$1:$B$63,2,0),0)</f>
        <v>0</v>
      </c>
      <c r="T312" s="138">
        <f>IF('1.DATOS-PROD'!AC313="SI",VLOOKUP('1.DATOS-PROD'!AC$2,'1.PUNTOS'!$A$1:$B$63,2,0),0)</f>
        <v>0</v>
      </c>
      <c r="U312" s="138">
        <f>IF('1.DATOS-PROD'!AD313="SI",VLOOKUP('1.DATOS-PROD'!AD$2,'1.PUNTOS'!$A$1:$B$63,2,0),0)</f>
        <v>0</v>
      </c>
      <c r="V312" s="138">
        <f>IF('1.DATOS-PROD'!AE313="SI",VLOOKUP('1.DATOS-PROD'!AE$2,'1.PUNTOS'!$A$1:$B$63,2,0),0)</f>
        <v>0</v>
      </c>
      <c r="W312" s="138">
        <f>IF('1.DATOS-PROD'!AF313="SI",VLOOKUP('1.DATOS-PROD'!AF$2,'1.PUNTOS'!$A$1:$B$63,2,0),0)</f>
        <v>0</v>
      </c>
      <c r="X312" s="138">
        <f>IF('1.DATOS-PROD'!AG313="SI",VLOOKUP('1.DATOS-PROD'!AG$2,'1.PUNTOS'!$A$1:$B$63,2,0),0)</f>
        <v>0</v>
      </c>
      <c r="Y312" s="138">
        <f>IF('1.DATOS-PROD'!AH313="SI",VLOOKUP('1.DATOS-PROD'!AH$2,'1.PUNTOS'!$A$1:$B$63,2,0),0)</f>
        <v>0</v>
      </c>
      <c r="Z312" s="138">
        <f>IF('1.DATOS-PROD'!AI313="SI",VLOOKUP('1.DATOS-PROD'!AI$2,'1.PUNTOS'!$A$1:$B$63,2,0),0)</f>
        <v>0</v>
      </c>
      <c r="AA312" s="138">
        <f>IF('1.DATOS-PROD'!AJ313="SI",VLOOKUP('1.DATOS-PROD'!AJ$2,'1.PUNTOS'!$A$1:$B$63,2,0),0)</f>
        <v>0</v>
      </c>
      <c r="AB312" s="138">
        <f>IF('1.DATOS-PROD'!AK313="SI",VLOOKUP('1.DATOS-PROD'!AK$2,'1.PUNTOS'!$A$1:$B$63,2,0),0)</f>
        <v>0</v>
      </c>
      <c r="AC312" s="138">
        <f>IF('1.DATOS-PROD'!AL313="SI",VLOOKUP('1.DATOS-PROD'!AL$2,'1.PUNTOS'!$A$1:$B$63,2,0),0)</f>
        <v>0</v>
      </c>
      <c r="AD312" s="138">
        <f>IF('1.DATOS-PROD'!AM313="SI",VLOOKUP('1.DATOS-PROD'!AM$2,'1.PUNTOS'!$A$1:$B$63,2,0),0)</f>
        <v>0</v>
      </c>
      <c r="AE312" s="138">
        <f>IF('1.DATOS-PROD'!AN313="SI",VLOOKUP('1.DATOS-PROD'!AN$2,'1.PUNTOS'!$A$1:$B$63,2,0),0)</f>
        <v>0</v>
      </c>
      <c r="AF312" s="138">
        <f>IF('1.DATOS-PROD'!AO313="SI",VLOOKUP('1.DATOS-PROD'!AO$2,'1.PUNTOS'!$A$1:$B$63,2,0),0)</f>
        <v>0</v>
      </c>
      <c r="AG312" s="138">
        <f>IF('1.DATOS-PROD'!AP313="SI",VLOOKUP('1.DATOS-PROD'!AP$2,'1.PUNTOS'!$A$1:$B$63,2,0),0)</f>
        <v>0</v>
      </c>
      <c r="AH312" s="138">
        <f>IF('1.DATOS-PROD'!AQ313="SI",VLOOKUP('1.DATOS-PROD'!AQ$2,'1.PUNTOS'!$A$1:$B$63,2,0),0)</f>
        <v>0</v>
      </c>
      <c r="AI312" s="138">
        <f>IF('1.DATOS-PROD'!AR313="SI",VLOOKUP('1.DATOS-PROD'!AR$2,'1.PUNTOS'!$A$1:$B$63,2,0),0)</f>
        <v>0</v>
      </c>
      <c r="AJ312" s="138">
        <f>IF('1.DATOS-PROD'!AS313="SI",VLOOKUP('1.DATOS-PROD'!AS$2,'1.PUNTOS'!$A$1:$B$63,2,0),0)</f>
        <v>0</v>
      </c>
      <c r="AK312" s="138">
        <f>IF('1.DATOS-PROD'!AT313="SI",VLOOKUP('1.DATOS-PROD'!AT$2,'1.PUNTOS'!$A$1:$B$63,2,0),0)</f>
        <v>0</v>
      </c>
      <c r="AL312" s="138">
        <f>IF('1.DATOS-PROD'!AU313="SI",VLOOKUP('1.DATOS-PROD'!AU$2,'1.PUNTOS'!$A$1:$B$63,2,0),0)</f>
        <v>0</v>
      </c>
      <c r="AM312" s="138">
        <f>IF('1.DATOS-PROD'!AV313="SI",VLOOKUP('1.DATOS-PROD'!AV$2,'1.PUNTOS'!$A$1:$B$63,2,0),0)</f>
        <v>0</v>
      </c>
      <c r="AN312" s="138">
        <f>IF('1.DATOS-PROD'!AW313="SI",VLOOKUP('1.DATOS-PROD'!AW$2,'1.PUNTOS'!$A$1:$B$63,2,0),0)</f>
        <v>0</v>
      </c>
      <c r="AO312" s="138">
        <f>IF('1.DATOS-PROD'!AX313="SI",VLOOKUP('1.DATOS-PROD'!AX$2,'1.PUNTOS'!$A$1:$B$63,2,0),0)</f>
        <v>0</v>
      </c>
      <c r="AP312" s="138">
        <f>IF('1.DATOS-PROD'!AY313="SI",VLOOKUP('1.DATOS-PROD'!AY$2,'1.PUNTOS'!$A$1:$B$63,2,0),0)</f>
        <v>0</v>
      </c>
      <c r="AQ312" s="138">
        <f>IF('1.DATOS-PROD'!AZ313="SI",VLOOKUP('1.DATOS-PROD'!AZ$2,'1.PUNTOS'!$A$1:$B$63,2,0),0)</f>
        <v>0</v>
      </c>
      <c r="AR312" s="138">
        <f>IF('1.DATOS-PROD'!BA313="SI",VLOOKUP('1.DATOS-PROD'!BA$2,'1.PUNTOS'!$A$1:$B$63,2,0),0)</f>
        <v>0</v>
      </c>
      <c r="AS312" s="138">
        <f>IF('1.DATOS-PROD'!BB313="SI",VLOOKUP('1.DATOS-PROD'!BB$2,'1.PUNTOS'!$A$1:$B$63,2,0),0)</f>
        <v>0</v>
      </c>
      <c r="AT312" s="138">
        <f>IF('1.DATOS-PROD'!BC313="SI",VLOOKUP('1.DATOS-PROD'!BC$2,'1.PUNTOS'!$A$1:$B$63,2,0),0)</f>
        <v>0</v>
      </c>
      <c r="AU312" s="138">
        <f>IF('1.DATOS-PROD'!BD313="SI",VLOOKUP('1.DATOS-PROD'!BD$2,'1.PUNTOS'!$A$1:$B$63,2,0),0)</f>
        <v>0</v>
      </c>
      <c r="AV312" s="138">
        <f>IF('1.DATOS-PROD'!BE313="SI",VLOOKUP('1.DATOS-PROD'!BE$2,'1.PUNTOS'!$A$1:$B$63,2,0),0)</f>
        <v>0</v>
      </c>
      <c r="AW312" s="138">
        <f>IF('1.DATOS-PROD'!BF313="SI",VLOOKUP('1.DATOS-PROD'!BF$2,'1.PUNTOS'!$A$1:$B$63,2,0),0)</f>
        <v>0</v>
      </c>
      <c r="AX312" s="138">
        <f>IF('1.DATOS-PROD'!BG313="SI",VLOOKUP('1.DATOS-PROD'!BG$2,'1.PUNTOS'!$A$1:$B$63,2,0),0)</f>
        <v>0</v>
      </c>
      <c r="AY312" s="138">
        <f>IF('1.DATOS-PROD'!BH313="SI",VLOOKUP('1.DATOS-PROD'!BH$2,'1.PUNTOS'!$A$1:$B$63,2,0),0)</f>
        <v>0</v>
      </c>
      <c r="AZ312" s="138">
        <f>IF('1.DATOS-PROD'!BI313="SI",VLOOKUP('1.DATOS-PROD'!BI$2,'1.PUNTOS'!$A$1:$B$63,2,0),0)</f>
        <v>0</v>
      </c>
      <c r="BA312" s="138">
        <f>IF('1.DATOS-PROD'!BJ313="SI",VLOOKUP('1.DATOS-PROD'!BJ$2,'1.PUNTOS'!$A$1:$B$63,2,0),0)</f>
        <v>0</v>
      </c>
      <c r="BB312" s="138">
        <f>IF('1.DATOS-PROD'!BK313="SI",VLOOKUP('1.DATOS-PROD'!BK$2,'1.PUNTOS'!$A$1:$B$63,2,0),0)</f>
        <v>0</v>
      </c>
      <c r="BC312" s="138">
        <f>IF('1.DATOS-PROD'!BL313="SI",VLOOKUP('1.DATOS-PROD'!BL$2,'1.PUNTOS'!$A$1:$B$63,2,0),0)</f>
        <v>0</v>
      </c>
      <c r="BD312" s="138">
        <f>IF('1.DATOS-PROD'!BM313="SI",VLOOKUP('1.DATOS-PROD'!BM$2,'1.PUNTOS'!$A$1:$B$63,2,0),0)</f>
        <v>0</v>
      </c>
      <c r="BE312" s="138">
        <f>IF('1.DATOS-PROD'!BN313="SI",VLOOKUP('1.DATOS-PROD'!BN$2,'1.PUNTOS'!$A$1:$B$63,2,0),0)</f>
        <v>0</v>
      </c>
      <c r="BF312" s="138">
        <f>IF('1.DATOS-PROD'!BO313="SI",VLOOKUP('1.DATOS-PROD'!BO$2,'1.PUNTOS'!$A$1:$B$63,2,0),0)</f>
        <v>0</v>
      </c>
      <c r="BG312" s="138">
        <f>IF('1.DATOS-PROD'!BP313="SI",VLOOKUP('1.DATOS-PROD'!BP$2,'1.PUNTOS'!$A$1:$B$63,2,0),0)</f>
        <v>0</v>
      </c>
      <c r="BH312" s="138">
        <f>IF('1.DATOS-PROD'!BQ313="SI",VLOOKUP('1.DATOS-PROD'!BQ$2,'1.PUNTOS'!$A$1:$B$63,2,0),0)</f>
        <v>0</v>
      </c>
      <c r="BI312" s="138">
        <f>IF('1.DATOS-PROD'!BR313="SI",VLOOKUP('1.DATOS-PROD'!BR$2,'1.PUNTOS'!$A$1:$B$63,2,0),0)</f>
        <v>0</v>
      </c>
      <c r="BJ312" s="138">
        <f>IF('1.DATOS-PROD'!BS313="SI",VLOOKUP('1.DATOS-PROD'!BS$2,'1.PUNTOS'!$A$1:$B$63,2,0),0)</f>
        <v>0</v>
      </c>
      <c r="BK312" s="138">
        <f>IF('1.DATOS-PROD'!BT313="SI",VLOOKUP('1.DATOS-PROD'!BT$2,'1.PUNTOS'!$A$1:$B$63,2,0),0)</f>
        <v>0</v>
      </c>
    </row>
    <row r="313" spans="1:63" x14ac:dyDescent="0.25">
      <c r="A313">
        <f>'0.Consolidado general'!$A314</f>
        <v>0</v>
      </c>
      <c r="B313" s="138">
        <f>IF('1.DATOS-PROD'!K314="SI",VLOOKUP('1.DATOS-PROD'!K$2,'1.PUNTOS'!$A$1:$B$63,2,0),0)</f>
        <v>0</v>
      </c>
      <c r="C313" s="138">
        <f>IF('1.DATOS-PROD'!L314="SI",VLOOKUP('1.DATOS-PROD'!L$2,'1.PUNTOS'!$A$1:$B$63,2,0),0)</f>
        <v>0</v>
      </c>
      <c r="D313" s="138">
        <f>IF('1.DATOS-PROD'!M314="SI",VLOOKUP('1.DATOS-PROD'!M$2,'1.PUNTOS'!$A$1:$B$63,2,0),0)</f>
        <v>0</v>
      </c>
      <c r="E313" s="138">
        <f>IF('1.DATOS-PROD'!N314="SI",VLOOKUP('1.DATOS-PROD'!N$2,'1.PUNTOS'!$A$1:$B$63,2,0),0)</f>
        <v>0</v>
      </c>
      <c r="F313" s="138">
        <f>IF('1.DATOS-PROD'!O314="SI",VLOOKUP('1.DATOS-PROD'!O$2,'1.PUNTOS'!$A$1:$B$63,2,0),0)</f>
        <v>0</v>
      </c>
      <c r="G313" s="138">
        <f>IF('1.DATOS-PROD'!P314="SI",VLOOKUP('1.DATOS-PROD'!P$2,'1.PUNTOS'!$A$1:$B$63,2,0),0)</f>
        <v>0</v>
      </c>
      <c r="H313" s="138">
        <f>IF('1.DATOS-PROD'!Q314="SI",VLOOKUP('1.DATOS-PROD'!Q$2,'1.PUNTOS'!$A$1:$B$63,2,0),0)</f>
        <v>0</v>
      </c>
      <c r="I313" s="138">
        <f>IF('1.DATOS-PROD'!R314="SI",VLOOKUP('1.DATOS-PROD'!R$2,'1.PUNTOS'!$A$1:$B$63,2,0),0)</f>
        <v>0</v>
      </c>
      <c r="J313" s="138">
        <f>IF('1.DATOS-PROD'!S314="SI",VLOOKUP('1.DATOS-PROD'!S$2,'1.PUNTOS'!$A$1:$B$63,2,0),0)</f>
        <v>0</v>
      </c>
      <c r="K313" s="138">
        <f>IF('1.DATOS-PROD'!T314="SI",VLOOKUP('1.DATOS-PROD'!T$2,'1.PUNTOS'!$A$1:$B$63,2,0),0)</f>
        <v>0</v>
      </c>
      <c r="L313" s="138">
        <f>IF('1.DATOS-PROD'!U314="SI",VLOOKUP('1.DATOS-PROD'!U$2,'1.PUNTOS'!$A$1:$B$63,2,0),0)</f>
        <v>0</v>
      </c>
      <c r="M313" s="138">
        <f>IF('1.DATOS-PROD'!V314="SI",VLOOKUP('1.DATOS-PROD'!V$2,'1.PUNTOS'!$A$1:$B$63,2,0),0)</f>
        <v>0</v>
      </c>
      <c r="N313" s="138">
        <f>IF('1.DATOS-PROD'!W314="SI",VLOOKUP('1.DATOS-PROD'!W$2,'1.PUNTOS'!$A$1:$B$63,2,0),0)</f>
        <v>0</v>
      </c>
      <c r="O313" s="138">
        <f>IF('1.DATOS-PROD'!X314="SI",VLOOKUP('1.DATOS-PROD'!X$2,'1.PUNTOS'!$A$1:$B$63,2,0),0)</f>
        <v>0</v>
      </c>
      <c r="P313" s="138">
        <f>IF('1.DATOS-PROD'!Y314="SI",VLOOKUP('1.DATOS-PROD'!Y$2,'1.PUNTOS'!$A$1:$B$63,2,0),0)</f>
        <v>0</v>
      </c>
      <c r="Q313" s="138">
        <f>IF('1.DATOS-PROD'!Z314="SI",VLOOKUP('1.DATOS-PROD'!Z$2,'1.PUNTOS'!$A$1:$B$63,2,0),0)</f>
        <v>0</v>
      </c>
      <c r="R313" s="138">
        <f>IF('1.DATOS-PROD'!AA314="SI",VLOOKUP('1.DATOS-PROD'!AA$2,'1.PUNTOS'!$A$1:$B$63,2,0),0)</f>
        <v>0</v>
      </c>
      <c r="S313" s="138">
        <f>IF('1.DATOS-PROD'!AB314="SI",VLOOKUP('1.DATOS-PROD'!AB$2,'1.PUNTOS'!$A$1:$B$63,2,0),0)</f>
        <v>0</v>
      </c>
      <c r="T313" s="138">
        <f>IF('1.DATOS-PROD'!AC314="SI",VLOOKUP('1.DATOS-PROD'!AC$2,'1.PUNTOS'!$A$1:$B$63,2,0),0)</f>
        <v>0</v>
      </c>
      <c r="U313" s="138">
        <f>IF('1.DATOS-PROD'!AD314="SI",VLOOKUP('1.DATOS-PROD'!AD$2,'1.PUNTOS'!$A$1:$B$63,2,0),0)</f>
        <v>0</v>
      </c>
      <c r="V313" s="138">
        <f>IF('1.DATOS-PROD'!AE314="SI",VLOOKUP('1.DATOS-PROD'!AE$2,'1.PUNTOS'!$A$1:$B$63,2,0),0)</f>
        <v>0</v>
      </c>
      <c r="W313" s="138">
        <f>IF('1.DATOS-PROD'!AF314="SI",VLOOKUP('1.DATOS-PROD'!AF$2,'1.PUNTOS'!$A$1:$B$63,2,0),0)</f>
        <v>0</v>
      </c>
      <c r="X313" s="138">
        <f>IF('1.DATOS-PROD'!AG314="SI",VLOOKUP('1.DATOS-PROD'!AG$2,'1.PUNTOS'!$A$1:$B$63,2,0),0)</f>
        <v>0</v>
      </c>
      <c r="Y313" s="138">
        <f>IF('1.DATOS-PROD'!AH314="SI",VLOOKUP('1.DATOS-PROD'!AH$2,'1.PUNTOS'!$A$1:$B$63,2,0),0)</f>
        <v>0</v>
      </c>
      <c r="Z313" s="138">
        <f>IF('1.DATOS-PROD'!AI314="SI",VLOOKUP('1.DATOS-PROD'!AI$2,'1.PUNTOS'!$A$1:$B$63,2,0),0)</f>
        <v>0</v>
      </c>
      <c r="AA313" s="138">
        <f>IF('1.DATOS-PROD'!AJ314="SI",VLOOKUP('1.DATOS-PROD'!AJ$2,'1.PUNTOS'!$A$1:$B$63,2,0),0)</f>
        <v>0</v>
      </c>
      <c r="AB313" s="138">
        <f>IF('1.DATOS-PROD'!AK314="SI",VLOOKUP('1.DATOS-PROD'!AK$2,'1.PUNTOS'!$A$1:$B$63,2,0),0)</f>
        <v>0</v>
      </c>
      <c r="AC313" s="138">
        <f>IF('1.DATOS-PROD'!AL314="SI",VLOOKUP('1.DATOS-PROD'!AL$2,'1.PUNTOS'!$A$1:$B$63,2,0),0)</f>
        <v>0</v>
      </c>
      <c r="AD313" s="138">
        <f>IF('1.DATOS-PROD'!AM314="SI",VLOOKUP('1.DATOS-PROD'!AM$2,'1.PUNTOS'!$A$1:$B$63,2,0),0)</f>
        <v>0</v>
      </c>
      <c r="AE313" s="138">
        <f>IF('1.DATOS-PROD'!AN314="SI",VLOOKUP('1.DATOS-PROD'!AN$2,'1.PUNTOS'!$A$1:$B$63,2,0),0)</f>
        <v>0</v>
      </c>
      <c r="AF313" s="138">
        <f>IF('1.DATOS-PROD'!AO314="SI",VLOOKUP('1.DATOS-PROD'!AO$2,'1.PUNTOS'!$A$1:$B$63,2,0),0)</f>
        <v>0</v>
      </c>
      <c r="AG313" s="138">
        <f>IF('1.DATOS-PROD'!AP314="SI",VLOOKUP('1.DATOS-PROD'!AP$2,'1.PUNTOS'!$A$1:$B$63,2,0),0)</f>
        <v>0</v>
      </c>
      <c r="AH313" s="138">
        <f>IF('1.DATOS-PROD'!AQ314="SI",VLOOKUP('1.DATOS-PROD'!AQ$2,'1.PUNTOS'!$A$1:$B$63,2,0),0)</f>
        <v>0</v>
      </c>
      <c r="AI313" s="138">
        <f>IF('1.DATOS-PROD'!AR314="SI",VLOOKUP('1.DATOS-PROD'!AR$2,'1.PUNTOS'!$A$1:$B$63,2,0),0)</f>
        <v>0</v>
      </c>
      <c r="AJ313" s="138">
        <f>IF('1.DATOS-PROD'!AS314="SI",VLOOKUP('1.DATOS-PROD'!AS$2,'1.PUNTOS'!$A$1:$B$63,2,0),0)</f>
        <v>0</v>
      </c>
      <c r="AK313" s="138">
        <f>IF('1.DATOS-PROD'!AT314="SI",VLOOKUP('1.DATOS-PROD'!AT$2,'1.PUNTOS'!$A$1:$B$63,2,0),0)</f>
        <v>0</v>
      </c>
      <c r="AL313" s="138">
        <f>IF('1.DATOS-PROD'!AU314="SI",VLOOKUP('1.DATOS-PROD'!AU$2,'1.PUNTOS'!$A$1:$B$63,2,0),0)</f>
        <v>0</v>
      </c>
      <c r="AM313" s="138">
        <f>IF('1.DATOS-PROD'!AV314="SI",VLOOKUP('1.DATOS-PROD'!AV$2,'1.PUNTOS'!$A$1:$B$63,2,0),0)</f>
        <v>0</v>
      </c>
      <c r="AN313" s="138">
        <f>IF('1.DATOS-PROD'!AW314="SI",VLOOKUP('1.DATOS-PROD'!AW$2,'1.PUNTOS'!$A$1:$B$63,2,0),0)</f>
        <v>0</v>
      </c>
      <c r="AO313" s="138">
        <f>IF('1.DATOS-PROD'!AX314="SI",VLOOKUP('1.DATOS-PROD'!AX$2,'1.PUNTOS'!$A$1:$B$63,2,0),0)</f>
        <v>0</v>
      </c>
      <c r="AP313" s="138">
        <f>IF('1.DATOS-PROD'!AY314="SI",VLOOKUP('1.DATOS-PROD'!AY$2,'1.PUNTOS'!$A$1:$B$63,2,0),0)</f>
        <v>0</v>
      </c>
      <c r="AQ313" s="138">
        <f>IF('1.DATOS-PROD'!AZ314="SI",VLOOKUP('1.DATOS-PROD'!AZ$2,'1.PUNTOS'!$A$1:$B$63,2,0),0)</f>
        <v>0</v>
      </c>
      <c r="AR313" s="138">
        <f>IF('1.DATOS-PROD'!BA314="SI",VLOOKUP('1.DATOS-PROD'!BA$2,'1.PUNTOS'!$A$1:$B$63,2,0),0)</f>
        <v>0</v>
      </c>
      <c r="AS313" s="138">
        <f>IF('1.DATOS-PROD'!BB314="SI",VLOOKUP('1.DATOS-PROD'!BB$2,'1.PUNTOS'!$A$1:$B$63,2,0),0)</f>
        <v>0</v>
      </c>
      <c r="AT313" s="138">
        <f>IF('1.DATOS-PROD'!BC314="SI",VLOOKUP('1.DATOS-PROD'!BC$2,'1.PUNTOS'!$A$1:$B$63,2,0),0)</f>
        <v>0</v>
      </c>
      <c r="AU313" s="138">
        <f>IF('1.DATOS-PROD'!BD314="SI",VLOOKUP('1.DATOS-PROD'!BD$2,'1.PUNTOS'!$A$1:$B$63,2,0),0)</f>
        <v>0</v>
      </c>
      <c r="AV313" s="138">
        <f>IF('1.DATOS-PROD'!BE314="SI",VLOOKUP('1.DATOS-PROD'!BE$2,'1.PUNTOS'!$A$1:$B$63,2,0),0)</f>
        <v>0</v>
      </c>
      <c r="AW313" s="138">
        <f>IF('1.DATOS-PROD'!BF314="SI",VLOOKUP('1.DATOS-PROD'!BF$2,'1.PUNTOS'!$A$1:$B$63,2,0),0)</f>
        <v>0</v>
      </c>
      <c r="AX313" s="138">
        <f>IF('1.DATOS-PROD'!BG314="SI",VLOOKUP('1.DATOS-PROD'!BG$2,'1.PUNTOS'!$A$1:$B$63,2,0),0)</f>
        <v>0</v>
      </c>
      <c r="AY313" s="138">
        <f>IF('1.DATOS-PROD'!BH314="SI",VLOOKUP('1.DATOS-PROD'!BH$2,'1.PUNTOS'!$A$1:$B$63,2,0),0)</f>
        <v>0</v>
      </c>
      <c r="AZ313" s="138">
        <f>IF('1.DATOS-PROD'!BI314="SI",VLOOKUP('1.DATOS-PROD'!BI$2,'1.PUNTOS'!$A$1:$B$63,2,0),0)</f>
        <v>0</v>
      </c>
      <c r="BA313" s="138">
        <f>IF('1.DATOS-PROD'!BJ314="SI",VLOOKUP('1.DATOS-PROD'!BJ$2,'1.PUNTOS'!$A$1:$B$63,2,0),0)</f>
        <v>0</v>
      </c>
      <c r="BB313" s="138">
        <f>IF('1.DATOS-PROD'!BK314="SI",VLOOKUP('1.DATOS-PROD'!BK$2,'1.PUNTOS'!$A$1:$B$63,2,0),0)</f>
        <v>0</v>
      </c>
      <c r="BC313" s="138">
        <f>IF('1.DATOS-PROD'!BL314="SI",VLOOKUP('1.DATOS-PROD'!BL$2,'1.PUNTOS'!$A$1:$B$63,2,0),0)</f>
        <v>0</v>
      </c>
      <c r="BD313" s="138">
        <f>IF('1.DATOS-PROD'!BM314="SI",VLOOKUP('1.DATOS-PROD'!BM$2,'1.PUNTOS'!$A$1:$B$63,2,0),0)</f>
        <v>0</v>
      </c>
      <c r="BE313" s="138">
        <f>IF('1.DATOS-PROD'!BN314="SI",VLOOKUP('1.DATOS-PROD'!BN$2,'1.PUNTOS'!$A$1:$B$63,2,0),0)</f>
        <v>0</v>
      </c>
      <c r="BF313" s="138">
        <f>IF('1.DATOS-PROD'!BO314="SI",VLOOKUP('1.DATOS-PROD'!BO$2,'1.PUNTOS'!$A$1:$B$63,2,0),0)</f>
        <v>0</v>
      </c>
      <c r="BG313" s="138">
        <f>IF('1.DATOS-PROD'!BP314="SI",VLOOKUP('1.DATOS-PROD'!BP$2,'1.PUNTOS'!$A$1:$B$63,2,0),0)</f>
        <v>0</v>
      </c>
      <c r="BH313" s="138">
        <f>IF('1.DATOS-PROD'!BQ314="SI",VLOOKUP('1.DATOS-PROD'!BQ$2,'1.PUNTOS'!$A$1:$B$63,2,0),0)</f>
        <v>0</v>
      </c>
      <c r="BI313" s="138">
        <f>IF('1.DATOS-PROD'!BR314="SI",VLOOKUP('1.DATOS-PROD'!BR$2,'1.PUNTOS'!$A$1:$B$63,2,0),0)</f>
        <v>0</v>
      </c>
      <c r="BJ313" s="138">
        <f>IF('1.DATOS-PROD'!BS314="SI",VLOOKUP('1.DATOS-PROD'!BS$2,'1.PUNTOS'!$A$1:$B$63,2,0),0)</f>
        <v>0</v>
      </c>
      <c r="BK313" s="138">
        <f>IF('1.DATOS-PROD'!BT314="SI",VLOOKUP('1.DATOS-PROD'!BT$2,'1.PUNTOS'!$A$1:$B$63,2,0),0)</f>
        <v>0</v>
      </c>
    </row>
    <row r="314" spans="1:63" x14ac:dyDescent="0.25">
      <c r="A314">
        <f>'0.Consolidado general'!$A315</f>
        <v>0</v>
      </c>
      <c r="B314" s="138">
        <f>IF('1.DATOS-PROD'!K315="SI",VLOOKUP('1.DATOS-PROD'!K$2,'1.PUNTOS'!$A$1:$B$63,2,0),0)</f>
        <v>0</v>
      </c>
      <c r="C314" s="138">
        <f>IF('1.DATOS-PROD'!L315="SI",VLOOKUP('1.DATOS-PROD'!L$2,'1.PUNTOS'!$A$1:$B$63,2,0),0)</f>
        <v>0</v>
      </c>
      <c r="D314" s="138">
        <f>IF('1.DATOS-PROD'!M315="SI",VLOOKUP('1.DATOS-PROD'!M$2,'1.PUNTOS'!$A$1:$B$63,2,0),0)</f>
        <v>0</v>
      </c>
      <c r="E314" s="138">
        <f>IF('1.DATOS-PROD'!N315="SI",VLOOKUP('1.DATOS-PROD'!N$2,'1.PUNTOS'!$A$1:$B$63,2,0),0)</f>
        <v>0</v>
      </c>
      <c r="F314" s="138">
        <f>IF('1.DATOS-PROD'!O315="SI",VLOOKUP('1.DATOS-PROD'!O$2,'1.PUNTOS'!$A$1:$B$63,2,0),0)</f>
        <v>0</v>
      </c>
      <c r="G314" s="138">
        <f>IF('1.DATOS-PROD'!P315="SI",VLOOKUP('1.DATOS-PROD'!P$2,'1.PUNTOS'!$A$1:$B$63,2,0),0)</f>
        <v>0</v>
      </c>
      <c r="H314" s="138">
        <f>IF('1.DATOS-PROD'!Q315="SI",VLOOKUP('1.DATOS-PROD'!Q$2,'1.PUNTOS'!$A$1:$B$63,2,0),0)</f>
        <v>0</v>
      </c>
      <c r="I314" s="138">
        <f>IF('1.DATOS-PROD'!R315="SI",VLOOKUP('1.DATOS-PROD'!R$2,'1.PUNTOS'!$A$1:$B$63,2,0),0)</f>
        <v>0</v>
      </c>
      <c r="J314" s="138">
        <f>IF('1.DATOS-PROD'!S315="SI",VLOOKUP('1.DATOS-PROD'!S$2,'1.PUNTOS'!$A$1:$B$63,2,0),0)</f>
        <v>0</v>
      </c>
      <c r="K314" s="138">
        <f>IF('1.DATOS-PROD'!T315="SI",VLOOKUP('1.DATOS-PROD'!T$2,'1.PUNTOS'!$A$1:$B$63,2,0),0)</f>
        <v>0</v>
      </c>
      <c r="L314" s="138">
        <f>IF('1.DATOS-PROD'!U315="SI",VLOOKUP('1.DATOS-PROD'!U$2,'1.PUNTOS'!$A$1:$B$63,2,0),0)</f>
        <v>0</v>
      </c>
      <c r="M314" s="138">
        <f>IF('1.DATOS-PROD'!V315="SI",VLOOKUP('1.DATOS-PROD'!V$2,'1.PUNTOS'!$A$1:$B$63,2,0),0)</f>
        <v>0</v>
      </c>
      <c r="N314" s="138">
        <f>IF('1.DATOS-PROD'!W315="SI",VLOOKUP('1.DATOS-PROD'!W$2,'1.PUNTOS'!$A$1:$B$63,2,0),0)</f>
        <v>0</v>
      </c>
      <c r="O314" s="138">
        <f>IF('1.DATOS-PROD'!X315="SI",VLOOKUP('1.DATOS-PROD'!X$2,'1.PUNTOS'!$A$1:$B$63,2,0),0)</f>
        <v>0</v>
      </c>
      <c r="P314" s="138">
        <f>IF('1.DATOS-PROD'!Y315="SI",VLOOKUP('1.DATOS-PROD'!Y$2,'1.PUNTOS'!$A$1:$B$63,2,0),0)</f>
        <v>0</v>
      </c>
      <c r="Q314" s="138">
        <f>IF('1.DATOS-PROD'!Z315="SI",VLOOKUP('1.DATOS-PROD'!Z$2,'1.PUNTOS'!$A$1:$B$63,2,0),0)</f>
        <v>0</v>
      </c>
      <c r="R314" s="138">
        <f>IF('1.DATOS-PROD'!AA315="SI",VLOOKUP('1.DATOS-PROD'!AA$2,'1.PUNTOS'!$A$1:$B$63,2,0),0)</f>
        <v>0</v>
      </c>
      <c r="S314" s="138">
        <f>IF('1.DATOS-PROD'!AB315="SI",VLOOKUP('1.DATOS-PROD'!AB$2,'1.PUNTOS'!$A$1:$B$63,2,0),0)</f>
        <v>0</v>
      </c>
      <c r="T314" s="138">
        <f>IF('1.DATOS-PROD'!AC315="SI",VLOOKUP('1.DATOS-PROD'!AC$2,'1.PUNTOS'!$A$1:$B$63,2,0),0)</f>
        <v>0</v>
      </c>
      <c r="U314" s="138">
        <f>IF('1.DATOS-PROD'!AD315="SI",VLOOKUP('1.DATOS-PROD'!AD$2,'1.PUNTOS'!$A$1:$B$63,2,0),0)</f>
        <v>0</v>
      </c>
      <c r="V314" s="138">
        <f>IF('1.DATOS-PROD'!AE315="SI",VLOOKUP('1.DATOS-PROD'!AE$2,'1.PUNTOS'!$A$1:$B$63,2,0),0)</f>
        <v>0</v>
      </c>
      <c r="W314" s="138">
        <f>IF('1.DATOS-PROD'!AF315="SI",VLOOKUP('1.DATOS-PROD'!AF$2,'1.PUNTOS'!$A$1:$B$63,2,0),0)</f>
        <v>0</v>
      </c>
      <c r="X314" s="138">
        <f>IF('1.DATOS-PROD'!AG315="SI",VLOOKUP('1.DATOS-PROD'!AG$2,'1.PUNTOS'!$A$1:$B$63,2,0),0)</f>
        <v>0</v>
      </c>
      <c r="Y314" s="138">
        <f>IF('1.DATOS-PROD'!AH315="SI",VLOOKUP('1.DATOS-PROD'!AH$2,'1.PUNTOS'!$A$1:$B$63,2,0),0)</f>
        <v>0</v>
      </c>
      <c r="Z314" s="138">
        <f>IF('1.DATOS-PROD'!AI315="SI",VLOOKUP('1.DATOS-PROD'!AI$2,'1.PUNTOS'!$A$1:$B$63,2,0),0)</f>
        <v>0</v>
      </c>
      <c r="AA314" s="138">
        <f>IF('1.DATOS-PROD'!AJ315="SI",VLOOKUP('1.DATOS-PROD'!AJ$2,'1.PUNTOS'!$A$1:$B$63,2,0),0)</f>
        <v>0</v>
      </c>
      <c r="AB314" s="138">
        <f>IF('1.DATOS-PROD'!AK315="SI",VLOOKUP('1.DATOS-PROD'!AK$2,'1.PUNTOS'!$A$1:$B$63,2,0),0)</f>
        <v>0</v>
      </c>
      <c r="AC314" s="138">
        <f>IF('1.DATOS-PROD'!AL315="SI",VLOOKUP('1.DATOS-PROD'!AL$2,'1.PUNTOS'!$A$1:$B$63,2,0),0)</f>
        <v>0</v>
      </c>
      <c r="AD314" s="138">
        <f>IF('1.DATOS-PROD'!AM315="SI",VLOOKUP('1.DATOS-PROD'!AM$2,'1.PUNTOS'!$A$1:$B$63,2,0),0)</f>
        <v>0</v>
      </c>
      <c r="AE314" s="138">
        <f>IF('1.DATOS-PROD'!AN315="SI",VLOOKUP('1.DATOS-PROD'!AN$2,'1.PUNTOS'!$A$1:$B$63,2,0),0)</f>
        <v>0</v>
      </c>
      <c r="AF314" s="138">
        <f>IF('1.DATOS-PROD'!AO315="SI",VLOOKUP('1.DATOS-PROD'!AO$2,'1.PUNTOS'!$A$1:$B$63,2,0),0)</f>
        <v>0</v>
      </c>
      <c r="AG314" s="138">
        <f>IF('1.DATOS-PROD'!AP315="SI",VLOOKUP('1.DATOS-PROD'!AP$2,'1.PUNTOS'!$A$1:$B$63,2,0),0)</f>
        <v>0</v>
      </c>
      <c r="AH314" s="138">
        <f>IF('1.DATOS-PROD'!AQ315="SI",VLOOKUP('1.DATOS-PROD'!AQ$2,'1.PUNTOS'!$A$1:$B$63,2,0),0)</f>
        <v>0</v>
      </c>
      <c r="AI314" s="138">
        <f>IF('1.DATOS-PROD'!AR315="SI",VLOOKUP('1.DATOS-PROD'!AR$2,'1.PUNTOS'!$A$1:$B$63,2,0),0)</f>
        <v>0</v>
      </c>
      <c r="AJ314" s="138">
        <f>IF('1.DATOS-PROD'!AS315="SI",VLOOKUP('1.DATOS-PROD'!AS$2,'1.PUNTOS'!$A$1:$B$63,2,0),0)</f>
        <v>0</v>
      </c>
      <c r="AK314" s="138">
        <f>IF('1.DATOS-PROD'!AT315="SI",VLOOKUP('1.DATOS-PROD'!AT$2,'1.PUNTOS'!$A$1:$B$63,2,0),0)</f>
        <v>0</v>
      </c>
      <c r="AL314" s="138">
        <f>IF('1.DATOS-PROD'!AU315="SI",VLOOKUP('1.DATOS-PROD'!AU$2,'1.PUNTOS'!$A$1:$B$63,2,0),0)</f>
        <v>0</v>
      </c>
      <c r="AM314" s="138">
        <f>IF('1.DATOS-PROD'!AV315="SI",VLOOKUP('1.DATOS-PROD'!AV$2,'1.PUNTOS'!$A$1:$B$63,2,0),0)</f>
        <v>0</v>
      </c>
      <c r="AN314" s="138">
        <f>IF('1.DATOS-PROD'!AW315="SI",VLOOKUP('1.DATOS-PROD'!AW$2,'1.PUNTOS'!$A$1:$B$63,2,0),0)</f>
        <v>0</v>
      </c>
      <c r="AO314" s="138">
        <f>IF('1.DATOS-PROD'!AX315="SI",VLOOKUP('1.DATOS-PROD'!AX$2,'1.PUNTOS'!$A$1:$B$63,2,0),0)</f>
        <v>0</v>
      </c>
      <c r="AP314" s="138">
        <f>IF('1.DATOS-PROD'!AY315="SI",VLOOKUP('1.DATOS-PROD'!AY$2,'1.PUNTOS'!$A$1:$B$63,2,0),0)</f>
        <v>0</v>
      </c>
      <c r="AQ314" s="138">
        <f>IF('1.DATOS-PROD'!AZ315="SI",VLOOKUP('1.DATOS-PROD'!AZ$2,'1.PUNTOS'!$A$1:$B$63,2,0),0)</f>
        <v>0</v>
      </c>
      <c r="AR314" s="138">
        <f>IF('1.DATOS-PROD'!BA315="SI",VLOOKUP('1.DATOS-PROD'!BA$2,'1.PUNTOS'!$A$1:$B$63,2,0),0)</f>
        <v>0</v>
      </c>
      <c r="AS314" s="138">
        <f>IF('1.DATOS-PROD'!BB315="SI",VLOOKUP('1.DATOS-PROD'!BB$2,'1.PUNTOS'!$A$1:$B$63,2,0),0)</f>
        <v>0</v>
      </c>
      <c r="AT314" s="138">
        <f>IF('1.DATOS-PROD'!BC315="SI",VLOOKUP('1.DATOS-PROD'!BC$2,'1.PUNTOS'!$A$1:$B$63,2,0),0)</f>
        <v>0</v>
      </c>
      <c r="AU314" s="138">
        <f>IF('1.DATOS-PROD'!BD315="SI",VLOOKUP('1.DATOS-PROD'!BD$2,'1.PUNTOS'!$A$1:$B$63,2,0),0)</f>
        <v>0</v>
      </c>
      <c r="AV314" s="138">
        <f>IF('1.DATOS-PROD'!BE315="SI",VLOOKUP('1.DATOS-PROD'!BE$2,'1.PUNTOS'!$A$1:$B$63,2,0),0)</f>
        <v>0</v>
      </c>
      <c r="AW314" s="138">
        <f>IF('1.DATOS-PROD'!BF315="SI",VLOOKUP('1.DATOS-PROD'!BF$2,'1.PUNTOS'!$A$1:$B$63,2,0),0)</f>
        <v>0</v>
      </c>
      <c r="AX314" s="138">
        <f>IF('1.DATOS-PROD'!BG315="SI",VLOOKUP('1.DATOS-PROD'!BG$2,'1.PUNTOS'!$A$1:$B$63,2,0),0)</f>
        <v>0</v>
      </c>
      <c r="AY314" s="138">
        <f>IF('1.DATOS-PROD'!BH315="SI",VLOOKUP('1.DATOS-PROD'!BH$2,'1.PUNTOS'!$A$1:$B$63,2,0),0)</f>
        <v>0</v>
      </c>
      <c r="AZ314" s="138">
        <f>IF('1.DATOS-PROD'!BI315="SI",VLOOKUP('1.DATOS-PROD'!BI$2,'1.PUNTOS'!$A$1:$B$63,2,0),0)</f>
        <v>0</v>
      </c>
      <c r="BA314" s="138">
        <f>IF('1.DATOS-PROD'!BJ315="SI",VLOOKUP('1.DATOS-PROD'!BJ$2,'1.PUNTOS'!$A$1:$B$63,2,0),0)</f>
        <v>0</v>
      </c>
      <c r="BB314" s="138">
        <f>IF('1.DATOS-PROD'!BK315="SI",VLOOKUP('1.DATOS-PROD'!BK$2,'1.PUNTOS'!$A$1:$B$63,2,0),0)</f>
        <v>0</v>
      </c>
      <c r="BC314" s="138">
        <f>IF('1.DATOS-PROD'!BL315="SI",VLOOKUP('1.DATOS-PROD'!BL$2,'1.PUNTOS'!$A$1:$B$63,2,0),0)</f>
        <v>0</v>
      </c>
      <c r="BD314" s="138">
        <f>IF('1.DATOS-PROD'!BM315="SI",VLOOKUP('1.DATOS-PROD'!BM$2,'1.PUNTOS'!$A$1:$B$63,2,0),0)</f>
        <v>0</v>
      </c>
      <c r="BE314" s="138">
        <f>IF('1.DATOS-PROD'!BN315="SI",VLOOKUP('1.DATOS-PROD'!BN$2,'1.PUNTOS'!$A$1:$B$63,2,0),0)</f>
        <v>0</v>
      </c>
      <c r="BF314" s="138">
        <f>IF('1.DATOS-PROD'!BO315="SI",VLOOKUP('1.DATOS-PROD'!BO$2,'1.PUNTOS'!$A$1:$B$63,2,0),0)</f>
        <v>0</v>
      </c>
      <c r="BG314" s="138">
        <f>IF('1.DATOS-PROD'!BP315="SI",VLOOKUP('1.DATOS-PROD'!BP$2,'1.PUNTOS'!$A$1:$B$63,2,0),0)</f>
        <v>0</v>
      </c>
      <c r="BH314" s="138">
        <f>IF('1.DATOS-PROD'!BQ315="SI",VLOOKUP('1.DATOS-PROD'!BQ$2,'1.PUNTOS'!$A$1:$B$63,2,0),0)</f>
        <v>0</v>
      </c>
      <c r="BI314" s="138">
        <f>IF('1.DATOS-PROD'!BR315="SI",VLOOKUP('1.DATOS-PROD'!BR$2,'1.PUNTOS'!$A$1:$B$63,2,0),0)</f>
        <v>0</v>
      </c>
      <c r="BJ314" s="138">
        <f>IF('1.DATOS-PROD'!BS315="SI",VLOOKUP('1.DATOS-PROD'!BS$2,'1.PUNTOS'!$A$1:$B$63,2,0),0)</f>
        <v>0</v>
      </c>
      <c r="BK314" s="138">
        <f>IF('1.DATOS-PROD'!BT315="SI",VLOOKUP('1.DATOS-PROD'!BT$2,'1.PUNTOS'!$A$1:$B$63,2,0),0)</f>
        <v>0</v>
      </c>
    </row>
    <row r="315" spans="1:63" x14ac:dyDescent="0.25">
      <c r="A315">
        <f>'0.Consolidado general'!$A316</f>
        <v>0</v>
      </c>
      <c r="B315" s="138">
        <f>IF('1.DATOS-PROD'!K316="SI",VLOOKUP('1.DATOS-PROD'!K$2,'1.PUNTOS'!$A$1:$B$63,2,0),0)</f>
        <v>0</v>
      </c>
      <c r="C315" s="138">
        <f>IF('1.DATOS-PROD'!L316="SI",VLOOKUP('1.DATOS-PROD'!L$2,'1.PUNTOS'!$A$1:$B$63,2,0),0)</f>
        <v>0</v>
      </c>
      <c r="D315" s="138">
        <f>IF('1.DATOS-PROD'!M316="SI",VLOOKUP('1.DATOS-PROD'!M$2,'1.PUNTOS'!$A$1:$B$63,2,0),0)</f>
        <v>0</v>
      </c>
      <c r="E315" s="138">
        <f>IF('1.DATOS-PROD'!N316="SI",VLOOKUP('1.DATOS-PROD'!N$2,'1.PUNTOS'!$A$1:$B$63,2,0),0)</f>
        <v>0</v>
      </c>
      <c r="F315" s="138">
        <f>IF('1.DATOS-PROD'!O316="SI",VLOOKUP('1.DATOS-PROD'!O$2,'1.PUNTOS'!$A$1:$B$63,2,0),0)</f>
        <v>0</v>
      </c>
      <c r="G315" s="138">
        <f>IF('1.DATOS-PROD'!P316="SI",VLOOKUP('1.DATOS-PROD'!P$2,'1.PUNTOS'!$A$1:$B$63,2,0),0)</f>
        <v>0</v>
      </c>
      <c r="H315" s="138">
        <f>IF('1.DATOS-PROD'!Q316="SI",VLOOKUP('1.DATOS-PROD'!Q$2,'1.PUNTOS'!$A$1:$B$63,2,0),0)</f>
        <v>0</v>
      </c>
      <c r="I315" s="138">
        <f>IF('1.DATOS-PROD'!R316="SI",VLOOKUP('1.DATOS-PROD'!R$2,'1.PUNTOS'!$A$1:$B$63,2,0),0)</f>
        <v>0</v>
      </c>
      <c r="J315" s="138">
        <f>IF('1.DATOS-PROD'!S316="SI",VLOOKUP('1.DATOS-PROD'!S$2,'1.PUNTOS'!$A$1:$B$63,2,0),0)</f>
        <v>0</v>
      </c>
      <c r="K315" s="138">
        <f>IF('1.DATOS-PROD'!T316="SI",VLOOKUP('1.DATOS-PROD'!T$2,'1.PUNTOS'!$A$1:$B$63,2,0),0)</f>
        <v>0</v>
      </c>
      <c r="L315" s="138">
        <f>IF('1.DATOS-PROD'!U316="SI",VLOOKUP('1.DATOS-PROD'!U$2,'1.PUNTOS'!$A$1:$B$63,2,0),0)</f>
        <v>0</v>
      </c>
      <c r="M315" s="138">
        <f>IF('1.DATOS-PROD'!V316="SI",VLOOKUP('1.DATOS-PROD'!V$2,'1.PUNTOS'!$A$1:$B$63,2,0),0)</f>
        <v>0</v>
      </c>
      <c r="N315" s="138">
        <f>IF('1.DATOS-PROD'!W316="SI",VLOOKUP('1.DATOS-PROD'!W$2,'1.PUNTOS'!$A$1:$B$63,2,0),0)</f>
        <v>0</v>
      </c>
      <c r="O315" s="138">
        <f>IF('1.DATOS-PROD'!X316="SI",VLOOKUP('1.DATOS-PROD'!X$2,'1.PUNTOS'!$A$1:$B$63,2,0),0)</f>
        <v>0</v>
      </c>
      <c r="P315" s="138">
        <f>IF('1.DATOS-PROD'!Y316="SI",VLOOKUP('1.DATOS-PROD'!Y$2,'1.PUNTOS'!$A$1:$B$63,2,0),0)</f>
        <v>0</v>
      </c>
      <c r="Q315" s="138">
        <f>IF('1.DATOS-PROD'!Z316="SI",VLOOKUP('1.DATOS-PROD'!Z$2,'1.PUNTOS'!$A$1:$B$63,2,0),0)</f>
        <v>0</v>
      </c>
      <c r="R315" s="138">
        <f>IF('1.DATOS-PROD'!AA316="SI",VLOOKUP('1.DATOS-PROD'!AA$2,'1.PUNTOS'!$A$1:$B$63,2,0),0)</f>
        <v>0</v>
      </c>
      <c r="S315" s="138">
        <f>IF('1.DATOS-PROD'!AB316="SI",VLOOKUP('1.DATOS-PROD'!AB$2,'1.PUNTOS'!$A$1:$B$63,2,0),0)</f>
        <v>0</v>
      </c>
      <c r="T315" s="138">
        <f>IF('1.DATOS-PROD'!AC316="SI",VLOOKUP('1.DATOS-PROD'!AC$2,'1.PUNTOS'!$A$1:$B$63,2,0),0)</f>
        <v>0</v>
      </c>
      <c r="U315" s="138">
        <f>IF('1.DATOS-PROD'!AD316="SI",VLOOKUP('1.DATOS-PROD'!AD$2,'1.PUNTOS'!$A$1:$B$63,2,0),0)</f>
        <v>0</v>
      </c>
      <c r="V315" s="138">
        <f>IF('1.DATOS-PROD'!AE316="SI",VLOOKUP('1.DATOS-PROD'!AE$2,'1.PUNTOS'!$A$1:$B$63,2,0),0)</f>
        <v>0</v>
      </c>
      <c r="W315" s="138">
        <f>IF('1.DATOS-PROD'!AF316="SI",VLOOKUP('1.DATOS-PROD'!AF$2,'1.PUNTOS'!$A$1:$B$63,2,0),0)</f>
        <v>0</v>
      </c>
      <c r="X315" s="138">
        <f>IF('1.DATOS-PROD'!AG316="SI",VLOOKUP('1.DATOS-PROD'!AG$2,'1.PUNTOS'!$A$1:$B$63,2,0),0)</f>
        <v>0</v>
      </c>
      <c r="Y315" s="138">
        <f>IF('1.DATOS-PROD'!AH316="SI",VLOOKUP('1.DATOS-PROD'!AH$2,'1.PUNTOS'!$A$1:$B$63,2,0),0)</f>
        <v>0</v>
      </c>
      <c r="Z315" s="138">
        <f>IF('1.DATOS-PROD'!AI316="SI",VLOOKUP('1.DATOS-PROD'!AI$2,'1.PUNTOS'!$A$1:$B$63,2,0),0)</f>
        <v>0</v>
      </c>
      <c r="AA315" s="138">
        <f>IF('1.DATOS-PROD'!AJ316="SI",VLOOKUP('1.DATOS-PROD'!AJ$2,'1.PUNTOS'!$A$1:$B$63,2,0),0)</f>
        <v>0</v>
      </c>
      <c r="AB315" s="138">
        <f>IF('1.DATOS-PROD'!AK316="SI",VLOOKUP('1.DATOS-PROD'!AK$2,'1.PUNTOS'!$A$1:$B$63,2,0),0)</f>
        <v>0</v>
      </c>
      <c r="AC315" s="138">
        <f>IF('1.DATOS-PROD'!AL316="SI",VLOOKUP('1.DATOS-PROD'!AL$2,'1.PUNTOS'!$A$1:$B$63,2,0),0)</f>
        <v>0</v>
      </c>
      <c r="AD315" s="138">
        <f>IF('1.DATOS-PROD'!AM316="SI",VLOOKUP('1.DATOS-PROD'!AM$2,'1.PUNTOS'!$A$1:$B$63,2,0),0)</f>
        <v>0</v>
      </c>
      <c r="AE315" s="138">
        <f>IF('1.DATOS-PROD'!AN316="SI",VLOOKUP('1.DATOS-PROD'!AN$2,'1.PUNTOS'!$A$1:$B$63,2,0),0)</f>
        <v>0</v>
      </c>
      <c r="AF315" s="138">
        <f>IF('1.DATOS-PROD'!AO316="SI",VLOOKUP('1.DATOS-PROD'!AO$2,'1.PUNTOS'!$A$1:$B$63,2,0),0)</f>
        <v>0</v>
      </c>
      <c r="AG315" s="138">
        <f>IF('1.DATOS-PROD'!AP316="SI",VLOOKUP('1.DATOS-PROD'!AP$2,'1.PUNTOS'!$A$1:$B$63,2,0),0)</f>
        <v>0</v>
      </c>
      <c r="AH315" s="138">
        <f>IF('1.DATOS-PROD'!AQ316="SI",VLOOKUP('1.DATOS-PROD'!AQ$2,'1.PUNTOS'!$A$1:$B$63,2,0),0)</f>
        <v>0</v>
      </c>
      <c r="AI315" s="138">
        <f>IF('1.DATOS-PROD'!AR316="SI",VLOOKUP('1.DATOS-PROD'!AR$2,'1.PUNTOS'!$A$1:$B$63,2,0),0)</f>
        <v>0</v>
      </c>
      <c r="AJ315" s="138">
        <f>IF('1.DATOS-PROD'!AS316="SI",VLOOKUP('1.DATOS-PROD'!AS$2,'1.PUNTOS'!$A$1:$B$63,2,0),0)</f>
        <v>0</v>
      </c>
      <c r="AK315" s="138">
        <f>IF('1.DATOS-PROD'!AT316="SI",VLOOKUP('1.DATOS-PROD'!AT$2,'1.PUNTOS'!$A$1:$B$63,2,0),0)</f>
        <v>0</v>
      </c>
      <c r="AL315" s="138">
        <f>IF('1.DATOS-PROD'!AU316="SI",VLOOKUP('1.DATOS-PROD'!AU$2,'1.PUNTOS'!$A$1:$B$63,2,0),0)</f>
        <v>0</v>
      </c>
      <c r="AM315" s="138">
        <f>IF('1.DATOS-PROD'!AV316="SI",VLOOKUP('1.DATOS-PROD'!AV$2,'1.PUNTOS'!$A$1:$B$63,2,0),0)</f>
        <v>0</v>
      </c>
      <c r="AN315" s="138">
        <f>IF('1.DATOS-PROD'!AW316="SI",VLOOKUP('1.DATOS-PROD'!AW$2,'1.PUNTOS'!$A$1:$B$63,2,0),0)</f>
        <v>0</v>
      </c>
      <c r="AO315" s="138">
        <f>IF('1.DATOS-PROD'!AX316="SI",VLOOKUP('1.DATOS-PROD'!AX$2,'1.PUNTOS'!$A$1:$B$63,2,0),0)</f>
        <v>0</v>
      </c>
      <c r="AP315" s="138">
        <f>IF('1.DATOS-PROD'!AY316="SI",VLOOKUP('1.DATOS-PROD'!AY$2,'1.PUNTOS'!$A$1:$B$63,2,0),0)</f>
        <v>0</v>
      </c>
      <c r="AQ315" s="138">
        <f>IF('1.DATOS-PROD'!AZ316="SI",VLOOKUP('1.DATOS-PROD'!AZ$2,'1.PUNTOS'!$A$1:$B$63,2,0),0)</f>
        <v>0</v>
      </c>
      <c r="AR315" s="138">
        <f>IF('1.DATOS-PROD'!BA316="SI",VLOOKUP('1.DATOS-PROD'!BA$2,'1.PUNTOS'!$A$1:$B$63,2,0),0)</f>
        <v>0</v>
      </c>
      <c r="AS315" s="138">
        <f>IF('1.DATOS-PROD'!BB316="SI",VLOOKUP('1.DATOS-PROD'!BB$2,'1.PUNTOS'!$A$1:$B$63,2,0),0)</f>
        <v>0</v>
      </c>
      <c r="AT315" s="138">
        <f>IF('1.DATOS-PROD'!BC316="SI",VLOOKUP('1.DATOS-PROD'!BC$2,'1.PUNTOS'!$A$1:$B$63,2,0),0)</f>
        <v>0</v>
      </c>
      <c r="AU315" s="138">
        <f>IF('1.DATOS-PROD'!BD316="SI",VLOOKUP('1.DATOS-PROD'!BD$2,'1.PUNTOS'!$A$1:$B$63,2,0),0)</f>
        <v>0</v>
      </c>
      <c r="AV315" s="138">
        <f>IF('1.DATOS-PROD'!BE316="SI",VLOOKUP('1.DATOS-PROD'!BE$2,'1.PUNTOS'!$A$1:$B$63,2,0),0)</f>
        <v>0</v>
      </c>
      <c r="AW315" s="138">
        <f>IF('1.DATOS-PROD'!BF316="SI",VLOOKUP('1.DATOS-PROD'!BF$2,'1.PUNTOS'!$A$1:$B$63,2,0),0)</f>
        <v>0</v>
      </c>
      <c r="AX315" s="138">
        <f>IF('1.DATOS-PROD'!BG316="SI",VLOOKUP('1.DATOS-PROD'!BG$2,'1.PUNTOS'!$A$1:$B$63,2,0),0)</f>
        <v>0</v>
      </c>
      <c r="AY315" s="138">
        <f>IF('1.DATOS-PROD'!BH316="SI",VLOOKUP('1.DATOS-PROD'!BH$2,'1.PUNTOS'!$A$1:$B$63,2,0),0)</f>
        <v>0</v>
      </c>
      <c r="AZ315" s="138">
        <f>IF('1.DATOS-PROD'!BI316="SI",VLOOKUP('1.DATOS-PROD'!BI$2,'1.PUNTOS'!$A$1:$B$63,2,0),0)</f>
        <v>0</v>
      </c>
      <c r="BA315" s="138">
        <f>IF('1.DATOS-PROD'!BJ316="SI",VLOOKUP('1.DATOS-PROD'!BJ$2,'1.PUNTOS'!$A$1:$B$63,2,0),0)</f>
        <v>0</v>
      </c>
      <c r="BB315" s="138">
        <f>IF('1.DATOS-PROD'!BK316="SI",VLOOKUP('1.DATOS-PROD'!BK$2,'1.PUNTOS'!$A$1:$B$63,2,0),0)</f>
        <v>0</v>
      </c>
      <c r="BC315" s="138">
        <f>IF('1.DATOS-PROD'!BL316="SI",VLOOKUP('1.DATOS-PROD'!BL$2,'1.PUNTOS'!$A$1:$B$63,2,0),0)</f>
        <v>0</v>
      </c>
      <c r="BD315" s="138">
        <f>IF('1.DATOS-PROD'!BM316="SI",VLOOKUP('1.DATOS-PROD'!BM$2,'1.PUNTOS'!$A$1:$B$63,2,0),0)</f>
        <v>0</v>
      </c>
      <c r="BE315" s="138">
        <f>IF('1.DATOS-PROD'!BN316="SI",VLOOKUP('1.DATOS-PROD'!BN$2,'1.PUNTOS'!$A$1:$B$63,2,0),0)</f>
        <v>0</v>
      </c>
      <c r="BF315" s="138">
        <f>IF('1.DATOS-PROD'!BO316="SI",VLOOKUP('1.DATOS-PROD'!BO$2,'1.PUNTOS'!$A$1:$B$63,2,0),0)</f>
        <v>0</v>
      </c>
      <c r="BG315" s="138">
        <f>IF('1.DATOS-PROD'!BP316="SI",VLOOKUP('1.DATOS-PROD'!BP$2,'1.PUNTOS'!$A$1:$B$63,2,0),0)</f>
        <v>0</v>
      </c>
      <c r="BH315" s="138">
        <f>IF('1.DATOS-PROD'!BQ316="SI",VLOOKUP('1.DATOS-PROD'!BQ$2,'1.PUNTOS'!$A$1:$B$63,2,0),0)</f>
        <v>0</v>
      </c>
      <c r="BI315" s="138">
        <f>IF('1.DATOS-PROD'!BR316="SI",VLOOKUP('1.DATOS-PROD'!BR$2,'1.PUNTOS'!$A$1:$B$63,2,0),0)</f>
        <v>0</v>
      </c>
      <c r="BJ315" s="138">
        <f>IF('1.DATOS-PROD'!BS316="SI",VLOOKUP('1.DATOS-PROD'!BS$2,'1.PUNTOS'!$A$1:$B$63,2,0),0)</f>
        <v>0</v>
      </c>
      <c r="BK315" s="138">
        <f>IF('1.DATOS-PROD'!BT316="SI",VLOOKUP('1.DATOS-PROD'!BT$2,'1.PUNTOS'!$A$1:$B$63,2,0),0)</f>
        <v>0</v>
      </c>
    </row>
    <row r="316" spans="1:63" x14ac:dyDescent="0.25">
      <c r="A316">
        <f>'0.Consolidado general'!$A317</f>
        <v>0</v>
      </c>
      <c r="B316" s="138">
        <f>IF('1.DATOS-PROD'!K317="SI",VLOOKUP('1.DATOS-PROD'!K$2,'1.PUNTOS'!$A$1:$B$63,2,0),0)</f>
        <v>0</v>
      </c>
      <c r="C316" s="138">
        <f>IF('1.DATOS-PROD'!L317="SI",VLOOKUP('1.DATOS-PROD'!L$2,'1.PUNTOS'!$A$1:$B$63,2,0),0)</f>
        <v>0</v>
      </c>
      <c r="D316" s="138">
        <f>IF('1.DATOS-PROD'!M317="SI",VLOOKUP('1.DATOS-PROD'!M$2,'1.PUNTOS'!$A$1:$B$63,2,0),0)</f>
        <v>0</v>
      </c>
      <c r="E316" s="138">
        <f>IF('1.DATOS-PROD'!N317="SI",VLOOKUP('1.DATOS-PROD'!N$2,'1.PUNTOS'!$A$1:$B$63,2,0),0)</f>
        <v>0</v>
      </c>
      <c r="F316" s="138">
        <f>IF('1.DATOS-PROD'!O317="SI",VLOOKUP('1.DATOS-PROD'!O$2,'1.PUNTOS'!$A$1:$B$63,2,0),0)</f>
        <v>0</v>
      </c>
      <c r="G316" s="138">
        <f>IF('1.DATOS-PROD'!P317="SI",VLOOKUP('1.DATOS-PROD'!P$2,'1.PUNTOS'!$A$1:$B$63,2,0),0)</f>
        <v>0</v>
      </c>
      <c r="H316" s="138">
        <f>IF('1.DATOS-PROD'!Q317="SI",VLOOKUP('1.DATOS-PROD'!Q$2,'1.PUNTOS'!$A$1:$B$63,2,0),0)</f>
        <v>0</v>
      </c>
      <c r="I316" s="138">
        <f>IF('1.DATOS-PROD'!R317="SI",VLOOKUP('1.DATOS-PROD'!R$2,'1.PUNTOS'!$A$1:$B$63,2,0),0)</f>
        <v>0</v>
      </c>
      <c r="J316" s="138">
        <f>IF('1.DATOS-PROD'!S317="SI",VLOOKUP('1.DATOS-PROD'!S$2,'1.PUNTOS'!$A$1:$B$63,2,0),0)</f>
        <v>0</v>
      </c>
      <c r="K316" s="138">
        <f>IF('1.DATOS-PROD'!T317="SI",VLOOKUP('1.DATOS-PROD'!T$2,'1.PUNTOS'!$A$1:$B$63,2,0),0)</f>
        <v>0</v>
      </c>
      <c r="L316" s="138">
        <f>IF('1.DATOS-PROD'!U317="SI",VLOOKUP('1.DATOS-PROD'!U$2,'1.PUNTOS'!$A$1:$B$63,2,0),0)</f>
        <v>0</v>
      </c>
      <c r="M316" s="138">
        <f>IF('1.DATOS-PROD'!V317="SI",VLOOKUP('1.DATOS-PROD'!V$2,'1.PUNTOS'!$A$1:$B$63,2,0),0)</f>
        <v>0</v>
      </c>
      <c r="N316" s="138">
        <f>IF('1.DATOS-PROD'!W317="SI",VLOOKUP('1.DATOS-PROD'!W$2,'1.PUNTOS'!$A$1:$B$63,2,0),0)</f>
        <v>0</v>
      </c>
      <c r="O316" s="138">
        <f>IF('1.DATOS-PROD'!X317="SI",VLOOKUP('1.DATOS-PROD'!X$2,'1.PUNTOS'!$A$1:$B$63,2,0),0)</f>
        <v>0</v>
      </c>
      <c r="P316" s="138">
        <f>IF('1.DATOS-PROD'!Y317="SI",VLOOKUP('1.DATOS-PROD'!Y$2,'1.PUNTOS'!$A$1:$B$63,2,0),0)</f>
        <v>0</v>
      </c>
      <c r="Q316" s="138">
        <f>IF('1.DATOS-PROD'!Z317="SI",VLOOKUP('1.DATOS-PROD'!Z$2,'1.PUNTOS'!$A$1:$B$63,2,0),0)</f>
        <v>0</v>
      </c>
      <c r="R316" s="138">
        <f>IF('1.DATOS-PROD'!AA317="SI",VLOOKUP('1.DATOS-PROD'!AA$2,'1.PUNTOS'!$A$1:$B$63,2,0),0)</f>
        <v>0</v>
      </c>
      <c r="S316" s="138">
        <f>IF('1.DATOS-PROD'!AB317="SI",VLOOKUP('1.DATOS-PROD'!AB$2,'1.PUNTOS'!$A$1:$B$63,2,0),0)</f>
        <v>0</v>
      </c>
      <c r="T316" s="138">
        <f>IF('1.DATOS-PROD'!AC317="SI",VLOOKUP('1.DATOS-PROD'!AC$2,'1.PUNTOS'!$A$1:$B$63,2,0),0)</f>
        <v>0</v>
      </c>
      <c r="U316" s="138">
        <f>IF('1.DATOS-PROD'!AD317="SI",VLOOKUP('1.DATOS-PROD'!AD$2,'1.PUNTOS'!$A$1:$B$63,2,0),0)</f>
        <v>0</v>
      </c>
      <c r="V316" s="138">
        <f>IF('1.DATOS-PROD'!AE317="SI",VLOOKUP('1.DATOS-PROD'!AE$2,'1.PUNTOS'!$A$1:$B$63,2,0),0)</f>
        <v>0</v>
      </c>
      <c r="W316" s="138">
        <f>IF('1.DATOS-PROD'!AF317="SI",VLOOKUP('1.DATOS-PROD'!AF$2,'1.PUNTOS'!$A$1:$B$63,2,0),0)</f>
        <v>0</v>
      </c>
      <c r="X316" s="138">
        <f>IF('1.DATOS-PROD'!AG317="SI",VLOOKUP('1.DATOS-PROD'!AG$2,'1.PUNTOS'!$A$1:$B$63,2,0),0)</f>
        <v>0</v>
      </c>
      <c r="Y316" s="138">
        <f>IF('1.DATOS-PROD'!AH317="SI",VLOOKUP('1.DATOS-PROD'!AH$2,'1.PUNTOS'!$A$1:$B$63,2,0),0)</f>
        <v>0</v>
      </c>
      <c r="Z316" s="138">
        <f>IF('1.DATOS-PROD'!AI317="SI",VLOOKUP('1.DATOS-PROD'!AI$2,'1.PUNTOS'!$A$1:$B$63,2,0),0)</f>
        <v>0</v>
      </c>
      <c r="AA316" s="138">
        <f>IF('1.DATOS-PROD'!AJ317="SI",VLOOKUP('1.DATOS-PROD'!AJ$2,'1.PUNTOS'!$A$1:$B$63,2,0),0)</f>
        <v>0</v>
      </c>
      <c r="AB316" s="138">
        <f>IF('1.DATOS-PROD'!AK317="SI",VLOOKUP('1.DATOS-PROD'!AK$2,'1.PUNTOS'!$A$1:$B$63,2,0),0)</f>
        <v>0</v>
      </c>
      <c r="AC316" s="138">
        <f>IF('1.DATOS-PROD'!AL317="SI",VLOOKUP('1.DATOS-PROD'!AL$2,'1.PUNTOS'!$A$1:$B$63,2,0),0)</f>
        <v>0</v>
      </c>
      <c r="AD316" s="138">
        <f>IF('1.DATOS-PROD'!AM317="SI",VLOOKUP('1.DATOS-PROD'!AM$2,'1.PUNTOS'!$A$1:$B$63,2,0),0)</f>
        <v>0</v>
      </c>
      <c r="AE316" s="138">
        <f>IF('1.DATOS-PROD'!AN317="SI",VLOOKUP('1.DATOS-PROD'!AN$2,'1.PUNTOS'!$A$1:$B$63,2,0),0)</f>
        <v>0</v>
      </c>
      <c r="AF316" s="138">
        <f>IF('1.DATOS-PROD'!AO317="SI",VLOOKUP('1.DATOS-PROD'!AO$2,'1.PUNTOS'!$A$1:$B$63,2,0),0)</f>
        <v>0</v>
      </c>
      <c r="AG316" s="138">
        <f>IF('1.DATOS-PROD'!AP317="SI",VLOOKUP('1.DATOS-PROD'!AP$2,'1.PUNTOS'!$A$1:$B$63,2,0),0)</f>
        <v>0</v>
      </c>
      <c r="AH316" s="138">
        <f>IF('1.DATOS-PROD'!AQ317="SI",VLOOKUP('1.DATOS-PROD'!AQ$2,'1.PUNTOS'!$A$1:$B$63,2,0),0)</f>
        <v>0</v>
      </c>
      <c r="AI316" s="138">
        <f>IF('1.DATOS-PROD'!AR317="SI",VLOOKUP('1.DATOS-PROD'!AR$2,'1.PUNTOS'!$A$1:$B$63,2,0),0)</f>
        <v>0</v>
      </c>
      <c r="AJ316" s="138">
        <f>IF('1.DATOS-PROD'!AS317="SI",VLOOKUP('1.DATOS-PROD'!AS$2,'1.PUNTOS'!$A$1:$B$63,2,0),0)</f>
        <v>0</v>
      </c>
      <c r="AK316" s="138">
        <f>IF('1.DATOS-PROD'!AT317="SI",VLOOKUP('1.DATOS-PROD'!AT$2,'1.PUNTOS'!$A$1:$B$63,2,0),0)</f>
        <v>0</v>
      </c>
      <c r="AL316" s="138">
        <f>IF('1.DATOS-PROD'!AU317="SI",VLOOKUP('1.DATOS-PROD'!AU$2,'1.PUNTOS'!$A$1:$B$63,2,0),0)</f>
        <v>0</v>
      </c>
      <c r="AM316" s="138">
        <f>IF('1.DATOS-PROD'!AV317="SI",VLOOKUP('1.DATOS-PROD'!AV$2,'1.PUNTOS'!$A$1:$B$63,2,0),0)</f>
        <v>0</v>
      </c>
      <c r="AN316" s="138">
        <f>IF('1.DATOS-PROD'!AW317="SI",VLOOKUP('1.DATOS-PROD'!AW$2,'1.PUNTOS'!$A$1:$B$63,2,0),0)</f>
        <v>0</v>
      </c>
      <c r="AO316" s="138">
        <f>IF('1.DATOS-PROD'!AX317="SI",VLOOKUP('1.DATOS-PROD'!AX$2,'1.PUNTOS'!$A$1:$B$63,2,0),0)</f>
        <v>0</v>
      </c>
      <c r="AP316" s="138">
        <f>IF('1.DATOS-PROD'!AY317="SI",VLOOKUP('1.DATOS-PROD'!AY$2,'1.PUNTOS'!$A$1:$B$63,2,0),0)</f>
        <v>0</v>
      </c>
      <c r="AQ316" s="138">
        <f>IF('1.DATOS-PROD'!AZ317="SI",VLOOKUP('1.DATOS-PROD'!AZ$2,'1.PUNTOS'!$A$1:$B$63,2,0),0)</f>
        <v>0</v>
      </c>
      <c r="AR316" s="138">
        <f>IF('1.DATOS-PROD'!BA317="SI",VLOOKUP('1.DATOS-PROD'!BA$2,'1.PUNTOS'!$A$1:$B$63,2,0),0)</f>
        <v>0</v>
      </c>
      <c r="AS316" s="138">
        <f>IF('1.DATOS-PROD'!BB317="SI",VLOOKUP('1.DATOS-PROD'!BB$2,'1.PUNTOS'!$A$1:$B$63,2,0),0)</f>
        <v>0</v>
      </c>
      <c r="AT316" s="138">
        <f>IF('1.DATOS-PROD'!BC317="SI",VLOOKUP('1.DATOS-PROD'!BC$2,'1.PUNTOS'!$A$1:$B$63,2,0),0)</f>
        <v>0</v>
      </c>
      <c r="AU316" s="138">
        <f>IF('1.DATOS-PROD'!BD317="SI",VLOOKUP('1.DATOS-PROD'!BD$2,'1.PUNTOS'!$A$1:$B$63,2,0),0)</f>
        <v>0</v>
      </c>
      <c r="AV316" s="138">
        <f>IF('1.DATOS-PROD'!BE317="SI",VLOOKUP('1.DATOS-PROD'!BE$2,'1.PUNTOS'!$A$1:$B$63,2,0),0)</f>
        <v>0</v>
      </c>
      <c r="AW316" s="138">
        <f>IF('1.DATOS-PROD'!BF317="SI",VLOOKUP('1.DATOS-PROD'!BF$2,'1.PUNTOS'!$A$1:$B$63,2,0),0)</f>
        <v>0</v>
      </c>
      <c r="AX316" s="138">
        <f>IF('1.DATOS-PROD'!BG317="SI",VLOOKUP('1.DATOS-PROD'!BG$2,'1.PUNTOS'!$A$1:$B$63,2,0),0)</f>
        <v>0</v>
      </c>
      <c r="AY316" s="138">
        <f>IF('1.DATOS-PROD'!BH317="SI",VLOOKUP('1.DATOS-PROD'!BH$2,'1.PUNTOS'!$A$1:$B$63,2,0),0)</f>
        <v>0</v>
      </c>
      <c r="AZ316" s="138">
        <f>IF('1.DATOS-PROD'!BI317="SI",VLOOKUP('1.DATOS-PROD'!BI$2,'1.PUNTOS'!$A$1:$B$63,2,0),0)</f>
        <v>0</v>
      </c>
      <c r="BA316" s="138">
        <f>IF('1.DATOS-PROD'!BJ317="SI",VLOOKUP('1.DATOS-PROD'!BJ$2,'1.PUNTOS'!$A$1:$B$63,2,0),0)</f>
        <v>0</v>
      </c>
      <c r="BB316" s="138">
        <f>IF('1.DATOS-PROD'!BK317="SI",VLOOKUP('1.DATOS-PROD'!BK$2,'1.PUNTOS'!$A$1:$B$63,2,0),0)</f>
        <v>0</v>
      </c>
      <c r="BC316" s="138">
        <f>IF('1.DATOS-PROD'!BL317="SI",VLOOKUP('1.DATOS-PROD'!BL$2,'1.PUNTOS'!$A$1:$B$63,2,0),0)</f>
        <v>0</v>
      </c>
      <c r="BD316" s="138">
        <f>IF('1.DATOS-PROD'!BM317="SI",VLOOKUP('1.DATOS-PROD'!BM$2,'1.PUNTOS'!$A$1:$B$63,2,0),0)</f>
        <v>0</v>
      </c>
      <c r="BE316" s="138">
        <f>IF('1.DATOS-PROD'!BN317="SI",VLOOKUP('1.DATOS-PROD'!BN$2,'1.PUNTOS'!$A$1:$B$63,2,0),0)</f>
        <v>0</v>
      </c>
      <c r="BF316" s="138">
        <f>IF('1.DATOS-PROD'!BO317="SI",VLOOKUP('1.DATOS-PROD'!BO$2,'1.PUNTOS'!$A$1:$B$63,2,0),0)</f>
        <v>0</v>
      </c>
      <c r="BG316" s="138">
        <f>IF('1.DATOS-PROD'!BP317="SI",VLOOKUP('1.DATOS-PROD'!BP$2,'1.PUNTOS'!$A$1:$B$63,2,0),0)</f>
        <v>0</v>
      </c>
      <c r="BH316" s="138">
        <f>IF('1.DATOS-PROD'!BQ317="SI",VLOOKUP('1.DATOS-PROD'!BQ$2,'1.PUNTOS'!$A$1:$B$63,2,0),0)</f>
        <v>0</v>
      </c>
      <c r="BI316" s="138">
        <f>IF('1.DATOS-PROD'!BR317="SI",VLOOKUP('1.DATOS-PROD'!BR$2,'1.PUNTOS'!$A$1:$B$63,2,0),0)</f>
        <v>0</v>
      </c>
      <c r="BJ316" s="138">
        <f>IF('1.DATOS-PROD'!BS317="SI",VLOOKUP('1.DATOS-PROD'!BS$2,'1.PUNTOS'!$A$1:$B$63,2,0),0)</f>
        <v>0</v>
      </c>
      <c r="BK316" s="138">
        <f>IF('1.DATOS-PROD'!BT317="SI",VLOOKUP('1.DATOS-PROD'!BT$2,'1.PUNTOS'!$A$1:$B$63,2,0),0)</f>
        <v>0</v>
      </c>
    </row>
    <row r="317" spans="1:63" x14ac:dyDescent="0.25">
      <c r="A317">
        <f>'0.Consolidado general'!$A318</f>
        <v>0</v>
      </c>
      <c r="B317" s="138">
        <f>IF('1.DATOS-PROD'!K318="SI",VLOOKUP('1.DATOS-PROD'!K$2,'1.PUNTOS'!$A$1:$B$63,2,0),0)</f>
        <v>0</v>
      </c>
      <c r="C317" s="138">
        <f>IF('1.DATOS-PROD'!L318="SI",VLOOKUP('1.DATOS-PROD'!L$2,'1.PUNTOS'!$A$1:$B$63,2,0),0)</f>
        <v>0</v>
      </c>
      <c r="D317" s="138">
        <f>IF('1.DATOS-PROD'!M318="SI",VLOOKUP('1.DATOS-PROD'!M$2,'1.PUNTOS'!$A$1:$B$63,2,0),0)</f>
        <v>0</v>
      </c>
      <c r="E317" s="138">
        <f>IF('1.DATOS-PROD'!N318="SI",VLOOKUP('1.DATOS-PROD'!N$2,'1.PUNTOS'!$A$1:$B$63,2,0),0)</f>
        <v>0</v>
      </c>
      <c r="F317" s="138">
        <f>IF('1.DATOS-PROD'!O318="SI",VLOOKUP('1.DATOS-PROD'!O$2,'1.PUNTOS'!$A$1:$B$63,2,0),0)</f>
        <v>0</v>
      </c>
      <c r="G317" s="138">
        <f>IF('1.DATOS-PROD'!P318="SI",VLOOKUP('1.DATOS-PROD'!P$2,'1.PUNTOS'!$A$1:$B$63,2,0),0)</f>
        <v>0</v>
      </c>
      <c r="H317" s="138">
        <f>IF('1.DATOS-PROD'!Q318="SI",VLOOKUP('1.DATOS-PROD'!Q$2,'1.PUNTOS'!$A$1:$B$63,2,0),0)</f>
        <v>0</v>
      </c>
      <c r="I317" s="138">
        <f>IF('1.DATOS-PROD'!R318="SI",VLOOKUP('1.DATOS-PROD'!R$2,'1.PUNTOS'!$A$1:$B$63,2,0),0)</f>
        <v>0</v>
      </c>
      <c r="J317" s="138">
        <f>IF('1.DATOS-PROD'!S318="SI",VLOOKUP('1.DATOS-PROD'!S$2,'1.PUNTOS'!$A$1:$B$63,2,0),0)</f>
        <v>0</v>
      </c>
      <c r="K317" s="138">
        <f>IF('1.DATOS-PROD'!T318="SI",VLOOKUP('1.DATOS-PROD'!T$2,'1.PUNTOS'!$A$1:$B$63,2,0),0)</f>
        <v>0</v>
      </c>
      <c r="L317" s="138">
        <f>IF('1.DATOS-PROD'!U318="SI",VLOOKUP('1.DATOS-PROD'!U$2,'1.PUNTOS'!$A$1:$B$63,2,0),0)</f>
        <v>0</v>
      </c>
      <c r="M317" s="138">
        <f>IF('1.DATOS-PROD'!V318="SI",VLOOKUP('1.DATOS-PROD'!V$2,'1.PUNTOS'!$A$1:$B$63,2,0),0)</f>
        <v>0</v>
      </c>
      <c r="N317" s="138">
        <f>IF('1.DATOS-PROD'!W318="SI",VLOOKUP('1.DATOS-PROD'!W$2,'1.PUNTOS'!$A$1:$B$63,2,0),0)</f>
        <v>0</v>
      </c>
      <c r="O317" s="138">
        <f>IF('1.DATOS-PROD'!X318="SI",VLOOKUP('1.DATOS-PROD'!X$2,'1.PUNTOS'!$A$1:$B$63,2,0),0)</f>
        <v>0</v>
      </c>
      <c r="P317" s="138">
        <f>IF('1.DATOS-PROD'!Y318="SI",VLOOKUP('1.DATOS-PROD'!Y$2,'1.PUNTOS'!$A$1:$B$63,2,0),0)</f>
        <v>0</v>
      </c>
      <c r="Q317" s="138">
        <f>IF('1.DATOS-PROD'!Z318="SI",VLOOKUP('1.DATOS-PROD'!Z$2,'1.PUNTOS'!$A$1:$B$63,2,0),0)</f>
        <v>0</v>
      </c>
      <c r="R317" s="138">
        <f>IF('1.DATOS-PROD'!AA318="SI",VLOOKUP('1.DATOS-PROD'!AA$2,'1.PUNTOS'!$A$1:$B$63,2,0),0)</f>
        <v>0</v>
      </c>
      <c r="S317" s="138">
        <f>IF('1.DATOS-PROD'!AB318="SI",VLOOKUP('1.DATOS-PROD'!AB$2,'1.PUNTOS'!$A$1:$B$63,2,0),0)</f>
        <v>0</v>
      </c>
      <c r="T317" s="138">
        <f>IF('1.DATOS-PROD'!AC318="SI",VLOOKUP('1.DATOS-PROD'!AC$2,'1.PUNTOS'!$A$1:$B$63,2,0),0)</f>
        <v>0</v>
      </c>
      <c r="U317" s="138">
        <f>IF('1.DATOS-PROD'!AD318="SI",VLOOKUP('1.DATOS-PROD'!AD$2,'1.PUNTOS'!$A$1:$B$63,2,0),0)</f>
        <v>0</v>
      </c>
      <c r="V317" s="138">
        <f>IF('1.DATOS-PROD'!AE318="SI",VLOOKUP('1.DATOS-PROD'!AE$2,'1.PUNTOS'!$A$1:$B$63,2,0),0)</f>
        <v>0</v>
      </c>
      <c r="W317" s="138">
        <f>IF('1.DATOS-PROD'!AF318="SI",VLOOKUP('1.DATOS-PROD'!AF$2,'1.PUNTOS'!$A$1:$B$63,2,0),0)</f>
        <v>0</v>
      </c>
      <c r="X317" s="138">
        <f>IF('1.DATOS-PROD'!AG318="SI",VLOOKUP('1.DATOS-PROD'!AG$2,'1.PUNTOS'!$A$1:$B$63,2,0),0)</f>
        <v>0</v>
      </c>
      <c r="Y317" s="138">
        <f>IF('1.DATOS-PROD'!AH318="SI",VLOOKUP('1.DATOS-PROD'!AH$2,'1.PUNTOS'!$A$1:$B$63,2,0),0)</f>
        <v>0</v>
      </c>
      <c r="Z317" s="138">
        <f>IF('1.DATOS-PROD'!AI318="SI",VLOOKUP('1.DATOS-PROD'!AI$2,'1.PUNTOS'!$A$1:$B$63,2,0),0)</f>
        <v>0</v>
      </c>
      <c r="AA317" s="138">
        <f>IF('1.DATOS-PROD'!AJ318="SI",VLOOKUP('1.DATOS-PROD'!AJ$2,'1.PUNTOS'!$A$1:$B$63,2,0),0)</f>
        <v>0</v>
      </c>
      <c r="AB317" s="138">
        <f>IF('1.DATOS-PROD'!AK318="SI",VLOOKUP('1.DATOS-PROD'!AK$2,'1.PUNTOS'!$A$1:$B$63,2,0),0)</f>
        <v>0</v>
      </c>
      <c r="AC317" s="138">
        <f>IF('1.DATOS-PROD'!AL318="SI",VLOOKUP('1.DATOS-PROD'!AL$2,'1.PUNTOS'!$A$1:$B$63,2,0),0)</f>
        <v>0</v>
      </c>
      <c r="AD317" s="138">
        <f>IF('1.DATOS-PROD'!AM318="SI",VLOOKUP('1.DATOS-PROD'!AM$2,'1.PUNTOS'!$A$1:$B$63,2,0),0)</f>
        <v>0</v>
      </c>
      <c r="AE317" s="138">
        <f>IF('1.DATOS-PROD'!AN318="SI",VLOOKUP('1.DATOS-PROD'!AN$2,'1.PUNTOS'!$A$1:$B$63,2,0),0)</f>
        <v>0</v>
      </c>
      <c r="AF317" s="138">
        <f>IF('1.DATOS-PROD'!AO318="SI",VLOOKUP('1.DATOS-PROD'!AO$2,'1.PUNTOS'!$A$1:$B$63,2,0),0)</f>
        <v>0</v>
      </c>
      <c r="AG317" s="138">
        <f>IF('1.DATOS-PROD'!AP318="SI",VLOOKUP('1.DATOS-PROD'!AP$2,'1.PUNTOS'!$A$1:$B$63,2,0),0)</f>
        <v>0</v>
      </c>
      <c r="AH317" s="138">
        <f>IF('1.DATOS-PROD'!AQ318="SI",VLOOKUP('1.DATOS-PROD'!AQ$2,'1.PUNTOS'!$A$1:$B$63,2,0),0)</f>
        <v>0</v>
      </c>
      <c r="AI317" s="138">
        <f>IF('1.DATOS-PROD'!AR318="SI",VLOOKUP('1.DATOS-PROD'!AR$2,'1.PUNTOS'!$A$1:$B$63,2,0),0)</f>
        <v>0</v>
      </c>
      <c r="AJ317" s="138">
        <f>IF('1.DATOS-PROD'!AS318="SI",VLOOKUP('1.DATOS-PROD'!AS$2,'1.PUNTOS'!$A$1:$B$63,2,0),0)</f>
        <v>0</v>
      </c>
      <c r="AK317" s="138">
        <f>IF('1.DATOS-PROD'!AT318="SI",VLOOKUP('1.DATOS-PROD'!AT$2,'1.PUNTOS'!$A$1:$B$63,2,0),0)</f>
        <v>0</v>
      </c>
      <c r="AL317" s="138">
        <f>IF('1.DATOS-PROD'!AU318="SI",VLOOKUP('1.DATOS-PROD'!AU$2,'1.PUNTOS'!$A$1:$B$63,2,0),0)</f>
        <v>0</v>
      </c>
      <c r="AM317" s="138">
        <f>IF('1.DATOS-PROD'!AV318="SI",VLOOKUP('1.DATOS-PROD'!AV$2,'1.PUNTOS'!$A$1:$B$63,2,0),0)</f>
        <v>0</v>
      </c>
      <c r="AN317" s="138">
        <f>IF('1.DATOS-PROD'!AW318="SI",VLOOKUP('1.DATOS-PROD'!AW$2,'1.PUNTOS'!$A$1:$B$63,2,0),0)</f>
        <v>0</v>
      </c>
      <c r="AO317" s="138">
        <f>IF('1.DATOS-PROD'!AX318="SI",VLOOKUP('1.DATOS-PROD'!AX$2,'1.PUNTOS'!$A$1:$B$63,2,0),0)</f>
        <v>0</v>
      </c>
      <c r="AP317" s="138">
        <f>IF('1.DATOS-PROD'!AY318="SI",VLOOKUP('1.DATOS-PROD'!AY$2,'1.PUNTOS'!$A$1:$B$63,2,0),0)</f>
        <v>0</v>
      </c>
      <c r="AQ317" s="138">
        <f>IF('1.DATOS-PROD'!AZ318="SI",VLOOKUP('1.DATOS-PROD'!AZ$2,'1.PUNTOS'!$A$1:$B$63,2,0),0)</f>
        <v>0</v>
      </c>
      <c r="AR317" s="138">
        <f>IF('1.DATOS-PROD'!BA318="SI",VLOOKUP('1.DATOS-PROD'!BA$2,'1.PUNTOS'!$A$1:$B$63,2,0),0)</f>
        <v>0</v>
      </c>
      <c r="AS317" s="138">
        <f>IF('1.DATOS-PROD'!BB318="SI",VLOOKUP('1.DATOS-PROD'!BB$2,'1.PUNTOS'!$A$1:$B$63,2,0),0)</f>
        <v>0</v>
      </c>
      <c r="AT317" s="138">
        <f>IF('1.DATOS-PROD'!BC318="SI",VLOOKUP('1.DATOS-PROD'!BC$2,'1.PUNTOS'!$A$1:$B$63,2,0),0)</f>
        <v>0</v>
      </c>
      <c r="AU317" s="138">
        <f>IF('1.DATOS-PROD'!BD318="SI",VLOOKUP('1.DATOS-PROD'!BD$2,'1.PUNTOS'!$A$1:$B$63,2,0),0)</f>
        <v>0</v>
      </c>
      <c r="AV317" s="138">
        <f>IF('1.DATOS-PROD'!BE318="SI",VLOOKUP('1.DATOS-PROD'!BE$2,'1.PUNTOS'!$A$1:$B$63,2,0),0)</f>
        <v>0</v>
      </c>
      <c r="AW317" s="138">
        <f>IF('1.DATOS-PROD'!BF318="SI",VLOOKUP('1.DATOS-PROD'!BF$2,'1.PUNTOS'!$A$1:$B$63,2,0),0)</f>
        <v>0</v>
      </c>
      <c r="AX317" s="138">
        <f>IF('1.DATOS-PROD'!BG318="SI",VLOOKUP('1.DATOS-PROD'!BG$2,'1.PUNTOS'!$A$1:$B$63,2,0),0)</f>
        <v>0</v>
      </c>
      <c r="AY317" s="138">
        <f>IF('1.DATOS-PROD'!BH318="SI",VLOOKUP('1.DATOS-PROD'!BH$2,'1.PUNTOS'!$A$1:$B$63,2,0),0)</f>
        <v>0</v>
      </c>
      <c r="AZ317" s="138">
        <f>IF('1.DATOS-PROD'!BI318="SI",VLOOKUP('1.DATOS-PROD'!BI$2,'1.PUNTOS'!$A$1:$B$63,2,0),0)</f>
        <v>0</v>
      </c>
      <c r="BA317" s="138">
        <f>IF('1.DATOS-PROD'!BJ318="SI",VLOOKUP('1.DATOS-PROD'!BJ$2,'1.PUNTOS'!$A$1:$B$63,2,0),0)</f>
        <v>0</v>
      </c>
      <c r="BB317" s="138">
        <f>IF('1.DATOS-PROD'!BK318="SI",VLOOKUP('1.DATOS-PROD'!BK$2,'1.PUNTOS'!$A$1:$B$63,2,0),0)</f>
        <v>0</v>
      </c>
      <c r="BC317" s="138">
        <f>IF('1.DATOS-PROD'!BL318="SI",VLOOKUP('1.DATOS-PROD'!BL$2,'1.PUNTOS'!$A$1:$B$63,2,0),0)</f>
        <v>0</v>
      </c>
      <c r="BD317" s="138">
        <f>IF('1.DATOS-PROD'!BM318="SI",VLOOKUP('1.DATOS-PROD'!BM$2,'1.PUNTOS'!$A$1:$B$63,2,0),0)</f>
        <v>0</v>
      </c>
      <c r="BE317" s="138">
        <f>IF('1.DATOS-PROD'!BN318="SI",VLOOKUP('1.DATOS-PROD'!BN$2,'1.PUNTOS'!$A$1:$B$63,2,0),0)</f>
        <v>0</v>
      </c>
      <c r="BF317" s="138">
        <f>IF('1.DATOS-PROD'!BO318="SI",VLOOKUP('1.DATOS-PROD'!BO$2,'1.PUNTOS'!$A$1:$B$63,2,0),0)</f>
        <v>0</v>
      </c>
      <c r="BG317" s="138">
        <f>IF('1.DATOS-PROD'!BP318="SI",VLOOKUP('1.DATOS-PROD'!BP$2,'1.PUNTOS'!$A$1:$B$63,2,0),0)</f>
        <v>0</v>
      </c>
      <c r="BH317" s="138">
        <f>IF('1.DATOS-PROD'!BQ318="SI",VLOOKUP('1.DATOS-PROD'!BQ$2,'1.PUNTOS'!$A$1:$B$63,2,0),0)</f>
        <v>0</v>
      </c>
      <c r="BI317" s="138">
        <f>IF('1.DATOS-PROD'!BR318="SI",VLOOKUP('1.DATOS-PROD'!BR$2,'1.PUNTOS'!$A$1:$B$63,2,0),0)</f>
        <v>0</v>
      </c>
      <c r="BJ317" s="138">
        <f>IF('1.DATOS-PROD'!BS318="SI",VLOOKUP('1.DATOS-PROD'!BS$2,'1.PUNTOS'!$A$1:$B$63,2,0),0)</f>
        <v>0</v>
      </c>
      <c r="BK317" s="138">
        <f>IF('1.DATOS-PROD'!BT318="SI",VLOOKUP('1.DATOS-PROD'!BT$2,'1.PUNTOS'!$A$1:$B$63,2,0),0)</f>
        <v>0</v>
      </c>
    </row>
    <row r="318" spans="1:63" x14ac:dyDescent="0.25">
      <c r="A318">
        <f>'0.Consolidado general'!$A319</f>
        <v>0</v>
      </c>
      <c r="B318" s="138">
        <f>IF('1.DATOS-PROD'!K319="SI",VLOOKUP('1.DATOS-PROD'!K$2,'1.PUNTOS'!$A$1:$B$63,2,0),0)</f>
        <v>0</v>
      </c>
      <c r="C318" s="138">
        <f>IF('1.DATOS-PROD'!L319="SI",VLOOKUP('1.DATOS-PROD'!L$2,'1.PUNTOS'!$A$1:$B$63,2,0),0)</f>
        <v>0</v>
      </c>
      <c r="D318" s="138">
        <f>IF('1.DATOS-PROD'!M319="SI",VLOOKUP('1.DATOS-PROD'!M$2,'1.PUNTOS'!$A$1:$B$63,2,0),0)</f>
        <v>0</v>
      </c>
      <c r="E318" s="138">
        <f>IF('1.DATOS-PROD'!N319="SI",VLOOKUP('1.DATOS-PROD'!N$2,'1.PUNTOS'!$A$1:$B$63,2,0),0)</f>
        <v>0</v>
      </c>
      <c r="F318" s="138">
        <f>IF('1.DATOS-PROD'!O319="SI",VLOOKUP('1.DATOS-PROD'!O$2,'1.PUNTOS'!$A$1:$B$63,2,0),0)</f>
        <v>0</v>
      </c>
      <c r="G318" s="138">
        <f>IF('1.DATOS-PROD'!P319="SI",VLOOKUP('1.DATOS-PROD'!P$2,'1.PUNTOS'!$A$1:$B$63,2,0),0)</f>
        <v>0</v>
      </c>
      <c r="H318" s="138">
        <f>IF('1.DATOS-PROD'!Q319="SI",VLOOKUP('1.DATOS-PROD'!Q$2,'1.PUNTOS'!$A$1:$B$63,2,0),0)</f>
        <v>0</v>
      </c>
      <c r="I318" s="138">
        <f>IF('1.DATOS-PROD'!R319="SI",VLOOKUP('1.DATOS-PROD'!R$2,'1.PUNTOS'!$A$1:$B$63,2,0),0)</f>
        <v>0</v>
      </c>
      <c r="J318" s="138">
        <f>IF('1.DATOS-PROD'!S319="SI",VLOOKUP('1.DATOS-PROD'!S$2,'1.PUNTOS'!$A$1:$B$63,2,0),0)</f>
        <v>0</v>
      </c>
      <c r="K318" s="138">
        <f>IF('1.DATOS-PROD'!T319="SI",VLOOKUP('1.DATOS-PROD'!T$2,'1.PUNTOS'!$A$1:$B$63,2,0),0)</f>
        <v>0</v>
      </c>
      <c r="L318" s="138">
        <f>IF('1.DATOS-PROD'!U319="SI",VLOOKUP('1.DATOS-PROD'!U$2,'1.PUNTOS'!$A$1:$B$63,2,0),0)</f>
        <v>0</v>
      </c>
      <c r="M318" s="138">
        <f>IF('1.DATOS-PROD'!V319="SI",VLOOKUP('1.DATOS-PROD'!V$2,'1.PUNTOS'!$A$1:$B$63,2,0),0)</f>
        <v>0</v>
      </c>
      <c r="N318" s="138">
        <f>IF('1.DATOS-PROD'!W319="SI",VLOOKUP('1.DATOS-PROD'!W$2,'1.PUNTOS'!$A$1:$B$63,2,0),0)</f>
        <v>0</v>
      </c>
      <c r="O318" s="138">
        <f>IF('1.DATOS-PROD'!X319="SI",VLOOKUP('1.DATOS-PROD'!X$2,'1.PUNTOS'!$A$1:$B$63,2,0),0)</f>
        <v>0</v>
      </c>
      <c r="P318" s="138">
        <f>IF('1.DATOS-PROD'!Y319="SI",VLOOKUP('1.DATOS-PROD'!Y$2,'1.PUNTOS'!$A$1:$B$63,2,0),0)</f>
        <v>0</v>
      </c>
      <c r="Q318" s="138">
        <f>IF('1.DATOS-PROD'!Z319="SI",VLOOKUP('1.DATOS-PROD'!Z$2,'1.PUNTOS'!$A$1:$B$63,2,0),0)</f>
        <v>0</v>
      </c>
      <c r="R318" s="138">
        <f>IF('1.DATOS-PROD'!AA319="SI",VLOOKUP('1.DATOS-PROD'!AA$2,'1.PUNTOS'!$A$1:$B$63,2,0),0)</f>
        <v>0</v>
      </c>
      <c r="S318" s="138">
        <f>IF('1.DATOS-PROD'!AB319="SI",VLOOKUP('1.DATOS-PROD'!AB$2,'1.PUNTOS'!$A$1:$B$63,2,0),0)</f>
        <v>0</v>
      </c>
      <c r="T318" s="138">
        <f>IF('1.DATOS-PROD'!AC319="SI",VLOOKUP('1.DATOS-PROD'!AC$2,'1.PUNTOS'!$A$1:$B$63,2,0),0)</f>
        <v>0</v>
      </c>
      <c r="U318" s="138">
        <f>IF('1.DATOS-PROD'!AD319="SI",VLOOKUP('1.DATOS-PROD'!AD$2,'1.PUNTOS'!$A$1:$B$63,2,0),0)</f>
        <v>0</v>
      </c>
      <c r="V318" s="138">
        <f>IF('1.DATOS-PROD'!AE319="SI",VLOOKUP('1.DATOS-PROD'!AE$2,'1.PUNTOS'!$A$1:$B$63,2,0),0)</f>
        <v>0</v>
      </c>
      <c r="W318" s="138">
        <f>IF('1.DATOS-PROD'!AF319="SI",VLOOKUP('1.DATOS-PROD'!AF$2,'1.PUNTOS'!$A$1:$B$63,2,0),0)</f>
        <v>0</v>
      </c>
      <c r="X318" s="138">
        <f>IF('1.DATOS-PROD'!AG319="SI",VLOOKUP('1.DATOS-PROD'!AG$2,'1.PUNTOS'!$A$1:$B$63,2,0),0)</f>
        <v>0</v>
      </c>
      <c r="Y318" s="138">
        <f>IF('1.DATOS-PROD'!AH319="SI",VLOOKUP('1.DATOS-PROD'!AH$2,'1.PUNTOS'!$A$1:$B$63,2,0),0)</f>
        <v>0</v>
      </c>
      <c r="Z318" s="138">
        <f>IF('1.DATOS-PROD'!AI319="SI",VLOOKUP('1.DATOS-PROD'!AI$2,'1.PUNTOS'!$A$1:$B$63,2,0),0)</f>
        <v>0</v>
      </c>
      <c r="AA318" s="138">
        <f>IF('1.DATOS-PROD'!AJ319="SI",VLOOKUP('1.DATOS-PROD'!AJ$2,'1.PUNTOS'!$A$1:$B$63,2,0),0)</f>
        <v>0</v>
      </c>
      <c r="AB318" s="138">
        <f>IF('1.DATOS-PROD'!AK319="SI",VLOOKUP('1.DATOS-PROD'!AK$2,'1.PUNTOS'!$A$1:$B$63,2,0),0)</f>
        <v>0</v>
      </c>
      <c r="AC318" s="138">
        <f>IF('1.DATOS-PROD'!AL319="SI",VLOOKUP('1.DATOS-PROD'!AL$2,'1.PUNTOS'!$A$1:$B$63,2,0),0)</f>
        <v>0</v>
      </c>
      <c r="AD318" s="138">
        <f>IF('1.DATOS-PROD'!AM319="SI",VLOOKUP('1.DATOS-PROD'!AM$2,'1.PUNTOS'!$A$1:$B$63,2,0),0)</f>
        <v>0</v>
      </c>
      <c r="AE318" s="138">
        <f>IF('1.DATOS-PROD'!AN319="SI",VLOOKUP('1.DATOS-PROD'!AN$2,'1.PUNTOS'!$A$1:$B$63,2,0),0)</f>
        <v>0</v>
      </c>
      <c r="AF318" s="138">
        <f>IF('1.DATOS-PROD'!AO319="SI",VLOOKUP('1.DATOS-PROD'!AO$2,'1.PUNTOS'!$A$1:$B$63,2,0),0)</f>
        <v>0</v>
      </c>
      <c r="AG318" s="138">
        <f>IF('1.DATOS-PROD'!AP319="SI",VLOOKUP('1.DATOS-PROD'!AP$2,'1.PUNTOS'!$A$1:$B$63,2,0),0)</f>
        <v>0</v>
      </c>
      <c r="AH318" s="138">
        <f>IF('1.DATOS-PROD'!AQ319="SI",VLOOKUP('1.DATOS-PROD'!AQ$2,'1.PUNTOS'!$A$1:$B$63,2,0),0)</f>
        <v>0</v>
      </c>
      <c r="AI318" s="138">
        <f>IF('1.DATOS-PROD'!AR319="SI",VLOOKUP('1.DATOS-PROD'!AR$2,'1.PUNTOS'!$A$1:$B$63,2,0),0)</f>
        <v>0</v>
      </c>
      <c r="AJ318" s="138">
        <f>IF('1.DATOS-PROD'!AS319="SI",VLOOKUP('1.DATOS-PROD'!AS$2,'1.PUNTOS'!$A$1:$B$63,2,0),0)</f>
        <v>0</v>
      </c>
      <c r="AK318" s="138">
        <f>IF('1.DATOS-PROD'!AT319="SI",VLOOKUP('1.DATOS-PROD'!AT$2,'1.PUNTOS'!$A$1:$B$63,2,0),0)</f>
        <v>0</v>
      </c>
      <c r="AL318" s="138">
        <f>IF('1.DATOS-PROD'!AU319="SI",VLOOKUP('1.DATOS-PROD'!AU$2,'1.PUNTOS'!$A$1:$B$63,2,0),0)</f>
        <v>0</v>
      </c>
      <c r="AM318" s="138">
        <f>IF('1.DATOS-PROD'!AV319="SI",VLOOKUP('1.DATOS-PROD'!AV$2,'1.PUNTOS'!$A$1:$B$63,2,0),0)</f>
        <v>0</v>
      </c>
      <c r="AN318" s="138">
        <f>IF('1.DATOS-PROD'!AW319="SI",VLOOKUP('1.DATOS-PROD'!AW$2,'1.PUNTOS'!$A$1:$B$63,2,0),0)</f>
        <v>0</v>
      </c>
      <c r="AO318" s="138">
        <f>IF('1.DATOS-PROD'!AX319="SI",VLOOKUP('1.DATOS-PROD'!AX$2,'1.PUNTOS'!$A$1:$B$63,2,0),0)</f>
        <v>0</v>
      </c>
      <c r="AP318" s="138">
        <f>IF('1.DATOS-PROD'!AY319="SI",VLOOKUP('1.DATOS-PROD'!AY$2,'1.PUNTOS'!$A$1:$B$63,2,0),0)</f>
        <v>0</v>
      </c>
      <c r="AQ318" s="138">
        <f>IF('1.DATOS-PROD'!AZ319="SI",VLOOKUP('1.DATOS-PROD'!AZ$2,'1.PUNTOS'!$A$1:$B$63,2,0),0)</f>
        <v>0</v>
      </c>
      <c r="AR318" s="138">
        <f>IF('1.DATOS-PROD'!BA319="SI",VLOOKUP('1.DATOS-PROD'!BA$2,'1.PUNTOS'!$A$1:$B$63,2,0),0)</f>
        <v>0</v>
      </c>
      <c r="AS318" s="138">
        <f>IF('1.DATOS-PROD'!BB319="SI",VLOOKUP('1.DATOS-PROD'!BB$2,'1.PUNTOS'!$A$1:$B$63,2,0),0)</f>
        <v>0</v>
      </c>
      <c r="AT318" s="138">
        <f>IF('1.DATOS-PROD'!BC319="SI",VLOOKUP('1.DATOS-PROD'!BC$2,'1.PUNTOS'!$A$1:$B$63,2,0),0)</f>
        <v>0</v>
      </c>
      <c r="AU318" s="138">
        <f>IF('1.DATOS-PROD'!BD319="SI",VLOOKUP('1.DATOS-PROD'!BD$2,'1.PUNTOS'!$A$1:$B$63,2,0),0)</f>
        <v>0</v>
      </c>
      <c r="AV318" s="138">
        <f>IF('1.DATOS-PROD'!BE319="SI",VLOOKUP('1.DATOS-PROD'!BE$2,'1.PUNTOS'!$A$1:$B$63,2,0),0)</f>
        <v>0</v>
      </c>
      <c r="AW318" s="138">
        <f>IF('1.DATOS-PROD'!BF319="SI",VLOOKUP('1.DATOS-PROD'!BF$2,'1.PUNTOS'!$A$1:$B$63,2,0),0)</f>
        <v>0</v>
      </c>
      <c r="AX318" s="138">
        <f>IF('1.DATOS-PROD'!BG319="SI",VLOOKUP('1.DATOS-PROD'!BG$2,'1.PUNTOS'!$A$1:$B$63,2,0),0)</f>
        <v>0</v>
      </c>
      <c r="AY318" s="138">
        <f>IF('1.DATOS-PROD'!BH319="SI",VLOOKUP('1.DATOS-PROD'!BH$2,'1.PUNTOS'!$A$1:$B$63,2,0),0)</f>
        <v>0</v>
      </c>
      <c r="AZ318" s="138">
        <f>IF('1.DATOS-PROD'!BI319="SI",VLOOKUP('1.DATOS-PROD'!BI$2,'1.PUNTOS'!$A$1:$B$63,2,0),0)</f>
        <v>0</v>
      </c>
      <c r="BA318" s="138">
        <f>IF('1.DATOS-PROD'!BJ319="SI",VLOOKUP('1.DATOS-PROD'!BJ$2,'1.PUNTOS'!$A$1:$B$63,2,0),0)</f>
        <v>0</v>
      </c>
      <c r="BB318" s="138">
        <f>IF('1.DATOS-PROD'!BK319="SI",VLOOKUP('1.DATOS-PROD'!BK$2,'1.PUNTOS'!$A$1:$B$63,2,0),0)</f>
        <v>0</v>
      </c>
      <c r="BC318" s="138">
        <f>IF('1.DATOS-PROD'!BL319="SI",VLOOKUP('1.DATOS-PROD'!BL$2,'1.PUNTOS'!$A$1:$B$63,2,0),0)</f>
        <v>0</v>
      </c>
      <c r="BD318" s="138">
        <f>IF('1.DATOS-PROD'!BM319="SI",VLOOKUP('1.DATOS-PROD'!BM$2,'1.PUNTOS'!$A$1:$B$63,2,0),0)</f>
        <v>0</v>
      </c>
      <c r="BE318" s="138">
        <f>IF('1.DATOS-PROD'!BN319="SI",VLOOKUP('1.DATOS-PROD'!BN$2,'1.PUNTOS'!$A$1:$B$63,2,0),0)</f>
        <v>0</v>
      </c>
      <c r="BF318" s="138">
        <f>IF('1.DATOS-PROD'!BO319="SI",VLOOKUP('1.DATOS-PROD'!BO$2,'1.PUNTOS'!$A$1:$B$63,2,0),0)</f>
        <v>0</v>
      </c>
      <c r="BG318" s="138">
        <f>IF('1.DATOS-PROD'!BP319="SI",VLOOKUP('1.DATOS-PROD'!BP$2,'1.PUNTOS'!$A$1:$B$63,2,0),0)</f>
        <v>0</v>
      </c>
      <c r="BH318" s="138">
        <f>IF('1.DATOS-PROD'!BQ319="SI",VLOOKUP('1.DATOS-PROD'!BQ$2,'1.PUNTOS'!$A$1:$B$63,2,0),0)</f>
        <v>0</v>
      </c>
      <c r="BI318" s="138">
        <f>IF('1.DATOS-PROD'!BR319="SI",VLOOKUP('1.DATOS-PROD'!BR$2,'1.PUNTOS'!$A$1:$B$63,2,0),0)</f>
        <v>0</v>
      </c>
      <c r="BJ318" s="138">
        <f>IF('1.DATOS-PROD'!BS319="SI",VLOOKUP('1.DATOS-PROD'!BS$2,'1.PUNTOS'!$A$1:$B$63,2,0),0)</f>
        <v>0</v>
      </c>
      <c r="BK318" s="138">
        <f>IF('1.DATOS-PROD'!BT319="SI",VLOOKUP('1.DATOS-PROD'!BT$2,'1.PUNTOS'!$A$1:$B$63,2,0),0)</f>
        <v>0</v>
      </c>
    </row>
    <row r="319" spans="1:63" x14ac:dyDescent="0.25">
      <c r="A319">
        <f>'0.Consolidado general'!$A320</f>
        <v>0</v>
      </c>
      <c r="B319" s="138">
        <f>IF('1.DATOS-PROD'!K320="SI",VLOOKUP('1.DATOS-PROD'!K$2,'1.PUNTOS'!$A$1:$B$63,2,0),0)</f>
        <v>0</v>
      </c>
      <c r="C319" s="138">
        <f>IF('1.DATOS-PROD'!L320="SI",VLOOKUP('1.DATOS-PROD'!L$2,'1.PUNTOS'!$A$1:$B$63,2,0),0)</f>
        <v>0</v>
      </c>
      <c r="D319" s="138">
        <f>IF('1.DATOS-PROD'!M320="SI",VLOOKUP('1.DATOS-PROD'!M$2,'1.PUNTOS'!$A$1:$B$63,2,0),0)</f>
        <v>0</v>
      </c>
      <c r="E319" s="138">
        <f>IF('1.DATOS-PROD'!N320="SI",VLOOKUP('1.DATOS-PROD'!N$2,'1.PUNTOS'!$A$1:$B$63,2,0),0)</f>
        <v>0</v>
      </c>
      <c r="F319" s="138">
        <f>IF('1.DATOS-PROD'!O320="SI",VLOOKUP('1.DATOS-PROD'!O$2,'1.PUNTOS'!$A$1:$B$63,2,0),0)</f>
        <v>0</v>
      </c>
      <c r="G319" s="138">
        <f>IF('1.DATOS-PROD'!P320="SI",VLOOKUP('1.DATOS-PROD'!P$2,'1.PUNTOS'!$A$1:$B$63,2,0),0)</f>
        <v>0</v>
      </c>
      <c r="H319" s="138">
        <f>IF('1.DATOS-PROD'!Q320="SI",VLOOKUP('1.DATOS-PROD'!Q$2,'1.PUNTOS'!$A$1:$B$63,2,0),0)</f>
        <v>0</v>
      </c>
      <c r="I319" s="138">
        <f>IF('1.DATOS-PROD'!R320="SI",VLOOKUP('1.DATOS-PROD'!R$2,'1.PUNTOS'!$A$1:$B$63,2,0),0)</f>
        <v>0</v>
      </c>
      <c r="J319" s="138">
        <f>IF('1.DATOS-PROD'!S320="SI",VLOOKUP('1.DATOS-PROD'!S$2,'1.PUNTOS'!$A$1:$B$63,2,0),0)</f>
        <v>0</v>
      </c>
      <c r="K319" s="138">
        <f>IF('1.DATOS-PROD'!T320="SI",VLOOKUP('1.DATOS-PROD'!T$2,'1.PUNTOS'!$A$1:$B$63,2,0),0)</f>
        <v>0</v>
      </c>
      <c r="L319" s="138">
        <f>IF('1.DATOS-PROD'!U320="SI",VLOOKUP('1.DATOS-PROD'!U$2,'1.PUNTOS'!$A$1:$B$63,2,0),0)</f>
        <v>0</v>
      </c>
      <c r="M319" s="138">
        <f>IF('1.DATOS-PROD'!V320="SI",VLOOKUP('1.DATOS-PROD'!V$2,'1.PUNTOS'!$A$1:$B$63,2,0),0)</f>
        <v>0</v>
      </c>
      <c r="N319" s="138">
        <f>IF('1.DATOS-PROD'!W320="SI",VLOOKUP('1.DATOS-PROD'!W$2,'1.PUNTOS'!$A$1:$B$63,2,0),0)</f>
        <v>0</v>
      </c>
      <c r="O319" s="138">
        <f>IF('1.DATOS-PROD'!X320="SI",VLOOKUP('1.DATOS-PROD'!X$2,'1.PUNTOS'!$A$1:$B$63,2,0),0)</f>
        <v>0</v>
      </c>
      <c r="P319" s="138">
        <f>IF('1.DATOS-PROD'!Y320="SI",VLOOKUP('1.DATOS-PROD'!Y$2,'1.PUNTOS'!$A$1:$B$63,2,0),0)</f>
        <v>0</v>
      </c>
      <c r="Q319" s="138">
        <f>IF('1.DATOS-PROD'!Z320="SI",VLOOKUP('1.DATOS-PROD'!Z$2,'1.PUNTOS'!$A$1:$B$63,2,0),0)</f>
        <v>0</v>
      </c>
      <c r="R319" s="138">
        <f>IF('1.DATOS-PROD'!AA320="SI",VLOOKUP('1.DATOS-PROD'!AA$2,'1.PUNTOS'!$A$1:$B$63,2,0),0)</f>
        <v>0</v>
      </c>
      <c r="S319" s="138">
        <f>IF('1.DATOS-PROD'!AB320="SI",VLOOKUP('1.DATOS-PROD'!AB$2,'1.PUNTOS'!$A$1:$B$63,2,0),0)</f>
        <v>0</v>
      </c>
      <c r="T319" s="138">
        <f>IF('1.DATOS-PROD'!AC320="SI",VLOOKUP('1.DATOS-PROD'!AC$2,'1.PUNTOS'!$A$1:$B$63,2,0),0)</f>
        <v>0</v>
      </c>
      <c r="U319" s="138">
        <f>IF('1.DATOS-PROD'!AD320="SI",VLOOKUP('1.DATOS-PROD'!AD$2,'1.PUNTOS'!$A$1:$B$63,2,0),0)</f>
        <v>0</v>
      </c>
      <c r="V319" s="138">
        <f>IF('1.DATOS-PROD'!AE320="SI",VLOOKUP('1.DATOS-PROD'!AE$2,'1.PUNTOS'!$A$1:$B$63,2,0),0)</f>
        <v>0</v>
      </c>
      <c r="W319" s="138">
        <f>IF('1.DATOS-PROD'!AF320="SI",VLOOKUP('1.DATOS-PROD'!AF$2,'1.PUNTOS'!$A$1:$B$63,2,0),0)</f>
        <v>0</v>
      </c>
      <c r="X319" s="138">
        <f>IF('1.DATOS-PROD'!AG320="SI",VLOOKUP('1.DATOS-PROD'!AG$2,'1.PUNTOS'!$A$1:$B$63,2,0),0)</f>
        <v>0</v>
      </c>
      <c r="Y319" s="138">
        <f>IF('1.DATOS-PROD'!AH320="SI",VLOOKUP('1.DATOS-PROD'!AH$2,'1.PUNTOS'!$A$1:$B$63,2,0),0)</f>
        <v>0</v>
      </c>
      <c r="Z319" s="138">
        <f>IF('1.DATOS-PROD'!AI320="SI",VLOOKUP('1.DATOS-PROD'!AI$2,'1.PUNTOS'!$A$1:$B$63,2,0),0)</f>
        <v>0</v>
      </c>
      <c r="AA319" s="138">
        <f>IF('1.DATOS-PROD'!AJ320="SI",VLOOKUP('1.DATOS-PROD'!AJ$2,'1.PUNTOS'!$A$1:$B$63,2,0),0)</f>
        <v>0</v>
      </c>
      <c r="AB319" s="138">
        <f>IF('1.DATOS-PROD'!AK320="SI",VLOOKUP('1.DATOS-PROD'!AK$2,'1.PUNTOS'!$A$1:$B$63,2,0),0)</f>
        <v>0</v>
      </c>
      <c r="AC319" s="138">
        <f>IF('1.DATOS-PROD'!AL320="SI",VLOOKUP('1.DATOS-PROD'!AL$2,'1.PUNTOS'!$A$1:$B$63,2,0),0)</f>
        <v>0</v>
      </c>
      <c r="AD319" s="138">
        <f>IF('1.DATOS-PROD'!AM320="SI",VLOOKUP('1.DATOS-PROD'!AM$2,'1.PUNTOS'!$A$1:$B$63,2,0),0)</f>
        <v>0</v>
      </c>
      <c r="AE319" s="138">
        <f>IF('1.DATOS-PROD'!AN320="SI",VLOOKUP('1.DATOS-PROD'!AN$2,'1.PUNTOS'!$A$1:$B$63,2,0),0)</f>
        <v>0</v>
      </c>
      <c r="AF319" s="138">
        <f>IF('1.DATOS-PROD'!AO320="SI",VLOOKUP('1.DATOS-PROD'!AO$2,'1.PUNTOS'!$A$1:$B$63,2,0),0)</f>
        <v>0</v>
      </c>
      <c r="AG319" s="138">
        <f>IF('1.DATOS-PROD'!AP320="SI",VLOOKUP('1.DATOS-PROD'!AP$2,'1.PUNTOS'!$A$1:$B$63,2,0),0)</f>
        <v>0</v>
      </c>
      <c r="AH319" s="138">
        <f>IF('1.DATOS-PROD'!AQ320="SI",VLOOKUP('1.DATOS-PROD'!AQ$2,'1.PUNTOS'!$A$1:$B$63,2,0),0)</f>
        <v>0</v>
      </c>
      <c r="AI319" s="138">
        <f>IF('1.DATOS-PROD'!AR320="SI",VLOOKUP('1.DATOS-PROD'!AR$2,'1.PUNTOS'!$A$1:$B$63,2,0),0)</f>
        <v>0</v>
      </c>
      <c r="AJ319" s="138">
        <f>IF('1.DATOS-PROD'!AS320="SI",VLOOKUP('1.DATOS-PROD'!AS$2,'1.PUNTOS'!$A$1:$B$63,2,0),0)</f>
        <v>0</v>
      </c>
      <c r="AK319" s="138">
        <f>IF('1.DATOS-PROD'!AT320="SI",VLOOKUP('1.DATOS-PROD'!AT$2,'1.PUNTOS'!$A$1:$B$63,2,0),0)</f>
        <v>0</v>
      </c>
      <c r="AL319" s="138">
        <f>IF('1.DATOS-PROD'!AU320="SI",VLOOKUP('1.DATOS-PROD'!AU$2,'1.PUNTOS'!$A$1:$B$63,2,0),0)</f>
        <v>0</v>
      </c>
      <c r="AM319" s="138">
        <f>IF('1.DATOS-PROD'!AV320="SI",VLOOKUP('1.DATOS-PROD'!AV$2,'1.PUNTOS'!$A$1:$B$63,2,0),0)</f>
        <v>0</v>
      </c>
      <c r="AN319" s="138">
        <f>IF('1.DATOS-PROD'!AW320="SI",VLOOKUP('1.DATOS-PROD'!AW$2,'1.PUNTOS'!$A$1:$B$63,2,0),0)</f>
        <v>0</v>
      </c>
      <c r="AO319" s="138">
        <f>IF('1.DATOS-PROD'!AX320="SI",VLOOKUP('1.DATOS-PROD'!AX$2,'1.PUNTOS'!$A$1:$B$63,2,0),0)</f>
        <v>0</v>
      </c>
      <c r="AP319" s="138">
        <f>IF('1.DATOS-PROD'!AY320="SI",VLOOKUP('1.DATOS-PROD'!AY$2,'1.PUNTOS'!$A$1:$B$63,2,0),0)</f>
        <v>0</v>
      </c>
      <c r="AQ319" s="138">
        <f>IF('1.DATOS-PROD'!AZ320="SI",VLOOKUP('1.DATOS-PROD'!AZ$2,'1.PUNTOS'!$A$1:$B$63,2,0),0)</f>
        <v>0</v>
      </c>
      <c r="AR319" s="138">
        <f>IF('1.DATOS-PROD'!BA320="SI",VLOOKUP('1.DATOS-PROD'!BA$2,'1.PUNTOS'!$A$1:$B$63,2,0),0)</f>
        <v>0</v>
      </c>
      <c r="AS319" s="138">
        <f>IF('1.DATOS-PROD'!BB320="SI",VLOOKUP('1.DATOS-PROD'!BB$2,'1.PUNTOS'!$A$1:$B$63,2,0),0)</f>
        <v>0</v>
      </c>
      <c r="AT319" s="138">
        <f>IF('1.DATOS-PROD'!BC320="SI",VLOOKUP('1.DATOS-PROD'!BC$2,'1.PUNTOS'!$A$1:$B$63,2,0),0)</f>
        <v>0</v>
      </c>
      <c r="AU319" s="138">
        <f>IF('1.DATOS-PROD'!BD320="SI",VLOOKUP('1.DATOS-PROD'!BD$2,'1.PUNTOS'!$A$1:$B$63,2,0),0)</f>
        <v>0</v>
      </c>
      <c r="AV319" s="138">
        <f>IF('1.DATOS-PROD'!BE320="SI",VLOOKUP('1.DATOS-PROD'!BE$2,'1.PUNTOS'!$A$1:$B$63,2,0),0)</f>
        <v>0</v>
      </c>
      <c r="AW319" s="138">
        <f>IF('1.DATOS-PROD'!BF320="SI",VLOOKUP('1.DATOS-PROD'!BF$2,'1.PUNTOS'!$A$1:$B$63,2,0),0)</f>
        <v>0</v>
      </c>
      <c r="AX319" s="138">
        <f>IF('1.DATOS-PROD'!BG320="SI",VLOOKUP('1.DATOS-PROD'!BG$2,'1.PUNTOS'!$A$1:$B$63,2,0),0)</f>
        <v>0</v>
      </c>
      <c r="AY319" s="138">
        <f>IF('1.DATOS-PROD'!BH320="SI",VLOOKUP('1.DATOS-PROD'!BH$2,'1.PUNTOS'!$A$1:$B$63,2,0),0)</f>
        <v>0</v>
      </c>
      <c r="AZ319" s="138">
        <f>IF('1.DATOS-PROD'!BI320="SI",VLOOKUP('1.DATOS-PROD'!BI$2,'1.PUNTOS'!$A$1:$B$63,2,0),0)</f>
        <v>0</v>
      </c>
      <c r="BA319" s="138">
        <f>IF('1.DATOS-PROD'!BJ320="SI",VLOOKUP('1.DATOS-PROD'!BJ$2,'1.PUNTOS'!$A$1:$B$63,2,0),0)</f>
        <v>0</v>
      </c>
      <c r="BB319" s="138">
        <f>IF('1.DATOS-PROD'!BK320="SI",VLOOKUP('1.DATOS-PROD'!BK$2,'1.PUNTOS'!$A$1:$B$63,2,0),0)</f>
        <v>0</v>
      </c>
      <c r="BC319" s="138">
        <f>IF('1.DATOS-PROD'!BL320="SI",VLOOKUP('1.DATOS-PROD'!BL$2,'1.PUNTOS'!$A$1:$B$63,2,0),0)</f>
        <v>0</v>
      </c>
      <c r="BD319" s="138">
        <f>IF('1.DATOS-PROD'!BM320="SI",VLOOKUP('1.DATOS-PROD'!BM$2,'1.PUNTOS'!$A$1:$B$63,2,0),0)</f>
        <v>0</v>
      </c>
      <c r="BE319" s="138">
        <f>IF('1.DATOS-PROD'!BN320="SI",VLOOKUP('1.DATOS-PROD'!BN$2,'1.PUNTOS'!$A$1:$B$63,2,0),0)</f>
        <v>0</v>
      </c>
      <c r="BF319" s="138">
        <f>IF('1.DATOS-PROD'!BO320="SI",VLOOKUP('1.DATOS-PROD'!BO$2,'1.PUNTOS'!$A$1:$B$63,2,0),0)</f>
        <v>0</v>
      </c>
      <c r="BG319" s="138">
        <f>IF('1.DATOS-PROD'!BP320="SI",VLOOKUP('1.DATOS-PROD'!BP$2,'1.PUNTOS'!$A$1:$B$63,2,0),0)</f>
        <v>0</v>
      </c>
      <c r="BH319" s="138">
        <f>IF('1.DATOS-PROD'!BQ320="SI",VLOOKUP('1.DATOS-PROD'!BQ$2,'1.PUNTOS'!$A$1:$B$63,2,0),0)</f>
        <v>0</v>
      </c>
      <c r="BI319" s="138">
        <f>IF('1.DATOS-PROD'!BR320="SI",VLOOKUP('1.DATOS-PROD'!BR$2,'1.PUNTOS'!$A$1:$B$63,2,0),0)</f>
        <v>0</v>
      </c>
      <c r="BJ319" s="138">
        <f>IF('1.DATOS-PROD'!BS320="SI",VLOOKUP('1.DATOS-PROD'!BS$2,'1.PUNTOS'!$A$1:$B$63,2,0),0)</f>
        <v>0</v>
      </c>
      <c r="BK319" s="138">
        <f>IF('1.DATOS-PROD'!BT320="SI",VLOOKUP('1.DATOS-PROD'!BT$2,'1.PUNTOS'!$A$1:$B$63,2,0),0)</f>
        <v>0</v>
      </c>
    </row>
    <row r="320" spans="1:63" x14ac:dyDescent="0.25">
      <c r="A320">
        <f>'0.Consolidado general'!$A321</f>
        <v>0</v>
      </c>
      <c r="B320" s="138">
        <f>IF('1.DATOS-PROD'!K321="SI",VLOOKUP('1.DATOS-PROD'!K$2,'1.PUNTOS'!$A$1:$B$63,2,0),0)</f>
        <v>0</v>
      </c>
      <c r="C320" s="138">
        <f>IF('1.DATOS-PROD'!L321="SI",VLOOKUP('1.DATOS-PROD'!L$2,'1.PUNTOS'!$A$1:$B$63,2,0),0)</f>
        <v>0</v>
      </c>
      <c r="D320" s="138">
        <f>IF('1.DATOS-PROD'!M321="SI",VLOOKUP('1.DATOS-PROD'!M$2,'1.PUNTOS'!$A$1:$B$63,2,0),0)</f>
        <v>0</v>
      </c>
      <c r="E320" s="138">
        <f>IF('1.DATOS-PROD'!N321="SI",VLOOKUP('1.DATOS-PROD'!N$2,'1.PUNTOS'!$A$1:$B$63,2,0),0)</f>
        <v>0</v>
      </c>
      <c r="F320" s="138">
        <f>IF('1.DATOS-PROD'!O321="SI",VLOOKUP('1.DATOS-PROD'!O$2,'1.PUNTOS'!$A$1:$B$63,2,0),0)</f>
        <v>0</v>
      </c>
      <c r="G320" s="138">
        <f>IF('1.DATOS-PROD'!P321="SI",VLOOKUP('1.DATOS-PROD'!P$2,'1.PUNTOS'!$A$1:$B$63,2,0),0)</f>
        <v>0</v>
      </c>
      <c r="H320" s="138">
        <f>IF('1.DATOS-PROD'!Q321="SI",VLOOKUP('1.DATOS-PROD'!Q$2,'1.PUNTOS'!$A$1:$B$63,2,0),0)</f>
        <v>0</v>
      </c>
      <c r="I320" s="138">
        <f>IF('1.DATOS-PROD'!R321="SI",VLOOKUP('1.DATOS-PROD'!R$2,'1.PUNTOS'!$A$1:$B$63,2,0),0)</f>
        <v>0</v>
      </c>
      <c r="J320" s="138">
        <f>IF('1.DATOS-PROD'!S321="SI",VLOOKUP('1.DATOS-PROD'!S$2,'1.PUNTOS'!$A$1:$B$63,2,0),0)</f>
        <v>0</v>
      </c>
      <c r="K320" s="138">
        <f>IF('1.DATOS-PROD'!T321="SI",VLOOKUP('1.DATOS-PROD'!T$2,'1.PUNTOS'!$A$1:$B$63,2,0),0)</f>
        <v>0</v>
      </c>
      <c r="L320" s="138">
        <f>IF('1.DATOS-PROD'!U321="SI",VLOOKUP('1.DATOS-PROD'!U$2,'1.PUNTOS'!$A$1:$B$63,2,0),0)</f>
        <v>0</v>
      </c>
      <c r="M320" s="138">
        <f>IF('1.DATOS-PROD'!V321="SI",VLOOKUP('1.DATOS-PROD'!V$2,'1.PUNTOS'!$A$1:$B$63,2,0),0)</f>
        <v>0</v>
      </c>
      <c r="N320" s="138">
        <f>IF('1.DATOS-PROD'!W321="SI",VLOOKUP('1.DATOS-PROD'!W$2,'1.PUNTOS'!$A$1:$B$63,2,0),0)</f>
        <v>0</v>
      </c>
      <c r="O320" s="138">
        <f>IF('1.DATOS-PROD'!X321="SI",VLOOKUP('1.DATOS-PROD'!X$2,'1.PUNTOS'!$A$1:$B$63,2,0),0)</f>
        <v>0</v>
      </c>
      <c r="P320" s="138">
        <f>IF('1.DATOS-PROD'!Y321="SI",VLOOKUP('1.DATOS-PROD'!Y$2,'1.PUNTOS'!$A$1:$B$63,2,0),0)</f>
        <v>0</v>
      </c>
      <c r="Q320" s="138">
        <f>IF('1.DATOS-PROD'!Z321="SI",VLOOKUP('1.DATOS-PROD'!Z$2,'1.PUNTOS'!$A$1:$B$63,2,0),0)</f>
        <v>0</v>
      </c>
      <c r="R320" s="138">
        <f>IF('1.DATOS-PROD'!AA321="SI",VLOOKUP('1.DATOS-PROD'!AA$2,'1.PUNTOS'!$A$1:$B$63,2,0),0)</f>
        <v>0</v>
      </c>
      <c r="S320" s="138">
        <f>IF('1.DATOS-PROD'!AB321="SI",VLOOKUP('1.DATOS-PROD'!AB$2,'1.PUNTOS'!$A$1:$B$63,2,0),0)</f>
        <v>0</v>
      </c>
      <c r="T320" s="138">
        <f>IF('1.DATOS-PROD'!AC321="SI",VLOOKUP('1.DATOS-PROD'!AC$2,'1.PUNTOS'!$A$1:$B$63,2,0),0)</f>
        <v>0</v>
      </c>
      <c r="U320" s="138">
        <f>IF('1.DATOS-PROD'!AD321="SI",VLOOKUP('1.DATOS-PROD'!AD$2,'1.PUNTOS'!$A$1:$B$63,2,0),0)</f>
        <v>0</v>
      </c>
      <c r="V320" s="138">
        <f>IF('1.DATOS-PROD'!AE321="SI",VLOOKUP('1.DATOS-PROD'!AE$2,'1.PUNTOS'!$A$1:$B$63,2,0),0)</f>
        <v>0</v>
      </c>
      <c r="W320" s="138">
        <f>IF('1.DATOS-PROD'!AF321="SI",VLOOKUP('1.DATOS-PROD'!AF$2,'1.PUNTOS'!$A$1:$B$63,2,0),0)</f>
        <v>0</v>
      </c>
      <c r="X320" s="138">
        <f>IF('1.DATOS-PROD'!AG321="SI",VLOOKUP('1.DATOS-PROD'!AG$2,'1.PUNTOS'!$A$1:$B$63,2,0),0)</f>
        <v>0</v>
      </c>
      <c r="Y320" s="138">
        <f>IF('1.DATOS-PROD'!AH321="SI",VLOOKUP('1.DATOS-PROD'!AH$2,'1.PUNTOS'!$A$1:$B$63,2,0),0)</f>
        <v>0</v>
      </c>
      <c r="Z320" s="138">
        <f>IF('1.DATOS-PROD'!AI321="SI",VLOOKUP('1.DATOS-PROD'!AI$2,'1.PUNTOS'!$A$1:$B$63,2,0),0)</f>
        <v>0</v>
      </c>
      <c r="AA320" s="138">
        <f>IF('1.DATOS-PROD'!AJ321="SI",VLOOKUP('1.DATOS-PROD'!AJ$2,'1.PUNTOS'!$A$1:$B$63,2,0),0)</f>
        <v>0</v>
      </c>
      <c r="AB320" s="138">
        <f>IF('1.DATOS-PROD'!AK321="SI",VLOOKUP('1.DATOS-PROD'!AK$2,'1.PUNTOS'!$A$1:$B$63,2,0),0)</f>
        <v>0</v>
      </c>
      <c r="AC320" s="138">
        <f>IF('1.DATOS-PROD'!AL321="SI",VLOOKUP('1.DATOS-PROD'!AL$2,'1.PUNTOS'!$A$1:$B$63,2,0),0)</f>
        <v>0</v>
      </c>
      <c r="AD320" s="138">
        <f>IF('1.DATOS-PROD'!AM321="SI",VLOOKUP('1.DATOS-PROD'!AM$2,'1.PUNTOS'!$A$1:$B$63,2,0),0)</f>
        <v>0</v>
      </c>
      <c r="AE320" s="138">
        <f>IF('1.DATOS-PROD'!AN321="SI",VLOOKUP('1.DATOS-PROD'!AN$2,'1.PUNTOS'!$A$1:$B$63,2,0),0)</f>
        <v>0</v>
      </c>
      <c r="AF320" s="138">
        <f>IF('1.DATOS-PROD'!AO321="SI",VLOOKUP('1.DATOS-PROD'!AO$2,'1.PUNTOS'!$A$1:$B$63,2,0),0)</f>
        <v>0</v>
      </c>
      <c r="AG320" s="138">
        <f>IF('1.DATOS-PROD'!AP321="SI",VLOOKUP('1.DATOS-PROD'!AP$2,'1.PUNTOS'!$A$1:$B$63,2,0),0)</f>
        <v>0</v>
      </c>
      <c r="AH320" s="138">
        <f>IF('1.DATOS-PROD'!AQ321="SI",VLOOKUP('1.DATOS-PROD'!AQ$2,'1.PUNTOS'!$A$1:$B$63,2,0),0)</f>
        <v>0</v>
      </c>
      <c r="AI320" s="138">
        <f>IF('1.DATOS-PROD'!AR321="SI",VLOOKUP('1.DATOS-PROD'!AR$2,'1.PUNTOS'!$A$1:$B$63,2,0),0)</f>
        <v>0</v>
      </c>
      <c r="AJ320" s="138">
        <f>IF('1.DATOS-PROD'!AS321="SI",VLOOKUP('1.DATOS-PROD'!AS$2,'1.PUNTOS'!$A$1:$B$63,2,0),0)</f>
        <v>0</v>
      </c>
      <c r="AK320" s="138">
        <f>IF('1.DATOS-PROD'!AT321="SI",VLOOKUP('1.DATOS-PROD'!AT$2,'1.PUNTOS'!$A$1:$B$63,2,0),0)</f>
        <v>0</v>
      </c>
      <c r="AL320" s="138">
        <f>IF('1.DATOS-PROD'!AU321="SI",VLOOKUP('1.DATOS-PROD'!AU$2,'1.PUNTOS'!$A$1:$B$63,2,0),0)</f>
        <v>0</v>
      </c>
      <c r="AM320" s="138">
        <f>IF('1.DATOS-PROD'!AV321="SI",VLOOKUP('1.DATOS-PROD'!AV$2,'1.PUNTOS'!$A$1:$B$63,2,0),0)</f>
        <v>0</v>
      </c>
      <c r="AN320" s="138">
        <f>IF('1.DATOS-PROD'!AW321="SI",VLOOKUP('1.DATOS-PROD'!AW$2,'1.PUNTOS'!$A$1:$B$63,2,0),0)</f>
        <v>0</v>
      </c>
      <c r="AO320" s="138">
        <f>IF('1.DATOS-PROD'!AX321="SI",VLOOKUP('1.DATOS-PROD'!AX$2,'1.PUNTOS'!$A$1:$B$63,2,0),0)</f>
        <v>0</v>
      </c>
      <c r="AP320" s="138">
        <f>IF('1.DATOS-PROD'!AY321="SI",VLOOKUP('1.DATOS-PROD'!AY$2,'1.PUNTOS'!$A$1:$B$63,2,0),0)</f>
        <v>0</v>
      </c>
      <c r="AQ320" s="138">
        <f>IF('1.DATOS-PROD'!AZ321="SI",VLOOKUP('1.DATOS-PROD'!AZ$2,'1.PUNTOS'!$A$1:$B$63,2,0),0)</f>
        <v>0</v>
      </c>
      <c r="AR320" s="138">
        <f>IF('1.DATOS-PROD'!BA321="SI",VLOOKUP('1.DATOS-PROD'!BA$2,'1.PUNTOS'!$A$1:$B$63,2,0),0)</f>
        <v>0</v>
      </c>
      <c r="AS320" s="138">
        <f>IF('1.DATOS-PROD'!BB321="SI",VLOOKUP('1.DATOS-PROD'!BB$2,'1.PUNTOS'!$A$1:$B$63,2,0),0)</f>
        <v>0</v>
      </c>
      <c r="AT320" s="138">
        <f>IF('1.DATOS-PROD'!BC321="SI",VLOOKUP('1.DATOS-PROD'!BC$2,'1.PUNTOS'!$A$1:$B$63,2,0),0)</f>
        <v>0</v>
      </c>
      <c r="AU320" s="138">
        <f>IF('1.DATOS-PROD'!BD321="SI",VLOOKUP('1.DATOS-PROD'!BD$2,'1.PUNTOS'!$A$1:$B$63,2,0),0)</f>
        <v>0</v>
      </c>
      <c r="AV320" s="138">
        <f>IF('1.DATOS-PROD'!BE321="SI",VLOOKUP('1.DATOS-PROD'!BE$2,'1.PUNTOS'!$A$1:$B$63,2,0),0)</f>
        <v>0</v>
      </c>
      <c r="AW320" s="138">
        <f>IF('1.DATOS-PROD'!BF321="SI",VLOOKUP('1.DATOS-PROD'!BF$2,'1.PUNTOS'!$A$1:$B$63,2,0),0)</f>
        <v>0</v>
      </c>
      <c r="AX320" s="138">
        <f>IF('1.DATOS-PROD'!BG321="SI",VLOOKUP('1.DATOS-PROD'!BG$2,'1.PUNTOS'!$A$1:$B$63,2,0),0)</f>
        <v>0</v>
      </c>
      <c r="AY320" s="138">
        <f>IF('1.DATOS-PROD'!BH321="SI",VLOOKUP('1.DATOS-PROD'!BH$2,'1.PUNTOS'!$A$1:$B$63,2,0),0)</f>
        <v>0</v>
      </c>
      <c r="AZ320" s="138">
        <f>IF('1.DATOS-PROD'!BI321="SI",VLOOKUP('1.DATOS-PROD'!BI$2,'1.PUNTOS'!$A$1:$B$63,2,0),0)</f>
        <v>0</v>
      </c>
      <c r="BA320" s="138">
        <f>IF('1.DATOS-PROD'!BJ321="SI",VLOOKUP('1.DATOS-PROD'!BJ$2,'1.PUNTOS'!$A$1:$B$63,2,0),0)</f>
        <v>0</v>
      </c>
      <c r="BB320" s="138">
        <f>IF('1.DATOS-PROD'!BK321="SI",VLOOKUP('1.DATOS-PROD'!BK$2,'1.PUNTOS'!$A$1:$B$63,2,0),0)</f>
        <v>0</v>
      </c>
      <c r="BC320" s="138">
        <f>IF('1.DATOS-PROD'!BL321="SI",VLOOKUP('1.DATOS-PROD'!BL$2,'1.PUNTOS'!$A$1:$B$63,2,0),0)</f>
        <v>0</v>
      </c>
      <c r="BD320" s="138">
        <f>IF('1.DATOS-PROD'!BM321="SI",VLOOKUP('1.DATOS-PROD'!BM$2,'1.PUNTOS'!$A$1:$B$63,2,0),0)</f>
        <v>0</v>
      </c>
      <c r="BE320" s="138">
        <f>IF('1.DATOS-PROD'!BN321="SI",VLOOKUP('1.DATOS-PROD'!BN$2,'1.PUNTOS'!$A$1:$B$63,2,0),0)</f>
        <v>0</v>
      </c>
      <c r="BF320" s="138">
        <f>IF('1.DATOS-PROD'!BO321="SI",VLOOKUP('1.DATOS-PROD'!BO$2,'1.PUNTOS'!$A$1:$B$63,2,0),0)</f>
        <v>0</v>
      </c>
      <c r="BG320" s="138">
        <f>IF('1.DATOS-PROD'!BP321="SI",VLOOKUP('1.DATOS-PROD'!BP$2,'1.PUNTOS'!$A$1:$B$63,2,0),0)</f>
        <v>0</v>
      </c>
      <c r="BH320" s="138">
        <f>IF('1.DATOS-PROD'!BQ321="SI",VLOOKUP('1.DATOS-PROD'!BQ$2,'1.PUNTOS'!$A$1:$B$63,2,0),0)</f>
        <v>0</v>
      </c>
      <c r="BI320" s="138">
        <f>IF('1.DATOS-PROD'!BR321="SI",VLOOKUP('1.DATOS-PROD'!BR$2,'1.PUNTOS'!$A$1:$B$63,2,0),0)</f>
        <v>0</v>
      </c>
      <c r="BJ320" s="138">
        <f>IF('1.DATOS-PROD'!BS321="SI",VLOOKUP('1.DATOS-PROD'!BS$2,'1.PUNTOS'!$A$1:$B$63,2,0),0)</f>
        <v>0</v>
      </c>
      <c r="BK320" s="138">
        <f>IF('1.DATOS-PROD'!BT321="SI",VLOOKUP('1.DATOS-PROD'!BT$2,'1.PUNTOS'!$A$1:$B$63,2,0),0)</f>
        <v>0</v>
      </c>
    </row>
    <row r="321" spans="1:63" x14ac:dyDescent="0.25">
      <c r="A321">
        <f>'0.Consolidado general'!$A322</f>
        <v>0</v>
      </c>
      <c r="B321" s="138">
        <f>IF('1.DATOS-PROD'!K322="SI",VLOOKUP('1.DATOS-PROD'!K$2,'1.PUNTOS'!$A$1:$B$63,2,0),0)</f>
        <v>0</v>
      </c>
      <c r="C321" s="138">
        <f>IF('1.DATOS-PROD'!L322="SI",VLOOKUP('1.DATOS-PROD'!L$2,'1.PUNTOS'!$A$1:$B$63,2,0),0)</f>
        <v>0</v>
      </c>
      <c r="D321" s="138">
        <f>IF('1.DATOS-PROD'!M322="SI",VLOOKUP('1.DATOS-PROD'!M$2,'1.PUNTOS'!$A$1:$B$63,2,0),0)</f>
        <v>0</v>
      </c>
      <c r="E321" s="138">
        <f>IF('1.DATOS-PROD'!N322="SI",VLOOKUP('1.DATOS-PROD'!N$2,'1.PUNTOS'!$A$1:$B$63,2,0),0)</f>
        <v>0</v>
      </c>
      <c r="F321" s="138">
        <f>IF('1.DATOS-PROD'!O322="SI",VLOOKUP('1.DATOS-PROD'!O$2,'1.PUNTOS'!$A$1:$B$63,2,0),0)</f>
        <v>0</v>
      </c>
      <c r="G321" s="138">
        <f>IF('1.DATOS-PROD'!P322="SI",VLOOKUP('1.DATOS-PROD'!P$2,'1.PUNTOS'!$A$1:$B$63,2,0),0)</f>
        <v>0</v>
      </c>
      <c r="H321" s="138">
        <f>IF('1.DATOS-PROD'!Q322="SI",VLOOKUP('1.DATOS-PROD'!Q$2,'1.PUNTOS'!$A$1:$B$63,2,0),0)</f>
        <v>0</v>
      </c>
      <c r="I321" s="138">
        <f>IF('1.DATOS-PROD'!R322="SI",VLOOKUP('1.DATOS-PROD'!R$2,'1.PUNTOS'!$A$1:$B$63,2,0),0)</f>
        <v>0</v>
      </c>
      <c r="J321" s="138">
        <f>IF('1.DATOS-PROD'!S322="SI",VLOOKUP('1.DATOS-PROD'!S$2,'1.PUNTOS'!$A$1:$B$63,2,0),0)</f>
        <v>0</v>
      </c>
      <c r="K321" s="138">
        <f>IF('1.DATOS-PROD'!T322="SI",VLOOKUP('1.DATOS-PROD'!T$2,'1.PUNTOS'!$A$1:$B$63,2,0),0)</f>
        <v>0</v>
      </c>
      <c r="L321" s="138">
        <f>IF('1.DATOS-PROD'!U322="SI",VLOOKUP('1.DATOS-PROD'!U$2,'1.PUNTOS'!$A$1:$B$63,2,0),0)</f>
        <v>0</v>
      </c>
      <c r="M321" s="138">
        <f>IF('1.DATOS-PROD'!V322="SI",VLOOKUP('1.DATOS-PROD'!V$2,'1.PUNTOS'!$A$1:$B$63,2,0),0)</f>
        <v>0</v>
      </c>
      <c r="N321" s="138">
        <f>IF('1.DATOS-PROD'!W322="SI",VLOOKUP('1.DATOS-PROD'!W$2,'1.PUNTOS'!$A$1:$B$63,2,0),0)</f>
        <v>0</v>
      </c>
      <c r="O321" s="138">
        <f>IF('1.DATOS-PROD'!X322="SI",VLOOKUP('1.DATOS-PROD'!X$2,'1.PUNTOS'!$A$1:$B$63,2,0),0)</f>
        <v>0</v>
      </c>
      <c r="P321" s="138">
        <f>IF('1.DATOS-PROD'!Y322="SI",VLOOKUP('1.DATOS-PROD'!Y$2,'1.PUNTOS'!$A$1:$B$63,2,0),0)</f>
        <v>0</v>
      </c>
      <c r="Q321" s="138">
        <f>IF('1.DATOS-PROD'!Z322="SI",VLOOKUP('1.DATOS-PROD'!Z$2,'1.PUNTOS'!$A$1:$B$63,2,0),0)</f>
        <v>0</v>
      </c>
      <c r="R321" s="138">
        <f>IF('1.DATOS-PROD'!AA322="SI",VLOOKUP('1.DATOS-PROD'!AA$2,'1.PUNTOS'!$A$1:$B$63,2,0),0)</f>
        <v>0</v>
      </c>
      <c r="S321" s="138">
        <f>IF('1.DATOS-PROD'!AB322="SI",VLOOKUP('1.DATOS-PROD'!AB$2,'1.PUNTOS'!$A$1:$B$63,2,0),0)</f>
        <v>0</v>
      </c>
      <c r="T321" s="138">
        <f>IF('1.DATOS-PROD'!AC322="SI",VLOOKUP('1.DATOS-PROD'!AC$2,'1.PUNTOS'!$A$1:$B$63,2,0),0)</f>
        <v>0</v>
      </c>
      <c r="U321" s="138">
        <f>IF('1.DATOS-PROD'!AD322="SI",VLOOKUP('1.DATOS-PROD'!AD$2,'1.PUNTOS'!$A$1:$B$63,2,0),0)</f>
        <v>0</v>
      </c>
      <c r="V321" s="138">
        <f>IF('1.DATOS-PROD'!AE322="SI",VLOOKUP('1.DATOS-PROD'!AE$2,'1.PUNTOS'!$A$1:$B$63,2,0),0)</f>
        <v>0</v>
      </c>
      <c r="W321" s="138">
        <f>IF('1.DATOS-PROD'!AF322="SI",VLOOKUP('1.DATOS-PROD'!AF$2,'1.PUNTOS'!$A$1:$B$63,2,0),0)</f>
        <v>0</v>
      </c>
      <c r="X321" s="138">
        <f>IF('1.DATOS-PROD'!AG322="SI",VLOOKUP('1.DATOS-PROD'!AG$2,'1.PUNTOS'!$A$1:$B$63,2,0),0)</f>
        <v>0</v>
      </c>
      <c r="Y321" s="138">
        <f>IF('1.DATOS-PROD'!AH322="SI",VLOOKUP('1.DATOS-PROD'!AH$2,'1.PUNTOS'!$A$1:$B$63,2,0),0)</f>
        <v>0</v>
      </c>
      <c r="Z321" s="138">
        <f>IF('1.DATOS-PROD'!AI322="SI",VLOOKUP('1.DATOS-PROD'!AI$2,'1.PUNTOS'!$A$1:$B$63,2,0),0)</f>
        <v>0</v>
      </c>
      <c r="AA321" s="138">
        <f>IF('1.DATOS-PROD'!AJ322="SI",VLOOKUP('1.DATOS-PROD'!AJ$2,'1.PUNTOS'!$A$1:$B$63,2,0),0)</f>
        <v>0</v>
      </c>
      <c r="AB321" s="138">
        <f>IF('1.DATOS-PROD'!AK322="SI",VLOOKUP('1.DATOS-PROD'!AK$2,'1.PUNTOS'!$A$1:$B$63,2,0),0)</f>
        <v>0</v>
      </c>
      <c r="AC321" s="138">
        <f>IF('1.DATOS-PROD'!AL322="SI",VLOOKUP('1.DATOS-PROD'!AL$2,'1.PUNTOS'!$A$1:$B$63,2,0),0)</f>
        <v>0</v>
      </c>
      <c r="AD321" s="138">
        <f>IF('1.DATOS-PROD'!AM322="SI",VLOOKUP('1.DATOS-PROD'!AM$2,'1.PUNTOS'!$A$1:$B$63,2,0),0)</f>
        <v>0</v>
      </c>
      <c r="AE321" s="138">
        <f>IF('1.DATOS-PROD'!AN322="SI",VLOOKUP('1.DATOS-PROD'!AN$2,'1.PUNTOS'!$A$1:$B$63,2,0),0)</f>
        <v>0</v>
      </c>
      <c r="AF321" s="138">
        <f>IF('1.DATOS-PROD'!AO322="SI",VLOOKUP('1.DATOS-PROD'!AO$2,'1.PUNTOS'!$A$1:$B$63,2,0),0)</f>
        <v>0</v>
      </c>
      <c r="AG321" s="138">
        <f>IF('1.DATOS-PROD'!AP322="SI",VLOOKUP('1.DATOS-PROD'!AP$2,'1.PUNTOS'!$A$1:$B$63,2,0),0)</f>
        <v>0</v>
      </c>
      <c r="AH321" s="138">
        <f>IF('1.DATOS-PROD'!AQ322="SI",VLOOKUP('1.DATOS-PROD'!AQ$2,'1.PUNTOS'!$A$1:$B$63,2,0),0)</f>
        <v>0</v>
      </c>
      <c r="AI321" s="138">
        <f>IF('1.DATOS-PROD'!AR322="SI",VLOOKUP('1.DATOS-PROD'!AR$2,'1.PUNTOS'!$A$1:$B$63,2,0),0)</f>
        <v>0</v>
      </c>
      <c r="AJ321" s="138">
        <f>IF('1.DATOS-PROD'!AS322="SI",VLOOKUP('1.DATOS-PROD'!AS$2,'1.PUNTOS'!$A$1:$B$63,2,0),0)</f>
        <v>0</v>
      </c>
      <c r="AK321" s="138">
        <f>IF('1.DATOS-PROD'!AT322="SI",VLOOKUP('1.DATOS-PROD'!AT$2,'1.PUNTOS'!$A$1:$B$63,2,0),0)</f>
        <v>0</v>
      </c>
      <c r="AL321" s="138">
        <f>IF('1.DATOS-PROD'!AU322="SI",VLOOKUP('1.DATOS-PROD'!AU$2,'1.PUNTOS'!$A$1:$B$63,2,0),0)</f>
        <v>0</v>
      </c>
      <c r="AM321" s="138">
        <f>IF('1.DATOS-PROD'!AV322="SI",VLOOKUP('1.DATOS-PROD'!AV$2,'1.PUNTOS'!$A$1:$B$63,2,0),0)</f>
        <v>0</v>
      </c>
      <c r="AN321" s="138">
        <f>IF('1.DATOS-PROD'!AW322="SI",VLOOKUP('1.DATOS-PROD'!AW$2,'1.PUNTOS'!$A$1:$B$63,2,0),0)</f>
        <v>0</v>
      </c>
      <c r="AO321" s="138">
        <f>IF('1.DATOS-PROD'!AX322="SI",VLOOKUP('1.DATOS-PROD'!AX$2,'1.PUNTOS'!$A$1:$B$63,2,0),0)</f>
        <v>0</v>
      </c>
      <c r="AP321" s="138">
        <f>IF('1.DATOS-PROD'!AY322="SI",VLOOKUP('1.DATOS-PROD'!AY$2,'1.PUNTOS'!$A$1:$B$63,2,0),0)</f>
        <v>0</v>
      </c>
      <c r="AQ321" s="138">
        <f>IF('1.DATOS-PROD'!AZ322="SI",VLOOKUP('1.DATOS-PROD'!AZ$2,'1.PUNTOS'!$A$1:$B$63,2,0),0)</f>
        <v>0</v>
      </c>
      <c r="AR321" s="138">
        <f>IF('1.DATOS-PROD'!BA322="SI",VLOOKUP('1.DATOS-PROD'!BA$2,'1.PUNTOS'!$A$1:$B$63,2,0),0)</f>
        <v>0</v>
      </c>
      <c r="AS321" s="138">
        <f>IF('1.DATOS-PROD'!BB322="SI",VLOOKUP('1.DATOS-PROD'!BB$2,'1.PUNTOS'!$A$1:$B$63,2,0),0)</f>
        <v>0</v>
      </c>
      <c r="AT321" s="138">
        <f>IF('1.DATOS-PROD'!BC322="SI",VLOOKUP('1.DATOS-PROD'!BC$2,'1.PUNTOS'!$A$1:$B$63,2,0),0)</f>
        <v>0</v>
      </c>
      <c r="AU321" s="138">
        <f>IF('1.DATOS-PROD'!BD322="SI",VLOOKUP('1.DATOS-PROD'!BD$2,'1.PUNTOS'!$A$1:$B$63,2,0),0)</f>
        <v>0</v>
      </c>
      <c r="AV321" s="138">
        <f>IF('1.DATOS-PROD'!BE322="SI",VLOOKUP('1.DATOS-PROD'!BE$2,'1.PUNTOS'!$A$1:$B$63,2,0),0)</f>
        <v>0</v>
      </c>
      <c r="AW321" s="138">
        <f>IF('1.DATOS-PROD'!BF322="SI",VLOOKUP('1.DATOS-PROD'!BF$2,'1.PUNTOS'!$A$1:$B$63,2,0),0)</f>
        <v>0</v>
      </c>
      <c r="AX321" s="138">
        <f>IF('1.DATOS-PROD'!BG322="SI",VLOOKUP('1.DATOS-PROD'!BG$2,'1.PUNTOS'!$A$1:$B$63,2,0),0)</f>
        <v>0</v>
      </c>
      <c r="AY321" s="138">
        <f>IF('1.DATOS-PROD'!BH322="SI",VLOOKUP('1.DATOS-PROD'!BH$2,'1.PUNTOS'!$A$1:$B$63,2,0),0)</f>
        <v>0</v>
      </c>
      <c r="AZ321" s="138">
        <f>IF('1.DATOS-PROD'!BI322="SI",VLOOKUP('1.DATOS-PROD'!BI$2,'1.PUNTOS'!$A$1:$B$63,2,0),0)</f>
        <v>0</v>
      </c>
      <c r="BA321" s="138">
        <f>IF('1.DATOS-PROD'!BJ322="SI",VLOOKUP('1.DATOS-PROD'!BJ$2,'1.PUNTOS'!$A$1:$B$63,2,0),0)</f>
        <v>0</v>
      </c>
      <c r="BB321" s="138">
        <f>IF('1.DATOS-PROD'!BK322="SI",VLOOKUP('1.DATOS-PROD'!BK$2,'1.PUNTOS'!$A$1:$B$63,2,0),0)</f>
        <v>0</v>
      </c>
      <c r="BC321" s="138">
        <f>IF('1.DATOS-PROD'!BL322="SI",VLOOKUP('1.DATOS-PROD'!BL$2,'1.PUNTOS'!$A$1:$B$63,2,0),0)</f>
        <v>0</v>
      </c>
      <c r="BD321" s="138">
        <f>IF('1.DATOS-PROD'!BM322="SI",VLOOKUP('1.DATOS-PROD'!BM$2,'1.PUNTOS'!$A$1:$B$63,2,0),0)</f>
        <v>0</v>
      </c>
      <c r="BE321" s="138">
        <f>IF('1.DATOS-PROD'!BN322="SI",VLOOKUP('1.DATOS-PROD'!BN$2,'1.PUNTOS'!$A$1:$B$63,2,0),0)</f>
        <v>0</v>
      </c>
      <c r="BF321" s="138">
        <f>IF('1.DATOS-PROD'!BO322="SI",VLOOKUP('1.DATOS-PROD'!BO$2,'1.PUNTOS'!$A$1:$B$63,2,0),0)</f>
        <v>0</v>
      </c>
      <c r="BG321" s="138">
        <f>IF('1.DATOS-PROD'!BP322="SI",VLOOKUP('1.DATOS-PROD'!BP$2,'1.PUNTOS'!$A$1:$B$63,2,0),0)</f>
        <v>0</v>
      </c>
      <c r="BH321" s="138">
        <f>IF('1.DATOS-PROD'!BQ322="SI",VLOOKUP('1.DATOS-PROD'!BQ$2,'1.PUNTOS'!$A$1:$B$63,2,0),0)</f>
        <v>0</v>
      </c>
      <c r="BI321" s="138">
        <f>IF('1.DATOS-PROD'!BR322="SI",VLOOKUP('1.DATOS-PROD'!BR$2,'1.PUNTOS'!$A$1:$B$63,2,0),0)</f>
        <v>0</v>
      </c>
      <c r="BJ321" s="138">
        <f>IF('1.DATOS-PROD'!BS322="SI",VLOOKUP('1.DATOS-PROD'!BS$2,'1.PUNTOS'!$A$1:$B$63,2,0),0)</f>
        <v>0</v>
      </c>
      <c r="BK321" s="138">
        <f>IF('1.DATOS-PROD'!BT322="SI",VLOOKUP('1.DATOS-PROD'!BT$2,'1.PUNTOS'!$A$1:$B$63,2,0),0)</f>
        <v>0</v>
      </c>
    </row>
    <row r="322" spans="1:63" x14ac:dyDescent="0.25">
      <c r="A322">
        <f>'0.Consolidado general'!$A323</f>
        <v>0</v>
      </c>
      <c r="B322" s="138">
        <f>IF('1.DATOS-PROD'!K323="SI",VLOOKUP('1.DATOS-PROD'!K$2,'1.PUNTOS'!$A$1:$B$63,2,0),0)</f>
        <v>0</v>
      </c>
      <c r="C322" s="138">
        <f>IF('1.DATOS-PROD'!L323="SI",VLOOKUP('1.DATOS-PROD'!L$2,'1.PUNTOS'!$A$1:$B$63,2,0),0)</f>
        <v>0</v>
      </c>
      <c r="D322" s="138">
        <f>IF('1.DATOS-PROD'!M323="SI",VLOOKUP('1.DATOS-PROD'!M$2,'1.PUNTOS'!$A$1:$B$63,2,0),0)</f>
        <v>0</v>
      </c>
      <c r="E322" s="138">
        <f>IF('1.DATOS-PROD'!N323="SI",VLOOKUP('1.DATOS-PROD'!N$2,'1.PUNTOS'!$A$1:$B$63,2,0),0)</f>
        <v>0</v>
      </c>
      <c r="F322" s="138">
        <f>IF('1.DATOS-PROD'!O323="SI",VLOOKUP('1.DATOS-PROD'!O$2,'1.PUNTOS'!$A$1:$B$63,2,0),0)</f>
        <v>0</v>
      </c>
      <c r="G322" s="138">
        <f>IF('1.DATOS-PROD'!P323="SI",VLOOKUP('1.DATOS-PROD'!P$2,'1.PUNTOS'!$A$1:$B$63,2,0),0)</f>
        <v>0</v>
      </c>
      <c r="H322" s="138">
        <f>IF('1.DATOS-PROD'!Q323="SI",VLOOKUP('1.DATOS-PROD'!Q$2,'1.PUNTOS'!$A$1:$B$63,2,0),0)</f>
        <v>0</v>
      </c>
      <c r="I322" s="138">
        <f>IF('1.DATOS-PROD'!R323="SI",VLOOKUP('1.DATOS-PROD'!R$2,'1.PUNTOS'!$A$1:$B$63,2,0),0)</f>
        <v>0</v>
      </c>
      <c r="J322" s="138">
        <f>IF('1.DATOS-PROD'!S323="SI",VLOOKUP('1.DATOS-PROD'!S$2,'1.PUNTOS'!$A$1:$B$63,2,0),0)</f>
        <v>0</v>
      </c>
      <c r="K322" s="138">
        <f>IF('1.DATOS-PROD'!T323="SI",VLOOKUP('1.DATOS-PROD'!T$2,'1.PUNTOS'!$A$1:$B$63,2,0),0)</f>
        <v>0</v>
      </c>
      <c r="L322" s="138">
        <f>IF('1.DATOS-PROD'!U323="SI",VLOOKUP('1.DATOS-PROD'!U$2,'1.PUNTOS'!$A$1:$B$63,2,0),0)</f>
        <v>0</v>
      </c>
      <c r="M322" s="138">
        <f>IF('1.DATOS-PROD'!V323="SI",VLOOKUP('1.DATOS-PROD'!V$2,'1.PUNTOS'!$A$1:$B$63,2,0),0)</f>
        <v>0</v>
      </c>
      <c r="N322" s="138">
        <f>IF('1.DATOS-PROD'!W323="SI",VLOOKUP('1.DATOS-PROD'!W$2,'1.PUNTOS'!$A$1:$B$63,2,0),0)</f>
        <v>0</v>
      </c>
      <c r="O322" s="138">
        <f>IF('1.DATOS-PROD'!X323="SI",VLOOKUP('1.DATOS-PROD'!X$2,'1.PUNTOS'!$A$1:$B$63,2,0),0)</f>
        <v>0</v>
      </c>
      <c r="P322" s="138">
        <f>IF('1.DATOS-PROD'!Y323="SI",VLOOKUP('1.DATOS-PROD'!Y$2,'1.PUNTOS'!$A$1:$B$63,2,0),0)</f>
        <v>0</v>
      </c>
      <c r="Q322" s="138">
        <f>IF('1.DATOS-PROD'!Z323="SI",VLOOKUP('1.DATOS-PROD'!Z$2,'1.PUNTOS'!$A$1:$B$63,2,0),0)</f>
        <v>0</v>
      </c>
      <c r="R322" s="138">
        <f>IF('1.DATOS-PROD'!AA323="SI",VLOOKUP('1.DATOS-PROD'!AA$2,'1.PUNTOS'!$A$1:$B$63,2,0),0)</f>
        <v>0</v>
      </c>
      <c r="S322" s="138">
        <f>IF('1.DATOS-PROD'!AB323="SI",VLOOKUP('1.DATOS-PROD'!AB$2,'1.PUNTOS'!$A$1:$B$63,2,0),0)</f>
        <v>0</v>
      </c>
      <c r="T322" s="138">
        <f>IF('1.DATOS-PROD'!AC323="SI",VLOOKUP('1.DATOS-PROD'!AC$2,'1.PUNTOS'!$A$1:$B$63,2,0),0)</f>
        <v>0</v>
      </c>
      <c r="U322" s="138">
        <f>IF('1.DATOS-PROD'!AD323="SI",VLOOKUP('1.DATOS-PROD'!AD$2,'1.PUNTOS'!$A$1:$B$63,2,0),0)</f>
        <v>0</v>
      </c>
      <c r="V322" s="138">
        <f>IF('1.DATOS-PROD'!AE323="SI",VLOOKUP('1.DATOS-PROD'!AE$2,'1.PUNTOS'!$A$1:$B$63,2,0),0)</f>
        <v>0</v>
      </c>
      <c r="W322" s="138">
        <f>IF('1.DATOS-PROD'!AF323="SI",VLOOKUP('1.DATOS-PROD'!AF$2,'1.PUNTOS'!$A$1:$B$63,2,0),0)</f>
        <v>0</v>
      </c>
      <c r="X322" s="138">
        <f>IF('1.DATOS-PROD'!AG323="SI",VLOOKUP('1.DATOS-PROD'!AG$2,'1.PUNTOS'!$A$1:$B$63,2,0),0)</f>
        <v>0</v>
      </c>
      <c r="Y322" s="138">
        <f>IF('1.DATOS-PROD'!AH323="SI",VLOOKUP('1.DATOS-PROD'!AH$2,'1.PUNTOS'!$A$1:$B$63,2,0),0)</f>
        <v>0</v>
      </c>
      <c r="Z322" s="138">
        <f>IF('1.DATOS-PROD'!AI323="SI",VLOOKUP('1.DATOS-PROD'!AI$2,'1.PUNTOS'!$A$1:$B$63,2,0),0)</f>
        <v>0</v>
      </c>
      <c r="AA322" s="138">
        <f>IF('1.DATOS-PROD'!AJ323="SI",VLOOKUP('1.DATOS-PROD'!AJ$2,'1.PUNTOS'!$A$1:$B$63,2,0),0)</f>
        <v>0</v>
      </c>
      <c r="AB322" s="138">
        <f>IF('1.DATOS-PROD'!AK323="SI",VLOOKUP('1.DATOS-PROD'!AK$2,'1.PUNTOS'!$A$1:$B$63,2,0),0)</f>
        <v>0</v>
      </c>
      <c r="AC322" s="138">
        <f>IF('1.DATOS-PROD'!AL323="SI",VLOOKUP('1.DATOS-PROD'!AL$2,'1.PUNTOS'!$A$1:$B$63,2,0),0)</f>
        <v>0</v>
      </c>
      <c r="AD322" s="138">
        <f>IF('1.DATOS-PROD'!AM323="SI",VLOOKUP('1.DATOS-PROD'!AM$2,'1.PUNTOS'!$A$1:$B$63,2,0),0)</f>
        <v>0</v>
      </c>
      <c r="AE322" s="138">
        <f>IF('1.DATOS-PROD'!AN323="SI",VLOOKUP('1.DATOS-PROD'!AN$2,'1.PUNTOS'!$A$1:$B$63,2,0),0)</f>
        <v>0</v>
      </c>
      <c r="AF322" s="138">
        <f>IF('1.DATOS-PROD'!AO323="SI",VLOOKUP('1.DATOS-PROD'!AO$2,'1.PUNTOS'!$A$1:$B$63,2,0),0)</f>
        <v>0</v>
      </c>
      <c r="AG322" s="138">
        <f>IF('1.DATOS-PROD'!AP323="SI",VLOOKUP('1.DATOS-PROD'!AP$2,'1.PUNTOS'!$A$1:$B$63,2,0),0)</f>
        <v>0</v>
      </c>
      <c r="AH322" s="138">
        <f>IF('1.DATOS-PROD'!AQ323="SI",VLOOKUP('1.DATOS-PROD'!AQ$2,'1.PUNTOS'!$A$1:$B$63,2,0),0)</f>
        <v>0</v>
      </c>
      <c r="AI322" s="138">
        <f>IF('1.DATOS-PROD'!AR323="SI",VLOOKUP('1.DATOS-PROD'!AR$2,'1.PUNTOS'!$A$1:$B$63,2,0),0)</f>
        <v>0</v>
      </c>
      <c r="AJ322" s="138">
        <f>IF('1.DATOS-PROD'!AS323="SI",VLOOKUP('1.DATOS-PROD'!AS$2,'1.PUNTOS'!$A$1:$B$63,2,0),0)</f>
        <v>0</v>
      </c>
      <c r="AK322" s="138">
        <f>IF('1.DATOS-PROD'!AT323="SI",VLOOKUP('1.DATOS-PROD'!AT$2,'1.PUNTOS'!$A$1:$B$63,2,0),0)</f>
        <v>0</v>
      </c>
      <c r="AL322" s="138">
        <f>IF('1.DATOS-PROD'!AU323="SI",VLOOKUP('1.DATOS-PROD'!AU$2,'1.PUNTOS'!$A$1:$B$63,2,0),0)</f>
        <v>0</v>
      </c>
      <c r="AM322" s="138">
        <f>IF('1.DATOS-PROD'!AV323="SI",VLOOKUP('1.DATOS-PROD'!AV$2,'1.PUNTOS'!$A$1:$B$63,2,0),0)</f>
        <v>0</v>
      </c>
      <c r="AN322" s="138">
        <f>IF('1.DATOS-PROD'!AW323="SI",VLOOKUP('1.DATOS-PROD'!AW$2,'1.PUNTOS'!$A$1:$B$63,2,0),0)</f>
        <v>0</v>
      </c>
      <c r="AO322" s="138">
        <f>IF('1.DATOS-PROD'!AX323="SI",VLOOKUP('1.DATOS-PROD'!AX$2,'1.PUNTOS'!$A$1:$B$63,2,0),0)</f>
        <v>0</v>
      </c>
      <c r="AP322" s="138">
        <f>IF('1.DATOS-PROD'!AY323="SI",VLOOKUP('1.DATOS-PROD'!AY$2,'1.PUNTOS'!$A$1:$B$63,2,0),0)</f>
        <v>0</v>
      </c>
      <c r="AQ322" s="138">
        <f>IF('1.DATOS-PROD'!AZ323="SI",VLOOKUP('1.DATOS-PROD'!AZ$2,'1.PUNTOS'!$A$1:$B$63,2,0),0)</f>
        <v>0</v>
      </c>
      <c r="AR322" s="138">
        <f>IF('1.DATOS-PROD'!BA323="SI",VLOOKUP('1.DATOS-PROD'!BA$2,'1.PUNTOS'!$A$1:$B$63,2,0),0)</f>
        <v>0</v>
      </c>
      <c r="AS322" s="138">
        <f>IF('1.DATOS-PROD'!BB323="SI",VLOOKUP('1.DATOS-PROD'!BB$2,'1.PUNTOS'!$A$1:$B$63,2,0),0)</f>
        <v>0</v>
      </c>
      <c r="AT322" s="138">
        <f>IF('1.DATOS-PROD'!BC323="SI",VLOOKUP('1.DATOS-PROD'!BC$2,'1.PUNTOS'!$A$1:$B$63,2,0),0)</f>
        <v>0</v>
      </c>
      <c r="AU322" s="138">
        <f>IF('1.DATOS-PROD'!BD323="SI",VLOOKUP('1.DATOS-PROD'!BD$2,'1.PUNTOS'!$A$1:$B$63,2,0),0)</f>
        <v>0</v>
      </c>
      <c r="AV322" s="138">
        <f>IF('1.DATOS-PROD'!BE323="SI",VLOOKUP('1.DATOS-PROD'!BE$2,'1.PUNTOS'!$A$1:$B$63,2,0),0)</f>
        <v>0</v>
      </c>
      <c r="AW322" s="138">
        <f>IF('1.DATOS-PROD'!BF323="SI",VLOOKUP('1.DATOS-PROD'!BF$2,'1.PUNTOS'!$A$1:$B$63,2,0),0)</f>
        <v>0</v>
      </c>
      <c r="AX322" s="138">
        <f>IF('1.DATOS-PROD'!BG323="SI",VLOOKUP('1.DATOS-PROD'!BG$2,'1.PUNTOS'!$A$1:$B$63,2,0),0)</f>
        <v>0</v>
      </c>
      <c r="AY322" s="138">
        <f>IF('1.DATOS-PROD'!BH323="SI",VLOOKUP('1.DATOS-PROD'!BH$2,'1.PUNTOS'!$A$1:$B$63,2,0),0)</f>
        <v>0</v>
      </c>
      <c r="AZ322" s="138">
        <f>IF('1.DATOS-PROD'!BI323="SI",VLOOKUP('1.DATOS-PROD'!BI$2,'1.PUNTOS'!$A$1:$B$63,2,0),0)</f>
        <v>0</v>
      </c>
      <c r="BA322" s="138">
        <f>IF('1.DATOS-PROD'!BJ323="SI",VLOOKUP('1.DATOS-PROD'!BJ$2,'1.PUNTOS'!$A$1:$B$63,2,0),0)</f>
        <v>0</v>
      </c>
      <c r="BB322" s="138">
        <f>IF('1.DATOS-PROD'!BK323="SI",VLOOKUP('1.DATOS-PROD'!BK$2,'1.PUNTOS'!$A$1:$B$63,2,0),0)</f>
        <v>0</v>
      </c>
      <c r="BC322" s="138">
        <f>IF('1.DATOS-PROD'!BL323="SI",VLOOKUP('1.DATOS-PROD'!BL$2,'1.PUNTOS'!$A$1:$B$63,2,0),0)</f>
        <v>0</v>
      </c>
      <c r="BD322" s="138">
        <f>IF('1.DATOS-PROD'!BM323="SI",VLOOKUP('1.DATOS-PROD'!BM$2,'1.PUNTOS'!$A$1:$B$63,2,0),0)</f>
        <v>0</v>
      </c>
      <c r="BE322" s="138">
        <f>IF('1.DATOS-PROD'!BN323="SI",VLOOKUP('1.DATOS-PROD'!BN$2,'1.PUNTOS'!$A$1:$B$63,2,0),0)</f>
        <v>0</v>
      </c>
      <c r="BF322" s="138">
        <f>IF('1.DATOS-PROD'!BO323="SI",VLOOKUP('1.DATOS-PROD'!BO$2,'1.PUNTOS'!$A$1:$B$63,2,0),0)</f>
        <v>0</v>
      </c>
      <c r="BG322" s="138">
        <f>IF('1.DATOS-PROD'!BP323="SI",VLOOKUP('1.DATOS-PROD'!BP$2,'1.PUNTOS'!$A$1:$B$63,2,0),0)</f>
        <v>0</v>
      </c>
      <c r="BH322" s="138">
        <f>IF('1.DATOS-PROD'!BQ323="SI",VLOOKUP('1.DATOS-PROD'!BQ$2,'1.PUNTOS'!$A$1:$B$63,2,0),0)</f>
        <v>0</v>
      </c>
      <c r="BI322" s="138">
        <f>IF('1.DATOS-PROD'!BR323="SI",VLOOKUP('1.DATOS-PROD'!BR$2,'1.PUNTOS'!$A$1:$B$63,2,0),0)</f>
        <v>0</v>
      </c>
      <c r="BJ322" s="138">
        <f>IF('1.DATOS-PROD'!BS323="SI",VLOOKUP('1.DATOS-PROD'!BS$2,'1.PUNTOS'!$A$1:$B$63,2,0),0)</f>
        <v>0</v>
      </c>
      <c r="BK322" s="138">
        <f>IF('1.DATOS-PROD'!BT323="SI",VLOOKUP('1.DATOS-PROD'!BT$2,'1.PUNTOS'!$A$1:$B$63,2,0),0)</f>
        <v>0</v>
      </c>
    </row>
    <row r="323" spans="1:63" x14ac:dyDescent="0.25">
      <c r="A323">
        <f>'0.Consolidado general'!$A324</f>
        <v>0</v>
      </c>
      <c r="B323" s="138">
        <f>IF('1.DATOS-PROD'!K324="SI",VLOOKUP('1.DATOS-PROD'!K$2,'1.PUNTOS'!$A$1:$B$63,2,0),0)</f>
        <v>0</v>
      </c>
      <c r="C323" s="138">
        <f>IF('1.DATOS-PROD'!L324="SI",VLOOKUP('1.DATOS-PROD'!L$2,'1.PUNTOS'!$A$1:$B$63,2,0),0)</f>
        <v>0</v>
      </c>
      <c r="D323" s="138">
        <f>IF('1.DATOS-PROD'!M324="SI",VLOOKUP('1.DATOS-PROD'!M$2,'1.PUNTOS'!$A$1:$B$63,2,0),0)</f>
        <v>0</v>
      </c>
      <c r="E323" s="138">
        <f>IF('1.DATOS-PROD'!N324="SI",VLOOKUP('1.DATOS-PROD'!N$2,'1.PUNTOS'!$A$1:$B$63,2,0),0)</f>
        <v>0</v>
      </c>
      <c r="F323" s="138">
        <f>IF('1.DATOS-PROD'!O324="SI",VLOOKUP('1.DATOS-PROD'!O$2,'1.PUNTOS'!$A$1:$B$63,2,0),0)</f>
        <v>0</v>
      </c>
      <c r="G323" s="138">
        <f>IF('1.DATOS-PROD'!P324="SI",VLOOKUP('1.DATOS-PROD'!P$2,'1.PUNTOS'!$A$1:$B$63,2,0),0)</f>
        <v>0</v>
      </c>
      <c r="H323" s="138">
        <f>IF('1.DATOS-PROD'!Q324="SI",VLOOKUP('1.DATOS-PROD'!Q$2,'1.PUNTOS'!$A$1:$B$63,2,0),0)</f>
        <v>0</v>
      </c>
      <c r="I323" s="138">
        <f>IF('1.DATOS-PROD'!R324="SI",VLOOKUP('1.DATOS-PROD'!R$2,'1.PUNTOS'!$A$1:$B$63,2,0),0)</f>
        <v>0</v>
      </c>
      <c r="J323" s="138">
        <f>IF('1.DATOS-PROD'!S324="SI",VLOOKUP('1.DATOS-PROD'!S$2,'1.PUNTOS'!$A$1:$B$63,2,0),0)</f>
        <v>0</v>
      </c>
      <c r="K323" s="138">
        <f>IF('1.DATOS-PROD'!T324="SI",VLOOKUP('1.DATOS-PROD'!T$2,'1.PUNTOS'!$A$1:$B$63,2,0),0)</f>
        <v>0</v>
      </c>
      <c r="L323" s="138">
        <f>IF('1.DATOS-PROD'!U324="SI",VLOOKUP('1.DATOS-PROD'!U$2,'1.PUNTOS'!$A$1:$B$63,2,0),0)</f>
        <v>0</v>
      </c>
      <c r="M323" s="138">
        <f>IF('1.DATOS-PROD'!V324="SI",VLOOKUP('1.DATOS-PROD'!V$2,'1.PUNTOS'!$A$1:$B$63,2,0),0)</f>
        <v>0</v>
      </c>
      <c r="N323" s="138">
        <f>IF('1.DATOS-PROD'!W324="SI",VLOOKUP('1.DATOS-PROD'!W$2,'1.PUNTOS'!$A$1:$B$63,2,0),0)</f>
        <v>0</v>
      </c>
      <c r="O323" s="138">
        <f>IF('1.DATOS-PROD'!X324="SI",VLOOKUP('1.DATOS-PROD'!X$2,'1.PUNTOS'!$A$1:$B$63,2,0),0)</f>
        <v>0</v>
      </c>
      <c r="P323" s="138">
        <f>IF('1.DATOS-PROD'!Y324="SI",VLOOKUP('1.DATOS-PROD'!Y$2,'1.PUNTOS'!$A$1:$B$63,2,0),0)</f>
        <v>0</v>
      </c>
      <c r="Q323" s="138">
        <f>IF('1.DATOS-PROD'!Z324="SI",VLOOKUP('1.DATOS-PROD'!Z$2,'1.PUNTOS'!$A$1:$B$63,2,0),0)</f>
        <v>0</v>
      </c>
      <c r="R323" s="138">
        <f>IF('1.DATOS-PROD'!AA324="SI",VLOOKUP('1.DATOS-PROD'!AA$2,'1.PUNTOS'!$A$1:$B$63,2,0),0)</f>
        <v>0</v>
      </c>
      <c r="S323" s="138">
        <f>IF('1.DATOS-PROD'!AB324="SI",VLOOKUP('1.DATOS-PROD'!AB$2,'1.PUNTOS'!$A$1:$B$63,2,0),0)</f>
        <v>0</v>
      </c>
      <c r="T323" s="138">
        <f>IF('1.DATOS-PROD'!AC324="SI",VLOOKUP('1.DATOS-PROD'!AC$2,'1.PUNTOS'!$A$1:$B$63,2,0),0)</f>
        <v>0</v>
      </c>
      <c r="U323" s="138">
        <f>IF('1.DATOS-PROD'!AD324="SI",VLOOKUP('1.DATOS-PROD'!AD$2,'1.PUNTOS'!$A$1:$B$63,2,0),0)</f>
        <v>0</v>
      </c>
      <c r="V323" s="138">
        <f>IF('1.DATOS-PROD'!AE324="SI",VLOOKUP('1.DATOS-PROD'!AE$2,'1.PUNTOS'!$A$1:$B$63,2,0),0)</f>
        <v>0</v>
      </c>
      <c r="W323" s="138">
        <f>IF('1.DATOS-PROD'!AF324="SI",VLOOKUP('1.DATOS-PROD'!AF$2,'1.PUNTOS'!$A$1:$B$63,2,0),0)</f>
        <v>0</v>
      </c>
      <c r="X323" s="138">
        <f>IF('1.DATOS-PROD'!AG324="SI",VLOOKUP('1.DATOS-PROD'!AG$2,'1.PUNTOS'!$A$1:$B$63,2,0),0)</f>
        <v>0</v>
      </c>
      <c r="Y323" s="138">
        <f>IF('1.DATOS-PROD'!AH324="SI",VLOOKUP('1.DATOS-PROD'!AH$2,'1.PUNTOS'!$A$1:$B$63,2,0),0)</f>
        <v>0</v>
      </c>
      <c r="Z323" s="138">
        <f>IF('1.DATOS-PROD'!AI324="SI",VLOOKUP('1.DATOS-PROD'!AI$2,'1.PUNTOS'!$A$1:$B$63,2,0),0)</f>
        <v>0</v>
      </c>
      <c r="AA323" s="138">
        <f>IF('1.DATOS-PROD'!AJ324="SI",VLOOKUP('1.DATOS-PROD'!AJ$2,'1.PUNTOS'!$A$1:$B$63,2,0),0)</f>
        <v>0</v>
      </c>
      <c r="AB323" s="138">
        <f>IF('1.DATOS-PROD'!AK324="SI",VLOOKUP('1.DATOS-PROD'!AK$2,'1.PUNTOS'!$A$1:$B$63,2,0),0)</f>
        <v>0</v>
      </c>
      <c r="AC323" s="138">
        <f>IF('1.DATOS-PROD'!AL324="SI",VLOOKUP('1.DATOS-PROD'!AL$2,'1.PUNTOS'!$A$1:$B$63,2,0),0)</f>
        <v>0</v>
      </c>
      <c r="AD323" s="138">
        <f>IF('1.DATOS-PROD'!AM324="SI",VLOOKUP('1.DATOS-PROD'!AM$2,'1.PUNTOS'!$A$1:$B$63,2,0),0)</f>
        <v>0</v>
      </c>
      <c r="AE323" s="138">
        <f>IF('1.DATOS-PROD'!AN324="SI",VLOOKUP('1.DATOS-PROD'!AN$2,'1.PUNTOS'!$A$1:$B$63,2,0),0)</f>
        <v>0</v>
      </c>
      <c r="AF323" s="138">
        <f>IF('1.DATOS-PROD'!AO324="SI",VLOOKUP('1.DATOS-PROD'!AO$2,'1.PUNTOS'!$A$1:$B$63,2,0),0)</f>
        <v>0</v>
      </c>
      <c r="AG323" s="138">
        <f>IF('1.DATOS-PROD'!AP324="SI",VLOOKUP('1.DATOS-PROD'!AP$2,'1.PUNTOS'!$A$1:$B$63,2,0),0)</f>
        <v>0</v>
      </c>
      <c r="AH323" s="138">
        <f>IF('1.DATOS-PROD'!AQ324="SI",VLOOKUP('1.DATOS-PROD'!AQ$2,'1.PUNTOS'!$A$1:$B$63,2,0),0)</f>
        <v>0</v>
      </c>
      <c r="AI323" s="138">
        <f>IF('1.DATOS-PROD'!AR324="SI",VLOOKUP('1.DATOS-PROD'!AR$2,'1.PUNTOS'!$A$1:$B$63,2,0),0)</f>
        <v>0</v>
      </c>
      <c r="AJ323" s="138">
        <f>IF('1.DATOS-PROD'!AS324="SI",VLOOKUP('1.DATOS-PROD'!AS$2,'1.PUNTOS'!$A$1:$B$63,2,0),0)</f>
        <v>0</v>
      </c>
      <c r="AK323" s="138">
        <f>IF('1.DATOS-PROD'!AT324="SI",VLOOKUP('1.DATOS-PROD'!AT$2,'1.PUNTOS'!$A$1:$B$63,2,0),0)</f>
        <v>0</v>
      </c>
      <c r="AL323" s="138">
        <f>IF('1.DATOS-PROD'!AU324="SI",VLOOKUP('1.DATOS-PROD'!AU$2,'1.PUNTOS'!$A$1:$B$63,2,0),0)</f>
        <v>0</v>
      </c>
      <c r="AM323" s="138">
        <f>IF('1.DATOS-PROD'!AV324="SI",VLOOKUP('1.DATOS-PROD'!AV$2,'1.PUNTOS'!$A$1:$B$63,2,0),0)</f>
        <v>0</v>
      </c>
      <c r="AN323" s="138">
        <f>IF('1.DATOS-PROD'!AW324="SI",VLOOKUP('1.DATOS-PROD'!AW$2,'1.PUNTOS'!$A$1:$B$63,2,0),0)</f>
        <v>0</v>
      </c>
      <c r="AO323" s="138">
        <f>IF('1.DATOS-PROD'!AX324="SI",VLOOKUP('1.DATOS-PROD'!AX$2,'1.PUNTOS'!$A$1:$B$63,2,0),0)</f>
        <v>0</v>
      </c>
      <c r="AP323" s="138">
        <f>IF('1.DATOS-PROD'!AY324="SI",VLOOKUP('1.DATOS-PROD'!AY$2,'1.PUNTOS'!$A$1:$B$63,2,0),0)</f>
        <v>0</v>
      </c>
      <c r="AQ323" s="138">
        <f>IF('1.DATOS-PROD'!AZ324="SI",VLOOKUP('1.DATOS-PROD'!AZ$2,'1.PUNTOS'!$A$1:$B$63,2,0),0)</f>
        <v>0</v>
      </c>
      <c r="AR323" s="138">
        <f>IF('1.DATOS-PROD'!BA324="SI",VLOOKUP('1.DATOS-PROD'!BA$2,'1.PUNTOS'!$A$1:$B$63,2,0),0)</f>
        <v>0</v>
      </c>
      <c r="AS323" s="138">
        <f>IF('1.DATOS-PROD'!BB324="SI",VLOOKUP('1.DATOS-PROD'!BB$2,'1.PUNTOS'!$A$1:$B$63,2,0),0)</f>
        <v>0</v>
      </c>
      <c r="AT323" s="138">
        <f>IF('1.DATOS-PROD'!BC324="SI",VLOOKUP('1.DATOS-PROD'!BC$2,'1.PUNTOS'!$A$1:$B$63,2,0),0)</f>
        <v>0</v>
      </c>
      <c r="AU323" s="138">
        <f>IF('1.DATOS-PROD'!BD324="SI",VLOOKUP('1.DATOS-PROD'!BD$2,'1.PUNTOS'!$A$1:$B$63,2,0),0)</f>
        <v>0</v>
      </c>
      <c r="AV323" s="138">
        <f>IF('1.DATOS-PROD'!BE324="SI",VLOOKUP('1.DATOS-PROD'!BE$2,'1.PUNTOS'!$A$1:$B$63,2,0),0)</f>
        <v>0</v>
      </c>
      <c r="AW323" s="138">
        <f>IF('1.DATOS-PROD'!BF324="SI",VLOOKUP('1.DATOS-PROD'!BF$2,'1.PUNTOS'!$A$1:$B$63,2,0),0)</f>
        <v>0</v>
      </c>
      <c r="AX323" s="138">
        <f>IF('1.DATOS-PROD'!BG324="SI",VLOOKUP('1.DATOS-PROD'!BG$2,'1.PUNTOS'!$A$1:$B$63,2,0),0)</f>
        <v>0</v>
      </c>
      <c r="AY323" s="138">
        <f>IF('1.DATOS-PROD'!BH324="SI",VLOOKUP('1.DATOS-PROD'!BH$2,'1.PUNTOS'!$A$1:$B$63,2,0),0)</f>
        <v>0</v>
      </c>
      <c r="AZ323" s="138">
        <f>IF('1.DATOS-PROD'!BI324="SI",VLOOKUP('1.DATOS-PROD'!BI$2,'1.PUNTOS'!$A$1:$B$63,2,0),0)</f>
        <v>0</v>
      </c>
      <c r="BA323" s="138">
        <f>IF('1.DATOS-PROD'!BJ324="SI",VLOOKUP('1.DATOS-PROD'!BJ$2,'1.PUNTOS'!$A$1:$B$63,2,0),0)</f>
        <v>0</v>
      </c>
      <c r="BB323" s="138">
        <f>IF('1.DATOS-PROD'!BK324="SI",VLOOKUP('1.DATOS-PROD'!BK$2,'1.PUNTOS'!$A$1:$B$63,2,0),0)</f>
        <v>0</v>
      </c>
      <c r="BC323" s="138">
        <f>IF('1.DATOS-PROD'!BL324="SI",VLOOKUP('1.DATOS-PROD'!BL$2,'1.PUNTOS'!$A$1:$B$63,2,0),0)</f>
        <v>0</v>
      </c>
      <c r="BD323" s="138">
        <f>IF('1.DATOS-PROD'!BM324="SI",VLOOKUP('1.DATOS-PROD'!BM$2,'1.PUNTOS'!$A$1:$B$63,2,0),0)</f>
        <v>0</v>
      </c>
      <c r="BE323" s="138">
        <f>IF('1.DATOS-PROD'!BN324="SI",VLOOKUP('1.DATOS-PROD'!BN$2,'1.PUNTOS'!$A$1:$B$63,2,0),0)</f>
        <v>0</v>
      </c>
      <c r="BF323" s="138">
        <f>IF('1.DATOS-PROD'!BO324="SI",VLOOKUP('1.DATOS-PROD'!BO$2,'1.PUNTOS'!$A$1:$B$63,2,0),0)</f>
        <v>0</v>
      </c>
      <c r="BG323" s="138">
        <f>IF('1.DATOS-PROD'!BP324="SI",VLOOKUP('1.DATOS-PROD'!BP$2,'1.PUNTOS'!$A$1:$B$63,2,0),0)</f>
        <v>0</v>
      </c>
      <c r="BH323" s="138">
        <f>IF('1.DATOS-PROD'!BQ324="SI",VLOOKUP('1.DATOS-PROD'!BQ$2,'1.PUNTOS'!$A$1:$B$63,2,0),0)</f>
        <v>0</v>
      </c>
      <c r="BI323" s="138">
        <f>IF('1.DATOS-PROD'!BR324="SI",VLOOKUP('1.DATOS-PROD'!BR$2,'1.PUNTOS'!$A$1:$B$63,2,0),0)</f>
        <v>0</v>
      </c>
      <c r="BJ323" s="138">
        <f>IF('1.DATOS-PROD'!BS324="SI",VLOOKUP('1.DATOS-PROD'!BS$2,'1.PUNTOS'!$A$1:$B$63,2,0),0)</f>
        <v>0</v>
      </c>
      <c r="BK323" s="138">
        <f>IF('1.DATOS-PROD'!BT324="SI",VLOOKUP('1.DATOS-PROD'!BT$2,'1.PUNTOS'!$A$1:$B$63,2,0),0)</f>
        <v>0</v>
      </c>
    </row>
    <row r="324" spans="1:63" x14ac:dyDescent="0.25">
      <c r="A324">
        <f>'0.Consolidado general'!$A325</f>
        <v>0</v>
      </c>
      <c r="B324" s="138">
        <f>IF('1.DATOS-PROD'!K325="SI",VLOOKUP('1.DATOS-PROD'!K$2,'1.PUNTOS'!$A$1:$B$63,2,0),0)</f>
        <v>0</v>
      </c>
      <c r="C324" s="138">
        <f>IF('1.DATOS-PROD'!L325="SI",VLOOKUP('1.DATOS-PROD'!L$2,'1.PUNTOS'!$A$1:$B$63,2,0),0)</f>
        <v>0</v>
      </c>
      <c r="D324" s="138">
        <f>IF('1.DATOS-PROD'!M325="SI",VLOOKUP('1.DATOS-PROD'!M$2,'1.PUNTOS'!$A$1:$B$63,2,0),0)</f>
        <v>0</v>
      </c>
      <c r="E324" s="138">
        <f>IF('1.DATOS-PROD'!N325="SI",VLOOKUP('1.DATOS-PROD'!N$2,'1.PUNTOS'!$A$1:$B$63,2,0),0)</f>
        <v>0</v>
      </c>
      <c r="F324" s="138">
        <f>IF('1.DATOS-PROD'!O325="SI",VLOOKUP('1.DATOS-PROD'!O$2,'1.PUNTOS'!$A$1:$B$63,2,0),0)</f>
        <v>0</v>
      </c>
      <c r="G324" s="138">
        <f>IF('1.DATOS-PROD'!P325="SI",VLOOKUP('1.DATOS-PROD'!P$2,'1.PUNTOS'!$A$1:$B$63,2,0),0)</f>
        <v>0</v>
      </c>
      <c r="H324" s="138">
        <f>IF('1.DATOS-PROD'!Q325="SI",VLOOKUP('1.DATOS-PROD'!Q$2,'1.PUNTOS'!$A$1:$B$63,2,0),0)</f>
        <v>0</v>
      </c>
      <c r="I324" s="138">
        <f>IF('1.DATOS-PROD'!R325="SI",VLOOKUP('1.DATOS-PROD'!R$2,'1.PUNTOS'!$A$1:$B$63,2,0),0)</f>
        <v>0</v>
      </c>
      <c r="J324" s="138">
        <f>IF('1.DATOS-PROD'!S325="SI",VLOOKUP('1.DATOS-PROD'!S$2,'1.PUNTOS'!$A$1:$B$63,2,0),0)</f>
        <v>0</v>
      </c>
      <c r="K324" s="138">
        <f>IF('1.DATOS-PROD'!T325="SI",VLOOKUP('1.DATOS-PROD'!T$2,'1.PUNTOS'!$A$1:$B$63,2,0),0)</f>
        <v>0</v>
      </c>
      <c r="L324" s="138">
        <f>IF('1.DATOS-PROD'!U325="SI",VLOOKUP('1.DATOS-PROD'!U$2,'1.PUNTOS'!$A$1:$B$63,2,0),0)</f>
        <v>0</v>
      </c>
      <c r="M324" s="138">
        <f>IF('1.DATOS-PROD'!V325="SI",VLOOKUP('1.DATOS-PROD'!V$2,'1.PUNTOS'!$A$1:$B$63,2,0),0)</f>
        <v>0</v>
      </c>
      <c r="N324" s="138">
        <f>IF('1.DATOS-PROD'!W325="SI",VLOOKUP('1.DATOS-PROD'!W$2,'1.PUNTOS'!$A$1:$B$63,2,0),0)</f>
        <v>0</v>
      </c>
      <c r="O324" s="138">
        <f>IF('1.DATOS-PROD'!X325="SI",VLOOKUP('1.DATOS-PROD'!X$2,'1.PUNTOS'!$A$1:$B$63,2,0),0)</f>
        <v>0</v>
      </c>
      <c r="P324" s="138">
        <f>IF('1.DATOS-PROD'!Y325="SI",VLOOKUP('1.DATOS-PROD'!Y$2,'1.PUNTOS'!$A$1:$B$63,2,0),0)</f>
        <v>0</v>
      </c>
      <c r="Q324" s="138">
        <f>IF('1.DATOS-PROD'!Z325="SI",VLOOKUP('1.DATOS-PROD'!Z$2,'1.PUNTOS'!$A$1:$B$63,2,0),0)</f>
        <v>0</v>
      </c>
      <c r="R324" s="138">
        <f>IF('1.DATOS-PROD'!AA325="SI",VLOOKUP('1.DATOS-PROD'!AA$2,'1.PUNTOS'!$A$1:$B$63,2,0),0)</f>
        <v>0</v>
      </c>
      <c r="S324" s="138">
        <f>IF('1.DATOS-PROD'!AB325="SI",VLOOKUP('1.DATOS-PROD'!AB$2,'1.PUNTOS'!$A$1:$B$63,2,0),0)</f>
        <v>0</v>
      </c>
      <c r="T324" s="138">
        <f>IF('1.DATOS-PROD'!AC325="SI",VLOOKUP('1.DATOS-PROD'!AC$2,'1.PUNTOS'!$A$1:$B$63,2,0),0)</f>
        <v>0</v>
      </c>
      <c r="U324" s="138">
        <f>IF('1.DATOS-PROD'!AD325="SI",VLOOKUP('1.DATOS-PROD'!AD$2,'1.PUNTOS'!$A$1:$B$63,2,0),0)</f>
        <v>0</v>
      </c>
      <c r="V324" s="138">
        <f>IF('1.DATOS-PROD'!AE325="SI",VLOOKUP('1.DATOS-PROD'!AE$2,'1.PUNTOS'!$A$1:$B$63,2,0),0)</f>
        <v>0</v>
      </c>
      <c r="W324" s="138">
        <f>IF('1.DATOS-PROD'!AF325="SI",VLOOKUP('1.DATOS-PROD'!AF$2,'1.PUNTOS'!$A$1:$B$63,2,0),0)</f>
        <v>0</v>
      </c>
      <c r="X324" s="138">
        <f>IF('1.DATOS-PROD'!AG325="SI",VLOOKUP('1.DATOS-PROD'!AG$2,'1.PUNTOS'!$A$1:$B$63,2,0),0)</f>
        <v>0</v>
      </c>
      <c r="Y324" s="138">
        <f>IF('1.DATOS-PROD'!AH325="SI",VLOOKUP('1.DATOS-PROD'!AH$2,'1.PUNTOS'!$A$1:$B$63,2,0),0)</f>
        <v>0</v>
      </c>
      <c r="Z324" s="138">
        <f>IF('1.DATOS-PROD'!AI325="SI",VLOOKUP('1.DATOS-PROD'!AI$2,'1.PUNTOS'!$A$1:$B$63,2,0),0)</f>
        <v>0</v>
      </c>
      <c r="AA324" s="138">
        <f>IF('1.DATOS-PROD'!AJ325="SI",VLOOKUP('1.DATOS-PROD'!AJ$2,'1.PUNTOS'!$A$1:$B$63,2,0),0)</f>
        <v>0</v>
      </c>
      <c r="AB324" s="138">
        <f>IF('1.DATOS-PROD'!AK325="SI",VLOOKUP('1.DATOS-PROD'!AK$2,'1.PUNTOS'!$A$1:$B$63,2,0),0)</f>
        <v>0</v>
      </c>
      <c r="AC324" s="138">
        <f>IF('1.DATOS-PROD'!AL325="SI",VLOOKUP('1.DATOS-PROD'!AL$2,'1.PUNTOS'!$A$1:$B$63,2,0),0)</f>
        <v>0</v>
      </c>
      <c r="AD324" s="138">
        <f>IF('1.DATOS-PROD'!AM325="SI",VLOOKUP('1.DATOS-PROD'!AM$2,'1.PUNTOS'!$A$1:$B$63,2,0),0)</f>
        <v>0</v>
      </c>
      <c r="AE324" s="138">
        <f>IF('1.DATOS-PROD'!AN325="SI",VLOOKUP('1.DATOS-PROD'!AN$2,'1.PUNTOS'!$A$1:$B$63,2,0),0)</f>
        <v>0</v>
      </c>
      <c r="AF324" s="138">
        <f>IF('1.DATOS-PROD'!AO325="SI",VLOOKUP('1.DATOS-PROD'!AO$2,'1.PUNTOS'!$A$1:$B$63,2,0),0)</f>
        <v>0</v>
      </c>
      <c r="AG324" s="138">
        <f>IF('1.DATOS-PROD'!AP325="SI",VLOOKUP('1.DATOS-PROD'!AP$2,'1.PUNTOS'!$A$1:$B$63,2,0),0)</f>
        <v>0</v>
      </c>
      <c r="AH324" s="138">
        <f>IF('1.DATOS-PROD'!AQ325="SI",VLOOKUP('1.DATOS-PROD'!AQ$2,'1.PUNTOS'!$A$1:$B$63,2,0),0)</f>
        <v>0</v>
      </c>
      <c r="AI324" s="138">
        <f>IF('1.DATOS-PROD'!AR325="SI",VLOOKUP('1.DATOS-PROD'!AR$2,'1.PUNTOS'!$A$1:$B$63,2,0),0)</f>
        <v>0</v>
      </c>
      <c r="AJ324" s="138">
        <f>IF('1.DATOS-PROD'!AS325="SI",VLOOKUP('1.DATOS-PROD'!AS$2,'1.PUNTOS'!$A$1:$B$63,2,0),0)</f>
        <v>0</v>
      </c>
      <c r="AK324" s="138">
        <f>IF('1.DATOS-PROD'!AT325="SI",VLOOKUP('1.DATOS-PROD'!AT$2,'1.PUNTOS'!$A$1:$B$63,2,0),0)</f>
        <v>0</v>
      </c>
      <c r="AL324" s="138">
        <f>IF('1.DATOS-PROD'!AU325="SI",VLOOKUP('1.DATOS-PROD'!AU$2,'1.PUNTOS'!$A$1:$B$63,2,0),0)</f>
        <v>0</v>
      </c>
      <c r="AM324" s="138">
        <f>IF('1.DATOS-PROD'!AV325="SI",VLOOKUP('1.DATOS-PROD'!AV$2,'1.PUNTOS'!$A$1:$B$63,2,0),0)</f>
        <v>0</v>
      </c>
      <c r="AN324" s="138">
        <f>IF('1.DATOS-PROD'!AW325="SI",VLOOKUP('1.DATOS-PROD'!AW$2,'1.PUNTOS'!$A$1:$B$63,2,0),0)</f>
        <v>0</v>
      </c>
      <c r="AO324" s="138">
        <f>IF('1.DATOS-PROD'!AX325="SI",VLOOKUP('1.DATOS-PROD'!AX$2,'1.PUNTOS'!$A$1:$B$63,2,0),0)</f>
        <v>0</v>
      </c>
      <c r="AP324" s="138">
        <f>IF('1.DATOS-PROD'!AY325="SI",VLOOKUP('1.DATOS-PROD'!AY$2,'1.PUNTOS'!$A$1:$B$63,2,0),0)</f>
        <v>0</v>
      </c>
      <c r="AQ324" s="138">
        <f>IF('1.DATOS-PROD'!AZ325="SI",VLOOKUP('1.DATOS-PROD'!AZ$2,'1.PUNTOS'!$A$1:$B$63,2,0),0)</f>
        <v>0</v>
      </c>
      <c r="AR324" s="138">
        <f>IF('1.DATOS-PROD'!BA325="SI",VLOOKUP('1.DATOS-PROD'!BA$2,'1.PUNTOS'!$A$1:$B$63,2,0),0)</f>
        <v>0</v>
      </c>
      <c r="AS324" s="138">
        <f>IF('1.DATOS-PROD'!BB325="SI",VLOOKUP('1.DATOS-PROD'!BB$2,'1.PUNTOS'!$A$1:$B$63,2,0),0)</f>
        <v>0</v>
      </c>
      <c r="AT324" s="138">
        <f>IF('1.DATOS-PROD'!BC325="SI",VLOOKUP('1.DATOS-PROD'!BC$2,'1.PUNTOS'!$A$1:$B$63,2,0),0)</f>
        <v>0</v>
      </c>
      <c r="AU324" s="138">
        <f>IF('1.DATOS-PROD'!BD325="SI",VLOOKUP('1.DATOS-PROD'!BD$2,'1.PUNTOS'!$A$1:$B$63,2,0),0)</f>
        <v>0</v>
      </c>
      <c r="AV324" s="138">
        <f>IF('1.DATOS-PROD'!BE325="SI",VLOOKUP('1.DATOS-PROD'!BE$2,'1.PUNTOS'!$A$1:$B$63,2,0),0)</f>
        <v>0</v>
      </c>
      <c r="AW324" s="138">
        <f>IF('1.DATOS-PROD'!BF325="SI",VLOOKUP('1.DATOS-PROD'!BF$2,'1.PUNTOS'!$A$1:$B$63,2,0),0)</f>
        <v>0</v>
      </c>
      <c r="AX324" s="138">
        <f>IF('1.DATOS-PROD'!BG325="SI",VLOOKUP('1.DATOS-PROD'!BG$2,'1.PUNTOS'!$A$1:$B$63,2,0),0)</f>
        <v>0</v>
      </c>
      <c r="AY324" s="138">
        <f>IF('1.DATOS-PROD'!BH325="SI",VLOOKUP('1.DATOS-PROD'!BH$2,'1.PUNTOS'!$A$1:$B$63,2,0),0)</f>
        <v>0</v>
      </c>
      <c r="AZ324" s="138">
        <f>IF('1.DATOS-PROD'!BI325="SI",VLOOKUP('1.DATOS-PROD'!BI$2,'1.PUNTOS'!$A$1:$B$63,2,0),0)</f>
        <v>0</v>
      </c>
      <c r="BA324" s="138">
        <f>IF('1.DATOS-PROD'!BJ325="SI",VLOOKUP('1.DATOS-PROD'!BJ$2,'1.PUNTOS'!$A$1:$B$63,2,0),0)</f>
        <v>0</v>
      </c>
      <c r="BB324" s="138">
        <f>IF('1.DATOS-PROD'!BK325="SI",VLOOKUP('1.DATOS-PROD'!BK$2,'1.PUNTOS'!$A$1:$B$63,2,0),0)</f>
        <v>0</v>
      </c>
      <c r="BC324" s="138">
        <f>IF('1.DATOS-PROD'!BL325="SI",VLOOKUP('1.DATOS-PROD'!BL$2,'1.PUNTOS'!$A$1:$B$63,2,0),0)</f>
        <v>0</v>
      </c>
      <c r="BD324" s="138">
        <f>IF('1.DATOS-PROD'!BM325="SI",VLOOKUP('1.DATOS-PROD'!BM$2,'1.PUNTOS'!$A$1:$B$63,2,0),0)</f>
        <v>0</v>
      </c>
      <c r="BE324" s="138">
        <f>IF('1.DATOS-PROD'!BN325="SI",VLOOKUP('1.DATOS-PROD'!BN$2,'1.PUNTOS'!$A$1:$B$63,2,0),0)</f>
        <v>0</v>
      </c>
      <c r="BF324" s="138">
        <f>IF('1.DATOS-PROD'!BO325="SI",VLOOKUP('1.DATOS-PROD'!BO$2,'1.PUNTOS'!$A$1:$B$63,2,0),0)</f>
        <v>0</v>
      </c>
      <c r="BG324" s="138">
        <f>IF('1.DATOS-PROD'!BP325="SI",VLOOKUP('1.DATOS-PROD'!BP$2,'1.PUNTOS'!$A$1:$B$63,2,0),0)</f>
        <v>0</v>
      </c>
      <c r="BH324" s="138">
        <f>IF('1.DATOS-PROD'!BQ325="SI",VLOOKUP('1.DATOS-PROD'!BQ$2,'1.PUNTOS'!$A$1:$B$63,2,0),0)</f>
        <v>0</v>
      </c>
      <c r="BI324" s="138">
        <f>IF('1.DATOS-PROD'!BR325="SI",VLOOKUP('1.DATOS-PROD'!BR$2,'1.PUNTOS'!$A$1:$B$63,2,0),0)</f>
        <v>0</v>
      </c>
      <c r="BJ324" s="138">
        <f>IF('1.DATOS-PROD'!BS325="SI",VLOOKUP('1.DATOS-PROD'!BS$2,'1.PUNTOS'!$A$1:$B$63,2,0),0)</f>
        <v>0</v>
      </c>
      <c r="BK324" s="138">
        <f>IF('1.DATOS-PROD'!BT325="SI",VLOOKUP('1.DATOS-PROD'!BT$2,'1.PUNTOS'!$A$1:$B$63,2,0),0)</f>
        <v>0</v>
      </c>
    </row>
    <row r="325" spans="1:63" x14ac:dyDescent="0.25">
      <c r="A325">
        <f>'0.Consolidado general'!$A326</f>
        <v>0</v>
      </c>
      <c r="B325" s="138">
        <f>IF('1.DATOS-PROD'!K326="SI",VLOOKUP('1.DATOS-PROD'!K$2,'1.PUNTOS'!$A$1:$B$63,2,0),0)</f>
        <v>0</v>
      </c>
      <c r="C325" s="138">
        <f>IF('1.DATOS-PROD'!L326="SI",VLOOKUP('1.DATOS-PROD'!L$2,'1.PUNTOS'!$A$1:$B$63,2,0),0)</f>
        <v>0</v>
      </c>
      <c r="D325" s="138">
        <f>IF('1.DATOS-PROD'!M326="SI",VLOOKUP('1.DATOS-PROD'!M$2,'1.PUNTOS'!$A$1:$B$63,2,0),0)</f>
        <v>0</v>
      </c>
      <c r="E325" s="138">
        <f>IF('1.DATOS-PROD'!N326="SI",VLOOKUP('1.DATOS-PROD'!N$2,'1.PUNTOS'!$A$1:$B$63,2,0),0)</f>
        <v>0</v>
      </c>
      <c r="F325" s="138">
        <f>IF('1.DATOS-PROD'!O326="SI",VLOOKUP('1.DATOS-PROD'!O$2,'1.PUNTOS'!$A$1:$B$63,2,0),0)</f>
        <v>0</v>
      </c>
      <c r="G325" s="138">
        <f>IF('1.DATOS-PROD'!P326="SI",VLOOKUP('1.DATOS-PROD'!P$2,'1.PUNTOS'!$A$1:$B$63,2,0),0)</f>
        <v>0</v>
      </c>
      <c r="H325" s="138">
        <f>IF('1.DATOS-PROD'!Q326="SI",VLOOKUP('1.DATOS-PROD'!Q$2,'1.PUNTOS'!$A$1:$B$63,2,0),0)</f>
        <v>0</v>
      </c>
      <c r="I325" s="138">
        <f>IF('1.DATOS-PROD'!R326="SI",VLOOKUP('1.DATOS-PROD'!R$2,'1.PUNTOS'!$A$1:$B$63,2,0),0)</f>
        <v>0</v>
      </c>
      <c r="J325" s="138">
        <f>IF('1.DATOS-PROD'!S326="SI",VLOOKUP('1.DATOS-PROD'!S$2,'1.PUNTOS'!$A$1:$B$63,2,0),0)</f>
        <v>0</v>
      </c>
      <c r="K325" s="138">
        <f>IF('1.DATOS-PROD'!T326="SI",VLOOKUP('1.DATOS-PROD'!T$2,'1.PUNTOS'!$A$1:$B$63,2,0),0)</f>
        <v>0</v>
      </c>
      <c r="L325" s="138">
        <f>IF('1.DATOS-PROD'!U326="SI",VLOOKUP('1.DATOS-PROD'!U$2,'1.PUNTOS'!$A$1:$B$63,2,0),0)</f>
        <v>0</v>
      </c>
      <c r="M325" s="138">
        <f>IF('1.DATOS-PROD'!V326="SI",VLOOKUP('1.DATOS-PROD'!V$2,'1.PUNTOS'!$A$1:$B$63,2,0),0)</f>
        <v>0</v>
      </c>
      <c r="N325" s="138">
        <f>IF('1.DATOS-PROD'!W326="SI",VLOOKUP('1.DATOS-PROD'!W$2,'1.PUNTOS'!$A$1:$B$63,2,0),0)</f>
        <v>0</v>
      </c>
      <c r="O325" s="138">
        <f>IF('1.DATOS-PROD'!X326="SI",VLOOKUP('1.DATOS-PROD'!X$2,'1.PUNTOS'!$A$1:$B$63,2,0),0)</f>
        <v>0</v>
      </c>
      <c r="P325" s="138">
        <f>IF('1.DATOS-PROD'!Y326="SI",VLOOKUP('1.DATOS-PROD'!Y$2,'1.PUNTOS'!$A$1:$B$63,2,0),0)</f>
        <v>0</v>
      </c>
      <c r="Q325" s="138">
        <f>IF('1.DATOS-PROD'!Z326="SI",VLOOKUP('1.DATOS-PROD'!Z$2,'1.PUNTOS'!$A$1:$B$63,2,0),0)</f>
        <v>0</v>
      </c>
      <c r="R325" s="138">
        <f>IF('1.DATOS-PROD'!AA326="SI",VLOOKUP('1.DATOS-PROD'!AA$2,'1.PUNTOS'!$A$1:$B$63,2,0),0)</f>
        <v>0</v>
      </c>
      <c r="S325" s="138">
        <f>IF('1.DATOS-PROD'!AB326="SI",VLOOKUP('1.DATOS-PROD'!AB$2,'1.PUNTOS'!$A$1:$B$63,2,0),0)</f>
        <v>0</v>
      </c>
      <c r="T325" s="138">
        <f>IF('1.DATOS-PROD'!AC326="SI",VLOOKUP('1.DATOS-PROD'!AC$2,'1.PUNTOS'!$A$1:$B$63,2,0),0)</f>
        <v>0</v>
      </c>
      <c r="U325" s="138">
        <f>IF('1.DATOS-PROD'!AD326="SI",VLOOKUP('1.DATOS-PROD'!AD$2,'1.PUNTOS'!$A$1:$B$63,2,0),0)</f>
        <v>0</v>
      </c>
      <c r="V325" s="138">
        <f>IF('1.DATOS-PROD'!AE326="SI",VLOOKUP('1.DATOS-PROD'!AE$2,'1.PUNTOS'!$A$1:$B$63,2,0),0)</f>
        <v>0</v>
      </c>
      <c r="W325" s="138">
        <f>IF('1.DATOS-PROD'!AF326="SI",VLOOKUP('1.DATOS-PROD'!AF$2,'1.PUNTOS'!$A$1:$B$63,2,0),0)</f>
        <v>0</v>
      </c>
      <c r="X325" s="138">
        <f>IF('1.DATOS-PROD'!AG326="SI",VLOOKUP('1.DATOS-PROD'!AG$2,'1.PUNTOS'!$A$1:$B$63,2,0),0)</f>
        <v>0</v>
      </c>
      <c r="Y325" s="138">
        <f>IF('1.DATOS-PROD'!AH326="SI",VLOOKUP('1.DATOS-PROD'!AH$2,'1.PUNTOS'!$A$1:$B$63,2,0),0)</f>
        <v>0</v>
      </c>
      <c r="Z325" s="138">
        <f>IF('1.DATOS-PROD'!AI326="SI",VLOOKUP('1.DATOS-PROD'!AI$2,'1.PUNTOS'!$A$1:$B$63,2,0),0)</f>
        <v>0</v>
      </c>
      <c r="AA325" s="138">
        <f>IF('1.DATOS-PROD'!AJ326="SI",VLOOKUP('1.DATOS-PROD'!AJ$2,'1.PUNTOS'!$A$1:$B$63,2,0),0)</f>
        <v>0</v>
      </c>
      <c r="AB325" s="138">
        <f>IF('1.DATOS-PROD'!AK326="SI",VLOOKUP('1.DATOS-PROD'!AK$2,'1.PUNTOS'!$A$1:$B$63,2,0),0)</f>
        <v>0</v>
      </c>
      <c r="AC325" s="138">
        <f>IF('1.DATOS-PROD'!AL326="SI",VLOOKUP('1.DATOS-PROD'!AL$2,'1.PUNTOS'!$A$1:$B$63,2,0),0)</f>
        <v>0</v>
      </c>
      <c r="AD325" s="138">
        <f>IF('1.DATOS-PROD'!AM326="SI",VLOOKUP('1.DATOS-PROD'!AM$2,'1.PUNTOS'!$A$1:$B$63,2,0),0)</f>
        <v>0</v>
      </c>
      <c r="AE325" s="138">
        <f>IF('1.DATOS-PROD'!AN326="SI",VLOOKUP('1.DATOS-PROD'!AN$2,'1.PUNTOS'!$A$1:$B$63,2,0),0)</f>
        <v>0</v>
      </c>
      <c r="AF325" s="138">
        <f>IF('1.DATOS-PROD'!AO326="SI",VLOOKUP('1.DATOS-PROD'!AO$2,'1.PUNTOS'!$A$1:$B$63,2,0),0)</f>
        <v>0</v>
      </c>
      <c r="AG325" s="138">
        <f>IF('1.DATOS-PROD'!AP326="SI",VLOOKUP('1.DATOS-PROD'!AP$2,'1.PUNTOS'!$A$1:$B$63,2,0),0)</f>
        <v>0</v>
      </c>
      <c r="AH325" s="138">
        <f>IF('1.DATOS-PROD'!AQ326="SI",VLOOKUP('1.DATOS-PROD'!AQ$2,'1.PUNTOS'!$A$1:$B$63,2,0),0)</f>
        <v>0</v>
      </c>
      <c r="AI325" s="138">
        <f>IF('1.DATOS-PROD'!AR326="SI",VLOOKUP('1.DATOS-PROD'!AR$2,'1.PUNTOS'!$A$1:$B$63,2,0),0)</f>
        <v>0</v>
      </c>
      <c r="AJ325" s="138">
        <f>IF('1.DATOS-PROD'!AS326="SI",VLOOKUP('1.DATOS-PROD'!AS$2,'1.PUNTOS'!$A$1:$B$63,2,0),0)</f>
        <v>0</v>
      </c>
      <c r="AK325" s="138">
        <f>IF('1.DATOS-PROD'!AT326="SI",VLOOKUP('1.DATOS-PROD'!AT$2,'1.PUNTOS'!$A$1:$B$63,2,0),0)</f>
        <v>0</v>
      </c>
      <c r="AL325" s="138">
        <f>IF('1.DATOS-PROD'!AU326="SI",VLOOKUP('1.DATOS-PROD'!AU$2,'1.PUNTOS'!$A$1:$B$63,2,0),0)</f>
        <v>0</v>
      </c>
      <c r="AM325" s="138">
        <f>IF('1.DATOS-PROD'!AV326="SI",VLOOKUP('1.DATOS-PROD'!AV$2,'1.PUNTOS'!$A$1:$B$63,2,0),0)</f>
        <v>0</v>
      </c>
      <c r="AN325" s="138">
        <f>IF('1.DATOS-PROD'!AW326="SI",VLOOKUP('1.DATOS-PROD'!AW$2,'1.PUNTOS'!$A$1:$B$63,2,0),0)</f>
        <v>0</v>
      </c>
      <c r="AO325" s="138">
        <f>IF('1.DATOS-PROD'!AX326="SI",VLOOKUP('1.DATOS-PROD'!AX$2,'1.PUNTOS'!$A$1:$B$63,2,0),0)</f>
        <v>0</v>
      </c>
      <c r="AP325" s="138">
        <f>IF('1.DATOS-PROD'!AY326="SI",VLOOKUP('1.DATOS-PROD'!AY$2,'1.PUNTOS'!$A$1:$B$63,2,0),0)</f>
        <v>0</v>
      </c>
      <c r="AQ325" s="138">
        <f>IF('1.DATOS-PROD'!AZ326="SI",VLOOKUP('1.DATOS-PROD'!AZ$2,'1.PUNTOS'!$A$1:$B$63,2,0),0)</f>
        <v>0</v>
      </c>
      <c r="AR325" s="138">
        <f>IF('1.DATOS-PROD'!BA326="SI",VLOOKUP('1.DATOS-PROD'!BA$2,'1.PUNTOS'!$A$1:$B$63,2,0),0)</f>
        <v>0</v>
      </c>
      <c r="AS325" s="138">
        <f>IF('1.DATOS-PROD'!BB326="SI",VLOOKUP('1.DATOS-PROD'!BB$2,'1.PUNTOS'!$A$1:$B$63,2,0),0)</f>
        <v>0</v>
      </c>
      <c r="AT325" s="138">
        <f>IF('1.DATOS-PROD'!BC326="SI",VLOOKUP('1.DATOS-PROD'!BC$2,'1.PUNTOS'!$A$1:$B$63,2,0),0)</f>
        <v>0</v>
      </c>
      <c r="AU325" s="138">
        <f>IF('1.DATOS-PROD'!BD326="SI",VLOOKUP('1.DATOS-PROD'!BD$2,'1.PUNTOS'!$A$1:$B$63,2,0),0)</f>
        <v>0</v>
      </c>
      <c r="AV325" s="138">
        <f>IF('1.DATOS-PROD'!BE326="SI",VLOOKUP('1.DATOS-PROD'!BE$2,'1.PUNTOS'!$A$1:$B$63,2,0),0)</f>
        <v>0</v>
      </c>
      <c r="AW325" s="138">
        <f>IF('1.DATOS-PROD'!BF326="SI",VLOOKUP('1.DATOS-PROD'!BF$2,'1.PUNTOS'!$A$1:$B$63,2,0),0)</f>
        <v>0</v>
      </c>
      <c r="AX325" s="138">
        <f>IF('1.DATOS-PROD'!BG326="SI",VLOOKUP('1.DATOS-PROD'!BG$2,'1.PUNTOS'!$A$1:$B$63,2,0),0)</f>
        <v>0</v>
      </c>
      <c r="AY325" s="138">
        <f>IF('1.DATOS-PROD'!BH326="SI",VLOOKUP('1.DATOS-PROD'!BH$2,'1.PUNTOS'!$A$1:$B$63,2,0),0)</f>
        <v>0</v>
      </c>
      <c r="AZ325" s="138">
        <f>IF('1.DATOS-PROD'!BI326="SI",VLOOKUP('1.DATOS-PROD'!BI$2,'1.PUNTOS'!$A$1:$B$63,2,0),0)</f>
        <v>0</v>
      </c>
      <c r="BA325" s="138">
        <f>IF('1.DATOS-PROD'!BJ326="SI",VLOOKUP('1.DATOS-PROD'!BJ$2,'1.PUNTOS'!$A$1:$B$63,2,0),0)</f>
        <v>0</v>
      </c>
      <c r="BB325" s="138">
        <f>IF('1.DATOS-PROD'!BK326="SI",VLOOKUP('1.DATOS-PROD'!BK$2,'1.PUNTOS'!$A$1:$B$63,2,0),0)</f>
        <v>0</v>
      </c>
      <c r="BC325" s="138">
        <f>IF('1.DATOS-PROD'!BL326="SI",VLOOKUP('1.DATOS-PROD'!BL$2,'1.PUNTOS'!$A$1:$B$63,2,0),0)</f>
        <v>0</v>
      </c>
      <c r="BD325" s="138">
        <f>IF('1.DATOS-PROD'!BM326="SI",VLOOKUP('1.DATOS-PROD'!BM$2,'1.PUNTOS'!$A$1:$B$63,2,0),0)</f>
        <v>0</v>
      </c>
      <c r="BE325" s="138">
        <f>IF('1.DATOS-PROD'!BN326="SI",VLOOKUP('1.DATOS-PROD'!BN$2,'1.PUNTOS'!$A$1:$B$63,2,0),0)</f>
        <v>0</v>
      </c>
      <c r="BF325" s="138">
        <f>IF('1.DATOS-PROD'!BO326="SI",VLOOKUP('1.DATOS-PROD'!BO$2,'1.PUNTOS'!$A$1:$B$63,2,0),0)</f>
        <v>0</v>
      </c>
      <c r="BG325" s="138">
        <f>IF('1.DATOS-PROD'!BP326="SI",VLOOKUP('1.DATOS-PROD'!BP$2,'1.PUNTOS'!$A$1:$B$63,2,0),0)</f>
        <v>0</v>
      </c>
      <c r="BH325" s="138">
        <f>IF('1.DATOS-PROD'!BQ326="SI",VLOOKUP('1.DATOS-PROD'!BQ$2,'1.PUNTOS'!$A$1:$B$63,2,0),0)</f>
        <v>0</v>
      </c>
      <c r="BI325" s="138">
        <f>IF('1.DATOS-PROD'!BR326="SI",VLOOKUP('1.DATOS-PROD'!BR$2,'1.PUNTOS'!$A$1:$B$63,2,0),0)</f>
        <v>0</v>
      </c>
      <c r="BJ325" s="138">
        <f>IF('1.DATOS-PROD'!BS326="SI",VLOOKUP('1.DATOS-PROD'!BS$2,'1.PUNTOS'!$A$1:$B$63,2,0),0)</f>
        <v>0</v>
      </c>
      <c r="BK325" s="138">
        <f>IF('1.DATOS-PROD'!BT326="SI",VLOOKUP('1.DATOS-PROD'!BT$2,'1.PUNTOS'!$A$1:$B$63,2,0),0)</f>
        <v>0</v>
      </c>
    </row>
    <row r="326" spans="1:63" x14ac:dyDescent="0.25">
      <c r="A326">
        <f>'0.Consolidado general'!$A327</f>
        <v>0</v>
      </c>
      <c r="B326" s="138">
        <f>IF('1.DATOS-PROD'!K327="SI",VLOOKUP('1.DATOS-PROD'!K$2,'1.PUNTOS'!$A$1:$B$63,2,0),0)</f>
        <v>0</v>
      </c>
      <c r="C326" s="138">
        <f>IF('1.DATOS-PROD'!L327="SI",VLOOKUP('1.DATOS-PROD'!L$2,'1.PUNTOS'!$A$1:$B$63,2,0),0)</f>
        <v>0</v>
      </c>
      <c r="D326" s="138">
        <f>IF('1.DATOS-PROD'!M327="SI",VLOOKUP('1.DATOS-PROD'!M$2,'1.PUNTOS'!$A$1:$B$63,2,0),0)</f>
        <v>0</v>
      </c>
      <c r="E326" s="138">
        <f>IF('1.DATOS-PROD'!N327="SI",VLOOKUP('1.DATOS-PROD'!N$2,'1.PUNTOS'!$A$1:$B$63,2,0),0)</f>
        <v>0</v>
      </c>
      <c r="F326" s="138">
        <f>IF('1.DATOS-PROD'!O327="SI",VLOOKUP('1.DATOS-PROD'!O$2,'1.PUNTOS'!$A$1:$B$63,2,0),0)</f>
        <v>0</v>
      </c>
      <c r="G326" s="138">
        <f>IF('1.DATOS-PROD'!P327="SI",VLOOKUP('1.DATOS-PROD'!P$2,'1.PUNTOS'!$A$1:$B$63,2,0),0)</f>
        <v>0</v>
      </c>
      <c r="H326" s="138">
        <f>IF('1.DATOS-PROD'!Q327="SI",VLOOKUP('1.DATOS-PROD'!Q$2,'1.PUNTOS'!$A$1:$B$63,2,0),0)</f>
        <v>0</v>
      </c>
      <c r="I326" s="138">
        <f>IF('1.DATOS-PROD'!R327="SI",VLOOKUP('1.DATOS-PROD'!R$2,'1.PUNTOS'!$A$1:$B$63,2,0),0)</f>
        <v>0</v>
      </c>
      <c r="J326" s="138">
        <f>IF('1.DATOS-PROD'!S327="SI",VLOOKUP('1.DATOS-PROD'!S$2,'1.PUNTOS'!$A$1:$B$63,2,0),0)</f>
        <v>0</v>
      </c>
      <c r="K326" s="138">
        <f>IF('1.DATOS-PROD'!T327="SI",VLOOKUP('1.DATOS-PROD'!T$2,'1.PUNTOS'!$A$1:$B$63,2,0),0)</f>
        <v>0</v>
      </c>
      <c r="L326" s="138">
        <f>IF('1.DATOS-PROD'!U327="SI",VLOOKUP('1.DATOS-PROD'!U$2,'1.PUNTOS'!$A$1:$B$63,2,0),0)</f>
        <v>0</v>
      </c>
      <c r="M326" s="138">
        <f>IF('1.DATOS-PROD'!V327="SI",VLOOKUP('1.DATOS-PROD'!V$2,'1.PUNTOS'!$A$1:$B$63,2,0),0)</f>
        <v>0</v>
      </c>
      <c r="N326" s="138">
        <f>IF('1.DATOS-PROD'!W327="SI",VLOOKUP('1.DATOS-PROD'!W$2,'1.PUNTOS'!$A$1:$B$63,2,0),0)</f>
        <v>0</v>
      </c>
      <c r="O326" s="138">
        <f>IF('1.DATOS-PROD'!X327="SI",VLOOKUP('1.DATOS-PROD'!X$2,'1.PUNTOS'!$A$1:$B$63,2,0),0)</f>
        <v>0</v>
      </c>
      <c r="P326" s="138">
        <f>IF('1.DATOS-PROD'!Y327="SI",VLOOKUP('1.DATOS-PROD'!Y$2,'1.PUNTOS'!$A$1:$B$63,2,0),0)</f>
        <v>0</v>
      </c>
      <c r="Q326" s="138">
        <f>IF('1.DATOS-PROD'!Z327="SI",VLOOKUP('1.DATOS-PROD'!Z$2,'1.PUNTOS'!$A$1:$B$63,2,0),0)</f>
        <v>0</v>
      </c>
      <c r="R326" s="138">
        <f>IF('1.DATOS-PROD'!AA327="SI",VLOOKUP('1.DATOS-PROD'!AA$2,'1.PUNTOS'!$A$1:$B$63,2,0),0)</f>
        <v>0</v>
      </c>
      <c r="S326" s="138">
        <f>IF('1.DATOS-PROD'!AB327="SI",VLOOKUP('1.DATOS-PROD'!AB$2,'1.PUNTOS'!$A$1:$B$63,2,0),0)</f>
        <v>0</v>
      </c>
      <c r="T326" s="138">
        <f>IF('1.DATOS-PROD'!AC327="SI",VLOOKUP('1.DATOS-PROD'!AC$2,'1.PUNTOS'!$A$1:$B$63,2,0),0)</f>
        <v>0</v>
      </c>
      <c r="U326" s="138">
        <f>IF('1.DATOS-PROD'!AD327="SI",VLOOKUP('1.DATOS-PROD'!AD$2,'1.PUNTOS'!$A$1:$B$63,2,0),0)</f>
        <v>0</v>
      </c>
      <c r="V326" s="138">
        <f>IF('1.DATOS-PROD'!AE327="SI",VLOOKUP('1.DATOS-PROD'!AE$2,'1.PUNTOS'!$A$1:$B$63,2,0),0)</f>
        <v>0</v>
      </c>
      <c r="W326" s="138">
        <f>IF('1.DATOS-PROD'!AF327="SI",VLOOKUP('1.DATOS-PROD'!AF$2,'1.PUNTOS'!$A$1:$B$63,2,0),0)</f>
        <v>0</v>
      </c>
      <c r="X326" s="138">
        <f>IF('1.DATOS-PROD'!AG327="SI",VLOOKUP('1.DATOS-PROD'!AG$2,'1.PUNTOS'!$A$1:$B$63,2,0),0)</f>
        <v>0</v>
      </c>
      <c r="Y326" s="138">
        <f>IF('1.DATOS-PROD'!AH327="SI",VLOOKUP('1.DATOS-PROD'!AH$2,'1.PUNTOS'!$A$1:$B$63,2,0),0)</f>
        <v>0</v>
      </c>
      <c r="Z326" s="138">
        <f>IF('1.DATOS-PROD'!AI327="SI",VLOOKUP('1.DATOS-PROD'!AI$2,'1.PUNTOS'!$A$1:$B$63,2,0),0)</f>
        <v>0</v>
      </c>
      <c r="AA326" s="138">
        <f>IF('1.DATOS-PROD'!AJ327="SI",VLOOKUP('1.DATOS-PROD'!AJ$2,'1.PUNTOS'!$A$1:$B$63,2,0),0)</f>
        <v>0</v>
      </c>
      <c r="AB326" s="138">
        <f>IF('1.DATOS-PROD'!AK327="SI",VLOOKUP('1.DATOS-PROD'!AK$2,'1.PUNTOS'!$A$1:$B$63,2,0),0)</f>
        <v>0</v>
      </c>
      <c r="AC326" s="138">
        <f>IF('1.DATOS-PROD'!AL327="SI",VLOOKUP('1.DATOS-PROD'!AL$2,'1.PUNTOS'!$A$1:$B$63,2,0),0)</f>
        <v>0</v>
      </c>
      <c r="AD326" s="138">
        <f>IF('1.DATOS-PROD'!AM327="SI",VLOOKUP('1.DATOS-PROD'!AM$2,'1.PUNTOS'!$A$1:$B$63,2,0),0)</f>
        <v>0</v>
      </c>
      <c r="AE326" s="138">
        <f>IF('1.DATOS-PROD'!AN327="SI",VLOOKUP('1.DATOS-PROD'!AN$2,'1.PUNTOS'!$A$1:$B$63,2,0),0)</f>
        <v>0</v>
      </c>
      <c r="AF326" s="138">
        <f>IF('1.DATOS-PROD'!AO327="SI",VLOOKUP('1.DATOS-PROD'!AO$2,'1.PUNTOS'!$A$1:$B$63,2,0),0)</f>
        <v>0</v>
      </c>
      <c r="AG326" s="138">
        <f>IF('1.DATOS-PROD'!AP327="SI",VLOOKUP('1.DATOS-PROD'!AP$2,'1.PUNTOS'!$A$1:$B$63,2,0),0)</f>
        <v>0</v>
      </c>
      <c r="AH326" s="138">
        <f>IF('1.DATOS-PROD'!AQ327="SI",VLOOKUP('1.DATOS-PROD'!AQ$2,'1.PUNTOS'!$A$1:$B$63,2,0),0)</f>
        <v>0</v>
      </c>
      <c r="AI326" s="138">
        <f>IF('1.DATOS-PROD'!AR327="SI",VLOOKUP('1.DATOS-PROD'!AR$2,'1.PUNTOS'!$A$1:$B$63,2,0),0)</f>
        <v>0</v>
      </c>
      <c r="AJ326" s="138">
        <f>IF('1.DATOS-PROD'!AS327="SI",VLOOKUP('1.DATOS-PROD'!AS$2,'1.PUNTOS'!$A$1:$B$63,2,0),0)</f>
        <v>0</v>
      </c>
      <c r="AK326" s="138">
        <f>IF('1.DATOS-PROD'!AT327="SI",VLOOKUP('1.DATOS-PROD'!AT$2,'1.PUNTOS'!$A$1:$B$63,2,0),0)</f>
        <v>0</v>
      </c>
      <c r="AL326" s="138">
        <f>IF('1.DATOS-PROD'!AU327="SI",VLOOKUP('1.DATOS-PROD'!AU$2,'1.PUNTOS'!$A$1:$B$63,2,0),0)</f>
        <v>0</v>
      </c>
      <c r="AM326" s="138">
        <f>IF('1.DATOS-PROD'!AV327="SI",VLOOKUP('1.DATOS-PROD'!AV$2,'1.PUNTOS'!$A$1:$B$63,2,0),0)</f>
        <v>0</v>
      </c>
      <c r="AN326" s="138">
        <f>IF('1.DATOS-PROD'!AW327="SI",VLOOKUP('1.DATOS-PROD'!AW$2,'1.PUNTOS'!$A$1:$B$63,2,0),0)</f>
        <v>0</v>
      </c>
      <c r="AO326" s="138">
        <f>IF('1.DATOS-PROD'!AX327="SI",VLOOKUP('1.DATOS-PROD'!AX$2,'1.PUNTOS'!$A$1:$B$63,2,0),0)</f>
        <v>0</v>
      </c>
      <c r="AP326" s="138">
        <f>IF('1.DATOS-PROD'!AY327="SI",VLOOKUP('1.DATOS-PROD'!AY$2,'1.PUNTOS'!$A$1:$B$63,2,0),0)</f>
        <v>0</v>
      </c>
      <c r="AQ326" s="138">
        <f>IF('1.DATOS-PROD'!AZ327="SI",VLOOKUP('1.DATOS-PROD'!AZ$2,'1.PUNTOS'!$A$1:$B$63,2,0),0)</f>
        <v>0</v>
      </c>
      <c r="AR326" s="138">
        <f>IF('1.DATOS-PROD'!BA327="SI",VLOOKUP('1.DATOS-PROD'!BA$2,'1.PUNTOS'!$A$1:$B$63,2,0),0)</f>
        <v>0</v>
      </c>
      <c r="AS326" s="138">
        <f>IF('1.DATOS-PROD'!BB327="SI",VLOOKUP('1.DATOS-PROD'!BB$2,'1.PUNTOS'!$A$1:$B$63,2,0),0)</f>
        <v>0</v>
      </c>
      <c r="AT326" s="138">
        <f>IF('1.DATOS-PROD'!BC327="SI",VLOOKUP('1.DATOS-PROD'!BC$2,'1.PUNTOS'!$A$1:$B$63,2,0),0)</f>
        <v>0</v>
      </c>
      <c r="AU326" s="138">
        <f>IF('1.DATOS-PROD'!BD327="SI",VLOOKUP('1.DATOS-PROD'!BD$2,'1.PUNTOS'!$A$1:$B$63,2,0),0)</f>
        <v>0</v>
      </c>
      <c r="AV326" s="138">
        <f>IF('1.DATOS-PROD'!BE327="SI",VLOOKUP('1.DATOS-PROD'!BE$2,'1.PUNTOS'!$A$1:$B$63,2,0),0)</f>
        <v>0</v>
      </c>
      <c r="AW326" s="138">
        <f>IF('1.DATOS-PROD'!BF327="SI",VLOOKUP('1.DATOS-PROD'!BF$2,'1.PUNTOS'!$A$1:$B$63,2,0),0)</f>
        <v>0</v>
      </c>
      <c r="AX326" s="138">
        <f>IF('1.DATOS-PROD'!BG327="SI",VLOOKUP('1.DATOS-PROD'!BG$2,'1.PUNTOS'!$A$1:$B$63,2,0),0)</f>
        <v>0</v>
      </c>
      <c r="AY326" s="138">
        <f>IF('1.DATOS-PROD'!BH327="SI",VLOOKUP('1.DATOS-PROD'!BH$2,'1.PUNTOS'!$A$1:$B$63,2,0),0)</f>
        <v>0</v>
      </c>
      <c r="AZ326" s="138">
        <f>IF('1.DATOS-PROD'!BI327="SI",VLOOKUP('1.DATOS-PROD'!BI$2,'1.PUNTOS'!$A$1:$B$63,2,0),0)</f>
        <v>0</v>
      </c>
      <c r="BA326" s="138">
        <f>IF('1.DATOS-PROD'!BJ327="SI",VLOOKUP('1.DATOS-PROD'!BJ$2,'1.PUNTOS'!$A$1:$B$63,2,0),0)</f>
        <v>0</v>
      </c>
      <c r="BB326" s="138">
        <f>IF('1.DATOS-PROD'!BK327="SI",VLOOKUP('1.DATOS-PROD'!BK$2,'1.PUNTOS'!$A$1:$B$63,2,0),0)</f>
        <v>0</v>
      </c>
      <c r="BC326" s="138">
        <f>IF('1.DATOS-PROD'!BL327="SI",VLOOKUP('1.DATOS-PROD'!BL$2,'1.PUNTOS'!$A$1:$B$63,2,0),0)</f>
        <v>0</v>
      </c>
      <c r="BD326" s="138">
        <f>IF('1.DATOS-PROD'!BM327="SI",VLOOKUP('1.DATOS-PROD'!BM$2,'1.PUNTOS'!$A$1:$B$63,2,0),0)</f>
        <v>0</v>
      </c>
      <c r="BE326" s="138">
        <f>IF('1.DATOS-PROD'!BN327="SI",VLOOKUP('1.DATOS-PROD'!BN$2,'1.PUNTOS'!$A$1:$B$63,2,0),0)</f>
        <v>0</v>
      </c>
      <c r="BF326" s="138">
        <f>IF('1.DATOS-PROD'!BO327="SI",VLOOKUP('1.DATOS-PROD'!BO$2,'1.PUNTOS'!$A$1:$B$63,2,0),0)</f>
        <v>0</v>
      </c>
      <c r="BG326" s="138">
        <f>IF('1.DATOS-PROD'!BP327="SI",VLOOKUP('1.DATOS-PROD'!BP$2,'1.PUNTOS'!$A$1:$B$63,2,0),0)</f>
        <v>0</v>
      </c>
      <c r="BH326" s="138">
        <f>IF('1.DATOS-PROD'!BQ327="SI",VLOOKUP('1.DATOS-PROD'!BQ$2,'1.PUNTOS'!$A$1:$B$63,2,0),0)</f>
        <v>0</v>
      </c>
      <c r="BI326" s="138">
        <f>IF('1.DATOS-PROD'!BR327="SI",VLOOKUP('1.DATOS-PROD'!BR$2,'1.PUNTOS'!$A$1:$B$63,2,0),0)</f>
        <v>0</v>
      </c>
      <c r="BJ326" s="138">
        <f>IF('1.DATOS-PROD'!BS327="SI",VLOOKUP('1.DATOS-PROD'!BS$2,'1.PUNTOS'!$A$1:$B$63,2,0),0)</f>
        <v>0</v>
      </c>
      <c r="BK326" s="138">
        <f>IF('1.DATOS-PROD'!BT327="SI",VLOOKUP('1.DATOS-PROD'!BT$2,'1.PUNTOS'!$A$1:$B$63,2,0),0)</f>
        <v>0</v>
      </c>
    </row>
    <row r="327" spans="1:63" x14ac:dyDescent="0.25">
      <c r="A327">
        <f>'0.Consolidado general'!$A328</f>
        <v>0</v>
      </c>
      <c r="B327" s="138">
        <f>IF('1.DATOS-PROD'!K328="SI",VLOOKUP('1.DATOS-PROD'!K$2,'1.PUNTOS'!$A$1:$B$63,2,0),0)</f>
        <v>0</v>
      </c>
      <c r="C327" s="138">
        <f>IF('1.DATOS-PROD'!L328="SI",VLOOKUP('1.DATOS-PROD'!L$2,'1.PUNTOS'!$A$1:$B$63,2,0),0)</f>
        <v>0</v>
      </c>
      <c r="D327" s="138">
        <f>IF('1.DATOS-PROD'!M328="SI",VLOOKUP('1.DATOS-PROD'!M$2,'1.PUNTOS'!$A$1:$B$63,2,0),0)</f>
        <v>0</v>
      </c>
      <c r="E327" s="138">
        <f>IF('1.DATOS-PROD'!N328="SI",VLOOKUP('1.DATOS-PROD'!N$2,'1.PUNTOS'!$A$1:$B$63,2,0),0)</f>
        <v>0</v>
      </c>
      <c r="F327" s="138">
        <f>IF('1.DATOS-PROD'!O328="SI",VLOOKUP('1.DATOS-PROD'!O$2,'1.PUNTOS'!$A$1:$B$63,2,0),0)</f>
        <v>0</v>
      </c>
      <c r="G327" s="138">
        <f>IF('1.DATOS-PROD'!P328="SI",VLOOKUP('1.DATOS-PROD'!P$2,'1.PUNTOS'!$A$1:$B$63,2,0),0)</f>
        <v>0</v>
      </c>
      <c r="H327" s="138">
        <f>IF('1.DATOS-PROD'!Q328="SI",VLOOKUP('1.DATOS-PROD'!Q$2,'1.PUNTOS'!$A$1:$B$63,2,0),0)</f>
        <v>0</v>
      </c>
      <c r="I327" s="138">
        <f>IF('1.DATOS-PROD'!R328="SI",VLOOKUP('1.DATOS-PROD'!R$2,'1.PUNTOS'!$A$1:$B$63,2,0),0)</f>
        <v>0</v>
      </c>
      <c r="J327" s="138">
        <f>IF('1.DATOS-PROD'!S328="SI",VLOOKUP('1.DATOS-PROD'!S$2,'1.PUNTOS'!$A$1:$B$63,2,0),0)</f>
        <v>0</v>
      </c>
      <c r="K327" s="138">
        <f>IF('1.DATOS-PROD'!T328="SI",VLOOKUP('1.DATOS-PROD'!T$2,'1.PUNTOS'!$A$1:$B$63,2,0),0)</f>
        <v>0</v>
      </c>
      <c r="L327" s="138">
        <f>IF('1.DATOS-PROD'!U328="SI",VLOOKUP('1.DATOS-PROD'!U$2,'1.PUNTOS'!$A$1:$B$63,2,0),0)</f>
        <v>0</v>
      </c>
      <c r="M327" s="138">
        <f>IF('1.DATOS-PROD'!V328="SI",VLOOKUP('1.DATOS-PROD'!V$2,'1.PUNTOS'!$A$1:$B$63,2,0),0)</f>
        <v>0</v>
      </c>
      <c r="N327" s="138">
        <f>IF('1.DATOS-PROD'!W328="SI",VLOOKUP('1.DATOS-PROD'!W$2,'1.PUNTOS'!$A$1:$B$63,2,0),0)</f>
        <v>0</v>
      </c>
      <c r="O327" s="138">
        <f>IF('1.DATOS-PROD'!X328="SI",VLOOKUP('1.DATOS-PROD'!X$2,'1.PUNTOS'!$A$1:$B$63,2,0),0)</f>
        <v>0</v>
      </c>
      <c r="P327" s="138">
        <f>IF('1.DATOS-PROD'!Y328="SI",VLOOKUP('1.DATOS-PROD'!Y$2,'1.PUNTOS'!$A$1:$B$63,2,0),0)</f>
        <v>0</v>
      </c>
      <c r="Q327" s="138">
        <f>IF('1.DATOS-PROD'!Z328="SI",VLOOKUP('1.DATOS-PROD'!Z$2,'1.PUNTOS'!$A$1:$B$63,2,0),0)</f>
        <v>0</v>
      </c>
      <c r="R327" s="138">
        <f>IF('1.DATOS-PROD'!AA328="SI",VLOOKUP('1.DATOS-PROD'!AA$2,'1.PUNTOS'!$A$1:$B$63,2,0),0)</f>
        <v>0</v>
      </c>
      <c r="S327" s="138">
        <f>IF('1.DATOS-PROD'!AB328="SI",VLOOKUP('1.DATOS-PROD'!AB$2,'1.PUNTOS'!$A$1:$B$63,2,0),0)</f>
        <v>0</v>
      </c>
      <c r="T327" s="138">
        <f>IF('1.DATOS-PROD'!AC328="SI",VLOOKUP('1.DATOS-PROD'!AC$2,'1.PUNTOS'!$A$1:$B$63,2,0),0)</f>
        <v>0</v>
      </c>
      <c r="U327" s="138">
        <f>IF('1.DATOS-PROD'!AD328="SI",VLOOKUP('1.DATOS-PROD'!AD$2,'1.PUNTOS'!$A$1:$B$63,2,0),0)</f>
        <v>0</v>
      </c>
      <c r="V327" s="138">
        <f>IF('1.DATOS-PROD'!AE328="SI",VLOOKUP('1.DATOS-PROD'!AE$2,'1.PUNTOS'!$A$1:$B$63,2,0),0)</f>
        <v>0</v>
      </c>
      <c r="W327" s="138">
        <f>IF('1.DATOS-PROD'!AF328="SI",VLOOKUP('1.DATOS-PROD'!AF$2,'1.PUNTOS'!$A$1:$B$63,2,0),0)</f>
        <v>0</v>
      </c>
      <c r="X327" s="138">
        <f>IF('1.DATOS-PROD'!AG328="SI",VLOOKUP('1.DATOS-PROD'!AG$2,'1.PUNTOS'!$A$1:$B$63,2,0),0)</f>
        <v>0</v>
      </c>
      <c r="Y327" s="138">
        <f>IF('1.DATOS-PROD'!AH328="SI",VLOOKUP('1.DATOS-PROD'!AH$2,'1.PUNTOS'!$A$1:$B$63,2,0),0)</f>
        <v>0</v>
      </c>
      <c r="Z327" s="138">
        <f>IF('1.DATOS-PROD'!AI328="SI",VLOOKUP('1.DATOS-PROD'!AI$2,'1.PUNTOS'!$A$1:$B$63,2,0),0)</f>
        <v>0</v>
      </c>
      <c r="AA327" s="138">
        <f>IF('1.DATOS-PROD'!AJ328="SI",VLOOKUP('1.DATOS-PROD'!AJ$2,'1.PUNTOS'!$A$1:$B$63,2,0),0)</f>
        <v>0</v>
      </c>
      <c r="AB327" s="138">
        <f>IF('1.DATOS-PROD'!AK328="SI",VLOOKUP('1.DATOS-PROD'!AK$2,'1.PUNTOS'!$A$1:$B$63,2,0),0)</f>
        <v>0</v>
      </c>
      <c r="AC327" s="138">
        <f>IF('1.DATOS-PROD'!AL328="SI",VLOOKUP('1.DATOS-PROD'!AL$2,'1.PUNTOS'!$A$1:$B$63,2,0),0)</f>
        <v>0</v>
      </c>
      <c r="AD327" s="138">
        <f>IF('1.DATOS-PROD'!AM328="SI",VLOOKUP('1.DATOS-PROD'!AM$2,'1.PUNTOS'!$A$1:$B$63,2,0),0)</f>
        <v>0</v>
      </c>
      <c r="AE327" s="138">
        <f>IF('1.DATOS-PROD'!AN328="SI",VLOOKUP('1.DATOS-PROD'!AN$2,'1.PUNTOS'!$A$1:$B$63,2,0),0)</f>
        <v>0</v>
      </c>
      <c r="AF327" s="138">
        <f>IF('1.DATOS-PROD'!AO328="SI",VLOOKUP('1.DATOS-PROD'!AO$2,'1.PUNTOS'!$A$1:$B$63,2,0),0)</f>
        <v>0</v>
      </c>
      <c r="AG327" s="138">
        <f>IF('1.DATOS-PROD'!AP328="SI",VLOOKUP('1.DATOS-PROD'!AP$2,'1.PUNTOS'!$A$1:$B$63,2,0),0)</f>
        <v>0</v>
      </c>
      <c r="AH327" s="138">
        <f>IF('1.DATOS-PROD'!AQ328="SI",VLOOKUP('1.DATOS-PROD'!AQ$2,'1.PUNTOS'!$A$1:$B$63,2,0),0)</f>
        <v>0</v>
      </c>
      <c r="AI327" s="138">
        <f>IF('1.DATOS-PROD'!AR328="SI",VLOOKUP('1.DATOS-PROD'!AR$2,'1.PUNTOS'!$A$1:$B$63,2,0),0)</f>
        <v>0</v>
      </c>
      <c r="AJ327" s="138">
        <f>IF('1.DATOS-PROD'!AS328="SI",VLOOKUP('1.DATOS-PROD'!AS$2,'1.PUNTOS'!$A$1:$B$63,2,0),0)</f>
        <v>0</v>
      </c>
      <c r="AK327" s="138">
        <f>IF('1.DATOS-PROD'!AT328="SI",VLOOKUP('1.DATOS-PROD'!AT$2,'1.PUNTOS'!$A$1:$B$63,2,0),0)</f>
        <v>0</v>
      </c>
      <c r="AL327" s="138">
        <f>IF('1.DATOS-PROD'!AU328="SI",VLOOKUP('1.DATOS-PROD'!AU$2,'1.PUNTOS'!$A$1:$B$63,2,0),0)</f>
        <v>0</v>
      </c>
      <c r="AM327" s="138">
        <f>IF('1.DATOS-PROD'!AV328="SI",VLOOKUP('1.DATOS-PROD'!AV$2,'1.PUNTOS'!$A$1:$B$63,2,0),0)</f>
        <v>0</v>
      </c>
      <c r="AN327" s="138">
        <f>IF('1.DATOS-PROD'!AW328="SI",VLOOKUP('1.DATOS-PROD'!AW$2,'1.PUNTOS'!$A$1:$B$63,2,0),0)</f>
        <v>0</v>
      </c>
      <c r="AO327" s="138">
        <f>IF('1.DATOS-PROD'!AX328="SI",VLOOKUP('1.DATOS-PROD'!AX$2,'1.PUNTOS'!$A$1:$B$63,2,0),0)</f>
        <v>0</v>
      </c>
      <c r="AP327" s="138">
        <f>IF('1.DATOS-PROD'!AY328="SI",VLOOKUP('1.DATOS-PROD'!AY$2,'1.PUNTOS'!$A$1:$B$63,2,0),0)</f>
        <v>0</v>
      </c>
      <c r="AQ327" s="138">
        <f>IF('1.DATOS-PROD'!AZ328="SI",VLOOKUP('1.DATOS-PROD'!AZ$2,'1.PUNTOS'!$A$1:$B$63,2,0),0)</f>
        <v>0</v>
      </c>
      <c r="AR327" s="138">
        <f>IF('1.DATOS-PROD'!BA328="SI",VLOOKUP('1.DATOS-PROD'!BA$2,'1.PUNTOS'!$A$1:$B$63,2,0),0)</f>
        <v>0</v>
      </c>
      <c r="AS327" s="138">
        <f>IF('1.DATOS-PROD'!BB328="SI",VLOOKUP('1.DATOS-PROD'!BB$2,'1.PUNTOS'!$A$1:$B$63,2,0),0)</f>
        <v>0</v>
      </c>
      <c r="AT327" s="138">
        <f>IF('1.DATOS-PROD'!BC328="SI",VLOOKUP('1.DATOS-PROD'!BC$2,'1.PUNTOS'!$A$1:$B$63,2,0),0)</f>
        <v>0</v>
      </c>
      <c r="AU327" s="138">
        <f>IF('1.DATOS-PROD'!BD328="SI",VLOOKUP('1.DATOS-PROD'!BD$2,'1.PUNTOS'!$A$1:$B$63,2,0),0)</f>
        <v>0</v>
      </c>
      <c r="AV327" s="138">
        <f>IF('1.DATOS-PROD'!BE328="SI",VLOOKUP('1.DATOS-PROD'!BE$2,'1.PUNTOS'!$A$1:$B$63,2,0),0)</f>
        <v>0</v>
      </c>
      <c r="AW327" s="138">
        <f>IF('1.DATOS-PROD'!BF328="SI",VLOOKUP('1.DATOS-PROD'!BF$2,'1.PUNTOS'!$A$1:$B$63,2,0),0)</f>
        <v>0</v>
      </c>
      <c r="AX327" s="138">
        <f>IF('1.DATOS-PROD'!BG328="SI",VLOOKUP('1.DATOS-PROD'!BG$2,'1.PUNTOS'!$A$1:$B$63,2,0),0)</f>
        <v>0</v>
      </c>
      <c r="AY327" s="138">
        <f>IF('1.DATOS-PROD'!BH328="SI",VLOOKUP('1.DATOS-PROD'!BH$2,'1.PUNTOS'!$A$1:$B$63,2,0),0)</f>
        <v>0</v>
      </c>
      <c r="AZ327" s="138">
        <f>IF('1.DATOS-PROD'!BI328="SI",VLOOKUP('1.DATOS-PROD'!BI$2,'1.PUNTOS'!$A$1:$B$63,2,0),0)</f>
        <v>0</v>
      </c>
      <c r="BA327" s="138">
        <f>IF('1.DATOS-PROD'!BJ328="SI",VLOOKUP('1.DATOS-PROD'!BJ$2,'1.PUNTOS'!$A$1:$B$63,2,0),0)</f>
        <v>0</v>
      </c>
      <c r="BB327" s="138">
        <f>IF('1.DATOS-PROD'!BK328="SI",VLOOKUP('1.DATOS-PROD'!BK$2,'1.PUNTOS'!$A$1:$B$63,2,0),0)</f>
        <v>0</v>
      </c>
      <c r="BC327" s="138">
        <f>IF('1.DATOS-PROD'!BL328="SI",VLOOKUP('1.DATOS-PROD'!BL$2,'1.PUNTOS'!$A$1:$B$63,2,0),0)</f>
        <v>0</v>
      </c>
      <c r="BD327" s="138">
        <f>IF('1.DATOS-PROD'!BM328="SI",VLOOKUP('1.DATOS-PROD'!BM$2,'1.PUNTOS'!$A$1:$B$63,2,0),0)</f>
        <v>0</v>
      </c>
      <c r="BE327" s="138">
        <f>IF('1.DATOS-PROD'!BN328="SI",VLOOKUP('1.DATOS-PROD'!BN$2,'1.PUNTOS'!$A$1:$B$63,2,0),0)</f>
        <v>0</v>
      </c>
      <c r="BF327" s="138">
        <f>IF('1.DATOS-PROD'!BO328="SI",VLOOKUP('1.DATOS-PROD'!BO$2,'1.PUNTOS'!$A$1:$B$63,2,0),0)</f>
        <v>0</v>
      </c>
      <c r="BG327" s="138">
        <f>IF('1.DATOS-PROD'!BP328="SI",VLOOKUP('1.DATOS-PROD'!BP$2,'1.PUNTOS'!$A$1:$B$63,2,0),0)</f>
        <v>0</v>
      </c>
      <c r="BH327" s="138">
        <f>IF('1.DATOS-PROD'!BQ328="SI",VLOOKUP('1.DATOS-PROD'!BQ$2,'1.PUNTOS'!$A$1:$B$63,2,0),0)</f>
        <v>0</v>
      </c>
      <c r="BI327" s="138">
        <f>IF('1.DATOS-PROD'!BR328="SI",VLOOKUP('1.DATOS-PROD'!BR$2,'1.PUNTOS'!$A$1:$B$63,2,0),0)</f>
        <v>0</v>
      </c>
      <c r="BJ327" s="138">
        <f>IF('1.DATOS-PROD'!BS328="SI",VLOOKUP('1.DATOS-PROD'!BS$2,'1.PUNTOS'!$A$1:$B$63,2,0),0)</f>
        <v>0</v>
      </c>
      <c r="BK327" s="138">
        <f>IF('1.DATOS-PROD'!BT328="SI",VLOOKUP('1.DATOS-PROD'!BT$2,'1.PUNTOS'!$A$1:$B$63,2,0),0)</f>
        <v>0</v>
      </c>
    </row>
    <row r="328" spans="1:63" x14ac:dyDescent="0.25">
      <c r="A328">
        <f>'0.Consolidado general'!$A329</f>
        <v>0</v>
      </c>
      <c r="B328" s="138">
        <f>IF('1.DATOS-PROD'!K329="SI",VLOOKUP('1.DATOS-PROD'!K$2,'1.PUNTOS'!$A$1:$B$63,2,0),0)</f>
        <v>0</v>
      </c>
      <c r="C328" s="138">
        <f>IF('1.DATOS-PROD'!L329="SI",VLOOKUP('1.DATOS-PROD'!L$2,'1.PUNTOS'!$A$1:$B$63,2,0),0)</f>
        <v>0</v>
      </c>
      <c r="D328" s="138">
        <f>IF('1.DATOS-PROD'!M329="SI",VLOOKUP('1.DATOS-PROD'!M$2,'1.PUNTOS'!$A$1:$B$63,2,0),0)</f>
        <v>0</v>
      </c>
      <c r="E328" s="138">
        <f>IF('1.DATOS-PROD'!N329="SI",VLOOKUP('1.DATOS-PROD'!N$2,'1.PUNTOS'!$A$1:$B$63,2,0),0)</f>
        <v>0</v>
      </c>
      <c r="F328" s="138">
        <f>IF('1.DATOS-PROD'!O329="SI",VLOOKUP('1.DATOS-PROD'!O$2,'1.PUNTOS'!$A$1:$B$63,2,0),0)</f>
        <v>0</v>
      </c>
      <c r="G328" s="138">
        <f>IF('1.DATOS-PROD'!P329="SI",VLOOKUP('1.DATOS-PROD'!P$2,'1.PUNTOS'!$A$1:$B$63,2,0),0)</f>
        <v>0</v>
      </c>
      <c r="H328" s="138">
        <f>IF('1.DATOS-PROD'!Q329="SI",VLOOKUP('1.DATOS-PROD'!Q$2,'1.PUNTOS'!$A$1:$B$63,2,0),0)</f>
        <v>0</v>
      </c>
      <c r="I328" s="138">
        <f>IF('1.DATOS-PROD'!R329="SI",VLOOKUP('1.DATOS-PROD'!R$2,'1.PUNTOS'!$A$1:$B$63,2,0),0)</f>
        <v>0</v>
      </c>
      <c r="J328" s="138">
        <f>IF('1.DATOS-PROD'!S329="SI",VLOOKUP('1.DATOS-PROD'!S$2,'1.PUNTOS'!$A$1:$B$63,2,0),0)</f>
        <v>0</v>
      </c>
      <c r="K328" s="138">
        <f>IF('1.DATOS-PROD'!T329="SI",VLOOKUP('1.DATOS-PROD'!T$2,'1.PUNTOS'!$A$1:$B$63,2,0),0)</f>
        <v>0</v>
      </c>
      <c r="L328" s="138">
        <f>IF('1.DATOS-PROD'!U329="SI",VLOOKUP('1.DATOS-PROD'!U$2,'1.PUNTOS'!$A$1:$B$63,2,0),0)</f>
        <v>0</v>
      </c>
      <c r="M328" s="138">
        <f>IF('1.DATOS-PROD'!V329="SI",VLOOKUP('1.DATOS-PROD'!V$2,'1.PUNTOS'!$A$1:$B$63,2,0),0)</f>
        <v>0</v>
      </c>
      <c r="N328" s="138">
        <f>IF('1.DATOS-PROD'!W329="SI",VLOOKUP('1.DATOS-PROD'!W$2,'1.PUNTOS'!$A$1:$B$63,2,0),0)</f>
        <v>0</v>
      </c>
      <c r="O328" s="138">
        <f>IF('1.DATOS-PROD'!X329="SI",VLOOKUP('1.DATOS-PROD'!X$2,'1.PUNTOS'!$A$1:$B$63,2,0),0)</f>
        <v>0</v>
      </c>
      <c r="P328" s="138">
        <f>IF('1.DATOS-PROD'!Y329="SI",VLOOKUP('1.DATOS-PROD'!Y$2,'1.PUNTOS'!$A$1:$B$63,2,0),0)</f>
        <v>0</v>
      </c>
      <c r="Q328" s="138">
        <f>IF('1.DATOS-PROD'!Z329="SI",VLOOKUP('1.DATOS-PROD'!Z$2,'1.PUNTOS'!$A$1:$B$63,2,0),0)</f>
        <v>0</v>
      </c>
      <c r="R328" s="138">
        <f>IF('1.DATOS-PROD'!AA329="SI",VLOOKUP('1.DATOS-PROD'!AA$2,'1.PUNTOS'!$A$1:$B$63,2,0),0)</f>
        <v>0</v>
      </c>
      <c r="S328" s="138">
        <f>IF('1.DATOS-PROD'!AB329="SI",VLOOKUP('1.DATOS-PROD'!AB$2,'1.PUNTOS'!$A$1:$B$63,2,0),0)</f>
        <v>0</v>
      </c>
      <c r="T328" s="138">
        <f>IF('1.DATOS-PROD'!AC329="SI",VLOOKUP('1.DATOS-PROD'!AC$2,'1.PUNTOS'!$A$1:$B$63,2,0),0)</f>
        <v>0</v>
      </c>
      <c r="U328" s="138">
        <f>IF('1.DATOS-PROD'!AD329="SI",VLOOKUP('1.DATOS-PROD'!AD$2,'1.PUNTOS'!$A$1:$B$63,2,0),0)</f>
        <v>0</v>
      </c>
      <c r="V328" s="138">
        <f>IF('1.DATOS-PROD'!AE329="SI",VLOOKUP('1.DATOS-PROD'!AE$2,'1.PUNTOS'!$A$1:$B$63,2,0),0)</f>
        <v>0</v>
      </c>
      <c r="W328" s="138">
        <f>IF('1.DATOS-PROD'!AF329="SI",VLOOKUP('1.DATOS-PROD'!AF$2,'1.PUNTOS'!$A$1:$B$63,2,0),0)</f>
        <v>0</v>
      </c>
      <c r="X328" s="138">
        <f>IF('1.DATOS-PROD'!AG329="SI",VLOOKUP('1.DATOS-PROD'!AG$2,'1.PUNTOS'!$A$1:$B$63,2,0),0)</f>
        <v>0</v>
      </c>
      <c r="Y328" s="138">
        <f>IF('1.DATOS-PROD'!AH329="SI",VLOOKUP('1.DATOS-PROD'!AH$2,'1.PUNTOS'!$A$1:$B$63,2,0),0)</f>
        <v>0</v>
      </c>
      <c r="Z328" s="138">
        <f>IF('1.DATOS-PROD'!AI329="SI",VLOOKUP('1.DATOS-PROD'!AI$2,'1.PUNTOS'!$A$1:$B$63,2,0),0)</f>
        <v>0</v>
      </c>
      <c r="AA328" s="138">
        <f>IF('1.DATOS-PROD'!AJ329="SI",VLOOKUP('1.DATOS-PROD'!AJ$2,'1.PUNTOS'!$A$1:$B$63,2,0),0)</f>
        <v>0</v>
      </c>
      <c r="AB328" s="138">
        <f>IF('1.DATOS-PROD'!AK329="SI",VLOOKUP('1.DATOS-PROD'!AK$2,'1.PUNTOS'!$A$1:$B$63,2,0),0)</f>
        <v>0</v>
      </c>
      <c r="AC328" s="138">
        <f>IF('1.DATOS-PROD'!AL329="SI",VLOOKUP('1.DATOS-PROD'!AL$2,'1.PUNTOS'!$A$1:$B$63,2,0),0)</f>
        <v>0</v>
      </c>
      <c r="AD328" s="138">
        <f>IF('1.DATOS-PROD'!AM329="SI",VLOOKUP('1.DATOS-PROD'!AM$2,'1.PUNTOS'!$A$1:$B$63,2,0),0)</f>
        <v>0</v>
      </c>
      <c r="AE328" s="138">
        <f>IF('1.DATOS-PROD'!AN329="SI",VLOOKUP('1.DATOS-PROD'!AN$2,'1.PUNTOS'!$A$1:$B$63,2,0),0)</f>
        <v>0</v>
      </c>
      <c r="AF328" s="138">
        <f>IF('1.DATOS-PROD'!AO329="SI",VLOOKUP('1.DATOS-PROD'!AO$2,'1.PUNTOS'!$A$1:$B$63,2,0),0)</f>
        <v>0</v>
      </c>
      <c r="AG328" s="138">
        <f>IF('1.DATOS-PROD'!AP329="SI",VLOOKUP('1.DATOS-PROD'!AP$2,'1.PUNTOS'!$A$1:$B$63,2,0),0)</f>
        <v>0</v>
      </c>
      <c r="AH328" s="138">
        <f>IF('1.DATOS-PROD'!AQ329="SI",VLOOKUP('1.DATOS-PROD'!AQ$2,'1.PUNTOS'!$A$1:$B$63,2,0),0)</f>
        <v>0</v>
      </c>
      <c r="AI328" s="138">
        <f>IF('1.DATOS-PROD'!AR329="SI",VLOOKUP('1.DATOS-PROD'!AR$2,'1.PUNTOS'!$A$1:$B$63,2,0),0)</f>
        <v>0</v>
      </c>
      <c r="AJ328" s="138">
        <f>IF('1.DATOS-PROD'!AS329="SI",VLOOKUP('1.DATOS-PROD'!AS$2,'1.PUNTOS'!$A$1:$B$63,2,0),0)</f>
        <v>0</v>
      </c>
      <c r="AK328" s="138">
        <f>IF('1.DATOS-PROD'!AT329="SI",VLOOKUP('1.DATOS-PROD'!AT$2,'1.PUNTOS'!$A$1:$B$63,2,0),0)</f>
        <v>0</v>
      </c>
      <c r="AL328" s="138">
        <f>IF('1.DATOS-PROD'!AU329="SI",VLOOKUP('1.DATOS-PROD'!AU$2,'1.PUNTOS'!$A$1:$B$63,2,0),0)</f>
        <v>0</v>
      </c>
      <c r="AM328" s="138">
        <f>IF('1.DATOS-PROD'!AV329="SI",VLOOKUP('1.DATOS-PROD'!AV$2,'1.PUNTOS'!$A$1:$B$63,2,0),0)</f>
        <v>0</v>
      </c>
      <c r="AN328" s="138">
        <f>IF('1.DATOS-PROD'!AW329="SI",VLOOKUP('1.DATOS-PROD'!AW$2,'1.PUNTOS'!$A$1:$B$63,2,0),0)</f>
        <v>0</v>
      </c>
      <c r="AO328" s="138">
        <f>IF('1.DATOS-PROD'!AX329="SI",VLOOKUP('1.DATOS-PROD'!AX$2,'1.PUNTOS'!$A$1:$B$63,2,0),0)</f>
        <v>0</v>
      </c>
      <c r="AP328" s="138">
        <f>IF('1.DATOS-PROD'!AY329="SI",VLOOKUP('1.DATOS-PROD'!AY$2,'1.PUNTOS'!$A$1:$B$63,2,0),0)</f>
        <v>0</v>
      </c>
      <c r="AQ328" s="138">
        <f>IF('1.DATOS-PROD'!AZ329="SI",VLOOKUP('1.DATOS-PROD'!AZ$2,'1.PUNTOS'!$A$1:$B$63,2,0),0)</f>
        <v>0</v>
      </c>
      <c r="AR328" s="138">
        <f>IF('1.DATOS-PROD'!BA329="SI",VLOOKUP('1.DATOS-PROD'!BA$2,'1.PUNTOS'!$A$1:$B$63,2,0),0)</f>
        <v>0</v>
      </c>
      <c r="AS328" s="138">
        <f>IF('1.DATOS-PROD'!BB329="SI",VLOOKUP('1.DATOS-PROD'!BB$2,'1.PUNTOS'!$A$1:$B$63,2,0),0)</f>
        <v>0</v>
      </c>
      <c r="AT328" s="138">
        <f>IF('1.DATOS-PROD'!BC329="SI",VLOOKUP('1.DATOS-PROD'!BC$2,'1.PUNTOS'!$A$1:$B$63,2,0),0)</f>
        <v>0</v>
      </c>
      <c r="AU328" s="138">
        <f>IF('1.DATOS-PROD'!BD329="SI",VLOOKUP('1.DATOS-PROD'!BD$2,'1.PUNTOS'!$A$1:$B$63,2,0),0)</f>
        <v>0</v>
      </c>
      <c r="AV328" s="138">
        <f>IF('1.DATOS-PROD'!BE329="SI",VLOOKUP('1.DATOS-PROD'!BE$2,'1.PUNTOS'!$A$1:$B$63,2,0),0)</f>
        <v>0</v>
      </c>
      <c r="AW328" s="138">
        <f>IF('1.DATOS-PROD'!BF329="SI",VLOOKUP('1.DATOS-PROD'!BF$2,'1.PUNTOS'!$A$1:$B$63,2,0),0)</f>
        <v>0</v>
      </c>
      <c r="AX328" s="138">
        <f>IF('1.DATOS-PROD'!BG329="SI",VLOOKUP('1.DATOS-PROD'!BG$2,'1.PUNTOS'!$A$1:$B$63,2,0),0)</f>
        <v>0</v>
      </c>
      <c r="AY328" s="138">
        <f>IF('1.DATOS-PROD'!BH329="SI",VLOOKUP('1.DATOS-PROD'!BH$2,'1.PUNTOS'!$A$1:$B$63,2,0),0)</f>
        <v>0</v>
      </c>
      <c r="AZ328" s="138">
        <f>IF('1.DATOS-PROD'!BI329="SI",VLOOKUP('1.DATOS-PROD'!BI$2,'1.PUNTOS'!$A$1:$B$63,2,0),0)</f>
        <v>0</v>
      </c>
      <c r="BA328" s="138">
        <f>IF('1.DATOS-PROD'!BJ329="SI",VLOOKUP('1.DATOS-PROD'!BJ$2,'1.PUNTOS'!$A$1:$B$63,2,0),0)</f>
        <v>0</v>
      </c>
      <c r="BB328" s="138">
        <f>IF('1.DATOS-PROD'!BK329="SI",VLOOKUP('1.DATOS-PROD'!BK$2,'1.PUNTOS'!$A$1:$B$63,2,0),0)</f>
        <v>0</v>
      </c>
      <c r="BC328" s="138">
        <f>IF('1.DATOS-PROD'!BL329="SI",VLOOKUP('1.DATOS-PROD'!BL$2,'1.PUNTOS'!$A$1:$B$63,2,0),0)</f>
        <v>0</v>
      </c>
      <c r="BD328" s="138">
        <f>IF('1.DATOS-PROD'!BM329="SI",VLOOKUP('1.DATOS-PROD'!BM$2,'1.PUNTOS'!$A$1:$B$63,2,0),0)</f>
        <v>0</v>
      </c>
      <c r="BE328" s="138">
        <f>IF('1.DATOS-PROD'!BN329="SI",VLOOKUP('1.DATOS-PROD'!BN$2,'1.PUNTOS'!$A$1:$B$63,2,0),0)</f>
        <v>0</v>
      </c>
      <c r="BF328" s="138">
        <f>IF('1.DATOS-PROD'!BO329="SI",VLOOKUP('1.DATOS-PROD'!BO$2,'1.PUNTOS'!$A$1:$B$63,2,0),0)</f>
        <v>0</v>
      </c>
      <c r="BG328" s="138">
        <f>IF('1.DATOS-PROD'!BP329="SI",VLOOKUP('1.DATOS-PROD'!BP$2,'1.PUNTOS'!$A$1:$B$63,2,0),0)</f>
        <v>0</v>
      </c>
      <c r="BH328" s="138">
        <f>IF('1.DATOS-PROD'!BQ329="SI",VLOOKUP('1.DATOS-PROD'!BQ$2,'1.PUNTOS'!$A$1:$B$63,2,0),0)</f>
        <v>0</v>
      </c>
      <c r="BI328" s="138">
        <f>IF('1.DATOS-PROD'!BR329="SI",VLOOKUP('1.DATOS-PROD'!BR$2,'1.PUNTOS'!$A$1:$B$63,2,0),0)</f>
        <v>0</v>
      </c>
      <c r="BJ328" s="138">
        <f>IF('1.DATOS-PROD'!BS329="SI",VLOOKUP('1.DATOS-PROD'!BS$2,'1.PUNTOS'!$A$1:$B$63,2,0),0)</f>
        <v>0</v>
      </c>
      <c r="BK328" s="138">
        <f>IF('1.DATOS-PROD'!BT329="SI",VLOOKUP('1.DATOS-PROD'!BT$2,'1.PUNTOS'!$A$1:$B$63,2,0),0)</f>
        <v>0</v>
      </c>
    </row>
    <row r="329" spans="1:63" x14ac:dyDescent="0.25">
      <c r="A329">
        <f>'0.Consolidado general'!$A330</f>
        <v>0</v>
      </c>
      <c r="B329" s="138">
        <f>IF('1.DATOS-PROD'!K330="SI",VLOOKUP('1.DATOS-PROD'!K$2,'1.PUNTOS'!$A$1:$B$63,2,0),0)</f>
        <v>0</v>
      </c>
      <c r="C329" s="138">
        <f>IF('1.DATOS-PROD'!L330="SI",VLOOKUP('1.DATOS-PROD'!L$2,'1.PUNTOS'!$A$1:$B$63,2,0),0)</f>
        <v>0</v>
      </c>
      <c r="D329" s="138">
        <f>IF('1.DATOS-PROD'!M330="SI",VLOOKUP('1.DATOS-PROD'!M$2,'1.PUNTOS'!$A$1:$B$63,2,0),0)</f>
        <v>0</v>
      </c>
      <c r="E329" s="138">
        <f>IF('1.DATOS-PROD'!N330="SI",VLOOKUP('1.DATOS-PROD'!N$2,'1.PUNTOS'!$A$1:$B$63,2,0),0)</f>
        <v>0</v>
      </c>
      <c r="F329" s="138">
        <f>IF('1.DATOS-PROD'!O330="SI",VLOOKUP('1.DATOS-PROD'!O$2,'1.PUNTOS'!$A$1:$B$63,2,0),0)</f>
        <v>0</v>
      </c>
      <c r="G329" s="138">
        <f>IF('1.DATOS-PROD'!P330="SI",VLOOKUP('1.DATOS-PROD'!P$2,'1.PUNTOS'!$A$1:$B$63,2,0),0)</f>
        <v>0</v>
      </c>
      <c r="H329" s="138">
        <f>IF('1.DATOS-PROD'!Q330="SI",VLOOKUP('1.DATOS-PROD'!Q$2,'1.PUNTOS'!$A$1:$B$63,2,0),0)</f>
        <v>0</v>
      </c>
      <c r="I329" s="138">
        <f>IF('1.DATOS-PROD'!R330="SI",VLOOKUP('1.DATOS-PROD'!R$2,'1.PUNTOS'!$A$1:$B$63,2,0),0)</f>
        <v>0</v>
      </c>
      <c r="J329" s="138">
        <f>IF('1.DATOS-PROD'!S330="SI",VLOOKUP('1.DATOS-PROD'!S$2,'1.PUNTOS'!$A$1:$B$63,2,0),0)</f>
        <v>0</v>
      </c>
      <c r="K329" s="138">
        <f>IF('1.DATOS-PROD'!T330="SI",VLOOKUP('1.DATOS-PROD'!T$2,'1.PUNTOS'!$A$1:$B$63,2,0),0)</f>
        <v>0</v>
      </c>
      <c r="L329" s="138">
        <f>IF('1.DATOS-PROD'!U330="SI",VLOOKUP('1.DATOS-PROD'!U$2,'1.PUNTOS'!$A$1:$B$63,2,0),0)</f>
        <v>0</v>
      </c>
      <c r="M329" s="138">
        <f>IF('1.DATOS-PROD'!V330="SI",VLOOKUP('1.DATOS-PROD'!V$2,'1.PUNTOS'!$A$1:$B$63,2,0),0)</f>
        <v>0</v>
      </c>
      <c r="N329" s="138">
        <f>IF('1.DATOS-PROD'!W330="SI",VLOOKUP('1.DATOS-PROD'!W$2,'1.PUNTOS'!$A$1:$B$63,2,0),0)</f>
        <v>0</v>
      </c>
      <c r="O329" s="138">
        <f>IF('1.DATOS-PROD'!X330="SI",VLOOKUP('1.DATOS-PROD'!X$2,'1.PUNTOS'!$A$1:$B$63,2,0),0)</f>
        <v>0</v>
      </c>
      <c r="P329" s="138">
        <f>IF('1.DATOS-PROD'!Y330="SI",VLOOKUP('1.DATOS-PROD'!Y$2,'1.PUNTOS'!$A$1:$B$63,2,0),0)</f>
        <v>0</v>
      </c>
      <c r="Q329" s="138">
        <f>IF('1.DATOS-PROD'!Z330="SI",VLOOKUP('1.DATOS-PROD'!Z$2,'1.PUNTOS'!$A$1:$B$63,2,0),0)</f>
        <v>0</v>
      </c>
      <c r="R329" s="138">
        <f>IF('1.DATOS-PROD'!AA330="SI",VLOOKUP('1.DATOS-PROD'!AA$2,'1.PUNTOS'!$A$1:$B$63,2,0),0)</f>
        <v>0</v>
      </c>
      <c r="S329" s="138">
        <f>IF('1.DATOS-PROD'!AB330="SI",VLOOKUP('1.DATOS-PROD'!AB$2,'1.PUNTOS'!$A$1:$B$63,2,0),0)</f>
        <v>0</v>
      </c>
      <c r="T329" s="138">
        <f>IF('1.DATOS-PROD'!AC330="SI",VLOOKUP('1.DATOS-PROD'!AC$2,'1.PUNTOS'!$A$1:$B$63,2,0),0)</f>
        <v>0</v>
      </c>
      <c r="U329" s="138">
        <f>IF('1.DATOS-PROD'!AD330="SI",VLOOKUP('1.DATOS-PROD'!AD$2,'1.PUNTOS'!$A$1:$B$63,2,0),0)</f>
        <v>0</v>
      </c>
      <c r="V329" s="138">
        <f>IF('1.DATOS-PROD'!AE330="SI",VLOOKUP('1.DATOS-PROD'!AE$2,'1.PUNTOS'!$A$1:$B$63,2,0),0)</f>
        <v>0</v>
      </c>
      <c r="W329" s="138">
        <f>IF('1.DATOS-PROD'!AF330="SI",VLOOKUP('1.DATOS-PROD'!AF$2,'1.PUNTOS'!$A$1:$B$63,2,0),0)</f>
        <v>0</v>
      </c>
      <c r="X329" s="138">
        <f>IF('1.DATOS-PROD'!AG330="SI",VLOOKUP('1.DATOS-PROD'!AG$2,'1.PUNTOS'!$A$1:$B$63,2,0),0)</f>
        <v>0</v>
      </c>
      <c r="Y329" s="138">
        <f>IF('1.DATOS-PROD'!AH330="SI",VLOOKUP('1.DATOS-PROD'!AH$2,'1.PUNTOS'!$A$1:$B$63,2,0),0)</f>
        <v>0</v>
      </c>
      <c r="Z329" s="138">
        <f>IF('1.DATOS-PROD'!AI330="SI",VLOOKUP('1.DATOS-PROD'!AI$2,'1.PUNTOS'!$A$1:$B$63,2,0),0)</f>
        <v>0</v>
      </c>
      <c r="AA329" s="138">
        <f>IF('1.DATOS-PROD'!AJ330="SI",VLOOKUP('1.DATOS-PROD'!AJ$2,'1.PUNTOS'!$A$1:$B$63,2,0),0)</f>
        <v>0</v>
      </c>
      <c r="AB329" s="138">
        <f>IF('1.DATOS-PROD'!AK330="SI",VLOOKUP('1.DATOS-PROD'!AK$2,'1.PUNTOS'!$A$1:$B$63,2,0),0)</f>
        <v>0</v>
      </c>
      <c r="AC329" s="138">
        <f>IF('1.DATOS-PROD'!AL330="SI",VLOOKUP('1.DATOS-PROD'!AL$2,'1.PUNTOS'!$A$1:$B$63,2,0),0)</f>
        <v>0</v>
      </c>
      <c r="AD329" s="138">
        <f>IF('1.DATOS-PROD'!AM330="SI",VLOOKUP('1.DATOS-PROD'!AM$2,'1.PUNTOS'!$A$1:$B$63,2,0),0)</f>
        <v>0</v>
      </c>
      <c r="AE329" s="138">
        <f>IF('1.DATOS-PROD'!AN330="SI",VLOOKUP('1.DATOS-PROD'!AN$2,'1.PUNTOS'!$A$1:$B$63,2,0),0)</f>
        <v>0</v>
      </c>
      <c r="AF329" s="138">
        <f>IF('1.DATOS-PROD'!AO330="SI",VLOOKUP('1.DATOS-PROD'!AO$2,'1.PUNTOS'!$A$1:$B$63,2,0),0)</f>
        <v>0</v>
      </c>
      <c r="AG329" s="138">
        <f>IF('1.DATOS-PROD'!AP330="SI",VLOOKUP('1.DATOS-PROD'!AP$2,'1.PUNTOS'!$A$1:$B$63,2,0),0)</f>
        <v>0</v>
      </c>
      <c r="AH329" s="138">
        <f>IF('1.DATOS-PROD'!AQ330="SI",VLOOKUP('1.DATOS-PROD'!AQ$2,'1.PUNTOS'!$A$1:$B$63,2,0),0)</f>
        <v>0</v>
      </c>
      <c r="AI329" s="138">
        <f>IF('1.DATOS-PROD'!AR330="SI",VLOOKUP('1.DATOS-PROD'!AR$2,'1.PUNTOS'!$A$1:$B$63,2,0),0)</f>
        <v>0</v>
      </c>
      <c r="AJ329" s="138">
        <f>IF('1.DATOS-PROD'!AS330="SI",VLOOKUP('1.DATOS-PROD'!AS$2,'1.PUNTOS'!$A$1:$B$63,2,0),0)</f>
        <v>0</v>
      </c>
      <c r="AK329" s="138">
        <f>IF('1.DATOS-PROD'!AT330="SI",VLOOKUP('1.DATOS-PROD'!AT$2,'1.PUNTOS'!$A$1:$B$63,2,0),0)</f>
        <v>0</v>
      </c>
      <c r="AL329" s="138">
        <f>IF('1.DATOS-PROD'!AU330="SI",VLOOKUP('1.DATOS-PROD'!AU$2,'1.PUNTOS'!$A$1:$B$63,2,0),0)</f>
        <v>0</v>
      </c>
      <c r="AM329" s="138">
        <f>IF('1.DATOS-PROD'!AV330="SI",VLOOKUP('1.DATOS-PROD'!AV$2,'1.PUNTOS'!$A$1:$B$63,2,0),0)</f>
        <v>0</v>
      </c>
      <c r="AN329" s="138">
        <f>IF('1.DATOS-PROD'!AW330="SI",VLOOKUP('1.DATOS-PROD'!AW$2,'1.PUNTOS'!$A$1:$B$63,2,0),0)</f>
        <v>0</v>
      </c>
      <c r="AO329" s="138">
        <f>IF('1.DATOS-PROD'!AX330="SI",VLOOKUP('1.DATOS-PROD'!AX$2,'1.PUNTOS'!$A$1:$B$63,2,0),0)</f>
        <v>0</v>
      </c>
      <c r="AP329" s="138">
        <f>IF('1.DATOS-PROD'!AY330="SI",VLOOKUP('1.DATOS-PROD'!AY$2,'1.PUNTOS'!$A$1:$B$63,2,0),0)</f>
        <v>0</v>
      </c>
      <c r="AQ329" s="138">
        <f>IF('1.DATOS-PROD'!AZ330="SI",VLOOKUP('1.DATOS-PROD'!AZ$2,'1.PUNTOS'!$A$1:$B$63,2,0),0)</f>
        <v>0</v>
      </c>
      <c r="AR329" s="138">
        <f>IF('1.DATOS-PROD'!BA330="SI",VLOOKUP('1.DATOS-PROD'!BA$2,'1.PUNTOS'!$A$1:$B$63,2,0),0)</f>
        <v>0</v>
      </c>
      <c r="AS329" s="138">
        <f>IF('1.DATOS-PROD'!BB330="SI",VLOOKUP('1.DATOS-PROD'!BB$2,'1.PUNTOS'!$A$1:$B$63,2,0),0)</f>
        <v>0</v>
      </c>
      <c r="AT329" s="138">
        <f>IF('1.DATOS-PROD'!BC330="SI",VLOOKUP('1.DATOS-PROD'!BC$2,'1.PUNTOS'!$A$1:$B$63,2,0),0)</f>
        <v>0</v>
      </c>
      <c r="AU329" s="138">
        <f>IF('1.DATOS-PROD'!BD330="SI",VLOOKUP('1.DATOS-PROD'!BD$2,'1.PUNTOS'!$A$1:$B$63,2,0),0)</f>
        <v>0</v>
      </c>
      <c r="AV329" s="138">
        <f>IF('1.DATOS-PROD'!BE330="SI",VLOOKUP('1.DATOS-PROD'!BE$2,'1.PUNTOS'!$A$1:$B$63,2,0),0)</f>
        <v>0</v>
      </c>
      <c r="AW329" s="138">
        <f>IF('1.DATOS-PROD'!BF330="SI",VLOOKUP('1.DATOS-PROD'!BF$2,'1.PUNTOS'!$A$1:$B$63,2,0),0)</f>
        <v>0</v>
      </c>
      <c r="AX329" s="138">
        <f>IF('1.DATOS-PROD'!BG330="SI",VLOOKUP('1.DATOS-PROD'!BG$2,'1.PUNTOS'!$A$1:$B$63,2,0),0)</f>
        <v>0</v>
      </c>
      <c r="AY329" s="138">
        <f>IF('1.DATOS-PROD'!BH330="SI",VLOOKUP('1.DATOS-PROD'!BH$2,'1.PUNTOS'!$A$1:$B$63,2,0),0)</f>
        <v>0</v>
      </c>
      <c r="AZ329" s="138">
        <f>IF('1.DATOS-PROD'!BI330="SI",VLOOKUP('1.DATOS-PROD'!BI$2,'1.PUNTOS'!$A$1:$B$63,2,0),0)</f>
        <v>0</v>
      </c>
      <c r="BA329" s="138">
        <f>IF('1.DATOS-PROD'!BJ330="SI",VLOOKUP('1.DATOS-PROD'!BJ$2,'1.PUNTOS'!$A$1:$B$63,2,0),0)</f>
        <v>0</v>
      </c>
      <c r="BB329" s="138">
        <f>IF('1.DATOS-PROD'!BK330="SI",VLOOKUP('1.DATOS-PROD'!BK$2,'1.PUNTOS'!$A$1:$B$63,2,0),0)</f>
        <v>0</v>
      </c>
      <c r="BC329" s="138">
        <f>IF('1.DATOS-PROD'!BL330="SI",VLOOKUP('1.DATOS-PROD'!BL$2,'1.PUNTOS'!$A$1:$B$63,2,0),0)</f>
        <v>0</v>
      </c>
      <c r="BD329" s="138">
        <f>IF('1.DATOS-PROD'!BM330="SI",VLOOKUP('1.DATOS-PROD'!BM$2,'1.PUNTOS'!$A$1:$B$63,2,0),0)</f>
        <v>0</v>
      </c>
      <c r="BE329" s="138">
        <f>IF('1.DATOS-PROD'!BN330="SI",VLOOKUP('1.DATOS-PROD'!BN$2,'1.PUNTOS'!$A$1:$B$63,2,0),0)</f>
        <v>0</v>
      </c>
      <c r="BF329" s="138">
        <f>IF('1.DATOS-PROD'!BO330="SI",VLOOKUP('1.DATOS-PROD'!BO$2,'1.PUNTOS'!$A$1:$B$63,2,0),0)</f>
        <v>0</v>
      </c>
      <c r="BG329" s="138">
        <f>IF('1.DATOS-PROD'!BP330="SI",VLOOKUP('1.DATOS-PROD'!BP$2,'1.PUNTOS'!$A$1:$B$63,2,0),0)</f>
        <v>0</v>
      </c>
      <c r="BH329" s="138">
        <f>IF('1.DATOS-PROD'!BQ330="SI",VLOOKUP('1.DATOS-PROD'!BQ$2,'1.PUNTOS'!$A$1:$B$63,2,0),0)</f>
        <v>0</v>
      </c>
      <c r="BI329" s="138">
        <f>IF('1.DATOS-PROD'!BR330="SI",VLOOKUP('1.DATOS-PROD'!BR$2,'1.PUNTOS'!$A$1:$B$63,2,0),0)</f>
        <v>0</v>
      </c>
      <c r="BJ329" s="138">
        <f>IF('1.DATOS-PROD'!BS330="SI",VLOOKUP('1.DATOS-PROD'!BS$2,'1.PUNTOS'!$A$1:$B$63,2,0),0)</f>
        <v>0</v>
      </c>
      <c r="BK329" s="138">
        <f>IF('1.DATOS-PROD'!BT330="SI",VLOOKUP('1.DATOS-PROD'!BT$2,'1.PUNTOS'!$A$1:$B$63,2,0),0)</f>
        <v>0</v>
      </c>
    </row>
    <row r="330" spans="1:63" x14ac:dyDescent="0.25">
      <c r="A330">
        <f>'0.Consolidado general'!$A331</f>
        <v>0</v>
      </c>
      <c r="B330" s="138">
        <f>IF('1.DATOS-PROD'!K331="SI",VLOOKUP('1.DATOS-PROD'!K$2,'1.PUNTOS'!$A$1:$B$63,2,0),0)</f>
        <v>0</v>
      </c>
      <c r="C330" s="138">
        <f>IF('1.DATOS-PROD'!L331="SI",VLOOKUP('1.DATOS-PROD'!L$2,'1.PUNTOS'!$A$1:$B$63,2,0),0)</f>
        <v>0</v>
      </c>
      <c r="D330" s="138">
        <f>IF('1.DATOS-PROD'!M331="SI",VLOOKUP('1.DATOS-PROD'!M$2,'1.PUNTOS'!$A$1:$B$63,2,0),0)</f>
        <v>0</v>
      </c>
      <c r="E330" s="138">
        <f>IF('1.DATOS-PROD'!N331="SI",VLOOKUP('1.DATOS-PROD'!N$2,'1.PUNTOS'!$A$1:$B$63,2,0),0)</f>
        <v>0</v>
      </c>
      <c r="F330" s="138">
        <f>IF('1.DATOS-PROD'!O331="SI",VLOOKUP('1.DATOS-PROD'!O$2,'1.PUNTOS'!$A$1:$B$63,2,0),0)</f>
        <v>0</v>
      </c>
      <c r="G330" s="138">
        <f>IF('1.DATOS-PROD'!P331="SI",VLOOKUP('1.DATOS-PROD'!P$2,'1.PUNTOS'!$A$1:$B$63,2,0),0)</f>
        <v>0</v>
      </c>
      <c r="H330" s="138">
        <f>IF('1.DATOS-PROD'!Q331="SI",VLOOKUP('1.DATOS-PROD'!Q$2,'1.PUNTOS'!$A$1:$B$63,2,0),0)</f>
        <v>0</v>
      </c>
      <c r="I330" s="138">
        <f>IF('1.DATOS-PROD'!R331="SI",VLOOKUP('1.DATOS-PROD'!R$2,'1.PUNTOS'!$A$1:$B$63,2,0),0)</f>
        <v>0</v>
      </c>
      <c r="J330" s="138">
        <f>IF('1.DATOS-PROD'!S331="SI",VLOOKUP('1.DATOS-PROD'!S$2,'1.PUNTOS'!$A$1:$B$63,2,0),0)</f>
        <v>0</v>
      </c>
      <c r="K330" s="138">
        <f>IF('1.DATOS-PROD'!T331="SI",VLOOKUP('1.DATOS-PROD'!T$2,'1.PUNTOS'!$A$1:$B$63,2,0),0)</f>
        <v>0</v>
      </c>
      <c r="L330" s="138">
        <f>IF('1.DATOS-PROD'!U331="SI",VLOOKUP('1.DATOS-PROD'!U$2,'1.PUNTOS'!$A$1:$B$63,2,0),0)</f>
        <v>0</v>
      </c>
      <c r="M330" s="138">
        <f>IF('1.DATOS-PROD'!V331="SI",VLOOKUP('1.DATOS-PROD'!V$2,'1.PUNTOS'!$A$1:$B$63,2,0),0)</f>
        <v>0</v>
      </c>
      <c r="N330" s="138">
        <f>IF('1.DATOS-PROD'!W331="SI",VLOOKUP('1.DATOS-PROD'!W$2,'1.PUNTOS'!$A$1:$B$63,2,0),0)</f>
        <v>0</v>
      </c>
      <c r="O330" s="138">
        <f>IF('1.DATOS-PROD'!X331="SI",VLOOKUP('1.DATOS-PROD'!X$2,'1.PUNTOS'!$A$1:$B$63,2,0),0)</f>
        <v>0</v>
      </c>
      <c r="P330" s="138">
        <f>IF('1.DATOS-PROD'!Y331="SI",VLOOKUP('1.DATOS-PROD'!Y$2,'1.PUNTOS'!$A$1:$B$63,2,0),0)</f>
        <v>0</v>
      </c>
      <c r="Q330" s="138">
        <f>IF('1.DATOS-PROD'!Z331="SI",VLOOKUP('1.DATOS-PROD'!Z$2,'1.PUNTOS'!$A$1:$B$63,2,0),0)</f>
        <v>0</v>
      </c>
      <c r="R330" s="138">
        <f>IF('1.DATOS-PROD'!AA331="SI",VLOOKUP('1.DATOS-PROD'!AA$2,'1.PUNTOS'!$A$1:$B$63,2,0),0)</f>
        <v>0</v>
      </c>
      <c r="S330" s="138">
        <f>IF('1.DATOS-PROD'!AB331="SI",VLOOKUP('1.DATOS-PROD'!AB$2,'1.PUNTOS'!$A$1:$B$63,2,0),0)</f>
        <v>0</v>
      </c>
      <c r="T330" s="138">
        <f>IF('1.DATOS-PROD'!AC331="SI",VLOOKUP('1.DATOS-PROD'!AC$2,'1.PUNTOS'!$A$1:$B$63,2,0),0)</f>
        <v>0</v>
      </c>
      <c r="U330" s="138">
        <f>IF('1.DATOS-PROD'!AD331="SI",VLOOKUP('1.DATOS-PROD'!AD$2,'1.PUNTOS'!$A$1:$B$63,2,0),0)</f>
        <v>0</v>
      </c>
      <c r="V330" s="138">
        <f>IF('1.DATOS-PROD'!AE331="SI",VLOOKUP('1.DATOS-PROD'!AE$2,'1.PUNTOS'!$A$1:$B$63,2,0),0)</f>
        <v>0</v>
      </c>
      <c r="W330" s="138">
        <f>IF('1.DATOS-PROD'!AF331="SI",VLOOKUP('1.DATOS-PROD'!AF$2,'1.PUNTOS'!$A$1:$B$63,2,0),0)</f>
        <v>0</v>
      </c>
      <c r="X330" s="138">
        <f>IF('1.DATOS-PROD'!AG331="SI",VLOOKUP('1.DATOS-PROD'!AG$2,'1.PUNTOS'!$A$1:$B$63,2,0),0)</f>
        <v>0</v>
      </c>
      <c r="Y330" s="138">
        <f>IF('1.DATOS-PROD'!AH331="SI",VLOOKUP('1.DATOS-PROD'!AH$2,'1.PUNTOS'!$A$1:$B$63,2,0),0)</f>
        <v>0</v>
      </c>
      <c r="Z330" s="138">
        <f>IF('1.DATOS-PROD'!AI331="SI",VLOOKUP('1.DATOS-PROD'!AI$2,'1.PUNTOS'!$A$1:$B$63,2,0),0)</f>
        <v>0</v>
      </c>
      <c r="AA330" s="138">
        <f>IF('1.DATOS-PROD'!AJ331="SI",VLOOKUP('1.DATOS-PROD'!AJ$2,'1.PUNTOS'!$A$1:$B$63,2,0),0)</f>
        <v>0</v>
      </c>
      <c r="AB330" s="138">
        <f>IF('1.DATOS-PROD'!AK331="SI",VLOOKUP('1.DATOS-PROD'!AK$2,'1.PUNTOS'!$A$1:$B$63,2,0),0)</f>
        <v>0</v>
      </c>
      <c r="AC330" s="138">
        <f>IF('1.DATOS-PROD'!AL331="SI",VLOOKUP('1.DATOS-PROD'!AL$2,'1.PUNTOS'!$A$1:$B$63,2,0),0)</f>
        <v>0</v>
      </c>
      <c r="AD330" s="138">
        <f>IF('1.DATOS-PROD'!AM331="SI",VLOOKUP('1.DATOS-PROD'!AM$2,'1.PUNTOS'!$A$1:$B$63,2,0),0)</f>
        <v>0</v>
      </c>
      <c r="AE330" s="138">
        <f>IF('1.DATOS-PROD'!AN331="SI",VLOOKUP('1.DATOS-PROD'!AN$2,'1.PUNTOS'!$A$1:$B$63,2,0),0)</f>
        <v>0</v>
      </c>
      <c r="AF330" s="138">
        <f>IF('1.DATOS-PROD'!AO331="SI",VLOOKUP('1.DATOS-PROD'!AO$2,'1.PUNTOS'!$A$1:$B$63,2,0),0)</f>
        <v>0</v>
      </c>
      <c r="AG330" s="138">
        <f>IF('1.DATOS-PROD'!AP331="SI",VLOOKUP('1.DATOS-PROD'!AP$2,'1.PUNTOS'!$A$1:$B$63,2,0),0)</f>
        <v>0</v>
      </c>
      <c r="AH330" s="138">
        <f>IF('1.DATOS-PROD'!AQ331="SI",VLOOKUP('1.DATOS-PROD'!AQ$2,'1.PUNTOS'!$A$1:$B$63,2,0),0)</f>
        <v>0</v>
      </c>
      <c r="AI330" s="138">
        <f>IF('1.DATOS-PROD'!AR331="SI",VLOOKUP('1.DATOS-PROD'!AR$2,'1.PUNTOS'!$A$1:$B$63,2,0),0)</f>
        <v>0</v>
      </c>
      <c r="AJ330" s="138">
        <f>IF('1.DATOS-PROD'!AS331="SI",VLOOKUP('1.DATOS-PROD'!AS$2,'1.PUNTOS'!$A$1:$B$63,2,0),0)</f>
        <v>0</v>
      </c>
      <c r="AK330" s="138">
        <f>IF('1.DATOS-PROD'!AT331="SI",VLOOKUP('1.DATOS-PROD'!AT$2,'1.PUNTOS'!$A$1:$B$63,2,0),0)</f>
        <v>0</v>
      </c>
      <c r="AL330" s="138">
        <f>IF('1.DATOS-PROD'!AU331="SI",VLOOKUP('1.DATOS-PROD'!AU$2,'1.PUNTOS'!$A$1:$B$63,2,0),0)</f>
        <v>0</v>
      </c>
      <c r="AM330" s="138">
        <f>IF('1.DATOS-PROD'!AV331="SI",VLOOKUP('1.DATOS-PROD'!AV$2,'1.PUNTOS'!$A$1:$B$63,2,0),0)</f>
        <v>0</v>
      </c>
      <c r="AN330" s="138">
        <f>IF('1.DATOS-PROD'!AW331="SI",VLOOKUP('1.DATOS-PROD'!AW$2,'1.PUNTOS'!$A$1:$B$63,2,0),0)</f>
        <v>0</v>
      </c>
      <c r="AO330" s="138">
        <f>IF('1.DATOS-PROD'!AX331="SI",VLOOKUP('1.DATOS-PROD'!AX$2,'1.PUNTOS'!$A$1:$B$63,2,0),0)</f>
        <v>0</v>
      </c>
      <c r="AP330" s="138">
        <f>IF('1.DATOS-PROD'!AY331="SI",VLOOKUP('1.DATOS-PROD'!AY$2,'1.PUNTOS'!$A$1:$B$63,2,0),0)</f>
        <v>0</v>
      </c>
      <c r="AQ330" s="138">
        <f>IF('1.DATOS-PROD'!AZ331="SI",VLOOKUP('1.DATOS-PROD'!AZ$2,'1.PUNTOS'!$A$1:$B$63,2,0),0)</f>
        <v>0</v>
      </c>
      <c r="AR330" s="138">
        <f>IF('1.DATOS-PROD'!BA331="SI",VLOOKUP('1.DATOS-PROD'!BA$2,'1.PUNTOS'!$A$1:$B$63,2,0),0)</f>
        <v>0</v>
      </c>
      <c r="AS330" s="138">
        <f>IF('1.DATOS-PROD'!BB331="SI",VLOOKUP('1.DATOS-PROD'!BB$2,'1.PUNTOS'!$A$1:$B$63,2,0),0)</f>
        <v>0</v>
      </c>
      <c r="AT330" s="138">
        <f>IF('1.DATOS-PROD'!BC331="SI",VLOOKUP('1.DATOS-PROD'!BC$2,'1.PUNTOS'!$A$1:$B$63,2,0),0)</f>
        <v>0</v>
      </c>
      <c r="AU330" s="138">
        <f>IF('1.DATOS-PROD'!BD331="SI",VLOOKUP('1.DATOS-PROD'!BD$2,'1.PUNTOS'!$A$1:$B$63,2,0),0)</f>
        <v>0</v>
      </c>
      <c r="AV330" s="138">
        <f>IF('1.DATOS-PROD'!BE331="SI",VLOOKUP('1.DATOS-PROD'!BE$2,'1.PUNTOS'!$A$1:$B$63,2,0),0)</f>
        <v>0</v>
      </c>
      <c r="AW330" s="138">
        <f>IF('1.DATOS-PROD'!BF331="SI",VLOOKUP('1.DATOS-PROD'!BF$2,'1.PUNTOS'!$A$1:$B$63,2,0),0)</f>
        <v>0</v>
      </c>
      <c r="AX330" s="138">
        <f>IF('1.DATOS-PROD'!BG331="SI",VLOOKUP('1.DATOS-PROD'!BG$2,'1.PUNTOS'!$A$1:$B$63,2,0),0)</f>
        <v>0</v>
      </c>
      <c r="AY330" s="138">
        <f>IF('1.DATOS-PROD'!BH331="SI",VLOOKUP('1.DATOS-PROD'!BH$2,'1.PUNTOS'!$A$1:$B$63,2,0),0)</f>
        <v>0</v>
      </c>
      <c r="AZ330" s="138">
        <f>IF('1.DATOS-PROD'!BI331="SI",VLOOKUP('1.DATOS-PROD'!BI$2,'1.PUNTOS'!$A$1:$B$63,2,0),0)</f>
        <v>0</v>
      </c>
      <c r="BA330" s="138">
        <f>IF('1.DATOS-PROD'!BJ331="SI",VLOOKUP('1.DATOS-PROD'!BJ$2,'1.PUNTOS'!$A$1:$B$63,2,0),0)</f>
        <v>0</v>
      </c>
      <c r="BB330" s="138">
        <f>IF('1.DATOS-PROD'!BK331="SI",VLOOKUP('1.DATOS-PROD'!BK$2,'1.PUNTOS'!$A$1:$B$63,2,0),0)</f>
        <v>0</v>
      </c>
      <c r="BC330" s="138">
        <f>IF('1.DATOS-PROD'!BL331="SI",VLOOKUP('1.DATOS-PROD'!BL$2,'1.PUNTOS'!$A$1:$B$63,2,0),0)</f>
        <v>0</v>
      </c>
      <c r="BD330" s="138">
        <f>IF('1.DATOS-PROD'!BM331="SI",VLOOKUP('1.DATOS-PROD'!BM$2,'1.PUNTOS'!$A$1:$B$63,2,0),0)</f>
        <v>0</v>
      </c>
      <c r="BE330" s="138">
        <f>IF('1.DATOS-PROD'!BN331="SI",VLOOKUP('1.DATOS-PROD'!BN$2,'1.PUNTOS'!$A$1:$B$63,2,0),0)</f>
        <v>0</v>
      </c>
      <c r="BF330" s="138">
        <f>IF('1.DATOS-PROD'!BO331="SI",VLOOKUP('1.DATOS-PROD'!BO$2,'1.PUNTOS'!$A$1:$B$63,2,0),0)</f>
        <v>0</v>
      </c>
      <c r="BG330" s="138">
        <f>IF('1.DATOS-PROD'!BP331="SI",VLOOKUP('1.DATOS-PROD'!BP$2,'1.PUNTOS'!$A$1:$B$63,2,0),0)</f>
        <v>0</v>
      </c>
      <c r="BH330" s="138">
        <f>IF('1.DATOS-PROD'!BQ331="SI",VLOOKUP('1.DATOS-PROD'!BQ$2,'1.PUNTOS'!$A$1:$B$63,2,0),0)</f>
        <v>0</v>
      </c>
      <c r="BI330" s="138">
        <f>IF('1.DATOS-PROD'!BR331="SI",VLOOKUP('1.DATOS-PROD'!BR$2,'1.PUNTOS'!$A$1:$B$63,2,0),0)</f>
        <v>0</v>
      </c>
      <c r="BJ330" s="138">
        <f>IF('1.DATOS-PROD'!BS331="SI",VLOOKUP('1.DATOS-PROD'!BS$2,'1.PUNTOS'!$A$1:$B$63,2,0),0)</f>
        <v>0</v>
      </c>
      <c r="BK330" s="138">
        <f>IF('1.DATOS-PROD'!BT331="SI",VLOOKUP('1.DATOS-PROD'!BT$2,'1.PUNTOS'!$A$1:$B$63,2,0),0)</f>
        <v>0</v>
      </c>
    </row>
    <row r="331" spans="1:63" x14ac:dyDescent="0.25">
      <c r="A331">
        <f>'0.Consolidado general'!$A332</f>
        <v>0</v>
      </c>
      <c r="B331" s="138">
        <f>IF('1.DATOS-PROD'!K332="SI",VLOOKUP('1.DATOS-PROD'!K$2,'1.PUNTOS'!$A$1:$B$63,2,0),0)</f>
        <v>0</v>
      </c>
      <c r="C331" s="138">
        <f>IF('1.DATOS-PROD'!L332="SI",VLOOKUP('1.DATOS-PROD'!L$2,'1.PUNTOS'!$A$1:$B$63,2,0),0)</f>
        <v>0</v>
      </c>
      <c r="D331" s="138">
        <f>IF('1.DATOS-PROD'!M332="SI",VLOOKUP('1.DATOS-PROD'!M$2,'1.PUNTOS'!$A$1:$B$63,2,0),0)</f>
        <v>0</v>
      </c>
      <c r="E331" s="138">
        <f>IF('1.DATOS-PROD'!N332="SI",VLOOKUP('1.DATOS-PROD'!N$2,'1.PUNTOS'!$A$1:$B$63,2,0),0)</f>
        <v>0</v>
      </c>
      <c r="F331" s="138">
        <f>IF('1.DATOS-PROD'!O332="SI",VLOOKUP('1.DATOS-PROD'!O$2,'1.PUNTOS'!$A$1:$B$63,2,0),0)</f>
        <v>0</v>
      </c>
      <c r="G331" s="138">
        <f>IF('1.DATOS-PROD'!P332="SI",VLOOKUP('1.DATOS-PROD'!P$2,'1.PUNTOS'!$A$1:$B$63,2,0),0)</f>
        <v>0</v>
      </c>
      <c r="H331" s="138">
        <f>IF('1.DATOS-PROD'!Q332="SI",VLOOKUP('1.DATOS-PROD'!Q$2,'1.PUNTOS'!$A$1:$B$63,2,0),0)</f>
        <v>0</v>
      </c>
      <c r="I331" s="138">
        <f>IF('1.DATOS-PROD'!R332="SI",VLOOKUP('1.DATOS-PROD'!R$2,'1.PUNTOS'!$A$1:$B$63,2,0),0)</f>
        <v>0</v>
      </c>
      <c r="J331" s="138">
        <f>IF('1.DATOS-PROD'!S332="SI",VLOOKUP('1.DATOS-PROD'!S$2,'1.PUNTOS'!$A$1:$B$63,2,0),0)</f>
        <v>0</v>
      </c>
      <c r="K331" s="138">
        <f>IF('1.DATOS-PROD'!T332="SI",VLOOKUP('1.DATOS-PROD'!T$2,'1.PUNTOS'!$A$1:$B$63,2,0),0)</f>
        <v>0</v>
      </c>
      <c r="L331" s="138">
        <f>IF('1.DATOS-PROD'!U332="SI",VLOOKUP('1.DATOS-PROD'!U$2,'1.PUNTOS'!$A$1:$B$63,2,0),0)</f>
        <v>0</v>
      </c>
      <c r="M331" s="138">
        <f>IF('1.DATOS-PROD'!V332="SI",VLOOKUP('1.DATOS-PROD'!V$2,'1.PUNTOS'!$A$1:$B$63,2,0),0)</f>
        <v>0</v>
      </c>
      <c r="N331" s="138">
        <f>IF('1.DATOS-PROD'!W332="SI",VLOOKUP('1.DATOS-PROD'!W$2,'1.PUNTOS'!$A$1:$B$63,2,0),0)</f>
        <v>0</v>
      </c>
      <c r="O331" s="138">
        <f>IF('1.DATOS-PROD'!X332="SI",VLOOKUP('1.DATOS-PROD'!X$2,'1.PUNTOS'!$A$1:$B$63,2,0),0)</f>
        <v>0</v>
      </c>
      <c r="P331" s="138">
        <f>IF('1.DATOS-PROD'!Y332="SI",VLOOKUP('1.DATOS-PROD'!Y$2,'1.PUNTOS'!$A$1:$B$63,2,0),0)</f>
        <v>0</v>
      </c>
      <c r="Q331" s="138">
        <f>IF('1.DATOS-PROD'!Z332="SI",VLOOKUP('1.DATOS-PROD'!Z$2,'1.PUNTOS'!$A$1:$B$63,2,0),0)</f>
        <v>0</v>
      </c>
      <c r="R331" s="138">
        <f>IF('1.DATOS-PROD'!AA332="SI",VLOOKUP('1.DATOS-PROD'!AA$2,'1.PUNTOS'!$A$1:$B$63,2,0),0)</f>
        <v>0</v>
      </c>
      <c r="S331" s="138">
        <f>IF('1.DATOS-PROD'!AB332="SI",VLOOKUP('1.DATOS-PROD'!AB$2,'1.PUNTOS'!$A$1:$B$63,2,0),0)</f>
        <v>0</v>
      </c>
      <c r="T331" s="138">
        <f>IF('1.DATOS-PROD'!AC332="SI",VLOOKUP('1.DATOS-PROD'!AC$2,'1.PUNTOS'!$A$1:$B$63,2,0),0)</f>
        <v>0</v>
      </c>
      <c r="U331" s="138">
        <f>IF('1.DATOS-PROD'!AD332="SI",VLOOKUP('1.DATOS-PROD'!AD$2,'1.PUNTOS'!$A$1:$B$63,2,0),0)</f>
        <v>0</v>
      </c>
      <c r="V331" s="138">
        <f>IF('1.DATOS-PROD'!AE332="SI",VLOOKUP('1.DATOS-PROD'!AE$2,'1.PUNTOS'!$A$1:$B$63,2,0),0)</f>
        <v>0</v>
      </c>
      <c r="W331" s="138">
        <f>IF('1.DATOS-PROD'!AF332="SI",VLOOKUP('1.DATOS-PROD'!AF$2,'1.PUNTOS'!$A$1:$B$63,2,0),0)</f>
        <v>0</v>
      </c>
      <c r="X331" s="138">
        <f>IF('1.DATOS-PROD'!AG332="SI",VLOOKUP('1.DATOS-PROD'!AG$2,'1.PUNTOS'!$A$1:$B$63,2,0),0)</f>
        <v>0</v>
      </c>
      <c r="Y331" s="138">
        <f>IF('1.DATOS-PROD'!AH332="SI",VLOOKUP('1.DATOS-PROD'!AH$2,'1.PUNTOS'!$A$1:$B$63,2,0),0)</f>
        <v>0</v>
      </c>
      <c r="Z331" s="138">
        <f>IF('1.DATOS-PROD'!AI332="SI",VLOOKUP('1.DATOS-PROD'!AI$2,'1.PUNTOS'!$A$1:$B$63,2,0),0)</f>
        <v>0</v>
      </c>
      <c r="AA331" s="138">
        <f>IF('1.DATOS-PROD'!AJ332="SI",VLOOKUP('1.DATOS-PROD'!AJ$2,'1.PUNTOS'!$A$1:$B$63,2,0),0)</f>
        <v>0</v>
      </c>
      <c r="AB331" s="138">
        <f>IF('1.DATOS-PROD'!AK332="SI",VLOOKUP('1.DATOS-PROD'!AK$2,'1.PUNTOS'!$A$1:$B$63,2,0),0)</f>
        <v>0</v>
      </c>
      <c r="AC331" s="138">
        <f>IF('1.DATOS-PROD'!AL332="SI",VLOOKUP('1.DATOS-PROD'!AL$2,'1.PUNTOS'!$A$1:$B$63,2,0),0)</f>
        <v>0</v>
      </c>
      <c r="AD331" s="138">
        <f>IF('1.DATOS-PROD'!AM332="SI",VLOOKUP('1.DATOS-PROD'!AM$2,'1.PUNTOS'!$A$1:$B$63,2,0),0)</f>
        <v>0</v>
      </c>
      <c r="AE331" s="138">
        <f>IF('1.DATOS-PROD'!AN332="SI",VLOOKUP('1.DATOS-PROD'!AN$2,'1.PUNTOS'!$A$1:$B$63,2,0),0)</f>
        <v>0</v>
      </c>
      <c r="AF331" s="138">
        <f>IF('1.DATOS-PROD'!AO332="SI",VLOOKUP('1.DATOS-PROD'!AO$2,'1.PUNTOS'!$A$1:$B$63,2,0),0)</f>
        <v>0</v>
      </c>
      <c r="AG331" s="138">
        <f>IF('1.DATOS-PROD'!AP332="SI",VLOOKUP('1.DATOS-PROD'!AP$2,'1.PUNTOS'!$A$1:$B$63,2,0),0)</f>
        <v>0</v>
      </c>
      <c r="AH331" s="138">
        <f>IF('1.DATOS-PROD'!AQ332="SI",VLOOKUP('1.DATOS-PROD'!AQ$2,'1.PUNTOS'!$A$1:$B$63,2,0),0)</f>
        <v>0</v>
      </c>
      <c r="AI331" s="138">
        <f>IF('1.DATOS-PROD'!AR332="SI",VLOOKUP('1.DATOS-PROD'!AR$2,'1.PUNTOS'!$A$1:$B$63,2,0),0)</f>
        <v>0</v>
      </c>
      <c r="AJ331" s="138">
        <f>IF('1.DATOS-PROD'!AS332="SI",VLOOKUP('1.DATOS-PROD'!AS$2,'1.PUNTOS'!$A$1:$B$63,2,0),0)</f>
        <v>0</v>
      </c>
      <c r="AK331" s="138">
        <f>IF('1.DATOS-PROD'!AT332="SI",VLOOKUP('1.DATOS-PROD'!AT$2,'1.PUNTOS'!$A$1:$B$63,2,0),0)</f>
        <v>0</v>
      </c>
      <c r="AL331" s="138">
        <f>IF('1.DATOS-PROD'!AU332="SI",VLOOKUP('1.DATOS-PROD'!AU$2,'1.PUNTOS'!$A$1:$B$63,2,0),0)</f>
        <v>0</v>
      </c>
      <c r="AM331" s="138">
        <f>IF('1.DATOS-PROD'!AV332="SI",VLOOKUP('1.DATOS-PROD'!AV$2,'1.PUNTOS'!$A$1:$B$63,2,0),0)</f>
        <v>0</v>
      </c>
      <c r="AN331" s="138">
        <f>IF('1.DATOS-PROD'!AW332="SI",VLOOKUP('1.DATOS-PROD'!AW$2,'1.PUNTOS'!$A$1:$B$63,2,0),0)</f>
        <v>0</v>
      </c>
      <c r="AO331" s="138">
        <f>IF('1.DATOS-PROD'!AX332="SI",VLOOKUP('1.DATOS-PROD'!AX$2,'1.PUNTOS'!$A$1:$B$63,2,0),0)</f>
        <v>0</v>
      </c>
      <c r="AP331" s="138">
        <f>IF('1.DATOS-PROD'!AY332="SI",VLOOKUP('1.DATOS-PROD'!AY$2,'1.PUNTOS'!$A$1:$B$63,2,0),0)</f>
        <v>0</v>
      </c>
      <c r="AQ331" s="138">
        <f>IF('1.DATOS-PROD'!AZ332="SI",VLOOKUP('1.DATOS-PROD'!AZ$2,'1.PUNTOS'!$A$1:$B$63,2,0),0)</f>
        <v>0</v>
      </c>
      <c r="AR331" s="138">
        <f>IF('1.DATOS-PROD'!BA332="SI",VLOOKUP('1.DATOS-PROD'!BA$2,'1.PUNTOS'!$A$1:$B$63,2,0),0)</f>
        <v>0</v>
      </c>
      <c r="AS331" s="138">
        <f>IF('1.DATOS-PROD'!BB332="SI",VLOOKUP('1.DATOS-PROD'!BB$2,'1.PUNTOS'!$A$1:$B$63,2,0),0)</f>
        <v>0</v>
      </c>
      <c r="AT331" s="138">
        <f>IF('1.DATOS-PROD'!BC332="SI",VLOOKUP('1.DATOS-PROD'!BC$2,'1.PUNTOS'!$A$1:$B$63,2,0),0)</f>
        <v>0</v>
      </c>
      <c r="AU331" s="138">
        <f>IF('1.DATOS-PROD'!BD332="SI",VLOOKUP('1.DATOS-PROD'!BD$2,'1.PUNTOS'!$A$1:$B$63,2,0),0)</f>
        <v>0</v>
      </c>
      <c r="AV331" s="138">
        <f>IF('1.DATOS-PROD'!BE332="SI",VLOOKUP('1.DATOS-PROD'!BE$2,'1.PUNTOS'!$A$1:$B$63,2,0),0)</f>
        <v>0</v>
      </c>
      <c r="AW331" s="138">
        <f>IF('1.DATOS-PROD'!BF332="SI",VLOOKUP('1.DATOS-PROD'!BF$2,'1.PUNTOS'!$A$1:$B$63,2,0),0)</f>
        <v>0</v>
      </c>
      <c r="AX331" s="138">
        <f>IF('1.DATOS-PROD'!BG332="SI",VLOOKUP('1.DATOS-PROD'!BG$2,'1.PUNTOS'!$A$1:$B$63,2,0),0)</f>
        <v>0</v>
      </c>
      <c r="AY331" s="138">
        <f>IF('1.DATOS-PROD'!BH332="SI",VLOOKUP('1.DATOS-PROD'!BH$2,'1.PUNTOS'!$A$1:$B$63,2,0),0)</f>
        <v>0</v>
      </c>
      <c r="AZ331" s="138">
        <f>IF('1.DATOS-PROD'!BI332="SI",VLOOKUP('1.DATOS-PROD'!BI$2,'1.PUNTOS'!$A$1:$B$63,2,0),0)</f>
        <v>0</v>
      </c>
      <c r="BA331" s="138">
        <f>IF('1.DATOS-PROD'!BJ332="SI",VLOOKUP('1.DATOS-PROD'!BJ$2,'1.PUNTOS'!$A$1:$B$63,2,0),0)</f>
        <v>0</v>
      </c>
      <c r="BB331" s="138">
        <f>IF('1.DATOS-PROD'!BK332="SI",VLOOKUP('1.DATOS-PROD'!BK$2,'1.PUNTOS'!$A$1:$B$63,2,0),0)</f>
        <v>0</v>
      </c>
      <c r="BC331" s="138">
        <f>IF('1.DATOS-PROD'!BL332="SI",VLOOKUP('1.DATOS-PROD'!BL$2,'1.PUNTOS'!$A$1:$B$63,2,0),0)</f>
        <v>0</v>
      </c>
      <c r="BD331" s="138">
        <f>IF('1.DATOS-PROD'!BM332="SI",VLOOKUP('1.DATOS-PROD'!BM$2,'1.PUNTOS'!$A$1:$B$63,2,0),0)</f>
        <v>0</v>
      </c>
      <c r="BE331" s="138">
        <f>IF('1.DATOS-PROD'!BN332="SI",VLOOKUP('1.DATOS-PROD'!BN$2,'1.PUNTOS'!$A$1:$B$63,2,0),0)</f>
        <v>0</v>
      </c>
      <c r="BF331" s="138">
        <f>IF('1.DATOS-PROD'!BO332="SI",VLOOKUP('1.DATOS-PROD'!BO$2,'1.PUNTOS'!$A$1:$B$63,2,0),0)</f>
        <v>0</v>
      </c>
      <c r="BG331" s="138">
        <f>IF('1.DATOS-PROD'!BP332="SI",VLOOKUP('1.DATOS-PROD'!BP$2,'1.PUNTOS'!$A$1:$B$63,2,0),0)</f>
        <v>0</v>
      </c>
      <c r="BH331" s="138">
        <f>IF('1.DATOS-PROD'!BQ332="SI",VLOOKUP('1.DATOS-PROD'!BQ$2,'1.PUNTOS'!$A$1:$B$63,2,0),0)</f>
        <v>0</v>
      </c>
      <c r="BI331" s="138">
        <f>IF('1.DATOS-PROD'!BR332="SI",VLOOKUP('1.DATOS-PROD'!BR$2,'1.PUNTOS'!$A$1:$B$63,2,0),0)</f>
        <v>0</v>
      </c>
      <c r="BJ331" s="138">
        <f>IF('1.DATOS-PROD'!BS332="SI",VLOOKUP('1.DATOS-PROD'!BS$2,'1.PUNTOS'!$A$1:$B$63,2,0),0)</f>
        <v>0</v>
      </c>
      <c r="BK331" s="138">
        <f>IF('1.DATOS-PROD'!BT332="SI",VLOOKUP('1.DATOS-PROD'!BT$2,'1.PUNTOS'!$A$1:$B$63,2,0),0)</f>
        <v>0</v>
      </c>
    </row>
    <row r="332" spans="1:63" x14ac:dyDescent="0.25">
      <c r="A332">
        <f>'0.Consolidado general'!$A333</f>
        <v>0</v>
      </c>
      <c r="B332" s="138">
        <f>IF('1.DATOS-PROD'!K333="SI",VLOOKUP('1.DATOS-PROD'!K$2,'1.PUNTOS'!$A$1:$B$63,2,0),0)</f>
        <v>0</v>
      </c>
      <c r="C332" s="138">
        <f>IF('1.DATOS-PROD'!L333="SI",VLOOKUP('1.DATOS-PROD'!L$2,'1.PUNTOS'!$A$1:$B$63,2,0),0)</f>
        <v>0</v>
      </c>
      <c r="D332" s="138">
        <f>IF('1.DATOS-PROD'!M333="SI",VLOOKUP('1.DATOS-PROD'!M$2,'1.PUNTOS'!$A$1:$B$63,2,0),0)</f>
        <v>0</v>
      </c>
      <c r="E332" s="138">
        <f>IF('1.DATOS-PROD'!N333="SI",VLOOKUP('1.DATOS-PROD'!N$2,'1.PUNTOS'!$A$1:$B$63,2,0),0)</f>
        <v>0</v>
      </c>
      <c r="F332" s="138">
        <f>IF('1.DATOS-PROD'!O333="SI",VLOOKUP('1.DATOS-PROD'!O$2,'1.PUNTOS'!$A$1:$B$63,2,0),0)</f>
        <v>0</v>
      </c>
      <c r="G332" s="138">
        <f>IF('1.DATOS-PROD'!P333="SI",VLOOKUP('1.DATOS-PROD'!P$2,'1.PUNTOS'!$A$1:$B$63,2,0),0)</f>
        <v>0</v>
      </c>
      <c r="H332" s="138">
        <f>IF('1.DATOS-PROD'!Q333="SI",VLOOKUP('1.DATOS-PROD'!Q$2,'1.PUNTOS'!$A$1:$B$63,2,0),0)</f>
        <v>0</v>
      </c>
      <c r="I332" s="138">
        <f>IF('1.DATOS-PROD'!R333="SI",VLOOKUP('1.DATOS-PROD'!R$2,'1.PUNTOS'!$A$1:$B$63,2,0),0)</f>
        <v>0</v>
      </c>
      <c r="J332" s="138">
        <f>IF('1.DATOS-PROD'!S333="SI",VLOOKUP('1.DATOS-PROD'!S$2,'1.PUNTOS'!$A$1:$B$63,2,0),0)</f>
        <v>0</v>
      </c>
      <c r="K332" s="138">
        <f>IF('1.DATOS-PROD'!T333="SI",VLOOKUP('1.DATOS-PROD'!T$2,'1.PUNTOS'!$A$1:$B$63,2,0),0)</f>
        <v>0</v>
      </c>
      <c r="L332" s="138">
        <f>IF('1.DATOS-PROD'!U333="SI",VLOOKUP('1.DATOS-PROD'!U$2,'1.PUNTOS'!$A$1:$B$63,2,0),0)</f>
        <v>0</v>
      </c>
      <c r="M332" s="138">
        <f>IF('1.DATOS-PROD'!V333="SI",VLOOKUP('1.DATOS-PROD'!V$2,'1.PUNTOS'!$A$1:$B$63,2,0),0)</f>
        <v>0</v>
      </c>
      <c r="N332" s="138">
        <f>IF('1.DATOS-PROD'!W333="SI",VLOOKUP('1.DATOS-PROD'!W$2,'1.PUNTOS'!$A$1:$B$63,2,0),0)</f>
        <v>0</v>
      </c>
      <c r="O332" s="138">
        <f>IF('1.DATOS-PROD'!X333="SI",VLOOKUP('1.DATOS-PROD'!X$2,'1.PUNTOS'!$A$1:$B$63,2,0),0)</f>
        <v>0</v>
      </c>
      <c r="P332" s="138">
        <f>IF('1.DATOS-PROD'!Y333="SI",VLOOKUP('1.DATOS-PROD'!Y$2,'1.PUNTOS'!$A$1:$B$63,2,0),0)</f>
        <v>0</v>
      </c>
      <c r="Q332" s="138">
        <f>IF('1.DATOS-PROD'!Z333="SI",VLOOKUP('1.DATOS-PROD'!Z$2,'1.PUNTOS'!$A$1:$B$63,2,0),0)</f>
        <v>0</v>
      </c>
      <c r="R332" s="138">
        <f>IF('1.DATOS-PROD'!AA333="SI",VLOOKUP('1.DATOS-PROD'!AA$2,'1.PUNTOS'!$A$1:$B$63,2,0),0)</f>
        <v>0</v>
      </c>
      <c r="S332" s="138">
        <f>IF('1.DATOS-PROD'!AB333="SI",VLOOKUP('1.DATOS-PROD'!AB$2,'1.PUNTOS'!$A$1:$B$63,2,0),0)</f>
        <v>0</v>
      </c>
      <c r="T332" s="138">
        <f>IF('1.DATOS-PROD'!AC333="SI",VLOOKUP('1.DATOS-PROD'!AC$2,'1.PUNTOS'!$A$1:$B$63,2,0),0)</f>
        <v>0</v>
      </c>
      <c r="U332" s="138">
        <f>IF('1.DATOS-PROD'!AD333="SI",VLOOKUP('1.DATOS-PROD'!AD$2,'1.PUNTOS'!$A$1:$B$63,2,0),0)</f>
        <v>0</v>
      </c>
      <c r="V332" s="138">
        <f>IF('1.DATOS-PROD'!AE333="SI",VLOOKUP('1.DATOS-PROD'!AE$2,'1.PUNTOS'!$A$1:$B$63,2,0),0)</f>
        <v>0</v>
      </c>
      <c r="W332" s="138">
        <f>IF('1.DATOS-PROD'!AF333="SI",VLOOKUP('1.DATOS-PROD'!AF$2,'1.PUNTOS'!$A$1:$B$63,2,0),0)</f>
        <v>0</v>
      </c>
      <c r="X332" s="138">
        <f>IF('1.DATOS-PROD'!AG333="SI",VLOOKUP('1.DATOS-PROD'!AG$2,'1.PUNTOS'!$A$1:$B$63,2,0),0)</f>
        <v>0</v>
      </c>
      <c r="Y332" s="138">
        <f>IF('1.DATOS-PROD'!AH333="SI",VLOOKUP('1.DATOS-PROD'!AH$2,'1.PUNTOS'!$A$1:$B$63,2,0),0)</f>
        <v>0</v>
      </c>
      <c r="Z332" s="138">
        <f>IF('1.DATOS-PROD'!AI333="SI",VLOOKUP('1.DATOS-PROD'!AI$2,'1.PUNTOS'!$A$1:$B$63,2,0),0)</f>
        <v>0</v>
      </c>
      <c r="AA332" s="138">
        <f>IF('1.DATOS-PROD'!AJ333="SI",VLOOKUP('1.DATOS-PROD'!AJ$2,'1.PUNTOS'!$A$1:$B$63,2,0),0)</f>
        <v>0</v>
      </c>
      <c r="AB332" s="138">
        <f>IF('1.DATOS-PROD'!AK333="SI",VLOOKUP('1.DATOS-PROD'!AK$2,'1.PUNTOS'!$A$1:$B$63,2,0),0)</f>
        <v>0</v>
      </c>
      <c r="AC332" s="138">
        <f>IF('1.DATOS-PROD'!AL333="SI",VLOOKUP('1.DATOS-PROD'!AL$2,'1.PUNTOS'!$A$1:$B$63,2,0),0)</f>
        <v>0</v>
      </c>
      <c r="AD332" s="138">
        <f>IF('1.DATOS-PROD'!AM333="SI",VLOOKUP('1.DATOS-PROD'!AM$2,'1.PUNTOS'!$A$1:$B$63,2,0),0)</f>
        <v>0</v>
      </c>
      <c r="AE332" s="138">
        <f>IF('1.DATOS-PROD'!AN333="SI",VLOOKUP('1.DATOS-PROD'!AN$2,'1.PUNTOS'!$A$1:$B$63,2,0),0)</f>
        <v>0</v>
      </c>
      <c r="AF332" s="138">
        <f>IF('1.DATOS-PROD'!AO333="SI",VLOOKUP('1.DATOS-PROD'!AO$2,'1.PUNTOS'!$A$1:$B$63,2,0),0)</f>
        <v>0</v>
      </c>
      <c r="AG332" s="138">
        <f>IF('1.DATOS-PROD'!AP333="SI",VLOOKUP('1.DATOS-PROD'!AP$2,'1.PUNTOS'!$A$1:$B$63,2,0),0)</f>
        <v>0</v>
      </c>
      <c r="AH332" s="138">
        <f>IF('1.DATOS-PROD'!AQ333="SI",VLOOKUP('1.DATOS-PROD'!AQ$2,'1.PUNTOS'!$A$1:$B$63,2,0),0)</f>
        <v>0</v>
      </c>
      <c r="AI332" s="138">
        <f>IF('1.DATOS-PROD'!AR333="SI",VLOOKUP('1.DATOS-PROD'!AR$2,'1.PUNTOS'!$A$1:$B$63,2,0),0)</f>
        <v>0</v>
      </c>
      <c r="AJ332" s="138">
        <f>IF('1.DATOS-PROD'!AS333="SI",VLOOKUP('1.DATOS-PROD'!AS$2,'1.PUNTOS'!$A$1:$B$63,2,0),0)</f>
        <v>0</v>
      </c>
      <c r="AK332" s="138">
        <f>IF('1.DATOS-PROD'!AT333="SI",VLOOKUP('1.DATOS-PROD'!AT$2,'1.PUNTOS'!$A$1:$B$63,2,0),0)</f>
        <v>0</v>
      </c>
      <c r="AL332" s="138">
        <f>IF('1.DATOS-PROD'!AU333="SI",VLOOKUP('1.DATOS-PROD'!AU$2,'1.PUNTOS'!$A$1:$B$63,2,0),0)</f>
        <v>0</v>
      </c>
      <c r="AM332" s="138">
        <f>IF('1.DATOS-PROD'!AV333="SI",VLOOKUP('1.DATOS-PROD'!AV$2,'1.PUNTOS'!$A$1:$B$63,2,0),0)</f>
        <v>0</v>
      </c>
      <c r="AN332" s="138">
        <f>IF('1.DATOS-PROD'!AW333="SI",VLOOKUP('1.DATOS-PROD'!AW$2,'1.PUNTOS'!$A$1:$B$63,2,0),0)</f>
        <v>0</v>
      </c>
      <c r="AO332" s="138">
        <f>IF('1.DATOS-PROD'!AX333="SI",VLOOKUP('1.DATOS-PROD'!AX$2,'1.PUNTOS'!$A$1:$B$63,2,0),0)</f>
        <v>0</v>
      </c>
      <c r="AP332" s="138">
        <f>IF('1.DATOS-PROD'!AY333="SI",VLOOKUP('1.DATOS-PROD'!AY$2,'1.PUNTOS'!$A$1:$B$63,2,0),0)</f>
        <v>0</v>
      </c>
      <c r="AQ332" s="138">
        <f>IF('1.DATOS-PROD'!AZ333="SI",VLOOKUP('1.DATOS-PROD'!AZ$2,'1.PUNTOS'!$A$1:$B$63,2,0),0)</f>
        <v>0</v>
      </c>
      <c r="AR332" s="138">
        <f>IF('1.DATOS-PROD'!BA333="SI",VLOOKUP('1.DATOS-PROD'!BA$2,'1.PUNTOS'!$A$1:$B$63,2,0),0)</f>
        <v>0</v>
      </c>
      <c r="AS332" s="138">
        <f>IF('1.DATOS-PROD'!BB333="SI",VLOOKUP('1.DATOS-PROD'!BB$2,'1.PUNTOS'!$A$1:$B$63,2,0),0)</f>
        <v>0</v>
      </c>
      <c r="AT332" s="138">
        <f>IF('1.DATOS-PROD'!BC333="SI",VLOOKUP('1.DATOS-PROD'!BC$2,'1.PUNTOS'!$A$1:$B$63,2,0),0)</f>
        <v>0</v>
      </c>
      <c r="AU332" s="138">
        <f>IF('1.DATOS-PROD'!BD333="SI",VLOOKUP('1.DATOS-PROD'!BD$2,'1.PUNTOS'!$A$1:$B$63,2,0),0)</f>
        <v>0</v>
      </c>
      <c r="AV332" s="138">
        <f>IF('1.DATOS-PROD'!BE333="SI",VLOOKUP('1.DATOS-PROD'!BE$2,'1.PUNTOS'!$A$1:$B$63,2,0),0)</f>
        <v>0</v>
      </c>
      <c r="AW332" s="138">
        <f>IF('1.DATOS-PROD'!BF333="SI",VLOOKUP('1.DATOS-PROD'!BF$2,'1.PUNTOS'!$A$1:$B$63,2,0),0)</f>
        <v>0</v>
      </c>
      <c r="AX332" s="138">
        <f>IF('1.DATOS-PROD'!BG333="SI",VLOOKUP('1.DATOS-PROD'!BG$2,'1.PUNTOS'!$A$1:$B$63,2,0),0)</f>
        <v>0</v>
      </c>
      <c r="AY332" s="138">
        <f>IF('1.DATOS-PROD'!BH333="SI",VLOOKUP('1.DATOS-PROD'!BH$2,'1.PUNTOS'!$A$1:$B$63,2,0),0)</f>
        <v>0</v>
      </c>
      <c r="AZ332" s="138">
        <f>IF('1.DATOS-PROD'!BI333="SI",VLOOKUP('1.DATOS-PROD'!BI$2,'1.PUNTOS'!$A$1:$B$63,2,0),0)</f>
        <v>0</v>
      </c>
      <c r="BA332" s="138">
        <f>IF('1.DATOS-PROD'!BJ333="SI",VLOOKUP('1.DATOS-PROD'!BJ$2,'1.PUNTOS'!$A$1:$B$63,2,0),0)</f>
        <v>0</v>
      </c>
      <c r="BB332" s="138">
        <f>IF('1.DATOS-PROD'!BK333="SI",VLOOKUP('1.DATOS-PROD'!BK$2,'1.PUNTOS'!$A$1:$B$63,2,0),0)</f>
        <v>0</v>
      </c>
      <c r="BC332" s="138">
        <f>IF('1.DATOS-PROD'!BL333="SI",VLOOKUP('1.DATOS-PROD'!BL$2,'1.PUNTOS'!$A$1:$B$63,2,0),0)</f>
        <v>0</v>
      </c>
      <c r="BD332" s="138">
        <f>IF('1.DATOS-PROD'!BM333="SI",VLOOKUP('1.DATOS-PROD'!BM$2,'1.PUNTOS'!$A$1:$B$63,2,0),0)</f>
        <v>0</v>
      </c>
      <c r="BE332" s="138">
        <f>IF('1.DATOS-PROD'!BN333="SI",VLOOKUP('1.DATOS-PROD'!BN$2,'1.PUNTOS'!$A$1:$B$63,2,0),0)</f>
        <v>0</v>
      </c>
      <c r="BF332" s="138">
        <f>IF('1.DATOS-PROD'!BO333="SI",VLOOKUP('1.DATOS-PROD'!BO$2,'1.PUNTOS'!$A$1:$B$63,2,0),0)</f>
        <v>0</v>
      </c>
      <c r="BG332" s="138">
        <f>IF('1.DATOS-PROD'!BP333="SI",VLOOKUP('1.DATOS-PROD'!BP$2,'1.PUNTOS'!$A$1:$B$63,2,0),0)</f>
        <v>0</v>
      </c>
      <c r="BH332" s="138">
        <f>IF('1.DATOS-PROD'!BQ333="SI",VLOOKUP('1.DATOS-PROD'!BQ$2,'1.PUNTOS'!$A$1:$B$63,2,0),0)</f>
        <v>0</v>
      </c>
      <c r="BI332" s="138">
        <f>IF('1.DATOS-PROD'!BR333="SI",VLOOKUP('1.DATOS-PROD'!BR$2,'1.PUNTOS'!$A$1:$B$63,2,0),0)</f>
        <v>0</v>
      </c>
      <c r="BJ332" s="138">
        <f>IF('1.DATOS-PROD'!BS333="SI",VLOOKUP('1.DATOS-PROD'!BS$2,'1.PUNTOS'!$A$1:$B$63,2,0),0)</f>
        <v>0</v>
      </c>
      <c r="BK332" s="138">
        <f>IF('1.DATOS-PROD'!BT333="SI",VLOOKUP('1.DATOS-PROD'!BT$2,'1.PUNTOS'!$A$1:$B$63,2,0),0)</f>
        <v>0</v>
      </c>
    </row>
    <row r="333" spans="1:63" x14ac:dyDescent="0.25">
      <c r="A333">
        <f>'0.Consolidado general'!$A334</f>
        <v>0</v>
      </c>
      <c r="B333" s="138">
        <f>IF('1.DATOS-PROD'!K334="SI",VLOOKUP('1.DATOS-PROD'!K$2,'1.PUNTOS'!$A$1:$B$63,2,0),0)</f>
        <v>0</v>
      </c>
      <c r="C333" s="138">
        <f>IF('1.DATOS-PROD'!L334="SI",VLOOKUP('1.DATOS-PROD'!L$2,'1.PUNTOS'!$A$1:$B$63,2,0),0)</f>
        <v>0</v>
      </c>
      <c r="D333" s="138">
        <f>IF('1.DATOS-PROD'!M334="SI",VLOOKUP('1.DATOS-PROD'!M$2,'1.PUNTOS'!$A$1:$B$63,2,0),0)</f>
        <v>0</v>
      </c>
      <c r="E333" s="138">
        <f>IF('1.DATOS-PROD'!N334="SI",VLOOKUP('1.DATOS-PROD'!N$2,'1.PUNTOS'!$A$1:$B$63,2,0),0)</f>
        <v>0</v>
      </c>
      <c r="F333" s="138">
        <f>IF('1.DATOS-PROD'!O334="SI",VLOOKUP('1.DATOS-PROD'!O$2,'1.PUNTOS'!$A$1:$B$63,2,0),0)</f>
        <v>0</v>
      </c>
      <c r="G333" s="138">
        <f>IF('1.DATOS-PROD'!P334="SI",VLOOKUP('1.DATOS-PROD'!P$2,'1.PUNTOS'!$A$1:$B$63,2,0),0)</f>
        <v>0</v>
      </c>
      <c r="H333" s="138">
        <f>IF('1.DATOS-PROD'!Q334="SI",VLOOKUP('1.DATOS-PROD'!Q$2,'1.PUNTOS'!$A$1:$B$63,2,0),0)</f>
        <v>0</v>
      </c>
      <c r="I333" s="138">
        <f>IF('1.DATOS-PROD'!R334="SI",VLOOKUP('1.DATOS-PROD'!R$2,'1.PUNTOS'!$A$1:$B$63,2,0),0)</f>
        <v>0</v>
      </c>
      <c r="J333" s="138">
        <f>IF('1.DATOS-PROD'!S334="SI",VLOOKUP('1.DATOS-PROD'!S$2,'1.PUNTOS'!$A$1:$B$63,2,0),0)</f>
        <v>0</v>
      </c>
      <c r="K333" s="138">
        <f>IF('1.DATOS-PROD'!T334="SI",VLOOKUP('1.DATOS-PROD'!T$2,'1.PUNTOS'!$A$1:$B$63,2,0),0)</f>
        <v>0</v>
      </c>
      <c r="L333" s="138">
        <f>IF('1.DATOS-PROD'!U334="SI",VLOOKUP('1.DATOS-PROD'!U$2,'1.PUNTOS'!$A$1:$B$63,2,0),0)</f>
        <v>0</v>
      </c>
      <c r="M333" s="138">
        <f>IF('1.DATOS-PROD'!V334="SI",VLOOKUP('1.DATOS-PROD'!V$2,'1.PUNTOS'!$A$1:$B$63,2,0),0)</f>
        <v>0</v>
      </c>
      <c r="N333" s="138">
        <f>IF('1.DATOS-PROD'!W334="SI",VLOOKUP('1.DATOS-PROD'!W$2,'1.PUNTOS'!$A$1:$B$63,2,0),0)</f>
        <v>0</v>
      </c>
      <c r="O333" s="138">
        <f>IF('1.DATOS-PROD'!X334="SI",VLOOKUP('1.DATOS-PROD'!X$2,'1.PUNTOS'!$A$1:$B$63,2,0),0)</f>
        <v>0</v>
      </c>
      <c r="P333" s="138">
        <f>IF('1.DATOS-PROD'!Y334="SI",VLOOKUP('1.DATOS-PROD'!Y$2,'1.PUNTOS'!$A$1:$B$63,2,0),0)</f>
        <v>0</v>
      </c>
      <c r="Q333" s="138">
        <f>IF('1.DATOS-PROD'!Z334="SI",VLOOKUP('1.DATOS-PROD'!Z$2,'1.PUNTOS'!$A$1:$B$63,2,0),0)</f>
        <v>0</v>
      </c>
      <c r="R333" s="138">
        <f>IF('1.DATOS-PROD'!AA334="SI",VLOOKUP('1.DATOS-PROD'!AA$2,'1.PUNTOS'!$A$1:$B$63,2,0),0)</f>
        <v>0</v>
      </c>
      <c r="S333" s="138">
        <f>IF('1.DATOS-PROD'!AB334="SI",VLOOKUP('1.DATOS-PROD'!AB$2,'1.PUNTOS'!$A$1:$B$63,2,0),0)</f>
        <v>0</v>
      </c>
      <c r="T333" s="138">
        <f>IF('1.DATOS-PROD'!AC334="SI",VLOOKUP('1.DATOS-PROD'!AC$2,'1.PUNTOS'!$A$1:$B$63,2,0),0)</f>
        <v>0</v>
      </c>
      <c r="U333" s="138">
        <f>IF('1.DATOS-PROD'!AD334="SI",VLOOKUP('1.DATOS-PROD'!AD$2,'1.PUNTOS'!$A$1:$B$63,2,0),0)</f>
        <v>0</v>
      </c>
      <c r="V333" s="138">
        <f>IF('1.DATOS-PROD'!AE334="SI",VLOOKUP('1.DATOS-PROD'!AE$2,'1.PUNTOS'!$A$1:$B$63,2,0),0)</f>
        <v>0</v>
      </c>
      <c r="W333" s="138">
        <f>IF('1.DATOS-PROD'!AF334="SI",VLOOKUP('1.DATOS-PROD'!AF$2,'1.PUNTOS'!$A$1:$B$63,2,0),0)</f>
        <v>0</v>
      </c>
      <c r="X333" s="138">
        <f>IF('1.DATOS-PROD'!AG334="SI",VLOOKUP('1.DATOS-PROD'!AG$2,'1.PUNTOS'!$A$1:$B$63,2,0),0)</f>
        <v>0</v>
      </c>
      <c r="Y333" s="138">
        <f>IF('1.DATOS-PROD'!AH334="SI",VLOOKUP('1.DATOS-PROD'!AH$2,'1.PUNTOS'!$A$1:$B$63,2,0),0)</f>
        <v>0</v>
      </c>
      <c r="Z333" s="138">
        <f>IF('1.DATOS-PROD'!AI334="SI",VLOOKUP('1.DATOS-PROD'!AI$2,'1.PUNTOS'!$A$1:$B$63,2,0),0)</f>
        <v>0</v>
      </c>
      <c r="AA333" s="138">
        <f>IF('1.DATOS-PROD'!AJ334="SI",VLOOKUP('1.DATOS-PROD'!AJ$2,'1.PUNTOS'!$A$1:$B$63,2,0),0)</f>
        <v>0</v>
      </c>
      <c r="AB333" s="138">
        <f>IF('1.DATOS-PROD'!AK334="SI",VLOOKUP('1.DATOS-PROD'!AK$2,'1.PUNTOS'!$A$1:$B$63,2,0),0)</f>
        <v>0</v>
      </c>
      <c r="AC333" s="138">
        <f>IF('1.DATOS-PROD'!AL334="SI",VLOOKUP('1.DATOS-PROD'!AL$2,'1.PUNTOS'!$A$1:$B$63,2,0),0)</f>
        <v>0</v>
      </c>
      <c r="AD333" s="138">
        <f>IF('1.DATOS-PROD'!AM334="SI",VLOOKUP('1.DATOS-PROD'!AM$2,'1.PUNTOS'!$A$1:$B$63,2,0),0)</f>
        <v>0</v>
      </c>
      <c r="AE333" s="138">
        <f>IF('1.DATOS-PROD'!AN334="SI",VLOOKUP('1.DATOS-PROD'!AN$2,'1.PUNTOS'!$A$1:$B$63,2,0),0)</f>
        <v>0</v>
      </c>
      <c r="AF333" s="138">
        <f>IF('1.DATOS-PROD'!AO334="SI",VLOOKUP('1.DATOS-PROD'!AO$2,'1.PUNTOS'!$A$1:$B$63,2,0),0)</f>
        <v>0</v>
      </c>
      <c r="AG333" s="138">
        <f>IF('1.DATOS-PROD'!AP334="SI",VLOOKUP('1.DATOS-PROD'!AP$2,'1.PUNTOS'!$A$1:$B$63,2,0),0)</f>
        <v>0</v>
      </c>
      <c r="AH333" s="138">
        <f>IF('1.DATOS-PROD'!AQ334="SI",VLOOKUP('1.DATOS-PROD'!AQ$2,'1.PUNTOS'!$A$1:$B$63,2,0),0)</f>
        <v>0</v>
      </c>
      <c r="AI333" s="138">
        <f>IF('1.DATOS-PROD'!AR334="SI",VLOOKUP('1.DATOS-PROD'!AR$2,'1.PUNTOS'!$A$1:$B$63,2,0),0)</f>
        <v>0</v>
      </c>
      <c r="AJ333" s="138">
        <f>IF('1.DATOS-PROD'!AS334="SI",VLOOKUP('1.DATOS-PROD'!AS$2,'1.PUNTOS'!$A$1:$B$63,2,0),0)</f>
        <v>0</v>
      </c>
      <c r="AK333" s="138">
        <f>IF('1.DATOS-PROD'!AT334="SI",VLOOKUP('1.DATOS-PROD'!AT$2,'1.PUNTOS'!$A$1:$B$63,2,0),0)</f>
        <v>0</v>
      </c>
      <c r="AL333" s="138">
        <f>IF('1.DATOS-PROD'!AU334="SI",VLOOKUP('1.DATOS-PROD'!AU$2,'1.PUNTOS'!$A$1:$B$63,2,0),0)</f>
        <v>0</v>
      </c>
      <c r="AM333" s="138">
        <f>IF('1.DATOS-PROD'!AV334="SI",VLOOKUP('1.DATOS-PROD'!AV$2,'1.PUNTOS'!$A$1:$B$63,2,0),0)</f>
        <v>0</v>
      </c>
      <c r="AN333" s="138">
        <f>IF('1.DATOS-PROD'!AW334="SI",VLOOKUP('1.DATOS-PROD'!AW$2,'1.PUNTOS'!$A$1:$B$63,2,0),0)</f>
        <v>0</v>
      </c>
      <c r="AO333" s="138">
        <f>IF('1.DATOS-PROD'!AX334="SI",VLOOKUP('1.DATOS-PROD'!AX$2,'1.PUNTOS'!$A$1:$B$63,2,0),0)</f>
        <v>0</v>
      </c>
      <c r="AP333" s="138">
        <f>IF('1.DATOS-PROD'!AY334="SI",VLOOKUP('1.DATOS-PROD'!AY$2,'1.PUNTOS'!$A$1:$B$63,2,0),0)</f>
        <v>0</v>
      </c>
      <c r="AQ333" s="138">
        <f>IF('1.DATOS-PROD'!AZ334="SI",VLOOKUP('1.DATOS-PROD'!AZ$2,'1.PUNTOS'!$A$1:$B$63,2,0),0)</f>
        <v>0</v>
      </c>
      <c r="AR333" s="138">
        <f>IF('1.DATOS-PROD'!BA334="SI",VLOOKUP('1.DATOS-PROD'!BA$2,'1.PUNTOS'!$A$1:$B$63,2,0),0)</f>
        <v>0</v>
      </c>
      <c r="AS333" s="138">
        <f>IF('1.DATOS-PROD'!BB334="SI",VLOOKUP('1.DATOS-PROD'!BB$2,'1.PUNTOS'!$A$1:$B$63,2,0),0)</f>
        <v>0</v>
      </c>
      <c r="AT333" s="138">
        <f>IF('1.DATOS-PROD'!BC334="SI",VLOOKUP('1.DATOS-PROD'!BC$2,'1.PUNTOS'!$A$1:$B$63,2,0),0)</f>
        <v>0</v>
      </c>
      <c r="AU333" s="138">
        <f>IF('1.DATOS-PROD'!BD334="SI",VLOOKUP('1.DATOS-PROD'!BD$2,'1.PUNTOS'!$A$1:$B$63,2,0),0)</f>
        <v>0</v>
      </c>
      <c r="AV333" s="138">
        <f>IF('1.DATOS-PROD'!BE334="SI",VLOOKUP('1.DATOS-PROD'!BE$2,'1.PUNTOS'!$A$1:$B$63,2,0),0)</f>
        <v>0</v>
      </c>
      <c r="AW333" s="138">
        <f>IF('1.DATOS-PROD'!BF334="SI",VLOOKUP('1.DATOS-PROD'!BF$2,'1.PUNTOS'!$A$1:$B$63,2,0),0)</f>
        <v>0</v>
      </c>
      <c r="AX333" s="138">
        <f>IF('1.DATOS-PROD'!BG334="SI",VLOOKUP('1.DATOS-PROD'!BG$2,'1.PUNTOS'!$A$1:$B$63,2,0),0)</f>
        <v>0</v>
      </c>
      <c r="AY333" s="138">
        <f>IF('1.DATOS-PROD'!BH334="SI",VLOOKUP('1.DATOS-PROD'!BH$2,'1.PUNTOS'!$A$1:$B$63,2,0),0)</f>
        <v>0</v>
      </c>
      <c r="AZ333" s="138">
        <f>IF('1.DATOS-PROD'!BI334="SI",VLOOKUP('1.DATOS-PROD'!BI$2,'1.PUNTOS'!$A$1:$B$63,2,0),0)</f>
        <v>0</v>
      </c>
      <c r="BA333" s="138">
        <f>IF('1.DATOS-PROD'!BJ334="SI",VLOOKUP('1.DATOS-PROD'!BJ$2,'1.PUNTOS'!$A$1:$B$63,2,0),0)</f>
        <v>0</v>
      </c>
      <c r="BB333" s="138">
        <f>IF('1.DATOS-PROD'!BK334="SI",VLOOKUP('1.DATOS-PROD'!BK$2,'1.PUNTOS'!$A$1:$B$63,2,0),0)</f>
        <v>0</v>
      </c>
      <c r="BC333" s="138">
        <f>IF('1.DATOS-PROD'!BL334="SI",VLOOKUP('1.DATOS-PROD'!BL$2,'1.PUNTOS'!$A$1:$B$63,2,0),0)</f>
        <v>0</v>
      </c>
      <c r="BD333" s="138">
        <f>IF('1.DATOS-PROD'!BM334="SI",VLOOKUP('1.DATOS-PROD'!BM$2,'1.PUNTOS'!$A$1:$B$63,2,0),0)</f>
        <v>0</v>
      </c>
      <c r="BE333" s="138">
        <f>IF('1.DATOS-PROD'!BN334="SI",VLOOKUP('1.DATOS-PROD'!BN$2,'1.PUNTOS'!$A$1:$B$63,2,0),0)</f>
        <v>0</v>
      </c>
      <c r="BF333" s="138">
        <f>IF('1.DATOS-PROD'!BO334="SI",VLOOKUP('1.DATOS-PROD'!BO$2,'1.PUNTOS'!$A$1:$B$63,2,0),0)</f>
        <v>0</v>
      </c>
      <c r="BG333" s="138">
        <f>IF('1.DATOS-PROD'!BP334="SI",VLOOKUP('1.DATOS-PROD'!BP$2,'1.PUNTOS'!$A$1:$B$63,2,0),0)</f>
        <v>0</v>
      </c>
      <c r="BH333" s="138">
        <f>IF('1.DATOS-PROD'!BQ334="SI",VLOOKUP('1.DATOS-PROD'!BQ$2,'1.PUNTOS'!$A$1:$B$63,2,0),0)</f>
        <v>0</v>
      </c>
      <c r="BI333" s="138">
        <f>IF('1.DATOS-PROD'!BR334="SI",VLOOKUP('1.DATOS-PROD'!BR$2,'1.PUNTOS'!$A$1:$B$63,2,0),0)</f>
        <v>0</v>
      </c>
      <c r="BJ333" s="138">
        <f>IF('1.DATOS-PROD'!BS334="SI",VLOOKUP('1.DATOS-PROD'!BS$2,'1.PUNTOS'!$A$1:$B$63,2,0),0)</f>
        <v>0</v>
      </c>
      <c r="BK333" s="138">
        <f>IF('1.DATOS-PROD'!BT334="SI",VLOOKUP('1.DATOS-PROD'!BT$2,'1.PUNTOS'!$A$1:$B$63,2,0),0)</f>
        <v>0</v>
      </c>
    </row>
    <row r="334" spans="1:63" x14ac:dyDescent="0.25">
      <c r="A334">
        <f>'0.Consolidado general'!$A335</f>
        <v>0</v>
      </c>
      <c r="B334" s="138">
        <f>IF('1.DATOS-PROD'!K335="SI",VLOOKUP('1.DATOS-PROD'!K$2,'1.PUNTOS'!$A$1:$B$63,2,0),0)</f>
        <v>0</v>
      </c>
      <c r="C334" s="138">
        <f>IF('1.DATOS-PROD'!L335="SI",VLOOKUP('1.DATOS-PROD'!L$2,'1.PUNTOS'!$A$1:$B$63,2,0),0)</f>
        <v>0</v>
      </c>
      <c r="D334" s="138">
        <f>IF('1.DATOS-PROD'!M335="SI",VLOOKUP('1.DATOS-PROD'!M$2,'1.PUNTOS'!$A$1:$B$63,2,0),0)</f>
        <v>0</v>
      </c>
      <c r="E334" s="138">
        <f>IF('1.DATOS-PROD'!N335="SI",VLOOKUP('1.DATOS-PROD'!N$2,'1.PUNTOS'!$A$1:$B$63,2,0),0)</f>
        <v>0</v>
      </c>
      <c r="F334" s="138">
        <f>IF('1.DATOS-PROD'!O335="SI",VLOOKUP('1.DATOS-PROD'!O$2,'1.PUNTOS'!$A$1:$B$63,2,0),0)</f>
        <v>0</v>
      </c>
      <c r="G334" s="138">
        <f>IF('1.DATOS-PROD'!P335="SI",VLOOKUP('1.DATOS-PROD'!P$2,'1.PUNTOS'!$A$1:$B$63,2,0),0)</f>
        <v>0</v>
      </c>
      <c r="H334" s="138">
        <f>IF('1.DATOS-PROD'!Q335="SI",VLOOKUP('1.DATOS-PROD'!Q$2,'1.PUNTOS'!$A$1:$B$63,2,0),0)</f>
        <v>0</v>
      </c>
      <c r="I334" s="138">
        <f>IF('1.DATOS-PROD'!R335="SI",VLOOKUP('1.DATOS-PROD'!R$2,'1.PUNTOS'!$A$1:$B$63,2,0),0)</f>
        <v>0</v>
      </c>
      <c r="J334" s="138">
        <f>IF('1.DATOS-PROD'!S335="SI",VLOOKUP('1.DATOS-PROD'!S$2,'1.PUNTOS'!$A$1:$B$63,2,0),0)</f>
        <v>0</v>
      </c>
      <c r="K334" s="138">
        <f>IF('1.DATOS-PROD'!T335="SI",VLOOKUP('1.DATOS-PROD'!T$2,'1.PUNTOS'!$A$1:$B$63,2,0),0)</f>
        <v>0</v>
      </c>
      <c r="L334" s="138">
        <f>IF('1.DATOS-PROD'!U335="SI",VLOOKUP('1.DATOS-PROD'!U$2,'1.PUNTOS'!$A$1:$B$63,2,0),0)</f>
        <v>0</v>
      </c>
      <c r="M334" s="138">
        <f>IF('1.DATOS-PROD'!V335="SI",VLOOKUP('1.DATOS-PROD'!V$2,'1.PUNTOS'!$A$1:$B$63,2,0),0)</f>
        <v>0</v>
      </c>
      <c r="N334" s="138">
        <f>IF('1.DATOS-PROD'!W335="SI",VLOOKUP('1.DATOS-PROD'!W$2,'1.PUNTOS'!$A$1:$B$63,2,0),0)</f>
        <v>0</v>
      </c>
      <c r="O334" s="138">
        <f>IF('1.DATOS-PROD'!X335="SI",VLOOKUP('1.DATOS-PROD'!X$2,'1.PUNTOS'!$A$1:$B$63,2,0),0)</f>
        <v>0</v>
      </c>
      <c r="P334" s="138">
        <f>IF('1.DATOS-PROD'!Y335="SI",VLOOKUP('1.DATOS-PROD'!Y$2,'1.PUNTOS'!$A$1:$B$63,2,0),0)</f>
        <v>0</v>
      </c>
      <c r="Q334" s="138">
        <f>IF('1.DATOS-PROD'!Z335="SI",VLOOKUP('1.DATOS-PROD'!Z$2,'1.PUNTOS'!$A$1:$B$63,2,0),0)</f>
        <v>0</v>
      </c>
      <c r="R334" s="138">
        <f>IF('1.DATOS-PROD'!AA335="SI",VLOOKUP('1.DATOS-PROD'!AA$2,'1.PUNTOS'!$A$1:$B$63,2,0),0)</f>
        <v>0</v>
      </c>
      <c r="S334" s="138">
        <f>IF('1.DATOS-PROD'!AB335="SI",VLOOKUP('1.DATOS-PROD'!AB$2,'1.PUNTOS'!$A$1:$B$63,2,0),0)</f>
        <v>0</v>
      </c>
      <c r="T334" s="138">
        <f>IF('1.DATOS-PROD'!AC335="SI",VLOOKUP('1.DATOS-PROD'!AC$2,'1.PUNTOS'!$A$1:$B$63,2,0),0)</f>
        <v>0</v>
      </c>
      <c r="U334" s="138">
        <f>IF('1.DATOS-PROD'!AD335="SI",VLOOKUP('1.DATOS-PROD'!AD$2,'1.PUNTOS'!$A$1:$B$63,2,0),0)</f>
        <v>0</v>
      </c>
      <c r="V334" s="138">
        <f>IF('1.DATOS-PROD'!AE335="SI",VLOOKUP('1.DATOS-PROD'!AE$2,'1.PUNTOS'!$A$1:$B$63,2,0),0)</f>
        <v>0</v>
      </c>
      <c r="W334" s="138">
        <f>IF('1.DATOS-PROD'!AF335="SI",VLOOKUP('1.DATOS-PROD'!AF$2,'1.PUNTOS'!$A$1:$B$63,2,0),0)</f>
        <v>0</v>
      </c>
      <c r="X334" s="138">
        <f>IF('1.DATOS-PROD'!AG335="SI",VLOOKUP('1.DATOS-PROD'!AG$2,'1.PUNTOS'!$A$1:$B$63,2,0),0)</f>
        <v>0</v>
      </c>
      <c r="Y334" s="138">
        <f>IF('1.DATOS-PROD'!AH335="SI",VLOOKUP('1.DATOS-PROD'!AH$2,'1.PUNTOS'!$A$1:$B$63,2,0),0)</f>
        <v>0</v>
      </c>
      <c r="Z334" s="138">
        <f>IF('1.DATOS-PROD'!AI335="SI",VLOOKUP('1.DATOS-PROD'!AI$2,'1.PUNTOS'!$A$1:$B$63,2,0),0)</f>
        <v>0</v>
      </c>
      <c r="AA334" s="138">
        <f>IF('1.DATOS-PROD'!AJ335="SI",VLOOKUP('1.DATOS-PROD'!AJ$2,'1.PUNTOS'!$A$1:$B$63,2,0),0)</f>
        <v>0</v>
      </c>
      <c r="AB334" s="138">
        <f>IF('1.DATOS-PROD'!AK335="SI",VLOOKUP('1.DATOS-PROD'!AK$2,'1.PUNTOS'!$A$1:$B$63,2,0),0)</f>
        <v>0</v>
      </c>
      <c r="AC334" s="138">
        <f>IF('1.DATOS-PROD'!AL335="SI",VLOOKUP('1.DATOS-PROD'!AL$2,'1.PUNTOS'!$A$1:$B$63,2,0),0)</f>
        <v>0</v>
      </c>
      <c r="AD334" s="138">
        <f>IF('1.DATOS-PROD'!AM335="SI",VLOOKUP('1.DATOS-PROD'!AM$2,'1.PUNTOS'!$A$1:$B$63,2,0),0)</f>
        <v>0</v>
      </c>
      <c r="AE334" s="138">
        <f>IF('1.DATOS-PROD'!AN335="SI",VLOOKUP('1.DATOS-PROD'!AN$2,'1.PUNTOS'!$A$1:$B$63,2,0),0)</f>
        <v>0</v>
      </c>
      <c r="AF334" s="138">
        <f>IF('1.DATOS-PROD'!AO335="SI",VLOOKUP('1.DATOS-PROD'!AO$2,'1.PUNTOS'!$A$1:$B$63,2,0),0)</f>
        <v>0</v>
      </c>
      <c r="AG334" s="138">
        <f>IF('1.DATOS-PROD'!AP335="SI",VLOOKUP('1.DATOS-PROD'!AP$2,'1.PUNTOS'!$A$1:$B$63,2,0),0)</f>
        <v>0</v>
      </c>
      <c r="AH334" s="138">
        <f>IF('1.DATOS-PROD'!AQ335="SI",VLOOKUP('1.DATOS-PROD'!AQ$2,'1.PUNTOS'!$A$1:$B$63,2,0),0)</f>
        <v>0</v>
      </c>
      <c r="AI334" s="138">
        <f>IF('1.DATOS-PROD'!AR335="SI",VLOOKUP('1.DATOS-PROD'!AR$2,'1.PUNTOS'!$A$1:$B$63,2,0),0)</f>
        <v>0</v>
      </c>
      <c r="AJ334" s="138">
        <f>IF('1.DATOS-PROD'!AS335="SI",VLOOKUP('1.DATOS-PROD'!AS$2,'1.PUNTOS'!$A$1:$B$63,2,0),0)</f>
        <v>0</v>
      </c>
      <c r="AK334" s="138">
        <f>IF('1.DATOS-PROD'!AT335="SI",VLOOKUP('1.DATOS-PROD'!AT$2,'1.PUNTOS'!$A$1:$B$63,2,0),0)</f>
        <v>0</v>
      </c>
      <c r="AL334" s="138">
        <f>IF('1.DATOS-PROD'!AU335="SI",VLOOKUP('1.DATOS-PROD'!AU$2,'1.PUNTOS'!$A$1:$B$63,2,0),0)</f>
        <v>0</v>
      </c>
      <c r="AM334" s="138">
        <f>IF('1.DATOS-PROD'!AV335="SI",VLOOKUP('1.DATOS-PROD'!AV$2,'1.PUNTOS'!$A$1:$B$63,2,0),0)</f>
        <v>0</v>
      </c>
      <c r="AN334" s="138">
        <f>IF('1.DATOS-PROD'!AW335="SI",VLOOKUP('1.DATOS-PROD'!AW$2,'1.PUNTOS'!$A$1:$B$63,2,0),0)</f>
        <v>0</v>
      </c>
      <c r="AO334" s="138">
        <f>IF('1.DATOS-PROD'!AX335="SI",VLOOKUP('1.DATOS-PROD'!AX$2,'1.PUNTOS'!$A$1:$B$63,2,0),0)</f>
        <v>0</v>
      </c>
      <c r="AP334" s="138">
        <f>IF('1.DATOS-PROD'!AY335="SI",VLOOKUP('1.DATOS-PROD'!AY$2,'1.PUNTOS'!$A$1:$B$63,2,0),0)</f>
        <v>0</v>
      </c>
      <c r="AQ334" s="138">
        <f>IF('1.DATOS-PROD'!AZ335="SI",VLOOKUP('1.DATOS-PROD'!AZ$2,'1.PUNTOS'!$A$1:$B$63,2,0),0)</f>
        <v>0</v>
      </c>
      <c r="AR334" s="138">
        <f>IF('1.DATOS-PROD'!BA335="SI",VLOOKUP('1.DATOS-PROD'!BA$2,'1.PUNTOS'!$A$1:$B$63,2,0),0)</f>
        <v>0</v>
      </c>
      <c r="AS334" s="138">
        <f>IF('1.DATOS-PROD'!BB335="SI",VLOOKUP('1.DATOS-PROD'!BB$2,'1.PUNTOS'!$A$1:$B$63,2,0),0)</f>
        <v>0</v>
      </c>
      <c r="AT334" s="138">
        <f>IF('1.DATOS-PROD'!BC335="SI",VLOOKUP('1.DATOS-PROD'!BC$2,'1.PUNTOS'!$A$1:$B$63,2,0),0)</f>
        <v>0</v>
      </c>
      <c r="AU334" s="138">
        <f>IF('1.DATOS-PROD'!BD335="SI",VLOOKUP('1.DATOS-PROD'!BD$2,'1.PUNTOS'!$A$1:$B$63,2,0),0)</f>
        <v>0</v>
      </c>
      <c r="AV334" s="138">
        <f>IF('1.DATOS-PROD'!BE335="SI",VLOOKUP('1.DATOS-PROD'!BE$2,'1.PUNTOS'!$A$1:$B$63,2,0),0)</f>
        <v>0</v>
      </c>
      <c r="AW334" s="138">
        <f>IF('1.DATOS-PROD'!BF335="SI",VLOOKUP('1.DATOS-PROD'!BF$2,'1.PUNTOS'!$A$1:$B$63,2,0),0)</f>
        <v>0</v>
      </c>
      <c r="AX334" s="138">
        <f>IF('1.DATOS-PROD'!BG335="SI",VLOOKUP('1.DATOS-PROD'!BG$2,'1.PUNTOS'!$A$1:$B$63,2,0),0)</f>
        <v>0</v>
      </c>
      <c r="AY334" s="138">
        <f>IF('1.DATOS-PROD'!BH335="SI",VLOOKUP('1.DATOS-PROD'!BH$2,'1.PUNTOS'!$A$1:$B$63,2,0),0)</f>
        <v>0</v>
      </c>
      <c r="AZ334" s="138">
        <f>IF('1.DATOS-PROD'!BI335="SI",VLOOKUP('1.DATOS-PROD'!BI$2,'1.PUNTOS'!$A$1:$B$63,2,0),0)</f>
        <v>0</v>
      </c>
      <c r="BA334" s="138">
        <f>IF('1.DATOS-PROD'!BJ335="SI",VLOOKUP('1.DATOS-PROD'!BJ$2,'1.PUNTOS'!$A$1:$B$63,2,0),0)</f>
        <v>0</v>
      </c>
      <c r="BB334" s="138">
        <f>IF('1.DATOS-PROD'!BK335="SI",VLOOKUP('1.DATOS-PROD'!BK$2,'1.PUNTOS'!$A$1:$B$63,2,0),0)</f>
        <v>0</v>
      </c>
      <c r="BC334" s="138">
        <f>IF('1.DATOS-PROD'!BL335="SI",VLOOKUP('1.DATOS-PROD'!BL$2,'1.PUNTOS'!$A$1:$B$63,2,0),0)</f>
        <v>0</v>
      </c>
      <c r="BD334" s="138">
        <f>IF('1.DATOS-PROD'!BM335="SI",VLOOKUP('1.DATOS-PROD'!BM$2,'1.PUNTOS'!$A$1:$B$63,2,0),0)</f>
        <v>0</v>
      </c>
      <c r="BE334" s="138">
        <f>IF('1.DATOS-PROD'!BN335="SI",VLOOKUP('1.DATOS-PROD'!BN$2,'1.PUNTOS'!$A$1:$B$63,2,0),0)</f>
        <v>0</v>
      </c>
      <c r="BF334" s="138">
        <f>IF('1.DATOS-PROD'!BO335="SI",VLOOKUP('1.DATOS-PROD'!BO$2,'1.PUNTOS'!$A$1:$B$63,2,0),0)</f>
        <v>0</v>
      </c>
      <c r="BG334" s="138">
        <f>IF('1.DATOS-PROD'!BP335="SI",VLOOKUP('1.DATOS-PROD'!BP$2,'1.PUNTOS'!$A$1:$B$63,2,0),0)</f>
        <v>0</v>
      </c>
      <c r="BH334" s="138">
        <f>IF('1.DATOS-PROD'!BQ335="SI",VLOOKUP('1.DATOS-PROD'!BQ$2,'1.PUNTOS'!$A$1:$B$63,2,0),0)</f>
        <v>0</v>
      </c>
      <c r="BI334" s="138">
        <f>IF('1.DATOS-PROD'!BR335="SI",VLOOKUP('1.DATOS-PROD'!BR$2,'1.PUNTOS'!$A$1:$B$63,2,0),0)</f>
        <v>0</v>
      </c>
      <c r="BJ334" s="138">
        <f>IF('1.DATOS-PROD'!BS335="SI",VLOOKUP('1.DATOS-PROD'!BS$2,'1.PUNTOS'!$A$1:$B$63,2,0),0)</f>
        <v>0</v>
      </c>
      <c r="BK334" s="138">
        <f>IF('1.DATOS-PROD'!BT335="SI",VLOOKUP('1.DATOS-PROD'!BT$2,'1.PUNTOS'!$A$1:$B$63,2,0),0)</f>
        <v>0</v>
      </c>
    </row>
    <row r="335" spans="1:63" x14ac:dyDescent="0.25">
      <c r="A335">
        <f>'0.Consolidado general'!$A336</f>
        <v>0</v>
      </c>
      <c r="B335" s="138">
        <f>IF('1.DATOS-PROD'!K336="SI",VLOOKUP('1.DATOS-PROD'!K$2,'1.PUNTOS'!$A$1:$B$63,2,0),0)</f>
        <v>0</v>
      </c>
      <c r="C335" s="138">
        <f>IF('1.DATOS-PROD'!L336="SI",VLOOKUP('1.DATOS-PROD'!L$2,'1.PUNTOS'!$A$1:$B$63,2,0),0)</f>
        <v>0</v>
      </c>
      <c r="D335" s="138">
        <f>IF('1.DATOS-PROD'!M336="SI",VLOOKUP('1.DATOS-PROD'!M$2,'1.PUNTOS'!$A$1:$B$63,2,0),0)</f>
        <v>0</v>
      </c>
      <c r="E335" s="138">
        <f>IF('1.DATOS-PROD'!N336="SI",VLOOKUP('1.DATOS-PROD'!N$2,'1.PUNTOS'!$A$1:$B$63,2,0),0)</f>
        <v>0</v>
      </c>
      <c r="F335" s="138">
        <f>IF('1.DATOS-PROD'!O336="SI",VLOOKUP('1.DATOS-PROD'!O$2,'1.PUNTOS'!$A$1:$B$63,2,0),0)</f>
        <v>0</v>
      </c>
      <c r="G335" s="138">
        <f>IF('1.DATOS-PROD'!P336="SI",VLOOKUP('1.DATOS-PROD'!P$2,'1.PUNTOS'!$A$1:$B$63,2,0),0)</f>
        <v>0</v>
      </c>
      <c r="H335" s="138">
        <f>IF('1.DATOS-PROD'!Q336="SI",VLOOKUP('1.DATOS-PROD'!Q$2,'1.PUNTOS'!$A$1:$B$63,2,0),0)</f>
        <v>0</v>
      </c>
      <c r="I335" s="138">
        <f>IF('1.DATOS-PROD'!R336="SI",VLOOKUP('1.DATOS-PROD'!R$2,'1.PUNTOS'!$A$1:$B$63,2,0),0)</f>
        <v>0</v>
      </c>
      <c r="J335" s="138">
        <f>IF('1.DATOS-PROD'!S336="SI",VLOOKUP('1.DATOS-PROD'!S$2,'1.PUNTOS'!$A$1:$B$63,2,0),0)</f>
        <v>0</v>
      </c>
      <c r="K335" s="138">
        <f>IF('1.DATOS-PROD'!T336="SI",VLOOKUP('1.DATOS-PROD'!T$2,'1.PUNTOS'!$A$1:$B$63,2,0),0)</f>
        <v>0</v>
      </c>
      <c r="L335" s="138">
        <f>IF('1.DATOS-PROD'!U336="SI",VLOOKUP('1.DATOS-PROD'!U$2,'1.PUNTOS'!$A$1:$B$63,2,0),0)</f>
        <v>0</v>
      </c>
      <c r="M335" s="138">
        <f>IF('1.DATOS-PROD'!V336="SI",VLOOKUP('1.DATOS-PROD'!V$2,'1.PUNTOS'!$A$1:$B$63,2,0),0)</f>
        <v>0</v>
      </c>
      <c r="N335" s="138">
        <f>IF('1.DATOS-PROD'!W336="SI",VLOOKUP('1.DATOS-PROD'!W$2,'1.PUNTOS'!$A$1:$B$63,2,0),0)</f>
        <v>0</v>
      </c>
      <c r="O335" s="138">
        <f>IF('1.DATOS-PROD'!X336="SI",VLOOKUP('1.DATOS-PROD'!X$2,'1.PUNTOS'!$A$1:$B$63,2,0),0)</f>
        <v>0</v>
      </c>
      <c r="P335" s="138">
        <f>IF('1.DATOS-PROD'!Y336="SI",VLOOKUP('1.DATOS-PROD'!Y$2,'1.PUNTOS'!$A$1:$B$63,2,0),0)</f>
        <v>0</v>
      </c>
      <c r="Q335" s="138">
        <f>IF('1.DATOS-PROD'!Z336="SI",VLOOKUP('1.DATOS-PROD'!Z$2,'1.PUNTOS'!$A$1:$B$63,2,0),0)</f>
        <v>0</v>
      </c>
      <c r="R335" s="138">
        <f>IF('1.DATOS-PROD'!AA336="SI",VLOOKUP('1.DATOS-PROD'!AA$2,'1.PUNTOS'!$A$1:$B$63,2,0),0)</f>
        <v>0</v>
      </c>
      <c r="S335" s="138">
        <f>IF('1.DATOS-PROD'!AB336="SI",VLOOKUP('1.DATOS-PROD'!AB$2,'1.PUNTOS'!$A$1:$B$63,2,0),0)</f>
        <v>0</v>
      </c>
      <c r="T335" s="138">
        <f>IF('1.DATOS-PROD'!AC336="SI",VLOOKUP('1.DATOS-PROD'!AC$2,'1.PUNTOS'!$A$1:$B$63,2,0),0)</f>
        <v>0</v>
      </c>
      <c r="U335" s="138">
        <f>IF('1.DATOS-PROD'!AD336="SI",VLOOKUP('1.DATOS-PROD'!AD$2,'1.PUNTOS'!$A$1:$B$63,2,0),0)</f>
        <v>0</v>
      </c>
      <c r="V335" s="138">
        <f>IF('1.DATOS-PROD'!AE336="SI",VLOOKUP('1.DATOS-PROD'!AE$2,'1.PUNTOS'!$A$1:$B$63,2,0),0)</f>
        <v>0</v>
      </c>
      <c r="W335" s="138">
        <f>IF('1.DATOS-PROD'!AF336="SI",VLOOKUP('1.DATOS-PROD'!AF$2,'1.PUNTOS'!$A$1:$B$63,2,0),0)</f>
        <v>0</v>
      </c>
      <c r="X335" s="138">
        <f>IF('1.DATOS-PROD'!AG336="SI",VLOOKUP('1.DATOS-PROD'!AG$2,'1.PUNTOS'!$A$1:$B$63,2,0),0)</f>
        <v>0</v>
      </c>
      <c r="Y335" s="138">
        <f>IF('1.DATOS-PROD'!AH336="SI",VLOOKUP('1.DATOS-PROD'!AH$2,'1.PUNTOS'!$A$1:$B$63,2,0),0)</f>
        <v>0</v>
      </c>
      <c r="Z335" s="138">
        <f>IF('1.DATOS-PROD'!AI336="SI",VLOOKUP('1.DATOS-PROD'!AI$2,'1.PUNTOS'!$A$1:$B$63,2,0),0)</f>
        <v>0</v>
      </c>
      <c r="AA335" s="138">
        <f>IF('1.DATOS-PROD'!AJ336="SI",VLOOKUP('1.DATOS-PROD'!AJ$2,'1.PUNTOS'!$A$1:$B$63,2,0),0)</f>
        <v>0</v>
      </c>
      <c r="AB335" s="138">
        <f>IF('1.DATOS-PROD'!AK336="SI",VLOOKUP('1.DATOS-PROD'!AK$2,'1.PUNTOS'!$A$1:$B$63,2,0),0)</f>
        <v>0</v>
      </c>
      <c r="AC335" s="138">
        <f>IF('1.DATOS-PROD'!AL336="SI",VLOOKUP('1.DATOS-PROD'!AL$2,'1.PUNTOS'!$A$1:$B$63,2,0),0)</f>
        <v>0</v>
      </c>
      <c r="AD335" s="138">
        <f>IF('1.DATOS-PROD'!AM336="SI",VLOOKUP('1.DATOS-PROD'!AM$2,'1.PUNTOS'!$A$1:$B$63,2,0),0)</f>
        <v>0</v>
      </c>
      <c r="AE335" s="138">
        <f>IF('1.DATOS-PROD'!AN336="SI",VLOOKUP('1.DATOS-PROD'!AN$2,'1.PUNTOS'!$A$1:$B$63,2,0),0)</f>
        <v>0</v>
      </c>
      <c r="AF335" s="138">
        <f>IF('1.DATOS-PROD'!AO336="SI",VLOOKUP('1.DATOS-PROD'!AO$2,'1.PUNTOS'!$A$1:$B$63,2,0),0)</f>
        <v>0</v>
      </c>
      <c r="AG335" s="138">
        <f>IF('1.DATOS-PROD'!AP336="SI",VLOOKUP('1.DATOS-PROD'!AP$2,'1.PUNTOS'!$A$1:$B$63,2,0),0)</f>
        <v>0</v>
      </c>
      <c r="AH335" s="138">
        <f>IF('1.DATOS-PROD'!AQ336="SI",VLOOKUP('1.DATOS-PROD'!AQ$2,'1.PUNTOS'!$A$1:$B$63,2,0),0)</f>
        <v>0</v>
      </c>
      <c r="AI335" s="138">
        <f>IF('1.DATOS-PROD'!AR336="SI",VLOOKUP('1.DATOS-PROD'!AR$2,'1.PUNTOS'!$A$1:$B$63,2,0),0)</f>
        <v>0</v>
      </c>
      <c r="AJ335" s="138">
        <f>IF('1.DATOS-PROD'!AS336="SI",VLOOKUP('1.DATOS-PROD'!AS$2,'1.PUNTOS'!$A$1:$B$63,2,0),0)</f>
        <v>0</v>
      </c>
      <c r="AK335" s="138">
        <f>IF('1.DATOS-PROD'!AT336="SI",VLOOKUP('1.DATOS-PROD'!AT$2,'1.PUNTOS'!$A$1:$B$63,2,0),0)</f>
        <v>0</v>
      </c>
      <c r="AL335" s="138">
        <f>IF('1.DATOS-PROD'!AU336="SI",VLOOKUP('1.DATOS-PROD'!AU$2,'1.PUNTOS'!$A$1:$B$63,2,0),0)</f>
        <v>0</v>
      </c>
      <c r="AM335" s="138">
        <f>IF('1.DATOS-PROD'!AV336="SI",VLOOKUP('1.DATOS-PROD'!AV$2,'1.PUNTOS'!$A$1:$B$63,2,0),0)</f>
        <v>0</v>
      </c>
      <c r="AN335" s="138">
        <f>IF('1.DATOS-PROD'!AW336="SI",VLOOKUP('1.DATOS-PROD'!AW$2,'1.PUNTOS'!$A$1:$B$63,2,0),0)</f>
        <v>0</v>
      </c>
      <c r="AO335" s="138">
        <f>IF('1.DATOS-PROD'!AX336="SI",VLOOKUP('1.DATOS-PROD'!AX$2,'1.PUNTOS'!$A$1:$B$63,2,0),0)</f>
        <v>0</v>
      </c>
      <c r="AP335" s="138">
        <f>IF('1.DATOS-PROD'!AY336="SI",VLOOKUP('1.DATOS-PROD'!AY$2,'1.PUNTOS'!$A$1:$B$63,2,0),0)</f>
        <v>0</v>
      </c>
      <c r="AQ335" s="138">
        <f>IF('1.DATOS-PROD'!AZ336="SI",VLOOKUP('1.DATOS-PROD'!AZ$2,'1.PUNTOS'!$A$1:$B$63,2,0),0)</f>
        <v>0</v>
      </c>
      <c r="AR335" s="138">
        <f>IF('1.DATOS-PROD'!BA336="SI",VLOOKUP('1.DATOS-PROD'!BA$2,'1.PUNTOS'!$A$1:$B$63,2,0),0)</f>
        <v>0</v>
      </c>
      <c r="AS335" s="138">
        <f>IF('1.DATOS-PROD'!BB336="SI",VLOOKUP('1.DATOS-PROD'!BB$2,'1.PUNTOS'!$A$1:$B$63,2,0),0)</f>
        <v>0</v>
      </c>
      <c r="AT335" s="138">
        <f>IF('1.DATOS-PROD'!BC336="SI",VLOOKUP('1.DATOS-PROD'!BC$2,'1.PUNTOS'!$A$1:$B$63,2,0),0)</f>
        <v>0</v>
      </c>
      <c r="AU335" s="138">
        <f>IF('1.DATOS-PROD'!BD336="SI",VLOOKUP('1.DATOS-PROD'!BD$2,'1.PUNTOS'!$A$1:$B$63,2,0),0)</f>
        <v>0</v>
      </c>
      <c r="AV335" s="138">
        <f>IF('1.DATOS-PROD'!BE336="SI",VLOOKUP('1.DATOS-PROD'!BE$2,'1.PUNTOS'!$A$1:$B$63,2,0),0)</f>
        <v>0</v>
      </c>
      <c r="AW335" s="138">
        <f>IF('1.DATOS-PROD'!BF336="SI",VLOOKUP('1.DATOS-PROD'!BF$2,'1.PUNTOS'!$A$1:$B$63,2,0),0)</f>
        <v>0</v>
      </c>
      <c r="AX335" s="138">
        <f>IF('1.DATOS-PROD'!BG336="SI",VLOOKUP('1.DATOS-PROD'!BG$2,'1.PUNTOS'!$A$1:$B$63,2,0),0)</f>
        <v>0</v>
      </c>
      <c r="AY335" s="138">
        <f>IF('1.DATOS-PROD'!BH336="SI",VLOOKUP('1.DATOS-PROD'!BH$2,'1.PUNTOS'!$A$1:$B$63,2,0),0)</f>
        <v>0</v>
      </c>
      <c r="AZ335" s="138">
        <f>IF('1.DATOS-PROD'!BI336="SI",VLOOKUP('1.DATOS-PROD'!BI$2,'1.PUNTOS'!$A$1:$B$63,2,0),0)</f>
        <v>0</v>
      </c>
      <c r="BA335" s="138">
        <f>IF('1.DATOS-PROD'!BJ336="SI",VLOOKUP('1.DATOS-PROD'!BJ$2,'1.PUNTOS'!$A$1:$B$63,2,0),0)</f>
        <v>0</v>
      </c>
      <c r="BB335" s="138">
        <f>IF('1.DATOS-PROD'!BK336="SI",VLOOKUP('1.DATOS-PROD'!BK$2,'1.PUNTOS'!$A$1:$B$63,2,0),0)</f>
        <v>0</v>
      </c>
      <c r="BC335" s="138">
        <f>IF('1.DATOS-PROD'!BL336="SI",VLOOKUP('1.DATOS-PROD'!BL$2,'1.PUNTOS'!$A$1:$B$63,2,0),0)</f>
        <v>0</v>
      </c>
      <c r="BD335" s="138">
        <f>IF('1.DATOS-PROD'!BM336="SI",VLOOKUP('1.DATOS-PROD'!BM$2,'1.PUNTOS'!$A$1:$B$63,2,0),0)</f>
        <v>0</v>
      </c>
      <c r="BE335" s="138">
        <f>IF('1.DATOS-PROD'!BN336="SI",VLOOKUP('1.DATOS-PROD'!BN$2,'1.PUNTOS'!$A$1:$B$63,2,0),0)</f>
        <v>0</v>
      </c>
      <c r="BF335" s="138">
        <f>IF('1.DATOS-PROD'!BO336="SI",VLOOKUP('1.DATOS-PROD'!BO$2,'1.PUNTOS'!$A$1:$B$63,2,0),0)</f>
        <v>0</v>
      </c>
      <c r="BG335" s="138">
        <f>IF('1.DATOS-PROD'!BP336="SI",VLOOKUP('1.DATOS-PROD'!BP$2,'1.PUNTOS'!$A$1:$B$63,2,0),0)</f>
        <v>0</v>
      </c>
      <c r="BH335" s="138">
        <f>IF('1.DATOS-PROD'!BQ336="SI",VLOOKUP('1.DATOS-PROD'!BQ$2,'1.PUNTOS'!$A$1:$B$63,2,0),0)</f>
        <v>0</v>
      </c>
      <c r="BI335" s="138">
        <f>IF('1.DATOS-PROD'!BR336="SI",VLOOKUP('1.DATOS-PROD'!BR$2,'1.PUNTOS'!$A$1:$B$63,2,0),0)</f>
        <v>0</v>
      </c>
      <c r="BJ335" s="138">
        <f>IF('1.DATOS-PROD'!BS336="SI",VLOOKUP('1.DATOS-PROD'!BS$2,'1.PUNTOS'!$A$1:$B$63,2,0),0)</f>
        <v>0</v>
      </c>
      <c r="BK335" s="138">
        <f>IF('1.DATOS-PROD'!BT336="SI",VLOOKUP('1.DATOS-PROD'!BT$2,'1.PUNTOS'!$A$1:$B$63,2,0),0)</f>
        <v>0</v>
      </c>
    </row>
    <row r="336" spans="1:63" x14ac:dyDescent="0.25">
      <c r="A336">
        <f>'0.Consolidado general'!$A337</f>
        <v>0</v>
      </c>
      <c r="B336" s="138">
        <f>IF('1.DATOS-PROD'!K337="SI",VLOOKUP('1.DATOS-PROD'!K$2,'1.PUNTOS'!$A$1:$B$63,2,0),0)</f>
        <v>0</v>
      </c>
      <c r="C336" s="138">
        <f>IF('1.DATOS-PROD'!L337="SI",VLOOKUP('1.DATOS-PROD'!L$2,'1.PUNTOS'!$A$1:$B$63,2,0),0)</f>
        <v>0</v>
      </c>
      <c r="D336" s="138">
        <f>IF('1.DATOS-PROD'!M337="SI",VLOOKUP('1.DATOS-PROD'!M$2,'1.PUNTOS'!$A$1:$B$63,2,0),0)</f>
        <v>0</v>
      </c>
      <c r="E336" s="138">
        <f>IF('1.DATOS-PROD'!N337="SI",VLOOKUP('1.DATOS-PROD'!N$2,'1.PUNTOS'!$A$1:$B$63,2,0),0)</f>
        <v>0</v>
      </c>
      <c r="F336" s="138">
        <f>IF('1.DATOS-PROD'!O337="SI",VLOOKUP('1.DATOS-PROD'!O$2,'1.PUNTOS'!$A$1:$B$63,2,0),0)</f>
        <v>0</v>
      </c>
      <c r="G336" s="138">
        <f>IF('1.DATOS-PROD'!P337="SI",VLOOKUP('1.DATOS-PROD'!P$2,'1.PUNTOS'!$A$1:$B$63,2,0),0)</f>
        <v>0</v>
      </c>
      <c r="H336" s="138">
        <f>IF('1.DATOS-PROD'!Q337="SI",VLOOKUP('1.DATOS-PROD'!Q$2,'1.PUNTOS'!$A$1:$B$63,2,0),0)</f>
        <v>0</v>
      </c>
      <c r="I336" s="138">
        <f>IF('1.DATOS-PROD'!R337="SI",VLOOKUP('1.DATOS-PROD'!R$2,'1.PUNTOS'!$A$1:$B$63,2,0),0)</f>
        <v>0</v>
      </c>
      <c r="J336" s="138">
        <f>IF('1.DATOS-PROD'!S337="SI",VLOOKUP('1.DATOS-PROD'!S$2,'1.PUNTOS'!$A$1:$B$63,2,0),0)</f>
        <v>0</v>
      </c>
      <c r="K336" s="138">
        <f>IF('1.DATOS-PROD'!T337="SI",VLOOKUP('1.DATOS-PROD'!T$2,'1.PUNTOS'!$A$1:$B$63,2,0),0)</f>
        <v>0</v>
      </c>
      <c r="L336" s="138">
        <f>IF('1.DATOS-PROD'!U337="SI",VLOOKUP('1.DATOS-PROD'!U$2,'1.PUNTOS'!$A$1:$B$63,2,0),0)</f>
        <v>0</v>
      </c>
      <c r="M336" s="138">
        <f>IF('1.DATOS-PROD'!V337="SI",VLOOKUP('1.DATOS-PROD'!V$2,'1.PUNTOS'!$A$1:$B$63,2,0),0)</f>
        <v>0</v>
      </c>
      <c r="N336" s="138">
        <f>IF('1.DATOS-PROD'!W337="SI",VLOOKUP('1.DATOS-PROD'!W$2,'1.PUNTOS'!$A$1:$B$63,2,0),0)</f>
        <v>0</v>
      </c>
      <c r="O336" s="138">
        <f>IF('1.DATOS-PROD'!X337="SI",VLOOKUP('1.DATOS-PROD'!X$2,'1.PUNTOS'!$A$1:$B$63,2,0),0)</f>
        <v>0</v>
      </c>
      <c r="P336" s="138">
        <f>IF('1.DATOS-PROD'!Y337="SI",VLOOKUP('1.DATOS-PROD'!Y$2,'1.PUNTOS'!$A$1:$B$63,2,0),0)</f>
        <v>0</v>
      </c>
      <c r="Q336" s="138">
        <f>IF('1.DATOS-PROD'!Z337="SI",VLOOKUP('1.DATOS-PROD'!Z$2,'1.PUNTOS'!$A$1:$B$63,2,0),0)</f>
        <v>0</v>
      </c>
      <c r="R336" s="138">
        <f>IF('1.DATOS-PROD'!AA337="SI",VLOOKUP('1.DATOS-PROD'!AA$2,'1.PUNTOS'!$A$1:$B$63,2,0),0)</f>
        <v>0</v>
      </c>
      <c r="S336" s="138">
        <f>IF('1.DATOS-PROD'!AB337="SI",VLOOKUP('1.DATOS-PROD'!AB$2,'1.PUNTOS'!$A$1:$B$63,2,0),0)</f>
        <v>0</v>
      </c>
      <c r="T336" s="138">
        <f>IF('1.DATOS-PROD'!AC337="SI",VLOOKUP('1.DATOS-PROD'!AC$2,'1.PUNTOS'!$A$1:$B$63,2,0),0)</f>
        <v>0</v>
      </c>
      <c r="U336" s="138">
        <f>IF('1.DATOS-PROD'!AD337="SI",VLOOKUP('1.DATOS-PROD'!AD$2,'1.PUNTOS'!$A$1:$B$63,2,0),0)</f>
        <v>0</v>
      </c>
      <c r="V336" s="138">
        <f>IF('1.DATOS-PROD'!AE337="SI",VLOOKUP('1.DATOS-PROD'!AE$2,'1.PUNTOS'!$A$1:$B$63,2,0),0)</f>
        <v>0</v>
      </c>
      <c r="W336" s="138">
        <f>IF('1.DATOS-PROD'!AF337="SI",VLOOKUP('1.DATOS-PROD'!AF$2,'1.PUNTOS'!$A$1:$B$63,2,0),0)</f>
        <v>0</v>
      </c>
      <c r="X336" s="138">
        <f>IF('1.DATOS-PROD'!AG337="SI",VLOOKUP('1.DATOS-PROD'!AG$2,'1.PUNTOS'!$A$1:$B$63,2,0),0)</f>
        <v>0</v>
      </c>
      <c r="Y336" s="138">
        <f>IF('1.DATOS-PROD'!AH337="SI",VLOOKUP('1.DATOS-PROD'!AH$2,'1.PUNTOS'!$A$1:$B$63,2,0),0)</f>
        <v>0</v>
      </c>
      <c r="Z336" s="138">
        <f>IF('1.DATOS-PROD'!AI337="SI",VLOOKUP('1.DATOS-PROD'!AI$2,'1.PUNTOS'!$A$1:$B$63,2,0),0)</f>
        <v>0</v>
      </c>
      <c r="AA336" s="138">
        <f>IF('1.DATOS-PROD'!AJ337="SI",VLOOKUP('1.DATOS-PROD'!AJ$2,'1.PUNTOS'!$A$1:$B$63,2,0),0)</f>
        <v>0</v>
      </c>
      <c r="AB336" s="138">
        <f>IF('1.DATOS-PROD'!AK337="SI",VLOOKUP('1.DATOS-PROD'!AK$2,'1.PUNTOS'!$A$1:$B$63,2,0),0)</f>
        <v>0</v>
      </c>
      <c r="AC336" s="138">
        <f>IF('1.DATOS-PROD'!AL337="SI",VLOOKUP('1.DATOS-PROD'!AL$2,'1.PUNTOS'!$A$1:$B$63,2,0),0)</f>
        <v>0</v>
      </c>
      <c r="AD336" s="138">
        <f>IF('1.DATOS-PROD'!AM337="SI",VLOOKUP('1.DATOS-PROD'!AM$2,'1.PUNTOS'!$A$1:$B$63,2,0),0)</f>
        <v>0</v>
      </c>
      <c r="AE336" s="138">
        <f>IF('1.DATOS-PROD'!AN337="SI",VLOOKUP('1.DATOS-PROD'!AN$2,'1.PUNTOS'!$A$1:$B$63,2,0),0)</f>
        <v>0</v>
      </c>
      <c r="AF336" s="138">
        <f>IF('1.DATOS-PROD'!AO337="SI",VLOOKUP('1.DATOS-PROD'!AO$2,'1.PUNTOS'!$A$1:$B$63,2,0),0)</f>
        <v>0</v>
      </c>
      <c r="AG336" s="138">
        <f>IF('1.DATOS-PROD'!AP337="SI",VLOOKUP('1.DATOS-PROD'!AP$2,'1.PUNTOS'!$A$1:$B$63,2,0),0)</f>
        <v>0</v>
      </c>
      <c r="AH336" s="138">
        <f>IF('1.DATOS-PROD'!AQ337="SI",VLOOKUP('1.DATOS-PROD'!AQ$2,'1.PUNTOS'!$A$1:$B$63,2,0),0)</f>
        <v>0</v>
      </c>
      <c r="AI336" s="138">
        <f>IF('1.DATOS-PROD'!AR337="SI",VLOOKUP('1.DATOS-PROD'!AR$2,'1.PUNTOS'!$A$1:$B$63,2,0),0)</f>
        <v>0</v>
      </c>
      <c r="AJ336" s="138">
        <f>IF('1.DATOS-PROD'!AS337="SI",VLOOKUP('1.DATOS-PROD'!AS$2,'1.PUNTOS'!$A$1:$B$63,2,0),0)</f>
        <v>0</v>
      </c>
      <c r="AK336" s="138">
        <f>IF('1.DATOS-PROD'!AT337="SI",VLOOKUP('1.DATOS-PROD'!AT$2,'1.PUNTOS'!$A$1:$B$63,2,0),0)</f>
        <v>0</v>
      </c>
      <c r="AL336" s="138">
        <f>IF('1.DATOS-PROD'!AU337="SI",VLOOKUP('1.DATOS-PROD'!AU$2,'1.PUNTOS'!$A$1:$B$63,2,0),0)</f>
        <v>0</v>
      </c>
      <c r="AM336" s="138">
        <f>IF('1.DATOS-PROD'!AV337="SI",VLOOKUP('1.DATOS-PROD'!AV$2,'1.PUNTOS'!$A$1:$B$63,2,0),0)</f>
        <v>0</v>
      </c>
      <c r="AN336" s="138">
        <f>IF('1.DATOS-PROD'!AW337="SI",VLOOKUP('1.DATOS-PROD'!AW$2,'1.PUNTOS'!$A$1:$B$63,2,0),0)</f>
        <v>0</v>
      </c>
      <c r="AO336" s="138">
        <f>IF('1.DATOS-PROD'!AX337="SI",VLOOKUP('1.DATOS-PROD'!AX$2,'1.PUNTOS'!$A$1:$B$63,2,0),0)</f>
        <v>0</v>
      </c>
      <c r="AP336" s="138">
        <f>IF('1.DATOS-PROD'!AY337="SI",VLOOKUP('1.DATOS-PROD'!AY$2,'1.PUNTOS'!$A$1:$B$63,2,0),0)</f>
        <v>0</v>
      </c>
      <c r="AQ336" s="138">
        <f>IF('1.DATOS-PROD'!AZ337="SI",VLOOKUP('1.DATOS-PROD'!AZ$2,'1.PUNTOS'!$A$1:$B$63,2,0),0)</f>
        <v>0</v>
      </c>
      <c r="AR336" s="138">
        <f>IF('1.DATOS-PROD'!BA337="SI",VLOOKUP('1.DATOS-PROD'!BA$2,'1.PUNTOS'!$A$1:$B$63,2,0),0)</f>
        <v>0</v>
      </c>
      <c r="AS336" s="138">
        <f>IF('1.DATOS-PROD'!BB337="SI",VLOOKUP('1.DATOS-PROD'!BB$2,'1.PUNTOS'!$A$1:$B$63,2,0),0)</f>
        <v>0</v>
      </c>
      <c r="AT336" s="138">
        <f>IF('1.DATOS-PROD'!BC337="SI",VLOOKUP('1.DATOS-PROD'!BC$2,'1.PUNTOS'!$A$1:$B$63,2,0),0)</f>
        <v>0</v>
      </c>
      <c r="AU336" s="138">
        <f>IF('1.DATOS-PROD'!BD337="SI",VLOOKUP('1.DATOS-PROD'!BD$2,'1.PUNTOS'!$A$1:$B$63,2,0),0)</f>
        <v>0</v>
      </c>
      <c r="AV336" s="138">
        <f>IF('1.DATOS-PROD'!BE337="SI",VLOOKUP('1.DATOS-PROD'!BE$2,'1.PUNTOS'!$A$1:$B$63,2,0),0)</f>
        <v>0</v>
      </c>
      <c r="AW336" s="138">
        <f>IF('1.DATOS-PROD'!BF337="SI",VLOOKUP('1.DATOS-PROD'!BF$2,'1.PUNTOS'!$A$1:$B$63,2,0),0)</f>
        <v>0</v>
      </c>
      <c r="AX336" s="138">
        <f>IF('1.DATOS-PROD'!BG337="SI",VLOOKUP('1.DATOS-PROD'!BG$2,'1.PUNTOS'!$A$1:$B$63,2,0),0)</f>
        <v>0</v>
      </c>
      <c r="AY336" s="138">
        <f>IF('1.DATOS-PROD'!BH337="SI",VLOOKUP('1.DATOS-PROD'!BH$2,'1.PUNTOS'!$A$1:$B$63,2,0),0)</f>
        <v>0</v>
      </c>
      <c r="AZ336" s="138">
        <f>IF('1.DATOS-PROD'!BI337="SI",VLOOKUP('1.DATOS-PROD'!BI$2,'1.PUNTOS'!$A$1:$B$63,2,0),0)</f>
        <v>0</v>
      </c>
      <c r="BA336" s="138">
        <f>IF('1.DATOS-PROD'!BJ337="SI",VLOOKUP('1.DATOS-PROD'!BJ$2,'1.PUNTOS'!$A$1:$B$63,2,0),0)</f>
        <v>0</v>
      </c>
      <c r="BB336" s="138">
        <f>IF('1.DATOS-PROD'!BK337="SI",VLOOKUP('1.DATOS-PROD'!BK$2,'1.PUNTOS'!$A$1:$B$63,2,0),0)</f>
        <v>0</v>
      </c>
      <c r="BC336" s="138">
        <f>IF('1.DATOS-PROD'!BL337="SI",VLOOKUP('1.DATOS-PROD'!BL$2,'1.PUNTOS'!$A$1:$B$63,2,0),0)</f>
        <v>0</v>
      </c>
      <c r="BD336" s="138">
        <f>IF('1.DATOS-PROD'!BM337="SI",VLOOKUP('1.DATOS-PROD'!BM$2,'1.PUNTOS'!$A$1:$B$63,2,0),0)</f>
        <v>0</v>
      </c>
      <c r="BE336" s="138">
        <f>IF('1.DATOS-PROD'!BN337="SI",VLOOKUP('1.DATOS-PROD'!BN$2,'1.PUNTOS'!$A$1:$B$63,2,0),0)</f>
        <v>0</v>
      </c>
      <c r="BF336" s="138">
        <f>IF('1.DATOS-PROD'!BO337="SI",VLOOKUP('1.DATOS-PROD'!BO$2,'1.PUNTOS'!$A$1:$B$63,2,0),0)</f>
        <v>0</v>
      </c>
      <c r="BG336" s="138">
        <f>IF('1.DATOS-PROD'!BP337="SI",VLOOKUP('1.DATOS-PROD'!BP$2,'1.PUNTOS'!$A$1:$B$63,2,0),0)</f>
        <v>0</v>
      </c>
      <c r="BH336" s="138">
        <f>IF('1.DATOS-PROD'!BQ337="SI",VLOOKUP('1.DATOS-PROD'!BQ$2,'1.PUNTOS'!$A$1:$B$63,2,0),0)</f>
        <v>0</v>
      </c>
      <c r="BI336" s="138">
        <f>IF('1.DATOS-PROD'!BR337="SI",VLOOKUP('1.DATOS-PROD'!BR$2,'1.PUNTOS'!$A$1:$B$63,2,0),0)</f>
        <v>0</v>
      </c>
      <c r="BJ336" s="138">
        <f>IF('1.DATOS-PROD'!BS337="SI",VLOOKUP('1.DATOS-PROD'!BS$2,'1.PUNTOS'!$A$1:$B$63,2,0),0)</f>
        <v>0</v>
      </c>
      <c r="BK336" s="138">
        <f>IF('1.DATOS-PROD'!BT337="SI",VLOOKUP('1.DATOS-PROD'!BT$2,'1.PUNTOS'!$A$1:$B$63,2,0),0)</f>
        <v>0</v>
      </c>
    </row>
    <row r="337" spans="1:63" x14ac:dyDescent="0.25">
      <c r="A337">
        <f>'0.Consolidado general'!$A338</f>
        <v>0</v>
      </c>
      <c r="B337" s="138">
        <f>IF('1.DATOS-PROD'!K338="SI",VLOOKUP('1.DATOS-PROD'!K$2,'1.PUNTOS'!$A$1:$B$63,2,0),0)</f>
        <v>0</v>
      </c>
      <c r="C337" s="138">
        <f>IF('1.DATOS-PROD'!L338="SI",VLOOKUP('1.DATOS-PROD'!L$2,'1.PUNTOS'!$A$1:$B$63,2,0),0)</f>
        <v>0</v>
      </c>
      <c r="D337" s="138">
        <f>IF('1.DATOS-PROD'!M338="SI",VLOOKUP('1.DATOS-PROD'!M$2,'1.PUNTOS'!$A$1:$B$63,2,0),0)</f>
        <v>0</v>
      </c>
      <c r="E337" s="138">
        <f>IF('1.DATOS-PROD'!N338="SI",VLOOKUP('1.DATOS-PROD'!N$2,'1.PUNTOS'!$A$1:$B$63,2,0),0)</f>
        <v>0</v>
      </c>
      <c r="F337" s="138">
        <f>IF('1.DATOS-PROD'!O338="SI",VLOOKUP('1.DATOS-PROD'!O$2,'1.PUNTOS'!$A$1:$B$63,2,0),0)</f>
        <v>0</v>
      </c>
      <c r="G337" s="138">
        <f>IF('1.DATOS-PROD'!P338="SI",VLOOKUP('1.DATOS-PROD'!P$2,'1.PUNTOS'!$A$1:$B$63,2,0),0)</f>
        <v>0</v>
      </c>
      <c r="H337" s="138">
        <f>IF('1.DATOS-PROD'!Q338="SI",VLOOKUP('1.DATOS-PROD'!Q$2,'1.PUNTOS'!$A$1:$B$63,2,0),0)</f>
        <v>0</v>
      </c>
      <c r="I337" s="138">
        <f>IF('1.DATOS-PROD'!R338="SI",VLOOKUP('1.DATOS-PROD'!R$2,'1.PUNTOS'!$A$1:$B$63,2,0),0)</f>
        <v>0</v>
      </c>
      <c r="J337" s="138">
        <f>IF('1.DATOS-PROD'!S338="SI",VLOOKUP('1.DATOS-PROD'!S$2,'1.PUNTOS'!$A$1:$B$63,2,0),0)</f>
        <v>0</v>
      </c>
      <c r="K337" s="138">
        <f>IF('1.DATOS-PROD'!T338="SI",VLOOKUP('1.DATOS-PROD'!T$2,'1.PUNTOS'!$A$1:$B$63,2,0),0)</f>
        <v>0</v>
      </c>
      <c r="L337" s="138">
        <f>IF('1.DATOS-PROD'!U338="SI",VLOOKUP('1.DATOS-PROD'!U$2,'1.PUNTOS'!$A$1:$B$63,2,0),0)</f>
        <v>0</v>
      </c>
      <c r="M337" s="138">
        <f>IF('1.DATOS-PROD'!V338="SI",VLOOKUP('1.DATOS-PROD'!V$2,'1.PUNTOS'!$A$1:$B$63,2,0),0)</f>
        <v>0</v>
      </c>
      <c r="N337" s="138">
        <f>IF('1.DATOS-PROD'!W338="SI",VLOOKUP('1.DATOS-PROD'!W$2,'1.PUNTOS'!$A$1:$B$63,2,0),0)</f>
        <v>0</v>
      </c>
      <c r="O337" s="138">
        <f>IF('1.DATOS-PROD'!X338="SI",VLOOKUP('1.DATOS-PROD'!X$2,'1.PUNTOS'!$A$1:$B$63,2,0),0)</f>
        <v>0</v>
      </c>
      <c r="P337" s="138">
        <f>IF('1.DATOS-PROD'!Y338="SI",VLOOKUP('1.DATOS-PROD'!Y$2,'1.PUNTOS'!$A$1:$B$63,2,0),0)</f>
        <v>0</v>
      </c>
      <c r="Q337" s="138">
        <f>IF('1.DATOS-PROD'!Z338="SI",VLOOKUP('1.DATOS-PROD'!Z$2,'1.PUNTOS'!$A$1:$B$63,2,0),0)</f>
        <v>0</v>
      </c>
      <c r="R337" s="138">
        <f>IF('1.DATOS-PROD'!AA338="SI",VLOOKUP('1.DATOS-PROD'!AA$2,'1.PUNTOS'!$A$1:$B$63,2,0),0)</f>
        <v>0</v>
      </c>
      <c r="S337" s="138">
        <f>IF('1.DATOS-PROD'!AB338="SI",VLOOKUP('1.DATOS-PROD'!AB$2,'1.PUNTOS'!$A$1:$B$63,2,0),0)</f>
        <v>0</v>
      </c>
      <c r="T337" s="138">
        <f>IF('1.DATOS-PROD'!AC338="SI",VLOOKUP('1.DATOS-PROD'!AC$2,'1.PUNTOS'!$A$1:$B$63,2,0),0)</f>
        <v>0</v>
      </c>
      <c r="U337" s="138">
        <f>IF('1.DATOS-PROD'!AD338="SI",VLOOKUP('1.DATOS-PROD'!AD$2,'1.PUNTOS'!$A$1:$B$63,2,0),0)</f>
        <v>0</v>
      </c>
      <c r="V337" s="138">
        <f>IF('1.DATOS-PROD'!AE338="SI",VLOOKUP('1.DATOS-PROD'!AE$2,'1.PUNTOS'!$A$1:$B$63,2,0),0)</f>
        <v>0</v>
      </c>
      <c r="W337" s="138">
        <f>IF('1.DATOS-PROD'!AF338="SI",VLOOKUP('1.DATOS-PROD'!AF$2,'1.PUNTOS'!$A$1:$B$63,2,0),0)</f>
        <v>0</v>
      </c>
      <c r="X337" s="138">
        <f>IF('1.DATOS-PROD'!AG338="SI",VLOOKUP('1.DATOS-PROD'!AG$2,'1.PUNTOS'!$A$1:$B$63,2,0),0)</f>
        <v>0</v>
      </c>
      <c r="Y337" s="138">
        <f>IF('1.DATOS-PROD'!AH338="SI",VLOOKUP('1.DATOS-PROD'!AH$2,'1.PUNTOS'!$A$1:$B$63,2,0),0)</f>
        <v>0</v>
      </c>
      <c r="Z337" s="138">
        <f>IF('1.DATOS-PROD'!AI338="SI",VLOOKUP('1.DATOS-PROD'!AI$2,'1.PUNTOS'!$A$1:$B$63,2,0),0)</f>
        <v>0</v>
      </c>
      <c r="AA337" s="138">
        <f>IF('1.DATOS-PROD'!AJ338="SI",VLOOKUP('1.DATOS-PROD'!AJ$2,'1.PUNTOS'!$A$1:$B$63,2,0),0)</f>
        <v>0</v>
      </c>
      <c r="AB337" s="138">
        <f>IF('1.DATOS-PROD'!AK338="SI",VLOOKUP('1.DATOS-PROD'!AK$2,'1.PUNTOS'!$A$1:$B$63,2,0),0)</f>
        <v>0</v>
      </c>
      <c r="AC337" s="138">
        <f>IF('1.DATOS-PROD'!AL338="SI",VLOOKUP('1.DATOS-PROD'!AL$2,'1.PUNTOS'!$A$1:$B$63,2,0),0)</f>
        <v>0</v>
      </c>
      <c r="AD337" s="138">
        <f>IF('1.DATOS-PROD'!AM338="SI",VLOOKUP('1.DATOS-PROD'!AM$2,'1.PUNTOS'!$A$1:$B$63,2,0),0)</f>
        <v>0</v>
      </c>
      <c r="AE337" s="138">
        <f>IF('1.DATOS-PROD'!AN338="SI",VLOOKUP('1.DATOS-PROD'!AN$2,'1.PUNTOS'!$A$1:$B$63,2,0),0)</f>
        <v>0</v>
      </c>
      <c r="AF337" s="138">
        <f>IF('1.DATOS-PROD'!AO338="SI",VLOOKUP('1.DATOS-PROD'!AO$2,'1.PUNTOS'!$A$1:$B$63,2,0),0)</f>
        <v>0</v>
      </c>
      <c r="AG337" s="138">
        <f>IF('1.DATOS-PROD'!AP338="SI",VLOOKUP('1.DATOS-PROD'!AP$2,'1.PUNTOS'!$A$1:$B$63,2,0),0)</f>
        <v>0</v>
      </c>
      <c r="AH337" s="138">
        <f>IF('1.DATOS-PROD'!AQ338="SI",VLOOKUP('1.DATOS-PROD'!AQ$2,'1.PUNTOS'!$A$1:$B$63,2,0),0)</f>
        <v>0</v>
      </c>
      <c r="AI337" s="138">
        <f>IF('1.DATOS-PROD'!AR338="SI",VLOOKUP('1.DATOS-PROD'!AR$2,'1.PUNTOS'!$A$1:$B$63,2,0),0)</f>
        <v>0</v>
      </c>
      <c r="AJ337" s="138">
        <f>IF('1.DATOS-PROD'!AS338="SI",VLOOKUP('1.DATOS-PROD'!AS$2,'1.PUNTOS'!$A$1:$B$63,2,0),0)</f>
        <v>0</v>
      </c>
      <c r="AK337" s="138">
        <f>IF('1.DATOS-PROD'!AT338="SI",VLOOKUP('1.DATOS-PROD'!AT$2,'1.PUNTOS'!$A$1:$B$63,2,0),0)</f>
        <v>0</v>
      </c>
      <c r="AL337" s="138">
        <f>IF('1.DATOS-PROD'!AU338="SI",VLOOKUP('1.DATOS-PROD'!AU$2,'1.PUNTOS'!$A$1:$B$63,2,0),0)</f>
        <v>0</v>
      </c>
      <c r="AM337" s="138">
        <f>IF('1.DATOS-PROD'!AV338="SI",VLOOKUP('1.DATOS-PROD'!AV$2,'1.PUNTOS'!$A$1:$B$63,2,0),0)</f>
        <v>0</v>
      </c>
      <c r="AN337" s="138">
        <f>IF('1.DATOS-PROD'!AW338="SI",VLOOKUP('1.DATOS-PROD'!AW$2,'1.PUNTOS'!$A$1:$B$63,2,0),0)</f>
        <v>0</v>
      </c>
      <c r="AO337" s="138">
        <f>IF('1.DATOS-PROD'!AX338="SI",VLOOKUP('1.DATOS-PROD'!AX$2,'1.PUNTOS'!$A$1:$B$63,2,0),0)</f>
        <v>0</v>
      </c>
      <c r="AP337" s="138">
        <f>IF('1.DATOS-PROD'!AY338="SI",VLOOKUP('1.DATOS-PROD'!AY$2,'1.PUNTOS'!$A$1:$B$63,2,0),0)</f>
        <v>0</v>
      </c>
      <c r="AQ337" s="138">
        <f>IF('1.DATOS-PROD'!AZ338="SI",VLOOKUP('1.DATOS-PROD'!AZ$2,'1.PUNTOS'!$A$1:$B$63,2,0),0)</f>
        <v>0</v>
      </c>
      <c r="AR337" s="138">
        <f>IF('1.DATOS-PROD'!BA338="SI",VLOOKUP('1.DATOS-PROD'!BA$2,'1.PUNTOS'!$A$1:$B$63,2,0),0)</f>
        <v>0</v>
      </c>
      <c r="AS337" s="138">
        <f>IF('1.DATOS-PROD'!BB338="SI",VLOOKUP('1.DATOS-PROD'!BB$2,'1.PUNTOS'!$A$1:$B$63,2,0),0)</f>
        <v>0</v>
      </c>
      <c r="AT337" s="138">
        <f>IF('1.DATOS-PROD'!BC338="SI",VLOOKUP('1.DATOS-PROD'!BC$2,'1.PUNTOS'!$A$1:$B$63,2,0),0)</f>
        <v>0</v>
      </c>
      <c r="AU337" s="138">
        <f>IF('1.DATOS-PROD'!BD338="SI",VLOOKUP('1.DATOS-PROD'!BD$2,'1.PUNTOS'!$A$1:$B$63,2,0),0)</f>
        <v>0</v>
      </c>
      <c r="AV337" s="138">
        <f>IF('1.DATOS-PROD'!BE338="SI",VLOOKUP('1.DATOS-PROD'!BE$2,'1.PUNTOS'!$A$1:$B$63,2,0),0)</f>
        <v>0</v>
      </c>
      <c r="AW337" s="138">
        <f>IF('1.DATOS-PROD'!BF338="SI",VLOOKUP('1.DATOS-PROD'!BF$2,'1.PUNTOS'!$A$1:$B$63,2,0),0)</f>
        <v>0</v>
      </c>
      <c r="AX337" s="138">
        <f>IF('1.DATOS-PROD'!BG338="SI",VLOOKUP('1.DATOS-PROD'!BG$2,'1.PUNTOS'!$A$1:$B$63,2,0),0)</f>
        <v>0</v>
      </c>
      <c r="AY337" s="138">
        <f>IF('1.DATOS-PROD'!BH338="SI",VLOOKUP('1.DATOS-PROD'!BH$2,'1.PUNTOS'!$A$1:$B$63,2,0),0)</f>
        <v>0</v>
      </c>
      <c r="AZ337" s="138">
        <f>IF('1.DATOS-PROD'!BI338="SI",VLOOKUP('1.DATOS-PROD'!BI$2,'1.PUNTOS'!$A$1:$B$63,2,0),0)</f>
        <v>0</v>
      </c>
      <c r="BA337" s="138">
        <f>IF('1.DATOS-PROD'!BJ338="SI",VLOOKUP('1.DATOS-PROD'!BJ$2,'1.PUNTOS'!$A$1:$B$63,2,0),0)</f>
        <v>0</v>
      </c>
      <c r="BB337" s="138">
        <f>IF('1.DATOS-PROD'!BK338="SI",VLOOKUP('1.DATOS-PROD'!BK$2,'1.PUNTOS'!$A$1:$B$63,2,0),0)</f>
        <v>0</v>
      </c>
      <c r="BC337" s="138">
        <f>IF('1.DATOS-PROD'!BL338="SI",VLOOKUP('1.DATOS-PROD'!BL$2,'1.PUNTOS'!$A$1:$B$63,2,0),0)</f>
        <v>0</v>
      </c>
      <c r="BD337" s="138">
        <f>IF('1.DATOS-PROD'!BM338="SI",VLOOKUP('1.DATOS-PROD'!BM$2,'1.PUNTOS'!$A$1:$B$63,2,0),0)</f>
        <v>0</v>
      </c>
      <c r="BE337" s="138">
        <f>IF('1.DATOS-PROD'!BN338="SI",VLOOKUP('1.DATOS-PROD'!BN$2,'1.PUNTOS'!$A$1:$B$63,2,0),0)</f>
        <v>0</v>
      </c>
      <c r="BF337" s="138">
        <f>IF('1.DATOS-PROD'!BO338="SI",VLOOKUP('1.DATOS-PROD'!BO$2,'1.PUNTOS'!$A$1:$B$63,2,0),0)</f>
        <v>0</v>
      </c>
      <c r="BG337" s="138">
        <f>IF('1.DATOS-PROD'!BP338="SI",VLOOKUP('1.DATOS-PROD'!BP$2,'1.PUNTOS'!$A$1:$B$63,2,0),0)</f>
        <v>0</v>
      </c>
      <c r="BH337" s="138">
        <f>IF('1.DATOS-PROD'!BQ338="SI",VLOOKUP('1.DATOS-PROD'!BQ$2,'1.PUNTOS'!$A$1:$B$63,2,0),0)</f>
        <v>0</v>
      </c>
      <c r="BI337" s="138">
        <f>IF('1.DATOS-PROD'!BR338="SI",VLOOKUP('1.DATOS-PROD'!BR$2,'1.PUNTOS'!$A$1:$B$63,2,0),0)</f>
        <v>0</v>
      </c>
      <c r="BJ337" s="138">
        <f>IF('1.DATOS-PROD'!BS338="SI",VLOOKUP('1.DATOS-PROD'!BS$2,'1.PUNTOS'!$A$1:$B$63,2,0),0)</f>
        <v>0</v>
      </c>
      <c r="BK337" s="138">
        <f>IF('1.DATOS-PROD'!BT338="SI",VLOOKUP('1.DATOS-PROD'!BT$2,'1.PUNTOS'!$A$1:$B$63,2,0),0)</f>
        <v>0</v>
      </c>
    </row>
    <row r="338" spans="1:63" x14ac:dyDescent="0.25">
      <c r="A338">
        <f>'0.Consolidado general'!$A339</f>
        <v>0</v>
      </c>
      <c r="B338" s="138">
        <f>IF('1.DATOS-PROD'!K339="SI",VLOOKUP('1.DATOS-PROD'!K$2,'1.PUNTOS'!$A$1:$B$63,2,0),0)</f>
        <v>0</v>
      </c>
      <c r="C338" s="138">
        <f>IF('1.DATOS-PROD'!L339="SI",VLOOKUP('1.DATOS-PROD'!L$2,'1.PUNTOS'!$A$1:$B$63,2,0),0)</f>
        <v>0</v>
      </c>
      <c r="D338" s="138">
        <f>IF('1.DATOS-PROD'!M339="SI",VLOOKUP('1.DATOS-PROD'!M$2,'1.PUNTOS'!$A$1:$B$63,2,0),0)</f>
        <v>0</v>
      </c>
      <c r="E338" s="138">
        <f>IF('1.DATOS-PROD'!N339="SI",VLOOKUP('1.DATOS-PROD'!N$2,'1.PUNTOS'!$A$1:$B$63,2,0),0)</f>
        <v>0</v>
      </c>
      <c r="F338" s="138">
        <f>IF('1.DATOS-PROD'!O339="SI",VLOOKUP('1.DATOS-PROD'!O$2,'1.PUNTOS'!$A$1:$B$63,2,0),0)</f>
        <v>0</v>
      </c>
      <c r="G338" s="138">
        <f>IF('1.DATOS-PROD'!P339="SI",VLOOKUP('1.DATOS-PROD'!P$2,'1.PUNTOS'!$A$1:$B$63,2,0),0)</f>
        <v>0</v>
      </c>
      <c r="H338" s="138">
        <f>IF('1.DATOS-PROD'!Q339="SI",VLOOKUP('1.DATOS-PROD'!Q$2,'1.PUNTOS'!$A$1:$B$63,2,0),0)</f>
        <v>0</v>
      </c>
      <c r="I338" s="138">
        <f>IF('1.DATOS-PROD'!R339="SI",VLOOKUP('1.DATOS-PROD'!R$2,'1.PUNTOS'!$A$1:$B$63,2,0),0)</f>
        <v>0</v>
      </c>
      <c r="J338" s="138">
        <f>IF('1.DATOS-PROD'!S339="SI",VLOOKUP('1.DATOS-PROD'!S$2,'1.PUNTOS'!$A$1:$B$63,2,0),0)</f>
        <v>0</v>
      </c>
      <c r="K338" s="138">
        <f>IF('1.DATOS-PROD'!T339="SI",VLOOKUP('1.DATOS-PROD'!T$2,'1.PUNTOS'!$A$1:$B$63,2,0),0)</f>
        <v>0</v>
      </c>
      <c r="L338" s="138">
        <f>IF('1.DATOS-PROD'!U339="SI",VLOOKUP('1.DATOS-PROD'!U$2,'1.PUNTOS'!$A$1:$B$63,2,0),0)</f>
        <v>0</v>
      </c>
      <c r="M338" s="138">
        <f>IF('1.DATOS-PROD'!V339="SI",VLOOKUP('1.DATOS-PROD'!V$2,'1.PUNTOS'!$A$1:$B$63,2,0),0)</f>
        <v>0</v>
      </c>
      <c r="N338" s="138">
        <f>IF('1.DATOS-PROD'!W339="SI",VLOOKUP('1.DATOS-PROD'!W$2,'1.PUNTOS'!$A$1:$B$63,2,0),0)</f>
        <v>0</v>
      </c>
      <c r="O338" s="138">
        <f>IF('1.DATOS-PROD'!X339="SI",VLOOKUP('1.DATOS-PROD'!X$2,'1.PUNTOS'!$A$1:$B$63,2,0),0)</f>
        <v>0</v>
      </c>
      <c r="P338" s="138">
        <f>IF('1.DATOS-PROD'!Y339="SI",VLOOKUP('1.DATOS-PROD'!Y$2,'1.PUNTOS'!$A$1:$B$63,2,0),0)</f>
        <v>0</v>
      </c>
      <c r="Q338" s="138">
        <f>IF('1.DATOS-PROD'!Z339="SI",VLOOKUP('1.DATOS-PROD'!Z$2,'1.PUNTOS'!$A$1:$B$63,2,0),0)</f>
        <v>0</v>
      </c>
      <c r="R338" s="138">
        <f>IF('1.DATOS-PROD'!AA339="SI",VLOOKUP('1.DATOS-PROD'!AA$2,'1.PUNTOS'!$A$1:$B$63,2,0),0)</f>
        <v>0</v>
      </c>
      <c r="S338" s="138">
        <f>IF('1.DATOS-PROD'!AB339="SI",VLOOKUP('1.DATOS-PROD'!AB$2,'1.PUNTOS'!$A$1:$B$63,2,0),0)</f>
        <v>0</v>
      </c>
      <c r="T338" s="138">
        <f>IF('1.DATOS-PROD'!AC339="SI",VLOOKUP('1.DATOS-PROD'!AC$2,'1.PUNTOS'!$A$1:$B$63,2,0),0)</f>
        <v>0</v>
      </c>
      <c r="U338" s="138">
        <f>IF('1.DATOS-PROD'!AD339="SI",VLOOKUP('1.DATOS-PROD'!AD$2,'1.PUNTOS'!$A$1:$B$63,2,0),0)</f>
        <v>0</v>
      </c>
      <c r="V338" s="138">
        <f>IF('1.DATOS-PROD'!AE339="SI",VLOOKUP('1.DATOS-PROD'!AE$2,'1.PUNTOS'!$A$1:$B$63,2,0),0)</f>
        <v>0</v>
      </c>
      <c r="W338" s="138">
        <f>IF('1.DATOS-PROD'!AF339="SI",VLOOKUP('1.DATOS-PROD'!AF$2,'1.PUNTOS'!$A$1:$B$63,2,0),0)</f>
        <v>0</v>
      </c>
      <c r="X338" s="138">
        <f>IF('1.DATOS-PROD'!AG339="SI",VLOOKUP('1.DATOS-PROD'!AG$2,'1.PUNTOS'!$A$1:$B$63,2,0),0)</f>
        <v>0</v>
      </c>
      <c r="Y338" s="138">
        <f>IF('1.DATOS-PROD'!AH339="SI",VLOOKUP('1.DATOS-PROD'!AH$2,'1.PUNTOS'!$A$1:$B$63,2,0),0)</f>
        <v>0</v>
      </c>
      <c r="Z338" s="138">
        <f>IF('1.DATOS-PROD'!AI339="SI",VLOOKUP('1.DATOS-PROD'!AI$2,'1.PUNTOS'!$A$1:$B$63,2,0),0)</f>
        <v>0</v>
      </c>
      <c r="AA338" s="138">
        <f>IF('1.DATOS-PROD'!AJ339="SI",VLOOKUP('1.DATOS-PROD'!AJ$2,'1.PUNTOS'!$A$1:$B$63,2,0),0)</f>
        <v>0</v>
      </c>
      <c r="AB338" s="138">
        <f>IF('1.DATOS-PROD'!AK339="SI",VLOOKUP('1.DATOS-PROD'!AK$2,'1.PUNTOS'!$A$1:$B$63,2,0),0)</f>
        <v>0</v>
      </c>
      <c r="AC338" s="138">
        <f>IF('1.DATOS-PROD'!AL339="SI",VLOOKUP('1.DATOS-PROD'!AL$2,'1.PUNTOS'!$A$1:$B$63,2,0),0)</f>
        <v>0</v>
      </c>
      <c r="AD338" s="138">
        <f>IF('1.DATOS-PROD'!AM339="SI",VLOOKUP('1.DATOS-PROD'!AM$2,'1.PUNTOS'!$A$1:$B$63,2,0),0)</f>
        <v>0</v>
      </c>
      <c r="AE338" s="138">
        <f>IF('1.DATOS-PROD'!AN339="SI",VLOOKUP('1.DATOS-PROD'!AN$2,'1.PUNTOS'!$A$1:$B$63,2,0),0)</f>
        <v>0</v>
      </c>
      <c r="AF338" s="138">
        <f>IF('1.DATOS-PROD'!AO339="SI",VLOOKUP('1.DATOS-PROD'!AO$2,'1.PUNTOS'!$A$1:$B$63,2,0),0)</f>
        <v>0</v>
      </c>
      <c r="AG338" s="138">
        <f>IF('1.DATOS-PROD'!AP339="SI",VLOOKUP('1.DATOS-PROD'!AP$2,'1.PUNTOS'!$A$1:$B$63,2,0),0)</f>
        <v>0</v>
      </c>
      <c r="AH338" s="138">
        <f>IF('1.DATOS-PROD'!AQ339="SI",VLOOKUP('1.DATOS-PROD'!AQ$2,'1.PUNTOS'!$A$1:$B$63,2,0),0)</f>
        <v>0</v>
      </c>
      <c r="AI338" s="138">
        <f>IF('1.DATOS-PROD'!AR339="SI",VLOOKUP('1.DATOS-PROD'!AR$2,'1.PUNTOS'!$A$1:$B$63,2,0),0)</f>
        <v>0</v>
      </c>
      <c r="AJ338" s="138">
        <f>IF('1.DATOS-PROD'!AS339="SI",VLOOKUP('1.DATOS-PROD'!AS$2,'1.PUNTOS'!$A$1:$B$63,2,0),0)</f>
        <v>0</v>
      </c>
      <c r="AK338" s="138">
        <f>IF('1.DATOS-PROD'!AT339="SI",VLOOKUP('1.DATOS-PROD'!AT$2,'1.PUNTOS'!$A$1:$B$63,2,0),0)</f>
        <v>0</v>
      </c>
      <c r="AL338" s="138">
        <f>IF('1.DATOS-PROD'!AU339="SI",VLOOKUP('1.DATOS-PROD'!AU$2,'1.PUNTOS'!$A$1:$B$63,2,0),0)</f>
        <v>0</v>
      </c>
      <c r="AM338" s="138">
        <f>IF('1.DATOS-PROD'!AV339="SI",VLOOKUP('1.DATOS-PROD'!AV$2,'1.PUNTOS'!$A$1:$B$63,2,0),0)</f>
        <v>0</v>
      </c>
      <c r="AN338" s="138">
        <f>IF('1.DATOS-PROD'!AW339="SI",VLOOKUP('1.DATOS-PROD'!AW$2,'1.PUNTOS'!$A$1:$B$63,2,0),0)</f>
        <v>0</v>
      </c>
      <c r="AO338" s="138">
        <f>IF('1.DATOS-PROD'!AX339="SI",VLOOKUP('1.DATOS-PROD'!AX$2,'1.PUNTOS'!$A$1:$B$63,2,0),0)</f>
        <v>0</v>
      </c>
      <c r="AP338" s="138">
        <f>IF('1.DATOS-PROD'!AY339="SI",VLOOKUP('1.DATOS-PROD'!AY$2,'1.PUNTOS'!$A$1:$B$63,2,0),0)</f>
        <v>0</v>
      </c>
      <c r="AQ338" s="138">
        <f>IF('1.DATOS-PROD'!AZ339="SI",VLOOKUP('1.DATOS-PROD'!AZ$2,'1.PUNTOS'!$A$1:$B$63,2,0),0)</f>
        <v>0</v>
      </c>
      <c r="AR338" s="138">
        <f>IF('1.DATOS-PROD'!BA339="SI",VLOOKUP('1.DATOS-PROD'!BA$2,'1.PUNTOS'!$A$1:$B$63,2,0),0)</f>
        <v>0</v>
      </c>
      <c r="AS338" s="138">
        <f>IF('1.DATOS-PROD'!BB339="SI",VLOOKUP('1.DATOS-PROD'!BB$2,'1.PUNTOS'!$A$1:$B$63,2,0),0)</f>
        <v>0</v>
      </c>
      <c r="AT338" s="138">
        <f>IF('1.DATOS-PROD'!BC339="SI",VLOOKUP('1.DATOS-PROD'!BC$2,'1.PUNTOS'!$A$1:$B$63,2,0),0)</f>
        <v>0</v>
      </c>
      <c r="AU338" s="138">
        <f>IF('1.DATOS-PROD'!BD339="SI",VLOOKUP('1.DATOS-PROD'!BD$2,'1.PUNTOS'!$A$1:$B$63,2,0),0)</f>
        <v>0</v>
      </c>
      <c r="AV338" s="138">
        <f>IF('1.DATOS-PROD'!BE339="SI",VLOOKUP('1.DATOS-PROD'!BE$2,'1.PUNTOS'!$A$1:$B$63,2,0),0)</f>
        <v>0</v>
      </c>
      <c r="AW338" s="138">
        <f>IF('1.DATOS-PROD'!BF339="SI",VLOOKUP('1.DATOS-PROD'!BF$2,'1.PUNTOS'!$A$1:$B$63,2,0),0)</f>
        <v>0</v>
      </c>
      <c r="AX338" s="138">
        <f>IF('1.DATOS-PROD'!BG339="SI",VLOOKUP('1.DATOS-PROD'!BG$2,'1.PUNTOS'!$A$1:$B$63,2,0),0)</f>
        <v>0</v>
      </c>
      <c r="AY338" s="138">
        <f>IF('1.DATOS-PROD'!BH339="SI",VLOOKUP('1.DATOS-PROD'!BH$2,'1.PUNTOS'!$A$1:$B$63,2,0),0)</f>
        <v>0</v>
      </c>
      <c r="AZ338" s="138">
        <f>IF('1.DATOS-PROD'!BI339="SI",VLOOKUP('1.DATOS-PROD'!BI$2,'1.PUNTOS'!$A$1:$B$63,2,0),0)</f>
        <v>0</v>
      </c>
      <c r="BA338" s="138">
        <f>IF('1.DATOS-PROD'!BJ339="SI",VLOOKUP('1.DATOS-PROD'!BJ$2,'1.PUNTOS'!$A$1:$B$63,2,0),0)</f>
        <v>0</v>
      </c>
      <c r="BB338" s="138">
        <f>IF('1.DATOS-PROD'!BK339="SI",VLOOKUP('1.DATOS-PROD'!BK$2,'1.PUNTOS'!$A$1:$B$63,2,0),0)</f>
        <v>0</v>
      </c>
      <c r="BC338" s="138">
        <f>IF('1.DATOS-PROD'!BL339="SI",VLOOKUP('1.DATOS-PROD'!BL$2,'1.PUNTOS'!$A$1:$B$63,2,0),0)</f>
        <v>0</v>
      </c>
      <c r="BD338" s="138">
        <f>IF('1.DATOS-PROD'!BM339="SI",VLOOKUP('1.DATOS-PROD'!BM$2,'1.PUNTOS'!$A$1:$B$63,2,0),0)</f>
        <v>0</v>
      </c>
      <c r="BE338" s="138">
        <f>IF('1.DATOS-PROD'!BN339="SI",VLOOKUP('1.DATOS-PROD'!BN$2,'1.PUNTOS'!$A$1:$B$63,2,0),0)</f>
        <v>0</v>
      </c>
      <c r="BF338" s="138">
        <f>IF('1.DATOS-PROD'!BO339="SI",VLOOKUP('1.DATOS-PROD'!BO$2,'1.PUNTOS'!$A$1:$B$63,2,0),0)</f>
        <v>0</v>
      </c>
      <c r="BG338" s="138">
        <f>IF('1.DATOS-PROD'!BP339="SI",VLOOKUP('1.DATOS-PROD'!BP$2,'1.PUNTOS'!$A$1:$B$63,2,0),0)</f>
        <v>0</v>
      </c>
      <c r="BH338" s="138">
        <f>IF('1.DATOS-PROD'!BQ339="SI",VLOOKUP('1.DATOS-PROD'!BQ$2,'1.PUNTOS'!$A$1:$B$63,2,0),0)</f>
        <v>0</v>
      </c>
      <c r="BI338" s="138">
        <f>IF('1.DATOS-PROD'!BR339="SI",VLOOKUP('1.DATOS-PROD'!BR$2,'1.PUNTOS'!$A$1:$B$63,2,0),0)</f>
        <v>0</v>
      </c>
      <c r="BJ338" s="138">
        <f>IF('1.DATOS-PROD'!BS339="SI",VLOOKUP('1.DATOS-PROD'!BS$2,'1.PUNTOS'!$A$1:$B$63,2,0),0)</f>
        <v>0</v>
      </c>
      <c r="BK338" s="138">
        <f>IF('1.DATOS-PROD'!BT339="SI",VLOOKUP('1.DATOS-PROD'!BT$2,'1.PUNTOS'!$A$1:$B$63,2,0),0)</f>
        <v>0</v>
      </c>
    </row>
    <row r="339" spans="1:63" x14ac:dyDescent="0.25">
      <c r="A339">
        <f>'0.Consolidado general'!$A340</f>
        <v>0</v>
      </c>
      <c r="B339" s="138">
        <f>IF('1.DATOS-PROD'!K340="SI",VLOOKUP('1.DATOS-PROD'!K$2,'1.PUNTOS'!$A$1:$B$63,2,0),0)</f>
        <v>0</v>
      </c>
      <c r="C339" s="138">
        <f>IF('1.DATOS-PROD'!L340="SI",VLOOKUP('1.DATOS-PROD'!L$2,'1.PUNTOS'!$A$1:$B$63,2,0),0)</f>
        <v>0</v>
      </c>
      <c r="D339" s="138">
        <f>IF('1.DATOS-PROD'!M340="SI",VLOOKUP('1.DATOS-PROD'!M$2,'1.PUNTOS'!$A$1:$B$63,2,0),0)</f>
        <v>0</v>
      </c>
      <c r="E339" s="138">
        <f>IF('1.DATOS-PROD'!N340="SI",VLOOKUP('1.DATOS-PROD'!N$2,'1.PUNTOS'!$A$1:$B$63,2,0),0)</f>
        <v>0</v>
      </c>
      <c r="F339" s="138">
        <f>IF('1.DATOS-PROD'!O340="SI",VLOOKUP('1.DATOS-PROD'!O$2,'1.PUNTOS'!$A$1:$B$63,2,0),0)</f>
        <v>0</v>
      </c>
      <c r="G339" s="138">
        <f>IF('1.DATOS-PROD'!P340="SI",VLOOKUP('1.DATOS-PROD'!P$2,'1.PUNTOS'!$A$1:$B$63,2,0),0)</f>
        <v>0</v>
      </c>
      <c r="H339" s="138">
        <f>IF('1.DATOS-PROD'!Q340="SI",VLOOKUP('1.DATOS-PROD'!Q$2,'1.PUNTOS'!$A$1:$B$63,2,0),0)</f>
        <v>0</v>
      </c>
      <c r="I339" s="138">
        <f>IF('1.DATOS-PROD'!R340="SI",VLOOKUP('1.DATOS-PROD'!R$2,'1.PUNTOS'!$A$1:$B$63,2,0),0)</f>
        <v>0</v>
      </c>
      <c r="J339" s="138">
        <f>IF('1.DATOS-PROD'!S340="SI",VLOOKUP('1.DATOS-PROD'!S$2,'1.PUNTOS'!$A$1:$B$63,2,0),0)</f>
        <v>0</v>
      </c>
      <c r="K339" s="138">
        <f>IF('1.DATOS-PROD'!T340="SI",VLOOKUP('1.DATOS-PROD'!T$2,'1.PUNTOS'!$A$1:$B$63,2,0),0)</f>
        <v>0</v>
      </c>
      <c r="L339" s="138">
        <f>IF('1.DATOS-PROD'!U340="SI",VLOOKUP('1.DATOS-PROD'!U$2,'1.PUNTOS'!$A$1:$B$63,2,0),0)</f>
        <v>0</v>
      </c>
      <c r="M339" s="138">
        <f>IF('1.DATOS-PROD'!V340="SI",VLOOKUP('1.DATOS-PROD'!V$2,'1.PUNTOS'!$A$1:$B$63,2,0),0)</f>
        <v>0</v>
      </c>
      <c r="N339" s="138">
        <f>IF('1.DATOS-PROD'!W340="SI",VLOOKUP('1.DATOS-PROD'!W$2,'1.PUNTOS'!$A$1:$B$63,2,0),0)</f>
        <v>0</v>
      </c>
      <c r="O339" s="138">
        <f>IF('1.DATOS-PROD'!X340="SI",VLOOKUP('1.DATOS-PROD'!X$2,'1.PUNTOS'!$A$1:$B$63,2,0),0)</f>
        <v>0</v>
      </c>
      <c r="P339" s="138">
        <f>IF('1.DATOS-PROD'!Y340="SI",VLOOKUP('1.DATOS-PROD'!Y$2,'1.PUNTOS'!$A$1:$B$63,2,0),0)</f>
        <v>0</v>
      </c>
      <c r="Q339" s="138">
        <f>IF('1.DATOS-PROD'!Z340="SI",VLOOKUP('1.DATOS-PROD'!Z$2,'1.PUNTOS'!$A$1:$B$63,2,0),0)</f>
        <v>0</v>
      </c>
      <c r="R339" s="138">
        <f>IF('1.DATOS-PROD'!AA340="SI",VLOOKUP('1.DATOS-PROD'!AA$2,'1.PUNTOS'!$A$1:$B$63,2,0),0)</f>
        <v>0</v>
      </c>
      <c r="S339" s="138">
        <f>IF('1.DATOS-PROD'!AB340="SI",VLOOKUP('1.DATOS-PROD'!AB$2,'1.PUNTOS'!$A$1:$B$63,2,0),0)</f>
        <v>0</v>
      </c>
      <c r="T339" s="138">
        <f>IF('1.DATOS-PROD'!AC340="SI",VLOOKUP('1.DATOS-PROD'!AC$2,'1.PUNTOS'!$A$1:$B$63,2,0),0)</f>
        <v>0</v>
      </c>
      <c r="U339" s="138">
        <f>IF('1.DATOS-PROD'!AD340="SI",VLOOKUP('1.DATOS-PROD'!AD$2,'1.PUNTOS'!$A$1:$B$63,2,0),0)</f>
        <v>0</v>
      </c>
      <c r="V339" s="138">
        <f>IF('1.DATOS-PROD'!AE340="SI",VLOOKUP('1.DATOS-PROD'!AE$2,'1.PUNTOS'!$A$1:$B$63,2,0),0)</f>
        <v>0</v>
      </c>
      <c r="W339" s="138">
        <f>IF('1.DATOS-PROD'!AF340="SI",VLOOKUP('1.DATOS-PROD'!AF$2,'1.PUNTOS'!$A$1:$B$63,2,0),0)</f>
        <v>0</v>
      </c>
      <c r="X339" s="138">
        <f>IF('1.DATOS-PROD'!AG340="SI",VLOOKUP('1.DATOS-PROD'!AG$2,'1.PUNTOS'!$A$1:$B$63,2,0),0)</f>
        <v>0</v>
      </c>
      <c r="Y339" s="138">
        <f>IF('1.DATOS-PROD'!AH340="SI",VLOOKUP('1.DATOS-PROD'!AH$2,'1.PUNTOS'!$A$1:$B$63,2,0),0)</f>
        <v>0</v>
      </c>
      <c r="Z339" s="138">
        <f>IF('1.DATOS-PROD'!AI340="SI",VLOOKUP('1.DATOS-PROD'!AI$2,'1.PUNTOS'!$A$1:$B$63,2,0),0)</f>
        <v>0</v>
      </c>
      <c r="AA339" s="138">
        <f>IF('1.DATOS-PROD'!AJ340="SI",VLOOKUP('1.DATOS-PROD'!AJ$2,'1.PUNTOS'!$A$1:$B$63,2,0),0)</f>
        <v>0</v>
      </c>
      <c r="AB339" s="138">
        <f>IF('1.DATOS-PROD'!AK340="SI",VLOOKUP('1.DATOS-PROD'!AK$2,'1.PUNTOS'!$A$1:$B$63,2,0),0)</f>
        <v>0</v>
      </c>
      <c r="AC339" s="138">
        <f>IF('1.DATOS-PROD'!AL340="SI",VLOOKUP('1.DATOS-PROD'!AL$2,'1.PUNTOS'!$A$1:$B$63,2,0),0)</f>
        <v>0</v>
      </c>
      <c r="AD339" s="138">
        <f>IF('1.DATOS-PROD'!AM340="SI",VLOOKUP('1.DATOS-PROD'!AM$2,'1.PUNTOS'!$A$1:$B$63,2,0),0)</f>
        <v>0</v>
      </c>
      <c r="AE339" s="138">
        <f>IF('1.DATOS-PROD'!AN340="SI",VLOOKUP('1.DATOS-PROD'!AN$2,'1.PUNTOS'!$A$1:$B$63,2,0),0)</f>
        <v>0</v>
      </c>
      <c r="AF339" s="138">
        <f>IF('1.DATOS-PROD'!AO340="SI",VLOOKUP('1.DATOS-PROD'!AO$2,'1.PUNTOS'!$A$1:$B$63,2,0),0)</f>
        <v>0</v>
      </c>
      <c r="AG339" s="138">
        <f>IF('1.DATOS-PROD'!AP340="SI",VLOOKUP('1.DATOS-PROD'!AP$2,'1.PUNTOS'!$A$1:$B$63,2,0),0)</f>
        <v>0</v>
      </c>
      <c r="AH339" s="138">
        <f>IF('1.DATOS-PROD'!AQ340="SI",VLOOKUP('1.DATOS-PROD'!AQ$2,'1.PUNTOS'!$A$1:$B$63,2,0),0)</f>
        <v>0</v>
      </c>
      <c r="AI339" s="138">
        <f>IF('1.DATOS-PROD'!AR340="SI",VLOOKUP('1.DATOS-PROD'!AR$2,'1.PUNTOS'!$A$1:$B$63,2,0),0)</f>
        <v>0</v>
      </c>
      <c r="AJ339" s="138">
        <f>IF('1.DATOS-PROD'!AS340="SI",VLOOKUP('1.DATOS-PROD'!AS$2,'1.PUNTOS'!$A$1:$B$63,2,0),0)</f>
        <v>0</v>
      </c>
      <c r="AK339" s="138">
        <f>IF('1.DATOS-PROD'!AT340="SI",VLOOKUP('1.DATOS-PROD'!AT$2,'1.PUNTOS'!$A$1:$B$63,2,0),0)</f>
        <v>0</v>
      </c>
      <c r="AL339" s="138">
        <f>IF('1.DATOS-PROD'!AU340="SI",VLOOKUP('1.DATOS-PROD'!AU$2,'1.PUNTOS'!$A$1:$B$63,2,0),0)</f>
        <v>0</v>
      </c>
      <c r="AM339" s="138">
        <f>IF('1.DATOS-PROD'!AV340="SI",VLOOKUP('1.DATOS-PROD'!AV$2,'1.PUNTOS'!$A$1:$B$63,2,0),0)</f>
        <v>0</v>
      </c>
      <c r="AN339" s="138">
        <f>IF('1.DATOS-PROD'!AW340="SI",VLOOKUP('1.DATOS-PROD'!AW$2,'1.PUNTOS'!$A$1:$B$63,2,0),0)</f>
        <v>0</v>
      </c>
      <c r="AO339" s="138">
        <f>IF('1.DATOS-PROD'!AX340="SI",VLOOKUP('1.DATOS-PROD'!AX$2,'1.PUNTOS'!$A$1:$B$63,2,0),0)</f>
        <v>0</v>
      </c>
      <c r="AP339" s="138">
        <f>IF('1.DATOS-PROD'!AY340="SI",VLOOKUP('1.DATOS-PROD'!AY$2,'1.PUNTOS'!$A$1:$B$63,2,0),0)</f>
        <v>0</v>
      </c>
      <c r="AQ339" s="138">
        <f>IF('1.DATOS-PROD'!AZ340="SI",VLOOKUP('1.DATOS-PROD'!AZ$2,'1.PUNTOS'!$A$1:$B$63,2,0),0)</f>
        <v>0</v>
      </c>
      <c r="AR339" s="138">
        <f>IF('1.DATOS-PROD'!BA340="SI",VLOOKUP('1.DATOS-PROD'!BA$2,'1.PUNTOS'!$A$1:$B$63,2,0),0)</f>
        <v>0</v>
      </c>
      <c r="AS339" s="138">
        <f>IF('1.DATOS-PROD'!BB340="SI",VLOOKUP('1.DATOS-PROD'!BB$2,'1.PUNTOS'!$A$1:$B$63,2,0),0)</f>
        <v>0</v>
      </c>
      <c r="AT339" s="138">
        <f>IF('1.DATOS-PROD'!BC340="SI",VLOOKUP('1.DATOS-PROD'!BC$2,'1.PUNTOS'!$A$1:$B$63,2,0),0)</f>
        <v>0</v>
      </c>
      <c r="AU339" s="138">
        <f>IF('1.DATOS-PROD'!BD340="SI",VLOOKUP('1.DATOS-PROD'!BD$2,'1.PUNTOS'!$A$1:$B$63,2,0),0)</f>
        <v>0</v>
      </c>
      <c r="AV339" s="138">
        <f>IF('1.DATOS-PROD'!BE340="SI",VLOOKUP('1.DATOS-PROD'!BE$2,'1.PUNTOS'!$A$1:$B$63,2,0),0)</f>
        <v>0</v>
      </c>
      <c r="AW339" s="138">
        <f>IF('1.DATOS-PROD'!BF340="SI",VLOOKUP('1.DATOS-PROD'!BF$2,'1.PUNTOS'!$A$1:$B$63,2,0),0)</f>
        <v>0</v>
      </c>
      <c r="AX339" s="138">
        <f>IF('1.DATOS-PROD'!BG340="SI",VLOOKUP('1.DATOS-PROD'!BG$2,'1.PUNTOS'!$A$1:$B$63,2,0),0)</f>
        <v>0</v>
      </c>
      <c r="AY339" s="138">
        <f>IF('1.DATOS-PROD'!BH340="SI",VLOOKUP('1.DATOS-PROD'!BH$2,'1.PUNTOS'!$A$1:$B$63,2,0),0)</f>
        <v>0</v>
      </c>
      <c r="AZ339" s="138">
        <f>IF('1.DATOS-PROD'!BI340="SI",VLOOKUP('1.DATOS-PROD'!BI$2,'1.PUNTOS'!$A$1:$B$63,2,0),0)</f>
        <v>0</v>
      </c>
      <c r="BA339" s="138">
        <f>IF('1.DATOS-PROD'!BJ340="SI",VLOOKUP('1.DATOS-PROD'!BJ$2,'1.PUNTOS'!$A$1:$B$63,2,0),0)</f>
        <v>0</v>
      </c>
      <c r="BB339" s="138">
        <f>IF('1.DATOS-PROD'!BK340="SI",VLOOKUP('1.DATOS-PROD'!BK$2,'1.PUNTOS'!$A$1:$B$63,2,0),0)</f>
        <v>0</v>
      </c>
      <c r="BC339" s="138">
        <f>IF('1.DATOS-PROD'!BL340="SI",VLOOKUP('1.DATOS-PROD'!BL$2,'1.PUNTOS'!$A$1:$B$63,2,0),0)</f>
        <v>0</v>
      </c>
      <c r="BD339" s="138">
        <f>IF('1.DATOS-PROD'!BM340="SI",VLOOKUP('1.DATOS-PROD'!BM$2,'1.PUNTOS'!$A$1:$B$63,2,0),0)</f>
        <v>0</v>
      </c>
      <c r="BE339" s="138">
        <f>IF('1.DATOS-PROD'!BN340="SI",VLOOKUP('1.DATOS-PROD'!BN$2,'1.PUNTOS'!$A$1:$B$63,2,0),0)</f>
        <v>0</v>
      </c>
      <c r="BF339" s="138">
        <f>IF('1.DATOS-PROD'!BO340="SI",VLOOKUP('1.DATOS-PROD'!BO$2,'1.PUNTOS'!$A$1:$B$63,2,0),0)</f>
        <v>0</v>
      </c>
      <c r="BG339" s="138">
        <f>IF('1.DATOS-PROD'!BP340="SI",VLOOKUP('1.DATOS-PROD'!BP$2,'1.PUNTOS'!$A$1:$B$63,2,0),0)</f>
        <v>0</v>
      </c>
      <c r="BH339" s="138">
        <f>IF('1.DATOS-PROD'!BQ340="SI",VLOOKUP('1.DATOS-PROD'!BQ$2,'1.PUNTOS'!$A$1:$B$63,2,0),0)</f>
        <v>0</v>
      </c>
      <c r="BI339" s="138">
        <f>IF('1.DATOS-PROD'!BR340="SI",VLOOKUP('1.DATOS-PROD'!BR$2,'1.PUNTOS'!$A$1:$B$63,2,0),0)</f>
        <v>0</v>
      </c>
      <c r="BJ339" s="138">
        <f>IF('1.DATOS-PROD'!BS340="SI",VLOOKUP('1.DATOS-PROD'!BS$2,'1.PUNTOS'!$A$1:$B$63,2,0),0)</f>
        <v>0</v>
      </c>
      <c r="BK339" s="138">
        <f>IF('1.DATOS-PROD'!BT340="SI",VLOOKUP('1.DATOS-PROD'!BT$2,'1.PUNTOS'!$A$1:$B$63,2,0),0)</f>
        <v>0</v>
      </c>
    </row>
    <row r="340" spans="1:63" x14ac:dyDescent="0.25">
      <c r="A340">
        <f>'0.Consolidado general'!$A341</f>
        <v>0</v>
      </c>
      <c r="B340" s="138">
        <f>IF('1.DATOS-PROD'!K341="SI",VLOOKUP('1.DATOS-PROD'!K$2,'1.PUNTOS'!$A$1:$B$63,2,0),0)</f>
        <v>0</v>
      </c>
      <c r="C340" s="138">
        <f>IF('1.DATOS-PROD'!L341="SI",VLOOKUP('1.DATOS-PROD'!L$2,'1.PUNTOS'!$A$1:$B$63,2,0),0)</f>
        <v>0</v>
      </c>
      <c r="D340" s="138">
        <f>IF('1.DATOS-PROD'!M341="SI",VLOOKUP('1.DATOS-PROD'!M$2,'1.PUNTOS'!$A$1:$B$63,2,0),0)</f>
        <v>0</v>
      </c>
      <c r="E340" s="138">
        <f>IF('1.DATOS-PROD'!N341="SI",VLOOKUP('1.DATOS-PROD'!N$2,'1.PUNTOS'!$A$1:$B$63,2,0),0)</f>
        <v>0</v>
      </c>
      <c r="F340" s="138">
        <f>IF('1.DATOS-PROD'!O341="SI",VLOOKUP('1.DATOS-PROD'!O$2,'1.PUNTOS'!$A$1:$B$63,2,0),0)</f>
        <v>0</v>
      </c>
      <c r="G340" s="138">
        <f>IF('1.DATOS-PROD'!P341="SI",VLOOKUP('1.DATOS-PROD'!P$2,'1.PUNTOS'!$A$1:$B$63,2,0),0)</f>
        <v>0</v>
      </c>
      <c r="H340" s="138">
        <f>IF('1.DATOS-PROD'!Q341="SI",VLOOKUP('1.DATOS-PROD'!Q$2,'1.PUNTOS'!$A$1:$B$63,2,0),0)</f>
        <v>0</v>
      </c>
      <c r="I340" s="138">
        <f>IF('1.DATOS-PROD'!R341="SI",VLOOKUP('1.DATOS-PROD'!R$2,'1.PUNTOS'!$A$1:$B$63,2,0),0)</f>
        <v>0</v>
      </c>
      <c r="J340" s="138">
        <f>IF('1.DATOS-PROD'!S341="SI",VLOOKUP('1.DATOS-PROD'!S$2,'1.PUNTOS'!$A$1:$B$63,2,0),0)</f>
        <v>0</v>
      </c>
      <c r="K340" s="138">
        <f>IF('1.DATOS-PROD'!T341="SI",VLOOKUP('1.DATOS-PROD'!T$2,'1.PUNTOS'!$A$1:$B$63,2,0),0)</f>
        <v>0</v>
      </c>
      <c r="L340" s="138">
        <f>IF('1.DATOS-PROD'!U341="SI",VLOOKUP('1.DATOS-PROD'!U$2,'1.PUNTOS'!$A$1:$B$63,2,0),0)</f>
        <v>0</v>
      </c>
      <c r="M340" s="138">
        <f>IF('1.DATOS-PROD'!V341="SI",VLOOKUP('1.DATOS-PROD'!V$2,'1.PUNTOS'!$A$1:$B$63,2,0),0)</f>
        <v>0</v>
      </c>
      <c r="N340" s="138">
        <f>IF('1.DATOS-PROD'!W341="SI",VLOOKUP('1.DATOS-PROD'!W$2,'1.PUNTOS'!$A$1:$B$63,2,0),0)</f>
        <v>0</v>
      </c>
      <c r="O340" s="138">
        <f>IF('1.DATOS-PROD'!X341="SI",VLOOKUP('1.DATOS-PROD'!X$2,'1.PUNTOS'!$A$1:$B$63,2,0),0)</f>
        <v>0</v>
      </c>
      <c r="P340" s="138">
        <f>IF('1.DATOS-PROD'!Y341="SI",VLOOKUP('1.DATOS-PROD'!Y$2,'1.PUNTOS'!$A$1:$B$63,2,0),0)</f>
        <v>0</v>
      </c>
      <c r="Q340" s="138">
        <f>IF('1.DATOS-PROD'!Z341="SI",VLOOKUP('1.DATOS-PROD'!Z$2,'1.PUNTOS'!$A$1:$B$63,2,0),0)</f>
        <v>0</v>
      </c>
      <c r="R340" s="138">
        <f>IF('1.DATOS-PROD'!AA341="SI",VLOOKUP('1.DATOS-PROD'!AA$2,'1.PUNTOS'!$A$1:$B$63,2,0),0)</f>
        <v>0</v>
      </c>
      <c r="S340" s="138">
        <f>IF('1.DATOS-PROD'!AB341="SI",VLOOKUP('1.DATOS-PROD'!AB$2,'1.PUNTOS'!$A$1:$B$63,2,0),0)</f>
        <v>0</v>
      </c>
      <c r="T340" s="138">
        <f>IF('1.DATOS-PROD'!AC341="SI",VLOOKUP('1.DATOS-PROD'!AC$2,'1.PUNTOS'!$A$1:$B$63,2,0),0)</f>
        <v>0</v>
      </c>
      <c r="U340" s="138">
        <f>IF('1.DATOS-PROD'!AD341="SI",VLOOKUP('1.DATOS-PROD'!AD$2,'1.PUNTOS'!$A$1:$B$63,2,0),0)</f>
        <v>0</v>
      </c>
      <c r="V340" s="138">
        <f>IF('1.DATOS-PROD'!AE341="SI",VLOOKUP('1.DATOS-PROD'!AE$2,'1.PUNTOS'!$A$1:$B$63,2,0),0)</f>
        <v>0</v>
      </c>
      <c r="W340" s="138">
        <f>IF('1.DATOS-PROD'!AF341="SI",VLOOKUP('1.DATOS-PROD'!AF$2,'1.PUNTOS'!$A$1:$B$63,2,0),0)</f>
        <v>0</v>
      </c>
      <c r="X340" s="138">
        <f>IF('1.DATOS-PROD'!AG341="SI",VLOOKUP('1.DATOS-PROD'!AG$2,'1.PUNTOS'!$A$1:$B$63,2,0),0)</f>
        <v>0</v>
      </c>
      <c r="Y340" s="138">
        <f>IF('1.DATOS-PROD'!AH341="SI",VLOOKUP('1.DATOS-PROD'!AH$2,'1.PUNTOS'!$A$1:$B$63,2,0),0)</f>
        <v>0</v>
      </c>
      <c r="Z340" s="138">
        <f>IF('1.DATOS-PROD'!AI341="SI",VLOOKUP('1.DATOS-PROD'!AI$2,'1.PUNTOS'!$A$1:$B$63,2,0),0)</f>
        <v>0</v>
      </c>
      <c r="AA340" s="138">
        <f>IF('1.DATOS-PROD'!AJ341="SI",VLOOKUP('1.DATOS-PROD'!AJ$2,'1.PUNTOS'!$A$1:$B$63,2,0),0)</f>
        <v>0</v>
      </c>
      <c r="AB340" s="138">
        <f>IF('1.DATOS-PROD'!AK341="SI",VLOOKUP('1.DATOS-PROD'!AK$2,'1.PUNTOS'!$A$1:$B$63,2,0),0)</f>
        <v>0</v>
      </c>
      <c r="AC340" s="138">
        <f>IF('1.DATOS-PROD'!AL341="SI",VLOOKUP('1.DATOS-PROD'!AL$2,'1.PUNTOS'!$A$1:$B$63,2,0),0)</f>
        <v>0</v>
      </c>
      <c r="AD340" s="138">
        <f>IF('1.DATOS-PROD'!AM341="SI",VLOOKUP('1.DATOS-PROD'!AM$2,'1.PUNTOS'!$A$1:$B$63,2,0),0)</f>
        <v>0</v>
      </c>
      <c r="AE340" s="138">
        <f>IF('1.DATOS-PROD'!AN341="SI",VLOOKUP('1.DATOS-PROD'!AN$2,'1.PUNTOS'!$A$1:$B$63,2,0),0)</f>
        <v>0</v>
      </c>
      <c r="AF340" s="138">
        <f>IF('1.DATOS-PROD'!AO341="SI",VLOOKUP('1.DATOS-PROD'!AO$2,'1.PUNTOS'!$A$1:$B$63,2,0),0)</f>
        <v>0</v>
      </c>
      <c r="AG340" s="138">
        <f>IF('1.DATOS-PROD'!AP341="SI",VLOOKUP('1.DATOS-PROD'!AP$2,'1.PUNTOS'!$A$1:$B$63,2,0),0)</f>
        <v>0</v>
      </c>
      <c r="AH340" s="138">
        <f>IF('1.DATOS-PROD'!AQ341="SI",VLOOKUP('1.DATOS-PROD'!AQ$2,'1.PUNTOS'!$A$1:$B$63,2,0),0)</f>
        <v>0</v>
      </c>
      <c r="AI340" s="138">
        <f>IF('1.DATOS-PROD'!AR341="SI",VLOOKUP('1.DATOS-PROD'!AR$2,'1.PUNTOS'!$A$1:$B$63,2,0),0)</f>
        <v>0</v>
      </c>
      <c r="AJ340" s="138">
        <f>IF('1.DATOS-PROD'!AS341="SI",VLOOKUP('1.DATOS-PROD'!AS$2,'1.PUNTOS'!$A$1:$B$63,2,0),0)</f>
        <v>0</v>
      </c>
      <c r="AK340" s="138">
        <f>IF('1.DATOS-PROD'!AT341="SI",VLOOKUP('1.DATOS-PROD'!AT$2,'1.PUNTOS'!$A$1:$B$63,2,0),0)</f>
        <v>0</v>
      </c>
      <c r="AL340" s="138">
        <f>IF('1.DATOS-PROD'!AU341="SI",VLOOKUP('1.DATOS-PROD'!AU$2,'1.PUNTOS'!$A$1:$B$63,2,0),0)</f>
        <v>0</v>
      </c>
      <c r="AM340" s="138">
        <f>IF('1.DATOS-PROD'!AV341="SI",VLOOKUP('1.DATOS-PROD'!AV$2,'1.PUNTOS'!$A$1:$B$63,2,0),0)</f>
        <v>0</v>
      </c>
      <c r="AN340" s="138">
        <f>IF('1.DATOS-PROD'!AW341="SI",VLOOKUP('1.DATOS-PROD'!AW$2,'1.PUNTOS'!$A$1:$B$63,2,0),0)</f>
        <v>0</v>
      </c>
      <c r="AO340" s="138">
        <f>IF('1.DATOS-PROD'!AX341="SI",VLOOKUP('1.DATOS-PROD'!AX$2,'1.PUNTOS'!$A$1:$B$63,2,0),0)</f>
        <v>0</v>
      </c>
      <c r="AP340" s="138">
        <f>IF('1.DATOS-PROD'!AY341="SI",VLOOKUP('1.DATOS-PROD'!AY$2,'1.PUNTOS'!$A$1:$B$63,2,0),0)</f>
        <v>0</v>
      </c>
      <c r="AQ340" s="138">
        <f>IF('1.DATOS-PROD'!AZ341="SI",VLOOKUP('1.DATOS-PROD'!AZ$2,'1.PUNTOS'!$A$1:$B$63,2,0),0)</f>
        <v>0</v>
      </c>
      <c r="AR340" s="138">
        <f>IF('1.DATOS-PROD'!BA341="SI",VLOOKUP('1.DATOS-PROD'!BA$2,'1.PUNTOS'!$A$1:$B$63,2,0),0)</f>
        <v>0</v>
      </c>
      <c r="AS340" s="138">
        <f>IF('1.DATOS-PROD'!BB341="SI",VLOOKUP('1.DATOS-PROD'!BB$2,'1.PUNTOS'!$A$1:$B$63,2,0),0)</f>
        <v>0</v>
      </c>
      <c r="AT340" s="138">
        <f>IF('1.DATOS-PROD'!BC341="SI",VLOOKUP('1.DATOS-PROD'!BC$2,'1.PUNTOS'!$A$1:$B$63,2,0),0)</f>
        <v>0</v>
      </c>
      <c r="AU340" s="138">
        <f>IF('1.DATOS-PROD'!BD341="SI",VLOOKUP('1.DATOS-PROD'!BD$2,'1.PUNTOS'!$A$1:$B$63,2,0),0)</f>
        <v>0</v>
      </c>
      <c r="AV340" s="138">
        <f>IF('1.DATOS-PROD'!BE341="SI",VLOOKUP('1.DATOS-PROD'!BE$2,'1.PUNTOS'!$A$1:$B$63,2,0),0)</f>
        <v>0</v>
      </c>
      <c r="AW340" s="138">
        <f>IF('1.DATOS-PROD'!BF341="SI",VLOOKUP('1.DATOS-PROD'!BF$2,'1.PUNTOS'!$A$1:$B$63,2,0),0)</f>
        <v>0</v>
      </c>
      <c r="AX340" s="138">
        <f>IF('1.DATOS-PROD'!BG341="SI",VLOOKUP('1.DATOS-PROD'!BG$2,'1.PUNTOS'!$A$1:$B$63,2,0),0)</f>
        <v>0</v>
      </c>
      <c r="AY340" s="138">
        <f>IF('1.DATOS-PROD'!BH341="SI",VLOOKUP('1.DATOS-PROD'!BH$2,'1.PUNTOS'!$A$1:$B$63,2,0),0)</f>
        <v>0</v>
      </c>
      <c r="AZ340" s="138">
        <f>IF('1.DATOS-PROD'!BI341="SI",VLOOKUP('1.DATOS-PROD'!BI$2,'1.PUNTOS'!$A$1:$B$63,2,0),0)</f>
        <v>0</v>
      </c>
      <c r="BA340" s="138">
        <f>IF('1.DATOS-PROD'!BJ341="SI",VLOOKUP('1.DATOS-PROD'!BJ$2,'1.PUNTOS'!$A$1:$B$63,2,0),0)</f>
        <v>0</v>
      </c>
      <c r="BB340" s="138">
        <f>IF('1.DATOS-PROD'!BK341="SI",VLOOKUP('1.DATOS-PROD'!BK$2,'1.PUNTOS'!$A$1:$B$63,2,0),0)</f>
        <v>0</v>
      </c>
      <c r="BC340" s="138">
        <f>IF('1.DATOS-PROD'!BL341="SI",VLOOKUP('1.DATOS-PROD'!BL$2,'1.PUNTOS'!$A$1:$B$63,2,0),0)</f>
        <v>0</v>
      </c>
      <c r="BD340" s="138">
        <f>IF('1.DATOS-PROD'!BM341="SI",VLOOKUP('1.DATOS-PROD'!BM$2,'1.PUNTOS'!$A$1:$B$63,2,0),0)</f>
        <v>0</v>
      </c>
      <c r="BE340" s="138">
        <f>IF('1.DATOS-PROD'!BN341="SI",VLOOKUP('1.DATOS-PROD'!BN$2,'1.PUNTOS'!$A$1:$B$63,2,0),0)</f>
        <v>0</v>
      </c>
      <c r="BF340" s="138">
        <f>IF('1.DATOS-PROD'!BO341="SI",VLOOKUP('1.DATOS-PROD'!BO$2,'1.PUNTOS'!$A$1:$B$63,2,0),0)</f>
        <v>0</v>
      </c>
      <c r="BG340" s="138">
        <f>IF('1.DATOS-PROD'!BP341="SI",VLOOKUP('1.DATOS-PROD'!BP$2,'1.PUNTOS'!$A$1:$B$63,2,0),0)</f>
        <v>0</v>
      </c>
      <c r="BH340" s="138">
        <f>IF('1.DATOS-PROD'!BQ341="SI",VLOOKUP('1.DATOS-PROD'!BQ$2,'1.PUNTOS'!$A$1:$B$63,2,0),0)</f>
        <v>0</v>
      </c>
      <c r="BI340" s="138">
        <f>IF('1.DATOS-PROD'!BR341="SI",VLOOKUP('1.DATOS-PROD'!BR$2,'1.PUNTOS'!$A$1:$B$63,2,0),0)</f>
        <v>0</v>
      </c>
      <c r="BJ340" s="138">
        <f>IF('1.DATOS-PROD'!BS341="SI",VLOOKUP('1.DATOS-PROD'!BS$2,'1.PUNTOS'!$A$1:$B$63,2,0),0)</f>
        <v>0</v>
      </c>
      <c r="BK340" s="138">
        <f>IF('1.DATOS-PROD'!BT341="SI",VLOOKUP('1.DATOS-PROD'!BT$2,'1.PUNTOS'!$A$1:$B$63,2,0),0)</f>
        <v>0</v>
      </c>
    </row>
    <row r="341" spans="1:63" x14ac:dyDescent="0.25">
      <c r="A341">
        <f>'0.Consolidado general'!$A342</f>
        <v>0</v>
      </c>
      <c r="B341" s="138">
        <f>IF('1.DATOS-PROD'!K342="SI",VLOOKUP('1.DATOS-PROD'!K$2,'1.PUNTOS'!$A$1:$B$63,2,0),0)</f>
        <v>0</v>
      </c>
      <c r="C341" s="138">
        <f>IF('1.DATOS-PROD'!L342="SI",VLOOKUP('1.DATOS-PROD'!L$2,'1.PUNTOS'!$A$1:$B$63,2,0),0)</f>
        <v>0</v>
      </c>
      <c r="D341" s="138">
        <f>IF('1.DATOS-PROD'!M342="SI",VLOOKUP('1.DATOS-PROD'!M$2,'1.PUNTOS'!$A$1:$B$63,2,0),0)</f>
        <v>0</v>
      </c>
      <c r="E341" s="138">
        <f>IF('1.DATOS-PROD'!N342="SI",VLOOKUP('1.DATOS-PROD'!N$2,'1.PUNTOS'!$A$1:$B$63,2,0),0)</f>
        <v>0</v>
      </c>
      <c r="F341" s="138">
        <f>IF('1.DATOS-PROD'!O342="SI",VLOOKUP('1.DATOS-PROD'!O$2,'1.PUNTOS'!$A$1:$B$63,2,0),0)</f>
        <v>0</v>
      </c>
      <c r="G341" s="138">
        <f>IF('1.DATOS-PROD'!P342="SI",VLOOKUP('1.DATOS-PROD'!P$2,'1.PUNTOS'!$A$1:$B$63,2,0),0)</f>
        <v>0</v>
      </c>
      <c r="H341" s="138">
        <f>IF('1.DATOS-PROD'!Q342="SI",VLOOKUP('1.DATOS-PROD'!Q$2,'1.PUNTOS'!$A$1:$B$63,2,0),0)</f>
        <v>0</v>
      </c>
      <c r="I341" s="138">
        <f>IF('1.DATOS-PROD'!R342="SI",VLOOKUP('1.DATOS-PROD'!R$2,'1.PUNTOS'!$A$1:$B$63,2,0),0)</f>
        <v>0</v>
      </c>
      <c r="J341" s="138">
        <f>IF('1.DATOS-PROD'!S342="SI",VLOOKUP('1.DATOS-PROD'!S$2,'1.PUNTOS'!$A$1:$B$63,2,0),0)</f>
        <v>0</v>
      </c>
      <c r="K341" s="138">
        <f>IF('1.DATOS-PROD'!T342="SI",VLOOKUP('1.DATOS-PROD'!T$2,'1.PUNTOS'!$A$1:$B$63,2,0),0)</f>
        <v>0</v>
      </c>
      <c r="L341" s="138">
        <f>IF('1.DATOS-PROD'!U342="SI",VLOOKUP('1.DATOS-PROD'!U$2,'1.PUNTOS'!$A$1:$B$63,2,0),0)</f>
        <v>0</v>
      </c>
      <c r="M341" s="138">
        <f>IF('1.DATOS-PROD'!V342="SI",VLOOKUP('1.DATOS-PROD'!V$2,'1.PUNTOS'!$A$1:$B$63,2,0),0)</f>
        <v>0</v>
      </c>
      <c r="N341" s="138">
        <f>IF('1.DATOS-PROD'!W342="SI",VLOOKUP('1.DATOS-PROD'!W$2,'1.PUNTOS'!$A$1:$B$63,2,0),0)</f>
        <v>0</v>
      </c>
      <c r="O341" s="138">
        <f>IF('1.DATOS-PROD'!X342="SI",VLOOKUP('1.DATOS-PROD'!X$2,'1.PUNTOS'!$A$1:$B$63,2,0),0)</f>
        <v>0</v>
      </c>
      <c r="P341" s="138">
        <f>IF('1.DATOS-PROD'!Y342="SI",VLOOKUP('1.DATOS-PROD'!Y$2,'1.PUNTOS'!$A$1:$B$63,2,0),0)</f>
        <v>0</v>
      </c>
      <c r="Q341" s="138">
        <f>IF('1.DATOS-PROD'!Z342="SI",VLOOKUP('1.DATOS-PROD'!Z$2,'1.PUNTOS'!$A$1:$B$63,2,0),0)</f>
        <v>0</v>
      </c>
      <c r="R341" s="138">
        <f>IF('1.DATOS-PROD'!AA342="SI",VLOOKUP('1.DATOS-PROD'!AA$2,'1.PUNTOS'!$A$1:$B$63,2,0),0)</f>
        <v>0</v>
      </c>
      <c r="S341" s="138">
        <f>IF('1.DATOS-PROD'!AB342="SI",VLOOKUP('1.DATOS-PROD'!AB$2,'1.PUNTOS'!$A$1:$B$63,2,0),0)</f>
        <v>0</v>
      </c>
      <c r="T341" s="138">
        <f>IF('1.DATOS-PROD'!AC342="SI",VLOOKUP('1.DATOS-PROD'!AC$2,'1.PUNTOS'!$A$1:$B$63,2,0),0)</f>
        <v>0</v>
      </c>
      <c r="U341" s="138">
        <f>IF('1.DATOS-PROD'!AD342="SI",VLOOKUP('1.DATOS-PROD'!AD$2,'1.PUNTOS'!$A$1:$B$63,2,0),0)</f>
        <v>0</v>
      </c>
      <c r="V341" s="138">
        <f>IF('1.DATOS-PROD'!AE342="SI",VLOOKUP('1.DATOS-PROD'!AE$2,'1.PUNTOS'!$A$1:$B$63,2,0),0)</f>
        <v>0</v>
      </c>
      <c r="W341" s="138">
        <f>IF('1.DATOS-PROD'!AF342="SI",VLOOKUP('1.DATOS-PROD'!AF$2,'1.PUNTOS'!$A$1:$B$63,2,0),0)</f>
        <v>0</v>
      </c>
      <c r="X341" s="138">
        <f>IF('1.DATOS-PROD'!AG342="SI",VLOOKUP('1.DATOS-PROD'!AG$2,'1.PUNTOS'!$A$1:$B$63,2,0),0)</f>
        <v>0</v>
      </c>
      <c r="Y341" s="138">
        <f>IF('1.DATOS-PROD'!AH342="SI",VLOOKUP('1.DATOS-PROD'!AH$2,'1.PUNTOS'!$A$1:$B$63,2,0),0)</f>
        <v>0</v>
      </c>
      <c r="Z341" s="138">
        <f>IF('1.DATOS-PROD'!AI342="SI",VLOOKUP('1.DATOS-PROD'!AI$2,'1.PUNTOS'!$A$1:$B$63,2,0),0)</f>
        <v>0</v>
      </c>
      <c r="AA341" s="138">
        <f>IF('1.DATOS-PROD'!AJ342="SI",VLOOKUP('1.DATOS-PROD'!AJ$2,'1.PUNTOS'!$A$1:$B$63,2,0),0)</f>
        <v>0</v>
      </c>
      <c r="AB341" s="138">
        <f>IF('1.DATOS-PROD'!AK342="SI",VLOOKUP('1.DATOS-PROD'!AK$2,'1.PUNTOS'!$A$1:$B$63,2,0),0)</f>
        <v>0</v>
      </c>
      <c r="AC341" s="138">
        <f>IF('1.DATOS-PROD'!AL342="SI",VLOOKUP('1.DATOS-PROD'!AL$2,'1.PUNTOS'!$A$1:$B$63,2,0),0)</f>
        <v>0</v>
      </c>
      <c r="AD341" s="138">
        <f>IF('1.DATOS-PROD'!AM342="SI",VLOOKUP('1.DATOS-PROD'!AM$2,'1.PUNTOS'!$A$1:$B$63,2,0),0)</f>
        <v>0</v>
      </c>
      <c r="AE341" s="138">
        <f>IF('1.DATOS-PROD'!AN342="SI",VLOOKUP('1.DATOS-PROD'!AN$2,'1.PUNTOS'!$A$1:$B$63,2,0),0)</f>
        <v>0</v>
      </c>
      <c r="AF341" s="138">
        <f>IF('1.DATOS-PROD'!AO342="SI",VLOOKUP('1.DATOS-PROD'!AO$2,'1.PUNTOS'!$A$1:$B$63,2,0),0)</f>
        <v>0</v>
      </c>
      <c r="AG341" s="138">
        <f>IF('1.DATOS-PROD'!AP342="SI",VLOOKUP('1.DATOS-PROD'!AP$2,'1.PUNTOS'!$A$1:$B$63,2,0),0)</f>
        <v>0</v>
      </c>
      <c r="AH341" s="138">
        <f>IF('1.DATOS-PROD'!AQ342="SI",VLOOKUP('1.DATOS-PROD'!AQ$2,'1.PUNTOS'!$A$1:$B$63,2,0),0)</f>
        <v>0</v>
      </c>
      <c r="AI341" s="138">
        <f>IF('1.DATOS-PROD'!AR342="SI",VLOOKUP('1.DATOS-PROD'!AR$2,'1.PUNTOS'!$A$1:$B$63,2,0),0)</f>
        <v>0</v>
      </c>
      <c r="AJ341" s="138">
        <f>IF('1.DATOS-PROD'!AS342="SI",VLOOKUP('1.DATOS-PROD'!AS$2,'1.PUNTOS'!$A$1:$B$63,2,0),0)</f>
        <v>0</v>
      </c>
      <c r="AK341" s="138">
        <f>IF('1.DATOS-PROD'!AT342="SI",VLOOKUP('1.DATOS-PROD'!AT$2,'1.PUNTOS'!$A$1:$B$63,2,0),0)</f>
        <v>0</v>
      </c>
      <c r="AL341" s="138">
        <f>IF('1.DATOS-PROD'!AU342="SI",VLOOKUP('1.DATOS-PROD'!AU$2,'1.PUNTOS'!$A$1:$B$63,2,0),0)</f>
        <v>0</v>
      </c>
      <c r="AM341" s="138">
        <f>IF('1.DATOS-PROD'!AV342="SI",VLOOKUP('1.DATOS-PROD'!AV$2,'1.PUNTOS'!$A$1:$B$63,2,0),0)</f>
        <v>0</v>
      </c>
      <c r="AN341" s="138">
        <f>IF('1.DATOS-PROD'!AW342="SI",VLOOKUP('1.DATOS-PROD'!AW$2,'1.PUNTOS'!$A$1:$B$63,2,0),0)</f>
        <v>0</v>
      </c>
      <c r="AO341" s="138">
        <f>IF('1.DATOS-PROD'!AX342="SI",VLOOKUP('1.DATOS-PROD'!AX$2,'1.PUNTOS'!$A$1:$B$63,2,0),0)</f>
        <v>0</v>
      </c>
      <c r="AP341" s="138">
        <f>IF('1.DATOS-PROD'!AY342="SI",VLOOKUP('1.DATOS-PROD'!AY$2,'1.PUNTOS'!$A$1:$B$63,2,0),0)</f>
        <v>0</v>
      </c>
      <c r="AQ341" s="138">
        <f>IF('1.DATOS-PROD'!AZ342="SI",VLOOKUP('1.DATOS-PROD'!AZ$2,'1.PUNTOS'!$A$1:$B$63,2,0),0)</f>
        <v>0</v>
      </c>
      <c r="AR341" s="138">
        <f>IF('1.DATOS-PROD'!BA342="SI",VLOOKUP('1.DATOS-PROD'!BA$2,'1.PUNTOS'!$A$1:$B$63,2,0),0)</f>
        <v>0</v>
      </c>
      <c r="AS341" s="138">
        <f>IF('1.DATOS-PROD'!BB342="SI",VLOOKUP('1.DATOS-PROD'!BB$2,'1.PUNTOS'!$A$1:$B$63,2,0),0)</f>
        <v>0</v>
      </c>
      <c r="AT341" s="138">
        <f>IF('1.DATOS-PROD'!BC342="SI",VLOOKUP('1.DATOS-PROD'!BC$2,'1.PUNTOS'!$A$1:$B$63,2,0),0)</f>
        <v>0</v>
      </c>
      <c r="AU341" s="138">
        <f>IF('1.DATOS-PROD'!BD342="SI",VLOOKUP('1.DATOS-PROD'!BD$2,'1.PUNTOS'!$A$1:$B$63,2,0),0)</f>
        <v>0</v>
      </c>
      <c r="AV341" s="138">
        <f>IF('1.DATOS-PROD'!BE342="SI",VLOOKUP('1.DATOS-PROD'!BE$2,'1.PUNTOS'!$A$1:$B$63,2,0),0)</f>
        <v>0</v>
      </c>
      <c r="AW341" s="138">
        <f>IF('1.DATOS-PROD'!BF342="SI",VLOOKUP('1.DATOS-PROD'!BF$2,'1.PUNTOS'!$A$1:$B$63,2,0),0)</f>
        <v>0</v>
      </c>
      <c r="AX341" s="138">
        <f>IF('1.DATOS-PROD'!BG342="SI",VLOOKUP('1.DATOS-PROD'!BG$2,'1.PUNTOS'!$A$1:$B$63,2,0),0)</f>
        <v>0</v>
      </c>
      <c r="AY341" s="138">
        <f>IF('1.DATOS-PROD'!BH342="SI",VLOOKUP('1.DATOS-PROD'!BH$2,'1.PUNTOS'!$A$1:$B$63,2,0),0)</f>
        <v>0</v>
      </c>
      <c r="AZ341" s="138">
        <f>IF('1.DATOS-PROD'!BI342="SI",VLOOKUP('1.DATOS-PROD'!BI$2,'1.PUNTOS'!$A$1:$B$63,2,0),0)</f>
        <v>0</v>
      </c>
      <c r="BA341" s="138">
        <f>IF('1.DATOS-PROD'!BJ342="SI",VLOOKUP('1.DATOS-PROD'!BJ$2,'1.PUNTOS'!$A$1:$B$63,2,0),0)</f>
        <v>0</v>
      </c>
      <c r="BB341" s="138">
        <f>IF('1.DATOS-PROD'!BK342="SI",VLOOKUP('1.DATOS-PROD'!BK$2,'1.PUNTOS'!$A$1:$B$63,2,0),0)</f>
        <v>0</v>
      </c>
      <c r="BC341" s="138">
        <f>IF('1.DATOS-PROD'!BL342="SI",VLOOKUP('1.DATOS-PROD'!BL$2,'1.PUNTOS'!$A$1:$B$63,2,0),0)</f>
        <v>0</v>
      </c>
      <c r="BD341" s="138">
        <f>IF('1.DATOS-PROD'!BM342="SI",VLOOKUP('1.DATOS-PROD'!BM$2,'1.PUNTOS'!$A$1:$B$63,2,0),0)</f>
        <v>0</v>
      </c>
      <c r="BE341" s="138">
        <f>IF('1.DATOS-PROD'!BN342="SI",VLOOKUP('1.DATOS-PROD'!BN$2,'1.PUNTOS'!$A$1:$B$63,2,0),0)</f>
        <v>0</v>
      </c>
      <c r="BF341" s="138">
        <f>IF('1.DATOS-PROD'!BO342="SI",VLOOKUP('1.DATOS-PROD'!BO$2,'1.PUNTOS'!$A$1:$B$63,2,0),0)</f>
        <v>0</v>
      </c>
      <c r="BG341" s="138">
        <f>IF('1.DATOS-PROD'!BP342="SI",VLOOKUP('1.DATOS-PROD'!BP$2,'1.PUNTOS'!$A$1:$B$63,2,0),0)</f>
        <v>0</v>
      </c>
      <c r="BH341" s="138">
        <f>IF('1.DATOS-PROD'!BQ342="SI",VLOOKUP('1.DATOS-PROD'!BQ$2,'1.PUNTOS'!$A$1:$B$63,2,0),0)</f>
        <v>0</v>
      </c>
      <c r="BI341" s="138">
        <f>IF('1.DATOS-PROD'!BR342="SI",VLOOKUP('1.DATOS-PROD'!BR$2,'1.PUNTOS'!$A$1:$B$63,2,0),0)</f>
        <v>0</v>
      </c>
      <c r="BJ341" s="138">
        <f>IF('1.DATOS-PROD'!BS342="SI",VLOOKUP('1.DATOS-PROD'!BS$2,'1.PUNTOS'!$A$1:$B$63,2,0),0)</f>
        <v>0</v>
      </c>
      <c r="BK341" s="138">
        <f>IF('1.DATOS-PROD'!BT342="SI",VLOOKUP('1.DATOS-PROD'!BT$2,'1.PUNTOS'!$A$1:$B$63,2,0),0)</f>
        <v>0</v>
      </c>
    </row>
    <row r="342" spans="1:63" x14ac:dyDescent="0.25">
      <c r="A342">
        <f>'0.Consolidado general'!$A343</f>
        <v>0</v>
      </c>
      <c r="B342" s="138">
        <f>IF('1.DATOS-PROD'!K343="SI",VLOOKUP('1.DATOS-PROD'!K$2,'1.PUNTOS'!$A$1:$B$63,2,0),0)</f>
        <v>0</v>
      </c>
      <c r="C342" s="138">
        <f>IF('1.DATOS-PROD'!L343="SI",VLOOKUP('1.DATOS-PROD'!L$2,'1.PUNTOS'!$A$1:$B$63,2,0),0)</f>
        <v>0</v>
      </c>
      <c r="D342" s="138">
        <f>IF('1.DATOS-PROD'!M343="SI",VLOOKUP('1.DATOS-PROD'!M$2,'1.PUNTOS'!$A$1:$B$63,2,0),0)</f>
        <v>0</v>
      </c>
      <c r="E342" s="138">
        <f>IF('1.DATOS-PROD'!N343="SI",VLOOKUP('1.DATOS-PROD'!N$2,'1.PUNTOS'!$A$1:$B$63,2,0),0)</f>
        <v>0</v>
      </c>
      <c r="F342" s="138">
        <f>IF('1.DATOS-PROD'!O343="SI",VLOOKUP('1.DATOS-PROD'!O$2,'1.PUNTOS'!$A$1:$B$63,2,0),0)</f>
        <v>0</v>
      </c>
      <c r="G342" s="138">
        <f>IF('1.DATOS-PROD'!P343="SI",VLOOKUP('1.DATOS-PROD'!P$2,'1.PUNTOS'!$A$1:$B$63,2,0),0)</f>
        <v>0</v>
      </c>
      <c r="H342" s="138">
        <f>IF('1.DATOS-PROD'!Q343="SI",VLOOKUP('1.DATOS-PROD'!Q$2,'1.PUNTOS'!$A$1:$B$63,2,0),0)</f>
        <v>0</v>
      </c>
      <c r="I342" s="138">
        <f>IF('1.DATOS-PROD'!R343="SI",VLOOKUP('1.DATOS-PROD'!R$2,'1.PUNTOS'!$A$1:$B$63,2,0),0)</f>
        <v>0</v>
      </c>
      <c r="J342" s="138">
        <f>IF('1.DATOS-PROD'!S343="SI",VLOOKUP('1.DATOS-PROD'!S$2,'1.PUNTOS'!$A$1:$B$63,2,0),0)</f>
        <v>0</v>
      </c>
      <c r="K342" s="138">
        <f>IF('1.DATOS-PROD'!T343="SI",VLOOKUP('1.DATOS-PROD'!T$2,'1.PUNTOS'!$A$1:$B$63,2,0),0)</f>
        <v>0</v>
      </c>
      <c r="L342" s="138">
        <f>IF('1.DATOS-PROD'!U343="SI",VLOOKUP('1.DATOS-PROD'!U$2,'1.PUNTOS'!$A$1:$B$63,2,0),0)</f>
        <v>0</v>
      </c>
      <c r="M342" s="138">
        <f>IF('1.DATOS-PROD'!V343="SI",VLOOKUP('1.DATOS-PROD'!V$2,'1.PUNTOS'!$A$1:$B$63,2,0),0)</f>
        <v>0</v>
      </c>
      <c r="N342" s="138">
        <f>IF('1.DATOS-PROD'!W343="SI",VLOOKUP('1.DATOS-PROD'!W$2,'1.PUNTOS'!$A$1:$B$63,2,0),0)</f>
        <v>0</v>
      </c>
      <c r="O342" s="138">
        <f>IF('1.DATOS-PROD'!X343="SI",VLOOKUP('1.DATOS-PROD'!X$2,'1.PUNTOS'!$A$1:$B$63,2,0),0)</f>
        <v>0</v>
      </c>
      <c r="P342" s="138">
        <f>IF('1.DATOS-PROD'!Y343="SI",VLOOKUP('1.DATOS-PROD'!Y$2,'1.PUNTOS'!$A$1:$B$63,2,0),0)</f>
        <v>0</v>
      </c>
      <c r="Q342" s="138">
        <f>IF('1.DATOS-PROD'!Z343="SI",VLOOKUP('1.DATOS-PROD'!Z$2,'1.PUNTOS'!$A$1:$B$63,2,0),0)</f>
        <v>0</v>
      </c>
      <c r="R342" s="138">
        <f>IF('1.DATOS-PROD'!AA343="SI",VLOOKUP('1.DATOS-PROD'!AA$2,'1.PUNTOS'!$A$1:$B$63,2,0),0)</f>
        <v>0</v>
      </c>
      <c r="S342" s="138">
        <f>IF('1.DATOS-PROD'!AB343="SI",VLOOKUP('1.DATOS-PROD'!AB$2,'1.PUNTOS'!$A$1:$B$63,2,0),0)</f>
        <v>0</v>
      </c>
      <c r="T342" s="138">
        <f>IF('1.DATOS-PROD'!AC343="SI",VLOOKUP('1.DATOS-PROD'!AC$2,'1.PUNTOS'!$A$1:$B$63,2,0),0)</f>
        <v>0</v>
      </c>
      <c r="U342" s="138">
        <f>IF('1.DATOS-PROD'!AD343="SI",VLOOKUP('1.DATOS-PROD'!AD$2,'1.PUNTOS'!$A$1:$B$63,2,0),0)</f>
        <v>0</v>
      </c>
      <c r="V342" s="138">
        <f>IF('1.DATOS-PROD'!AE343="SI",VLOOKUP('1.DATOS-PROD'!AE$2,'1.PUNTOS'!$A$1:$B$63,2,0),0)</f>
        <v>0</v>
      </c>
      <c r="W342" s="138">
        <f>IF('1.DATOS-PROD'!AF343="SI",VLOOKUP('1.DATOS-PROD'!AF$2,'1.PUNTOS'!$A$1:$B$63,2,0),0)</f>
        <v>0</v>
      </c>
      <c r="X342" s="138">
        <f>IF('1.DATOS-PROD'!AG343="SI",VLOOKUP('1.DATOS-PROD'!AG$2,'1.PUNTOS'!$A$1:$B$63,2,0),0)</f>
        <v>0</v>
      </c>
      <c r="Y342" s="138">
        <f>IF('1.DATOS-PROD'!AH343="SI",VLOOKUP('1.DATOS-PROD'!AH$2,'1.PUNTOS'!$A$1:$B$63,2,0),0)</f>
        <v>0</v>
      </c>
      <c r="Z342" s="138">
        <f>IF('1.DATOS-PROD'!AI343="SI",VLOOKUP('1.DATOS-PROD'!AI$2,'1.PUNTOS'!$A$1:$B$63,2,0),0)</f>
        <v>0</v>
      </c>
      <c r="AA342" s="138">
        <f>IF('1.DATOS-PROD'!AJ343="SI",VLOOKUP('1.DATOS-PROD'!AJ$2,'1.PUNTOS'!$A$1:$B$63,2,0),0)</f>
        <v>0</v>
      </c>
      <c r="AB342" s="138">
        <f>IF('1.DATOS-PROD'!AK343="SI",VLOOKUP('1.DATOS-PROD'!AK$2,'1.PUNTOS'!$A$1:$B$63,2,0),0)</f>
        <v>0</v>
      </c>
      <c r="AC342" s="138">
        <f>IF('1.DATOS-PROD'!AL343="SI",VLOOKUP('1.DATOS-PROD'!AL$2,'1.PUNTOS'!$A$1:$B$63,2,0),0)</f>
        <v>0</v>
      </c>
      <c r="AD342" s="138">
        <f>IF('1.DATOS-PROD'!AM343="SI",VLOOKUP('1.DATOS-PROD'!AM$2,'1.PUNTOS'!$A$1:$B$63,2,0),0)</f>
        <v>0</v>
      </c>
      <c r="AE342" s="138">
        <f>IF('1.DATOS-PROD'!AN343="SI",VLOOKUP('1.DATOS-PROD'!AN$2,'1.PUNTOS'!$A$1:$B$63,2,0),0)</f>
        <v>0</v>
      </c>
      <c r="AF342" s="138">
        <f>IF('1.DATOS-PROD'!AO343="SI",VLOOKUP('1.DATOS-PROD'!AO$2,'1.PUNTOS'!$A$1:$B$63,2,0),0)</f>
        <v>0</v>
      </c>
      <c r="AG342" s="138">
        <f>IF('1.DATOS-PROD'!AP343="SI",VLOOKUP('1.DATOS-PROD'!AP$2,'1.PUNTOS'!$A$1:$B$63,2,0),0)</f>
        <v>0</v>
      </c>
      <c r="AH342" s="138">
        <f>IF('1.DATOS-PROD'!AQ343="SI",VLOOKUP('1.DATOS-PROD'!AQ$2,'1.PUNTOS'!$A$1:$B$63,2,0),0)</f>
        <v>0</v>
      </c>
      <c r="AI342" s="138">
        <f>IF('1.DATOS-PROD'!AR343="SI",VLOOKUP('1.DATOS-PROD'!AR$2,'1.PUNTOS'!$A$1:$B$63,2,0),0)</f>
        <v>0</v>
      </c>
      <c r="AJ342" s="138">
        <f>IF('1.DATOS-PROD'!AS343="SI",VLOOKUP('1.DATOS-PROD'!AS$2,'1.PUNTOS'!$A$1:$B$63,2,0),0)</f>
        <v>0</v>
      </c>
      <c r="AK342" s="138">
        <f>IF('1.DATOS-PROD'!AT343="SI",VLOOKUP('1.DATOS-PROD'!AT$2,'1.PUNTOS'!$A$1:$B$63,2,0),0)</f>
        <v>0</v>
      </c>
      <c r="AL342" s="138">
        <f>IF('1.DATOS-PROD'!AU343="SI",VLOOKUP('1.DATOS-PROD'!AU$2,'1.PUNTOS'!$A$1:$B$63,2,0),0)</f>
        <v>0</v>
      </c>
      <c r="AM342" s="138">
        <f>IF('1.DATOS-PROD'!AV343="SI",VLOOKUP('1.DATOS-PROD'!AV$2,'1.PUNTOS'!$A$1:$B$63,2,0),0)</f>
        <v>0</v>
      </c>
      <c r="AN342" s="138">
        <f>IF('1.DATOS-PROD'!AW343="SI",VLOOKUP('1.DATOS-PROD'!AW$2,'1.PUNTOS'!$A$1:$B$63,2,0),0)</f>
        <v>0</v>
      </c>
      <c r="AO342" s="138">
        <f>IF('1.DATOS-PROD'!AX343="SI",VLOOKUP('1.DATOS-PROD'!AX$2,'1.PUNTOS'!$A$1:$B$63,2,0),0)</f>
        <v>0</v>
      </c>
      <c r="AP342" s="138">
        <f>IF('1.DATOS-PROD'!AY343="SI",VLOOKUP('1.DATOS-PROD'!AY$2,'1.PUNTOS'!$A$1:$B$63,2,0),0)</f>
        <v>0</v>
      </c>
      <c r="AQ342" s="138">
        <f>IF('1.DATOS-PROD'!AZ343="SI",VLOOKUP('1.DATOS-PROD'!AZ$2,'1.PUNTOS'!$A$1:$B$63,2,0),0)</f>
        <v>0</v>
      </c>
      <c r="AR342" s="138">
        <f>IF('1.DATOS-PROD'!BA343="SI",VLOOKUP('1.DATOS-PROD'!BA$2,'1.PUNTOS'!$A$1:$B$63,2,0),0)</f>
        <v>0</v>
      </c>
      <c r="AS342" s="138">
        <f>IF('1.DATOS-PROD'!BB343="SI",VLOOKUP('1.DATOS-PROD'!BB$2,'1.PUNTOS'!$A$1:$B$63,2,0),0)</f>
        <v>0</v>
      </c>
      <c r="AT342" s="138">
        <f>IF('1.DATOS-PROD'!BC343="SI",VLOOKUP('1.DATOS-PROD'!BC$2,'1.PUNTOS'!$A$1:$B$63,2,0),0)</f>
        <v>0</v>
      </c>
      <c r="AU342" s="138">
        <f>IF('1.DATOS-PROD'!BD343="SI",VLOOKUP('1.DATOS-PROD'!BD$2,'1.PUNTOS'!$A$1:$B$63,2,0),0)</f>
        <v>0</v>
      </c>
      <c r="AV342" s="138">
        <f>IF('1.DATOS-PROD'!BE343="SI",VLOOKUP('1.DATOS-PROD'!BE$2,'1.PUNTOS'!$A$1:$B$63,2,0),0)</f>
        <v>0</v>
      </c>
      <c r="AW342" s="138">
        <f>IF('1.DATOS-PROD'!BF343="SI",VLOOKUP('1.DATOS-PROD'!BF$2,'1.PUNTOS'!$A$1:$B$63,2,0),0)</f>
        <v>0</v>
      </c>
      <c r="AX342" s="138">
        <f>IF('1.DATOS-PROD'!BG343="SI",VLOOKUP('1.DATOS-PROD'!BG$2,'1.PUNTOS'!$A$1:$B$63,2,0),0)</f>
        <v>0</v>
      </c>
      <c r="AY342" s="138">
        <f>IF('1.DATOS-PROD'!BH343="SI",VLOOKUP('1.DATOS-PROD'!BH$2,'1.PUNTOS'!$A$1:$B$63,2,0),0)</f>
        <v>0</v>
      </c>
      <c r="AZ342" s="138">
        <f>IF('1.DATOS-PROD'!BI343="SI",VLOOKUP('1.DATOS-PROD'!BI$2,'1.PUNTOS'!$A$1:$B$63,2,0),0)</f>
        <v>0</v>
      </c>
      <c r="BA342" s="138">
        <f>IF('1.DATOS-PROD'!BJ343="SI",VLOOKUP('1.DATOS-PROD'!BJ$2,'1.PUNTOS'!$A$1:$B$63,2,0),0)</f>
        <v>0</v>
      </c>
      <c r="BB342" s="138">
        <f>IF('1.DATOS-PROD'!BK343="SI",VLOOKUP('1.DATOS-PROD'!BK$2,'1.PUNTOS'!$A$1:$B$63,2,0),0)</f>
        <v>0</v>
      </c>
      <c r="BC342" s="138">
        <f>IF('1.DATOS-PROD'!BL343="SI",VLOOKUP('1.DATOS-PROD'!BL$2,'1.PUNTOS'!$A$1:$B$63,2,0),0)</f>
        <v>0</v>
      </c>
      <c r="BD342" s="138">
        <f>IF('1.DATOS-PROD'!BM343="SI",VLOOKUP('1.DATOS-PROD'!BM$2,'1.PUNTOS'!$A$1:$B$63,2,0),0)</f>
        <v>0</v>
      </c>
      <c r="BE342" s="138">
        <f>IF('1.DATOS-PROD'!BN343="SI",VLOOKUP('1.DATOS-PROD'!BN$2,'1.PUNTOS'!$A$1:$B$63,2,0),0)</f>
        <v>0</v>
      </c>
      <c r="BF342" s="138">
        <f>IF('1.DATOS-PROD'!BO343="SI",VLOOKUP('1.DATOS-PROD'!BO$2,'1.PUNTOS'!$A$1:$B$63,2,0),0)</f>
        <v>0</v>
      </c>
      <c r="BG342" s="138">
        <f>IF('1.DATOS-PROD'!BP343="SI",VLOOKUP('1.DATOS-PROD'!BP$2,'1.PUNTOS'!$A$1:$B$63,2,0),0)</f>
        <v>0</v>
      </c>
      <c r="BH342" s="138">
        <f>IF('1.DATOS-PROD'!BQ343="SI",VLOOKUP('1.DATOS-PROD'!BQ$2,'1.PUNTOS'!$A$1:$B$63,2,0),0)</f>
        <v>0</v>
      </c>
      <c r="BI342" s="138">
        <f>IF('1.DATOS-PROD'!BR343="SI",VLOOKUP('1.DATOS-PROD'!BR$2,'1.PUNTOS'!$A$1:$B$63,2,0),0)</f>
        <v>0</v>
      </c>
      <c r="BJ342" s="138">
        <f>IF('1.DATOS-PROD'!BS343="SI",VLOOKUP('1.DATOS-PROD'!BS$2,'1.PUNTOS'!$A$1:$B$63,2,0),0)</f>
        <v>0</v>
      </c>
      <c r="BK342" s="138">
        <f>IF('1.DATOS-PROD'!BT343="SI",VLOOKUP('1.DATOS-PROD'!BT$2,'1.PUNTOS'!$A$1:$B$63,2,0),0)</f>
        <v>0</v>
      </c>
    </row>
    <row r="343" spans="1:63" x14ac:dyDescent="0.25">
      <c r="A343">
        <f>'0.Consolidado general'!$A344</f>
        <v>0</v>
      </c>
      <c r="B343" s="138">
        <f>IF('1.DATOS-PROD'!K344="SI",VLOOKUP('1.DATOS-PROD'!K$2,'1.PUNTOS'!$A$1:$B$63,2,0),0)</f>
        <v>0</v>
      </c>
      <c r="C343" s="138">
        <f>IF('1.DATOS-PROD'!L344="SI",VLOOKUP('1.DATOS-PROD'!L$2,'1.PUNTOS'!$A$1:$B$63,2,0),0)</f>
        <v>0</v>
      </c>
      <c r="D343" s="138">
        <f>IF('1.DATOS-PROD'!M344="SI",VLOOKUP('1.DATOS-PROD'!M$2,'1.PUNTOS'!$A$1:$B$63,2,0),0)</f>
        <v>0</v>
      </c>
      <c r="E343" s="138">
        <f>IF('1.DATOS-PROD'!N344="SI",VLOOKUP('1.DATOS-PROD'!N$2,'1.PUNTOS'!$A$1:$B$63,2,0),0)</f>
        <v>0</v>
      </c>
      <c r="F343" s="138">
        <f>IF('1.DATOS-PROD'!O344="SI",VLOOKUP('1.DATOS-PROD'!O$2,'1.PUNTOS'!$A$1:$B$63,2,0),0)</f>
        <v>0</v>
      </c>
      <c r="G343" s="138">
        <f>IF('1.DATOS-PROD'!P344="SI",VLOOKUP('1.DATOS-PROD'!P$2,'1.PUNTOS'!$A$1:$B$63,2,0),0)</f>
        <v>0</v>
      </c>
      <c r="H343" s="138">
        <f>IF('1.DATOS-PROD'!Q344="SI",VLOOKUP('1.DATOS-PROD'!Q$2,'1.PUNTOS'!$A$1:$B$63,2,0),0)</f>
        <v>0</v>
      </c>
      <c r="I343" s="138">
        <f>IF('1.DATOS-PROD'!R344="SI",VLOOKUP('1.DATOS-PROD'!R$2,'1.PUNTOS'!$A$1:$B$63,2,0),0)</f>
        <v>0</v>
      </c>
      <c r="J343" s="138">
        <f>IF('1.DATOS-PROD'!S344="SI",VLOOKUP('1.DATOS-PROD'!S$2,'1.PUNTOS'!$A$1:$B$63,2,0),0)</f>
        <v>0</v>
      </c>
      <c r="K343" s="138">
        <f>IF('1.DATOS-PROD'!T344="SI",VLOOKUP('1.DATOS-PROD'!T$2,'1.PUNTOS'!$A$1:$B$63,2,0),0)</f>
        <v>0</v>
      </c>
      <c r="L343" s="138">
        <f>IF('1.DATOS-PROD'!U344="SI",VLOOKUP('1.DATOS-PROD'!U$2,'1.PUNTOS'!$A$1:$B$63,2,0),0)</f>
        <v>0</v>
      </c>
      <c r="M343" s="138">
        <f>IF('1.DATOS-PROD'!V344="SI",VLOOKUP('1.DATOS-PROD'!V$2,'1.PUNTOS'!$A$1:$B$63,2,0),0)</f>
        <v>0</v>
      </c>
      <c r="N343" s="138">
        <f>IF('1.DATOS-PROD'!W344="SI",VLOOKUP('1.DATOS-PROD'!W$2,'1.PUNTOS'!$A$1:$B$63,2,0),0)</f>
        <v>0</v>
      </c>
      <c r="O343" s="138">
        <f>IF('1.DATOS-PROD'!X344="SI",VLOOKUP('1.DATOS-PROD'!X$2,'1.PUNTOS'!$A$1:$B$63,2,0),0)</f>
        <v>0</v>
      </c>
      <c r="P343" s="138">
        <f>IF('1.DATOS-PROD'!Y344="SI",VLOOKUP('1.DATOS-PROD'!Y$2,'1.PUNTOS'!$A$1:$B$63,2,0),0)</f>
        <v>0</v>
      </c>
      <c r="Q343" s="138">
        <f>IF('1.DATOS-PROD'!Z344="SI",VLOOKUP('1.DATOS-PROD'!Z$2,'1.PUNTOS'!$A$1:$B$63,2,0),0)</f>
        <v>0</v>
      </c>
      <c r="R343" s="138">
        <f>IF('1.DATOS-PROD'!AA344="SI",VLOOKUP('1.DATOS-PROD'!AA$2,'1.PUNTOS'!$A$1:$B$63,2,0),0)</f>
        <v>0</v>
      </c>
      <c r="S343" s="138">
        <f>IF('1.DATOS-PROD'!AB344="SI",VLOOKUP('1.DATOS-PROD'!AB$2,'1.PUNTOS'!$A$1:$B$63,2,0),0)</f>
        <v>0</v>
      </c>
      <c r="T343" s="138">
        <f>IF('1.DATOS-PROD'!AC344="SI",VLOOKUP('1.DATOS-PROD'!AC$2,'1.PUNTOS'!$A$1:$B$63,2,0),0)</f>
        <v>0</v>
      </c>
      <c r="U343" s="138">
        <f>IF('1.DATOS-PROD'!AD344="SI",VLOOKUP('1.DATOS-PROD'!AD$2,'1.PUNTOS'!$A$1:$B$63,2,0),0)</f>
        <v>0</v>
      </c>
      <c r="V343" s="138">
        <f>IF('1.DATOS-PROD'!AE344="SI",VLOOKUP('1.DATOS-PROD'!AE$2,'1.PUNTOS'!$A$1:$B$63,2,0),0)</f>
        <v>0</v>
      </c>
      <c r="W343" s="138">
        <f>IF('1.DATOS-PROD'!AF344="SI",VLOOKUP('1.DATOS-PROD'!AF$2,'1.PUNTOS'!$A$1:$B$63,2,0),0)</f>
        <v>0</v>
      </c>
      <c r="X343" s="138">
        <f>IF('1.DATOS-PROD'!AG344="SI",VLOOKUP('1.DATOS-PROD'!AG$2,'1.PUNTOS'!$A$1:$B$63,2,0),0)</f>
        <v>0</v>
      </c>
      <c r="Y343" s="138">
        <f>IF('1.DATOS-PROD'!AH344="SI",VLOOKUP('1.DATOS-PROD'!AH$2,'1.PUNTOS'!$A$1:$B$63,2,0),0)</f>
        <v>0</v>
      </c>
      <c r="Z343" s="138">
        <f>IF('1.DATOS-PROD'!AI344="SI",VLOOKUP('1.DATOS-PROD'!AI$2,'1.PUNTOS'!$A$1:$B$63,2,0),0)</f>
        <v>0</v>
      </c>
      <c r="AA343" s="138">
        <f>IF('1.DATOS-PROD'!AJ344="SI",VLOOKUP('1.DATOS-PROD'!AJ$2,'1.PUNTOS'!$A$1:$B$63,2,0),0)</f>
        <v>0</v>
      </c>
      <c r="AB343" s="138">
        <f>IF('1.DATOS-PROD'!AK344="SI",VLOOKUP('1.DATOS-PROD'!AK$2,'1.PUNTOS'!$A$1:$B$63,2,0),0)</f>
        <v>0</v>
      </c>
      <c r="AC343" s="138">
        <f>IF('1.DATOS-PROD'!AL344="SI",VLOOKUP('1.DATOS-PROD'!AL$2,'1.PUNTOS'!$A$1:$B$63,2,0),0)</f>
        <v>0</v>
      </c>
      <c r="AD343" s="138">
        <f>IF('1.DATOS-PROD'!AM344="SI",VLOOKUP('1.DATOS-PROD'!AM$2,'1.PUNTOS'!$A$1:$B$63,2,0),0)</f>
        <v>0</v>
      </c>
      <c r="AE343" s="138">
        <f>IF('1.DATOS-PROD'!AN344="SI",VLOOKUP('1.DATOS-PROD'!AN$2,'1.PUNTOS'!$A$1:$B$63,2,0),0)</f>
        <v>0</v>
      </c>
      <c r="AF343" s="138">
        <f>IF('1.DATOS-PROD'!AO344="SI",VLOOKUP('1.DATOS-PROD'!AO$2,'1.PUNTOS'!$A$1:$B$63,2,0),0)</f>
        <v>0</v>
      </c>
      <c r="AG343" s="138">
        <f>IF('1.DATOS-PROD'!AP344="SI",VLOOKUP('1.DATOS-PROD'!AP$2,'1.PUNTOS'!$A$1:$B$63,2,0),0)</f>
        <v>0</v>
      </c>
      <c r="AH343" s="138">
        <f>IF('1.DATOS-PROD'!AQ344="SI",VLOOKUP('1.DATOS-PROD'!AQ$2,'1.PUNTOS'!$A$1:$B$63,2,0),0)</f>
        <v>0</v>
      </c>
      <c r="AI343" s="138">
        <f>IF('1.DATOS-PROD'!AR344="SI",VLOOKUP('1.DATOS-PROD'!AR$2,'1.PUNTOS'!$A$1:$B$63,2,0),0)</f>
        <v>0</v>
      </c>
      <c r="AJ343" s="138">
        <f>IF('1.DATOS-PROD'!AS344="SI",VLOOKUP('1.DATOS-PROD'!AS$2,'1.PUNTOS'!$A$1:$B$63,2,0),0)</f>
        <v>0</v>
      </c>
      <c r="AK343" s="138">
        <f>IF('1.DATOS-PROD'!AT344="SI",VLOOKUP('1.DATOS-PROD'!AT$2,'1.PUNTOS'!$A$1:$B$63,2,0),0)</f>
        <v>0</v>
      </c>
      <c r="AL343" s="138">
        <f>IF('1.DATOS-PROD'!AU344="SI",VLOOKUP('1.DATOS-PROD'!AU$2,'1.PUNTOS'!$A$1:$B$63,2,0),0)</f>
        <v>0</v>
      </c>
      <c r="AM343" s="138">
        <f>IF('1.DATOS-PROD'!AV344="SI",VLOOKUP('1.DATOS-PROD'!AV$2,'1.PUNTOS'!$A$1:$B$63,2,0),0)</f>
        <v>0</v>
      </c>
      <c r="AN343" s="138">
        <f>IF('1.DATOS-PROD'!AW344="SI",VLOOKUP('1.DATOS-PROD'!AW$2,'1.PUNTOS'!$A$1:$B$63,2,0),0)</f>
        <v>0</v>
      </c>
      <c r="AO343" s="138">
        <f>IF('1.DATOS-PROD'!AX344="SI",VLOOKUP('1.DATOS-PROD'!AX$2,'1.PUNTOS'!$A$1:$B$63,2,0),0)</f>
        <v>0</v>
      </c>
      <c r="AP343" s="138">
        <f>IF('1.DATOS-PROD'!AY344="SI",VLOOKUP('1.DATOS-PROD'!AY$2,'1.PUNTOS'!$A$1:$B$63,2,0),0)</f>
        <v>0</v>
      </c>
      <c r="AQ343" s="138">
        <f>IF('1.DATOS-PROD'!AZ344="SI",VLOOKUP('1.DATOS-PROD'!AZ$2,'1.PUNTOS'!$A$1:$B$63,2,0),0)</f>
        <v>0</v>
      </c>
      <c r="AR343" s="138">
        <f>IF('1.DATOS-PROD'!BA344="SI",VLOOKUP('1.DATOS-PROD'!BA$2,'1.PUNTOS'!$A$1:$B$63,2,0),0)</f>
        <v>0</v>
      </c>
      <c r="AS343" s="138">
        <f>IF('1.DATOS-PROD'!BB344="SI",VLOOKUP('1.DATOS-PROD'!BB$2,'1.PUNTOS'!$A$1:$B$63,2,0),0)</f>
        <v>0</v>
      </c>
      <c r="AT343" s="138">
        <f>IF('1.DATOS-PROD'!BC344="SI",VLOOKUP('1.DATOS-PROD'!BC$2,'1.PUNTOS'!$A$1:$B$63,2,0),0)</f>
        <v>0</v>
      </c>
      <c r="AU343" s="138">
        <f>IF('1.DATOS-PROD'!BD344="SI",VLOOKUP('1.DATOS-PROD'!BD$2,'1.PUNTOS'!$A$1:$B$63,2,0),0)</f>
        <v>0</v>
      </c>
      <c r="AV343" s="138">
        <f>IF('1.DATOS-PROD'!BE344="SI",VLOOKUP('1.DATOS-PROD'!BE$2,'1.PUNTOS'!$A$1:$B$63,2,0),0)</f>
        <v>0</v>
      </c>
      <c r="AW343" s="138">
        <f>IF('1.DATOS-PROD'!BF344="SI",VLOOKUP('1.DATOS-PROD'!BF$2,'1.PUNTOS'!$A$1:$B$63,2,0),0)</f>
        <v>0</v>
      </c>
      <c r="AX343" s="138">
        <f>IF('1.DATOS-PROD'!BG344="SI",VLOOKUP('1.DATOS-PROD'!BG$2,'1.PUNTOS'!$A$1:$B$63,2,0),0)</f>
        <v>0</v>
      </c>
      <c r="AY343" s="138">
        <f>IF('1.DATOS-PROD'!BH344="SI",VLOOKUP('1.DATOS-PROD'!BH$2,'1.PUNTOS'!$A$1:$B$63,2,0),0)</f>
        <v>0</v>
      </c>
      <c r="AZ343" s="138">
        <f>IF('1.DATOS-PROD'!BI344="SI",VLOOKUP('1.DATOS-PROD'!BI$2,'1.PUNTOS'!$A$1:$B$63,2,0),0)</f>
        <v>0</v>
      </c>
      <c r="BA343" s="138">
        <f>IF('1.DATOS-PROD'!BJ344="SI",VLOOKUP('1.DATOS-PROD'!BJ$2,'1.PUNTOS'!$A$1:$B$63,2,0),0)</f>
        <v>0</v>
      </c>
      <c r="BB343" s="138">
        <f>IF('1.DATOS-PROD'!BK344="SI",VLOOKUP('1.DATOS-PROD'!BK$2,'1.PUNTOS'!$A$1:$B$63,2,0),0)</f>
        <v>0</v>
      </c>
      <c r="BC343" s="138">
        <f>IF('1.DATOS-PROD'!BL344="SI",VLOOKUP('1.DATOS-PROD'!BL$2,'1.PUNTOS'!$A$1:$B$63,2,0),0)</f>
        <v>0</v>
      </c>
      <c r="BD343" s="138">
        <f>IF('1.DATOS-PROD'!BM344="SI",VLOOKUP('1.DATOS-PROD'!BM$2,'1.PUNTOS'!$A$1:$B$63,2,0),0)</f>
        <v>0</v>
      </c>
      <c r="BE343" s="138">
        <f>IF('1.DATOS-PROD'!BN344="SI",VLOOKUP('1.DATOS-PROD'!BN$2,'1.PUNTOS'!$A$1:$B$63,2,0),0)</f>
        <v>0</v>
      </c>
      <c r="BF343" s="138">
        <f>IF('1.DATOS-PROD'!BO344="SI",VLOOKUP('1.DATOS-PROD'!BO$2,'1.PUNTOS'!$A$1:$B$63,2,0),0)</f>
        <v>0</v>
      </c>
      <c r="BG343" s="138">
        <f>IF('1.DATOS-PROD'!BP344="SI",VLOOKUP('1.DATOS-PROD'!BP$2,'1.PUNTOS'!$A$1:$B$63,2,0),0)</f>
        <v>0</v>
      </c>
      <c r="BH343" s="138">
        <f>IF('1.DATOS-PROD'!BQ344="SI",VLOOKUP('1.DATOS-PROD'!BQ$2,'1.PUNTOS'!$A$1:$B$63,2,0),0)</f>
        <v>0</v>
      </c>
      <c r="BI343" s="138">
        <f>IF('1.DATOS-PROD'!BR344="SI",VLOOKUP('1.DATOS-PROD'!BR$2,'1.PUNTOS'!$A$1:$B$63,2,0),0)</f>
        <v>0</v>
      </c>
      <c r="BJ343" s="138">
        <f>IF('1.DATOS-PROD'!BS344="SI",VLOOKUP('1.DATOS-PROD'!BS$2,'1.PUNTOS'!$A$1:$B$63,2,0),0)</f>
        <v>0</v>
      </c>
      <c r="BK343" s="138">
        <f>IF('1.DATOS-PROD'!BT344="SI",VLOOKUP('1.DATOS-PROD'!BT$2,'1.PUNTOS'!$A$1:$B$63,2,0),0)</f>
        <v>0</v>
      </c>
    </row>
    <row r="344" spans="1:63" x14ac:dyDescent="0.25">
      <c r="A344">
        <f>'0.Consolidado general'!$A345</f>
        <v>0</v>
      </c>
      <c r="B344" s="138">
        <f>IF('1.DATOS-PROD'!K345="SI",VLOOKUP('1.DATOS-PROD'!K$2,'1.PUNTOS'!$A$1:$B$63,2,0),0)</f>
        <v>0</v>
      </c>
      <c r="C344" s="138">
        <f>IF('1.DATOS-PROD'!L345="SI",VLOOKUP('1.DATOS-PROD'!L$2,'1.PUNTOS'!$A$1:$B$63,2,0),0)</f>
        <v>0</v>
      </c>
      <c r="D344" s="138">
        <f>IF('1.DATOS-PROD'!M345="SI",VLOOKUP('1.DATOS-PROD'!M$2,'1.PUNTOS'!$A$1:$B$63,2,0),0)</f>
        <v>0</v>
      </c>
      <c r="E344" s="138">
        <f>IF('1.DATOS-PROD'!N345="SI",VLOOKUP('1.DATOS-PROD'!N$2,'1.PUNTOS'!$A$1:$B$63,2,0),0)</f>
        <v>0</v>
      </c>
      <c r="F344" s="138">
        <f>IF('1.DATOS-PROD'!O345="SI",VLOOKUP('1.DATOS-PROD'!O$2,'1.PUNTOS'!$A$1:$B$63,2,0),0)</f>
        <v>0</v>
      </c>
      <c r="G344" s="138">
        <f>IF('1.DATOS-PROD'!P345="SI",VLOOKUP('1.DATOS-PROD'!P$2,'1.PUNTOS'!$A$1:$B$63,2,0),0)</f>
        <v>0</v>
      </c>
      <c r="H344" s="138">
        <f>IF('1.DATOS-PROD'!Q345="SI",VLOOKUP('1.DATOS-PROD'!Q$2,'1.PUNTOS'!$A$1:$B$63,2,0),0)</f>
        <v>0</v>
      </c>
      <c r="I344" s="138">
        <f>IF('1.DATOS-PROD'!R345="SI",VLOOKUP('1.DATOS-PROD'!R$2,'1.PUNTOS'!$A$1:$B$63,2,0),0)</f>
        <v>0</v>
      </c>
      <c r="J344" s="138">
        <f>IF('1.DATOS-PROD'!S345="SI",VLOOKUP('1.DATOS-PROD'!S$2,'1.PUNTOS'!$A$1:$B$63,2,0),0)</f>
        <v>0</v>
      </c>
      <c r="K344" s="138">
        <f>IF('1.DATOS-PROD'!T345="SI",VLOOKUP('1.DATOS-PROD'!T$2,'1.PUNTOS'!$A$1:$B$63,2,0),0)</f>
        <v>0</v>
      </c>
      <c r="L344" s="138">
        <f>IF('1.DATOS-PROD'!U345="SI",VLOOKUP('1.DATOS-PROD'!U$2,'1.PUNTOS'!$A$1:$B$63,2,0),0)</f>
        <v>0</v>
      </c>
      <c r="M344" s="138">
        <f>IF('1.DATOS-PROD'!V345="SI",VLOOKUP('1.DATOS-PROD'!V$2,'1.PUNTOS'!$A$1:$B$63,2,0),0)</f>
        <v>0</v>
      </c>
      <c r="N344" s="138">
        <f>IF('1.DATOS-PROD'!W345="SI",VLOOKUP('1.DATOS-PROD'!W$2,'1.PUNTOS'!$A$1:$B$63,2,0),0)</f>
        <v>0</v>
      </c>
      <c r="O344" s="138">
        <f>IF('1.DATOS-PROD'!X345="SI",VLOOKUP('1.DATOS-PROD'!X$2,'1.PUNTOS'!$A$1:$B$63,2,0),0)</f>
        <v>0</v>
      </c>
      <c r="P344" s="138">
        <f>IF('1.DATOS-PROD'!Y345="SI",VLOOKUP('1.DATOS-PROD'!Y$2,'1.PUNTOS'!$A$1:$B$63,2,0),0)</f>
        <v>0</v>
      </c>
      <c r="Q344" s="138">
        <f>IF('1.DATOS-PROD'!Z345="SI",VLOOKUP('1.DATOS-PROD'!Z$2,'1.PUNTOS'!$A$1:$B$63,2,0),0)</f>
        <v>0</v>
      </c>
      <c r="R344" s="138">
        <f>IF('1.DATOS-PROD'!AA345="SI",VLOOKUP('1.DATOS-PROD'!AA$2,'1.PUNTOS'!$A$1:$B$63,2,0),0)</f>
        <v>0</v>
      </c>
      <c r="S344" s="138">
        <f>IF('1.DATOS-PROD'!AB345="SI",VLOOKUP('1.DATOS-PROD'!AB$2,'1.PUNTOS'!$A$1:$B$63,2,0),0)</f>
        <v>0</v>
      </c>
      <c r="T344" s="138">
        <f>IF('1.DATOS-PROD'!AC345="SI",VLOOKUP('1.DATOS-PROD'!AC$2,'1.PUNTOS'!$A$1:$B$63,2,0),0)</f>
        <v>0</v>
      </c>
      <c r="U344" s="138">
        <f>IF('1.DATOS-PROD'!AD345="SI",VLOOKUP('1.DATOS-PROD'!AD$2,'1.PUNTOS'!$A$1:$B$63,2,0),0)</f>
        <v>0</v>
      </c>
      <c r="V344" s="138">
        <f>IF('1.DATOS-PROD'!AE345="SI",VLOOKUP('1.DATOS-PROD'!AE$2,'1.PUNTOS'!$A$1:$B$63,2,0),0)</f>
        <v>0</v>
      </c>
      <c r="W344" s="138">
        <f>IF('1.DATOS-PROD'!AF345="SI",VLOOKUP('1.DATOS-PROD'!AF$2,'1.PUNTOS'!$A$1:$B$63,2,0),0)</f>
        <v>0</v>
      </c>
      <c r="X344" s="138">
        <f>IF('1.DATOS-PROD'!AG345="SI",VLOOKUP('1.DATOS-PROD'!AG$2,'1.PUNTOS'!$A$1:$B$63,2,0),0)</f>
        <v>0</v>
      </c>
      <c r="Y344" s="138">
        <f>IF('1.DATOS-PROD'!AH345="SI",VLOOKUP('1.DATOS-PROD'!AH$2,'1.PUNTOS'!$A$1:$B$63,2,0),0)</f>
        <v>0</v>
      </c>
      <c r="Z344" s="138">
        <f>IF('1.DATOS-PROD'!AI345="SI",VLOOKUP('1.DATOS-PROD'!AI$2,'1.PUNTOS'!$A$1:$B$63,2,0),0)</f>
        <v>0</v>
      </c>
      <c r="AA344" s="138">
        <f>IF('1.DATOS-PROD'!AJ345="SI",VLOOKUP('1.DATOS-PROD'!AJ$2,'1.PUNTOS'!$A$1:$B$63,2,0),0)</f>
        <v>0</v>
      </c>
      <c r="AB344" s="138">
        <f>IF('1.DATOS-PROD'!AK345="SI",VLOOKUP('1.DATOS-PROD'!AK$2,'1.PUNTOS'!$A$1:$B$63,2,0),0)</f>
        <v>0</v>
      </c>
      <c r="AC344" s="138">
        <f>IF('1.DATOS-PROD'!AL345="SI",VLOOKUP('1.DATOS-PROD'!AL$2,'1.PUNTOS'!$A$1:$B$63,2,0),0)</f>
        <v>0</v>
      </c>
      <c r="AD344" s="138">
        <f>IF('1.DATOS-PROD'!AM345="SI",VLOOKUP('1.DATOS-PROD'!AM$2,'1.PUNTOS'!$A$1:$B$63,2,0),0)</f>
        <v>0</v>
      </c>
      <c r="AE344" s="138">
        <f>IF('1.DATOS-PROD'!AN345="SI",VLOOKUP('1.DATOS-PROD'!AN$2,'1.PUNTOS'!$A$1:$B$63,2,0),0)</f>
        <v>0</v>
      </c>
      <c r="AF344" s="138">
        <f>IF('1.DATOS-PROD'!AO345="SI",VLOOKUP('1.DATOS-PROD'!AO$2,'1.PUNTOS'!$A$1:$B$63,2,0),0)</f>
        <v>0</v>
      </c>
      <c r="AG344" s="138">
        <f>IF('1.DATOS-PROD'!AP345="SI",VLOOKUP('1.DATOS-PROD'!AP$2,'1.PUNTOS'!$A$1:$B$63,2,0),0)</f>
        <v>0</v>
      </c>
      <c r="AH344" s="138">
        <f>IF('1.DATOS-PROD'!AQ345="SI",VLOOKUP('1.DATOS-PROD'!AQ$2,'1.PUNTOS'!$A$1:$B$63,2,0),0)</f>
        <v>0</v>
      </c>
      <c r="AI344" s="138">
        <f>IF('1.DATOS-PROD'!AR345="SI",VLOOKUP('1.DATOS-PROD'!AR$2,'1.PUNTOS'!$A$1:$B$63,2,0),0)</f>
        <v>0</v>
      </c>
      <c r="AJ344" s="138">
        <f>IF('1.DATOS-PROD'!AS345="SI",VLOOKUP('1.DATOS-PROD'!AS$2,'1.PUNTOS'!$A$1:$B$63,2,0),0)</f>
        <v>0</v>
      </c>
      <c r="AK344" s="138">
        <f>IF('1.DATOS-PROD'!AT345="SI",VLOOKUP('1.DATOS-PROD'!AT$2,'1.PUNTOS'!$A$1:$B$63,2,0),0)</f>
        <v>0</v>
      </c>
      <c r="AL344" s="138">
        <f>IF('1.DATOS-PROD'!AU345="SI",VLOOKUP('1.DATOS-PROD'!AU$2,'1.PUNTOS'!$A$1:$B$63,2,0),0)</f>
        <v>0</v>
      </c>
      <c r="AM344" s="138">
        <f>IF('1.DATOS-PROD'!AV345="SI",VLOOKUP('1.DATOS-PROD'!AV$2,'1.PUNTOS'!$A$1:$B$63,2,0),0)</f>
        <v>0</v>
      </c>
      <c r="AN344" s="138">
        <f>IF('1.DATOS-PROD'!AW345="SI",VLOOKUP('1.DATOS-PROD'!AW$2,'1.PUNTOS'!$A$1:$B$63,2,0),0)</f>
        <v>0</v>
      </c>
      <c r="AO344" s="138">
        <f>IF('1.DATOS-PROD'!AX345="SI",VLOOKUP('1.DATOS-PROD'!AX$2,'1.PUNTOS'!$A$1:$B$63,2,0),0)</f>
        <v>0</v>
      </c>
      <c r="AP344" s="138">
        <f>IF('1.DATOS-PROD'!AY345="SI",VLOOKUP('1.DATOS-PROD'!AY$2,'1.PUNTOS'!$A$1:$B$63,2,0),0)</f>
        <v>0</v>
      </c>
      <c r="AQ344" s="138">
        <f>IF('1.DATOS-PROD'!AZ345="SI",VLOOKUP('1.DATOS-PROD'!AZ$2,'1.PUNTOS'!$A$1:$B$63,2,0),0)</f>
        <v>0</v>
      </c>
      <c r="AR344" s="138">
        <f>IF('1.DATOS-PROD'!BA345="SI",VLOOKUP('1.DATOS-PROD'!BA$2,'1.PUNTOS'!$A$1:$B$63,2,0),0)</f>
        <v>0</v>
      </c>
      <c r="AS344" s="138">
        <f>IF('1.DATOS-PROD'!BB345="SI",VLOOKUP('1.DATOS-PROD'!BB$2,'1.PUNTOS'!$A$1:$B$63,2,0),0)</f>
        <v>0</v>
      </c>
      <c r="AT344" s="138">
        <f>IF('1.DATOS-PROD'!BC345="SI",VLOOKUP('1.DATOS-PROD'!BC$2,'1.PUNTOS'!$A$1:$B$63,2,0),0)</f>
        <v>0</v>
      </c>
      <c r="AU344" s="138">
        <f>IF('1.DATOS-PROD'!BD345="SI",VLOOKUP('1.DATOS-PROD'!BD$2,'1.PUNTOS'!$A$1:$B$63,2,0),0)</f>
        <v>0</v>
      </c>
      <c r="AV344" s="138">
        <f>IF('1.DATOS-PROD'!BE345="SI",VLOOKUP('1.DATOS-PROD'!BE$2,'1.PUNTOS'!$A$1:$B$63,2,0),0)</f>
        <v>0</v>
      </c>
      <c r="AW344" s="138">
        <f>IF('1.DATOS-PROD'!BF345="SI",VLOOKUP('1.DATOS-PROD'!BF$2,'1.PUNTOS'!$A$1:$B$63,2,0),0)</f>
        <v>0</v>
      </c>
      <c r="AX344" s="138">
        <f>IF('1.DATOS-PROD'!BG345="SI",VLOOKUP('1.DATOS-PROD'!BG$2,'1.PUNTOS'!$A$1:$B$63,2,0),0)</f>
        <v>0</v>
      </c>
      <c r="AY344" s="138">
        <f>IF('1.DATOS-PROD'!BH345="SI",VLOOKUP('1.DATOS-PROD'!BH$2,'1.PUNTOS'!$A$1:$B$63,2,0),0)</f>
        <v>0</v>
      </c>
      <c r="AZ344" s="138">
        <f>IF('1.DATOS-PROD'!BI345="SI",VLOOKUP('1.DATOS-PROD'!BI$2,'1.PUNTOS'!$A$1:$B$63,2,0),0)</f>
        <v>0</v>
      </c>
      <c r="BA344" s="138">
        <f>IF('1.DATOS-PROD'!BJ345="SI",VLOOKUP('1.DATOS-PROD'!BJ$2,'1.PUNTOS'!$A$1:$B$63,2,0),0)</f>
        <v>0</v>
      </c>
      <c r="BB344" s="138">
        <f>IF('1.DATOS-PROD'!BK345="SI",VLOOKUP('1.DATOS-PROD'!BK$2,'1.PUNTOS'!$A$1:$B$63,2,0),0)</f>
        <v>0</v>
      </c>
      <c r="BC344" s="138">
        <f>IF('1.DATOS-PROD'!BL345="SI",VLOOKUP('1.DATOS-PROD'!BL$2,'1.PUNTOS'!$A$1:$B$63,2,0),0)</f>
        <v>0</v>
      </c>
      <c r="BD344" s="138">
        <f>IF('1.DATOS-PROD'!BM345="SI",VLOOKUP('1.DATOS-PROD'!BM$2,'1.PUNTOS'!$A$1:$B$63,2,0),0)</f>
        <v>0</v>
      </c>
      <c r="BE344" s="138">
        <f>IF('1.DATOS-PROD'!BN345="SI",VLOOKUP('1.DATOS-PROD'!BN$2,'1.PUNTOS'!$A$1:$B$63,2,0),0)</f>
        <v>0</v>
      </c>
      <c r="BF344" s="138">
        <f>IF('1.DATOS-PROD'!BO345="SI",VLOOKUP('1.DATOS-PROD'!BO$2,'1.PUNTOS'!$A$1:$B$63,2,0),0)</f>
        <v>0</v>
      </c>
      <c r="BG344" s="138">
        <f>IF('1.DATOS-PROD'!BP345="SI",VLOOKUP('1.DATOS-PROD'!BP$2,'1.PUNTOS'!$A$1:$B$63,2,0),0)</f>
        <v>0</v>
      </c>
      <c r="BH344" s="138">
        <f>IF('1.DATOS-PROD'!BQ345="SI",VLOOKUP('1.DATOS-PROD'!BQ$2,'1.PUNTOS'!$A$1:$B$63,2,0),0)</f>
        <v>0</v>
      </c>
      <c r="BI344" s="138">
        <f>IF('1.DATOS-PROD'!BR345="SI",VLOOKUP('1.DATOS-PROD'!BR$2,'1.PUNTOS'!$A$1:$B$63,2,0),0)</f>
        <v>0</v>
      </c>
      <c r="BJ344" s="138">
        <f>IF('1.DATOS-PROD'!BS345="SI",VLOOKUP('1.DATOS-PROD'!BS$2,'1.PUNTOS'!$A$1:$B$63,2,0),0)</f>
        <v>0</v>
      </c>
      <c r="BK344" s="138">
        <f>IF('1.DATOS-PROD'!BT345="SI",VLOOKUP('1.DATOS-PROD'!BT$2,'1.PUNTOS'!$A$1:$B$63,2,0),0)</f>
        <v>0</v>
      </c>
    </row>
    <row r="345" spans="1:63" x14ac:dyDescent="0.25">
      <c r="A345">
        <f>'0.Consolidado general'!$A346</f>
        <v>0</v>
      </c>
      <c r="B345" s="138">
        <f>IF('1.DATOS-PROD'!K346="SI",VLOOKUP('1.DATOS-PROD'!K$2,'1.PUNTOS'!$A$1:$B$63,2,0),0)</f>
        <v>0</v>
      </c>
      <c r="C345" s="138">
        <f>IF('1.DATOS-PROD'!L346="SI",VLOOKUP('1.DATOS-PROD'!L$2,'1.PUNTOS'!$A$1:$B$63,2,0),0)</f>
        <v>0</v>
      </c>
      <c r="D345" s="138">
        <f>IF('1.DATOS-PROD'!M346="SI",VLOOKUP('1.DATOS-PROD'!M$2,'1.PUNTOS'!$A$1:$B$63,2,0),0)</f>
        <v>0</v>
      </c>
      <c r="E345" s="138">
        <f>IF('1.DATOS-PROD'!N346="SI",VLOOKUP('1.DATOS-PROD'!N$2,'1.PUNTOS'!$A$1:$B$63,2,0),0)</f>
        <v>0</v>
      </c>
      <c r="F345" s="138">
        <f>IF('1.DATOS-PROD'!O346="SI",VLOOKUP('1.DATOS-PROD'!O$2,'1.PUNTOS'!$A$1:$B$63,2,0),0)</f>
        <v>0</v>
      </c>
      <c r="G345" s="138">
        <f>IF('1.DATOS-PROD'!P346="SI",VLOOKUP('1.DATOS-PROD'!P$2,'1.PUNTOS'!$A$1:$B$63,2,0),0)</f>
        <v>0</v>
      </c>
      <c r="H345" s="138">
        <f>IF('1.DATOS-PROD'!Q346="SI",VLOOKUP('1.DATOS-PROD'!Q$2,'1.PUNTOS'!$A$1:$B$63,2,0),0)</f>
        <v>0</v>
      </c>
      <c r="I345" s="138">
        <f>IF('1.DATOS-PROD'!R346="SI",VLOOKUP('1.DATOS-PROD'!R$2,'1.PUNTOS'!$A$1:$B$63,2,0),0)</f>
        <v>0</v>
      </c>
      <c r="J345" s="138">
        <f>IF('1.DATOS-PROD'!S346="SI",VLOOKUP('1.DATOS-PROD'!S$2,'1.PUNTOS'!$A$1:$B$63,2,0),0)</f>
        <v>0</v>
      </c>
      <c r="K345" s="138">
        <f>IF('1.DATOS-PROD'!T346="SI",VLOOKUP('1.DATOS-PROD'!T$2,'1.PUNTOS'!$A$1:$B$63,2,0),0)</f>
        <v>0</v>
      </c>
      <c r="L345" s="138">
        <f>IF('1.DATOS-PROD'!U346="SI",VLOOKUP('1.DATOS-PROD'!U$2,'1.PUNTOS'!$A$1:$B$63,2,0),0)</f>
        <v>0</v>
      </c>
      <c r="M345" s="138">
        <f>IF('1.DATOS-PROD'!V346="SI",VLOOKUP('1.DATOS-PROD'!V$2,'1.PUNTOS'!$A$1:$B$63,2,0),0)</f>
        <v>0</v>
      </c>
      <c r="N345" s="138">
        <f>IF('1.DATOS-PROD'!W346="SI",VLOOKUP('1.DATOS-PROD'!W$2,'1.PUNTOS'!$A$1:$B$63,2,0),0)</f>
        <v>0</v>
      </c>
      <c r="O345" s="138">
        <f>IF('1.DATOS-PROD'!X346="SI",VLOOKUP('1.DATOS-PROD'!X$2,'1.PUNTOS'!$A$1:$B$63,2,0),0)</f>
        <v>0</v>
      </c>
      <c r="P345" s="138">
        <f>IF('1.DATOS-PROD'!Y346="SI",VLOOKUP('1.DATOS-PROD'!Y$2,'1.PUNTOS'!$A$1:$B$63,2,0),0)</f>
        <v>0</v>
      </c>
      <c r="Q345" s="138">
        <f>IF('1.DATOS-PROD'!Z346="SI",VLOOKUP('1.DATOS-PROD'!Z$2,'1.PUNTOS'!$A$1:$B$63,2,0),0)</f>
        <v>0</v>
      </c>
      <c r="R345" s="138">
        <f>IF('1.DATOS-PROD'!AA346="SI",VLOOKUP('1.DATOS-PROD'!AA$2,'1.PUNTOS'!$A$1:$B$63,2,0),0)</f>
        <v>0</v>
      </c>
      <c r="S345" s="138">
        <f>IF('1.DATOS-PROD'!AB346="SI",VLOOKUP('1.DATOS-PROD'!AB$2,'1.PUNTOS'!$A$1:$B$63,2,0),0)</f>
        <v>0</v>
      </c>
      <c r="T345" s="138">
        <f>IF('1.DATOS-PROD'!AC346="SI",VLOOKUP('1.DATOS-PROD'!AC$2,'1.PUNTOS'!$A$1:$B$63,2,0),0)</f>
        <v>0</v>
      </c>
      <c r="U345" s="138">
        <f>IF('1.DATOS-PROD'!AD346="SI",VLOOKUP('1.DATOS-PROD'!AD$2,'1.PUNTOS'!$A$1:$B$63,2,0),0)</f>
        <v>0</v>
      </c>
      <c r="V345" s="138">
        <f>IF('1.DATOS-PROD'!AE346="SI",VLOOKUP('1.DATOS-PROD'!AE$2,'1.PUNTOS'!$A$1:$B$63,2,0),0)</f>
        <v>0</v>
      </c>
      <c r="W345" s="138">
        <f>IF('1.DATOS-PROD'!AF346="SI",VLOOKUP('1.DATOS-PROD'!AF$2,'1.PUNTOS'!$A$1:$B$63,2,0),0)</f>
        <v>0</v>
      </c>
      <c r="X345" s="138">
        <f>IF('1.DATOS-PROD'!AG346="SI",VLOOKUP('1.DATOS-PROD'!AG$2,'1.PUNTOS'!$A$1:$B$63,2,0),0)</f>
        <v>0</v>
      </c>
      <c r="Y345" s="138">
        <f>IF('1.DATOS-PROD'!AH346="SI",VLOOKUP('1.DATOS-PROD'!AH$2,'1.PUNTOS'!$A$1:$B$63,2,0),0)</f>
        <v>0</v>
      </c>
      <c r="Z345" s="138">
        <f>IF('1.DATOS-PROD'!AI346="SI",VLOOKUP('1.DATOS-PROD'!AI$2,'1.PUNTOS'!$A$1:$B$63,2,0),0)</f>
        <v>0</v>
      </c>
      <c r="AA345" s="138">
        <f>IF('1.DATOS-PROD'!AJ346="SI",VLOOKUP('1.DATOS-PROD'!AJ$2,'1.PUNTOS'!$A$1:$B$63,2,0),0)</f>
        <v>0</v>
      </c>
      <c r="AB345" s="138">
        <f>IF('1.DATOS-PROD'!AK346="SI",VLOOKUP('1.DATOS-PROD'!AK$2,'1.PUNTOS'!$A$1:$B$63,2,0),0)</f>
        <v>0</v>
      </c>
      <c r="AC345" s="138">
        <f>IF('1.DATOS-PROD'!AL346="SI",VLOOKUP('1.DATOS-PROD'!AL$2,'1.PUNTOS'!$A$1:$B$63,2,0),0)</f>
        <v>0</v>
      </c>
      <c r="AD345" s="138">
        <f>IF('1.DATOS-PROD'!AM346="SI",VLOOKUP('1.DATOS-PROD'!AM$2,'1.PUNTOS'!$A$1:$B$63,2,0),0)</f>
        <v>0</v>
      </c>
      <c r="AE345" s="138">
        <f>IF('1.DATOS-PROD'!AN346="SI",VLOOKUP('1.DATOS-PROD'!AN$2,'1.PUNTOS'!$A$1:$B$63,2,0),0)</f>
        <v>0</v>
      </c>
      <c r="AF345" s="138">
        <f>IF('1.DATOS-PROD'!AO346="SI",VLOOKUP('1.DATOS-PROD'!AO$2,'1.PUNTOS'!$A$1:$B$63,2,0),0)</f>
        <v>0</v>
      </c>
      <c r="AG345" s="138">
        <f>IF('1.DATOS-PROD'!AP346="SI",VLOOKUP('1.DATOS-PROD'!AP$2,'1.PUNTOS'!$A$1:$B$63,2,0),0)</f>
        <v>0</v>
      </c>
      <c r="AH345" s="138">
        <f>IF('1.DATOS-PROD'!AQ346="SI",VLOOKUP('1.DATOS-PROD'!AQ$2,'1.PUNTOS'!$A$1:$B$63,2,0),0)</f>
        <v>0</v>
      </c>
      <c r="AI345" s="138">
        <f>IF('1.DATOS-PROD'!AR346="SI",VLOOKUP('1.DATOS-PROD'!AR$2,'1.PUNTOS'!$A$1:$B$63,2,0),0)</f>
        <v>0</v>
      </c>
      <c r="AJ345" s="138">
        <f>IF('1.DATOS-PROD'!AS346="SI",VLOOKUP('1.DATOS-PROD'!AS$2,'1.PUNTOS'!$A$1:$B$63,2,0),0)</f>
        <v>0</v>
      </c>
      <c r="AK345" s="138">
        <f>IF('1.DATOS-PROD'!AT346="SI",VLOOKUP('1.DATOS-PROD'!AT$2,'1.PUNTOS'!$A$1:$B$63,2,0),0)</f>
        <v>0</v>
      </c>
      <c r="AL345" s="138">
        <f>IF('1.DATOS-PROD'!AU346="SI",VLOOKUP('1.DATOS-PROD'!AU$2,'1.PUNTOS'!$A$1:$B$63,2,0),0)</f>
        <v>0</v>
      </c>
      <c r="AM345" s="138">
        <f>IF('1.DATOS-PROD'!AV346="SI",VLOOKUP('1.DATOS-PROD'!AV$2,'1.PUNTOS'!$A$1:$B$63,2,0),0)</f>
        <v>0</v>
      </c>
      <c r="AN345" s="138">
        <f>IF('1.DATOS-PROD'!AW346="SI",VLOOKUP('1.DATOS-PROD'!AW$2,'1.PUNTOS'!$A$1:$B$63,2,0),0)</f>
        <v>0</v>
      </c>
      <c r="AO345" s="138">
        <f>IF('1.DATOS-PROD'!AX346="SI",VLOOKUP('1.DATOS-PROD'!AX$2,'1.PUNTOS'!$A$1:$B$63,2,0),0)</f>
        <v>0</v>
      </c>
      <c r="AP345" s="138">
        <f>IF('1.DATOS-PROD'!AY346="SI",VLOOKUP('1.DATOS-PROD'!AY$2,'1.PUNTOS'!$A$1:$B$63,2,0),0)</f>
        <v>0</v>
      </c>
      <c r="AQ345" s="138">
        <f>IF('1.DATOS-PROD'!AZ346="SI",VLOOKUP('1.DATOS-PROD'!AZ$2,'1.PUNTOS'!$A$1:$B$63,2,0),0)</f>
        <v>0</v>
      </c>
      <c r="AR345" s="138">
        <f>IF('1.DATOS-PROD'!BA346="SI",VLOOKUP('1.DATOS-PROD'!BA$2,'1.PUNTOS'!$A$1:$B$63,2,0),0)</f>
        <v>0</v>
      </c>
      <c r="AS345" s="138">
        <f>IF('1.DATOS-PROD'!BB346="SI",VLOOKUP('1.DATOS-PROD'!BB$2,'1.PUNTOS'!$A$1:$B$63,2,0),0)</f>
        <v>0</v>
      </c>
      <c r="AT345" s="138">
        <f>IF('1.DATOS-PROD'!BC346="SI",VLOOKUP('1.DATOS-PROD'!BC$2,'1.PUNTOS'!$A$1:$B$63,2,0),0)</f>
        <v>0</v>
      </c>
      <c r="AU345" s="138">
        <f>IF('1.DATOS-PROD'!BD346="SI",VLOOKUP('1.DATOS-PROD'!BD$2,'1.PUNTOS'!$A$1:$B$63,2,0),0)</f>
        <v>0</v>
      </c>
      <c r="AV345" s="138">
        <f>IF('1.DATOS-PROD'!BE346="SI",VLOOKUP('1.DATOS-PROD'!BE$2,'1.PUNTOS'!$A$1:$B$63,2,0),0)</f>
        <v>0</v>
      </c>
      <c r="AW345" s="138">
        <f>IF('1.DATOS-PROD'!BF346="SI",VLOOKUP('1.DATOS-PROD'!BF$2,'1.PUNTOS'!$A$1:$B$63,2,0),0)</f>
        <v>0</v>
      </c>
      <c r="AX345" s="138">
        <f>IF('1.DATOS-PROD'!BG346="SI",VLOOKUP('1.DATOS-PROD'!BG$2,'1.PUNTOS'!$A$1:$B$63,2,0),0)</f>
        <v>0</v>
      </c>
      <c r="AY345" s="138">
        <f>IF('1.DATOS-PROD'!BH346="SI",VLOOKUP('1.DATOS-PROD'!BH$2,'1.PUNTOS'!$A$1:$B$63,2,0),0)</f>
        <v>0</v>
      </c>
      <c r="AZ345" s="138">
        <f>IF('1.DATOS-PROD'!BI346="SI",VLOOKUP('1.DATOS-PROD'!BI$2,'1.PUNTOS'!$A$1:$B$63,2,0),0)</f>
        <v>0</v>
      </c>
      <c r="BA345" s="138">
        <f>IF('1.DATOS-PROD'!BJ346="SI",VLOOKUP('1.DATOS-PROD'!BJ$2,'1.PUNTOS'!$A$1:$B$63,2,0),0)</f>
        <v>0</v>
      </c>
      <c r="BB345" s="138">
        <f>IF('1.DATOS-PROD'!BK346="SI",VLOOKUP('1.DATOS-PROD'!BK$2,'1.PUNTOS'!$A$1:$B$63,2,0),0)</f>
        <v>0</v>
      </c>
      <c r="BC345" s="138">
        <f>IF('1.DATOS-PROD'!BL346="SI",VLOOKUP('1.DATOS-PROD'!BL$2,'1.PUNTOS'!$A$1:$B$63,2,0),0)</f>
        <v>0</v>
      </c>
      <c r="BD345" s="138">
        <f>IF('1.DATOS-PROD'!BM346="SI",VLOOKUP('1.DATOS-PROD'!BM$2,'1.PUNTOS'!$A$1:$B$63,2,0),0)</f>
        <v>0</v>
      </c>
      <c r="BE345" s="138">
        <f>IF('1.DATOS-PROD'!BN346="SI",VLOOKUP('1.DATOS-PROD'!BN$2,'1.PUNTOS'!$A$1:$B$63,2,0),0)</f>
        <v>0</v>
      </c>
      <c r="BF345" s="138">
        <f>IF('1.DATOS-PROD'!BO346="SI",VLOOKUP('1.DATOS-PROD'!BO$2,'1.PUNTOS'!$A$1:$B$63,2,0),0)</f>
        <v>0</v>
      </c>
      <c r="BG345" s="138">
        <f>IF('1.DATOS-PROD'!BP346="SI",VLOOKUP('1.DATOS-PROD'!BP$2,'1.PUNTOS'!$A$1:$B$63,2,0),0)</f>
        <v>0</v>
      </c>
      <c r="BH345" s="138">
        <f>IF('1.DATOS-PROD'!BQ346="SI",VLOOKUP('1.DATOS-PROD'!BQ$2,'1.PUNTOS'!$A$1:$B$63,2,0),0)</f>
        <v>0</v>
      </c>
      <c r="BI345" s="138">
        <f>IF('1.DATOS-PROD'!BR346="SI",VLOOKUP('1.DATOS-PROD'!BR$2,'1.PUNTOS'!$A$1:$B$63,2,0),0)</f>
        <v>0</v>
      </c>
      <c r="BJ345" s="138">
        <f>IF('1.DATOS-PROD'!BS346="SI",VLOOKUP('1.DATOS-PROD'!BS$2,'1.PUNTOS'!$A$1:$B$63,2,0),0)</f>
        <v>0</v>
      </c>
      <c r="BK345" s="138">
        <f>IF('1.DATOS-PROD'!BT346="SI",VLOOKUP('1.DATOS-PROD'!BT$2,'1.PUNTOS'!$A$1:$B$63,2,0),0)</f>
        <v>0</v>
      </c>
    </row>
    <row r="346" spans="1:63" x14ac:dyDescent="0.25">
      <c r="A346">
        <f>'0.Consolidado general'!$A347</f>
        <v>0</v>
      </c>
      <c r="B346" s="138">
        <f>IF('1.DATOS-PROD'!K347="SI",VLOOKUP('1.DATOS-PROD'!K$2,'1.PUNTOS'!$A$1:$B$63,2,0),0)</f>
        <v>0</v>
      </c>
      <c r="C346" s="138">
        <f>IF('1.DATOS-PROD'!L347="SI",VLOOKUP('1.DATOS-PROD'!L$2,'1.PUNTOS'!$A$1:$B$63,2,0),0)</f>
        <v>0</v>
      </c>
      <c r="D346" s="138">
        <f>IF('1.DATOS-PROD'!M347="SI",VLOOKUP('1.DATOS-PROD'!M$2,'1.PUNTOS'!$A$1:$B$63,2,0),0)</f>
        <v>0</v>
      </c>
      <c r="E346" s="138">
        <f>IF('1.DATOS-PROD'!N347="SI",VLOOKUP('1.DATOS-PROD'!N$2,'1.PUNTOS'!$A$1:$B$63,2,0),0)</f>
        <v>0</v>
      </c>
      <c r="F346" s="138">
        <f>IF('1.DATOS-PROD'!O347="SI",VLOOKUP('1.DATOS-PROD'!O$2,'1.PUNTOS'!$A$1:$B$63,2,0),0)</f>
        <v>0</v>
      </c>
      <c r="G346" s="138">
        <f>IF('1.DATOS-PROD'!P347="SI",VLOOKUP('1.DATOS-PROD'!P$2,'1.PUNTOS'!$A$1:$B$63,2,0),0)</f>
        <v>0</v>
      </c>
      <c r="H346" s="138">
        <f>IF('1.DATOS-PROD'!Q347="SI",VLOOKUP('1.DATOS-PROD'!Q$2,'1.PUNTOS'!$A$1:$B$63,2,0),0)</f>
        <v>0</v>
      </c>
      <c r="I346" s="138">
        <f>IF('1.DATOS-PROD'!R347="SI",VLOOKUP('1.DATOS-PROD'!R$2,'1.PUNTOS'!$A$1:$B$63,2,0),0)</f>
        <v>0</v>
      </c>
      <c r="J346" s="138">
        <f>IF('1.DATOS-PROD'!S347="SI",VLOOKUP('1.DATOS-PROD'!S$2,'1.PUNTOS'!$A$1:$B$63,2,0),0)</f>
        <v>0</v>
      </c>
      <c r="K346" s="138">
        <f>IF('1.DATOS-PROD'!T347="SI",VLOOKUP('1.DATOS-PROD'!T$2,'1.PUNTOS'!$A$1:$B$63,2,0),0)</f>
        <v>0</v>
      </c>
      <c r="L346" s="138">
        <f>IF('1.DATOS-PROD'!U347="SI",VLOOKUP('1.DATOS-PROD'!U$2,'1.PUNTOS'!$A$1:$B$63,2,0),0)</f>
        <v>0</v>
      </c>
      <c r="M346" s="138">
        <f>IF('1.DATOS-PROD'!V347="SI",VLOOKUP('1.DATOS-PROD'!V$2,'1.PUNTOS'!$A$1:$B$63,2,0),0)</f>
        <v>0</v>
      </c>
      <c r="N346" s="138">
        <f>IF('1.DATOS-PROD'!W347="SI",VLOOKUP('1.DATOS-PROD'!W$2,'1.PUNTOS'!$A$1:$B$63,2,0),0)</f>
        <v>0</v>
      </c>
      <c r="O346" s="138">
        <f>IF('1.DATOS-PROD'!X347="SI",VLOOKUP('1.DATOS-PROD'!X$2,'1.PUNTOS'!$A$1:$B$63,2,0),0)</f>
        <v>0</v>
      </c>
      <c r="P346" s="138">
        <f>IF('1.DATOS-PROD'!Y347="SI",VLOOKUP('1.DATOS-PROD'!Y$2,'1.PUNTOS'!$A$1:$B$63,2,0),0)</f>
        <v>0</v>
      </c>
      <c r="Q346" s="138">
        <f>IF('1.DATOS-PROD'!Z347="SI",VLOOKUP('1.DATOS-PROD'!Z$2,'1.PUNTOS'!$A$1:$B$63,2,0),0)</f>
        <v>0</v>
      </c>
      <c r="R346" s="138">
        <f>IF('1.DATOS-PROD'!AA347="SI",VLOOKUP('1.DATOS-PROD'!AA$2,'1.PUNTOS'!$A$1:$B$63,2,0),0)</f>
        <v>0</v>
      </c>
      <c r="S346" s="138">
        <f>IF('1.DATOS-PROD'!AB347="SI",VLOOKUP('1.DATOS-PROD'!AB$2,'1.PUNTOS'!$A$1:$B$63,2,0),0)</f>
        <v>0</v>
      </c>
      <c r="T346" s="138">
        <f>IF('1.DATOS-PROD'!AC347="SI",VLOOKUP('1.DATOS-PROD'!AC$2,'1.PUNTOS'!$A$1:$B$63,2,0),0)</f>
        <v>0</v>
      </c>
      <c r="U346" s="138">
        <f>IF('1.DATOS-PROD'!AD347="SI",VLOOKUP('1.DATOS-PROD'!AD$2,'1.PUNTOS'!$A$1:$B$63,2,0),0)</f>
        <v>0</v>
      </c>
      <c r="V346" s="138">
        <f>IF('1.DATOS-PROD'!AE347="SI",VLOOKUP('1.DATOS-PROD'!AE$2,'1.PUNTOS'!$A$1:$B$63,2,0),0)</f>
        <v>0</v>
      </c>
      <c r="W346" s="138">
        <f>IF('1.DATOS-PROD'!AF347="SI",VLOOKUP('1.DATOS-PROD'!AF$2,'1.PUNTOS'!$A$1:$B$63,2,0),0)</f>
        <v>0</v>
      </c>
      <c r="X346" s="138">
        <f>IF('1.DATOS-PROD'!AG347="SI",VLOOKUP('1.DATOS-PROD'!AG$2,'1.PUNTOS'!$A$1:$B$63,2,0),0)</f>
        <v>0</v>
      </c>
      <c r="Y346" s="138">
        <f>IF('1.DATOS-PROD'!AH347="SI",VLOOKUP('1.DATOS-PROD'!AH$2,'1.PUNTOS'!$A$1:$B$63,2,0),0)</f>
        <v>0</v>
      </c>
      <c r="Z346" s="138">
        <f>IF('1.DATOS-PROD'!AI347="SI",VLOOKUP('1.DATOS-PROD'!AI$2,'1.PUNTOS'!$A$1:$B$63,2,0),0)</f>
        <v>0</v>
      </c>
      <c r="AA346" s="138">
        <f>IF('1.DATOS-PROD'!AJ347="SI",VLOOKUP('1.DATOS-PROD'!AJ$2,'1.PUNTOS'!$A$1:$B$63,2,0),0)</f>
        <v>0</v>
      </c>
      <c r="AB346" s="138">
        <f>IF('1.DATOS-PROD'!AK347="SI",VLOOKUP('1.DATOS-PROD'!AK$2,'1.PUNTOS'!$A$1:$B$63,2,0),0)</f>
        <v>0</v>
      </c>
      <c r="AC346" s="138">
        <f>IF('1.DATOS-PROD'!AL347="SI",VLOOKUP('1.DATOS-PROD'!AL$2,'1.PUNTOS'!$A$1:$B$63,2,0),0)</f>
        <v>0</v>
      </c>
      <c r="AD346" s="138">
        <f>IF('1.DATOS-PROD'!AM347="SI",VLOOKUP('1.DATOS-PROD'!AM$2,'1.PUNTOS'!$A$1:$B$63,2,0),0)</f>
        <v>0</v>
      </c>
      <c r="AE346" s="138">
        <f>IF('1.DATOS-PROD'!AN347="SI",VLOOKUP('1.DATOS-PROD'!AN$2,'1.PUNTOS'!$A$1:$B$63,2,0),0)</f>
        <v>0</v>
      </c>
      <c r="AF346" s="138">
        <f>IF('1.DATOS-PROD'!AO347="SI",VLOOKUP('1.DATOS-PROD'!AO$2,'1.PUNTOS'!$A$1:$B$63,2,0),0)</f>
        <v>0</v>
      </c>
      <c r="AG346" s="138">
        <f>IF('1.DATOS-PROD'!AP347="SI",VLOOKUP('1.DATOS-PROD'!AP$2,'1.PUNTOS'!$A$1:$B$63,2,0),0)</f>
        <v>0</v>
      </c>
      <c r="AH346" s="138">
        <f>IF('1.DATOS-PROD'!AQ347="SI",VLOOKUP('1.DATOS-PROD'!AQ$2,'1.PUNTOS'!$A$1:$B$63,2,0),0)</f>
        <v>0</v>
      </c>
      <c r="AI346" s="138">
        <f>IF('1.DATOS-PROD'!AR347="SI",VLOOKUP('1.DATOS-PROD'!AR$2,'1.PUNTOS'!$A$1:$B$63,2,0),0)</f>
        <v>0</v>
      </c>
      <c r="AJ346" s="138">
        <f>IF('1.DATOS-PROD'!AS347="SI",VLOOKUP('1.DATOS-PROD'!AS$2,'1.PUNTOS'!$A$1:$B$63,2,0),0)</f>
        <v>0</v>
      </c>
      <c r="AK346" s="138">
        <f>IF('1.DATOS-PROD'!AT347="SI",VLOOKUP('1.DATOS-PROD'!AT$2,'1.PUNTOS'!$A$1:$B$63,2,0),0)</f>
        <v>0</v>
      </c>
      <c r="AL346" s="138">
        <f>IF('1.DATOS-PROD'!AU347="SI",VLOOKUP('1.DATOS-PROD'!AU$2,'1.PUNTOS'!$A$1:$B$63,2,0),0)</f>
        <v>0</v>
      </c>
      <c r="AM346" s="138">
        <f>IF('1.DATOS-PROD'!AV347="SI",VLOOKUP('1.DATOS-PROD'!AV$2,'1.PUNTOS'!$A$1:$B$63,2,0),0)</f>
        <v>0</v>
      </c>
      <c r="AN346" s="138">
        <f>IF('1.DATOS-PROD'!AW347="SI",VLOOKUP('1.DATOS-PROD'!AW$2,'1.PUNTOS'!$A$1:$B$63,2,0),0)</f>
        <v>0</v>
      </c>
      <c r="AO346" s="138">
        <f>IF('1.DATOS-PROD'!AX347="SI",VLOOKUP('1.DATOS-PROD'!AX$2,'1.PUNTOS'!$A$1:$B$63,2,0),0)</f>
        <v>0</v>
      </c>
      <c r="AP346" s="138">
        <f>IF('1.DATOS-PROD'!AY347="SI",VLOOKUP('1.DATOS-PROD'!AY$2,'1.PUNTOS'!$A$1:$B$63,2,0),0)</f>
        <v>0</v>
      </c>
      <c r="AQ346" s="138">
        <f>IF('1.DATOS-PROD'!AZ347="SI",VLOOKUP('1.DATOS-PROD'!AZ$2,'1.PUNTOS'!$A$1:$B$63,2,0),0)</f>
        <v>0</v>
      </c>
      <c r="AR346" s="138">
        <f>IF('1.DATOS-PROD'!BA347="SI",VLOOKUP('1.DATOS-PROD'!BA$2,'1.PUNTOS'!$A$1:$B$63,2,0),0)</f>
        <v>0</v>
      </c>
      <c r="AS346" s="138">
        <f>IF('1.DATOS-PROD'!BB347="SI",VLOOKUP('1.DATOS-PROD'!BB$2,'1.PUNTOS'!$A$1:$B$63,2,0),0)</f>
        <v>0</v>
      </c>
      <c r="AT346" s="138">
        <f>IF('1.DATOS-PROD'!BC347="SI",VLOOKUP('1.DATOS-PROD'!BC$2,'1.PUNTOS'!$A$1:$B$63,2,0),0)</f>
        <v>0</v>
      </c>
      <c r="AU346" s="138">
        <f>IF('1.DATOS-PROD'!BD347="SI",VLOOKUP('1.DATOS-PROD'!BD$2,'1.PUNTOS'!$A$1:$B$63,2,0),0)</f>
        <v>0</v>
      </c>
      <c r="AV346" s="138">
        <f>IF('1.DATOS-PROD'!BE347="SI",VLOOKUP('1.DATOS-PROD'!BE$2,'1.PUNTOS'!$A$1:$B$63,2,0),0)</f>
        <v>0</v>
      </c>
      <c r="AW346" s="138">
        <f>IF('1.DATOS-PROD'!BF347="SI",VLOOKUP('1.DATOS-PROD'!BF$2,'1.PUNTOS'!$A$1:$B$63,2,0),0)</f>
        <v>0</v>
      </c>
      <c r="AX346" s="138">
        <f>IF('1.DATOS-PROD'!BG347="SI",VLOOKUP('1.DATOS-PROD'!BG$2,'1.PUNTOS'!$A$1:$B$63,2,0),0)</f>
        <v>0</v>
      </c>
      <c r="AY346" s="138">
        <f>IF('1.DATOS-PROD'!BH347="SI",VLOOKUP('1.DATOS-PROD'!BH$2,'1.PUNTOS'!$A$1:$B$63,2,0),0)</f>
        <v>0</v>
      </c>
      <c r="AZ346" s="138">
        <f>IF('1.DATOS-PROD'!BI347="SI",VLOOKUP('1.DATOS-PROD'!BI$2,'1.PUNTOS'!$A$1:$B$63,2,0),0)</f>
        <v>0</v>
      </c>
      <c r="BA346" s="138">
        <f>IF('1.DATOS-PROD'!BJ347="SI",VLOOKUP('1.DATOS-PROD'!BJ$2,'1.PUNTOS'!$A$1:$B$63,2,0),0)</f>
        <v>0</v>
      </c>
      <c r="BB346" s="138">
        <f>IF('1.DATOS-PROD'!BK347="SI",VLOOKUP('1.DATOS-PROD'!BK$2,'1.PUNTOS'!$A$1:$B$63,2,0),0)</f>
        <v>0</v>
      </c>
      <c r="BC346" s="138">
        <f>IF('1.DATOS-PROD'!BL347="SI",VLOOKUP('1.DATOS-PROD'!BL$2,'1.PUNTOS'!$A$1:$B$63,2,0),0)</f>
        <v>0</v>
      </c>
      <c r="BD346" s="138">
        <f>IF('1.DATOS-PROD'!BM347="SI",VLOOKUP('1.DATOS-PROD'!BM$2,'1.PUNTOS'!$A$1:$B$63,2,0),0)</f>
        <v>0</v>
      </c>
      <c r="BE346" s="138">
        <f>IF('1.DATOS-PROD'!BN347="SI",VLOOKUP('1.DATOS-PROD'!BN$2,'1.PUNTOS'!$A$1:$B$63,2,0),0)</f>
        <v>0</v>
      </c>
      <c r="BF346" s="138">
        <f>IF('1.DATOS-PROD'!BO347="SI",VLOOKUP('1.DATOS-PROD'!BO$2,'1.PUNTOS'!$A$1:$B$63,2,0),0)</f>
        <v>0</v>
      </c>
      <c r="BG346" s="138">
        <f>IF('1.DATOS-PROD'!BP347="SI",VLOOKUP('1.DATOS-PROD'!BP$2,'1.PUNTOS'!$A$1:$B$63,2,0),0)</f>
        <v>0</v>
      </c>
      <c r="BH346" s="138">
        <f>IF('1.DATOS-PROD'!BQ347="SI",VLOOKUP('1.DATOS-PROD'!BQ$2,'1.PUNTOS'!$A$1:$B$63,2,0),0)</f>
        <v>0</v>
      </c>
      <c r="BI346" s="138">
        <f>IF('1.DATOS-PROD'!BR347="SI",VLOOKUP('1.DATOS-PROD'!BR$2,'1.PUNTOS'!$A$1:$B$63,2,0),0)</f>
        <v>0</v>
      </c>
      <c r="BJ346" s="138">
        <f>IF('1.DATOS-PROD'!BS347="SI",VLOOKUP('1.DATOS-PROD'!BS$2,'1.PUNTOS'!$A$1:$B$63,2,0),0)</f>
        <v>0</v>
      </c>
      <c r="BK346" s="138">
        <f>IF('1.DATOS-PROD'!BT347="SI",VLOOKUP('1.DATOS-PROD'!BT$2,'1.PUNTOS'!$A$1:$B$63,2,0),0)</f>
        <v>0</v>
      </c>
    </row>
    <row r="347" spans="1:63" x14ac:dyDescent="0.25">
      <c r="A347">
        <f>'0.Consolidado general'!$A348</f>
        <v>0</v>
      </c>
      <c r="B347" s="138">
        <f>IF('1.DATOS-PROD'!K348="SI",VLOOKUP('1.DATOS-PROD'!K$2,'1.PUNTOS'!$A$1:$B$63,2,0),0)</f>
        <v>0</v>
      </c>
      <c r="C347" s="138">
        <f>IF('1.DATOS-PROD'!L348="SI",VLOOKUP('1.DATOS-PROD'!L$2,'1.PUNTOS'!$A$1:$B$63,2,0),0)</f>
        <v>0</v>
      </c>
      <c r="D347" s="138">
        <f>IF('1.DATOS-PROD'!M348="SI",VLOOKUP('1.DATOS-PROD'!M$2,'1.PUNTOS'!$A$1:$B$63,2,0),0)</f>
        <v>0</v>
      </c>
      <c r="E347" s="138">
        <f>IF('1.DATOS-PROD'!N348="SI",VLOOKUP('1.DATOS-PROD'!N$2,'1.PUNTOS'!$A$1:$B$63,2,0),0)</f>
        <v>0</v>
      </c>
      <c r="F347" s="138">
        <f>IF('1.DATOS-PROD'!O348="SI",VLOOKUP('1.DATOS-PROD'!O$2,'1.PUNTOS'!$A$1:$B$63,2,0),0)</f>
        <v>0</v>
      </c>
      <c r="G347" s="138">
        <f>IF('1.DATOS-PROD'!P348="SI",VLOOKUP('1.DATOS-PROD'!P$2,'1.PUNTOS'!$A$1:$B$63,2,0),0)</f>
        <v>0</v>
      </c>
      <c r="H347" s="138">
        <f>IF('1.DATOS-PROD'!Q348="SI",VLOOKUP('1.DATOS-PROD'!Q$2,'1.PUNTOS'!$A$1:$B$63,2,0),0)</f>
        <v>0</v>
      </c>
      <c r="I347" s="138">
        <f>IF('1.DATOS-PROD'!R348="SI",VLOOKUP('1.DATOS-PROD'!R$2,'1.PUNTOS'!$A$1:$B$63,2,0),0)</f>
        <v>0</v>
      </c>
      <c r="J347" s="138">
        <f>IF('1.DATOS-PROD'!S348="SI",VLOOKUP('1.DATOS-PROD'!S$2,'1.PUNTOS'!$A$1:$B$63,2,0),0)</f>
        <v>0</v>
      </c>
      <c r="K347" s="138">
        <f>IF('1.DATOS-PROD'!T348="SI",VLOOKUP('1.DATOS-PROD'!T$2,'1.PUNTOS'!$A$1:$B$63,2,0),0)</f>
        <v>0</v>
      </c>
      <c r="L347" s="138">
        <f>IF('1.DATOS-PROD'!U348="SI",VLOOKUP('1.DATOS-PROD'!U$2,'1.PUNTOS'!$A$1:$B$63,2,0),0)</f>
        <v>0</v>
      </c>
      <c r="M347" s="138">
        <f>IF('1.DATOS-PROD'!V348="SI",VLOOKUP('1.DATOS-PROD'!V$2,'1.PUNTOS'!$A$1:$B$63,2,0),0)</f>
        <v>0</v>
      </c>
      <c r="N347" s="138">
        <f>IF('1.DATOS-PROD'!W348="SI",VLOOKUP('1.DATOS-PROD'!W$2,'1.PUNTOS'!$A$1:$B$63,2,0),0)</f>
        <v>0</v>
      </c>
      <c r="O347" s="138">
        <f>IF('1.DATOS-PROD'!X348="SI",VLOOKUP('1.DATOS-PROD'!X$2,'1.PUNTOS'!$A$1:$B$63,2,0),0)</f>
        <v>0</v>
      </c>
      <c r="P347" s="138">
        <f>IF('1.DATOS-PROD'!Y348="SI",VLOOKUP('1.DATOS-PROD'!Y$2,'1.PUNTOS'!$A$1:$B$63,2,0),0)</f>
        <v>0</v>
      </c>
      <c r="Q347" s="138">
        <f>IF('1.DATOS-PROD'!Z348="SI",VLOOKUP('1.DATOS-PROD'!Z$2,'1.PUNTOS'!$A$1:$B$63,2,0),0)</f>
        <v>0</v>
      </c>
      <c r="R347" s="138">
        <f>IF('1.DATOS-PROD'!AA348="SI",VLOOKUP('1.DATOS-PROD'!AA$2,'1.PUNTOS'!$A$1:$B$63,2,0),0)</f>
        <v>0</v>
      </c>
      <c r="S347" s="138">
        <f>IF('1.DATOS-PROD'!AB348="SI",VLOOKUP('1.DATOS-PROD'!AB$2,'1.PUNTOS'!$A$1:$B$63,2,0),0)</f>
        <v>0</v>
      </c>
      <c r="T347" s="138">
        <f>IF('1.DATOS-PROD'!AC348="SI",VLOOKUP('1.DATOS-PROD'!AC$2,'1.PUNTOS'!$A$1:$B$63,2,0),0)</f>
        <v>0</v>
      </c>
      <c r="U347" s="138">
        <f>IF('1.DATOS-PROD'!AD348="SI",VLOOKUP('1.DATOS-PROD'!AD$2,'1.PUNTOS'!$A$1:$B$63,2,0),0)</f>
        <v>0</v>
      </c>
      <c r="V347" s="138">
        <f>IF('1.DATOS-PROD'!AE348="SI",VLOOKUP('1.DATOS-PROD'!AE$2,'1.PUNTOS'!$A$1:$B$63,2,0),0)</f>
        <v>0</v>
      </c>
      <c r="W347" s="138">
        <f>IF('1.DATOS-PROD'!AF348="SI",VLOOKUP('1.DATOS-PROD'!AF$2,'1.PUNTOS'!$A$1:$B$63,2,0),0)</f>
        <v>0</v>
      </c>
      <c r="X347" s="138">
        <f>IF('1.DATOS-PROD'!AG348="SI",VLOOKUP('1.DATOS-PROD'!AG$2,'1.PUNTOS'!$A$1:$B$63,2,0),0)</f>
        <v>0</v>
      </c>
      <c r="Y347" s="138">
        <f>IF('1.DATOS-PROD'!AH348="SI",VLOOKUP('1.DATOS-PROD'!AH$2,'1.PUNTOS'!$A$1:$B$63,2,0),0)</f>
        <v>0</v>
      </c>
      <c r="Z347" s="138">
        <f>IF('1.DATOS-PROD'!AI348="SI",VLOOKUP('1.DATOS-PROD'!AI$2,'1.PUNTOS'!$A$1:$B$63,2,0),0)</f>
        <v>0</v>
      </c>
      <c r="AA347" s="138">
        <f>IF('1.DATOS-PROD'!AJ348="SI",VLOOKUP('1.DATOS-PROD'!AJ$2,'1.PUNTOS'!$A$1:$B$63,2,0),0)</f>
        <v>0</v>
      </c>
      <c r="AB347" s="138">
        <f>IF('1.DATOS-PROD'!AK348="SI",VLOOKUP('1.DATOS-PROD'!AK$2,'1.PUNTOS'!$A$1:$B$63,2,0),0)</f>
        <v>0</v>
      </c>
      <c r="AC347" s="138">
        <f>IF('1.DATOS-PROD'!AL348="SI",VLOOKUP('1.DATOS-PROD'!AL$2,'1.PUNTOS'!$A$1:$B$63,2,0),0)</f>
        <v>0</v>
      </c>
      <c r="AD347" s="138">
        <f>IF('1.DATOS-PROD'!AM348="SI",VLOOKUP('1.DATOS-PROD'!AM$2,'1.PUNTOS'!$A$1:$B$63,2,0),0)</f>
        <v>0</v>
      </c>
      <c r="AE347" s="138">
        <f>IF('1.DATOS-PROD'!AN348="SI",VLOOKUP('1.DATOS-PROD'!AN$2,'1.PUNTOS'!$A$1:$B$63,2,0),0)</f>
        <v>0</v>
      </c>
      <c r="AF347" s="138">
        <f>IF('1.DATOS-PROD'!AO348="SI",VLOOKUP('1.DATOS-PROD'!AO$2,'1.PUNTOS'!$A$1:$B$63,2,0),0)</f>
        <v>0</v>
      </c>
      <c r="AG347" s="138">
        <f>IF('1.DATOS-PROD'!AP348="SI",VLOOKUP('1.DATOS-PROD'!AP$2,'1.PUNTOS'!$A$1:$B$63,2,0),0)</f>
        <v>0</v>
      </c>
      <c r="AH347" s="138">
        <f>IF('1.DATOS-PROD'!AQ348="SI",VLOOKUP('1.DATOS-PROD'!AQ$2,'1.PUNTOS'!$A$1:$B$63,2,0),0)</f>
        <v>0</v>
      </c>
      <c r="AI347" s="138">
        <f>IF('1.DATOS-PROD'!AR348="SI",VLOOKUP('1.DATOS-PROD'!AR$2,'1.PUNTOS'!$A$1:$B$63,2,0),0)</f>
        <v>0</v>
      </c>
      <c r="AJ347" s="138">
        <f>IF('1.DATOS-PROD'!AS348="SI",VLOOKUP('1.DATOS-PROD'!AS$2,'1.PUNTOS'!$A$1:$B$63,2,0),0)</f>
        <v>0</v>
      </c>
      <c r="AK347" s="138">
        <f>IF('1.DATOS-PROD'!AT348="SI",VLOOKUP('1.DATOS-PROD'!AT$2,'1.PUNTOS'!$A$1:$B$63,2,0),0)</f>
        <v>0</v>
      </c>
      <c r="AL347" s="138">
        <f>IF('1.DATOS-PROD'!AU348="SI",VLOOKUP('1.DATOS-PROD'!AU$2,'1.PUNTOS'!$A$1:$B$63,2,0),0)</f>
        <v>0</v>
      </c>
      <c r="AM347" s="138">
        <f>IF('1.DATOS-PROD'!AV348="SI",VLOOKUP('1.DATOS-PROD'!AV$2,'1.PUNTOS'!$A$1:$B$63,2,0),0)</f>
        <v>0</v>
      </c>
      <c r="AN347" s="138">
        <f>IF('1.DATOS-PROD'!AW348="SI",VLOOKUP('1.DATOS-PROD'!AW$2,'1.PUNTOS'!$A$1:$B$63,2,0),0)</f>
        <v>0</v>
      </c>
      <c r="AO347" s="138">
        <f>IF('1.DATOS-PROD'!AX348="SI",VLOOKUP('1.DATOS-PROD'!AX$2,'1.PUNTOS'!$A$1:$B$63,2,0),0)</f>
        <v>0</v>
      </c>
      <c r="AP347" s="138">
        <f>IF('1.DATOS-PROD'!AY348="SI",VLOOKUP('1.DATOS-PROD'!AY$2,'1.PUNTOS'!$A$1:$B$63,2,0),0)</f>
        <v>0</v>
      </c>
      <c r="AQ347" s="138">
        <f>IF('1.DATOS-PROD'!AZ348="SI",VLOOKUP('1.DATOS-PROD'!AZ$2,'1.PUNTOS'!$A$1:$B$63,2,0),0)</f>
        <v>0</v>
      </c>
      <c r="AR347" s="138">
        <f>IF('1.DATOS-PROD'!BA348="SI",VLOOKUP('1.DATOS-PROD'!BA$2,'1.PUNTOS'!$A$1:$B$63,2,0),0)</f>
        <v>0</v>
      </c>
      <c r="AS347" s="138">
        <f>IF('1.DATOS-PROD'!BB348="SI",VLOOKUP('1.DATOS-PROD'!BB$2,'1.PUNTOS'!$A$1:$B$63,2,0),0)</f>
        <v>0</v>
      </c>
      <c r="AT347" s="138">
        <f>IF('1.DATOS-PROD'!BC348="SI",VLOOKUP('1.DATOS-PROD'!BC$2,'1.PUNTOS'!$A$1:$B$63,2,0),0)</f>
        <v>0</v>
      </c>
      <c r="AU347" s="138">
        <f>IF('1.DATOS-PROD'!BD348="SI",VLOOKUP('1.DATOS-PROD'!BD$2,'1.PUNTOS'!$A$1:$B$63,2,0),0)</f>
        <v>0</v>
      </c>
      <c r="AV347" s="138">
        <f>IF('1.DATOS-PROD'!BE348="SI",VLOOKUP('1.DATOS-PROD'!BE$2,'1.PUNTOS'!$A$1:$B$63,2,0),0)</f>
        <v>0</v>
      </c>
      <c r="AW347" s="138">
        <f>IF('1.DATOS-PROD'!BF348="SI",VLOOKUP('1.DATOS-PROD'!BF$2,'1.PUNTOS'!$A$1:$B$63,2,0),0)</f>
        <v>0</v>
      </c>
      <c r="AX347" s="138">
        <f>IF('1.DATOS-PROD'!BG348="SI",VLOOKUP('1.DATOS-PROD'!BG$2,'1.PUNTOS'!$A$1:$B$63,2,0),0)</f>
        <v>0</v>
      </c>
      <c r="AY347" s="138">
        <f>IF('1.DATOS-PROD'!BH348="SI",VLOOKUP('1.DATOS-PROD'!BH$2,'1.PUNTOS'!$A$1:$B$63,2,0),0)</f>
        <v>0</v>
      </c>
      <c r="AZ347" s="138">
        <f>IF('1.DATOS-PROD'!BI348="SI",VLOOKUP('1.DATOS-PROD'!BI$2,'1.PUNTOS'!$A$1:$B$63,2,0),0)</f>
        <v>0</v>
      </c>
      <c r="BA347" s="138">
        <f>IF('1.DATOS-PROD'!BJ348="SI",VLOOKUP('1.DATOS-PROD'!BJ$2,'1.PUNTOS'!$A$1:$B$63,2,0),0)</f>
        <v>0</v>
      </c>
      <c r="BB347" s="138">
        <f>IF('1.DATOS-PROD'!BK348="SI",VLOOKUP('1.DATOS-PROD'!BK$2,'1.PUNTOS'!$A$1:$B$63,2,0),0)</f>
        <v>0</v>
      </c>
      <c r="BC347" s="138">
        <f>IF('1.DATOS-PROD'!BL348="SI",VLOOKUP('1.DATOS-PROD'!BL$2,'1.PUNTOS'!$A$1:$B$63,2,0),0)</f>
        <v>0</v>
      </c>
      <c r="BD347" s="138">
        <f>IF('1.DATOS-PROD'!BM348="SI",VLOOKUP('1.DATOS-PROD'!BM$2,'1.PUNTOS'!$A$1:$B$63,2,0),0)</f>
        <v>0</v>
      </c>
      <c r="BE347" s="138">
        <f>IF('1.DATOS-PROD'!BN348="SI",VLOOKUP('1.DATOS-PROD'!BN$2,'1.PUNTOS'!$A$1:$B$63,2,0),0)</f>
        <v>0</v>
      </c>
      <c r="BF347" s="138">
        <f>IF('1.DATOS-PROD'!BO348="SI",VLOOKUP('1.DATOS-PROD'!BO$2,'1.PUNTOS'!$A$1:$B$63,2,0),0)</f>
        <v>0</v>
      </c>
      <c r="BG347" s="138">
        <f>IF('1.DATOS-PROD'!BP348="SI",VLOOKUP('1.DATOS-PROD'!BP$2,'1.PUNTOS'!$A$1:$B$63,2,0),0)</f>
        <v>0</v>
      </c>
      <c r="BH347" s="138">
        <f>IF('1.DATOS-PROD'!BQ348="SI",VLOOKUP('1.DATOS-PROD'!BQ$2,'1.PUNTOS'!$A$1:$B$63,2,0),0)</f>
        <v>0</v>
      </c>
      <c r="BI347" s="138">
        <f>IF('1.DATOS-PROD'!BR348="SI",VLOOKUP('1.DATOS-PROD'!BR$2,'1.PUNTOS'!$A$1:$B$63,2,0),0)</f>
        <v>0</v>
      </c>
      <c r="BJ347" s="138">
        <f>IF('1.DATOS-PROD'!BS348="SI",VLOOKUP('1.DATOS-PROD'!BS$2,'1.PUNTOS'!$A$1:$B$63,2,0),0)</f>
        <v>0</v>
      </c>
      <c r="BK347" s="138">
        <f>IF('1.DATOS-PROD'!BT348="SI",VLOOKUP('1.DATOS-PROD'!BT$2,'1.PUNTOS'!$A$1:$B$63,2,0),0)</f>
        <v>0</v>
      </c>
    </row>
    <row r="348" spans="1:63" x14ac:dyDescent="0.25">
      <c r="A348">
        <f>'0.Consolidado general'!$A349</f>
        <v>0</v>
      </c>
      <c r="B348" s="138">
        <f>IF('1.DATOS-PROD'!K349="SI",VLOOKUP('1.DATOS-PROD'!K$2,'1.PUNTOS'!$A$1:$B$63,2,0),0)</f>
        <v>0</v>
      </c>
      <c r="C348" s="138">
        <f>IF('1.DATOS-PROD'!L349="SI",VLOOKUP('1.DATOS-PROD'!L$2,'1.PUNTOS'!$A$1:$B$63,2,0),0)</f>
        <v>0</v>
      </c>
      <c r="D348" s="138">
        <f>IF('1.DATOS-PROD'!M349="SI",VLOOKUP('1.DATOS-PROD'!M$2,'1.PUNTOS'!$A$1:$B$63,2,0),0)</f>
        <v>0</v>
      </c>
      <c r="E348" s="138">
        <f>IF('1.DATOS-PROD'!N349="SI",VLOOKUP('1.DATOS-PROD'!N$2,'1.PUNTOS'!$A$1:$B$63,2,0),0)</f>
        <v>0</v>
      </c>
      <c r="F348" s="138">
        <f>IF('1.DATOS-PROD'!O349="SI",VLOOKUP('1.DATOS-PROD'!O$2,'1.PUNTOS'!$A$1:$B$63,2,0),0)</f>
        <v>0</v>
      </c>
      <c r="G348" s="138">
        <f>IF('1.DATOS-PROD'!P349="SI",VLOOKUP('1.DATOS-PROD'!P$2,'1.PUNTOS'!$A$1:$B$63,2,0),0)</f>
        <v>0</v>
      </c>
      <c r="H348" s="138">
        <f>IF('1.DATOS-PROD'!Q349="SI",VLOOKUP('1.DATOS-PROD'!Q$2,'1.PUNTOS'!$A$1:$B$63,2,0),0)</f>
        <v>0</v>
      </c>
      <c r="I348" s="138">
        <f>IF('1.DATOS-PROD'!R349="SI",VLOOKUP('1.DATOS-PROD'!R$2,'1.PUNTOS'!$A$1:$B$63,2,0),0)</f>
        <v>0</v>
      </c>
      <c r="J348" s="138">
        <f>IF('1.DATOS-PROD'!S349="SI",VLOOKUP('1.DATOS-PROD'!S$2,'1.PUNTOS'!$A$1:$B$63,2,0),0)</f>
        <v>0</v>
      </c>
      <c r="K348" s="138">
        <f>IF('1.DATOS-PROD'!T349="SI",VLOOKUP('1.DATOS-PROD'!T$2,'1.PUNTOS'!$A$1:$B$63,2,0),0)</f>
        <v>0</v>
      </c>
      <c r="L348" s="138">
        <f>IF('1.DATOS-PROD'!U349="SI",VLOOKUP('1.DATOS-PROD'!U$2,'1.PUNTOS'!$A$1:$B$63,2,0),0)</f>
        <v>0</v>
      </c>
      <c r="M348" s="138">
        <f>IF('1.DATOS-PROD'!V349="SI",VLOOKUP('1.DATOS-PROD'!V$2,'1.PUNTOS'!$A$1:$B$63,2,0),0)</f>
        <v>0</v>
      </c>
      <c r="N348" s="138">
        <f>IF('1.DATOS-PROD'!W349="SI",VLOOKUP('1.DATOS-PROD'!W$2,'1.PUNTOS'!$A$1:$B$63,2,0),0)</f>
        <v>0</v>
      </c>
      <c r="O348" s="138">
        <f>IF('1.DATOS-PROD'!X349="SI",VLOOKUP('1.DATOS-PROD'!X$2,'1.PUNTOS'!$A$1:$B$63,2,0),0)</f>
        <v>0</v>
      </c>
      <c r="P348" s="138">
        <f>IF('1.DATOS-PROD'!Y349="SI",VLOOKUP('1.DATOS-PROD'!Y$2,'1.PUNTOS'!$A$1:$B$63,2,0),0)</f>
        <v>0</v>
      </c>
      <c r="Q348" s="138">
        <f>IF('1.DATOS-PROD'!Z349="SI",VLOOKUP('1.DATOS-PROD'!Z$2,'1.PUNTOS'!$A$1:$B$63,2,0),0)</f>
        <v>0</v>
      </c>
      <c r="R348" s="138">
        <f>IF('1.DATOS-PROD'!AA349="SI",VLOOKUP('1.DATOS-PROD'!AA$2,'1.PUNTOS'!$A$1:$B$63,2,0),0)</f>
        <v>0</v>
      </c>
      <c r="S348" s="138">
        <f>IF('1.DATOS-PROD'!AB349="SI",VLOOKUP('1.DATOS-PROD'!AB$2,'1.PUNTOS'!$A$1:$B$63,2,0),0)</f>
        <v>0</v>
      </c>
      <c r="T348" s="138">
        <f>IF('1.DATOS-PROD'!AC349="SI",VLOOKUP('1.DATOS-PROD'!AC$2,'1.PUNTOS'!$A$1:$B$63,2,0),0)</f>
        <v>0</v>
      </c>
      <c r="U348" s="138">
        <f>IF('1.DATOS-PROD'!AD349="SI",VLOOKUP('1.DATOS-PROD'!AD$2,'1.PUNTOS'!$A$1:$B$63,2,0),0)</f>
        <v>0</v>
      </c>
      <c r="V348" s="138">
        <f>IF('1.DATOS-PROD'!AE349="SI",VLOOKUP('1.DATOS-PROD'!AE$2,'1.PUNTOS'!$A$1:$B$63,2,0),0)</f>
        <v>0</v>
      </c>
      <c r="W348" s="138">
        <f>IF('1.DATOS-PROD'!AF349="SI",VLOOKUP('1.DATOS-PROD'!AF$2,'1.PUNTOS'!$A$1:$B$63,2,0),0)</f>
        <v>0</v>
      </c>
      <c r="X348" s="138">
        <f>IF('1.DATOS-PROD'!AG349="SI",VLOOKUP('1.DATOS-PROD'!AG$2,'1.PUNTOS'!$A$1:$B$63,2,0),0)</f>
        <v>0</v>
      </c>
      <c r="Y348" s="138">
        <f>IF('1.DATOS-PROD'!AH349="SI",VLOOKUP('1.DATOS-PROD'!AH$2,'1.PUNTOS'!$A$1:$B$63,2,0),0)</f>
        <v>0</v>
      </c>
      <c r="Z348" s="138">
        <f>IF('1.DATOS-PROD'!AI349="SI",VLOOKUP('1.DATOS-PROD'!AI$2,'1.PUNTOS'!$A$1:$B$63,2,0),0)</f>
        <v>0</v>
      </c>
      <c r="AA348" s="138">
        <f>IF('1.DATOS-PROD'!AJ349="SI",VLOOKUP('1.DATOS-PROD'!AJ$2,'1.PUNTOS'!$A$1:$B$63,2,0),0)</f>
        <v>0</v>
      </c>
      <c r="AB348" s="138">
        <f>IF('1.DATOS-PROD'!AK349="SI",VLOOKUP('1.DATOS-PROD'!AK$2,'1.PUNTOS'!$A$1:$B$63,2,0),0)</f>
        <v>0</v>
      </c>
      <c r="AC348" s="138">
        <f>IF('1.DATOS-PROD'!AL349="SI",VLOOKUP('1.DATOS-PROD'!AL$2,'1.PUNTOS'!$A$1:$B$63,2,0),0)</f>
        <v>0</v>
      </c>
      <c r="AD348" s="138">
        <f>IF('1.DATOS-PROD'!AM349="SI",VLOOKUP('1.DATOS-PROD'!AM$2,'1.PUNTOS'!$A$1:$B$63,2,0),0)</f>
        <v>0</v>
      </c>
      <c r="AE348" s="138">
        <f>IF('1.DATOS-PROD'!AN349="SI",VLOOKUP('1.DATOS-PROD'!AN$2,'1.PUNTOS'!$A$1:$B$63,2,0),0)</f>
        <v>0</v>
      </c>
      <c r="AF348" s="138">
        <f>IF('1.DATOS-PROD'!AO349="SI",VLOOKUP('1.DATOS-PROD'!AO$2,'1.PUNTOS'!$A$1:$B$63,2,0),0)</f>
        <v>0</v>
      </c>
      <c r="AG348" s="138">
        <f>IF('1.DATOS-PROD'!AP349="SI",VLOOKUP('1.DATOS-PROD'!AP$2,'1.PUNTOS'!$A$1:$B$63,2,0),0)</f>
        <v>0</v>
      </c>
      <c r="AH348" s="138">
        <f>IF('1.DATOS-PROD'!AQ349="SI",VLOOKUP('1.DATOS-PROD'!AQ$2,'1.PUNTOS'!$A$1:$B$63,2,0),0)</f>
        <v>0</v>
      </c>
      <c r="AI348" s="138">
        <f>IF('1.DATOS-PROD'!AR349="SI",VLOOKUP('1.DATOS-PROD'!AR$2,'1.PUNTOS'!$A$1:$B$63,2,0),0)</f>
        <v>0</v>
      </c>
      <c r="AJ348" s="138">
        <f>IF('1.DATOS-PROD'!AS349="SI",VLOOKUP('1.DATOS-PROD'!AS$2,'1.PUNTOS'!$A$1:$B$63,2,0),0)</f>
        <v>0</v>
      </c>
      <c r="AK348" s="138">
        <f>IF('1.DATOS-PROD'!AT349="SI",VLOOKUP('1.DATOS-PROD'!AT$2,'1.PUNTOS'!$A$1:$B$63,2,0),0)</f>
        <v>0</v>
      </c>
      <c r="AL348" s="138">
        <f>IF('1.DATOS-PROD'!AU349="SI",VLOOKUP('1.DATOS-PROD'!AU$2,'1.PUNTOS'!$A$1:$B$63,2,0),0)</f>
        <v>0</v>
      </c>
      <c r="AM348" s="138">
        <f>IF('1.DATOS-PROD'!AV349="SI",VLOOKUP('1.DATOS-PROD'!AV$2,'1.PUNTOS'!$A$1:$B$63,2,0),0)</f>
        <v>0</v>
      </c>
      <c r="AN348" s="138">
        <f>IF('1.DATOS-PROD'!AW349="SI",VLOOKUP('1.DATOS-PROD'!AW$2,'1.PUNTOS'!$A$1:$B$63,2,0),0)</f>
        <v>0</v>
      </c>
      <c r="AO348" s="138">
        <f>IF('1.DATOS-PROD'!AX349="SI",VLOOKUP('1.DATOS-PROD'!AX$2,'1.PUNTOS'!$A$1:$B$63,2,0),0)</f>
        <v>0</v>
      </c>
      <c r="AP348" s="138">
        <f>IF('1.DATOS-PROD'!AY349="SI",VLOOKUP('1.DATOS-PROD'!AY$2,'1.PUNTOS'!$A$1:$B$63,2,0),0)</f>
        <v>0</v>
      </c>
      <c r="AQ348" s="138">
        <f>IF('1.DATOS-PROD'!AZ349="SI",VLOOKUP('1.DATOS-PROD'!AZ$2,'1.PUNTOS'!$A$1:$B$63,2,0),0)</f>
        <v>0</v>
      </c>
      <c r="AR348" s="138">
        <f>IF('1.DATOS-PROD'!BA349="SI",VLOOKUP('1.DATOS-PROD'!BA$2,'1.PUNTOS'!$A$1:$B$63,2,0),0)</f>
        <v>0</v>
      </c>
      <c r="AS348" s="138">
        <f>IF('1.DATOS-PROD'!BB349="SI",VLOOKUP('1.DATOS-PROD'!BB$2,'1.PUNTOS'!$A$1:$B$63,2,0),0)</f>
        <v>0</v>
      </c>
      <c r="AT348" s="138">
        <f>IF('1.DATOS-PROD'!BC349="SI",VLOOKUP('1.DATOS-PROD'!BC$2,'1.PUNTOS'!$A$1:$B$63,2,0),0)</f>
        <v>0</v>
      </c>
      <c r="AU348" s="138">
        <f>IF('1.DATOS-PROD'!BD349="SI",VLOOKUP('1.DATOS-PROD'!BD$2,'1.PUNTOS'!$A$1:$B$63,2,0),0)</f>
        <v>0</v>
      </c>
      <c r="AV348" s="138">
        <f>IF('1.DATOS-PROD'!BE349="SI",VLOOKUP('1.DATOS-PROD'!BE$2,'1.PUNTOS'!$A$1:$B$63,2,0),0)</f>
        <v>0</v>
      </c>
      <c r="AW348" s="138">
        <f>IF('1.DATOS-PROD'!BF349="SI",VLOOKUP('1.DATOS-PROD'!BF$2,'1.PUNTOS'!$A$1:$B$63,2,0),0)</f>
        <v>0</v>
      </c>
      <c r="AX348" s="138">
        <f>IF('1.DATOS-PROD'!BG349="SI",VLOOKUP('1.DATOS-PROD'!BG$2,'1.PUNTOS'!$A$1:$B$63,2,0),0)</f>
        <v>0</v>
      </c>
      <c r="AY348" s="138">
        <f>IF('1.DATOS-PROD'!BH349="SI",VLOOKUP('1.DATOS-PROD'!BH$2,'1.PUNTOS'!$A$1:$B$63,2,0),0)</f>
        <v>0</v>
      </c>
      <c r="AZ348" s="138">
        <f>IF('1.DATOS-PROD'!BI349="SI",VLOOKUP('1.DATOS-PROD'!BI$2,'1.PUNTOS'!$A$1:$B$63,2,0),0)</f>
        <v>0</v>
      </c>
      <c r="BA348" s="138">
        <f>IF('1.DATOS-PROD'!BJ349="SI",VLOOKUP('1.DATOS-PROD'!BJ$2,'1.PUNTOS'!$A$1:$B$63,2,0),0)</f>
        <v>0</v>
      </c>
      <c r="BB348" s="138">
        <f>IF('1.DATOS-PROD'!BK349="SI",VLOOKUP('1.DATOS-PROD'!BK$2,'1.PUNTOS'!$A$1:$B$63,2,0),0)</f>
        <v>0</v>
      </c>
      <c r="BC348" s="138">
        <f>IF('1.DATOS-PROD'!BL349="SI",VLOOKUP('1.DATOS-PROD'!BL$2,'1.PUNTOS'!$A$1:$B$63,2,0),0)</f>
        <v>0</v>
      </c>
      <c r="BD348" s="138">
        <f>IF('1.DATOS-PROD'!BM349="SI",VLOOKUP('1.DATOS-PROD'!BM$2,'1.PUNTOS'!$A$1:$B$63,2,0),0)</f>
        <v>0</v>
      </c>
      <c r="BE348" s="138">
        <f>IF('1.DATOS-PROD'!BN349="SI",VLOOKUP('1.DATOS-PROD'!BN$2,'1.PUNTOS'!$A$1:$B$63,2,0),0)</f>
        <v>0</v>
      </c>
      <c r="BF348" s="138">
        <f>IF('1.DATOS-PROD'!BO349="SI",VLOOKUP('1.DATOS-PROD'!BO$2,'1.PUNTOS'!$A$1:$B$63,2,0),0)</f>
        <v>0</v>
      </c>
      <c r="BG348" s="138">
        <f>IF('1.DATOS-PROD'!BP349="SI",VLOOKUP('1.DATOS-PROD'!BP$2,'1.PUNTOS'!$A$1:$B$63,2,0),0)</f>
        <v>0</v>
      </c>
      <c r="BH348" s="138">
        <f>IF('1.DATOS-PROD'!BQ349="SI",VLOOKUP('1.DATOS-PROD'!BQ$2,'1.PUNTOS'!$A$1:$B$63,2,0),0)</f>
        <v>0</v>
      </c>
      <c r="BI348" s="138">
        <f>IF('1.DATOS-PROD'!BR349="SI",VLOOKUP('1.DATOS-PROD'!BR$2,'1.PUNTOS'!$A$1:$B$63,2,0),0)</f>
        <v>0</v>
      </c>
      <c r="BJ348" s="138">
        <f>IF('1.DATOS-PROD'!BS349="SI",VLOOKUP('1.DATOS-PROD'!BS$2,'1.PUNTOS'!$A$1:$B$63,2,0),0)</f>
        <v>0</v>
      </c>
      <c r="BK348" s="138">
        <f>IF('1.DATOS-PROD'!BT349="SI",VLOOKUP('1.DATOS-PROD'!BT$2,'1.PUNTOS'!$A$1:$B$63,2,0),0)</f>
        <v>0</v>
      </c>
    </row>
    <row r="349" spans="1:63" x14ac:dyDescent="0.25">
      <c r="A349">
        <f>'0.Consolidado general'!$A350</f>
        <v>0</v>
      </c>
      <c r="B349" s="138">
        <f>IF('1.DATOS-PROD'!K350="SI",VLOOKUP('1.DATOS-PROD'!K$2,'1.PUNTOS'!$A$1:$B$63,2,0),0)</f>
        <v>0</v>
      </c>
      <c r="C349" s="138">
        <f>IF('1.DATOS-PROD'!L350="SI",VLOOKUP('1.DATOS-PROD'!L$2,'1.PUNTOS'!$A$1:$B$63,2,0),0)</f>
        <v>0</v>
      </c>
      <c r="D349" s="138">
        <f>IF('1.DATOS-PROD'!M350="SI",VLOOKUP('1.DATOS-PROD'!M$2,'1.PUNTOS'!$A$1:$B$63,2,0),0)</f>
        <v>0</v>
      </c>
      <c r="E349" s="138">
        <f>IF('1.DATOS-PROD'!N350="SI",VLOOKUP('1.DATOS-PROD'!N$2,'1.PUNTOS'!$A$1:$B$63,2,0),0)</f>
        <v>0</v>
      </c>
      <c r="F349" s="138">
        <f>IF('1.DATOS-PROD'!O350="SI",VLOOKUP('1.DATOS-PROD'!O$2,'1.PUNTOS'!$A$1:$B$63,2,0),0)</f>
        <v>0</v>
      </c>
      <c r="G349" s="138">
        <f>IF('1.DATOS-PROD'!P350="SI",VLOOKUP('1.DATOS-PROD'!P$2,'1.PUNTOS'!$A$1:$B$63,2,0),0)</f>
        <v>0</v>
      </c>
      <c r="H349" s="138">
        <f>IF('1.DATOS-PROD'!Q350="SI",VLOOKUP('1.DATOS-PROD'!Q$2,'1.PUNTOS'!$A$1:$B$63,2,0),0)</f>
        <v>0</v>
      </c>
      <c r="I349" s="138">
        <f>IF('1.DATOS-PROD'!R350="SI",VLOOKUP('1.DATOS-PROD'!R$2,'1.PUNTOS'!$A$1:$B$63,2,0),0)</f>
        <v>0</v>
      </c>
      <c r="J349" s="138">
        <f>IF('1.DATOS-PROD'!S350="SI",VLOOKUP('1.DATOS-PROD'!S$2,'1.PUNTOS'!$A$1:$B$63,2,0),0)</f>
        <v>0</v>
      </c>
      <c r="K349" s="138">
        <f>IF('1.DATOS-PROD'!T350="SI",VLOOKUP('1.DATOS-PROD'!T$2,'1.PUNTOS'!$A$1:$B$63,2,0),0)</f>
        <v>0</v>
      </c>
      <c r="L349" s="138">
        <f>IF('1.DATOS-PROD'!U350="SI",VLOOKUP('1.DATOS-PROD'!U$2,'1.PUNTOS'!$A$1:$B$63,2,0),0)</f>
        <v>0</v>
      </c>
      <c r="M349" s="138">
        <f>IF('1.DATOS-PROD'!V350="SI",VLOOKUP('1.DATOS-PROD'!V$2,'1.PUNTOS'!$A$1:$B$63,2,0),0)</f>
        <v>0</v>
      </c>
      <c r="N349" s="138">
        <f>IF('1.DATOS-PROD'!W350="SI",VLOOKUP('1.DATOS-PROD'!W$2,'1.PUNTOS'!$A$1:$B$63,2,0),0)</f>
        <v>0</v>
      </c>
      <c r="O349" s="138">
        <f>IF('1.DATOS-PROD'!X350="SI",VLOOKUP('1.DATOS-PROD'!X$2,'1.PUNTOS'!$A$1:$B$63,2,0),0)</f>
        <v>0</v>
      </c>
      <c r="P349" s="138">
        <f>IF('1.DATOS-PROD'!Y350="SI",VLOOKUP('1.DATOS-PROD'!Y$2,'1.PUNTOS'!$A$1:$B$63,2,0),0)</f>
        <v>0</v>
      </c>
      <c r="Q349" s="138">
        <f>IF('1.DATOS-PROD'!Z350="SI",VLOOKUP('1.DATOS-PROD'!Z$2,'1.PUNTOS'!$A$1:$B$63,2,0),0)</f>
        <v>0</v>
      </c>
      <c r="R349" s="138">
        <f>IF('1.DATOS-PROD'!AA350="SI",VLOOKUP('1.DATOS-PROD'!AA$2,'1.PUNTOS'!$A$1:$B$63,2,0),0)</f>
        <v>0</v>
      </c>
      <c r="S349" s="138">
        <f>IF('1.DATOS-PROD'!AB350="SI",VLOOKUP('1.DATOS-PROD'!AB$2,'1.PUNTOS'!$A$1:$B$63,2,0),0)</f>
        <v>0</v>
      </c>
      <c r="T349" s="138">
        <f>IF('1.DATOS-PROD'!AC350="SI",VLOOKUP('1.DATOS-PROD'!AC$2,'1.PUNTOS'!$A$1:$B$63,2,0),0)</f>
        <v>0</v>
      </c>
      <c r="U349" s="138">
        <f>IF('1.DATOS-PROD'!AD350="SI",VLOOKUP('1.DATOS-PROD'!AD$2,'1.PUNTOS'!$A$1:$B$63,2,0),0)</f>
        <v>0</v>
      </c>
      <c r="V349" s="138">
        <f>IF('1.DATOS-PROD'!AE350="SI",VLOOKUP('1.DATOS-PROD'!AE$2,'1.PUNTOS'!$A$1:$B$63,2,0),0)</f>
        <v>0</v>
      </c>
      <c r="W349" s="138">
        <f>IF('1.DATOS-PROD'!AF350="SI",VLOOKUP('1.DATOS-PROD'!AF$2,'1.PUNTOS'!$A$1:$B$63,2,0),0)</f>
        <v>0</v>
      </c>
      <c r="X349" s="138">
        <f>IF('1.DATOS-PROD'!AG350="SI",VLOOKUP('1.DATOS-PROD'!AG$2,'1.PUNTOS'!$A$1:$B$63,2,0),0)</f>
        <v>0</v>
      </c>
      <c r="Y349" s="138">
        <f>IF('1.DATOS-PROD'!AH350="SI",VLOOKUP('1.DATOS-PROD'!AH$2,'1.PUNTOS'!$A$1:$B$63,2,0),0)</f>
        <v>0</v>
      </c>
      <c r="Z349" s="138">
        <f>IF('1.DATOS-PROD'!AI350="SI",VLOOKUP('1.DATOS-PROD'!AI$2,'1.PUNTOS'!$A$1:$B$63,2,0),0)</f>
        <v>0</v>
      </c>
      <c r="AA349" s="138">
        <f>IF('1.DATOS-PROD'!AJ350="SI",VLOOKUP('1.DATOS-PROD'!AJ$2,'1.PUNTOS'!$A$1:$B$63,2,0),0)</f>
        <v>0</v>
      </c>
      <c r="AB349" s="138">
        <f>IF('1.DATOS-PROD'!AK350="SI",VLOOKUP('1.DATOS-PROD'!AK$2,'1.PUNTOS'!$A$1:$B$63,2,0),0)</f>
        <v>0</v>
      </c>
      <c r="AC349" s="138">
        <f>IF('1.DATOS-PROD'!AL350="SI",VLOOKUP('1.DATOS-PROD'!AL$2,'1.PUNTOS'!$A$1:$B$63,2,0),0)</f>
        <v>0</v>
      </c>
      <c r="AD349" s="138">
        <f>IF('1.DATOS-PROD'!AM350="SI",VLOOKUP('1.DATOS-PROD'!AM$2,'1.PUNTOS'!$A$1:$B$63,2,0),0)</f>
        <v>0</v>
      </c>
      <c r="AE349" s="138">
        <f>IF('1.DATOS-PROD'!AN350="SI",VLOOKUP('1.DATOS-PROD'!AN$2,'1.PUNTOS'!$A$1:$B$63,2,0),0)</f>
        <v>0</v>
      </c>
      <c r="AF349" s="138">
        <f>IF('1.DATOS-PROD'!AO350="SI",VLOOKUP('1.DATOS-PROD'!AO$2,'1.PUNTOS'!$A$1:$B$63,2,0),0)</f>
        <v>0</v>
      </c>
      <c r="AG349" s="138">
        <f>IF('1.DATOS-PROD'!AP350="SI",VLOOKUP('1.DATOS-PROD'!AP$2,'1.PUNTOS'!$A$1:$B$63,2,0),0)</f>
        <v>0</v>
      </c>
      <c r="AH349" s="138">
        <f>IF('1.DATOS-PROD'!AQ350="SI",VLOOKUP('1.DATOS-PROD'!AQ$2,'1.PUNTOS'!$A$1:$B$63,2,0),0)</f>
        <v>0</v>
      </c>
      <c r="AI349" s="138">
        <f>IF('1.DATOS-PROD'!AR350="SI",VLOOKUP('1.DATOS-PROD'!AR$2,'1.PUNTOS'!$A$1:$B$63,2,0),0)</f>
        <v>0</v>
      </c>
      <c r="AJ349" s="138">
        <f>IF('1.DATOS-PROD'!AS350="SI",VLOOKUP('1.DATOS-PROD'!AS$2,'1.PUNTOS'!$A$1:$B$63,2,0),0)</f>
        <v>0</v>
      </c>
      <c r="AK349" s="138">
        <f>IF('1.DATOS-PROD'!AT350="SI",VLOOKUP('1.DATOS-PROD'!AT$2,'1.PUNTOS'!$A$1:$B$63,2,0),0)</f>
        <v>0</v>
      </c>
      <c r="AL349" s="138">
        <f>IF('1.DATOS-PROD'!AU350="SI",VLOOKUP('1.DATOS-PROD'!AU$2,'1.PUNTOS'!$A$1:$B$63,2,0),0)</f>
        <v>0</v>
      </c>
      <c r="AM349" s="138">
        <f>IF('1.DATOS-PROD'!AV350="SI",VLOOKUP('1.DATOS-PROD'!AV$2,'1.PUNTOS'!$A$1:$B$63,2,0),0)</f>
        <v>0</v>
      </c>
      <c r="AN349" s="138">
        <f>IF('1.DATOS-PROD'!AW350="SI",VLOOKUP('1.DATOS-PROD'!AW$2,'1.PUNTOS'!$A$1:$B$63,2,0),0)</f>
        <v>0</v>
      </c>
      <c r="AO349" s="138">
        <f>IF('1.DATOS-PROD'!AX350="SI",VLOOKUP('1.DATOS-PROD'!AX$2,'1.PUNTOS'!$A$1:$B$63,2,0),0)</f>
        <v>0</v>
      </c>
      <c r="AP349" s="138">
        <f>IF('1.DATOS-PROD'!AY350="SI",VLOOKUP('1.DATOS-PROD'!AY$2,'1.PUNTOS'!$A$1:$B$63,2,0),0)</f>
        <v>0</v>
      </c>
      <c r="AQ349" s="138">
        <f>IF('1.DATOS-PROD'!AZ350="SI",VLOOKUP('1.DATOS-PROD'!AZ$2,'1.PUNTOS'!$A$1:$B$63,2,0),0)</f>
        <v>0</v>
      </c>
      <c r="AR349" s="138">
        <f>IF('1.DATOS-PROD'!BA350="SI",VLOOKUP('1.DATOS-PROD'!BA$2,'1.PUNTOS'!$A$1:$B$63,2,0),0)</f>
        <v>0</v>
      </c>
      <c r="AS349" s="138">
        <f>IF('1.DATOS-PROD'!BB350="SI",VLOOKUP('1.DATOS-PROD'!BB$2,'1.PUNTOS'!$A$1:$B$63,2,0),0)</f>
        <v>0</v>
      </c>
      <c r="AT349" s="138">
        <f>IF('1.DATOS-PROD'!BC350="SI",VLOOKUP('1.DATOS-PROD'!BC$2,'1.PUNTOS'!$A$1:$B$63,2,0),0)</f>
        <v>0</v>
      </c>
      <c r="AU349" s="138">
        <f>IF('1.DATOS-PROD'!BD350="SI",VLOOKUP('1.DATOS-PROD'!BD$2,'1.PUNTOS'!$A$1:$B$63,2,0),0)</f>
        <v>0</v>
      </c>
      <c r="AV349" s="138">
        <f>IF('1.DATOS-PROD'!BE350="SI",VLOOKUP('1.DATOS-PROD'!BE$2,'1.PUNTOS'!$A$1:$B$63,2,0),0)</f>
        <v>0</v>
      </c>
      <c r="AW349" s="138">
        <f>IF('1.DATOS-PROD'!BF350="SI",VLOOKUP('1.DATOS-PROD'!BF$2,'1.PUNTOS'!$A$1:$B$63,2,0),0)</f>
        <v>0</v>
      </c>
      <c r="AX349" s="138">
        <f>IF('1.DATOS-PROD'!BG350="SI",VLOOKUP('1.DATOS-PROD'!BG$2,'1.PUNTOS'!$A$1:$B$63,2,0),0)</f>
        <v>0</v>
      </c>
      <c r="AY349" s="138">
        <f>IF('1.DATOS-PROD'!BH350="SI",VLOOKUP('1.DATOS-PROD'!BH$2,'1.PUNTOS'!$A$1:$B$63,2,0),0)</f>
        <v>0</v>
      </c>
      <c r="AZ349" s="138">
        <f>IF('1.DATOS-PROD'!BI350="SI",VLOOKUP('1.DATOS-PROD'!BI$2,'1.PUNTOS'!$A$1:$B$63,2,0),0)</f>
        <v>0</v>
      </c>
      <c r="BA349" s="138">
        <f>IF('1.DATOS-PROD'!BJ350="SI",VLOOKUP('1.DATOS-PROD'!BJ$2,'1.PUNTOS'!$A$1:$B$63,2,0),0)</f>
        <v>0</v>
      </c>
      <c r="BB349" s="138">
        <f>IF('1.DATOS-PROD'!BK350="SI",VLOOKUP('1.DATOS-PROD'!BK$2,'1.PUNTOS'!$A$1:$B$63,2,0),0)</f>
        <v>0</v>
      </c>
      <c r="BC349" s="138">
        <f>IF('1.DATOS-PROD'!BL350="SI",VLOOKUP('1.DATOS-PROD'!BL$2,'1.PUNTOS'!$A$1:$B$63,2,0),0)</f>
        <v>0</v>
      </c>
      <c r="BD349" s="138">
        <f>IF('1.DATOS-PROD'!BM350="SI",VLOOKUP('1.DATOS-PROD'!BM$2,'1.PUNTOS'!$A$1:$B$63,2,0),0)</f>
        <v>0</v>
      </c>
      <c r="BE349" s="138">
        <f>IF('1.DATOS-PROD'!BN350="SI",VLOOKUP('1.DATOS-PROD'!BN$2,'1.PUNTOS'!$A$1:$B$63,2,0),0)</f>
        <v>0</v>
      </c>
      <c r="BF349" s="138">
        <f>IF('1.DATOS-PROD'!BO350="SI",VLOOKUP('1.DATOS-PROD'!BO$2,'1.PUNTOS'!$A$1:$B$63,2,0),0)</f>
        <v>0</v>
      </c>
      <c r="BG349" s="138">
        <f>IF('1.DATOS-PROD'!BP350="SI",VLOOKUP('1.DATOS-PROD'!BP$2,'1.PUNTOS'!$A$1:$B$63,2,0),0)</f>
        <v>0</v>
      </c>
      <c r="BH349" s="138">
        <f>IF('1.DATOS-PROD'!BQ350="SI",VLOOKUP('1.DATOS-PROD'!BQ$2,'1.PUNTOS'!$A$1:$B$63,2,0),0)</f>
        <v>0</v>
      </c>
      <c r="BI349" s="138">
        <f>IF('1.DATOS-PROD'!BR350="SI",VLOOKUP('1.DATOS-PROD'!BR$2,'1.PUNTOS'!$A$1:$B$63,2,0),0)</f>
        <v>0</v>
      </c>
      <c r="BJ349" s="138">
        <f>IF('1.DATOS-PROD'!BS350="SI",VLOOKUP('1.DATOS-PROD'!BS$2,'1.PUNTOS'!$A$1:$B$63,2,0),0)</f>
        <v>0</v>
      </c>
      <c r="BK349" s="138">
        <f>IF('1.DATOS-PROD'!BT350="SI",VLOOKUP('1.DATOS-PROD'!BT$2,'1.PUNTOS'!$A$1:$B$63,2,0),0)</f>
        <v>0</v>
      </c>
    </row>
    <row r="350" spans="1:63" x14ac:dyDescent="0.25">
      <c r="A350">
        <f>'0.Consolidado general'!$A351</f>
        <v>0</v>
      </c>
      <c r="B350" s="138">
        <f>IF('1.DATOS-PROD'!K351="SI",VLOOKUP('1.DATOS-PROD'!K$2,'1.PUNTOS'!$A$1:$B$63,2,0),0)</f>
        <v>0</v>
      </c>
      <c r="C350" s="138">
        <f>IF('1.DATOS-PROD'!L351="SI",VLOOKUP('1.DATOS-PROD'!L$2,'1.PUNTOS'!$A$1:$B$63,2,0),0)</f>
        <v>0</v>
      </c>
      <c r="D350" s="138">
        <f>IF('1.DATOS-PROD'!M351="SI",VLOOKUP('1.DATOS-PROD'!M$2,'1.PUNTOS'!$A$1:$B$63,2,0),0)</f>
        <v>0</v>
      </c>
      <c r="E350" s="138">
        <f>IF('1.DATOS-PROD'!N351="SI",VLOOKUP('1.DATOS-PROD'!N$2,'1.PUNTOS'!$A$1:$B$63,2,0),0)</f>
        <v>0</v>
      </c>
      <c r="F350" s="138">
        <f>IF('1.DATOS-PROD'!O351="SI",VLOOKUP('1.DATOS-PROD'!O$2,'1.PUNTOS'!$A$1:$B$63,2,0),0)</f>
        <v>0</v>
      </c>
      <c r="G350" s="138">
        <f>IF('1.DATOS-PROD'!P351="SI",VLOOKUP('1.DATOS-PROD'!P$2,'1.PUNTOS'!$A$1:$B$63,2,0),0)</f>
        <v>0</v>
      </c>
      <c r="H350" s="138">
        <f>IF('1.DATOS-PROD'!Q351="SI",VLOOKUP('1.DATOS-PROD'!Q$2,'1.PUNTOS'!$A$1:$B$63,2,0),0)</f>
        <v>0</v>
      </c>
      <c r="I350" s="138">
        <f>IF('1.DATOS-PROD'!R351="SI",VLOOKUP('1.DATOS-PROD'!R$2,'1.PUNTOS'!$A$1:$B$63,2,0),0)</f>
        <v>0</v>
      </c>
      <c r="J350" s="138">
        <f>IF('1.DATOS-PROD'!S351="SI",VLOOKUP('1.DATOS-PROD'!S$2,'1.PUNTOS'!$A$1:$B$63,2,0),0)</f>
        <v>0</v>
      </c>
      <c r="K350" s="138">
        <f>IF('1.DATOS-PROD'!T351="SI",VLOOKUP('1.DATOS-PROD'!T$2,'1.PUNTOS'!$A$1:$B$63,2,0),0)</f>
        <v>0</v>
      </c>
      <c r="L350" s="138">
        <f>IF('1.DATOS-PROD'!U351="SI",VLOOKUP('1.DATOS-PROD'!U$2,'1.PUNTOS'!$A$1:$B$63,2,0),0)</f>
        <v>0</v>
      </c>
      <c r="M350" s="138">
        <f>IF('1.DATOS-PROD'!V351="SI",VLOOKUP('1.DATOS-PROD'!V$2,'1.PUNTOS'!$A$1:$B$63,2,0),0)</f>
        <v>0</v>
      </c>
      <c r="N350" s="138">
        <f>IF('1.DATOS-PROD'!W351="SI",VLOOKUP('1.DATOS-PROD'!W$2,'1.PUNTOS'!$A$1:$B$63,2,0),0)</f>
        <v>0</v>
      </c>
      <c r="O350" s="138">
        <f>IF('1.DATOS-PROD'!X351="SI",VLOOKUP('1.DATOS-PROD'!X$2,'1.PUNTOS'!$A$1:$B$63,2,0),0)</f>
        <v>0</v>
      </c>
      <c r="P350" s="138">
        <f>IF('1.DATOS-PROD'!Y351="SI",VLOOKUP('1.DATOS-PROD'!Y$2,'1.PUNTOS'!$A$1:$B$63,2,0),0)</f>
        <v>0</v>
      </c>
      <c r="Q350" s="138">
        <f>IF('1.DATOS-PROD'!Z351="SI",VLOOKUP('1.DATOS-PROD'!Z$2,'1.PUNTOS'!$A$1:$B$63,2,0),0)</f>
        <v>0</v>
      </c>
      <c r="R350" s="138">
        <f>IF('1.DATOS-PROD'!AA351="SI",VLOOKUP('1.DATOS-PROD'!AA$2,'1.PUNTOS'!$A$1:$B$63,2,0),0)</f>
        <v>0</v>
      </c>
      <c r="S350" s="138">
        <f>IF('1.DATOS-PROD'!AB351="SI",VLOOKUP('1.DATOS-PROD'!AB$2,'1.PUNTOS'!$A$1:$B$63,2,0),0)</f>
        <v>0</v>
      </c>
      <c r="T350" s="138">
        <f>IF('1.DATOS-PROD'!AC351="SI",VLOOKUP('1.DATOS-PROD'!AC$2,'1.PUNTOS'!$A$1:$B$63,2,0),0)</f>
        <v>0</v>
      </c>
      <c r="U350" s="138">
        <f>IF('1.DATOS-PROD'!AD351="SI",VLOOKUP('1.DATOS-PROD'!AD$2,'1.PUNTOS'!$A$1:$B$63,2,0),0)</f>
        <v>0</v>
      </c>
      <c r="V350" s="138">
        <f>IF('1.DATOS-PROD'!AE351="SI",VLOOKUP('1.DATOS-PROD'!AE$2,'1.PUNTOS'!$A$1:$B$63,2,0),0)</f>
        <v>0</v>
      </c>
      <c r="W350" s="138">
        <f>IF('1.DATOS-PROD'!AF351="SI",VLOOKUP('1.DATOS-PROD'!AF$2,'1.PUNTOS'!$A$1:$B$63,2,0),0)</f>
        <v>0</v>
      </c>
      <c r="X350" s="138">
        <f>IF('1.DATOS-PROD'!AG351="SI",VLOOKUP('1.DATOS-PROD'!AG$2,'1.PUNTOS'!$A$1:$B$63,2,0),0)</f>
        <v>0</v>
      </c>
      <c r="Y350" s="138">
        <f>IF('1.DATOS-PROD'!AH351="SI",VLOOKUP('1.DATOS-PROD'!AH$2,'1.PUNTOS'!$A$1:$B$63,2,0),0)</f>
        <v>0</v>
      </c>
      <c r="Z350" s="138">
        <f>IF('1.DATOS-PROD'!AI351="SI",VLOOKUP('1.DATOS-PROD'!AI$2,'1.PUNTOS'!$A$1:$B$63,2,0),0)</f>
        <v>0</v>
      </c>
      <c r="AA350" s="138">
        <f>IF('1.DATOS-PROD'!AJ351="SI",VLOOKUP('1.DATOS-PROD'!AJ$2,'1.PUNTOS'!$A$1:$B$63,2,0),0)</f>
        <v>0</v>
      </c>
      <c r="AB350" s="138">
        <f>IF('1.DATOS-PROD'!AK351="SI",VLOOKUP('1.DATOS-PROD'!AK$2,'1.PUNTOS'!$A$1:$B$63,2,0),0)</f>
        <v>0</v>
      </c>
      <c r="AC350" s="138">
        <f>IF('1.DATOS-PROD'!AL351="SI",VLOOKUP('1.DATOS-PROD'!AL$2,'1.PUNTOS'!$A$1:$B$63,2,0),0)</f>
        <v>0</v>
      </c>
      <c r="AD350" s="138">
        <f>IF('1.DATOS-PROD'!AM351="SI",VLOOKUP('1.DATOS-PROD'!AM$2,'1.PUNTOS'!$A$1:$B$63,2,0),0)</f>
        <v>0</v>
      </c>
      <c r="AE350" s="138">
        <f>IF('1.DATOS-PROD'!AN351="SI",VLOOKUP('1.DATOS-PROD'!AN$2,'1.PUNTOS'!$A$1:$B$63,2,0),0)</f>
        <v>0</v>
      </c>
      <c r="AF350" s="138">
        <f>IF('1.DATOS-PROD'!AO351="SI",VLOOKUP('1.DATOS-PROD'!AO$2,'1.PUNTOS'!$A$1:$B$63,2,0),0)</f>
        <v>0</v>
      </c>
      <c r="AG350" s="138">
        <f>IF('1.DATOS-PROD'!AP351="SI",VLOOKUP('1.DATOS-PROD'!AP$2,'1.PUNTOS'!$A$1:$B$63,2,0),0)</f>
        <v>0</v>
      </c>
      <c r="AH350" s="138">
        <f>IF('1.DATOS-PROD'!AQ351="SI",VLOOKUP('1.DATOS-PROD'!AQ$2,'1.PUNTOS'!$A$1:$B$63,2,0),0)</f>
        <v>0</v>
      </c>
      <c r="AI350" s="138">
        <f>IF('1.DATOS-PROD'!AR351="SI",VLOOKUP('1.DATOS-PROD'!AR$2,'1.PUNTOS'!$A$1:$B$63,2,0),0)</f>
        <v>0</v>
      </c>
      <c r="AJ350" s="138">
        <f>IF('1.DATOS-PROD'!AS351="SI",VLOOKUP('1.DATOS-PROD'!AS$2,'1.PUNTOS'!$A$1:$B$63,2,0),0)</f>
        <v>0</v>
      </c>
      <c r="AK350" s="138">
        <f>IF('1.DATOS-PROD'!AT351="SI",VLOOKUP('1.DATOS-PROD'!AT$2,'1.PUNTOS'!$A$1:$B$63,2,0),0)</f>
        <v>0</v>
      </c>
      <c r="AL350" s="138">
        <f>IF('1.DATOS-PROD'!AU351="SI",VLOOKUP('1.DATOS-PROD'!AU$2,'1.PUNTOS'!$A$1:$B$63,2,0),0)</f>
        <v>0</v>
      </c>
      <c r="AM350" s="138">
        <f>IF('1.DATOS-PROD'!AV351="SI",VLOOKUP('1.DATOS-PROD'!AV$2,'1.PUNTOS'!$A$1:$B$63,2,0),0)</f>
        <v>0</v>
      </c>
      <c r="AN350" s="138">
        <f>IF('1.DATOS-PROD'!AW351="SI",VLOOKUP('1.DATOS-PROD'!AW$2,'1.PUNTOS'!$A$1:$B$63,2,0),0)</f>
        <v>0</v>
      </c>
      <c r="AO350" s="138">
        <f>IF('1.DATOS-PROD'!AX351="SI",VLOOKUP('1.DATOS-PROD'!AX$2,'1.PUNTOS'!$A$1:$B$63,2,0),0)</f>
        <v>0</v>
      </c>
      <c r="AP350" s="138">
        <f>IF('1.DATOS-PROD'!AY351="SI",VLOOKUP('1.DATOS-PROD'!AY$2,'1.PUNTOS'!$A$1:$B$63,2,0),0)</f>
        <v>0</v>
      </c>
      <c r="AQ350" s="138">
        <f>IF('1.DATOS-PROD'!AZ351="SI",VLOOKUP('1.DATOS-PROD'!AZ$2,'1.PUNTOS'!$A$1:$B$63,2,0),0)</f>
        <v>0</v>
      </c>
      <c r="AR350" s="138">
        <f>IF('1.DATOS-PROD'!BA351="SI",VLOOKUP('1.DATOS-PROD'!BA$2,'1.PUNTOS'!$A$1:$B$63,2,0),0)</f>
        <v>0</v>
      </c>
      <c r="AS350" s="138">
        <f>IF('1.DATOS-PROD'!BB351="SI",VLOOKUP('1.DATOS-PROD'!BB$2,'1.PUNTOS'!$A$1:$B$63,2,0),0)</f>
        <v>0</v>
      </c>
      <c r="AT350" s="138">
        <f>IF('1.DATOS-PROD'!BC351="SI",VLOOKUP('1.DATOS-PROD'!BC$2,'1.PUNTOS'!$A$1:$B$63,2,0),0)</f>
        <v>0</v>
      </c>
      <c r="AU350" s="138">
        <f>IF('1.DATOS-PROD'!BD351="SI",VLOOKUP('1.DATOS-PROD'!BD$2,'1.PUNTOS'!$A$1:$B$63,2,0),0)</f>
        <v>0</v>
      </c>
      <c r="AV350" s="138">
        <f>IF('1.DATOS-PROD'!BE351="SI",VLOOKUP('1.DATOS-PROD'!BE$2,'1.PUNTOS'!$A$1:$B$63,2,0),0)</f>
        <v>0</v>
      </c>
      <c r="AW350" s="138">
        <f>IF('1.DATOS-PROD'!BF351="SI",VLOOKUP('1.DATOS-PROD'!BF$2,'1.PUNTOS'!$A$1:$B$63,2,0),0)</f>
        <v>0</v>
      </c>
      <c r="AX350" s="138">
        <f>IF('1.DATOS-PROD'!BG351="SI",VLOOKUP('1.DATOS-PROD'!BG$2,'1.PUNTOS'!$A$1:$B$63,2,0),0)</f>
        <v>0</v>
      </c>
      <c r="AY350" s="138">
        <f>IF('1.DATOS-PROD'!BH351="SI",VLOOKUP('1.DATOS-PROD'!BH$2,'1.PUNTOS'!$A$1:$B$63,2,0),0)</f>
        <v>0</v>
      </c>
      <c r="AZ350" s="138">
        <f>IF('1.DATOS-PROD'!BI351="SI",VLOOKUP('1.DATOS-PROD'!BI$2,'1.PUNTOS'!$A$1:$B$63,2,0),0)</f>
        <v>0</v>
      </c>
      <c r="BA350" s="138">
        <f>IF('1.DATOS-PROD'!BJ351="SI",VLOOKUP('1.DATOS-PROD'!BJ$2,'1.PUNTOS'!$A$1:$B$63,2,0),0)</f>
        <v>0</v>
      </c>
      <c r="BB350" s="138">
        <f>IF('1.DATOS-PROD'!BK351="SI",VLOOKUP('1.DATOS-PROD'!BK$2,'1.PUNTOS'!$A$1:$B$63,2,0),0)</f>
        <v>0</v>
      </c>
      <c r="BC350" s="138">
        <f>IF('1.DATOS-PROD'!BL351="SI",VLOOKUP('1.DATOS-PROD'!BL$2,'1.PUNTOS'!$A$1:$B$63,2,0),0)</f>
        <v>0</v>
      </c>
      <c r="BD350" s="138">
        <f>IF('1.DATOS-PROD'!BM351="SI",VLOOKUP('1.DATOS-PROD'!BM$2,'1.PUNTOS'!$A$1:$B$63,2,0),0)</f>
        <v>0</v>
      </c>
      <c r="BE350" s="138">
        <f>IF('1.DATOS-PROD'!BN351="SI",VLOOKUP('1.DATOS-PROD'!BN$2,'1.PUNTOS'!$A$1:$B$63,2,0),0)</f>
        <v>0</v>
      </c>
      <c r="BF350" s="138">
        <f>IF('1.DATOS-PROD'!BO351="SI",VLOOKUP('1.DATOS-PROD'!BO$2,'1.PUNTOS'!$A$1:$B$63,2,0),0)</f>
        <v>0</v>
      </c>
      <c r="BG350" s="138">
        <f>IF('1.DATOS-PROD'!BP351="SI",VLOOKUP('1.DATOS-PROD'!BP$2,'1.PUNTOS'!$A$1:$B$63,2,0),0)</f>
        <v>0</v>
      </c>
      <c r="BH350" s="138">
        <f>IF('1.DATOS-PROD'!BQ351="SI",VLOOKUP('1.DATOS-PROD'!BQ$2,'1.PUNTOS'!$A$1:$B$63,2,0),0)</f>
        <v>0</v>
      </c>
      <c r="BI350" s="138">
        <f>IF('1.DATOS-PROD'!BR351="SI",VLOOKUP('1.DATOS-PROD'!BR$2,'1.PUNTOS'!$A$1:$B$63,2,0),0)</f>
        <v>0</v>
      </c>
      <c r="BJ350" s="138">
        <f>IF('1.DATOS-PROD'!BS351="SI",VLOOKUP('1.DATOS-PROD'!BS$2,'1.PUNTOS'!$A$1:$B$63,2,0),0)</f>
        <v>0</v>
      </c>
      <c r="BK350" s="138">
        <f>IF('1.DATOS-PROD'!BT351="SI",VLOOKUP('1.DATOS-PROD'!BT$2,'1.PUNTOS'!$A$1:$B$63,2,0),0)</f>
        <v>0</v>
      </c>
    </row>
    <row r="351" spans="1:63" x14ac:dyDescent="0.25">
      <c r="A351">
        <f>'0.Consolidado general'!$A352</f>
        <v>0</v>
      </c>
      <c r="B351" s="138">
        <f>IF('1.DATOS-PROD'!K352="SI",VLOOKUP('1.DATOS-PROD'!K$2,'1.PUNTOS'!$A$1:$B$63,2,0),0)</f>
        <v>0</v>
      </c>
      <c r="C351" s="138">
        <f>IF('1.DATOS-PROD'!L352="SI",VLOOKUP('1.DATOS-PROD'!L$2,'1.PUNTOS'!$A$1:$B$63,2,0),0)</f>
        <v>0</v>
      </c>
      <c r="D351" s="138">
        <f>IF('1.DATOS-PROD'!M352="SI",VLOOKUP('1.DATOS-PROD'!M$2,'1.PUNTOS'!$A$1:$B$63,2,0),0)</f>
        <v>0</v>
      </c>
      <c r="E351" s="138">
        <f>IF('1.DATOS-PROD'!N352="SI",VLOOKUP('1.DATOS-PROD'!N$2,'1.PUNTOS'!$A$1:$B$63,2,0),0)</f>
        <v>0</v>
      </c>
      <c r="F351" s="138">
        <f>IF('1.DATOS-PROD'!O352="SI",VLOOKUP('1.DATOS-PROD'!O$2,'1.PUNTOS'!$A$1:$B$63,2,0),0)</f>
        <v>0</v>
      </c>
      <c r="G351" s="138">
        <f>IF('1.DATOS-PROD'!P352="SI",VLOOKUP('1.DATOS-PROD'!P$2,'1.PUNTOS'!$A$1:$B$63,2,0),0)</f>
        <v>0</v>
      </c>
      <c r="H351" s="138">
        <f>IF('1.DATOS-PROD'!Q352="SI",VLOOKUP('1.DATOS-PROD'!Q$2,'1.PUNTOS'!$A$1:$B$63,2,0),0)</f>
        <v>0</v>
      </c>
      <c r="I351" s="138">
        <f>IF('1.DATOS-PROD'!R352="SI",VLOOKUP('1.DATOS-PROD'!R$2,'1.PUNTOS'!$A$1:$B$63,2,0),0)</f>
        <v>0</v>
      </c>
      <c r="J351" s="138">
        <f>IF('1.DATOS-PROD'!S352="SI",VLOOKUP('1.DATOS-PROD'!S$2,'1.PUNTOS'!$A$1:$B$63,2,0),0)</f>
        <v>0</v>
      </c>
      <c r="K351" s="138">
        <f>IF('1.DATOS-PROD'!T352="SI",VLOOKUP('1.DATOS-PROD'!T$2,'1.PUNTOS'!$A$1:$B$63,2,0),0)</f>
        <v>0</v>
      </c>
      <c r="L351" s="138">
        <f>IF('1.DATOS-PROD'!U352="SI",VLOOKUP('1.DATOS-PROD'!U$2,'1.PUNTOS'!$A$1:$B$63,2,0),0)</f>
        <v>0</v>
      </c>
      <c r="M351" s="138">
        <f>IF('1.DATOS-PROD'!V352="SI",VLOOKUP('1.DATOS-PROD'!V$2,'1.PUNTOS'!$A$1:$B$63,2,0),0)</f>
        <v>0</v>
      </c>
      <c r="N351" s="138">
        <f>IF('1.DATOS-PROD'!W352="SI",VLOOKUP('1.DATOS-PROD'!W$2,'1.PUNTOS'!$A$1:$B$63,2,0),0)</f>
        <v>0</v>
      </c>
      <c r="O351" s="138">
        <f>IF('1.DATOS-PROD'!X352="SI",VLOOKUP('1.DATOS-PROD'!X$2,'1.PUNTOS'!$A$1:$B$63,2,0),0)</f>
        <v>0</v>
      </c>
      <c r="P351" s="138">
        <f>IF('1.DATOS-PROD'!Y352="SI",VLOOKUP('1.DATOS-PROD'!Y$2,'1.PUNTOS'!$A$1:$B$63,2,0),0)</f>
        <v>0</v>
      </c>
      <c r="Q351" s="138">
        <f>IF('1.DATOS-PROD'!Z352="SI",VLOOKUP('1.DATOS-PROD'!Z$2,'1.PUNTOS'!$A$1:$B$63,2,0),0)</f>
        <v>0</v>
      </c>
      <c r="R351" s="138">
        <f>IF('1.DATOS-PROD'!AA352="SI",VLOOKUP('1.DATOS-PROD'!AA$2,'1.PUNTOS'!$A$1:$B$63,2,0),0)</f>
        <v>0</v>
      </c>
      <c r="S351" s="138">
        <f>IF('1.DATOS-PROD'!AB352="SI",VLOOKUP('1.DATOS-PROD'!AB$2,'1.PUNTOS'!$A$1:$B$63,2,0),0)</f>
        <v>0</v>
      </c>
      <c r="T351" s="138">
        <f>IF('1.DATOS-PROD'!AC352="SI",VLOOKUP('1.DATOS-PROD'!AC$2,'1.PUNTOS'!$A$1:$B$63,2,0),0)</f>
        <v>0</v>
      </c>
      <c r="U351" s="138">
        <f>IF('1.DATOS-PROD'!AD352="SI",VLOOKUP('1.DATOS-PROD'!AD$2,'1.PUNTOS'!$A$1:$B$63,2,0),0)</f>
        <v>0</v>
      </c>
      <c r="V351" s="138">
        <f>IF('1.DATOS-PROD'!AE352="SI",VLOOKUP('1.DATOS-PROD'!AE$2,'1.PUNTOS'!$A$1:$B$63,2,0),0)</f>
        <v>0</v>
      </c>
      <c r="W351" s="138">
        <f>IF('1.DATOS-PROD'!AF352="SI",VLOOKUP('1.DATOS-PROD'!AF$2,'1.PUNTOS'!$A$1:$B$63,2,0),0)</f>
        <v>0</v>
      </c>
      <c r="X351" s="138">
        <f>IF('1.DATOS-PROD'!AG352="SI",VLOOKUP('1.DATOS-PROD'!AG$2,'1.PUNTOS'!$A$1:$B$63,2,0),0)</f>
        <v>0</v>
      </c>
      <c r="Y351" s="138">
        <f>IF('1.DATOS-PROD'!AH352="SI",VLOOKUP('1.DATOS-PROD'!AH$2,'1.PUNTOS'!$A$1:$B$63,2,0),0)</f>
        <v>0</v>
      </c>
      <c r="Z351" s="138">
        <f>IF('1.DATOS-PROD'!AI352="SI",VLOOKUP('1.DATOS-PROD'!AI$2,'1.PUNTOS'!$A$1:$B$63,2,0),0)</f>
        <v>0</v>
      </c>
      <c r="AA351" s="138">
        <f>IF('1.DATOS-PROD'!AJ352="SI",VLOOKUP('1.DATOS-PROD'!AJ$2,'1.PUNTOS'!$A$1:$B$63,2,0),0)</f>
        <v>0</v>
      </c>
      <c r="AB351" s="138">
        <f>IF('1.DATOS-PROD'!AK352="SI",VLOOKUP('1.DATOS-PROD'!AK$2,'1.PUNTOS'!$A$1:$B$63,2,0),0)</f>
        <v>0</v>
      </c>
      <c r="AC351" s="138">
        <f>IF('1.DATOS-PROD'!AL352="SI",VLOOKUP('1.DATOS-PROD'!AL$2,'1.PUNTOS'!$A$1:$B$63,2,0),0)</f>
        <v>0</v>
      </c>
      <c r="AD351" s="138">
        <f>IF('1.DATOS-PROD'!AM352="SI",VLOOKUP('1.DATOS-PROD'!AM$2,'1.PUNTOS'!$A$1:$B$63,2,0),0)</f>
        <v>0</v>
      </c>
      <c r="AE351" s="138">
        <f>IF('1.DATOS-PROD'!AN352="SI",VLOOKUP('1.DATOS-PROD'!AN$2,'1.PUNTOS'!$A$1:$B$63,2,0),0)</f>
        <v>0</v>
      </c>
      <c r="AF351" s="138">
        <f>IF('1.DATOS-PROD'!AO352="SI",VLOOKUP('1.DATOS-PROD'!AO$2,'1.PUNTOS'!$A$1:$B$63,2,0),0)</f>
        <v>0</v>
      </c>
      <c r="AG351" s="138">
        <f>IF('1.DATOS-PROD'!AP352="SI",VLOOKUP('1.DATOS-PROD'!AP$2,'1.PUNTOS'!$A$1:$B$63,2,0),0)</f>
        <v>0</v>
      </c>
      <c r="AH351" s="138">
        <f>IF('1.DATOS-PROD'!AQ352="SI",VLOOKUP('1.DATOS-PROD'!AQ$2,'1.PUNTOS'!$A$1:$B$63,2,0),0)</f>
        <v>0</v>
      </c>
      <c r="AI351" s="138">
        <f>IF('1.DATOS-PROD'!AR352="SI",VLOOKUP('1.DATOS-PROD'!AR$2,'1.PUNTOS'!$A$1:$B$63,2,0),0)</f>
        <v>0</v>
      </c>
      <c r="AJ351" s="138">
        <f>IF('1.DATOS-PROD'!AS352="SI",VLOOKUP('1.DATOS-PROD'!AS$2,'1.PUNTOS'!$A$1:$B$63,2,0),0)</f>
        <v>0</v>
      </c>
      <c r="AK351" s="138">
        <f>IF('1.DATOS-PROD'!AT352="SI",VLOOKUP('1.DATOS-PROD'!AT$2,'1.PUNTOS'!$A$1:$B$63,2,0),0)</f>
        <v>0</v>
      </c>
      <c r="AL351" s="138">
        <f>IF('1.DATOS-PROD'!AU352="SI",VLOOKUP('1.DATOS-PROD'!AU$2,'1.PUNTOS'!$A$1:$B$63,2,0),0)</f>
        <v>0</v>
      </c>
      <c r="AM351" s="138">
        <f>IF('1.DATOS-PROD'!AV352="SI",VLOOKUP('1.DATOS-PROD'!AV$2,'1.PUNTOS'!$A$1:$B$63,2,0),0)</f>
        <v>0</v>
      </c>
      <c r="AN351" s="138">
        <f>IF('1.DATOS-PROD'!AW352="SI",VLOOKUP('1.DATOS-PROD'!AW$2,'1.PUNTOS'!$A$1:$B$63,2,0),0)</f>
        <v>0</v>
      </c>
      <c r="AO351" s="138">
        <f>IF('1.DATOS-PROD'!AX352="SI",VLOOKUP('1.DATOS-PROD'!AX$2,'1.PUNTOS'!$A$1:$B$63,2,0),0)</f>
        <v>0</v>
      </c>
      <c r="AP351" s="138">
        <f>IF('1.DATOS-PROD'!AY352="SI",VLOOKUP('1.DATOS-PROD'!AY$2,'1.PUNTOS'!$A$1:$B$63,2,0),0)</f>
        <v>0</v>
      </c>
      <c r="AQ351" s="138">
        <f>IF('1.DATOS-PROD'!AZ352="SI",VLOOKUP('1.DATOS-PROD'!AZ$2,'1.PUNTOS'!$A$1:$B$63,2,0),0)</f>
        <v>0</v>
      </c>
      <c r="AR351" s="138">
        <f>IF('1.DATOS-PROD'!BA352="SI",VLOOKUP('1.DATOS-PROD'!BA$2,'1.PUNTOS'!$A$1:$B$63,2,0),0)</f>
        <v>0</v>
      </c>
      <c r="AS351" s="138">
        <f>IF('1.DATOS-PROD'!BB352="SI",VLOOKUP('1.DATOS-PROD'!BB$2,'1.PUNTOS'!$A$1:$B$63,2,0),0)</f>
        <v>0</v>
      </c>
      <c r="AT351" s="138">
        <f>IF('1.DATOS-PROD'!BC352="SI",VLOOKUP('1.DATOS-PROD'!BC$2,'1.PUNTOS'!$A$1:$B$63,2,0),0)</f>
        <v>0</v>
      </c>
      <c r="AU351" s="138">
        <f>IF('1.DATOS-PROD'!BD352="SI",VLOOKUP('1.DATOS-PROD'!BD$2,'1.PUNTOS'!$A$1:$B$63,2,0),0)</f>
        <v>0</v>
      </c>
      <c r="AV351" s="138">
        <f>IF('1.DATOS-PROD'!BE352="SI",VLOOKUP('1.DATOS-PROD'!BE$2,'1.PUNTOS'!$A$1:$B$63,2,0),0)</f>
        <v>0</v>
      </c>
      <c r="AW351" s="138">
        <f>IF('1.DATOS-PROD'!BF352="SI",VLOOKUP('1.DATOS-PROD'!BF$2,'1.PUNTOS'!$A$1:$B$63,2,0),0)</f>
        <v>0</v>
      </c>
      <c r="AX351" s="138">
        <f>IF('1.DATOS-PROD'!BG352="SI",VLOOKUP('1.DATOS-PROD'!BG$2,'1.PUNTOS'!$A$1:$B$63,2,0),0)</f>
        <v>0</v>
      </c>
      <c r="AY351" s="138">
        <f>IF('1.DATOS-PROD'!BH352="SI",VLOOKUP('1.DATOS-PROD'!BH$2,'1.PUNTOS'!$A$1:$B$63,2,0),0)</f>
        <v>0</v>
      </c>
      <c r="AZ351" s="138">
        <f>IF('1.DATOS-PROD'!BI352="SI",VLOOKUP('1.DATOS-PROD'!BI$2,'1.PUNTOS'!$A$1:$B$63,2,0),0)</f>
        <v>0</v>
      </c>
      <c r="BA351" s="138">
        <f>IF('1.DATOS-PROD'!BJ352="SI",VLOOKUP('1.DATOS-PROD'!BJ$2,'1.PUNTOS'!$A$1:$B$63,2,0),0)</f>
        <v>0</v>
      </c>
      <c r="BB351" s="138">
        <f>IF('1.DATOS-PROD'!BK352="SI",VLOOKUP('1.DATOS-PROD'!BK$2,'1.PUNTOS'!$A$1:$B$63,2,0),0)</f>
        <v>0</v>
      </c>
      <c r="BC351" s="138">
        <f>IF('1.DATOS-PROD'!BL352="SI",VLOOKUP('1.DATOS-PROD'!BL$2,'1.PUNTOS'!$A$1:$B$63,2,0),0)</f>
        <v>0</v>
      </c>
      <c r="BD351" s="138">
        <f>IF('1.DATOS-PROD'!BM352="SI",VLOOKUP('1.DATOS-PROD'!BM$2,'1.PUNTOS'!$A$1:$B$63,2,0),0)</f>
        <v>0</v>
      </c>
      <c r="BE351" s="138">
        <f>IF('1.DATOS-PROD'!BN352="SI",VLOOKUP('1.DATOS-PROD'!BN$2,'1.PUNTOS'!$A$1:$B$63,2,0),0)</f>
        <v>0</v>
      </c>
      <c r="BF351" s="138">
        <f>IF('1.DATOS-PROD'!BO352="SI",VLOOKUP('1.DATOS-PROD'!BO$2,'1.PUNTOS'!$A$1:$B$63,2,0),0)</f>
        <v>0</v>
      </c>
      <c r="BG351" s="138">
        <f>IF('1.DATOS-PROD'!BP352="SI",VLOOKUP('1.DATOS-PROD'!BP$2,'1.PUNTOS'!$A$1:$B$63,2,0),0)</f>
        <v>0</v>
      </c>
      <c r="BH351" s="138">
        <f>IF('1.DATOS-PROD'!BQ352="SI",VLOOKUP('1.DATOS-PROD'!BQ$2,'1.PUNTOS'!$A$1:$B$63,2,0),0)</f>
        <v>0</v>
      </c>
      <c r="BI351" s="138">
        <f>IF('1.DATOS-PROD'!BR352="SI",VLOOKUP('1.DATOS-PROD'!BR$2,'1.PUNTOS'!$A$1:$B$63,2,0),0)</f>
        <v>0</v>
      </c>
      <c r="BJ351" s="138">
        <f>IF('1.DATOS-PROD'!BS352="SI",VLOOKUP('1.DATOS-PROD'!BS$2,'1.PUNTOS'!$A$1:$B$63,2,0),0)</f>
        <v>0</v>
      </c>
      <c r="BK351" s="138">
        <f>IF('1.DATOS-PROD'!BT352="SI",VLOOKUP('1.DATOS-PROD'!BT$2,'1.PUNTOS'!$A$1:$B$63,2,0),0)</f>
        <v>0</v>
      </c>
    </row>
    <row r="352" spans="1:63" x14ac:dyDescent="0.25">
      <c r="A352">
        <f>'0.Consolidado general'!$A353</f>
        <v>0</v>
      </c>
      <c r="B352" s="138">
        <f>IF('1.DATOS-PROD'!K353="SI",VLOOKUP('1.DATOS-PROD'!K$2,'1.PUNTOS'!$A$1:$B$63,2,0),0)</f>
        <v>0</v>
      </c>
      <c r="C352" s="138">
        <f>IF('1.DATOS-PROD'!L353="SI",VLOOKUP('1.DATOS-PROD'!L$2,'1.PUNTOS'!$A$1:$B$63,2,0),0)</f>
        <v>0</v>
      </c>
      <c r="D352" s="138">
        <f>IF('1.DATOS-PROD'!M353="SI",VLOOKUP('1.DATOS-PROD'!M$2,'1.PUNTOS'!$A$1:$B$63,2,0),0)</f>
        <v>0</v>
      </c>
      <c r="E352" s="138">
        <f>IF('1.DATOS-PROD'!N353="SI",VLOOKUP('1.DATOS-PROD'!N$2,'1.PUNTOS'!$A$1:$B$63,2,0),0)</f>
        <v>0</v>
      </c>
      <c r="F352" s="138">
        <f>IF('1.DATOS-PROD'!O353="SI",VLOOKUP('1.DATOS-PROD'!O$2,'1.PUNTOS'!$A$1:$B$63,2,0),0)</f>
        <v>0</v>
      </c>
      <c r="G352" s="138">
        <f>IF('1.DATOS-PROD'!P353="SI",VLOOKUP('1.DATOS-PROD'!P$2,'1.PUNTOS'!$A$1:$B$63,2,0),0)</f>
        <v>0</v>
      </c>
      <c r="H352" s="138">
        <f>IF('1.DATOS-PROD'!Q353="SI",VLOOKUP('1.DATOS-PROD'!Q$2,'1.PUNTOS'!$A$1:$B$63,2,0),0)</f>
        <v>0</v>
      </c>
      <c r="I352" s="138">
        <f>IF('1.DATOS-PROD'!R353="SI",VLOOKUP('1.DATOS-PROD'!R$2,'1.PUNTOS'!$A$1:$B$63,2,0),0)</f>
        <v>0</v>
      </c>
      <c r="J352" s="138">
        <f>IF('1.DATOS-PROD'!S353="SI",VLOOKUP('1.DATOS-PROD'!S$2,'1.PUNTOS'!$A$1:$B$63,2,0),0)</f>
        <v>0</v>
      </c>
      <c r="K352" s="138">
        <f>IF('1.DATOS-PROD'!T353="SI",VLOOKUP('1.DATOS-PROD'!T$2,'1.PUNTOS'!$A$1:$B$63,2,0),0)</f>
        <v>0</v>
      </c>
      <c r="L352" s="138">
        <f>IF('1.DATOS-PROD'!U353="SI",VLOOKUP('1.DATOS-PROD'!U$2,'1.PUNTOS'!$A$1:$B$63,2,0),0)</f>
        <v>0</v>
      </c>
      <c r="M352" s="138">
        <f>IF('1.DATOS-PROD'!V353="SI",VLOOKUP('1.DATOS-PROD'!V$2,'1.PUNTOS'!$A$1:$B$63,2,0),0)</f>
        <v>0</v>
      </c>
      <c r="N352" s="138">
        <f>IF('1.DATOS-PROD'!W353="SI",VLOOKUP('1.DATOS-PROD'!W$2,'1.PUNTOS'!$A$1:$B$63,2,0),0)</f>
        <v>0</v>
      </c>
      <c r="O352" s="138">
        <f>IF('1.DATOS-PROD'!X353="SI",VLOOKUP('1.DATOS-PROD'!X$2,'1.PUNTOS'!$A$1:$B$63,2,0),0)</f>
        <v>0</v>
      </c>
      <c r="P352" s="138">
        <f>IF('1.DATOS-PROD'!Y353="SI",VLOOKUP('1.DATOS-PROD'!Y$2,'1.PUNTOS'!$A$1:$B$63,2,0),0)</f>
        <v>0</v>
      </c>
      <c r="Q352" s="138">
        <f>IF('1.DATOS-PROD'!Z353="SI",VLOOKUP('1.DATOS-PROD'!Z$2,'1.PUNTOS'!$A$1:$B$63,2,0),0)</f>
        <v>0</v>
      </c>
      <c r="R352" s="138">
        <f>IF('1.DATOS-PROD'!AA353="SI",VLOOKUP('1.DATOS-PROD'!AA$2,'1.PUNTOS'!$A$1:$B$63,2,0),0)</f>
        <v>0</v>
      </c>
      <c r="S352" s="138">
        <f>IF('1.DATOS-PROD'!AB353="SI",VLOOKUP('1.DATOS-PROD'!AB$2,'1.PUNTOS'!$A$1:$B$63,2,0),0)</f>
        <v>0</v>
      </c>
      <c r="T352" s="138">
        <f>IF('1.DATOS-PROD'!AC353="SI",VLOOKUP('1.DATOS-PROD'!AC$2,'1.PUNTOS'!$A$1:$B$63,2,0),0)</f>
        <v>0</v>
      </c>
      <c r="U352" s="138">
        <f>IF('1.DATOS-PROD'!AD353="SI",VLOOKUP('1.DATOS-PROD'!AD$2,'1.PUNTOS'!$A$1:$B$63,2,0),0)</f>
        <v>0</v>
      </c>
      <c r="V352" s="138">
        <f>IF('1.DATOS-PROD'!AE353="SI",VLOOKUP('1.DATOS-PROD'!AE$2,'1.PUNTOS'!$A$1:$B$63,2,0),0)</f>
        <v>0</v>
      </c>
      <c r="W352" s="138">
        <f>IF('1.DATOS-PROD'!AF353="SI",VLOOKUP('1.DATOS-PROD'!AF$2,'1.PUNTOS'!$A$1:$B$63,2,0),0)</f>
        <v>0</v>
      </c>
      <c r="X352" s="138">
        <f>IF('1.DATOS-PROD'!AG353="SI",VLOOKUP('1.DATOS-PROD'!AG$2,'1.PUNTOS'!$A$1:$B$63,2,0),0)</f>
        <v>0</v>
      </c>
      <c r="Y352" s="138">
        <f>IF('1.DATOS-PROD'!AH353="SI",VLOOKUP('1.DATOS-PROD'!AH$2,'1.PUNTOS'!$A$1:$B$63,2,0),0)</f>
        <v>0</v>
      </c>
      <c r="Z352" s="138">
        <f>IF('1.DATOS-PROD'!AI353="SI",VLOOKUP('1.DATOS-PROD'!AI$2,'1.PUNTOS'!$A$1:$B$63,2,0),0)</f>
        <v>0</v>
      </c>
      <c r="AA352" s="138">
        <f>IF('1.DATOS-PROD'!AJ353="SI",VLOOKUP('1.DATOS-PROD'!AJ$2,'1.PUNTOS'!$A$1:$B$63,2,0),0)</f>
        <v>0</v>
      </c>
      <c r="AB352" s="138">
        <f>IF('1.DATOS-PROD'!AK353="SI",VLOOKUP('1.DATOS-PROD'!AK$2,'1.PUNTOS'!$A$1:$B$63,2,0),0)</f>
        <v>0</v>
      </c>
      <c r="AC352" s="138">
        <f>IF('1.DATOS-PROD'!AL353="SI",VLOOKUP('1.DATOS-PROD'!AL$2,'1.PUNTOS'!$A$1:$B$63,2,0),0)</f>
        <v>0</v>
      </c>
      <c r="AD352" s="138">
        <f>IF('1.DATOS-PROD'!AM353="SI",VLOOKUP('1.DATOS-PROD'!AM$2,'1.PUNTOS'!$A$1:$B$63,2,0),0)</f>
        <v>0</v>
      </c>
      <c r="AE352" s="138">
        <f>IF('1.DATOS-PROD'!AN353="SI",VLOOKUP('1.DATOS-PROD'!AN$2,'1.PUNTOS'!$A$1:$B$63,2,0),0)</f>
        <v>0</v>
      </c>
      <c r="AF352" s="138">
        <f>IF('1.DATOS-PROD'!AO353="SI",VLOOKUP('1.DATOS-PROD'!AO$2,'1.PUNTOS'!$A$1:$B$63,2,0),0)</f>
        <v>0</v>
      </c>
      <c r="AG352" s="138">
        <f>IF('1.DATOS-PROD'!AP353="SI",VLOOKUP('1.DATOS-PROD'!AP$2,'1.PUNTOS'!$A$1:$B$63,2,0),0)</f>
        <v>0</v>
      </c>
      <c r="AH352" s="138">
        <f>IF('1.DATOS-PROD'!AQ353="SI",VLOOKUP('1.DATOS-PROD'!AQ$2,'1.PUNTOS'!$A$1:$B$63,2,0),0)</f>
        <v>0</v>
      </c>
      <c r="AI352" s="138">
        <f>IF('1.DATOS-PROD'!AR353="SI",VLOOKUP('1.DATOS-PROD'!AR$2,'1.PUNTOS'!$A$1:$B$63,2,0),0)</f>
        <v>0</v>
      </c>
      <c r="AJ352" s="138">
        <f>IF('1.DATOS-PROD'!AS353="SI",VLOOKUP('1.DATOS-PROD'!AS$2,'1.PUNTOS'!$A$1:$B$63,2,0),0)</f>
        <v>0</v>
      </c>
      <c r="AK352" s="138">
        <f>IF('1.DATOS-PROD'!AT353="SI",VLOOKUP('1.DATOS-PROD'!AT$2,'1.PUNTOS'!$A$1:$B$63,2,0),0)</f>
        <v>0</v>
      </c>
      <c r="AL352" s="138">
        <f>IF('1.DATOS-PROD'!AU353="SI",VLOOKUP('1.DATOS-PROD'!AU$2,'1.PUNTOS'!$A$1:$B$63,2,0),0)</f>
        <v>0</v>
      </c>
      <c r="AM352" s="138">
        <f>IF('1.DATOS-PROD'!AV353="SI",VLOOKUP('1.DATOS-PROD'!AV$2,'1.PUNTOS'!$A$1:$B$63,2,0),0)</f>
        <v>0</v>
      </c>
      <c r="AN352" s="138">
        <f>IF('1.DATOS-PROD'!AW353="SI",VLOOKUP('1.DATOS-PROD'!AW$2,'1.PUNTOS'!$A$1:$B$63,2,0),0)</f>
        <v>0</v>
      </c>
      <c r="AO352" s="138">
        <f>IF('1.DATOS-PROD'!AX353="SI",VLOOKUP('1.DATOS-PROD'!AX$2,'1.PUNTOS'!$A$1:$B$63,2,0),0)</f>
        <v>0</v>
      </c>
      <c r="AP352" s="138">
        <f>IF('1.DATOS-PROD'!AY353="SI",VLOOKUP('1.DATOS-PROD'!AY$2,'1.PUNTOS'!$A$1:$B$63,2,0),0)</f>
        <v>0</v>
      </c>
      <c r="AQ352" s="138">
        <f>IF('1.DATOS-PROD'!AZ353="SI",VLOOKUP('1.DATOS-PROD'!AZ$2,'1.PUNTOS'!$A$1:$B$63,2,0),0)</f>
        <v>0</v>
      </c>
      <c r="AR352" s="138">
        <f>IF('1.DATOS-PROD'!BA353="SI",VLOOKUP('1.DATOS-PROD'!BA$2,'1.PUNTOS'!$A$1:$B$63,2,0),0)</f>
        <v>0</v>
      </c>
      <c r="AS352" s="138">
        <f>IF('1.DATOS-PROD'!BB353="SI",VLOOKUP('1.DATOS-PROD'!BB$2,'1.PUNTOS'!$A$1:$B$63,2,0),0)</f>
        <v>0</v>
      </c>
      <c r="AT352" s="138">
        <f>IF('1.DATOS-PROD'!BC353="SI",VLOOKUP('1.DATOS-PROD'!BC$2,'1.PUNTOS'!$A$1:$B$63,2,0),0)</f>
        <v>0</v>
      </c>
      <c r="AU352" s="138">
        <f>IF('1.DATOS-PROD'!BD353="SI",VLOOKUP('1.DATOS-PROD'!BD$2,'1.PUNTOS'!$A$1:$B$63,2,0),0)</f>
        <v>0</v>
      </c>
      <c r="AV352" s="138">
        <f>IF('1.DATOS-PROD'!BE353="SI",VLOOKUP('1.DATOS-PROD'!BE$2,'1.PUNTOS'!$A$1:$B$63,2,0),0)</f>
        <v>0</v>
      </c>
      <c r="AW352" s="138">
        <f>IF('1.DATOS-PROD'!BF353="SI",VLOOKUP('1.DATOS-PROD'!BF$2,'1.PUNTOS'!$A$1:$B$63,2,0),0)</f>
        <v>0</v>
      </c>
      <c r="AX352" s="138">
        <f>IF('1.DATOS-PROD'!BG353="SI",VLOOKUP('1.DATOS-PROD'!BG$2,'1.PUNTOS'!$A$1:$B$63,2,0),0)</f>
        <v>0</v>
      </c>
      <c r="AY352" s="138">
        <f>IF('1.DATOS-PROD'!BH353="SI",VLOOKUP('1.DATOS-PROD'!BH$2,'1.PUNTOS'!$A$1:$B$63,2,0),0)</f>
        <v>0</v>
      </c>
      <c r="AZ352" s="138">
        <f>IF('1.DATOS-PROD'!BI353="SI",VLOOKUP('1.DATOS-PROD'!BI$2,'1.PUNTOS'!$A$1:$B$63,2,0),0)</f>
        <v>0</v>
      </c>
      <c r="BA352" s="138">
        <f>IF('1.DATOS-PROD'!BJ353="SI",VLOOKUP('1.DATOS-PROD'!BJ$2,'1.PUNTOS'!$A$1:$B$63,2,0),0)</f>
        <v>0</v>
      </c>
      <c r="BB352" s="138">
        <f>IF('1.DATOS-PROD'!BK353="SI",VLOOKUP('1.DATOS-PROD'!BK$2,'1.PUNTOS'!$A$1:$B$63,2,0),0)</f>
        <v>0</v>
      </c>
      <c r="BC352" s="138">
        <f>IF('1.DATOS-PROD'!BL353="SI",VLOOKUP('1.DATOS-PROD'!BL$2,'1.PUNTOS'!$A$1:$B$63,2,0),0)</f>
        <v>0</v>
      </c>
      <c r="BD352" s="138">
        <f>IF('1.DATOS-PROD'!BM353="SI",VLOOKUP('1.DATOS-PROD'!BM$2,'1.PUNTOS'!$A$1:$B$63,2,0),0)</f>
        <v>0</v>
      </c>
      <c r="BE352" s="138">
        <f>IF('1.DATOS-PROD'!BN353="SI",VLOOKUP('1.DATOS-PROD'!BN$2,'1.PUNTOS'!$A$1:$B$63,2,0),0)</f>
        <v>0</v>
      </c>
      <c r="BF352" s="138">
        <f>IF('1.DATOS-PROD'!BO353="SI",VLOOKUP('1.DATOS-PROD'!BO$2,'1.PUNTOS'!$A$1:$B$63,2,0),0)</f>
        <v>0</v>
      </c>
      <c r="BG352" s="138">
        <f>IF('1.DATOS-PROD'!BP353="SI",VLOOKUP('1.DATOS-PROD'!BP$2,'1.PUNTOS'!$A$1:$B$63,2,0),0)</f>
        <v>0</v>
      </c>
      <c r="BH352" s="138">
        <f>IF('1.DATOS-PROD'!BQ353="SI",VLOOKUP('1.DATOS-PROD'!BQ$2,'1.PUNTOS'!$A$1:$B$63,2,0),0)</f>
        <v>0</v>
      </c>
      <c r="BI352" s="138">
        <f>IF('1.DATOS-PROD'!BR353="SI",VLOOKUP('1.DATOS-PROD'!BR$2,'1.PUNTOS'!$A$1:$B$63,2,0),0)</f>
        <v>0</v>
      </c>
      <c r="BJ352" s="138">
        <f>IF('1.DATOS-PROD'!BS353="SI",VLOOKUP('1.DATOS-PROD'!BS$2,'1.PUNTOS'!$A$1:$B$63,2,0),0)</f>
        <v>0</v>
      </c>
      <c r="BK352" s="138">
        <f>IF('1.DATOS-PROD'!BT353="SI",VLOOKUP('1.DATOS-PROD'!BT$2,'1.PUNTOS'!$A$1:$B$63,2,0),0)</f>
        <v>0</v>
      </c>
    </row>
    <row r="353" spans="1:63" x14ac:dyDescent="0.25">
      <c r="A353">
        <f>'0.Consolidado general'!$A354</f>
        <v>0</v>
      </c>
      <c r="B353" s="138">
        <f>IF('1.DATOS-PROD'!K354="SI",VLOOKUP('1.DATOS-PROD'!K$2,'1.PUNTOS'!$A$1:$B$63,2,0),0)</f>
        <v>0</v>
      </c>
      <c r="C353" s="138">
        <f>IF('1.DATOS-PROD'!L354="SI",VLOOKUP('1.DATOS-PROD'!L$2,'1.PUNTOS'!$A$1:$B$63,2,0),0)</f>
        <v>0</v>
      </c>
      <c r="D353" s="138">
        <f>IF('1.DATOS-PROD'!M354="SI",VLOOKUP('1.DATOS-PROD'!M$2,'1.PUNTOS'!$A$1:$B$63,2,0),0)</f>
        <v>0</v>
      </c>
      <c r="E353" s="138">
        <f>IF('1.DATOS-PROD'!N354="SI",VLOOKUP('1.DATOS-PROD'!N$2,'1.PUNTOS'!$A$1:$B$63,2,0),0)</f>
        <v>0</v>
      </c>
      <c r="F353" s="138">
        <f>IF('1.DATOS-PROD'!O354="SI",VLOOKUP('1.DATOS-PROD'!O$2,'1.PUNTOS'!$A$1:$B$63,2,0),0)</f>
        <v>0</v>
      </c>
      <c r="G353" s="138">
        <f>IF('1.DATOS-PROD'!P354="SI",VLOOKUP('1.DATOS-PROD'!P$2,'1.PUNTOS'!$A$1:$B$63,2,0),0)</f>
        <v>0</v>
      </c>
      <c r="H353" s="138">
        <f>IF('1.DATOS-PROD'!Q354="SI",VLOOKUP('1.DATOS-PROD'!Q$2,'1.PUNTOS'!$A$1:$B$63,2,0),0)</f>
        <v>0</v>
      </c>
      <c r="I353" s="138">
        <f>IF('1.DATOS-PROD'!R354="SI",VLOOKUP('1.DATOS-PROD'!R$2,'1.PUNTOS'!$A$1:$B$63,2,0),0)</f>
        <v>0</v>
      </c>
      <c r="J353" s="138">
        <f>IF('1.DATOS-PROD'!S354="SI",VLOOKUP('1.DATOS-PROD'!S$2,'1.PUNTOS'!$A$1:$B$63,2,0),0)</f>
        <v>0</v>
      </c>
      <c r="K353" s="138">
        <f>IF('1.DATOS-PROD'!T354="SI",VLOOKUP('1.DATOS-PROD'!T$2,'1.PUNTOS'!$A$1:$B$63,2,0),0)</f>
        <v>0</v>
      </c>
      <c r="L353" s="138">
        <f>IF('1.DATOS-PROD'!U354="SI",VLOOKUP('1.DATOS-PROD'!U$2,'1.PUNTOS'!$A$1:$B$63,2,0),0)</f>
        <v>0</v>
      </c>
      <c r="M353" s="138">
        <f>IF('1.DATOS-PROD'!V354="SI",VLOOKUP('1.DATOS-PROD'!V$2,'1.PUNTOS'!$A$1:$B$63,2,0),0)</f>
        <v>0</v>
      </c>
      <c r="N353" s="138">
        <f>IF('1.DATOS-PROD'!W354="SI",VLOOKUP('1.DATOS-PROD'!W$2,'1.PUNTOS'!$A$1:$B$63,2,0),0)</f>
        <v>0</v>
      </c>
      <c r="O353" s="138">
        <f>IF('1.DATOS-PROD'!X354="SI",VLOOKUP('1.DATOS-PROD'!X$2,'1.PUNTOS'!$A$1:$B$63,2,0),0)</f>
        <v>0</v>
      </c>
      <c r="P353" s="138">
        <f>IF('1.DATOS-PROD'!Y354="SI",VLOOKUP('1.DATOS-PROD'!Y$2,'1.PUNTOS'!$A$1:$B$63,2,0),0)</f>
        <v>0</v>
      </c>
      <c r="Q353" s="138">
        <f>IF('1.DATOS-PROD'!Z354="SI",VLOOKUP('1.DATOS-PROD'!Z$2,'1.PUNTOS'!$A$1:$B$63,2,0),0)</f>
        <v>0</v>
      </c>
      <c r="R353" s="138">
        <f>IF('1.DATOS-PROD'!AA354="SI",VLOOKUP('1.DATOS-PROD'!AA$2,'1.PUNTOS'!$A$1:$B$63,2,0),0)</f>
        <v>0</v>
      </c>
      <c r="S353" s="138">
        <f>IF('1.DATOS-PROD'!AB354="SI",VLOOKUP('1.DATOS-PROD'!AB$2,'1.PUNTOS'!$A$1:$B$63,2,0),0)</f>
        <v>0</v>
      </c>
      <c r="T353" s="138">
        <f>IF('1.DATOS-PROD'!AC354="SI",VLOOKUP('1.DATOS-PROD'!AC$2,'1.PUNTOS'!$A$1:$B$63,2,0),0)</f>
        <v>0</v>
      </c>
      <c r="U353" s="138">
        <f>IF('1.DATOS-PROD'!AD354="SI",VLOOKUP('1.DATOS-PROD'!AD$2,'1.PUNTOS'!$A$1:$B$63,2,0),0)</f>
        <v>0</v>
      </c>
      <c r="V353" s="138">
        <f>IF('1.DATOS-PROD'!AE354="SI",VLOOKUP('1.DATOS-PROD'!AE$2,'1.PUNTOS'!$A$1:$B$63,2,0),0)</f>
        <v>0</v>
      </c>
      <c r="W353" s="138">
        <f>IF('1.DATOS-PROD'!AF354="SI",VLOOKUP('1.DATOS-PROD'!AF$2,'1.PUNTOS'!$A$1:$B$63,2,0),0)</f>
        <v>0</v>
      </c>
      <c r="X353" s="138">
        <f>IF('1.DATOS-PROD'!AG354="SI",VLOOKUP('1.DATOS-PROD'!AG$2,'1.PUNTOS'!$A$1:$B$63,2,0),0)</f>
        <v>0</v>
      </c>
      <c r="Y353" s="138">
        <f>IF('1.DATOS-PROD'!AH354="SI",VLOOKUP('1.DATOS-PROD'!AH$2,'1.PUNTOS'!$A$1:$B$63,2,0),0)</f>
        <v>0</v>
      </c>
      <c r="Z353" s="138">
        <f>IF('1.DATOS-PROD'!AI354="SI",VLOOKUP('1.DATOS-PROD'!AI$2,'1.PUNTOS'!$A$1:$B$63,2,0),0)</f>
        <v>0</v>
      </c>
      <c r="AA353" s="138">
        <f>IF('1.DATOS-PROD'!AJ354="SI",VLOOKUP('1.DATOS-PROD'!AJ$2,'1.PUNTOS'!$A$1:$B$63,2,0),0)</f>
        <v>0</v>
      </c>
      <c r="AB353" s="138">
        <f>IF('1.DATOS-PROD'!AK354="SI",VLOOKUP('1.DATOS-PROD'!AK$2,'1.PUNTOS'!$A$1:$B$63,2,0),0)</f>
        <v>0</v>
      </c>
      <c r="AC353" s="138">
        <f>IF('1.DATOS-PROD'!AL354="SI",VLOOKUP('1.DATOS-PROD'!AL$2,'1.PUNTOS'!$A$1:$B$63,2,0),0)</f>
        <v>0</v>
      </c>
      <c r="AD353" s="138">
        <f>IF('1.DATOS-PROD'!AM354="SI",VLOOKUP('1.DATOS-PROD'!AM$2,'1.PUNTOS'!$A$1:$B$63,2,0),0)</f>
        <v>0</v>
      </c>
      <c r="AE353" s="138">
        <f>IF('1.DATOS-PROD'!AN354="SI",VLOOKUP('1.DATOS-PROD'!AN$2,'1.PUNTOS'!$A$1:$B$63,2,0),0)</f>
        <v>0</v>
      </c>
      <c r="AF353" s="138">
        <f>IF('1.DATOS-PROD'!AO354="SI",VLOOKUP('1.DATOS-PROD'!AO$2,'1.PUNTOS'!$A$1:$B$63,2,0),0)</f>
        <v>0</v>
      </c>
      <c r="AG353" s="138">
        <f>IF('1.DATOS-PROD'!AP354="SI",VLOOKUP('1.DATOS-PROD'!AP$2,'1.PUNTOS'!$A$1:$B$63,2,0),0)</f>
        <v>0</v>
      </c>
      <c r="AH353" s="138">
        <f>IF('1.DATOS-PROD'!AQ354="SI",VLOOKUP('1.DATOS-PROD'!AQ$2,'1.PUNTOS'!$A$1:$B$63,2,0),0)</f>
        <v>0</v>
      </c>
      <c r="AI353" s="138">
        <f>IF('1.DATOS-PROD'!AR354="SI",VLOOKUP('1.DATOS-PROD'!AR$2,'1.PUNTOS'!$A$1:$B$63,2,0),0)</f>
        <v>0</v>
      </c>
      <c r="AJ353" s="138">
        <f>IF('1.DATOS-PROD'!AS354="SI",VLOOKUP('1.DATOS-PROD'!AS$2,'1.PUNTOS'!$A$1:$B$63,2,0),0)</f>
        <v>0</v>
      </c>
      <c r="AK353" s="138">
        <f>IF('1.DATOS-PROD'!AT354="SI",VLOOKUP('1.DATOS-PROD'!AT$2,'1.PUNTOS'!$A$1:$B$63,2,0),0)</f>
        <v>0</v>
      </c>
      <c r="AL353" s="138">
        <f>IF('1.DATOS-PROD'!AU354="SI",VLOOKUP('1.DATOS-PROD'!AU$2,'1.PUNTOS'!$A$1:$B$63,2,0),0)</f>
        <v>0</v>
      </c>
      <c r="AM353" s="138">
        <f>IF('1.DATOS-PROD'!AV354="SI",VLOOKUP('1.DATOS-PROD'!AV$2,'1.PUNTOS'!$A$1:$B$63,2,0),0)</f>
        <v>0</v>
      </c>
      <c r="AN353" s="138">
        <f>IF('1.DATOS-PROD'!AW354="SI",VLOOKUP('1.DATOS-PROD'!AW$2,'1.PUNTOS'!$A$1:$B$63,2,0),0)</f>
        <v>0</v>
      </c>
      <c r="AO353" s="138">
        <f>IF('1.DATOS-PROD'!AX354="SI",VLOOKUP('1.DATOS-PROD'!AX$2,'1.PUNTOS'!$A$1:$B$63,2,0),0)</f>
        <v>0</v>
      </c>
      <c r="AP353" s="138">
        <f>IF('1.DATOS-PROD'!AY354="SI",VLOOKUP('1.DATOS-PROD'!AY$2,'1.PUNTOS'!$A$1:$B$63,2,0),0)</f>
        <v>0</v>
      </c>
      <c r="AQ353" s="138">
        <f>IF('1.DATOS-PROD'!AZ354="SI",VLOOKUP('1.DATOS-PROD'!AZ$2,'1.PUNTOS'!$A$1:$B$63,2,0),0)</f>
        <v>0</v>
      </c>
      <c r="AR353" s="138">
        <f>IF('1.DATOS-PROD'!BA354="SI",VLOOKUP('1.DATOS-PROD'!BA$2,'1.PUNTOS'!$A$1:$B$63,2,0),0)</f>
        <v>0</v>
      </c>
      <c r="AS353" s="138">
        <f>IF('1.DATOS-PROD'!BB354="SI",VLOOKUP('1.DATOS-PROD'!BB$2,'1.PUNTOS'!$A$1:$B$63,2,0),0)</f>
        <v>0</v>
      </c>
      <c r="AT353" s="138">
        <f>IF('1.DATOS-PROD'!BC354="SI",VLOOKUP('1.DATOS-PROD'!BC$2,'1.PUNTOS'!$A$1:$B$63,2,0),0)</f>
        <v>0</v>
      </c>
      <c r="AU353" s="138">
        <f>IF('1.DATOS-PROD'!BD354="SI",VLOOKUP('1.DATOS-PROD'!BD$2,'1.PUNTOS'!$A$1:$B$63,2,0),0)</f>
        <v>0</v>
      </c>
      <c r="AV353" s="138">
        <f>IF('1.DATOS-PROD'!BE354="SI",VLOOKUP('1.DATOS-PROD'!BE$2,'1.PUNTOS'!$A$1:$B$63,2,0),0)</f>
        <v>0</v>
      </c>
      <c r="AW353" s="138">
        <f>IF('1.DATOS-PROD'!BF354="SI",VLOOKUP('1.DATOS-PROD'!BF$2,'1.PUNTOS'!$A$1:$B$63,2,0),0)</f>
        <v>0</v>
      </c>
      <c r="AX353" s="138">
        <f>IF('1.DATOS-PROD'!BG354="SI",VLOOKUP('1.DATOS-PROD'!BG$2,'1.PUNTOS'!$A$1:$B$63,2,0),0)</f>
        <v>0</v>
      </c>
      <c r="AY353" s="138">
        <f>IF('1.DATOS-PROD'!BH354="SI",VLOOKUP('1.DATOS-PROD'!BH$2,'1.PUNTOS'!$A$1:$B$63,2,0),0)</f>
        <v>0</v>
      </c>
      <c r="AZ353" s="138">
        <f>IF('1.DATOS-PROD'!BI354="SI",VLOOKUP('1.DATOS-PROD'!BI$2,'1.PUNTOS'!$A$1:$B$63,2,0),0)</f>
        <v>0</v>
      </c>
      <c r="BA353" s="138">
        <f>IF('1.DATOS-PROD'!BJ354="SI",VLOOKUP('1.DATOS-PROD'!BJ$2,'1.PUNTOS'!$A$1:$B$63,2,0),0)</f>
        <v>0</v>
      </c>
      <c r="BB353" s="138">
        <f>IF('1.DATOS-PROD'!BK354="SI",VLOOKUP('1.DATOS-PROD'!BK$2,'1.PUNTOS'!$A$1:$B$63,2,0),0)</f>
        <v>0</v>
      </c>
      <c r="BC353" s="138">
        <f>IF('1.DATOS-PROD'!BL354="SI",VLOOKUP('1.DATOS-PROD'!BL$2,'1.PUNTOS'!$A$1:$B$63,2,0),0)</f>
        <v>0</v>
      </c>
      <c r="BD353" s="138">
        <f>IF('1.DATOS-PROD'!BM354="SI",VLOOKUP('1.DATOS-PROD'!BM$2,'1.PUNTOS'!$A$1:$B$63,2,0),0)</f>
        <v>0</v>
      </c>
      <c r="BE353" s="138">
        <f>IF('1.DATOS-PROD'!BN354="SI",VLOOKUP('1.DATOS-PROD'!BN$2,'1.PUNTOS'!$A$1:$B$63,2,0),0)</f>
        <v>0</v>
      </c>
      <c r="BF353" s="138">
        <f>IF('1.DATOS-PROD'!BO354="SI",VLOOKUP('1.DATOS-PROD'!BO$2,'1.PUNTOS'!$A$1:$B$63,2,0),0)</f>
        <v>0</v>
      </c>
      <c r="BG353" s="138">
        <f>IF('1.DATOS-PROD'!BP354="SI",VLOOKUP('1.DATOS-PROD'!BP$2,'1.PUNTOS'!$A$1:$B$63,2,0),0)</f>
        <v>0</v>
      </c>
      <c r="BH353" s="138">
        <f>IF('1.DATOS-PROD'!BQ354="SI",VLOOKUP('1.DATOS-PROD'!BQ$2,'1.PUNTOS'!$A$1:$B$63,2,0),0)</f>
        <v>0</v>
      </c>
      <c r="BI353" s="138">
        <f>IF('1.DATOS-PROD'!BR354="SI",VLOOKUP('1.DATOS-PROD'!BR$2,'1.PUNTOS'!$A$1:$B$63,2,0),0)</f>
        <v>0</v>
      </c>
      <c r="BJ353" s="138">
        <f>IF('1.DATOS-PROD'!BS354="SI",VLOOKUP('1.DATOS-PROD'!BS$2,'1.PUNTOS'!$A$1:$B$63,2,0),0)</f>
        <v>0</v>
      </c>
      <c r="BK353" s="138">
        <f>IF('1.DATOS-PROD'!BT354="SI",VLOOKUP('1.DATOS-PROD'!BT$2,'1.PUNTOS'!$A$1:$B$63,2,0),0)</f>
        <v>0</v>
      </c>
    </row>
    <row r="354" spans="1:63" x14ac:dyDescent="0.25">
      <c r="A354">
        <f>'0.Consolidado general'!$A355</f>
        <v>0</v>
      </c>
      <c r="B354" s="138">
        <f>IF('1.DATOS-PROD'!K355="SI",VLOOKUP('1.DATOS-PROD'!K$2,'1.PUNTOS'!$A$1:$B$63,2,0),0)</f>
        <v>0</v>
      </c>
      <c r="C354" s="138">
        <f>IF('1.DATOS-PROD'!L355="SI",VLOOKUP('1.DATOS-PROD'!L$2,'1.PUNTOS'!$A$1:$B$63,2,0),0)</f>
        <v>0</v>
      </c>
      <c r="D354" s="138">
        <f>IF('1.DATOS-PROD'!M355="SI",VLOOKUP('1.DATOS-PROD'!M$2,'1.PUNTOS'!$A$1:$B$63,2,0),0)</f>
        <v>0</v>
      </c>
      <c r="E354" s="138">
        <f>IF('1.DATOS-PROD'!N355="SI",VLOOKUP('1.DATOS-PROD'!N$2,'1.PUNTOS'!$A$1:$B$63,2,0),0)</f>
        <v>0</v>
      </c>
      <c r="F354" s="138">
        <f>IF('1.DATOS-PROD'!O355="SI",VLOOKUP('1.DATOS-PROD'!O$2,'1.PUNTOS'!$A$1:$B$63,2,0),0)</f>
        <v>0</v>
      </c>
      <c r="G354" s="138">
        <f>IF('1.DATOS-PROD'!P355="SI",VLOOKUP('1.DATOS-PROD'!P$2,'1.PUNTOS'!$A$1:$B$63,2,0),0)</f>
        <v>0</v>
      </c>
      <c r="H354" s="138">
        <f>IF('1.DATOS-PROD'!Q355="SI",VLOOKUP('1.DATOS-PROD'!Q$2,'1.PUNTOS'!$A$1:$B$63,2,0),0)</f>
        <v>0</v>
      </c>
      <c r="I354" s="138">
        <f>IF('1.DATOS-PROD'!R355="SI",VLOOKUP('1.DATOS-PROD'!R$2,'1.PUNTOS'!$A$1:$B$63,2,0),0)</f>
        <v>0</v>
      </c>
      <c r="J354" s="138">
        <f>IF('1.DATOS-PROD'!S355="SI",VLOOKUP('1.DATOS-PROD'!S$2,'1.PUNTOS'!$A$1:$B$63,2,0),0)</f>
        <v>0</v>
      </c>
      <c r="K354" s="138">
        <f>IF('1.DATOS-PROD'!T355="SI",VLOOKUP('1.DATOS-PROD'!T$2,'1.PUNTOS'!$A$1:$B$63,2,0),0)</f>
        <v>0</v>
      </c>
      <c r="L354" s="138">
        <f>IF('1.DATOS-PROD'!U355="SI",VLOOKUP('1.DATOS-PROD'!U$2,'1.PUNTOS'!$A$1:$B$63,2,0),0)</f>
        <v>0</v>
      </c>
      <c r="M354" s="138">
        <f>IF('1.DATOS-PROD'!V355="SI",VLOOKUP('1.DATOS-PROD'!V$2,'1.PUNTOS'!$A$1:$B$63,2,0),0)</f>
        <v>0</v>
      </c>
      <c r="N354" s="138">
        <f>IF('1.DATOS-PROD'!W355="SI",VLOOKUP('1.DATOS-PROD'!W$2,'1.PUNTOS'!$A$1:$B$63,2,0),0)</f>
        <v>0</v>
      </c>
      <c r="O354" s="138">
        <f>IF('1.DATOS-PROD'!X355="SI",VLOOKUP('1.DATOS-PROD'!X$2,'1.PUNTOS'!$A$1:$B$63,2,0),0)</f>
        <v>0</v>
      </c>
      <c r="P354" s="138">
        <f>IF('1.DATOS-PROD'!Y355="SI",VLOOKUP('1.DATOS-PROD'!Y$2,'1.PUNTOS'!$A$1:$B$63,2,0),0)</f>
        <v>0</v>
      </c>
      <c r="Q354" s="138">
        <f>IF('1.DATOS-PROD'!Z355="SI",VLOOKUP('1.DATOS-PROD'!Z$2,'1.PUNTOS'!$A$1:$B$63,2,0),0)</f>
        <v>0</v>
      </c>
      <c r="R354" s="138">
        <f>IF('1.DATOS-PROD'!AA355="SI",VLOOKUP('1.DATOS-PROD'!AA$2,'1.PUNTOS'!$A$1:$B$63,2,0),0)</f>
        <v>0</v>
      </c>
      <c r="S354" s="138">
        <f>IF('1.DATOS-PROD'!AB355="SI",VLOOKUP('1.DATOS-PROD'!AB$2,'1.PUNTOS'!$A$1:$B$63,2,0),0)</f>
        <v>0</v>
      </c>
      <c r="T354" s="138">
        <f>IF('1.DATOS-PROD'!AC355="SI",VLOOKUP('1.DATOS-PROD'!AC$2,'1.PUNTOS'!$A$1:$B$63,2,0),0)</f>
        <v>0</v>
      </c>
      <c r="U354" s="138">
        <f>IF('1.DATOS-PROD'!AD355="SI",VLOOKUP('1.DATOS-PROD'!AD$2,'1.PUNTOS'!$A$1:$B$63,2,0),0)</f>
        <v>0</v>
      </c>
      <c r="V354" s="138">
        <f>IF('1.DATOS-PROD'!AE355="SI",VLOOKUP('1.DATOS-PROD'!AE$2,'1.PUNTOS'!$A$1:$B$63,2,0),0)</f>
        <v>0</v>
      </c>
      <c r="W354" s="138">
        <f>IF('1.DATOS-PROD'!AF355="SI",VLOOKUP('1.DATOS-PROD'!AF$2,'1.PUNTOS'!$A$1:$B$63,2,0),0)</f>
        <v>0</v>
      </c>
      <c r="X354" s="138">
        <f>IF('1.DATOS-PROD'!AG355="SI",VLOOKUP('1.DATOS-PROD'!AG$2,'1.PUNTOS'!$A$1:$B$63,2,0),0)</f>
        <v>0</v>
      </c>
      <c r="Y354" s="138">
        <f>IF('1.DATOS-PROD'!AH355="SI",VLOOKUP('1.DATOS-PROD'!AH$2,'1.PUNTOS'!$A$1:$B$63,2,0),0)</f>
        <v>0</v>
      </c>
      <c r="Z354" s="138">
        <f>IF('1.DATOS-PROD'!AI355="SI",VLOOKUP('1.DATOS-PROD'!AI$2,'1.PUNTOS'!$A$1:$B$63,2,0),0)</f>
        <v>0</v>
      </c>
      <c r="AA354" s="138">
        <f>IF('1.DATOS-PROD'!AJ355="SI",VLOOKUP('1.DATOS-PROD'!AJ$2,'1.PUNTOS'!$A$1:$B$63,2,0),0)</f>
        <v>0</v>
      </c>
      <c r="AB354" s="138">
        <f>IF('1.DATOS-PROD'!AK355="SI",VLOOKUP('1.DATOS-PROD'!AK$2,'1.PUNTOS'!$A$1:$B$63,2,0),0)</f>
        <v>0</v>
      </c>
      <c r="AC354" s="138">
        <f>IF('1.DATOS-PROD'!AL355="SI",VLOOKUP('1.DATOS-PROD'!AL$2,'1.PUNTOS'!$A$1:$B$63,2,0),0)</f>
        <v>0</v>
      </c>
      <c r="AD354" s="138">
        <f>IF('1.DATOS-PROD'!AM355="SI",VLOOKUP('1.DATOS-PROD'!AM$2,'1.PUNTOS'!$A$1:$B$63,2,0),0)</f>
        <v>0</v>
      </c>
      <c r="AE354" s="138">
        <f>IF('1.DATOS-PROD'!AN355="SI",VLOOKUP('1.DATOS-PROD'!AN$2,'1.PUNTOS'!$A$1:$B$63,2,0),0)</f>
        <v>0</v>
      </c>
      <c r="AF354" s="138">
        <f>IF('1.DATOS-PROD'!AO355="SI",VLOOKUP('1.DATOS-PROD'!AO$2,'1.PUNTOS'!$A$1:$B$63,2,0),0)</f>
        <v>0</v>
      </c>
      <c r="AG354" s="138">
        <f>IF('1.DATOS-PROD'!AP355="SI",VLOOKUP('1.DATOS-PROD'!AP$2,'1.PUNTOS'!$A$1:$B$63,2,0),0)</f>
        <v>0</v>
      </c>
      <c r="AH354" s="138">
        <f>IF('1.DATOS-PROD'!AQ355="SI",VLOOKUP('1.DATOS-PROD'!AQ$2,'1.PUNTOS'!$A$1:$B$63,2,0),0)</f>
        <v>0</v>
      </c>
      <c r="AI354" s="138">
        <f>IF('1.DATOS-PROD'!AR355="SI",VLOOKUP('1.DATOS-PROD'!AR$2,'1.PUNTOS'!$A$1:$B$63,2,0),0)</f>
        <v>0</v>
      </c>
      <c r="AJ354" s="138">
        <f>IF('1.DATOS-PROD'!AS355="SI",VLOOKUP('1.DATOS-PROD'!AS$2,'1.PUNTOS'!$A$1:$B$63,2,0),0)</f>
        <v>0</v>
      </c>
      <c r="AK354" s="138">
        <f>IF('1.DATOS-PROD'!AT355="SI",VLOOKUP('1.DATOS-PROD'!AT$2,'1.PUNTOS'!$A$1:$B$63,2,0),0)</f>
        <v>0</v>
      </c>
      <c r="AL354" s="138">
        <f>IF('1.DATOS-PROD'!AU355="SI",VLOOKUP('1.DATOS-PROD'!AU$2,'1.PUNTOS'!$A$1:$B$63,2,0),0)</f>
        <v>0</v>
      </c>
      <c r="AM354" s="138">
        <f>IF('1.DATOS-PROD'!AV355="SI",VLOOKUP('1.DATOS-PROD'!AV$2,'1.PUNTOS'!$A$1:$B$63,2,0),0)</f>
        <v>0</v>
      </c>
      <c r="AN354" s="138">
        <f>IF('1.DATOS-PROD'!AW355="SI",VLOOKUP('1.DATOS-PROD'!AW$2,'1.PUNTOS'!$A$1:$B$63,2,0),0)</f>
        <v>0</v>
      </c>
      <c r="AO354" s="138">
        <f>IF('1.DATOS-PROD'!AX355="SI",VLOOKUP('1.DATOS-PROD'!AX$2,'1.PUNTOS'!$A$1:$B$63,2,0),0)</f>
        <v>0</v>
      </c>
      <c r="AP354" s="138">
        <f>IF('1.DATOS-PROD'!AY355="SI",VLOOKUP('1.DATOS-PROD'!AY$2,'1.PUNTOS'!$A$1:$B$63,2,0),0)</f>
        <v>0</v>
      </c>
      <c r="AQ354" s="138">
        <f>IF('1.DATOS-PROD'!AZ355="SI",VLOOKUP('1.DATOS-PROD'!AZ$2,'1.PUNTOS'!$A$1:$B$63,2,0),0)</f>
        <v>0</v>
      </c>
      <c r="AR354" s="138">
        <f>IF('1.DATOS-PROD'!BA355="SI",VLOOKUP('1.DATOS-PROD'!BA$2,'1.PUNTOS'!$A$1:$B$63,2,0),0)</f>
        <v>0</v>
      </c>
      <c r="AS354" s="138">
        <f>IF('1.DATOS-PROD'!BB355="SI",VLOOKUP('1.DATOS-PROD'!BB$2,'1.PUNTOS'!$A$1:$B$63,2,0),0)</f>
        <v>0</v>
      </c>
      <c r="AT354" s="138">
        <f>IF('1.DATOS-PROD'!BC355="SI",VLOOKUP('1.DATOS-PROD'!BC$2,'1.PUNTOS'!$A$1:$B$63,2,0),0)</f>
        <v>0</v>
      </c>
      <c r="AU354" s="138">
        <f>IF('1.DATOS-PROD'!BD355="SI",VLOOKUP('1.DATOS-PROD'!BD$2,'1.PUNTOS'!$A$1:$B$63,2,0),0)</f>
        <v>0</v>
      </c>
      <c r="AV354" s="138">
        <f>IF('1.DATOS-PROD'!BE355="SI",VLOOKUP('1.DATOS-PROD'!BE$2,'1.PUNTOS'!$A$1:$B$63,2,0),0)</f>
        <v>0</v>
      </c>
      <c r="AW354" s="138">
        <f>IF('1.DATOS-PROD'!BF355="SI",VLOOKUP('1.DATOS-PROD'!BF$2,'1.PUNTOS'!$A$1:$B$63,2,0),0)</f>
        <v>0</v>
      </c>
      <c r="AX354" s="138">
        <f>IF('1.DATOS-PROD'!BG355="SI",VLOOKUP('1.DATOS-PROD'!BG$2,'1.PUNTOS'!$A$1:$B$63,2,0),0)</f>
        <v>0</v>
      </c>
      <c r="AY354" s="138">
        <f>IF('1.DATOS-PROD'!BH355="SI",VLOOKUP('1.DATOS-PROD'!BH$2,'1.PUNTOS'!$A$1:$B$63,2,0),0)</f>
        <v>0</v>
      </c>
      <c r="AZ354" s="138">
        <f>IF('1.DATOS-PROD'!BI355="SI",VLOOKUP('1.DATOS-PROD'!BI$2,'1.PUNTOS'!$A$1:$B$63,2,0),0)</f>
        <v>0</v>
      </c>
      <c r="BA354" s="138">
        <f>IF('1.DATOS-PROD'!BJ355="SI",VLOOKUP('1.DATOS-PROD'!BJ$2,'1.PUNTOS'!$A$1:$B$63,2,0),0)</f>
        <v>0</v>
      </c>
      <c r="BB354" s="138">
        <f>IF('1.DATOS-PROD'!BK355="SI",VLOOKUP('1.DATOS-PROD'!BK$2,'1.PUNTOS'!$A$1:$B$63,2,0),0)</f>
        <v>0</v>
      </c>
      <c r="BC354" s="138">
        <f>IF('1.DATOS-PROD'!BL355="SI",VLOOKUP('1.DATOS-PROD'!BL$2,'1.PUNTOS'!$A$1:$B$63,2,0),0)</f>
        <v>0</v>
      </c>
      <c r="BD354" s="138">
        <f>IF('1.DATOS-PROD'!BM355="SI",VLOOKUP('1.DATOS-PROD'!BM$2,'1.PUNTOS'!$A$1:$B$63,2,0),0)</f>
        <v>0</v>
      </c>
      <c r="BE354" s="138">
        <f>IF('1.DATOS-PROD'!BN355="SI",VLOOKUP('1.DATOS-PROD'!BN$2,'1.PUNTOS'!$A$1:$B$63,2,0),0)</f>
        <v>0</v>
      </c>
      <c r="BF354" s="138">
        <f>IF('1.DATOS-PROD'!BO355="SI",VLOOKUP('1.DATOS-PROD'!BO$2,'1.PUNTOS'!$A$1:$B$63,2,0),0)</f>
        <v>0</v>
      </c>
      <c r="BG354" s="138">
        <f>IF('1.DATOS-PROD'!BP355="SI",VLOOKUP('1.DATOS-PROD'!BP$2,'1.PUNTOS'!$A$1:$B$63,2,0),0)</f>
        <v>0</v>
      </c>
      <c r="BH354" s="138">
        <f>IF('1.DATOS-PROD'!BQ355="SI",VLOOKUP('1.DATOS-PROD'!BQ$2,'1.PUNTOS'!$A$1:$B$63,2,0),0)</f>
        <v>0</v>
      </c>
      <c r="BI354" s="138">
        <f>IF('1.DATOS-PROD'!BR355="SI",VLOOKUP('1.DATOS-PROD'!BR$2,'1.PUNTOS'!$A$1:$B$63,2,0),0)</f>
        <v>0</v>
      </c>
      <c r="BJ354" s="138">
        <f>IF('1.DATOS-PROD'!BS355="SI",VLOOKUP('1.DATOS-PROD'!BS$2,'1.PUNTOS'!$A$1:$B$63,2,0),0)</f>
        <v>0</v>
      </c>
      <c r="BK354" s="138">
        <f>IF('1.DATOS-PROD'!BT355="SI",VLOOKUP('1.DATOS-PROD'!BT$2,'1.PUNTOS'!$A$1:$B$63,2,0),0)</f>
        <v>0</v>
      </c>
    </row>
    <row r="355" spans="1:63" x14ac:dyDescent="0.25">
      <c r="A355">
        <f>'0.Consolidado general'!$A356</f>
        <v>0</v>
      </c>
      <c r="B355" s="138">
        <f>IF('1.DATOS-PROD'!K356="SI",VLOOKUP('1.DATOS-PROD'!K$2,'1.PUNTOS'!$A$1:$B$63,2,0),0)</f>
        <v>0</v>
      </c>
      <c r="C355" s="138">
        <f>IF('1.DATOS-PROD'!L356="SI",VLOOKUP('1.DATOS-PROD'!L$2,'1.PUNTOS'!$A$1:$B$63,2,0),0)</f>
        <v>0</v>
      </c>
      <c r="D355" s="138">
        <f>IF('1.DATOS-PROD'!M356="SI",VLOOKUP('1.DATOS-PROD'!M$2,'1.PUNTOS'!$A$1:$B$63,2,0),0)</f>
        <v>0</v>
      </c>
      <c r="E355" s="138">
        <f>IF('1.DATOS-PROD'!N356="SI",VLOOKUP('1.DATOS-PROD'!N$2,'1.PUNTOS'!$A$1:$B$63,2,0),0)</f>
        <v>0</v>
      </c>
      <c r="F355" s="138">
        <f>IF('1.DATOS-PROD'!O356="SI",VLOOKUP('1.DATOS-PROD'!O$2,'1.PUNTOS'!$A$1:$B$63,2,0),0)</f>
        <v>0</v>
      </c>
      <c r="G355" s="138">
        <f>IF('1.DATOS-PROD'!P356="SI",VLOOKUP('1.DATOS-PROD'!P$2,'1.PUNTOS'!$A$1:$B$63,2,0),0)</f>
        <v>0</v>
      </c>
      <c r="H355" s="138">
        <f>IF('1.DATOS-PROD'!Q356="SI",VLOOKUP('1.DATOS-PROD'!Q$2,'1.PUNTOS'!$A$1:$B$63,2,0),0)</f>
        <v>0</v>
      </c>
      <c r="I355" s="138">
        <f>IF('1.DATOS-PROD'!R356="SI",VLOOKUP('1.DATOS-PROD'!R$2,'1.PUNTOS'!$A$1:$B$63,2,0),0)</f>
        <v>0</v>
      </c>
      <c r="J355" s="138">
        <f>IF('1.DATOS-PROD'!S356="SI",VLOOKUP('1.DATOS-PROD'!S$2,'1.PUNTOS'!$A$1:$B$63,2,0),0)</f>
        <v>0</v>
      </c>
      <c r="K355" s="138">
        <f>IF('1.DATOS-PROD'!T356="SI",VLOOKUP('1.DATOS-PROD'!T$2,'1.PUNTOS'!$A$1:$B$63,2,0),0)</f>
        <v>0</v>
      </c>
      <c r="L355" s="138">
        <f>IF('1.DATOS-PROD'!U356="SI",VLOOKUP('1.DATOS-PROD'!U$2,'1.PUNTOS'!$A$1:$B$63,2,0),0)</f>
        <v>0</v>
      </c>
      <c r="M355" s="138">
        <f>IF('1.DATOS-PROD'!V356="SI",VLOOKUP('1.DATOS-PROD'!V$2,'1.PUNTOS'!$A$1:$B$63,2,0),0)</f>
        <v>0</v>
      </c>
      <c r="N355" s="138">
        <f>IF('1.DATOS-PROD'!W356="SI",VLOOKUP('1.DATOS-PROD'!W$2,'1.PUNTOS'!$A$1:$B$63,2,0),0)</f>
        <v>0</v>
      </c>
      <c r="O355" s="138">
        <f>IF('1.DATOS-PROD'!X356="SI",VLOOKUP('1.DATOS-PROD'!X$2,'1.PUNTOS'!$A$1:$B$63,2,0),0)</f>
        <v>0</v>
      </c>
      <c r="P355" s="138">
        <f>IF('1.DATOS-PROD'!Y356="SI",VLOOKUP('1.DATOS-PROD'!Y$2,'1.PUNTOS'!$A$1:$B$63,2,0),0)</f>
        <v>0</v>
      </c>
      <c r="Q355" s="138">
        <f>IF('1.DATOS-PROD'!Z356="SI",VLOOKUP('1.DATOS-PROD'!Z$2,'1.PUNTOS'!$A$1:$B$63,2,0),0)</f>
        <v>0</v>
      </c>
      <c r="R355" s="138">
        <f>IF('1.DATOS-PROD'!AA356="SI",VLOOKUP('1.DATOS-PROD'!AA$2,'1.PUNTOS'!$A$1:$B$63,2,0),0)</f>
        <v>0</v>
      </c>
      <c r="S355" s="138">
        <f>IF('1.DATOS-PROD'!AB356="SI",VLOOKUP('1.DATOS-PROD'!AB$2,'1.PUNTOS'!$A$1:$B$63,2,0),0)</f>
        <v>0</v>
      </c>
      <c r="T355" s="138">
        <f>IF('1.DATOS-PROD'!AC356="SI",VLOOKUP('1.DATOS-PROD'!AC$2,'1.PUNTOS'!$A$1:$B$63,2,0),0)</f>
        <v>0</v>
      </c>
      <c r="U355" s="138">
        <f>IF('1.DATOS-PROD'!AD356="SI",VLOOKUP('1.DATOS-PROD'!AD$2,'1.PUNTOS'!$A$1:$B$63,2,0),0)</f>
        <v>0</v>
      </c>
      <c r="V355" s="138">
        <f>IF('1.DATOS-PROD'!AE356="SI",VLOOKUP('1.DATOS-PROD'!AE$2,'1.PUNTOS'!$A$1:$B$63,2,0),0)</f>
        <v>0</v>
      </c>
      <c r="W355" s="138">
        <f>IF('1.DATOS-PROD'!AF356="SI",VLOOKUP('1.DATOS-PROD'!AF$2,'1.PUNTOS'!$A$1:$B$63,2,0),0)</f>
        <v>0</v>
      </c>
      <c r="X355" s="138">
        <f>IF('1.DATOS-PROD'!AG356="SI",VLOOKUP('1.DATOS-PROD'!AG$2,'1.PUNTOS'!$A$1:$B$63,2,0),0)</f>
        <v>0</v>
      </c>
      <c r="Y355" s="138">
        <f>IF('1.DATOS-PROD'!AH356="SI",VLOOKUP('1.DATOS-PROD'!AH$2,'1.PUNTOS'!$A$1:$B$63,2,0),0)</f>
        <v>0</v>
      </c>
      <c r="Z355" s="138">
        <f>IF('1.DATOS-PROD'!AI356="SI",VLOOKUP('1.DATOS-PROD'!AI$2,'1.PUNTOS'!$A$1:$B$63,2,0),0)</f>
        <v>0</v>
      </c>
      <c r="AA355" s="138">
        <f>IF('1.DATOS-PROD'!AJ356="SI",VLOOKUP('1.DATOS-PROD'!AJ$2,'1.PUNTOS'!$A$1:$B$63,2,0),0)</f>
        <v>0</v>
      </c>
      <c r="AB355" s="138">
        <f>IF('1.DATOS-PROD'!AK356="SI",VLOOKUP('1.DATOS-PROD'!AK$2,'1.PUNTOS'!$A$1:$B$63,2,0),0)</f>
        <v>0</v>
      </c>
      <c r="AC355" s="138">
        <f>IF('1.DATOS-PROD'!AL356="SI",VLOOKUP('1.DATOS-PROD'!AL$2,'1.PUNTOS'!$A$1:$B$63,2,0),0)</f>
        <v>0</v>
      </c>
      <c r="AD355" s="138">
        <f>IF('1.DATOS-PROD'!AM356="SI",VLOOKUP('1.DATOS-PROD'!AM$2,'1.PUNTOS'!$A$1:$B$63,2,0),0)</f>
        <v>0</v>
      </c>
      <c r="AE355" s="138">
        <f>IF('1.DATOS-PROD'!AN356="SI",VLOOKUP('1.DATOS-PROD'!AN$2,'1.PUNTOS'!$A$1:$B$63,2,0),0)</f>
        <v>0</v>
      </c>
      <c r="AF355" s="138">
        <f>IF('1.DATOS-PROD'!AO356="SI",VLOOKUP('1.DATOS-PROD'!AO$2,'1.PUNTOS'!$A$1:$B$63,2,0),0)</f>
        <v>0</v>
      </c>
      <c r="AG355" s="138">
        <f>IF('1.DATOS-PROD'!AP356="SI",VLOOKUP('1.DATOS-PROD'!AP$2,'1.PUNTOS'!$A$1:$B$63,2,0),0)</f>
        <v>0</v>
      </c>
      <c r="AH355" s="138">
        <f>IF('1.DATOS-PROD'!AQ356="SI",VLOOKUP('1.DATOS-PROD'!AQ$2,'1.PUNTOS'!$A$1:$B$63,2,0),0)</f>
        <v>0</v>
      </c>
      <c r="AI355" s="138">
        <f>IF('1.DATOS-PROD'!AR356="SI",VLOOKUP('1.DATOS-PROD'!AR$2,'1.PUNTOS'!$A$1:$B$63,2,0),0)</f>
        <v>0</v>
      </c>
      <c r="AJ355" s="138">
        <f>IF('1.DATOS-PROD'!AS356="SI",VLOOKUP('1.DATOS-PROD'!AS$2,'1.PUNTOS'!$A$1:$B$63,2,0),0)</f>
        <v>0</v>
      </c>
      <c r="AK355" s="138">
        <f>IF('1.DATOS-PROD'!AT356="SI",VLOOKUP('1.DATOS-PROD'!AT$2,'1.PUNTOS'!$A$1:$B$63,2,0),0)</f>
        <v>0</v>
      </c>
      <c r="AL355" s="138">
        <f>IF('1.DATOS-PROD'!AU356="SI",VLOOKUP('1.DATOS-PROD'!AU$2,'1.PUNTOS'!$A$1:$B$63,2,0),0)</f>
        <v>0</v>
      </c>
      <c r="AM355" s="138">
        <f>IF('1.DATOS-PROD'!AV356="SI",VLOOKUP('1.DATOS-PROD'!AV$2,'1.PUNTOS'!$A$1:$B$63,2,0),0)</f>
        <v>0</v>
      </c>
      <c r="AN355" s="138">
        <f>IF('1.DATOS-PROD'!AW356="SI",VLOOKUP('1.DATOS-PROD'!AW$2,'1.PUNTOS'!$A$1:$B$63,2,0),0)</f>
        <v>0</v>
      </c>
      <c r="AO355" s="138">
        <f>IF('1.DATOS-PROD'!AX356="SI",VLOOKUP('1.DATOS-PROD'!AX$2,'1.PUNTOS'!$A$1:$B$63,2,0),0)</f>
        <v>0</v>
      </c>
      <c r="AP355" s="138">
        <f>IF('1.DATOS-PROD'!AY356="SI",VLOOKUP('1.DATOS-PROD'!AY$2,'1.PUNTOS'!$A$1:$B$63,2,0),0)</f>
        <v>0</v>
      </c>
      <c r="AQ355" s="138">
        <f>IF('1.DATOS-PROD'!AZ356="SI",VLOOKUP('1.DATOS-PROD'!AZ$2,'1.PUNTOS'!$A$1:$B$63,2,0),0)</f>
        <v>0</v>
      </c>
      <c r="AR355" s="138">
        <f>IF('1.DATOS-PROD'!BA356="SI",VLOOKUP('1.DATOS-PROD'!BA$2,'1.PUNTOS'!$A$1:$B$63,2,0),0)</f>
        <v>0</v>
      </c>
      <c r="AS355" s="138">
        <f>IF('1.DATOS-PROD'!BB356="SI",VLOOKUP('1.DATOS-PROD'!BB$2,'1.PUNTOS'!$A$1:$B$63,2,0),0)</f>
        <v>0</v>
      </c>
      <c r="AT355" s="138">
        <f>IF('1.DATOS-PROD'!BC356="SI",VLOOKUP('1.DATOS-PROD'!BC$2,'1.PUNTOS'!$A$1:$B$63,2,0),0)</f>
        <v>0</v>
      </c>
      <c r="AU355" s="138">
        <f>IF('1.DATOS-PROD'!BD356="SI",VLOOKUP('1.DATOS-PROD'!BD$2,'1.PUNTOS'!$A$1:$B$63,2,0),0)</f>
        <v>0</v>
      </c>
      <c r="AV355" s="138">
        <f>IF('1.DATOS-PROD'!BE356="SI",VLOOKUP('1.DATOS-PROD'!BE$2,'1.PUNTOS'!$A$1:$B$63,2,0),0)</f>
        <v>0</v>
      </c>
      <c r="AW355" s="138">
        <f>IF('1.DATOS-PROD'!BF356="SI",VLOOKUP('1.DATOS-PROD'!BF$2,'1.PUNTOS'!$A$1:$B$63,2,0),0)</f>
        <v>0</v>
      </c>
      <c r="AX355" s="138">
        <f>IF('1.DATOS-PROD'!BG356="SI",VLOOKUP('1.DATOS-PROD'!BG$2,'1.PUNTOS'!$A$1:$B$63,2,0),0)</f>
        <v>0</v>
      </c>
      <c r="AY355" s="138">
        <f>IF('1.DATOS-PROD'!BH356="SI",VLOOKUP('1.DATOS-PROD'!BH$2,'1.PUNTOS'!$A$1:$B$63,2,0),0)</f>
        <v>0</v>
      </c>
      <c r="AZ355" s="138">
        <f>IF('1.DATOS-PROD'!BI356="SI",VLOOKUP('1.DATOS-PROD'!BI$2,'1.PUNTOS'!$A$1:$B$63,2,0),0)</f>
        <v>0</v>
      </c>
      <c r="BA355" s="138">
        <f>IF('1.DATOS-PROD'!BJ356="SI",VLOOKUP('1.DATOS-PROD'!BJ$2,'1.PUNTOS'!$A$1:$B$63,2,0),0)</f>
        <v>0</v>
      </c>
      <c r="BB355" s="138">
        <f>IF('1.DATOS-PROD'!BK356="SI",VLOOKUP('1.DATOS-PROD'!BK$2,'1.PUNTOS'!$A$1:$B$63,2,0),0)</f>
        <v>0</v>
      </c>
      <c r="BC355" s="138">
        <f>IF('1.DATOS-PROD'!BL356="SI",VLOOKUP('1.DATOS-PROD'!BL$2,'1.PUNTOS'!$A$1:$B$63,2,0),0)</f>
        <v>0</v>
      </c>
      <c r="BD355" s="138">
        <f>IF('1.DATOS-PROD'!BM356="SI",VLOOKUP('1.DATOS-PROD'!BM$2,'1.PUNTOS'!$A$1:$B$63,2,0),0)</f>
        <v>0</v>
      </c>
      <c r="BE355" s="138">
        <f>IF('1.DATOS-PROD'!BN356="SI",VLOOKUP('1.DATOS-PROD'!BN$2,'1.PUNTOS'!$A$1:$B$63,2,0),0)</f>
        <v>0</v>
      </c>
      <c r="BF355" s="138">
        <f>IF('1.DATOS-PROD'!BO356="SI",VLOOKUP('1.DATOS-PROD'!BO$2,'1.PUNTOS'!$A$1:$B$63,2,0),0)</f>
        <v>0</v>
      </c>
      <c r="BG355" s="138">
        <f>IF('1.DATOS-PROD'!BP356="SI",VLOOKUP('1.DATOS-PROD'!BP$2,'1.PUNTOS'!$A$1:$B$63,2,0),0)</f>
        <v>0</v>
      </c>
      <c r="BH355" s="138">
        <f>IF('1.DATOS-PROD'!BQ356="SI",VLOOKUP('1.DATOS-PROD'!BQ$2,'1.PUNTOS'!$A$1:$B$63,2,0),0)</f>
        <v>0</v>
      </c>
      <c r="BI355" s="138">
        <f>IF('1.DATOS-PROD'!BR356="SI",VLOOKUP('1.DATOS-PROD'!BR$2,'1.PUNTOS'!$A$1:$B$63,2,0),0)</f>
        <v>0</v>
      </c>
      <c r="BJ355" s="138">
        <f>IF('1.DATOS-PROD'!BS356="SI",VLOOKUP('1.DATOS-PROD'!BS$2,'1.PUNTOS'!$A$1:$B$63,2,0),0)</f>
        <v>0</v>
      </c>
      <c r="BK355" s="138">
        <f>IF('1.DATOS-PROD'!BT356="SI",VLOOKUP('1.DATOS-PROD'!BT$2,'1.PUNTOS'!$A$1:$B$63,2,0),0)</f>
        <v>0</v>
      </c>
    </row>
    <row r="356" spans="1:63" x14ac:dyDescent="0.25">
      <c r="A356">
        <f>'0.Consolidado general'!$A357</f>
        <v>0</v>
      </c>
      <c r="B356" s="138">
        <f>IF('1.DATOS-PROD'!K357="SI",VLOOKUP('1.DATOS-PROD'!K$2,'1.PUNTOS'!$A$1:$B$63,2,0),0)</f>
        <v>0</v>
      </c>
      <c r="C356" s="138">
        <f>IF('1.DATOS-PROD'!L357="SI",VLOOKUP('1.DATOS-PROD'!L$2,'1.PUNTOS'!$A$1:$B$63,2,0),0)</f>
        <v>0</v>
      </c>
      <c r="D356" s="138">
        <f>IF('1.DATOS-PROD'!M357="SI",VLOOKUP('1.DATOS-PROD'!M$2,'1.PUNTOS'!$A$1:$B$63,2,0),0)</f>
        <v>0</v>
      </c>
      <c r="E356" s="138">
        <f>IF('1.DATOS-PROD'!N357="SI",VLOOKUP('1.DATOS-PROD'!N$2,'1.PUNTOS'!$A$1:$B$63,2,0),0)</f>
        <v>0</v>
      </c>
      <c r="F356" s="138">
        <f>IF('1.DATOS-PROD'!O357="SI",VLOOKUP('1.DATOS-PROD'!O$2,'1.PUNTOS'!$A$1:$B$63,2,0),0)</f>
        <v>0</v>
      </c>
      <c r="G356" s="138">
        <f>IF('1.DATOS-PROD'!P357="SI",VLOOKUP('1.DATOS-PROD'!P$2,'1.PUNTOS'!$A$1:$B$63,2,0),0)</f>
        <v>0</v>
      </c>
      <c r="H356" s="138">
        <f>IF('1.DATOS-PROD'!Q357="SI",VLOOKUP('1.DATOS-PROD'!Q$2,'1.PUNTOS'!$A$1:$B$63,2,0),0)</f>
        <v>0</v>
      </c>
      <c r="I356" s="138">
        <f>IF('1.DATOS-PROD'!R357="SI",VLOOKUP('1.DATOS-PROD'!R$2,'1.PUNTOS'!$A$1:$B$63,2,0),0)</f>
        <v>0</v>
      </c>
      <c r="J356" s="138">
        <f>IF('1.DATOS-PROD'!S357="SI",VLOOKUP('1.DATOS-PROD'!S$2,'1.PUNTOS'!$A$1:$B$63,2,0),0)</f>
        <v>0</v>
      </c>
      <c r="K356" s="138">
        <f>IF('1.DATOS-PROD'!T357="SI",VLOOKUP('1.DATOS-PROD'!T$2,'1.PUNTOS'!$A$1:$B$63,2,0),0)</f>
        <v>0</v>
      </c>
      <c r="L356" s="138">
        <f>IF('1.DATOS-PROD'!U357="SI",VLOOKUP('1.DATOS-PROD'!U$2,'1.PUNTOS'!$A$1:$B$63,2,0),0)</f>
        <v>0</v>
      </c>
      <c r="M356" s="138">
        <f>IF('1.DATOS-PROD'!V357="SI",VLOOKUP('1.DATOS-PROD'!V$2,'1.PUNTOS'!$A$1:$B$63,2,0),0)</f>
        <v>0</v>
      </c>
      <c r="N356" s="138">
        <f>IF('1.DATOS-PROD'!W357="SI",VLOOKUP('1.DATOS-PROD'!W$2,'1.PUNTOS'!$A$1:$B$63,2,0),0)</f>
        <v>0</v>
      </c>
      <c r="O356" s="138">
        <f>IF('1.DATOS-PROD'!X357="SI",VLOOKUP('1.DATOS-PROD'!X$2,'1.PUNTOS'!$A$1:$B$63,2,0),0)</f>
        <v>0</v>
      </c>
      <c r="P356" s="138">
        <f>IF('1.DATOS-PROD'!Y357="SI",VLOOKUP('1.DATOS-PROD'!Y$2,'1.PUNTOS'!$A$1:$B$63,2,0),0)</f>
        <v>0</v>
      </c>
      <c r="Q356" s="138">
        <f>IF('1.DATOS-PROD'!Z357="SI",VLOOKUP('1.DATOS-PROD'!Z$2,'1.PUNTOS'!$A$1:$B$63,2,0),0)</f>
        <v>0</v>
      </c>
      <c r="R356" s="138">
        <f>IF('1.DATOS-PROD'!AA357="SI",VLOOKUP('1.DATOS-PROD'!AA$2,'1.PUNTOS'!$A$1:$B$63,2,0),0)</f>
        <v>0</v>
      </c>
      <c r="S356" s="138">
        <f>IF('1.DATOS-PROD'!AB357="SI",VLOOKUP('1.DATOS-PROD'!AB$2,'1.PUNTOS'!$A$1:$B$63,2,0),0)</f>
        <v>0</v>
      </c>
      <c r="T356" s="138">
        <f>IF('1.DATOS-PROD'!AC357="SI",VLOOKUP('1.DATOS-PROD'!AC$2,'1.PUNTOS'!$A$1:$B$63,2,0),0)</f>
        <v>0</v>
      </c>
      <c r="U356" s="138">
        <f>IF('1.DATOS-PROD'!AD357="SI",VLOOKUP('1.DATOS-PROD'!AD$2,'1.PUNTOS'!$A$1:$B$63,2,0),0)</f>
        <v>0</v>
      </c>
      <c r="V356" s="138">
        <f>IF('1.DATOS-PROD'!AE357="SI",VLOOKUP('1.DATOS-PROD'!AE$2,'1.PUNTOS'!$A$1:$B$63,2,0),0)</f>
        <v>0</v>
      </c>
      <c r="W356" s="138">
        <f>IF('1.DATOS-PROD'!AF357="SI",VLOOKUP('1.DATOS-PROD'!AF$2,'1.PUNTOS'!$A$1:$B$63,2,0),0)</f>
        <v>0</v>
      </c>
      <c r="X356" s="138">
        <f>IF('1.DATOS-PROD'!AG357="SI",VLOOKUP('1.DATOS-PROD'!AG$2,'1.PUNTOS'!$A$1:$B$63,2,0),0)</f>
        <v>0</v>
      </c>
      <c r="Y356" s="138">
        <f>IF('1.DATOS-PROD'!AH357="SI",VLOOKUP('1.DATOS-PROD'!AH$2,'1.PUNTOS'!$A$1:$B$63,2,0),0)</f>
        <v>0</v>
      </c>
      <c r="Z356" s="138">
        <f>IF('1.DATOS-PROD'!AI357="SI",VLOOKUP('1.DATOS-PROD'!AI$2,'1.PUNTOS'!$A$1:$B$63,2,0),0)</f>
        <v>0</v>
      </c>
      <c r="AA356" s="138">
        <f>IF('1.DATOS-PROD'!AJ357="SI",VLOOKUP('1.DATOS-PROD'!AJ$2,'1.PUNTOS'!$A$1:$B$63,2,0),0)</f>
        <v>0</v>
      </c>
      <c r="AB356" s="138">
        <f>IF('1.DATOS-PROD'!AK357="SI",VLOOKUP('1.DATOS-PROD'!AK$2,'1.PUNTOS'!$A$1:$B$63,2,0),0)</f>
        <v>0</v>
      </c>
      <c r="AC356" s="138">
        <f>IF('1.DATOS-PROD'!AL357="SI",VLOOKUP('1.DATOS-PROD'!AL$2,'1.PUNTOS'!$A$1:$B$63,2,0),0)</f>
        <v>0</v>
      </c>
      <c r="AD356" s="138">
        <f>IF('1.DATOS-PROD'!AM357="SI",VLOOKUP('1.DATOS-PROD'!AM$2,'1.PUNTOS'!$A$1:$B$63,2,0),0)</f>
        <v>0</v>
      </c>
      <c r="AE356" s="138">
        <f>IF('1.DATOS-PROD'!AN357="SI",VLOOKUP('1.DATOS-PROD'!AN$2,'1.PUNTOS'!$A$1:$B$63,2,0),0)</f>
        <v>0</v>
      </c>
      <c r="AF356" s="138">
        <f>IF('1.DATOS-PROD'!AO357="SI",VLOOKUP('1.DATOS-PROD'!AO$2,'1.PUNTOS'!$A$1:$B$63,2,0),0)</f>
        <v>0</v>
      </c>
      <c r="AG356" s="138">
        <f>IF('1.DATOS-PROD'!AP357="SI",VLOOKUP('1.DATOS-PROD'!AP$2,'1.PUNTOS'!$A$1:$B$63,2,0),0)</f>
        <v>0</v>
      </c>
      <c r="AH356" s="138">
        <f>IF('1.DATOS-PROD'!AQ357="SI",VLOOKUP('1.DATOS-PROD'!AQ$2,'1.PUNTOS'!$A$1:$B$63,2,0),0)</f>
        <v>0</v>
      </c>
      <c r="AI356" s="138">
        <f>IF('1.DATOS-PROD'!AR357="SI",VLOOKUP('1.DATOS-PROD'!AR$2,'1.PUNTOS'!$A$1:$B$63,2,0),0)</f>
        <v>0</v>
      </c>
      <c r="AJ356" s="138">
        <f>IF('1.DATOS-PROD'!AS357="SI",VLOOKUP('1.DATOS-PROD'!AS$2,'1.PUNTOS'!$A$1:$B$63,2,0),0)</f>
        <v>0</v>
      </c>
      <c r="AK356" s="138">
        <f>IF('1.DATOS-PROD'!AT357="SI",VLOOKUP('1.DATOS-PROD'!AT$2,'1.PUNTOS'!$A$1:$B$63,2,0),0)</f>
        <v>0</v>
      </c>
      <c r="AL356" s="138">
        <f>IF('1.DATOS-PROD'!AU357="SI",VLOOKUP('1.DATOS-PROD'!AU$2,'1.PUNTOS'!$A$1:$B$63,2,0),0)</f>
        <v>0</v>
      </c>
      <c r="AM356" s="138">
        <f>IF('1.DATOS-PROD'!AV357="SI",VLOOKUP('1.DATOS-PROD'!AV$2,'1.PUNTOS'!$A$1:$B$63,2,0),0)</f>
        <v>0</v>
      </c>
      <c r="AN356" s="138">
        <f>IF('1.DATOS-PROD'!AW357="SI",VLOOKUP('1.DATOS-PROD'!AW$2,'1.PUNTOS'!$A$1:$B$63,2,0),0)</f>
        <v>0</v>
      </c>
      <c r="AO356" s="138">
        <f>IF('1.DATOS-PROD'!AX357="SI",VLOOKUP('1.DATOS-PROD'!AX$2,'1.PUNTOS'!$A$1:$B$63,2,0),0)</f>
        <v>0</v>
      </c>
      <c r="AP356" s="138">
        <f>IF('1.DATOS-PROD'!AY357="SI",VLOOKUP('1.DATOS-PROD'!AY$2,'1.PUNTOS'!$A$1:$B$63,2,0),0)</f>
        <v>0</v>
      </c>
      <c r="AQ356" s="138">
        <f>IF('1.DATOS-PROD'!AZ357="SI",VLOOKUP('1.DATOS-PROD'!AZ$2,'1.PUNTOS'!$A$1:$B$63,2,0),0)</f>
        <v>0</v>
      </c>
      <c r="AR356" s="138">
        <f>IF('1.DATOS-PROD'!BA357="SI",VLOOKUP('1.DATOS-PROD'!BA$2,'1.PUNTOS'!$A$1:$B$63,2,0),0)</f>
        <v>0</v>
      </c>
      <c r="AS356" s="138">
        <f>IF('1.DATOS-PROD'!BB357="SI",VLOOKUP('1.DATOS-PROD'!BB$2,'1.PUNTOS'!$A$1:$B$63,2,0),0)</f>
        <v>0</v>
      </c>
      <c r="AT356" s="138">
        <f>IF('1.DATOS-PROD'!BC357="SI",VLOOKUP('1.DATOS-PROD'!BC$2,'1.PUNTOS'!$A$1:$B$63,2,0),0)</f>
        <v>0</v>
      </c>
      <c r="AU356" s="138">
        <f>IF('1.DATOS-PROD'!BD357="SI",VLOOKUP('1.DATOS-PROD'!BD$2,'1.PUNTOS'!$A$1:$B$63,2,0),0)</f>
        <v>0</v>
      </c>
      <c r="AV356" s="138">
        <f>IF('1.DATOS-PROD'!BE357="SI",VLOOKUP('1.DATOS-PROD'!BE$2,'1.PUNTOS'!$A$1:$B$63,2,0),0)</f>
        <v>0</v>
      </c>
      <c r="AW356" s="138">
        <f>IF('1.DATOS-PROD'!BF357="SI",VLOOKUP('1.DATOS-PROD'!BF$2,'1.PUNTOS'!$A$1:$B$63,2,0),0)</f>
        <v>0</v>
      </c>
      <c r="AX356" s="138">
        <f>IF('1.DATOS-PROD'!BG357="SI",VLOOKUP('1.DATOS-PROD'!BG$2,'1.PUNTOS'!$A$1:$B$63,2,0),0)</f>
        <v>0</v>
      </c>
      <c r="AY356" s="138">
        <f>IF('1.DATOS-PROD'!BH357="SI",VLOOKUP('1.DATOS-PROD'!BH$2,'1.PUNTOS'!$A$1:$B$63,2,0),0)</f>
        <v>0</v>
      </c>
      <c r="AZ356" s="138">
        <f>IF('1.DATOS-PROD'!BI357="SI",VLOOKUP('1.DATOS-PROD'!BI$2,'1.PUNTOS'!$A$1:$B$63,2,0),0)</f>
        <v>0</v>
      </c>
      <c r="BA356" s="138">
        <f>IF('1.DATOS-PROD'!BJ357="SI",VLOOKUP('1.DATOS-PROD'!BJ$2,'1.PUNTOS'!$A$1:$B$63,2,0),0)</f>
        <v>0</v>
      </c>
      <c r="BB356" s="138">
        <f>IF('1.DATOS-PROD'!BK357="SI",VLOOKUP('1.DATOS-PROD'!BK$2,'1.PUNTOS'!$A$1:$B$63,2,0),0)</f>
        <v>0</v>
      </c>
      <c r="BC356" s="138">
        <f>IF('1.DATOS-PROD'!BL357="SI",VLOOKUP('1.DATOS-PROD'!BL$2,'1.PUNTOS'!$A$1:$B$63,2,0),0)</f>
        <v>0</v>
      </c>
      <c r="BD356" s="138">
        <f>IF('1.DATOS-PROD'!BM357="SI",VLOOKUP('1.DATOS-PROD'!BM$2,'1.PUNTOS'!$A$1:$B$63,2,0),0)</f>
        <v>0</v>
      </c>
      <c r="BE356" s="138">
        <f>IF('1.DATOS-PROD'!BN357="SI",VLOOKUP('1.DATOS-PROD'!BN$2,'1.PUNTOS'!$A$1:$B$63,2,0),0)</f>
        <v>0</v>
      </c>
      <c r="BF356" s="138">
        <f>IF('1.DATOS-PROD'!BO357="SI",VLOOKUP('1.DATOS-PROD'!BO$2,'1.PUNTOS'!$A$1:$B$63,2,0),0)</f>
        <v>0</v>
      </c>
      <c r="BG356" s="138">
        <f>IF('1.DATOS-PROD'!BP357="SI",VLOOKUP('1.DATOS-PROD'!BP$2,'1.PUNTOS'!$A$1:$B$63,2,0),0)</f>
        <v>0</v>
      </c>
      <c r="BH356" s="138">
        <f>IF('1.DATOS-PROD'!BQ357="SI",VLOOKUP('1.DATOS-PROD'!BQ$2,'1.PUNTOS'!$A$1:$B$63,2,0),0)</f>
        <v>0</v>
      </c>
      <c r="BI356" s="138">
        <f>IF('1.DATOS-PROD'!BR357="SI",VLOOKUP('1.DATOS-PROD'!BR$2,'1.PUNTOS'!$A$1:$B$63,2,0),0)</f>
        <v>0</v>
      </c>
      <c r="BJ356" s="138">
        <f>IF('1.DATOS-PROD'!BS357="SI",VLOOKUP('1.DATOS-PROD'!BS$2,'1.PUNTOS'!$A$1:$B$63,2,0),0)</f>
        <v>0</v>
      </c>
      <c r="BK356" s="138">
        <f>IF('1.DATOS-PROD'!BT357="SI",VLOOKUP('1.DATOS-PROD'!BT$2,'1.PUNTOS'!$A$1:$B$63,2,0),0)</f>
        <v>0</v>
      </c>
    </row>
    <row r="357" spans="1:63" x14ac:dyDescent="0.25">
      <c r="A357">
        <f>'0.Consolidado general'!$A358</f>
        <v>0</v>
      </c>
      <c r="B357" s="138">
        <f>IF('1.DATOS-PROD'!K358="SI",VLOOKUP('1.DATOS-PROD'!K$2,'1.PUNTOS'!$A$1:$B$63,2,0),0)</f>
        <v>0</v>
      </c>
      <c r="C357" s="138">
        <f>IF('1.DATOS-PROD'!L358="SI",VLOOKUP('1.DATOS-PROD'!L$2,'1.PUNTOS'!$A$1:$B$63,2,0),0)</f>
        <v>0</v>
      </c>
      <c r="D357" s="138">
        <f>IF('1.DATOS-PROD'!M358="SI",VLOOKUP('1.DATOS-PROD'!M$2,'1.PUNTOS'!$A$1:$B$63,2,0),0)</f>
        <v>0</v>
      </c>
      <c r="E357" s="138">
        <f>IF('1.DATOS-PROD'!N358="SI",VLOOKUP('1.DATOS-PROD'!N$2,'1.PUNTOS'!$A$1:$B$63,2,0),0)</f>
        <v>0</v>
      </c>
      <c r="F357" s="138">
        <f>IF('1.DATOS-PROD'!O358="SI",VLOOKUP('1.DATOS-PROD'!O$2,'1.PUNTOS'!$A$1:$B$63,2,0),0)</f>
        <v>0</v>
      </c>
      <c r="G357" s="138">
        <f>IF('1.DATOS-PROD'!P358="SI",VLOOKUP('1.DATOS-PROD'!P$2,'1.PUNTOS'!$A$1:$B$63,2,0),0)</f>
        <v>0</v>
      </c>
      <c r="H357" s="138">
        <f>IF('1.DATOS-PROD'!Q358="SI",VLOOKUP('1.DATOS-PROD'!Q$2,'1.PUNTOS'!$A$1:$B$63,2,0),0)</f>
        <v>0</v>
      </c>
      <c r="I357" s="138">
        <f>IF('1.DATOS-PROD'!R358="SI",VLOOKUP('1.DATOS-PROD'!R$2,'1.PUNTOS'!$A$1:$B$63,2,0),0)</f>
        <v>0</v>
      </c>
      <c r="J357" s="138">
        <f>IF('1.DATOS-PROD'!S358="SI",VLOOKUP('1.DATOS-PROD'!S$2,'1.PUNTOS'!$A$1:$B$63,2,0),0)</f>
        <v>0</v>
      </c>
      <c r="K357" s="138">
        <f>IF('1.DATOS-PROD'!T358="SI",VLOOKUP('1.DATOS-PROD'!T$2,'1.PUNTOS'!$A$1:$B$63,2,0),0)</f>
        <v>0</v>
      </c>
      <c r="L357" s="138">
        <f>IF('1.DATOS-PROD'!U358="SI",VLOOKUP('1.DATOS-PROD'!U$2,'1.PUNTOS'!$A$1:$B$63,2,0),0)</f>
        <v>0</v>
      </c>
      <c r="M357" s="138">
        <f>IF('1.DATOS-PROD'!V358="SI",VLOOKUP('1.DATOS-PROD'!V$2,'1.PUNTOS'!$A$1:$B$63,2,0),0)</f>
        <v>0</v>
      </c>
      <c r="N357" s="138">
        <f>IF('1.DATOS-PROD'!W358="SI",VLOOKUP('1.DATOS-PROD'!W$2,'1.PUNTOS'!$A$1:$B$63,2,0),0)</f>
        <v>0</v>
      </c>
      <c r="O357" s="138">
        <f>IF('1.DATOS-PROD'!X358="SI",VLOOKUP('1.DATOS-PROD'!X$2,'1.PUNTOS'!$A$1:$B$63,2,0),0)</f>
        <v>0</v>
      </c>
      <c r="P357" s="138">
        <f>IF('1.DATOS-PROD'!Y358="SI",VLOOKUP('1.DATOS-PROD'!Y$2,'1.PUNTOS'!$A$1:$B$63,2,0),0)</f>
        <v>0</v>
      </c>
      <c r="Q357" s="138">
        <f>IF('1.DATOS-PROD'!Z358="SI",VLOOKUP('1.DATOS-PROD'!Z$2,'1.PUNTOS'!$A$1:$B$63,2,0),0)</f>
        <v>0</v>
      </c>
      <c r="R357" s="138">
        <f>IF('1.DATOS-PROD'!AA358="SI",VLOOKUP('1.DATOS-PROD'!AA$2,'1.PUNTOS'!$A$1:$B$63,2,0),0)</f>
        <v>0</v>
      </c>
      <c r="S357" s="138">
        <f>IF('1.DATOS-PROD'!AB358="SI",VLOOKUP('1.DATOS-PROD'!AB$2,'1.PUNTOS'!$A$1:$B$63,2,0),0)</f>
        <v>0</v>
      </c>
      <c r="T357" s="138">
        <f>IF('1.DATOS-PROD'!AC358="SI",VLOOKUP('1.DATOS-PROD'!AC$2,'1.PUNTOS'!$A$1:$B$63,2,0),0)</f>
        <v>0</v>
      </c>
      <c r="U357" s="138">
        <f>IF('1.DATOS-PROD'!AD358="SI",VLOOKUP('1.DATOS-PROD'!AD$2,'1.PUNTOS'!$A$1:$B$63,2,0),0)</f>
        <v>0</v>
      </c>
      <c r="V357" s="138">
        <f>IF('1.DATOS-PROD'!AE358="SI",VLOOKUP('1.DATOS-PROD'!AE$2,'1.PUNTOS'!$A$1:$B$63,2,0),0)</f>
        <v>0</v>
      </c>
      <c r="W357" s="138">
        <f>IF('1.DATOS-PROD'!AF358="SI",VLOOKUP('1.DATOS-PROD'!AF$2,'1.PUNTOS'!$A$1:$B$63,2,0),0)</f>
        <v>0</v>
      </c>
      <c r="X357" s="138">
        <f>IF('1.DATOS-PROD'!AG358="SI",VLOOKUP('1.DATOS-PROD'!AG$2,'1.PUNTOS'!$A$1:$B$63,2,0),0)</f>
        <v>0</v>
      </c>
      <c r="Y357" s="138">
        <f>IF('1.DATOS-PROD'!AH358="SI",VLOOKUP('1.DATOS-PROD'!AH$2,'1.PUNTOS'!$A$1:$B$63,2,0),0)</f>
        <v>0</v>
      </c>
      <c r="Z357" s="138">
        <f>IF('1.DATOS-PROD'!AI358="SI",VLOOKUP('1.DATOS-PROD'!AI$2,'1.PUNTOS'!$A$1:$B$63,2,0),0)</f>
        <v>0</v>
      </c>
      <c r="AA357" s="138">
        <f>IF('1.DATOS-PROD'!AJ358="SI",VLOOKUP('1.DATOS-PROD'!AJ$2,'1.PUNTOS'!$A$1:$B$63,2,0),0)</f>
        <v>0</v>
      </c>
      <c r="AB357" s="138">
        <f>IF('1.DATOS-PROD'!AK358="SI",VLOOKUP('1.DATOS-PROD'!AK$2,'1.PUNTOS'!$A$1:$B$63,2,0),0)</f>
        <v>0</v>
      </c>
      <c r="AC357" s="138">
        <f>IF('1.DATOS-PROD'!AL358="SI",VLOOKUP('1.DATOS-PROD'!AL$2,'1.PUNTOS'!$A$1:$B$63,2,0),0)</f>
        <v>0</v>
      </c>
      <c r="AD357" s="138">
        <f>IF('1.DATOS-PROD'!AM358="SI",VLOOKUP('1.DATOS-PROD'!AM$2,'1.PUNTOS'!$A$1:$B$63,2,0),0)</f>
        <v>0</v>
      </c>
      <c r="AE357" s="138">
        <f>IF('1.DATOS-PROD'!AN358="SI",VLOOKUP('1.DATOS-PROD'!AN$2,'1.PUNTOS'!$A$1:$B$63,2,0),0)</f>
        <v>0</v>
      </c>
      <c r="AF357" s="138">
        <f>IF('1.DATOS-PROD'!AO358="SI",VLOOKUP('1.DATOS-PROD'!AO$2,'1.PUNTOS'!$A$1:$B$63,2,0),0)</f>
        <v>0</v>
      </c>
      <c r="AG357" s="138">
        <f>IF('1.DATOS-PROD'!AP358="SI",VLOOKUP('1.DATOS-PROD'!AP$2,'1.PUNTOS'!$A$1:$B$63,2,0),0)</f>
        <v>0</v>
      </c>
      <c r="AH357" s="138">
        <f>IF('1.DATOS-PROD'!AQ358="SI",VLOOKUP('1.DATOS-PROD'!AQ$2,'1.PUNTOS'!$A$1:$B$63,2,0),0)</f>
        <v>0</v>
      </c>
      <c r="AI357" s="138">
        <f>IF('1.DATOS-PROD'!AR358="SI",VLOOKUP('1.DATOS-PROD'!AR$2,'1.PUNTOS'!$A$1:$B$63,2,0),0)</f>
        <v>0</v>
      </c>
      <c r="AJ357" s="138">
        <f>IF('1.DATOS-PROD'!AS358="SI",VLOOKUP('1.DATOS-PROD'!AS$2,'1.PUNTOS'!$A$1:$B$63,2,0),0)</f>
        <v>0</v>
      </c>
      <c r="AK357" s="138">
        <f>IF('1.DATOS-PROD'!AT358="SI",VLOOKUP('1.DATOS-PROD'!AT$2,'1.PUNTOS'!$A$1:$B$63,2,0),0)</f>
        <v>0</v>
      </c>
      <c r="AL357" s="138">
        <f>IF('1.DATOS-PROD'!AU358="SI",VLOOKUP('1.DATOS-PROD'!AU$2,'1.PUNTOS'!$A$1:$B$63,2,0),0)</f>
        <v>0</v>
      </c>
      <c r="AM357" s="138">
        <f>IF('1.DATOS-PROD'!AV358="SI",VLOOKUP('1.DATOS-PROD'!AV$2,'1.PUNTOS'!$A$1:$B$63,2,0),0)</f>
        <v>0</v>
      </c>
      <c r="AN357" s="138">
        <f>IF('1.DATOS-PROD'!AW358="SI",VLOOKUP('1.DATOS-PROD'!AW$2,'1.PUNTOS'!$A$1:$B$63,2,0),0)</f>
        <v>0</v>
      </c>
      <c r="AO357" s="138">
        <f>IF('1.DATOS-PROD'!AX358="SI",VLOOKUP('1.DATOS-PROD'!AX$2,'1.PUNTOS'!$A$1:$B$63,2,0),0)</f>
        <v>0</v>
      </c>
      <c r="AP357" s="138">
        <f>IF('1.DATOS-PROD'!AY358="SI",VLOOKUP('1.DATOS-PROD'!AY$2,'1.PUNTOS'!$A$1:$B$63,2,0),0)</f>
        <v>0</v>
      </c>
      <c r="AQ357" s="138">
        <f>IF('1.DATOS-PROD'!AZ358="SI",VLOOKUP('1.DATOS-PROD'!AZ$2,'1.PUNTOS'!$A$1:$B$63,2,0),0)</f>
        <v>0</v>
      </c>
      <c r="AR357" s="138">
        <f>IF('1.DATOS-PROD'!BA358="SI",VLOOKUP('1.DATOS-PROD'!BA$2,'1.PUNTOS'!$A$1:$B$63,2,0),0)</f>
        <v>0</v>
      </c>
      <c r="AS357" s="138">
        <f>IF('1.DATOS-PROD'!BB358="SI",VLOOKUP('1.DATOS-PROD'!BB$2,'1.PUNTOS'!$A$1:$B$63,2,0),0)</f>
        <v>0</v>
      </c>
      <c r="AT357" s="138">
        <f>IF('1.DATOS-PROD'!BC358="SI",VLOOKUP('1.DATOS-PROD'!BC$2,'1.PUNTOS'!$A$1:$B$63,2,0),0)</f>
        <v>0</v>
      </c>
      <c r="AU357" s="138">
        <f>IF('1.DATOS-PROD'!BD358="SI",VLOOKUP('1.DATOS-PROD'!BD$2,'1.PUNTOS'!$A$1:$B$63,2,0),0)</f>
        <v>0</v>
      </c>
      <c r="AV357" s="138">
        <f>IF('1.DATOS-PROD'!BE358="SI",VLOOKUP('1.DATOS-PROD'!BE$2,'1.PUNTOS'!$A$1:$B$63,2,0),0)</f>
        <v>0</v>
      </c>
      <c r="AW357" s="138">
        <f>IF('1.DATOS-PROD'!BF358="SI",VLOOKUP('1.DATOS-PROD'!BF$2,'1.PUNTOS'!$A$1:$B$63,2,0),0)</f>
        <v>0</v>
      </c>
      <c r="AX357" s="138">
        <f>IF('1.DATOS-PROD'!BG358="SI",VLOOKUP('1.DATOS-PROD'!BG$2,'1.PUNTOS'!$A$1:$B$63,2,0),0)</f>
        <v>0</v>
      </c>
      <c r="AY357" s="138">
        <f>IF('1.DATOS-PROD'!BH358="SI",VLOOKUP('1.DATOS-PROD'!BH$2,'1.PUNTOS'!$A$1:$B$63,2,0),0)</f>
        <v>0</v>
      </c>
      <c r="AZ357" s="138">
        <f>IF('1.DATOS-PROD'!BI358="SI",VLOOKUP('1.DATOS-PROD'!BI$2,'1.PUNTOS'!$A$1:$B$63,2,0),0)</f>
        <v>0</v>
      </c>
      <c r="BA357" s="138">
        <f>IF('1.DATOS-PROD'!BJ358="SI",VLOOKUP('1.DATOS-PROD'!BJ$2,'1.PUNTOS'!$A$1:$B$63,2,0),0)</f>
        <v>0</v>
      </c>
      <c r="BB357" s="138">
        <f>IF('1.DATOS-PROD'!BK358="SI",VLOOKUP('1.DATOS-PROD'!BK$2,'1.PUNTOS'!$A$1:$B$63,2,0),0)</f>
        <v>0</v>
      </c>
      <c r="BC357" s="138">
        <f>IF('1.DATOS-PROD'!BL358="SI",VLOOKUP('1.DATOS-PROD'!BL$2,'1.PUNTOS'!$A$1:$B$63,2,0),0)</f>
        <v>0</v>
      </c>
      <c r="BD357" s="138">
        <f>IF('1.DATOS-PROD'!BM358="SI",VLOOKUP('1.DATOS-PROD'!BM$2,'1.PUNTOS'!$A$1:$B$63,2,0),0)</f>
        <v>0</v>
      </c>
      <c r="BE357" s="138">
        <f>IF('1.DATOS-PROD'!BN358="SI",VLOOKUP('1.DATOS-PROD'!BN$2,'1.PUNTOS'!$A$1:$B$63,2,0),0)</f>
        <v>0</v>
      </c>
      <c r="BF357" s="138">
        <f>IF('1.DATOS-PROD'!BO358="SI",VLOOKUP('1.DATOS-PROD'!BO$2,'1.PUNTOS'!$A$1:$B$63,2,0),0)</f>
        <v>0</v>
      </c>
      <c r="BG357" s="138">
        <f>IF('1.DATOS-PROD'!BP358="SI",VLOOKUP('1.DATOS-PROD'!BP$2,'1.PUNTOS'!$A$1:$B$63,2,0),0)</f>
        <v>0</v>
      </c>
      <c r="BH357" s="138">
        <f>IF('1.DATOS-PROD'!BQ358="SI",VLOOKUP('1.DATOS-PROD'!BQ$2,'1.PUNTOS'!$A$1:$B$63,2,0),0)</f>
        <v>0</v>
      </c>
      <c r="BI357" s="138">
        <f>IF('1.DATOS-PROD'!BR358="SI",VLOOKUP('1.DATOS-PROD'!BR$2,'1.PUNTOS'!$A$1:$B$63,2,0),0)</f>
        <v>0</v>
      </c>
      <c r="BJ357" s="138">
        <f>IF('1.DATOS-PROD'!BS358="SI",VLOOKUP('1.DATOS-PROD'!BS$2,'1.PUNTOS'!$A$1:$B$63,2,0),0)</f>
        <v>0</v>
      </c>
      <c r="BK357" s="138">
        <f>IF('1.DATOS-PROD'!BT358="SI",VLOOKUP('1.DATOS-PROD'!BT$2,'1.PUNTOS'!$A$1:$B$63,2,0),0)</f>
        <v>0</v>
      </c>
    </row>
    <row r="358" spans="1:63" x14ac:dyDescent="0.25">
      <c r="A358">
        <f>'0.Consolidado general'!$A359</f>
        <v>0</v>
      </c>
      <c r="B358" s="138">
        <f>IF('1.DATOS-PROD'!K359="SI",VLOOKUP('1.DATOS-PROD'!K$2,'1.PUNTOS'!$A$1:$B$63,2,0),0)</f>
        <v>0</v>
      </c>
      <c r="C358" s="138">
        <f>IF('1.DATOS-PROD'!L359="SI",VLOOKUP('1.DATOS-PROD'!L$2,'1.PUNTOS'!$A$1:$B$63,2,0),0)</f>
        <v>0</v>
      </c>
      <c r="D358" s="138">
        <f>IF('1.DATOS-PROD'!M359="SI",VLOOKUP('1.DATOS-PROD'!M$2,'1.PUNTOS'!$A$1:$B$63,2,0),0)</f>
        <v>0</v>
      </c>
      <c r="E358" s="138">
        <f>IF('1.DATOS-PROD'!N359="SI",VLOOKUP('1.DATOS-PROD'!N$2,'1.PUNTOS'!$A$1:$B$63,2,0),0)</f>
        <v>0</v>
      </c>
      <c r="F358" s="138">
        <f>IF('1.DATOS-PROD'!O359="SI",VLOOKUP('1.DATOS-PROD'!O$2,'1.PUNTOS'!$A$1:$B$63,2,0),0)</f>
        <v>0</v>
      </c>
      <c r="G358" s="138">
        <f>IF('1.DATOS-PROD'!P359="SI",VLOOKUP('1.DATOS-PROD'!P$2,'1.PUNTOS'!$A$1:$B$63,2,0),0)</f>
        <v>0</v>
      </c>
      <c r="H358" s="138">
        <f>IF('1.DATOS-PROD'!Q359="SI",VLOOKUP('1.DATOS-PROD'!Q$2,'1.PUNTOS'!$A$1:$B$63,2,0),0)</f>
        <v>0</v>
      </c>
      <c r="I358" s="138">
        <f>IF('1.DATOS-PROD'!R359="SI",VLOOKUP('1.DATOS-PROD'!R$2,'1.PUNTOS'!$A$1:$B$63,2,0),0)</f>
        <v>0</v>
      </c>
      <c r="J358" s="138">
        <f>IF('1.DATOS-PROD'!S359="SI",VLOOKUP('1.DATOS-PROD'!S$2,'1.PUNTOS'!$A$1:$B$63,2,0),0)</f>
        <v>0</v>
      </c>
      <c r="K358" s="138">
        <f>IF('1.DATOS-PROD'!T359="SI",VLOOKUP('1.DATOS-PROD'!T$2,'1.PUNTOS'!$A$1:$B$63,2,0),0)</f>
        <v>0</v>
      </c>
      <c r="L358" s="138">
        <f>IF('1.DATOS-PROD'!U359="SI",VLOOKUP('1.DATOS-PROD'!U$2,'1.PUNTOS'!$A$1:$B$63,2,0),0)</f>
        <v>0</v>
      </c>
      <c r="M358" s="138">
        <f>IF('1.DATOS-PROD'!V359="SI",VLOOKUP('1.DATOS-PROD'!V$2,'1.PUNTOS'!$A$1:$B$63,2,0),0)</f>
        <v>0</v>
      </c>
      <c r="N358" s="138">
        <f>IF('1.DATOS-PROD'!W359="SI",VLOOKUP('1.DATOS-PROD'!W$2,'1.PUNTOS'!$A$1:$B$63,2,0),0)</f>
        <v>0</v>
      </c>
      <c r="O358" s="138">
        <f>IF('1.DATOS-PROD'!X359="SI",VLOOKUP('1.DATOS-PROD'!X$2,'1.PUNTOS'!$A$1:$B$63,2,0),0)</f>
        <v>0</v>
      </c>
      <c r="P358" s="138">
        <f>IF('1.DATOS-PROD'!Y359="SI",VLOOKUP('1.DATOS-PROD'!Y$2,'1.PUNTOS'!$A$1:$B$63,2,0),0)</f>
        <v>0</v>
      </c>
      <c r="Q358" s="138">
        <f>IF('1.DATOS-PROD'!Z359="SI",VLOOKUP('1.DATOS-PROD'!Z$2,'1.PUNTOS'!$A$1:$B$63,2,0),0)</f>
        <v>0</v>
      </c>
      <c r="R358" s="138">
        <f>IF('1.DATOS-PROD'!AA359="SI",VLOOKUP('1.DATOS-PROD'!AA$2,'1.PUNTOS'!$A$1:$B$63,2,0),0)</f>
        <v>0</v>
      </c>
      <c r="S358" s="138">
        <f>IF('1.DATOS-PROD'!AB359="SI",VLOOKUP('1.DATOS-PROD'!AB$2,'1.PUNTOS'!$A$1:$B$63,2,0),0)</f>
        <v>0</v>
      </c>
      <c r="T358" s="138">
        <f>IF('1.DATOS-PROD'!AC359="SI",VLOOKUP('1.DATOS-PROD'!AC$2,'1.PUNTOS'!$A$1:$B$63,2,0),0)</f>
        <v>0</v>
      </c>
      <c r="U358" s="138">
        <f>IF('1.DATOS-PROD'!AD359="SI",VLOOKUP('1.DATOS-PROD'!AD$2,'1.PUNTOS'!$A$1:$B$63,2,0),0)</f>
        <v>0</v>
      </c>
      <c r="V358" s="138">
        <f>IF('1.DATOS-PROD'!AE359="SI",VLOOKUP('1.DATOS-PROD'!AE$2,'1.PUNTOS'!$A$1:$B$63,2,0),0)</f>
        <v>0</v>
      </c>
      <c r="W358" s="138">
        <f>IF('1.DATOS-PROD'!AF359="SI",VLOOKUP('1.DATOS-PROD'!AF$2,'1.PUNTOS'!$A$1:$B$63,2,0),0)</f>
        <v>0</v>
      </c>
      <c r="X358" s="138">
        <f>IF('1.DATOS-PROD'!AG359="SI",VLOOKUP('1.DATOS-PROD'!AG$2,'1.PUNTOS'!$A$1:$B$63,2,0),0)</f>
        <v>0</v>
      </c>
      <c r="Y358" s="138">
        <f>IF('1.DATOS-PROD'!AH359="SI",VLOOKUP('1.DATOS-PROD'!AH$2,'1.PUNTOS'!$A$1:$B$63,2,0),0)</f>
        <v>0</v>
      </c>
      <c r="Z358" s="138">
        <f>IF('1.DATOS-PROD'!AI359="SI",VLOOKUP('1.DATOS-PROD'!AI$2,'1.PUNTOS'!$A$1:$B$63,2,0),0)</f>
        <v>0</v>
      </c>
      <c r="AA358" s="138">
        <f>IF('1.DATOS-PROD'!AJ359="SI",VLOOKUP('1.DATOS-PROD'!AJ$2,'1.PUNTOS'!$A$1:$B$63,2,0),0)</f>
        <v>0</v>
      </c>
      <c r="AB358" s="138">
        <f>IF('1.DATOS-PROD'!AK359="SI",VLOOKUP('1.DATOS-PROD'!AK$2,'1.PUNTOS'!$A$1:$B$63,2,0),0)</f>
        <v>0</v>
      </c>
      <c r="AC358" s="138">
        <f>IF('1.DATOS-PROD'!AL359="SI",VLOOKUP('1.DATOS-PROD'!AL$2,'1.PUNTOS'!$A$1:$B$63,2,0),0)</f>
        <v>0</v>
      </c>
      <c r="AD358" s="138">
        <f>IF('1.DATOS-PROD'!AM359="SI",VLOOKUP('1.DATOS-PROD'!AM$2,'1.PUNTOS'!$A$1:$B$63,2,0),0)</f>
        <v>0</v>
      </c>
      <c r="AE358" s="138">
        <f>IF('1.DATOS-PROD'!AN359="SI",VLOOKUP('1.DATOS-PROD'!AN$2,'1.PUNTOS'!$A$1:$B$63,2,0),0)</f>
        <v>0</v>
      </c>
      <c r="AF358" s="138">
        <f>IF('1.DATOS-PROD'!AO359="SI",VLOOKUP('1.DATOS-PROD'!AO$2,'1.PUNTOS'!$A$1:$B$63,2,0),0)</f>
        <v>0</v>
      </c>
      <c r="AG358" s="138">
        <f>IF('1.DATOS-PROD'!AP359="SI",VLOOKUP('1.DATOS-PROD'!AP$2,'1.PUNTOS'!$A$1:$B$63,2,0),0)</f>
        <v>0</v>
      </c>
      <c r="AH358" s="138">
        <f>IF('1.DATOS-PROD'!AQ359="SI",VLOOKUP('1.DATOS-PROD'!AQ$2,'1.PUNTOS'!$A$1:$B$63,2,0),0)</f>
        <v>0</v>
      </c>
      <c r="AI358" s="138">
        <f>IF('1.DATOS-PROD'!AR359="SI",VLOOKUP('1.DATOS-PROD'!AR$2,'1.PUNTOS'!$A$1:$B$63,2,0),0)</f>
        <v>0</v>
      </c>
      <c r="AJ358" s="138">
        <f>IF('1.DATOS-PROD'!AS359="SI",VLOOKUP('1.DATOS-PROD'!AS$2,'1.PUNTOS'!$A$1:$B$63,2,0),0)</f>
        <v>0</v>
      </c>
      <c r="AK358" s="138">
        <f>IF('1.DATOS-PROD'!AT359="SI",VLOOKUP('1.DATOS-PROD'!AT$2,'1.PUNTOS'!$A$1:$B$63,2,0),0)</f>
        <v>0</v>
      </c>
      <c r="AL358" s="138">
        <f>IF('1.DATOS-PROD'!AU359="SI",VLOOKUP('1.DATOS-PROD'!AU$2,'1.PUNTOS'!$A$1:$B$63,2,0),0)</f>
        <v>0</v>
      </c>
      <c r="AM358" s="138">
        <f>IF('1.DATOS-PROD'!AV359="SI",VLOOKUP('1.DATOS-PROD'!AV$2,'1.PUNTOS'!$A$1:$B$63,2,0),0)</f>
        <v>0</v>
      </c>
      <c r="AN358" s="138">
        <f>IF('1.DATOS-PROD'!AW359="SI",VLOOKUP('1.DATOS-PROD'!AW$2,'1.PUNTOS'!$A$1:$B$63,2,0),0)</f>
        <v>0</v>
      </c>
      <c r="AO358" s="138">
        <f>IF('1.DATOS-PROD'!AX359="SI",VLOOKUP('1.DATOS-PROD'!AX$2,'1.PUNTOS'!$A$1:$B$63,2,0),0)</f>
        <v>0</v>
      </c>
      <c r="AP358" s="138">
        <f>IF('1.DATOS-PROD'!AY359="SI",VLOOKUP('1.DATOS-PROD'!AY$2,'1.PUNTOS'!$A$1:$B$63,2,0),0)</f>
        <v>0</v>
      </c>
      <c r="AQ358" s="138">
        <f>IF('1.DATOS-PROD'!AZ359="SI",VLOOKUP('1.DATOS-PROD'!AZ$2,'1.PUNTOS'!$A$1:$B$63,2,0),0)</f>
        <v>0</v>
      </c>
      <c r="AR358" s="138">
        <f>IF('1.DATOS-PROD'!BA359="SI",VLOOKUP('1.DATOS-PROD'!BA$2,'1.PUNTOS'!$A$1:$B$63,2,0),0)</f>
        <v>0</v>
      </c>
      <c r="AS358" s="138">
        <f>IF('1.DATOS-PROD'!BB359="SI",VLOOKUP('1.DATOS-PROD'!BB$2,'1.PUNTOS'!$A$1:$B$63,2,0),0)</f>
        <v>0</v>
      </c>
      <c r="AT358" s="138">
        <f>IF('1.DATOS-PROD'!BC359="SI",VLOOKUP('1.DATOS-PROD'!BC$2,'1.PUNTOS'!$A$1:$B$63,2,0),0)</f>
        <v>0</v>
      </c>
      <c r="AU358" s="138">
        <f>IF('1.DATOS-PROD'!BD359="SI",VLOOKUP('1.DATOS-PROD'!BD$2,'1.PUNTOS'!$A$1:$B$63,2,0),0)</f>
        <v>0</v>
      </c>
      <c r="AV358" s="138">
        <f>IF('1.DATOS-PROD'!BE359="SI",VLOOKUP('1.DATOS-PROD'!BE$2,'1.PUNTOS'!$A$1:$B$63,2,0),0)</f>
        <v>0</v>
      </c>
      <c r="AW358" s="138">
        <f>IF('1.DATOS-PROD'!BF359="SI",VLOOKUP('1.DATOS-PROD'!BF$2,'1.PUNTOS'!$A$1:$B$63,2,0),0)</f>
        <v>0</v>
      </c>
      <c r="AX358" s="138">
        <f>IF('1.DATOS-PROD'!BG359="SI",VLOOKUP('1.DATOS-PROD'!BG$2,'1.PUNTOS'!$A$1:$B$63,2,0),0)</f>
        <v>0</v>
      </c>
      <c r="AY358" s="138">
        <f>IF('1.DATOS-PROD'!BH359="SI",VLOOKUP('1.DATOS-PROD'!BH$2,'1.PUNTOS'!$A$1:$B$63,2,0),0)</f>
        <v>0</v>
      </c>
      <c r="AZ358" s="138">
        <f>IF('1.DATOS-PROD'!BI359="SI",VLOOKUP('1.DATOS-PROD'!BI$2,'1.PUNTOS'!$A$1:$B$63,2,0),0)</f>
        <v>0</v>
      </c>
      <c r="BA358" s="138">
        <f>IF('1.DATOS-PROD'!BJ359="SI",VLOOKUP('1.DATOS-PROD'!BJ$2,'1.PUNTOS'!$A$1:$B$63,2,0),0)</f>
        <v>0</v>
      </c>
      <c r="BB358" s="138">
        <f>IF('1.DATOS-PROD'!BK359="SI",VLOOKUP('1.DATOS-PROD'!BK$2,'1.PUNTOS'!$A$1:$B$63,2,0),0)</f>
        <v>0</v>
      </c>
      <c r="BC358" s="138">
        <f>IF('1.DATOS-PROD'!BL359="SI",VLOOKUP('1.DATOS-PROD'!BL$2,'1.PUNTOS'!$A$1:$B$63,2,0),0)</f>
        <v>0</v>
      </c>
      <c r="BD358" s="138">
        <f>IF('1.DATOS-PROD'!BM359="SI",VLOOKUP('1.DATOS-PROD'!BM$2,'1.PUNTOS'!$A$1:$B$63,2,0),0)</f>
        <v>0</v>
      </c>
      <c r="BE358" s="138">
        <f>IF('1.DATOS-PROD'!BN359="SI",VLOOKUP('1.DATOS-PROD'!BN$2,'1.PUNTOS'!$A$1:$B$63,2,0),0)</f>
        <v>0</v>
      </c>
      <c r="BF358" s="138">
        <f>IF('1.DATOS-PROD'!BO359="SI",VLOOKUP('1.DATOS-PROD'!BO$2,'1.PUNTOS'!$A$1:$B$63,2,0),0)</f>
        <v>0</v>
      </c>
      <c r="BG358" s="138">
        <f>IF('1.DATOS-PROD'!BP359="SI",VLOOKUP('1.DATOS-PROD'!BP$2,'1.PUNTOS'!$A$1:$B$63,2,0),0)</f>
        <v>0</v>
      </c>
      <c r="BH358" s="138">
        <f>IF('1.DATOS-PROD'!BQ359="SI",VLOOKUP('1.DATOS-PROD'!BQ$2,'1.PUNTOS'!$A$1:$B$63,2,0),0)</f>
        <v>0</v>
      </c>
      <c r="BI358" s="138">
        <f>IF('1.DATOS-PROD'!BR359="SI",VLOOKUP('1.DATOS-PROD'!BR$2,'1.PUNTOS'!$A$1:$B$63,2,0),0)</f>
        <v>0</v>
      </c>
      <c r="BJ358" s="138">
        <f>IF('1.DATOS-PROD'!BS359="SI",VLOOKUP('1.DATOS-PROD'!BS$2,'1.PUNTOS'!$A$1:$B$63,2,0),0)</f>
        <v>0</v>
      </c>
      <c r="BK358" s="138">
        <f>IF('1.DATOS-PROD'!BT359="SI",VLOOKUP('1.DATOS-PROD'!BT$2,'1.PUNTOS'!$A$1:$B$63,2,0),0)</f>
        <v>0</v>
      </c>
    </row>
    <row r="359" spans="1:63" x14ac:dyDescent="0.25">
      <c r="A359">
        <f>'0.Consolidado general'!$A360</f>
        <v>0</v>
      </c>
      <c r="B359" s="138">
        <f>IF('1.DATOS-PROD'!K360="SI",VLOOKUP('1.DATOS-PROD'!K$2,'1.PUNTOS'!$A$1:$B$63,2,0),0)</f>
        <v>0</v>
      </c>
      <c r="C359" s="138">
        <f>IF('1.DATOS-PROD'!L360="SI",VLOOKUP('1.DATOS-PROD'!L$2,'1.PUNTOS'!$A$1:$B$63,2,0),0)</f>
        <v>0</v>
      </c>
      <c r="D359" s="138">
        <f>IF('1.DATOS-PROD'!M360="SI",VLOOKUP('1.DATOS-PROD'!M$2,'1.PUNTOS'!$A$1:$B$63,2,0),0)</f>
        <v>0</v>
      </c>
      <c r="E359" s="138">
        <f>IF('1.DATOS-PROD'!N360="SI",VLOOKUP('1.DATOS-PROD'!N$2,'1.PUNTOS'!$A$1:$B$63,2,0),0)</f>
        <v>0</v>
      </c>
      <c r="F359" s="138">
        <f>IF('1.DATOS-PROD'!O360="SI",VLOOKUP('1.DATOS-PROD'!O$2,'1.PUNTOS'!$A$1:$B$63,2,0),0)</f>
        <v>0</v>
      </c>
      <c r="G359" s="138">
        <f>IF('1.DATOS-PROD'!P360="SI",VLOOKUP('1.DATOS-PROD'!P$2,'1.PUNTOS'!$A$1:$B$63,2,0),0)</f>
        <v>0</v>
      </c>
      <c r="H359" s="138">
        <f>IF('1.DATOS-PROD'!Q360="SI",VLOOKUP('1.DATOS-PROD'!Q$2,'1.PUNTOS'!$A$1:$B$63,2,0),0)</f>
        <v>0</v>
      </c>
      <c r="I359" s="138">
        <f>IF('1.DATOS-PROD'!R360="SI",VLOOKUP('1.DATOS-PROD'!R$2,'1.PUNTOS'!$A$1:$B$63,2,0),0)</f>
        <v>0</v>
      </c>
      <c r="J359" s="138">
        <f>IF('1.DATOS-PROD'!S360="SI",VLOOKUP('1.DATOS-PROD'!S$2,'1.PUNTOS'!$A$1:$B$63,2,0),0)</f>
        <v>0</v>
      </c>
      <c r="K359" s="138">
        <f>IF('1.DATOS-PROD'!T360="SI",VLOOKUP('1.DATOS-PROD'!T$2,'1.PUNTOS'!$A$1:$B$63,2,0),0)</f>
        <v>0</v>
      </c>
      <c r="L359" s="138">
        <f>IF('1.DATOS-PROD'!U360="SI",VLOOKUP('1.DATOS-PROD'!U$2,'1.PUNTOS'!$A$1:$B$63,2,0),0)</f>
        <v>0</v>
      </c>
      <c r="M359" s="138">
        <f>IF('1.DATOS-PROD'!V360="SI",VLOOKUP('1.DATOS-PROD'!V$2,'1.PUNTOS'!$A$1:$B$63,2,0),0)</f>
        <v>0</v>
      </c>
      <c r="N359" s="138">
        <f>IF('1.DATOS-PROD'!W360="SI",VLOOKUP('1.DATOS-PROD'!W$2,'1.PUNTOS'!$A$1:$B$63,2,0),0)</f>
        <v>0</v>
      </c>
      <c r="O359" s="138">
        <f>IF('1.DATOS-PROD'!X360="SI",VLOOKUP('1.DATOS-PROD'!X$2,'1.PUNTOS'!$A$1:$B$63,2,0),0)</f>
        <v>0</v>
      </c>
      <c r="P359" s="138">
        <f>IF('1.DATOS-PROD'!Y360="SI",VLOOKUP('1.DATOS-PROD'!Y$2,'1.PUNTOS'!$A$1:$B$63,2,0),0)</f>
        <v>0</v>
      </c>
      <c r="Q359" s="138">
        <f>IF('1.DATOS-PROD'!Z360="SI",VLOOKUP('1.DATOS-PROD'!Z$2,'1.PUNTOS'!$A$1:$B$63,2,0),0)</f>
        <v>0</v>
      </c>
      <c r="R359" s="138">
        <f>IF('1.DATOS-PROD'!AA360="SI",VLOOKUP('1.DATOS-PROD'!AA$2,'1.PUNTOS'!$A$1:$B$63,2,0),0)</f>
        <v>0</v>
      </c>
      <c r="S359" s="138">
        <f>IF('1.DATOS-PROD'!AB360="SI",VLOOKUP('1.DATOS-PROD'!AB$2,'1.PUNTOS'!$A$1:$B$63,2,0),0)</f>
        <v>0</v>
      </c>
      <c r="T359" s="138">
        <f>IF('1.DATOS-PROD'!AC360="SI",VLOOKUP('1.DATOS-PROD'!AC$2,'1.PUNTOS'!$A$1:$B$63,2,0),0)</f>
        <v>0</v>
      </c>
      <c r="U359" s="138">
        <f>IF('1.DATOS-PROD'!AD360="SI",VLOOKUP('1.DATOS-PROD'!AD$2,'1.PUNTOS'!$A$1:$B$63,2,0),0)</f>
        <v>0</v>
      </c>
      <c r="V359" s="138">
        <f>IF('1.DATOS-PROD'!AE360="SI",VLOOKUP('1.DATOS-PROD'!AE$2,'1.PUNTOS'!$A$1:$B$63,2,0),0)</f>
        <v>0</v>
      </c>
      <c r="W359" s="138">
        <f>IF('1.DATOS-PROD'!AF360="SI",VLOOKUP('1.DATOS-PROD'!AF$2,'1.PUNTOS'!$A$1:$B$63,2,0),0)</f>
        <v>0</v>
      </c>
      <c r="X359" s="138">
        <f>IF('1.DATOS-PROD'!AG360="SI",VLOOKUP('1.DATOS-PROD'!AG$2,'1.PUNTOS'!$A$1:$B$63,2,0),0)</f>
        <v>0</v>
      </c>
      <c r="Y359" s="138">
        <f>IF('1.DATOS-PROD'!AH360="SI",VLOOKUP('1.DATOS-PROD'!AH$2,'1.PUNTOS'!$A$1:$B$63,2,0),0)</f>
        <v>0</v>
      </c>
      <c r="Z359" s="138">
        <f>IF('1.DATOS-PROD'!AI360="SI",VLOOKUP('1.DATOS-PROD'!AI$2,'1.PUNTOS'!$A$1:$B$63,2,0),0)</f>
        <v>0</v>
      </c>
      <c r="AA359" s="138">
        <f>IF('1.DATOS-PROD'!AJ360="SI",VLOOKUP('1.DATOS-PROD'!AJ$2,'1.PUNTOS'!$A$1:$B$63,2,0),0)</f>
        <v>0</v>
      </c>
      <c r="AB359" s="138">
        <f>IF('1.DATOS-PROD'!AK360="SI",VLOOKUP('1.DATOS-PROD'!AK$2,'1.PUNTOS'!$A$1:$B$63,2,0),0)</f>
        <v>0</v>
      </c>
      <c r="AC359" s="138">
        <f>IF('1.DATOS-PROD'!AL360="SI",VLOOKUP('1.DATOS-PROD'!AL$2,'1.PUNTOS'!$A$1:$B$63,2,0),0)</f>
        <v>0</v>
      </c>
      <c r="AD359" s="138">
        <f>IF('1.DATOS-PROD'!AM360="SI",VLOOKUP('1.DATOS-PROD'!AM$2,'1.PUNTOS'!$A$1:$B$63,2,0),0)</f>
        <v>0</v>
      </c>
      <c r="AE359" s="138">
        <f>IF('1.DATOS-PROD'!AN360="SI",VLOOKUP('1.DATOS-PROD'!AN$2,'1.PUNTOS'!$A$1:$B$63,2,0),0)</f>
        <v>0</v>
      </c>
      <c r="AF359" s="138">
        <f>IF('1.DATOS-PROD'!AO360="SI",VLOOKUP('1.DATOS-PROD'!AO$2,'1.PUNTOS'!$A$1:$B$63,2,0),0)</f>
        <v>0</v>
      </c>
      <c r="AG359" s="138">
        <f>IF('1.DATOS-PROD'!AP360="SI",VLOOKUP('1.DATOS-PROD'!AP$2,'1.PUNTOS'!$A$1:$B$63,2,0),0)</f>
        <v>0</v>
      </c>
      <c r="AH359" s="138">
        <f>IF('1.DATOS-PROD'!AQ360="SI",VLOOKUP('1.DATOS-PROD'!AQ$2,'1.PUNTOS'!$A$1:$B$63,2,0),0)</f>
        <v>0</v>
      </c>
      <c r="AI359" s="138">
        <f>IF('1.DATOS-PROD'!AR360="SI",VLOOKUP('1.DATOS-PROD'!AR$2,'1.PUNTOS'!$A$1:$B$63,2,0),0)</f>
        <v>0</v>
      </c>
      <c r="AJ359" s="138">
        <f>IF('1.DATOS-PROD'!AS360="SI",VLOOKUP('1.DATOS-PROD'!AS$2,'1.PUNTOS'!$A$1:$B$63,2,0),0)</f>
        <v>0</v>
      </c>
      <c r="AK359" s="138">
        <f>IF('1.DATOS-PROD'!AT360="SI",VLOOKUP('1.DATOS-PROD'!AT$2,'1.PUNTOS'!$A$1:$B$63,2,0),0)</f>
        <v>0</v>
      </c>
      <c r="AL359" s="138">
        <f>IF('1.DATOS-PROD'!AU360="SI",VLOOKUP('1.DATOS-PROD'!AU$2,'1.PUNTOS'!$A$1:$B$63,2,0),0)</f>
        <v>0</v>
      </c>
      <c r="AM359" s="138">
        <f>IF('1.DATOS-PROD'!AV360="SI",VLOOKUP('1.DATOS-PROD'!AV$2,'1.PUNTOS'!$A$1:$B$63,2,0),0)</f>
        <v>0</v>
      </c>
      <c r="AN359" s="138">
        <f>IF('1.DATOS-PROD'!AW360="SI",VLOOKUP('1.DATOS-PROD'!AW$2,'1.PUNTOS'!$A$1:$B$63,2,0),0)</f>
        <v>0</v>
      </c>
      <c r="AO359" s="138">
        <f>IF('1.DATOS-PROD'!AX360="SI",VLOOKUP('1.DATOS-PROD'!AX$2,'1.PUNTOS'!$A$1:$B$63,2,0),0)</f>
        <v>0</v>
      </c>
      <c r="AP359" s="138">
        <f>IF('1.DATOS-PROD'!AY360="SI",VLOOKUP('1.DATOS-PROD'!AY$2,'1.PUNTOS'!$A$1:$B$63,2,0),0)</f>
        <v>0</v>
      </c>
      <c r="AQ359" s="138">
        <f>IF('1.DATOS-PROD'!AZ360="SI",VLOOKUP('1.DATOS-PROD'!AZ$2,'1.PUNTOS'!$A$1:$B$63,2,0),0)</f>
        <v>0</v>
      </c>
      <c r="AR359" s="138">
        <f>IF('1.DATOS-PROD'!BA360="SI",VLOOKUP('1.DATOS-PROD'!BA$2,'1.PUNTOS'!$A$1:$B$63,2,0),0)</f>
        <v>0</v>
      </c>
      <c r="AS359" s="138">
        <f>IF('1.DATOS-PROD'!BB360="SI",VLOOKUP('1.DATOS-PROD'!BB$2,'1.PUNTOS'!$A$1:$B$63,2,0),0)</f>
        <v>0</v>
      </c>
      <c r="AT359" s="138">
        <f>IF('1.DATOS-PROD'!BC360="SI",VLOOKUP('1.DATOS-PROD'!BC$2,'1.PUNTOS'!$A$1:$B$63,2,0),0)</f>
        <v>0</v>
      </c>
      <c r="AU359" s="138">
        <f>IF('1.DATOS-PROD'!BD360="SI",VLOOKUP('1.DATOS-PROD'!BD$2,'1.PUNTOS'!$A$1:$B$63,2,0),0)</f>
        <v>0</v>
      </c>
      <c r="AV359" s="138">
        <f>IF('1.DATOS-PROD'!BE360="SI",VLOOKUP('1.DATOS-PROD'!BE$2,'1.PUNTOS'!$A$1:$B$63,2,0),0)</f>
        <v>0</v>
      </c>
      <c r="AW359" s="138">
        <f>IF('1.DATOS-PROD'!BF360="SI",VLOOKUP('1.DATOS-PROD'!BF$2,'1.PUNTOS'!$A$1:$B$63,2,0),0)</f>
        <v>0</v>
      </c>
      <c r="AX359" s="138">
        <f>IF('1.DATOS-PROD'!BG360="SI",VLOOKUP('1.DATOS-PROD'!BG$2,'1.PUNTOS'!$A$1:$B$63,2,0),0)</f>
        <v>0</v>
      </c>
      <c r="AY359" s="138">
        <f>IF('1.DATOS-PROD'!BH360="SI",VLOOKUP('1.DATOS-PROD'!BH$2,'1.PUNTOS'!$A$1:$B$63,2,0),0)</f>
        <v>0</v>
      </c>
      <c r="AZ359" s="138">
        <f>IF('1.DATOS-PROD'!BI360="SI",VLOOKUP('1.DATOS-PROD'!BI$2,'1.PUNTOS'!$A$1:$B$63,2,0),0)</f>
        <v>0</v>
      </c>
      <c r="BA359" s="138">
        <f>IF('1.DATOS-PROD'!BJ360="SI",VLOOKUP('1.DATOS-PROD'!BJ$2,'1.PUNTOS'!$A$1:$B$63,2,0),0)</f>
        <v>0</v>
      </c>
      <c r="BB359" s="138">
        <f>IF('1.DATOS-PROD'!BK360="SI",VLOOKUP('1.DATOS-PROD'!BK$2,'1.PUNTOS'!$A$1:$B$63,2,0),0)</f>
        <v>0</v>
      </c>
      <c r="BC359" s="138">
        <f>IF('1.DATOS-PROD'!BL360="SI",VLOOKUP('1.DATOS-PROD'!BL$2,'1.PUNTOS'!$A$1:$B$63,2,0),0)</f>
        <v>0</v>
      </c>
      <c r="BD359" s="138">
        <f>IF('1.DATOS-PROD'!BM360="SI",VLOOKUP('1.DATOS-PROD'!BM$2,'1.PUNTOS'!$A$1:$B$63,2,0),0)</f>
        <v>0</v>
      </c>
      <c r="BE359" s="138">
        <f>IF('1.DATOS-PROD'!BN360="SI",VLOOKUP('1.DATOS-PROD'!BN$2,'1.PUNTOS'!$A$1:$B$63,2,0),0)</f>
        <v>0</v>
      </c>
      <c r="BF359" s="138">
        <f>IF('1.DATOS-PROD'!BO360="SI",VLOOKUP('1.DATOS-PROD'!BO$2,'1.PUNTOS'!$A$1:$B$63,2,0),0)</f>
        <v>0</v>
      </c>
      <c r="BG359" s="138">
        <f>IF('1.DATOS-PROD'!BP360="SI",VLOOKUP('1.DATOS-PROD'!BP$2,'1.PUNTOS'!$A$1:$B$63,2,0),0)</f>
        <v>0</v>
      </c>
      <c r="BH359" s="138">
        <f>IF('1.DATOS-PROD'!BQ360="SI",VLOOKUP('1.DATOS-PROD'!BQ$2,'1.PUNTOS'!$A$1:$B$63,2,0),0)</f>
        <v>0</v>
      </c>
      <c r="BI359" s="138">
        <f>IF('1.DATOS-PROD'!BR360="SI",VLOOKUP('1.DATOS-PROD'!BR$2,'1.PUNTOS'!$A$1:$B$63,2,0),0)</f>
        <v>0</v>
      </c>
      <c r="BJ359" s="138">
        <f>IF('1.DATOS-PROD'!BS360="SI",VLOOKUP('1.DATOS-PROD'!BS$2,'1.PUNTOS'!$A$1:$B$63,2,0),0)</f>
        <v>0</v>
      </c>
      <c r="BK359" s="138">
        <f>IF('1.DATOS-PROD'!BT360="SI",VLOOKUP('1.DATOS-PROD'!BT$2,'1.PUNTOS'!$A$1:$B$63,2,0),0)</f>
        <v>0</v>
      </c>
    </row>
    <row r="360" spans="1:63" x14ac:dyDescent="0.25">
      <c r="A360">
        <f>'0.Consolidado general'!$A361</f>
        <v>0</v>
      </c>
      <c r="B360" s="138">
        <f>IF('1.DATOS-PROD'!K361="SI",VLOOKUP('1.DATOS-PROD'!K$2,'1.PUNTOS'!$A$1:$B$63,2,0),0)</f>
        <v>0</v>
      </c>
      <c r="C360" s="138">
        <f>IF('1.DATOS-PROD'!L361="SI",VLOOKUP('1.DATOS-PROD'!L$2,'1.PUNTOS'!$A$1:$B$63,2,0),0)</f>
        <v>0</v>
      </c>
      <c r="D360" s="138">
        <f>IF('1.DATOS-PROD'!M361="SI",VLOOKUP('1.DATOS-PROD'!M$2,'1.PUNTOS'!$A$1:$B$63,2,0),0)</f>
        <v>0</v>
      </c>
      <c r="E360" s="138">
        <f>IF('1.DATOS-PROD'!N361="SI",VLOOKUP('1.DATOS-PROD'!N$2,'1.PUNTOS'!$A$1:$B$63,2,0),0)</f>
        <v>0</v>
      </c>
      <c r="F360" s="138">
        <f>IF('1.DATOS-PROD'!O361="SI",VLOOKUP('1.DATOS-PROD'!O$2,'1.PUNTOS'!$A$1:$B$63,2,0),0)</f>
        <v>0</v>
      </c>
      <c r="G360" s="138">
        <f>IF('1.DATOS-PROD'!P361="SI",VLOOKUP('1.DATOS-PROD'!P$2,'1.PUNTOS'!$A$1:$B$63,2,0),0)</f>
        <v>0</v>
      </c>
      <c r="H360" s="138">
        <f>IF('1.DATOS-PROD'!Q361="SI",VLOOKUP('1.DATOS-PROD'!Q$2,'1.PUNTOS'!$A$1:$B$63,2,0),0)</f>
        <v>0</v>
      </c>
      <c r="I360" s="138">
        <f>IF('1.DATOS-PROD'!R361="SI",VLOOKUP('1.DATOS-PROD'!R$2,'1.PUNTOS'!$A$1:$B$63,2,0),0)</f>
        <v>0</v>
      </c>
      <c r="J360" s="138">
        <f>IF('1.DATOS-PROD'!S361="SI",VLOOKUP('1.DATOS-PROD'!S$2,'1.PUNTOS'!$A$1:$B$63,2,0),0)</f>
        <v>0</v>
      </c>
      <c r="K360" s="138">
        <f>IF('1.DATOS-PROD'!T361="SI",VLOOKUP('1.DATOS-PROD'!T$2,'1.PUNTOS'!$A$1:$B$63,2,0),0)</f>
        <v>0</v>
      </c>
      <c r="L360" s="138">
        <f>IF('1.DATOS-PROD'!U361="SI",VLOOKUP('1.DATOS-PROD'!U$2,'1.PUNTOS'!$A$1:$B$63,2,0),0)</f>
        <v>0</v>
      </c>
      <c r="M360" s="138">
        <f>IF('1.DATOS-PROD'!V361="SI",VLOOKUP('1.DATOS-PROD'!V$2,'1.PUNTOS'!$A$1:$B$63,2,0),0)</f>
        <v>0</v>
      </c>
      <c r="N360" s="138">
        <f>IF('1.DATOS-PROD'!W361="SI",VLOOKUP('1.DATOS-PROD'!W$2,'1.PUNTOS'!$A$1:$B$63,2,0),0)</f>
        <v>0</v>
      </c>
      <c r="O360" s="138">
        <f>IF('1.DATOS-PROD'!X361="SI",VLOOKUP('1.DATOS-PROD'!X$2,'1.PUNTOS'!$A$1:$B$63,2,0),0)</f>
        <v>0</v>
      </c>
      <c r="P360" s="138">
        <f>IF('1.DATOS-PROD'!Y361="SI",VLOOKUP('1.DATOS-PROD'!Y$2,'1.PUNTOS'!$A$1:$B$63,2,0),0)</f>
        <v>0</v>
      </c>
      <c r="Q360" s="138">
        <f>IF('1.DATOS-PROD'!Z361="SI",VLOOKUP('1.DATOS-PROD'!Z$2,'1.PUNTOS'!$A$1:$B$63,2,0),0)</f>
        <v>0</v>
      </c>
      <c r="R360" s="138">
        <f>IF('1.DATOS-PROD'!AA361="SI",VLOOKUP('1.DATOS-PROD'!AA$2,'1.PUNTOS'!$A$1:$B$63,2,0),0)</f>
        <v>0</v>
      </c>
      <c r="S360" s="138">
        <f>IF('1.DATOS-PROD'!AB361="SI",VLOOKUP('1.DATOS-PROD'!AB$2,'1.PUNTOS'!$A$1:$B$63,2,0),0)</f>
        <v>0</v>
      </c>
      <c r="T360" s="138">
        <f>IF('1.DATOS-PROD'!AC361="SI",VLOOKUP('1.DATOS-PROD'!AC$2,'1.PUNTOS'!$A$1:$B$63,2,0),0)</f>
        <v>0</v>
      </c>
      <c r="U360" s="138">
        <f>IF('1.DATOS-PROD'!AD361="SI",VLOOKUP('1.DATOS-PROD'!AD$2,'1.PUNTOS'!$A$1:$B$63,2,0),0)</f>
        <v>0</v>
      </c>
      <c r="V360" s="138">
        <f>IF('1.DATOS-PROD'!AE361="SI",VLOOKUP('1.DATOS-PROD'!AE$2,'1.PUNTOS'!$A$1:$B$63,2,0),0)</f>
        <v>0</v>
      </c>
      <c r="W360" s="138">
        <f>IF('1.DATOS-PROD'!AF361="SI",VLOOKUP('1.DATOS-PROD'!AF$2,'1.PUNTOS'!$A$1:$B$63,2,0),0)</f>
        <v>0</v>
      </c>
      <c r="X360" s="138">
        <f>IF('1.DATOS-PROD'!AG361="SI",VLOOKUP('1.DATOS-PROD'!AG$2,'1.PUNTOS'!$A$1:$B$63,2,0),0)</f>
        <v>0</v>
      </c>
      <c r="Y360" s="138">
        <f>IF('1.DATOS-PROD'!AH361="SI",VLOOKUP('1.DATOS-PROD'!AH$2,'1.PUNTOS'!$A$1:$B$63,2,0),0)</f>
        <v>0</v>
      </c>
      <c r="Z360" s="138">
        <f>IF('1.DATOS-PROD'!AI361="SI",VLOOKUP('1.DATOS-PROD'!AI$2,'1.PUNTOS'!$A$1:$B$63,2,0),0)</f>
        <v>0</v>
      </c>
      <c r="AA360" s="138">
        <f>IF('1.DATOS-PROD'!AJ361="SI",VLOOKUP('1.DATOS-PROD'!AJ$2,'1.PUNTOS'!$A$1:$B$63,2,0),0)</f>
        <v>0</v>
      </c>
      <c r="AB360" s="138">
        <f>IF('1.DATOS-PROD'!AK361="SI",VLOOKUP('1.DATOS-PROD'!AK$2,'1.PUNTOS'!$A$1:$B$63,2,0),0)</f>
        <v>0</v>
      </c>
      <c r="AC360" s="138">
        <f>IF('1.DATOS-PROD'!AL361="SI",VLOOKUP('1.DATOS-PROD'!AL$2,'1.PUNTOS'!$A$1:$B$63,2,0),0)</f>
        <v>0</v>
      </c>
      <c r="AD360" s="138">
        <f>IF('1.DATOS-PROD'!AM361="SI",VLOOKUP('1.DATOS-PROD'!AM$2,'1.PUNTOS'!$A$1:$B$63,2,0),0)</f>
        <v>0</v>
      </c>
      <c r="AE360" s="138">
        <f>IF('1.DATOS-PROD'!AN361="SI",VLOOKUP('1.DATOS-PROD'!AN$2,'1.PUNTOS'!$A$1:$B$63,2,0),0)</f>
        <v>0</v>
      </c>
      <c r="AF360" s="138">
        <f>IF('1.DATOS-PROD'!AO361="SI",VLOOKUP('1.DATOS-PROD'!AO$2,'1.PUNTOS'!$A$1:$B$63,2,0),0)</f>
        <v>0</v>
      </c>
      <c r="AG360" s="138">
        <f>IF('1.DATOS-PROD'!AP361="SI",VLOOKUP('1.DATOS-PROD'!AP$2,'1.PUNTOS'!$A$1:$B$63,2,0),0)</f>
        <v>0</v>
      </c>
      <c r="AH360" s="138">
        <f>IF('1.DATOS-PROD'!AQ361="SI",VLOOKUP('1.DATOS-PROD'!AQ$2,'1.PUNTOS'!$A$1:$B$63,2,0),0)</f>
        <v>0</v>
      </c>
      <c r="AI360" s="138">
        <f>IF('1.DATOS-PROD'!AR361="SI",VLOOKUP('1.DATOS-PROD'!AR$2,'1.PUNTOS'!$A$1:$B$63,2,0),0)</f>
        <v>0</v>
      </c>
      <c r="AJ360" s="138">
        <f>IF('1.DATOS-PROD'!AS361="SI",VLOOKUP('1.DATOS-PROD'!AS$2,'1.PUNTOS'!$A$1:$B$63,2,0),0)</f>
        <v>0</v>
      </c>
      <c r="AK360" s="138">
        <f>IF('1.DATOS-PROD'!AT361="SI",VLOOKUP('1.DATOS-PROD'!AT$2,'1.PUNTOS'!$A$1:$B$63,2,0),0)</f>
        <v>0</v>
      </c>
      <c r="AL360" s="138">
        <f>IF('1.DATOS-PROD'!AU361="SI",VLOOKUP('1.DATOS-PROD'!AU$2,'1.PUNTOS'!$A$1:$B$63,2,0),0)</f>
        <v>0</v>
      </c>
      <c r="AM360" s="138">
        <f>IF('1.DATOS-PROD'!AV361="SI",VLOOKUP('1.DATOS-PROD'!AV$2,'1.PUNTOS'!$A$1:$B$63,2,0),0)</f>
        <v>0</v>
      </c>
      <c r="AN360" s="138">
        <f>IF('1.DATOS-PROD'!AW361="SI",VLOOKUP('1.DATOS-PROD'!AW$2,'1.PUNTOS'!$A$1:$B$63,2,0),0)</f>
        <v>0</v>
      </c>
      <c r="AO360" s="138">
        <f>IF('1.DATOS-PROD'!AX361="SI",VLOOKUP('1.DATOS-PROD'!AX$2,'1.PUNTOS'!$A$1:$B$63,2,0),0)</f>
        <v>0</v>
      </c>
      <c r="AP360" s="138">
        <f>IF('1.DATOS-PROD'!AY361="SI",VLOOKUP('1.DATOS-PROD'!AY$2,'1.PUNTOS'!$A$1:$B$63,2,0),0)</f>
        <v>0</v>
      </c>
      <c r="AQ360" s="138">
        <f>IF('1.DATOS-PROD'!AZ361="SI",VLOOKUP('1.DATOS-PROD'!AZ$2,'1.PUNTOS'!$A$1:$B$63,2,0),0)</f>
        <v>0</v>
      </c>
      <c r="AR360" s="138">
        <f>IF('1.DATOS-PROD'!BA361="SI",VLOOKUP('1.DATOS-PROD'!BA$2,'1.PUNTOS'!$A$1:$B$63,2,0),0)</f>
        <v>0</v>
      </c>
      <c r="AS360" s="138">
        <f>IF('1.DATOS-PROD'!BB361="SI",VLOOKUP('1.DATOS-PROD'!BB$2,'1.PUNTOS'!$A$1:$B$63,2,0),0)</f>
        <v>0</v>
      </c>
      <c r="AT360" s="138">
        <f>IF('1.DATOS-PROD'!BC361="SI",VLOOKUP('1.DATOS-PROD'!BC$2,'1.PUNTOS'!$A$1:$B$63,2,0),0)</f>
        <v>0</v>
      </c>
      <c r="AU360" s="138">
        <f>IF('1.DATOS-PROD'!BD361="SI",VLOOKUP('1.DATOS-PROD'!BD$2,'1.PUNTOS'!$A$1:$B$63,2,0),0)</f>
        <v>0</v>
      </c>
      <c r="AV360" s="138">
        <f>IF('1.DATOS-PROD'!BE361="SI",VLOOKUP('1.DATOS-PROD'!BE$2,'1.PUNTOS'!$A$1:$B$63,2,0),0)</f>
        <v>0</v>
      </c>
      <c r="AW360" s="138">
        <f>IF('1.DATOS-PROD'!BF361="SI",VLOOKUP('1.DATOS-PROD'!BF$2,'1.PUNTOS'!$A$1:$B$63,2,0),0)</f>
        <v>0</v>
      </c>
      <c r="AX360" s="138">
        <f>IF('1.DATOS-PROD'!BG361="SI",VLOOKUP('1.DATOS-PROD'!BG$2,'1.PUNTOS'!$A$1:$B$63,2,0),0)</f>
        <v>0</v>
      </c>
      <c r="AY360" s="138">
        <f>IF('1.DATOS-PROD'!BH361="SI",VLOOKUP('1.DATOS-PROD'!BH$2,'1.PUNTOS'!$A$1:$B$63,2,0),0)</f>
        <v>0</v>
      </c>
      <c r="AZ360" s="138">
        <f>IF('1.DATOS-PROD'!BI361="SI",VLOOKUP('1.DATOS-PROD'!BI$2,'1.PUNTOS'!$A$1:$B$63,2,0),0)</f>
        <v>0</v>
      </c>
      <c r="BA360" s="138">
        <f>IF('1.DATOS-PROD'!BJ361="SI",VLOOKUP('1.DATOS-PROD'!BJ$2,'1.PUNTOS'!$A$1:$B$63,2,0),0)</f>
        <v>0</v>
      </c>
      <c r="BB360" s="138">
        <f>IF('1.DATOS-PROD'!BK361="SI",VLOOKUP('1.DATOS-PROD'!BK$2,'1.PUNTOS'!$A$1:$B$63,2,0),0)</f>
        <v>0</v>
      </c>
      <c r="BC360" s="138">
        <f>IF('1.DATOS-PROD'!BL361="SI",VLOOKUP('1.DATOS-PROD'!BL$2,'1.PUNTOS'!$A$1:$B$63,2,0),0)</f>
        <v>0</v>
      </c>
      <c r="BD360" s="138">
        <f>IF('1.DATOS-PROD'!BM361="SI",VLOOKUP('1.DATOS-PROD'!BM$2,'1.PUNTOS'!$A$1:$B$63,2,0),0)</f>
        <v>0</v>
      </c>
      <c r="BE360" s="138">
        <f>IF('1.DATOS-PROD'!BN361="SI",VLOOKUP('1.DATOS-PROD'!BN$2,'1.PUNTOS'!$A$1:$B$63,2,0),0)</f>
        <v>0</v>
      </c>
      <c r="BF360" s="138">
        <f>IF('1.DATOS-PROD'!BO361="SI",VLOOKUP('1.DATOS-PROD'!BO$2,'1.PUNTOS'!$A$1:$B$63,2,0),0)</f>
        <v>0</v>
      </c>
      <c r="BG360" s="138">
        <f>IF('1.DATOS-PROD'!BP361="SI",VLOOKUP('1.DATOS-PROD'!BP$2,'1.PUNTOS'!$A$1:$B$63,2,0),0)</f>
        <v>0</v>
      </c>
      <c r="BH360" s="138">
        <f>IF('1.DATOS-PROD'!BQ361="SI",VLOOKUP('1.DATOS-PROD'!BQ$2,'1.PUNTOS'!$A$1:$B$63,2,0),0)</f>
        <v>0</v>
      </c>
      <c r="BI360" s="138">
        <f>IF('1.DATOS-PROD'!BR361="SI",VLOOKUP('1.DATOS-PROD'!BR$2,'1.PUNTOS'!$A$1:$B$63,2,0),0)</f>
        <v>0</v>
      </c>
      <c r="BJ360" s="138">
        <f>IF('1.DATOS-PROD'!BS361="SI",VLOOKUP('1.DATOS-PROD'!BS$2,'1.PUNTOS'!$A$1:$B$63,2,0),0)</f>
        <v>0</v>
      </c>
      <c r="BK360" s="138">
        <f>IF('1.DATOS-PROD'!BT361="SI",VLOOKUP('1.DATOS-PROD'!BT$2,'1.PUNTOS'!$A$1:$B$63,2,0),0)</f>
        <v>0</v>
      </c>
    </row>
    <row r="361" spans="1:63" x14ac:dyDescent="0.25">
      <c r="A361">
        <f>'0.Consolidado general'!$A362</f>
        <v>0</v>
      </c>
      <c r="B361" s="138">
        <f>IF('1.DATOS-PROD'!K362="SI",VLOOKUP('1.DATOS-PROD'!K$2,'1.PUNTOS'!$A$1:$B$63,2,0),0)</f>
        <v>0</v>
      </c>
      <c r="C361" s="138">
        <f>IF('1.DATOS-PROD'!L362="SI",VLOOKUP('1.DATOS-PROD'!L$2,'1.PUNTOS'!$A$1:$B$63,2,0),0)</f>
        <v>0</v>
      </c>
      <c r="D361" s="138">
        <f>IF('1.DATOS-PROD'!M362="SI",VLOOKUP('1.DATOS-PROD'!M$2,'1.PUNTOS'!$A$1:$B$63,2,0),0)</f>
        <v>0</v>
      </c>
      <c r="E361" s="138">
        <f>IF('1.DATOS-PROD'!N362="SI",VLOOKUP('1.DATOS-PROD'!N$2,'1.PUNTOS'!$A$1:$B$63,2,0),0)</f>
        <v>0</v>
      </c>
      <c r="F361" s="138">
        <f>IF('1.DATOS-PROD'!O362="SI",VLOOKUP('1.DATOS-PROD'!O$2,'1.PUNTOS'!$A$1:$B$63,2,0),0)</f>
        <v>0</v>
      </c>
      <c r="G361" s="138">
        <f>IF('1.DATOS-PROD'!P362="SI",VLOOKUP('1.DATOS-PROD'!P$2,'1.PUNTOS'!$A$1:$B$63,2,0),0)</f>
        <v>0</v>
      </c>
      <c r="H361" s="138">
        <f>IF('1.DATOS-PROD'!Q362="SI",VLOOKUP('1.DATOS-PROD'!Q$2,'1.PUNTOS'!$A$1:$B$63,2,0),0)</f>
        <v>0</v>
      </c>
      <c r="I361" s="138">
        <f>IF('1.DATOS-PROD'!R362="SI",VLOOKUP('1.DATOS-PROD'!R$2,'1.PUNTOS'!$A$1:$B$63,2,0),0)</f>
        <v>0</v>
      </c>
      <c r="J361" s="138">
        <f>IF('1.DATOS-PROD'!S362="SI",VLOOKUP('1.DATOS-PROD'!S$2,'1.PUNTOS'!$A$1:$B$63,2,0),0)</f>
        <v>0</v>
      </c>
      <c r="K361" s="138">
        <f>IF('1.DATOS-PROD'!T362="SI",VLOOKUP('1.DATOS-PROD'!T$2,'1.PUNTOS'!$A$1:$B$63,2,0),0)</f>
        <v>0</v>
      </c>
      <c r="L361" s="138">
        <f>IF('1.DATOS-PROD'!U362="SI",VLOOKUP('1.DATOS-PROD'!U$2,'1.PUNTOS'!$A$1:$B$63,2,0),0)</f>
        <v>0</v>
      </c>
      <c r="M361" s="138">
        <f>IF('1.DATOS-PROD'!V362="SI",VLOOKUP('1.DATOS-PROD'!V$2,'1.PUNTOS'!$A$1:$B$63,2,0),0)</f>
        <v>0</v>
      </c>
      <c r="N361" s="138">
        <f>IF('1.DATOS-PROD'!W362="SI",VLOOKUP('1.DATOS-PROD'!W$2,'1.PUNTOS'!$A$1:$B$63,2,0),0)</f>
        <v>0</v>
      </c>
      <c r="O361" s="138">
        <f>IF('1.DATOS-PROD'!X362="SI",VLOOKUP('1.DATOS-PROD'!X$2,'1.PUNTOS'!$A$1:$B$63,2,0),0)</f>
        <v>0</v>
      </c>
      <c r="P361" s="138">
        <f>IF('1.DATOS-PROD'!Y362="SI",VLOOKUP('1.DATOS-PROD'!Y$2,'1.PUNTOS'!$A$1:$B$63,2,0),0)</f>
        <v>0</v>
      </c>
      <c r="Q361" s="138">
        <f>IF('1.DATOS-PROD'!Z362="SI",VLOOKUP('1.DATOS-PROD'!Z$2,'1.PUNTOS'!$A$1:$B$63,2,0),0)</f>
        <v>0</v>
      </c>
      <c r="R361" s="138">
        <f>IF('1.DATOS-PROD'!AA362="SI",VLOOKUP('1.DATOS-PROD'!AA$2,'1.PUNTOS'!$A$1:$B$63,2,0),0)</f>
        <v>0</v>
      </c>
      <c r="S361" s="138">
        <f>IF('1.DATOS-PROD'!AB362="SI",VLOOKUP('1.DATOS-PROD'!AB$2,'1.PUNTOS'!$A$1:$B$63,2,0),0)</f>
        <v>0</v>
      </c>
      <c r="T361" s="138">
        <f>IF('1.DATOS-PROD'!AC362="SI",VLOOKUP('1.DATOS-PROD'!AC$2,'1.PUNTOS'!$A$1:$B$63,2,0),0)</f>
        <v>0</v>
      </c>
      <c r="U361" s="138">
        <f>IF('1.DATOS-PROD'!AD362="SI",VLOOKUP('1.DATOS-PROD'!AD$2,'1.PUNTOS'!$A$1:$B$63,2,0),0)</f>
        <v>0</v>
      </c>
      <c r="V361" s="138">
        <f>IF('1.DATOS-PROD'!AE362="SI",VLOOKUP('1.DATOS-PROD'!AE$2,'1.PUNTOS'!$A$1:$B$63,2,0),0)</f>
        <v>0</v>
      </c>
      <c r="W361" s="138">
        <f>IF('1.DATOS-PROD'!AF362="SI",VLOOKUP('1.DATOS-PROD'!AF$2,'1.PUNTOS'!$A$1:$B$63,2,0),0)</f>
        <v>0</v>
      </c>
      <c r="X361" s="138">
        <f>IF('1.DATOS-PROD'!AG362="SI",VLOOKUP('1.DATOS-PROD'!AG$2,'1.PUNTOS'!$A$1:$B$63,2,0),0)</f>
        <v>0</v>
      </c>
      <c r="Y361" s="138">
        <f>IF('1.DATOS-PROD'!AH362="SI",VLOOKUP('1.DATOS-PROD'!AH$2,'1.PUNTOS'!$A$1:$B$63,2,0),0)</f>
        <v>0</v>
      </c>
      <c r="Z361" s="138">
        <f>IF('1.DATOS-PROD'!AI362="SI",VLOOKUP('1.DATOS-PROD'!AI$2,'1.PUNTOS'!$A$1:$B$63,2,0),0)</f>
        <v>0</v>
      </c>
      <c r="AA361" s="138">
        <f>IF('1.DATOS-PROD'!AJ362="SI",VLOOKUP('1.DATOS-PROD'!AJ$2,'1.PUNTOS'!$A$1:$B$63,2,0),0)</f>
        <v>0</v>
      </c>
      <c r="AB361" s="138">
        <f>IF('1.DATOS-PROD'!AK362="SI",VLOOKUP('1.DATOS-PROD'!AK$2,'1.PUNTOS'!$A$1:$B$63,2,0),0)</f>
        <v>0</v>
      </c>
      <c r="AC361" s="138">
        <f>IF('1.DATOS-PROD'!AL362="SI",VLOOKUP('1.DATOS-PROD'!AL$2,'1.PUNTOS'!$A$1:$B$63,2,0),0)</f>
        <v>0</v>
      </c>
      <c r="AD361" s="138">
        <f>IF('1.DATOS-PROD'!AM362="SI",VLOOKUP('1.DATOS-PROD'!AM$2,'1.PUNTOS'!$A$1:$B$63,2,0),0)</f>
        <v>0</v>
      </c>
      <c r="AE361" s="138">
        <f>IF('1.DATOS-PROD'!AN362="SI",VLOOKUP('1.DATOS-PROD'!AN$2,'1.PUNTOS'!$A$1:$B$63,2,0),0)</f>
        <v>0</v>
      </c>
      <c r="AF361" s="138">
        <f>IF('1.DATOS-PROD'!AO362="SI",VLOOKUP('1.DATOS-PROD'!AO$2,'1.PUNTOS'!$A$1:$B$63,2,0),0)</f>
        <v>0</v>
      </c>
      <c r="AG361" s="138">
        <f>IF('1.DATOS-PROD'!AP362="SI",VLOOKUP('1.DATOS-PROD'!AP$2,'1.PUNTOS'!$A$1:$B$63,2,0),0)</f>
        <v>0</v>
      </c>
      <c r="AH361" s="138">
        <f>IF('1.DATOS-PROD'!AQ362="SI",VLOOKUP('1.DATOS-PROD'!AQ$2,'1.PUNTOS'!$A$1:$B$63,2,0),0)</f>
        <v>0</v>
      </c>
      <c r="AI361" s="138">
        <f>IF('1.DATOS-PROD'!AR362="SI",VLOOKUP('1.DATOS-PROD'!AR$2,'1.PUNTOS'!$A$1:$B$63,2,0),0)</f>
        <v>0</v>
      </c>
      <c r="AJ361" s="138">
        <f>IF('1.DATOS-PROD'!AS362="SI",VLOOKUP('1.DATOS-PROD'!AS$2,'1.PUNTOS'!$A$1:$B$63,2,0),0)</f>
        <v>0</v>
      </c>
      <c r="AK361" s="138">
        <f>IF('1.DATOS-PROD'!AT362="SI",VLOOKUP('1.DATOS-PROD'!AT$2,'1.PUNTOS'!$A$1:$B$63,2,0),0)</f>
        <v>0</v>
      </c>
      <c r="AL361" s="138">
        <f>IF('1.DATOS-PROD'!AU362="SI",VLOOKUP('1.DATOS-PROD'!AU$2,'1.PUNTOS'!$A$1:$B$63,2,0),0)</f>
        <v>0</v>
      </c>
      <c r="AM361" s="138">
        <f>IF('1.DATOS-PROD'!AV362="SI",VLOOKUP('1.DATOS-PROD'!AV$2,'1.PUNTOS'!$A$1:$B$63,2,0),0)</f>
        <v>0</v>
      </c>
      <c r="AN361" s="138">
        <f>IF('1.DATOS-PROD'!AW362="SI",VLOOKUP('1.DATOS-PROD'!AW$2,'1.PUNTOS'!$A$1:$B$63,2,0),0)</f>
        <v>0</v>
      </c>
      <c r="AO361" s="138">
        <f>IF('1.DATOS-PROD'!AX362="SI",VLOOKUP('1.DATOS-PROD'!AX$2,'1.PUNTOS'!$A$1:$B$63,2,0),0)</f>
        <v>0</v>
      </c>
      <c r="AP361" s="138">
        <f>IF('1.DATOS-PROD'!AY362="SI",VLOOKUP('1.DATOS-PROD'!AY$2,'1.PUNTOS'!$A$1:$B$63,2,0),0)</f>
        <v>0</v>
      </c>
      <c r="AQ361" s="138">
        <f>IF('1.DATOS-PROD'!AZ362="SI",VLOOKUP('1.DATOS-PROD'!AZ$2,'1.PUNTOS'!$A$1:$B$63,2,0),0)</f>
        <v>0</v>
      </c>
      <c r="AR361" s="138">
        <f>IF('1.DATOS-PROD'!BA362="SI",VLOOKUP('1.DATOS-PROD'!BA$2,'1.PUNTOS'!$A$1:$B$63,2,0),0)</f>
        <v>0</v>
      </c>
      <c r="AS361" s="138">
        <f>IF('1.DATOS-PROD'!BB362="SI",VLOOKUP('1.DATOS-PROD'!BB$2,'1.PUNTOS'!$A$1:$B$63,2,0),0)</f>
        <v>0</v>
      </c>
      <c r="AT361" s="138">
        <f>IF('1.DATOS-PROD'!BC362="SI",VLOOKUP('1.DATOS-PROD'!BC$2,'1.PUNTOS'!$A$1:$B$63,2,0),0)</f>
        <v>0</v>
      </c>
      <c r="AU361" s="138">
        <f>IF('1.DATOS-PROD'!BD362="SI",VLOOKUP('1.DATOS-PROD'!BD$2,'1.PUNTOS'!$A$1:$B$63,2,0),0)</f>
        <v>0</v>
      </c>
      <c r="AV361" s="138">
        <f>IF('1.DATOS-PROD'!BE362="SI",VLOOKUP('1.DATOS-PROD'!BE$2,'1.PUNTOS'!$A$1:$B$63,2,0),0)</f>
        <v>0</v>
      </c>
      <c r="AW361" s="138">
        <f>IF('1.DATOS-PROD'!BF362="SI",VLOOKUP('1.DATOS-PROD'!BF$2,'1.PUNTOS'!$A$1:$B$63,2,0),0)</f>
        <v>0</v>
      </c>
      <c r="AX361" s="138">
        <f>IF('1.DATOS-PROD'!BG362="SI",VLOOKUP('1.DATOS-PROD'!BG$2,'1.PUNTOS'!$A$1:$B$63,2,0),0)</f>
        <v>0</v>
      </c>
      <c r="AY361" s="138">
        <f>IF('1.DATOS-PROD'!BH362="SI",VLOOKUP('1.DATOS-PROD'!BH$2,'1.PUNTOS'!$A$1:$B$63,2,0),0)</f>
        <v>0</v>
      </c>
      <c r="AZ361" s="138">
        <f>IF('1.DATOS-PROD'!BI362="SI",VLOOKUP('1.DATOS-PROD'!BI$2,'1.PUNTOS'!$A$1:$B$63,2,0),0)</f>
        <v>0</v>
      </c>
      <c r="BA361" s="138">
        <f>IF('1.DATOS-PROD'!BJ362="SI",VLOOKUP('1.DATOS-PROD'!BJ$2,'1.PUNTOS'!$A$1:$B$63,2,0),0)</f>
        <v>0</v>
      </c>
      <c r="BB361" s="138">
        <f>IF('1.DATOS-PROD'!BK362="SI",VLOOKUP('1.DATOS-PROD'!BK$2,'1.PUNTOS'!$A$1:$B$63,2,0),0)</f>
        <v>0</v>
      </c>
      <c r="BC361" s="138">
        <f>IF('1.DATOS-PROD'!BL362="SI",VLOOKUP('1.DATOS-PROD'!BL$2,'1.PUNTOS'!$A$1:$B$63,2,0),0)</f>
        <v>0</v>
      </c>
      <c r="BD361" s="138">
        <f>IF('1.DATOS-PROD'!BM362="SI",VLOOKUP('1.DATOS-PROD'!BM$2,'1.PUNTOS'!$A$1:$B$63,2,0),0)</f>
        <v>0</v>
      </c>
      <c r="BE361" s="138">
        <f>IF('1.DATOS-PROD'!BN362="SI",VLOOKUP('1.DATOS-PROD'!BN$2,'1.PUNTOS'!$A$1:$B$63,2,0),0)</f>
        <v>0</v>
      </c>
      <c r="BF361" s="138">
        <f>IF('1.DATOS-PROD'!BO362="SI",VLOOKUP('1.DATOS-PROD'!BO$2,'1.PUNTOS'!$A$1:$B$63,2,0),0)</f>
        <v>0</v>
      </c>
      <c r="BG361" s="138">
        <f>IF('1.DATOS-PROD'!BP362="SI",VLOOKUP('1.DATOS-PROD'!BP$2,'1.PUNTOS'!$A$1:$B$63,2,0),0)</f>
        <v>0</v>
      </c>
      <c r="BH361" s="138">
        <f>IF('1.DATOS-PROD'!BQ362="SI",VLOOKUP('1.DATOS-PROD'!BQ$2,'1.PUNTOS'!$A$1:$B$63,2,0),0)</f>
        <v>0</v>
      </c>
      <c r="BI361" s="138">
        <f>IF('1.DATOS-PROD'!BR362="SI",VLOOKUP('1.DATOS-PROD'!BR$2,'1.PUNTOS'!$A$1:$B$63,2,0),0)</f>
        <v>0</v>
      </c>
      <c r="BJ361" s="138">
        <f>IF('1.DATOS-PROD'!BS362="SI",VLOOKUP('1.DATOS-PROD'!BS$2,'1.PUNTOS'!$A$1:$B$63,2,0),0)</f>
        <v>0</v>
      </c>
      <c r="BK361" s="138">
        <f>IF('1.DATOS-PROD'!BT362="SI",VLOOKUP('1.DATOS-PROD'!BT$2,'1.PUNTOS'!$A$1:$B$63,2,0),0)</f>
        <v>0</v>
      </c>
    </row>
    <row r="362" spans="1:63" x14ac:dyDescent="0.25">
      <c r="A362">
        <f>'0.Consolidado general'!$A363</f>
        <v>0</v>
      </c>
      <c r="B362" s="138">
        <f>IF('1.DATOS-PROD'!K363="SI",VLOOKUP('1.DATOS-PROD'!K$2,'1.PUNTOS'!$A$1:$B$63,2,0),0)</f>
        <v>0</v>
      </c>
      <c r="C362" s="138">
        <f>IF('1.DATOS-PROD'!L363="SI",VLOOKUP('1.DATOS-PROD'!L$2,'1.PUNTOS'!$A$1:$B$63,2,0),0)</f>
        <v>0</v>
      </c>
      <c r="D362" s="138">
        <f>IF('1.DATOS-PROD'!M363="SI",VLOOKUP('1.DATOS-PROD'!M$2,'1.PUNTOS'!$A$1:$B$63,2,0),0)</f>
        <v>0</v>
      </c>
      <c r="E362" s="138">
        <f>IF('1.DATOS-PROD'!N363="SI",VLOOKUP('1.DATOS-PROD'!N$2,'1.PUNTOS'!$A$1:$B$63,2,0),0)</f>
        <v>0</v>
      </c>
      <c r="F362" s="138">
        <f>IF('1.DATOS-PROD'!O363="SI",VLOOKUP('1.DATOS-PROD'!O$2,'1.PUNTOS'!$A$1:$B$63,2,0),0)</f>
        <v>0</v>
      </c>
      <c r="G362" s="138">
        <f>IF('1.DATOS-PROD'!P363="SI",VLOOKUP('1.DATOS-PROD'!P$2,'1.PUNTOS'!$A$1:$B$63,2,0),0)</f>
        <v>0</v>
      </c>
      <c r="H362" s="138">
        <f>IF('1.DATOS-PROD'!Q363="SI",VLOOKUP('1.DATOS-PROD'!Q$2,'1.PUNTOS'!$A$1:$B$63,2,0),0)</f>
        <v>0</v>
      </c>
      <c r="I362" s="138">
        <f>IF('1.DATOS-PROD'!R363="SI",VLOOKUP('1.DATOS-PROD'!R$2,'1.PUNTOS'!$A$1:$B$63,2,0),0)</f>
        <v>0</v>
      </c>
      <c r="J362" s="138">
        <f>IF('1.DATOS-PROD'!S363="SI",VLOOKUP('1.DATOS-PROD'!S$2,'1.PUNTOS'!$A$1:$B$63,2,0),0)</f>
        <v>0</v>
      </c>
      <c r="K362" s="138">
        <f>IF('1.DATOS-PROD'!T363="SI",VLOOKUP('1.DATOS-PROD'!T$2,'1.PUNTOS'!$A$1:$B$63,2,0),0)</f>
        <v>0</v>
      </c>
      <c r="L362" s="138">
        <f>IF('1.DATOS-PROD'!U363="SI",VLOOKUP('1.DATOS-PROD'!U$2,'1.PUNTOS'!$A$1:$B$63,2,0),0)</f>
        <v>0</v>
      </c>
      <c r="M362" s="138">
        <f>IF('1.DATOS-PROD'!V363="SI",VLOOKUP('1.DATOS-PROD'!V$2,'1.PUNTOS'!$A$1:$B$63,2,0),0)</f>
        <v>0</v>
      </c>
      <c r="N362" s="138">
        <f>IF('1.DATOS-PROD'!W363="SI",VLOOKUP('1.DATOS-PROD'!W$2,'1.PUNTOS'!$A$1:$B$63,2,0),0)</f>
        <v>0</v>
      </c>
      <c r="O362" s="138">
        <f>IF('1.DATOS-PROD'!X363="SI",VLOOKUP('1.DATOS-PROD'!X$2,'1.PUNTOS'!$A$1:$B$63,2,0),0)</f>
        <v>0</v>
      </c>
      <c r="P362" s="138">
        <f>IF('1.DATOS-PROD'!Y363="SI",VLOOKUP('1.DATOS-PROD'!Y$2,'1.PUNTOS'!$A$1:$B$63,2,0),0)</f>
        <v>0</v>
      </c>
      <c r="Q362" s="138">
        <f>IF('1.DATOS-PROD'!Z363="SI",VLOOKUP('1.DATOS-PROD'!Z$2,'1.PUNTOS'!$A$1:$B$63,2,0),0)</f>
        <v>0</v>
      </c>
      <c r="R362" s="138">
        <f>IF('1.DATOS-PROD'!AA363="SI",VLOOKUP('1.DATOS-PROD'!AA$2,'1.PUNTOS'!$A$1:$B$63,2,0),0)</f>
        <v>0</v>
      </c>
      <c r="S362" s="138">
        <f>IF('1.DATOS-PROD'!AB363="SI",VLOOKUP('1.DATOS-PROD'!AB$2,'1.PUNTOS'!$A$1:$B$63,2,0),0)</f>
        <v>0</v>
      </c>
      <c r="T362" s="138">
        <f>IF('1.DATOS-PROD'!AC363="SI",VLOOKUP('1.DATOS-PROD'!AC$2,'1.PUNTOS'!$A$1:$B$63,2,0),0)</f>
        <v>0</v>
      </c>
      <c r="U362" s="138">
        <f>IF('1.DATOS-PROD'!AD363="SI",VLOOKUP('1.DATOS-PROD'!AD$2,'1.PUNTOS'!$A$1:$B$63,2,0),0)</f>
        <v>0</v>
      </c>
      <c r="V362" s="138">
        <f>IF('1.DATOS-PROD'!AE363="SI",VLOOKUP('1.DATOS-PROD'!AE$2,'1.PUNTOS'!$A$1:$B$63,2,0),0)</f>
        <v>0</v>
      </c>
      <c r="W362" s="138">
        <f>IF('1.DATOS-PROD'!AF363="SI",VLOOKUP('1.DATOS-PROD'!AF$2,'1.PUNTOS'!$A$1:$B$63,2,0),0)</f>
        <v>0</v>
      </c>
      <c r="X362" s="138">
        <f>IF('1.DATOS-PROD'!AG363="SI",VLOOKUP('1.DATOS-PROD'!AG$2,'1.PUNTOS'!$A$1:$B$63,2,0),0)</f>
        <v>0</v>
      </c>
      <c r="Y362" s="138">
        <f>IF('1.DATOS-PROD'!AH363="SI",VLOOKUP('1.DATOS-PROD'!AH$2,'1.PUNTOS'!$A$1:$B$63,2,0),0)</f>
        <v>0</v>
      </c>
      <c r="Z362" s="138">
        <f>IF('1.DATOS-PROD'!AI363="SI",VLOOKUP('1.DATOS-PROD'!AI$2,'1.PUNTOS'!$A$1:$B$63,2,0),0)</f>
        <v>0</v>
      </c>
      <c r="AA362" s="138">
        <f>IF('1.DATOS-PROD'!AJ363="SI",VLOOKUP('1.DATOS-PROD'!AJ$2,'1.PUNTOS'!$A$1:$B$63,2,0),0)</f>
        <v>0</v>
      </c>
      <c r="AB362" s="138">
        <f>IF('1.DATOS-PROD'!AK363="SI",VLOOKUP('1.DATOS-PROD'!AK$2,'1.PUNTOS'!$A$1:$B$63,2,0),0)</f>
        <v>0</v>
      </c>
      <c r="AC362" s="138">
        <f>IF('1.DATOS-PROD'!AL363="SI",VLOOKUP('1.DATOS-PROD'!AL$2,'1.PUNTOS'!$A$1:$B$63,2,0),0)</f>
        <v>0</v>
      </c>
      <c r="AD362" s="138">
        <f>IF('1.DATOS-PROD'!AM363="SI",VLOOKUP('1.DATOS-PROD'!AM$2,'1.PUNTOS'!$A$1:$B$63,2,0),0)</f>
        <v>0</v>
      </c>
      <c r="AE362" s="138">
        <f>IF('1.DATOS-PROD'!AN363="SI",VLOOKUP('1.DATOS-PROD'!AN$2,'1.PUNTOS'!$A$1:$B$63,2,0),0)</f>
        <v>0</v>
      </c>
      <c r="AF362" s="138">
        <f>IF('1.DATOS-PROD'!AO363="SI",VLOOKUP('1.DATOS-PROD'!AO$2,'1.PUNTOS'!$A$1:$B$63,2,0),0)</f>
        <v>0</v>
      </c>
      <c r="AG362" s="138">
        <f>IF('1.DATOS-PROD'!AP363="SI",VLOOKUP('1.DATOS-PROD'!AP$2,'1.PUNTOS'!$A$1:$B$63,2,0),0)</f>
        <v>0</v>
      </c>
      <c r="AH362" s="138">
        <f>IF('1.DATOS-PROD'!AQ363="SI",VLOOKUP('1.DATOS-PROD'!AQ$2,'1.PUNTOS'!$A$1:$B$63,2,0),0)</f>
        <v>0</v>
      </c>
      <c r="AI362" s="138">
        <f>IF('1.DATOS-PROD'!AR363="SI",VLOOKUP('1.DATOS-PROD'!AR$2,'1.PUNTOS'!$A$1:$B$63,2,0),0)</f>
        <v>0</v>
      </c>
      <c r="AJ362" s="138">
        <f>IF('1.DATOS-PROD'!AS363="SI",VLOOKUP('1.DATOS-PROD'!AS$2,'1.PUNTOS'!$A$1:$B$63,2,0),0)</f>
        <v>0</v>
      </c>
      <c r="AK362" s="138">
        <f>IF('1.DATOS-PROD'!AT363="SI",VLOOKUP('1.DATOS-PROD'!AT$2,'1.PUNTOS'!$A$1:$B$63,2,0),0)</f>
        <v>0</v>
      </c>
      <c r="AL362" s="138">
        <f>IF('1.DATOS-PROD'!AU363="SI",VLOOKUP('1.DATOS-PROD'!AU$2,'1.PUNTOS'!$A$1:$B$63,2,0),0)</f>
        <v>0</v>
      </c>
      <c r="AM362" s="138">
        <f>IF('1.DATOS-PROD'!AV363="SI",VLOOKUP('1.DATOS-PROD'!AV$2,'1.PUNTOS'!$A$1:$B$63,2,0),0)</f>
        <v>0</v>
      </c>
      <c r="AN362" s="138">
        <f>IF('1.DATOS-PROD'!AW363="SI",VLOOKUP('1.DATOS-PROD'!AW$2,'1.PUNTOS'!$A$1:$B$63,2,0),0)</f>
        <v>0</v>
      </c>
      <c r="AO362" s="138">
        <f>IF('1.DATOS-PROD'!AX363="SI",VLOOKUP('1.DATOS-PROD'!AX$2,'1.PUNTOS'!$A$1:$B$63,2,0),0)</f>
        <v>0</v>
      </c>
      <c r="AP362" s="138">
        <f>IF('1.DATOS-PROD'!AY363="SI",VLOOKUP('1.DATOS-PROD'!AY$2,'1.PUNTOS'!$A$1:$B$63,2,0),0)</f>
        <v>0</v>
      </c>
      <c r="AQ362" s="138">
        <f>IF('1.DATOS-PROD'!AZ363="SI",VLOOKUP('1.DATOS-PROD'!AZ$2,'1.PUNTOS'!$A$1:$B$63,2,0),0)</f>
        <v>0</v>
      </c>
      <c r="AR362" s="138">
        <f>IF('1.DATOS-PROD'!BA363="SI",VLOOKUP('1.DATOS-PROD'!BA$2,'1.PUNTOS'!$A$1:$B$63,2,0),0)</f>
        <v>0</v>
      </c>
      <c r="AS362" s="138">
        <f>IF('1.DATOS-PROD'!BB363="SI",VLOOKUP('1.DATOS-PROD'!BB$2,'1.PUNTOS'!$A$1:$B$63,2,0),0)</f>
        <v>0</v>
      </c>
      <c r="AT362" s="138">
        <f>IF('1.DATOS-PROD'!BC363="SI",VLOOKUP('1.DATOS-PROD'!BC$2,'1.PUNTOS'!$A$1:$B$63,2,0),0)</f>
        <v>0</v>
      </c>
      <c r="AU362" s="138">
        <f>IF('1.DATOS-PROD'!BD363="SI",VLOOKUP('1.DATOS-PROD'!BD$2,'1.PUNTOS'!$A$1:$B$63,2,0),0)</f>
        <v>0</v>
      </c>
      <c r="AV362" s="138">
        <f>IF('1.DATOS-PROD'!BE363="SI",VLOOKUP('1.DATOS-PROD'!BE$2,'1.PUNTOS'!$A$1:$B$63,2,0),0)</f>
        <v>0</v>
      </c>
      <c r="AW362" s="138">
        <f>IF('1.DATOS-PROD'!BF363="SI",VLOOKUP('1.DATOS-PROD'!BF$2,'1.PUNTOS'!$A$1:$B$63,2,0),0)</f>
        <v>0</v>
      </c>
      <c r="AX362" s="138">
        <f>IF('1.DATOS-PROD'!BG363="SI",VLOOKUP('1.DATOS-PROD'!BG$2,'1.PUNTOS'!$A$1:$B$63,2,0),0)</f>
        <v>0</v>
      </c>
      <c r="AY362" s="138">
        <f>IF('1.DATOS-PROD'!BH363="SI",VLOOKUP('1.DATOS-PROD'!BH$2,'1.PUNTOS'!$A$1:$B$63,2,0),0)</f>
        <v>0</v>
      </c>
      <c r="AZ362" s="138">
        <f>IF('1.DATOS-PROD'!BI363="SI",VLOOKUP('1.DATOS-PROD'!BI$2,'1.PUNTOS'!$A$1:$B$63,2,0),0)</f>
        <v>0</v>
      </c>
      <c r="BA362" s="138">
        <f>IF('1.DATOS-PROD'!BJ363="SI",VLOOKUP('1.DATOS-PROD'!BJ$2,'1.PUNTOS'!$A$1:$B$63,2,0),0)</f>
        <v>0</v>
      </c>
      <c r="BB362" s="138">
        <f>IF('1.DATOS-PROD'!BK363="SI",VLOOKUP('1.DATOS-PROD'!BK$2,'1.PUNTOS'!$A$1:$B$63,2,0),0)</f>
        <v>0</v>
      </c>
      <c r="BC362" s="138">
        <f>IF('1.DATOS-PROD'!BL363="SI",VLOOKUP('1.DATOS-PROD'!BL$2,'1.PUNTOS'!$A$1:$B$63,2,0),0)</f>
        <v>0</v>
      </c>
      <c r="BD362" s="138">
        <f>IF('1.DATOS-PROD'!BM363="SI",VLOOKUP('1.DATOS-PROD'!BM$2,'1.PUNTOS'!$A$1:$B$63,2,0),0)</f>
        <v>0</v>
      </c>
      <c r="BE362" s="138">
        <f>IF('1.DATOS-PROD'!BN363="SI",VLOOKUP('1.DATOS-PROD'!BN$2,'1.PUNTOS'!$A$1:$B$63,2,0),0)</f>
        <v>0</v>
      </c>
      <c r="BF362" s="138">
        <f>IF('1.DATOS-PROD'!BO363="SI",VLOOKUP('1.DATOS-PROD'!BO$2,'1.PUNTOS'!$A$1:$B$63,2,0),0)</f>
        <v>0</v>
      </c>
      <c r="BG362" s="138">
        <f>IF('1.DATOS-PROD'!BP363="SI",VLOOKUP('1.DATOS-PROD'!BP$2,'1.PUNTOS'!$A$1:$B$63,2,0),0)</f>
        <v>0</v>
      </c>
      <c r="BH362" s="138">
        <f>IF('1.DATOS-PROD'!BQ363="SI",VLOOKUP('1.DATOS-PROD'!BQ$2,'1.PUNTOS'!$A$1:$B$63,2,0),0)</f>
        <v>0</v>
      </c>
      <c r="BI362" s="138">
        <f>IF('1.DATOS-PROD'!BR363="SI",VLOOKUP('1.DATOS-PROD'!BR$2,'1.PUNTOS'!$A$1:$B$63,2,0),0)</f>
        <v>0</v>
      </c>
      <c r="BJ362" s="138">
        <f>IF('1.DATOS-PROD'!BS363="SI",VLOOKUP('1.DATOS-PROD'!BS$2,'1.PUNTOS'!$A$1:$B$63,2,0),0)</f>
        <v>0</v>
      </c>
      <c r="BK362" s="138">
        <f>IF('1.DATOS-PROD'!BT363="SI",VLOOKUP('1.DATOS-PROD'!BT$2,'1.PUNTOS'!$A$1:$B$63,2,0),0)</f>
        <v>0</v>
      </c>
    </row>
    <row r="363" spans="1:63" x14ac:dyDescent="0.25">
      <c r="A363">
        <f>'0.Consolidado general'!$A364</f>
        <v>0</v>
      </c>
      <c r="B363" s="138">
        <f>IF('1.DATOS-PROD'!K364="SI",VLOOKUP('1.DATOS-PROD'!K$2,'1.PUNTOS'!$A$1:$B$63,2,0),0)</f>
        <v>0</v>
      </c>
      <c r="C363" s="138">
        <f>IF('1.DATOS-PROD'!L364="SI",VLOOKUP('1.DATOS-PROD'!L$2,'1.PUNTOS'!$A$1:$B$63,2,0),0)</f>
        <v>0</v>
      </c>
      <c r="D363" s="138">
        <f>IF('1.DATOS-PROD'!M364="SI",VLOOKUP('1.DATOS-PROD'!M$2,'1.PUNTOS'!$A$1:$B$63,2,0),0)</f>
        <v>0</v>
      </c>
      <c r="E363" s="138">
        <f>IF('1.DATOS-PROD'!N364="SI",VLOOKUP('1.DATOS-PROD'!N$2,'1.PUNTOS'!$A$1:$B$63,2,0),0)</f>
        <v>0</v>
      </c>
      <c r="F363" s="138">
        <f>IF('1.DATOS-PROD'!O364="SI",VLOOKUP('1.DATOS-PROD'!O$2,'1.PUNTOS'!$A$1:$B$63,2,0),0)</f>
        <v>0</v>
      </c>
      <c r="G363" s="138">
        <f>IF('1.DATOS-PROD'!P364="SI",VLOOKUP('1.DATOS-PROD'!P$2,'1.PUNTOS'!$A$1:$B$63,2,0),0)</f>
        <v>0</v>
      </c>
      <c r="H363" s="138">
        <f>IF('1.DATOS-PROD'!Q364="SI",VLOOKUP('1.DATOS-PROD'!Q$2,'1.PUNTOS'!$A$1:$B$63,2,0),0)</f>
        <v>0</v>
      </c>
      <c r="I363" s="138">
        <f>IF('1.DATOS-PROD'!R364="SI",VLOOKUP('1.DATOS-PROD'!R$2,'1.PUNTOS'!$A$1:$B$63,2,0),0)</f>
        <v>0</v>
      </c>
      <c r="J363" s="138">
        <f>IF('1.DATOS-PROD'!S364="SI",VLOOKUP('1.DATOS-PROD'!S$2,'1.PUNTOS'!$A$1:$B$63,2,0),0)</f>
        <v>0</v>
      </c>
      <c r="K363" s="138">
        <f>IF('1.DATOS-PROD'!T364="SI",VLOOKUP('1.DATOS-PROD'!T$2,'1.PUNTOS'!$A$1:$B$63,2,0),0)</f>
        <v>0</v>
      </c>
      <c r="L363" s="138">
        <f>IF('1.DATOS-PROD'!U364="SI",VLOOKUP('1.DATOS-PROD'!U$2,'1.PUNTOS'!$A$1:$B$63,2,0),0)</f>
        <v>0</v>
      </c>
      <c r="M363" s="138">
        <f>IF('1.DATOS-PROD'!V364="SI",VLOOKUP('1.DATOS-PROD'!V$2,'1.PUNTOS'!$A$1:$B$63,2,0),0)</f>
        <v>0</v>
      </c>
      <c r="N363" s="138">
        <f>IF('1.DATOS-PROD'!W364="SI",VLOOKUP('1.DATOS-PROD'!W$2,'1.PUNTOS'!$A$1:$B$63,2,0),0)</f>
        <v>0</v>
      </c>
      <c r="O363" s="138">
        <f>IF('1.DATOS-PROD'!X364="SI",VLOOKUP('1.DATOS-PROD'!X$2,'1.PUNTOS'!$A$1:$B$63,2,0),0)</f>
        <v>0</v>
      </c>
      <c r="P363" s="138">
        <f>IF('1.DATOS-PROD'!Y364="SI",VLOOKUP('1.DATOS-PROD'!Y$2,'1.PUNTOS'!$A$1:$B$63,2,0),0)</f>
        <v>0</v>
      </c>
      <c r="Q363" s="138">
        <f>IF('1.DATOS-PROD'!Z364="SI",VLOOKUP('1.DATOS-PROD'!Z$2,'1.PUNTOS'!$A$1:$B$63,2,0),0)</f>
        <v>0</v>
      </c>
      <c r="R363" s="138">
        <f>IF('1.DATOS-PROD'!AA364="SI",VLOOKUP('1.DATOS-PROD'!AA$2,'1.PUNTOS'!$A$1:$B$63,2,0),0)</f>
        <v>0</v>
      </c>
      <c r="S363" s="138">
        <f>IF('1.DATOS-PROD'!AB364="SI",VLOOKUP('1.DATOS-PROD'!AB$2,'1.PUNTOS'!$A$1:$B$63,2,0),0)</f>
        <v>0</v>
      </c>
      <c r="T363" s="138">
        <f>IF('1.DATOS-PROD'!AC364="SI",VLOOKUP('1.DATOS-PROD'!AC$2,'1.PUNTOS'!$A$1:$B$63,2,0),0)</f>
        <v>0</v>
      </c>
      <c r="U363" s="138">
        <f>IF('1.DATOS-PROD'!AD364="SI",VLOOKUP('1.DATOS-PROD'!AD$2,'1.PUNTOS'!$A$1:$B$63,2,0),0)</f>
        <v>0</v>
      </c>
      <c r="V363" s="138">
        <f>IF('1.DATOS-PROD'!AE364="SI",VLOOKUP('1.DATOS-PROD'!AE$2,'1.PUNTOS'!$A$1:$B$63,2,0),0)</f>
        <v>0</v>
      </c>
      <c r="W363" s="138">
        <f>IF('1.DATOS-PROD'!AF364="SI",VLOOKUP('1.DATOS-PROD'!AF$2,'1.PUNTOS'!$A$1:$B$63,2,0),0)</f>
        <v>0</v>
      </c>
      <c r="X363" s="138">
        <f>IF('1.DATOS-PROD'!AG364="SI",VLOOKUP('1.DATOS-PROD'!AG$2,'1.PUNTOS'!$A$1:$B$63,2,0),0)</f>
        <v>0</v>
      </c>
      <c r="Y363" s="138">
        <f>IF('1.DATOS-PROD'!AH364="SI",VLOOKUP('1.DATOS-PROD'!AH$2,'1.PUNTOS'!$A$1:$B$63,2,0),0)</f>
        <v>0</v>
      </c>
      <c r="Z363" s="138">
        <f>IF('1.DATOS-PROD'!AI364="SI",VLOOKUP('1.DATOS-PROD'!AI$2,'1.PUNTOS'!$A$1:$B$63,2,0),0)</f>
        <v>0</v>
      </c>
      <c r="AA363" s="138">
        <f>IF('1.DATOS-PROD'!AJ364="SI",VLOOKUP('1.DATOS-PROD'!AJ$2,'1.PUNTOS'!$A$1:$B$63,2,0),0)</f>
        <v>0</v>
      </c>
      <c r="AB363" s="138">
        <f>IF('1.DATOS-PROD'!AK364="SI",VLOOKUP('1.DATOS-PROD'!AK$2,'1.PUNTOS'!$A$1:$B$63,2,0),0)</f>
        <v>0</v>
      </c>
      <c r="AC363" s="138">
        <f>IF('1.DATOS-PROD'!AL364="SI",VLOOKUP('1.DATOS-PROD'!AL$2,'1.PUNTOS'!$A$1:$B$63,2,0),0)</f>
        <v>0</v>
      </c>
      <c r="AD363" s="138">
        <f>IF('1.DATOS-PROD'!AM364="SI",VLOOKUP('1.DATOS-PROD'!AM$2,'1.PUNTOS'!$A$1:$B$63,2,0),0)</f>
        <v>0</v>
      </c>
      <c r="AE363" s="138">
        <f>IF('1.DATOS-PROD'!AN364="SI",VLOOKUP('1.DATOS-PROD'!AN$2,'1.PUNTOS'!$A$1:$B$63,2,0),0)</f>
        <v>0</v>
      </c>
      <c r="AF363" s="138">
        <f>IF('1.DATOS-PROD'!AO364="SI",VLOOKUP('1.DATOS-PROD'!AO$2,'1.PUNTOS'!$A$1:$B$63,2,0),0)</f>
        <v>0</v>
      </c>
      <c r="AG363" s="138">
        <f>IF('1.DATOS-PROD'!AP364="SI",VLOOKUP('1.DATOS-PROD'!AP$2,'1.PUNTOS'!$A$1:$B$63,2,0),0)</f>
        <v>0</v>
      </c>
      <c r="AH363" s="138">
        <f>IF('1.DATOS-PROD'!AQ364="SI",VLOOKUP('1.DATOS-PROD'!AQ$2,'1.PUNTOS'!$A$1:$B$63,2,0),0)</f>
        <v>0</v>
      </c>
      <c r="AI363" s="138">
        <f>IF('1.DATOS-PROD'!AR364="SI",VLOOKUP('1.DATOS-PROD'!AR$2,'1.PUNTOS'!$A$1:$B$63,2,0),0)</f>
        <v>0</v>
      </c>
      <c r="AJ363" s="138">
        <f>IF('1.DATOS-PROD'!AS364="SI",VLOOKUP('1.DATOS-PROD'!AS$2,'1.PUNTOS'!$A$1:$B$63,2,0),0)</f>
        <v>0</v>
      </c>
      <c r="AK363" s="138">
        <f>IF('1.DATOS-PROD'!AT364="SI",VLOOKUP('1.DATOS-PROD'!AT$2,'1.PUNTOS'!$A$1:$B$63,2,0),0)</f>
        <v>0</v>
      </c>
      <c r="AL363" s="138">
        <f>IF('1.DATOS-PROD'!AU364="SI",VLOOKUP('1.DATOS-PROD'!AU$2,'1.PUNTOS'!$A$1:$B$63,2,0),0)</f>
        <v>0</v>
      </c>
      <c r="AM363" s="138">
        <f>IF('1.DATOS-PROD'!AV364="SI",VLOOKUP('1.DATOS-PROD'!AV$2,'1.PUNTOS'!$A$1:$B$63,2,0),0)</f>
        <v>0</v>
      </c>
      <c r="AN363" s="138">
        <f>IF('1.DATOS-PROD'!AW364="SI",VLOOKUP('1.DATOS-PROD'!AW$2,'1.PUNTOS'!$A$1:$B$63,2,0),0)</f>
        <v>0</v>
      </c>
      <c r="AO363" s="138">
        <f>IF('1.DATOS-PROD'!AX364="SI",VLOOKUP('1.DATOS-PROD'!AX$2,'1.PUNTOS'!$A$1:$B$63,2,0),0)</f>
        <v>0</v>
      </c>
      <c r="AP363" s="138">
        <f>IF('1.DATOS-PROD'!AY364="SI",VLOOKUP('1.DATOS-PROD'!AY$2,'1.PUNTOS'!$A$1:$B$63,2,0),0)</f>
        <v>0</v>
      </c>
      <c r="AQ363" s="138">
        <f>IF('1.DATOS-PROD'!AZ364="SI",VLOOKUP('1.DATOS-PROD'!AZ$2,'1.PUNTOS'!$A$1:$B$63,2,0),0)</f>
        <v>0</v>
      </c>
      <c r="AR363" s="138">
        <f>IF('1.DATOS-PROD'!BA364="SI",VLOOKUP('1.DATOS-PROD'!BA$2,'1.PUNTOS'!$A$1:$B$63,2,0),0)</f>
        <v>0</v>
      </c>
      <c r="AS363" s="138">
        <f>IF('1.DATOS-PROD'!BB364="SI",VLOOKUP('1.DATOS-PROD'!BB$2,'1.PUNTOS'!$A$1:$B$63,2,0),0)</f>
        <v>0</v>
      </c>
      <c r="AT363" s="138">
        <f>IF('1.DATOS-PROD'!BC364="SI",VLOOKUP('1.DATOS-PROD'!BC$2,'1.PUNTOS'!$A$1:$B$63,2,0),0)</f>
        <v>0</v>
      </c>
      <c r="AU363" s="138">
        <f>IF('1.DATOS-PROD'!BD364="SI",VLOOKUP('1.DATOS-PROD'!BD$2,'1.PUNTOS'!$A$1:$B$63,2,0),0)</f>
        <v>0</v>
      </c>
      <c r="AV363" s="138">
        <f>IF('1.DATOS-PROD'!BE364="SI",VLOOKUP('1.DATOS-PROD'!BE$2,'1.PUNTOS'!$A$1:$B$63,2,0),0)</f>
        <v>0</v>
      </c>
      <c r="AW363" s="138">
        <f>IF('1.DATOS-PROD'!BF364="SI",VLOOKUP('1.DATOS-PROD'!BF$2,'1.PUNTOS'!$A$1:$B$63,2,0),0)</f>
        <v>0</v>
      </c>
      <c r="AX363" s="138">
        <f>IF('1.DATOS-PROD'!BG364="SI",VLOOKUP('1.DATOS-PROD'!BG$2,'1.PUNTOS'!$A$1:$B$63,2,0),0)</f>
        <v>0</v>
      </c>
      <c r="AY363" s="138">
        <f>IF('1.DATOS-PROD'!BH364="SI",VLOOKUP('1.DATOS-PROD'!BH$2,'1.PUNTOS'!$A$1:$B$63,2,0),0)</f>
        <v>0</v>
      </c>
      <c r="AZ363" s="138">
        <f>IF('1.DATOS-PROD'!BI364="SI",VLOOKUP('1.DATOS-PROD'!BI$2,'1.PUNTOS'!$A$1:$B$63,2,0),0)</f>
        <v>0</v>
      </c>
      <c r="BA363" s="138">
        <f>IF('1.DATOS-PROD'!BJ364="SI",VLOOKUP('1.DATOS-PROD'!BJ$2,'1.PUNTOS'!$A$1:$B$63,2,0),0)</f>
        <v>0</v>
      </c>
      <c r="BB363" s="138">
        <f>IF('1.DATOS-PROD'!BK364="SI",VLOOKUP('1.DATOS-PROD'!BK$2,'1.PUNTOS'!$A$1:$B$63,2,0),0)</f>
        <v>0</v>
      </c>
      <c r="BC363" s="138">
        <f>IF('1.DATOS-PROD'!BL364="SI",VLOOKUP('1.DATOS-PROD'!BL$2,'1.PUNTOS'!$A$1:$B$63,2,0),0)</f>
        <v>0</v>
      </c>
      <c r="BD363" s="138">
        <f>IF('1.DATOS-PROD'!BM364="SI",VLOOKUP('1.DATOS-PROD'!BM$2,'1.PUNTOS'!$A$1:$B$63,2,0),0)</f>
        <v>0</v>
      </c>
      <c r="BE363" s="138">
        <f>IF('1.DATOS-PROD'!BN364="SI",VLOOKUP('1.DATOS-PROD'!BN$2,'1.PUNTOS'!$A$1:$B$63,2,0),0)</f>
        <v>0</v>
      </c>
      <c r="BF363" s="138">
        <f>IF('1.DATOS-PROD'!BO364="SI",VLOOKUP('1.DATOS-PROD'!BO$2,'1.PUNTOS'!$A$1:$B$63,2,0),0)</f>
        <v>0</v>
      </c>
      <c r="BG363" s="138">
        <f>IF('1.DATOS-PROD'!BP364="SI",VLOOKUP('1.DATOS-PROD'!BP$2,'1.PUNTOS'!$A$1:$B$63,2,0),0)</f>
        <v>0</v>
      </c>
      <c r="BH363" s="138">
        <f>IF('1.DATOS-PROD'!BQ364="SI",VLOOKUP('1.DATOS-PROD'!BQ$2,'1.PUNTOS'!$A$1:$B$63,2,0),0)</f>
        <v>0</v>
      </c>
      <c r="BI363" s="138">
        <f>IF('1.DATOS-PROD'!BR364="SI",VLOOKUP('1.DATOS-PROD'!BR$2,'1.PUNTOS'!$A$1:$B$63,2,0),0)</f>
        <v>0</v>
      </c>
      <c r="BJ363" s="138">
        <f>IF('1.DATOS-PROD'!BS364="SI",VLOOKUP('1.DATOS-PROD'!BS$2,'1.PUNTOS'!$A$1:$B$63,2,0),0)</f>
        <v>0</v>
      </c>
      <c r="BK363" s="138">
        <f>IF('1.DATOS-PROD'!BT364="SI",VLOOKUP('1.DATOS-PROD'!BT$2,'1.PUNTOS'!$A$1:$B$63,2,0),0)</f>
        <v>0</v>
      </c>
    </row>
    <row r="364" spans="1:63" x14ac:dyDescent="0.25">
      <c r="A364">
        <f>'0.Consolidado general'!$A365</f>
        <v>0</v>
      </c>
      <c r="B364" s="138">
        <f>IF('1.DATOS-PROD'!K365="SI",VLOOKUP('1.DATOS-PROD'!K$2,'1.PUNTOS'!$A$1:$B$63,2,0),0)</f>
        <v>0</v>
      </c>
      <c r="C364" s="138">
        <f>IF('1.DATOS-PROD'!L365="SI",VLOOKUP('1.DATOS-PROD'!L$2,'1.PUNTOS'!$A$1:$B$63,2,0),0)</f>
        <v>0</v>
      </c>
      <c r="D364" s="138">
        <f>IF('1.DATOS-PROD'!M365="SI",VLOOKUP('1.DATOS-PROD'!M$2,'1.PUNTOS'!$A$1:$B$63,2,0),0)</f>
        <v>0</v>
      </c>
      <c r="E364" s="138">
        <f>IF('1.DATOS-PROD'!N365="SI",VLOOKUP('1.DATOS-PROD'!N$2,'1.PUNTOS'!$A$1:$B$63,2,0),0)</f>
        <v>0</v>
      </c>
      <c r="F364" s="138">
        <f>IF('1.DATOS-PROD'!O365="SI",VLOOKUP('1.DATOS-PROD'!O$2,'1.PUNTOS'!$A$1:$B$63,2,0),0)</f>
        <v>0</v>
      </c>
      <c r="G364" s="138">
        <f>IF('1.DATOS-PROD'!P365="SI",VLOOKUP('1.DATOS-PROD'!P$2,'1.PUNTOS'!$A$1:$B$63,2,0),0)</f>
        <v>0</v>
      </c>
      <c r="H364" s="138">
        <f>IF('1.DATOS-PROD'!Q365="SI",VLOOKUP('1.DATOS-PROD'!Q$2,'1.PUNTOS'!$A$1:$B$63,2,0),0)</f>
        <v>0</v>
      </c>
      <c r="I364" s="138">
        <f>IF('1.DATOS-PROD'!R365="SI",VLOOKUP('1.DATOS-PROD'!R$2,'1.PUNTOS'!$A$1:$B$63,2,0),0)</f>
        <v>0</v>
      </c>
      <c r="J364" s="138">
        <f>IF('1.DATOS-PROD'!S365="SI",VLOOKUP('1.DATOS-PROD'!S$2,'1.PUNTOS'!$A$1:$B$63,2,0),0)</f>
        <v>0</v>
      </c>
      <c r="K364" s="138">
        <f>IF('1.DATOS-PROD'!T365="SI",VLOOKUP('1.DATOS-PROD'!T$2,'1.PUNTOS'!$A$1:$B$63,2,0),0)</f>
        <v>0</v>
      </c>
      <c r="L364" s="138">
        <f>IF('1.DATOS-PROD'!U365="SI",VLOOKUP('1.DATOS-PROD'!U$2,'1.PUNTOS'!$A$1:$B$63,2,0),0)</f>
        <v>0</v>
      </c>
      <c r="M364" s="138">
        <f>IF('1.DATOS-PROD'!V365="SI",VLOOKUP('1.DATOS-PROD'!V$2,'1.PUNTOS'!$A$1:$B$63,2,0),0)</f>
        <v>0</v>
      </c>
      <c r="N364" s="138">
        <f>IF('1.DATOS-PROD'!W365="SI",VLOOKUP('1.DATOS-PROD'!W$2,'1.PUNTOS'!$A$1:$B$63,2,0),0)</f>
        <v>0</v>
      </c>
      <c r="O364" s="138">
        <f>IF('1.DATOS-PROD'!X365="SI",VLOOKUP('1.DATOS-PROD'!X$2,'1.PUNTOS'!$A$1:$B$63,2,0),0)</f>
        <v>0</v>
      </c>
      <c r="P364" s="138">
        <f>IF('1.DATOS-PROD'!Y365="SI",VLOOKUP('1.DATOS-PROD'!Y$2,'1.PUNTOS'!$A$1:$B$63,2,0),0)</f>
        <v>0</v>
      </c>
      <c r="Q364" s="138">
        <f>IF('1.DATOS-PROD'!Z365="SI",VLOOKUP('1.DATOS-PROD'!Z$2,'1.PUNTOS'!$A$1:$B$63,2,0),0)</f>
        <v>0</v>
      </c>
      <c r="R364" s="138">
        <f>IF('1.DATOS-PROD'!AA365="SI",VLOOKUP('1.DATOS-PROD'!AA$2,'1.PUNTOS'!$A$1:$B$63,2,0),0)</f>
        <v>0</v>
      </c>
      <c r="S364" s="138">
        <f>IF('1.DATOS-PROD'!AB365="SI",VLOOKUP('1.DATOS-PROD'!AB$2,'1.PUNTOS'!$A$1:$B$63,2,0),0)</f>
        <v>0</v>
      </c>
      <c r="T364" s="138">
        <f>IF('1.DATOS-PROD'!AC365="SI",VLOOKUP('1.DATOS-PROD'!AC$2,'1.PUNTOS'!$A$1:$B$63,2,0),0)</f>
        <v>0</v>
      </c>
      <c r="U364" s="138">
        <f>IF('1.DATOS-PROD'!AD365="SI",VLOOKUP('1.DATOS-PROD'!AD$2,'1.PUNTOS'!$A$1:$B$63,2,0),0)</f>
        <v>0</v>
      </c>
      <c r="V364" s="138">
        <f>IF('1.DATOS-PROD'!AE365="SI",VLOOKUP('1.DATOS-PROD'!AE$2,'1.PUNTOS'!$A$1:$B$63,2,0),0)</f>
        <v>0</v>
      </c>
      <c r="W364" s="138">
        <f>IF('1.DATOS-PROD'!AF365="SI",VLOOKUP('1.DATOS-PROD'!AF$2,'1.PUNTOS'!$A$1:$B$63,2,0),0)</f>
        <v>0</v>
      </c>
      <c r="X364" s="138">
        <f>IF('1.DATOS-PROD'!AG365="SI",VLOOKUP('1.DATOS-PROD'!AG$2,'1.PUNTOS'!$A$1:$B$63,2,0),0)</f>
        <v>0</v>
      </c>
      <c r="Y364" s="138">
        <f>IF('1.DATOS-PROD'!AH365="SI",VLOOKUP('1.DATOS-PROD'!AH$2,'1.PUNTOS'!$A$1:$B$63,2,0),0)</f>
        <v>0</v>
      </c>
      <c r="Z364" s="138">
        <f>IF('1.DATOS-PROD'!AI365="SI",VLOOKUP('1.DATOS-PROD'!AI$2,'1.PUNTOS'!$A$1:$B$63,2,0),0)</f>
        <v>0</v>
      </c>
      <c r="AA364" s="138">
        <f>IF('1.DATOS-PROD'!AJ365="SI",VLOOKUP('1.DATOS-PROD'!AJ$2,'1.PUNTOS'!$A$1:$B$63,2,0),0)</f>
        <v>0</v>
      </c>
      <c r="AB364" s="138">
        <f>IF('1.DATOS-PROD'!AK365="SI",VLOOKUP('1.DATOS-PROD'!AK$2,'1.PUNTOS'!$A$1:$B$63,2,0),0)</f>
        <v>0</v>
      </c>
      <c r="AC364" s="138">
        <f>IF('1.DATOS-PROD'!AL365="SI",VLOOKUP('1.DATOS-PROD'!AL$2,'1.PUNTOS'!$A$1:$B$63,2,0),0)</f>
        <v>0</v>
      </c>
      <c r="AD364" s="138">
        <f>IF('1.DATOS-PROD'!AM365="SI",VLOOKUP('1.DATOS-PROD'!AM$2,'1.PUNTOS'!$A$1:$B$63,2,0),0)</f>
        <v>0</v>
      </c>
      <c r="AE364" s="138">
        <f>IF('1.DATOS-PROD'!AN365="SI",VLOOKUP('1.DATOS-PROD'!AN$2,'1.PUNTOS'!$A$1:$B$63,2,0),0)</f>
        <v>0</v>
      </c>
      <c r="AF364" s="138">
        <f>IF('1.DATOS-PROD'!AO365="SI",VLOOKUP('1.DATOS-PROD'!AO$2,'1.PUNTOS'!$A$1:$B$63,2,0),0)</f>
        <v>0</v>
      </c>
      <c r="AG364" s="138">
        <f>IF('1.DATOS-PROD'!AP365="SI",VLOOKUP('1.DATOS-PROD'!AP$2,'1.PUNTOS'!$A$1:$B$63,2,0),0)</f>
        <v>0</v>
      </c>
      <c r="AH364" s="138">
        <f>IF('1.DATOS-PROD'!AQ365="SI",VLOOKUP('1.DATOS-PROD'!AQ$2,'1.PUNTOS'!$A$1:$B$63,2,0),0)</f>
        <v>0</v>
      </c>
      <c r="AI364" s="138">
        <f>IF('1.DATOS-PROD'!AR365="SI",VLOOKUP('1.DATOS-PROD'!AR$2,'1.PUNTOS'!$A$1:$B$63,2,0),0)</f>
        <v>0</v>
      </c>
      <c r="AJ364" s="138">
        <f>IF('1.DATOS-PROD'!AS365="SI",VLOOKUP('1.DATOS-PROD'!AS$2,'1.PUNTOS'!$A$1:$B$63,2,0),0)</f>
        <v>0</v>
      </c>
      <c r="AK364" s="138">
        <f>IF('1.DATOS-PROD'!AT365="SI",VLOOKUP('1.DATOS-PROD'!AT$2,'1.PUNTOS'!$A$1:$B$63,2,0),0)</f>
        <v>0</v>
      </c>
      <c r="AL364" s="138">
        <f>IF('1.DATOS-PROD'!AU365="SI",VLOOKUP('1.DATOS-PROD'!AU$2,'1.PUNTOS'!$A$1:$B$63,2,0),0)</f>
        <v>0</v>
      </c>
      <c r="AM364" s="138">
        <f>IF('1.DATOS-PROD'!AV365="SI",VLOOKUP('1.DATOS-PROD'!AV$2,'1.PUNTOS'!$A$1:$B$63,2,0),0)</f>
        <v>0</v>
      </c>
      <c r="AN364" s="138">
        <f>IF('1.DATOS-PROD'!AW365="SI",VLOOKUP('1.DATOS-PROD'!AW$2,'1.PUNTOS'!$A$1:$B$63,2,0),0)</f>
        <v>0</v>
      </c>
      <c r="AO364" s="138">
        <f>IF('1.DATOS-PROD'!AX365="SI",VLOOKUP('1.DATOS-PROD'!AX$2,'1.PUNTOS'!$A$1:$B$63,2,0),0)</f>
        <v>0</v>
      </c>
      <c r="AP364" s="138">
        <f>IF('1.DATOS-PROD'!AY365="SI",VLOOKUP('1.DATOS-PROD'!AY$2,'1.PUNTOS'!$A$1:$B$63,2,0),0)</f>
        <v>0</v>
      </c>
      <c r="AQ364" s="138">
        <f>IF('1.DATOS-PROD'!AZ365="SI",VLOOKUP('1.DATOS-PROD'!AZ$2,'1.PUNTOS'!$A$1:$B$63,2,0),0)</f>
        <v>0</v>
      </c>
      <c r="AR364" s="138">
        <f>IF('1.DATOS-PROD'!BA365="SI",VLOOKUP('1.DATOS-PROD'!BA$2,'1.PUNTOS'!$A$1:$B$63,2,0),0)</f>
        <v>0</v>
      </c>
      <c r="AS364" s="138">
        <f>IF('1.DATOS-PROD'!BB365="SI",VLOOKUP('1.DATOS-PROD'!BB$2,'1.PUNTOS'!$A$1:$B$63,2,0),0)</f>
        <v>0</v>
      </c>
      <c r="AT364" s="138">
        <f>IF('1.DATOS-PROD'!BC365="SI",VLOOKUP('1.DATOS-PROD'!BC$2,'1.PUNTOS'!$A$1:$B$63,2,0),0)</f>
        <v>0</v>
      </c>
      <c r="AU364" s="138">
        <f>IF('1.DATOS-PROD'!BD365="SI",VLOOKUP('1.DATOS-PROD'!BD$2,'1.PUNTOS'!$A$1:$B$63,2,0),0)</f>
        <v>0</v>
      </c>
      <c r="AV364" s="138">
        <f>IF('1.DATOS-PROD'!BE365="SI",VLOOKUP('1.DATOS-PROD'!BE$2,'1.PUNTOS'!$A$1:$B$63,2,0),0)</f>
        <v>0</v>
      </c>
      <c r="AW364" s="138">
        <f>IF('1.DATOS-PROD'!BF365="SI",VLOOKUP('1.DATOS-PROD'!BF$2,'1.PUNTOS'!$A$1:$B$63,2,0),0)</f>
        <v>0</v>
      </c>
      <c r="AX364" s="138">
        <f>IF('1.DATOS-PROD'!BG365="SI",VLOOKUP('1.DATOS-PROD'!BG$2,'1.PUNTOS'!$A$1:$B$63,2,0),0)</f>
        <v>0</v>
      </c>
      <c r="AY364" s="138">
        <f>IF('1.DATOS-PROD'!BH365="SI",VLOOKUP('1.DATOS-PROD'!BH$2,'1.PUNTOS'!$A$1:$B$63,2,0),0)</f>
        <v>0</v>
      </c>
      <c r="AZ364" s="138">
        <f>IF('1.DATOS-PROD'!BI365="SI",VLOOKUP('1.DATOS-PROD'!BI$2,'1.PUNTOS'!$A$1:$B$63,2,0),0)</f>
        <v>0</v>
      </c>
      <c r="BA364" s="138">
        <f>IF('1.DATOS-PROD'!BJ365="SI",VLOOKUP('1.DATOS-PROD'!BJ$2,'1.PUNTOS'!$A$1:$B$63,2,0),0)</f>
        <v>0</v>
      </c>
      <c r="BB364" s="138">
        <f>IF('1.DATOS-PROD'!BK365="SI",VLOOKUP('1.DATOS-PROD'!BK$2,'1.PUNTOS'!$A$1:$B$63,2,0),0)</f>
        <v>0</v>
      </c>
      <c r="BC364" s="138">
        <f>IF('1.DATOS-PROD'!BL365="SI",VLOOKUP('1.DATOS-PROD'!BL$2,'1.PUNTOS'!$A$1:$B$63,2,0),0)</f>
        <v>0</v>
      </c>
      <c r="BD364" s="138">
        <f>IF('1.DATOS-PROD'!BM365="SI",VLOOKUP('1.DATOS-PROD'!BM$2,'1.PUNTOS'!$A$1:$B$63,2,0),0)</f>
        <v>0</v>
      </c>
      <c r="BE364" s="138">
        <f>IF('1.DATOS-PROD'!BN365="SI",VLOOKUP('1.DATOS-PROD'!BN$2,'1.PUNTOS'!$A$1:$B$63,2,0),0)</f>
        <v>0</v>
      </c>
      <c r="BF364" s="138">
        <f>IF('1.DATOS-PROD'!BO365="SI",VLOOKUP('1.DATOS-PROD'!BO$2,'1.PUNTOS'!$A$1:$B$63,2,0),0)</f>
        <v>0</v>
      </c>
      <c r="BG364" s="138">
        <f>IF('1.DATOS-PROD'!BP365="SI",VLOOKUP('1.DATOS-PROD'!BP$2,'1.PUNTOS'!$A$1:$B$63,2,0),0)</f>
        <v>0</v>
      </c>
      <c r="BH364" s="138">
        <f>IF('1.DATOS-PROD'!BQ365="SI",VLOOKUP('1.DATOS-PROD'!BQ$2,'1.PUNTOS'!$A$1:$B$63,2,0),0)</f>
        <v>0</v>
      </c>
      <c r="BI364" s="138">
        <f>IF('1.DATOS-PROD'!BR365="SI",VLOOKUP('1.DATOS-PROD'!BR$2,'1.PUNTOS'!$A$1:$B$63,2,0),0)</f>
        <v>0</v>
      </c>
      <c r="BJ364" s="138">
        <f>IF('1.DATOS-PROD'!BS365="SI",VLOOKUP('1.DATOS-PROD'!BS$2,'1.PUNTOS'!$A$1:$B$63,2,0),0)</f>
        <v>0</v>
      </c>
      <c r="BK364" s="138">
        <f>IF('1.DATOS-PROD'!BT365="SI",VLOOKUP('1.DATOS-PROD'!BT$2,'1.PUNTOS'!$A$1:$B$63,2,0),0)</f>
        <v>0</v>
      </c>
    </row>
    <row r="365" spans="1:63" x14ac:dyDescent="0.25">
      <c r="A365">
        <f>'0.Consolidado general'!$A366</f>
        <v>0</v>
      </c>
      <c r="B365" s="138">
        <f>IF('1.DATOS-PROD'!K366="SI",VLOOKUP('1.DATOS-PROD'!K$2,'1.PUNTOS'!$A$1:$B$63,2,0),0)</f>
        <v>0</v>
      </c>
      <c r="C365" s="138">
        <f>IF('1.DATOS-PROD'!L366="SI",VLOOKUP('1.DATOS-PROD'!L$2,'1.PUNTOS'!$A$1:$B$63,2,0),0)</f>
        <v>0</v>
      </c>
      <c r="D365" s="138">
        <f>IF('1.DATOS-PROD'!M366="SI",VLOOKUP('1.DATOS-PROD'!M$2,'1.PUNTOS'!$A$1:$B$63,2,0),0)</f>
        <v>0</v>
      </c>
      <c r="E365" s="138">
        <f>IF('1.DATOS-PROD'!N366="SI",VLOOKUP('1.DATOS-PROD'!N$2,'1.PUNTOS'!$A$1:$B$63,2,0),0)</f>
        <v>0</v>
      </c>
      <c r="F365" s="138">
        <f>IF('1.DATOS-PROD'!O366="SI",VLOOKUP('1.DATOS-PROD'!O$2,'1.PUNTOS'!$A$1:$B$63,2,0),0)</f>
        <v>0</v>
      </c>
      <c r="G365" s="138">
        <f>IF('1.DATOS-PROD'!P366="SI",VLOOKUP('1.DATOS-PROD'!P$2,'1.PUNTOS'!$A$1:$B$63,2,0),0)</f>
        <v>0</v>
      </c>
      <c r="H365" s="138">
        <f>IF('1.DATOS-PROD'!Q366="SI",VLOOKUP('1.DATOS-PROD'!Q$2,'1.PUNTOS'!$A$1:$B$63,2,0),0)</f>
        <v>0</v>
      </c>
      <c r="I365" s="138">
        <f>IF('1.DATOS-PROD'!R366="SI",VLOOKUP('1.DATOS-PROD'!R$2,'1.PUNTOS'!$A$1:$B$63,2,0),0)</f>
        <v>0</v>
      </c>
      <c r="J365" s="138">
        <f>IF('1.DATOS-PROD'!S366="SI",VLOOKUP('1.DATOS-PROD'!S$2,'1.PUNTOS'!$A$1:$B$63,2,0),0)</f>
        <v>0</v>
      </c>
      <c r="K365" s="138">
        <f>IF('1.DATOS-PROD'!T366="SI",VLOOKUP('1.DATOS-PROD'!T$2,'1.PUNTOS'!$A$1:$B$63,2,0),0)</f>
        <v>0</v>
      </c>
      <c r="L365" s="138">
        <f>IF('1.DATOS-PROD'!U366="SI",VLOOKUP('1.DATOS-PROD'!U$2,'1.PUNTOS'!$A$1:$B$63,2,0),0)</f>
        <v>0</v>
      </c>
      <c r="M365" s="138">
        <f>IF('1.DATOS-PROD'!V366="SI",VLOOKUP('1.DATOS-PROD'!V$2,'1.PUNTOS'!$A$1:$B$63,2,0),0)</f>
        <v>0</v>
      </c>
      <c r="N365" s="138">
        <f>IF('1.DATOS-PROD'!W366="SI",VLOOKUP('1.DATOS-PROD'!W$2,'1.PUNTOS'!$A$1:$B$63,2,0),0)</f>
        <v>0</v>
      </c>
      <c r="O365" s="138">
        <f>IF('1.DATOS-PROD'!X366="SI",VLOOKUP('1.DATOS-PROD'!X$2,'1.PUNTOS'!$A$1:$B$63,2,0),0)</f>
        <v>0</v>
      </c>
      <c r="P365" s="138">
        <f>IF('1.DATOS-PROD'!Y366="SI",VLOOKUP('1.DATOS-PROD'!Y$2,'1.PUNTOS'!$A$1:$B$63,2,0),0)</f>
        <v>0</v>
      </c>
      <c r="Q365" s="138">
        <f>IF('1.DATOS-PROD'!Z366="SI",VLOOKUP('1.DATOS-PROD'!Z$2,'1.PUNTOS'!$A$1:$B$63,2,0),0)</f>
        <v>0</v>
      </c>
      <c r="R365" s="138">
        <f>IF('1.DATOS-PROD'!AA366="SI",VLOOKUP('1.DATOS-PROD'!AA$2,'1.PUNTOS'!$A$1:$B$63,2,0),0)</f>
        <v>0</v>
      </c>
      <c r="S365" s="138">
        <f>IF('1.DATOS-PROD'!AB366="SI",VLOOKUP('1.DATOS-PROD'!AB$2,'1.PUNTOS'!$A$1:$B$63,2,0),0)</f>
        <v>0</v>
      </c>
      <c r="T365" s="138">
        <f>IF('1.DATOS-PROD'!AC366="SI",VLOOKUP('1.DATOS-PROD'!AC$2,'1.PUNTOS'!$A$1:$B$63,2,0),0)</f>
        <v>0</v>
      </c>
      <c r="U365" s="138">
        <f>IF('1.DATOS-PROD'!AD366="SI",VLOOKUP('1.DATOS-PROD'!AD$2,'1.PUNTOS'!$A$1:$B$63,2,0),0)</f>
        <v>0</v>
      </c>
      <c r="V365" s="138">
        <f>IF('1.DATOS-PROD'!AE366="SI",VLOOKUP('1.DATOS-PROD'!AE$2,'1.PUNTOS'!$A$1:$B$63,2,0),0)</f>
        <v>0</v>
      </c>
      <c r="W365" s="138">
        <f>IF('1.DATOS-PROD'!AF366="SI",VLOOKUP('1.DATOS-PROD'!AF$2,'1.PUNTOS'!$A$1:$B$63,2,0),0)</f>
        <v>0</v>
      </c>
      <c r="X365" s="138">
        <f>IF('1.DATOS-PROD'!AG366="SI",VLOOKUP('1.DATOS-PROD'!AG$2,'1.PUNTOS'!$A$1:$B$63,2,0),0)</f>
        <v>0</v>
      </c>
      <c r="Y365" s="138">
        <f>IF('1.DATOS-PROD'!AH366="SI",VLOOKUP('1.DATOS-PROD'!AH$2,'1.PUNTOS'!$A$1:$B$63,2,0),0)</f>
        <v>0</v>
      </c>
      <c r="Z365" s="138">
        <f>IF('1.DATOS-PROD'!AI366="SI",VLOOKUP('1.DATOS-PROD'!AI$2,'1.PUNTOS'!$A$1:$B$63,2,0),0)</f>
        <v>0</v>
      </c>
      <c r="AA365" s="138">
        <f>IF('1.DATOS-PROD'!AJ366="SI",VLOOKUP('1.DATOS-PROD'!AJ$2,'1.PUNTOS'!$A$1:$B$63,2,0),0)</f>
        <v>0</v>
      </c>
      <c r="AB365" s="138">
        <f>IF('1.DATOS-PROD'!AK366="SI",VLOOKUP('1.DATOS-PROD'!AK$2,'1.PUNTOS'!$A$1:$B$63,2,0),0)</f>
        <v>0</v>
      </c>
      <c r="AC365" s="138">
        <f>IF('1.DATOS-PROD'!AL366="SI",VLOOKUP('1.DATOS-PROD'!AL$2,'1.PUNTOS'!$A$1:$B$63,2,0),0)</f>
        <v>0</v>
      </c>
      <c r="AD365" s="138">
        <f>IF('1.DATOS-PROD'!AM366="SI",VLOOKUP('1.DATOS-PROD'!AM$2,'1.PUNTOS'!$A$1:$B$63,2,0),0)</f>
        <v>0</v>
      </c>
      <c r="AE365" s="138">
        <f>IF('1.DATOS-PROD'!AN366="SI",VLOOKUP('1.DATOS-PROD'!AN$2,'1.PUNTOS'!$A$1:$B$63,2,0),0)</f>
        <v>0</v>
      </c>
      <c r="AF365" s="138">
        <f>IF('1.DATOS-PROD'!AO366="SI",VLOOKUP('1.DATOS-PROD'!AO$2,'1.PUNTOS'!$A$1:$B$63,2,0),0)</f>
        <v>0</v>
      </c>
      <c r="AG365" s="138">
        <f>IF('1.DATOS-PROD'!AP366="SI",VLOOKUP('1.DATOS-PROD'!AP$2,'1.PUNTOS'!$A$1:$B$63,2,0),0)</f>
        <v>0</v>
      </c>
      <c r="AH365" s="138">
        <f>IF('1.DATOS-PROD'!AQ366="SI",VLOOKUP('1.DATOS-PROD'!AQ$2,'1.PUNTOS'!$A$1:$B$63,2,0),0)</f>
        <v>0</v>
      </c>
      <c r="AI365" s="138">
        <f>IF('1.DATOS-PROD'!AR366="SI",VLOOKUP('1.DATOS-PROD'!AR$2,'1.PUNTOS'!$A$1:$B$63,2,0),0)</f>
        <v>0</v>
      </c>
      <c r="AJ365" s="138">
        <f>IF('1.DATOS-PROD'!AS366="SI",VLOOKUP('1.DATOS-PROD'!AS$2,'1.PUNTOS'!$A$1:$B$63,2,0),0)</f>
        <v>0</v>
      </c>
      <c r="AK365" s="138">
        <f>IF('1.DATOS-PROD'!AT366="SI",VLOOKUP('1.DATOS-PROD'!AT$2,'1.PUNTOS'!$A$1:$B$63,2,0),0)</f>
        <v>0</v>
      </c>
      <c r="AL365" s="138">
        <f>IF('1.DATOS-PROD'!AU366="SI",VLOOKUP('1.DATOS-PROD'!AU$2,'1.PUNTOS'!$A$1:$B$63,2,0),0)</f>
        <v>0</v>
      </c>
      <c r="AM365" s="138">
        <f>IF('1.DATOS-PROD'!AV366="SI",VLOOKUP('1.DATOS-PROD'!AV$2,'1.PUNTOS'!$A$1:$B$63,2,0),0)</f>
        <v>0</v>
      </c>
      <c r="AN365" s="138">
        <f>IF('1.DATOS-PROD'!AW366="SI",VLOOKUP('1.DATOS-PROD'!AW$2,'1.PUNTOS'!$A$1:$B$63,2,0),0)</f>
        <v>0</v>
      </c>
      <c r="AO365" s="138">
        <f>IF('1.DATOS-PROD'!AX366="SI",VLOOKUP('1.DATOS-PROD'!AX$2,'1.PUNTOS'!$A$1:$B$63,2,0),0)</f>
        <v>0</v>
      </c>
      <c r="AP365" s="138">
        <f>IF('1.DATOS-PROD'!AY366="SI",VLOOKUP('1.DATOS-PROD'!AY$2,'1.PUNTOS'!$A$1:$B$63,2,0),0)</f>
        <v>0</v>
      </c>
      <c r="AQ365" s="138">
        <f>IF('1.DATOS-PROD'!AZ366="SI",VLOOKUP('1.DATOS-PROD'!AZ$2,'1.PUNTOS'!$A$1:$B$63,2,0),0)</f>
        <v>0</v>
      </c>
      <c r="AR365" s="138">
        <f>IF('1.DATOS-PROD'!BA366="SI",VLOOKUP('1.DATOS-PROD'!BA$2,'1.PUNTOS'!$A$1:$B$63,2,0),0)</f>
        <v>0</v>
      </c>
      <c r="AS365" s="138">
        <f>IF('1.DATOS-PROD'!BB366="SI",VLOOKUP('1.DATOS-PROD'!BB$2,'1.PUNTOS'!$A$1:$B$63,2,0),0)</f>
        <v>0</v>
      </c>
      <c r="AT365" s="138">
        <f>IF('1.DATOS-PROD'!BC366="SI",VLOOKUP('1.DATOS-PROD'!BC$2,'1.PUNTOS'!$A$1:$B$63,2,0),0)</f>
        <v>0</v>
      </c>
      <c r="AU365" s="138">
        <f>IF('1.DATOS-PROD'!BD366="SI",VLOOKUP('1.DATOS-PROD'!BD$2,'1.PUNTOS'!$A$1:$B$63,2,0),0)</f>
        <v>0</v>
      </c>
      <c r="AV365" s="138">
        <f>IF('1.DATOS-PROD'!BE366="SI",VLOOKUP('1.DATOS-PROD'!BE$2,'1.PUNTOS'!$A$1:$B$63,2,0),0)</f>
        <v>0</v>
      </c>
      <c r="AW365" s="138">
        <f>IF('1.DATOS-PROD'!BF366="SI",VLOOKUP('1.DATOS-PROD'!BF$2,'1.PUNTOS'!$A$1:$B$63,2,0),0)</f>
        <v>0</v>
      </c>
      <c r="AX365" s="138">
        <f>IF('1.DATOS-PROD'!BG366="SI",VLOOKUP('1.DATOS-PROD'!BG$2,'1.PUNTOS'!$A$1:$B$63,2,0),0)</f>
        <v>0</v>
      </c>
      <c r="AY365" s="138">
        <f>IF('1.DATOS-PROD'!BH366="SI",VLOOKUP('1.DATOS-PROD'!BH$2,'1.PUNTOS'!$A$1:$B$63,2,0),0)</f>
        <v>0</v>
      </c>
      <c r="AZ365" s="138">
        <f>IF('1.DATOS-PROD'!BI366="SI",VLOOKUP('1.DATOS-PROD'!BI$2,'1.PUNTOS'!$A$1:$B$63,2,0),0)</f>
        <v>0</v>
      </c>
      <c r="BA365" s="138">
        <f>IF('1.DATOS-PROD'!BJ366="SI",VLOOKUP('1.DATOS-PROD'!BJ$2,'1.PUNTOS'!$A$1:$B$63,2,0),0)</f>
        <v>0</v>
      </c>
      <c r="BB365" s="138">
        <f>IF('1.DATOS-PROD'!BK366="SI",VLOOKUP('1.DATOS-PROD'!BK$2,'1.PUNTOS'!$A$1:$B$63,2,0),0)</f>
        <v>0</v>
      </c>
      <c r="BC365" s="138">
        <f>IF('1.DATOS-PROD'!BL366="SI",VLOOKUP('1.DATOS-PROD'!BL$2,'1.PUNTOS'!$A$1:$B$63,2,0),0)</f>
        <v>0</v>
      </c>
      <c r="BD365" s="138">
        <f>IF('1.DATOS-PROD'!BM366="SI",VLOOKUP('1.DATOS-PROD'!BM$2,'1.PUNTOS'!$A$1:$B$63,2,0),0)</f>
        <v>0</v>
      </c>
      <c r="BE365" s="138">
        <f>IF('1.DATOS-PROD'!BN366="SI",VLOOKUP('1.DATOS-PROD'!BN$2,'1.PUNTOS'!$A$1:$B$63,2,0),0)</f>
        <v>0</v>
      </c>
      <c r="BF365" s="138">
        <f>IF('1.DATOS-PROD'!BO366="SI",VLOOKUP('1.DATOS-PROD'!BO$2,'1.PUNTOS'!$A$1:$B$63,2,0),0)</f>
        <v>0</v>
      </c>
      <c r="BG365" s="138">
        <f>IF('1.DATOS-PROD'!BP366="SI",VLOOKUP('1.DATOS-PROD'!BP$2,'1.PUNTOS'!$A$1:$B$63,2,0),0)</f>
        <v>0</v>
      </c>
      <c r="BH365" s="138">
        <f>IF('1.DATOS-PROD'!BQ366="SI",VLOOKUP('1.DATOS-PROD'!BQ$2,'1.PUNTOS'!$A$1:$B$63,2,0),0)</f>
        <v>0</v>
      </c>
      <c r="BI365" s="138">
        <f>IF('1.DATOS-PROD'!BR366="SI",VLOOKUP('1.DATOS-PROD'!BR$2,'1.PUNTOS'!$A$1:$B$63,2,0),0)</f>
        <v>0</v>
      </c>
      <c r="BJ365" s="138">
        <f>IF('1.DATOS-PROD'!BS366="SI",VLOOKUP('1.DATOS-PROD'!BS$2,'1.PUNTOS'!$A$1:$B$63,2,0),0)</f>
        <v>0</v>
      </c>
      <c r="BK365" s="138">
        <f>IF('1.DATOS-PROD'!BT366="SI",VLOOKUP('1.DATOS-PROD'!BT$2,'1.PUNTOS'!$A$1:$B$63,2,0),0)</f>
        <v>0</v>
      </c>
    </row>
    <row r="366" spans="1:63" x14ac:dyDescent="0.25">
      <c r="A366">
        <f>'0.Consolidado general'!$A367</f>
        <v>0</v>
      </c>
      <c r="B366" s="138">
        <f>IF('1.DATOS-PROD'!K367="SI",VLOOKUP('1.DATOS-PROD'!K$2,'1.PUNTOS'!$A$1:$B$63,2,0),0)</f>
        <v>0</v>
      </c>
      <c r="C366" s="138">
        <f>IF('1.DATOS-PROD'!L367="SI",VLOOKUP('1.DATOS-PROD'!L$2,'1.PUNTOS'!$A$1:$B$63,2,0),0)</f>
        <v>0</v>
      </c>
      <c r="D366" s="138">
        <f>IF('1.DATOS-PROD'!M367="SI",VLOOKUP('1.DATOS-PROD'!M$2,'1.PUNTOS'!$A$1:$B$63,2,0),0)</f>
        <v>0</v>
      </c>
      <c r="E366" s="138">
        <f>IF('1.DATOS-PROD'!N367="SI",VLOOKUP('1.DATOS-PROD'!N$2,'1.PUNTOS'!$A$1:$B$63,2,0),0)</f>
        <v>0</v>
      </c>
      <c r="F366" s="138">
        <f>IF('1.DATOS-PROD'!O367="SI",VLOOKUP('1.DATOS-PROD'!O$2,'1.PUNTOS'!$A$1:$B$63,2,0),0)</f>
        <v>0</v>
      </c>
      <c r="G366" s="138">
        <f>IF('1.DATOS-PROD'!P367="SI",VLOOKUP('1.DATOS-PROD'!P$2,'1.PUNTOS'!$A$1:$B$63,2,0),0)</f>
        <v>0</v>
      </c>
      <c r="H366" s="138">
        <f>IF('1.DATOS-PROD'!Q367="SI",VLOOKUP('1.DATOS-PROD'!Q$2,'1.PUNTOS'!$A$1:$B$63,2,0),0)</f>
        <v>0</v>
      </c>
      <c r="I366" s="138">
        <f>IF('1.DATOS-PROD'!R367="SI",VLOOKUP('1.DATOS-PROD'!R$2,'1.PUNTOS'!$A$1:$B$63,2,0),0)</f>
        <v>0</v>
      </c>
      <c r="J366" s="138">
        <f>IF('1.DATOS-PROD'!S367="SI",VLOOKUP('1.DATOS-PROD'!S$2,'1.PUNTOS'!$A$1:$B$63,2,0),0)</f>
        <v>0</v>
      </c>
      <c r="K366" s="138">
        <f>IF('1.DATOS-PROD'!T367="SI",VLOOKUP('1.DATOS-PROD'!T$2,'1.PUNTOS'!$A$1:$B$63,2,0),0)</f>
        <v>0</v>
      </c>
      <c r="L366" s="138">
        <f>IF('1.DATOS-PROD'!U367="SI",VLOOKUP('1.DATOS-PROD'!U$2,'1.PUNTOS'!$A$1:$B$63,2,0),0)</f>
        <v>0</v>
      </c>
      <c r="M366" s="138">
        <f>IF('1.DATOS-PROD'!V367="SI",VLOOKUP('1.DATOS-PROD'!V$2,'1.PUNTOS'!$A$1:$B$63,2,0),0)</f>
        <v>0</v>
      </c>
      <c r="N366" s="138">
        <f>IF('1.DATOS-PROD'!W367="SI",VLOOKUP('1.DATOS-PROD'!W$2,'1.PUNTOS'!$A$1:$B$63,2,0),0)</f>
        <v>0</v>
      </c>
      <c r="O366" s="138">
        <f>IF('1.DATOS-PROD'!X367="SI",VLOOKUP('1.DATOS-PROD'!X$2,'1.PUNTOS'!$A$1:$B$63,2,0),0)</f>
        <v>0</v>
      </c>
      <c r="P366" s="138">
        <f>IF('1.DATOS-PROD'!Y367="SI",VLOOKUP('1.DATOS-PROD'!Y$2,'1.PUNTOS'!$A$1:$B$63,2,0),0)</f>
        <v>0</v>
      </c>
      <c r="Q366" s="138">
        <f>IF('1.DATOS-PROD'!Z367="SI",VLOOKUP('1.DATOS-PROD'!Z$2,'1.PUNTOS'!$A$1:$B$63,2,0),0)</f>
        <v>0</v>
      </c>
      <c r="R366" s="138">
        <f>IF('1.DATOS-PROD'!AA367="SI",VLOOKUP('1.DATOS-PROD'!AA$2,'1.PUNTOS'!$A$1:$B$63,2,0),0)</f>
        <v>0</v>
      </c>
      <c r="S366" s="138">
        <f>IF('1.DATOS-PROD'!AB367="SI",VLOOKUP('1.DATOS-PROD'!AB$2,'1.PUNTOS'!$A$1:$B$63,2,0),0)</f>
        <v>0</v>
      </c>
      <c r="T366" s="138">
        <f>IF('1.DATOS-PROD'!AC367="SI",VLOOKUP('1.DATOS-PROD'!AC$2,'1.PUNTOS'!$A$1:$B$63,2,0),0)</f>
        <v>0</v>
      </c>
      <c r="U366" s="138">
        <f>IF('1.DATOS-PROD'!AD367="SI",VLOOKUP('1.DATOS-PROD'!AD$2,'1.PUNTOS'!$A$1:$B$63,2,0),0)</f>
        <v>0</v>
      </c>
      <c r="V366" s="138">
        <f>IF('1.DATOS-PROD'!AE367="SI",VLOOKUP('1.DATOS-PROD'!AE$2,'1.PUNTOS'!$A$1:$B$63,2,0),0)</f>
        <v>0</v>
      </c>
      <c r="W366" s="138">
        <f>IF('1.DATOS-PROD'!AF367="SI",VLOOKUP('1.DATOS-PROD'!AF$2,'1.PUNTOS'!$A$1:$B$63,2,0),0)</f>
        <v>0</v>
      </c>
      <c r="X366" s="138">
        <f>IF('1.DATOS-PROD'!AG367="SI",VLOOKUP('1.DATOS-PROD'!AG$2,'1.PUNTOS'!$A$1:$B$63,2,0),0)</f>
        <v>0</v>
      </c>
      <c r="Y366" s="138">
        <f>IF('1.DATOS-PROD'!AH367="SI",VLOOKUP('1.DATOS-PROD'!AH$2,'1.PUNTOS'!$A$1:$B$63,2,0),0)</f>
        <v>0</v>
      </c>
      <c r="Z366" s="138">
        <f>IF('1.DATOS-PROD'!AI367="SI",VLOOKUP('1.DATOS-PROD'!AI$2,'1.PUNTOS'!$A$1:$B$63,2,0),0)</f>
        <v>0</v>
      </c>
      <c r="AA366" s="138">
        <f>IF('1.DATOS-PROD'!AJ367="SI",VLOOKUP('1.DATOS-PROD'!AJ$2,'1.PUNTOS'!$A$1:$B$63,2,0),0)</f>
        <v>0</v>
      </c>
      <c r="AB366" s="138">
        <f>IF('1.DATOS-PROD'!AK367="SI",VLOOKUP('1.DATOS-PROD'!AK$2,'1.PUNTOS'!$A$1:$B$63,2,0),0)</f>
        <v>0</v>
      </c>
      <c r="AC366" s="138">
        <f>IF('1.DATOS-PROD'!AL367="SI",VLOOKUP('1.DATOS-PROD'!AL$2,'1.PUNTOS'!$A$1:$B$63,2,0),0)</f>
        <v>0</v>
      </c>
      <c r="AD366" s="138">
        <f>IF('1.DATOS-PROD'!AM367="SI",VLOOKUP('1.DATOS-PROD'!AM$2,'1.PUNTOS'!$A$1:$B$63,2,0),0)</f>
        <v>0</v>
      </c>
      <c r="AE366" s="138">
        <f>IF('1.DATOS-PROD'!AN367="SI",VLOOKUP('1.DATOS-PROD'!AN$2,'1.PUNTOS'!$A$1:$B$63,2,0),0)</f>
        <v>0</v>
      </c>
      <c r="AF366" s="138">
        <f>IF('1.DATOS-PROD'!AO367="SI",VLOOKUP('1.DATOS-PROD'!AO$2,'1.PUNTOS'!$A$1:$B$63,2,0),0)</f>
        <v>0</v>
      </c>
      <c r="AG366" s="138">
        <f>IF('1.DATOS-PROD'!AP367="SI",VLOOKUP('1.DATOS-PROD'!AP$2,'1.PUNTOS'!$A$1:$B$63,2,0),0)</f>
        <v>0</v>
      </c>
      <c r="AH366" s="138">
        <f>IF('1.DATOS-PROD'!AQ367="SI",VLOOKUP('1.DATOS-PROD'!AQ$2,'1.PUNTOS'!$A$1:$B$63,2,0),0)</f>
        <v>0</v>
      </c>
      <c r="AI366" s="138">
        <f>IF('1.DATOS-PROD'!AR367="SI",VLOOKUP('1.DATOS-PROD'!AR$2,'1.PUNTOS'!$A$1:$B$63,2,0),0)</f>
        <v>0</v>
      </c>
      <c r="AJ366" s="138">
        <f>IF('1.DATOS-PROD'!AS367="SI",VLOOKUP('1.DATOS-PROD'!AS$2,'1.PUNTOS'!$A$1:$B$63,2,0),0)</f>
        <v>0</v>
      </c>
      <c r="AK366" s="138">
        <f>IF('1.DATOS-PROD'!AT367="SI",VLOOKUP('1.DATOS-PROD'!AT$2,'1.PUNTOS'!$A$1:$B$63,2,0),0)</f>
        <v>0</v>
      </c>
      <c r="AL366" s="138">
        <f>IF('1.DATOS-PROD'!AU367="SI",VLOOKUP('1.DATOS-PROD'!AU$2,'1.PUNTOS'!$A$1:$B$63,2,0),0)</f>
        <v>0</v>
      </c>
      <c r="AM366" s="138">
        <f>IF('1.DATOS-PROD'!AV367="SI",VLOOKUP('1.DATOS-PROD'!AV$2,'1.PUNTOS'!$A$1:$B$63,2,0),0)</f>
        <v>0</v>
      </c>
      <c r="AN366" s="138">
        <f>IF('1.DATOS-PROD'!AW367="SI",VLOOKUP('1.DATOS-PROD'!AW$2,'1.PUNTOS'!$A$1:$B$63,2,0),0)</f>
        <v>0</v>
      </c>
      <c r="AO366" s="138">
        <f>IF('1.DATOS-PROD'!AX367="SI",VLOOKUP('1.DATOS-PROD'!AX$2,'1.PUNTOS'!$A$1:$B$63,2,0),0)</f>
        <v>0</v>
      </c>
      <c r="AP366" s="138">
        <f>IF('1.DATOS-PROD'!AY367="SI",VLOOKUP('1.DATOS-PROD'!AY$2,'1.PUNTOS'!$A$1:$B$63,2,0),0)</f>
        <v>0</v>
      </c>
      <c r="AQ366" s="138">
        <f>IF('1.DATOS-PROD'!AZ367="SI",VLOOKUP('1.DATOS-PROD'!AZ$2,'1.PUNTOS'!$A$1:$B$63,2,0),0)</f>
        <v>0</v>
      </c>
      <c r="AR366" s="138">
        <f>IF('1.DATOS-PROD'!BA367="SI",VLOOKUP('1.DATOS-PROD'!BA$2,'1.PUNTOS'!$A$1:$B$63,2,0),0)</f>
        <v>0</v>
      </c>
      <c r="AS366" s="138">
        <f>IF('1.DATOS-PROD'!BB367="SI",VLOOKUP('1.DATOS-PROD'!BB$2,'1.PUNTOS'!$A$1:$B$63,2,0),0)</f>
        <v>0</v>
      </c>
      <c r="AT366" s="138">
        <f>IF('1.DATOS-PROD'!BC367="SI",VLOOKUP('1.DATOS-PROD'!BC$2,'1.PUNTOS'!$A$1:$B$63,2,0),0)</f>
        <v>0</v>
      </c>
      <c r="AU366" s="138">
        <f>IF('1.DATOS-PROD'!BD367="SI",VLOOKUP('1.DATOS-PROD'!BD$2,'1.PUNTOS'!$A$1:$B$63,2,0),0)</f>
        <v>0</v>
      </c>
      <c r="AV366" s="138">
        <f>IF('1.DATOS-PROD'!BE367="SI",VLOOKUP('1.DATOS-PROD'!BE$2,'1.PUNTOS'!$A$1:$B$63,2,0),0)</f>
        <v>0</v>
      </c>
      <c r="AW366" s="138">
        <f>IF('1.DATOS-PROD'!BF367="SI",VLOOKUP('1.DATOS-PROD'!BF$2,'1.PUNTOS'!$A$1:$B$63,2,0),0)</f>
        <v>0</v>
      </c>
      <c r="AX366" s="138">
        <f>IF('1.DATOS-PROD'!BG367="SI",VLOOKUP('1.DATOS-PROD'!BG$2,'1.PUNTOS'!$A$1:$B$63,2,0),0)</f>
        <v>0</v>
      </c>
      <c r="AY366" s="138">
        <f>IF('1.DATOS-PROD'!BH367="SI",VLOOKUP('1.DATOS-PROD'!BH$2,'1.PUNTOS'!$A$1:$B$63,2,0),0)</f>
        <v>0</v>
      </c>
      <c r="AZ366" s="138">
        <f>IF('1.DATOS-PROD'!BI367="SI",VLOOKUP('1.DATOS-PROD'!BI$2,'1.PUNTOS'!$A$1:$B$63,2,0),0)</f>
        <v>0</v>
      </c>
      <c r="BA366" s="138">
        <f>IF('1.DATOS-PROD'!BJ367="SI",VLOOKUP('1.DATOS-PROD'!BJ$2,'1.PUNTOS'!$A$1:$B$63,2,0),0)</f>
        <v>0</v>
      </c>
      <c r="BB366" s="138">
        <f>IF('1.DATOS-PROD'!BK367="SI",VLOOKUP('1.DATOS-PROD'!BK$2,'1.PUNTOS'!$A$1:$B$63,2,0),0)</f>
        <v>0</v>
      </c>
      <c r="BC366" s="138">
        <f>IF('1.DATOS-PROD'!BL367="SI",VLOOKUP('1.DATOS-PROD'!BL$2,'1.PUNTOS'!$A$1:$B$63,2,0),0)</f>
        <v>0</v>
      </c>
      <c r="BD366" s="138">
        <f>IF('1.DATOS-PROD'!BM367="SI",VLOOKUP('1.DATOS-PROD'!BM$2,'1.PUNTOS'!$A$1:$B$63,2,0),0)</f>
        <v>0</v>
      </c>
      <c r="BE366" s="138">
        <f>IF('1.DATOS-PROD'!BN367="SI",VLOOKUP('1.DATOS-PROD'!BN$2,'1.PUNTOS'!$A$1:$B$63,2,0),0)</f>
        <v>0</v>
      </c>
      <c r="BF366" s="138">
        <f>IF('1.DATOS-PROD'!BO367="SI",VLOOKUP('1.DATOS-PROD'!BO$2,'1.PUNTOS'!$A$1:$B$63,2,0),0)</f>
        <v>0</v>
      </c>
      <c r="BG366" s="138">
        <f>IF('1.DATOS-PROD'!BP367="SI",VLOOKUP('1.DATOS-PROD'!BP$2,'1.PUNTOS'!$A$1:$B$63,2,0),0)</f>
        <v>0</v>
      </c>
      <c r="BH366" s="138">
        <f>IF('1.DATOS-PROD'!BQ367="SI",VLOOKUP('1.DATOS-PROD'!BQ$2,'1.PUNTOS'!$A$1:$B$63,2,0),0)</f>
        <v>0</v>
      </c>
      <c r="BI366" s="138">
        <f>IF('1.DATOS-PROD'!BR367="SI",VLOOKUP('1.DATOS-PROD'!BR$2,'1.PUNTOS'!$A$1:$B$63,2,0),0)</f>
        <v>0</v>
      </c>
      <c r="BJ366" s="138">
        <f>IF('1.DATOS-PROD'!BS367="SI",VLOOKUP('1.DATOS-PROD'!BS$2,'1.PUNTOS'!$A$1:$B$63,2,0),0)</f>
        <v>0</v>
      </c>
      <c r="BK366" s="138">
        <f>IF('1.DATOS-PROD'!BT367="SI",VLOOKUP('1.DATOS-PROD'!BT$2,'1.PUNTOS'!$A$1:$B$63,2,0),0)</f>
        <v>0</v>
      </c>
    </row>
    <row r="367" spans="1:63" x14ac:dyDescent="0.25">
      <c r="A367">
        <f>'0.Consolidado general'!$A368</f>
        <v>0</v>
      </c>
      <c r="B367" s="138">
        <f>IF('1.DATOS-PROD'!K368="SI",VLOOKUP('1.DATOS-PROD'!K$2,'1.PUNTOS'!$A$1:$B$63,2,0),0)</f>
        <v>0</v>
      </c>
      <c r="C367" s="138">
        <f>IF('1.DATOS-PROD'!L368="SI",VLOOKUP('1.DATOS-PROD'!L$2,'1.PUNTOS'!$A$1:$B$63,2,0),0)</f>
        <v>0</v>
      </c>
      <c r="D367" s="138">
        <f>IF('1.DATOS-PROD'!M368="SI",VLOOKUP('1.DATOS-PROD'!M$2,'1.PUNTOS'!$A$1:$B$63,2,0),0)</f>
        <v>0</v>
      </c>
      <c r="E367" s="138">
        <f>IF('1.DATOS-PROD'!N368="SI",VLOOKUP('1.DATOS-PROD'!N$2,'1.PUNTOS'!$A$1:$B$63,2,0),0)</f>
        <v>0</v>
      </c>
      <c r="F367" s="138">
        <f>IF('1.DATOS-PROD'!O368="SI",VLOOKUP('1.DATOS-PROD'!O$2,'1.PUNTOS'!$A$1:$B$63,2,0),0)</f>
        <v>0</v>
      </c>
      <c r="G367" s="138">
        <f>IF('1.DATOS-PROD'!P368="SI",VLOOKUP('1.DATOS-PROD'!P$2,'1.PUNTOS'!$A$1:$B$63,2,0),0)</f>
        <v>0</v>
      </c>
      <c r="H367" s="138">
        <f>IF('1.DATOS-PROD'!Q368="SI",VLOOKUP('1.DATOS-PROD'!Q$2,'1.PUNTOS'!$A$1:$B$63,2,0),0)</f>
        <v>0</v>
      </c>
      <c r="I367" s="138">
        <f>IF('1.DATOS-PROD'!R368="SI",VLOOKUP('1.DATOS-PROD'!R$2,'1.PUNTOS'!$A$1:$B$63,2,0),0)</f>
        <v>0</v>
      </c>
      <c r="J367" s="138">
        <f>IF('1.DATOS-PROD'!S368="SI",VLOOKUP('1.DATOS-PROD'!S$2,'1.PUNTOS'!$A$1:$B$63,2,0),0)</f>
        <v>0</v>
      </c>
      <c r="K367" s="138">
        <f>IF('1.DATOS-PROD'!T368="SI",VLOOKUP('1.DATOS-PROD'!T$2,'1.PUNTOS'!$A$1:$B$63,2,0),0)</f>
        <v>0</v>
      </c>
      <c r="L367" s="138">
        <f>IF('1.DATOS-PROD'!U368="SI",VLOOKUP('1.DATOS-PROD'!U$2,'1.PUNTOS'!$A$1:$B$63,2,0),0)</f>
        <v>0</v>
      </c>
      <c r="M367" s="138">
        <f>IF('1.DATOS-PROD'!V368="SI",VLOOKUP('1.DATOS-PROD'!V$2,'1.PUNTOS'!$A$1:$B$63,2,0),0)</f>
        <v>0</v>
      </c>
      <c r="N367" s="138">
        <f>IF('1.DATOS-PROD'!W368="SI",VLOOKUP('1.DATOS-PROD'!W$2,'1.PUNTOS'!$A$1:$B$63,2,0),0)</f>
        <v>0</v>
      </c>
      <c r="O367" s="138">
        <f>IF('1.DATOS-PROD'!X368="SI",VLOOKUP('1.DATOS-PROD'!X$2,'1.PUNTOS'!$A$1:$B$63,2,0),0)</f>
        <v>0</v>
      </c>
      <c r="P367" s="138">
        <f>IF('1.DATOS-PROD'!Y368="SI",VLOOKUP('1.DATOS-PROD'!Y$2,'1.PUNTOS'!$A$1:$B$63,2,0),0)</f>
        <v>0</v>
      </c>
      <c r="Q367" s="138">
        <f>IF('1.DATOS-PROD'!Z368="SI",VLOOKUP('1.DATOS-PROD'!Z$2,'1.PUNTOS'!$A$1:$B$63,2,0),0)</f>
        <v>0</v>
      </c>
      <c r="R367" s="138">
        <f>IF('1.DATOS-PROD'!AA368="SI",VLOOKUP('1.DATOS-PROD'!AA$2,'1.PUNTOS'!$A$1:$B$63,2,0),0)</f>
        <v>0</v>
      </c>
      <c r="S367" s="138">
        <f>IF('1.DATOS-PROD'!AB368="SI",VLOOKUP('1.DATOS-PROD'!AB$2,'1.PUNTOS'!$A$1:$B$63,2,0),0)</f>
        <v>0</v>
      </c>
      <c r="T367" s="138">
        <f>IF('1.DATOS-PROD'!AC368="SI",VLOOKUP('1.DATOS-PROD'!AC$2,'1.PUNTOS'!$A$1:$B$63,2,0),0)</f>
        <v>0</v>
      </c>
      <c r="U367" s="138">
        <f>IF('1.DATOS-PROD'!AD368="SI",VLOOKUP('1.DATOS-PROD'!AD$2,'1.PUNTOS'!$A$1:$B$63,2,0),0)</f>
        <v>0</v>
      </c>
      <c r="V367" s="138">
        <f>IF('1.DATOS-PROD'!AE368="SI",VLOOKUP('1.DATOS-PROD'!AE$2,'1.PUNTOS'!$A$1:$B$63,2,0),0)</f>
        <v>0</v>
      </c>
      <c r="W367" s="138">
        <f>IF('1.DATOS-PROD'!AF368="SI",VLOOKUP('1.DATOS-PROD'!AF$2,'1.PUNTOS'!$A$1:$B$63,2,0),0)</f>
        <v>0</v>
      </c>
      <c r="X367" s="138">
        <f>IF('1.DATOS-PROD'!AG368="SI",VLOOKUP('1.DATOS-PROD'!AG$2,'1.PUNTOS'!$A$1:$B$63,2,0),0)</f>
        <v>0</v>
      </c>
      <c r="Y367" s="138">
        <f>IF('1.DATOS-PROD'!AH368="SI",VLOOKUP('1.DATOS-PROD'!AH$2,'1.PUNTOS'!$A$1:$B$63,2,0),0)</f>
        <v>0</v>
      </c>
      <c r="Z367" s="138">
        <f>IF('1.DATOS-PROD'!AI368="SI",VLOOKUP('1.DATOS-PROD'!AI$2,'1.PUNTOS'!$A$1:$B$63,2,0),0)</f>
        <v>0</v>
      </c>
      <c r="AA367" s="138">
        <f>IF('1.DATOS-PROD'!AJ368="SI",VLOOKUP('1.DATOS-PROD'!AJ$2,'1.PUNTOS'!$A$1:$B$63,2,0),0)</f>
        <v>0</v>
      </c>
      <c r="AB367" s="138">
        <f>IF('1.DATOS-PROD'!AK368="SI",VLOOKUP('1.DATOS-PROD'!AK$2,'1.PUNTOS'!$A$1:$B$63,2,0),0)</f>
        <v>0</v>
      </c>
      <c r="AC367" s="138">
        <f>IF('1.DATOS-PROD'!AL368="SI",VLOOKUP('1.DATOS-PROD'!AL$2,'1.PUNTOS'!$A$1:$B$63,2,0),0)</f>
        <v>0</v>
      </c>
      <c r="AD367" s="138">
        <f>IF('1.DATOS-PROD'!AM368="SI",VLOOKUP('1.DATOS-PROD'!AM$2,'1.PUNTOS'!$A$1:$B$63,2,0),0)</f>
        <v>0</v>
      </c>
      <c r="AE367" s="138">
        <f>IF('1.DATOS-PROD'!AN368="SI",VLOOKUP('1.DATOS-PROD'!AN$2,'1.PUNTOS'!$A$1:$B$63,2,0),0)</f>
        <v>0</v>
      </c>
      <c r="AF367" s="138">
        <f>IF('1.DATOS-PROD'!AO368="SI",VLOOKUP('1.DATOS-PROD'!AO$2,'1.PUNTOS'!$A$1:$B$63,2,0),0)</f>
        <v>0</v>
      </c>
      <c r="AG367" s="138">
        <f>IF('1.DATOS-PROD'!AP368="SI",VLOOKUP('1.DATOS-PROD'!AP$2,'1.PUNTOS'!$A$1:$B$63,2,0),0)</f>
        <v>0</v>
      </c>
      <c r="AH367" s="138">
        <f>IF('1.DATOS-PROD'!AQ368="SI",VLOOKUP('1.DATOS-PROD'!AQ$2,'1.PUNTOS'!$A$1:$B$63,2,0),0)</f>
        <v>0</v>
      </c>
      <c r="AI367" s="138">
        <f>IF('1.DATOS-PROD'!AR368="SI",VLOOKUP('1.DATOS-PROD'!AR$2,'1.PUNTOS'!$A$1:$B$63,2,0),0)</f>
        <v>0</v>
      </c>
      <c r="AJ367" s="138">
        <f>IF('1.DATOS-PROD'!AS368="SI",VLOOKUP('1.DATOS-PROD'!AS$2,'1.PUNTOS'!$A$1:$B$63,2,0),0)</f>
        <v>0</v>
      </c>
      <c r="AK367" s="138">
        <f>IF('1.DATOS-PROD'!AT368="SI",VLOOKUP('1.DATOS-PROD'!AT$2,'1.PUNTOS'!$A$1:$B$63,2,0),0)</f>
        <v>0</v>
      </c>
      <c r="AL367" s="138">
        <f>IF('1.DATOS-PROD'!AU368="SI",VLOOKUP('1.DATOS-PROD'!AU$2,'1.PUNTOS'!$A$1:$B$63,2,0),0)</f>
        <v>0</v>
      </c>
      <c r="AM367" s="138">
        <f>IF('1.DATOS-PROD'!AV368="SI",VLOOKUP('1.DATOS-PROD'!AV$2,'1.PUNTOS'!$A$1:$B$63,2,0),0)</f>
        <v>0</v>
      </c>
      <c r="AN367" s="138">
        <f>IF('1.DATOS-PROD'!AW368="SI",VLOOKUP('1.DATOS-PROD'!AW$2,'1.PUNTOS'!$A$1:$B$63,2,0),0)</f>
        <v>0</v>
      </c>
      <c r="AO367" s="138">
        <f>IF('1.DATOS-PROD'!AX368="SI",VLOOKUP('1.DATOS-PROD'!AX$2,'1.PUNTOS'!$A$1:$B$63,2,0),0)</f>
        <v>0</v>
      </c>
      <c r="AP367" s="138">
        <f>IF('1.DATOS-PROD'!AY368="SI",VLOOKUP('1.DATOS-PROD'!AY$2,'1.PUNTOS'!$A$1:$B$63,2,0),0)</f>
        <v>0</v>
      </c>
      <c r="AQ367" s="138">
        <f>IF('1.DATOS-PROD'!AZ368="SI",VLOOKUP('1.DATOS-PROD'!AZ$2,'1.PUNTOS'!$A$1:$B$63,2,0),0)</f>
        <v>0</v>
      </c>
      <c r="AR367" s="138">
        <f>IF('1.DATOS-PROD'!BA368="SI",VLOOKUP('1.DATOS-PROD'!BA$2,'1.PUNTOS'!$A$1:$B$63,2,0),0)</f>
        <v>0</v>
      </c>
      <c r="AS367" s="138">
        <f>IF('1.DATOS-PROD'!BB368="SI",VLOOKUP('1.DATOS-PROD'!BB$2,'1.PUNTOS'!$A$1:$B$63,2,0),0)</f>
        <v>0</v>
      </c>
      <c r="AT367" s="138">
        <f>IF('1.DATOS-PROD'!BC368="SI",VLOOKUP('1.DATOS-PROD'!BC$2,'1.PUNTOS'!$A$1:$B$63,2,0),0)</f>
        <v>0</v>
      </c>
      <c r="AU367" s="138">
        <f>IF('1.DATOS-PROD'!BD368="SI",VLOOKUP('1.DATOS-PROD'!BD$2,'1.PUNTOS'!$A$1:$B$63,2,0),0)</f>
        <v>0</v>
      </c>
      <c r="AV367" s="138">
        <f>IF('1.DATOS-PROD'!BE368="SI",VLOOKUP('1.DATOS-PROD'!BE$2,'1.PUNTOS'!$A$1:$B$63,2,0),0)</f>
        <v>0</v>
      </c>
      <c r="AW367" s="138">
        <f>IF('1.DATOS-PROD'!BF368="SI",VLOOKUP('1.DATOS-PROD'!BF$2,'1.PUNTOS'!$A$1:$B$63,2,0),0)</f>
        <v>0</v>
      </c>
      <c r="AX367" s="138">
        <f>IF('1.DATOS-PROD'!BG368="SI",VLOOKUP('1.DATOS-PROD'!BG$2,'1.PUNTOS'!$A$1:$B$63,2,0),0)</f>
        <v>0</v>
      </c>
      <c r="AY367" s="138">
        <f>IF('1.DATOS-PROD'!BH368="SI",VLOOKUP('1.DATOS-PROD'!BH$2,'1.PUNTOS'!$A$1:$B$63,2,0),0)</f>
        <v>0</v>
      </c>
      <c r="AZ367" s="138">
        <f>IF('1.DATOS-PROD'!BI368="SI",VLOOKUP('1.DATOS-PROD'!BI$2,'1.PUNTOS'!$A$1:$B$63,2,0),0)</f>
        <v>0</v>
      </c>
      <c r="BA367" s="138">
        <f>IF('1.DATOS-PROD'!BJ368="SI",VLOOKUP('1.DATOS-PROD'!BJ$2,'1.PUNTOS'!$A$1:$B$63,2,0),0)</f>
        <v>0</v>
      </c>
      <c r="BB367" s="138">
        <f>IF('1.DATOS-PROD'!BK368="SI",VLOOKUP('1.DATOS-PROD'!BK$2,'1.PUNTOS'!$A$1:$B$63,2,0),0)</f>
        <v>0</v>
      </c>
      <c r="BC367" s="138">
        <f>IF('1.DATOS-PROD'!BL368="SI",VLOOKUP('1.DATOS-PROD'!BL$2,'1.PUNTOS'!$A$1:$B$63,2,0),0)</f>
        <v>0</v>
      </c>
      <c r="BD367" s="138">
        <f>IF('1.DATOS-PROD'!BM368="SI",VLOOKUP('1.DATOS-PROD'!BM$2,'1.PUNTOS'!$A$1:$B$63,2,0),0)</f>
        <v>0</v>
      </c>
      <c r="BE367" s="138">
        <f>IF('1.DATOS-PROD'!BN368="SI",VLOOKUP('1.DATOS-PROD'!BN$2,'1.PUNTOS'!$A$1:$B$63,2,0),0)</f>
        <v>0</v>
      </c>
      <c r="BF367" s="138">
        <f>IF('1.DATOS-PROD'!BO368="SI",VLOOKUP('1.DATOS-PROD'!BO$2,'1.PUNTOS'!$A$1:$B$63,2,0),0)</f>
        <v>0</v>
      </c>
      <c r="BG367" s="138">
        <f>IF('1.DATOS-PROD'!BP368="SI",VLOOKUP('1.DATOS-PROD'!BP$2,'1.PUNTOS'!$A$1:$B$63,2,0),0)</f>
        <v>0</v>
      </c>
      <c r="BH367" s="138">
        <f>IF('1.DATOS-PROD'!BQ368="SI",VLOOKUP('1.DATOS-PROD'!BQ$2,'1.PUNTOS'!$A$1:$B$63,2,0),0)</f>
        <v>0</v>
      </c>
      <c r="BI367" s="138">
        <f>IF('1.DATOS-PROD'!BR368="SI",VLOOKUP('1.DATOS-PROD'!BR$2,'1.PUNTOS'!$A$1:$B$63,2,0),0)</f>
        <v>0</v>
      </c>
      <c r="BJ367" s="138">
        <f>IF('1.DATOS-PROD'!BS368="SI",VLOOKUP('1.DATOS-PROD'!BS$2,'1.PUNTOS'!$A$1:$B$63,2,0),0)</f>
        <v>0</v>
      </c>
      <c r="BK367" s="138">
        <f>IF('1.DATOS-PROD'!BT368="SI",VLOOKUP('1.DATOS-PROD'!BT$2,'1.PUNTOS'!$A$1:$B$63,2,0),0)</f>
        <v>0</v>
      </c>
    </row>
    <row r="368" spans="1:63" x14ac:dyDescent="0.25">
      <c r="A368">
        <f>'0.Consolidado general'!$A369</f>
        <v>0</v>
      </c>
      <c r="B368" s="138">
        <f>IF('1.DATOS-PROD'!K369="SI",VLOOKUP('1.DATOS-PROD'!K$2,'1.PUNTOS'!$A$1:$B$63,2,0),0)</f>
        <v>0</v>
      </c>
      <c r="C368" s="138">
        <f>IF('1.DATOS-PROD'!L369="SI",VLOOKUP('1.DATOS-PROD'!L$2,'1.PUNTOS'!$A$1:$B$63,2,0),0)</f>
        <v>0</v>
      </c>
      <c r="D368" s="138">
        <f>IF('1.DATOS-PROD'!M369="SI",VLOOKUP('1.DATOS-PROD'!M$2,'1.PUNTOS'!$A$1:$B$63,2,0),0)</f>
        <v>0</v>
      </c>
      <c r="E368" s="138">
        <f>IF('1.DATOS-PROD'!N369="SI",VLOOKUP('1.DATOS-PROD'!N$2,'1.PUNTOS'!$A$1:$B$63,2,0),0)</f>
        <v>0</v>
      </c>
      <c r="F368" s="138">
        <f>IF('1.DATOS-PROD'!O369="SI",VLOOKUP('1.DATOS-PROD'!O$2,'1.PUNTOS'!$A$1:$B$63,2,0),0)</f>
        <v>0</v>
      </c>
      <c r="G368" s="138">
        <f>IF('1.DATOS-PROD'!P369="SI",VLOOKUP('1.DATOS-PROD'!P$2,'1.PUNTOS'!$A$1:$B$63,2,0),0)</f>
        <v>0</v>
      </c>
      <c r="H368" s="138">
        <f>IF('1.DATOS-PROD'!Q369="SI",VLOOKUP('1.DATOS-PROD'!Q$2,'1.PUNTOS'!$A$1:$B$63,2,0),0)</f>
        <v>0</v>
      </c>
      <c r="I368" s="138">
        <f>IF('1.DATOS-PROD'!R369="SI",VLOOKUP('1.DATOS-PROD'!R$2,'1.PUNTOS'!$A$1:$B$63,2,0),0)</f>
        <v>0</v>
      </c>
      <c r="J368" s="138">
        <f>IF('1.DATOS-PROD'!S369="SI",VLOOKUP('1.DATOS-PROD'!S$2,'1.PUNTOS'!$A$1:$B$63,2,0),0)</f>
        <v>0</v>
      </c>
      <c r="K368" s="138">
        <f>IF('1.DATOS-PROD'!T369="SI",VLOOKUP('1.DATOS-PROD'!T$2,'1.PUNTOS'!$A$1:$B$63,2,0),0)</f>
        <v>0</v>
      </c>
      <c r="L368" s="138">
        <f>IF('1.DATOS-PROD'!U369="SI",VLOOKUP('1.DATOS-PROD'!U$2,'1.PUNTOS'!$A$1:$B$63,2,0),0)</f>
        <v>0</v>
      </c>
      <c r="M368" s="138">
        <f>IF('1.DATOS-PROD'!V369="SI",VLOOKUP('1.DATOS-PROD'!V$2,'1.PUNTOS'!$A$1:$B$63,2,0),0)</f>
        <v>0</v>
      </c>
      <c r="N368" s="138">
        <f>IF('1.DATOS-PROD'!W369="SI",VLOOKUP('1.DATOS-PROD'!W$2,'1.PUNTOS'!$A$1:$B$63,2,0),0)</f>
        <v>0</v>
      </c>
      <c r="O368" s="138">
        <f>IF('1.DATOS-PROD'!X369="SI",VLOOKUP('1.DATOS-PROD'!X$2,'1.PUNTOS'!$A$1:$B$63,2,0),0)</f>
        <v>0</v>
      </c>
      <c r="P368" s="138">
        <f>IF('1.DATOS-PROD'!Y369="SI",VLOOKUP('1.DATOS-PROD'!Y$2,'1.PUNTOS'!$A$1:$B$63,2,0),0)</f>
        <v>0</v>
      </c>
      <c r="Q368" s="138">
        <f>IF('1.DATOS-PROD'!Z369="SI",VLOOKUP('1.DATOS-PROD'!Z$2,'1.PUNTOS'!$A$1:$B$63,2,0),0)</f>
        <v>0</v>
      </c>
      <c r="R368" s="138">
        <f>IF('1.DATOS-PROD'!AA369="SI",VLOOKUP('1.DATOS-PROD'!AA$2,'1.PUNTOS'!$A$1:$B$63,2,0),0)</f>
        <v>0</v>
      </c>
      <c r="S368" s="138">
        <f>IF('1.DATOS-PROD'!AB369="SI",VLOOKUP('1.DATOS-PROD'!AB$2,'1.PUNTOS'!$A$1:$B$63,2,0),0)</f>
        <v>0</v>
      </c>
      <c r="T368" s="138">
        <f>IF('1.DATOS-PROD'!AC369="SI",VLOOKUP('1.DATOS-PROD'!AC$2,'1.PUNTOS'!$A$1:$B$63,2,0),0)</f>
        <v>0</v>
      </c>
      <c r="U368" s="138">
        <f>IF('1.DATOS-PROD'!AD369="SI",VLOOKUP('1.DATOS-PROD'!AD$2,'1.PUNTOS'!$A$1:$B$63,2,0),0)</f>
        <v>0</v>
      </c>
      <c r="V368" s="138">
        <f>IF('1.DATOS-PROD'!AE369="SI",VLOOKUP('1.DATOS-PROD'!AE$2,'1.PUNTOS'!$A$1:$B$63,2,0),0)</f>
        <v>0</v>
      </c>
      <c r="W368" s="138">
        <f>IF('1.DATOS-PROD'!AF369="SI",VLOOKUP('1.DATOS-PROD'!AF$2,'1.PUNTOS'!$A$1:$B$63,2,0),0)</f>
        <v>0</v>
      </c>
      <c r="X368" s="138">
        <f>IF('1.DATOS-PROD'!AG369="SI",VLOOKUP('1.DATOS-PROD'!AG$2,'1.PUNTOS'!$A$1:$B$63,2,0),0)</f>
        <v>0</v>
      </c>
      <c r="Y368" s="138">
        <f>IF('1.DATOS-PROD'!AH369="SI",VLOOKUP('1.DATOS-PROD'!AH$2,'1.PUNTOS'!$A$1:$B$63,2,0),0)</f>
        <v>0</v>
      </c>
      <c r="Z368" s="138">
        <f>IF('1.DATOS-PROD'!AI369="SI",VLOOKUP('1.DATOS-PROD'!AI$2,'1.PUNTOS'!$A$1:$B$63,2,0),0)</f>
        <v>0</v>
      </c>
      <c r="AA368" s="138">
        <f>IF('1.DATOS-PROD'!AJ369="SI",VLOOKUP('1.DATOS-PROD'!AJ$2,'1.PUNTOS'!$A$1:$B$63,2,0),0)</f>
        <v>0</v>
      </c>
      <c r="AB368" s="138">
        <f>IF('1.DATOS-PROD'!AK369="SI",VLOOKUP('1.DATOS-PROD'!AK$2,'1.PUNTOS'!$A$1:$B$63,2,0),0)</f>
        <v>0</v>
      </c>
      <c r="AC368" s="138">
        <f>IF('1.DATOS-PROD'!AL369="SI",VLOOKUP('1.DATOS-PROD'!AL$2,'1.PUNTOS'!$A$1:$B$63,2,0),0)</f>
        <v>0</v>
      </c>
      <c r="AD368" s="138">
        <f>IF('1.DATOS-PROD'!AM369="SI",VLOOKUP('1.DATOS-PROD'!AM$2,'1.PUNTOS'!$A$1:$B$63,2,0),0)</f>
        <v>0</v>
      </c>
      <c r="AE368" s="138">
        <f>IF('1.DATOS-PROD'!AN369="SI",VLOOKUP('1.DATOS-PROD'!AN$2,'1.PUNTOS'!$A$1:$B$63,2,0),0)</f>
        <v>0</v>
      </c>
      <c r="AF368" s="138">
        <f>IF('1.DATOS-PROD'!AO369="SI",VLOOKUP('1.DATOS-PROD'!AO$2,'1.PUNTOS'!$A$1:$B$63,2,0),0)</f>
        <v>0</v>
      </c>
      <c r="AG368" s="138">
        <f>IF('1.DATOS-PROD'!AP369="SI",VLOOKUP('1.DATOS-PROD'!AP$2,'1.PUNTOS'!$A$1:$B$63,2,0),0)</f>
        <v>0</v>
      </c>
      <c r="AH368" s="138">
        <f>IF('1.DATOS-PROD'!AQ369="SI",VLOOKUP('1.DATOS-PROD'!AQ$2,'1.PUNTOS'!$A$1:$B$63,2,0),0)</f>
        <v>0</v>
      </c>
      <c r="AI368" s="138">
        <f>IF('1.DATOS-PROD'!AR369="SI",VLOOKUP('1.DATOS-PROD'!AR$2,'1.PUNTOS'!$A$1:$B$63,2,0),0)</f>
        <v>0</v>
      </c>
      <c r="AJ368" s="138">
        <f>IF('1.DATOS-PROD'!AS369="SI",VLOOKUP('1.DATOS-PROD'!AS$2,'1.PUNTOS'!$A$1:$B$63,2,0),0)</f>
        <v>0</v>
      </c>
      <c r="AK368" s="138">
        <f>IF('1.DATOS-PROD'!AT369="SI",VLOOKUP('1.DATOS-PROD'!AT$2,'1.PUNTOS'!$A$1:$B$63,2,0),0)</f>
        <v>0</v>
      </c>
      <c r="AL368" s="138">
        <f>IF('1.DATOS-PROD'!AU369="SI",VLOOKUP('1.DATOS-PROD'!AU$2,'1.PUNTOS'!$A$1:$B$63,2,0),0)</f>
        <v>0</v>
      </c>
      <c r="AM368" s="138">
        <f>IF('1.DATOS-PROD'!AV369="SI",VLOOKUP('1.DATOS-PROD'!AV$2,'1.PUNTOS'!$A$1:$B$63,2,0),0)</f>
        <v>0</v>
      </c>
      <c r="AN368" s="138">
        <f>IF('1.DATOS-PROD'!AW369="SI",VLOOKUP('1.DATOS-PROD'!AW$2,'1.PUNTOS'!$A$1:$B$63,2,0),0)</f>
        <v>0</v>
      </c>
      <c r="AO368" s="138">
        <f>IF('1.DATOS-PROD'!AX369="SI",VLOOKUP('1.DATOS-PROD'!AX$2,'1.PUNTOS'!$A$1:$B$63,2,0),0)</f>
        <v>0</v>
      </c>
      <c r="AP368" s="138">
        <f>IF('1.DATOS-PROD'!AY369="SI",VLOOKUP('1.DATOS-PROD'!AY$2,'1.PUNTOS'!$A$1:$B$63,2,0),0)</f>
        <v>0</v>
      </c>
      <c r="AQ368" s="138">
        <f>IF('1.DATOS-PROD'!AZ369="SI",VLOOKUP('1.DATOS-PROD'!AZ$2,'1.PUNTOS'!$A$1:$B$63,2,0),0)</f>
        <v>0</v>
      </c>
      <c r="AR368" s="138">
        <f>IF('1.DATOS-PROD'!BA369="SI",VLOOKUP('1.DATOS-PROD'!BA$2,'1.PUNTOS'!$A$1:$B$63,2,0),0)</f>
        <v>0</v>
      </c>
      <c r="AS368" s="138">
        <f>IF('1.DATOS-PROD'!BB369="SI",VLOOKUP('1.DATOS-PROD'!BB$2,'1.PUNTOS'!$A$1:$B$63,2,0),0)</f>
        <v>0</v>
      </c>
      <c r="AT368" s="138">
        <f>IF('1.DATOS-PROD'!BC369="SI",VLOOKUP('1.DATOS-PROD'!BC$2,'1.PUNTOS'!$A$1:$B$63,2,0),0)</f>
        <v>0</v>
      </c>
      <c r="AU368" s="138">
        <f>IF('1.DATOS-PROD'!BD369="SI",VLOOKUP('1.DATOS-PROD'!BD$2,'1.PUNTOS'!$A$1:$B$63,2,0),0)</f>
        <v>0</v>
      </c>
      <c r="AV368" s="138">
        <f>IF('1.DATOS-PROD'!BE369="SI",VLOOKUP('1.DATOS-PROD'!BE$2,'1.PUNTOS'!$A$1:$B$63,2,0),0)</f>
        <v>0</v>
      </c>
      <c r="AW368" s="138">
        <f>IF('1.DATOS-PROD'!BF369="SI",VLOOKUP('1.DATOS-PROD'!BF$2,'1.PUNTOS'!$A$1:$B$63,2,0),0)</f>
        <v>0</v>
      </c>
      <c r="AX368" s="138">
        <f>IF('1.DATOS-PROD'!BG369="SI",VLOOKUP('1.DATOS-PROD'!BG$2,'1.PUNTOS'!$A$1:$B$63,2,0),0)</f>
        <v>0</v>
      </c>
      <c r="AY368" s="138">
        <f>IF('1.DATOS-PROD'!BH369="SI",VLOOKUP('1.DATOS-PROD'!BH$2,'1.PUNTOS'!$A$1:$B$63,2,0),0)</f>
        <v>0</v>
      </c>
      <c r="AZ368" s="138">
        <f>IF('1.DATOS-PROD'!BI369="SI",VLOOKUP('1.DATOS-PROD'!BI$2,'1.PUNTOS'!$A$1:$B$63,2,0),0)</f>
        <v>0</v>
      </c>
      <c r="BA368" s="138">
        <f>IF('1.DATOS-PROD'!BJ369="SI",VLOOKUP('1.DATOS-PROD'!BJ$2,'1.PUNTOS'!$A$1:$B$63,2,0),0)</f>
        <v>0</v>
      </c>
      <c r="BB368" s="138">
        <f>IF('1.DATOS-PROD'!BK369="SI",VLOOKUP('1.DATOS-PROD'!BK$2,'1.PUNTOS'!$A$1:$B$63,2,0),0)</f>
        <v>0</v>
      </c>
      <c r="BC368" s="138">
        <f>IF('1.DATOS-PROD'!BL369="SI",VLOOKUP('1.DATOS-PROD'!BL$2,'1.PUNTOS'!$A$1:$B$63,2,0),0)</f>
        <v>0</v>
      </c>
      <c r="BD368" s="138">
        <f>IF('1.DATOS-PROD'!BM369="SI",VLOOKUP('1.DATOS-PROD'!BM$2,'1.PUNTOS'!$A$1:$B$63,2,0),0)</f>
        <v>0</v>
      </c>
      <c r="BE368" s="138">
        <f>IF('1.DATOS-PROD'!BN369="SI",VLOOKUP('1.DATOS-PROD'!BN$2,'1.PUNTOS'!$A$1:$B$63,2,0),0)</f>
        <v>0</v>
      </c>
      <c r="BF368" s="138">
        <f>IF('1.DATOS-PROD'!BO369="SI",VLOOKUP('1.DATOS-PROD'!BO$2,'1.PUNTOS'!$A$1:$B$63,2,0),0)</f>
        <v>0</v>
      </c>
      <c r="BG368" s="138">
        <f>IF('1.DATOS-PROD'!BP369="SI",VLOOKUP('1.DATOS-PROD'!BP$2,'1.PUNTOS'!$A$1:$B$63,2,0),0)</f>
        <v>0</v>
      </c>
      <c r="BH368" s="138">
        <f>IF('1.DATOS-PROD'!BQ369="SI",VLOOKUP('1.DATOS-PROD'!BQ$2,'1.PUNTOS'!$A$1:$B$63,2,0),0)</f>
        <v>0</v>
      </c>
      <c r="BI368" s="138">
        <f>IF('1.DATOS-PROD'!BR369="SI",VLOOKUP('1.DATOS-PROD'!BR$2,'1.PUNTOS'!$A$1:$B$63,2,0),0)</f>
        <v>0</v>
      </c>
      <c r="BJ368" s="138">
        <f>IF('1.DATOS-PROD'!BS369="SI",VLOOKUP('1.DATOS-PROD'!BS$2,'1.PUNTOS'!$A$1:$B$63,2,0),0)</f>
        <v>0</v>
      </c>
      <c r="BK368" s="138">
        <f>IF('1.DATOS-PROD'!BT369="SI",VLOOKUP('1.DATOS-PROD'!BT$2,'1.PUNTOS'!$A$1:$B$63,2,0),0)</f>
        <v>0</v>
      </c>
    </row>
    <row r="369" spans="1:63" x14ac:dyDescent="0.25">
      <c r="A369">
        <f>'0.Consolidado general'!$A370</f>
        <v>0</v>
      </c>
      <c r="B369" s="138">
        <f>IF('1.DATOS-PROD'!K370="SI",VLOOKUP('1.DATOS-PROD'!K$2,'1.PUNTOS'!$A$1:$B$63,2,0),0)</f>
        <v>0</v>
      </c>
      <c r="C369" s="138">
        <f>IF('1.DATOS-PROD'!L370="SI",VLOOKUP('1.DATOS-PROD'!L$2,'1.PUNTOS'!$A$1:$B$63,2,0),0)</f>
        <v>0</v>
      </c>
      <c r="D369" s="138">
        <f>IF('1.DATOS-PROD'!M370="SI",VLOOKUP('1.DATOS-PROD'!M$2,'1.PUNTOS'!$A$1:$B$63,2,0),0)</f>
        <v>0</v>
      </c>
      <c r="E369" s="138">
        <f>IF('1.DATOS-PROD'!N370="SI",VLOOKUP('1.DATOS-PROD'!N$2,'1.PUNTOS'!$A$1:$B$63,2,0),0)</f>
        <v>0</v>
      </c>
      <c r="F369" s="138">
        <f>IF('1.DATOS-PROD'!O370="SI",VLOOKUP('1.DATOS-PROD'!O$2,'1.PUNTOS'!$A$1:$B$63,2,0),0)</f>
        <v>0</v>
      </c>
      <c r="G369" s="138">
        <f>IF('1.DATOS-PROD'!P370="SI",VLOOKUP('1.DATOS-PROD'!P$2,'1.PUNTOS'!$A$1:$B$63,2,0),0)</f>
        <v>0</v>
      </c>
      <c r="H369" s="138">
        <f>IF('1.DATOS-PROD'!Q370="SI",VLOOKUP('1.DATOS-PROD'!Q$2,'1.PUNTOS'!$A$1:$B$63,2,0),0)</f>
        <v>0</v>
      </c>
      <c r="I369" s="138">
        <f>IF('1.DATOS-PROD'!R370="SI",VLOOKUP('1.DATOS-PROD'!R$2,'1.PUNTOS'!$A$1:$B$63,2,0),0)</f>
        <v>0</v>
      </c>
      <c r="J369" s="138">
        <f>IF('1.DATOS-PROD'!S370="SI",VLOOKUP('1.DATOS-PROD'!S$2,'1.PUNTOS'!$A$1:$B$63,2,0),0)</f>
        <v>0</v>
      </c>
      <c r="K369" s="138">
        <f>IF('1.DATOS-PROD'!T370="SI",VLOOKUP('1.DATOS-PROD'!T$2,'1.PUNTOS'!$A$1:$B$63,2,0),0)</f>
        <v>0</v>
      </c>
      <c r="L369" s="138">
        <f>IF('1.DATOS-PROD'!U370="SI",VLOOKUP('1.DATOS-PROD'!U$2,'1.PUNTOS'!$A$1:$B$63,2,0),0)</f>
        <v>0</v>
      </c>
      <c r="M369" s="138">
        <f>IF('1.DATOS-PROD'!V370="SI",VLOOKUP('1.DATOS-PROD'!V$2,'1.PUNTOS'!$A$1:$B$63,2,0),0)</f>
        <v>0</v>
      </c>
      <c r="N369" s="138">
        <f>IF('1.DATOS-PROD'!W370="SI",VLOOKUP('1.DATOS-PROD'!W$2,'1.PUNTOS'!$A$1:$B$63,2,0),0)</f>
        <v>0</v>
      </c>
      <c r="O369" s="138">
        <f>IF('1.DATOS-PROD'!X370="SI",VLOOKUP('1.DATOS-PROD'!X$2,'1.PUNTOS'!$A$1:$B$63,2,0),0)</f>
        <v>0</v>
      </c>
      <c r="P369" s="138">
        <f>IF('1.DATOS-PROD'!Y370="SI",VLOOKUP('1.DATOS-PROD'!Y$2,'1.PUNTOS'!$A$1:$B$63,2,0),0)</f>
        <v>0</v>
      </c>
      <c r="Q369" s="138">
        <f>IF('1.DATOS-PROD'!Z370="SI",VLOOKUP('1.DATOS-PROD'!Z$2,'1.PUNTOS'!$A$1:$B$63,2,0),0)</f>
        <v>0</v>
      </c>
      <c r="R369" s="138">
        <f>IF('1.DATOS-PROD'!AA370="SI",VLOOKUP('1.DATOS-PROD'!AA$2,'1.PUNTOS'!$A$1:$B$63,2,0),0)</f>
        <v>0</v>
      </c>
      <c r="S369" s="138">
        <f>IF('1.DATOS-PROD'!AB370="SI",VLOOKUP('1.DATOS-PROD'!AB$2,'1.PUNTOS'!$A$1:$B$63,2,0),0)</f>
        <v>0</v>
      </c>
      <c r="T369" s="138">
        <f>IF('1.DATOS-PROD'!AC370="SI",VLOOKUP('1.DATOS-PROD'!AC$2,'1.PUNTOS'!$A$1:$B$63,2,0),0)</f>
        <v>0</v>
      </c>
      <c r="U369" s="138">
        <f>IF('1.DATOS-PROD'!AD370="SI",VLOOKUP('1.DATOS-PROD'!AD$2,'1.PUNTOS'!$A$1:$B$63,2,0),0)</f>
        <v>0</v>
      </c>
      <c r="V369" s="138">
        <f>IF('1.DATOS-PROD'!AE370="SI",VLOOKUP('1.DATOS-PROD'!AE$2,'1.PUNTOS'!$A$1:$B$63,2,0),0)</f>
        <v>0</v>
      </c>
      <c r="W369" s="138">
        <f>IF('1.DATOS-PROD'!AF370="SI",VLOOKUP('1.DATOS-PROD'!AF$2,'1.PUNTOS'!$A$1:$B$63,2,0),0)</f>
        <v>0</v>
      </c>
      <c r="X369" s="138">
        <f>IF('1.DATOS-PROD'!AG370="SI",VLOOKUP('1.DATOS-PROD'!AG$2,'1.PUNTOS'!$A$1:$B$63,2,0),0)</f>
        <v>0</v>
      </c>
      <c r="Y369" s="138">
        <f>IF('1.DATOS-PROD'!AH370="SI",VLOOKUP('1.DATOS-PROD'!AH$2,'1.PUNTOS'!$A$1:$B$63,2,0),0)</f>
        <v>0</v>
      </c>
      <c r="Z369" s="138">
        <f>IF('1.DATOS-PROD'!AI370="SI",VLOOKUP('1.DATOS-PROD'!AI$2,'1.PUNTOS'!$A$1:$B$63,2,0),0)</f>
        <v>0</v>
      </c>
      <c r="AA369" s="138">
        <f>IF('1.DATOS-PROD'!AJ370="SI",VLOOKUP('1.DATOS-PROD'!AJ$2,'1.PUNTOS'!$A$1:$B$63,2,0),0)</f>
        <v>0</v>
      </c>
      <c r="AB369" s="138">
        <f>IF('1.DATOS-PROD'!AK370="SI",VLOOKUP('1.DATOS-PROD'!AK$2,'1.PUNTOS'!$A$1:$B$63,2,0),0)</f>
        <v>0</v>
      </c>
      <c r="AC369" s="138">
        <f>IF('1.DATOS-PROD'!AL370="SI",VLOOKUP('1.DATOS-PROD'!AL$2,'1.PUNTOS'!$A$1:$B$63,2,0),0)</f>
        <v>0</v>
      </c>
      <c r="AD369" s="138">
        <f>IF('1.DATOS-PROD'!AM370="SI",VLOOKUP('1.DATOS-PROD'!AM$2,'1.PUNTOS'!$A$1:$B$63,2,0),0)</f>
        <v>0</v>
      </c>
      <c r="AE369" s="138">
        <f>IF('1.DATOS-PROD'!AN370="SI",VLOOKUP('1.DATOS-PROD'!AN$2,'1.PUNTOS'!$A$1:$B$63,2,0),0)</f>
        <v>0</v>
      </c>
      <c r="AF369" s="138">
        <f>IF('1.DATOS-PROD'!AO370="SI",VLOOKUP('1.DATOS-PROD'!AO$2,'1.PUNTOS'!$A$1:$B$63,2,0),0)</f>
        <v>0</v>
      </c>
      <c r="AG369" s="138">
        <f>IF('1.DATOS-PROD'!AP370="SI",VLOOKUP('1.DATOS-PROD'!AP$2,'1.PUNTOS'!$A$1:$B$63,2,0),0)</f>
        <v>0</v>
      </c>
      <c r="AH369" s="138">
        <f>IF('1.DATOS-PROD'!AQ370="SI",VLOOKUP('1.DATOS-PROD'!AQ$2,'1.PUNTOS'!$A$1:$B$63,2,0),0)</f>
        <v>0</v>
      </c>
      <c r="AI369" s="138">
        <f>IF('1.DATOS-PROD'!AR370="SI",VLOOKUP('1.DATOS-PROD'!AR$2,'1.PUNTOS'!$A$1:$B$63,2,0),0)</f>
        <v>0</v>
      </c>
      <c r="AJ369" s="138">
        <f>IF('1.DATOS-PROD'!AS370="SI",VLOOKUP('1.DATOS-PROD'!AS$2,'1.PUNTOS'!$A$1:$B$63,2,0),0)</f>
        <v>0</v>
      </c>
      <c r="AK369" s="138">
        <f>IF('1.DATOS-PROD'!AT370="SI",VLOOKUP('1.DATOS-PROD'!AT$2,'1.PUNTOS'!$A$1:$B$63,2,0),0)</f>
        <v>0</v>
      </c>
      <c r="AL369" s="138">
        <f>IF('1.DATOS-PROD'!AU370="SI",VLOOKUP('1.DATOS-PROD'!AU$2,'1.PUNTOS'!$A$1:$B$63,2,0),0)</f>
        <v>0</v>
      </c>
      <c r="AM369" s="138">
        <f>IF('1.DATOS-PROD'!AV370="SI",VLOOKUP('1.DATOS-PROD'!AV$2,'1.PUNTOS'!$A$1:$B$63,2,0),0)</f>
        <v>0</v>
      </c>
      <c r="AN369" s="138">
        <f>IF('1.DATOS-PROD'!AW370="SI",VLOOKUP('1.DATOS-PROD'!AW$2,'1.PUNTOS'!$A$1:$B$63,2,0),0)</f>
        <v>0</v>
      </c>
      <c r="AO369" s="138">
        <f>IF('1.DATOS-PROD'!AX370="SI",VLOOKUP('1.DATOS-PROD'!AX$2,'1.PUNTOS'!$A$1:$B$63,2,0),0)</f>
        <v>0</v>
      </c>
      <c r="AP369" s="138">
        <f>IF('1.DATOS-PROD'!AY370="SI",VLOOKUP('1.DATOS-PROD'!AY$2,'1.PUNTOS'!$A$1:$B$63,2,0),0)</f>
        <v>0</v>
      </c>
      <c r="AQ369" s="138">
        <f>IF('1.DATOS-PROD'!AZ370="SI",VLOOKUP('1.DATOS-PROD'!AZ$2,'1.PUNTOS'!$A$1:$B$63,2,0),0)</f>
        <v>0</v>
      </c>
      <c r="AR369" s="138">
        <f>IF('1.DATOS-PROD'!BA370="SI",VLOOKUP('1.DATOS-PROD'!BA$2,'1.PUNTOS'!$A$1:$B$63,2,0),0)</f>
        <v>0</v>
      </c>
      <c r="AS369" s="138">
        <f>IF('1.DATOS-PROD'!BB370="SI",VLOOKUP('1.DATOS-PROD'!BB$2,'1.PUNTOS'!$A$1:$B$63,2,0),0)</f>
        <v>0</v>
      </c>
      <c r="AT369" s="138">
        <f>IF('1.DATOS-PROD'!BC370="SI",VLOOKUP('1.DATOS-PROD'!BC$2,'1.PUNTOS'!$A$1:$B$63,2,0),0)</f>
        <v>0</v>
      </c>
      <c r="AU369" s="138">
        <f>IF('1.DATOS-PROD'!BD370="SI",VLOOKUP('1.DATOS-PROD'!BD$2,'1.PUNTOS'!$A$1:$B$63,2,0),0)</f>
        <v>0</v>
      </c>
      <c r="AV369" s="138">
        <f>IF('1.DATOS-PROD'!BE370="SI",VLOOKUP('1.DATOS-PROD'!BE$2,'1.PUNTOS'!$A$1:$B$63,2,0),0)</f>
        <v>0</v>
      </c>
      <c r="AW369" s="138">
        <f>IF('1.DATOS-PROD'!BF370="SI",VLOOKUP('1.DATOS-PROD'!BF$2,'1.PUNTOS'!$A$1:$B$63,2,0),0)</f>
        <v>0</v>
      </c>
      <c r="AX369" s="138">
        <f>IF('1.DATOS-PROD'!BG370="SI",VLOOKUP('1.DATOS-PROD'!BG$2,'1.PUNTOS'!$A$1:$B$63,2,0),0)</f>
        <v>0</v>
      </c>
      <c r="AY369" s="138">
        <f>IF('1.DATOS-PROD'!BH370="SI",VLOOKUP('1.DATOS-PROD'!BH$2,'1.PUNTOS'!$A$1:$B$63,2,0),0)</f>
        <v>0</v>
      </c>
      <c r="AZ369" s="138">
        <f>IF('1.DATOS-PROD'!BI370="SI",VLOOKUP('1.DATOS-PROD'!BI$2,'1.PUNTOS'!$A$1:$B$63,2,0),0)</f>
        <v>0</v>
      </c>
      <c r="BA369" s="138">
        <f>IF('1.DATOS-PROD'!BJ370="SI",VLOOKUP('1.DATOS-PROD'!BJ$2,'1.PUNTOS'!$A$1:$B$63,2,0),0)</f>
        <v>0</v>
      </c>
      <c r="BB369" s="138">
        <f>IF('1.DATOS-PROD'!BK370="SI",VLOOKUP('1.DATOS-PROD'!BK$2,'1.PUNTOS'!$A$1:$B$63,2,0),0)</f>
        <v>0</v>
      </c>
      <c r="BC369" s="138">
        <f>IF('1.DATOS-PROD'!BL370="SI",VLOOKUP('1.DATOS-PROD'!BL$2,'1.PUNTOS'!$A$1:$B$63,2,0),0)</f>
        <v>0</v>
      </c>
      <c r="BD369" s="138">
        <f>IF('1.DATOS-PROD'!BM370="SI",VLOOKUP('1.DATOS-PROD'!BM$2,'1.PUNTOS'!$A$1:$B$63,2,0),0)</f>
        <v>0</v>
      </c>
      <c r="BE369" s="138">
        <f>IF('1.DATOS-PROD'!BN370="SI",VLOOKUP('1.DATOS-PROD'!BN$2,'1.PUNTOS'!$A$1:$B$63,2,0),0)</f>
        <v>0</v>
      </c>
      <c r="BF369" s="138">
        <f>IF('1.DATOS-PROD'!BO370="SI",VLOOKUP('1.DATOS-PROD'!BO$2,'1.PUNTOS'!$A$1:$B$63,2,0),0)</f>
        <v>0</v>
      </c>
      <c r="BG369" s="138">
        <f>IF('1.DATOS-PROD'!BP370="SI",VLOOKUP('1.DATOS-PROD'!BP$2,'1.PUNTOS'!$A$1:$B$63,2,0),0)</f>
        <v>0</v>
      </c>
      <c r="BH369" s="138">
        <f>IF('1.DATOS-PROD'!BQ370="SI",VLOOKUP('1.DATOS-PROD'!BQ$2,'1.PUNTOS'!$A$1:$B$63,2,0),0)</f>
        <v>0</v>
      </c>
      <c r="BI369" s="138">
        <f>IF('1.DATOS-PROD'!BR370="SI",VLOOKUP('1.DATOS-PROD'!BR$2,'1.PUNTOS'!$A$1:$B$63,2,0),0)</f>
        <v>0</v>
      </c>
      <c r="BJ369" s="138">
        <f>IF('1.DATOS-PROD'!BS370="SI",VLOOKUP('1.DATOS-PROD'!BS$2,'1.PUNTOS'!$A$1:$B$63,2,0),0)</f>
        <v>0</v>
      </c>
      <c r="BK369" s="138">
        <f>IF('1.DATOS-PROD'!BT370="SI",VLOOKUP('1.DATOS-PROD'!BT$2,'1.PUNTOS'!$A$1:$B$63,2,0),0)</f>
        <v>0</v>
      </c>
    </row>
    <row r="370" spans="1:63" x14ac:dyDescent="0.25">
      <c r="A370">
        <f>'0.Consolidado general'!$A371</f>
        <v>0</v>
      </c>
      <c r="B370" s="138">
        <f>IF('1.DATOS-PROD'!K371="SI",VLOOKUP('1.DATOS-PROD'!K$2,'1.PUNTOS'!$A$1:$B$63,2,0),0)</f>
        <v>0</v>
      </c>
      <c r="C370" s="138">
        <f>IF('1.DATOS-PROD'!L371="SI",VLOOKUP('1.DATOS-PROD'!L$2,'1.PUNTOS'!$A$1:$B$63,2,0),0)</f>
        <v>0</v>
      </c>
      <c r="D370" s="138">
        <f>IF('1.DATOS-PROD'!M371="SI",VLOOKUP('1.DATOS-PROD'!M$2,'1.PUNTOS'!$A$1:$B$63,2,0),0)</f>
        <v>0</v>
      </c>
      <c r="E370" s="138">
        <f>IF('1.DATOS-PROD'!N371="SI",VLOOKUP('1.DATOS-PROD'!N$2,'1.PUNTOS'!$A$1:$B$63,2,0),0)</f>
        <v>0</v>
      </c>
      <c r="F370" s="138">
        <f>IF('1.DATOS-PROD'!O371="SI",VLOOKUP('1.DATOS-PROD'!O$2,'1.PUNTOS'!$A$1:$B$63,2,0),0)</f>
        <v>0</v>
      </c>
      <c r="G370" s="138">
        <f>IF('1.DATOS-PROD'!P371="SI",VLOOKUP('1.DATOS-PROD'!P$2,'1.PUNTOS'!$A$1:$B$63,2,0),0)</f>
        <v>0</v>
      </c>
      <c r="H370" s="138">
        <f>IF('1.DATOS-PROD'!Q371="SI",VLOOKUP('1.DATOS-PROD'!Q$2,'1.PUNTOS'!$A$1:$B$63,2,0),0)</f>
        <v>0</v>
      </c>
      <c r="I370" s="138">
        <f>IF('1.DATOS-PROD'!R371="SI",VLOOKUP('1.DATOS-PROD'!R$2,'1.PUNTOS'!$A$1:$B$63,2,0),0)</f>
        <v>0</v>
      </c>
      <c r="J370" s="138">
        <f>IF('1.DATOS-PROD'!S371="SI",VLOOKUP('1.DATOS-PROD'!S$2,'1.PUNTOS'!$A$1:$B$63,2,0),0)</f>
        <v>0</v>
      </c>
      <c r="K370" s="138">
        <f>IF('1.DATOS-PROD'!T371="SI",VLOOKUP('1.DATOS-PROD'!T$2,'1.PUNTOS'!$A$1:$B$63,2,0),0)</f>
        <v>0</v>
      </c>
      <c r="L370" s="138">
        <f>IF('1.DATOS-PROD'!U371="SI",VLOOKUP('1.DATOS-PROD'!U$2,'1.PUNTOS'!$A$1:$B$63,2,0),0)</f>
        <v>0</v>
      </c>
      <c r="M370" s="138">
        <f>IF('1.DATOS-PROD'!V371="SI",VLOOKUP('1.DATOS-PROD'!V$2,'1.PUNTOS'!$A$1:$B$63,2,0),0)</f>
        <v>0</v>
      </c>
      <c r="N370" s="138">
        <f>IF('1.DATOS-PROD'!W371="SI",VLOOKUP('1.DATOS-PROD'!W$2,'1.PUNTOS'!$A$1:$B$63,2,0),0)</f>
        <v>0</v>
      </c>
      <c r="O370" s="138">
        <f>IF('1.DATOS-PROD'!X371="SI",VLOOKUP('1.DATOS-PROD'!X$2,'1.PUNTOS'!$A$1:$B$63,2,0),0)</f>
        <v>0</v>
      </c>
      <c r="P370" s="138">
        <f>IF('1.DATOS-PROD'!Y371="SI",VLOOKUP('1.DATOS-PROD'!Y$2,'1.PUNTOS'!$A$1:$B$63,2,0),0)</f>
        <v>0</v>
      </c>
      <c r="Q370" s="138">
        <f>IF('1.DATOS-PROD'!Z371="SI",VLOOKUP('1.DATOS-PROD'!Z$2,'1.PUNTOS'!$A$1:$B$63,2,0),0)</f>
        <v>0</v>
      </c>
      <c r="R370" s="138">
        <f>IF('1.DATOS-PROD'!AA371="SI",VLOOKUP('1.DATOS-PROD'!AA$2,'1.PUNTOS'!$A$1:$B$63,2,0),0)</f>
        <v>0</v>
      </c>
      <c r="S370" s="138">
        <f>IF('1.DATOS-PROD'!AB371="SI",VLOOKUP('1.DATOS-PROD'!AB$2,'1.PUNTOS'!$A$1:$B$63,2,0),0)</f>
        <v>0</v>
      </c>
      <c r="T370" s="138">
        <f>IF('1.DATOS-PROD'!AC371="SI",VLOOKUP('1.DATOS-PROD'!AC$2,'1.PUNTOS'!$A$1:$B$63,2,0),0)</f>
        <v>0</v>
      </c>
      <c r="U370" s="138">
        <f>IF('1.DATOS-PROD'!AD371="SI",VLOOKUP('1.DATOS-PROD'!AD$2,'1.PUNTOS'!$A$1:$B$63,2,0),0)</f>
        <v>0</v>
      </c>
      <c r="V370" s="138">
        <f>IF('1.DATOS-PROD'!AE371="SI",VLOOKUP('1.DATOS-PROD'!AE$2,'1.PUNTOS'!$A$1:$B$63,2,0),0)</f>
        <v>0</v>
      </c>
      <c r="W370" s="138">
        <f>IF('1.DATOS-PROD'!AF371="SI",VLOOKUP('1.DATOS-PROD'!AF$2,'1.PUNTOS'!$A$1:$B$63,2,0),0)</f>
        <v>0</v>
      </c>
      <c r="X370" s="138">
        <f>IF('1.DATOS-PROD'!AG371="SI",VLOOKUP('1.DATOS-PROD'!AG$2,'1.PUNTOS'!$A$1:$B$63,2,0),0)</f>
        <v>0</v>
      </c>
      <c r="Y370" s="138">
        <f>IF('1.DATOS-PROD'!AH371="SI",VLOOKUP('1.DATOS-PROD'!AH$2,'1.PUNTOS'!$A$1:$B$63,2,0),0)</f>
        <v>0</v>
      </c>
      <c r="Z370" s="138">
        <f>IF('1.DATOS-PROD'!AI371="SI",VLOOKUP('1.DATOS-PROD'!AI$2,'1.PUNTOS'!$A$1:$B$63,2,0),0)</f>
        <v>0</v>
      </c>
      <c r="AA370" s="138">
        <f>IF('1.DATOS-PROD'!AJ371="SI",VLOOKUP('1.DATOS-PROD'!AJ$2,'1.PUNTOS'!$A$1:$B$63,2,0),0)</f>
        <v>0</v>
      </c>
      <c r="AB370" s="138">
        <f>IF('1.DATOS-PROD'!AK371="SI",VLOOKUP('1.DATOS-PROD'!AK$2,'1.PUNTOS'!$A$1:$B$63,2,0),0)</f>
        <v>0</v>
      </c>
      <c r="AC370" s="138">
        <f>IF('1.DATOS-PROD'!AL371="SI",VLOOKUP('1.DATOS-PROD'!AL$2,'1.PUNTOS'!$A$1:$B$63,2,0),0)</f>
        <v>0</v>
      </c>
      <c r="AD370" s="138">
        <f>IF('1.DATOS-PROD'!AM371="SI",VLOOKUP('1.DATOS-PROD'!AM$2,'1.PUNTOS'!$A$1:$B$63,2,0),0)</f>
        <v>0</v>
      </c>
      <c r="AE370" s="138">
        <f>IF('1.DATOS-PROD'!AN371="SI",VLOOKUP('1.DATOS-PROD'!AN$2,'1.PUNTOS'!$A$1:$B$63,2,0),0)</f>
        <v>0</v>
      </c>
      <c r="AF370" s="138">
        <f>IF('1.DATOS-PROD'!AO371="SI",VLOOKUP('1.DATOS-PROD'!AO$2,'1.PUNTOS'!$A$1:$B$63,2,0),0)</f>
        <v>0</v>
      </c>
      <c r="AG370" s="138">
        <f>IF('1.DATOS-PROD'!AP371="SI",VLOOKUP('1.DATOS-PROD'!AP$2,'1.PUNTOS'!$A$1:$B$63,2,0),0)</f>
        <v>0</v>
      </c>
      <c r="AH370" s="138">
        <f>IF('1.DATOS-PROD'!AQ371="SI",VLOOKUP('1.DATOS-PROD'!AQ$2,'1.PUNTOS'!$A$1:$B$63,2,0),0)</f>
        <v>0</v>
      </c>
      <c r="AI370" s="138">
        <f>IF('1.DATOS-PROD'!AR371="SI",VLOOKUP('1.DATOS-PROD'!AR$2,'1.PUNTOS'!$A$1:$B$63,2,0),0)</f>
        <v>0</v>
      </c>
      <c r="AJ370" s="138">
        <f>IF('1.DATOS-PROD'!AS371="SI",VLOOKUP('1.DATOS-PROD'!AS$2,'1.PUNTOS'!$A$1:$B$63,2,0),0)</f>
        <v>0</v>
      </c>
      <c r="AK370" s="138">
        <f>IF('1.DATOS-PROD'!AT371="SI",VLOOKUP('1.DATOS-PROD'!AT$2,'1.PUNTOS'!$A$1:$B$63,2,0),0)</f>
        <v>0</v>
      </c>
      <c r="AL370" s="138">
        <f>IF('1.DATOS-PROD'!AU371="SI",VLOOKUP('1.DATOS-PROD'!AU$2,'1.PUNTOS'!$A$1:$B$63,2,0),0)</f>
        <v>0</v>
      </c>
      <c r="AM370" s="138">
        <f>IF('1.DATOS-PROD'!AV371="SI",VLOOKUP('1.DATOS-PROD'!AV$2,'1.PUNTOS'!$A$1:$B$63,2,0),0)</f>
        <v>0</v>
      </c>
      <c r="AN370" s="138">
        <f>IF('1.DATOS-PROD'!AW371="SI",VLOOKUP('1.DATOS-PROD'!AW$2,'1.PUNTOS'!$A$1:$B$63,2,0),0)</f>
        <v>0</v>
      </c>
      <c r="AO370" s="138">
        <f>IF('1.DATOS-PROD'!AX371="SI",VLOOKUP('1.DATOS-PROD'!AX$2,'1.PUNTOS'!$A$1:$B$63,2,0),0)</f>
        <v>0</v>
      </c>
      <c r="AP370" s="138">
        <f>IF('1.DATOS-PROD'!AY371="SI",VLOOKUP('1.DATOS-PROD'!AY$2,'1.PUNTOS'!$A$1:$B$63,2,0),0)</f>
        <v>0</v>
      </c>
      <c r="AQ370" s="138">
        <f>IF('1.DATOS-PROD'!AZ371="SI",VLOOKUP('1.DATOS-PROD'!AZ$2,'1.PUNTOS'!$A$1:$B$63,2,0),0)</f>
        <v>0</v>
      </c>
      <c r="AR370" s="138">
        <f>IF('1.DATOS-PROD'!BA371="SI",VLOOKUP('1.DATOS-PROD'!BA$2,'1.PUNTOS'!$A$1:$B$63,2,0),0)</f>
        <v>0</v>
      </c>
      <c r="AS370" s="138">
        <f>IF('1.DATOS-PROD'!BB371="SI",VLOOKUP('1.DATOS-PROD'!BB$2,'1.PUNTOS'!$A$1:$B$63,2,0),0)</f>
        <v>0</v>
      </c>
      <c r="AT370" s="138">
        <f>IF('1.DATOS-PROD'!BC371="SI",VLOOKUP('1.DATOS-PROD'!BC$2,'1.PUNTOS'!$A$1:$B$63,2,0),0)</f>
        <v>0</v>
      </c>
      <c r="AU370" s="138">
        <f>IF('1.DATOS-PROD'!BD371="SI",VLOOKUP('1.DATOS-PROD'!BD$2,'1.PUNTOS'!$A$1:$B$63,2,0),0)</f>
        <v>0</v>
      </c>
      <c r="AV370" s="138">
        <f>IF('1.DATOS-PROD'!BE371="SI",VLOOKUP('1.DATOS-PROD'!BE$2,'1.PUNTOS'!$A$1:$B$63,2,0),0)</f>
        <v>0</v>
      </c>
      <c r="AW370" s="138">
        <f>IF('1.DATOS-PROD'!BF371="SI",VLOOKUP('1.DATOS-PROD'!BF$2,'1.PUNTOS'!$A$1:$B$63,2,0),0)</f>
        <v>0</v>
      </c>
      <c r="AX370" s="138">
        <f>IF('1.DATOS-PROD'!BG371="SI",VLOOKUP('1.DATOS-PROD'!BG$2,'1.PUNTOS'!$A$1:$B$63,2,0),0)</f>
        <v>0</v>
      </c>
      <c r="AY370" s="138">
        <f>IF('1.DATOS-PROD'!BH371="SI",VLOOKUP('1.DATOS-PROD'!BH$2,'1.PUNTOS'!$A$1:$B$63,2,0),0)</f>
        <v>0</v>
      </c>
      <c r="AZ370" s="138">
        <f>IF('1.DATOS-PROD'!BI371="SI",VLOOKUP('1.DATOS-PROD'!BI$2,'1.PUNTOS'!$A$1:$B$63,2,0),0)</f>
        <v>0</v>
      </c>
      <c r="BA370" s="138">
        <f>IF('1.DATOS-PROD'!BJ371="SI",VLOOKUP('1.DATOS-PROD'!BJ$2,'1.PUNTOS'!$A$1:$B$63,2,0),0)</f>
        <v>0</v>
      </c>
      <c r="BB370" s="138">
        <f>IF('1.DATOS-PROD'!BK371="SI",VLOOKUP('1.DATOS-PROD'!BK$2,'1.PUNTOS'!$A$1:$B$63,2,0),0)</f>
        <v>0</v>
      </c>
      <c r="BC370" s="138">
        <f>IF('1.DATOS-PROD'!BL371="SI",VLOOKUP('1.DATOS-PROD'!BL$2,'1.PUNTOS'!$A$1:$B$63,2,0),0)</f>
        <v>0</v>
      </c>
      <c r="BD370" s="138">
        <f>IF('1.DATOS-PROD'!BM371="SI",VLOOKUP('1.DATOS-PROD'!BM$2,'1.PUNTOS'!$A$1:$B$63,2,0),0)</f>
        <v>0</v>
      </c>
      <c r="BE370" s="138">
        <f>IF('1.DATOS-PROD'!BN371="SI",VLOOKUP('1.DATOS-PROD'!BN$2,'1.PUNTOS'!$A$1:$B$63,2,0),0)</f>
        <v>0</v>
      </c>
      <c r="BF370" s="138">
        <f>IF('1.DATOS-PROD'!BO371="SI",VLOOKUP('1.DATOS-PROD'!BO$2,'1.PUNTOS'!$A$1:$B$63,2,0),0)</f>
        <v>0</v>
      </c>
      <c r="BG370" s="138">
        <f>IF('1.DATOS-PROD'!BP371="SI",VLOOKUP('1.DATOS-PROD'!BP$2,'1.PUNTOS'!$A$1:$B$63,2,0),0)</f>
        <v>0</v>
      </c>
      <c r="BH370" s="138">
        <f>IF('1.DATOS-PROD'!BQ371="SI",VLOOKUP('1.DATOS-PROD'!BQ$2,'1.PUNTOS'!$A$1:$B$63,2,0),0)</f>
        <v>0</v>
      </c>
      <c r="BI370" s="138">
        <f>IF('1.DATOS-PROD'!BR371="SI",VLOOKUP('1.DATOS-PROD'!BR$2,'1.PUNTOS'!$A$1:$B$63,2,0),0)</f>
        <v>0</v>
      </c>
      <c r="BJ370" s="138">
        <f>IF('1.DATOS-PROD'!BS371="SI",VLOOKUP('1.DATOS-PROD'!BS$2,'1.PUNTOS'!$A$1:$B$63,2,0),0)</f>
        <v>0</v>
      </c>
      <c r="BK370" s="138">
        <f>IF('1.DATOS-PROD'!BT371="SI",VLOOKUP('1.DATOS-PROD'!BT$2,'1.PUNTOS'!$A$1:$B$63,2,0),0)</f>
        <v>0</v>
      </c>
    </row>
    <row r="371" spans="1:63" x14ac:dyDescent="0.25">
      <c r="A371">
        <f>'0.Consolidado general'!$A372</f>
        <v>0</v>
      </c>
      <c r="B371" s="138">
        <f>IF('1.DATOS-PROD'!K372="SI",VLOOKUP('1.DATOS-PROD'!K$2,'1.PUNTOS'!$A$1:$B$63,2,0),0)</f>
        <v>0</v>
      </c>
      <c r="C371" s="138">
        <f>IF('1.DATOS-PROD'!L372="SI",VLOOKUP('1.DATOS-PROD'!L$2,'1.PUNTOS'!$A$1:$B$63,2,0),0)</f>
        <v>0</v>
      </c>
      <c r="D371" s="138">
        <f>IF('1.DATOS-PROD'!M372="SI",VLOOKUP('1.DATOS-PROD'!M$2,'1.PUNTOS'!$A$1:$B$63,2,0),0)</f>
        <v>0</v>
      </c>
      <c r="E371" s="138">
        <f>IF('1.DATOS-PROD'!N372="SI",VLOOKUP('1.DATOS-PROD'!N$2,'1.PUNTOS'!$A$1:$B$63,2,0),0)</f>
        <v>0</v>
      </c>
      <c r="F371" s="138">
        <f>IF('1.DATOS-PROD'!O372="SI",VLOOKUP('1.DATOS-PROD'!O$2,'1.PUNTOS'!$A$1:$B$63,2,0),0)</f>
        <v>0</v>
      </c>
      <c r="G371" s="138">
        <f>IF('1.DATOS-PROD'!P372="SI",VLOOKUP('1.DATOS-PROD'!P$2,'1.PUNTOS'!$A$1:$B$63,2,0),0)</f>
        <v>0</v>
      </c>
      <c r="H371" s="138">
        <f>IF('1.DATOS-PROD'!Q372="SI",VLOOKUP('1.DATOS-PROD'!Q$2,'1.PUNTOS'!$A$1:$B$63,2,0),0)</f>
        <v>0</v>
      </c>
      <c r="I371" s="138">
        <f>IF('1.DATOS-PROD'!R372="SI",VLOOKUP('1.DATOS-PROD'!R$2,'1.PUNTOS'!$A$1:$B$63,2,0),0)</f>
        <v>0</v>
      </c>
      <c r="J371" s="138">
        <f>IF('1.DATOS-PROD'!S372="SI",VLOOKUP('1.DATOS-PROD'!S$2,'1.PUNTOS'!$A$1:$B$63,2,0),0)</f>
        <v>0</v>
      </c>
      <c r="K371" s="138">
        <f>IF('1.DATOS-PROD'!T372="SI",VLOOKUP('1.DATOS-PROD'!T$2,'1.PUNTOS'!$A$1:$B$63,2,0),0)</f>
        <v>0</v>
      </c>
      <c r="L371" s="138">
        <f>IF('1.DATOS-PROD'!U372="SI",VLOOKUP('1.DATOS-PROD'!U$2,'1.PUNTOS'!$A$1:$B$63,2,0),0)</f>
        <v>0</v>
      </c>
      <c r="M371" s="138">
        <f>IF('1.DATOS-PROD'!V372="SI",VLOOKUP('1.DATOS-PROD'!V$2,'1.PUNTOS'!$A$1:$B$63,2,0),0)</f>
        <v>0</v>
      </c>
      <c r="N371" s="138">
        <f>IF('1.DATOS-PROD'!W372="SI",VLOOKUP('1.DATOS-PROD'!W$2,'1.PUNTOS'!$A$1:$B$63,2,0),0)</f>
        <v>0</v>
      </c>
      <c r="O371" s="138">
        <f>IF('1.DATOS-PROD'!X372="SI",VLOOKUP('1.DATOS-PROD'!X$2,'1.PUNTOS'!$A$1:$B$63,2,0),0)</f>
        <v>0</v>
      </c>
      <c r="P371" s="138">
        <f>IF('1.DATOS-PROD'!Y372="SI",VLOOKUP('1.DATOS-PROD'!Y$2,'1.PUNTOS'!$A$1:$B$63,2,0),0)</f>
        <v>0</v>
      </c>
      <c r="Q371" s="138">
        <f>IF('1.DATOS-PROD'!Z372="SI",VLOOKUP('1.DATOS-PROD'!Z$2,'1.PUNTOS'!$A$1:$B$63,2,0),0)</f>
        <v>0</v>
      </c>
      <c r="R371" s="138">
        <f>IF('1.DATOS-PROD'!AA372="SI",VLOOKUP('1.DATOS-PROD'!AA$2,'1.PUNTOS'!$A$1:$B$63,2,0),0)</f>
        <v>0</v>
      </c>
      <c r="S371" s="138">
        <f>IF('1.DATOS-PROD'!AB372="SI",VLOOKUP('1.DATOS-PROD'!AB$2,'1.PUNTOS'!$A$1:$B$63,2,0),0)</f>
        <v>0</v>
      </c>
      <c r="T371" s="138">
        <f>IF('1.DATOS-PROD'!AC372="SI",VLOOKUP('1.DATOS-PROD'!AC$2,'1.PUNTOS'!$A$1:$B$63,2,0),0)</f>
        <v>0</v>
      </c>
      <c r="U371" s="138">
        <f>IF('1.DATOS-PROD'!AD372="SI",VLOOKUP('1.DATOS-PROD'!AD$2,'1.PUNTOS'!$A$1:$B$63,2,0),0)</f>
        <v>0</v>
      </c>
      <c r="V371" s="138">
        <f>IF('1.DATOS-PROD'!AE372="SI",VLOOKUP('1.DATOS-PROD'!AE$2,'1.PUNTOS'!$A$1:$B$63,2,0),0)</f>
        <v>0</v>
      </c>
      <c r="W371" s="138">
        <f>IF('1.DATOS-PROD'!AF372="SI",VLOOKUP('1.DATOS-PROD'!AF$2,'1.PUNTOS'!$A$1:$B$63,2,0),0)</f>
        <v>0</v>
      </c>
      <c r="X371" s="138">
        <f>IF('1.DATOS-PROD'!AG372="SI",VLOOKUP('1.DATOS-PROD'!AG$2,'1.PUNTOS'!$A$1:$B$63,2,0),0)</f>
        <v>0</v>
      </c>
      <c r="Y371" s="138">
        <f>IF('1.DATOS-PROD'!AH372="SI",VLOOKUP('1.DATOS-PROD'!AH$2,'1.PUNTOS'!$A$1:$B$63,2,0),0)</f>
        <v>0</v>
      </c>
      <c r="Z371" s="138">
        <f>IF('1.DATOS-PROD'!AI372="SI",VLOOKUP('1.DATOS-PROD'!AI$2,'1.PUNTOS'!$A$1:$B$63,2,0),0)</f>
        <v>0</v>
      </c>
      <c r="AA371" s="138">
        <f>IF('1.DATOS-PROD'!AJ372="SI",VLOOKUP('1.DATOS-PROD'!AJ$2,'1.PUNTOS'!$A$1:$B$63,2,0),0)</f>
        <v>0</v>
      </c>
      <c r="AB371" s="138">
        <f>IF('1.DATOS-PROD'!AK372="SI",VLOOKUP('1.DATOS-PROD'!AK$2,'1.PUNTOS'!$A$1:$B$63,2,0),0)</f>
        <v>0</v>
      </c>
      <c r="AC371" s="138">
        <f>IF('1.DATOS-PROD'!AL372="SI",VLOOKUP('1.DATOS-PROD'!AL$2,'1.PUNTOS'!$A$1:$B$63,2,0),0)</f>
        <v>0</v>
      </c>
      <c r="AD371" s="138">
        <f>IF('1.DATOS-PROD'!AM372="SI",VLOOKUP('1.DATOS-PROD'!AM$2,'1.PUNTOS'!$A$1:$B$63,2,0),0)</f>
        <v>0</v>
      </c>
      <c r="AE371" s="138">
        <f>IF('1.DATOS-PROD'!AN372="SI",VLOOKUP('1.DATOS-PROD'!AN$2,'1.PUNTOS'!$A$1:$B$63,2,0),0)</f>
        <v>0</v>
      </c>
      <c r="AF371" s="138">
        <f>IF('1.DATOS-PROD'!AO372="SI",VLOOKUP('1.DATOS-PROD'!AO$2,'1.PUNTOS'!$A$1:$B$63,2,0),0)</f>
        <v>0</v>
      </c>
      <c r="AG371" s="138">
        <f>IF('1.DATOS-PROD'!AP372="SI",VLOOKUP('1.DATOS-PROD'!AP$2,'1.PUNTOS'!$A$1:$B$63,2,0),0)</f>
        <v>0</v>
      </c>
      <c r="AH371" s="138">
        <f>IF('1.DATOS-PROD'!AQ372="SI",VLOOKUP('1.DATOS-PROD'!AQ$2,'1.PUNTOS'!$A$1:$B$63,2,0),0)</f>
        <v>0</v>
      </c>
      <c r="AI371" s="138">
        <f>IF('1.DATOS-PROD'!AR372="SI",VLOOKUP('1.DATOS-PROD'!AR$2,'1.PUNTOS'!$A$1:$B$63,2,0),0)</f>
        <v>0</v>
      </c>
      <c r="AJ371" s="138">
        <f>IF('1.DATOS-PROD'!AS372="SI",VLOOKUP('1.DATOS-PROD'!AS$2,'1.PUNTOS'!$A$1:$B$63,2,0),0)</f>
        <v>0</v>
      </c>
      <c r="AK371" s="138">
        <f>IF('1.DATOS-PROD'!AT372="SI",VLOOKUP('1.DATOS-PROD'!AT$2,'1.PUNTOS'!$A$1:$B$63,2,0),0)</f>
        <v>0</v>
      </c>
      <c r="AL371" s="138">
        <f>IF('1.DATOS-PROD'!AU372="SI",VLOOKUP('1.DATOS-PROD'!AU$2,'1.PUNTOS'!$A$1:$B$63,2,0),0)</f>
        <v>0</v>
      </c>
      <c r="AM371" s="138">
        <f>IF('1.DATOS-PROD'!AV372="SI",VLOOKUP('1.DATOS-PROD'!AV$2,'1.PUNTOS'!$A$1:$B$63,2,0),0)</f>
        <v>0</v>
      </c>
      <c r="AN371" s="138">
        <f>IF('1.DATOS-PROD'!AW372="SI",VLOOKUP('1.DATOS-PROD'!AW$2,'1.PUNTOS'!$A$1:$B$63,2,0),0)</f>
        <v>0</v>
      </c>
      <c r="AO371" s="138">
        <f>IF('1.DATOS-PROD'!AX372="SI",VLOOKUP('1.DATOS-PROD'!AX$2,'1.PUNTOS'!$A$1:$B$63,2,0),0)</f>
        <v>0</v>
      </c>
      <c r="AP371" s="138">
        <f>IF('1.DATOS-PROD'!AY372="SI",VLOOKUP('1.DATOS-PROD'!AY$2,'1.PUNTOS'!$A$1:$B$63,2,0),0)</f>
        <v>0</v>
      </c>
      <c r="AQ371" s="138">
        <f>IF('1.DATOS-PROD'!AZ372="SI",VLOOKUP('1.DATOS-PROD'!AZ$2,'1.PUNTOS'!$A$1:$B$63,2,0),0)</f>
        <v>0</v>
      </c>
      <c r="AR371" s="138">
        <f>IF('1.DATOS-PROD'!BA372="SI",VLOOKUP('1.DATOS-PROD'!BA$2,'1.PUNTOS'!$A$1:$B$63,2,0),0)</f>
        <v>0</v>
      </c>
      <c r="AS371" s="138">
        <f>IF('1.DATOS-PROD'!BB372="SI",VLOOKUP('1.DATOS-PROD'!BB$2,'1.PUNTOS'!$A$1:$B$63,2,0),0)</f>
        <v>0</v>
      </c>
      <c r="AT371" s="138">
        <f>IF('1.DATOS-PROD'!BC372="SI",VLOOKUP('1.DATOS-PROD'!BC$2,'1.PUNTOS'!$A$1:$B$63,2,0),0)</f>
        <v>0</v>
      </c>
      <c r="AU371" s="138">
        <f>IF('1.DATOS-PROD'!BD372="SI",VLOOKUP('1.DATOS-PROD'!BD$2,'1.PUNTOS'!$A$1:$B$63,2,0),0)</f>
        <v>0</v>
      </c>
      <c r="AV371" s="138">
        <f>IF('1.DATOS-PROD'!BE372="SI",VLOOKUP('1.DATOS-PROD'!BE$2,'1.PUNTOS'!$A$1:$B$63,2,0),0)</f>
        <v>0</v>
      </c>
      <c r="AW371" s="138">
        <f>IF('1.DATOS-PROD'!BF372="SI",VLOOKUP('1.DATOS-PROD'!BF$2,'1.PUNTOS'!$A$1:$B$63,2,0),0)</f>
        <v>0</v>
      </c>
      <c r="AX371" s="138">
        <f>IF('1.DATOS-PROD'!BG372="SI",VLOOKUP('1.DATOS-PROD'!BG$2,'1.PUNTOS'!$A$1:$B$63,2,0),0)</f>
        <v>0</v>
      </c>
      <c r="AY371" s="138">
        <f>IF('1.DATOS-PROD'!BH372="SI",VLOOKUP('1.DATOS-PROD'!BH$2,'1.PUNTOS'!$A$1:$B$63,2,0),0)</f>
        <v>0</v>
      </c>
      <c r="AZ371" s="138">
        <f>IF('1.DATOS-PROD'!BI372="SI",VLOOKUP('1.DATOS-PROD'!BI$2,'1.PUNTOS'!$A$1:$B$63,2,0),0)</f>
        <v>0</v>
      </c>
      <c r="BA371" s="138">
        <f>IF('1.DATOS-PROD'!BJ372="SI",VLOOKUP('1.DATOS-PROD'!BJ$2,'1.PUNTOS'!$A$1:$B$63,2,0),0)</f>
        <v>0</v>
      </c>
      <c r="BB371" s="138">
        <f>IF('1.DATOS-PROD'!BK372="SI",VLOOKUP('1.DATOS-PROD'!BK$2,'1.PUNTOS'!$A$1:$B$63,2,0),0)</f>
        <v>0</v>
      </c>
      <c r="BC371" s="138">
        <f>IF('1.DATOS-PROD'!BL372="SI",VLOOKUP('1.DATOS-PROD'!BL$2,'1.PUNTOS'!$A$1:$B$63,2,0),0)</f>
        <v>0</v>
      </c>
      <c r="BD371" s="138">
        <f>IF('1.DATOS-PROD'!BM372="SI",VLOOKUP('1.DATOS-PROD'!BM$2,'1.PUNTOS'!$A$1:$B$63,2,0),0)</f>
        <v>0</v>
      </c>
      <c r="BE371" s="138">
        <f>IF('1.DATOS-PROD'!BN372="SI",VLOOKUP('1.DATOS-PROD'!BN$2,'1.PUNTOS'!$A$1:$B$63,2,0),0)</f>
        <v>0</v>
      </c>
      <c r="BF371" s="138">
        <f>IF('1.DATOS-PROD'!BO372="SI",VLOOKUP('1.DATOS-PROD'!BO$2,'1.PUNTOS'!$A$1:$B$63,2,0),0)</f>
        <v>0</v>
      </c>
      <c r="BG371" s="138">
        <f>IF('1.DATOS-PROD'!BP372="SI",VLOOKUP('1.DATOS-PROD'!BP$2,'1.PUNTOS'!$A$1:$B$63,2,0),0)</f>
        <v>0</v>
      </c>
      <c r="BH371" s="138">
        <f>IF('1.DATOS-PROD'!BQ372="SI",VLOOKUP('1.DATOS-PROD'!BQ$2,'1.PUNTOS'!$A$1:$B$63,2,0),0)</f>
        <v>0</v>
      </c>
      <c r="BI371" s="138">
        <f>IF('1.DATOS-PROD'!BR372="SI",VLOOKUP('1.DATOS-PROD'!BR$2,'1.PUNTOS'!$A$1:$B$63,2,0),0)</f>
        <v>0</v>
      </c>
      <c r="BJ371" s="138">
        <f>IF('1.DATOS-PROD'!BS372="SI",VLOOKUP('1.DATOS-PROD'!BS$2,'1.PUNTOS'!$A$1:$B$63,2,0),0)</f>
        <v>0</v>
      </c>
      <c r="BK371" s="138">
        <f>IF('1.DATOS-PROD'!BT372="SI",VLOOKUP('1.DATOS-PROD'!BT$2,'1.PUNTOS'!$A$1:$B$63,2,0),0)</f>
        <v>0</v>
      </c>
    </row>
    <row r="372" spans="1:63" x14ac:dyDescent="0.25">
      <c r="A372">
        <f>'0.Consolidado general'!$A373</f>
        <v>0</v>
      </c>
      <c r="B372" s="138">
        <f>IF('1.DATOS-PROD'!K373="SI",VLOOKUP('1.DATOS-PROD'!K$2,'1.PUNTOS'!$A$1:$B$63,2,0),0)</f>
        <v>0</v>
      </c>
      <c r="C372" s="138">
        <f>IF('1.DATOS-PROD'!L373="SI",VLOOKUP('1.DATOS-PROD'!L$2,'1.PUNTOS'!$A$1:$B$63,2,0),0)</f>
        <v>0</v>
      </c>
      <c r="D372" s="138">
        <f>IF('1.DATOS-PROD'!M373="SI",VLOOKUP('1.DATOS-PROD'!M$2,'1.PUNTOS'!$A$1:$B$63,2,0),0)</f>
        <v>0</v>
      </c>
      <c r="E372" s="138">
        <f>IF('1.DATOS-PROD'!N373="SI",VLOOKUP('1.DATOS-PROD'!N$2,'1.PUNTOS'!$A$1:$B$63,2,0),0)</f>
        <v>0</v>
      </c>
      <c r="F372" s="138">
        <f>IF('1.DATOS-PROD'!O373="SI",VLOOKUP('1.DATOS-PROD'!O$2,'1.PUNTOS'!$A$1:$B$63,2,0),0)</f>
        <v>0</v>
      </c>
      <c r="G372" s="138">
        <f>IF('1.DATOS-PROD'!P373="SI",VLOOKUP('1.DATOS-PROD'!P$2,'1.PUNTOS'!$A$1:$B$63,2,0),0)</f>
        <v>0</v>
      </c>
      <c r="H372" s="138">
        <f>IF('1.DATOS-PROD'!Q373="SI",VLOOKUP('1.DATOS-PROD'!Q$2,'1.PUNTOS'!$A$1:$B$63,2,0),0)</f>
        <v>0</v>
      </c>
      <c r="I372" s="138">
        <f>IF('1.DATOS-PROD'!R373="SI",VLOOKUP('1.DATOS-PROD'!R$2,'1.PUNTOS'!$A$1:$B$63,2,0),0)</f>
        <v>0</v>
      </c>
      <c r="J372" s="138">
        <f>IF('1.DATOS-PROD'!S373="SI",VLOOKUP('1.DATOS-PROD'!S$2,'1.PUNTOS'!$A$1:$B$63,2,0),0)</f>
        <v>0</v>
      </c>
      <c r="K372" s="138">
        <f>IF('1.DATOS-PROD'!T373="SI",VLOOKUP('1.DATOS-PROD'!T$2,'1.PUNTOS'!$A$1:$B$63,2,0),0)</f>
        <v>0</v>
      </c>
      <c r="L372" s="138">
        <f>IF('1.DATOS-PROD'!U373="SI",VLOOKUP('1.DATOS-PROD'!U$2,'1.PUNTOS'!$A$1:$B$63,2,0),0)</f>
        <v>0</v>
      </c>
      <c r="M372" s="138">
        <f>IF('1.DATOS-PROD'!V373="SI",VLOOKUP('1.DATOS-PROD'!V$2,'1.PUNTOS'!$A$1:$B$63,2,0),0)</f>
        <v>0</v>
      </c>
      <c r="N372" s="138">
        <f>IF('1.DATOS-PROD'!W373="SI",VLOOKUP('1.DATOS-PROD'!W$2,'1.PUNTOS'!$A$1:$B$63,2,0),0)</f>
        <v>0</v>
      </c>
      <c r="O372" s="138">
        <f>IF('1.DATOS-PROD'!X373="SI",VLOOKUP('1.DATOS-PROD'!X$2,'1.PUNTOS'!$A$1:$B$63,2,0),0)</f>
        <v>0</v>
      </c>
      <c r="P372" s="138">
        <f>IF('1.DATOS-PROD'!Y373="SI",VLOOKUP('1.DATOS-PROD'!Y$2,'1.PUNTOS'!$A$1:$B$63,2,0),0)</f>
        <v>0</v>
      </c>
      <c r="Q372" s="138">
        <f>IF('1.DATOS-PROD'!Z373="SI",VLOOKUP('1.DATOS-PROD'!Z$2,'1.PUNTOS'!$A$1:$B$63,2,0),0)</f>
        <v>0</v>
      </c>
      <c r="R372" s="138">
        <f>IF('1.DATOS-PROD'!AA373="SI",VLOOKUP('1.DATOS-PROD'!AA$2,'1.PUNTOS'!$A$1:$B$63,2,0),0)</f>
        <v>0</v>
      </c>
      <c r="S372" s="138">
        <f>IF('1.DATOS-PROD'!AB373="SI",VLOOKUP('1.DATOS-PROD'!AB$2,'1.PUNTOS'!$A$1:$B$63,2,0),0)</f>
        <v>0</v>
      </c>
      <c r="T372" s="138">
        <f>IF('1.DATOS-PROD'!AC373="SI",VLOOKUP('1.DATOS-PROD'!AC$2,'1.PUNTOS'!$A$1:$B$63,2,0),0)</f>
        <v>0</v>
      </c>
      <c r="U372" s="138">
        <f>IF('1.DATOS-PROD'!AD373="SI",VLOOKUP('1.DATOS-PROD'!AD$2,'1.PUNTOS'!$A$1:$B$63,2,0),0)</f>
        <v>0</v>
      </c>
      <c r="V372" s="138">
        <f>IF('1.DATOS-PROD'!AE373="SI",VLOOKUP('1.DATOS-PROD'!AE$2,'1.PUNTOS'!$A$1:$B$63,2,0),0)</f>
        <v>0</v>
      </c>
      <c r="W372" s="138">
        <f>IF('1.DATOS-PROD'!AF373="SI",VLOOKUP('1.DATOS-PROD'!AF$2,'1.PUNTOS'!$A$1:$B$63,2,0),0)</f>
        <v>0</v>
      </c>
      <c r="X372" s="138">
        <f>IF('1.DATOS-PROD'!AG373="SI",VLOOKUP('1.DATOS-PROD'!AG$2,'1.PUNTOS'!$A$1:$B$63,2,0),0)</f>
        <v>0</v>
      </c>
      <c r="Y372" s="138">
        <f>IF('1.DATOS-PROD'!AH373="SI",VLOOKUP('1.DATOS-PROD'!AH$2,'1.PUNTOS'!$A$1:$B$63,2,0),0)</f>
        <v>0</v>
      </c>
      <c r="Z372" s="138">
        <f>IF('1.DATOS-PROD'!AI373="SI",VLOOKUP('1.DATOS-PROD'!AI$2,'1.PUNTOS'!$A$1:$B$63,2,0),0)</f>
        <v>0</v>
      </c>
      <c r="AA372" s="138">
        <f>IF('1.DATOS-PROD'!AJ373="SI",VLOOKUP('1.DATOS-PROD'!AJ$2,'1.PUNTOS'!$A$1:$B$63,2,0),0)</f>
        <v>0</v>
      </c>
      <c r="AB372" s="138">
        <f>IF('1.DATOS-PROD'!AK373="SI",VLOOKUP('1.DATOS-PROD'!AK$2,'1.PUNTOS'!$A$1:$B$63,2,0),0)</f>
        <v>0</v>
      </c>
      <c r="AC372" s="138">
        <f>IF('1.DATOS-PROD'!AL373="SI",VLOOKUP('1.DATOS-PROD'!AL$2,'1.PUNTOS'!$A$1:$B$63,2,0),0)</f>
        <v>0</v>
      </c>
      <c r="AD372" s="138">
        <f>IF('1.DATOS-PROD'!AM373="SI",VLOOKUP('1.DATOS-PROD'!AM$2,'1.PUNTOS'!$A$1:$B$63,2,0),0)</f>
        <v>0</v>
      </c>
      <c r="AE372" s="138">
        <f>IF('1.DATOS-PROD'!AN373="SI",VLOOKUP('1.DATOS-PROD'!AN$2,'1.PUNTOS'!$A$1:$B$63,2,0),0)</f>
        <v>0</v>
      </c>
      <c r="AF372" s="138">
        <f>IF('1.DATOS-PROD'!AO373="SI",VLOOKUP('1.DATOS-PROD'!AO$2,'1.PUNTOS'!$A$1:$B$63,2,0),0)</f>
        <v>0</v>
      </c>
      <c r="AG372" s="138">
        <f>IF('1.DATOS-PROD'!AP373="SI",VLOOKUP('1.DATOS-PROD'!AP$2,'1.PUNTOS'!$A$1:$B$63,2,0),0)</f>
        <v>0</v>
      </c>
      <c r="AH372" s="138">
        <f>IF('1.DATOS-PROD'!AQ373="SI",VLOOKUP('1.DATOS-PROD'!AQ$2,'1.PUNTOS'!$A$1:$B$63,2,0),0)</f>
        <v>0</v>
      </c>
      <c r="AI372" s="138">
        <f>IF('1.DATOS-PROD'!AR373="SI",VLOOKUP('1.DATOS-PROD'!AR$2,'1.PUNTOS'!$A$1:$B$63,2,0),0)</f>
        <v>0</v>
      </c>
      <c r="AJ372" s="138">
        <f>IF('1.DATOS-PROD'!AS373="SI",VLOOKUP('1.DATOS-PROD'!AS$2,'1.PUNTOS'!$A$1:$B$63,2,0),0)</f>
        <v>0</v>
      </c>
      <c r="AK372" s="138">
        <f>IF('1.DATOS-PROD'!AT373="SI",VLOOKUP('1.DATOS-PROD'!AT$2,'1.PUNTOS'!$A$1:$B$63,2,0),0)</f>
        <v>0</v>
      </c>
      <c r="AL372" s="138">
        <f>IF('1.DATOS-PROD'!AU373="SI",VLOOKUP('1.DATOS-PROD'!AU$2,'1.PUNTOS'!$A$1:$B$63,2,0),0)</f>
        <v>0</v>
      </c>
      <c r="AM372" s="138">
        <f>IF('1.DATOS-PROD'!AV373="SI",VLOOKUP('1.DATOS-PROD'!AV$2,'1.PUNTOS'!$A$1:$B$63,2,0),0)</f>
        <v>0</v>
      </c>
      <c r="AN372" s="138">
        <f>IF('1.DATOS-PROD'!AW373="SI",VLOOKUP('1.DATOS-PROD'!AW$2,'1.PUNTOS'!$A$1:$B$63,2,0),0)</f>
        <v>0</v>
      </c>
      <c r="AO372" s="138">
        <f>IF('1.DATOS-PROD'!AX373="SI",VLOOKUP('1.DATOS-PROD'!AX$2,'1.PUNTOS'!$A$1:$B$63,2,0),0)</f>
        <v>0</v>
      </c>
      <c r="AP372" s="138">
        <f>IF('1.DATOS-PROD'!AY373="SI",VLOOKUP('1.DATOS-PROD'!AY$2,'1.PUNTOS'!$A$1:$B$63,2,0),0)</f>
        <v>0</v>
      </c>
      <c r="AQ372" s="138">
        <f>IF('1.DATOS-PROD'!AZ373="SI",VLOOKUP('1.DATOS-PROD'!AZ$2,'1.PUNTOS'!$A$1:$B$63,2,0),0)</f>
        <v>0</v>
      </c>
      <c r="AR372" s="138">
        <f>IF('1.DATOS-PROD'!BA373="SI",VLOOKUP('1.DATOS-PROD'!BA$2,'1.PUNTOS'!$A$1:$B$63,2,0),0)</f>
        <v>0</v>
      </c>
      <c r="AS372" s="138">
        <f>IF('1.DATOS-PROD'!BB373="SI",VLOOKUP('1.DATOS-PROD'!BB$2,'1.PUNTOS'!$A$1:$B$63,2,0),0)</f>
        <v>0</v>
      </c>
      <c r="AT372" s="138">
        <f>IF('1.DATOS-PROD'!BC373="SI",VLOOKUP('1.DATOS-PROD'!BC$2,'1.PUNTOS'!$A$1:$B$63,2,0),0)</f>
        <v>0</v>
      </c>
      <c r="AU372" s="138">
        <f>IF('1.DATOS-PROD'!BD373="SI",VLOOKUP('1.DATOS-PROD'!BD$2,'1.PUNTOS'!$A$1:$B$63,2,0),0)</f>
        <v>0</v>
      </c>
      <c r="AV372" s="138">
        <f>IF('1.DATOS-PROD'!BE373="SI",VLOOKUP('1.DATOS-PROD'!BE$2,'1.PUNTOS'!$A$1:$B$63,2,0),0)</f>
        <v>0</v>
      </c>
      <c r="AW372" s="138">
        <f>IF('1.DATOS-PROD'!BF373="SI",VLOOKUP('1.DATOS-PROD'!BF$2,'1.PUNTOS'!$A$1:$B$63,2,0),0)</f>
        <v>0</v>
      </c>
      <c r="AX372" s="138">
        <f>IF('1.DATOS-PROD'!BG373="SI",VLOOKUP('1.DATOS-PROD'!BG$2,'1.PUNTOS'!$A$1:$B$63,2,0),0)</f>
        <v>0</v>
      </c>
      <c r="AY372" s="138">
        <f>IF('1.DATOS-PROD'!BH373="SI",VLOOKUP('1.DATOS-PROD'!BH$2,'1.PUNTOS'!$A$1:$B$63,2,0),0)</f>
        <v>0</v>
      </c>
      <c r="AZ372" s="138">
        <f>IF('1.DATOS-PROD'!BI373="SI",VLOOKUP('1.DATOS-PROD'!BI$2,'1.PUNTOS'!$A$1:$B$63,2,0),0)</f>
        <v>0</v>
      </c>
      <c r="BA372" s="138">
        <f>IF('1.DATOS-PROD'!BJ373="SI",VLOOKUP('1.DATOS-PROD'!BJ$2,'1.PUNTOS'!$A$1:$B$63,2,0),0)</f>
        <v>0</v>
      </c>
      <c r="BB372" s="138">
        <f>IF('1.DATOS-PROD'!BK373="SI",VLOOKUP('1.DATOS-PROD'!BK$2,'1.PUNTOS'!$A$1:$B$63,2,0),0)</f>
        <v>0</v>
      </c>
      <c r="BC372" s="138">
        <f>IF('1.DATOS-PROD'!BL373="SI",VLOOKUP('1.DATOS-PROD'!BL$2,'1.PUNTOS'!$A$1:$B$63,2,0),0)</f>
        <v>0</v>
      </c>
      <c r="BD372" s="138">
        <f>IF('1.DATOS-PROD'!BM373="SI",VLOOKUP('1.DATOS-PROD'!BM$2,'1.PUNTOS'!$A$1:$B$63,2,0),0)</f>
        <v>0</v>
      </c>
      <c r="BE372" s="138">
        <f>IF('1.DATOS-PROD'!BN373="SI",VLOOKUP('1.DATOS-PROD'!BN$2,'1.PUNTOS'!$A$1:$B$63,2,0),0)</f>
        <v>0</v>
      </c>
      <c r="BF372" s="138">
        <f>IF('1.DATOS-PROD'!BO373="SI",VLOOKUP('1.DATOS-PROD'!BO$2,'1.PUNTOS'!$A$1:$B$63,2,0),0)</f>
        <v>0</v>
      </c>
      <c r="BG372" s="138">
        <f>IF('1.DATOS-PROD'!BP373="SI",VLOOKUP('1.DATOS-PROD'!BP$2,'1.PUNTOS'!$A$1:$B$63,2,0),0)</f>
        <v>0</v>
      </c>
      <c r="BH372" s="138">
        <f>IF('1.DATOS-PROD'!BQ373="SI",VLOOKUP('1.DATOS-PROD'!BQ$2,'1.PUNTOS'!$A$1:$B$63,2,0),0)</f>
        <v>0</v>
      </c>
      <c r="BI372" s="138">
        <f>IF('1.DATOS-PROD'!BR373="SI",VLOOKUP('1.DATOS-PROD'!BR$2,'1.PUNTOS'!$A$1:$B$63,2,0),0)</f>
        <v>0</v>
      </c>
      <c r="BJ372" s="138">
        <f>IF('1.DATOS-PROD'!BS373="SI",VLOOKUP('1.DATOS-PROD'!BS$2,'1.PUNTOS'!$A$1:$B$63,2,0),0)</f>
        <v>0</v>
      </c>
      <c r="BK372" s="138">
        <f>IF('1.DATOS-PROD'!BT373="SI",VLOOKUP('1.DATOS-PROD'!BT$2,'1.PUNTOS'!$A$1:$B$63,2,0),0)</f>
        <v>0</v>
      </c>
    </row>
    <row r="373" spans="1:63" x14ac:dyDescent="0.25">
      <c r="A373">
        <f>'0.Consolidado general'!$A374</f>
        <v>0</v>
      </c>
      <c r="B373" s="138">
        <f>IF('1.DATOS-PROD'!K374="SI",VLOOKUP('1.DATOS-PROD'!K$2,'1.PUNTOS'!$A$1:$B$63,2,0),0)</f>
        <v>0</v>
      </c>
      <c r="C373" s="138">
        <f>IF('1.DATOS-PROD'!L374="SI",VLOOKUP('1.DATOS-PROD'!L$2,'1.PUNTOS'!$A$1:$B$63,2,0),0)</f>
        <v>0</v>
      </c>
      <c r="D373" s="138">
        <f>IF('1.DATOS-PROD'!M374="SI",VLOOKUP('1.DATOS-PROD'!M$2,'1.PUNTOS'!$A$1:$B$63,2,0),0)</f>
        <v>0</v>
      </c>
      <c r="E373" s="138">
        <f>IF('1.DATOS-PROD'!N374="SI",VLOOKUP('1.DATOS-PROD'!N$2,'1.PUNTOS'!$A$1:$B$63,2,0),0)</f>
        <v>0</v>
      </c>
      <c r="F373" s="138">
        <f>IF('1.DATOS-PROD'!O374="SI",VLOOKUP('1.DATOS-PROD'!O$2,'1.PUNTOS'!$A$1:$B$63,2,0),0)</f>
        <v>0</v>
      </c>
      <c r="G373" s="138">
        <f>IF('1.DATOS-PROD'!P374="SI",VLOOKUP('1.DATOS-PROD'!P$2,'1.PUNTOS'!$A$1:$B$63,2,0),0)</f>
        <v>0</v>
      </c>
      <c r="H373" s="138">
        <f>IF('1.DATOS-PROD'!Q374="SI",VLOOKUP('1.DATOS-PROD'!Q$2,'1.PUNTOS'!$A$1:$B$63,2,0),0)</f>
        <v>0</v>
      </c>
      <c r="I373" s="138">
        <f>IF('1.DATOS-PROD'!R374="SI",VLOOKUP('1.DATOS-PROD'!R$2,'1.PUNTOS'!$A$1:$B$63,2,0),0)</f>
        <v>0</v>
      </c>
      <c r="J373" s="138">
        <f>IF('1.DATOS-PROD'!S374="SI",VLOOKUP('1.DATOS-PROD'!S$2,'1.PUNTOS'!$A$1:$B$63,2,0),0)</f>
        <v>0</v>
      </c>
      <c r="K373" s="138">
        <f>IF('1.DATOS-PROD'!T374="SI",VLOOKUP('1.DATOS-PROD'!T$2,'1.PUNTOS'!$A$1:$B$63,2,0),0)</f>
        <v>0</v>
      </c>
      <c r="L373" s="138">
        <f>IF('1.DATOS-PROD'!U374="SI",VLOOKUP('1.DATOS-PROD'!U$2,'1.PUNTOS'!$A$1:$B$63,2,0),0)</f>
        <v>0</v>
      </c>
      <c r="M373" s="138">
        <f>IF('1.DATOS-PROD'!V374="SI",VLOOKUP('1.DATOS-PROD'!V$2,'1.PUNTOS'!$A$1:$B$63,2,0),0)</f>
        <v>0</v>
      </c>
      <c r="N373" s="138">
        <f>IF('1.DATOS-PROD'!W374="SI",VLOOKUP('1.DATOS-PROD'!W$2,'1.PUNTOS'!$A$1:$B$63,2,0),0)</f>
        <v>0</v>
      </c>
      <c r="O373" s="138">
        <f>IF('1.DATOS-PROD'!X374="SI",VLOOKUP('1.DATOS-PROD'!X$2,'1.PUNTOS'!$A$1:$B$63,2,0),0)</f>
        <v>0</v>
      </c>
      <c r="P373" s="138">
        <f>IF('1.DATOS-PROD'!Y374="SI",VLOOKUP('1.DATOS-PROD'!Y$2,'1.PUNTOS'!$A$1:$B$63,2,0),0)</f>
        <v>0</v>
      </c>
      <c r="Q373" s="138">
        <f>IF('1.DATOS-PROD'!Z374="SI",VLOOKUP('1.DATOS-PROD'!Z$2,'1.PUNTOS'!$A$1:$B$63,2,0),0)</f>
        <v>0</v>
      </c>
      <c r="R373" s="138">
        <f>IF('1.DATOS-PROD'!AA374="SI",VLOOKUP('1.DATOS-PROD'!AA$2,'1.PUNTOS'!$A$1:$B$63,2,0),0)</f>
        <v>0</v>
      </c>
      <c r="S373" s="138">
        <f>IF('1.DATOS-PROD'!AB374="SI",VLOOKUP('1.DATOS-PROD'!AB$2,'1.PUNTOS'!$A$1:$B$63,2,0),0)</f>
        <v>0</v>
      </c>
      <c r="T373" s="138">
        <f>IF('1.DATOS-PROD'!AC374="SI",VLOOKUP('1.DATOS-PROD'!AC$2,'1.PUNTOS'!$A$1:$B$63,2,0),0)</f>
        <v>0</v>
      </c>
      <c r="U373" s="138">
        <f>IF('1.DATOS-PROD'!AD374="SI",VLOOKUP('1.DATOS-PROD'!AD$2,'1.PUNTOS'!$A$1:$B$63,2,0),0)</f>
        <v>0</v>
      </c>
      <c r="V373" s="138">
        <f>IF('1.DATOS-PROD'!AE374="SI",VLOOKUP('1.DATOS-PROD'!AE$2,'1.PUNTOS'!$A$1:$B$63,2,0),0)</f>
        <v>0</v>
      </c>
      <c r="W373" s="138">
        <f>IF('1.DATOS-PROD'!AF374="SI",VLOOKUP('1.DATOS-PROD'!AF$2,'1.PUNTOS'!$A$1:$B$63,2,0),0)</f>
        <v>0</v>
      </c>
      <c r="X373" s="138">
        <f>IF('1.DATOS-PROD'!AG374="SI",VLOOKUP('1.DATOS-PROD'!AG$2,'1.PUNTOS'!$A$1:$B$63,2,0),0)</f>
        <v>0</v>
      </c>
      <c r="Y373" s="138">
        <f>IF('1.DATOS-PROD'!AH374="SI",VLOOKUP('1.DATOS-PROD'!AH$2,'1.PUNTOS'!$A$1:$B$63,2,0),0)</f>
        <v>0</v>
      </c>
      <c r="Z373" s="138">
        <f>IF('1.DATOS-PROD'!AI374="SI",VLOOKUP('1.DATOS-PROD'!AI$2,'1.PUNTOS'!$A$1:$B$63,2,0),0)</f>
        <v>0</v>
      </c>
      <c r="AA373" s="138">
        <f>IF('1.DATOS-PROD'!AJ374="SI",VLOOKUP('1.DATOS-PROD'!AJ$2,'1.PUNTOS'!$A$1:$B$63,2,0),0)</f>
        <v>0</v>
      </c>
      <c r="AB373" s="138">
        <f>IF('1.DATOS-PROD'!AK374="SI",VLOOKUP('1.DATOS-PROD'!AK$2,'1.PUNTOS'!$A$1:$B$63,2,0),0)</f>
        <v>0</v>
      </c>
      <c r="AC373" s="138">
        <f>IF('1.DATOS-PROD'!AL374="SI",VLOOKUP('1.DATOS-PROD'!AL$2,'1.PUNTOS'!$A$1:$B$63,2,0),0)</f>
        <v>0</v>
      </c>
      <c r="AD373" s="138">
        <f>IF('1.DATOS-PROD'!AM374="SI",VLOOKUP('1.DATOS-PROD'!AM$2,'1.PUNTOS'!$A$1:$B$63,2,0),0)</f>
        <v>0</v>
      </c>
      <c r="AE373" s="138">
        <f>IF('1.DATOS-PROD'!AN374="SI",VLOOKUP('1.DATOS-PROD'!AN$2,'1.PUNTOS'!$A$1:$B$63,2,0),0)</f>
        <v>0</v>
      </c>
      <c r="AF373" s="138">
        <f>IF('1.DATOS-PROD'!AO374="SI",VLOOKUP('1.DATOS-PROD'!AO$2,'1.PUNTOS'!$A$1:$B$63,2,0),0)</f>
        <v>0</v>
      </c>
      <c r="AG373" s="138">
        <f>IF('1.DATOS-PROD'!AP374="SI",VLOOKUP('1.DATOS-PROD'!AP$2,'1.PUNTOS'!$A$1:$B$63,2,0),0)</f>
        <v>0</v>
      </c>
      <c r="AH373" s="138">
        <f>IF('1.DATOS-PROD'!AQ374="SI",VLOOKUP('1.DATOS-PROD'!AQ$2,'1.PUNTOS'!$A$1:$B$63,2,0),0)</f>
        <v>0</v>
      </c>
      <c r="AI373" s="138">
        <f>IF('1.DATOS-PROD'!AR374="SI",VLOOKUP('1.DATOS-PROD'!AR$2,'1.PUNTOS'!$A$1:$B$63,2,0),0)</f>
        <v>0</v>
      </c>
      <c r="AJ373" s="138">
        <f>IF('1.DATOS-PROD'!AS374="SI",VLOOKUP('1.DATOS-PROD'!AS$2,'1.PUNTOS'!$A$1:$B$63,2,0),0)</f>
        <v>0</v>
      </c>
      <c r="AK373" s="138">
        <f>IF('1.DATOS-PROD'!AT374="SI",VLOOKUP('1.DATOS-PROD'!AT$2,'1.PUNTOS'!$A$1:$B$63,2,0),0)</f>
        <v>0</v>
      </c>
      <c r="AL373" s="138">
        <f>IF('1.DATOS-PROD'!AU374="SI",VLOOKUP('1.DATOS-PROD'!AU$2,'1.PUNTOS'!$A$1:$B$63,2,0),0)</f>
        <v>0</v>
      </c>
      <c r="AM373" s="138">
        <f>IF('1.DATOS-PROD'!AV374="SI",VLOOKUP('1.DATOS-PROD'!AV$2,'1.PUNTOS'!$A$1:$B$63,2,0),0)</f>
        <v>0</v>
      </c>
      <c r="AN373" s="138">
        <f>IF('1.DATOS-PROD'!AW374="SI",VLOOKUP('1.DATOS-PROD'!AW$2,'1.PUNTOS'!$A$1:$B$63,2,0),0)</f>
        <v>0</v>
      </c>
      <c r="AO373" s="138">
        <f>IF('1.DATOS-PROD'!AX374="SI",VLOOKUP('1.DATOS-PROD'!AX$2,'1.PUNTOS'!$A$1:$B$63,2,0),0)</f>
        <v>0</v>
      </c>
      <c r="AP373" s="138">
        <f>IF('1.DATOS-PROD'!AY374="SI",VLOOKUP('1.DATOS-PROD'!AY$2,'1.PUNTOS'!$A$1:$B$63,2,0),0)</f>
        <v>0</v>
      </c>
      <c r="AQ373" s="138">
        <f>IF('1.DATOS-PROD'!AZ374="SI",VLOOKUP('1.DATOS-PROD'!AZ$2,'1.PUNTOS'!$A$1:$B$63,2,0),0)</f>
        <v>0</v>
      </c>
      <c r="AR373" s="138">
        <f>IF('1.DATOS-PROD'!BA374="SI",VLOOKUP('1.DATOS-PROD'!BA$2,'1.PUNTOS'!$A$1:$B$63,2,0),0)</f>
        <v>0</v>
      </c>
      <c r="AS373" s="138">
        <f>IF('1.DATOS-PROD'!BB374="SI",VLOOKUP('1.DATOS-PROD'!BB$2,'1.PUNTOS'!$A$1:$B$63,2,0),0)</f>
        <v>0</v>
      </c>
      <c r="AT373" s="138">
        <f>IF('1.DATOS-PROD'!BC374="SI",VLOOKUP('1.DATOS-PROD'!BC$2,'1.PUNTOS'!$A$1:$B$63,2,0),0)</f>
        <v>0</v>
      </c>
      <c r="AU373" s="138">
        <f>IF('1.DATOS-PROD'!BD374="SI",VLOOKUP('1.DATOS-PROD'!BD$2,'1.PUNTOS'!$A$1:$B$63,2,0),0)</f>
        <v>0</v>
      </c>
      <c r="AV373" s="138">
        <f>IF('1.DATOS-PROD'!BE374="SI",VLOOKUP('1.DATOS-PROD'!BE$2,'1.PUNTOS'!$A$1:$B$63,2,0),0)</f>
        <v>0</v>
      </c>
      <c r="AW373" s="138">
        <f>IF('1.DATOS-PROD'!BF374="SI",VLOOKUP('1.DATOS-PROD'!BF$2,'1.PUNTOS'!$A$1:$B$63,2,0),0)</f>
        <v>0</v>
      </c>
      <c r="AX373" s="138">
        <f>IF('1.DATOS-PROD'!BG374="SI",VLOOKUP('1.DATOS-PROD'!BG$2,'1.PUNTOS'!$A$1:$B$63,2,0),0)</f>
        <v>0</v>
      </c>
      <c r="AY373" s="138">
        <f>IF('1.DATOS-PROD'!BH374="SI",VLOOKUP('1.DATOS-PROD'!BH$2,'1.PUNTOS'!$A$1:$B$63,2,0),0)</f>
        <v>0</v>
      </c>
      <c r="AZ373" s="138">
        <f>IF('1.DATOS-PROD'!BI374="SI",VLOOKUP('1.DATOS-PROD'!BI$2,'1.PUNTOS'!$A$1:$B$63,2,0),0)</f>
        <v>0</v>
      </c>
      <c r="BA373" s="138">
        <f>IF('1.DATOS-PROD'!BJ374="SI",VLOOKUP('1.DATOS-PROD'!BJ$2,'1.PUNTOS'!$A$1:$B$63,2,0),0)</f>
        <v>0</v>
      </c>
      <c r="BB373" s="138">
        <f>IF('1.DATOS-PROD'!BK374="SI",VLOOKUP('1.DATOS-PROD'!BK$2,'1.PUNTOS'!$A$1:$B$63,2,0),0)</f>
        <v>0</v>
      </c>
      <c r="BC373" s="138">
        <f>IF('1.DATOS-PROD'!BL374="SI",VLOOKUP('1.DATOS-PROD'!BL$2,'1.PUNTOS'!$A$1:$B$63,2,0),0)</f>
        <v>0</v>
      </c>
      <c r="BD373" s="138">
        <f>IF('1.DATOS-PROD'!BM374="SI",VLOOKUP('1.DATOS-PROD'!BM$2,'1.PUNTOS'!$A$1:$B$63,2,0),0)</f>
        <v>0</v>
      </c>
      <c r="BE373" s="138">
        <f>IF('1.DATOS-PROD'!BN374="SI",VLOOKUP('1.DATOS-PROD'!BN$2,'1.PUNTOS'!$A$1:$B$63,2,0),0)</f>
        <v>0</v>
      </c>
      <c r="BF373" s="138">
        <f>IF('1.DATOS-PROD'!BO374="SI",VLOOKUP('1.DATOS-PROD'!BO$2,'1.PUNTOS'!$A$1:$B$63,2,0),0)</f>
        <v>0</v>
      </c>
      <c r="BG373" s="138">
        <f>IF('1.DATOS-PROD'!BP374="SI",VLOOKUP('1.DATOS-PROD'!BP$2,'1.PUNTOS'!$A$1:$B$63,2,0),0)</f>
        <v>0</v>
      </c>
      <c r="BH373" s="138">
        <f>IF('1.DATOS-PROD'!BQ374="SI",VLOOKUP('1.DATOS-PROD'!BQ$2,'1.PUNTOS'!$A$1:$B$63,2,0),0)</f>
        <v>0</v>
      </c>
      <c r="BI373" s="138">
        <f>IF('1.DATOS-PROD'!BR374="SI",VLOOKUP('1.DATOS-PROD'!BR$2,'1.PUNTOS'!$A$1:$B$63,2,0),0)</f>
        <v>0</v>
      </c>
      <c r="BJ373" s="138">
        <f>IF('1.DATOS-PROD'!BS374="SI",VLOOKUP('1.DATOS-PROD'!BS$2,'1.PUNTOS'!$A$1:$B$63,2,0),0)</f>
        <v>0</v>
      </c>
      <c r="BK373" s="138">
        <f>IF('1.DATOS-PROD'!BT374="SI",VLOOKUP('1.DATOS-PROD'!BT$2,'1.PUNTOS'!$A$1:$B$63,2,0),0)</f>
        <v>0</v>
      </c>
    </row>
    <row r="374" spans="1:63" x14ac:dyDescent="0.25">
      <c r="A374">
        <f>'0.Consolidado general'!$A375</f>
        <v>0</v>
      </c>
      <c r="B374" s="138">
        <f>IF('1.DATOS-PROD'!K375="SI",VLOOKUP('1.DATOS-PROD'!K$2,'1.PUNTOS'!$A$1:$B$63,2,0),0)</f>
        <v>0</v>
      </c>
      <c r="C374" s="138">
        <f>IF('1.DATOS-PROD'!L375="SI",VLOOKUP('1.DATOS-PROD'!L$2,'1.PUNTOS'!$A$1:$B$63,2,0),0)</f>
        <v>0</v>
      </c>
      <c r="D374" s="138">
        <f>IF('1.DATOS-PROD'!M375="SI",VLOOKUP('1.DATOS-PROD'!M$2,'1.PUNTOS'!$A$1:$B$63,2,0),0)</f>
        <v>0</v>
      </c>
      <c r="E374" s="138">
        <f>IF('1.DATOS-PROD'!N375="SI",VLOOKUP('1.DATOS-PROD'!N$2,'1.PUNTOS'!$A$1:$B$63,2,0),0)</f>
        <v>0</v>
      </c>
      <c r="F374" s="138">
        <f>IF('1.DATOS-PROD'!O375="SI",VLOOKUP('1.DATOS-PROD'!O$2,'1.PUNTOS'!$A$1:$B$63,2,0),0)</f>
        <v>0</v>
      </c>
      <c r="G374" s="138">
        <f>IF('1.DATOS-PROD'!P375="SI",VLOOKUP('1.DATOS-PROD'!P$2,'1.PUNTOS'!$A$1:$B$63,2,0),0)</f>
        <v>0</v>
      </c>
      <c r="H374" s="138">
        <f>IF('1.DATOS-PROD'!Q375="SI",VLOOKUP('1.DATOS-PROD'!Q$2,'1.PUNTOS'!$A$1:$B$63,2,0),0)</f>
        <v>0</v>
      </c>
      <c r="I374" s="138">
        <f>IF('1.DATOS-PROD'!R375="SI",VLOOKUP('1.DATOS-PROD'!R$2,'1.PUNTOS'!$A$1:$B$63,2,0),0)</f>
        <v>0</v>
      </c>
      <c r="J374" s="138">
        <f>IF('1.DATOS-PROD'!S375="SI",VLOOKUP('1.DATOS-PROD'!S$2,'1.PUNTOS'!$A$1:$B$63,2,0),0)</f>
        <v>0</v>
      </c>
      <c r="K374" s="138">
        <f>IF('1.DATOS-PROD'!T375="SI",VLOOKUP('1.DATOS-PROD'!T$2,'1.PUNTOS'!$A$1:$B$63,2,0),0)</f>
        <v>0</v>
      </c>
      <c r="L374" s="138">
        <f>IF('1.DATOS-PROD'!U375="SI",VLOOKUP('1.DATOS-PROD'!U$2,'1.PUNTOS'!$A$1:$B$63,2,0),0)</f>
        <v>0</v>
      </c>
      <c r="M374" s="138">
        <f>IF('1.DATOS-PROD'!V375="SI",VLOOKUP('1.DATOS-PROD'!V$2,'1.PUNTOS'!$A$1:$B$63,2,0),0)</f>
        <v>0</v>
      </c>
      <c r="N374" s="138">
        <f>IF('1.DATOS-PROD'!W375="SI",VLOOKUP('1.DATOS-PROD'!W$2,'1.PUNTOS'!$A$1:$B$63,2,0),0)</f>
        <v>0</v>
      </c>
      <c r="O374" s="138">
        <f>IF('1.DATOS-PROD'!X375="SI",VLOOKUP('1.DATOS-PROD'!X$2,'1.PUNTOS'!$A$1:$B$63,2,0),0)</f>
        <v>0</v>
      </c>
      <c r="P374" s="138">
        <f>IF('1.DATOS-PROD'!Y375="SI",VLOOKUP('1.DATOS-PROD'!Y$2,'1.PUNTOS'!$A$1:$B$63,2,0),0)</f>
        <v>0</v>
      </c>
      <c r="Q374" s="138">
        <f>IF('1.DATOS-PROD'!Z375="SI",VLOOKUP('1.DATOS-PROD'!Z$2,'1.PUNTOS'!$A$1:$B$63,2,0),0)</f>
        <v>0</v>
      </c>
      <c r="R374" s="138">
        <f>IF('1.DATOS-PROD'!AA375="SI",VLOOKUP('1.DATOS-PROD'!AA$2,'1.PUNTOS'!$A$1:$B$63,2,0),0)</f>
        <v>0</v>
      </c>
      <c r="S374" s="138">
        <f>IF('1.DATOS-PROD'!AB375="SI",VLOOKUP('1.DATOS-PROD'!AB$2,'1.PUNTOS'!$A$1:$B$63,2,0),0)</f>
        <v>0</v>
      </c>
      <c r="T374" s="138">
        <f>IF('1.DATOS-PROD'!AC375="SI",VLOOKUP('1.DATOS-PROD'!AC$2,'1.PUNTOS'!$A$1:$B$63,2,0),0)</f>
        <v>0</v>
      </c>
      <c r="U374" s="138">
        <f>IF('1.DATOS-PROD'!AD375="SI",VLOOKUP('1.DATOS-PROD'!AD$2,'1.PUNTOS'!$A$1:$B$63,2,0),0)</f>
        <v>0</v>
      </c>
      <c r="V374" s="138">
        <f>IF('1.DATOS-PROD'!AE375="SI",VLOOKUP('1.DATOS-PROD'!AE$2,'1.PUNTOS'!$A$1:$B$63,2,0),0)</f>
        <v>0</v>
      </c>
      <c r="W374" s="138">
        <f>IF('1.DATOS-PROD'!AF375="SI",VLOOKUP('1.DATOS-PROD'!AF$2,'1.PUNTOS'!$A$1:$B$63,2,0),0)</f>
        <v>0</v>
      </c>
      <c r="X374" s="138">
        <f>IF('1.DATOS-PROD'!AG375="SI",VLOOKUP('1.DATOS-PROD'!AG$2,'1.PUNTOS'!$A$1:$B$63,2,0),0)</f>
        <v>0</v>
      </c>
      <c r="Y374" s="138">
        <f>IF('1.DATOS-PROD'!AH375="SI",VLOOKUP('1.DATOS-PROD'!AH$2,'1.PUNTOS'!$A$1:$B$63,2,0),0)</f>
        <v>0</v>
      </c>
      <c r="Z374" s="138">
        <f>IF('1.DATOS-PROD'!AI375="SI",VLOOKUP('1.DATOS-PROD'!AI$2,'1.PUNTOS'!$A$1:$B$63,2,0),0)</f>
        <v>0</v>
      </c>
      <c r="AA374" s="138">
        <f>IF('1.DATOS-PROD'!AJ375="SI",VLOOKUP('1.DATOS-PROD'!AJ$2,'1.PUNTOS'!$A$1:$B$63,2,0),0)</f>
        <v>0</v>
      </c>
      <c r="AB374" s="138">
        <f>IF('1.DATOS-PROD'!AK375="SI",VLOOKUP('1.DATOS-PROD'!AK$2,'1.PUNTOS'!$A$1:$B$63,2,0),0)</f>
        <v>0</v>
      </c>
      <c r="AC374" s="138">
        <f>IF('1.DATOS-PROD'!AL375="SI",VLOOKUP('1.DATOS-PROD'!AL$2,'1.PUNTOS'!$A$1:$B$63,2,0),0)</f>
        <v>0</v>
      </c>
      <c r="AD374" s="138">
        <f>IF('1.DATOS-PROD'!AM375="SI",VLOOKUP('1.DATOS-PROD'!AM$2,'1.PUNTOS'!$A$1:$B$63,2,0),0)</f>
        <v>0</v>
      </c>
      <c r="AE374" s="138">
        <f>IF('1.DATOS-PROD'!AN375="SI",VLOOKUP('1.DATOS-PROD'!AN$2,'1.PUNTOS'!$A$1:$B$63,2,0),0)</f>
        <v>0</v>
      </c>
      <c r="AF374" s="138">
        <f>IF('1.DATOS-PROD'!AO375="SI",VLOOKUP('1.DATOS-PROD'!AO$2,'1.PUNTOS'!$A$1:$B$63,2,0),0)</f>
        <v>0</v>
      </c>
      <c r="AG374" s="138">
        <f>IF('1.DATOS-PROD'!AP375="SI",VLOOKUP('1.DATOS-PROD'!AP$2,'1.PUNTOS'!$A$1:$B$63,2,0),0)</f>
        <v>0</v>
      </c>
      <c r="AH374" s="138">
        <f>IF('1.DATOS-PROD'!AQ375="SI",VLOOKUP('1.DATOS-PROD'!AQ$2,'1.PUNTOS'!$A$1:$B$63,2,0),0)</f>
        <v>0</v>
      </c>
      <c r="AI374" s="138">
        <f>IF('1.DATOS-PROD'!AR375="SI",VLOOKUP('1.DATOS-PROD'!AR$2,'1.PUNTOS'!$A$1:$B$63,2,0),0)</f>
        <v>0</v>
      </c>
      <c r="AJ374" s="138">
        <f>IF('1.DATOS-PROD'!AS375="SI",VLOOKUP('1.DATOS-PROD'!AS$2,'1.PUNTOS'!$A$1:$B$63,2,0),0)</f>
        <v>0</v>
      </c>
      <c r="AK374" s="138">
        <f>IF('1.DATOS-PROD'!AT375="SI",VLOOKUP('1.DATOS-PROD'!AT$2,'1.PUNTOS'!$A$1:$B$63,2,0),0)</f>
        <v>0</v>
      </c>
      <c r="AL374" s="138">
        <f>IF('1.DATOS-PROD'!AU375="SI",VLOOKUP('1.DATOS-PROD'!AU$2,'1.PUNTOS'!$A$1:$B$63,2,0),0)</f>
        <v>0</v>
      </c>
      <c r="AM374" s="138">
        <f>IF('1.DATOS-PROD'!AV375="SI",VLOOKUP('1.DATOS-PROD'!AV$2,'1.PUNTOS'!$A$1:$B$63,2,0),0)</f>
        <v>0</v>
      </c>
      <c r="AN374" s="138">
        <f>IF('1.DATOS-PROD'!AW375="SI",VLOOKUP('1.DATOS-PROD'!AW$2,'1.PUNTOS'!$A$1:$B$63,2,0),0)</f>
        <v>0</v>
      </c>
      <c r="AO374" s="138">
        <f>IF('1.DATOS-PROD'!AX375="SI",VLOOKUP('1.DATOS-PROD'!AX$2,'1.PUNTOS'!$A$1:$B$63,2,0),0)</f>
        <v>0</v>
      </c>
      <c r="AP374" s="138">
        <f>IF('1.DATOS-PROD'!AY375="SI",VLOOKUP('1.DATOS-PROD'!AY$2,'1.PUNTOS'!$A$1:$B$63,2,0),0)</f>
        <v>0</v>
      </c>
      <c r="AQ374" s="138">
        <f>IF('1.DATOS-PROD'!AZ375="SI",VLOOKUP('1.DATOS-PROD'!AZ$2,'1.PUNTOS'!$A$1:$B$63,2,0),0)</f>
        <v>0</v>
      </c>
      <c r="AR374" s="138">
        <f>IF('1.DATOS-PROD'!BA375="SI",VLOOKUP('1.DATOS-PROD'!BA$2,'1.PUNTOS'!$A$1:$B$63,2,0),0)</f>
        <v>0</v>
      </c>
      <c r="AS374" s="138">
        <f>IF('1.DATOS-PROD'!BB375="SI",VLOOKUP('1.DATOS-PROD'!BB$2,'1.PUNTOS'!$A$1:$B$63,2,0),0)</f>
        <v>0</v>
      </c>
      <c r="AT374" s="138">
        <f>IF('1.DATOS-PROD'!BC375="SI",VLOOKUP('1.DATOS-PROD'!BC$2,'1.PUNTOS'!$A$1:$B$63,2,0),0)</f>
        <v>0</v>
      </c>
      <c r="AU374" s="138">
        <f>IF('1.DATOS-PROD'!BD375="SI",VLOOKUP('1.DATOS-PROD'!BD$2,'1.PUNTOS'!$A$1:$B$63,2,0),0)</f>
        <v>0</v>
      </c>
      <c r="AV374" s="138">
        <f>IF('1.DATOS-PROD'!BE375="SI",VLOOKUP('1.DATOS-PROD'!BE$2,'1.PUNTOS'!$A$1:$B$63,2,0),0)</f>
        <v>0</v>
      </c>
      <c r="AW374" s="138">
        <f>IF('1.DATOS-PROD'!BF375="SI",VLOOKUP('1.DATOS-PROD'!BF$2,'1.PUNTOS'!$A$1:$B$63,2,0),0)</f>
        <v>0</v>
      </c>
      <c r="AX374" s="138">
        <f>IF('1.DATOS-PROD'!BG375="SI",VLOOKUP('1.DATOS-PROD'!BG$2,'1.PUNTOS'!$A$1:$B$63,2,0),0)</f>
        <v>0</v>
      </c>
      <c r="AY374" s="138">
        <f>IF('1.DATOS-PROD'!BH375="SI",VLOOKUP('1.DATOS-PROD'!BH$2,'1.PUNTOS'!$A$1:$B$63,2,0),0)</f>
        <v>0</v>
      </c>
      <c r="AZ374" s="138">
        <f>IF('1.DATOS-PROD'!BI375="SI",VLOOKUP('1.DATOS-PROD'!BI$2,'1.PUNTOS'!$A$1:$B$63,2,0),0)</f>
        <v>0</v>
      </c>
      <c r="BA374" s="138">
        <f>IF('1.DATOS-PROD'!BJ375="SI",VLOOKUP('1.DATOS-PROD'!BJ$2,'1.PUNTOS'!$A$1:$B$63,2,0),0)</f>
        <v>0</v>
      </c>
      <c r="BB374" s="138">
        <f>IF('1.DATOS-PROD'!BK375="SI",VLOOKUP('1.DATOS-PROD'!BK$2,'1.PUNTOS'!$A$1:$B$63,2,0),0)</f>
        <v>0</v>
      </c>
      <c r="BC374" s="138">
        <f>IF('1.DATOS-PROD'!BL375="SI",VLOOKUP('1.DATOS-PROD'!BL$2,'1.PUNTOS'!$A$1:$B$63,2,0),0)</f>
        <v>0</v>
      </c>
      <c r="BD374" s="138">
        <f>IF('1.DATOS-PROD'!BM375="SI",VLOOKUP('1.DATOS-PROD'!BM$2,'1.PUNTOS'!$A$1:$B$63,2,0),0)</f>
        <v>0</v>
      </c>
      <c r="BE374" s="138">
        <f>IF('1.DATOS-PROD'!BN375="SI",VLOOKUP('1.DATOS-PROD'!BN$2,'1.PUNTOS'!$A$1:$B$63,2,0),0)</f>
        <v>0</v>
      </c>
      <c r="BF374" s="138">
        <f>IF('1.DATOS-PROD'!BO375="SI",VLOOKUP('1.DATOS-PROD'!BO$2,'1.PUNTOS'!$A$1:$B$63,2,0),0)</f>
        <v>0</v>
      </c>
      <c r="BG374" s="138">
        <f>IF('1.DATOS-PROD'!BP375="SI",VLOOKUP('1.DATOS-PROD'!BP$2,'1.PUNTOS'!$A$1:$B$63,2,0),0)</f>
        <v>0</v>
      </c>
      <c r="BH374" s="138">
        <f>IF('1.DATOS-PROD'!BQ375="SI",VLOOKUP('1.DATOS-PROD'!BQ$2,'1.PUNTOS'!$A$1:$B$63,2,0),0)</f>
        <v>0</v>
      </c>
      <c r="BI374" s="138">
        <f>IF('1.DATOS-PROD'!BR375="SI",VLOOKUP('1.DATOS-PROD'!BR$2,'1.PUNTOS'!$A$1:$B$63,2,0),0)</f>
        <v>0</v>
      </c>
      <c r="BJ374" s="138">
        <f>IF('1.DATOS-PROD'!BS375="SI",VLOOKUP('1.DATOS-PROD'!BS$2,'1.PUNTOS'!$A$1:$B$63,2,0),0)</f>
        <v>0</v>
      </c>
      <c r="BK374" s="138">
        <f>IF('1.DATOS-PROD'!BT375="SI",VLOOKUP('1.DATOS-PROD'!BT$2,'1.PUNTOS'!$A$1:$B$63,2,0),0)</f>
        <v>0</v>
      </c>
    </row>
    <row r="375" spans="1:63" x14ac:dyDescent="0.25">
      <c r="A375">
        <f>'0.Consolidado general'!$A376</f>
        <v>0</v>
      </c>
      <c r="B375" s="138">
        <f>IF('1.DATOS-PROD'!K376="SI",VLOOKUP('1.DATOS-PROD'!K$2,'1.PUNTOS'!$A$1:$B$63,2,0),0)</f>
        <v>0</v>
      </c>
      <c r="C375" s="138">
        <f>IF('1.DATOS-PROD'!L376="SI",VLOOKUP('1.DATOS-PROD'!L$2,'1.PUNTOS'!$A$1:$B$63,2,0),0)</f>
        <v>0</v>
      </c>
      <c r="D375" s="138">
        <f>IF('1.DATOS-PROD'!M376="SI",VLOOKUP('1.DATOS-PROD'!M$2,'1.PUNTOS'!$A$1:$B$63,2,0),0)</f>
        <v>0</v>
      </c>
      <c r="E375" s="138">
        <f>IF('1.DATOS-PROD'!N376="SI",VLOOKUP('1.DATOS-PROD'!N$2,'1.PUNTOS'!$A$1:$B$63,2,0),0)</f>
        <v>0</v>
      </c>
      <c r="F375" s="138">
        <f>IF('1.DATOS-PROD'!O376="SI",VLOOKUP('1.DATOS-PROD'!O$2,'1.PUNTOS'!$A$1:$B$63,2,0),0)</f>
        <v>0</v>
      </c>
      <c r="G375" s="138">
        <f>IF('1.DATOS-PROD'!P376="SI",VLOOKUP('1.DATOS-PROD'!P$2,'1.PUNTOS'!$A$1:$B$63,2,0),0)</f>
        <v>0</v>
      </c>
      <c r="H375" s="138">
        <f>IF('1.DATOS-PROD'!Q376="SI",VLOOKUP('1.DATOS-PROD'!Q$2,'1.PUNTOS'!$A$1:$B$63,2,0),0)</f>
        <v>0</v>
      </c>
      <c r="I375" s="138">
        <f>IF('1.DATOS-PROD'!R376="SI",VLOOKUP('1.DATOS-PROD'!R$2,'1.PUNTOS'!$A$1:$B$63,2,0),0)</f>
        <v>0</v>
      </c>
      <c r="J375" s="138">
        <f>IF('1.DATOS-PROD'!S376="SI",VLOOKUP('1.DATOS-PROD'!S$2,'1.PUNTOS'!$A$1:$B$63,2,0),0)</f>
        <v>0</v>
      </c>
      <c r="K375" s="138">
        <f>IF('1.DATOS-PROD'!T376="SI",VLOOKUP('1.DATOS-PROD'!T$2,'1.PUNTOS'!$A$1:$B$63,2,0),0)</f>
        <v>0</v>
      </c>
      <c r="L375" s="138">
        <f>IF('1.DATOS-PROD'!U376="SI",VLOOKUP('1.DATOS-PROD'!U$2,'1.PUNTOS'!$A$1:$B$63,2,0),0)</f>
        <v>0</v>
      </c>
      <c r="M375" s="138">
        <f>IF('1.DATOS-PROD'!V376="SI",VLOOKUP('1.DATOS-PROD'!V$2,'1.PUNTOS'!$A$1:$B$63,2,0),0)</f>
        <v>0</v>
      </c>
      <c r="N375" s="138">
        <f>IF('1.DATOS-PROD'!W376="SI",VLOOKUP('1.DATOS-PROD'!W$2,'1.PUNTOS'!$A$1:$B$63,2,0),0)</f>
        <v>0</v>
      </c>
      <c r="O375" s="138">
        <f>IF('1.DATOS-PROD'!X376="SI",VLOOKUP('1.DATOS-PROD'!X$2,'1.PUNTOS'!$A$1:$B$63,2,0),0)</f>
        <v>0</v>
      </c>
      <c r="P375" s="138">
        <f>IF('1.DATOS-PROD'!Y376="SI",VLOOKUP('1.DATOS-PROD'!Y$2,'1.PUNTOS'!$A$1:$B$63,2,0),0)</f>
        <v>0</v>
      </c>
      <c r="Q375" s="138">
        <f>IF('1.DATOS-PROD'!Z376="SI",VLOOKUP('1.DATOS-PROD'!Z$2,'1.PUNTOS'!$A$1:$B$63,2,0),0)</f>
        <v>0</v>
      </c>
      <c r="R375" s="138">
        <f>IF('1.DATOS-PROD'!AA376="SI",VLOOKUP('1.DATOS-PROD'!AA$2,'1.PUNTOS'!$A$1:$B$63,2,0),0)</f>
        <v>0</v>
      </c>
      <c r="S375" s="138">
        <f>IF('1.DATOS-PROD'!AB376="SI",VLOOKUP('1.DATOS-PROD'!AB$2,'1.PUNTOS'!$A$1:$B$63,2,0),0)</f>
        <v>0</v>
      </c>
      <c r="T375" s="138">
        <f>IF('1.DATOS-PROD'!AC376="SI",VLOOKUP('1.DATOS-PROD'!AC$2,'1.PUNTOS'!$A$1:$B$63,2,0),0)</f>
        <v>0</v>
      </c>
      <c r="U375" s="138">
        <f>IF('1.DATOS-PROD'!AD376="SI",VLOOKUP('1.DATOS-PROD'!AD$2,'1.PUNTOS'!$A$1:$B$63,2,0),0)</f>
        <v>0</v>
      </c>
      <c r="V375" s="138">
        <f>IF('1.DATOS-PROD'!AE376="SI",VLOOKUP('1.DATOS-PROD'!AE$2,'1.PUNTOS'!$A$1:$B$63,2,0),0)</f>
        <v>0</v>
      </c>
      <c r="W375" s="138">
        <f>IF('1.DATOS-PROD'!AF376="SI",VLOOKUP('1.DATOS-PROD'!AF$2,'1.PUNTOS'!$A$1:$B$63,2,0),0)</f>
        <v>0</v>
      </c>
      <c r="X375" s="138">
        <f>IF('1.DATOS-PROD'!AG376="SI",VLOOKUP('1.DATOS-PROD'!AG$2,'1.PUNTOS'!$A$1:$B$63,2,0),0)</f>
        <v>0</v>
      </c>
      <c r="Y375" s="138">
        <f>IF('1.DATOS-PROD'!AH376="SI",VLOOKUP('1.DATOS-PROD'!AH$2,'1.PUNTOS'!$A$1:$B$63,2,0),0)</f>
        <v>0</v>
      </c>
      <c r="Z375" s="138">
        <f>IF('1.DATOS-PROD'!AI376="SI",VLOOKUP('1.DATOS-PROD'!AI$2,'1.PUNTOS'!$A$1:$B$63,2,0),0)</f>
        <v>0</v>
      </c>
      <c r="AA375" s="138">
        <f>IF('1.DATOS-PROD'!AJ376="SI",VLOOKUP('1.DATOS-PROD'!AJ$2,'1.PUNTOS'!$A$1:$B$63,2,0),0)</f>
        <v>0</v>
      </c>
      <c r="AB375" s="138">
        <f>IF('1.DATOS-PROD'!AK376="SI",VLOOKUP('1.DATOS-PROD'!AK$2,'1.PUNTOS'!$A$1:$B$63,2,0),0)</f>
        <v>0</v>
      </c>
      <c r="AC375" s="138">
        <f>IF('1.DATOS-PROD'!AL376="SI",VLOOKUP('1.DATOS-PROD'!AL$2,'1.PUNTOS'!$A$1:$B$63,2,0),0)</f>
        <v>0</v>
      </c>
      <c r="AD375" s="138">
        <f>IF('1.DATOS-PROD'!AM376="SI",VLOOKUP('1.DATOS-PROD'!AM$2,'1.PUNTOS'!$A$1:$B$63,2,0),0)</f>
        <v>0</v>
      </c>
      <c r="AE375" s="138">
        <f>IF('1.DATOS-PROD'!AN376="SI",VLOOKUP('1.DATOS-PROD'!AN$2,'1.PUNTOS'!$A$1:$B$63,2,0),0)</f>
        <v>0</v>
      </c>
      <c r="AF375" s="138">
        <f>IF('1.DATOS-PROD'!AO376="SI",VLOOKUP('1.DATOS-PROD'!AO$2,'1.PUNTOS'!$A$1:$B$63,2,0),0)</f>
        <v>0</v>
      </c>
      <c r="AG375" s="138">
        <f>IF('1.DATOS-PROD'!AP376="SI",VLOOKUP('1.DATOS-PROD'!AP$2,'1.PUNTOS'!$A$1:$B$63,2,0),0)</f>
        <v>0</v>
      </c>
      <c r="AH375" s="138">
        <f>IF('1.DATOS-PROD'!AQ376="SI",VLOOKUP('1.DATOS-PROD'!AQ$2,'1.PUNTOS'!$A$1:$B$63,2,0),0)</f>
        <v>0</v>
      </c>
      <c r="AI375" s="138">
        <f>IF('1.DATOS-PROD'!AR376="SI",VLOOKUP('1.DATOS-PROD'!AR$2,'1.PUNTOS'!$A$1:$B$63,2,0),0)</f>
        <v>0</v>
      </c>
      <c r="AJ375" s="138">
        <f>IF('1.DATOS-PROD'!AS376="SI",VLOOKUP('1.DATOS-PROD'!AS$2,'1.PUNTOS'!$A$1:$B$63,2,0),0)</f>
        <v>0</v>
      </c>
      <c r="AK375" s="138">
        <f>IF('1.DATOS-PROD'!AT376="SI",VLOOKUP('1.DATOS-PROD'!AT$2,'1.PUNTOS'!$A$1:$B$63,2,0),0)</f>
        <v>0</v>
      </c>
      <c r="AL375" s="138">
        <f>IF('1.DATOS-PROD'!AU376="SI",VLOOKUP('1.DATOS-PROD'!AU$2,'1.PUNTOS'!$A$1:$B$63,2,0),0)</f>
        <v>0</v>
      </c>
      <c r="AM375" s="138">
        <f>IF('1.DATOS-PROD'!AV376="SI",VLOOKUP('1.DATOS-PROD'!AV$2,'1.PUNTOS'!$A$1:$B$63,2,0),0)</f>
        <v>0</v>
      </c>
      <c r="AN375" s="138">
        <f>IF('1.DATOS-PROD'!AW376="SI",VLOOKUP('1.DATOS-PROD'!AW$2,'1.PUNTOS'!$A$1:$B$63,2,0),0)</f>
        <v>0</v>
      </c>
      <c r="AO375" s="138">
        <f>IF('1.DATOS-PROD'!AX376="SI",VLOOKUP('1.DATOS-PROD'!AX$2,'1.PUNTOS'!$A$1:$B$63,2,0),0)</f>
        <v>0</v>
      </c>
      <c r="AP375" s="138">
        <f>IF('1.DATOS-PROD'!AY376="SI",VLOOKUP('1.DATOS-PROD'!AY$2,'1.PUNTOS'!$A$1:$B$63,2,0),0)</f>
        <v>0</v>
      </c>
      <c r="AQ375" s="138">
        <f>IF('1.DATOS-PROD'!AZ376="SI",VLOOKUP('1.DATOS-PROD'!AZ$2,'1.PUNTOS'!$A$1:$B$63,2,0),0)</f>
        <v>0</v>
      </c>
      <c r="AR375" s="138">
        <f>IF('1.DATOS-PROD'!BA376="SI",VLOOKUP('1.DATOS-PROD'!BA$2,'1.PUNTOS'!$A$1:$B$63,2,0),0)</f>
        <v>0</v>
      </c>
      <c r="AS375" s="138">
        <f>IF('1.DATOS-PROD'!BB376="SI",VLOOKUP('1.DATOS-PROD'!BB$2,'1.PUNTOS'!$A$1:$B$63,2,0),0)</f>
        <v>0</v>
      </c>
      <c r="AT375" s="138">
        <f>IF('1.DATOS-PROD'!BC376="SI",VLOOKUP('1.DATOS-PROD'!BC$2,'1.PUNTOS'!$A$1:$B$63,2,0),0)</f>
        <v>0</v>
      </c>
      <c r="AU375" s="138">
        <f>IF('1.DATOS-PROD'!BD376="SI",VLOOKUP('1.DATOS-PROD'!BD$2,'1.PUNTOS'!$A$1:$B$63,2,0),0)</f>
        <v>0</v>
      </c>
      <c r="AV375" s="138">
        <f>IF('1.DATOS-PROD'!BE376="SI",VLOOKUP('1.DATOS-PROD'!BE$2,'1.PUNTOS'!$A$1:$B$63,2,0),0)</f>
        <v>0</v>
      </c>
      <c r="AW375" s="138">
        <f>IF('1.DATOS-PROD'!BF376="SI",VLOOKUP('1.DATOS-PROD'!BF$2,'1.PUNTOS'!$A$1:$B$63,2,0),0)</f>
        <v>0</v>
      </c>
      <c r="AX375" s="138">
        <f>IF('1.DATOS-PROD'!BG376="SI",VLOOKUP('1.DATOS-PROD'!BG$2,'1.PUNTOS'!$A$1:$B$63,2,0),0)</f>
        <v>0</v>
      </c>
      <c r="AY375" s="138">
        <f>IF('1.DATOS-PROD'!BH376="SI",VLOOKUP('1.DATOS-PROD'!BH$2,'1.PUNTOS'!$A$1:$B$63,2,0),0)</f>
        <v>0</v>
      </c>
      <c r="AZ375" s="138">
        <f>IF('1.DATOS-PROD'!BI376="SI",VLOOKUP('1.DATOS-PROD'!BI$2,'1.PUNTOS'!$A$1:$B$63,2,0),0)</f>
        <v>0</v>
      </c>
      <c r="BA375" s="138">
        <f>IF('1.DATOS-PROD'!BJ376="SI",VLOOKUP('1.DATOS-PROD'!BJ$2,'1.PUNTOS'!$A$1:$B$63,2,0),0)</f>
        <v>0</v>
      </c>
      <c r="BB375" s="138">
        <f>IF('1.DATOS-PROD'!BK376="SI",VLOOKUP('1.DATOS-PROD'!BK$2,'1.PUNTOS'!$A$1:$B$63,2,0),0)</f>
        <v>0</v>
      </c>
      <c r="BC375" s="138">
        <f>IF('1.DATOS-PROD'!BL376="SI",VLOOKUP('1.DATOS-PROD'!BL$2,'1.PUNTOS'!$A$1:$B$63,2,0),0)</f>
        <v>0</v>
      </c>
      <c r="BD375" s="138">
        <f>IF('1.DATOS-PROD'!BM376="SI",VLOOKUP('1.DATOS-PROD'!BM$2,'1.PUNTOS'!$A$1:$B$63,2,0),0)</f>
        <v>0</v>
      </c>
      <c r="BE375" s="138">
        <f>IF('1.DATOS-PROD'!BN376="SI",VLOOKUP('1.DATOS-PROD'!BN$2,'1.PUNTOS'!$A$1:$B$63,2,0),0)</f>
        <v>0</v>
      </c>
      <c r="BF375" s="138">
        <f>IF('1.DATOS-PROD'!BO376="SI",VLOOKUP('1.DATOS-PROD'!BO$2,'1.PUNTOS'!$A$1:$B$63,2,0),0)</f>
        <v>0</v>
      </c>
      <c r="BG375" s="138">
        <f>IF('1.DATOS-PROD'!BP376="SI",VLOOKUP('1.DATOS-PROD'!BP$2,'1.PUNTOS'!$A$1:$B$63,2,0),0)</f>
        <v>0</v>
      </c>
      <c r="BH375" s="138">
        <f>IF('1.DATOS-PROD'!BQ376="SI",VLOOKUP('1.DATOS-PROD'!BQ$2,'1.PUNTOS'!$A$1:$B$63,2,0),0)</f>
        <v>0</v>
      </c>
      <c r="BI375" s="138">
        <f>IF('1.DATOS-PROD'!BR376="SI",VLOOKUP('1.DATOS-PROD'!BR$2,'1.PUNTOS'!$A$1:$B$63,2,0),0)</f>
        <v>0</v>
      </c>
      <c r="BJ375" s="138">
        <f>IF('1.DATOS-PROD'!BS376="SI",VLOOKUP('1.DATOS-PROD'!BS$2,'1.PUNTOS'!$A$1:$B$63,2,0),0)</f>
        <v>0</v>
      </c>
      <c r="BK375" s="138">
        <f>IF('1.DATOS-PROD'!BT376="SI",VLOOKUP('1.DATOS-PROD'!BT$2,'1.PUNTOS'!$A$1:$B$63,2,0),0)</f>
        <v>0</v>
      </c>
    </row>
    <row r="376" spans="1:63" x14ac:dyDescent="0.25">
      <c r="A376">
        <f>'0.Consolidado general'!$A377</f>
        <v>0</v>
      </c>
      <c r="B376" s="138">
        <f>IF('1.DATOS-PROD'!K377="SI",VLOOKUP('1.DATOS-PROD'!K$2,'1.PUNTOS'!$A$1:$B$63,2,0),0)</f>
        <v>0</v>
      </c>
      <c r="C376" s="138">
        <f>IF('1.DATOS-PROD'!L377="SI",VLOOKUP('1.DATOS-PROD'!L$2,'1.PUNTOS'!$A$1:$B$63,2,0),0)</f>
        <v>0</v>
      </c>
      <c r="D376" s="138">
        <f>IF('1.DATOS-PROD'!M377="SI",VLOOKUP('1.DATOS-PROD'!M$2,'1.PUNTOS'!$A$1:$B$63,2,0),0)</f>
        <v>0</v>
      </c>
      <c r="E376" s="138">
        <f>IF('1.DATOS-PROD'!N377="SI",VLOOKUP('1.DATOS-PROD'!N$2,'1.PUNTOS'!$A$1:$B$63,2,0),0)</f>
        <v>0</v>
      </c>
      <c r="F376" s="138">
        <f>IF('1.DATOS-PROD'!O377="SI",VLOOKUP('1.DATOS-PROD'!O$2,'1.PUNTOS'!$A$1:$B$63,2,0),0)</f>
        <v>0</v>
      </c>
      <c r="G376" s="138">
        <f>IF('1.DATOS-PROD'!P377="SI",VLOOKUP('1.DATOS-PROD'!P$2,'1.PUNTOS'!$A$1:$B$63,2,0),0)</f>
        <v>0</v>
      </c>
      <c r="H376" s="138">
        <f>IF('1.DATOS-PROD'!Q377="SI",VLOOKUP('1.DATOS-PROD'!Q$2,'1.PUNTOS'!$A$1:$B$63,2,0),0)</f>
        <v>0</v>
      </c>
      <c r="I376" s="138">
        <f>IF('1.DATOS-PROD'!R377="SI",VLOOKUP('1.DATOS-PROD'!R$2,'1.PUNTOS'!$A$1:$B$63,2,0),0)</f>
        <v>0</v>
      </c>
      <c r="J376" s="138">
        <f>IF('1.DATOS-PROD'!S377="SI",VLOOKUP('1.DATOS-PROD'!S$2,'1.PUNTOS'!$A$1:$B$63,2,0),0)</f>
        <v>0</v>
      </c>
      <c r="K376" s="138">
        <f>IF('1.DATOS-PROD'!T377="SI",VLOOKUP('1.DATOS-PROD'!T$2,'1.PUNTOS'!$A$1:$B$63,2,0),0)</f>
        <v>0</v>
      </c>
      <c r="L376" s="138">
        <f>IF('1.DATOS-PROD'!U377="SI",VLOOKUP('1.DATOS-PROD'!U$2,'1.PUNTOS'!$A$1:$B$63,2,0),0)</f>
        <v>0</v>
      </c>
      <c r="M376" s="138">
        <f>IF('1.DATOS-PROD'!V377="SI",VLOOKUP('1.DATOS-PROD'!V$2,'1.PUNTOS'!$A$1:$B$63,2,0),0)</f>
        <v>0</v>
      </c>
      <c r="N376" s="138">
        <f>IF('1.DATOS-PROD'!W377="SI",VLOOKUP('1.DATOS-PROD'!W$2,'1.PUNTOS'!$A$1:$B$63,2,0),0)</f>
        <v>0</v>
      </c>
      <c r="O376" s="138">
        <f>IF('1.DATOS-PROD'!X377="SI",VLOOKUP('1.DATOS-PROD'!X$2,'1.PUNTOS'!$A$1:$B$63,2,0),0)</f>
        <v>0</v>
      </c>
      <c r="P376" s="138">
        <f>IF('1.DATOS-PROD'!Y377="SI",VLOOKUP('1.DATOS-PROD'!Y$2,'1.PUNTOS'!$A$1:$B$63,2,0),0)</f>
        <v>0</v>
      </c>
      <c r="Q376" s="138">
        <f>IF('1.DATOS-PROD'!Z377="SI",VLOOKUP('1.DATOS-PROD'!Z$2,'1.PUNTOS'!$A$1:$B$63,2,0),0)</f>
        <v>0</v>
      </c>
      <c r="R376" s="138">
        <f>IF('1.DATOS-PROD'!AA377="SI",VLOOKUP('1.DATOS-PROD'!AA$2,'1.PUNTOS'!$A$1:$B$63,2,0),0)</f>
        <v>0</v>
      </c>
      <c r="S376" s="138">
        <f>IF('1.DATOS-PROD'!AB377="SI",VLOOKUP('1.DATOS-PROD'!AB$2,'1.PUNTOS'!$A$1:$B$63,2,0),0)</f>
        <v>0</v>
      </c>
      <c r="T376" s="138">
        <f>IF('1.DATOS-PROD'!AC377="SI",VLOOKUP('1.DATOS-PROD'!AC$2,'1.PUNTOS'!$A$1:$B$63,2,0),0)</f>
        <v>0</v>
      </c>
      <c r="U376" s="138">
        <f>IF('1.DATOS-PROD'!AD377="SI",VLOOKUP('1.DATOS-PROD'!AD$2,'1.PUNTOS'!$A$1:$B$63,2,0),0)</f>
        <v>0</v>
      </c>
      <c r="V376" s="138">
        <f>IF('1.DATOS-PROD'!AE377="SI",VLOOKUP('1.DATOS-PROD'!AE$2,'1.PUNTOS'!$A$1:$B$63,2,0),0)</f>
        <v>0</v>
      </c>
      <c r="W376" s="138">
        <f>IF('1.DATOS-PROD'!AF377="SI",VLOOKUP('1.DATOS-PROD'!AF$2,'1.PUNTOS'!$A$1:$B$63,2,0),0)</f>
        <v>0</v>
      </c>
      <c r="X376" s="138">
        <f>IF('1.DATOS-PROD'!AG377="SI",VLOOKUP('1.DATOS-PROD'!AG$2,'1.PUNTOS'!$A$1:$B$63,2,0),0)</f>
        <v>0</v>
      </c>
      <c r="Y376" s="138">
        <f>IF('1.DATOS-PROD'!AH377="SI",VLOOKUP('1.DATOS-PROD'!AH$2,'1.PUNTOS'!$A$1:$B$63,2,0),0)</f>
        <v>0</v>
      </c>
      <c r="Z376" s="138">
        <f>IF('1.DATOS-PROD'!AI377="SI",VLOOKUP('1.DATOS-PROD'!AI$2,'1.PUNTOS'!$A$1:$B$63,2,0),0)</f>
        <v>0</v>
      </c>
      <c r="AA376" s="138">
        <f>IF('1.DATOS-PROD'!AJ377="SI",VLOOKUP('1.DATOS-PROD'!AJ$2,'1.PUNTOS'!$A$1:$B$63,2,0),0)</f>
        <v>0</v>
      </c>
      <c r="AB376" s="138">
        <f>IF('1.DATOS-PROD'!AK377="SI",VLOOKUP('1.DATOS-PROD'!AK$2,'1.PUNTOS'!$A$1:$B$63,2,0),0)</f>
        <v>0</v>
      </c>
      <c r="AC376" s="138">
        <f>IF('1.DATOS-PROD'!AL377="SI",VLOOKUP('1.DATOS-PROD'!AL$2,'1.PUNTOS'!$A$1:$B$63,2,0),0)</f>
        <v>0</v>
      </c>
      <c r="AD376" s="138">
        <f>IF('1.DATOS-PROD'!AM377="SI",VLOOKUP('1.DATOS-PROD'!AM$2,'1.PUNTOS'!$A$1:$B$63,2,0),0)</f>
        <v>0</v>
      </c>
      <c r="AE376" s="138">
        <f>IF('1.DATOS-PROD'!AN377="SI",VLOOKUP('1.DATOS-PROD'!AN$2,'1.PUNTOS'!$A$1:$B$63,2,0),0)</f>
        <v>0</v>
      </c>
      <c r="AF376" s="138">
        <f>IF('1.DATOS-PROD'!AO377="SI",VLOOKUP('1.DATOS-PROD'!AO$2,'1.PUNTOS'!$A$1:$B$63,2,0),0)</f>
        <v>0</v>
      </c>
      <c r="AG376" s="138">
        <f>IF('1.DATOS-PROD'!AP377="SI",VLOOKUP('1.DATOS-PROD'!AP$2,'1.PUNTOS'!$A$1:$B$63,2,0),0)</f>
        <v>0</v>
      </c>
      <c r="AH376" s="138">
        <f>IF('1.DATOS-PROD'!AQ377="SI",VLOOKUP('1.DATOS-PROD'!AQ$2,'1.PUNTOS'!$A$1:$B$63,2,0),0)</f>
        <v>0</v>
      </c>
      <c r="AI376" s="138">
        <f>IF('1.DATOS-PROD'!AR377="SI",VLOOKUP('1.DATOS-PROD'!AR$2,'1.PUNTOS'!$A$1:$B$63,2,0),0)</f>
        <v>0</v>
      </c>
      <c r="AJ376" s="138">
        <f>IF('1.DATOS-PROD'!AS377="SI",VLOOKUP('1.DATOS-PROD'!AS$2,'1.PUNTOS'!$A$1:$B$63,2,0),0)</f>
        <v>0</v>
      </c>
      <c r="AK376" s="138">
        <f>IF('1.DATOS-PROD'!AT377="SI",VLOOKUP('1.DATOS-PROD'!AT$2,'1.PUNTOS'!$A$1:$B$63,2,0),0)</f>
        <v>0</v>
      </c>
      <c r="AL376" s="138">
        <f>IF('1.DATOS-PROD'!AU377="SI",VLOOKUP('1.DATOS-PROD'!AU$2,'1.PUNTOS'!$A$1:$B$63,2,0),0)</f>
        <v>0</v>
      </c>
      <c r="AM376" s="138">
        <f>IF('1.DATOS-PROD'!AV377="SI",VLOOKUP('1.DATOS-PROD'!AV$2,'1.PUNTOS'!$A$1:$B$63,2,0),0)</f>
        <v>0</v>
      </c>
      <c r="AN376" s="138">
        <f>IF('1.DATOS-PROD'!AW377="SI",VLOOKUP('1.DATOS-PROD'!AW$2,'1.PUNTOS'!$A$1:$B$63,2,0),0)</f>
        <v>0</v>
      </c>
      <c r="AO376" s="138">
        <f>IF('1.DATOS-PROD'!AX377="SI",VLOOKUP('1.DATOS-PROD'!AX$2,'1.PUNTOS'!$A$1:$B$63,2,0),0)</f>
        <v>0</v>
      </c>
      <c r="AP376" s="138">
        <f>IF('1.DATOS-PROD'!AY377="SI",VLOOKUP('1.DATOS-PROD'!AY$2,'1.PUNTOS'!$A$1:$B$63,2,0),0)</f>
        <v>0</v>
      </c>
      <c r="AQ376" s="138">
        <f>IF('1.DATOS-PROD'!AZ377="SI",VLOOKUP('1.DATOS-PROD'!AZ$2,'1.PUNTOS'!$A$1:$B$63,2,0),0)</f>
        <v>0</v>
      </c>
      <c r="AR376" s="138">
        <f>IF('1.DATOS-PROD'!BA377="SI",VLOOKUP('1.DATOS-PROD'!BA$2,'1.PUNTOS'!$A$1:$B$63,2,0),0)</f>
        <v>0</v>
      </c>
      <c r="AS376" s="138">
        <f>IF('1.DATOS-PROD'!BB377="SI",VLOOKUP('1.DATOS-PROD'!BB$2,'1.PUNTOS'!$A$1:$B$63,2,0),0)</f>
        <v>0</v>
      </c>
      <c r="AT376" s="138">
        <f>IF('1.DATOS-PROD'!BC377="SI",VLOOKUP('1.DATOS-PROD'!BC$2,'1.PUNTOS'!$A$1:$B$63,2,0),0)</f>
        <v>0</v>
      </c>
      <c r="AU376" s="138">
        <f>IF('1.DATOS-PROD'!BD377="SI",VLOOKUP('1.DATOS-PROD'!BD$2,'1.PUNTOS'!$A$1:$B$63,2,0),0)</f>
        <v>0</v>
      </c>
      <c r="AV376" s="138">
        <f>IF('1.DATOS-PROD'!BE377="SI",VLOOKUP('1.DATOS-PROD'!BE$2,'1.PUNTOS'!$A$1:$B$63,2,0),0)</f>
        <v>0</v>
      </c>
      <c r="AW376" s="138">
        <f>IF('1.DATOS-PROD'!BF377="SI",VLOOKUP('1.DATOS-PROD'!BF$2,'1.PUNTOS'!$A$1:$B$63,2,0),0)</f>
        <v>0</v>
      </c>
      <c r="AX376" s="138">
        <f>IF('1.DATOS-PROD'!BG377="SI",VLOOKUP('1.DATOS-PROD'!BG$2,'1.PUNTOS'!$A$1:$B$63,2,0),0)</f>
        <v>0</v>
      </c>
      <c r="AY376" s="138">
        <f>IF('1.DATOS-PROD'!BH377="SI",VLOOKUP('1.DATOS-PROD'!BH$2,'1.PUNTOS'!$A$1:$B$63,2,0),0)</f>
        <v>0</v>
      </c>
      <c r="AZ376" s="138">
        <f>IF('1.DATOS-PROD'!BI377="SI",VLOOKUP('1.DATOS-PROD'!BI$2,'1.PUNTOS'!$A$1:$B$63,2,0),0)</f>
        <v>0</v>
      </c>
      <c r="BA376" s="138">
        <f>IF('1.DATOS-PROD'!BJ377="SI",VLOOKUP('1.DATOS-PROD'!BJ$2,'1.PUNTOS'!$A$1:$B$63,2,0),0)</f>
        <v>0</v>
      </c>
      <c r="BB376" s="138">
        <f>IF('1.DATOS-PROD'!BK377="SI",VLOOKUP('1.DATOS-PROD'!BK$2,'1.PUNTOS'!$A$1:$B$63,2,0),0)</f>
        <v>0</v>
      </c>
      <c r="BC376" s="138">
        <f>IF('1.DATOS-PROD'!BL377="SI",VLOOKUP('1.DATOS-PROD'!BL$2,'1.PUNTOS'!$A$1:$B$63,2,0),0)</f>
        <v>0</v>
      </c>
      <c r="BD376" s="138">
        <f>IF('1.DATOS-PROD'!BM377="SI",VLOOKUP('1.DATOS-PROD'!BM$2,'1.PUNTOS'!$A$1:$B$63,2,0),0)</f>
        <v>0</v>
      </c>
      <c r="BE376" s="138">
        <f>IF('1.DATOS-PROD'!BN377="SI",VLOOKUP('1.DATOS-PROD'!BN$2,'1.PUNTOS'!$A$1:$B$63,2,0),0)</f>
        <v>0</v>
      </c>
      <c r="BF376" s="138">
        <f>IF('1.DATOS-PROD'!BO377="SI",VLOOKUP('1.DATOS-PROD'!BO$2,'1.PUNTOS'!$A$1:$B$63,2,0),0)</f>
        <v>0</v>
      </c>
      <c r="BG376" s="138">
        <f>IF('1.DATOS-PROD'!BP377="SI",VLOOKUP('1.DATOS-PROD'!BP$2,'1.PUNTOS'!$A$1:$B$63,2,0),0)</f>
        <v>0</v>
      </c>
      <c r="BH376" s="138">
        <f>IF('1.DATOS-PROD'!BQ377="SI",VLOOKUP('1.DATOS-PROD'!BQ$2,'1.PUNTOS'!$A$1:$B$63,2,0),0)</f>
        <v>0</v>
      </c>
      <c r="BI376" s="138">
        <f>IF('1.DATOS-PROD'!BR377="SI",VLOOKUP('1.DATOS-PROD'!BR$2,'1.PUNTOS'!$A$1:$B$63,2,0),0)</f>
        <v>0</v>
      </c>
      <c r="BJ376" s="138">
        <f>IF('1.DATOS-PROD'!BS377="SI",VLOOKUP('1.DATOS-PROD'!BS$2,'1.PUNTOS'!$A$1:$B$63,2,0),0)</f>
        <v>0</v>
      </c>
      <c r="BK376" s="138">
        <f>IF('1.DATOS-PROD'!BT377="SI",VLOOKUP('1.DATOS-PROD'!BT$2,'1.PUNTOS'!$A$1:$B$63,2,0),0)</f>
        <v>0</v>
      </c>
    </row>
    <row r="377" spans="1:63" x14ac:dyDescent="0.25">
      <c r="A377">
        <f>'0.Consolidado general'!$A378</f>
        <v>0</v>
      </c>
      <c r="B377" s="138">
        <f>IF('1.DATOS-PROD'!K378="SI",VLOOKUP('1.DATOS-PROD'!K$2,'1.PUNTOS'!$A$1:$B$63,2,0),0)</f>
        <v>0</v>
      </c>
      <c r="C377" s="138">
        <f>IF('1.DATOS-PROD'!L378="SI",VLOOKUP('1.DATOS-PROD'!L$2,'1.PUNTOS'!$A$1:$B$63,2,0),0)</f>
        <v>0</v>
      </c>
      <c r="D377" s="138">
        <f>IF('1.DATOS-PROD'!M378="SI",VLOOKUP('1.DATOS-PROD'!M$2,'1.PUNTOS'!$A$1:$B$63,2,0),0)</f>
        <v>0</v>
      </c>
      <c r="E377" s="138">
        <f>IF('1.DATOS-PROD'!N378="SI",VLOOKUP('1.DATOS-PROD'!N$2,'1.PUNTOS'!$A$1:$B$63,2,0),0)</f>
        <v>0</v>
      </c>
      <c r="F377" s="138">
        <f>IF('1.DATOS-PROD'!O378="SI",VLOOKUP('1.DATOS-PROD'!O$2,'1.PUNTOS'!$A$1:$B$63,2,0),0)</f>
        <v>0</v>
      </c>
      <c r="G377" s="138">
        <f>IF('1.DATOS-PROD'!P378="SI",VLOOKUP('1.DATOS-PROD'!P$2,'1.PUNTOS'!$A$1:$B$63,2,0),0)</f>
        <v>0</v>
      </c>
      <c r="H377" s="138">
        <f>IF('1.DATOS-PROD'!Q378="SI",VLOOKUP('1.DATOS-PROD'!Q$2,'1.PUNTOS'!$A$1:$B$63,2,0),0)</f>
        <v>0</v>
      </c>
      <c r="I377" s="138">
        <f>IF('1.DATOS-PROD'!R378="SI",VLOOKUP('1.DATOS-PROD'!R$2,'1.PUNTOS'!$A$1:$B$63,2,0),0)</f>
        <v>0</v>
      </c>
      <c r="J377" s="138">
        <f>IF('1.DATOS-PROD'!S378="SI",VLOOKUP('1.DATOS-PROD'!S$2,'1.PUNTOS'!$A$1:$B$63,2,0),0)</f>
        <v>0</v>
      </c>
      <c r="K377" s="138">
        <f>IF('1.DATOS-PROD'!T378="SI",VLOOKUP('1.DATOS-PROD'!T$2,'1.PUNTOS'!$A$1:$B$63,2,0),0)</f>
        <v>0</v>
      </c>
      <c r="L377" s="138">
        <f>IF('1.DATOS-PROD'!U378="SI",VLOOKUP('1.DATOS-PROD'!U$2,'1.PUNTOS'!$A$1:$B$63,2,0),0)</f>
        <v>0</v>
      </c>
      <c r="M377" s="138">
        <f>IF('1.DATOS-PROD'!V378="SI",VLOOKUP('1.DATOS-PROD'!V$2,'1.PUNTOS'!$A$1:$B$63,2,0),0)</f>
        <v>0</v>
      </c>
      <c r="N377" s="138">
        <f>IF('1.DATOS-PROD'!W378="SI",VLOOKUP('1.DATOS-PROD'!W$2,'1.PUNTOS'!$A$1:$B$63,2,0),0)</f>
        <v>0</v>
      </c>
      <c r="O377" s="138">
        <f>IF('1.DATOS-PROD'!X378="SI",VLOOKUP('1.DATOS-PROD'!X$2,'1.PUNTOS'!$A$1:$B$63,2,0),0)</f>
        <v>0</v>
      </c>
      <c r="P377" s="138">
        <f>IF('1.DATOS-PROD'!Y378="SI",VLOOKUP('1.DATOS-PROD'!Y$2,'1.PUNTOS'!$A$1:$B$63,2,0),0)</f>
        <v>0</v>
      </c>
      <c r="Q377" s="138">
        <f>IF('1.DATOS-PROD'!Z378="SI",VLOOKUP('1.DATOS-PROD'!Z$2,'1.PUNTOS'!$A$1:$B$63,2,0),0)</f>
        <v>0</v>
      </c>
      <c r="R377" s="138">
        <f>IF('1.DATOS-PROD'!AA378="SI",VLOOKUP('1.DATOS-PROD'!AA$2,'1.PUNTOS'!$A$1:$B$63,2,0),0)</f>
        <v>0</v>
      </c>
      <c r="S377" s="138">
        <f>IF('1.DATOS-PROD'!AB378="SI",VLOOKUP('1.DATOS-PROD'!AB$2,'1.PUNTOS'!$A$1:$B$63,2,0),0)</f>
        <v>0</v>
      </c>
      <c r="T377" s="138">
        <f>IF('1.DATOS-PROD'!AC378="SI",VLOOKUP('1.DATOS-PROD'!AC$2,'1.PUNTOS'!$A$1:$B$63,2,0),0)</f>
        <v>0</v>
      </c>
      <c r="U377" s="138">
        <f>IF('1.DATOS-PROD'!AD378="SI",VLOOKUP('1.DATOS-PROD'!AD$2,'1.PUNTOS'!$A$1:$B$63,2,0),0)</f>
        <v>0</v>
      </c>
      <c r="V377" s="138">
        <f>IF('1.DATOS-PROD'!AE378="SI",VLOOKUP('1.DATOS-PROD'!AE$2,'1.PUNTOS'!$A$1:$B$63,2,0),0)</f>
        <v>0</v>
      </c>
      <c r="W377" s="138">
        <f>IF('1.DATOS-PROD'!AF378="SI",VLOOKUP('1.DATOS-PROD'!AF$2,'1.PUNTOS'!$A$1:$B$63,2,0),0)</f>
        <v>0</v>
      </c>
      <c r="X377" s="138">
        <f>IF('1.DATOS-PROD'!AG378="SI",VLOOKUP('1.DATOS-PROD'!AG$2,'1.PUNTOS'!$A$1:$B$63,2,0),0)</f>
        <v>0</v>
      </c>
      <c r="Y377" s="138">
        <f>IF('1.DATOS-PROD'!AH378="SI",VLOOKUP('1.DATOS-PROD'!AH$2,'1.PUNTOS'!$A$1:$B$63,2,0),0)</f>
        <v>0</v>
      </c>
      <c r="Z377" s="138">
        <f>IF('1.DATOS-PROD'!AI378="SI",VLOOKUP('1.DATOS-PROD'!AI$2,'1.PUNTOS'!$A$1:$B$63,2,0),0)</f>
        <v>0</v>
      </c>
      <c r="AA377" s="138">
        <f>IF('1.DATOS-PROD'!AJ378="SI",VLOOKUP('1.DATOS-PROD'!AJ$2,'1.PUNTOS'!$A$1:$B$63,2,0),0)</f>
        <v>0</v>
      </c>
      <c r="AB377" s="138">
        <f>IF('1.DATOS-PROD'!AK378="SI",VLOOKUP('1.DATOS-PROD'!AK$2,'1.PUNTOS'!$A$1:$B$63,2,0),0)</f>
        <v>0</v>
      </c>
      <c r="AC377" s="138">
        <f>IF('1.DATOS-PROD'!AL378="SI",VLOOKUP('1.DATOS-PROD'!AL$2,'1.PUNTOS'!$A$1:$B$63,2,0),0)</f>
        <v>0</v>
      </c>
      <c r="AD377" s="138">
        <f>IF('1.DATOS-PROD'!AM378="SI",VLOOKUP('1.DATOS-PROD'!AM$2,'1.PUNTOS'!$A$1:$B$63,2,0),0)</f>
        <v>0</v>
      </c>
      <c r="AE377" s="138">
        <f>IF('1.DATOS-PROD'!AN378="SI",VLOOKUP('1.DATOS-PROD'!AN$2,'1.PUNTOS'!$A$1:$B$63,2,0),0)</f>
        <v>0</v>
      </c>
      <c r="AF377" s="138">
        <f>IF('1.DATOS-PROD'!AO378="SI",VLOOKUP('1.DATOS-PROD'!AO$2,'1.PUNTOS'!$A$1:$B$63,2,0),0)</f>
        <v>0</v>
      </c>
      <c r="AG377" s="138">
        <f>IF('1.DATOS-PROD'!AP378="SI",VLOOKUP('1.DATOS-PROD'!AP$2,'1.PUNTOS'!$A$1:$B$63,2,0),0)</f>
        <v>0</v>
      </c>
      <c r="AH377" s="138">
        <f>IF('1.DATOS-PROD'!AQ378="SI",VLOOKUP('1.DATOS-PROD'!AQ$2,'1.PUNTOS'!$A$1:$B$63,2,0),0)</f>
        <v>0</v>
      </c>
      <c r="AI377" s="138">
        <f>IF('1.DATOS-PROD'!AR378="SI",VLOOKUP('1.DATOS-PROD'!AR$2,'1.PUNTOS'!$A$1:$B$63,2,0),0)</f>
        <v>0</v>
      </c>
      <c r="AJ377" s="138">
        <f>IF('1.DATOS-PROD'!AS378="SI",VLOOKUP('1.DATOS-PROD'!AS$2,'1.PUNTOS'!$A$1:$B$63,2,0),0)</f>
        <v>0</v>
      </c>
      <c r="AK377" s="138">
        <f>IF('1.DATOS-PROD'!AT378="SI",VLOOKUP('1.DATOS-PROD'!AT$2,'1.PUNTOS'!$A$1:$B$63,2,0),0)</f>
        <v>0</v>
      </c>
      <c r="AL377" s="138">
        <f>IF('1.DATOS-PROD'!AU378="SI",VLOOKUP('1.DATOS-PROD'!AU$2,'1.PUNTOS'!$A$1:$B$63,2,0),0)</f>
        <v>0</v>
      </c>
      <c r="AM377" s="138">
        <f>IF('1.DATOS-PROD'!AV378="SI",VLOOKUP('1.DATOS-PROD'!AV$2,'1.PUNTOS'!$A$1:$B$63,2,0),0)</f>
        <v>0</v>
      </c>
      <c r="AN377" s="138">
        <f>IF('1.DATOS-PROD'!AW378="SI",VLOOKUP('1.DATOS-PROD'!AW$2,'1.PUNTOS'!$A$1:$B$63,2,0),0)</f>
        <v>0</v>
      </c>
      <c r="AO377" s="138">
        <f>IF('1.DATOS-PROD'!AX378="SI",VLOOKUP('1.DATOS-PROD'!AX$2,'1.PUNTOS'!$A$1:$B$63,2,0),0)</f>
        <v>0</v>
      </c>
      <c r="AP377" s="138">
        <f>IF('1.DATOS-PROD'!AY378="SI",VLOOKUP('1.DATOS-PROD'!AY$2,'1.PUNTOS'!$A$1:$B$63,2,0),0)</f>
        <v>0</v>
      </c>
      <c r="AQ377" s="138">
        <f>IF('1.DATOS-PROD'!AZ378="SI",VLOOKUP('1.DATOS-PROD'!AZ$2,'1.PUNTOS'!$A$1:$B$63,2,0),0)</f>
        <v>0</v>
      </c>
      <c r="AR377" s="138">
        <f>IF('1.DATOS-PROD'!BA378="SI",VLOOKUP('1.DATOS-PROD'!BA$2,'1.PUNTOS'!$A$1:$B$63,2,0),0)</f>
        <v>0</v>
      </c>
      <c r="AS377" s="138">
        <f>IF('1.DATOS-PROD'!BB378="SI",VLOOKUP('1.DATOS-PROD'!BB$2,'1.PUNTOS'!$A$1:$B$63,2,0),0)</f>
        <v>0</v>
      </c>
      <c r="AT377" s="138">
        <f>IF('1.DATOS-PROD'!BC378="SI",VLOOKUP('1.DATOS-PROD'!BC$2,'1.PUNTOS'!$A$1:$B$63,2,0),0)</f>
        <v>0</v>
      </c>
      <c r="AU377" s="138">
        <f>IF('1.DATOS-PROD'!BD378="SI",VLOOKUP('1.DATOS-PROD'!BD$2,'1.PUNTOS'!$A$1:$B$63,2,0),0)</f>
        <v>0</v>
      </c>
      <c r="AV377" s="138">
        <f>IF('1.DATOS-PROD'!BE378="SI",VLOOKUP('1.DATOS-PROD'!BE$2,'1.PUNTOS'!$A$1:$B$63,2,0),0)</f>
        <v>0</v>
      </c>
      <c r="AW377" s="138">
        <f>IF('1.DATOS-PROD'!BF378="SI",VLOOKUP('1.DATOS-PROD'!BF$2,'1.PUNTOS'!$A$1:$B$63,2,0),0)</f>
        <v>0</v>
      </c>
      <c r="AX377" s="138">
        <f>IF('1.DATOS-PROD'!BG378="SI",VLOOKUP('1.DATOS-PROD'!BG$2,'1.PUNTOS'!$A$1:$B$63,2,0),0)</f>
        <v>0</v>
      </c>
      <c r="AY377" s="138">
        <f>IF('1.DATOS-PROD'!BH378="SI",VLOOKUP('1.DATOS-PROD'!BH$2,'1.PUNTOS'!$A$1:$B$63,2,0),0)</f>
        <v>0</v>
      </c>
      <c r="AZ377" s="138">
        <f>IF('1.DATOS-PROD'!BI378="SI",VLOOKUP('1.DATOS-PROD'!BI$2,'1.PUNTOS'!$A$1:$B$63,2,0),0)</f>
        <v>0</v>
      </c>
      <c r="BA377" s="138">
        <f>IF('1.DATOS-PROD'!BJ378="SI",VLOOKUP('1.DATOS-PROD'!BJ$2,'1.PUNTOS'!$A$1:$B$63,2,0),0)</f>
        <v>0</v>
      </c>
      <c r="BB377" s="138">
        <f>IF('1.DATOS-PROD'!BK378="SI",VLOOKUP('1.DATOS-PROD'!BK$2,'1.PUNTOS'!$A$1:$B$63,2,0),0)</f>
        <v>0</v>
      </c>
      <c r="BC377" s="138">
        <f>IF('1.DATOS-PROD'!BL378="SI",VLOOKUP('1.DATOS-PROD'!BL$2,'1.PUNTOS'!$A$1:$B$63,2,0),0)</f>
        <v>0</v>
      </c>
      <c r="BD377" s="138">
        <f>IF('1.DATOS-PROD'!BM378="SI",VLOOKUP('1.DATOS-PROD'!BM$2,'1.PUNTOS'!$A$1:$B$63,2,0),0)</f>
        <v>0</v>
      </c>
      <c r="BE377" s="138">
        <f>IF('1.DATOS-PROD'!BN378="SI",VLOOKUP('1.DATOS-PROD'!BN$2,'1.PUNTOS'!$A$1:$B$63,2,0),0)</f>
        <v>0</v>
      </c>
      <c r="BF377" s="138">
        <f>IF('1.DATOS-PROD'!BO378="SI",VLOOKUP('1.DATOS-PROD'!BO$2,'1.PUNTOS'!$A$1:$B$63,2,0),0)</f>
        <v>0</v>
      </c>
      <c r="BG377" s="138">
        <f>IF('1.DATOS-PROD'!BP378="SI",VLOOKUP('1.DATOS-PROD'!BP$2,'1.PUNTOS'!$A$1:$B$63,2,0),0)</f>
        <v>0</v>
      </c>
      <c r="BH377" s="138">
        <f>IF('1.DATOS-PROD'!BQ378="SI",VLOOKUP('1.DATOS-PROD'!BQ$2,'1.PUNTOS'!$A$1:$B$63,2,0),0)</f>
        <v>0</v>
      </c>
      <c r="BI377" s="138">
        <f>IF('1.DATOS-PROD'!BR378="SI",VLOOKUP('1.DATOS-PROD'!BR$2,'1.PUNTOS'!$A$1:$B$63,2,0),0)</f>
        <v>0</v>
      </c>
      <c r="BJ377" s="138">
        <f>IF('1.DATOS-PROD'!BS378="SI",VLOOKUP('1.DATOS-PROD'!BS$2,'1.PUNTOS'!$A$1:$B$63,2,0),0)</f>
        <v>0</v>
      </c>
      <c r="BK377" s="138">
        <f>IF('1.DATOS-PROD'!BT378="SI",VLOOKUP('1.DATOS-PROD'!BT$2,'1.PUNTOS'!$A$1:$B$63,2,0),0)</f>
        <v>0</v>
      </c>
    </row>
    <row r="378" spans="1:63" x14ac:dyDescent="0.25">
      <c r="A378">
        <f>'0.Consolidado general'!$A379</f>
        <v>0</v>
      </c>
      <c r="B378" s="138">
        <f>IF('1.DATOS-PROD'!K379="SI",VLOOKUP('1.DATOS-PROD'!K$2,'1.PUNTOS'!$A$1:$B$63,2,0),0)</f>
        <v>0</v>
      </c>
      <c r="C378" s="138">
        <f>IF('1.DATOS-PROD'!L379="SI",VLOOKUP('1.DATOS-PROD'!L$2,'1.PUNTOS'!$A$1:$B$63,2,0),0)</f>
        <v>0</v>
      </c>
      <c r="D378" s="138">
        <f>IF('1.DATOS-PROD'!M379="SI",VLOOKUP('1.DATOS-PROD'!M$2,'1.PUNTOS'!$A$1:$B$63,2,0),0)</f>
        <v>0</v>
      </c>
      <c r="E378" s="138">
        <f>IF('1.DATOS-PROD'!N379="SI",VLOOKUP('1.DATOS-PROD'!N$2,'1.PUNTOS'!$A$1:$B$63,2,0),0)</f>
        <v>0</v>
      </c>
      <c r="F378" s="138">
        <f>IF('1.DATOS-PROD'!O379="SI",VLOOKUP('1.DATOS-PROD'!O$2,'1.PUNTOS'!$A$1:$B$63,2,0),0)</f>
        <v>0</v>
      </c>
      <c r="G378" s="138">
        <f>IF('1.DATOS-PROD'!P379="SI",VLOOKUP('1.DATOS-PROD'!P$2,'1.PUNTOS'!$A$1:$B$63,2,0),0)</f>
        <v>0</v>
      </c>
      <c r="H378" s="138">
        <f>IF('1.DATOS-PROD'!Q379="SI",VLOOKUP('1.DATOS-PROD'!Q$2,'1.PUNTOS'!$A$1:$B$63,2,0),0)</f>
        <v>0</v>
      </c>
      <c r="I378" s="138">
        <f>IF('1.DATOS-PROD'!R379="SI",VLOOKUP('1.DATOS-PROD'!R$2,'1.PUNTOS'!$A$1:$B$63,2,0),0)</f>
        <v>0</v>
      </c>
      <c r="J378" s="138">
        <f>IF('1.DATOS-PROD'!S379="SI",VLOOKUP('1.DATOS-PROD'!S$2,'1.PUNTOS'!$A$1:$B$63,2,0),0)</f>
        <v>0</v>
      </c>
      <c r="K378" s="138">
        <f>IF('1.DATOS-PROD'!T379="SI",VLOOKUP('1.DATOS-PROD'!T$2,'1.PUNTOS'!$A$1:$B$63,2,0),0)</f>
        <v>0</v>
      </c>
      <c r="L378" s="138">
        <f>IF('1.DATOS-PROD'!U379="SI",VLOOKUP('1.DATOS-PROD'!U$2,'1.PUNTOS'!$A$1:$B$63,2,0),0)</f>
        <v>0</v>
      </c>
      <c r="M378" s="138">
        <f>IF('1.DATOS-PROD'!V379="SI",VLOOKUP('1.DATOS-PROD'!V$2,'1.PUNTOS'!$A$1:$B$63,2,0),0)</f>
        <v>0</v>
      </c>
      <c r="N378" s="138">
        <f>IF('1.DATOS-PROD'!W379="SI",VLOOKUP('1.DATOS-PROD'!W$2,'1.PUNTOS'!$A$1:$B$63,2,0),0)</f>
        <v>0</v>
      </c>
      <c r="O378" s="138">
        <f>IF('1.DATOS-PROD'!X379="SI",VLOOKUP('1.DATOS-PROD'!X$2,'1.PUNTOS'!$A$1:$B$63,2,0),0)</f>
        <v>0</v>
      </c>
      <c r="P378" s="138">
        <f>IF('1.DATOS-PROD'!Y379="SI",VLOOKUP('1.DATOS-PROD'!Y$2,'1.PUNTOS'!$A$1:$B$63,2,0),0)</f>
        <v>0</v>
      </c>
      <c r="Q378" s="138">
        <f>IF('1.DATOS-PROD'!Z379="SI",VLOOKUP('1.DATOS-PROD'!Z$2,'1.PUNTOS'!$A$1:$B$63,2,0),0)</f>
        <v>0</v>
      </c>
      <c r="R378" s="138">
        <f>IF('1.DATOS-PROD'!AA379="SI",VLOOKUP('1.DATOS-PROD'!AA$2,'1.PUNTOS'!$A$1:$B$63,2,0),0)</f>
        <v>0</v>
      </c>
      <c r="S378" s="138">
        <f>IF('1.DATOS-PROD'!AB379="SI",VLOOKUP('1.DATOS-PROD'!AB$2,'1.PUNTOS'!$A$1:$B$63,2,0),0)</f>
        <v>0</v>
      </c>
      <c r="T378" s="138">
        <f>IF('1.DATOS-PROD'!AC379="SI",VLOOKUP('1.DATOS-PROD'!AC$2,'1.PUNTOS'!$A$1:$B$63,2,0),0)</f>
        <v>0</v>
      </c>
      <c r="U378" s="138">
        <f>IF('1.DATOS-PROD'!AD379="SI",VLOOKUP('1.DATOS-PROD'!AD$2,'1.PUNTOS'!$A$1:$B$63,2,0),0)</f>
        <v>0</v>
      </c>
      <c r="V378" s="138">
        <f>IF('1.DATOS-PROD'!AE379="SI",VLOOKUP('1.DATOS-PROD'!AE$2,'1.PUNTOS'!$A$1:$B$63,2,0),0)</f>
        <v>0</v>
      </c>
      <c r="W378" s="138">
        <f>IF('1.DATOS-PROD'!AF379="SI",VLOOKUP('1.DATOS-PROD'!AF$2,'1.PUNTOS'!$A$1:$B$63,2,0),0)</f>
        <v>0</v>
      </c>
      <c r="X378" s="138">
        <f>IF('1.DATOS-PROD'!AG379="SI",VLOOKUP('1.DATOS-PROD'!AG$2,'1.PUNTOS'!$A$1:$B$63,2,0),0)</f>
        <v>0</v>
      </c>
      <c r="Y378" s="138">
        <f>IF('1.DATOS-PROD'!AH379="SI",VLOOKUP('1.DATOS-PROD'!AH$2,'1.PUNTOS'!$A$1:$B$63,2,0),0)</f>
        <v>0</v>
      </c>
      <c r="Z378" s="138">
        <f>IF('1.DATOS-PROD'!AI379="SI",VLOOKUP('1.DATOS-PROD'!AI$2,'1.PUNTOS'!$A$1:$B$63,2,0),0)</f>
        <v>0</v>
      </c>
      <c r="AA378" s="138">
        <f>IF('1.DATOS-PROD'!AJ379="SI",VLOOKUP('1.DATOS-PROD'!AJ$2,'1.PUNTOS'!$A$1:$B$63,2,0),0)</f>
        <v>0</v>
      </c>
      <c r="AB378" s="138">
        <f>IF('1.DATOS-PROD'!AK379="SI",VLOOKUP('1.DATOS-PROD'!AK$2,'1.PUNTOS'!$A$1:$B$63,2,0),0)</f>
        <v>0</v>
      </c>
      <c r="AC378" s="138">
        <f>IF('1.DATOS-PROD'!AL379="SI",VLOOKUP('1.DATOS-PROD'!AL$2,'1.PUNTOS'!$A$1:$B$63,2,0),0)</f>
        <v>0</v>
      </c>
      <c r="AD378" s="138">
        <f>IF('1.DATOS-PROD'!AM379="SI",VLOOKUP('1.DATOS-PROD'!AM$2,'1.PUNTOS'!$A$1:$B$63,2,0),0)</f>
        <v>0</v>
      </c>
      <c r="AE378" s="138">
        <f>IF('1.DATOS-PROD'!AN379="SI",VLOOKUP('1.DATOS-PROD'!AN$2,'1.PUNTOS'!$A$1:$B$63,2,0),0)</f>
        <v>0</v>
      </c>
      <c r="AF378" s="138">
        <f>IF('1.DATOS-PROD'!AO379="SI",VLOOKUP('1.DATOS-PROD'!AO$2,'1.PUNTOS'!$A$1:$B$63,2,0),0)</f>
        <v>0</v>
      </c>
      <c r="AG378" s="138">
        <f>IF('1.DATOS-PROD'!AP379="SI",VLOOKUP('1.DATOS-PROD'!AP$2,'1.PUNTOS'!$A$1:$B$63,2,0),0)</f>
        <v>0</v>
      </c>
      <c r="AH378" s="138">
        <f>IF('1.DATOS-PROD'!AQ379="SI",VLOOKUP('1.DATOS-PROD'!AQ$2,'1.PUNTOS'!$A$1:$B$63,2,0),0)</f>
        <v>0</v>
      </c>
      <c r="AI378" s="138">
        <f>IF('1.DATOS-PROD'!AR379="SI",VLOOKUP('1.DATOS-PROD'!AR$2,'1.PUNTOS'!$A$1:$B$63,2,0),0)</f>
        <v>0</v>
      </c>
      <c r="AJ378" s="138">
        <f>IF('1.DATOS-PROD'!AS379="SI",VLOOKUP('1.DATOS-PROD'!AS$2,'1.PUNTOS'!$A$1:$B$63,2,0),0)</f>
        <v>0</v>
      </c>
      <c r="AK378" s="138">
        <f>IF('1.DATOS-PROD'!AT379="SI",VLOOKUP('1.DATOS-PROD'!AT$2,'1.PUNTOS'!$A$1:$B$63,2,0),0)</f>
        <v>0</v>
      </c>
      <c r="AL378" s="138">
        <f>IF('1.DATOS-PROD'!AU379="SI",VLOOKUP('1.DATOS-PROD'!AU$2,'1.PUNTOS'!$A$1:$B$63,2,0),0)</f>
        <v>0</v>
      </c>
      <c r="AM378" s="138">
        <f>IF('1.DATOS-PROD'!AV379="SI",VLOOKUP('1.DATOS-PROD'!AV$2,'1.PUNTOS'!$A$1:$B$63,2,0),0)</f>
        <v>0</v>
      </c>
      <c r="AN378" s="138">
        <f>IF('1.DATOS-PROD'!AW379="SI",VLOOKUP('1.DATOS-PROD'!AW$2,'1.PUNTOS'!$A$1:$B$63,2,0),0)</f>
        <v>0</v>
      </c>
      <c r="AO378" s="138">
        <f>IF('1.DATOS-PROD'!AX379="SI",VLOOKUP('1.DATOS-PROD'!AX$2,'1.PUNTOS'!$A$1:$B$63,2,0),0)</f>
        <v>0</v>
      </c>
      <c r="AP378" s="138">
        <f>IF('1.DATOS-PROD'!AY379="SI",VLOOKUP('1.DATOS-PROD'!AY$2,'1.PUNTOS'!$A$1:$B$63,2,0),0)</f>
        <v>0</v>
      </c>
      <c r="AQ378" s="138">
        <f>IF('1.DATOS-PROD'!AZ379="SI",VLOOKUP('1.DATOS-PROD'!AZ$2,'1.PUNTOS'!$A$1:$B$63,2,0),0)</f>
        <v>0</v>
      </c>
      <c r="AR378" s="138">
        <f>IF('1.DATOS-PROD'!BA379="SI",VLOOKUP('1.DATOS-PROD'!BA$2,'1.PUNTOS'!$A$1:$B$63,2,0),0)</f>
        <v>0</v>
      </c>
      <c r="AS378" s="138">
        <f>IF('1.DATOS-PROD'!BB379="SI",VLOOKUP('1.DATOS-PROD'!BB$2,'1.PUNTOS'!$A$1:$B$63,2,0),0)</f>
        <v>0</v>
      </c>
      <c r="AT378" s="138">
        <f>IF('1.DATOS-PROD'!BC379="SI",VLOOKUP('1.DATOS-PROD'!BC$2,'1.PUNTOS'!$A$1:$B$63,2,0),0)</f>
        <v>0</v>
      </c>
      <c r="AU378" s="138">
        <f>IF('1.DATOS-PROD'!BD379="SI",VLOOKUP('1.DATOS-PROD'!BD$2,'1.PUNTOS'!$A$1:$B$63,2,0),0)</f>
        <v>0</v>
      </c>
      <c r="AV378" s="138">
        <f>IF('1.DATOS-PROD'!BE379="SI",VLOOKUP('1.DATOS-PROD'!BE$2,'1.PUNTOS'!$A$1:$B$63,2,0),0)</f>
        <v>0</v>
      </c>
      <c r="AW378" s="138">
        <f>IF('1.DATOS-PROD'!BF379="SI",VLOOKUP('1.DATOS-PROD'!BF$2,'1.PUNTOS'!$A$1:$B$63,2,0),0)</f>
        <v>0</v>
      </c>
      <c r="AX378" s="138">
        <f>IF('1.DATOS-PROD'!BG379="SI",VLOOKUP('1.DATOS-PROD'!BG$2,'1.PUNTOS'!$A$1:$B$63,2,0),0)</f>
        <v>0</v>
      </c>
      <c r="AY378" s="138">
        <f>IF('1.DATOS-PROD'!BH379="SI",VLOOKUP('1.DATOS-PROD'!BH$2,'1.PUNTOS'!$A$1:$B$63,2,0),0)</f>
        <v>0</v>
      </c>
      <c r="AZ378" s="138">
        <f>IF('1.DATOS-PROD'!BI379="SI",VLOOKUP('1.DATOS-PROD'!BI$2,'1.PUNTOS'!$A$1:$B$63,2,0),0)</f>
        <v>0</v>
      </c>
      <c r="BA378" s="138">
        <f>IF('1.DATOS-PROD'!BJ379="SI",VLOOKUP('1.DATOS-PROD'!BJ$2,'1.PUNTOS'!$A$1:$B$63,2,0),0)</f>
        <v>0</v>
      </c>
      <c r="BB378" s="138">
        <f>IF('1.DATOS-PROD'!BK379="SI",VLOOKUP('1.DATOS-PROD'!BK$2,'1.PUNTOS'!$A$1:$B$63,2,0),0)</f>
        <v>0</v>
      </c>
      <c r="BC378" s="138">
        <f>IF('1.DATOS-PROD'!BL379="SI",VLOOKUP('1.DATOS-PROD'!BL$2,'1.PUNTOS'!$A$1:$B$63,2,0),0)</f>
        <v>0</v>
      </c>
      <c r="BD378" s="138">
        <f>IF('1.DATOS-PROD'!BM379="SI",VLOOKUP('1.DATOS-PROD'!BM$2,'1.PUNTOS'!$A$1:$B$63,2,0),0)</f>
        <v>0</v>
      </c>
      <c r="BE378" s="138">
        <f>IF('1.DATOS-PROD'!BN379="SI",VLOOKUP('1.DATOS-PROD'!BN$2,'1.PUNTOS'!$A$1:$B$63,2,0),0)</f>
        <v>0</v>
      </c>
      <c r="BF378" s="138">
        <f>IF('1.DATOS-PROD'!BO379="SI",VLOOKUP('1.DATOS-PROD'!BO$2,'1.PUNTOS'!$A$1:$B$63,2,0),0)</f>
        <v>0</v>
      </c>
      <c r="BG378" s="138">
        <f>IF('1.DATOS-PROD'!BP379="SI",VLOOKUP('1.DATOS-PROD'!BP$2,'1.PUNTOS'!$A$1:$B$63,2,0),0)</f>
        <v>0</v>
      </c>
      <c r="BH378" s="138">
        <f>IF('1.DATOS-PROD'!BQ379="SI",VLOOKUP('1.DATOS-PROD'!BQ$2,'1.PUNTOS'!$A$1:$B$63,2,0),0)</f>
        <v>0</v>
      </c>
      <c r="BI378" s="138">
        <f>IF('1.DATOS-PROD'!BR379="SI",VLOOKUP('1.DATOS-PROD'!BR$2,'1.PUNTOS'!$A$1:$B$63,2,0),0)</f>
        <v>0</v>
      </c>
      <c r="BJ378" s="138">
        <f>IF('1.DATOS-PROD'!BS379="SI",VLOOKUP('1.DATOS-PROD'!BS$2,'1.PUNTOS'!$A$1:$B$63,2,0),0)</f>
        <v>0</v>
      </c>
      <c r="BK378" s="138">
        <f>IF('1.DATOS-PROD'!BT379="SI",VLOOKUP('1.DATOS-PROD'!BT$2,'1.PUNTOS'!$A$1:$B$63,2,0),0)</f>
        <v>0</v>
      </c>
    </row>
    <row r="379" spans="1:63" x14ac:dyDescent="0.25">
      <c r="A379">
        <f>'0.Consolidado general'!$A380</f>
        <v>0</v>
      </c>
      <c r="B379" s="138">
        <f>IF('1.DATOS-PROD'!K380="SI",VLOOKUP('1.DATOS-PROD'!K$2,'1.PUNTOS'!$A$1:$B$63,2,0),0)</f>
        <v>0</v>
      </c>
      <c r="C379" s="138">
        <f>IF('1.DATOS-PROD'!L380="SI",VLOOKUP('1.DATOS-PROD'!L$2,'1.PUNTOS'!$A$1:$B$63,2,0),0)</f>
        <v>0</v>
      </c>
      <c r="D379" s="138">
        <f>IF('1.DATOS-PROD'!M380="SI",VLOOKUP('1.DATOS-PROD'!M$2,'1.PUNTOS'!$A$1:$B$63,2,0),0)</f>
        <v>0</v>
      </c>
      <c r="E379" s="138">
        <f>IF('1.DATOS-PROD'!N380="SI",VLOOKUP('1.DATOS-PROD'!N$2,'1.PUNTOS'!$A$1:$B$63,2,0),0)</f>
        <v>0</v>
      </c>
      <c r="F379" s="138">
        <f>IF('1.DATOS-PROD'!O380="SI",VLOOKUP('1.DATOS-PROD'!O$2,'1.PUNTOS'!$A$1:$B$63,2,0),0)</f>
        <v>0</v>
      </c>
      <c r="G379" s="138">
        <f>IF('1.DATOS-PROD'!P380="SI",VLOOKUP('1.DATOS-PROD'!P$2,'1.PUNTOS'!$A$1:$B$63,2,0),0)</f>
        <v>0</v>
      </c>
      <c r="H379" s="138">
        <f>IF('1.DATOS-PROD'!Q380="SI",VLOOKUP('1.DATOS-PROD'!Q$2,'1.PUNTOS'!$A$1:$B$63,2,0),0)</f>
        <v>0</v>
      </c>
      <c r="I379" s="138">
        <f>IF('1.DATOS-PROD'!R380="SI",VLOOKUP('1.DATOS-PROD'!R$2,'1.PUNTOS'!$A$1:$B$63,2,0),0)</f>
        <v>0</v>
      </c>
      <c r="J379" s="138">
        <f>IF('1.DATOS-PROD'!S380="SI",VLOOKUP('1.DATOS-PROD'!S$2,'1.PUNTOS'!$A$1:$B$63,2,0),0)</f>
        <v>0</v>
      </c>
      <c r="K379" s="138">
        <f>IF('1.DATOS-PROD'!T380="SI",VLOOKUP('1.DATOS-PROD'!T$2,'1.PUNTOS'!$A$1:$B$63,2,0),0)</f>
        <v>0</v>
      </c>
      <c r="L379" s="138">
        <f>IF('1.DATOS-PROD'!U380="SI",VLOOKUP('1.DATOS-PROD'!U$2,'1.PUNTOS'!$A$1:$B$63,2,0),0)</f>
        <v>0</v>
      </c>
      <c r="M379" s="138">
        <f>IF('1.DATOS-PROD'!V380="SI",VLOOKUP('1.DATOS-PROD'!V$2,'1.PUNTOS'!$A$1:$B$63,2,0),0)</f>
        <v>0</v>
      </c>
      <c r="N379" s="138">
        <f>IF('1.DATOS-PROD'!W380="SI",VLOOKUP('1.DATOS-PROD'!W$2,'1.PUNTOS'!$A$1:$B$63,2,0),0)</f>
        <v>0</v>
      </c>
      <c r="O379" s="138">
        <f>IF('1.DATOS-PROD'!X380="SI",VLOOKUP('1.DATOS-PROD'!X$2,'1.PUNTOS'!$A$1:$B$63,2,0),0)</f>
        <v>0</v>
      </c>
      <c r="P379" s="138">
        <f>IF('1.DATOS-PROD'!Y380="SI",VLOOKUP('1.DATOS-PROD'!Y$2,'1.PUNTOS'!$A$1:$B$63,2,0),0)</f>
        <v>0</v>
      </c>
      <c r="Q379" s="138">
        <f>IF('1.DATOS-PROD'!Z380="SI",VLOOKUP('1.DATOS-PROD'!Z$2,'1.PUNTOS'!$A$1:$B$63,2,0),0)</f>
        <v>0</v>
      </c>
      <c r="R379" s="138">
        <f>IF('1.DATOS-PROD'!AA380="SI",VLOOKUP('1.DATOS-PROD'!AA$2,'1.PUNTOS'!$A$1:$B$63,2,0),0)</f>
        <v>0</v>
      </c>
      <c r="S379" s="138">
        <f>IF('1.DATOS-PROD'!AB380="SI",VLOOKUP('1.DATOS-PROD'!AB$2,'1.PUNTOS'!$A$1:$B$63,2,0),0)</f>
        <v>0</v>
      </c>
      <c r="T379" s="138">
        <f>IF('1.DATOS-PROD'!AC380="SI",VLOOKUP('1.DATOS-PROD'!AC$2,'1.PUNTOS'!$A$1:$B$63,2,0),0)</f>
        <v>0</v>
      </c>
      <c r="U379" s="138">
        <f>IF('1.DATOS-PROD'!AD380="SI",VLOOKUP('1.DATOS-PROD'!AD$2,'1.PUNTOS'!$A$1:$B$63,2,0),0)</f>
        <v>0</v>
      </c>
      <c r="V379" s="138">
        <f>IF('1.DATOS-PROD'!AE380="SI",VLOOKUP('1.DATOS-PROD'!AE$2,'1.PUNTOS'!$A$1:$B$63,2,0),0)</f>
        <v>0</v>
      </c>
      <c r="W379" s="138">
        <f>IF('1.DATOS-PROD'!AF380="SI",VLOOKUP('1.DATOS-PROD'!AF$2,'1.PUNTOS'!$A$1:$B$63,2,0),0)</f>
        <v>0</v>
      </c>
      <c r="X379" s="138">
        <f>IF('1.DATOS-PROD'!AG380="SI",VLOOKUP('1.DATOS-PROD'!AG$2,'1.PUNTOS'!$A$1:$B$63,2,0),0)</f>
        <v>0</v>
      </c>
      <c r="Y379" s="138">
        <f>IF('1.DATOS-PROD'!AH380="SI",VLOOKUP('1.DATOS-PROD'!AH$2,'1.PUNTOS'!$A$1:$B$63,2,0),0)</f>
        <v>0</v>
      </c>
      <c r="Z379" s="138">
        <f>IF('1.DATOS-PROD'!AI380="SI",VLOOKUP('1.DATOS-PROD'!AI$2,'1.PUNTOS'!$A$1:$B$63,2,0),0)</f>
        <v>0</v>
      </c>
      <c r="AA379" s="138">
        <f>IF('1.DATOS-PROD'!AJ380="SI",VLOOKUP('1.DATOS-PROD'!AJ$2,'1.PUNTOS'!$A$1:$B$63,2,0),0)</f>
        <v>0</v>
      </c>
      <c r="AB379" s="138">
        <f>IF('1.DATOS-PROD'!AK380="SI",VLOOKUP('1.DATOS-PROD'!AK$2,'1.PUNTOS'!$A$1:$B$63,2,0),0)</f>
        <v>0</v>
      </c>
      <c r="AC379" s="138">
        <f>IF('1.DATOS-PROD'!AL380="SI",VLOOKUP('1.DATOS-PROD'!AL$2,'1.PUNTOS'!$A$1:$B$63,2,0),0)</f>
        <v>0</v>
      </c>
      <c r="AD379" s="138">
        <f>IF('1.DATOS-PROD'!AM380="SI",VLOOKUP('1.DATOS-PROD'!AM$2,'1.PUNTOS'!$A$1:$B$63,2,0),0)</f>
        <v>0</v>
      </c>
      <c r="AE379" s="138">
        <f>IF('1.DATOS-PROD'!AN380="SI",VLOOKUP('1.DATOS-PROD'!AN$2,'1.PUNTOS'!$A$1:$B$63,2,0),0)</f>
        <v>0</v>
      </c>
      <c r="AF379" s="138">
        <f>IF('1.DATOS-PROD'!AO380="SI",VLOOKUP('1.DATOS-PROD'!AO$2,'1.PUNTOS'!$A$1:$B$63,2,0),0)</f>
        <v>0</v>
      </c>
      <c r="AG379" s="138">
        <f>IF('1.DATOS-PROD'!AP380="SI",VLOOKUP('1.DATOS-PROD'!AP$2,'1.PUNTOS'!$A$1:$B$63,2,0),0)</f>
        <v>0</v>
      </c>
      <c r="AH379" s="138">
        <f>IF('1.DATOS-PROD'!AQ380="SI",VLOOKUP('1.DATOS-PROD'!AQ$2,'1.PUNTOS'!$A$1:$B$63,2,0),0)</f>
        <v>0</v>
      </c>
      <c r="AI379" s="138">
        <f>IF('1.DATOS-PROD'!AR380="SI",VLOOKUP('1.DATOS-PROD'!AR$2,'1.PUNTOS'!$A$1:$B$63,2,0),0)</f>
        <v>0</v>
      </c>
      <c r="AJ379" s="138">
        <f>IF('1.DATOS-PROD'!AS380="SI",VLOOKUP('1.DATOS-PROD'!AS$2,'1.PUNTOS'!$A$1:$B$63,2,0),0)</f>
        <v>0</v>
      </c>
      <c r="AK379" s="138">
        <f>IF('1.DATOS-PROD'!AT380="SI",VLOOKUP('1.DATOS-PROD'!AT$2,'1.PUNTOS'!$A$1:$B$63,2,0),0)</f>
        <v>0</v>
      </c>
      <c r="AL379" s="138">
        <f>IF('1.DATOS-PROD'!AU380="SI",VLOOKUP('1.DATOS-PROD'!AU$2,'1.PUNTOS'!$A$1:$B$63,2,0),0)</f>
        <v>0</v>
      </c>
      <c r="AM379" s="138">
        <f>IF('1.DATOS-PROD'!AV380="SI",VLOOKUP('1.DATOS-PROD'!AV$2,'1.PUNTOS'!$A$1:$B$63,2,0),0)</f>
        <v>0</v>
      </c>
      <c r="AN379" s="138">
        <f>IF('1.DATOS-PROD'!AW380="SI",VLOOKUP('1.DATOS-PROD'!AW$2,'1.PUNTOS'!$A$1:$B$63,2,0),0)</f>
        <v>0</v>
      </c>
      <c r="AO379" s="138">
        <f>IF('1.DATOS-PROD'!AX380="SI",VLOOKUP('1.DATOS-PROD'!AX$2,'1.PUNTOS'!$A$1:$B$63,2,0),0)</f>
        <v>0</v>
      </c>
      <c r="AP379" s="138">
        <f>IF('1.DATOS-PROD'!AY380="SI",VLOOKUP('1.DATOS-PROD'!AY$2,'1.PUNTOS'!$A$1:$B$63,2,0),0)</f>
        <v>0</v>
      </c>
      <c r="AQ379" s="138">
        <f>IF('1.DATOS-PROD'!AZ380="SI",VLOOKUP('1.DATOS-PROD'!AZ$2,'1.PUNTOS'!$A$1:$B$63,2,0),0)</f>
        <v>0</v>
      </c>
      <c r="AR379" s="138">
        <f>IF('1.DATOS-PROD'!BA380="SI",VLOOKUP('1.DATOS-PROD'!BA$2,'1.PUNTOS'!$A$1:$B$63,2,0),0)</f>
        <v>0</v>
      </c>
      <c r="AS379" s="138">
        <f>IF('1.DATOS-PROD'!BB380="SI",VLOOKUP('1.DATOS-PROD'!BB$2,'1.PUNTOS'!$A$1:$B$63,2,0),0)</f>
        <v>0</v>
      </c>
      <c r="AT379" s="138">
        <f>IF('1.DATOS-PROD'!BC380="SI",VLOOKUP('1.DATOS-PROD'!BC$2,'1.PUNTOS'!$A$1:$B$63,2,0),0)</f>
        <v>0</v>
      </c>
      <c r="AU379" s="138">
        <f>IF('1.DATOS-PROD'!BD380="SI",VLOOKUP('1.DATOS-PROD'!BD$2,'1.PUNTOS'!$A$1:$B$63,2,0),0)</f>
        <v>0</v>
      </c>
      <c r="AV379" s="138">
        <f>IF('1.DATOS-PROD'!BE380="SI",VLOOKUP('1.DATOS-PROD'!BE$2,'1.PUNTOS'!$A$1:$B$63,2,0),0)</f>
        <v>0</v>
      </c>
      <c r="AW379" s="138">
        <f>IF('1.DATOS-PROD'!BF380="SI",VLOOKUP('1.DATOS-PROD'!BF$2,'1.PUNTOS'!$A$1:$B$63,2,0),0)</f>
        <v>0</v>
      </c>
      <c r="AX379" s="138">
        <f>IF('1.DATOS-PROD'!BG380="SI",VLOOKUP('1.DATOS-PROD'!BG$2,'1.PUNTOS'!$A$1:$B$63,2,0),0)</f>
        <v>0</v>
      </c>
      <c r="AY379" s="138">
        <f>IF('1.DATOS-PROD'!BH380="SI",VLOOKUP('1.DATOS-PROD'!BH$2,'1.PUNTOS'!$A$1:$B$63,2,0),0)</f>
        <v>0</v>
      </c>
      <c r="AZ379" s="138">
        <f>IF('1.DATOS-PROD'!BI380="SI",VLOOKUP('1.DATOS-PROD'!BI$2,'1.PUNTOS'!$A$1:$B$63,2,0),0)</f>
        <v>0</v>
      </c>
      <c r="BA379" s="138">
        <f>IF('1.DATOS-PROD'!BJ380="SI",VLOOKUP('1.DATOS-PROD'!BJ$2,'1.PUNTOS'!$A$1:$B$63,2,0),0)</f>
        <v>0</v>
      </c>
      <c r="BB379" s="138">
        <f>IF('1.DATOS-PROD'!BK380="SI",VLOOKUP('1.DATOS-PROD'!BK$2,'1.PUNTOS'!$A$1:$B$63,2,0),0)</f>
        <v>0</v>
      </c>
      <c r="BC379" s="138">
        <f>IF('1.DATOS-PROD'!BL380="SI",VLOOKUP('1.DATOS-PROD'!BL$2,'1.PUNTOS'!$A$1:$B$63,2,0),0)</f>
        <v>0</v>
      </c>
      <c r="BD379" s="138">
        <f>IF('1.DATOS-PROD'!BM380="SI",VLOOKUP('1.DATOS-PROD'!BM$2,'1.PUNTOS'!$A$1:$B$63,2,0),0)</f>
        <v>0</v>
      </c>
      <c r="BE379" s="138">
        <f>IF('1.DATOS-PROD'!BN380="SI",VLOOKUP('1.DATOS-PROD'!BN$2,'1.PUNTOS'!$A$1:$B$63,2,0),0)</f>
        <v>0</v>
      </c>
      <c r="BF379" s="138">
        <f>IF('1.DATOS-PROD'!BO380="SI",VLOOKUP('1.DATOS-PROD'!BO$2,'1.PUNTOS'!$A$1:$B$63,2,0),0)</f>
        <v>0</v>
      </c>
      <c r="BG379" s="138">
        <f>IF('1.DATOS-PROD'!BP380="SI",VLOOKUP('1.DATOS-PROD'!BP$2,'1.PUNTOS'!$A$1:$B$63,2,0),0)</f>
        <v>0</v>
      </c>
      <c r="BH379" s="138">
        <f>IF('1.DATOS-PROD'!BQ380="SI",VLOOKUP('1.DATOS-PROD'!BQ$2,'1.PUNTOS'!$A$1:$B$63,2,0),0)</f>
        <v>0</v>
      </c>
      <c r="BI379" s="138">
        <f>IF('1.DATOS-PROD'!BR380="SI",VLOOKUP('1.DATOS-PROD'!BR$2,'1.PUNTOS'!$A$1:$B$63,2,0),0)</f>
        <v>0</v>
      </c>
      <c r="BJ379" s="138">
        <f>IF('1.DATOS-PROD'!BS380="SI",VLOOKUP('1.DATOS-PROD'!BS$2,'1.PUNTOS'!$A$1:$B$63,2,0),0)</f>
        <v>0</v>
      </c>
      <c r="BK379" s="138">
        <f>IF('1.DATOS-PROD'!BT380="SI",VLOOKUP('1.DATOS-PROD'!BT$2,'1.PUNTOS'!$A$1:$B$63,2,0),0)</f>
        <v>0</v>
      </c>
    </row>
    <row r="380" spans="1:63" x14ac:dyDescent="0.25">
      <c r="A380">
        <f>'0.Consolidado general'!$A381</f>
        <v>0</v>
      </c>
      <c r="B380" s="138">
        <f>IF('1.DATOS-PROD'!K381="SI",VLOOKUP('1.DATOS-PROD'!K$2,'1.PUNTOS'!$A$1:$B$63,2,0),0)</f>
        <v>0</v>
      </c>
      <c r="C380" s="138">
        <f>IF('1.DATOS-PROD'!L381="SI",VLOOKUP('1.DATOS-PROD'!L$2,'1.PUNTOS'!$A$1:$B$63,2,0),0)</f>
        <v>0</v>
      </c>
      <c r="D380" s="138">
        <f>IF('1.DATOS-PROD'!M381="SI",VLOOKUP('1.DATOS-PROD'!M$2,'1.PUNTOS'!$A$1:$B$63,2,0),0)</f>
        <v>0</v>
      </c>
      <c r="E380" s="138">
        <f>IF('1.DATOS-PROD'!N381="SI",VLOOKUP('1.DATOS-PROD'!N$2,'1.PUNTOS'!$A$1:$B$63,2,0),0)</f>
        <v>0</v>
      </c>
      <c r="F380" s="138">
        <f>IF('1.DATOS-PROD'!O381="SI",VLOOKUP('1.DATOS-PROD'!O$2,'1.PUNTOS'!$A$1:$B$63,2,0),0)</f>
        <v>0</v>
      </c>
      <c r="G380" s="138">
        <f>IF('1.DATOS-PROD'!P381="SI",VLOOKUP('1.DATOS-PROD'!P$2,'1.PUNTOS'!$A$1:$B$63,2,0),0)</f>
        <v>0</v>
      </c>
      <c r="H380" s="138">
        <f>IF('1.DATOS-PROD'!Q381="SI",VLOOKUP('1.DATOS-PROD'!Q$2,'1.PUNTOS'!$A$1:$B$63,2,0),0)</f>
        <v>0</v>
      </c>
      <c r="I380" s="138">
        <f>IF('1.DATOS-PROD'!R381="SI",VLOOKUP('1.DATOS-PROD'!R$2,'1.PUNTOS'!$A$1:$B$63,2,0),0)</f>
        <v>0</v>
      </c>
      <c r="J380" s="138">
        <f>IF('1.DATOS-PROD'!S381="SI",VLOOKUP('1.DATOS-PROD'!S$2,'1.PUNTOS'!$A$1:$B$63,2,0),0)</f>
        <v>0</v>
      </c>
      <c r="K380" s="138">
        <f>IF('1.DATOS-PROD'!T381="SI",VLOOKUP('1.DATOS-PROD'!T$2,'1.PUNTOS'!$A$1:$B$63,2,0),0)</f>
        <v>0</v>
      </c>
      <c r="L380" s="138">
        <f>IF('1.DATOS-PROD'!U381="SI",VLOOKUP('1.DATOS-PROD'!U$2,'1.PUNTOS'!$A$1:$B$63,2,0),0)</f>
        <v>0</v>
      </c>
      <c r="M380" s="138">
        <f>IF('1.DATOS-PROD'!V381="SI",VLOOKUP('1.DATOS-PROD'!V$2,'1.PUNTOS'!$A$1:$B$63,2,0),0)</f>
        <v>0</v>
      </c>
      <c r="N380" s="138">
        <f>IF('1.DATOS-PROD'!W381="SI",VLOOKUP('1.DATOS-PROD'!W$2,'1.PUNTOS'!$A$1:$B$63,2,0),0)</f>
        <v>0</v>
      </c>
      <c r="O380" s="138">
        <f>IF('1.DATOS-PROD'!X381="SI",VLOOKUP('1.DATOS-PROD'!X$2,'1.PUNTOS'!$A$1:$B$63,2,0),0)</f>
        <v>0</v>
      </c>
      <c r="P380" s="138">
        <f>IF('1.DATOS-PROD'!Y381="SI",VLOOKUP('1.DATOS-PROD'!Y$2,'1.PUNTOS'!$A$1:$B$63,2,0),0)</f>
        <v>0</v>
      </c>
      <c r="Q380" s="138">
        <f>IF('1.DATOS-PROD'!Z381="SI",VLOOKUP('1.DATOS-PROD'!Z$2,'1.PUNTOS'!$A$1:$B$63,2,0),0)</f>
        <v>0</v>
      </c>
      <c r="R380" s="138">
        <f>IF('1.DATOS-PROD'!AA381="SI",VLOOKUP('1.DATOS-PROD'!AA$2,'1.PUNTOS'!$A$1:$B$63,2,0),0)</f>
        <v>0</v>
      </c>
      <c r="S380" s="138">
        <f>IF('1.DATOS-PROD'!AB381="SI",VLOOKUP('1.DATOS-PROD'!AB$2,'1.PUNTOS'!$A$1:$B$63,2,0),0)</f>
        <v>0</v>
      </c>
      <c r="T380" s="138">
        <f>IF('1.DATOS-PROD'!AC381="SI",VLOOKUP('1.DATOS-PROD'!AC$2,'1.PUNTOS'!$A$1:$B$63,2,0),0)</f>
        <v>0</v>
      </c>
      <c r="U380" s="138">
        <f>IF('1.DATOS-PROD'!AD381="SI",VLOOKUP('1.DATOS-PROD'!AD$2,'1.PUNTOS'!$A$1:$B$63,2,0),0)</f>
        <v>0</v>
      </c>
      <c r="V380" s="138">
        <f>IF('1.DATOS-PROD'!AE381="SI",VLOOKUP('1.DATOS-PROD'!AE$2,'1.PUNTOS'!$A$1:$B$63,2,0),0)</f>
        <v>0</v>
      </c>
      <c r="W380" s="138">
        <f>IF('1.DATOS-PROD'!AF381="SI",VLOOKUP('1.DATOS-PROD'!AF$2,'1.PUNTOS'!$A$1:$B$63,2,0),0)</f>
        <v>0</v>
      </c>
      <c r="X380" s="138">
        <f>IF('1.DATOS-PROD'!AG381="SI",VLOOKUP('1.DATOS-PROD'!AG$2,'1.PUNTOS'!$A$1:$B$63,2,0),0)</f>
        <v>0</v>
      </c>
      <c r="Y380" s="138">
        <f>IF('1.DATOS-PROD'!AH381="SI",VLOOKUP('1.DATOS-PROD'!AH$2,'1.PUNTOS'!$A$1:$B$63,2,0),0)</f>
        <v>0</v>
      </c>
      <c r="Z380" s="138">
        <f>IF('1.DATOS-PROD'!AI381="SI",VLOOKUP('1.DATOS-PROD'!AI$2,'1.PUNTOS'!$A$1:$B$63,2,0),0)</f>
        <v>0</v>
      </c>
      <c r="AA380" s="138">
        <f>IF('1.DATOS-PROD'!AJ381="SI",VLOOKUP('1.DATOS-PROD'!AJ$2,'1.PUNTOS'!$A$1:$B$63,2,0),0)</f>
        <v>0</v>
      </c>
      <c r="AB380" s="138">
        <f>IF('1.DATOS-PROD'!AK381="SI",VLOOKUP('1.DATOS-PROD'!AK$2,'1.PUNTOS'!$A$1:$B$63,2,0),0)</f>
        <v>0</v>
      </c>
      <c r="AC380" s="138">
        <f>IF('1.DATOS-PROD'!AL381="SI",VLOOKUP('1.DATOS-PROD'!AL$2,'1.PUNTOS'!$A$1:$B$63,2,0),0)</f>
        <v>0</v>
      </c>
      <c r="AD380" s="138">
        <f>IF('1.DATOS-PROD'!AM381="SI",VLOOKUP('1.DATOS-PROD'!AM$2,'1.PUNTOS'!$A$1:$B$63,2,0),0)</f>
        <v>0</v>
      </c>
      <c r="AE380" s="138">
        <f>IF('1.DATOS-PROD'!AN381="SI",VLOOKUP('1.DATOS-PROD'!AN$2,'1.PUNTOS'!$A$1:$B$63,2,0),0)</f>
        <v>0</v>
      </c>
      <c r="AF380" s="138">
        <f>IF('1.DATOS-PROD'!AO381="SI",VLOOKUP('1.DATOS-PROD'!AO$2,'1.PUNTOS'!$A$1:$B$63,2,0),0)</f>
        <v>0</v>
      </c>
      <c r="AG380" s="138">
        <f>IF('1.DATOS-PROD'!AP381="SI",VLOOKUP('1.DATOS-PROD'!AP$2,'1.PUNTOS'!$A$1:$B$63,2,0),0)</f>
        <v>0</v>
      </c>
      <c r="AH380" s="138">
        <f>IF('1.DATOS-PROD'!AQ381="SI",VLOOKUP('1.DATOS-PROD'!AQ$2,'1.PUNTOS'!$A$1:$B$63,2,0),0)</f>
        <v>0</v>
      </c>
      <c r="AI380" s="138">
        <f>IF('1.DATOS-PROD'!AR381="SI",VLOOKUP('1.DATOS-PROD'!AR$2,'1.PUNTOS'!$A$1:$B$63,2,0),0)</f>
        <v>0</v>
      </c>
      <c r="AJ380" s="138">
        <f>IF('1.DATOS-PROD'!AS381="SI",VLOOKUP('1.DATOS-PROD'!AS$2,'1.PUNTOS'!$A$1:$B$63,2,0),0)</f>
        <v>0</v>
      </c>
      <c r="AK380" s="138">
        <f>IF('1.DATOS-PROD'!AT381="SI",VLOOKUP('1.DATOS-PROD'!AT$2,'1.PUNTOS'!$A$1:$B$63,2,0),0)</f>
        <v>0</v>
      </c>
      <c r="AL380" s="138">
        <f>IF('1.DATOS-PROD'!AU381="SI",VLOOKUP('1.DATOS-PROD'!AU$2,'1.PUNTOS'!$A$1:$B$63,2,0),0)</f>
        <v>0</v>
      </c>
      <c r="AM380" s="138">
        <f>IF('1.DATOS-PROD'!AV381="SI",VLOOKUP('1.DATOS-PROD'!AV$2,'1.PUNTOS'!$A$1:$B$63,2,0),0)</f>
        <v>0</v>
      </c>
      <c r="AN380" s="138">
        <f>IF('1.DATOS-PROD'!AW381="SI",VLOOKUP('1.DATOS-PROD'!AW$2,'1.PUNTOS'!$A$1:$B$63,2,0),0)</f>
        <v>0</v>
      </c>
      <c r="AO380" s="138">
        <f>IF('1.DATOS-PROD'!AX381="SI",VLOOKUP('1.DATOS-PROD'!AX$2,'1.PUNTOS'!$A$1:$B$63,2,0),0)</f>
        <v>0</v>
      </c>
      <c r="AP380" s="138">
        <f>IF('1.DATOS-PROD'!AY381="SI",VLOOKUP('1.DATOS-PROD'!AY$2,'1.PUNTOS'!$A$1:$B$63,2,0),0)</f>
        <v>0</v>
      </c>
      <c r="AQ380" s="138">
        <f>IF('1.DATOS-PROD'!AZ381="SI",VLOOKUP('1.DATOS-PROD'!AZ$2,'1.PUNTOS'!$A$1:$B$63,2,0),0)</f>
        <v>0</v>
      </c>
      <c r="AR380" s="138">
        <f>IF('1.DATOS-PROD'!BA381="SI",VLOOKUP('1.DATOS-PROD'!BA$2,'1.PUNTOS'!$A$1:$B$63,2,0),0)</f>
        <v>0</v>
      </c>
      <c r="AS380" s="138">
        <f>IF('1.DATOS-PROD'!BB381="SI",VLOOKUP('1.DATOS-PROD'!BB$2,'1.PUNTOS'!$A$1:$B$63,2,0),0)</f>
        <v>0</v>
      </c>
      <c r="AT380" s="138">
        <f>IF('1.DATOS-PROD'!BC381="SI",VLOOKUP('1.DATOS-PROD'!BC$2,'1.PUNTOS'!$A$1:$B$63,2,0),0)</f>
        <v>0</v>
      </c>
      <c r="AU380" s="138">
        <f>IF('1.DATOS-PROD'!BD381="SI",VLOOKUP('1.DATOS-PROD'!BD$2,'1.PUNTOS'!$A$1:$B$63,2,0),0)</f>
        <v>0</v>
      </c>
      <c r="AV380" s="138">
        <f>IF('1.DATOS-PROD'!BE381="SI",VLOOKUP('1.DATOS-PROD'!BE$2,'1.PUNTOS'!$A$1:$B$63,2,0),0)</f>
        <v>0</v>
      </c>
      <c r="AW380" s="138">
        <f>IF('1.DATOS-PROD'!BF381="SI",VLOOKUP('1.DATOS-PROD'!BF$2,'1.PUNTOS'!$A$1:$B$63,2,0),0)</f>
        <v>0</v>
      </c>
      <c r="AX380" s="138">
        <f>IF('1.DATOS-PROD'!BG381="SI",VLOOKUP('1.DATOS-PROD'!BG$2,'1.PUNTOS'!$A$1:$B$63,2,0),0)</f>
        <v>0</v>
      </c>
      <c r="AY380" s="138">
        <f>IF('1.DATOS-PROD'!BH381="SI",VLOOKUP('1.DATOS-PROD'!BH$2,'1.PUNTOS'!$A$1:$B$63,2,0),0)</f>
        <v>0</v>
      </c>
      <c r="AZ380" s="138">
        <f>IF('1.DATOS-PROD'!BI381="SI",VLOOKUP('1.DATOS-PROD'!BI$2,'1.PUNTOS'!$A$1:$B$63,2,0),0)</f>
        <v>0</v>
      </c>
      <c r="BA380" s="138">
        <f>IF('1.DATOS-PROD'!BJ381="SI",VLOOKUP('1.DATOS-PROD'!BJ$2,'1.PUNTOS'!$A$1:$B$63,2,0),0)</f>
        <v>0</v>
      </c>
      <c r="BB380" s="138">
        <f>IF('1.DATOS-PROD'!BK381="SI",VLOOKUP('1.DATOS-PROD'!BK$2,'1.PUNTOS'!$A$1:$B$63,2,0),0)</f>
        <v>0</v>
      </c>
      <c r="BC380" s="138">
        <f>IF('1.DATOS-PROD'!BL381="SI",VLOOKUP('1.DATOS-PROD'!BL$2,'1.PUNTOS'!$A$1:$B$63,2,0),0)</f>
        <v>0</v>
      </c>
      <c r="BD380" s="138">
        <f>IF('1.DATOS-PROD'!BM381="SI",VLOOKUP('1.DATOS-PROD'!BM$2,'1.PUNTOS'!$A$1:$B$63,2,0),0)</f>
        <v>0</v>
      </c>
      <c r="BE380" s="138">
        <f>IF('1.DATOS-PROD'!BN381="SI",VLOOKUP('1.DATOS-PROD'!BN$2,'1.PUNTOS'!$A$1:$B$63,2,0),0)</f>
        <v>0</v>
      </c>
      <c r="BF380" s="138">
        <f>IF('1.DATOS-PROD'!BO381="SI",VLOOKUP('1.DATOS-PROD'!BO$2,'1.PUNTOS'!$A$1:$B$63,2,0),0)</f>
        <v>0</v>
      </c>
      <c r="BG380" s="138">
        <f>IF('1.DATOS-PROD'!BP381="SI",VLOOKUP('1.DATOS-PROD'!BP$2,'1.PUNTOS'!$A$1:$B$63,2,0),0)</f>
        <v>0</v>
      </c>
      <c r="BH380" s="138">
        <f>IF('1.DATOS-PROD'!BQ381="SI",VLOOKUP('1.DATOS-PROD'!BQ$2,'1.PUNTOS'!$A$1:$B$63,2,0),0)</f>
        <v>0</v>
      </c>
      <c r="BI380" s="138">
        <f>IF('1.DATOS-PROD'!BR381="SI",VLOOKUP('1.DATOS-PROD'!BR$2,'1.PUNTOS'!$A$1:$B$63,2,0),0)</f>
        <v>0</v>
      </c>
      <c r="BJ380" s="138">
        <f>IF('1.DATOS-PROD'!BS381="SI",VLOOKUP('1.DATOS-PROD'!BS$2,'1.PUNTOS'!$A$1:$B$63,2,0),0)</f>
        <v>0</v>
      </c>
      <c r="BK380" s="138">
        <f>IF('1.DATOS-PROD'!BT381="SI",VLOOKUP('1.DATOS-PROD'!BT$2,'1.PUNTOS'!$A$1:$B$63,2,0),0)</f>
        <v>0</v>
      </c>
    </row>
    <row r="381" spans="1:63" x14ac:dyDescent="0.25">
      <c r="A381">
        <f>'0.Consolidado general'!$A382</f>
        <v>0</v>
      </c>
      <c r="B381" s="138">
        <f>IF('1.DATOS-PROD'!K382="SI",VLOOKUP('1.DATOS-PROD'!K$2,'1.PUNTOS'!$A$1:$B$63,2,0),0)</f>
        <v>0</v>
      </c>
      <c r="C381" s="138">
        <f>IF('1.DATOS-PROD'!L382="SI",VLOOKUP('1.DATOS-PROD'!L$2,'1.PUNTOS'!$A$1:$B$63,2,0),0)</f>
        <v>0</v>
      </c>
      <c r="D381" s="138">
        <f>IF('1.DATOS-PROD'!M382="SI",VLOOKUP('1.DATOS-PROD'!M$2,'1.PUNTOS'!$A$1:$B$63,2,0),0)</f>
        <v>0</v>
      </c>
      <c r="E381" s="138">
        <f>IF('1.DATOS-PROD'!N382="SI",VLOOKUP('1.DATOS-PROD'!N$2,'1.PUNTOS'!$A$1:$B$63,2,0),0)</f>
        <v>0</v>
      </c>
      <c r="F381" s="138">
        <f>IF('1.DATOS-PROD'!O382="SI",VLOOKUP('1.DATOS-PROD'!O$2,'1.PUNTOS'!$A$1:$B$63,2,0),0)</f>
        <v>0</v>
      </c>
      <c r="G381" s="138">
        <f>IF('1.DATOS-PROD'!P382="SI",VLOOKUP('1.DATOS-PROD'!P$2,'1.PUNTOS'!$A$1:$B$63,2,0),0)</f>
        <v>0</v>
      </c>
      <c r="H381" s="138">
        <f>IF('1.DATOS-PROD'!Q382="SI",VLOOKUP('1.DATOS-PROD'!Q$2,'1.PUNTOS'!$A$1:$B$63,2,0),0)</f>
        <v>0</v>
      </c>
      <c r="I381" s="138">
        <f>IF('1.DATOS-PROD'!R382="SI",VLOOKUP('1.DATOS-PROD'!R$2,'1.PUNTOS'!$A$1:$B$63,2,0),0)</f>
        <v>0</v>
      </c>
      <c r="J381" s="138">
        <f>IF('1.DATOS-PROD'!S382="SI",VLOOKUP('1.DATOS-PROD'!S$2,'1.PUNTOS'!$A$1:$B$63,2,0),0)</f>
        <v>0</v>
      </c>
      <c r="K381" s="138">
        <f>IF('1.DATOS-PROD'!T382="SI",VLOOKUP('1.DATOS-PROD'!T$2,'1.PUNTOS'!$A$1:$B$63,2,0),0)</f>
        <v>0</v>
      </c>
      <c r="L381" s="138">
        <f>IF('1.DATOS-PROD'!U382="SI",VLOOKUP('1.DATOS-PROD'!U$2,'1.PUNTOS'!$A$1:$B$63,2,0),0)</f>
        <v>0</v>
      </c>
      <c r="M381" s="138">
        <f>IF('1.DATOS-PROD'!V382="SI",VLOOKUP('1.DATOS-PROD'!V$2,'1.PUNTOS'!$A$1:$B$63,2,0),0)</f>
        <v>0</v>
      </c>
      <c r="N381" s="138">
        <f>IF('1.DATOS-PROD'!W382="SI",VLOOKUP('1.DATOS-PROD'!W$2,'1.PUNTOS'!$A$1:$B$63,2,0),0)</f>
        <v>0</v>
      </c>
      <c r="O381" s="138">
        <f>IF('1.DATOS-PROD'!X382="SI",VLOOKUP('1.DATOS-PROD'!X$2,'1.PUNTOS'!$A$1:$B$63,2,0),0)</f>
        <v>0</v>
      </c>
      <c r="P381" s="138">
        <f>IF('1.DATOS-PROD'!Y382="SI",VLOOKUP('1.DATOS-PROD'!Y$2,'1.PUNTOS'!$A$1:$B$63,2,0),0)</f>
        <v>0</v>
      </c>
      <c r="Q381" s="138">
        <f>IF('1.DATOS-PROD'!Z382="SI",VLOOKUP('1.DATOS-PROD'!Z$2,'1.PUNTOS'!$A$1:$B$63,2,0),0)</f>
        <v>0</v>
      </c>
      <c r="R381" s="138">
        <f>IF('1.DATOS-PROD'!AA382="SI",VLOOKUP('1.DATOS-PROD'!AA$2,'1.PUNTOS'!$A$1:$B$63,2,0),0)</f>
        <v>0</v>
      </c>
      <c r="S381" s="138">
        <f>IF('1.DATOS-PROD'!AB382="SI",VLOOKUP('1.DATOS-PROD'!AB$2,'1.PUNTOS'!$A$1:$B$63,2,0),0)</f>
        <v>0</v>
      </c>
      <c r="T381" s="138">
        <f>IF('1.DATOS-PROD'!AC382="SI",VLOOKUP('1.DATOS-PROD'!AC$2,'1.PUNTOS'!$A$1:$B$63,2,0),0)</f>
        <v>0</v>
      </c>
      <c r="U381" s="138">
        <f>IF('1.DATOS-PROD'!AD382="SI",VLOOKUP('1.DATOS-PROD'!AD$2,'1.PUNTOS'!$A$1:$B$63,2,0),0)</f>
        <v>0</v>
      </c>
      <c r="V381" s="138">
        <f>IF('1.DATOS-PROD'!AE382="SI",VLOOKUP('1.DATOS-PROD'!AE$2,'1.PUNTOS'!$A$1:$B$63,2,0),0)</f>
        <v>0</v>
      </c>
      <c r="W381" s="138">
        <f>IF('1.DATOS-PROD'!AF382="SI",VLOOKUP('1.DATOS-PROD'!AF$2,'1.PUNTOS'!$A$1:$B$63,2,0),0)</f>
        <v>0</v>
      </c>
      <c r="X381" s="138">
        <f>IF('1.DATOS-PROD'!AG382="SI",VLOOKUP('1.DATOS-PROD'!AG$2,'1.PUNTOS'!$A$1:$B$63,2,0),0)</f>
        <v>0</v>
      </c>
      <c r="Y381" s="138">
        <f>IF('1.DATOS-PROD'!AH382="SI",VLOOKUP('1.DATOS-PROD'!AH$2,'1.PUNTOS'!$A$1:$B$63,2,0),0)</f>
        <v>0</v>
      </c>
      <c r="Z381" s="138">
        <f>IF('1.DATOS-PROD'!AI382="SI",VLOOKUP('1.DATOS-PROD'!AI$2,'1.PUNTOS'!$A$1:$B$63,2,0),0)</f>
        <v>0</v>
      </c>
      <c r="AA381" s="138">
        <f>IF('1.DATOS-PROD'!AJ382="SI",VLOOKUP('1.DATOS-PROD'!AJ$2,'1.PUNTOS'!$A$1:$B$63,2,0),0)</f>
        <v>0</v>
      </c>
      <c r="AB381" s="138">
        <f>IF('1.DATOS-PROD'!AK382="SI",VLOOKUP('1.DATOS-PROD'!AK$2,'1.PUNTOS'!$A$1:$B$63,2,0),0)</f>
        <v>0</v>
      </c>
      <c r="AC381" s="138">
        <f>IF('1.DATOS-PROD'!AL382="SI",VLOOKUP('1.DATOS-PROD'!AL$2,'1.PUNTOS'!$A$1:$B$63,2,0),0)</f>
        <v>0</v>
      </c>
      <c r="AD381" s="138">
        <f>IF('1.DATOS-PROD'!AM382="SI",VLOOKUP('1.DATOS-PROD'!AM$2,'1.PUNTOS'!$A$1:$B$63,2,0),0)</f>
        <v>0</v>
      </c>
      <c r="AE381" s="138">
        <f>IF('1.DATOS-PROD'!AN382="SI",VLOOKUP('1.DATOS-PROD'!AN$2,'1.PUNTOS'!$A$1:$B$63,2,0),0)</f>
        <v>0</v>
      </c>
      <c r="AF381" s="138">
        <f>IF('1.DATOS-PROD'!AO382="SI",VLOOKUP('1.DATOS-PROD'!AO$2,'1.PUNTOS'!$A$1:$B$63,2,0),0)</f>
        <v>0</v>
      </c>
      <c r="AG381" s="138">
        <f>IF('1.DATOS-PROD'!AP382="SI",VLOOKUP('1.DATOS-PROD'!AP$2,'1.PUNTOS'!$A$1:$B$63,2,0),0)</f>
        <v>0</v>
      </c>
      <c r="AH381" s="138">
        <f>IF('1.DATOS-PROD'!AQ382="SI",VLOOKUP('1.DATOS-PROD'!AQ$2,'1.PUNTOS'!$A$1:$B$63,2,0),0)</f>
        <v>0</v>
      </c>
      <c r="AI381" s="138">
        <f>IF('1.DATOS-PROD'!AR382="SI",VLOOKUP('1.DATOS-PROD'!AR$2,'1.PUNTOS'!$A$1:$B$63,2,0),0)</f>
        <v>0</v>
      </c>
      <c r="AJ381" s="138">
        <f>IF('1.DATOS-PROD'!AS382="SI",VLOOKUP('1.DATOS-PROD'!AS$2,'1.PUNTOS'!$A$1:$B$63,2,0),0)</f>
        <v>0</v>
      </c>
      <c r="AK381" s="138">
        <f>IF('1.DATOS-PROD'!AT382="SI",VLOOKUP('1.DATOS-PROD'!AT$2,'1.PUNTOS'!$A$1:$B$63,2,0),0)</f>
        <v>0</v>
      </c>
      <c r="AL381" s="138">
        <f>IF('1.DATOS-PROD'!AU382="SI",VLOOKUP('1.DATOS-PROD'!AU$2,'1.PUNTOS'!$A$1:$B$63,2,0),0)</f>
        <v>0</v>
      </c>
      <c r="AM381" s="138">
        <f>IF('1.DATOS-PROD'!AV382="SI",VLOOKUP('1.DATOS-PROD'!AV$2,'1.PUNTOS'!$A$1:$B$63,2,0),0)</f>
        <v>0</v>
      </c>
      <c r="AN381" s="138">
        <f>IF('1.DATOS-PROD'!AW382="SI",VLOOKUP('1.DATOS-PROD'!AW$2,'1.PUNTOS'!$A$1:$B$63,2,0),0)</f>
        <v>0</v>
      </c>
      <c r="AO381" s="138">
        <f>IF('1.DATOS-PROD'!AX382="SI",VLOOKUP('1.DATOS-PROD'!AX$2,'1.PUNTOS'!$A$1:$B$63,2,0),0)</f>
        <v>0</v>
      </c>
      <c r="AP381" s="138">
        <f>IF('1.DATOS-PROD'!AY382="SI",VLOOKUP('1.DATOS-PROD'!AY$2,'1.PUNTOS'!$A$1:$B$63,2,0),0)</f>
        <v>0</v>
      </c>
      <c r="AQ381" s="138">
        <f>IF('1.DATOS-PROD'!AZ382="SI",VLOOKUP('1.DATOS-PROD'!AZ$2,'1.PUNTOS'!$A$1:$B$63,2,0),0)</f>
        <v>0</v>
      </c>
      <c r="AR381" s="138">
        <f>IF('1.DATOS-PROD'!BA382="SI",VLOOKUP('1.DATOS-PROD'!BA$2,'1.PUNTOS'!$A$1:$B$63,2,0),0)</f>
        <v>0</v>
      </c>
      <c r="AS381" s="138">
        <f>IF('1.DATOS-PROD'!BB382="SI",VLOOKUP('1.DATOS-PROD'!BB$2,'1.PUNTOS'!$A$1:$B$63,2,0),0)</f>
        <v>0</v>
      </c>
      <c r="AT381" s="138">
        <f>IF('1.DATOS-PROD'!BC382="SI",VLOOKUP('1.DATOS-PROD'!BC$2,'1.PUNTOS'!$A$1:$B$63,2,0),0)</f>
        <v>0</v>
      </c>
      <c r="AU381" s="138">
        <f>IF('1.DATOS-PROD'!BD382="SI",VLOOKUP('1.DATOS-PROD'!BD$2,'1.PUNTOS'!$A$1:$B$63,2,0),0)</f>
        <v>0</v>
      </c>
      <c r="AV381" s="138">
        <f>IF('1.DATOS-PROD'!BE382="SI",VLOOKUP('1.DATOS-PROD'!BE$2,'1.PUNTOS'!$A$1:$B$63,2,0),0)</f>
        <v>0</v>
      </c>
      <c r="AW381" s="138">
        <f>IF('1.DATOS-PROD'!BF382="SI",VLOOKUP('1.DATOS-PROD'!BF$2,'1.PUNTOS'!$A$1:$B$63,2,0),0)</f>
        <v>0</v>
      </c>
      <c r="AX381" s="138">
        <f>IF('1.DATOS-PROD'!BG382="SI",VLOOKUP('1.DATOS-PROD'!BG$2,'1.PUNTOS'!$A$1:$B$63,2,0),0)</f>
        <v>0</v>
      </c>
      <c r="AY381" s="138">
        <f>IF('1.DATOS-PROD'!BH382="SI",VLOOKUP('1.DATOS-PROD'!BH$2,'1.PUNTOS'!$A$1:$B$63,2,0),0)</f>
        <v>0</v>
      </c>
      <c r="AZ381" s="138">
        <f>IF('1.DATOS-PROD'!BI382="SI",VLOOKUP('1.DATOS-PROD'!BI$2,'1.PUNTOS'!$A$1:$B$63,2,0),0)</f>
        <v>0</v>
      </c>
      <c r="BA381" s="138">
        <f>IF('1.DATOS-PROD'!BJ382="SI",VLOOKUP('1.DATOS-PROD'!BJ$2,'1.PUNTOS'!$A$1:$B$63,2,0),0)</f>
        <v>0</v>
      </c>
      <c r="BB381" s="138">
        <f>IF('1.DATOS-PROD'!BK382="SI",VLOOKUP('1.DATOS-PROD'!BK$2,'1.PUNTOS'!$A$1:$B$63,2,0),0)</f>
        <v>0</v>
      </c>
      <c r="BC381" s="138">
        <f>IF('1.DATOS-PROD'!BL382="SI",VLOOKUP('1.DATOS-PROD'!BL$2,'1.PUNTOS'!$A$1:$B$63,2,0),0)</f>
        <v>0</v>
      </c>
      <c r="BD381" s="138">
        <f>IF('1.DATOS-PROD'!BM382="SI",VLOOKUP('1.DATOS-PROD'!BM$2,'1.PUNTOS'!$A$1:$B$63,2,0),0)</f>
        <v>0</v>
      </c>
      <c r="BE381" s="138">
        <f>IF('1.DATOS-PROD'!BN382="SI",VLOOKUP('1.DATOS-PROD'!BN$2,'1.PUNTOS'!$A$1:$B$63,2,0),0)</f>
        <v>0</v>
      </c>
      <c r="BF381" s="138">
        <f>IF('1.DATOS-PROD'!BO382="SI",VLOOKUP('1.DATOS-PROD'!BO$2,'1.PUNTOS'!$A$1:$B$63,2,0),0)</f>
        <v>0</v>
      </c>
      <c r="BG381" s="138">
        <f>IF('1.DATOS-PROD'!BP382="SI",VLOOKUP('1.DATOS-PROD'!BP$2,'1.PUNTOS'!$A$1:$B$63,2,0),0)</f>
        <v>0</v>
      </c>
      <c r="BH381" s="138">
        <f>IF('1.DATOS-PROD'!BQ382="SI",VLOOKUP('1.DATOS-PROD'!BQ$2,'1.PUNTOS'!$A$1:$B$63,2,0),0)</f>
        <v>0</v>
      </c>
      <c r="BI381" s="138">
        <f>IF('1.DATOS-PROD'!BR382="SI",VLOOKUP('1.DATOS-PROD'!BR$2,'1.PUNTOS'!$A$1:$B$63,2,0),0)</f>
        <v>0</v>
      </c>
      <c r="BJ381" s="138">
        <f>IF('1.DATOS-PROD'!BS382="SI",VLOOKUP('1.DATOS-PROD'!BS$2,'1.PUNTOS'!$A$1:$B$63,2,0),0)</f>
        <v>0</v>
      </c>
      <c r="BK381" s="138">
        <f>IF('1.DATOS-PROD'!BT382="SI",VLOOKUP('1.DATOS-PROD'!BT$2,'1.PUNTOS'!$A$1:$B$63,2,0),0)</f>
        <v>0</v>
      </c>
    </row>
    <row r="382" spans="1:63" x14ac:dyDescent="0.25">
      <c r="A382">
        <f>'0.Consolidado general'!$A383</f>
        <v>0</v>
      </c>
      <c r="B382" s="138">
        <f>IF('1.DATOS-PROD'!K383="SI",VLOOKUP('1.DATOS-PROD'!K$2,'1.PUNTOS'!$A$1:$B$63,2,0),0)</f>
        <v>0</v>
      </c>
      <c r="C382" s="138">
        <f>IF('1.DATOS-PROD'!L383="SI",VLOOKUP('1.DATOS-PROD'!L$2,'1.PUNTOS'!$A$1:$B$63,2,0),0)</f>
        <v>0</v>
      </c>
      <c r="D382" s="138">
        <f>IF('1.DATOS-PROD'!M383="SI",VLOOKUP('1.DATOS-PROD'!M$2,'1.PUNTOS'!$A$1:$B$63,2,0),0)</f>
        <v>0</v>
      </c>
      <c r="E382" s="138">
        <f>IF('1.DATOS-PROD'!N383="SI",VLOOKUP('1.DATOS-PROD'!N$2,'1.PUNTOS'!$A$1:$B$63,2,0),0)</f>
        <v>0</v>
      </c>
      <c r="F382" s="138">
        <f>IF('1.DATOS-PROD'!O383="SI",VLOOKUP('1.DATOS-PROD'!O$2,'1.PUNTOS'!$A$1:$B$63,2,0),0)</f>
        <v>0</v>
      </c>
      <c r="G382" s="138">
        <f>IF('1.DATOS-PROD'!P383="SI",VLOOKUP('1.DATOS-PROD'!P$2,'1.PUNTOS'!$A$1:$B$63,2,0),0)</f>
        <v>0</v>
      </c>
      <c r="H382" s="138">
        <f>IF('1.DATOS-PROD'!Q383="SI",VLOOKUP('1.DATOS-PROD'!Q$2,'1.PUNTOS'!$A$1:$B$63,2,0),0)</f>
        <v>0</v>
      </c>
      <c r="I382" s="138">
        <f>IF('1.DATOS-PROD'!R383="SI",VLOOKUP('1.DATOS-PROD'!R$2,'1.PUNTOS'!$A$1:$B$63,2,0),0)</f>
        <v>0</v>
      </c>
      <c r="J382" s="138">
        <f>IF('1.DATOS-PROD'!S383="SI",VLOOKUP('1.DATOS-PROD'!S$2,'1.PUNTOS'!$A$1:$B$63,2,0),0)</f>
        <v>0</v>
      </c>
      <c r="K382" s="138">
        <f>IF('1.DATOS-PROD'!T383="SI",VLOOKUP('1.DATOS-PROD'!T$2,'1.PUNTOS'!$A$1:$B$63,2,0),0)</f>
        <v>0</v>
      </c>
      <c r="L382" s="138">
        <f>IF('1.DATOS-PROD'!U383="SI",VLOOKUP('1.DATOS-PROD'!U$2,'1.PUNTOS'!$A$1:$B$63,2,0),0)</f>
        <v>0</v>
      </c>
      <c r="M382" s="138">
        <f>IF('1.DATOS-PROD'!V383="SI",VLOOKUP('1.DATOS-PROD'!V$2,'1.PUNTOS'!$A$1:$B$63,2,0),0)</f>
        <v>0</v>
      </c>
      <c r="N382" s="138">
        <f>IF('1.DATOS-PROD'!W383="SI",VLOOKUP('1.DATOS-PROD'!W$2,'1.PUNTOS'!$A$1:$B$63,2,0),0)</f>
        <v>0</v>
      </c>
      <c r="O382" s="138">
        <f>IF('1.DATOS-PROD'!X383="SI",VLOOKUP('1.DATOS-PROD'!X$2,'1.PUNTOS'!$A$1:$B$63,2,0),0)</f>
        <v>0</v>
      </c>
      <c r="P382" s="138">
        <f>IF('1.DATOS-PROD'!Y383="SI",VLOOKUP('1.DATOS-PROD'!Y$2,'1.PUNTOS'!$A$1:$B$63,2,0),0)</f>
        <v>0</v>
      </c>
      <c r="Q382" s="138">
        <f>IF('1.DATOS-PROD'!Z383="SI",VLOOKUP('1.DATOS-PROD'!Z$2,'1.PUNTOS'!$A$1:$B$63,2,0),0)</f>
        <v>0</v>
      </c>
      <c r="R382" s="138">
        <f>IF('1.DATOS-PROD'!AA383="SI",VLOOKUP('1.DATOS-PROD'!AA$2,'1.PUNTOS'!$A$1:$B$63,2,0),0)</f>
        <v>0</v>
      </c>
      <c r="S382" s="138">
        <f>IF('1.DATOS-PROD'!AB383="SI",VLOOKUP('1.DATOS-PROD'!AB$2,'1.PUNTOS'!$A$1:$B$63,2,0),0)</f>
        <v>0</v>
      </c>
      <c r="T382" s="138">
        <f>IF('1.DATOS-PROD'!AC383="SI",VLOOKUP('1.DATOS-PROD'!AC$2,'1.PUNTOS'!$A$1:$B$63,2,0),0)</f>
        <v>0</v>
      </c>
      <c r="U382" s="138">
        <f>IF('1.DATOS-PROD'!AD383="SI",VLOOKUP('1.DATOS-PROD'!AD$2,'1.PUNTOS'!$A$1:$B$63,2,0),0)</f>
        <v>0</v>
      </c>
      <c r="V382" s="138">
        <f>IF('1.DATOS-PROD'!AE383="SI",VLOOKUP('1.DATOS-PROD'!AE$2,'1.PUNTOS'!$A$1:$B$63,2,0),0)</f>
        <v>0</v>
      </c>
      <c r="W382" s="138">
        <f>IF('1.DATOS-PROD'!AF383="SI",VLOOKUP('1.DATOS-PROD'!AF$2,'1.PUNTOS'!$A$1:$B$63,2,0),0)</f>
        <v>0</v>
      </c>
      <c r="X382" s="138">
        <f>IF('1.DATOS-PROD'!AG383="SI",VLOOKUP('1.DATOS-PROD'!AG$2,'1.PUNTOS'!$A$1:$B$63,2,0),0)</f>
        <v>0</v>
      </c>
      <c r="Y382" s="138">
        <f>IF('1.DATOS-PROD'!AH383="SI",VLOOKUP('1.DATOS-PROD'!AH$2,'1.PUNTOS'!$A$1:$B$63,2,0),0)</f>
        <v>0</v>
      </c>
      <c r="Z382" s="138">
        <f>IF('1.DATOS-PROD'!AI383="SI",VLOOKUP('1.DATOS-PROD'!AI$2,'1.PUNTOS'!$A$1:$B$63,2,0),0)</f>
        <v>0</v>
      </c>
      <c r="AA382" s="138">
        <f>IF('1.DATOS-PROD'!AJ383="SI",VLOOKUP('1.DATOS-PROD'!AJ$2,'1.PUNTOS'!$A$1:$B$63,2,0),0)</f>
        <v>0</v>
      </c>
      <c r="AB382" s="138">
        <f>IF('1.DATOS-PROD'!AK383="SI",VLOOKUP('1.DATOS-PROD'!AK$2,'1.PUNTOS'!$A$1:$B$63,2,0),0)</f>
        <v>0</v>
      </c>
      <c r="AC382" s="138">
        <f>IF('1.DATOS-PROD'!AL383="SI",VLOOKUP('1.DATOS-PROD'!AL$2,'1.PUNTOS'!$A$1:$B$63,2,0),0)</f>
        <v>0</v>
      </c>
      <c r="AD382" s="138">
        <f>IF('1.DATOS-PROD'!AM383="SI",VLOOKUP('1.DATOS-PROD'!AM$2,'1.PUNTOS'!$A$1:$B$63,2,0),0)</f>
        <v>0</v>
      </c>
      <c r="AE382" s="138">
        <f>IF('1.DATOS-PROD'!AN383="SI",VLOOKUP('1.DATOS-PROD'!AN$2,'1.PUNTOS'!$A$1:$B$63,2,0),0)</f>
        <v>0</v>
      </c>
      <c r="AF382" s="138">
        <f>IF('1.DATOS-PROD'!AO383="SI",VLOOKUP('1.DATOS-PROD'!AO$2,'1.PUNTOS'!$A$1:$B$63,2,0),0)</f>
        <v>0</v>
      </c>
      <c r="AG382" s="138">
        <f>IF('1.DATOS-PROD'!AP383="SI",VLOOKUP('1.DATOS-PROD'!AP$2,'1.PUNTOS'!$A$1:$B$63,2,0),0)</f>
        <v>0</v>
      </c>
      <c r="AH382" s="138">
        <f>IF('1.DATOS-PROD'!AQ383="SI",VLOOKUP('1.DATOS-PROD'!AQ$2,'1.PUNTOS'!$A$1:$B$63,2,0),0)</f>
        <v>0</v>
      </c>
      <c r="AI382" s="138">
        <f>IF('1.DATOS-PROD'!AR383="SI",VLOOKUP('1.DATOS-PROD'!AR$2,'1.PUNTOS'!$A$1:$B$63,2,0),0)</f>
        <v>0</v>
      </c>
      <c r="AJ382" s="138">
        <f>IF('1.DATOS-PROD'!AS383="SI",VLOOKUP('1.DATOS-PROD'!AS$2,'1.PUNTOS'!$A$1:$B$63,2,0),0)</f>
        <v>0</v>
      </c>
      <c r="AK382" s="138">
        <f>IF('1.DATOS-PROD'!AT383="SI",VLOOKUP('1.DATOS-PROD'!AT$2,'1.PUNTOS'!$A$1:$B$63,2,0),0)</f>
        <v>0</v>
      </c>
      <c r="AL382" s="138">
        <f>IF('1.DATOS-PROD'!AU383="SI",VLOOKUP('1.DATOS-PROD'!AU$2,'1.PUNTOS'!$A$1:$B$63,2,0),0)</f>
        <v>0</v>
      </c>
      <c r="AM382" s="138">
        <f>IF('1.DATOS-PROD'!AV383="SI",VLOOKUP('1.DATOS-PROD'!AV$2,'1.PUNTOS'!$A$1:$B$63,2,0),0)</f>
        <v>0</v>
      </c>
      <c r="AN382" s="138">
        <f>IF('1.DATOS-PROD'!AW383="SI",VLOOKUP('1.DATOS-PROD'!AW$2,'1.PUNTOS'!$A$1:$B$63,2,0),0)</f>
        <v>0</v>
      </c>
      <c r="AO382" s="138">
        <f>IF('1.DATOS-PROD'!AX383="SI",VLOOKUP('1.DATOS-PROD'!AX$2,'1.PUNTOS'!$A$1:$B$63,2,0),0)</f>
        <v>0</v>
      </c>
      <c r="AP382" s="138">
        <f>IF('1.DATOS-PROD'!AY383="SI",VLOOKUP('1.DATOS-PROD'!AY$2,'1.PUNTOS'!$A$1:$B$63,2,0),0)</f>
        <v>0</v>
      </c>
      <c r="AQ382" s="138">
        <f>IF('1.DATOS-PROD'!AZ383="SI",VLOOKUP('1.DATOS-PROD'!AZ$2,'1.PUNTOS'!$A$1:$B$63,2,0),0)</f>
        <v>0</v>
      </c>
      <c r="AR382" s="138">
        <f>IF('1.DATOS-PROD'!BA383="SI",VLOOKUP('1.DATOS-PROD'!BA$2,'1.PUNTOS'!$A$1:$B$63,2,0),0)</f>
        <v>0</v>
      </c>
      <c r="AS382" s="138">
        <f>IF('1.DATOS-PROD'!BB383="SI",VLOOKUP('1.DATOS-PROD'!BB$2,'1.PUNTOS'!$A$1:$B$63,2,0),0)</f>
        <v>0</v>
      </c>
      <c r="AT382" s="138">
        <f>IF('1.DATOS-PROD'!BC383="SI",VLOOKUP('1.DATOS-PROD'!BC$2,'1.PUNTOS'!$A$1:$B$63,2,0),0)</f>
        <v>0</v>
      </c>
      <c r="AU382" s="138">
        <f>IF('1.DATOS-PROD'!BD383="SI",VLOOKUP('1.DATOS-PROD'!BD$2,'1.PUNTOS'!$A$1:$B$63,2,0),0)</f>
        <v>0</v>
      </c>
      <c r="AV382" s="138">
        <f>IF('1.DATOS-PROD'!BE383="SI",VLOOKUP('1.DATOS-PROD'!BE$2,'1.PUNTOS'!$A$1:$B$63,2,0),0)</f>
        <v>0</v>
      </c>
      <c r="AW382" s="138">
        <f>IF('1.DATOS-PROD'!BF383="SI",VLOOKUP('1.DATOS-PROD'!BF$2,'1.PUNTOS'!$A$1:$B$63,2,0),0)</f>
        <v>0</v>
      </c>
      <c r="AX382" s="138">
        <f>IF('1.DATOS-PROD'!BG383="SI",VLOOKUP('1.DATOS-PROD'!BG$2,'1.PUNTOS'!$A$1:$B$63,2,0),0)</f>
        <v>0</v>
      </c>
      <c r="AY382" s="138">
        <f>IF('1.DATOS-PROD'!BH383="SI",VLOOKUP('1.DATOS-PROD'!BH$2,'1.PUNTOS'!$A$1:$B$63,2,0),0)</f>
        <v>0</v>
      </c>
      <c r="AZ382" s="138">
        <f>IF('1.DATOS-PROD'!BI383="SI",VLOOKUP('1.DATOS-PROD'!BI$2,'1.PUNTOS'!$A$1:$B$63,2,0),0)</f>
        <v>0</v>
      </c>
      <c r="BA382" s="138">
        <f>IF('1.DATOS-PROD'!BJ383="SI",VLOOKUP('1.DATOS-PROD'!BJ$2,'1.PUNTOS'!$A$1:$B$63,2,0),0)</f>
        <v>0</v>
      </c>
      <c r="BB382" s="138">
        <f>IF('1.DATOS-PROD'!BK383="SI",VLOOKUP('1.DATOS-PROD'!BK$2,'1.PUNTOS'!$A$1:$B$63,2,0),0)</f>
        <v>0</v>
      </c>
      <c r="BC382" s="138">
        <f>IF('1.DATOS-PROD'!BL383="SI",VLOOKUP('1.DATOS-PROD'!BL$2,'1.PUNTOS'!$A$1:$B$63,2,0),0)</f>
        <v>0</v>
      </c>
      <c r="BD382" s="138">
        <f>IF('1.DATOS-PROD'!BM383="SI",VLOOKUP('1.DATOS-PROD'!BM$2,'1.PUNTOS'!$A$1:$B$63,2,0),0)</f>
        <v>0</v>
      </c>
      <c r="BE382" s="138">
        <f>IF('1.DATOS-PROD'!BN383="SI",VLOOKUP('1.DATOS-PROD'!BN$2,'1.PUNTOS'!$A$1:$B$63,2,0),0)</f>
        <v>0</v>
      </c>
      <c r="BF382" s="138">
        <f>IF('1.DATOS-PROD'!BO383="SI",VLOOKUP('1.DATOS-PROD'!BO$2,'1.PUNTOS'!$A$1:$B$63,2,0),0)</f>
        <v>0</v>
      </c>
      <c r="BG382" s="138">
        <f>IF('1.DATOS-PROD'!BP383="SI",VLOOKUP('1.DATOS-PROD'!BP$2,'1.PUNTOS'!$A$1:$B$63,2,0),0)</f>
        <v>0</v>
      </c>
      <c r="BH382" s="138">
        <f>IF('1.DATOS-PROD'!BQ383="SI",VLOOKUP('1.DATOS-PROD'!BQ$2,'1.PUNTOS'!$A$1:$B$63,2,0),0)</f>
        <v>0</v>
      </c>
      <c r="BI382" s="138">
        <f>IF('1.DATOS-PROD'!BR383="SI",VLOOKUP('1.DATOS-PROD'!BR$2,'1.PUNTOS'!$A$1:$B$63,2,0),0)</f>
        <v>0</v>
      </c>
      <c r="BJ382" s="138">
        <f>IF('1.DATOS-PROD'!BS383="SI",VLOOKUP('1.DATOS-PROD'!BS$2,'1.PUNTOS'!$A$1:$B$63,2,0),0)</f>
        <v>0</v>
      </c>
      <c r="BK382" s="138">
        <f>IF('1.DATOS-PROD'!BT383="SI",VLOOKUP('1.DATOS-PROD'!BT$2,'1.PUNTOS'!$A$1:$B$63,2,0),0)</f>
        <v>0</v>
      </c>
    </row>
    <row r="383" spans="1:63" x14ac:dyDescent="0.25">
      <c r="A383">
        <f>'0.Consolidado general'!$A384</f>
        <v>0</v>
      </c>
      <c r="B383" s="138">
        <f>IF('1.DATOS-PROD'!K384="SI",VLOOKUP('1.DATOS-PROD'!K$2,'1.PUNTOS'!$A$1:$B$63,2,0),0)</f>
        <v>0</v>
      </c>
      <c r="C383" s="138">
        <f>IF('1.DATOS-PROD'!L384="SI",VLOOKUP('1.DATOS-PROD'!L$2,'1.PUNTOS'!$A$1:$B$63,2,0),0)</f>
        <v>0</v>
      </c>
      <c r="D383" s="138">
        <f>IF('1.DATOS-PROD'!M384="SI",VLOOKUP('1.DATOS-PROD'!M$2,'1.PUNTOS'!$A$1:$B$63,2,0),0)</f>
        <v>0</v>
      </c>
      <c r="E383" s="138">
        <f>IF('1.DATOS-PROD'!N384="SI",VLOOKUP('1.DATOS-PROD'!N$2,'1.PUNTOS'!$A$1:$B$63,2,0),0)</f>
        <v>0</v>
      </c>
      <c r="F383" s="138">
        <f>IF('1.DATOS-PROD'!O384="SI",VLOOKUP('1.DATOS-PROD'!O$2,'1.PUNTOS'!$A$1:$B$63,2,0),0)</f>
        <v>0</v>
      </c>
      <c r="G383" s="138">
        <f>IF('1.DATOS-PROD'!P384="SI",VLOOKUP('1.DATOS-PROD'!P$2,'1.PUNTOS'!$A$1:$B$63,2,0),0)</f>
        <v>0</v>
      </c>
      <c r="H383" s="138">
        <f>IF('1.DATOS-PROD'!Q384="SI",VLOOKUP('1.DATOS-PROD'!Q$2,'1.PUNTOS'!$A$1:$B$63,2,0),0)</f>
        <v>0</v>
      </c>
      <c r="I383" s="138">
        <f>IF('1.DATOS-PROD'!R384="SI",VLOOKUP('1.DATOS-PROD'!R$2,'1.PUNTOS'!$A$1:$B$63,2,0),0)</f>
        <v>0</v>
      </c>
      <c r="J383" s="138">
        <f>IF('1.DATOS-PROD'!S384="SI",VLOOKUP('1.DATOS-PROD'!S$2,'1.PUNTOS'!$A$1:$B$63,2,0),0)</f>
        <v>0</v>
      </c>
      <c r="K383" s="138">
        <f>IF('1.DATOS-PROD'!T384="SI",VLOOKUP('1.DATOS-PROD'!T$2,'1.PUNTOS'!$A$1:$B$63,2,0),0)</f>
        <v>0</v>
      </c>
      <c r="L383" s="138">
        <f>IF('1.DATOS-PROD'!U384="SI",VLOOKUP('1.DATOS-PROD'!U$2,'1.PUNTOS'!$A$1:$B$63,2,0),0)</f>
        <v>0</v>
      </c>
      <c r="M383" s="138">
        <f>IF('1.DATOS-PROD'!V384="SI",VLOOKUP('1.DATOS-PROD'!V$2,'1.PUNTOS'!$A$1:$B$63,2,0),0)</f>
        <v>0</v>
      </c>
      <c r="N383" s="138">
        <f>IF('1.DATOS-PROD'!W384="SI",VLOOKUP('1.DATOS-PROD'!W$2,'1.PUNTOS'!$A$1:$B$63,2,0),0)</f>
        <v>0</v>
      </c>
      <c r="O383" s="138">
        <f>IF('1.DATOS-PROD'!X384="SI",VLOOKUP('1.DATOS-PROD'!X$2,'1.PUNTOS'!$A$1:$B$63,2,0),0)</f>
        <v>0</v>
      </c>
      <c r="P383" s="138">
        <f>IF('1.DATOS-PROD'!Y384="SI",VLOOKUP('1.DATOS-PROD'!Y$2,'1.PUNTOS'!$A$1:$B$63,2,0),0)</f>
        <v>0</v>
      </c>
      <c r="Q383" s="138">
        <f>IF('1.DATOS-PROD'!Z384="SI",VLOOKUP('1.DATOS-PROD'!Z$2,'1.PUNTOS'!$A$1:$B$63,2,0),0)</f>
        <v>0</v>
      </c>
      <c r="R383" s="138">
        <f>IF('1.DATOS-PROD'!AA384="SI",VLOOKUP('1.DATOS-PROD'!AA$2,'1.PUNTOS'!$A$1:$B$63,2,0),0)</f>
        <v>0</v>
      </c>
      <c r="S383" s="138">
        <f>IF('1.DATOS-PROD'!AB384="SI",VLOOKUP('1.DATOS-PROD'!AB$2,'1.PUNTOS'!$A$1:$B$63,2,0),0)</f>
        <v>0</v>
      </c>
      <c r="T383" s="138">
        <f>IF('1.DATOS-PROD'!AC384="SI",VLOOKUP('1.DATOS-PROD'!AC$2,'1.PUNTOS'!$A$1:$B$63,2,0),0)</f>
        <v>0</v>
      </c>
      <c r="U383" s="138">
        <f>IF('1.DATOS-PROD'!AD384="SI",VLOOKUP('1.DATOS-PROD'!AD$2,'1.PUNTOS'!$A$1:$B$63,2,0),0)</f>
        <v>0</v>
      </c>
      <c r="V383" s="138">
        <f>IF('1.DATOS-PROD'!AE384="SI",VLOOKUP('1.DATOS-PROD'!AE$2,'1.PUNTOS'!$A$1:$B$63,2,0),0)</f>
        <v>0</v>
      </c>
      <c r="W383" s="138">
        <f>IF('1.DATOS-PROD'!AF384="SI",VLOOKUP('1.DATOS-PROD'!AF$2,'1.PUNTOS'!$A$1:$B$63,2,0),0)</f>
        <v>0</v>
      </c>
      <c r="X383" s="138">
        <f>IF('1.DATOS-PROD'!AG384="SI",VLOOKUP('1.DATOS-PROD'!AG$2,'1.PUNTOS'!$A$1:$B$63,2,0),0)</f>
        <v>0</v>
      </c>
      <c r="Y383" s="138">
        <f>IF('1.DATOS-PROD'!AH384="SI",VLOOKUP('1.DATOS-PROD'!AH$2,'1.PUNTOS'!$A$1:$B$63,2,0),0)</f>
        <v>0</v>
      </c>
      <c r="Z383" s="138">
        <f>IF('1.DATOS-PROD'!AI384="SI",VLOOKUP('1.DATOS-PROD'!AI$2,'1.PUNTOS'!$A$1:$B$63,2,0),0)</f>
        <v>0</v>
      </c>
      <c r="AA383" s="138">
        <f>IF('1.DATOS-PROD'!AJ384="SI",VLOOKUP('1.DATOS-PROD'!AJ$2,'1.PUNTOS'!$A$1:$B$63,2,0),0)</f>
        <v>0</v>
      </c>
      <c r="AB383" s="138">
        <f>IF('1.DATOS-PROD'!AK384="SI",VLOOKUP('1.DATOS-PROD'!AK$2,'1.PUNTOS'!$A$1:$B$63,2,0),0)</f>
        <v>0</v>
      </c>
      <c r="AC383" s="138">
        <f>IF('1.DATOS-PROD'!AL384="SI",VLOOKUP('1.DATOS-PROD'!AL$2,'1.PUNTOS'!$A$1:$B$63,2,0),0)</f>
        <v>0</v>
      </c>
      <c r="AD383" s="138">
        <f>IF('1.DATOS-PROD'!AM384="SI",VLOOKUP('1.DATOS-PROD'!AM$2,'1.PUNTOS'!$A$1:$B$63,2,0),0)</f>
        <v>0</v>
      </c>
      <c r="AE383" s="138">
        <f>IF('1.DATOS-PROD'!AN384="SI",VLOOKUP('1.DATOS-PROD'!AN$2,'1.PUNTOS'!$A$1:$B$63,2,0),0)</f>
        <v>0</v>
      </c>
      <c r="AF383" s="138">
        <f>IF('1.DATOS-PROD'!AO384="SI",VLOOKUP('1.DATOS-PROD'!AO$2,'1.PUNTOS'!$A$1:$B$63,2,0),0)</f>
        <v>0</v>
      </c>
      <c r="AG383" s="138">
        <f>IF('1.DATOS-PROD'!AP384="SI",VLOOKUP('1.DATOS-PROD'!AP$2,'1.PUNTOS'!$A$1:$B$63,2,0),0)</f>
        <v>0</v>
      </c>
      <c r="AH383" s="138">
        <f>IF('1.DATOS-PROD'!AQ384="SI",VLOOKUP('1.DATOS-PROD'!AQ$2,'1.PUNTOS'!$A$1:$B$63,2,0),0)</f>
        <v>0</v>
      </c>
      <c r="AI383" s="138">
        <f>IF('1.DATOS-PROD'!AR384="SI",VLOOKUP('1.DATOS-PROD'!AR$2,'1.PUNTOS'!$A$1:$B$63,2,0),0)</f>
        <v>0</v>
      </c>
      <c r="AJ383" s="138">
        <f>IF('1.DATOS-PROD'!AS384="SI",VLOOKUP('1.DATOS-PROD'!AS$2,'1.PUNTOS'!$A$1:$B$63,2,0),0)</f>
        <v>0</v>
      </c>
      <c r="AK383" s="138">
        <f>IF('1.DATOS-PROD'!AT384="SI",VLOOKUP('1.DATOS-PROD'!AT$2,'1.PUNTOS'!$A$1:$B$63,2,0),0)</f>
        <v>0</v>
      </c>
      <c r="AL383" s="138">
        <f>IF('1.DATOS-PROD'!AU384="SI",VLOOKUP('1.DATOS-PROD'!AU$2,'1.PUNTOS'!$A$1:$B$63,2,0),0)</f>
        <v>0</v>
      </c>
      <c r="AM383" s="138">
        <f>IF('1.DATOS-PROD'!AV384="SI",VLOOKUP('1.DATOS-PROD'!AV$2,'1.PUNTOS'!$A$1:$B$63,2,0),0)</f>
        <v>0</v>
      </c>
      <c r="AN383" s="138">
        <f>IF('1.DATOS-PROD'!AW384="SI",VLOOKUP('1.DATOS-PROD'!AW$2,'1.PUNTOS'!$A$1:$B$63,2,0),0)</f>
        <v>0</v>
      </c>
      <c r="AO383" s="138">
        <f>IF('1.DATOS-PROD'!AX384="SI",VLOOKUP('1.DATOS-PROD'!AX$2,'1.PUNTOS'!$A$1:$B$63,2,0),0)</f>
        <v>0</v>
      </c>
      <c r="AP383" s="138">
        <f>IF('1.DATOS-PROD'!AY384="SI",VLOOKUP('1.DATOS-PROD'!AY$2,'1.PUNTOS'!$A$1:$B$63,2,0),0)</f>
        <v>0</v>
      </c>
      <c r="AQ383" s="138">
        <f>IF('1.DATOS-PROD'!AZ384="SI",VLOOKUP('1.DATOS-PROD'!AZ$2,'1.PUNTOS'!$A$1:$B$63,2,0),0)</f>
        <v>0</v>
      </c>
      <c r="AR383" s="138">
        <f>IF('1.DATOS-PROD'!BA384="SI",VLOOKUP('1.DATOS-PROD'!BA$2,'1.PUNTOS'!$A$1:$B$63,2,0),0)</f>
        <v>0</v>
      </c>
      <c r="AS383" s="138">
        <f>IF('1.DATOS-PROD'!BB384="SI",VLOOKUP('1.DATOS-PROD'!BB$2,'1.PUNTOS'!$A$1:$B$63,2,0),0)</f>
        <v>0</v>
      </c>
      <c r="AT383" s="138">
        <f>IF('1.DATOS-PROD'!BC384="SI",VLOOKUP('1.DATOS-PROD'!BC$2,'1.PUNTOS'!$A$1:$B$63,2,0),0)</f>
        <v>0</v>
      </c>
      <c r="AU383" s="138">
        <f>IF('1.DATOS-PROD'!BD384="SI",VLOOKUP('1.DATOS-PROD'!BD$2,'1.PUNTOS'!$A$1:$B$63,2,0),0)</f>
        <v>0</v>
      </c>
      <c r="AV383" s="138">
        <f>IF('1.DATOS-PROD'!BE384="SI",VLOOKUP('1.DATOS-PROD'!BE$2,'1.PUNTOS'!$A$1:$B$63,2,0),0)</f>
        <v>0</v>
      </c>
      <c r="AW383" s="138">
        <f>IF('1.DATOS-PROD'!BF384="SI",VLOOKUP('1.DATOS-PROD'!BF$2,'1.PUNTOS'!$A$1:$B$63,2,0),0)</f>
        <v>0</v>
      </c>
      <c r="AX383" s="138">
        <f>IF('1.DATOS-PROD'!BG384="SI",VLOOKUP('1.DATOS-PROD'!BG$2,'1.PUNTOS'!$A$1:$B$63,2,0),0)</f>
        <v>0</v>
      </c>
      <c r="AY383" s="138">
        <f>IF('1.DATOS-PROD'!BH384="SI",VLOOKUP('1.DATOS-PROD'!BH$2,'1.PUNTOS'!$A$1:$B$63,2,0),0)</f>
        <v>0</v>
      </c>
      <c r="AZ383" s="138">
        <f>IF('1.DATOS-PROD'!BI384="SI",VLOOKUP('1.DATOS-PROD'!BI$2,'1.PUNTOS'!$A$1:$B$63,2,0),0)</f>
        <v>0</v>
      </c>
      <c r="BA383" s="138">
        <f>IF('1.DATOS-PROD'!BJ384="SI",VLOOKUP('1.DATOS-PROD'!BJ$2,'1.PUNTOS'!$A$1:$B$63,2,0),0)</f>
        <v>0</v>
      </c>
      <c r="BB383" s="138">
        <f>IF('1.DATOS-PROD'!BK384="SI",VLOOKUP('1.DATOS-PROD'!BK$2,'1.PUNTOS'!$A$1:$B$63,2,0),0)</f>
        <v>0</v>
      </c>
      <c r="BC383" s="138">
        <f>IF('1.DATOS-PROD'!BL384="SI",VLOOKUP('1.DATOS-PROD'!BL$2,'1.PUNTOS'!$A$1:$B$63,2,0),0)</f>
        <v>0</v>
      </c>
      <c r="BD383" s="138">
        <f>IF('1.DATOS-PROD'!BM384="SI",VLOOKUP('1.DATOS-PROD'!BM$2,'1.PUNTOS'!$A$1:$B$63,2,0),0)</f>
        <v>0</v>
      </c>
      <c r="BE383" s="138">
        <f>IF('1.DATOS-PROD'!BN384="SI",VLOOKUP('1.DATOS-PROD'!BN$2,'1.PUNTOS'!$A$1:$B$63,2,0),0)</f>
        <v>0</v>
      </c>
      <c r="BF383" s="138">
        <f>IF('1.DATOS-PROD'!BO384="SI",VLOOKUP('1.DATOS-PROD'!BO$2,'1.PUNTOS'!$A$1:$B$63,2,0),0)</f>
        <v>0</v>
      </c>
      <c r="BG383" s="138">
        <f>IF('1.DATOS-PROD'!BP384="SI",VLOOKUP('1.DATOS-PROD'!BP$2,'1.PUNTOS'!$A$1:$B$63,2,0),0)</f>
        <v>0</v>
      </c>
      <c r="BH383" s="138">
        <f>IF('1.DATOS-PROD'!BQ384="SI",VLOOKUP('1.DATOS-PROD'!BQ$2,'1.PUNTOS'!$A$1:$B$63,2,0),0)</f>
        <v>0</v>
      </c>
      <c r="BI383" s="138">
        <f>IF('1.DATOS-PROD'!BR384="SI",VLOOKUP('1.DATOS-PROD'!BR$2,'1.PUNTOS'!$A$1:$B$63,2,0),0)</f>
        <v>0</v>
      </c>
      <c r="BJ383" s="138">
        <f>IF('1.DATOS-PROD'!BS384="SI",VLOOKUP('1.DATOS-PROD'!BS$2,'1.PUNTOS'!$A$1:$B$63,2,0),0)</f>
        <v>0</v>
      </c>
      <c r="BK383" s="138">
        <f>IF('1.DATOS-PROD'!BT384="SI",VLOOKUP('1.DATOS-PROD'!BT$2,'1.PUNTOS'!$A$1:$B$63,2,0),0)</f>
        <v>0</v>
      </c>
    </row>
    <row r="384" spans="1:63" x14ac:dyDescent="0.25">
      <c r="A384">
        <f>'0.Consolidado general'!$A385</f>
        <v>0</v>
      </c>
      <c r="B384" s="138">
        <f>IF('1.DATOS-PROD'!K385="SI",VLOOKUP('1.DATOS-PROD'!K$2,'1.PUNTOS'!$A$1:$B$63,2,0),0)</f>
        <v>0</v>
      </c>
      <c r="C384" s="138">
        <f>IF('1.DATOS-PROD'!L385="SI",VLOOKUP('1.DATOS-PROD'!L$2,'1.PUNTOS'!$A$1:$B$63,2,0),0)</f>
        <v>0</v>
      </c>
      <c r="D384" s="138">
        <f>IF('1.DATOS-PROD'!M385="SI",VLOOKUP('1.DATOS-PROD'!M$2,'1.PUNTOS'!$A$1:$B$63,2,0),0)</f>
        <v>0</v>
      </c>
      <c r="E384" s="138">
        <f>IF('1.DATOS-PROD'!N385="SI",VLOOKUP('1.DATOS-PROD'!N$2,'1.PUNTOS'!$A$1:$B$63,2,0),0)</f>
        <v>0</v>
      </c>
      <c r="F384" s="138">
        <f>IF('1.DATOS-PROD'!O385="SI",VLOOKUP('1.DATOS-PROD'!O$2,'1.PUNTOS'!$A$1:$B$63,2,0),0)</f>
        <v>0</v>
      </c>
      <c r="G384" s="138">
        <f>IF('1.DATOS-PROD'!P385="SI",VLOOKUP('1.DATOS-PROD'!P$2,'1.PUNTOS'!$A$1:$B$63,2,0),0)</f>
        <v>0</v>
      </c>
      <c r="H384" s="138">
        <f>IF('1.DATOS-PROD'!Q385="SI",VLOOKUP('1.DATOS-PROD'!Q$2,'1.PUNTOS'!$A$1:$B$63,2,0),0)</f>
        <v>0</v>
      </c>
      <c r="I384" s="138">
        <f>IF('1.DATOS-PROD'!R385="SI",VLOOKUP('1.DATOS-PROD'!R$2,'1.PUNTOS'!$A$1:$B$63,2,0),0)</f>
        <v>0</v>
      </c>
      <c r="J384" s="138">
        <f>IF('1.DATOS-PROD'!S385="SI",VLOOKUP('1.DATOS-PROD'!S$2,'1.PUNTOS'!$A$1:$B$63,2,0),0)</f>
        <v>0</v>
      </c>
      <c r="K384" s="138">
        <f>IF('1.DATOS-PROD'!T385="SI",VLOOKUP('1.DATOS-PROD'!T$2,'1.PUNTOS'!$A$1:$B$63,2,0),0)</f>
        <v>0</v>
      </c>
      <c r="L384" s="138">
        <f>IF('1.DATOS-PROD'!U385="SI",VLOOKUP('1.DATOS-PROD'!U$2,'1.PUNTOS'!$A$1:$B$63,2,0),0)</f>
        <v>0</v>
      </c>
      <c r="M384" s="138">
        <f>IF('1.DATOS-PROD'!V385="SI",VLOOKUP('1.DATOS-PROD'!V$2,'1.PUNTOS'!$A$1:$B$63,2,0),0)</f>
        <v>0</v>
      </c>
      <c r="N384" s="138">
        <f>IF('1.DATOS-PROD'!W385="SI",VLOOKUP('1.DATOS-PROD'!W$2,'1.PUNTOS'!$A$1:$B$63,2,0),0)</f>
        <v>0</v>
      </c>
      <c r="O384" s="138">
        <f>IF('1.DATOS-PROD'!X385="SI",VLOOKUP('1.DATOS-PROD'!X$2,'1.PUNTOS'!$A$1:$B$63,2,0),0)</f>
        <v>0</v>
      </c>
      <c r="P384" s="138">
        <f>IF('1.DATOS-PROD'!Y385="SI",VLOOKUP('1.DATOS-PROD'!Y$2,'1.PUNTOS'!$A$1:$B$63,2,0),0)</f>
        <v>0</v>
      </c>
      <c r="Q384" s="138">
        <f>IF('1.DATOS-PROD'!Z385="SI",VLOOKUP('1.DATOS-PROD'!Z$2,'1.PUNTOS'!$A$1:$B$63,2,0),0)</f>
        <v>0</v>
      </c>
      <c r="R384" s="138">
        <f>IF('1.DATOS-PROD'!AA385="SI",VLOOKUP('1.DATOS-PROD'!AA$2,'1.PUNTOS'!$A$1:$B$63,2,0),0)</f>
        <v>0</v>
      </c>
      <c r="S384" s="138">
        <f>IF('1.DATOS-PROD'!AB385="SI",VLOOKUP('1.DATOS-PROD'!AB$2,'1.PUNTOS'!$A$1:$B$63,2,0),0)</f>
        <v>0</v>
      </c>
      <c r="T384" s="138">
        <f>IF('1.DATOS-PROD'!AC385="SI",VLOOKUP('1.DATOS-PROD'!AC$2,'1.PUNTOS'!$A$1:$B$63,2,0),0)</f>
        <v>0</v>
      </c>
      <c r="U384" s="138">
        <f>IF('1.DATOS-PROD'!AD385="SI",VLOOKUP('1.DATOS-PROD'!AD$2,'1.PUNTOS'!$A$1:$B$63,2,0),0)</f>
        <v>0</v>
      </c>
      <c r="V384" s="138">
        <f>IF('1.DATOS-PROD'!AE385="SI",VLOOKUP('1.DATOS-PROD'!AE$2,'1.PUNTOS'!$A$1:$B$63,2,0),0)</f>
        <v>0</v>
      </c>
      <c r="W384" s="138">
        <f>IF('1.DATOS-PROD'!AF385="SI",VLOOKUP('1.DATOS-PROD'!AF$2,'1.PUNTOS'!$A$1:$B$63,2,0),0)</f>
        <v>0</v>
      </c>
      <c r="X384" s="138">
        <f>IF('1.DATOS-PROD'!AG385="SI",VLOOKUP('1.DATOS-PROD'!AG$2,'1.PUNTOS'!$A$1:$B$63,2,0),0)</f>
        <v>0</v>
      </c>
      <c r="Y384" s="138">
        <f>IF('1.DATOS-PROD'!AH385="SI",VLOOKUP('1.DATOS-PROD'!AH$2,'1.PUNTOS'!$A$1:$B$63,2,0),0)</f>
        <v>0</v>
      </c>
      <c r="Z384" s="138">
        <f>IF('1.DATOS-PROD'!AI385="SI",VLOOKUP('1.DATOS-PROD'!AI$2,'1.PUNTOS'!$A$1:$B$63,2,0),0)</f>
        <v>0</v>
      </c>
      <c r="AA384" s="138">
        <f>IF('1.DATOS-PROD'!AJ385="SI",VLOOKUP('1.DATOS-PROD'!AJ$2,'1.PUNTOS'!$A$1:$B$63,2,0),0)</f>
        <v>0</v>
      </c>
      <c r="AB384" s="138">
        <f>IF('1.DATOS-PROD'!AK385="SI",VLOOKUP('1.DATOS-PROD'!AK$2,'1.PUNTOS'!$A$1:$B$63,2,0),0)</f>
        <v>0</v>
      </c>
      <c r="AC384" s="138">
        <f>IF('1.DATOS-PROD'!AL385="SI",VLOOKUP('1.DATOS-PROD'!AL$2,'1.PUNTOS'!$A$1:$B$63,2,0),0)</f>
        <v>0</v>
      </c>
      <c r="AD384" s="138">
        <f>IF('1.DATOS-PROD'!AM385="SI",VLOOKUP('1.DATOS-PROD'!AM$2,'1.PUNTOS'!$A$1:$B$63,2,0),0)</f>
        <v>0</v>
      </c>
      <c r="AE384" s="138">
        <f>IF('1.DATOS-PROD'!AN385="SI",VLOOKUP('1.DATOS-PROD'!AN$2,'1.PUNTOS'!$A$1:$B$63,2,0),0)</f>
        <v>0</v>
      </c>
      <c r="AF384" s="138">
        <f>IF('1.DATOS-PROD'!AO385="SI",VLOOKUP('1.DATOS-PROD'!AO$2,'1.PUNTOS'!$A$1:$B$63,2,0),0)</f>
        <v>0</v>
      </c>
      <c r="AG384" s="138">
        <f>IF('1.DATOS-PROD'!AP385="SI",VLOOKUP('1.DATOS-PROD'!AP$2,'1.PUNTOS'!$A$1:$B$63,2,0),0)</f>
        <v>0</v>
      </c>
      <c r="AH384" s="138">
        <f>IF('1.DATOS-PROD'!AQ385="SI",VLOOKUP('1.DATOS-PROD'!AQ$2,'1.PUNTOS'!$A$1:$B$63,2,0),0)</f>
        <v>0</v>
      </c>
      <c r="AI384" s="138">
        <f>IF('1.DATOS-PROD'!AR385="SI",VLOOKUP('1.DATOS-PROD'!AR$2,'1.PUNTOS'!$A$1:$B$63,2,0),0)</f>
        <v>0</v>
      </c>
      <c r="AJ384" s="138">
        <f>IF('1.DATOS-PROD'!AS385="SI",VLOOKUP('1.DATOS-PROD'!AS$2,'1.PUNTOS'!$A$1:$B$63,2,0),0)</f>
        <v>0</v>
      </c>
      <c r="AK384" s="138">
        <f>IF('1.DATOS-PROD'!AT385="SI",VLOOKUP('1.DATOS-PROD'!AT$2,'1.PUNTOS'!$A$1:$B$63,2,0),0)</f>
        <v>0</v>
      </c>
      <c r="AL384" s="138">
        <f>IF('1.DATOS-PROD'!AU385="SI",VLOOKUP('1.DATOS-PROD'!AU$2,'1.PUNTOS'!$A$1:$B$63,2,0),0)</f>
        <v>0</v>
      </c>
      <c r="AM384" s="138">
        <f>IF('1.DATOS-PROD'!AV385="SI",VLOOKUP('1.DATOS-PROD'!AV$2,'1.PUNTOS'!$A$1:$B$63,2,0),0)</f>
        <v>0</v>
      </c>
      <c r="AN384" s="138">
        <f>IF('1.DATOS-PROD'!AW385="SI",VLOOKUP('1.DATOS-PROD'!AW$2,'1.PUNTOS'!$A$1:$B$63,2,0),0)</f>
        <v>0</v>
      </c>
      <c r="AO384" s="138">
        <f>IF('1.DATOS-PROD'!AX385="SI",VLOOKUP('1.DATOS-PROD'!AX$2,'1.PUNTOS'!$A$1:$B$63,2,0),0)</f>
        <v>0</v>
      </c>
      <c r="AP384" s="138">
        <f>IF('1.DATOS-PROD'!AY385="SI",VLOOKUP('1.DATOS-PROD'!AY$2,'1.PUNTOS'!$A$1:$B$63,2,0),0)</f>
        <v>0</v>
      </c>
      <c r="AQ384" s="138">
        <f>IF('1.DATOS-PROD'!AZ385="SI",VLOOKUP('1.DATOS-PROD'!AZ$2,'1.PUNTOS'!$A$1:$B$63,2,0),0)</f>
        <v>0</v>
      </c>
      <c r="AR384" s="138">
        <f>IF('1.DATOS-PROD'!BA385="SI",VLOOKUP('1.DATOS-PROD'!BA$2,'1.PUNTOS'!$A$1:$B$63,2,0),0)</f>
        <v>0</v>
      </c>
      <c r="AS384" s="138">
        <f>IF('1.DATOS-PROD'!BB385="SI",VLOOKUP('1.DATOS-PROD'!BB$2,'1.PUNTOS'!$A$1:$B$63,2,0),0)</f>
        <v>0</v>
      </c>
      <c r="AT384" s="138">
        <f>IF('1.DATOS-PROD'!BC385="SI",VLOOKUP('1.DATOS-PROD'!BC$2,'1.PUNTOS'!$A$1:$B$63,2,0),0)</f>
        <v>0</v>
      </c>
      <c r="AU384" s="138">
        <f>IF('1.DATOS-PROD'!BD385="SI",VLOOKUP('1.DATOS-PROD'!BD$2,'1.PUNTOS'!$A$1:$B$63,2,0),0)</f>
        <v>0</v>
      </c>
      <c r="AV384" s="138">
        <f>IF('1.DATOS-PROD'!BE385="SI",VLOOKUP('1.DATOS-PROD'!BE$2,'1.PUNTOS'!$A$1:$B$63,2,0),0)</f>
        <v>0</v>
      </c>
      <c r="AW384" s="138">
        <f>IF('1.DATOS-PROD'!BF385="SI",VLOOKUP('1.DATOS-PROD'!BF$2,'1.PUNTOS'!$A$1:$B$63,2,0),0)</f>
        <v>0</v>
      </c>
      <c r="AX384" s="138">
        <f>IF('1.DATOS-PROD'!BG385="SI",VLOOKUP('1.DATOS-PROD'!BG$2,'1.PUNTOS'!$A$1:$B$63,2,0),0)</f>
        <v>0</v>
      </c>
      <c r="AY384" s="138">
        <f>IF('1.DATOS-PROD'!BH385="SI",VLOOKUP('1.DATOS-PROD'!BH$2,'1.PUNTOS'!$A$1:$B$63,2,0),0)</f>
        <v>0</v>
      </c>
      <c r="AZ384" s="138">
        <f>IF('1.DATOS-PROD'!BI385="SI",VLOOKUP('1.DATOS-PROD'!BI$2,'1.PUNTOS'!$A$1:$B$63,2,0),0)</f>
        <v>0</v>
      </c>
      <c r="BA384" s="138">
        <f>IF('1.DATOS-PROD'!BJ385="SI",VLOOKUP('1.DATOS-PROD'!BJ$2,'1.PUNTOS'!$A$1:$B$63,2,0),0)</f>
        <v>0</v>
      </c>
      <c r="BB384" s="138">
        <f>IF('1.DATOS-PROD'!BK385="SI",VLOOKUP('1.DATOS-PROD'!BK$2,'1.PUNTOS'!$A$1:$B$63,2,0),0)</f>
        <v>0</v>
      </c>
      <c r="BC384" s="138">
        <f>IF('1.DATOS-PROD'!BL385="SI",VLOOKUP('1.DATOS-PROD'!BL$2,'1.PUNTOS'!$A$1:$B$63,2,0),0)</f>
        <v>0</v>
      </c>
      <c r="BD384" s="138">
        <f>IF('1.DATOS-PROD'!BM385="SI",VLOOKUP('1.DATOS-PROD'!BM$2,'1.PUNTOS'!$A$1:$B$63,2,0),0)</f>
        <v>0</v>
      </c>
      <c r="BE384" s="138">
        <f>IF('1.DATOS-PROD'!BN385="SI",VLOOKUP('1.DATOS-PROD'!BN$2,'1.PUNTOS'!$A$1:$B$63,2,0),0)</f>
        <v>0</v>
      </c>
      <c r="BF384" s="138">
        <f>IF('1.DATOS-PROD'!BO385="SI",VLOOKUP('1.DATOS-PROD'!BO$2,'1.PUNTOS'!$A$1:$B$63,2,0),0)</f>
        <v>0</v>
      </c>
      <c r="BG384" s="138">
        <f>IF('1.DATOS-PROD'!BP385="SI",VLOOKUP('1.DATOS-PROD'!BP$2,'1.PUNTOS'!$A$1:$B$63,2,0),0)</f>
        <v>0</v>
      </c>
      <c r="BH384" s="138">
        <f>IF('1.DATOS-PROD'!BQ385="SI",VLOOKUP('1.DATOS-PROD'!BQ$2,'1.PUNTOS'!$A$1:$B$63,2,0),0)</f>
        <v>0</v>
      </c>
      <c r="BI384" s="138">
        <f>IF('1.DATOS-PROD'!BR385="SI",VLOOKUP('1.DATOS-PROD'!BR$2,'1.PUNTOS'!$A$1:$B$63,2,0),0)</f>
        <v>0</v>
      </c>
      <c r="BJ384" s="138">
        <f>IF('1.DATOS-PROD'!BS385="SI",VLOOKUP('1.DATOS-PROD'!BS$2,'1.PUNTOS'!$A$1:$B$63,2,0),0)</f>
        <v>0</v>
      </c>
      <c r="BK384" s="138">
        <f>IF('1.DATOS-PROD'!BT385="SI",VLOOKUP('1.DATOS-PROD'!BT$2,'1.PUNTOS'!$A$1:$B$63,2,0),0)</f>
        <v>0</v>
      </c>
    </row>
    <row r="385" spans="1:63" x14ac:dyDescent="0.25">
      <c r="A385">
        <f>'0.Consolidado general'!$A386</f>
        <v>0</v>
      </c>
      <c r="B385" s="138">
        <f>IF('1.DATOS-PROD'!K386="SI",VLOOKUP('1.DATOS-PROD'!K$2,'1.PUNTOS'!$A$1:$B$63,2,0),0)</f>
        <v>0</v>
      </c>
      <c r="C385" s="138">
        <f>IF('1.DATOS-PROD'!L386="SI",VLOOKUP('1.DATOS-PROD'!L$2,'1.PUNTOS'!$A$1:$B$63,2,0),0)</f>
        <v>0</v>
      </c>
      <c r="D385" s="138">
        <f>IF('1.DATOS-PROD'!M386="SI",VLOOKUP('1.DATOS-PROD'!M$2,'1.PUNTOS'!$A$1:$B$63,2,0),0)</f>
        <v>0</v>
      </c>
      <c r="E385" s="138">
        <f>IF('1.DATOS-PROD'!N386="SI",VLOOKUP('1.DATOS-PROD'!N$2,'1.PUNTOS'!$A$1:$B$63,2,0),0)</f>
        <v>0</v>
      </c>
      <c r="F385" s="138">
        <f>IF('1.DATOS-PROD'!O386="SI",VLOOKUP('1.DATOS-PROD'!O$2,'1.PUNTOS'!$A$1:$B$63,2,0),0)</f>
        <v>0</v>
      </c>
      <c r="G385" s="138">
        <f>IF('1.DATOS-PROD'!P386="SI",VLOOKUP('1.DATOS-PROD'!P$2,'1.PUNTOS'!$A$1:$B$63,2,0),0)</f>
        <v>0</v>
      </c>
      <c r="H385" s="138">
        <f>IF('1.DATOS-PROD'!Q386="SI",VLOOKUP('1.DATOS-PROD'!Q$2,'1.PUNTOS'!$A$1:$B$63,2,0),0)</f>
        <v>0</v>
      </c>
      <c r="I385" s="138">
        <f>IF('1.DATOS-PROD'!R386="SI",VLOOKUP('1.DATOS-PROD'!R$2,'1.PUNTOS'!$A$1:$B$63,2,0),0)</f>
        <v>0</v>
      </c>
      <c r="J385" s="138">
        <f>IF('1.DATOS-PROD'!S386="SI",VLOOKUP('1.DATOS-PROD'!S$2,'1.PUNTOS'!$A$1:$B$63,2,0),0)</f>
        <v>0</v>
      </c>
      <c r="K385" s="138">
        <f>IF('1.DATOS-PROD'!T386="SI",VLOOKUP('1.DATOS-PROD'!T$2,'1.PUNTOS'!$A$1:$B$63,2,0),0)</f>
        <v>0</v>
      </c>
      <c r="L385" s="138">
        <f>IF('1.DATOS-PROD'!U386="SI",VLOOKUP('1.DATOS-PROD'!U$2,'1.PUNTOS'!$A$1:$B$63,2,0),0)</f>
        <v>0</v>
      </c>
      <c r="M385" s="138">
        <f>IF('1.DATOS-PROD'!V386="SI",VLOOKUP('1.DATOS-PROD'!V$2,'1.PUNTOS'!$A$1:$B$63,2,0),0)</f>
        <v>0</v>
      </c>
      <c r="N385" s="138">
        <f>IF('1.DATOS-PROD'!W386="SI",VLOOKUP('1.DATOS-PROD'!W$2,'1.PUNTOS'!$A$1:$B$63,2,0),0)</f>
        <v>0</v>
      </c>
      <c r="O385" s="138">
        <f>IF('1.DATOS-PROD'!X386="SI",VLOOKUP('1.DATOS-PROD'!X$2,'1.PUNTOS'!$A$1:$B$63,2,0),0)</f>
        <v>0</v>
      </c>
      <c r="P385" s="138">
        <f>IF('1.DATOS-PROD'!Y386="SI",VLOOKUP('1.DATOS-PROD'!Y$2,'1.PUNTOS'!$A$1:$B$63,2,0),0)</f>
        <v>0</v>
      </c>
      <c r="Q385" s="138">
        <f>IF('1.DATOS-PROD'!Z386="SI",VLOOKUP('1.DATOS-PROD'!Z$2,'1.PUNTOS'!$A$1:$B$63,2,0),0)</f>
        <v>0</v>
      </c>
      <c r="R385" s="138">
        <f>IF('1.DATOS-PROD'!AA386="SI",VLOOKUP('1.DATOS-PROD'!AA$2,'1.PUNTOS'!$A$1:$B$63,2,0),0)</f>
        <v>0</v>
      </c>
      <c r="S385" s="138">
        <f>IF('1.DATOS-PROD'!AB386="SI",VLOOKUP('1.DATOS-PROD'!AB$2,'1.PUNTOS'!$A$1:$B$63,2,0),0)</f>
        <v>0</v>
      </c>
      <c r="T385" s="138">
        <f>IF('1.DATOS-PROD'!AC386="SI",VLOOKUP('1.DATOS-PROD'!AC$2,'1.PUNTOS'!$A$1:$B$63,2,0),0)</f>
        <v>0</v>
      </c>
      <c r="U385" s="138">
        <f>IF('1.DATOS-PROD'!AD386="SI",VLOOKUP('1.DATOS-PROD'!AD$2,'1.PUNTOS'!$A$1:$B$63,2,0),0)</f>
        <v>0</v>
      </c>
      <c r="V385" s="138">
        <f>IF('1.DATOS-PROD'!AE386="SI",VLOOKUP('1.DATOS-PROD'!AE$2,'1.PUNTOS'!$A$1:$B$63,2,0),0)</f>
        <v>0</v>
      </c>
      <c r="W385" s="138">
        <f>IF('1.DATOS-PROD'!AF386="SI",VLOOKUP('1.DATOS-PROD'!AF$2,'1.PUNTOS'!$A$1:$B$63,2,0),0)</f>
        <v>0</v>
      </c>
      <c r="X385" s="138">
        <f>IF('1.DATOS-PROD'!AG386="SI",VLOOKUP('1.DATOS-PROD'!AG$2,'1.PUNTOS'!$A$1:$B$63,2,0),0)</f>
        <v>0</v>
      </c>
      <c r="Y385" s="138">
        <f>IF('1.DATOS-PROD'!AH386="SI",VLOOKUP('1.DATOS-PROD'!AH$2,'1.PUNTOS'!$A$1:$B$63,2,0),0)</f>
        <v>0</v>
      </c>
      <c r="Z385" s="138">
        <f>IF('1.DATOS-PROD'!AI386="SI",VLOOKUP('1.DATOS-PROD'!AI$2,'1.PUNTOS'!$A$1:$B$63,2,0),0)</f>
        <v>0</v>
      </c>
      <c r="AA385" s="138">
        <f>IF('1.DATOS-PROD'!AJ386="SI",VLOOKUP('1.DATOS-PROD'!AJ$2,'1.PUNTOS'!$A$1:$B$63,2,0),0)</f>
        <v>0</v>
      </c>
      <c r="AB385" s="138">
        <f>IF('1.DATOS-PROD'!AK386="SI",VLOOKUP('1.DATOS-PROD'!AK$2,'1.PUNTOS'!$A$1:$B$63,2,0),0)</f>
        <v>0</v>
      </c>
      <c r="AC385" s="138">
        <f>IF('1.DATOS-PROD'!AL386="SI",VLOOKUP('1.DATOS-PROD'!AL$2,'1.PUNTOS'!$A$1:$B$63,2,0),0)</f>
        <v>0</v>
      </c>
      <c r="AD385" s="138">
        <f>IF('1.DATOS-PROD'!AM386="SI",VLOOKUP('1.DATOS-PROD'!AM$2,'1.PUNTOS'!$A$1:$B$63,2,0),0)</f>
        <v>0</v>
      </c>
      <c r="AE385" s="138">
        <f>IF('1.DATOS-PROD'!AN386="SI",VLOOKUP('1.DATOS-PROD'!AN$2,'1.PUNTOS'!$A$1:$B$63,2,0),0)</f>
        <v>0</v>
      </c>
      <c r="AF385" s="138">
        <f>IF('1.DATOS-PROD'!AO386="SI",VLOOKUP('1.DATOS-PROD'!AO$2,'1.PUNTOS'!$A$1:$B$63,2,0),0)</f>
        <v>0</v>
      </c>
      <c r="AG385" s="138">
        <f>IF('1.DATOS-PROD'!AP386="SI",VLOOKUP('1.DATOS-PROD'!AP$2,'1.PUNTOS'!$A$1:$B$63,2,0),0)</f>
        <v>0</v>
      </c>
      <c r="AH385" s="138">
        <f>IF('1.DATOS-PROD'!AQ386="SI",VLOOKUP('1.DATOS-PROD'!AQ$2,'1.PUNTOS'!$A$1:$B$63,2,0),0)</f>
        <v>0</v>
      </c>
      <c r="AI385" s="138">
        <f>IF('1.DATOS-PROD'!AR386="SI",VLOOKUP('1.DATOS-PROD'!AR$2,'1.PUNTOS'!$A$1:$B$63,2,0),0)</f>
        <v>0</v>
      </c>
      <c r="AJ385" s="138">
        <f>IF('1.DATOS-PROD'!AS386="SI",VLOOKUP('1.DATOS-PROD'!AS$2,'1.PUNTOS'!$A$1:$B$63,2,0),0)</f>
        <v>0</v>
      </c>
      <c r="AK385" s="138">
        <f>IF('1.DATOS-PROD'!AT386="SI",VLOOKUP('1.DATOS-PROD'!AT$2,'1.PUNTOS'!$A$1:$B$63,2,0),0)</f>
        <v>0</v>
      </c>
      <c r="AL385" s="138">
        <f>IF('1.DATOS-PROD'!AU386="SI",VLOOKUP('1.DATOS-PROD'!AU$2,'1.PUNTOS'!$A$1:$B$63,2,0),0)</f>
        <v>0</v>
      </c>
      <c r="AM385" s="138">
        <f>IF('1.DATOS-PROD'!AV386="SI",VLOOKUP('1.DATOS-PROD'!AV$2,'1.PUNTOS'!$A$1:$B$63,2,0),0)</f>
        <v>0</v>
      </c>
      <c r="AN385" s="138">
        <f>IF('1.DATOS-PROD'!AW386="SI",VLOOKUP('1.DATOS-PROD'!AW$2,'1.PUNTOS'!$A$1:$B$63,2,0),0)</f>
        <v>0</v>
      </c>
      <c r="AO385" s="138">
        <f>IF('1.DATOS-PROD'!AX386="SI",VLOOKUP('1.DATOS-PROD'!AX$2,'1.PUNTOS'!$A$1:$B$63,2,0),0)</f>
        <v>0</v>
      </c>
      <c r="AP385" s="138">
        <f>IF('1.DATOS-PROD'!AY386="SI",VLOOKUP('1.DATOS-PROD'!AY$2,'1.PUNTOS'!$A$1:$B$63,2,0),0)</f>
        <v>0</v>
      </c>
      <c r="AQ385" s="138">
        <f>IF('1.DATOS-PROD'!AZ386="SI",VLOOKUP('1.DATOS-PROD'!AZ$2,'1.PUNTOS'!$A$1:$B$63,2,0),0)</f>
        <v>0</v>
      </c>
      <c r="AR385" s="138">
        <f>IF('1.DATOS-PROD'!BA386="SI",VLOOKUP('1.DATOS-PROD'!BA$2,'1.PUNTOS'!$A$1:$B$63,2,0),0)</f>
        <v>0</v>
      </c>
      <c r="AS385" s="138">
        <f>IF('1.DATOS-PROD'!BB386="SI",VLOOKUP('1.DATOS-PROD'!BB$2,'1.PUNTOS'!$A$1:$B$63,2,0),0)</f>
        <v>0</v>
      </c>
      <c r="AT385" s="138">
        <f>IF('1.DATOS-PROD'!BC386="SI",VLOOKUP('1.DATOS-PROD'!BC$2,'1.PUNTOS'!$A$1:$B$63,2,0),0)</f>
        <v>0</v>
      </c>
      <c r="AU385" s="138">
        <f>IF('1.DATOS-PROD'!BD386="SI",VLOOKUP('1.DATOS-PROD'!BD$2,'1.PUNTOS'!$A$1:$B$63,2,0),0)</f>
        <v>0</v>
      </c>
      <c r="AV385" s="138">
        <f>IF('1.DATOS-PROD'!BE386="SI",VLOOKUP('1.DATOS-PROD'!BE$2,'1.PUNTOS'!$A$1:$B$63,2,0),0)</f>
        <v>0</v>
      </c>
      <c r="AW385" s="138">
        <f>IF('1.DATOS-PROD'!BF386="SI",VLOOKUP('1.DATOS-PROD'!BF$2,'1.PUNTOS'!$A$1:$B$63,2,0),0)</f>
        <v>0</v>
      </c>
      <c r="AX385" s="138">
        <f>IF('1.DATOS-PROD'!BG386="SI",VLOOKUP('1.DATOS-PROD'!BG$2,'1.PUNTOS'!$A$1:$B$63,2,0),0)</f>
        <v>0</v>
      </c>
      <c r="AY385" s="138">
        <f>IF('1.DATOS-PROD'!BH386="SI",VLOOKUP('1.DATOS-PROD'!BH$2,'1.PUNTOS'!$A$1:$B$63,2,0),0)</f>
        <v>0</v>
      </c>
      <c r="AZ385" s="138">
        <f>IF('1.DATOS-PROD'!BI386="SI",VLOOKUP('1.DATOS-PROD'!BI$2,'1.PUNTOS'!$A$1:$B$63,2,0),0)</f>
        <v>0</v>
      </c>
      <c r="BA385" s="138">
        <f>IF('1.DATOS-PROD'!BJ386="SI",VLOOKUP('1.DATOS-PROD'!BJ$2,'1.PUNTOS'!$A$1:$B$63,2,0),0)</f>
        <v>0</v>
      </c>
      <c r="BB385" s="138">
        <f>IF('1.DATOS-PROD'!BK386="SI",VLOOKUP('1.DATOS-PROD'!BK$2,'1.PUNTOS'!$A$1:$B$63,2,0),0)</f>
        <v>0</v>
      </c>
      <c r="BC385" s="138">
        <f>IF('1.DATOS-PROD'!BL386="SI",VLOOKUP('1.DATOS-PROD'!BL$2,'1.PUNTOS'!$A$1:$B$63,2,0),0)</f>
        <v>0</v>
      </c>
      <c r="BD385" s="138">
        <f>IF('1.DATOS-PROD'!BM386="SI",VLOOKUP('1.DATOS-PROD'!BM$2,'1.PUNTOS'!$A$1:$B$63,2,0),0)</f>
        <v>0</v>
      </c>
      <c r="BE385" s="138">
        <f>IF('1.DATOS-PROD'!BN386="SI",VLOOKUP('1.DATOS-PROD'!BN$2,'1.PUNTOS'!$A$1:$B$63,2,0),0)</f>
        <v>0</v>
      </c>
      <c r="BF385" s="138">
        <f>IF('1.DATOS-PROD'!BO386="SI",VLOOKUP('1.DATOS-PROD'!BO$2,'1.PUNTOS'!$A$1:$B$63,2,0),0)</f>
        <v>0</v>
      </c>
      <c r="BG385" s="138">
        <f>IF('1.DATOS-PROD'!BP386="SI",VLOOKUP('1.DATOS-PROD'!BP$2,'1.PUNTOS'!$A$1:$B$63,2,0),0)</f>
        <v>0</v>
      </c>
      <c r="BH385" s="138">
        <f>IF('1.DATOS-PROD'!BQ386="SI",VLOOKUP('1.DATOS-PROD'!BQ$2,'1.PUNTOS'!$A$1:$B$63,2,0),0)</f>
        <v>0</v>
      </c>
      <c r="BI385" s="138">
        <f>IF('1.DATOS-PROD'!BR386="SI",VLOOKUP('1.DATOS-PROD'!BR$2,'1.PUNTOS'!$A$1:$B$63,2,0),0)</f>
        <v>0</v>
      </c>
      <c r="BJ385" s="138">
        <f>IF('1.DATOS-PROD'!BS386="SI",VLOOKUP('1.DATOS-PROD'!BS$2,'1.PUNTOS'!$A$1:$B$63,2,0),0)</f>
        <v>0</v>
      </c>
      <c r="BK385" s="138">
        <f>IF('1.DATOS-PROD'!BT386="SI",VLOOKUP('1.DATOS-PROD'!BT$2,'1.PUNTOS'!$A$1:$B$63,2,0),0)</f>
        <v>0</v>
      </c>
    </row>
    <row r="386" spans="1:63" x14ac:dyDescent="0.25">
      <c r="A386">
        <f>'0.Consolidado general'!$A387</f>
        <v>0</v>
      </c>
      <c r="B386" s="138">
        <f>IF('1.DATOS-PROD'!K387="SI",VLOOKUP('1.DATOS-PROD'!K$2,'1.PUNTOS'!$A$1:$B$63,2,0),0)</f>
        <v>0</v>
      </c>
      <c r="C386" s="138">
        <f>IF('1.DATOS-PROD'!L387="SI",VLOOKUP('1.DATOS-PROD'!L$2,'1.PUNTOS'!$A$1:$B$63,2,0),0)</f>
        <v>0</v>
      </c>
      <c r="D386" s="138">
        <f>IF('1.DATOS-PROD'!M387="SI",VLOOKUP('1.DATOS-PROD'!M$2,'1.PUNTOS'!$A$1:$B$63,2,0),0)</f>
        <v>0</v>
      </c>
      <c r="E386" s="138">
        <f>IF('1.DATOS-PROD'!N387="SI",VLOOKUP('1.DATOS-PROD'!N$2,'1.PUNTOS'!$A$1:$B$63,2,0),0)</f>
        <v>0</v>
      </c>
      <c r="F386" s="138">
        <f>IF('1.DATOS-PROD'!O387="SI",VLOOKUP('1.DATOS-PROD'!O$2,'1.PUNTOS'!$A$1:$B$63,2,0),0)</f>
        <v>0</v>
      </c>
      <c r="G386" s="138">
        <f>IF('1.DATOS-PROD'!P387="SI",VLOOKUP('1.DATOS-PROD'!P$2,'1.PUNTOS'!$A$1:$B$63,2,0),0)</f>
        <v>0</v>
      </c>
      <c r="H386" s="138">
        <f>IF('1.DATOS-PROD'!Q387="SI",VLOOKUP('1.DATOS-PROD'!Q$2,'1.PUNTOS'!$A$1:$B$63,2,0),0)</f>
        <v>0</v>
      </c>
      <c r="I386" s="138">
        <f>IF('1.DATOS-PROD'!R387="SI",VLOOKUP('1.DATOS-PROD'!R$2,'1.PUNTOS'!$A$1:$B$63,2,0),0)</f>
        <v>0</v>
      </c>
      <c r="J386" s="138">
        <f>IF('1.DATOS-PROD'!S387="SI",VLOOKUP('1.DATOS-PROD'!S$2,'1.PUNTOS'!$A$1:$B$63,2,0),0)</f>
        <v>0</v>
      </c>
      <c r="K386" s="138">
        <f>IF('1.DATOS-PROD'!T387="SI",VLOOKUP('1.DATOS-PROD'!T$2,'1.PUNTOS'!$A$1:$B$63,2,0),0)</f>
        <v>0</v>
      </c>
      <c r="L386" s="138">
        <f>IF('1.DATOS-PROD'!U387="SI",VLOOKUP('1.DATOS-PROD'!U$2,'1.PUNTOS'!$A$1:$B$63,2,0),0)</f>
        <v>0</v>
      </c>
      <c r="M386" s="138">
        <f>IF('1.DATOS-PROD'!V387="SI",VLOOKUP('1.DATOS-PROD'!V$2,'1.PUNTOS'!$A$1:$B$63,2,0),0)</f>
        <v>0</v>
      </c>
      <c r="N386" s="138">
        <f>IF('1.DATOS-PROD'!W387="SI",VLOOKUP('1.DATOS-PROD'!W$2,'1.PUNTOS'!$A$1:$B$63,2,0),0)</f>
        <v>0</v>
      </c>
      <c r="O386" s="138">
        <f>IF('1.DATOS-PROD'!X387="SI",VLOOKUP('1.DATOS-PROD'!X$2,'1.PUNTOS'!$A$1:$B$63,2,0),0)</f>
        <v>0</v>
      </c>
      <c r="P386" s="138">
        <f>IF('1.DATOS-PROD'!Y387="SI",VLOOKUP('1.DATOS-PROD'!Y$2,'1.PUNTOS'!$A$1:$B$63,2,0),0)</f>
        <v>0</v>
      </c>
      <c r="Q386" s="138">
        <f>IF('1.DATOS-PROD'!Z387="SI",VLOOKUP('1.DATOS-PROD'!Z$2,'1.PUNTOS'!$A$1:$B$63,2,0),0)</f>
        <v>0</v>
      </c>
      <c r="R386" s="138">
        <f>IF('1.DATOS-PROD'!AA387="SI",VLOOKUP('1.DATOS-PROD'!AA$2,'1.PUNTOS'!$A$1:$B$63,2,0),0)</f>
        <v>0</v>
      </c>
      <c r="S386" s="138">
        <f>IF('1.DATOS-PROD'!AB387="SI",VLOOKUP('1.DATOS-PROD'!AB$2,'1.PUNTOS'!$A$1:$B$63,2,0),0)</f>
        <v>0</v>
      </c>
      <c r="T386" s="138">
        <f>IF('1.DATOS-PROD'!AC387="SI",VLOOKUP('1.DATOS-PROD'!AC$2,'1.PUNTOS'!$A$1:$B$63,2,0),0)</f>
        <v>0</v>
      </c>
      <c r="U386" s="138">
        <f>IF('1.DATOS-PROD'!AD387="SI",VLOOKUP('1.DATOS-PROD'!AD$2,'1.PUNTOS'!$A$1:$B$63,2,0),0)</f>
        <v>0</v>
      </c>
      <c r="V386" s="138">
        <f>IF('1.DATOS-PROD'!AE387="SI",VLOOKUP('1.DATOS-PROD'!AE$2,'1.PUNTOS'!$A$1:$B$63,2,0),0)</f>
        <v>0</v>
      </c>
      <c r="W386" s="138">
        <f>IF('1.DATOS-PROD'!AF387="SI",VLOOKUP('1.DATOS-PROD'!AF$2,'1.PUNTOS'!$A$1:$B$63,2,0),0)</f>
        <v>0</v>
      </c>
      <c r="X386" s="138">
        <f>IF('1.DATOS-PROD'!AG387="SI",VLOOKUP('1.DATOS-PROD'!AG$2,'1.PUNTOS'!$A$1:$B$63,2,0),0)</f>
        <v>0</v>
      </c>
      <c r="Y386" s="138">
        <f>IF('1.DATOS-PROD'!AH387="SI",VLOOKUP('1.DATOS-PROD'!AH$2,'1.PUNTOS'!$A$1:$B$63,2,0),0)</f>
        <v>0</v>
      </c>
      <c r="Z386" s="138">
        <f>IF('1.DATOS-PROD'!AI387="SI",VLOOKUP('1.DATOS-PROD'!AI$2,'1.PUNTOS'!$A$1:$B$63,2,0),0)</f>
        <v>0</v>
      </c>
      <c r="AA386" s="138">
        <f>IF('1.DATOS-PROD'!AJ387="SI",VLOOKUP('1.DATOS-PROD'!AJ$2,'1.PUNTOS'!$A$1:$B$63,2,0),0)</f>
        <v>0</v>
      </c>
      <c r="AB386" s="138">
        <f>IF('1.DATOS-PROD'!AK387="SI",VLOOKUP('1.DATOS-PROD'!AK$2,'1.PUNTOS'!$A$1:$B$63,2,0),0)</f>
        <v>0</v>
      </c>
      <c r="AC386" s="138">
        <f>IF('1.DATOS-PROD'!AL387="SI",VLOOKUP('1.DATOS-PROD'!AL$2,'1.PUNTOS'!$A$1:$B$63,2,0),0)</f>
        <v>0</v>
      </c>
      <c r="AD386" s="138">
        <f>IF('1.DATOS-PROD'!AM387="SI",VLOOKUP('1.DATOS-PROD'!AM$2,'1.PUNTOS'!$A$1:$B$63,2,0),0)</f>
        <v>0</v>
      </c>
      <c r="AE386" s="138">
        <f>IF('1.DATOS-PROD'!AN387="SI",VLOOKUP('1.DATOS-PROD'!AN$2,'1.PUNTOS'!$A$1:$B$63,2,0),0)</f>
        <v>0</v>
      </c>
      <c r="AF386" s="138">
        <f>IF('1.DATOS-PROD'!AO387="SI",VLOOKUP('1.DATOS-PROD'!AO$2,'1.PUNTOS'!$A$1:$B$63,2,0),0)</f>
        <v>0</v>
      </c>
      <c r="AG386" s="138">
        <f>IF('1.DATOS-PROD'!AP387="SI",VLOOKUP('1.DATOS-PROD'!AP$2,'1.PUNTOS'!$A$1:$B$63,2,0),0)</f>
        <v>0</v>
      </c>
      <c r="AH386" s="138">
        <f>IF('1.DATOS-PROD'!AQ387="SI",VLOOKUP('1.DATOS-PROD'!AQ$2,'1.PUNTOS'!$A$1:$B$63,2,0),0)</f>
        <v>0</v>
      </c>
      <c r="AI386" s="138">
        <f>IF('1.DATOS-PROD'!AR387="SI",VLOOKUP('1.DATOS-PROD'!AR$2,'1.PUNTOS'!$A$1:$B$63,2,0),0)</f>
        <v>0</v>
      </c>
      <c r="AJ386" s="138">
        <f>IF('1.DATOS-PROD'!AS387="SI",VLOOKUP('1.DATOS-PROD'!AS$2,'1.PUNTOS'!$A$1:$B$63,2,0),0)</f>
        <v>0</v>
      </c>
      <c r="AK386" s="138">
        <f>IF('1.DATOS-PROD'!AT387="SI",VLOOKUP('1.DATOS-PROD'!AT$2,'1.PUNTOS'!$A$1:$B$63,2,0),0)</f>
        <v>0</v>
      </c>
      <c r="AL386" s="138">
        <f>IF('1.DATOS-PROD'!AU387="SI",VLOOKUP('1.DATOS-PROD'!AU$2,'1.PUNTOS'!$A$1:$B$63,2,0),0)</f>
        <v>0</v>
      </c>
      <c r="AM386" s="138">
        <f>IF('1.DATOS-PROD'!AV387="SI",VLOOKUP('1.DATOS-PROD'!AV$2,'1.PUNTOS'!$A$1:$B$63,2,0),0)</f>
        <v>0</v>
      </c>
      <c r="AN386" s="138">
        <f>IF('1.DATOS-PROD'!AW387="SI",VLOOKUP('1.DATOS-PROD'!AW$2,'1.PUNTOS'!$A$1:$B$63,2,0),0)</f>
        <v>0</v>
      </c>
      <c r="AO386" s="138">
        <f>IF('1.DATOS-PROD'!AX387="SI",VLOOKUP('1.DATOS-PROD'!AX$2,'1.PUNTOS'!$A$1:$B$63,2,0),0)</f>
        <v>0</v>
      </c>
      <c r="AP386" s="138">
        <f>IF('1.DATOS-PROD'!AY387="SI",VLOOKUP('1.DATOS-PROD'!AY$2,'1.PUNTOS'!$A$1:$B$63,2,0),0)</f>
        <v>0</v>
      </c>
      <c r="AQ386" s="138">
        <f>IF('1.DATOS-PROD'!AZ387="SI",VLOOKUP('1.DATOS-PROD'!AZ$2,'1.PUNTOS'!$A$1:$B$63,2,0),0)</f>
        <v>0</v>
      </c>
      <c r="AR386" s="138">
        <f>IF('1.DATOS-PROD'!BA387="SI",VLOOKUP('1.DATOS-PROD'!BA$2,'1.PUNTOS'!$A$1:$B$63,2,0),0)</f>
        <v>0</v>
      </c>
      <c r="AS386" s="138">
        <f>IF('1.DATOS-PROD'!BB387="SI",VLOOKUP('1.DATOS-PROD'!BB$2,'1.PUNTOS'!$A$1:$B$63,2,0),0)</f>
        <v>0</v>
      </c>
      <c r="AT386" s="138">
        <f>IF('1.DATOS-PROD'!BC387="SI",VLOOKUP('1.DATOS-PROD'!BC$2,'1.PUNTOS'!$A$1:$B$63,2,0),0)</f>
        <v>0</v>
      </c>
      <c r="AU386" s="138">
        <f>IF('1.DATOS-PROD'!BD387="SI",VLOOKUP('1.DATOS-PROD'!BD$2,'1.PUNTOS'!$A$1:$B$63,2,0),0)</f>
        <v>0</v>
      </c>
      <c r="AV386" s="138">
        <f>IF('1.DATOS-PROD'!BE387="SI",VLOOKUP('1.DATOS-PROD'!BE$2,'1.PUNTOS'!$A$1:$B$63,2,0),0)</f>
        <v>0</v>
      </c>
      <c r="AW386" s="138">
        <f>IF('1.DATOS-PROD'!BF387="SI",VLOOKUP('1.DATOS-PROD'!BF$2,'1.PUNTOS'!$A$1:$B$63,2,0),0)</f>
        <v>0</v>
      </c>
      <c r="AX386" s="138">
        <f>IF('1.DATOS-PROD'!BG387="SI",VLOOKUP('1.DATOS-PROD'!BG$2,'1.PUNTOS'!$A$1:$B$63,2,0),0)</f>
        <v>0</v>
      </c>
      <c r="AY386" s="138">
        <f>IF('1.DATOS-PROD'!BH387="SI",VLOOKUP('1.DATOS-PROD'!BH$2,'1.PUNTOS'!$A$1:$B$63,2,0),0)</f>
        <v>0</v>
      </c>
      <c r="AZ386" s="138">
        <f>IF('1.DATOS-PROD'!BI387="SI",VLOOKUP('1.DATOS-PROD'!BI$2,'1.PUNTOS'!$A$1:$B$63,2,0),0)</f>
        <v>0</v>
      </c>
      <c r="BA386" s="138">
        <f>IF('1.DATOS-PROD'!BJ387="SI",VLOOKUP('1.DATOS-PROD'!BJ$2,'1.PUNTOS'!$A$1:$B$63,2,0),0)</f>
        <v>0</v>
      </c>
      <c r="BB386" s="138">
        <f>IF('1.DATOS-PROD'!BK387="SI",VLOOKUP('1.DATOS-PROD'!BK$2,'1.PUNTOS'!$A$1:$B$63,2,0),0)</f>
        <v>0</v>
      </c>
      <c r="BC386" s="138">
        <f>IF('1.DATOS-PROD'!BL387="SI",VLOOKUP('1.DATOS-PROD'!BL$2,'1.PUNTOS'!$A$1:$B$63,2,0),0)</f>
        <v>0</v>
      </c>
      <c r="BD386" s="138">
        <f>IF('1.DATOS-PROD'!BM387="SI",VLOOKUP('1.DATOS-PROD'!BM$2,'1.PUNTOS'!$A$1:$B$63,2,0),0)</f>
        <v>0</v>
      </c>
      <c r="BE386" s="138">
        <f>IF('1.DATOS-PROD'!BN387="SI",VLOOKUP('1.DATOS-PROD'!BN$2,'1.PUNTOS'!$A$1:$B$63,2,0),0)</f>
        <v>0</v>
      </c>
      <c r="BF386" s="138">
        <f>IF('1.DATOS-PROD'!BO387="SI",VLOOKUP('1.DATOS-PROD'!BO$2,'1.PUNTOS'!$A$1:$B$63,2,0),0)</f>
        <v>0</v>
      </c>
      <c r="BG386" s="138">
        <f>IF('1.DATOS-PROD'!BP387="SI",VLOOKUP('1.DATOS-PROD'!BP$2,'1.PUNTOS'!$A$1:$B$63,2,0),0)</f>
        <v>0</v>
      </c>
      <c r="BH386" s="138">
        <f>IF('1.DATOS-PROD'!BQ387="SI",VLOOKUP('1.DATOS-PROD'!BQ$2,'1.PUNTOS'!$A$1:$B$63,2,0),0)</f>
        <v>0</v>
      </c>
      <c r="BI386" s="138">
        <f>IF('1.DATOS-PROD'!BR387="SI",VLOOKUP('1.DATOS-PROD'!BR$2,'1.PUNTOS'!$A$1:$B$63,2,0),0)</f>
        <v>0</v>
      </c>
      <c r="BJ386" s="138">
        <f>IF('1.DATOS-PROD'!BS387="SI",VLOOKUP('1.DATOS-PROD'!BS$2,'1.PUNTOS'!$A$1:$B$63,2,0),0)</f>
        <v>0</v>
      </c>
      <c r="BK386" s="138">
        <f>IF('1.DATOS-PROD'!BT387="SI",VLOOKUP('1.DATOS-PROD'!BT$2,'1.PUNTOS'!$A$1:$B$63,2,0),0)</f>
        <v>0</v>
      </c>
    </row>
    <row r="387" spans="1:63" x14ac:dyDescent="0.25">
      <c r="A387">
        <f>'0.Consolidado general'!$A388</f>
        <v>0</v>
      </c>
      <c r="B387" s="138">
        <f>IF('1.DATOS-PROD'!K388="SI",VLOOKUP('1.DATOS-PROD'!K$2,'1.PUNTOS'!$A$1:$B$63,2,0),0)</f>
        <v>0</v>
      </c>
      <c r="C387" s="138">
        <f>IF('1.DATOS-PROD'!L388="SI",VLOOKUP('1.DATOS-PROD'!L$2,'1.PUNTOS'!$A$1:$B$63,2,0),0)</f>
        <v>0</v>
      </c>
      <c r="D387" s="138">
        <f>IF('1.DATOS-PROD'!M388="SI",VLOOKUP('1.DATOS-PROD'!M$2,'1.PUNTOS'!$A$1:$B$63,2,0),0)</f>
        <v>0</v>
      </c>
      <c r="E387" s="138">
        <f>IF('1.DATOS-PROD'!N388="SI",VLOOKUP('1.DATOS-PROD'!N$2,'1.PUNTOS'!$A$1:$B$63,2,0),0)</f>
        <v>0</v>
      </c>
      <c r="F387" s="138">
        <f>IF('1.DATOS-PROD'!O388="SI",VLOOKUP('1.DATOS-PROD'!O$2,'1.PUNTOS'!$A$1:$B$63,2,0),0)</f>
        <v>0</v>
      </c>
      <c r="G387" s="138">
        <f>IF('1.DATOS-PROD'!P388="SI",VLOOKUP('1.DATOS-PROD'!P$2,'1.PUNTOS'!$A$1:$B$63,2,0),0)</f>
        <v>0</v>
      </c>
      <c r="H387" s="138">
        <f>IF('1.DATOS-PROD'!Q388="SI",VLOOKUP('1.DATOS-PROD'!Q$2,'1.PUNTOS'!$A$1:$B$63,2,0),0)</f>
        <v>0</v>
      </c>
      <c r="I387" s="138">
        <f>IF('1.DATOS-PROD'!R388="SI",VLOOKUP('1.DATOS-PROD'!R$2,'1.PUNTOS'!$A$1:$B$63,2,0),0)</f>
        <v>0</v>
      </c>
      <c r="J387" s="138">
        <f>IF('1.DATOS-PROD'!S388="SI",VLOOKUP('1.DATOS-PROD'!S$2,'1.PUNTOS'!$A$1:$B$63,2,0),0)</f>
        <v>0</v>
      </c>
      <c r="K387" s="138">
        <f>IF('1.DATOS-PROD'!T388="SI",VLOOKUP('1.DATOS-PROD'!T$2,'1.PUNTOS'!$A$1:$B$63,2,0),0)</f>
        <v>0</v>
      </c>
      <c r="L387" s="138">
        <f>IF('1.DATOS-PROD'!U388="SI",VLOOKUP('1.DATOS-PROD'!U$2,'1.PUNTOS'!$A$1:$B$63,2,0),0)</f>
        <v>0</v>
      </c>
      <c r="M387" s="138">
        <f>IF('1.DATOS-PROD'!V388="SI",VLOOKUP('1.DATOS-PROD'!V$2,'1.PUNTOS'!$A$1:$B$63,2,0),0)</f>
        <v>0</v>
      </c>
      <c r="N387" s="138">
        <f>IF('1.DATOS-PROD'!W388="SI",VLOOKUP('1.DATOS-PROD'!W$2,'1.PUNTOS'!$A$1:$B$63,2,0),0)</f>
        <v>0</v>
      </c>
      <c r="O387" s="138">
        <f>IF('1.DATOS-PROD'!X388="SI",VLOOKUP('1.DATOS-PROD'!X$2,'1.PUNTOS'!$A$1:$B$63,2,0),0)</f>
        <v>0</v>
      </c>
      <c r="P387" s="138">
        <f>IF('1.DATOS-PROD'!Y388="SI",VLOOKUP('1.DATOS-PROD'!Y$2,'1.PUNTOS'!$A$1:$B$63,2,0),0)</f>
        <v>0</v>
      </c>
      <c r="Q387" s="138">
        <f>IF('1.DATOS-PROD'!Z388="SI",VLOOKUP('1.DATOS-PROD'!Z$2,'1.PUNTOS'!$A$1:$B$63,2,0),0)</f>
        <v>0</v>
      </c>
      <c r="R387" s="138">
        <f>IF('1.DATOS-PROD'!AA388="SI",VLOOKUP('1.DATOS-PROD'!AA$2,'1.PUNTOS'!$A$1:$B$63,2,0),0)</f>
        <v>0</v>
      </c>
      <c r="S387" s="138">
        <f>IF('1.DATOS-PROD'!AB388="SI",VLOOKUP('1.DATOS-PROD'!AB$2,'1.PUNTOS'!$A$1:$B$63,2,0),0)</f>
        <v>0</v>
      </c>
      <c r="T387" s="138">
        <f>IF('1.DATOS-PROD'!AC388="SI",VLOOKUP('1.DATOS-PROD'!AC$2,'1.PUNTOS'!$A$1:$B$63,2,0),0)</f>
        <v>0</v>
      </c>
      <c r="U387" s="138">
        <f>IF('1.DATOS-PROD'!AD388="SI",VLOOKUP('1.DATOS-PROD'!AD$2,'1.PUNTOS'!$A$1:$B$63,2,0),0)</f>
        <v>0</v>
      </c>
      <c r="V387" s="138">
        <f>IF('1.DATOS-PROD'!AE388="SI",VLOOKUP('1.DATOS-PROD'!AE$2,'1.PUNTOS'!$A$1:$B$63,2,0),0)</f>
        <v>0</v>
      </c>
      <c r="W387" s="138">
        <f>IF('1.DATOS-PROD'!AF388="SI",VLOOKUP('1.DATOS-PROD'!AF$2,'1.PUNTOS'!$A$1:$B$63,2,0),0)</f>
        <v>0</v>
      </c>
      <c r="X387" s="138">
        <f>IF('1.DATOS-PROD'!AG388="SI",VLOOKUP('1.DATOS-PROD'!AG$2,'1.PUNTOS'!$A$1:$B$63,2,0),0)</f>
        <v>0</v>
      </c>
      <c r="Y387" s="138">
        <f>IF('1.DATOS-PROD'!AH388="SI",VLOOKUP('1.DATOS-PROD'!AH$2,'1.PUNTOS'!$A$1:$B$63,2,0),0)</f>
        <v>0</v>
      </c>
      <c r="Z387" s="138">
        <f>IF('1.DATOS-PROD'!AI388="SI",VLOOKUP('1.DATOS-PROD'!AI$2,'1.PUNTOS'!$A$1:$B$63,2,0),0)</f>
        <v>0</v>
      </c>
      <c r="AA387" s="138">
        <f>IF('1.DATOS-PROD'!AJ388="SI",VLOOKUP('1.DATOS-PROD'!AJ$2,'1.PUNTOS'!$A$1:$B$63,2,0),0)</f>
        <v>0</v>
      </c>
      <c r="AB387" s="138">
        <f>IF('1.DATOS-PROD'!AK388="SI",VLOOKUP('1.DATOS-PROD'!AK$2,'1.PUNTOS'!$A$1:$B$63,2,0),0)</f>
        <v>0</v>
      </c>
      <c r="AC387" s="138">
        <f>IF('1.DATOS-PROD'!AL388="SI",VLOOKUP('1.DATOS-PROD'!AL$2,'1.PUNTOS'!$A$1:$B$63,2,0),0)</f>
        <v>0</v>
      </c>
      <c r="AD387" s="138">
        <f>IF('1.DATOS-PROD'!AM388="SI",VLOOKUP('1.DATOS-PROD'!AM$2,'1.PUNTOS'!$A$1:$B$63,2,0),0)</f>
        <v>0</v>
      </c>
      <c r="AE387" s="138">
        <f>IF('1.DATOS-PROD'!AN388="SI",VLOOKUP('1.DATOS-PROD'!AN$2,'1.PUNTOS'!$A$1:$B$63,2,0),0)</f>
        <v>0</v>
      </c>
      <c r="AF387" s="138">
        <f>IF('1.DATOS-PROD'!AO388="SI",VLOOKUP('1.DATOS-PROD'!AO$2,'1.PUNTOS'!$A$1:$B$63,2,0),0)</f>
        <v>0</v>
      </c>
      <c r="AG387" s="138">
        <f>IF('1.DATOS-PROD'!AP388="SI",VLOOKUP('1.DATOS-PROD'!AP$2,'1.PUNTOS'!$A$1:$B$63,2,0),0)</f>
        <v>0</v>
      </c>
      <c r="AH387" s="138">
        <f>IF('1.DATOS-PROD'!AQ388="SI",VLOOKUP('1.DATOS-PROD'!AQ$2,'1.PUNTOS'!$A$1:$B$63,2,0),0)</f>
        <v>0</v>
      </c>
      <c r="AI387" s="138">
        <f>IF('1.DATOS-PROD'!AR388="SI",VLOOKUP('1.DATOS-PROD'!AR$2,'1.PUNTOS'!$A$1:$B$63,2,0),0)</f>
        <v>0</v>
      </c>
      <c r="AJ387" s="138">
        <f>IF('1.DATOS-PROD'!AS388="SI",VLOOKUP('1.DATOS-PROD'!AS$2,'1.PUNTOS'!$A$1:$B$63,2,0),0)</f>
        <v>0</v>
      </c>
      <c r="AK387" s="138">
        <f>IF('1.DATOS-PROD'!AT388="SI",VLOOKUP('1.DATOS-PROD'!AT$2,'1.PUNTOS'!$A$1:$B$63,2,0),0)</f>
        <v>0</v>
      </c>
      <c r="AL387" s="138">
        <f>IF('1.DATOS-PROD'!AU388="SI",VLOOKUP('1.DATOS-PROD'!AU$2,'1.PUNTOS'!$A$1:$B$63,2,0),0)</f>
        <v>0</v>
      </c>
      <c r="AM387" s="138">
        <f>IF('1.DATOS-PROD'!AV388="SI",VLOOKUP('1.DATOS-PROD'!AV$2,'1.PUNTOS'!$A$1:$B$63,2,0),0)</f>
        <v>0</v>
      </c>
      <c r="AN387" s="138">
        <f>IF('1.DATOS-PROD'!AW388="SI",VLOOKUP('1.DATOS-PROD'!AW$2,'1.PUNTOS'!$A$1:$B$63,2,0),0)</f>
        <v>0</v>
      </c>
      <c r="AO387" s="138">
        <f>IF('1.DATOS-PROD'!AX388="SI",VLOOKUP('1.DATOS-PROD'!AX$2,'1.PUNTOS'!$A$1:$B$63,2,0),0)</f>
        <v>0</v>
      </c>
      <c r="AP387" s="138">
        <f>IF('1.DATOS-PROD'!AY388="SI",VLOOKUP('1.DATOS-PROD'!AY$2,'1.PUNTOS'!$A$1:$B$63,2,0),0)</f>
        <v>0</v>
      </c>
      <c r="AQ387" s="138">
        <f>IF('1.DATOS-PROD'!AZ388="SI",VLOOKUP('1.DATOS-PROD'!AZ$2,'1.PUNTOS'!$A$1:$B$63,2,0),0)</f>
        <v>0</v>
      </c>
      <c r="AR387" s="138">
        <f>IF('1.DATOS-PROD'!BA388="SI",VLOOKUP('1.DATOS-PROD'!BA$2,'1.PUNTOS'!$A$1:$B$63,2,0),0)</f>
        <v>0</v>
      </c>
      <c r="AS387" s="138">
        <f>IF('1.DATOS-PROD'!BB388="SI",VLOOKUP('1.DATOS-PROD'!BB$2,'1.PUNTOS'!$A$1:$B$63,2,0),0)</f>
        <v>0</v>
      </c>
      <c r="AT387" s="138">
        <f>IF('1.DATOS-PROD'!BC388="SI",VLOOKUP('1.DATOS-PROD'!BC$2,'1.PUNTOS'!$A$1:$B$63,2,0),0)</f>
        <v>0</v>
      </c>
      <c r="AU387" s="138">
        <f>IF('1.DATOS-PROD'!BD388="SI",VLOOKUP('1.DATOS-PROD'!BD$2,'1.PUNTOS'!$A$1:$B$63,2,0),0)</f>
        <v>0</v>
      </c>
      <c r="AV387" s="138">
        <f>IF('1.DATOS-PROD'!BE388="SI",VLOOKUP('1.DATOS-PROD'!BE$2,'1.PUNTOS'!$A$1:$B$63,2,0),0)</f>
        <v>0</v>
      </c>
      <c r="AW387" s="138">
        <f>IF('1.DATOS-PROD'!BF388="SI",VLOOKUP('1.DATOS-PROD'!BF$2,'1.PUNTOS'!$A$1:$B$63,2,0),0)</f>
        <v>0</v>
      </c>
      <c r="AX387" s="138">
        <f>IF('1.DATOS-PROD'!BG388="SI",VLOOKUP('1.DATOS-PROD'!BG$2,'1.PUNTOS'!$A$1:$B$63,2,0),0)</f>
        <v>0</v>
      </c>
      <c r="AY387" s="138">
        <f>IF('1.DATOS-PROD'!BH388="SI",VLOOKUP('1.DATOS-PROD'!BH$2,'1.PUNTOS'!$A$1:$B$63,2,0),0)</f>
        <v>0</v>
      </c>
      <c r="AZ387" s="138">
        <f>IF('1.DATOS-PROD'!BI388="SI",VLOOKUP('1.DATOS-PROD'!BI$2,'1.PUNTOS'!$A$1:$B$63,2,0),0)</f>
        <v>0</v>
      </c>
      <c r="BA387" s="138">
        <f>IF('1.DATOS-PROD'!BJ388="SI",VLOOKUP('1.DATOS-PROD'!BJ$2,'1.PUNTOS'!$A$1:$B$63,2,0),0)</f>
        <v>0</v>
      </c>
      <c r="BB387" s="138">
        <f>IF('1.DATOS-PROD'!BK388="SI",VLOOKUP('1.DATOS-PROD'!BK$2,'1.PUNTOS'!$A$1:$B$63,2,0),0)</f>
        <v>0</v>
      </c>
      <c r="BC387" s="138">
        <f>IF('1.DATOS-PROD'!BL388="SI",VLOOKUP('1.DATOS-PROD'!BL$2,'1.PUNTOS'!$A$1:$B$63,2,0),0)</f>
        <v>0</v>
      </c>
      <c r="BD387" s="138">
        <f>IF('1.DATOS-PROD'!BM388="SI",VLOOKUP('1.DATOS-PROD'!BM$2,'1.PUNTOS'!$A$1:$B$63,2,0),0)</f>
        <v>0</v>
      </c>
      <c r="BE387" s="138">
        <f>IF('1.DATOS-PROD'!BN388="SI",VLOOKUP('1.DATOS-PROD'!BN$2,'1.PUNTOS'!$A$1:$B$63,2,0),0)</f>
        <v>0</v>
      </c>
      <c r="BF387" s="138">
        <f>IF('1.DATOS-PROD'!BO388="SI",VLOOKUP('1.DATOS-PROD'!BO$2,'1.PUNTOS'!$A$1:$B$63,2,0),0)</f>
        <v>0</v>
      </c>
      <c r="BG387" s="138">
        <f>IF('1.DATOS-PROD'!BP388="SI",VLOOKUP('1.DATOS-PROD'!BP$2,'1.PUNTOS'!$A$1:$B$63,2,0),0)</f>
        <v>0</v>
      </c>
      <c r="BH387" s="138">
        <f>IF('1.DATOS-PROD'!BQ388="SI",VLOOKUP('1.DATOS-PROD'!BQ$2,'1.PUNTOS'!$A$1:$B$63,2,0),0)</f>
        <v>0</v>
      </c>
      <c r="BI387" s="138">
        <f>IF('1.DATOS-PROD'!BR388="SI",VLOOKUP('1.DATOS-PROD'!BR$2,'1.PUNTOS'!$A$1:$B$63,2,0),0)</f>
        <v>0</v>
      </c>
      <c r="BJ387" s="138">
        <f>IF('1.DATOS-PROD'!BS388="SI",VLOOKUP('1.DATOS-PROD'!BS$2,'1.PUNTOS'!$A$1:$B$63,2,0),0)</f>
        <v>0</v>
      </c>
      <c r="BK387" s="138">
        <f>IF('1.DATOS-PROD'!BT388="SI",VLOOKUP('1.DATOS-PROD'!BT$2,'1.PUNTOS'!$A$1:$B$63,2,0),0)</f>
        <v>0</v>
      </c>
    </row>
    <row r="388" spans="1:63" x14ac:dyDescent="0.25">
      <c r="A388">
        <f>'0.Consolidado general'!$A389</f>
        <v>0</v>
      </c>
      <c r="B388" s="138">
        <f>IF('1.DATOS-PROD'!K389="SI",VLOOKUP('1.DATOS-PROD'!K$2,'1.PUNTOS'!$A$1:$B$63,2,0),0)</f>
        <v>0</v>
      </c>
      <c r="C388" s="138">
        <f>IF('1.DATOS-PROD'!L389="SI",VLOOKUP('1.DATOS-PROD'!L$2,'1.PUNTOS'!$A$1:$B$63,2,0),0)</f>
        <v>0</v>
      </c>
      <c r="D388" s="138">
        <f>IF('1.DATOS-PROD'!M389="SI",VLOOKUP('1.DATOS-PROD'!M$2,'1.PUNTOS'!$A$1:$B$63,2,0),0)</f>
        <v>0</v>
      </c>
      <c r="E388" s="138">
        <f>IF('1.DATOS-PROD'!N389="SI",VLOOKUP('1.DATOS-PROD'!N$2,'1.PUNTOS'!$A$1:$B$63,2,0),0)</f>
        <v>0</v>
      </c>
      <c r="F388" s="138">
        <f>IF('1.DATOS-PROD'!O389="SI",VLOOKUP('1.DATOS-PROD'!O$2,'1.PUNTOS'!$A$1:$B$63,2,0),0)</f>
        <v>0</v>
      </c>
      <c r="G388" s="138">
        <f>IF('1.DATOS-PROD'!P389="SI",VLOOKUP('1.DATOS-PROD'!P$2,'1.PUNTOS'!$A$1:$B$63,2,0),0)</f>
        <v>0</v>
      </c>
      <c r="H388" s="138">
        <f>IF('1.DATOS-PROD'!Q389="SI",VLOOKUP('1.DATOS-PROD'!Q$2,'1.PUNTOS'!$A$1:$B$63,2,0),0)</f>
        <v>0</v>
      </c>
      <c r="I388" s="138">
        <f>IF('1.DATOS-PROD'!R389="SI",VLOOKUP('1.DATOS-PROD'!R$2,'1.PUNTOS'!$A$1:$B$63,2,0),0)</f>
        <v>0</v>
      </c>
      <c r="J388" s="138">
        <f>IF('1.DATOS-PROD'!S389="SI",VLOOKUP('1.DATOS-PROD'!S$2,'1.PUNTOS'!$A$1:$B$63,2,0),0)</f>
        <v>0</v>
      </c>
      <c r="K388" s="138">
        <f>IF('1.DATOS-PROD'!T389="SI",VLOOKUP('1.DATOS-PROD'!T$2,'1.PUNTOS'!$A$1:$B$63,2,0),0)</f>
        <v>0</v>
      </c>
      <c r="L388" s="138">
        <f>IF('1.DATOS-PROD'!U389="SI",VLOOKUP('1.DATOS-PROD'!U$2,'1.PUNTOS'!$A$1:$B$63,2,0),0)</f>
        <v>0</v>
      </c>
      <c r="M388" s="138">
        <f>IF('1.DATOS-PROD'!V389="SI",VLOOKUP('1.DATOS-PROD'!V$2,'1.PUNTOS'!$A$1:$B$63,2,0),0)</f>
        <v>0</v>
      </c>
      <c r="N388" s="138">
        <f>IF('1.DATOS-PROD'!W389="SI",VLOOKUP('1.DATOS-PROD'!W$2,'1.PUNTOS'!$A$1:$B$63,2,0),0)</f>
        <v>0</v>
      </c>
      <c r="O388" s="138">
        <f>IF('1.DATOS-PROD'!X389="SI",VLOOKUP('1.DATOS-PROD'!X$2,'1.PUNTOS'!$A$1:$B$63,2,0),0)</f>
        <v>0</v>
      </c>
      <c r="P388" s="138">
        <f>IF('1.DATOS-PROD'!Y389="SI",VLOOKUP('1.DATOS-PROD'!Y$2,'1.PUNTOS'!$A$1:$B$63,2,0),0)</f>
        <v>0</v>
      </c>
      <c r="Q388" s="138">
        <f>IF('1.DATOS-PROD'!Z389="SI",VLOOKUP('1.DATOS-PROD'!Z$2,'1.PUNTOS'!$A$1:$B$63,2,0),0)</f>
        <v>0</v>
      </c>
      <c r="R388" s="138">
        <f>IF('1.DATOS-PROD'!AA389="SI",VLOOKUP('1.DATOS-PROD'!AA$2,'1.PUNTOS'!$A$1:$B$63,2,0),0)</f>
        <v>0</v>
      </c>
      <c r="S388" s="138">
        <f>IF('1.DATOS-PROD'!AB389="SI",VLOOKUP('1.DATOS-PROD'!AB$2,'1.PUNTOS'!$A$1:$B$63,2,0),0)</f>
        <v>0</v>
      </c>
      <c r="T388" s="138">
        <f>IF('1.DATOS-PROD'!AC389="SI",VLOOKUP('1.DATOS-PROD'!AC$2,'1.PUNTOS'!$A$1:$B$63,2,0),0)</f>
        <v>0</v>
      </c>
      <c r="U388" s="138">
        <f>IF('1.DATOS-PROD'!AD389="SI",VLOOKUP('1.DATOS-PROD'!AD$2,'1.PUNTOS'!$A$1:$B$63,2,0),0)</f>
        <v>0</v>
      </c>
      <c r="V388" s="138">
        <f>IF('1.DATOS-PROD'!AE389="SI",VLOOKUP('1.DATOS-PROD'!AE$2,'1.PUNTOS'!$A$1:$B$63,2,0),0)</f>
        <v>0</v>
      </c>
      <c r="W388" s="138">
        <f>IF('1.DATOS-PROD'!AF389="SI",VLOOKUP('1.DATOS-PROD'!AF$2,'1.PUNTOS'!$A$1:$B$63,2,0),0)</f>
        <v>0</v>
      </c>
      <c r="X388" s="138">
        <f>IF('1.DATOS-PROD'!AG389="SI",VLOOKUP('1.DATOS-PROD'!AG$2,'1.PUNTOS'!$A$1:$B$63,2,0),0)</f>
        <v>0</v>
      </c>
      <c r="Y388" s="138">
        <f>IF('1.DATOS-PROD'!AH389="SI",VLOOKUP('1.DATOS-PROD'!AH$2,'1.PUNTOS'!$A$1:$B$63,2,0),0)</f>
        <v>0</v>
      </c>
      <c r="Z388" s="138">
        <f>IF('1.DATOS-PROD'!AI389="SI",VLOOKUP('1.DATOS-PROD'!AI$2,'1.PUNTOS'!$A$1:$B$63,2,0),0)</f>
        <v>0</v>
      </c>
      <c r="AA388" s="138">
        <f>IF('1.DATOS-PROD'!AJ389="SI",VLOOKUP('1.DATOS-PROD'!AJ$2,'1.PUNTOS'!$A$1:$B$63,2,0),0)</f>
        <v>0</v>
      </c>
      <c r="AB388" s="138">
        <f>IF('1.DATOS-PROD'!AK389="SI",VLOOKUP('1.DATOS-PROD'!AK$2,'1.PUNTOS'!$A$1:$B$63,2,0),0)</f>
        <v>0</v>
      </c>
      <c r="AC388" s="138">
        <f>IF('1.DATOS-PROD'!AL389="SI",VLOOKUP('1.DATOS-PROD'!AL$2,'1.PUNTOS'!$A$1:$B$63,2,0),0)</f>
        <v>0</v>
      </c>
      <c r="AD388" s="138">
        <f>IF('1.DATOS-PROD'!AM389="SI",VLOOKUP('1.DATOS-PROD'!AM$2,'1.PUNTOS'!$A$1:$B$63,2,0),0)</f>
        <v>0</v>
      </c>
      <c r="AE388" s="138">
        <f>IF('1.DATOS-PROD'!AN389="SI",VLOOKUP('1.DATOS-PROD'!AN$2,'1.PUNTOS'!$A$1:$B$63,2,0),0)</f>
        <v>0</v>
      </c>
      <c r="AF388" s="138">
        <f>IF('1.DATOS-PROD'!AO389="SI",VLOOKUP('1.DATOS-PROD'!AO$2,'1.PUNTOS'!$A$1:$B$63,2,0),0)</f>
        <v>0</v>
      </c>
      <c r="AG388" s="138">
        <f>IF('1.DATOS-PROD'!AP389="SI",VLOOKUP('1.DATOS-PROD'!AP$2,'1.PUNTOS'!$A$1:$B$63,2,0),0)</f>
        <v>0</v>
      </c>
      <c r="AH388" s="138">
        <f>IF('1.DATOS-PROD'!AQ389="SI",VLOOKUP('1.DATOS-PROD'!AQ$2,'1.PUNTOS'!$A$1:$B$63,2,0),0)</f>
        <v>0</v>
      </c>
      <c r="AI388" s="138">
        <f>IF('1.DATOS-PROD'!AR389="SI",VLOOKUP('1.DATOS-PROD'!AR$2,'1.PUNTOS'!$A$1:$B$63,2,0),0)</f>
        <v>0</v>
      </c>
      <c r="AJ388" s="138">
        <f>IF('1.DATOS-PROD'!AS389="SI",VLOOKUP('1.DATOS-PROD'!AS$2,'1.PUNTOS'!$A$1:$B$63,2,0),0)</f>
        <v>0</v>
      </c>
      <c r="AK388" s="138">
        <f>IF('1.DATOS-PROD'!AT389="SI",VLOOKUP('1.DATOS-PROD'!AT$2,'1.PUNTOS'!$A$1:$B$63,2,0),0)</f>
        <v>0</v>
      </c>
      <c r="AL388" s="138">
        <f>IF('1.DATOS-PROD'!AU389="SI",VLOOKUP('1.DATOS-PROD'!AU$2,'1.PUNTOS'!$A$1:$B$63,2,0),0)</f>
        <v>0</v>
      </c>
      <c r="AM388" s="138">
        <f>IF('1.DATOS-PROD'!AV389="SI",VLOOKUP('1.DATOS-PROD'!AV$2,'1.PUNTOS'!$A$1:$B$63,2,0),0)</f>
        <v>0</v>
      </c>
      <c r="AN388" s="138">
        <f>IF('1.DATOS-PROD'!AW389="SI",VLOOKUP('1.DATOS-PROD'!AW$2,'1.PUNTOS'!$A$1:$B$63,2,0),0)</f>
        <v>0</v>
      </c>
      <c r="AO388" s="138">
        <f>IF('1.DATOS-PROD'!AX389="SI",VLOOKUP('1.DATOS-PROD'!AX$2,'1.PUNTOS'!$A$1:$B$63,2,0),0)</f>
        <v>0</v>
      </c>
      <c r="AP388" s="138">
        <f>IF('1.DATOS-PROD'!AY389="SI",VLOOKUP('1.DATOS-PROD'!AY$2,'1.PUNTOS'!$A$1:$B$63,2,0),0)</f>
        <v>0</v>
      </c>
      <c r="AQ388" s="138">
        <f>IF('1.DATOS-PROD'!AZ389="SI",VLOOKUP('1.DATOS-PROD'!AZ$2,'1.PUNTOS'!$A$1:$B$63,2,0),0)</f>
        <v>0</v>
      </c>
      <c r="AR388" s="138">
        <f>IF('1.DATOS-PROD'!BA389="SI",VLOOKUP('1.DATOS-PROD'!BA$2,'1.PUNTOS'!$A$1:$B$63,2,0),0)</f>
        <v>0</v>
      </c>
      <c r="AS388" s="138">
        <f>IF('1.DATOS-PROD'!BB389="SI",VLOOKUP('1.DATOS-PROD'!BB$2,'1.PUNTOS'!$A$1:$B$63,2,0),0)</f>
        <v>0</v>
      </c>
      <c r="AT388" s="138">
        <f>IF('1.DATOS-PROD'!BC389="SI",VLOOKUP('1.DATOS-PROD'!BC$2,'1.PUNTOS'!$A$1:$B$63,2,0),0)</f>
        <v>0</v>
      </c>
      <c r="AU388" s="138">
        <f>IF('1.DATOS-PROD'!BD389="SI",VLOOKUP('1.DATOS-PROD'!BD$2,'1.PUNTOS'!$A$1:$B$63,2,0),0)</f>
        <v>0</v>
      </c>
      <c r="AV388" s="138">
        <f>IF('1.DATOS-PROD'!BE389="SI",VLOOKUP('1.DATOS-PROD'!BE$2,'1.PUNTOS'!$A$1:$B$63,2,0),0)</f>
        <v>0</v>
      </c>
      <c r="AW388" s="138">
        <f>IF('1.DATOS-PROD'!BF389="SI",VLOOKUP('1.DATOS-PROD'!BF$2,'1.PUNTOS'!$A$1:$B$63,2,0),0)</f>
        <v>0</v>
      </c>
      <c r="AX388" s="138">
        <f>IF('1.DATOS-PROD'!BG389="SI",VLOOKUP('1.DATOS-PROD'!BG$2,'1.PUNTOS'!$A$1:$B$63,2,0),0)</f>
        <v>0</v>
      </c>
      <c r="AY388" s="138">
        <f>IF('1.DATOS-PROD'!BH389="SI",VLOOKUP('1.DATOS-PROD'!BH$2,'1.PUNTOS'!$A$1:$B$63,2,0),0)</f>
        <v>0</v>
      </c>
      <c r="AZ388" s="138">
        <f>IF('1.DATOS-PROD'!BI389="SI",VLOOKUP('1.DATOS-PROD'!BI$2,'1.PUNTOS'!$A$1:$B$63,2,0),0)</f>
        <v>0</v>
      </c>
      <c r="BA388" s="138">
        <f>IF('1.DATOS-PROD'!BJ389="SI",VLOOKUP('1.DATOS-PROD'!BJ$2,'1.PUNTOS'!$A$1:$B$63,2,0),0)</f>
        <v>0</v>
      </c>
      <c r="BB388" s="138">
        <f>IF('1.DATOS-PROD'!BK389="SI",VLOOKUP('1.DATOS-PROD'!BK$2,'1.PUNTOS'!$A$1:$B$63,2,0),0)</f>
        <v>0</v>
      </c>
      <c r="BC388" s="138">
        <f>IF('1.DATOS-PROD'!BL389="SI",VLOOKUP('1.DATOS-PROD'!BL$2,'1.PUNTOS'!$A$1:$B$63,2,0),0)</f>
        <v>0</v>
      </c>
      <c r="BD388" s="138">
        <f>IF('1.DATOS-PROD'!BM389="SI",VLOOKUP('1.DATOS-PROD'!BM$2,'1.PUNTOS'!$A$1:$B$63,2,0),0)</f>
        <v>0</v>
      </c>
      <c r="BE388" s="138">
        <f>IF('1.DATOS-PROD'!BN389="SI",VLOOKUP('1.DATOS-PROD'!BN$2,'1.PUNTOS'!$A$1:$B$63,2,0),0)</f>
        <v>0</v>
      </c>
      <c r="BF388" s="138">
        <f>IF('1.DATOS-PROD'!BO389="SI",VLOOKUP('1.DATOS-PROD'!BO$2,'1.PUNTOS'!$A$1:$B$63,2,0),0)</f>
        <v>0</v>
      </c>
      <c r="BG388" s="138">
        <f>IF('1.DATOS-PROD'!BP389="SI",VLOOKUP('1.DATOS-PROD'!BP$2,'1.PUNTOS'!$A$1:$B$63,2,0),0)</f>
        <v>0</v>
      </c>
      <c r="BH388" s="138">
        <f>IF('1.DATOS-PROD'!BQ389="SI",VLOOKUP('1.DATOS-PROD'!BQ$2,'1.PUNTOS'!$A$1:$B$63,2,0),0)</f>
        <v>0</v>
      </c>
      <c r="BI388" s="138">
        <f>IF('1.DATOS-PROD'!BR389="SI",VLOOKUP('1.DATOS-PROD'!BR$2,'1.PUNTOS'!$A$1:$B$63,2,0),0)</f>
        <v>0</v>
      </c>
      <c r="BJ388" s="138">
        <f>IF('1.DATOS-PROD'!BS389="SI",VLOOKUP('1.DATOS-PROD'!BS$2,'1.PUNTOS'!$A$1:$B$63,2,0),0)</f>
        <v>0</v>
      </c>
      <c r="BK388" s="138">
        <f>IF('1.DATOS-PROD'!BT389="SI",VLOOKUP('1.DATOS-PROD'!BT$2,'1.PUNTOS'!$A$1:$B$63,2,0),0)</f>
        <v>0</v>
      </c>
    </row>
    <row r="389" spans="1:63" x14ac:dyDescent="0.25">
      <c r="A389">
        <f>'0.Consolidado general'!$A390</f>
        <v>0</v>
      </c>
      <c r="B389" s="138">
        <f>IF('1.DATOS-PROD'!K390="SI",VLOOKUP('1.DATOS-PROD'!K$2,'1.PUNTOS'!$A$1:$B$63,2,0),0)</f>
        <v>0</v>
      </c>
      <c r="C389" s="138">
        <f>IF('1.DATOS-PROD'!L390="SI",VLOOKUP('1.DATOS-PROD'!L$2,'1.PUNTOS'!$A$1:$B$63,2,0),0)</f>
        <v>0</v>
      </c>
      <c r="D389" s="138">
        <f>IF('1.DATOS-PROD'!M390="SI",VLOOKUP('1.DATOS-PROD'!M$2,'1.PUNTOS'!$A$1:$B$63,2,0),0)</f>
        <v>0</v>
      </c>
      <c r="E389" s="138">
        <f>IF('1.DATOS-PROD'!N390="SI",VLOOKUP('1.DATOS-PROD'!N$2,'1.PUNTOS'!$A$1:$B$63,2,0),0)</f>
        <v>0</v>
      </c>
      <c r="F389" s="138">
        <f>IF('1.DATOS-PROD'!O390="SI",VLOOKUP('1.DATOS-PROD'!O$2,'1.PUNTOS'!$A$1:$B$63,2,0),0)</f>
        <v>0</v>
      </c>
      <c r="G389" s="138">
        <f>IF('1.DATOS-PROD'!P390="SI",VLOOKUP('1.DATOS-PROD'!P$2,'1.PUNTOS'!$A$1:$B$63,2,0),0)</f>
        <v>0</v>
      </c>
      <c r="H389" s="138">
        <f>IF('1.DATOS-PROD'!Q390="SI",VLOOKUP('1.DATOS-PROD'!Q$2,'1.PUNTOS'!$A$1:$B$63,2,0),0)</f>
        <v>0</v>
      </c>
      <c r="I389" s="138">
        <f>IF('1.DATOS-PROD'!R390="SI",VLOOKUP('1.DATOS-PROD'!R$2,'1.PUNTOS'!$A$1:$B$63,2,0),0)</f>
        <v>0</v>
      </c>
      <c r="J389" s="138">
        <f>IF('1.DATOS-PROD'!S390="SI",VLOOKUP('1.DATOS-PROD'!S$2,'1.PUNTOS'!$A$1:$B$63,2,0),0)</f>
        <v>0</v>
      </c>
      <c r="K389" s="138">
        <f>IF('1.DATOS-PROD'!T390="SI",VLOOKUP('1.DATOS-PROD'!T$2,'1.PUNTOS'!$A$1:$B$63,2,0),0)</f>
        <v>0</v>
      </c>
      <c r="L389" s="138">
        <f>IF('1.DATOS-PROD'!U390="SI",VLOOKUP('1.DATOS-PROD'!U$2,'1.PUNTOS'!$A$1:$B$63,2,0),0)</f>
        <v>0</v>
      </c>
      <c r="M389" s="138">
        <f>IF('1.DATOS-PROD'!V390="SI",VLOOKUP('1.DATOS-PROD'!V$2,'1.PUNTOS'!$A$1:$B$63,2,0),0)</f>
        <v>0</v>
      </c>
      <c r="N389" s="138">
        <f>IF('1.DATOS-PROD'!W390="SI",VLOOKUP('1.DATOS-PROD'!W$2,'1.PUNTOS'!$A$1:$B$63,2,0),0)</f>
        <v>0</v>
      </c>
      <c r="O389" s="138">
        <f>IF('1.DATOS-PROD'!X390="SI",VLOOKUP('1.DATOS-PROD'!X$2,'1.PUNTOS'!$A$1:$B$63,2,0),0)</f>
        <v>0</v>
      </c>
      <c r="P389" s="138">
        <f>IF('1.DATOS-PROD'!Y390="SI",VLOOKUP('1.DATOS-PROD'!Y$2,'1.PUNTOS'!$A$1:$B$63,2,0),0)</f>
        <v>0</v>
      </c>
      <c r="Q389" s="138">
        <f>IF('1.DATOS-PROD'!Z390="SI",VLOOKUP('1.DATOS-PROD'!Z$2,'1.PUNTOS'!$A$1:$B$63,2,0),0)</f>
        <v>0</v>
      </c>
      <c r="R389" s="138">
        <f>IF('1.DATOS-PROD'!AA390="SI",VLOOKUP('1.DATOS-PROD'!AA$2,'1.PUNTOS'!$A$1:$B$63,2,0),0)</f>
        <v>0</v>
      </c>
      <c r="S389" s="138">
        <f>IF('1.DATOS-PROD'!AB390="SI",VLOOKUP('1.DATOS-PROD'!AB$2,'1.PUNTOS'!$A$1:$B$63,2,0),0)</f>
        <v>0</v>
      </c>
      <c r="T389" s="138">
        <f>IF('1.DATOS-PROD'!AC390="SI",VLOOKUP('1.DATOS-PROD'!AC$2,'1.PUNTOS'!$A$1:$B$63,2,0),0)</f>
        <v>0</v>
      </c>
      <c r="U389" s="138">
        <f>IF('1.DATOS-PROD'!AD390="SI",VLOOKUP('1.DATOS-PROD'!AD$2,'1.PUNTOS'!$A$1:$B$63,2,0),0)</f>
        <v>0</v>
      </c>
      <c r="V389" s="138">
        <f>IF('1.DATOS-PROD'!AE390="SI",VLOOKUP('1.DATOS-PROD'!AE$2,'1.PUNTOS'!$A$1:$B$63,2,0),0)</f>
        <v>0</v>
      </c>
      <c r="W389" s="138">
        <f>IF('1.DATOS-PROD'!AF390="SI",VLOOKUP('1.DATOS-PROD'!AF$2,'1.PUNTOS'!$A$1:$B$63,2,0),0)</f>
        <v>0</v>
      </c>
      <c r="X389" s="138">
        <f>IF('1.DATOS-PROD'!AG390="SI",VLOOKUP('1.DATOS-PROD'!AG$2,'1.PUNTOS'!$A$1:$B$63,2,0),0)</f>
        <v>0</v>
      </c>
      <c r="Y389" s="138">
        <f>IF('1.DATOS-PROD'!AH390="SI",VLOOKUP('1.DATOS-PROD'!AH$2,'1.PUNTOS'!$A$1:$B$63,2,0),0)</f>
        <v>0</v>
      </c>
      <c r="Z389" s="138">
        <f>IF('1.DATOS-PROD'!AI390="SI",VLOOKUP('1.DATOS-PROD'!AI$2,'1.PUNTOS'!$A$1:$B$63,2,0),0)</f>
        <v>0</v>
      </c>
      <c r="AA389" s="138">
        <f>IF('1.DATOS-PROD'!AJ390="SI",VLOOKUP('1.DATOS-PROD'!AJ$2,'1.PUNTOS'!$A$1:$B$63,2,0),0)</f>
        <v>0</v>
      </c>
      <c r="AB389" s="138">
        <f>IF('1.DATOS-PROD'!AK390="SI",VLOOKUP('1.DATOS-PROD'!AK$2,'1.PUNTOS'!$A$1:$B$63,2,0),0)</f>
        <v>0</v>
      </c>
      <c r="AC389" s="138">
        <f>IF('1.DATOS-PROD'!AL390="SI",VLOOKUP('1.DATOS-PROD'!AL$2,'1.PUNTOS'!$A$1:$B$63,2,0),0)</f>
        <v>0</v>
      </c>
      <c r="AD389" s="138">
        <f>IF('1.DATOS-PROD'!AM390="SI",VLOOKUP('1.DATOS-PROD'!AM$2,'1.PUNTOS'!$A$1:$B$63,2,0),0)</f>
        <v>0</v>
      </c>
      <c r="AE389" s="138">
        <f>IF('1.DATOS-PROD'!AN390="SI",VLOOKUP('1.DATOS-PROD'!AN$2,'1.PUNTOS'!$A$1:$B$63,2,0),0)</f>
        <v>0</v>
      </c>
      <c r="AF389" s="138">
        <f>IF('1.DATOS-PROD'!AO390="SI",VLOOKUP('1.DATOS-PROD'!AO$2,'1.PUNTOS'!$A$1:$B$63,2,0),0)</f>
        <v>0</v>
      </c>
      <c r="AG389" s="138">
        <f>IF('1.DATOS-PROD'!AP390="SI",VLOOKUP('1.DATOS-PROD'!AP$2,'1.PUNTOS'!$A$1:$B$63,2,0),0)</f>
        <v>0</v>
      </c>
      <c r="AH389" s="138">
        <f>IF('1.DATOS-PROD'!AQ390="SI",VLOOKUP('1.DATOS-PROD'!AQ$2,'1.PUNTOS'!$A$1:$B$63,2,0),0)</f>
        <v>0</v>
      </c>
      <c r="AI389" s="138">
        <f>IF('1.DATOS-PROD'!AR390="SI",VLOOKUP('1.DATOS-PROD'!AR$2,'1.PUNTOS'!$A$1:$B$63,2,0),0)</f>
        <v>0</v>
      </c>
      <c r="AJ389" s="138">
        <f>IF('1.DATOS-PROD'!AS390="SI",VLOOKUP('1.DATOS-PROD'!AS$2,'1.PUNTOS'!$A$1:$B$63,2,0),0)</f>
        <v>0</v>
      </c>
      <c r="AK389" s="138">
        <f>IF('1.DATOS-PROD'!AT390="SI",VLOOKUP('1.DATOS-PROD'!AT$2,'1.PUNTOS'!$A$1:$B$63,2,0),0)</f>
        <v>0</v>
      </c>
      <c r="AL389" s="138">
        <f>IF('1.DATOS-PROD'!AU390="SI",VLOOKUP('1.DATOS-PROD'!AU$2,'1.PUNTOS'!$A$1:$B$63,2,0),0)</f>
        <v>0</v>
      </c>
      <c r="AM389" s="138">
        <f>IF('1.DATOS-PROD'!AV390="SI",VLOOKUP('1.DATOS-PROD'!AV$2,'1.PUNTOS'!$A$1:$B$63,2,0),0)</f>
        <v>0</v>
      </c>
      <c r="AN389" s="138">
        <f>IF('1.DATOS-PROD'!AW390="SI",VLOOKUP('1.DATOS-PROD'!AW$2,'1.PUNTOS'!$A$1:$B$63,2,0),0)</f>
        <v>0</v>
      </c>
      <c r="AO389" s="138">
        <f>IF('1.DATOS-PROD'!AX390="SI",VLOOKUP('1.DATOS-PROD'!AX$2,'1.PUNTOS'!$A$1:$B$63,2,0),0)</f>
        <v>0</v>
      </c>
      <c r="AP389" s="138">
        <f>IF('1.DATOS-PROD'!AY390="SI",VLOOKUP('1.DATOS-PROD'!AY$2,'1.PUNTOS'!$A$1:$B$63,2,0),0)</f>
        <v>0</v>
      </c>
      <c r="AQ389" s="138">
        <f>IF('1.DATOS-PROD'!AZ390="SI",VLOOKUP('1.DATOS-PROD'!AZ$2,'1.PUNTOS'!$A$1:$B$63,2,0),0)</f>
        <v>0</v>
      </c>
      <c r="AR389" s="138">
        <f>IF('1.DATOS-PROD'!BA390="SI",VLOOKUP('1.DATOS-PROD'!BA$2,'1.PUNTOS'!$A$1:$B$63,2,0),0)</f>
        <v>0</v>
      </c>
      <c r="AS389" s="138">
        <f>IF('1.DATOS-PROD'!BB390="SI",VLOOKUP('1.DATOS-PROD'!BB$2,'1.PUNTOS'!$A$1:$B$63,2,0),0)</f>
        <v>0</v>
      </c>
      <c r="AT389" s="138">
        <f>IF('1.DATOS-PROD'!BC390="SI",VLOOKUP('1.DATOS-PROD'!BC$2,'1.PUNTOS'!$A$1:$B$63,2,0),0)</f>
        <v>0</v>
      </c>
      <c r="AU389" s="138">
        <f>IF('1.DATOS-PROD'!BD390="SI",VLOOKUP('1.DATOS-PROD'!BD$2,'1.PUNTOS'!$A$1:$B$63,2,0),0)</f>
        <v>0</v>
      </c>
      <c r="AV389" s="138">
        <f>IF('1.DATOS-PROD'!BE390="SI",VLOOKUP('1.DATOS-PROD'!BE$2,'1.PUNTOS'!$A$1:$B$63,2,0),0)</f>
        <v>0</v>
      </c>
      <c r="AW389" s="138">
        <f>IF('1.DATOS-PROD'!BF390="SI",VLOOKUP('1.DATOS-PROD'!BF$2,'1.PUNTOS'!$A$1:$B$63,2,0),0)</f>
        <v>0</v>
      </c>
      <c r="AX389" s="138">
        <f>IF('1.DATOS-PROD'!BG390="SI",VLOOKUP('1.DATOS-PROD'!BG$2,'1.PUNTOS'!$A$1:$B$63,2,0),0)</f>
        <v>0</v>
      </c>
      <c r="AY389" s="138">
        <f>IF('1.DATOS-PROD'!BH390="SI",VLOOKUP('1.DATOS-PROD'!BH$2,'1.PUNTOS'!$A$1:$B$63,2,0),0)</f>
        <v>0</v>
      </c>
      <c r="AZ389" s="138">
        <f>IF('1.DATOS-PROD'!BI390="SI",VLOOKUP('1.DATOS-PROD'!BI$2,'1.PUNTOS'!$A$1:$B$63,2,0),0)</f>
        <v>0</v>
      </c>
      <c r="BA389" s="138">
        <f>IF('1.DATOS-PROD'!BJ390="SI",VLOOKUP('1.DATOS-PROD'!BJ$2,'1.PUNTOS'!$A$1:$B$63,2,0),0)</f>
        <v>0</v>
      </c>
      <c r="BB389" s="138">
        <f>IF('1.DATOS-PROD'!BK390="SI",VLOOKUP('1.DATOS-PROD'!BK$2,'1.PUNTOS'!$A$1:$B$63,2,0),0)</f>
        <v>0</v>
      </c>
      <c r="BC389" s="138">
        <f>IF('1.DATOS-PROD'!BL390="SI",VLOOKUP('1.DATOS-PROD'!BL$2,'1.PUNTOS'!$A$1:$B$63,2,0),0)</f>
        <v>0</v>
      </c>
      <c r="BD389" s="138">
        <f>IF('1.DATOS-PROD'!BM390="SI",VLOOKUP('1.DATOS-PROD'!BM$2,'1.PUNTOS'!$A$1:$B$63,2,0),0)</f>
        <v>0</v>
      </c>
      <c r="BE389" s="138">
        <f>IF('1.DATOS-PROD'!BN390="SI",VLOOKUP('1.DATOS-PROD'!BN$2,'1.PUNTOS'!$A$1:$B$63,2,0),0)</f>
        <v>0</v>
      </c>
      <c r="BF389" s="138">
        <f>IF('1.DATOS-PROD'!BO390="SI",VLOOKUP('1.DATOS-PROD'!BO$2,'1.PUNTOS'!$A$1:$B$63,2,0),0)</f>
        <v>0</v>
      </c>
      <c r="BG389" s="138">
        <f>IF('1.DATOS-PROD'!BP390="SI",VLOOKUP('1.DATOS-PROD'!BP$2,'1.PUNTOS'!$A$1:$B$63,2,0),0)</f>
        <v>0</v>
      </c>
      <c r="BH389" s="138">
        <f>IF('1.DATOS-PROD'!BQ390="SI",VLOOKUP('1.DATOS-PROD'!BQ$2,'1.PUNTOS'!$A$1:$B$63,2,0),0)</f>
        <v>0</v>
      </c>
      <c r="BI389" s="138">
        <f>IF('1.DATOS-PROD'!BR390="SI",VLOOKUP('1.DATOS-PROD'!BR$2,'1.PUNTOS'!$A$1:$B$63,2,0),0)</f>
        <v>0</v>
      </c>
      <c r="BJ389" s="138">
        <f>IF('1.DATOS-PROD'!BS390="SI",VLOOKUP('1.DATOS-PROD'!BS$2,'1.PUNTOS'!$A$1:$B$63,2,0),0)</f>
        <v>0</v>
      </c>
      <c r="BK389" s="138">
        <f>IF('1.DATOS-PROD'!BT390="SI",VLOOKUP('1.DATOS-PROD'!BT$2,'1.PUNTOS'!$A$1:$B$63,2,0),0)</f>
        <v>0</v>
      </c>
    </row>
    <row r="390" spans="1:63" x14ac:dyDescent="0.25">
      <c r="A390">
        <f>'0.Consolidado general'!$A391</f>
        <v>0</v>
      </c>
      <c r="B390" s="138">
        <f>IF('1.DATOS-PROD'!K391="SI",VLOOKUP('1.DATOS-PROD'!K$2,'1.PUNTOS'!$A$1:$B$63,2,0),0)</f>
        <v>0</v>
      </c>
      <c r="C390" s="138">
        <f>IF('1.DATOS-PROD'!L391="SI",VLOOKUP('1.DATOS-PROD'!L$2,'1.PUNTOS'!$A$1:$B$63,2,0),0)</f>
        <v>0</v>
      </c>
      <c r="D390" s="138">
        <f>IF('1.DATOS-PROD'!M391="SI",VLOOKUP('1.DATOS-PROD'!M$2,'1.PUNTOS'!$A$1:$B$63,2,0),0)</f>
        <v>0</v>
      </c>
      <c r="E390" s="138">
        <f>IF('1.DATOS-PROD'!N391="SI",VLOOKUP('1.DATOS-PROD'!N$2,'1.PUNTOS'!$A$1:$B$63,2,0),0)</f>
        <v>0</v>
      </c>
      <c r="F390" s="138">
        <f>IF('1.DATOS-PROD'!O391="SI",VLOOKUP('1.DATOS-PROD'!O$2,'1.PUNTOS'!$A$1:$B$63,2,0),0)</f>
        <v>0</v>
      </c>
      <c r="G390" s="138">
        <f>IF('1.DATOS-PROD'!P391="SI",VLOOKUP('1.DATOS-PROD'!P$2,'1.PUNTOS'!$A$1:$B$63,2,0),0)</f>
        <v>0</v>
      </c>
      <c r="H390" s="138">
        <f>IF('1.DATOS-PROD'!Q391="SI",VLOOKUP('1.DATOS-PROD'!Q$2,'1.PUNTOS'!$A$1:$B$63,2,0),0)</f>
        <v>0</v>
      </c>
      <c r="I390" s="138">
        <f>IF('1.DATOS-PROD'!R391="SI",VLOOKUP('1.DATOS-PROD'!R$2,'1.PUNTOS'!$A$1:$B$63,2,0),0)</f>
        <v>0</v>
      </c>
      <c r="J390" s="138">
        <f>IF('1.DATOS-PROD'!S391="SI",VLOOKUP('1.DATOS-PROD'!S$2,'1.PUNTOS'!$A$1:$B$63,2,0),0)</f>
        <v>0</v>
      </c>
      <c r="K390" s="138">
        <f>IF('1.DATOS-PROD'!T391="SI",VLOOKUP('1.DATOS-PROD'!T$2,'1.PUNTOS'!$A$1:$B$63,2,0),0)</f>
        <v>0</v>
      </c>
      <c r="L390" s="138">
        <f>IF('1.DATOS-PROD'!U391="SI",VLOOKUP('1.DATOS-PROD'!U$2,'1.PUNTOS'!$A$1:$B$63,2,0),0)</f>
        <v>0</v>
      </c>
      <c r="M390" s="138">
        <f>IF('1.DATOS-PROD'!V391="SI",VLOOKUP('1.DATOS-PROD'!V$2,'1.PUNTOS'!$A$1:$B$63,2,0),0)</f>
        <v>0</v>
      </c>
      <c r="N390" s="138">
        <f>IF('1.DATOS-PROD'!W391="SI",VLOOKUP('1.DATOS-PROD'!W$2,'1.PUNTOS'!$A$1:$B$63,2,0),0)</f>
        <v>0</v>
      </c>
      <c r="O390" s="138">
        <f>IF('1.DATOS-PROD'!X391="SI",VLOOKUP('1.DATOS-PROD'!X$2,'1.PUNTOS'!$A$1:$B$63,2,0),0)</f>
        <v>0</v>
      </c>
      <c r="P390" s="138">
        <f>IF('1.DATOS-PROD'!Y391="SI",VLOOKUP('1.DATOS-PROD'!Y$2,'1.PUNTOS'!$A$1:$B$63,2,0),0)</f>
        <v>0</v>
      </c>
      <c r="Q390" s="138">
        <f>IF('1.DATOS-PROD'!Z391="SI",VLOOKUP('1.DATOS-PROD'!Z$2,'1.PUNTOS'!$A$1:$B$63,2,0),0)</f>
        <v>0</v>
      </c>
      <c r="R390" s="138">
        <f>IF('1.DATOS-PROD'!AA391="SI",VLOOKUP('1.DATOS-PROD'!AA$2,'1.PUNTOS'!$A$1:$B$63,2,0),0)</f>
        <v>0</v>
      </c>
      <c r="S390" s="138">
        <f>IF('1.DATOS-PROD'!AB391="SI",VLOOKUP('1.DATOS-PROD'!AB$2,'1.PUNTOS'!$A$1:$B$63,2,0),0)</f>
        <v>0</v>
      </c>
      <c r="T390" s="138">
        <f>IF('1.DATOS-PROD'!AC391="SI",VLOOKUP('1.DATOS-PROD'!AC$2,'1.PUNTOS'!$A$1:$B$63,2,0),0)</f>
        <v>0</v>
      </c>
      <c r="U390" s="138">
        <f>IF('1.DATOS-PROD'!AD391="SI",VLOOKUP('1.DATOS-PROD'!AD$2,'1.PUNTOS'!$A$1:$B$63,2,0),0)</f>
        <v>0</v>
      </c>
      <c r="V390" s="138">
        <f>IF('1.DATOS-PROD'!AE391="SI",VLOOKUP('1.DATOS-PROD'!AE$2,'1.PUNTOS'!$A$1:$B$63,2,0),0)</f>
        <v>0</v>
      </c>
      <c r="W390" s="138">
        <f>IF('1.DATOS-PROD'!AF391="SI",VLOOKUP('1.DATOS-PROD'!AF$2,'1.PUNTOS'!$A$1:$B$63,2,0),0)</f>
        <v>0</v>
      </c>
      <c r="X390" s="138">
        <f>IF('1.DATOS-PROD'!AG391="SI",VLOOKUP('1.DATOS-PROD'!AG$2,'1.PUNTOS'!$A$1:$B$63,2,0),0)</f>
        <v>0</v>
      </c>
      <c r="Y390" s="138">
        <f>IF('1.DATOS-PROD'!AH391="SI",VLOOKUP('1.DATOS-PROD'!AH$2,'1.PUNTOS'!$A$1:$B$63,2,0),0)</f>
        <v>0</v>
      </c>
      <c r="Z390" s="138">
        <f>IF('1.DATOS-PROD'!AI391="SI",VLOOKUP('1.DATOS-PROD'!AI$2,'1.PUNTOS'!$A$1:$B$63,2,0),0)</f>
        <v>0</v>
      </c>
      <c r="AA390" s="138">
        <f>IF('1.DATOS-PROD'!AJ391="SI",VLOOKUP('1.DATOS-PROD'!AJ$2,'1.PUNTOS'!$A$1:$B$63,2,0),0)</f>
        <v>0</v>
      </c>
      <c r="AB390" s="138">
        <f>IF('1.DATOS-PROD'!AK391="SI",VLOOKUP('1.DATOS-PROD'!AK$2,'1.PUNTOS'!$A$1:$B$63,2,0),0)</f>
        <v>0</v>
      </c>
      <c r="AC390" s="138">
        <f>IF('1.DATOS-PROD'!AL391="SI",VLOOKUP('1.DATOS-PROD'!AL$2,'1.PUNTOS'!$A$1:$B$63,2,0),0)</f>
        <v>0</v>
      </c>
      <c r="AD390" s="138">
        <f>IF('1.DATOS-PROD'!AM391="SI",VLOOKUP('1.DATOS-PROD'!AM$2,'1.PUNTOS'!$A$1:$B$63,2,0),0)</f>
        <v>0</v>
      </c>
      <c r="AE390" s="138">
        <f>IF('1.DATOS-PROD'!AN391="SI",VLOOKUP('1.DATOS-PROD'!AN$2,'1.PUNTOS'!$A$1:$B$63,2,0),0)</f>
        <v>0</v>
      </c>
      <c r="AF390" s="138">
        <f>IF('1.DATOS-PROD'!AO391="SI",VLOOKUP('1.DATOS-PROD'!AO$2,'1.PUNTOS'!$A$1:$B$63,2,0),0)</f>
        <v>0</v>
      </c>
      <c r="AG390" s="138">
        <f>IF('1.DATOS-PROD'!AP391="SI",VLOOKUP('1.DATOS-PROD'!AP$2,'1.PUNTOS'!$A$1:$B$63,2,0),0)</f>
        <v>0</v>
      </c>
      <c r="AH390" s="138">
        <f>IF('1.DATOS-PROD'!AQ391="SI",VLOOKUP('1.DATOS-PROD'!AQ$2,'1.PUNTOS'!$A$1:$B$63,2,0),0)</f>
        <v>0</v>
      </c>
      <c r="AI390" s="138">
        <f>IF('1.DATOS-PROD'!AR391="SI",VLOOKUP('1.DATOS-PROD'!AR$2,'1.PUNTOS'!$A$1:$B$63,2,0),0)</f>
        <v>0</v>
      </c>
      <c r="AJ390" s="138">
        <f>IF('1.DATOS-PROD'!AS391="SI",VLOOKUP('1.DATOS-PROD'!AS$2,'1.PUNTOS'!$A$1:$B$63,2,0),0)</f>
        <v>0</v>
      </c>
      <c r="AK390" s="138">
        <f>IF('1.DATOS-PROD'!AT391="SI",VLOOKUP('1.DATOS-PROD'!AT$2,'1.PUNTOS'!$A$1:$B$63,2,0),0)</f>
        <v>0</v>
      </c>
      <c r="AL390" s="138">
        <f>IF('1.DATOS-PROD'!AU391="SI",VLOOKUP('1.DATOS-PROD'!AU$2,'1.PUNTOS'!$A$1:$B$63,2,0),0)</f>
        <v>0</v>
      </c>
      <c r="AM390" s="138">
        <f>IF('1.DATOS-PROD'!AV391="SI",VLOOKUP('1.DATOS-PROD'!AV$2,'1.PUNTOS'!$A$1:$B$63,2,0),0)</f>
        <v>0</v>
      </c>
      <c r="AN390" s="138">
        <f>IF('1.DATOS-PROD'!AW391="SI",VLOOKUP('1.DATOS-PROD'!AW$2,'1.PUNTOS'!$A$1:$B$63,2,0),0)</f>
        <v>0</v>
      </c>
      <c r="AO390" s="138">
        <f>IF('1.DATOS-PROD'!AX391="SI",VLOOKUP('1.DATOS-PROD'!AX$2,'1.PUNTOS'!$A$1:$B$63,2,0),0)</f>
        <v>0</v>
      </c>
      <c r="AP390" s="138">
        <f>IF('1.DATOS-PROD'!AY391="SI",VLOOKUP('1.DATOS-PROD'!AY$2,'1.PUNTOS'!$A$1:$B$63,2,0),0)</f>
        <v>0</v>
      </c>
      <c r="AQ390" s="138">
        <f>IF('1.DATOS-PROD'!AZ391="SI",VLOOKUP('1.DATOS-PROD'!AZ$2,'1.PUNTOS'!$A$1:$B$63,2,0),0)</f>
        <v>0</v>
      </c>
      <c r="AR390" s="138">
        <f>IF('1.DATOS-PROD'!BA391="SI",VLOOKUP('1.DATOS-PROD'!BA$2,'1.PUNTOS'!$A$1:$B$63,2,0),0)</f>
        <v>0</v>
      </c>
      <c r="AS390" s="138">
        <f>IF('1.DATOS-PROD'!BB391="SI",VLOOKUP('1.DATOS-PROD'!BB$2,'1.PUNTOS'!$A$1:$B$63,2,0),0)</f>
        <v>0</v>
      </c>
      <c r="AT390" s="138">
        <f>IF('1.DATOS-PROD'!BC391="SI",VLOOKUP('1.DATOS-PROD'!BC$2,'1.PUNTOS'!$A$1:$B$63,2,0),0)</f>
        <v>0</v>
      </c>
      <c r="AU390" s="138">
        <f>IF('1.DATOS-PROD'!BD391="SI",VLOOKUP('1.DATOS-PROD'!BD$2,'1.PUNTOS'!$A$1:$B$63,2,0),0)</f>
        <v>0</v>
      </c>
      <c r="AV390" s="138">
        <f>IF('1.DATOS-PROD'!BE391="SI",VLOOKUP('1.DATOS-PROD'!BE$2,'1.PUNTOS'!$A$1:$B$63,2,0),0)</f>
        <v>0</v>
      </c>
      <c r="AW390" s="138">
        <f>IF('1.DATOS-PROD'!BF391="SI",VLOOKUP('1.DATOS-PROD'!BF$2,'1.PUNTOS'!$A$1:$B$63,2,0),0)</f>
        <v>0</v>
      </c>
      <c r="AX390" s="138">
        <f>IF('1.DATOS-PROD'!BG391="SI",VLOOKUP('1.DATOS-PROD'!BG$2,'1.PUNTOS'!$A$1:$B$63,2,0),0)</f>
        <v>0</v>
      </c>
      <c r="AY390" s="138">
        <f>IF('1.DATOS-PROD'!BH391="SI",VLOOKUP('1.DATOS-PROD'!BH$2,'1.PUNTOS'!$A$1:$B$63,2,0),0)</f>
        <v>0</v>
      </c>
      <c r="AZ390" s="138">
        <f>IF('1.DATOS-PROD'!BI391="SI",VLOOKUP('1.DATOS-PROD'!BI$2,'1.PUNTOS'!$A$1:$B$63,2,0),0)</f>
        <v>0</v>
      </c>
      <c r="BA390" s="138">
        <f>IF('1.DATOS-PROD'!BJ391="SI",VLOOKUP('1.DATOS-PROD'!BJ$2,'1.PUNTOS'!$A$1:$B$63,2,0),0)</f>
        <v>0</v>
      </c>
      <c r="BB390" s="138">
        <f>IF('1.DATOS-PROD'!BK391="SI",VLOOKUP('1.DATOS-PROD'!BK$2,'1.PUNTOS'!$A$1:$B$63,2,0),0)</f>
        <v>0</v>
      </c>
      <c r="BC390" s="138">
        <f>IF('1.DATOS-PROD'!BL391="SI",VLOOKUP('1.DATOS-PROD'!BL$2,'1.PUNTOS'!$A$1:$B$63,2,0),0)</f>
        <v>0</v>
      </c>
      <c r="BD390" s="138">
        <f>IF('1.DATOS-PROD'!BM391="SI",VLOOKUP('1.DATOS-PROD'!BM$2,'1.PUNTOS'!$A$1:$B$63,2,0),0)</f>
        <v>0</v>
      </c>
      <c r="BE390" s="138">
        <f>IF('1.DATOS-PROD'!BN391="SI",VLOOKUP('1.DATOS-PROD'!BN$2,'1.PUNTOS'!$A$1:$B$63,2,0),0)</f>
        <v>0</v>
      </c>
      <c r="BF390" s="138">
        <f>IF('1.DATOS-PROD'!BO391="SI",VLOOKUP('1.DATOS-PROD'!BO$2,'1.PUNTOS'!$A$1:$B$63,2,0),0)</f>
        <v>0</v>
      </c>
      <c r="BG390" s="138">
        <f>IF('1.DATOS-PROD'!BP391="SI",VLOOKUP('1.DATOS-PROD'!BP$2,'1.PUNTOS'!$A$1:$B$63,2,0),0)</f>
        <v>0</v>
      </c>
      <c r="BH390" s="138">
        <f>IF('1.DATOS-PROD'!BQ391="SI",VLOOKUP('1.DATOS-PROD'!BQ$2,'1.PUNTOS'!$A$1:$B$63,2,0),0)</f>
        <v>0</v>
      </c>
      <c r="BI390" s="138">
        <f>IF('1.DATOS-PROD'!BR391="SI",VLOOKUP('1.DATOS-PROD'!BR$2,'1.PUNTOS'!$A$1:$B$63,2,0),0)</f>
        <v>0</v>
      </c>
      <c r="BJ390" s="138">
        <f>IF('1.DATOS-PROD'!BS391="SI",VLOOKUP('1.DATOS-PROD'!BS$2,'1.PUNTOS'!$A$1:$B$63,2,0),0)</f>
        <v>0</v>
      </c>
      <c r="BK390" s="138">
        <f>IF('1.DATOS-PROD'!BT391="SI",VLOOKUP('1.DATOS-PROD'!BT$2,'1.PUNTOS'!$A$1:$B$63,2,0),0)</f>
        <v>0</v>
      </c>
    </row>
    <row r="391" spans="1:63" x14ac:dyDescent="0.25">
      <c r="A391">
        <f>'0.Consolidado general'!$A392</f>
        <v>0</v>
      </c>
      <c r="B391" s="138">
        <f>IF('1.DATOS-PROD'!K392="SI",VLOOKUP('1.DATOS-PROD'!K$2,'1.PUNTOS'!$A$1:$B$63,2,0),0)</f>
        <v>0</v>
      </c>
      <c r="C391" s="138">
        <f>IF('1.DATOS-PROD'!L392="SI",VLOOKUP('1.DATOS-PROD'!L$2,'1.PUNTOS'!$A$1:$B$63,2,0),0)</f>
        <v>0</v>
      </c>
      <c r="D391" s="138">
        <f>IF('1.DATOS-PROD'!M392="SI",VLOOKUP('1.DATOS-PROD'!M$2,'1.PUNTOS'!$A$1:$B$63,2,0),0)</f>
        <v>0</v>
      </c>
      <c r="E391" s="138">
        <f>IF('1.DATOS-PROD'!N392="SI",VLOOKUP('1.DATOS-PROD'!N$2,'1.PUNTOS'!$A$1:$B$63,2,0),0)</f>
        <v>0</v>
      </c>
      <c r="F391" s="138">
        <f>IF('1.DATOS-PROD'!O392="SI",VLOOKUP('1.DATOS-PROD'!O$2,'1.PUNTOS'!$A$1:$B$63,2,0),0)</f>
        <v>0</v>
      </c>
      <c r="G391" s="138">
        <f>IF('1.DATOS-PROD'!P392="SI",VLOOKUP('1.DATOS-PROD'!P$2,'1.PUNTOS'!$A$1:$B$63,2,0),0)</f>
        <v>0</v>
      </c>
      <c r="H391" s="138">
        <f>IF('1.DATOS-PROD'!Q392="SI",VLOOKUP('1.DATOS-PROD'!Q$2,'1.PUNTOS'!$A$1:$B$63,2,0),0)</f>
        <v>0</v>
      </c>
      <c r="I391" s="138">
        <f>IF('1.DATOS-PROD'!R392="SI",VLOOKUP('1.DATOS-PROD'!R$2,'1.PUNTOS'!$A$1:$B$63,2,0),0)</f>
        <v>0</v>
      </c>
      <c r="J391" s="138">
        <f>IF('1.DATOS-PROD'!S392="SI",VLOOKUP('1.DATOS-PROD'!S$2,'1.PUNTOS'!$A$1:$B$63,2,0),0)</f>
        <v>0</v>
      </c>
      <c r="K391" s="138">
        <f>IF('1.DATOS-PROD'!T392="SI",VLOOKUP('1.DATOS-PROD'!T$2,'1.PUNTOS'!$A$1:$B$63,2,0),0)</f>
        <v>0</v>
      </c>
      <c r="L391" s="138">
        <f>IF('1.DATOS-PROD'!U392="SI",VLOOKUP('1.DATOS-PROD'!U$2,'1.PUNTOS'!$A$1:$B$63,2,0),0)</f>
        <v>0</v>
      </c>
      <c r="M391" s="138">
        <f>IF('1.DATOS-PROD'!V392="SI",VLOOKUP('1.DATOS-PROD'!V$2,'1.PUNTOS'!$A$1:$B$63,2,0),0)</f>
        <v>0</v>
      </c>
      <c r="N391" s="138">
        <f>IF('1.DATOS-PROD'!W392="SI",VLOOKUP('1.DATOS-PROD'!W$2,'1.PUNTOS'!$A$1:$B$63,2,0),0)</f>
        <v>0</v>
      </c>
      <c r="O391" s="138">
        <f>IF('1.DATOS-PROD'!X392="SI",VLOOKUP('1.DATOS-PROD'!X$2,'1.PUNTOS'!$A$1:$B$63,2,0),0)</f>
        <v>0</v>
      </c>
      <c r="P391" s="138">
        <f>IF('1.DATOS-PROD'!Y392="SI",VLOOKUP('1.DATOS-PROD'!Y$2,'1.PUNTOS'!$A$1:$B$63,2,0),0)</f>
        <v>0</v>
      </c>
      <c r="Q391" s="138">
        <f>IF('1.DATOS-PROD'!Z392="SI",VLOOKUP('1.DATOS-PROD'!Z$2,'1.PUNTOS'!$A$1:$B$63,2,0),0)</f>
        <v>0</v>
      </c>
      <c r="R391" s="138">
        <f>IF('1.DATOS-PROD'!AA392="SI",VLOOKUP('1.DATOS-PROD'!AA$2,'1.PUNTOS'!$A$1:$B$63,2,0),0)</f>
        <v>0</v>
      </c>
      <c r="S391" s="138">
        <f>IF('1.DATOS-PROD'!AB392="SI",VLOOKUP('1.DATOS-PROD'!AB$2,'1.PUNTOS'!$A$1:$B$63,2,0),0)</f>
        <v>0</v>
      </c>
      <c r="T391" s="138">
        <f>IF('1.DATOS-PROD'!AC392="SI",VLOOKUP('1.DATOS-PROD'!AC$2,'1.PUNTOS'!$A$1:$B$63,2,0),0)</f>
        <v>0</v>
      </c>
      <c r="U391" s="138">
        <f>IF('1.DATOS-PROD'!AD392="SI",VLOOKUP('1.DATOS-PROD'!AD$2,'1.PUNTOS'!$A$1:$B$63,2,0),0)</f>
        <v>0</v>
      </c>
      <c r="V391" s="138">
        <f>IF('1.DATOS-PROD'!AE392="SI",VLOOKUP('1.DATOS-PROD'!AE$2,'1.PUNTOS'!$A$1:$B$63,2,0),0)</f>
        <v>0</v>
      </c>
      <c r="W391" s="138">
        <f>IF('1.DATOS-PROD'!AF392="SI",VLOOKUP('1.DATOS-PROD'!AF$2,'1.PUNTOS'!$A$1:$B$63,2,0),0)</f>
        <v>0</v>
      </c>
      <c r="X391" s="138">
        <f>IF('1.DATOS-PROD'!AG392="SI",VLOOKUP('1.DATOS-PROD'!AG$2,'1.PUNTOS'!$A$1:$B$63,2,0),0)</f>
        <v>0</v>
      </c>
      <c r="Y391" s="138">
        <f>IF('1.DATOS-PROD'!AH392="SI",VLOOKUP('1.DATOS-PROD'!AH$2,'1.PUNTOS'!$A$1:$B$63,2,0),0)</f>
        <v>0</v>
      </c>
      <c r="Z391" s="138">
        <f>IF('1.DATOS-PROD'!AI392="SI",VLOOKUP('1.DATOS-PROD'!AI$2,'1.PUNTOS'!$A$1:$B$63,2,0),0)</f>
        <v>0</v>
      </c>
      <c r="AA391" s="138">
        <f>IF('1.DATOS-PROD'!AJ392="SI",VLOOKUP('1.DATOS-PROD'!AJ$2,'1.PUNTOS'!$A$1:$B$63,2,0),0)</f>
        <v>0</v>
      </c>
      <c r="AB391" s="138">
        <f>IF('1.DATOS-PROD'!AK392="SI",VLOOKUP('1.DATOS-PROD'!AK$2,'1.PUNTOS'!$A$1:$B$63,2,0),0)</f>
        <v>0</v>
      </c>
      <c r="AC391" s="138">
        <f>IF('1.DATOS-PROD'!AL392="SI",VLOOKUP('1.DATOS-PROD'!AL$2,'1.PUNTOS'!$A$1:$B$63,2,0),0)</f>
        <v>0</v>
      </c>
      <c r="AD391" s="138">
        <f>IF('1.DATOS-PROD'!AM392="SI",VLOOKUP('1.DATOS-PROD'!AM$2,'1.PUNTOS'!$A$1:$B$63,2,0),0)</f>
        <v>0</v>
      </c>
      <c r="AE391" s="138">
        <f>IF('1.DATOS-PROD'!AN392="SI",VLOOKUP('1.DATOS-PROD'!AN$2,'1.PUNTOS'!$A$1:$B$63,2,0),0)</f>
        <v>0</v>
      </c>
      <c r="AF391" s="138">
        <f>IF('1.DATOS-PROD'!AO392="SI",VLOOKUP('1.DATOS-PROD'!AO$2,'1.PUNTOS'!$A$1:$B$63,2,0),0)</f>
        <v>0</v>
      </c>
      <c r="AG391" s="138">
        <f>IF('1.DATOS-PROD'!AP392="SI",VLOOKUP('1.DATOS-PROD'!AP$2,'1.PUNTOS'!$A$1:$B$63,2,0),0)</f>
        <v>0</v>
      </c>
      <c r="AH391" s="138">
        <f>IF('1.DATOS-PROD'!AQ392="SI",VLOOKUP('1.DATOS-PROD'!AQ$2,'1.PUNTOS'!$A$1:$B$63,2,0),0)</f>
        <v>0</v>
      </c>
      <c r="AI391" s="138">
        <f>IF('1.DATOS-PROD'!AR392="SI",VLOOKUP('1.DATOS-PROD'!AR$2,'1.PUNTOS'!$A$1:$B$63,2,0),0)</f>
        <v>0</v>
      </c>
      <c r="AJ391" s="138">
        <f>IF('1.DATOS-PROD'!AS392="SI",VLOOKUP('1.DATOS-PROD'!AS$2,'1.PUNTOS'!$A$1:$B$63,2,0),0)</f>
        <v>0</v>
      </c>
      <c r="AK391" s="138">
        <f>IF('1.DATOS-PROD'!AT392="SI",VLOOKUP('1.DATOS-PROD'!AT$2,'1.PUNTOS'!$A$1:$B$63,2,0),0)</f>
        <v>0</v>
      </c>
      <c r="AL391" s="138">
        <f>IF('1.DATOS-PROD'!AU392="SI",VLOOKUP('1.DATOS-PROD'!AU$2,'1.PUNTOS'!$A$1:$B$63,2,0),0)</f>
        <v>0</v>
      </c>
      <c r="AM391" s="138">
        <f>IF('1.DATOS-PROD'!AV392="SI",VLOOKUP('1.DATOS-PROD'!AV$2,'1.PUNTOS'!$A$1:$B$63,2,0),0)</f>
        <v>0</v>
      </c>
      <c r="AN391" s="138">
        <f>IF('1.DATOS-PROD'!AW392="SI",VLOOKUP('1.DATOS-PROD'!AW$2,'1.PUNTOS'!$A$1:$B$63,2,0),0)</f>
        <v>0</v>
      </c>
      <c r="AO391" s="138">
        <f>IF('1.DATOS-PROD'!AX392="SI",VLOOKUP('1.DATOS-PROD'!AX$2,'1.PUNTOS'!$A$1:$B$63,2,0),0)</f>
        <v>0</v>
      </c>
      <c r="AP391" s="138">
        <f>IF('1.DATOS-PROD'!AY392="SI",VLOOKUP('1.DATOS-PROD'!AY$2,'1.PUNTOS'!$A$1:$B$63,2,0),0)</f>
        <v>0</v>
      </c>
      <c r="AQ391" s="138">
        <f>IF('1.DATOS-PROD'!AZ392="SI",VLOOKUP('1.DATOS-PROD'!AZ$2,'1.PUNTOS'!$A$1:$B$63,2,0),0)</f>
        <v>0</v>
      </c>
      <c r="AR391" s="138">
        <f>IF('1.DATOS-PROD'!BA392="SI",VLOOKUP('1.DATOS-PROD'!BA$2,'1.PUNTOS'!$A$1:$B$63,2,0),0)</f>
        <v>0</v>
      </c>
      <c r="AS391" s="138">
        <f>IF('1.DATOS-PROD'!BB392="SI",VLOOKUP('1.DATOS-PROD'!BB$2,'1.PUNTOS'!$A$1:$B$63,2,0),0)</f>
        <v>0</v>
      </c>
      <c r="AT391" s="138">
        <f>IF('1.DATOS-PROD'!BC392="SI",VLOOKUP('1.DATOS-PROD'!BC$2,'1.PUNTOS'!$A$1:$B$63,2,0),0)</f>
        <v>0</v>
      </c>
      <c r="AU391" s="138">
        <f>IF('1.DATOS-PROD'!BD392="SI",VLOOKUP('1.DATOS-PROD'!BD$2,'1.PUNTOS'!$A$1:$B$63,2,0),0)</f>
        <v>0</v>
      </c>
      <c r="AV391" s="138">
        <f>IF('1.DATOS-PROD'!BE392="SI",VLOOKUP('1.DATOS-PROD'!BE$2,'1.PUNTOS'!$A$1:$B$63,2,0),0)</f>
        <v>0</v>
      </c>
      <c r="AW391" s="138">
        <f>IF('1.DATOS-PROD'!BF392="SI",VLOOKUP('1.DATOS-PROD'!BF$2,'1.PUNTOS'!$A$1:$B$63,2,0),0)</f>
        <v>0</v>
      </c>
      <c r="AX391" s="138">
        <f>IF('1.DATOS-PROD'!BG392="SI",VLOOKUP('1.DATOS-PROD'!BG$2,'1.PUNTOS'!$A$1:$B$63,2,0),0)</f>
        <v>0</v>
      </c>
      <c r="AY391" s="138">
        <f>IF('1.DATOS-PROD'!BH392="SI",VLOOKUP('1.DATOS-PROD'!BH$2,'1.PUNTOS'!$A$1:$B$63,2,0),0)</f>
        <v>0</v>
      </c>
      <c r="AZ391" s="138">
        <f>IF('1.DATOS-PROD'!BI392="SI",VLOOKUP('1.DATOS-PROD'!BI$2,'1.PUNTOS'!$A$1:$B$63,2,0),0)</f>
        <v>0</v>
      </c>
      <c r="BA391" s="138">
        <f>IF('1.DATOS-PROD'!BJ392="SI",VLOOKUP('1.DATOS-PROD'!BJ$2,'1.PUNTOS'!$A$1:$B$63,2,0),0)</f>
        <v>0</v>
      </c>
      <c r="BB391" s="138">
        <f>IF('1.DATOS-PROD'!BK392="SI",VLOOKUP('1.DATOS-PROD'!BK$2,'1.PUNTOS'!$A$1:$B$63,2,0),0)</f>
        <v>0</v>
      </c>
      <c r="BC391" s="138">
        <f>IF('1.DATOS-PROD'!BL392="SI",VLOOKUP('1.DATOS-PROD'!BL$2,'1.PUNTOS'!$A$1:$B$63,2,0),0)</f>
        <v>0</v>
      </c>
      <c r="BD391" s="138">
        <f>IF('1.DATOS-PROD'!BM392="SI",VLOOKUP('1.DATOS-PROD'!BM$2,'1.PUNTOS'!$A$1:$B$63,2,0),0)</f>
        <v>0</v>
      </c>
      <c r="BE391" s="138">
        <f>IF('1.DATOS-PROD'!BN392="SI",VLOOKUP('1.DATOS-PROD'!BN$2,'1.PUNTOS'!$A$1:$B$63,2,0),0)</f>
        <v>0</v>
      </c>
      <c r="BF391" s="138">
        <f>IF('1.DATOS-PROD'!BO392="SI",VLOOKUP('1.DATOS-PROD'!BO$2,'1.PUNTOS'!$A$1:$B$63,2,0),0)</f>
        <v>0</v>
      </c>
      <c r="BG391" s="138">
        <f>IF('1.DATOS-PROD'!BP392="SI",VLOOKUP('1.DATOS-PROD'!BP$2,'1.PUNTOS'!$A$1:$B$63,2,0),0)</f>
        <v>0</v>
      </c>
      <c r="BH391" s="138">
        <f>IF('1.DATOS-PROD'!BQ392="SI",VLOOKUP('1.DATOS-PROD'!BQ$2,'1.PUNTOS'!$A$1:$B$63,2,0),0)</f>
        <v>0</v>
      </c>
      <c r="BI391" s="138">
        <f>IF('1.DATOS-PROD'!BR392="SI",VLOOKUP('1.DATOS-PROD'!BR$2,'1.PUNTOS'!$A$1:$B$63,2,0),0)</f>
        <v>0</v>
      </c>
      <c r="BJ391" s="138">
        <f>IF('1.DATOS-PROD'!BS392="SI",VLOOKUP('1.DATOS-PROD'!BS$2,'1.PUNTOS'!$A$1:$B$63,2,0),0)</f>
        <v>0</v>
      </c>
      <c r="BK391" s="138">
        <f>IF('1.DATOS-PROD'!BT392="SI",VLOOKUP('1.DATOS-PROD'!BT$2,'1.PUNTOS'!$A$1:$B$63,2,0),0)</f>
        <v>0</v>
      </c>
    </row>
    <row r="392" spans="1:63" x14ac:dyDescent="0.25">
      <c r="A392">
        <f>'0.Consolidado general'!$A393</f>
        <v>0</v>
      </c>
      <c r="B392" s="138">
        <f>IF('1.DATOS-PROD'!K393="SI",VLOOKUP('1.DATOS-PROD'!K$2,'1.PUNTOS'!$A$1:$B$63,2,0),0)</f>
        <v>0</v>
      </c>
      <c r="C392" s="138">
        <f>IF('1.DATOS-PROD'!L393="SI",VLOOKUP('1.DATOS-PROD'!L$2,'1.PUNTOS'!$A$1:$B$63,2,0),0)</f>
        <v>0</v>
      </c>
      <c r="D392" s="138">
        <f>IF('1.DATOS-PROD'!M393="SI",VLOOKUP('1.DATOS-PROD'!M$2,'1.PUNTOS'!$A$1:$B$63,2,0),0)</f>
        <v>0</v>
      </c>
      <c r="E392" s="138">
        <f>IF('1.DATOS-PROD'!N393="SI",VLOOKUP('1.DATOS-PROD'!N$2,'1.PUNTOS'!$A$1:$B$63,2,0),0)</f>
        <v>0</v>
      </c>
      <c r="F392" s="138">
        <f>IF('1.DATOS-PROD'!O393="SI",VLOOKUP('1.DATOS-PROD'!O$2,'1.PUNTOS'!$A$1:$B$63,2,0),0)</f>
        <v>0</v>
      </c>
      <c r="G392" s="138">
        <f>IF('1.DATOS-PROD'!P393="SI",VLOOKUP('1.DATOS-PROD'!P$2,'1.PUNTOS'!$A$1:$B$63,2,0),0)</f>
        <v>0</v>
      </c>
      <c r="H392" s="138">
        <f>IF('1.DATOS-PROD'!Q393="SI",VLOOKUP('1.DATOS-PROD'!Q$2,'1.PUNTOS'!$A$1:$B$63,2,0),0)</f>
        <v>0</v>
      </c>
      <c r="I392" s="138">
        <f>IF('1.DATOS-PROD'!R393="SI",VLOOKUP('1.DATOS-PROD'!R$2,'1.PUNTOS'!$A$1:$B$63,2,0),0)</f>
        <v>0</v>
      </c>
      <c r="J392" s="138">
        <f>IF('1.DATOS-PROD'!S393="SI",VLOOKUP('1.DATOS-PROD'!S$2,'1.PUNTOS'!$A$1:$B$63,2,0),0)</f>
        <v>0</v>
      </c>
      <c r="K392" s="138">
        <f>IF('1.DATOS-PROD'!T393="SI",VLOOKUP('1.DATOS-PROD'!T$2,'1.PUNTOS'!$A$1:$B$63,2,0),0)</f>
        <v>0</v>
      </c>
      <c r="L392" s="138">
        <f>IF('1.DATOS-PROD'!U393="SI",VLOOKUP('1.DATOS-PROD'!U$2,'1.PUNTOS'!$A$1:$B$63,2,0),0)</f>
        <v>0</v>
      </c>
      <c r="M392" s="138">
        <f>IF('1.DATOS-PROD'!V393="SI",VLOOKUP('1.DATOS-PROD'!V$2,'1.PUNTOS'!$A$1:$B$63,2,0),0)</f>
        <v>0</v>
      </c>
      <c r="N392" s="138">
        <f>IF('1.DATOS-PROD'!W393="SI",VLOOKUP('1.DATOS-PROD'!W$2,'1.PUNTOS'!$A$1:$B$63,2,0),0)</f>
        <v>0</v>
      </c>
      <c r="O392" s="138">
        <f>IF('1.DATOS-PROD'!X393="SI",VLOOKUP('1.DATOS-PROD'!X$2,'1.PUNTOS'!$A$1:$B$63,2,0),0)</f>
        <v>0</v>
      </c>
      <c r="P392" s="138">
        <f>IF('1.DATOS-PROD'!Y393="SI",VLOOKUP('1.DATOS-PROD'!Y$2,'1.PUNTOS'!$A$1:$B$63,2,0),0)</f>
        <v>0</v>
      </c>
      <c r="Q392" s="138">
        <f>IF('1.DATOS-PROD'!Z393="SI",VLOOKUP('1.DATOS-PROD'!Z$2,'1.PUNTOS'!$A$1:$B$63,2,0),0)</f>
        <v>0</v>
      </c>
      <c r="R392" s="138">
        <f>IF('1.DATOS-PROD'!AA393="SI",VLOOKUP('1.DATOS-PROD'!AA$2,'1.PUNTOS'!$A$1:$B$63,2,0),0)</f>
        <v>0</v>
      </c>
      <c r="S392" s="138">
        <f>IF('1.DATOS-PROD'!AB393="SI",VLOOKUP('1.DATOS-PROD'!AB$2,'1.PUNTOS'!$A$1:$B$63,2,0),0)</f>
        <v>0</v>
      </c>
      <c r="T392" s="138">
        <f>IF('1.DATOS-PROD'!AC393="SI",VLOOKUP('1.DATOS-PROD'!AC$2,'1.PUNTOS'!$A$1:$B$63,2,0),0)</f>
        <v>0</v>
      </c>
      <c r="U392" s="138">
        <f>IF('1.DATOS-PROD'!AD393="SI",VLOOKUP('1.DATOS-PROD'!AD$2,'1.PUNTOS'!$A$1:$B$63,2,0),0)</f>
        <v>0</v>
      </c>
      <c r="V392" s="138">
        <f>IF('1.DATOS-PROD'!AE393="SI",VLOOKUP('1.DATOS-PROD'!AE$2,'1.PUNTOS'!$A$1:$B$63,2,0),0)</f>
        <v>0</v>
      </c>
      <c r="W392" s="138">
        <f>IF('1.DATOS-PROD'!AF393="SI",VLOOKUP('1.DATOS-PROD'!AF$2,'1.PUNTOS'!$A$1:$B$63,2,0),0)</f>
        <v>0</v>
      </c>
      <c r="X392" s="138">
        <f>IF('1.DATOS-PROD'!AG393="SI",VLOOKUP('1.DATOS-PROD'!AG$2,'1.PUNTOS'!$A$1:$B$63,2,0),0)</f>
        <v>0</v>
      </c>
      <c r="Y392" s="138">
        <f>IF('1.DATOS-PROD'!AH393="SI",VLOOKUP('1.DATOS-PROD'!AH$2,'1.PUNTOS'!$A$1:$B$63,2,0),0)</f>
        <v>0</v>
      </c>
      <c r="Z392" s="138">
        <f>IF('1.DATOS-PROD'!AI393="SI",VLOOKUP('1.DATOS-PROD'!AI$2,'1.PUNTOS'!$A$1:$B$63,2,0),0)</f>
        <v>0</v>
      </c>
      <c r="AA392" s="138">
        <f>IF('1.DATOS-PROD'!AJ393="SI",VLOOKUP('1.DATOS-PROD'!AJ$2,'1.PUNTOS'!$A$1:$B$63,2,0),0)</f>
        <v>0</v>
      </c>
      <c r="AB392" s="138">
        <f>IF('1.DATOS-PROD'!AK393="SI",VLOOKUP('1.DATOS-PROD'!AK$2,'1.PUNTOS'!$A$1:$B$63,2,0),0)</f>
        <v>0</v>
      </c>
      <c r="AC392" s="138">
        <f>IF('1.DATOS-PROD'!AL393="SI",VLOOKUP('1.DATOS-PROD'!AL$2,'1.PUNTOS'!$A$1:$B$63,2,0),0)</f>
        <v>0</v>
      </c>
      <c r="AD392" s="138">
        <f>IF('1.DATOS-PROD'!AM393="SI",VLOOKUP('1.DATOS-PROD'!AM$2,'1.PUNTOS'!$A$1:$B$63,2,0),0)</f>
        <v>0</v>
      </c>
      <c r="AE392" s="138">
        <f>IF('1.DATOS-PROD'!AN393="SI",VLOOKUP('1.DATOS-PROD'!AN$2,'1.PUNTOS'!$A$1:$B$63,2,0),0)</f>
        <v>0</v>
      </c>
      <c r="AF392" s="138">
        <f>IF('1.DATOS-PROD'!AO393="SI",VLOOKUP('1.DATOS-PROD'!AO$2,'1.PUNTOS'!$A$1:$B$63,2,0),0)</f>
        <v>0</v>
      </c>
      <c r="AG392" s="138">
        <f>IF('1.DATOS-PROD'!AP393="SI",VLOOKUP('1.DATOS-PROD'!AP$2,'1.PUNTOS'!$A$1:$B$63,2,0),0)</f>
        <v>0</v>
      </c>
      <c r="AH392" s="138">
        <f>IF('1.DATOS-PROD'!AQ393="SI",VLOOKUP('1.DATOS-PROD'!AQ$2,'1.PUNTOS'!$A$1:$B$63,2,0),0)</f>
        <v>0</v>
      </c>
      <c r="AI392" s="138">
        <f>IF('1.DATOS-PROD'!AR393="SI",VLOOKUP('1.DATOS-PROD'!AR$2,'1.PUNTOS'!$A$1:$B$63,2,0),0)</f>
        <v>0</v>
      </c>
      <c r="AJ392" s="138">
        <f>IF('1.DATOS-PROD'!AS393="SI",VLOOKUP('1.DATOS-PROD'!AS$2,'1.PUNTOS'!$A$1:$B$63,2,0),0)</f>
        <v>0</v>
      </c>
      <c r="AK392" s="138">
        <f>IF('1.DATOS-PROD'!AT393="SI",VLOOKUP('1.DATOS-PROD'!AT$2,'1.PUNTOS'!$A$1:$B$63,2,0),0)</f>
        <v>0</v>
      </c>
      <c r="AL392" s="138">
        <f>IF('1.DATOS-PROD'!AU393="SI",VLOOKUP('1.DATOS-PROD'!AU$2,'1.PUNTOS'!$A$1:$B$63,2,0),0)</f>
        <v>0</v>
      </c>
      <c r="AM392" s="138">
        <f>IF('1.DATOS-PROD'!AV393="SI",VLOOKUP('1.DATOS-PROD'!AV$2,'1.PUNTOS'!$A$1:$B$63,2,0),0)</f>
        <v>0</v>
      </c>
      <c r="AN392" s="138">
        <f>IF('1.DATOS-PROD'!AW393="SI",VLOOKUP('1.DATOS-PROD'!AW$2,'1.PUNTOS'!$A$1:$B$63,2,0),0)</f>
        <v>0</v>
      </c>
      <c r="AO392" s="138">
        <f>IF('1.DATOS-PROD'!AX393="SI",VLOOKUP('1.DATOS-PROD'!AX$2,'1.PUNTOS'!$A$1:$B$63,2,0),0)</f>
        <v>0</v>
      </c>
      <c r="AP392" s="138">
        <f>IF('1.DATOS-PROD'!AY393="SI",VLOOKUP('1.DATOS-PROD'!AY$2,'1.PUNTOS'!$A$1:$B$63,2,0),0)</f>
        <v>0</v>
      </c>
      <c r="AQ392" s="138">
        <f>IF('1.DATOS-PROD'!AZ393="SI",VLOOKUP('1.DATOS-PROD'!AZ$2,'1.PUNTOS'!$A$1:$B$63,2,0),0)</f>
        <v>0</v>
      </c>
      <c r="AR392" s="138">
        <f>IF('1.DATOS-PROD'!BA393="SI",VLOOKUP('1.DATOS-PROD'!BA$2,'1.PUNTOS'!$A$1:$B$63,2,0),0)</f>
        <v>0</v>
      </c>
      <c r="AS392" s="138">
        <f>IF('1.DATOS-PROD'!BB393="SI",VLOOKUP('1.DATOS-PROD'!BB$2,'1.PUNTOS'!$A$1:$B$63,2,0),0)</f>
        <v>0</v>
      </c>
      <c r="AT392" s="138">
        <f>IF('1.DATOS-PROD'!BC393="SI",VLOOKUP('1.DATOS-PROD'!BC$2,'1.PUNTOS'!$A$1:$B$63,2,0),0)</f>
        <v>0</v>
      </c>
      <c r="AU392" s="138">
        <f>IF('1.DATOS-PROD'!BD393="SI",VLOOKUP('1.DATOS-PROD'!BD$2,'1.PUNTOS'!$A$1:$B$63,2,0),0)</f>
        <v>0</v>
      </c>
      <c r="AV392" s="138">
        <f>IF('1.DATOS-PROD'!BE393="SI",VLOOKUP('1.DATOS-PROD'!BE$2,'1.PUNTOS'!$A$1:$B$63,2,0),0)</f>
        <v>0</v>
      </c>
      <c r="AW392" s="138">
        <f>IF('1.DATOS-PROD'!BF393="SI",VLOOKUP('1.DATOS-PROD'!BF$2,'1.PUNTOS'!$A$1:$B$63,2,0),0)</f>
        <v>0</v>
      </c>
      <c r="AX392" s="138">
        <f>IF('1.DATOS-PROD'!BG393="SI",VLOOKUP('1.DATOS-PROD'!BG$2,'1.PUNTOS'!$A$1:$B$63,2,0),0)</f>
        <v>0</v>
      </c>
      <c r="AY392" s="138">
        <f>IF('1.DATOS-PROD'!BH393="SI",VLOOKUP('1.DATOS-PROD'!BH$2,'1.PUNTOS'!$A$1:$B$63,2,0),0)</f>
        <v>0</v>
      </c>
      <c r="AZ392" s="138">
        <f>IF('1.DATOS-PROD'!BI393="SI",VLOOKUP('1.DATOS-PROD'!BI$2,'1.PUNTOS'!$A$1:$B$63,2,0),0)</f>
        <v>0</v>
      </c>
      <c r="BA392" s="138">
        <f>IF('1.DATOS-PROD'!BJ393="SI",VLOOKUP('1.DATOS-PROD'!BJ$2,'1.PUNTOS'!$A$1:$B$63,2,0),0)</f>
        <v>0</v>
      </c>
      <c r="BB392" s="138">
        <f>IF('1.DATOS-PROD'!BK393="SI",VLOOKUP('1.DATOS-PROD'!BK$2,'1.PUNTOS'!$A$1:$B$63,2,0),0)</f>
        <v>0</v>
      </c>
      <c r="BC392" s="138">
        <f>IF('1.DATOS-PROD'!BL393="SI",VLOOKUP('1.DATOS-PROD'!BL$2,'1.PUNTOS'!$A$1:$B$63,2,0),0)</f>
        <v>0</v>
      </c>
      <c r="BD392" s="138">
        <f>IF('1.DATOS-PROD'!BM393="SI",VLOOKUP('1.DATOS-PROD'!BM$2,'1.PUNTOS'!$A$1:$B$63,2,0),0)</f>
        <v>0</v>
      </c>
      <c r="BE392" s="138">
        <f>IF('1.DATOS-PROD'!BN393="SI",VLOOKUP('1.DATOS-PROD'!BN$2,'1.PUNTOS'!$A$1:$B$63,2,0),0)</f>
        <v>0</v>
      </c>
      <c r="BF392" s="138">
        <f>IF('1.DATOS-PROD'!BO393="SI",VLOOKUP('1.DATOS-PROD'!BO$2,'1.PUNTOS'!$A$1:$B$63,2,0),0)</f>
        <v>0</v>
      </c>
      <c r="BG392" s="138">
        <f>IF('1.DATOS-PROD'!BP393="SI",VLOOKUP('1.DATOS-PROD'!BP$2,'1.PUNTOS'!$A$1:$B$63,2,0),0)</f>
        <v>0</v>
      </c>
      <c r="BH392" s="138">
        <f>IF('1.DATOS-PROD'!BQ393="SI",VLOOKUP('1.DATOS-PROD'!BQ$2,'1.PUNTOS'!$A$1:$B$63,2,0),0)</f>
        <v>0</v>
      </c>
      <c r="BI392" s="138">
        <f>IF('1.DATOS-PROD'!BR393="SI",VLOOKUP('1.DATOS-PROD'!BR$2,'1.PUNTOS'!$A$1:$B$63,2,0),0)</f>
        <v>0</v>
      </c>
      <c r="BJ392" s="138">
        <f>IF('1.DATOS-PROD'!BS393="SI",VLOOKUP('1.DATOS-PROD'!BS$2,'1.PUNTOS'!$A$1:$B$63,2,0),0)</f>
        <v>0</v>
      </c>
      <c r="BK392" s="138">
        <f>IF('1.DATOS-PROD'!BT393="SI",VLOOKUP('1.DATOS-PROD'!BT$2,'1.PUNTOS'!$A$1:$B$63,2,0),0)</f>
        <v>0</v>
      </c>
    </row>
    <row r="393" spans="1:63" x14ac:dyDescent="0.25">
      <c r="A393">
        <f>'0.Consolidado general'!$A394</f>
        <v>0</v>
      </c>
      <c r="B393" s="138">
        <f>IF('1.DATOS-PROD'!K394="SI",VLOOKUP('1.DATOS-PROD'!K$2,'1.PUNTOS'!$A$1:$B$63,2,0),0)</f>
        <v>0</v>
      </c>
      <c r="C393" s="138">
        <f>IF('1.DATOS-PROD'!L394="SI",VLOOKUP('1.DATOS-PROD'!L$2,'1.PUNTOS'!$A$1:$B$63,2,0),0)</f>
        <v>0</v>
      </c>
      <c r="D393" s="138">
        <f>IF('1.DATOS-PROD'!M394="SI",VLOOKUP('1.DATOS-PROD'!M$2,'1.PUNTOS'!$A$1:$B$63,2,0),0)</f>
        <v>0</v>
      </c>
      <c r="E393" s="138">
        <f>IF('1.DATOS-PROD'!N394="SI",VLOOKUP('1.DATOS-PROD'!N$2,'1.PUNTOS'!$A$1:$B$63,2,0),0)</f>
        <v>0</v>
      </c>
      <c r="F393" s="138">
        <f>IF('1.DATOS-PROD'!O394="SI",VLOOKUP('1.DATOS-PROD'!O$2,'1.PUNTOS'!$A$1:$B$63,2,0),0)</f>
        <v>0</v>
      </c>
      <c r="G393" s="138">
        <f>IF('1.DATOS-PROD'!P394="SI",VLOOKUP('1.DATOS-PROD'!P$2,'1.PUNTOS'!$A$1:$B$63,2,0),0)</f>
        <v>0</v>
      </c>
      <c r="H393" s="138">
        <f>IF('1.DATOS-PROD'!Q394="SI",VLOOKUP('1.DATOS-PROD'!Q$2,'1.PUNTOS'!$A$1:$B$63,2,0),0)</f>
        <v>0</v>
      </c>
      <c r="I393" s="138">
        <f>IF('1.DATOS-PROD'!R394="SI",VLOOKUP('1.DATOS-PROD'!R$2,'1.PUNTOS'!$A$1:$B$63,2,0),0)</f>
        <v>0</v>
      </c>
      <c r="J393" s="138">
        <f>IF('1.DATOS-PROD'!S394="SI",VLOOKUP('1.DATOS-PROD'!S$2,'1.PUNTOS'!$A$1:$B$63,2,0),0)</f>
        <v>0</v>
      </c>
      <c r="K393" s="138">
        <f>IF('1.DATOS-PROD'!T394="SI",VLOOKUP('1.DATOS-PROD'!T$2,'1.PUNTOS'!$A$1:$B$63,2,0),0)</f>
        <v>0</v>
      </c>
      <c r="L393" s="138">
        <f>IF('1.DATOS-PROD'!U394="SI",VLOOKUP('1.DATOS-PROD'!U$2,'1.PUNTOS'!$A$1:$B$63,2,0),0)</f>
        <v>0</v>
      </c>
      <c r="M393" s="138">
        <f>IF('1.DATOS-PROD'!V394="SI",VLOOKUP('1.DATOS-PROD'!V$2,'1.PUNTOS'!$A$1:$B$63,2,0),0)</f>
        <v>0</v>
      </c>
      <c r="N393" s="138">
        <f>IF('1.DATOS-PROD'!W394="SI",VLOOKUP('1.DATOS-PROD'!W$2,'1.PUNTOS'!$A$1:$B$63,2,0),0)</f>
        <v>0</v>
      </c>
      <c r="O393" s="138">
        <f>IF('1.DATOS-PROD'!X394="SI",VLOOKUP('1.DATOS-PROD'!X$2,'1.PUNTOS'!$A$1:$B$63,2,0),0)</f>
        <v>0</v>
      </c>
      <c r="P393" s="138">
        <f>IF('1.DATOS-PROD'!Y394="SI",VLOOKUP('1.DATOS-PROD'!Y$2,'1.PUNTOS'!$A$1:$B$63,2,0),0)</f>
        <v>0</v>
      </c>
      <c r="Q393" s="138">
        <f>IF('1.DATOS-PROD'!Z394="SI",VLOOKUP('1.DATOS-PROD'!Z$2,'1.PUNTOS'!$A$1:$B$63,2,0),0)</f>
        <v>0</v>
      </c>
      <c r="R393" s="138">
        <f>IF('1.DATOS-PROD'!AA394="SI",VLOOKUP('1.DATOS-PROD'!AA$2,'1.PUNTOS'!$A$1:$B$63,2,0),0)</f>
        <v>0</v>
      </c>
      <c r="S393" s="138">
        <f>IF('1.DATOS-PROD'!AB394="SI",VLOOKUP('1.DATOS-PROD'!AB$2,'1.PUNTOS'!$A$1:$B$63,2,0),0)</f>
        <v>0</v>
      </c>
      <c r="T393" s="138">
        <f>IF('1.DATOS-PROD'!AC394="SI",VLOOKUP('1.DATOS-PROD'!AC$2,'1.PUNTOS'!$A$1:$B$63,2,0),0)</f>
        <v>0</v>
      </c>
      <c r="U393" s="138">
        <f>IF('1.DATOS-PROD'!AD394="SI",VLOOKUP('1.DATOS-PROD'!AD$2,'1.PUNTOS'!$A$1:$B$63,2,0),0)</f>
        <v>0</v>
      </c>
      <c r="V393" s="138">
        <f>IF('1.DATOS-PROD'!AE394="SI",VLOOKUP('1.DATOS-PROD'!AE$2,'1.PUNTOS'!$A$1:$B$63,2,0),0)</f>
        <v>0</v>
      </c>
      <c r="W393" s="138">
        <f>IF('1.DATOS-PROD'!AF394="SI",VLOOKUP('1.DATOS-PROD'!AF$2,'1.PUNTOS'!$A$1:$B$63,2,0),0)</f>
        <v>0</v>
      </c>
      <c r="X393" s="138">
        <f>IF('1.DATOS-PROD'!AG394="SI",VLOOKUP('1.DATOS-PROD'!AG$2,'1.PUNTOS'!$A$1:$B$63,2,0),0)</f>
        <v>0</v>
      </c>
      <c r="Y393" s="138">
        <f>IF('1.DATOS-PROD'!AH394="SI",VLOOKUP('1.DATOS-PROD'!AH$2,'1.PUNTOS'!$A$1:$B$63,2,0),0)</f>
        <v>0</v>
      </c>
      <c r="Z393" s="138">
        <f>IF('1.DATOS-PROD'!AI394="SI",VLOOKUP('1.DATOS-PROD'!AI$2,'1.PUNTOS'!$A$1:$B$63,2,0),0)</f>
        <v>0</v>
      </c>
      <c r="AA393" s="138">
        <f>IF('1.DATOS-PROD'!AJ394="SI",VLOOKUP('1.DATOS-PROD'!AJ$2,'1.PUNTOS'!$A$1:$B$63,2,0),0)</f>
        <v>0</v>
      </c>
      <c r="AB393" s="138">
        <f>IF('1.DATOS-PROD'!AK394="SI",VLOOKUP('1.DATOS-PROD'!AK$2,'1.PUNTOS'!$A$1:$B$63,2,0),0)</f>
        <v>0</v>
      </c>
      <c r="AC393" s="138">
        <f>IF('1.DATOS-PROD'!AL394="SI",VLOOKUP('1.DATOS-PROD'!AL$2,'1.PUNTOS'!$A$1:$B$63,2,0),0)</f>
        <v>0</v>
      </c>
      <c r="AD393" s="138">
        <f>IF('1.DATOS-PROD'!AM394="SI",VLOOKUP('1.DATOS-PROD'!AM$2,'1.PUNTOS'!$A$1:$B$63,2,0),0)</f>
        <v>0</v>
      </c>
      <c r="AE393" s="138">
        <f>IF('1.DATOS-PROD'!AN394="SI",VLOOKUP('1.DATOS-PROD'!AN$2,'1.PUNTOS'!$A$1:$B$63,2,0),0)</f>
        <v>0</v>
      </c>
      <c r="AF393" s="138">
        <f>IF('1.DATOS-PROD'!AO394="SI",VLOOKUP('1.DATOS-PROD'!AO$2,'1.PUNTOS'!$A$1:$B$63,2,0),0)</f>
        <v>0</v>
      </c>
      <c r="AG393" s="138">
        <f>IF('1.DATOS-PROD'!AP394="SI",VLOOKUP('1.DATOS-PROD'!AP$2,'1.PUNTOS'!$A$1:$B$63,2,0),0)</f>
        <v>0</v>
      </c>
      <c r="AH393" s="138">
        <f>IF('1.DATOS-PROD'!AQ394="SI",VLOOKUP('1.DATOS-PROD'!AQ$2,'1.PUNTOS'!$A$1:$B$63,2,0),0)</f>
        <v>0</v>
      </c>
      <c r="AI393" s="138">
        <f>IF('1.DATOS-PROD'!AR394="SI",VLOOKUP('1.DATOS-PROD'!AR$2,'1.PUNTOS'!$A$1:$B$63,2,0),0)</f>
        <v>0</v>
      </c>
      <c r="AJ393" s="138">
        <f>IF('1.DATOS-PROD'!AS394="SI",VLOOKUP('1.DATOS-PROD'!AS$2,'1.PUNTOS'!$A$1:$B$63,2,0),0)</f>
        <v>0</v>
      </c>
      <c r="AK393" s="138">
        <f>IF('1.DATOS-PROD'!AT394="SI",VLOOKUP('1.DATOS-PROD'!AT$2,'1.PUNTOS'!$A$1:$B$63,2,0),0)</f>
        <v>0</v>
      </c>
      <c r="AL393" s="138">
        <f>IF('1.DATOS-PROD'!AU394="SI",VLOOKUP('1.DATOS-PROD'!AU$2,'1.PUNTOS'!$A$1:$B$63,2,0),0)</f>
        <v>0</v>
      </c>
      <c r="AM393" s="138">
        <f>IF('1.DATOS-PROD'!AV394="SI",VLOOKUP('1.DATOS-PROD'!AV$2,'1.PUNTOS'!$A$1:$B$63,2,0),0)</f>
        <v>0</v>
      </c>
      <c r="AN393" s="138">
        <f>IF('1.DATOS-PROD'!AW394="SI",VLOOKUP('1.DATOS-PROD'!AW$2,'1.PUNTOS'!$A$1:$B$63,2,0),0)</f>
        <v>0</v>
      </c>
      <c r="AO393" s="138">
        <f>IF('1.DATOS-PROD'!AX394="SI",VLOOKUP('1.DATOS-PROD'!AX$2,'1.PUNTOS'!$A$1:$B$63,2,0),0)</f>
        <v>0</v>
      </c>
      <c r="AP393" s="138">
        <f>IF('1.DATOS-PROD'!AY394="SI",VLOOKUP('1.DATOS-PROD'!AY$2,'1.PUNTOS'!$A$1:$B$63,2,0),0)</f>
        <v>0</v>
      </c>
      <c r="AQ393" s="138">
        <f>IF('1.DATOS-PROD'!AZ394="SI",VLOOKUP('1.DATOS-PROD'!AZ$2,'1.PUNTOS'!$A$1:$B$63,2,0),0)</f>
        <v>0</v>
      </c>
      <c r="AR393" s="138">
        <f>IF('1.DATOS-PROD'!BA394="SI",VLOOKUP('1.DATOS-PROD'!BA$2,'1.PUNTOS'!$A$1:$B$63,2,0),0)</f>
        <v>0</v>
      </c>
      <c r="AS393" s="138">
        <f>IF('1.DATOS-PROD'!BB394="SI",VLOOKUP('1.DATOS-PROD'!BB$2,'1.PUNTOS'!$A$1:$B$63,2,0),0)</f>
        <v>0</v>
      </c>
      <c r="AT393" s="138">
        <f>IF('1.DATOS-PROD'!BC394="SI",VLOOKUP('1.DATOS-PROD'!BC$2,'1.PUNTOS'!$A$1:$B$63,2,0),0)</f>
        <v>0</v>
      </c>
      <c r="AU393" s="138">
        <f>IF('1.DATOS-PROD'!BD394="SI",VLOOKUP('1.DATOS-PROD'!BD$2,'1.PUNTOS'!$A$1:$B$63,2,0),0)</f>
        <v>0</v>
      </c>
      <c r="AV393" s="138">
        <f>IF('1.DATOS-PROD'!BE394="SI",VLOOKUP('1.DATOS-PROD'!BE$2,'1.PUNTOS'!$A$1:$B$63,2,0),0)</f>
        <v>0</v>
      </c>
      <c r="AW393" s="138">
        <f>IF('1.DATOS-PROD'!BF394="SI",VLOOKUP('1.DATOS-PROD'!BF$2,'1.PUNTOS'!$A$1:$B$63,2,0),0)</f>
        <v>0</v>
      </c>
      <c r="AX393" s="138">
        <f>IF('1.DATOS-PROD'!BG394="SI",VLOOKUP('1.DATOS-PROD'!BG$2,'1.PUNTOS'!$A$1:$B$63,2,0),0)</f>
        <v>0</v>
      </c>
      <c r="AY393" s="138">
        <f>IF('1.DATOS-PROD'!BH394="SI",VLOOKUP('1.DATOS-PROD'!BH$2,'1.PUNTOS'!$A$1:$B$63,2,0),0)</f>
        <v>0</v>
      </c>
      <c r="AZ393" s="138">
        <f>IF('1.DATOS-PROD'!BI394="SI",VLOOKUP('1.DATOS-PROD'!BI$2,'1.PUNTOS'!$A$1:$B$63,2,0),0)</f>
        <v>0</v>
      </c>
      <c r="BA393" s="138">
        <f>IF('1.DATOS-PROD'!BJ394="SI",VLOOKUP('1.DATOS-PROD'!BJ$2,'1.PUNTOS'!$A$1:$B$63,2,0),0)</f>
        <v>0</v>
      </c>
      <c r="BB393" s="138">
        <f>IF('1.DATOS-PROD'!BK394="SI",VLOOKUP('1.DATOS-PROD'!BK$2,'1.PUNTOS'!$A$1:$B$63,2,0),0)</f>
        <v>0</v>
      </c>
      <c r="BC393" s="138">
        <f>IF('1.DATOS-PROD'!BL394="SI",VLOOKUP('1.DATOS-PROD'!BL$2,'1.PUNTOS'!$A$1:$B$63,2,0),0)</f>
        <v>0</v>
      </c>
      <c r="BD393" s="138">
        <f>IF('1.DATOS-PROD'!BM394="SI",VLOOKUP('1.DATOS-PROD'!BM$2,'1.PUNTOS'!$A$1:$B$63,2,0),0)</f>
        <v>0</v>
      </c>
      <c r="BE393" s="138">
        <f>IF('1.DATOS-PROD'!BN394="SI",VLOOKUP('1.DATOS-PROD'!BN$2,'1.PUNTOS'!$A$1:$B$63,2,0),0)</f>
        <v>0</v>
      </c>
      <c r="BF393" s="138">
        <f>IF('1.DATOS-PROD'!BO394="SI",VLOOKUP('1.DATOS-PROD'!BO$2,'1.PUNTOS'!$A$1:$B$63,2,0),0)</f>
        <v>0</v>
      </c>
      <c r="BG393" s="138">
        <f>IF('1.DATOS-PROD'!BP394="SI",VLOOKUP('1.DATOS-PROD'!BP$2,'1.PUNTOS'!$A$1:$B$63,2,0),0)</f>
        <v>0</v>
      </c>
      <c r="BH393" s="138">
        <f>IF('1.DATOS-PROD'!BQ394="SI",VLOOKUP('1.DATOS-PROD'!BQ$2,'1.PUNTOS'!$A$1:$B$63,2,0),0)</f>
        <v>0</v>
      </c>
      <c r="BI393" s="138">
        <f>IF('1.DATOS-PROD'!BR394="SI",VLOOKUP('1.DATOS-PROD'!BR$2,'1.PUNTOS'!$A$1:$B$63,2,0),0)</f>
        <v>0</v>
      </c>
      <c r="BJ393" s="138">
        <f>IF('1.DATOS-PROD'!BS394="SI",VLOOKUP('1.DATOS-PROD'!BS$2,'1.PUNTOS'!$A$1:$B$63,2,0),0)</f>
        <v>0</v>
      </c>
      <c r="BK393" s="138">
        <f>IF('1.DATOS-PROD'!BT394="SI",VLOOKUP('1.DATOS-PROD'!BT$2,'1.PUNTOS'!$A$1:$B$63,2,0),0)</f>
        <v>0</v>
      </c>
    </row>
    <row r="394" spans="1:63" x14ac:dyDescent="0.25">
      <c r="A394">
        <f>'0.Consolidado general'!$A395</f>
        <v>0</v>
      </c>
      <c r="B394" s="138">
        <f>IF('1.DATOS-PROD'!K395="SI",VLOOKUP('1.DATOS-PROD'!K$2,'1.PUNTOS'!$A$1:$B$63,2,0),0)</f>
        <v>0</v>
      </c>
      <c r="C394" s="138">
        <f>IF('1.DATOS-PROD'!L395="SI",VLOOKUP('1.DATOS-PROD'!L$2,'1.PUNTOS'!$A$1:$B$63,2,0),0)</f>
        <v>0</v>
      </c>
      <c r="D394" s="138">
        <f>IF('1.DATOS-PROD'!M395="SI",VLOOKUP('1.DATOS-PROD'!M$2,'1.PUNTOS'!$A$1:$B$63,2,0),0)</f>
        <v>0</v>
      </c>
      <c r="E394" s="138">
        <f>IF('1.DATOS-PROD'!N395="SI",VLOOKUP('1.DATOS-PROD'!N$2,'1.PUNTOS'!$A$1:$B$63,2,0),0)</f>
        <v>0</v>
      </c>
      <c r="F394" s="138">
        <f>IF('1.DATOS-PROD'!O395="SI",VLOOKUP('1.DATOS-PROD'!O$2,'1.PUNTOS'!$A$1:$B$63,2,0),0)</f>
        <v>0</v>
      </c>
      <c r="G394" s="138">
        <f>IF('1.DATOS-PROD'!P395="SI",VLOOKUP('1.DATOS-PROD'!P$2,'1.PUNTOS'!$A$1:$B$63,2,0),0)</f>
        <v>0</v>
      </c>
      <c r="H394" s="138">
        <f>IF('1.DATOS-PROD'!Q395="SI",VLOOKUP('1.DATOS-PROD'!Q$2,'1.PUNTOS'!$A$1:$B$63,2,0),0)</f>
        <v>0</v>
      </c>
      <c r="I394" s="138">
        <f>IF('1.DATOS-PROD'!R395="SI",VLOOKUP('1.DATOS-PROD'!R$2,'1.PUNTOS'!$A$1:$B$63,2,0),0)</f>
        <v>0</v>
      </c>
      <c r="J394" s="138">
        <f>IF('1.DATOS-PROD'!S395="SI",VLOOKUP('1.DATOS-PROD'!S$2,'1.PUNTOS'!$A$1:$B$63,2,0),0)</f>
        <v>0</v>
      </c>
      <c r="K394" s="138">
        <f>IF('1.DATOS-PROD'!T395="SI",VLOOKUP('1.DATOS-PROD'!T$2,'1.PUNTOS'!$A$1:$B$63,2,0),0)</f>
        <v>0</v>
      </c>
      <c r="L394" s="138">
        <f>IF('1.DATOS-PROD'!U395="SI",VLOOKUP('1.DATOS-PROD'!U$2,'1.PUNTOS'!$A$1:$B$63,2,0),0)</f>
        <v>0</v>
      </c>
      <c r="M394" s="138">
        <f>IF('1.DATOS-PROD'!V395="SI",VLOOKUP('1.DATOS-PROD'!V$2,'1.PUNTOS'!$A$1:$B$63,2,0),0)</f>
        <v>0</v>
      </c>
      <c r="N394" s="138">
        <f>IF('1.DATOS-PROD'!W395="SI",VLOOKUP('1.DATOS-PROD'!W$2,'1.PUNTOS'!$A$1:$B$63,2,0),0)</f>
        <v>0</v>
      </c>
      <c r="O394" s="138">
        <f>IF('1.DATOS-PROD'!X395="SI",VLOOKUP('1.DATOS-PROD'!X$2,'1.PUNTOS'!$A$1:$B$63,2,0),0)</f>
        <v>0</v>
      </c>
      <c r="P394" s="138">
        <f>IF('1.DATOS-PROD'!Y395="SI",VLOOKUP('1.DATOS-PROD'!Y$2,'1.PUNTOS'!$A$1:$B$63,2,0),0)</f>
        <v>0</v>
      </c>
      <c r="Q394" s="138">
        <f>IF('1.DATOS-PROD'!Z395="SI",VLOOKUP('1.DATOS-PROD'!Z$2,'1.PUNTOS'!$A$1:$B$63,2,0),0)</f>
        <v>0</v>
      </c>
      <c r="R394" s="138">
        <f>IF('1.DATOS-PROD'!AA395="SI",VLOOKUP('1.DATOS-PROD'!AA$2,'1.PUNTOS'!$A$1:$B$63,2,0),0)</f>
        <v>0</v>
      </c>
      <c r="S394" s="138">
        <f>IF('1.DATOS-PROD'!AB395="SI",VLOOKUP('1.DATOS-PROD'!AB$2,'1.PUNTOS'!$A$1:$B$63,2,0),0)</f>
        <v>0</v>
      </c>
      <c r="T394" s="138">
        <f>IF('1.DATOS-PROD'!AC395="SI",VLOOKUP('1.DATOS-PROD'!AC$2,'1.PUNTOS'!$A$1:$B$63,2,0),0)</f>
        <v>0</v>
      </c>
      <c r="U394" s="138">
        <f>IF('1.DATOS-PROD'!AD395="SI",VLOOKUP('1.DATOS-PROD'!AD$2,'1.PUNTOS'!$A$1:$B$63,2,0),0)</f>
        <v>0</v>
      </c>
      <c r="V394" s="138">
        <f>IF('1.DATOS-PROD'!AE395="SI",VLOOKUP('1.DATOS-PROD'!AE$2,'1.PUNTOS'!$A$1:$B$63,2,0),0)</f>
        <v>0</v>
      </c>
      <c r="W394" s="138">
        <f>IF('1.DATOS-PROD'!AF395="SI",VLOOKUP('1.DATOS-PROD'!AF$2,'1.PUNTOS'!$A$1:$B$63,2,0),0)</f>
        <v>0</v>
      </c>
      <c r="X394" s="138">
        <f>IF('1.DATOS-PROD'!AG395="SI",VLOOKUP('1.DATOS-PROD'!AG$2,'1.PUNTOS'!$A$1:$B$63,2,0),0)</f>
        <v>0</v>
      </c>
      <c r="Y394" s="138">
        <f>IF('1.DATOS-PROD'!AH395="SI",VLOOKUP('1.DATOS-PROD'!AH$2,'1.PUNTOS'!$A$1:$B$63,2,0),0)</f>
        <v>0</v>
      </c>
      <c r="Z394" s="138">
        <f>IF('1.DATOS-PROD'!AI395="SI",VLOOKUP('1.DATOS-PROD'!AI$2,'1.PUNTOS'!$A$1:$B$63,2,0),0)</f>
        <v>0</v>
      </c>
      <c r="AA394" s="138">
        <f>IF('1.DATOS-PROD'!AJ395="SI",VLOOKUP('1.DATOS-PROD'!AJ$2,'1.PUNTOS'!$A$1:$B$63,2,0),0)</f>
        <v>0</v>
      </c>
      <c r="AB394" s="138">
        <f>IF('1.DATOS-PROD'!AK395="SI",VLOOKUP('1.DATOS-PROD'!AK$2,'1.PUNTOS'!$A$1:$B$63,2,0),0)</f>
        <v>0</v>
      </c>
      <c r="AC394" s="138">
        <f>IF('1.DATOS-PROD'!AL395="SI",VLOOKUP('1.DATOS-PROD'!AL$2,'1.PUNTOS'!$A$1:$B$63,2,0),0)</f>
        <v>0</v>
      </c>
      <c r="AD394" s="138">
        <f>IF('1.DATOS-PROD'!AM395="SI",VLOOKUP('1.DATOS-PROD'!AM$2,'1.PUNTOS'!$A$1:$B$63,2,0),0)</f>
        <v>0</v>
      </c>
      <c r="AE394" s="138">
        <f>IF('1.DATOS-PROD'!AN395="SI",VLOOKUP('1.DATOS-PROD'!AN$2,'1.PUNTOS'!$A$1:$B$63,2,0),0)</f>
        <v>0</v>
      </c>
      <c r="AF394" s="138">
        <f>IF('1.DATOS-PROD'!AO395="SI",VLOOKUP('1.DATOS-PROD'!AO$2,'1.PUNTOS'!$A$1:$B$63,2,0),0)</f>
        <v>0</v>
      </c>
      <c r="AG394" s="138">
        <f>IF('1.DATOS-PROD'!AP395="SI",VLOOKUP('1.DATOS-PROD'!AP$2,'1.PUNTOS'!$A$1:$B$63,2,0),0)</f>
        <v>0</v>
      </c>
      <c r="AH394" s="138">
        <f>IF('1.DATOS-PROD'!AQ395="SI",VLOOKUP('1.DATOS-PROD'!AQ$2,'1.PUNTOS'!$A$1:$B$63,2,0),0)</f>
        <v>0</v>
      </c>
      <c r="AI394" s="138">
        <f>IF('1.DATOS-PROD'!AR395="SI",VLOOKUP('1.DATOS-PROD'!AR$2,'1.PUNTOS'!$A$1:$B$63,2,0),0)</f>
        <v>0</v>
      </c>
      <c r="AJ394" s="138">
        <f>IF('1.DATOS-PROD'!AS395="SI",VLOOKUP('1.DATOS-PROD'!AS$2,'1.PUNTOS'!$A$1:$B$63,2,0),0)</f>
        <v>0</v>
      </c>
      <c r="AK394" s="138">
        <f>IF('1.DATOS-PROD'!AT395="SI",VLOOKUP('1.DATOS-PROD'!AT$2,'1.PUNTOS'!$A$1:$B$63,2,0),0)</f>
        <v>0</v>
      </c>
      <c r="AL394" s="138">
        <f>IF('1.DATOS-PROD'!AU395="SI",VLOOKUP('1.DATOS-PROD'!AU$2,'1.PUNTOS'!$A$1:$B$63,2,0),0)</f>
        <v>0</v>
      </c>
      <c r="AM394" s="138">
        <f>IF('1.DATOS-PROD'!AV395="SI",VLOOKUP('1.DATOS-PROD'!AV$2,'1.PUNTOS'!$A$1:$B$63,2,0),0)</f>
        <v>0</v>
      </c>
      <c r="AN394" s="138">
        <f>IF('1.DATOS-PROD'!AW395="SI",VLOOKUP('1.DATOS-PROD'!AW$2,'1.PUNTOS'!$A$1:$B$63,2,0),0)</f>
        <v>0</v>
      </c>
      <c r="AO394" s="138">
        <f>IF('1.DATOS-PROD'!AX395="SI",VLOOKUP('1.DATOS-PROD'!AX$2,'1.PUNTOS'!$A$1:$B$63,2,0),0)</f>
        <v>0</v>
      </c>
      <c r="AP394" s="138">
        <f>IF('1.DATOS-PROD'!AY395="SI",VLOOKUP('1.DATOS-PROD'!AY$2,'1.PUNTOS'!$A$1:$B$63,2,0),0)</f>
        <v>0</v>
      </c>
      <c r="AQ394" s="138">
        <f>IF('1.DATOS-PROD'!AZ395="SI",VLOOKUP('1.DATOS-PROD'!AZ$2,'1.PUNTOS'!$A$1:$B$63,2,0),0)</f>
        <v>0</v>
      </c>
      <c r="AR394" s="138">
        <f>IF('1.DATOS-PROD'!BA395="SI",VLOOKUP('1.DATOS-PROD'!BA$2,'1.PUNTOS'!$A$1:$B$63,2,0),0)</f>
        <v>0</v>
      </c>
      <c r="AS394" s="138">
        <f>IF('1.DATOS-PROD'!BB395="SI",VLOOKUP('1.DATOS-PROD'!BB$2,'1.PUNTOS'!$A$1:$B$63,2,0),0)</f>
        <v>0</v>
      </c>
      <c r="AT394" s="138">
        <f>IF('1.DATOS-PROD'!BC395="SI",VLOOKUP('1.DATOS-PROD'!BC$2,'1.PUNTOS'!$A$1:$B$63,2,0),0)</f>
        <v>0</v>
      </c>
      <c r="AU394" s="138">
        <f>IF('1.DATOS-PROD'!BD395="SI",VLOOKUP('1.DATOS-PROD'!BD$2,'1.PUNTOS'!$A$1:$B$63,2,0),0)</f>
        <v>0</v>
      </c>
      <c r="AV394" s="138">
        <f>IF('1.DATOS-PROD'!BE395="SI",VLOOKUP('1.DATOS-PROD'!BE$2,'1.PUNTOS'!$A$1:$B$63,2,0),0)</f>
        <v>0</v>
      </c>
      <c r="AW394" s="138">
        <f>IF('1.DATOS-PROD'!BF395="SI",VLOOKUP('1.DATOS-PROD'!BF$2,'1.PUNTOS'!$A$1:$B$63,2,0),0)</f>
        <v>0</v>
      </c>
      <c r="AX394" s="138">
        <f>IF('1.DATOS-PROD'!BG395="SI",VLOOKUP('1.DATOS-PROD'!BG$2,'1.PUNTOS'!$A$1:$B$63,2,0),0)</f>
        <v>0</v>
      </c>
      <c r="AY394" s="138">
        <f>IF('1.DATOS-PROD'!BH395="SI",VLOOKUP('1.DATOS-PROD'!BH$2,'1.PUNTOS'!$A$1:$B$63,2,0),0)</f>
        <v>0</v>
      </c>
      <c r="AZ394" s="138">
        <f>IF('1.DATOS-PROD'!BI395="SI",VLOOKUP('1.DATOS-PROD'!BI$2,'1.PUNTOS'!$A$1:$B$63,2,0),0)</f>
        <v>0</v>
      </c>
      <c r="BA394" s="138">
        <f>IF('1.DATOS-PROD'!BJ395="SI",VLOOKUP('1.DATOS-PROD'!BJ$2,'1.PUNTOS'!$A$1:$B$63,2,0),0)</f>
        <v>0</v>
      </c>
      <c r="BB394" s="138">
        <f>IF('1.DATOS-PROD'!BK395="SI",VLOOKUP('1.DATOS-PROD'!BK$2,'1.PUNTOS'!$A$1:$B$63,2,0),0)</f>
        <v>0</v>
      </c>
      <c r="BC394" s="138">
        <f>IF('1.DATOS-PROD'!BL395="SI",VLOOKUP('1.DATOS-PROD'!BL$2,'1.PUNTOS'!$A$1:$B$63,2,0),0)</f>
        <v>0</v>
      </c>
      <c r="BD394" s="138">
        <f>IF('1.DATOS-PROD'!BM395="SI",VLOOKUP('1.DATOS-PROD'!BM$2,'1.PUNTOS'!$A$1:$B$63,2,0),0)</f>
        <v>0</v>
      </c>
      <c r="BE394" s="138">
        <f>IF('1.DATOS-PROD'!BN395="SI",VLOOKUP('1.DATOS-PROD'!BN$2,'1.PUNTOS'!$A$1:$B$63,2,0),0)</f>
        <v>0</v>
      </c>
      <c r="BF394" s="138">
        <f>IF('1.DATOS-PROD'!BO395="SI",VLOOKUP('1.DATOS-PROD'!BO$2,'1.PUNTOS'!$A$1:$B$63,2,0),0)</f>
        <v>0</v>
      </c>
      <c r="BG394" s="138">
        <f>IF('1.DATOS-PROD'!BP395="SI",VLOOKUP('1.DATOS-PROD'!BP$2,'1.PUNTOS'!$A$1:$B$63,2,0),0)</f>
        <v>0</v>
      </c>
      <c r="BH394" s="138">
        <f>IF('1.DATOS-PROD'!BQ395="SI",VLOOKUP('1.DATOS-PROD'!BQ$2,'1.PUNTOS'!$A$1:$B$63,2,0),0)</f>
        <v>0</v>
      </c>
      <c r="BI394" s="138">
        <f>IF('1.DATOS-PROD'!BR395="SI",VLOOKUP('1.DATOS-PROD'!BR$2,'1.PUNTOS'!$A$1:$B$63,2,0),0)</f>
        <v>0</v>
      </c>
      <c r="BJ394" s="138">
        <f>IF('1.DATOS-PROD'!BS395="SI",VLOOKUP('1.DATOS-PROD'!BS$2,'1.PUNTOS'!$A$1:$B$63,2,0),0)</f>
        <v>0</v>
      </c>
      <c r="BK394" s="138">
        <f>IF('1.DATOS-PROD'!BT395="SI",VLOOKUP('1.DATOS-PROD'!BT$2,'1.PUNTOS'!$A$1:$B$63,2,0),0)</f>
        <v>0</v>
      </c>
    </row>
    <row r="395" spans="1:63" x14ac:dyDescent="0.25">
      <c r="A395">
        <f>'0.Consolidado general'!$A396</f>
        <v>0</v>
      </c>
      <c r="B395" s="138">
        <f>IF('1.DATOS-PROD'!K396="SI",VLOOKUP('1.DATOS-PROD'!K$2,'1.PUNTOS'!$A$1:$B$63,2,0),0)</f>
        <v>0</v>
      </c>
      <c r="C395" s="138">
        <f>IF('1.DATOS-PROD'!L396="SI",VLOOKUP('1.DATOS-PROD'!L$2,'1.PUNTOS'!$A$1:$B$63,2,0),0)</f>
        <v>0</v>
      </c>
      <c r="D395" s="138">
        <f>IF('1.DATOS-PROD'!M396="SI",VLOOKUP('1.DATOS-PROD'!M$2,'1.PUNTOS'!$A$1:$B$63,2,0),0)</f>
        <v>0</v>
      </c>
      <c r="E395" s="138">
        <f>IF('1.DATOS-PROD'!N396="SI",VLOOKUP('1.DATOS-PROD'!N$2,'1.PUNTOS'!$A$1:$B$63,2,0),0)</f>
        <v>0</v>
      </c>
      <c r="F395" s="138">
        <f>IF('1.DATOS-PROD'!O396="SI",VLOOKUP('1.DATOS-PROD'!O$2,'1.PUNTOS'!$A$1:$B$63,2,0),0)</f>
        <v>0</v>
      </c>
      <c r="G395" s="138">
        <f>IF('1.DATOS-PROD'!P396="SI",VLOOKUP('1.DATOS-PROD'!P$2,'1.PUNTOS'!$A$1:$B$63,2,0),0)</f>
        <v>0</v>
      </c>
      <c r="H395" s="138">
        <f>IF('1.DATOS-PROD'!Q396="SI",VLOOKUP('1.DATOS-PROD'!Q$2,'1.PUNTOS'!$A$1:$B$63,2,0),0)</f>
        <v>0</v>
      </c>
      <c r="I395" s="138">
        <f>IF('1.DATOS-PROD'!R396="SI",VLOOKUP('1.DATOS-PROD'!R$2,'1.PUNTOS'!$A$1:$B$63,2,0),0)</f>
        <v>0</v>
      </c>
      <c r="J395" s="138">
        <f>IF('1.DATOS-PROD'!S396="SI",VLOOKUP('1.DATOS-PROD'!S$2,'1.PUNTOS'!$A$1:$B$63,2,0),0)</f>
        <v>0</v>
      </c>
      <c r="K395" s="138">
        <f>IF('1.DATOS-PROD'!T396="SI",VLOOKUP('1.DATOS-PROD'!T$2,'1.PUNTOS'!$A$1:$B$63,2,0),0)</f>
        <v>0</v>
      </c>
      <c r="L395" s="138">
        <f>IF('1.DATOS-PROD'!U396="SI",VLOOKUP('1.DATOS-PROD'!U$2,'1.PUNTOS'!$A$1:$B$63,2,0),0)</f>
        <v>0</v>
      </c>
      <c r="M395" s="138">
        <f>IF('1.DATOS-PROD'!V396="SI",VLOOKUP('1.DATOS-PROD'!V$2,'1.PUNTOS'!$A$1:$B$63,2,0),0)</f>
        <v>0</v>
      </c>
      <c r="N395" s="138">
        <f>IF('1.DATOS-PROD'!W396="SI",VLOOKUP('1.DATOS-PROD'!W$2,'1.PUNTOS'!$A$1:$B$63,2,0),0)</f>
        <v>0</v>
      </c>
      <c r="O395" s="138">
        <f>IF('1.DATOS-PROD'!X396="SI",VLOOKUP('1.DATOS-PROD'!X$2,'1.PUNTOS'!$A$1:$B$63,2,0),0)</f>
        <v>0</v>
      </c>
      <c r="P395" s="138">
        <f>IF('1.DATOS-PROD'!Y396="SI",VLOOKUP('1.DATOS-PROD'!Y$2,'1.PUNTOS'!$A$1:$B$63,2,0),0)</f>
        <v>0</v>
      </c>
      <c r="Q395" s="138">
        <f>IF('1.DATOS-PROD'!Z396="SI",VLOOKUP('1.DATOS-PROD'!Z$2,'1.PUNTOS'!$A$1:$B$63,2,0),0)</f>
        <v>0</v>
      </c>
      <c r="R395" s="138">
        <f>IF('1.DATOS-PROD'!AA396="SI",VLOOKUP('1.DATOS-PROD'!AA$2,'1.PUNTOS'!$A$1:$B$63,2,0),0)</f>
        <v>0</v>
      </c>
      <c r="S395" s="138">
        <f>IF('1.DATOS-PROD'!AB396="SI",VLOOKUP('1.DATOS-PROD'!AB$2,'1.PUNTOS'!$A$1:$B$63,2,0),0)</f>
        <v>0</v>
      </c>
      <c r="T395" s="138">
        <f>IF('1.DATOS-PROD'!AC396="SI",VLOOKUP('1.DATOS-PROD'!AC$2,'1.PUNTOS'!$A$1:$B$63,2,0),0)</f>
        <v>0</v>
      </c>
      <c r="U395" s="138">
        <f>IF('1.DATOS-PROD'!AD396="SI",VLOOKUP('1.DATOS-PROD'!AD$2,'1.PUNTOS'!$A$1:$B$63,2,0),0)</f>
        <v>0</v>
      </c>
      <c r="V395" s="138">
        <f>IF('1.DATOS-PROD'!AE396="SI",VLOOKUP('1.DATOS-PROD'!AE$2,'1.PUNTOS'!$A$1:$B$63,2,0),0)</f>
        <v>0</v>
      </c>
      <c r="W395" s="138">
        <f>IF('1.DATOS-PROD'!AF396="SI",VLOOKUP('1.DATOS-PROD'!AF$2,'1.PUNTOS'!$A$1:$B$63,2,0),0)</f>
        <v>0</v>
      </c>
      <c r="X395" s="138">
        <f>IF('1.DATOS-PROD'!AG396="SI",VLOOKUP('1.DATOS-PROD'!AG$2,'1.PUNTOS'!$A$1:$B$63,2,0),0)</f>
        <v>0</v>
      </c>
      <c r="Y395" s="138">
        <f>IF('1.DATOS-PROD'!AH396="SI",VLOOKUP('1.DATOS-PROD'!AH$2,'1.PUNTOS'!$A$1:$B$63,2,0),0)</f>
        <v>0</v>
      </c>
      <c r="Z395" s="138">
        <f>IF('1.DATOS-PROD'!AI396="SI",VLOOKUP('1.DATOS-PROD'!AI$2,'1.PUNTOS'!$A$1:$B$63,2,0),0)</f>
        <v>0</v>
      </c>
      <c r="AA395" s="138">
        <f>IF('1.DATOS-PROD'!AJ396="SI",VLOOKUP('1.DATOS-PROD'!AJ$2,'1.PUNTOS'!$A$1:$B$63,2,0),0)</f>
        <v>0</v>
      </c>
      <c r="AB395" s="138">
        <f>IF('1.DATOS-PROD'!AK396="SI",VLOOKUP('1.DATOS-PROD'!AK$2,'1.PUNTOS'!$A$1:$B$63,2,0),0)</f>
        <v>0</v>
      </c>
      <c r="AC395" s="138">
        <f>IF('1.DATOS-PROD'!AL396="SI",VLOOKUP('1.DATOS-PROD'!AL$2,'1.PUNTOS'!$A$1:$B$63,2,0),0)</f>
        <v>0</v>
      </c>
      <c r="AD395" s="138">
        <f>IF('1.DATOS-PROD'!AM396="SI",VLOOKUP('1.DATOS-PROD'!AM$2,'1.PUNTOS'!$A$1:$B$63,2,0),0)</f>
        <v>0</v>
      </c>
      <c r="AE395" s="138">
        <f>IF('1.DATOS-PROD'!AN396="SI",VLOOKUP('1.DATOS-PROD'!AN$2,'1.PUNTOS'!$A$1:$B$63,2,0),0)</f>
        <v>0</v>
      </c>
      <c r="AF395" s="138">
        <f>IF('1.DATOS-PROD'!AO396="SI",VLOOKUP('1.DATOS-PROD'!AO$2,'1.PUNTOS'!$A$1:$B$63,2,0),0)</f>
        <v>0</v>
      </c>
      <c r="AG395" s="138">
        <f>IF('1.DATOS-PROD'!AP396="SI",VLOOKUP('1.DATOS-PROD'!AP$2,'1.PUNTOS'!$A$1:$B$63,2,0),0)</f>
        <v>0</v>
      </c>
      <c r="AH395" s="138">
        <f>IF('1.DATOS-PROD'!AQ396="SI",VLOOKUP('1.DATOS-PROD'!AQ$2,'1.PUNTOS'!$A$1:$B$63,2,0),0)</f>
        <v>0</v>
      </c>
      <c r="AI395" s="138">
        <f>IF('1.DATOS-PROD'!AR396="SI",VLOOKUP('1.DATOS-PROD'!AR$2,'1.PUNTOS'!$A$1:$B$63,2,0),0)</f>
        <v>0</v>
      </c>
      <c r="AJ395" s="138">
        <f>IF('1.DATOS-PROD'!AS396="SI",VLOOKUP('1.DATOS-PROD'!AS$2,'1.PUNTOS'!$A$1:$B$63,2,0),0)</f>
        <v>0</v>
      </c>
      <c r="AK395" s="138">
        <f>IF('1.DATOS-PROD'!AT396="SI",VLOOKUP('1.DATOS-PROD'!AT$2,'1.PUNTOS'!$A$1:$B$63,2,0),0)</f>
        <v>0</v>
      </c>
      <c r="AL395" s="138">
        <f>IF('1.DATOS-PROD'!AU396="SI",VLOOKUP('1.DATOS-PROD'!AU$2,'1.PUNTOS'!$A$1:$B$63,2,0),0)</f>
        <v>0</v>
      </c>
      <c r="AM395" s="138">
        <f>IF('1.DATOS-PROD'!AV396="SI",VLOOKUP('1.DATOS-PROD'!AV$2,'1.PUNTOS'!$A$1:$B$63,2,0),0)</f>
        <v>0</v>
      </c>
      <c r="AN395" s="138">
        <f>IF('1.DATOS-PROD'!AW396="SI",VLOOKUP('1.DATOS-PROD'!AW$2,'1.PUNTOS'!$A$1:$B$63,2,0),0)</f>
        <v>0</v>
      </c>
      <c r="AO395" s="138">
        <f>IF('1.DATOS-PROD'!AX396="SI",VLOOKUP('1.DATOS-PROD'!AX$2,'1.PUNTOS'!$A$1:$B$63,2,0),0)</f>
        <v>0</v>
      </c>
      <c r="AP395" s="138">
        <f>IF('1.DATOS-PROD'!AY396="SI",VLOOKUP('1.DATOS-PROD'!AY$2,'1.PUNTOS'!$A$1:$B$63,2,0),0)</f>
        <v>0</v>
      </c>
      <c r="AQ395" s="138">
        <f>IF('1.DATOS-PROD'!AZ396="SI",VLOOKUP('1.DATOS-PROD'!AZ$2,'1.PUNTOS'!$A$1:$B$63,2,0),0)</f>
        <v>0</v>
      </c>
      <c r="AR395" s="138">
        <f>IF('1.DATOS-PROD'!BA396="SI",VLOOKUP('1.DATOS-PROD'!BA$2,'1.PUNTOS'!$A$1:$B$63,2,0),0)</f>
        <v>0</v>
      </c>
      <c r="AS395" s="138">
        <f>IF('1.DATOS-PROD'!BB396="SI",VLOOKUP('1.DATOS-PROD'!BB$2,'1.PUNTOS'!$A$1:$B$63,2,0),0)</f>
        <v>0</v>
      </c>
      <c r="AT395" s="138">
        <f>IF('1.DATOS-PROD'!BC396="SI",VLOOKUP('1.DATOS-PROD'!BC$2,'1.PUNTOS'!$A$1:$B$63,2,0),0)</f>
        <v>0</v>
      </c>
      <c r="AU395" s="138">
        <f>IF('1.DATOS-PROD'!BD396="SI",VLOOKUP('1.DATOS-PROD'!BD$2,'1.PUNTOS'!$A$1:$B$63,2,0),0)</f>
        <v>0</v>
      </c>
      <c r="AV395" s="138">
        <f>IF('1.DATOS-PROD'!BE396="SI",VLOOKUP('1.DATOS-PROD'!BE$2,'1.PUNTOS'!$A$1:$B$63,2,0),0)</f>
        <v>0</v>
      </c>
      <c r="AW395" s="138">
        <f>IF('1.DATOS-PROD'!BF396="SI",VLOOKUP('1.DATOS-PROD'!BF$2,'1.PUNTOS'!$A$1:$B$63,2,0),0)</f>
        <v>0</v>
      </c>
      <c r="AX395" s="138">
        <f>IF('1.DATOS-PROD'!BG396="SI",VLOOKUP('1.DATOS-PROD'!BG$2,'1.PUNTOS'!$A$1:$B$63,2,0),0)</f>
        <v>0</v>
      </c>
      <c r="AY395" s="138">
        <f>IF('1.DATOS-PROD'!BH396="SI",VLOOKUP('1.DATOS-PROD'!BH$2,'1.PUNTOS'!$A$1:$B$63,2,0),0)</f>
        <v>0</v>
      </c>
      <c r="AZ395" s="138">
        <f>IF('1.DATOS-PROD'!BI396="SI",VLOOKUP('1.DATOS-PROD'!BI$2,'1.PUNTOS'!$A$1:$B$63,2,0),0)</f>
        <v>0</v>
      </c>
      <c r="BA395" s="138">
        <f>IF('1.DATOS-PROD'!BJ396="SI",VLOOKUP('1.DATOS-PROD'!BJ$2,'1.PUNTOS'!$A$1:$B$63,2,0),0)</f>
        <v>0</v>
      </c>
      <c r="BB395" s="138">
        <f>IF('1.DATOS-PROD'!BK396="SI",VLOOKUP('1.DATOS-PROD'!BK$2,'1.PUNTOS'!$A$1:$B$63,2,0),0)</f>
        <v>0</v>
      </c>
      <c r="BC395" s="138">
        <f>IF('1.DATOS-PROD'!BL396="SI",VLOOKUP('1.DATOS-PROD'!BL$2,'1.PUNTOS'!$A$1:$B$63,2,0),0)</f>
        <v>0</v>
      </c>
      <c r="BD395" s="138">
        <f>IF('1.DATOS-PROD'!BM396="SI",VLOOKUP('1.DATOS-PROD'!BM$2,'1.PUNTOS'!$A$1:$B$63,2,0),0)</f>
        <v>0</v>
      </c>
      <c r="BE395" s="138">
        <f>IF('1.DATOS-PROD'!BN396="SI",VLOOKUP('1.DATOS-PROD'!BN$2,'1.PUNTOS'!$A$1:$B$63,2,0),0)</f>
        <v>0</v>
      </c>
      <c r="BF395" s="138">
        <f>IF('1.DATOS-PROD'!BO396="SI",VLOOKUP('1.DATOS-PROD'!BO$2,'1.PUNTOS'!$A$1:$B$63,2,0),0)</f>
        <v>0</v>
      </c>
      <c r="BG395" s="138">
        <f>IF('1.DATOS-PROD'!BP396="SI",VLOOKUP('1.DATOS-PROD'!BP$2,'1.PUNTOS'!$A$1:$B$63,2,0),0)</f>
        <v>0</v>
      </c>
      <c r="BH395" s="138">
        <f>IF('1.DATOS-PROD'!BQ396="SI",VLOOKUP('1.DATOS-PROD'!BQ$2,'1.PUNTOS'!$A$1:$B$63,2,0),0)</f>
        <v>0</v>
      </c>
      <c r="BI395" s="138">
        <f>IF('1.DATOS-PROD'!BR396="SI",VLOOKUP('1.DATOS-PROD'!BR$2,'1.PUNTOS'!$A$1:$B$63,2,0),0)</f>
        <v>0</v>
      </c>
      <c r="BJ395" s="138">
        <f>IF('1.DATOS-PROD'!BS396="SI",VLOOKUP('1.DATOS-PROD'!BS$2,'1.PUNTOS'!$A$1:$B$63,2,0),0)</f>
        <v>0</v>
      </c>
      <c r="BK395" s="138">
        <f>IF('1.DATOS-PROD'!BT396="SI",VLOOKUP('1.DATOS-PROD'!BT$2,'1.PUNTOS'!$A$1:$B$63,2,0),0)</f>
        <v>0</v>
      </c>
    </row>
    <row r="396" spans="1:63" x14ac:dyDescent="0.25">
      <c r="A396">
        <f>'0.Consolidado general'!$A397</f>
        <v>0</v>
      </c>
      <c r="B396" s="138">
        <f>IF('1.DATOS-PROD'!K397="SI",VLOOKUP('1.DATOS-PROD'!K$2,'1.PUNTOS'!$A$1:$B$63,2,0),0)</f>
        <v>0</v>
      </c>
      <c r="C396" s="138">
        <f>IF('1.DATOS-PROD'!L397="SI",VLOOKUP('1.DATOS-PROD'!L$2,'1.PUNTOS'!$A$1:$B$63,2,0),0)</f>
        <v>0</v>
      </c>
      <c r="D396" s="138">
        <f>IF('1.DATOS-PROD'!M397="SI",VLOOKUP('1.DATOS-PROD'!M$2,'1.PUNTOS'!$A$1:$B$63,2,0),0)</f>
        <v>0</v>
      </c>
      <c r="E396" s="138">
        <f>IF('1.DATOS-PROD'!N397="SI",VLOOKUP('1.DATOS-PROD'!N$2,'1.PUNTOS'!$A$1:$B$63,2,0),0)</f>
        <v>0</v>
      </c>
      <c r="F396" s="138">
        <f>IF('1.DATOS-PROD'!O397="SI",VLOOKUP('1.DATOS-PROD'!O$2,'1.PUNTOS'!$A$1:$B$63,2,0),0)</f>
        <v>0</v>
      </c>
      <c r="G396" s="138">
        <f>IF('1.DATOS-PROD'!P397="SI",VLOOKUP('1.DATOS-PROD'!P$2,'1.PUNTOS'!$A$1:$B$63,2,0),0)</f>
        <v>0</v>
      </c>
      <c r="H396" s="138">
        <f>IF('1.DATOS-PROD'!Q397="SI",VLOOKUP('1.DATOS-PROD'!Q$2,'1.PUNTOS'!$A$1:$B$63,2,0),0)</f>
        <v>0</v>
      </c>
      <c r="I396" s="138">
        <f>IF('1.DATOS-PROD'!R397="SI",VLOOKUP('1.DATOS-PROD'!R$2,'1.PUNTOS'!$A$1:$B$63,2,0),0)</f>
        <v>0</v>
      </c>
      <c r="J396" s="138">
        <f>IF('1.DATOS-PROD'!S397="SI",VLOOKUP('1.DATOS-PROD'!S$2,'1.PUNTOS'!$A$1:$B$63,2,0),0)</f>
        <v>0</v>
      </c>
      <c r="K396" s="138">
        <f>IF('1.DATOS-PROD'!T397="SI",VLOOKUP('1.DATOS-PROD'!T$2,'1.PUNTOS'!$A$1:$B$63,2,0),0)</f>
        <v>0</v>
      </c>
      <c r="L396" s="138">
        <f>IF('1.DATOS-PROD'!U397="SI",VLOOKUP('1.DATOS-PROD'!U$2,'1.PUNTOS'!$A$1:$B$63,2,0),0)</f>
        <v>0</v>
      </c>
      <c r="M396" s="138">
        <f>IF('1.DATOS-PROD'!V397="SI",VLOOKUP('1.DATOS-PROD'!V$2,'1.PUNTOS'!$A$1:$B$63,2,0),0)</f>
        <v>0</v>
      </c>
      <c r="N396" s="138">
        <f>IF('1.DATOS-PROD'!W397="SI",VLOOKUP('1.DATOS-PROD'!W$2,'1.PUNTOS'!$A$1:$B$63,2,0),0)</f>
        <v>0</v>
      </c>
      <c r="O396" s="138">
        <f>IF('1.DATOS-PROD'!X397="SI",VLOOKUP('1.DATOS-PROD'!X$2,'1.PUNTOS'!$A$1:$B$63,2,0),0)</f>
        <v>0</v>
      </c>
      <c r="P396" s="138">
        <f>IF('1.DATOS-PROD'!Y397="SI",VLOOKUP('1.DATOS-PROD'!Y$2,'1.PUNTOS'!$A$1:$B$63,2,0),0)</f>
        <v>0</v>
      </c>
      <c r="Q396" s="138">
        <f>IF('1.DATOS-PROD'!Z397="SI",VLOOKUP('1.DATOS-PROD'!Z$2,'1.PUNTOS'!$A$1:$B$63,2,0),0)</f>
        <v>0</v>
      </c>
      <c r="R396" s="138">
        <f>IF('1.DATOS-PROD'!AA397="SI",VLOOKUP('1.DATOS-PROD'!AA$2,'1.PUNTOS'!$A$1:$B$63,2,0),0)</f>
        <v>0</v>
      </c>
      <c r="S396" s="138">
        <f>IF('1.DATOS-PROD'!AB397="SI",VLOOKUP('1.DATOS-PROD'!AB$2,'1.PUNTOS'!$A$1:$B$63,2,0),0)</f>
        <v>0</v>
      </c>
      <c r="T396" s="138">
        <f>IF('1.DATOS-PROD'!AC397="SI",VLOOKUP('1.DATOS-PROD'!AC$2,'1.PUNTOS'!$A$1:$B$63,2,0),0)</f>
        <v>0</v>
      </c>
      <c r="U396" s="138">
        <f>IF('1.DATOS-PROD'!AD397="SI",VLOOKUP('1.DATOS-PROD'!AD$2,'1.PUNTOS'!$A$1:$B$63,2,0),0)</f>
        <v>0</v>
      </c>
      <c r="V396" s="138">
        <f>IF('1.DATOS-PROD'!AE397="SI",VLOOKUP('1.DATOS-PROD'!AE$2,'1.PUNTOS'!$A$1:$B$63,2,0),0)</f>
        <v>0</v>
      </c>
      <c r="W396" s="138">
        <f>IF('1.DATOS-PROD'!AF397="SI",VLOOKUP('1.DATOS-PROD'!AF$2,'1.PUNTOS'!$A$1:$B$63,2,0),0)</f>
        <v>0</v>
      </c>
      <c r="X396" s="138">
        <f>IF('1.DATOS-PROD'!AG397="SI",VLOOKUP('1.DATOS-PROD'!AG$2,'1.PUNTOS'!$A$1:$B$63,2,0),0)</f>
        <v>0</v>
      </c>
      <c r="Y396" s="138">
        <f>IF('1.DATOS-PROD'!AH397="SI",VLOOKUP('1.DATOS-PROD'!AH$2,'1.PUNTOS'!$A$1:$B$63,2,0),0)</f>
        <v>0</v>
      </c>
      <c r="Z396" s="138">
        <f>IF('1.DATOS-PROD'!AI397="SI",VLOOKUP('1.DATOS-PROD'!AI$2,'1.PUNTOS'!$A$1:$B$63,2,0),0)</f>
        <v>0</v>
      </c>
      <c r="AA396" s="138">
        <f>IF('1.DATOS-PROD'!AJ397="SI",VLOOKUP('1.DATOS-PROD'!AJ$2,'1.PUNTOS'!$A$1:$B$63,2,0),0)</f>
        <v>0</v>
      </c>
      <c r="AB396" s="138">
        <f>IF('1.DATOS-PROD'!AK397="SI",VLOOKUP('1.DATOS-PROD'!AK$2,'1.PUNTOS'!$A$1:$B$63,2,0),0)</f>
        <v>0</v>
      </c>
      <c r="AC396" s="138">
        <f>IF('1.DATOS-PROD'!AL397="SI",VLOOKUP('1.DATOS-PROD'!AL$2,'1.PUNTOS'!$A$1:$B$63,2,0),0)</f>
        <v>0</v>
      </c>
      <c r="AD396" s="138">
        <f>IF('1.DATOS-PROD'!AM397="SI",VLOOKUP('1.DATOS-PROD'!AM$2,'1.PUNTOS'!$A$1:$B$63,2,0),0)</f>
        <v>0</v>
      </c>
      <c r="AE396" s="138">
        <f>IF('1.DATOS-PROD'!AN397="SI",VLOOKUP('1.DATOS-PROD'!AN$2,'1.PUNTOS'!$A$1:$B$63,2,0),0)</f>
        <v>0</v>
      </c>
      <c r="AF396" s="138">
        <f>IF('1.DATOS-PROD'!AO397="SI",VLOOKUP('1.DATOS-PROD'!AO$2,'1.PUNTOS'!$A$1:$B$63,2,0),0)</f>
        <v>0</v>
      </c>
      <c r="AG396" s="138">
        <f>IF('1.DATOS-PROD'!AP397="SI",VLOOKUP('1.DATOS-PROD'!AP$2,'1.PUNTOS'!$A$1:$B$63,2,0),0)</f>
        <v>0</v>
      </c>
      <c r="AH396" s="138">
        <f>IF('1.DATOS-PROD'!AQ397="SI",VLOOKUP('1.DATOS-PROD'!AQ$2,'1.PUNTOS'!$A$1:$B$63,2,0),0)</f>
        <v>0</v>
      </c>
      <c r="AI396" s="138">
        <f>IF('1.DATOS-PROD'!AR397="SI",VLOOKUP('1.DATOS-PROD'!AR$2,'1.PUNTOS'!$A$1:$B$63,2,0),0)</f>
        <v>0</v>
      </c>
      <c r="AJ396" s="138">
        <f>IF('1.DATOS-PROD'!AS397="SI",VLOOKUP('1.DATOS-PROD'!AS$2,'1.PUNTOS'!$A$1:$B$63,2,0),0)</f>
        <v>0</v>
      </c>
      <c r="AK396" s="138">
        <f>IF('1.DATOS-PROD'!AT397="SI",VLOOKUP('1.DATOS-PROD'!AT$2,'1.PUNTOS'!$A$1:$B$63,2,0),0)</f>
        <v>0</v>
      </c>
      <c r="AL396" s="138">
        <f>IF('1.DATOS-PROD'!AU397="SI",VLOOKUP('1.DATOS-PROD'!AU$2,'1.PUNTOS'!$A$1:$B$63,2,0),0)</f>
        <v>0</v>
      </c>
      <c r="AM396" s="138">
        <f>IF('1.DATOS-PROD'!AV397="SI",VLOOKUP('1.DATOS-PROD'!AV$2,'1.PUNTOS'!$A$1:$B$63,2,0),0)</f>
        <v>0</v>
      </c>
      <c r="AN396" s="138">
        <f>IF('1.DATOS-PROD'!AW397="SI",VLOOKUP('1.DATOS-PROD'!AW$2,'1.PUNTOS'!$A$1:$B$63,2,0),0)</f>
        <v>0</v>
      </c>
      <c r="AO396" s="138">
        <f>IF('1.DATOS-PROD'!AX397="SI",VLOOKUP('1.DATOS-PROD'!AX$2,'1.PUNTOS'!$A$1:$B$63,2,0),0)</f>
        <v>0</v>
      </c>
      <c r="AP396" s="138">
        <f>IF('1.DATOS-PROD'!AY397="SI",VLOOKUP('1.DATOS-PROD'!AY$2,'1.PUNTOS'!$A$1:$B$63,2,0),0)</f>
        <v>0</v>
      </c>
      <c r="AQ396" s="138">
        <f>IF('1.DATOS-PROD'!AZ397="SI",VLOOKUP('1.DATOS-PROD'!AZ$2,'1.PUNTOS'!$A$1:$B$63,2,0),0)</f>
        <v>0</v>
      </c>
      <c r="AR396" s="138">
        <f>IF('1.DATOS-PROD'!BA397="SI",VLOOKUP('1.DATOS-PROD'!BA$2,'1.PUNTOS'!$A$1:$B$63,2,0),0)</f>
        <v>0</v>
      </c>
      <c r="AS396" s="138">
        <f>IF('1.DATOS-PROD'!BB397="SI",VLOOKUP('1.DATOS-PROD'!BB$2,'1.PUNTOS'!$A$1:$B$63,2,0),0)</f>
        <v>0</v>
      </c>
      <c r="AT396" s="138">
        <f>IF('1.DATOS-PROD'!BC397="SI",VLOOKUP('1.DATOS-PROD'!BC$2,'1.PUNTOS'!$A$1:$B$63,2,0),0)</f>
        <v>0</v>
      </c>
      <c r="AU396" s="138">
        <f>IF('1.DATOS-PROD'!BD397="SI",VLOOKUP('1.DATOS-PROD'!BD$2,'1.PUNTOS'!$A$1:$B$63,2,0),0)</f>
        <v>0</v>
      </c>
      <c r="AV396" s="138">
        <f>IF('1.DATOS-PROD'!BE397="SI",VLOOKUP('1.DATOS-PROD'!BE$2,'1.PUNTOS'!$A$1:$B$63,2,0),0)</f>
        <v>0</v>
      </c>
      <c r="AW396" s="138">
        <f>IF('1.DATOS-PROD'!BF397="SI",VLOOKUP('1.DATOS-PROD'!BF$2,'1.PUNTOS'!$A$1:$B$63,2,0),0)</f>
        <v>0</v>
      </c>
      <c r="AX396" s="138">
        <f>IF('1.DATOS-PROD'!BG397="SI",VLOOKUP('1.DATOS-PROD'!BG$2,'1.PUNTOS'!$A$1:$B$63,2,0),0)</f>
        <v>0</v>
      </c>
      <c r="AY396" s="138">
        <f>IF('1.DATOS-PROD'!BH397="SI",VLOOKUP('1.DATOS-PROD'!BH$2,'1.PUNTOS'!$A$1:$B$63,2,0),0)</f>
        <v>0</v>
      </c>
      <c r="AZ396" s="138">
        <f>IF('1.DATOS-PROD'!BI397="SI",VLOOKUP('1.DATOS-PROD'!BI$2,'1.PUNTOS'!$A$1:$B$63,2,0),0)</f>
        <v>0</v>
      </c>
      <c r="BA396" s="138">
        <f>IF('1.DATOS-PROD'!BJ397="SI",VLOOKUP('1.DATOS-PROD'!BJ$2,'1.PUNTOS'!$A$1:$B$63,2,0),0)</f>
        <v>0</v>
      </c>
      <c r="BB396" s="138">
        <f>IF('1.DATOS-PROD'!BK397="SI",VLOOKUP('1.DATOS-PROD'!BK$2,'1.PUNTOS'!$A$1:$B$63,2,0),0)</f>
        <v>0</v>
      </c>
      <c r="BC396" s="138">
        <f>IF('1.DATOS-PROD'!BL397="SI",VLOOKUP('1.DATOS-PROD'!BL$2,'1.PUNTOS'!$A$1:$B$63,2,0),0)</f>
        <v>0</v>
      </c>
      <c r="BD396" s="138">
        <f>IF('1.DATOS-PROD'!BM397="SI",VLOOKUP('1.DATOS-PROD'!BM$2,'1.PUNTOS'!$A$1:$B$63,2,0),0)</f>
        <v>0</v>
      </c>
      <c r="BE396" s="138">
        <f>IF('1.DATOS-PROD'!BN397="SI",VLOOKUP('1.DATOS-PROD'!BN$2,'1.PUNTOS'!$A$1:$B$63,2,0),0)</f>
        <v>0</v>
      </c>
      <c r="BF396" s="138">
        <f>IF('1.DATOS-PROD'!BO397="SI",VLOOKUP('1.DATOS-PROD'!BO$2,'1.PUNTOS'!$A$1:$B$63,2,0),0)</f>
        <v>0</v>
      </c>
      <c r="BG396" s="138">
        <f>IF('1.DATOS-PROD'!BP397="SI",VLOOKUP('1.DATOS-PROD'!BP$2,'1.PUNTOS'!$A$1:$B$63,2,0),0)</f>
        <v>0</v>
      </c>
      <c r="BH396" s="138">
        <f>IF('1.DATOS-PROD'!BQ397="SI",VLOOKUP('1.DATOS-PROD'!BQ$2,'1.PUNTOS'!$A$1:$B$63,2,0),0)</f>
        <v>0</v>
      </c>
      <c r="BI396" s="138">
        <f>IF('1.DATOS-PROD'!BR397="SI",VLOOKUP('1.DATOS-PROD'!BR$2,'1.PUNTOS'!$A$1:$B$63,2,0),0)</f>
        <v>0</v>
      </c>
      <c r="BJ396" s="138">
        <f>IF('1.DATOS-PROD'!BS397="SI",VLOOKUP('1.DATOS-PROD'!BS$2,'1.PUNTOS'!$A$1:$B$63,2,0),0)</f>
        <v>0</v>
      </c>
      <c r="BK396" s="138">
        <f>IF('1.DATOS-PROD'!BT397="SI",VLOOKUP('1.DATOS-PROD'!BT$2,'1.PUNTOS'!$A$1:$B$63,2,0),0)</f>
        <v>0</v>
      </c>
    </row>
    <row r="397" spans="1:63" x14ac:dyDescent="0.25">
      <c r="A397">
        <f>'0.Consolidado general'!$A398</f>
        <v>0</v>
      </c>
      <c r="B397" s="138">
        <f>IF('1.DATOS-PROD'!K398="SI",VLOOKUP('1.DATOS-PROD'!K$2,'1.PUNTOS'!$A$1:$B$63,2,0),0)</f>
        <v>0</v>
      </c>
      <c r="C397" s="138">
        <f>IF('1.DATOS-PROD'!L398="SI",VLOOKUP('1.DATOS-PROD'!L$2,'1.PUNTOS'!$A$1:$B$63,2,0),0)</f>
        <v>0</v>
      </c>
      <c r="D397" s="138">
        <f>IF('1.DATOS-PROD'!M398="SI",VLOOKUP('1.DATOS-PROD'!M$2,'1.PUNTOS'!$A$1:$B$63,2,0),0)</f>
        <v>0</v>
      </c>
      <c r="E397" s="138">
        <f>IF('1.DATOS-PROD'!N398="SI",VLOOKUP('1.DATOS-PROD'!N$2,'1.PUNTOS'!$A$1:$B$63,2,0),0)</f>
        <v>0</v>
      </c>
      <c r="F397" s="138">
        <f>IF('1.DATOS-PROD'!O398="SI",VLOOKUP('1.DATOS-PROD'!O$2,'1.PUNTOS'!$A$1:$B$63,2,0),0)</f>
        <v>0</v>
      </c>
      <c r="G397" s="138">
        <f>IF('1.DATOS-PROD'!P398="SI",VLOOKUP('1.DATOS-PROD'!P$2,'1.PUNTOS'!$A$1:$B$63,2,0),0)</f>
        <v>0</v>
      </c>
      <c r="H397" s="138">
        <f>IF('1.DATOS-PROD'!Q398="SI",VLOOKUP('1.DATOS-PROD'!Q$2,'1.PUNTOS'!$A$1:$B$63,2,0),0)</f>
        <v>0</v>
      </c>
      <c r="I397" s="138">
        <f>IF('1.DATOS-PROD'!R398="SI",VLOOKUP('1.DATOS-PROD'!R$2,'1.PUNTOS'!$A$1:$B$63,2,0),0)</f>
        <v>0</v>
      </c>
      <c r="J397" s="138">
        <f>IF('1.DATOS-PROD'!S398="SI",VLOOKUP('1.DATOS-PROD'!S$2,'1.PUNTOS'!$A$1:$B$63,2,0),0)</f>
        <v>0</v>
      </c>
      <c r="K397" s="138">
        <f>IF('1.DATOS-PROD'!T398="SI",VLOOKUP('1.DATOS-PROD'!T$2,'1.PUNTOS'!$A$1:$B$63,2,0),0)</f>
        <v>0</v>
      </c>
      <c r="L397" s="138">
        <f>IF('1.DATOS-PROD'!U398="SI",VLOOKUP('1.DATOS-PROD'!U$2,'1.PUNTOS'!$A$1:$B$63,2,0),0)</f>
        <v>0</v>
      </c>
      <c r="M397" s="138">
        <f>IF('1.DATOS-PROD'!V398="SI",VLOOKUP('1.DATOS-PROD'!V$2,'1.PUNTOS'!$A$1:$B$63,2,0),0)</f>
        <v>0</v>
      </c>
      <c r="N397" s="138">
        <f>IF('1.DATOS-PROD'!W398="SI",VLOOKUP('1.DATOS-PROD'!W$2,'1.PUNTOS'!$A$1:$B$63,2,0),0)</f>
        <v>0</v>
      </c>
      <c r="O397" s="138">
        <f>IF('1.DATOS-PROD'!X398="SI",VLOOKUP('1.DATOS-PROD'!X$2,'1.PUNTOS'!$A$1:$B$63,2,0),0)</f>
        <v>0</v>
      </c>
      <c r="P397" s="138">
        <f>IF('1.DATOS-PROD'!Y398="SI",VLOOKUP('1.DATOS-PROD'!Y$2,'1.PUNTOS'!$A$1:$B$63,2,0),0)</f>
        <v>0</v>
      </c>
      <c r="Q397" s="138">
        <f>IF('1.DATOS-PROD'!Z398="SI",VLOOKUP('1.DATOS-PROD'!Z$2,'1.PUNTOS'!$A$1:$B$63,2,0),0)</f>
        <v>0</v>
      </c>
      <c r="R397" s="138">
        <f>IF('1.DATOS-PROD'!AA398="SI",VLOOKUP('1.DATOS-PROD'!AA$2,'1.PUNTOS'!$A$1:$B$63,2,0),0)</f>
        <v>0</v>
      </c>
      <c r="S397" s="138">
        <f>IF('1.DATOS-PROD'!AB398="SI",VLOOKUP('1.DATOS-PROD'!AB$2,'1.PUNTOS'!$A$1:$B$63,2,0),0)</f>
        <v>0</v>
      </c>
      <c r="T397" s="138">
        <f>IF('1.DATOS-PROD'!AC398="SI",VLOOKUP('1.DATOS-PROD'!AC$2,'1.PUNTOS'!$A$1:$B$63,2,0),0)</f>
        <v>0</v>
      </c>
      <c r="U397" s="138">
        <f>IF('1.DATOS-PROD'!AD398="SI",VLOOKUP('1.DATOS-PROD'!AD$2,'1.PUNTOS'!$A$1:$B$63,2,0),0)</f>
        <v>0</v>
      </c>
      <c r="V397" s="138">
        <f>IF('1.DATOS-PROD'!AE398="SI",VLOOKUP('1.DATOS-PROD'!AE$2,'1.PUNTOS'!$A$1:$B$63,2,0),0)</f>
        <v>0</v>
      </c>
      <c r="W397" s="138">
        <f>IF('1.DATOS-PROD'!AF398="SI",VLOOKUP('1.DATOS-PROD'!AF$2,'1.PUNTOS'!$A$1:$B$63,2,0),0)</f>
        <v>0</v>
      </c>
      <c r="X397" s="138">
        <f>IF('1.DATOS-PROD'!AG398="SI",VLOOKUP('1.DATOS-PROD'!AG$2,'1.PUNTOS'!$A$1:$B$63,2,0),0)</f>
        <v>0</v>
      </c>
      <c r="Y397" s="138">
        <f>IF('1.DATOS-PROD'!AH398="SI",VLOOKUP('1.DATOS-PROD'!AH$2,'1.PUNTOS'!$A$1:$B$63,2,0),0)</f>
        <v>0</v>
      </c>
      <c r="Z397" s="138">
        <f>IF('1.DATOS-PROD'!AI398="SI",VLOOKUP('1.DATOS-PROD'!AI$2,'1.PUNTOS'!$A$1:$B$63,2,0),0)</f>
        <v>0</v>
      </c>
      <c r="AA397" s="138">
        <f>IF('1.DATOS-PROD'!AJ398="SI",VLOOKUP('1.DATOS-PROD'!AJ$2,'1.PUNTOS'!$A$1:$B$63,2,0),0)</f>
        <v>0</v>
      </c>
      <c r="AB397" s="138">
        <f>IF('1.DATOS-PROD'!AK398="SI",VLOOKUP('1.DATOS-PROD'!AK$2,'1.PUNTOS'!$A$1:$B$63,2,0),0)</f>
        <v>0</v>
      </c>
      <c r="AC397" s="138">
        <f>IF('1.DATOS-PROD'!AL398="SI",VLOOKUP('1.DATOS-PROD'!AL$2,'1.PUNTOS'!$A$1:$B$63,2,0),0)</f>
        <v>0</v>
      </c>
      <c r="AD397" s="138">
        <f>IF('1.DATOS-PROD'!AM398="SI",VLOOKUP('1.DATOS-PROD'!AM$2,'1.PUNTOS'!$A$1:$B$63,2,0),0)</f>
        <v>0</v>
      </c>
      <c r="AE397" s="138">
        <f>IF('1.DATOS-PROD'!AN398="SI",VLOOKUP('1.DATOS-PROD'!AN$2,'1.PUNTOS'!$A$1:$B$63,2,0),0)</f>
        <v>0</v>
      </c>
      <c r="AF397" s="138">
        <f>IF('1.DATOS-PROD'!AO398="SI",VLOOKUP('1.DATOS-PROD'!AO$2,'1.PUNTOS'!$A$1:$B$63,2,0),0)</f>
        <v>0</v>
      </c>
      <c r="AG397" s="138">
        <f>IF('1.DATOS-PROD'!AP398="SI",VLOOKUP('1.DATOS-PROD'!AP$2,'1.PUNTOS'!$A$1:$B$63,2,0),0)</f>
        <v>0</v>
      </c>
      <c r="AH397" s="138">
        <f>IF('1.DATOS-PROD'!AQ398="SI",VLOOKUP('1.DATOS-PROD'!AQ$2,'1.PUNTOS'!$A$1:$B$63,2,0),0)</f>
        <v>0</v>
      </c>
      <c r="AI397" s="138">
        <f>IF('1.DATOS-PROD'!AR398="SI",VLOOKUP('1.DATOS-PROD'!AR$2,'1.PUNTOS'!$A$1:$B$63,2,0),0)</f>
        <v>0</v>
      </c>
      <c r="AJ397" s="138">
        <f>IF('1.DATOS-PROD'!AS398="SI",VLOOKUP('1.DATOS-PROD'!AS$2,'1.PUNTOS'!$A$1:$B$63,2,0),0)</f>
        <v>0</v>
      </c>
      <c r="AK397" s="138">
        <f>IF('1.DATOS-PROD'!AT398="SI",VLOOKUP('1.DATOS-PROD'!AT$2,'1.PUNTOS'!$A$1:$B$63,2,0),0)</f>
        <v>0</v>
      </c>
      <c r="AL397" s="138">
        <f>IF('1.DATOS-PROD'!AU398="SI",VLOOKUP('1.DATOS-PROD'!AU$2,'1.PUNTOS'!$A$1:$B$63,2,0),0)</f>
        <v>0</v>
      </c>
      <c r="AM397" s="138">
        <f>IF('1.DATOS-PROD'!AV398="SI",VLOOKUP('1.DATOS-PROD'!AV$2,'1.PUNTOS'!$A$1:$B$63,2,0),0)</f>
        <v>0</v>
      </c>
      <c r="AN397" s="138">
        <f>IF('1.DATOS-PROD'!AW398="SI",VLOOKUP('1.DATOS-PROD'!AW$2,'1.PUNTOS'!$A$1:$B$63,2,0),0)</f>
        <v>0</v>
      </c>
      <c r="AO397" s="138">
        <f>IF('1.DATOS-PROD'!AX398="SI",VLOOKUP('1.DATOS-PROD'!AX$2,'1.PUNTOS'!$A$1:$B$63,2,0),0)</f>
        <v>0</v>
      </c>
      <c r="AP397" s="138">
        <f>IF('1.DATOS-PROD'!AY398="SI",VLOOKUP('1.DATOS-PROD'!AY$2,'1.PUNTOS'!$A$1:$B$63,2,0),0)</f>
        <v>0</v>
      </c>
      <c r="AQ397" s="138">
        <f>IF('1.DATOS-PROD'!AZ398="SI",VLOOKUP('1.DATOS-PROD'!AZ$2,'1.PUNTOS'!$A$1:$B$63,2,0),0)</f>
        <v>0</v>
      </c>
      <c r="AR397" s="138">
        <f>IF('1.DATOS-PROD'!BA398="SI",VLOOKUP('1.DATOS-PROD'!BA$2,'1.PUNTOS'!$A$1:$B$63,2,0),0)</f>
        <v>0</v>
      </c>
      <c r="AS397" s="138">
        <f>IF('1.DATOS-PROD'!BB398="SI",VLOOKUP('1.DATOS-PROD'!BB$2,'1.PUNTOS'!$A$1:$B$63,2,0),0)</f>
        <v>0</v>
      </c>
      <c r="AT397" s="138">
        <f>IF('1.DATOS-PROD'!BC398="SI",VLOOKUP('1.DATOS-PROD'!BC$2,'1.PUNTOS'!$A$1:$B$63,2,0),0)</f>
        <v>0</v>
      </c>
      <c r="AU397" s="138">
        <f>IF('1.DATOS-PROD'!BD398="SI",VLOOKUP('1.DATOS-PROD'!BD$2,'1.PUNTOS'!$A$1:$B$63,2,0),0)</f>
        <v>0</v>
      </c>
      <c r="AV397" s="138">
        <f>IF('1.DATOS-PROD'!BE398="SI",VLOOKUP('1.DATOS-PROD'!BE$2,'1.PUNTOS'!$A$1:$B$63,2,0),0)</f>
        <v>0</v>
      </c>
      <c r="AW397" s="138">
        <f>IF('1.DATOS-PROD'!BF398="SI",VLOOKUP('1.DATOS-PROD'!BF$2,'1.PUNTOS'!$A$1:$B$63,2,0),0)</f>
        <v>0</v>
      </c>
      <c r="AX397" s="138">
        <f>IF('1.DATOS-PROD'!BG398="SI",VLOOKUP('1.DATOS-PROD'!BG$2,'1.PUNTOS'!$A$1:$B$63,2,0),0)</f>
        <v>0</v>
      </c>
      <c r="AY397" s="138">
        <f>IF('1.DATOS-PROD'!BH398="SI",VLOOKUP('1.DATOS-PROD'!BH$2,'1.PUNTOS'!$A$1:$B$63,2,0),0)</f>
        <v>0</v>
      </c>
      <c r="AZ397" s="138">
        <f>IF('1.DATOS-PROD'!BI398="SI",VLOOKUP('1.DATOS-PROD'!BI$2,'1.PUNTOS'!$A$1:$B$63,2,0),0)</f>
        <v>0</v>
      </c>
      <c r="BA397" s="138">
        <f>IF('1.DATOS-PROD'!BJ398="SI",VLOOKUP('1.DATOS-PROD'!BJ$2,'1.PUNTOS'!$A$1:$B$63,2,0),0)</f>
        <v>0</v>
      </c>
      <c r="BB397" s="138">
        <f>IF('1.DATOS-PROD'!BK398="SI",VLOOKUP('1.DATOS-PROD'!BK$2,'1.PUNTOS'!$A$1:$B$63,2,0),0)</f>
        <v>0</v>
      </c>
      <c r="BC397" s="138">
        <f>IF('1.DATOS-PROD'!BL398="SI",VLOOKUP('1.DATOS-PROD'!BL$2,'1.PUNTOS'!$A$1:$B$63,2,0),0)</f>
        <v>0</v>
      </c>
      <c r="BD397" s="138">
        <f>IF('1.DATOS-PROD'!BM398="SI",VLOOKUP('1.DATOS-PROD'!BM$2,'1.PUNTOS'!$A$1:$B$63,2,0),0)</f>
        <v>0</v>
      </c>
      <c r="BE397" s="138">
        <f>IF('1.DATOS-PROD'!BN398="SI",VLOOKUP('1.DATOS-PROD'!BN$2,'1.PUNTOS'!$A$1:$B$63,2,0),0)</f>
        <v>0</v>
      </c>
      <c r="BF397" s="138">
        <f>IF('1.DATOS-PROD'!BO398="SI",VLOOKUP('1.DATOS-PROD'!BO$2,'1.PUNTOS'!$A$1:$B$63,2,0),0)</f>
        <v>0</v>
      </c>
      <c r="BG397" s="138">
        <f>IF('1.DATOS-PROD'!BP398="SI",VLOOKUP('1.DATOS-PROD'!BP$2,'1.PUNTOS'!$A$1:$B$63,2,0),0)</f>
        <v>0</v>
      </c>
      <c r="BH397" s="138">
        <f>IF('1.DATOS-PROD'!BQ398="SI",VLOOKUP('1.DATOS-PROD'!BQ$2,'1.PUNTOS'!$A$1:$B$63,2,0),0)</f>
        <v>0</v>
      </c>
      <c r="BI397" s="138">
        <f>IF('1.DATOS-PROD'!BR398="SI",VLOOKUP('1.DATOS-PROD'!BR$2,'1.PUNTOS'!$A$1:$B$63,2,0),0)</f>
        <v>0</v>
      </c>
      <c r="BJ397" s="138">
        <f>IF('1.DATOS-PROD'!BS398="SI",VLOOKUP('1.DATOS-PROD'!BS$2,'1.PUNTOS'!$A$1:$B$63,2,0),0)</f>
        <v>0</v>
      </c>
      <c r="BK397" s="138">
        <f>IF('1.DATOS-PROD'!BT398="SI",VLOOKUP('1.DATOS-PROD'!BT$2,'1.PUNTOS'!$A$1:$B$63,2,0),0)</f>
        <v>0</v>
      </c>
    </row>
    <row r="398" spans="1:63" x14ac:dyDescent="0.25">
      <c r="A398">
        <f>'0.Consolidado general'!$A399</f>
        <v>0</v>
      </c>
      <c r="B398" s="138">
        <f>IF('1.DATOS-PROD'!K399="SI",VLOOKUP('1.DATOS-PROD'!K$2,'1.PUNTOS'!$A$1:$B$63,2,0),0)</f>
        <v>0</v>
      </c>
      <c r="C398" s="138">
        <f>IF('1.DATOS-PROD'!L399="SI",VLOOKUP('1.DATOS-PROD'!L$2,'1.PUNTOS'!$A$1:$B$63,2,0),0)</f>
        <v>0</v>
      </c>
      <c r="D398" s="138">
        <f>IF('1.DATOS-PROD'!M399="SI",VLOOKUP('1.DATOS-PROD'!M$2,'1.PUNTOS'!$A$1:$B$63,2,0),0)</f>
        <v>0</v>
      </c>
      <c r="E398" s="138">
        <f>IF('1.DATOS-PROD'!N399="SI",VLOOKUP('1.DATOS-PROD'!N$2,'1.PUNTOS'!$A$1:$B$63,2,0),0)</f>
        <v>0</v>
      </c>
      <c r="F398" s="138">
        <f>IF('1.DATOS-PROD'!O399="SI",VLOOKUP('1.DATOS-PROD'!O$2,'1.PUNTOS'!$A$1:$B$63,2,0),0)</f>
        <v>0</v>
      </c>
      <c r="G398" s="138">
        <f>IF('1.DATOS-PROD'!P399="SI",VLOOKUP('1.DATOS-PROD'!P$2,'1.PUNTOS'!$A$1:$B$63,2,0),0)</f>
        <v>0</v>
      </c>
      <c r="H398" s="138">
        <f>IF('1.DATOS-PROD'!Q399="SI",VLOOKUP('1.DATOS-PROD'!Q$2,'1.PUNTOS'!$A$1:$B$63,2,0),0)</f>
        <v>0</v>
      </c>
      <c r="I398" s="138">
        <f>IF('1.DATOS-PROD'!R399="SI",VLOOKUP('1.DATOS-PROD'!R$2,'1.PUNTOS'!$A$1:$B$63,2,0),0)</f>
        <v>0</v>
      </c>
      <c r="J398" s="138">
        <f>IF('1.DATOS-PROD'!S399="SI",VLOOKUP('1.DATOS-PROD'!S$2,'1.PUNTOS'!$A$1:$B$63,2,0),0)</f>
        <v>0</v>
      </c>
      <c r="K398" s="138">
        <f>IF('1.DATOS-PROD'!T399="SI",VLOOKUP('1.DATOS-PROD'!T$2,'1.PUNTOS'!$A$1:$B$63,2,0),0)</f>
        <v>0</v>
      </c>
      <c r="L398" s="138">
        <f>IF('1.DATOS-PROD'!U399="SI",VLOOKUP('1.DATOS-PROD'!U$2,'1.PUNTOS'!$A$1:$B$63,2,0),0)</f>
        <v>0</v>
      </c>
      <c r="M398" s="138">
        <f>IF('1.DATOS-PROD'!V399="SI",VLOOKUP('1.DATOS-PROD'!V$2,'1.PUNTOS'!$A$1:$B$63,2,0),0)</f>
        <v>0</v>
      </c>
      <c r="N398" s="138">
        <f>IF('1.DATOS-PROD'!W399="SI",VLOOKUP('1.DATOS-PROD'!W$2,'1.PUNTOS'!$A$1:$B$63,2,0),0)</f>
        <v>0</v>
      </c>
      <c r="O398" s="138">
        <f>IF('1.DATOS-PROD'!X399="SI",VLOOKUP('1.DATOS-PROD'!X$2,'1.PUNTOS'!$A$1:$B$63,2,0),0)</f>
        <v>0</v>
      </c>
      <c r="P398" s="138">
        <f>IF('1.DATOS-PROD'!Y399="SI",VLOOKUP('1.DATOS-PROD'!Y$2,'1.PUNTOS'!$A$1:$B$63,2,0),0)</f>
        <v>0</v>
      </c>
      <c r="Q398" s="138">
        <f>IF('1.DATOS-PROD'!Z399="SI",VLOOKUP('1.DATOS-PROD'!Z$2,'1.PUNTOS'!$A$1:$B$63,2,0),0)</f>
        <v>0</v>
      </c>
      <c r="R398" s="138">
        <f>IF('1.DATOS-PROD'!AA399="SI",VLOOKUP('1.DATOS-PROD'!AA$2,'1.PUNTOS'!$A$1:$B$63,2,0),0)</f>
        <v>0</v>
      </c>
      <c r="S398" s="138">
        <f>IF('1.DATOS-PROD'!AB399="SI",VLOOKUP('1.DATOS-PROD'!AB$2,'1.PUNTOS'!$A$1:$B$63,2,0),0)</f>
        <v>0</v>
      </c>
      <c r="T398" s="138">
        <f>IF('1.DATOS-PROD'!AC399="SI",VLOOKUP('1.DATOS-PROD'!AC$2,'1.PUNTOS'!$A$1:$B$63,2,0),0)</f>
        <v>0</v>
      </c>
      <c r="U398" s="138">
        <f>IF('1.DATOS-PROD'!AD399="SI",VLOOKUP('1.DATOS-PROD'!AD$2,'1.PUNTOS'!$A$1:$B$63,2,0),0)</f>
        <v>0</v>
      </c>
      <c r="V398" s="138">
        <f>IF('1.DATOS-PROD'!AE399="SI",VLOOKUP('1.DATOS-PROD'!AE$2,'1.PUNTOS'!$A$1:$B$63,2,0),0)</f>
        <v>0</v>
      </c>
      <c r="W398" s="138">
        <f>IF('1.DATOS-PROD'!AF399="SI",VLOOKUP('1.DATOS-PROD'!AF$2,'1.PUNTOS'!$A$1:$B$63,2,0),0)</f>
        <v>0</v>
      </c>
      <c r="X398" s="138">
        <f>IF('1.DATOS-PROD'!AG399="SI",VLOOKUP('1.DATOS-PROD'!AG$2,'1.PUNTOS'!$A$1:$B$63,2,0),0)</f>
        <v>0</v>
      </c>
      <c r="Y398" s="138">
        <f>IF('1.DATOS-PROD'!AH399="SI",VLOOKUP('1.DATOS-PROD'!AH$2,'1.PUNTOS'!$A$1:$B$63,2,0),0)</f>
        <v>0</v>
      </c>
      <c r="Z398" s="138">
        <f>IF('1.DATOS-PROD'!AI399="SI",VLOOKUP('1.DATOS-PROD'!AI$2,'1.PUNTOS'!$A$1:$B$63,2,0),0)</f>
        <v>0</v>
      </c>
      <c r="AA398" s="138">
        <f>IF('1.DATOS-PROD'!AJ399="SI",VLOOKUP('1.DATOS-PROD'!AJ$2,'1.PUNTOS'!$A$1:$B$63,2,0),0)</f>
        <v>0</v>
      </c>
      <c r="AB398" s="138">
        <f>IF('1.DATOS-PROD'!AK399="SI",VLOOKUP('1.DATOS-PROD'!AK$2,'1.PUNTOS'!$A$1:$B$63,2,0),0)</f>
        <v>0</v>
      </c>
      <c r="AC398" s="138">
        <f>IF('1.DATOS-PROD'!AL399="SI",VLOOKUP('1.DATOS-PROD'!AL$2,'1.PUNTOS'!$A$1:$B$63,2,0),0)</f>
        <v>0</v>
      </c>
      <c r="AD398" s="138">
        <f>IF('1.DATOS-PROD'!AM399="SI",VLOOKUP('1.DATOS-PROD'!AM$2,'1.PUNTOS'!$A$1:$B$63,2,0),0)</f>
        <v>0</v>
      </c>
      <c r="AE398" s="138">
        <f>IF('1.DATOS-PROD'!AN399="SI",VLOOKUP('1.DATOS-PROD'!AN$2,'1.PUNTOS'!$A$1:$B$63,2,0),0)</f>
        <v>0</v>
      </c>
      <c r="AF398" s="138">
        <f>IF('1.DATOS-PROD'!AO399="SI",VLOOKUP('1.DATOS-PROD'!AO$2,'1.PUNTOS'!$A$1:$B$63,2,0),0)</f>
        <v>0</v>
      </c>
      <c r="AG398" s="138">
        <f>IF('1.DATOS-PROD'!AP399="SI",VLOOKUP('1.DATOS-PROD'!AP$2,'1.PUNTOS'!$A$1:$B$63,2,0),0)</f>
        <v>0</v>
      </c>
      <c r="AH398" s="138">
        <f>IF('1.DATOS-PROD'!AQ399="SI",VLOOKUP('1.DATOS-PROD'!AQ$2,'1.PUNTOS'!$A$1:$B$63,2,0),0)</f>
        <v>0</v>
      </c>
      <c r="AI398" s="138">
        <f>IF('1.DATOS-PROD'!AR399="SI",VLOOKUP('1.DATOS-PROD'!AR$2,'1.PUNTOS'!$A$1:$B$63,2,0),0)</f>
        <v>0</v>
      </c>
      <c r="AJ398" s="138">
        <f>IF('1.DATOS-PROD'!AS399="SI",VLOOKUP('1.DATOS-PROD'!AS$2,'1.PUNTOS'!$A$1:$B$63,2,0),0)</f>
        <v>0</v>
      </c>
      <c r="AK398" s="138">
        <f>IF('1.DATOS-PROD'!AT399="SI",VLOOKUP('1.DATOS-PROD'!AT$2,'1.PUNTOS'!$A$1:$B$63,2,0),0)</f>
        <v>0</v>
      </c>
      <c r="AL398" s="138">
        <f>IF('1.DATOS-PROD'!AU399="SI",VLOOKUP('1.DATOS-PROD'!AU$2,'1.PUNTOS'!$A$1:$B$63,2,0),0)</f>
        <v>0</v>
      </c>
      <c r="AM398" s="138">
        <f>IF('1.DATOS-PROD'!AV399="SI",VLOOKUP('1.DATOS-PROD'!AV$2,'1.PUNTOS'!$A$1:$B$63,2,0),0)</f>
        <v>0</v>
      </c>
      <c r="AN398" s="138">
        <f>IF('1.DATOS-PROD'!AW399="SI",VLOOKUP('1.DATOS-PROD'!AW$2,'1.PUNTOS'!$A$1:$B$63,2,0),0)</f>
        <v>0</v>
      </c>
      <c r="AO398" s="138">
        <f>IF('1.DATOS-PROD'!AX399="SI",VLOOKUP('1.DATOS-PROD'!AX$2,'1.PUNTOS'!$A$1:$B$63,2,0),0)</f>
        <v>0</v>
      </c>
      <c r="AP398" s="138">
        <f>IF('1.DATOS-PROD'!AY399="SI",VLOOKUP('1.DATOS-PROD'!AY$2,'1.PUNTOS'!$A$1:$B$63,2,0),0)</f>
        <v>0</v>
      </c>
      <c r="AQ398" s="138">
        <f>IF('1.DATOS-PROD'!AZ399="SI",VLOOKUP('1.DATOS-PROD'!AZ$2,'1.PUNTOS'!$A$1:$B$63,2,0),0)</f>
        <v>0</v>
      </c>
      <c r="AR398" s="138">
        <f>IF('1.DATOS-PROD'!BA399="SI",VLOOKUP('1.DATOS-PROD'!BA$2,'1.PUNTOS'!$A$1:$B$63,2,0),0)</f>
        <v>0</v>
      </c>
      <c r="AS398" s="138">
        <f>IF('1.DATOS-PROD'!BB399="SI",VLOOKUP('1.DATOS-PROD'!BB$2,'1.PUNTOS'!$A$1:$B$63,2,0),0)</f>
        <v>0</v>
      </c>
      <c r="AT398" s="138">
        <f>IF('1.DATOS-PROD'!BC399="SI",VLOOKUP('1.DATOS-PROD'!BC$2,'1.PUNTOS'!$A$1:$B$63,2,0),0)</f>
        <v>0</v>
      </c>
      <c r="AU398" s="138">
        <f>IF('1.DATOS-PROD'!BD399="SI",VLOOKUP('1.DATOS-PROD'!BD$2,'1.PUNTOS'!$A$1:$B$63,2,0),0)</f>
        <v>0</v>
      </c>
      <c r="AV398" s="138">
        <f>IF('1.DATOS-PROD'!BE399="SI",VLOOKUP('1.DATOS-PROD'!BE$2,'1.PUNTOS'!$A$1:$B$63,2,0),0)</f>
        <v>0</v>
      </c>
      <c r="AW398" s="138">
        <f>IF('1.DATOS-PROD'!BF399="SI",VLOOKUP('1.DATOS-PROD'!BF$2,'1.PUNTOS'!$A$1:$B$63,2,0),0)</f>
        <v>0</v>
      </c>
      <c r="AX398" s="138">
        <f>IF('1.DATOS-PROD'!BG399="SI",VLOOKUP('1.DATOS-PROD'!BG$2,'1.PUNTOS'!$A$1:$B$63,2,0),0)</f>
        <v>0</v>
      </c>
      <c r="AY398" s="138">
        <f>IF('1.DATOS-PROD'!BH399="SI",VLOOKUP('1.DATOS-PROD'!BH$2,'1.PUNTOS'!$A$1:$B$63,2,0),0)</f>
        <v>0</v>
      </c>
      <c r="AZ398" s="138">
        <f>IF('1.DATOS-PROD'!BI399="SI",VLOOKUP('1.DATOS-PROD'!BI$2,'1.PUNTOS'!$A$1:$B$63,2,0),0)</f>
        <v>0</v>
      </c>
      <c r="BA398" s="138">
        <f>IF('1.DATOS-PROD'!BJ399="SI",VLOOKUP('1.DATOS-PROD'!BJ$2,'1.PUNTOS'!$A$1:$B$63,2,0),0)</f>
        <v>0</v>
      </c>
      <c r="BB398" s="138">
        <f>IF('1.DATOS-PROD'!BK399="SI",VLOOKUP('1.DATOS-PROD'!BK$2,'1.PUNTOS'!$A$1:$B$63,2,0),0)</f>
        <v>0</v>
      </c>
      <c r="BC398" s="138">
        <f>IF('1.DATOS-PROD'!BL399="SI",VLOOKUP('1.DATOS-PROD'!BL$2,'1.PUNTOS'!$A$1:$B$63,2,0),0)</f>
        <v>0</v>
      </c>
      <c r="BD398" s="138">
        <f>IF('1.DATOS-PROD'!BM399="SI",VLOOKUP('1.DATOS-PROD'!BM$2,'1.PUNTOS'!$A$1:$B$63,2,0),0)</f>
        <v>0</v>
      </c>
      <c r="BE398" s="138">
        <f>IF('1.DATOS-PROD'!BN399="SI",VLOOKUP('1.DATOS-PROD'!BN$2,'1.PUNTOS'!$A$1:$B$63,2,0),0)</f>
        <v>0</v>
      </c>
      <c r="BF398" s="138">
        <f>IF('1.DATOS-PROD'!BO399="SI",VLOOKUP('1.DATOS-PROD'!BO$2,'1.PUNTOS'!$A$1:$B$63,2,0),0)</f>
        <v>0</v>
      </c>
      <c r="BG398" s="138">
        <f>IF('1.DATOS-PROD'!BP399="SI",VLOOKUP('1.DATOS-PROD'!BP$2,'1.PUNTOS'!$A$1:$B$63,2,0),0)</f>
        <v>0</v>
      </c>
      <c r="BH398" s="138">
        <f>IF('1.DATOS-PROD'!BQ399="SI",VLOOKUP('1.DATOS-PROD'!BQ$2,'1.PUNTOS'!$A$1:$B$63,2,0),0)</f>
        <v>0</v>
      </c>
      <c r="BI398" s="138">
        <f>IF('1.DATOS-PROD'!BR399="SI",VLOOKUP('1.DATOS-PROD'!BR$2,'1.PUNTOS'!$A$1:$B$63,2,0),0)</f>
        <v>0</v>
      </c>
      <c r="BJ398" s="138">
        <f>IF('1.DATOS-PROD'!BS399="SI",VLOOKUP('1.DATOS-PROD'!BS$2,'1.PUNTOS'!$A$1:$B$63,2,0),0)</f>
        <v>0</v>
      </c>
      <c r="BK398" s="138">
        <f>IF('1.DATOS-PROD'!BT399="SI",VLOOKUP('1.DATOS-PROD'!BT$2,'1.PUNTOS'!$A$1:$B$63,2,0),0)</f>
        <v>0</v>
      </c>
    </row>
    <row r="399" spans="1:63" x14ac:dyDescent="0.25">
      <c r="A399">
        <f>'0.Consolidado general'!$A400</f>
        <v>0</v>
      </c>
      <c r="B399" s="138">
        <f>IF('1.DATOS-PROD'!K400="SI",VLOOKUP('1.DATOS-PROD'!K$2,'1.PUNTOS'!$A$1:$B$63,2,0),0)</f>
        <v>0</v>
      </c>
      <c r="C399" s="138">
        <f>IF('1.DATOS-PROD'!L400="SI",VLOOKUP('1.DATOS-PROD'!L$2,'1.PUNTOS'!$A$1:$B$63,2,0),0)</f>
        <v>0</v>
      </c>
      <c r="D399" s="138">
        <f>IF('1.DATOS-PROD'!M400="SI",VLOOKUP('1.DATOS-PROD'!M$2,'1.PUNTOS'!$A$1:$B$63,2,0),0)</f>
        <v>0</v>
      </c>
      <c r="E399" s="138">
        <f>IF('1.DATOS-PROD'!N400="SI",VLOOKUP('1.DATOS-PROD'!N$2,'1.PUNTOS'!$A$1:$B$63,2,0),0)</f>
        <v>0</v>
      </c>
      <c r="F399" s="138">
        <f>IF('1.DATOS-PROD'!O400="SI",VLOOKUP('1.DATOS-PROD'!O$2,'1.PUNTOS'!$A$1:$B$63,2,0),0)</f>
        <v>0</v>
      </c>
      <c r="G399" s="138">
        <f>IF('1.DATOS-PROD'!P400="SI",VLOOKUP('1.DATOS-PROD'!P$2,'1.PUNTOS'!$A$1:$B$63,2,0),0)</f>
        <v>0</v>
      </c>
      <c r="H399" s="138">
        <f>IF('1.DATOS-PROD'!Q400="SI",VLOOKUP('1.DATOS-PROD'!Q$2,'1.PUNTOS'!$A$1:$B$63,2,0),0)</f>
        <v>0</v>
      </c>
      <c r="I399" s="138">
        <f>IF('1.DATOS-PROD'!R400="SI",VLOOKUP('1.DATOS-PROD'!R$2,'1.PUNTOS'!$A$1:$B$63,2,0),0)</f>
        <v>0</v>
      </c>
      <c r="J399" s="138">
        <f>IF('1.DATOS-PROD'!S400="SI",VLOOKUP('1.DATOS-PROD'!S$2,'1.PUNTOS'!$A$1:$B$63,2,0),0)</f>
        <v>0</v>
      </c>
      <c r="K399" s="138">
        <f>IF('1.DATOS-PROD'!T400="SI",VLOOKUP('1.DATOS-PROD'!T$2,'1.PUNTOS'!$A$1:$B$63,2,0),0)</f>
        <v>0</v>
      </c>
      <c r="L399" s="138">
        <f>IF('1.DATOS-PROD'!U400="SI",VLOOKUP('1.DATOS-PROD'!U$2,'1.PUNTOS'!$A$1:$B$63,2,0),0)</f>
        <v>0</v>
      </c>
      <c r="M399" s="138">
        <f>IF('1.DATOS-PROD'!V400="SI",VLOOKUP('1.DATOS-PROD'!V$2,'1.PUNTOS'!$A$1:$B$63,2,0),0)</f>
        <v>0</v>
      </c>
      <c r="N399" s="138">
        <f>IF('1.DATOS-PROD'!W400="SI",VLOOKUP('1.DATOS-PROD'!W$2,'1.PUNTOS'!$A$1:$B$63,2,0),0)</f>
        <v>0</v>
      </c>
      <c r="O399" s="138">
        <f>IF('1.DATOS-PROD'!X400="SI",VLOOKUP('1.DATOS-PROD'!X$2,'1.PUNTOS'!$A$1:$B$63,2,0),0)</f>
        <v>0</v>
      </c>
      <c r="P399" s="138">
        <f>IF('1.DATOS-PROD'!Y400="SI",VLOOKUP('1.DATOS-PROD'!Y$2,'1.PUNTOS'!$A$1:$B$63,2,0),0)</f>
        <v>0</v>
      </c>
      <c r="Q399" s="138">
        <f>IF('1.DATOS-PROD'!Z400="SI",VLOOKUP('1.DATOS-PROD'!Z$2,'1.PUNTOS'!$A$1:$B$63,2,0),0)</f>
        <v>0</v>
      </c>
      <c r="R399" s="138">
        <f>IF('1.DATOS-PROD'!AA400="SI",VLOOKUP('1.DATOS-PROD'!AA$2,'1.PUNTOS'!$A$1:$B$63,2,0),0)</f>
        <v>0</v>
      </c>
      <c r="S399" s="138">
        <f>IF('1.DATOS-PROD'!AB400="SI",VLOOKUP('1.DATOS-PROD'!AB$2,'1.PUNTOS'!$A$1:$B$63,2,0),0)</f>
        <v>0</v>
      </c>
      <c r="T399" s="138">
        <f>IF('1.DATOS-PROD'!AC400="SI",VLOOKUP('1.DATOS-PROD'!AC$2,'1.PUNTOS'!$A$1:$B$63,2,0),0)</f>
        <v>0</v>
      </c>
      <c r="U399" s="138">
        <f>IF('1.DATOS-PROD'!AD400="SI",VLOOKUP('1.DATOS-PROD'!AD$2,'1.PUNTOS'!$A$1:$B$63,2,0),0)</f>
        <v>0</v>
      </c>
      <c r="V399" s="138">
        <f>IF('1.DATOS-PROD'!AE400="SI",VLOOKUP('1.DATOS-PROD'!AE$2,'1.PUNTOS'!$A$1:$B$63,2,0),0)</f>
        <v>0</v>
      </c>
      <c r="W399" s="138">
        <f>IF('1.DATOS-PROD'!AF400="SI",VLOOKUP('1.DATOS-PROD'!AF$2,'1.PUNTOS'!$A$1:$B$63,2,0),0)</f>
        <v>0</v>
      </c>
      <c r="X399" s="138">
        <f>IF('1.DATOS-PROD'!AG400="SI",VLOOKUP('1.DATOS-PROD'!AG$2,'1.PUNTOS'!$A$1:$B$63,2,0),0)</f>
        <v>0</v>
      </c>
      <c r="Y399" s="138">
        <f>IF('1.DATOS-PROD'!AH400="SI",VLOOKUP('1.DATOS-PROD'!AH$2,'1.PUNTOS'!$A$1:$B$63,2,0),0)</f>
        <v>0</v>
      </c>
      <c r="Z399" s="138">
        <f>IF('1.DATOS-PROD'!AI400="SI",VLOOKUP('1.DATOS-PROD'!AI$2,'1.PUNTOS'!$A$1:$B$63,2,0),0)</f>
        <v>0</v>
      </c>
      <c r="AA399" s="138">
        <f>IF('1.DATOS-PROD'!AJ400="SI",VLOOKUP('1.DATOS-PROD'!AJ$2,'1.PUNTOS'!$A$1:$B$63,2,0),0)</f>
        <v>0</v>
      </c>
      <c r="AB399" s="138">
        <f>IF('1.DATOS-PROD'!AK400="SI",VLOOKUP('1.DATOS-PROD'!AK$2,'1.PUNTOS'!$A$1:$B$63,2,0),0)</f>
        <v>0</v>
      </c>
      <c r="AC399" s="138">
        <f>IF('1.DATOS-PROD'!AL400="SI",VLOOKUP('1.DATOS-PROD'!AL$2,'1.PUNTOS'!$A$1:$B$63,2,0),0)</f>
        <v>0</v>
      </c>
      <c r="AD399" s="138">
        <f>IF('1.DATOS-PROD'!AM400="SI",VLOOKUP('1.DATOS-PROD'!AM$2,'1.PUNTOS'!$A$1:$B$63,2,0),0)</f>
        <v>0</v>
      </c>
      <c r="AE399" s="138">
        <f>IF('1.DATOS-PROD'!AN400="SI",VLOOKUP('1.DATOS-PROD'!AN$2,'1.PUNTOS'!$A$1:$B$63,2,0),0)</f>
        <v>0</v>
      </c>
      <c r="AF399" s="138">
        <f>IF('1.DATOS-PROD'!AO400="SI",VLOOKUP('1.DATOS-PROD'!AO$2,'1.PUNTOS'!$A$1:$B$63,2,0),0)</f>
        <v>0</v>
      </c>
      <c r="AG399" s="138">
        <f>IF('1.DATOS-PROD'!AP400="SI",VLOOKUP('1.DATOS-PROD'!AP$2,'1.PUNTOS'!$A$1:$B$63,2,0),0)</f>
        <v>0</v>
      </c>
      <c r="AH399" s="138">
        <f>IF('1.DATOS-PROD'!AQ400="SI",VLOOKUP('1.DATOS-PROD'!AQ$2,'1.PUNTOS'!$A$1:$B$63,2,0),0)</f>
        <v>0</v>
      </c>
      <c r="AI399" s="138">
        <f>IF('1.DATOS-PROD'!AR400="SI",VLOOKUP('1.DATOS-PROD'!AR$2,'1.PUNTOS'!$A$1:$B$63,2,0),0)</f>
        <v>0</v>
      </c>
      <c r="AJ399" s="138">
        <f>IF('1.DATOS-PROD'!AS400="SI",VLOOKUP('1.DATOS-PROD'!AS$2,'1.PUNTOS'!$A$1:$B$63,2,0),0)</f>
        <v>0</v>
      </c>
      <c r="AK399" s="138">
        <f>IF('1.DATOS-PROD'!AT400="SI",VLOOKUP('1.DATOS-PROD'!AT$2,'1.PUNTOS'!$A$1:$B$63,2,0),0)</f>
        <v>0</v>
      </c>
      <c r="AL399" s="138">
        <f>IF('1.DATOS-PROD'!AU400="SI",VLOOKUP('1.DATOS-PROD'!AU$2,'1.PUNTOS'!$A$1:$B$63,2,0),0)</f>
        <v>0</v>
      </c>
      <c r="AM399" s="138">
        <f>IF('1.DATOS-PROD'!AV400="SI",VLOOKUP('1.DATOS-PROD'!AV$2,'1.PUNTOS'!$A$1:$B$63,2,0),0)</f>
        <v>0</v>
      </c>
      <c r="AN399" s="138">
        <f>IF('1.DATOS-PROD'!AW400="SI",VLOOKUP('1.DATOS-PROD'!AW$2,'1.PUNTOS'!$A$1:$B$63,2,0),0)</f>
        <v>0</v>
      </c>
      <c r="AO399" s="138">
        <f>IF('1.DATOS-PROD'!AX400="SI",VLOOKUP('1.DATOS-PROD'!AX$2,'1.PUNTOS'!$A$1:$B$63,2,0),0)</f>
        <v>0</v>
      </c>
      <c r="AP399" s="138">
        <f>IF('1.DATOS-PROD'!AY400="SI",VLOOKUP('1.DATOS-PROD'!AY$2,'1.PUNTOS'!$A$1:$B$63,2,0),0)</f>
        <v>0</v>
      </c>
      <c r="AQ399" s="138">
        <f>IF('1.DATOS-PROD'!AZ400="SI",VLOOKUP('1.DATOS-PROD'!AZ$2,'1.PUNTOS'!$A$1:$B$63,2,0),0)</f>
        <v>0</v>
      </c>
      <c r="AR399" s="138">
        <f>IF('1.DATOS-PROD'!BA400="SI",VLOOKUP('1.DATOS-PROD'!BA$2,'1.PUNTOS'!$A$1:$B$63,2,0),0)</f>
        <v>0</v>
      </c>
      <c r="AS399" s="138">
        <f>IF('1.DATOS-PROD'!BB400="SI",VLOOKUP('1.DATOS-PROD'!BB$2,'1.PUNTOS'!$A$1:$B$63,2,0),0)</f>
        <v>0</v>
      </c>
      <c r="AT399" s="138">
        <f>IF('1.DATOS-PROD'!BC400="SI",VLOOKUP('1.DATOS-PROD'!BC$2,'1.PUNTOS'!$A$1:$B$63,2,0),0)</f>
        <v>0</v>
      </c>
      <c r="AU399" s="138">
        <f>IF('1.DATOS-PROD'!BD400="SI",VLOOKUP('1.DATOS-PROD'!BD$2,'1.PUNTOS'!$A$1:$B$63,2,0),0)</f>
        <v>0</v>
      </c>
      <c r="AV399" s="138">
        <f>IF('1.DATOS-PROD'!BE400="SI",VLOOKUP('1.DATOS-PROD'!BE$2,'1.PUNTOS'!$A$1:$B$63,2,0),0)</f>
        <v>0</v>
      </c>
      <c r="AW399" s="138">
        <f>IF('1.DATOS-PROD'!BF400="SI",VLOOKUP('1.DATOS-PROD'!BF$2,'1.PUNTOS'!$A$1:$B$63,2,0),0)</f>
        <v>0</v>
      </c>
      <c r="AX399" s="138">
        <f>IF('1.DATOS-PROD'!BG400="SI",VLOOKUP('1.DATOS-PROD'!BG$2,'1.PUNTOS'!$A$1:$B$63,2,0),0)</f>
        <v>0</v>
      </c>
      <c r="AY399" s="138">
        <f>IF('1.DATOS-PROD'!BH400="SI",VLOOKUP('1.DATOS-PROD'!BH$2,'1.PUNTOS'!$A$1:$B$63,2,0),0)</f>
        <v>0</v>
      </c>
      <c r="AZ399" s="138">
        <f>IF('1.DATOS-PROD'!BI400="SI",VLOOKUP('1.DATOS-PROD'!BI$2,'1.PUNTOS'!$A$1:$B$63,2,0),0)</f>
        <v>0</v>
      </c>
      <c r="BA399" s="138">
        <f>IF('1.DATOS-PROD'!BJ400="SI",VLOOKUP('1.DATOS-PROD'!BJ$2,'1.PUNTOS'!$A$1:$B$63,2,0),0)</f>
        <v>0</v>
      </c>
      <c r="BB399" s="138">
        <f>IF('1.DATOS-PROD'!BK400="SI",VLOOKUP('1.DATOS-PROD'!BK$2,'1.PUNTOS'!$A$1:$B$63,2,0),0)</f>
        <v>0</v>
      </c>
      <c r="BC399" s="138">
        <f>IF('1.DATOS-PROD'!BL400="SI",VLOOKUP('1.DATOS-PROD'!BL$2,'1.PUNTOS'!$A$1:$B$63,2,0),0)</f>
        <v>0</v>
      </c>
      <c r="BD399" s="138">
        <f>IF('1.DATOS-PROD'!BM400="SI",VLOOKUP('1.DATOS-PROD'!BM$2,'1.PUNTOS'!$A$1:$B$63,2,0),0)</f>
        <v>0</v>
      </c>
      <c r="BE399" s="138">
        <f>IF('1.DATOS-PROD'!BN400="SI",VLOOKUP('1.DATOS-PROD'!BN$2,'1.PUNTOS'!$A$1:$B$63,2,0),0)</f>
        <v>0</v>
      </c>
      <c r="BF399" s="138">
        <f>IF('1.DATOS-PROD'!BO400="SI",VLOOKUP('1.DATOS-PROD'!BO$2,'1.PUNTOS'!$A$1:$B$63,2,0),0)</f>
        <v>0</v>
      </c>
      <c r="BG399" s="138">
        <f>IF('1.DATOS-PROD'!BP400="SI",VLOOKUP('1.DATOS-PROD'!BP$2,'1.PUNTOS'!$A$1:$B$63,2,0),0)</f>
        <v>0</v>
      </c>
      <c r="BH399" s="138">
        <f>IF('1.DATOS-PROD'!BQ400="SI",VLOOKUP('1.DATOS-PROD'!BQ$2,'1.PUNTOS'!$A$1:$B$63,2,0),0)</f>
        <v>0</v>
      </c>
      <c r="BI399" s="138">
        <f>IF('1.DATOS-PROD'!BR400="SI",VLOOKUP('1.DATOS-PROD'!BR$2,'1.PUNTOS'!$A$1:$B$63,2,0),0)</f>
        <v>0</v>
      </c>
      <c r="BJ399" s="138">
        <f>IF('1.DATOS-PROD'!BS400="SI",VLOOKUP('1.DATOS-PROD'!BS$2,'1.PUNTOS'!$A$1:$B$63,2,0),0)</f>
        <v>0</v>
      </c>
      <c r="BK399" s="138">
        <f>IF('1.DATOS-PROD'!BT400="SI",VLOOKUP('1.DATOS-PROD'!BT$2,'1.PUNTOS'!$A$1:$B$63,2,0),0)</f>
        <v>0</v>
      </c>
    </row>
    <row r="400" spans="1:63" x14ac:dyDescent="0.25">
      <c r="A400">
        <f>'0.Consolidado general'!$A401</f>
        <v>0</v>
      </c>
      <c r="B400" s="138">
        <f>IF('1.DATOS-PROD'!K401="SI",VLOOKUP('1.DATOS-PROD'!K$2,'1.PUNTOS'!$A$1:$B$63,2,0),0)</f>
        <v>0</v>
      </c>
      <c r="C400" s="138">
        <f>IF('1.DATOS-PROD'!L401="SI",VLOOKUP('1.DATOS-PROD'!L$2,'1.PUNTOS'!$A$1:$B$63,2,0),0)</f>
        <v>0</v>
      </c>
      <c r="D400" s="138">
        <f>IF('1.DATOS-PROD'!M401="SI",VLOOKUP('1.DATOS-PROD'!M$2,'1.PUNTOS'!$A$1:$B$63,2,0),0)</f>
        <v>0</v>
      </c>
      <c r="E400" s="138">
        <f>IF('1.DATOS-PROD'!N401="SI",VLOOKUP('1.DATOS-PROD'!N$2,'1.PUNTOS'!$A$1:$B$63,2,0),0)</f>
        <v>0</v>
      </c>
      <c r="F400" s="138">
        <f>IF('1.DATOS-PROD'!O401="SI",VLOOKUP('1.DATOS-PROD'!O$2,'1.PUNTOS'!$A$1:$B$63,2,0),0)</f>
        <v>0</v>
      </c>
      <c r="G400" s="138">
        <f>IF('1.DATOS-PROD'!P401="SI",VLOOKUP('1.DATOS-PROD'!P$2,'1.PUNTOS'!$A$1:$B$63,2,0),0)</f>
        <v>0</v>
      </c>
      <c r="H400" s="138">
        <f>IF('1.DATOS-PROD'!Q401="SI",VLOOKUP('1.DATOS-PROD'!Q$2,'1.PUNTOS'!$A$1:$B$63,2,0),0)</f>
        <v>0</v>
      </c>
      <c r="I400" s="138">
        <f>IF('1.DATOS-PROD'!R401="SI",VLOOKUP('1.DATOS-PROD'!R$2,'1.PUNTOS'!$A$1:$B$63,2,0),0)</f>
        <v>0</v>
      </c>
      <c r="J400" s="138">
        <f>IF('1.DATOS-PROD'!S401="SI",VLOOKUP('1.DATOS-PROD'!S$2,'1.PUNTOS'!$A$1:$B$63,2,0),0)</f>
        <v>0</v>
      </c>
      <c r="K400" s="138">
        <f>IF('1.DATOS-PROD'!T401="SI",VLOOKUP('1.DATOS-PROD'!T$2,'1.PUNTOS'!$A$1:$B$63,2,0),0)</f>
        <v>0</v>
      </c>
      <c r="L400" s="138">
        <f>IF('1.DATOS-PROD'!U401="SI",VLOOKUP('1.DATOS-PROD'!U$2,'1.PUNTOS'!$A$1:$B$63,2,0),0)</f>
        <v>0</v>
      </c>
      <c r="M400" s="138">
        <f>IF('1.DATOS-PROD'!V401="SI",VLOOKUP('1.DATOS-PROD'!V$2,'1.PUNTOS'!$A$1:$B$63,2,0),0)</f>
        <v>0</v>
      </c>
      <c r="N400" s="138">
        <f>IF('1.DATOS-PROD'!W401="SI",VLOOKUP('1.DATOS-PROD'!W$2,'1.PUNTOS'!$A$1:$B$63,2,0),0)</f>
        <v>0</v>
      </c>
      <c r="O400" s="138">
        <f>IF('1.DATOS-PROD'!X401="SI",VLOOKUP('1.DATOS-PROD'!X$2,'1.PUNTOS'!$A$1:$B$63,2,0),0)</f>
        <v>0</v>
      </c>
      <c r="P400" s="138">
        <f>IF('1.DATOS-PROD'!Y401="SI",VLOOKUP('1.DATOS-PROD'!Y$2,'1.PUNTOS'!$A$1:$B$63,2,0),0)</f>
        <v>0</v>
      </c>
      <c r="Q400" s="138">
        <f>IF('1.DATOS-PROD'!Z401="SI",VLOOKUP('1.DATOS-PROD'!Z$2,'1.PUNTOS'!$A$1:$B$63,2,0),0)</f>
        <v>0</v>
      </c>
      <c r="R400" s="138">
        <f>IF('1.DATOS-PROD'!AA401="SI",VLOOKUP('1.DATOS-PROD'!AA$2,'1.PUNTOS'!$A$1:$B$63,2,0),0)</f>
        <v>0</v>
      </c>
      <c r="S400" s="138">
        <f>IF('1.DATOS-PROD'!AB401="SI",VLOOKUP('1.DATOS-PROD'!AB$2,'1.PUNTOS'!$A$1:$B$63,2,0),0)</f>
        <v>0</v>
      </c>
      <c r="T400" s="138">
        <f>IF('1.DATOS-PROD'!AC401="SI",VLOOKUP('1.DATOS-PROD'!AC$2,'1.PUNTOS'!$A$1:$B$63,2,0),0)</f>
        <v>0</v>
      </c>
      <c r="U400" s="138">
        <f>IF('1.DATOS-PROD'!AD401="SI",VLOOKUP('1.DATOS-PROD'!AD$2,'1.PUNTOS'!$A$1:$B$63,2,0),0)</f>
        <v>0</v>
      </c>
      <c r="V400" s="138">
        <f>IF('1.DATOS-PROD'!AE401="SI",VLOOKUP('1.DATOS-PROD'!AE$2,'1.PUNTOS'!$A$1:$B$63,2,0),0)</f>
        <v>0</v>
      </c>
      <c r="W400" s="138">
        <f>IF('1.DATOS-PROD'!AF401="SI",VLOOKUP('1.DATOS-PROD'!AF$2,'1.PUNTOS'!$A$1:$B$63,2,0),0)</f>
        <v>0</v>
      </c>
      <c r="X400" s="138">
        <f>IF('1.DATOS-PROD'!AG401="SI",VLOOKUP('1.DATOS-PROD'!AG$2,'1.PUNTOS'!$A$1:$B$63,2,0),0)</f>
        <v>0</v>
      </c>
      <c r="Y400" s="138">
        <f>IF('1.DATOS-PROD'!AH401="SI",VLOOKUP('1.DATOS-PROD'!AH$2,'1.PUNTOS'!$A$1:$B$63,2,0),0)</f>
        <v>0</v>
      </c>
      <c r="Z400" s="138">
        <f>IF('1.DATOS-PROD'!AI401="SI",VLOOKUP('1.DATOS-PROD'!AI$2,'1.PUNTOS'!$A$1:$B$63,2,0),0)</f>
        <v>0</v>
      </c>
      <c r="AA400" s="138">
        <f>IF('1.DATOS-PROD'!AJ401="SI",VLOOKUP('1.DATOS-PROD'!AJ$2,'1.PUNTOS'!$A$1:$B$63,2,0),0)</f>
        <v>0</v>
      </c>
      <c r="AB400" s="138">
        <f>IF('1.DATOS-PROD'!AK401="SI",VLOOKUP('1.DATOS-PROD'!AK$2,'1.PUNTOS'!$A$1:$B$63,2,0),0)</f>
        <v>0</v>
      </c>
      <c r="AC400" s="138">
        <f>IF('1.DATOS-PROD'!AL401="SI",VLOOKUP('1.DATOS-PROD'!AL$2,'1.PUNTOS'!$A$1:$B$63,2,0),0)</f>
        <v>0</v>
      </c>
      <c r="AD400" s="138">
        <f>IF('1.DATOS-PROD'!AM401="SI",VLOOKUP('1.DATOS-PROD'!AM$2,'1.PUNTOS'!$A$1:$B$63,2,0),0)</f>
        <v>0</v>
      </c>
      <c r="AE400" s="138">
        <f>IF('1.DATOS-PROD'!AN401="SI",VLOOKUP('1.DATOS-PROD'!AN$2,'1.PUNTOS'!$A$1:$B$63,2,0),0)</f>
        <v>0</v>
      </c>
      <c r="AF400" s="138">
        <f>IF('1.DATOS-PROD'!AO401="SI",VLOOKUP('1.DATOS-PROD'!AO$2,'1.PUNTOS'!$A$1:$B$63,2,0),0)</f>
        <v>0</v>
      </c>
      <c r="AG400" s="138">
        <f>IF('1.DATOS-PROD'!AP401="SI",VLOOKUP('1.DATOS-PROD'!AP$2,'1.PUNTOS'!$A$1:$B$63,2,0),0)</f>
        <v>0</v>
      </c>
      <c r="AH400" s="138">
        <f>IF('1.DATOS-PROD'!AQ401="SI",VLOOKUP('1.DATOS-PROD'!AQ$2,'1.PUNTOS'!$A$1:$B$63,2,0),0)</f>
        <v>0</v>
      </c>
      <c r="AI400" s="138">
        <f>IF('1.DATOS-PROD'!AR401="SI",VLOOKUP('1.DATOS-PROD'!AR$2,'1.PUNTOS'!$A$1:$B$63,2,0),0)</f>
        <v>0</v>
      </c>
      <c r="AJ400" s="138">
        <f>IF('1.DATOS-PROD'!AS401="SI",VLOOKUP('1.DATOS-PROD'!AS$2,'1.PUNTOS'!$A$1:$B$63,2,0),0)</f>
        <v>0</v>
      </c>
      <c r="AK400" s="138">
        <f>IF('1.DATOS-PROD'!AT401="SI",VLOOKUP('1.DATOS-PROD'!AT$2,'1.PUNTOS'!$A$1:$B$63,2,0),0)</f>
        <v>0</v>
      </c>
      <c r="AL400" s="138">
        <f>IF('1.DATOS-PROD'!AU401="SI",VLOOKUP('1.DATOS-PROD'!AU$2,'1.PUNTOS'!$A$1:$B$63,2,0),0)</f>
        <v>0</v>
      </c>
      <c r="AM400" s="138">
        <f>IF('1.DATOS-PROD'!AV401="SI",VLOOKUP('1.DATOS-PROD'!AV$2,'1.PUNTOS'!$A$1:$B$63,2,0),0)</f>
        <v>0</v>
      </c>
      <c r="AN400" s="138">
        <f>IF('1.DATOS-PROD'!AW401="SI",VLOOKUP('1.DATOS-PROD'!AW$2,'1.PUNTOS'!$A$1:$B$63,2,0),0)</f>
        <v>0</v>
      </c>
      <c r="AO400" s="138">
        <f>IF('1.DATOS-PROD'!AX401="SI",VLOOKUP('1.DATOS-PROD'!AX$2,'1.PUNTOS'!$A$1:$B$63,2,0),0)</f>
        <v>0</v>
      </c>
      <c r="AP400" s="138">
        <f>IF('1.DATOS-PROD'!AY401="SI",VLOOKUP('1.DATOS-PROD'!AY$2,'1.PUNTOS'!$A$1:$B$63,2,0),0)</f>
        <v>0</v>
      </c>
      <c r="AQ400" s="138">
        <f>IF('1.DATOS-PROD'!AZ401="SI",VLOOKUP('1.DATOS-PROD'!AZ$2,'1.PUNTOS'!$A$1:$B$63,2,0),0)</f>
        <v>0</v>
      </c>
      <c r="AR400" s="138">
        <f>IF('1.DATOS-PROD'!BA401="SI",VLOOKUP('1.DATOS-PROD'!BA$2,'1.PUNTOS'!$A$1:$B$63,2,0),0)</f>
        <v>0</v>
      </c>
      <c r="AS400" s="138">
        <f>IF('1.DATOS-PROD'!BB401="SI",VLOOKUP('1.DATOS-PROD'!BB$2,'1.PUNTOS'!$A$1:$B$63,2,0),0)</f>
        <v>0</v>
      </c>
      <c r="AT400" s="138">
        <f>IF('1.DATOS-PROD'!BC401="SI",VLOOKUP('1.DATOS-PROD'!BC$2,'1.PUNTOS'!$A$1:$B$63,2,0),0)</f>
        <v>0</v>
      </c>
      <c r="AU400" s="138">
        <f>IF('1.DATOS-PROD'!BD401="SI",VLOOKUP('1.DATOS-PROD'!BD$2,'1.PUNTOS'!$A$1:$B$63,2,0),0)</f>
        <v>0</v>
      </c>
      <c r="AV400" s="138">
        <f>IF('1.DATOS-PROD'!BE401="SI",VLOOKUP('1.DATOS-PROD'!BE$2,'1.PUNTOS'!$A$1:$B$63,2,0),0)</f>
        <v>0</v>
      </c>
      <c r="AW400" s="138">
        <f>IF('1.DATOS-PROD'!BF401="SI",VLOOKUP('1.DATOS-PROD'!BF$2,'1.PUNTOS'!$A$1:$B$63,2,0),0)</f>
        <v>0</v>
      </c>
      <c r="AX400" s="138">
        <f>IF('1.DATOS-PROD'!BG401="SI",VLOOKUP('1.DATOS-PROD'!BG$2,'1.PUNTOS'!$A$1:$B$63,2,0),0)</f>
        <v>0</v>
      </c>
      <c r="AY400" s="138">
        <f>IF('1.DATOS-PROD'!BH401="SI",VLOOKUP('1.DATOS-PROD'!BH$2,'1.PUNTOS'!$A$1:$B$63,2,0),0)</f>
        <v>0</v>
      </c>
      <c r="AZ400" s="138">
        <f>IF('1.DATOS-PROD'!BI401="SI",VLOOKUP('1.DATOS-PROD'!BI$2,'1.PUNTOS'!$A$1:$B$63,2,0),0)</f>
        <v>0</v>
      </c>
      <c r="BA400" s="138">
        <f>IF('1.DATOS-PROD'!BJ401="SI",VLOOKUP('1.DATOS-PROD'!BJ$2,'1.PUNTOS'!$A$1:$B$63,2,0),0)</f>
        <v>0</v>
      </c>
      <c r="BB400" s="138">
        <f>IF('1.DATOS-PROD'!BK401="SI",VLOOKUP('1.DATOS-PROD'!BK$2,'1.PUNTOS'!$A$1:$B$63,2,0),0)</f>
        <v>0</v>
      </c>
      <c r="BC400" s="138">
        <f>IF('1.DATOS-PROD'!BL401="SI",VLOOKUP('1.DATOS-PROD'!BL$2,'1.PUNTOS'!$A$1:$B$63,2,0),0)</f>
        <v>0</v>
      </c>
      <c r="BD400" s="138">
        <f>IF('1.DATOS-PROD'!BM401="SI",VLOOKUP('1.DATOS-PROD'!BM$2,'1.PUNTOS'!$A$1:$B$63,2,0),0)</f>
        <v>0</v>
      </c>
      <c r="BE400" s="138">
        <f>IF('1.DATOS-PROD'!BN401="SI",VLOOKUP('1.DATOS-PROD'!BN$2,'1.PUNTOS'!$A$1:$B$63,2,0),0)</f>
        <v>0</v>
      </c>
      <c r="BF400" s="138">
        <f>IF('1.DATOS-PROD'!BO401="SI",VLOOKUP('1.DATOS-PROD'!BO$2,'1.PUNTOS'!$A$1:$B$63,2,0),0)</f>
        <v>0</v>
      </c>
      <c r="BG400" s="138">
        <f>IF('1.DATOS-PROD'!BP401="SI",VLOOKUP('1.DATOS-PROD'!BP$2,'1.PUNTOS'!$A$1:$B$63,2,0),0)</f>
        <v>0</v>
      </c>
      <c r="BH400" s="138">
        <f>IF('1.DATOS-PROD'!BQ401="SI",VLOOKUP('1.DATOS-PROD'!BQ$2,'1.PUNTOS'!$A$1:$B$63,2,0),0)</f>
        <v>0</v>
      </c>
      <c r="BI400" s="138">
        <f>IF('1.DATOS-PROD'!BR401="SI",VLOOKUP('1.DATOS-PROD'!BR$2,'1.PUNTOS'!$A$1:$B$63,2,0),0)</f>
        <v>0</v>
      </c>
      <c r="BJ400" s="138">
        <f>IF('1.DATOS-PROD'!BS401="SI",VLOOKUP('1.DATOS-PROD'!BS$2,'1.PUNTOS'!$A$1:$B$63,2,0),0)</f>
        <v>0</v>
      </c>
      <c r="BK400" s="138">
        <f>IF('1.DATOS-PROD'!BT401="SI",VLOOKUP('1.DATOS-PROD'!BT$2,'1.PUNTOS'!$A$1:$B$63,2,0),0)</f>
        <v>0</v>
      </c>
    </row>
    <row r="401" spans="1:63" x14ac:dyDescent="0.25">
      <c r="A401">
        <f>'0.Consolidado general'!$A402</f>
        <v>0</v>
      </c>
      <c r="B401" s="138">
        <f>IF('1.DATOS-PROD'!K402="SI",VLOOKUP('1.DATOS-PROD'!K$2,'1.PUNTOS'!$A$1:$B$63,2,0),0)</f>
        <v>0</v>
      </c>
      <c r="C401" s="138">
        <f>IF('1.DATOS-PROD'!L402="SI",VLOOKUP('1.DATOS-PROD'!L$2,'1.PUNTOS'!$A$1:$B$63,2,0),0)</f>
        <v>0</v>
      </c>
      <c r="D401" s="138">
        <f>IF('1.DATOS-PROD'!M402="SI",VLOOKUP('1.DATOS-PROD'!M$2,'1.PUNTOS'!$A$1:$B$63,2,0),0)</f>
        <v>0</v>
      </c>
      <c r="E401" s="138">
        <f>IF('1.DATOS-PROD'!N402="SI",VLOOKUP('1.DATOS-PROD'!N$2,'1.PUNTOS'!$A$1:$B$63,2,0),0)</f>
        <v>0</v>
      </c>
      <c r="F401" s="138">
        <f>IF('1.DATOS-PROD'!O402="SI",VLOOKUP('1.DATOS-PROD'!O$2,'1.PUNTOS'!$A$1:$B$63,2,0),0)</f>
        <v>0</v>
      </c>
      <c r="G401" s="138">
        <f>IF('1.DATOS-PROD'!P402="SI",VLOOKUP('1.DATOS-PROD'!P$2,'1.PUNTOS'!$A$1:$B$63,2,0),0)</f>
        <v>0</v>
      </c>
      <c r="H401" s="138">
        <f>IF('1.DATOS-PROD'!Q402="SI",VLOOKUP('1.DATOS-PROD'!Q$2,'1.PUNTOS'!$A$1:$B$63,2,0),0)</f>
        <v>0</v>
      </c>
      <c r="I401" s="138">
        <f>IF('1.DATOS-PROD'!R402="SI",VLOOKUP('1.DATOS-PROD'!R$2,'1.PUNTOS'!$A$1:$B$63,2,0),0)</f>
        <v>0</v>
      </c>
      <c r="J401" s="138">
        <f>IF('1.DATOS-PROD'!S402="SI",VLOOKUP('1.DATOS-PROD'!S$2,'1.PUNTOS'!$A$1:$B$63,2,0),0)</f>
        <v>0</v>
      </c>
      <c r="K401" s="138">
        <f>IF('1.DATOS-PROD'!T402="SI",VLOOKUP('1.DATOS-PROD'!T$2,'1.PUNTOS'!$A$1:$B$63,2,0),0)</f>
        <v>0</v>
      </c>
      <c r="L401" s="138">
        <f>IF('1.DATOS-PROD'!U402="SI",VLOOKUP('1.DATOS-PROD'!U$2,'1.PUNTOS'!$A$1:$B$63,2,0),0)</f>
        <v>0</v>
      </c>
      <c r="M401" s="138">
        <f>IF('1.DATOS-PROD'!V402="SI",VLOOKUP('1.DATOS-PROD'!V$2,'1.PUNTOS'!$A$1:$B$63,2,0),0)</f>
        <v>0</v>
      </c>
      <c r="N401" s="138">
        <f>IF('1.DATOS-PROD'!W402="SI",VLOOKUP('1.DATOS-PROD'!W$2,'1.PUNTOS'!$A$1:$B$63,2,0),0)</f>
        <v>0</v>
      </c>
      <c r="O401" s="138">
        <f>IF('1.DATOS-PROD'!X402="SI",VLOOKUP('1.DATOS-PROD'!X$2,'1.PUNTOS'!$A$1:$B$63,2,0),0)</f>
        <v>0</v>
      </c>
      <c r="P401" s="138">
        <f>IF('1.DATOS-PROD'!Y402="SI",VLOOKUP('1.DATOS-PROD'!Y$2,'1.PUNTOS'!$A$1:$B$63,2,0),0)</f>
        <v>0</v>
      </c>
      <c r="Q401" s="138">
        <f>IF('1.DATOS-PROD'!Z402="SI",VLOOKUP('1.DATOS-PROD'!Z$2,'1.PUNTOS'!$A$1:$B$63,2,0),0)</f>
        <v>0</v>
      </c>
      <c r="R401" s="138">
        <f>IF('1.DATOS-PROD'!AA402="SI",VLOOKUP('1.DATOS-PROD'!AA$2,'1.PUNTOS'!$A$1:$B$63,2,0),0)</f>
        <v>0</v>
      </c>
      <c r="S401" s="138">
        <f>IF('1.DATOS-PROD'!AB402="SI",VLOOKUP('1.DATOS-PROD'!AB$2,'1.PUNTOS'!$A$1:$B$63,2,0),0)</f>
        <v>0</v>
      </c>
      <c r="T401" s="138">
        <f>IF('1.DATOS-PROD'!AC402="SI",VLOOKUP('1.DATOS-PROD'!AC$2,'1.PUNTOS'!$A$1:$B$63,2,0),0)</f>
        <v>0</v>
      </c>
      <c r="U401" s="138">
        <f>IF('1.DATOS-PROD'!AD402="SI",VLOOKUP('1.DATOS-PROD'!AD$2,'1.PUNTOS'!$A$1:$B$63,2,0),0)</f>
        <v>0</v>
      </c>
      <c r="V401" s="138">
        <f>IF('1.DATOS-PROD'!AE402="SI",VLOOKUP('1.DATOS-PROD'!AE$2,'1.PUNTOS'!$A$1:$B$63,2,0),0)</f>
        <v>0</v>
      </c>
      <c r="W401" s="138">
        <f>IF('1.DATOS-PROD'!AF402="SI",VLOOKUP('1.DATOS-PROD'!AF$2,'1.PUNTOS'!$A$1:$B$63,2,0),0)</f>
        <v>0</v>
      </c>
      <c r="X401" s="138">
        <f>IF('1.DATOS-PROD'!AG402="SI",VLOOKUP('1.DATOS-PROD'!AG$2,'1.PUNTOS'!$A$1:$B$63,2,0),0)</f>
        <v>0</v>
      </c>
      <c r="Y401" s="138">
        <f>IF('1.DATOS-PROD'!AH402="SI",VLOOKUP('1.DATOS-PROD'!AH$2,'1.PUNTOS'!$A$1:$B$63,2,0),0)</f>
        <v>0</v>
      </c>
      <c r="Z401" s="138">
        <f>IF('1.DATOS-PROD'!AI402="SI",VLOOKUP('1.DATOS-PROD'!AI$2,'1.PUNTOS'!$A$1:$B$63,2,0),0)</f>
        <v>0</v>
      </c>
      <c r="AA401" s="138">
        <f>IF('1.DATOS-PROD'!AJ402="SI",VLOOKUP('1.DATOS-PROD'!AJ$2,'1.PUNTOS'!$A$1:$B$63,2,0),0)</f>
        <v>0</v>
      </c>
      <c r="AB401" s="138">
        <f>IF('1.DATOS-PROD'!AK402="SI",VLOOKUP('1.DATOS-PROD'!AK$2,'1.PUNTOS'!$A$1:$B$63,2,0),0)</f>
        <v>0</v>
      </c>
      <c r="AC401" s="138">
        <f>IF('1.DATOS-PROD'!AL402="SI",VLOOKUP('1.DATOS-PROD'!AL$2,'1.PUNTOS'!$A$1:$B$63,2,0),0)</f>
        <v>0</v>
      </c>
      <c r="AD401" s="138">
        <f>IF('1.DATOS-PROD'!AM402="SI",VLOOKUP('1.DATOS-PROD'!AM$2,'1.PUNTOS'!$A$1:$B$63,2,0),0)</f>
        <v>0</v>
      </c>
      <c r="AE401" s="138">
        <f>IF('1.DATOS-PROD'!AN402="SI",VLOOKUP('1.DATOS-PROD'!AN$2,'1.PUNTOS'!$A$1:$B$63,2,0),0)</f>
        <v>0</v>
      </c>
      <c r="AF401" s="138">
        <f>IF('1.DATOS-PROD'!AO402="SI",VLOOKUP('1.DATOS-PROD'!AO$2,'1.PUNTOS'!$A$1:$B$63,2,0),0)</f>
        <v>0</v>
      </c>
      <c r="AG401" s="138">
        <f>IF('1.DATOS-PROD'!AP402="SI",VLOOKUP('1.DATOS-PROD'!AP$2,'1.PUNTOS'!$A$1:$B$63,2,0),0)</f>
        <v>0</v>
      </c>
      <c r="AH401" s="138">
        <f>IF('1.DATOS-PROD'!AQ402="SI",VLOOKUP('1.DATOS-PROD'!AQ$2,'1.PUNTOS'!$A$1:$B$63,2,0),0)</f>
        <v>0</v>
      </c>
      <c r="AI401" s="138">
        <f>IF('1.DATOS-PROD'!AR402="SI",VLOOKUP('1.DATOS-PROD'!AR$2,'1.PUNTOS'!$A$1:$B$63,2,0),0)</f>
        <v>0</v>
      </c>
      <c r="AJ401" s="138">
        <f>IF('1.DATOS-PROD'!AS402="SI",VLOOKUP('1.DATOS-PROD'!AS$2,'1.PUNTOS'!$A$1:$B$63,2,0),0)</f>
        <v>0</v>
      </c>
      <c r="AK401" s="138">
        <f>IF('1.DATOS-PROD'!AT402="SI",VLOOKUP('1.DATOS-PROD'!AT$2,'1.PUNTOS'!$A$1:$B$63,2,0),0)</f>
        <v>0</v>
      </c>
      <c r="AL401" s="138">
        <f>IF('1.DATOS-PROD'!AU402="SI",VLOOKUP('1.DATOS-PROD'!AU$2,'1.PUNTOS'!$A$1:$B$63,2,0),0)</f>
        <v>0</v>
      </c>
      <c r="AM401" s="138">
        <f>IF('1.DATOS-PROD'!AV402="SI",VLOOKUP('1.DATOS-PROD'!AV$2,'1.PUNTOS'!$A$1:$B$63,2,0),0)</f>
        <v>0</v>
      </c>
      <c r="AN401" s="138">
        <f>IF('1.DATOS-PROD'!AW402="SI",VLOOKUP('1.DATOS-PROD'!AW$2,'1.PUNTOS'!$A$1:$B$63,2,0),0)</f>
        <v>0</v>
      </c>
      <c r="AO401" s="138">
        <f>IF('1.DATOS-PROD'!AX402="SI",VLOOKUP('1.DATOS-PROD'!AX$2,'1.PUNTOS'!$A$1:$B$63,2,0),0)</f>
        <v>0</v>
      </c>
      <c r="AP401" s="138">
        <f>IF('1.DATOS-PROD'!AY402="SI",VLOOKUP('1.DATOS-PROD'!AY$2,'1.PUNTOS'!$A$1:$B$63,2,0),0)</f>
        <v>0</v>
      </c>
      <c r="AQ401" s="138">
        <f>IF('1.DATOS-PROD'!AZ402="SI",VLOOKUP('1.DATOS-PROD'!AZ$2,'1.PUNTOS'!$A$1:$B$63,2,0),0)</f>
        <v>0</v>
      </c>
      <c r="AR401" s="138">
        <f>IF('1.DATOS-PROD'!BA402="SI",VLOOKUP('1.DATOS-PROD'!BA$2,'1.PUNTOS'!$A$1:$B$63,2,0),0)</f>
        <v>0</v>
      </c>
      <c r="AS401" s="138">
        <f>IF('1.DATOS-PROD'!BB402="SI",VLOOKUP('1.DATOS-PROD'!BB$2,'1.PUNTOS'!$A$1:$B$63,2,0),0)</f>
        <v>0</v>
      </c>
      <c r="AT401" s="138">
        <f>IF('1.DATOS-PROD'!BC402="SI",VLOOKUP('1.DATOS-PROD'!BC$2,'1.PUNTOS'!$A$1:$B$63,2,0),0)</f>
        <v>0</v>
      </c>
      <c r="AU401" s="138">
        <f>IF('1.DATOS-PROD'!BD402="SI",VLOOKUP('1.DATOS-PROD'!BD$2,'1.PUNTOS'!$A$1:$B$63,2,0),0)</f>
        <v>0</v>
      </c>
      <c r="AV401" s="138">
        <f>IF('1.DATOS-PROD'!BE402="SI",VLOOKUP('1.DATOS-PROD'!BE$2,'1.PUNTOS'!$A$1:$B$63,2,0),0)</f>
        <v>0</v>
      </c>
      <c r="AW401" s="138">
        <f>IF('1.DATOS-PROD'!BF402="SI",VLOOKUP('1.DATOS-PROD'!BF$2,'1.PUNTOS'!$A$1:$B$63,2,0),0)</f>
        <v>0</v>
      </c>
      <c r="AX401" s="138">
        <f>IF('1.DATOS-PROD'!BG402="SI",VLOOKUP('1.DATOS-PROD'!BG$2,'1.PUNTOS'!$A$1:$B$63,2,0),0)</f>
        <v>0</v>
      </c>
      <c r="AY401" s="138">
        <f>IF('1.DATOS-PROD'!BH402="SI",VLOOKUP('1.DATOS-PROD'!BH$2,'1.PUNTOS'!$A$1:$B$63,2,0),0)</f>
        <v>0</v>
      </c>
      <c r="AZ401" s="138">
        <f>IF('1.DATOS-PROD'!BI402="SI",VLOOKUP('1.DATOS-PROD'!BI$2,'1.PUNTOS'!$A$1:$B$63,2,0),0)</f>
        <v>0</v>
      </c>
      <c r="BA401" s="138">
        <f>IF('1.DATOS-PROD'!BJ402="SI",VLOOKUP('1.DATOS-PROD'!BJ$2,'1.PUNTOS'!$A$1:$B$63,2,0),0)</f>
        <v>0</v>
      </c>
      <c r="BB401" s="138">
        <f>IF('1.DATOS-PROD'!BK402="SI",VLOOKUP('1.DATOS-PROD'!BK$2,'1.PUNTOS'!$A$1:$B$63,2,0),0)</f>
        <v>0</v>
      </c>
      <c r="BC401" s="138">
        <f>IF('1.DATOS-PROD'!BL402="SI",VLOOKUP('1.DATOS-PROD'!BL$2,'1.PUNTOS'!$A$1:$B$63,2,0),0)</f>
        <v>0</v>
      </c>
      <c r="BD401" s="138">
        <f>IF('1.DATOS-PROD'!BM402="SI",VLOOKUP('1.DATOS-PROD'!BM$2,'1.PUNTOS'!$A$1:$B$63,2,0),0)</f>
        <v>0</v>
      </c>
      <c r="BE401" s="138">
        <f>IF('1.DATOS-PROD'!BN402="SI",VLOOKUP('1.DATOS-PROD'!BN$2,'1.PUNTOS'!$A$1:$B$63,2,0),0)</f>
        <v>0</v>
      </c>
      <c r="BF401" s="138">
        <f>IF('1.DATOS-PROD'!BO402="SI",VLOOKUP('1.DATOS-PROD'!BO$2,'1.PUNTOS'!$A$1:$B$63,2,0),0)</f>
        <v>0</v>
      </c>
      <c r="BG401" s="138">
        <f>IF('1.DATOS-PROD'!BP402="SI",VLOOKUP('1.DATOS-PROD'!BP$2,'1.PUNTOS'!$A$1:$B$63,2,0),0)</f>
        <v>0</v>
      </c>
      <c r="BH401" s="138">
        <f>IF('1.DATOS-PROD'!BQ402="SI",VLOOKUP('1.DATOS-PROD'!BQ$2,'1.PUNTOS'!$A$1:$B$63,2,0),0)</f>
        <v>0</v>
      </c>
      <c r="BI401" s="138">
        <f>IF('1.DATOS-PROD'!BR402="SI",VLOOKUP('1.DATOS-PROD'!BR$2,'1.PUNTOS'!$A$1:$B$63,2,0),0)</f>
        <v>0</v>
      </c>
      <c r="BJ401" s="138">
        <f>IF('1.DATOS-PROD'!BS402="SI",VLOOKUP('1.DATOS-PROD'!BS$2,'1.PUNTOS'!$A$1:$B$63,2,0),0)</f>
        <v>0</v>
      </c>
      <c r="BK401" s="138">
        <f>IF('1.DATOS-PROD'!BT402="SI",VLOOKUP('1.DATOS-PROD'!BT$2,'1.PUNTOS'!$A$1:$B$63,2,0),0)</f>
        <v>0</v>
      </c>
    </row>
    <row r="402" spans="1:63" x14ac:dyDescent="0.25">
      <c r="A402">
        <f>'0.Consolidado general'!$A403</f>
        <v>0</v>
      </c>
      <c r="B402" s="138">
        <f>IF('1.DATOS-PROD'!K403="SI",VLOOKUP('1.DATOS-PROD'!K$2,'1.PUNTOS'!$A$1:$B$63,2,0),0)</f>
        <v>0</v>
      </c>
      <c r="C402" s="138">
        <f>IF('1.DATOS-PROD'!L403="SI",VLOOKUP('1.DATOS-PROD'!L$2,'1.PUNTOS'!$A$1:$B$63,2,0),0)</f>
        <v>0</v>
      </c>
      <c r="D402" s="138">
        <f>IF('1.DATOS-PROD'!M403="SI",VLOOKUP('1.DATOS-PROD'!M$2,'1.PUNTOS'!$A$1:$B$63,2,0),0)</f>
        <v>0</v>
      </c>
      <c r="E402" s="138">
        <f>IF('1.DATOS-PROD'!N403="SI",VLOOKUP('1.DATOS-PROD'!N$2,'1.PUNTOS'!$A$1:$B$63,2,0),0)</f>
        <v>0</v>
      </c>
      <c r="F402" s="138">
        <f>IF('1.DATOS-PROD'!O403="SI",VLOOKUP('1.DATOS-PROD'!O$2,'1.PUNTOS'!$A$1:$B$63,2,0),0)</f>
        <v>0</v>
      </c>
      <c r="G402" s="138">
        <f>IF('1.DATOS-PROD'!P403="SI",VLOOKUP('1.DATOS-PROD'!P$2,'1.PUNTOS'!$A$1:$B$63,2,0),0)</f>
        <v>0</v>
      </c>
      <c r="H402" s="138">
        <f>IF('1.DATOS-PROD'!Q403="SI",VLOOKUP('1.DATOS-PROD'!Q$2,'1.PUNTOS'!$A$1:$B$63,2,0),0)</f>
        <v>0</v>
      </c>
      <c r="I402" s="138">
        <f>IF('1.DATOS-PROD'!R403="SI",VLOOKUP('1.DATOS-PROD'!R$2,'1.PUNTOS'!$A$1:$B$63,2,0),0)</f>
        <v>0</v>
      </c>
      <c r="J402" s="138">
        <f>IF('1.DATOS-PROD'!S403="SI",VLOOKUP('1.DATOS-PROD'!S$2,'1.PUNTOS'!$A$1:$B$63,2,0),0)</f>
        <v>0</v>
      </c>
      <c r="K402" s="138">
        <f>IF('1.DATOS-PROD'!T403="SI",VLOOKUP('1.DATOS-PROD'!T$2,'1.PUNTOS'!$A$1:$B$63,2,0),0)</f>
        <v>0</v>
      </c>
      <c r="L402" s="138">
        <f>IF('1.DATOS-PROD'!U403="SI",VLOOKUP('1.DATOS-PROD'!U$2,'1.PUNTOS'!$A$1:$B$63,2,0),0)</f>
        <v>0</v>
      </c>
      <c r="M402" s="138">
        <f>IF('1.DATOS-PROD'!V403="SI",VLOOKUP('1.DATOS-PROD'!V$2,'1.PUNTOS'!$A$1:$B$63,2,0),0)</f>
        <v>0</v>
      </c>
      <c r="N402" s="138">
        <f>IF('1.DATOS-PROD'!W403="SI",VLOOKUP('1.DATOS-PROD'!W$2,'1.PUNTOS'!$A$1:$B$63,2,0),0)</f>
        <v>0</v>
      </c>
      <c r="O402" s="138">
        <f>IF('1.DATOS-PROD'!X403="SI",VLOOKUP('1.DATOS-PROD'!X$2,'1.PUNTOS'!$A$1:$B$63,2,0),0)</f>
        <v>0</v>
      </c>
      <c r="P402" s="138">
        <f>IF('1.DATOS-PROD'!Y403="SI",VLOOKUP('1.DATOS-PROD'!Y$2,'1.PUNTOS'!$A$1:$B$63,2,0),0)</f>
        <v>0</v>
      </c>
      <c r="Q402" s="138">
        <f>IF('1.DATOS-PROD'!Z403="SI",VLOOKUP('1.DATOS-PROD'!Z$2,'1.PUNTOS'!$A$1:$B$63,2,0),0)</f>
        <v>0</v>
      </c>
      <c r="R402" s="138">
        <f>IF('1.DATOS-PROD'!AA403="SI",VLOOKUP('1.DATOS-PROD'!AA$2,'1.PUNTOS'!$A$1:$B$63,2,0),0)</f>
        <v>0</v>
      </c>
      <c r="S402" s="138">
        <f>IF('1.DATOS-PROD'!AB403="SI",VLOOKUP('1.DATOS-PROD'!AB$2,'1.PUNTOS'!$A$1:$B$63,2,0),0)</f>
        <v>0</v>
      </c>
      <c r="T402" s="138">
        <f>IF('1.DATOS-PROD'!AC403="SI",VLOOKUP('1.DATOS-PROD'!AC$2,'1.PUNTOS'!$A$1:$B$63,2,0),0)</f>
        <v>0</v>
      </c>
      <c r="U402" s="138">
        <f>IF('1.DATOS-PROD'!AD403="SI",VLOOKUP('1.DATOS-PROD'!AD$2,'1.PUNTOS'!$A$1:$B$63,2,0),0)</f>
        <v>0</v>
      </c>
      <c r="V402" s="138">
        <f>IF('1.DATOS-PROD'!AE403="SI",VLOOKUP('1.DATOS-PROD'!AE$2,'1.PUNTOS'!$A$1:$B$63,2,0),0)</f>
        <v>0</v>
      </c>
      <c r="W402" s="138">
        <f>IF('1.DATOS-PROD'!AF403="SI",VLOOKUP('1.DATOS-PROD'!AF$2,'1.PUNTOS'!$A$1:$B$63,2,0),0)</f>
        <v>0</v>
      </c>
      <c r="X402" s="138">
        <f>IF('1.DATOS-PROD'!AG403="SI",VLOOKUP('1.DATOS-PROD'!AG$2,'1.PUNTOS'!$A$1:$B$63,2,0),0)</f>
        <v>0</v>
      </c>
      <c r="Y402" s="138">
        <f>IF('1.DATOS-PROD'!AH403="SI",VLOOKUP('1.DATOS-PROD'!AH$2,'1.PUNTOS'!$A$1:$B$63,2,0),0)</f>
        <v>0</v>
      </c>
      <c r="Z402" s="138">
        <f>IF('1.DATOS-PROD'!AI403="SI",VLOOKUP('1.DATOS-PROD'!AI$2,'1.PUNTOS'!$A$1:$B$63,2,0),0)</f>
        <v>0</v>
      </c>
      <c r="AA402" s="138">
        <f>IF('1.DATOS-PROD'!AJ403="SI",VLOOKUP('1.DATOS-PROD'!AJ$2,'1.PUNTOS'!$A$1:$B$63,2,0),0)</f>
        <v>0</v>
      </c>
      <c r="AB402" s="138">
        <f>IF('1.DATOS-PROD'!AK403="SI",VLOOKUP('1.DATOS-PROD'!AK$2,'1.PUNTOS'!$A$1:$B$63,2,0),0)</f>
        <v>0</v>
      </c>
      <c r="AC402" s="138">
        <f>IF('1.DATOS-PROD'!AL403="SI",VLOOKUP('1.DATOS-PROD'!AL$2,'1.PUNTOS'!$A$1:$B$63,2,0),0)</f>
        <v>0</v>
      </c>
      <c r="AD402" s="138">
        <f>IF('1.DATOS-PROD'!AM403="SI",VLOOKUP('1.DATOS-PROD'!AM$2,'1.PUNTOS'!$A$1:$B$63,2,0),0)</f>
        <v>0</v>
      </c>
      <c r="AE402" s="138">
        <f>IF('1.DATOS-PROD'!AN403="SI",VLOOKUP('1.DATOS-PROD'!AN$2,'1.PUNTOS'!$A$1:$B$63,2,0),0)</f>
        <v>0</v>
      </c>
      <c r="AF402" s="138">
        <f>IF('1.DATOS-PROD'!AO403="SI",VLOOKUP('1.DATOS-PROD'!AO$2,'1.PUNTOS'!$A$1:$B$63,2,0),0)</f>
        <v>0</v>
      </c>
      <c r="AG402" s="138">
        <f>IF('1.DATOS-PROD'!AP403="SI",VLOOKUP('1.DATOS-PROD'!AP$2,'1.PUNTOS'!$A$1:$B$63,2,0),0)</f>
        <v>0</v>
      </c>
      <c r="AH402" s="138">
        <f>IF('1.DATOS-PROD'!AQ403="SI",VLOOKUP('1.DATOS-PROD'!AQ$2,'1.PUNTOS'!$A$1:$B$63,2,0),0)</f>
        <v>0</v>
      </c>
      <c r="AI402" s="138">
        <f>IF('1.DATOS-PROD'!AR403="SI",VLOOKUP('1.DATOS-PROD'!AR$2,'1.PUNTOS'!$A$1:$B$63,2,0),0)</f>
        <v>0</v>
      </c>
      <c r="AJ402" s="138">
        <f>IF('1.DATOS-PROD'!AS403="SI",VLOOKUP('1.DATOS-PROD'!AS$2,'1.PUNTOS'!$A$1:$B$63,2,0),0)</f>
        <v>0</v>
      </c>
      <c r="AK402" s="138">
        <f>IF('1.DATOS-PROD'!AT403="SI",VLOOKUP('1.DATOS-PROD'!AT$2,'1.PUNTOS'!$A$1:$B$63,2,0),0)</f>
        <v>0</v>
      </c>
      <c r="AL402" s="138">
        <f>IF('1.DATOS-PROD'!AU403="SI",VLOOKUP('1.DATOS-PROD'!AU$2,'1.PUNTOS'!$A$1:$B$63,2,0),0)</f>
        <v>0</v>
      </c>
      <c r="AM402" s="138">
        <f>IF('1.DATOS-PROD'!AV403="SI",VLOOKUP('1.DATOS-PROD'!AV$2,'1.PUNTOS'!$A$1:$B$63,2,0),0)</f>
        <v>0</v>
      </c>
      <c r="AN402" s="138">
        <f>IF('1.DATOS-PROD'!AW403="SI",VLOOKUP('1.DATOS-PROD'!AW$2,'1.PUNTOS'!$A$1:$B$63,2,0),0)</f>
        <v>0</v>
      </c>
      <c r="AO402" s="138">
        <f>IF('1.DATOS-PROD'!AX403="SI",VLOOKUP('1.DATOS-PROD'!AX$2,'1.PUNTOS'!$A$1:$B$63,2,0),0)</f>
        <v>0</v>
      </c>
      <c r="AP402" s="138">
        <f>IF('1.DATOS-PROD'!AY403="SI",VLOOKUP('1.DATOS-PROD'!AY$2,'1.PUNTOS'!$A$1:$B$63,2,0),0)</f>
        <v>0</v>
      </c>
      <c r="AQ402" s="138">
        <f>IF('1.DATOS-PROD'!AZ403="SI",VLOOKUP('1.DATOS-PROD'!AZ$2,'1.PUNTOS'!$A$1:$B$63,2,0),0)</f>
        <v>0</v>
      </c>
      <c r="AR402" s="138">
        <f>IF('1.DATOS-PROD'!BA403="SI",VLOOKUP('1.DATOS-PROD'!BA$2,'1.PUNTOS'!$A$1:$B$63,2,0),0)</f>
        <v>0</v>
      </c>
      <c r="AS402" s="138">
        <f>IF('1.DATOS-PROD'!BB403="SI",VLOOKUP('1.DATOS-PROD'!BB$2,'1.PUNTOS'!$A$1:$B$63,2,0),0)</f>
        <v>0</v>
      </c>
      <c r="AT402" s="138">
        <f>IF('1.DATOS-PROD'!BC403="SI",VLOOKUP('1.DATOS-PROD'!BC$2,'1.PUNTOS'!$A$1:$B$63,2,0),0)</f>
        <v>0</v>
      </c>
      <c r="AU402" s="138">
        <f>IF('1.DATOS-PROD'!BD403="SI",VLOOKUP('1.DATOS-PROD'!BD$2,'1.PUNTOS'!$A$1:$B$63,2,0),0)</f>
        <v>0</v>
      </c>
      <c r="AV402" s="138">
        <f>IF('1.DATOS-PROD'!BE403="SI",VLOOKUP('1.DATOS-PROD'!BE$2,'1.PUNTOS'!$A$1:$B$63,2,0),0)</f>
        <v>0</v>
      </c>
      <c r="AW402" s="138">
        <f>IF('1.DATOS-PROD'!BF403="SI",VLOOKUP('1.DATOS-PROD'!BF$2,'1.PUNTOS'!$A$1:$B$63,2,0),0)</f>
        <v>0</v>
      </c>
      <c r="AX402" s="138">
        <f>IF('1.DATOS-PROD'!BG403="SI",VLOOKUP('1.DATOS-PROD'!BG$2,'1.PUNTOS'!$A$1:$B$63,2,0),0)</f>
        <v>0</v>
      </c>
      <c r="AY402" s="138">
        <f>IF('1.DATOS-PROD'!BH403="SI",VLOOKUP('1.DATOS-PROD'!BH$2,'1.PUNTOS'!$A$1:$B$63,2,0),0)</f>
        <v>0</v>
      </c>
      <c r="AZ402" s="138">
        <f>IF('1.DATOS-PROD'!BI403="SI",VLOOKUP('1.DATOS-PROD'!BI$2,'1.PUNTOS'!$A$1:$B$63,2,0),0)</f>
        <v>0</v>
      </c>
      <c r="BA402" s="138">
        <f>IF('1.DATOS-PROD'!BJ403="SI",VLOOKUP('1.DATOS-PROD'!BJ$2,'1.PUNTOS'!$A$1:$B$63,2,0),0)</f>
        <v>0</v>
      </c>
      <c r="BB402" s="138">
        <f>IF('1.DATOS-PROD'!BK403="SI",VLOOKUP('1.DATOS-PROD'!BK$2,'1.PUNTOS'!$A$1:$B$63,2,0),0)</f>
        <v>0</v>
      </c>
      <c r="BC402" s="138">
        <f>IF('1.DATOS-PROD'!BL403="SI",VLOOKUP('1.DATOS-PROD'!BL$2,'1.PUNTOS'!$A$1:$B$63,2,0),0)</f>
        <v>0</v>
      </c>
      <c r="BD402" s="138">
        <f>IF('1.DATOS-PROD'!BM403="SI",VLOOKUP('1.DATOS-PROD'!BM$2,'1.PUNTOS'!$A$1:$B$63,2,0),0)</f>
        <v>0</v>
      </c>
      <c r="BE402" s="138">
        <f>IF('1.DATOS-PROD'!BN403="SI",VLOOKUP('1.DATOS-PROD'!BN$2,'1.PUNTOS'!$A$1:$B$63,2,0),0)</f>
        <v>0</v>
      </c>
      <c r="BF402" s="138">
        <f>IF('1.DATOS-PROD'!BO403="SI",VLOOKUP('1.DATOS-PROD'!BO$2,'1.PUNTOS'!$A$1:$B$63,2,0),0)</f>
        <v>0</v>
      </c>
      <c r="BG402" s="138">
        <f>IF('1.DATOS-PROD'!BP403="SI",VLOOKUP('1.DATOS-PROD'!BP$2,'1.PUNTOS'!$A$1:$B$63,2,0),0)</f>
        <v>0</v>
      </c>
      <c r="BH402" s="138">
        <f>IF('1.DATOS-PROD'!BQ403="SI",VLOOKUP('1.DATOS-PROD'!BQ$2,'1.PUNTOS'!$A$1:$B$63,2,0),0)</f>
        <v>0</v>
      </c>
      <c r="BI402" s="138">
        <f>IF('1.DATOS-PROD'!BR403="SI",VLOOKUP('1.DATOS-PROD'!BR$2,'1.PUNTOS'!$A$1:$B$63,2,0),0)</f>
        <v>0</v>
      </c>
      <c r="BJ402" s="138">
        <f>IF('1.DATOS-PROD'!BS403="SI",VLOOKUP('1.DATOS-PROD'!BS$2,'1.PUNTOS'!$A$1:$B$63,2,0),0)</f>
        <v>0</v>
      </c>
      <c r="BK402" s="138">
        <f>IF('1.DATOS-PROD'!BT403="SI",VLOOKUP('1.DATOS-PROD'!BT$2,'1.PUNTOS'!$A$1:$B$63,2,0),0)</f>
        <v>0</v>
      </c>
    </row>
    <row r="403" spans="1:63" x14ac:dyDescent="0.25">
      <c r="A403">
        <f>'0.Consolidado general'!$A404</f>
        <v>0</v>
      </c>
      <c r="B403" s="138">
        <f>IF('1.DATOS-PROD'!K404="SI",VLOOKUP('1.DATOS-PROD'!K$2,'1.PUNTOS'!$A$1:$B$63,2,0),0)</f>
        <v>0</v>
      </c>
      <c r="C403" s="138">
        <f>IF('1.DATOS-PROD'!L404="SI",VLOOKUP('1.DATOS-PROD'!L$2,'1.PUNTOS'!$A$1:$B$63,2,0),0)</f>
        <v>0</v>
      </c>
      <c r="D403" s="138">
        <f>IF('1.DATOS-PROD'!M404="SI",VLOOKUP('1.DATOS-PROD'!M$2,'1.PUNTOS'!$A$1:$B$63,2,0),0)</f>
        <v>0</v>
      </c>
      <c r="E403" s="138">
        <f>IF('1.DATOS-PROD'!N404="SI",VLOOKUP('1.DATOS-PROD'!N$2,'1.PUNTOS'!$A$1:$B$63,2,0),0)</f>
        <v>0</v>
      </c>
      <c r="F403" s="138">
        <f>IF('1.DATOS-PROD'!O404="SI",VLOOKUP('1.DATOS-PROD'!O$2,'1.PUNTOS'!$A$1:$B$63,2,0),0)</f>
        <v>0</v>
      </c>
      <c r="G403" s="138">
        <f>IF('1.DATOS-PROD'!P404="SI",VLOOKUP('1.DATOS-PROD'!P$2,'1.PUNTOS'!$A$1:$B$63,2,0),0)</f>
        <v>0</v>
      </c>
      <c r="H403" s="138">
        <f>IF('1.DATOS-PROD'!Q404="SI",VLOOKUP('1.DATOS-PROD'!Q$2,'1.PUNTOS'!$A$1:$B$63,2,0),0)</f>
        <v>0</v>
      </c>
      <c r="I403" s="138">
        <f>IF('1.DATOS-PROD'!R404="SI",VLOOKUP('1.DATOS-PROD'!R$2,'1.PUNTOS'!$A$1:$B$63,2,0),0)</f>
        <v>0</v>
      </c>
      <c r="J403" s="138">
        <f>IF('1.DATOS-PROD'!S404="SI",VLOOKUP('1.DATOS-PROD'!S$2,'1.PUNTOS'!$A$1:$B$63,2,0),0)</f>
        <v>0</v>
      </c>
      <c r="K403" s="138">
        <f>IF('1.DATOS-PROD'!T404="SI",VLOOKUP('1.DATOS-PROD'!T$2,'1.PUNTOS'!$A$1:$B$63,2,0),0)</f>
        <v>0</v>
      </c>
      <c r="L403" s="138">
        <f>IF('1.DATOS-PROD'!U404="SI",VLOOKUP('1.DATOS-PROD'!U$2,'1.PUNTOS'!$A$1:$B$63,2,0),0)</f>
        <v>0</v>
      </c>
      <c r="M403" s="138">
        <f>IF('1.DATOS-PROD'!V404="SI",VLOOKUP('1.DATOS-PROD'!V$2,'1.PUNTOS'!$A$1:$B$63,2,0),0)</f>
        <v>0</v>
      </c>
      <c r="N403" s="138">
        <f>IF('1.DATOS-PROD'!W404="SI",VLOOKUP('1.DATOS-PROD'!W$2,'1.PUNTOS'!$A$1:$B$63,2,0),0)</f>
        <v>0</v>
      </c>
      <c r="O403" s="138">
        <f>IF('1.DATOS-PROD'!X404="SI",VLOOKUP('1.DATOS-PROD'!X$2,'1.PUNTOS'!$A$1:$B$63,2,0),0)</f>
        <v>0</v>
      </c>
      <c r="P403" s="138">
        <f>IF('1.DATOS-PROD'!Y404="SI",VLOOKUP('1.DATOS-PROD'!Y$2,'1.PUNTOS'!$A$1:$B$63,2,0),0)</f>
        <v>0</v>
      </c>
      <c r="Q403" s="138">
        <f>IF('1.DATOS-PROD'!Z404="SI",VLOOKUP('1.DATOS-PROD'!Z$2,'1.PUNTOS'!$A$1:$B$63,2,0),0)</f>
        <v>0</v>
      </c>
      <c r="R403" s="138">
        <f>IF('1.DATOS-PROD'!AA404="SI",VLOOKUP('1.DATOS-PROD'!AA$2,'1.PUNTOS'!$A$1:$B$63,2,0),0)</f>
        <v>0</v>
      </c>
      <c r="S403" s="138">
        <f>IF('1.DATOS-PROD'!AB404="SI",VLOOKUP('1.DATOS-PROD'!AB$2,'1.PUNTOS'!$A$1:$B$63,2,0),0)</f>
        <v>0</v>
      </c>
      <c r="T403" s="138">
        <f>IF('1.DATOS-PROD'!AC404="SI",VLOOKUP('1.DATOS-PROD'!AC$2,'1.PUNTOS'!$A$1:$B$63,2,0),0)</f>
        <v>0</v>
      </c>
      <c r="U403" s="138">
        <f>IF('1.DATOS-PROD'!AD404="SI",VLOOKUP('1.DATOS-PROD'!AD$2,'1.PUNTOS'!$A$1:$B$63,2,0),0)</f>
        <v>0</v>
      </c>
      <c r="V403" s="138">
        <f>IF('1.DATOS-PROD'!AE404="SI",VLOOKUP('1.DATOS-PROD'!AE$2,'1.PUNTOS'!$A$1:$B$63,2,0),0)</f>
        <v>0</v>
      </c>
      <c r="W403" s="138">
        <f>IF('1.DATOS-PROD'!AF404="SI",VLOOKUP('1.DATOS-PROD'!AF$2,'1.PUNTOS'!$A$1:$B$63,2,0),0)</f>
        <v>0</v>
      </c>
      <c r="X403" s="138">
        <f>IF('1.DATOS-PROD'!AG404="SI",VLOOKUP('1.DATOS-PROD'!AG$2,'1.PUNTOS'!$A$1:$B$63,2,0),0)</f>
        <v>0</v>
      </c>
      <c r="Y403" s="138">
        <f>IF('1.DATOS-PROD'!AH404="SI",VLOOKUP('1.DATOS-PROD'!AH$2,'1.PUNTOS'!$A$1:$B$63,2,0),0)</f>
        <v>0</v>
      </c>
      <c r="Z403" s="138">
        <f>IF('1.DATOS-PROD'!AI404="SI",VLOOKUP('1.DATOS-PROD'!AI$2,'1.PUNTOS'!$A$1:$B$63,2,0),0)</f>
        <v>0</v>
      </c>
      <c r="AA403" s="138">
        <f>IF('1.DATOS-PROD'!AJ404="SI",VLOOKUP('1.DATOS-PROD'!AJ$2,'1.PUNTOS'!$A$1:$B$63,2,0),0)</f>
        <v>0</v>
      </c>
      <c r="AB403" s="138">
        <f>IF('1.DATOS-PROD'!AK404="SI",VLOOKUP('1.DATOS-PROD'!AK$2,'1.PUNTOS'!$A$1:$B$63,2,0),0)</f>
        <v>0</v>
      </c>
      <c r="AC403" s="138">
        <f>IF('1.DATOS-PROD'!AL404="SI",VLOOKUP('1.DATOS-PROD'!AL$2,'1.PUNTOS'!$A$1:$B$63,2,0),0)</f>
        <v>0</v>
      </c>
      <c r="AD403" s="138">
        <f>IF('1.DATOS-PROD'!AM404="SI",VLOOKUP('1.DATOS-PROD'!AM$2,'1.PUNTOS'!$A$1:$B$63,2,0),0)</f>
        <v>0</v>
      </c>
      <c r="AE403" s="138">
        <f>IF('1.DATOS-PROD'!AN404="SI",VLOOKUP('1.DATOS-PROD'!AN$2,'1.PUNTOS'!$A$1:$B$63,2,0),0)</f>
        <v>0</v>
      </c>
      <c r="AF403" s="138">
        <f>IF('1.DATOS-PROD'!AO404="SI",VLOOKUP('1.DATOS-PROD'!AO$2,'1.PUNTOS'!$A$1:$B$63,2,0),0)</f>
        <v>0</v>
      </c>
      <c r="AG403" s="138">
        <f>IF('1.DATOS-PROD'!AP404="SI",VLOOKUP('1.DATOS-PROD'!AP$2,'1.PUNTOS'!$A$1:$B$63,2,0),0)</f>
        <v>0</v>
      </c>
      <c r="AH403" s="138">
        <f>IF('1.DATOS-PROD'!AQ404="SI",VLOOKUP('1.DATOS-PROD'!AQ$2,'1.PUNTOS'!$A$1:$B$63,2,0),0)</f>
        <v>0</v>
      </c>
      <c r="AI403" s="138">
        <f>IF('1.DATOS-PROD'!AR404="SI",VLOOKUP('1.DATOS-PROD'!AR$2,'1.PUNTOS'!$A$1:$B$63,2,0),0)</f>
        <v>0</v>
      </c>
      <c r="AJ403" s="138">
        <f>IF('1.DATOS-PROD'!AS404="SI",VLOOKUP('1.DATOS-PROD'!AS$2,'1.PUNTOS'!$A$1:$B$63,2,0),0)</f>
        <v>0</v>
      </c>
      <c r="AK403" s="138">
        <f>IF('1.DATOS-PROD'!AT404="SI",VLOOKUP('1.DATOS-PROD'!AT$2,'1.PUNTOS'!$A$1:$B$63,2,0),0)</f>
        <v>0</v>
      </c>
      <c r="AL403" s="138">
        <f>IF('1.DATOS-PROD'!AU404="SI",VLOOKUP('1.DATOS-PROD'!AU$2,'1.PUNTOS'!$A$1:$B$63,2,0),0)</f>
        <v>0</v>
      </c>
      <c r="AM403" s="138">
        <f>IF('1.DATOS-PROD'!AV404="SI",VLOOKUP('1.DATOS-PROD'!AV$2,'1.PUNTOS'!$A$1:$B$63,2,0),0)</f>
        <v>0</v>
      </c>
      <c r="AN403" s="138">
        <f>IF('1.DATOS-PROD'!AW404="SI",VLOOKUP('1.DATOS-PROD'!AW$2,'1.PUNTOS'!$A$1:$B$63,2,0),0)</f>
        <v>0</v>
      </c>
      <c r="AO403" s="138">
        <f>IF('1.DATOS-PROD'!AX404="SI",VLOOKUP('1.DATOS-PROD'!AX$2,'1.PUNTOS'!$A$1:$B$63,2,0),0)</f>
        <v>0</v>
      </c>
      <c r="AP403" s="138">
        <f>IF('1.DATOS-PROD'!AY404="SI",VLOOKUP('1.DATOS-PROD'!AY$2,'1.PUNTOS'!$A$1:$B$63,2,0),0)</f>
        <v>0</v>
      </c>
      <c r="AQ403" s="138">
        <f>IF('1.DATOS-PROD'!AZ404="SI",VLOOKUP('1.DATOS-PROD'!AZ$2,'1.PUNTOS'!$A$1:$B$63,2,0),0)</f>
        <v>0</v>
      </c>
      <c r="AR403" s="138">
        <f>IF('1.DATOS-PROD'!BA404="SI",VLOOKUP('1.DATOS-PROD'!BA$2,'1.PUNTOS'!$A$1:$B$63,2,0),0)</f>
        <v>0</v>
      </c>
      <c r="AS403" s="138">
        <f>IF('1.DATOS-PROD'!BB404="SI",VLOOKUP('1.DATOS-PROD'!BB$2,'1.PUNTOS'!$A$1:$B$63,2,0),0)</f>
        <v>0</v>
      </c>
      <c r="AT403" s="138">
        <f>IF('1.DATOS-PROD'!BC404="SI",VLOOKUP('1.DATOS-PROD'!BC$2,'1.PUNTOS'!$A$1:$B$63,2,0),0)</f>
        <v>0</v>
      </c>
      <c r="AU403" s="138">
        <f>IF('1.DATOS-PROD'!BD404="SI",VLOOKUP('1.DATOS-PROD'!BD$2,'1.PUNTOS'!$A$1:$B$63,2,0),0)</f>
        <v>0</v>
      </c>
      <c r="AV403" s="138">
        <f>IF('1.DATOS-PROD'!BE404="SI",VLOOKUP('1.DATOS-PROD'!BE$2,'1.PUNTOS'!$A$1:$B$63,2,0),0)</f>
        <v>0</v>
      </c>
      <c r="AW403" s="138">
        <f>IF('1.DATOS-PROD'!BF404="SI",VLOOKUP('1.DATOS-PROD'!BF$2,'1.PUNTOS'!$A$1:$B$63,2,0),0)</f>
        <v>0</v>
      </c>
      <c r="AX403" s="138">
        <f>IF('1.DATOS-PROD'!BG404="SI",VLOOKUP('1.DATOS-PROD'!BG$2,'1.PUNTOS'!$A$1:$B$63,2,0),0)</f>
        <v>0</v>
      </c>
      <c r="AY403" s="138">
        <f>IF('1.DATOS-PROD'!BH404="SI",VLOOKUP('1.DATOS-PROD'!BH$2,'1.PUNTOS'!$A$1:$B$63,2,0),0)</f>
        <v>0</v>
      </c>
      <c r="AZ403" s="138">
        <f>IF('1.DATOS-PROD'!BI404="SI",VLOOKUP('1.DATOS-PROD'!BI$2,'1.PUNTOS'!$A$1:$B$63,2,0),0)</f>
        <v>0</v>
      </c>
      <c r="BA403" s="138">
        <f>IF('1.DATOS-PROD'!BJ404="SI",VLOOKUP('1.DATOS-PROD'!BJ$2,'1.PUNTOS'!$A$1:$B$63,2,0),0)</f>
        <v>0</v>
      </c>
      <c r="BB403" s="138">
        <f>IF('1.DATOS-PROD'!BK404="SI",VLOOKUP('1.DATOS-PROD'!BK$2,'1.PUNTOS'!$A$1:$B$63,2,0),0)</f>
        <v>0</v>
      </c>
      <c r="BC403" s="138">
        <f>IF('1.DATOS-PROD'!BL404="SI",VLOOKUP('1.DATOS-PROD'!BL$2,'1.PUNTOS'!$A$1:$B$63,2,0),0)</f>
        <v>0</v>
      </c>
      <c r="BD403" s="138">
        <f>IF('1.DATOS-PROD'!BM404="SI",VLOOKUP('1.DATOS-PROD'!BM$2,'1.PUNTOS'!$A$1:$B$63,2,0),0)</f>
        <v>0</v>
      </c>
      <c r="BE403" s="138">
        <f>IF('1.DATOS-PROD'!BN404="SI",VLOOKUP('1.DATOS-PROD'!BN$2,'1.PUNTOS'!$A$1:$B$63,2,0),0)</f>
        <v>0</v>
      </c>
      <c r="BF403" s="138">
        <f>IF('1.DATOS-PROD'!BO404="SI",VLOOKUP('1.DATOS-PROD'!BO$2,'1.PUNTOS'!$A$1:$B$63,2,0),0)</f>
        <v>0</v>
      </c>
      <c r="BG403" s="138">
        <f>IF('1.DATOS-PROD'!BP404="SI",VLOOKUP('1.DATOS-PROD'!BP$2,'1.PUNTOS'!$A$1:$B$63,2,0),0)</f>
        <v>0</v>
      </c>
      <c r="BH403" s="138">
        <f>IF('1.DATOS-PROD'!BQ404="SI",VLOOKUP('1.DATOS-PROD'!BQ$2,'1.PUNTOS'!$A$1:$B$63,2,0),0)</f>
        <v>0</v>
      </c>
      <c r="BI403" s="138">
        <f>IF('1.DATOS-PROD'!BR404="SI",VLOOKUP('1.DATOS-PROD'!BR$2,'1.PUNTOS'!$A$1:$B$63,2,0),0)</f>
        <v>0</v>
      </c>
      <c r="BJ403" s="138">
        <f>IF('1.DATOS-PROD'!BS404="SI",VLOOKUP('1.DATOS-PROD'!BS$2,'1.PUNTOS'!$A$1:$B$63,2,0),0)</f>
        <v>0</v>
      </c>
      <c r="BK403" s="138">
        <f>IF('1.DATOS-PROD'!BT404="SI",VLOOKUP('1.DATOS-PROD'!BT$2,'1.PUNTOS'!$A$1:$B$63,2,0),0)</f>
        <v>0</v>
      </c>
    </row>
    <row r="404" spans="1:63" x14ac:dyDescent="0.25">
      <c r="A404">
        <f>'0.Consolidado general'!$A405</f>
        <v>0</v>
      </c>
      <c r="B404" s="138">
        <f>IF('1.DATOS-PROD'!K405="SI",VLOOKUP('1.DATOS-PROD'!K$2,'1.PUNTOS'!$A$1:$B$63,2,0),0)</f>
        <v>0</v>
      </c>
      <c r="C404" s="138">
        <f>IF('1.DATOS-PROD'!L405="SI",VLOOKUP('1.DATOS-PROD'!L$2,'1.PUNTOS'!$A$1:$B$63,2,0),0)</f>
        <v>0</v>
      </c>
      <c r="D404" s="138">
        <f>IF('1.DATOS-PROD'!M405="SI",VLOOKUP('1.DATOS-PROD'!M$2,'1.PUNTOS'!$A$1:$B$63,2,0),0)</f>
        <v>0</v>
      </c>
      <c r="E404" s="138">
        <f>IF('1.DATOS-PROD'!N405="SI",VLOOKUP('1.DATOS-PROD'!N$2,'1.PUNTOS'!$A$1:$B$63,2,0),0)</f>
        <v>0</v>
      </c>
      <c r="F404" s="138">
        <f>IF('1.DATOS-PROD'!O405="SI",VLOOKUP('1.DATOS-PROD'!O$2,'1.PUNTOS'!$A$1:$B$63,2,0),0)</f>
        <v>0</v>
      </c>
      <c r="G404" s="138">
        <f>IF('1.DATOS-PROD'!P405="SI",VLOOKUP('1.DATOS-PROD'!P$2,'1.PUNTOS'!$A$1:$B$63,2,0),0)</f>
        <v>0</v>
      </c>
      <c r="H404" s="138">
        <f>IF('1.DATOS-PROD'!Q405="SI",VLOOKUP('1.DATOS-PROD'!Q$2,'1.PUNTOS'!$A$1:$B$63,2,0),0)</f>
        <v>0</v>
      </c>
      <c r="I404" s="138">
        <f>IF('1.DATOS-PROD'!R405="SI",VLOOKUP('1.DATOS-PROD'!R$2,'1.PUNTOS'!$A$1:$B$63,2,0),0)</f>
        <v>0</v>
      </c>
      <c r="J404" s="138">
        <f>IF('1.DATOS-PROD'!S405="SI",VLOOKUP('1.DATOS-PROD'!S$2,'1.PUNTOS'!$A$1:$B$63,2,0),0)</f>
        <v>0</v>
      </c>
      <c r="K404" s="138">
        <f>IF('1.DATOS-PROD'!T405="SI",VLOOKUP('1.DATOS-PROD'!T$2,'1.PUNTOS'!$A$1:$B$63,2,0),0)</f>
        <v>0</v>
      </c>
      <c r="L404" s="138">
        <f>IF('1.DATOS-PROD'!U405="SI",VLOOKUP('1.DATOS-PROD'!U$2,'1.PUNTOS'!$A$1:$B$63,2,0),0)</f>
        <v>0</v>
      </c>
      <c r="M404" s="138">
        <f>IF('1.DATOS-PROD'!V405="SI",VLOOKUP('1.DATOS-PROD'!V$2,'1.PUNTOS'!$A$1:$B$63,2,0),0)</f>
        <v>0</v>
      </c>
      <c r="N404" s="138">
        <f>IF('1.DATOS-PROD'!W405="SI",VLOOKUP('1.DATOS-PROD'!W$2,'1.PUNTOS'!$A$1:$B$63,2,0),0)</f>
        <v>0</v>
      </c>
      <c r="O404" s="138">
        <f>IF('1.DATOS-PROD'!X405="SI",VLOOKUP('1.DATOS-PROD'!X$2,'1.PUNTOS'!$A$1:$B$63,2,0),0)</f>
        <v>0</v>
      </c>
      <c r="P404" s="138">
        <f>IF('1.DATOS-PROD'!Y405="SI",VLOOKUP('1.DATOS-PROD'!Y$2,'1.PUNTOS'!$A$1:$B$63,2,0),0)</f>
        <v>0</v>
      </c>
      <c r="Q404" s="138">
        <f>IF('1.DATOS-PROD'!Z405="SI",VLOOKUP('1.DATOS-PROD'!Z$2,'1.PUNTOS'!$A$1:$B$63,2,0),0)</f>
        <v>0</v>
      </c>
      <c r="R404" s="138">
        <f>IF('1.DATOS-PROD'!AA405="SI",VLOOKUP('1.DATOS-PROD'!AA$2,'1.PUNTOS'!$A$1:$B$63,2,0),0)</f>
        <v>0</v>
      </c>
      <c r="S404" s="138">
        <f>IF('1.DATOS-PROD'!AB405="SI",VLOOKUP('1.DATOS-PROD'!AB$2,'1.PUNTOS'!$A$1:$B$63,2,0),0)</f>
        <v>0</v>
      </c>
      <c r="T404" s="138">
        <f>IF('1.DATOS-PROD'!AC405="SI",VLOOKUP('1.DATOS-PROD'!AC$2,'1.PUNTOS'!$A$1:$B$63,2,0),0)</f>
        <v>0</v>
      </c>
      <c r="U404" s="138">
        <f>IF('1.DATOS-PROD'!AD405="SI",VLOOKUP('1.DATOS-PROD'!AD$2,'1.PUNTOS'!$A$1:$B$63,2,0),0)</f>
        <v>0</v>
      </c>
      <c r="V404" s="138">
        <f>IF('1.DATOS-PROD'!AE405="SI",VLOOKUP('1.DATOS-PROD'!AE$2,'1.PUNTOS'!$A$1:$B$63,2,0),0)</f>
        <v>0</v>
      </c>
      <c r="W404" s="138">
        <f>IF('1.DATOS-PROD'!AF405="SI",VLOOKUP('1.DATOS-PROD'!AF$2,'1.PUNTOS'!$A$1:$B$63,2,0),0)</f>
        <v>0</v>
      </c>
      <c r="X404" s="138">
        <f>IF('1.DATOS-PROD'!AG405="SI",VLOOKUP('1.DATOS-PROD'!AG$2,'1.PUNTOS'!$A$1:$B$63,2,0),0)</f>
        <v>0</v>
      </c>
      <c r="Y404" s="138">
        <f>IF('1.DATOS-PROD'!AH405="SI",VLOOKUP('1.DATOS-PROD'!AH$2,'1.PUNTOS'!$A$1:$B$63,2,0),0)</f>
        <v>0</v>
      </c>
      <c r="Z404" s="138">
        <f>IF('1.DATOS-PROD'!AI405="SI",VLOOKUP('1.DATOS-PROD'!AI$2,'1.PUNTOS'!$A$1:$B$63,2,0),0)</f>
        <v>0</v>
      </c>
      <c r="AA404" s="138">
        <f>IF('1.DATOS-PROD'!AJ405="SI",VLOOKUP('1.DATOS-PROD'!AJ$2,'1.PUNTOS'!$A$1:$B$63,2,0),0)</f>
        <v>0</v>
      </c>
      <c r="AB404" s="138">
        <f>IF('1.DATOS-PROD'!AK405="SI",VLOOKUP('1.DATOS-PROD'!AK$2,'1.PUNTOS'!$A$1:$B$63,2,0),0)</f>
        <v>0</v>
      </c>
      <c r="AC404" s="138">
        <f>IF('1.DATOS-PROD'!AL405="SI",VLOOKUP('1.DATOS-PROD'!AL$2,'1.PUNTOS'!$A$1:$B$63,2,0),0)</f>
        <v>0</v>
      </c>
      <c r="AD404" s="138">
        <f>IF('1.DATOS-PROD'!AM405="SI",VLOOKUP('1.DATOS-PROD'!AM$2,'1.PUNTOS'!$A$1:$B$63,2,0),0)</f>
        <v>0</v>
      </c>
      <c r="AE404" s="138">
        <f>IF('1.DATOS-PROD'!AN405="SI",VLOOKUP('1.DATOS-PROD'!AN$2,'1.PUNTOS'!$A$1:$B$63,2,0),0)</f>
        <v>0</v>
      </c>
      <c r="AF404" s="138">
        <f>IF('1.DATOS-PROD'!AO405="SI",VLOOKUP('1.DATOS-PROD'!AO$2,'1.PUNTOS'!$A$1:$B$63,2,0),0)</f>
        <v>0</v>
      </c>
      <c r="AG404" s="138">
        <f>IF('1.DATOS-PROD'!AP405="SI",VLOOKUP('1.DATOS-PROD'!AP$2,'1.PUNTOS'!$A$1:$B$63,2,0),0)</f>
        <v>0</v>
      </c>
      <c r="AH404" s="138">
        <f>IF('1.DATOS-PROD'!AQ405="SI",VLOOKUP('1.DATOS-PROD'!AQ$2,'1.PUNTOS'!$A$1:$B$63,2,0),0)</f>
        <v>0</v>
      </c>
      <c r="AI404" s="138">
        <f>IF('1.DATOS-PROD'!AR405="SI",VLOOKUP('1.DATOS-PROD'!AR$2,'1.PUNTOS'!$A$1:$B$63,2,0),0)</f>
        <v>0</v>
      </c>
      <c r="AJ404" s="138">
        <f>IF('1.DATOS-PROD'!AS405="SI",VLOOKUP('1.DATOS-PROD'!AS$2,'1.PUNTOS'!$A$1:$B$63,2,0),0)</f>
        <v>0</v>
      </c>
      <c r="AK404" s="138">
        <f>IF('1.DATOS-PROD'!AT405="SI",VLOOKUP('1.DATOS-PROD'!AT$2,'1.PUNTOS'!$A$1:$B$63,2,0),0)</f>
        <v>0</v>
      </c>
      <c r="AL404" s="138">
        <f>IF('1.DATOS-PROD'!AU405="SI",VLOOKUP('1.DATOS-PROD'!AU$2,'1.PUNTOS'!$A$1:$B$63,2,0),0)</f>
        <v>0</v>
      </c>
      <c r="AM404" s="138">
        <f>IF('1.DATOS-PROD'!AV405="SI",VLOOKUP('1.DATOS-PROD'!AV$2,'1.PUNTOS'!$A$1:$B$63,2,0),0)</f>
        <v>0</v>
      </c>
      <c r="AN404" s="138">
        <f>IF('1.DATOS-PROD'!AW405="SI",VLOOKUP('1.DATOS-PROD'!AW$2,'1.PUNTOS'!$A$1:$B$63,2,0),0)</f>
        <v>0</v>
      </c>
      <c r="AO404" s="138">
        <f>IF('1.DATOS-PROD'!AX405="SI",VLOOKUP('1.DATOS-PROD'!AX$2,'1.PUNTOS'!$A$1:$B$63,2,0),0)</f>
        <v>0</v>
      </c>
      <c r="AP404" s="138">
        <f>IF('1.DATOS-PROD'!AY405="SI",VLOOKUP('1.DATOS-PROD'!AY$2,'1.PUNTOS'!$A$1:$B$63,2,0),0)</f>
        <v>0</v>
      </c>
      <c r="AQ404" s="138">
        <f>IF('1.DATOS-PROD'!AZ405="SI",VLOOKUP('1.DATOS-PROD'!AZ$2,'1.PUNTOS'!$A$1:$B$63,2,0),0)</f>
        <v>0</v>
      </c>
      <c r="AR404" s="138">
        <f>IF('1.DATOS-PROD'!BA405="SI",VLOOKUP('1.DATOS-PROD'!BA$2,'1.PUNTOS'!$A$1:$B$63,2,0),0)</f>
        <v>0</v>
      </c>
      <c r="AS404" s="138">
        <f>IF('1.DATOS-PROD'!BB405="SI",VLOOKUP('1.DATOS-PROD'!BB$2,'1.PUNTOS'!$A$1:$B$63,2,0),0)</f>
        <v>0</v>
      </c>
      <c r="AT404" s="138">
        <f>IF('1.DATOS-PROD'!BC405="SI",VLOOKUP('1.DATOS-PROD'!BC$2,'1.PUNTOS'!$A$1:$B$63,2,0),0)</f>
        <v>0</v>
      </c>
      <c r="AU404" s="138">
        <f>IF('1.DATOS-PROD'!BD405="SI",VLOOKUP('1.DATOS-PROD'!BD$2,'1.PUNTOS'!$A$1:$B$63,2,0),0)</f>
        <v>0</v>
      </c>
      <c r="AV404" s="138">
        <f>IF('1.DATOS-PROD'!BE405="SI",VLOOKUP('1.DATOS-PROD'!BE$2,'1.PUNTOS'!$A$1:$B$63,2,0),0)</f>
        <v>0</v>
      </c>
      <c r="AW404" s="138">
        <f>IF('1.DATOS-PROD'!BF405="SI",VLOOKUP('1.DATOS-PROD'!BF$2,'1.PUNTOS'!$A$1:$B$63,2,0),0)</f>
        <v>0</v>
      </c>
      <c r="AX404" s="138">
        <f>IF('1.DATOS-PROD'!BG405="SI",VLOOKUP('1.DATOS-PROD'!BG$2,'1.PUNTOS'!$A$1:$B$63,2,0),0)</f>
        <v>0</v>
      </c>
      <c r="AY404" s="138">
        <f>IF('1.DATOS-PROD'!BH405="SI",VLOOKUP('1.DATOS-PROD'!BH$2,'1.PUNTOS'!$A$1:$B$63,2,0),0)</f>
        <v>0</v>
      </c>
      <c r="AZ404" s="138">
        <f>IF('1.DATOS-PROD'!BI405="SI",VLOOKUP('1.DATOS-PROD'!BI$2,'1.PUNTOS'!$A$1:$B$63,2,0),0)</f>
        <v>0</v>
      </c>
      <c r="BA404" s="138">
        <f>IF('1.DATOS-PROD'!BJ405="SI",VLOOKUP('1.DATOS-PROD'!BJ$2,'1.PUNTOS'!$A$1:$B$63,2,0),0)</f>
        <v>0</v>
      </c>
      <c r="BB404" s="138">
        <f>IF('1.DATOS-PROD'!BK405="SI",VLOOKUP('1.DATOS-PROD'!BK$2,'1.PUNTOS'!$A$1:$B$63,2,0),0)</f>
        <v>0</v>
      </c>
      <c r="BC404" s="138">
        <f>IF('1.DATOS-PROD'!BL405="SI",VLOOKUP('1.DATOS-PROD'!BL$2,'1.PUNTOS'!$A$1:$B$63,2,0),0)</f>
        <v>0</v>
      </c>
      <c r="BD404" s="138">
        <f>IF('1.DATOS-PROD'!BM405="SI",VLOOKUP('1.DATOS-PROD'!BM$2,'1.PUNTOS'!$A$1:$B$63,2,0),0)</f>
        <v>0</v>
      </c>
      <c r="BE404" s="138">
        <f>IF('1.DATOS-PROD'!BN405="SI",VLOOKUP('1.DATOS-PROD'!BN$2,'1.PUNTOS'!$A$1:$B$63,2,0),0)</f>
        <v>0</v>
      </c>
      <c r="BF404" s="138">
        <f>IF('1.DATOS-PROD'!BO405="SI",VLOOKUP('1.DATOS-PROD'!BO$2,'1.PUNTOS'!$A$1:$B$63,2,0),0)</f>
        <v>0</v>
      </c>
      <c r="BG404" s="138">
        <f>IF('1.DATOS-PROD'!BP405="SI",VLOOKUP('1.DATOS-PROD'!BP$2,'1.PUNTOS'!$A$1:$B$63,2,0),0)</f>
        <v>0</v>
      </c>
      <c r="BH404" s="138">
        <f>IF('1.DATOS-PROD'!BQ405="SI",VLOOKUP('1.DATOS-PROD'!BQ$2,'1.PUNTOS'!$A$1:$B$63,2,0),0)</f>
        <v>0</v>
      </c>
      <c r="BI404" s="138">
        <f>IF('1.DATOS-PROD'!BR405="SI",VLOOKUP('1.DATOS-PROD'!BR$2,'1.PUNTOS'!$A$1:$B$63,2,0),0)</f>
        <v>0</v>
      </c>
      <c r="BJ404" s="138">
        <f>IF('1.DATOS-PROD'!BS405="SI",VLOOKUP('1.DATOS-PROD'!BS$2,'1.PUNTOS'!$A$1:$B$63,2,0),0)</f>
        <v>0</v>
      </c>
      <c r="BK404" s="138">
        <f>IF('1.DATOS-PROD'!BT405="SI",VLOOKUP('1.DATOS-PROD'!BT$2,'1.PUNTOS'!$A$1:$B$63,2,0),0)</f>
        <v>0</v>
      </c>
    </row>
    <row r="405" spans="1:63" x14ac:dyDescent="0.25">
      <c r="A405">
        <f>'0.Consolidado general'!$A406</f>
        <v>0</v>
      </c>
      <c r="B405" s="138">
        <f>IF('1.DATOS-PROD'!K406="SI",VLOOKUP('1.DATOS-PROD'!K$2,'1.PUNTOS'!$A$1:$B$63,2,0),0)</f>
        <v>0</v>
      </c>
      <c r="C405" s="138">
        <f>IF('1.DATOS-PROD'!L406="SI",VLOOKUP('1.DATOS-PROD'!L$2,'1.PUNTOS'!$A$1:$B$63,2,0),0)</f>
        <v>0</v>
      </c>
      <c r="D405" s="138">
        <f>IF('1.DATOS-PROD'!M406="SI",VLOOKUP('1.DATOS-PROD'!M$2,'1.PUNTOS'!$A$1:$B$63,2,0),0)</f>
        <v>0</v>
      </c>
      <c r="E405" s="138">
        <f>IF('1.DATOS-PROD'!N406="SI",VLOOKUP('1.DATOS-PROD'!N$2,'1.PUNTOS'!$A$1:$B$63,2,0),0)</f>
        <v>0</v>
      </c>
      <c r="F405" s="138">
        <f>IF('1.DATOS-PROD'!O406="SI",VLOOKUP('1.DATOS-PROD'!O$2,'1.PUNTOS'!$A$1:$B$63,2,0),0)</f>
        <v>0</v>
      </c>
      <c r="G405" s="138">
        <f>IF('1.DATOS-PROD'!P406="SI",VLOOKUP('1.DATOS-PROD'!P$2,'1.PUNTOS'!$A$1:$B$63,2,0),0)</f>
        <v>0</v>
      </c>
      <c r="H405" s="138">
        <f>IF('1.DATOS-PROD'!Q406="SI",VLOOKUP('1.DATOS-PROD'!Q$2,'1.PUNTOS'!$A$1:$B$63,2,0),0)</f>
        <v>0</v>
      </c>
      <c r="I405" s="138">
        <f>IF('1.DATOS-PROD'!R406="SI",VLOOKUP('1.DATOS-PROD'!R$2,'1.PUNTOS'!$A$1:$B$63,2,0),0)</f>
        <v>0</v>
      </c>
      <c r="J405" s="138">
        <f>IF('1.DATOS-PROD'!S406="SI",VLOOKUP('1.DATOS-PROD'!S$2,'1.PUNTOS'!$A$1:$B$63,2,0),0)</f>
        <v>0</v>
      </c>
      <c r="K405" s="138">
        <f>IF('1.DATOS-PROD'!T406="SI",VLOOKUP('1.DATOS-PROD'!T$2,'1.PUNTOS'!$A$1:$B$63,2,0),0)</f>
        <v>0</v>
      </c>
      <c r="L405" s="138">
        <f>IF('1.DATOS-PROD'!U406="SI",VLOOKUP('1.DATOS-PROD'!U$2,'1.PUNTOS'!$A$1:$B$63,2,0),0)</f>
        <v>0</v>
      </c>
      <c r="M405" s="138">
        <f>IF('1.DATOS-PROD'!V406="SI",VLOOKUP('1.DATOS-PROD'!V$2,'1.PUNTOS'!$A$1:$B$63,2,0),0)</f>
        <v>0</v>
      </c>
      <c r="N405" s="138">
        <f>IF('1.DATOS-PROD'!W406="SI",VLOOKUP('1.DATOS-PROD'!W$2,'1.PUNTOS'!$A$1:$B$63,2,0),0)</f>
        <v>0</v>
      </c>
      <c r="O405" s="138">
        <f>IF('1.DATOS-PROD'!X406="SI",VLOOKUP('1.DATOS-PROD'!X$2,'1.PUNTOS'!$A$1:$B$63,2,0),0)</f>
        <v>0</v>
      </c>
      <c r="P405" s="138">
        <f>IF('1.DATOS-PROD'!Y406="SI",VLOOKUP('1.DATOS-PROD'!Y$2,'1.PUNTOS'!$A$1:$B$63,2,0),0)</f>
        <v>0</v>
      </c>
      <c r="Q405" s="138">
        <f>IF('1.DATOS-PROD'!Z406="SI",VLOOKUP('1.DATOS-PROD'!Z$2,'1.PUNTOS'!$A$1:$B$63,2,0),0)</f>
        <v>0</v>
      </c>
      <c r="R405" s="138">
        <f>IF('1.DATOS-PROD'!AA406="SI",VLOOKUP('1.DATOS-PROD'!AA$2,'1.PUNTOS'!$A$1:$B$63,2,0),0)</f>
        <v>0</v>
      </c>
      <c r="S405" s="138">
        <f>IF('1.DATOS-PROD'!AB406="SI",VLOOKUP('1.DATOS-PROD'!AB$2,'1.PUNTOS'!$A$1:$B$63,2,0),0)</f>
        <v>0</v>
      </c>
      <c r="T405" s="138">
        <f>IF('1.DATOS-PROD'!AC406="SI",VLOOKUP('1.DATOS-PROD'!AC$2,'1.PUNTOS'!$A$1:$B$63,2,0),0)</f>
        <v>0</v>
      </c>
      <c r="U405" s="138">
        <f>IF('1.DATOS-PROD'!AD406="SI",VLOOKUP('1.DATOS-PROD'!AD$2,'1.PUNTOS'!$A$1:$B$63,2,0),0)</f>
        <v>0</v>
      </c>
      <c r="V405" s="138">
        <f>IF('1.DATOS-PROD'!AE406="SI",VLOOKUP('1.DATOS-PROD'!AE$2,'1.PUNTOS'!$A$1:$B$63,2,0),0)</f>
        <v>0</v>
      </c>
      <c r="W405" s="138">
        <f>IF('1.DATOS-PROD'!AF406="SI",VLOOKUP('1.DATOS-PROD'!AF$2,'1.PUNTOS'!$A$1:$B$63,2,0),0)</f>
        <v>0</v>
      </c>
      <c r="X405" s="138">
        <f>IF('1.DATOS-PROD'!AG406="SI",VLOOKUP('1.DATOS-PROD'!AG$2,'1.PUNTOS'!$A$1:$B$63,2,0),0)</f>
        <v>0</v>
      </c>
      <c r="Y405" s="138">
        <f>IF('1.DATOS-PROD'!AH406="SI",VLOOKUP('1.DATOS-PROD'!AH$2,'1.PUNTOS'!$A$1:$B$63,2,0),0)</f>
        <v>0</v>
      </c>
      <c r="Z405" s="138">
        <f>IF('1.DATOS-PROD'!AI406="SI",VLOOKUP('1.DATOS-PROD'!AI$2,'1.PUNTOS'!$A$1:$B$63,2,0),0)</f>
        <v>0</v>
      </c>
      <c r="AA405" s="138">
        <f>IF('1.DATOS-PROD'!AJ406="SI",VLOOKUP('1.DATOS-PROD'!AJ$2,'1.PUNTOS'!$A$1:$B$63,2,0),0)</f>
        <v>0</v>
      </c>
      <c r="AB405" s="138">
        <f>IF('1.DATOS-PROD'!AK406="SI",VLOOKUP('1.DATOS-PROD'!AK$2,'1.PUNTOS'!$A$1:$B$63,2,0),0)</f>
        <v>0</v>
      </c>
      <c r="AC405" s="138">
        <f>IF('1.DATOS-PROD'!AL406="SI",VLOOKUP('1.DATOS-PROD'!AL$2,'1.PUNTOS'!$A$1:$B$63,2,0),0)</f>
        <v>0</v>
      </c>
      <c r="AD405" s="138">
        <f>IF('1.DATOS-PROD'!AM406="SI",VLOOKUP('1.DATOS-PROD'!AM$2,'1.PUNTOS'!$A$1:$B$63,2,0),0)</f>
        <v>0</v>
      </c>
      <c r="AE405" s="138">
        <f>IF('1.DATOS-PROD'!AN406="SI",VLOOKUP('1.DATOS-PROD'!AN$2,'1.PUNTOS'!$A$1:$B$63,2,0),0)</f>
        <v>0</v>
      </c>
      <c r="AF405" s="138">
        <f>IF('1.DATOS-PROD'!AO406="SI",VLOOKUP('1.DATOS-PROD'!AO$2,'1.PUNTOS'!$A$1:$B$63,2,0),0)</f>
        <v>0</v>
      </c>
      <c r="AG405" s="138">
        <f>IF('1.DATOS-PROD'!AP406="SI",VLOOKUP('1.DATOS-PROD'!AP$2,'1.PUNTOS'!$A$1:$B$63,2,0),0)</f>
        <v>0</v>
      </c>
      <c r="AH405" s="138">
        <f>IF('1.DATOS-PROD'!AQ406="SI",VLOOKUP('1.DATOS-PROD'!AQ$2,'1.PUNTOS'!$A$1:$B$63,2,0),0)</f>
        <v>0</v>
      </c>
      <c r="AI405" s="138">
        <f>IF('1.DATOS-PROD'!AR406="SI",VLOOKUP('1.DATOS-PROD'!AR$2,'1.PUNTOS'!$A$1:$B$63,2,0),0)</f>
        <v>0</v>
      </c>
      <c r="AJ405" s="138">
        <f>IF('1.DATOS-PROD'!AS406="SI",VLOOKUP('1.DATOS-PROD'!AS$2,'1.PUNTOS'!$A$1:$B$63,2,0),0)</f>
        <v>0</v>
      </c>
      <c r="AK405" s="138">
        <f>IF('1.DATOS-PROD'!AT406="SI",VLOOKUP('1.DATOS-PROD'!AT$2,'1.PUNTOS'!$A$1:$B$63,2,0),0)</f>
        <v>0</v>
      </c>
      <c r="AL405" s="138">
        <f>IF('1.DATOS-PROD'!AU406="SI",VLOOKUP('1.DATOS-PROD'!AU$2,'1.PUNTOS'!$A$1:$B$63,2,0),0)</f>
        <v>0</v>
      </c>
      <c r="AM405" s="138">
        <f>IF('1.DATOS-PROD'!AV406="SI",VLOOKUP('1.DATOS-PROD'!AV$2,'1.PUNTOS'!$A$1:$B$63,2,0),0)</f>
        <v>0</v>
      </c>
      <c r="AN405" s="138">
        <f>IF('1.DATOS-PROD'!AW406="SI",VLOOKUP('1.DATOS-PROD'!AW$2,'1.PUNTOS'!$A$1:$B$63,2,0),0)</f>
        <v>0</v>
      </c>
      <c r="AO405" s="138">
        <f>IF('1.DATOS-PROD'!AX406="SI",VLOOKUP('1.DATOS-PROD'!AX$2,'1.PUNTOS'!$A$1:$B$63,2,0),0)</f>
        <v>0</v>
      </c>
      <c r="AP405" s="138">
        <f>IF('1.DATOS-PROD'!AY406="SI",VLOOKUP('1.DATOS-PROD'!AY$2,'1.PUNTOS'!$A$1:$B$63,2,0),0)</f>
        <v>0</v>
      </c>
      <c r="AQ405" s="138">
        <f>IF('1.DATOS-PROD'!AZ406="SI",VLOOKUP('1.DATOS-PROD'!AZ$2,'1.PUNTOS'!$A$1:$B$63,2,0),0)</f>
        <v>0</v>
      </c>
      <c r="AR405" s="138">
        <f>IF('1.DATOS-PROD'!BA406="SI",VLOOKUP('1.DATOS-PROD'!BA$2,'1.PUNTOS'!$A$1:$B$63,2,0),0)</f>
        <v>0</v>
      </c>
      <c r="AS405" s="138">
        <f>IF('1.DATOS-PROD'!BB406="SI",VLOOKUP('1.DATOS-PROD'!BB$2,'1.PUNTOS'!$A$1:$B$63,2,0),0)</f>
        <v>0</v>
      </c>
      <c r="AT405" s="138">
        <f>IF('1.DATOS-PROD'!BC406="SI",VLOOKUP('1.DATOS-PROD'!BC$2,'1.PUNTOS'!$A$1:$B$63,2,0),0)</f>
        <v>0</v>
      </c>
      <c r="AU405" s="138">
        <f>IF('1.DATOS-PROD'!BD406="SI",VLOOKUP('1.DATOS-PROD'!BD$2,'1.PUNTOS'!$A$1:$B$63,2,0),0)</f>
        <v>0</v>
      </c>
      <c r="AV405" s="138">
        <f>IF('1.DATOS-PROD'!BE406="SI",VLOOKUP('1.DATOS-PROD'!BE$2,'1.PUNTOS'!$A$1:$B$63,2,0),0)</f>
        <v>0</v>
      </c>
      <c r="AW405" s="138">
        <f>IF('1.DATOS-PROD'!BF406="SI",VLOOKUP('1.DATOS-PROD'!BF$2,'1.PUNTOS'!$A$1:$B$63,2,0),0)</f>
        <v>0</v>
      </c>
      <c r="AX405" s="138">
        <f>IF('1.DATOS-PROD'!BG406="SI",VLOOKUP('1.DATOS-PROD'!BG$2,'1.PUNTOS'!$A$1:$B$63,2,0),0)</f>
        <v>0</v>
      </c>
      <c r="AY405" s="138">
        <f>IF('1.DATOS-PROD'!BH406="SI",VLOOKUP('1.DATOS-PROD'!BH$2,'1.PUNTOS'!$A$1:$B$63,2,0),0)</f>
        <v>0</v>
      </c>
      <c r="AZ405" s="138">
        <f>IF('1.DATOS-PROD'!BI406="SI",VLOOKUP('1.DATOS-PROD'!BI$2,'1.PUNTOS'!$A$1:$B$63,2,0),0)</f>
        <v>0</v>
      </c>
      <c r="BA405" s="138">
        <f>IF('1.DATOS-PROD'!BJ406="SI",VLOOKUP('1.DATOS-PROD'!BJ$2,'1.PUNTOS'!$A$1:$B$63,2,0),0)</f>
        <v>0</v>
      </c>
      <c r="BB405" s="138">
        <f>IF('1.DATOS-PROD'!BK406="SI",VLOOKUP('1.DATOS-PROD'!BK$2,'1.PUNTOS'!$A$1:$B$63,2,0),0)</f>
        <v>0</v>
      </c>
      <c r="BC405" s="138">
        <f>IF('1.DATOS-PROD'!BL406="SI",VLOOKUP('1.DATOS-PROD'!BL$2,'1.PUNTOS'!$A$1:$B$63,2,0),0)</f>
        <v>0</v>
      </c>
      <c r="BD405" s="138">
        <f>IF('1.DATOS-PROD'!BM406="SI",VLOOKUP('1.DATOS-PROD'!BM$2,'1.PUNTOS'!$A$1:$B$63,2,0),0)</f>
        <v>0</v>
      </c>
      <c r="BE405" s="138">
        <f>IF('1.DATOS-PROD'!BN406="SI",VLOOKUP('1.DATOS-PROD'!BN$2,'1.PUNTOS'!$A$1:$B$63,2,0),0)</f>
        <v>0</v>
      </c>
      <c r="BF405" s="138">
        <f>IF('1.DATOS-PROD'!BO406="SI",VLOOKUP('1.DATOS-PROD'!BO$2,'1.PUNTOS'!$A$1:$B$63,2,0),0)</f>
        <v>0</v>
      </c>
      <c r="BG405" s="138">
        <f>IF('1.DATOS-PROD'!BP406="SI",VLOOKUP('1.DATOS-PROD'!BP$2,'1.PUNTOS'!$A$1:$B$63,2,0),0)</f>
        <v>0</v>
      </c>
      <c r="BH405" s="138">
        <f>IF('1.DATOS-PROD'!BQ406="SI",VLOOKUP('1.DATOS-PROD'!BQ$2,'1.PUNTOS'!$A$1:$B$63,2,0),0)</f>
        <v>0</v>
      </c>
      <c r="BI405" s="138">
        <f>IF('1.DATOS-PROD'!BR406="SI",VLOOKUP('1.DATOS-PROD'!BR$2,'1.PUNTOS'!$A$1:$B$63,2,0),0)</f>
        <v>0</v>
      </c>
      <c r="BJ405" s="138">
        <f>IF('1.DATOS-PROD'!BS406="SI",VLOOKUP('1.DATOS-PROD'!BS$2,'1.PUNTOS'!$A$1:$B$63,2,0),0)</f>
        <v>0</v>
      </c>
      <c r="BK405" s="138">
        <f>IF('1.DATOS-PROD'!BT406="SI",VLOOKUP('1.DATOS-PROD'!BT$2,'1.PUNTOS'!$A$1:$B$63,2,0),0)</f>
        <v>0</v>
      </c>
    </row>
    <row r="406" spans="1:63" x14ac:dyDescent="0.25">
      <c r="A406">
        <f>'0.Consolidado general'!$A407</f>
        <v>0</v>
      </c>
      <c r="B406" s="138">
        <f>IF('1.DATOS-PROD'!K407="SI",VLOOKUP('1.DATOS-PROD'!K$2,'1.PUNTOS'!$A$1:$B$63,2,0),0)</f>
        <v>0</v>
      </c>
      <c r="C406" s="138">
        <f>IF('1.DATOS-PROD'!L407="SI",VLOOKUP('1.DATOS-PROD'!L$2,'1.PUNTOS'!$A$1:$B$63,2,0),0)</f>
        <v>0</v>
      </c>
      <c r="D406" s="138">
        <f>IF('1.DATOS-PROD'!M407="SI",VLOOKUP('1.DATOS-PROD'!M$2,'1.PUNTOS'!$A$1:$B$63,2,0),0)</f>
        <v>0</v>
      </c>
      <c r="E406" s="138">
        <f>IF('1.DATOS-PROD'!N407="SI",VLOOKUP('1.DATOS-PROD'!N$2,'1.PUNTOS'!$A$1:$B$63,2,0),0)</f>
        <v>0</v>
      </c>
      <c r="F406" s="138">
        <f>IF('1.DATOS-PROD'!O407="SI",VLOOKUP('1.DATOS-PROD'!O$2,'1.PUNTOS'!$A$1:$B$63,2,0),0)</f>
        <v>0</v>
      </c>
      <c r="G406" s="138">
        <f>IF('1.DATOS-PROD'!P407="SI",VLOOKUP('1.DATOS-PROD'!P$2,'1.PUNTOS'!$A$1:$B$63,2,0),0)</f>
        <v>0</v>
      </c>
      <c r="H406" s="138">
        <f>IF('1.DATOS-PROD'!Q407="SI",VLOOKUP('1.DATOS-PROD'!Q$2,'1.PUNTOS'!$A$1:$B$63,2,0),0)</f>
        <v>0</v>
      </c>
      <c r="I406" s="138">
        <f>IF('1.DATOS-PROD'!R407="SI",VLOOKUP('1.DATOS-PROD'!R$2,'1.PUNTOS'!$A$1:$B$63,2,0),0)</f>
        <v>0</v>
      </c>
      <c r="J406" s="138">
        <f>IF('1.DATOS-PROD'!S407="SI",VLOOKUP('1.DATOS-PROD'!S$2,'1.PUNTOS'!$A$1:$B$63,2,0),0)</f>
        <v>0</v>
      </c>
      <c r="K406" s="138">
        <f>IF('1.DATOS-PROD'!T407="SI",VLOOKUP('1.DATOS-PROD'!T$2,'1.PUNTOS'!$A$1:$B$63,2,0),0)</f>
        <v>0</v>
      </c>
      <c r="L406" s="138">
        <f>IF('1.DATOS-PROD'!U407="SI",VLOOKUP('1.DATOS-PROD'!U$2,'1.PUNTOS'!$A$1:$B$63,2,0),0)</f>
        <v>0</v>
      </c>
      <c r="M406" s="138">
        <f>IF('1.DATOS-PROD'!V407="SI",VLOOKUP('1.DATOS-PROD'!V$2,'1.PUNTOS'!$A$1:$B$63,2,0),0)</f>
        <v>0</v>
      </c>
      <c r="N406" s="138">
        <f>IF('1.DATOS-PROD'!W407="SI",VLOOKUP('1.DATOS-PROD'!W$2,'1.PUNTOS'!$A$1:$B$63,2,0),0)</f>
        <v>0</v>
      </c>
      <c r="O406" s="138">
        <f>IF('1.DATOS-PROD'!X407="SI",VLOOKUP('1.DATOS-PROD'!X$2,'1.PUNTOS'!$A$1:$B$63,2,0),0)</f>
        <v>0</v>
      </c>
      <c r="P406" s="138">
        <f>IF('1.DATOS-PROD'!Y407="SI",VLOOKUP('1.DATOS-PROD'!Y$2,'1.PUNTOS'!$A$1:$B$63,2,0),0)</f>
        <v>0</v>
      </c>
      <c r="Q406" s="138">
        <f>IF('1.DATOS-PROD'!Z407="SI",VLOOKUP('1.DATOS-PROD'!Z$2,'1.PUNTOS'!$A$1:$B$63,2,0),0)</f>
        <v>0</v>
      </c>
      <c r="R406" s="138">
        <f>IF('1.DATOS-PROD'!AA407="SI",VLOOKUP('1.DATOS-PROD'!AA$2,'1.PUNTOS'!$A$1:$B$63,2,0),0)</f>
        <v>0</v>
      </c>
      <c r="S406" s="138">
        <f>IF('1.DATOS-PROD'!AB407="SI",VLOOKUP('1.DATOS-PROD'!AB$2,'1.PUNTOS'!$A$1:$B$63,2,0),0)</f>
        <v>0</v>
      </c>
      <c r="T406" s="138">
        <f>IF('1.DATOS-PROD'!AC407="SI",VLOOKUP('1.DATOS-PROD'!AC$2,'1.PUNTOS'!$A$1:$B$63,2,0),0)</f>
        <v>0</v>
      </c>
      <c r="U406" s="138">
        <f>IF('1.DATOS-PROD'!AD407="SI",VLOOKUP('1.DATOS-PROD'!AD$2,'1.PUNTOS'!$A$1:$B$63,2,0),0)</f>
        <v>0</v>
      </c>
      <c r="V406" s="138">
        <f>IF('1.DATOS-PROD'!AE407="SI",VLOOKUP('1.DATOS-PROD'!AE$2,'1.PUNTOS'!$A$1:$B$63,2,0),0)</f>
        <v>0</v>
      </c>
      <c r="W406" s="138">
        <f>IF('1.DATOS-PROD'!AF407="SI",VLOOKUP('1.DATOS-PROD'!AF$2,'1.PUNTOS'!$A$1:$B$63,2,0),0)</f>
        <v>0</v>
      </c>
      <c r="X406" s="138">
        <f>IF('1.DATOS-PROD'!AG407="SI",VLOOKUP('1.DATOS-PROD'!AG$2,'1.PUNTOS'!$A$1:$B$63,2,0),0)</f>
        <v>0</v>
      </c>
      <c r="Y406" s="138">
        <f>IF('1.DATOS-PROD'!AH407="SI",VLOOKUP('1.DATOS-PROD'!AH$2,'1.PUNTOS'!$A$1:$B$63,2,0),0)</f>
        <v>0</v>
      </c>
      <c r="Z406" s="138">
        <f>IF('1.DATOS-PROD'!AI407="SI",VLOOKUP('1.DATOS-PROD'!AI$2,'1.PUNTOS'!$A$1:$B$63,2,0),0)</f>
        <v>0</v>
      </c>
      <c r="AA406" s="138">
        <f>IF('1.DATOS-PROD'!AJ407="SI",VLOOKUP('1.DATOS-PROD'!AJ$2,'1.PUNTOS'!$A$1:$B$63,2,0),0)</f>
        <v>0</v>
      </c>
      <c r="AB406" s="138">
        <f>IF('1.DATOS-PROD'!AK407="SI",VLOOKUP('1.DATOS-PROD'!AK$2,'1.PUNTOS'!$A$1:$B$63,2,0),0)</f>
        <v>0</v>
      </c>
      <c r="AC406" s="138">
        <f>IF('1.DATOS-PROD'!AL407="SI",VLOOKUP('1.DATOS-PROD'!AL$2,'1.PUNTOS'!$A$1:$B$63,2,0),0)</f>
        <v>0</v>
      </c>
      <c r="AD406" s="138">
        <f>IF('1.DATOS-PROD'!AM407="SI",VLOOKUP('1.DATOS-PROD'!AM$2,'1.PUNTOS'!$A$1:$B$63,2,0),0)</f>
        <v>0</v>
      </c>
      <c r="AE406" s="138">
        <f>IF('1.DATOS-PROD'!AN407="SI",VLOOKUP('1.DATOS-PROD'!AN$2,'1.PUNTOS'!$A$1:$B$63,2,0),0)</f>
        <v>0</v>
      </c>
      <c r="AF406" s="138">
        <f>IF('1.DATOS-PROD'!AO407="SI",VLOOKUP('1.DATOS-PROD'!AO$2,'1.PUNTOS'!$A$1:$B$63,2,0),0)</f>
        <v>0</v>
      </c>
      <c r="AG406" s="138">
        <f>IF('1.DATOS-PROD'!AP407="SI",VLOOKUP('1.DATOS-PROD'!AP$2,'1.PUNTOS'!$A$1:$B$63,2,0),0)</f>
        <v>0</v>
      </c>
      <c r="AH406" s="138">
        <f>IF('1.DATOS-PROD'!AQ407="SI",VLOOKUP('1.DATOS-PROD'!AQ$2,'1.PUNTOS'!$A$1:$B$63,2,0),0)</f>
        <v>0</v>
      </c>
      <c r="AI406" s="138">
        <f>IF('1.DATOS-PROD'!AR407="SI",VLOOKUP('1.DATOS-PROD'!AR$2,'1.PUNTOS'!$A$1:$B$63,2,0),0)</f>
        <v>0</v>
      </c>
      <c r="AJ406" s="138">
        <f>IF('1.DATOS-PROD'!AS407="SI",VLOOKUP('1.DATOS-PROD'!AS$2,'1.PUNTOS'!$A$1:$B$63,2,0),0)</f>
        <v>0</v>
      </c>
      <c r="AK406" s="138">
        <f>IF('1.DATOS-PROD'!AT407="SI",VLOOKUP('1.DATOS-PROD'!AT$2,'1.PUNTOS'!$A$1:$B$63,2,0),0)</f>
        <v>0</v>
      </c>
      <c r="AL406" s="138">
        <f>IF('1.DATOS-PROD'!AU407="SI",VLOOKUP('1.DATOS-PROD'!AU$2,'1.PUNTOS'!$A$1:$B$63,2,0),0)</f>
        <v>0</v>
      </c>
      <c r="AM406" s="138">
        <f>IF('1.DATOS-PROD'!AV407="SI",VLOOKUP('1.DATOS-PROD'!AV$2,'1.PUNTOS'!$A$1:$B$63,2,0),0)</f>
        <v>0</v>
      </c>
      <c r="AN406" s="138">
        <f>IF('1.DATOS-PROD'!AW407="SI",VLOOKUP('1.DATOS-PROD'!AW$2,'1.PUNTOS'!$A$1:$B$63,2,0),0)</f>
        <v>0</v>
      </c>
      <c r="AO406" s="138">
        <f>IF('1.DATOS-PROD'!AX407="SI",VLOOKUP('1.DATOS-PROD'!AX$2,'1.PUNTOS'!$A$1:$B$63,2,0),0)</f>
        <v>0</v>
      </c>
      <c r="AP406" s="138">
        <f>IF('1.DATOS-PROD'!AY407="SI",VLOOKUP('1.DATOS-PROD'!AY$2,'1.PUNTOS'!$A$1:$B$63,2,0),0)</f>
        <v>0</v>
      </c>
      <c r="AQ406" s="138">
        <f>IF('1.DATOS-PROD'!AZ407="SI",VLOOKUP('1.DATOS-PROD'!AZ$2,'1.PUNTOS'!$A$1:$B$63,2,0),0)</f>
        <v>0</v>
      </c>
      <c r="AR406" s="138">
        <f>IF('1.DATOS-PROD'!BA407="SI",VLOOKUP('1.DATOS-PROD'!BA$2,'1.PUNTOS'!$A$1:$B$63,2,0),0)</f>
        <v>0</v>
      </c>
      <c r="AS406" s="138">
        <f>IF('1.DATOS-PROD'!BB407="SI",VLOOKUP('1.DATOS-PROD'!BB$2,'1.PUNTOS'!$A$1:$B$63,2,0),0)</f>
        <v>0</v>
      </c>
      <c r="AT406" s="138">
        <f>IF('1.DATOS-PROD'!BC407="SI",VLOOKUP('1.DATOS-PROD'!BC$2,'1.PUNTOS'!$A$1:$B$63,2,0),0)</f>
        <v>0</v>
      </c>
      <c r="AU406" s="138">
        <f>IF('1.DATOS-PROD'!BD407="SI",VLOOKUP('1.DATOS-PROD'!BD$2,'1.PUNTOS'!$A$1:$B$63,2,0),0)</f>
        <v>0</v>
      </c>
      <c r="AV406" s="138">
        <f>IF('1.DATOS-PROD'!BE407="SI",VLOOKUP('1.DATOS-PROD'!BE$2,'1.PUNTOS'!$A$1:$B$63,2,0),0)</f>
        <v>0</v>
      </c>
      <c r="AW406" s="138">
        <f>IF('1.DATOS-PROD'!BF407="SI",VLOOKUP('1.DATOS-PROD'!BF$2,'1.PUNTOS'!$A$1:$B$63,2,0),0)</f>
        <v>0</v>
      </c>
      <c r="AX406" s="138">
        <f>IF('1.DATOS-PROD'!BG407="SI",VLOOKUP('1.DATOS-PROD'!BG$2,'1.PUNTOS'!$A$1:$B$63,2,0),0)</f>
        <v>0</v>
      </c>
      <c r="AY406" s="138">
        <f>IF('1.DATOS-PROD'!BH407="SI",VLOOKUP('1.DATOS-PROD'!BH$2,'1.PUNTOS'!$A$1:$B$63,2,0),0)</f>
        <v>0</v>
      </c>
      <c r="AZ406" s="138">
        <f>IF('1.DATOS-PROD'!BI407="SI",VLOOKUP('1.DATOS-PROD'!BI$2,'1.PUNTOS'!$A$1:$B$63,2,0),0)</f>
        <v>0</v>
      </c>
      <c r="BA406" s="138">
        <f>IF('1.DATOS-PROD'!BJ407="SI",VLOOKUP('1.DATOS-PROD'!BJ$2,'1.PUNTOS'!$A$1:$B$63,2,0),0)</f>
        <v>0</v>
      </c>
      <c r="BB406" s="138">
        <f>IF('1.DATOS-PROD'!BK407="SI",VLOOKUP('1.DATOS-PROD'!BK$2,'1.PUNTOS'!$A$1:$B$63,2,0),0)</f>
        <v>0</v>
      </c>
      <c r="BC406" s="138">
        <f>IF('1.DATOS-PROD'!BL407="SI",VLOOKUP('1.DATOS-PROD'!BL$2,'1.PUNTOS'!$A$1:$B$63,2,0),0)</f>
        <v>0</v>
      </c>
      <c r="BD406" s="138">
        <f>IF('1.DATOS-PROD'!BM407="SI",VLOOKUP('1.DATOS-PROD'!BM$2,'1.PUNTOS'!$A$1:$B$63,2,0),0)</f>
        <v>0</v>
      </c>
      <c r="BE406" s="138">
        <f>IF('1.DATOS-PROD'!BN407="SI",VLOOKUP('1.DATOS-PROD'!BN$2,'1.PUNTOS'!$A$1:$B$63,2,0),0)</f>
        <v>0</v>
      </c>
      <c r="BF406" s="138">
        <f>IF('1.DATOS-PROD'!BO407="SI",VLOOKUP('1.DATOS-PROD'!BO$2,'1.PUNTOS'!$A$1:$B$63,2,0),0)</f>
        <v>0</v>
      </c>
      <c r="BG406" s="138">
        <f>IF('1.DATOS-PROD'!BP407="SI",VLOOKUP('1.DATOS-PROD'!BP$2,'1.PUNTOS'!$A$1:$B$63,2,0),0)</f>
        <v>0</v>
      </c>
      <c r="BH406" s="138">
        <f>IF('1.DATOS-PROD'!BQ407="SI",VLOOKUP('1.DATOS-PROD'!BQ$2,'1.PUNTOS'!$A$1:$B$63,2,0),0)</f>
        <v>0</v>
      </c>
      <c r="BI406" s="138">
        <f>IF('1.DATOS-PROD'!BR407="SI",VLOOKUP('1.DATOS-PROD'!BR$2,'1.PUNTOS'!$A$1:$B$63,2,0),0)</f>
        <v>0</v>
      </c>
      <c r="BJ406" s="138">
        <f>IF('1.DATOS-PROD'!BS407="SI",VLOOKUP('1.DATOS-PROD'!BS$2,'1.PUNTOS'!$A$1:$B$63,2,0),0)</f>
        <v>0</v>
      </c>
      <c r="BK406" s="138">
        <f>IF('1.DATOS-PROD'!BT407="SI",VLOOKUP('1.DATOS-PROD'!BT$2,'1.PUNTOS'!$A$1:$B$63,2,0),0)</f>
        <v>0</v>
      </c>
    </row>
    <row r="407" spans="1:63" x14ac:dyDescent="0.25">
      <c r="A407">
        <f>'0.Consolidado general'!$A408</f>
        <v>0</v>
      </c>
      <c r="B407" s="138">
        <f>IF('1.DATOS-PROD'!K408="SI",VLOOKUP('1.DATOS-PROD'!K$2,'1.PUNTOS'!$A$1:$B$63,2,0),0)</f>
        <v>0</v>
      </c>
      <c r="C407" s="138">
        <f>IF('1.DATOS-PROD'!L408="SI",VLOOKUP('1.DATOS-PROD'!L$2,'1.PUNTOS'!$A$1:$B$63,2,0),0)</f>
        <v>0</v>
      </c>
      <c r="D407" s="138">
        <f>IF('1.DATOS-PROD'!M408="SI",VLOOKUP('1.DATOS-PROD'!M$2,'1.PUNTOS'!$A$1:$B$63,2,0),0)</f>
        <v>0</v>
      </c>
      <c r="E407" s="138">
        <f>IF('1.DATOS-PROD'!N408="SI",VLOOKUP('1.DATOS-PROD'!N$2,'1.PUNTOS'!$A$1:$B$63,2,0),0)</f>
        <v>0</v>
      </c>
      <c r="F407" s="138">
        <f>IF('1.DATOS-PROD'!O408="SI",VLOOKUP('1.DATOS-PROD'!O$2,'1.PUNTOS'!$A$1:$B$63,2,0),0)</f>
        <v>0</v>
      </c>
      <c r="G407" s="138">
        <f>IF('1.DATOS-PROD'!P408="SI",VLOOKUP('1.DATOS-PROD'!P$2,'1.PUNTOS'!$A$1:$B$63,2,0),0)</f>
        <v>0</v>
      </c>
      <c r="H407" s="138">
        <f>IF('1.DATOS-PROD'!Q408="SI",VLOOKUP('1.DATOS-PROD'!Q$2,'1.PUNTOS'!$A$1:$B$63,2,0),0)</f>
        <v>0</v>
      </c>
      <c r="I407" s="138">
        <f>IF('1.DATOS-PROD'!R408="SI",VLOOKUP('1.DATOS-PROD'!R$2,'1.PUNTOS'!$A$1:$B$63,2,0),0)</f>
        <v>0</v>
      </c>
      <c r="J407" s="138">
        <f>IF('1.DATOS-PROD'!S408="SI",VLOOKUP('1.DATOS-PROD'!S$2,'1.PUNTOS'!$A$1:$B$63,2,0),0)</f>
        <v>0</v>
      </c>
      <c r="K407" s="138">
        <f>IF('1.DATOS-PROD'!T408="SI",VLOOKUP('1.DATOS-PROD'!T$2,'1.PUNTOS'!$A$1:$B$63,2,0),0)</f>
        <v>0</v>
      </c>
      <c r="L407" s="138">
        <f>IF('1.DATOS-PROD'!U408="SI",VLOOKUP('1.DATOS-PROD'!U$2,'1.PUNTOS'!$A$1:$B$63,2,0),0)</f>
        <v>0</v>
      </c>
      <c r="M407" s="138">
        <f>IF('1.DATOS-PROD'!V408="SI",VLOOKUP('1.DATOS-PROD'!V$2,'1.PUNTOS'!$A$1:$B$63,2,0),0)</f>
        <v>0</v>
      </c>
      <c r="N407" s="138">
        <f>IF('1.DATOS-PROD'!W408="SI",VLOOKUP('1.DATOS-PROD'!W$2,'1.PUNTOS'!$A$1:$B$63,2,0),0)</f>
        <v>0</v>
      </c>
      <c r="O407" s="138">
        <f>IF('1.DATOS-PROD'!X408="SI",VLOOKUP('1.DATOS-PROD'!X$2,'1.PUNTOS'!$A$1:$B$63,2,0),0)</f>
        <v>0</v>
      </c>
      <c r="P407" s="138">
        <f>IF('1.DATOS-PROD'!Y408="SI",VLOOKUP('1.DATOS-PROD'!Y$2,'1.PUNTOS'!$A$1:$B$63,2,0),0)</f>
        <v>0</v>
      </c>
      <c r="Q407" s="138">
        <f>IF('1.DATOS-PROD'!Z408="SI",VLOOKUP('1.DATOS-PROD'!Z$2,'1.PUNTOS'!$A$1:$B$63,2,0),0)</f>
        <v>0</v>
      </c>
      <c r="R407" s="138">
        <f>IF('1.DATOS-PROD'!AA408="SI",VLOOKUP('1.DATOS-PROD'!AA$2,'1.PUNTOS'!$A$1:$B$63,2,0),0)</f>
        <v>0</v>
      </c>
      <c r="S407" s="138">
        <f>IF('1.DATOS-PROD'!AB408="SI",VLOOKUP('1.DATOS-PROD'!AB$2,'1.PUNTOS'!$A$1:$B$63,2,0),0)</f>
        <v>0</v>
      </c>
      <c r="T407" s="138">
        <f>IF('1.DATOS-PROD'!AC408="SI",VLOOKUP('1.DATOS-PROD'!AC$2,'1.PUNTOS'!$A$1:$B$63,2,0),0)</f>
        <v>0</v>
      </c>
      <c r="U407" s="138">
        <f>IF('1.DATOS-PROD'!AD408="SI",VLOOKUP('1.DATOS-PROD'!AD$2,'1.PUNTOS'!$A$1:$B$63,2,0),0)</f>
        <v>0</v>
      </c>
      <c r="V407" s="138">
        <f>IF('1.DATOS-PROD'!AE408="SI",VLOOKUP('1.DATOS-PROD'!AE$2,'1.PUNTOS'!$A$1:$B$63,2,0),0)</f>
        <v>0</v>
      </c>
      <c r="W407" s="138">
        <f>IF('1.DATOS-PROD'!AF408="SI",VLOOKUP('1.DATOS-PROD'!AF$2,'1.PUNTOS'!$A$1:$B$63,2,0),0)</f>
        <v>0</v>
      </c>
      <c r="X407" s="138">
        <f>IF('1.DATOS-PROD'!AG408="SI",VLOOKUP('1.DATOS-PROD'!AG$2,'1.PUNTOS'!$A$1:$B$63,2,0),0)</f>
        <v>0</v>
      </c>
      <c r="Y407" s="138">
        <f>IF('1.DATOS-PROD'!AH408="SI",VLOOKUP('1.DATOS-PROD'!AH$2,'1.PUNTOS'!$A$1:$B$63,2,0),0)</f>
        <v>0</v>
      </c>
      <c r="Z407" s="138">
        <f>IF('1.DATOS-PROD'!AI408="SI",VLOOKUP('1.DATOS-PROD'!AI$2,'1.PUNTOS'!$A$1:$B$63,2,0),0)</f>
        <v>0</v>
      </c>
      <c r="AA407" s="138">
        <f>IF('1.DATOS-PROD'!AJ408="SI",VLOOKUP('1.DATOS-PROD'!AJ$2,'1.PUNTOS'!$A$1:$B$63,2,0),0)</f>
        <v>0</v>
      </c>
      <c r="AB407" s="138">
        <f>IF('1.DATOS-PROD'!AK408="SI",VLOOKUP('1.DATOS-PROD'!AK$2,'1.PUNTOS'!$A$1:$B$63,2,0),0)</f>
        <v>0</v>
      </c>
      <c r="AC407" s="138">
        <f>IF('1.DATOS-PROD'!AL408="SI",VLOOKUP('1.DATOS-PROD'!AL$2,'1.PUNTOS'!$A$1:$B$63,2,0),0)</f>
        <v>0</v>
      </c>
      <c r="AD407" s="138">
        <f>IF('1.DATOS-PROD'!AM408="SI",VLOOKUP('1.DATOS-PROD'!AM$2,'1.PUNTOS'!$A$1:$B$63,2,0),0)</f>
        <v>0</v>
      </c>
      <c r="AE407" s="138">
        <f>IF('1.DATOS-PROD'!AN408="SI",VLOOKUP('1.DATOS-PROD'!AN$2,'1.PUNTOS'!$A$1:$B$63,2,0),0)</f>
        <v>0</v>
      </c>
      <c r="AF407" s="138">
        <f>IF('1.DATOS-PROD'!AO408="SI",VLOOKUP('1.DATOS-PROD'!AO$2,'1.PUNTOS'!$A$1:$B$63,2,0),0)</f>
        <v>0</v>
      </c>
      <c r="AG407" s="138">
        <f>IF('1.DATOS-PROD'!AP408="SI",VLOOKUP('1.DATOS-PROD'!AP$2,'1.PUNTOS'!$A$1:$B$63,2,0),0)</f>
        <v>0</v>
      </c>
      <c r="AH407" s="138">
        <f>IF('1.DATOS-PROD'!AQ408="SI",VLOOKUP('1.DATOS-PROD'!AQ$2,'1.PUNTOS'!$A$1:$B$63,2,0),0)</f>
        <v>0</v>
      </c>
      <c r="AI407" s="138">
        <f>IF('1.DATOS-PROD'!AR408="SI",VLOOKUP('1.DATOS-PROD'!AR$2,'1.PUNTOS'!$A$1:$B$63,2,0),0)</f>
        <v>0</v>
      </c>
      <c r="AJ407" s="138">
        <f>IF('1.DATOS-PROD'!AS408="SI",VLOOKUP('1.DATOS-PROD'!AS$2,'1.PUNTOS'!$A$1:$B$63,2,0),0)</f>
        <v>0</v>
      </c>
      <c r="AK407" s="138">
        <f>IF('1.DATOS-PROD'!AT408="SI",VLOOKUP('1.DATOS-PROD'!AT$2,'1.PUNTOS'!$A$1:$B$63,2,0),0)</f>
        <v>0</v>
      </c>
      <c r="AL407" s="138">
        <f>IF('1.DATOS-PROD'!AU408="SI",VLOOKUP('1.DATOS-PROD'!AU$2,'1.PUNTOS'!$A$1:$B$63,2,0),0)</f>
        <v>0</v>
      </c>
      <c r="AM407" s="138">
        <f>IF('1.DATOS-PROD'!AV408="SI",VLOOKUP('1.DATOS-PROD'!AV$2,'1.PUNTOS'!$A$1:$B$63,2,0),0)</f>
        <v>0</v>
      </c>
      <c r="AN407" s="138">
        <f>IF('1.DATOS-PROD'!AW408="SI",VLOOKUP('1.DATOS-PROD'!AW$2,'1.PUNTOS'!$A$1:$B$63,2,0),0)</f>
        <v>0</v>
      </c>
      <c r="AO407" s="138">
        <f>IF('1.DATOS-PROD'!AX408="SI",VLOOKUP('1.DATOS-PROD'!AX$2,'1.PUNTOS'!$A$1:$B$63,2,0),0)</f>
        <v>0</v>
      </c>
      <c r="AP407" s="138">
        <f>IF('1.DATOS-PROD'!AY408="SI",VLOOKUP('1.DATOS-PROD'!AY$2,'1.PUNTOS'!$A$1:$B$63,2,0),0)</f>
        <v>0</v>
      </c>
      <c r="AQ407" s="138">
        <f>IF('1.DATOS-PROD'!AZ408="SI",VLOOKUP('1.DATOS-PROD'!AZ$2,'1.PUNTOS'!$A$1:$B$63,2,0),0)</f>
        <v>0</v>
      </c>
      <c r="AR407" s="138">
        <f>IF('1.DATOS-PROD'!BA408="SI",VLOOKUP('1.DATOS-PROD'!BA$2,'1.PUNTOS'!$A$1:$B$63,2,0),0)</f>
        <v>0</v>
      </c>
      <c r="AS407" s="138">
        <f>IF('1.DATOS-PROD'!BB408="SI",VLOOKUP('1.DATOS-PROD'!BB$2,'1.PUNTOS'!$A$1:$B$63,2,0),0)</f>
        <v>0</v>
      </c>
      <c r="AT407" s="138">
        <f>IF('1.DATOS-PROD'!BC408="SI",VLOOKUP('1.DATOS-PROD'!BC$2,'1.PUNTOS'!$A$1:$B$63,2,0),0)</f>
        <v>0</v>
      </c>
      <c r="AU407" s="138">
        <f>IF('1.DATOS-PROD'!BD408="SI",VLOOKUP('1.DATOS-PROD'!BD$2,'1.PUNTOS'!$A$1:$B$63,2,0),0)</f>
        <v>0</v>
      </c>
      <c r="AV407" s="138">
        <f>IF('1.DATOS-PROD'!BE408="SI",VLOOKUP('1.DATOS-PROD'!BE$2,'1.PUNTOS'!$A$1:$B$63,2,0),0)</f>
        <v>0</v>
      </c>
      <c r="AW407" s="138">
        <f>IF('1.DATOS-PROD'!BF408="SI",VLOOKUP('1.DATOS-PROD'!BF$2,'1.PUNTOS'!$A$1:$B$63,2,0),0)</f>
        <v>0</v>
      </c>
      <c r="AX407" s="138">
        <f>IF('1.DATOS-PROD'!BG408="SI",VLOOKUP('1.DATOS-PROD'!BG$2,'1.PUNTOS'!$A$1:$B$63,2,0),0)</f>
        <v>0</v>
      </c>
      <c r="AY407" s="138">
        <f>IF('1.DATOS-PROD'!BH408="SI",VLOOKUP('1.DATOS-PROD'!BH$2,'1.PUNTOS'!$A$1:$B$63,2,0),0)</f>
        <v>0</v>
      </c>
      <c r="AZ407" s="138">
        <f>IF('1.DATOS-PROD'!BI408="SI",VLOOKUP('1.DATOS-PROD'!BI$2,'1.PUNTOS'!$A$1:$B$63,2,0),0)</f>
        <v>0</v>
      </c>
      <c r="BA407" s="138">
        <f>IF('1.DATOS-PROD'!BJ408="SI",VLOOKUP('1.DATOS-PROD'!BJ$2,'1.PUNTOS'!$A$1:$B$63,2,0),0)</f>
        <v>0</v>
      </c>
      <c r="BB407" s="138">
        <f>IF('1.DATOS-PROD'!BK408="SI",VLOOKUP('1.DATOS-PROD'!BK$2,'1.PUNTOS'!$A$1:$B$63,2,0),0)</f>
        <v>0</v>
      </c>
      <c r="BC407" s="138">
        <f>IF('1.DATOS-PROD'!BL408="SI",VLOOKUP('1.DATOS-PROD'!BL$2,'1.PUNTOS'!$A$1:$B$63,2,0),0)</f>
        <v>0</v>
      </c>
      <c r="BD407" s="138">
        <f>IF('1.DATOS-PROD'!BM408="SI",VLOOKUP('1.DATOS-PROD'!BM$2,'1.PUNTOS'!$A$1:$B$63,2,0),0)</f>
        <v>0</v>
      </c>
      <c r="BE407" s="138">
        <f>IF('1.DATOS-PROD'!BN408="SI",VLOOKUP('1.DATOS-PROD'!BN$2,'1.PUNTOS'!$A$1:$B$63,2,0),0)</f>
        <v>0</v>
      </c>
      <c r="BF407" s="138">
        <f>IF('1.DATOS-PROD'!BO408="SI",VLOOKUP('1.DATOS-PROD'!BO$2,'1.PUNTOS'!$A$1:$B$63,2,0),0)</f>
        <v>0</v>
      </c>
      <c r="BG407" s="138">
        <f>IF('1.DATOS-PROD'!BP408="SI",VLOOKUP('1.DATOS-PROD'!BP$2,'1.PUNTOS'!$A$1:$B$63,2,0),0)</f>
        <v>0</v>
      </c>
      <c r="BH407" s="138">
        <f>IF('1.DATOS-PROD'!BQ408="SI",VLOOKUP('1.DATOS-PROD'!BQ$2,'1.PUNTOS'!$A$1:$B$63,2,0),0)</f>
        <v>0</v>
      </c>
      <c r="BI407" s="138">
        <f>IF('1.DATOS-PROD'!BR408="SI",VLOOKUP('1.DATOS-PROD'!BR$2,'1.PUNTOS'!$A$1:$B$63,2,0),0)</f>
        <v>0</v>
      </c>
      <c r="BJ407" s="138">
        <f>IF('1.DATOS-PROD'!BS408="SI",VLOOKUP('1.DATOS-PROD'!BS$2,'1.PUNTOS'!$A$1:$B$63,2,0),0)</f>
        <v>0</v>
      </c>
      <c r="BK407" s="138">
        <f>IF('1.DATOS-PROD'!BT408="SI",VLOOKUP('1.DATOS-PROD'!BT$2,'1.PUNTOS'!$A$1:$B$63,2,0),0)</f>
        <v>0</v>
      </c>
    </row>
    <row r="408" spans="1:63" x14ac:dyDescent="0.25">
      <c r="A408">
        <f>'0.Consolidado general'!$A409</f>
        <v>0</v>
      </c>
      <c r="B408" s="138">
        <f>IF('1.DATOS-PROD'!K409="SI",VLOOKUP('1.DATOS-PROD'!K$2,'1.PUNTOS'!$A$1:$B$63,2,0),0)</f>
        <v>0</v>
      </c>
      <c r="C408" s="138">
        <f>IF('1.DATOS-PROD'!L409="SI",VLOOKUP('1.DATOS-PROD'!L$2,'1.PUNTOS'!$A$1:$B$63,2,0),0)</f>
        <v>0</v>
      </c>
      <c r="D408" s="138">
        <f>IF('1.DATOS-PROD'!M409="SI",VLOOKUP('1.DATOS-PROD'!M$2,'1.PUNTOS'!$A$1:$B$63,2,0),0)</f>
        <v>0</v>
      </c>
      <c r="E408" s="138">
        <f>IF('1.DATOS-PROD'!N409="SI",VLOOKUP('1.DATOS-PROD'!N$2,'1.PUNTOS'!$A$1:$B$63,2,0),0)</f>
        <v>0</v>
      </c>
      <c r="F408" s="138">
        <f>IF('1.DATOS-PROD'!O409="SI",VLOOKUP('1.DATOS-PROD'!O$2,'1.PUNTOS'!$A$1:$B$63,2,0),0)</f>
        <v>0</v>
      </c>
      <c r="G408" s="138">
        <f>IF('1.DATOS-PROD'!P409="SI",VLOOKUP('1.DATOS-PROD'!P$2,'1.PUNTOS'!$A$1:$B$63,2,0),0)</f>
        <v>0</v>
      </c>
      <c r="H408" s="138">
        <f>IF('1.DATOS-PROD'!Q409="SI",VLOOKUP('1.DATOS-PROD'!Q$2,'1.PUNTOS'!$A$1:$B$63,2,0),0)</f>
        <v>0</v>
      </c>
      <c r="I408" s="138">
        <f>IF('1.DATOS-PROD'!R409="SI",VLOOKUP('1.DATOS-PROD'!R$2,'1.PUNTOS'!$A$1:$B$63,2,0),0)</f>
        <v>0</v>
      </c>
      <c r="J408" s="138">
        <f>IF('1.DATOS-PROD'!S409="SI",VLOOKUP('1.DATOS-PROD'!S$2,'1.PUNTOS'!$A$1:$B$63,2,0),0)</f>
        <v>0</v>
      </c>
      <c r="K408" s="138">
        <f>IF('1.DATOS-PROD'!T409="SI",VLOOKUP('1.DATOS-PROD'!T$2,'1.PUNTOS'!$A$1:$B$63,2,0),0)</f>
        <v>0</v>
      </c>
      <c r="L408" s="138">
        <f>IF('1.DATOS-PROD'!U409="SI",VLOOKUP('1.DATOS-PROD'!U$2,'1.PUNTOS'!$A$1:$B$63,2,0),0)</f>
        <v>0</v>
      </c>
      <c r="M408" s="138">
        <f>IF('1.DATOS-PROD'!V409="SI",VLOOKUP('1.DATOS-PROD'!V$2,'1.PUNTOS'!$A$1:$B$63,2,0),0)</f>
        <v>0</v>
      </c>
      <c r="N408" s="138">
        <f>IF('1.DATOS-PROD'!W409="SI",VLOOKUP('1.DATOS-PROD'!W$2,'1.PUNTOS'!$A$1:$B$63,2,0),0)</f>
        <v>0</v>
      </c>
      <c r="O408" s="138">
        <f>IF('1.DATOS-PROD'!X409="SI",VLOOKUP('1.DATOS-PROD'!X$2,'1.PUNTOS'!$A$1:$B$63,2,0),0)</f>
        <v>0</v>
      </c>
      <c r="P408" s="138">
        <f>IF('1.DATOS-PROD'!Y409="SI",VLOOKUP('1.DATOS-PROD'!Y$2,'1.PUNTOS'!$A$1:$B$63,2,0),0)</f>
        <v>0</v>
      </c>
      <c r="Q408" s="138">
        <f>IF('1.DATOS-PROD'!Z409="SI",VLOOKUP('1.DATOS-PROD'!Z$2,'1.PUNTOS'!$A$1:$B$63,2,0),0)</f>
        <v>0</v>
      </c>
      <c r="R408" s="138">
        <f>IF('1.DATOS-PROD'!AA409="SI",VLOOKUP('1.DATOS-PROD'!AA$2,'1.PUNTOS'!$A$1:$B$63,2,0),0)</f>
        <v>0</v>
      </c>
      <c r="S408" s="138">
        <f>IF('1.DATOS-PROD'!AB409="SI",VLOOKUP('1.DATOS-PROD'!AB$2,'1.PUNTOS'!$A$1:$B$63,2,0),0)</f>
        <v>0</v>
      </c>
      <c r="T408" s="138">
        <f>IF('1.DATOS-PROD'!AC409="SI",VLOOKUP('1.DATOS-PROD'!AC$2,'1.PUNTOS'!$A$1:$B$63,2,0),0)</f>
        <v>0</v>
      </c>
      <c r="U408" s="138">
        <f>IF('1.DATOS-PROD'!AD409="SI",VLOOKUP('1.DATOS-PROD'!AD$2,'1.PUNTOS'!$A$1:$B$63,2,0),0)</f>
        <v>0</v>
      </c>
      <c r="V408" s="138">
        <f>IF('1.DATOS-PROD'!AE409="SI",VLOOKUP('1.DATOS-PROD'!AE$2,'1.PUNTOS'!$A$1:$B$63,2,0),0)</f>
        <v>0</v>
      </c>
      <c r="W408" s="138">
        <f>IF('1.DATOS-PROD'!AF409="SI",VLOOKUP('1.DATOS-PROD'!AF$2,'1.PUNTOS'!$A$1:$B$63,2,0),0)</f>
        <v>0</v>
      </c>
      <c r="X408" s="138">
        <f>IF('1.DATOS-PROD'!AG409="SI",VLOOKUP('1.DATOS-PROD'!AG$2,'1.PUNTOS'!$A$1:$B$63,2,0),0)</f>
        <v>0</v>
      </c>
      <c r="Y408" s="138">
        <f>IF('1.DATOS-PROD'!AH409="SI",VLOOKUP('1.DATOS-PROD'!AH$2,'1.PUNTOS'!$A$1:$B$63,2,0),0)</f>
        <v>0</v>
      </c>
      <c r="Z408" s="138">
        <f>IF('1.DATOS-PROD'!AI409="SI",VLOOKUP('1.DATOS-PROD'!AI$2,'1.PUNTOS'!$A$1:$B$63,2,0),0)</f>
        <v>0</v>
      </c>
      <c r="AA408" s="138">
        <f>IF('1.DATOS-PROD'!AJ409="SI",VLOOKUP('1.DATOS-PROD'!AJ$2,'1.PUNTOS'!$A$1:$B$63,2,0),0)</f>
        <v>0</v>
      </c>
      <c r="AB408" s="138">
        <f>IF('1.DATOS-PROD'!AK409="SI",VLOOKUP('1.DATOS-PROD'!AK$2,'1.PUNTOS'!$A$1:$B$63,2,0),0)</f>
        <v>0</v>
      </c>
      <c r="AC408" s="138">
        <f>IF('1.DATOS-PROD'!AL409="SI",VLOOKUP('1.DATOS-PROD'!AL$2,'1.PUNTOS'!$A$1:$B$63,2,0),0)</f>
        <v>0</v>
      </c>
      <c r="AD408" s="138">
        <f>IF('1.DATOS-PROD'!AM409="SI",VLOOKUP('1.DATOS-PROD'!AM$2,'1.PUNTOS'!$A$1:$B$63,2,0),0)</f>
        <v>0</v>
      </c>
      <c r="AE408" s="138">
        <f>IF('1.DATOS-PROD'!AN409="SI",VLOOKUP('1.DATOS-PROD'!AN$2,'1.PUNTOS'!$A$1:$B$63,2,0),0)</f>
        <v>0</v>
      </c>
      <c r="AF408" s="138">
        <f>IF('1.DATOS-PROD'!AO409="SI",VLOOKUP('1.DATOS-PROD'!AO$2,'1.PUNTOS'!$A$1:$B$63,2,0),0)</f>
        <v>0</v>
      </c>
      <c r="AG408" s="138">
        <f>IF('1.DATOS-PROD'!AP409="SI",VLOOKUP('1.DATOS-PROD'!AP$2,'1.PUNTOS'!$A$1:$B$63,2,0),0)</f>
        <v>0</v>
      </c>
      <c r="AH408" s="138">
        <f>IF('1.DATOS-PROD'!AQ409="SI",VLOOKUP('1.DATOS-PROD'!AQ$2,'1.PUNTOS'!$A$1:$B$63,2,0),0)</f>
        <v>0</v>
      </c>
      <c r="AI408" s="138">
        <f>IF('1.DATOS-PROD'!AR409="SI",VLOOKUP('1.DATOS-PROD'!AR$2,'1.PUNTOS'!$A$1:$B$63,2,0),0)</f>
        <v>0</v>
      </c>
      <c r="AJ408" s="138">
        <f>IF('1.DATOS-PROD'!AS409="SI",VLOOKUP('1.DATOS-PROD'!AS$2,'1.PUNTOS'!$A$1:$B$63,2,0),0)</f>
        <v>0</v>
      </c>
      <c r="AK408" s="138">
        <f>IF('1.DATOS-PROD'!AT409="SI",VLOOKUP('1.DATOS-PROD'!AT$2,'1.PUNTOS'!$A$1:$B$63,2,0),0)</f>
        <v>0</v>
      </c>
      <c r="AL408" s="138">
        <f>IF('1.DATOS-PROD'!AU409="SI",VLOOKUP('1.DATOS-PROD'!AU$2,'1.PUNTOS'!$A$1:$B$63,2,0),0)</f>
        <v>0</v>
      </c>
      <c r="AM408" s="138">
        <f>IF('1.DATOS-PROD'!AV409="SI",VLOOKUP('1.DATOS-PROD'!AV$2,'1.PUNTOS'!$A$1:$B$63,2,0),0)</f>
        <v>0</v>
      </c>
      <c r="AN408" s="138">
        <f>IF('1.DATOS-PROD'!AW409="SI",VLOOKUP('1.DATOS-PROD'!AW$2,'1.PUNTOS'!$A$1:$B$63,2,0),0)</f>
        <v>0</v>
      </c>
      <c r="AO408" s="138">
        <f>IF('1.DATOS-PROD'!AX409="SI",VLOOKUP('1.DATOS-PROD'!AX$2,'1.PUNTOS'!$A$1:$B$63,2,0),0)</f>
        <v>0</v>
      </c>
      <c r="AP408" s="138">
        <f>IF('1.DATOS-PROD'!AY409="SI",VLOOKUP('1.DATOS-PROD'!AY$2,'1.PUNTOS'!$A$1:$B$63,2,0),0)</f>
        <v>0</v>
      </c>
      <c r="AQ408" s="138">
        <f>IF('1.DATOS-PROD'!AZ409="SI",VLOOKUP('1.DATOS-PROD'!AZ$2,'1.PUNTOS'!$A$1:$B$63,2,0),0)</f>
        <v>0</v>
      </c>
      <c r="AR408" s="138">
        <f>IF('1.DATOS-PROD'!BA409="SI",VLOOKUP('1.DATOS-PROD'!BA$2,'1.PUNTOS'!$A$1:$B$63,2,0),0)</f>
        <v>0</v>
      </c>
      <c r="AS408" s="138">
        <f>IF('1.DATOS-PROD'!BB409="SI",VLOOKUP('1.DATOS-PROD'!BB$2,'1.PUNTOS'!$A$1:$B$63,2,0),0)</f>
        <v>0</v>
      </c>
      <c r="AT408" s="138">
        <f>IF('1.DATOS-PROD'!BC409="SI",VLOOKUP('1.DATOS-PROD'!BC$2,'1.PUNTOS'!$A$1:$B$63,2,0),0)</f>
        <v>0</v>
      </c>
      <c r="AU408" s="138">
        <f>IF('1.DATOS-PROD'!BD409="SI",VLOOKUP('1.DATOS-PROD'!BD$2,'1.PUNTOS'!$A$1:$B$63,2,0),0)</f>
        <v>0</v>
      </c>
      <c r="AV408" s="138">
        <f>IF('1.DATOS-PROD'!BE409="SI",VLOOKUP('1.DATOS-PROD'!BE$2,'1.PUNTOS'!$A$1:$B$63,2,0),0)</f>
        <v>0</v>
      </c>
      <c r="AW408" s="138">
        <f>IF('1.DATOS-PROD'!BF409="SI",VLOOKUP('1.DATOS-PROD'!BF$2,'1.PUNTOS'!$A$1:$B$63,2,0),0)</f>
        <v>0</v>
      </c>
      <c r="AX408" s="138">
        <f>IF('1.DATOS-PROD'!BG409="SI",VLOOKUP('1.DATOS-PROD'!BG$2,'1.PUNTOS'!$A$1:$B$63,2,0),0)</f>
        <v>0</v>
      </c>
      <c r="AY408" s="138">
        <f>IF('1.DATOS-PROD'!BH409="SI",VLOOKUP('1.DATOS-PROD'!BH$2,'1.PUNTOS'!$A$1:$B$63,2,0),0)</f>
        <v>0</v>
      </c>
      <c r="AZ408" s="138">
        <f>IF('1.DATOS-PROD'!BI409="SI",VLOOKUP('1.DATOS-PROD'!BI$2,'1.PUNTOS'!$A$1:$B$63,2,0),0)</f>
        <v>0</v>
      </c>
      <c r="BA408" s="138">
        <f>IF('1.DATOS-PROD'!BJ409="SI",VLOOKUP('1.DATOS-PROD'!BJ$2,'1.PUNTOS'!$A$1:$B$63,2,0),0)</f>
        <v>0</v>
      </c>
      <c r="BB408" s="138">
        <f>IF('1.DATOS-PROD'!BK409="SI",VLOOKUP('1.DATOS-PROD'!BK$2,'1.PUNTOS'!$A$1:$B$63,2,0),0)</f>
        <v>0</v>
      </c>
      <c r="BC408" s="138">
        <f>IF('1.DATOS-PROD'!BL409="SI",VLOOKUP('1.DATOS-PROD'!BL$2,'1.PUNTOS'!$A$1:$B$63,2,0),0)</f>
        <v>0</v>
      </c>
      <c r="BD408" s="138">
        <f>IF('1.DATOS-PROD'!BM409="SI",VLOOKUP('1.DATOS-PROD'!BM$2,'1.PUNTOS'!$A$1:$B$63,2,0),0)</f>
        <v>0</v>
      </c>
      <c r="BE408" s="138">
        <f>IF('1.DATOS-PROD'!BN409="SI",VLOOKUP('1.DATOS-PROD'!BN$2,'1.PUNTOS'!$A$1:$B$63,2,0),0)</f>
        <v>0</v>
      </c>
      <c r="BF408" s="138">
        <f>IF('1.DATOS-PROD'!BO409="SI",VLOOKUP('1.DATOS-PROD'!BO$2,'1.PUNTOS'!$A$1:$B$63,2,0),0)</f>
        <v>0</v>
      </c>
      <c r="BG408" s="138">
        <f>IF('1.DATOS-PROD'!BP409="SI",VLOOKUP('1.DATOS-PROD'!BP$2,'1.PUNTOS'!$A$1:$B$63,2,0),0)</f>
        <v>0</v>
      </c>
      <c r="BH408" s="138">
        <f>IF('1.DATOS-PROD'!BQ409="SI",VLOOKUP('1.DATOS-PROD'!BQ$2,'1.PUNTOS'!$A$1:$B$63,2,0),0)</f>
        <v>0</v>
      </c>
      <c r="BI408" s="138">
        <f>IF('1.DATOS-PROD'!BR409="SI",VLOOKUP('1.DATOS-PROD'!BR$2,'1.PUNTOS'!$A$1:$B$63,2,0),0)</f>
        <v>0</v>
      </c>
      <c r="BJ408" s="138">
        <f>IF('1.DATOS-PROD'!BS409="SI",VLOOKUP('1.DATOS-PROD'!BS$2,'1.PUNTOS'!$A$1:$B$63,2,0),0)</f>
        <v>0</v>
      </c>
      <c r="BK408" s="138">
        <f>IF('1.DATOS-PROD'!BT409="SI",VLOOKUP('1.DATOS-PROD'!BT$2,'1.PUNTOS'!$A$1:$B$63,2,0),0)</f>
        <v>0</v>
      </c>
    </row>
    <row r="409" spans="1:63" x14ac:dyDescent="0.25">
      <c r="A409">
        <f>'0.Consolidado general'!$A410</f>
        <v>0</v>
      </c>
      <c r="B409" s="138">
        <f>IF('1.DATOS-PROD'!K410="SI",VLOOKUP('1.DATOS-PROD'!K$2,'1.PUNTOS'!$A$1:$B$63,2,0),0)</f>
        <v>0</v>
      </c>
      <c r="C409" s="138">
        <f>IF('1.DATOS-PROD'!L410="SI",VLOOKUP('1.DATOS-PROD'!L$2,'1.PUNTOS'!$A$1:$B$63,2,0),0)</f>
        <v>0</v>
      </c>
      <c r="D409" s="138">
        <f>IF('1.DATOS-PROD'!M410="SI",VLOOKUP('1.DATOS-PROD'!M$2,'1.PUNTOS'!$A$1:$B$63,2,0),0)</f>
        <v>0</v>
      </c>
      <c r="E409" s="138">
        <f>IF('1.DATOS-PROD'!N410="SI",VLOOKUP('1.DATOS-PROD'!N$2,'1.PUNTOS'!$A$1:$B$63,2,0),0)</f>
        <v>0</v>
      </c>
      <c r="F409" s="138">
        <f>IF('1.DATOS-PROD'!O410="SI",VLOOKUP('1.DATOS-PROD'!O$2,'1.PUNTOS'!$A$1:$B$63,2,0),0)</f>
        <v>0</v>
      </c>
      <c r="G409" s="138">
        <f>IF('1.DATOS-PROD'!P410="SI",VLOOKUP('1.DATOS-PROD'!P$2,'1.PUNTOS'!$A$1:$B$63,2,0),0)</f>
        <v>0</v>
      </c>
      <c r="H409" s="138">
        <f>IF('1.DATOS-PROD'!Q410="SI",VLOOKUP('1.DATOS-PROD'!Q$2,'1.PUNTOS'!$A$1:$B$63,2,0),0)</f>
        <v>0</v>
      </c>
      <c r="I409" s="138">
        <f>IF('1.DATOS-PROD'!R410="SI",VLOOKUP('1.DATOS-PROD'!R$2,'1.PUNTOS'!$A$1:$B$63,2,0),0)</f>
        <v>0</v>
      </c>
      <c r="J409" s="138">
        <f>IF('1.DATOS-PROD'!S410="SI",VLOOKUP('1.DATOS-PROD'!S$2,'1.PUNTOS'!$A$1:$B$63,2,0),0)</f>
        <v>0</v>
      </c>
      <c r="K409" s="138">
        <f>IF('1.DATOS-PROD'!T410="SI",VLOOKUP('1.DATOS-PROD'!T$2,'1.PUNTOS'!$A$1:$B$63,2,0),0)</f>
        <v>0</v>
      </c>
      <c r="L409" s="138">
        <f>IF('1.DATOS-PROD'!U410="SI",VLOOKUP('1.DATOS-PROD'!U$2,'1.PUNTOS'!$A$1:$B$63,2,0),0)</f>
        <v>0</v>
      </c>
      <c r="M409" s="138">
        <f>IF('1.DATOS-PROD'!V410="SI",VLOOKUP('1.DATOS-PROD'!V$2,'1.PUNTOS'!$A$1:$B$63,2,0),0)</f>
        <v>0</v>
      </c>
      <c r="N409" s="138">
        <f>IF('1.DATOS-PROD'!W410="SI",VLOOKUP('1.DATOS-PROD'!W$2,'1.PUNTOS'!$A$1:$B$63,2,0),0)</f>
        <v>0</v>
      </c>
      <c r="O409" s="138">
        <f>IF('1.DATOS-PROD'!X410="SI",VLOOKUP('1.DATOS-PROD'!X$2,'1.PUNTOS'!$A$1:$B$63,2,0),0)</f>
        <v>0</v>
      </c>
      <c r="P409" s="138">
        <f>IF('1.DATOS-PROD'!Y410="SI",VLOOKUP('1.DATOS-PROD'!Y$2,'1.PUNTOS'!$A$1:$B$63,2,0),0)</f>
        <v>0</v>
      </c>
      <c r="Q409" s="138">
        <f>IF('1.DATOS-PROD'!Z410="SI",VLOOKUP('1.DATOS-PROD'!Z$2,'1.PUNTOS'!$A$1:$B$63,2,0),0)</f>
        <v>0</v>
      </c>
      <c r="R409" s="138">
        <f>IF('1.DATOS-PROD'!AA410="SI",VLOOKUP('1.DATOS-PROD'!AA$2,'1.PUNTOS'!$A$1:$B$63,2,0),0)</f>
        <v>0</v>
      </c>
      <c r="S409" s="138">
        <f>IF('1.DATOS-PROD'!AB410="SI",VLOOKUP('1.DATOS-PROD'!AB$2,'1.PUNTOS'!$A$1:$B$63,2,0),0)</f>
        <v>0</v>
      </c>
      <c r="T409" s="138">
        <f>IF('1.DATOS-PROD'!AC410="SI",VLOOKUP('1.DATOS-PROD'!AC$2,'1.PUNTOS'!$A$1:$B$63,2,0),0)</f>
        <v>0</v>
      </c>
      <c r="U409" s="138">
        <f>IF('1.DATOS-PROD'!AD410="SI",VLOOKUP('1.DATOS-PROD'!AD$2,'1.PUNTOS'!$A$1:$B$63,2,0),0)</f>
        <v>0</v>
      </c>
      <c r="V409" s="138">
        <f>IF('1.DATOS-PROD'!AE410="SI",VLOOKUP('1.DATOS-PROD'!AE$2,'1.PUNTOS'!$A$1:$B$63,2,0),0)</f>
        <v>0</v>
      </c>
      <c r="W409" s="138">
        <f>IF('1.DATOS-PROD'!AF410="SI",VLOOKUP('1.DATOS-PROD'!AF$2,'1.PUNTOS'!$A$1:$B$63,2,0),0)</f>
        <v>0</v>
      </c>
      <c r="X409" s="138">
        <f>IF('1.DATOS-PROD'!AG410="SI",VLOOKUP('1.DATOS-PROD'!AG$2,'1.PUNTOS'!$A$1:$B$63,2,0),0)</f>
        <v>0</v>
      </c>
      <c r="Y409" s="138">
        <f>IF('1.DATOS-PROD'!AH410="SI",VLOOKUP('1.DATOS-PROD'!AH$2,'1.PUNTOS'!$A$1:$B$63,2,0),0)</f>
        <v>0</v>
      </c>
      <c r="Z409" s="138">
        <f>IF('1.DATOS-PROD'!AI410="SI",VLOOKUP('1.DATOS-PROD'!AI$2,'1.PUNTOS'!$A$1:$B$63,2,0),0)</f>
        <v>0</v>
      </c>
      <c r="AA409" s="138">
        <f>IF('1.DATOS-PROD'!AJ410="SI",VLOOKUP('1.DATOS-PROD'!AJ$2,'1.PUNTOS'!$A$1:$B$63,2,0),0)</f>
        <v>0</v>
      </c>
      <c r="AB409" s="138">
        <f>IF('1.DATOS-PROD'!AK410="SI",VLOOKUP('1.DATOS-PROD'!AK$2,'1.PUNTOS'!$A$1:$B$63,2,0),0)</f>
        <v>0</v>
      </c>
      <c r="AC409" s="138">
        <f>IF('1.DATOS-PROD'!AL410="SI",VLOOKUP('1.DATOS-PROD'!AL$2,'1.PUNTOS'!$A$1:$B$63,2,0),0)</f>
        <v>0</v>
      </c>
      <c r="AD409" s="138">
        <f>IF('1.DATOS-PROD'!AM410="SI",VLOOKUP('1.DATOS-PROD'!AM$2,'1.PUNTOS'!$A$1:$B$63,2,0),0)</f>
        <v>0</v>
      </c>
      <c r="AE409" s="138">
        <f>IF('1.DATOS-PROD'!AN410="SI",VLOOKUP('1.DATOS-PROD'!AN$2,'1.PUNTOS'!$A$1:$B$63,2,0),0)</f>
        <v>0</v>
      </c>
      <c r="AF409" s="138">
        <f>IF('1.DATOS-PROD'!AO410="SI",VLOOKUP('1.DATOS-PROD'!AO$2,'1.PUNTOS'!$A$1:$B$63,2,0),0)</f>
        <v>0</v>
      </c>
      <c r="AG409" s="138">
        <f>IF('1.DATOS-PROD'!AP410="SI",VLOOKUP('1.DATOS-PROD'!AP$2,'1.PUNTOS'!$A$1:$B$63,2,0),0)</f>
        <v>0</v>
      </c>
      <c r="AH409" s="138">
        <f>IF('1.DATOS-PROD'!AQ410="SI",VLOOKUP('1.DATOS-PROD'!AQ$2,'1.PUNTOS'!$A$1:$B$63,2,0),0)</f>
        <v>0</v>
      </c>
      <c r="AI409" s="138">
        <f>IF('1.DATOS-PROD'!AR410="SI",VLOOKUP('1.DATOS-PROD'!AR$2,'1.PUNTOS'!$A$1:$B$63,2,0),0)</f>
        <v>0</v>
      </c>
      <c r="AJ409" s="138">
        <f>IF('1.DATOS-PROD'!AS410="SI",VLOOKUP('1.DATOS-PROD'!AS$2,'1.PUNTOS'!$A$1:$B$63,2,0),0)</f>
        <v>0</v>
      </c>
      <c r="AK409" s="138">
        <f>IF('1.DATOS-PROD'!AT410="SI",VLOOKUP('1.DATOS-PROD'!AT$2,'1.PUNTOS'!$A$1:$B$63,2,0),0)</f>
        <v>0</v>
      </c>
      <c r="AL409" s="138">
        <f>IF('1.DATOS-PROD'!AU410="SI",VLOOKUP('1.DATOS-PROD'!AU$2,'1.PUNTOS'!$A$1:$B$63,2,0),0)</f>
        <v>0</v>
      </c>
      <c r="AM409" s="138">
        <f>IF('1.DATOS-PROD'!AV410="SI",VLOOKUP('1.DATOS-PROD'!AV$2,'1.PUNTOS'!$A$1:$B$63,2,0),0)</f>
        <v>0</v>
      </c>
      <c r="AN409" s="138">
        <f>IF('1.DATOS-PROD'!AW410="SI",VLOOKUP('1.DATOS-PROD'!AW$2,'1.PUNTOS'!$A$1:$B$63,2,0),0)</f>
        <v>0</v>
      </c>
      <c r="AO409" s="138">
        <f>IF('1.DATOS-PROD'!AX410="SI",VLOOKUP('1.DATOS-PROD'!AX$2,'1.PUNTOS'!$A$1:$B$63,2,0),0)</f>
        <v>0</v>
      </c>
      <c r="AP409" s="138">
        <f>IF('1.DATOS-PROD'!AY410="SI",VLOOKUP('1.DATOS-PROD'!AY$2,'1.PUNTOS'!$A$1:$B$63,2,0),0)</f>
        <v>0</v>
      </c>
      <c r="AQ409" s="138">
        <f>IF('1.DATOS-PROD'!AZ410="SI",VLOOKUP('1.DATOS-PROD'!AZ$2,'1.PUNTOS'!$A$1:$B$63,2,0),0)</f>
        <v>0</v>
      </c>
      <c r="AR409" s="138">
        <f>IF('1.DATOS-PROD'!BA410="SI",VLOOKUP('1.DATOS-PROD'!BA$2,'1.PUNTOS'!$A$1:$B$63,2,0),0)</f>
        <v>0</v>
      </c>
      <c r="AS409" s="138">
        <f>IF('1.DATOS-PROD'!BB410="SI",VLOOKUP('1.DATOS-PROD'!BB$2,'1.PUNTOS'!$A$1:$B$63,2,0),0)</f>
        <v>0</v>
      </c>
      <c r="AT409" s="138">
        <f>IF('1.DATOS-PROD'!BC410="SI",VLOOKUP('1.DATOS-PROD'!BC$2,'1.PUNTOS'!$A$1:$B$63,2,0),0)</f>
        <v>0</v>
      </c>
      <c r="AU409" s="138">
        <f>IF('1.DATOS-PROD'!BD410="SI",VLOOKUP('1.DATOS-PROD'!BD$2,'1.PUNTOS'!$A$1:$B$63,2,0),0)</f>
        <v>0</v>
      </c>
      <c r="AV409" s="138">
        <f>IF('1.DATOS-PROD'!BE410="SI",VLOOKUP('1.DATOS-PROD'!BE$2,'1.PUNTOS'!$A$1:$B$63,2,0),0)</f>
        <v>0</v>
      </c>
      <c r="AW409" s="138">
        <f>IF('1.DATOS-PROD'!BF410="SI",VLOOKUP('1.DATOS-PROD'!BF$2,'1.PUNTOS'!$A$1:$B$63,2,0),0)</f>
        <v>0</v>
      </c>
      <c r="AX409" s="138">
        <f>IF('1.DATOS-PROD'!BG410="SI",VLOOKUP('1.DATOS-PROD'!BG$2,'1.PUNTOS'!$A$1:$B$63,2,0),0)</f>
        <v>0</v>
      </c>
      <c r="AY409" s="138">
        <f>IF('1.DATOS-PROD'!BH410="SI",VLOOKUP('1.DATOS-PROD'!BH$2,'1.PUNTOS'!$A$1:$B$63,2,0),0)</f>
        <v>0</v>
      </c>
      <c r="AZ409" s="138">
        <f>IF('1.DATOS-PROD'!BI410="SI",VLOOKUP('1.DATOS-PROD'!BI$2,'1.PUNTOS'!$A$1:$B$63,2,0),0)</f>
        <v>0</v>
      </c>
      <c r="BA409" s="138">
        <f>IF('1.DATOS-PROD'!BJ410="SI",VLOOKUP('1.DATOS-PROD'!BJ$2,'1.PUNTOS'!$A$1:$B$63,2,0),0)</f>
        <v>0</v>
      </c>
      <c r="BB409" s="138">
        <f>IF('1.DATOS-PROD'!BK410="SI",VLOOKUP('1.DATOS-PROD'!BK$2,'1.PUNTOS'!$A$1:$B$63,2,0),0)</f>
        <v>0</v>
      </c>
      <c r="BC409" s="138">
        <f>IF('1.DATOS-PROD'!BL410="SI",VLOOKUP('1.DATOS-PROD'!BL$2,'1.PUNTOS'!$A$1:$B$63,2,0),0)</f>
        <v>0</v>
      </c>
      <c r="BD409" s="138">
        <f>IF('1.DATOS-PROD'!BM410="SI",VLOOKUP('1.DATOS-PROD'!BM$2,'1.PUNTOS'!$A$1:$B$63,2,0),0)</f>
        <v>0</v>
      </c>
      <c r="BE409" s="138">
        <f>IF('1.DATOS-PROD'!BN410="SI",VLOOKUP('1.DATOS-PROD'!BN$2,'1.PUNTOS'!$A$1:$B$63,2,0),0)</f>
        <v>0</v>
      </c>
      <c r="BF409" s="138">
        <f>IF('1.DATOS-PROD'!BO410="SI",VLOOKUP('1.DATOS-PROD'!BO$2,'1.PUNTOS'!$A$1:$B$63,2,0),0)</f>
        <v>0</v>
      </c>
      <c r="BG409" s="138">
        <f>IF('1.DATOS-PROD'!BP410="SI",VLOOKUP('1.DATOS-PROD'!BP$2,'1.PUNTOS'!$A$1:$B$63,2,0),0)</f>
        <v>0</v>
      </c>
      <c r="BH409" s="138">
        <f>IF('1.DATOS-PROD'!BQ410="SI",VLOOKUP('1.DATOS-PROD'!BQ$2,'1.PUNTOS'!$A$1:$B$63,2,0),0)</f>
        <v>0</v>
      </c>
      <c r="BI409" s="138">
        <f>IF('1.DATOS-PROD'!BR410="SI",VLOOKUP('1.DATOS-PROD'!BR$2,'1.PUNTOS'!$A$1:$B$63,2,0),0)</f>
        <v>0</v>
      </c>
      <c r="BJ409" s="138">
        <f>IF('1.DATOS-PROD'!BS410="SI",VLOOKUP('1.DATOS-PROD'!BS$2,'1.PUNTOS'!$A$1:$B$63,2,0),0)</f>
        <v>0</v>
      </c>
      <c r="BK409" s="138">
        <f>IF('1.DATOS-PROD'!BT410="SI",VLOOKUP('1.DATOS-PROD'!BT$2,'1.PUNTOS'!$A$1:$B$63,2,0),0)</f>
        <v>0</v>
      </c>
    </row>
    <row r="410" spans="1:63" x14ac:dyDescent="0.25">
      <c r="A410">
        <f>'0.Consolidado general'!$A411</f>
        <v>0</v>
      </c>
      <c r="B410" s="138">
        <f>IF('1.DATOS-PROD'!K411="SI",VLOOKUP('1.DATOS-PROD'!K$2,'1.PUNTOS'!$A$1:$B$63,2,0),0)</f>
        <v>0</v>
      </c>
      <c r="C410" s="138">
        <f>IF('1.DATOS-PROD'!L411="SI",VLOOKUP('1.DATOS-PROD'!L$2,'1.PUNTOS'!$A$1:$B$63,2,0),0)</f>
        <v>0</v>
      </c>
      <c r="D410" s="138">
        <f>IF('1.DATOS-PROD'!M411="SI",VLOOKUP('1.DATOS-PROD'!M$2,'1.PUNTOS'!$A$1:$B$63,2,0),0)</f>
        <v>0</v>
      </c>
      <c r="E410" s="138">
        <f>IF('1.DATOS-PROD'!N411="SI",VLOOKUP('1.DATOS-PROD'!N$2,'1.PUNTOS'!$A$1:$B$63,2,0),0)</f>
        <v>0</v>
      </c>
      <c r="F410" s="138">
        <f>IF('1.DATOS-PROD'!O411="SI",VLOOKUP('1.DATOS-PROD'!O$2,'1.PUNTOS'!$A$1:$B$63,2,0),0)</f>
        <v>0</v>
      </c>
      <c r="G410" s="138">
        <f>IF('1.DATOS-PROD'!P411="SI",VLOOKUP('1.DATOS-PROD'!P$2,'1.PUNTOS'!$A$1:$B$63,2,0),0)</f>
        <v>0</v>
      </c>
      <c r="H410" s="138">
        <f>IF('1.DATOS-PROD'!Q411="SI",VLOOKUP('1.DATOS-PROD'!Q$2,'1.PUNTOS'!$A$1:$B$63,2,0),0)</f>
        <v>0</v>
      </c>
      <c r="I410" s="138">
        <f>IF('1.DATOS-PROD'!R411="SI",VLOOKUP('1.DATOS-PROD'!R$2,'1.PUNTOS'!$A$1:$B$63,2,0),0)</f>
        <v>0</v>
      </c>
      <c r="J410" s="138">
        <f>IF('1.DATOS-PROD'!S411="SI",VLOOKUP('1.DATOS-PROD'!S$2,'1.PUNTOS'!$A$1:$B$63,2,0),0)</f>
        <v>0</v>
      </c>
      <c r="K410" s="138">
        <f>IF('1.DATOS-PROD'!T411="SI",VLOOKUP('1.DATOS-PROD'!T$2,'1.PUNTOS'!$A$1:$B$63,2,0),0)</f>
        <v>0</v>
      </c>
      <c r="L410" s="138">
        <f>IF('1.DATOS-PROD'!U411="SI",VLOOKUP('1.DATOS-PROD'!U$2,'1.PUNTOS'!$A$1:$B$63,2,0),0)</f>
        <v>0</v>
      </c>
      <c r="M410" s="138">
        <f>IF('1.DATOS-PROD'!V411="SI",VLOOKUP('1.DATOS-PROD'!V$2,'1.PUNTOS'!$A$1:$B$63,2,0),0)</f>
        <v>0</v>
      </c>
      <c r="N410" s="138">
        <f>IF('1.DATOS-PROD'!W411="SI",VLOOKUP('1.DATOS-PROD'!W$2,'1.PUNTOS'!$A$1:$B$63,2,0),0)</f>
        <v>0</v>
      </c>
      <c r="O410" s="138">
        <f>IF('1.DATOS-PROD'!X411="SI",VLOOKUP('1.DATOS-PROD'!X$2,'1.PUNTOS'!$A$1:$B$63,2,0),0)</f>
        <v>0</v>
      </c>
      <c r="P410" s="138">
        <f>IF('1.DATOS-PROD'!Y411="SI",VLOOKUP('1.DATOS-PROD'!Y$2,'1.PUNTOS'!$A$1:$B$63,2,0),0)</f>
        <v>0</v>
      </c>
      <c r="Q410" s="138">
        <f>IF('1.DATOS-PROD'!Z411="SI",VLOOKUP('1.DATOS-PROD'!Z$2,'1.PUNTOS'!$A$1:$B$63,2,0),0)</f>
        <v>0</v>
      </c>
      <c r="R410" s="138">
        <f>IF('1.DATOS-PROD'!AA411="SI",VLOOKUP('1.DATOS-PROD'!AA$2,'1.PUNTOS'!$A$1:$B$63,2,0),0)</f>
        <v>0</v>
      </c>
      <c r="S410" s="138">
        <f>IF('1.DATOS-PROD'!AB411="SI",VLOOKUP('1.DATOS-PROD'!AB$2,'1.PUNTOS'!$A$1:$B$63,2,0),0)</f>
        <v>0</v>
      </c>
      <c r="T410" s="138">
        <f>IF('1.DATOS-PROD'!AC411="SI",VLOOKUP('1.DATOS-PROD'!AC$2,'1.PUNTOS'!$A$1:$B$63,2,0),0)</f>
        <v>0</v>
      </c>
      <c r="U410" s="138">
        <f>IF('1.DATOS-PROD'!AD411="SI",VLOOKUP('1.DATOS-PROD'!AD$2,'1.PUNTOS'!$A$1:$B$63,2,0),0)</f>
        <v>0</v>
      </c>
      <c r="V410" s="138">
        <f>IF('1.DATOS-PROD'!AE411="SI",VLOOKUP('1.DATOS-PROD'!AE$2,'1.PUNTOS'!$A$1:$B$63,2,0),0)</f>
        <v>0</v>
      </c>
      <c r="W410" s="138">
        <f>IF('1.DATOS-PROD'!AF411="SI",VLOOKUP('1.DATOS-PROD'!AF$2,'1.PUNTOS'!$A$1:$B$63,2,0),0)</f>
        <v>0</v>
      </c>
      <c r="X410" s="138">
        <f>IF('1.DATOS-PROD'!AG411="SI",VLOOKUP('1.DATOS-PROD'!AG$2,'1.PUNTOS'!$A$1:$B$63,2,0),0)</f>
        <v>0</v>
      </c>
      <c r="Y410" s="138">
        <f>IF('1.DATOS-PROD'!AH411="SI",VLOOKUP('1.DATOS-PROD'!AH$2,'1.PUNTOS'!$A$1:$B$63,2,0),0)</f>
        <v>0</v>
      </c>
      <c r="Z410" s="138">
        <f>IF('1.DATOS-PROD'!AI411="SI",VLOOKUP('1.DATOS-PROD'!AI$2,'1.PUNTOS'!$A$1:$B$63,2,0),0)</f>
        <v>0</v>
      </c>
      <c r="AA410" s="138">
        <f>IF('1.DATOS-PROD'!AJ411="SI",VLOOKUP('1.DATOS-PROD'!AJ$2,'1.PUNTOS'!$A$1:$B$63,2,0),0)</f>
        <v>0</v>
      </c>
      <c r="AB410" s="138">
        <f>IF('1.DATOS-PROD'!AK411="SI",VLOOKUP('1.DATOS-PROD'!AK$2,'1.PUNTOS'!$A$1:$B$63,2,0),0)</f>
        <v>0</v>
      </c>
      <c r="AC410" s="138">
        <f>IF('1.DATOS-PROD'!AL411="SI",VLOOKUP('1.DATOS-PROD'!AL$2,'1.PUNTOS'!$A$1:$B$63,2,0),0)</f>
        <v>0</v>
      </c>
      <c r="AD410" s="138">
        <f>IF('1.DATOS-PROD'!AM411="SI",VLOOKUP('1.DATOS-PROD'!AM$2,'1.PUNTOS'!$A$1:$B$63,2,0),0)</f>
        <v>0</v>
      </c>
      <c r="AE410" s="138">
        <f>IF('1.DATOS-PROD'!AN411="SI",VLOOKUP('1.DATOS-PROD'!AN$2,'1.PUNTOS'!$A$1:$B$63,2,0),0)</f>
        <v>0</v>
      </c>
      <c r="AF410" s="138">
        <f>IF('1.DATOS-PROD'!AO411="SI",VLOOKUP('1.DATOS-PROD'!AO$2,'1.PUNTOS'!$A$1:$B$63,2,0),0)</f>
        <v>0</v>
      </c>
      <c r="AG410" s="138">
        <f>IF('1.DATOS-PROD'!AP411="SI",VLOOKUP('1.DATOS-PROD'!AP$2,'1.PUNTOS'!$A$1:$B$63,2,0),0)</f>
        <v>0</v>
      </c>
      <c r="AH410" s="138">
        <f>IF('1.DATOS-PROD'!AQ411="SI",VLOOKUP('1.DATOS-PROD'!AQ$2,'1.PUNTOS'!$A$1:$B$63,2,0),0)</f>
        <v>0</v>
      </c>
      <c r="AI410" s="138">
        <f>IF('1.DATOS-PROD'!AR411="SI",VLOOKUP('1.DATOS-PROD'!AR$2,'1.PUNTOS'!$A$1:$B$63,2,0),0)</f>
        <v>0</v>
      </c>
      <c r="AJ410" s="138">
        <f>IF('1.DATOS-PROD'!AS411="SI",VLOOKUP('1.DATOS-PROD'!AS$2,'1.PUNTOS'!$A$1:$B$63,2,0),0)</f>
        <v>0</v>
      </c>
      <c r="AK410" s="138">
        <f>IF('1.DATOS-PROD'!AT411="SI",VLOOKUP('1.DATOS-PROD'!AT$2,'1.PUNTOS'!$A$1:$B$63,2,0),0)</f>
        <v>0</v>
      </c>
      <c r="AL410" s="138">
        <f>IF('1.DATOS-PROD'!AU411="SI",VLOOKUP('1.DATOS-PROD'!AU$2,'1.PUNTOS'!$A$1:$B$63,2,0),0)</f>
        <v>0</v>
      </c>
      <c r="AM410" s="138">
        <f>IF('1.DATOS-PROD'!AV411="SI",VLOOKUP('1.DATOS-PROD'!AV$2,'1.PUNTOS'!$A$1:$B$63,2,0),0)</f>
        <v>0</v>
      </c>
      <c r="AN410" s="138">
        <f>IF('1.DATOS-PROD'!AW411="SI",VLOOKUP('1.DATOS-PROD'!AW$2,'1.PUNTOS'!$A$1:$B$63,2,0),0)</f>
        <v>0</v>
      </c>
      <c r="AO410" s="138">
        <f>IF('1.DATOS-PROD'!AX411="SI",VLOOKUP('1.DATOS-PROD'!AX$2,'1.PUNTOS'!$A$1:$B$63,2,0),0)</f>
        <v>0</v>
      </c>
      <c r="AP410" s="138">
        <f>IF('1.DATOS-PROD'!AY411="SI",VLOOKUP('1.DATOS-PROD'!AY$2,'1.PUNTOS'!$A$1:$B$63,2,0),0)</f>
        <v>0</v>
      </c>
      <c r="AQ410" s="138">
        <f>IF('1.DATOS-PROD'!AZ411="SI",VLOOKUP('1.DATOS-PROD'!AZ$2,'1.PUNTOS'!$A$1:$B$63,2,0),0)</f>
        <v>0</v>
      </c>
      <c r="AR410" s="138">
        <f>IF('1.DATOS-PROD'!BA411="SI",VLOOKUP('1.DATOS-PROD'!BA$2,'1.PUNTOS'!$A$1:$B$63,2,0),0)</f>
        <v>0</v>
      </c>
      <c r="AS410" s="138">
        <f>IF('1.DATOS-PROD'!BB411="SI",VLOOKUP('1.DATOS-PROD'!BB$2,'1.PUNTOS'!$A$1:$B$63,2,0),0)</f>
        <v>0</v>
      </c>
      <c r="AT410" s="138">
        <f>IF('1.DATOS-PROD'!BC411="SI",VLOOKUP('1.DATOS-PROD'!BC$2,'1.PUNTOS'!$A$1:$B$63,2,0),0)</f>
        <v>0</v>
      </c>
      <c r="AU410" s="138">
        <f>IF('1.DATOS-PROD'!BD411="SI",VLOOKUP('1.DATOS-PROD'!BD$2,'1.PUNTOS'!$A$1:$B$63,2,0),0)</f>
        <v>0</v>
      </c>
      <c r="AV410" s="138">
        <f>IF('1.DATOS-PROD'!BE411="SI",VLOOKUP('1.DATOS-PROD'!BE$2,'1.PUNTOS'!$A$1:$B$63,2,0),0)</f>
        <v>0</v>
      </c>
      <c r="AW410" s="138">
        <f>IF('1.DATOS-PROD'!BF411="SI",VLOOKUP('1.DATOS-PROD'!BF$2,'1.PUNTOS'!$A$1:$B$63,2,0),0)</f>
        <v>0</v>
      </c>
      <c r="AX410" s="138">
        <f>IF('1.DATOS-PROD'!BG411="SI",VLOOKUP('1.DATOS-PROD'!BG$2,'1.PUNTOS'!$A$1:$B$63,2,0),0)</f>
        <v>0</v>
      </c>
      <c r="AY410" s="138">
        <f>IF('1.DATOS-PROD'!BH411="SI",VLOOKUP('1.DATOS-PROD'!BH$2,'1.PUNTOS'!$A$1:$B$63,2,0),0)</f>
        <v>0</v>
      </c>
      <c r="AZ410" s="138">
        <f>IF('1.DATOS-PROD'!BI411="SI",VLOOKUP('1.DATOS-PROD'!BI$2,'1.PUNTOS'!$A$1:$B$63,2,0),0)</f>
        <v>0</v>
      </c>
      <c r="BA410" s="138">
        <f>IF('1.DATOS-PROD'!BJ411="SI",VLOOKUP('1.DATOS-PROD'!BJ$2,'1.PUNTOS'!$A$1:$B$63,2,0),0)</f>
        <v>0</v>
      </c>
      <c r="BB410" s="138">
        <f>IF('1.DATOS-PROD'!BK411="SI",VLOOKUP('1.DATOS-PROD'!BK$2,'1.PUNTOS'!$A$1:$B$63,2,0),0)</f>
        <v>0</v>
      </c>
      <c r="BC410" s="138">
        <f>IF('1.DATOS-PROD'!BL411="SI",VLOOKUP('1.DATOS-PROD'!BL$2,'1.PUNTOS'!$A$1:$B$63,2,0),0)</f>
        <v>0</v>
      </c>
      <c r="BD410" s="138">
        <f>IF('1.DATOS-PROD'!BM411="SI",VLOOKUP('1.DATOS-PROD'!BM$2,'1.PUNTOS'!$A$1:$B$63,2,0),0)</f>
        <v>0</v>
      </c>
      <c r="BE410" s="138">
        <f>IF('1.DATOS-PROD'!BN411="SI",VLOOKUP('1.DATOS-PROD'!BN$2,'1.PUNTOS'!$A$1:$B$63,2,0),0)</f>
        <v>0</v>
      </c>
      <c r="BF410" s="138">
        <f>IF('1.DATOS-PROD'!BO411="SI",VLOOKUP('1.DATOS-PROD'!BO$2,'1.PUNTOS'!$A$1:$B$63,2,0),0)</f>
        <v>0</v>
      </c>
      <c r="BG410" s="138">
        <f>IF('1.DATOS-PROD'!BP411="SI",VLOOKUP('1.DATOS-PROD'!BP$2,'1.PUNTOS'!$A$1:$B$63,2,0),0)</f>
        <v>0</v>
      </c>
      <c r="BH410" s="138">
        <f>IF('1.DATOS-PROD'!BQ411="SI",VLOOKUP('1.DATOS-PROD'!BQ$2,'1.PUNTOS'!$A$1:$B$63,2,0),0)</f>
        <v>0</v>
      </c>
      <c r="BI410" s="138">
        <f>IF('1.DATOS-PROD'!BR411="SI",VLOOKUP('1.DATOS-PROD'!BR$2,'1.PUNTOS'!$A$1:$B$63,2,0),0)</f>
        <v>0</v>
      </c>
      <c r="BJ410" s="138">
        <f>IF('1.DATOS-PROD'!BS411="SI",VLOOKUP('1.DATOS-PROD'!BS$2,'1.PUNTOS'!$A$1:$B$63,2,0),0)</f>
        <v>0</v>
      </c>
      <c r="BK410" s="138">
        <f>IF('1.DATOS-PROD'!BT411="SI",VLOOKUP('1.DATOS-PROD'!BT$2,'1.PUNTOS'!$A$1:$B$63,2,0),0)</f>
        <v>0</v>
      </c>
    </row>
    <row r="411" spans="1:63" x14ac:dyDescent="0.25">
      <c r="A411">
        <f>'0.Consolidado general'!$A412</f>
        <v>0</v>
      </c>
      <c r="B411" s="138">
        <f>IF('1.DATOS-PROD'!K412="SI",VLOOKUP('1.DATOS-PROD'!K$2,'1.PUNTOS'!$A$1:$B$63,2,0),0)</f>
        <v>0</v>
      </c>
      <c r="C411" s="138">
        <f>IF('1.DATOS-PROD'!L412="SI",VLOOKUP('1.DATOS-PROD'!L$2,'1.PUNTOS'!$A$1:$B$63,2,0),0)</f>
        <v>0</v>
      </c>
      <c r="D411" s="138">
        <f>IF('1.DATOS-PROD'!M412="SI",VLOOKUP('1.DATOS-PROD'!M$2,'1.PUNTOS'!$A$1:$B$63,2,0),0)</f>
        <v>0</v>
      </c>
      <c r="E411" s="138">
        <f>IF('1.DATOS-PROD'!N412="SI",VLOOKUP('1.DATOS-PROD'!N$2,'1.PUNTOS'!$A$1:$B$63,2,0),0)</f>
        <v>0</v>
      </c>
      <c r="F411" s="138">
        <f>IF('1.DATOS-PROD'!O412="SI",VLOOKUP('1.DATOS-PROD'!O$2,'1.PUNTOS'!$A$1:$B$63,2,0),0)</f>
        <v>0</v>
      </c>
      <c r="G411" s="138">
        <f>IF('1.DATOS-PROD'!P412="SI",VLOOKUP('1.DATOS-PROD'!P$2,'1.PUNTOS'!$A$1:$B$63,2,0),0)</f>
        <v>0</v>
      </c>
      <c r="H411" s="138">
        <f>IF('1.DATOS-PROD'!Q412="SI",VLOOKUP('1.DATOS-PROD'!Q$2,'1.PUNTOS'!$A$1:$B$63,2,0),0)</f>
        <v>0</v>
      </c>
      <c r="I411" s="138">
        <f>IF('1.DATOS-PROD'!R412="SI",VLOOKUP('1.DATOS-PROD'!R$2,'1.PUNTOS'!$A$1:$B$63,2,0),0)</f>
        <v>0</v>
      </c>
      <c r="J411" s="138">
        <f>IF('1.DATOS-PROD'!S412="SI",VLOOKUP('1.DATOS-PROD'!S$2,'1.PUNTOS'!$A$1:$B$63,2,0),0)</f>
        <v>0</v>
      </c>
      <c r="K411" s="138">
        <f>IF('1.DATOS-PROD'!T412="SI",VLOOKUP('1.DATOS-PROD'!T$2,'1.PUNTOS'!$A$1:$B$63,2,0),0)</f>
        <v>0</v>
      </c>
      <c r="L411" s="138">
        <f>IF('1.DATOS-PROD'!U412="SI",VLOOKUP('1.DATOS-PROD'!U$2,'1.PUNTOS'!$A$1:$B$63,2,0),0)</f>
        <v>0</v>
      </c>
      <c r="M411" s="138">
        <f>IF('1.DATOS-PROD'!V412="SI",VLOOKUP('1.DATOS-PROD'!V$2,'1.PUNTOS'!$A$1:$B$63,2,0),0)</f>
        <v>0</v>
      </c>
      <c r="N411" s="138">
        <f>IF('1.DATOS-PROD'!W412="SI",VLOOKUP('1.DATOS-PROD'!W$2,'1.PUNTOS'!$A$1:$B$63,2,0),0)</f>
        <v>0</v>
      </c>
      <c r="O411" s="138">
        <f>IF('1.DATOS-PROD'!X412="SI",VLOOKUP('1.DATOS-PROD'!X$2,'1.PUNTOS'!$A$1:$B$63,2,0),0)</f>
        <v>0</v>
      </c>
      <c r="P411" s="138">
        <f>IF('1.DATOS-PROD'!Y412="SI",VLOOKUP('1.DATOS-PROD'!Y$2,'1.PUNTOS'!$A$1:$B$63,2,0),0)</f>
        <v>0</v>
      </c>
      <c r="Q411" s="138">
        <f>IF('1.DATOS-PROD'!Z412="SI",VLOOKUP('1.DATOS-PROD'!Z$2,'1.PUNTOS'!$A$1:$B$63,2,0),0)</f>
        <v>0</v>
      </c>
      <c r="R411" s="138">
        <f>IF('1.DATOS-PROD'!AA412="SI",VLOOKUP('1.DATOS-PROD'!AA$2,'1.PUNTOS'!$A$1:$B$63,2,0),0)</f>
        <v>0</v>
      </c>
      <c r="S411" s="138">
        <f>IF('1.DATOS-PROD'!AB412="SI",VLOOKUP('1.DATOS-PROD'!AB$2,'1.PUNTOS'!$A$1:$B$63,2,0),0)</f>
        <v>0</v>
      </c>
      <c r="T411" s="138">
        <f>IF('1.DATOS-PROD'!AC412="SI",VLOOKUP('1.DATOS-PROD'!AC$2,'1.PUNTOS'!$A$1:$B$63,2,0),0)</f>
        <v>0</v>
      </c>
      <c r="U411" s="138">
        <f>IF('1.DATOS-PROD'!AD412="SI",VLOOKUP('1.DATOS-PROD'!AD$2,'1.PUNTOS'!$A$1:$B$63,2,0),0)</f>
        <v>0</v>
      </c>
      <c r="V411" s="138">
        <f>IF('1.DATOS-PROD'!AE412="SI",VLOOKUP('1.DATOS-PROD'!AE$2,'1.PUNTOS'!$A$1:$B$63,2,0),0)</f>
        <v>0</v>
      </c>
      <c r="W411" s="138">
        <f>IF('1.DATOS-PROD'!AF412="SI",VLOOKUP('1.DATOS-PROD'!AF$2,'1.PUNTOS'!$A$1:$B$63,2,0),0)</f>
        <v>0</v>
      </c>
      <c r="X411" s="138">
        <f>IF('1.DATOS-PROD'!AG412="SI",VLOOKUP('1.DATOS-PROD'!AG$2,'1.PUNTOS'!$A$1:$B$63,2,0),0)</f>
        <v>0</v>
      </c>
      <c r="Y411" s="138">
        <f>IF('1.DATOS-PROD'!AH412="SI",VLOOKUP('1.DATOS-PROD'!AH$2,'1.PUNTOS'!$A$1:$B$63,2,0),0)</f>
        <v>0</v>
      </c>
      <c r="Z411" s="138">
        <f>IF('1.DATOS-PROD'!AI412="SI",VLOOKUP('1.DATOS-PROD'!AI$2,'1.PUNTOS'!$A$1:$B$63,2,0),0)</f>
        <v>0</v>
      </c>
      <c r="AA411" s="138">
        <f>IF('1.DATOS-PROD'!AJ412="SI",VLOOKUP('1.DATOS-PROD'!AJ$2,'1.PUNTOS'!$A$1:$B$63,2,0),0)</f>
        <v>0</v>
      </c>
      <c r="AB411" s="138">
        <f>IF('1.DATOS-PROD'!AK412="SI",VLOOKUP('1.DATOS-PROD'!AK$2,'1.PUNTOS'!$A$1:$B$63,2,0),0)</f>
        <v>0</v>
      </c>
      <c r="AC411" s="138">
        <f>IF('1.DATOS-PROD'!AL412="SI",VLOOKUP('1.DATOS-PROD'!AL$2,'1.PUNTOS'!$A$1:$B$63,2,0),0)</f>
        <v>0</v>
      </c>
      <c r="AD411" s="138">
        <f>IF('1.DATOS-PROD'!AM412="SI",VLOOKUP('1.DATOS-PROD'!AM$2,'1.PUNTOS'!$A$1:$B$63,2,0),0)</f>
        <v>0</v>
      </c>
      <c r="AE411" s="138">
        <f>IF('1.DATOS-PROD'!AN412="SI",VLOOKUP('1.DATOS-PROD'!AN$2,'1.PUNTOS'!$A$1:$B$63,2,0),0)</f>
        <v>0</v>
      </c>
      <c r="AF411" s="138">
        <f>IF('1.DATOS-PROD'!AO412="SI",VLOOKUP('1.DATOS-PROD'!AO$2,'1.PUNTOS'!$A$1:$B$63,2,0),0)</f>
        <v>0</v>
      </c>
      <c r="AG411" s="138">
        <f>IF('1.DATOS-PROD'!AP412="SI",VLOOKUP('1.DATOS-PROD'!AP$2,'1.PUNTOS'!$A$1:$B$63,2,0),0)</f>
        <v>0</v>
      </c>
      <c r="AH411" s="138">
        <f>IF('1.DATOS-PROD'!AQ412="SI",VLOOKUP('1.DATOS-PROD'!AQ$2,'1.PUNTOS'!$A$1:$B$63,2,0),0)</f>
        <v>0</v>
      </c>
      <c r="AI411" s="138">
        <f>IF('1.DATOS-PROD'!AR412="SI",VLOOKUP('1.DATOS-PROD'!AR$2,'1.PUNTOS'!$A$1:$B$63,2,0),0)</f>
        <v>0</v>
      </c>
      <c r="AJ411" s="138">
        <f>IF('1.DATOS-PROD'!AS412="SI",VLOOKUP('1.DATOS-PROD'!AS$2,'1.PUNTOS'!$A$1:$B$63,2,0),0)</f>
        <v>0</v>
      </c>
      <c r="AK411" s="138">
        <f>IF('1.DATOS-PROD'!AT412="SI",VLOOKUP('1.DATOS-PROD'!AT$2,'1.PUNTOS'!$A$1:$B$63,2,0),0)</f>
        <v>0</v>
      </c>
      <c r="AL411" s="138">
        <f>IF('1.DATOS-PROD'!AU412="SI",VLOOKUP('1.DATOS-PROD'!AU$2,'1.PUNTOS'!$A$1:$B$63,2,0),0)</f>
        <v>0</v>
      </c>
      <c r="AM411" s="138">
        <f>IF('1.DATOS-PROD'!AV412="SI",VLOOKUP('1.DATOS-PROD'!AV$2,'1.PUNTOS'!$A$1:$B$63,2,0),0)</f>
        <v>0</v>
      </c>
      <c r="AN411" s="138">
        <f>IF('1.DATOS-PROD'!AW412="SI",VLOOKUP('1.DATOS-PROD'!AW$2,'1.PUNTOS'!$A$1:$B$63,2,0),0)</f>
        <v>0</v>
      </c>
      <c r="AO411" s="138">
        <f>IF('1.DATOS-PROD'!AX412="SI",VLOOKUP('1.DATOS-PROD'!AX$2,'1.PUNTOS'!$A$1:$B$63,2,0),0)</f>
        <v>0</v>
      </c>
      <c r="AP411" s="138">
        <f>IF('1.DATOS-PROD'!AY412="SI",VLOOKUP('1.DATOS-PROD'!AY$2,'1.PUNTOS'!$A$1:$B$63,2,0),0)</f>
        <v>0</v>
      </c>
      <c r="AQ411" s="138">
        <f>IF('1.DATOS-PROD'!AZ412="SI",VLOOKUP('1.DATOS-PROD'!AZ$2,'1.PUNTOS'!$A$1:$B$63,2,0),0)</f>
        <v>0</v>
      </c>
      <c r="AR411" s="138">
        <f>IF('1.DATOS-PROD'!BA412="SI",VLOOKUP('1.DATOS-PROD'!BA$2,'1.PUNTOS'!$A$1:$B$63,2,0),0)</f>
        <v>0</v>
      </c>
      <c r="AS411" s="138">
        <f>IF('1.DATOS-PROD'!BB412="SI",VLOOKUP('1.DATOS-PROD'!BB$2,'1.PUNTOS'!$A$1:$B$63,2,0),0)</f>
        <v>0</v>
      </c>
      <c r="AT411" s="138">
        <f>IF('1.DATOS-PROD'!BC412="SI",VLOOKUP('1.DATOS-PROD'!BC$2,'1.PUNTOS'!$A$1:$B$63,2,0),0)</f>
        <v>0</v>
      </c>
      <c r="AU411" s="138">
        <f>IF('1.DATOS-PROD'!BD412="SI",VLOOKUP('1.DATOS-PROD'!BD$2,'1.PUNTOS'!$A$1:$B$63,2,0),0)</f>
        <v>0</v>
      </c>
      <c r="AV411" s="138">
        <f>IF('1.DATOS-PROD'!BE412="SI",VLOOKUP('1.DATOS-PROD'!BE$2,'1.PUNTOS'!$A$1:$B$63,2,0),0)</f>
        <v>0</v>
      </c>
      <c r="AW411" s="138">
        <f>IF('1.DATOS-PROD'!BF412="SI",VLOOKUP('1.DATOS-PROD'!BF$2,'1.PUNTOS'!$A$1:$B$63,2,0),0)</f>
        <v>0</v>
      </c>
      <c r="AX411" s="138">
        <f>IF('1.DATOS-PROD'!BG412="SI",VLOOKUP('1.DATOS-PROD'!BG$2,'1.PUNTOS'!$A$1:$B$63,2,0),0)</f>
        <v>0</v>
      </c>
      <c r="AY411" s="138">
        <f>IF('1.DATOS-PROD'!BH412="SI",VLOOKUP('1.DATOS-PROD'!BH$2,'1.PUNTOS'!$A$1:$B$63,2,0),0)</f>
        <v>0</v>
      </c>
      <c r="AZ411" s="138">
        <f>IF('1.DATOS-PROD'!BI412="SI",VLOOKUP('1.DATOS-PROD'!BI$2,'1.PUNTOS'!$A$1:$B$63,2,0),0)</f>
        <v>0</v>
      </c>
      <c r="BA411" s="138">
        <f>IF('1.DATOS-PROD'!BJ412="SI",VLOOKUP('1.DATOS-PROD'!BJ$2,'1.PUNTOS'!$A$1:$B$63,2,0),0)</f>
        <v>0</v>
      </c>
      <c r="BB411" s="138">
        <f>IF('1.DATOS-PROD'!BK412="SI",VLOOKUP('1.DATOS-PROD'!BK$2,'1.PUNTOS'!$A$1:$B$63,2,0),0)</f>
        <v>0</v>
      </c>
      <c r="BC411" s="138">
        <f>IF('1.DATOS-PROD'!BL412="SI",VLOOKUP('1.DATOS-PROD'!BL$2,'1.PUNTOS'!$A$1:$B$63,2,0),0)</f>
        <v>0</v>
      </c>
      <c r="BD411" s="138">
        <f>IF('1.DATOS-PROD'!BM412="SI",VLOOKUP('1.DATOS-PROD'!BM$2,'1.PUNTOS'!$A$1:$B$63,2,0),0)</f>
        <v>0</v>
      </c>
      <c r="BE411" s="138">
        <f>IF('1.DATOS-PROD'!BN412="SI",VLOOKUP('1.DATOS-PROD'!BN$2,'1.PUNTOS'!$A$1:$B$63,2,0),0)</f>
        <v>0</v>
      </c>
      <c r="BF411" s="138">
        <f>IF('1.DATOS-PROD'!BO412="SI",VLOOKUP('1.DATOS-PROD'!BO$2,'1.PUNTOS'!$A$1:$B$63,2,0),0)</f>
        <v>0</v>
      </c>
      <c r="BG411" s="138">
        <f>IF('1.DATOS-PROD'!BP412="SI",VLOOKUP('1.DATOS-PROD'!BP$2,'1.PUNTOS'!$A$1:$B$63,2,0),0)</f>
        <v>0</v>
      </c>
      <c r="BH411" s="138">
        <f>IF('1.DATOS-PROD'!BQ412="SI",VLOOKUP('1.DATOS-PROD'!BQ$2,'1.PUNTOS'!$A$1:$B$63,2,0),0)</f>
        <v>0</v>
      </c>
      <c r="BI411" s="138">
        <f>IF('1.DATOS-PROD'!BR412="SI",VLOOKUP('1.DATOS-PROD'!BR$2,'1.PUNTOS'!$A$1:$B$63,2,0),0)</f>
        <v>0</v>
      </c>
      <c r="BJ411" s="138">
        <f>IF('1.DATOS-PROD'!BS412="SI",VLOOKUP('1.DATOS-PROD'!BS$2,'1.PUNTOS'!$A$1:$B$63,2,0),0)</f>
        <v>0</v>
      </c>
      <c r="BK411" s="138">
        <f>IF('1.DATOS-PROD'!BT412="SI",VLOOKUP('1.DATOS-PROD'!BT$2,'1.PUNTOS'!$A$1:$B$63,2,0),0)</f>
        <v>0</v>
      </c>
    </row>
    <row r="412" spans="1:63" x14ac:dyDescent="0.25">
      <c r="A412">
        <f>'0.Consolidado general'!$A413</f>
        <v>0</v>
      </c>
      <c r="B412" s="138">
        <f>IF('1.DATOS-PROD'!K413="SI",VLOOKUP('1.DATOS-PROD'!K$2,'1.PUNTOS'!$A$1:$B$63,2,0),0)</f>
        <v>0</v>
      </c>
      <c r="C412" s="138">
        <f>IF('1.DATOS-PROD'!L413="SI",VLOOKUP('1.DATOS-PROD'!L$2,'1.PUNTOS'!$A$1:$B$63,2,0),0)</f>
        <v>0</v>
      </c>
      <c r="D412" s="138">
        <f>IF('1.DATOS-PROD'!M413="SI",VLOOKUP('1.DATOS-PROD'!M$2,'1.PUNTOS'!$A$1:$B$63,2,0),0)</f>
        <v>0</v>
      </c>
      <c r="E412" s="138">
        <f>IF('1.DATOS-PROD'!N413="SI",VLOOKUP('1.DATOS-PROD'!N$2,'1.PUNTOS'!$A$1:$B$63,2,0),0)</f>
        <v>0</v>
      </c>
      <c r="F412" s="138">
        <f>IF('1.DATOS-PROD'!O413="SI",VLOOKUP('1.DATOS-PROD'!O$2,'1.PUNTOS'!$A$1:$B$63,2,0),0)</f>
        <v>0</v>
      </c>
      <c r="G412" s="138">
        <f>IF('1.DATOS-PROD'!P413="SI",VLOOKUP('1.DATOS-PROD'!P$2,'1.PUNTOS'!$A$1:$B$63,2,0),0)</f>
        <v>0</v>
      </c>
      <c r="H412" s="138">
        <f>IF('1.DATOS-PROD'!Q413="SI",VLOOKUP('1.DATOS-PROD'!Q$2,'1.PUNTOS'!$A$1:$B$63,2,0),0)</f>
        <v>0</v>
      </c>
      <c r="I412" s="138">
        <f>IF('1.DATOS-PROD'!R413="SI",VLOOKUP('1.DATOS-PROD'!R$2,'1.PUNTOS'!$A$1:$B$63,2,0),0)</f>
        <v>0</v>
      </c>
      <c r="J412" s="138">
        <f>IF('1.DATOS-PROD'!S413="SI",VLOOKUP('1.DATOS-PROD'!S$2,'1.PUNTOS'!$A$1:$B$63,2,0),0)</f>
        <v>0</v>
      </c>
      <c r="K412" s="138">
        <f>IF('1.DATOS-PROD'!T413="SI",VLOOKUP('1.DATOS-PROD'!T$2,'1.PUNTOS'!$A$1:$B$63,2,0),0)</f>
        <v>0</v>
      </c>
      <c r="L412" s="138">
        <f>IF('1.DATOS-PROD'!U413="SI",VLOOKUP('1.DATOS-PROD'!U$2,'1.PUNTOS'!$A$1:$B$63,2,0),0)</f>
        <v>0</v>
      </c>
      <c r="M412" s="138">
        <f>IF('1.DATOS-PROD'!V413="SI",VLOOKUP('1.DATOS-PROD'!V$2,'1.PUNTOS'!$A$1:$B$63,2,0),0)</f>
        <v>0</v>
      </c>
      <c r="N412" s="138">
        <f>IF('1.DATOS-PROD'!W413="SI",VLOOKUP('1.DATOS-PROD'!W$2,'1.PUNTOS'!$A$1:$B$63,2,0),0)</f>
        <v>0</v>
      </c>
      <c r="O412" s="138">
        <f>IF('1.DATOS-PROD'!X413="SI",VLOOKUP('1.DATOS-PROD'!X$2,'1.PUNTOS'!$A$1:$B$63,2,0),0)</f>
        <v>0</v>
      </c>
      <c r="P412" s="138">
        <f>IF('1.DATOS-PROD'!Y413="SI",VLOOKUP('1.DATOS-PROD'!Y$2,'1.PUNTOS'!$A$1:$B$63,2,0),0)</f>
        <v>0</v>
      </c>
      <c r="Q412" s="138">
        <f>IF('1.DATOS-PROD'!Z413="SI",VLOOKUP('1.DATOS-PROD'!Z$2,'1.PUNTOS'!$A$1:$B$63,2,0),0)</f>
        <v>0</v>
      </c>
      <c r="R412" s="138">
        <f>IF('1.DATOS-PROD'!AA413="SI",VLOOKUP('1.DATOS-PROD'!AA$2,'1.PUNTOS'!$A$1:$B$63,2,0),0)</f>
        <v>0</v>
      </c>
      <c r="S412" s="138">
        <f>IF('1.DATOS-PROD'!AB413="SI",VLOOKUP('1.DATOS-PROD'!AB$2,'1.PUNTOS'!$A$1:$B$63,2,0),0)</f>
        <v>0</v>
      </c>
      <c r="T412" s="138">
        <f>IF('1.DATOS-PROD'!AC413="SI",VLOOKUP('1.DATOS-PROD'!AC$2,'1.PUNTOS'!$A$1:$B$63,2,0),0)</f>
        <v>0</v>
      </c>
      <c r="U412" s="138">
        <f>IF('1.DATOS-PROD'!AD413="SI",VLOOKUP('1.DATOS-PROD'!AD$2,'1.PUNTOS'!$A$1:$B$63,2,0),0)</f>
        <v>0</v>
      </c>
      <c r="V412" s="138">
        <f>IF('1.DATOS-PROD'!AE413="SI",VLOOKUP('1.DATOS-PROD'!AE$2,'1.PUNTOS'!$A$1:$B$63,2,0),0)</f>
        <v>0</v>
      </c>
      <c r="W412" s="138">
        <f>IF('1.DATOS-PROD'!AF413="SI",VLOOKUP('1.DATOS-PROD'!AF$2,'1.PUNTOS'!$A$1:$B$63,2,0),0)</f>
        <v>0</v>
      </c>
      <c r="X412" s="138">
        <f>IF('1.DATOS-PROD'!AG413="SI",VLOOKUP('1.DATOS-PROD'!AG$2,'1.PUNTOS'!$A$1:$B$63,2,0),0)</f>
        <v>0</v>
      </c>
      <c r="Y412" s="138">
        <f>IF('1.DATOS-PROD'!AH413="SI",VLOOKUP('1.DATOS-PROD'!AH$2,'1.PUNTOS'!$A$1:$B$63,2,0),0)</f>
        <v>0</v>
      </c>
      <c r="Z412" s="138">
        <f>IF('1.DATOS-PROD'!AI413="SI",VLOOKUP('1.DATOS-PROD'!AI$2,'1.PUNTOS'!$A$1:$B$63,2,0),0)</f>
        <v>0</v>
      </c>
      <c r="AA412" s="138">
        <f>IF('1.DATOS-PROD'!AJ413="SI",VLOOKUP('1.DATOS-PROD'!AJ$2,'1.PUNTOS'!$A$1:$B$63,2,0),0)</f>
        <v>0</v>
      </c>
      <c r="AB412" s="138">
        <f>IF('1.DATOS-PROD'!AK413="SI",VLOOKUP('1.DATOS-PROD'!AK$2,'1.PUNTOS'!$A$1:$B$63,2,0),0)</f>
        <v>0</v>
      </c>
      <c r="AC412" s="138">
        <f>IF('1.DATOS-PROD'!AL413="SI",VLOOKUP('1.DATOS-PROD'!AL$2,'1.PUNTOS'!$A$1:$B$63,2,0),0)</f>
        <v>0</v>
      </c>
      <c r="AD412" s="138">
        <f>IF('1.DATOS-PROD'!AM413="SI",VLOOKUP('1.DATOS-PROD'!AM$2,'1.PUNTOS'!$A$1:$B$63,2,0),0)</f>
        <v>0</v>
      </c>
      <c r="AE412" s="138">
        <f>IF('1.DATOS-PROD'!AN413="SI",VLOOKUP('1.DATOS-PROD'!AN$2,'1.PUNTOS'!$A$1:$B$63,2,0),0)</f>
        <v>0</v>
      </c>
      <c r="AF412" s="138">
        <f>IF('1.DATOS-PROD'!AO413="SI",VLOOKUP('1.DATOS-PROD'!AO$2,'1.PUNTOS'!$A$1:$B$63,2,0),0)</f>
        <v>0</v>
      </c>
      <c r="AG412" s="138">
        <f>IF('1.DATOS-PROD'!AP413="SI",VLOOKUP('1.DATOS-PROD'!AP$2,'1.PUNTOS'!$A$1:$B$63,2,0),0)</f>
        <v>0</v>
      </c>
      <c r="AH412" s="138">
        <f>IF('1.DATOS-PROD'!AQ413="SI",VLOOKUP('1.DATOS-PROD'!AQ$2,'1.PUNTOS'!$A$1:$B$63,2,0),0)</f>
        <v>0</v>
      </c>
      <c r="AI412" s="138">
        <f>IF('1.DATOS-PROD'!AR413="SI",VLOOKUP('1.DATOS-PROD'!AR$2,'1.PUNTOS'!$A$1:$B$63,2,0),0)</f>
        <v>0</v>
      </c>
      <c r="AJ412" s="138">
        <f>IF('1.DATOS-PROD'!AS413="SI",VLOOKUP('1.DATOS-PROD'!AS$2,'1.PUNTOS'!$A$1:$B$63,2,0),0)</f>
        <v>0</v>
      </c>
      <c r="AK412" s="138">
        <f>IF('1.DATOS-PROD'!AT413="SI",VLOOKUP('1.DATOS-PROD'!AT$2,'1.PUNTOS'!$A$1:$B$63,2,0),0)</f>
        <v>0</v>
      </c>
      <c r="AL412" s="138">
        <f>IF('1.DATOS-PROD'!AU413="SI",VLOOKUP('1.DATOS-PROD'!AU$2,'1.PUNTOS'!$A$1:$B$63,2,0),0)</f>
        <v>0</v>
      </c>
      <c r="AM412" s="138">
        <f>IF('1.DATOS-PROD'!AV413="SI",VLOOKUP('1.DATOS-PROD'!AV$2,'1.PUNTOS'!$A$1:$B$63,2,0),0)</f>
        <v>0</v>
      </c>
      <c r="AN412" s="138">
        <f>IF('1.DATOS-PROD'!AW413="SI",VLOOKUP('1.DATOS-PROD'!AW$2,'1.PUNTOS'!$A$1:$B$63,2,0),0)</f>
        <v>0</v>
      </c>
      <c r="AO412" s="138">
        <f>IF('1.DATOS-PROD'!AX413="SI",VLOOKUP('1.DATOS-PROD'!AX$2,'1.PUNTOS'!$A$1:$B$63,2,0),0)</f>
        <v>0</v>
      </c>
      <c r="AP412" s="138">
        <f>IF('1.DATOS-PROD'!AY413="SI",VLOOKUP('1.DATOS-PROD'!AY$2,'1.PUNTOS'!$A$1:$B$63,2,0),0)</f>
        <v>0</v>
      </c>
      <c r="AQ412" s="138">
        <f>IF('1.DATOS-PROD'!AZ413="SI",VLOOKUP('1.DATOS-PROD'!AZ$2,'1.PUNTOS'!$A$1:$B$63,2,0),0)</f>
        <v>0</v>
      </c>
      <c r="AR412" s="138">
        <f>IF('1.DATOS-PROD'!BA413="SI",VLOOKUP('1.DATOS-PROD'!BA$2,'1.PUNTOS'!$A$1:$B$63,2,0),0)</f>
        <v>0</v>
      </c>
      <c r="AS412" s="138">
        <f>IF('1.DATOS-PROD'!BB413="SI",VLOOKUP('1.DATOS-PROD'!BB$2,'1.PUNTOS'!$A$1:$B$63,2,0),0)</f>
        <v>0</v>
      </c>
      <c r="AT412" s="138">
        <f>IF('1.DATOS-PROD'!BC413="SI",VLOOKUP('1.DATOS-PROD'!BC$2,'1.PUNTOS'!$A$1:$B$63,2,0),0)</f>
        <v>0</v>
      </c>
      <c r="AU412" s="138">
        <f>IF('1.DATOS-PROD'!BD413="SI",VLOOKUP('1.DATOS-PROD'!BD$2,'1.PUNTOS'!$A$1:$B$63,2,0),0)</f>
        <v>0</v>
      </c>
      <c r="AV412" s="138">
        <f>IF('1.DATOS-PROD'!BE413="SI",VLOOKUP('1.DATOS-PROD'!BE$2,'1.PUNTOS'!$A$1:$B$63,2,0),0)</f>
        <v>0</v>
      </c>
      <c r="AW412" s="138">
        <f>IF('1.DATOS-PROD'!BF413="SI",VLOOKUP('1.DATOS-PROD'!BF$2,'1.PUNTOS'!$A$1:$B$63,2,0),0)</f>
        <v>0</v>
      </c>
      <c r="AX412" s="138">
        <f>IF('1.DATOS-PROD'!BG413="SI",VLOOKUP('1.DATOS-PROD'!BG$2,'1.PUNTOS'!$A$1:$B$63,2,0),0)</f>
        <v>0</v>
      </c>
      <c r="AY412" s="138">
        <f>IF('1.DATOS-PROD'!BH413="SI",VLOOKUP('1.DATOS-PROD'!BH$2,'1.PUNTOS'!$A$1:$B$63,2,0),0)</f>
        <v>0</v>
      </c>
      <c r="AZ412" s="138">
        <f>IF('1.DATOS-PROD'!BI413="SI",VLOOKUP('1.DATOS-PROD'!BI$2,'1.PUNTOS'!$A$1:$B$63,2,0),0)</f>
        <v>0</v>
      </c>
      <c r="BA412" s="138">
        <f>IF('1.DATOS-PROD'!BJ413="SI",VLOOKUP('1.DATOS-PROD'!BJ$2,'1.PUNTOS'!$A$1:$B$63,2,0),0)</f>
        <v>0</v>
      </c>
      <c r="BB412" s="138">
        <f>IF('1.DATOS-PROD'!BK413="SI",VLOOKUP('1.DATOS-PROD'!BK$2,'1.PUNTOS'!$A$1:$B$63,2,0),0)</f>
        <v>0</v>
      </c>
      <c r="BC412" s="138">
        <f>IF('1.DATOS-PROD'!BL413="SI",VLOOKUP('1.DATOS-PROD'!BL$2,'1.PUNTOS'!$A$1:$B$63,2,0),0)</f>
        <v>0</v>
      </c>
      <c r="BD412" s="138">
        <f>IF('1.DATOS-PROD'!BM413="SI",VLOOKUP('1.DATOS-PROD'!BM$2,'1.PUNTOS'!$A$1:$B$63,2,0),0)</f>
        <v>0</v>
      </c>
      <c r="BE412" s="138">
        <f>IF('1.DATOS-PROD'!BN413="SI",VLOOKUP('1.DATOS-PROD'!BN$2,'1.PUNTOS'!$A$1:$B$63,2,0),0)</f>
        <v>0</v>
      </c>
      <c r="BF412" s="138">
        <f>IF('1.DATOS-PROD'!BO413="SI",VLOOKUP('1.DATOS-PROD'!BO$2,'1.PUNTOS'!$A$1:$B$63,2,0),0)</f>
        <v>0</v>
      </c>
      <c r="BG412" s="138">
        <f>IF('1.DATOS-PROD'!BP413="SI",VLOOKUP('1.DATOS-PROD'!BP$2,'1.PUNTOS'!$A$1:$B$63,2,0),0)</f>
        <v>0</v>
      </c>
      <c r="BH412" s="138">
        <f>IF('1.DATOS-PROD'!BQ413="SI",VLOOKUP('1.DATOS-PROD'!BQ$2,'1.PUNTOS'!$A$1:$B$63,2,0),0)</f>
        <v>0</v>
      </c>
      <c r="BI412" s="138">
        <f>IF('1.DATOS-PROD'!BR413="SI",VLOOKUP('1.DATOS-PROD'!BR$2,'1.PUNTOS'!$A$1:$B$63,2,0),0)</f>
        <v>0</v>
      </c>
      <c r="BJ412" s="138">
        <f>IF('1.DATOS-PROD'!BS413="SI",VLOOKUP('1.DATOS-PROD'!BS$2,'1.PUNTOS'!$A$1:$B$63,2,0),0)</f>
        <v>0</v>
      </c>
      <c r="BK412" s="138">
        <f>IF('1.DATOS-PROD'!BT413="SI",VLOOKUP('1.DATOS-PROD'!BT$2,'1.PUNTOS'!$A$1:$B$63,2,0),0)</f>
        <v>0</v>
      </c>
    </row>
    <row r="413" spans="1:63" x14ac:dyDescent="0.25">
      <c r="A413">
        <f>'0.Consolidado general'!$A414</f>
        <v>0</v>
      </c>
      <c r="B413" s="138">
        <f>IF('1.DATOS-PROD'!K414="SI",VLOOKUP('1.DATOS-PROD'!K$2,'1.PUNTOS'!$A$1:$B$63,2,0),0)</f>
        <v>0</v>
      </c>
      <c r="C413" s="138">
        <f>IF('1.DATOS-PROD'!L414="SI",VLOOKUP('1.DATOS-PROD'!L$2,'1.PUNTOS'!$A$1:$B$63,2,0),0)</f>
        <v>0</v>
      </c>
      <c r="D413" s="138">
        <f>IF('1.DATOS-PROD'!M414="SI",VLOOKUP('1.DATOS-PROD'!M$2,'1.PUNTOS'!$A$1:$B$63,2,0),0)</f>
        <v>0</v>
      </c>
      <c r="E413" s="138">
        <f>IF('1.DATOS-PROD'!N414="SI",VLOOKUP('1.DATOS-PROD'!N$2,'1.PUNTOS'!$A$1:$B$63,2,0),0)</f>
        <v>0</v>
      </c>
      <c r="F413" s="138">
        <f>IF('1.DATOS-PROD'!O414="SI",VLOOKUP('1.DATOS-PROD'!O$2,'1.PUNTOS'!$A$1:$B$63,2,0),0)</f>
        <v>0</v>
      </c>
      <c r="G413" s="138">
        <f>IF('1.DATOS-PROD'!P414="SI",VLOOKUP('1.DATOS-PROD'!P$2,'1.PUNTOS'!$A$1:$B$63,2,0),0)</f>
        <v>0</v>
      </c>
      <c r="H413" s="138">
        <f>IF('1.DATOS-PROD'!Q414="SI",VLOOKUP('1.DATOS-PROD'!Q$2,'1.PUNTOS'!$A$1:$B$63,2,0),0)</f>
        <v>0</v>
      </c>
      <c r="I413" s="138">
        <f>IF('1.DATOS-PROD'!R414="SI",VLOOKUP('1.DATOS-PROD'!R$2,'1.PUNTOS'!$A$1:$B$63,2,0),0)</f>
        <v>0</v>
      </c>
      <c r="J413" s="138">
        <f>IF('1.DATOS-PROD'!S414="SI",VLOOKUP('1.DATOS-PROD'!S$2,'1.PUNTOS'!$A$1:$B$63,2,0),0)</f>
        <v>0</v>
      </c>
      <c r="K413" s="138">
        <f>IF('1.DATOS-PROD'!T414="SI",VLOOKUP('1.DATOS-PROD'!T$2,'1.PUNTOS'!$A$1:$B$63,2,0),0)</f>
        <v>0</v>
      </c>
      <c r="L413" s="138">
        <f>IF('1.DATOS-PROD'!U414="SI",VLOOKUP('1.DATOS-PROD'!U$2,'1.PUNTOS'!$A$1:$B$63,2,0),0)</f>
        <v>0</v>
      </c>
      <c r="M413" s="138">
        <f>IF('1.DATOS-PROD'!V414="SI",VLOOKUP('1.DATOS-PROD'!V$2,'1.PUNTOS'!$A$1:$B$63,2,0),0)</f>
        <v>0</v>
      </c>
      <c r="N413" s="138">
        <f>IF('1.DATOS-PROD'!W414="SI",VLOOKUP('1.DATOS-PROD'!W$2,'1.PUNTOS'!$A$1:$B$63,2,0),0)</f>
        <v>0</v>
      </c>
      <c r="O413" s="138">
        <f>IF('1.DATOS-PROD'!X414="SI",VLOOKUP('1.DATOS-PROD'!X$2,'1.PUNTOS'!$A$1:$B$63,2,0),0)</f>
        <v>0</v>
      </c>
      <c r="P413" s="138">
        <f>IF('1.DATOS-PROD'!Y414="SI",VLOOKUP('1.DATOS-PROD'!Y$2,'1.PUNTOS'!$A$1:$B$63,2,0),0)</f>
        <v>0</v>
      </c>
      <c r="Q413" s="138">
        <f>IF('1.DATOS-PROD'!Z414="SI",VLOOKUP('1.DATOS-PROD'!Z$2,'1.PUNTOS'!$A$1:$B$63,2,0),0)</f>
        <v>0</v>
      </c>
      <c r="R413" s="138">
        <f>IF('1.DATOS-PROD'!AA414="SI",VLOOKUP('1.DATOS-PROD'!AA$2,'1.PUNTOS'!$A$1:$B$63,2,0),0)</f>
        <v>0</v>
      </c>
      <c r="S413" s="138">
        <f>IF('1.DATOS-PROD'!AB414="SI",VLOOKUP('1.DATOS-PROD'!AB$2,'1.PUNTOS'!$A$1:$B$63,2,0),0)</f>
        <v>0</v>
      </c>
      <c r="T413" s="138">
        <f>IF('1.DATOS-PROD'!AC414="SI",VLOOKUP('1.DATOS-PROD'!AC$2,'1.PUNTOS'!$A$1:$B$63,2,0),0)</f>
        <v>0</v>
      </c>
      <c r="U413" s="138">
        <f>IF('1.DATOS-PROD'!AD414="SI",VLOOKUP('1.DATOS-PROD'!AD$2,'1.PUNTOS'!$A$1:$B$63,2,0),0)</f>
        <v>0</v>
      </c>
      <c r="V413" s="138">
        <f>IF('1.DATOS-PROD'!AE414="SI",VLOOKUP('1.DATOS-PROD'!AE$2,'1.PUNTOS'!$A$1:$B$63,2,0),0)</f>
        <v>0</v>
      </c>
      <c r="W413" s="138">
        <f>IF('1.DATOS-PROD'!AF414="SI",VLOOKUP('1.DATOS-PROD'!AF$2,'1.PUNTOS'!$A$1:$B$63,2,0),0)</f>
        <v>0</v>
      </c>
      <c r="X413" s="138">
        <f>IF('1.DATOS-PROD'!AG414="SI",VLOOKUP('1.DATOS-PROD'!AG$2,'1.PUNTOS'!$A$1:$B$63,2,0),0)</f>
        <v>0</v>
      </c>
      <c r="Y413" s="138">
        <f>IF('1.DATOS-PROD'!AH414="SI",VLOOKUP('1.DATOS-PROD'!AH$2,'1.PUNTOS'!$A$1:$B$63,2,0),0)</f>
        <v>0</v>
      </c>
      <c r="Z413" s="138">
        <f>IF('1.DATOS-PROD'!AI414="SI",VLOOKUP('1.DATOS-PROD'!AI$2,'1.PUNTOS'!$A$1:$B$63,2,0),0)</f>
        <v>0</v>
      </c>
      <c r="AA413" s="138">
        <f>IF('1.DATOS-PROD'!AJ414="SI",VLOOKUP('1.DATOS-PROD'!AJ$2,'1.PUNTOS'!$A$1:$B$63,2,0),0)</f>
        <v>0</v>
      </c>
      <c r="AB413" s="138">
        <f>IF('1.DATOS-PROD'!AK414="SI",VLOOKUP('1.DATOS-PROD'!AK$2,'1.PUNTOS'!$A$1:$B$63,2,0),0)</f>
        <v>0</v>
      </c>
      <c r="AC413" s="138">
        <f>IF('1.DATOS-PROD'!AL414="SI",VLOOKUP('1.DATOS-PROD'!AL$2,'1.PUNTOS'!$A$1:$B$63,2,0),0)</f>
        <v>0</v>
      </c>
      <c r="AD413" s="138">
        <f>IF('1.DATOS-PROD'!AM414="SI",VLOOKUP('1.DATOS-PROD'!AM$2,'1.PUNTOS'!$A$1:$B$63,2,0),0)</f>
        <v>0</v>
      </c>
      <c r="AE413" s="138">
        <f>IF('1.DATOS-PROD'!AN414="SI",VLOOKUP('1.DATOS-PROD'!AN$2,'1.PUNTOS'!$A$1:$B$63,2,0),0)</f>
        <v>0</v>
      </c>
      <c r="AF413" s="138">
        <f>IF('1.DATOS-PROD'!AO414="SI",VLOOKUP('1.DATOS-PROD'!AO$2,'1.PUNTOS'!$A$1:$B$63,2,0),0)</f>
        <v>0</v>
      </c>
      <c r="AG413" s="138">
        <f>IF('1.DATOS-PROD'!AP414="SI",VLOOKUP('1.DATOS-PROD'!AP$2,'1.PUNTOS'!$A$1:$B$63,2,0),0)</f>
        <v>0</v>
      </c>
      <c r="AH413" s="138">
        <f>IF('1.DATOS-PROD'!AQ414="SI",VLOOKUP('1.DATOS-PROD'!AQ$2,'1.PUNTOS'!$A$1:$B$63,2,0),0)</f>
        <v>0</v>
      </c>
      <c r="AI413" s="138">
        <f>IF('1.DATOS-PROD'!AR414="SI",VLOOKUP('1.DATOS-PROD'!AR$2,'1.PUNTOS'!$A$1:$B$63,2,0),0)</f>
        <v>0</v>
      </c>
      <c r="AJ413" s="138">
        <f>IF('1.DATOS-PROD'!AS414="SI",VLOOKUP('1.DATOS-PROD'!AS$2,'1.PUNTOS'!$A$1:$B$63,2,0),0)</f>
        <v>0</v>
      </c>
      <c r="AK413" s="138">
        <f>IF('1.DATOS-PROD'!AT414="SI",VLOOKUP('1.DATOS-PROD'!AT$2,'1.PUNTOS'!$A$1:$B$63,2,0),0)</f>
        <v>0</v>
      </c>
      <c r="AL413" s="138">
        <f>IF('1.DATOS-PROD'!AU414="SI",VLOOKUP('1.DATOS-PROD'!AU$2,'1.PUNTOS'!$A$1:$B$63,2,0),0)</f>
        <v>0</v>
      </c>
      <c r="AM413" s="138">
        <f>IF('1.DATOS-PROD'!AV414="SI",VLOOKUP('1.DATOS-PROD'!AV$2,'1.PUNTOS'!$A$1:$B$63,2,0),0)</f>
        <v>0</v>
      </c>
      <c r="AN413" s="138">
        <f>IF('1.DATOS-PROD'!AW414="SI",VLOOKUP('1.DATOS-PROD'!AW$2,'1.PUNTOS'!$A$1:$B$63,2,0),0)</f>
        <v>0</v>
      </c>
      <c r="AO413" s="138">
        <f>IF('1.DATOS-PROD'!AX414="SI",VLOOKUP('1.DATOS-PROD'!AX$2,'1.PUNTOS'!$A$1:$B$63,2,0),0)</f>
        <v>0</v>
      </c>
      <c r="AP413" s="138">
        <f>IF('1.DATOS-PROD'!AY414="SI",VLOOKUP('1.DATOS-PROD'!AY$2,'1.PUNTOS'!$A$1:$B$63,2,0),0)</f>
        <v>0</v>
      </c>
      <c r="AQ413" s="138">
        <f>IF('1.DATOS-PROD'!AZ414="SI",VLOOKUP('1.DATOS-PROD'!AZ$2,'1.PUNTOS'!$A$1:$B$63,2,0),0)</f>
        <v>0</v>
      </c>
      <c r="AR413" s="138">
        <f>IF('1.DATOS-PROD'!BA414="SI",VLOOKUP('1.DATOS-PROD'!BA$2,'1.PUNTOS'!$A$1:$B$63,2,0),0)</f>
        <v>0</v>
      </c>
      <c r="AS413" s="138">
        <f>IF('1.DATOS-PROD'!BB414="SI",VLOOKUP('1.DATOS-PROD'!BB$2,'1.PUNTOS'!$A$1:$B$63,2,0),0)</f>
        <v>0</v>
      </c>
      <c r="AT413" s="138">
        <f>IF('1.DATOS-PROD'!BC414="SI",VLOOKUP('1.DATOS-PROD'!BC$2,'1.PUNTOS'!$A$1:$B$63,2,0),0)</f>
        <v>0</v>
      </c>
      <c r="AU413" s="138">
        <f>IF('1.DATOS-PROD'!BD414="SI",VLOOKUP('1.DATOS-PROD'!BD$2,'1.PUNTOS'!$A$1:$B$63,2,0),0)</f>
        <v>0</v>
      </c>
      <c r="AV413" s="138">
        <f>IF('1.DATOS-PROD'!BE414="SI",VLOOKUP('1.DATOS-PROD'!BE$2,'1.PUNTOS'!$A$1:$B$63,2,0),0)</f>
        <v>0</v>
      </c>
      <c r="AW413" s="138">
        <f>IF('1.DATOS-PROD'!BF414="SI",VLOOKUP('1.DATOS-PROD'!BF$2,'1.PUNTOS'!$A$1:$B$63,2,0),0)</f>
        <v>0</v>
      </c>
      <c r="AX413" s="138">
        <f>IF('1.DATOS-PROD'!BG414="SI",VLOOKUP('1.DATOS-PROD'!BG$2,'1.PUNTOS'!$A$1:$B$63,2,0),0)</f>
        <v>0</v>
      </c>
      <c r="AY413" s="138">
        <f>IF('1.DATOS-PROD'!BH414="SI",VLOOKUP('1.DATOS-PROD'!BH$2,'1.PUNTOS'!$A$1:$B$63,2,0),0)</f>
        <v>0</v>
      </c>
      <c r="AZ413" s="138">
        <f>IF('1.DATOS-PROD'!BI414="SI",VLOOKUP('1.DATOS-PROD'!BI$2,'1.PUNTOS'!$A$1:$B$63,2,0),0)</f>
        <v>0</v>
      </c>
      <c r="BA413" s="138">
        <f>IF('1.DATOS-PROD'!BJ414="SI",VLOOKUP('1.DATOS-PROD'!BJ$2,'1.PUNTOS'!$A$1:$B$63,2,0),0)</f>
        <v>0</v>
      </c>
      <c r="BB413" s="138">
        <f>IF('1.DATOS-PROD'!BK414="SI",VLOOKUP('1.DATOS-PROD'!BK$2,'1.PUNTOS'!$A$1:$B$63,2,0),0)</f>
        <v>0</v>
      </c>
      <c r="BC413" s="138">
        <f>IF('1.DATOS-PROD'!BL414="SI",VLOOKUP('1.DATOS-PROD'!BL$2,'1.PUNTOS'!$A$1:$B$63,2,0),0)</f>
        <v>0</v>
      </c>
      <c r="BD413" s="138">
        <f>IF('1.DATOS-PROD'!BM414="SI",VLOOKUP('1.DATOS-PROD'!BM$2,'1.PUNTOS'!$A$1:$B$63,2,0),0)</f>
        <v>0</v>
      </c>
      <c r="BE413" s="138">
        <f>IF('1.DATOS-PROD'!BN414="SI",VLOOKUP('1.DATOS-PROD'!BN$2,'1.PUNTOS'!$A$1:$B$63,2,0),0)</f>
        <v>0</v>
      </c>
      <c r="BF413" s="138">
        <f>IF('1.DATOS-PROD'!BO414="SI",VLOOKUP('1.DATOS-PROD'!BO$2,'1.PUNTOS'!$A$1:$B$63,2,0),0)</f>
        <v>0</v>
      </c>
      <c r="BG413" s="138">
        <f>IF('1.DATOS-PROD'!BP414="SI",VLOOKUP('1.DATOS-PROD'!BP$2,'1.PUNTOS'!$A$1:$B$63,2,0),0)</f>
        <v>0</v>
      </c>
      <c r="BH413" s="138">
        <f>IF('1.DATOS-PROD'!BQ414="SI",VLOOKUP('1.DATOS-PROD'!BQ$2,'1.PUNTOS'!$A$1:$B$63,2,0),0)</f>
        <v>0</v>
      </c>
      <c r="BI413" s="138">
        <f>IF('1.DATOS-PROD'!BR414="SI",VLOOKUP('1.DATOS-PROD'!BR$2,'1.PUNTOS'!$A$1:$B$63,2,0),0)</f>
        <v>0</v>
      </c>
      <c r="BJ413" s="138">
        <f>IF('1.DATOS-PROD'!BS414="SI",VLOOKUP('1.DATOS-PROD'!BS$2,'1.PUNTOS'!$A$1:$B$63,2,0),0)</f>
        <v>0</v>
      </c>
      <c r="BK413" s="138">
        <f>IF('1.DATOS-PROD'!BT414="SI",VLOOKUP('1.DATOS-PROD'!BT$2,'1.PUNTOS'!$A$1:$B$63,2,0),0)</f>
        <v>0</v>
      </c>
    </row>
    <row r="414" spans="1:63" x14ac:dyDescent="0.25">
      <c r="A414">
        <f>'0.Consolidado general'!$A415</f>
        <v>0</v>
      </c>
      <c r="B414" s="138">
        <f>IF('1.DATOS-PROD'!K415="SI",VLOOKUP('1.DATOS-PROD'!K$2,'1.PUNTOS'!$A$1:$B$63,2,0),0)</f>
        <v>0</v>
      </c>
      <c r="C414" s="138">
        <f>IF('1.DATOS-PROD'!L415="SI",VLOOKUP('1.DATOS-PROD'!L$2,'1.PUNTOS'!$A$1:$B$63,2,0),0)</f>
        <v>0</v>
      </c>
      <c r="D414" s="138">
        <f>IF('1.DATOS-PROD'!M415="SI",VLOOKUP('1.DATOS-PROD'!M$2,'1.PUNTOS'!$A$1:$B$63,2,0),0)</f>
        <v>0</v>
      </c>
      <c r="E414" s="138">
        <f>IF('1.DATOS-PROD'!N415="SI",VLOOKUP('1.DATOS-PROD'!N$2,'1.PUNTOS'!$A$1:$B$63,2,0),0)</f>
        <v>0</v>
      </c>
      <c r="F414" s="138">
        <f>IF('1.DATOS-PROD'!O415="SI",VLOOKUP('1.DATOS-PROD'!O$2,'1.PUNTOS'!$A$1:$B$63,2,0),0)</f>
        <v>0</v>
      </c>
      <c r="G414" s="138">
        <f>IF('1.DATOS-PROD'!P415="SI",VLOOKUP('1.DATOS-PROD'!P$2,'1.PUNTOS'!$A$1:$B$63,2,0),0)</f>
        <v>0</v>
      </c>
      <c r="H414" s="138">
        <f>IF('1.DATOS-PROD'!Q415="SI",VLOOKUP('1.DATOS-PROD'!Q$2,'1.PUNTOS'!$A$1:$B$63,2,0),0)</f>
        <v>0</v>
      </c>
      <c r="I414" s="138">
        <f>IF('1.DATOS-PROD'!R415="SI",VLOOKUP('1.DATOS-PROD'!R$2,'1.PUNTOS'!$A$1:$B$63,2,0),0)</f>
        <v>0</v>
      </c>
      <c r="J414" s="138">
        <f>IF('1.DATOS-PROD'!S415="SI",VLOOKUP('1.DATOS-PROD'!S$2,'1.PUNTOS'!$A$1:$B$63,2,0),0)</f>
        <v>0</v>
      </c>
      <c r="K414" s="138">
        <f>IF('1.DATOS-PROD'!T415="SI",VLOOKUP('1.DATOS-PROD'!T$2,'1.PUNTOS'!$A$1:$B$63,2,0),0)</f>
        <v>0</v>
      </c>
      <c r="L414" s="138">
        <f>IF('1.DATOS-PROD'!U415="SI",VLOOKUP('1.DATOS-PROD'!U$2,'1.PUNTOS'!$A$1:$B$63,2,0),0)</f>
        <v>0</v>
      </c>
      <c r="M414" s="138">
        <f>IF('1.DATOS-PROD'!V415="SI",VLOOKUP('1.DATOS-PROD'!V$2,'1.PUNTOS'!$A$1:$B$63,2,0),0)</f>
        <v>0</v>
      </c>
      <c r="N414" s="138">
        <f>IF('1.DATOS-PROD'!W415="SI",VLOOKUP('1.DATOS-PROD'!W$2,'1.PUNTOS'!$A$1:$B$63,2,0),0)</f>
        <v>0</v>
      </c>
      <c r="O414" s="138">
        <f>IF('1.DATOS-PROD'!X415="SI",VLOOKUP('1.DATOS-PROD'!X$2,'1.PUNTOS'!$A$1:$B$63,2,0),0)</f>
        <v>0</v>
      </c>
      <c r="P414" s="138">
        <f>IF('1.DATOS-PROD'!Y415="SI",VLOOKUP('1.DATOS-PROD'!Y$2,'1.PUNTOS'!$A$1:$B$63,2,0),0)</f>
        <v>0</v>
      </c>
      <c r="Q414" s="138">
        <f>IF('1.DATOS-PROD'!Z415="SI",VLOOKUP('1.DATOS-PROD'!Z$2,'1.PUNTOS'!$A$1:$B$63,2,0),0)</f>
        <v>0</v>
      </c>
      <c r="R414" s="138">
        <f>IF('1.DATOS-PROD'!AA415="SI",VLOOKUP('1.DATOS-PROD'!AA$2,'1.PUNTOS'!$A$1:$B$63,2,0),0)</f>
        <v>0</v>
      </c>
      <c r="S414" s="138">
        <f>IF('1.DATOS-PROD'!AB415="SI",VLOOKUP('1.DATOS-PROD'!AB$2,'1.PUNTOS'!$A$1:$B$63,2,0),0)</f>
        <v>0</v>
      </c>
      <c r="T414" s="138">
        <f>IF('1.DATOS-PROD'!AC415="SI",VLOOKUP('1.DATOS-PROD'!AC$2,'1.PUNTOS'!$A$1:$B$63,2,0),0)</f>
        <v>0</v>
      </c>
      <c r="U414" s="138">
        <f>IF('1.DATOS-PROD'!AD415="SI",VLOOKUP('1.DATOS-PROD'!AD$2,'1.PUNTOS'!$A$1:$B$63,2,0),0)</f>
        <v>0</v>
      </c>
      <c r="V414" s="138">
        <f>IF('1.DATOS-PROD'!AE415="SI",VLOOKUP('1.DATOS-PROD'!AE$2,'1.PUNTOS'!$A$1:$B$63,2,0),0)</f>
        <v>0</v>
      </c>
      <c r="W414" s="138">
        <f>IF('1.DATOS-PROD'!AF415="SI",VLOOKUP('1.DATOS-PROD'!AF$2,'1.PUNTOS'!$A$1:$B$63,2,0),0)</f>
        <v>0</v>
      </c>
      <c r="X414" s="138">
        <f>IF('1.DATOS-PROD'!AG415="SI",VLOOKUP('1.DATOS-PROD'!AG$2,'1.PUNTOS'!$A$1:$B$63,2,0),0)</f>
        <v>0</v>
      </c>
      <c r="Y414" s="138">
        <f>IF('1.DATOS-PROD'!AH415="SI",VLOOKUP('1.DATOS-PROD'!AH$2,'1.PUNTOS'!$A$1:$B$63,2,0),0)</f>
        <v>0</v>
      </c>
      <c r="Z414" s="138">
        <f>IF('1.DATOS-PROD'!AI415="SI",VLOOKUP('1.DATOS-PROD'!AI$2,'1.PUNTOS'!$A$1:$B$63,2,0),0)</f>
        <v>0</v>
      </c>
      <c r="AA414" s="138">
        <f>IF('1.DATOS-PROD'!AJ415="SI",VLOOKUP('1.DATOS-PROD'!AJ$2,'1.PUNTOS'!$A$1:$B$63,2,0),0)</f>
        <v>0</v>
      </c>
      <c r="AB414" s="138">
        <f>IF('1.DATOS-PROD'!AK415="SI",VLOOKUP('1.DATOS-PROD'!AK$2,'1.PUNTOS'!$A$1:$B$63,2,0),0)</f>
        <v>0</v>
      </c>
      <c r="AC414" s="138">
        <f>IF('1.DATOS-PROD'!AL415="SI",VLOOKUP('1.DATOS-PROD'!AL$2,'1.PUNTOS'!$A$1:$B$63,2,0),0)</f>
        <v>0</v>
      </c>
      <c r="AD414" s="138">
        <f>IF('1.DATOS-PROD'!AM415="SI",VLOOKUP('1.DATOS-PROD'!AM$2,'1.PUNTOS'!$A$1:$B$63,2,0),0)</f>
        <v>0</v>
      </c>
      <c r="AE414" s="138">
        <f>IF('1.DATOS-PROD'!AN415="SI",VLOOKUP('1.DATOS-PROD'!AN$2,'1.PUNTOS'!$A$1:$B$63,2,0),0)</f>
        <v>0</v>
      </c>
      <c r="AF414" s="138">
        <f>IF('1.DATOS-PROD'!AO415="SI",VLOOKUP('1.DATOS-PROD'!AO$2,'1.PUNTOS'!$A$1:$B$63,2,0),0)</f>
        <v>0</v>
      </c>
      <c r="AG414" s="138">
        <f>IF('1.DATOS-PROD'!AP415="SI",VLOOKUP('1.DATOS-PROD'!AP$2,'1.PUNTOS'!$A$1:$B$63,2,0),0)</f>
        <v>0</v>
      </c>
      <c r="AH414" s="138">
        <f>IF('1.DATOS-PROD'!AQ415="SI",VLOOKUP('1.DATOS-PROD'!AQ$2,'1.PUNTOS'!$A$1:$B$63,2,0),0)</f>
        <v>0</v>
      </c>
      <c r="AI414" s="138">
        <f>IF('1.DATOS-PROD'!AR415="SI",VLOOKUP('1.DATOS-PROD'!AR$2,'1.PUNTOS'!$A$1:$B$63,2,0),0)</f>
        <v>0</v>
      </c>
      <c r="AJ414" s="138">
        <f>IF('1.DATOS-PROD'!AS415="SI",VLOOKUP('1.DATOS-PROD'!AS$2,'1.PUNTOS'!$A$1:$B$63,2,0),0)</f>
        <v>0</v>
      </c>
      <c r="AK414" s="138">
        <f>IF('1.DATOS-PROD'!AT415="SI",VLOOKUP('1.DATOS-PROD'!AT$2,'1.PUNTOS'!$A$1:$B$63,2,0),0)</f>
        <v>0</v>
      </c>
      <c r="AL414" s="138">
        <f>IF('1.DATOS-PROD'!AU415="SI",VLOOKUP('1.DATOS-PROD'!AU$2,'1.PUNTOS'!$A$1:$B$63,2,0),0)</f>
        <v>0</v>
      </c>
      <c r="AM414" s="138">
        <f>IF('1.DATOS-PROD'!AV415="SI",VLOOKUP('1.DATOS-PROD'!AV$2,'1.PUNTOS'!$A$1:$B$63,2,0),0)</f>
        <v>0</v>
      </c>
      <c r="AN414" s="138">
        <f>IF('1.DATOS-PROD'!AW415="SI",VLOOKUP('1.DATOS-PROD'!AW$2,'1.PUNTOS'!$A$1:$B$63,2,0),0)</f>
        <v>0</v>
      </c>
      <c r="AO414" s="138">
        <f>IF('1.DATOS-PROD'!AX415="SI",VLOOKUP('1.DATOS-PROD'!AX$2,'1.PUNTOS'!$A$1:$B$63,2,0),0)</f>
        <v>0</v>
      </c>
      <c r="AP414" s="138">
        <f>IF('1.DATOS-PROD'!AY415="SI",VLOOKUP('1.DATOS-PROD'!AY$2,'1.PUNTOS'!$A$1:$B$63,2,0),0)</f>
        <v>0</v>
      </c>
      <c r="AQ414" s="138">
        <f>IF('1.DATOS-PROD'!AZ415="SI",VLOOKUP('1.DATOS-PROD'!AZ$2,'1.PUNTOS'!$A$1:$B$63,2,0),0)</f>
        <v>0</v>
      </c>
      <c r="AR414" s="138">
        <f>IF('1.DATOS-PROD'!BA415="SI",VLOOKUP('1.DATOS-PROD'!BA$2,'1.PUNTOS'!$A$1:$B$63,2,0),0)</f>
        <v>0</v>
      </c>
      <c r="AS414" s="138">
        <f>IF('1.DATOS-PROD'!BB415="SI",VLOOKUP('1.DATOS-PROD'!BB$2,'1.PUNTOS'!$A$1:$B$63,2,0),0)</f>
        <v>0</v>
      </c>
      <c r="AT414" s="138">
        <f>IF('1.DATOS-PROD'!BC415="SI",VLOOKUP('1.DATOS-PROD'!BC$2,'1.PUNTOS'!$A$1:$B$63,2,0),0)</f>
        <v>0</v>
      </c>
      <c r="AU414" s="138">
        <f>IF('1.DATOS-PROD'!BD415="SI",VLOOKUP('1.DATOS-PROD'!BD$2,'1.PUNTOS'!$A$1:$B$63,2,0),0)</f>
        <v>0</v>
      </c>
      <c r="AV414" s="138">
        <f>IF('1.DATOS-PROD'!BE415="SI",VLOOKUP('1.DATOS-PROD'!BE$2,'1.PUNTOS'!$A$1:$B$63,2,0),0)</f>
        <v>0</v>
      </c>
      <c r="AW414" s="138">
        <f>IF('1.DATOS-PROD'!BF415="SI",VLOOKUP('1.DATOS-PROD'!BF$2,'1.PUNTOS'!$A$1:$B$63,2,0),0)</f>
        <v>0</v>
      </c>
      <c r="AX414" s="138">
        <f>IF('1.DATOS-PROD'!BG415="SI",VLOOKUP('1.DATOS-PROD'!BG$2,'1.PUNTOS'!$A$1:$B$63,2,0),0)</f>
        <v>0</v>
      </c>
      <c r="AY414" s="138">
        <f>IF('1.DATOS-PROD'!BH415="SI",VLOOKUP('1.DATOS-PROD'!BH$2,'1.PUNTOS'!$A$1:$B$63,2,0),0)</f>
        <v>0</v>
      </c>
      <c r="AZ414" s="138">
        <f>IF('1.DATOS-PROD'!BI415="SI",VLOOKUP('1.DATOS-PROD'!BI$2,'1.PUNTOS'!$A$1:$B$63,2,0),0)</f>
        <v>0</v>
      </c>
      <c r="BA414" s="138">
        <f>IF('1.DATOS-PROD'!BJ415="SI",VLOOKUP('1.DATOS-PROD'!BJ$2,'1.PUNTOS'!$A$1:$B$63,2,0),0)</f>
        <v>0</v>
      </c>
      <c r="BB414" s="138">
        <f>IF('1.DATOS-PROD'!BK415="SI",VLOOKUP('1.DATOS-PROD'!BK$2,'1.PUNTOS'!$A$1:$B$63,2,0),0)</f>
        <v>0</v>
      </c>
      <c r="BC414" s="138">
        <f>IF('1.DATOS-PROD'!BL415="SI",VLOOKUP('1.DATOS-PROD'!BL$2,'1.PUNTOS'!$A$1:$B$63,2,0),0)</f>
        <v>0</v>
      </c>
      <c r="BD414" s="138">
        <f>IF('1.DATOS-PROD'!BM415="SI",VLOOKUP('1.DATOS-PROD'!BM$2,'1.PUNTOS'!$A$1:$B$63,2,0),0)</f>
        <v>0</v>
      </c>
      <c r="BE414" s="138">
        <f>IF('1.DATOS-PROD'!BN415="SI",VLOOKUP('1.DATOS-PROD'!BN$2,'1.PUNTOS'!$A$1:$B$63,2,0),0)</f>
        <v>0</v>
      </c>
      <c r="BF414" s="138">
        <f>IF('1.DATOS-PROD'!BO415="SI",VLOOKUP('1.DATOS-PROD'!BO$2,'1.PUNTOS'!$A$1:$B$63,2,0),0)</f>
        <v>0</v>
      </c>
      <c r="BG414" s="138">
        <f>IF('1.DATOS-PROD'!BP415="SI",VLOOKUP('1.DATOS-PROD'!BP$2,'1.PUNTOS'!$A$1:$B$63,2,0),0)</f>
        <v>0</v>
      </c>
      <c r="BH414" s="138">
        <f>IF('1.DATOS-PROD'!BQ415="SI",VLOOKUP('1.DATOS-PROD'!BQ$2,'1.PUNTOS'!$A$1:$B$63,2,0),0)</f>
        <v>0</v>
      </c>
      <c r="BI414" s="138">
        <f>IF('1.DATOS-PROD'!BR415="SI",VLOOKUP('1.DATOS-PROD'!BR$2,'1.PUNTOS'!$A$1:$B$63,2,0),0)</f>
        <v>0</v>
      </c>
      <c r="BJ414" s="138">
        <f>IF('1.DATOS-PROD'!BS415="SI",VLOOKUP('1.DATOS-PROD'!BS$2,'1.PUNTOS'!$A$1:$B$63,2,0),0)</f>
        <v>0</v>
      </c>
      <c r="BK414" s="138">
        <f>IF('1.DATOS-PROD'!BT415="SI",VLOOKUP('1.DATOS-PROD'!BT$2,'1.PUNTOS'!$A$1:$B$63,2,0),0)</f>
        <v>0</v>
      </c>
    </row>
    <row r="415" spans="1:63" x14ac:dyDescent="0.25">
      <c r="A415">
        <f>'0.Consolidado general'!$A416</f>
        <v>0</v>
      </c>
      <c r="B415" s="138">
        <f>IF('1.DATOS-PROD'!K416="SI",VLOOKUP('1.DATOS-PROD'!K$2,'1.PUNTOS'!$A$1:$B$63,2,0),0)</f>
        <v>0</v>
      </c>
      <c r="C415" s="138">
        <f>IF('1.DATOS-PROD'!L416="SI",VLOOKUP('1.DATOS-PROD'!L$2,'1.PUNTOS'!$A$1:$B$63,2,0),0)</f>
        <v>0</v>
      </c>
      <c r="D415" s="138">
        <f>IF('1.DATOS-PROD'!M416="SI",VLOOKUP('1.DATOS-PROD'!M$2,'1.PUNTOS'!$A$1:$B$63,2,0),0)</f>
        <v>0</v>
      </c>
      <c r="E415" s="138">
        <f>IF('1.DATOS-PROD'!N416="SI",VLOOKUP('1.DATOS-PROD'!N$2,'1.PUNTOS'!$A$1:$B$63,2,0),0)</f>
        <v>0</v>
      </c>
      <c r="F415" s="138">
        <f>IF('1.DATOS-PROD'!O416="SI",VLOOKUP('1.DATOS-PROD'!O$2,'1.PUNTOS'!$A$1:$B$63,2,0),0)</f>
        <v>0</v>
      </c>
      <c r="G415" s="138">
        <f>IF('1.DATOS-PROD'!P416="SI",VLOOKUP('1.DATOS-PROD'!P$2,'1.PUNTOS'!$A$1:$B$63,2,0),0)</f>
        <v>0</v>
      </c>
      <c r="H415" s="138">
        <f>IF('1.DATOS-PROD'!Q416="SI",VLOOKUP('1.DATOS-PROD'!Q$2,'1.PUNTOS'!$A$1:$B$63,2,0),0)</f>
        <v>0</v>
      </c>
      <c r="I415" s="138">
        <f>IF('1.DATOS-PROD'!R416="SI",VLOOKUP('1.DATOS-PROD'!R$2,'1.PUNTOS'!$A$1:$B$63,2,0),0)</f>
        <v>0</v>
      </c>
      <c r="J415" s="138">
        <f>IF('1.DATOS-PROD'!S416="SI",VLOOKUP('1.DATOS-PROD'!S$2,'1.PUNTOS'!$A$1:$B$63,2,0),0)</f>
        <v>0</v>
      </c>
      <c r="K415" s="138">
        <f>IF('1.DATOS-PROD'!T416="SI",VLOOKUP('1.DATOS-PROD'!T$2,'1.PUNTOS'!$A$1:$B$63,2,0),0)</f>
        <v>0</v>
      </c>
      <c r="L415" s="138">
        <f>IF('1.DATOS-PROD'!U416="SI",VLOOKUP('1.DATOS-PROD'!U$2,'1.PUNTOS'!$A$1:$B$63,2,0),0)</f>
        <v>0</v>
      </c>
      <c r="M415" s="138">
        <f>IF('1.DATOS-PROD'!V416="SI",VLOOKUP('1.DATOS-PROD'!V$2,'1.PUNTOS'!$A$1:$B$63,2,0),0)</f>
        <v>0</v>
      </c>
      <c r="N415" s="138">
        <f>IF('1.DATOS-PROD'!W416="SI",VLOOKUP('1.DATOS-PROD'!W$2,'1.PUNTOS'!$A$1:$B$63,2,0),0)</f>
        <v>0</v>
      </c>
      <c r="O415" s="138">
        <f>IF('1.DATOS-PROD'!X416="SI",VLOOKUP('1.DATOS-PROD'!X$2,'1.PUNTOS'!$A$1:$B$63,2,0),0)</f>
        <v>0</v>
      </c>
      <c r="P415" s="138">
        <f>IF('1.DATOS-PROD'!Y416="SI",VLOOKUP('1.DATOS-PROD'!Y$2,'1.PUNTOS'!$A$1:$B$63,2,0),0)</f>
        <v>0</v>
      </c>
      <c r="Q415" s="138">
        <f>IF('1.DATOS-PROD'!Z416="SI",VLOOKUP('1.DATOS-PROD'!Z$2,'1.PUNTOS'!$A$1:$B$63,2,0),0)</f>
        <v>0</v>
      </c>
      <c r="R415" s="138">
        <f>IF('1.DATOS-PROD'!AA416="SI",VLOOKUP('1.DATOS-PROD'!AA$2,'1.PUNTOS'!$A$1:$B$63,2,0),0)</f>
        <v>0</v>
      </c>
      <c r="S415" s="138">
        <f>IF('1.DATOS-PROD'!AB416="SI",VLOOKUP('1.DATOS-PROD'!AB$2,'1.PUNTOS'!$A$1:$B$63,2,0),0)</f>
        <v>0</v>
      </c>
      <c r="T415" s="138">
        <f>IF('1.DATOS-PROD'!AC416="SI",VLOOKUP('1.DATOS-PROD'!AC$2,'1.PUNTOS'!$A$1:$B$63,2,0),0)</f>
        <v>0</v>
      </c>
      <c r="U415" s="138">
        <f>IF('1.DATOS-PROD'!AD416="SI",VLOOKUP('1.DATOS-PROD'!AD$2,'1.PUNTOS'!$A$1:$B$63,2,0),0)</f>
        <v>0</v>
      </c>
      <c r="V415" s="138">
        <f>IF('1.DATOS-PROD'!AE416="SI",VLOOKUP('1.DATOS-PROD'!AE$2,'1.PUNTOS'!$A$1:$B$63,2,0),0)</f>
        <v>0</v>
      </c>
      <c r="W415" s="138">
        <f>IF('1.DATOS-PROD'!AF416="SI",VLOOKUP('1.DATOS-PROD'!AF$2,'1.PUNTOS'!$A$1:$B$63,2,0),0)</f>
        <v>0</v>
      </c>
      <c r="X415" s="138">
        <f>IF('1.DATOS-PROD'!AG416="SI",VLOOKUP('1.DATOS-PROD'!AG$2,'1.PUNTOS'!$A$1:$B$63,2,0),0)</f>
        <v>0</v>
      </c>
      <c r="Y415" s="138">
        <f>IF('1.DATOS-PROD'!AH416="SI",VLOOKUP('1.DATOS-PROD'!AH$2,'1.PUNTOS'!$A$1:$B$63,2,0),0)</f>
        <v>0</v>
      </c>
      <c r="Z415" s="138">
        <f>IF('1.DATOS-PROD'!AI416="SI",VLOOKUP('1.DATOS-PROD'!AI$2,'1.PUNTOS'!$A$1:$B$63,2,0),0)</f>
        <v>0</v>
      </c>
      <c r="AA415" s="138">
        <f>IF('1.DATOS-PROD'!AJ416="SI",VLOOKUP('1.DATOS-PROD'!AJ$2,'1.PUNTOS'!$A$1:$B$63,2,0),0)</f>
        <v>0</v>
      </c>
      <c r="AB415" s="138">
        <f>IF('1.DATOS-PROD'!AK416="SI",VLOOKUP('1.DATOS-PROD'!AK$2,'1.PUNTOS'!$A$1:$B$63,2,0),0)</f>
        <v>0</v>
      </c>
      <c r="AC415" s="138">
        <f>IF('1.DATOS-PROD'!AL416="SI",VLOOKUP('1.DATOS-PROD'!AL$2,'1.PUNTOS'!$A$1:$B$63,2,0),0)</f>
        <v>0</v>
      </c>
      <c r="AD415" s="138">
        <f>IF('1.DATOS-PROD'!AM416="SI",VLOOKUP('1.DATOS-PROD'!AM$2,'1.PUNTOS'!$A$1:$B$63,2,0),0)</f>
        <v>0</v>
      </c>
      <c r="AE415" s="138">
        <f>IF('1.DATOS-PROD'!AN416="SI",VLOOKUP('1.DATOS-PROD'!AN$2,'1.PUNTOS'!$A$1:$B$63,2,0),0)</f>
        <v>0</v>
      </c>
      <c r="AF415" s="138">
        <f>IF('1.DATOS-PROD'!AO416="SI",VLOOKUP('1.DATOS-PROD'!AO$2,'1.PUNTOS'!$A$1:$B$63,2,0),0)</f>
        <v>0</v>
      </c>
      <c r="AG415" s="138">
        <f>IF('1.DATOS-PROD'!AP416="SI",VLOOKUP('1.DATOS-PROD'!AP$2,'1.PUNTOS'!$A$1:$B$63,2,0),0)</f>
        <v>0</v>
      </c>
      <c r="AH415" s="138">
        <f>IF('1.DATOS-PROD'!AQ416="SI",VLOOKUP('1.DATOS-PROD'!AQ$2,'1.PUNTOS'!$A$1:$B$63,2,0),0)</f>
        <v>0</v>
      </c>
      <c r="AI415" s="138">
        <f>IF('1.DATOS-PROD'!AR416="SI",VLOOKUP('1.DATOS-PROD'!AR$2,'1.PUNTOS'!$A$1:$B$63,2,0),0)</f>
        <v>0</v>
      </c>
      <c r="AJ415" s="138">
        <f>IF('1.DATOS-PROD'!AS416="SI",VLOOKUP('1.DATOS-PROD'!AS$2,'1.PUNTOS'!$A$1:$B$63,2,0),0)</f>
        <v>0</v>
      </c>
      <c r="AK415" s="138">
        <f>IF('1.DATOS-PROD'!AT416="SI",VLOOKUP('1.DATOS-PROD'!AT$2,'1.PUNTOS'!$A$1:$B$63,2,0),0)</f>
        <v>0</v>
      </c>
      <c r="AL415" s="138">
        <f>IF('1.DATOS-PROD'!AU416="SI",VLOOKUP('1.DATOS-PROD'!AU$2,'1.PUNTOS'!$A$1:$B$63,2,0),0)</f>
        <v>0</v>
      </c>
      <c r="AM415" s="138">
        <f>IF('1.DATOS-PROD'!AV416="SI",VLOOKUP('1.DATOS-PROD'!AV$2,'1.PUNTOS'!$A$1:$B$63,2,0),0)</f>
        <v>0</v>
      </c>
      <c r="AN415" s="138">
        <f>IF('1.DATOS-PROD'!AW416="SI",VLOOKUP('1.DATOS-PROD'!AW$2,'1.PUNTOS'!$A$1:$B$63,2,0),0)</f>
        <v>0</v>
      </c>
      <c r="AO415" s="138">
        <f>IF('1.DATOS-PROD'!AX416="SI",VLOOKUP('1.DATOS-PROD'!AX$2,'1.PUNTOS'!$A$1:$B$63,2,0),0)</f>
        <v>0</v>
      </c>
      <c r="AP415" s="138">
        <f>IF('1.DATOS-PROD'!AY416="SI",VLOOKUP('1.DATOS-PROD'!AY$2,'1.PUNTOS'!$A$1:$B$63,2,0),0)</f>
        <v>0</v>
      </c>
      <c r="AQ415" s="138">
        <f>IF('1.DATOS-PROD'!AZ416="SI",VLOOKUP('1.DATOS-PROD'!AZ$2,'1.PUNTOS'!$A$1:$B$63,2,0),0)</f>
        <v>0</v>
      </c>
      <c r="AR415" s="138">
        <f>IF('1.DATOS-PROD'!BA416="SI",VLOOKUP('1.DATOS-PROD'!BA$2,'1.PUNTOS'!$A$1:$B$63,2,0),0)</f>
        <v>0</v>
      </c>
      <c r="AS415" s="138">
        <f>IF('1.DATOS-PROD'!BB416="SI",VLOOKUP('1.DATOS-PROD'!BB$2,'1.PUNTOS'!$A$1:$B$63,2,0),0)</f>
        <v>0</v>
      </c>
      <c r="AT415" s="138">
        <f>IF('1.DATOS-PROD'!BC416="SI",VLOOKUP('1.DATOS-PROD'!BC$2,'1.PUNTOS'!$A$1:$B$63,2,0),0)</f>
        <v>0</v>
      </c>
      <c r="AU415" s="138">
        <f>IF('1.DATOS-PROD'!BD416="SI",VLOOKUP('1.DATOS-PROD'!BD$2,'1.PUNTOS'!$A$1:$B$63,2,0),0)</f>
        <v>0</v>
      </c>
      <c r="AV415" s="138">
        <f>IF('1.DATOS-PROD'!BE416="SI",VLOOKUP('1.DATOS-PROD'!BE$2,'1.PUNTOS'!$A$1:$B$63,2,0),0)</f>
        <v>0</v>
      </c>
      <c r="AW415" s="138">
        <f>IF('1.DATOS-PROD'!BF416="SI",VLOOKUP('1.DATOS-PROD'!BF$2,'1.PUNTOS'!$A$1:$B$63,2,0),0)</f>
        <v>0</v>
      </c>
      <c r="AX415" s="138">
        <f>IF('1.DATOS-PROD'!BG416="SI",VLOOKUP('1.DATOS-PROD'!BG$2,'1.PUNTOS'!$A$1:$B$63,2,0),0)</f>
        <v>0</v>
      </c>
      <c r="AY415" s="138">
        <f>IF('1.DATOS-PROD'!BH416="SI",VLOOKUP('1.DATOS-PROD'!BH$2,'1.PUNTOS'!$A$1:$B$63,2,0),0)</f>
        <v>0</v>
      </c>
      <c r="AZ415" s="138">
        <f>IF('1.DATOS-PROD'!BI416="SI",VLOOKUP('1.DATOS-PROD'!BI$2,'1.PUNTOS'!$A$1:$B$63,2,0),0)</f>
        <v>0</v>
      </c>
      <c r="BA415" s="138">
        <f>IF('1.DATOS-PROD'!BJ416="SI",VLOOKUP('1.DATOS-PROD'!BJ$2,'1.PUNTOS'!$A$1:$B$63,2,0),0)</f>
        <v>0</v>
      </c>
      <c r="BB415" s="138">
        <f>IF('1.DATOS-PROD'!BK416="SI",VLOOKUP('1.DATOS-PROD'!BK$2,'1.PUNTOS'!$A$1:$B$63,2,0),0)</f>
        <v>0</v>
      </c>
      <c r="BC415" s="138">
        <f>IF('1.DATOS-PROD'!BL416="SI",VLOOKUP('1.DATOS-PROD'!BL$2,'1.PUNTOS'!$A$1:$B$63,2,0),0)</f>
        <v>0</v>
      </c>
      <c r="BD415" s="138">
        <f>IF('1.DATOS-PROD'!BM416="SI",VLOOKUP('1.DATOS-PROD'!BM$2,'1.PUNTOS'!$A$1:$B$63,2,0),0)</f>
        <v>0</v>
      </c>
      <c r="BE415" s="138">
        <f>IF('1.DATOS-PROD'!BN416="SI",VLOOKUP('1.DATOS-PROD'!BN$2,'1.PUNTOS'!$A$1:$B$63,2,0),0)</f>
        <v>0</v>
      </c>
      <c r="BF415" s="138">
        <f>IF('1.DATOS-PROD'!BO416="SI",VLOOKUP('1.DATOS-PROD'!BO$2,'1.PUNTOS'!$A$1:$B$63,2,0),0)</f>
        <v>0</v>
      </c>
      <c r="BG415" s="138">
        <f>IF('1.DATOS-PROD'!BP416="SI",VLOOKUP('1.DATOS-PROD'!BP$2,'1.PUNTOS'!$A$1:$B$63,2,0),0)</f>
        <v>0</v>
      </c>
      <c r="BH415" s="138">
        <f>IF('1.DATOS-PROD'!BQ416="SI",VLOOKUP('1.DATOS-PROD'!BQ$2,'1.PUNTOS'!$A$1:$B$63,2,0),0)</f>
        <v>0</v>
      </c>
      <c r="BI415" s="138">
        <f>IF('1.DATOS-PROD'!BR416="SI",VLOOKUP('1.DATOS-PROD'!BR$2,'1.PUNTOS'!$A$1:$B$63,2,0),0)</f>
        <v>0</v>
      </c>
      <c r="BJ415" s="138">
        <f>IF('1.DATOS-PROD'!BS416="SI",VLOOKUP('1.DATOS-PROD'!BS$2,'1.PUNTOS'!$A$1:$B$63,2,0),0)</f>
        <v>0</v>
      </c>
      <c r="BK415" s="138">
        <f>IF('1.DATOS-PROD'!BT416="SI",VLOOKUP('1.DATOS-PROD'!BT$2,'1.PUNTOS'!$A$1:$B$63,2,0),0)</f>
        <v>0</v>
      </c>
    </row>
    <row r="416" spans="1:63" x14ac:dyDescent="0.25">
      <c r="A416">
        <f>'0.Consolidado general'!$A417</f>
        <v>0</v>
      </c>
      <c r="B416" s="138">
        <f>IF('1.DATOS-PROD'!K417="SI",VLOOKUP('1.DATOS-PROD'!K$2,'1.PUNTOS'!$A$1:$B$63,2,0),0)</f>
        <v>0</v>
      </c>
      <c r="C416" s="138">
        <f>IF('1.DATOS-PROD'!L417="SI",VLOOKUP('1.DATOS-PROD'!L$2,'1.PUNTOS'!$A$1:$B$63,2,0),0)</f>
        <v>0</v>
      </c>
      <c r="D416" s="138">
        <f>IF('1.DATOS-PROD'!M417="SI",VLOOKUP('1.DATOS-PROD'!M$2,'1.PUNTOS'!$A$1:$B$63,2,0),0)</f>
        <v>0</v>
      </c>
      <c r="E416" s="138">
        <f>IF('1.DATOS-PROD'!N417="SI",VLOOKUP('1.DATOS-PROD'!N$2,'1.PUNTOS'!$A$1:$B$63,2,0),0)</f>
        <v>0</v>
      </c>
      <c r="F416" s="138">
        <f>IF('1.DATOS-PROD'!O417="SI",VLOOKUP('1.DATOS-PROD'!O$2,'1.PUNTOS'!$A$1:$B$63,2,0),0)</f>
        <v>0</v>
      </c>
      <c r="G416" s="138">
        <f>IF('1.DATOS-PROD'!P417="SI",VLOOKUP('1.DATOS-PROD'!P$2,'1.PUNTOS'!$A$1:$B$63,2,0),0)</f>
        <v>0</v>
      </c>
      <c r="H416" s="138">
        <f>IF('1.DATOS-PROD'!Q417="SI",VLOOKUP('1.DATOS-PROD'!Q$2,'1.PUNTOS'!$A$1:$B$63,2,0),0)</f>
        <v>0</v>
      </c>
      <c r="I416" s="138">
        <f>IF('1.DATOS-PROD'!R417="SI",VLOOKUP('1.DATOS-PROD'!R$2,'1.PUNTOS'!$A$1:$B$63,2,0),0)</f>
        <v>0</v>
      </c>
      <c r="J416" s="138">
        <f>IF('1.DATOS-PROD'!S417="SI",VLOOKUP('1.DATOS-PROD'!S$2,'1.PUNTOS'!$A$1:$B$63,2,0),0)</f>
        <v>0</v>
      </c>
      <c r="K416" s="138">
        <f>IF('1.DATOS-PROD'!T417="SI",VLOOKUP('1.DATOS-PROD'!T$2,'1.PUNTOS'!$A$1:$B$63,2,0),0)</f>
        <v>0</v>
      </c>
      <c r="L416" s="138">
        <f>IF('1.DATOS-PROD'!U417="SI",VLOOKUP('1.DATOS-PROD'!U$2,'1.PUNTOS'!$A$1:$B$63,2,0),0)</f>
        <v>0</v>
      </c>
      <c r="M416" s="138">
        <f>IF('1.DATOS-PROD'!V417="SI",VLOOKUP('1.DATOS-PROD'!V$2,'1.PUNTOS'!$A$1:$B$63,2,0),0)</f>
        <v>0</v>
      </c>
      <c r="N416" s="138">
        <f>IF('1.DATOS-PROD'!W417="SI",VLOOKUP('1.DATOS-PROD'!W$2,'1.PUNTOS'!$A$1:$B$63,2,0),0)</f>
        <v>0</v>
      </c>
      <c r="O416" s="138">
        <f>IF('1.DATOS-PROD'!X417="SI",VLOOKUP('1.DATOS-PROD'!X$2,'1.PUNTOS'!$A$1:$B$63,2,0),0)</f>
        <v>0</v>
      </c>
      <c r="P416" s="138">
        <f>IF('1.DATOS-PROD'!Y417="SI",VLOOKUP('1.DATOS-PROD'!Y$2,'1.PUNTOS'!$A$1:$B$63,2,0),0)</f>
        <v>0</v>
      </c>
      <c r="Q416" s="138">
        <f>IF('1.DATOS-PROD'!Z417="SI",VLOOKUP('1.DATOS-PROD'!Z$2,'1.PUNTOS'!$A$1:$B$63,2,0),0)</f>
        <v>0</v>
      </c>
      <c r="R416" s="138">
        <f>IF('1.DATOS-PROD'!AA417="SI",VLOOKUP('1.DATOS-PROD'!AA$2,'1.PUNTOS'!$A$1:$B$63,2,0),0)</f>
        <v>0</v>
      </c>
      <c r="S416" s="138">
        <f>IF('1.DATOS-PROD'!AB417="SI",VLOOKUP('1.DATOS-PROD'!AB$2,'1.PUNTOS'!$A$1:$B$63,2,0),0)</f>
        <v>0</v>
      </c>
      <c r="T416" s="138">
        <f>IF('1.DATOS-PROD'!AC417="SI",VLOOKUP('1.DATOS-PROD'!AC$2,'1.PUNTOS'!$A$1:$B$63,2,0),0)</f>
        <v>0</v>
      </c>
      <c r="U416" s="138">
        <f>IF('1.DATOS-PROD'!AD417="SI",VLOOKUP('1.DATOS-PROD'!AD$2,'1.PUNTOS'!$A$1:$B$63,2,0),0)</f>
        <v>0</v>
      </c>
      <c r="V416" s="138">
        <f>IF('1.DATOS-PROD'!AE417="SI",VLOOKUP('1.DATOS-PROD'!AE$2,'1.PUNTOS'!$A$1:$B$63,2,0),0)</f>
        <v>0</v>
      </c>
      <c r="W416" s="138">
        <f>IF('1.DATOS-PROD'!AF417="SI",VLOOKUP('1.DATOS-PROD'!AF$2,'1.PUNTOS'!$A$1:$B$63,2,0),0)</f>
        <v>0</v>
      </c>
      <c r="X416" s="138">
        <f>IF('1.DATOS-PROD'!AG417="SI",VLOOKUP('1.DATOS-PROD'!AG$2,'1.PUNTOS'!$A$1:$B$63,2,0),0)</f>
        <v>0</v>
      </c>
      <c r="Y416" s="138">
        <f>IF('1.DATOS-PROD'!AH417="SI",VLOOKUP('1.DATOS-PROD'!AH$2,'1.PUNTOS'!$A$1:$B$63,2,0),0)</f>
        <v>0</v>
      </c>
      <c r="Z416" s="138">
        <f>IF('1.DATOS-PROD'!AI417="SI",VLOOKUP('1.DATOS-PROD'!AI$2,'1.PUNTOS'!$A$1:$B$63,2,0),0)</f>
        <v>0</v>
      </c>
      <c r="AA416" s="138">
        <f>IF('1.DATOS-PROD'!AJ417="SI",VLOOKUP('1.DATOS-PROD'!AJ$2,'1.PUNTOS'!$A$1:$B$63,2,0),0)</f>
        <v>0</v>
      </c>
      <c r="AB416" s="138">
        <f>IF('1.DATOS-PROD'!AK417="SI",VLOOKUP('1.DATOS-PROD'!AK$2,'1.PUNTOS'!$A$1:$B$63,2,0),0)</f>
        <v>0</v>
      </c>
      <c r="AC416" s="138">
        <f>IF('1.DATOS-PROD'!AL417="SI",VLOOKUP('1.DATOS-PROD'!AL$2,'1.PUNTOS'!$A$1:$B$63,2,0),0)</f>
        <v>0</v>
      </c>
      <c r="AD416" s="138">
        <f>IF('1.DATOS-PROD'!AM417="SI",VLOOKUP('1.DATOS-PROD'!AM$2,'1.PUNTOS'!$A$1:$B$63,2,0),0)</f>
        <v>0</v>
      </c>
      <c r="AE416" s="138">
        <f>IF('1.DATOS-PROD'!AN417="SI",VLOOKUP('1.DATOS-PROD'!AN$2,'1.PUNTOS'!$A$1:$B$63,2,0),0)</f>
        <v>0</v>
      </c>
      <c r="AF416" s="138">
        <f>IF('1.DATOS-PROD'!AO417="SI",VLOOKUP('1.DATOS-PROD'!AO$2,'1.PUNTOS'!$A$1:$B$63,2,0),0)</f>
        <v>0</v>
      </c>
      <c r="AG416" s="138">
        <f>IF('1.DATOS-PROD'!AP417="SI",VLOOKUP('1.DATOS-PROD'!AP$2,'1.PUNTOS'!$A$1:$B$63,2,0),0)</f>
        <v>0</v>
      </c>
      <c r="AH416" s="138">
        <f>IF('1.DATOS-PROD'!AQ417="SI",VLOOKUP('1.DATOS-PROD'!AQ$2,'1.PUNTOS'!$A$1:$B$63,2,0),0)</f>
        <v>0</v>
      </c>
      <c r="AI416" s="138">
        <f>IF('1.DATOS-PROD'!AR417="SI",VLOOKUP('1.DATOS-PROD'!AR$2,'1.PUNTOS'!$A$1:$B$63,2,0),0)</f>
        <v>0</v>
      </c>
      <c r="AJ416" s="138">
        <f>IF('1.DATOS-PROD'!AS417="SI",VLOOKUP('1.DATOS-PROD'!AS$2,'1.PUNTOS'!$A$1:$B$63,2,0),0)</f>
        <v>0</v>
      </c>
      <c r="AK416" s="138">
        <f>IF('1.DATOS-PROD'!AT417="SI",VLOOKUP('1.DATOS-PROD'!AT$2,'1.PUNTOS'!$A$1:$B$63,2,0),0)</f>
        <v>0</v>
      </c>
      <c r="AL416" s="138">
        <f>IF('1.DATOS-PROD'!AU417="SI",VLOOKUP('1.DATOS-PROD'!AU$2,'1.PUNTOS'!$A$1:$B$63,2,0),0)</f>
        <v>0</v>
      </c>
      <c r="AM416" s="138">
        <f>IF('1.DATOS-PROD'!AV417="SI",VLOOKUP('1.DATOS-PROD'!AV$2,'1.PUNTOS'!$A$1:$B$63,2,0),0)</f>
        <v>0</v>
      </c>
      <c r="AN416" s="138">
        <f>IF('1.DATOS-PROD'!AW417="SI",VLOOKUP('1.DATOS-PROD'!AW$2,'1.PUNTOS'!$A$1:$B$63,2,0),0)</f>
        <v>0</v>
      </c>
      <c r="AO416" s="138">
        <f>IF('1.DATOS-PROD'!AX417="SI",VLOOKUP('1.DATOS-PROD'!AX$2,'1.PUNTOS'!$A$1:$B$63,2,0),0)</f>
        <v>0</v>
      </c>
      <c r="AP416" s="138">
        <f>IF('1.DATOS-PROD'!AY417="SI",VLOOKUP('1.DATOS-PROD'!AY$2,'1.PUNTOS'!$A$1:$B$63,2,0),0)</f>
        <v>0</v>
      </c>
      <c r="AQ416" s="138">
        <f>IF('1.DATOS-PROD'!AZ417="SI",VLOOKUP('1.DATOS-PROD'!AZ$2,'1.PUNTOS'!$A$1:$B$63,2,0),0)</f>
        <v>0</v>
      </c>
      <c r="AR416" s="138">
        <f>IF('1.DATOS-PROD'!BA417="SI",VLOOKUP('1.DATOS-PROD'!BA$2,'1.PUNTOS'!$A$1:$B$63,2,0),0)</f>
        <v>0</v>
      </c>
      <c r="AS416" s="138">
        <f>IF('1.DATOS-PROD'!BB417="SI",VLOOKUP('1.DATOS-PROD'!BB$2,'1.PUNTOS'!$A$1:$B$63,2,0),0)</f>
        <v>0</v>
      </c>
      <c r="AT416" s="138">
        <f>IF('1.DATOS-PROD'!BC417="SI",VLOOKUP('1.DATOS-PROD'!BC$2,'1.PUNTOS'!$A$1:$B$63,2,0),0)</f>
        <v>0</v>
      </c>
      <c r="AU416" s="138">
        <f>IF('1.DATOS-PROD'!BD417="SI",VLOOKUP('1.DATOS-PROD'!BD$2,'1.PUNTOS'!$A$1:$B$63,2,0),0)</f>
        <v>0</v>
      </c>
      <c r="AV416" s="138">
        <f>IF('1.DATOS-PROD'!BE417="SI",VLOOKUP('1.DATOS-PROD'!BE$2,'1.PUNTOS'!$A$1:$B$63,2,0),0)</f>
        <v>0</v>
      </c>
      <c r="AW416" s="138">
        <f>IF('1.DATOS-PROD'!BF417="SI",VLOOKUP('1.DATOS-PROD'!BF$2,'1.PUNTOS'!$A$1:$B$63,2,0),0)</f>
        <v>0</v>
      </c>
      <c r="AX416" s="138">
        <f>IF('1.DATOS-PROD'!BG417="SI",VLOOKUP('1.DATOS-PROD'!BG$2,'1.PUNTOS'!$A$1:$B$63,2,0),0)</f>
        <v>0</v>
      </c>
      <c r="AY416" s="138">
        <f>IF('1.DATOS-PROD'!BH417="SI",VLOOKUP('1.DATOS-PROD'!BH$2,'1.PUNTOS'!$A$1:$B$63,2,0),0)</f>
        <v>0</v>
      </c>
      <c r="AZ416" s="138">
        <f>IF('1.DATOS-PROD'!BI417="SI",VLOOKUP('1.DATOS-PROD'!BI$2,'1.PUNTOS'!$A$1:$B$63,2,0),0)</f>
        <v>0</v>
      </c>
      <c r="BA416" s="138">
        <f>IF('1.DATOS-PROD'!BJ417="SI",VLOOKUP('1.DATOS-PROD'!BJ$2,'1.PUNTOS'!$A$1:$B$63,2,0),0)</f>
        <v>0</v>
      </c>
      <c r="BB416" s="138">
        <f>IF('1.DATOS-PROD'!BK417="SI",VLOOKUP('1.DATOS-PROD'!BK$2,'1.PUNTOS'!$A$1:$B$63,2,0),0)</f>
        <v>0</v>
      </c>
      <c r="BC416" s="138">
        <f>IF('1.DATOS-PROD'!BL417="SI",VLOOKUP('1.DATOS-PROD'!BL$2,'1.PUNTOS'!$A$1:$B$63,2,0),0)</f>
        <v>0</v>
      </c>
      <c r="BD416" s="138">
        <f>IF('1.DATOS-PROD'!BM417="SI",VLOOKUP('1.DATOS-PROD'!BM$2,'1.PUNTOS'!$A$1:$B$63,2,0),0)</f>
        <v>0</v>
      </c>
      <c r="BE416" s="138">
        <f>IF('1.DATOS-PROD'!BN417="SI",VLOOKUP('1.DATOS-PROD'!BN$2,'1.PUNTOS'!$A$1:$B$63,2,0),0)</f>
        <v>0</v>
      </c>
      <c r="BF416" s="138">
        <f>IF('1.DATOS-PROD'!BO417="SI",VLOOKUP('1.DATOS-PROD'!BO$2,'1.PUNTOS'!$A$1:$B$63,2,0),0)</f>
        <v>0</v>
      </c>
      <c r="BG416" s="138">
        <f>IF('1.DATOS-PROD'!BP417="SI",VLOOKUP('1.DATOS-PROD'!BP$2,'1.PUNTOS'!$A$1:$B$63,2,0),0)</f>
        <v>0</v>
      </c>
      <c r="BH416" s="138">
        <f>IF('1.DATOS-PROD'!BQ417="SI",VLOOKUP('1.DATOS-PROD'!BQ$2,'1.PUNTOS'!$A$1:$B$63,2,0),0)</f>
        <v>0</v>
      </c>
      <c r="BI416" s="138">
        <f>IF('1.DATOS-PROD'!BR417="SI",VLOOKUP('1.DATOS-PROD'!BR$2,'1.PUNTOS'!$A$1:$B$63,2,0),0)</f>
        <v>0</v>
      </c>
      <c r="BJ416" s="138">
        <f>IF('1.DATOS-PROD'!BS417="SI",VLOOKUP('1.DATOS-PROD'!BS$2,'1.PUNTOS'!$A$1:$B$63,2,0),0)</f>
        <v>0</v>
      </c>
      <c r="BK416" s="138">
        <f>IF('1.DATOS-PROD'!BT417="SI",VLOOKUP('1.DATOS-PROD'!BT$2,'1.PUNTOS'!$A$1:$B$63,2,0),0)</f>
        <v>0</v>
      </c>
    </row>
    <row r="417" spans="1:63" x14ac:dyDescent="0.25">
      <c r="A417">
        <f>'0.Consolidado general'!$A418</f>
        <v>0</v>
      </c>
      <c r="B417" s="138">
        <f>IF('1.DATOS-PROD'!K418="SI",VLOOKUP('1.DATOS-PROD'!K$2,'1.PUNTOS'!$A$1:$B$63,2,0),0)</f>
        <v>0</v>
      </c>
      <c r="C417" s="138">
        <f>IF('1.DATOS-PROD'!L418="SI",VLOOKUP('1.DATOS-PROD'!L$2,'1.PUNTOS'!$A$1:$B$63,2,0),0)</f>
        <v>0</v>
      </c>
      <c r="D417" s="138">
        <f>IF('1.DATOS-PROD'!M418="SI",VLOOKUP('1.DATOS-PROD'!M$2,'1.PUNTOS'!$A$1:$B$63,2,0),0)</f>
        <v>0</v>
      </c>
      <c r="E417" s="138">
        <f>IF('1.DATOS-PROD'!N418="SI",VLOOKUP('1.DATOS-PROD'!N$2,'1.PUNTOS'!$A$1:$B$63,2,0),0)</f>
        <v>0</v>
      </c>
      <c r="F417" s="138">
        <f>IF('1.DATOS-PROD'!O418="SI",VLOOKUP('1.DATOS-PROD'!O$2,'1.PUNTOS'!$A$1:$B$63,2,0),0)</f>
        <v>0</v>
      </c>
      <c r="G417" s="138">
        <f>IF('1.DATOS-PROD'!P418="SI",VLOOKUP('1.DATOS-PROD'!P$2,'1.PUNTOS'!$A$1:$B$63,2,0),0)</f>
        <v>0</v>
      </c>
      <c r="H417" s="138">
        <f>IF('1.DATOS-PROD'!Q418="SI",VLOOKUP('1.DATOS-PROD'!Q$2,'1.PUNTOS'!$A$1:$B$63,2,0),0)</f>
        <v>0</v>
      </c>
      <c r="I417" s="138">
        <f>IF('1.DATOS-PROD'!R418="SI",VLOOKUP('1.DATOS-PROD'!R$2,'1.PUNTOS'!$A$1:$B$63,2,0),0)</f>
        <v>0</v>
      </c>
      <c r="J417" s="138">
        <f>IF('1.DATOS-PROD'!S418="SI",VLOOKUP('1.DATOS-PROD'!S$2,'1.PUNTOS'!$A$1:$B$63,2,0),0)</f>
        <v>0</v>
      </c>
      <c r="K417" s="138">
        <f>IF('1.DATOS-PROD'!T418="SI",VLOOKUP('1.DATOS-PROD'!T$2,'1.PUNTOS'!$A$1:$B$63,2,0),0)</f>
        <v>0</v>
      </c>
      <c r="L417" s="138">
        <f>IF('1.DATOS-PROD'!U418="SI",VLOOKUP('1.DATOS-PROD'!U$2,'1.PUNTOS'!$A$1:$B$63,2,0),0)</f>
        <v>0</v>
      </c>
      <c r="M417" s="138">
        <f>IF('1.DATOS-PROD'!V418="SI",VLOOKUP('1.DATOS-PROD'!V$2,'1.PUNTOS'!$A$1:$B$63,2,0),0)</f>
        <v>0</v>
      </c>
      <c r="N417" s="138">
        <f>IF('1.DATOS-PROD'!W418="SI",VLOOKUP('1.DATOS-PROD'!W$2,'1.PUNTOS'!$A$1:$B$63,2,0),0)</f>
        <v>0</v>
      </c>
      <c r="O417" s="138">
        <f>IF('1.DATOS-PROD'!X418="SI",VLOOKUP('1.DATOS-PROD'!X$2,'1.PUNTOS'!$A$1:$B$63,2,0),0)</f>
        <v>0</v>
      </c>
      <c r="P417" s="138">
        <f>IF('1.DATOS-PROD'!Y418="SI",VLOOKUP('1.DATOS-PROD'!Y$2,'1.PUNTOS'!$A$1:$B$63,2,0),0)</f>
        <v>0</v>
      </c>
      <c r="Q417" s="138">
        <f>IF('1.DATOS-PROD'!Z418="SI",VLOOKUP('1.DATOS-PROD'!Z$2,'1.PUNTOS'!$A$1:$B$63,2,0),0)</f>
        <v>0</v>
      </c>
      <c r="R417" s="138">
        <f>IF('1.DATOS-PROD'!AA418="SI",VLOOKUP('1.DATOS-PROD'!AA$2,'1.PUNTOS'!$A$1:$B$63,2,0),0)</f>
        <v>0</v>
      </c>
      <c r="S417" s="138">
        <f>IF('1.DATOS-PROD'!AB418="SI",VLOOKUP('1.DATOS-PROD'!AB$2,'1.PUNTOS'!$A$1:$B$63,2,0),0)</f>
        <v>0</v>
      </c>
      <c r="T417" s="138">
        <f>IF('1.DATOS-PROD'!AC418="SI",VLOOKUP('1.DATOS-PROD'!AC$2,'1.PUNTOS'!$A$1:$B$63,2,0),0)</f>
        <v>0</v>
      </c>
      <c r="U417" s="138">
        <f>IF('1.DATOS-PROD'!AD418="SI",VLOOKUP('1.DATOS-PROD'!AD$2,'1.PUNTOS'!$A$1:$B$63,2,0),0)</f>
        <v>0</v>
      </c>
      <c r="V417" s="138">
        <f>IF('1.DATOS-PROD'!AE418="SI",VLOOKUP('1.DATOS-PROD'!AE$2,'1.PUNTOS'!$A$1:$B$63,2,0),0)</f>
        <v>0</v>
      </c>
      <c r="W417" s="138">
        <f>IF('1.DATOS-PROD'!AF418="SI",VLOOKUP('1.DATOS-PROD'!AF$2,'1.PUNTOS'!$A$1:$B$63,2,0),0)</f>
        <v>0</v>
      </c>
      <c r="X417" s="138">
        <f>IF('1.DATOS-PROD'!AG418="SI",VLOOKUP('1.DATOS-PROD'!AG$2,'1.PUNTOS'!$A$1:$B$63,2,0),0)</f>
        <v>0</v>
      </c>
      <c r="Y417" s="138">
        <f>IF('1.DATOS-PROD'!AH418="SI",VLOOKUP('1.DATOS-PROD'!AH$2,'1.PUNTOS'!$A$1:$B$63,2,0),0)</f>
        <v>0</v>
      </c>
      <c r="Z417" s="138">
        <f>IF('1.DATOS-PROD'!AI418="SI",VLOOKUP('1.DATOS-PROD'!AI$2,'1.PUNTOS'!$A$1:$B$63,2,0),0)</f>
        <v>0</v>
      </c>
      <c r="AA417" s="138">
        <f>IF('1.DATOS-PROD'!AJ418="SI",VLOOKUP('1.DATOS-PROD'!AJ$2,'1.PUNTOS'!$A$1:$B$63,2,0),0)</f>
        <v>0</v>
      </c>
      <c r="AB417" s="138">
        <f>IF('1.DATOS-PROD'!AK418="SI",VLOOKUP('1.DATOS-PROD'!AK$2,'1.PUNTOS'!$A$1:$B$63,2,0),0)</f>
        <v>0</v>
      </c>
      <c r="AC417" s="138">
        <f>IF('1.DATOS-PROD'!AL418="SI",VLOOKUP('1.DATOS-PROD'!AL$2,'1.PUNTOS'!$A$1:$B$63,2,0),0)</f>
        <v>0</v>
      </c>
      <c r="AD417" s="138">
        <f>IF('1.DATOS-PROD'!AM418="SI",VLOOKUP('1.DATOS-PROD'!AM$2,'1.PUNTOS'!$A$1:$B$63,2,0),0)</f>
        <v>0</v>
      </c>
      <c r="AE417" s="138">
        <f>IF('1.DATOS-PROD'!AN418="SI",VLOOKUP('1.DATOS-PROD'!AN$2,'1.PUNTOS'!$A$1:$B$63,2,0),0)</f>
        <v>0</v>
      </c>
      <c r="AF417" s="138">
        <f>IF('1.DATOS-PROD'!AO418="SI",VLOOKUP('1.DATOS-PROD'!AO$2,'1.PUNTOS'!$A$1:$B$63,2,0),0)</f>
        <v>0</v>
      </c>
      <c r="AG417" s="138">
        <f>IF('1.DATOS-PROD'!AP418="SI",VLOOKUP('1.DATOS-PROD'!AP$2,'1.PUNTOS'!$A$1:$B$63,2,0),0)</f>
        <v>0</v>
      </c>
      <c r="AH417" s="138">
        <f>IF('1.DATOS-PROD'!AQ418="SI",VLOOKUP('1.DATOS-PROD'!AQ$2,'1.PUNTOS'!$A$1:$B$63,2,0),0)</f>
        <v>0</v>
      </c>
      <c r="AI417" s="138">
        <f>IF('1.DATOS-PROD'!AR418="SI",VLOOKUP('1.DATOS-PROD'!AR$2,'1.PUNTOS'!$A$1:$B$63,2,0),0)</f>
        <v>0</v>
      </c>
      <c r="AJ417" s="138">
        <f>IF('1.DATOS-PROD'!AS418="SI",VLOOKUP('1.DATOS-PROD'!AS$2,'1.PUNTOS'!$A$1:$B$63,2,0),0)</f>
        <v>0</v>
      </c>
      <c r="AK417" s="138">
        <f>IF('1.DATOS-PROD'!AT418="SI",VLOOKUP('1.DATOS-PROD'!AT$2,'1.PUNTOS'!$A$1:$B$63,2,0),0)</f>
        <v>0</v>
      </c>
      <c r="AL417" s="138">
        <f>IF('1.DATOS-PROD'!AU418="SI",VLOOKUP('1.DATOS-PROD'!AU$2,'1.PUNTOS'!$A$1:$B$63,2,0),0)</f>
        <v>0</v>
      </c>
      <c r="AM417" s="138">
        <f>IF('1.DATOS-PROD'!AV418="SI",VLOOKUP('1.DATOS-PROD'!AV$2,'1.PUNTOS'!$A$1:$B$63,2,0),0)</f>
        <v>0</v>
      </c>
      <c r="AN417" s="138">
        <f>IF('1.DATOS-PROD'!AW418="SI",VLOOKUP('1.DATOS-PROD'!AW$2,'1.PUNTOS'!$A$1:$B$63,2,0),0)</f>
        <v>0</v>
      </c>
      <c r="AO417" s="138">
        <f>IF('1.DATOS-PROD'!AX418="SI",VLOOKUP('1.DATOS-PROD'!AX$2,'1.PUNTOS'!$A$1:$B$63,2,0),0)</f>
        <v>0</v>
      </c>
      <c r="AP417" s="138">
        <f>IF('1.DATOS-PROD'!AY418="SI",VLOOKUP('1.DATOS-PROD'!AY$2,'1.PUNTOS'!$A$1:$B$63,2,0),0)</f>
        <v>0</v>
      </c>
      <c r="AQ417" s="138">
        <f>IF('1.DATOS-PROD'!AZ418="SI",VLOOKUP('1.DATOS-PROD'!AZ$2,'1.PUNTOS'!$A$1:$B$63,2,0),0)</f>
        <v>0</v>
      </c>
      <c r="AR417" s="138">
        <f>IF('1.DATOS-PROD'!BA418="SI",VLOOKUP('1.DATOS-PROD'!BA$2,'1.PUNTOS'!$A$1:$B$63,2,0),0)</f>
        <v>0</v>
      </c>
      <c r="AS417" s="138">
        <f>IF('1.DATOS-PROD'!BB418="SI",VLOOKUP('1.DATOS-PROD'!BB$2,'1.PUNTOS'!$A$1:$B$63,2,0),0)</f>
        <v>0</v>
      </c>
      <c r="AT417" s="138">
        <f>IF('1.DATOS-PROD'!BC418="SI",VLOOKUP('1.DATOS-PROD'!BC$2,'1.PUNTOS'!$A$1:$B$63,2,0),0)</f>
        <v>0</v>
      </c>
      <c r="AU417" s="138">
        <f>IF('1.DATOS-PROD'!BD418="SI",VLOOKUP('1.DATOS-PROD'!BD$2,'1.PUNTOS'!$A$1:$B$63,2,0),0)</f>
        <v>0</v>
      </c>
      <c r="AV417" s="138">
        <f>IF('1.DATOS-PROD'!BE418="SI",VLOOKUP('1.DATOS-PROD'!BE$2,'1.PUNTOS'!$A$1:$B$63,2,0),0)</f>
        <v>0</v>
      </c>
      <c r="AW417" s="138">
        <f>IF('1.DATOS-PROD'!BF418="SI",VLOOKUP('1.DATOS-PROD'!BF$2,'1.PUNTOS'!$A$1:$B$63,2,0),0)</f>
        <v>0</v>
      </c>
      <c r="AX417" s="138">
        <f>IF('1.DATOS-PROD'!BG418="SI",VLOOKUP('1.DATOS-PROD'!BG$2,'1.PUNTOS'!$A$1:$B$63,2,0),0)</f>
        <v>0</v>
      </c>
      <c r="AY417" s="138">
        <f>IF('1.DATOS-PROD'!BH418="SI",VLOOKUP('1.DATOS-PROD'!BH$2,'1.PUNTOS'!$A$1:$B$63,2,0),0)</f>
        <v>0</v>
      </c>
      <c r="AZ417" s="138">
        <f>IF('1.DATOS-PROD'!BI418="SI",VLOOKUP('1.DATOS-PROD'!BI$2,'1.PUNTOS'!$A$1:$B$63,2,0),0)</f>
        <v>0</v>
      </c>
      <c r="BA417" s="138">
        <f>IF('1.DATOS-PROD'!BJ418="SI",VLOOKUP('1.DATOS-PROD'!BJ$2,'1.PUNTOS'!$A$1:$B$63,2,0),0)</f>
        <v>0</v>
      </c>
      <c r="BB417" s="138">
        <f>IF('1.DATOS-PROD'!BK418="SI",VLOOKUP('1.DATOS-PROD'!BK$2,'1.PUNTOS'!$A$1:$B$63,2,0),0)</f>
        <v>0</v>
      </c>
      <c r="BC417" s="138">
        <f>IF('1.DATOS-PROD'!BL418="SI",VLOOKUP('1.DATOS-PROD'!BL$2,'1.PUNTOS'!$A$1:$B$63,2,0),0)</f>
        <v>0</v>
      </c>
      <c r="BD417" s="138">
        <f>IF('1.DATOS-PROD'!BM418="SI",VLOOKUP('1.DATOS-PROD'!BM$2,'1.PUNTOS'!$A$1:$B$63,2,0),0)</f>
        <v>0</v>
      </c>
      <c r="BE417" s="138">
        <f>IF('1.DATOS-PROD'!BN418="SI",VLOOKUP('1.DATOS-PROD'!BN$2,'1.PUNTOS'!$A$1:$B$63,2,0),0)</f>
        <v>0</v>
      </c>
      <c r="BF417" s="138">
        <f>IF('1.DATOS-PROD'!BO418="SI",VLOOKUP('1.DATOS-PROD'!BO$2,'1.PUNTOS'!$A$1:$B$63,2,0),0)</f>
        <v>0</v>
      </c>
      <c r="BG417" s="138">
        <f>IF('1.DATOS-PROD'!BP418="SI",VLOOKUP('1.DATOS-PROD'!BP$2,'1.PUNTOS'!$A$1:$B$63,2,0),0)</f>
        <v>0</v>
      </c>
      <c r="BH417" s="138">
        <f>IF('1.DATOS-PROD'!BQ418="SI",VLOOKUP('1.DATOS-PROD'!BQ$2,'1.PUNTOS'!$A$1:$B$63,2,0),0)</f>
        <v>0</v>
      </c>
      <c r="BI417" s="138">
        <f>IF('1.DATOS-PROD'!BR418="SI",VLOOKUP('1.DATOS-PROD'!BR$2,'1.PUNTOS'!$A$1:$B$63,2,0),0)</f>
        <v>0</v>
      </c>
      <c r="BJ417" s="138">
        <f>IF('1.DATOS-PROD'!BS418="SI",VLOOKUP('1.DATOS-PROD'!BS$2,'1.PUNTOS'!$A$1:$B$63,2,0),0)</f>
        <v>0</v>
      </c>
      <c r="BK417" s="138">
        <f>IF('1.DATOS-PROD'!BT418="SI",VLOOKUP('1.DATOS-PROD'!BT$2,'1.PUNTOS'!$A$1:$B$63,2,0),0)</f>
        <v>0</v>
      </c>
    </row>
    <row r="418" spans="1:63" x14ac:dyDescent="0.25">
      <c r="A418">
        <f>'0.Consolidado general'!$A419</f>
        <v>0</v>
      </c>
      <c r="B418" s="138">
        <f>IF('1.DATOS-PROD'!K419="SI",VLOOKUP('1.DATOS-PROD'!K$2,'1.PUNTOS'!$A$1:$B$63,2,0),0)</f>
        <v>0</v>
      </c>
      <c r="C418" s="138">
        <f>IF('1.DATOS-PROD'!L419="SI",VLOOKUP('1.DATOS-PROD'!L$2,'1.PUNTOS'!$A$1:$B$63,2,0),0)</f>
        <v>0</v>
      </c>
      <c r="D418" s="138">
        <f>IF('1.DATOS-PROD'!M419="SI",VLOOKUP('1.DATOS-PROD'!M$2,'1.PUNTOS'!$A$1:$B$63,2,0),0)</f>
        <v>0</v>
      </c>
      <c r="E418" s="138">
        <f>IF('1.DATOS-PROD'!N419="SI",VLOOKUP('1.DATOS-PROD'!N$2,'1.PUNTOS'!$A$1:$B$63,2,0),0)</f>
        <v>0</v>
      </c>
      <c r="F418" s="138">
        <f>IF('1.DATOS-PROD'!O419="SI",VLOOKUP('1.DATOS-PROD'!O$2,'1.PUNTOS'!$A$1:$B$63,2,0),0)</f>
        <v>0</v>
      </c>
      <c r="G418" s="138">
        <f>IF('1.DATOS-PROD'!P419="SI",VLOOKUP('1.DATOS-PROD'!P$2,'1.PUNTOS'!$A$1:$B$63,2,0),0)</f>
        <v>0</v>
      </c>
      <c r="H418" s="138">
        <f>IF('1.DATOS-PROD'!Q419="SI",VLOOKUP('1.DATOS-PROD'!Q$2,'1.PUNTOS'!$A$1:$B$63,2,0),0)</f>
        <v>0</v>
      </c>
      <c r="I418" s="138">
        <f>IF('1.DATOS-PROD'!R419="SI",VLOOKUP('1.DATOS-PROD'!R$2,'1.PUNTOS'!$A$1:$B$63,2,0),0)</f>
        <v>0</v>
      </c>
      <c r="J418" s="138">
        <f>IF('1.DATOS-PROD'!S419="SI",VLOOKUP('1.DATOS-PROD'!S$2,'1.PUNTOS'!$A$1:$B$63,2,0),0)</f>
        <v>0</v>
      </c>
      <c r="K418" s="138">
        <f>IF('1.DATOS-PROD'!T419="SI",VLOOKUP('1.DATOS-PROD'!T$2,'1.PUNTOS'!$A$1:$B$63,2,0),0)</f>
        <v>0</v>
      </c>
      <c r="L418" s="138">
        <f>IF('1.DATOS-PROD'!U419="SI",VLOOKUP('1.DATOS-PROD'!U$2,'1.PUNTOS'!$A$1:$B$63,2,0),0)</f>
        <v>0</v>
      </c>
      <c r="M418" s="138">
        <f>IF('1.DATOS-PROD'!V419="SI",VLOOKUP('1.DATOS-PROD'!V$2,'1.PUNTOS'!$A$1:$B$63,2,0),0)</f>
        <v>0</v>
      </c>
      <c r="N418" s="138">
        <f>IF('1.DATOS-PROD'!W419="SI",VLOOKUP('1.DATOS-PROD'!W$2,'1.PUNTOS'!$A$1:$B$63,2,0),0)</f>
        <v>0</v>
      </c>
      <c r="O418" s="138">
        <f>IF('1.DATOS-PROD'!X419="SI",VLOOKUP('1.DATOS-PROD'!X$2,'1.PUNTOS'!$A$1:$B$63,2,0),0)</f>
        <v>0</v>
      </c>
      <c r="P418" s="138">
        <f>IF('1.DATOS-PROD'!Y419="SI",VLOOKUP('1.DATOS-PROD'!Y$2,'1.PUNTOS'!$A$1:$B$63,2,0),0)</f>
        <v>0</v>
      </c>
      <c r="Q418" s="138">
        <f>IF('1.DATOS-PROD'!Z419="SI",VLOOKUP('1.DATOS-PROD'!Z$2,'1.PUNTOS'!$A$1:$B$63,2,0),0)</f>
        <v>0</v>
      </c>
      <c r="R418" s="138">
        <f>IF('1.DATOS-PROD'!AA419="SI",VLOOKUP('1.DATOS-PROD'!AA$2,'1.PUNTOS'!$A$1:$B$63,2,0),0)</f>
        <v>0</v>
      </c>
      <c r="S418" s="138">
        <f>IF('1.DATOS-PROD'!AB419="SI",VLOOKUP('1.DATOS-PROD'!AB$2,'1.PUNTOS'!$A$1:$B$63,2,0),0)</f>
        <v>0</v>
      </c>
      <c r="T418" s="138">
        <f>IF('1.DATOS-PROD'!AC419="SI",VLOOKUP('1.DATOS-PROD'!AC$2,'1.PUNTOS'!$A$1:$B$63,2,0),0)</f>
        <v>0</v>
      </c>
      <c r="U418" s="138">
        <f>IF('1.DATOS-PROD'!AD419="SI",VLOOKUP('1.DATOS-PROD'!AD$2,'1.PUNTOS'!$A$1:$B$63,2,0),0)</f>
        <v>0</v>
      </c>
      <c r="V418" s="138">
        <f>IF('1.DATOS-PROD'!AE419="SI",VLOOKUP('1.DATOS-PROD'!AE$2,'1.PUNTOS'!$A$1:$B$63,2,0),0)</f>
        <v>0</v>
      </c>
      <c r="W418" s="138">
        <f>IF('1.DATOS-PROD'!AF419="SI",VLOOKUP('1.DATOS-PROD'!AF$2,'1.PUNTOS'!$A$1:$B$63,2,0),0)</f>
        <v>0</v>
      </c>
      <c r="X418" s="138">
        <f>IF('1.DATOS-PROD'!AG419="SI",VLOOKUP('1.DATOS-PROD'!AG$2,'1.PUNTOS'!$A$1:$B$63,2,0),0)</f>
        <v>0</v>
      </c>
      <c r="Y418" s="138">
        <f>IF('1.DATOS-PROD'!AH419="SI",VLOOKUP('1.DATOS-PROD'!AH$2,'1.PUNTOS'!$A$1:$B$63,2,0),0)</f>
        <v>0</v>
      </c>
      <c r="Z418" s="138">
        <f>IF('1.DATOS-PROD'!AI419="SI",VLOOKUP('1.DATOS-PROD'!AI$2,'1.PUNTOS'!$A$1:$B$63,2,0),0)</f>
        <v>0</v>
      </c>
      <c r="AA418" s="138">
        <f>IF('1.DATOS-PROD'!AJ419="SI",VLOOKUP('1.DATOS-PROD'!AJ$2,'1.PUNTOS'!$A$1:$B$63,2,0),0)</f>
        <v>0</v>
      </c>
      <c r="AB418" s="138">
        <f>IF('1.DATOS-PROD'!AK419="SI",VLOOKUP('1.DATOS-PROD'!AK$2,'1.PUNTOS'!$A$1:$B$63,2,0),0)</f>
        <v>0</v>
      </c>
      <c r="AC418" s="138">
        <f>IF('1.DATOS-PROD'!AL419="SI",VLOOKUP('1.DATOS-PROD'!AL$2,'1.PUNTOS'!$A$1:$B$63,2,0),0)</f>
        <v>0</v>
      </c>
      <c r="AD418" s="138">
        <f>IF('1.DATOS-PROD'!AM419="SI",VLOOKUP('1.DATOS-PROD'!AM$2,'1.PUNTOS'!$A$1:$B$63,2,0),0)</f>
        <v>0</v>
      </c>
      <c r="AE418" s="138">
        <f>IF('1.DATOS-PROD'!AN419="SI",VLOOKUP('1.DATOS-PROD'!AN$2,'1.PUNTOS'!$A$1:$B$63,2,0),0)</f>
        <v>0</v>
      </c>
      <c r="AF418" s="138">
        <f>IF('1.DATOS-PROD'!AO419="SI",VLOOKUP('1.DATOS-PROD'!AO$2,'1.PUNTOS'!$A$1:$B$63,2,0),0)</f>
        <v>0</v>
      </c>
      <c r="AG418" s="138">
        <f>IF('1.DATOS-PROD'!AP419="SI",VLOOKUP('1.DATOS-PROD'!AP$2,'1.PUNTOS'!$A$1:$B$63,2,0),0)</f>
        <v>0</v>
      </c>
      <c r="AH418" s="138">
        <f>IF('1.DATOS-PROD'!AQ419="SI",VLOOKUP('1.DATOS-PROD'!AQ$2,'1.PUNTOS'!$A$1:$B$63,2,0),0)</f>
        <v>0</v>
      </c>
      <c r="AI418" s="138">
        <f>IF('1.DATOS-PROD'!AR419="SI",VLOOKUP('1.DATOS-PROD'!AR$2,'1.PUNTOS'!$A$1:$B$63,2,0),0)</f>
        <v>0</v>
      </c>
      <c r="AJ418" s="138">
        <f>IF('1.DATOS-PROD'!AS419="SI",VLOOKUP('1.DATOS-PROD'!AS$2,'1.PUNTOS'!$A$1:$B$63,2,0),0)</f>
        <v>0</v>
      </c>
      <c r="AK418" s="138">
        <f>IF('1.DATOS-PROD'!AT419="SI",VLOOKUP('1.DATOS-PROD'!AT$2,'1.PUNTOS'!$A$1:$B$63,2,0),0)</f>
        <v>0</v>
      </c>
      <c r="AL418" s="138">
        <f>IF('1.DATOS-PROD'!AU419="SI",VLOOKUP('1.DATOS-PROD'!AU$2,'1.PUNTOS'!$A$1:$B$63,2,0),0)</f>
        <v>0</v>
      </c>
      <c r="AM418" s="138">
        <f>IF('1.DATOS-PROD'!AV419="SI",VLOOKUP('1.DATOS-PROD'!AV$2,'1.PUNTOS'!$A$1:$B$63,2,0),0)</f>
        <v>0</v>
      </c>
      <c r="AN418" s="138">
        <f>IF('1.DATOS-PROD'!AW419="SI",VLOOKUP('1.DATOS-PROD'!AW$2,'1.PUNTOS'!$A$1:$B$63,2,0),0)</f>
        <v>0</v>
      </c>
      <c r="AO418" s="138">
        <f>IF('1.DATOS-PROD'!AX419="SI",VLOOKUP('1.DATOS-PROD'!AX$2,'1.PUNTOS'!$A$1:$B$63,2,0),0)</f>
        <v>0</v>
      </c>
      <c r="AP418" s="138">
        <f>IF('1.DATOS-PROD'!AY419="SI",VLOOKUP('1.DATOS-PROD'!AY$2,'1.PUNTOS'!$A$1:$B$63,2,0),0)</f>
        <v>0</v>
      </c>
      <c r="AQ418" s="138">
        <f>IF('1.DATOS-PROD'!AZ419="SI",VLOOKUP('1.DATOS-PROD'!AZ$2,'1.PUNTOS'!$A$1:$B$63,2,0),0)</f>
        <v>0</v>
      </c>
      <c r="AR418" s="138">
        <f>IF('1.DATOS-PROD'!BA419="SI",VLOOKUP('1.DATOS-PROD'!BA$2,'1.PUNTOS'!$A$1:$B$63,2,0),0)</f>
        <v>0</v>
      </c>
      <c r="AS418" s="138">
        <f>IF('1.DATOS-PROD'!BB419="SI",VLOOKUP('1.DATOS-PROD'!BB$2,'1.PUNTOS'!$A$1:$B$63,2,0),0)</f>
        <v>0</v>
      </c>
      <c r="AT418" s="138">
        <f>IF('1.DATOS-PROD'!BC419="SI",VLOOKUP('1.DATOS-PROD'!BC$2,'1.PUNTOS'!$A$1:$B$63,2,0),0)</f>
        <v>0</v>
      </c>
      <c r="AU418" s="138">
        <f>IF('1.DATOS-PROD'!BD419="SI",VLOOKUP('1.DATOS-PROD'!BD$2,'1.PUNTOS'!$A$1:$B$63,2,0),0)</f>
        <v>0</v>
      </c>
      <c r="AV418" s="138">
        <f>IF('1.DATOS-PROD'!BE419="SI",VLOOKUP('1.DATOS-PROD'!BE$2,'1.PUNTOS'!$A$1:$B$63,2,0),0)</f>
        <v>0</v>
      </c>
      <c r="AW418" s="138">
        <f>IF('1.DATOS-PROD'!BF419="SI",VLOOKUP('1.DATOS-PROD'!BF$2,'1.PUNTOS'!$A$1:$B$63,2,0),0)</f>
        <v>0</v>
      </c>
      <c r="AX418" s="138">
        <f>IF('1.DATOS-PROD'!BG419="SI",VLOOKUP('1.DATOS-PROD'!BG$2,'1.PUNTOS'!$A$1:$B$63,2,0),0)</f>
        <v>0</v>
      </c>
      <c r="AY418" s="138">
        <f>IF('1.DATOS-PROD'!BH419="SI",VLOOKUP('1.DATOS-PROD'!BH$2,'1.PUNTOS'!$A$1:$B$63,2,0),0)</f>
        <v>0</v>
      </c>
      <c r="AZ418" s="138">
        <f>IF('1.DATOS-PROD'!BI419="SI",VLOOKUP('1.DATOS-PROD'!BI$2,'1.PUNTOS'!$A$1:$B$63,2,0),0)</f>
        <v>0</v>
      </c>
      <c r="BA418" s="138">
        <f>IF('1.DATOS-PROD'!BJ419="SI",VLOOKUP('1.DATOS-PROD'!BJ$2,'1.PUNTOS'!$A$1:$B$63,2,0),0)</f>
        <v>0</v>
      </c>
      <c r="BB418" s="138">
        <f>IF('1.DATOS-PROD'!BK419="SI",VLOOKUP('1.DATOS-PROD'!BK$2,'1.PUNTOS'!$A$1:$B$63,2,0),0)</f>
        <v>0</v>
      </c>
      <c r="BC418" s="138">
        <f>IF('1.DATOS-PROD'!BL419="SI",VLOOKUP('1.DATOS-PROD'!BL$2,'1.PUNTOS'!$A$1:$B$63,2,0),0)</f>
        <v>0</v>
      </c>
      <c r="BD418" s="138">
        <f>IF('1.DATOS-PROD'!BM419="SI",VLOOKUP('1.DATOS-PROD'!BM$2,'1.PUNTOS'!$A$1:$B$63,2,0),0)</f>
        <v>0</v>
      </c>
      <c r="BE418" s="138">
        <f>IF('1.DATOS-PROD'!BN419="SI",VLOOKUP('1.DATOS-PROD'!BN$2,'1.PUNTOS'!$A$1:$B$63,2,0),0)</f>
        <v>0</v>
      </c>
      <c r="BF418" s="138">
        <f>IF('1.DATOS-PROD'!BO419="SI",VLOOKUP('1.DATOS-PROD'!BO$2,'1.PUNTOS'!$A$1:$B$63,2,0),0)</f>
        <v>0</v>
      </c>
      <c r="BG418" s="138">
        <f>IF('1.DATOS-PROD'!BP419="SI",VLOOKUP('1.DATOS-PROD'!BP$2,'1.PUNTOS'!$A$1:$B$63,2,0),0)</f>
        <v>0</v>
      </c>
      <c r="BH418" s="138">
        <f>IF('1.DATOS-PROD'!BQ419="SI",VLOOKUP('1.DATOS-PROD'!BQ$2,'1.PUNTOS'!$A$1:$B$63,2,0),0)</f>
        <v>0</v>
      </c>
      <c r="BI418" s="138">
        <f>IF('1.DATOS-PROD'!BR419="SI",VLOOKUP('1.DATOS-PROD'!BR$2,'1.PUNTOS'!$A$1:$B$63,2,0),0)</f>
        <v>0</v>
      </c>
      <c r="BJ418" s="138">
        <f>IF('1.DATOS-PROD'!BS419="SI",VLOOKUP('1.DATOS-PROD'!BS$2,'1.PUNTOS'!$A$1:$B$63,2,0),0)</f>
        <v>0</v>
      </c>
      <c r="BK418" s="138">
        <f>IF('1.DATOS-PROD'!BT419="SI",VLOOKUP('1.DATOS-PROD'!BT$2,'1.PUNTOS'!$A$1:$B$63,2,0),0)</f>
        <v>0</v>
      </c>
    </row>
    <row r="419" spans="1:63" x14ac:dyDescent="0.25">
      <c r="A419">
        <f>'0.Consolidado general'!$A420</f>
        <v>0</v>
      </c>
      <c r="B419" s="138">
        <f>IF('1.DATOS-PROD'!K420="SI",VLOOKUP('1.DATOS-PROD'!K$2,'1.PUNTOS'!$A$1:$B$63,2,0),0)</f>
        <v>0</v>
      </c>
      <c r="C419" s="138">
        <f>IF('1.DATOS-PROD'!L420="SI",VLOOKUP('1.DATOS-PROD'!L$2,'1.PUNTOS'!$A$1:$B$63,2,0),0)</f>
        <v>0</v>
      </c>
      <c r="D419" s="138">
        <f>IF('1.DATOS-PROD'!M420="SI",VLOOKUP('1.DATOS-PROD'!M$2,'1.PUNTOS'!$A$1:$B$63,2,0),0)</f>
        <v>0</v>
      </c>
      <c r="E419" s="138">
        <f>IF('1.DATOS-PROD'!N420="SI",VLOOKUP('1.DATOS-PROD'!N$2,'1.PUNTOS'!$A$1:$B$63,2,0),0)</f>
        <v>0</v>
      </c>
      <c r="F419" s="138">
        <f>IF('1.DATOS-PROD'!O420="SI",VLOOKUP('1.DATOS-PROD'!O$2,'1.PUNTOS'!$A$1:$B$63,2,0),0)</f>
        <v>0</v>
      </c>
      <c r="G419" s="138">
        <f>IF('1.DATOS-PROD'!P420="SI",VLOOKUP('1.DATOS-PROD'!P$2,'1.PUNTOS'!$A$1:$B$63,2,0),0)</f>
        <v>0</v>
      </c>
      <c r="H419" s="138">
        <f>IF('1.DATOS-PROD'!Q420="SI",VLOOKUP('1.DATOS-PROD'!Q$2,'1.PUNTOS'!$A$1:$B$63,2,0),0)</f>
        <v>0</v>
      </c>
      <c r="I419" s="138">
        <f>IF('1.DATOS-PROD'!R420="SI",VLOOKUP('1.DATOS-PROD'!R$2,'1.PUNTOS'!$A$1:$B$63,2,0),0)</f>
        <v>0</v>
      </c>
      <c r="J419" s="138">
        <f>IF('1.DATOS-PROD'!S420="SI",VLOOKUP('1.DATOS-PROD'!S$2,'1.PUNTOS'!$A$1:$B$63,2,0),0)</f>
        <v>0</v>
      </c>
      <c r="K419" s="138">
        <f>IF('1.DATOS-PROD'!T420="SI",VLOOKUP('1.DATOS-PROD'!T$2,'1.PUNTOS'!$A$1:$B$63,2,0),0)</f>
        <v>0</v>
      </c>
      <c r="L419" s="138">
        <f>IF('1.DATOS-PROD'!U420="SI",VLOOKUP('1.DATOS-PROD'!U$2,'1.PUNTOS'!$A$1:$B$63,2,0),0)</f>
        <v>0</v>
      </c>
      <c r="M419" s="138">
        <f>IF('1.DATOS-PROD'!V420="SI",VLOOKUP('1.DATOS-PROD'!V$2,'1.PUNTOS'!$A$1:$B$63,2,0),0)</f>
        <v>0</v>
      </c>
      <c r="N419" s="138">
        <f>IF('1.DATOS-PROD'!W420="SI",VLOOKUP('1.DATOS-PROD'!W$2,'1.PUNTOS'!$A$1:$B$63,2,0),0)</f>
        <v>0</v>
      </c>
      <c r="O419" s="138">
        <f>IF('1.DATOS-PROD'!X420="SI",VLOOKUP('1.DATOS-PROD'!X$2,'1.PUNTOS'!$A$1:$B$63,2,0),0)</f>
        <v>0</v>
      </c>
      <c r="P419" s="138">
        <f>IF('1.DATOS-PROD'!Y420="SI",VLOOKUP('1.DATOS-PROD'!Y$2,'1.PUNTOS'!$A$1:$B$63,2,0),0)</f>
        <v>0</v>
      </c>
      <c r="Q419" s="138">
        <f>IF('1.DATOS-PROD'!Z420="SI",VLOOKUP('1.DATOS-PROD'!Z$2,'1.PUNTOS'!$A$1:$B$63,2,0),0)</f>
        <v>0</v>
      </c>
      <c r="R419" s="138">
        <f>IF('1.DATOS-PROD'!AA420="SI",VLOOKUP('1.DATOS-PROD'!AA$2,'1.PUNTOS'!$A$1:$B$63,2,0),0)</f>
        <v>0</v>
      </c>
      <c r="S419" s="138">
        <f>IF('1.DATOS-PROD'!AB420="SI",VLOOKUP('1.DATOS-PROD'!AB$2,'1.PUNTOS'!$A$1:$B$63,2,0),0)</f>
        <v>0</v>
      </c>
      <c r="T419" s="138">
        <f>IF('1.DATOS-PROD'!AC420="SI",VLOOKUP('1.DATOS-PROD'!AC$2,'1.PUNTOS'!$A$1:$B$63,2,0),0)</f>
        <v>0</v>
      </c>
      <c r="U419" s="138">
        <f>IF('1.DATOS-PROD'!AD420="SI",VLOOKUP('1.DATOS-PROD'!AD$2,'1.PUNTOS'!$A$1:$B$63,2,0),0)</f>
        <v>0</v>
      </c>
      <c r="V419" s="138">
        <f>IF('1.DATOS-PROD'!AE420="SI",VLOOKUP('1.DATOS-PROD'!AE$2,'1.PUNTOS'!$A$1:$B$63,2,0),0)</f>
        <v>0</v>
      </c>
      <c r="W419" s="138">
        <f>IF('1.DATOS-PROD'!AF420="SI",VLOOKUP('1.DATOS-PROD'!AF$2,'1.PUNTOS'!$A$1:$B$63,2,0),0)</f>
        <v>0</v>
      </c>
      <c r="X419" s="138">
        <f>IF('1.DATOS-PROD'!AG420="SI",VLOOKUP('1.DATOS-PROD'!AG$2,'1.PUNTOS'!$A$1:$B$63,2,0),0)</f>
        <v>0</v>
      </c>
      <c r="Y419" s="138">
        <f>IF('1.DATOS-PROD'!AH420="SI",VLOOKUP('1.DATOS-PROD'!AH$2,'1.PUNTOS'!$A$1:$B$63,2,0),0)</f>
        <v>0</v>
      </c>
      <c r="Z419" s="138">
        <f>IF('1.DATOS-PROD'!AI420="SI",VLOOKUP('1.DATOS-PROD'!AI$2,'1.PUNTOS'!$A$1:$B$63,2,0),0)</f>
        <v>0</v>
      </c>
      <c r="AA419" s="138">
        <f>IF('1.DATOS-PROD'!AJ420="SI",VLOOKUP('1.DATOS-PROD'!AJ$2,'1.PUNTOS'!$A$1:$B$63,2,0),0)</f>
        <v>0</v>
      </c>
      <c r="AB419" s="138">
        <f>IF('1.DATOS-PROD'!AK420="SI",VLOOKUP('1.DATOS-PROD'!AK$2,'1.PUNTOS'!$A$1:$B$63,2,0),0)</f>
        <v>0</v>
      </c>
      <c r="AC419" s="138">
        <f>IF('1.DATOS-PROD'!AL420="SI",VLOOKUP('1.DATOS-PROD'!AL$2,'1.PUNTOS'!$A$1:$B$63,2,0),0)</f>
        <v>0</v>
      </c>
      <c r="AD419" s="138">
        <f>IF('1.DATOS-PROD'!AM420="SI",VLOOKUP('1.DATOS-PROD'!AM$2,'1.PUNTOS'!$A$1:$B$63,2,0),0)</f>
        <v>0</v>
      </c>
      <c r="AE419" s="138">
        <f>IF('1.DATOS-PROD'!AN420="SI",VLOOKUP('1.DATOS-PROD'!AN$2,'1.PUNTOS'!$A$1:$B$63,2,0),0)</f>
        <v>0</v>
      </c>
      <c r="AF419" s="138">
        <f>IF('1.DATOS-PROD'!AO420="SI",VLOOKUP('1.DATOS-PROD'!AO$2,'1.PUNTOS'!$A$1:$B$63,2,0),0)</f>
        <v>0</v>
      </c>
      <c r="AG419" s="138">
        <f>IF('1.DATOS-PROD'!AP420="SI",VLOOKUP('1.DATOS-PROD'!AP$2,'1.PUNTOS'!$A$1:$B$63,2,0),0)</f>
        <v>0</v>
      </c>
      <c r="AH419" s="138">
        <f>IF('1.DATOS-PROD'!AQ420="SI",VLOOKUP('1.DATOS-PROD'!AQ$2,'1.PUNTOS'!$A$1:$B$63,2,0),0)</f>
        <v>0</v>
      </c>
      <c r="AI419" s="138">
        <f>IF('1.DATOS-PROD'!AR420="SI",VLOOKUP('1.DATOS-PROD'!AR$2,'1.PUNTOS'!$A$1:$B$63,2,0),0)</f>
        <v>0</v>
      </c>
      <c r="AJ419" s="138">
        <f>IF('1.DATOS-PROD'!AS420="SI",VLOOKUP('1.DATOS-PROD'!AS$2,'1.PUNTOS'!$A$1:$B$63,2,0),0)</f>
        <v>0</v>
      </c>
      <c r="AK419" s="138">
        <f>IF('1.DATOS-PROD'!AT420="SI",VLOOKUP('1.DATOS-PROD'!AT$2,'1.PUNTOS'!$A$1:$B$63,2,0),0)</f>
        <v>0</v>
      </c>
      <c r="AL419" s="138">
        <f>IF('1.DATOS-PROD'!AU420="SI",VLOOKUP('1.DATOS-PROD'!AU$2,'1.PUNTOS'!$A$1:$B$63,2,0),0)</f>
        <v>0</v>
      </c>
      <c r="AM419" s="138">
        <f>IF('1.DATOS-PROD'!AV420="SI",VLOOKUP('1.DATOS-PROD'!AV$2,'1.PUNTOS'!$A$1:$B$63,2,0),0)</f>
        <v>0</v>
      </c>
      <c r="AN419" s="138">
        <f>IF('1.DATOS-PROD'!AW420="SI",VLOOKUP('1.DATOS-PROD'!AW$2,'1.PUNTOS'!$A$1:$B$63,2,0),0)</f>
        <v>0</v>
      </c>
      <c r="AO419" s="138">
        <f>IF('1.DATOS-PROD'!AX420="SI",VLOOKUP('1.DATOS-PROD'!AX$2,'1.PUNTOS'!$A$1:$B$63,2,0),0)</f>
        <v>0</v>
      </c>
      <c r="AP419" s="138">
        <f>IF('1.DATOS-PROD'!AY420="SI",VLOOKUP('1.DATOS-PROD'!AY$2,'1.PUNTOS'!$A$1:$B$63,2,0),0)</f>
        <v>0</v>
      </c>
      <c r="AQ419" s="138">
        <f>IF('1.DATOS-PROD'!AZ420="SI",VLOOKUP('1.DATOS-PROD'!AZ$2,'1.PUNTOS'!$A$1:$B$63,2,0),0)</f>
        <v>0</v>
      </c>
      <c r="AR419" s="138">
        <f>IF('1.DATOS-PROD'!BA420="SI",VLOOKUP('1.DATOS-PROD'!BA$2,'1.PUNTOS'!$A$1:$B$63,2,0),0)</f>
        <v>0</v>
      </c>
      <c r="AS419" s="138">
        <f>IF('1.DATOS-PROD'!BB420="SI",VLOOKUP('1.DATOS-PROD'!BB$2,'1.PUNTOS'!$A$1:$B$63,2,0),0)</f>
        <v>0</v>
      </c>
      <c r="AT419" s="138">
        <f>IF('1.DATOS-PROD'!BC420="SI",VLOOKUP('1.DATOS-PROD'!BC$2,'1.PUNTOS'!$A$1:$B$63,2,0),0)</f>
        <v>0</v>
      </c>
      <c r="AU419" s="138">
        <f>IF('1.DATOS-PROD'!BD420="SI",VLOOKUP('1.DATOS-PROD'!BD$2,'1.PUNTOS'!$A$1:$B$63,2,0),0)</f>
        <v>0</v>
      </c>
      <c r="AV419" s="138">
        <f>IF('1.DATOS-PROD'!BE420="SI",VLOOKUP('1.DATOS-PROD'!BE$2,'1.PUNTOS'!$A$1:$B$63,2,0),0)</f>
        <v>0</v>
      </c>
      <c r="AW419" s="138">
        <f>IF('1.DATOS-PROD'!BF420="SI",VLOOKUP('1.DATOS-PROD'!BF$2,'1.PUNTOS'!$A$1:$B$63,2,0),0)</f>
        <v>0</v>
      </c>
      <c r="AX419" s="138">
        <f>IF('1.DATOS-PROD'!BG420="SI",VLOOKUP('1.DATOS-PROD'!BG$2,'1.PUNTOS'!$A$1:$B$63,2,0),0)</f>
        <v>0</v>
      </c>
      <c r="AY419" s="138">
        <f>IF('1.DATOS-PROD'!BH420="SI",VLOOKUP('1.DATOS-PROD'!BH$2,'1.PUNTOS'!$A$1:$B$63,2,0),0)</f>
        <v>0</v>
      </c>
      <c r="AZ419" s="138">
        <f>IF('1.DATOS-PROD'!BI420="SI",VLOOKUP('1.DATOS-PROD'!BI$2,'1.PUNTOS'!$A$1:$B$63,2,0),0)</f>
        <v>0</v>
      </c>
      <c r="BA419" s="138">
        <f>IF('1.DATOS-PROD'!BJ420="SI",VLOOKUP('1.DATOS-PROD'!BJ$2,'1.PUNTOS'!$A$1:$B$63,2,0),0)</f>
        <v>0</v>
      </c>
      <c r="BB419" s="138">
        <f>IF('1.DATOS-PROD'!BK420="SI",VLOOKUP('1.DATOS-PROD'!BK$2,'1.PUNTOS'!$A$1:$B$63,2,0),0)</f>
        <v>0</v>
      </c>
      <c r="BC419" s="138">
        <f>IF('1.DATOS-PROD'!BL420="SI",VLOOKUP('1.DATOS-PROD'!BL$2,'1.PUNTOS'!$A$1:$B$63,2,0),0)</f>
        <v>0</v>
      </c>
      <c r="BD419" s="138">
        <f>IF('1.DATOS-PROD'!BM420="SI",VLOOKUP('1.DATOS-PROD'!BM$2,'1.PUNTOS'!$A$1:$B$63,2,0),0)</f>
        <v>0</v>
      </c>
      <c r="BE419" s="138">
        <f>IF('1.DATOS-PROD'!BN420="SI",VLOOKUP('1.DATOS-PROD'!BN$2,'1.PUNTOS'!$A$1:$B$63,2,0),0)</f>
        <v>0</v>
      </c>
      <c r="BF419" s="138">
        <f>IF('1.DATOS-PROD'!BO420="SI",VLOOKUP('1.DATOS-PROD'!BO$2,'1.PUNTOS'!$A$1:$B$63,2,0),0)</f>
        <v>0</v>
      </c>
      <c r="BG419" s="138">
        <f>IF('1.DATOS-PROD'!BP420="SI",VLOOKUP('1.DATOS-PROD'!BP$2,'1.PUNTOS'!$A$1:$B$63,2,0),0)</f>
        <v>0</v>
      </c>
      <c r="BH419" s="138">
        <f>IF('1.DATOS-PROD'!BQ420="SI",VLOOKUP('1.DATOS-PROD'!BQ$2,'1.PUNTOS'!$A$1:$B$63,2,0),0)</f>
        <v>0</v>
      </c>
      <c r="BI419" s="138">
        <f>IF('1.DATOS-PROD'!BR420="SI",VLOOKUP('1.DATOS-PROD'!BR$2,'1.PUNTOS'!$A$1:$B$63,2,0),0)</f>
        <v>0</v>
      </c>
      <c r="BJ419" s="138">
        <f>IF('1.DATOS-PROD'!BS420="SI",VLOOKUP('1.DATOS-PROD'!BS$2,'1.PUNTOS'!$A$1:$B$63,2,0),0)</f>
        <v>0</v>
      </c>
      <c r="BK419" s="138">
        <f>IF('1.DATOS-PROD'!BT420="SI",VLOOKUP('1.DATOS-PROD'!BT$2,'1.PUNTOS'!$A$1:$B$63,2,0),0)</f>
        <v>0</v>
      </c>
    </row>
    <row r="420" spans="1:63" x14ac:dyDescent="0.25">
      <c r="A420">
        <f>'0.Consolidado general'!$A421</f>
        <v>0</v>
      </c>
      <c r="B420" s="138">
        <f>IF('1.DATOS-PROD'!K421="SI",VLOOKUP('1.DATOS-PROD'!K$2,'1.PUNTOS'!$A$1:$B$63,2,0),0)</f>
        <v>0</v>
      </c>
      <c r="C420" s="138">
        <f>IF('1.DATOS-PROD'!L421="SI",VLOOKUP('1.DATOS-PROD'!L$2,'1.PUNTOS'!$A$1:$B$63,2,0),0)</f>
        <v>0</v>
      </c>
      <c r="D420" s="138">
        <f>IF('1.DATOS-PROD'!M421="SI",VLOOKUP('1.DATOS-PROD'!M$2,'1.PUNTOS'!$A$1:$B$63,2,0),0)</f>
        <v>0</v>
      </c>
      <c r="E420" s="138">
        <f>IF('1.DATOS-PROD'!N421="SI",VLOOKUP('1.DATOS-PROD'!N$2,'1.PUNTOS'!$A$1:$B$63,2,0),0)</f>
        <v>0</v>
      </c>
      <c r="F420" s="138">
        <f>IF('1.DATOS-PROD'!O421="SI",VLOOKUP('1.DATOS-PROD'!O$2,'1.PUNTOS'!$A$1:$B$63,2,0),0)</f>
        <v>0</v>
      </c>
      <c r="G420" s="138">
        <f>IF('1.DATOS-PROD'!P421="SI",VLOOKUP('1.DATOS-PROD'!P$2,'1.PUNTOS'!$A$1:$B$63,2,0),0)</f>
        <v>0</v>
      </c>
      <c r="H420" s="138">
        <f>IF('1.DATOS-PROD'!Q421="SI",VLOOKUP('1.DATOS-PROD'!Q$2,'1.PUNTOS'!$A$1:$B$63,2,0),0)</f>
        <v>0</v>
      </c>
      <c r="I420" s="138">
        <f>IF('1.DATOS-PROD'!R421="SI",VLOOKUP('1.DATOS-PROD'!R$2,'1.PUNTOS'!$A$1:$B$63,2,0),0)</f>
        <v>0</v>
      </c>
      <c r="J420" s="138">
        <f>IF('1.DATOS-PROD'!S421="SI",VLOOKUP('1.DATOS-PROD'!S$2,'1.PUNTOS'!$A$1:$B$63,2,0),0)</f>
        <v>0</v>
      </c>
      <c r="K420" s="138">
        <f>IF('1.DATOS-PROD'!T421="SI",VLOOKUP('1.DATOS-PROD'!T$2,'1.PUNTOS'!$A$1:$B$63,2,0),0)</f>
        <v>0</v>
      </c>
      <c r="L420" s="138">
        <f>IF('1.DATOS-PROD'!U421="SI",VLOOKUP('1.DATOS-PROD'!U$2,'1.PUNTOS'!$A$1:$B$63,2,0),0)</f>
        <v>0</v>
      </c>
      <c r="M420" s="138">
        <f>IF('1.DATOS-PROD'!V421="SI",VLOOKUP('1.DATOS-PROD'!V$2,'1.PUNTOS'!$A$1:$B$63,2,0),0)</f>
        <v>0</v>
      </c>
      <c r="N420" s="138">
        <f>IF('1.DATOS-PROD'!W421="SI",VLOOKUP('1.DATOS-PROD'!W$2,'1.PUNTOS'!$A$1:$B$63,2,0),0)</f>
        <v>0</v>
      </c>
      <c r="O420" s="138">
        <f>IF('1.DATOS-PROD'!X421="SI",VLOOKUP('1.DATOS-PROD'!X$2,'1.PUNTOS'!$A$1:$B$63,2,0),0)</f>
        <v>0</v>
      </c>
      <c r="P420" s="138">
        <f>IF('1.DATOS-PROD'!Y421="SI",VLOOKUP('1.DATOS-PROD'!Y$2,'1.PUNTOS'!$A$1:$B$63,2,0),0)</f>
        <v>0</v>
      </c>
      <c r="Q420" s="138">
        <f>IF('1.DATOS-PROD'!Z421="SI",VLOOKUP('1.DATOS-PROD'!Z$2,'1.PUNTOS'!$A$1:$B$63,2,0),0)</f>
        <v>0</v>
      </c>
      <c r="R420" s="138">
        <f>IF('1.DATOS-PROD'!AA421="SI",VLOOKUP('1.DATOS-PROD'!AA$2,'1.PUNTOS'!$A$1:$B$63,2,0),0)</f>
        <v>0</v>
      </c>
      <c r="S420" s="138">
        <f>IF('1.DATOS-PROD'!AB421="SI",VLOOKUP('1.DATOS-PROD'!AB$2,'1.PUNTOS'!$A$1:$B$63,2,0),0)</f>
        <v>0</v>
      </c>
      <c r="T420" s="138">
        <f>IF('1.DATOS-PROD'!AC421="SI",VLOOKUP('1.DATOS-PROD'!AC$2,'1.PUNTOS'!$A$1:$B$63,2,0),0)</f>
        <v>0</v>
      </c>
      <c r="U420" s="138">
        <f>IF('1.DATOS-PROD'!AD421="SI",VLOOKUP('1.DATOS-PROD'!AD$2,'1.PUNTOS'!$A$1:$B$63,2,0),0)</f>
        <v>0</v>
      </c>
      <c r="V420" s="138">
        <f>IF('1.DATOS-PROD'!AE421="SI",VLOOKUP('1.DATOS-PROD'!AE$2,'1.PUNTOS'!$A$1:$B$63,2,0),0)</f>
        <v>0</v>
      </c>
      <c r="W420" s="138">
        <f>IF('1.DATOS-PROD'!AF421="SI",VLOOKUP('1.DATOS-PROD'!AF$2,'1.PUNTOS'!$A$1:$B$63,2,0),0)</f>
        <v>0</v>
      </c>
      <c r="X420" s="138">
        <f>IF('1.DATOS-PROD'!AG421="SI",VLOOKUP('1.DATOS-PROD'!AG$2,'1.PUNTOS'!$A$1:$B$63,2,0),0)</f>
        <v>0</v>
      </c>
      <c r="Y420" s="138">
        <f>IF('1.DATOS-PROD'!AH421="SI",VLOOKUP('1.DATOS-PROD'!AH$2,'1.PUNTOS'!$A$1:$B$63,2,0),0)</f>
        <v>0</v>
      </c>
      <c r="Z420" s="138">
        <f>IF('1.DATOS-PROD'!AI421="SI",VLOOKUP('1.DATOS-PROD'!AI$2,'1.PUNTOS'!$A$1:$B$63,2,0),0)</f>
        <v>0</v>
      </c>
      <c r="AA420" s="138">
        <f>IF('1.DATOS-PROD'!AJ421="SI",VLOOKUP('1.DATOS-PROD'!AJ$2,'1.PUNTOS'!$A$1:$B$63,2,0),0)</f>
        <v>0</v>
      </c>
      <c r="AB420" s="138">
        <f>IF('1.DATOS-PROD'!AK421="SI",VLOOKUP('1.DATOS-PROD'!AK$2,'1.PUNTOS'!$A$1:$B$63,2,0),0)</f>
        <v>0</v>
      </c>
      <c r="AC420" s="138">
        <f>IF('1.DATOS-PROD'!AL421="SI",VLOOKUP('1.DATOS-PROD'!AL$2,'1.PUNTOS'!$A$1:$B$63,2,0),0)</f>
        <v>0</v>
      </c>
      <c r="AD420" s="138">
        <f>IF('1.DATOS-PROD'!AM421="SI",VLOOKUP('1.DATOS-PROD'!AM$2,'1.PUNTOS'!$A$1:$B$63,2,0),0)</f>
        <v>0</v>
      </c>
      <c r="AE420" s="138">
        <f>IF('1.DATOS-PROD'!AN421="SI",VLOOKUP('1.DATOS-PROD'!AN$2,'1.PUNTOS'!$A$1:$B$63,2,0),0)</f>
        <v>0</v>
      </c>
      <c r="AF420" s="138">
        <f>IF('1.DATOS-PROD'!AO421="SI",VLOOKUP('1.DATOS-PROD'!AO$2,'1.PUNTOS'!$A$1:$B$63,2,0),0)</f>
        <v>0</v>
      </c>
      <c r="AG420" s="138">
        <f>IF('1.DATOS-PROD'!AP421="SI",VLOOKUP('1.DATOS-PROD'!AP$2,'1.PUNTOS'!$A$1:$B$63,2,0),0)</f>
        <v>0</v>
      </c>
      <c r="AH420" s="138">
        <f>IF('1.DATOS-PROD'!AQ421="SI",VLOOKUP('1.DATOS-PROD'!AQ$2,'1.PUNTOS'!$A$1:$B$63,2,0),0)</f>
        <v>0</v>
      </c>
      <c r="AI420" s="138">
        <f>IF('1.DATOS-PROD'!AR421="SI",VLOOKUP('1.DATOS-PROD'!AR$2,'1.PUNTOS'!$A$1:$B$63,2,0),0)</f>
        <v>0</v>
      </c>
      <c r="AJ420" s="138">
        <f>IF('1.DATOS-PROD'!AS421="SI",VLOOKUP('1.DATOS-PROD'!AS$2,'1.PUNTOS'!$A$1:$B$63,2,0),0)</f>
        <v>0</v>
      </c>
      <c r="AK420" s="138">
        <f>IF('1.DATOS-PROD'!AT421="SI",VLOOKUP('1.DATOS-PROD'!AT$2,'1.PUNTOS'!$A$1:$B$63,2,0),0)</f>
        <v>0</v>
      </c>
      <c r="AL420" s="138">
        <f>IF('1.DATOS-PROD'!AU421="SI",VLOOKUP('1.DATOS-PROD'!AU$2,'1.PUNTOS'!$A$1:$B$63,2,0),0)</f>
        <v>0</v>
      </c>
      <c r="AM420" s="138">
        <f>IF('1.DATOS-PROD'!AV421="SI",VLOOKUP('1.DATOS-PROD'!AV$2,'1.PUNTOS'!$A$1:$B$63,2,0),0)</f>
        <v>0</v>
      </c>
      <c r="AN420" s="138">
        <f>IF('1.DATOS-PROD'!AW421="SI",VLOOKUP('1.DATOS-PROD'!AW$2,'1.PUNTOS'!$A$1:$B$63,2,0),0)</f>
        <v>0</v>
      </c>
      <c r="AO420" s="138">
        <f>IF('1.DATOS-PROD'!AX421="SI",VLOOKUP('1.DATOS-PROD'!AX$2,'1.PUNTOS'!$A$1:$B$63,2,0),0)</f>
        <v>0</v>
      </c>
      <c r="AP420" s="138">
        <f>IF('1.DATOS-PROD'!AY421="SI",VLOOKUP('1.DATOS-PROD'!AY$2,'1.PUNTOS'!$A$1:$B$63,2,0),0)</f>
        <v>0</v>
      </c>
      <c r="AQ420" s="138">
        <f>IF('1.DATOS-PROD'!AZ421="SI",VLOOKUP('1.DATOS-PROD'!AZ$2,'1.PUNTOS'!$A$1:$B$63,2,0),0)</f>
        <v>0</v>
      </c>
      <c r="AR420" s="138">
        <f>IF('1.DATOS-PROD'!BA421="SI",VLOOKUP('1.DATOS-PROD'!BA$2,'1.PUNTOS'!$A$1:$B$63,2,0),0)</f>
        <v>0</v>
      </c>
      <c r="AS420" s="138">
        <f>IF('1.DATOS-PROD'!BB421="SI",VLOOKUP('1.DATOS-PROD'!BB$2,'1.PUNTOS'!$A$1:$B$63,2,0),0)</f>
        <v>0</v>
      </c>
      <c r="AT420" s="138">
        <f>IF('1.DATOS-PROD'!BC421="SI",VLOOKUP('1.DATOS-PROD'!BC$2,'1.PUNTOS'!$A$1:$B$63,2,0),0)</f>
        <v>0</v>
      </c>
      <c r="AU420" s="138">
        <f>IF('1.DATOS-PROD'!BD421="SI",VLOOKUP('1.DATOS-PROD'!BD$2,'1.PUNTOS'!$A$1:$B$63,2,0),0)</f>
        <v>0</v>
      </c>
      <c r="AV420" s="138">
        <f>IF('1.DATOS-PROD'!BE421="SI",VLOOKUP('1.DATOS-PROD'!BE$2,'1.PUNTOS'!$A$1:$B$63,2,0),0)</f>
        <v>0</v>
      </c>
      <c r="AW420" s="138">
        <f>IF('1.DATOS-PROD'!BF421="SI",VLOOKUP('1.DATOS-PROD'!BF$2,'1.PUNTOS'!$A$1:$B$63,2,0),0)</f>
        <v>0</v>
      </c>
      <c r="AX420" s="138">
        <f>IF('1.DATOS-PROD'!BG421="SI",VLOOKUP('1.DATOS-PROD'!BG$2,'1.PUNTOS'!$A$1:$B$63,2,0),0)</f>
        <v>0</v>
      </c>
      <c r="AY420" s="138">
        <f>IF('1.DATOS-PROD'!BH421="SI",VLOOKUP('1.DATOS-PROD'!BH$2,'1.PUNTOS'!$A$1:$B$63,2,0),0)</f>
        <v>0</v>
      </c>
      <c r="AZ420" s="138">
        <f>IF('1.DATOS-PROD'!BI421="SI",VLOOKUP('1.DATOS-PROD'!BI$2,'1.PUNTOS'!$A$1:$B$63,2,0),0)</f>
        <v>0</v>
      </c>
      <c r="BA420" s="138">
        <f>IF('1.DATOS-PROD'!BJ421="SI",VLOOKUP('1.DATOS-PROD'!BJ$2,'1.PUNTOS'!$A$1:$B$63,2,0),0)</f>
        <v>0</v>
      </c>
      <c r="BB420" s="138">
        <f>IF('1.DATOS-PROD'!BK421="SI",VLOOKUP('1.DATOS-PROD'!BK$2,'1.PUNTOS'!$A$1:$B$63,2,0),0)</f>
        <v>0</v>
      </c>
      <c r="BC420" s="138">
        <f>IF('1.DATOS-PROD'!BL421="SI",VLOOKUP('1.DATOS-PROD'!BL$2,'1.PUNTOS'!$A$1:$B$63,2,0),0)</f>
        <v>0</v>
      </c>
      <c r="BD420" s="138">
        <f>IF('1.DATOS-PROD'!BM421="SI",VLOOKUP('1.DATOS-PROD'!BM$2,'1.PUNTOS'!$A$1:$B$63,2,0),0)</f>
        <v>0</v>
      </c>
      <c r="BE420" s="138">
        <f>IF('1.DATOS-PROD'!BN421="SI",VLOOKUP('1.DATOS-PROD'!BN$2,'1.PUNTOS'!$A$1:$B$63,2,0),0)</f>
        <v>0</v>
      </c>
      <c r="BF420" s="138">
        <f>IF('1.DATOS-PROD'!BO421="SI",VLOOKUP('1.DATOS-PROD'!BO$2,'1.PUNTOS'!$A$1:$B$63,2,0),0)</f>
        <v>0</v>
      </c>
      <c r="BG420" s="138">
        <f>IF('1.DATOS-PROD'!BP421="SI",VLOOKUP('1.DATOS-PROD'!BP$2,'1.PUNTOS'!$A$1:$B$63,2,0),0)</f>
        <v>0</v>
      </c>
      <c r="BH420" s="138">
        <f>IF('1.DATOS-PROD'!BQ421="SI",VLOOKUP('1.DATOS-PROD'!BQ$2,'1.PUNTOS'!$A$1:$B$63,2,0),0)</f>
        <v>0</v>
      </c>
      <c r="BI420" s="138">
        <f>IF('1.DATOS-PROD'!BR421="SI",VLOOKUP('1.DATOS-PROD'!BR$2,'1.PUNTOS'!$A$1:$B$63,2,0),0)</f>
        <v>0</v>
      </c>
      <c r="BJ420" s="138">
        <f>IF('1.DATOS-PROD'!BS421="SI",VLOOKUP('1.DATOS-PROD'!BS$2,'1.PUNTOS'!$A$1:$B$63,2,0),0)</f>
        <v>0</v>
      </c>
      <c r="BK420" s="138">
        <f>IF('1.DATOS-PROD'!BT421="SI",VLOOKUP('1.DATOS-PROD'!BT$2,'1.PUNTOS'!$A$1:$B$63,2,0),0)</f>
        <v>0</v>
      </c>
    </row>
    <row r="421" spans="1:63" x14ac:dyDescent="0.25">
      <c r="A421">
        <f>'0.Consolidado general'!$A422</f>
        <v>0</v>
      </c>
      <c r="B421" s="138">
        <f>IF('1.DATOS-PROD'!K422="SI",VLOOKUP('1.DATOS-PROD'!K$2,'1.PUNTOS'!$A$1:$B$63,2,0),0)</f>
        <v>0</v>
      </c>
      <c r="C421" s="138">
        <f>IF('1.DATOS-PROD'!L422="SI",VLOOKUP('1.DATOS-PROD'!L$2,'1.PUNTOS'!$A$1:$B$63,2,0),0)</f>
        <v>0</v>
      </c>
      <c r="D421" s="138">
        <f>IF('1.DATOS-PROD'!M422="SI",VLOOKUP('1.DATOS-PROD'!M$2,'1.PUNTOS'!$A$1:$B$63,2,0),0)</f>
        <v>0</v>
      </c>
      <c r="E421" s="138">
        <f>IF('1.DATOS-PROD'!N422="SI",VLOOKUP('1.DATOS-PROD'!N$2,'1.PUNTOS'!$A$1:$B$63,2,0),0)</f>
        <v>0</v>
      </c>
      <c r="F421" s="138">
        <f>IF('1.DATOS-PROD'!O422="SI",VLOOKUP('1.DATOS-PROD'!O$2,'1.PUNTOS'!$A$1:$B$63,2,0),0)</f>
        <v>0</v>
      </c>
      <c r="G421" s="138">
        <f>IF('1.DATOS-PROD'!P422="SI",VLOOKUP('1.DATOS-PROD'!P$2,'1.PUNTOS'!$A$1:$B$63,2,0),0)</f>
        <v>0</v>
      </c>
      <c r="H421" s="138">
        <f>IF('1.DATOS-PROD'!Q422="SI",VLOOKUP('1.DATOS-PROD'!Q$2,'1.PUNTOS'!$A$1:$B$63,2,0),0)</f>
        <v>0</v>
      </c>
      <c r="I421" s="138">
        <f>IF('1.DATOS-PROD'!R422="SI",VLOOKUP('1.DATOS-PROD'!R$2,'1.PUNTOS'!$A$1:$B$63,2,0),0)</f>
        <v>0</v>
      </c>
      <c r="J421" s="138">
        <f>IF('1.DATOS-PROD'!S422="SI",VLOOKUP('1.DATOS-PROD'!S$2,'1.PUNTOS'!$A$1:$B$63,2,0),0)</f>
        <v>0</v>
      </c>
      <c r="K421" s="138">
        <f>IF('1.DATOS-PROD'!T422="SI",VLOOKUP('1.DATOS-PROD'!T$2,'1.PUNTOS'!$A$1:$B$63,2,0),0)</f>
        <v>0</v>
      </c>
      <c r="L421" s="138">
        <f>IF('1.DATOS-PROD'!U422="SI",VLOOKUP('1.DATOS-PROD'!U$2,'1.PUNTOS'!$A$1:$B$63,2,0),0)</f>
        <v>0</v>
      </c>
      <c r="M421" s="138">
        <f>IF('1.DATOS-PROD'!V422="SI",VLOOKUP('1.DATOS-PROD'!V$2,'1.PUNTOS'!$A$1:$B$63,2,0),0)</f>
        <v>0</v>
      </c>
      <c r="N421" s="138">
        <f>IF('1.DATOS-PROD'!W422="SI",VLOOKUP('1.DATOS-PROD'!W$2,'1.PUNTOS'!$A$1:$B$63,2,0),0)</f>
        <v>0</v>
      </c>
      <c r="O421" s="138">
        <f>IF('1.DATOS-PROD'!X422="SI",VLOOKUP('1.DATOS-PROD'!X$2,'1.PUNTOS'!$A$1:$B$63,2,0),0)</f>
        <v>0</v>
      </c>
      <c r="P421" s="138">
        <f>IF('1.DATOS-PROD'!Y422="SI",VLOOKUP('1.DATOS-PROD'!Y$2,'1.PUNTOS'!$A$1:$B$63,2,0),0)</f>
        <v>0</v>
      </c>
      <c r="Q421" s="138">
        <f>IF('1.DATOS-PROD'!Z422="SI",VLOOKUP('1.DATOS-PROD'!Z$2,'1.PUNTOS'!$A$1:$B$63,2,0),0)</f>
        <v>0</v>
      </c>
      <c r="R421" s="138">
        <f>IF('1.DATOS-PROD'!AA422="SI",VLOOKUP('1.DATOS-PROD'!AA$2,'1.PUNTOS'!$A$1:$B$63,2,0),0)</f>
        <v>0</v>
      </c>
      <c r="S421" s="138">
        <f>IF('1.DATOS-PROD'!AB422="SI",VLOOKUP('1.DATOS-PROD'!AB$2,'1.PUNTOS'!$A$1:$B$63,2,0),0)</f>
        <v>0</v>
      </c>
      <c r="T421" s="138">
        <f>IF('1.DATOS-PROD'!AC422="SI",VLOOKUP('1.DATOS-PROD'!AC$2,'1.PUNTOS'!$A$1:$B$63,2,0),0)</f>
        <v>0</v>
      </c>
      <c r="U421" s="138">
        <f>IF('1.DATOS-PROD'!AD422="SI",VLOOKUP('1.DATOS-PROD'!AD$2,'1.PUNTOS'!$A$1:$B$63,2,0),0)</f>
        <v>0</v>
      </c>
      <c r="V421" s="138">
        <f>IF('1.DATOS-PROD'!AE422="SI",VLOOKUP('1.DATOS-PROD'!AE$2,'1.PUNTOS'!$A$1:$B$63,2,0),0)</f>
        <v>0</v>
      </c>
      <c r="W421" s="138">
        <f>IF('1.DATOS-PROD'!AF422="SI",VLOOKUP('1.DATOS-PROD'!AF$2,'1.PUNTOS'!$A$1:$B$63,2,0),0)</f>
        <v>0</v>
      </c>
      <c r="X421" s="138">
        <f>IF('1.DATOS-PROD'!AG422="SI",VLOOKUP('1.DATOS-PROD'!AG$2,'1.PUNTOS'!$A$1:$B$63,2,0),0)</f>
        <v>0</v>
      </c>
      <c r="Y421" s="138">
        <f>IF('1.DATOS-PROD'!AH422="SI",VLOOKUP('1.DATOS-PROD'!AH$2,'1.PUNTOS'!$A$1:$B$63,2,0),0)</f>
        <v>0</v>
      </c>
      <c r="Z421" s="138">
        <f>IF('1.DATOS-PROD'!AI422="SI",VLOOKUP('1.DATOS-PROD'!AI$2,'1.PUNTOS'!$A$1:$B$63,2,0),0)</f>
        <v>0</v>
      </c>
      <c r="AA421" s="138">
        <f>IF('1.DATOS-PROD'!AJ422="SI",VLOOKUP('1.DATOS-PROD'!AJ$2,'1.PUNTOS'!$A$1:$B$63,2,0),0)</f>
        <v>0</v>
      </c>
      <c r="AB421" s="138">
        <f>IF('1.DATOS-PROD'!AK422="SI",VLOOKUP('1.DATOS-PROD'!AK$2,'1.PUNTOS'!$A$1:$B$63,2,0),0)</f>
        <v>0</v>
      </c>
      <c r="AC421" s="138">
        <f>IF('1.DATOS-PROD'!AL422="SI",VLOOKUP('1.DATOS-PROD'!AL$2,'1.PUNTOS'!$A$1:$B$63,2,0),0)</f>
        <v>0</v>
      </c>
      <c r="AD421" s="138">
        <f>IF('1.DATOS-PROD'!AM422="SI",VLOOKUP('1.DATOS-PROD'!AM$2,'1.PUNTOS'!$A$1:$B$63,2,0),0)</f>
        <v>0</v>
      </c>
      <c r="AE421" s="138">
        <f>IF('1.DATOS-PROD'!AN422="SI",VLOOKUP('1.DATOS-PROD'!AN$2,'1.PUNTOS'!$A$1:$B$63,2,0),0)</f>
        <v>0</v>
      </c>
      <c r="AF421" s="138">
        <f>IF('1.DATOS-PROD'!AO422="SI",VLOOKUP('1.DATOS-PROD'!AO$2,'1.PUNTOS'!$A$1:$B$63,2,0),0)</f>
        <v>0</v>
      </c>
      <c r="AG421" s="138">
        <f>IF('1.DATOS-PROD'!AP422="SI",VLOOKUP('1.DATOS-PROD'!AP$2,'1.PUNTOS'!$A$1:$B$63,2,0),0)</f>
        <v>0</v>
      </c>
      <c r="AH421" s="138">
        <f>IF('1.DATOS-PROD'!AQ422="SI",VLOOKUP('1.DATOS-PROD'!AQ$2,'1.PUNTOS'!$A$1:$B$63,2,0),0)</f>
        <v>0</v>
      </c>
      <c r="AI421" s="138">
        <f>IF('1.DATOS-PROD'!AR422="SI",VLOOKUP('1.DATOS-PROD'!AR$2,'1.PUNTOS'!$A$1:$B$63,2,0),0)</f>
        <v>0</v>
      </c>
      <c r="AJ421" s="138">
        <f>IF('1.DATOS-PROD'!AS422="SI",VLOOKUP('1.DATOS-PROD'!AS$2,'1.PUNTOS'!$A$1:$B$63,2,0),0)</f>
        <v>0</v>
      </c>
      <c r="AK421" s="138">
        <f>IF('1.DATOS-PROD'!AT422="SI",VLOOKUP('1.DATOS-PROD'!AT$2,'1.PUNTOS'!$A$1:$B$63,2,0),0)</f>
        <v>0</v>
      </c>
      <c r="AL421" s="138">
        <f>IF('1.DATOS-PROD'!AU422="SI",VLOOKUP('1.DATOS-PROD'!AU$2,'1.PUNTOS'!$A$1:$B$63,2,0),0)</f>
        <v>0</v>
      </c>
      <c r="AM421" s="138">
        <f>IF('1.DATOS-PROD'!AV422="SI",VLOOKUP('1.DATOS-PROD'!AV$2,'1.PUNTOS'!$A$1:$B$63,2,0),0)</f>
        <v>0</v>
      </c>
      <c r="AN421" s="138">
        <f>IF('1.DATOS-PROD'!AW422="SI",VLOOKUP('1.DATOS-PROD'!AW$2,'1.PUNTOS'!$A$1:$B$63,2,0),0)</f>
        <v>0</v>
      </c>
      <c r="AO421" s="138">
        <f>IF('1.DATOS-PROD'!AX422="SI",VLOOKUP('1.DATOS-PROD'!AX$2,'1.PUNTOS'!$A$1:$B$63,2,0),0)</f>
        <v>0</v>
      </c>
      <c r="AP421" s="138">
        <f>IF('1.DATOS-PROD'!AY422="SI",VLOOKUP('1.DATOS-PROD'!AY$2,'1.PUNTOS'!$A$1:$B$63,2,0),0)</f>
        <v>0</v>
      </c>
      <c r="AQ421" s="138">
        <f>IF('1.DATOS-PROD'!AZ422="SI",VLOOKUP('1.DATOS-PROD'!AZ$2,'1.PUNTOS'!$A$1:$B$63,2,0),0)</f>
        <v>0</v>
      </c>
      <c r="AR421" s="138">
        <f>IF('1.DATOS-PROD'!BA422="SI",VLOOKUP('1.DATOS-PROD'!BA$2,'1.PUNTOS'!$A$1:$B$63,2,0),0)</f>
        <v>0</v>
      </c>
      <c r="AS421" s="138">
        <f>IF('1.DATOS-PROD'!BB422="SI",VLOOKUP('1.DATOS-PROD'!BB$2,'1.PUNTOS'!$A$1:$B$63,2,0),0)</f>
        <v>0</v>
      </c>
      <c r="AT421" s="138">
        <f>IF('1.DATOS-PROD'!BC422="SI",VLOOKUP('1.DATOS-PROD'!BC$2,'1.PUNTOS'!$A$1:$B$63,2,0),0)</f>
        <v>0</v>
      </c>
      <c r="AU421" s="138">
        <f>IF('1.DATOS-PROD'!BD422="SI",VLOOKUP('1.DATOS-PROD'!BD$2,'1.PUNTOS'!$A$1:$B$63,2,0),0)</f>
        <v>0</v>
      </c>
      <c r="AV421" s="138">
        <f>IF('1.DATOS-PROD'!BE422="SI",VLOOKUP('1.DATOS-PROD'!BE$2,'1.PUNTOS'!$A$1:$B$63,2,0),0)</f>
        <v>0</v>
      </c>
      <c r="AW421" s="138">
        <f>IF('1.DATOS-PROD'!BF422="SI",VLOOKUP('1.DATOS-PROD'!BF$2,'1.PUNTOS'!$A$1:$B$63,2,0),0)</f>
        <v>0</v>
      </c>
      <c r="AX421" s="138">
        <f>IF('1.DATOS-PROD'!BG422="SI",VLOOKUP('1.DATOS-PROD'!BG$2,'1.PUNTOS'!$A$1:$B$63,2,0),0)</f>
        <v>0</v>
      </c>
      <c r="AY421" s="138">
        <f>IF('1.DATOS-PROD'!BH422="SI",VLOOKUP('1.DATOS-PROD'!BH$2,'1.PUNTOS'!$A$1:$B$63,2,0),0)</f>
        <v>0</v>
      </c>
      <c r="AZ421" s="138">
        <f>IF('1.DATOS-PROD'!BI422="SI",VLOOKUP('1.DATOS-PROD'!BI$2,'1.PUNTOS'!$A$1:$B$63,2,0),0)</f>
        <v>0</v>
      </c>
      <c r="BA421" s="138">
        <f>IF('1.DATOS-PROD'!BJ422="SI",VLOOKUP('1.DATOS-PROD'!BJ$2,'1.PUNTOS'!$A$1:$B$63,2,0),0)</f>
        <v>0</v>
      </c>
      <c r="BB421" s="138">
        <f>IF('1.DATOS-PROD'!BK422="SI",VLOOKUP('1.DATOS-PROD'!BK$2,'1.PUNTOS'!$A$1:$B$63,2,0),0)</f>
        <v>0</v>
      </c>
      <c r="BC421" s="138">
        <f>IF('1.DATOS-PROD'!BL422="SI",VLOOKUP('1.DATOS-PROD'!BL$2,'1.PUNTOS'!$A$1:$B$63,2,0),0)</f>
        <v>0</v>
      </c>
      <c r="BD421" s="138">
        <f>IF('1.DATOS-PROD'!BM422="SI",VLOOKUP('1.DATOS-PROD'!BM$2,'1.PUNTOS'!$A$1:$B$63,2,0),0)</f>
        <v>0</v>
      </c>
      <c r="BE421" s="138">
        <f>IF('1.DATOS-PROD'!BN422="SI",VLOOKUP('1.DATOS-PROD'!BN$2,'1.PUNTOS'!$A$1:$B$63,2,0),0)</f>
        <v>0</v>
      </c>
      <c r="BF421" s="138">
        <f>IF('1.DATOS-PROD'!BO422="SI",VLOOKUP('1.DATOS-PROD'!BO$2,'1.PUNTOS'!$A$1:$B$63,2,0),0)</f>
        <v>0</v>
      </c>
      <c r="BG421" s="138">
        <f>IF('1.DATOS-PROD'!BP422="SI",VLOOKUP('1.DATOS-PROD'!BP$2,'1.PUNTOS'!$A$1:$B$63,2,0),0)</f>
        <v>0</v>
      </c>
      <c r="BH421" s="138">
        <f>IF('1.DATOS-PROD'!BQ422="SI",VLOOKUP('1.DATOS-PROD'!BQ$2,'1.PUNTOS'!$A$1:$B$63,2,0),0)</f>
        <v>0</v>
      </c>
      <c r="BI421" s="138">
        <f>IF('1.DATOS-PROD'!BR422="SI",VLOOKUP('1.DATOS-PROD'!BR$2,'1.PUNTOS'!$A$1:$B$63,2,0),0)</f>
        <v>0</v>
      </c>
      <c r="BJ421" s="138">
        <f>IF('1.DATOS-PROD'!BS422="SI",VLOOKUP('1.DATOS-PROD'!BS$2,'1.PUNTOS'!$A$1:$B$63,2,0),0)</f>
        <v>0</v>
      </c>
      <c r="BK421" s="138">
        <f>IF('1.DATOS-PROD'!BT422="SI",VLOOKUP('1.DATOS-PROD'!BT$2,'1.PUNTOS'!$A$1:$B$63,2,0),0)</f>
        <v>0</v>
      </c>
    </row>
    <row r="422" spans="1:63" x14ac:dyDescent="0.25">
      <c r="A422">
        <f>'0.Consolidado general'!$A423</f>
        <v>0</v>
      </c>
      <c r="B422" s="138">
        <f>IF('1.DATOS-PROD'!K423="SI",VLOOKUP('1.DATOS-PROD'!K$2,'1.PUNTOS'!$A$1:$B$63,2,0),0)</f>
        <v>0</v>
      </c>
      <c r="C422" s="138">
        <f>IF('1.DATOS-PROD'!L423="SI",VLOOKUP('1.DATOS-PROD'!L$2,'1.PUNTOS'!$A$1:$B$63,2,0),0)</f>
        <v>0</v>
      </c>
      <c r="D422" s="138">
        <f>IF('1.DATOS-PROD'!M423="SI",VLOOKUP('1.DATOS-PROD'!M$2,'1.PUNTOS'!$A$1:$B$63,2,0),0)</f>
        <v>0</v>
      </c>
      <c r="E422" s="138">
        <f>IF('1.DATOS-PROD'!N423="SI",VLOOKUP('1.DATOS-PROD'!N$2,'1.PUNTOS'!$A$1:$B$63,2,0),0)</f>
        <v>0</v>
      </c>
      <c r="F422" s="138">
        <f>IF('1.DATOS-PROD'!O423="SI",VLOOKUP('1.DATOS-PROD'!O$2,'1.PUNTOS'!$A$1:$B$63,2,0),0)</f>
        <v>0</v>
      </c>
      <c r="G422" s="138">
        <f>IF('1.DATOS-PROD'!P423="SI",VLOOKUP('1.DATOS-PROD'!P$2,'1.PUNTOS'!$A$1:$B$63,2,0),0)</f>
        <v>0</v>
      </c>
      <c r="H422" s="138">
        <f>IF('1.DATOS-PROD'!Q423="SI",VLOOKUP('1.DATOS-PROD'!Q$2,'1.PUNTOS'!$A$1:$B$63,2,0),0)</f>
        <v>0</v>
      </c>
      <c r="I422" s="138">
        <f>IF('1.DATOS-PROD'!R423="SI",VLOOKUP('1.DATOS-PROD'!R$2,'1.PUNTOS'!$A$1:$B$63,2,0),0)</f>
        <v>0</v>
      </c>
      <c r="J422" s="138">
        <f>IF('1.DATOS-PROD'!S423="SI",VLOOKUP('1.DATOS-PROD'!S$2,'1.PUNTOS'!$A$1:$B$63,2,0),0)</f>
        <v>0</v>
      </c>
      <c r="K422" s="138">
        <f>IF('1.DATOS-PROD'!T423="SI",VLOOKUP('1.DATOS-PROD'!T$2,'1.PUNTOS'!$A$1:$B$63,2,0),0)</f>
        <v>0</v>
      </c>
      <c r="L422" s="138">
        <f>IF('1.DATOS-PROD'!U423="SI",VLOOKUP('1.DATOS-PROD'!U$2,'1.PUNTOS'!$A$1:$B$63,2,0),0)</f>
        <v>0</v>
      </c>
      <c r="M422" s="138">
        <f>IF('1.DATOS-PROD'!V423="SI",VLOOKUP('1.DATOS-PROD'!V$2,'1.PUNTOS'!$A$1:$B$63,2,0),0)</f>
        <v>0</v>
      </c>
      <c r="N422" s="138">
        <f>IF('1.DATOS-PROD'!W423="SI",VLOOKUP('1.DATOS-PROD'!W$2,'1.PUNTOS'!$A$1:$B$63,2,0),0)</f>
        <v>0</v>
      </c>
      <c r="O422" s="138">
        <f>IF('1.DATOS-PROD'!X423="SI",VLOOKUP('1.DATOS-PROD'!X$2,'1.PUNTOS'!$A$1:$B$63,2,0),0)</f>
        <v>0</v>
      </c>
      <c r="P422" s="138">
        <f>IF('1.DATOS-PROD'!Y423="SI",VLOOKUP('1.DATOS-PROD'!Y$2,'1.PUNTOS'!$A$1:$B$63,2,0),0)</f>
        <v>0</v>
      </c>
      <c r="Q422" s="138">
        <f>IF('1.DATOS-PROD'!Z423="SI",VLOOKUP('1.DATOS-PROD'!Z$2,'1.PUNTOS'!$A$1:$B$63,2,0),0)</f>
        <v>0</v>
      </c>
      <c r="R422" s="138">
        <f>IF('1.DATOS-PROD'!AA423="SI",VLOOKUP('1.DATOS-PROD'!AA$2,'1.PUNTOS'!$A$1:$B$63,2,0),0)</f>
        <v>0</v>
      </c>
      <c r="S422" s="138">
        <f>IF('1.DATOS-PROD'!AB423="SI",VLOOKUP('1.DATOS-PROD'!AB$2,'1.PUNTOS'!$A$1:$B$63,2,0),0)</f>
        <v>0</v>
      </c>
      <c r="T422" s="138">
        <f>IF('1.DATOS-PROD'!AC423="SI",VLOOKUP('1.DATOS-PROD'!AC$2,'1.PUNTOS'!$A$1:$B$63,2,0),0)</f>
        <v>0</v>
      </c>
      <c r="U422" s="138">
        <f>IF('1.DATOS-PROD'!AD423="SI",VLOOKUP('1.DATOS-PROD'!AD$2,'1.PUNTOS'!$A$1:$B$63,2,0),0)</f>
        <v>0</v>
      </c>
      <c r="V422" s="138">
        <f>IF('1.DATOS-PROD'!AE423="SI",VLOOKUP('1.DATOS-PROD'!AE$2,'1.PUNTOS'!$A$1:$B$63,2,0),0)</f>
        <v>0</v>
      </c>
      <c r="W422" s="138">
        <f>IF('1.DATOS-PROD'!AF423="SI",VLOOKUP('1.DATOS-PROD'!AF$2,'1.PUNTOS'!$A$1:$B$63,2,0),0)</f>
        <v>0</v>
      </c>
      <c r="X422" s="138">
        <f>IF('1.DATOS-PROD'!AG423="SI",VLOOKUP('1.DATOS-PROD'!AG$2,'1.PUNTOS'!$A$1:$B$63,2,0),0)</f>
        <v>0</v>
      </c>
      <c r="Y422" s="138">
        <f>IF('1.DATOS-PROD'!AH423="SI",VLOOKUP('1.DATOS-PROD'!AH$2,'1.PUNTOS'!$A$1:$B$63,2,0),0)</f>
        <v>0</v>
      </c>
      <c r="Z422" s="138">
        <f>IF('1.DATOS-PROD'!AI423="SI",VLOOKUP('1.DATOS-PROD'!AI$2,'1.PUNTOS'!$A$1:$B$63,2,0),0)</f>
        <v>0</v>
      </c>
      <c r="AA422" s="138">
        <f>IF('1.DATOS-PROD'!AJ423="SI",VLOOKUP('1.DATOS-PROD'!AJ$2,'1.PUNTOS'!$A$1:$B$63,2,0),0)</f>
        <v>0</v>
      </c>
      <c r="AB422" s="138">
        <f>IF('1.DATOS-PROD'!AK423="SI",VLOOKUP('1.DATOS-PROD'!AK$2,'1.PUNTOS'!$A$1:$B$63,2,0),0)</f>
        <v>0</v>
      </c>
      <c r="AC422" s="138">
        <f>IF('1.DATOS-PROD'!AL423="SI",VLOOKUP('1.DATOS-PROD'!AL$2,'1.PUNTOS'!$A$1:$B$63,2,0),0)</f>
        <v>0</v>
      </c>
      <c r="AD422" s="138">
        <f>IF('1.DATOS-PROD'!AM423="SI",VLOOKUP('1.DATOS-PROD'!AM$2,'1.PUNTOS'!$A$1:$B$63,2,0),0)</f>
        <v>0</v>
      </c>
      <c r="AE422" s="138">
        <f>IF('1.DATOS-PROD'!AN423="SI",VLOOKUP('1.DATOS-PROD'!AN$2,'1.PUNTOS'!$A$1:$B$63,2,0),0)</f>
        <v>0</v>
      </c>
      <c r="AF422" s="138">
        <f>IF('1.DATOS-PROD'!AO423="SI",VLOOKUP('1.DATOS-PROD'!AO$2,'1.PUNTOS'!$A$1:$B$63,2,0),0)</f>
        <v>0</v>
      </c>
      <c r="AG422" s="138">
        <f>IF('1.DATOS-PROD'!AP423="SI",VLOOKUP('1.DATOS-PROD'!AP$2,'1.PUNTOS'!$A$1:$B$63,2,0),0)</f>
        <v>0</v>
      </c>
      <c r="AH422" s="138">
        <f>IF('1.DATOS-PROD'!AQ423="SI",VLOOKUP('1.DATOS-PROD'!AQ$2,'1.PUNTOS'!$A$1:$B$63,2,0),0)</f>
        <v>0</v>
      </c>
      <c r="AI422" s="138">
        <f>IF('1.DATOS-PROD'!AR423="SI",VLOOKUP('1.DATOS-PROD'!AR$2,'1.PUNTOS'!$A$1:$B$63,2,0),0)</f>
        <v>0</v>
      </c>
      <c r="AJ422" s="138">
        <f>IF('1.DATOS-PROD'!AS423="SI",VLOOKUP('1.DATOS-PROD'!AS$2,'1.PUNTOS'!$A$1:$B$63,2,0),0)</f>
        <v>0</v>
      </c>
      <c r="AK422" s="138">
        <f>IF('1.DATOS-PROD'!AT423="SI",VLOOKUP('1.DATOS-PROD'!AT$2,'1.PUNTOS'!$A$1:$B$63,2,0),0)</f>
        <v>0</v>
      </c>
      <c r="AL422" s="138">
        <f>IF('1.DATOS-PROD'!AU423="SI",VLOOKUP('1.DATOS-PROD'!AU$2,'1.PUNTOS'!$A$1:$B$63,2,0),0)</f>
        <v>0</v>
      </c>
      <c r="AM422" s="138">
        <f>IF('1.DATOS-PROD'!AV423="SI",VLOOKUP('1.DATOS-PROD'!AV$2,'1.PUNTOS'!$A$1:$B$63,2,0),0)</f>
        <v>0</v>
      </c>
      <c r="AN422" s="138">
        <f>IF('1.DATOS-PROD'!AW423="SI",VLOOKUP('1.DATOS-PROD'!AW$2,'1.PUNTOS'!$A$1:$B$63,2,0),0)</f>
        <v>0</v>
      </c>
      <c r="AO422" s="138">
        <f>IF('1.DATOS-PROD'!AX423="SI",VLOOKUP('1.DATOS-PROD'!AX$2,'1.PUNTOS'!$A$1:$B$63,2,0),0)</f>
        <v>0</v>
      </c>
      <c r="AP422" s="138">
        <f>IF('1.DATOS-PROD'!AY423="SI",VLOOKUP('1.DATOS-PROD'!AY$2,'1.PUNTOS'!$A$1:$B$63,2,0),0)</f>
        <v>0</v>
      </c>
      <c r="AQ422" s="138">
        <f>IF('1.DATOS-PROD'!AZ423="SI",VLOOKUP('1.DATOS-PROD'!AZ$2,'1.PUNTOS'!$A$1:$B$63,2,0),0)</f>
        <v>0</v>
      </c>
      <c r="AR422" s="138">
        <f>IF('1.DATOS-PROD'!BA423="SI",VLOOKUP('1.DATOS-PROD'!BA$2,'1.PUNTOS'!$A$1:$B$63,2,0),0)</f>
        <v>0</v>
      </c>
      <c r="AS422" s="138">
        <f>IF('1.DATOS-PROD'!BB423="SI",VLOOKUP('1.DATOS-PROD'!BB$2,'1.PUNTOS'!$A$1:$B$63,2,0),0)</f>
        <v>0</v>
      </c>
      <c r="AT422" s="138">
        <f>IF('1.DATOS-PROD'!BC423="SI",VLOOKUP('1.DATOS-PROD'!BC$2,'1.PUNTOS'!$A$1:$B$63,2,0),0)</f>
        <v>0</v>
      </c>
      <c r="AU422" s="138">
        <f>IF('1.DATOS-PROD'!BD423="SI",VLOOKUP('1.DATOS-PROD'!BD$2,'1.PUNTOS'!$A$1:$B$63,2,0),0)</f>
        <v>0</v>
      </c>
      <c r="AV422" s="138">
        <f>IF('1.DATOS-PROD'!BE423="SI",VLOOKUP('1.DATOS-PROD'!BE$2,'1.PUNTOS'!$A$1:$B$63,2,0),0)</f>
        <v>0</v>
      </c>
      <c r="AW422" s="138">
        <f>IF('1.DATOS-PROD'!BF423="SI",VLOOKUP('1.DATOS-PROD'!BF$2,'1.PUNTOS'!$A$1:$B$63,2,0),0)</f>
        <v>0</v>
      </c>
      <c r="AX422" s="138">
        <f>IF('1.DATOS-PROD'!BG423="SI",VLOOKUP('1.DATOS-PROD'!BG$2,'1.PUNTOS'!$A$1:$B$63,2,0),0)</f>
        <v>0</v>
      </c>
      <c r="AY422" s="138">
        <f>IF('1.DATOS-PROD'!BH423="SI",VLOOKUP('1.DATOS-PROD'!BH$2,'1.PUNTOS'!$A$1:$B$63,2,0),0)</f>
        <v>0</v>
      </c>
      <c r="AZ422" s="138">
        <f>IF('1.DATOS-PROD'!BI423="SI",VLOOKUP('1.DATOS-PROD'!BI$2,'1.PUNTOS'!$A$1:$B$63,2,0),0)</f>
        <v>0</v>
      </c>
      <c r="BA422" s="138">
        <f>IF('1.DATOS-PROD'!BJ423="SI",VLOOKUP('1.DATOS-PROD'!BJ$2,'1.PUNTOS'!$A$1:$B$63,2,0),0)</f>
        <v>0</v>
      </c>
      <c r="BB422" s="138">
        <f>IF('1.DATOS-PROD'!BK423="SI",VLOOKUP('1.DATOS-PROD'!BK$2,'1.PUNTOS'!$A$1:$B$63,2,0),0)</f>
        <v>0</v>
      </c>
      <c r="BC422" s="138">
        <f>IF('1.DATOS-PROD'!BL423="SI",VLOOKUP('1.DATOS-PROD'!BL$2,'1.PUNTOS'!$A$1:$B$63,2,0),0)</f>
        <v>0</v>
      </c>
      <c r="BD422" s="138">
        <f>IF('1.DATOS-PROD'!BM423="SI",VLOOKUP('1.DATOS-PROD'!BM$2,'1.PUNTOS'!$A$1:$B$63,2,0),0)</f>
        <v>0</v>
      </c>
      <c r="BE422" s="138">
        <f>IF('1.DATOS-PROD'!BN423="SI",VLOOKUP('1.DATOS-PROD'!BN$2,'1.PUNTOS'!$A$1:$B$63,2,0),0)</f>
        <v>0</v>
      </c>
      <c r="BF422" s="138">
        <f>IF('1.DATOS-PROD'!BO423="SI",VLOOKUP('1.DATOS-PROD'!BO$2,'1.PUNTOS'!$A$1:$B$63,2,0),0)</f>
        <v>0</v>
      </c>
      <c r="BG422" s="138">
        <f>IF('1.DATOS-PROD'!BP423="SI",VLOOKUP('1.DATOS-PROD'!BP$2,'1.PUNTOS'!$A$1:$B$63,2,0),0)</f>
        <v>0</v>
      </c>
      <c r="BH422" s="138">
        <f>IF('1.DATOS-PROD'!BQ423="SI",VLOOKUP('1.DATOS-PROD'!BQ$2,'1.PUNTOS'!$A$1:$B$63,2,0),0)</f>
        <v>0</v>
      </c>
      <c r="BI422" s="138">
        <f>IF('1.DATOS-PROD'!BR423="SI",VLOOKUP('1.DATOS-PROD'!BR$2,'1.PUNTOS'!$A$1:$B$63,2,0),0)</f>
        <v>0</v>
      </c>
      <c r="BJ422" s="138">
        <f>IF('1.DATOS-PROD'!BS423="SI",VLOOKUP('1.DATOS-PROD'!BS$2,'1.PUNTOS'!$A$1:$B$63,2,0),0)</f>
        <v>0</v>
      </c>
      <c r="BK422" s="138">
        <f>IF('1.DATOS-PROD'!BT423="SI",VLOOKUP('1.DATOS-PROD'!BT$2,'1.PUNTOS'!$A$1:$B$63,2,0),0)</f>
        <v>0</v>
      </c>
    </row>
    <row r="423" spans="1:63" x14ac:dyDescent="0.25">
      <c r="A423">
        <f>'0.Consolidado general'!$A424</f>
        <v>0</v>
      </c>
      <c r="B423" s="138">
        <f>IF('1.DATOS-PROD'!K424="SI",VLOOKUP('1.DATOS-PROD'!K$2,'1.PUNTOS'!$A$1:$B$63,2,0),0)</f>
        <v>0</v>
      </c>
      <c r="C423" s="138">
        <f>IF('1.DATOS-PROD'!L424="SI",VLOOKUP('1.DATOS-PROD'!L$2,'1.PUNTOS'!$A$1:$B$63,2,0),0)</f>
        <v>0</v>
      </c>
      <c r="D423" s="138">
        <f>IF('1.DATOS-PROD'!M424="SI",VLOOKUP('1.DATOS-PROD'!M$2,'1.PUNTOS'!$A$1:$B$63,2,0),0)</f>
        <v>0</v>
      </c>
      <c r="E423" s="138">
        <f>IF('1.DATOS-PROD'!N424="SI",VLOOKUP('1.DATOS-PROD'!N$2,'1.PUNTOS'!$A$1:$B$63,2,0),0)</f>
        <v>0</v>
      </c>
      <c r="F423" s="138">
        <f>IF('1.DATOS-PROD'!O424="SI",VLOOKUP('1.DATOS-PROD'!O$2,'1.PUNTOS'!$A$1:$B$63,2,0),0)</f>
        <v>0</v>
      </c>
      <c r="G423" s="138">
        <f>IF('1.DATOS-PROD'!P424="SI",VLOOKUP('1.DATOS-PROD'!P$2,'1.PUNTOS'!$A$1:$B$63,2,0),0)</f>
        <v>0</v>
      </c>
      <c r="H423" s="138">
        <f>IF('1.DATOS-PROD'!Q424="SI",VLOOKUP('1.DATOS-PROD'!Q$2,'1.PUNTOS'!$A$1:$B$63,2,0),0)</f>
        <v>0</v>
      </c>
      <c r="I423" s="138">
        <f>IF('1.DATOS-PROD'!R424="SI",VLOOKUP('1.DATOS-PROD'!R$2,'1.PUNTOS'!$A$1:$B$63,2,0),0)</f>
        <v>0</v>
      </c>
      <c r="J423" s="138">
        <f>IF('1.DATOS-PROD'!S424="SI",VLOOKUP('1.DATOS-PROD'!S$2,'1.PUNTOS'!$A$1:$B$63,2,0),0)</f>
        <v>0</v>
      </c>
      <c r="K423" s="138">
        <f>IF('1.DATOS-PROD'!T424="SI",VLOOKUP('1.DATOS-PROD'!T$2,'1.PUNTOS'!$A$1:$B$63,2,0),0)</f>
        <v>0</v>
      </c>
      <c r="L423" s="138">
        <f>IF('1.DATOS-PROD'!U424="SI",VLOOKUP('1.DATOS-PROD'!U$2,'1.PUNTOS'!$A$1:$B$63,2,0),0)</f>
        <v>0</v>
      </c>
      <c r="M423" s="138">
        <f>IF('1.DATOS-PROD'!V424="SI",VLOOKUP('1.DATOS-PROD'!V$2,'1.PUNTOS'!$A$1:$B$63,2,0),0)</f>
        <v>0</v>
      </c>
      <c r="N423" s="138">
        <f>IF('1.DATOS-PROD'!W424="SI",VLOOKUP('1.DATOS-PROD'!W$2,'1.PUNTOS'!$A$1:$B$63,2,0),0)</f>
        <v>0</v>
      </c>
      <c r="O423" s="138">
        <f>IF('1.DATOS-PROD'!X424="SI",VLOOKUP('1.DATOS-PROD'!X$2,'1.PUNTOS'!$A$1:$B$63,2,0),0)</f>
        <v>0</v>
      </c>
      <c r="P423" s="138">
        <f>IF('1.DATOS-PROD'!Y424="SI",VLOOKUP('1.DATOS-PROD'!Y$2,'1.PUNTOS'!$A$1:$B$63,2,0),0)</f>
        <v>0</v>
      </c>
      <c r="Q423" s="138">
        <f>IF('1.DATOS-PROD'!Z424="SI",VLOOKUP('1.DATOS-PROD'!Z$2,'1.PUNTOS'!$A$1:$B$63,2,0),0)</f>
        <v>0</v>
      </c>
      <c r="R423" s="138">
        <f>IF('1.DATOS-PROD'!AA424="SI",VLOOKUP('1.DATOS-PROD'!AA$2,'1.PUNTOS'!$A$1:$B$63,2,0),0)</f>
        <v>0</v>
      </c>
      <c r="S423" s="138">
        <f>IF('1.DATOS-PROD'!AB424="SI",VLOOKUP('1.DATOS-PROD'!AB$2,'1.PUNTOS'!$A$1:$B$63,2,0),0)</f>
        <v>0</v>
      </c>
      <c r="T423" s="138">
        <f>IF('1.DATOS-PROD'!AC424="SI",VLOOKUP('1.DATOS-PROD'!AC$2,'1.PUNTOS'!$A$1:$B$63,2,0),0)</f>
        <v>0</v>
      </c>
      <c r="U423" s="138">
        <f>IF('1.DATOS-PROD'!AD424="SI",VLOOKUP('1.DATOS-PROD'!AD$2,'1.PUNTOS'!$A$1:$B$63,2,0),0)</f>
        <v>0</v>
      </c>
      <c r="V423" s="138">
        <f>IF('1.DATOS-PROD'!AE424="SI",VLOOKUP('1.DATOS-PROD'!AE$2,'1.PUNTOS'!$A$1:$B$63,2,0),0)</f>
        <v>0</v>
      </c>
      <c r="W423" s="138">
        <f>IF('1.DATOS-PROD'!AF424="SI",VLOOKUP('1.DATOS-PROD'!AF$2,'1.PUNTOS'!$A$1:$B$63,2,0),0)</f>
        <v>0</v>
      </c>
      <c r="X423" s="138">
        <f>IF('1.DATOS-PROD'!AG424="SI",VLOOKUP('1.DATOS-PROD'!AG$2,'1.PUNTOS'!$A$1:$B$63,2,0),0)</f>
        <v>0</v>
      </c>
      <c r="Y423" s="138">
        <f>IF('1.DATOS-PROD'!AH424="SI",VLOOKUP('1.DATOS-PROD'!AH$2,'1.PUNTOS'!$A$1:$B$63,2,0),0)</f>
        <v>0</v>
      </c>
      <c r="Z423" s="138">
        <f>IF('1.DATOS-PROD'!AI424="SI",VLOOKUP('1.DATOS-PROD'!AI$2,'1.PUNTOS'!$A$1:$B$63,2,0),0)</f>
        <v>0</v>
      </c>
      <c r="AA423" s="138">
        <f>IF('1.DATOS-PROD'!AJ424="SI",VLOOKUP('1.DATOS-PROD'!AJ$2,'1.PUNTOS'!$A$1:$B$63,2,0),0)</f>
        <v>0</v>
      </c>
      <c r="AB423" s="138">
        <f>IF('1.DATOS-PROD'!AK424="SI",VLOOKUP('1.DATOS-PROD'!AK$2,'1.PUNTOS'!$A$1:$B$63,2,0),0)</f>
        <v>0</v>
      </c>
      <c r="AC423" s="138">
        <f>IF('1.DATOS-PROD'!AL424="SI",VLOOKUP('1.DATOS-PROD'!AL$2,'1.PUNTOS'!$A$1:$B$63,2,0),0)</f>
        <v>0</v>
      </c>
      <c r="AD423" s="138">
        <f>IF('1.DATOS-PROD'!AM424="SI",VLOOKUP('1.DATOS-PROD'!AM$2,'1.PUNTOS'!$A$1:$B$63,2,0),0)</f>
        <v>0</v>
      </c>
      <c r="AE423" s="138">
        <f>IF('1.DATOS-PROD'!AN424="SI",VLOOKUP('1.DATOS-PROD'!AN$2,'1.PUNTOS'!$A$1:$B$63,2,0),0)</f>
        <v>0</v>
      </c>
      <c r="AF423" s="138">
        <f>IF('1.DATOS-PROD'!AO424="SI",VLOOKUP('1.DATOS-PROD'!AO$2,'1.PUNTOS'!$A$1:$B$63,2,0),0)</f>
        <v>0</v>
      </c>
      <c r="AG423" s="138">
        <f>IF('1.DATOS-PROD'!AP424="SI",VLOOKUP('1.DATOS-PROD'!AP$2,'1.PUNTOS'!$A$1:$B$63,2,0),0)</f>
        <v>0</v>
      </c>
      <c r="AH423" s="138">
        <f>IF('1.DATOS-PROD'!AQ424="SI",VLOOKUP('1.DATOS-PROD'!AQ$2,'1.PUNTOS'!$A$1:$B$63,2,0),0)</f>
        <v>0</v>
      </c>
      <c r="AI423" s="138">
        <f>IF('1.DATOS-PROD'!AR424="SI",VLOOKUP('1.DATOS-PROD'!AR$2,'1.PUNTOS'!$A$1:$B$63,2,0),0)</f>
        <v>0</v>
      </c>
      <c r="AJ423" s="138">
        <f>IF('1.DATOS-PROD'!AS424="SI",VLOOKUP('1.DATOS-PROD'!AS$2,'1.PUNTOS'!$A$1:$B$63,2,0),0)</f>
        <v>0</v>
      </c>
      <c r="AK423" s="138">
        <f>IF('1.DATOS-PROD'!AT424="SI",VLOOKUP('1.DATOS-PROD'!AT$2,'1.PUNTOS'!$A$1:$B$63,2,0),0)</f>
        <v>0</v>
      </c>
      <c r="AL423" s="138">
        <f>IF('1.DATOS-PROD'!AU424="SI",VLOOKUP('1.DATOS-PROD'!AU$2,'1.PUNTOS'!$A$1:$B$63,2,0),0)</f>
        <v>0</v>
      </c>
      <c r="AM423" s="138">
        <f>IF('1.DATOS-PROD'!AV424="SI",VLOOKUP('1.DATOS-PROD'!AV$2,'1.PUNTOS'!$A$1:$B$63,2,0),0)</f>
        <v>0</v>
      </c>
      <c r="AN423" s="138">
        <f>IF('1.DATOS-PROD'!AW424="SI",VLOOKUP('1.DATOS-PROD'!AW$2,'1.PUNTOS'!$A$1:$B$63,2,0),0)</f>
        <v>0</v>
      </c>
      <c r="AO423" s="138">
        <f>IF('1.DATOS-PROD'!AX424="SI",VLOOKUP('1.DATOS-PROD'!AX$2,'1.PUNTOS'!$A$1:$B$63,2,0),0)</f>
        <v>0</v>
      </c>
      <c r="AP423" s="138">
        <f>IF('1.DATOS-PROD'!AY424="SI",VLOOKUP('1.DATOS-PROD'!AY$2,'1.PUNTOS'!$A$1:$B$63,2,0),0)</f>
        <v>0</v>
      </c>
      <c r="AQ423" s="138">
        <f>IF('1.DATOS-PROD'!AZ424="SI",VLOOKUP('1.DATOS-PROD'!AZ$2,'1.PUNTOS'!$A$1:$B$63,2,0),0)</f>
        <v>0</v>
      </c>
      <c r="AR423" s="138">
        <f>IF('1.DATOS-PROD'!BA424="SI",VLOOKUP('1.DATOS-PROD'!BA$2,'1.PUNTOS'!$A$1:$B$63,2,0),0)</f>
        <v>0</v>
      </c>
      <c r="AS423" s="138">
        <f>IF('1.DATOS-PROD'!BB424="SI",VLOOKUP('1.DATOS-PROD'!BB$2,'1.PUNTOS'!$A$1:$B$63,2,0),0)</f>
        <v>0</v>
      </c>
      <c r="AT423" s="138">
        <f>IF('1.DATOS-PROD'!BC424="SI",VLOOKUP('1.DATOS-PROD'!BC$2,'1.PUNTOS'!$A$1:$B$63,2,0),0)</f>
        <v>0</v>
      </c>
      <c r="AU423" s="138">
        <f>IF('1.DATOS-PROD'!BD424="SI",VLOOKUP('1.DATOS-PROD'!BD$2,'1.PUNTOS'!$A$1:$B$63,2,0),0)</f>
        <v>0</v>
      </c>
      <c r="AV423" s="138">
        <f>IF('1.DATOS-PROD'!BE424="SI",VLOOKUP('1.DATOS-PROD'!BE$2,'1.PUNTOS'!$A$1:$B$63,2,0),0)</f>
        <v>0</v>
      </c>
      <c r="AW423" s="138">
        <f>IF('1.DATOS-PROD'!BF424="SI",VLOOKUP('1.DATOS-PROD'!BF$2,'1.PUNTOS'!$A$1:$B$63,2,0),0)</f>
        <v>0</v>
      </c>
      <c r="AX423" s="138">
        <f>IF('1.DATOS-PROD'!BG424="SI",VLOOKUP('1.DATOS-PROD'!BG$2,'1.PUNTOS'!$A$1:$B$63,2,0),0)</f>
        <v>0</v>
      </c>
      <c r="AY423" s="138">
        <f>IF('1.DATOS-PROD'!BH424="SI",VLOOKUP('1.DATOS-PROD'!BH$2,'1.PUNTOS'!$A$1:$B$63,2,0),0)</f>
        <v>0</v>
      </c>
      <c r="AZ423" s="138">
        <f>IF('1.DATOS-PROD'!BI424="SI",VLOOKUP('1.DATOS-PROD'!BI$2,'1.PUNTOS'!$A$1:$B$63,2,0),0)</f>
        <v>0</v>
      </c>
      <c r="BA423" s="138">
        <f>IF('1.DATOS-PROD'!BJ424="SI",VLOOKUP('1.DATOS-PROD'!BJ$2,'1.PUNTOS'!$A$1:$B$63,2,0),0)</f>
        <v>0</v>
      </c>
      <c r="BB423" s="138">
        <f>IF('1.DATOS-PROD'!BK424="SI",VLOOKUP('1.DATOS-PROD'!BK$2,'1.PUNTOS'!$A$1:$B$63,2,0),0)</f>
        <v>0</v>
      </c>
      <c r="BC423" s="138">
        <f>IF('1.DATOS-PROD'!BL424="SI",VLOOKUP('1.DATOS-PROD'!BL$2,'1.PUNTOS'!$A$1:$B$63,2,0),0)</f>
        <v>0</v>
      </c>
      <c r="BD423" s="138">
        <f>IF('1.DATOS-PROD'!BM424="SI",VLOOKUP('1.DATOS-PROD'!BM$2,'1.PUNTOS'!$A$1:$B$63,2,0),0)</f>
        <v>0</v>
      </c>
      <c r="BE423" s="138">
        <f>IF('1.DATOS-PROD'!BN424="SI",VLOOKUP('1.DATOS-PROD'!BN$2,'1.PUNTOS'!$A$1:$B$63,2,0),0)</f>
        <v>0</v>
      </c>
      <c r="BF423" s="138">
        <f>IF('1.DATOS-PROD'!BO424="SI",VLOOKUP('1.DATOS-PROD'!BO$2,'1.PUNTOS'!$A$1:$B$63,2,0),0)</f>
        <v>0</v>
      </c>
      <c r="BG423" s="138">
        <f>IF('1.DATOS-PROD'!BP424="SI",VLOOKUP('1.DATOS-PROD'!BP$2,'1.PUNTOS'!$A$1:$B$63,2,0),0)</f>
        <v>0</v>
      </c>
      <c r="BH423" s="138">
        <f>IF('1.DATOS-PROD'!BQ424="SI",VLOOKUP('1.DATOS-PROD'!BQ$2,'1.PUNTOS'!$A$1:$B$63,2,0),0)</f>
        <v>0</v>
      </c>
      <c r="BI423" s="138">
        <f>IF('1.DATOS-PROD'!BR424="SI",VLOOKUP('1.DATOS-PROD'!BR$2,'1.PUNTOS'!$A$1:$B$63,2,0),0)</f>
        <v>0</v>
      </c>
      <c r="BJ423" s="138">
        <f>IF('1.DATOS-PROD'!BS424="SI",VLOOKUP('1.DATOS-PROD'!BS$2,'1.PUNTOS'!$A$1:$B$63,2,0),0)</f>
        <v>0</v>
      </c>
      <c r="BK423" s="138">
        <f>IF('1.DATOS-PROD'!BT424="SI",VLOOKUP('1.DATOS-PROD'!BT$2,'1.PUNTOS'!$A$1:$B$63,2,0),0)</f>
        <v>0</v>
      </c>
    </row>
    <row r="424" spans="1:63" x14ac:dyDescent="0.25">
      <c r="A424">
        <f>'0.Consolidado general'!$A425</f>
        <v>0</v>
      </c>
      <c r="B424" s="138">
        <f>IF('1.DATOS-PROD'!K425="SI",VLOOKUP('1.DATOS-PROD'!K$2,'1.PUNTOS'!$A$1:$B$63,2,0),0)</f>
        <v>0</v>
      </c>
      <c r="C424" s="138">
        <f>IF('1.DATOS-PROD'!L425="SI",VLOOKUP('1.DATOS-PROD'!L$2,'1.PUNTOS'!$A$1:$B$63,2,0),0)</f>
        <v>0</v>
      </c>
      <c r="D424" s="138">
        <f>IF('1.DATOS-PROD'!M425="SI",VLOOKUP('1.DATOS-PROD'!M$2,'1.PUNTOS'!$A$1:$B$63,2,0),0)</f>
        <v>0</v>
      </c>
      <c r="E424" s="138">
        <f>IF('1.DATOS-PROD'!N425="SI",VLOOKUP('1.DATOS-PROD'!N$2,'1.PUNTOS'!$A$1:$B$63,2,0),0)</f>
        <v>0</v>
      </c>
      <c r="F424" s="138">
        <f>IF('1.DATOS-PROD'!O425="SI",VLOOKUP('1.DATOS-PROD'!O$2,'1.PUNTOS'!$A$1:$B$63,2,0),0)</f>
        <v>0</v>
      </c>
      <c r="G424" s="138">
        <f>IF('1.DATOS-PROD'!P425="SI",VLOOKUP('1.DATOS-PROD'!P$2,'1.PUNTOS'!$A$1:$B$63,2,0),0)</f>
        <v>0</v>
      </c>
      <c r="H424" s="138">
        <f>IF('1.DATOS-PROD'!Q425="SI",VLOOKUP('1.DATOS-PROD'!Q$2,'1.PUNTOS'!$A$1:$B$63,2,0),0)</f>
        <v>0</v>
      </c>
      <c r="I424" s="138">
        <f>IF('1.DATOS-PROD'!R425="SI",VLOOKUP('1.DATOS-PROD'!R$2,'1.PUNTOS'!$A$1:$B$63,2,0),0)</f>
        <v>0</v>
      </c>
      <c r="J424" s="138">
        <f>IF('1.DATOS-PROD'!S425="SI",VLOOKUP('1.DATOS-PROD'!S$2,'1.PUNTOS'!$A$1:$B$63,2,0),0)</f>
        <v>0</v>
      </c>
      <c r="K424" s="138">
        <f>IF('1.DATOS-PROD'!T425="SI",VLOOKUP('1.DATOS-PROD'!T$2,'1.PUNTOS'!$A$1:$B$63,2,0),0)</f>
        <v>0</v>
      </c>
      <c r="L424" s="138">
        <f>IF('1.DATOS-PROD'!U425="SI",VLOOKUP('1.DATOS-PROD'!U$2,'1.PUNTOS'!$A$1:$B$63,2,0),0)</f>
        <v>0</v>
      </c>
      <c r="M424" s="138">
        <f>IF('1.DATOS-PROD'!V425="SI",VLOOKUP('1.DATOS-PROD'!V$2,'1.PUNTOS'!$A$1:$B$63,2,0),0)</f>
        <v>0</v>
      </c>
      <c r="N424" s="138">
        <f>IF('1.DATOS-PROD'!W425="SI",VLOOKUP('1.DATOS-PROD'!W$2,'1.PUNTOS'!$A$1:$B$63,2,0),0)</f>
        <v>0</v>
      </c>
      <c r="O424" s="138">
        <f>IF('1.DATOS-PROD'!X425="SI",VLOOKUP('1.DATOS-PROD'!X$2,'1.PUNTOS'!$A$1:$B$63,2,0),0)</f>
        <v>0</v>
      </c>
      <c r="P424" s="138">
        <f>IF('1.DATOS-PROD'!Y425="SI",VLOOKUP('1.DATOS-PROD'!Y$2,'1.PUNTOS'!$A$1:$B$63,2,0),0)</f>
        <v>0</v>
      </c>
      <c r="Q424" s="138">
        <f>IF('1.DATOS-PROD'!Z425="SI",VLOOKUP('1.DATOS-PROD'!Z$2,'1.PUNTOS'!$A$1:$B$63,2,0),0)</f>
        <v>0</v>
      </c>
      <c r="R424" s="138">
        <f>IF('1.DATOS-PROD'!AA425="SI",VLOOKUP('1.DATOS-PROD'!AA$2,'1.PUNTOS'!$A$1:$B$63,2,0),0)</f>
        <v>0</v>
      </c>
      <c r="S424" s="138">
        <f>IF('1.DATOS-PROD'!AB425="SI",VLOOKUP('1.DATOS-PROD'!AB$2,'1.PUNTOS'!$A$1:$B$63,2,0),0)</f>
        <v>0</v>
      </c>
      <c r="T424" s="138">
        <f>IF('1.DATOS-PROD'!AC425="SI",VLOOKUP('1.DATOS-PROD'!AC$2,'1.PUNTOS'!$A$1:$B$63,2,0),0)</f>
        <v>0</v>
      </c>
      <c r="U424" s="138">
        <f>IF('1.DATOS-PROD'!AD425="SI",VLOOKUP('1.DATOS-PROD'!AD$2,'1.PUNTOS'!$A$1:$B$63,2,0),0)</f>
        <v>0</v>
      </c>
      <c r="V424" s="138">
        <f>IF('1.DATOS-PROD'!AE425="SI",VLOOKUP('1.DATOS-PROD'!AE$2,'1.PUNTOS'!$A$1:$B$63,2,0),0)</f>
        <v>0</v>
      </c>
      <c r="W424" s="138">
        <f>IF('1.DATOS-PROD'!AF425="SI",VLOOKUP('1.DATOS-PROD'!AF$2,'1.PUNTOS'!$A$1:$B$63,2,0),0)</f>
        <v>0</v>
      </c>
      <c r="X424" s="138">
        <f>IF('1.DATOS-PROD'!AG425="SI",VLOOKUP('1.DATOS-PROD'!AG$2,'1.PUNTOS'!$A$1:$B$63,2,0),0)</f>
        <v>0</v>
      </c>
      <c r="Y424" s="138">
        <f>IF('1.DATOS-PROD'!AH425="SI",VLOOKUP('1.DATOS-PROD'!AH$2,'1.PUNTOS'!$A$1:$B$63,2,0),0)</f>
        <v>0</v>
      </c>
      <c r="Z424" s="138">
        <f>IF('1.DATOS-PROD'!AI425="SI",VLOOKUP('1.DATOS-PROD'!AI$2,'1.PUNTOS'!$A$1:$B$63,2,0),0)</f>
        <v>0</v>
      </c>
      <c r="AA424" s="138">
        <f>IF('1.DATOS-PROD'!AJ425="SI",VLOOKUP('1.DATOS-PROD'!AJ$2,'1.PUNTOS'!$A$1:$B$63,2,0),0)</f>
        <v>0</v>
      </c>
      <c r="AB424" s="138">
        <f>IF('1.DATOS-PROD'!AK425="SI",VLOOKUP('1.DATOS-PROD'!AK$2,'1.PUNTOS'!$A$1:$B$63,2,0),0)</f>
        <v>0</v>
      </c>
      <c r="AC424" s="138">
        <f>IF('1.DATOS-PROD'!AL425="SI",VLOOKUP('1.DATOS-PROD'!AL$2,'1.PUNTOS'!$A$1:$B$63,2,0),0)</f>
        <v>0</v>
      </c>
      <c r="AD424" s="138">
        <f>IF('1.DATOS-PROD'!AM425="SI",VLOOKUP('1.DATOS-PROD'!AM$2,'1.PUNTOS'!$A$1:$B$63,2,0),0)</f>
        <v>0</v>
      </c>
      <c r="AE424" s="138">
        <f>IF('1.DATOS-PROD'!AN425="SI",VLOOKUP('1.DATOS-PROD'!AN$2,'1.PUNTOS'!$A$1:$B$63,2,0),0)</f>
        <v>0</v>
      </c>
      <c r="AF424" s="138">
        <f>IF('1.DATOS-PROD'!AO425="SI",VLOOKUP('1.DATOS-PROD'!AO$2,'1.PUNTOS'!$A$1:$B$63,2,0),0)</f>
        <v>0</v>
      </c>
      <c r="AG424" s="138">
        <f>IF('1.DATOS-PROD'!AP425="SI",VLOOKUP('1.DATOS-PROD'!AP$2,'1.PUNTOS'!$A$1:$B$63,2,0),0)</f>
        <v>0</v>
      </c>
      <c r="AH424" s="138">
        <f>IF('1.DATOS-PROD'!AQ425="SI",VLOOKUP('1.DATOS-PROD'!AQ$2,'1.PUNTOS'!$A$1:$B$63,2,0),0)</f>
        <v>0</v>
      </c>
      <c r="AI424" s="138">
        <f>IF('1.DATOS-PROD'!AR425="SI",VLOOKUP('1.DATOS-PROD'!AR$2,'1.PUNTOS'!$A$1:$B$63,2,0),0)</f>
        <v>0</v>
      </c>
      <c r="AJ424" s="138">
        <f>IF('1.DATOS-PROD'!AS425="SI",VLOOKUP('1.DATOS-PROD'!AS$2,'1.PUNTOS'!$A$1:$B$63,2,0),0)</f>
        <v>0</v>
      </c>
      <c r="AK424" s="138">
        <f>IF('1.DATOS-PROD'!AT425="SI",VLOOKUP('1.DATOS-PROD'!AT$2,'1.PUNTOS'!$A$1:$B$63,2,0),0)</f>
        <v>0</v>
      </c>
      <c r="AL424" s="138">
        <f>IF('1.DATOS-PROD'!AU425="SI",VLOOKUP('1.DATOS-PROD'!AU$2,'1.PUNTOS'!$A$1:$B$63,2,0),0)</f>
        <v>0</v>
      </c>
      <c r="AM424" s="138">
        <f>IF('1.DATOS-PROD'!AV425="SI",VLOOKUP('1.DATOS-PROD'!AV$2,'1.PUNTOS'!$A$1:$B$63,2,0),0)</f>
        <v>0</v>
      </c>
      <c r="AN424" s="138">
        <f>IF('1.DATOS-PROD'!AW425="SI",VLOOKUP('1.DATOS-PROD'!AW$2,'1.PUNTOS'!$A$1:$B$63,2,0),0)</f>
        <v>0</v>
      </c>
      <c r="AO424" s="138">
        <f>IF('1.DATOS-PROD'!AX425="SI",VLOOKUP('1.DATOS-PROD'!AX$2,'1.PUNTOS'!$A$1:$B$63,2,0),0)</f>
        <v>0</v>
      </c>
      <c r="AP424" s="138">
        <f>IF('1.DATOS-PROD'!AY425="SI",VLOOKUP('1.DATOS-PROD'!AY$2,'1.PUNTOS'!$A$1:$B$63,2,0),0)</f>
        <v>0</v>
      </c>
      <c r="AQ424" s="138">
        <f>IF('1.DATOS-PROD'!AZ425="SI",VLOOKUP('1.DATOS-PROD'!AZ$2,'1.PUNTOS'!$A$1:$B$63,2,0),0)</f>
        <v>0</v>
      </c>
      <c r="AR424" s="138">
        <f>IF('1.DATOS-PROD'!BA425="SI",VLOOKUP('1.DATOS-PROD'!BA$2,'1.PUNTOS'!$A$1:$B$63,2,0),0)</f>
        <v>0</v>
      </c>
      <c r="AS424" s="138">
        <f>IF('1.DATOS-PROD'!BB425="SI",VLOOKUP('1.DATOS-PROD'!BB$2,'1.PUNTOS'!$A$1:$B$63,2,0),0)</f>
        <v>0</v>
      </c>
      <c r="AT424" s="138">
        <f>IF('1.DATOS-PROD'!BC425="SI",VLOOKUP('1.DATOS-PROD'!BC$2,'1.PUNTOS'!$A$1:$B$63,2,0),0)</f>
        <v>0</v>
      </c>
      <c r="AU424" s="138">
        <f>IF('1.DATOS-PROD'!BD425="SI",VLOOKUP('1.DATOS-PROD'!BD$2,'1.PUNTOS'!$A$1:$B$63,2,0),0)</f>
        <v>0</v>
      </c>
      <c r="AV424" s="138">
        <f>IF('1.DATOS-PROD'!BE425="SI",VLOOKUP('1.DATOS-PROD'!BE$2,'1.PUNTOS'!$A$1:$B$63,2,0),0)</f>
        <v>0</v>
      </c>
      <c r="AW424" s="138">
        <f>IF('1.DATOS-PROD'!BF425="SI",VLOOKUP('1.DATOS-PROD'!BF$2,'1.PUNTOS'!$A$1:$B$63,2,0),0)</f>
        <v>0</v>
      </c>
      <c r="AX424" s="138">
        <f>IF('1.DATOS-PROD'!BG425="SI",VLOOKUP('1.DATOS-PROD'!BG$2,'1.PUNTOS'!$A$1:$B$63,2,0),0)</f>
        <v>0</v>
      </c>
      <c r="AY424" s="138">
        <f>IF('1.DATOS-PROD'!BH425="SI",VLOOKUP('1.DATOS-PROD'!BH$2,'1.PUNTOS'!$A$1:$B$63,2,0),0)</f>
        <v>0</v>
      </c>
      <c r="AZ424" s="138">
        <f>IF('1.DATOS-PROD'!BI425="SI",VLOOKUP('1.DATOS-PROD'!BI$2,'1.PUNTOS'!$A$1:$B$63,2,0),0)</f>
        <v>0</v>
      </c>
      <c r="BA424" s="138">
        <f>IF('1.DATOS-PROD'!BJ425="SI",VLOOKUP('1.DATOS-PROD'!BJ$2,'1.PUNTOS'!$A$1:$B$63,2,0),0)</f>
        <v>0</v>
      </c>
      <c r="BB424" s="138">
        <f>IF('1.DATOS-PROD'!BK425="SI",VLOOKUP('1.DATOS-PROD'!BK$2,'1.PUNTOS'!$A$1:$B$63,2,0),0)</f>
        <v>0</v>
      </c>
      <c r="BC424" s="138">
        <f>IF('1.DATOS-PROD'!BL425="SI",VLOOKUP('1.DATOS-PROD'!BL$2,'1.PUNTOS'!$A$1:$B$63,2,0),0)</f>
        <v>0</v>
      </c>
      <c r="BD424" s="138">
        <f>IF('1.DATOS-PROD'!BM425="SI",VLOOKUP('1.DATOS-PROD'!BM$2,'1.PUNTOS'!$A$1:$B$63,2,0),0)</f>
        <v>0</v>
      </c>
      <c r="BE424" s="138">
        <f>IF('1.DATOS-PROD'!BN425="SI",VLOOKUP('1.DATOS-PROD'!BN$2,'1.PUNTOS'!$A$1:$B$63,2,0),0)</f>
        <v>0</v>
      </c>
      <c r="BF424" s="138">
        <f>IF('1.DATOS-PROD'!BO425="SI",VLOOKUP('1.DATOS-PROD'!BO$2,'1.PUNTOS'!$A$1:$B$63,2,0),0)</f>
        <v>0</v>
      </c>
      <c r="BG424" s="138">
        <f>IF('1.DATOS-PROD'!BP425="SI",VLOOKUP('1.DATOS-PROD'!BP$2,'1.PUNTOS'!$A$1:$B$63,2,0),0)</f>
        <v>0</v>
      </c>
      <c r="BH424" s="138">
        <f>IF('1.DATOS-PROD'!BQ425="SI",VLOOKUP('1.DATOS-PROD'!BQ$2,'1.PUNTOS'!$A$1:$B$63,2,0),0)</f>
        <v>0</v>
      </c>
      <c r="BI424" s="138">
        <f>IF('1.DATOS-PROD'!BR425="SI",VLOOKUP('1.DATOS-PROD'!BR$2,'1.PUNTOS'!$A$1:$B$63,2,0),0)</f>
        <v>0</v>
      </c>
      <c r="BJ424" s="138">
        <f>IF('1.DATOS-PROD'!BS425="SI",VLOOKUP('1.DATOS-PROD'!BS$2,'1.PUNTOS'!$A$1:$B$63,2,0),0)</f>
        <v>0</v>
      </c>
      <c r="BK424" s="138">
        <f>IF('1.DATOS-PROD'!BT425="SI",VLOOKUP('1.DATOS-PROD'!BT$2,'1.PUNTOS'!$A$1:$B$63,2,0),0)</f>
        <v>0</v>
      </c>
    </row>
    <row r="425" spans="1:63" x14ac:dyDescent="0.25">
      <c r="A425">
        <f>'0.Consolidado general'!$A426</f>
        <v>0</v>
      </c>
      <c r="B425" s="138">
        <f>IF('1.DATOS-PROD'!K426="SI",VLOOKUP('1.DATOS-PROD'!K$2,'1.PUNTOS'!$A$1:$B$63,2,0),0)</f>
        <v>0</v>
      </c>
      <c r="C425" s="138">
        <f>IF('1.DATOS-PROD'!L426="SI",VLOOKUP('1.DATOS-PROD'!L$2,'1.PUNTOS'!$A$1:$B$63,2,0),0)</f>
        <v>0</v>
      </c>
      <c r="D425" s="138">
        <f>IF('1.DATOS-PROD'!M426="SI",VLOOKUP('1.DATOS-PROD'!M$2,'1.PUNTOS'!$A$1:$B$63,2,0),0)</f>
        <v>0</v>
      </c>
      <c r="E425" s="138">
        <f>IF('1.DATOS-PROD'!N426="SI",VLOOKUP('1.DATOS-PROD'!N$2,'1.PUNTOS'!$A$1:$B$63,2,0),0)</f>
        <v>0</v>
      </c>
      <c r="F425" s="138">
        <f>IF('1.DATOS-PROD'!O426="SI",VLOOKUP('1.DATOS-PROD'!O$2,'1.PUNTOS'!$A$1:$B$63,2,0),0)</f>
        <v>0</v>
      </c>
      <c r="G425" s="138">
        <f>IF('1.DATOS-PROD'!P426="SI",VLOOKUP('1.DATOS-PROD'!P$2,'1.PUNTOS'!$A$1:$B$63,2,0),0)</f>
        <v>0</v>
      </c>
      <c r="H425" s="138">
        <f>IF('1.DATOS-PROD'!Q426="SI",VLOOKUP('1.DATOS-PROD'!Q$2,'1.PUNTOS'!$A$1:$B$63,2,0),0)</f>
        <v>0</v>
      </c>
      <c r="I425" s="138">
        <f>IF('1.DATOS-PROD'!R426="SI",VLOOKUP('1.DATOS-PROD'!R$2,'1.PUNTOS'!$A$1:$B$63,2,0),0)</f>
        <v>0</v>
      </c>
      <c r="J425" s="138">
        <f>IF('1.DATOS-PROD'!S426="SI",VLOOKUP('1.DATOS-PROD'!S$2,'1.PUNTOS'!$A$1:$B$63,2,0),0)</f>
        <v>0</v>
      </c>
      <c r="K425" s="138">
        <f>IF('1.DATOS-PROD'!T426="SI",VLOOKUP('1.DATOS-PROD'!T$2,'1.PUNTOS'!$A$1:$B$63,2,0),0)</f>
        <v>0</v>
      </c>
      <c r="L425" s="138">
        <f>IF('1.DATOS-PROD'!U426="SI",VLOOKUP('1.DATOS-PROD'!U$2,'1.PUNTOS'!$A$1:$B$63,2,0),0)</f>
        <v>0</v>
      </c>
      <c r="M425" s="138">
        <f>IF('1.DATOS-PROD'!V426="SI",VLOOKUP('1.DATOS-PROD'!V$2,'1.PUNTOS'!$A$1:$B$63,2,0),0)</f>
        <v>0</v>
      </c>
      <c r="N425" s="138">
        <f>IF('1.DATOS-PROD'!W426="SI",VLOOKUP('1.DATOS-PROD'!W$2,'1.PUNTOS'!$A$1:$B$63,2,0),0)</f>
        <v>0</v>
      </c>
      <c r="O425" s="138">
        <f>IF('1.DATOS-PROD'!X426="SI",VLOOKUP('1.DATOS-PROD'!X$2,'1.PUNTOS'!$A$1:$B$63,2,0),0)</f>
        <v>0</v>
      </c>
      <c r="P425" s="138">
        <f>IF('1.DATOS-PROD'!Y426="SI",VLOOKUP('1.DATOS-PROD'!Y$2,'1.PUNTOS'!$A$1:$B$63,2,0),0)</f>
        <v>0</v>
      </c>
      <c r="Q425" s="138">
        <f>IF('1.DATOS-PROD'!Z426="SI",VLOOKUP('1.DATOS-PROD'!Z$2,'1.PUNTOS'!$A$1:$B$63,2,0),0)</f>
        <v>0</v>
      </c>
      <c r="R425" s="138">
        <f>IF('1.DATOS-PROD'!AA426="SI",VLOOKUP('1.DATOS-PROD'!AA$2,'1.PUNTOS'!$A$1:$B$63,2,0),0)</f>
        <v>0</v>
      </c>
      <c r="S425" s="138">
        <f>IF('1.DATOS-PROD'!AB426="SI",VLOOKUP('1.DATOS-PROD'!AB$2,'1.PUNTOS'!$A$1:$B$63,2,0),0)</f>
        <v>0</v>
      </c>
      <c r="T425" s="138">
        <f>IF('1.DATOS-PROD'!AC426="SI",VLOOKUP('1.DATOS-PROD'!AC$2,'1.PUNTOS'!$A$1:$B$63,2,0),0)</f>
        <v>0</v>
      </c>
      <c r="U425" s="138">
        <f>IF('1.DATOS-PROD'!AD426="SI",VLOOKUP('1.DATOS-PROD'!AD$2,'1.PUNTOS'!$A$1:$B$63,2,0),0)</f>
        <v>0</v>
      </c>
      <c r="V425" s="138">
        <f>IF('1.DATOS-PROD'!AE426="SI",VLOOKUP('1.DATOS-PROD'!AE$2,'1.PUNTOS'!$A$1:$B$63,2,0),0)</f>
        <v>0</v>
      </c>
      <c r="W425" s="138">
        <f>IF('1.DATOS-PROD'!AF426="SI",VLOOKUP('1.DATOS-PROD'!AF$2,'1.PUNTOS'!$A$1:$B$63,2,0),0)</f>
        <v>0</v>
      </c>
      <c r="X425" s="138">
        <f>IF('1.DATOS-PROD'!AG426="SI",VLOOKUP('1.DATOS-PROD'!AG$2,'1.PUNTOS'!$A$1:$B$63,2,0),0)</f>
        <v>0</v>
      </c>
      <c r="Y425" s="138">
        <f>IF('1.DATOS-PROD'!AH426="SI",VLOOKUP('1.DATOS-PROD'!AH$2,'1.PUNTOS'!$A$1:$B$63,2,0),0)</f>
        <v>0</v>
      </c>
      <c r="Z425" s="138">
        <f>IF('1.DATOS-PROD'!AI426="SI",VLOOKUP('1.DATOS-PROD'!AI$2,'1.PUNTOS'!$A$1:$B$63,2,0),0)</f>
        <v>0</v>
      </c>
      <c r="AA425" s="138">
        <f>IF('1.DATOS-PROD'!AJ426="SI",VLOOKUP('1.DATOS-PROD'!AJ$2,'1.PUNTOS'!$A$1:$B$63,2,0),0)</f>
        <v>0</v>
      </c>
      <c r="AB425" s="138">
        <f>IF('1.DATOS-PROD'!AK426="SI",VLOOKUP('1.DATOS-PROD'!AK$2,'1.PUNTOS'!$A$1:$B$63,2,0),0)</f>
        <v>0</v>
      </c>
      <c r="AC425" s="138">
        <f>IF('1.DATOS-PROD'!AL426="SI",VLOOKUP('1.DATOS-PROD'!AL$2,'1.PUNTOS'!$A$1:$B$63,2,0),0)</f>
        <v>0</v>
      </c>
      <c r="AD425" s="138">
        <f>IF('1.DATOS-PROD'!AM426="SI",VLOOKUP('1.DATOS-PROD'!AM$2,'1.PUNTOS'!$A$1:$B$63,2,0),0)</f>
        <v>0</v>
      </c>
      <c r="AE425" s="138">
        <f>IF('1.DATOS-PROD'!AN426="SI",VLOOKUP('1.DATOS-PROD'!AN$2,'1.PUNTOS'!$A$1:$B$63,2,0),0)</f>
        <v>0</v>
      </c>
      <c r="AF425" s="138">
        <f>IF('1.DATOS-PROD'!AO426="SI",VLOOKUP('1.DATOS-PROD'!AO$2,'1.PUNTOS'!$A$1:$B$63,2,0),0)</f>
        <v>0</v>
      </c>
      <c r="AG425" s="138">
        <f>IF('1.DATOS-PROD'!AP426="SI",VLOOKUP('1.DATOS-PROD'!AP$2,'1.PUNTOS'!$A$1:$B$63,2,0),0)</f>
        <v>0</v>
      </c>
      <c r="AH425" s="138">
        <f>IF('1.DATOS-PROD'!AQ426="SI",VLOOKUP('1.DATOS-PROD'!AQ$2,'1.PUNTOS'!$A$1:$B$63,2,0),0)</f>
        <v>0</v>
      </c>
      <c r="AI425" s="138">
        <f>IF('1.DATOS-PROD'!AR426="SI",VLOOKUP('1.DATOS-PROD'!AR$2,'1.PUNTOS'!$A$1:$B$63,2,0),0)</f>
        <v>0</v>
      </c>
      <c r="AJ425" s="138">
        <f>IF('1.DATOS-PROD'!AS426="SI",VLOOKUP('1.DATOS-PROD'!AS$2,'1.PUNTOS'!$A$1:$B$63,2,0),0)</f>
        <v>0</v>
      </c>
      <c r="AK425" s="138">
        <f>IF('1.DATOS-PROD'!AT426="SI",VLOOKUP('1.DATOS-PROD'!AT$2,'1.PUNTOS'!$A$1:$B$63,2,0),0)</f>
        <v>0</v>
      </c>
      <c r="AL425" s="138">
        <f>IF('1.DATOS-PROD'!AU426="SI",VLOOKUP('1.DATOS-PROD'!AU$2,'1.PUNTOS'!$A$1:$B$63,2,0),0)</f>
        <v>0</v>
      </c>
      <c r="AM425" s="138">
        <f>IF('1.DATOS-PROD'!AV426="SI",VLOOKUP('1.DATOS-PROD'!AV$2,'1.PUNTOS'!$A$1:$B$63,2,0),0)</f>
        <v>0</v>
      </c>
      <c r="AN425" s="138">
        <f>IF('1.DATOS-PROD'!AW426="SI",VLOOKUP('1.DATOS-PROD'!AW$2,'1.PUNTOS'!$A$1:$B$63,2,0),0)</f>
        <v>0</v>
      </c>
      <c r="AO425" s="138">
        <f>IF('1.DATOS-PROD'!AX426="SI",VLOOKUP('1.DATOS-PROD'!AX$2,'1.PUNTOS'!$A$1:$B$63,2,0),0)</f>
        <v>0</v>
      </c>
      <c r="AP425" s="138">
        <f>IF('1.DATOS-PROD'!AY426="SI",VLOOKUP('1.DATOS-PROD'!AY$2,'1.PUNTOS'!$A$1:$B$63,2,0),0)</f>
        <v>0</v>
      </c>
      <c r="AQ425" s="138">
        <f>IF('1.DATOS-PROD'!AZ426="SI",VLOOKUP('1.DATOS-PROD'!AZ$2,'1.PUNTOS'!$A$1:$B$63,2,0),0)</f>
        <v>0</v>
      </c>
      <c r="AR425" s="138">
        <f>IF('1.DATOS-PROD'!BA426="SI",VLOOKUP('1.DATOS-PROD'!BA$2,'1.PUNTOS'!$A$1:$B$63,2,0),0)</f>
        <v>0</v>
      </c>
      <c r="AS425" s="138">
        <f>IF('1.DATOS-PROD'!BB426="SI",VLOOKUP('1.DATOS-PROD'!BB$2,'1.PUNTOS'!$A$1:$B$63,2,0),0)</f>
        <v>0</v>
      </c>
      <c r="AT425" s="138">
        <f>IF('1.DATOS-PROD'!BC426="SI",VLOOKUP('1.DATOS-PROD'!BC$2,'1.PUNTOS'!$A$1:$B$63,2,0),0)</f>
        <v>0</v>
      </c>
      <c r="AU425" s="138">
        <f>IF('1.DATOS-PROD'!BD426="SI",VLOOKUP('1.DATOS-PROD'!BD$2,'1.PUNTOS'!$A$1:$B$63,2,0),0)</f>
        <v>0</v>
      </c>
      <c r="AV425" s="138">
        <f>IF('1.DATOS-PROD'!BE426="SI",VLOOKUP('1.DATOS-PROD'!BE$2,'1.PUNTOS'!$A$1:$B$63,2,0),0)</f>
        <v>0</v>
      </c>
      <c r="AW425" s="138">
        <f>IF('1.DATOS-PROD'!BF426="SI",VLOOKUP('1.DATOS-PROD'!BF$2,'1.PUNTOS'!$A$1:$B$63,2,0),0)</f>
        <v>0</v>
      </c>
      <c r="AX425" s="138">
        <f>IF('1.DATOS-PROD'!BG426="SI",VLOOKUP('1.DATOS-PROD'!BG$2,'1.PUNTOS'!$A$1:$B$63,2,0),0)</f>
        <v>0</v>
      </c>
      <c r="AY425" s="138">
        <f>IF('1.DATOS-PROD'!BH426="SI",VLOOKUP('1.DATOS-PROD'!BH$2,'1.PUNTOS'!$A$1:$B$63,2,0),0)</f>
        <v>0</v>
      </c>
      <c r="AZ425" s="138">
        <f>IF('1.DATOS-PROD'!BI426="SI",VLOOKUP('1.DATOS-PROD'!BI$2,'1.PUNTOS'!$A$1:$B$63,2,0),0)</f>
        <v>0</v>
      </c>
      <c r="BA425" s="138">
        <f>IF('1.DATOS-PROD'!BJ426="SI",VLOOKUP('1.DATOS-PROD'!BJ$2,'1.PUNTOS'!$A$1:$B$63,2,0),0)</f>
        <v>0</v>
      </c>
      <c r="BB425" s="138">
        <f>IF('1.DATOS-PROD'!BK426="SI",VLOOKUP('1.DATOS-PROD'!BK$2,'1.PUNTOS'!$A$1:$B$63,2,0),0)</f>
        <v>0</v>
      </c>
      <c r="BC425" s="138">
        <f>IF('1.DATOS-PROD'!BL426="SI",VLOOKUP('1.DATOS-PROD'!BL$2,'1.PUNTOS'!$A$1:$B$63,2,0),0)</f>
        <v>0</v>
      </c>
      <c r="BD425" s="138">
        <f>IF('1.DATOS-PROD'!BM426="SI",VLOOKUP('1.DATOS-PROD'!BM$2,'1.PUNTOS'!$A$1:$B$63,2,0),0)</f>
        <v>0</v>
      </c>
      <c r="BE425" s="138">
        <f>IF('1.DATOS-PROD'!BN426="SI",VLOOKUP('1.DATOS-PROD'!BN$2,'1.PUNTOS'!$A$1:$B$63,2,0),0)</f>
        <v>0</v>
      </c>
      <c r="BF425" s="138">
        <f>IF('1.DATOS-PROD'!BO426="SI",VLOOKUP('1.DATOS-PROD'!BO$2,'1.PUNTOS'!$A$1:$B$63,2,0),0)</f>
        <v>0</v>
      </c>
      <c r="BG425" s="138">
        <f>IF('1.DATOS-PROD'!BP426="SI",VLOOKUP('1.DATOS-PROD'!BP$2,'1.PUNTOS'!$A$1:$B$63,2,0),0)</f>
        <v>0</v>
      </c>
      <c r="BH425" s="138">
        <f>IF('1.DATOS-PROD'!BQ426="SI",VLOOKUP('1.DATOS-PROD'!BQ$2,'1.PUNTOS'!$A$1:$B$63,2,0),0)</f>
        <v>0</v>
      </c>
      <c r="BI425" s="138">
        <f>IF('1.DATOS-PROD'!BR426="SI",VLOOKUP('1.DATOS-PROD'!BR$2,'1.PUNTOS'!$A$1:$B$63,2,0),0)</f>
        <v>0</v>
      </c>
      <c r="BJ425" s="138">
        <f>IF('1.DATOS-PROD'!BS426="SI",VLOOKUP('1.DATOS-PROD'!BS$2,'1.PUNTOS'!$A$1:$B$63,2,0),0)</f>
        <v>0</v>
      </c>
      <c r="BK425" s="138">
        <f>IF('1.DATOS-PROD'!BT426="SI",VLOOKUP('1.DATOS-PROD'!BT$2,'1.PUNTOS'!$A$1:$B$63,2,0),0)</f>
        <v>0</v>
      </c>
    </row>
    <row r="426" spans="1:63" x14ac:dyDescent="0.25">
      <c r="A426">
        <f>'0.Consolidado general'!$A427</f>
        <v>0</v>
      </c>
      <c r="B426" s="138">
        <f>IF('1.DATOS-PROD'!K427="SI",VLOOKUP('1.DATOS-PROD'!K$2,'1.PUNTOS'!$A$1:$B$63,2,0),0)</f>
        <v>0</v>
      </c>
      <c r="C426" s="138">
        <f>IF('1.DATOS-PROD'!L427="SI",VLOOKUP('1.DATOS-PROD'!L$2,'1.PUNTOS'!$A$1:$B$63,2,0),0)</f>
        <v>0</v>
      </c>
      <c r="D426" s="138">
        <f>IF('1.DATOS-PROD'!M427="SI",VLOOKUP('1.DATOS-PROD'!M$2,'1.PUNTOS'!$A$1:$B$63,2,0),0)</f>
        <v>0</v>
      </c>
      <c r="E426" s="138">
        <f>IF('1.DATOS-PROD'!N427="SI",VLOOKUP('1.DATOS-PROD'!N$2,'1.PUNTOS'!$A$1:$B$63,2,0),0)</f>
        <v>0</v>
      </c>
      <c r="F426" s="138">
        <f>IF('1.DATOS-PROD'!O427="SI",VLOOKUP('1.DATOS-PROD'!O$2,'1.PUNTOS'!$A$1:$B$63,2,0),0)</f>
        <v>0</v>
      </c>
      <c r="G426" s="138">
        <f>IF('1.DATOS-PROD'!P427="SI",VLOOKUP('1.DATOS-PROD'!P$2,'1.PUNTOS'!$A$1:$B$63,2,0),0)</f>
        <v>0</v>
      </c>
      <c r="H426" s="138">
        <f>IF('1.DATOS-PROD'!Q427="SI",VLOOKUP('1.DATOS-PROD'!Q$2,'1.PUNTOS'!$A$1:$B$63,2,0),0)</f>
        <v>0</v>
      </c>
      <c r="I426" s="138">
        <f>IF('1.DATOS-PROD'!R427="SI",VLOOKUP('1.DATOS-PROD'!R$2,'1.PUNTOS'!$A$1:$B$63,2,0),0)</f>
        <v>0</v>
      </c>
      <c r="J426" s="138">
        <f>IF('1.DATOS-PROD'!S427="SI",VLOOKUP('1.DATOS-PROD'!S$2,'1.PUNTOS'!$A$1:$B$63,2,0),0)</f>
        <v>0</v>
      </c>
      <c r="K426" s="138">
        <f>IF('1.DATOS-PROD'!T427="SI",VLOOKUP('1.DATOS-PROD'!T$2,'1.PUNTOS'!$A$1:$B$63,2,0),0)</f>
        <v>0</v>
      </c>
      <c r="L426" s="138">
        <f>IF('1.DATOS-PROD'!U427="SI",VLOOKUP('1.DATOS-PROD'!U$2,'1.PUNTOS'!$A$1:$B$63,2,0),0)</f>
        <v>0</v>
      </c>
      <c r="M426" s="138">
        <f>IF('1.DATOS-PROD'!V427="SI",VLOOKUP('1.DATOS-PROD'!V$2,'1.PUNTOS'!$A$1:$B$63,2,0),0)</f>
        <v>0</v>
      </c>
      <c r="N426" s="138">
        <f>IF('1.DATOS-PROD'!W427="SI",VLOOKUP('1.DATOS-PROD'!W$2,'1.PUNTOS'!$A$1:$B$63,2,0),0)</f>
        <v>0</v>
      </c>
      <c r="O426" s="138">
        <f>IF('1.DATOS-PROD'!X427="SI",VLOOKUP('1.DATOS-PROD'!X$2,'1.PUNTOS'!$A$1:$B$63,2,0),0)</f>
        <v>0</v>
      </c>
      <c r="P426" s="138">
        <f>IF('1.DATOS-PROD'!Y427="SI",VLOOKUP('1.DATOS-PROD'!Y$2,'1.PUNTOS'!$A$1:$B$63,2,0),0)</f>
        <v>0</v>
      </c>
      <c r="Q426" s="138">
        <f>IF('1.DATOS-PROD'!Z427="SI",VLOOKUP('1.DATOS-PROD'!Z$2,'1.PUNTOS'!$A$1:$B$63,2,0),0)</f>
        <v>0</v>
      </c>
      <c r="R426" s="138">
        <f>IF('1.DATOS-PROD'!AA427="SI",VLOOKUP('1.DATOS-PROD'!AA$2,'1.PUNTOS'!$A$1:$B$63,2,0),0)</f>
        <v>0</v>
      </c>
      <c r="S426" s="138">
        <f>IF('1.DATOS-PROD'!AB427="SI",VLOOKUP('1.DATOS-PROD'!AB$2,'1.PUNTOS'!$A$1:$B$63,2,0),0)</f>
        <v>0</v>
      </c>
      <c r="T426" s="138">
        <f>IF('1.DATOS-PROD'!AC427="SI",VLOOKUP('1.DATOS-PROD'!AC$2,'1.PUNTOS'!$A$1:$B$63,2,0),0)</f>
        <v>0</v>
      </c>
      <c r="U426" s="138">
        <f>IF('1.DATOS-PROD'!AD427="SI",VLOOKUP('1.DATOS-PROD'!AD$2,'1.PUNTOS'!$A$1:$B$63,2,0),0)</f>
        <v>0</v>
      </c>
      <c r="V426" s="138">
        <f>IF('1.DATOS-PROD'!AE427="SI",VLOOKUP('1.DATOS-PROD'!AE$2,'1.PUNTOS'!$A$1:$B$63,2,0),0)</f>
        <v>0</v>
      </c>
      <c r="W426" s="138">
        <f>IF('1.DATOS-PROD'!AF427="SI",VLOOKUP('1.DATOS-PROD'!AF$2,'1.PUNTOS'!$A$1:$B$63,2,0),0)</f>
        <v>0</v>
      </c>
      <c r="X426" s="138">
        <f>IF('1.DATOS-PROD'!AG427="SI",VLOOKUP('1.DATOS-PROD'!AG$2,'1.PUNTOS'!$A$1:$B$63,2,0),0)</f>
        <v>0</v>
      </c>
      <c r="Y426" s="138">
        <f>IF('1.DATOS-PROD'!AH427="SI",VLOOKUP('1.DATOS-PROD'!AH$2,'1.PUNTOS'!$A$1:$B$63,2,0),0)</f>
        <v>0</v>
      </c>
      <c r="Z426" s="138">
        <f>IF('1.DATOS-PROD'!AI427="SI",VLOOKUP('1.DATOS-PROD'!AI$2,'1.PUNTOS'!$A$1:$B$63,2,0),0)</f>
        <v>0</v>
      </c>
      <c r="AA426" s="138">
        <f>IF('1.DATOS-PROD'!AJ427="SI",VLOOKUP('1.DATOS-PROD'!AJ$2,'1.PUNTOS'!$A$1:$B$63,2,0),0)</f>
        <v>0</v>
      </c>
      <c r="AB426" s="138">
        <f>IF('1.DATOS-PROD'!AK427="SI",VLOOKUP('1.DATOS-PROD'!AK$2,'1.PUNTOS'!$A$1:$B$63,2,0),0)</f>
        <v>0</v>
      </c>
      <c r="AC426" s="138">
        <f>IF('1.DATOS-PROD'!AL427="SI",VLOOKUP('1.DATOS-PROD'!AL$2,'1.PUNTOS'!$A$1:$B$63,2,0),0)</f>
        <v>0</v>
      </c>
      <c r="AD426" s="138">
        <f>IF('1.DATOS-PROD'!AM427="SI",VLOOKUP('1.DATOS-PROD'!AM$2,'1.PUNTOS'!$A$1:$B$63,2,0),0)</f>
        <v>0</v>
      </c>
      <c r="AE426" s="138">
        <f>IF('1.DATOS-PROD'!AN427="SI",VLOOKUP('1.DATOS-PROD'!AN$2,'1.PUNTOS'!$A$1:$B$63,2,0),0)</f>
        <v>0</v>
      </c>
      <c r="AF426" s="138">
        <f>IF('1.DATOS-PROD'!AO427="SI",VLOOKUP('1.DATOS-PROD'!AO$2,'1.PUNTOS'!$A$1:$B$63,2,0),0)</f>
        <v>0</v>
      </c>
      <c r="AG426" s="138">
        <f>IF('1.DATOS-PROD'!AP427="SI",VLOOKUP('1.DATOS-PROD'!AP$2,'1.PUNTOS'!$A$1:$B$63,2,0),0)</f>
        <v>0</v>
      </c>
      <c r="AH426" s="138">
        <f>IF('1.DATOS-PROD'!AQ427="SI",VLOOKUP('1.DATOS-PROD'!AQ$2,'1.PUNTOS'!$A$1:$B$63,2,0),0)</f>
        <v>0</v>
      </c>
      <c r="AI426" s="138">
        <f>IF('1.DATOS-PROD'!AR427="SI",VLOOKUP('1.DATOS-PROD'!AR$2,'1.PUNTOS'!$A$1:$B$63,2,0),0)</f>
        <v>0</v>
      </c>
      <c r="AJ426" s="138">
        <f>IF('1.DATOS-PROD'!AS427="SI",VLOOKUP('1.DATOS-PROD'!AS$2,'1.PUNTOS'!$A$1:$B$63,2,0),0)</f>
        <v>0</v>
      </c>
      <c r="AK426" s="138">
        <f>IF('1.DATOS-PROD'!AT427="SI",VLOOKUP('1.DATOS-PROD'!AT$2,'1.PUNTOS'!$A$1:$B$63,2,0),0)</f>
        <v>0</v>
      </c>
      <c r="AL426" s="138">
        <f>IF('1.DATOS-PROD'!AU427="SI",VLOOKUP('1.DATOS-PROD'!AU$2,'1.PUNTOS'!$A$1:$B$63,2,0),0)</f>
        <v>0</v>
      </c>
      <c r="AM426" s="138">
        <f>IF('1.DATOS-PROD'!AV427="SI",VLOOKUP('1.DATOS-PROD'!AV$2,'1.PUNTOS'!$A$1:$B$63,2,0),0)</f>
        <v>0</v>
      </c>
      <c r="AN426" s="138">
        <f>IF('1.DATOS-PROD'!AW427="SI",VLOOKUP('1.DATOS-PROD'!AW$2,'1.PUNTOS'!$A$1:$B$63,2,0),0)</f>
        <v>0</v>
      </c>
      <c r="AO426" s="138">
        <f>IF('1.DATOS-PROD'!AX427="SI",VLOOKUP('1.DATOS-PROD'!AX$2,'1.PUNTOS'!$A$1:$B$63,2,0),0)</f>
        <v>0</v>
      </c>
      <c r="AP426" s="138">
        <f>IF('1.DATOS-PROD'!AY427="SI",VLOOKUP('1.DATOS-PROD'!AY$2,'1.PUNTOS'!$A$1:$B$63,2,0),0)</f>
        <v>0</v>
      </c>
      <c r="AQ426" s="138">
        <f>IF('1.DATOS-PROD'!AZ427="SI",VLOOKUP('1.DATOS-PROD'!AZ$2,'1.PUNTOS'!$A$1:$B$63,2,0),0)</f>
        <v>0</v>
      </c>
      <c r="AR426" s="138">
        <f>IF('1.DATOS-PROD'!BA427="SI",VLOOKUP('1.DATOS-PROD'!BA$2,'1.PUNTOS'!$A$1:$B$63,2,0),0)</f>
        <v>0</v>
      </c>
      <c r="AS426" s="138">
        <f>IF('1.DATOS-PROD'!BB427="SI",VLOOKUP('1.DATOS-PROD'!BB$2,'1.PUNTOS'!$A$1:$B$63,2,0),0)</f>
        <v>0</v>
      </c>
      <c r="AT426" s="138">
        <f>IF('1.DATOS-PROD'!BC427="SI",VLOOKUP('1.DATOS-PROD'!BC$2,'1.PUNTOS'!$A$1:$B$63,2,0),0)</f>
        <v>0</v>
      </c>
      <c r="AU426" s="138">
        <f>IF('1.DATOS-PROD'!BD427="SI",VLOOKUP('1.DATOS-PROD'!BD$2,'1.PUNTOS'!$A$1:$B$63,2,0),0)</f>
        <v>0</v>
      </c>
      <c r="AV426" s="138">
        <f>IF('1.DATOS-PROD'!BE427="SI",VLOOKUP('1.DATOS-PROD'!BE$2,'1.PUNTOS'!$A$1:$B$63,2,0),0)</f>
        <v>0</v>
      </c>
      <c r="AW426" s="138">
        <f>IF('1.DATOS-PROD'!BF427="SI",VLOOKUP('1.DATOS-PROD'!BF$2,'1.PUNTOS'!$A$1:$B$63,2,0),0)</f>
        <v>0</v>
      </c>
      <c r="AX426" s="138">
        <f>IF('1.DATOS-PROD'!BG427="SI",VLOOKUP('1.DATOS-PROD'!BG$2,'1.PUNTOS'!$A$1:$B$63,2,0),0)</f>
        <v>0</v>
      </c>
      <c r="AY426" s="138">
        <f>IF('1.DATOS-PROD'!BH427="SI",VLOOKUP('1.DATOS-PROD'!BH$2,'1.PUNTOS'!$A$1:$B$63,2,0),0)</f>
        <v>0</v>
      </c>
      <c r="AZ426" s="138">
        <f>IF('1.DATOS-PROD'!BI427="SI",VLOOKUP('1.DATOS-PROD'!BI$2,'1.PUNTOS'!$A$1:$B$63,2,0),0)</f>
        <v>0</v>
      </c>
      <c r="BA426" s="138">
        <f>IF('1.DATOS-PROD'!BJ427="SI",VLOOKUP('1.DATOS-PROD'!BJ$2,'1.PUNTOS'!$A$1:$B$63,2,0),0)</f>
        <v>0</v>
      </c>
      <c r="BB426" s="138">
        <f>IF('1.DATOS-PROD'!BK427="SI",VLOOKUP('1.DATOS-PROD'!BK$2,'1.PUNTOS'!$A$1:$B$63,2,0),0)</f>
        <v>0</v>
      </c>
      <c r="BC426" s="138">
        <f>IF('1.DATOS-PROD'!BL427="SI",VLOOKUP('1.DATOS-PROD'!BL$2,'1.PUNTOS'!$A$1:$B$63,2,0),0)</f>
        <v>0</v>
      </c>
      <c r="BD426" s="138">
        <f>IF('1.DATOS-PROD'!BM427="SI",VLOOKUP('1.DATOS-PROD'!BM$2,'1.PUNTOS'!$A$1:$B$63,2,0),0)</f>
        <v>0</v>
      </c>
      <c r="BE426" s="138">
        <f>IF('1.DATOS-PROD'!BN427="SI",VLOOKUP('1.DATOS-PROD'!BN$2,'1.PUNTOS'!$A$1:$B$63,2,0),0)</f>
        <v>0</v>
      </c>
      <c r="BF426" s="138">
        <f>IF('1.DATOS-PROD'!BO427="SI",VLOOKUP('1.DATOS-PROD'!BO$2,'1.PUNTOS'!$A$1:$B$63,2,0),0)</f>
        <v>0</v>
      </c>
      <c r="BG426" s="138">
        <f>IF('1.DATOS-PROD'!BP427="SI",VLOOKUP('1.DATOS-PROD'!BP$2,'1.PUNTOS'!$A$1:$B$63,2,0),0)</f>
        <v>0</v>
      </c>
      <c r="BH426" s="138">
        <f>IF('1.DATOS-PROD'!BQ427="SI",VLOOKUP('1.DATOS-PROD'!BQ$2,'1.PUNTOS'!$A$1:$B$63,2,0),0)</f>
        <v>0</v>
      </c>
      <c r="BI426" s="138">
        <f>IF('1.DATOS-PROD'!BR427="SI",VLOOKUP('1.DATOS-PROD'!BR$2,'1.PUNTOS'!$A$1:$B$63,2,0),0)</f>
        <v>0</v>
      </c>
      <c r="BJ426" s="138">
        <f>IF('1.DATOS-PROD'!BS427="SI",VLOOKUP('1.DATOS-PROD'!BS$2,'1.PUNTOS'!$A$1:$B$63,2,0),0)</f>
        <v>0</v>
      </c>
      <c r="BK426" s="138">
        <f>IF('1.DATOS-PROD'!BT427="SI",VLOOKUP('1.DATOS-PROD'!BT$2,'1.PUNTOS'!$A$1:$B$63,2,0),0)</f>
        <v>0</v>
      </c>
    </row>
    <row r="427" spans="1:63" x14ac:dyDescent="0.25">
      <c r="A427">
        <f>'0.Consolidado general'!$A428</f>
        <v>0</v>
      </c>
      <c r="B427" s="138">
        <f>IF('1.DATOS-PROD'!K428="SI",VLOOKUP('1.DATOS-PROD'!K$2,'1.PUNTOS'!$A$1:$B$63,2,0),0)</f>
        <v>0</v>
      </c>
      <c r="C427" s="138">
        <f>IF('1.DATOS-PROD'!L428="SI",VLOOKUP('1.DATOS-PROD'!L$2,'1.PUNTOS'!$A$1:$B$63,2,0),0)</f>
        <v>0</v>
      </c>
      <c r="D427" s="138">
        <f>IF('1.DATOS-PROD'!M428="SI",VLOOKUP('1.DATOS-PROD'!M$2,'1.PUNTOS'!$A$1:$B$63,2,0),0)</f>
        <v>0</v>
      </c>
      <c r="E427" s="138">
        <f>IF('1.DATOS-PROD'!N428="SI",VLOOKUP('1.DATOS-PROD'!N$2,'1.PUNTOS'!$A$1:$B$63,2,0),0)</f>
        <v>0</v>
      </c>
      <c r="F427" s="138">
        <f>IF('1.DATOS-PROD'!O428="SI",VLOOKUP('1.DATOS-PROD'!O$2,'1.PUNTOS'!$A$1:$B$63,2,0),0)</f>
        <v>0</v>
      </c>
      <c r="G427" s="138">
        <f>IF('1.DATOS-PROD'!P428="SI",VLOOKUP('1.DATOS-PROD'!P$2,'1.PUNTOS'!$A$1:$B$63,2,0),0)</f>
        <v>0</v>
      </c>
      <c r="H427" s="138">
        <f>IF('1.DATOS-PROD'!Q428="SI",VLOOKUP('1.DATOS-PROD'!Q$2,'1.PUNTOS'!$A$1:$B$63,2,0),0)</f>
        <v>0</v>
      </c>
      <c r="I427" s="138">
        <f>IF('1.DATOS-PROD'!R428="SI",VLOOKUP('1.DATOS-PROD'!R$2,'1.PUNTOS'!$A$1:$B$63,2,0),0)</f>
        <v>0</v>
      </c>
      <c r="J427" s="138">
        <f>IF('1.DATOS-PROD'!S428="SI",VLOOKUP('1.DATOS-PROD'!S$2,'1.PUNTOS'!$A$1:$B$63,2,0),0)</f>
        <v>0</v>
      </c>
      <c r="K427" s="138">
        <f>IF('1.DATOS-PROD'!T428="SI",VLOOKUP('1.DATOS-PROD'!T$2,'1.PUNTOS'!$A$1:$B$63,2,0),0)</f>
        <v>0</v>
      </c>
      <c r="L427" s="138">
        <f>IF('1.DATOS-PROD'!U428="SI",VLOOKUP('1.DATOS-PROD'!U$2,'1.PUNTOS'!$A$1:$B$63,2,0),0)</f>
        <v>0</v>
      </c>
      <c r="M427" s="138">
        <f>IF('1.DATOS-PROD'!V428="SI",VLOOKUP('1.DATOS-PROD'!V$2,'1.PUNTOS'!$A$1:$B$63,2,0),0)</f>
        <v>0</v>
      </c>
      <c r="N427" s="138">
        <f>IF('1.DATOS-PROD'!W428="SI",VLOOKUP('1.DATOS-PROD'!W$2,'1.PUNTOS'!$A$1:$B$63,2,0),0)</f>
        <v>0</v>
      </c>
      <c r="O427" s="138">
        <f>IF('1.DATOS-PROD'!X428="SI",VLOOKUP('1.DATOS-PROD'!X$2,'1.PUNTOS'!$A$1:$B$63,2,0),0)</f>
        <v>0</v>
      </c>
      <c r="P427" s="138">
        <f>IF('1.DATOS-PROD'!Y428="SI",VLOOKUP('1.DATOS-PROD'!Y$2,'1.PUNTOS'!$A$1:$B$63,2,0),0)</f>
        <v>0</v>
      </c>
      <c r="Q427" s="138">
        <f>IF('1.DATOS-PROD'!Z428="SI",VLOOKUP('1.DATOS-PROD'!Z$2,'1.PUNTOS'!$A$1:$B$63,2,0),0)</f>
        <v>0</v>
      </c>
      <c r="R427" s="138">
        <f>IF('1.DATOS-PROD'!AA428="SI",VLOOKUP('1.DATOS-PROD'!AA$2,'1.PUNTOS'!$A$1:$B$63,2,0),0)</f>
        <v>0</v>
      </c>
      <c r="S427" s="138">
        <f>IF('1.DATOS-PROD'!AB428="SI",VLOOKUP('1.DATOS-PROD'!AB$2,'1.PUNTOS'!$A$1:$B$63,2,0),0)</f>
        <v>0</v>
      </c>
      <c r="T427" s="138">
        <f>IF('1.DATOS-PROD'!AC428="SI",VLOOKUP('1.DATOS-PROD'!AC$2,'1.PUNTOS'!$A$1:$B$63,2,0),0)</f>
        <v>0</v>
      </c>
      <c r="U427" s="138">
        <f>IF('1.DATOS-PROD'!AD428="SI",VLOOKUP('1.DATOS-PROD'!AD$2,'1.PUNTOS'!$A$1:$B$63,2,0),0)</f>
        <v>0</v>
      </c>
      <c r="V427" s="138">
        <f>IF('1.DATOS-PROD'!AE428="SI",VLOOKUP('1.DATOS-PROD'!AE$2,'1.PUNTOS'!$A$1:$B$63,2,0),0)</f>
        <v>0</v>
      </c>
      <c r="W427" s="138">
        <f>IF('1.DATOS-PROD'!AF428="SI",VLOOKUP('1.DATOS-PROD'!AF$2,'1.PUNTOS'!$A$1:$B$63,2,0),0)</f>
        <v>0</v>
      </c>
      <c r="X427" s="138">
        <f>IF('1.DATOS-PROD'!AG428="SI",VLOOKUP('1.DATOS-PROD'!AG$2,'1.PUNTOS'!$A$1:$B$63,2,0),0)</f>
        <v>0</v>
      </c>
      <c r="Y427" s="138">
        <f>IF('1.DATOS-PROD'!AH428="SI",VLOOKUP('1.DATOS-PROD'!AH$2,'1.PUNTOS'!$A$1:$B$63,2,0),0)</f>
        <v>0</v>
      </c>
      <c r="Z427" s="138">
        <f>IF('1.DATOS-PROD'!AI428="SI",VLOOKUP('1.DATOS-PROD'!AI$2,'1.PUNTOS'!$A$1:$B$63,2,0),0)</f>
        <v>0</v>
      </c>
      <c r="AA427" s="138">
        <f>IF('1.DATOS-PROD'!AJ428="SI",VLOOKUP('1.DATOS-PROD'!AJ$2,'1.PUNTOS'!$A$1:$B$63,2,0),0)</f>
        <v>0</v>
      </c>
      <c r="AB427" s="138">
        <f>IF('1.DATOS-PROD'!AK428="SI",VLOOKUP('1.DATOS-PROD'!AK$2,'1.PUNTOS'!$A$1:$B$63,2,0),0)</f>
        <v>0</v>
      </c>
      <c r="AC427" s="138">
        <f>IF('1.DATOS-PROD'!AL428="SI",VLOOKUP('1.DATOS-PROD'!AL$2,'1.PUNTOS'!$A$1:$B$63,2,0),0)</f>
        <v>0</v>
      </c>
      <c r="AD427" s="138">
        <f>IF('1.DATOS-PROD'!AM428="SI",VLOOKUP('1.DATOS-PROD'!AM$2,'1.PUNTOS'!$A$1:$B$63,2,0),0)</f>
        <v>0</v>
      </c>
      <c r="AE427" s="138">
        <f>IF('1.DATOS-PROD'!AN428="SI",VLOOKUP('1.DATOS-PROD'!AN$2,'1.PUNTOS'!$A$1:$B$63,2,0),0)</f>
        <v>0</v>
      </c>
      <c r="AF427" s="138">
        <f>IF('1.DATOS-PROD'!AO428="SI",VLOOKUP('1.DATOS-PROD'!AO$2,'1.PUNTOS'!$A$1:$B$63,2,0),0)</f>
        <v>0</v>
      </c>
      <c r="AG427" s="138">
        <f>IF('1.DATOS-PROD'!AP428="SI",VLOOKUP('1.DATOS-PROD'!AP$2,'1.PUNTOS'!$A$1:$B$63,2,0),0)</f>
        <v>0</v>
      </c>
      <c r="AH427" s="138">
        <f>IF('1.DATOS-PROD'!AQ428="SI",VLOOKUP('1.DATOS-PROD'!AQ$2,'1.PUNTOS'!$A$1:$B$63,2,0),0)</f>
        <v>0</v>
      </c>
      <c r="AI427" s="138">
        <f>IF('1.DATOS-PROD'!AR428="SI",VLOOKUP('1.DATOS-PROD'!AR$2,'1.PUNTOS'!$A$1:$B$63,2,0),0)</f>
        <v>0</v>
      </c>
      <c r="AJ427" s="138">
        <f>IF('1.DATOS-PROD'!AS428="SI",VLOOKUP('1.DATOS-PROD'!AS$2,'1.PUNTOS'!$A$1:$B$63,2,0),0)</f>
        <v>0</v>
      </c>
      <c r="AK427" s="138">
        <f>IF('1.DATOS-PROD'!AT428="SI",VLOOKUP('1.DATOS-PROD'!AT$2,'1.PUNTOS'!$A$1:$B$63,2,0),0)</f>
        <v>0</v>
      </c>
      <c r="AL427" s="138">
        <f>IF('1.DATOS-PROD'!AU428="SI",VLOOKUP('1.DATOS-PROD'!AU$2,'1.PUNTOS'!$A$1:$B$63,2,0),0)</f>
        <v>0</v>
      </c>
      <c r="AM427" s="138">
        <f>IF('1.DATOS-PROD'!AV428="SI",VLOOKUP('1.DATOS-PROD'!AV$2,'1.PUNTOS'!$A$1:$B$63,2,0),0)</f>
        <v>0</v>
      </c>
      <c r="AN427" s="138">
        <f>IF('1.DATOS-PROD'!AW428="SI",VLOOKUP('1.DATOS-PROD'!AW$2,'1.PUNTOS'!$A$1:$B$63,2,0),0)</f>
        <v>0</v>
      </c>
      <c r="AO427" s="138">
        <f>IF('1.DATOS-PROD'!AX428="SI",VLOOKUP('1.DATOS-PROD'!AX$2,'1.PUNTOS'!$A$1:$B$63,2,0),0)</f>
        <v>0</v>
      </c>
      <c r="AP427" s="138">
        <f>IF('1.DATOS-PROD'!AY428="SI",VLOOKUP('1.DATOS-PROD'!AY$2,'1.PUNTOS'!$A$1:$B$63,2,0),0)</f>
        <v>0</v>
      </c>
      <c r="AQ427" s="138">
        <f>IF('1.DATOS-PROD'!AZ428="SI",VLOOKUP('1.DATOS-PROD'!AZ$2,'1.PUNTOS'!$A$1:$B$63,2,0),0)</f>
        <v>0</v>
      </c>
      <c r="AR427" s="138">
        <f>IF('1.DATOS-PROD'!BA428="SI",VLOOKUP('1.DATOS-PROD'!BA$2,'1.PUNTOS'!$A$1:$B$63,2,0),0)</f>
        <v>0</v>
      </c>
      <c r="AS427" s="138">
        <f>IF('1.DATOS-PROD'!BB428="SI",VLOOKUP('1.DATOS-PROD'!BB$2,'1.PUNTOS'!$A$1:$B$63,2,0),0)</f>
        <v>0</v>
      </c>
      <c r="AT427" s="138">
        <f>IF('1.DATOS-PROD'!BC428="SI",VLOOKUP('1.DATOS-PROD'!BC$2,'1.PUNTOS'!$A$1:$B$63,2,0),0)</f>
        <v>0</v>
      </c>
      <c r="AU427" s="138">
        <f>IF('1.DATOS-PROD'!BD428="SI",VLOOKUP('1.DATOS-PROD'!BD$2,'1.PUNTOS'!$A$1:$B$63,2,0),0)</f>
        <v>0</v>
      </c>
      <c r="AV427" s="138">
        <f>IF('1.DATOS-PROD'!BE428="SI",VLOOKUP('1.DATOS-PROD'!BE$2,'1.PUNTOS'!$A$1:$B$63,2,0),0)</f>
        <v>0</v>
      </c>
      <c r="AW427" s="138">
        <f>IF('1.DATOS-PROD'!BF428="SI",VLOOKUP('1.DATOS-PROD'!BF$2,'1.PUNTOS'!$A$1:$B$63,2,0),0)</f>
        <v>0</v>
      </c>
      <c r="AX427" s="138">
        <f>IF('1.DATOS-PROD'!BG428="SI",VLOOKUP('1.DATOS-PROD'!BG$2,'1.PUNTOS'!$A$1:$B$63,2,0),0)</f>
        <v>0</v>
      </c>
      <c r="AY427" s="138">
        <f>IF('1.DATOS-PROD'!BH428="SI",VLOOKUP('1.DATOS-PROD'!BH$2,'1.PUNTOS'!$A$1:$B$63,2,0),0)</f>
        <v>0</v>
      </c>
      <c r="AZ427" s="138">
        <f>IF('1.DATOS-PROD'!BI428="SI",VLOOKUP('1.DATOS-PROD'!BI$2,'1.PUNTOS'!$A$1:$B$63,2,0),0)</f>
        <v>0</v>
      </c>
      <c r="BA427" s="138">
        <f>IF('1.DATOS-PROD'!BJ428="SI",VLOOKUP('1.DATOS-PROD'!BJ$2,'1.PUNTOS'!$A$1:$B$63,2,0),0)</f>
        <v>0</v>
      </c>
      <c r="BB427" s="138">
        <f>IF('1.DATOS-PROD'!BK428="SI",VLOOKUP('1.DATOS-PROD'!BK$2,'1.PUNTOS'!$A$1:$B$63,2,0),0)</f>
        <v>0</v>
      </c>
      <c r="BC427" s="138">
        <f>IF('1.DATOS-PROD'!BL428="SI",VLOOKUP('1.DATOS-PROD'!BL$2,'1.PUNTOS'!$A$1:$B$63,2,0),0)</f>
        <v>0</v>
      </c>
      <c r="BD427" s="138">
        <f>IF('1.DATOS-PROD'!BM428="SI",VLOOKUP('1.DATOS-PROD'!BM$2,'1.PUNTOS'!$A$1:$B$63,2,0),0)</f>
        <v>0</v>
      </c>
      <c r="BE427" s="138">
        <f>IF('1.DATOS-PROD'!BN428="SI",VLOOKUP('1.DATOS-PROD'!BN$2,'1.PUNTOS'!$A$1:$B$63,2,0),0)</f>
        <v>0</v>
      </c>
      <c r="BF427" s="138">
        <f>IF('1.DATOS-PROD'!BO428="SI",VLOOKUP('1.DATOS-PROD'!BO$2,'1.PUNTOS'!$A$1:$B$63,2,0),0)</f>
        <v>0</v>
      </c>
      <c r="BG427" s="138">
        <f>IF('1.DATOS-PROD'!BP428="SI",VLOOKUP('1.DATOS-PROD'!BP$2,'1.PUNTOS'!$A$1:$B$63,2,0),0)</f>
        <v>0</v>
      </c>
      <c r="BH427" s="138">
        <f>IF('1.DATOS-PROD'!BQ428="SI",VLOOKUP('1.DATOS-PROD'!BQ$2,'1.PUNTOS'!$A$1:$B$63,2,0),0)</f>
        <v>0</v>
      </c>
      <c r="BI427" s="138">
        <f>IF('1.DATOS-PROD'!BR428="SI",VLOOKUP('1.DATOS-PROD'!BR$2,'1.PUNTOS'!$A$1:$B$63,2,0),0)</f>
        <v>0</v>
      </c>
      <c r="BJ427" s="138">
        <f>IF('1.DATOS-PROD'!BS428="SI",VLOOKUP('1.DATOS-PROD'!BS$2,'1.PUNTOS'!$A$1:$B$63,2,0),0)</f>
        <v>0</v>
      </c>
      <c r="BK427" s="138">
        <f>IF('1.DATOS-PROD'!BT428="SI",VLOOKUP('1.DATOS-PROD'!BT$2,'1.PUNTOS'!$A$1:$B$63,2,0),0)</f>
        <v>0</v>
      </c>
    </row>
    <row r="428" spans="1:63" x14ac:dyDescent="0.25">
      <c r="A428">
        <f>'0.Consolidado general'!$A429</f>
        <v>0</v>
      </c>
      <c r="B428" s="138">
        <f>IF('1.DATOS-PROD'!K429="SI",VLOOKUP('1.DATOS-PROD'!K$2,'1.PUNTOS'!$A$1:$B$63,2,0),0)</f>
        <v>0</v>
      </c>
      <c r="C428" s="138">
        <f>IF('1.DATOS-PROD'!L429="SI",VLOOKUP('1.DATOS-PROD'!L$2,'1.PUNTOS'!$A$1:$B$63,2,0),0)</f>
        <v>0</v>
      </c>
      <c r="D428" s="138">
        <f>IF('1.DATOS-PROD'!M429="SI",VLOOKUP('1.DATOS-PROD'!M$2,'1.PUNTOS'!$A$1:$B$63,2,0),0)</f>
        <v>0</v>
      </c>
      <c r="E428" s="138">
        <f>IF('1.DATOS-PROD'!N429="SI",VLOOKUP('1.DATOS-PROD'!N$2,'1.PUNTOS'!$A$1:$B$63,2,0),0)</f>
        <v>0</v>
      </c>
      <c r="F428" s="138">
        <f>IF('1.DATOS-PROD'!O429="SI",VLOOKUP('1.DATOS-PROD'!O$2,'1.PUNTOS'!$A$1:$B$63,2,0),0)</f>
        <v>0</v>
      </c>
      <c r="G428" s="138">
        <f>IF('1.DATOS-PROD'!P429="SI",VLOOKUP('1.DATOS-PROD'!P$2,'1.PUNTOS'!$A$1:$B$63,2,0),0)</f>
        <v>0</v>
      </c>
      <c r="H428" s="138">
        <f>IF('1.DATOS-PROD'!Q429="SI",VLOOKUP('1.DATOS-PROD'!Q$2,'1.PUNTOS'!$A$1:$B$63,2,0),0)</f>
        <v>0</v>
      </c>
      <c r="I428" s="138">
        <f>IF('1.DATOS-PROD'!R429="SI",VLOOKUP('1.DATOS-PROD'!R$2,'1.PUNTOS'!$A$1:$B$63,2,0),0)</f>
        <v>0</v>
      </c>
      <c r="J428" s="138">
        <f>IF('1.DATOS-PROD'!S429="SI",VLOOKUP('1.DATOS-PROD'!S$2,'1.PUNTOS'!$A$1:$B$63,2,0),0)</f>
        <v>0</v>
      </c>
      <c r="K428" s="138">
        <f>IF('1.DATOS-PROD'!T429="SI",VLOOKUP('1.DATOS-PROD'!T$2,'1.PUNTOS'!$A$1:$B$63,2,0),0)</f>
        <v>0</v>
      </c>
      <c r="L428" s="138">
        <f>IF('1.DATOS-PROD'!U429="SI",VLOOKUP('1.DATOS-PROD'!U$2,'1.PUNTOS'!$A$1:$B$63,2,0),0)</f>
        <v>0</v>
      </c>
      <c r="M428" s="138">
        <f>IF('1.DATOS-PROD'!V429="SI",VLOOKUP('1.DATOS-PROD'!V$2,'1.PUNTOS'!$A$1:$B$63,2,0),0)</f>
        <v>0</v>
      </c>
      <c r="N428" s="138">
        <f>IF('1.DATOS-PROD'!W429="SI",VLOOKUP('1.DATOS-PROD'!W$2,'1.PUNTOS'!$A$1:$B$63,2,0),0)</f>
        <v>0</v>
      </c>
      <c r="O428" s="138">
        <f>IF('1.DATOS-PROD'!X429="SI",VLOOKUP('1.DATOS-PROD'!X$2,'1.PUNTOS'!$A$1:$B$63,2,0),0)</f>
        <v>0</v>
      </c>
      <c r="P428" s="138">
        <f>IF('1.DATOS-PROD'!Y429="SI",VLOOKUP('1.DATOS-PROD'!Y$2,'1.PUNTOS'!$A$1:$B$63,2,0),0)</f>
        <v>0</v>
      </c>
      <c r="Q428" s="138">
        <f>IF('1.DATOS-PROD'!Z429="SI",VLOOKUP('1.DATOS-PROD'!Z$2,'1.PUNTOS'!$A$1:$B$63,2,0),0)</f>
        <v>0</v>
      </c>
      <c r="R428" s="138">
        <f>IF('1.DATOS-PROD'!AA429="SI",VLOOKUP('1.DATOS-PROD'!AA$2,'1.PUNTOS'!$A$1:$B$63,2,0),0)</f>
        <v>0</v>
      </c>
      <c r="S428" s="138">
        <f>IF('1.DATOS-PROD'!AB429="SI",VLOOKUP('1.DATOS-PROD'!AB$2,'1.PUNTOS'!$A$1:$B$63,2,0),0)</f>
        <v>0</v>
      </c>
      <c r="T428" s="138">
        <f>IF('1.DATOS-PROD'!AC429="SI",VLOOKUP('1.DATOS-PROD'!AC$2,'1.PUNTOS'!$A$1:$B$63,2,0),0)</f>
        <v>0</v>
      </c>
      <c r="U428" s="138">
        <f>IF('1.DATOS-PROD'!AD429="SI",VLOOKUP('1.DATOS-PROD'!AD$2,'1.PUNTOS'!$A$1:$B$63,2,0),0)</f>
        <v>0</v>
      </c>
      <c r="V428" s="138">
        <f>IF('1.DATOS-PROD'!AE429="SI",VLOOKUP('1.DATOS-PROD'!AE$2,'1.PUNTOS'!$A$1:$B$63,2,0),0)</f>
        <v>0</v>
      </c>
      <c r="W428" s="138">
        <f>IF('1.DATOS-PROD'!AF429="SI",VLOOKUP('1.DATOS-PROD'!AF$2,'1.PUNTOS'!$A$1:$B$63,2,0),0)</f>
        <v>0</v>
      </c>
      <c r="X428" s="138">
        <f>IF('1.DATOS-PROD'!AG429="SI",VLOOKUP('1.DATOS-PROD'!AG$2,'1.PUNTOS'!$A$1:$B$63,2,0),0)</f>
        <v>0</v>
      </c>
      <c r="Y428" s="138">
        <f>IF('1.DATOS-PROD'!AH429="SI",VLOOKUP('1.DATOS-PROD'!AH$2,'1.PUNTOS'!$A$1:$B$63,2,0),0)</f>
        <v>0</v>
      </c>
      <c r="Z428" s="138">
        <f>IF('1.DATOS-PROD'!AI429="SI",VLOOKUP('1.DATOS-PROD'!AI$2,'1.PUNTOS'!$A$1:$B$63,2,0),0)</f>
        <v>0</v>
      </c>
      <c r="AA428" s="138">
        <f>IF('1.DATOS-PROD'!AJ429="SI",VLOOKUP('1.DATOS-PROD'!AJ$2,'1.PUNTOS'!$A$1:$B$63,2,0),0)</f>
        <v>0</v>
      </c>
      <c r="AB428" s="138">
        <f>IF('1.DATOS-PROD'!AK429="SI",VLOOKUP('1.DATOS-PROD'!AK$2,'1.PUNTOS'!$A$1:$B$63,2,0),0)</f>
        <v>0</v>
      </c>
      <c r="AC428" s="138">
        <f>IF('1.DATOS-PROD'!AL429="SI",VLOOKUP('1.DATOS-PROD'!AL$2,'1.PUNTOS'!$A$1:$B$63,2,0),0)</f>
        <v>0</v>
      </c>
      <c r="AD428" s="138">
        <f>IF('1.DATOS-PROD'!AM429="SI",VLOOKUP('1.DATOS-PROD'!AM$2,'1.PUNTOS'!$A$1:$B$63,2,0),0)</f>
        <v>0</v>
      </c>
      <c r="AE428" s="138">
        <f>IF('1.DATOS-PROD'!AN429="SI",VLOOKUP('1.DATOS-PROD'!AN$2,'1.PUNTOS'!$A$1:$B$63,2,0),0)</f>
        <v>0</v>
      </c>
      <c r="AF428" s="138">
        <f>IF('1.DATOS-PROD'!AO429="SI",VLOOKUP('1.DATOS-PROD'!AO$2,'1.PUNTOS'!$A$1:$B$63,2,0),0)</f>
        <v>0</v>
      </c>
      <c r="AG428" s="138">
        <f>IF('1.DATOS-PROD'!AP429="SI",VLOOKUP('1.DATOS-PROD'!AP$2,'1.PUNTOS'!$A$1:$B$63,2,0),0)</f>
        <v>0</v>
      </c>
      <c r="AH428" s="138">
        <f>IF('1.DATOS-PROD'!AQ429="SI",VLOOKUP('1.DATOS-PROD'!AQ$2,'1.PUNTOS'!$A$1:$B$63,2,0),0)</f>
        <v>0</v>
      </c>
      <c r="AI428" s="138">
        <f>IF('1.DATOS-PROD'!AR429="SI",VLOOKUP('1.DATOS-PROD'!AR$2,'1.PUNTOS'!$A$1:$B$63,2,0),0)</f>
        <v>0</v>
      </c>
      <c r="AJ428" s="138">
        <f>IF('1.DATOS-PROD'!AS429="SI",VLOOKUP('1.DATOS-PROD'!AS$2,'1.PUNTOS'!$A$1:$B$63,2,0),0)</f>
        <v>0</v>
      </c>
      <c r="AK428" s="138">
        <f>IF('1.DATOS-PROD'!AT429="SI",VLOOKUP('1.DATOS-PROD'!AT$2,'1.PUNTOS'!$A$1:$B$63,2,0),0)</f>
        <v>0</v>
      </c>
      <c r="AL428" s="138">
        <f>IF('1.DATOS-PROD'!AU429="SI",VLOOKUP('1.DATOS-PROD'!AU$2,'1.PUNTOS'!$A$1:$B$63,2,0),0)</f>
        <v>0</v>
      </c>
      <c r="AM428" s="138">
        <f>IF('1.DATOS-PROD'!AV429="SI",VLOOKUP('1.DATOS-PROD'!AV$2,'1.PUNTOS'!$A$1:$B$63,2,0),0)</f>
        <v>0</v>
      </c>
      <c r="AN428" s="138">
        <f>IF('1.DATOS-PROD'!AW429="SI",VLOOKUP('1.DATOS-PROD'!AW$2,'1.PUNTOS'!$A$1:$B$63,2,0),0)</f>
        <v>0</v>
      </c>
      <c r="AO428" s="138">
        <f>IF('1.DATOS-PROD'!AX429="SI",VLOOKUP('1.DATOS-PROD'!AX$2,'1.PUNTOS'!$A$1:$B$63,2,0),0)</f>
        <v>0</v>
      </c>
      <c r="AP428" s="138">
        <f>IF('1.DATOS-PROD'!AY429="SI",VLOOKUP('1.DATOS-PROD'!AY$2,'1.PUNTOS'!$A$1:$B$63,2,0),0)</f>
        <v>0</v>
      </c>
      <c r="AQ428" s="138">
        <f>IF('1.DATOS-PROD'!AZ429="SI",VLOOKUP('1.DATOS-PROD'!AZ$2,'1.PUNTOS'!$A$1:$B$63,2,0),0)</f>
        <v>0</v>
      </c>
      <c r="AR428" s="138">
        <f>IF('1.DATOS-PROD'!BA429="SI",VLOOKUP('1.DATOS-PROD'!BA$2,'1.PUNTOS'!$A$1:$B$63,2,0),0)</f>
        <v>0</v>
      </c>
      <c r="AS428" s="138">
        <f>IF('1.DATOS-PROD'!BB429="SI",VLOOKUP('1.DATOS-PROD'!BB$2,'1.PUNTOS'!$A$1:$B$63,2,0),0)</f>
        <v>0</v>
      </c>
      <c r="AT428" s="138">
        <f>IF('1.DATOS-PROD'!BC429="SI",VLOOKUP('1.DATOS-PROD'!BC$2,'1.PUNTOS'!$A$1:$B$63,2,0),0)</f>
        <v>0</v>
      </c>
      <c r="AU428" s="138">
        <f>IF('1.DATOS-PROD'!BD429="SI",VLOOKUP('1.DATOS-PROD'!BD$2,'1.PUNTOS'!$A$1:$B$63,2,0),0)</f>
        <v>0</v>
      </c>
      <c r="AV428" s="138">
        <f>IF('1.DATOS-PROD'!BE429="SI",VLOOKUP('1.DATOS-PROD'!BE$2,'1.PUNTOS'!$A$1:$B$63,2,0),0)</f>
        <v>0</v>
      </c>
      <c r="AW428" s="138">
        <f>IF('1.DATOS-PROD'!BF429="SI",VLOOKUP('1.DATOS-PROD'!BF$2,'1.PUNTOS'!$A$1:$B$63,2,0),0)</f>
        <v>0</v>
      </c>
      <c r="AX428" s="138">
        <f>IF('1.DATOS-PROD'!BG429="SI",VLOOKUP('1.DATOS-PROD'!BG$2,'1.PUNTOS'!$A$1:$B$63,2,0),0)</f>
        <v>0</v>
      </c>
      <c r="AY428" s="138">
        <f>IF('1.DATOS-PROD'!BH429="SI",VLOOKUP('1.DATOS-PROD'!BH$2,'1.PUNTOS'!$A$1:$B$63,2,0),0)</f>
        <v>0</v>
      </c>
      <c r="AZ428" s="138">
        <f>IF('1.DATOS-PROD'!BI429="SI",VLOOKUP('1.DATOS-PROD'!BI$2,'1.PUNTOS'!$A$1:$B$63,2,0),0)</f>
        <v>0</v>
      </c>
      <c r="BA428" s="138">
        <f>IF('1.DATOS-PROD'!BJ429="SI",VLOOKUP('1.DATOS-PROD'!BJ$2,'1.PUNTOS'!$A$1:$B$63,2,0),0)</f>
        <v>0</v>
      </c>
      <c r="BB428" s="138">
        <f>IF('1.DATOS-PROD'!BK429="SI",VLOOKUP('1.DATOS-PROD'!BK$2,'1.PUNTOS'!$A$1:$B$63,2,0),0)</f>
        <v>0</v>
      </c>
      <c r="BC428" s="138">
        <f>IF('1.DATOS-PROD'!BL429="SI",VLOOKUP('1.DATOS-PROD'!BL$2,'1.PUNTOS'!$A$1:$B$63,2,0),0)</f>
        <v>0</v>
      </c>
      <c r="BD428" s="138">
        <f>IF('1.DATOS-PROD'!BM429="SI",VLOOKUP('1.DATOS-PROD'!BM$2,'1.PUNTOS'!$A$1:$B$63,2,0),0)</f>
        <v>0</v>
      </c>
      <c r="BE428" s="138">
        <f>IF('1.DATOS-PROD'!BN429="SI",VLOOKUP('1.DATOS-PROD'!BN$2,'1.PUNTOS'!$A$1:$B$63,2,0),0)</f>
        <v>0</v>
      </c>
      <c r="BF428" s="138">
        <f>IF('1.DATOS-PROD'!BO429="SI",VLOOKUP('1.DATOS-PROD'!BO$2,'1.PUNTOS'!$A$1:$B$63,2,0),0)</f>
        <v>0</v>
      </c>
      <c r="BG428" s="138">
        <f>IF('1.DATOS-PROD'!BP429="SI",VLOOKUP('1.DATOS-PROD'!BP$2,'1.PUNTOS'!$A$1:$B$63,2,0),0)</f>
        <v>0</v>
      </c>
      <c r="BH428" s="138">
        <f>IF('1.DATOS-PROD'!BQ429="SI",VLOOKUP('1.DATOS-PROD'!BQ$2,'1.PUNTOS'!$A$1:$B$63,2,0),0)</f>
        <v>0</v>
      </c>
      <c r="BI428" s="138">
        <f>IF('1.DATOS-PROD'!BR429="SI",VLOOKUP('1.DATOS-PROD'!BR$2,'1.PUNTOS'!$A$1:$B$63,2,0),0)</f>
        <v>0</v>
      </c>
      <c r="BJ428" s="138">
        <f>IF('1.DATOS-PROD'!BS429="SI",VLOOKUP('1.DATOS-PROD'!BS$2,'1.PUNTOS'!$A$1:$B$63,2,0),0)</f>
        <v>0</v>
      </c>
      <c r="BK428" s="138">
        <f>IF('1.DATOS-PROD'!BT429="SI",VLOOKUP('1.DATOS-PROD'!BT$2,'1.PUNTOS'!$A$1:$B$63,2,0),0)</f>
        <v>0</v>
      </c>
    </row>
    <row r="429" spans="1:63" x14ac:dyDescent="0.25">
      <c r="A429">
        <f>'0.Consolidado general'!$A430</f>
        <v>0</v>
      </c>
      <c r="B429" s="138">
        <f>IF('1.DATOS-PROD'!K430="SI",VLOOKUP('1.DATOS-PROD'!K$2,'1.PUNTOS'!$A$1:$B$63,2,0),0)</f>
        <v>0</v>
      </c>
      <c r="C429" s="138">
        <f>IF('1.DATOS-PROD'!L430="SI",VLOOKUP('1.DATOS-PROD'!L$2,'1.PUNTOS'!$A$1:$B$63,2,0),0)</f>
        <v>0</v>
      </c>
      <c r="D429" s="138">
        <f>IF('1.DATOS-PROD'!M430="SI",VLOOKUP('1.DATOS-PROD'!M$2,'1.PUNTOS'!$A$1:$B$63,2,0),0)</f>
        <v>0</v>
      </c>
      <c r="E429" s="138">
        <f>IF('1.DATOS-PROD'!N430="SI",VLOOKUP('1.DATOS-PROD'!N$2,'1.PUNTOS'!$A$1:$B$63,2,0),0)</f>
        <v>0</v>
      </c>
      <c r="F429" s="138">
        <f>IF('1.DATOS-PROD'!O430="SI",VLOOKUP('1.DATOS-PROD'!O$2,'1.PUNTOS'!$A$1:$B$63,2,0),0)</f>
        <v>0</v>
      </c>
      <c r="G429" s="138">
        <f>IF('1.DATOS-PROD'!P430="SI",VLOOKUP('1.DATOS-PROD'!P$2,'1.PUNTOS'!$A$1:$B$63,2,0),0)</f>
        <v>0</v>
      </c>
      <c r="H429" s="138">
        <f>IF('1.DATOS-PROD'!Q430="SI",VLOOKUP('1.DATOS-PROD'!Q$2,'1.PUNTOS'!$A$1:$B$63,2,0),0)</f>
        <v>0</v>
      </c>
      <c r="I429" s="138">
        <f>IF('1.DATOS-PROD'!R430="SI",VLOOKUP('1.DATOS-PROD'!R$2,'1.PUNTOS'!$A$1:$B$63,2,0),0)</f>
        <v>0</v>
      </c>
      <c r="J429" s="138">
        <f>IF('1.DATOS-PROD'!S430="SI",VLOOKUP('1.DATOS-PROD'!S$2,'1.PUNTOS'!$A$1:$B$63,2,0),0)</f>
        <v>0</v>
      </c>
      <c r="K429" s="138">
        <f>IF('1.DATOS-PROD'!T430="SI",VLOOKUP('1.DATOS-PROD'!T$2,'1.PUNTOS'!$A$1:$B$63,2,0),0)</f>
        <v>0</v>
      </c>
      <c r="L429" s="138">
        <f>IF('1.DATOS-PROD'!U430="SI",VLOOKUP('1.DATOS-PROD'!U$2,'1.PUNTOS'!$A$1:$B$63,2,0),0)</f>
        <v>0</v>
      </c>
      <c r="M429" s="138">
        <f>IF('1.DATOS-PROD'!V430="SI",VLOOKUP('1.DATOS-PROD'!V$2,'1.PUNTOS'!$A$1:$B$63,2,0),0)</f>
        <v>0</v>
      </c>
      <c r="N429" s="138">
        <f>IF('1.DATOS-PROD'!W430="SI",VLOOKUP('1.DATOS-PROD'!W$2,'1.PUNTOS'!$A$1:$B$63,2,0),0)</f>
        <v>0</v>
      </c>
      <c r="O429" s="138">
        <f>IF('1.DATOS-PROD'!X430="SI",VLOOKUP('1.DATOS-PROD'!X$2,'1.PUNTOS'!$A$1:$B$63,2,0),0)</f>
        <v>0</v>
      </c>
      <c r="P429" s="138">
        <f>IF('1.DATOS-PROD'!Y430="SI",VLOOKUP('1.DATOS-PROD'!Y$2,'1.PUNTOS'!$A$1:$B$63,2,0),0)</f>
        <v>0</v>
      </c>
      <c r="Q429" s="138">
        <f>IF('1.DATOS-PROD'!Z430="SI",VLOOKUP('1.DATOS-PROD'!Z$2,'1.PUNTOS'!$A$1:$B$63,2,0),0)</f>
        <v>0</v>
      </c>
      <c r="R429" s="138">
        <f>IF('1.DATOS-PROD'!AA430="SI",VLOOKUP('1.DATOS-PROD'!AA$2,'1.PUNTOS'!$A$1:$B$63,2,0),0)</f>
        <v>0</v>
      </c>
      <c r="S429" s="138">
        <f>IF('1.DATOS-PROD'!AB430="SI",VLOOKUP('1.DATOS-PROD'!AB$2,'1.PUNTOS'!$A$1:$B$63,2,0),0)</f>
        <v>0</v>
      </c>
      <c r="T429" s="138">
        <f>IF('1.DATOS-PROD'!AC430="SI",VLOOKUP('1.DATOS-PROD'!AC$2,'1.PUNTOS'!$A$1:$B$63,2,0),0)</f>
        <v>0</v>
      </c>
      <c r="U429" s="138">
        <f>IF('1.DATOS-PROD'!AD430="SI",VLOOKUP('1.DATOS-PROD'!AD$2,'1.PUNTOS'!$A$1:$B$63,2,0),0)</f>
        <v>0</v>
      </c>
      <c r="V429" s="138">
        <f>IF('1.DATOS-PROD'!AE430="SI",VLOOKUP('1.DATOS-PROD'!AE$2,'1.PUNTOS'!$A$1:$B$63,2,0),0)</f>
        <v>0</v>
      </c>
      <c r="W429" s="138">
        <f>IF('1.DATOS-PROD'!AF430="SI",VLOOKUP('1.DATOS-PROD'!AF$2,'1.PUNTOS'!$A$1:$B$63,2,0),0)</f>
        <v>0</v>
      </c>
      <c r="X429" s="138">
        <f>IF('1.DATOS-PROD'!AG430="SI",VLOOKUP('1.DATOS-PROD'!AG$2,'1.PUNTOS'!$A$1:$B$63,2,0),0)</f>
        <v>0</v>
      </c>
      <c r="Y429" s="138">
        <f>IF('1.DATOS-PROD'!AH430="SI",VLOOKUP('1.DATOS-PROD'!AH$2,'1.PUNTOS'!$A$1:$B$63,2,0),0)</f>
        <v>0</v>
      </c>
      <c r="Z429" s="138">
        <f>IF('1.DATOS-PROD'!AI430="SI",VLOOKUP('1.DATOS-PROD'!AI$2,'1.PUNTOS'!$A$1:$B$63,2,0),0)</f>
        <v>0</v>
      </c>
      <c r="AA429" s="138">
        <f>IF('1.DATOS-PROD'!AJ430="SI",VLOOKUP('1.DATOS-PROD'!AJ$2,'1.PUNTOS'!$A$1:$B$63,2,0),0)</f>
        <v>0</v>
      </c>
      <c r="AB429" s="138">
        <f>IF('1.DATOS-PROD'!AK430="SI",VLOOKUP('1.DATOS-PROD'!AK$2,'1.PUNTOS'!$A$1:$B$63,2,0),0)</f>
        <v>0</v>
      </c>
      <c r="AC429" s="138">
        <f>IF('1.DATOS-PROD'!AL430="SI",VLOOKUP('1.DATOS-PROD'!AL$2,'1.PUNTOS'!$A$1:$B$63,2,0),0)</f>
        <v>0</v>
      </c>
      <c r="AD429" s="138">
        <f>IF('1.DATOS-PROD'!AM430="SI",VLOOKUP('1.DATOS-PROD'!AM$2,'1.PUNTOS'!$A$1:$B$63,2,0),0)</f>
        <v>0</v>
      </c>
      <c r="AE429" s="138">
        <f>IF('1.DATOS-PROD'!AN430="SI",VLOOKUP('1.DATOS-PROD'!AN$2,'1.PUNTOS'!$A$1:$B$63,2,0),0)</f>
        <v>0</v>
      </c>
      <c r="AF429" s="138">
        <f>IF('1.DATOS-PROD'!AO430="SI",VLOOKUP('1.DATOS-PROD'!AO$2,'1.PUNTOS'!$A$1:$B$63,2,0),0)</f>
        <v>0</v>
      </c>
      <c r="AG429" s="138">
        <f>IF('1.DATOS-PROD'!AP430="SI",VLOOKUP('1.DATOS-PROD'!AP$2,'1.PUNTOS'!$A$1:$B$63,2,0),0)</f>
        <v>0</v>
      </c>
      <c r="AH429" s="138">
        <f>IF('1.DATOS-PROD'!AQ430="SI",VLOOKUP('1.DATOS-PROD'!AQ$2,'1.PUNTOS'!$A$1:$B$63,2,0),0)</f>
        <v>0</v>
      </c>
      <c r="AI429" s="138">
        <f>IF('1.DATOS-PROD'!AR430="SI",VLOOKUP('1.DATOS-PROD'!AR$2,'1.PUNTOS'!$A$1:$B$63,2,0),0)</f>
        <v>0</v>
      </c>
      <c r="AJ429" s="138">
        <f>IF('1.DATOS-PROD'!AS430="SI",VLOOKUP('1.DATOS-PROD'!AS$2,'1.PUNTOS'!$A$1:$B$63,2,0),0)</f>
        <v>0</v>
      </c>
      <c r="AK429" s="138">
        <f>IF('1.DATOS-PROD'!AT430="SI",VLOOKUP('1.DATOS-PROD'!AT$2,'1.PUNTOS'!$A$1:$B$63,2,0),0)</f>
        <v>0</v>
      </c>
      <c r="AL429" s="138">
        <f>IF('1.DATOS-PROD'!AU430="SI",VLOOKUP('1.DATOS-PROD'!AU$2,'1.PUNTOS'!$A$1:$B$63,2,0),0)</f>
        <v>0</v>
      </c>
      <c r="AM429" s="138">
        <f>IF('1.DATOS-PROD'!AV430="SI",VLOOKUP('1.DATOS-PROD'!AV$2,'1.PUNTOS'!$A$1:$B$63,2,0),0)</f>
        <v>0</v>
      </c>
      <c r="AN429" s="138">
        <f>IF('1.DATOS-PROD'!AW430="SI",VLOOKUP('1.DATOS-PROD'!AW$2,'1.PUNTOS'!$A$1:$B$63,2,0),0)</f>
        <v>0</v>
      </c>
      <c r="AO429" s="138">
        <f>IF('1.DATOS-PROD'!AX430="SI",VLOOKUP('1.DATOS-PROD'!AX$2,'1.PUNTOS'!$A$1:$B$63,2,0),0)</f>
        <v>0</v>
      </c>
      <c r="AP429" s="138">
        <f>IF('1.DATOS-PROD'!AY430="SI",VLOOKUP('1.DATOS-PROD'!AY$2,'1.PUNTOS'!$A$1:$B$63,2,0),0)</f>
        <v>0</v>
      </c>
      <c r="AQ429" s="138">
        <f>IF('1.DATOS-PROD'!AZ430="SI",VLOOKUP('1.DATOS-PROD'!AZ$2,'1.PUNTOS'!$A$1:$B$63,2,0),0)</f>
        <v>0</v>
      </c>
      <c r="AR429" s="138">
        <f>IF('1.DATOS-PROD'!BA430="SI",VLOOKUP('1.DATOS-PROD'!BA$2,'1.PUNTOS'!$A$1:$B$63,2,0),0)</f>
        <v>0</v>
      </c>
      <c r="AS429" s="138">
        <f>IF('1.DATOS-PROD'!BB430="SI",VLOOKUP('1.DATOS-PROD'!BB$2,'1.PUNTOS'!$A$1:$B$63,2,0),0)</f>
        <v>0</v>
      </c>
      <c r="AT429" s="138">
        <f>IF('1.DATOS-PROD'!BC430="SI",VLOOKUP('1.DATOS-PROD'!BC$2,'1.PUNTOS'!$A$1:$B$63,2,0),0)</f>
        <v>0</v>
      </c>
      <c r="AU429" s="138">
        <f>IF('1.DATOS-PROD'!BD430="SI",VLOOKUP('1.DATOS-PROD'!BD$2,'1.PUNTOS'!$A$1:$B$63,2,0),0)</f>
        <v>0</v>
      </c>
      <c r="AV429" s="138">
        <f>IF('1.DATOS-PROD'!BE430="SI",VLOOKUP('1.DATOS-PROD'!BE$2,'1.PUNTOS'!$A$1:$B$63,2,0),0)</f>
        <v>0</v>
      </c>
      <c r="AW429" s="138">
        <f>IF('1.DATOS-PROD'!BF430="SI",VLOOKUP('1.DATOS-PROD'!BF$2,'1.PUNTOS'!$A$1:$B$63,2,0),0)</f>
        <v>0</v>
      </c>
      <c r="AX429" s="138">
        <f>IF('1.DATOS-PROD'!BG430="SI",VLOOKUP('1.DATOS-PROD'!BG$2,'1.PUNTOS'!$A$1:$B$63,2,0),0)</f>
        <v>0</v>
      </c>
      <c r="AY429" s="138">
        <f>IF('1.DATOS-PROD'!BH430="SI",VLOOKUP('1.DATOS-PROD'!BH$2,'1.PUNTOS'!$A$1:$B$63,2,0),0)</f>
        <v>0</v>
      </c>
      <c r="AZ429" s="138">
        <f>IF('1.DATOS-PROD'!BI430="SI",VLOOKUP('1.DATOS-PROD'!BI$2,'1.PUNTOS'!$A$1:$B$63,2,0),0)</f>
        <v>0</v>
      </c>
      <c r="BA429" s="138">
        <f>IF('1.DATOS-PROD'!BJ430="SI",VLOOKUP('1.DATOS-PROD'!BJ$2,'1.PUNTOS'!$A$1:$B$63,2,0),0)</f>
        <v>0</v>
      </c>
      <c r="BB429" s="138">
        <f>IF('1.DATOS-PROD'!BK430="SI",VLOOKUP('1.DATOS-PROD'!BK$2,'1.PUNTOS'!$A$1:$B$63,2,0),0)</f>
        <v>0</v>
      </c>
      <c r="BC429" s="138">
        <f>IF('1.DATOS-PROD'!BL430="SI",VLOOKUP('1.DATOS-PROD'!BL$2,'1.PUNTOS'!$A$1:$B$63,2,0),0)</f>
        <v>0</v>
      </c>
      <c r="BD429" s="138">
        <f>IF('1.DATOS-PROD'!BM430="SI",VLOOKUP('1.DATOS-PROD'!BM$2,'1.PUNTOS'!$A$1:$B$63,2,0),0)</f>
        <v>0</v>
      </c>
      <c r="BE429" s="138">
        <f>IF('1.DATOS-PROD'!BN430="SI",VLOOKUP('1.DATOS-PROD'!BN$2,'1.PUNTOS'!$A$1:$B$63,2,0),0)</f>
        <v>0</v>
      </c>
      <c r="BF429" s="138">
        <f>IF('1.DATOS-PROD'!BO430="SI",VLOOKUP('1.DATOS-PROD'!BO$2,'1.PUNTOS'!$A$1:$B$63,2,0),0)</f>
        <v>0</v>
      </c>
      <c r="BG429" s="138">
        <f>IF('1.DATOS-PROD'!BP430="SI",VLOOKUP('1.DATOS-PROD'!BP$2,'1.PUNTOS'!$A$1:$B$63,2,0),0)</f>
        <v>0</v>
      </c>
      <c r="BH429" s="138">
        <f>IF('1.DATOS-PROD'!BQ430="SI",VLOOKUP('1.DATOS-PROD'!BQ$2,'1.PUNTOS'!$A$1:$B$63,2,0),0)</f>
        <v>0</v>
      </c>
      <c r="BI429" s="138">
        <f>IF('1.DATOS-PROD'!BR430="SI",VLOOKUP('1.DATOS-PROD'!BR$2,'1.PUNTOS'!$A$1:$B$63,2,0),0)</f>
        <v>0</v>
      </c>
      <c r="BJ429" s="138">
        <f>IF('1.DATOS-PROD'!BS430="SI",VLOOKUP('1.DATOS-PROD'!BS$2,'1.PUNTOS'!$A$1:$B$63,2,0),0)</f>
        <v>0</v>
      </c>
      <c r="BK429" s="138">
        <f>IF('1.DATOS-PROD'!BT430="SI",VLOOKUP('1.DATOS-PROD'!BT$2,'1.PUNTOS'!$A$1:$B$63,2,0),0)</f>
        <v>0</v>
      </c>
    </row>
    <row r="430" spans="1:63" x14ac:dyDescent="0.25">
      <c r="A430">
        <f>'0.Consolidado general'!$A431</f>
        <v>0</v>
      </c>
      <c r="B430" s="138">
        <f>IF('1.DATOS-PROD'!K431="SI",VLOOKUP('1.DATOS-PROD'!K$2,'1.PUNTOS'!$A$1:$B$63,2,0),0)</f>
        <v>0</v>
      </c>
      <c r="C430" s="138">
        <f>IF('1.DATOS-PROD'!L431="SI",VLOOKUP('1.DATOS-PROD'!L$2,'1.PUNTOS'!$A$1:$B$63,2,0),0)</f>
        <v>0</v>
      </c>
      <c r="D430" s="138">
        <f>IF('1.DATOS-PROD'!M431="SI",VLOOKUP('1.DATOS-PROD'!M$2,'1.PUNTOS'!$A$1:$B$63,2,0),0)</f>
        <v>0</v>
      </c>
      <c r="E430" s="138">
        <f>IF('1.DATOS-PROD'!N431="SI",VLOOKUP('1.DATOS-PROD'!N$2,'1.PUNTOS'!$A$1:$B$63,2,0),0)</f>
        <v>0</v>
      </c>
      <c r="F430" s="138">
        <f>IF('1.DATOS-PROD'!O431="SI",VLOOKUP('1.DATOS-PROD'!O$2,'1.PUNTOS'!$A$1:$B$63,2,0),0)</f>
        <v>0</v>
      </c>
      <c r="G430" s="138">
        <f>IF('1.DATOS-PROD'!P431="SI",VLOOKUP('1.DATOS-PROD'!P$2,'1.PUNTOS'!$A$1:$B$63,2,0),0)</f>
        <v>0</v>
      </c>
      <c r="H430" s="138">
        <f>IF('1.DATOS-PROD'!Q431="SI",VLOOKUP('1.DATOS-PROD'!Q$2,'1.PUNTOS'!$A$1:$B$63,2,0),0)</f>
        <v>0</v>
      </c>
      <c r="I430" s="138">
        <f>IF('1.DATOS-PROD'!R431="SI",VLOOKUP('1.DATOS-PROD'!R$2,'1.PUNTOS'!$A$1:$B$63,2,0),0)</f>
        <v>0</v>
      </c>
      <c r="J430" s="138">
        <f>IF('1.DATOS-PROD'!S431="SI",VLOOKUP('1.DATOS-PROD'!S$2,'1.PUNTOS'!$A$1:$B$63,2,0),0)</f>
        <v>0</v>
      </c>
      <c r="K430" s="138">
        <f>IF('1.DATOS-PROD'!T431="SI",VLOOKUP('1.DATOS-PROD'!T$2,'1.PUNTOS'!$A$1:$B$63,2,0),0)</f>
        <v>0</v>
      </c>
      <c r="L430" s="138">
        <f>IF('1.DATOS-PROD'!U431="SI",VLOOKUP('1.DATOS-PROD'!U$2,'1.PUNTOS'!$A$1:$B$63,2,0),0)</f>
        <v>0</v>
      </c>
      <c r="M430" s="138">
        <f>IF('1.DATOS-PROD'!V431="SI",VLOOKUP('1.DATOS-PROD'!V$2,'1.PUNTOS'!$A$1:$B$63,2,0),0)</f>
        <v>0</v>
      </c>
      <c r="N430" s="138">
        <f>IF('1.DATOS-PROD'!W431="SI",VLOOKUP('1.DATOS-PROD'!W$2,'1.PUNTOS'!$A$1:$B$63,2,0),0)</f>
        <v>0</v>
      </c>
      <c r="O430" s="138">
        <f>IF('1.DATOS-PROD'!X431="SI",VLOOKUP('1.DATOS-PROD'!X$2,'1.PUNTOS'!$A$1:$B$63,2,0),0)</f>
        <v>0</v>
      </c>
      <c r="P430" s="138">
        <f>IF('1.DATOS-PROD'!Y431="SI",VLOOKUP('1.DATOS-PROD'!Y$2,'1.PUNTOS'!$A$1:$B$63,2,0),0)</f>
        <v>0</v>
      </c>
      <c r="Q430" s="138">
        <f>IF('1.DATOS-PROD'!Z431="SI",VLOOKUP('1.DATOS-PROD'!Z$2,'1.PUNTOS'!$A$1:$B$63,2,0),0)</f>
        <v>0</v>
      </c>
      <c r="R430" s="138">
        <f>IF('1.DATOS-PROD'!AA431="SI",VLOOKUP('1.DATOS-PROD'!AA$2,'1.PUNTOS'!$A$1:$B$63,2,0),0)</f>
        <v>0</v>
      </c>
      <c r="S430" s="138">
        <f>IF('1.DATOS-PROD'!AB431="SI",VLOOKUP('1.DATOS-PROD'!AB$2,'1.PUNTOS'!$A$1:$B$63,2,0),0)</f>
        <v>0</v>
      </c>
      <c r="T430" s="138">
        <f>IF('1.DATOS-PROD'!AC431="SI",VLOOKUP('1.DATOS-PROD'!AC$2,'1.PUNTOS'!$A$1:$B$63,2,0),0)</f>
        <v>0</v>
      </c>
      <c r="U430" s="138">
        <f>IF('1.DATOS-PROD'!AD431="SI",VLOOKUP('1.DATOS-PROD'!AD$2,'1.PUNTOS'!$A$1:$B$63,2,0),0)</f>
        <v>0</v>
      </c>
      <c r="V430" s="138">
        <f>IF('1.DATOS-PROD'!AE431="SI",VLOOKUP('1.DATOS-PROD'!AE$2,'1.PUNTOS'!$A$1:$B$63,2,0),0)</f>
        <v>0</v>
      </c>
      <c r="W430" s="138">
        <f>IF('1.DATOS-PROD'!AF431="SI",VLOOKUP('1.DATOS-PROD'!AF$2,'1.PUNTOS'!$A$1:$B$63,2,0),0)</f>
        <v>0</v>
      </c>
      <c r="X430" s="138">
        <f>IF('1.DATOS-PROD'!AG431="SI",VLOOKUP('1.DATOS-PROD'!AG$2,'1.PUNTOS'!$A$1:$B$63,2,0),0)</f>
        <v>0</v>
      </c>
      <c r="Y430" s="138">
        <f>IF('1.DATOS-PROD'!AH431="SI",VLOOKUP('1.DATOS-PROD'!AH$2,'1.PUNTOS'!$A$1:$B$63,2,0),0)</f>
        <v>0</v>
      </c>
      <c r="Z430" s="138">
        <f>IF('1.DATOS-PROD'!AI431="SI",VLOOKUP('1.DATOS-PROD'!AI$2,'1.PUNTOS'!$A$1:$B$63,2,0),0)</f>
        <v>0</v>
      </c>
      <c r="AA430" s="138">
        <f>IF('1.DATOS-PROD'!AJ431="SI",VLOOKUP('1.DATOS-PROD'!AJ$2,'1.PUNTOS'!$A$1:$B$63,2,0),0)</f>
        <v>0</v>
      </c>
      <c r="AB430" s="138">
        <f>IF('1.DATOS-PROD'!AK431="SI",VLOOKUP('1.DATOS-PROD'!AK$2,'1.PUNTOS'!$A$1:$B$63,2,0),0)</f>
        <v>0</v>
      </c>
      <c r="AC430" s="138">
        <f>IF('1.DATOS-PROD'!AL431="SI",VLOOKUP('1.DATOS-PROD'!AL$2,'1.PUNTOS'!$A$1:$B$63,2,0),0)</f>
        <v>0</v>
      </c>
      <c r="AD430" s="138">
        <f>IF('1.DATOS-PROD'!AM431="SI",VLOOKUP('1.DATOS-PROD'!AM$2,'1.PUNTOS'!$A$1:$B$63,2,0),0)</f>
        <v>0</v>
      </c>
      <c r="AE430" s="138">
        <f>IF('1.DATOS-PROD'!AN431="SI",VLOOKUP('1.DATOS-PROD'!AN$2,'1.PUNTOS'!$A$1:$B$63,2,0),0)</f>
        <v>0</v>
      </c>
      <c r="AF430" s="138">
        <f>IF('1.DATOS-PROD'!AO431="SI",VLOOKUP('1.DATOS-PROD'!AO$2,'1.PUNTOS'!$A$1:$B$63,2,0),0)</f>
        <v>0</v>
      </c>
      <c r="AG430" s="138">
        <f>IF('1.DATOS-PROD'!AP431="SI",VLOOKUP('1.DATOS-PROD'!AP$2,'1.PUNTOS'!$A$1:$B$63,2,0),0)</f>
        <v>0</v>
      </c>
      <c r="AH430" s="138">
        <f>IF('1.DATOS-PROD'!AQ431="SI",VLOOKUP('1.DATOS-PROD'!AQ$2,'1.PUNTOS'!$A$1:$B$63,2,0),0)</f>
        <v>0</v>
      </c>
      <c r="AI430" s="138">
        <f>IF('1.DATOS-PROD'!AR431="SI",VLOOKUP('1.DATOS-PROD'!AR$2,'1.PUNTOS'!$A$1:$B$63,2,0),0)</f>
        <v>0</v>
      </c>
      <c r="AJ430" s="138">
        <f>IF('1.DATOS-PROD'!AS431="SI",VLOOKUP('1.DATOS-PROD'!AS$2,'1.PUNTOS'!$A$1:$B$63,2,0),0)</f>
        <v>0</v>
      </c>
      <c r="AK430" s="138">
        <f>IF('1.DATOS-PROD'!AT431="SI",VLOOKUP('1.DATOS-PROD'!AT$2,'1.PUNTOS'!$A$1:$B$63,2,0),0)</f>
        <v>0</v>
      </c>
      <c r="AL430" s="138">
        <f>IF('1.DATOS-PROD'!AU431="SI",VLOOKUP('1.DATOS-PROD'!AU$2,'1.PUNTOS'!$A$1:$B$63,2,0),0)</f>
        <v>0</v>
      </c>
      <c r="AM430" s="138">
        <f>IF('1.DATOS-PROD'!AV431="SI",VLOOKUP('1.DATOS-PROD'!AV$2,'1.PUNTOS'!$A$1:$B$63,2,0),0)</f>
        <v>0</v>
      </c>
      <c r="AN430" s="138">
        <f>IF('1.DATOS-PROD'!AW431="SI",VLOOKUP('1.DATOS-PROD'!AW$2,'1.PUNTOS'!$A$1:$B$63,2,0),0)</f>
        <v>0</v>
      </c>
      <c r="AO430" s="138">
        <f>IF('1.DATOS-PROD'!AX431="SI",VLOOKUP('1.DATOS-PROD'!AX$2,'1.PUNTOS'!$A$1:$B$63,2,0),0)</f>
        <v>0</v>
      </c>
      <c r="AP430" s="138">
        <f>IF('1.DATOS-PROD'!AY431="SI",VLOOKUP('1.DATOS-PROD'!AY$2,'1.PUNTOS'!$A$1:$B$63,2,0),0)</f>
        <v>0</v>
      </c>
      <c r="AQ430" s="138">
        <f>IF('1.DATOS-PROD'!AZ431="SI",VLOOKUP('1.DATOS-PROD'!AZ$2,'1.PUNTOS'!$A$1:$B$63,2,0),0)</f>
        <v>0</v>
      </c>
      <c r="AR430" s="138">
        <f>IF('1.DATOS-PROD'!BA431="SI",VLOOKUP('1.DATOS-PROD'!BA$2,'1.PUNTOS'!$A$1:$B$63,2,0),0)</f>
        <v>0</v>
      </c>
      <c r="AS430" s="138">
        <f>IF('1.DATOS-PROD'!BB431="SI",VLOOKUP('1.DATOS-PROD'!BB$2,'1.PUNTOS'!$A$1:$B$63,2,0),0)</f>
        <v>0</v>
      </c>
      <c r="AT430" s="138">
        <f>IF('1.DATOS-PROD'!BC431="SI",VLOOKUP('1.DATOS-PROD'!BC$2,'1.PUNTOS'!$A$1:$B$63,2,0),0)</f>
        <v>0</v>
      </c>
      <c r="AU430" s="138">
        <f>IF('1.DATOS-PROD'!BD431="SI",VLOOKUP('1.DATOS-PROD'!BD$2,'1.PUNTOS'!$A$1:$B$63,2,0),0)</f>
        <v>0</v>
      </c>
      <c r="AV430" s="138">
        <f>IF('1.DATOS-PROD'!BE431="SI",VLOOKUP('1.DATOS-PROD'!BE$2,'1.PUNTOS'!$A$1:$B$63,2,0),0)</f>
        <v>0</v>
      </c>
      <c r="AW430" s="138">
        <f>IF('1.DATOS-PROD'!BF431="SI",VLOOKUP('1.DATOS-PROD'!BF$2,'1.PUNTOS'!$A$1:$B$63,2,0),0)</f>
        <v>0</v>
      </c>
      <c r="AX430" s="138">
        <f>IF('1.DATOS-PROD'!BG431="SI",VLOOKUP('1.DATOS-PROD'!BG$2,'1.PUNTOS'!$A$1:$B$63,2,0),0)</f>
        <v>0</v>
      </c>
      <c r="AY430" s="138">
        <f>IF('1.DATOS-PROD'!BH431="SI",VLOOKUP('1.DATOS-PROD'!BH$2,'1.PUNTOS'!$A$1:$B$63,2,0),0)</f>
        <v>0</v>
      </c>
      <c r="AZ430" s="138">
        <f>IF('1.DATOS-PROD'!BI431="SI",VLOOKUP('1.DATOS-PROD'!BI$2,'1.PUNTOS'!$A$1:$B$63,2,0),0)</f>
        <v>0</v>
      </c>
      <c r="BA430" s="138">
        <f>IF('1.DATOS-PROD'!BJ431="SI",VLOOKUP('1.DATOS-PROD'!BJ$2,'1.PUNTOS'!$A$1:$B$63,2,0),0)</f>
        <v>0</v>
      </c>
      <c r="BB430" s="138">
        <f>IF('1.DATOS-PROD'!BK431="SI",VLOOKUP('1.DATOS-PROD'!BK$2,'1.PUNTOS'!$A$1:$B$63,2,0),0)</f>
        <v>0</v>
      </c>
      <c r="BC430" s="138">
        <f>IF('1.DATOS-PROD'!BL431="SI",VLOOKUP('1.DATOS-PROD'!BL$2,'1.PUNTOS'!$A$1:$B$63,2,0),0)</f>
        <v>0</v>
      </c>
      <c r="BD430" s="138">
        <f>IF('1.DATOS-PROD'!BM431="SI",VLOOKUP('1.DATOS-PROD'!BM$2,'1.PUNTOS'!$A$1:$B$63,2,0),0)</f>
        <v>0</v>
      </c>
      <c r="BE430" s="138">
        <f>IF('1.DATOS-PROD'!BN431="SI",VLOOKUP('1.DATOS-PROD'!BN$2,'1.PUNTOS'!$A$1:$B$63,2,0),0)</f>
        <v>0</v>
      </c>
      <c r="BF430" s="138">
        <f>IF('1.DATOS-PROD'!BO431="SI",VLOOKUP('1.DATOS-PROD'!BO$2,'1.PUNTOS'!$A$1:$B$63,2,0),0)</f>
        <v>0</v>
      </c>
      <c r="BG430" s="138">
        <f>IF('1.DATOS-PROD'!BP431="SI",VLOOKUP('1.DATOS-PROD'!BP$2,'1.PUNTOS'!$A$1:$B$63,2,0),0)</f>
        <v>0</v>
      </c>
      <c r="BH430" s="138">
        <f>IF('1.DATOS-PROD'!BQ431="SI",VLOOKUP('1.DATOS-PROD'!BQ$2,'1.PUNTOS'!$A$1:$B$63,2,0),0)</f>
        <v>0</v>
      </c>
      <c r="BI430" s="138">
        <f>IF('1.DATOS-PROD'!BR431="SI",VLOOKUP('1.DATOS-PROD'!BR$2,'1.PUNTOS'!$A$1:$B$63,2,0),0)</f>
        <v>0</v>
      </c>
      <c r="BJ430" s="138">
        <f>IF('1.DATOS-PROD'!BS431="SI",VLOOKUP('1.DATOS-PROD'!BS$2,'1.PUNTOS'!$A$1:$B$63,2,0),0)</f>
        <v>0</v>
      </c>
      <c r="BK430" s="138">
        <f>IF('1.DATOS-PROD'!BT431="SI",VLOOKUP('1.DATOS-PROD'!BT$2,'1.PUNTOS'!$A$1:$B$63,2,0),0)</f>
        <v>0</v>
      </c>
    </row>
    <row r="431" spans="1:63" x14ac:dyDescent="0.25">
      <c r="A431">
        <f>'0.Consolidado general'!$A432</f>
        <v>0</v>
      </c>
      <c r="B431" s="138">
        <f>IF('1.DATOS-PROD'!K432="SI",VLOOKUP('1.DATOS-PROD'!K$2,'1.PUNTOS'!$A$1:$B$63,2,0),0)</f>
        <v>0</v>
      </c>
      <c r="C431" s="138">
        <f>IF('1.DATOS-PROD'!L432="SI",VLOOKUP('1.DATOS-PROD'!L$2,'1.PUNTOS'!$A$1:$B$63,2,0),0)</f>
        <v>0</v>
      </c>
      <c r="D431" s="138">
        <f>IF('1.DATOS-PROD'!M432="SI",VLOOKUP('1.DATOS-PROD'!M$2,'1.PUNTOS'!$A$1:$B$63,2,0),0)</f>
        <v>0</v>
      </c>
      <c r="E431" s="138">
        <f>IF('1.DATOS-PROD'!N432="SI",VLOOKUP('1.DATOS-PROD'!N$2,'1.PUNTOS'!$A$1:$B$63,2,0),0)</f>
        <v>0</v>
      </c>
      <c r="F431" s="138">
        <f>IF('1.DATOS-PROD'!O432="SI",VLOOKUP('1.DATOS-PROD'!O$2,'1.PUNTOS'!$A$1:$B$63,2,0),0)</f>
        <v>0</v>
      </c>
      <c r="G431" s="138">
        <f>IF('1.DATOS-PROD'!P432="SI",VLOOKUP('1.DATOS-PROD'!P$2,'1.PUNTOS'!$A$1:$B$63,2,0),0)</f>
        <v>0</v>
      </c>
      <c r="H431" s="138">
        <f>IF('1.DATOS-PROD'!Q432="SI",VLOOKUP('1.DATOS-PROD'!Q$2,'1.PUNTOS'!$A$1:$B$63,2,0),0)</f>
        <v>0</v>
      </c>
      <c r="I431" s="138">
        <f>IF('1.DATOS-PROD'!R432="SI",VLOOKUP('1.DATOS-PROD'!R$2,'1.PUNTOS'!$A$1:$B$63,2,0),0)</f>
        <v>0</v>
      </c>
      <c r="J431" s="138">
        <f>IF('1.DATOS-PROD'!S432="SI",VLOOKUP('1.DATOS-PROD'!S$2,'1.PUNTOS'!$A$1:$B$63,2,0),0)</f>
        <v>0</v>
      </c>
      <c r="K431" s="138">
        <f>IF('1.DATOS-PROD'!T432="SI",VLOOKUP('1.DATOS-PROD'!T$2,'1.PUNTOS'!$A$1:$B$63,2,0),0)</f>
        <v>0</v>
      </c>
      <c r="L431" s="138">
        <f>IF('1.DATOS-PROD'!U432="SI",VLOOKUP('1.DATOS-PROD'!U$2,'1.PUNTOS'!$A$1:$B$63,2,0),0)</f>
        <v>0</v>
      </c>
      <c r="M431" s="138">
        <f>IF('1.DATOS-PROD'!V432="SI",VLOOKUP('1.DATOS-PROD'!V$2,'1.PUNTOS'!$A$1:$B$63,2,0),0)</f>
        <v>0</v>
      </c>
      <c r="N431" s="138">
        <f>IF('1.DATOS-PROD'!W432="SI",VLOOKUP('1.DATOS-PROD'!W$2,'1.PUNTOS'!$A$1:$B$63,2,0),0)</f>
        <v>0</v>
      </c>
      <c r="O431" s="138">
        <f>IF('1.DATOS-PROD'!X432="SI",VLOOKUP('1.DATOS-PROD'!X$2,'1.PUNTOS'!$A$1:$B$63,2,0),0)</f>
        <v>0</v>
      </c>
      <c r="P431" s="138">
        <f>IF('1.DATOS-PROD'!Y432="SI",VLOOKUP('1.DATOS-PROD'!Y$2,'1.PUNTOS'!$A$1:$B$63,2,0),0)</f>
        <v>0</v>
      </c>
      <c r="Q431" s="138">
        <f>IF('1.DATOS-PROD'!Z432="SI",VLOOKUP('1.DATOS-PROD'!Z$2,'1.PUNTOS'!$A$1:$B$63,2,0),0)</f>
        <v>0</v>
      </c>
      <c r="R431" s="138">
        <f>IF('1.DATOS-PROD'!AA432="SI",VLOOKUP('1.DATOS-PROD'!AA$2,'1.PUNTOS'!$A$1:$B$63,2,0),0)</f>
        <v>0</v>
      </c>
      <c r="S431" s="138">
        <f>IF('1.DATOS-PROD'!AB432="SI",VLOOKUP('1.DATOS-PROD'!AB$2,'1.PUNTOS'!$A$1:$B$63,2,0),0)</f>
        <v>0</v>
      </c>
      <c r="T431" s="138">
        <f>IF('1.DATOS-PROD'!AC432="SI",VLOOKUP('1.DATOS-PROD'!AC$2,'1.PUNTOS'!$A$1:$B$63,2,0),0)</f>
        <v>0</v>
      </c>
      <c r="U431" s="138">
        <f>IF('1.DATOS-PROD'!AD432="SI",VLOOKUP('1.DATOS-PROD'!AD$2,'1.PUNTOS'!$A$1:$B$63,2,0),0)</f>
        <v>0</v>
      </c>
      <c r="V431" s="138">
        <f>IF('1.DATOS-PROD'!AE432="SI",VLOOKUP('1.DATOS-PROD'!AE$2,'1.PUNTOS'!$A$1:$B$63,2,0),0)</f>
        <v>0</v>
      </c>
      <c r="W431" s="138">
        <f>IF('1.DATOS-PROD'!AF432="SI",VLOOKUP('1.DATOS-PROD'!AF$2,'1.PUNTOS'!$A$1:$B$63,2,0),0)</f>
        <v>0</v>
      </c>
      <c r="X431" s="138">
        <f>IF('1.DATOS-PROD'!AG432="SI",VLOOKUP('1.DATOS-PROD'!AG$2,'1.PUNTOS'!$A$1:$B$63,2,0),0)</f>
        <v>0</v>
      </c>
      <c r="Y431" s="138">
        <f>IF('1.DATOS-PROD'!AH432="SI",VLOOKUP('1.DATOS-PROD'!AH$2,'1.PUNTOS'!$A$1:$B$63,2,0),0)</f>
        <v>0</v>
      </c>
      <c r="Z431" s="138">
        <f>IF('1.DATOS-PROD'!AI432="SI",VLOOKUP('1.DATOS-PROD'!AI$2,'1.PUNTOS'!$A$1:$B$63,2,0),0)</f>
        <v>0</v>
      </c>
      <c r="AA431" s="138">
        <f>IF('1.DATOS-PROD'!AJ432="SI",VLOOKUP('1.DATOS-PROD'!AJ$2,'1.PUNTOS'!$A$1:$B$63,2,0),0)</f>
        <v>0</v>
      </c>
      <c r="AB431" s="138">
        <f>IF('1.DATOS-PROD'!AK432="SI",VLOOKUP('1.DATOS-PROD'!AK$2,'1.PUNTOS'!$A$1:$B$63,2,0),0)</f>
        <v>0</v>
      </c>
      <c r="AC431" s="138">
        <f>IF('1.DATOS-PROD'!AL432="SI",VLOOKUP('1.DATOS-PROD'!AL$2,'1.PUNTOS'!$A$1:$B$63,2,0),0)</f>
        <v>0</v>
      </c>
      <c r="AD431" s="138">
        <f>IF('1.DATOS-PROD'!AM432="SI",VLOOKUP('1.DATOS-PROD'!AM$2,'1.PUNTOS'!$A$1:$B$63,2,0),0)</f>
        <v>0</v>
      </c>
      <c r="AE431" s="138">
        <f>IF('1.DATOS-PROD'!AN432="SI",VLOOKUP('1.DATOS-PROD'!AN$2,'1.PUNTOS'!$A$1:$B$63,2,0),0)</f>
        <v>0</v>
      </c>
      <c r="AF431" s="138">
        <f>IF('1.DATOS-PROD'!AO432="SI",VLOOKUP('1.DATOS-PROD'!AO$2,'1.PUNTOS'!$A$1:$B$63,2,0),0)</f>
        <v>0</v>
      </c>
      <c r="AG431" s="138">
        <f>IF('1.DATOS-PROD'!AP432="SI",VLOOKUP('1.DATOS-PROD'!AP$2,'1.PUNTOS'!$A$1:$B$63,2,0),0)</f>
        <v>0</v>
      </c>
      <c r="AH431" s="138">
        <f>IF('1.DATOS-PROD'!AQ432="SI",VLOOKUP('1.DATOS-PROD'!AQ$2,'1.PUNTOS'!$A$1:$B$63,2,0),0)</f>
        <v>0</v>
      </c>
      <c r="AI431" s="138">
        <f>IF('1.DATOS-PROD'!AR432="SI",VLOOKUP('1.DATOS-PROD'!AR$2,'1.PUNTOS'!$A$1:$B$63,2,0),0)</f>
        <v>0</v>
      </c>
      <c r="AJ431" s="138">
        <f>IF('1.DATOS-PROD'!AS432="SI",VLOOKUP('1.DATOS-PROD'!AS$2,'1.PUNTOS'!$A$1:$B$63,2,0),0)</f>
        <v>0</v>
      </c>
      <c r="AK431" s="138">
        <f>IF('1.DATOS-PROD'!AT432="SI",VLOOKUP('1.DATOS-PROD'!AT$2,'1.PUNTOS'!$A$1:$B$63,2,0),0)</f>
        <v>0</v>
      </c>
      <c r="AL431" s="138">
        <f>IF('1.DATOS-PROD'!AU432="SI",VLOOKUP('1.DATOS-PROD'!AU$2,'1.PUNTOS'!$A$1:$B$63,2,0),0)</f>
        <v>0</v>
      </c>
      <c r="AM431" s="138">
        <f>IF('1.DATOS-PROD'!AV432="SI",VLOOKUP('1.DATOS-PROD'!AV$2,'1.PUNTOS'!$A$1:$B$63,2,0),0)</f>
        <v>0</v>
      </c>
      <c r="AN431" s="138">
        <f>IF('1.DATOS-PROD'!AW432="SI",VLOOKUP('1.DATOS-PROD'!AW$2,'1.PUNTOS'!$A$1:$B$63,2,0),0)</f>
        <v>0</v>
      </c>
      <c r="AO431" s="138">
        <f>IF('1.DATOS-PROD'!AX432="SI",VLOOKUP('1.DATOS-PROD'!AX$2,'1.PUNTOS'!$A$1:$B$63,2,0),0)</f>
        <v>0</v>
      </c>
      <c r="AP431" s="138">
        <f>IF('1.DATOS-PROD'!AY432="SI",VLOOKUP('1.DATOS-PROD'!AY$2,'1.PUNTOS'!$A$1:$B$63,2,0),0)</f>
        <v>0</v>
      </c>
      <c r="AQ431" s="138">
        <f>IF('1.DATOS-PROD'!AZ432="SI",VLOOKUP('1.DATOS-PROD'!AZ$2,'1.PUNTOS'!$A$1:$B$63,2,0),0)</f>
        <v>0</v>
      </c>
      <c r="AR431" s="138">
        <f>IF('1.DATOS-PROD'!BA432="SI",VLOOKUP('1.DATOS-PROD'!BA$2,'1.PUNTOS'!$A$1:$B$63,2,0),0)</f>
        <v>0</v>
      </c>
      <c r="AS431" s="138">
        <f>IF('1.DATOS-PROD'!BB432="SI",VLOOKUP('1.DATOS-PROD'!BB$2,'1.PUNTOS'!$A$1:$B$63,2,0),0)</f>
        <v>0</v>
      </c>
      <c r="AT431" s="138">
        <f>IF('1.DATOS-PROD'!BC432="SI",VLOOKUP('1.DATOS-PROD'!BC$2,'1.PUNTOS'!$A$1:$B$63,2,0),0)</f>
        <v>0</v>
      </c>
      <c r="AU431" s="138">
        <f>IF('1.DATOS-PROD'!BD432="SI",VLOOKUP('1.DATOS-PROD'!BD$2,'1.PUNTOS'!$A$1:$B$63,2,0),0)</f>
        <v>0</v>
      </c>
      <c r="AV431" s="138">
        <f>IF('1.DATOS-PROD'!BE432="SI",VLOOKUP('1.DATOS-PROD'!BE$2,'1.PUNTOS'!$A$1:$B$63,2,0),0)</f>
        <v>0</v>
      </c>
      <c r="AW431" s="138">
        <f>IF('1.DATOS-PROD'!BF432="SI",VLOOKUP('1.DATOS-PROD'!BF$2,'1.PUNTOS'!$A$1:$B$63,2,0),0)</f>
        <v>0</v>
      </c>
      <c r="AX431" s="138">
        <f>IF('1.DATOS-PROD'!BG432="SI",VLOOKUP('1.DATOS-PROD'!BG$2,'1.PUNTOS'!$A$1:$B$63,2,0),0)</f>
        <v>0</v>
      </c>
      <c r="AY431" s="138">
        <f>IF('1.DATOS-PROD'!BH432="SI",VLOOKUP('1.DATOS-PROD'!BH$2,'1.PUNTOS'!$A$1:$B$63,2,0),0)</f>
        <v>0</v>
      </c>
      <c r="AZ431" s="138">
        <f>IF('1.DATOS-PROD'!BI432="SI",VLOOKUP('1.DATOS-PROD'!BI$2,'1.PUNTOS'!$A$1:$B$63,2,0),0)</f>
        <v>0</v>
      </c>
      <c r="BA431" s="138">
        <f>IF('1.DATOS-PROD'!BJ432="SI",VLOOKUP('1.DATOS-PROD'!BJ$2,'1.PUNTOS'!$A$1:$B$63,2,0),0)</f>
        <v>0</v>
      </c>
      <c r="BB431" s="138">
        <f>IF('1.DATOS-PROD'!BK432="SI",VLOOKUP('1.DATOS-PROD'!BK$2,'1.PUNTOS'!$A$1:$B$63,2,0),0)</f>
        <v>0</v>
      </c>
      <c r="BC431" s="138">
        <f>IF('1.DATOS-PROD'!BL432="SI",VLOOKUP('1.DATOS-PROD'!BL$2,'1.PUNTOS'!$A$1:$B$63,2,0),0)</f>
        <v>0</v>
      </c>
      <c r="BD431" s="138">
        <f>IF('1.DATOS-PROD'!BM432="SI",VLOOKUP('1.DATOS-PROD'!BM$2,'1.PUNTOS'!$A$1:$B$63,2,0),0)</f>
        <v>0</v>
      </c>
      <c r="BE431" s="138">
        <f>IF('1.DATOS-PROD'!BN432="SI",VLOOKUP('1.DATOS-PROD'!BN$2,'1.PUNTOS'!$A$1:$B$63,2,0),0)</f>
        <v>0</v>
      </c>
      <c r="BF431" s="138">
        <f>IF('1.DATOS-PROD'!BO432="SI",VLOOKUP('1.DATOS-PROD'!BO$2,'1.PUNTOS'!$A$1:$B$63,2,0),0)</f>
        <v>0</v>
      </c>
      <c r="BG431" s="138">
        <f>IF('1.DATOS-PROD'!BP432="SI",VLOOKUP('1.DATOS-PROD'!BP$2,'1.PUNTOS'!$A$1:$B$63,2,0),0)</f>
        <v>0</v>
      </c>
      <c r="BH431" s="138">
        <f>IF('1.DATOS-PROD'!BQ432="SI",VLOOKUP('1.DATOS-PROD'!BQ$2,'1.PUNTOS'!$A$1:$B$63,2,0),0)</f>
        <v>0</v>
      </c>
      <c r="BI431" s="138">
        <f>IF('1.DATOS-PROD'!BR432="SI",VLOOKUP('1.DATOS-PROD'!BR$2,'1.PUNTOS'!$A$1:$B$63,2,0),0)</f>
        <v>0</v>
      </c>
      <c r="BJ431" s="138">
        <f>IF('1.DATOS-PROD'!BS432="SI",VLOOKUP('1.DATOS-PROD'!BS$2,'1.PUNTOS'!$A$1:$B$63,2,0),0)</f>
        <v>0</v>
      </c>
      <c r="BK431" s="138">
        <f>IF('1.DATOS-PROD'!BT432="SI",VLOOKUP('1.DATOS-PROD'!BT$2,'1.PUNTOS'!$A$1:$B$63,2,0),0)</f>
        <v>0</v>
      </c>
    </row>
    <row r="432" spans="1:63" x14ac:dyDescent="0.25">
      <c r="A432">
        <f>'0.Consolidado general'!$A433</f>
        <v>0</v>
      </c>
      <c r="B432" s="138">
        <f>IF('1.DATOS-PROD'!K433="SI",VLOOKUP('1.DATOS-PROD'!K$2,'1.PUNTOS'!$A$1:$B$63,2,0),0)</f>
        <v>0</v>
      </c>
      <c r="C432" s="138">
        <f>IF('1.DATOS-PROD'!L433="SI",VLOOKUP('1.DATOS-PROD'!L$2,'1.PUNTOS'!$A$1:$B$63,2,0),0)</f>
        <v>0</v>
      </c>
      <c r="D432" s="138">
        <f>IF('1.DATOS-PROD'!M433="SI",VLOOKUP('1.DATOS-PROD'!M$2,'1.PUNTOS'!$A$1:$B$63,2,0),0)</f>
        <v>0</v>
      </c>
      <c r="E432" s="138">
        <f>IF('1.DATOS-PROD'!N433="SI",VLOOKUP('1.DATOS-PROD'!N$2,'1.PUNTOS'!$A$1:$B$63,2,0),0)</f>
        <v>0</v>
      </c>
      <c r="F432" s="138">
        <f>IF('1.DATOS-PROD'!O433="SI",VLOOKUP('1.DATOS-PROD'!O$2,'1.PUNTOS'!$A$1:$B$63,2,0),0)</f>
        <v>0</v>
      </c>
      <c r="G432" s="138">
        <f>IF('1.DATOS-PROD'!P433="SI",VLOOKUP('1.DATOS-PROD'!P$2,'1.PUNTOS'!$A$1:$B$63,2,0),0)</f>
        <v>0</v>
      </c>
      <c r="H432" s="138">
        <f>IF('1.DATOS-PROD'!Q433="SI",VLOOKUP('1.DATOS-PROD'!Q$2,'1.PUNTOS'!$A$1:$B$63,2,0),0)</f>
        <v>0</v>
      </c>
      <c r="I432" s="138">
        <f>IF('1.DATOS-PROD'!R433="SI",VLOOKUP('1.DATOS-PROD'!R$2,'1.PUNTOS'!$A$1:$B$63,2,0),0)</f>
        <v>0</v>
      </c>
      <c r="J432" s="138">
        <f>IF('1.DATOS-PROD'!S433="SI",VLOOKUP('1.DATOS-PROD'!S$2,'1.PUNTOS'!$A$1:$B$63,2,0),0)</f>
        <v>0</v>
      </c>
      <c r="K432" s="138">
        <f>IF('1.DATOS-PROD'!T433="SI",VLOOKUP('1.DATOS-PROD'!T$2,'1.PUNTOS'!$A$1:$B$63,2,0),0)</f>
        <v>0</v>
      </c>
      <c r="L432" s="138">
        <f>IF('1.DATOS-PROD'!U433="SI",VLOOKUP('1.DATOS-PROD'!U$2,'1.PUNTOS'!$A$1:$B$63,2,0),0)</f>
        <v>0</v>
      </c>
      <c r="M432" s="138">
        <f>IF('1.DATOS-PROD'!V433="SI",VLOOKUP('1.DATOS-PROD'!V$2,'1.PUNTOS'!$A$1:$B$63,2,0),0)</f>
        <v>0</v>
      </c>
      <c r="N432" s="138">
        <f>IF('1.DATOS-PROD'!W433="SI",VLOOKUP('1.DATOS-PROD'!W$2,'1.PUNTOS'!$A$1:$B$63,2,0),0)</f>
        <v>0</v>
      </c>
      <c r="O432" s="138">
        <f>IF('1.DATOS-PROD'!X433="SI",VLOOKUP('1.DATOS-PROD'!X$2,'1.PUNTOS'!$A$1:$B$63,2,0),0)</f>
        <v>0</v>
      </c>
      <c r="P432" s="138">
        <f>IF('1.DATOS-PROD'!Y433="SI",VLOOKUP('1.DATOS-PROD'!Y$2,'1.PUNTOS'!$A$1:$B$63,2,0),0)</f>
        <v>0</v>
      </c>
      <c r="Q432" s="138">
        <f>IF('1.DATOS-PROD'!Z433="SI",VLOOKUP('1.DATOS-PROD'!Z$2,'1.PUNTOS'!$A$1:$B$63,2,0),0)</f>
        <v>0</v>
      </c>
      <c r="R432" s="138">
        <f>IF('1.DATOS-PROD'!AA433="SI",VLOOKUP('1.DATOS-PROD'!AA$2,'1.PUNTOS'!$A$1:$B$63,2,0),0)</f>
        <v>0</v>
      </c>
      <c r="S432" s="138">
        <f>IF('1.DATOS-PROD'!AB433="SI",VLOOKUP('1.DATOS-PROD'!AB$2,'1.PUNTOS'!$A$1:$B$63,2,0),0)</f>
        <v>0</v>
      </c>
      <c r="T432" s="138">
        <f>IF('1.DATOS-PROD'!AC433="SI",VLOOKUP('1.DATOS-PROD'!AC$2,'1.PUNTOS'!$A$1:$B$63,2,0),0)</f>
        <v>0</v>
      </c>
      <c r="U432" s="138">
        <f>IF('1.DATOS-PROD'!AD433="SI",VLOOKUP('1.DATOS-PROD'!AD$2,'1.PUNTOS'!$A$1:$B$63,2,0),0)</f>
        <v>0</v>
      </c>
      <c r="V432" s="138">
        <f>IF('1.DATOS-PROD'!AE433="SI",VLOOKUP('1.DATOS-PROD'!AE$2,'1.PUNTOS'!$A$1:$B$63,2,0),0)</f>
        <v>0</v>
      </c>
      <c r="W432" s="138">
        <f>IF('1.DATOS-PROD'!AF433="SI",VLOOKUP('1.DATOS-PROD'!AF$2,'1.PUNTOS'!$A$1:$B$63,2,0),0)</f>
        <v>0</v>
      </c>
      <c r="X432" s="138">
        <f>IF('1.DATOS-PROD'!AG433="SI",VLOOKUP('1.DATOS-PROD'!AG$2,'1.PUNTOS'!$A$1:$B$63,2,0),0)</f>
        <v>0</v>
      </c>
      <c r="Y432" s="138">
        <f>IF('1.DATOS-PROD'!AH433="SI",VLOOKUP('1.DATOS-PROD'!AH$2,'1.PUNTOS'!$A$1:$B$63,2,0),0)</f>
        <v>0</v>
      </c>
      <c r="Z432" s="138">
        <f>IF('1.DATOS-PROD'!AI433="SI",VLOOKUP('1.DATOS-PROD'!AI$2,'1.PUNTOS'!$A$1:$B$63,2,0),0)</f>
        <v>0</v>
      </c>
      <c r="AA432" s="138">
        <f>IF('1.DATOS-PROD'!AJ433="SI",VLOOKUP('1.DATOS-PROD'!AJ$2,'1.PUNTOS'!$A$1:$B$63,2,0),0)</f>
        <v>0</v>
      </c>
      <c r="AB432" s="138">
        <f>IF('1.DATOS-PROD'!AK433="SI",VLOOKUP('1.DATOS-PROD'!AK$2,'1.PUNTOS'!$A$1:$B$63,2,0),0)</f>
        <v>0</v>
      </c>
      <c r="AC432" s="138">
        <f>IF('1.DATOS-PROD'!AL433="SI",VLOOKUP('1.DATOS-PROD'!AL$2,'1.PUNTOS'!$A$1:$B$63,2,0),0)</f>
        <v>0</v>
      </c>
      <c r="AD432" s="138">
        <f>IF('1.DATOS-PROD'!AM433="SI",VLOOKUP('1.DATOS-PROD'!AM$2,'1.PUNTOS'!$A$1:$B$63,2,0),0)</f>
        <v>0</v>
      </c>
      <c r="AE432" s="138">
        <f>IF('1.DATOS-PROD'!AN433="SI",VLOOKUP('1.DATOS-PROD'!AN$2,'1.PUNTOS'!$A$1:$B$63,2,0),0)</f>
        <v>0</v>
      </c>
      <c r="AF432" s="138">
        <f>IF('1.DATOS-PROD'!AO433="SI",VLOOKUP('1.DATOS-PROD'!AO$2,'1.PUNTOS'!$A$1:$B$63,2,0),0)</f>
        <v>0</v>
      </c>
      <c r="AG432" s="138">
        <f>IF('1.DATOS-PROD'!AP433="SI",VLOOKUP('1.DATOS-PROD'!AP$2,'1.PUNTOS'!$A$1:$B$63,2,0),0)</f>
        <v>0</v>
      </c>
      <c r="AH432" s="138">
        <f>IF('1.DATOS-PROD'!AQ433="SI",VLOOKUP('1.DATOS-PROD'!AQ$2,'1.PUNTOS'!$A$1:$B$63,2,0),0)</f>
        <v>0</v>
      </c>
      <c r="AI432" s="138">
        <f>IF('1.DATOS-PROD'!AR433="SI",VLOOKUP('1.DATOS-PROD'!AR$2,'1.PUNTOS'!$A$1:$B$63,2,0),0)</f>
        <v>0</v>
      </c>
      <c r="AJ432" s="138">
        <f>IF('1.DATOS-PROD'!AS433="SI",VLOOKUP('1.DATOS-PROD'!AS$2,'1.PUNTOS'!$A$1:$B$63,2,0),0)</f>
        <v>0</v>
      </c>
      <c r="AK432" s="138">
        <f>IF('1.DATOS-PROD'!AT433="SI",VLOOKUP('1.DATOS-PROD'!AT$2,'1.PUNTOS'!$A$1:$B$63,2,0),0)</f>
        <v>0</v>
      </c>
      <c r="AL432" s="138">
        <f>IF('1.DATOS-PROD'!AU433="SI",VLOOKUP('1.DATOS-PROD'!AU$2,'1.PUNTOS'!$A$1:$B$63,2,0),0)</f>
        <v>0</v>
      </c>
      <c r="AM432" s="138">
        <f>IF('1.DATOS-PROD'!AV433="SI",VLOOKUP('1.DATOS-PROD'!AV$2,'1.PUNTOS'!$A$1:$B$63,2,0),0)</f>
        <v>0</v>
      </c>
      <c r="AN432" s="138">
        <f>IF('1.DATOS-PROD'!AW433="SI",VLOOKUP('1.DATOS-PROD'!AW$2,'1.PUNTOS'!$A$1:$B$63,2,0),0)</f>
        <v>0</v>
      </c>
      <c r="AO432" s="138">
        <f>IF('1.DATOS-PROD'!AX433="SI",VLOOKUP('1.DATOS-PROD'!AX$2,'1.PUNTOS'!$A$1:$B$63,2,0),0)</f>
        <v>0</v>
      </c>
      <c r="AP432" s="138">
        <f>IF('1.DATOS-PROD'!AY433="SI",VLOOKUP('1.DATOS-PROD'!AY$2,'1.PUNTOS'!$A$1:$B$63,2,0),0)</f>
        <v>0</v>
      </c>
      <c r="AQ432" s="138">
        <f>IF('1.DATOS-PROD'!AZ433="SI",VLOOKUP('1.DATOS-PROD'!AZ$2,'1.PUNTOS'!$A$1:$B$63,2,0),0)</f>
        <v>0</v>
      </c>
      <c r="AR432" s="138">
        <f>IF('1.DATOS-PROD'!BA433="SI",VLOOKUP('1.DATOS-PROD'!BA$2,'1.PUNTOS'!$A$1:$B$63,2,0),0)</f>
        <v>0</v>
      </c>
      <c r="AS432" s="138">
        <f>IF('1.DATOS-PROD'!BB433="SI",VLOOKUP('1.DATOS-PROD'!BB$2,'1.PUNTOS'!$A$1:$B$63,2,0),0)</f>
        <v>0</v>
      </c>
      <c r="AT432" s="138">
        <f>IF('1.DATOS-PROD'!BC433="SI",VLOOKUP('1.DATOS-PROD'!BC$2,'1.PUNTOS'!$A$1:$B$63,2,0),0)</f>
        <v>0</v>
      </c>
      <c r="AU432" s="138">
        <f>IF('1.DATOS-PROD'!BD433="SI",VLOOKUP('1.DATOS-PROD'!BD$2,'1.PUNTOS'!$A$1:$B$63,2,0),0)</f>
        <v>0</v>
      </c>
      <c r="AV432" s="138">
        <f>IF('1.DATOS-PROD'!BE433="SI",VLOOKUP('1.DATOS-PROD'!BE$2,'1.PUNTOS'!$A$1:$B$63,2,0),0)</f>
        <v>0</v>
      </c>
      <c r="AW432" s="138">
        <f>IF('1.DATOS-PROD'!BF433="SI",VLOOKUP('1.DATOS-PROD'!BF$2,'1.PUNTOS'!$A$1:$B$63,2,0),0)</f>
        <v>0</v>
      </c>
      <c r="AX432" s="138">
        <f>IF('1.DATOS-PROD'!BG433="SI",VLOOKUP('1.DATOS-PROD'!BG$2,'1.PUNTOS'!$A$1:$B$63,2,0),0)</f>
        <v>0</v>
      </c>
      <c r="AY432" s="138">
        <f>IF('1.DATOS-PROD'!BH433="SI",VLOOKUP('1.DATOS-PROD'!BH$2,'1.PUNTOS'!$A$1:$B$63,2,0),0)</f>
        <v>0</v>
      </c>
      <c r="AZ432" s="138">
        <f>IF('1.DATOS-PROD'!BI433="SI",VLOOKUP('1.DATOS-PROD'!BI$2,'1.PUNTOS'!$A$1:$B$63,2,0),0)</f>
        <v>0</v>
      </c>
      <c r="BA432" s="138">
        <f>IF('1.DATOS-PROD'!BJ433="SI",VLOOKUP('1.DATOS-PROD'!BJ$2,'1.PUNTOS'!$A$1:$B$63,2,0),0)</f>
        <v>0</v>
      </c>
      <c r="BB432" s="138">
        <f>IF('1.DATOS-PROD'!BK433="SI",VLOOKUP('1.DATOS-PROD'!BK$2,'1.PUNTOS'!$A$1:$B$63,2,0),0)</f>
        <v>0</v>
      </c>
      <c r="BC432" s="138">
        <f>IF('1.DATOS-PROD'!BL433="SI",VLOOKUP('1.DATOS-PROD'!BL$2,'1.PUNTOS'!$A$1:$B$63,2,0),0)</f>
        <v>0</v>
      </c>
      <c r="BD432" s="138">
        <f>IF('1.DATOS-PROD'!BM433="SI",VLOOKUP('1.DATOS-PROD'!BM$2,'1.PUNTOS'!$A$1:$B$63,2,0),0)</f>
        <v>0</v>
      </c>
      <c r="BE432" s="138">
        <f>IF('1.DATOS-PROD'!BN433="SI",VLOOKUP('1.DATOS-PROD'!BN$2,'1.PUNTOS'!$A$1:$B$63,2,0),0)</f>
        <v>0</v>
      </c>
      <c r="BF432" s="138">
        <f>IF('1.DATOS-PROD'!BO433="SI",VLOOKUP('1.DATOS-PROD'!BO$2,'1.PUNTOS'!$A$1:$B$63,2,0),0)</f>
        <v>0</v>
      </c>
      <c r="BG432" s="138">
        <f>IF('1.DATOS-PROD'!BP433="SI",VLOOKUP('1.DATOS-PROD'!BP$2,'1.PUNTOS'!$A$1:$B$63,2,0),0)</f>
        <v>0</v>
      </c>
      <c r="BH432" s="138">
        <f>IF('1.DATOS-PROD'!BQ433="SI",VLOOKUP('1.DATOS-PROD'!BQ$2,'1.PUNTOS'!$A$1:$B$63,2,0),0)</f>
        <v>0</v>
      </c>
      <c r="BI432" s="138">
        <f>IF('1.DATOS-PROD'!BR433="SI",VLOOKUP('1.DATOS-PROD'!BR$2,'1.PUNTOS'!$A$1:$B$63,2,0),0)</f>
        <v>0</v>
      </c>
      <c r="BJ432" s="138">
        <f>IF('1.DATOS-PROD'!BS433="SI",VLOOKUP('1.DATOS-PROD'!BS$2,'1.PUNTOS'!$A$1:$B$63,2,0),0)</f>
        <v>0</v>
      </c>
      <c r="BK432" s="138">
        <f>IF('1.DATOS-PROD'!BT433="SI",VLOOKUP('1.DATOS-PROD'!BT$2,'1.PUNTOS'!$A$1:$B$63,2,0),0)</f>
        <v>0</v>
      </c>
    </row>
    <row r="433" spans="1:63" x14ac:dyDescent="0.25">
      <c r="A433">
        <f>'0.Consolidado general'!$A434</f>
        <v>0</v>
      </c>
      <c r="B433" s="138">
        <f>IF('1.DATOS-PROD'!K434="SI",VLOOKUP('1.DATOS-PROD'!K$2,'1.PUNTOS'!$A$1:$B$63,2,0),0)</f>
        <v>0</v>
      </c>
      <c r="C433" s="138">
        <f>IF('1.DATOS-PROD'!L434="SI",VLOOKUP('1.DATOS-PROD'!L$2,'1.PUNTOS'!$A$1:$B$63,2,0),0)</f>
        <v>0</v>
      </c>
      <c r="D433" s="138">
        <f>IF('1.DATOS-PROD'!M434="SI",VLOOKUP('1.DATOS-PROD'!M$2,'1.PUNTOS'!$A$1:$B$63,2,0),0)</f>
        <v>0</v>
      </c>
      <c r="E433" s="138">
        <f>IF('1.DATOS-PROD'!N434="SI",VLOOKUP('1.DATOS-PROD'!N$2,'1.PUNTOS'!$A$1:$B$63,2,0),0)</f>
        <v>0</v>
      </c>
      <c r="F433" s="138">
        <f>IF('1.DATOS-PROD'!O434="SI",VLOOKUP('1.DATOS-PROD'!O$2,'1.PUNTOS'!$A$1:$B$63,2,0),0)</f>
        <v>0</v>
      </c>
      <c r="G433" s="138">
        <f>IF('1.DATOS-PROD'!P434="SI",VLOOKUP('1.DATOS-PROD'!P$2,'1.PUNTOS'!$A$1:$B$63,2,0),0)</f>
        <v>0</v>
      </c>
      <c r="H433" s="138">
        <f>IF('1.DATOS-PROD'!Q434="SI",VLOOKUP('1.DATOS-PROD'!Q$2,'1.PUNTOS'!$A$1:$B$63,2,0),0)</f>
        <v>0</v>
      </c>
      <c r="I433" s="138">
        <f>IF('1.DATOS-PROD'!R434="SI",VLOOKUP('1.DATOS-PROD'!R$2,'1.PUNTOS'!$A$1:$B$63,2,0),0)</f>
        <v>0</v>
      </c>
      <c r="J433" s="138">
        <f>IF('1.DATOS-PROD'!S434="SI",VLOOKUP('1.DATOS-PROD'!S$2,'1.PUNTOS'!$A$1:$B$63,2,0),0)</f>
        <v>0</v>
      </c>
      <c r="K433" s="138">
        <f>IF('1.DATOS-PROD'!T434="SI",VLOOKUP('1.DATOS-PROD'!T$2,'1.PUNTOS'!$A$1:$B$63,2,0),0)</f>
        <v>0</v>
      </c>
      <c r="L433" s="138">
        <f>IF('1.DATOS-PROD'!U434="SI",VLOOKUP('1.DATOS-PROD'!U$2,'1.PUNTOS'!$A$1:$B$63,2,0),0)</f>
        <v>0</v>
      </c>
      <c r="M433" s="138">
        <f>IF('1.DATOS-PROD'!V434="SI",VLOOKUP('1.DATOS-PROD'!V$2,'1.PUNTOS'!$A$1:$B$63,2,0),0)</f>
        <v>0</v>
      </c>
      <c r="N433" s="138">
        <f>IF('1.DATOS-PROD'!W434="SI",VLOOKUP('1.DATOS-PROD'!W$2,'1.PUNTOS'!$A$1:$B$63,2,0),0)</f>
        <v>0</v>
      </c>
      <c r="O433" s="138">
        <f>IF('1.DATOS-PROD'!X434="SI",VLOOKUP('1.DATOS-PROD'!X$2,'1.PUNTOS'!$A$1:$B$63,2,0),0)</f>
        <v>0</v>
      </c>
      <c r="P433" s="138">
        <f>IF('1.DATOS-PROD'!Y434="SI",VLOOKUP('1.DATOS-PROD'!Y$2,'1.PUNTOS'!$A$1:$B$63,2,0),0)</f>
        <v>0</v>
      </c>
      <c r="Q433" s="138">
        <f>IF('1.DATOS-PROD'!Z434="SI",VLOOKUP('1.DATOS-PROD'!Z$2,'1.PUNTOS'!$A$1:$B$63,2,0),0)</f>
        <v>0</v>
      </c>
      <c r="R433" s="138">
        <f>IF('1.DATOS-PROD'!AA434="SI",VLOOKUP('1.DATOS-PROD'!AA$2,'1.PUNTOS'!$A$1:$B$63,2,0),0)</f>
        <v>0</v>
      </c>
      <c r="S433" s="138">
        <f>IF('1.DATOS-PROD'!AB434="SI",VLOOKUP('1.DATOS-PROD'!AB$2,'1.PUNTOS'!$A$1:$B$63,2,0),0)</f>
        <v>0</v>
      </c>
      <c r="T433" s="138">
        <f>IF('1.DATOS-PROD'!AC434="SI",VLOOKUP('1.DATOS-PROD'!AC$2,'1.PUNTOS'!$A$1:$B$63,2,0),0)</f>
        <v>0</v>
      </c>
      <c r="U433" s="138">
        <f>IF('1.DATOS-PROD'!AD434="SI",VLOOKUP('1.DATOS-PROD'!AD$2,'1.PUNTOS'!$A$1:$B$63,2,0),0)</f>
        <v>0</v>
      </c>
      <c r="V433" s="138">
        <f>IF('1.DATOS-PROD'!AE434="SI",VLOOKUP('1.DATOS-PROD'!AE$2,'1.PUNTOS'!$A$1:$B$63,2,0),0)</f>
        <v>0</v>
      </c>
      <c r="W433" s="138">
        <f>IF('1.DATOS-PROD'!AF434="SI",VLOOKUP('1.DATOS-PROD'!AF$2,'1.PUNTOS'!$A$1:$B$63,2,0),0)</f>
        <v>0</v>
      </c>
      <c r="X433" s="138">
        <f>IF('1.DATOS-PROD'!AG434="SI",VLOOKUP('1.DATOS-PROD'!AG$2,'1.PUNTOS'!$A$1:$B$63,2,0),0)</f>
        <v>0</v>
      </c>
      <c r="Y433" s="138">
        <f>IF('1.DATOS-PROD'!AH434="SI",VLOOKUP('1.DATOS-PROD'!AH$2,'1.PUNTOS'!$A$1:$B$63,2,0),0)</f>
        <v>0</v>
      </c>
      <c r="Z433" s="138">
        <f>IF('1.DATOS-PROD'!AI434="SI",VLOOKUP('1.DATOS-PROD'!AI$2,'1.PUNTOS'!$A$1:$B$63,2,0),0)</f>
        <v>0</v>
      </c>
      <c r="AA433" s="138">
        <f>IF('1.DATOS-PROD'!AJ434="SI",VLOOKUP('1.DATOS-PROD'!AJ$2,'1.PUNTOS'!$A$1:$B$63,2,0),0)</f>
        <v>0</v>
      </c>
      <c r="AB433" s="138">
        <f>IF('1.DATOS-PROD'!AK434="SI",VLOOKUP('1.DATOS-PROD'!AK$2,'1.PUNTOS'!$A$1:$B$63,2,0),0)</f>
        <v>0</v>
      </c>
      <c r="AC433" s="138">
        <f>IF('1.DATOS-PROD'!AL434="SI",VLOOKUP('1.DATOS-PROD'!AL$2,'1.PUNTOS'!$A$1:$B$63,2,0),0)</f>
        <v>0</v>
      </c>
      <c r="AD433" s="138">
        <f>IF('1.DATOS-PROD'!AM434="SI",VLOOKUP('1.DATOS-PROD'!AM$2,'1.PUNTOS'!$A$1:$B$63,2,0),0)</f>
        <v>0</v>
      </c>
      <c r="AE433" s="138">
        <f>IF('1.DATOS-PROD'!AN434="SI",VLOOKUP('1.DATOS-PROD'!AN$2,'1.PUNTOS'!$A$1:$B$63,2,0),0)</f>
        <v>0</v>
      </c>
      <c r="AF433" s="138">
        <f>IF('1.DATOS-PROD'!AO434="SI",VLOOKUP('1.DATOS-PROD'!AO$2,'1.PUNTOS'!$A$1:$B$63,2,0),0)</f>
        <v>0</v>
      </c>
      <c r="AG433" s="138">
        <f>IF('1.DATOS-PROD'!AP434="SI",VLOOKUP('1.DATOS-PROD'!AP$2,'1.PUNTOS'!$A$1:$B$63,2,0),0)</f>
        <v>0</v>
      </c>
      <c r="AH433" s="138">
        <f>IF('1.DATOS-PROD'!AQ434="SI",VLOOKUP('1.DATOS-PROD'!AQ$2,'1.PUNTOS'!$A$1:$B$63,2,0),0)</f>
        <v>0</v>
      </c>
      <c r="AI433" s="138">
        <f>IF('1.DATOS-PROD'!AR434="SI",VLOOKUP('1.DATOS-PROD'!AR$2,'1.PUNTOS'!$A$1:$B$63,2,0),0)</f>
        <v>0</v>
      </c>
      <c r="AJ433" s="138">
        <f>IF('1.DATOS-PROD'!AS434="SI",VLOOKUP('1.DATOS-PROD'!AS$2,'1.PUNTOS'!$A$1:$B$63,2,0),0)</f>
        <v>0</v>
      </c>
      <c r="AK433" s="138">
        <f>IF('1.DATOS-PROD'!AT434="SI",VLOOKUP('1.DATOS-PROD'!AT$2,'1.PUNTOS'!$A$1:$B$63,2,0),0)</f>
        <v>0</v>
      </c>
      <c r="AL433" s="138">
        <f>IF('1.DATOS-PROD'!AU434="SI",VLOOKUP('1.DATOS-PROD'!AU$2,'1.PUNTOS'!$A$1:$B$63,2,0),0)</f>
        <v>0</v>
      </c>
      <c r="AM433" s="138">
        <f>IF('1.DATOS-PROD'!AV434="SI",VLOOKUP('1.DATOS-PROD'!AV$2,'1.PUNTOS'!$A$1:$B$63,2,0),0)</f>
        <v>0</v>
      </c>
      <c r="AN433" s="138">
        <f>IF('1.DATOS-PROD'!AW434="SI",VLOOKUP('1.DATOS-PROD'!AW$2,'1.PUNTOS'!$A$1:$B$63,2,0),0)</f>
        <v>0</v>
      </c>
      <c r="AO433" s="138">
        <f>IF('1.DATOS-PROD'!AX434="SI",VLOOKUP('1.DATOS-PROD'!AX$2,'1.PUNTOS'!$A$1:$B$63,2,0),0)</f>
        <v>0</v>
      </c>
      <c r="AP433" s="138">
        <f>IF('1.DATOS-PROD'!AY434="SI",VLOOKUP('1.DATOS-PROD'!AY$2,'1.PUNTOS'!$A$1:$B$63,2,0),0)</f>
        <v>0</v>
      </c>
      <c r="AQ433" s="138">
        <f>IF('1.DATOS-PROD'!AZ434="SI",VLOOKUP('1.DATOS-PROD'!AZ$2,'1.PUNTOS'!$A$1:$B$63,2,0),0)</f>
        <v>0</v>
      </c>
      <c r="AR433" s="138">
        <f>IF('1.DATOS-PROD'!BA434="SI",VLOOKUP('1.DATOS-PROD'!BA$2,'1.PUNTOS'!$A$1:$B$63,2,0),0)</f>
        <v>0</v>
      </c>
      <c r="AS433" s="138">
        <f>IF('1.DATOS-PROD'!BB434="SI",VLOOKUP('1.DATOS-PROD'!BB$2,'1.PUNTOS'!$A$1:$B$63,2,0),0)</f>
        <v>0</v>
      </c>
      <c r="AT433" s="138">
        <f>IF('1.DATOS-PROD'!BC434="SI",VLOOKUP('1.DATOS-PROD'!BC$2,'1.PUNTOS'!$A$1:$B$63,2,0),0)</f>
        <v>0</v>
      </c>
      <c r="AU433" s="138">
        <f>IF('1.DATOS-PROD'!BD434="SI",VLOOKUP('1.DATOS-PROD'!BD$2,'1.PUNTOS'!$A$1:$B$63,2,0),0)</f>
        <v>0</v>
      </c>
      <c r="AV433" s="138">
        <f>IF('1.DATOS-PROD'!BE434="SI",VLOOKUP('1.DATOS-PROD'!BE$2,'1.PUNTOS'!$A$1:$B$63,2,0),0)</f>
        <v>0</v>
      </c>
      <c r="AW433" s="138">
        <f>IF('1.DATOS-PROD'!BF434="SI",VLOOKUP('1.DATOS-PROD'!BF$2,'1.PUNTOS'!$A$1:$B$63,2,0),0)</f>
        <v>0</v>
      </c>
      <c r="AX433" s="138">
        <f>IF('1.DATOS-PROD'!BG434="SI",VLOOKUP('1.DATOS-PROD'!BG$2,'1.PUNTOS'!$A$1:$B$63,2,0),0)</f>
        <v>0</v>
      </c>
      <c r="AY433" s="138">
        <f>IF('1.DATOS-PROD'!BH434="SI",VLOOKUP('1.DATOS-PROD'!BH$2,'1.PUNTOS'!$A$1:$B$63,2,0),0)</f>
        <v>0</v>
      </c>
      <c r="AZ433" s="138">
        <f>IF('1.DATOS-PROD'!BI434="SI",VLOOKUP('1.DATOS-PROD'!BI$2,'1.PUNTOS'!$A$1:$B$63,2,0),0)</f>
        <v>0</v>
      </c>
      <c r="BA433" s="138">
        <f>IF('1.DATOS-PROD'!BJ434="SI",VLOOKUP('1.DATOS-PROD'!BJ$2,'1.PUNTOS'!$A$1:$B$63,2,0),0)</f>
        <v>0</v>
      </c>
      <c r="BB433" s="138">
        <f>IF('1.DATOS-PROD'!BK434="SI",VLOOKUP('1.DATOS-PROD'!BK$2,'1.PUNTOS'!$A$1:$B$63,2,0),0)</f>
        <v>0</v>
      </c>
      <c r="BC433" s="138">
        <f>IF('1.DATOS-PROD'!BL434="SI",VLOOKUP('1.DATOS-PROD'!BL$2,'1.PUNTOS'!$A$1:$B$63,2,0),0)</f>
        <v>0</v>
      </c>
      <c r="BD433" s="138">
        <f>IF('1.DATOS-PROD'!BM434="SI",VLOOKUP('1.DATOS-PROD'!BM$2,'1.PUNTOS'!$A$1:$B$63,2,0),0)</f>
        <v>0</v>
      </c>
      <c r="BE433" s="138">
        <f>IF('1.DATOS-PROD'!BN434="SI",VLOOKUP('1.DATOS-PROD'!BN$2,'1.PUNTOS'!$A$1:$B$63,2,0),0)</f>
        <v>0</v>
      </c>
      <c r="BF433" s="138">
        <f>IF('1.DATOS-PROD'!BO434="SI",VLOOKUP('1.DATOS-PROD'!BO$2,'1.PUNTOS'!$A$1:$B$63,2,0),0)</f>
        <v>0</v>
      </c>
      <c r="BG433" s="138">
        <f>IF('1.DATOS-PROD'!BP434="SI",VLOOKUP('1.DATOS-PROD'!BP$2,'1.PUNTOS'!$A$1:$B$63,2,0),0)</f>
        <v>0</v>
      </c>
      <c r="BH433" s="138">
        <f>IF('1.DATOS-PROD'!BQ434="SI",VLOOKUP('1.DATOS-PROD'!BQ$2,'1.PUNTOS'!$A$1:$B$63,2,0),0)</f>
        <v>0</v>
      </c>
      <c r="BI433" s="138">
        <f>IF('1.DATOS-PROD'!BR434="SI",VLOOKUP('1.DATOS-PROD'!BR$2,'1.PUNTOS'!$A$1:$B$63,2,0),0)</f>
        <v>0</v>
      </c>
      <c r="BJ433" s="138">
        <f>IF('1.DATOS-PROD'!BS434="SI",VLOOKUP('1.DATOS-PROD'!BS$2,'1.PUNTOS'!$A$1:$B$63,2,0),0)</f>
        <v>0</v>
      </c>
      <c r="BK433" s="138">
        <f>IF('1.DATOS-PROD'!BT434="SI",VLOOKUP('1.DATOS-PROD'!BT$2,'1.PUNTOS'!$A$1:$B$63,2,0),0)</f>
        <v>0</v>
      </c>
    </row>
    <row r="434" spans="1:63" x14ac:dyDescent="0.25">
      <c r="A434">
        <f>'0.Consolidado general'!$A435</f>
        <v>0</v>
      </c>
      <c r="B434" s="138">
        <f>IF('1.DATOS-PROD'!K435="SI",VLOOKUP('1.DATOS-PROD'!K$2,'1.PUNTOS'!$A$1:$B$63,2,0),0)</f>
        <v>0</v>
      </c>
      <c r="C434" s="138">
        <f>IF('1.DATOS-PROD'!L435="SI",VLOOKUP('1.DATOS-PROD'!L$2,'1.PUNTOS'!$A$1:$B$63,2,0),0)</f>
        <v>0</v>
      </c>
      <c r="D434" s="138">
        <f>IF('1.DATOS-PROD'!M435="SI",VLOOKUP('1.DATOS-PROD'!M$2,'1.PUNTOS'!$A$1:$B$63,2,0),0)</f>
        <v>0</v>
      </c>
      <c r="E434" s="138">
        <f>IF('1.DATOS-PROD'!N435="SI",VLOOKUP('1.DATOS-PROD'!N$2,'1.PUNTOS'!$A$1:$B$63,2,0),0)</f>
        <v>0</v>
      </c>
      <c r="F434" s="138">
        <f>IF('1.DATOS-PROD'!O435="SI",VLOOKUP('1.DATOS-PROD'!O$2,'1.PUNTOS'!$A$1:$B$63,2,0),0)</f>
        <v>0</v>
      </c>
      <c r="G434" s="138">
        <f>IF('1.DATOS-PROD'!P435="SI",VLOOKUP('1.DATOS-PROD'!P$2,'1.PUNTOS'!$A$1:$B$63,2,0),0)</f>
        <v>0</v>
      </c>
      <c r="H434" s="138">
        <f>IF('1.DATOS-PROD'!Q435="SI",VLOOKUP('1.DATOS-PROD'!Q$2,'1.PUNTOS'!$A$1:$B$63,2,0),0)</f>
        <v>0</v>
      </c>
      <c r="I434" s="138">
        <f>IF('1.DATOS-PROD'!R435="SI",VLOOKUP('1.DATOS-PROD'!R$2,'1.PUNTOS'!$A$1:$B$63,2,0),0)</f>
        <v>0</v>
      </c>
      <c r="J434" s="138">
        <f>IF('1.DATOS-PROD'!S435="SI",VLOOKUP('1.DATOS-PROD'!S$2,'1.PUNTOS'!$A$1:$B$63,2,0),0)</f>
        <v>0</v>
      </c>
      <c r="K434" s="138">
        <f>IF('1.DATOS-PROD'!T435="SI",VLOOKUP('1.DATOS-PROD'!T$2,'1.PUNTOS'!$A$1:$B$63,2,0),0)</f>
        <v>0</v>
      </c>
      <c r="L434" s="138">
        <f>IF('1.DATOS-PROD'!U435="SI",VLOOKUP('1.DATOS-PROD'!U$2,'1.PUNTOS'!$A$1:$B$63,2,0),0)</f>
        <v>0</v>
      </c>
      <c r="M434" s="138">
        <f>IF('1.DATOS-PROD'!V435="SI",VLOOKUP('1.DATOS-PROD'!V$2,'1.PUNTOS'!$A$1:$B$63,2,0),0)</f>
        <v>0</v>
      </c>
      <c r="N434" s="138">
        <f>IF('1.DATOS-PROD'!W435="SI",VLOOKUP('1.DATOS-PROD'!W$2,'1.PUNTOS'!$A$1:$B$63,2,0),0)</f>
        <v>0</v>
      </c>
      <c r="O434" s="138">
        <f>IF('1.DATOS-PROD'!X435="SI",VLOOKUP('1.DATOS-PROD'!X$2,'1.PUNTOS'!$A$1:$B$63,2,0),0)</f>
        <v>0</v>
      </c>
      <c r="P434" s="138">
        <f>IF('1.DATOS-PROD'!Y435="SI",VLOOKUP('1.DATOS-PROD'!Y$2,'1.PUNTOS'!$A$1:$B$63,2,0),0)</f>
        <v>0</v>
      </c>
      <c r="Q434" s="138">
        <f>IF('1.DATOS-PROD'!Z435="SI",VLOOKUP('1.DATOS-PROD'!Z$2,'1.PUNTOS'!$A$1:$B$63,2,0),0)</f>
        <v>0</v>
      </c>
      <c r="R434" s="138">
        <f>IF('1.DATOS-PROD'!AA435="SI",VLOOKUP('1.DATOS-PROD'!AA$2,'1.PUNTOS'!$A$1:$B$63,2,0),0)</f>
        <v>0</v>
      </c>
      <c r="S434" s="138">
        <f>IF('1.DATOS-PROD'!AB435="SI",VLOOKUP('1.DATOS-PROD'!AB$2,'1.PUNTOS'!$A$1:$B$63,2,0),0)</f>
        <v>0</v>
      </c>
      <c r="T434" s="138">
        <f>IF('1.DATOS-PROD'!AC435="SI",VLOOKUP('1.DATOS-PROD'!AC$2,'1.PUNTOS'!$A$1:$B$63,2,0),0)</f>
        <v>0</v>
      </c>
      <c r="U434" s="138">
        <f>IF('1.DATOS-PROD'!AD435="SI",VLOOKUP('1.DATOS-PROD'!AD$2,'1.PUNTOS'!$A$1:$B$63,2,0),0)</f>
        <v>0</v>
      </c>
      <c r="V434" s="138">
        <f>IF('1.DATOS-PROD'!AE435="SI",VLOOKUP('1.DATOS-PROD'!AE$2,'1.PUNTOS'!$A$1:$B$63,2,0),0)</f>
        <v>0</v>
      </c>
      <c r="W434" s="138">
        <f>IF('1.DATOS-PROD'!AF435="SI",VLOOKUP('1.DATOS-PROD'!AF$2,'1.PUNTOS'!$A$1:$B$63,2,0),0)</f>
        <v>0</v>
      </c>
      <c r="X434" s="138">
        <f>IF('1.DATOS-PROD'!AG435="SI",VLOOKUP('1.DATOS-PROD'!AG$2,'1.PUNTOS'!$A$1:$B$63,2,0),0)</f>
        <v>0</v>
      </c>
      <c r="Y434" s="138">
        <f>IF('1.DATOS-PROD'!AH435="SI",VLOOKUP('1.DATOS-PROD'!AH$2,'1.PUNTOS'!$A$1:$B$63,2,0),0)</f>
        <v>0</v>
      </c>
      <c r="Z434" s="138">
        <f>IF('1.DATOS-PROD'!AI435="SI",VLOOKUP('1.DATOS-PROD'!AI$2,'1.PUNTOS'!$A$1:$B$63,2,0),0)</f>
        <v>0</v>
      </c>
      <c r="AA434" s="138">
        <f>IF('1.DATOS-PROD'!AJ435="SI",VLOOKUP('1.DATOS-PROD'!AJ$2,'1.PUNTOS'!$A$1:$B$63,2,0),0)</f>
        <v>0</v>
      </c>
      <c r="AB434" s="138">
        <f>IF('1.DATOS-PROD'!AK435="SI",VLOOKUP('1.DATOS-PROD'!AK$2,'1.PUNTOS'!$A$1:$B$63,2,0),0)</f>
        <v>0</v>
      </c>
      <c r="AC434" s="138">
        <f>IF('1.DATOS-PROD'!AL435="SI",VLOOKUP('1.DATOS-PROD'!AL$2,'1.PUNTOS'!$A$1:$B$63,2,0),0)</f>
        <v>0</v>
      </c>
      <c r="AD434" s="138">
        <f>IF('1.DATOS-PROD'!AM435="SI",VLOOKUP('1.DATOS-PROD'!AM$2,'1.PUNTOS'!$A$1:$B$63,2,0),0)</f>
        <v>0</v>
      </c>
      <c r="AE434" s="138">
        <f>IF('1.DATOS-PROD'!AN435="SI",VLOOKUP('1.DATOS-PROD'!AN$2,'1.PUNTOS'!$A$1:$B$63,2,0),0)</f>
        <v>0</v>
      </c>
      <c r="AF434" s="138">
        <f>IF('1.DATOS-PROD'!AO435="SI",VLOOKUP('1.DATOS-PROD'!AO$2,'1.PUNTOS'!$A$1:$B$63,2,0),0)</f>
        <v>0</v>
      </c>
      <c r="AG434" s="138">
        <f>IF('1.DATOS-PROD'!AP435="SI",VLOOKUP('1.DATOS-PROD'!AP$2,'1.PUNTOS'!$A$1:$B$63,2,0),0)</f>
        <v>0</v>
      </c>
      <c r="AH434" s="138">
        <f>IF('1.DATOS-PROD'!AQ435="SI",VLOOKUP('1.DATOS-PROD'!AQ$2,'1.PUNTOS'!$A$1:$B$63,2,0),0)</f>
        <v>0</v>
      </c>
      <c r="AI434" s="138">
        <f>IF('1.DATOS-PROD'!AR435="SI",VLOOKUP('1.DATOS-PROD'!AR$2,'1.PUNTOS'!$A$1:$B$63,2,0),0)</f>
        <v>0</v>
      </c>
      <c r="AJ434" s="138">
        <f>IF('1.DATOS-PROD'!AS435="SI",VLOOKUP('1.DATOS-PROD'!AS$2,'1.PUNTOS'!$A$1:$B$63,2,0),0)</f>
        <v>0</v>
      </c>
      <c r="AK434" s="138">
        <f>IF('1.DATOS-PROD'!AT435="SI",VLOOKUP('1.DATOS-PROD'!AT$2,'1.PUNTOS'!$A$1:$B$63,2,0),0)</f>
        <v>0</v>
      </c>
      <c r="AL434" s="138">
        <f>IF('1.DATOS-PROD'!AU435="SI",VLOOKUP('1.DATOS-PROD'!AU$2,'1.PUNTOS'!$A$1:$B$63,2,0),0)</f>
        <v>0</v>
      </c>
      <c r="AM434" s="138">
        <f>IF('1.DATOS-PROD'!AV435="SI",VLOOKUP('1.DATOS-PROD'!AV$2,'1.PUNTOS'!$A$1:$B$63,2,0),0)</f>
        <v>0</v>
      </c>
      <c r="AN434" s="138">
        <f>IF('1.DATOS-PROD'!AW435="SI",VLOOKUP('1.DATOS-PROD'!AW$2,'1.PUNTOS'!$A$1:$B$63,2,0),0)</f>
        <v>0</v>
      </c>
      <c r="AO434" s="138">
        <f>IF('1.DATOS-PROD'!AX435="SI",VLOOKUP('1.DATOS-PROD'!AX$2,'1.PUNTOS'!$A$1:$B$63,2,0),0)</f>
        <v>0</v>
      </c>
      <c r="AP434" s="138">
        <f>IF('1.DATOS-PROD'!AY435="SI",VLOOKUP('1.DATOS-PROD'!AY$2,'1.PUNTOS'!$A$1:$B$63,2,0),0)</f>
        <v>0</v>
      </c>
      <c r="AQ434" s="138">
        <f>IF('1.DATOS-PROD'!AZ435="SI",VLOOKUP('1.DATOS-PROD'!AZ$2,'1.PUNTOS'!$A$1:$B$63,2,0),0)</f>
        <v>0</v>
      </c>
      <c r="AR434" s="138">
        <f>IF('1.DATOS-PROD'!BA435="SI",VLOOKUP('1.DATOS-PROD'!BA$2,'1.PUNTOS'!$A$1:$B$63,2,0),0)</f>
        <v>0</v>
      </c>
      <c r="AS434" s="138">
        <f>IF('1.DATOS-PROD'!BB435="SI",VLOOKUP('1.DATOS-PROD'!BB$2,'1.PUNTOS'!$A$1:$B$63,2,0),0)</f>
        <v>0</v>
      </c>
      <c r="AT434" s="138">
        <f>IF('1.DATOS-PROD'!BC435="SI",VLOOKUP('1.DATOS-PROD'!BC$2,'1.PUNTOS'!$A$1:$B$63,2,0),0)</f>
        <v>0</v>
      </c>
      <c r="AU434" s="138">
        <f>IF('1.DATOS-PROD'!BD435="SI",VLOOKUP('1.DATOS-PROD'!BD$2,'1.PUNTOS'!$A$1:$B$63,2,0),0)</f>
        <v>0</v>
      </c>
      <c r="AV434" s="138">
        <f>IF('1.DATOS-PROD'!BE435="SI",VLOOKUP('1.DATOS-PROD'!BE$2,'1.PUNTOS'!$A$1:$B$63,2,0),0)</f>
        <v>0</v>
      </c>
      <c r="AW434" s="138">
        <f>IF('1.DATOS-PROD'!BF435="SI",VLOOKUP('1.DATOS-PROD'!BF$2,'1.PUNTOS'!$A$1:$B$63,2,0),0)</f>
        <v>0</v>
      </c>
      <c r="AX434" s="138">
        <f>IF('1.DATOS-PROD'!BG435="SI",VLOOKUP('1.DATOS-PROD'!BG$2,'1.PUNTOS'!$A$1:$B$63,2,0),0)</f>
        <v>0</v>
      </c>
      <c r="AY434" s="138">
        <f>IF('1.DATOS-PROD'!BH435="SI",VLOOKUP('1.DATOS-PROD'!BH$2,'1.PUNTOS'!$A$1:$B$63,2,0),0)</f>
        <v>0</v>
      </c>
      <c r="AZ434" s="138">
        <f>IF('1.DATOS-PROD'!BI435="SI",VLOOKUP('1.DATOS-PROD'!BI$2,'1.PUNTOS'!$A$1:$B$63,2,0),0)</f>
        <v>0</v>
      </c>
      <c r="BA434" s="138">
        <f>IF('1.DATOS-PROD'!BJ435="SI",VLOOKUP('1.DATOS-PROD'!BJ$2,'1.PUNTOS'!$A$1:$B$63,2,0),0)</f>
        <v>0</v>
      </c>
      <c r="BB434" s="138">
        <f>IF('1.DATOS-PROD'!BK435="SI",VLOOKUP('1.DATOS-PROD'!BK$2,'1.PUNTOS'!$A$1:$B$63,2,0),0)</f>
        <v>0</v>
      </c>
      <c r="BC434" s="138">
        <f>IF('1.DATOS-PROD'!BL435="SI",VLOOKUP('1.DATOS-PROD'!BL$2,'1.PUNTOS'!$A$1:$B$63,2,0),0)</f>
        <v>0</v>
      </c>
      <c r="BD434" s="138">
        <f>IF('1.DATOS-PROD'!BM435="SI",VLOOKUP('1.DATOS-PROD'!BM$2,'1.PUNTOS'!$A$1:$B$63,2,0),0)</f>
        <v>0</v>
      </c>
      <c r="BE434" s="138">
        <f>IF('1.DATOS-PROD'!BN435="SI",VLOOKUP('1.DATOS-PROD'!BN$2,'1.PUNTOS'!$A$1:$B$63,2,0),0)</f>
        <v>0</v>
      </c>
      <c r="BF434" s="138">
        <f>IF('1.DATOS-PROD'!BO435="SI",VLOOKUP('1.DATOS-PROD'!BO$2,'1.PUNTOS'!$A$1:$B$63,2,0),0)</f>
        <v>0</v>
      </c>
      <c r="BG434" s="138">
        <f>IF('1.DATOS-PROD'!BP435="SI",VLOOKUP('1.DATOS-PROD'!BP$2,'1.PUNTOS'!$A$1:$B$63,2,0),0)</f>
        <v>0</v>
      </c>
      <c r="BH434" s="138">
        <f>IF('1.DATOS-PROD'!BQ435="SI",VLOOKUP('1.DATOS-PROD'!BQ$2,'1.PUNTOS'!$A$1:$B$63,2,0),0)</f>
        <v>0</v>
      </c>
      <c r="BI434" s="138">
        <f>IF('1.DATOS-PROD'!BR435="SI",VLOOKUP('1.DATOS-PROD'!BR$2,'1.PUNTOS'!$A$1:$B$63,2,0),0)</f>
        <v>0</v>
      </c>
      <c r="BJ434" s="138">
        <f>IF('1.DATOS-PROD'!BS435="SI",VLOOKUP('1.DATOS-PROD'!BS$2,'1.PUNTOS'!$A$1:$B$63,2,0),0)</f>
        <v>0</v>
      </c>
      <c r="BK434" s="138">
        <f>IF('1.DATOS-PROD'!BT435="SI",VLOOKUP('1.DATOS-PROD'!BT$2,'1.PUNTOS'!$A$1:$B$63,2,0),0)</f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/>
  <dimension ref="A1:I452"/>
  <sheetViews>
    <sheetView workbookViewId="0">
      <selection activeCell="B10" sqref="B10"/>
    </sheetView>
  </sheetViews>
  <sheetFormatPr baseColWidth="10" defaultRowHeight="15" x14ac:dyDescent="0.25"/>
  <cols>
    <col min="1" max="1" width="14" style="91" bestFit="1" customWidth="1"/>
    <col min="2" max="2" width="15" style="127" customWidth="1"/>
    <col min="3" max="3" width="15" customWidth="1"/>
    <col min="4" max="4" width="12" bestFit="1" customWidth="1"/>
  </cols>
  <sheetData>
    <row r="1" spans="1:9" ht="48" customHeight="1" x14ac:dyDescent="0.25">
      <c r="A1" s="100" t="s">
        <v>64</v>
      </c>
      <c r="B1" s="140" t="s">
        <v>442</v>
      </c>
      <c r="C1" s="137" t="s">
        <v>439</v>
      </c>
      <c r="D1" s="140" t="s">
        <v>436</v>
      </c>
    </row>
    <row r="2" spans="1:9" x14ac:dyDescent="0.25">
      <c r="A2" t="str">
        <f>'0.Consolidado general'!$A3</f>
        <v>E001001021002</v>
      </c>
      <c r="B2" s="139">
        <f>IF(A2&lt;&gt;0,SUM('1.PUNTOS-PROD'!B2:U2),"")</f>
        <v>28</v>
      </c>
      <c r="C2" s="139">
        <f>IF(A2&lt;&gt;0,SUM('1.PUNTOS-PROD'!V2:AO2),"")</f>
        <v>22</v>
      </c>
      <c r="D2" s="139">
        <f>IF(A2&lt;&gt;0,SUM('1.PUNTOS-PROD'!AP2:BK2),"")</f>
        <v>35</v>
      </c>
      <c r="G2">
        <f>QUARTILE(B2:B4,1)</f>
        <v>30</v>
      </c>
      <c r="H2">
        <f>QUARTILE(C2:C4,1)</f>
        <v>22</v>
      </c>
      <c r="I2">
        <f>QUARTILE(D2:D4,1)</f>
        <v>38.5</v>
      </c>
    </row>
    <row r="3" spans="1:9" x14ac:dyDescent="0.25">
      <c r="A3" t="str">
        <f>'0.Consolidado general'!$A4</f>
        <v>E001001021003</v>
      </c>
      <c r="B3" s="139">
        <f>IF(A3&lt;&gt;0,SUM('1.PUNTOS-PROD'!B3:U3),"")</f>
        <v>32</v>
      </c>
      <c r="C3" s="139">
        <f>IF(A3&lt;&gt;0,SUM('1.PUNTOS-PROD'!V3:AO3),"")</f>
        <v>22</v>
      </c>
      <c r="D3" s="139">
        <f>IF(A3&lt;&gt;0,SUM('1.PUNTOS-PROD'!AP3:BK3),"")</f>
        <v>42</v>
      </c>
      <c r="G3">
        <f>QUARTILE(B2:B4,3)</f>
        <v>34</v>
      </c>
      <c r="H3">
        <f>QUARTILE(C2:C4,3)</f>
        <v>25.5</v>
      </c>
      <c r="I3">
        <f>QUARTILE(D2:D4,3)</f>
        <v>44</v>
      </c>
    </row>
    <row r="4" spans="1:9" x14ac:dyDescent="0.25">
      <c r="A4" t="str">
        <f>'0.Consolidado general'!$A5</f>
        <v>E001002021001</v>
      </c>
      <c r="B4" s="139">
        <f>IF(A4&lt;&gt;0,SUM('1.PUNTOS-PROD'!B4:U4),"")</f>
        <v>36</v>
      </c>
      <c r="C4" s="139">
        <f>IF(A4&lt;&gt;0,SUM('1.PUNTOS-PROD'!V4:AO4),"")</f>
        <v>29</v>
      </c>
      <c r="D4" s="139">
        <f>IF(A4&lt;&gt;0,SUM('1.PUNTOS-PROD'!AP4:BK4),"")</f>
        <v>46</v>
      </c>
    </row>
    <row r="5" spans="1:9" x14ac:dyDescent="0.25">
      <c r="A5" t="str">
        <f>'0.Consolidado general'!$A6</f>
        <v>E001002021002</v>
      </c>
      <c r="B5" s="139">
        <f>IF(A5&lt;&gt;0,SUM('1.PUNTOS-PROD'!B5:U5),"")</f>
        <v>26</v>
      </c>
      <c r="C5" s="139">
        <f>IF(A5&lt;&gt;0,SUM('1.PUNTOS-PROD'!V5:AO5),"")</f>
        <v>14</v>
      </c>
      <c r="D5" s="139">
        <f>IF(A5&lt;&gt;0,SUM('1.PUNTOS-PROD'!AP5:BK5),"")</f>
        <v>34</v>
      </c>
    </row>
    <row r="6" spans="1:9" x14ac:dyDescent="0.25">
      <c r="A6" t="str">
        <f>'0.Consolidado general'!$A7</f>
        <v>E001002021003</v>
      </c>
      <c r="B6" s="139">
        <f>IF(A6&lt;&gt;0,SUM('1.PUNTOS-PROD'!B6:U6),"")</f>
        <v>36</v>
      </c>
      <c r="C6" s="139">
        <f>IF(A6&lt;&gt;0,SUM('1.PUNTOS-PROD'!V6:AO6),"")</f>
        <v>18</v>
      </c>
      <c r="D6" s="139">
        <f>IF(A6&lt;&gt;0,SUM('1.PUNTOS-PROD'!AP6:BK6),"")</f>
        <v>36</v>
      </c>
      <c r="G6">
        <f t="shared" ref="G6:I7" si="0">1.5*G2</f>
        <v>45</v>
      </c>
      <c r="H6">
        <f t="shared" si="0"/>
        <v>33</v>
      </c>
      <c r="I6">
        <f t="shared" si="0"/>
        <v>57.75</v>
      </c>
    </row>
    <row r="7" spans="1:9" x14ac:dyDescent="0.25">
      <c r="A7" t="str">
        <f>'0.Consolidado general'!$A8</f>
        <v>E001002021004</v>
      </c>
      <c r="B7" s="139">
        <f>IF(A7&lt;&gt;0,SUM('1.PUNTOS-PROD'!B7:U7),"")</f>
        <v>22</v>
      </c>
      <c r="C7" s="139">
        <f>IF(A7&lt;&gt;0,SUM('1.PUNTOS-PROD'!V7:AO7),"")</f>
        <v>22</v>
      </c>
      <c r="D7" s="139">
        <f>IF(A7&lt;&gt;0,SUM('1.PUNTOS-PROD'!AP7:BK7),"")</f>
        <v>44</v>
      </c>
      <c r="G7">
        <f t="shared" si="0"/>
        <v>51</v>
      </c>
      <c r="H7">
        <f t="shared" si="0"/>
        <v>38.25</v>
      </c>
      <c r="I7">
        <f t="shared" si="0"/>
        <v>66</v>
      </c>
    </row>
    <row r="8" spans="1:9" x14ac:dyDescent="0.25">
      <c r="A8" t="str">
        <f>'0.Consolidado general'!$A9</f>
        <v>E001013021001</v>
      </c>
      <c r="B8" s="139">
        <f>IF(A8&lt;&gt;0,SUM('1.PUNTOS-PROD'!B8:U8),"")</f>
        <v>39</v>
      </c>
      <c r="C8" s="139">
        <f>IF(A8&lt;&gt;0,SUM('1.PUNTOS-PROD'!V8:AO8),"")</f>
        <v>17</v>
      </c>
      <c r="D8" s="139">
        <f>IF(A8&lt;&gt;0,SUM('1.PUNTOS-PROD'!AP8:BK8),"")</f>
        <v>30</v>
      </c>
    </row>
    <row r="9" spans="1:9" x14ac:dyDescent="0.25">
      <c r="A9" t="str">
        <f>'0.Consolidado general'!$A10</f>
        <v>E001013021002</v>
      </c>
      <c r="B9" s="139">
        <f>IF(A9&lt;&gt;0,SUM('1.PUNTOS-PROD'!B9:U9),"")</f>
        <v>31</v>
      </c>
      <c r="C9" s="139">
        <f>IF(A9&lt;&gt;0,SUM('1.PUNTOS-PROD'!V9:AO9),"")</f>
        <v>30</v>
      </c>
      <c r="D9" s="139">
        <f>IF(A9&lt;&gt;0,SUM('1.PUNTOS-PROD'!AP9:BK9),"")</f>
        <v>29</v>
      </c>
    </row>
    <row r="10" spans="1:9" x14ac:dyDescent="0.25">
      <c r="A10" t="str">
        <f>'0.Consolidado general'!$A11</f>
        <v>E001013021003</v>
      </c>
      <c r="B10" s="139">
        <f>IF(A10&lt;&gt;0,SUM('1.PUNTOS-PROD'!B10:U10),"")</f>
        <v>21</v>
      </c>
      <c r="C10" s="139">
        <f>IF(A10&lt;&gt;0,SUM('1.PUNTOS-PROD'!V10:AO10),"")</f>
        <v>22</v>
      </c>
      <c r="D10" s="139">
        <f>IF(A10&lt;&gt;0,SUM('1.PUNTOS-PROD'!AP10:BK10),"")</f>
        <v>41</v>
      </c>
    </row>
    <row r="11" spans="1:9" x14ac:dyDescent="0.25">
      <c r="A11" t="str">
        <f>'0.Consolidado general'!$A12</f>
        <v>E001013021004</v>
      </c>
      <c r="B11" s="139">
        <f>IF(A11&lt;&gt;0,SUM('1.PUNTOS-PROD'!B11:U11),"")</f>
        <v>33</v>
      </c>
      <c r="C11" s="139">
        <f>IF(A11&lt;&gt;0,SUM('1.PUNTOS-PROD'!V11:AO11),"")</f>
        <v>22</v>
      </c>
      <c r="D11" s="139">
        <f>IF(A11&lt;&gt;0,SUM('1.PUNTOS-PROD'!AP11:BK11),"")</f>
        <v>41</v>
      </c>
    </row>
    <row r="12" spans="1:9" x14ac:dyDescent="0.25">
      <c r="A12" t="str">
        <f>'0.Consolidado general'!$A13</f>
        <v>E001010021001</v>
      </c>
      <c r="B12" s="139">
        <f>IF(A12&lt;&gt;0,SUM('1.PUNTOS-PROD'!B12:U12),"")</f>
        <v>28</v>
      </c>
      <c r="C12" s="139">
        <f>IF(A12&lt;&gt;0,SUM('1.PUNTOS-PROD'!V12:AO12),"")</f>
        <v>22</v>
      </c>
      <c r="D12" s="139">
        <f>IF(A12&lt;&gt;0,SUM('1.PUNTOS-PROD'!AP12:BK12),"")</f>
        <v>35</v>
      </c>
    </row>
    <row r="13" spans="1:9" x14ac:dyDescent="0.25">
      <c r="A13" t="str">
        <f>'0.Consolidado general'!$A14</f>
        <v>E001010021002</v>
      </c>
      <c r="B13" s="139">
        <f>IF(A13&lt;&gt;0,SUM('1.PUNTOS-PROD'!B13:U13),"")</f>
        <v>32</v>
      </c>
      <c r="C13" s="139">
        <f>IF(A13&lt;&gt;0,SUM('1.PUNTOS-PROD'!V13:AO13),"")</f>
        <v>22</v>
      </c>
      <c r="D13" s="139">
        <f>IF(A13&lt;&gt;0,SUM('1.PUNTOS-PROD'!AP13:BK13),"")</f>
        <v>42</v>
      </c>
    </row>
    <row r="14" spans="1:9" x14ac:dyDescent="0.25">
      <c r="A14" t="str">
        <f>'0.Consolidado general'!$A15</f>
        <v>E001010021003</v>
      </c>
      <c r="B14" s="139">
        <f>IF(A14&lt;&gt;0,SUM('1.PUNTOS-PROD'!B14:U14),"")</f>
        <v>36</v>
      </c>
      <c r="C14" s="139">
        <f>IF(A14&lt;&gt;0,SUM('1.PUNTOS-PROD'!V14:AO14),"")</f>
        <v>29</v>
      </c>
      <c r="D14" s="139">
        <f>IF(A14&lt;&gt;0,SUM('1.PUNTOS-PROD'!AP14:BK14),"")</f>
        <v>46</v>
      </c>
    </row>
    <row r="15" spans="1:9" x14ac:dyDescent="0.25">
      <c r="A15" t="str">
        <f>'0.Consolidado general'!$A16</f>
        <v>E001012021002</v>
      </c>
      <c r="B15" s="139">
        <f>IF(A15&lt;&gt;0,SUM('1.PUNTOS-PROD'!B15:U15),"")</f>
        <v>22</v>
      </c>
      <c r="C15" s="139">
        <f>IF(A15&lt;&gt;0,SUM('1.PUNTOS-PROD'!V15:AO15),"")</f>
        <v>22</v>
      </c>
      <c r="D15" s="139">
        <f>IF(A15&lt;&gt;0,SUM('1.PUNTOS-PROD'!AP15:BK15),"")</f>
        <v>44</v>
      </c>
    </row>
    <row r="16" spans="1:9" x14ac:dyDescent="0.25">
      <c r="A16">
        <f>'0.Consolidado general'!$A17</f>
        <v>0</v>
      </c>
      <c r="B16" s="139" t="str">
        <f>IF(A16&lt;&gt;0,SUM('1.PUNTOS-PROD'!B16:U16),"")</f>
        <v/>
      </c>
      <c r="C16" s="139" t="str">
        <f>IF(A16&lt;&gt;0,SUM('1.PUNTOS-PROD'!V16:AO16),"")</f>
        <v/>
      </c>
      <c r="D16" s="139" t="str">
        <f>IF(A16&lt;&gt;0,SUM('1.PUNTOS-PROD'!AP16:BK16),"")</f>
        <v/>
      </c>
    </row>
    <row r="17" spans="1:4" x14ac:dyDescent="0.25">
      <c r="A17">
        <f>'0.Consolidado general'!$A18</f>
        <v>0</v>
      </c>
      <c r="B17" s="139" t="str">
        <f>IF(A17&lt;&gt;0,SUM('1.PUNTOS-PROD'!B17:U17),"")</f>
        <v/>
      </c>
      <c r="C17" s="139" t="str">
        <f>IF(A17&lt;&gt;0,SUM('1.PUNTOS-PROD'!V17:AO17),"")</f>
        <v/>
      </c>
      <c r="D17" s="139" t="str">
        <f>IF(A17&lt;&gt;0,SUM('1.PUNTOS-PROD'!AP17:BK17),"")</f>
        <v/>
      </c>
    </row>
    <row r="18" spans="1:4" x14ac:dyDescent="0.25">
      <c r="A18">
        <f>'0.Consolidado general'!$A19</f>
        <v>0</v>
      </c>
      <c r="B18" s="139" t="str">
        <f>IF(A18&lt;&gt;0,SUM('1.PUNTOS-PROD'!B18:U18),"")</f>
        <v/>
      </c>
      <c r="C18" s="139" t="str">
        <f>IF(A18&lt;&gt;0,SUM('1.PUNTOS-PROD'!V18:AO18),"")</f>
        <v/>
      </c>
      <c r="D18" s="139" t="str">
        <f>IF(A18&lt;&gt;0,SUM('1.PUNTOS-PROD'!AP18:BK18),"")</f>
        <v/>
      </c>
    </row>
    <row r="19" spans="1:4" x14ac:dyDescent="0.25">
      <c r="A19">
        <f>'0.Consolidado general'!$A20</f>
        <v>0</v>
      </c>
      <c r="B19" s="139" t="str">
        <f>IF(A19&lt;&gt;0,SUM('1.PUNTOS-PROD'!B19:U19),"")</f>
        <v/>
      </c>
      <c r="C19" s="139" t="str">
        <f>IF(A19&lt;&gt;0,SUM('1.PUNTOS-PROD'!V19:AO19),"")</f>
        <v/>
      </c>
      <c r="D19" s="139" t="str">
        <f>IF(A19&lt;&gt;0,SUM('1.PUNTOS-PROD'!AP19:BK19),"")</f>
        <v/>
      </c>
    </row>
    <row r="20" spans="1:4" x14ac:dyDescent="0.25">
      <c r="A20">
        <f>'0.Consolidado general'!$A21</f>
        <v>0</v>
      </c>
      <c r="B20" s="139" t="str">
        <f>IF(A20&lt;&gt;0,SUM('1.PUNTOS-PROD'!B20:U20),"")</f>
        <v/>
      </c>
      <c r="C20" s="139" t="str">
        <f>IF(A20&lt;&gt;0,SUM('1.PUNTOS-PROD'!V20:AO20),"")</f>
        <v/>
      </c>
      <c r="D20" s="139" t="str">
        <f>IF(A20&lt;&gt;0,SUM('1.PUNTOS-PROD'!AP20:BK20),"")</f>
        <v/>
      </c>
    </row>
    <row r="21" spans="1:4" x14ac:dyDescent="0.25">
      <c r="A21">
        <f>'0.Consolidado general'!$A22</f>
        <v>0</v>
      </c>
      <c r="B21" s="139" t="str">
        <f>IF(A21&lt;&gt;0,SUM('1.PUNTOS-PROD'!B21:U21),"")</f>
        <v/>
      </c>
      <c r="C21" s="139" t="str">
        <f>IF(A21&lt;&gt;0,SUM('1.PUNTOS-PROD'!V21:AO21),"")</f>
        <v/>
      </c>
      <c r="D21" s="139" t="str">
        <f>IF(A21&lt;&gt;0,SUM('1.PUNTOS-PROD'!AP21:BK21),"")</f>
        <v/>
      </c>
    </row>
    <row r="22" spans="1:4" x14ac:dyDescent="0.25">
      <c r="A22">
        <f>'0.Consolidado general'!$A23</f>
        <v>0</v>
      </c>
      <c r="B22" s="139" t="str">
        <f>IF(A22&lt;&gt;0,SUM('1.PUNTOS-PROD'!B22:U22),"")</f>
        <v/>
      </c>
      <c r="C22" s="139" t="str">
        <f>IF(A22&lt;&gt;0,SUM('1.PUNTOS-PROD'!V22:AO22),"")</f>
        <v/>
      </c>
      <c r="D22" s="139" t="str">
        <f>IF(A22&lt;&gt;0,SUM('1.PUNTOS-PROD'!AP22:BK22),"")</f>
        <v/>
      </c>
    </row>
    <row r="23" spans="1:4" x14ac:dyDescent="0.25">
      <c r="A23">
        <f>'0.Consolidado general'!$A24</f>
        <v>0</v>
      </c>
      <c r="B23" s="139" t="str">
        <f>IF(A23&lt;&gt;0,SUM('1.PUNTOS-PROD'!B23:U23),"")</f>
        <v/>
      </c>
      <c r="C23" s="139" t="str">
        <f>IF(A23&lt;&gt;0,SUM('1.PUNTOS-PROD'!V23:AO23),"")</f>
        <v/>
      </c>
      <c r="D23" s="139" t="str">
        <f>IF(A23&lt;&gt;0,SUM('1.PUNTOS-PROD'!AP23:BK23),"")</f>
        <v/>
      </c>
    </row>
    <row r="24" spans="1:4" x14ac:dyDescent="0.25">
      <c r="A24">
        <f>'0.Consolidado general'!$A25</f>
        <v>0</v>
      </c>
      <c r="B24" s="139" t="str">
        <f>IF(A24&lt;&gt;0,SUM('1.PUNTOS-PROD'!B24:U24),"")</f>
        <v/>
      </c>
      <c r="C24" s="139" t="str">
        <f>IF(A24&lt;&gt;0,SUM('1.PUNTOS-PROD'!V24:AO24),"")</f>
        <v/>
      </c>
      <c r="D24" s="139" t="str">
        <f>IF(A24&lt;&gt;0,SUM('1.PUNTOS-PROD'!AP24:BK24),"")</f>
        <v/>
      </c>
    </row>
    <row r="25" spans="1:4" x14ac:dyDescent="0.25">
      <c r="A25">
        <f>'0.Consolidado general'!$A26</f>
        <v>0</v>
      </c>
      <c r="B25" s="139" t="str">
        <f>IF(A25&lt;&gt;0,SUM('1.PUNTOS-PROD'!B25:U25),"")</f>
        <v/>
      </c>
      <c r="C25" s="139" t="str">
        <f>IF(A25&lt;&gt;0,SUM('1.PUNTOS-PROD'!V25:AO25),"")</f>
        <v/>
      </c>
      <c r="D25" s="139" t="str">
        <f>IF(A25&lt;&gt;0,SUM('1.PUNTOS-PROD'!AP25:BK25),"")</f>
        <v/>
      </c>
    </row>
    <row r="26" spans="1:4" x14ac:dyDescent="0.25">
      <c r="A26">
        <f>'0.Consolidado general'!$A27</f>
        <v>0</v>
      </c>
      <c r="B26" s="139" t="str">
        <f>IF(A26&lt;&gt;0,SUM('1.PUNTOS-PROD'!B26:U26),"")</f>
        <v/>
      </c>
      <c r="C26" s="139" t="str">
        <f>IF(A26&lt;&gt;0,SUM('1.PUNTOS-PROD'!V26:AO26),"")</f>
        <v/>
      </c>
      <c r="D26" s="139" t="str">
        <f>IF(A26&lt;&gt;0,SUM('1.PUNTOS-PROD'!AP26:BK26),"")</f>
        <v/>
      </c>
    </row>
    <row r="27" spans="1:4" x14ac:dyDescent="0.25">
      <c r="A27">
        <f>'0.Consolidado general'!$A28</f>
        <v>0</v>
      </c>
      <c r="B27" s="139" t="str">
        <f>IF(A27&lt;&gt;0,SUM('1.PUNTOS-PROD'!B27:U27),"")</f>
        <v/>
      </c>
      <c r="C27" s="139" t="str">
        <f>IF(A27&lt;&gt;0,SUM('1.PUNTOS-PROD'!V27:AO27),"")</f>
        <v/>
      </c>
      <c r="D27" s="139" t="str">
        <f>IF(A27&lt;&gt;0,SUM('1.PUNTOS-PROD'!AP27:BK27),"")</f>
        <v/>
      </c>
    </row>
    <row r="28" spans="1:4" x14ac:dyDescent="0.25">
      <c r="A28">
        <f>'0.Consolidado general'!$A29</f>
        <v>0</v>
      </c>
      <c r="B28" s="139" t="str">
        <f>IF(A28&lt;&gt;0,SUM('1.PUNTOS-PROD'!B28:U28),"")</f>
        <v/>
      </c>
      <c r="C28" s="139" t="str">
        <f>IF(A28&lt;&gt;0,SUM('1.PUNTOS-PROD'!V28:AO28),"")</f>
        <v/>
      </c>
      <c r="D28" s="139" t="str">
        <f>IF(A28&lt;&gt;0,SUM('1.PUNTOS-PROD'!AP28:BK28),"")</f>
        <v/>
      </c>
    </row>
    <row r="29" spans="1:4" x14ac:dyDescent="0.25">
      <c r="A29">
        <f>'0.Consolidado general'!$A30</f>
        <v>0</v>
      </c>
      <c r="B29" s="139" t="str">
        <f>IF(A29&lt;&gt;0,SUM('1.PUNTOS-PROD'!B29:U29),"")</f>
        <v/>
      </c>
      <c r="C29" s="139" t="str">
        <f>IF(A29&lt;&gt;0,SUM('1.PUNTOS-PROD'!V29:AO29),"")</f>
        <v/>
      </c>
      <c r="D29" s="139" t="str">
        <f>IF(A29&lt;&gt;0,SUM('1.PUNTOS-PROD'!AP29:BK29),"")</f>
        <v/>
      </c>
    </row>
    <row r="30" spans="1:4" x14ac:dyDescent="0.25">
      <c r="A30">
        <f>'0.Consolidado general'!$A31</f>
        <v>0</v>
      </c>
      <c r="B30" s="139" t="str">
        <f>IF(A30&lt;&gt;0,SUM('1.PUNTOS-PROD'!B30:U30),"")</f>
        <v/>
      </c>
      <c r="C30" s="139" t="str">
        <f>IF(A30&lt;&gt;0,SUM('1.PUNTOS-PROD'!V30:AO30),"")</f>
        <v/>
      </c>
      <c r="D30" s="139" t="str">
        <f>IF(A30&lt;&gt;0,SUM('1.PUNTOS-PROD'!AP30:BK30),"")</f>
        <v/>
      </c>
    </row>
    <row r="31" spans="1:4" x14ac:dyDescent="0.25">
      <c r="A31">
        <f>'0.Consolidado general'!$A32</f>
        <v>0</v>
      </c>
      <c r="B31" s="139" t="str">
        <f>IF(A31&lt;&gt;0,SUM('1.PUNTOS-PROD'!B31:U31),"")</f>
        <v/>
      </c>
      <c r="C31" s="139" t="str">
        <f>IF(A31&lt;&gt;0,SUM('1.PUNTOS-PROD'!V31:AO31),"")</f>
        <v/>
      </c>
      <c r="D31" s="139" t="str">
        <f>IF(A31&lt;&gt;0,SUM('1.PUNTOS-PROD'!AP31:BK31),"")</f>
        <v/>
      </c>
    </row>
    <row r="32" spans="1:4" x14ac:dyDescent="0.25">
      <c r="A32">
        <f>'0.Consolidado general'!$A33</f>
        <v>0</v>
      </c>
      <c r="B32" s="139" t="str">
        <f>IF(A32&lt;&gt;0,SUM('1.PUNTOS-PROD'!B32:U32),"")</f>
        <v/>
      </c>
      <c r="C32" s="139" t="str">
        <f>IF(A32&lt;&gt;0,SUM('1.PUNTOS-PROD'!V32:AO32),"")</f>
        <v/>
      </c>
      <c r="D32" s="139" t="str">
        <f>IF(A32&lt;&gt;0,SUM('1.PUNTOS-PROD'!AP32:BK32),"")</f>
        <v/>
      </c>
    </row>
    <row r="33" spans="1:4" x14ac:dyDescent="0.25">
      <c r="A33">
        <f>'0.Consolidado general'!$A34</f>
        <v>0</v>
      </c>
      <c r="B33" s="139" t="str">
        <f>IF(A33&lt;&gt;0,SUM('1.PUNTOS-PROD'!B33:U33),"")</f>
        <v/>
      </c>
      <c r="C33" s="139" t="str">
        <f>IF(A33&lt;&gt;0,SUM('1.PUNTOS-PROD'!V33:AO33),"")</f>
        <v/>
      </c>
      <c r="D33" s="139" t="str">
        <f>IF(A33&lt;&gt;0,SUM('1.PUNTOS-PROD'!AP33:BK33),"")</f>
        <v/>
      </c>
    </row>
    <row r="34" spans="1:4" x14ac:dyDescent="0.25">
      <c r="A34">
        <f>'0.Consolidado general'!$A35</f>
        <v>0</v>
      </c>
      <c r="B34" s="139" t="str">
        <f>IF(A34&lt;&gt;0,SUM('1.PUNTOS-PROD'!B34:U34),"")</f>
        <v/>
      </c>
      <c r="C34" s="139" t="str">
        <f>IF(A34&lt;&gt;0,SUM('1.PUNTOS-PROD'!V34:AO34),"")</f>
        <v/>
      </c>
      <c r="D34" s="139" t="str">
        <f>IF(A34&lt;&gt;0,SUM('1.PUNTOS-PROD'!AP34:BK34),"")</f>
        <v/>
      </c>
    </row>
    <row r="35" spans="1:4" x14ac:dyDescent="0.25">
      <c r="A35">
        <f>'0.Consolidado general'!$A36</f>
        <v>0</v>
      </c>
      <c r="B35" s="139" t="str">
        <f>IF(A35&lt;&gt;0,SUM('1.PUNTOS-PROD'!B35:U35),"")</f>
        <v/>
      </c>
      <c r="C35" s="139" t="str">
        <f>IF(A35&lt;&gt;0,SUM('1.PUNTOS-PROD'!V35:AO35),"")</f>
        <v/>
      </c>
      <c r="D35" s="139" t="str">
        <f>IF(A35&lt;&gt;0,SUM('1.PUNTOS-PROD'!AP35:BK35),"")</f>
        <v/>
      </c>
    </row>
    <row r="36" spans="1:4" x14ac:dyDescent="0.25">
      <c r="A36">
        <f>'0.Consolidado general'!$A37</f>
        <v>0</v>
      </c>
      <c r="B36" s="139" t="str">
        <f>IF(A36&lt;&gt;0,SUM('1.PUNTOS-PROD'!B36:U36),"")</f>
        <v/>
      </c>
      <c r="C36" s="139" t="str">
        <f>IF(A36&lt;&gt;0,SUM('1.PUNTOS-PROD'!V36:AO36),"")</f>
        <v/>
      </c>
      <c r="D36" s="139" t="str">
        <f>IF(A36&lt;&gt;0,SUM('1.PUNTOS-PROD'!AP36:BK36),"")</f>
        <v/>
      </c>
    </row>
    <row r="37" spans="1:4" x14ac:dyDescent="0.25">
      <c r="A37">
        <f>'0.Consolidado general'!$A38</f>
        <v>0</v>
      </c>
      <c r="B37" s="139" t="str">
        <f>IF(A37&lt;&gt;0,SUM('1.PUNTOS-PROD'!B37:U37),"")</f>
        <v/>
      </c>
      <c r="C37" s="139" t="str">
        <f>IF(A37&lt;&gt;0,SUM('1.PUNTOS-PROD'!V37:AO37),"")</f>
        <v/>
      </c>
      <c r="D37" s="139" t="str">
        <f>IF(A37&lt;&gt;0,SUM('1.PUNTOS-PROD'!AP37:BK37),"")</f>
        <v/>
      </c>
    </row>
    <row r="38" spans="1:4" x14ac:dyDescent="0.25">
      <c r="A38">
        <f>'0.Consolidado general'!$A39</f>
        <v>0</v>
      </c>
      <c r="B38" s="139" t="str">
        <f>IF(A38&lt;&gt;0,SUM('1.PUNTOS-PROD'!B38:U38),"")</f>
        <v/>
      </c>
      <c r="C38" s="139" t="str">
        <f>IF(A38&lt;&gt;0,SUM('1.PUNTOS-PROD'!V38:AO38),"")</f>
        <v/>
      </c>
      <c r="D38" s="139" t="str">
        <f>IF(A38&lt;&gt;0,SUM('1.PUNTOS-PROD'!AP38:BK38),"")</f>
        <v/>
      </c>
    </row>
    <row r="39" spans="1:4" x14ac:dyDescent="0.25">
      <c r="A39">
        <f>'0.Consolidado general'!$A40</f>
        <v>0</v>
      </c>
      <c r="B39" s="139" t="str">
        <f>IF(A39&lt;&gt;0,SUM('1.PUNTOS-PROD'!B39:U39),"")</f>
        <v/>
      </c>
      <c r="C39" s="139" t="str">
        <f>IF(A39&lt;&gt;0,SUM('1.PUNTOS-PROD'!V39:AO39),"")</f>
        <v/>
      </c>
      <c r="D39" s="139" t="str">
        <f>IF(A39&lt;&gt;0,SUM('1.PUNTOS-PROD'!AP39:BK39),"")</f>
        <v/>
      </c>
    </row>
    <row r="40" spans="1:4" x14ac:dyDescent="0.25">
      <c r="A40">
        <f>'0.Consolidado general'!$A41</f>
        <v>0</v>
      </c>
      <c r="B40" s="139" t="str">
        <f>IF(A40&lt;&gt;0,SUM('1.PUNTOS-PROD'!B40:U40),"")</f>
        <v/>
      </c>
      <c r="C40" s="139" t="str">
        <f>IF(A40&lt;&gt;0,SUM('1.PUNTOS-PROD'!V40:AO40),"")</f>
        <v/>
      </c>
      <c r="D40" s="139" t="str">
        <f>IF(A40&lt;&gt;0,SUM('1.PUNTOS-PROD'!AP40:BK40),"")</f>
        <v/>
      </c>
    </row>
    <row r="41" spans="1:4" x14ac:dyDescent="0.25">
      <c r="A41">
        <f>'0.Consolidado general'!$A42</f>
        <v>0</v>
      </c>
      <c r="B41" s="139" t="str">
        <f>IF(A41&lt;&gt;0,SUM('1.PUNTOS-PROD'!B41:U41),"")</f>
        <v/>
      </c>
      <c r="C41" s="139" t="str">
        <f>IF(A41&lt;&gt;0,SUM('1.PUNTOS-PROD'!V41:AO41),"")</f>
        <v/>
      </c>
      <c r="D41" s="139" t="str">
        <f>IF(A41&lt;&gt;0,SUM('1.PUNTOS-PROD'!AP41:BK41),"")</f>
        <v/>
      </c>
    </row>
    <row r="42" spans="1:4" x14ac:dyDescent="0.25">
      <c r="A42">
        <f>'0.Consolidado general'!$A43</f>
        <v>0</v>
      </c>
      <c r="B42" s="139" t="str">
        <f>IF(A42&lt;&gt;0,SUM('1.PUNTOS-PROD'!B42:U42),"")</f>
        <v/>
      </c>
      <c r="C42" s="139" t="str">
        <f>IF(A42&lt;&gt;0,SUM('1.PUNTOS-PROD'!V42:AO42),"")</f>
        <v/>
      </c>
      <c r="D42" s="139" t="str">
        <f>IF(A42&lt;&gt;0,SUM('1.PUNTOS-PROD'!AP42:BK42),"")</f>
        <v/>
      </c>
    </row>
    <row r="43" spans="1:4" x14ac:dyDescent="0.25">
      <c r="A43">
        <f>'0.Consolidado general'!$A44</f>
        <v>0</v>
      </c>
      <c r="B43" s="139" t="str">
        <f>IF(A43&lt;&gt;0,SUM('1.PUNTOS-PROD'!B43:U43),"")</f>
        <v/>
      </c>
      <c r="C43" s="139" t="str">
        <f>IF(A43&lt;&gt;0,SUM('1.PUNTOS-PROD'!V43:AO43),"")</f>
        <v/>
      </c>
      <c r="D43" s="139" t="str">
        <f>IF(A43&lt;&gt;0,SUM('1.PUNTOS-PROD'!AP43:BK43),"")</f>
        <v/>
      </c>
    </row>
    <row r="44" spans="1:4" x14ac:dyDescent="0.25">
      <c r="A44">
        <f>'0.Consolidado general'!$A45</f>
        <v>0</v>
      </c>
      <c r="B44" s="139" t="str">
        <f>IF(A44&lt;&gt;0,SUM('1.PUNTOS-PROD'!B44:U44),"")</f>
        <v/>
      </c>
      <c r="C44" s="139" t="str">
        <f>IF(A44&lt;&gt;0,SUM('1.PUNTOS-PROD'!V44:AO44),"")</f>
        <v/>
      </c>
      <c r="D44" s="139" t="str">
        <f>IF(A44&lt;&gt;0,SUM('1.PUNTOS-PROD'!AP44:BK44),"")</f>
        <v/>
      </c>
    </row>
    <row r="45" spans="1:4" x14ac:dyDescent="0.25">
      <c r="A45">
        <f>'0.Consolidado general'!$A46</f>
        <v>0</v>
      </c>
      <c r="B45" s="139" t="str">
        <f>IF(A45&lt;&gt;0,SUM('1.PUNTOS-PROD'!B45:U45),"")</f>
        <v/>
      </c>
      <c r="C45" s="139" t="str">
        <f>IF(A45&lt;&gt;0,SUM('1.PUNTOS-PROD'!V45:AO45),"")</f>
        <v/>
      </c>
      <c r="D45" s="139" t="str">
        <f>IF(A45&lt;&gt;0,SUM('1.PUNTOS-PROD'!AP45:BK45),"")</f>
        <v/>
      </c>
    </row>
    <row r="46" spans="1:4" x14ac:dyDescent="0.25">
      <c r="A46">
        <f>'0.Consolidado general'!$A47</f>
        <v>0</v>
      </c>
      <c r="B46" s="139" t="str">
        <f>IF(A46&lt;&gt;0,SUM('1.PUNTOS-PROD'!B46:U46),"")</f>
        <v/>
      </c>
      <c r="C46" s="139" t="str">
        <f>IF(A46&lt;&gt;0,SUM('1.PUNTOS-PROD'!V46:AO46),"")</f>
        <v/>
      </c>
      <c r="D46" s="139" t="str">
        <f>IF(A46&lt;&gt;0,SUM('1.PUNTOS-PROD'!AP46:BK46),"")</f>
        <v/>
      </c>
    </row>
    <row r="47" spans="1:4" x14ac:dyDescent="0.25">
      <c r="A47">
        <f>'0.Consolidado general'!$A48</f>
        <v>0</v>
      </c>
      <c r="B47" s="139" t="str">
        <f>IF(A47&lt;&gt;0,SUM('1.PUNTOS-PROD'!B47:U47),"")</f>
        <v/>
      </c>
      <c r="C47" s="139" t="str">
        <f>IF(A47&lt;&gt;0,SUM('1.PUNTOS-PROD'!V47:AO47),"")</f>
        <v/>
      </c>
      <c r="D47" s="139" t="str">
        <f>IF(A47&lt;&gt;0,SUM('1.PUNTOS-PROD'!AP47:BK47),"")</f>
        <v/>
      </c>
    </row>
    <row r="48" spans="1:4" x14ac:dyDescent="0.25">
      <c r="A48">
        <f>'0.Consolidado general'!$A49</f>
        <v>0</v>
      </c>
      <c r="B48" s="139" t="str">
        <f>IF(A48&lt;&gt;0,SUM('1.PUNTOS-PROD'!B48:U48),"")</f>
        <v/>
      </c>
      <c r="C48" s="139" t="str">
        <f>IF(A48&lt;&gt;0,SUM('1.PUNTOS-PROD'!V48:AO48),"")</f>
        <v/>
      </c>
      <c r="D48" s="139" t="str">
        <f>IF(A48&lt;&gt;0,SUM('1.PUNTOS-PROD'!AP48:BK48),"")</f>
        <v/>
      </c>
    </row>
    <row r="49" spans="1:4" x14ac:dyDescent="0.25">
      <c r="A49">
        <f>'0.Consolidado general'!$A50</f>
        <v>0</v>
      </c>
      <c r="B49" s="139" t="str">
        <f>IF(A49&lt;&gt;0,SUM('1.PUNTOS-PROD'!B49:U49),"")</f>
        <v/>
      </c>
      <c r="C49" s="139" t="str">
        <f>IF(A49&lt;&gt;0,SUM('1.PUNTOS-PROD'!V49:AO49),"")</f>
        <v/>
      </c>
      <c r="D49" s="139" t="str">
        <f>IF(A49&lt;&gt;0,SUM('1.PUNTOS-PROD'!AP49:BK49),"")</f>
        <v/>
      </c>
    </row>
    <row r="50" spans="1:4" x14ac:dyDescent="0.25">
      <c r="A50">
        <f>'0.Consolidado general'!$A51</f>
        <v>0</v>
      </c>
      <c r="B50" s="139" t="str">
        <f>IF(A50&lt;&gt;0,SUM('1.PUNTOS-PROD'!B50:U50),"")</f>
        <v/>
      </c>
      <c r="C50" s="139" t="str">
        <f>IF(A50&lt;&gt;0,SUM('1.PUNTOS-PROD'!V50:AO50),"")</f>
        <v/>
      </c>
      <c r="D50" s="139" t="str">
        <f>IF(A50&lt;&gt;0,SUM('1.PUNTOS-PROD'!AP50:BK50),"")</f>
        <v/>
      </c>
    </row>
    <row r="51" spans="1:4" x14ac:dyDescent="0.25">
      <c r="A51">
        <f>'0.Consolidado general'!$A52</f>
        <v>0</v>
      </c>
      <c r="B51" s="139" t="str">
        <f>IF(A51&lt;&gt;0,SUM('1.PUNTOS-PROD'!B51:U51),"")</f>
        <v/>
      </c>
      <c r="C51" s="139" t="str">
        <f>IF(A51&lt;&gt;0,SUM('1.PUNTOS-PROD'!V51:AO51),"")</f>
        <v/>
      </c>
      <c r="D51" s="139" t="str">
        <f>IF(A51&lt;&gt;0,SUM('1.PUNTOS-PROD'!AP51:BK51),"")</f>
        <v/>
      </c>
    </row>
    <row r="52" spans="1:4" x14ac:dyDescent="0.25">
      <c r="A52">
        <f>'0.Consolidado general'!$A53</f>
        <v>0</v>
      </c>
      <c r="B52" s="139" t="str">
        <f>IF(A52&lt;&gt;0,SUM('1.PUNTOS-PROD'!B52:U52),"")</f>
        <v/>
      </c>
      <c r="C52" s="139" t="str">
        <f>IF(A52&lt;&gt;0,SUM('1.PUNTOS-PROD'!V52:AO52),"")</f>
        <v/>
      </c>
      <c r="D52" s="139" t="str">
        <f>IF(A52&lt;&gt;0,SUM('1.PUNTOS-PROD'!AP52:BK52),"")</f>
        <v/>
      </c>
    </row>
    <row r="53" spans="1:4" x14ac:dyDescent="0.25">
      <c r="A53">
        <f>'0.Consolidado general'!$A54</f>
        <v>0</v>
      </c>
      <c r="B53" s="139" t="str">
        <f>IF(A53&lt;&gt;0,SUM('1.PUNTOS-PROD'!B53:U53),"")</f>
        <v/>
      </c>
      <c r="C53" s="139" t="str">
        <f>IF(A53&lt;&gt;0,SUM('1.PUNTOS-PROD'!V53:AO53),"")</f>
        <v/>
      </c>
      <c r="D53" s="139" t="str">
        <f>IF(A53&lt;&gt;0,SUM('1.PUNTOS-PROD'!AP53:BK53),"")</f>
        <v/>
      </c>
    </row>
    <row r="54" spans="1:4" x14ac:dyDescent="0.25">
      <c r="A54">
        <f>'0.Consolidado general'!$A55</f>
        <v>0</v>
      </c>
      <c r="B54" s="139" t="str">
        <f>IF(A54&lt;&gt;0,SUM('1.PUNTOS-PROD'!B54:U54),"")</f>
        <v/>
      </c>
      <c r="C54" s="139" t="str">
        <f>IF(A54&lt;&gt;0,SUM('1.PUNTOS-PROD'!V54:AO54),"")</f>
        <v/>
      </c>
      <c r="D54" s="139" t="str">
        <f>IF(A54&lt;&gt;0,SUM('1.PUNTOS-PROD'!AP54:BK54),"")</f>
        <v/>
      </c>
    </row>
    <row r="55" spans="1:4" x14ac:dyDescent="0.25">
      <c r="A55">
        <f>'0.Consolidado general'!$A56</f>
        <v>0</v>
      </c>
      <c r="B55" s="139" t="str">
        <f>IF(A55&lt;&gt;0,SUM('1.PUNTOS-PROD'!B55:U55),"")</f>
        <v/>
      </c>
      <c r="C55" s="139" t="str">
        <f>IF(A55&lt;&gt;0,SUM('1.PUNTOS-PROD'!V55:AO55),"")</f>
        <v/>
      </c>
      <c r="D55" s="139" t="str">
        <f>IF(A55&lt;&gt;0,SUM('1.PUNTOS-PROD'!AP55:BK55),"")</f>
        <v/>
      </c>
    </row>
    <row r="56" spans="1:4" x14ac:dyDescent="0.25">
      <c r="A56">
        <f>'0.Consolidado general'!$A57</f>
        <v>0</v>
      </c>
      <c r="B56" s="139" t="str">
        <f>IF(A56&lt;&gt;0,SUM('1.PUNTOS-PROD'!B56:U56),"")</f>
        <v/>
      </c>
      <c r="C56" s="139" t="str">
        <f>IF(A56&lt;&gt;0,SUM('1.PUNTOS-PROD'!V56:AO56),"")</f>
        <v/>
      </c>
      <c r="D56" s="139" t="str">
        <f>IF(A56&lt;&gt;0,SUM('1.PUNTOS-PROD'!AP56:BK56),"")</f>
        <v/>
      </c>
    </row>
    <row r="57" spans="1:4" x14ac:dyDescent="0.25">
      <c r="A57">
        <f>'0.Consolidado general'!$A58</f>
        <v>0</v>
      </c>
      <c r="B57" s="139" t="str">
        <f>IF(A57&lt;&gt;0,SUM('1.PUNTOS-PROD'!B57:U57),"")</f>
        <v/>
      </c>
      <c r="C57" s="139" t="str">
        <f>IF(A57&lt;&gt;0,SUM('1.PUNTOS-PROD'!V57:AO57),"")</f>
        <v/>
      </c>
      <c r="D57" s="139" t="str">
        <f>IF(A57&lt;&gt;0,SUM('1.PUNTOS-PROD'!AP57:BK57),"")</f>
        <v/>
      </c>
    </row>
    <row r="58" spans="1:4" x14ac:dyDescent="0.25">
      <c r="A58">
        <f>'0.Consolidado general'!$A59</f>
        <v>0</v>
      </c>
      <c r="B58" s="139" t="str">
        <f>IF(A58&lt;&gt;0,SUM('1.PUNTOS-PROD'!B58:U58),"")</f>
        <v/>
      </c>
      <c r="C58" s="139" t="str">
        <f>IF(A58&lt;&gt;0,SUM('1.PUNTOS-PROD'!V58:AO58),"")</f>
        <v/>
      </c>
      <c r="D58" s="139" t="str">
        <f>IF(A58&lt;&gt;0,SUM('1.PUNTOS-PROD'!AP58:BK58),"")</f>
        <v/>
      </c>
    </row>
    <row r="59" spans="1:4" x14ac:dyDescent="0.25">
      <c r="A59">
        <f>'0.Consolidado general'!$A60</f>
        <v>0</v>
      </c>
      <c r="B59" s="139" t="str">
        <f>IF(A59&lt;&gt;0,SUM('1.PUNTOS-PROD'!B59:U59),"")</f>
        <v/>
      </c>
      <c r="C59" s="139" t="str">
        <f>IF(A59&lt;&gt;0,SUM('1.PUNTOS-PROD'!V59:AO59),"")</f>
        <v/>
      </c>
      <c r="D59" s="139" t="str">
        <f>IF(A59&lt;&gt;0,SUM('1.PUNTOS-PROD'!AP59:BK59),"")</f>
        <v/>
      </c>
    </row>
    <row r="60" spans="1:4" x14ac:dyDescent="0.25">
      <c r="A60">
        <f>'0.Consolidado general'!$A61</f>
        <v>0</v>
      </c>
      <c r="B60" s="139" t="str">
        <f>IF(A60&lt;&gt;0,SUM('1.PUNTOS-PROD'!B60:U60),"")</f>
        <v/>
      </c>
      <c r="C60" s="139" t="str">
        <f>IF(A60&lt;&gt;0,SUM('1.PUNTOS-PROD'!V60:AO60),"")</f>
        <v/>
      </c>
      <c r="D60" s="139" t="str">
        <f>IF(A60&lt;&gt;0,SUM('1.PUNTOS-PROD'!AP60:BK60),"")</f>
        <v/>
      </c>
    </row>
    <row r="61" spans="1:4" x14ac:dyDescent="0.25">
      <c r="A61">
        <f>'0.Consolidado general'!$A62</f>
        <v>0</v>
      </c>
      <c r="B61" s="139" t="str">
        <f>IF(A61&lt;&gt;0,SUM('1.PUNTOS-PROD'!B61:U61),"")</f>
        <v/>
      </c>
      <c r="C61" s="139" t="str">
        <f>IF(A61&lt;&gt;0,SUM('1.PUNTOS-PROD'!V61:AO61),"")</f>
        <v/>
      </c>
      <c r="D61" s="139" t="str">
        <f>IF(A61&lt;&gt;0,SUM('1.PUNTOS-PROD'!AP61:BK61),"")</f>
        <v/>
      </c>
    </row>
    <row r="62" spans="1:4" x14ac:dyDescent="0.25">
      <c r="A62">
        <f>'0.Consolidado general'!$A63</f>
        <v>0</v>
      </c>
      <c r="B62" s="139" t="str">
        <f>IF(A62&lt;&gt;0,SUM('1.PUNTOS-PROD'!B62:U62),"")</f>
        <v/>
      </c>
      <c r="C62" s="139" t="str">
        <f>IF(A62&lt;&gt;0,SUM('1.PUNTOS-PROD'!V62:AO62),"")</f>
        <v/>
      </c>
      <c r="D62" s="139" t="str">
        <f>IF(A62&lt;&gt;0,SUM('1.PUNTOS-PROD'!AP62:BK62),"")</f>
        <v/>
      </c>
    </row>
    <row r="63" spans="1:4" x14ac:dyDescent="0.25">
      <c r="A63">
        <f>'0.Consolidado general'!$A64</f>
        <v>0</v>
      </c>
      <c r="B63" s="139" t="str">
        <f>IF(A63&lt;&gt;0,SUM('1.PUNTOS-PROD'!B63:U63),"")</f>
        <v/>
      </c>
      <c r="C63" s="139" t="str">
        <f>IF(A63&lt;&gt;0,SUM('1.PUNTOS-PROD'!V63:AO63),"")</f>
        <v/>
      </c>
      <c r="D63" s="139" t="str">
        <f>IF(A63&lt;&gt;0,SUM('1.PUNTOS-PROD'!AP63:BK63),"")</f>
        <v/>
      </c>
    </row>
    <row r="64" spans="1:4" x14ac:dyDescent="0.25">
      <c r="A64">
        <f>'0.Consolidado general'!$A65</f>
        <v>0</v>
      </c>
      <c r="B64" s="139" t="str">
        <f>IF(A64&lt;&gt;0,SUM('1.PUNTOS-PROD'!B64:U64),"")</f>
        <v/>
      </c>
      <c r="C64" s="139" t="str">
        <f>IF(A64&lt;&gt;0,SUM('1.PUNTOS-PROD'!V64:AO64),"")</f>
        <v/>
      </c>
      <c r="D64" s="139" t="str">
        <f>IF(A64&lt;&gt;0,SUM('1.PUNTOS-PROD'!AP64:BK64),"")</f>
        <v/>
      </c>
    </row>
    <row r="65" spans="1:4" x14ac:dyDescent="0.25">
      <c r="A65">
        <f>'0.Consolidado general'!$A66</f>
        <v>0</v>
      </c>
      <c r="B65" s="139" t="str">
        <f>IF(A65&lt;&gt;0,SUM('1.PUNTOS-PROD'!B65:U65),"")</f>
        <v/>
      </c>
      <c r="C65" s="139" t="str">
        <f>IF(A65&lt;&gt;0,SUM('1.PUNTOS-PROD'!V65:AO65),"")</f>
        <v/>
      </c>
      <c r="D65" s="139" t="str">
        <f>IF(A65&lt;&gt;0,SUM('1.PUNTOS-PROD'!AP65:BK65),"")</f>
        <v/>
      </c>
    </row>
    <row r="66" spans="1:4" x14ac:dyDescent="0.25">
      <c r="A66">
        <f>'0.Consolidado general'!$A67</f>
        <v>0</v>
      </c>
      <c r="B66" s="139" t="str">
        <f>IF(A66&lt;&gt;0,SUM('1.PUNTOS-PROD'!B66:U66),"")</f>
        <v/>
      </c>
      <c r="C66" s="139" t="str">
        <f>IF(A66&lt;&gt;0,SUM('1.PUNTOS-PROD'!V66:AO66),"")</f>
        <v/>
      </c>
      <c r="D66" s="139" t="str">
        <f>IF(A66&lt;&gt;0,SUM('1.PUNTOS-PROD'!AP66:BK66),"")</f>
        <v/>
      </c>
    </row>
    <row r="67" spans="1:4" x14ac:dyDescent="0.25">
      <c r="A67">
        <f>'0.Consolidado general'!$A68</f>
        <v>0</v>
      </c>
      <c r="B67" s="139" t="str">
        <f>IF(A67&lt;&gt;0,SUM('1.PUNTOS-PROD'!B67:U67),"")</f>
        <v/>
      </c>
      <c r="C67" s="139" t="str">
        <f>IF(A67&lt;&gt;0,SUM('1.PUNTOS-PROD'!V67:AO67),"")</f>
        <v/>
      </c>
      <c r="D67" s="139" t="str">
        <f>IF(A67&lt;&gt;0,SUM('1.PUNTOS-PROD'!AP67:BK67),"")</f>
        <v/>
      </c>
    </row>
    <row r="68" spans="1:4" x14ac:dyDescent="0.25">
      <c r="A68">
        <f>'0.Consolidado general'!$A69</f>
        <v>0</v>
      </c>
      <c r="B68" s="139" t="str">
        <f>IF(A68&lt;&gt;0,SUM('1.PUNTOS-PROD'!B68:U68),"")</f>
        <v/>
      </c>
      <c r="C68" s="139" t="str">
        <f>IF(A68&lt;&gt;0,SUM('1.PUNTOS-PROD'!V68:AO68),"")</f>
        <v/>
      </c>
      <c r="D68" s="139" t="str">
        <f>IF(A68&lt;&gt;0,SUM('1.PUNTOS-PROD'!AP68:BK68),"")</f>
        <v/>
      </c>
    </row>
    <row r="69" spans="1:4" x14ac:dyDescent="0.25">
      <c r="A69">
        <f>'0.Consolidado general'!$A70</f>
        <v>0</v>
      </c>
      <c r="B69" s="139" t="str">
        <f>IF(A69&lt;&gt;0,SUM('1.PUNTOS-PROD'!B69:U69),"")</f>
        <v/>
      </c>
      <c r="C69" s="139" t="str">
        <f>IF(A69&lt;&gt;0,SUM('1.PUNTOS-PROD'!V69:AO69),"")</f>
        <v/>
      </c>
      <c r="D69" s="139" t="str">
        <f>IF(A69&lt;&gt;0,SUM('1.PUNTOS-PROD'!AP69:BK69),"")</f>
        <v/>
      </c>
    </row>
    <row r="70" spans="1:4" x14ac:dyDescent="0.25">
      <c r="A70">
        <f>'0.Consolidado general'!$A71</f>
        <v>0</v>
      </c>
      <c r="B70" s="139" t="str">
        <f>IF(A70&lt;&gt;0,SUM('1.PUNTOS-PROD'!B70:U70),"")</f>
        <v/>
      </c>
      <c r="C70" s="139" t="str">
        <f>IF(A70&lt;&gt;0,SUM('1.PUNTOS-PROD'!V70:AO70),"")</f>
        <v/>
      </c>
      <c r="D70" s="139" t="str">
        <f>IF(A70&lt;&gt;0,SUM('1.PUNTOS-PROD'!AP70:BK70),"")</f>
        <v/>
      </c>
    </row>
    <row r="71" spans="1:4" x14ac:dyDescent="0.25">
      <c r="A71">
        <f>'0.Consolidado general'!$A72</f>
        <v>0</v>
      </c>
      <c r="B71" s="139" t="str">
        <f>IF(A71&lt;&gt;0,SUM('1.PUNTOS-PROD'!B71:U71),"")</f>
        <v/>
      </c>
      <c r="C71" s="139" t="str">
        <f>IF(A71&lt;&gt;0,SUM('1.PUNTOS-PROD'!V71:AO71),"")</f>
        <v/>
      </c>
      <c r="D71" s="139" t="str">
        <f>IF(A71&lt;&gt;0,SUM('1.PUNTOS-PROD'!AP71:BK71),"")</f>
        <v/>
      </c>
    </row>
    <row r="72" spans="1:4" x14ac:dyDescent="0.25">
      <c r="A72">
        <f>'0.Consolidado general'!$A73</f>
        <v>0</v>
      </c>
      <c r="B72" s="139" t="str">
        <f>IF(A72&lt;&gt;0,SUM('1.PUNTOS-PROD'!B72:U72),"")</f>
        <v/>
      </c>
      <c r="C72" s="139" t="str">
        <f>IF(A72&lt;&gt;0,SUM('1.PUNTOS-PROD'!V72:AO72),"")</f>
        <v/>
      </c>
      <c r="D72" s="139" t="str">
        <f>IF(A72&lt;&gt;0,SUM('1.PUNTOS-PROD'!AP72:BK72),"")</f>
        <v/>
      </c>
    </row>
    <row r="73" spans="1:4" x14ac:dyDescent="0.25">
      <c r="A73">
        <f>'0.Consolidado general'!$A74</f>
        <v>0</v>
      </c>
      <c r="B73" s="139" t="str">
        <f>IF(A73&lt;&gt;0,SUM('1.PUNTOS-PROD'!B73:U73),"")</f>
        <v/>
      </c>
      <c r="C73" s="139" t="str">
        <f>IF(A73&lt;&gt;0,SUM('1.PUNTOS-PROD'!V73:AO73),"")</f>
        <v/>
      </c>
      <c r="D73" s="139" t="str">
        <f>IF(A73&lt;&gt;0,SUM('1.PUNTOS-PROD'!AP73:BK73),"")</f>
        <v/>
      </c>
    </row>
    <row r="74" spans="1:4" x14ac:dyDescent="0.25">
      <c r="A74">
        <f>'0.Consolidado general'!$A75</f>
        <v>0</v>
      </c>
      <c r="B74" s="139" t="str">
        <f>IF(A74&lt;&gt;0,SUM('1.PUNTOS-PROD'!B74:U74),"")</f>
        <v/>
      </c>
      <c r="C74" s="139" t="str">
        <f>IF(A74&lt;&gt;0,SUM('1.PUNTOS-PROD'!V74:AO74),"")</f>
        <v/>
      </c>
      <c r="D74" s="139" t="str">
        <f>IF(A74&lt;&gt;0,SUM('1.PUNTOS-PROD'!AP74:BK74),"")</f>
        <v/>
      </c>
    </row>
    <row r="75" spans="1:4" x14ac:dyDescent="0.25">
      <c r="A75">
        <f>'0.Consolidado general'!$A76</f>
        <v>0</v>
      </c>
      <c r="B75" s="139" t="str">
        <f>IF(A75&lt;&gt;0,SUM('1.PUNTOS-PROD'!B75:U75),"")</f>
        <v/>
      </c>
      <c r="C75" s="139" t="str">
        <f>IF(A75&lt;&gt;0,SUM('1.PUNTOS-PROD'!V75:AO75),"")</f>
        <v/>
      </c>
      <c r="D75" s="139" t="str">
        <f>IF(A75&lt;&gt;0,SUM('1.PUNTOS-PROD'!AP75:BK75),"")</f>
        <v/>
      </c>
    </row>
    <row r="76" spans="1:4" x14ac:dyDescent="0.25">
      <c r="A76">
        <f>'0.Consolidado general'!$A77</f>
        <v>0</v>
      </c>
      <c r="B76" s="139" t="str">
        <f>IF(A76&lt;&gt;0,SUM('1.PUNTOS-PROD'!B76:U76),"")</f>
        <v/>
      </c>
      <c r="C76" s="139" t="str">
        <f>IF(A76&lt;&gt;0,SUM('1.PUNTOS-PROD'!V76:AO76),"")</f>
        <v/>
      </c>
      <c r="D76" s="139" t="str">
        <f>IF(A76&lt;&gt;0,SUM('1.PUNTOS-PROD'!AP76:BK76),"")</f>
        <v/>
      </c>
    </row>
    <row r="77" spans="1:4" x14ac:dyDescent="0.25">
      <c r="A77">
        <f>'0.Consolidado general'!$A78</f>
        <v>0</v>
      </c>
      <c r="B77" s="139" t="str">
        <f>IF(A77&lt;&gt;0,SUM('1.PUNTOS-PROD'!B77:U77),"")</f>
        <v/>
      </c>
      <c r="C77" s="139" t="str">
        <f>IF(A77&lt;&gt;0,SUM('1.PUNTOS-PROD'!V77:AO77),"")</f>
        <v/>
      </c>
      <c r="D77" s="139" t="str">
        <f>IF(A77&lt;&gt;0,SUM('1.PUNTOS-PROD'!AP77:BK77),"")</f>
        <v/>
      </c>
    </row>
    <row r="78" spans="1:4" x14ac:dyDescent="0.25">
      <c r="A78">
        <f>'0.Consolidado general'!$A79</f>
        <v>0</v>
      </c>
      <c r="B78" s="139" t="str">
        <f>IF(A78&lt;&gt;0,SUM('1.PUNTOS-PROD'!B78:U78),"")</f>
        <v/>
      </c>
      <c r="C78" s="139" t="str">
        <f>IF(A78&lt;&gt;0,SUM('1.PUNTOS-PROD'!V78:AO78),"")</f>
        <v/>
      </c>
      <c r="D78" s="139" t="str">
        <f>IF(A78&lt;&gt;0,SUM('1.PUNTOS-PROD'!AP78:BK78),"")</f>
        <v/>
      </c>
    </row>
    <row r="79" spans="1:4" x14ac:dyDescent="0.25">
      <c r="A79">
        <f>'0.Consolidado general'!$A80</f>
        <v>0</v>
      </c>
      <c r="B79" s="139" t="str">
        <f>IF(A79&lt;&gt;0,SUM('1.PUNTOS-PROD'!B79:U79),"")</f>
        <v/>
      </c>
      <c r="C79" s="139" t="str">
        <f>IF(A79&lt;&gt;0,SUM('1.PUNTOS-PROD'!V79:AO79),"")</f>
        <v/>
      </c>
      <c r="D79" s="139" t="str">
        <f>IF(A79&lt;&gt;0,SUM('1.PUNTOS-PROD'!AP79:BK79),"")</f>
        <v/>
      </c>
    </row>
    <row r="80" spans="1:4" x14ac:dyDescent="0.25">
      <c r="A80">
        <f>'0.Consolidado general'!$A81</f>
        <v>0</v>
      </c>
      <c r="B80" s="139" t="str">
        <f>IF(A80&lt;&gt;0,SUM('1.PUNTOS-PROD'!B80:U80),"")</f>
        <v/>
      </c>
      <c r="C80" s="139" t="str">
        <f>IF(A80&lt;&gt;0,SUM('1.PUNTOS-PROD'!V80:AO80),"")</f>
        <v/>
      </c>
      <c r="D80" s="139" t="str">
        <f>IF(A80&lt;&gt;0,SUM('1.PUNTOS-PROD'!AP80:BK80),"")</f>
        <v/>
      </c>
    </row>
    <row r="81" spans="1:4" x14ac:dyDescent="0.25">
      <c r="A81">
        <f>'0.Consolidado general'!$A82</f>
        <v>0</v>
      </c>
      <c r="B81" s="139" t="str">
        <f>IF(A81&lt;&gt;0,SUM('1.PUNTOS-PROD'!B81:U81),"")</f>
        <v/>
      </c>
      <c r="C81" s="139" t="str">
        <f>IF(A81&lt;&gt;0,SUM('1.PUNTOS-PROD'!V81:AO81),"")</f>
        <v/>
      </c>
      <c r="D81" s="139" t="str">
        <f>IF(A81&lt;&gt;0,SUM('1.PUNTOS-PROD'!AP81:BK81),"")</f>
        <v/>
      </c>
    </row>
    <row r="82" spans="1:4" x14ac:dyDescent="0.25">
      <c r="A82">
        <f>'0.Consolidado general'!$A83</f>
        <v>0</v>
      </c>
      <c r="B82" s="139" t="str">
        <f>IF(A82&lt;&gt;0,SUM('1.PUNTOS-PROD'!B82:U82),"")</f>
        <v/>
      </c>
      <c r="C82" s="139" t="str">
        <f>IF(A82&lt;&gt;0,SUM('1.PUNTOS-PROD'!V82:AO82),"")</f>
        <v/>
      </c>
      <c r="D82" s="139" t="str">
        <f>IF(A82&lt;&gt;0,SUM('1.PUNTOS-PROD'!AP82:BK82),"")</f>
        <v/>
      </c>
    </row>
    <row r="83" spans="1:4" x14ac:dyDescent="0.25">
      <c r="A83">
        <f>'0.Consolidado general'!$A84</f>
        <v>0</v>
      </c>
      <c r="B83" s="139" t="str">
        <f>IF(A83&lt;&gt;0,SUM('1.PUNTOS-PROD'!B83:U83),"")</f>
        <v/>
      </c>
      <c r="C83" s="139" t="str">
        <f>IF(A83&lt;&gt;0,SUM('1.PUNTOS-PROD'!V83:AO83),"")</f>
        <v/>
      </c>
      <c r="D83" s="139" t="str">
        <f>IF(A83&lt;&gt;0,SUM('1.PUNTOS-PROD'!AP83:BK83),"")</f>
        <v/>
      </c>
    </row>
    <row r="84" spans="1:4" x14ac:dyDescent="0.25">
      <c r="A84">
        <f>'0.Consolidado general'!$A85</f>
        <v>0</v>
      </c>
      <c r="B84" s="139" t="str">
        <f>IF(A84&lt;&gt;0,SUM('1.PUNTOS-PROD'!B84:U84),"")</f>
        <v/>
      </c>
      <c r="C84" s="139" t="str">
        <f>IF(A84&lt;&gt;0,SUM('1.PUNTOS-PROD'!V84:AO84),"")</f>
        <v/>
      </c>
      <c r="D84" s="139" t="str">
        <f>IF(A84&lt;&gt;0,SUM('1.PUNTOS-PROD'!AP84:BK84),"")</f>
        <v/>
      </c>
    </row>
    <row r="85" spans="1:4" x14ac:dyDescent="0.25">
      <c r="A85">
        <f>'0.Consolidado general'!$A86</f>
        <v>0</v>
      </c>
      <c r="B85" s="139" t="str">
        <f>IF(A85&lt;&gt;0,SUM('1.PUNTOS-PROD'!B85:U85),"")</f>
        <v/>
      </c>
      <c r="C85" s="139" t="str">
        <f>IF(A85&lt;&gt;0,SUM('1.PUNTOS-PROD'!V85:AO85),"")</f>
        <v/>
      </c>
      <c r="D85" s="139" t="str">
        <f>IF(A85&lt;&gt;0,SUM('1.PUNTOS-PROD'!AP85:BK85),"")</f>
        <v/>
      </c>
    </row>
    <row r="86" spans="1:4" x14ac:dyDescent="0.25">
      <c r="A86">
        <f>'0.Consolidado general'!$A87</f>
        <v>0</v>
      </c>
      <c r="B86" s="139" t="str">
        <f>IF(A86&lt;&gt;0,SUM('1.PUNTOS-PROD'!B86:U86),"")</f>
        <v/>
      </c>
      <c r="C86" s="139" t="str">
        <f>IF(A86&lt;&gt;0,SUM('1.PUNTOS-PROD'!V86:AO86),"")</f>
        <v/>
      </c>
      <c r="D86" s="139" t="str">
        <f>IF(A86&lt;&gt;0,SUM('1.PUNTOS-PROD'!AP86:BK86),"")</f>
        <v/>
      </c>
    </row>
    <row r="87" spans="1:4" x14ac:dyDescent="0.25">
      <c r="A87">
        <f>'0.Consolidado general'!$A88</f>
        <v>0</v>
      </c>
      <c r="B87" s="139" t="str">
        <f>IF(A87&lt;&gt;0,SUM('1.PUNTOS-PROD'!B87:U87),"")</f>
        <v/>
      </c>
      <c r="C87" s="139" t="str">
        <f>IF(A87&lt;&gt;0,SUM('1.PUNTOS-PROD'!V87:AO87),"")</f>
        <v/>
      </c>
      <c r="D87" s="139" t="str">
        <f>IF(A87&lt;&gt;0,SUM('1.PUNTOS-PROD'!AP87:BK87),"")</f>
        <v/>
      </c>
    </row>
    <row r="88" spans="1:4" x14ac:dyDescent="0.25">
      <c r="A88">
        <f>'0.Consolidado general'!$A89</f>
        <v>0</v>
      </c>
      <c r="B88" s="139" t="str">
        <f>IF(A88&lt;&gt;0,SUM('1.PUNTOS-PROD'!B88:U88),"")</f>
        <v/>
      </c>
      <c r="C88" s="139" t="str">
        <f>IF(A88&lt;&gt;0,SUM('1.PUNTOS-PROD'!V88:AO88),"")</f>
        <v/>
      </c>
      <c r="D88" s="139" t="str">
        <f>IF(A88&lt;&gt;0,SUM('1.PUNTOS-PROD'!AP88:BK88),"")</f>
        <v/>
      </c>
    </row>
    <row r="89" spans="1:4" x14ac:dyDescent="0.25">
      <c r="A89">
        <f>'0.Consolidado general'!$A90</f>
        <v>0</v>
      </c>
      <c r="B89" s="139" t="str">
        <f>IF(A89&lt;&gt;0,SUM('1.PUNTOS-PROD'!B89:U89),"")</f>
        <v/>
      </c>
      <c r="C89" s="139" t="str">
        <f>IF(A89&lt;&gt;0,SUM('1.PUNTOS-PROD'!V89:AO89),"")</f>
        <v/>
      </c>
      <c r="D89" s="139" t="str">
        <f>IF(A89&lt;&gt;0,SUM('1.PUNTOS-PROD'!AP89:BK89),"")</f>
        <v/>
      </c>
    </row>
    <row r="90" spans="1:4" x14ac:dyDescent="0.25">
      <c r="A90">
        <f>'0.Consolidado general'!$A91</f>
        <v>0</v>
      </c>
      <c r="B90" s="139" t="str">
        <f>IF(A90&lt;&gt;0,SUM('1.PUNTOS-PROD'!B90:U90),"")</f>
        <v/>
      </c>
      <c r="C90" s="139" t="str">
        <f>IF(A90&lt;&gt;0,SUM('1.PUNTOS-PROD'!V90:AO90),"")</f>
        <v/>
      </c>
      <c r="D90" s="139" t="str">
        <f>IF(A90&lt;&gt;0,SUM('1.PUNTOS-PROD'!AP90:BK90),"")</f>
        <v/>
      </c>
    </row>
    <row r="91" spans="1:4" x14ac:dyDescent="0.25">
      <c r="A91">
        <f>'0.Consolidado general'!$A92</f>
        <v>0</v>
      </c>
      <c r="B91" s="139" t="str">
        <f>IF(A91&lt;&gt;0,SUM('1.PUNTOS-PROD'!B91:U91),"")</f>
        <v/>
      </c>
      <c r="C91" s="139" t="str">
        <f>IF(A91&lt;&gt;0,SUM('1.PUNTOS-PROD'!V91:AO91),"")</f>
        <v/>
      </c>
      <c r="D91" s="139" t="str">
        <f>IF(A91&lt;&gt;0,SUM('1.PUNTOS-PROD'!AP91:BK91),"")</f>
        <v/>
      </c>
    </row>
    <row r="92" spans="1:4" x14ac:dyDescent="0.25">
      <c r="A92">
        <f>'0.Consolidado general'!$A93</f>
        <v>0</v>
      </c>
      <c r="B92" s="139" t="str">
        <f>IF(A92&lt;&gt;0,SUM('1.PUNTOS-PROD'!B92:U92),"")</f>
        <v/>
      </c>
      <c r="C92" s="139" t="str">
        <f>IF(A92&lt;&gt;0,SUM('1.PUNTOS-PROD'!V92:AO92),"")</f>
        <v/>
      </c>
      <c r="D92" s="139" t="str">
        <f>IF(A92&lt;&gt;0,SUM('1.PUNTOS-PROD'!AP92:BK92),"")</f>
        <v/>
      </c>
    </row>
    <row r="93" spans="1:4" x14ac:dyDescent="0.25">
      <c r="A93">
        <f>'0.Consolidado general'!$A94</f>
        <v>0</v>
      </c>
      <c r="B93" s="139" t="str">
        <f>IF(A93&lt;&gt;0,SUM('1.PUNTOS-PROD'!B93:U93),"")</f>
        <v/>
      </c>
      <c r="C93" s="139" t="str">
        <f>IF(A93&lt;&gt;0,SUM('1.PUNTOS-PROD'!V93:AO93),"")</f>
        <v/>
      </c>
      <c r="D93" s="139" t="str">
        <f>IF(A93&lt;&gt;0,SUM('1.PUNTOS-PROD'!AP93:BK93),"")</f>
        <v/>
      </c>
    </row>
    <row r="94" spans="1:4" x14ac:dyDescent="0.25">
      <c r="A94">
        <f>'0.Consolidado general'!$A95</f>
        <v>0</v>
      </c>
      <c r="B94" s="139" t="str">
        <f>IF(A94&lt;&gt;0,SUM('1.PUNTOS-PROD'!B94:U94),"")</f>
        <v/>
      </c>
      <c r="C94" s="139" t="str">
        <f>IF(A94&lt;&gt;0,SUM('1.PUNTOS-PROD'!V94:AO94),"")</f>
        <v/>
      </c>
      <c r="D94" s="139" t="str">
        <f>IF(A94&lt;&gt;0,SUM('1.PUNTOS-PROD'!AP94:BK94),"")</f>
        <v/>
      </c>
    </row>
    <row r="95" spans="1:4" x14ac:dyDescent="0.25">
      <c r="A95">
        <f>'0.Consolidado general'!$A96</f>
        <v>0</v>
      </c>
      <c r="B95" s="139" t="str">
        <f>IF(A95&lt;&gt;0,SUM('1.PUNTOS-PROD'!B95:U95),"")</f>
        <v/>
      </c>
      <c r="C95" s="139" t="str">
        <f>IF(A95&lt;&gt;0,SUM('1.PUNTOS-PROD'!V95:AO95),"")</f>
        <v/>
      </c>
      <c r="D95" s="139" t="str">
        <f>IF(A95&lt;&gt;0,SUM('1.PUNTOS-PROD'!AP95:BK95),"")</f>
        <v/>
      </c>
    </row>
    <row r="96" spans="1:4" x14ac:dyDescent="0.25">
      <c r="A96">
        <f>'0.Consolidado general'!$A97</f>
        <v>0</v>
      </c>
      <c r="B96" s="139" t="str">
        <f>IF(A96&lt;&gt;0,SUM('1.PUNTOS-PROD'!B96:U96),"")</f>
        <v/>
      </c>
      <c r="C96" s="139" t="str">
        <f>IF(A96&lt;&gt;0,SUM('1.PUNTOS-PROD'!V96:AO96),"")</f>
        <v/>
      </c>
      <c r="D96" s="139" t="str">
        <f>IF(A96&lt;&gt;0,SUM('1.PUNTOS-PROD'!AP96:BK96),"")</f>
        <v/>
      </c>
    </row>
    <row r="97" spans="1:4" x14ac:dyDescent="0.25">
      <c r="A97">
        <f>'0.Consolidado general'!$A98</f>
        <v>0</v>
      </c>
      <c r="B97" s="139" t="str">
        <f>IF(A97&lt;&gt;0,SUM('1.PUNTOS-PROD'!B97:U97),"")</f>
        <v/>
      </c>
      <c r="C97" s="139" t="str">
        <f>IF(A97&lt;&gt;0,SUM('1.PUNTOS-PROD'!V97:AO97),"")</f>
        <v/>
      </c>
      <c r="D97" s="139" t="str">
        <f>IF(A97&lt;&gt;0,SUM('1.PUNTOS-PROD'!AP97:BK97),"")</f>
        <v/>
      </c>
    </row>
    <row r="98" spans="1:4" x14ac:dyDescent="0.25">
      <c r="A98">
        <f>'0.Consolidado general'!$A99</f>
        <v>0</v>
      </c>
      <c r="B98" s="139" t="str">
        <f>IF(A98&lt;&gt;0,SUM('1.PUNTOS-PROD'!B98:U98),"")</f>
        <v/>
      </c>
      <c r="C98" s="139" t="str">
        <f>IF(A98&lt;&gt;0,SUM('1.PUNTOS-PROD'!V98:AO98),"")</f>
        <v/>
      </c>
      <c r="D98" s="139" t="str">
        <f>IF(A98&lt;&gt;0,SUM('1.PUNTOS-PROD'!AP98:BK98),"")</f>
        <v/>
      </c>
    </row>
    <row r="99" spans="1:4" x14ac:dyDescent="0.25">
      <c r="A99">
        <f>'0.Consolidado general'!$A100</f>
        <v>0</v>
      </c>
      <c r="B99" s="139" t="str">
        <f>IF(A99&lt;&gt;0,SUM('1.PUNTOS-PROD'!B99:U99),"")</f>
        <v/>
      </c>
      <c r="C99" s="139" t="str">
        <f>IF(A99&lt;&gt;0,SUM('1.PUNTOS-PROD'!V99:AO99),"")</f>
        <v/>
      </c>
      <c r="D99" s="139" t="str">
        <f>IF(A99&lt;&gt;0,SUM('1.PUNTOS-PROD'!AP99:BK99),"")</f>
        <v/>
      </c>
    </row>
    <row r="100" spans="1:4" x14ac:dyDescent="0.25">
      <c r="A100">
        <f>'0.Consolidado general'!$A101</f>
        <v>0</v>
      </c>
      <c r="B100" s="139" t="str">
        <f>IF(A100&lt;&gt;0,SUM('1.PUNTOS-PROD'!B100:U100),"")</f>
        <v/>
      </c>
      <c r="C100" s="139" t="str">
        <f>IF(A100&lt;&gt;0,SUM('1.PUNTOS-PROD'!V100:AO100),"")</f>
        <v/>
      </c>
      <c r="D100" s="139" t="str">
        <f>IF(A100&lt;&gt;0,SUM('1.PUNTOS-PROD'!AP100:BK100),"")</f>
        <v/>
      </c>
    </row>
    <row r="101" spans="1:4" x14ac:dyDescent="0.25">
      <c r="A101">
        <f>'0.Consolidado general'!$A102</f>
        <v>0</v>
      </c>
      <c r="B101" s="139" t="str">
        <f>IF(A101&lt;&gt;0,SUM('1.PUNTOS-PROD'!B101:U101),"")</f>
        <v/>
      </c>
      <c r="C101" s="139" t="str">
        <f>IF(A101&lt;&gt;0,SUM('1.PUNTOS-PROD'!V101:AO101),"")</f>
        <v/>
      </c>
      <c r="D101" s="139" t="str">
        <f>IF(A101&lt;&gt;0,SUM('1.PUNTOS-PROD'!AP101:BK101),"")</f>
        <v/>
      </c>
    </row>
    <row r="102" spans="1:4" x14ac:dyDescent="0.25">
      <c r="A102">
        <f>'0.Consolidado general'!$A103</f>
        <v>0</v>
      </c>
      <c r="B102" s="139" t="str">
        <f>IF(A102&lt;&gt;0,SUM('1.PUNTOS-PROD'!B102:U102),"")</f>
        <v/>
      </c>
      <c r="C102" s="139" t="str">
        <f>IF(A102&lt;&gt;0,SUM('1.PUNTOS-PROD'!V102:AO102),"")</f>
        <v/>
      </c>
      <c r="D102" s="139" t="str">
        <f>IF(A102&lt;&gt;0,SUM('1.PUNTOS-PROD'!AP102:BK102),"")</f>
        <v/>
      </c>
    </row>
    <row r="103" spans="1:4" x14ac:dyDescent="0.25">
      <c r="A103">
        <f>'0.Consolidado general'!$A104</f>
        <v>0</v>
      </c>
      <c r="B103" s="139" t="str">
        <f>IF(A103&lt;&gt;0,SUM('1.PUNTOS-PROD'!B103:U103),"")</f>
        <v/>
      </c>
      <c r="C103" s="139" t="str">
        <f>IF(A103&lt;&gt;0,SUM('1.PUNTOS-PROD'!V103:AO103),"")</f>
        <v/>
      </c>
      <c r="D103" s="139" t="str">
        <f>IF(A103&lt;&gt;0,SUM('1.PUNTOS-PROD'!AP103:BK103),"")</f>
        <v/>
      </c>
    </row>
    <row r="104" spans="1:4" x14ac:dyDescent="0.25">
      <c r="A104">
        <f>'0.Consolidado general'!$A105</f>
        <v>0</v>
      </c>
      <c r="B104" s="139" t="str">
        <f>IF(A104&lt;&gt;0,SUM('1.PUNTOS-PROD'!B104:U104),"")</f>
        <v/>
      </c>
      <c r="C104" s="139" t="str">
        <f>IF(A104&lt;&gt;0,SUM('1.PUNTOS-PROD'!V104:AO104),"")</f>
        <v/>
      </c>
      <c r="D104" s="139" t="str">
        <f>IF(A104&lt;&gt;0,SUM('1.PUNTOS-PROD'!AP104:BK104),"")</f>
        <v/>
      </c>
    </row>
    <row r="105" spans="1:4" x14ac:dyDescent="0.25">
      <c r="A105">
        <f>'0.Consolidado general'!$A106</f>
        <v>0</v>
      </c>
      <c r="B105" s="139" t="str">
        <f>IF(A105&lt;&gt;0,SUM('1.PUNTOS-PROD'!B105:U105),"")</f>
        <v/>
      </c>
      <c r="C105" s="139" t="str">
        <f>IF(A105&lt;&gt;0,SUM('1.PUNTOS-PROD'!V105:AO105),"")</f>
        <v/>
      </c>
      <c r="D105" s="139" t="str">
        <f>IF(A105&lt;&gt;0,SUM('1.PUNTOS-PROD'!AP105:BK105),"")</f>
        <v/>
      </c>
    </row>
    <row r="106" spans="1:4" x14ac:dyDescent="0.25">
      <c r="A106">
        <f>'0.Consolidado general'!$A107</f>
        <v>0</v>
      </c>
      <c r="B106" s="139" t="str">
        <f>IF(A106&lt;&gt;0,SUM('1.PUNTOS-PROD'!B106:U106),"")</f>
        <v/>
      </c>
      <c r="C106" s="139" t="str">
        <f>IF(A106&lt;&gt;0,SUM('1.PUNTOS-PROD'!V106:AO106),"")</f>
        <v/>
      </c>
      <c r="D106" s="139" t="str">
        <f>IF(A106&lt;&gt;0,SUM('1.PUNTOS-PROD'!AP106:BK106),"")</f>
        <v/>
      </c>
    </row>
    <row r="107" spans="1:4" x14ac:dyDescent="0.25">
      <c r="A107">
        <f>'0.Consolidado general'!$A108</f>
        <v>0</v>
      </c>
      <c r="B107" s="139" t="str">
        <f>IF(A107&lt;&gt;0,SUM('1.PUNTOS-PROD'!B107:U107),"")</f>
        <v/>
      </c>
      <c r="C107" s="139" t="str">
        <f>IF(A107&lt;&gt;0,SUM('1.PUNTOS-PROD'!V107:AO107),"")</f>
        <v/>
      </c>
      <c r="D107" s="139" t="str">
        <f>IF(A107&lt;&gt;0,SUM('1.PUNTOS-PROD'!AP107:BK107),"")</f>
        <v/>
      </c>
    </row>
    <row r="108" spans="1:4" x14ac:dyDescent="0.25">
      <c r="A108">
        <f>'0.Consolidado general'!$A109</f>
        <v>0</v>
      </c>
      <c r="B108" s="139" t="str">
        <f>IF(A108&lt;&gt;0,SUM('1.PUNTOS-PROD'!B108:U108),"")</f>
        <v/>
      </c>
      <c r="C108" s="139" t="str">
        <f>IF(A108&lt;&gt;0,SUM('1.PUNTOS-PROD'!V108:AO108),"")</f>
        <v/>
      </c>
      <c r="D108" s="139" t="str">
        <f>IF(A108&lt;&gt;0,SUM('1.PUNTOS-PROD'!AP108:BK108),"")</f>
        <v/>
      </c>
    </row>
    <row r="109" spans="1:4" x14ac:dyDescent="0.25">
      <c r="A109">
        <f>'0.Consolidado general'!$A110</f>
        <v>0</v>
      </c>
      <c r="B109" s="139" t="str">
        <f>IF(A109&lt;&gt;0,SUM('1.PUNTOS-PROD'!B109:U109),"")</f>
        <v/>
      </c>
      <c r="C109" s="139" t="str">
        <f>IF(A109&lt;&gt;0,SUM('1.PUNTOS-PROD'!V109:AO109),"")</f>
        <v/>
      </c>
      <c r="D109" s="139" t="str">
        <f>IF(A109&lt;&gt;0,SUM('1.PUNTOS-PROD'!AP109:BK109),"")</f>
        <v/>
      </c>
    </row>
    <row r="110" spans="1:4" x14ac:dyDescent="0.25">
      <c r="A110">
        <f>'0.Consolidado general'!$A111</f>
        <v>0</v>
      </c>
      <c r="B110" s="139" t="str">
        <f>IF(A110&lt;&gt;0,SUM('1.PUNTOS-PROD'!B110:U110),"")</f>
        <v/>
      </c>
      <c r="C110" s="139" t="str">
        <f>IF(A110&lt;&gt;0,SUM('1.PUNTOS-PROD'!V110:AO110),"")</f>
        <v/>
      </c>
      <c r="D110" s="139" t="str">
        <f>IF(A110&lt;&gt;0,SUM('1.PUNTOS-PROD'!AP110:BK110),"")</f>
        <v/>
      </c>
    </row>
    <row r="111" spans="1:4" x14ac:dyDescent="0.25">
      <c r="A111">
        <f>'0.Consolidado general'!$A112</f>
        <v>0</v>
      </c>
      <c r="B111" s="139" t="str">
        <f>IF(A111&lt;&gt;0,SUM('1.PUNTOS-PROD'!B111:U111),"")</f>
        <v/>
      </c>
      <c r="C111" s="139" t="str">
        <f>IF(A111&lt;&gt;0,SUM('1.PUNTOS-PROD'!V111:AO111),"")</f>
        <v/>
      </c>
      <c r="D111" s="139" t="str">
        <f>IF(A111&lt;&gt;0,SUM('1.PUNTOS-PROD'!AP111:BK111),"")</f>
        <v/>
      </c>
    </row>
    <row r="112" spans="1:4" x14ac:dyDescent="0.25">
      <c r="A112">
        <f>'0.Consolidado general'!$A113</f>
        <v>0</v>
      </c>
      <c r="B112" s="139" t="str">
        <f>IF(A112&lt;&gt;0,SUM('1.PUNTOS-PROD'!B112:U112),"")</f>
        <v/>
      </c>
      <c r="C112" s="139" t="str">
        <f>IF(A112&lt;&gt;0,SUM('1.PUNTOS-PROD'!V112:AO112),"")</f>
        <v/>
      </c>
      <c r="D112" s="139" t="str">
        <f>IF(A112&lt;&gt;0,SUM('1.PUNTOS-PROD'!AP112:BK112),"")</f>
        <v/>
      </c>
    </row>
    <row r="113" spans="1:4" x14ac:dyDescent="0.25">
      <c r="A113">
        <f>'0.Consolidado general'!$A114</f>
        <v>0</v>
      </c>
      <c r="B113" s="139" t="str">
        <f>IF(A113&lt;&gt;0,SUM('1.PUNTOS-PROD'!B113:U113),"")</f>
        <v/>
      </c>
      <c r="C113" s="139" t="str">
        <f>IF(A113&lt;&gt;0,SUM('1.PUNTOS-PROD'!V113:AO113),"")</f>
        <v/>
      </c>
      <c r="D113" s="139" t="str">
        <f>IF(A113&lt;&gt;0,SUM('1.PUNTOS-PROD'!AP113:BK113),"")</f>
        <v/>
      </c>
    </row>
    <row r="114" spans="1:4" x14ac:dyDescent="0.25">
      <c r="A114">
        <f>'0.Consolidado general'!$A115</f>
        <v>0</v>
      </c>
      <c r="B114" s="139" t="str">
        <f>IF(A114&lt;&gt;0,SUM('1.PUNTOS-PROD'!B114:U114),"")</f>
        <v/>
      </c>
      <c r="C114" s="139" t="str">
        <f>IF(A114&lt;&gt;0,SUM('1.PUNTOS-PROD'!V114:AO114),"")</f>
        <v/>
      </c>
      <c r="D114" s="139" t="str">
        <f>IF(A114&lt;&gt;0,SUM('1.PUNTOS-PROD'!AP114:BK114),"")</f>
        <v/>
      </c>
    </row>
    <row r="115" spans="1:4" x14ac:dyDescent="0.25">
      <c r="A115">
        <f>'0.Consolidado general'!$A116</f>
        <v>0</v>
      </c>
      <c r="B115" s="139" t="str">
        <f>IF(A115&lt;&gt;0,SUM('1.PUNTOS-PROD'!B115:U115),"")</f>
        <v/>
      </c>
      <c r="C115" s="139" t="str">
        <f>IF(A115&lt;&gt;0,SUM('1.PUNTOS-PROD'!V115:AO115),"")</f>
        <v/>
      </c>
      <c r="D115" s="139" t="str">
        <f>IF(A115&lt;&gt;0,SUM('1.PUNTOS-PROD'!AP115:BK115),"")</f>
        <v/>
      </c>
    </row>
    <row r="116" spans="1:4" x14ac:dyDescent="0.25">
      <c r="A116">
        <f>'0.Consolidado general'!$A117</f>
        <v>0</v>
      </c>
      <c r="B116" s="139" t="str">
        <f>IF(A116&lt;&gt;0,SUM('1.PUNTOS-PROD'!B116:U116),"")</f>
        <v/>
      </c>
      <c r="C116" s="139" t="str">
        <f>IF(A116&lt;&gt;0,SUM('1.PUNTOS-PROD'!V116:AO116),"")</f>
        <v/>
      </c>
      <c r="D116" s="139" t="str">
        <f>IF(A116&lt;&gt;0,SUM('1.PUNTOS-PROD'!AP116:BK116),"")</f>
        <v/>
      </c>
    </row>
    <row r="117" spans="1:4" x14ac:dyDescent="0.25">
      <c r="A117">
        <f>'0.Consolidado general'!$A118</f>
        <v>0</v>
      </c>
      <c r="B117" s="139" t="str">
        <f>IF(A117&lt;&gt;0,SUM('1.PUNTOS-PROD'!B117:U117),"")</f>
        <v/>
      </c>
      <c r="C117" s="139" t="str">
        <f>IF(A117&lt;&gt;0,SUM('1.PUNTOS-PROD'!V117:AO117),"")</f>
        <v/>
      </c>
      <c r="D117" s="139" t="str">
        <f>IF(A117&lt;&gt;0,SUM('1.PUNTOS-PROD'!AP117:BK117),"")</f>
        <v/>
      </c>
    </row>
    <row r="118" spans="1:4" x14ac:dyDescent="0.25">
      <c r="A118">
        <f>'0.Consolidado general'!$A119</f>
        <v>0</v>
      </c>
      <c r="B118" s="139" t="str">
        <f>IF(A118&lt;&gt;0,SUM('1.PUNTOS-PROD'!B118:U118),"")</f>
        <v/>
      </c>
      <c r="C118" s="139" t="str">
        <f>IF(A118&lt;&gt;0,SUM('1.PUNTOS-PROD'!V118:AO118),"")</f>
        <v/>
      </c>
      <c r="D118" s="139" t="str">
        <f>IF(A118&lt;&gt;0,SUM('1.PUNTOS-PROD'!AP118:BK118),"")</f>
        <v/>
      </c>
    </row>
    <row r="119" spans="1:4" x14ac:dyDescent="0.25">
      <c r="A119">
        <f>'0.Consolidado general'!$A120</f>
        <v>0</v>
      </c>
      <c r="B119" s="139" t="str">
        <f>IF(A119&lt;&gt;0,SUM('1.PUNTOS-PROD'!B119:U119),"")</f>
        <v/>
      </c>
      <c r="C119" s="139" t="str">
        <f>IF(A119&lt;&gt;0,SUM('1.PUNTOS-PROD'!V119:AO119),"")</f>
        <v/>
      </c>
      <c r="D119" s="139" t="str">
        <f>IF(A119&lt;&gt;0,SUM('1.PUNTOS-PROD'!AP119:BK119),"")</f>
        <v/>
      </c>
    </row>
    <row r="120" spans="1:4" x14ac:dyDescent="0.25">
      <c r="A120">
        <f>'0.Consolidado general'!$A121</f>
        <v>0</v>
      </c>
      <c r="B120" s="139" t="str">
        <f>IF(A120&lt;&gt;0,SUM('1.PUNTOS-PROD'!B120:U120),"")</f>
        <v/>
      </c>
      <c r="C120" s="139" t="str">
        <f>IF(A120&lt;&gt;0,SUM('1.PUNTOS-PROD'!V120:AO120),"")</f>
        <v/>
      </c>
      <c r="D120" s="139" t="str">
        <f>IF(A120&lt;&gt;0,SUM('1.PUNTOS-PROD'!AP120:BK120),"")</f>
        <v/>
      </c>
    </row>
    <row r="121" spans="1:4" x14ac:dyDescent="0.25">
      <c r="A121">
        <f>'0.Consolidado general'!$A122</f>
        <v>0</v>
      </c>
      <c r="B121" s="139" t="str">
        <f>IF(A121&lt;&gt;0,SUM('1.PUNTOS-PROD'!B121:U121),"")</f>
        <v/>
      </c>
      <c r="C121" s="139" t="str">
        <f>IF(A121&lt;&gt;0,SUM('1.PUNTOS-PROD'!V121:AO121),"")</f>
        <v/>
      </c>
      <c r="D121" s="139" t="str">
        <f>IF(A121&lt;&gt;0,SUM('1.PUNTOS-PROD'!AP121:BK121),"")</f>
        <v/>
      </c>
    </row>
    <row r="122" spans="1:4" x14ac:dyDescent="0.25">
      <c r="A122">
        <f>'0.Consolidado general'!$A123</f>
        <v>0</v>
      </c>
      <c r="B122" s="139" t="str">
        <f>IF(A122&lt;&gt;0,SUM('1.PUNTOS-PROD'!B122:U122),"")</f>
        <v/>
      </c>
      <c r="C122" s="139" t="str">
        <f>IF(A122&lt;&gt;0,SUM('1.PUNTOS-PROD'!V122:AO122),"")</f>
        <v/>
      </c>
      <c r="D122" s="139" t="str">
        <f>IF(A122&lt;&gt;0,SUM('1.PUNTOS-PROD'!AP122:BK122),"")</f>
        <v/>
      </c>
    </row>
    <row r="123" spans="1:4" x14ac:dyDescent="0.25">
      <c r="A123">
        <f>'0.Consolidado general'!$A124</f>
        <v>0</v>
      </c>
      <c r="B123" s="139" t="str">
        <f>IF(A123&lt;&gt;0,SUM('1.PUNTOS-PROD'!B123:U123),"")</f>
        <v/>
      </c>
      <c r="C123" s="139" t="str">
        <f>IF(A123&lt;&gt;0,SUM('1.PUNTOS-PROD'!V123:AO123),"")</f>
        <v/>
      </c>
      <c r="D123" s="139" t="str">
        <f>IF(A123&lt;&gt;0,SUM('1.PUNTOS-PROD'!AP123:BK123),"")</f>
        <v/>
      </c>
    </row>
    <row r="124" spans="1:4" x14ac:dyDescent="0.25">
      <c r="A124">
        <f>'0.Consolidado general'!$A125</f>
        <v>0</v>
      </c>
      <c r="B124" s="139" t="str">
        <f>IF(A124&lt;&gt;0,SUM('1.PUNTOS-PROD'!B124:U124),"")</f>
        <v/>
      </c>
      <c r="C124" s="139" t="str">
        <f>IF(A124&lt;&gt;0,SUM('1.PUNTOS-PROD'!V124:AO124),"")</f>
        <v/>
      </c>
      <c r="D124" s="139" t="str">
        <f>IF(A124&lt;&gt;0,SUM('1.PUNTOS-PROD'!AP124:BK124),"")</f>
        <v/>
      </c>
    </row>
    <row r="125" spans="1:4" x14ac:dyDescent="0.25">
      <c r="A125">
        <f>'0.Consolidado general'!$A126</f>
        <v>0</v>
      </c>
      <c r="B125" s="139" t="str">
        <f>IF(A125&lt;&gt;0,SUM('1.PUNTOS-PROD'!B125:U125),"")</f>
        <v/>
      </c>
      <c r="C125" s="139" t="str">
        <f>IF(A125&lt;&gt;0,SUM('1.PUNTOS-PROD'!V125:AO125),"")</f>
        <v/>
      </c>
      <c r="D125" s="139" t="str">
        <f>IF(A125&lt;&gt;0,SUM('1.PUNTOS-PROD'!AP125:BK125),"")</f>
        <v/>
      </c>
    </row>
    <row r="126" spans="1:4" x14ac:dyDescent="0.25">
      <c r="A126">
        <f>'0.Consolidado general'!$A127</f>
        <v>0</v>
      </c>
      <c r="B126" s="139" t="str">
        <f>IF(A126&lt;&gt;0,SUM('1.PUNTOS-PROD'!B126:U126),"")</f>
        <v/>
      </c>
      <c r="C126" s="139" t="str">
        <f>IF(A126&lt;&gt;0,SUM('1.PUNTOS-PROD'!V126:AO126),"")</f>
        <v/>
      </c>
      <c r="D126" s="139" t="str">
        <f>IF(A126&lt;&gt;0,SUM('1.PUNTOS-PROD'!AP126:BK126),"")</f>
        <v/>
      </c>
    </row>
    <row r="127" spans="1:4" x14ac:dyDescent="0.25">
      <c r="A127">
        <f>'0.Consolidado general'!$A128</f>
        <v>0</v>
      </c>
      <c r="B127" s="139" t="str">
        <f>IF(A127&lt;&gt;0,SUM('1.PUNTOS-PROD'!B127:U127),"")</f>
        <v/>
      </c>
      <c r="C127" s="139" t="str">
        <f>IF(A127&lt;&gt;0,SUM('1.PUNTOS-PROD'!V127:AO127),"")</f>
        <v/>
      </c>
      <c r="D127" s="139" t="str">
        <f>IF(A127&lt;&gt;0,SUM('1.PUNTOS-PROD'!AP127:BK127),"")</f>
        <v/>
      </c>
    </row>
    <row r="128" spans="1:4" x14ac:dyDescent="0.25">
      <c r="A128">
        <f>'0.Consolidado general'!$A129</f>
        <v>0</v>
      </c>
      <c r="B128" s="139" t="str">
        <f>IF(A128&lt;&gt;0,SUM('1.PUNTOS-PROD'!B128:U128),"")</f>
        <v/>
      </c>
      <c r="C128" s="139" t="str">
        <f>IF(A128&lt;&gt;0,SUM('1.PUNTOS-PROD'!V128:AO128),"")</f>
        <v/>
      </c>
      <c r="D128" s="139" t="str">
        <f>IF(A128&lt;&gt;0,SUM('1.PUNTOS-PROD'!AP128:BK128),"")</f>
        <v/>
      </c>
    </row>
    <row r="129" spans="1:4" x14ac:dyDescent="0.25">
      <c r="A129">
        <f>'0.Consolidado general'!$A130</f>
        <v>0</v>
      </c>
      <c r="B129" s="139" t="str">
        <f>IF(A129&lt;&gt;0,SUM('1.PUNTOS-PROD'!B129:U129),"")</f>
        <v/>
      </c>
      <c r="C129" s="139" t="str">
        <f>IF(A129&lt;&gt;0,SUM('1.PUNTOS-PROD'!V129:AO129),"")</f>
        <v/>
      </c>
      <c r="D129" s="139" t="str">
        <f>IF(A129&lt;&gt;0,SUM('1.PUNTOS-PROD'!AP129:BK129),"")</f>
        <v/>
      </c>
    </row>
    <row r="130" spans="1:4" x14ac:dyDescent="0.25">
      <c r="A130">
        <f>'0.Consolidado general'!$A131</f>
        <v>0</v>
      </c>
      <c r="B130" s="139" t="str">
        <f>IF(A130&lt;&gt;0,SUM('1.PUNTOS-PROD'!B130:U130),"")</f>
        <v/>
      </c>
      <c r="C130" s="139" t="str">
        <f>IF(A130&lt;&gt;0,SUM('1.PUNTOS-PROD'!V130:AO130),"")</f>
        <v/>
      </c>
      <c r="D130" s="139" t="str">
        <f>IF(A130&lt;&gt;0,SUM('1.PUNTOS-PROD'!AP130:BK130),"")</f>
        <v/>
      </c>
    </row>
    <row r="131" spans="1:4" x14ac:dyDescent="0.25">
      <c r="A131">
        <f>'0.Consolidado general'!$A132</f>
        <v>0</v>
      </c>
      <c r="B131" s="139" t="str">
        <f>IF(A131&lt;&gt;0,SUM('1.PUNTOS-PROD'!B131:U131),"")</f>
        <v/>
      </c>
      <c r="C131" s="139" t="str">
        <f>IF(A131&lt;&gt;0,SUM('1.PUNTOS-PROD'!V131:AO131),"")</f>
        <v/>
      </c>
      <c r="D131" s="139" t="str">
        <f>IF(A131&lt;&gt;0,SUM('1.PUNTOS-PROD'!AP131:BK131),"")</f>
        <v/>
      </c>
    </row>
    <row r="132" spans="1:4" x14ac:dyDescent="0.25">
      <c r="A132">
        <f>'0.Consolidado general'!$A133</f>
        <v>0</v>
      </c>
      <c r="B132" s="139" t="str">
        <f>IF(A132&lt;&gt;0,SUM('1.PUNTOS-PROD'!B132:U132),"")</f>
        <v/>
      </c>
      <c r="C132" s="139" t="str">
        <f>IF(A132&lt;&gt;0,SUM('1.PUNTOS-PROD'!V132:AO132),"")</f>
        <v/>
      </c>
      <c r="D132" s="139" t="str">
        <f>IF(A132&lt;&gt;0,SUM('1.PUNTOS-PROD'!AP132:BK132),"")</f>
        <v/>
      </c>
    </row>
    <row r="133" spans="1:4" x14ac:dyDescent="0.25">
      <c r="A133">
        <f>'0.Consolidado general'!$A134</f>
        <v>0</v>
      </c>
      <c r="B133" s="139" t="str">
        <f>IF(A133&lt;&gt;0,SUM('1.PUNTOS-PROD'!B133:U133),"")</f>
        <v/>
      </c>
      <c r="C133" s="139" t="str">
        <f>IF(A133&lt;&gt;0,SUM('1.PUNTOS-PROD'!V133:AO133),"")</f>
        <v/>
      </c>
      <c r="D133" s="139" t="str">
        <f>IF(A133&lt;&gt;0,SUM('1.PUNTOS-PROD'!AP133:BK133),"")</f>
        <v/>
      </c>
    </row>
    <row r="134" spans="1:4" x14ac:dyDescent="0.25">
      <c r="A134">
        <f>'0.Consolidado general'!$A135</f>
        <v>0</v>
      </c>
      <c r="B134" s="139" t="str">
        <f>IF(A134&lt;&gt;0,SUM('1.PUNTOS-PROD'!B134:U134),"")</f>
        <v/>
      </c>
      <c r="C134" s="139" t="str">
        <f>IF(A134&lt;&gt;0,SUM('1.PUNTOS-PROD'!V134:AO134),"")</f>
        <v/>
      </c>
      <c r="D134" s="139" t="str">
        <f>IF(A134&lt;&gt;0,SUM('1.PUNTOS-PROD'!AP134:BK134),"")</f>
        <v/>
      </c>
    </row>
    <row r="135" spans="1:4" x14ac:dyDescent="0.25">
      <c r="A135">
        <f>'0.Consolidado general'!$A136</f>
        <v>0</v>
      </c>
      <c r="B135" s="139" t="str">
        <f>IF(A135&lt;&gt;0,SUM('1.PUNTOS-PROD'!B135:U135),"")</f>
        <v/>
      </c>
      <c r="C135" s="139" t="str">
        <f>IF(A135&lt;&gt;0,SUM('1.PUNTOS-PROD'!V135:AO135),"")</f>
        <v/>
      </c>
      <c r="D135" s="139" t="str">
        <f>IF(A135&lt;&gt;0,SUM('1.PUNTOS-PROD'!AP135:BK135),"")</f>
        <v/>
      </c>
    </row>
    <row r="136" spans="1:4" x14ac:dyDescent="0.25">
      <c r="A136">
        <f>'0.Consolidado general'!$A137</f>
        <v>0</v>
      </c>
      <c r="B136" s="139" t="str">
        <f>IF(A136&lt;&gt;0,SUM('1.PUNTOS-PROD'!B136:U136),"")</f>
        <v/>
      </c>
      <c r="C136" s="139" t="str">
        <f>IF(A136&lt;&gt;0,SUM('1.PUNTOS-PROD'!V136:AO136),"")</f>
        <v/>
      </c>
      <c r="D136" s="139" t="str">
        <f>IF(A136&lt;&gt;0,SUM('1.PUNTOS-PROD'!AP136:BK136),"")</f>
        <v/>
      </c>
    </row>
    <row r="137" spans="1:4" x14ac:dyDescent="0.25">
      <c r="A137">
        <f>'0.Consolidado general'!$A138</f>
        <v>0</v>
      </c>
      <c r="B137" s="139" t="str">
        <f>IF(A137&lt;&gt;0,SUM('1.PUNTOS-PROD'!B137:U137),"")</f>
        <v/>
      </c>
      <c r="C137" s="139" t="str">
        <f>IF(A137&lt;&gt;0,SUM('1.PUNTOS-PROD'!V137:AO137),"")</f>
        <v/>
      </c>
      <c r="D137" s="139" t="str">
        <f>IF(A137&lt;&gt;0,SUM('1.PUNTOS-PROD'!AP137:BK137),"")</f>
        <v/>
      </c>
    </row>
    <row r="138" spans="1:4" x14ac:dyDescent="0.25">
      <c r="A138">
        <f>'0.Consolidado general'!$A139</f>
        <v>0</v>
      </c>
      <c r="B138" s="139" t="str">
        <f>IF(A138&lt;&gt;0,SUM('1.PUNTOS-PROD'!B138:U138),"")</f>
        <v/>
      </c>
      <c r="C138" s="139" t="str">
        <f>IF(A138&lt;&gt;0,SUM('1.PUNTOS-PROD'!V138:AO138),"")</f>
        <v/>
      </c>
      <c r="D138" s="139" t="str">
        <f>IF(A138&lt;&gt;0,SUM('1.PUNTOS-PROD'!AP138:BK138),"")</f>
        <v/>
      </c>
    </row>
    <row r="139" spans="1:4" x14ac:dyDescent="0.25">
      <c r="A139">
        <f>'0.Consolidado general'!$A140</f>
        <v>0</v>
      </c>
      <c r="B139" s="139" t="str">
        <f>IF(A139&lt;&gt;0,SUM('1.PUNTOS-PROD'!B139:U139),"")</f>
        <v/>
      </c>
      <c r="C139" s="139" t="str">
        <f>IF(A139&lt;&gt;0,SUM('1.PUNTOS-PROD'!V139:AO139),"")</f>
        <v/>
      </c>
      <c r="D139" s="139" t="str">
        <f>IF(A139&lt;&gt;0,SUM('1.PUNTOS-PROD'!AP139:BK139),"")</f>
        <v/>
      </c>
    </row>
    <row r="140" spans="1:4" x14ac:dyDescent="0.25">
      <c r="A140">
        <f>'0.Consolidado general'!$A141</f>
        <v>0</v>
      </c>
      <c r="B140" s="139" t="str">
        <f>IF(A140&lt;&gt;0,SUM('1.PUNTOS-PROD'!B140:U140),"")</f>
        <v/>
      </c>
      <c r="C140" s="139" t="str">
        <f>IF(A140&lt;&gt;0,SUM('1.PUNTOS-PROD'!V140:AO140),"")</f>
        <v/>
      </c>
      <c r="D140" s="139" t="str">
        <f>IF(A140&lt;&gt;0,SUM('1.PUNTOS-PROD'!AP140:BK140),"")</f>
        <v/>
      </c>
    </row>
    <row r="141" spans="1:4" x14ac:dyDescent="0.25">
      <c r="A141">
        <f>'0.Consolidado general'!$A142</f>
        <v>0</v>
      </c>
      <c r="B141" s="139" t="str">
        <f>IF(A141&lt;&gt;0,SUM('1.PUNTOS-PROD'!B141:U141),"")</f>
        <v/>
      </c>
      <c r="C141" s="139" t="str">
        <f>IF(A141&lt;&gt;0,SUM('1.PUNTOS-PROD'!V141:AO141),"")</f>
        <v/>
      </c>
      <c r="D141" s="139" t="str">
        <f>IF(A141&lt;&gt;0,SUM('1.PUNTOS-PROD'!AP141:BK141),"")</f>
        <v/>
      </c>
    </row>
    <row r="142" spans="1:4" x14ac:dyDescent="0.25">
      <c r="A142">
        <f>'0.Consolidado general'!$A143</f>
        <v>0</v>
      </c>
      <c r="B142" s="139" t="str">
        <f>IF(A142&lt;&gt;0,SUM('1.PUNTOS-PROD'!B142:U142),"")</f>
        <v/>
      </c>
      <c r="C142" s="139" t="str">
        <f>IF(A142&lt;&gt;0,SUM('1.PUNTOS-PROD'!V142:AO142),"")</f>
        <v/>
      </c>
      <c r="D142" s="139" t="str">
        <f>IF(A142&lt;&gt;0,SUM('1.PUNTOS-PROD'!AP142:BK142),"")</f>
        <v/>
      </c>
    </row>
    <row r="143" spans="1:4" x14ac:dyDescent="0.25">
      <c r="A143">
        <f>'0.Consolidado general'!$A144</f>
        <v>0</v>
      </c>
      <c r="B143" s="139" t="str">
        <f>IF(A143&lt;&gt;0,SUM('1.PUNTOS-PROD'!B143:U143),"")</f>
        <v/>
      </c>
      <c r="C143" s="139" t="str">
        <f>IF(A143&lt;&gt;0,SUM('1.PUNTOS-PROD'!V143:AO143),"")</f>
        <v/>
      </c>
      <c r="D143" s="139" t="str">
        <f>IF(A143&lt;&gt;0,SUM('1.PUNTOS-PROD'!AP143:BK143),"")</f>
        <v/>
      </c>
    </row>
    <row r="144" spans="1:4" x14ac:dyDescent="0.25">
      <c r="A144">
        <f>'0.Consolidado general'!$A145</f>
        <v>0</v>
      </c>
      <c r="B144" s="139" t="str">
        <f>IF(A144&lt;&gt;0,SUM('1.PUNTOS-PROD'!B144:U144),"")</f>
        <v/>
      </c>
      <c r="C144" s="139" t="str">
        <f>IF(A144&lt;&gt;0,SUM('1.PUNTOS-PROD'!V144:AO144),"")</f>
        <v/>
      </c>
      <c r="D144" s="139" t="str">
        <f>IF(A144&lt;&gt;0,SUM('1.PUNTOS-PROD'!AP144:BK144),"")</f>
        <v/>
      </c>
    </row>
    <row r="145" spans="1:4" x14ac:dyDescent="0.25">
      <c r="A145">
        <f>'0.Consolidado general'!$A146</f>
        <v>0</v>
      </c>
      <c r="B145" s="139" t="str">
        <f>IF(A145&lt;&gt;0,SUM('1.PUNTOS-PROD'!B145:U145),"")</f>
        <v/>
      </c>
      <c r="C145" s="139" t="str">
        <f>IF(A145&lt;&gt;0,SUM('1.PUNTOS-PROD'!V145:AO145),"")</f>
        <v/>
      </c>
      <c r="D145" s="139" t="str">
        <f>IF(A145&lt;&gt;0,SUM('1.PUNTOS-PROD'!AP145:BK145),"")</f>
        <v/>
      </c>
    </row>
    <row r="146" spans="1:4" x14ac:dyDescent="0.25">
      <c r="A146">
        <f>'0.Consolidado general'!$A147</f>
        <v>0</v>
      </c>
      <c r="B146" s="139" t="str">
        <f>IF(A146&lt;&gt;0,SUM('1.PUNTOS-PROD'!B146:U146),"")</f>
        <v/>
      </c>
      <c r="C146" s="139" t="str">
        <f>IF(A146&lt;&gt;0,SUM('1.PUNTOS-PROD'!V146:AO146),"")</f>
        <v/>
      </c>
      <c r="D146" s="139" t="str">
        <f>IF(A146&lt;&gt;0,SUM('1.PUNTOS-PROD'!AP146:BK146),"")</f>
        <v/>
      </c>
    </row>
    <row r="147" spans="1:4" x14ac:dyDescent="0.25">
      <c r="A147">
        <f>'0.Consolidado general'!$A148</f>
        <v>0</v>
      </c>
      <c r="B147" s="139" t="str">
        <f>IF(A147&lt;&gt;0,SUM('1.PUNTOS-PROD'!B147:U147),"")</f>
        <v/>
      </c>
      <c r="C147" s="139" t="str">
        <f>IF(A147&lt;&gt;0,SUM('1.PUNTOS-PROD'!V147:AO147),"")</f>
        <v/>
      </c>
      <c r="D147" s="139" t="str">
        <f>IF(A147&lt;&gt;0,SUM('1.PUNTOS-PROD'!AP147:BK147),"")</f>
        <v/>
      </c>
    </row>
    <row r="148" spans="1:4" x14ac:dyDescent="0.25">
      <c r="A148">
        <f>'0.Consolidado general'!$A149</f>
        <v>0</v>
      </c>
      <c r="B148" s="139" t="str">
        <f>IF(A148&lt;&gt;0,SUM('1.PUNTOS-PROD'!B148:U148),"")</f>
        <v/>
      </c>
      <c r="C148" s="139" t="str">
        <f>IF(A148&lt;&gt;0,SUM('1.PUNTOS-PROD'!V148:AO148),"")</f>
        <v/>
      </c>
      <c r="D148" s="139" t="str">
        <f>IF(A148&lt;&gt;0,SUM('1.PUNTOS-PROD'!AP148:BK148),"")</f>
        <v/>
      </c>
    </row>
    <row r="149" spans="1:4" x14ac:dyDescent="0.25">
      <c r="A149">
        <f>'0.Consolidado general'!$A150</f>
        <v>0</v>
      </c>
      <c r="B149" s="139" t="str">
        <f>IF(A149&lt;&gt;0,SUM('1.PUNTOS-PROD'!B149:U149),"")</f>
        <v/>
      </c>
      <c r="C149" s="139" t="str">
        <f>IF(A149&lt;&gt;0,SUM('1.PUNTOS-PROD'!V149:AO149),"")</f>
        <v/>
      </c>
      <c r="D149" s="139" t="str">
        <f>IF(A149&lt;&gt;0,SUM('1.PUNTOS-PROD'!AP149:BK149),"")</f>
        <v/>
      </c>
    </row>
    <row r="150" spans="1:4" x14ac:dyDescent="0.25">
      <c r="A150">
        <f>'0.Consolidado general'!$A151</f>
        <v>0</v>
      </c>
      <c r="B150" s="139" t="str">
        <f>IF(A150&lt;&gt;0,SUM('1.PUNTOS-PROD'!B150:U150),"")</f>
        <v/>
      </c>
      <c r="C150" s="139" t="str">
        <f>IF(A150&lt;&gt;0,SUM('1.PUNTOS-PROD'!V150:AO150),"")</f>
        <v/>
      </c>
      <c r="D150" s="139" t="str">
        <f>IF(A150&lt;&gt;0,SUM('1.PUNTOS-PROD'!AP150:BK150),"")</f>
        <v/>
      </c>
    </row>
    <row r="151" spans="1:4" x14ac:dyDescent="0.25">
      <c r="A151">
        <f>'0.Consolidado general'!$A152</f>
        <v>0</v>
      </c>
      <c r="B151" s="139" t="str">
        <f>IF(A151&lt;&gt;0,SUM('1.PUNTOS-PROD'!B151:U151),"")</f>
        <v/>
      </c>
      <c r="C151" s="139" t="str">
        <f>IF(A151&lt;&gt;0,SUM('1.PUNTOS-PROD'!V151:AO151),"")</f>
        <v/>
      </c>
      <c r="D151" s="139" t="str">
        <f>IF(A151&lt;&gt;0,SUM('1.PUNTOS-PROD'!AP151:BK151),"")</f>
        <v/>
      </c>
    </row>
    <row r="152" spans="1:4" x14ac:dyDescent="0.25">
      <c r="A152">
        <f>'0.Consolidado general'!$A153</f>
        <v>0</v>
      </c>
      <c r="B152" s="139" t="str">
        <f>IF(A152&lt;&gt;0,SUM('1.PUNTOS-PROD'!B152:U152),"")</f>
        <v/>
      </c>
      <c r="C152" s="139" t="str">
        <f>IF(A152&lt;&gt;0,SUM('1.PUNTOS-PROD'!V152:AO152),"")</f>
        <v/>
      </c>
      <c r="D152" s="139" t="str">
        <f>IF(A152&lt;&gt;0,SUM('1.PUNTOS-PROD'!AP152:BK152),"")</f>
        <v/>
      </c>
    </row>
    <row r="153" spans="1:4" x14ac:dyDescent="0.25">
      <c r="A153">
        <f>'0.Consolidado general'!$A154</f>
        <v>0</v>
      </c>
      <c r="B153" s="139" t="str">
        <f>IF(A153&lt;&gt;0,SUM('1.PUNTOS-PROD'!B153:U153),"")</f>
        <v/>
      </c>
      <c r="C153" s="139" t="str">
        <f>IF(A153&lt;&gt;0,SUM('1.PUNTOS-PROD'!V153:AO153),"")</f>
        <v/>
      </c>
      <c r="D153" s="139" t="str">
        <f>IF(A153&lt;&gt;0,SUM('1.PUNTOS-PROD'!AP153:BK153),"")</f>
        <v/>
      </c>
    </row>
    <row r="154" spans="1:4" x14ac:dyDescent="0.25">
      <c r="A154">
        <f>'0.Consolidado general'!$A155</f>
        <v>0</v>
      </c>
      <c r="B154" s="139" t="str">
        <f>IF(A154&lt;&gt;0,SUM('1.PUNTOS-PROD'!B154:U154),"")</f>
        <v/>
      </c>
      <c r="C154" s="139" t="str">
        <f>IF(A154&lt;&gt;0,SUM('1.PUNTOS-PROD'!V154:AO154),"")</f>
        <v/>
      </c>
      <c r="D154" s="139" t="str">
        <f>IF(A154&lt;&gt;0,SUM('1.PUNTOS-PROD'!AP154:BK154),"")</f>
        <v/>
      </c>
    </row>
    <row r="155" spans="1:4" x14ac:dyDescent="0.25">
      <c r="A155">
        <f>'0.Consolidado general'!$A156</f>
        <v>0</v>
      </c>
      <c r="B155" s="139" t="str">
        <f>IF(A155&lt;&gt;0,SUM('1.PUNTOS-PROD'!B155:U155),"")</f>
        <v/>
      </c>
      <c r="C155" s="139" t="str">
        <f>IF(A155&lt;&gt;0,SUM('1.PUNTOS-PROD'!V155:AO155),"")</f>
        <v/>
      </c>
      <c r="D155" s="139" t="str">
        <f>IF(A155&lt;&gt;0,SUM('1.PUNTOS-PROD'!AP155:BK155),"")</f>
        <v/>
      </c>
    </row>
    <row r="156" spans="1:4" x14ac:dyDescent="0.25">
      <c r="A156">
        <f>'0.Consolidado general'!$A157</f>
        <v>0</v>
      </c>
      <c r="B156" s="139" t="str">
        <f>IF(A156&lt;&gt;0,SUM('1.PUNTOS-PROD'!B156:U156),"")</f>
        <v/>
      </c>
      <c r="C156" s="139" t="str">
        <f>IF(A156&lt;&gt;0,SUM('1.PUNTOS-PROD'!V156:AO156),"")</f>
        <v/>
      </c>
      <c r="D156" s="139" t="str">
        <f>IF(A156&lt;&gt;0,SUM('1.PUNTOS-PROD'!AP156:BK156),"")</f>
        <v/>
      </c>
    </row>
    <row r="157" spans="1:4" x14ac:dyDescent="0.25">
      <c r="A157">
        <f>'0.Consolidado general'!$A158</f>
        <v>0</v>
      </c>
      <c r="B157" s="139" t="str">
        <f>IF(A157&lt;&gt;0,SUM('1.PUNTOS-PROD'!B157:U157),"")</f>
        <v/>
      </c>
      <c r="C157" s="139" t="str">
        <f>IF(A157&lt;&gt;0,SUM('1.PUNTOS-PROD'!V157:AO157),"")</f>
        <v/>
      </c>
      <c r="D157" s="139" t="str">
        <f>IF(A157&lt;&gt;0,SUM('1.PUNTOS-PROD'!AP157:BK157),"")</f>
        <v/>
      </c>
    </row>
    <row r="158" spans="1:4" x14ac:dyDescent="0.25">
      <c r="A158">
        <f>'0.Consolidado general'!$A159</f>
        <v>0</v>
      </c>
      <c r="B158" s="139" t="str">
        <f>IF(A158&lt;&gt;0,SUM('1.PUNTOS-PROD'!B158:U158),"")</f>
        <v/>
      </c>
      <c r="C158" s="139" t="str">
        <f>IF(A158&lt;&gt;0,SUM('1.PUNTOS-PROD'!V158:AO158),"")</f>
        <v/>
      </c>
      <c r="D158" s="139" t="str">
        <f>IF(A158&lt;&gt;0,SUM('1.PUNTOS-PROD'!AP158:BK158),"")</f>
        <v/>
      </c>
    </row>
    <row r="159" spans="1:4" x14ac:dyDescent="0.25">
      <c r="A159">
        <f>'0.Consolidado general'!$A160</f>
        <v>0</v>
      </c>
      <c r="B159" s="139" t="str">
        <f>IF(A159&lt;&gt;0,SUM('1.PUNTOS-PROD'!B159:U159),"")</f>
        <v/>
      </c>
      <c r="C159" s="139" t="str">
        <f>IF(A159&lt;&gt;0,SUM('1.PUNTOS-PROD'!V159:AO159),"")</f>
        <v/>
      </c>
      <c r="D159" s="139" t="str">
        <f>IF(A159&lt;&gt;0,SUM('1.PUNTOS-PROD'!AP159:BK159),"")</f>
        <v/>
      </c>
    </row>
    <row r="160" spans="1:4" x14ac:dyDescent="0.25">
      <c r="A160">
        <f>'0.Consolidado general'!$A161</f>
        <v>0</v>
      </c>
      <c r="B160" s="139" t="str">
        <f>IF(A160&lt;&gt;0,SUM('1.PUNTOS-PROD'!B160:U160),"")</f>
        <v/>
      </c>
      <c r="C160" s="139" t="str">
        <f>IF(A160&lt;&gt;0,SUM('1.PUNTOS-PROD'!V160:AO160),"")</f>
        <v/>
      </c>
      <c r="D160" s="139" t="str">
        <f>IF(A160&lt;&gt;0,SUM('1.PUNTOS-PROD'!AP160:BK160),"")</f>
        <v/>
      </c>
    </row>
    <row r="161" spans="1:4" x14ac:dyDescent="0.25">
      <c r="A161">
        <f>'0.Consolidado general'!$A162</f>
        <v>0</v>
      </c>
      <c r="B161" s="139" t="str">
        <f>IF(A161&lt;&gt;0,SUM('1.PUNTOS-PROD'!B161:U161),"")</f>
        <v/>
      </c>
      <c r="C161" s="139" t="str">
        <f>IF(A161&lt;&gt;0,SUM('1.PUNTOS-PROD'!V161:AO161),"")</f>
        <v/>
      </c>
      <c r="D161" s="139" t="str">
        <f>IF(A161&lt;&gt;0,SUM('1.PUNTOS-PROD'!AP161:BK161),"")</f>
        <v/>
      </c>
    </row>
    <row r="162" spans="1:4" x14ac:dyDescent="0.25">
      <c r="A162">
        <f>'0.Consolidado general'!$A163</f>
        <v>0</v>
      </c>
      <c r="B162" s="139" t="str">
        <f>IF(A162&lt;&gt;0,SUM('1.PUNTOS-PROD'!B162:U162),"")</f>
        <v/>
      </c>
      <c r="C162" s="139" t="str">
        <f>IF(A162&lt;&gt;0,SUM('1.PUNTOS-PROD'!V162:AO162),"")</f>
        <v/>
      </c>
      <c r="D162" s="139" t="str">
        <f>IF(A162&lt;&gt;0,SUM('1.PUNTOS-PROD'!AP162:BK162),"")</f>
        <v/>
      </c>
    </row>
    <row r="163" spans="1:4" x14ac:dyDescent="0.25">
      <c r="A163">
        <f>'0.Consolidado general'!$A164</f>
        <v>0</v>
      </c>
      <c r="B163" s="139" t="str">
        <f>IF(A163&lt;&gt;0,SUM('1.PUNTOS-PROD'!B163:U163),"")</f>
        <v/>
      </c>
      <c r="C163" s="139" t="str">
        <f>IF(A163&lt;&gt;0,SUM('1.PUNTOS-PROD'!V163:AO163),"")</f>
        <v/>
      </c>
      <c r="D163" s="139" t="str">
        <f>IF(A163&lt;&gt;0,SUM('1.PUNTOS-PROD'!AP163:BK163),"")</f>
        <v/>
      </c>
    </row>
    <row r="164" spans="1:4" x14ac:dyDescent="0.25">
      <c r="A164">
        <f>'0.Consolidado general'!$A165</f>
        <v>0</v>
      </c>
      <c r="B164" s="139" t="str">
        <f>IF(A164&lt;&gt;0,SUM('1.PUNTOS-PROD'!B164:U164),"")</f>
        <v/>
      </c>
      <c r="C164" s="139" t="str">
        <f>IF(A164&lt;&gt;0,SUM('1.PUNTOS-PROD'!V164:AO164),"")</f>
        <v/>
      </c>
      <c r="D164" s="139" t="str">
        <f>IF(A164&lt;&gt;0,SUM('1.PUNTOS-PROD'!AP164:BK164),"")</f>
        <v/>
      </c>
    </row>
    <row r="165" spans="1:4" x14ac:dyDescent="0.25">
      <c r="A165">
        <f>'0.Consolidado general'!$A166</f>
        <v>0</v>
      </c>
      <c r="B165" s="139" t="str">
        <f>IF(A165&lt;&gt;0,SUM('1.PUNTOS-PROD'!B165:U165),"")</f>
        <v/>
      </c>
      <c r="C165" s="139" t="str">
        <f>IF(A165&lt;&gt;0,SUM('1.PUNTOS-PROD'!V165:AO165),"")</f>
        <v/>
      </c>
      <c r="D165" s="139" t="str">
        <f>IF(A165&lt;&gt;0,SUM('1.PUNTOS-PROD'!AP165:BK165),"")</f>
        <v/>
      </c>
    </row>
    <row r="166" spans="1:4" x14ac:dyDescent="0.25">
      <c r="A166">
        <f>'0.Consolidado general'!$A167</f>
        <v>0</v>
      </c>
      <c r="B166" s="139" t="str">
        <f>IF(A166&lt;&gt;0,SUM('1.PUNTOS-PROD'!B166:U166),"")</f>
        <v/>
      </c>
      <c r="C166" s="139" t="str">
        <f>IF(A166&lt;&gt;0,SUM('1.PUNTOS-PROD'!V166:AO166),"")</f>
        <v/>
      </c>
      <c r="D166" s="139" t="str">
        <f>IF(A166&lt;&gt;0,SUM('1.PUNTOS-PROD'!AP166:BK166),"")</f>
        <v/>
      </c>
    </row>
    <row r="167" spans="1:4" x14ac:dyDescent="0.25">
      <c r="A167">
        <f>'0.Consolidado general'!$A168</f>
        <v>0</v>
      </c>
      <c r="B167" s="139" t="str">
        <f>IF(A167&lt;&gt;0,SUM('1.PUNTOS-PROD'!B167:U167),"")</f>
        <v/>
      </c>
      <c r="C167" s="139" t="str">
        <f>IF(A167&lt;&gt;0,SUM('1.PUNTOS-PROD'!V167:AO167),"")</f>
        <v/>
      </c>
      <c r="D167" s="139" t="str">
        <f>IF(A167&lt;&gt;0,SUM('1.PUNTOS-PROD'!AP167:BK167),"")</f>
        <v/>
      </c>
    </row>
    <row r="168" spans="1:4" x14ac:dyDescent="0.25">
      <c r="A168">
        <f>'0.Consolidado general'!$A169</f>
        <v>0</v>
      </c>
      <c r="B168" s="139" t="str">
        <f>IF(A168&lt;&gt;0,SUM('1.PUNTOS-PROD'!B168:U168),"")</f>
        <v/>
      </c>
      <c r="C168" s="139" t="str">
        <f>IF(A168&lt;&gt;0,SUM('1.PUNTOS-PROD'!V168:AO168),"")</f>
        <v/>
      </c>
      <c r="D168" s="139" t="str">
        <f>IF(A168&lt;&gt;0,SUM('1.PUNTOS-PROD'!AP168:BK168),"")</f>
        <v/>
      </c>
    </row>
    <row r="169" spans="1:4" x14ac:dyDescent="0.25">
      <c r="A169">
        <f>'0.Consolidado general'!$A170</f>
        <v>0</v>
      </c>
      <c r="B169" s="139" t="str">
        <f>IF(A169&lt;&gt;0,SUM('1.PUNTOS-PROD'!B169:U169),"")</f>
        <v/>
      </c>
      <c r="C169" s="139" t="str">
        <f>IF(A169&lt;&gt;0,SUM('1.PUNTOS-PROD'!V169:AO169),"")</f>
        <v/>
      </c>
      <c r="D169" s="139" t="str">
        <f>IF(A169&lt;&gt;0,SUM('1.PUNTOS-PROD'!AP169:BK169),"")</f>
        <v/>
      </c>
    </row>
    <row r="170" spans="1:4" x14ac:dyDescent="0.25">
      <c r="A170">
        <f>'0.Consolidado general'!$A171</f>
        <v>0</v>
      </c>
      <c r="B170" s="139" t="str">
        <f>IF(A170&lt;&gt;0,SUM('1.PUNTOS-PROD'!B170:U170),"")</f>
        <v/>
      </c>
      <c r="C170" s="139" t="str">
        <f>IF(A170&lt;&gt;0,SUM('1.PUNTOS-PROD'!V170:AO170),"")</f>
        <v/>
      </c>
      <c r="D170" s="139" t="str">
        <f>IF(A170&lt;&gt;0,SUM('1.PUNTOS-PROD'!AP170:BK170),"")</f>
        <v/>
      </c>
    </row>
    <row r="171" spans="1:4" x14ac:dyDescent="0.25">
      <c r="A171">
        <f>'0.Consolidado general'!$A172</f>
        <v>0</v>
      </c>
      <c r="B171" s="139" t="str">
        <f>IF(A171&lt;&gt;0,SUM('1.PUNTOS-PROD'!B171:U171),"")</f>
        <v/>
      </c>
      <c r="C171" s="139" t="str">
        <f>IF(A171&lt;&gt;0,SUM('1.PUNTOS-PROD'!V171:AO171),"")</f>
        <v/>
      </c>
      <c r="D171" s="139" t="str">
        <f>IF(A171&lt;&gt;0,SUM('1.PUNTOS-PROD'!AP171:BK171),"")</f>
        <v/>
      </c>
    </row>
    <row r="172" spans="1:4" x14ac:dyDescent="0.25">
      <c r="A172">
        <f>'0.Consolidado general'!$A173</f>
        <v>0</v>
      </c>
      <c r="B172" s="139" t="str">
        <f>IF(A172&lt;&gt;0,SUM('1.PUNTOS-PROD'!B172:U172),"")</f>
        <v/>
      </c>
      <c r="C172" s="139" t="str">
        <f>IF(A172&lt;&gt;0,SUM('1.PUNTOS-PROD'!V172:AO172),"")</f>
        <v/>
      </c>
      <c r="D172" s="139" t="str">
        <f>IF(A172&lt;&gt;0,SUM('1.PUNTOS-PROD'!AP172:BK172),"")</f>
        <v/>
      </c>
    </row>
    <row r="173" spans="1:4" x14ac:dyDescent="0.25">
      <c r="A173">
        <f>'0.Consolidado general'!$A174</f>
        <v>0</v>
      </c>
      <c r="B173" s="139" t="str">
        <f>IF(A173&lt;&gt;0,SUM('1.PUNTOS-PROD'!B173:U173),"")</f>
        <v/>
      </c>
      <c r="C173" s="139" t="str">
        <f>IF(A173&lt;&gt;0,SUM('1.PUNTOS-PROD'!V173:AO173),"")</f>
        <v/>
      </c>
      <c r="D173" s="139" t="str">
        <f>IF(A173&lt;&gt;0,SUM('1.PUNTOS-PROD'!AP173:BK173),"")</f>
        <v/>
      </c>
    </row>
    <row r="174" spans="1:4" x14ac:dyDescent="0.25">
      <c r="A174">
        <f>'0.Consolidado general'!$A175</f>
        <v>0</v>
      </c>
      <c r="B174" s="139" t="str">
        <f>IF(A174&lt;&gt;0,SUM('1.PUNTOS-PROD'!B174:U174),"")</f>
        <v/>
      </c>
      <c r="C174" s="139" t="str">
        <f>IF(A174&lt;&gt;0,SUM('1.PUNTOS-PROD'!V174:AO174),"")</f>
        <v/>
      </c>
      <c r="D174" s="139" t="str">
        <f>IF(A174&lt;&gt;0,SUM('1.PUNTOS-PROD'!AP174:BK174),"")</f>
        <v/>
      </c>
    </row>
    <row r="175" spans="1:4" x14ac:dyDescent="0.25">
      <c r="A175">
        <f>'0.Consolidado general'!$A176</f>
        <v>0</v>
      </c>
      <c r="B175" s="139" t="str">
        <f>IF(A175&lt;&gt;0,SUM('1.PUNTOS-PROD'!B175:U175),"")</f>
        <v/>
      </c>
      <c r="C175" s="139" t="str">
        <f>IF(A175&lt;&gt;0,SUM('1.PUNTOS-PROD'!V175:AO175),"")</f>
        <v/>
      </c>
      <c r="D175" s="139" t="str">
        <f>IF(A175&lt;&gt;0,SUM('1.PUNTOS-PROD'!AP175:BK175),"")</f>
        <v/>
      </c>
    </row>
    <row r="176" spans="1:4" x14ac:dyDescent="0.25">
      <c r="A176">
        <f>'0.Consolidado general'!$A177</f>
        <v>0</v>
      </c>
      <c r="B176" s="139" t="str">
        <f>IF(A176&lt;&gt;0,SUM('1.PUNTOS-PROD'!B176:U176),"")</f>
        <v/>
      </c>
      <c r="C176" s="139" t="str">
        <f>IF(A176&lt;&gt;0,SUM('1.PUNTOS-PROD'!V176:AO176),"")</f>
        <v/>
      </c>
      <c r="D176" s="139" t="str">
        <f>IF(A176&lt;&gt;0,SUM('1.PUNTOS-PROD'!AP176:BK176),"")</f>
        <v/>
      </c>
    </row>
    <row r="177" spans="1:4" x14ac:dyDescent="0.25">
      <c r="A177">
        <f>'0.Consolidado general'!$A178</f>
        <v>0</v>
      </c>
      <c r="B177" s="139" t="str">
        <f>IF(A177&lt;&gt;0,SUM('1.PUNTOS-PROD'!B177:U177),"")</f>
        <v/>
      </c>
      <c r="C177" s="139" t="str">
        <f>IF(A177&lt;&gt;0,SUM('1.PUNTOS-PROD'!V177:AO177),"")</f>
        <v/>
      </c>
      <c r="D177" s="139" t="str">
        <f>IF(A177&lt;&gt;0,SUM('1.PUNTOS-PROD'!AP177:BK177),"")</f>
        <v/>
      </c>
    </row>
    <row r="178" spans="1:4" x14ac:dyDescent="0.25">
      <c r="A178">
        <f>'0.Consolidado general'!$A179</f>
        <v>0</v>
      </c>
      <c r="B178" s="139" t="str">
        <f>IF(A178&lt;&gt;0,SUM('1.PUNTOS-PROD'!B178:U178),"")</f>
        <v/>
      </c>
      <c r="C178" s="139" t="str">
        <f>IF(A178&lt;&gt;0,SUM('1.PUNTOS-PROD'!V178:AO178),"")</f>
        <v/>
      </c>
      <c r="D178" s="139" t="str">
        <f>IF(A178&lt;&gt;0,SUM('1.PUNTOS-PROD'!AP178:BK178),"")</f>
        <v/>
      </c>
    </row>
    <row r="179" spans="1:4" x14ac:dyDescent="0.25">
      <c r="A179">
        <f>'0.Consolidado general'!$A180</f>
        <v>0</v>
      </c>
      <c r="B179" s="139" t="str">
        <f>IF(A179&lt;&gt;0,SUM('1.PUNTOS-PROD'!B179:U179),"")</f>
        <v/>
      </c>
      <c r="C179" s="139" t="str">
        <f>IF(A179&lt;&gt;0,SUM('1.PUNTOS-PROD'!V179:AO179),"")</f>
        <v/>
      </c>
      <c r="D179" s="139" t="str">
        <f>IF(A179&lt;&gt;0,SUM('1.PUNTOS-PROD'!AP179:BK179),"")</f>
        <v/>
      </c>
    </row>
    <row r="180" spans="1:4" x14ac:dyDescent="0.25">
      <c r="A180">
        <f>'0.Consolidado general'!$A181</f>
        <v>0</v>
      </c>
      <c r="B180" s="139" t="str">
        <f>IF(A180&lt;&gt;0,SUM('1.PUNTOS-PROD'!B180:U180),"")</f>
        <v/>
      </c>
      <c r="C180" s="139" t="str">
        <f>IF(A180&lt;&gt;0,SUM('1.PUNTOS-PROD'!V180:AO180),"")</f>
        <v/>
      </c>
      <c r="D180" s="139" t="str">
        <f>IF(A180&lt;&gt;0,SUM('1.PUNTOS-PROD'!AP180:BK180),"")</f>
        <v/>
      </c>
    </row>
    <row r="181" spans="1:4" x14ac:dyDescent="0.25">
      <c r="A181">
        <f>'0.Consolidado general'!$A182</f>
        <v>0</v>
      </c>
      <c r="B181" s="139" t="str">
        <f>IF(A181&lt;&gt;0,SUM('1.PUNTOS-PROD'!B181:U181),"")</f>
        <v/>
      </c>
      <c r="C181" s="139" t="str">
        <f>IF(A181&lt;&gt;0,SUM('1.PUNTOS-PROD'!V181:AO181),"")</f>
        <v/>
      </c>
      <c r="D181" s="139" t="str">
        <f>IF(A181&lt;&gt;0,SUM('1.PUNTOS-PROD'!AP181:BK181),"")</f>
        <v/>
      </c>
    </row>
    <row r="182" spans="1:4" x14ac:dyDescent="0.25">
      <c r="A182">
        <f>'0.Consolidado general'!$A183</f>
        <v>0</v>
      </c>
      <c r="B182" s="139" t="str">
        <f>IF(A182&lt;&gt;0,SUM('1.PUNTOS-PROD'!B182:U182),"")</f>
        <v/>
      </c>
      <c r="C182" s="139" t="str">
        <f>IF(A182&lt;&gt;0,SUM('1.PUNTOS-PROD'!V182:AO182),"")</f>
        <v/>
      </c>
      <c r="D182" s="139" t="str">
        <f>IF(A182&lt;&gt;0,SUM('1.PUNTOS-PROD'!AP182:BK182),"")</f>
        <v/>
      </c>
    </row>
    <row r="183" spans="1:4" x14ac:dyDescent="0.25">
      <c r="A183">
        <f>'0.Consolidado general'!$A184</f>
        <v>0</v>
      </c>
      <c r="B183" s="139" t="str">
        <f>IF(A183&lt;&gt;0,SUM('1.PUNTOS-PROD'!B183:U183),"")</f>
        <v/>
      </c>
      <c r="C183" s="139" t="str">
        <f>IF(A183&lt;&gt;0,SUM('1.PUNTOS-PROD'!V183:AO183),"")</f>
        <v/>
      </c>
      <c r="D183" s="139" t="str">
        <f>IF(A183&lt;&gt;0,SUM('1.PUNTOS-PROD'!AP183:BK183),"")</f>
        <v/>
      </c>
    </row>
    <row r="184" spans="1:4" x14ac:dyDescent="0.25">
      <c r="A184">
        <f>'0.Consolidado general'!$A185</f>
        <v>0</v>
      </c>
      <c r="B184" s="139" t="str">
        <f>IF(A184&lt;&gt;0,SUM('1.PUNTOS-PROD'!B184:U184),"")</f>
        <v/>
      </c>
      <c r="C184" s="139" t="str">
        <f>IF(A184&lt;&gt;0,SUM('1.PUNTOS-PROD'!V184:AO184),"")</f>
        <v/>
      </c>
      <c r="D184" s="139" t="str">
        <f>IF(A184&lt;&gt;0,SUM('1.PUNTOS-PROD'!AP184:BK184),"")</f>
        <v/>
      </c>
    </row>
    <row r="185" spans="1:4" x14ac:dyDescent="0.25">
      <c r="A185">
        <f>'0.Consolidado general'!$A186</f>
        <v>0</v>
      </c>
      <c r="B185" s="139" t="str">
        <f>IF(A185&lt;&gt;0,SUM('1.PUNTOS-PROD'!B185:U185),"")</f>
        <v/>
      </c>
      <c r="C185" s="139" t="str">
        <f>IF(A185&lt;&gt;0,SUM('1.PUNTOS-PROD'!V185:AO185),"")</f>
        <v/>
      </c>
      <c r="D185" s="139" t="str">
        <f>IF(A185&lt;&gt;0,SUM('1.PUNTOS-PROD'!AP185:BK185),"")</f>
        <v/>
      </c>
    </row>
    <row r="186" spans="1:4" x14ac:dyDescent="0.25">
      <c r="A186">
        <f>'0.Consolidado general'!$A187</f>
        <v>0</v>
      </c>
      <c r="B186" s="139" t="str">
        <f>IF(A186&lt;&gt;0,SUM('1.PUNTOS-PROD'!B186:U186),"")</f>
        <v/>
      </c>
      <c r="C186" s="139" t="str">
        <f>IF(A186&lt;&gt;0,SUM('1.PUNTOS-PROD'!V186:AO186),"")</f>
        <v/>
      </c>
      <c r="D186" s="139" t="str">
        <f>IF(A186&lt;&gt;0,SUM('1.PUNTOS-PROD'!AP186:BK186),"")</f>
        <v/>
      </c>
    </row>
    <row r="187" spans="1:4" x14ac:dyDescent="0.25">
      <c r="A187">
        <f>'0.Consolidado general'!$A188</f>
        <v>0</v>
      </c>
      <c r="B187" s="139" t="str">
        <f>IF(A187&lt;&gt;0,SUM('1.PUNTOS-PROD'!B187:U187),"")</f>
        <v/>
      </c>
      <c r="C187" s="139" t="str">
        <f>IF(A187&lt;&gt;0,SUM('1.PUNTOS-PROD'!V187:AO187),"")</f>
        <v/>
      </c>
      <c r="D187" s="139" t="str">
        <f>IF(A187&lt;&gt;0,SUM('1.PUNTOS-PROD'!AP187:BK187),"")</f>
        <v/>
      </c>
    </row>
    <row r="188" spans="1:4" x14ac:dyDescent="0.25">
      <c r="A188">
        <f>'0.Consolidado general'!$A189</f>
        <v>0</v>
      </c>
      <c r="B188" s="139" t="str">
        <f>IF(A188&lt;&gt;0,SUM('1.PUNTOS-PROD'!B188:U188),"")</f>
        <v/>
      </c>
      <c r="C188" s="139" t="str">
        <f>IF(A188&lt;&gt;0,SUM('1.PUNTOS-PROD'!V188:AO188),"")</f>
        <v/>
      </c>
      <c r="D188" s="139" t="str">
        <f>IF(A188&lt;&gt;0,SUM('1.PUNTOS-PROD'!AP188:BK188),"")</f>
        <v/>
      </c>
    </row>
    <row r="189" spans="1:4" x14ac:dyDescent="0.25">
      <c r="A189">
        <f>'0.Consolidado general'!$A190</f>
        <v>0</v>
      </c>
      <c r="B189" s="139" t="str">
        <f>IF(A189&lt;&gt;0,SUM('1.PUNTOS-PROD'!B189:U189),"")</f>
        <v/>
      </c>
      <c r="C189" s="139" t="str">
        <f>IF(A189&lt;&gt;0,SUM('1.PUNTOS-PROD'!V189:AO189),"")</f>
        <v/>
      </c>
      <c r="D189" s="139" t="str">
        <f>IF(A189&lt;&gt;0,SUM('1.PUNTOS-PROD'!AP189:BK189),"")</f>
        <v/>
      </c>
    </row>
    <row r="190" spans="1:4" x14ac:dyDescent="0.25">
      <c r="A190">
        <f>'0.Consolidado general'!$A191</f>
        <v>0</v>
      </c>
      <c r="B190" s="139" t="str">
        <f>IF(A190&lt;&gt;0,SUM('1.PUNTOS-PROD'!B190:U190),"")</f>
        <v/>
      </c>
      <c r="C190" s="139" t="str">
        <f>IF(A190&lt;&gt;0,SUM('1.PUNTOS-PROD'!V190:AO190),"")</f>
        <v/>
      </c>
      <c r="D190" s="139" t="str">
        <f>IF(A190&lt;&gt;0,SUM('1.PUNTOS-PROD'!AP190:BK190),"")</f>
        <v/>
      </c>
    </row>
    <row r="191" spans="1:4" x14ac:dyDescent="0.25">
      <c r="A191">
        <f>'0.Consolidado general'!$A192</f>
        <v>0</v>
      </c>
      <c r="B191" s="139" t="str">
        <f>IF(A191&lt;&gt;0,SUM('1.PUNTOS-PROD'!B191:U191),"")</f>
        <v/>
      </c>
      <c r="C191" s="139" t="str">
        <f>IF(A191&lt;&gt;0,SUM('1.PUNTOS-PROD'!V191:AO191),"")</f>
        <v/>
      </c>
      <c r="D191" s="139" t="str">
        <f>IF(A191&lt;&gt;0,SUM('1.PUNTOS-PROD'!AP191:BK191),"")</f>
        <v/>
      </c>
    </row>
    <row r="192" spans="1:4" x14ac:dyDescent="0.25">
      <c r="A192">
        <f>'0.Consolidado general'!$A193</f>
        <v>0</v>
      </c>
      <c r="B192" s="139" t="str">
        <f>IF(A192&lt;&gt;0,SUM('1.PUNTOS-PROD'!B192:U192),"")</f>
        <v/>
      </c>
      <c r="C192" s="139" t="str">
        <f>IF(A192&lt;&gt;0,SUM('1.PUNTOS-PROD'!V192:AO192),"")</f>
        <v/>
      </c>
      <c r="D192" s="139" t="str">
        <f>IF(A192&lt;&gt;0,SUM('1.PUNTOS-PROD'!AP192:BK192),"")</f>
        <v/>
      </c>
    </row>
    <row r="193" spans="1:4" x14ac:dyDescent="0.25">
      <c r="A193">
        <f>'0.Consolidado general'!$A194</f>
        <v>0</v>
      </c>
      <c r="B193" s="139" t="str">
        <f>IF(A193&lt;&gt;0,SUM('1.PUNTOS-PROD'!B193:U193),"")</f>
        <v/>
      </c>
      <c r="C193" s="139" t="str">
        <f>IF(A193&lt;&gt;0,SUM('1.PUNTOS-PROD'!V193:AO193),"")</f>
        <v/>
      </c>
      <c r="D193" s="139" t="str">
        <f>IF(A193&lt;&gt;0,SUM('1.PUNTOS-PROD'!AP193:BK193),"")</f>
        <v/>
      </c>
    </row>
    <row r="194" spans="1:4" x14ac:dyDescent="0.25">
      <c r="A194">
        <f>'0.Consolidado general'!$A195</f>
        <v>0</v>
      </c>
      <c r="B194" s="139" t="str">
        <f>IF(A194&lt;&gt;0,SUM('1.PUNTOS-PROD'!B194:U194),"")</f>
        <v/>
      </c>
      <c r="C194" s="139" t="str">
        <f>IF(A194&lt;&gt;0,SUM('1.PUNTOS-PROD'!V194:AO194),"")</f>
        <v/>
      </c>
      <c r="D194" s="139" t="str">
        <f>IF(A194&lt;&gt;0,SUM('1.PUNTOS-PROD'!AP194:BK194),"")</f>
        <v/>
      </c>
    </row>
    <row r="195" spans="1:4" x14ac:dyDescent="0.25">
      <c r="A195">
        <f>'0.Consolidado general'!$A196</f>
        <v>0</v>
      </c>
      <c r="B195" s="139" t="str">
        <f>IF(A195&lt;&gt;0,SUM('1.PUNTOS-PROD'!B195:U195),"")</f>
        <v/>
      </c>
      <c r="C195" s="139" t="str">
        <f>IF(A195&lt;&gt;0,SUM('1.PUNTOS-PROD'!V195:AO195),"")</f>
        <v/>
      </c>
      <c r="D195" s="139" t="str">
        <f>IF(A195&lt;&gt;0,SUM('1.PUNTOS-PROD'!AP195:BK195),"")</f>
        <v/>
      </c>
    </row>
    <row r="196" spans="1:4" x14ac:dyDescent="0.25">
      <c r="A196">
        <f>'0.Consolidado general'!$A197</f>
        <v>0</v>
      </c>
      <c r="B196" s="139" t="str">
        <f>IF(A196&lt;&gt;0,SUM('1.PUNTOS-PROD'!B196:U196),"")</f>
        <v/>
      </c>
      <c r="C196" s="139" t="str">
        <f>IF(A196&lt;&gt;0,SUM('1.PUNTOS-PROD'!V196:AO196),"")</f>
        <v/>
      </c>
      <c r="D196" s="139" t="str">
        <f>IF(A196&lt;&gt;0,SUM('1.PUNTOS-PROD'!AP196:BK196),"")</f>
        <v/>
      </c>
    </row>
    <row r="197" spans="1:4" x14ac:dyDescent="0.25">
      <c r="A197">
        <f>'0.Consolidado general'!$A198</f>
        <v>0</v>
      </c>
      <c r="B197" s="139" t="str">
        <f>IF(A197&lt;&gt;0,SUM('1.PUNTOS-PROD'!B197:U197),"")</f>
        <v/>
      </c>
      <c r="C197" s="139" t="str">
        <f>IF(A197&lt;&gt;0,SUM('1.PUNTOS-PROD'!V197:AO197),"")</f>
        <v/>
      </c>
      <c r="D197" s="139" t="str">
        <f>IF(A197&lt;&gt;0,SUM('1.PUNTOS-PROD'!AP197:BK197),"")</f>
        <v/>
      </c>
    </row>
    <row r="198" spans="1:4" x14ac:dyDescent="0.25">
      <c r="A198">
        <f>'0.Consolidado general'!$A199</f>
        <v>0</v>
      </c>
      <c r="B198" s="139" t="str">
        <f>IF(A198&lt;&gt;0,SUM('1.PUNTOS-PROD'!B198:U198),"")</f>
        <v/>
      </c>
      <c r="C198" s="139" t="str">
        <f>IF(A198&lt;&gt;0,SUM('1.PUNTOS-PROD'!V198:AO198),"")</f>
        <v/>
      </c>
      <c r="D198" s="139" t="str">
        <f>IF(A198&lt;&gt;0,SUM('1.PUNTOS-PROD'!AP198:BK198),"")</f>
        <v/>
      </c>
    </row>
    <row r="199" spans="1:4" x14ac:dyDescent="0.25">
      <c r="A199">
        <f>'0.Consolidado general'!$A200</f>
        <v>0</v>
      </c>
      <c r="B199" s="139" t="str">
        <f>IF(A199&lt;&gt;0,SUM('1.PUNTOS-PROD'!B199:U199),"")</f>
        <v/>
      </c>
      <c r="C199" s="139" t="str">
        <f>IF(A199&lt;&gt;0,SUM('1.PUNTOS-PROD'!V199:AO199),"")</f>
        <v/>
      </c>
      <c r="D199" s="139" t="str">
        <f>IF(A199&lt;&gt;0,SUM('1.PUNTOS-PROD'!AP199:BK199),"")</f>
        <v/>
      </c>
    </row>
    <row r="200" spans="1:4" x14ac:dyDescent="0.25">
      <c r="A200">
        <f>'0.Consolidado general'!$A201</f>
        <v>0</v>
      </c>
      <c r="B200" s="139" t="str">
        <f>IF(A200&lt;&gt;0,SUM('1.PUNTOS-PROD'!B200:U200),"")</f>
        <v/>
      </c>
      <c r="C200" s="139" t="str">
        <f>IF(A200&lt;&gt;0,SUM('1.PUNTOS-PROD'!V200:AO200),"")</f>
        <v/>
      </c>
      <c r="D200" s="139" t="str">
        <f>IF(A200&lt;&gt;0,SUM('1.PUNTOS-PROD'!AP200:BK200),"")</f>
        <v/>
      </c>
    </row>
    <row r="201" spans="1:4" x14ac:dyDescent="0.25">
      <c r="A201">
        <f>'0.Consolidado general'!$A202</f>
        <v>0</v>
      </c>
      <c r="B201" s="139" t="str">
        <f>IF(A201&lt;&gt;0,SUM('1.PUNTOS-PROD'!B201:U201),"")</f>
        <v/>
      </c>
      <c r="C201" s="139" t="str">
        <f>IF(A201&lt;&gt;0,SUM('1.PUNTOS-PROD'!V201:AO201),"")</f>
        <v/>
      </c>
      <c r="D201" s="139" t="str">
        <f>IF(A201&lt;&gt;0,SUM('1.PUNTOS-PROD'!AP201:BK201),"")</f>
        <v/>
      </c>
    </row>
    <row r="202" spans="1:4" x14ac:dyDescent="0.25">
      <c r="A202">
        <f>'0.Consolidado general'!$A203</f>
        <v>0</v>
      </c>
      <c r="B202" s="139" t="str">
        <f>IF(A202&lt;&gt;0,SUM('1.PUNTOS-PROD'!B202:U202),"")</f>
        <v/>
      </c>
      <c r="C202" s="139" t="str">
        <f>IF(A202&lt;&gt;0,SUM('1.PUNTOS-PROD'!V202:AO202),"")</f>
        <v/>
      </c>
      <c r="D202" s="139" t="str">
        <f>IF(A202&lt;&gt;0,SUM('1.PUNTOS-PROD'!AP202:BK202),"")</f>
        <v/>
      </c>
    </row>
    <row r="203" spans="1:4" x14ac:dyDescent="0.25">
      <c r="A203">
        <f>'0.Consolidado general'!$A204</f>
        <v>0</v>
      </c>
      <c r="B203" s="139" t="str">
        <f>IF(A203&lt;&gt;0,SUM('1.PUNTOS-PROD'!B203:U203),"")</f>
        <v/>
      </c>
      <c r="C203" s="139" t="str">
        <f>IF(A203&lt;&gt;0,SUM('1.PUNTOS-PROD'!V203:AO203),"")</f>
        <v/>
      </c>
      <c r="D203" s="139" t="str">
        <f>IF(A203&lt;&gt;0,SUM('1.PUNTOS-PROD'!AP203:BK203),"")</f>
        <v/>
      </c>
    </row>
    <row r="204" spans="1:4" x14ac:dyDescent="0.25">
      <c r="A204">
        <f>'0.Consolidado general'!$A205</f>
        <v>0</v>
      </c>
      <c r="B204" s="139" t="str">
        <f>IF(A204&lt;&gt;0,SUM('1.PUNTOS-PROD'!B204:U204),"")</f>
        <v/>
      </c>
      <c r="C204" s="139" t="str">
        <f>IF(A204&lt;&gt;0,SUM('1.PUNTOS-PROD'!V204:AO204),"")</f>
        <v/>
      </c>
      <c r="D204" s="139" t="str">
        <f>IF(A204&lt;&gt;0,SUM('1.PUNTOS-PROD'!AP204:BK204),"")</f>
        <v/>
      </c>
    </row>
    <row r="205" spans="1:4" x14ac:dyDescent="0.25">
      <c r="A205">
        <f>'0.Consolidado general'!$A206</f>
        <v>0</v>
      </c>
      <c r="B205" s="139" t="str">
        <f>IF(A205&lt;&gt;0,SUM('1.PUNTOS-PROD'!B205:U205),"")</f>
        <v/>
      </c>
      <c r="C205" s="139" t="str">
        <f>IF(A205&lt;&gt;0,SUM('1.PUNTOS-PROD'!V205:AO205),"")</f>
        <v/>
      </c>
      <c r="D205" s="139" t="str">
        <f>IF(A205&lt;&gt;0,SUM('1.PUNTOS-PROD'!AP205:BK205),"")</f>
        <v/>
      </c>
    </row>
    <row r="206" spans="1:4" x14ac:dyDescent="0.25">
      <c r="A206">
        <f>'0.Consolidado general'!$A207</f>
        <v>0</v>
      </c>
      <c r="B206" s="139" t="str">
        <f>IF(A206&lt;&gt;0,SUM('1.PUNTOS-PROD'!B206:U206),"")</f>
        <v/>
      </c>
      <c r="C206" s="139" t="str">
        <f>IF(A206&lt;&gt;0,SUM('1.PUNTOS-PROD'!V206:AO206),"")</f>
        <v/>
      </c>
      <c r="D206" s="139" t="str">
        <f>IF(A206&lt;&gt;0,SUM('1.PUNTOS-PROD'!AP206:BK206),"")</f>
        <v/>
      </c>
    </row>
    <row r="207" spans="1:4" x14ac:dyDescent="0.25">
      <c r="A207">
        <f>'0.Consolidado general'!$A208</f>
        <v>0</v>
      </c>
      <c r="B207" s="139" t="str">
        <f>IF(A207&lt;&gt;0,SUM('1.PUNTOS-PROD'!B207:U207),"")</f>
        <v/>
      </c>
      <c r="C207" s="139" t="str">
        <f>IF(A207&lt;&gt;0,SUM('1.PUNTOS-PROD'!V207:AO207),"")</f>
        <v/>
      </c>
      <c r="D207" s="139" t="str">
        <f>IF(A207&lt;&gt;0,SUM('1.PUNTOS-PROD'!AP207:BK207),"")</f>
        <v/>
      </c>
    </row>
    <row r="208" spans="1:4" x14ac:dyDescent="0.25">
      <c r="A208">
        <f>'0.Consolidado general'!$A209</f>
        <v>0</v>
      </c>
      <c r="B208" s="139" t="str">
        <f>IF(A208&lt;&gt;0,SUM('1.PUNTOS-PROD'!B208:U208),"")</f>
        <v/>
      </c>
      <c r="C208" s="139" t="str">
        <f>IF(A208&lt;&gt;0,SUM('1.PUNTOS-PROD'!V208:AO208),"")</f>
        <v/>
      </c>
      <c r="D208" s="139" t="str">
        <f>IF(A208&lt;&gt;0,SUM('1.PUNTOS-PROD'!AP208:BK208),"")</f>
        <v/>
      </c>
    </row>
    <row r="209" spans="1:4" x14ac:dyDescent="0.25">
      <c r="A209">
        <f>'0.Consolidado general'!$A210</f>
        <v>0</v>
      </c>
      <c r="B209" s="139" t="str">
        <f>IF(A209&lt;&gt;0,SUM('1.PUNTOS-PROD'!B209:U209),"")</f>
        <v/>
      </c>
      <c r="C209" s="139" t="str">
        <f>IF(A209&lt;&gt;0,SUM('1.PUNTOS-PROD'!V209:AO209),"")</f>
        <v/>
      </c>
      <c r="D209" s="139" t="str">
        <f>IF(A209&lt;&gt;0,SUM('1.PUNTOS-PROD'!AP209:BK209),"")</f>
        <v/>
      </c>
    </row>
    <row r="210" spans="1:4" x14ac:dyDescent="0.25">
      <c r="A210">
        <f>'0.Consolidado general'!$A211</f>
        <v>0</v>
      </c>
      <c r="B210" s="139" t="str">
        <f>IF(A210&lt;&gt;0,SUM('1.PUNTOS-PROD'!B210:U210),"")</f>
        <v/>
      </c>
      <c r="C210" s="139" t="str">
        <f>IF(A210&lt;&gt;0,SUM('1.PUNTOS-PROD'!V210:AO210),"")</f>
        <v/>
      </c>
      <c r="D210" s="139" t="str">
        <f>IF(A210&lt;&gt;0,SUM('1.PUNTOS-PROD'!AP210:BK210),"")</f>
        <v/>
      </c>
    </row>
    <row r="211" spans="1:4" x14ac:dyDescent="0.25">
      <c r="A211">
        <f>'0.Consolidado general'!$A212</f>
        <v>0</v>
      </c>
      <c r="B211" s="139" t="str">
        <f>IF(A211&lt;&gt;0,SUM('1.PUNTOS-PROD'!B211:U211),"")</f>
        <v/>
      </c>
      <c r="C211" s="139" t="str">
        <f>IF(A211&lt;&gt;0,SUM('1.PUNTOS-PROD'!V211:AO211),"")</f>
        <v/>
      </c>
      <c r="D211" s="139" t="str">
        <f>IF(A211&lt;&gt;0,SUM('1.PUNTOS-PROD'!AP211:BK211),"")</f>
        <v/>
      </c>
    </row>
    <row r="212" spans="1:4" x14ac:dyDescent="0.25">
      <c r="A212">
        <f>'0.Consolidado general'!$A213</f>
        <v>0</v>
      </c>
      <c r="B212" s="139" t="str">
        <f>IF(A212&lt;&gt;0,SUM('1.PUNTOS-PROD'!B212:U212),"")</f>
        <v/>
      </c>
      <c r="C212" s="139" t="str">
        <f>IF(A212&lt;&gt;0,SUM('1.PUNTOS-PROD'!V212:AO212),"")</f>
        <v/>
      </c>
      <c r="D212" s="139" t="str">
        <f>IF(A212&lt;&gt;0,SUM('1.PUNTOS-PROD'!AP212:BK212),"")</f>
        <v/>
      </c>
    </row>
    <row r="213" spans="1:4" x14ac:dyDescent="0.25">
      <c r="A213">
        <f>'0.Consolidado general'!$A214</f>
        <v>0</v>
      </c>
      <c r="B213" s="139" t="str">
        <f>IF(A213&lt;&gt;0,SUM('1.PUNTOS-PROD'!B213:U213),"")</f>
        <v/>
      </c>
      <c r="C213" s="139" t="str">
        <f>IF(A213&lt;&gt;0,SUM('1.PUNTOS-PROD'!V213:AO213),"")</f>
        <v/>
      </c>
      <c r="D213" s="139" t="str">
        <f>IF(A213&lt;&gt;0,SUM('1.PUNTOS-PROD'!AP213:BK213),"")</f>
        <v/>
      </c>
    </row>
    <row r="214" spans="1:4" x14ac:dyDescent="0.25">
      <c r="A214">
        <f>'0.Consolidado general'!$A215</f>
        <v>0</v>
      </c>
      <c r="B214" s="139" t="str">
        <f>IF(A214&lt;&gt;0,SUM('1.PUNTOS-PROD'!B214:U214),"")</f>
        <v/>
      </c>
      <c r="C214" s="139" t="str">
        <f>IF(A214&lt;&gt;0,SUM('1.PUNTOS-PROD'!V214:AO214),"")</f>
        <v/>
      </c>
      <c r="D214" s="139" t="str">
        <f>IF(A214&lt;&gt;0,SUM('1.PUNTOS-PROD'!AP214:BK214),"")</f>
        <v/>
      </c>
    </row>
    <row r="215" spans="1:4" x14ac:dyDescent="0.25">
      <c r="A215">
        <f>'0.Consolidado general'!$A216</f>
        <v>0</v>
      </c>
      <c r="B215" s="139" t="str">
        <f>IF(A215&lt;&gt;0,SUM('1.PUNTOS-PROD'!B215:U215),"")</f>
        <v/>
      </c>
      <c r="C215" s="139" t="str">
        <f>IF(A215&lt;&gt;0,SUM('1.PUNTOS-PROD'!V215:AO215),"")</f>
        <v/>
      </c>
      <c r="D215" s="139" t="str">
        <f>IF(A215&lt;&gt;0,SUM('1.PUNTOS-PROD'!AP215:BK215),"")</f>
        <v/>
      </c>
    </row>
    <row r="216" spans="1:4" x14ac:dyDescent="0.25">
      <c r="A216">
        <f>'0.Consolidado general'!$A217</f>
        <v>0</v>
      </c>
      <c r="B216" s="139" t="str">
        <f>IF(A216&lt;&gt;0,SUM('1.PUNTOS-PROD'!B216:U216),"")</f>
        <v/>
      </c>
      <c r="C216" s="139" t="str">
        <f>IF(A216&lt;&gt;0,SUM('1.PUNTOS-PROD'!V216:AO216),"")</f>
        <v/>
      </c>
      <c r="D216" s="139" t="str">
        <f>IF(A216&lt;&gt;0,SUM('1.PUNTOS-PROD'!AP216:BK216),"")</f>
        <v/>
      </c>
    </row>
    <row r="217" spans="1:4" x14ac:dyDescent="0.25">
      <c r="A217">
        <f>'0.Consolidado general'!$A218</f>
        <v>0</v>
      </c>
      <c r="B217" s="139" t="str">
        <f>IF(A217&lt;&gt;0,SUM('1.PUNTOS-PROD'!B217:U217),"")</f>
        <v/>
      </c>
      <c r="C217" s="139" t="str">
        <f>IF(A217&lt;&gt;0,SUM('1.PUNTOS-PROD'!V217:AO217),"")</f>
        <v/>
      </c>
      <c r="D217" s="139" t="str">
        <f>IF(A217&lt;&gt;0,SUM('1.PUNTOS-PROD'!AP217:BK217),"")</f>
        <v/>
      </c>
    </row>
    <row r="218" spans="1:4" x14ac:dyDescent="0.25">
      <c r="A218">
        <f>'0.Consolidado general'!$A219</f>
        <v>0</v>
      </c>
      <c r="B218" s="139" t="str">
        <f>IF(A218&lt;&gt;0,SUM('1.PUNTOS-PROD'!B218:U218),"")</f>
        <v/>
      </c>
      <c r="C218" s="139" t="str">
        <f>IF(A218&lt;&gt;0,SUM('1.PUNTOS-PROD'!V218:AO218),"")</f>
        <v/>
      </c>
      <c r="D218" s="139" t="str">
        <f>IF(A218&lt;&gt;0,SUM('1.PUNTOS-PROD'!AP218:BK218),"")</f>
        <v/>
      </c>
    </row>
    <row r="219" spans="1:4" x14ac:dyDescent="0.25">
      <c r="A219">
        <f>'0.Consolidado general'!$A220</f>
        <v>0</v>
      </c>
      <c r="B219" s="139" t="str">
        <f>IF(A219&lt;&gt;0,SUM('1.PUNTOS-PROD'!B219:U219),"")</f>
        <v/>
      </c>
      <c r="C219" s="139" t="str">
        <f>IF(A219&lt;&gt;0,SUM('1.PUNTOS-PROD'!V219:AO219),"")</f>
        <v/>
      </c>
      <c r="D219" s="139" t="str">
        <f>IF(A219&lt;&gt;0,SUM('1.PUNTOS-PROD'!AP219:BK219),"")</f>
        <v/>
      </c>
    </row>
    <row r="220" spans="1:4" x14ac:dyDescent="0.25">
      <c r="A220">
        <f>'0.Consolidado general'!$A221</f>
        <v>0</v>
      </c>
      <c r="B220" s="139" t="str">
        <f>IF(A220&lt;&gt;0,SUM('1.PUNTOS-PROD'!B220:U220),"")</f>
        <v/>
      </c>
      <c r="C220" s="139" t="str">
        <f>IF(A220&lt;&gt;0,SUM('1.PUNTOS-PROD'!V220:AO220),"")</f>
        <v/>
      </c>
      <c r="D220" s="139" t="str">
        <f>IF(A220&lt;&gt;0,SUM('1.PUNTOS-PROD'!AP220:BK220),"")</f>
        <v/>
      </c>
    </row>
    <row r="221" spans="1:4" x14ac:dyDescent="0.25">
      <c r="A221">
        <f>'0.Consolidado general'!$A222</f>
        <v>0</v>
      </c>
      <c r="B221" s="139" t="str">
        <f>IF(A221&lt;&gt;0,SUM('1.PUNTOS-PROD'!B221:U221),"")</f>
        <v/>
      </c>
      <c r="C221" s="139" t="str">
        <f>IF(A221&lt;&gt;0,SUM('1.PUNTOS-PROD'!V221:AO221),"")</f>
        <v/>
      </c>
      <c r="D221" s="139" t="str">
        <f>IF(A221&lt;&gt;0,SUM('1.PUNTOS-PROD'!AP221:BK221),"")</f>
        <v/>
      </c>
    </row>
    <row r="222" spans="1:4" x14ac:dyDescent="0.25">
      <c r="A222">
        <f>'0.Consolidado general'!$A223</f>
        <v>0</v>
      </c>
      <c r="B222" s="139" t="str">
        <f>IF(A222&lt;&gt;0,SUM('1.PUNTOS-PROD'!B222:U222),"")</f>
        <v/>
      </c>
      <c r="C222" s="139" t="str">
        <f>IF(A222&lt;&gt;0,SUM('1.PUNTOS-PROD'!V222:AO222),"")</f>
        <v/>
      </c>
      <c r="D222" s="139" t="str">
        <f>IF(A222&lt;&gt;0,SUM('1.PUNTOS-PROD'!AP222:BK222),"")</f>
        <v/>
      </c>
    </row>
    <row r="223" spans="1:4" x14ac:dyDescent="0.25">
      <c r="A223">
        <f>'0.Consolidado general'!$A224</f>
        <v>0</v>
      </c>
      <c r="B223" s="139" t="str">
        <f>IF(A223&lt;&gt;0,SUM('1.PUNTOS-PROD'!B223:U223),"")</f>
        <v/>
      </c>
      <c r="C223" s="139" t="str">
        <f>IF(A223&lt;&gt;0,SUM('1.PUNTOS-PROD'!V223:AO223),"")</f>
        <v/>
      </c>
      <c r="D223" s="139" t="str">
        <f>IF(A223&lt;&gt;0,SUM('1.PUNTOS-PROD'!AP223:BK223),"")</f>
        <v/>
      </c>
    </row>
    <row r="224" spans="1:4" x14ac:dyDescent="0.25">
      <c r="A224">
        <f>'0.Consolidado general'!$A225</f>
        <v>0</v>
      </c>
      <c r="B224" s="139" t="str">
        <f>IF(A224&lt;&gt;0,SUM('1.PUNTOS-PROD'!B224:U224),"")</f>
        <v/>
      </c>
      <c r="C224" s="139" t="str">
        <f>IF(A224&lt;&gt;0,SUM('1.PUNTOS-PROD'!V224:AO224),"")</f>
        <v/>
      </c>
      <c r="D224" s="139" t="str">
        <f>IF(A224&lt;&gt;0,SUM('1.PUNTOS-PROD'!AP224:BK224),"")</f>
        <v/>
      </c>
    </row>
    <row r="225" spans="1:4" x14ac:dyDescent="0.25">
      <c r="A225">
        <f>'0.Consolidado general'!$A226</f>
        <v>0</v>
      </c>
      <c r="B225" s="139" t="str">
        <f>IF(A225&lt;&gt;0,SUM('1.PUNTOS-PROD'!B225:U225),"")</f>
        <v/>
      </c>
      <c r="C225" s="139" t="str">
        <f>IF(A225&lt;&gt;0,SUM('1.PUNTOS-PROD'!V225:AO225),"")</f>
        <v/>
      </c>
      <c r="D225" s="139" t="str">
        <f>IF(A225&lt;&gt;0,SUM('1.PUNTOS-PROD'!AP225:BK225),"")</f>
        <v/>
      </c>
    </row>
    <row r="226" spans="1:4" x14ac:dyDescent="0.25">
      <c r="A226">
        <f>'0.Consolidado general'!$A227</f>
        <v>0</v>
      </c>
      <c r="B226" s="139" t="str">
        <f>IF(A226&lt;&gt;0,SUM('1.PUNTOS-PROD'!B226:U226),"")</f>
        <v/>
      </c>
      <c r="C226" s="139" t="str">
        <f>IF(A226&lt;&gt;0,SUM('1.PUNTOS-PROD'!V226:AO226),"")</f>
        <v/>
      </c>
      <c r="D226" s="139" t="str">
        <f>IF(A226&lt;&gt;0,SUM('1.PUNTOS-PROD'!AP226:BK226),"")</f>
        <v/>
      </c>
    </row>
    <row r="227" spans="1:4" x14ac:dyDescent="0.25">
      <c r="A227">
        <f>'0.Consolidado general'!$A228</f>
        <v>0</v>
      </c>
      <c r="B227" s="139" t="str">
        <f>IF(A227&lt;&gt;0,SUM('1.PUNTOS-PROD'!B227:U227),"")</f>
        <v/>
      </c>
      <c r="C227" s="139" t="str">
        <f>IF(A227&lt;&gt;0,SUM('1.PUNTOS-PROD'!V227:AO227),"")</f>
        <v/>
      </c>
      <c r="D227" s="139" t="str">
        <f>IF(A227&lt;&gt;0,SUM('1.PUNTOS-PROD'!AP227:BK227),"")</f>
        <v/>
      </c>
    </row>
    <row r="228" spans="1:4" x14ac:dyDescent="0.25">
      <c r="A228">
        <f>'0.Consolidado general'!$A229</f>
        <v>0</v>
      </c>
      <c r="B228" s="139" t="str">
        <f>IF(A228&lt;&gt;0,SUM('1.PUNTOS-PROD'!B228:U228),"")</f>
        <v/>
      </c>
      <c r="C228" s="139" t="str">
        <f>IF(A228&lt;&gt;0,SUM('1.PUNTOS-PROD'!V228:AO228),"")</f>
        <v/>
      </c>
      <c r="D228" s="139" t="str">
        <f>IF(A228&lt;&gt;0,SUM('1.PUNTOS-PROD'!AP228:BK228),"")</f>
        <v/>
      </c>
    </row>
    <row r="229" spans="1:4" x14ac:dyDescent="0.25">
      <c r="A229">
        <f>'0.Consolidado general'!$A230</f>
        <v>0</v>
      </c>
      <c r="B229" s="139" t="str">
        <f>IF(A229&lt;&gt;0,SUM('1.PUNTOS-PROD'!B229:U229),"")</f>
        <v/>
      </c>
      <c r="C229" s="139" t="str">
        <f>IF(A229&lt;&gt;0,SUM('1.PUNTOS-PROD'!V229:AO229),"")</f>
        <v/>
      </c>
      <c r="D229" s="139" t="str">
        <f>IF(A229&lt;&gt;0,SUM('1.PUNTOS-PROD'!AP229:BK229),"")</f>
        <v/>
      </c>
    </row>
    <row r="230" spans="1:4" x14ac:dyDescent="0.25">
      <c r="A230">
        <f>'0.Consolidado general'!$A231</f>
        <v>0</v>
      </c>
      <c r="B230" s="139" t="str">
        <f>IF(A230&lt;&gt;0,SUM('1.PUNTOS-PROD'!B230:U230),"")</f>
        <v/>
      </c>
      <c r="C230" s="139" t="str">
        <f>IF(A230&lt;&gt;0,SUM('1.PUNTOS-PROD'!V230:AO230),"")</f>
        <v/>
      </c>
      <c r="D230" s="139" t="str">
        <f>IF(A230&lt;&gt;0,SUM('1.PUNTOS-PROD'!AP230:BK230),"")</f>
        <v/>
      </c>
    </row>
    <row r="231" spans="1:4" x14ac:dyDescent="0.25">
      <c r="A231">
        <f>'0.Consolidado general'!$A232</f>
        <v>0</v>
      </c>
      <c r="B231" s="139" t="str">
        <f>IF(A231&lt;&gt;0,SUM('1.PUNTOS-PROD'!B231:U231),"")</f>
        <v/>
      </c>
      <c r="C231" s="139" t="str">
        <f>IF(A231&lt;&gt;0,SUM('1.PUNTOS-PROD'!V231:AO231),"")</f>
        <v/>
      </c>
      <c r="D231" s="139" t="str">
        <f>IF(A231&lt;&gt;0,SUM('1.PUNTOS-PROD'!AP231:BK231),"")</f>
        <v/>
      </c>
    </row>
    <row r="232" spans="1:4" x14ac:dyDescent="0.25">
      <c r="A232">
        <f>'0.Consolidado general'!$A233</f>
        <v>0</v>
      </c>
      <c r="B232" s="139" t="str">
        <f>IF(A232&lt;&gt;0,SUM('1.PUNTOS-PROD'!B232:U232),"")</f>
        <v/>
      </c>
      <c r="C232" s="139" t="str">
        <f>IF(A232&lt;&gt;0,SUM('1.PUNTOS-PROD'!V232:AO232),"")</f>
        <v/>
      </c>
      <c r="D232" s="139" t="str">
        <f>IF(A232&lt;&gt;0,SUM('1.PUNTOS-PROD'!AP232:BK232),"")</f>
        <v/>
      </c>
    </row>
    <row r="233" spans="1:4" x14ac:dyDescent="0.25">
      <c r="A233">
        <f>'0.Consolidado general'!$A234</f>
        <v>0</v>
      </c>
      <c r="B233" s="139" t="str">
        <f>IF(A233&lt;&gt;0,SUM('1.PUNTOS-PROD'!B233:U233),"")</f>
        <v/>
      </c>
      <c r="C233" s="139" t="str">
        <f>IF(A233&lt;&gt;0,SUM('1.PUNTOS-PROD'!V233:AO233),"")</f>
        <v/>
      </c>
      <c r="D233" s="139" t="str">
        <f>IF(A233&lt;&gt;0,SUM('1.PUNTOS-PROD'!AP233:BK233),"")</f>
        <v/>
      </c>
    </row>
    <row r="234" spans="1:4" x14ac:dyDescent="0.25">
      <c r="A234">
        <f>'0.Consolidado general'!$A235</f>
        <v>0</v>
      </c>
      <c r="B234" s="139" t="str">
        <f>IF(A234&lt;&gt;0,SUM('1.PUNTOS-PROD'!B234:U234),"")</f>
        <v/>
      </c>
      <c r="C234" s="139" t="str">
        <f>IF(A234&lt;&gt;0,SUM('1.PUNTOS-PROD'!V234:AO234),"")</f>
        <v/>
      </c>
      <c r="D234" s="139" t="str">
        <f>IF(A234&lt;&gt;0,SUM('1.PUNTOS-PROD'!AP234:BK234),"")</f>
        <v/>
      </c>
    </row>
    <row r="235" spans="1:4" x14ac:dyDescent="0.25">
      <c r="A235">
        <f>'0.Consolidado general'!$A236</f>
        <v>0</v>
      </c>
      <c r="B235" s="139" t="str">
        <f>IF(A235&lt;&gt;0,SUM('1.PUNTOS-PROD'!B235:U235),"")</f>
        <v/>
      </c>
      <c r="C235" s="139" t="str">
        <f>IF(A235&lt;&gt;0,SUM('1.PUNTOS-PROD'!V235:AO235),"")</f>
        <v/>
      </c>
      <c r="D235" s="139" t="str">
        <f>IF(A235&lt;&gt;0,SUM('1.PUNTOS-PROD'!AP235:BK235),"")</f>
        <v/>
      </c>
    </row>
    <row r="236" spans="1:4" x14ac:dyDescent="0.25">
      <c r="A236">
        <f>'0.Consolidado general'!$A237</f>
        <v>0</v>
      </c>
      <c r="B236" s="139" t="str">
        <f>IF(A236&lt;&gt;0,SUM('1.PUNTOS-PROD'!B236:U236),"")</f>
        <v/>
      </c>
      <c r="C236" s="139" t="str">
        <f>IF(A236&lt;&gt;0,SUM('1.PUNTOS-PROD'!V236:AO236),"")</f>
        <v/>
      </c>
      <c r="D236" s="139" t="str">
        <f>IF(A236&lt;&gt;0,SUM('1.PUNTOS-PROD'!AP236:BK236),"")</f>
        <v/>
      </c>
    </row>
    <row r="237" spans="1:4" x14ac:dyDescent="0.25">
      <c r="A237">
        <f>'0.Consolidado general'!$A238</f>
        <v>0</v>
      </c>
      <c r="B237" s="139" t="str">
        <f>IF(A237&lt;&gt;0,SUM('1.PUNTOS-PROD'!B237:U237),"")</f>
        <v/>
      </c>
      <c r="C237" s="139" t="str">
        <f>IF(A237&lt;&gt;0,SUM('1.PUNTOS-PROD'!V237:AO237),"")</f>
        <v/>
      </c>
      <c r="D237" s="139" t="str">
        <f>IF(A237&lt;&gt;0,SUM('1.PUNTOS-PROD'!AP237:BK237),"")</f>
        <v/>
      </c>
    </row>
    <row r="238" spans="1:4" x14ac:dyDescent="0.25">
      <c r="A238">
        <f>'0.Consolidado general'!$A239</f>
        <v>0</v>
      </c>
      <c r="B238" s="139" t="str">
        <f>IF(A238&lt;&gt;0,SUM('1.PUNTOS-PROD'!B238:U238),"")</f>
        <v/>
      </c>
      <c r="C238" s="139" t="str">
        <f>IF(A238&lt;&gt;0,SUM('1.PUNTOS-PROD'!V238:AO238),"")</f>
        <v/>
      </c>
      <c r="D238" s="139" t="str">
        <f>IF(A238&lt;&gt;0,SUM('1.PUNTOS-PROD'!AP238:BK238),"")</f>
        <v/>
      </c>
    </row>
    <row r="239" spans="1:4" x14ac:dyDescent="0.25">
      <c r="A239">
        <f>'0.Consolidado general'!$A240</f>
        <v>0</v>
      </c>
      <c r="B239" s="139" t="str">
        <f>IF(A239&lt;&gt;0,SUM('1.PUNTOS-PROD'!B239:U239),"")</f>
        <v/>
      </c>
      <c r="C239" s="139" t="str">
        <f>IF(A239&lt;&gt;0,SUM('1.PUNTOS-PROD'!V239:AO239),"")</f>
        <v/>
      </c>
      <c r="D239" s="139" t="str">
        <f>IF(A239&lt;&gt;0,SUM('1.PUNTOS-PROD'!AP239:BK239),"")</f>
        <v/>
      </c>
    </row>
    <row r="240" spans="1:4" x14ac:dyDescent="0.25">
      <c r="A240">
        <f>'0.Consolidado general'!$A241</f>
        <v>0</v>
      </c>
      <c r="B240" s="139" t="str">
        <f>IF(A240&lt;&gt;0,SUM('1.PUNTOS-PROD'!B240:U240),"")</f>
        <v/>
      </c>
      <c r="C240" s="139" t="str">
        <f>IF(A240&lt;&gt;0,SUM('1.PUNTOS-PROD'!V240:AO240),"")</f>
        <v/>
      </c>
      <c r="D240" s="139" t="str">
        <f>IF(A240&lt;&gt;0,SUM('1.PUNTOS-PROD'!AP240:BK240),"")</f>
        <v/>
      </c>
    </row>
    <row r="241" spans="1:4" x14ac:dyDescent="0.25">
      <c r="A241">
        <f>'0.Consolidado general'!$A242</f>
        <v>0</v>
      </c>
      <c r="B241" s="139" t="str">
        <f>IF(A241&lt;&gt;0,SUM('1.PUNTOS-PROD'!B241:U241),"")</f>
        <v/>
      </c>
      <c r="C241" s="139" t="str">
        <f>IF(A241&lt;&gt;0,SUM('1.PUNTOS-PROD'!V241:AO241),"")</f>
        <v/>
      </c>
      <c r="D241" s="139" t="str">
        <f>IF(A241&lt;&gt;0,SUM('1.PUNTOS-PROD'!AP241:BK241),"")</f>
        <v/>
      </c>
    </row>
    <row r="242" spans="1:4" x14ac:dyDescent="0.25">
      <c r="A242">
        <f>'0.Consolidado general'!$A243</f>
        <v>0</v>
      </c>
      <c r="B242" s="139" t="str">
        <f>IF(A242&lt;&gt;0,SUM('1.PUNTOS-PROD'!B242:U242),"")</f>
        <v/>
      </c>
      <c r="C242" s="139" t="str">
        <f>IF(A242&lt;&gt;0,SUM('1.PUNTOS-PROD'!V242:AO242),"")</f>
        <v/>
      </c>
      <c r="D242" s="139" t="str">
        <f>IF(A242&lt;&gt;0,SUM('1.PUNTOS-PROD'!AP242:BK242),"")</f>
        <v/>
      </c>
    </row>
    <row r="243" spans="1:4" x14ac:dyDescent="0.25">
      <c r="A243">
        <f>'0.Consolidado general'!$A244</f>
        <v>0</v>
      </c>
      <c r="B243" s="139" t="str">
        <f>IF(A243&lt;&gt;0,SUM('1.PUNTOS-PROD'!B243:U243),"")</f>
        <v/>
      </c>
      <c r="C243" s="139" t="str">
        <f>IF(A243&lt;&gt;0,SUM('1.PUNTOS-PROD'!V243:AO243),"")</f>
        <v/>
      </c>
      <c r="D243" s="139" t="str">
        <f>IF(A243&lt;&gt;0,SUM('1.PUNTOS-PROD'!AP243:BK243),"")</f>
        <v/>
      </c>
    </row>
    <row r="244" spans="1:4" x14ac:dyDescent="0.25">
      <c r="A244">
        <f>'0.Consolidado general'!$A245</f>
        <v>0</v>
      </c>
      <c r="B244" s="139" t="str">
        <f>IF(A244&lt;&gt;0,SUM('1.PUNTOS-PROD'!B244:U244),"")</f>
        <v/>
      </c>
      <c r="C244" s="139" t="str">
        <f>IF(A244&lt;&gt;0,SUM('1.PUNTOS-PROD'!V244:AO244),"")</f>
        <v/>
      </c>
      <c r="D244" s="139" t="str">
        <f>IF(A244&lt;&gt;0,SUM('1.PUNTOS-PROD'!AP244:BK244),"")</f>
        <v/>
      </c>
    </row>
    <row r="245" spans="1:4" x14ac:dyDescent="0.25">
      <c r="A245">
        <f>'0.Consolidado general'!$A246</f>
        <v>0</v>
      </c>
      <c r="B245" s="139" t="str">
        <f>IF(A245&lt;&gt;0,SUM('1.PUNTOS-PROD'!B245:U245),"")</f>
        <v/>
      </c>
      <c r="C245" s="139" t="str">
        <f>IF(A245&lt;&gt;0,SUM('1.PUNTOS-PROD'!V245:AO245),"")</f>
        <v/>
      </c>
      <c r="D245" s="139" t="str">
        <f>IF(A245&lt;&gt;0,SUM('1.PUNTOS-PROD'!AP245:BK245),"")</f>
        <v/>
      </c>
    </row>
    <row r="246" spans="1:4" x14ac:dyDescent="0.25">
      <c r="A246">
        <f>'0.Consolidado general'!$A247</f>
        <v>0</v>
      </c>
      <c r="B246" s="139" t="str">
        <f>IF(A246&lt;&gt;0,SUM('1.PUNTOS-PROD'!B246:U246),"")</f>
        <v/>
      </c>
      <c r="C246" s="139" t="str">
        <f>IF(A246&lt;&gt;0,SUM('1.PUNTOS-PROD'!V246:AO246),"")</f>
        <v/>
      </c>
      <c r="D246" s="139" t="str">
        <f>IF(A246&lt;&gt;0,SUM('1.PUNTOS-PROD'!AP246:BK246),"")</f>
        <v/>
      </c>
    </row>
    <row r="247" spans="1:4" x14ac:dyDescent="0.25">
      <c r="A247">
        <f>'0.Consolidado general'!$A248</f>
        <v>0</v>
      </c>
      <c r="B247" s="139" t="str">
        <f>IF(A247&lt;&gt;0,SUM('1.PUNTOS-PROD'!B247:U247),"")</f>
        <v/>
      </c>
      <c r="C247" s="139" t="str">
        <f>IF(A247&lt;&gt;0,SUM('1.PUNTOS-PROD'!V247:AO247),"")</f>
        <v/>
      </c>
      <c r="D247" s="139" t="str">
        <f>IF(A247&lt;&gt;0,SUM('1.PUNTOS-PROD'!AP247:BK247),"")</f>
        <v/>
      </c>
    </row>
    <row r="248" spans="1:4" x14ac:dyDescent="0.25">
      <c r="A248">
        <f>'0.Consolidado general'!$A249</f>
        <v>0</v>
      </c>
      <c r="B248" s="139" t="str">
        <f>IF(A248&lt;&gt;0,SUM('1.PUNTOS-PROD'!B248:U248),"")</f>
        <v/>
      </c>
      <c r="C248" s="139" t="str">
        <f>IF(A248&lt;&gt;0,SUM('1.PUNTOS-PROD'!V248:AO248),"")</f>
        <v/>
      </c>
      <c r="D248" s="139" t="str">
        <f>IF(A248&lt;&gt;0,SUM('1.PUNTOS-PROD'!AP248:BK248),"")</f>
        <v/>
      </c>
    </row>
    <row r="249" spans="1:4" x14ac:dyDescent="0.25">
      <c r="A249">
        <f>'0.Consolidado general'!$A250</f>
        <v>0</v>
      </c>
      <c r="B249" s="139" t="str">
        <f>IF(A249&lt;&gt;0,SUM('1.PUNTOS-PROD'!B249:U249),"")</f>
        <v/>
      </c>
      <c r="C249" s="139" t="str">
        <f>IF(A249&lt;&gt;0,SUM('1.PUNTOS-PROD'!V249:AO249),"")</f>
        <v/>
      </c>
      <c r="D249" s="139" t="str">
        <f>IF(A249&lt;&gt;0,SUM('1.PUNTOS-PROD'!AP249:BK249),"")</f>
        <v/>
      </c>
    </row>
    <row r="250" spans="1:4" x14ac:dyDescent="0.25">
      <c r="A250">
        <f>'0.Consolidado general'!$A251</f>
        <v>0</v>
      </c>
      <c r="B250" s="139" t="str">
        <f>IF(A250&lt;&gt;0,SUM('1.PUNTOS-PROD'!B250:U250),"")</f>
        <v/>
      </c>
      <c r="C250" s="139" t="str">
        <f>IF(A250&lt;&gt;0,SUM('1.PUNTOS-PROD'!V250:AO250),"")</f>
        <v/>
      </c>
      <c r="D250" s="139" t="str">
        <f>IF(A250&lt;&gt;0,SUM('1.PUNTOS-PROD'!AP250:BK250),"")</f>
        <v/>
      </c>
    </row>
    <row r="251" spans="1:4" x14ac:dyDescent="0.25">
      <c r="A251">
        <f>'0.Consolidado general'!$A252</f>
        <v>0</v>
      </c>
      <c r="B251" s="139" t="str">
        <f>IF(A251&lt;&gt;0,SUM('1.PUNTOS-PROD'!B251:U251),"")</f>
        <v/>
      </c>
      <c r="C251" s="139" t="str">
        <f>IF(A251&lt;&gt;0,SUM('1.PUNTOS-PROD'!V251:AO251),"")</f>
        <v/>
      </c>
      <c r="D251" s="139" t="str">
        <f>IF(A251&lt;&gt;0,SUM('1.PUNTOS-PROD'!AP251:BK251),"")</f>
        <v/>
      </c>
    </row>
    <row r="252" spans="1:4" x14ac:dyDescent="0.25">
      <c r="A252">
        <f>'0.Consolidado general'!$A253</f>
        <v>0</v>
      </c>
      <c r="B252" s="139" t="str">
        <f>IF(A252&lt;&gt;0,SUM('1.PUNTOS-PROD'!B252:U252),"")</f>
        <v/>
      </c>
      <c r="C252" s="139" t="str">
        <f>IF(A252&lt;&gt;0,SUM('1.PUNTOS-PROD'!V252:AO252),"")</f>
        <v/>
      </c>
      <c r="D252" s="139" t="str">
        <f>IF(A252&lt;&gt;0,SUM('1.PUNTOS-PROD'!AP252:BK252),"")</f>
        <v/>
      </c>
    </row>
    <row r="253" spans="1:4" x14ac:dyDescent="0.25">
      <c r="A253">
        <f>'0.Consolidado general'!$A254</f>
        <v>0</v>
      </c>
      <c r="B253" s="139" t="str">
        <f>IF(A253&lt;&gt;0,SUM('1.PUNTOS-PROD'!B253:U253),"")</f>
        <v/>
      </c>
      <c r="C253" s="139" t="str">
        <f>IF(A253&lt;&gt;0,SUM('1.PUNTOS-PROD'!V253:AO253),"")</f>
        <v/>
      </c>
      <c r="D253" s="139" t="str">
        <f>IF(A253&lt;&gt;0,SUM('1.PUNTOS-PROD'!AP253:BK253),"")</f>
        <v/>
      </c>
    </row>
    <row r="254" spans="1:4" x14ac:dyDescent="0.25">
      <c r="A254">
        <f>'0.Consolidado general'!$A255</f>
        <v>0</v>
      </c>
      <c r="B254" s="139" t="str">
        <f>IF(A254&lt;&gt;0,SUM('1.PUNTOS-PROD'!B254:U254),"")</f>
        <v/>
      </c>
      <c r="C254" s="139" t="str">
        <f>IF(A254&lt;&gt;0,SUM('1.PUNTOS-PROD'!V254:AO254),"")</f>
        <v/>
      </c>
      <c r="D254" s="139" t="str">
        <f>IF(A254&lt;&gt;0,SUM('1.PUNTOS-PROD'!AP254:BK254),"")</f>
        <v/>
      </c>
    </row>
    <row r="255" spans="1:4" x14ac:dyDescent="0.25">
      <c r="A255">
        <f>'0.Consolidado general'!$A256</f>
        <v>0</v>
      </c>
      <c r="B255" s="139" t="str">
        <f>IF(A255&lt;&gt;0,SUM('1.PUNTOS-PROD'!B255:U255),"")</f>
        <v/>
      </c>
      <c r="C255" s="139" t="str">
        <f>IF(A255&lt;&gt;0,SUM('1.PUNTOS-PROD'!V255:AO255),"")</f>
        <v/>
      </c>
      <c r="D255" s="139" t="str">
        <f>IF(A255&lt;&gt;0,SUM('1.PUNTOS-PROD'!AP255:BK255),"")</f>
        <v/>
      </c>
    </row>
    <row r="256" spans="1:4" x14ac:dyDescent="0.25">
      <c r="A256">
        <f>'0.Consolidado general'!$A257</f>
        <v>0</v>
      </c>
      <c r="B256" s="139" t="str">
        <f>IF(A256&lt;&gt;0,SUM('1.PUNTOS-PROD'!B256:U256),"")</f>
        <v/>
      </c>
      <c r="C256" s="139" t="str">
        <f>IF(A256&lt;&gt;0,SUM('1.PUNTOS-PROD'!V256:AO256),"")</f>
        <v/>
      </c>
      <c r="D256" s="139" t="str">
        <f>IF(A256&lt;&gt;0,SUM('1.PUNTOS-PROD'!AP256:BK256),"")</f>
        <v/>
      </c>
    </row>
    <row r="257" spans="1:4" x14ac:dyDescent="0.25">
      <c r="A257">
        <f>'0.Consolidado general'!$A258</f>
        <v>0</v>
      </c>
      <c r="B257" s="139" t="str">
        <f>IF(A257&lt;&gt;0,SUM('1.PUNTOS-PROD'!B257:U257),"")</f>
        <v/>
      </c>
      <c r="C257" s="139" t="str">
        <f>IF(A257&lt;&gt;0,SUM('1.PUNTOS-PROD'!V257:AO257),"")</f>
        <v/>
      </c>
      <c r="D257" s="139" t="str">
        <f>IF(A257&lt;&gt;0,SUM('1.PUNTOS-PROD'!AP257:BK257),"")</f>
        <v/>
      </c>
    </row>
    <row r="258" spans="1:4" x14ac:dyDescent="0.25">
      <c r="A258">
        <f>'0.Consolidado general'!$A259</f>
        <v>0</v>
      </c>
      <c r="B258" s="139" t="str">
        <f>IF(A258&lt;&gt;0,SUM('1.PUNTOS-PROD'!B258:U258),"")</f>
        <v/>
      </c>
      <c r="C258" s="139" t="str">
        <f>IF(A258&lt;&gt;0,SUM('1.PUNTOS-PROD'!V258:AO258),"")</f>
        <v/>
      </c>
      <c r="D258" s="139" t="str">
        <f>IF(A258&lt;&gt;0,SUM('1.PUNTOS-PROD'!AP258:BK258),"")</f>
        <v/>
      </c>
    </row>
    <row r="259" spans="1:4" x14ac:dyDescent="0.25">
      <c r="A259">
        <f>'0.Consolidado general'!$A260</f>
        <v>0</v>
      </c>
      <c r="B259" s="139" t="str">
        <f>IF(A259&lt;&gt;0,SUM('1.PUNTOS-PROD'!B259:U259),"")</f>
        <v/>
      </c>
      <c r="C259" s="139" t="str">
        <f>IF(A259&lt;&gt;0,SUM('1.PUNTOS-PROD'!V259:AO259),"")</f>
        <v/>
      </c>
      <c r="D259" s="139" t="str">
        <f>IF(A259&lt;&gt;0,SUM('1.PUNTOS-PROD'!AP259:BK259),"")</f>
        <v/>
      </c>
    </row>
    <row r="260" spans="1:4" x14ac:dyDescent="0.25">
      <c r="A260">
        <f>'0.Consolidado general'!$A261</f>
        <v>0</v>
      </c>
      <c r="B260" s="139" t="str">
        <f>IF(A260&lt;&gt;0,SUM('1.PUNTOS-PROD'!B260:U260),"")</f>
        <v/>
      </c>
      <c r="C260" s="139" t="str">
        <f>IF(A260&lt;&gt;0,SUM('1.PUNTOS-PROD'!V260:AO260),"")</f>
        <v/>
      </c>
      <c r="D260" s="139" t="str">
        <f>IF(A260&lt;&gt;0,SUM('1.PUNTOS-PROD'!AP260:BK260),"")</f>
        <v/>
      </c>
    </row>
    <row r="261" spans="1:4" x14ac:dyDescent="0.25">
      <c r="A261">
        <f>'0.Consolidado general'!$A262</f>
        <v>0</v>
      </c>
      <c r="B261" s="139" t="str">
        <f>IF(A261&lt;&gt;0,SUM('1.PUNTOS-PROD'!B261:U261),"")</f>
        <v/>
      </c>
      <c r="C261" s="139" t="str">
        <f>IF(A261&lt;&gt;0,SUM('1.PUNTOS-PROD'!V261:AO261),"")</f>
        <v/>
      </c>
      <c r="D261" s="139" t="str">
        <f>IF(A261&lt;&gt;0,SUM('1.PUNTOS-PROD'!AP261:BK261),"")</f>
        <v/>
      </c>
    </row>
    <row r="262" spans="1:4" x14ac:dyDescent="0.25">
      <c r="A262">
        <f>'0.Consolidado general'!$A263</f>
        <v>0</v>
      </c>
      <c r="B262" s="139" t="str">
        <f>IF(A262&lt;&gt;0,SUM('1.PUNTOS-PROD'!B262:U262),"")</f>
        <v/>
      </c>
      <c r="C262" s="139" t="str">
        <f>IF(A262&lt;&gt;0,SUM('1.PUNTOS-PROD'!V262:AO262),"")</f>
        <v/>
      </c>
      <c r="D262" s="139" t="str">
        <f>IF(A262&lt;&gt;0,SUM('1.PUNTOS-PROD'!AP262:BK262),"")</f>
        <v/>
      </c>
    </row>
    <row r="263" spans="1:4" x14ac:dyDescent="0.25">
      <c r="A263">
        <f>'0.Consolidado general'!$A264</f>
        <v>0</v>
      </c>
      <c r="B263" s="139" t="str">
        <f>IF(A263&lt;&gt;0,SUM('1.PUNTOS-PROD'!B263:U263),"")</f>
        <v/>
      </c>
      <c r="C263" s="139" t="str">
        <f>IF(A263&lt;&gt;0,SUM('1.PUNTOS-PROD'!V263:AO263),"")</f>
        <v/>
      </c>
      <c r="D263" s="139" t="str">
        <f>IF(A263&lt;&gt;0,SUM('1.PUNTOS-PROD'!AP263:BK263),"")</f>
        <v/>
      </c>
    </row>
    <row r="264" spans="1:4" x14ac:dyDescent="0.25">
      <c r="A264">
        <f>'0.Consolidado general'!$A265</f>
        <v>0</v>
      </c>
      <c r="B264" s="139" t="str">
        <f>IF(A264&lt;&gt;0,SUM('1.PUNTOS-PROD'!B264:U264),"")</f>
        <v/>
      </c>
      <c r="C264" s="139" t="str">
        <f>IF(A264&lt;&gt;0,SUM('1.PUNTOS-PROD'!V264:AO264),"")</f>
        <v/>
      </c>
      <c r="D264" s="139" t="str">
        <f>IF(A264&lt;&gt;0,SUM('1.PUNTOS-PROD'!AP264:BK264),"")</f>
        <v/>
      </c>
    </row>
    <row r="265" spans="1:4" x14ac:dyDescent="0.25">
      <c r="A265">
        <f>'0.Consolidado general'!$A266</f>
        <v>0</v>
      </c>
      <c r="B265" s="139" t="str">
        <f>IF(A265&lt;&gt;0,SUM('1.PUNTOS-PROD'!B265:U265),"")</f>
        <v/>
      </c>
      <c r="C265" s="139" t="str">
        <f>IF(A265&lt;&gt;0,SUM('1.PUNTOS-PROD'!V265:AO265),"")</f>
        <v/>
      </c>
      <c r="D265" s="139" t="str">
        <f>IF(A265&lt;&gt;0,SUM('1.PUNTOS-PROD'!AP265:BK265),"")</f>
        <v/>
      </c>
    </row>
    <row r="266" spans="1:4" x14ac:dyDescent="0.25">
      <c r="A266">
        <f>'0.Consolidado general'!$A267</f>
        <v>0</v>
      </c>
      <c r="B266" s="139" t="str">
        <f>IF(A266&lt;&gt;0,SUM('1.PUNTOS-PROD'!B266:U266),"")</f>
        <v/>
      </c>
      <c r="C266" s="139" t="str">
        <f>IF(A266&lt;&gt;0,SUM('1.PUNTOS-PROD'!V266:AO266),"")</f>
        <v/>
      </c>
      <c r="D266" s="139" t="str">
        <f>IF(A266&lt;&gt;0,SUM('1.PUNTOS-PROD'!AP266:BK266),"")</f>
        <v/>
      </c>
    </row>
    <row r="267" spans="1:4" x14ac:dyDescent="0.25">
      <c r="A267">
        <f>'0.Consolidado general'!$A268</f>
        <v>0</v>
      </c>
      <c r="B267" s="139" t="str">
        <f>IF(A267&lt;&gt;0,SUM('1.PUNTOS-PROD'!B267:U267),"")</f>
        <v/>
      </c>
      <c r="C267" s="139" t="str">
        <f>IF(A267&lt;&gt;0,SUM('1.PUNTOS-PROD'!V267:AO267),"")</f>
        <v/>
      </c>
      <c r="D267" s="139" t="str">
        <f>IF(A267&lt;&gt;0,SUM('1.PUNTOS-PROD'!AP267:BK267),"")</f>
        <v/>
      </c>
    </row>
    <row r="268" spans="1:4" x14ac:dyDescent="0.25">
      <c r="A268">
        <f>'0.Consolidado general'!$A269</f>
        <v>0</v>
      </c>
      <c r="B268" s="139" t="str">
        <f>IF(A268&lt;&gt;0,SUM('1.PUNTOS-PROD'!B268:U268),"")</f>
        <v/>
      </c>
      <c r="C268" s="139" t="str">
        <f>IF(A268&lt;&gt;0,SUM('1.PUNTOS-PROD'!V268:AO268),"")</f>
        <v/>
      </c>
      <c r="D268" s="139" t="str">
        <f>IF(A268&lt;&gt;0,SUM('1.PUNTOS-PROD'!AP268:BK268),"")</f>
        <v/>
      </c>
    </row>
    <row r="269" spans="1:4" x14ac:dyDescent="0.25">
      <c r="A269">
        <f>'0.Consolidado general'!$A270</f>
        <v>0</v>
      </c>
      <c r="B269" s="139" t="str">
        <f>IF(A269&lt;&gt;0,SUM('1.PUNTOS-PROD'!B269:U269),"")</f>
        <v/>
      </c>
      <c r="C269" s="139" t="str">
        <f>IF(A269&lt;&gt;0,SUM('1.PUNTOS-PROD'!V269:AO269),"")</f>
        <v/>
      </c>
      <c r="D269" s="139" t="str">
        <f>IF(A269&lt;&gt;0,SUM('1.PUNTOS-PROD'!AP269:BK269),"")</f>
        <v/>
      </c>
    </row>
    <row r="270" spans="1:4" x14ac:dyDescent="0.25">
      <c r="A270">
        <f>'0.Consolidado general'!$A271</f>
        <v>0</v>
      </c>
      <c r="B270" s="139" t="str">
        <f>IF(A270&lt;&gt;0,SUM('1.PUNTOS-PROD'!B270:U270),"")</f>
        <v/>
      </c>
      <c r="C270" s="139" t="str">
        <f>IF(A270&lt;&gt;0,SUM('1.PUNTOS-PROD'!V270:AO270),"")</f>
        <v/>
      </c>
      <c r="D270" s="139" t="str">
        <f>IF(A270&lt;&gt;0,SUM('1.PUNTOS-PROD'!AP270:BK270),"")</f>
        <v/>
      </c>
    </row>
    <row r="271" spans="1:4" x14ac:dyDescent="0.25">
      <c r="A271">
        <f>'0.Consolidado general'!$A272</f>
        <v>0</v>
      </c>
      <c r="B271" s="139" t="str">
        <f>IF(A271&lt;&gt;0,SUM('1.PUNTOS-PROD'!B271:U271),"")</f>
        <v/>
      </c>
      <c r="C271" s="139" t="str">
        <f>IF(A271&lt;&gt;0,SUM('1.PUNTOS-PROD'!V271:AO271),"")</f>
        <v/>
      </c>
      <c r="D271" s="139" t="str">
        <f>IF(A271&lt;&gt;0,SUM('1.PUNTOS-PROD'!AP271:BK271),"")</f>
        <v/>
      </c>
    </row>
    <row r="272" spans="1:4" x14ac:dyDescent="0.25">
      <c r="A272">
        <f>'0.Consolidado general'!$A273</f>
        <v>0</v>
      </c>
      <c r="B272" s="139" t="str">
        <f>IF(A272&lt;&gt;0,SUM('1.PUNTOS-PROD'!B272:U272),"")</f>
        <v/>
      </c>
      <c r="C272" s="139" t="str">
        <f>IF(A272&lt;&gt;0,SUM('1.PUNTOS-PROD'!V272:AO272),"")</f>
        <v/>
      </c>
      <c r="D272" s="139" t="str">
        <f>IF(A272&lt;&gt;0,SUM('1.PUNTOS-PROD'!AP272:BK272),"")</f>
        <v/>
      </c>
    </row>
    <row r="273" spans="1:4" x14ac:dyDescent="0.25">
      <c r="A273">
        <f>'0.Consolidado general'!$A274</f>
        <v>0</v>
      </c>
      <c r="B273" s="139" t="str">
        <f>IF(A273&lt;&gt;0,SUM('1.PUNTOS-PROD'!B273:U273),"")</f>
        <v/>
      </c>
      <c r="C273" s="139" t="str">
        <f>IF(A273&lt;&gt;0,SUM('1.PUNTOS-PROD'!V273:AO273),"")</f>
        <v/>
      </c>
      <c r="D273" s="139" t="str">
        <f>IF(A273&lt;&gt;0,SUM('1.PUNTOS-PROD'!AP273:BK273),"")</f>
        <v/>
      </c>
    </row>
    <row r="274" spans="1:4" x14ac:dyDescent="0.25">
      <c r="A274">
        <f>'0.Consolidado general'!$A275</f>
        <v>0</v>
      </c>
      <c r="B274" s="139" t="str">
        <f>IF(A274&lt;&gt;0,SUM('1.PUNTOS-PROD'!B274:U274),"")</f>
        <v/>
      </c>
      <c r="C274" s="139" t="str">
        <f>IF(A274&lt;&gt;0,SUM('1.PUNTOS-PROD'!V274:AO274),"")</f>
        <v/>
      </c>
      <c r="D274" s="139" t="str">
        <f>IF(A274&lt;&gt;0,SUM('1.PUNTOS-PROD'!AP274:BK274),"")</f>
        <v/>
      </c>
    </row>
    <row r="275" spans="1:4" x14ac:dyDescent="0.25">
      <c r="A275">
        <f>'0.Consolidado general'!$A276</f>
        <v>0</v>
      </c>
      <c r="B275" s="139" t="str">
        <f>IF(A275&lt;&gt;0,SUM('1.PUNTOS-PROD'!B275:U275),"")</f>
        <v/>
      </c>
      <c r="C275" s="139" t="str">
        <f>IF(A275&lt;&gt;0,SUM('1.PUNTOS-PROD'!V275:AO275),"")</f>
        <v/>
      </c>
      <c r="D275" s="139" t="str">
        <f>IF(A275&lt;&gt;0,SUM('1.PUNTOS-PROD'!AP275:BK275),"")</f>
        <v/>
      </c>
    </row>
    <row r="276" spans="1:4" x14ac:dyDescent="0.25">
      <c r="A276">
        <f>'0.Consolidado general'!$A277</f>
        <v>0</v>
      </c>
      <c r="B276" s="139" t="str">
        <f>IF(A276&lt;&gt;0,SUM('1.PUNTOS-PROD'!B276:U276),"")</f>
        <v/>
      </c>
      <c r="C276" s="139" t="str">
        <f>IF(A276&lt;&gt;0,SUM('1.PUNTOS-PROD'!V276:AO276),"")</f>
        <v/>
      </c>
      <c r="D276" s="139" t="str">
        <f>IF(A276&lt;&gt;0,SUM('1.PUNTOS-PROD'!AP276:BK276),"")</f>
        <v/>
      </c>
    </row>
    <row r="277" spans="1:4" x14ac:dyDescent="0.25">
      <c r="A277">
        <f>'0.Consolidado general'!$A278</f>
        <v>0</v>
      </c>
      <c r="B277" s="139" t="str">
        <f>IF(A277&lt;&gt;0,SUM('1.PUNTOS-PROD'!B277:U277),"")</f>
        <v/>
      </c>
      <c r="C277" s="139" t="str">
        <f>IF(A277&lt;&gt;0,SUM('1.PUNTOS-PROD'!V277:AO277),"")</f>
        <v/>
      </c>
      <c r="D277" s="139" t="str">
        <f>IF(A277&lt;&gt;0,SUM('1.PUNTOS-PROD'!AP277:BK277),"")</f>
        <v/>
      </c>
    </row>
    <row r="278" spans="1:4" x14ac:dyDescent="0.25">
      <c r="A278">
        <f>'0.Consolidado general'!$A279</f>
        <v>0</v>
      </c>
      <c r="B278" s="139" t="str">
        <f>IF(A278&lt;&gt;0,SUM('1.PUNTOS-PROD'!B278:U278),"")</f>
        <v/>
      </c>
      <c r="C278" s="139" t="str">
        <f>IF(A278&lt;&gt;0,SUM('1.PUNTOS-PROD'!V278:AO278),"")</f>
        <v/>
      </c>
      <c r="D278" s="139" t="str">
        <f>IF(A278&lt;&gt;0,SUM('1.PUNTOS-PROD'!AP278:BK278),"")</f>
        <v/>
      </c>
    </row>
    <row r="279" spans="1:4" x14ac:dyDescent="0.25">
      <c r="A279">
        <f>'0.Consolidado general'!$A280</f>
        <v>0</v>
      </c>
      <c r="B279" s="139" t="str">
        <f>IF(A279&lt;&gt;0,SUM('1.PUNTOS-PROD'!B279:U279),"")</f>
        <v/>
      </c>
      <c r="C279" s="139" t="str">
        <f>IF(A279&lt;&gt;0,SUM('1.PUNTOS-PROD'!V279:AO279),"")</f>
        <v/>
      </c>
      <c r="D279" s="139" t="str">
        <f>IF(A279&lt;&gt;0,SUM('1.PUNTOS-PROD'!AP279:BK279),"")</f>
        <v/>
      </c>
    </row>
    <row r="280" spans="1:4" x14ac:dyDescent="0.25">
      <c r="A280">
        <f>'0.Consolidado general'!$A281</f>
        <v>0</v>
      </c>
      <c r="B280" s="139" t="str">
        <f>IF(A280&lt;&gt;0,SUM('1.PUNTOS-PROD'!B280:U280),"")</f>
        <v/>
      </c>
      <c r="C280" s="139" t="str">
        <f>IF(A280&lt;&gt;0,SUM('1.PUNTOS-PROD'!V280:AO280),"")</f>
        <v/>
      </c>
      <c r="D280" s="139" t="str">
        <f>IF(A280&lt;&gt;0,SUM('1.PUNTOS-PROD'!AP280:BK280),"")</f>
        <v/>
      </c>
    </row>
    <row r="281" spans="1:4" x14ac:dyDescent="0.25">
      <c r="A281">
        <f>'0.Consolidado general'!$A282</f>
        <v>0</v>
      </c>
      <c r="B281" s="139" t="str">
        <f>IF(A281&lt;&gt;0,SUM('1.PUNTOS-PROD'!B281:U281),"")</f>
        <v/>
      </c>
      <c r="C281" s="139" t="str">
        <f>IF(A281&lt;&gt;0,SUM('1.PUNTOS-PROD'!V281:AO281),"")</f>
        <v/>
      </c>
      <c r="D281" s="139" t="str">
        <f>IF(A281&lt;&gt;0,SUM('1.PUNTOS-PROD'!AP281:BK281),"")</f>
        <v/>
      </c>
    </row>
    <row r="282" spans="1:4" x14ac:dyDescent="0.25">
      <c r="A282">
        <f>'0.Consolidado general'!$A283</f>
        <v>0</v>
      </c>
      <c r="B282" s="139" t="str">
        <f>IF(A282&lt;&gt;0,SUM('1.PUNTOS-PROD'!B282:U282),"")</f>
        <v/>
      </c>
      <c r="C282" s="139" t="str">
        <f>IF(A282&lt;&gt;0,SUM('1.PUNTOS-PROD'!V282:AO282),"")</f>
        <v/>
      </c>
      <c r="D282" s="139" t="str">
        <f>IF(A282&lt;&gt;0,SUM('1.PUNTOS-PROD'!AP282:BK282),"")</f>
        <v/>
      </c>
    </row>
    <row r="283" spans="1:4" x14ac:dyDescent="0.25">
      <c r="A283">
        <f>'0.Consolidado general'!$A284</f>
        <v>0</v>
      </c>
      <c r="B283" s="139" t="str">
        <f>IF(A283&lt;&gt;0,SUM('1.PUNTOS-PROD'!B283:U283),"")</f>
        <v/>
      </c>
      <c r="C283" s="139" t="str">
        <f>IF(A283&lt;&gt;0,SUM('1.PUNTOS-PROD'!V283:AO283),"")</f>
        <v/>
      </c>
      <c r="D283" s="139" t="str">
        <f>IF(A283&lt;&gt;0,SUM('1.PUNTOS-PROD'!AP283:BK283),"")</f>
        <v/>
      </c>
    </row>
    <row r="284" spans="1:4" x14ac:dyDescent="0.25">
      <c r="A284">
        <f>'0.Consolidado general'!$A285</f>
        <v>0</v>
      </c>
      <c r="B284" s="139" t="str">
        <f>IF(A284&lt;&gt;0,SUM('1.PUNTOS-PROD'!B284:U284),"")</f>
        <v/>
      </c>
      <c r="C284" s="139" t="str">
        <f>IF(A284&lt;&gt;0,SUM('1.PUNTOS-PROD'!V284:AO284),"")</f>
        <v/>
      </c>
      <c r="D284" s="139" t="str">
        <f>IF(A284&lt;&gt;0,SUM('1.PUNTOS-PROD'!AP284:BK284),"")</f>
        <v/>
      </c>
    </row>
    <row r="285" spans="1:4" x14ac:dyDescent="0.25">
      <c r="A285">
        <f>'0.Consolidado general'!$A286</f>
        <v>0</v>
      </c>
      <c r="B285" s="139" t="str">
        <f>IF(A285&lt;&gt;0,SUM('1.PUNTOS-PROD'!B285:U285),"")</f>
        <v/>
      </c>
      <c r="C285" s="139" t="str">
        <f>IF(A285&lt;&gt;0,SUM('1.PUNTOS-PROD'!V285:AO285),"")</f>
        <v/>
      </c>
      <c r="D285" s="139" t="str">
        <f>IF(A285&lt;&gt;0,SUM('1.PUNTOS-PROD'!AP285:BK285),"")</f>
        <v/>
      </c>
    </row>
    <row r="286" spans="1:4" x14ac:dyDescent="0.25">
      <c r="A286">
        <f>'0.Consolidado general'!$A287</f>
        <v>0</v>
      </c>
      <c r="B286" s="139" t="str">
        <f>IF(A286&lt;&gt;0,SUM('1.PUNTOS-PROD'!B286:U286),"")</f>
        <v/>
      </c>
      <c r="C286" s="139" t="str">
        <f>IF(A286&lt;&gt;0,SUM('1.PUNTOS-PROD'!V286:AO286),"")</f>
        <v/>
      </c>
      <c r="D286" s="139" t="str">
        <f>IF(A286&lt;&gt;0,SUM('1.PUNTOS-PROD'!AP286:BK286),"")</f>
        <v/>
      </c>
    </row>
    <row r="287" spans="1:4" x14ac:dyDescent="0.25">
      <c r="A287">
        <f>'0.Consolidado general'!$A288</f>
        <v>0</v>
      </c>
      <c r="B287" s="139" t="str">
        <f>IF(A287&lt;&gt;0,SUM('1.PUNTOS-PROD'!B287:U287),"")</f>
        <v/>
      </c>
      <c r="C287" s="139" t="str">
        <f>IF(A287&lt;&gt;0,SUM('1.PUNTOS-PROD'!V287:AO287),"")</f>
        <v/>
      </c>
      <c r="D287" s="139" t="str">
        <f>IF(A287&lt;&gt;0,SUM('1.PUNTOS-PROD'!AP287:BK287),"")</f>
        <v/>
      </c>
    </row>
    <row r="288" spans="1:4" x14ac:dyDescent="0.25">
      <c r="A288">
        <f>'0.Consolidado general'!$A289</f>
        <v>0</v>
      </c>
      <c r="B288" s="139" t="str">
        <f>IF(A288&lt;&gt;0,SUM('1.PUNTOS-PROD'!B288:U288),"")</f>
        <v/>
      </c>
      <c r="C288" s="139" t="str">
        <f>IF(A288&lt;&gt;0,SUM('1.PUNTOS-PROD'!V288:AO288),"")</f>
        <v/>
      </c>
      <c r="D288" s="139" t="str">
        <f>IF(A288&lt;&gt;0,SUM('1.PUNTOS-PROD'!AP288:BK288),"")</f>
        <v/>
      </c>
    </row>
    <row r="289" spans="1:4" x14ac:dyDescent="0.25">
      <c r="A289">
        <f>'0.Consolidado general'!$A290</f>
        <v>0</v>
      </c>
      <c r="B289" s="139" t="str">
        <f>IF(A289&lt;&gt;0,SUM('1.PUNTOS-PROD'!B289:U289),"")</f>
        <v/>
      </c>
      <c r="C289" s="139" t="str">
        <f>IF(A289&lt;&gt;0,SUM('1.PUNTOS-PROD'!V289:AO289),"")</f>
        <v/>
      </c>
      <c r="D289" s="139" t="str">
        <f>IF(A289&lt;&gt;0,SUM('1.PUNTOS-PROD'!AP289:BK289),"")</f>
        <v/>
      </c>
    </row>
    <row r="290" spans="1:4" x14ac:dyDescent="0.25">
      <c r="A290">
        <f>'0.Consolidado general'!$A291</f>
        <v>0</v>
      </c>
      <c r="B290" s="139" t="str">
        <f>IF(A290&lt;&gt;0,SUM('1.PUNTOS-PROD'!B290:U290),"")</f>
        <v/>
      </c>
      <c r="C290" s="139" t="str">
        <f>IF(A290&lt;&gt;0,SUM('1.PUNTOS-PROD'!V290:AO290),"")</f>
        <v/>
      </c>
      <c r="D290" s="139" t="str">
        <f>IF(A290&lt;&gt;0,SUM('1.PUNTOS-PROD'!AP290:BK290),"")</f>
        <v/>
      </c>
    </row>
    <row r="291" spans="1:4" x14ac:dyDescent="0.25">
      <c r="A291">
        <f>'0.Consolidado general'!$A292</f>
        <v>0</v>
      </c>
      <c r="B291" s="139" t="str">
        <f>IF(A291&lt;&gt;0,SUM('1.PUNTOS-PROD'!B291:U291),"")</f>
        <v/>
      </c>
      <c r="C291" s="139" t="str">
        <f>IF(A291&lt;&gt;0,SUM('1.PUNTOS-PROD'!V291:AO291),"")</f>
        <v/>
      </c>
      <c r="D291" s="139" t="str">
        <f>IF(A291&lt;&gt;0,SUM('1.PUNTOS-PROD'!AP291:BK291),"")</f>
        <v/>
      </c>
    </row>
    <row r="292" spans="1:4" x14ac:dyDescent="0.25">
      <c r="A292">
        <f>'0.Consolidado general'!$A293</f>
        <v>0</v>
      </c>
      <c r="B292" s="139" t="str">
        <f>IF(A292&lt;&gt;0,SUM('1.PUNTOS-PROD'!B292:U292),"")</f>
        <v/>
      </c>
      <c r="C292" s="139" t="str">
        <f>IF(A292&lt;&gt;0,SUM('1.PUNTOS-PROD'!V292:AO292),"")</f>
        <v/>
      </c>
      <c r="D292" s="139" t="str">
        <f>IF(A292&lt;&gt;0,SUM('1.PUNTOS-PROD'!AP292:BK292),"")</f>
        <v/>
      </c>
    </row>
    <row r="293" spans="1:4" x14ac:dyDescent="0.25">
      <c r="A293">
        <f>'0.Consolidado general'!$A294</f>
        <v>0</v>
      </c>
      <c r="B293" s="139" t="str">
        <f>IF(A293&lt;&gt;0,SUM('1.PUNTOS-PROD'!B293:U293),"")</f>
        <v/>
      </c>
      <c r="C293" s="139" t="str">
        <f>IF(A293&lt;&gt;0,SUM('1.PUNTOS-PROD'!V293:AO293),"")</f>
        <v/>
      </c>
      <c r="D293" s="139" t="str">
        <f>IF(A293&lt;&gt;0,SUM('1.PUNTOS-PROD'!AP293:BK293),"")</f>
        <v/>
      </c>
    </row>
    <row r="294" spans="1:4" x14ac:dyDescent="0.25">
      <c r="A294">
        <f>'0.Consolidado general'!$A295</f>
        <v>0</v>
      </c>
      <c r="B294" s="139" t="str">
        <f>IF(A294&lt;&gt;0,SUM('1.PUNTOS-PROD'!B294:U294),"")</f>
        <v/>
      </c>
      <c r="C294" s="139" t="str">
        <f>IF(A294&lt;&gt;0,SUM('1.PUNTOS-PROD'!V294:AO294),"")</f>
        <v/>
      </c>
      <c r="D294" s="139" t="str">
        <f>IF(A294&lt;&gt;0,SUM('1.PUNTOS-PROD'!AP294:BK294),"")</f>
        <v/>
      </c>
    </row>
    <row r="295" spans="1:4" x14ac:dyDescent="0.25">
      <c r="A295">
        <f>'0.Consolidado general'!$A296</f>
        <v>0</v>
      </c>
      <c r="B295" s="139" t="str">
        <f>IF(A295&lt;&gt;0,SUM('1.PUNTOS-PROD'!B295:U295),"")</f>
        <v/>
      </c>
      <c r="C295" s="139" t="str">
        <f>IF(A295&lt;&gt;0,SUM('1.PUNTOS-PROD'!V295:AO295),"")</f>
        <v/>
      </c>
      <c r="D295" s="139" t="str">
        <f>IF(A295&lt;&gt;0,SUM('1.PUNTOS-PROD'!AP295:BK295),"")</f>
        <v/>
      </c>
    </row>
    <row r="296" spans="1:4" x14ac:dyDescent="0.25">
      <c r="A296">
        <f>'0.Consolidado general'!$A297</f>
        <v>0</v>
      </c>
      <c r="B296" s="139" t="str">
        <f>IF(A296&lt;&gt;0,SUM('1.PUNTOS-PROD'!B296:U296),"")</f>
        <v/>
      </c>
      <c r="C296" s="139" t="str">
        <f>IF(A296&lt;&gt;0,SUM('1.PUNTOS-PROD'!V296:AO296),"")</f>
        <v/>
      </c>
      <c r="D296" s="139" t="str">
        <f>IF(A296&lt;&gt;0,SUM('1.PUNTOS-PROD'!AP296:BK296),"")</f>
        <v/>
      </c>
    </row>
    <row r="297" spans="1:4" x14ac:dyDescent="0.25">
      <c r="A297">
        <f>'0.Consolidado general'!$A298</f>
        <v>0</v>
      </c>
      <c r="B297" s="139" t="str">
        <f>IF(A297&lt;&gt;0,SUM('1.PUNTOS-PROD'!B297:U297),"")</f>
        <v/>
      </c>
      <c r="C297" s="139" t="str">
        <f>IF(A297&lt;&gt;0,SUM('1.PUNTOS-PROD'!V297:AO297),"")</f>
        <v/>
      </c>
      <c r="D297" s="139" t="str">
        <f>IF(A297&lt;&gt;0,SUM('1.PUNTOS-PROD'!AP297:BK297),"")</f>
        <v/>
      </c>
    </row>
    <row r="298" spans="1:4" x14ac:dyDescent="0.25">
      <c r="A298">
        <f>'0.Consolidado general'!$A299</f>
        <v>0</v>
      </c>
      <c r="B298" s="139" t="str">
        <f>IF(A298&lt;&gt;0,SUM('1.PUNTOS-PROD'!B298:U298),"")</f>
        <v/>
      </c>
      <c r="C298" s="139" t="str">
        <f>IF(A298&lt;&gt;0,SUM('1.PUNTOS-PROD'!V298:AO298),"")</f>
        <v/>
      </c>
      <c r="D298" s="139" t="str">
        <f>IF(A298&lt;&gt;0,SUM('1.PUNTOS-PROD'!AP298:BK298),"")</f>
        <v/>
      </c>
    </row>
    <row r="299" spans="1:4" x14ac:dyDescent="0.25">
      <c r="A299">
        <f>'0.Consolidado general'!$A300</f>
        <v>0</v>
      </c>
      <c r="B299" s="139" t="str">
        <f>IF(A299&lt;&gt;0,SUM('1.PUNTOS-PROD'!B299:U299),"")</f>
        <v/>
      </c>
      <c r="C299" s="139" t="str">
        <f>IF(A299&lt;&gt;0,SUM('1.PUNTOS-PROD'!V299:AO299),"")</f>
        <v/>
      </c>
      <c r="D299" s="139" t="str">
        <f>IF(A299&lt;&gt;0,SUM('1.PUNTOS-PROD'!AP299:BK299),"")</f>
        <v/>
      </c>
    </row>
    <row r="300" spans="1:4" x14ac:dyDescent="0.25">
      <c r="A300">
        <f>'0.Consolidado general'!$A301</f>
        <v>0</v>
      </c>
      <c r="B300" s="139" t="str">
        <f>IF(A300&lt;&gt;0,SUM('1.PUNTOS-PROD'!B300:U300),"")</f>
        <v/>
      </c>
      <c r="C300" s="139" t="str">
        <f>IF(A300&lt;&gt;0,SUM('1.PUNTOS-PROD'!V300:AO300),"")</f>
        <v/>
      </c>
      <c r="D300" s="139" t="str">
        <f>IF(A300&lt;&gt;0,SUM('1.PUNTOS-PROD'!AP300:BK300),"")</f>
        <v/>
      </c>
    </row>
    <row r="301" spans="1:4" x14ac:dyDescent="0.25">
      <c r="A301">
        <f>'0.Consolidado general'!$A302</f>
        <v>0</v>
      </c>
      <c r="B301" s="139" t="str">
        <f>IF(A301&lt;&gt;0,SUM('1.PUNTOS-PROD'!B301:U301),"")</f>
        <v/>
      </c>
      <c r="C301" s="139" t="str">
        <f>IF(A301&lt;&gt;0,SUM('1.PUNTOS-PROD'!V301:AO301),"")</f>
        <v/>
      </c>
      <c r="D301" s="139" t="str">
        <f>IF(A301&lt;&gt;0,SUM('1.PUNTOS-PROD'!AP301:BK301),"")</f>
        <v/>
      </c>
    </row>
    <row r="302" spans="1:4" x14ac:dyDescent="0.25">
      <c r="A302">
        <f>'0.Consolidado general'!$A303</f>
        <v>0</v>
      </c>
      <c r="B302" s="139" t="str">
        <f>IF(A302&lt;&gt;0,SUM('1.PUNTOS-PROD'!B302:U302),"")</f>
        <v/>
      </c>
      <c r="C302" s="139" t="str">
        <f>IF(A302&lt;&gt;0,SUM('1.PUNTOS-PROD'!V302:AO302),"")</f>
        <v/>
      </c>
      <c r="D302" s="139" t="str">
        <f>IF(A302&lt;&gt;0,SUM('1.PUNTOS-PROD'!AP302:BK302),"")</f>
        <v/>
      </c>
    </row>
    <row r="303" spans="1:4" x14ac:dyDescent="0.25">
      <c r="A303">
        <f>'0.Consolidado general'!$A304</f>
        <v>0</v>
      </c>
      <c r="B303" s="139" t="str">
        <f>IF(A303&lt;&gt;0,SUM('1.PUNTOS-PROD'!B303:U303),"")</f>
        <v/>
      </c>
      <c r="C303" s="139" t="str">
        <f>IF(A303&lt;&gt;0,SUM('1.PUNTOS-PROD'!V303:AO303),"")</f>
        <v/>
      </c>
      <c r="D303" s="139" t="str">
        <f>IF(A303&lt;&gt;0,SUM('1.PUNTOS-PROD'!AP303:BK303),"")</f>
        <v/>
      </c>
    </row>
    <row r="304" spans="1:4" x14ac:dyDescent="0.25">
      <c r="A304">
        <f>'0.Consolidado general'!$A305</f>
        <v>0</v>
      </c>
      <c r="B304" s="139" t="str">
        <f>IF(A304&lt;&gt;0,SUM('1.PUNTOS-PROD'!B304:U304),"")</f>
        <v/>
      </c>
      <c r="C304" s="139" t="str">
        <f>IF(A304&lt;&gt;0,SUM('1.PUNTOS-PROD'!V304:AO304),"")</f>
        <v/>
      </c>
      <c r="D304" s="139" t="str">
        <f>IF(A304&lt;&gt;0,SUM('1.PUNTOS-PROD'!AP304:BK304),"")</f>
        <v/>
      </c>
    </row>
    <row r="305" spans="1:4" x14ac:dyDescent="0.25">
      <c r="A305">
        <f>'0.Consolidado general'!$A306</f>
        <v>0</v>
      </c>
      <c r="B305" s="139" t="str">
        <f>IF(A305&lt;&gt;0,SUM('1.PUNTOS-PROD'!B305:U305),"")</f>
        <v/>
      </c>
      <c r="C305" s="139" t="str">
        <f>IF(A305&lt;&gt;0,SUM('1.PUNTOS-PROD'!V305:AO305),"")</f>
        <v/>
      </c>
      <c r="D305" s="139" t="str">
        <f>IF(A305&lt;&gt;0,SUM('1.PUNTOS-PROD'!AP305:BK305),"")</f>
        <v/>
      </c>
    </row>
    <row r="306" spans="1:4" x14ac:dyDescent="0.25">
      <c r="A306">
        <f>'0.Consolidado general'!$A307</f>
        <v>0</v>
      </c>
      <c r="B306" s="139" t="str">
        <f>IF(A306&lt;&gt;0,SUM('1.PUNTOS-PROD'!B306:U306),"")</f>
        <v/>
      </c>
      <c r="C306" s="139" t="str">
        <f>IF(A306&lt;&gt;0,SUM('1.PUNTOS-PROD'!V306:AO306),"")</f>
        <v/>
      </c>
      <c r="D306" s="139" t="str">
        <f>IF(A306&lt;&gt;0,SUM('1.PUNTOS-PROD'!AP306:BK306),"")</f>
        <v/>
      </c>
    </row>
    <row r="307" spans="1:4" x14ac:dyDescent="0.25">
      <c r="A307">
        <f>'0.Consolidado general'!$A308</f>
        <v>0</v>
      </c>
      <c r="B307" s="139" t="str">
        <f>IF(A307&lt;&gt;0,SUM('1.PUNTOS-PROD'!B307:U307),"")</f>
        <v/>
      </c>
      <c r="C307" s="139" t="str">
        <f>IF(A307&lt;&gt;0,SUM('1.PUNTOS-PROD'!V307:AO307),"")</f>
        <v/>
      </c>
      <c r="D307" s="139" t="str">
        <f>IF(A307&lt;&gt;0,SUM('1.PUNTOS-PROD'!AP307:BK307),"")</f>
        <v/>
      </c>
    </row>
    <row r="308" spans="1:4" x14ac:dyDescent="0.25">
      <c r="A308">
        <f>'0.Consolidado general'!$A309</f>
        <v>0</v>
      </c>
      <c r="B308" s="139" t="str">
        <f>IF(A308&lt;&gt;0,SUM('1.PUNTOS-PROD'!B308:U308),"")</f>
        <v/>
      </c>
      <c r="C308" s="139" t="str">
        <f>IF(A308&lt;&gt;0,SUM('1.PUNTOS-PROD'!V308:AO308),"")</f>
        <v/>
      </c>
      <c r="D308" s="139" t="str">
        <f>IF(A308&lt;&gt;0,SUM('1.PUNTOS-PROD'!AP308:BK308),"")</f>
        <v/>
      </c>
    </row>
    <row r="309" spans="1:4" x14ac:dyDescent="0.25">
      <c r="A309">
        <f>'0.Consolidado general'!$A310</f>
        <v>0</v>
      </c>
      <c r="B309" s="139" t="str">
        <f>IF(A309&lt;&gt;0,SUM('1.PUNTOS-PROD'!B309:U309),"")</f>
        <v/>
      </c>
      <c r="C309" s="139" t="str">
        <f>IF(A309&lt;&gt;0,SUM('1.PUNTOS-PROD'!V309:AO309),"")</f>
        <v/>
      </c>
      <c r="D309" s="139" t="str">
        <f>IF(A309&lt;&gt;0,SUM('1.PUNTOS-PROD'!AP309:BK309),"")</f>
        <v/>
      </c>
    </row>
    <row r="310" spans="1:4" x14ac:dyDescent="0.25">
      <c r="A310">
        <f>'0.Consolidado general'!$A311</f>
        <v>0</v>
      </c>
      <c r="B310" s="139" t="str">
        <f>IF(A310&lt;&gt;0,SUM('1.PUNTOS-PROD'!B310:U310),"")</f>
        <v/>
      </c>
      <c r="C310" s="139" t="str">
        <f>IF(A310&lt;&gt;0,SUM('1.PUNTOS-PROD'!V310:AO310),"")</f>
        <v/>
      </c>
      <c r="D310" s="139" t="str">
        <f>IF(A310&lt;&gt;0,SUM('1.PUNTOS-PROD'!AP310:BK310),"")</f>
        <v/>
      </c>
    </row>
    <row r="311" spans="1:4" x14ac:dyDescent="0.25">
      <c r="A311">
        <f>'0.Consolidado general'!$A312</f>
        <v>0</v>
      </c>
      <c r="B311" s="139" t="str">
        <f>IF(A311&lt;&gt;0,SUM('1.PUNTOS-PROD'!B311:U311),"")</f>
        <v/>
      </c>
      <c r="C311" s="139" t="str">
        <f>IF(A311&lt;&gt;0,SUM('1.PUNTOS-PROD'!V311:AO311),"")</f>
        <v/>
      </c>
      <c r="D311" s="139" t="str">
        <f>IF(A311&lt;&gt;0,SUM('1.PUNTOS-PROD'!AP311:BK311),"")</f>
        <v/>
      </c>
    </row>
    <row r="312" spans="1:4" x14ac:dyDescent="0.25">
      <c r="A312">
        <f>'0.Consolidado general'!$A313</f>
        <v>0</v>
      </c>
      <c r="B312" s="139" t="str">
        <f>IF(A312&lt;&gt;0,SUM('1.PUNTOS-PROD'!B312:U312),"")</f>
        <v/>
      </c>
      <c r="C312" s="139" t="str">
        <f>IF(A312&lt;&gt;0,SUM('1.PUNTOS-PROD'!V312:AO312),"")</f>
        <v/>
      </c>
      <c r="D312" s="139" t="str">
        <f>IF(A312&lt;&gt;0,SUM('1.PUNTOS-PROD'!AP312:BK312),"")</f>
        <v/>
      </c>
    </row>
    <row r="313" spans="1:4" x14ac:dyDescent="0.25">
      <c r="A313">
        <f>'0.Consolidado general'!$A314</f>
        <v>0</v>
      </c>
      <c r="B313" s="139" t="str">
        <f>IF(A313&lt;&gt;0,SUM('1.PUNTOS-PROD'!B313:U313),"")</f>
        <v/>
      </c>
      <c r="C313" s="139" t="str">
        <f>IF(A313&lt;&gt;0,SUM('1.PUNTOS-PROD'!V313:AO313),"")</f>
        <v/>
      </c>
      <c r="D313" s="139" t="str">
        <f>IF(A313&lt;&gt;0,SUM('1.PUNTOS-PROD'!AP313:BK313),"")</f>
        <v/>
      </c>
    </row>
    <row r="314" spans="1:4" x14ac:dyDescent="0.25">
      <c r="A314">
        <f>'0.Consolidado general'!$A315</f>
        <v>0</v>
      </c>
      <c r="B314" s="139" t="str">
        <f>IF(A314&lt;&gt;0,SUM('1.PUNTOS-PROD'!B314:U314),"")</f>
        <v/>
      </c>
      <c r="C314" s="139" t="str">
        <f>IF(A314&lt;&gt;0,SUM('1.PUNTOS-PROD'!V314:AO314),"")</f>
        <v/>
      </c>
      <c r="D314" s="139" t="str">
        <f>IF(A314&lt;&gt;0,SUM('1.PUNTOS-PROD'!AP314:BK314),"")</f>
        <v/>
      </c>
    </row>
    <row r="315" spans="1:4" x14ac:dyDescent="0.25">
      <c r="A315">
        <f>'0.Consolidado general'!$A316</f>
        <v>0</v>
      </c>
      <c r="B315" s="139" t="str">
        <f>IF(A315&lt;&gt;0,SUM('1.PUNTOS-PROD'!B315:U315),"")</f>
        <v/>
      </c>
      <c r="C315" s="139" t="str">
        <f>IF(A315&lt;&gt;0,SUM('1.PUNTOS-PROD'!V315:AO315),"")</f>
        <v/>
      </c>
      <c r="D315" s="139" t="str">
        <f>IF(A315&lt;&gt;0,SUM('1.PUNTOS-PROD'!AP315:BK315),"")</f>
        <v/>
      </c>
    </row>
    <row r="316" spans="1:4" x14ac:dyDescent="0.25">
      <c r="A316">
        <f>'0.Consolidado general'!$A317</f>
        <v>0</v>
      </c>
      <c r="B316" s="139" t="str">
        <f>IF(A316&lt;&gt;0,SUM('1.PUNTOS-PROD'!B316:U316),"")</f>
        <v/>
      </c>
      <c r="C316" s="139" t="str">
        <f>IF(A316&lt;&gt;0,SUM('1.PUNTOS-PROD'!V316:AO316),"")</f>
        <v/>
      </c>
      <c r="D316" s="139" t="str">
        <f>IF(A316&lt;&gt;0,SUM('1.PUNTOS-PROD'!AP316:BK316),"")</f>
        <v/>
      </c>
    </row>
    <row r="317" spans="1:4" x14ac:dyDescent="0.25">
      <c r="A317">
        <f>'0.Consolidado general'!$A318</f>
        <v>0</v>
      </c>
      <c r="B317" s="139" t="str">
        <f>IF(A317&lt;&gt;0,SUM('1.PUNTOS-PROD'!B317:U317),"")</f>
        <v/>
      </c>
      <c r="C317" s="139" t="str">
        <f>IF(A317&lt;&gt;0,SUM('1.PUNTOS-PROD'!V317:AO317),"")</f>
        <v/>
      </c>
      <c r="D317" s="139" t="str">
        <f>IF(A317&lt;&gt;0,SUM('1.PUNTOS-PROD'!AP317:BK317),"")</f>
        <v/>
      </c>
    </row>
    <row r="318" spans="1:4" x14ac:dyDescent="0.25">
      <c r="A318">
        <f>'0.Consolidado general'!$A319</f>
        <v>0</v>
      </c>
      <c r="B318" s="139" t="str">
        <f>IF(A318&lt;&gt;0,SUM('1.PUNTOS-PROD'!B318:U318),"")</f>
        <v/>
      </c>
      <c r="C318" s="139" t="str">
        <f>IF(A318&lt;&gt;0,SUM('1.PUNTOS-PROD'!V318:AO318),"")</f>
        <v/>
      </c>
      <c r="D318" s="139" t="str">
        <f>IF(A318&lt;&gt;0,SUM('1.PUNTOS-PROD'!AP318:BK318),"")</f>
        <v/>
      </c>
    </row>
    <row r="319" spans="1:4" x14ac:dyDescent="0.25">
      <c r="A319">
        <f>'0.Consolidado general'!$A320</f>
        <v>0</v>
      </c>
      <c r="B319" s="139" t="str">
        <f>IF(A319&lt;&gt;0,SUM('1.PUNTOS-PROD'!B319:U319),"")</f>
        <v/>
      </c>
      <c r="C319" s="139" t="str">
        <f>IF(A319&lt;&gt;0,SUM('1.PUNTOS-PROD'!V319:AO319),"")</f>
        <v/>
      </c>
      <c r="D319" s="139" t="str">
        <f>IF(A319&lt;&gt;0,SUM('1.PUNTOS-PROD'!AP319:BK319),"")</f>
        <v/>
      </c>
    </row>
    <row r="320" spans="1:4" x14ac:dyDescent="0.25">
      <c r="A320">
        <f>'0.Consolidado general'!$A321</f>
        <v>0</v>
      </c>
      <c r="B320" s="139" t="str">
        <f>IF(A320&lt;&gt;0,SUM('1.PUNTOS-PROD'!B320:U320),"")</f>
        <v/>
      </c>
      <c r="C320" s="139" t="str">
        <f>IF(A320&lt;&gt;0,SUM('1.PUNTOS-PROD'!V320:AO320),"")</f>
        <v/>
      </c>
      <c r="D320" s="139" t="str">
        <f>IF(A320&lt;&gt;0,SUM('1.PUNTOS-PROD'!AP320:BK320),"")</f>
        <v/>
      </c>
    </row>
    <row r="321" spans="1:4" x14ac:dyDescent="0.25">
      <c r="A321">
        <f>'0.Consolidado general'!$A322</f>
        <v>0</v>
      </c>
      <c r="B321" s="139" t="str">
        <f>IF(A321&lt;&gt;0,SUM('1.PUNTOS-PROD'!B321:U321),"")</f>
        <v/>
      </c>
      <c r="C321" s="139" t="str">
        <f>IF(A321&lt;&gt;0,SUM('1.PUNTOS-PROD'!V321:AO321),"")</f>
        <v/>
      </c>
      <c r="D321" s="139" t="str">
        <f>IF(A321&lt;&gt;0,SUM('1.PUNTOS-PROD'!AP321:BK321),"")</f>
        <v/>
      </c>
    </row>
    <row r="322" spans="1:4" x14ac:dyDescent="0.25">
      <c r="A322">
        <f>'0.Consolidado general'!$A323</f>
        <v>0</v>
      </c>
      <c r="B322" s="139" t="str">
        <f>IF(A322&lt;&gt;0,SUM('1.PUNTOS-PROD'!B322:U322),"")</f>
        <v/>
      </c>
      <c r="C322" s="139" t="str">
        <f>IF(A322&lt;&gt;0,SUM('1.PUNTOS-PROD'!V322:AO322),"")</f>
        <v/>
      </c>
      <c r="D322" s="139" t="str">
        <f>IF(A322&lt;&gt;0,SUM('1.PUNTOS-PROD'!AP322:BK322),"")</f>
        <v/>
      </c>
    </row>
    <row r="323" spans="1:4" x14ac:dyDescent="0.25">
      <c r="A323">
        <f>'0.Consolidado general'!$A324</f>
        <v>0</v>
      </c>
      <c r="B323" s="139" t="str">
        <f>IF(A323&lt;&gt;0,SUM('1.PUNTOS-PROD'!B323:U323),"")</f>
        <v/>
      </c>
      <c r="C323" s="139" t="str">
        <f>IF(A323&lt;&gt;0,SUM('1.PUNTOS-PROD'!V323:AO323),"")</f>
        <v/>
      </c>
      <c r="D323" s="139" t="str">
        <f>IF(A323&lt;&gt;0,SUM('1.PUNTOS-PROD'!AP323:BK323),"")</f>
        <v/>
      </c>
    </row>
    <row r="324" spans="1:4" x14ac:dyDescent="0.25">
      <c r="A324">
        <f>'0.Consolidado general'!$A325</f>
        <v>0</v>
      </c>
      <c r="B324" s="139" t="str">
        <f>IF(A324&lt;&gt;0,SUM('1.PUNTOS-PROD'!B324:U324),"")</f>
        <v/>
      </c>
      <c r="C324" s="139" t="str">
        <f>IF(A324&lt;&gt;0,SUM('1.PUNTOS-PROD'!V324:AO324),"")</f>
        <v/>
      </c>
      <c r="D324" s="139" t="str">
        <f>IF(A324&lt;&gt;0,SUM('1.PUNTOS-PROD'!AP324:BK324),"")</f>
        <v/>
      </c>
    </row>
    <row r="325" spans="1:4" x14ac:dyDescent="0.25">
      <c r="A325">
        <f>'0.Consolidado general'!$A326</f>
        <v>0</v>
      </c>
      <c r="B325" s="139" t="str">
        <f>IF(A325&lt;&gt;0,SUM('1.PUNTOS-PROD'!B325:U325),"")</f>
        <v/>
      </c>
      <c r="C325" s="139" t="str">
        <f>IF(A325&lt;&gt;0,SUM('1.PUNTOS-PROD'!V325:AO325),"")</f>
        <v/>
      </c>
      <c r="D325" s="139" t="str">
        <f>IF(A325&lt;&gt;0,SUM('1.PUNTOS-PROD'!AP325:BK325),"")</f>
        <v/>
      </c>
    </row>
    <row r="326" spans="1:4" x14ac:dyDescent="0.25">
      <c r="A326">
        <f>'0.Consolidado general'!$A327</f>
        <v>0</v>
      </c>
      <c r="B326" s="139" t="str">
        <f>IF(A326&lt;&gt;0,SUM('1.PUNTOS-PROD'!B326:U326),"")</f>
        <v/>
      </c>
      <c r="C326" s="139" t="str">
        <f>IF(A326&lt;&gt;0,SUM('1.PUNTOS-PROD'!V326:AO326),"")</f>
        <v/>
      </c>
      <c r="D326" s="139" t="str">
        <f>IF(A326&lt;&gt;0,SUM('1.PUNTOS-PROD'!AP326:BK326),"")</f>
        <v/>
      </c>
    </row>
    <row r="327" spans="1:4" x14ac:dyDescent="0.25">
      <c r="A327">
        <f>'0.Consolidado general'!$A328</f>
        <v>0</v>
      </c>
      <c r="B327" s="139" t="str">
        <f>IF(A327&lt;&gt;0,SUM('1.PUNTOS-PROD'!B327:U327),"")</f>
        <v/>
      </c>
      <c r="C327" s="139" t="str">
        <f>IF(A327&lt;&gt;0,SUM('1.PUNTOS-PROD'!V327:AO327),"")</f>
        <v/>
      </c>
      <c r="D327" s="139" t="str">
        <f>IF(A327&lt;&gt;0,SUM('1.PUNTOS-PROD'!AP327:BK327),"")</f>
        <v/>
      </c>
    </row>
    <row r="328" spans="1:4" x14ac:dyDescent="0.25">
      <c r="A328">
        <f>'0.Consolidado general'!$A329</f>
        <v>0</v>
      </c>
      <c r="B328" s="139" t="str">
        <f>IF(A328&lt;&gt;0,SUM('1.PUNTOS-PROD'!B328:U328),"")</f>
        <v/>
      </c>
      <c r="C328" s="139" t="str">
        <f>IF(A328&lt;&gt;0,SUM('1.PUNTOS-PROD'!V328:AO328),"")</f>
        <v/>
      </c>
      <c r="D328" s="139" t="str">
        <f>IF(A328&lt;&gt;0,SUM('1.PUNTOS-PROD'!AP328:BK328),"")</f>
        <v/>
      </c>
    </row>
    <row r="329" spans="1:4" x14ac:dyDescent="0.25">
      <c r="A329">
        <f>'0.Consolidado general'!$A330</f>
        <v>0</v>
      </c>
      <c r="B329" s="139" t="str">
        <f>IF(A329&lt;&gt;0,SUM('1.PUNTOS-PROD'!B329:U329),"")</f>
        <v/>
      </c>
      <c r="C329" s="139" t="str">
        <f>IF(A329&lt;&gt;0,SUM('1.PUNTOS-PROD'!V329:AO329),"")</f>
        <v/>
      </c>
      <c r="D329" s="139" t="str">
        <f>IF(A329&lt;&gt;0,SUM('1.PUNTOS-PROD'!AP329:BK329),"")</f>
        <v/>
      </c>
    </row>
    <row r="330" spans="1:4" x14ac:dyDescent="0.25">
      <c r="A330">
        <f>'0.Consolidado general'!$A331</f>
        <v>0</v>
      </c>
      <c r="B330" s="139" t="str">
        <f>IF(A330&lt;&gt;0,SUM('1.PUNTOS-PROD'!B330:U330),"")</f>
        <v/>
      </c>
      <c r="C330" s="139" t="str">
        <f>IF(A330&lt;&gt;0,SUM('1.PUNTOS-PROD'!V330:AO330),"")</f>
        <v/>
      </c>
      <c r="D330" s="139" t="str">
        <f>IF(A330&lt;&gt;0,SUM('1.PUNTOS-PROD'!AP330:BK330),"")</f>
        <v/>
      </c>
    </row>
    <row r="331" spans="1:4" x14ac:dyDescent="0.25">
      <c r="A331">
        <f>'0.Consolidado general'!$A332</f>
        <v>0</v>
      </c>
      <c r="B331" s="139" t="str">
        <f>IF(A331&lt;&gt;0,SUM('1.PUNTOS-PROD'!B331:U331),"")</f>
        <v/>
      </c>
      <c r="C331" s="139" t="str">
        <f>IF(A331&lt;&gt;0,SUM('1.PUNTOS-PROD'!V331:AO331),"")</f>
        <v/>
      </c>
      <c r="D331" s="139" t="str">
        <f>IF(A331&lt;&gt;0,SUM('1.PUNTOS-PROD'!AP331:BK331),"")</f>
        <v/>
      </c>
    </row>
    <row r="332" spans="1:4" x14ac:dyDescent="0.25">
      <c r="A332">
        <f>'0.Consolidado general'!$A333</f>
        <v>0</v>
      </c>
      <c r="B332" s="139" t="str">
        <f>IF(A332&lt;&gt;0,SUM('1.PUNTOS-PROD'!B332:U332),"")</f>
        <v/>
      </c>
      <c r="C332" s="139" t="str">
        <f>IF(A332&lt;&gt;0,SUM('1.PUNTOS-PROD'!V332:AO332),"")</f>
        <v/>
      </c>
      <c r="D332" s="139" t="str">
        <f>IF(A332&lt;&gt;0,SUM('1.PUNTOS-PROD'!AP332:BK332),"")</f>
        <v/>
      </c>
    </row>
    <row r="333" spans="1:4" x14ac:dyDescent="0.25">
      <c r="A333">
        <f>'0.Consolidado general'!$A334</f>
        <v>0</v>
      </c>
      <c r="B333" s="139" t="str">
        <f>IF(A333&lt;&gt;0,SUM('1.PUNTOS-PROD'!B333:U333),"")</f>
        <v/>
      </c>
      <c r="C333" s="139" t="str">
        <f>IF(A333&lt;&gt;0,SUM('1.PUNTOS-PROD'!V333:AO333),"")</f>
        <v/>
      </c>
      <c r="D333" s="139" t="str">
        <f>IF(A333&lt;&gt;0,SUM('1.PUNTOS-PROD'!AP333:BK333),"")</f>
        <v/>
      </c>
    </row>
    <row r="334" spans="1:4" x14ac:dyDescent="0.25">
      <c r="A334">
        <f>'0.Consolidado general'!$A335</f>
        <v>0</v>
      </c>
      <c r="B334" s="139" t="str">
        <f>IF(A334&lt;&gt;0,SUM('1.PUNTOS-PROD'!B334:U334),"")</f>
        <v/>
      </c>
      <c r="C334" s="139" t="str">
        <f>IF(A334&lt;&gt;0,SUM('1.PUNTOS-PROD'!V334:AO334),"")</f>
        <v/>
      </c>
      <c r="D334" s="139" t="str">
        <f>IF(A334&lt;&gt;0,SUM('1.PUNTOS-PROD'!AP334:BK334),"")</f>
        <v/>
      </c>
    </row>
    <row r="335" spans="1:4" x14ac:dyDescent="0.25">
      <c r="A335">
        <f>'0.Consolidado general'!$A336</f>
        <v>0</v>
      </c>
      <c r="B335" s="139" t="str">
        <f>IF(A335&lt;&gt;0,SUM('1.PUNTOS-PROD'!B335:U335),"")</f>
        <v/>
      </c>
      <c r="C335" s="139" t="str">
        <f>IF(A335&lt;&gt;0,SUM('1.PUNTOS-PROD'!V335:AO335),"")</f>
        <v/>
      </c>
      <c r="D335" s="139" t="str">
        <f>IF(A335&lt;&gt;0,SUM('1.PUNTOS-PROD'!AP335:BK335),"")</f>
        <v/>
      </c>
    </row>
    <row r="336" spans="1:4" x14ac:dyDescent="0.25">
      <c r="A336">
        <f>'0.Consolidado general'!$A337</f>
        <v>0</v>
      </c>
      <c r="B336" s="139" t="str">
        <f>IF(A336&lt;&gt;0,SUM('1.PUNTOS-PROD'!B336:U336),"")</f>
        <v/>
      </c>
      <c r="C336" s="139" t="str">
        <f>IF(A336&lt;&gt;0,SUM('1.PUNTOS-PROD'!V336:AO336),"")</f>
        <v/>
      </c>
      <c r="D336" s="139" t="str">
        <f>IF(A336&lt;&gt;0,SUM('1.PUNTOS-PROD'!AP336:BK336),"")</f>
        <v/>
      </c>
    </row>
    <row r="337" spans="1:4" x14ac:dyDescent="0.25">
      <c r="A337">
        <f>'0.Consolidado general'!$A338</f>
        <v>0</v>
      </c>
      <c r="B337" s="139" t="str">
        <f>IF(A337&lt;&gt;0,SUM('1.PUNTOS-PROD'!B337:U337),"")</f>
        <v/>
      </c>
      <c r="C337" s="139" t="str">
        <f>IF(A337&lt;&gt;0,SUM('1.PUNTOS-PROD'!V337:AO337),"")</f>
        <v/>
      </c>
      <c r="D337" s="139" t="str">
        <f>IF(A337&lt;&gt;0,SUM('1.PUNTOS-PROD'!AP337:BK337),"")</f>
        <v/>
      </c>
    </row>
    <row r="338" spans="1:4" x14ac:dyDescent="0.25">
      <c r="A338">
        <f>'0.Consolidado general'!$A339</f>
        <v>0</v>
      </c>
      <c r="B338" s="139" t="str">
        <f>IF(A338&lt;&gt;0,SUM('1.PUNTOS-PROD'!B338:U338),"")</f>
        <v/>
      </c>
      <c r="C338" s="139" t="str">
        <f>IF(A338&lt;&gt;0,SUM('1.PUNTOS-PROD'!V338:AO338),"")</f>
        <v/>
      </c>
      <c r="D338" s="139" t="str">
        <f>IF(A338&lt;&gt;0,SUM('1.PUNTOS-PROD'!AP338:BK338),"")</f>
        <v/>
      </c>
    </row>
    <row r="339" spans="1:4" x14ac:dyDescent="0.25">
      <c r="A339">
        <f>'0.Consolidado general'!$A340</f>
        <v>0</v>
      </c>
      <c r="B339" s="139" t="str">
        <f>IF(A339&lt;&gt;0,SUM('1.PUNTOS-PROD'!B339:U339),"")</f>
        <v/>
      </c>
      <c r="C339" s="139" t="str">
        <f>IF(A339&lt;&gt;0,SUM('1.PUNTOS-PROD'!V339:AO339),"")</f>
        <v/>
      </c>
      <c r="D339" s="139" t="str">
        <f>IF(A339&lt;&gt;0,SUM('1.PUNTOS-PROD'!AP339:BK339),"")</f>
        <v/>
      </c>
    </row>
    <row r="340" spans="1:4" x14ac:dyDescent="0.25">
      <c r="A340">
        <f>'0.Consolidado general'!$A341</f>
        <v>0</v>
      </c>
      <c r="B340" s="139" t="str">
        <f>IF(A340&lt;&gt;0,SUM('1.PUNTOS-PROD'!B340:U340),"")</f>
        <v/>
      </c>
      <c r="C340" s="139" t="str">
        <f>IF(A340&lt;&gt;0,SUM('1.PUNTOS-PROD'!V340:AO340),"")</f>
        <v/>
      </c>
      <c r="D340" s="139" t="str">
        <f>IF(A340&lt;&gt;0,SUM('1.PUNTOS-PROD'!AP340:BK340),"")</f>
        <v/>
      </c>
    </row>
    <row r="341" spans="1:4" x14ac:dyDescent="0.25">
      <c r="A341">
        <f>'0.Consolidado general'!$A342</f>
        <v>0</v>
      </c>
      <c r="B341" s="139" t="str">
        <f>IF(A341&lt;&gt;0,SUM('1.PUNTOS-PROD'!B341:U341),"")</f>
        <v/>
      </c>
      <c r="C341" s="139" t="str">
        <f>IF(A341&lt;&gt;0,SUM('1.PUNTOS-PROD'!V341:AO341),"")</f>
        <v/>
      </c>
      <c r="D341" s="139" t="str">
        <f>IF(A341&lt;&gt;0,SUM('1.PUNTOS-PROD'!AP341:BK341),"")</f>
        <v/>
      </c>
    </row>
    <row r="342" spans="1:4" x14ac:dyDescent="0.25">
      <c r="A342">
        <f>'0.Consolidado general'!$A343</f>
        <v>0</v>
      </c>
      <c r="B342" s="139" t="str">
        <f>IF(A342&lt;&gt;0,SUM('1.PUNTOS-PROD'!B342:U342),"")</f>
        <v/>
      </c>
      <c r="C342" s="139" t="str">
        <f>IF(A342&lt;&gt;0,SUM('1.PUNTOS-PROD'!V342:AO342),"")</f>
        <v/>
      </c>
      <c r="D342" s="139" t="str">
        <f>IF(A342&lt;&gt;0,SUM('1.PUNTOS-PROD'!AP342:BK342),"")</f>
        <v/>
      </c>
    </row>
    <row r="343" spans="1:4" x14ac:dyDescent="0.25">
      <c r="A343">
        <f>'0.Consolidado general'!$A344</f>
        <v>0</v>
      </c>
      <c r="B343" s="139" t="str">
        <f>IF(A343&lt;&gt;0,SUM('1.PUNTOS-PROD'!B343:U343),"")</f>
        <v/>
      </c>
      <c r="C343" s="139" t="str">
        <f>IF(A343&lt;&gt;0,SUM('1.PUNTOS-PROD'!V343:AO343),"")</f>
        <v/>
      </c>
      <c r="D343" s="139" t="str">
        <f>IF(A343&lt;&gt;0,SUM('1.PUNTOS-PROD'!AP343:BK343),"")</f>
        <v/>
      </c>
    </row>
    <row r="344" spans="1:4" x14ac:dyDescent="0.25">
      <c r="A344">
        <f>'0.Consolidado general'!$A345</f>
        <v>0</v>
      </c>
      <c r="B344" s="139" t="str">
        <f>IF(A344&lt;&gt;0,SUM('1.PUNTOS-PROD'!B344:U344),"")</f>
        <v/>
      </c>
      <c r="C344" s="139" t="str">
        <f>IF(A344&lt;&gt;0,SUM('1.PUNTOS-PROD'!V344:AO344),"")</f>
        <v/>
      </c>
      <c r="D344" s="139" t="str">
        <f>IF(A344&lt;&gt;0,SUM('1.PUNTOS-PROD'!AP344:BK344),"")</f>
        <v/>
      </c>
    </row>
    <row r="345" spans="1:4" x14ac:dyDescent="0.25">
      <c r="A345">
        <f>'0.Consolidado general'!$A346</f>
        <v>0</v>
      </c>
      <c r="B345" s="139" t="str">
        <f>IF(A345&lt;&gt;0,SUM('1.PUNTOS-PROD'!B345:U345),"")</f>
        <v/>
      </c>
      <c r="C345" s="139" t="str">
        <f>IF(A345&lt;&gt;0,SUM('1.PUNTOS-PROD'!V345:AO345),"")</f>
        <v/>
      </c>
      <c r="D345" s="139" t="str">
        <f>IF(A345&lt;&gt;0,SUM('1.PUNTOS-PROD'!AP345:BK345),"")</f>
        <v/>
      </c>
    </row>
    <row r="346" spans="1:4" x14ac:dyDescent="0.25">
      <c r="A346">
        <f>'0.Consolidado general'!$A347</f>
        <v>0</v>
      </c>
      <c r="B346" s="139" t="str">
        <f>IF(A346&lt;&gt;0,SUM('1.PUNTOS-PROD'!B346:U346),"")</f>
        <v/>
      </c>
      <c r="C346" s="139" t="str">
        <f>IF(A346&lt;&gt;0,SUM('1.PUNTOS-PROD'!V346:AO346),"")</f>
        <v/>
      </c>
      <c r="D346" s="139" t="str">
        <f>IF(A346&lt;&gt;0,SUM('1.PUNTOS-PROD'!AP346:BK346),"")</f>
        <v/>
      </c>
    </row>
    <row r="347" spans="1:4" x14ac:dyDescent="0.25">
      <c r="A347">
        <f>'0.Consolidado general'!$A348</f>
        <v>0</v>
      </c>
      <c r="B347" s="139" t="str">
        <f>IF(A347&lt;&gt;0,SUM('1.PUNTOS-PROD'!B347:U347),"")</f>
        <v/>
      </c>
      <c r="C347" s="139" t="str">
        <f>IF(A347&lt;&gt;0,SUM('1.PUNTOS-PROD'!V347:AO347),"")</f>
        <v/>
      </c>
      <c r="D347" s="139" t="str">
        <f>IF(A347&lt;&gt;0,SUM('1.PUNTOS-PROD'!AP347:BK347),"")</f>
        <v/>
      </c>
    </row>
    <row r="348" spans="1:4" x14ac:dyDescent="0.25">
      <c r="A348">
        <f>'0.Consolidado general'!$A349</f>
        <v>0</v>
      </c>
      <c r="B348" s="139" t="str">
        <f>IF(A348&lt;&gt;0,SUM('1.PUNTOS-PROD'!B348:U348),"")</f>
        <v/>
      </c>
      <c r="C348" s="139" t="str">
        <f>IF(A348&lt;&gt;0,SUM('1.PUNTOS-PROD'!V348:AO348),"")</f>
        <v/>
      </c>
      <c r="D348" s="139" t="str">
        <f>IF(A348&lt;&gt;0,SUM('1.PUNTOS-PROD'!AP348:BK348),"")</f>
        <v/>
      </c>
    </row>
    <row r="349" spans="1:4" x14ac:dyDescent="0.25">
      <c r="A349">
        <f>'0.Consolidado general'!$A350</f>
        <v>0</v>
      </c>
      <c r="B349" s="139" t="str">
        <f>IF(A349&lt;&gt;0,SUM('1.PUNTOS-PROD'!B349:U349),"")</f>
        <v/>
      </c>
      <c r="C349" s="139" t="str">
        <f>IF(A349&lt;&gt;0,SUM('1.PUNTOS-PROD'!V349:AO349),"")</f>
        <v/>
      </c>
      <c r="D349" s="139" t="str">
        <f>IF(A349&lt;&gt;0,SUM('1.PUNTOS-PROD'!AP349:BK349),"")</f>
        <v/>
      </c>
    </row>
    <row r="350" spans="1:4" x14ac:dyDescent="0.25">
      <c r="A350">
        <f>'0.Consolidado general'!$A351</f>
        <v>0</v>
      </c>
      <c r="B350" s="139" t="str">
        <f>IF(A350&lt;&gt;0,SUM('1.PUNTOS-PROD'!B350:U350),"")</f>
        <v/>
      </c>
      <c r="C350" s="139" t="str">
        <f>IF(A350&lt;&gt;0,SUM('1.PUNTOS-PROD'!V350:AO350),"")</f>
        <v/>
      </c>
      <c r="D350" s="139" t="str">
        <f>IF(A350&lt;&gt;0,SUM('1.PUNTOS-PROD'!AP350:BK350),"")</f>
        <v/>
      </c>
    </row>
    <row r="351" spans="1:4" x14ac:dyDescent="0.25">
      <c r="A351">
        <f>'0.Consolidado general'!$A352</f>
        <v>0</v>
      </c>
      <c r="B351" s="139" t="str">
        <f>IF(A351&lt;&gt;0,SUM('1.PUNTOS-PROD'!B351:U351),"")</f>
        <v/>
      </c>
      <c r="C351" s="139" t="str">
        <f>IF(A351&lt;&gt;0,SUM('1.PUNTOS-PROD'!V351:AO351),"")</f>
        <v/>
      </c>
      <c r="D351" s="139" t="str">
        <f>IF(A351&lt;&gt;0,SUM('1.PUNTOS-PROD'!AP351:BK351),"")</f>
        <v/>
      </c>
    </row>
    <row r="352" spans="1:4" x14ac:dyDescent="0.25">
      <c r="A352">
        <f>'0.Consolidado general'!$A353</f>
        <v>0</v>
      </c>
      <c r="B352" s="139" t="str">
        <f>IF(A352&lt;&gt;0,SUM('1.PUNTOS-PROD'!B352:U352),"")</f>
        <v/>
      </c>
      <c r="C352" s="139" t="str">
        <f>IF(A352&lt;&gt;0,SUM('1.PUNTOS-PROD'!V352:AO352),"")</f>
        <v/>
      </c>
      <c r="D352" s="139" t="str">
        <f>IF(A352&lt;&gt;0,SUM('1.PUNTOS-PROD'!AP352:BK352),"")</f>
        <v/>
      </c>
    </row>
    <row r="353" spans="1:4" x14ac:dyDescent="0.25">
      <c r="A353">
        <f>'0.Consolidado general'!$A354</f>
        <v>0</v>
      </c>
      <c r="B353" s="139" t="str">
        <f>IF(A353&lt;&gt;0,SUM('1.PUNTOS-PROD'!B353:U353),"")</f>
        <v/>
      </c>
      <c r="C353" s="139" t="str">
        <f>IF(A353&lt;&gt;0,SUM('1.PUNTOS-PROD'!V353:AO353),"")</f>
        <v/>
      </c>
      <c r="D353" s="139" t="str">
        <f>IF(A353&lt;&gt;0,SUM('1.PUNTOS-PROD'!AP353:BK353),"")</f>
        <v/>
      </c>
    </row>
    <row r="354" spans="1:4" x14ac:dyDescent="0.25">
      <c r="A354">
        <f>'0.Consolidado general'!$A355</f>
        <v>0</v>
      </c>
      <c r="B354" s="139" t="str">
        <f>IF(A354&lt;&gt;0,SUM('1.PUNTOS-PROD'!B354:U354),"")</f>
        <v/>
      </c>
      <c r="C354" s="139" t="str">
        <f>IF(A354&lt;&gt;0,SUM('1.PUNTOS-PROD'!V354:AO354),"")</f>
        <v/>
      </c>
      <c r="D354" s="139" t="str">
        <f>IF(A354&lt;&gt;0,SUM('1.PUNTOS-PROD'!AP354:BK354),"")</f>
        <v/>
      </c>
    </row>
    <row r="355" spans="1:4" x14ac:dyDescent="0.25">
      <c r="A355">
        <f>'0.Consolidado general'!$A356</f>
        <v>0</v>
      </c>
      <c r="B355" s="139" t="str">
        <f>IF(A355&lt;&gt;0,SUM('1.PUNTOS-PROD'!B355:U355),"")</f>
        <v/>
      </c>
      <c r="C355" s="139" t="str">
        <f>IF(A355&lt;&gt;0,SUM('1.PUNTOS-PROD'!V355:AO355),"")</f>
        <v/>
      </c>
      <c r="D355" s="139" t="str">
        <f>IF(A355&lt;&gt;0,SUM('1.PUNTOS-PROD'!AP355:BK355),"")</f>
        <v/>
      </c>
    </row>
    <row r="356" spans="1:4" x14ac:dyDescent="0.25">
      <c r="A356">
        <f>'0.Consolidado general'!$A357</f>
        <v>0</v>
      </c>
      <c r="B356" s="139" t="str">
        <f>IF(A356&lt;&gt;0,SUM('1.PUNTOS-PROD'!B356:U356),"")</f>
        <v/>
      </c>
      <c r="C356" s="139" t="str">
        <f>IF(A356&lt;&gt;0,SUM('1.PUNTOS-PROD'!V356:AO356),"")</f>
        <v/>
      </c>
      <c r="D356" s="139" t="str">
        <f>IF(A356&lt;&gt;0,SUM('1.PUNTOS-PROD'!AP356:BK356),"")</f>
        <v/>
      </c>
    </row>
    <row r="357" spans="1:4" x14ac:dyDescent="0.25">
      <c r="A357">
        <f>'0.Consolidado general'!$A358</f>
        <v>0</v>
      </c>
      <c r="B357" s="139" t="str">
        <f>IF(A357&lt;&gt;0,SUM('1.PUNTOS-PROD'!B357:U357),"")</f>
        <v/>
      </c>
      <c r="C357" s="139" t="str">
        <f>IF(A357&lt;&gt;0,SUM('1.PUNTOS-PROD'!V357:AO357),"")</f>
        <v/>
      </c>
      <c r="D357" s="139" t="str">
        <f>IF(A357&lt;&gt;0,SUM('1.PUNTOS-PROD'!AP357:BK357),"")</f>
        <v/>
      </c>
    </row>
    <row r="358" spans="1:4" x14ac:dyDescent="0.25">
      <c r="A358">
        <f>'0.Consolidado general'!$A359</f>
        <v>0</v>
      </c>
      <c r="B358" s="139" t="str">
        <f>IF(A358&lt;&gt;0,SUM('1.PUNTOS-PROD'!B358:U358),"")</f>
        <v/>
      </c>
      <c r="C358" s="139" t="str">
        <f>IF(A358&lt;&gt;0,SUM('1.PUNTOS-PROD'!V358:AO358),"")</f>
        <v/>
      </c>
      <c r="D358" s="139" t="str">
        <f>IF(A358&lt;&gt;0,SUM('1.PUNTOS-PROD'!AP358:BK358),"")</f>
        <v/>
      </c>
    </row>
    <row r="359" spans="1:4" x14ac:dyDescent="0.25">
      <c r="A359">
        <f>'0.Consolidado general'!$A360</f>
        <v>0</v>
      </c>
      <c r="B359" s="139" t="str">
        <f>IF(A359&lt;&gt;0,SUM('1.PUNTOS-PROD'!B359:U359),"")</f>
        <v/>
      </c>
      <c r="C359" s="139" t="str">
        <f>IF(A359&lt;&gt;0,SUM('1.PUNTOS-PROD'!V359:AO359),"")</f>
        <v/>
      </c>
      <c r="D359" s="139" t="str">
        <f>IF(A359&lt;&gt;0,SUM('1.PUNTOS-PROD'!AP359:BK359),"")</f>
        <v/>
      </c>
    </row>
    <row r="360" spans="1:4" x14ac:dyDescent="0.25">
      <c r="A360">
        <f>'0.Consolidado general'!$A361</f>
        <v>0</v>
      </c>
      <c r="B360" s="139" t="str">
        <f>IF(A360&lt;&gt;0,SUM('1.PUNTOS-PROD'!B360:U360),"")</f>
        <v/>
      </c>
      <c r="C360" s="139" t="str">
        <f>IF(A360&lt;&gt;0,SUM('1.PUNTOS-PROD'!V360:AO360),"")</f>
        <v/>
      </c>
      <c r="D360" s="139" t="str">
        <f>IF(A360&lt;&gt;0,SUM('1.PUNTOS-PROD'!AP360:BK360),"")</f>
        <v/>
      </c>
    </row>
    <row r="361" spans="1:4" x14ac:dyDescent="0.25">
      <c r="A361">
        <f>'0.Consolidado general'!$A362</f>
        <v>0</v>
      </c>
      <c r="B361" s="139" t="str">
        <f>IF(A361&lt;&gt;0,SUM('1.PUNTOS-PROD'!B361:U361),"")</f>
        <v/>
      </c>
      <c r="C361" s="139" t="str">
        <f>IF(A361&lt;&gt;0,SUM('1.PUNTOS-PROD'!V361:AO361),"")</f>
        <v/>
      </c>
      <c r="D361" s="139" t="str">
        <f>IF(A361&lt;&gt;0,SUM('1.PUNTOS-PROD'!AP361:BK361),"")</f>
        <v/>
      </c>
    </row>
    <row r="362" spans="1:4" x14ac:dyDescent="0.25">
      <c r="A362">
        <f>'0.Consolidado general'!$A363</f>
        <v>0</v>
      </c>
      <c r="B362" s="139" t="str">
        <f>IF(A362&lt;&gt;0,SUM('1.PUNTOS-PROD'!B362:U362),"")</f>
        <v/>
      </c>
      <c r="C362" s="139" t="str">
        <f>IF(A362&lt;&gt;0,SUM('1.PUNTOS-PROD'!V362:AO362),"")</f>
        <v/>
      </c>
      <c r="D362" s="139" t="str">
        <f>IF(A362&lt;&gt;0,SUM('1.PUNTOS-PROD'!AP362:BK362),"")</f>
        <v/>
      </c>
    </row>
    <row r="363" spans="1:4" x14ac:dyDescent="0.25">
      <c r="A363">
        <f>'0.Consolidado general'!$A364</f>
        <v>0</v>
      </c>
      <c r="B363" s="139" t="str">
        <f>IF(A363&lt;&gt;0,SUM('1.PUNTOS-PROD'!B363:U363),"")</f>
        <v/>
      </c>
      <c r="C363" s="139" t="str">
        <f>IF(A363&lt;&gt;0,SUM('1.PUNTOS-PROD'!V363:AO363),"")</f>
        <v/>
      </c>
      <c r="D363" s="139" t="str">
        <f>IF(A363&lt;&gt;0,SUM('1.PUNTOS-PROD'!AP363:BK363),"")</f>
        <v/>
      </c>
    </row>
    <row r="364" spans="1:4" x14ac:dyDescent="0.25">
      <c r="A364">
        <f>'0.Consolidado general'!$A365</f>
        <v>0</v>
      </c>
      <c r="B364" s="139" t="str">
        <f>IF(A364&lt;&gt;0,SUM('1.PUNTOS-PROD'!B364:U364),"")</f>
        <v/>
      </c>
      <c r="C364" s="139" t="str">
        <f>IF(A364&lt;&gt;0,SUM('1.PUNTOS-PROD'!V364:AO364),"")</f>
        <v/>
      </c>
      <c r="D364" s="139" t="str">
        <f>IF(A364&lt;&gt;0,SUM('1.PUNTOS-PROD'!AP364:BK364),"")</f>
        <v/>
      </c>
    </row>
    <row r="365" spans="1:4" x14ac:dyDescent="0.25">
      <c r="A365">
        <f>'0.Consolidado general'!$A366</f>
        <v>0</v>
      </c>
      <c r="B365" s="139" t="str">
        <f>IF(A365&lt;&gt;0,SUM('1.PUNTOS-PROD'!B365:U365),"")</f>
        <v/>
      </c>
      <c r="C365" s="139" t="str">
        <f>IF(A365&lt;&gt;0,SUM('1.PUNTOS-PROD'!V365:AO365),"")</f>
        <v/>
      </c>
      <c r="D365" s="139" t="str">
        <f>IF(A365&lt;&gt;0,SUM('1.PUNTOS-PROD'!AP365:BK365),"")</f>
        <v/>
      </c>
    </row>
    <row r="366" spans="1:4" x14ac:dyDescent="0.25">
      <c r="A366">
        <f>'0.Consolidado general'!$A367</f>
        <v>0</v>
      </c>
      <c r="B366" s="139" t="str">
        <f>IF(A366&lt;&gt;0,SUM('1.PUNTOS-PROD'!B366:U366),"")</f>
        <v/>
      </c>
      <c r="C366" s="139" t="str">
        <f>IF(A366&lt;&gt;0,SUM('1.PUNTOS-PROD'!V366:AO366),"")</f>
        <v/>
      </c>
      <c r="D366" s="139" t="str">
        <f>IF(A366&lt;&gt;0,SUM('1.PUNTOS-PROD'!AP366:BK366),"")</f>
        <v/>
      </c>
    </row>
    <row r="367" spans="1:4" x14ac:dyDescent="0.25">
      <c r="A367">
        <f>'0.Consolidado general'!$A368</f>
        <v>0</v>
      </c>
      <c r="B367" s="139" t="str">
        <f>IF(A367&lt;&gt;0,SUM('1.PUNTOS-PROD'!B367:U367),"")</f>
        <v/>
      </c>
      <c r="C367" s="139" t="str">
        <f>IF(A367&lt;&gt;0,SUM('1.PUNTOS-PROD'!V367:AO367),"")</f>
        <v/>
      </c>
      <c r="D367" s="139" t="str">
        <f>IF(A367&lt;&gt;0,SUM('1.PUNTOS-PROD'!AP367:BK367),"")</f>
        <v/>
      </c>
    </row>
    <row r="368" spans="1:4" x14ac:dyDescent="0.25">
      <c r="A368">
        <f>'0.Consolidado general'!$A369</f>
        <v>0</v>
      </c>
      <c r="B368" s="139" t="str">
        <f>IF(A368&lt;&gt;0,SUM('1.PUNTOS-PROD'!B368:U368),"")</f>
        <v/>
      </c>
      <c r="C368" s="139" t="str">
        <f>IF(A368&lt;&gt;0,SUM('1.PUNTOS-PROD'!V368:AO368),"")</f>
        <v/>
      </c>
      <c r="D368" s="139" t="str">
        <f>IF(A368&lt;&gt;0,SUM('1.PUNTOS-PROD'!AP368:BK368),"")</f>
        <v/>
      </c>
    </row>
    <row r="369" spans="1:4" x14ac:dyDescent="0.25">
      <c r="A369">
        <f>'0.Consolidado general'!$A370</f>
        <v>0</v>
      </c>
      <c r="B369" s="139" t="str">
        <f>IF(A369&lt;&gt;0,SUM('1.PUNTOS-PROD'!B369:U369),"")</f>
        <v/>
      </c>
      <c r="C369" s="139" t="str">
        <f>IF(A369&lt;&gt;0,SUM('1.PUNTOS-PROD'!V369:AO369),"")</f>
        <v/>
      </c>
      <c r="D369" s="139" t="str">
        <f>IF(A369&lt;&gt;0,SUM('1.PUNTOS-PROD'!AP369:BK369),"")</f>
        <v/>
      </c>
    </row>
    <row r="370" spans="1:4" x14ac:dyDescent="0.25">
      <c r="A370">
        <f>'0.Consolidado general'!$A371</f>
        <v>0</v>
      </c>
      <c r="B370" s="139" t="str">
        <f>IF(A370&lt;&gt;0,SUM('1.PUNTOS-PROD'!B370:U370),"")</f>
        <v/>
      </c>
      <c r="C370" s="139" t="str">
        <f>IF(A370&lt;&gt;0,SUM('1.PUNTOS-PROD'!V370:AO370),"")</f>
        <v/>
      </c>
      <c r="D370" s="139" t="str">
        <f>IF(A370&lt;&gt;0,SUM('1.PUNTOS-PROD'!AP370:BK370),"")</f>
        <v/>
      </c>
    </row>
    <row r="371" spans="1:4" x14ac:dyDescent="0.25">
      <c r="A371">
        <f>'0.Consolidado general'!$A372</f>
        <v>0</v>
      </c>
      <c r="B371" s="139" t="str">
        <f>IF(A371&lt;&gt;0,SUM('1.PUNTOS-PROD'!B371:U371),"")</f>
        <v/>
      </c>
      <c r="C371" s="139" t="str">
        <f>IF(A371&lt;&gt;0,SUM('1.PUNTOS-PROD'!V371:AO371),"")</f>
        <v/>
      </c>
      <c r="D371" s="139" t="str">
        <f>IF(A371&lt;&gt;0,SUM('1.PUNTOS-PROD'!AP371:BK371),"")</f>
        <v/>
      </c>
    </row>
    <row r="372" spans="1:4" x14ac:dyDescent="0.25">
      <c r="A372">
        <f>'0.Consolidado general'!$A373</f>
        <v>0</v>
      </c>
      <c r="B372" s="139" t="str">
        <f>IF(A372&lt;&gt;0,SUM('1.PUNTOS-PROD'!B372:U372),"")</f>
        <v/>
      </c>
      <c r="C372" s="139" t="str">
        <f>IF(A372&lt;&gt;0,SUM('1.PUNTOS-PROD'!V372:AO372),"")</f>
        <v/>
      </c>
      <c r="D372" s="139" t="str">
        <f>IF(A372&lt;&gt;0,SUM('1.PUNTOS-PROD'!AP372:BK372),"")</f>
        <v/>
      </c>
    </row>
    <row r="373" spans="1:4" x14ac:dyDescent="0.25">
      <c r="A373">
        <f>'0.Consolidado general'!$A374</f>
        <v>0</v>
      </c>
      <c r="B373" s="139" t="str">
        <f>IF(A373&lt;&gt;0,SUM('1.PUNTOS-PROD'!B373:U373),"")</f>
        <v/>
      </c>
      <c r="C373" s="139" t="str">
        <f>IF(A373&lt;&gt;0,SUM('1.PUNTOS-PROD'!V373:AO373),"")</f>
        <v/>
      </c>
      <c r="D373" s="139" t="str">
        <f>IF(A373&lt;&gt;0,SUM('1.PUNTOS-PROD'!AP373:BK373),"")</f>
        <v/>
      </c>
    </row>
    <row r="374" spans="1:4" x14ac:dyDescent="0.25">
      <c r="A374">
        <f>'0.Consolidado general'!$A375</f>
        <v>0</v>
      </c>
      <c r="B374" s="139" t="str">
        <f>IF(A374&lt;&gt;0,SUM('1.PUNTOS-PROD'!B374:U374),"")</f>
        <v/>
      </c>
      <c r="C374" s="139" t="str">
        <f>IF(A374&lt;&gt;0,SUM('1.PUNTOS-PROD'!V374:AO374),"")</f>
        <v/>
      </c>
      <c r="D374" s="139" t="str">
        <f>IF(A374&lt;&gt;0,SUM('1.PUNTOS-PROD'!AP374:BK374),"")</f>
        <v/>
      </c>
    </row>
    <row r="375" spans="1:4" x14ac:dyDescent="0.25">
      <c r="A375">
        <f>'0.Consolidado general'!$A376</f>
        <v>0</v>
      </c>
      <c r="B375" s="139" t="str">
        <f>IF(A375&lt;&gt;0,SUM('1.PUNTOS-PROD'!B375:U375),"")</f>
        <v/>
      </c>
      <c r="C375" s="139" t="str">
        <f>IF(A375&lt;&gt;0,SUM('1.PUNTOS-PROD'!V375:AO375),"")</f>
        <v/>
      </c>
      <c r="D375" s="139" t="str">
        <f>IF(A375&lt;&gt;0,SUM('1.PUNTOS-PROD'!AP375:BK375),"")</f>
        <v/>
      </c>
    </row>
    <row r="376" spans="1:4" x14ac:dyDescent="0.25">
      <c r="A376">
        <f>'0.Consolidado general'!$A377</f>
        <v>0</v>
      </c>
      <c r="B376" s="139" t="str">
        <f>IF(A376&lt;&gt;0,SUM('1.PUNTOS-PROD'!B376:U376),"")</f>
        <v/>
      </c>
      <c r="C376" s="139" t="str">
        <f>IF(A376&lt;&gt;0,SUM('1.PUNTOS-PROD'!V376:AO376),"")</f>
        <v/>
      </c>
      <c r="D376" s="139" t="str">
        <f>IF(A376&lt;&gt;0,SUM('1.PUNTOS-PROD'!AP376:BK376),"")</f>
        <v/>
      </c>
    </row>
    <row r="377" spans="1:4" x14ac:dyDescent="0.25">
      <c r="A377">
        <f>'0.Consolidado general'!$A378</f>
        <v>0</v>
      </c>
      <c r="B377" s="139" t="str">
        <f>IF(A377&lt;&gt;0,SUM('1.PUNTOS-PROD'!B377:U377),"")</f>
        <v/>
      </c>
      <c r="C377" s="139" t="str">
        <f>IF(A377&lt;&gt;0,SUM('1.PUNTOS-PROD'!V377:AO377),"")</f>
        <v/>
      </c>
      <c r="D377" s="139" t="str">
        <f>IF(A377&lt;&gt;0,SUM('1.PUNTOS-PROD'!AP377:BK377),"")</f>
        <v/>
      </c>
    </row>
    <row r="378" spans="1:4" x14ac:dyDescent="0.25">
      <c r="A378">
        <f>'0.Consolidado general'!$A379</f>
        <v>0</v>
      </c>
      <c r="B378" s="139" t="str">
        <f>IF(A378&lt;&gt;0,SUM('1.PUNTOS-PROD'!B378:U378),"")</f>
        <v/>
      </c>
      <c r="C378" s="139" t="str">
        <f>IF(A378&lt;&gt;0,SUM('1.PUNTOS-PROD'!V378:AO378),"")</f>
        <v/>
      </c>
      <c r="D378" s="139" t="str">
        <f>IF(A378&lt;&gt;0,SUM('1.PUNTOS-PROD'!AP378:BK378),"")</f>
        <v/>
      </c>
    </row>
    <row r="379" spans="1:4" x14ac:dyDescent="0.25">
      <c r="A379">
        <f>'0.Consolidado general'!$A380</f>
        <v>0</v>
      </c>
      <c r="B379" s="139" t="str">
        <f>IF(A379&lt;&gt;0,SUM('1.PUNTOS-PROD'!B379:U379),"")</f>
        <v/>
      </c>
      <c r="C379" s="139" t="str">
        <f>IF(A379&lt;&gt;0,SUM('1.PUNTOS-PROD'!V379:AO379),"")</f>
        <v/>
      </c>
      <c r="D379" s="139" t="str">
        <f>IF(A379&lt;&gt;0,SUM('1.PUNTOS-PROD'!AP379:BK379),"")</f>
        <v/>
      </c>
    </row>
    <row r="380" spans="1:4" x14ac:dyDescent="0.25">
      <c r="A380">
        <f>'0.Consolidado general'!$A381</f>
        <v>0</v>
      </c>
      <c r="B380" s="139" t="str">
        <f>IF(A380&lt;&gt;0,SUM('1.PUNTOS-PROD'!B380:U380),"")</f>
        <v/>
      </c>
      <c r="C380" s="139" t="str">
        <f>IF(A380&lt;&gt;0,SUM('1.PUNTOS-PROD'!V380:AO380),"")</f>
        <v/>
      </c>
      <c r="D380" s="139" t="str">
        <f>IF(A380&lt;&gt;0,SUM('1.PUNTOS-PROD'!AP380:BK380),"")</f>
        <v/>
      </c>
    </row>
    <row r="381" spans="1:4" x14ac:dyDescent="0.25">
      <c r="A381">
        <f>'0.Consolidado general'!$A382</f>
        <v>0</v>
      </c>
      <c r="B381" s="139" t="str">
        <f>IF(A381&lt;&gt;0,SUM('1.PUNTOS-PROD'!B381:U381),"")</f>
        <v/>
      </c>
      <c r="C381" s="139" t="str">
        <f>IF(A381&lt;&gt;0,SUM('1.PUNTOS-PROD'!V381:AO381),"")</f>
        <v/>
      </c>
      <c r="D381" s="139" t="str">
        <f>IF(A381&lt;&gt;0,SUM('1.PUNTOS-PROD'!AP381:BK381),"")</f>
        <v/>
      </c>
    </row>
    <row r="382" spans="1:4" x14ac:dyDescent="0.25">
      <c r="A382">
        <f>'0.Consolidado general'!$A383</f>
        <v>0</v>
      </c>
      <c r="B382" s="139" t="str">
        <f>IF(A382&lt;&gt;0,SUM('1.PUNTOS-PROD'!B382:U382),"")</f>
        <v/>
      </c>
      <c r="C382" s="139" t="str">
        <f>IF(A382&lt;&gt;0,SUM('1.PUNTOS-PROD'!V382:AO382),"")</f>
        <v/>
      </c>
      <c r="D382" s="139" t="str">
        <f>IF(A382&lt;&gt;0,SUM('1.PUNTOS-PROD'!AP382:BK382),"")</f>
        <v/>
      </c>
    </row>
    <row r="383" spans="1:4" x14ac:dyDescent="0.25">
      <c r="A383">
        <f>'0.Consolidado general'!$A384</f>
        <v>0</v>
      </c>
      <c r="B383" s="139" t="str">
        <f>IF(A383&lt;&gt;0,SUM('1.PUNTOS-PROD'!B383:U383),"")</f>
        <v/>
      </c>
      <c r="C383" s="139" t="str">
        <f>IF(A383&lt;&gt;0,SUM('1.PUNTOS-PROD'!V383:AO383),"")</f>
        <v/>
      </c>
      <c r="D383" s="139" t="str">
        <f>IF(A383&lt;&gt;0,SUM('1.PUNTOS-PROD'!AP383:BK383),"")</f>
        <v/>
      </c>
    </row>
    <row r="384" spans="1:4" x14ac:dyDescent="0.25">
      <c r="A384">
        <f>'0.Consolidado general'!$A385</f>
        <v>0</v>
      </c>
      <c r="B384" s="139" t="str">
        <f>IF(A384&lt;&gt;0,SUM('1.PUNTOS-PROD'!B384:U384),"")</f>
        <v/>
      </c>
      <c r="C384" s="139" t="str">
        <f>IF(A384&lt;&gt;0,SUM('1.PUNTOS-PROD'!V384:AO384),"")</f>
        <v/>
      </c>
      <c r="D384" s="139" t="str">
        <f>IF(A384&lt;&gt;0,SUM('1.PUNTOS-PROD'!AP384:BK384),"")</f>
        <v/>
      </c>
    </row>
    <row r="385" spans="1:4" x14ac:dyDescent="0.25">
      <c r="A385">
        <f>'0.Consolidado general'!$A386</f>
        <v>0</v>
      </c>
      <c r="B385" s="139" t="str">
        <f>IF(A385&lt;&gt;0,SUM('1.PUNTOS-PROD'!B385:U385),"")</f>
        <v/>
      </c>
      <c r="C385" s="139" t="str">
        <f>IF(A385&lt;&gt;0,SUM('1.PUNTOS-PROD'!V385:AO385),"")</f>
        <v/>
      </c>
      <c r="D385" s="139" t="str">
        <f>IF(A385&lt;&gt;0,SUM('1.PUNTOS-PROD'!AP385:BK385),"")</f>
        <v/>
      </c>
    </row>
    <row r="386" spans="1:4" x14ac:dyDescent="0.25">
      <c r="A386">
        <f>'0.Consolidado general'!$A387</f>
        <v>0</v>
      </c>
      <c r="B386" s="139" t="str">
        <f>IF(A386&lt;&gt;0,SUM('1.PUNTOS-PROD'!B386:U386),"")</f>
        <v/>
      </c>
      <c r="C386" s="139" t="str">
        <f>IF(A386&lt;&gt;0,SUM('1.PUNTOS-PROD'!V386:AO386),"")</f>
        <v/>
      </c>
      <c r="D386" s="139" t="str">
        <f>IF(A386&lt;&gt;0,SUM('1.PUNTOS-PROD'!AP386:BK386),"")</f>
        <v/>
      </c>
    </row>
    <row r="387" spans="1:4" x14ac:dyDescent="0.25">
      <c r="A387">
        <f>'0.Consolidado general'!$A388</f>
        <v>0</v>
      </c>
      <c r="B387" s="139" t="str">
        <f>IF(A387&lt;&gt;0,SUM('1.PUNTOS-PROD'!B387:U387),"")</f>
        <v/>
      </c>
      <c r="C387" s="139" t="str">
        <f>IF(A387&lt;&gt;0,SUM('1.PUNTOS-PROD'!V387:AO387),"")</f>
        <v/>
      </c>
      <c r="D387" s="139" t="str">
        <f>IF(A387&lt;&gt;0,SUM('1.PUNTOS-PROD'!AP387:BK387),"")</f>
        <v/>
      </c>
    </row>
    <row r="388" spans="1:4" x14ac:dyDescent="0.25">
      <c r="A388">
        <f>'0.Consolidado general'!$A389</f>
        <v>0</v>
      </c>
      <c r="B388" s="139" t="str">
        <f>IF(A388&lt;&gt;0,SUM('1.PUNTOS-PROD'!B388:U388),"")</f>
        <v/>
      </c>
      <c r="C388" s="139" t="str">
        <f>IF(A388&lt;&gt;0,SUM('1.PUNTOS-PROD'!V388:AO388),"")</f>
        <v/>
      </c>
      <c r="D388" s="139" t="str">
        <f>IF(A388&lt;&gt;0,SUM('1.PUNTOS-PROD'!AP388:BK388),"")</f>
        <v/>
      </c>
    </row>
    <row r="389" spans="1:4" x14ac:dyDescent="0.25">
      <c r="A389">
        <f>'0.Consolidado general'!$A390</f>
        <v>0</v>
      </c>
      <c r="B389" s="139" t="str">
        <f>IF(A389&lt;&gt;0,SUM('1.PUNTOS-PROD'!B389:U389),"")</f>
        <v/>
      </c>
      <c r="C389" s="139" t="str">
        <f>IF(A389&lt;&gt;0,SUM('1.PUNTOS-PROD'!V389:AO389),"")</f>
        <v/>
      </c>
      <c r="D389" s="139" t="str">
        <f>IF(A389&lt;&gt;0,SUM('1.PUNTOS-PROD'!AP389:BK389),"")</f>
        <v/>
      </c>
    </row>
    <row r="390" spans="1:4" x14ac:dyDescent="0.25">
      <c r="A390">
        <f>'0.Consolidado general'!$A391</f>
        <v>0</v>
      </c>
      <c r="B390" s="139" t="str">
        <f>IF(A390&lt;&gt;0,SUM('1.PUNTOS-PROD'!B390:U390),"")</f>
        <v/>
      </c>
      <c r="C390" s="139" t="str">
        <f>IF(A390&lt;&gt;0,SUM('1.PUNTOS-PROD'!V390:AO390),"")</f>
        <v/>
      </c>
      <c r="D390" s="139" t="str">
        <f>IF(A390&lt;&gt;0,SUM('1.PUNTOS-PROD'!AP390:BK390),"")</f>
        <v/>
      </c>
    </row>
    <row r="391" spans="1:4" x14ac:dyDescent="0.25">
      <c r="A391">
        <f>'0.Consolidado general'!$A392</f>
        <v>0</v>
      </c>
      <c r="B391" s="139" t="str">
        <f>IF(A391&lt;&gt;0,SUM('1.PUNTOS-PROD'!B391:U391),"")</f>
        <v/>
      </c>
      <c r="C391" s="139" t="str">
        <f>IF(A391&lt;&gt;0,SUM('1.PUNTOS-PROD'!V391:AO391),"")</f>
        <v/>
      </c>
      <c r="D391" s="139" t="str">
        <f>IF(A391&lt;&gt;0,SUM('1.PUNTOS-PROD'!AP391:BK391),"")</f>
        <v/>
      </c>
    </row>
    <row r="392" spans="1:4" x14ac:dyDescent="0.25">
      <c r="A392">
        <f>'0.Consolidado general'!$A393</f>
        <v>0</v>
      </c>
      <c r="B392" s="139" t="str">
        <f>IF(A392&lt;&gt;0,SUM('1.PUNTOS-PROD'!B392:U392),"")</f>
        <v/>
      </c>
      <c r="C392" s="139" t="str">
        <f>IF(A392&lt;&gt;0,SUM('1.PUNTOS-PROD'!V392:AO392),"")</f>
        <v/>
      </c>
      <c r="D392" s="139" t="str">
        <f>IF(A392&lt;&gt;0,SUM('1.PUNTOS-PROD'!AP392:BK392),"")</f>
        <v/>
      </c>
    </row>
    <row r="393" spans="1:4" x14ac:dyDescent="0.25">
      <c r="A393">
        <f>'0.Consolidado general'!$A394</f>
        <v>0</v>
      </c>
      <c r="B393" s="139" t="str">
        <f>IF(A393&lt;&gt;0,SUM('1.PUNTOS-PROD'!B393:U393),"")</f>
        <v/>
      </c>
      <c r="C393" s="139" t="str">
        <f>IF(A393&lt;&gt;0,SUM('1.PUNTOS-PROD'!V393:AO393),"")</f>
        <v/>
      </c>
      <c r="D393" s="139" t="str">
        <f>IF(A393&lt;&gt;0,SUM('1.PUNTOS-PROD'!AP393:BK393),"")</f>
        <v/>
      </c>
    </row>
    <row r="394" spans="1:4" x14ac:dyDescent="0.25">
      <c r="A394">
        <f>'0.Consolidado general'!$A395</f>
        <v>0</v>
      </c>
      <c r="B394" s="139" t="str">
        <f>IF(A394&lt;&gt;0,SUM('1.PUNTOS-PROD'!B394:U394),"")</f>
        <v/>
      </c>
      <c r="C394" s="139" t="str">
        <f>IF(A394&lt;&gt;0,SUM('1.PUNTOS-PROD'!V394:AO394),"")</f>
        <v/>
      </c>
      <c r="D394" s="139" t="str">
        <f>IF(A394&lt;&gt;0,SUM('1.PUNTOS-PROD'!AP394:BK394),"")</f>
        <v/>
      </c>
    </row>
    <row r="395" spans="1:4" x14ac:dyDescent="0.25">
      <c r="A395">
        <f>'0.Consolidado general'!$A396</f>
        <v>0</v>
      </c>
      <c r="B395" s="139" t="str">
        <f>IF(A395&lt;&gt;0,SUM('1.PUNTOS-PROD'!B395:U395),"")</f>
        <v/>
      </c>
      <c r="C395" s="139" t="str">
        <f>IF(A395&lt;&gt;0,SUM('1.PUNTOS-PROD'!V395:AO395),"")</f>
        <v/>
      </c>
      <c r="D395" s="139" t="str">
        <f>IF(A395&lt;&gt;0,SUM('1.PUNTOS-PROD'!AP395:BK395),"")</f>
        <v/>
      </c>
    </row>
    <row r="396" spans="1:4" x14ac:dyDescent="0.25">
      <c r="A396">
        <f>'0.Consolidado general'!$A397</f>
        <v>0</v>
      </c>
      <c r="B396" s="139" t="str">
        <f>IF(A396&lt;&gt;0,SUM('1.PUNTOS-PROD'!B396:U396),"")</f>
        <v/>
      </c>
      <c r="C396" s="139" t="str">
        <f>IF(A396&lt;&gt;0,SUM('1.PUNTOS-PROD'!V396:AO396),"")</f>
        <v/>
      </c>
      <c r="D396" s="139" t="str">
        <f>IF(A396&lt;&gt;0,SUM('1.PUNTOS-PROD'!AP396:BK396),"")</f>
        <v/>
      </c>
    </row>
    <row r="397" spans="1:4" x14ac:dyDescent="0.25">
      <c r="A397">
        <f>'0.Consolidado general'!$A398</f>
        <v>0</v>
      </c>
      <c r="B397" s="139" t="str">
        <f>IF(A397&lt;&gt;0,SUM('1.PUNTOS-PROD'!B397:U397),"")</f>
        <v/>
      </c>
      <c r="C397" s="139" t="str">
        <f>IF(A397&lt;&gt;0,SUM('1.PUNTOS-PROD'!V397:AO397),"")</f>
        <v/>
      </c>
      <c r="D397" s="139" t="str">
        <f>IF(A397&lt;&gt;0,SUM('1.PUNTOS-PROD'!AP397:BK397),"")</f>
        <v/>
      </c>
    </row>
    <row r="398" spans="1:4" x14ac:dyDescent="0.25">
      <c r="A398">
        <f>'0.Consolidado general'!$A399</f>
        <v>0</v>
      </c>
      <c r="B398" s="139" t="str">
        <f>IF(A398&lt;&gt;0,SUM('1.PUNTOS-PROD'!B398:U398),"")</f>
        <v/>
      </c>
      <c r="C398" s="139" t="str">
        <f>IF(A398&lt;&gt;0,SUM('1.PUNTOS-PROD'!V398:AO398),"")</f>
        <v/>
      </c>
      <c r="D398" s="139" t="str">
        <f>IF(A398&lt;&gt;0,SUM('1.PUNTOS-PROD'!AP398:BK398),"")</f>
        <v/>
      </c>
    </row>
    <row r="399" spans="1:4" x14ac:dyDescent="0.25">
      <c r="A399">
        <f>'0.Consolidado general'!$A400</f>
        <v>0</v>
      </c>
      <c r="B399" s="139" t="str">
        <f>IF(A399&lt;&gt;0,SUM('1.PUNTOS-PROD'!B399:U399),"")</f>
        <v/>
      </c>
      <c r="C399" s="139" t="str">
        <f>IF(A399&lt;&gt;0,SUM('1.PUNTOS-PROD'!V399:AO399),"")</f>
        <v/>
      </c>
      <c r="D399" s="139" t="str">
        <f>IF(A399&lt;&gt;0,SUM('1.PUNTOS-PROD'!AP399:BK399),"")</f>
        <v/>
      </c>
    </row>
    <row r="400" spans="1:4" x14ac:dyDescent="0.25">
      <c r="A400">
        <f>'0.Consolidado general'!$A401</f>
        <v>0</v>
      </c>
      <c r="B400" s="139" t="str">
        <f>IF(A400&lt;&gt;0,SUM('1.PUNTOS-PROD'!B400:U400),"")</f>
        <v/>
      </c>
      <c r="C400" s="139" t="str">
        <f>IF(A400&lt;&gt;0,SUM('1.PUNTOS-PROD'!V400:AO400),"")</f>
        <v/>
      </c>
      <c r="D400" s="139" t="str">
        <f>IF(A400&lt;&gt;0,SUM('1.PUNTOS-PROD'!AP400:BK400),"")</f>
        <v/>
      </c>
    </row>
    <row r="401" spans="1:4" x14ac:dyDescent="0.25">
      <c r="A401">
        <f>'0.Consolidado general'!$A402</f>
        <v>0</v>
      </c>
      <c r="B401" s="139" t="str">
        <f>IF(A401&lt;&gt;0,SUM('1.PUNTOS-PROD'!B401:U401),"")</f>
        <v/>
      </c>
      <c r="C401" s="139" t="str">
        <f>IF(A401&lt;&gt;0,SUM('1.PUNTOS-PROD'!V401:AO401),"")</f>
        <v/>
      </c>
      <c r="D401" s="139" t="str">
        <f>IF(A401&lt;&gt;0,SUM('1.PUNTOS-PROD'!AP401:BK401),"")</f>
        <v/>
      </c>
    </row>
    <row r="402" spans="1:4" x14ac:dyDescent="0.25">
      <c r="A402">
        <f>'0.Consolidado general'!$A403</f>
        <v>0</v>
      </c>
      <c r="B402" s="139" t="str">
        <f>IF(A402&lt;&gt;0,SUM('1.PUNTOS-PROD'!B402:U402),"")</f>
        <v/>
      </c>
      <c r="C402" s="139" t="str">
        <f>IF(A402&lt;&gt;0,SUM('1.PUNTOS-PROD'!V402:AO402),"")</f>
        <v/>
      </c>
      <c r="D402" s="139" t="str">
        <f>IF(A402&lt;&gt;0,SUM('1.PUNTOS-PROD'!AP402:BK402),"")</f>
        <v/>
      </c>
    </row>
    <row r="403" spans="1:4" x14ac:dyDescent="0.25">
      <c r="A403">
        <f>'0.Consolidado general'!$A404</f>
        <v>0</v>
      </c>
      <c r="B403" s="139" t="str">
        <f>IF(A403&lt;&gt;0,SUM('1.PUNTOS-PROD'!B403:U403),"")</f>
        <v/>
      </c>
      <c r="C403" s="139" t="str">
        <f>IF(A403&lt;&gt;0,SUM('1.PUNTOS-PROD'!V403:AO403),"")</f>
        <v/>
      </c>
      <c r="D403" s="139" t="str">
        <f>IF(A403&lt;&gt;0,SUM('1.PUNTOS-PROD'!AP403:BK403),"")</f>
        <v/>
      </c>
    </row>
    <row r="404" spans="1:4" x14ac:dyDescent="0.25">
      <c r="A404">
        <f>'0.Consolidado general'!$A405</f>
        <v>0</v>
      </c>
      <c r="B404" s="139" t="str">
        <f>IF(A404&lt;&gt;0,SUM('1.PUNTOS-PROD'!B404:U404),"")</f>
        <v/>
      </c>
      <c r="C404" s="139" t="str">
        <f>IF(A404&lt;&gt;0,SUM('1.PUNTOS-PROD'!V404:AO404),"")</f>
        <v/>
      </c>
      <c r="D404" s="139" t="str">
        <f>IF(A404&lt;&gt;0,SUM('1.PUNTOS-PROD'!AP404:BK404),"")</f>
        <v/>
      </c>
    </row>
    <row r="405" spans="1:4" x14ac:dyDescent="0.25">
      <c r="A405">
        <f>'0.Consolidado general'!$A406</f>
        <v>0</v>
      </c>
      <c r="B405" s="139" t="str">
        <f>IF(A405&lt;&gt;0,SUM('1.PUNTOS-PROD'!B405:U405),"")</f>
        <v/>
      </c>
      <c r="C405" s="139" t="str">
        <f>IF(A405&lt;&gt;0,SUM('1.PUNTOS-PROD'!V405:AO405),"")</f>
        <v/>
      </c>
      <c r="D405" s="139" t="str">
        <f>IF(A405&lt;&gt;0,SUM('1.PUNTOS-PROD'!AP405:BK405),"")</f>
        <v/>
      </c>
    </row>
    <row r="406" spans="1:4" x14ac:dyDescent="0.25">
      <c r="A406">
        <f>'0.Consolidado general'!$A407</f>
        <v>0</v>
      </c>
      <c r="B406" s="139" t="str">
        <f>IF(A406&lt;&gt;0,SUM('1.PUNTOS-PROD'!B406:U406),"")</f>
        <v/>
      </c>
      <c r="C406" s="139" t="str">
        <f>IF(A406&lt;&gt;0,SUM('1.PUNTOS-PROD'!V406:AO406),"")</f>
        <v/>
      </c>
      <c r="D406" s="139" t="str">
        <f>IF(A406&lt;&gt;0,SUM('1.PUNTOS-PROD'!AP406:BK406),"")</f>
        <v/>
      </c>
    </row>
    <row r="407" spans="1:4" x14ac:dyDescent="0.25">
      <c r="A407">
        <f>'0.Consolidado general'!$A408</f>
        <v>0</v>
      </c>
      <c r="B407" s="139" t="str">
        <f>IF(A407&lt;&gt;0,SUM('1.PUNTOS-PROD'!B407:U407),"")</f>
        <v/>
      </c>
      <c r="C407" s="139" t="str">
        <f>IF(A407&lt;&gt;0,SUM('1.PUNTOS-PROD'!V407:AO407),"")</f>
        <v/>
      </c>
      <c r="D407" s="139" t="str">
        <f>IF(A407&lt;&gt;0,SUM('1.PUNTOS-PROD'!AP407:BK407),"")</f>
        <v/>
      </c>
    </row>
    <row r="408" spans="1:4" x14ac:dyDescent="0.25">
      <c r="A408">
        <f>'0.Consolidado general'!$A409</f>
        <v>0</v>
      </c>
      <c r="B408" s="139" t="str">
        <f>IF(A408&lt;&gt;0,SUM('1.PUNTOS-PROD'!B408:U408),"")</f>
        <v/>
      </c>
      <c r="C408" s="139" t="str">
        <f>IF(A408&lt;&gt;0,SUM('1.PUNTOS-PROD'!V408:AO408),"")</f>
        <v/>
      </c>
      <c r="D408" s="139" t="str">
        <f>IF(A408&lt;&gt;0,SUM('1.PUNTOS-PROD'!AP408:BK408),"")</f>
        <v/>
      </c>
    </row>
    <row r="409" spans="1:4" x14ac:dyDescent="0.25">
      <c r="A409">
        <f>'0.Consolidado general'!$A410</f>
        <v>0</v>
      </c>
      <c r="B409" s="139" t="str">
        <f>IF(A409&lt;&gt;0,SUM('1.PUNTOS-PROD'!B409:U409),"")</f>
        <v/>
      </c>
      <c r="C409" s="139" t="str">
        <f>IF(A409&lt;&gt;0,SUM('1.PUNTOS-PROD'!V409:AO409),"")</f>
        <v/>
      </c>
      <c r="D409" s="139" t="str">
        <f>IF(A409&lt;&gt;0,SUM('1.PUNTOS-PROD'!AP409:BK409),"")</f>
        <v/>
      </c>
    </row>
    <row r="410" spans="1:4" x14ac:dyDescent="0.25">
      <c r="A410">
        <f>'0.Consolidado general'!$A411</f>
        <v>0</v>
      </c>
      <c r="B410" s="139" t="str">
        <f>IF(A410&lt;&gt;0,SUM('1.PUNTOS-PROD'!B410:U410),"")</f>
        <v/>
      </c>
      <c r="C410" s="139" t="str">
        <f>IF(A410&lt;&gt;0,SUM('1.PUNTOS-PROD'!V410:AO410),"")</f>
        <v/>
      </c>
      <c r="D410" s="139" t="str">
        <f>IF(A410&lt;&gt;0,SUM('1.PUNTOS-PROD'!AP410:BK410),"")</f>
        <v/>
      </c>
    </row>
    <row r="411" spans="1:4" x14ac:dyDescent="0.25">
      <c r="A411">
        <f>'0.Consolidado general'!$A412</f>
        <v>0</v>
      </c>
      <c r="B411" s="139" t="str">
        <f>IF(A411&lt;&gt;0,SUM('1.PUNTOS-PROD'!B411:U411),"")</f>
        <v/>
      </c>
      <c r="C411" s="139" t="str">
        <f>IF(A411&lt;&gt;0,SUM('1.PUNTOS-PROD'!V411:AO411),"")</f>
        <v/>
      </c>
      <c r="D411" s="139" t="str">
        <f>IF(A411&lt;&gt;0,SUM('1.PUNTOS-PROD'!AP411:BK411),"")</f>
        <v/>
      </c>
    </row>
    <row r="412" spans="1:4" x14ac:dyDescent="0.25">
      <c r="A412">
        <f>'0.Consolidado general'!$A413</f>
        <v>0</v>
      </c>
      <c r="B412" s="139" t="str">
        <f>IF(A412&lt;&gt;0,SUM('1.PUNTOS-PROD'!B412:U412),"")</f>
        <v/>
      </c>
      <c r="C412" s="139" t="str">
        <f>IF(A412&lt;&gt;0,SUM('1.PUNTOS-PROD'!V412:AO412),"")</f>
        <v/>
      </c>
      <c r="D412" s="139" t="str">
        <f>IF(A412&lt;&gt;0,SUM('1.PUNTOS-PROD'!AP412:BK412),"")</f>
        <v/>
      </c>
    </row>
    <row r="413" spans="1:4" x14ac:dyDescent="0.25">
      <c r="A413">
        <f>'0.Consolidado general'!$A414</f>
        <v>0</v>
      </c>
      <c r="B413" s="139" t="str">
        <f>IF(A413&lt;&gt;0,SUM('1.PUNTOS-PROD'!B413:U413),"")</f>
        <v/>
      </c>
      <c r="C413" s="139" t="str">
        <f>IF(A413&lt;&gt;0,SUM('1.PUNTOS-PROD'!V413:AO413),"")</f>
        <v/>
      </c>
      <c r="D413" s="139" t="str">
        <f>IF(A413&lt;&gt;0,SUM('1.PUNTOS-PROD'!AP413:BK413),"")</f>
        <v/>
      </c>
    </row>
    <row r="414" spans="1:4" x14ac:dyDescent="0.25">
      <c r="A414">
        <f>'0.Consolidado general'!$A415</f>
        <v>0</v>
      </c>
      <c r="B414" s="139" t="str">
        <f>IF(A414&lt;&gt;0,SUM('1.PUNTOS-PROD'!B414:U414),"")</f>
        <v/>
      </c>
      <c r="C414" s="139" t="str">
        <f>IF(A414&lt;&gt;0,SUM('1.PUNTOS-PROD'!V414:AO414),"")</f>
        <v/>
      </c>
      <c r="D414" s="139" t="str">
        <f>IF(A414&lt;&gt;0,SUM('1.PUNTOS-PROD'!AP414:BK414),"")</f>
        <v/>
      </c>
    </row>
    <row r="415" spans="1:4" x14ac:dyDescent="0.25">
      <c r="A415">
        <f>'0.Consolidado general'!$A416</f>
        <v>0</v>
      </c>
      <c r="B415" s="139" t="str">
        <f>IF(A415&lt;&gt;0,SUM('1.PUNTOS-PROD'!B415:U415),"")</f>
        <v/>
      </c>
      <c r="C415" s="139" t="str">
        <f>IF(A415&lt;&gt;0,SUM('1.PUNTOS-PROD'!V415:AO415),"")</f>
        <v/>
      </c>
      <c r="D415" s="139" t="str">
        <f>IF(A415&lt;&gt;0,SUM('1.PUNTOS-PROD'!AP415:BK415),"")</f>
        <v/>
      </c>
    </row>
    <row r="416" spans="1:4" x14ac:dyDescent="0.25">
      <c r="A416">
        <f>'0.Consolidado general'!$A417</f>
        <v>0</v>
      </c>
      <c r="B416" s="139" t="str">
        <f>IF(A416&lt;&gt;0,SUM('1.PUNTOS-PROD'!B416:U416),"")</f>
        <v/>
      </c>
      <c r="C416" s="139" t="str">
        <f>IF(A416&lt;&gt;0,SUM('1.PUNTOS-PROD'!V416:AO416),"")</f>
        <v/>
      </c>
      <c r="D416" s="139" t="str">
        <f>IF(A416&lt;&gt;0,SUM('1.PUNTOS-PROD'!AP416:BK416),"")</f>
        <v/>
      </c>
    </row>
    <row r="417" spans="1:4" x14ac:dyDescent="0.25">
      <c r="A417">
        <f>'0.Consolidado general'!$A418</f>
        <v>0</v>
      </c>
      <c r="B417" s="139" t="str">
        <f>IF(A417&lt;&gt;0,SUM('1.PUNTOS-PROD'!B417:U417),"")</f>
        <v/>
      </c>
      <c r="C417" s="139" t="str">
        <f>IF(A417&lt;&gt;0,SUM('1.PUNTOS-PROD'!V417:AO417),"")</f>
        <v/>
      </c>
      <c r="D417" s="139" t="str">
        <f>IF(A417&lt;&gt;0,SUM('1.PUNTOS-PROD'!AP417:BK417),"")</f>
        <v/>
      </c>
    </row>
    <row r="418" spans="1:4" x14ac:dyDescent="0.25">
      <c r="A418">
        <f>'0.Consolidado general'!$A419</f>
        <v>0</v>
      </c>
      <c r="B418" s="139" t="str">
        <f>IF(A418&lt;&gt;0,SUM('1.PUNTOS-PROD'!B418:U418),"")</f>
        <v/>
      </c>
      <c r="C418" s="139" t="str">
        <f>IF(A418&lt;&gt;0,SUM('1.PUNTOS-PROD'!V418:AO418),"")</f>
        <v/>
      </c>
      <c r="D418" s="139" t="str">
        <f>IF(A418&lt;&gt;0,SUM('1.PUNTOS-PROD'!AP418:BK418),"")</f>
        <v/>
      </c>
    </row>
    <row r="419" spans="1:4" x14ac:dyDescent="0.25">
      <c r="A419">
        <f>'0.Consolidado general'!$A420</f>
        <v>0</v>
      </c>
      <c r="B419" s="139" t="str">
        <f>IF(A419&lt;&gt;0,SUM('1.PUNTOS-PROD'!B419:U419),"")</f>
        <v/>
      </c>
      <c r="C419" s="139" t="str">
        <f>IF(A419&lt;&gt;0,SUM('1.PUNTOS-PROD'!V419:AO419),"")</f>
        <v/>
      </c>
      <c r="D419" s="139" t="str">
        <f>IF(A419&lt;&gt;0,SUM('1.PUNTOS-PROD'!AP419:BK419),"")</f>
        <v/>
      </c>
    </row>
    <row r="420" spans="1:4" x14ac:dyDescent="0.25">
      <c r="A420">
        <f>'0.Consolidado general'!$A421</f>
        <v>0</v>
      </c>
      <c r="B420" s="139" t="str">
        <f>IF(A420&lt;&gt;0,SUM('1.PUNTOS-PROD'!B420:U420),"")</f>
        <v/>
      </c>
      <c r="C420" s="139" t="str">
        <f>IF(A420&lt;&gt;0,SUM('1.PUNTOS-PROD'!V420:AO420),"")</f>
        <v/>
      </c>
      <c r="D420" s="139" t="str">
        <f>IF(A420&lt;&gt;0,SUM('1.PUNTOS-PROD'!AP420:BK420),"")</f>
        <v/>
      </c>
    </row>
    <row r="421" spans="1:4" x14ac:dyDescent="0.25">
      <c r="A421">
        <f>'0.Consolidado general'!$A422</f>
        <v>0</v>
      </c>
      <c r="B421" s="139" t="str">
        <f>IF(A421&lt;&gt;0,SUM('1.PUNTOS-PROD'!B421:U421),"")</f>
        <v/>
      </c>
      <c r="C421" s="139" t="str">
        <f>IF(A421&lt;&gt;0,SUM('1.PUNTOS-PROD'!V421:AO421),"")</f>
        <v/>
      </c>
      <c r="D421" s="139" t="str">
        <f>IF(A421&lt;&gt;0,SUM('1.PUNTOS-PROD'!AP421:BK421),"")</f>
        <v/>
      </c>
    </row>
    <row r="422" spans="1:4" x14ac:dyDescent="0.25">
      <c r="A422">
        <f>'0.Consolidado general'!$A423</f>
        <v>0</v>
      </c>
      <c r="B422" s="139" t="str">
        <f>IF(A422&lt;&gt;0,SUM('1.PUNTOS-PROD'!B422:U422),"")</f>
        <v/>
      </c>
      <c r="C422" s="139" t="str">
        <f>IF(A422&lt;&gt;0,SUM('1.PUNTOS-PROD'!V422:AO422),"")</f>
        <v/>
      </c>
      <c r="D422" s="139" t="str">
        <f>IF(A422&lt;&gt;0,SUM('1.PUNTOS-PROD'!AP422:BK422),"")</f>
        <v/>
      </c>
    </row>
    <row r="423" spans="1:4" x14ac:dyDescent="0.25">
      <c r="A423">
        <f>'0.Consolidado general'!$A424</f>
        <v>0</v>
      </c>
      <c r="B423" s="139" t="str">
        <f>IF(A423&lt;&gt;0,SUM('1.PUNTOS-PROD'!B423:U423),"")</f>
        <v/>
      </c>
      <c r="C423" s="139" t="str">
        <f>IF(A423&lt;&gt;0,SUM('1.PUNTOS-PROD'!V423:AO423),"")</f>
        <v/>
      </c>
      <c r="D423" s="139" t="str">
        <f>IF(A423&lt;&gt;0,SUM('1.PUNTOS-PROD'!AP423:BK423),"")</f>
        <v/>
      </c>
    </row>
    <row r="424" spans="1:4" x14ac:dyDescent="0.25">
      <c r="A424">
        <f>'0.Consolidado general'!$A425</f>
        <v>0</v>
      </c>
      <c r="B424" s="139" t="str">
        <f>IF(A424&lt;&gt;0,SUM('1.PUNTOS-PROD'!B424:U424),"")</f>
        <v/>
      </c>
      <c r="C424" s="139" t="str">
        <f>IF(A424&lt;&gt;0,SUM('1.PUNTOS-PROD'!V424:AO424),"")</f>
        <v/>
      </c>
      <c r="D424" s="139" t="str">
        <f>IF(A424&lt;&gt;0,SUM('1.PUNTOS-PROD'!AP424:BK424),"")</f>
        <v/>
      </c>
    </row>
    <row r="425" spans="1:4" x14ac:dyDescent="0.25">
      <c r="A425">
        <f>'0.Consolidado general'!$A426</f>
        <v>0</v>
      </c>
      <c r="B425" s="139" t="str">
        <f>IF(A425&lt;&gt;0,SUM('1.PUNTOS-PROD'!B425:U425),"")</f>
        <v/>
      </c>
      <c r="C425" s="139" t="str">
        <f>IF(A425&lt;&gt;0,SUM('1.PUNTOS-PROD'!V425:AO425),"")</f>
        <v/>
      </c>
      <c r="D425" s="139" t="str">
        <f>IF(A425&lt;&gt;0,SUM('1.PUNTOS-PROD'!AP425:BK425),"")</f>
        <v/>
      </c>
    </row>
    <row r="426" spans="1:4" x14ac:dyDescent="0.25">
      <c r="A426">
        <f>'0.Consolidado general'!$A427</f>
        <v>0</v>
      </c>
      <c r="B426" s="139" t="str">
        <f>IF(A426&lt;&gt;0,SUM('1.PUNTOS-PROD'!B426:U426),"")</f>
        <v/>
      </c>
      <c r="C426" s="139" t="str">
        <f>IF(A426&lt;&gt;0,SUM('1.PUNTOS-PROD'!V426:AO426),"")</f>
        <v/>
      </c>
      <c r="D426" s="139" t="str">
        <f>IF(A426&lt;&gt;0,SUM('1.PUNTOS-PROD'!AP426:BK426),"")</f>
        <v/>
      </c>
    </row>
    <row r="427" spans="1:4" x14ac:dyDescent="0.25">
      <c r="A427">
        <f>'0.Consolidado general'!$A428</f>
        <v>0</v>
      </c>
      <c r="B427" s="139" t="str">
        <f>IF(A427&lt;&gt;0,SUM('1.PUNTOS-PROD'!B427:U427),"")</f>
        <v/>
      </c>
      <c r="C427" s="139" t="str">
        <f>IF(A427&lt;&gt;0,SUM('1.PUNTOS-PROD'!V427:AO427),"")</f>
        <v/>
      </c>
      <c r="D427" s="139" t="str">
        <f>IF(A427&lt;&gt;0,SUM('1.PUNTOS-PROD'!AP427:BK427),"")</f>
        <v/>
      </c>
    </row>
    <row r="428" spans="1:4" x14ac:dyDescent="0.25">
      <c r="A428">
        <f>'0.Consolidado general'!$A429</f>
        <v>0</v>
      </c>
      <c r="B428" s="139" t="str">
        <f>IF(A428&lt;&gt;0,SUM('1.PUNTOS-PROD'!B428:U428),"")</f>
        <v/>
      </c>
      <c r="C428" s="139" t="str">
        <f>IF(A428&lt;&gt;0,SUM('1.PUNTOS-PROD'!V428:AO428),"")</f>
        <v/>
      </c>
      <c r="D428" s="139" t="str">
        <f>IF(A428&lt;&gt;0,SUM('1.PUNTOS-PROD'!AP428:BK428),"")</f>
        <v/>
      </c>
    </row>
    <row r="429" spans="1:4" x14ac:dyDescent="0.25">
      <c r="A429">
        <f>'0.Consolidado general'!$A430</f>
        <v>0</v>
      </c>
      <c r="B429" s="139" t="str">
        <f>IF(A429&lt;&gt;0,SUM('1.PUNTOS-PROD'!B429:U429),"")</f>
        <v/>
      </c>
      <c r="C429" s="139" t="str">
        <f>IF(A429&lt;&gt;0,SUM('1.PUNTOS-PROD'!V429:AO429),"")</f>
        <v/>
      </c>
      <c r="D429" s="139" t="str">
        <f>IF(A429&lt;&gt;0,SUM('1.PUNTOS-PROD'!AP429:BK429),"")</f>
        <v/>
      </c>
    </row>
    <row r="430" spans="1:4" x14ac:dyDescent="0.25">
      <c r="A430">
        <f>'0.Consolidado general'!$A431</f>
        <v>0</v>
      </c>
      <c r="B430" s="139" t="str">
        <f>IF(A430&lt;&gt;0,SUM('1.PUNTOS-PROD'!B430:U430),"")</f>
        <v/>
      </c>
      <c r="C430" s="139" t="str">
        <f>IF(A430&lt;&gt;0,SUM('1.PUNTOS-PROD'!V430:AO430),"")</f>
        <v/>
      </c>
      <c r="D430" s="139" t="str">
        <f>IF(A430&lt;&gt;0,SUM('1.PUNTOS-PROD'!AP430:BK430),"")</f>
        <v/>
      </c>
    </row>
    <row r="431" spans="1:4" x14ac:dyDescent="0.25">
      <c r="A431">
        <f>'0.Consolidado general'!$A432</f>
        <v>0</v>
      </c>
      <c r="B431" s="139" t="str">
        <f>IF(A431&lt;&gt;0,SUM('1.PUNTOS-PROD'!B431:U431),"")</f>
        <v/>
      </c>
      <c r="C431" s="139" t="str">
        <f>IF(A431&lt;&gt;0,SUM('1.PUNTOS-PROD'!V431:AO431),"")</f>
        <v/>
      </c>
      <c r="D431" s="139" t="str">
        <f>IF(A431&lt;&gt;0,SUM('1.PUNTOS-PROD'!AP431:BK431),"")</f>
        <v/>
      </c>
    </row>
    <row r="432" spans="1:4" x14ac:dyDescent="0.25">
      <c r="A432">
        <f>'0.Consolidado general'!$A433</f>
        <v>0</v>
      </c>
      <c r="B432" s="139" t="str">
        <f>IF(A432&lt;&gt;0,SUM('1.PUNTOS-PROD'!B432:U432),"")</f>
        <v/>
      </c>
      <c r="C432" s="139" t="str">
        <f>IF(A432&lt;&gt;0,SUM('1.PUNTOS-PROD'!V432:AO432),"")</f>
        <v/>
      </c>
      <c r="D432" s="139" t="str">
        <f>IF(A432&lt;&gt;0,SUM('1.PUNTOS-PROD'!AP432:BK432),"")</f>
        <v/>
      </c>
    </row>
    <row r="433" spans="1:4" x14ac:dyDescent="0.25">
      <c r="A433">
        <f>'0.Consolidado general'!$A434</f>
        <v>0</v>
      </c>
      <c r="B433" s="139" t="str">
        <f>IF(A433&lt;&gt;0,SUM('1.PUNTOS-PROD'!B433:U433),"")</f>
        <v/>
      </c>
      <c r="C433" s="139" t="str">
        <f>IF(A433&lt;&gt;0,SUM('1.PUNTOS-PROD'!V433:AO433),"")</f>
        <v/>
      </c>
      <c r="D433" s="139" t="str">
        <f>IF(A433&lt;&gt;0,SUM('1.PUNTOS-PROD'!AP433:BK433),"")</f>
        <v/>
      </c>
    </row>
    <row r="434" spans="1:4" x14ac:dyDescent="0.25">
      <c r="A434">
        <f>'0.Consolidado general'!$A435</f>
        <v>0</v>
      </c>
      <c r="B434" s="139" t="str">
        <f>IF(A434&lt;&gt;0,SUM('1.PUNTOS-PROD'!B434:U434),"")</f>
        <v/>
      </c>
      <c r="C434" s="139" t="str">
        <f>IF(A434&lt;&gt;0,SUM('1.PUNTOS-PROD'!V434:AO434),"")</f>
        <v/>
      </c>
      <c r="D434" s="139" t="str">
        <f>IF(A434&lt;&gt;0,SUM('1.PUNTOS-PROD'!AP434:BK434),"")</f>
        <v/>
      </c>
    </row>
    <row r="435" spans="1:4" x14ac:dyDescent="0.25">
      <c r="A435">
        <f>'0.Consolidado general'!$A436</f>
        <v>0</v>
      </c>
      <c r="B435" s="139" t="str">
        <f>IF(A435&lt;&gt;0,SUM('1.PUNTOS-PROD'!B435:U435),"")</f>
        <v/>
      </c>
      <c r="C435" s="139" t="str">
        <f>IF(A435&lt;&gt;0,SUM('1.PUNTOS-PROD'!V435:AO435),"")</f>
        <v/>
      </c>
      <c r="D435" s="139" t="str">
        <f>IF(A435&lt;&gt;0,SUM('1.PUNTOS-PROD'!AP435:BK435),"")</f>
        <v/>
      </c>
    </row>
    <row r="436" spans="1:4" x14ac:dyDescent="0.25">
      <c r="A436">
        <f>'0.Consolidado general'!$A437</f>
        <v>0</v>
      </c>
      <c r="B436" s="139" t="str">
        <f>IF(A436&lt;&gt;0,SUM('1.PUNTOS-PROD'!B436:U436),"")</f>
        <v/>
      </c>
      <c r="C436" s="139" t="str">
        <f>IF(A436&lt;&gt;0,SUM('1.PUNTOS-PROD'!V436:AO436),"")</f>
        <v/>
      </c>
      <c r="D436" s="139" t="str">
        <f>IF(A436&lt;&gt;0,SUM('1.PUNTOS-PROD'!AP436:BK436),"")</f>
        <v/>
      </c>
    </row>
    <row r="437" spans="1:4" x14ac:dyDescent="0.25">
      <c r="A437">
        <f>'0.Consolidado general'!$A438</f>
        <v>0</v>
      </c>
      <c r="B437" s="139" t="str">
        <f>IF(A437&lt;&gt;0,SUM('1.PUNTOS-PROD'!B437:U437),"")</f>
        <v/>
      </c>
      <c r="C437" s="139" t="str">
        <f>IF(A437&lt;&gt;0,SUM('1.PUNTOS-PROD'!V437:AO437),"")</f>
        <v/>
      </c>
      <c r="D437" s="139" t="str">
        <f>IF(A437&lt;&gt;0,SUM('1.PUNTOS-PROD'!AP437:BK437),"")</f>
        <v/>
      </c>
    </row>
    <row r="438" spans="1:4" x14ac:dyDescent="0.25">
      <c r="A438">
        <f>'0.Consolidado general'!$A439</f>
        <v>0</v>
      </c>
      <c r="B438" s="139" t="str">
        <f>IF(A438&lt;&gt;0,SUM('1.PUNTOS-PROD'!B438:U438),"")</f>
        <v/>
      </c>
      <c r="C438" s="139" t="str">
        <f>IF(A438&lt;&gt;0,SUM('1.PUNTOS-PROD'!V438:AO438),"")</f>
        <v/>
      </c>
      <c r="D438" s="139" t="str">
        <f>IF(A438&lt;&gt;0,SUM('1.PUNTOS-PROD'!AP438:BK438),"")</f>
        <v/>
      </c>
    </row>
    <row r="439" spans="1:4" x14ac:dyDescent="0.25">
      <c r="A439">
        <f>'0.Consolidado general'!$A440</f>
        <v>0</v>
      </c>
      <c r="B439" s="139" t="str">
        <f>IF(A439&lt;&gt;0,SUM('1.PUNTOS-PROD'!B439:U439),"")</f>
        <v/>
      </c>
      <c r="C439" s="139" t="str">
        <f>IF(A439&lt;&gt;0,SUM('1.PUNTOS-PROD'!V439:AO439),"")</f>
        <v/>
      </c>
      <c r="D439" s="139" t="str">
        <f>IF(A439&lt;&gt;0,SUM('1.PUNTOS-PROD'!AP439:BK439),"")</f>
        <v/>
      </c>
    </row>
    <row r="440" spans="1:4" x14ac:dyDescent="0.25">
      <c r="A440">
        <f>'0.Consolidado general'!$A441</f>
        <v>0</v>
      </c>
      <c r="B440" s="139" t="str">
        <f>IF(A440&lt;&gt;0,SUM('1.PUNTOS-PROD'!B440:U440),"")</f>
        <v/>
      </c>
      <c r="C440" s="139" t="str">
        <f>IF(A440&lt;&gt;0,SUM('1.PUNTOS-PROD'!V440:AO440),"")</f>
        <v/>
      </c>
      <c r="D440" s="139" t="str">
        <f>IF(A440&lt;&gt;0,SUM('1.PUNTOS-PROD'!AP440:BK440),"")</f>
        <v/>
      </c>
    </row>
    <row r="441" spans="1:4" x14ac:dyDescent="0.25">
      <c r="A441">
        <f>'0.Consolidado general'!$A442</f>
        <v>0</v>
      </c>
      <c r="B441" s="139" t="str">
        <f>IF(A441&lt;&gt;0,SUM('1.PUNTOS-PROD'!B441:U441),"")</f>
        <v/>
      </c>
      <c r="C441" s="139" t="str">
        <f>IF(A441&lt;&gt;0,SUM('1.PUNTOS-PROD'!V441:AO441),"")</f>
        <v/>
      </c>
      <c r="D441" s="139" t="str">
        <f>IF(A441&lt;&gt;0,SUM('1.PUNTOS-PROD'!AP441:BK441),"")</f>
        <v/>
      </c>
    </row>
    <row r="442" spans="1:4" x14ac:dyDescent="0.25">
      <c r="A442">
        <f>'0.Consolidado general'!$A443</f>
        <v>0</v>
      </c>
      <c r="B442" s="139" t="str">
        <f>IF(A442&lt;&gt;0,SUM('1.PUNTOS-PROD'!B442:U442),"")</f>
        <v/>
      </c>
      <c r="C442" s="139" t="str">
        <f>IF(A442&lt;&gt;0,SUM('1.PUNTOS-PROD'!V442:AO442),"")</f>
        <v/>
      </c>
      <c r="D442" s="139" t="str">
        <f>IF(A442&lt;&gt;0,SUM('1.PUNTOS-PROD'!AP442:BK442),"")</f>
        <v/>
      </c>
    </row>
    <row r="443" spans="1:4" x14ac:dyDescent="0.25">
      <c r="A443">
        <f>'0.Consolidado general'!$A444</f>
        <v>0</v>
      </c>
      <c r="B443" s="139" t="str">
        <f>IF(A443&lt;&gt;0,SUM('1.PUNTOS-PROD'!B443:U443),"")</f>
        <v/>
      </c>
      <c r="C443" s="139" t="str">
        <f>IF(A443&lt;&gt;0,SUM('1.PUNTOS-PROD'!V443:AO443),"")</f>
        <v/>
      </c>
      <c r="D443" s="139" t="str">
        <f>IF(A443&lt;&gt;0,SUM('1.PUNTOS-PROD'!AP443:BK443),"")</f>
        <v/>
      </c>
    </row>
    <row r="444" spans="1:4" x14ac:dyDescent="0.25">
      <c r="A444">
        <f>'0.Consolidado general'!$A445</f>
        <v>0</v>
      </c>
      <c r="B444" s="139" t="str">
        <f>IF(A444&lt;&gt;0,SUM('1.PUNTOS-PROD'!B444:U444),"")</f>
        <v/>
      </c>
      <c r="C444" s="139" t="str">
        <f>IF(A444&lt;&gt;0,SUM('1.PUNTOS-PROD'!V444:AO444),"")</f>
        <v/>
      </c>
      <c r="D444" s="139" t="str">
        <f>IF(A444&lt;&gt;0,SUM('1.PUNTOS-PROD'!AP444:BK444),"")</f>
        <v/>
      </c>
    </row>
    <row r="445" spans="1:4" x14ac:dyDescent="0.25">
      <c r="A445">
        <f>'0.Consolidado general'!$A446</f>
        <v>0</v>
      </c>
      <c r="B445" s="139" t="str">
        <f>IF(A445&lt;&gt;0,SUM('1.PUNTOS-PROD'!B445:U445),"")</f>
        <v/>
      </c>
      <c r="C445" s="139" t="str">
        <f>IF(A445&lt;&gt;0,SUM('1.PUNTOS-PROD'!V445:AO445),"")</f>
        <v/>
      </c>
      <c r="D445" s="139" t="str">
        <f>IF(A445&lt;&gt;0,SUM('1.PUNTOS-PROD'!AP445:BK445),"")</f>
        <v/>
      </c>
    </row>
    <row r="446" spans="1:4" x14ac:dyDescent="0.25">
      <c r="A446">
        <f>'0.Consolidado general'!$A447</f>
        <v>0</v>
      </c>
      <c r="B446" s="139" t="str">
        <f>IF(A446&lt;&gt;0,SUM('1.PUNTOS-PROD'!B446:U446),"")</f>
        <v/>
      </c>
      <c r="C446" s="139" t="str">
        <f>IF(A446&lt;&gt;0,SUM('1.PUNTOS-PROD'!V446:AO446),"")</f>
        <v/>
      </c>
      <c r="D446" s="139" t="str">
        <f>IF(A446&lt;&gt;0,SUM('1.PUNTOS-PROD'!AP446:BK446),"")</f>
        <v/>
      </c>
    </row>
    <row r="447" spans="1:4" x14ac:dyDescent="0.25">
      <c r="A447">
        <f>'0.Consolidado general'!$A448</f>
        <v>0</v>
      </c>
      <c r="B447" s="139" t="str">
        <f>IF(A447&lt;&gt;0,SUM('1.PUNTOS-PROD'!B447:U447),"")</f>
        <v/>
      </c>
      <c r="C447" s="139" t="str">
        <f>IF(A447&lt;&gt;0,SUM('1.PUNTOS-PROD'!V447:AO447),"")</f>
        <v/>
      </c>
      <c r="D447" s="139" t="str">
        <f>IF(A447&lt;&gt;0,SUM('1.PUNTOS-PROD'!AP447:BK447),"")</f>
        <v/>
      </c>
    </row>
    <row r="448" spans="1:4" x14ac:dyDescent="0.25">
      <c r="A448">
        <f>'0.Consolidado general'!$A449</f>
        <v>0</v>
      </c>
      <c r="B448" s="139" t="str">
        <f>IF(A448&lt;&gt;0,SUM('1.PUNTOS-PROD'!B448:U448),"")</f>
        <v/>
      </c>
      <c r="C448" s="139" t="str">
        <f>IF(A448&lt;&gt;0,SUM('1.PUNTOS-PROD'!V448:AO448),"")</f>
        <v/>
      </c>
      <c r="D448" s="139" t="str">
        <f>IF(A448&lt;&gt;0,SUM('1.PUNTOS-PROD'!AP448:BK448),"")</f>
        <v/>
      </c>
    </row>
    <row r="449" spans="1:4" x14ac:dyDescent="0.25">
      <c r="A449">
        <f>'0.Consolidado general'!$A450</f>
        <v>0</v>
      </c>
      <c r="B449" s="139" t="str">
        <f>IF(A449&lt;&gt;0,SUM('1.PUNTOS-PROD'!B449:U449),"")</f>
        <v/>
      </c>
      <c r="C449" s="139" t="str">
        <f>IF(A449&lt;&gt;0,SUM('1.PUNTOS-PROD'!V449:AO449),"")</f>
        <v/>
      </c>
      <c r="D449" s="139" t="str">
        <f>IF(A449&lt;&gt;0,SUM('1.PUNTOS-PROD'!AP449:BK449),"")</f>
        <v/>
      </c>
    </row>
    <row r="450" spans="1:4" x14ac:dyDescent="0.25">
      <c r="A450">
        <f>'0.Consolidado general'!$A451</f>
        <v>0</v>
      </c>
      <c r="B450" s="139" t="str">
        <f>IF(A450&lt;&gt;0,SUM('1.PUNTOS-PROD'!B450:U450),"")</f>
        <v/>
      </c>
      <c r="C450" s="139" t="str">
        <f>IF(A450&lt;&gt;0,SUM('1.PUNTOS-PROD'!V450:AO450),"")</f>
        <v/>
      </c>
      <c r="D450" s="139" t="str">
        <f>IF(A450&lt;&gt;0,SUM('1.PUNTOS-PROD'!AP450:BK450),"")</f>
        <v/>
      </c>
    </row>
    <row r="451" spans="1:4" x14ac:dyDescent="0.25">
      <c r="A451">
        <f>'0.Consolidado general'!$A452</f>
        <v>0</v>
      </c>
      <c r="B451" s="139" t="str">
        <f>IF(A451&lt;&gt;0,SUM('1.PUNTOS-PROD'!B451:U451),"")</f>
        <v/>
      </c>
      <c r="C451" s="139" t="str">
        <f>IF(A451&lt;&gt;0,SUM('1.PUNTOS-PROD'!V451:AO451),"")</f>
        <v/>
      </c>
      <c r="D451" s="139" t="str">
        <f>IF(A451&lt;&gt;0,SUM('1.PUNTOS-PROD'!AP451:BK451),"")</f>
        <v/>
      </c>
    </row>
    <row r="452" spans="1:4" x14ac:dyDescent="0.25">
      <c r="A452">
        <f>'0.Consolidado general'!$A453</f>
        <v>0</v>
      </c>
      <c r="B452" s="139" t="str">
        <f>IF(A452&lt;&gt;0,SUM('1.PUNTOS-PROD'!B452:U452),"")</f>
        <v/>
      </c>
      <c r="C452" s="139" t="str">
        <f>IF(A452&lt;&gt;0,SUM('1.PUNTOS-PROD'!V452:AO452),"")</f>
        <v/>
      </c>
      <c r="D452" s="139" t="str">
        <f>IF(A452&lt;&gt;0,SUM('1.PUNTOS-PROD'!AP452:BK452),"")</f>
        <v/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/>
  <dimension ref="A1:Q496"/>
  <sheetViews>
    <sheetView topLeftCell="B1" workbookViewId="0">
      <selection activeCell="N11" sqref="N11"/>
    </sheetView>
  </sheetViews>
  <sheetFormatPr baseColWidth="10" defaultRowHeight="15" x14ac:dyDescent="0.25"/>
  <cols>
    <col min="1" max="1" width="26.5703125" bestFit="1" customWidth="1"/>
    <col min="2" max="2" width="13" bestFit="1" customWidth="1"/>
    <col min="3" max="3" width="16.28515625" customWidth="1"/>
    <col min="6" max="6" width="17.85546875" customWidth="1"/>
    <col min="10" max="10" width="12.28515625" bestFit="1" customWidth="1"/>
    <col min="13" max="13" width="11.85546875" bestFit="1" customWidth="1"/>
    <col min="14" max="14" width="14.5703125" bestFit="1" customWidth="1"/>
    <col min="15" max="16" width="9.140625" customWidth="1"/>
  </cols>
  <sheetData>
    <row r="1" spans="1:17" x14ac:dyDescent="0.25">
      <c r="A1" t="s">
        <v>459</v>
      </c>
      <c r="B1" s="235">
        <v>0.5</v>
      </c>
      <c r="C1" s="235"/>
      <c r="D1" s="235"/>
      <c r="E1" s="235"/>
      <c r="F1" s="235"/>
      <c r="G1" s="235"/>
      <c r="H1" s="235"/>
      <c r="I1" s="236">
        <v>0.5</v>
      </c>
      <c r="J1" s="237"/>
      <c r="K1" s="237"/>
      <c r="L1" s="237"/>
    </row>
    <row r="2" spans="1:17" x14ac:dyDescent="0.25">
      <c r="A2" s="16">
        <f>[3]User!$G$3</f>
        <v>1</v>
      </c>
      <c r="B2" s="232">
        <v>0.7</v>
      </c>
      <c r="C2" s="232"/>
      <c r="D2" s="232"/>
      <c r="E2" s="233">
        <v>0.3</v>
      </c>
      <c r="F2" s="233"/>
      <c r="G2" s="233"/>
      <c r="H2" s="233"/>
      <c r="I2" s="233">
        <v>0.7</v>
      </c>
      <c r="J2" s="233"/>
      <c r="K2" s="233">
        <v>0.3</v>
      </c>
      <c r="L2" s="234"/>
    </row>
    <row r="3" spans="1:17" ht="15.75" thickBot="1" x14ac:dyDescent="0.3">
      <c r="B3" s="57"/>
      <c r="C3" s="57"/>
      <c r="D3" s="57"/>
      <c r="E3" s="72">
        <v>0.25</v>
      </c>
      <c r="F3" s="72">
        <v>0.2</v>
      </c>
      <c r="G3" s="72">
        <v>0.45</v>
      </c>
      <c r="H3" s="72">
        <v>0.1</v>
      </c>
      <c r="I3" s="72">
        <v>0</v>
      </c>
      <c r="J3" s="72">
        <v>1</v>
      </c>
      <c r="K3" s="72">
        <v>0.3</v>
      </c>
      <c r="L3" s="72">
        <v>0.7</v>
      </c>
    </row>
    <row r="4" spans="1:17" ht="15.75" thickBot="1" x14ac:dyDescent="0.3">
      <c r="A4" s="162"/>
      <c r="B4" s="225" t="s">
        <v>458</v>
      </c>
      <c r="C4" s="226"/>
      <c r="D4" s="226"/>
      <c r="E4" s="226"/>
      <c r="F4" s="226"/>
      <c r="G4" s="226"/>
      <c r="H4" s="227"/>
      <c r="I4" s="225" t="s">
        <v>453</v>
      </c>
      <c r="J4" s="226"/>
      <c r="K4" s="226"/>
      <c r="L4" s="227"/>
      <c r="N4" s="161" t="s">
        <v>457</v>
      </c>
    </row>
    <row r="5" spans="1:17" x14ac:dyDescent="0.25">
      <c r="A5" s="160"/>
      <c r="B5" s="222" t="s">
        <v>456</v>
      </c>
      <c r="C5" s="223"/>
      <c r="D5" s="224"/>
      <c r="E5" s="222" t="s">
        <v>455</v>
      </c>
      <c r="F5" s="223"/>
      <c r="G5" s="223"/>
      <c r="H5" s="224"/>
      <c r="I5" s="228" t="s">
        <v>454</v>
      </c>
      <c r="J5" s="229"/>
      <c r="K5" s="230" t="s">
        <v>453</v>
      </c>
      <c r="L5" s="231"/>
      <c r="N5" s="49"/>
    </row>
    <row r="6" spans="1:17" s="144" customFormat="1" ht="45" x14ac:dyDescent="0.25">
      <c r="A6" s="159" t="s">
        <v>64</v>
      </c>
      <c r="B6" s="158">
        <v>1</v>
      </c>
      <c r="C6" s="157">
        <v>2</v>
      </c>
      <c r="D6" s="156">
        <v>3</v>
      </c>
      <c r="E6" s="155" t="s">
        <v>452</v>
      </c>
      <c r="F6" s="154" t="s">
        <v>451</v>
      </c>
      <c r="G6" s="154" t="s">
        <v>450</v>
      </c>
      <c r="H6" s="153" t="s">
        <v>449</v>
      </c>
      <c r="I6" s="152" t="s">
        <v>448</v>
      </c>
      <c r="J6" s="151" t="s">
        <v>447</v>
      </c>
      <c r="K6" s="152" t="s">
        <v>446</v>
      </c>
      <c r="L6" s="151" t="s">
        <v>321</v>
      </c>
      <c r="N6" s="141"/>
    </row>
    <row r="7" spans="1:17" s="144" customFormat="1" x14ac:dyDescent="0.25">
      <c r="A7" s="150"/>
      <c r="B7" s="149">
        <f>B1*B2</f>
        <v>0.35</v>
      </c>
      <c r="C7" s="149">
        <f>B1*B2</f>
        <v>0.35</v>
      </c>
      <c r="D7" s="149">
        <f>B1*B2</f>
        <v>0.35</v>
      </c>
      <c r="E7" s="148">
        <f>$B$1*$E$2*E3</f>
        <v>3.7499999999999999E-2</v>
      </c>
      <c r="F7" s="148">
        <f>$B$1*$E$2*F3</f>
        <v>0.03</v>
      </c>
      <c r="G7" s="148">
        <f>$B$1*$E$2*G3</f>
        <v>6.7500000000000004E-2</v>
      </c>
      <c r="H7" s="148">
        <f>$B$1*$E$2*H3</f>
        <v>1.4999999999999999E-2</v>
      </c>
      <c r="I7" s="146"/>
      <c r="J7" s="147">
        <f>I1*I2</f>
        <v>0.35</v>
      </c>
      <c r="K7" s="146">
        <f>$I$1*$K$2*K3</f>
        <v>4.4999999999999998E-2</v>
      </c>
      <c r="L7" s="146">
        <f>$I$1*$K$2*L3</f>
        <v>0.105</v>
      </c>
      <c r="M7" s="145">
        <f>SUM(B7:L7)-(2*D7)</f>
        <v>0.99999999999999978</v>
      </c>
      <c r="N7" s="141"/>
    </row>
    <row r="8" spans="1:17" x14ac:dyDescent="0.25">
      <c r="A8" t="str">
        <f>'0.Consolidado general'!$A3</f>
        <v>E001001021002</v>
      </c>
      <c r="B8" s="143">
        <f>5-(IF('1.PUNTOS-FIN'!B2&lt;AVERAGE('1.PUNTOS-FIN'!B$2:B$41)-1.5*(AVERAGE('1.PUNTOS-FIN'!B$2:B$41)-QUARTILE('1.PUNTOS-FIN'!B$2:B$41,1)),5*0,IF('1.PUNTOS-FIN'!B2&gt;AVERAGE('1.PUNTOS-FIN'!B$2:B$41)+1.5*(QUARTILE('1.PUNTOS-FIN'!B$2:B$41,3)-AVERAGE('1.PUNTOS-FIN'!B$2:B$41)),5*1,5*('1.PUNTOS-FIN'!B2-MIN('1.PUNTOS-FIN'!B$2:B$41))/(MAX('1.PUNTOS-FIN'!B$2:B$41)-MIN('1.PUNTOS-FIN'!B$2:B$41)))))</f>
        <v>3.0555555555555554</v>
      </c>
      <c r="C8" s="143">
        <f>5-(IF('1.PUNTOS-FIN'!C2&lt;AVERAGE('1.PUNTOS-FIN'!C$2:C$41)-1.5*(AVERAGE('1.PUNTOS-FIN'!C$2:C$41)-QUARTILE('1.PUNTOS-FIN'!C$2:C$41,1)),5*0,IF('1.PUNTOS-FIN'!C2&gt;AVERAGE('1.PUNTOS-FIN'!C$2:C$41)+1.5*(QUARTILE('1.PUNTOS-FIN'!C$2:C$41,3)-AVERAGE('1.PUNTOS-FIN'!C$2:C$41)),5*1,5*('1.PUNTOS-FIN'!C2-MIN('1.PUNTOS-FIN'!C$2:C$41))/(MAX('1.PUNTOS-FIN'!C$2:C$41)-MIN('1.PUNTOS-FIN'!C$2:C$41)))))</f>
        <v>0</v>
      </c>
      <c r="D8" s="143">
        <f>5-(IF('1.PUNTOS-FIN'!D2&lt;AVERAGE('1.PUNTOS-FIN'!D$2:D$41)-1.5*(AVERAGE('1.PUNTOS-FIN'!D$2:D$41)-QUARTILE('1.PUNTOS-FIN'!D$2:D$41,1)),5*0,IF('1.PUNTOS-FIN'!D2&gt;AVERAGE('1.PUNTOS-FIN'!D$2:D$41)+1.5*(QUARTILE('1.PUNTOS-FIN'!D$2:D$41,3)-AVERAGE('1.PUNTOS-FIN'!D$2:D$41)),5*1,5*('1.PUNTOS-FIN'!D2-MIN('1.PUNTOS-FIN'!D$2:D$41))/(MAX('1.PUNTOS-FIN'!D$2:D$41)-MIN('1.PUNTOS-FIN'!D$2:D$41)))))</f>
        <v>3.2352941176470589</v>
      </c>
      <c r="E8" s="56">
        <f>IF('1.DATOS-PROD'!B3&lt;AVERAGE('1.DATOS-PROD'!B$3:B$42)-1.5*(AVERAGE('1.DATOS-PROD'!B$3:B$42)-QUARTILE('1.DATOS-PROD'!B$3:B$42,1)),5*0,IF('1.DATOS-PROD'!B3&gt;AVERAGE('1.DATOS-PROD'!B$3:B$42)+1.5*(QUARTILE('1.DATOS-PROD'!B$3:B$42,3)-AVERAGE('1.DATOS-PROD'!B$3:B$42)),5*1,5*('1.DATOS-PROD'!B3-MIN('1.DATOS-PROD'!B$3:B$42))/(MAX('1.DATOS-PROD'!B$3:B$42)-MIN('1.DATOS-PROD'!B$3:B$42))))</f>
        <v>0</v>
      </c>
      <c r="F8" s="56">
        <f>IF('1.DATOS-PROD'!C3&lt;AVERAGE('1.DATOS-PROD'!C$3:C$42)-1.5*(AVERAGE('1.DATOS-PROD'!C$3:C$42)-QUARTILE('1.DATOS-PROD'!C$3:C$42,1)),5*0,IF('1.DATOS-PROD'!C3&gt;AVERAGE('1.DATOS-PROD'!C$3:C$42)+1.5*(QUARTILE('1.DATOS-PROD'!C$3:C$42,3)-AVERAGE('1.DATOS-PROD'!C$3:C$42)),5*1,5*('1.DATOS-PROD'!C3-MIN('1.DATOS-PROD'!C$3:C$42))/(MAX('1.DATOS-PROD'!C$3:C$42)-MIN('1.DATOS-PROD'!C$3:C$42))))</f>
        <v>4</v>
      </c>
      <c r="G8" s="56">
        <f>IF('1.DATOS-PROD'!D3&lt;AVERAGE('1.DATOS-PROD'!D$3:D$42)-1.5*(AVERAGE('1.DATOS-PROD'!D$3:D$42)-QUARTILE('1.DATOS-PROD'!D$3:D$42,1)),5*0,IF('1.DATOS-PROD'!D3&gt;AVERAGE('1.DATOS-PROD'!D$3:D$42)+1.5*(QUARTILE('1.DATOS-PROD'!D$3:D$42,3)-AVERAGE('1.DATOS-PROD'!D$3:D$42)),5*1,5*('1.DATOS-PROD'!D3-MIN('1.DATOS-PROD'!D$3:D$42))/(MAX('1.DATOS-PROD'!D$3:D$42)-MIN('1.DATOS-PROD'!D$3:D$42))))</f>
        <v>5</v>
      </c>
      <c r="H8" s="56">
        <f>IF('1.DATOS-PROD'!E3&lt;AVERAGE('1.DATOS-PROD'!E$3:E$42)-1.5*(AVERAGE('1.DATOS-PROD'!E$3:E$42)-QUARTILE('1.DATOS-PROD'!E$3:E$42,1)),5*0,IF('1.DATOS-PROD'!E3&gt;AVERAGE('1.DATOS-PROD'!E$3:E$42)+1.5*(QUARTILE('1.DATOS-PROD'!E$3:E$42,3)-AVERAGE('1.DATOS-PROD'!E$3:E$42)),5*1,5*('1.DATOS-PROD'!E3-MIN('1.DATOS-PROD'!E$3:E$42))/(MAX('1.DATOS-PROD'!E$3:E$42)-MIN('1.DATOS-PROD'!E$3:E$42))))</f>
        <v>3.3333333333333335</v>
      </c>
      <c r="I8" s="142">
        <f>IF(A8&lt;&gt;0,'1.DATOS-PROD'!F3+'1.DATOS-PROD'!G3,"")</f>
        <v>9</v>
      </c>
      <c r="J8" s="143">
        <f t="shared" ref="J8:J47" si="0">5-(IF(I8&lt;AVERAGE($I$8:$I$320)-1.5*(AVERAGE($I$8:$I$320)-QUARTILE($I$8:$I$320,1)),5*0,IF(I8&gt;AVERAGE($I$8:$I$320)+1.5*(QUARTILE($I$8:$I$320,3)-AVERAGE($I$8:$I$320)),5*1,5*I8-MIN($I$8:$I$320))/(MAX($I$8:$I$320)-MIN($I$8:$I$320))))</f>
        <v>3.1363636363636367</v>
      </c>
      <c r="K8" s="142">
        <f>IF('1.DATOS-PROD'!H3="SI",5,0)</f>
        <v>5</v>
      </c>
      <c r="L8" s="50">
        <f>'1.DATOS-PROD'!I3</f>
        <v>4</v>
      </c>
      <c r="M8" s="47">
        <f t="shared" ref="M8:M47" si="1">IF(A8&lt;&gt;0,IF($A$2=$B$6,B8,IF($A$2=$C$6,C8,D8))*$B$7+E8*$E$7+F8*$F$7+G8*$G$7+H8*$H$7+J8*$J$7+K8*$K$7+L8*$L$7,"")</f>
        <v>3.3196717171717167</v>
      </c>
      <c r="N8" s="141">
        <f t="shared" ref="N8:N47" si="2">5*(M8-MIN($M$8:$M$400))/(MAX($M$8:$M$400)-MIN($M$8:$M$400))</f>
        <v>3.6480800748588416</v>
      </c>
      <c r="Q8">
        <f>IF(C6&lt;1.5*QUARTILE($C$6:$C$46,1),5*(QUARTILE($C$6:$C$46,1)-MIN($C$6:$C$46))/(MAX($C$6:$C$46)-MIN($C$6:$C$46)),IF(C6&gt;1.5*QUARTILE($C$6:$C$46,3),5*(QUARTILE($C$6:$C$46,3)-MIN($C$6:$C$46))/(MAX($C$6:$C$46)-MIN($C$6:$C$46)),5*(C6-MIN($C$6:$C$46))/(MAX($C$6:$C$46)-MIN($C$6:$C$46))))</f>
        <v>0</v>
      </c>
    </row>
    <row r="9" spans="1:17" x14ac:dyDescent="0.25">
      <c r="A9" t="str">
        <f>'0.Consolidado general'!$A4</f>
        <v>E001001021003</v>
      </c>
      <c r="B9" s="143">
        <f>5-(IF('1.PUNTOS-FIN'!B3&lt;AVERAGE('1.PUNTOS-FIN'!B$2:B$41)-1.5*(AVERAGE('1.PUNTOS-FIN'!B$2:B$41)-QUARTILE('1.PUNTOS-FIN'!B$2:B$41,1)),5*0,IF('1.PUNTOS-FIN'!B3&gt;AVERAGE('1.PUNTOS-FIN'!B$2:B$41)+1.5*(QUARTILE('1.PUNTOS-FIN'!B$2:B$41,3)-AVERAGE('1.PUNTOS-FIN'!B$2:B$41)),5*1,5*('1.PUNTOS-FIN'!B3-MIN('1.PUNTOS-FIN'!B$2:B$41))/(MAX('1.PUNTOS-FIN'!B$2:B$41)-MIN('1.PUNTOS-FIN'!B$2:B$41)))))</f>
        <v>1.9444444444444446</v>
      </c>
      <c r="C9" s="143">
        <f>5-(IF('1.PUNTOS-FIN'!C3&lt;AVERAGE('1.PUNTOS-FIN'!C$2:C$41)-1.5*(AVERAGE('1.PUNTOS-FIN'!C$2:C$41)-QUARTILE('1.PUNTOS-FIN'!C$2:C$41,1)),5*0,IF('1.PUNTOS-FIN'!C3&gt;AVERAGE('1.PUNTOS-FIN'!C$2:C$41)+1.5*(QUARTILE('1.PUNTOS-FIN'!C$2:C$41,3)-AVERAGE('1.PUNTOS-FIN'!C$2:C$41)),5*1,5*('1.PUNTOS-FIN'!C3-MIN('1.PUNTOS-FIN'!C$2:C$41))/(MAX('1.PUNTOS-FIN'!C$2:C$41)-MIN('1.PUNTOS-FIN'!C$2:C$41)))))</f>
        <v>0</v>
      </c>
      <c r="D9" s="143">
        <f>5-(IF('1.PUNTOS-FIN'!D3&lt;AVERAGE('1.PUNTOS-FIN'!D$2:D$41)-1.5*(AVERAGE('1.PUNTOS-FIN'!D$2:D$41)-QUARTILE('1.PUNTOS-FIN'!D$2:D$41,1)),5*0,IF('1.PUNTOS-FIN'!D3&gt;AVERAGE('1.PUNTOS-FIN'!D$2:D$41)+1.5*(QUARTILE('1.PUNTOS-FIN'!D$2:D$41,3)-AVERAGE('1.PUNTOS-FIN'!D$2:D$41)),5*1,5*('1.PUNTOS-FIN'!D3-MIN('1.PUNTOS-FIN'!D$2:D$41))/(MAX('1.PUNTOS-FIN'!D$2:D$41)-MIN('1.PUNTOS-FIN'!D$2:D$41)))))</f>
        <v>1.1764705882352939</v>
      </c>
      <c r="E9" s="56">
        <f>IF('1.DATOS-PROD'!B4&lt;AVERAGE('1.DATOS-PROD'!B$3:B$42)-1.5*(AVERAGE('1.DATOS-PROD'!B$3:B$42)-QUARTILE('1.DATOS-PROD'!B$3:B$42,1)),5*0,IF('1.DATOS-PROD'!B4&gt;AVERAGE('1.DATOS-PROD'!B$3:B$42)+1.5*(QUARTILE('1.DATOS-PROD'!B$3:B$42,3)-AVERAGE('1.DATOS-PROD'!B$3:B$42)),5*1,5*('1.DATOS-PROD'!B4-MIN('1.DATOS-PROD'!B$3:B$42))/(MAX('1.DATOS-PROD'!B$3:B$42)-MIN('1.DATOS-PROD'!B$3:B$42))))</f>
        <v>4.4736842105263159</v>
      </c>
      <c r="F9" s="56">
        <f>IF('1.DATOS-PROD'!C4&lt;AVERAGE('1.DATOS-PROD'!C$3:C$42)-1.5*(AVERAGE('1.DATOS-PROD'!C$3:C$42)-QUARTILE('1.DATOS-PROD'!C$3:C$42,1)),5*0,IF('1.DATOS-PROD'!C4&gt;AVERAGE('1.DATOS-PROD'!C$3:C$42)+1.5*(QUARTILE('1.DATOS-PROD'!C$3:C$42,3)-AVERAGE('1.DATOS-PROD'!C$3:C$42)),5*1,5*('1.DATOS-PROD'!C4-MIN('1.DATOS-PROD'!C$3:C$42))/(MAX('1.DATOS-PROD'!C$3:C$42)-MIN('1.DATOS-PROD'!C$3:C$42))))</f>
        <v>5</v>
      </c>
      <c r="G9" s="56">
        <f>IF('1.DATOS-PROD'!D4&lt;AVERAGE('1.DATOS-PROD'!D$3:D$42)-1.5*(AVERAGE('1.DATOS-PROD'!D$3:D$42)-QUARTILE('1.DATOS-PROD'!D$3:D$42,1)),5*0,IF('1.DATOS-PROD'!D4&gt;AVERAGE('1.DATOS-PROD'!D$3:D$42)+1.5*(QUARTILE('1.DATOS-PROD'!D$3:D$42,3)-AVERAGE('1.DATOS-PROD'!D$3:D$42)),5*1,5*('1.DATOS-PROD'!D4-MIN('1.DATOS-PROD'!D$3:D$42))/(MAX('1.DATOS-PROD'!D$3:D$42)-MIN('1.DATOS-PROD'!D$3:D$42))))</f>
        <v>1.5</v>
      </c>
      <c r="H9" s="56">
        <f>IF('1.DATOS-PROD'!E4&lt;AVERAGE('1.DATOS-PROD'!E$3:E$42)-1.5*(AVERAGE('1.DATOS-PROD'!E$3:E$42)-QUARTILE('1.DATOS-PROD'!E$3:E$42,1)),5*0,IF('1.DATOS-PROD'!E4&gt;AVERAGE('1.DATOS-PROD'!E$3:E$42)+1.5*(QUARTILE('1.DATOS-PROD'!E$3:E$42,3)-AVERAGE('1.DATOS-PROD'!E$3:E$42)),5*1,5*('1.DATOS-PROD'!E4-MIN('1.DATOS-PROD'!E$3:E$42))/(MAX('1.DATOS-PROD'!E$3:E$42)-MIN('1.DATOS-PROD'!E$3:E$42))))</f>
        <v>5</v>
      </c>
      <c r="I9" s="142">
        <f>IF(A9&lt;&gt;0,'1.DATOS-PROD'!F4+'1.DATOS-PROD'!G4,"")</f>
        <v>23</v>
      </c>
      <c r="J9" s="143">
        <f t="shared" si="0"/>
        <v>-4.5454545454545858E-2</v>
      </c>
      <c r="K9" s="142">
        <f>IF('1.DATOS-PROD'!H4="SI",5,0)</f>
        <v>5</v>
      </c>
      <c r="L9" s="50">
        <f>'1.DATOS-PROD'!I4</f>
        <v>4</v>
      </c>
      <c r="M9" s="47">
        <f t="shared" si="1"/>
        <v>1.8036596225412014</v>
      </c>
      <c r="N9" s="141">
        <f t="shared" si="2"/>
        <v>0.31158618434311763</v>
      </c>
    </row>
    <row r="10" spans="1:17" x14ac:dyDescent="0.25">
      <c r="A10" t="str">
        <f>'0.Consolidado general'!$A5</f>
        <v>E001002021001</v>
      </c>
      <c r="B10" s="143">
        <f>5-(IF('1.PUNTOS-FIN'!B4&lt;AVERAGE('1.PUNTOS-FIN'!B$2:B$41)-1.5*(AVERAGE('1.PUNTOS-FIN'!B$2:B$41)-QUARTILE('1.PUNTOS-FIN'!B$2:B$41,1)),5*0,IF('1.PUNTOS-FIN'!B4&gt;AVERAGE('1.PUNTOS-FIN'!B$2:B$41)+1.5*(QUARTILE('1.PUNTOS-FIN'!B$2:B$41,3)-AVERAGE('1.PUNTOS-FIN'!B$2:B$41)),5*1,5*('1.PUNTOS-FIN'!B4-MIN('1.PUNTOS-FIN'!B$2:B$41))/(MAX('1.PUNTOS-FIN'!B$2:B$41)-MIN('1.PUNTOS-FIN'!B$2:B$41)))))</f>
        <v>0.83333333333333304</v>
      </c>
      <c r="C10" s="143">
        <f>5-(IF('1.PUNTOS-FIN'!C4&lt;AVERAGE('1.PUNTOS-FIN'!C$2:C$41)-1.5*(AVERAGE('1.PUNTOS-FIN'!C$2:C$41)-QUARTILE('1.PUNTOS-FIN'!C$2:C$41,1)),5*0,IF('1.PUNTOS-FIN'!C4&gt;AVERAGE('1.PUNTOS-FIN'!C$2:C$41)+1.5*(QUARTILE('1.PUNTOS-FIN'!C$2:C$41,3)-AVERAGE('1.PUNTOS-FIN'!C$2:C$41)),5*1,5*('1.PUNTOS-FIN'!C4-MIN('1.PUNTOS-FIN'!C$2:C$41))/(MAX('1.PUNTOS-FIN'!C$2:C$41)-MIN('1.PUNTOS-FIN'!C$2:C$41)))))</f>
        <v>0</v>
      </c>
      <c r="D10" s="143">
        <f>5-(IF('1.PUNTOS-FIN'!D4&lt;AVERAGE('1.PUNTOS-FIN'!D$2:D$41)-1.5*(AVERAGE('1.PUNTOS-FIN'!D$2:D$41)-QUARTILE('1.PUNTOS-FIN'!D$2:D$41,1)),5*0,IF('1.PUNTOS-FIN'!D4&gt;AVERAGE('1.PUNTOS-FIN'!D$2:D$41)+1.5*(QUARTILE('1.PUNTOS-FIN'!D$2:D$41,3)-AVERAGE('1.PUNTOS-FIN'!D$2:D$41)),5*1,5*('1.PUNTOS-FIN'!D4-MIN('1.PUNTOS-FIN'!D$2:D$41))/(MAX('1.PUNTOS-FIN'!D$2:D$41)-MIN('1.PUNTOS-FIN'!D$2:D$41)))))</f>
        <v>0</v>
      </c>
      <c r="E10" s="56">
        <f>IF('1.DATOS-PROD'!B5&lt;AVERAGE('1.DATOS-PROD'!B$3:B$42)-1.5*(AVERAGE('1.DATOS-PROD'!B$3:B$42)-QUARTILE('1.DATOS-PROD'!B$3:B$42,1)),5*0,IF('1.DATOS-PROD'!B5&gt;AVERAGE('1.DATOS-PROD'!B$3:B$42)+1.5*(QUARTILE('1.DATOS-PROD'!B$3:B$42,3)-AVERAGE('1.DATOS-PROD'!B$3:B$42)),5*1,5*('1.DATOS-PROD'!B5-MIN('1.DATOS-PROD'!B$3:B$42))/(MAX('1.DATOS-PROD'!B$3:B$42)-MIN('1.DATOS-PROD'!B$3:B$42))))</f>
        <v>5</v>
      </c>
      <c r="F10" s="56">
        <f>IF('1.DATOS-PROD'!C5&lt;AVERAGE('1.DATOS-PROD'!C$3:C$42)-1.5*(AVERAGE('1.DATOS-PROD'!C$3:C$42)-QUARTILE('1.DATOS-PROD'!C$3:C$42,1)),5*0,IF('1.DATOS-PROD'!C5&gt;AVERAGE('1.DATOS-PROD'!C$3:C$42)+1.5*(QUARTILE('1.DATOS-PROD'!C$3:C$42,3)-AVERAGE('1.DATOS-PROD'!C$3:C$42)),5*1,5*('1.DATOS-PROD'!C5-MIN('1.DATOS-PROD'!C$3:C$42))/(MAX('1.DATOS-PROD'!C$3:C$42)-MIN('1.DATOS-PROD'!C$3:C$42))))</f>
        <v>4</v>
      </c>
      <c r="G10" s="56">
        <f>IF('1.DATOS-PROD'!D5&lt;AVERAGE('1.DATOS-PROD'!D$3:D$42)-1.5*(AVERAGE('1.DATOS-PROD'!D$3:D$42)-QUARTILE('1.DATOS-PROD'!D$3:D$42,1)),5*0,IF('1.DATOS-PROD'!D5&gt;AVERAGE('1.DATOS-PROD'!D$3:D$42)+1.5*(QUARTILE('1.DATOS-PROD'!D$3:D$42,3)-AVERAGE('1.DATOS-PROD'!D$3:D$42)),5*1,5*('1.DATOS-PROD'!D5-MIN('1.DATOS-PROD'!D$3:D$42))/(MAX('1.DATOS-PROD'!D$3:D$42)-MIN('1.DATOS-PROD'!D$3:D$42))))</f>
        <v>3.5</v>
      </c>
      <c r="H10" s="56">
        <f>IF('1.DATOS-PROD'!E5&lt;AVERAGE('1.DATOS-PROD'!E$3:E$42)-1.5*(AVERAGE('1.DATOS-PROD'!E$3:E$42)-QUARTILE('1.DATOS-PROD'!E$3:E$42,1)),5*0,IF('1.DATOS-PROD'!E5&gt;AVERAGE('1.DATOS-PROD'!E$3:E$42)+1.5*(QUARTILE('1.DATOS-PROD'!E$3:E$42,3)-AVERAGE('1.DATOS-PROD'!E$3:E$42)),5*1,5*('1.DATOS-PROD'!E5-MIN('1.DATOS-PROD'!E$3:E$42))/(MAX('1.DATOS-PROD'!E$3:E$42)-MIN('1.DATOS-PROD'!E$3:E$42))))</f>
        <v>0</v>
      </c>
      <c r="I10" s="142">
        <f>IF(A10&lt;&gt;0,'1.DATOS-PROD'!F5+'1.DATOS-PROD'!G5,"")</f>
        <v>26</v>
      </c>
      <c r="J10" s="143">
        <f t="shared" si="0"/>
        <v>4.7727272727272725</v>
      </c>
      <c r="K10" s="142">
        <f>IF('1.DATOS-PROD'!H5="SI",5,0)</f>
        <v>0</v>
      </c>
      <c r="L10" s="50">
        <f>'1.DATOS-PROD'!I5</f>
        <v>3</v>
      </c>
      <c r="M10" s="47">
        <f t="shared" si="1"/>
        <v>2.8208712121212116</v>
      </c>
      <c r="N10" s="141">
        <f t="shared" si="2"/>
        <v>2.5503020006721844</v>
      </c>
    </row>
    <row r="11" spans="1:17" x14ac:dyDescent="0.25">
      <c r="A11" t="str">
        <f>'0.Consolidado general'!$A6</f>
        <v>E001002021002</v>
      </c>
      <c r="B11" s="143">
        <f>5-(IF('1.PUNTOS-FIN'!B5&lt;AVERAGE('1.PUNTOS-FIN'!B$2:B$41)-1.5*(AVERAGE('1.PUNTOS-FIN'!B$2:B$41)-QUARTILE('1.PUNTOS-FIN'!B$2:B$41,1)),5*0,IF('1.PUNTOS-FIN'!B5&gt;AVERAGE('1.PUNTOS-FIN'!B$2:B$41)+1.5*(QUARTILE('1.PUNTOS-FIN'!B$2:B$41,3)-AVERAGE('1.PUNTOS-FIN'!B$2:B$41)),5*1,5*('1.PUNTOS-FIN'!B5-MIN('1.PUNTOS-FIN'!B$2:B$41))/(MAX('1.PUNTOS-FIN'!B$2:B$41)-MIN('1.PUNTOS-FIN'!B$2:B$41)))))</f>
        <v>3.6111111111111112</v>
      </c>
      <c r="C11" s="143">
        <f>5-(IF('1.PUNTOS-FIN'!C5&lt;AVERAGE('1.PUNTOS-FIN'!C$2:C$41)-1.5*(AVERAGE('1.PUNTOS-FIN'!C$2:C$41)-QUARTILE('1.PUNTOS-FIN'!C$2:C$41,1)),5*0,IF('1.PUNTOS-FIN'!C5&gt;AVERAGE('1.PUNTOS-FIN'!C$2:C$41)+1.5*(QUARTILE('1.PUNTOS-FIN'!C$2:C$41,3)-AVERAGE('1.PUNTOS-FIN'!C$2:C$41)),5*1,5*('1.PUNTOS-FIN'!C5-MIN('1.PUNTOS-FIN'!C$2:C$41))/(MAX('1.PUNTOS-FIN'!C$2:C$41)-MIN('1.PUNTOS-FIN'!C$2:C$41)))))</f>
        <v>5</v>
      </c>
      <c r="D11" s="143">
        <f>5-(IF('1.PUNTOS-FIN'!D5&lt;AVERAGE('1.PUNTOS-FIN'!D$2:D$41)-1.5*(AVERAGE('1.PUNTOS-FIN'!D$2:D$41)-QUARTILE('1.PUNTOS-FIN'!D$2:D$41,1)),5*0,IF('1.PUNTOS-FIN'!D5&gt;AVERAGE('1.PUNTOS-FIN'!D$2:D$41)+1.5*(QUARTILE('1.PUNTOS-FIN'!D$2:D$41,3)-AVERAGE('1.PUNTOS-FIN'!D$2:D$41)),5*1,5*('1.PUNTOS-FIN'!D5-MIN('1.PUNTOS-FIN'!D$2:D$41))/(MAX('1.PUNTOS-FIN'!D$2:D$41)-MIN('1.PUNTOS-FIN'!D$2:D$41)))))</f>
        <v>3.5294117647058822</v>
      </c>
      <c r="E11" s="56">
        <f>IF('1.DATOS-PROD'!B6&lt;AVERAGE('1.DATOS-PROD'!B$3:B$42)-1.5*(AVERAGE('1.DATOS-PROD'!B$3:B$42)-QUARTILE('1.DATOS-PROD'!B$3:B$42,1)),5*0,IF('1.DATOS-PROD'!B6&gt;AVERAGE('1.DATOS-PROD'!B$3:B$42)+1.5*(QUARTILE('1.DATOS-PROD'!B$3:B$42,3)-AVERAGE('1.DATOS-PROD'!B$3:B$42)),5*1,5*('1.DATOS-PROD'!B6-MIN('1.DATOS-PROD'!B$3:B$42))/(MAX('1.DATOS-PROD'!B$3:B$42)-MIN('1.DATOS-PROD'!B$3:B$42))))</f>
        <v>4.4736842105263159</v>
      </c>
      <c r="F11" s="56">
        <f>IF('1.DATOS-PROD'!C6&lt;AVERAGE('1.DATOS-PROD'!C$3:C$42)-1.5*(AVERAGE('1.DATOS-PROD'!C$3:C$42)-QUARTILE('1.DATOS-PROD'!C$3:C$42,1)),5*0,IF('1.DATOS-PROD'!C6&gt;AVERAGE('1.DATOS-PROD'!C$3:C$42)+1.5*(QUARTILE('1.DATOS-PROD'!C$3:C$42,3)-AVERAGE('1.DATOS-PROD'!C$3:C$42)),5*1,5*('1.DATOS-PROD'!C6-MIN('1.DATOS-PROD'!C$3:C$42))/(MAX('1.DATOS-PROD'!C$3:C$42)-MIN('1.DATOS-PROD'!C$3:C$42))))</f>
        <v>0</v>
      </c>
      <c r="G11" s="56">
        <f>IF('1.DATOS-PROD'!D6&lt;AVERAGE('1.DATOS-PROD'!D$3:D$42)-1.5*(AVERAGE('1.DATOS-PROD'!D$3:D$42)-QUARTILE('1.DATOS-PROD'!D$3:D$42,1)),5*0,IF('1.DATOS-PROD'!D6&gt;AVERAGE('1.DATOS-PROD'!D$3:D$42)+1.5*(QUARTILE('1.DATOS-PROD'!D$3:D$42,3)-AVERAGE('1.DATOS-PROD'!D$3:D$42)),5*1,5*('1.DATOS-PROD'!D6-MIN('1.DATOS-PROD'!D$3:D$42))/(MAX('1.DATOS-PROD'!D$3:D$42)-MIN('1.DATOS-PROD'!D$3:D$42))))</f>
        <v>2</v>
      </c>
      <c r="H11" s="56">
        <f>IF('1.DATOS-PROD'!E6&lt;AVERAGE('1.DATOS-PROD'!E$3:E$42)-1.5*(AVERAGE('1.DATOS-PROD'!E$3:E$42)-QUARTILE('1.DATOS-PROD'!E$3:E$42,1)),5*0,IF('1.DATOS-PROD'!E6&gt;AVERAGE('1.DATOS-PROD'!E$3:E$42)+1.5*(QUARTILE('1.DATOS-PROD'!E$3:E$42,3)-AVERAGE('1.DATOS-PROD'!E$3:E$42)),5*1,5*('1.DATOS-PROD'!E6-MIN('1.DATOS-PROD'!E$3:E$42))/(MAX('1.DATOS-PROD'!E$3:E$42)-MIN('1.DATOS-PROD'!E$3:E$42))))</f>
        <v>0</v>
      </c>
      <c r="I11" s="142">
        <f>IF(A11&lt;&gt;0,'1.DATOS-PROD'!F6+'1.DATOS-PROD'!G6,"")</f>
        <v>17</v>
      </c>
      <c r="J11" s="143">
        <f t="shared" si="0"/>
        <v>1.3181818181818183</v>
      </c>
      <c r="K11" s="142">
        <f>IF('1.DATOS-PROD'!H6="SI",5,0)</f>
        <v>0</v>
      </c>
      <c r="L11" s="50">
        <f>'1.DATOS-PROD'!I6</f>
        <v>1</v>
      </c>
      <c r="M11" s="47">
        <f t="shared" si="1"/>
        <v>2.1330156831472618</v>
      </c>
      <c r="N11" s="141">
        <f t="shared" si="2"/>
        <v>1.0364448367961978</v>
      </c>
    </row>
    <row r="12" spans="1:17" x14ac:dyDescent="0.25">
      <c r="A12" t="str">
        <f>'0.Consolidado general'!$A7</f>
        <v>E001002021003</v>
      </c>
      <c r="B12" s="143">
        <f>5-(IF('1.PUNTOS-FIN'!B6&lt;AVERAGE('1.PUNTOS-FIN'!B$2:B$41)-1.5*(AVERAGE('1.PUNTOS-FIN'!B$2:B$41)-QUARTILE('1.PUNTOS-FIN'!B$2:B$41,1)),5*0,IF('1.PUNTOS-FIN'!B6&gt;AVERAGE('1.PUNTOS-FIN'!B$2:B$41)+1.5*(QUARTILE('1.PUNTOS-FIN'!B$2:B$41,3)-AVERAGE('1.PUNTOS-FIN'!B$2:B$41)),5*1,5*('1.PUNTOS-FIN'!B6-MIN('1.PUNTOS-FIN'!B$2:B$41))/(MAX('1.PUNTOS-FIN'!B$2:B$41)-MIN('1.PUNTOS-FIN'!B$2:B$41)))))</f>
        <v>0.83333333333333304</v>
      </c>
      <c r="C12" s="143">
        <f>5-(IF('1.PUNTOS-FIN'!C6&lt;AVERAGE('1.PUNTOS-FIN'!C$2:C$41)-1.5*(AVERAGE('1.PUNTOS-FIN'!C$2:C$41)-QUARTILE('1.PUNTOS-FIN'!C$2:C$41,1)),5*0,IF('1.PUNTOS-FIN'!C6&gt;AVERAGE('1.PUNTOS-FIN'!C$2:C$41)+1.5*(QUARTILE('1.PUNTOS-FIN'!C$2:C$41,3)-AVERAGE('1.PUNTOS-FIN'!C$2:C$41)),5*1,5*('1.PUNTOS-FIN'!C6-MIN('1.PUNTOS-FIN'!C$2:C$41))/(MAX('1.PUNTOS-FIN'!C$2:C$41)-MIN('1.PUNTOS-FIN'!C$2:C$41)))))</f>
        <v>5</v>
      </c>
      <c r="D12" s="143">
        <f>5-(IF('1.PUNTOS-FIN'!D6&lt;AVERAGE('1.PUNTOS-FIN'!D$2:D$41)-1.5*(AVERAGE('1.PUNTOS-FIN'!D$2:D$41)-QUARTILE('1.PUNTOS-FIN'!D$2:D$41,1)),5*0,IF('1.PUNTOS-FIN'!D6&gt;AVERAGE('1.PUNTOS-FIN'!D$2:D$41)+1.5*(QUARTILE('1.PUNTOS-FIN'!D$2:D$41,3)-AVERAGE('1.PUNTOS-FIN'!D$2:D$41)),5*1,5*('1.PUNTOS-FIN'!D6-MIN('1.PUNTOS-FIN'!D$2:D$41))/(MAX('1.PUNTOS-FIN'!D$2:D$41)-MIN('1.PUNTOS-FIN'!D$2:D$41)))))</f>
        <v>2.9411764705882355</v>
      </c>
      <c r="E12" s="56">
        <f>IF('1.DATOS-PROD'!B7&lt;AVERAGE('1.DATOS-PROD'!B$3:B$42)-1.5*(AVERAGE('1.DATOS-PROD'!B$3:B$42)-QUARTILE('1.DATOS-PROD'!B$3:B$42,1)),5*0,IF('1.DATOS-PROD'!B7&gt;AVERAGE('1.DATOS-PROD'!B$3:B$42)+1.5*(QUARTILE('1.DATOS-PROD'!B$3:B$42,3)-AVERAGE('1.DATOS-PROD'!B$3:B$42)),5*1,5*('1.DATOS-PROD'!B7-MIN('1.DATOS-PROD'!B$3:B$42))/(MAX('1.DATOS-PROD'!B$3:B$42)-MIN('1.DATOS-PROD'!B$3:B$42))))</f>
        <v>4.4736842105263159</v>
      </c>
      <c r="F12" s="56">
        <f>IF('1.DATOS-PROD'!C7&lt;AVERAGE('1.DATOS-PROD'!C$3:C$42)-1.5*(AVERAGE('1.DATOS-PROD'!C$3:C$42)-QUARTILE('1.DATOS-PROD'!C$3:C$42,1)),5*0,IF('1.DATOS-PROD'!C7&gt;AVERAGE('1.DATOS-PROD'!C$3:C$42)+1.5*(QUARTILE('1.DATOS-PROD'!C$3:C$42,3)-AVERAGE('1.DATOS-PROD'!C$3:C$42)),5*1,5*('1.DATOS-PROD'!C7-MIN('1.DATOS-PROD'!C$3:C$42))/(MAX('1.DATOS-PROD'!C$3:C$42)-MIN('1.DATOS-PROD'!C$3:C$42))))</f>
        <v>4</v>
      </c>
      <c r="G12" s="56">
        <f>IF('1.DATOS-PROD'!D7&lt;AVERAGE('1.DATOS-PROD'!D$3:D$42)-1.5*(AVERAGE('1.DATOS-PROD'!D$3:D$42)-QUARTILE('1.DATOS-PROD'!D$3:D$42,1)),5*0,IF('1.DATOS-PROD'!D7&gt;AVERAGE('1.DATOS-PROD'!D$3:D$42)+1.5*(QUARTILE('1.DATOS-PROD'!D$3:D$42,3)-AVERAGE('1.DATOS-PROD'!D$3:D$42)),5*1,5*('1.DATOS-PROD'!D7-MIN('1.DATOS-PROD'!D$3:D$42))/(MAX('1.DATOS-PROD'!D$3:D$42)-MIN('1.DATOS-PROD'!D$3:D$42))))</f>
        <v>2.5</v>
      </c>
      <c r="H12" s="56">
        <f>IF('1.DATOS-PROD'!E7&lt;AVERAGE('1.DATOS-PROD'!E$3:E$42)-1.5*(AVERAGE('1.DATOS-PROD'!E$3:E$42)-QUARTILE('1.DATOS-PROD'!E$3:E$42,1)),5*0,IF('1.DATOS-PROD'!E7&gt;AVERAGE('1.DATOS-PROD'!E$3:E$42)+1.5*(QUARTILE('1.DATOS-PROD'!E$3:E$42,3)-AVERAGE('1.DATOS-PROD'!E$3:E$42)),5*1,5*('1.DATOS-PROD'!E7-MIN('1.DATOS-PROD'!E$3:E$42))/(MAX('1.DATOS-PROD'!E$3:E$42)-MIN('1.DATOS-PROD'!E$3:E$42))))</f>
        <v>1.6666666666666667</v>
      </c>
      <c r="I12" s="142">
        <f>IF(A12&lt;&gt;0,'1.DATOS-PROD'!F7+'1.DATOS-PROD'!G7,"")</f>
        <v>15</v>
      </c>
      <c r="J12" s="143">
        <f t="shared" si="0"/>
        <v>1.7727272727272729</v>
      </c>
      <c r="K12" s="142">
        <f>IF('1.DATOS-PROD'!H7="SI",5,0)</f>
        <v>5</v>
      </c>
      <c r="L12" s="50">
        <f>'1.DATOS-PROD'!I7</f>
        <v>2</v>
      </c>
      <c r="M12" s="47">
        <f t="shared" si="1"/>
        <v>1.8286343700159486</v>
      </c>
      <c r="N12" s="141">
        <f t="shared" si="2"/>
        <v>0.36655150596673974</v>
      </c>
    </row>
    <row r="13" spans="1:17" x14ac:dyDescent="0.25">
      <c r="A13" t="str">
        <f>'0.Consolidado general'!$A8</f>
        <v>E001002021004</v>
      </c>
      <c r="B13" s="143">
        <f>5-(IF('1.PUNTOS-FIN'!B7&lt;AVERAGE('1.PUNTOS-FIN'!B$2:B$41)-1.5*(AVERAGE('1.PUNTOS-FIN'!B$2:B$41)-QUARTILE('1.PUNTOS-FIN'!B$2:B$41,1)),5*0,IF('1.PUNTOS-FIN'!B7&gt;AVERAGE('1.PUNTOS-FIN'!B$2:B$41)+1.5*(QUARTILE('1.PUNTOS-FIN'!B$2:B$41,3)-AVERAGE('1.PUNTOS-FIN'!B$2:B$41)),5*1,5*('1.PUNTOS-FIN'!B7-MIN('1.PUNTOS-FIN'!B$2:B$41))/(MAX('1.PUNTOS-FIN'!B$2:B$41)-MIN('1.PUNTOS-FIN'!B$2:B$41)))))</f>
        <v>5</v>
      </c>
      <c r="C13" s="143">
        <f>5-(IF('1.PUNTOS-FIN'!C7&lt;AVERAGE('1.PUNTOS-FIN'!C$2:C$41)-1.5*(AVERAGE('1.PUNTOS-FIN'!C$2:C$41)-QUARTILE('1.PUNTOS-FIN'!C$2:C$41,1)),5*0,IF('1.PUNTOS-FIN'!C7&gt;AVERAGE('1.PUNTOS-FIN'!C$2:C$41)+1.5*(QUARTILE('1.PUNTOS-FIN'!C$2:C$41,3)-AVERAGE('1.PUNTOS-FIN'!C$2:C$41)),5*1,5*('1.PUNTOS-FIN'!C7-MIN('1.PUNTOS-FIN'!C$2:C$41))/(MAX('1.PUNTOS-FIN'!C$2:C$41)-MIN('1.PUNTOS-FIN'!C$2:C$41)))))</f>
        <v>0</v>
      </c>
      <c r="D13" s="143">
        <f>5-(IF('1.PUNTOS-FIN'!D7&lt;AVERAGE('1.PUNTOS-FIN'!D$2:D$41)-1.5*(AVERAGE('1.PUNTOS-FIN'!D$2:D$41)-QUARTILE('1.PUNTOS-FIN'!D$2:D$41,1)),5*0,IF('1.PUNTOS-FIN'!D7&gt;AVERAGE('1.PUNTOS-FIN'!D$2:D$41)+1.5*(QUARTILE('1.PUNTOS-FIN'!D$2:D$41,3)-AVERAGE('1.PUNTOS-FIN'!D$2:D$41)),5*1,5*('1.PUNTOS-FIN'!D7-MIN('1.PUNTOS-FIN'!D$2:D$41))/(MAX('1.PUNTOS-FIN'!D$2:D$41)-MIN('1.PUNTOS-FIN'!D$2:D$41)))))</f>
        <v>0.58823529411764675</v>
      </c>
      <c r="E13" s="56">
        <f>IF('1.DATOS-PROD'!B8&lt;AVERAGE('1.DATOS-PROD'!B$3:B$42)-1.5*(AVERAGE('1.DATOS-PROD'!B$3:B$42)-QUARTILE('1.DATOS-PROD'!B$3:B$42,1)),5*0,IF('1.DATOS-PROD'!B8&gt;AVERAGE('1.DATOS-PROD'!B$3:B$42)+1.5*(QUARTILE('1.DATOS-PROD'!B$3:B$42,3)-AVERAGE('1.DATOS-PROD'!B$3:B$42)),5*1,5*('1.DATOS-PROD'!B8-MIN('1.DATOS-PROD'!B$3:B$42))/(MAX('1.DATOS-PROD'!B$3:B$42)-MIN('1.DATOS-PROD'!B$3:B$42))))</f>
        <v>0</v>
      </c>
      <c r="F13" s="56">
        <f>IF('1.DATOS-PROD'!C8&lt;AVERAGE('1.DATOS-PROD'!C$3:C$42)-1.5*(AVERAGE('1.DATOS-PROD'!C$3:C$42)-QUARTILE('1.DATOS-PROD'!C$3:C$42,1)),5*0,IF('1.DATOS-PROD'!C8&gt;AVERAGE('1.DATOS-PROD'!C$3:C$42)+1.5*(QUARTILE('1.DATOS-PROD'!C$3:C$42,3)-AVERAGE('1.DATOS-PROD'!C$3:C$42)),5*1,5*('1.DATOS-PROD'!C8-MIN('1.DATOS-PROD'!C$3:C$42))/(MAX('1.DATOS-PROD'!C$3:C$42)-MIN('1.DATOS-PROD'!C$3:C$42))))</f>
        <v>5</v>
      </c>
      <c r="G13" s="56">
        <f>IF('1.DATOS-PROD'!D8&lt;AVERAGE('1.DATOS-PROD'!D$3:D$42)-1.5*(AVERAGE('1.DATOS-PROD'!D$3:D$42)-QUARTILE('1.DATOS-PROD'!D$3:D$42,1)),5*0,IF('1.DATOS-PROD'!D8&gt;AVERAGE('1.DATOS-PROD'!D$3:D$42)+1.5*(QUARTILE('1.DATOS-PROD'!D$3:D$42,3)-AVERAGE('1.DATOS-PROD'!D$3:D$42)),5*1,5*('1.DATOS-PROD'!D8-MIN('1.DATOS-PROD'!D$3:D$42))/(MAX('1.DATOS-PROD'!D$3:D$42)-MIN('1.DATOS-PROD'!D$3:D$42))))</f>
        <v>5</v>
      </c>
      <c r="H13" s="56">
        <f>IF('1.DATOS-PROD'!E8&lt;AVERAGE('1.DATOS-PROD'!E$3:E$42)-1.5*(AVERAGE('1.DATOS-PROD'!E$3:E$42)-QUARTILE('1.DATOS-PROD'!E$3:E$42,1)),5*0,IF('1.DATOS-PROD'!E8&gt;AVERAGE('1.DATOS-PROD'!E$3:E$42)+1.5*(QUARTILE('1.DATOS-PROD'!E$3:E$42,3)-AVERAGE('1.DATOS-PROD'!E$3:E$42)),5*1,5*('1.DATOS-PROD'!E8-MIN('1.DATOS-PROD'!E$3:E$42))/(MAX('1.DATOS-PROD'!E$3:E$42)-MIN('1.DATOS-PROD'!E$3:E$42))))</f>
        <v>1.6666666666666667</v>
      </c>
      <c r="I13" s="142">
        <f>IF(A13&lt;&gt;0,'1.DATOS-PROD'!F8+'1.DATOS-PROD'!G8,"")</f>
        <v>13</v>
      </c>
      <c r="J13" s="143">
        <f t="shared" si="0"/>
        <v>2.2272727272727271</v>
      </c>
      <c r="K13" s="142">
        <f>IF('1.DATOS-PROD'!H8="SI",5,0)</f>
        <v>5</v>
      </c>
      <c r="L13" s="50">
        <f>'1.DATOS-PROD'!I8</f>
        <v>2</v>
      </c>
      <c r="M13" s="47">
        <f t="shared" si="1"/>
        <v>3.4770454545454541</v>
      </c>
      <c r="N13" s="141">
        <f t="shared" si="2"/>
        <v>3.9944338507520838</v>
      </c>
    </row>
    <row r="14" spans="1:17" x14ac:dyDescent="0.25">
      <c r="A14" t="str">
        <f>'0.Consolidado general'!$A9</f>
        <v>E001013021001</v>
      </c>
      <c r="B14" s="143">
        <f>5-(IF('1.PUNTOS-FIN'!B8&lt;AVERAGE('1.PUNTOS-FIN'!B$2:B$41)-1.5*(AVERAGE('1.PUNTOS-FIN'!B$2:B$41)-QUARTILE('1.PUNTOS-FIN'!B$2:B$41,1)),5*0,IF('1.PUNTOS-FIN'!B8&gt;AVERAGE('1.PUNTOS-FIN'!B$2:B$41)+1.5*(QUARTILE('1.PUNTOS-FIN'!B$2:B$41,3)-AVERAGE('1.PUNTOS-FIN'!B$2:B$41)),5*1,5*('1.PUNTOS-FIN'!B8-MIN('1.PUNTOS-FIN'!B$2:B$41))/(MAX('1.PUNTOS-FIN'!B$2:B$41)-MIN('1.PUNTOS-FIN'!B$2:B$41)))))</f>
        <v>0</v>
      </c>
      <c r="C14" s="143">
        <f>5-(IF('1.PUNTOS-FIN'!C8&lt;AVERAGE('1.PUNTOS-FIN'!C$2:C$41)-1.5*(AVERAGE('1.PUNTOS-FIN'!C$2:C$41)-QUARTILE('1.PUNTOS-FIN'!C$2:C$41,1)),5*0,IF('1.PUNTOS-FIN'!C8&gt;AVERAGE('1.PUNTOS-FIN'!C$2:C$41)+1.5*(QUARTILE('1.PUNTOS-FIN'!C$2:C$41,3)-AVERAGE('1.PUNTOS-FIN'!C$2:C$41)),5*1,5*('1.PUNTOS-FIN'!C8-MIN('1.PUNTOS-FIN'!C$2:C$41))/(MAX('1.PUNTOS-FIN'!C$2:C$41)-MIN('1.PUNTOS-FIN'!C$2:C$41)))))</f>
        <v>5</v>
      </c>
      <c r="D14" s="143">
        <f>5-(IF('1.PUNTOS-FIN'!D8&lt;AVERAGE('1.PUNTOS-FIN'!D$2:D$41)-1.5*(AVERAGE('1.PUNTOS-FIN'!D$2:D$41)-QUARTILE('1.PUNTOS-FIN'!D$2:D$41,1)),5*0,IF('1.PUNTOS-FIN'!D8&gt;AVERAGE('1.PUNTOS-FIN'!D$2:D$41)+1.5*(QUARTILE('1.PUNTOS-FIN'!D$2:D$41,3)-AVERAGE('1.PUNTOS-FIN'!D$2:D$41)),5*1,5*('1.PUNTOS-FIN'!D8-MIN('1.PUNTOS-FIN'!D$2:D$41))/(MAX('1.PUNTOS-FIN'!D$2:D$41)-MIN('1.PUNTOS-FIN'!D$2:D$41)))))</f>
        <v>5</v>
      </c>
      <c r="E14" s="56">
        <f>IF('1.DATOS-PROD'!B9&lt;AVERAGE('1.DATOS-PROD'!B$3:B$42)-1.5*(AVERAGE('1.DATOS-PROD'!B$3:B$42)-QUARTILE('1.DATOS-PROD'!B$3:B$42,1)),5*0,IF('1.DATOS-PROD'!B9&gt;AVERAGE('1.DATOS-PROD'!B$3:B$42)+1.5*(QUARTILE('1.DATOS-PROD'!B$3:B$42,3)-AVERAGE('1.DATOS-PROD'!B$3:B$42)),5*1,5*('1.DATOS-PROD'!B9-MIN('1.DATOS-PROD'!B$3:B$42))/(MAX('1.DATOS-PROD'!B$3:B$42)-MIN('1.DATOS-PROD'!B$3:B$42))))</f>
        <v>4.4736842105263159</v>
      </c>
      <c r="F14" s="56">
        <f>IF('1.DATOS-PROD'!C9&lt;AVERAGE('1.DATOS-PROD'!C$3:C$42)-1.5*(AVERAGE('1.DATOS-PROD'!C$3:C$42)-QUARTILE('1.DATOS-PROD'!C$3:C$42,1)),5*0,IF('1.DATOS-PROD'!C9&gt;AVERAGE('1.DATOS-PROD'!C$3:C$42)+1.5*(QUARTILE('1.DATOS-PROD'!C$3:C$42,3)-AVERAGE('1.DATOS-PROD'!C$3:C$42)),5*1,5*('1.DATOS-PROD'!C9-MIN('1.DATOS-PROD'!C$3:C$42))/(MAX('1.DATOS-PROD'!C$3:C$42)-MIN('1.DATOS-PROD'!C$3:C$42))))</f>
        <v>3</v>
      </c>
      <c r="G14" s="56">
        <f>IF('1.DATOS-PROD'!D9&lt;AVERAGE('1.DATOS-PROD'!D$3:D$42)-1.5*(AVERAGE('1.DATOS-PROD'!D$3:D$42)-QUARTILE('1.DATOS-PROD'!D$3:D$42,1)),5*0,IF('1.DATOS-PROD'!D9&gt;AVERAGE('1.DATOS-PROD'!D$3:D$42)+1.5*(QUARTILE('1.DATOS-PROD'!D$3:D$42,3)-AVERAGE('1.DATOS-PROD'!D$3:D$42)),5*1,5*('1.DATOS-PROD'!D9-MIN('1.DATOS-PROD'!D$3:D$42))/(MAX('1.DATOS-PROD'!D$3:D$42)-MIN('1.DATOS-PROD'!D$3:D$42))))</f>
        <v>1.5</v>
      </c>
      <c r="H14" s="56">
        <f>IF('1.DATOS-PROD'!E9&lt;AVERAGE('1.DATOS-PROD'!E$3:E$42)-1.5*(AVERAGE('1.DATOS-PROD'!E$3:E$42)-QUARTILE('1.DATOS-PROD'!E$3:E$42,1)),5*0,IF('1.DATOS-PROD'!E9&gt;AVERAGE('1.DATOS-PROD'!E$3:E$42)+1.5*(QUARTILE('1.DATOS-PROD'!E$3:E$42,3)-AVERAGE('1.DATOS-PROD'!E$3:E$42)),5*1,5*('1.DATOS-PROD'!E9-MIN('1.DATOS-PROD'!E$3:E$42))/(MAX('1.DATOS-PROD'!E$3:E$42)-MIN('1.DATOS-PROD'!E$3:E$42))))</f>
        <v>0.66666666666666663</v>
      </c>
      <c r="I14" s="142">
        <f>IF(A14&lt;&gt;0,'1.DATOS-PROD'!F9+'1.DATOS-PROD'!G9,"")</f>
        <v>7</v>
      </c>
      <c r="J14" s="143">
        <f t="shared" si="0"/>
        <v>3.5909090909090908</v>
      </c>
      <c r="K14" s="142">
        <f>IF('1.DATOS-PROD'!H9="SI",5,0)</f>
        <v>5</v>
      </c>
      <c r="L14" s="50">
        <f>'1.DATOS-PROD'!I9</f>
        <v>4</v>
      </c>
      <c r="M14" s="47">
        <f t="shared" si="1"/>
        <v>2.2708313397129185</v>
      </c>
      <c r="N14" s="141">
        <f t="shared" si="2"/>
        <v>1.3397544856950052</v>
      </c>
    </row>
    <row r="15" spans="1:17" x14ac:dyDescent="0.25">
      <c r="A15" t="str">
        <f>'0.Consolidado general'!$A10</f>
        <v>E001013021002</v>
      </c>
      <c r="B15" s="143">
        <f>5-(IF('1.PUNTOS-FIN'!B9&lt;AVERAGE('1.PUNTOS-FIN'!B$2:B$41)-1.5*(AVERAGE('1.PUNTOS-FIN'!B$2:B$41)-QUARTILE('1.PUNTOS-FIN'!B$2:B$41,1)),5*0,IF('1.PUNTOS-FIN'!B9&gt;AVERAGE('1.PUNTOS-FIN'!B$2:B$41)+1.5*(QUARTILE('1.PUNTOS-FIN'!B$2:B$41,3)-AVERAGE('1.PUNTOS-FIN'!B$2:B$41)),5*1,5*('1.PUNTOS-FIN'!B9-MIN('1.PUNTOS-FIN'!B$2:B$41))/(MAX('1.PUNTOS-FIN'!B$2:B$41)-MIN('1.PUNTOS-FIN'!B$2:B$41)))))</f>
        <v>2.2222222222222223</v>
      </c>
      <c r="C15" s="143">
        <f>5-(IF('1.PUNTOS-FIN'!C9&lt;AVERAGE('1.PUNTOS-FIN'!C$2:C$41)-1.5*(AVERAGE('1.PUNTOS-FIN'!C$2:C$41)-QUARTILE('1.PUNTOS-FIN'!C$2:C$41,1)),5*0,IF('1.PUNTOS-FIN'!C9&gt;AVERAGE('1.PUNTOS-FIN'!C$2:C$41)+1.5*(QUARTILE('1.PUNTOS-FIN'!C$2:C$41,3)-AVERAGE('1.PUNTOS-FIN'!C$2:C$41)),5*1,5*('1.PUNTOS-FIN'!C9-MIN('1.PUNTOS-FIN'!C$2:C$41))/(MAX('1.PUNTOS-FIN'!C$2:C$41)-MIN('1.PUNTOS-FIN'!C$2:C$41)))))</f>
        <v>0</v>
      </c>
      <c r="D15" s="143">
        <f>5-(IF('1.PUNTOS-FIN'!D9&lt;AVERAGE('1.PUNTOS-FIN'!D$2:D$41)-1.5*(AVERAGE('1.PUNTOS-FIN'!D$2:D$41)-QUARTILE('1.PUNTOS-FIN'!D$2:D$41,1)),5*0,IF('1.PUNTOS-FIN'!D9&gt;AVERAGE('1.PUNTOS-FIN'!D$2:D$41)+1.5*(QUARTILE('1.PUNTOS-FIN'!D$2:D$41,3)-AVERAGE('1.PUNTOS-FIN'!D$2:D$41)),5*1,5*('1.PUNTOS-FIN'!D9-MIN('1.PUNTOS-FIN'!D$2:D$41))/(MAX('1.PUNTOS-FIN'!D$2:D$41)-MIN('1.PUNTOS-FIN'!D$2:D$41)))))</f>
        <v>5</v>
      </c>
      <c r="E15" s="56">
        <f>IF('1.DATOS-PROD'!B10&lt;AVERAGE('1.DATOS-PROD'!B$3:B$42)-1.5*(AVERAGE('1.DATOS-PROD'!B$3:B$42)-QUARTILE('1.DATOS-PROD'!B$3:B$42,1)),5*0,IF('1.DATOS-PROD'!B10&gt;AVERAGE('1.DATOS-PROD'!B$3:B$42)+1.5*(QUARTILE('1.DATOS-PROD'!B$3:B$42,3)-AVERAGE('1.DATOS-PROD'!B$3:B$42)),5*1,5*('1.DATOS-PROD'!B10-MIN('1.DATOS-PROD'!B$3:B$42))/(MAX('1.DATOS-PROD'!B$3:B$42)-MIN('1.DATOS-PROD'!B$3:B$42))))</f>
        <v>0</v>
      </c>
      <c r="F15" s="56">
        <f>IF('1.DATOS-PROD'!C10&lt;AVERAGE('1.DATOS-PROD'!C$3:C$42)-1.5*(AVERAGE('1.DATOS-PROD'!C$3:C$42)-QUARTILE('1.DATOS-PROD'!C$3:C$42,1)),5*0,IF('1.DATOS-PROD'!C10&gt;AVERAGE('1.DATOS-PROD'!C$3:C$42)+1.5*(QUARTILE('1.DATOS-PROD'!C$3:C$42,3)-AVERAGE('1.DATOS-PROD'!C$3:C$42)),5*1,5*('1.DATOS-PROD'!C10-MIN('1.DATOS-PROD'!C$3:C$42))/(MAX('1.DATOS-PROD'!C$3:C$42)-MIN('1.DATOS-PROD'!C$3:C$42))))</f>
        <v>3</v>
      </c>
      <c r="G15" s="56">
        <f>IF('1.DATOS-PROD'!D10&lt;AVERAGE('1.DATOS-PROD'!D$3:D$42)-1.5*(AVERAGE('1.DATOS-PROD'!D$3:D$42)-QUARTILE('1.DATOS-PROD'!D$3:D$42,1)),5*0,IF('1.DATOS-PROD'!D10&gt;AVERAGE('1.DATOS-PROD'!D$3:D$42)+1.5*(QUARTILE('1.DATOS-PROD'!D$3:D$42,3)-AVERAGE('1.DATOS-PROD'!D$3:D$42)),5*1,5*('1.DATOS-PROD'!D10-MIN('1.DATOS-PROD'!D$3:D$42))/(MAX('1.DATOS-PROD'!D$3:D$42)-MIN('1.DATOS-PROD'!D$3:D$42))))</f>
        <v>2.5</v>
      </c>
      <c r="H15" s="56">
        <f>IF('1.DATOS-PROD'!E10&lt;AVERAGE('1.DATOS-PROD'!E$3:E$42)-1.5*(AVERAGE('1.DATOS-PROD'!E$3:E$42)-QUARTILE('1.DATOS-PROD'!E$3:E$42,1)),5*0,IF('1.DATOS-PROD'!E10&gt;AVERAGE('1.DATOS-PROD'!E$3:E$42)+1.5*(QUARTILE('1.DATOS-PROD'!E$3:E$42,3)-AVERAGE('1.DATOS-PROD'!E$3:E$42)),5*1,5*('1.DATOS-PROD'!E10-MIN('1.DATOS-PROD'!E$3:E$42))/(MAX('1.DATOS-PROD'!E$3:E$42)-MIN('1.DATOS-PROD'!E$3:E$42))))</f>
        <v>1.6666666666666667</v>
      </c>
      <c r="I15" s="142">
        <f>IF(A15&lt;&gt;0,'1.DATOS-PROD'!F10+'1.DATOS-PROD'!G10,"")</f>
        <v>7</v>
      </c>
      <c r="J15" s="143">
        <f t="shared" si="0"/>
        <v>3.5909090909090908</v>
      </c>
      <c r="K15" s="142">
        <f>IF('1.DATOS-PROD'!H10="SI",5,0)</f>
        <v>0</v>
      </c>
      <c r="L15" s="50">
        <f>'1.DATOS-PROD'!I10</f>
        <v>3</v>
      </c>
      <c r="M15" s="47">
        <f t="shared" si="1"/>
        <v>2.633345959595959</v>
      </c>
      <c r="N15" s="141">
        <f t="shared" si="2"/>
        <v>2.1375896868430426</v>
      </c>
    </row>
    <row r="16" spans="1:17" x14ac:dyDescent="0.25">
      <c r="A16" t="str">
        <f>'0.Consolidado general'!$A11</f>
        <v>E001013021003</v>
      </c>
      <c r="B16" s="143">
        <f>5-(IF('1.PUNTOS-FIN'!B10&lt;AVERAGE('1.PUNTOS-FIN'!B$2:B$41)-1.5*(AVERAGE('1.PUNTOS-FIN'!B$2:B$41)-QUARTILE('1.PUNTOS-FIN'!B$2:B$41,1)),5*0,IF('1.PUNTOS-FIN'!B10&gt;AVERAGE('1.PUNTOS-FIN'!B$2:B$41)+1.5*(QUARTILE('1.PUNTOS-FIN'!B$2:B$41,3)-AVERAGE('1.PUNTOS-FIN'!B$2:B$41)),5*1,5*('1.PUNTOS-FIN'!B10-MIN('1.PUNTOS-FIN'!B$2:B$41))/(MAX('1.PUNTOS-FIN'!B$2:B$41)-MIN('1.PUNTOS-FIN'!B$2:B$41)))))</f>
        <v>5</v>
      </c>
      <c r="C16" s="143">
        <f>5-(IF('1.PUNTOS-FIN'!C10&lt;AVERAGE('1.PUNTOS-FIN'!C$2:C$41)-1.5*(AVERAGE('1.PUNTOS-FIN'!C$2:C$41)-QUARTILE('1.PUNTOS-FIN'!C$2:C$41,1)),5*0,IF('1.PUNTOS-FIN'!C10&gt;AVERAGE('1.PUNTOS-FIN'!C$2:C$41)+1.5*(QUARTILE('1.PUNTOS-FIN'!C$2:C$41,3)-AVERAGE('1.PUNTOS-FIN'!C$2:C$41)),5*1,5*('1.PUNTOS-FIN'!C10-MIN('1.PUNTOS-FIN'!C$2:C$41))/(MAX('1.PUNTOS-FIN'!C$2:C$41)-MIN('1.PUNTOS-FIN'!C$2:C$41)))))</f>
        <v>0</v>
      </c>
      <c r="D16" s="143">
        <f>5-(IF('1.PUNTOS-FIN'!D10&lt;AVERAGE('1.PUNTOS-FIN'!D$2:D$41)-1.5*(AVERAGE('1.PUNTOS-FIN'!D$2:D$41)-QUARTILE('1.PUNTOS-FIN'!D$2:D$41,1)),5*0,IF('1.PUNTOS-FIN'!D10&gt;AVERAGE('1.PUNTOS-FIN'!D$2:D$41)+1.5*(QUARTILE('1.PUNTOS-FIN'!D$2:D$41,3)-AVERAGE('1.PUNTOS-FIN'!D$2:D$41)),5*1,5*('1.PUNTOS-FIN'!D10-MIN('1.PUNTOS-FIN'!D$2:D$41))/(MAX('1.PUNTOS-FIN'!D$2:D$41)-MIN('1.PUNTOS-FIN'!D$2:D$41)))))</f>
        <v>1.4705882352941178</v>
      </c>
      <c r="E16" s="56">
        <f>IF('1.DATOS-PROD'!B11&lt;AVERAGE('1.DATOS-PROD'!B$3:B$42)-1.5*(AVERAGE('1.DATOS-PROD'!B$3:B$42)-QUARTILE('1.DATOS-PROD'!B$3:B$42,1)),5*0,IF('1.DATOS-PROD'!B11&gt;AVERAGE('1.DATOS-PROD'!B$3:B$42)+1.5*(QUARTILE('1.DATOS-PROD'!B$3:B$42,3)-AVERAGE('1.DATOS-PROD'!B$3:B$42)),5*1,5*('1.DATOS-PROD'!B11-MIN('1.DATOS-PROD'!B$3:B$42))/(MAX('1.DATOS-PROD'!B$3:B$42)-MIN('1.DATOS-PROD'!B$3:B$42))))</f>
        <v>2.1052631578947367</v>
      </c>
      <c r="F16" s="56">
        <f>IF('1.DATOS-PROD'!C11&lt;AVERAGE('1.DATOS-PROD'!C$3:C$42)-1.5*(AVERAGE('1.DATOS-PROD'!C$3:C$42)-QUARTILE('1.DATOS-PROD'!C$3:C$42,1)),5*0,IF('1.DATOS-PROD'!C11&gt;AVERAGE('1.DATOS-PROD'!C$3:C$42)+1.5*(QUARTILE('1.DATOS-PROD'!C$3:C$42,3)-AVERAGE('1.DATOS-PROD'!C$3:C$42)),5*1,5*('1.DATOS-PROD'!C11-MIN('1.DATOS-PROD'!C$3:C$42))/(MAX('1.DATOS-PROD'!C$3:C$42)-MIN('1.DATOS-PROD'!C$3:C$42))))</f>
        <v>0</v>
      </c>
      <c r="G16" s="56">
        <f>IF('1.DATOS-PROD'!D11&lt;AVERAGE('1.DATOS-PROD'!D$3:D$42)-1.5*(AVERAGE('1.DATOS-PROD'!D$3:D$42)-QUARTILE('1.DATOS-PROD'!D$3:D$42,1)),5*0,IF('1.DATOS-PROD'!D11&gt;AVERAGE('1.DATOS-PROD'!D$3:D$42)+1.5*(QUARTILE('1.DATOS-PROD'!D$3:D$42,3)-AVERAGE('1.DATOS-PROD'!D$3:D$42)),5*1,5*('1.DATOS-PROD'!D11-MIN('1.DATOS-PROD'!D$3:D$42))/(MAX('1.DATOS-PROD'!D$3:D$42)-MIN('1.DATOS-PROD'!D$3:D$42))))</f>
        <v>0</v>
      </c>
      <c r="H16" s="56">
        <f>IF('1.DATOS-PROD'!E11&lt;AVERAGE('1.DATOS-PROD'!E$3:E$42)-1.5*(AVERAGE('1.DATOS-PROD'!E$3:E$42)-QUARTILE('1.DATOS-PROD'!E$3:E$42,1)),5*0,IF('1.DATOS-PROD'!E11&gt;AVERAGE('1.DATOS-PROD'!E$3:E$42)+1.5*(QUARTILE('1.DATOS-PROD'!E$3:E$42,3)-AVERAGE('1.DATOS-PROD'!E$3:E$42)),5*1,5*('1.DATOS-PROD'!E11-MIN('1.DATOS-PROD'!E$3:E$42))/(MAX('1.DATOS-PROD'!E$3:E$42)-MIN('1.DATOS-PROD'!E$3:E$42))))</f>
        <v>1.6666666666666667</v>
      </c>
      <c r="I16" s="142">
        <f>IF(A16&lt;&gt;0,'1.DATOS-PROD'!F11+'1.DATOS-PROD'!G11,"")</f>
        <v>4</v>
      </c>
      <c r="J16" s="143">
        <f t="shared" si="0"/>
        <v>5</v>
      </c>
      <c r="K16" s="142">
        <f>IF('1.DATOS-PROD'!H11="SI",5,0)</f>
        <v>5</v>
      </c>
      <c r="L16" s="50">
        <f>'1.DATOS-PROD'!I11</f>
        <v>1</v>
      </c>
      <c r="M16" s="47">
        <f t="shared" si="1"/>
        <v>3.9339473684210526</v>
      </c>
      <c r="N16" s="141">
        <f t="shared" si="2"/>
        <v>5</v>
      </c>
    </row>
    <row r="17" spans="1:14" x14ac:dyDescent="0.25">
      <c r="A17" t="str">
        <f>'0.Consolidado general'!$A12</f>
        <v>E001013021004</v>
      </c>
      <c r="B17" s="143">
        <f>5-(IF('1.PUNTOS-FIN'!B11&lt;AVERAGE('1.PUNTOS-FIN'!B$2:B$41)-1.5*(AVERAGE('1.PUNTOS-FIN'!B$2:B$41)-QUARTILE('1.PUNTOS-FIN'!B$2:B$41,1)),5*0,IF('1.PUNTOS-FIN'!B11&gt;AVERAGE('1.PUNTOS-FIN'!B$2:B$41)+1.5*(QUARTILE('1.PUNTOS-FIN'!B$2:B$41,3)-AVERAGE('1.PUNTOS-FIN'!B$2:B$41)),5*1,5*('1.PUNTOS-FIN'!B11-MIN('1.PUNTOS-FIN'!B$2:B$41))/(MAX('1.PUNTOS-FIN'!B$2:B$41)-MIN('1.PUNTOS-FIN'!B$2:B$41)))))</f>
        <v>1.6666666666666665</v>
      </c>
      <c r="C17" s="143">
        <f>5-(IF('1.PUNTOS-FIN'!C11&lt;AVERAGE('1.PUNTOS-FIN'!C$2:C$41)-1.5*(AVERAGE('1.PUNTOS-FIN'!C$2:C$41)-QUARTILE('1.PUNTOS-FIN'!C$2:C$41,1)),5*0,IF('1.PUNTOS-FIN'!C11&gt;AVERAGE('1.PUNTOS-FIN'!C$2:C$41)+1.5*(QUARTILE('1.PUNTOS-FIN'!C$2:C$41,3)-AVERAGE('1.PUNTOS-FIN'!C$2:C$41)),5*1,5*('1.PUNTOS-FIN'!C11-MIN('1.PUNTOS-FIN'!C$2:C$41))/(MAX('1.PUNTOS-FIN'!C$2:C$41)-MIN('1.PUNTOS-FIN'!C$2:C$41)))))</f>
        <v>0</v>
      </c>
      <c r="D17" s="143">
        <f>5-(IF('1.PUNTOS-FIN'!D11&lt;AVERAGE('1.PUNTOS-FIN'!D$2:D$41)-1.5*(AVERAGE('1.PUNTOS-FIN'!D$2:D$41)-QUARTILE('1.PUNTOS-FIN'!D$2:D$41,1)),5*0,IF('1.PUNTOS-FIN'!D11&gt;AVERAGE('1.PUNTOS-FIN'!D$2:D$41)+1.5*(QUARTILE('1.PUNTOS-FIN'!D$2:D$41,3)-AVERAGE('1.PUNTOS-FIN'!D$2:D$41)),5*1,5*('1.PUNTOS-FIN'!D11-MIN('1.PUNTOS-FIN'!D$2:D$41))/(MAX('1.PUNTOS-FIN'!D$2:D$41)-MIN('1.PUNTOS-FIN'!D$2:D$41)))))</f>
        <v>1.4705882352941178</v>
      </c>
      <c r="E17" s="56">
        <f>IF('1.DATOS-PROD'!B12&lt;AVERAGE('1.DATOS-PROD'!B$3:B$42)-1.5*(AVERAGE('1.DATOS-PROD'!B$3:B$42)-QUARTILE('1.DATOS-PROD'!B$3:B$42,1)),5*0,IF('1.DATOS-PROD'!B12&gt;AVERAGE('1.DATOS-PROD'!B$3:B$42)+1.5*(QUARTILE('1.DATOS-PROD'!B$3:B$42,3)-AVERAGE('1.DATOS-PROD'!B$3:B$42)),5*1,5*('1.DATOS-PROD'!B12-MIN('1.DATOS-PROD'!B$3:B$42))/(MAX('1.DATOS-PROD'!B$3:B$42)-MIN('1.DATOS-PROD'!B$3:B$42))))</f>
        <v>0</v>
      </c>
      <c r="F17" s="56">
        <f>IF('1.DATOS-PROD'!C12&lt;AVERAGE('1.DATOS-PROD'!C$3:C$42)-1.5*(AVERAGE('1.DATOS-PROD'!C$3:C$42)-QUARTILE('1.DATOS-PROD'!C$3:C$42,1)),5*0,IF('1.DATOS-PROD'!C12&gt;AVERAGE('1.DATOS-PROD'!C$3:C$42)+1.5*(QUARTILE('1.DATOS-PROD'!C$3:C$42,3)-AVERAGE('1.DATOS-PROD'!C$3:C$42)),5*1,5*('1.DATOS-PROD'!C12-MIN('1.DATOS-PROD'!C$3:C$42))/(MAX('1.DATOS-PROD'!C$3:C$42)-MIN('1.DATOS-PROD'!C$3:C$42))))</f>
        <v>0</v>
      </c>
      <c r="G17" s="56">
        <f>IF('1.DATOS-PROD'!D12&lt;AVERAGE('1.DATOS-PROD'!D$3:D$42)-1.5*(AVERAGE('1.DATOS-PROD'!D$3:D$42)-QUARTILE('1.DATOS-PROD'!D$3:D$42,1)),5*0,IF('1.DATOS-PROD'!D12&gt;AVERAGE('1.DATOS-PROD'!D$3:D$42)+1.5*(QUARTILE('1.DATOS-PROD'!D$3:D$42,3)-AVERAGE('1.DATOS-PROD'!D$3:D$42)),5*1,5*('1.DATOS-PROD'!D12-MIN('1.DATOS-PROD'!D$3:D$42))/(MAX('1.DATOS-PROD'!D$3:D$42)-MIN('1.DATOS-PROD'!D$3:D$42))))</f>
        <v>2.5</v>
      </c>
      <c r="H17" s="56">
        <f>IF('1.DATOS-PROD'!E12&lt;AVERAGE('1.DATOS-PROD'!E$3:E$42)-1.5*(AVERAGE('1.DATOS-PROD'!E$3:E$42)-QUARTILE('1.DATOS-PROD'!E$3:E$42,1)),5*0,IF('1.DATOS-PROD'!E12&gt;AVERAGE('1.DATOS-PROD'!E$3:E$42)+1.5*(QUARTILE('1.DATOS-PROD'!E$3:E$42,3)-AVERAGE('1.DATOS-PROD'!E$3:E$42)),5*1,5*('1.DATOS-PROD'!E12-MIN('1.DATOS-PROD'!E$3:E$42))/(MAX('1.DATOS-PROD'!E$3:E$42)-MIN('1.DATOS-PROD'!E$3:E$42))))</f>
        <v>0</v>
      </c>
      <c r="I17" s="142">
        <f>IF(A17&lt;&gt;0,'1.DATOS-PROD'!F12+'1.DATOS-PROD'!G12,"")</f>
        <v>14</v>
      </c>
      <c r="J17" s="143">
        <f t="shared" si="0"/>
        <v>2</v>
      </c>
      <c r="K17" s="142">
        <f>IF('1.DATOS-PROD'!H12="SI",5,0)</f>
        <v>0</v>
      </c>
      <c r="L17" s="50">
        <f>'1.DATOS-PROD'!I12</f>
        <v>2</v>
      </c>
      <c r="M17" s="47">
        <f t="shared" si="1"/>
        <v>1.6620833333333331</v>
      </c>
      <c r="N17" s="141">
        <f t="shared" si="2"/>
        <v>0</v>
      </c>
    </row>
    <row r="18" spans="1:14" x14ac:dyDescent="0.25">
      <c r="A18" t="str">
        <f>'0.Consolidado general'!$A13</f>
        <v>E001010021001</v>
      </c>
      <c r="B18" s="143">
        <f>5-(IF('1.PUNTOS-FIN'!B12&lt;AVERAGE('1.PUNTOS-FIN'!B$2:B$41)-1.5*(AVERAGE('1.PUNTOS-FIN'!B$2:B$41)-QUARTILE('1.PUNTOS-FIN'!B$2:B$41,1)),5*0,IF('1.PUNTOS-FIN'!B12&gt;AVERAGE('1.PUNTOS-FIN'!B$2:B$41)+1.5*(QUARTILE('1.PUNTOS-FIN'!B$2:B$41,3)-AVERAGE('1.PUNTOS-FIN'!B$2:B$41)),5*1,5*('1.PUNTOS-FIN'!B12-MIN('1.PUNTOS-FIN'!B$2:B$41))/(MAX('1.PUNTOS-FIN'!B$2:B$41)-MIN('1.PUNTOS-FIN'!B$2:B$41)))))</f>
        <v>3.0555555555555554</v>
      </c>
      <c r="C18" s="143">
        <f>5-(IF('1.PUNTOS-FIN'!C12&lt;AVERAGE('1.PUNTOS-FIN'!C$2:C$41)-1.5*(AVERAGE('1.PUNTOS-FIN'!C$2:C$41)-QUARTILE('1.PUNTOS-FIN'!C$2:C$41,1)),5*0,IF('1.PUNTOS-FIN'!C12&gt;AVERAGE('1.PUNTOS-FIN'!C$2:C$41)+1.5*(QUARTILE('1.PUNTOS-FIN'!C$2:C$41,3)-AVERAGE('1.PUNTOS-FIN'!C$2:C$41)),5*1,5*('1.PUNTOS-FIN'!C12-MIN('1.PUNTOS-FIN'!C$2:C$41))/(MAX('1.PUNTOS-FIN'!C$2:C$41)-MIN('1.PUNTOS-FIN'!C$2:C$41)))))</f>
        <v>0</v>
      </c>
      <c r="D18" s="143">
        <f>5-(IF('1.PUNTOS-FIN'!D12&lt;AVERAGE('1.PUNTOS-FIN'!D$2:D$41)-1.5*(AVERAGE('1.PUNTOS-FIN'!D$2:D$41)-QUARTILE('1.PUNTOS-FIN'!D$2:D$41,1)),5*0,IF('1.PUNTOS-FIN'!D12&gt;AVERAGE('1.PUNTOS-FIN'!D$2:D$41)+1.5*(QUARTILE('1.PUNTOS-FIN'!D$2:D$41,3)-AVERAGE('1.PUNTOS-FIN'!D$2:D$41)),5*1,5*('1.PUNTOS-FIN'!D12-MIN('1.PUNTOS-FIN'!D$2:D$41))/(MAX('1.PUNTOS-FIN'!D$2:D$41)-MIN('1.PUNTOS-FIN'!D$2:D$41)))))</f>
        <v>3.2352941176470589</v>
      </c>
      <c r="E18" s="56">
        <f>IF('1.DATOS-PROD'!B13&lt;AVERAGE('1.DATOS-PROD'!B$3:B$42)-1.5*(AVERAGE('1.DATOS-PROD'!B$3:B$42)-QUARTILE('1.DATOS-PROD'!B$3:B$42,1)),5*0,IF('1.DATOS-PROD'!B13&gt;AVERAGE('1.DATOS-PROD'!B$3:B$42)+1.5*(QUARTILE('1.DATOS-PROD'!B$3:B$42,3)-AVERAGE('1.DATOS-PROD'!B$3:B$42)),5*1,5*('1.DATOS-PROD'!B13-MIN('1.DATOS-PROD'!B$3:B$42))/(MAX('1.DATOS-PROD'!B$3:B$42)-MIN('1.DATOS-PROD'!B$3:B$42))))</f>
        <v>4.4736842105263159</v>
      </c>
      <c r="F18" s="56">
        <f>IF('1.DATOS-PROD'!C13&lt;AVERAGE('1.DATOS-PROD'!C$3:C$42)-1.5*(AVERAGE('1.DATOS-PROD'!C$3:C$42)-QUARTILE('1.DATOS-PROD'!C$3:C$42,1)),5*0,IF('1.DATOS-PROD'!C13&gt;AVERAGE('1.DATOS-PROD'!C$3:C$42)+1.5*(QUARTILE('1.DATOS-PROD'!C$3:C$42,3)-AVERAGE('1.DATOS-PROD'!C$3:C$42)),5*1,5*('1.DATOS-PROD'!C13-MIN('1.DATOS-PROD'!C$3:C$42))/(MAX('1.DATOS-PROD'!C$3:C$42)-MIN('1.DATOS-PROD'!C$3:C$42))))</f>
        <v>4</v>
      </c>
      <c r="G18" s="56">
        <f>IF('1.DATOS-PROD'!D13&lt;AVERAGE('1.DATOS-PROD'!D$3:D$42)-1.5*(AVERAGE('1.DATOS-PROD'!D$3:D$42)-QUARTILE('1.DATOS-PROD'!D$3:D$42,1)),5*0,IF('1.DATOS-PROD'!D13&gt;AVERAGE('1.DATOS-PROD'!D$3:D$42)+1.5*(QUARTILE('1.DATOS-PROD'!D$3:D$42,3)-AVERAGE('1.DATOS-PROD'!D$3:D$42)),5*1,5*('1.DATOS-PROD'!D13-MIN('1.DATOS-PROD'!D$3:D$42))/(MAX('1.DATOS-PROD'!D$3:D$42)-MIN('1.DATOS-PROD'!D$3:D$42))))</f>
        <v>5</v>
      </c>
      <c r="H18" s="56">
        <f>IF('1.DATOS-PROD'!E13&lt;AVERAGE('1.DATOS-PROD'!E$3:E$42)-1.5*(AVERAGE('1.DATOS-PROD'!E$3:E$42)-QUARTILE('1.DATOS-PROD'!E$3:E$42,1)),5*0,IF('1.DATOS-PROD'!E13&gt;AVERAGE('1.DATOS-PROD'!E$3:E$42)+1.5*(QUARTILE('1.DATOS-PROD'!E$3:E$42,3)-AVERAGE('1.DATOS-PROD'!E$3:E$42)),5*1,5*('1.DATOS-PROD'!E13-MIN('1.DATOS-PROD'!E$3:E$42))/(MAX('1.DATOS-PROD'!E$3:E$42)-MIN('1.DATOS-PROD'!E$3:E$42))))</f>
        <v>3.3333333333333335</v>
      </c>
      <c r="I18" s="142">
        <f>IF(A18&lt;&gt;0,'1.DATOS-PROD'!F13+'1.DATOS-PROD'!G13,"")</f>
        <v>9</v>
      </c>
      <c r="J18" s="143">
        <f t="shared" si="0"/>
        <v>3.1363636363636367</v>
      </c>
      <c r="K18" s="142">
        <f>IF('1.DATOS-PROD'!H13="SI",5,0)</f>
        <v>5</v>
      </c>
      <c r="L18" s="50">
        <f>'1.DATOS-PROD'!I13</f>
        <v>2</v>
      </c>
      <c r="M18" s="47">
        <f t="shared" si="1"/>
        <v>3.2774348750664539</v>
      </c>
      <c r="N18" s="141">
        <f t="shared" si="2"/>
        <v>3.5551237151186958</v>
      </c>
    </row>
    <row r="19" spans="1:14" x14ac:dyDescent="0.25">
      <c r="A19" t="str">
        <f>'0.Consolidado general'!$A14</f>
        <v>E001010021002</v>
      </c>
      <c r="B19" s="143">
        <f>5-(IF('1.PUNTOS-FIN'!B13&lt;AVERAGE('1.PUNTOS-FIN'!B$2:B$41)-1.5*(AVERAGE('1.PUNTOS-FIN'!B$2:B$41)-QUARTILE('1.PUNTOS-FIN'!B$2:B$41,1)),5*0,IF('1.PUNTOS-FIN'!B13&gt;AVERAGE('1.PUNTOS-FIN'!B$2:B$41)+1.5*(QUARTILE('1.PUNTOS-FIN'!B$2:B$41,3)-AVERAGE('1.PUNTOS-FIN'!B$2:B$41)),5*1,5*('1.PUNTOS-FIN'!B13-MIN('1.PUNTOS-FIN'!B$2:B$41))/(MAX('1.PUNTOS-FIN'!B$2:B$41)-MIN('1.PUNTOS-FIN'!B$2:B$41)))))</f>
        <v>1.9444444444444446</v>
      </c>
      <c r="C19" s="143">
        <f>5-(IF('1.PUNTOS-FIN'!C13&lt;AVERAGE('1.PUNTOS-FIN'!C$2:C$41)-1.5*(AVERAGE('1.PUNTOS-FIN'!C$2:C$41)-QUARTILE('1.PUNTOS-FIN'!C$2:C$41,1)),5*0,IF('1.PUNTOS-FIN'!C13&gt;AVERAGE('1.PUNTOS-FIN'!C$2:C$41)+1.5*(QUARTILE('1.PUNTOS-FIN'!C$2:C$41,3)-AVERAGE('1.PUNTOS-FIN'!C$2:C$41)),5*1,5*('1.PUNTOS-FIN'!C13-MIN('1.PUNTOS-FIN'!C$2:C$41))/(MAX('1.PUNTOS-FIN'!C$2:C$41)-MIN('1.PUNTOS-FIN'!C$2:C$41)))))</f>
        <v>0</v>
      </c>
      <c r="D19" s="143">
        <f>5-(IF('1.PUNTOS-FIN'!D13&lt;AVERAGE('1.PUNTOS-FIN'!D$2:D$41)-1.5*(AVERAGE('1.PUNTOS-FIN'!D$2:D$41)-QUARTILE('1.PUNTOS-FIN'!D$2:D$41,1)),5*0,IF('1.PUNTOS-FIN'!D13&gt;AVERAGE('1.PUNTOS-FIN'!D$2:D$41)+1.5*(QUARTILE('1.PUNTOS-FIN'!D$2:D$41,3)-AVERAGE('1.PUNTOS-FIN'!D$2:D$41)),5*1,5*('1.PUNTOS-FIN'!D13-MIN('1.PUNTOS-FIN'!D$2:D$41))/(MAX('1.PUNTOS-FIN'!D$2:D$41)-MIN('1.PUNTOS-FIN'!D$2:D$41)))))</f>
        <v>1.1764705882352939</v>
      </c>
      <c r="E19" s="56">
        <f>IF('1.DATOS-PROD'!B14&lt;AVERAGE('1.DATOS-PROD'!B$3:B$42)-1.5*(AVERAGE('1.DATOS-PROD'!B$3:B$42)-QUARTILE('1.DATOS-PROD'!B$3:B$42,1)),5*0,IF('1.DATOS-PROD'!B14&gt;AVERAGE('1.DATOS-PROD'!B$3:B$42)+1.5*(QUARTILE('1.DATOS-PROD'!B$3:B$42,3)-AVERAGE('1.DATOS-PROD'!B$3:B$42)),5*1,5*('1.DATOS-PROD'!B14-MIN('1.DATOS-PROD'!B$3:B$42))/(MAX('1.DATOS-PROD'!B$3:B$42)-MIN('1.DATOS-PROD'!B$3:B$42))))</f>
        <v>5</v>
      </c>
      <c r="F19" s="56">
        <f>IF('1.DATOS-PROD'!C14&lt;AVERAGE('1.DATOS-PROD'!C$3:C$42)-1.5*(AVERAGE('1.DATOS-PROD'!C$3:C$42)-QUARTILE('1.DATOS-PROD'!C$3:C$42,1)),5*0,IF('1.DATOS-PROD'!C14&gt;AVERAGE('1.DATOS-PROD'!C$3:C$42)+1.5*(QUARTILE('1.DATOS-PROD'!C$3:C$42,3)-AVERAGE('1.DATOS-PROD'!C$3:C$42)),5*1,5*('1.DATOS-PROD'!C14-MIN('1.DATOS-PROD'!C$3:C$42))/(MAX('1.DATOS-PROD'!C$3:C$42)-MIN('1.DATOS-PROD'!C$3:C$42))))</f>
        <v>5</v>
      </c>
      <c r="G19" s="56">
        <f>IF('1.DATOS-PROD'!D14&lt;AVERAGE('1.DATOS-PROD'!D$3:D$42)-1.5*(AVERAGE('1.DATOS-PROD'!D$3:D$42)-QUARTILE('1.DATOS-PROD'!D$3:D$42,1)),5*0,IF('1.DATOS-PROD'!D14&gt;AVERAGE('1.DATOS-PROD'!D$3:D$42)+1.5*(QUARTILE('1.DATOS-PROD'!D$3:D$42,3)-AVERAGE('1.DATOS-PROD'!D$3:D$42)),5*1,5*('1.DATOS-PROD'!D14-MIN('1.DATOS-PROD'!D$3:D$42))/(MAX('1.DATOS-PROD'!D$3:D$42)-MIN('1.DATOS-PROD'!D$3:D$42))))</f>
        <v>1.5</v>
      </c>
      <c r="H19" s="56">
        <f>IF('1.DATOS-PROD'!E14&lt;AVERAGE('1.DATOS-PROD'!E$3:E$42)-1.5*(AVERAGE('1.DATOS-PROD'!E$3:E$42)-QUARTILE('1.DATOS-PROD'!E$3:E$42,1)),5*0,IF('1.DATOS-PROD'!E14&gt;AVERAGE('1.DATOS-PROD'!E$3:E$42)+1.5*(QUARTILE('1.DATOS-PROD'!E$3:E$42,3)-AVERAGE('1.DATOS-PROD'!E$3:E$42)),5*1,5*('1.DATOS-PROD'!E14-MIN('1.DATOS-PROD'!E$3:E$42))/(MAX('1.DATOS-PROD'!E$3:E$42)-MIN('1.DATOS-PROD'!E$3:E$42))))</f>
        <v>5</v>
      </c>
      <c r="I19" s="142">
        <f>IF(A19&lt;&gt;0,'1.DATOS-PROD'!F14+'1.DATOS-PROD'!G14,"")</f>
        <v>23</v>
      </c>
      <c r="J19" s="143">
        <f t="shared" si="0"/>
        <v>-4.5454545454545858E-2</v>
      </c>
      <c r="K19" s="142">
        <f>IF('1.DATOS-PROD'!H14="SI",5,0)</f>
        <v>5</v>
      </c>
      <c r="L19" s="50">
        <f>'1.DATOS-PROD'!I14</f>
        <v>4</v>
      </c>
      <c r="M19" s="47">
        <f t="shared" si="1"/>
        <v>1.8233964646464642</v>
      </c>
      <c r="N19" s="141">
        <f t="shared" si="2"/>
        <v>0.35502373562355943</v>
      </c>
    </row>
    <row r="20" spans="1:14" x14ac:dyDescent="0.25">
      <c r="A20" t="str">
        <f>'0.Consolidado general'!$A15</f>
        <v>E001010021003</v>
      </c>
      <c r="B20" s="143">
        <f>5-(IF('1.PUNTOS-FIN'!B14&lt;AVERAGE('1.PUNTOS-FIN'!B$2:B$41)-1.5*(AVERAGE('1.PUNTOS-FIN'!B$2:B$41)-QUARTILE('1.PUNTOS-FIN'!B$2:B$41,1)),5*0,IF('1.PUNTOS-FIN'!B14&gt;AVERAGE('1.PUNTOS-FIN'!B$2:B$41)+1.5*(QUARTILE('1.PUNTOS-FIN'!B$2:B$41,3)-AVERAGE('1.PUNTOS-FIN'!B$2:B$41)),5*1,5*('1.PUNTOS-FIN'!B14-MIN('1.PUNTOS-FIN'!B$2:B$41))/(MAX('1.PUNTOS-FIN'!B$2:B$41)-MIN('1.PUNTOS-FIN'!B$2:B$41)))))</f>
        <v>0.83333333333333304</v>
      </c>
      <c r="C20" s="143">
        <f>5-(IF('1.PUNTOS-FIN'!C14&lt;AVERAGE('1.PUNTOS-FIN'!C$2:C$41)-1.5*(AVERAGE('1.PUNTOS-FIN'!C$2:C$41)-QUARTILE('1.PUNTOS-FIN'!C$2:C$41,1)),5*0,IF('1.PUNTOS-FIN'!C14&gt;AVERAGE('1.PUNTOS-FIN'!C$2:C$41)+1.5*(QUARTILE('1.PUNTOS-FIN'!C$2:C$41,3)-AVERAGE('1.PUNTOS-FIN'!C$2:C$41)),5*1,5*('1.PUNTOS-FIN'!C14-MIN('1.PUNTOS-FIN'!C$2:C$41))/(MAX('1.PUNTOS-FIN'!C$2:C$41)-MIN('1.PUNTOS-FIN'!C$2:C$41)))))</f>
        <v>0</v>
      </c>
      <c r="D20" s="143">
        <f>5-(IF('1.PUNTOS-FIN'!D14&lt;AVERAGE('1.PUNTOS-FIN'!D$2:D$41)-1.5*(AVERAGE('1.PUNTOS-FIN'!D$2:D$41)-QUARTILE('1.PUNTOS-FIN'!D$2:D$41,1)),5*0,IF('1.PUNTOS-FIN'!D14&gt;AVERAGE('1.PUNTOS-FIN'!D$2:D$41)+1.5*(QUARTILE('1.PUNTOS-FIN'!D$2:D$41,3)-AVERAGE('1.PUNTOS-FIN'!D$2:D$41)),5*1,5*('1.PUNTOS-FIN'!D14-MIN('1.PUNTOS-FIN'!D$2:D$41))/(MAX('1.PUNTOS-FIN'!D$2:D$41)-MIN('1.PUNTOS-FIN'!D$2:D$41)))))</f>
        <v>0</v>
      </c>
      <c r="E20" s="56">
        <f>IF('1.DATOS-PROD'!B15&lt;AVERAGE('1.DATOS-PROD'!B$3:B$42)-1.5*(AVERAGE('1.DATOS-PROD'!B$3:B$42)-QUARTILE('1.DATOS-PROD'!B$3:B$42,1)),5*0,IF('1.DATOS-PROD'!B15&gt;AVERAGE('1.DATOS-PROD'!B$3:B$42)+1.5*(QUARTILE('1.DATOS-PROD'!B$3:B$42,3)-AVERAGE('1.DATOS-PROD'!B$3:B$42)),5*1,5*('1.DATOS-PROD'!B15-MIN('1.DATOS-PROD'!B$3:B$42))/(MAX('1.DATOS-PROD'!B$3:B$42)-MIN('1.DATOS-PROD'!B$3:B$42))))</f>
        <v>4.2105263157894735</v>
      </c>
      <c r="F20" s="56">
        <f>IF('1.DATOS-PROD'!C15&lt;AVERAGE('1.DATOS-PROD'!C$3:C$42)-1.5*(AVERAGE('1.DATOS-PROD'!C$3:C$42)-QUARTILE('1.DATOS-PROD'!C$3:C$42,1)),5*0,IF('1.DATOS-PROD'!C15&gt;AVERAGE('1.DATOS-PROD'!C$3:C$42)+1.5*(QUARTILE('1.DATOS-PROD'!C$3:C$42,3)-AVERAGE('1.DATOS-PROD'!C$3:C$42)),5*1,5*('1.DATOS-PROD'!C15-MIN('1.DATOS-PROD'!C$3:C$42))/(MAX('1.DATOS-PROD'!C$3:C$42)-MIN('1.DATOS-PROD'!C$3:C$42))))</f>
        <v>3</v>
      </c>
      <c r="G20" s="56">
        <f>IF('1.DATOS-PROD'!D15&lt;AVERAGE('1.DATOS-PROD'!D$3:D$42)-1.5*(AVERAGE('1.DATOS-PROD'!D$3:D$42)-QUARTILE('1.DATOS-PROD'!D$3:D$42,1)),5*0,IF('1.DATOS-PROD'!D15&gt;AVERAGE('1.DATOS-PROD'!D$3:D$42)+1.5*(QUARTILE('1.DATOS-PROD'!D$3:D$42,3)-AVERAGE('1.DATOS-PROD'!D$3:D$42)),5*1,5*('1.DATOS-PROD'!D15-MIN('1.DATOS-PROD'!D$3:D$42))/(MAX('1.DATOS-PROD'!D$3:D$42)-MIN('1.DATOS-PROD'!D$3:D$42))))</f>
        <v>3.5</v>
      </c>
      <c r="H20" s="56">
        <f>IF('1.DATOS-PROD'!E15&lt;AVERAGE('1.DATOS-PROD'!E$3:E$42)-1.5*(AVERAGE('1.DATOS-PROD'!E$3:E$42)-QUARTILE('1.DATOS-PROD'!E$3:E$42,1)),5*0,IF('1.DATOS-PROD'!E15&gt;AVERAGE('1.DATOS-PROD'!E$3:E$42)+1.5*(QUARTILE('1.DATOS-PROD'!E$3:E$42,3)-AVERAGE('1.DATOS-PROD'!E$3:E$42)),5*1,5*('1.DATOS-PROD'!E15-MIN('1.DATOS-PROD'!E$3:E$42))/(MAX('1.DATOS-PROD'!E$3:E$42)-MIN('1.DATOS-PROD'!E$3:E$42))))</f>
        <v>0</v>
      </c>
      <c r="I20" s="142">
        <f>IF(A20&lt;&gt;0,'1.DATOS-PROD'!F15+'1.DATOS-PROD'!G15,"")</f>
        <v>26</v>
      </c>
      <c r="J20" s="143">
        <f t="shared" si="0"/>
        <v>4.7727272727272725</v>
      </c>
      <c r="K20" s="142">
        <f>IF('1.DATOS-PROD'!H15="SI",5,0)</f>
        <v>0</v>
      </c>
      <c r="L20" s="50">
        <f>'1.DATOS-PROD'!I15</f>
        <v>4</v>
      </c>
      <c r="M20" s="47">
        <f t="shared" si="1"/>
        <v>2.8662659489633171</v>
      </c>
      <c r="N20" s="141">
        <f t="shared" si="2"/>
        <v>2.6502083686172027</v>
      </c>
    </row>
    <row r="21" spans="1:14" x14ac:dyDescent="0.25">
      <c r="A21" t="str">
        <f>'0.Consolidado general'!$A16</f>
        <v>E001012021002</v>
      </c>
      <c r="B21" s="143">
        <f>5-(IF('1.PUNTOS-FIN'!B15&lt;AVERAGE('1.PUNTOS-FIN'!B$2:B$41)-1.5*(AVERAGE('1.PUNTOS-FIN'!B$2:B$41)-QUARTILE('1.PUNTOS-FIN'!B$2:B$41,1)),5*0,IF('1.PUNTOS-FIN'!B15&gt;AVERAGE('1.PUNTOS-FIN'!B$2:B$41)+1.5*(QUARTILE('1.PUNTOS-FIN'!B$2:B$41,3)-AVERAGE('1.PUNTOS-FIN'!B$2:B$41)),5*1,5*('1.PUNTOS-FIN'!B15-MIN('1.PUNTOS-FIN'!B$2:B$41))/(MAX('1.PUNTOS-FIN'!B$2:B$41)-MIN('1.PUNTOS-FIN'!B$2:B$41)))))</f>
        <v>5</v>
      </c>
      <c r="C21" s="143">
        <f>5-(IF('1.PUNTOS-FIN'!C15&lt;AVERAGE('1.PUNTOS-FIN'!C$2:C$41)-1.5*(AVERAGE('1.PUNTOS-FIN'!C$2:C$41)-QUARTILE('1.PUNTOS-FIN'!C$2:C$41,1)),5*0,IF('1.PUNTOS-FIN'!C15&gt;AVERAGE('1.PUNTOS-FIN'!C$2:C$41)+1.5*(QUARTILE('1.PUNTOS-FIN'!C$2:C$41,3)-AVERAGE('1.PUNTOS-FIN'!C$2:C$41)),5*1,5*('1.PUNTOS-FIN'!C15-MIN('1.PUNTOS-FIN'!C$2:C$41))/(MAX('1.PUNTOS-FIN'!C$2:C$41)-MIN('1.PUNTOS-FIN'!C$2:C$41)))))</f>
        <v>0</v>
      </c>
      <c r="D21" s="143">
        <f>5-(IF('1.PUNTOS-FIN'!D15&lt;AVERAGE('1.PUNTOS-FIN'!D$2:D$41)-1.5*(AVERAGE('1.PUNTOS-FIN'!D$2:D$41)-QUARTILE('1.PUNTOS-FIN'!D$2:D$41,1)),5*0,IF('1.PUNTOS-FIN'!D15&gt;AVERAGE('1.PUNTOS-FIN'!D$2:D$41)+1.5*(QUARTILE('1.PUNTOS-FIN'!D$2:D$41,3)-AVERAGE('1.PUNTOS-FIN'!D$2:D$41)),5*1,5*('1.PUNTOS-FIN'!D15-MIN('1.PUNTOS-FIN'!D$2:D$41))/(MAX('1.PUNTOS-FIN'!D$2:D$41)-MIN('1.PUNTOS-FIN'!D$2:D$41)))))</f>
        <v>0.58823529411764675</v>
      </c>
      <c r="E21" s="56">
        <f>IF('1.DATOS-PROD'!B16&lt;AVERAGE('1.DATOS-PROD'!B$3:B$42)-1.5*(AVERAGE('1.DATOS-PROD'!B$3:B$42)-QUARTILE('1.DATOS-PROD'!B$3:B$42,1)),5*0,IF('1.DATOS-PROD'!B16&gt;AVERAGE('1.DATOS-PROD'!B$3:B$42)+1.5*(QUARTILE('1.DATOS-PROD'!B$3:B$42,3)-AVERAGE('1.DATOS-PROD'!B$3:B$42)),5*1,5*('1.DATOS-PROD'!B16-MIN('1.DATOS-PROD'!B$3:B$42))/(MAX('1.DATOS-PROD'!B$3:B$42)-MIN('1.DATOS-PROD'!B$3:B$42))))</f>
        <v>4.7368421052631575</v>
      </c>
      <c r="F21" s="56">
        <f>IF('1.DATOS-PROD'!C16&lt;AVERAGE('1.DATOS-PROD'!C$3:C$42)-1.5*(AVERAGE('1.DATOS-PROD'!C$3:C$42)-QUARTILE('1.DATOS-PROD'!C$3:C$42,1)),5*0,IF('1.DATOS-PROD'!C16&gt;AVERAGE('1.DATOS-PROD'!C$3:C$42)+1.5*(QUARTILE('1.DATOS-PROD'!C$3:C$42,3)-AVERAGE('1.DATOS-PROD'!C$3:C$42)),5*1,5*('1.DATOS-PROD'!C16-MIN('1.DATOS-PROD'!C$3:C$42))/(MAX('1.DATOS-PROD'!C$3:C$42)-MIN('1.DATOS-PROD'!C$3:C$42))))</f>
        <v>4</v>
      </c>
      <c r="G21" s="56">
        <f>IF('1.DATOS-PROD'!D16&lt;AVERAGE('1.DATOS-PROD'!D$3:D$42)-1.5*(AVERAGE('1.DATOS-PROD'!D$3:D$42)-QUARTILE('1.DATOS-PROD'!D$3:D$42,1)),5*0,IF('1.DATOS-PROD'!D16&gt;AVERAGE('1.DATOS-PROD'!D$3:D$42)+1.5*(QUARTILE('1.DATOS-PROD'!D$3:D$42,3)-AVERAGE('1.DATOS-PROD'!D$3:D$42)),5*1,5*('1.DATOS-PROD'!D16-MIN('1.DATOS-PROD'!D$3:D$42))/(MAX('1.DATOS-PROD'!D$3:D$42)-MIN('1.DATOS-PROD'!D$3:D$42))))</f>
        <v>5</v>
      </c>
      <c r="H21" s="56">
        <f>IF('1.DATOS-PROD'!E16&lt;AVERAGE('1.DATOS-PROD'!E$3:E$42)-1.5*(AVERAGE('1.DATOS-PROD'!E$3:E$42)-QUARTILE('1.DATOS-PROD'!E$3:E$42,1)),5*0,IF('1.DATOS-PROD'!E16&gt;AVERAGE('1.DATOS-PROD'!E$3:E$42)+1.5*(QUARTILE('1.DATOS-PROD'!E$3:E$42,3)-AVERAGE('1.DATOS-PROD'!E$3:E$42)),5*1,5*('1.DATOS-PROD'!E16-MIN('1.DATOS-PROD'!E$3:E$42))/(MAX('1.DATOS-PROD'!E$3:E$42)-MIN('1.DATOS-PROD'!E$3:E$42))))</f>
        <v>1.6666666666666667</v>
      </c>
      <c r="I21" s="142">
        <f>IF(A21&lt;&gt;0,'1.DATOS-PROD'!F16+'1.DATOS-PROD'!G16,"")</f>
        <v>13</v>
      </c>
      <c r="J21" s="143">
        <f t="shared" si="0"/>
        <v>2.2272727272727271</v>
      </c>
      <c r="K21" s="142">
        <f>IF('1.DATOS-PROD'!H16="SI",5,0)</f>
        <v>5</v>
      </c>
      <c r="L21" s="50">
        <f>'1.DATOS-PROD'!I16</f>
        <v>2</v>
      </c>
      <c r="M21" s="47">
        <f t="shared" si="1"/>
        <v>3.6246770334928224</v>
      </c>
      <c r="N21" s="141">
        <f t="shared" si="2"/>
        <v>4.3193467343297929</v>
      </c>
    </row>
    <row r="22" spans="1:14" x14ac:dyDescent="0.25">
      <c r="A22">
        <f>'0.Consolidado general'!$A17</f>
        <v>0</v>
      </c>
      <c r="B22" s="143">
        <f>5-(IF('1.PUNTOS-FIN'!B16&lt;AVERAGE('1.PUNTOS-FIN'!B$2:B$41)-1.5*(AVERAGE('1.PUNTOS-FIN'!B$2:B$41)-QUARTILE('1.PUNTOS-FIN'!B$2:B$41,1)),5*0,IF('1.PUNTOS-FIN'!B16&gt;AVERAGE('1.PUNTOS-FIN'!B$2:B$41)+1.5*(QUARTILE('1.PUNTOS-FIN'!B$2:B$41,3)-AVERAGE('1.PUNTOS-FIN'!B$2:B$41)),5*1,5*('1.PUNTOS-FIN'!B16-MIN('1.PUNTOS-FIN'!B$2:B$41))/(MAX('1.PUNTOS-FIN'!B$2:B$41)-MIN('1.PUNTOS-FIN'!B$2:B$41)))))</f>
        <v>0</v>
      </c>
      <c r="C22" s="143">
        <f>5-(IF('1.PUNTOS-FIN'!C16&lt;AVERAGE('1.PUNTOS-FIN'!C$2:C$41)-1.5*(AVERAGE('1.PUNTOS-FIN'!C$2:C$41)-QUARTILE('1.PUNTOS-FIN'!C$2:C$41,1)),5*0,IF('1.PUNTOS-FIN'!C16&gt;AVERAGE('1.PUNTOS-FIN'!C$2:C$41)+1.5*(QUARTILE('1.PUNTOS-FIN'!C$2:C$41,3)-AVERAGE('1.PUNTOS-FIN'!C$2:C$41)),5*1,5*('1.PUNTOS-FIN'!C16-MIN('1.PUNTOS-FIN'!C$2:C$41))/(MAX('1.PUNTOS-FIN'!C$2:C$41)-MIN('1.PUNTOS-FIN'!C$2:C$41)))))</f>
        <v>0</v>
      </c>
      <c r="D22" s="143">
        <f>5-(IF('1.PUNTOS-FIN'!D16&lt;AVERAGE('1.PUNTOS-FIN'!D$2:D$41)-1.5*(AVERAGE('1.PUNTOS-FIN'!D$2:D$41)-QUARTILE('1.PUNTOS-FIN'!D$2:D$41,1)),5*0,IF('1.PUNTOS-FIN'!D16&gt;AVERAGE('1.PUNTOS-FIN'!D$2:D$41)+1.5*(QUARTILE('1.PUNTOS-FIN'!D$2:D$41,3)-AVERAGE('1.PUNTOS-FIN'!D$2:D$41)),5*1,5*('1.PUNTOS-FIN'!D16-MIN('1.PUNTOS-FIN'!D$2:D$41))/(MAX('1.PUNTOS-FIN'!D$2:D$41)-MIN('1.PUNTOS-FIN'!D$2:D$41)))))</f>
        <v>0</v>
      </c>
      <c r="E22" s="56">
        <f>IF('1.DATOS-PROD'!B17&lt;AVERAGE('1.DATOS-PROD'!B$3:B$42)-1.5*(AVERAGE('1.DATOS-PROD'!B$3:B$42)-QUARTILE('1.DATOS-PROD'!B$3:B$42,1)),5*0,IF('1.DATOS-PROD'!B17&gt;AVERAGE('1.DATOS-PROD'!B$3:B$42)+1.5*(QUARTILE('1.DATOS-PROD'!B$3:B$42,3)-AVERAGE('1.DATOS-PROD'!B$3:B$42)),5*1,5*('1.DATOS-PROD'!B17-MIN('1.DATOS-PROD'!B$3:B$42))/(MAX('1.DATOS-PROD'!B$3:B$42)-MIN('1.DATOS-PROD'!B$3:B$42))))</f>
        <v>5</v>
      </c>
      <c r="F22" s="56">
        <f>IF('1.DATOS-PROD'!C17&lt;AVERAGE('1.DATOS-PROD'!C$3:C$42)-1.5*(AVERAGE('1.DATOS-PROD'!C$3:C$42)-QUARTILE('1.DATOS-PROD'!C$3:C$42,1)),5*0,IF('1.DATOS-PROD'!C17&gt;AVERAGE('1.DATOS-PROD'!C$3:C$42)+1.5*(QUARTILE('1.DATOS-PROD'!C$3:C$42,3)-AVERAGE('1.DATOS-PROD'!C$3:C$42)),5*1,5*('1.DATOS-PROD'!C17-MIN('1.DATOS-PROD'!C$3:C$42))/(MAX('1.DATOS-PROD'!C$3:C$42)-MIN('1.DATOS-PROD'!C$3:C$42))))</f>
        <v>5</v>
      </c>
      <c r="G22" s="56">
        <f>IF('1.DATOS-PROD'!D17&lt;AVERAGE('1.DATOS-PROD'!D$3:D$42)-1.5*(AVERAGE('1.DATOS-PROD'!D$3:D$42)-QUARTILE('1.DATOS-PROD'!D$3:D$42,1)),5*0,IF('1.DATOS-PROD'!D17&gt;AVERAGE('1.DATOS-PROD'!D$3:D$42)+1.5*(QUARTILE('1.DATOS-PROD'!D$3:D$42,3)-AVERAGE('1.DATOS-PROD'!D$3:D$42)),5*1,5*('1.DATOS-PROD'!D17-MIN('1.DATOS-PROD'!D$3:D$42))/(MAX('1.DATOS-PROD'!D$3:D$42)-MIN('1.DATOS-PROD'!D$3:D$42))))</f>
        <v>5</v>
      </c>
      <c r="H22" s="56">
        <f>IF('1.DATOS-PROD'!E17&lt;AVERAGE('1.DATOS-PROD'!E$3:E$42)-1.5*(AVERAGE('1.DATOS-PROD'!E$3:E$42)-QUARTILE('1.DATOS-PROD'!E$3:E$42,1)),5*0,IF('1.DATOS-PROD'!E17&gt;AVERAGE('1.DATOS-PROD'!E$3:E$42)+1.5*(QUARTILE('1.DATOS-PROD'!E$3:E$42,3)-AVERAGE('1.DATOS-PROD'!E$3:E$42)),5*1,5*('1.DATOS-PROD'!E17-MIN('1.DATOS-PROD'!E$3:E$42))/(MAX('1.DATOS-PROD'!E$3:E$42)-MIN('1.DATOS-PROD'!E$3:E$42))))</f>
        <v>5</v>
      </c>
      <c r="I22" s="142" t="str">
        <f>IF(A22&lt;&gt;0,'1.DATOS-PROD'!F17+'1.DATOS-PROD'!G17,"")</f>
        <v/>
      </c>
      <c r="J22" s="143">
        <f t="shared" si="0"/>
        <v>4.7727272727272725</v>
      </c>
      <c r="K22" s="142">
        <f>IF('1.DATOS-PROD'!H17="SI",5,0)</f>
        <v>0</v>
      </c>
      <c r="L22" s="50" t="str">
        <f>'1.DATOS-PROD'!I17</f>
        <v/>
      </c>
      <c r="M22" s="47" t="str">
        <f t="shared" si="1"/>
        <v/>
      </c>
      <c r="N22" s="141" t="e">
        <f t="shared" si="2"/>
        <v>#VALUE!</v>
      </c>
    </row>
    <row r="23" spans="1:14" x14ac:dyDescent="0.25">
      <c r="A23">
        <f>'0.Consolidado general'!$A18</f>
        <v>0</v>
      </c>
      <c r="B23" s="143">
        <f>5-(IF('1.PUNTOS-FIN'!B17&lt;AVERAGE('1.PUNTOS-FIN'!B$2:B$41)-1.5*(AVERAGE('1.PUNTOS-FIN'!B$2:B$41)-QUARTILE('1.PUNTOS-FIN'!B$2:B$41,1)),5*0,IF('1.PUNTOS-FIN'!B17&gt;AVERAGE('1.PUNTOS-FIN'!B$2:B$41)+1.5*(QUARTILE('1.PUNTOS-FIN'!B$2:B$41,3)-AVERAGE('1.PUNTOS-FIN'!B$2:B$41)),5*1,5*('1.PUNTOS-FIN'!B17-MIN('1.PUNTOS-FIN'!B$2:B$41))/(MAX('1.PUNTOS-FIN'!B$2:B$41)-MIN('1.PUNTOS-FIN'!B$2:B$41)))))</f>
        <v>0</v>
      </c>
      <c r="C23" s="143">
        <f>5-(IF('1.PUNTOS-FIN'!C17&lt;AVERAGE('1.PUNTOS-FIN'!C$2:C$41)-1.5*(AVERAGE('1.PUNTOS-FIN'!C$2:C$41)-QUARTILE('1.PUNTOS-FIN'!C$2:C$41,1)),5*0,IF('1.PUNTOS-FIN'!C17&gt;AVERAGE('1.PUNTOS-FIN'!C$2:C$41)+1.5*(QUARTILE('1.PUNTOS-FIN'!C$2:C$41,3)-AVERAGE('1.PUNTOS-FIN'!C$2:C$41)),5*1,5*('1.PUNTOS-FIN'!C17-MIN('1.PUNTOS-FIN'!C$2:C$41))/(MAX('1.PUNTOS-FIN'!C$2:C$41)-MIN('1.PUNTOS-FIN'!C$2:C$41)))))</f>
        <v>0</v>
      </c>
      <c r="D23" s="143">
        <f>5-(IF('1.PUNTOS-FIN'!D17&lt;AVERAGE('1.PUNTOS-FIN'!D$2:D$41)-1.5*(AVERAGE('1.PUNTOS-FIN'!D$2:D$41)-QUARTILE('1.PUNTOS-FIN'!D$2:D$41,1)),5*0,IF('1.PUNTOS-FIN'!D17&gt;AVERAGE('1.PUNTOS-FIN'!D$2:D$41)+1.5*(QUARTILE('1.PUNTOS-FIN'!D$2:D$41,3)-AVERAGE('1.PUNTOS-FIN'!D$2:D$41)),5*1,5*('1.PUNTOS-FIN'!D17-MIN('1.PUNTOS-FIN'!D$2:D$41))/(MAX('1.PUNTOS-FIN'!D$2:D$41)-MIN('1.PUNTOS-FIN'!D$2:D$41)))))</f>
        <v>0</v>
      </c>
      <c r="E23" s="56">
        <f>IF('1.DATOS-PROD'!B18&lt;AVERAGE('1.DATOS-PROD'!B$3:B$42)-1.5*(AVERAGE('1.DATOS-PROD'!B$3:B$42)-QUARTILE('1.DATOS-PROD'!B$3:B$42,1)),5*0,IF('1.DATOS-PROD'!B18&gt;AVERAGE('1.DATOS-PROD'!B$3:B$42)+1.5*(QUARTILE('1.DATOS-PROD'!B$3:B$42,3)-AVERAGE('1.DATOS-PROD'!B$3:B$42)),5*1,5*('1.DATOS-PROD'!B18-MIN('1.DATOS-PROD'!B$3:B$42))/(MAX('1.DATOS-PROD'!B$3:B$42)-MIN('1.DATOS-PROD'!B$3:B$42))))</f>
        <v>5</v>
      </c>
      <c r="F23" s="56">
        <f>IF('1.DATOS-PROD'!C18&lt;AVERAGE('1.DATOS-PROD'!C$3:C$42)-1.5*(AVERAGE('1.DATOS-PROD'!C$3:C$42)-QUARTILE('1.DATOS-PROD'!C$3:C$42,1)),5*0,IF('1.DATOS-PROD'!C18&gt;AVERAGE('1.DATOS-PROD'!C$3:C$42)+1.5*(QUARTILE('1.DATOS-PROD'!C$3:C$42,3)-AVERAGE('1.DATOS-PROD'!C$3:C$42)),5*1,5*('1.DATOS-PROD'!C18-MIN('1.DATOS-PROD'!C$3:C$42))/(MAX('1.DATOS-PROD'!C$3:C$42)-MIN('1.DATOS-PROD'!C$3:C$42))))</f>
        <v>5</v>
      </c>
      <c r="G23" s="56">
        <f>IF('1.DATOS-PROD'!D18&lt;AVERAGE('1.DATOS-PROD'!D$3:D$42)-1.5*(AVERAGE('1.DATOS-PROD'!D$3:D$42)-QUARTILE('1.DATOS-PROD'!D$3:D$42,1)),5*0,IF('1.DATOS-PROD'!D18&gt;AVERAGE('1.DATOS-PROD'!D$3:D$42)+1.5*(QUARTILE('1.DATOS-PROD'!D$3:D$42,3)-AVERAGE('1.DATOS-PROD'!D$3:D$42)),5*1,5*('1.DATOS-PROD'!D18-MIN('1.DATOS-PROD'!D$3:D$42))/(MAX('1.DATOS-PROD'!D$3:D$42)-MIN('1.DATOS-PROD'!D$3:D$42))))</f>
        <v>5</v>
      </c>
      <c r="H23" s="56">
        <f>IF('1.DATOS-PROD'!E18&lt;AVERAGE('1.DATOS-PROD'!E$3:E$42)-1.5*(AVERAGE('1.DATOS-PROD'!E$3:E$42)-QUARTILE('1.DATOS-PROD'!E$3:E$42,1)),5*0,IF('1.DATOS-PROD'!E18&gt;AVERAGE('1.DATOS-PROD'!E$3:E$42)+1.5*(QUARTILE('1.DATOS-PROD'!E$3:E$42,3)-AVERAGE('1.DATOS-PROD'!E$3:E$42)),5*1,5*('1.DATOS-PROD'!E18-MIN('1.DATOS-PROD'!E$3:E$42))/(MAX('1.DATOS-PROD'!E$3:E$42)-MIN('1.DATOS-PROD'!E$3:E$42))))</f>
        <v>5</v>
      </c>
      <c r="I23" s="142" t="str">
        <f>IF(A23&lt;&gt;0,'1.DATOS-PROD'!F18+'1.DATOS-PROD'!G18,"")</f>
        <v/>
      </c>
      <c r="J23" s="143">
        <f t="shared" si="0"/>
        <v>4.7727272727272725</v>
      </c>
      <c r="K23" s="142">
        <f>IF('1.DATOS-PROD'!H18="SI",5,0)</f>
        <v>0</v>
      </c>
      <c r="L23" s="50" t="str">
        <f>'1.DATOS-PROD'!I18</f>
        <v/>
      </c>
      <c r="M23" s="47" t="str">
        <f t="shared" si="1"/>
        <v/>
      </c>
      <c r="N23" s="141" t="e">
        <f t="shared" si="2"/>
        <v>#VALUE!</v>
      </c>
    </row>
    <row r="24" spans="1:14" x14ac:dyDescent="0.25">
      <c r="A24">
        <f>'0.Consolidado general'!$A19</f>
        <v>0</v>
      </c>
      <c r="B24" s="143">
        <f>5-(IF('1.PUNTOS-FIN'!B18&lt;AVERAGE('1.PUNTOS-FIN'!B$2:B$41)-1.5*(AVERAGE('1.PUNTOS-FIN'!B$2:B$41)-QUARTILE('1.PUNTOS-FIN'!B$2:B$41,1)),5*0,IF('1.PUNTOS-FIN'!B18&gt;AVERAGE('1.PUNTOS-FIN'!B$2:B$41)+1.5*(QUARTILE('1.PUNTOS-FIN'!B$2:B$41,3)-AVERAGE('1.PUNTOS-FIN'!B$2:B$41)),5*1,5*('1.PUNTOS-FIN'!B18-MIN('1.PUNTOS-FIN'!B$2:B$41))/(MAX('1.PUNTOS-FIN'!B$2:B$41)-MIN('1.PUNTOS-FIN'!B$2:B$41)))))</f>
        <v>0</v>
      </c>
      <c r="C24" s="143">
        <f>5-(IF('1.PUNTOS-FIN'!C18&lt;AVERAGE('1.PUNTOS-FIN'!C$2:C$41)-1.5*(AVERAGE('1.PUNTOS-FIN'!C$2:C$41)-QUARTILE('1.PUNTOS-FIN'!C$2:C$41,1)),5*0,IF('1.PUNTOS-FIN'!C18&gt;AVERAGE('1.PUNTOS-FIN'!C$2:C$41)+1.5*(QUARTILE('1.PUNTOS-FIN'!C$2:C$41,3)-AVERAGE('1.PUNTOS-FIN'!C$2:C$41)),5*1,5*('1.PUNTOS-FIN'!C18-MIN('1.PUNTOS-FIN'!C$2:C$41))/(MAX('1.PUNTOS-FIN'!C$2:C$41)-MIN('1.PUNTOS-FIN'!C$2:C$41)))))</f>
        <v>0</v>
      </c>
      <c r="D24" s="143">
        <f>5-(IF('1.PUNTOS-FIN'!D18&lt;AVERAGE('1.PUNTOS-FIN'!D$2:D$41)-1.5*(AVERAGE('1.PUNTOS-FIN'!D$2:D$41)-QUARTILE('1.PUNTOS-FIN'!D$2:D$41,1)),5*0,IF('1.PUNTOS-FIN'!D18&gt;AVERAGE('1.PUNTOS-FIN'!D$2:D$41)+1.5*(QUARTILE('1.PUNTOS-FIN'!D$2:D$41,3)-AVERAGE('1.PUNTOS-FIN'!D$2:D$41)),5*1,5*('1.PUNTOS-FIN'!D18-MIN('1.PUNTOS-FIN'!D$2:D$41))/(MAX('1.PUNTOS-FIN'!D$2:D$41)-MIN('1.PUNTOS-FIN'!D$2:D$41)))))</f>
        <v>0</v>
      </c>
      <c r="E24" s="56">
        <f>IF('1.DATOS-PROD'!B19&lt;AVERAGE('1.DATOS-PROD'!B$3:B$42)-1.5*(AVERAGE('1.DATOS-PROD'!B$3:B$42)-QUARTILE('1.DATOS-PROD'!B$3:B$42,1)),5*0,IF('1.DATOS-PROD'!B19&gt;AVERAGE('1.DATOS-PROD'!B$3:B$42)+1.5*(QUARTILE('1.DATOS-PROD'!B$3:B$42,3)-AVERAGE('1.DATOS-PROD'!B$3:B$42)),5*1,5*('1.DATOS-PROD'!B19-MIN('1.DATOS-PROD'!B$3:B$42))/(MAX('1.DATOS-PROD'!B$3:B$42)-MIN('1.DATOS-PROD'!B$3:B$42))))</f>
        <v>5</v>
      </c>
      <c r="F24" s="56">
        <f>IF('1.DATOS-PROD'!C19&lt;AVERAGE('1.DATOS-PROD'!C$3:C$42)-1.5*(AVERAGE('1.DATOS-PROD'!C$3:C$42)-QUARTILE('1.DATOS-PROD'!C$3:C$42,1)),5*0,IF('1.DATOS-PROD'!C19&gt;AVERAGE('1.DATOS-PROD'!C$3:C$42)+1.5*(QUARTILE('1.DATOS-PROD'!C$3:C$42,3)-AVERAGE('1.DATOS-PROD'!C$3:C$42)),5*1,5*('1.DATOS-PROD'!C19-MIN('1.DATOS-PROD'!C$3:C$42))/(MAX('1.DATOS-PROD'!C$3:C$42)-MIN('1.DATOS-PROD'!C$3:C$42))))</f>
        <v>5</v>
      </c>
      <c r="G24" s="56">
        <f>IF('1.DATOS-PROD'!D19&lt;AVERAGE('1.DATOS-PROD'!D$3:D$42)-1.5*(AVERAGE('1.DATOS-PROD'!D$3:D$42)-QUARTILE('1.DATOS-PROD'!D$3:D$42,1)),5*0,IF('1.DATOS-PROD'!D19&gt;AVERAGE('1.DATOS-PROD'!D$3:D$42)+1.5*(QUARTILE('1.DATOS-PROD'!D$3:D$42,3)-AVERAGE('1.DATOS-PROD'!D$3:D$42)),5*1,5*('1.DATOS-PROD'!D19-MIN('1.DATOS-PROD'!D$3:D$42))/(MAX('1.DATOS-PROD'!D$3:D$42)-MIN('1.DATOS-PROD'!D$3:D$42))))</f>
        <v>5</v>
      </c>
      <c r="H24" s="56">
        <f>IF('1.DATOS-PROD'!E19&lt;AVERAGE('1.DATOS-PROD'!E$3:E$42)-1.5*(AVERAGE('1.DATOS-PROD'!E$3:E$42)-QUARTILE('1.DATOS-PROD'!E$3:E$42,1)),5*0,IF('1.DATOS-PROD'!E19&gt;AVERAGE('1.DATOS-PROD'!E$3:E$42)+1.5*(QUARTILE('1.DATOS-PROD'!E$3:E$42,3)-AVERAGE('1.DATOS-PROD'!E$3:E$42)),5*1,5*('1.DATOS-PROD'!E19-MIN('1.DATOS-PROD'!E$3:E$42))/(MAX('1.DATOS-PROD'!E$3:E$42)-MIN('1.DATOS-PROD'!E$3:E$42))))</f>
        <v>5</v>
      </c>
      <c r="I24" s="142" t="str">
        <f>IF(A24&lt;&gt;0,'1.DATOS-PROD'!F19+'1.DATOS-PROD'!G19,"")</f>
        <v/>
      </c>
      <c r="J24" s="143">
        <f t="shared" si="0"/>
        <v>4.7727272727272725</v>
      </c>
      <c r="K24" s="142">
        <f>IF('1.DATOS-PROD'!H19="SI",5,0)</f>
        <v>0</v>
      </c>
      <c r="L24" s="50" t="str">
        <f>'1.DATOS-PROD'!I19</f>
        <v/>
      </c>
      <c r="M24" s="47" t="str">
        <f t="shared" si="1"/>
        <v/>
      </c>
      <c r="N24" s="141" t="e">
        <f t="shared" si="2"/>
        <v>#VALUE!</v>
      </c>
    </row>
    <row r="25" spans="1:14" x14ac:dyDescent="0.25">
      <c r="A25">
        <f>'0.Consolidado general'!$A20</f>
        <v>0</v>
      </c>
      <c r="B25" s="143">
        <f>5-(IF('1.PUNTOS-FIN'!B19&lt;AVERAGE('1.PUNTOS-FIN'!B$2:B$41)-1.5*(AVERAGE('1.PUNTOS-FIN'!B$2:B$41)-QUARTILE('1.PUNTOS-FIN'!B$2:B$41,1)),5*0,IF('1.PUNTOS-FIN'!B19&gt;AVERAGE('1.PUNTOS-FIN'!B$2:B$41)+1.5*(QUARTILE('1.PUNTOS-FIN'!B$2:B$41,3)-AVERAGE('1.PUNTOS-FIN'!B$2:B$41)),5*1,5*('1.PUNTOS-FIN'!B19-MIN('1.PUNTOS-FIN'!B$2:B$41))/(MAX('1.PUNTOS-FIN'!B$2:B$41)-MIN('1.PUNTOS-FIN'!B$2:B$41)))))</f>
        <v>0</v>
      </c>
      <c r="C25" s="143">
        <f>5-(IF('1.PUNTOS-FIN'!C19&lt;AVERAGE('1.PUNTOS-FIN'!C$2:C$41)-1.5*(AVERAGE('1.PUNTOS-FIN'!C$2:C$41)-QUARTILE('1.PUNTOS-FIN'!C$2:C$41,1)),5*0,IF('1.PUNTOS-FIN'!C19&gt;AVERAGE('1.PUNTOS-FIN'!C$2:C$41)+1.5*(QUARTILE('1.PUNTOS-FIN'!C$2:C$41,3)-AVERAGE('1.PUNTOS-FIN'!C$2:C$41)),5*1,5*('1.PUNTOS-FIN'!C19-MIN('1.PUNTOS-FIN'!C$2:C$41))/(MAX('1.PUNTOS-FIN'!C$2:C$41)-MIN('1.PUNTOS-FIN'!C$2:C$41)))))</f>
        <v>0</v>
      </c>
      <c r="D25" s="143">
        <f>5-(IF('1.PUNTOS-FIN'!D19&lt;AVERAGE('1.PUNTOS-FIN'!D$2:D$41)-1.5*(AVERAGE('1.PUNTOS-FIN'!D$2:D$41)-QUARTILE('1.PUNTOS-FIN'!D$2:D$41,1)),5*0,IF('1.PUNTOS-FIN'!D19&gt;AVERAGE('1.PUNTOS-FIN'!D$2:D$41)+1.5*(QUARTILE('1.PUNTOS-FIN'!D$2:D$41,3)-AVERAGE('1.PUNTOS-FIN'!D$2:D$41)),5*1,5*('1.PUNTOS-FIN'!D19-MIN('1.PUNTOS-FIN'!D$2:D$41))/(MAX('1.PUNTOS-FIN'!D$2:D$41)-MIN('1.PUNTOS-FIN'!D$2:D$41)))))</f>
        <v>0</v>
      </c>
      <c r="E25" s="56">
        <f>IF('1.DATOS-PROD'!B20&lt;AVERAGE('1.DATOS-PROD'!B$3:B$42)-1.5*(AVERAGE('1.DATOS-PROD'!B$3:B$42)-QUARTILE('1.DATOS-PROD'!B$3:B$42,1)),5*0,IF('1.DATOS-PROD'!B20&gt;AVERAGE('1.DATOS-PROD'!B$3:B$42)+1.5*(QUARTILE('1.DATOS-PROD'!B$3:B$42,3)-AVERAGE('1.DATOS-PROD'!B$3:B$42)),5*1,5*('1.DATOS-PROD'!B20-MIN('1.DATOS-PROD'!B$3:B$42))/(MAX('1.DATOS-PROD'!B$3:B$42)-MIN('1.DATOS-PROD'!B$3:B$42))))</f>
        <v>5</v>
      </c>
      <c r="F25" s="56">
        <f>IF('1.DATOS-PROD'!C20&lt;AVERAGE('1.DATOS-PROD'!C$3:C$42)-1.5*(AVERAGE('1.DATOS-PROD'!C$3:C$42)-QUARTILE('1.DATOS-PROD'!C$3:C$42,1)),5*0,IF('1.DATOS-PROD'!C20&gt;AVERAGE('1.DATOS-PROD'!C$3:C$42)+1.5*(QUARTILE('1.DATOS-PROD'!C$3:C$42,3)-AVERAGE('1.DATOS-PROD'!C$3:C$42)),5*1,5*('1.DATOS-PROD'!C20-MIN('1.DATOS-PROD'!C$3:C$42))/(MAX('1.DATOS-PROD'!C$3:C$42)-MIN('1.DATOS-PROD'!C$3:C$42))))</f>
        <v>5</v>
      </c>
      <c r="G25" s="56">
        <f>IF('1.DATOS-PROD'!D20&lt;AVERAGE('1.DATOS-PROD'!D$3:D$42)-1.5*(AVERAGE('1.DATOS-PROD'!D$3:D$42)-QUARTILE('1.DATOS-PROD'!D$3:D$42,1)),5*0,IF('1.DATOS-PROD'!D20&gt;AVERAGE('1.DATOS-PROD'!D$3:D$42)+1.5*(QUARTILE('1.DATOS-PROD'!D$3:D$42,3)-AVERAGE('1.DATOS-PROD'!D$3:D$42)),5*1,5*('1.DATOS-PROD'!D20-MIN('1.DATOS-PROD'!D$3:D$42))/(MAX('1.DATOS-PROD'!D$3:D$42)-MIN('1.DATOS-PROD'!D$3:D$42))))</f>
        <v>5</v>
      </c>
      <c r="H25" s="56">
        <f>IF('1.DATOS-PROD'!E20&lt;AVERAGE('1.DATOS-PROD'!E$3:E$42)-1.5*(AVERAGE('1.DATOS-PROD'!E$3:E$42)-QUARTILE('1.DATOS-PROD'!E$3:E$42,1)),5*0,IF('1.DATOS-PROD'!E20&gt;AVERAGE('1.DATOS-PROD'!E$3:E$42)+1.5*(QUARTILE('1.DATOS-PROD'!E$3:E$42,3)-AVERAGE('1.DATOS-PROD'!E$3:E$42)),5*1,5*('1.DATOS-PROD'!E20-MIN('1.DATOS-PROD'!E$3:E$42))/(MAX('1.DATOS-PROD'!E$3:E$42)-MIN('1.DATOS-PROD'!E$3:E$42))))</f>
        <v>5</v>
      </c>
      <c r="I25" s="142" t="str">
        <f>IF(A25&lt;&gt;0,'1.DATOS-PROD'!F20+'1.DATOS-PROD'!G20,"")</f>
        <v/>
      </c>
      <c r="J25" s="143">
        <f t="shared" si="0"/>
        <v>4.7727272727272725</v>
      </c>
      <c r="K25" s="142">
        <f>IF('1.DATOS-PROD'!H20="SI",5,0)</f>
        <v>0</v>
      </c>
      <c r="L25" s="50" t="str">
        <f>'1.DATOS-PROD'!I20</f>
        <v/>
      </c>
      <c r="M25" s="47" t="str">
        <f t="shared" si="1"/>
        <v/>
      </c>
      <c r="N25" s="141" t="e">
        <f t="shared" si="2"/>
        <v>#VALUE!</v>
      </c>
    </row>
    <row r="26" spans="1:14" x14ac:dyDescent="0.25">
      <c r="A26">
        <f>'0.Consolidado general'!$A21</f>
        <v>0</v>
      </c>
      <c r="B26" s="143">
        <f>5-(IF('1.PUNTOS-FIN'!B20&lt;AVERAGE('1.PUNTOS-FIN'!B$2:B$41)-1.5*(AVERAGE('1.PUNTOS-FIN'!B$2:B$41)-QUARTILE('1.PUNTOS-FIN'!B$2:B$41,1)),5*0,IF('1.PUNTOS-FIN'!B20&gt;AVERAGE('1.PUNTOS-FIN'!B$2:B$41)+1.5*(QUARTILE('1.PUNTOS-FIN'!B$2:B$41,3)-AVERAGE('1.PUNTOS-FIN'!B$2:B$41)),5*1,5*('1.PUNTOS-FIN'!B20-MIN('1.PUNTOS-FIN'!B$2:B$41))/(MAX('1.PUNTOS-FIN'!B$2:B$41)-MIN('1.PUNTOS-FIN'!B$2:B$41)))))</f>
        <v>0</v>
      </c>
      <c r="C26" s="143">
        <f>5-(IF('1.PUNTOS-FIN'!C20&lt;AVERAGE('1.PUNTOS-FIN'!C$2:C$41)-1.5*(AVERAGE('1.PUNTOS-FIN'!C$2:C$41)-QUARTILE('1.PUNTOS-FIN'!C$2:C$41,1)),5*0,IF('1.PUNTOS-FIN'!C20&gt;AVERAGE('1.PUNTOS-FIN'!C$2:C$41)+1.5*(QUARTILE('1.PUNTOS-FIN'!C$2:C$41,3)-AVERAGE('1.PUNTOS-FIN'!C$2:C$41)),5*1,5*('1.PUNTOS-FIN'!C20-MIN('1.PUNTOS-FIN'!C$2:C$41))/(MAX('1.PUNTOS-FIN'!C$2:C$41)-MIN('1.PUNTOS-FIN'!C$2:C$41)))))</f>
        <v>0</v>
      </c>
      <c r="D26" s="143">
        <f>5-(IF('1.PUNTOS-FIN'!D20&lt;AVERAGE('1.PUNTOS-FIN'!D$2:D$41)-1.5*(AVERAGE('1.PUNTOS-FIN'!D$2:D$41)-QUARTILE('1.PUNTOS-FIN'!D$2:D$41,1)),5*0,IF('1.PUNTOS-FIN'!D20&gt;AVERAGE('1.PUNTOS-FIN'!D$2:D$41)+1.5*(QUARTILE('1.PUNTOS-FIN'!D$2:D$41,3)-AVERAGE('1.PUNTOS-FIN'!D$2:D$41)),5*1,5*('1.PUNTOS-FIN'!D20-MIN('1.PUNTOS-FIN'!D$2:D$41))/(MAX('1.PUNTOS-FIN'!D$2:D$41)-MIN('1.PUNTOS-FIN'!D$2:D$41)))))</f>
        <v>0</v>
      </c>
      <c r="E26" s="56">
        <f>IF('1.DATOS-PROD'!B21&lt;AVERAGE('1.DATOS-PROD'!B$3:B$42)-1.5*(AVERAGE('1.DATOS-PROD'!B$3:B$42)-QUARTILE('1.DATOS-PROD'!B$3:B$42,1)),5*0,IF('1.DATOS-PROD'!B21&gt;AVERAGE('1.DATOS-PROD'!B$3:B$42)+1.5*(QUARTILE('1.DATOS-PROD'!B$3:B$42,3)-AVERAGE('1.DATOS-PROD'!B$3:B$42)),5*1,5*('1.DATOS-PROD'!B21-MIN('1.DATOS-PROD'!B$3:B$42))/(MAX('1.DATOS-PROD'!B$3:B$42)-MIN('1.DATOS-PROD'!B$3:B$42))))</f>
        <v>5</v>
      </c>
      <c r="F26" s="56">
        <f>IF('1.DATOS-PROD'!C21&lt;AVERAGE('1.DATOS-PROD'!C$3:C$42)-1.5*(AVERAGE('1.DATOS-PROD'!C$3:C$42)-QUARTILE('1.DATOS-PROD'!C$3:C$42,1)),5*0,IF('1.DATOS-PROD'!C21&gt;AVERAGE('1.DATOS-PROD'!C$3:C$42)+1.5*(QUARTILE('1.DATOS-PROD'!C$3:C$42,3)-AVERAGE('1.DATOS-PROD'!C$3:C$42)),5*1,5*('1.DATOS-PROD'!C21-MIN('1.DATOS-PROD'!C$3:C$42))/(MAX('1.DATOS-PROD'!C$3:C$42)-MIN('1.DATOS-PROD'!C$3:C$42))))</f>
        <v>5</v>
      </c>
      <c r="G26" s="56">
        <f>IF('1.DATOS-PROD'!D21&lt;AVERAGE('1.DATOS-PROD'!D$3:D$42)-1.5*(AVERAGE('1.DATOS-PROD'!D$3:D$42)-QUARTILE('1.DATOS-PROD'!D$3:D$42,1)),5*0,IF('1.DATOS-PROD'!D21&gt;AVERAGE('1.DATOS-PROD'!D$3:D$42)+1.5*(QUARTILE('1.DATOS-PROD'!D$3:D$42,3)-AVERAGE('1.DATOS-PROD'!D$3:D$42)),5*1,5*('1.DATOS-PROD'!D21-MIN('1.DATOS-PROD'!D$3:D$42))/(MAX('1.DATOS-PROD'!D$3:D$42)-MIN('1.DATOS-PROD'!D$3:D$42))))</f>
        <v>5</v>
      </c>
      <c r="H26" s="56">
        <f>IF('1.DATOS-PROD'!E21&lt;AVERAGE('1.DATOS-PROD'!E$3:E$42)-1.5*(AVERAGE('1.DATOS-PROD'!E$3:E$42)-QUARTILE('1.DATOS-PROD'!E$3:E$42,1)),5*0,IF('1.DATOS-PROD'!E21&gt;AVERAGE('1.DATOS-PROD'!E$3:E$42)+1.5*(QUARTILE('1.DATOS-PROD'!E$3:E$42,3)-AVERAGE('1.DATOS-PROD'!E$3:E$42)),5*1,5*('1.DATOS-PROD'!E21-MIN('1.DATOS-PROD'!E$3:E$42))/(MAX('1.DATOS-PROD'!E$3:E$42)-MIN('1.DATOS-PROD'!E$3:E$42))))</f>
        <v>5</v>
      </c>
      <c r="I26" s="142" t="str">
        <f>IF(A26&lt;&gt;0,'1.DATOS-PROD'!F21+'1.DATOS-PROD'!G21,"")</f>
        <v/>
      </c>
      <c r="J26" s="143">
        <f t="shared" si="0"/>
        <v>4.7727272727272725</v>
      </c>
      <c r="K26" s="142">
        <f>IF('1.DATOS-PROD'!H21="SI",5,0)</f>
        <v>0</v>
      </c>
      <c r="L26" s="50" t="str">
        <f>'1.DATOS-PROD'!I21</f>
        <v/>
      </c>
      <c r="M26" s="47" t="str">
        <f t="shared" si="1"/>
        <v/>
      </c>
      <c r="N26" s="141" t="e">
        <f t="shared" si="2"/>
        <v>#VALUE!</v>
      </c>
    </row>
    <row r="27" spans="1:14" x14ac:dyDescent="0.25">
      <c r="A27">
        <f>'0.Consolidado general'!$A22</f>
        <v>0</v>
      </c>
      <c r="B27" s="143">
        <f>5-(IF('1.PUNTOS-FIN'!B21&lt;AVERAGE('1.PUNTOS-FIN'!B$2:B$41)-1.5*(AVERAGE('1.PUNTOS-FIN'!B$2:B$41)-QUARTILE('1.PUNTOS-FIN'!B$2:B$41,1)),5*0,IF('1.PUNTOS-FIN'!B21&gt;AVERAGE('1.PUNTOS-FIN'!B$2:B$41)+1.5*(QUARTILE('1.PUNTOS-FIN'!B$2:B$41,3)-AVERAGE('1.PUNTOS-FIN'!B$2:B$41)),5*1,5*('1.PUNTOS-FIN'!B21-MIN('1.PUNTOS-FIN'!B$2:B$41))/(MAX('1.PUNTOS-FIN'!B$2:B$41)-MIN('1.PUNTOS-FIN'!B$2:B$41)))))</f>
        <v>0</v>
      </c>
      <c r="C27" s="143">
        <f>5-(IF('1.PUNTOS-FIN'!C21&lt;AVERAGE('1.PUNTOS-FIN'!C$2:C$41)-1.5*(AVERAGE('1.PUNTOS-FIN'!C$2:C$41)-QUARTILE('1.PUNTOS-FIN'!C$2:C$41,1)),5*0,IF('1.PUNTOS-FIN'!C21&gt;AVERAGE('1.PUNTOS-FIN'!C$2:C$41)+1.5*(QUARTILE('1.PUNTOS-FIN'!C$2:C$41,3)-AVERAGE('1.PUNTOS-FIN'!C$2:C$41)),5*1,5*('1.PUNTOS-FIN'!C21-MIN('1.PUNTOS-FIN'!C$2:C$41))/(MAX('1.PUNTOS-FIN'!C$2:C$41)-MIN('1.PUNTOS-FIN'!C$2:C$41)))))</f>
        <v>0</v>
      </c>
      <c r="D27" s="143">
        <f>5-(IF('1.PUNTOS-FIN'!D21&lt;AVERAGE('1.PUNTOS-FIN'!D$2:D$41)-1.5*(AVERAGE('1.PUNTOS-FIN'!D$2:D$41)-QUARTILE('1.PUNTOS-FIN'!D$2:D$41,1)),5*0,IF('1.PUNTOS-FIN'!D21&gt;AVERAGE('1.PUNTOS-FIN'!D$2:D$41)+1.5*(QUARTILE('1.PUNTOS-FIN'!D$2:D$41,3)-AVERAGE('1.PUNTOS-FIN'!D$2:D$41)),5*1,5*('1.PUNTOS-FIN'!D21-MIN('1.PUNTOS-FIN'!D$2:D$41))/(MAX('1.PUNTOS-FIN'!D$2:D$41)-MIN('1.PUNTOS-FIN'!D$2:D$41)))))</f>
        <v>0</v>
      </c>
      <c r="E27" s="56">
        <f>IF('1.DATOS-PROD'!B22&lt;AVERAGE('1.DATOS-PROD'!B$3:B$42)-1.5*(AVERAGE('1.DATOS-PROD'!B$3:B$42)-QUARTILE('1.DATOS-PROD'!B$3:B$42,1)),5*0,IF('1.DATOS-PROD'!B22&gt;AVERAGE('1.DATOS-PROD'!B$3:B$42)+1.5*(QUARTILE('1.DATOS-PROD'!B$3:B$42,3)-AVERAGE('1.DATOS-PROD'!B$3:B$42)),5*1,5*('1.DATOS-PROD'!B22-MIN('1.DATOS-PROD'!B$3:B$42))/(MAX('1.DATOS-PROD'!B$3:B$42)-MIN('1.DATOS-PROD'!B$3:B$42))))</f>
        <v>5</v>
      </c>
      <c r="F27" s="56">
        <f>IF('1.DATOS-PROD'!C22&lt;AVERAGE('1.DATOS-PROD'!C$3:C$42)-1.5*(AVERAGE('1.DATOS-PROD'!C$3:C$42)-QUARTILE('1.DATOS-PROD'!C$3:C$42,1)),5*0,IF('1.DATOS-PROD'!C22&gt;AVERAGE('1.DATOS-PROD'!C$3:C$42)+1.5*(QUARTILE('1.DATOS-PROD'!C$3:C$42,3)-AVERAGE('1.DATOS-PROD'!C$3:C$42)),5*1,5*('1.DATOS-PROD'!C22-MIN('1.DATOS-PROD'!C$3:C$42))/(MAX('1.DATOS-PROD'!C$3:C$42)-MIN('1.DATOS-PROD'!C$3:C$42))))</f>
        <v>5</v>
      </c>
      <c r="G27" s="56">
        <f>IF('1.DATOS-PROD'!D22&lt;AVERAGE('1.DATOS-PROD'!D$3:D$42)-1.5*(AVERAGE('1.DATOS-PROD'!D$3:D$42)-QUARTILE('1.DATOS-PROD'!D$3:D$42,1)),5*0,IF('1.DATOS-PROD'!D22&gt;AVERAGE('1.DATOS-PROD'!D$3:D$42)+1.5*(QUARTILE('1.DATOS-PROD'!D$3:D$42,3)-AVERAGE('1.DATOS-PROD'!D$3:D$42)),5*1,5*('1.DATOS-PROD'!D22-MIN('1.DATOS-PROD'!D$3:D$42))/(MAX('1.DATOS-PROD'!D$3:D$42)-MIN('1.DATOS-PROD'!D$3:D$42))))</f>
        <v>5</v>
      </c>
      <c r="H27" s="56">
        <f>IF('1.DATOS-PROD'!E22&lt;AVERAGE('1.DATOS-PROD'!E$3:E$42)-1.5*(AVERAGE('1.DATOS-PROD'!E$3:E$42)-QUARTILE('1.DATOS-PROD'!E$3:E$42,1)),5*0,IF('1.DATOS-PROD'!E22&gt;AVERAGE('1.DATOS-PROD'!E$3:E$42)+1.5*(QUARTILE('1.DATOS-PROD'!E$3:E$42,3)-AVERAGE('1.DATOS-PROD'!E$3:E$42)),5*1,5*('1.DATOS-PROD'!E22-MIN('1.DATOS-PROD'!E$3:E$42))/(MAX('1.DATOS-PROD'!E$3:E$42)-MIN('1.DATOS-PROD'!E$3:E$42))))</f>
        <v>5</v>
      </c>
      <c r="I27" s="142" t="str">
        <f>IF(A27&lt;&gt;0,'1.DATOS-PROD'!F22+'1.DATOS-PROD'!G22,"")</f>
        <v/>
      </c>
      <c r="J27" s="143">
        <f t="shared" si="0"/>
        <v>4.7727272727272725</v>
      </c>
      <c r="K27" s="142">
        <f>IF('1.DATOS-PROD'!H22="SI",5,0)</f>
        <v>0</v>
      </c>
      <c r="L27" s="50" t="str">
        <f>'1.DATOS-PROD'!I22</f>
        <v/>
      </c>
      <c r="M27" s="47" t="str">
        <f t="shared" si="1"/>
        <v/>
      </c>
      <c r="N27" s="141" t="e">
        <f t="shared" si="2"/>
        <v>#VALUE!</v>
      </c>
    </row>
    <row r="28" spans="1:14" x14ac:dyDescent="0.25">
      <c r="A28">
        <f>'0.Consolidado general'!$A23</f>
        <v>0</v>
      </c>
      <c r="B28" s="143">
        <f>5-(IF('1.PUNTOS-FIN'!B22&lt;AVERAGE('1.PUNTOS-FIN'!B$2:B$41)-1.5*(AVERAGE('1.PUNTOS-FIN'!B$2:B$41)-QUARTILE('1.PUNTOS-FIN'!B$2:B$41,1)),5*0,IF('1.PUNTOS-FIN'!B22&gt;AVERAGE('1.PUNTOS-FIN'!B$2:B$41)+1.5*(QUARTILE('1.PUNTOS-FIN'!B$2:B$41,3)-AVERAGE('1.PUNTOS-FIN'!B$2:B$41)),5*1,5*('1.PUNTOS-FIN'!B22-MIN('1.PUNTOS-FIN'!B$2:B$41))/(MAX('1.PUNTOS-FIN'!B$2:B$41)-MIN('1.PUNTOS-FIN'!B$2:B$41)))))</f>
        <v>0</v>
      </c>
      <c r="C28" s="143">
        <f>5-(IF('1.PUNTOS-FIN'!C22&lt;AVERAGE('1.PUNTOS-FIN'!C$2:C$41)-1.5*(AVERAGE('1.PUNTOS-FIN'!C$2:C$41)-QUARTILE('1.PUNTOS-FIN'!C$2:C$41,1)),5*0,IF('1.PUNTOS-FIN'!C22&gt;AVERAGE('1.PUNTOS-FIN'!C$2:C$41)+1.5*(QUARTILE('1.PUNTOS-FIN'!C$2:C$41,3)-AVERAGE('1.PUNTOS-FIN'!C$2:C$41)),5*1,5*('1.PUNTOS-FIN'!C22-MIN('1.PUNTOS-FIN'!C$2:C$41))/(MAX('1.PUNTOS-FIN'!C$2:C$41)-MIN('1.PUNTOS-FIN'!C$2:C$41)))))</f>
        <v>0</v>
      </c>
      <c r="D28" s="143">
        <f>5-(IF('1.PUNTOS-FIN'!D22&lt;AVERAGE('1.PUNTOS-FIN'!D$2:D$41)-1.5*(AVERAGE('1.PUNTOS-FIN'!D$2:D$41)-QUARTILE('1.PUNTOS-FIN'!D$2:D$41,1)),5*0,IF('1.PUNTOS-FIN'!D22&gt;AVERAGE('1.PUNTOS-FIN'!D$2:D$41)+1.5*(QUARTILE('1.PUNTOS-FIN'!D$2:D$41,3)-AVERAGE('1.PUNTOS-FIN'!D$2:D$41)),5*1,5*('1.PUNTOS-FIN'!D22-MIN('1.PUNTOS-FIN'!D$2:D$41))/(MAX('1.PUNTOS-FIN'!D$2:D$41)-MIN('1.PUNTOS-FIN'!D$2:D$41)))))</f>
        <v>0</v>
      </c>
      <c r="E28" s="56">
        <f>IF('1.DATOS-PROD'!B23&lt;AVERAGE('1.DATOS-PROD'!B$3:B$42)-1.5*(AVERAGE('1.DATOS-PROD'!B$3:B$42)-QUARTILE('1.DATOS-PROD'!B$3:B$42,1)),5*0,IF('1.DATOS-PROD'!B23&gt;AVERAGE('1.DATOS-PROD'!B$3:B$42)+1.5*(QUARTILE('1.DATOS-PROD'!B$3:B$42,3)-AVERAGE('1.DATOS-PROD'!B$3:B$42)),5*1,5*('1.DATOS-PROD'!B23-MIN('1.DATOS-PROD'!B$3:B$42))/(MAX('1.DATOS-PROD'!B$3:B$42)-MIN('1.DATOS-PROD'!B$3:B$42))))</f>
        <v>5</v>
      </c>
      <c r="F28" s="56">
        <f>IF('1.DATOS-PROD'!C23&lt;AVERAGE('1.DATOS-PROD'!C$3:C$42)-1.5*(AVERAGE('1.DATOS-PROD'!C$3:C$42)-QUARTILE('1.DATOS-PROD'!C$3:C$42,1)),5*0,IF('1.DATOS-PROD'!C23&gt;AVERAGE('1.DATOS-PROD'!C$3:C$42)+1.5*(QUARTILE('1.DATOS-PROD'!C$3:C$42,3)-AVERAGE('1.DATOS-PROD'!C$3:C$42)),5*1,5*('1.DATOS-PROD'!C23-MIN('1.DATOS-PROD'!C$3:C$42))/(MAX('1.DATOS-PROD'!C$3:C$42)-MIN('1.DATOS-PROD'!C$3:C$42))))</f>
        <v>5</v>
      </c>
      <c r="G28" s="56">
        <f>IF('1.DATOS-PROD'!D23&lt;AVERAGE('1.DATOS-PROD'!D$3:D$42)-1.5*(AVERAGE('1.DATOS-PROD'!D$3:D$42)-QUARTILE('1.DATOS-PROD'!D$3:D$42,1)),5*0,IF('1.DATOS-PROD'!D23&gt;AVERAGE('1.DATOS-PROD'!D$3:D$42)+1.5*(QUARTILE('1.DATOS-PROD'!D$3:D$42,3)-AVERAGE('1.DATOS-PROD'!D$3:D$42)),5*1,5*('1.DATOS-PROD'!D23-MIN('1.DATOS-PROD'!D$3:D$42))/(MAX('1.DATOS-PROD'!D$3:D$42)-MIN('1.DATOS-PROD'!D$3:D$42))))</f>
        <v>5</v>
      </c>
      <c r="H28" s="56">
        <f>IF('1.DATOS-PROD'!E23&lt;AVERAGE('1.DATOS-PROD'!E$3:E$42)-1.5*(AVERAGE('1.DATOS-PROD'!E$3:E$42)-QUARTILE('1.DATOS-PROD'!E$3:E$42,1)),5*0,IF('1.DATOS-PROD'!E23&gt;AVERAGE('1.DATOS-PROD'!E$3:E$42)+1.5*(QUARTILE('1.DATOS-PROD'!E$3:E$42,3)-AVERAGE('1.DATOS-PROD'!E$3:E$42)),5*1,5*('1.DATOS-PROD'!E23-MIN('1.DATOS-PROD'!E$3:E$42))/(MAX('1.DATOS-PROD'!E$3:E$42)-MIN('1.DATOS-PROD'!E$3:E$42))))</f>
        <v>5</v>
      </c>
      <c r="I28" s="142" t="str">
        <f>IF(A28&lt;&gt;0,'1.DATOS-PROD'!F23+'1.DATOS-PROD'!G23,"")</f>
        <v/>
      </c>
      <c r="J28" s="143">
        <f t="shared" si="0"/>
        <v>4.7727272727272725</v>
      </c>
      <c r="K28" s="142">
        <f>IF('1.DATOS-PROD'!H23="SI",5,0)</f>
        <v>0</v>
      </c>
      <c r="L28" s="50" t="str">
        <f>'1.DATOS-PROD'!I23</f>
        <v/>
      </c>
      <c r="M28" s="47" t="str">
        <f t="shared" si="1"/>
        <v/>
      </c>
      <c r="N28" s="141" t="e">
        <f t="shared" si="2"/>
        <v>#VALUE!</v>
      </c>
    </row>
    <row r="29" spans="1:14" x14ac:dyDescent="0.25">
      <c r="A29">
        <f>'0.Consolidado general'!$A24</f>
        <v>0</v>
      </c>
      <c r="B29" s="143">
        <f>5-(IF('1.PUNTOS-FIN'!B23&lt;AVERAGE('1.PUNTOS-FIN'!B$2:B$41)-1.5*(AVERAGE('1.PUNTOS-FIN'!B$2:B$41)-QUARTILE('1.PUNTOS-FIN'!B$2:B$41,1)),5*0,IF('1.PUNTOS-FIN'!B23&gt;AVERAGE('1.PUNTOS-FIN'!B$2:B$41)+1.5*(QUARTILE('1.PUNTOS-FIN'!B$2:B$41,3)-AVERAGE('1.PUNTOS-FIN'!B$2:B$41)),5*1,5*('1.PUNTOS-FIN'!B23-MIN('1.PUNTOS-FIN'!B$2:B$41))/(MAX('1.PUNTOS-FIN'!B$2:B$41)-MIN('1.PUNTOS-FIN'!B$2:B$41)))))</f>
        <v>0</v>
      </c>
      <c r="C29" s="143">
        <f>5-(IF('1.PUNTOS-FIN'!C23&lt;AVERAGE('1.PUNTOS-FIN'!C$2:C$41)-1.5*(AVERAGE('1.PUNTOS-FIN'!C$2:C$41)-QUARTILE('1.PUNTOS-FIN'!C$2:C$41,1)),5*0,IF('1.PUNTOS-FIN'!C23&gt;AVERAGE('1.PUNTOS-FIN'!C$2:C$41)+1.5*(QUARTILE('1.PUNTOS-FIN'!C$2:C$41,3)-AVERAGE('1.PUNTOS-FIN'!C$2:C$41)),5*1,5*('1.PUNTOS-FIN'!C23-MIN('1.PUNTOS-FIN'!C$2:C$41))/(MAX('1.PUNTOS-FIN'!C$2:C$41)-MIN('1.PUNTOS-FIN'!C$2:C$41)))))</f>
        <v>0</v>
      </c>
      <c r="D29" s="143">
        <f>5-(IF('1.PUNTOS-FIN'!D23&lt;AVERAGE('1.PUNTOS-FIN'!D$2:D$41)-1.5*(AVERAGE('1.PUNTOS-FIN'!D$2:D$41)-QUARTILE('1.PUNTOS-FIN'!D$2:D$41,1)),5*0,IF('1.PUNTOS-FIN'!D23&gt;AVERAGE('1.PUNTOS-FIN'!D$2:D$41)+1.5*(QUARTILE('1.PUNTOS-FIN'!D$2:D$41,3)-AVERAGE('1.PUNTOS-FIN'!D$2:D$41)),5*1,5*('1.PUNTOS-FIN'!D23-MIN('1.PUNTOS-FIN'!D$2:D$41))/(MAX('1.PUNTOS-FIN'!D$2:D$41)-MIN('1.PUNTOS-FIN'!D$2:D$41)))))</f>
        <v>0</v>
      </c>
      <c r="E29" s="56">
        <f>IF('1.DATOS-PROD'!B24&lt;AVERAGE('1.DATOS-PROD'!B$3:B$42)-1.5*(AVERAGE('1.DATOS-PROD'!B$3:B$42)-QUARTILE('1.DATOS-PROD'!B$3:B$42,1)),5*0,IF('1.DATOS-PROD'!B24&gt;AVERAGE('1.DATOS-PROD'!B$3:B$42)+1.5*(QUARTILE('1.DATOS-PROD'!B$3:B$42,3)-AVERAGE('1.DATOS-PROD'!B$3:B$42)),5*1,5*('1.DATOS-PROD'!B24-MIN('1.DATOS-PROD'!B$3:B$42))/(MAX('1.DATOS-PROD'!B$3:B$42)-MIN('1.DATOS-PROD'!B$3:B$42))))</f>
        <v>5</v>
      </c>
      <c r="F29" s="56">
        <f>IF('1.DATOS-PROD'!C24&lt;AVERAGE('1.DATOS-PROD'!C$3:C$42)-1.5*(AVERAGE('1.DATOS-PROD'!C$3:C$42)-QUARTILE('1.DATOS-PROD'!C$3:C$42,1)),5*0,IF('1.DATOS-PROD'!C24&gt;AVERAGE('1.DATOS-PROD'!C$3:C$42)+1.5*(QUARTILE('1.DATOS-PROD'!C$3:C$42,3)-AVERAGE('1.DATOS-PROD'!C$3:C$42)),5*1,5*('1.DATOS-PROD'!C24-MIN('1.DATOS-PROD'!C$3:C$42))/(MAX('1.DATOS-PROD'!C$3:C$42)-MIN('1.DATOS-PROD'!C$3:C$42))))</f>
        <v>5</v>
      </c>
      <c r="G29" s="56">
        <f>IF('1.DATOS-PROD'!D24&lt;AVERAGE('1.DATOS-PROD'!D$3:D$42)-1.5*(AVERAGE('1.DATOS-PROD'!D$3:D$42)-QUARTILE('1.DATOS-PROD'!D$3:D$42,1)),5*0,IF('1.DATOS-PROD'!D24&gt;AVERAGE('1.DATOS-PROD'!D$3:D$42)+1.5*(QUARTILE('1.DATOS-PROD'!D$3:D$42,3)-AVERAGE('1.DATOS-PROD'!D$3:D$42)),5*1,5*('1.DATOS-PROD'!D24-MIN('1.DATOS-PROD'!D$3:D$42))/(MAX('1.DATOS-PROD'!D$3:D$42)-MIN('1.DATOS-PROD'!D$3:D$42))))</f>
        <v>5</v>
      </c>
      <c r="H29" s="56">
        <f>IF('1.DATOS-PROD'!E24&lt;AVERAGE('1.DATOS-PROD'!E$3:E$42)-1.5*(AVERAGE('1.DATOS-PROD'!E$3:E$42)-QUARTILE('1.DATOS-PROD'!E$3:E$42,1)),5*0,IF('1.DATOS-PROD'!E24&gt;AVERAGE('1.DATOS-PROD'!E$3:E$42)+1.5*(QUARTILE('1.DATOS-PROD'!E$3:E$42,3)-AVERAGE('1.DATOS-PROD'!E$3:E$42)),5*1,5*('1.DATOS-PROD'!E24-MIN('1.DATOS-PROD'!E$3:E$42))/(MAX('1.DATOS-PROD'!E$3:E$42)-MIN('1.DATOS-PROD'!E$3:E$42))))</f>
        <v>5</v>
      </c>
      <c r="I29" s="142" t="str">
        <f>IF(A29&lt;&gt;0,'1.DATOS-PROD'!F24+'1.DATOS-PROD'!G24,"")</f>
        <v/>
      </c>
      <c r="J29" s="143">
        <f t="shared" si="0"/>
        <v>4.7727272727272725</v>
      </c>
      <c r="K29" s="142">
        <f>IF('1.DATOS-PROD'!H24="SI",5,0)</f>
        <v>0</v>
      </c>
      <c r="L29" s="50" t="str">
        <f>'1.DATOS-PROD'!I24</f>
        <v/>
      </c>
      <c r="M29" s="47" t="str">
        <f t="shared" si="1"/>
        <v/>
      </c>
      <c r="N29" s="141" t="e">
        <f t="shared" si="2"/>
        <v>#VALUE!</v>
      </c>
    </row>
    <row r="30" spans="1:14" x14ac:dyDescent="0.25">
      <c r="A30">
        <f>'0.Consolidado general'!$A25</f>
        <v>0</v>
      </c>
      <c r="B30" s="143">
        <f>5-(IF('1.PUNTOS-FIN'!B24&lt;AVERAGE('1.PUNTOS-FIN'!B$2:B$41)-1.5*(AVERAGE('1.PUNTOS-FIN'!B$2:B$41)-QUARTILE('1.PUNTOS-FIN'!B$2:B$41,1)),5*0,IF('1.PUNTOS-FIN'!B24&gt;AVERAGE('1.PUNTOS-FIN'!B$2:B$41)+1.5*(QUARTILE('1.PUNTOS-FIN'!B$2:B$41,3)-AVERAGE('1.PUNTOS-FIN'!B$2:B$41)),5*1,5*('1.PUNTOS-FIN'!B24-MIN('1.PUNTOS-FIN'!B$2:B$41))/(MAX('1.PUNTOS-FIN'!B$2:B$41)-MIN('1.PUNTOS-FIN'!B$2:B$41)))))</f>
        <v>0</v>
      </c>
      <c r="C30" s="143">
        <f>5-(IF('1.PUNTOS-FIN'!C24&lt;AVERAGE('1.PUNTOS-FIN'!C$2:C$41)-1.5*(AVERAGE('1.PUNTOS-FIN'!C$2:C$41)-QUARTILE('1.PUNTOS-FIN'!C$2:C$41,1)),5*0,IF('1.PUNTOS-FIN'!C24&gt;AVERAGE('1.PUNTOS-FIN'!C$2:C$41)+1.5*(QUARTILE('1.PUNTOS-FIN'!C$2:C$41,3)-AVERAGE('1.PUNTOS-FIN'!C$2:C$41)),5*1,5*('1.PUNTOS-FIN'!C24-MIN('1.PUNTOS-FIN'!C$2:C$41))/(MAX('1.PUNTOS-FIN'!C$2:C$41)-MIN('1.PUNTOS-FIN'!C$2:C$41)))))</f>
        <v>0</v>
      </c>
      <c r="D30" s="143">
        <f>5-(IF('1.PUNTOS-FIN'!D24&lt;AVERAGE('1.PUNTOS-FIN'!D$2:D$41)-1.5*(AVERAGE('1.PUNTOS-FIN'!D$2:D$41)-QUARTILE('1.PUNTOS-FIN'!D$2:D$41,1)),5*0,IF('1.PUNTOS-FIN'!D24&gt;AVERAGE('1.PUNTOS-FIN'!D$2:D$41)+1.5*(QUARTILE('1.PUNTOS-FIN'!D$2:D$41,3)-AVERAGE('1.PUNTOS-FIN'!D$2:D$41)),5*1,5*('1.PUNTOS-FIN'!D24-MIN('1.PUNTOS-FIN'!D$2:D$41))/(MAX('1.PUNTOS-FIN'!D$2:D$41)-MIN('1.PUNTOS-FIN'!D$2:D$41)))))</f>
        <v>0</v>
      </c>
      <c r="E30" s="56">
        <f>IF('1.DATOS-PROD'!B25&lt;AVERAGE('1.DATOS-PROD'!B$3:B$42)-1.5*(AVERAGE('1.DATOS-PROD'!B$3:B$42)-QUARTILE('1.DATOS-PROD'!B$3:B$42,1)),5*0,IF('1.DATOS-PROD'!B25&gt;AVERAGE('1.DATOS-PROD'!B$3:B$42)+1.5*(QUARTILE('1.DATOS-PROD'!B$3:B$42,3)-AVERAGE('1.DATOS-PROD'!B$3:B$42)),5*1,5*('1.DATOS-PROD'!B25-MIN('1.DATOS-PROD'!B$3:B$42))/(MAX('1.DATOS-PROD'!B$3:B$42)-MIN('1.DATOS-PROD'!B$3:B$42))))</f>
        <v>5</v>
      </c>
      <c r="F30" s="56">
        <f>IF('1.DATOS-PROD'!C25&lt;AVERAGE('1.DATOS-PROD'!C$3:C$42)-1.5*(AVERAGE('1.DATOS-PROD'!C$3:C$42)-QUARTILE('1.DATOS-PROD'!C$3:C$42,1)),5*0,IF('1.DATOS-PROD'!C25&gt;AVERAGE('1.DATOS-PROD'!C$3:C$42)+1.5*(QUARTILE('1.DATOS-PROD'!C$3:C$42,3)-AVERAGE('1.DATOS-PROD'!C$3:C$42)),5*1,5*('1.DATOS-PROD'!C25-MIN('1.DATOS-PROD'!C$3:C$42))/(MAX('1.DATOS-PROD'!C$3:C$42)-MIN('1.DATOS-PROD'!C$3:C$42))))</f>
        <v>5</v>
      </c>
      <c r="G30" s="56">
        <f>IF('1.DATOS-PROD'!D25&lt;AVERAGE('1.DATOS-PROD'!D$3:D$42)-1.5*(AVERAGE('1.DATOS-PROD'!D$3:D$42)-QUARTILE('1.DATOS-PROD'!D$3:D$42,1)),5*0,IF('1.DATOS-PROD'!D25&gt;AVERAGE('1.DATOS-PROD'!D$3:D$42)+1.5*(QUARTILE('1.DATOS-PROD'!D$3:D$42,3)-AVERAGE('1.DATOS-PROD'!D$3:D$42)),5*1,5*('1.DATOS-PROD'!D25-MIN('1.DATOS-PROD'!D$3:D$42))/(MAX('1.DATOS-PROD'!D$3:D$42)-MIN('1.DATOS-PROD'!D$3:D$42))))</f>
        <v>5</v>
      </c>
      <c r="H30" s="56">
        <f>IF('1.DATOS-PROD'!E25&lt;AVERAGE('1.DATOS-PROD'!E$3:E$42)-1.5*(AVERAGE('1.DATOS-PROD'!E$3:E$42)-QUARTILE('1.DATOS-PROD'!E$3:E$42,1)),5*0,IF('1.DATOS-PROD'!E25&gt;AVERAGE('1.DATOS-PROD'!E$3:E$42)+1.5*(QUARTILE('1.DATOS-PROD'!E$3:E$42,3)-AVERAGE('1.DATOS-PROD'!E$3:E$42)),5*1,5*('1.DATOS-PROD'!E25-MIN('1.DATOS-PROD'!E$3:E$42))/(MAX('1.DATOS-PROD'!E$3:E$42)-MIN('1.DATOS-PROD'!E$3:E$42))))</f>
        <v>5</v>
      </c>
      <c r="I30" s="142" t="str">
        <f>IF(A30&lt;&gt;0,'1.DATOS-PROD'!F25+'1.DATOS-PROD'!G25,"")</f>
        <v/>
      </c>
      <c r="J30" s="143">
        <f t="shared" si="0"/>
        <v>4.7727272727272725</v>
      </c>
      <c r="K30" s="142">
        <f>IF('1.DATOS-PROD'!H25="SI",5,0)</f>
        <v>0</v>
      </c>
      <c r="L30" s="50" t="str">
        <f>'1.DATOS-PROD'!I25</f>
        <v/>
      </c>
      <c r="M30" s="47" t="str">
        <f t="shared" si="1"/>
        <v/>
      </c>
      <c r="N30" s="141" t="e">
        <f t="shared" si="2"/>
        <v>#VALUE!</v>
      </c>
    </row>
    <row r="31" spans="1:14" x14ac:dyDescent="0.25">
      <c r="A31">
        <f>'0.Consolidado general'!$A26</f>
        <v>0</v>
      </c>
      <c r="B31" s="143">
        <f>5-(IF('1.PUNTOS-FIN'!B25&lt;AVERAGE('1.PUNTOS-FIN'!B$2:B$41)-1.5*(AVERAGE('1.PUNTOS-FIN'!B$2:B$41)-QUARTILE('1.PUNTOS-FIN'!B$2:B$41,1)),5*0,IF('1.PUNTOS-FIN'!B25&gt;AVERAGE('1.PUNTOS-FIN'!B$2:B$41)+1.5*(QUARTILE('1.PUNTOS-FIN'!B$2:B$41,3)-AVERAGE('1.PUNTOS-FIN'!B$2:B$41)),5*1,5*('1.PUNTOS-FIN'!B25-MIN('1.PUNTOS-FIN'!B$2:B$41))/(MAX('1.PUNTOS-FIN'!B$2:B$41)-MIN('1.PUNTOS-FIN'!B$2:B$41)))))</f>
        <v>0</v>
      </c>
      <c r="C31" s="143">
        <f>5-(IF('1.PUNTOS-FIN'!C25&lt;AVERAGE('1.PUNTOS-FIN'!C$2:C$41)-1.5*(AVERAGE('1.PUNTOS-FIN'!C$2:C$41)-QUARTILE('1.PUNTOS-FIN'!C$2:C$41,1)),5*0,IF('1.PUNTOS-FIN'!C25&gt;AVERAGE('1.PUNTOS-FIN'!C$2:C$41)+1.5*(QUARTILE('1.PUNTOS-FIN'!C$2:C$41,3)-AVERAGE('1.PUNTOS-FIN'!C$2:C$41)),5*1,5*('1.PUNTOS-FIN'!C25-MIN('1.PUNTOS-FIN'!C$2:C$41))/(MAX('1.PUNTOS-FIN'!C$2:C$41)-MIN('1.PUNTOS-FIN'!C$2:C$41)))))</f>
        <v>0</v>
      </c>
      <c r="D31" s="143">
        <f>5-(IF('1.PUNTOS-FIN'!D25&lt;AVERAGE('1.PUNTOS-FIN'!D$2:D$41)-1.5*(AVERAGE('1.PUNTOS-FIN'!D$2:D$41)-QUARTILE('1.PUNTOS-FIN'!D$2:D$41,1)),5*0,IF('1.PUNTOS-FIN'!D25&gt;AVERAGE('1.PUNTOS-FIN'!D$2:D$41)+1.5*(QUARTILE('1.PUNTOS-FIN'!D$2:D$41,3)-AVERAGE('1.PUNTOS-FIN'!D$2:D$41)),5*1,5*('1.PUNTOS-FIN'!D25-MIN('1.PUNTOS-FIN'!D$2:D$41))/(MAX('1.PUNTOS-FIN'!D$2:D$41)-MIN('1.PUNTOS-FIN'!D$2:D$41)))))</f>
        <v>0</v>
      </c>
      <c r="E31" s="56">
        <f>IF('1.DATOS-PROD'!B26&lt;AVERAGE('1.DATOS-PROD'!B$3:B$42)-1.5*(AVERAGE('1.DATOS-PROD'!B$3:B$42)-QUARTILE('1.DATOS-PROD'!B$3:B$42,1)),5*0,IF('1.DATOS-PROD'!B26&gt;AVERAGE('1.DATOS-PROD'!B$3:B$42)+1.5*(QUARTILE('1.DATOS-PROD'!B$3:B$42,3)-AVERAGE('1.DATOS-PROD'!B$3:B$42)),5*1,5*('1.DATOS-PROD'!B26-MIN('1.DATOS-PROD'!B$3:B$42))/(MAX('1.DATOS-PROD'!B$3:B$42)-MIN('1.DATOS-PROD'!B$3:B$42))))</f>
        <v>5</v>
      </c>
      <c r="F31" s="56">
        <f>IF('1.DATOS-PROD'!C26&lt;AVERAGE('1.DATOS-PROD'!C$3:C$42)-1.5*(AVERAGE('1.DATOS-PROD'!C$3:C$42)-QUARTILE('1.DATOS-PROD'!C$3:C$42,1)),5*0,IF('1.DATOS-PROD'!C26&gt;AVERAGE('1.DATOS-PROD'!C$3:C$42)+1.5*(QUARTILE('1.DATOS-PROD'!C$3:C$42,3)-AVERAGE('1.DATOS-PROD'!C$3:C$42)),5*1,5*('1.DATOS-PROD'!C26-MIN('1.DATOS-PROD'!C$3:C$42))/(MAX('1.DATOS-PROD'!C$3:C$42)-MIN('1.DATOS-PROD'!C$3:C$42))))</f>
        <v>5</v>
      </c>
      <c r="G31" s="56">
        <f>IF('1.DATOS-PROD'!D26&lt;AVERAGE('1.DATOS-PROD'!D$3:D$42)-1.5*(AVERAGE('1.DATOS-PROD'!D$3:D$42)-QUARTILE('1.DATOS-PROD'!D$3:D$42,1)),5*0,IF('1.DATOS-PROD'!D26&gt;AVERAGE('1.DATOS-PROD'!D$3:D$42)+1.5*(QUARTILE('1.DATOS-PROD'!D$3:D$42,3)-AVERAGE('1.DATOS-PROD'!D$3:D$42)),5*1,5*('1.DATOS-PROD'!D26-MIN('1.DATOS-PROD'!D$3:D$42))/(MAX('1.DATOS-PROD'!D$3:D$42)-MIN('1.DATOS-PROD'!D$3:D$42))))</f>
        <v>5</v>
      </c>
      <c r="H31" s="56">
        <f>IF('1.DATOS-PROD'!E26&lt;AVERAGE('1.DATOS-PROD'!E$3:E$42)-1.5*(AVERAGE('1.DATOS-PROD'!E$3:E$42)-QUARTILE('1.DATOS-PROD'!E$3:E$42,1)),5*0,IF('1.DATOS-PROD'!E26&gt;AVERAGE('1.DATOS-PROD'!E$3:E$42)+1.5*(QUARTILE('1.DATOS-PROD'!E$3:E$42,3)-AVERAGE('1.DATOS-PROD'!E$3:E$42)),5*1,5*('1.DATOS-PROD'!E26-MIN('1.DATOS-PROD'!E$3:E$42))/(MAX('1.DATOS-PROD'!E$3:E$42)-MIN('1.DATOS-PROD'!E$3:E$42))))</f>
        <v>5</v>
      </c>
      <c r="I31" s="142" t="str">
        <f>IF(A31&lt;&gt;0,'1.DATOS-PROD'!F26+'1.DATOS-PROD'!G26,"")</f>
        <v/>
      </c>
      <c r="J31" s="143">
        <f t="shared" si="0"/>
        <v>4.7727272727272725</v>
      </c>
      <c r="K31" s="142">
        <f>IF('1.DATOS-PROD'!H26="SI",5,0)</f>
        <v>0</v>
      </c>
      <c r="L31" s="50" t="str">
        <f>'1.DATOS-PROD'!I26</f>
        <v/>
      </c>
      <c r="M31" s="47" t="str">
        <f t="shared" si="1"/>
        <v/>
      </c>
      <c r="N31" s="141" t="e">
        <f t="shared" si="2"/>
        <v>#VALUE!</v>
      </c>
    </row>
    <row r="32" spans="1:14" x14ac:dyDescent="0.25">
      <c r="A32">
        <f>'0.Consolidado general'!$A27</f>
        <v>0</v>
      </c>
      <c r="B32" s="143">
        <f>5-(IF('1.PUNTOS-FIN'!B26&lt;AVERAGE('1.PUNTOS-FIN'!B$2:B$41)-1.5*(AVERAGE('1.PUNTOS-FIN'!B$2:B$41)-QUARTILE('1.PUNTOS-FIN'!B$2:B$41,1)),5*0,IF('1.PUNTOS-FIN'!B26&gt;AVERAGE('1.PUNTOS-FIN'!B$2:B$41)+1.5*(QUARTILE('1.PUNTOS-FIN'!B$2:B$41,3)-AVERAGE('1.PUNTOS-FIN'!B$2:B$41)),5*1,5*('1.PUNTOS-FIN'!B26-MIN('1.PUNTOS-FIN'!B$2:B$41))/(MAX('1.PUNTOS-FIN'!B$2:B$41)-MIN('1.PUNTOS-FIN'!B$2:B$41)))))</f>
        <v>0</v>
      </c>
      <c r="C32" s="143">
        <f>5-(IF('1.PUNTOS-FIN'!C26&lt;AVERAGE('1.PUNTOS-FIN'!C$2:C$41)-1.5*(AVERAGE('1.PUNTOS-FIN'!C$2:C$41)-QUARTILE('1.PUNTOS-FIN'!C$2:C$41,1)),5*0,IF('1.PUNTOS-FIN'!C26&gt;AVERAGE('1.PUNTOS-FIN'!C$2:C$41)+1.5*(QUARTILE('1.PUNTOS-FIN'!C$2:C$41,3)-AVERAGE('1.PUNTOS-FIN'!C$2:C$41)),5*1,5*('1.PUNTOS-FIN'!C26-MIN('1.PUNTOS-FIN'!C$2:C$41))/(MAX('1.PUNTOS-FIN'!C$2:C$41)-MIN('1.PUNTOS-FIN'!C$2:C$41)))))</f>
        <v>0</v>
      </c>
      <c r="D32" s="143">
        <f>5-(IF('1.PUNTOS-FIN'!D26&lt;AVERAGE('1.PUNTOS-FIN'!D$2:D$41)-1.5*(AVERAGE('1.PUNTOS-FIN'!D$2:D$41)-QUARTILE('1.PUNTOS-FIN'!D$2:D$41,1)),5*0,IF('1.PUNTOS-FIN'!D26&gt;AVERAGE('1.PUNTOS-FIN'!D$2:D$41)+1.5*(QUARTILE('1.PUNTOS-FIN'!D$2:D$41,3)-AVERAGE('1.PUNTOS-FIN'!D$2:D$41)),5*1,5*('1.PUNTOS-FIN'!D26-MIN('1.PUNTOS-FIN'!D$2:D$41))/(MAX('1.PUNTOS-FIN'!D$2:D$41)-MIN('1.PUNTOS-FIN'!D$2:D$41)))))</f>
        <v>0</v>
      </c>
      <c r="E32" s="56">
        <f>IF('1.DATOS-PROD'!B27&lt;AVERAGE('1.DATOS-PROD'!B$3:B$42)-1.5*(AVERAGE('1.DATOS-PROD'!B$3:B$42)-QUARTILE('1.DATOS-PROD'!B$3:B$42,1)),5*0,IF('1.DATOS-PROD'!B27&gt;AVERAGE('1.DATOS-PROD'!B$3:B$42)+1.5*(QUARTILE('1.DATOS-PROD'!B$3:B$42,3)-AVERAGE('1.DATOS-PROD'!B$3:B$42)),5*1,5*('1.DATOS-PROD'!B27-MIN('1.DATOS-PROD'!B$3:B$42))/(MAX('1.DATOS-PROD'!B$3:B$42)-MIN('1.DATOS-PROD'!B$3:B$42))))</f>
        <v>5</v>
      </c>
      <c r="F32" s="56">
        <f>IF('1.DATOS-PROD'!C27&lt;AVERAGE('1.DATOS-PROD'!C$3:C$42)-1.5*(AVERAGE('1.DATOS-PROD'!C$3:C$42)-QUARTILE('1.DATOS-PROD'!C$3:C$42,1)),5*0,IF('1.DATOS-PROD'!C27&gt;AVERAGE('1.DATOS-PROD'!C$3:C$42)+1.5*(QUARTILE('1.DATOS-PROD'!C$3:C$42,3)-AVERAGE('1.DATOS-PROD'!C$3:C$42)),5*1,5*('1.DATOS-PROD'!C27-MIN('1.DATOS-PROD'!C$3:C$42))/(MAX('1.DATOS-PROD'!C$3:C$42)-MIN('1.DATOS-PROD'!C$3:C$42))))</f>
        <v>5</v>
      </c>
      <c r="G32" s="56">
        <f>IF('1.DATOS-PROD'!D27&lt;AVERAGE('1.DATOS-PROD'!D$3:D$42)-1.5*(AVERAGE('1.DATOS-PROD'!D$3:D$42)-QUARTILE('1.DATOS-PROD'!D$3:D$42,1)),5*0,IF('1.DATOS-PROD'!D27&gt;AVERAGE('1.DATOS-PROD'!D$3:D$42)+1.5*(QUARTILE('1.DATOS-PROD'!D$3:D$42,3)-AVERAGE('1.DATOS-PROD'!D$3:D$42)),5*1,5*('1.DATOS-PROD'!D27-MIN('1.DATOS-PROD'!D$3:D$42))/(MAX('1.DATOS-PROD'!D$3:D$42)-MIN('1.DATOS-PROD'!D$3:D$42))))</f>
        <v>5</v>
      </c>
      <c r="H32" s="56">
        <f>IF('1.DATOS-PROD'!E27&lt;AVERAGE('1.DATOS-PROD'!E$3:E$42)-1.5*(AVERAGE('1.DATOS-PROD'!E$3:E$42)-QUARTILE('1.DATOS-PROD'!E$3:E$42,1)),5*0,IF('1.DATOS-PROD'!E27&gt;AVERAGE('1.DATOS-PROD'!E$3:E$42)+1.5*(QUARTILE('1.DATOS-PROD'!E$3:E$42,3)-AVERAGE('1.DATOS-PROD'!E$3:E$42)),5*1,5*('1.DATOS-PROD'!E27-MIN('1.DATOS-PROD'!E$3:E$42))/(MAX('1.DATOS-PROD'!E$3:E$42)-MIN('1.DATOS-PROD'!E$3:E$42))))</f>
        <v>5</v>
      </c>
      <c r="I32" s="142" t="str">
        <f>IF(A32&lt;&gt;0,'1.DATOS-PROD'!F27+'1.DATOS-PROD'!G27,"")</f>
        <v/>
      </c>
      <c r="J32" s="143">
        <f t="shared" si="0"/>
        <v>4.7727272727272725</v>
      </c>
      <c r="K32" s="142">
        <f>IF('1.DATOS-PROD'!H27="SI",5,0)</f>
        <v>0</v>
      </c>
      <c r="L32" s="50" t="str">
        <f>'1.DATOS-PROD'!I27</f>
        <v/>
      </c>
      <c r="M32" s="47" t="str">
        <f t="shared" si="1"/>
        <v/>
      </c>
      <c r="N32" s="141" t="e">
        <f t="shared" si="2"/>
        <v>#VALUE!</v>
      </c>
    </row>
    <row r="33" spans="1:14" x14ac:dyDescent="0.25">
      <c r="A33">
        <f>'0.Consolidado general'!$A28</f>
        <v>0</v>
      </c>
      <c r="B33" s="143">
        <f>5-(IF('1.PUNTOS-FIN'!B27&lt;AVERAGE('1.PUNTOS-FIN'!B$2:B$41)-1.5*(AVERAGE('1.PUNTOS-FIN'!B$2:B$41)-QUARTILE('1.PUNTOS-FIN'!B$2:B$41,1)),5*0,IF('1.PUNTOS-FIN'!B27&gt;AVERAGE('1.PUNTOS-FIN'!B$2:B$41)+1.5*(QUARTILE('1.PUNTOS-FIN'!B$2:B$41,3)-AVERAGE('1.PUNTOS-FIN'!B$2:B$41)),5*1,5*('1.PUNTOS-FIN'!B27-MIN('1.PUNTOS-FIN'!B$2:B$41))/(MAX('1.PUNTOS-FIN'!B$2:B$41)-MIN('1.PUNTOS-FIN'!B$2:B$41)))))</f>
        <v>0</v>
      </c>
      <c r="C33" s="143">
        <f>5-(IF('1.PUNTOS-FIN'!C27&lt;AVERAGE('1.PUNTOS-FIN'!C$2:C$41)-1.5*(AVERAGE('1.PUNTOS-FIN'!C$2:C$41)-QUARTILE('1.PUNTOS-FIN'!C$2:C$41,1)),5*0,IF('1.PUNTOS-FIN'!C27&gt;AVERAGE('1.PUNTOS-FIN'!C$2:C$41)+1.5*(QUARTILE('1.PUNTOS-FIN'!C$2:C$41,3)-AVERAGE('1.PUNTOS-FIN'!C$2:C$41)),5*1,5*('1.PUNTOS-FIN'!C27-MIN('1.PUNTOS-FIN'!C$2:C$41))/(MAX('1.PUNTOS-FIN'!C$2:C$41)-MIN('1.PUNTOS-FIN'!C$2:C$41)))))</f>
        <v>0</v>
      </c>
      <c r="D33" s="143">
        <f>5-(IF('1.PUNTOS-FIN'!D27&lt;AVERAGE('1.PUNTOS-FIN'!D$2:D$41)-1.5*(AVERAGE('1.PUNTOS-FIN'!D$2:D$41)-QUARTILE('1.PUNTOS-FIN'!D$2:D$41,1)),5*0,IF('1.PUNTOS-FIN'!D27&gt;AVERAGE('1.PUNTOS-FIN'!D$2:D$41)+1.5*(QUARTILE('1.PUNTOS-FIN'!D$2:D$41,3)-AVERAGE('1.PUNTOS-FIN'!D$2:D$41)),5*1,5*('1.PUNTOS-FIN'!D27-MIN('1.PUNTOS-FIN'!D$2:D$41))/(MAX('1.PUNTOS-FIN'!D$2:D$41)-MIN('1.PUNTOS-FIN'!D$2:D$41)))))</f>
        <v>0</v>
      </c>
      <c r="E33" s="56">
        <f>IF('1.DATOS-PROD'!B28&lt;AVERAGE('1.DATOS-PROD'!B$3:B$42)-1.5*(AVERAGE('1.DATOS-PROD'!B$3:B$42)-QUARTILE('1.DATOS-PROD'!B$3:B$42,1)),5*0,IF('1.DATOS-PROD'!B28&gt;AVERAGE('1.DATOS-PROD'!B$3:B$42)+1.5*(QUARTILE('1.DATOS-PROD'!B$3:B$42,3)-AVERAGE('1.DATOS-PROD'!B$3:B$42)),5*1,5*('1.DATOS-PROD'!B28-MIN('1.DATOS-PROD'!B$3:B$42))/(MAX('1.DATOS-PROD'!B$3:B$42)-MIN('1.DATOS-PROD'!B$3:B$42))))</f>
        <v>5</v>
      </c>
      <c r="F33" s="56">
        <f>IF('1.DATOS-PROD'!C28&lt;AVERAGE('1.DATOS-PROD'!C$3:C$42)-1.5*(AVERAGE('1.DATOS-PROD'!C$3:C$42)-QUARTILE('1.DATOS-PROD'!C$3:C$42,1)),5*0,IF('1.DATOS-PROD'!C28&gt;AVERAGE('1.DATOS-PROD'!C$3:C$42)+1.5*(QUARTILE('1.DATOS-PROD'!C$3:C$42,3)-AVERAGE('1.DATOS-PROD'!C$3:C$42)),5*1,5*('1.DATOS-PROD'!C28-MIN('1.DATOS-PROD'!C$3:C$42))/(MAX('1.DATOS-PROD'!C$3:C$42)-MIN('1.DATOS-PROD'!C$3:C$42))))</f>
        <v>5</v>
      </c>
      <c r="G33" s="56">
        <f>IF('1.DATOS-PROD'!D28&lt;AVERAGE('1.DATOS-PROD'!D$3:D$42)-1.5*(AVERAGE('1.DATOS-PROD'!D$3:D$42)-QUARTILE('1.DATOS-PROD'!D$3:D$42,1)),5*0,IF('1.DATOS-PROD'!D28&gt;AVERAGE('1.DATOS-PROD'!D$3:D$42)+1.5*(QUARTILE('1.DATOS-PROD'!D$3:D$42,3)-AVERAGE('1.DATOS-PROD'!D$3:D$42)),5*1,5*('1.DATOS-PROD'!D28-MIN('1.DATOS-PROD'!D$3:D$42))/(MAX('1.DATOS-PROD'!D$3:D$42)-MIN('1.DATOS-PROD'!D$3:D$42))))</f>
        <v>5</v>
      </c>
      <c r="H33" s="56">
        <f>IF('1.DATOS-PROD'!E28&lt;AVERAGE('1.DATOS-PROD'!E$3:E$42)-1.5*(AVERAGE('1.DATOS-PROD'!E$3:E$42)-QUARTILE('1.DATOS-PROD'!E$3:E$42,1)),5*0,IF('1.DATOS-PROD'!E28&gt;AVERAGE('1.DATOS-PROD'!E$3:E$42)+1.5*(QUARTILE('1.DATOS-PROD'!E$3:E$42,3)-AVERAGE('1.DATOS-PROD'!E$3:E$42)),5*1,5*('1.DATOS-PROD'!E28-MIN('1.DATOS-PROD'!E$3:E$42))/(MAX('1.DATOS-PROD'!E$3:E$42)-MIN('1.DATOS-PROD'!E$3:E$42))))</f>
        <v>5</v>
      </c>
      <c r="I33" s="142" t="str">
        <f>IF(A33&lt;&gt;0,'1.DATOS-PROD'!F28+'1.DATOS-PROD'!G28,"")</f>
        <v/>
      </c>
      <c r="J33" s="143">
        <f t="shared" si="0"/>
        <v>4.7727272727272725</v>
      </c>
      <c r="K33" s="142">
        <f>IF('1.DATOS-PROD'!H28="SI",5,0)</f>
        <v>0</v>
      </c>
      <c r="L33" s="50" t="str">
        <f>'1.DATOS-PROD'!I28</f>
        <v/>
      </c>
      <c r="M33" s="47" t="str">
        <f t="shared" si="1"/>
        <v/>
      </c>
      <c r="N33" s="141" t="e">
        <f t="shared" si="2"/>
        <v>#VALUE!</v>
      </c>
    </row>
    <row r="34" spans="1:14" x14ac:dyDescent="0.25">
      <c r="A34">
        <f>'0.Consolidado general'!$A29</f>
        <v>0</v>
      </c>
      <c r="B34" s="143">
        <f>5-(IF('1.PUNTOS-FIN'!B28&lt;AVERAGE('1.PUNTOS-FIN'!B$2:B$41)-1.5*(AVERAGE('1.PUNTOS-FIN'!B$2:B$41)-QUARTILE('1.PUNTOS-FIN'!B$2:B$41,1)),5*0,IF('1.PUNTOS-FIN'!B28&gt;AVERAGE('1.PUNTOS-FIN'!B$2:B$41)+1.5*(QUARTILE('1.PUNTOS-FIN'!B$2:B$41,3)-AVERAGE('1.PUNTOS-FIN'!B$2:B$41)),5*1,5*('1.PUNTOS-FIN'!B28-MIN('1.PUNTOS-FIN'!B$2:B$41))/(MAX('1.PUNTOS-FIN'!B$2:B$41)-MIN('1.PUNTOS-FIN'!B$2:B$41)))))</f>
        <v>0</v>
      </c>
      <c r="C34" s="143">
        <f>5-(IF('1.PUNTOS-FIN'!C28&lt;AVERAGE('1.PUNTOS-FIN'!C$2:C$41)-1.5*(AVERAGE('1.PUNTOS-FIN'!C$2:C$41)-QUARTILE('1.PUNTOS-FIN'!C$2:C$41,1)),5*0,IF('1.PUNTOS-FIN'!C28&gt;AVERAGE('1.PUNTOS-FIN'!C$2:C$41)+1.5*(QUARTILE('1.PUNTOS-FIN'!C$2:C$41,3)-AVERAGE('1.PUNTOS-FIN'!C$2:C$41)),5*1,5*('1.PUNTOS-FIN'!C28-MIN('1.PUNTOS-FIN'!C$2:C$41))/(MAX('1.PUNTOS-FIN'!C$2:C$41)-MIN('1.PUNTOS-FIN'!C$2:C$41)))))</f>
        <v>0</v>
      </c>
      <c r="D34" s="143">
        <f>5-(IF('1.PUNTOS-FIN'!D28&lt;AVERAGE('1.PUNTOS-FIN'!D$2:D$41)-1.5*(AVERAGE('1.PUNTOS-FIN'!D$2:D$41)-QUARTILE('1.PUNTOS-FIN'!D$2:D$41,1)),5*0,IF('1.PUNTOS-FIN'!D28&gt;AVERAGE('1.PUNTOS-FIN'!D$2:D$41)+1.5*(QUARTILE('1.PUNTOS-FIN'!D$2:D$41,3)-AVERAGE('1.PUNTOS-FIN'!D$2:D$41)),5*1,5*('1.PUNTOS-FIN'!D28-MIN('1.PUNTOS-FIN'!D$2:D$41))/(MAX('1.PUNTOS-FIN'!D$2:D$41)-MIN('1.PUNTOS-FIN'!D$2:D$41)))))</f>
        <v>0</v>
      </c>
      <c r="E34" s="56">
        <f>IF('1.DATOS-PROD'!B29&lt;AVERAGE('1.DATOS-PROD'!B$3:B$42)-1.5*(AVERAGE('1.DATOS-PROD'!B$3:B$42)-QUARTILE('1.DATOS-PROD'!B$3:B$42,1)),5*0,IF('1.DATOS-PROD'!B29&gt;AVERAGE('1.DATOS-PROD'!B$3:B$42)+1.5*(QUARTILE('1.DATOS-PROD'!B$3:B$42,3)-AVERAGE('1.DATOS-PROD'!B$3:B$42)),5*1,5*('1.DATOS-PROD'!B29-MIN('1.DATOS-PROD'!B$3:B$42))/(MAX('1.DATOS-PROD'!B$3:B$42)-MIN('1.DATOS-PROD'!B$3:B$42))))</f>
        <v>5</v>
      </c>
      <c r="F34" s="56">
        <f>IF('1.DATOS-PROD'!C29&lt;AVERAGE('1.DATOS-PROD'!C$3:C$42)-1.5*(AVERAGE('1.DATOS-PROD'!C$3:C$42)-QUARTILE('1.DATOS-PROD'!C$3:C$42,1)),5*0,IF('1.DATOS-PROD'!C29&gt;AVERAGE('1.DATOS-PROD'!C$3:C$42)+1.5*(QUARTILE('1.DATOS-PROD'!C$3:C$42,3)-AVERAGE('1.DATOS-PROD'!C$3:C$42)),5*1,5*('1.DATOS-PROD'!C29-MIN('1.DATOS-PROD'!C$3:C$42))/(MAX('1.DATOS-PROD'!C$3:C$42)-MIN('1.DATOS-PROD'!C$3:C$42))))</f>
        <v>5</v>
      </c>
      <c r="G34" s="56">
        <f>IF('1.DATOS-PROD'!D29&lt;AVERAGE('1.DATOS-PROD'!D$3:D$42)-1.5*(AVERAGE('1.DATOS-PROD'!D$3:D$42)-QUARTILE('1.DATOS-PROD'!D$3:D$42,1)),5*0,IF('1.DATOS-PROD'!D29&gt;AVERAGE('1.DATOS-PROD'!D$3:D$42)+1.5*(QUARTILE('1.DATOS-PROD'!D$3:D$42,3)-AVERAGE('1.DATOS-PROD'!D$3:D$42)),5*1,5*('1.DATOS-PROD'!D29-MIN('1.DATOS-PROD'!D$3:D$42))/(MAX('1.DATOS-PROD'!D$3:D$42)-MIN('1.DATOS-PROD'!D$3:D$42))))</f>
        <v>5</v>
      </c>
      <c r="H34" s="56">
        <f>IF('1.DATOS-PROD'!E29&lt;AVERAGE('1.DATOS-PROD'!E$3:E$42)-1.5*(AVERAGE('1.DATOS-PROD'!E$3:E$42)-QUARTILE('1.DATOS-PROD'!E$3:E$42,1)),5*0,IF('1.DATOS-PROD'!E29&gt;AVERAGE('1.DATOS-PROD'!E$3:E$42)+1.5*(QUARTILE('1.DATOS-PROD'!E$3:E$42,3)-AVERAGE('1.DATOS-PROD'!E$3:E$42)),5*1,5*('1.DATOS-PROD'!E29-MIN('1.DATOS-PROD'!E$3:E$42))/(MAX('1.DATOS-PROD'!E$3:E$42)-MIN('1.DATOS-PROD'!E$3:E$42))))</f>
        <v>5</v>
      </c>
      <c r="I34" s="142" t="str">
        <f>IF(A34&lt;&gt;0,'1.DATOS-PROD'!F29+'1.DATOS-PROD'!G29,"")</f>
        <v/>
      </c>
      <c r="J34" s="143">
        <f t="shared" si="0"/>
        <v>4.7727272727272725</v>
      </c>
      <c r="K34" s="142">
        <f>IF('1.DATOS-PROD'!H29="SI",5,0)</f>
        <v>0</v>
      </c>
      <c r="L34" s="50" t="str">
        <f>'1.DATOS-PROD'!I29</f>
        <v/>
      </c>
      <c r="M34" s="47" t="str">
        <f t="shared" si="1"/>
        <v/>
      </c>
      <c r="N34" s="141" t="e">
        <f t="shared" si="2"/>
        <v>#VALUE!</v>
      </c>
    </row>
    <row r="35" spans="1:14" x14ac:dyDescent="0.25">
      <c r="A35">
        <f>'0.Consolidado general'!$A30</f>
        <v>0</v>
      </c>
      <c r="B35" s="143">
        <f>5-(IF('1.PUNTOS-FIN'!B29&lt;AVERAGE('1.PUNTOS-FIN'!B$2:B$41)-1.5*(AVERAGE('1.PUNTOS-FIN'!B$2:B$41)-QUARTILE('1.PUNTOS-FIN'!B$2:B$41,1)),5*0,IF('1.PUNTOS-FIN'!B29&gt;AVERAGE('1.PUNTOS-FIN'!B$2:B$41)+1.5*(QUARTILE('1.PUNTOS-FIN'!B$2:B$41,3)-AVERAGE('1.PUNTOS-FIN'!B$2:B$41)),5*1,5*('1.PUNTOS-FIN'!B29-MIN('1.PUNTOS-FIN'!B$2:B$41))/(MAX('1.PUNTOS-FIN'!B$2:B$41)-MIN('1.PUNTOS-FIN'!B$2:B$41)))))</f>
        <v>0</v>
      </c>
      <c r="C35" s="143">
        <f>5-(IF('1.PUNTOS-FIN'!C29&lt;AVERAGE('1.PUNTOS-FIN'!C$2:C$41)-1.5*(AVERAGE('1.PUNTOS-FIN'!C$2:C$41)-QUARTILE('1.PUNTOS-FIN'!C$2:C$41,1)),5*0,IF('1.PUNTOS-FIN'!C29&gt;AVERAGE('1.PUNTOS-FIN'!C$2:C$41)+1.5*(QUARTILE('1.PUNTOS-FIN'!C$2:C$41,3)-AVERAGE('1.PUNTOS-FIN'!C$2:C$41)),5*1,5*('1.PUNTOS-FIN'!C29-MIN('1.PUNTOS-FIN'!C$2:C$41))/(MAX('1.PUNTOS-FIN'!C$2:C$41)-MIN('1.PUNTOS-FIN'!C$2:C$41)))))</f>
        <v>0</v>
      </c>
      <c r="D35" s="143">
        <f>5-(IF('1.PUNTOS-FIN'!D29&lt;AVERAGE('1.PUNTOS-FIN'!D$2:D$41)-1.5*(AVERAGE('1.PUNTOS-FIN'!D$2:D$41)-QUARTILE('1.PUNTOS-FIN'!D$2:D$41,1)),5*0,IF('1.PUNTOS-FIN'!D29&gt;AVERAGE('1.PUNTOS-FIN'!D$2:D$41)+1.5*(QUARTILE('1.PUNTOS-FIN'!D$2:D$41,3)-AVERAGE('1.PUNTOS-FIN'!D$2:D$41)),5*1,5*('1.PUNTOS-FIN'!D29-MIN('1.PUNTOS-FIN'!D$2:D$41))/(MAX('1.PUNTOS-FIN'!D$2:D$41)-MIN('1.PUNTOS-FIN'!D$2:D$41)))))</f>
        <v>0</v>
      </c>
      <c r="E35" s="56">
        <f>IF('1.DATOS-PROD'!B30&lt;AVERAGE('1.DATOS-PROD'!B$3:B$42)-1.5*(AVERAGE('1.DATOS-PROD'!B$3:B$42)-QUARTILE('1.DATOS-PROD'!B$3:B$42,1)),5*0,IF('1.DATOS-PROD'!B30&gt;AVERAGE('1.DATOS-PROD'!B$3:B$42)+1.5*(QUARTILE('1.DATOS-PROD'!B$3:B$42,3)-AVERAGE('1.DATOS-PROD'!B$3:B$42)),5*1,5*('1.DATOS-PROD'!B30-MIN('1.DATOS-PROD'!B$3:B$42))/(MAX('1.DATOS-PROD'!B$3:B$42)-MIN('1.DATOS-PROD'!B$3:B$42))))</f>
        <v>5</v>
      </c>
      <c r="F35" s="56">
        <f>IF('1.DATOS-PROD'!C30&lt;AVERAGE('1.DATOS-PROD'!C$3:C$42)-1.5*(AVERAGE('1.DATOS-PROD'!C$3:C$42)-QUARTILE('1.DATOS-PROD'!C$3:C$42,1)),5*0,IF('1.DATOS-PROD'!C30&gt;AVERAGE('1.DATOS-PROD'!C$3:C$42)+1.5*(QUARTILE('1.DATOS-PROD'!C$3:C$42,3)-AVERAGE('1.DATOS-PROD'!C$3:C$42)),5*1,5*('1.DATOS-PROD'!C30-MIN('1.DATOS-PROD'!C$3:C$42))/(MAX('1.DATOS-PROD'!C$3:C$42)-MIN('1.DATOS-PROD'!C$3:C$42))))</f>
        <v>5</v>
      </c>
      <c r="G35" s="56">
        <f>IF('1.DATOS-PROD'!D30&lt;AVERAGE('1.DATOS-PROD'!D$3:D$42)-1.5*(AVERAGE('1.DATOS-PROD'!D$3:D$42)-QUARTILE('1.DATOS-PROD'!D$3:D$42,1)),5*0,IF('1.DATOS-PROD'!D30&gt;AVERAGE('1.DATOS-PROD'!D$3:D$42)+1.5*(QUARTILE('1.DATOS-PROD'!D$3:D$42,3)-AVERAGE('1.DATOS-PROD'!D$3:D$42)),5*1,5*('1.DATOS-PROD'!D30-MIN('1.DATOS-PROD'!D$3:D$42))/(MAX('1.DATOS-PROD'!D$3:D$42)-MIN('1.DATOS-PROD'!D$3:D$42))))</f>
        <v>5</v>
      </c>
      <c r="H35" s="56">
        <f>IF('1.DATOS-PROD'!E30&lt;AVERAGE('1.DATOS-PROD'!E$3:E$42)-1.5*(AVERAGE('1.DATOS-PROD'!E$3:E$42)-QUARTILE('1.DATOS-PROD'!E$3:E$42,1)),5*0,IF('1.DATOS-PROD'!E30&gt;AVERAGE('1.DATOS-PROD'!E$3:E$42)+1.5*(QUARTILE('1.DATOS-PROD'!E$3:E$42,3)-AVERAGE('1.DATOS-PROD'!E$3:E$42)),5*1,5*('1.DATOS-PROD'!E30-MIN('1.DATOS-PROD'!E$3:E$42))/(MAX('1.DATOS-PROD'!E$3:E$42)-MIN('1.DATOS-PROD'!E$3:E$42))))</f>
        <v>5</v>
      </c>
      <c r="I35" s="142" t="str">
        <f>IF(A35&lt;&gt;0,'1.DATOS-PROD'!F30+'1.DATOS-PROD'!G30,"")</f>
        <v/>
      </c>
      <c r="J35" s="143">
        <f t="shared" si="0"/>
        <v>4.7727272727272725</v>
      </c>
      <c r="K35" s="142">
        <f>IF('1.DATOS-PROD'!H30="SI",5,0)</f>
        <v>0</v>
      </c>
      <c r="L35" s="50" t="str">
        <f>'1.DATOS-PROD'!I30</f>
        <v/>
      </c>
      <c r="M35" s="47" t="str">
        <f t="shared" si="1"/>
        <v/>
      </c>
      <c r="N35" s="141" t="e">
        <f t="shared" si="2"/>
        <v>#VALUE!</v>
      </c>
    </row>
    <row r="36" spans="1:14" x14ac:dyDescent="0.25">
      <c r="A36">
        <f>'0.Consolidado general'!$A31</f>
        <v>0</v>
      </c>
      <c r="B36" s="143">
        <f>5-(IF('1.PUNTOS-FIN'!B30&lt;AVERAGE('1.PUNTOS-FIN'!B$2:B$41)-1.5*(AVERAGE('1.PUNTOS-FIN'!B$2:B$41)-QUARTILE('1.PUNTOS-FIN'!B$2:B$41,1)),5*0,IF('1.PUNTOS-FIN'!B30&gt;AVERAGE('1.PUNTOS-FIN'!B$2:B$41)+1.5*(QUARTILE('1.PUNTOS-FIN'!B$2:B$41,3)-AVERAGE('1.PUNTOS-FIN'!B$2:B$41)),5*1,5*('1.PUNTOS-FIN'!B30-MIN('1.PUNTOS-FIN'!B$2:B$41))/(MAX('1.PUNTOS-FIN'!B$2:B$41)-MIN('1.PUNTOS-FIN'!B$2:B$41)))))</f>
        <v>0</v>
      </c>
      <c r="C36" s="143">
        <f>5-(IF('1.PUNTOS-FIN'!C30&lt;AVERAGE('1.PUNTOS-FIN'!C$2:C$41)-1.5*(AVERAGE('1.PUNTOS-FIN'!C$2:C$41)-QUARTILE('1.PUNTOS-FIN'!C$2:C$41,1)),5*0,IF('1.PUNTOS-FIN'!C30&gt;AVERAGE('1.PUNTOS-FIN'!C$2:C$41)+1.5*(QUARTILE('1.PUNTOS-FIN'!C$2:C$41,3)-AVERAGE('1.PUNTOS-FIN'!C$2:C$41)),5*1,5*('1.PUNTOS-FIN'!C30-MIN('1.PUNTOS-FIN'!C$2:C$41))/(MAX('1.PUNTOS-FIN'!C$2:C$41)-MIN('1.PUNTOS-FIN'!C$2:C$41)))))</f>
        <v>0</v>
      </c>
      <c r="D36" s="143">
        <f>5-(IF('1.PUNTOS-FIN'!D30&lt;AVERAGE('1.PUNTOS-FIN'!D$2:D$41)-1.5*(AVERAGE('1.PUNTOS-FIN'!D$2:D$41)-QUARTILE('1.PUNTOS-FIN'!D$2:D$41,1)),5*0,IF('1.PUNTOS-FIN'!D30&gt;AVERAGE('1.PUNTOS-FIN'!D$2:D$41)+1.5*(QUARTILE('1.PUNTOS-FIN'!D$2:D$41,3)-AVERAGE('1.PUNTOS-FIN'!D$2:D$41)),5*1,5*('1.PUNTOS-FIN'!D30-MIN('1.PUNTOS-FIN'!D$2:D$41))/(MAX('1.PUNTOS-FIN'!D$2:D$41)-MIN('1.PUNTOS-FIN'!D$2:D$41)))))</f>
        <v>0</v>
      </c>
      <c r="E36" s="56">
        <f>IF('1.DATOS-PROD'!B31&lt;AVERAGE('1.DATOS-PROD'!B$3:B$42)-1.5*(AVERAGE('1.DATOS-PROD'!B$3:B$42)-QUARTILE('1.DATOS-PROD'!B$3:B$42,1)),5*0,IF('1.DATOS-PROD'!B31&gt;AVERAGE('1.DATOS-PROD'!B$3:B$42)+1.5*(QUARTILE('1.DATOS-PROD'!B$3:B$42,3)-AVERAGE('1.DATOS-PROD'!B$3:B$42)),5*1,5*('1.DATOS-PROD'!B31-MIN('1.DATOS-PROD'!B$3:B$42))/(MAX('1.DATOS-PROD'!B$3:B$42)-MIN('1.DATOS-PROD'!B$3:B$42))))</f>
        <v>5</v>
      </c>
      <c r="F36" s="56">
        <f>IF('1.DATOS-PROD'!C31&lt;AVERAGE('1.DATOS-PROD'!C$3:C$42)-1.5*(AVERAGE('1.DATOS-PROD'!C$3:C$42)-QUARTILE('1.DATOS-PROD'!C$3:C$42,1)),5*0,IF('1.DATOS-PROD'!C31&gt;AVERAGE('1.DATOS-PROD'!C$3:C$42)+1.5*(QUARTILE('1.DATOS-PROD'!C$3:C$42,3)-AVERAGE('1.DATOS-PROD'!C$3:C$42)),5*1,5*('1.DATOS-PROD'!C31-MIN('1.DATOS-PROD'!C$3:C$42))/(MAX('1.DATOS-PROD'!C$3:C$42)-MIN('1.DATOS-PROD'!C$3:C$42))))</f>
        <v>5</v>
      </c>
      <c r="G36" s="56">
        <f>IF('1.DATOS-PROD'!D31&lt;AVERAGE('1.DATOS-PROD'!D$3:D$42)-1.5*(AVERAGE('1.DATOS-PROD'!D$3:D$42)-QUARTILE('1.DATOS-PROD'!D$3:D$42,1)),5*0,IF('1.DATOS-PROD'!D31&gt;AVERAGE('1.DATOS-PROD'!D$3:D$42)+1.5*(QUARTILE('1.DATOS-PROD'!D$3:D$42,3)-AVERAGE('1.DATOS-PROD'!D$3:D$42)),5*1,5*('1.DATOS-PROD'!D31-MIN('1.DATOS-PROD'!D$3:D$42))/(MAX('1.DATOS-PROD'!D$3:D$42)-MIN('1.DATOS-PROD'!D$3:D$42))))</f>
        <v>5</v>
      </c>
      <c r="H36" s="56">
        <f>IF('1.DATOS-PROD'!E31&lt;AVERAGE('1.DATOS-PROD'!E$3:E$42)-1.5*(AVERAGE('1.DATOS-PROD'!E$3:E$42)-QUARTILE('1.DATOS-PROD'!E$3:E$42,1)),5*0,IF('1.DATOS-PROD'!E31&gt;AVERAGE('1.DATOS-PROD'!E$3:E$42)+1.5*(QUARTILE('1.DATOS-PROD'!E$3:E$42,3)-AVERAGE('1.DATOS-PROD'!E$3:E$42)),5*1,5*('1.DATOS-PROD'!E31-MIN('1.DATOS-PROD'!E$3:E$42))/(MAX('1.DATOS-PROD'!E$3:E$42)-MIN('1.DATOS-PROD'!E$3:E$42))))</f>
        <v>5</v>
      </c>
      <c r="I36" s="142" t="str">
        <f>IF(A36&lt;&gt;0,'1.DATOS-PROD'!F31+'1.DATOS-PROD'!G31,"")</f>
        <v/>
      </c>
      <c r="J36" s="143">
        <f t="shared" si="0"/>
        <v>4.7727272727272725</v>
      </c>
      <c r="K36" s="142">
        <f>IF('1.DATOS-PROD'!H31="SI",5,0)</f>
        <v>0</v>
      </c>
      <c r="L36" s="50" t="str">
        <f>'1.DATOS-PROD'!I31</f>
        <v/>
      </c>
      <c r="M36" s="47" t="str">
        <f t="shared" si="1"/>
        <v/>
      </c>
      <c r="N36" s="141" t="e">
        <f t="shared" si="2"/>
        <v>#VALUE!</v>
      </c>
    </row>
    <row r="37" spans="1:14" x14ac:dyDescent="0.25">
      <c r="A37">
        <f>'0.Consolidado general'!$A32</f>
        <v>0</v>
      </c>
      <c r="B37" s="143">
        <f>5-(IF('1.PUNTOS-FIN'!B31&lt;AVERAGE('1.PUNTOS-FIN'!B$2:B$41)-1.5*(AVERAGE('1.PUNTOS-FIN'!B$2:B$41)-QUARTILE('1.PUNTOS-FIN'!B$2:B$41,1)),5*0,IF('1.PUNTOS-FIN'!B31&gt;AVERAGE('1.PUNTOS-FIN'!B$2:B$41)+1.5*(QUARTILE('1.PUNTOS-FIN'!B$2:B$41,3)-AVERAGE('1.PUNTOS-FIN'!B$2:B$41)),5*1,5*('1.PUNTOS-FIN'!B31-MIN('1.PUNTOS-FIN'!B$2:B$41))/(MAX('1.PUNTOS-FIN'!B$2:B$41)-MIN('1.PUNTOS-FIN'!B$2:B$41)))))</f>
        <v>0</v>
      </c>
      <c r="C37" s="143">
        <f>5-(IF('1.PUNTOS-FIN'!C31&lt;AVERAGE('1.PUNTOS-FIN'!C$2:C$41)-1.5*(AVERAGE('1.PUNTOS-FIN'!C$2:C$41)-QUARTILE('1.PUNTOS-FIN'!C$2:C$41,1)),5*0,IF('1.PUNTOS-FIN'!C31&gt;AVERAGE('1.PUNTOS-FIN'!C$2:C$41)+1.5*(QUARTILE('1.PUNTOS-FIN'!C$2:C$41,3)-AVERAGE('1.PUNTOS-FIN'!C$2:C$41)),5*1,5*('1.PUNTOS-FIN'!C31-MIN('1.PUNTOS-FIN'!C$2:C$41))/(MAX('1.PUNTOS-FIN'!C$2:C$41)-MIN('1.PUNTOS-FIN'!C$2:C$41)))))</f>
        <v>0</v>
      </c>
      <c r="D37" s="143">
        <f>5-(IF('1.PUNTOS-FIN'!D31&lt;AVERAGE('1.PUNTOS-FIN'!D$2:D$41)-1.5*(AVERAGE('1.PUNTOS-FIN'!D$2:D$41)-QUARTILE('1.PUNTOS-FIN'!D$2:D$41,1)),5*0,IF('1.PUNTOS-FIN'!D31&gt;AVERAGE('1.PUNTOS-FIN'!D$2:D$41)+1.5*(QUARTILE('1.PUNTOS-FIN'!D$2:D$41,3)-AVERAGE('1.PUNTOS-FIN'!D$2:D$41)),5*1,5*('1.PUNTOS-FIN'!D31-MIN('1.PUNTOS-FIN'!D$2:D$41))/(MAX('1.PUNTOS-FIN'!D$2:D$41)-MIN('1.PUNTOS-FIN'!D$2:D$41)))))</f>
        <v>0</v>
      </c>
      <c r="E37" s="56">
        <f>IF('1.DATOS-PROD'!B32&lt;AVERAGE('1.DATOS-PROD'!B$3:B$42)-1.5*(AVERAGE('1.DATOS-PROD'!B$3:B$42)-QUARTILE('1.DATOS-PROD'!B$3:B$42,1)),5*0,IF('1.DATOS-PROD'!B32&gt;AVERAGE('1.DATOS-PROD'!B$3:B$42)+1.5*(QUARTILE('1.DATOS-PROD'!B$3:B$42,3)-AVERAGE('1.DATOS-PROD'!B$3:B$42)),5*1,5*('1.DATOS-PROD'!B32-MIN('1.DATOS-PROD'!B$3:B$42))/(MAX('1.DATOS-PROD'!B$3:B$42)-MIN('1.DATOS-PROD'!B$3:B$42))))</f>
        <v>5</v>
      </c>
      <c r="F37" s="56">
        <f>IF('1.DATOS-PROD'!C32&lt;AVERAGE('1.DATOS-PROD'!C$3:C$42)-1.5*(AVERAGE('1.DATOS-PROD'!C$3:C$42)-QUARTILE('1.DATOS-PROD'!C$3:C$42,1)),5*0,IF('1.DATOS-PROD'!C32&gt;AVERAGE('1.DATOS-PROD'!C$3:C$42)+1.5*(QUARTILE('1.DATOS-PROD'!C$3:C$42,3)-AVERAGE('1.DATOS-PROD'!C$3:C$42)),5*1,5*('1.DATOS-PROD'!C32-MIN('1.DATOS-PROD'!C$3:C$42))/(MAX('1.DATOS-PROD'!C$3:C$42)-MIN('1.DATOS-PROD'!C$3:C$42))))</f>
        <v>5</v>
      </c>
      <c r="G37" s="56">
        <f>IF('1.DATOS-PROD'!D32&lt;AVERAGE('1.DATOS-PROD'!D$3:D$42)-1.5*(AVERAGE('1.DATOS-PROD'!D$3:D$42)-QUARTILE('1.DATOS-PROD'!D$3:D$42,1)),5*0,IF('1.DATOS-PROD'!D32&gt;AVERAGE('1.DATOS-PROD'!D$3:D$42)+1.5*(QUARTILE('1.DATOS-PROD'!D$3:D$42,3)-AVERAGE('1.DATOS-PROD'!D$3:D$42)),5*1,5*('1.DATOS-PROD'!D32-MIN('1.DATOS-PROD'!D$3:D$42))/(MAX('1.DATOS-PROD'!D$3:D$42)-MIN('1.DATOS-PROD'!D$3:D$42))))</f>
        <v>5</v>
      </c>
      <c r="H37" s="56">
        <f>IF('1.DATOS-PROD'!E32&lt;AVERAGE('1.DATOS-PROD'!E$3:E$42)-1.5*(AVERAGE('1.DATOS-PROD'!E$3:E$42)-QUARTILE('1.DATOS-PROD'!E$3:E$42,1)),5*0,IF('1.DATOS-PROD'!E32&gt;AVERAGE('1.DATOS-PROD'!E$3:E$42)+1.5*(QUARTILE('1.DATOS-PROD'!E$3:E$42,3)-AVERAGE('1.DATOS-PROD'!E$3:E$42)),5*1,5*('1.DATOS-PROD'!E32-MIN('1.DATOS-PROD'!E$3:E$42))/(MAX('1.DATOS-PROD'!E$3:E$42)-MIN('1.DATOS-PROD'!E$3:E$42))))</f>
        <v>5</v>
      </c>
      <c r="I37" s="142" t="str">
        <f>IF(A37&lt;&gt;0,'1.DATOS-PROD'!F32+'1.DATOS-PROD'!G32,"")</f>
        <v/>
      </c>
      <c r="J37" s="143">
        <f t="shared" si="0"/>
        <v>4.7727272727272725</v>
      </c>
      <c r="K37" s="142">
        <f>IF('1.DATOS-PROD'!H32="SI",5,0)</f>
        <v>0</v>
      </c>
      <c r="L37" s="50" t="str">
        <f>'1.DATOS-PROD'!I32</f>
        <v/>
      </c>
      <c r="M37" s="47" t="str">
        <f t="shared" si="1"/>
        <v/>
      </c>
      <c r="N37" s="141" t="e">
        <f t="shared" si="2"/>
        <v>#VALUE!</v>
      </c>
    </row>
    <row r="38" spans="1:14" x14ac:dyDescent="0.25">
      <c r="A38">
        <f>'0.Consolidado general'!$A33</f>
        <v>0</v>
      </c>
      <c r="B38" s="143">
        <f>5-(IF('1.PUNTOS-FIN'!B32&lt;AVERAGE('1.PUNTOS-FIN'!B$2:B$41)-1.5*(AVERAGE('1.PUNTOS-FIN'!B$2:B$41)-QUARTILE('1.PUNTOS-FIN'!B$2:B$41,1)),5*0,IF('1.PUNTOS-FIN'!B32&gt;AVERAGE('1.PUNTOS-FIN'!B$2:B$41)+1.5*(QUARTILE('1.PUNTOS-FIN'!B$2:B$41,3)-AVERAGE('1.PUNTOS-FIN'!B$2:B$41)),5*1,5*('1.PUNTOS-FIN'!B32-MIN('1.PUNTOS-FIN'!B$2:B$41))/(MAX('1.PUNTOS-FIN'!B$2:B$41)-MIN('1.PUNTOS-FIN'!B$2:B$41)))))</f>
        <v>0</v>
      </c>
      <c r="C38" s="143">
        <f>5-(IF('1.PUNTOS-FIN'!C32&lt;AVERAGE('1.PUNTOS-FIN'!C$2:C$41)-1.5*(AVERAGE('1.PUNTOS-FIN'!C$2:C$41)-QUARTILE('1.PUNTOS-FIN'!C$2:C$41,1)),5*0,IF('1.PUNTOS-FIN'!C32&gt;AVERAGE('1.PUNTOS-FIN'!C$2:C$41)+1.5*(QUARTILE('1.PUNTOS-FIN'!C$2:C$41,3)-AVERAGE('1.PUNTOS-FIN'!C$2:C$41)),5*1,5*('1.PUNTOS-FIN'!C32-MIN('1.PUNTOS-FIN'!C$2:C$41))/(MAX('1.PUNTOS-FIN'!C$2:C$41)-MIN('1.PUNTOS-FIN'!C$2:C$41)))))</f>
        <v>0</v>
      </c>
      <c r="D38" s="143">
        <f>5-(IF('1.PUNTOS-FIN'!D32&lt;AVERAGE('1.PUNTOS-FIN'!D$2:D$41)-1.5*(AVERAGE('1.PUNTOS-FIN'!D$2:D$41)-QUARTILE('1.PUNTOS-FIN'!D$2:D$41,1)),5*0,IF('1.PUNTOS-FIN'!D32&gt;AVERAGE('1.PUNTOS-FIN'!D$2:D$41)+1.5*(QUARTILE('1.PUNTOS-FIN'!D$2:D$41,3)-AVERAGE('1.PUNTOS-FIN'!D$2:D$41)),5*1,5*('1.PUNTOS-FIN'!D32-MIN('1.PUNTOS-FIN'!D$2:D$41))/(MAX('1.PUNTOS-FIN'!D$2:D$41)-MIN('1.PUNTOS-FIN'!D$2:D$41)))))</f>
        <v>0</v>
      </c>
      <c r="E38" s="56">
        <f>IF('1.DATOS-PROD'!B33&lt;AVERAGE('1.DATOS-PROD'!B$3:B$42)-1.5*(AVERAGE('1.DATOS-PROD'!B$3:B$42)-QUARTILE('1.DATOS-PROD'!B$3:B$42,1)),5*0,IF('1.DATOS-PROD'!B33&gt;AVERAGE('1.DATOS-PROD'!B$3:B$42)+1.5*(QUARTILE('1.DATOS-PROD'!B$3:B$42,3)-AVERAGE('1.DATOS-PROD'!B$3:B$42)),5*1,5*('1.DATOS-PROD'!B33-MIN('1.DATOS-PROD'!B$3:B$42))/(MAX('1.DATOS-PROD'!B$3:B$42)-MIN('1.DATOS-PROD'!B$3:B$42))))</f>
        <v>5</v>
      </c>
      <c r="F38" s="56">
        <f>IF('1.DATOS-PROD'!C33&lt;AVERAGE('1.DATOS-PROD'!C$3:C$42)-1.5*(AVERAGE('1.DATOS-PROD'!C$3:C$42)-QUARTILE('1.DATOS-PROD'!C$3:C$42,1)),5*0,IF('1.DATOS-PROD'!C33&gt;AVERAGE('1.DATOS-PROD'!C$3:C$42)+1.5*(QUARTILE('1.DATOS-PROD'!C$3:C$42,3)-AVERAGE('1.DATOS-PROD'!C$3:C$42)),5*1,5*('1.DATOS-PROD'!C33-MIN('1.DATOS-PROD'!C$3:C$42))/(MAX('1.DATOS-PROD'!C$3:C$42)-MIN('1.DATOS-PROD'!C$3:C$42))))</f>
        <v>5</v>
      </c>
      <c r="G38" s="56">
        <f>IF('1.DATOS-PROD'!D33&lt;AVERAGE('1.DATOS-PROD'!D$3:D$42)-1.5*(AVERAGE('1.DATOS-PROD'!D$3:D$42)-QUARTILE('1.DATOS-PROD'!D$3:D$42,1)),5*0,IF('1.DATOS-PROD'!D33&gt;AVERAGE('1.DATOS-PROD'!D$3:D$42)+1.5*(QUARTILE('1.DATOS-PROD'!D$3:D$42,3)-AVERAGE('1.DATOS-PROD'!D$3:D$42)),5*1,5*('1.DATOS-PROD'!D33-MIN('1.DATOS-PROD'!D$3:D$42))/(MAX('1.DATOS-PROD'!D$3:D$42)-MIN('1.DATOS-PROD'!D$3:D$42))))</f>
        <v>5</v>
      </c>
      <c r="H38" s="56">
        <f>IF('1.DATOS-PROD'!E33&lt;AVERAGE('1.DATOS-PROD'!E$3:E$42)-1.5*(AVERAGE('1.DATOS-PROD'!E$3:E$42)-QUARTILE('1.DATOS-PROD'!E$3:E$42,1)),5*0,IF('1.DATOS-PROD'!E33&gt;AVERAGE('1.DATOS-PROD'!E$3:E$42)+1.5*(QUARTILE('1.DATOS-PROD'!E$3:E$42,3)-AVERAGE('1.DATOS-PROD'!E$3:E$42)),5*1,5*('1.DATOS-PROD'!E33-MIN('1.DATOS-PROD'!E$3:E$42))/(MAX('1.DATOS-PROD'!E$3:E$42)-MIN('1.DATOS-PROD'!E$3:E$42))))</f>
        <v>5</v>
      </c>
      <c r="I38" s="142" t="str">
        <f>IF(A38&lt;&gt;0,'1.DATOS-PROD'!F33+'1.DATOS-PROD'!G33,"")</f>
        <v/>
      </c>
      <c r="J38" s="143">
        <f t="shared" si="0"/>
        <v>4.7727272727272725</v>
      </c>
      <c r="K38" s="142">
        <f>IF('1.DATOS-PROD'!H33="SI",5,0)</f>
        <v>0</v>
      </c>
      <c r="L38" s="50" t="str">
        <f>'1.DATOS-PROD'!I33</f>
        <v/>
      </c>
      <c r="M38" s="47" t="str">
        <f t="shared" si="1"/>
        <v/>
      </c>
      <c r="N38" s="141" t="e">
        <f t="shared" si="2"/>
        <v>#VALUE!</v>
      </c>
    </row>
    <row r="39" spans="1:14" x14ac:dyDescent="0.25">
      <c r="A39">
        <f>'0.Consolidado general'!$A34</f>
        <v>0</v>
      </c>
      <c r="B39" s="143">
        <f>5-(IF('1.PUNTOS-FIN'!B33&lt;AVERAGE('1.PUNTOS-FIN'!B$2:B$41)-1.5*(AVERAGE('1.PUNTOS-FIN'!B$2:B$41)-QUARTILE('1.PUNTOS-FIN'!B$2:B$41,1)),5*0,IF('1.PUNTOS-FIN'!B33&gt;AVERAGE('1.PUNTOS-FIN'!B$2:B$41)+1.5*(QUARTILE('1.PUNTOS-FIN'!B$2:B$41,3)-AVERAGE('1.PUNTOS-FIN'!B$2:B$41)),5*1,5*('1.PUNTOS-FIN'!B33-MIN('1.PUNTOS-FIN'!B$2:B$41))/(MAX('1.PUNTOS-FIN'!B$2:B$41)-MIN('1.PUNTOS-FIN'!B$2:B$41)))))</f>
        <v>0</v>
      </c>
      <c r="C39" s="143">
        <f>5-(IF('1.PUNTOS-FIN'!C33&lt;AVERAGE('1.PUNTOS-FIN'!C$2:C$41)-1.5*(AVERAGE('1.PUNTOS-FIN'!C$2:C$41)-QUARTILE('1.PUNTOS-FIN'!C$2:C$41,1)),5*0,IF('1.PUNTOS-FIN'!C33&gt;AVERAGE('1.PUNTOS-FIN'!C$2:C$41)+1.5*(QUARTILE('1.PUNTOS-FIN'!C$2:C$41,3)-AVERAGE('1.PUNTOS-FIN'!C$2:C$41)),5*1,5*('1.PUNTOS-FIN'!C33-MIN('1.PUNTOS-FIN'!C$2:C$41))/(MAX('1.PUNTOS-FIN'!C$2:C$41)-MIN('1.PUNTOS-FIN'!C$2:C$41)))))</f>
        <v>0</v>
      </c>
      <c r="D39" s="143">
        <f>5-(IF('1.PUNTOS-FIN'!D33&lt;AVERAGE('1.PUNTOS-FIN'!D$2:D$41)-1.5*(AVERAGE('1.PUNTOS-FIN'!D$2:D$41)-QUARTILE('1.PUNTOS-FIN'!D$2:D$41,1)),5*0,IF('1.PUNTOS-FIN'!D33&gt;AVERAGE('1.PUNTOS-FIN'!D$2:D$41)+1.5*(QUARTILE('1.PUNTOS-FIN'!D$2:D$41,3)-AVERAGE('1.PUNTOS-FIN'!D$2:D$41)),5*1,5*('1.PUNTOS-FIN'!D33-MIN('1.PUNTOS-FIN'!D$2:D$41))/(MAX('1.PUNTOS-FIN'!D$2:D$41)-MIN('1.PUNTOS-FIN'!D$2:D$41)))))</f>
        <v>0</v>
      </c>
      <c r="E39" s="56">
        <f>IF('1.DATOS-PROD'!B34&lt;AVERAGE('1.DATOS-PROD'!B$3:B$42)-1.5*(AVERAGE('1.DATOS-PROD'!B$3:B$42)-QUARTILE('1.DATOS-PROD'!B$3:B$42,1)),5*0,IF('1.DATOS-PROD'!B34&gt;AVERAGE('1.DATOS-PROD'!B$3:B$42)+1.5*(QUARTILE('1.DATOS-PROD'!B$3:B$42,3)-AVERAGE('1.DATOS-PROD'!B$3:B$42)),5*1,5*('1.DATOS-PROD'!B34-MIN('1.DATOS-PROD'!B$3:B$42))/(MAX('1.DATOS-PROD'!B$3:B$42)-MIN('1.DATOS-PROD'!B$3:B$42))))</f>
        <v>5</v>
      </c>
      <c r="F39" s="56">
        <f>IF('1.DATOS-PROD'!C34&lt;AVERAGE('1.DATOS-PROD'!C$3:C$42)-1.5*(AVERAGE('1.DATOS-PROD'!C$3:C$42)-QUARTILE('1.DATOS-PROD'!C$3:C$42,1)),5*0,IF('1.DATOS-PROD'!C34&gt;AVERAGE('1.DATOS-PROD'!C$3:C$42)+1.5*(QUARTILE('1.DATOS-PROD'!C$3:C$42,3)-AVERAGE('1.DATOS-PROD'!C$3:C$42)),5*1,5*('1.DATOS-PROD'!C34-MIN('1.DATOS-PROD'!C$3:C$42))/(MAX('1.DATOS-PROD'!C$3:C$42)-MIN('1.DATOS-PROD'!C$3:C$42))))</f>
        <v>5</v>
      </c>
      <c r="G39" s="56">
        <f>IF('1.DATOS-PROD'!D34&lt;AVERAGE('1.DATOS-PROD'!D$3:D$42)-1.5*(AVERAGE('1.DATOS-PROD'!D$3:D$42)-QUARTILE('1.DATOS-PROD'!D$3:D$42,1)),5*0,IF('1.DATOS-PROD'!D34&gt;AVERAGE('1.DATOS-PROD'!D$3:D$42)+1.5*(QUARTILE('1.DATOS-PROD'!D$3:D$42,3)-AVERAGE('1.DATOS-PROD'!D$3:D$42)),5*1,5*('1.DATOS-PROD'!D34-MIN('1.DATOS-PROD'!D$3:D$42))/(MAX('1.DATOS-PROD'!D$3:D$42)-MIN('1.DATOS-PROD'!D$3:D$42))))</f>
        <v>5</v>
      </c>
      <c r="H39" s="56">
        <f>IF('1.DATOS-PROD'!E34&lt;AVERAGE('1.DATOS-PROD'!E$3:E$42)-1.5*(AVERAGE('1.DATOS-PROD'!E$3:E$42)-QUARTILE('1.DATOS-PROD'!E$3:E$42,1)),5*0,IF('1.DATOS-PROD'!E34&gt;AVERAGE('1.DATOS-PROD'!E$3:E$42)+1.5*(QUARTILE('1.DATOS-PROD'!E$3:E$42,3)-AVERAGE('1.DATOS-PROD'!E$3:E$42)),5*1,5*('1.DATOS-PROD'!E34-MIN('1.DATOS-PROD'!E$3:E$42))/(MAX('1.DATOS-PROD'!E$3:E$42)-MIN('1.DATOS-PROD'!E$3:E$42))))</f>
        <v>5</v>
      </c>
      <c r="I39" s="142" t="str">
        <f>IF(A39&lt;&gt;0,'1.DATOS-PROD'!F34+'1.DATOS-PROD'!G34,"")</f>
        <v/>
      </c>
      <c r="J39" s="143">
        <f t="shared" si="0"/>
        <v>4.7727272727272725</v>
      </c>
      <c r="K39" s="142">
        <f>IF('1.DATOS-PROD'!H34="SI",5,0)</f>
        <v>0</v>
      </c>
      <c r="L39" s="50" t="str">
        <f>'1.DATOS-PROD'!I34</f>
        <v/>
      </c>
      <c r="M39" s="47" t="str">
        <f t="shared" si="1"/>
        <v/>
      </c>
      <c r="N39" s="141" t="e">
        <f t="shared" si="2"/>
        <v>#VALUE!</v>
      </c>
    </row>
    <row r="40" spans="1:14" x14ac:dyDescent="0.25">
      <c r="A40">
        <f>'0.Consolidado general'!$A35</f>
        <v>0</v>
      </c>
      <c r="B40" s="143">
        <f>5-(IF('1.PUNTOS-FIN'!B34&lt;AVERAGE('1.PUNTOS-FIN'!B$2:B$41)-1.5*(AVERAGE('1.PUNTOS-FIN'!B$2:B$41)-QUARTILE('1.PUNTOS-FIN'!B$2:B$41,1)),5*0,IF('1.PUNTOS-FIN'!B34&gt;AVERAGE('1.PUNTOS-FIN'!B$2:B$41)+1.5*(QUARTILE('1.PUNTOS-FIN'!B$2:B$41,3)-AVERAGE('1.PUNTOS-FIN'!B$2:B$41)),5*1,5*('1.PUNTOS-FIN'!B34-MIN('1.PUNTOS-FIN'!B$2:B$41))/(MAX('1.PUNTOS-FIN'!B$2:B$41)-MIN('1.PUNTOS-FIN'!B$2:B$41)))))</f>
        <v>0</v>
      </c>
      <c r="C40" s="143">
        <f>5-(IF('1.PUNTOS-FIN'!C34&lt;AVERAGE('1.PUNTOS-FIN'!C$2:C$41)-1.5*(AVERAGE('1.PUNTOS-FIN'!C$2:C$41)-QUARTILE('1.PUNTOS-FIN'!C$2:C$41,1)),5*0,IF('1.PUNTOS-FIN'!C34&gt;AVERAGE('1.PUNTOS-FIN'!C$2:C$41)+1.5*(QUARTILE('1.PUNTOS-FIN'!C$2:C$41,3)-AVERAGE('1.PUNTOS-FIN'!C$2:C$41)),5*1,5*('1.PUNTOS-FIN'!C34-MIN('1.PUNTOS-FIN'!C$2:C$41))/(MAX('1.PUNTOS-FIN'!C$2:C$41)-MIN('1.PUNTOS-FIN'!C$2:C$41)))))</f>
        <v>0</v>
      </c>
      <c r="D40" s="143">
        <f>5-(IF('1.PUNTOS-FIN'!D34&lt;AVERAGE('1.PUNTOS-FIN'!D$2:D$41)-1.5*(AVERAGE('1.PUNTOS-FIN'!D$2:D$41)-QUARTILE('1.PUNTOS-FIN'!D$2:D$41,1)),5*0,IF('1.PUNTOS-FIN'!D34&gt;AVERAGE('1.PUNTOS-FIN'!D$2:D$41)+1.5*(QUARTILE('1.PUNTOS-FIN'!D$2:D$41,3)-AVERAGE('1.PUNTOS-FIN'!D$2:D$41)),5*1,5*('1.PUNTOS-FIN'!D34-MIN('1.PUNTOS-FIN'!D$2:D$41))/(MAX('1.PUNTOS-FIN'!D$2:D$41)-MIN('1.PUNTOS-FIN'!D$2:D$41)))))</f>
        <v>0</v>
      </c>
      <c r="E40" s="56">
        <f>IF('1.DATOS-PROD'!B35&lt;AVERAGE('1.DATOS-PROD'!B$3:B$42)-1.5*(AVERAGE('1.DATOS-PROD'!B$3:B$42)-QUARTILE('1.DATOS-PROD'!B$3:B$42,1)),5*0,IF('1.DATOS-PROD'!B35&gt;AVERAGE('1.DATOS-PROD'!B$3:B$42)+1.5*(QUARTILE('1.DATOS-PROD'!B$3:B$42,3)-AVERAGE('1.DATOS-PROD'!B$3:B$42)),5*1,5*('1.DATOS-PROD'!B35-MIN('1.DATOS-PROD'!B$3:B$42))/(MAX('1.DATOS-PROD'!B$3:B$42)-MIN('1.DATOS-PROD'!B$3:B$42))))</f>
        <v>5</v>
      </c>
      <c r="F40" s="56">
        <f>IF('1.DATOS-PROD'!C35&lt;AVERAGE('1.DATOS-PROD'!C$3:C$42)-1.5*(AVERAGE('1.DATOS-PROD'!C$3:C$42)-QUARTILE('1.DATOS-PROD'!C$3:C$42,1)),5*0,IF('1.DATOS-PROD'!C35&gt;AVERAGE('1.DATOS-PROD'!C$3:C$42)+1.5*(QUARTILE('1.DATOS-PROD'!C$3:C$42,3)-AVERAGE('1.DATOS-PROD'!C$3:C$42)),5*1,5*('1.DATOS-PROD'!C35-MIN('1.DATOS-PROD'!C$3:C$42))/(MAX('1.DATOS-PROD'!C$3:C$42)-MIN('1.DATOS-PROD'!C$3:C$42))))</f>
        <v>5</v>
      </c>
      <c r="G40" s="56">
        <f>IF('1.DATOS-PROD'!D35&lt;AVERAGE('1.DATOS-PROD'!D$3:D$42)-1.5*(AVERAGE('1.DATOS-PROD'!D$3:D$42)-QUARTILE('1.DATOS-PROD'!D$3:D$42,1)),5*0,IF('1.DATOS-PROD'!D35&gt;AVERAGE('1.DATOS-PROD'!D$3:D$42)+1.5*(QUARTILE('1.DATOS-PROD'!D$3:D$42,3)-AVERAGE('1.DATOS-PROD'!D$3:D$42)),5*1,5*('1.DATOS-PROD'!D35-MIN('1.DATOS-PROD'!D$3:D$42))/(MAX('1.DATOS-PROD'!D$3:D$42)-MIN('1.DATOS-PROD'!D$3:D$42))))</f>
        <v>5</v>
      </c>
      <c r="H40" s="56">
        <f>IF('1.DATOS-PROD'!E35&lt;AVERAGE('1.DATOS-PROD'!E$3:E$42)-1.5*(AVERAGE('1.DATOS-PROD'!E$3:E$42)-QUARTILE('1.DATOS-PROD'!E$3:E$42,1)),5*0,IF('1.DATOS-PROD'!E35&gt;AVERAGE('1.DATOS-PROD'!E$3:E$42)+1.5*(QUARTILE('1.DATOS-PROD'!E$3:E$42,3)-AVERAGE('1.DATOS-PROD'!E$3:E$42)),5*1,5*('1.DATOS-PROD'!E35-MIN('1.DATOS-PROD'!E$3:E$42))/(MAX('1.DATOS-PROD'!E$3:E$42)-MIN('1.DATOS-PROD'!E$3:E$42))))</f>
        <v>5</v>
      </c>
      <c r="I40" s="142" t="str">
        <f>IF(A40&lt;&gt;0,'1.DATOS-PROD'!F35+'1.DATOS-PROD'!G35,"")</f>
        <v/>
      </c>
      <c r="J40" s="143">
        <f t="shared" si="0"/>
        <v>4.7727272727272725</v>
      </c>
      <c r="K40" s="142">
        <f>IF('1.DATOS-PROD'!H35="SI",5,0)</f>
        <v>0</v>
      </c>
      <c r="L40" s="50" t="str">
        <f>'1.DATOS-PROD'!I35</f>
        <v/>
      </c>
      <c r="M40" s="47" t="str">
        <f t="shared" si="1"/>
        <v/>
      </c>
      <c r="N40" s="141" t="e">
        <f t="shared" si="2"/>
        <v>#VALUE!</v>
      </c>
    </row>
    <row r="41" spans="1:14" x14ac:dyDescent="0.25">
      <c r="A41">
        <f>'0.Consolidado general'!$A36</f>
        <v>0</v>
      </c>
      <c r="B41" s="143">
        <f>5-(IF('1.PUNTOS-FIN'!B35&lt;AVERAGE('1.PUNTOS-FIN'!B$2:B$41)-1.5*(AVERAGE('1.PUNTOS-FIN'!B$2:B$41)-QUARTILE('1.PUNTOS-FIN'!B$2:B$41,1)),5*0,IF('1.PUNTOS-FIN'!B35&gt;AVERAGE('1.PUNTOS-FIN'!B$2:B$41)+1.5*(QUARTILE('1.PUNTOS-FIN'!B$2:B$41,3)-AVERAGE('1.PUNTOS-FIN'!B$2:B$41)),5*1,5*('1.PUNTOS-FIN'!B35-MIN('1.PUNTOS-FIN'!B$2:B$41))/(MAX('1.PUNTOS-FIN'!B$2:B$41)-MIN('1.PUNTOS-FIN'!B$2:B$41)))))</f>
        <v>0</v>
      </c>
      <c r="C41" s="143">
        <f>5-(IF('1.PUNTOS-FIN'!C35&lt;AVERAGE('1.PUNTOS-FIN'!C$2:C$41)-1.5*(AVERAGE('1.PUNTOS-FIN'!C$2:C$41)-QUARTILE('1.PUNTOS-FIN'!C$2:C$41,1)),5*0,IF('1.PUNTOS-FIN'!C35&gt;AVERAGE('1.PUNTOS-FIN'!C$2:C$41)+1.5*(QUARTILE('1.PUNTOS-FIN'!C$2:C$41,3)-AVERAGE('1.PUNTOS-FIN'!C$2:C$41)),5*1,5*('1.PUNTOS-FIN'!C35-MIN('1.PUNTOS-FIN'!C$2:C$41))/(MAX('1.PUNTOS-FIN'!C$2:C$41)-MIN('1.PUNTOS-FIN'!C$2:C$41)))))</f>
        <v>0</v>
      </c>
      <c r="D41" s="143">
        <f>5-(IF('1.PUNTOS-FIN'!D35&lt;AVERAGE('1.PUNTOS-FIN'!D$2:D$41)-1.5*(AVERAGE('1.PUNTOS-FIN'!D$2:D$41)-QUARTILE('1.PUNTOS-FIN'!D$2:D$41,1)),5*0,IF('1.PUNTOS-FIN'!D35&gt;AVERAGE('1.PUNTOS-FIN'!D$2:D$41)+1.5*(QUARTILE('1.PUNTOS-FIN'!D$2:D$41,3)-AVERAGE('1.PUNTOS-FIN'!D$2:D$41)),5*1,5*('1.PUNTOS-FIN'!D35-MIN('1.PUNTOS-FIN'!D$2:D$41))/(MAX('1.PUNTOS-FIN'!D$2:D$41)-MIN('1.PUNTOS-FIN'!D$2:D$41)))))</f>
        <v>0</v>
      </c>
      <c r="E41" s="56">
        <f>IF('1.DATOS-PROD'!B36&lt;AVERAGE('1.DATOS-PROD'!B$3:B$42)-1.5*(AVERAGE('1.DATOS-PROD'!B$3:B$42)-QUARTILE('1.DATOS-PROD'!B$3:B$42,1)),5*0,IF('1.DATOS-PROD'!B36&gt;AVERAGE('1.DATOS-PROD'!B$3:B$42)+1.5*(QUARTILE('1.DATOS-PROD'!B$3:B$42,3)-AVERAGE('1.DATOS-PROD'!B$3:B$42)),5*1,5*('1.DATOS-PROD'!B36-MIN('1.DATOS-PROD'!B$3:B$42))/(MAX('1.DATOS-PROD'!B$3:B$42)-MIN('1.DATOS-PROD'!B$3:B$42))))</f>
        <v>5</v>
      </c>
      <c r="F41" s="56">
        <f>IF('1.DATOS-PROD'!C36&lt;AVERAGE('1.DATOS-PROD'!C$3:C$42)-1.5*(AVERAGE('1.DATOS-PROD'!C$3:C$42)-QUARTILE('1.DATOS-PROD'!C$3:C$42,1)),5*0,IF('1.DATOS-PROD'!C36&gt;AVERAGE('1.DATOS-PROD'!C$3:C$42)+1.5*(QUARTILE('1.DATOS-PROD'!C$3:C$42,3)-AVERAGE('1.DATOS-PROD'!C$3:C$42)),5*1,5*('1.DATOS-PROD'!C36-MIN('1.DATOS-PROD'!C$3:C$42))/(MAX('1.DATOS-PROD'!C$3:C$42)-MIN('1.DATOS-PROD'!C$3:C$42))))</f>
        <v>5</v>
      </c>
      <c r="G41" s="56">
        <f>IF('1.DATOS-PROD'!D36&lt;AVERAGE('1.DATOS-PROD'!D$3:D$42)-1.5*(AVERAGE('1.DATOS-PROD'!D$3:D$42)-QUARTILE('1.DATOS-PROD'!D$3:D$42,1)),5*0,IF('1.DATOS-PROD'!D36&gt;AVERAGE('1.DATOS-PROD'!D$3:D$42)+1.5*(QUARTILE('1.DATOS-PROD'!D$3:D$42,3)-AVERAGE('1.DATOS-PROD'!D$3:D$42)),5*1,5*('1.DATOS-PROD'!D36-MIN('1.DATOS-PROD'!D$3:D$42))/(MAX('1.DATOS-PROD'!D$3:D$42)-MIN('1.DATOS-PROD'!D$3:D$42))))</f>
        <v>5</v>
      </c>
      <c r="H41" s="56">
        <f>IF('1.DATOS-PROD'!E36&lt;AVERAGE('1.DATOS-PROD'!E$3:E$42)-1.5*(AVERAGE('1.DATOS-PROD'!E$3:E$42)-QUARTILE('1.DATOS-PROD'!E$3:E$42,1)),5*0,IF('1.DATOS-PROD'!E36&gt;AVERAGE('1.DATOS-PROD'!E$3:E$42)+1.5*(QUARTILE('1.DATOS-PROD'!E$3:E$42,3)-AVERAGE('1.DATOS-PROD'!E$3:E$42)),5*1,5*('1.DATOS-PROD'!E36-MIN('1.DATOS-PROD'!E$3:E$42))/(MAX('1.DATOS-PROD'!E$3:E$42)-MIN('1.DATOS-PROD'!E$3:E$42))))</f>
        <v>5</v>
      </c>
      <c r="I41" s="142" t="str">
        <f>IF(A41&lt;&gt;0,'1.DATOS-PROD'!F36+'1.DATOS-PROD'!G36,"")</f>
        <v/>
      </c>
      <c r="J41" s="143">
        <f t="shared" si="0"/>
        <v>4.7727272727272725</v>
      </c>
      <c r="K41" s="142">
        <f>IF('1.DATOS-PROD'!H36="SI",5,0)</f>
        <v>0</v>
      </c>
      <c r="L41" s="50" t="str">
        <f>'1.DATOS-PROD'!I36</f>
        <v/>
      </c>
      <c r="M41" s="47" t="str">
        <f t="shared" si="1"/>
        <v/>
      </c>
      <c r="N41" s="141" t="e">
        <f t="shared" si="2"/>
        <v>#VALUE!</v>
      </c>
    </row>
    <row r="42" spans="1:14" x14ac:dyDescent="0.25">
      <c r="A42">
        <f>'0.Consolidado general'!$A37</f>
        <v>0</v>
      </c>
      <c r="B42" s="143">
        <f>5-(IF('1.PUNTOS-FIN'!B36&lt;AVERAGE('1.PUNTOS-FIN'!B$2:B$41)-1.5*(AVERAGE('1.PUNTOS-FIN'!B$2:B$41)-QUARTILE('1.PUNTOS-FIN'!B$2:B$41,1)),5*0,IF('1.PUNTOS-FIN'!B36&gt;AVERAGE('1.PUNTOS-FIN'!B$2:B$41)+1.5*(QUARTILE('1.PUNTOS-FIN'!B$2:B$41,3)-AVERAGE('1.PUNTOS-FIN'!B$2:B$41)),5*1,5*('1.PUNTOS-FIN'!B36-MIN('1.PUNTOS-FIN'!B$2:B$41))/(MAX('1.PUNTOS-FIN'!B$2:B$41)-MIN('1.PUNTOS-FIN'!B$2:B$41)))))</f>
        <v>0</v>
      </c>
      <c r="C42" s="143">
        <f>5-(IF('1.PUNTOS-FIN'!C36&lt;AVERAGE('1.PUNTOS-FIN'!C$2:C$41)-1.5*(AVERAGE('1.PUNTOS-FIN'!C$2:C$41)-QUARTILE('1.PUNTOS-FIN'!C$2:C$41,1)),5*0,IF('1.PUNTOS-FIN'!C36&gt;AVERAGE('1.PUNTOS-FIN'!C$2:C$41)+1.5*(QUARTILE('1.PUNTOS-FIN'!C$2:C$41,3)-AVERAGE('1.PUNTOS-FIN'!C$2:C$41)),5*1,5*('1.PUNTOS-FIN'!C36-MIN('1.PUNTOS-FIN'!C$2:C$41))/(MAX('1.PUNTOS-FIN'!C$2:C$41)-MIN('1.PUNTOS-FIN'!C$2:C$41)))))</f>
        <v>0</v>
      </c>
      <c r="D42" s="143">
        <f>5-(IF('1.PUNTOS-FIN'!D36&lt;AVERAGE('1.PUNTOS-FIN'!D$2:D$41)-1.5*(AVERAGE('1.PUNTOS-FIN'!D$2:D$41)-QUARTILE('1.PUNTOS-FIN'!D$2:D$41,1)),5*0,IF('1.PUNTOS-FIN'!D36&gt;AVERAGE('1.PUNTOS-FIN'!D$2:D$41)+1.5*(QUARTILE('1.PUNTOS-FIN'!D$2:D$41,3)-AVERAGE('1.PUNTOS-FIN'!D$2:D$41)),5*1,5*('1.PUNTOS-FIN'!D36-MIN('1.PUNTOS-FIN'!D$2:D$41))/(MAX('1.PUNTOS-FIN'!D$2:D$41)-MIN('1.PUNTOS-FIN'!D$2:D$41)))))</f>
        <v>0</v>
      </c>
      <c r="E42" s="56">
        <f>IF('1.DATOS-PROD'!B37&lt;AVERAGE('1.DATOS-PROD'!B$3:B$42)-1.5*(AVERAGE('1.DATOS-PROD'!B$3:B$42)-QUARTILE('1.DATOS-PROD'!B$3:B$42,1)),5*0,IF('1.DATOS-PROD'!B37&gt;AVERAGE('1.DATOS-PROD'!B$3:B$42)+1.5*(QUARTILE('1.DATOS-PROD'!B$3:B$42,3)-AVERAGE('1.DATOS-PROD'!B$3:B$42)),5*1,5*('1.DATOS-PROD'!B37-MIN('1.DATOS-PROD'!B$3:B$42))/(MAX('1.DATOS-PROD'!B$3:B$42)-MIN('1.DATOS-PROD'!B$3:B$42))))</f>
        <v>5</v>
      </c>
      <c r="F42" s="56">
        <f>IF('1.DATOS-PROD'!C37&lt;AVERAGE('1.DATOS-PROD'!C$3:C$42)-1.5*(AVERAGE('1.DATOS-PROD'!C$3:C$42)-QUARTILE('1.DATOS-PROD'!C$3:C$42,1)),5*0,IF('1.DATOS-PROD'!C37&gt;AVERAGE('1.DATOS-PROD'!C$3:C$42)+1.5*(QUARTILE('1.DATOS-PROD'!C$3:C$42,3)-AVERAGE('1.DATOS-PROD'!C$3:C$42)),5*1,5*('1.DATOS-PROD'!C37-MIN('1.DATOS-PROD'!C$3:C$42))/(MAX('1.DATOS-PROD'!C$3:C$42)-MIN('1.DATOS-PROD'!C$3:C$42))))</f>
        <v>5</v>
      </c>
      <c r="G42" s="56">
        <f>IF('1.DATOS-PROD'!D37&lt;AVERAGE('1.DATOS-PROD'!D$3:D$42)-1.5*(AVERAGE('1.DATOS-PROD'!D$3:D$42)-QUARTILE('1.DATOS-PROD'!D$3:D$42,1)),5*0,IF('1.DATOS-PROD'!D37&gt;AVERAGE('1.DATOS-PROD'!D$3:D$42)+1.5*(QUARTILE('1.DATOS-PROD'!D$3:D$42,3)-AVERAGE('1.DATOS-PROD'!D$3:D$42)),5*1,5*('1.DATOS-PROD'!D37-MIN('1.DATOS-PROD'!D$3:D$42))/(MAX('1.DATOS-PROD'!D$3:D$42)-MIN('1.DATOS-PROD'!D$3:D$42))))</f>
        <v>5</v>
      </c>
      <c r="H42" s="56">
        <f>IF('1.DATOS-PROD'!E37&lt;AVERAGE('1.DATOS-PROD'!E$3:E$42)-1.5*(AVERAGE('1.DATOS-PROD'!E$3:E$42)-QUARTILE('1.DATOS-PROD'!E$3:E$42,1)),5*0,IF('1.DATOS-PROD'!E37&gt;AVERAGE('1.DATOS-PROD'!E$3:E$42)+1.5*(QUARTILE('1.DATOS-PROD'!E$3:E$42,3)-AVERAGE('1.DATOS-PROD'!E$3:E$42)),5*1,5*('1.DATOS-PROD'!E37-MIN('1.DATOS-PROD'!E$3:E$42))/(MAX('1.DATOS-PROD'!E$3:E$42)-MIN('1.DATOS-PROD'!E$3:E$42))))</f>
        <v>5</v>
      </c>
      <c r="I42" s="142" t="str">
        <f>IF(A42&lt;&gt;0,'1.DATOS-PROD'!F37+'1.DATOS-PROD'!G37,"")</f>
        <v/>
      </c>
      <c r="J42" s="143">
        <f t="shared" si="0"/>
        <v>4.7727272727272725</v>
      </c>
      <c r="K42" s="142">
        <f>IF('1.DATOS-PROD'!H37="SI",5,0)</f>
        <v>0</v>
      </c>
      <c r="L42" s="50" t="str">
        <f>'1.DATOS-PROD'!I37</f>
        <v/>
      </c>
      <c r="M42" s="47" t="str">
        <f t="shared" si="1"/>
        <v/>
      </c>
      <c r="N42" s="141" t="e">
        <f t="shared" si="2"/>
        <v>#VALUE!</v>
      </c>
    </row>
    <row r="43" spans="1:14" x14ac:dyDescent="0.25">
      <c r="A43">
        <f>'0.Consolidado general'!$A38</f>
        <v>0</v>
      </c>
      <c r="B43" s="143">
        <f>5-(IF('1.PUNTOS-FIN'!B37&lt;AVERAGE('1.PUNTOS-FIN'!B$2:B$41)-1.5*(AVERAGE('1.PUNTOS-FIN'!B$2:B$41)-QUARTILE('1.PUNTOS-FIN'!B$2:B$41,1)),5*0,IF('1.PUNTOS-FIN'!B37&gt;AVERAGE('1.PUNTOS-FIN'!B$2:B$41)+1.5*(QUARTILE('1.PUNTOS-FIN'!B$2:B$41,3)-AVERAGE('1.PUNTOS-FIN'!B$2:B$41)),5*1,5*('1.PUNTOS-FIN'!B37-MIN('1.PUNTOS-FIN'!B$2:B$41))/(MAX('1.PUNTOS-FIN'!B$2:B$41)-MIN('1.PUNTOS-FIN'!B$2:B$41)))))</f>
        <v>0</v>
      </c>
      <c r="C43" s="143">
        <f>5-(IF('1.PUNTOS-FIN'!C37&lt;AVERAGE('1.PUNTOS-FIN'!C$2:C$41)-1.5*(AVERAGE('1.PUNTOS-FIN'!C$2:C$41)-QUARTILE('1.PUNTOS-FIN'!C$2:C$41,1)),5*0,IF('1.PUNTOS-FIN'!C37&gt;AVERAGE('1.PUNTOS-FIN'!C$2:C$41)+1.5*(QUARTILE('1.PUNTOS-FIN'!C$2:C$41,3)-AVERAGE('1.PUNTOS-FIN'!C$2:C$41)),5*1,5*('1.PUNTOS-FIN'!C37-MIN('1.PUNTOS-FIN'!C$2:C$41))/(MAX('1.PUNTOS-FIN'!C$2:C$41)-MIN('1.PUNTOS-FIN'!C$2:C$41)))))</f>
        <v>0</v>
      </c>
      <c r="D43" s="143">
        <f>5-(IF('1.PUNTOS-FIN'!D37&lt;AVERAGE('1.PUNTOS-FIN'!D$2:D$41)-1.5*(AVERAGE('1.PUNTOS-FIN'!D$2:D$41)-QUARTILE('1.PUNTOS-FIN'!D$2:D$41,1)),5*0,IF('1.PUNTOS-FIN'!D37&gt;AVERAGE('1.PUNTOS-FIN'!D$2:D$41)+1.5*(QUARTILE('1.PUNTOS-FIN'!D$2:D$41,3)-AVERAGE('1.PUNTOS-FIN'!D$2:D$41)),5*1,5*('1.PUNTOS-FIN'!D37-MIN('1.PUNTOS-FIN'!D$2:D$41))/(MAX('1.PUNTOS-FIN'!D$2:D$41)-MIN('1.PUNTOS-FIN'!D$2:D$41)))))</f>
        <v>0</v>
      </c>
      <c r="E43" s="56">
        <f>IF('1.DATOS-PROD'!B38&lt;AVERAGE('1.DATOS-PROD'!B$3:B$42)-1.5*(AVERAGE('1.DATOS-PROD'!B$3:B$42)-QUARTILE('1.DATOS-PROD'!B$3:B$42,1)),5*0,IF('1.DATOS-PROD'!B38&gt;AVERAGE('1.DATOS-PROD'!B$3:B$42)+1.5*(QUARTILE('1.DATOS-PROD'!B$3:B$42,3)-AVERAGE('1.DATOS-PROD'!B$3:B$42)),5*1,5*('1.DATOS-PROD'!B38-MIN('1.DATOS-PROD'!B$3:B$42))/(MAX('1.DATOS-PROD'!B$3:B$42)-MIN('1.DATOS-PROD'!B$3:B$42))))</f>
        <v>5</v>
      </c>
      <c r="F43" s="56">
        <f>IF('1.DATOS-PROD'!C38&lt;AVERAGE('1.DATOS-PROD'!C$3:C$42)-1.5*(AVERAGE('1.DATOS-PROD'!C$3:C$42)-QUARTILE('1.DATOS-PROD'!C$3:C$42,1)),5*0,IF('1.DATOS-PROD'!C38&gt;AVERAGE('1.DATOS-PROD'!C$3:C$42)+1.5*(QUARTILE('1.DATOS-PROD'!C$3:C$42,3)-AVERAGE('1.DATOS-PROD'!C$3:C$42)),5*1,5*('1.DATOS-PROD'!C38-MIN('1.DATOS-PROD'!C$3:C$42))/(MAX('1.DATOS-PROD'!C$3:C$42)-MIN('1.DATOS-PROD'!C$3:C$42))))</f>
        <v>5</v>
      </c>
      <c r="G43" s="56">
        <f>IF('1.DATOS-PROD'!D38&lt;AVERAGE('1.DATOS-PROD'!D$3:D$42)-1.5*(AVERAGE('1.DATOS-PROD'!D$3:D$42)-QUARTILE('1.DATOS-PROD'!D$3:D$42,1)),5*0,IF('1.DATOS-PROD'!D38&gt;AVERAGE('1.DATOS-PROD'!D$3:D$42)+1.5*(QUARTILE('1.DATOS-PROD'!D$3:D$42,3)-AVERAGE('1.DATOS-PROD'!D$3:D$42)),5*1,5*('1.DATOS-PROD'!D38-MIN('1.DATOS-PROD'!D$3:D$42))/(MAX('1.DATOS-PROD'!D$3:D$42)-MIN('1.DATOS-PROD'!D$3:D$42))))</f>
        <v>5</v>
      </c>
      <c r="H43" s="56">
        <f>IF('1.DATOS-PROD'!E38&lt;AVERAGE('1.DATOS-PROD'!E$3:E$42)-1.5*(AVERAGE('1.DATOS-PROD'!E$3:E$42)-QUARTILE('1.DATOS-PROD'!E$3:E$42,1)),5*0,IF('1.DATOS-PROD'!E38&gt;AVERAGE('1.DATOS-PROD'!E$3:E$42)+1.5*(QUARTILE('1.DATOS-PROD'!E$3:E$42,3)-AVERAGE('1.DATOS-PROD'!E$3:E$42)),5*1,5*('1.DATOS-PROD'!E38-MIN('1.DATOS-PROD'!E$3:E$42))/(MAX('1.DATOS-PROD'!E$3:E$42)-MIN('1.DATOS-PROD'!E$3:E$42))))</f>
        <v>5</v>
      </c>
      <c r="I43" s="142" t="str">
        <f>IF(A43&lt;&gt;0,'1.DATOS-PROD'!F38+'1.DATOS-PROD'!G38,"")</f>
        <v/>
      </c>
      <c r="J43" s="143">
        <f t="shared" si="0"/>
        <v>4.7727272727272725</v>
      </c>
      <c r="K43" s="142">
        <f>IF('1.DATOS-PROD'!H38="SI",5,0)</f>
        <v>0</v>
      </c>
      <c r="L43" s="50" t="str">
        <f>'1.DATOS-PROD'!I38</f>
        <v/>
      </c>
      <c r="M43" s="47" t="str">
        <f t="shared" si="1"/>
        <v/>
      </c>
      <c r="N43" s="141" t="e">
        <f t="shared" si="2"/>
        <v>#VALUE!</v>
      </c>
    </row>
    <row r="44" spans="1:14" x14ac:dyDescent="0.25">
      <c r="A44">
        <f>'0.Consolidado general'!$A39</f>
        <v>0</v>
      </c>
      <c r="B44" s="143">
        <f>5-(IF('1.PUNTOS-FIN'!B38&lt;AVERAGE('1.PUNTOS-FIN'!B$2:B$41)-1.5*(AVERAGE('1.PUNTOS-FIN'!B$2:B$41)-QUARTILE('1.PUNTOS-FIN'!B$2:B$41,1)),5*0,IF('1.PUNTOS-FIN'!B38&gt;AVERAGE('1.PUNTOS-FIN'!B$2:B$41)+1.5*(QUARTILE('1.PUNTOS-FIN'!B$2:B$41,3)-AVERAGE('1.PUNTOS-FIN'!B$2:B$41)),5*1,5*('1.PUNTOS-FIN'!B38-MIN('1.PUNTOS-FIN'!B$2:B$41))/(MAX('1.PUNTOS-FIN'!B$2:B$41)-MIN('1.PUNTOS-FIN'!B$2:B$41)))))</f>
        <v>0</v>
      </c>
      <c r="C44" s="143">
        <f>5-(IF('1.PUNTOS-FIN'!C38&lt;AVERAGE('1.PUNTOS-FIN'!C$2:C$41)-1.5*(AVERAGE('1.PUNTOS-FIN'!C$2:C$41)-QUARTILE('1.PUNTOS-FIN'!C$2:C$41,1)),5*0,IF('1.PUNTOS-FIN'!C38&gt;AVERAGE('1.PUNTOS-FIN'!C$2:C$41)+1.5*(QUARTILE('1.PUNTOS-FIN'!C$2:C$41,3)-AVERAGE('1.PUNTOS-FIN'!C$2:C$41)),5*1,5*('1.PUNTOS-FIN'!C38-MIN('1.PUNTOS-FIN'!C$2:C$41))/(MAX('1.PUNTOS-FIN'!C$2:C$41)-MIN('1.PUNTOS-FIN'!C$2:C$41)))))</f>
        <v>0</v>
      </c>
      <c r="D44" s="143">
        <f>5-(IF('1.PUNTOS-FIN'!D38&lt;AVERAGE('1.PUNTOS-FIN'!D$2:D$41)-1.5*(AVERAGE('1.PUNTOS-FIN'!D$2:D$41)-QUARTILE('1.PUNTOS-FIN'!D$2:D$41,1)),5*0,IF('1.PUNTOS-FIN'!D38&gt;AVERAGE('1.PUNTOS-FIN'!D$2:D$41)+1.5*(QUARTILE('1.PUNTOS-FIN'!D$2:D$41,3)-AVERAGE('1.PUNTOS-FIN'!D$2:D$41)),5*1,5*('1.PUNTOS-FIN'!D38-MIN('1.PUNTOS-FIN'!D$2:D$41))/(MAX('1.PUNTOS-FIN'!D$2:D$41)-MIN('1.PUNTOS-FIN'!D$2:D$41)))))</f>
        <v>0</v>
      </c>
      <c r="E44" s="56">
        <f>IF('1.DATOS-PROD'!B39&lt;AVERAGE('1.DATOS-PROD'!B$3:B$42)-1.5*(AVERAGE('1.DATOS-PROD'!B$3:B$42)-QUARTILE('1.DATOS-PROD'!B$3:B$42,1)),5*0,IF('1.DATOS-PROD'!B39&gt;AVERAGE('1.DATOS-PROD'!B$3:B$42)+1.5*(QUARTILE('1.DATOS-PROD'!B$3:B$42,3)-AVERAGE('1.DATOS-PROD'!B$3:B$42)),5*1,5*('1.DATOS-PROD'!B39-MIN('1.DATOS-PROD'!B$3:B$42))/(MAX('1.DATOS-PROD'!B$3:B$42)-MIN('1.DATOS-PROD'!B$3:B$42))))</f>
        <v>5</v>
      </c>
      <c r="F44" s="56">
        <f>IF('1.DATOS-PROD'!C39&lt;AVERAGE('1.DATOS-PROD'!C$3:C$42)-1.5*(AVERAGE('1.DATOS-PROD'!C$3:C$42)-QUARTILE('1.DATOS-PROD'!C$3:C$42,1)),5*0,IF('1.DATOS-PROD'!C39&gt;AVERAGE('1.DATOS-PROD'!C$3:C$42)+1.5*(QUARTILE('1.DATOS-PROD'!C$3:C$42,3)-AVERAGE('1.DATOS-PROD'!C$3:C$42)),5*1,5*('1.DATOS-PROD'!C39-MIN('1.DATOS-PROD'!C$3:C$42))/(MAX('1.DATOS-PROD'!C$3:C$42)-MIN('1.DATOS-PROD'!C$3:C$42))))</f>
        <v>5</v>
      </c>
      <c r="G44" s="56">
        <f>IF('1.DATOS-PROD'!D39&lt;AVERAGE('1.DATOS-PROD'!D$3:D$42)-1.5*(AVERAGE('1.DATOS-PROD'!D$3:D$42)-QUARTILE('1.DATOS-PROD'!D$3:D$42,1)),5*0,IF('1.DATOS-PROD'!D39&gt;AVERAGE('1.DATOS-PROD'!D$3:D$42)+1.5*(QUARTILE('1.DATOS-PROD'!D$3:D$42,3)-AVERAGE('1.DATOS-PROD'!D$3:D$42)),5*1,5*('1.DATOS-PROD'!D39-MIN('1.DATOS-PROD'!D$3:D$42))/(MAX('1.DATOS-PROD'!D$3:D$42)-MIN('1.DATOS-PROD'!D$3:D$42))))</f>
        <v>5</v>
      </c>
      <c r="H44" s="56">
        <f>IF('1.DATOS-PROD'!E39&lt;AVERAGE('1.DATOS-PROD'!E$3:E$42)-1.5*(AVERAGE('1.DATOS-PROD'!E$3:E$42)-QUARTILE('1.DATOS-PROD'!E$3:E$42,1)),5*0,IF('1.DATOS-PROD'!E39&gt;AVERAGE('1.DATOS-PROD'!E$3:E$42)+1.5*(QUARTILE('1.DATOS-PROD'!E$3:E$42,3)-AVERAGE('1.DATOS-PROD'!E$3:E$42)),5*1,5*('1.DATOS-PROD'!E39-MIN('1.DATOS-PROD'!E$3:E$42))/(MAX('1.DATOS-PROD'!E$3:E$42)-MIN('1.DATOS-PROD'!E$3:E$42))))</f>
        <v>5</v>
      </c>
      <c r="I44" s="142" t="str">
        <f>IF(A44&lt;&gt;0,'1.DATOS-PROD'!F39+'1.DATOS-PROD'!G39,"")</f>
        <v/>
      </c>
      <c r="J44" s="143">
        <f t="shared" si="0"/>
        <v>4.7727272727272725</v>
      </c>
      <c r="K44" s="142">
        <f>IF('1.DATOS-PROD'!H39="SI",5,0)</f>
        <v>0</v>
      </c>
      <c r="L44" s="50" t="str">
        <f>'1.DATOS-PROD'!I39</f>
        <v/>
      </c>
      <c r="M44" s="47" t="str">
        <f t="shared" si="1"/>
        <v/>
      </c>
      <c r="N44" s="141" t="e">
        <f t="shared" si="2"/>
        <v>#VALUE!</v>
      </c>
    </row>
    <row r="45" spans="1:14" x14ac:dyDescent="0.25">
      <c r="A45">
        <f>'0.Consolidado general'!$A40</f>
        <v>0</v>
      </c>
      <c r="B45" s="143">
        <f>5-(IF('1.PUNTOS-FIN'!B39&lt;AVERAGE('1.PUNTOS-FIN'!B$2:B$41)-1.5*(AVERAGE('1.PUNTOS-FIN'!B$2:B$41)-QUARTILE('1.PUNTOS-FIN'!B$2:B$41,1)),5*0,IF('1.PUNTOS-FIN'!B39&gt;AVERAGE('1.PUNTOS-FIN'!B$2:B$41)+1.5*(QUARTILE('1.PUNTOS-FIN'!B$2:B$41,3)-AVERAGE('1.PUNTOS-FIN'!B$2:B$41)),5*1,5*('1.PUNTOS-FIN'!B39-MIN('1.PUNTOS-FIN'!B$2:B$41))/(MAX('1.PUNTOS-FIN'!B$2:B$41)-MIN('1.PUNTOS-FIN'!B$2:B$41)))))</f>
        <v>0</v>
      </c>
      <c r="C45" s="143">
        <f>5-(IF('1.PUNTOS-FIN'!C39&lt;AVERAGE('1.PUNTOS-FIN'!C$2:C$41)-1.5*(AVERAGE('1.PUNTOS-FIN'!C$2:C$41)-QUARTILE('1.PUNTOS-FIN'!C$2:C$41,1)),5*0,IF('1.PUNTOS-FIN'!C39&gt;AVERAGE('1.PUNTOS-FIN'!C$2:C$41)+1.5*(QUARTILE('1.PUNTOS-FIN'!C$2:C$41,3)-AVERAGE('1.PUNTOS-FIN'!C$2:C$41)),5*1,5*('1.PUNTOS-FIN'!C39-MIN('1.PUNTOS-FIN'!C$2:C$41))/(MAX('1.PUNTOS-FIN'!C$2:C$41)-MIN('1.PUNTOS-FIN'!C$2:C$41)))))</f>
        <v>0</v>
      </c>
      <c r="D45" s="143">
        <f>5-(IF('1.PUNTOS-FIN'!D39&lt;AVERAGE('1.PUNTOS-FIN'!D$2:D$41)-1.5*(AVERAGE('1.PUNTOS-FIN'!D$2:D$41)-QUARTILE('1.PUNTOS-FIN'!D$2:D$41,1)),5*0,IF('1.PUNTOS-FIN'!D39&gt;AVERAGE('1.PUNTOS-FIN'!D$2:D$41)+1.5*(QUARTILE('1.PUNTOS-FIN'!D$2:D$41,3)-AVERAGE('1.PUNTOS-FIN'!D$2:D$41)),5*1,5*('1.PUNTOS-FIN'!D39-MIN('1.PUNTOS-FIN'!D$2:D$41))/(MAX('1.PUNTOS-FIN'!D$2:D$41)-MIN('1.PUNTOS-FIN'!D$2:D$41)))))</f>
        <v>0</v>
      </c>
      <c r="E45" s="56">
        <f>IF('1.DATOS-PROD'!B40&lt;AVERAGE('1.DATOS-PROD'!B$3:B$42)-1.5*(AVERAGE('1.DATOS-PROD'!B$3:B$42)-QUARTILE('1.DATOS-PROD'!B$3:B$42,1)),5*0,IF('1.DATOS-PROD'!B40&gt;AVERAGE('1.DATOS-PROD'!B$3:B$42)+1.5*(QUARTILE('1.DATOS-PROD'!B$3:B$42,3)-AVERAGE('1.DATOS-PROD'!B$3:B$42)),5*1,5*('1.DATOS-PROD'!B40-MIN('1.DATOS-PROD'!B$3:B$42))/(MAX('1.DATOS-PROD'!B$3:B$42)-MIN('1.DATOS-PROD'!B$3:B$42))))</f>
        <v>5</v>
      </c>
      <c r="F45" s="56">
        <f>IF('1.DATOS-PROD'!C40&lt;AVERAGE('1.DATOS-PROD'!C$3:C$42)-1.5*(AVERAGE('1.DATOS-PROD'!C$3:C$42)-QUARTILE('1.DATOS-PROD'!C$3:C$42,1)),5*0,IF('1.DATOS-PROD'!C40&gt;AVERAGE('1.DATOS-PROD'!C$3:C$42)+1.5*(QUARTILE('1.DATOS-PROD'!C$3:C$42,3)-AVERAGE('1.DATOS-PROD'!C$3:C$42)),5*1,5*('1.DATOS-PROD'!C40-MIN('1.DATOS-PROD'!C$3:C$42))/(MAX('1.DATOS-PROD'!C$3:C$42)-MIN('1.DATOS-PROD'!C$3:C$42))))</f>
        <v>5</v>
      </c>
      <c r="G45" s="56">
        <f>IF('1.DATOS-PROD'!D40&lt;AVERAGE('1.DATOS-PROD'!D$3:D$42)-1.5*(AVERAGE('1.DATOS-PROD'!D$3:D$42)-QUARTILE('1.DATOS-PROD'!D$3:D$42,1)),5*0,IF('1.DATOS-PROD'!D40&gt;AVERAGE('1.DATOS-PROD'!D$3:D$42)+1.5*(QUARTILE('1.DATOS-PROD'!D$3:D$42,3)-AVERAGE('1.DATOS-PROD'!D$3:D$42)),5*1,5*('1.DATOS-PROD'!D40-MIN('1.DATOS-PROD'!D$3:D$42))/(MAX('1.DATOS-PROD'!D$3:D$42)-MIN('1.DATOS-PROD'!D$3:D$42))))</f>
        <v>5</v>
      </c>
      <c r="H45" s="56">
        <f>IF('1.DATOS-PROD'!E40&lt;AVERAGE('1.DATOS-PROD'!E$3:E$42)-1.5*(AVERAGE('1.DATOS-PROD'!E$3:E$42)-QUARTILE('1.DATOS-PROD'!E$3:E$42,1)),5*0,IF('1.DATOS-PROD'!E40&gt;AVERAGE('1.DATOS-PROD'!E$3:E$42)+1.5*(QUARTILE('1.DATOS-PROD'!E$3:E$42,3)-AVERAGE('1.DATOS-PROD'!E$3:E$42)),5*1,5*('1.DATOS-PROD'!E40-MIN('1.DATOS-PROD'!E$3:E$42))/(MAX('1.DATOS-PROD'!E$3:E$42)-MIN('1.DATOS-PROD'!E$3:E$42))))</f>
        <v>5</v>
      </c>
      <c r="I45" s="142" t="str">
        <f>IF(A45&lt;&gt;0,'1.DATOS-PROD'!F40+'1.DATOS-PROD'!G40,"")</f>
        <v/>
      </c>
      <c r="J45" s="143">
        <f t="shared" si="0"/>
        <v>4.7727272727272725</v>
      </c>
      <c r="K45" s="142">
        <f>IF('1.DATOS-PROD'!H40="SI",5,0)</f>
        <v>0</v>
      </c>
      <c r="L45" s="50" t="str">
        <f>'1.DATOS-PROD'!I40</f>
        <v/>
      </c>
      <c r="M45" s="47" t="str">
        <f t="shared" si="1"/>
        <v/>
      </c>
      <c r="N45" s="141" t="e">
        <f t="shared" si="2"/>
        <v>#VALUE!</v>
      </c>
    </row>
    <row r="46" spans="1:14" x14ac:dyDescent="0.25">
      <c r="A46">
        <f>'0.Consolidado general'!$A41</f>
        <v>0</v>
      </c>
      <c r="B46" s="143">
        <f>5-(IF('1.PUNTOS-FIN'!B40&lt;AVERAGE('1.PUNTOS-FIN'!B$2:B$41)-1.5*(AVERAGE('1.PUNTOS-FIN'!B$2:B$41)-QUARTILE('1.PUNTOS-FIN'!B$2:B$41,1)),5*0,IF('1.PUNTOS-FIN'!B40&gt;AVERAGE('1.PUNTOS-FIN'!B$2:B$41)+1.5*(QUARTILE('1.PUNTOS-FIN'!B$2:B$41,3)-AVERAGE('1.PUNTOS-FIN'!B$2:B$41)),5*1,5*('1.PUNTOS-FIN'!B40-MIN('1.PUNTOS-FIN'!B$2:B$41))/(MAX('1.PUNTOS-FIN'!B$2:B$41)-MIN('1.PUNTOS-FIN'!B$2:B$41)))))</f>
        <v>0</v>
      </c>
      <c r="C46" s="143">
        <f>5-(IF('1.PUNTOS-FIN'!C40&lt;AVERAGE('1.PUNTOS-FIN'!C$2:C$41)-1.5*(AVERAGE('1.PUNTOS-FIN'!C$2:C$41)-QUARTILE('1.PUNTOS-FIN'!C$2:C$41,1)),5*0,IF('1.PUNTOS-FIN'!C40&gt;AVERAGE('1.PUNTOS-FIN'!C$2:C$41)+1.5*(QUARTILE('1.PUNTOS-FIN'!C$2:C$41,3)-AVERAGE('1.PUNTOS-FIN'!C$2:C$41)),5*1,5*('1.PUNTOS-FIN'!C40-MIN('1.PUNTOS-FIN'!C$2:C$41))/(MAX('1.PUNTOS-FIN'!C$2:C$41)-MIN('1.PUNTOS-FIN'!C$2:C$41)))))</f>
        <v>0</v>
      </c>
      <c r="D46" s="143">
        <f>5-(IF('1.PUNTOS-FIN'!D40&lt;AVERAGE('1.PUNTOS-FIN'!D$2:D$41)-1.5*(AVERAGE('1.PUNTOS-FIN'!D$2:D$41)-QUARTILE('1.PUNTOS-FIN'!D$2:D$41,1)),5*0,IF('1.PUNTOS-FIN'!D40&gt;AVERAGE('1.PUNTOS-FIN'!D$2:D$41)+1.5*(QUARTILE('1.PUNTOS-FIN'!D$2:D$41,3)-AVERAGE('1.PUNTOS-FIN'!D$2:D$41)),5*1,5*('1.PUNTOS-FIN'!D40-MIN('1.PUNTOS-FIN'!D$2:D$41))/(MAX('1.PUNTOS-FIN'!D$2:D$41)-MIN('1.PUNTOS-FIN'!D$2:D$41)))))</f>
        <v>0</v>
      </c>
      <c r="E46" s="56">
        <f>IF('1.DATOS-PROD'!B41&lt;AVERAGE('1.DATOS-PROD'!B$3:B$42)-1.5*(AVERAGE('1.DATOS-PROD'!B$3:B$42)-QUARTILE('1.DATOS-PROD'!B$3:B$42,1)),5*0,IF('1.DATOS-PROD'!B41&gt;AVERAGE('1.DATOS-PROD'!B$3:B$42)+1.5*(QUARTILE('1.DATOS-PROD'!B$3:B$42,3)-AVERAGE('1.DATOS-PROD'!B$3:B$42)),5*1,5*('1.DATOS-PROD'!B41-MIN('1.DATOS-PROD'!B$3:B$42))/(MAX('1.DATOS-PROD'!B$3:B$42)-MIN('1.DATOS-PROD'!B$3:B$42))))</f>
        <v>5</v>
      </c>
      <c r="F46" s="56">
        <f>IF('1.DATOS-PROD'!C41&lt;AVERAGE('1.DATOS-PROD'!C$3:C$42)-1.5*(AVERAGE('1.DATOS-PROD'!C$3:C$42)-QUARTILE('1.DATOS-PROD'!C$3:C$42,1)),5*0,IF('1.DATOS-PROD'!C41&gt;AVERAGE('1.DATOS-PROD'!C$3:C$42)+1.5*(QUARTILE('1.DATOS-PROD'!C$3:C$42,3)-AVERAGE('1.DATOS-PROD'!C$3:C$42)),5*1,5*('1.DATOS-PROD'!C41-MIN('1.DATOS-PROD'!C$3:C$42))/(MAX('1.DATOS-PROD'!C$3:C$42)-MIN('1.DATOS-PROD'!C$3:C$42))))</f>
        <v>5</v>
      </c>
      <c r="G46" s="56">
        <f>IF('1.DATOS-PROD'!D41&lt;AVERAGE('1.DATOS-PROD'!D$3:D$42)-1.5*(AVERAGE('1.DATOS-PROD'!D$3:D$42)-QUARTILE('1.DATOS-PROD'!D$3:D$42,1)),5*0,IF('1.DATOS-PROD'!D41&gt;AVERAGE('1.DATOS-PROD'!D$3:D$42)+1.5*(QUARTILE('1.DATOS-PROD'!D$3:D$42,3)-AVERAGE('1.DATOS-PROD'!D$3:D$42)),5*1,5*('1.DATOS-PROD'!D41-MIN('1.DATOS-PROD'!D$3:D$42))/(MAX('1.DATOS-PROD'!D$3:D$42)-MIN('1.DATOS-PROD'!D$3:D$42))))</f>
        <v>5</v>
      </c>
      <c r="H46" s="56">
        <f>IF('1.DATOS-PROD'!E41&lt;AVERAGE('1.DATOS-PROD'!E$3:E$42)-1.5*(AVERAGE('1.DATOS-PROD'!E$3:E$42)-QUARTILE('1.DATOS-PROD'!E$3:E$42,1)),5*0,IF('1.DATOS-PROD'!E41&gt;AVERAGE('1.DATOS-PROD'!E$3:E$42)+1.5*(QUARTILE('1.DATOS-PROD'!E$3:E$42,3)-AVERAGE('1.DATOS-PROD'!E$3:E$42)),5*1,5*('1.DATOS-PROD'!E41-MIN('1.DATOS-PROD'!E$3:E$42))/(MAX('1.DATOS-PROD'!E$3:E$42)-MIN('1.DATOS-PROD'!E$3:E$42))))</f>
        <v>5</v>
      </c>
      <c r="I46" s="142" t="str">
        <f>IF(A46&lt;&gt;0,'1.DATOS-PROD'!F41+'1.DATOS-PROD'!G41,"")</f>
        <v/>
      </c>
      <c r="J46" s="143">
        <f t="shared" si="0"/>
        <v>4.7727272727272725</v>
      </c>
      <c r="K46" s="142">
        <f>IF('1.DATOS-PROD'!H41="SI",5,0)</f>
        <v>0</v>
      </c>
      <c r="L46" s="50" t="str">
        <f>'1.DATOS-PROD'!I41</f>
        <v/>
      </c>
      <c r="M46" s="47" t="str">
        <f t="shared" si="1"/>
        <v/>
      </c>
      <c r="N46" s="141" t="e">
        <f t="shared" si="2"/>
        <v>#VALUE!</v>
      </c>
    </row>
    <row r="47" spans="1:14" x14ac:dyDescent="0.25">
      <c r="A47">
        <f>'0.Consolidado general'!$A42</f>
        <v>0</v>
      </c>
      <c r="B47" s="143">
        <f>5-(IF('1.PUNTOS-FIN'!B41&lt;AVERAGE('1.PUNTOS-FIN'!B$2:B$41)-1.5*(AVERAGE('1.PUNTOS-FIN'!B$2:B$41)-QUARTILE('1.PUNTOS-FIN'!B$2:B$41,1)),5*0,IF('1.PUNTOS-FIN'!B41&gt;AVERAGE('1.PUNTOS-FIN'!B$2:B$41)+1.5*(QUARTILE('1.PUNTOS-FIN'!B$2:B$41,3)-AVERAGE('1.PUNTOS-FIN'!B$2:B$41)),5*1,5*('1.PUNTOS-FIN'!B41-MIN('1.PUNTOS-FIN'!B$2:B$41))/(MAX('1.PUNTOS-FIN'!B$2:B$41)-MIN('1.PUNTOS-FIN'!B$2:B$41)))))</f>
        <v>0</v>
      </c>
      <c r="C47" s="143">
        <f>5-(IF('1.PUNTOS-FIN'!C41&lt;AVERAGE('1.PUNTOS-FIN'!C$2:C$41)-1.5*(AVERAGE('1.PUNTOS-FIN'!C$2:C$41)-QUARTILE('1.PUNTOS-FIN'!C$2:C$41,1)),5*0,IF('1.PUNTOS-FIN'!C41&gt;AVERAGE('1.PUNTOS-FIN'!C$2:C$41)+1.5*(QUARTILE('1.PUNTOS-FIN'!C$2:C$41,3)-AVERAGE('1.PUNTOS-FIN'!C$2:C$41)),5*1,5*('1.PUNTOS-FIN'!C41-MIN('1.PUNTOS-FIN'!C$2:C$41))/(MAX('1.PUNTOS-FIN'!C$2:C$41)-MIN('1.PUNTOS-FIN'!C$2:C$41)))))</f>
        <v>0</v>
      </c>
      <c r="D47" s="143">
        <f>5-(IF('1.PUNTOS-FIN'!D41&lt;AVERAGE('1.PUNTOS-FIN'!D$2:D$41)-1.5*(AVERAGE('1.PUNTOS-FIN'!D$2:D$41)-QUARTILE('1.PUNTOS-FIN'!D$2:D$41,1)),5*0,IF('1.PUNTOS-FIN'!D41&gt;AVERAGE('1.PUNTOS-FIN'!D$2:D$41)+1.5*(QUARTILE('1.PUNTOS-FIN'!D$2:D$41,3)-AVERAGE('1.PUNTOS-FIN'!D$2:D$41)),5*1,5*('1.PUNTOS-FIN'!D41-MIN('1.PUNTOS-FIN'!D$2:D$41))/(MAX('1.PUNTOS-FIN'!D$2:D$41)-MIN('1.PUNTOS-FIN'!D$2:D$41)))))</f>
        <v>0</v>
      </c>
      <c r="E47" s="56">
        <f>IF('1.DATOS-PROD'!B42&lt;AVERAGE('1.DATOS-PROD'!B$3:B$42)-1.5*(AVERAGE('1.DATOS-PROD'!B$3:B$42)-QUARTILE('1.DATOS-PROD'!B$3:B$42,1)),5*0,IF('1.DATOS-PROD'!B42&gt;AVERAGE('1.DATOS-PROD'!B$3:B$42)+1.5*(QUARTILE('1.DATOS-PROD'!B$3:B$42,3)-AVERAGE('1.DATOS-PROD'!B$3:B$42)),5*1,5*('1.DATOS-PROD'!B42-MIN('1.DATOS-PROD'!B$3:B$42))/(MAX('1.DATOS-PROD'!B$3:B$42)-MIN('1.DATOS-PROD'!B$3:B$42))))</f>
        <v>5</v>
      </c>
      <c r="F47" s="56">
        <f>IF('1.DATOS-PROD'!C42&lt;AVERAGE('1.DATOS-PROD'!C$3:C$42)-1.5*(AVERAGE('1.DATOS-PROD'!C$3:C$42)-QUARTILE('1.DATOS-PROD'!C$3:C$42,1)),5*0,IF('1.DATOS-PROD'!C42&gt;AVERAGE('1.DATOS-PROD'!C$3:C$42)+1.5*(QUARTILE('1.DATOS-PROD'!C$3:C$42,3)-AVERAGE('1.DATOS-PROD'!C$3:C$42)),5*1,5*('1.DATOS-PROD'!C42-MIN('1.DATOS-PROD'!C$3:C$42))/(MAX('1.DATOS-PROD'!C$3:C$42)-MIN('1.DATOS-PROD'!C$3:C$42))))</f>
        <v>5</v>
      </c>
      <c r="G47" s="56">
        <f>IF('1.DATOS-PROD'!D42&lt;AVERAGE('1.DATOS-PROD'!D$3:D$42)-1.5*(AVERAGE('1.DATOS-PROD'!D$3:D$42)-QUARTILE('1.DATOS-PROD'!D$3:D$42,1)),5*0,IF('1.DATOS-PROD'!D42&gt;AVERAGE('1.DATOS-PROD'!D$3:D$42)+1.5*(QUARTILE('1.DATOS-PROD'!D$3:D$42,3)-AVERAGE('1.DATOS-PROD'!D$3:D$42)),5*1,5*('1.DATOS-PROD'!D42-MIN('1.DATOS-PROD'!D$3:D$42))/(MAX('1.DATOS-PROD'!D$3:D$42)-MIN('1.DATOS-PROD'!D$3:D$42))))</f>
        <v>5</v>
      </c>
      <c r="H47" s="56">
        <f>IF('1.DATOS-PROD'!E42&lt;AVERAGE('1.DATOS-PROD'!E$3:E$42)-1.5*(AVERAGE('1.DATOS-PROD'!E$3:E$42)-QUARTILE('1.DATOS-PROD'!E$3:E$42,1)),5*0,IF('1.DATOS-PROD'!E42&gt;AVERAGE('1.DATOS-PROD'!E$3:E$42)+1.5*(QUARTILE('1.DATOS-PROD'!E$3:E$42,3)-AVERAGE('1.DATOS-PROD'!E$3:E$42)),5*1,5*('1.DATOS-PROD'!E42-MIN('1.DATOS-PROD'!E$3:E$42))/(MAX('1.DATOS-PROD'!E$3:E$42)-MIN('1.DATOS-PROD'!E$3:E$42))))</f>
        <v>5</v>
      </c>
      <c r="I47" s="142" t="str">
        <f>IF(A47&lt;&gt;0,'1.DATOS-PROD'!F42+'1.DATOS-PROD'!G42,"")</f>
        <v/>
      </c>
      <c r="J47" s="143">
        <f t="shared" si="0"/>
        <v>4.7727272727272725</v>
      </c>
      <c r="K47" s="142">
        <f>IF('1.DATOS-PROD'!H42="SI",5,0)</f>
        <v>0</v>
      </c>
      <c r="L47" s="50" t="str">
        <f>'1.DATOS-PROD'!I42</f>
        <v/>
      </c>
      <c r="M47" s="47" t="str">
        <f t="shared" si="1"/>
        <v/>
      </c>
      <c r="N47" s="141" t="e">
        <f t="shared" si="2"/>
        <v>#VALUE!</v>
      </c>
    </row>
    <row r="48" spans="1:14" x14ac:dyDescent="0.25">
      <c r="A48">
        <f>'0.Consolidado general'!$A43</f>
        <v>0</v>
      </c>
    </row>
    <row r="49" spans="1:1" x14ac:dyDescent="0.25">
      <c r="A49">
        <f>'0.Consolidado general'!$A44</f>
        <v>0</v>
      </c>
    </row>
    <row r="50" spans="1:1" x14ac:dyDescent="0.25">
      <c r="A50">
        <f>'0.Consolidado general'!$A45</f>
        <v>0</v>
      </c>
    </row>
    <row r="51" spans="1:1" x14ac:dyDescent="0.25">
      <c r="A51">
        <f>'0.Consolidado general'!$A46</f>
        <v>0</v>
      </c>
    </row>
    <row r="52" spans="1:1" x14ac:dyDescent="0.25">
      <c r="A52">
        <f>'0.Consolidado general'!$A47</f>
        <v>0</v>
      </c>
    </row>
    <row r="53" spans="1:1" x14ac:dyDescent="0.25">
      <c r="A53">
        <f>'0.Consolidado general'!$A48</f>
        <v>0</v>
      </c>
    </row>
    <row r="54" spans="1:1" x14ac:dyDescent="0.25">
      <c r="A54">
        <f>'0.Consolidado general'!$A49</f>
        <v>0</v>
      </c>
    </row>
    <row r="55" spans="1:1" x14ac:dyDescent="0.25">
      <c r="A55">
        <f>'0.Consolidado general'!$A50</f>
        <v>0</v>
      </c>
    </row>
    <row r="56" spans="1:1" x14ac:dyDescent="0.25">
      <c r="A56">
        <f>'0.Consolidado general'!$A51</f>
        <v>0</v>
      </c>
    </row>
    <row r="57" spans="1:1" x14ac:dyDescent="0.25">
      <c r="A57">
        <f>'0.Consolidado general'!$A52</f>
        <v>0</v>
      </c>
    </row>
    <row r="58" spans="1:1" x14ac:dyDescent="0.25">
      <c r="A58">
        <f>'0.Consolidado general'!$A53</f>
        <v>0</v>
      </c>
    </row>
    <row r="59" spans="1:1" x14ac:dyDescent="0.25">
      <c r="A59">
        <f>'0.Consolidado general'!$A54</f>
        <v>0</v>
      </c>
    </row>
    <row r="60" spans="1:1" x14ac:dyDescent="0.25">
      <c r="A60">
        <f>'0.Consolidado general'!$A55</f>
        <v>0</v>
      </c>
    </row>
    <row r="61" spans="1:1" x14ac:dyDescent="0.25">
      <c r="A61">
        <f>'0.Consolidado general'!$A56</f>
        <v>0</v>
      </c>
    </row>
    <row r="62" spans="1:1" x14ac:dyDescent="0.25">
      <c r="A62">
        <f>'0.Consolidado general'!$A57</f>
        <v>0</v>
      </c>
    </row>
    <row r="63" spans="1:1" x14ac:dyDescent="0.25">
      <c r="A63">
        <f>'0.Consolidado general'!$A58</f>
        <v>0</v>
      </c>
    </row>
    <row r="64" spans="1:1" x14ac:dyDescent="0.25">
      <c r="A64">
        <f>'0.Consolidado general'!$A59</f>
        <v>0</v>
      </c>
    </row>
    <row r="65" spans="1:1" x14ac:dyDescent="0.25">
      <c r="A65">
        <f>'0.Consolidado general'!$A60</f>
        <v>0</v>
      </c>
    </row>
    <row r="66" spans="1:1" x14ac:dyDescent="0.25">
      <c r="A66">
        <f>'0.Consolidado general'!$A61</f>
        <v>0</v>
      </c>
    </row>
    <row r="67" spans="1:1" x14ac:dyDescent="0.25">
      <c r="A67">
        <f>'0.Consolidado general'!$A62</f>
        <v>0</v>
      </c>
    </row>
    <row r="68" spans="1:1" x14ac:dyDescent="0.25">
      <c r="A68">
        <f>'0.Consolidado general'!$A63</f>
        <v>0</v>
      </c>
    </row>
    <row r="69" spans="1:1" x14ac:dyDescent="0.25">
      <c r="A69">
        <f>'0.Consolidado general'!$A64</f>
        <v>0</v>
      </c>
    </row>
    <row r="70" spans="1:1" x14ac:dyDescent="0.25">
      <c r="A70">
        <f>'0.Consolidado general'!$A65</f>
        <v>0</v>
      </c>
    </row>
    <row r="71" spans="1:1" x14ac:dyDescent="0.25">
      <c r="A71">
        <f>'0.Consolidado general'!$A66</f>
        <v>0</v>
      </c>
    </row>
    <row r="72" spans="1:1" x14ac:dyDescent="0.25">
      <c r="A72">
        <f>'0.Consolidado general'!$A67</f>
        <v>0</v>
      </c>
    </row>
    <row r="73" spans="1:1" x14ac:dyDescent="0.25">
      <c r="A73">
        <f>'0.Consolidado general'!$A68</f>
        <v>0</v>
      </c>
    </row>
    <row r="74" spans="1:1" x14ac:dyDescent="0.25">
      <c r="A74">
        <f>'0.Consolidado general'!$A69</f>
        <v>0</v>
      </c>
    </row>
    <row r="75" spans="1:1" x14ac:dyDescent="0.25">
      <c r="A75">
        <f>'0.Consolidado general'!$A70</f>
        <v>0</v>
      </c>
    </row>
    <row r="76" spans="1:1" x14ac:dyDescent="0.25">
      <c r="A76">
        <f>'0.Consolidado general'!$A71</f>
        <v>0</v>
      </c>
    </row>
    <row r="77" spans="1:1" x14ac:dyDescent="0.25">
      <c r="A77">
        <f>'0.Consolidado general'!$A72</f>
        <v>0</v>
      </c>
    </row>
    <row r="78" spans="1:1" x14ac:dyDescent="0.25">
      <c r="A78">
        <f>'0.Consolidado general'!$A73</f>
        <v>0</v>
      </c>
    </row>
    <row r="79" spans="1:1" x14ac:dyDescent="0.25">
      <c r="A79">
        <f>'0.Consolidado general'!$A74</f>
        <v>0</v>
      </c>
    </row>
    <row r="80" spans="1:1" x14ac:dyDescent="0.25">
      <c r="A80">
        <f>'0.Consolidado general'!$A75</f>
        <v>0</v>
      </c>
    </row>
    <row r="81" spans="1:1" x14ac:dyDescent="0.25">
      <c r="A81">
        <f>'0.Consolidado general'!$A76</f>
        <v>0</v>
      </c>
    </row>
    <row r="82" spans="1:1" x14ac:dyDescent="0.25">
      <c r="A82">
        <f>'0.Consolidado general'!$A77</f>
        <v>0</v>
      </c>
    </row>
    <row r="83" spans="1:1" x14ac:dyDescent="0.25">
      <c r="A83">
        <f>'0.Consolidado general'!$A78</f>
        <v>0</v>
      </c>
    </row>
    <row r="84" spans="1:1" x14ac:dyDescent="0.25">
      <c r="A84">
        <f>'0.Consolidado general'!$A79</f>
        <v>0</v>
      </c>
    </row>
    <row r="85" spans="1:1" x14ac:dyDescent="0.25">
      <c r="A85">
        <f>'0.Consolidado general'!$A80</f>
        <v>0</v>
      </c>
    </row>
    <row r="86" spans="1:1" x14ac:dyDescent="0.25">
      <c r="A86">
        <f>'0.Consolidado general'!$A81</f>
        <v>0</v>
      </c>
    </row>
    <row r="87" spans="1:1" x14ac:dyDescent="0.25">
      <c r="A87">
        <f>'0.Consolidado general'!$A82</f>
        <v>0</v>
      </c>
    </row>
    <row r="88" spans="1:1" x14ac:dyDescent="0.25">
      <c r="A88">
        <f>'0.Consolidado general'!$A83</f>
        <v>0</v>
      </c>
    </row>
    <row r="89" spans="1:1" x14ac:dyDescent="0.25">
      <c r="A89">
        <f>'0.Consolidado general'!$A84</f>
        <v>0</v>
      </c>
    </row>
    <row r="90" spans="1:1" x14ac:dyDescent="0.25">
      <c r="A90">
        <f>'0.Consolidado general'!$A85</f>
        <v>0</v>
      </c>
    </row>
    <row r="91" spans="1:1" x14ac:dyDescent="0.25">
      <c r="A91">
        <f>'0.Consolidado general'!$A86</f>
        <v>0</v>
      </c>
    </row>
    <row r="92" spans="1:1" x14ac:dyDescent="0.25">
      <c r="A92">
        <f>'0.Consolidado general'!$A87</f>
        <v>0</v>
      </c>
    </row>
    <row r="93" spans="1:1" x14ac:dyDescent="0.25">
      <c r="A93">
        <f>'0.Consolidado general'!$A88</f>
        <v>0</v>
      </c>
    </row>
    <row r="94" spans="1:1" x14ac:dyDescent="0.25">
      <c r="A94">
        <f>'0.Consolidado general'!$A89</f>
        <v>0</v>
      </c>
    </row>
    <row r="95" spans="1:1" x14ac:dyDescent="0.25">
      <c r="A95">
        <f>'0.Consolidado general'!$A90</f>
        <v>0</v>
      </c>
    </row>
    <row r="96" spans="1:1" x14ac:dyDescent="0.25">
      <c r="A96">
        <f>'0.Consolidado general'!$A91</f>
        <v>0</v>
      </c>
    </row>
    <row r="97" spans="1:1" x14ac:dyDescent="0.25">
      <c r="A97">
        <f>'0.Consolidado general'!$A92</f>
        <v>0</v>
      </c>
    </row>
    <row r="98" spans="1:1" x14ac:dyDescent="0.25">
      <c r="A98">
        <f>'0.Consolidado general'!$A93</f>
        <v>0</v>
      </c>
    </row>
    <row r="99" spans="1:1" x14ac:dyDescent="0.25">
      <c r="A99">
        <f>'0.Consolidado general'!$A94</f>
        <v>0</v>
      </c>
    </row>
    <row r="100" spans="1:1" x14ac:dyDescent="0.25">
      <c r="A100">
        <f>'0.Consolidado general'!$A95</f>
        <v>0</v>
      </c>
    </row>
    <row r="101" spans="1:1" x14ac:dyDescent="0.25">
      <c r="A101">
        <f>'0.Consolidado general'!$A96</f>
        <v>0</v>
      </c>
    </row>
    <row r="102" spans="1:1" x14ac:dyDescent="0.25">
      <c r="A102">
        <f>'0.Consolidado general'!$A97</f>
        <v>0</v>
      </c>
    </row>
    <row r="103" spans="1:1" x14ac:dyDescent="0.25">
      <c r="A103">
        <f>'0.Consolidado general'!$A98</f>
        <v>0</v>
      </c>
    </row>
    <row r="104" spans="1:1" x14ac:dyDescent="0.25">
      <c r="A104">
        <f>'0.Consolidado general'!$A99</f>
        <v>0</v>
      </c>
    </row>
    <row r="105" spans="1:1" x14ac:dyDescent="0.25">
      <c r="A105">
        <f>'0.Consolidado general'!$A100</f>
        <v>0</v>
      </c>
    </row>
    <row r="106" spans="1:1" x14ac:dyDescent="0.25">
      <c r="A106">
        <f>'0.Consolidado general'!$A101</f>
        <v>0</v>
      </c>
    </row>
    <row r="107" spans="1:1" x14ac:dyDescent="0.25">
      <c r="A107">
        <f>'0.Consolidado general'!$A102</f>
        <v>0</v>
      </c>
    </row>
    <row r="108" spans="1:1" x14ac:dyDescent="0.25">
      <c r="A108">
        <f>'0.Consolidado general'!$A103</f>
        <v>0</v>
      </c>
    </row>
    <row r="109" spans="1:1" x14ac:dyDescent="0.25">
      <c r="A109">
        <f>'0.Consolidado general'!$A104</f>
        <v>0</v>
      </c>
    </row>
    <row r="110" spans="1:1" x14ac:dyDescent="0.25">
      <c r="A110">
        <f>'0.Consolidado general'!$A105</f>
        <v>0</v>
      </c>
    </row>
    <row r="111" spans="1:1" x14ac:dyDescent="0.25">
      <c r="A111">
        <f>'0.Consolidado general'!$A106</f>
        <v>0</v>
      </c>
    </row>
    <row r="112" spans="1:1" x14ac:dyDescent="0.25">
      <c r="A112">
        <f>'0.Consolidado general'!$A107</f>
        <v>0</v>
      </c>
    </row>
    <row r="113" spans="1:1" x14ac:dyDescent="0.25">
      <c r="A113">
        <f>'0.Consolidado general'!$A108</f>
        <v>0</v>
      </c>
    </row>
    <row r="114" spans="1:1" x14ac:dyDescent="0.25">
      <c r="A114">
        <f>'0.Consolidado general'!$A109</f>
        <v>0</v>
      </c>
    </row>
    <row r="115" spans="1:1" x14ac:dyDescent="0.25">
      <c r="A115">
        <f>'0.Consolidado general'!$A110</f>
        <v>0</v>
      </c>
    </row>
    <row r="116" spans="1:1" x14ac:dyDescent="0.25">
      <c r="A116">
        <f>'0.Consolidado general'!$A111</f>
        <v>0</v>
      </c>
    </row>
    <row r="117" spans="1:1" x14ac:dyDescent="0.25">
      <c r="A117">
        <f>'0.Consolidado general'!$A112</f>
        <v>0</v>
      </c>
    </row>
    <row r="118" spans="1:1" x14ac:dyDescent="0.25">
      <c r="A118">
        <f>'0.Consolidado general'!$A113</f>
        <v>0</v>
      </c>
    </row>
    <row r="119" spans="1:1" x14ac:dyDescent="0.25">
      <c r="A119">
        <f>'0.Consolidado general'!$A114</f>
        <v>0</v>
      </c>
    </row>
    <row r="120" spans="1:1" x14ac:dyDescent="0.25">
      <c r="A120">
        <f>'0.Consolidado general'!$A115</f>
        <v>0</v>
      </c>
    </row>
    <row r="121" spans="1:1" x14ac:dyDescent="0.25">
      <c r="A121">
        <f>'0.Consolidado general'!$A116</f>
        <v>0</v>
      </c>
    </row>
    <row r="122" spans="1:1" x14ac:dyDescent="0.25">
      <c r="A122">
        <f>'0.Consolidado general'!$A117</f>
        <v>0</v>
      </c>
    </row>
    <row r="123" spans="1:1" x14ac:dyDescent="0.25">
      <c r="A123">
        <f>'0.Consolidado general'!$A118</f>
        <v>0</v>
      </c>
    </row>
    <row r="124" spans="1:1" x14ac:dyDescent="0.25">
      <c r="A124">
        <f>'0.Consolidado general'!$A119</f>
        <v>0</v>
      </c>
    </row>
    <row r="125" spans="1:1" x14ac:dyDescent="0.25">
      <c r="A125">
        <f>'0.Consolidado general'!$A120</f>
        <v>0</v>
      </c>
    </row>
    <row r="126" spans="1:1" x14ac:dyDescent="0.25">
      <c r="A126">
        <f>'0.Consolidado general'!$A121</f>
        <v>0</v>
      </c>
    </row>
    <row r="127" spans="1:1" x14ac:dyDescent="0.25">
      <c r="A127">
        <f>'0.Consolidado general'!$A122</f>
        <v>0</v>
      </c>
    </row>
    <row r="128" spans="1:1" x14ac:dyDescent="0.25">
      <c r="A128">
        <f>'0.Consolidado general'!$A123</f>
        <v>0</v>
      </c>
    </row>
    <row r="129" spans="1:1" x14ac:dyDescent="0.25">
      <c r="A129">
        <f>'0.Consolidado general'!$A124</f>
        <v>0</v>
      </c>
    </row>
    <row r="130" spans="1:1" x14ac:dyDescent="0.25">
      <c r="A130">
        <f>'0.Consolidado general'!$A125</f>
        <v>0</v>
      </c>
    </row>
    <row r="131" spans="1:1" x14ac:dyDescent="0.25">
      <c r="A131">
        <f>'0.Consolidado general'!$A126</f>
        <v>0</v>
      </c>
    </row>
    <row r="132" spans="1:1" x14ac:dyDescent="0.25">
      <c r="A132">
        <f>'0.Consolidado general'!$A127</f>
        <v>0</v>
      </c>
    </row>
    <row r="133" spans="1:1" x14ac:dyDescent="0.25">
      <c r="A133">
        <f>'0.Consolidado general'!$A128</f>
        <v>0</v>
      </c>
    </row>
    <row r="134" spans="1:1" x14ac:dyDescent="0.25">
      <c r="A134">
        <f>'0.Consolidado general'!$A129</f>
        <v>0</v>
      </c>
    </row>
    <row r="135" spans="1:1" x14ac:dyDescent="0.25">
      <c r="A135">
        <f>'0.Consolidado general'!$A130</f>
        <v>0</v>
      </c>
    </row>
    <row r="136" spans="1:1" x14ac:dyDescent="0.25">
      <c r="A136">
        <f>'0.Consolidado general'!$A131</f>
        <v>0</v>
      </c>
    </row>
    <row r="137" spans="1:1" x14ac:dyDescent="0.25">
      <c r="A137">
        <f>'0.Consolidado general'!$A132</f>
        <v>0</v>
      </c>
    </row>
    <row r="138" spans="1:1" x14ac:dyDescent="0.25">
      <c r="A138">
        <f>'0.Consolidado general'!$A133</f>
        <v>0</v>
      </c>
    </row>
    <row r="139" spans="1:1" x14ac:dyDescent="0.25">
      <c r="A139">
        <f>'0.Consolidado general'!$A134</f>
        <v>0</v>
      </c>
    </row>
    <row r="140" spans="1:1" x14ac:dyDescent="0.25">
      <c r="A140">
        <f>'0.Consolidado general'!$A135</f>
        <v>0</v>
      </c>
    </row>
    <row r="141" spans="1:1" x14ac:dyDescent="0.25">
      <c r="A141">
        <f>'0.Consolidado general'!$A136</f>
        <v>0</v>
      </c>
    </row>
    <row r="142" spans="1:1" x14ac:dyDescent="0.25">
      <c r="A142">
        <f>'0.Consolidado general'!$A137</f>
        <v>0</v>
      </c>
    </row>
    <row r="143" spans="1:1" x14ac:dyDescent="0.25">
      <c r="A143">
        <f>'0.Consolidado general'!$A138</f>
        <v>0</v>
      </c>
    </row>
    <row r="144" spans="1:1" x14ac:dyDescent="0.25">
      <c r="A144">
        <f>'0.Consolidado general'!$A139</f>
        <v>0</v>
      </c>
    </row>
    <row r="145" spans="1:1" x14ac:dyDescent="0.25">
      <c r="A145">
        <f>'0.Consolidado general'!$A140</f>
        <v>0</v>
      </c>
    </row>
    <row r="146" spans="1:1" x14ac:dyDescent="0.25">
      <c r="A146">
        <f>'0.Consolidado general'!$A141</f>
        <v>0</v>
      </c>
    </row>
    <row r="147" spans="1:1" x14ac:dyDescent="0.25">
      <c r="A147">
        <f>'0.Consolidado general'!$A142</f>
        <v>0</v>
      </c>
    </row>
    <row r="148" spans="1:1" x14ac:dyDescent="0.25">
      <c r="A148">
        <f>'0.Consolidado general'!$A143</f>
        <v>0</v>
      </c>
    </row>
    <row r="149" spans="1:1" x14ac:dyDescent="0.25">
      <c r="A149">
        <f>'0.Consolidado general'!$A144</f>
        <v>0</v>
      </c>
    </row>
    <row r="150" spans="1:1" x14ac:dyDescent="0.25">
      <c r="A150">
        <f>'0.Consolidado general'!$A145</f>
        <v>0</v>
      </c>
    </row>
    <row r="151" spans="1:1" x14ac:dyDescent="0.25">
      <c r="A151">
        <f>'0.Consolidado general'!$A146</f>
        <v>0</v>
      </c>
    </row>
    <row r="152" spans="1:1" x14ac:dyDescent="0.25">
      <c r="A152">
        <f>'0.Consolidado general'!$A147</f>
        <v>0</v>
      </c>
    </row>
    <row r="153" spans="1:1" x14ac:dyDescent="0.25">
      <c r="A153">
        <f>'0.Consolidado general'!$A148</f>
        <v>0</v>
      </c>
    </row>
    <row r="154" spans="1:1" x14ac:dyDescent="0.25">
      <c r="A154">
        <f>'0.Consolidado general'!$A149</f>
        <v>0</v>
      </c>
    </row>
    <row r="155" spans="1:1" x14ac:dyDescent="0.25">
      <c r="A155">
        <f>'0.Consolidado general'!$A150</f>
        <v>0</v>
      </c>
    </row>
    <row r="156" spans="1:1" x14ac:dyDescent="0.25">
      <c r="A156">
        <f>'0.Consolidado general'!$A151</f>
        <v>0</v>
      </c>
    </row>
    <row r="157" spans="1:1" x14ac:dyDescent="0.25">
      <c r="A157">
        <f>'0.Consolidado general'!$A152</f>
        <v>0</v>
      </c>
    </row>
    <row r="158" spans="1:1" x14ac:dyDescent="0.25">
      <c r="A158">
        <f>'0.Consolidado general'!$A153</f>
        <v>0</v>
      </c>
    </row>
    <row r="159" spans="1:1" x14ac:dyDescent="0.25">
      <c r="A159">
        <f>'0.Consolidado general'!$A154</f>
        <v>0</v>
      </c>
    </row>
    <row r="160" spans="1:1" x14ac:dyDescent="0.25">
      <c r="A160">
        <f>'0.Consolidado general'!$A155</f>
        <v>0</v>
      </c>
    </row>
    <row r="161" spans="1:1" x14ac:dyDescent="0.25">
      <c r="A161">
        <f>'0.Consolidado general'!$A156</f>
        <v>0</v>
      </c>
    </row>
    <row r="162" spans="1:1" x14ac:dyDescent="0.25">
      <c r="A162">
        <f>'0.Consolidado general'!$A157</f>
        <v>0</v>
      </c>
    </row>
    <row r="163" spans="1:1" x14ac:dyDescent="0.25">
      <c r="A163">
        <f>'0.Consolidado general'!$A158</f>
        <v>0</v>
      </c>
    </row>
    <row r="164" spans="1:1" x14ac:dyDescent="0.25">
      <c r="A164">
        <f>'0.Consolidado general'!$A159</f>
        <v>0</v>
      </c>
    </row>
    <row r="165" spans="1:1" x14ac:dyDescent="0.25">
      <c r="A165">
        <f>'0.Consolidado general'!$A160</f>
        <v>0</v>
      </c>
    </row>
    <row r="166" spans="1:1" x14ac:dyDescent="0.25">
      <c r="A166">
        <f>'0.Consolidado general'!$A161</f>
        <v>0</v>
      </c>
    </row>
    <row r="167" spans="1:1" x14ac:dyDescent="0.25">
      <c r="A167">
        <f>'0.Consolidado general'!$A162</f>
        <v>0</v>
      </c>
    </row>
    <row r="168" spans="1:1" x14ac:dyDescent="0.25">
      <c r="A168">
        <f>'0.Consolidado general'!$A163</f>
        <v>0</v>
      </c>
    </row>
    <row r="169" spans="1:1" x14ac:dyDescent="0.25">
      <c r="A169">
        <f>'0.Consolidado general'!$A164</f>
        <v>0</v>
      </c>
    </row>
    <row r="170" spans="1:1" x14ac:dyDescent="0.25">
      <c r="A170">
        <f>'0.Consolidado general'!$A165</f>
        <v>0</v>
      </c>
    </row>
    <row r="171" spans="1:1" x14ac:dyDescent="0.25">
      <c r="A171">
        <f>'0.Consolidado general'!$A166</f>
        <v>0</v>
      </c>
    </row>
    <row r="172" spans="1:1" x14ac:dyDescent="0.25">
      <c r="A172">
        <f>'0.Consolidado general'!$A167</f>
        <v>0</v>
      </c>
    </row>
    <row r="173" spans="1:1" x14ac:dyDescent="0.25">
      <c r="A173">
        <f>'0.Consolidado general'!$A168</f>
        <v>0</v>
      </c>
    </row>
    <row r="174" spans="1:1" x14ac:dyDescent="0.25">
      <c r="A174">
        <f>'0.Consolidado general'!$A169</f>
        <v>0</v>
      </c>
    </row>
    <row r="175" spans="1:1" x14ac:dyDescent="0.25">
      <c r="A175">
        <f>'0.Consolidado general'!$A170</f>
        <v>0</v>
      </c>
    </row>
    <row r="176" spans="1:1" x14ac:dyDescent="0.25">
      <c r="A176">
        <f>'0.Consolidado general'!$A171</f>
        <v>0</v>
      </c>
    </row>
    <row r="177" spans="1:1" x14ac:dyDescent="0.25">
      <c r="A177">
        <f>'0.Consolidado general'!$A172</f>
        <v>0</v>
      </c>
    </row>
    <row r="178" spans="1:1" x14ac:dyDescent="0.25">
      <c r="A178">
        <f>'0.Consolidado general'!$A173</f>
        <v>0</v>
      </c>
    </row>
    <row r="179" spans="1:1" x14ac:dyDescent="0.25">
      <c r="A179">
        <f>'0.Consolidado general'!$A174</f>
        <v>0</v>
      </c>
    </row>
    <row r="180" spans="1:1" x14ac:dyDescent="0.25">
      <c r="A180">
        <f>'0.Consolidado general'!$A175</f>
        <v>0</v>
      </c>
    </row>
    <row r="181" spans="1:1" x14ac:dyDescent="0.25">
      <c r="A181">
        <f>'0.Consolidado general'!$A176</f>
        <v>0</v>
      </c>
    </row>
    <row r="182" spans="1:1" x14ac:dyDescent="0.25">
      <c r="A182">
        <f>'0.Consolidado general'!$A177</f>
        <v>0</v>
      </c>
    </row>
    <row r="183" spans="1:1" x14ac:dyDescent="0.25">
      <c r="A183">
        <f>'0.Consolidado general'!$A178</f>
        <v>0</v>
      </c>
    </row>
    <row r="184" spans="1:1" x14ac:dyDescent="0.25">
      <c r="A184">
        <f>'0.Consolidado general'!$A179</f>
        <v>0</v>
      </c>
    </row>
    <row r="185" spans="1:1" x14ac:dyDescent="0.25">
      <c r="A185">
        <f>'0.Consolidado general'!$A180</f>
        <v>0</v>
      </c>
    </row>
    <row r="186" spans="1:1" x14ac:dyDescent="0.25">
      <c r="A186">
        <f>'0.Consolidado general'!$A181</f>
        <v>0</v>
      </c>
    </row>
    <row r="187" spans="1:1" x14ac:dyDescent="0.25">
      <c r="A187">
        <f>'0.Consolidado general'!$A182</f>
        <v>0</v>
      </c>
    </row>
    <row r="188" spans="1:1" x14ac:dyDescent="0.25">
      <c r="A188">
        <f>'0.Consolidado general'!$A183</f>
        <v>0</v>
      </c>
    </row>
    <row r="189" spans="1:1" x14ac:dyDescent="0.25">
      <c r="A189">
        <f>'0.Consolidado general'!$A184</f>
        <v>0</v>
      </c>
    </row>
    <row r="190" spans="1:1" x14ac:dyDescent="0.25">
      <c r="A190">
        <f>'0.Consolidado general'!$A185</f>
        <v>0</v>
      </c>
    </row>
    <row r="191" spans="1:1" x14ac:dyDescent="0.25">
      <c r="A191">
        <f>'0.Consolidado general'!$A186</f>
        <v>0</v>
      </c>
    </row>
    <row r="192" spans="1:1" x14ac:dyDescent="0.25">
      <c r="A192">
        <f>'0.Consolidado general'!$A187</f>
        <v>0</v>
      </c>
    </row>
    <row r="193" spans="1:1" x14ac:dyDescent="0.25">
      <c r="A193">
        <f>'0.Consolidado general'!$A188</f>
        <v>0</v>
      </c>
    </row>
    <row r="194" spans="1:1" x14ac:dyDescent="0.25">
      <c r="A194">
        <f>'0.Consolidado general'!$A189</f>
        <v>0</v>
      </c>
    </row>
    <row r="195" spans="1:1" x14ac:dyDescent="0.25">
      <c r="A195">
        <f>'0.Consolidado general'!$A190</f>
        <v>0</v>
      </c>
    </row>
    <row r="196" spans="1:1" x14ac:dyDescent="0.25">
      <c r="A196">
        <f>'0.Consolidado general'!$A191</f>
        <v>0</v>
      </c>
    </row>
    <row r="197" spans="1:1" x14ac:dyDescent="0.25">
      <c r="A197">
        <f>'0.Consolidado general'!$A192</f>
        <v>0</v>
      </c>
    </row>
    <row r="198" spans="1:1" x14ac:dyDescent="0.25">
      <c r="A198">
        <f>'0.Consolidado general'!$A193</f>
        <v>0</v>
      </c>
    </row>
    <row r="199" spans="1:1" x14ac:dyDescent="0.25">
      <c r="A199">
        <f>'0.Consolidado general'!$A194</f>
        <v>0</v>
      </c>
    </row>
    <row r="200" spans="1:1" x14ac:dyDescent="0.25">
      <c r="A200">
        <f>'0.Consolidado general'!$A195</f>
        <v>0</v>
      </c>
    </row>
    <row r="201" spans="1:1" x14ac:dyDescent="0.25">
      <c r="A201">
        <f>'0.Consolidado general'!$A196</f>
        <v>0</v>
      </c>
    </row>
    <row r="202" spans="1:1" x14ac:dyDescent="0.25">
      <c r="A202">
        <f>'0.Consolidado general'!$A197</f>
        <v>0</v>
      </c>
    </row>
    <row r="203" spans="1:1" x14ac:dyDescent="0.25">
      <c r="A203">
        <f>'0.Consolidado general'!$A198</f>
        <v>0</v>
      </c>
    </row>
    <row r="204" spans="1:1" x14ac:dyDescent="0.25">
      <c r="A204">
        <f>'0.Consolidado general'!$A199</f>
        <v>0</v>
      </c>
    </row>
    <row r="205" spans="1:1" x14ac:dyDescent="0.25">
      <c r="A205">
        <f>'0.Consolidado general'!$A200</f>
        <v>0</v>
      </c>
    </row>
    <row r="206" spans="1:1" x14ac:dyDescent="0.25">
      <c r="A206">
        <f>'0.Consolidado general'!$A201</f>
        <v>0</v>
      </c>
    </row>
    <row r="207" spans="1:1" x14ac:dyDescent="0.25">
      <c r="A207">
        <f>'0.Consolidado general'!$A202</f>
        <v>0</v>
      </c>
    </row>
    <row r="208" spans="1:1" x14ac:dyDescent="0.25">
      <c r="A208">
        <f>'0.Consolidado general'!$A203</f>
        <v>0</v>
      </c>
    </row>
    <row r="209" spans="1:1" x14ac:dyDescent="0.25">
      <c r="A209">
        <f>'0.Consolidado general'!$A204</f>
        <v>0</v>
      </c>
    </row>
    <row r="210" spans="1:1" x14ac:dyDescent="0.25">
      <c r="A210">
        <f>'0.Consolidado general'!$A205</f>
        <v>0</v>
      </c>
    </row>
    <row r="211" spans="1:1" x14ac:dyDescent="0.25">
      <c r="A211">
        <f>'0.Consolidado general'!$A206</f>
        <v>0</v>
      </c>
    </row>
    <row r="212" spans="1:1" x14ac:dyDescent="0.25">
      <c r="A212">
        <f>'0.Consolidado general'!$A207</f>
        <v>0</v>
      </c>
    </row>
    <row r="213" spans="1:1" x14ac:dyDescent="0.25">
      <c r="A213">
        <f>'0.Consolidado general'!$A208</f>
        <v>0</v>
      </c>
    </row>
    <row r="214" spans="1:1" x14ac:dyDescent="0.25">
      <c r="A214">
        <f>'0.Consolidado general'!$A209</f>
        <v>0</v>
      </c>
    </row>
    <row r="215" spans="1:1" x14ac:dyDescent="0.25">
      <c r="A215">
        <f>'0.Consolidado general'!$A210</f>
        <v>0</v>
      </c>
    </row>
    <row r="216" spans="1:1" x14ac:dyDescent="0.25">
      <c r="A216">
        <f>'0.Consolidado general'!$A211</f>
        <v>0</v>
      </c>
    </row>
    <row r="217" spans="1:1" x14ac:dyDescent="0.25">
      <c r="A217">
        <f>'0.Consolidado general'!$A212</f>
        <v>0</v>
      </c>
    </row>
    <row r="218" spans="1:1" x14ac:dyDescent="0.25">
      <c r="A218">
        <f>'0.Consolidado general'!$A213</f>
        <v>0</v>
      </c>
    </row>
    <row r="219" spans="1:1" x14ac:dyDescent="0.25">
      <c r="A219">
        <f>'0.Consolidado general'!$A214</f>
        <v>0</v>
      </c>
    </row>
    <row r="220" spans="1:1" x14ac:dyDescent="0.25">
      <c r="A220">
        <f>'0.Consolidado general'!$A215</f>
        <v>0</v>
      </c>
    </row>
    <row r="221" spans="1:1" x14ac:dyDescent="0.25">
      <c r="A221">
        <f>'0.Consolidado general'!$A216</f>
        <v>0</v>
      </c>
    </row>
    <row r="222" spans="1:1" x14ac:dyDescent="0.25">
      <c r="A222">
        <f>'0.Consolidado general'!$A217</f>
        <v>0</v>
      </c>
    </row>
    <row r="223" spans="1:1" x14ac:dyDescent="0.25">
      <c r="A223">
        <f>'0.Consolidado general'!$A218</f>
        <v>0</v>
      </c>
    </row>
    <row r="224" spans="1:1" x14ac:dyDescent="0.25">
      <c r="A224">
        <f>'0.Consolidado general'!$A219</f>
        <v>0</v>
      </c>
    </row>
    <row r="225" spans="1:1" x14ac:dyDescent="0.25">
      <c r="A225">
        <f>'0.Consolidado general'!$A220</f>
        <v>0</v>
      </c>
    </row>
    <row r="226" spans="1:1" x14ac:dyDescent="0.25">
      <c r="A226">
        <f>'0.Consolidado general'!$A221</f>
        <v>0</v>
      </c>
    </row>
    <row r="227" spans="1:1" x14ac:dyDescent="0.25">
      <c r="A227">
        <f>'0.Consolidado general'!$A222</f>
        <v>0</v>
      </c>
    </row>
    <row r="228" spans="1:1" x14ac:dyDescent="0.25">
      <c r="A228">
        <f>'0.Consolidado general'!$A223</f>
        <v>0</v>
      </c>
    </row>
    <row r="229" spans="1:1" x14ac:dyDescent="0.25">
      <c r="A229">
        <f>'0.Consolidado general'!$A224</f>
        <v>0</v>
      </c>
    </row>
    <row r="230" spans="1:1" x14ac:dyDescent="0.25">
      <c r="A230">
        <f>'0.Consolidado general'!$A225</f>
        <v>0</v>
      </c>
    </row>
    <row r="231" spans="1:1" x14ac:dyDescent="0.25">
      <c r="A231">
        <f>'0.Consolidado general'!$A226</f>
        <v>0</v>
      </c>
    </row>
    <row r="232" spans="1:1" x14ac:dyDescent="0.25">
      <c r="A232">
        <f>'0.Consolidado general'!$A227</f>
        <v>0</v>
      </c>
    </row>
    <row r="233" spans="1:1" x14ac:dyDescent="0.25">
      <c r="A233">
        <f>'0.Consolidado general'!$A228</f>
        <v>0</v>
      </c>
    </row>
    <row r="234" spans="1:1" x14ac:dyDescent="0.25">
      <c r="A234">
        <f>'0.Consolidado general'!$A229</f>
        <v>0</v>
      </c>
    </row>
    <row r="235" spans="1:1" x14ac:dyDescent="0.25">
      <c r="A235">
        <f>'0.Consolidado general'!$A230</f>
        <v>0</v>
      </c>
    </row>
    <row r="236" spans="1:1" x14ac:dyDescent="0.25">
      <c r="A236">
        <f>'0.Consolidado general'!$A231</f>
        <v>0</v>
      </c>
    </row>
    <row r="237" spans="1:1" x14ac:dyDescent="0.25">
      <c r="A237">
        <f>'0.Consolidado general'!$A232</f>
        <v>0</v>
      </c>
    </row>
    <row r="238" spans="1:1" x14ac:dyDescent="0.25">
      <c r="A238">
        <f>'0.Consolidado general'!$A233</f>
        <v>0</v>
      </c>
    </row>
    <row r="239" spans="1:1" x14ac:dyDescent="0.25">
      <c r="A239">
        <f>'0.Consolidado general'!$A234</f>
        <v>0</v>
      </c>
    </row>
    <row r="240" spans="1:1" x14ac:dyDescent="0.25">
      <c r="A240">
        <f>'0.Consolidado general'!$A235</f>
        <v>0</v>
      </c>
    </row>
    <row r="241" spans="1:1" x14ac:dyDescent="0.25">
      <c r="A241">
        <f>'0.Consolidado general'!$A236</f>
        <v>0</v>
      </c>
    </row>
    <row r="242" spans="1:1" x14ac:dyDescent="0.25">
      <c r="A242">
        <f>'0.Consolidado general'!$A237</f>
        <v>0</v>
      </c>
    </row>
    <row r="243" spans="1:1" x14ac:dyDescent="0.25">
      <c r="A243">
        <f>'0.Consolidado general'!$A238</f>
        <v>0</v>
      </c>
    </row>
    <row r="244" spans="1:1" x14ac:dyDescent="0.25">
      <c r="A244">
        <f>'0.Consolidado general'!$A239</f>
        <v>0</v>
      </c>
    </row>
    <row r="245" spans="1:1" x14ac:dyDescent="0.25">
      <c r="A245">
        <f>'0.Consolidado general'!$A240</f>
        <v>0</v>
      </c>
    </row>
    <row r="246" spans="1:1" x14ac:dyDescent="0.25">
      <c r="A246">
        <f>'0.Consolidado general'!$A241</f>
        <v>0</v>
      </c>
    </row>
    <row r="247" spans="1:1" x14ac:dyDescent="0.25">
      <c r="A247">
        <f>'0.Consolidado general'!$A242</f>
        <v>0</v>
      </c>
    </row>
    <row r="248" spans="1:1" x14ac:dyDescent="0.25">
      <c r="A248">
        <f>'0.Consolidado general'!$A243</f>
        <v>0</v>
      </c>
    </row>
    <row r="249" spans="1:1" x14ac:dyDescent="0.25">
      <c r="A249">
        <f>'0.Consolidado general'!$A244</f>
        <v>0</v>
      </c>
    </row>
    <row r="250" spans="1:1" x14ac:dyDescent="0.25">
      <c r="A250">
        <f>'0.Consolidado general'!$A245</f>
        <v>0</v>
      </c>
    </row>
    <row r="251" spans="1:1" x14ac:dyDescent="0.25">
      <c r="A251">
        <f>'0.Consolidado general'!$A246</f>
        <v>0</v>
      </c>
    </row>
    <row r="252" spans="1:1" x14ac:dyDescent="0.25">
      <c r="A252">
        <f>'0.Consolidado general'!$A247</f>
        <v>0</v>
      </c>
    </row>
    <row r="253" spans="1:1" x14ac:dyDescent="0.25">
      <c r="A253">
        <f>'0.Consolidado general'!$A248</f>
        <v>0</v>
      </c>
    </row>
    <row r="254" spans="1:1" x14ac:dyDescent="0.25">
      <c r="A254">
        <f>'0.Consolidado general'!$A249</f>
        <v>0</v>
      </c>
    </row>
    <row r="255" spans="1:1" x14ac:dyDescent="0.25">
      <c r="A255">
        <f>'0.Consolidado general'!$A250</f>
        <v>0</v>
      </c>
    </row>
    <row r="256" spans="1:1" x14ac:dyDescent="0.25">
      <c r="A256">
        <f>'0.Consolidado general'!$A251</f>
        <v>0</v>
      </c>
    </row>
    <row r="257" spans="1:1" x14ac:dyDescent="0.25">
      <c r="A257">
        <f>'0.Consolidado general'!$A252</f>
        <v>0</v>
      </c>
    </row>
    <row r="258" spans="1:1" x14ac:dyDescent="0.25">
      <c r="A258">
        <f>'0.Consolidado general'!$A253</f>
        <v>0</v>
      </c>
    </row>
    <row r="259" spans="1:1" x14ac:dyDescent="0.25">
      <c r="A259">
        <f>'0.Consolidado general'!$A254</f>
        <v>0</v>
      </c>
    </row>
    <row r="260" spans="1:1" x14ac:dyDescent="0.25">
      <c r="A260">
        <f>'0.Consolidado general'!$A255</f>
        <v>0</v>
      </c>
    </row>
    <row r="261" spans="1:1" x14ac:dyDescent="0.25">
      <c r="A261">
        <f>'0.Consolidado general'!$A256</f>
        <v>0</v>
      </c>
    </row>
    <row r="262" spans="1:1" x14ac:dyDescent="0.25">
      <c r="A262">
        <f>'0.Consolidado general'!$A257</f>
        <v>0</v>
      </c>
    </row>
    <row r="263" spans="1:1" x14ac:dyDescent="0.25">
      <c r="A263">
        <f>'0.Consolidado general'!$A258</f>
        <v>0</v>
      </c>
    </row>
    <row r="264" spans="1:1" x14ac:dyDescent="0.25">
      <c r="A264">
        <f>'0.Consolidado general'!$A259</f>
        <v>0</v>
      </c>
    </row>
    <row r="265" spans="1:1" x14ac:dyDescent="0.25">
      <c r="A265">
        <f>'0.Consolidado general'!$A260</f>
        <v>0</v>
      </c>
    </row>
    <row r="266" spans="1:1" x14ac:dyDescent="0.25">
      <c r="A266">
        <f>'0.Consolidado general'!$A261</f>
        <v>0</v>
      </c>
    </row>
    <row r="267" spans="1:1" x14ac:dyDescent="0.25">
      <c r="A267">
        <f>'0.Consolidado general'!$A262</f>
        <v>0</v>
      </c>
    </row>
    <row r="268" spans="1:1" x14ac:dyDescent="0.25">
      <c r="A268">
        <f>'0.Consolidado general'!$A263</f>
        <v>0</v>
      </c>
    </row>
    <row r="269" spans="1:1" x14ac:dyDescent="0.25">
      <c r="A269">
        <f>'0.Consolidado general'!$A264</f>
        <v>0</v>
      </c>
    </row>
    <row r="270" spans="1:1" x14ac:dyDescent="0.25">
      <c r="A270">
        <f>'0.Consolidado general'!$A265</f>
        <v>0</v>
      </c>
    </row>
    <row r="271" spans="1:1" x14ac:dyDescent="0.25">
      <c r="A271">
        <f>'0.Consolidado general'!$A266</f>
        <v>0</v>
      </c>
    </row>
    <row r="272" spans="1:1" x14ac:dyDescent="0.25">
      <c r="A272">
        <f>'0.Consolidado general'!$A267</f>
        <v>0</v>
      </c>
    </row>
    <row r="273" spans="1:1" x14ac:dyDescent="0.25">
      <c r="A273">
        <f>'0.Consolidado general'!$A268</f>
        <v>0</v>
      </c>
    </row>
    <row r="274" spans="1:1" x14ac:dyDescent="0.25">
      <c r="A274">
        <f>'0.Consolidado general'!$A269</f>
        <v>0</v>
      </c>
    </row>
    <row r="275" spans="1:1" x14ac:dyDescent="0.25">
      <c r="A275">
        <f>'0.Consolidado general'!$A270</f>
        <v>0</v>
      </c>
    </row>
    <row r="276" spans="1:1" x14ac:dyDescent="0.25">
      <c r="A276">
        <f>'0.Consolidado general'!$A271</f>
        <v>0</v>
      </c>
    </row>
    <row r="277" spans="1:1" x14ac:dyDescent="0.25">
      <c r="A277">
        <f>'0.Consolidado general'!$A272</f>
        <v>0</v>
      </c>
    </row>
    <row r="278" spans="1:1" x14ac:dyDescent="0.25">
      <c r="A278">
        <f>'0.Consolidado general'!$A273</f>
        <v>0</v>
      </c>
    </row>
    <row r="279" spans="1:1" x14ac:dyDescent="0.25">
      <c r="A279">
        <f>'0.Consolidado general'!$A274</f>
        <v>0</v>
      </c>
    </row>
    <row r="280" spans="1:1" x14ac:dyDescent="0.25">
      <c r="A280">
        <f>'0.Consolidado general'!$A275</f>
        <v>0</v>
      </c>
    </row>
    <row r="281" spans="1:1" x14ac:dyDescent="0.25">
      <c r="A281">
        <f>'0.Consolidado general'!$A276</f>
        <v>0</v>
      </c>
    </row>
    <row r="282" spans="1:1" x14ac:dyDescent="0.25">
      <c r="A282">
        <f>'0.Consolidado general'!$A277</f>
        <v>0</v>
      </c>
    </row>
    <row r="283" spans="1:1" x14ac:dyDescent="0.25">
      <c r="A283">
        <f>'0.Consolidado general'!$A278</f>
        <v>0</v>
      </c>
    </row>
    <row r="284" spans="1:1" x14ac:dyDescent="0.25">
      <c r="A284">
        <f>'0.Consolidado general'!$A279</f>
        <v>0</v>
      </c>
    </row>
    <row r="285" spans="1:1" x14ac:dyDescent="0.25">
      <c r="A285">
        <f>'0.Consolidado general'!$A280</f>
        <v>0</v>
      </c>
    </row>
    <row r="286" spans="1:1" x14ac:dyDescent="0.25">
      <c r="A286">
        <f>'0.Consolidado general'!$A281</f>
        <v>0</v>
      </c>
    </row>
    <row r="287" spans="1:1" x14ac:dyDescent="0.25">
      <c r="A287">
        <f>'0.Consolidado general'!$A282</f>
        <v>0</v>
      </c>
    </row>
    <row r="288" spans="1:1" x14ac:dyDescent="0.25">
      <c r="A288">
        <f>'0.Consolidado general'!$A283</f>
        <v>0</v>
      </c>
    </row>
    <row r="289" spans="1:1" x14ac:dyDescent="0.25">
      <c r="A289">
        <f>'0.Consolidado general'!$A284</f>
        <v>0</v>
      </c>
    </row>
    <row r="290" spans="1:1" x14ac:dyDescent="0.25">
      <c r="A290">
        <f>'0.Consolidado general'!$A285</f>
        <v>0</v>
      </c>
    </row>
    <row r="291" spans="1:1" x14ac:dyDescent="0.25">
      <c r="A291">
        <f>'0.Consolidado general'!$A286</f>
        <v>0</v>
      </c>
    </row>
    <row r="292" spans="1:1" x14ac:dyDescent="0.25">
      <c r="A292">
        <f>'0.Consolidado general'!$A287</f>
        <v>0</v>
      </c>
    </row>
    <row r="293" spans="1:1" x14ac:dyDescent="0.25">
      <c r="A293">
        <f>'0.Consolidado general'!$A288</f>
        <v>0</v>
      </c>
    </row>
    <row r="294" spans="1:1" x14ac:dyDescent="0.25">
      <c r="A294">
        <f>'0.Consolidado general'!$A289</f>
        <v>0</v>
      </c>
    </row>
    <row r="295" spans="1:1" x14ac:dyDescent="0.25">
      <c r="A295">
        <f>'0.Consolidado general'!$A290</f>
        <v>0</v>
      </c>
    </row>
    <row r="296" spans="1:1" x14ac:dyDescent="0.25">
      <c r="A296">
        <f>'0.Consolidado general'!$A291</f>
        <v>0</v>
      </c>
    </row>
    <row r="297" spans="1:1" x14ac:dyDescent="0.25">
      <c r="A297">
        <f>'0.Consolidado general'!$A292</f>
        <v>0</v>
      </c>
    </row>
    <row r="298" spans="1:1" x14ac:dyDescent="0.25">
      <c r="A298">
        <f>'0.Consolidado general'!$A293</f>
        <v>0</v>
      </c>
    </row>
    <row r="299" spans="1:1" x14ac:dyDescent="0.25">
      <c r="A299">
        <f>'0.Consolidado general'!$A294</f>
        <v>0</v>
      </c>
    </row>
    <row r="300" spans="1:1" x14ac:dyDescent="0.25">
      <c r="A300">
        <f>'0.Consolidado general'!$A295</f>
        <v>0</v>
      </c>
    </row>
    <row r="301" spans="1:1" x14ac:dyDescent="0.25">
      <c r="A301">
        <f>'0.Consolidado general'!$A296</f>
        <v>0</v>
      </c>
    </row>
    <row r="302" spans="1:1" x14ac:dyDescent="0.25">
      <c r="A302">
        <f>'0.Consolidado general'!$A297</f>
        <v>0</v>
      </c>
    </row>
    <row r="303" spans="1:1" x14ac:dyDescent="0.25">
      <c r="A303">
        <f>'0.Consolidado general'!$A298</f>
        <v>0</v>
      </c>
    </row>
    <row r="304" spans="1:1" x14ac:dyDescent="0.25">
      <c r="A304">
        <f>'0.Consolidado general'!$A299</f>
        <v>0</v>
      </c>
    </row>
    <row r="305" spans="1:1" x14ac:dyDescent="0.25">
      <c r="A305">
        <f>'0.Consolidado general'!$A300</f>
        <v>0</v>
      </c>
    </row>
    <row r="306" spans="1:1" x14ac:dyDescent="0.25">
      <c r="A306">
        <f>'0.Consolidado general'!$A301</f>
        <v>0</v>
      </c>
    </row>
    <row r="307" spans="1:1" x14ac:dyDescent="0.25">
      <c r="A307">
        <f>'0.Consolidado general'!$A302</f>
        <v>0</v>
      </c>
    </row>
    <row r="308" spans="1:1" x14ac:dyDescent="0.25">
      <c r="A308">
        <f>'0.Consolidado general'!$A303</f>
        <v>0</v>
      </c>
    </row>
    <row r="309" spans="1:1" x14ac:dyDescent="0.25">
      <c r="A309">
        <f>'0.Consolidado general'!$A304</f>
        <v>0</v>
      </c>
    </row>
    <row r="310" spans="1:1" x14ac:dyDescent="0.25">
      <c r="A310">
        <f>'0.Consolidado general'!$A305</f>
        <v>0</v>
      </c>
    </row>
    <row r="311" spans="1:1" x14ac:dyDescent="0.25">
      <c r="A311">
        <f>'0.Consolidado general'!$A306</f>
        <v>0</v>
      </c>
    </row>
    <row r="312" spans="1:1" x14ac:dyDescent="0.25">
      <c r="A312">
        <f>'0.Consolidado general'!$A307</f>
        <v>0</v>
      </c>
    </row>
    <row r="313" spans="1:1" x14ac:dyDescent="0.25">
      <c r="A313">
        <f>'0.Consolidado general'!$A308</f>
        <v>0</v>
      </c>
    </row>
    <row r="314" spans="1:1" x14ac:dyDescent="0.25">
      <c r="A314">
        <f>'0.Consolidado general'!$A309</f>
        <v>0</v>
      </c>
    </row>
    <row r="315" spans="1:1" x14ac:dyDescent="0.25">
      <c r="A315">
        <f>'0.Consolidado general'!$A310</f>
        <v>0</v>
      </c>
    </row>
    <row r="316" spans="1:1" x14ac:dyDescent="0.25">
      <c r="A316">
        <f>'0.Consolidado general'!$A311</f>
        <v>0</v>
      </c>
    </row>
    <row r="317" spans="1:1" x14ac:dyDescent="0.25">
      <c r="A317">
        <f>'0.Consolidado general'!$A312</f>
        <v>0</v>
      </c>
    </row>
    <row r="318" spans="1:1" x14ac:dyDescent="0.25">
      <c r="A318">
        <f>'0.Consolidado general'!$A313</f>
        <v>0</v>
      </c>
    </row>
    <row r="319" spans="1:1" x14ac:dyDescent="0.25">
      <c r="A319">
        <f>'0.Consolidado general'!$A314</f>
        <v>0</v>
      </c>
    </row>
    <row r="320" spans="1:1" x14ac:dyDescent="0.25">
      <c r="A320">
        <f>'0.Consolidado general'!$A315</f>
        <v>0</v>
      </c>
    </row>
    <row r="321" spans="1:1" x14ac:dyDescent="0.25">
      <c r="A321">
        <f>'0.Consolidado general'!$A316</f>
        <v>0</v>
      </c>
    </row>
    <row r="322" spans="1:1" x14ac:dyDescent="0.25">
      <c r="A322">
        <f>'0.Consolidado general'!$A317</f>
        <v>0</v>
      </c>
    </row>
    <row r="323" spans="1:1" x14ac:dyDescent="0.25">
      <c r="A323">
        <f>'0.Consolidado general'!$A318</f>
        <v>0</v>
      </c>
    </row>
    <row r="324" spans="1:1" x14ac:dyDescent="0.25">
      <c r="A324">
        <f>'0.Consolidado general'!$A319</f>
        <v>0</v>
      </c>
    </row>
    <row r="325" spans="1:1" x14ac:dyDescent="0.25">
      <c r="A325">
        <f>'0.Consolidado general'!$A320</f>
        <v>0</v>
      </c>
    </row>
    <row r="326" spans="1:1" x14ac:dyDescent="0.25">
      <c r="A326">
        <f>'0.Consolidado general'!$A321</f>
        <v>0</v>
      </c>
    </row>
    <row r="327" spans="1:1" x14ac:dyDescent="0.25">
      <c r="A327">
        <f>'0.Consolidado general'!$A322</f>
        <v>0</v>
      </c>
    </row>
    <row r="328" spans="1:1" x14ac:dyDescent="0.25">
      <c r="A328">
        <f>'0.Consolidado general'!$A323</f>
        <v>0</v>
      </c>
    </row>
    <row r="329" spans="1:1" x14ac:dyDescent="0.25">
      <c r="A329">
        <f>'0.Consolidado general'!$A324</f>
        <v>0</v>
      </c>
    </row>
    <row r="330" spans="1:1" x14ac:dyDescent="0.25">
      <c r="A330">
        <f>'0.Consolidado general'!$A325</f>
        <v>0</v>
      </c>
    </row>
    <row r="331" spans="1:1" x14ac:dyDescent="0.25">
      <c r="A331">
        <f>'0.Consolidado general'!$A326</f>
        <v>0</v>
      </c>
    </row>
    <row r="332" spans="1:1" x14ac:dyDescent="0.25">
      <c r="A332">
        <f>'0.Consolidado general'!$A327</f>
        <v>0</v>
      </c>
    </row>
    <row r="333" spans="1:1" x14ac:dyDescent="0.25">
      <c r="A333">
        <f>'0.Consolidado general'!$A328</f>
        <v>0</v>
      </c>
    </row>
    <row r="334" spans="1:1" x14ac:dyDescent="0.25">
      <c r="A334">
        <f>'0.Consolidado general'!$A329</f>
        <v>0</v>
      </c>
    </row>
    <row r="335" spans="1:1" x14ac:dyDescent="0.25">
      <c r="A335">
        <f>'0.Consolidado general'!$A330</f>
        <v>0</v>
      </c>
    </row>
    <row r="336" spans="1:1" x14ac:dyDescent="0.25">
      <c r="A336">
        <f>'0.Consolidado general'!$A331</f>
        <v>0</v>
      </c>
    </row>
    <row r="337" spans="1:1" x14ac:dyDescent="0.25">
      <c r="A337">
        <f>'0.Consolidado general'!$A332</f>
        <v>0</v>
      </c>
    </row>
    <row r="338" spans="1:1" x14ac:dyDescent="0.25">
      <c r="A338">
        <f>'0.Consolidado general'!$A333</f>
        <v>0</v>
      </c>
    </row>
    <row r="339" spans="1:1" x14ac:dyDescent="0.25">
      <c r="A339">
        <f>'0.Consolidado general'!$A334</f>
        <v>0</v>
      </c>
    </row>
    <row r="340" spans="1:1" x14ac:dyDescent="0.25">
      <c r="A340">
        <f>'0.Consolidado general'!$A335</f>
        <v>0</v>
      </c>
    </row>
    <row r="341" spans="1:1" x14ac:dyDescent="0.25">
      <c r="A341">
        <f>'0.Consolidado general'!$A336</f>
        <v>0</v>
      </c>
    </row>
    <row r="342" spans="1:1" x14ac:dyDescent="0.25">
      <c r="A342">
        <f>'0.Consolidado general'!$A337</f>
        <v>0</v>
      </c>
    </row>
    <row r="343" spans="1:1" x14ac:dyDescent="0.25">
      <c r="A343">
        <f>'0.Consolidado general'!$A338</f>
        <v>0</v>
      </c>
    </row>
    <row r="344" spans="1:1" x14ac:dyDescent="0.25">
      <c r="A344">
        <f>'0.Consolidado general'!$A339</f>
        <v>0</v>
      </c>
    </row>
    <row r="345" spans="1:1" x14ac:dyDescent="0.25">
      <c r="A345">
        <f>'0.Consolidado general'!$A340</f>
        <v>0</v>
      </c>
    </row>
    <row r="346" spans="1:1" x14ac:dyDescent="0.25">
      <c r="A346">
        <f>'0.Consolidado general'!$A341</f>
        <v>0</v>
      </c>
    </row>
    <row r="347" spans="1:1" x14ac:dyDescent="0.25">
      <c r="A347">
        <f>'0.Consolidado general'!$A342</f>
        <v>0</v>
      </c>
    </row>
    <row r="348" spans="1:1" x14ac:dyDescent="0.25">
      <c r="A348">
        <f>'0.Consolidado general'!$A343</f>
        <v>0</v>
      </c>
    </row>
    <row r="349" spans="1:1" x14ac:dyDescent="0.25">
      <c r="A349">
        <f>'0.Consolidado general'!$A344</f>
        <v>0</v>
      </c>
    </row>
    <row r="350" spans="1:1" x14ac:dyDescent="0.25">
      <c r="A350">
        <f>'0.Consolidado general'!$A345</f>
        <v>0</v>
      </c>
    </row>
    <row r="351" spans="1:1" x14ac:dyDescent="0.25">
      <c r="A351">
        <f>'0.Consolidado general'!$A346</f>
        <v>0</v>
      </c>
    </row>
    <row r="352" spans="1:1" x14ac:dyDescent="0.25">
      <c r="A352">
        <f>'0.Consolidado general'!$A347</f>
        <v>0</v>
      </c>
    </row>
    <row r="353" spans="1:1" x14ac:dyDescent="0.25">
      <c r="A353">
        <f>'0.Consolidado general'!$A348</f>
        <v>0</v>
      </c>
    </row>
    <row r="354" spans="1:1" x14ac:dyDescent="0.25">
      <c r="A354">
        <f>'0.Consolidado general'!$A349</f>
        <v>0</v>
      </c>
    </row>
    <row r="355" spans="1:1" x14ac:dyDescent="0.25">
      <c r="A355">
        <f>'0.Consolidado general'!$A350</f>
        <v>0</v>
      </c>
    </row>
    <row r="356" spans="1:1" x14ac:dyDescent="0.25">
      <c r="A356">
        <f>'0.Consolidado general'!$A351</f>
        <v>0</v>
      </c>
    </row>
    <row r="357" spans="1:1" x14ac:dyDescent="0.25">
      <c r="A357">
        <f>'0.Consolidado general'!$A352</f>
        <v>0</v>
      </c>
    </row>
    <row r="358" spans="1:1" x14ac:dyDescent="0.25">
      <c r="A358">
        <f>'0.Consolidado general'!$A353</f>
        <v>0</v>
      </c>
    </row>
    <row r="359" spans="1:1" x14ac:dyDescent="0.25">
      <c r="A359">
        <f>'0.Consolidado general'!$A354</f>
        <v>0</v>
      </c>
    </row>
    <row r="360" spans="1:1" x14ac:dyDescent="0.25">
      <c r="A360">
        <f>'0.Consolidado general'!$A355</f>
        <v>0</v>
      </c>
    </row>
    <row r="361" spans="1:1" x14ac:dyDescent="0.25">
      <c r="A361">
        <f>'0.Consolidado general'!$A356</f>
        <v>0</v>
      </c>
    </row>
    <row r="362" spans="1:1" x14ac:dyDescent="0.25">
      <c r="A362">
        <f>'0.Consolidado general'!$A357</f>
        <v>0</v>
      </c>
    </row>
    <row r="363" spans="1:1" x14ac:dyDescent="0.25">
      <c r="A363">
        <f>'0.Consolidado general'!$A358</f>
        <v>0</v>
      </c>
    </row>
    <row r="364" spans="1:1" x14ac:dyDescent="0.25">
      <c r="A364">
        <f>'0.Consolidado general'!$A359</f>
        <v>0</v>
      </c>
    </row>
    <row r="365" spans="1:1" x14ac:dyDescent="0.25">
      <c r="A365">
        <f>'0.Consolidado general'!$A360</f>
        <v>0</v>
      </c>
    </row>
    <row r="366" spans="1:1" x14ac:dyDescent="0.25">
      <c r="A366">
        <f>'0.Consolidado general'!$A361</f>
        <v>0</v>
      </c>
    </row>
    <row r="367" spans="1:1" x14ac:dyDescent="0.25">
      <c r="A367">
        <f>'0.Consolidado general'!$A362</f>
        <v>0</v>
      </c>
    </row>
    <row r="368" spans="1:1" x14ac:dyDescent="0.25">
      <c r="A368">
        <f>'0.Consolidado general'!$A363</f>
        <v>0</v>
      </c>
    </row>
    <row r="369" spans="1:1" x14ac:dyDescent="0.25">
      <c r="A369">
        <f>'0.Consolidado general'!$A364</f>
        <v>0</v>
      </c>
    </row>
    <row r="370" spans="1:1" x14ac:dyDescent="0.25">
      <c r="A370">
        <f>'0.Consolidado general'!$A365</f>
        <v>0</v>
      </c>
    </row>
    <row r="371" spans="1:1" x14ac:dyDescent="0.25">
      <c r="A371">
        <f>'0.Consolidado general'!$A366</f>
        <v>0</v>
      </c>
    </row>
    <row r="372" spans="1:1" x14ac:dyDescent="0.25">
      <c r="A372">
        <f>'0.Consolidado general'!$A367</f>
        <v>0</v>
      </c>
    </row>
    <row r="373" spans="1:1" x14ac:dyDescent="0.25">
      <c r="A373">
        <f>'0.Consolidado general'!$A368</f>
        <v>0</v>
      </c>
    </row>
    <row r="374" spans="1:1" x14ac:dyDescent="0.25">
      <c r="A374">
        <f>'0.Consolidado general'!$A369</f>
        <v>0</v>
      </c>
    </row>
    <row r="375" spans="1:1" x14ac:dyDescent="0.25">
      <c r="A375">
        <f>'0.Consolidado general'!$A370</f>
        <v>0</v>
      </c>
    </row>
    <row r="376" spans="1:1" x14ac:dyDescent="0.25">
      <c r="A376">
        <f>'0.Consolidado general'!$A371</f>
        <v>0</v>
      </c>
    </row>
    <row r="377" spans="1:1" x14ac:dyDescent="0.25">
      <c r="A377">
        <f>'0.Consolidado general'!$A372</f>
        <v>0</v>
      </c>
    </row>
    <row r="378" spans="1:1" x14ac:dyDescent="0.25">
      <c r="A378">
        <f>'0.Consolidado general'!$A373</f>
        <v>0</v>
      </c>
    </row>
    <row r="379" spans="1:1" x14ac:dyDescent="0.25">
      <c r="A379">
        <f>'0.Consolidado general'!$A374</f>
        <v>0</v>
      </c>
    </row>
    <row r="380" spans="1:1" x14ac:dyDescent="0.25">
      <c r="A380">
        <f>'0.Consolidado general'!$A375</f>
        <v>0</v>
      </c>
    </row>
    <row r="381" spans="1:1" x14ac:dyDescent="0.25">
      <c r="A381">
        <f>'0.Consolidado general'!$A376</f>
        <v>0</v>
      </c>
    </row>
    <row r="382" spans="1:1" x14ac:dyDescent="0.25">
      <c r="A382">
        <f>'0.Consolidado general'!$A377</f>
        <v>0</v>
      </c>
    </row>
    <row r="383" spans="1:1" x14ac:dyDescent="0.25">
      <c r="A383">
        <f>'0.Consolidado general'!$A378</f>
        <v>0</v>
      </c>
    </row>
    <row r="384" spans="1:1" x14ac:dyDescent="0.25">
      <c r="A384">
        <f>'0.Consolidado general'!$A379</f>
        <v>0</v>
      </c>
    </row>
    <row r="385" spans="1:1" x14ac:dyDescent="0.25">
      <c r="A385">
        <f>'0.Consolidado general'!$A380</f>
        <v>0</v>
      </c>
    </row>
    <row r="386" spans="1:1" x14ac:dyDescent="0.25">
      <c r="A386">
        <f>'0.Consolidado general'!$A381</f>
        <v>0</v>
      </c>
    </row>
    <row r="387" spans="1:1" x14ac:dyDescent="0.25">
      <c r="A387">
        <f>'0.Consolidado general'!$A382</f>
        <v>0</v>
      </c>
    </row>
    <row r="388" spans="1:1" x14ac:dyDescent="0.25">
      <c r="A388">
        <f>'0.Consolidado general'!$A383</f>
        <v>0</v>
      </c>
    </row>
    <row r="389" spans="1:1" x14ac:dyDescent="0.25">
      <c r="A389">
        <f>'0.Consolidado general'!$A384</f>
        <v>0</v>
      </c>
    </row>
    <row r="390" spans="1:1" x14ac:dyDescent="0.25">
      <c r="A390">
        <f>'0.Consolidado general'!$A385</f>
        <v>0</v>
      </c>
    </row>
    <row r="391" spans="1:1" x14ac:dyDescent="0.25">
      <c r="A391">
        <f>'0.Consolidado general'!$A386</f>
        <v>0</v>
      </c>
    </row>
    <row r="392" spans="1:1" x14ac:dyDescent="0.25">
      <c r="A392">
        <f>'0.Consolidado general'!$A387</f>
        <v>0</v>
      </c>
    </row>
    <row r="393" spans="1:1" x14ac:dyDescent="0.25">
      <c r="A393">
        <f>'0.Consolidado general'!$A388</f>
        <v>0</v>
      </c>
    </row>
    <row r="394" spans="1:1" x14ac:dyDescent="0.25">
      <c r="A394">
        <f>'0.Consolidado general'!$A389</f>
        <v>0</v>
      </c>
    </row>
    <row r="395" spans="1:1" x14ac:dyDescent="0.25">
      <c r="A395">
        <f>'0.Consolidado general'!$A390</f>
        <v>0</v>
      </c>
    </row>
    <row r="396" spans="1:1" x14ac:dyDescent="0.25">
      <c r="A396">
        <f>'0.Consolidado general'!$A391</f>
        <v>0</v>
      </c>
    </row>
    <row r="397" spans="1:1" x14ac:dyDescent="0.25">
      <c r="A397">
        <f>'0.Consolidado general'!$A392</f>
        <v>0</v>
      </c>
    </row>
    <row r="398" spans="1:1" x14ac:dyDescent="0.25">
      <c r="A398">
        <f>'0.Consolidado general'!$A393</f>
        <v>0</v>
      </c>
    </row>
    <row r="399" spans="1:1" x14ac:dyDescent="0.25">
      <c r="A399">
        <f>'0.Consolidado general'!$A394</f>
        <v>0</v>
      </c>
    </row>
    <row r="400" spans="1:1" x14ac:dyDescent="0.25">
      <c r="A400">
        <f>'0.Consolidado general'!$A395</f>
        <v>0</v>
      </c>
    </row>
    <row r="401" spans="1:1" x14ac:dyDescent="0.25">
      <c r="A401">
        <f>'0.Consolidado general'!$A396</f>
        <v>0</v>
      </c>
    </row>
    <row r="402" spans="1:1" x14ac:dyDescent="0.25">
      <c r="A402">
        <f>'0.Consolidado general'!$A397</f>
        <v>0</v>
      </c>
    </row>
    <row r="403" spans="1:1" x14ac:dyDescent="0.25">
      <c r="A403">
        <f>'0.Consolidado general'!$A398</f>
        <v>0</v>
      </c>
    </row>
    <row r="404" spans="1:1" x14ac:dyDescent="0.25">
      <c r="A404">
        <f>'0.Consolidado general'!$A399</f>
        <v>0</v>
      </c>
    </row>
    <row r="405" spans="1:1" x14ac:dyDescent="0.25">
      <c r="A405">
        <f>'0.Consolidado general'!$A400</f>
        <v>0</v>
      </c>
    </row>
    <row r="406" spans="1:1" x14ac:dyDescent="0.25">
      <c r="A406">
        <f>'0.Consolidado general'!$A401</f>
        <v>0</v>
      </c>
    </row>
    <row r="407" spans="1:1" x14ac:dyDescent="0.25">
      <c r="A407">
        <f>'0.Consolidado general'!$A402</f>
        <v>0</v>
      </c>
    </row>
    <row r="408" spans="1:1" x14ac:dyDescent="0.25">
      <c r="A408">
        <f>'0.Consolidado general'!$A403</f>
        <v>0</v>
      </c>
    </row>
    <row r="409" spans="1:1" x14ac:dyDescent="0.25">
      <c r="A409">
        <f>'0.Consolidado general'!$A404</f>
        <v>0</v>
      </c>
    </row>
    <row r="410" spans="1:1" x14ac:dyDescent="0.25">
      <c r="A410">
        <f>'0.Consolidado general'!$A405</f>
        <v>0</v>
      </c>
    </row>
    <row r="411" spans="1:1" x14ac:dyDescent="0.25">
      <c r="A411">
        <f>'0.Consolidado general'!$A406</f>
        <v>0</v>
      </c>
    </row>
    <row r="412" spans="1:1" x14ac:dyDescent="0.25">
      <c r="A412">
        <f>'0.Consolidado general'!$A407</f>
        <v>0</v>
      </c>
    </row>
    <row r="413" spans="1:1" x14ac:dyDescent="0.25">
      <c r="A413">
        <f>'0.Consolidado general'!$A408</f>
        <v>0</v>
      </c>
    </row>
    <row r="414" spans="1:1" x14ac:dyDescent="0.25">
      <c r="A414">
        <f>'0.Consolidado general'!$A409</f>
        <v>0</v>
      </c>
    </row>
    <row r="415" spans="1:1" x14ac:dyDescent="0.25">
      <c r="A415">
        <f>'0.Consolidado general'!$A410</f>
        <v>0</v>
      </c>
    </row>
    <row r="416" spans="1:1" x14ac:dyDescent="0.25">
      <c r="A416">
        <f>'0.Consolidado general'!$A411</f>
        <v>0</v>
      </c>
    </row>
    <row r="417" spans="1:1" x14ac:dyDescent="0.25">
      <c r="A417">
        <f>'0.Consolidado general'!$A412</f>
        <v>0</v>
      </c>
    </row>
    <row r="418" spans="1:1" x14ac:dyDescent="0.25">
      <c r="A418">
        <f>'0.Consolidado general'!$A413</f>
        <v>0</v>
      </c>
    </row>
    <row r="419" spans="1:1" x14ac:dyDescent="0.25">
      <c r="A419">
        <f>'0.Consolidado general'!$A414</f>
        <v>0</v>
      </c>
    </row>
    <row r="420" spans="1:1" x14ac:dyDescent="0.25">
      <c r="A420">
        <f>'0.Consolidado general'!$A415</f>
        <v>0</v>
      </c>
    </row>
    <row r="421" spans="1:1" x14ac:dyDescent="0.25">
      <c r="A421">
        <f>'0.Consolidado general'!$A416</f>
        <v>0</v>
      </c>
    </row>
    <row r="422" spans="1:1" x14ac:dyDescent="0.25">
      <c r="A422">
        <f>'0.Consolidado general'!$A417</f>
        <v>0</v>
      </c>
    </row>
    <row r="423" spans="1:1" x14ac:dyDescent="0.25">
      <c r="A423">
        <f>'0.Consolidado general'!$A418</f>
        <v>0</v>
      </c>
    </row>
    <row r="424" spans="1:1" x14ac:dyDescent="0.25">
      <c r="A424">
        <f>'0.Consolidado general'!$A419</f>
        <v>0</v>
      </c>
    </row>
    <row r="425" spans="1:1" x14ac:dyDescent="0.25">
      <c r="A425">
        <f>'0.Consolidado general'!$A420</f>
        <v>0</v>
      </c>
    </row>
    <row r="426" spans="1:1" x14ac:dyDescent="0.25">
      <c r="A426">
        <f>'0.Consolidado general'!$A421</f>
        <v>0</v>
      </c>
    </row>
    <row r="427" spans="1:1" x14ac:dyDescent="0.25">
      <c r="A427">
        <f>'0.Consolidado general'!$A422</f>
        <v>0</v>
      </c>
    </row>
    <row r="428" spans="1:1" x14ac:dyDescent="0.25">
      <c r="A428">
        <f>'0.Consolidado general'!$A423</f>
        <v>0</v>
      </c>
    </row>
    <row r="429" spans="1:1" x14ac:dyDescent="0.25">
      <c r="A429">
        <f>'0.Consolidado general'!$A424</f>
        <v>0</v>
      </c>
    </row>
    <row r="430" spans="1:1" x14ac:dyDescent="0.25">
      <c r="A430">
        <f>'0.Consolidado general'!$A425</f>
        <v>0</v>
      </c>
    </row>
    <row r="431" spans="1:1" x14ac:dyDescent="0.25">
      <c r="A431">
        <f>'0.Consolidado general'!$A426</f>
        <v>0</v>
      </c>
    </row>
    <row r="432" spans="1:1" x14ac:dyDescent="0.25">
      <c r="A432">
        <f>'0.Consolidado general'!$A427</f>
        <v>0</v>
      </c>
    </row>
    <row r="433" spans="1:1" x14ac:dyDescent="0.25">
      <c r="A433">
        <f>'0.Consolidado general'!$A428</f>
        <v>0</v>
      </c>
    </row>
    <row r="434" spans="1:1" x14ac:dyDescent="0.25">
      <c r="A434">
        <f>'0.Consolidado general'!$A429</f>
        <v>0</v>
      </c>
    </row>
    <row r="435" spans="1:1" x14ac:dyDescent="0.25">
      <c r="A435">
        <f>'0.Consolidado general'!$A430</f>
        <v>0</v>
      </c>
    </row>
    <row r="436" spans="1:1" x14ac:dyDescent="0.25">
      <c r="A436">
        <f>'0.Consolidado general'!$A431</f>
        <v>0</v>
      </c>
    </row>
    <row r="437" spans="1:1" x14ac:dyDescent="0.25">
      <c r="A437">
        <f>'0.Consolidado general'!$A432</f>
        <v>0</v>
      </c>
    </row>
    <row r="438" spans="1:1" x14ac:dyDescent="0.25">
      <c r="A438">
        <f>'0.Consolidado general'!$A433</f>
        <v>0</v>
      </c>
    </row>
    <row r="439" spans="1:1" x14ac:dyDescent="0.25">
      <c r="A439">
        <f>'0.Consolidado general'!$A434</f>
        <v>0</v>
      </c>
    </row>
    <row r="440" spans="1:1" x14ac:dyDescent="0.25">
      <c r="A440">
        <f>'0.Consolidado general'!$A435</f>
        <v>0</v>
      </c>
    </row>
    <row r="441" spans="1:1" x14ac:dyDescent="0.25">
      <c r="A441">
        <f>'0.Consolidado general'!$A436</f>
        <v>0</v>
      </c>
    </row>
    <row r="442" spans="1:1" x14ac:dyDescent="0.25">
      <c r="A442">
        <f>'0.Consolidado general'!$A437</f>
        <v>0</v>
      </c>
    </row>
    <row r="443" spans="1:1" x14ac:dyDescent="0.25">
      <c r="A443">
        <f>'0.Consolidado general'!$A438</f>
        <v>0</v>
      </c>
    </row>
    <row r="444" spans="1:1" x14ac:dyDescent="0.25">
      <c r="A444">
        <f>'0.Consolidado general'!$A439</f>
        <v>0</v>
      </c>
    </row>
    <row r="445" spans="1:1" x14ac:dyDescent="0.25">
      <c r="A445">
        <f>'0.Consolidado general'!$A440</f>
        <v>0</v>
      </c>
    </row>
    <row r="446" spans="1:1" x14ac:dyDescent="0.25">
      <c r="A446">
        <f>'0.Consolidado general'!$A441</f>
        <v>0</v>
      </c>
    </row>
    <row r="447" spans="1:1" x14ac:dyDescent="0.25">
      <c r="A447">
        <f>'0.Consolidado general'!$A442</f>
        <v>0</v>
      </c>
    </row>
    <row r="448" spans="1:1" x14ac:dyDescent="0.25">
      <c r="A448">
        <f>'0.Consolidado general'!$A443</f>
        <v>0</v>
      </c>
    </row>
    <row r="449" spans="1:1" x14ac:dyDescent="0.25">
      <c r="A449">
        <f>'0.Consolidado general'!$A444</f>
        <v>0</v>
      </c>
    </row>
    <row r="450" spans="1:1" x14ac:dyDescent="0.25">
      <c r="A450">
        <f>'0.Consolidado general'!$A445</f>
        <v>0</v>
      </c>
    </row>
    <row r="451" spans="1:1" x14ac:dyDescent="0.25">
      <c r="A451">
        <f>'0.Consolidado general'!$A446</f>
        <v>0</v>
      </c>
    </row>
    <row r="452" spans="1:1" x14ac:dyDescent="0.25">
      <c r="A452">
        <f>'0.Consolidado general'!$A447</f>
        <v>0</v>
      </c>
    </row>
    <row r="453" spans="1:1" x14ac:dyDescent="0.25">
      <c r="A453">
        <f>'0.Consolidado general'!$A448</f>
        <v>0</v>
      </c>
    </row>
    <row r="454" spans="1:1" x14ac:dyDescent="0.25">
      <c r="A454">
        <f>'0.Consolidado general'!$A449</f>
        <v>0</v>
      </c>
    </row>
    <row r="455" spans="1:1" x14ac:dyDescent="0.25">
      <c r="A455">
        <f>'0.Consolidado general'!$A450</f>
        <v>0</v>
      </c>
    </row>
    <row r="456" spans="1:1" x14ac:dyDescent="0.25">
      <c r="A456">
        <f>'0.Consolidado general'!$A451</f>
        <v>0</v>
      </c>
    </row>
    <row r="457" spans="1:1" x14ac:dyDescent="0.25">
      <c r="A457">
        <f>'0.Consolidado general'!$A452</f>
        <v>0</v>
      </c>
    </row>
    <row r="458" spans="1:1" x14ac:dyDescent="0.25">
      <c r="A458">
        <f>'0.Consolidado general'!$A453</f>
        <v>0</v>
      </c>
    </row>
    <row r="459" spans="1:1" x14ac:dyDescent="0.25">
      <c r="A459">
        <f>'0.Consolidado general'!$A454</f>
        <v>0</v>
      </c>
    </row>
    <row r="460" spans="1:1" x14ac:dyDescent="0.25">
      <c r="A460">
        <f>'0.Consolidado general'!$A455</f>
        <v>0</v>
      </c>
    </row>
    <row r="461" spans="1:1" x14ac:dyDescent="0.25">
      <c r="A461">
        <f>'0.Consolidado general'!$A456</f>
        <v>0</v>
      </c>
    </row>
    <row r="462" spans="1:1" x14ac:dyDescent="0.25">
      <c r="A462">
        <f>'0.Consolidado general'!$A457</f>
        <v>0</v>
      </c>
    </row>
    <row r="463" spans="1:1" x14ac:dyDescent="0.25">
      <c r="A463">
        <f>'0.Consolidado general'!$A458</f>
        <v>0</v>
      </c>
    </row>
    <row r="464" spans="1:1" x14ac:dyDescent="0.25">
      <c r="A464">
        <f>'0.Consolidado general'!$A459</f>
        <v>0</v>
      </c>
    </row>
    <row r="465" spans="1:1" x14ac:dyDescent="0.25">
      <c r="A465">
        <f>'0.Consolidado general'!$A460</f>
        <v>0</v>
      </c>
    </row>
    <row r="466" spans="1:1" x14ac:dyDescent="0.25">
      <c r="A466">
        <f>'0.Consolidado general'!$A461</f>
        <v>0</v>
      </c>
    </row>
    <row r="467" spans="1:1" x14ac:dyDescent="0.25">
      <c r="A467">
        <f>'0.Consolidado general'!$A462</f>
        <v>0</v>
      </c>
    </row>
    <row r="468" spans="1:1" x14ac:dyDescent="0.25">
      <c r="A468">
        <f>'0.Consolidado general'!$A463</f>
        <v>0</v>
      </c>
    </row>
    <row r="469" spans="1:1" x14ac:dyDescent="0.25">
      <c r="A469">
        <f>'0.Consolidado general'!$A464</f>
        <v>0</v>
      </c>
    </row>
    <row r="470" spans="1:1" x14ac:dyDescent="0.25">
      <c r="A470">
        <f>'0.Consolidado general'!$A465</f>
        <v>0</v>
      </c>
    </row>
    <row r="471" spans="1:1" x14ac:dyDescent="0.25">
      <c r="A471">
        <f>'0.Consolidado general'!$A466</f>
        <v>0</v>
      </c>
    </row>
    <row r="472" spans="1:1" x14ac:dyDescent="0.25">
      <c r="A472">
        <f>'0.Consolidado general'!$A467</f>
        <v>0</v>
      </c>
    </row>
    <row r="473" spans="1:1" x14ac:dyDescent="0.25">
      <c r="A473">
        <f>'0.Consolidado general'!$A468</f>
        <v>0</v>
      </c>
    </row>
    <row r="474" spans="1:1" x14ac:dyDescent="0.25">
      <c r="A474">
        <f>'0.Consolidado general'!$A469</f>
        <v>0</v>
      </c>
    </row>
    <row r="475" spans="1:1" x14ac:dyDescent="0.25">
      <c r="A475">
        <f>'0.Consolidado general'!$A470</f>
        <v>0</v>
      </c>
    </row>
    <row r="476" spans="1:1" x14ac:dyDescent="0.25">
      <c r="A476">
        <f>'0.Consolidado general'!$A471</f>
        <v>0</v>
      </c>
    </row>
    <row r="477" spans="1:1" x14ac:dyDescent="0.25">
      <c r="A477">
        <f>'0.Consolidado general'!$A472</f>
        <v>0</v>
      </c>
    </row>
    <row r="478" spans="1:1" x14ac:dyDescent="0.25">
      <c r="A478">
        <f>'0.Consolidado general'!$A473</f>
        <v>0</v>
      </c>
    </row>
    <row r="479" spans="1:1" x14ac:dyDescent="0.25">
      <c r="A479">
        <f>'0.Consolidado general'!$A474</f>
        <v>0</v>
      </c>
    </row>
    <row r="480" spans="1:1" x14ac:dyDescent="0.25">
      <c r="A480">
        <f>'0.Consolidado general'!$A475</f>
        <v>0</v>
      </c>
    </row>
    <row r="481" spans="1:1" x14ac:dyDescent="0.25">
      <c r="A481">
        <f>'0.Consolidado general'!$A476</f>
        <v>0</v>
      </c>
    </row>
    <row r="482" spans="1:1" x14ac:dyDescent="0.25">
      <c r="A482">
        <f>'0.Consolidado general'!$A477</f>
        <v>0</v>
      </c>
    </row>
    <row r="483" spans="1:1" x14ac:dyDescent="0.25">
      <c r="A483">
        <f>'0.Consolidado general'!$A478</f>
        <v>0</v>
      </c>
    </row>
    <row r="484" spans="1:1" x14ac:dyDescent="0.25">
      <c r="A484">
        <f>'0.Consolidado general'!$A479</f>
        <v>0</v>
      </c>
    </row>
    <row r="485" spans="1:1" x14ac:dyDescent="0.25">
      <c r="A485">
        <f>'0.Consolidado general'!$A480</f>
        <v>0</v>
      </c>
    </row>
    <row r="486" spans="1:1" x14ac:dyDescent="0.25">
      <c r="A486">
        <f>'0.Consolidado general'!$A481</f>
        <v>0</v>
      </c>
    </row>
    <row r="487" spans="1:1" x14ac:dyDescent="0.25">
      <c r="A487">
        <f>'0.Consolidado general'!$A482</f>
        <v>0</v>
      </c>
    </row>
    <row r="488" spans="1:1" x14ac:dyDescent="0.25">
      <c r="A488">
        <f>'0.Consolidado general'!$A483</f>
        <v>0</v>
      </c>
    </row>
    <row r="489" spans="1:1" x14ac:dyDescent="0.25">
      <c r="A489">
        <f>'0.Consolidado general'!$A484</f>
        <v>0</v>
      </c>
    </row>
    <row r="490" spans="1:1" x14ac:dyDescent="0.25">
      <c r="A490">
        <f>'0.Consolidado general'!$A485</f>
        <v>0</v>
      </c>
    </row>
    <row r="491" spans="1:1" x14ac:dyDescent="0.25">
      <c r="A491">
        <f>'0.Consolidado general'!$A486</f>
        <v>0</v>
      </c>
    </row>
    <row r="492" spans="1:1" x14ac:dyDescent="0.25">
      <c r="A492">
        <f>'0.Consolidado general'!$A487</f>
        <v>0</v>
      </c>
    </row>
    <row r="493" spans="1:1" x14ac:dyDescent="0.25">
      <c r="A493">
        <f>'0.Consolidado general'!$A488</f>
        <v>0</v>
      </c>
    </row>
    <row r="494" spans="1:1" x14ac:dyDescent="0.25">
      <c r="A494">
        <f>'0.Consolidado general'!$A489</f>
        <v>0</v>
      </c>
    </row>
    <row r="495" spans="1:1" x14ac:dyDescent="0.25">
      <c r="A495">
        <f>'0.Consolidado general'!$A490</f>
        <v>0</v>
      </c>
    </row>
    <row r="496" spans="1:1" x14ac:dyDescent="0.25">
      <c r="A496">
        <f>'0.Consolidado general'!$A491</f>
        <v>0</v>
      </c>
    </row>
  </sheetData>
  <mergeCells count="12">
    <mergeCell ref="B2:D2"/>
    <mergeCell ref="E2:H2"/>
    <mergeCell ref="I2:J2"/>
    <mergeCell ref="K2:L2"/>
    <mergeCell ref="B1:H1"/>
    <mergeCell ref="I1:L1"/>
    <mergeCell ref="B5:D5"/>
    <mergeCell ref="E5:H5"/>
    <mergeCell ref="B4:H4"/>
    <mergeCell ref="I4:L4"/>
    <mergeCell ref="I5:J5"/>
    <mergeCell ref="K5:L5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2:B10"/>
  <sheetViews>
    <sheetView workbookViewId="0"/>
  </sheetViews>
  <sheetFormatPr baseColWidth="10" defaultRowHeight="15" x14ac:dyDescent="0.25"/>
  <cols>
    <col min="1" max="1" width="30.28515625" customWidth="1"/>
    <col min="2" max="2" width="16.28515625" customWidth="1"/>
  </cols>
  <sheetData>
    <row r="2" spans="1:2" x14ac:dyDescent="0.25">
      <c r="A2" t="s">
        <v>31</v>
      </c>
      <c r="B2" s="15">
        <f>'0.User'!$B$3</f>
        <v>3000000</v>
      </c>
    </row>
    <row r="3" spans="1:2" x14ac:dyDescent="0.25">
      <c r="A3" t="s">
        <v>28</v>
      </c>
      <c r="B3" s="16" t="str">
        <f>'0.User'!$K$3</f>
        <v>CONSUMO</v>
      </c>
    </row>
    <row r="4" spans="1:2" x14ac:dyDescent="0.25">
      <c r="A4" t="s">
        <v>33</v>
      </c>
      <c r="B4" s="15">
        <f>'0.User'!$H$3</f>
        <v>200000000</v>
      </c>
    </row>
    <row r="5" spans="1:2" x14ac:dyDescent="0.25">
      <c r="A5" t="s">
        <v>63</v>
      </c>
      <c r="B5" s="15">
        <f>'0.User'!$N$3</f>
        <v>60000000</v>
      </c>
    </row>
    <row r="6" spans="1:2" x14ac:dyDescent="0.25">
      <c r="A6" t="s">
        <v>30</v>
      </c>
      <c r="B6" s="15">
        <f>B4-B5</f>
        <v>140000000</v>
      </c>
    </row>
    <row r="7" spans="1:2" x14ac:dyDescent="0.25">
      <c r="A7" t="s">
        <v>12</v>
      </c>
      <c r="B7" s="15">
        <f>AVERAGE('0.User'!$I$3:$J$3)</f>
        <v>36</v>
      </c>
    </row>
    <row r="8" spans="1:2" x14ac:dyDescent="0.25">
      <c r="A8" t="s">
        <v>60</v>
      </c>
      <c r="B8" s="16" t="str">
        <f>'0.User'!$O$3</f>
        <v>CANAL 1</v>
      </c>
    </row>
    <row r="9" spans="1:2" x14ac:dyDescent="0.25">
      <c r="A9" t="s">
        <v>61</v>
      </c>
      <c r="B9" s="16" t="str">
        <f>'0.User'!$P$3</f>
        <v>CANAL 2</v>
      </c>
    </row>
    <row r="10" spans="1:2" x14ac:dyDescent="0.25">
      <c r="A10" t="s">
        <v>62</v>
      </c>
      <c r="B10" s="16" t="str">
        <f>'0.User'!$Q$3</f>
        <v>CANAL 4</v>
      </c>
    </row>
  </sheetData>
  <dataValidations count="2">
    <dataValidation type="list" allowBlank="1" showInputMessage="1" showErrorMessage="1" sqref="B8:B10">
      <formula1>CANALES</formula1>
    </dataValidation>
    <dataValidation type="list" allowBlank="1" showInputMessage="1" showErrorMessage="1" sqref="B3">
      <formula1>TCREDITO</formula1>
    </dataValidation>
  </dataValidations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K395"/>
  <sheetViews>
    <sheetView topLeftCell="A15" workbookViewId="0"/>
  </sheetViews>
  <sheetFormatPr baseColWidth="10" defaultRowHeight="15" x14ac:dyDescent="0.25"/>
  <cols>
    <col min="1" max="1" width="26.140625" style="20" customWidth="1"/>
    <col min="2" max="2" width="20.28515625" style="20" customWidth="1"/>
    <col min="3" max="4" width="18.85546875" style="20" customWidth="1"/>
    <col min="5" max="5" width="18.5703125" style="20" customWidth="1"/>
    <col min="6" max="8" width="15.42578125" style="20" customWidth="1"/>
    <col min="9" max="9" width="14.85546875" style="20" bestFit="1" customWidth="1"/>
    <col min="10" max="10" width="13.7109375" style="20" customWidth="1"/>
    <col min="11" max="11" width="15.140625" style="20" customWidth="1"/>
    <col min="12" max="16384" width="11.42578125" style="20"/>
  </cols>
  <sheetData>
    <row r="1" spans="1:4" x14ac:dyDescent="0.25">
      <c r="A1" s="20" t="s">
        <v>64</v>
      </c>
      <c r="B1" s="20" t="s">
        <v>85</v>
      </c>
    </row>
    <row r="2" spans="1:4" x14ac:dyDescent="0.25">
      <c r="A2" s="20" t="s">
        <v>65</v>
      </c>
      <c r="B2" s="21">
        <f>VLOOKUP(B1,PRODUCTOVIVIENDA,6,0)</f>
        <v>1800000</v>
      </c>
    </row>
    <row r="3" spans="1:4" x14ac:dyDescent="0.25">
      <c r="A3" s="20" t="s">
        <v>66</v>
      </c>
      <c r="B3" s="21">
        <f>VLOOKUP(B1,PRODUCTOVIVIENDA,7,0)</f>
        <v>1400000</v>
      </c>
    </row>
    <row r="4" spans="1:4" x14ac:dyDescent="0.25">
      <c r="A4" s="20" t="s">
        <v>67</v>
      </c>
      <c r="B4" s="21">
        <f>VLOOKUP(B1,PRODUCTOVIVIENDA,9,0)</f>
        <v>9500</v>
      </c>
      <c r="D4" s="20" t="str">
        <f ca="1">INDIRECT(IF(B9="VIVIENDA", "PRODUCTOVIVIENDA","PRODUCTOOTROS"))</f>
        <v>Cuota fija Pesos</v>
      </c>
    </row>
    <row r="5" spans="1:4" x14ac:dyDescent="0.25">
      <c r="A5" s="20" t="s">
        <v>68</v>
      </c>
      <c r="B5" s="21">
        <f>VLOOKUP(B1,PRODUCTOVIVIENDA,8,0)</f>
        <v>1</v>
      </c>
    </row>
    <row r="8" spans="1:4" x14ac:dyDescent="0.25">
      <c r="A8" s="20" t="s">
        <v>31</v>
      </c>
      <c r="B8" s="21">
        <f>'2.USUARIO'!B2</f>
        <v>3000000</v>
      </c>
    </row>
    <row r="9" spans="1:4" x14ac:dyDescent="0.25">
      <c r="A9" s="20" t="s">
        <v>28</v>
      </c>
      <c r="B9" s="21" t="str">
        <f>'2.USUARIO'!B3</f>
        <v>CONSUMO</v>
      </c>
    </row>
    <row r="10" spans="1:4" x14ac:dyDescent="0.25">
      <c r="A10" s="20" t="s">
        <v>33</v>
      </c>
      <c r="B10" s="21">
        <f>'2.USUARIO'!B4</f>
        <v>200000000</v>
      </c>
    </row>
    <row r="11" spans="1:4" x14ac:dyDescent="0.25">
      <c r="A11" s="20" t="s">
        <v>63</v>
      </c>
      <c r="B11" s="21">
        <f>'2.USUARIO'!B5</f>
        <v>60000000</v>
      </c>
    </row>
    <row r="12" spans="1:4" x14ac:dyDescent="0.25">
      <c r="A12" s="20" t="s">
        <v>30</v>
      </c>
      <c r="B12" s="21">
        <f>'2.USUARIO'!B6</f>
        <v>140000000</v>
      </c>
    </row>
    <row r="13" spans="1:4" x14ac:dyDescent="0.25">
      <c r="A13" s="20" t="s">
        <v>12</v>
      </c>
      <c r="B13" s="20">
        <f>'2.USUARIO'!B7</f>
        <v>36</v>
      </c>
    </row>
    <row r="14" spans="1:4" x14ac:dyDescent="0.25">
      <c r="A14" s="20" t="s">
        <v>60</v>
      </c>
      <c r="B14" s="20" t="str">
        <f>'2.USUARIO'!B8</f>
        <v>CANAL 1</v>
      </c>
      <c r="C14" s="20">
        <f>IF(OR(B14="",B14=0),"",VLOOKUP($B$1,PRODUCTOVIVIENDA,MATCH(B14,CANALVIVIENDA,0),0))</f>
        <v>6000</v>
      </c>
    </row>
    <row r="15" spans="1:4" x14ac:dyDescent="0.25">
      <c r="A15" s="20" t="s">
        <v>61</v>
      </c>
      <c r="B15" s="20" t="str">
        <f>'2.USUARIO'!B9</f>
        <v>CANAL 2</v>
      </c>
      <c r="C15" s="20">
        <f>IF(OR(B15="",B15=0),"",VLOOKUP($B$1,PRODUCTOVIVIENDA,MATCH(B15,CANALVIVIENDA,0),0))</f>
        <v>6000</v>
      </c>
    </row>
    <row r="16" spans="1:4" x14ac:dyDescent="0.25">
      <c r="A16" s="20" t="s">
        <v>62</v>
      </c>
      <c r="B16" s="20" t="str">
        <f>'2.USUARIO'!B10</f>
        <v>CANAL 4</v>
      </c>
      <c r="C16" s="20">
        <f>IF(OR(B16="",B16=0),"",VLOOKUP($B$1,PRODUCTOVIVIENDA,MATCH(B16,CANALVIVIENDA,0),0))</f>
        <v>1000</v>
      </c>
    </row>
    <row r="17" spans="1:10" x14ac:dyDescent="0.25">
      <c r="A17" s="20" t="s">
        <v>69</v>
      </c>
      <c r="C17" s="21">
        <f>AVERAGE(C14:C16)</f>
        <v>4333.333333333333</v>
      </c>
    </row>
    <row r="19" spans="1:10" x14ac:dyDescent="0.25">
      <c r="A19" s="20" t="s">
        <v>70</v>
      </c>
      <c r="B19" s="20">
        <f>IF(B9="VIVIENDA",IF(0.3*B8&gt;=B36,1,0),1)</f>
        <v>1</v>
      </c>
    </row>
    <row r="20" spans="1:10" ht="15.75" thickBot="1" x14ac:dyDescent="0.3"/>
    <row r="21" spans="1:10" ht="16.5" thickBot="1" x14ac:dyDescent="0.3">
      <c r="A21" s="20" t="s">
        <v>0</v>
      </c>
      <c r="B21" s="22">
        <f>VLOOKUP(B1,PRODUCTOVIVIENDA,5,0)</f>
        <v>0.15</v>
      </c>
      <c r="C21" s="23">
        <f>'0.User'!$B$11</f>
        <v>0.1323</v>
      </c>
      <c r="D21" s="20" t="s">
        <v>1</v>
      </c>
    </row>
    <row r="22" spans="1:10" x14ac:dyDescent="0.25">
      <c r="A22" s="20" t="s">
        <v>2</v>
      </c>
      <c r="B22" s="23">
        <f>(1+B21)^(1/12)-1</f>
        <v>1.171491691985338E-2</v>
      </c>
      <c r="C22" s="23">
        <f>(1+C21)^(1/12)-1</f>
        <v>1.0408037569308748E-2</v>
      </c>
      <c r="D22" s="20" t="s">
        <v>3</v>
      </c>
    </row>
    <row r="23" spans="1:10" x14ac:dyDescent="0.25">
      <c r="A23" s="20" t="s">
        <v>22</v>
      </c>
      <c r="B23" s="23">
        <f>'0.User'!$B$10</f>
        <v>0.04</v>
      </c>
      <c r="C23" s="23"/>
    </row>
    <row r="24" spans="1:10" x14ac:dyDescent="0.25">
      <c r="A24" s="20" t="s">
        <v>23</v>
      </c>
      <c r="B24" s="23">
        <f>(1+B23)^(1/12)-1</f>
        <v>3.2737397821989145E-3</v>
      </c>
    </row>
    <row r="25" spans="1:10" x14ac:dyDescent="0.25">
      <c r="A25" s="20" t="s">
        <v>4</v>
      </c>
      <c r="B25" s="21">
        <f>B12</f>
        <v>140000000</v>
      </c>
      <c r="C25" s="24"/>
    </row>
    <row r="26" spans="1:10" ht="15.75" thickBot="1" x14ac:dyDescent="0.3">
      <c r="A26" s="20" t="s">
        <v>5</v>
      </c>
      <c r="B26" s="20">
        <f>B13</f>
        <v>36</v>
      </c>
    </row>
    <row r="27" spans="1:10" ht="16.5" thickBot="1" x14ac:dyDescent="0.3">
      <c r="A27" s="20" t="s">
        <v>25</v>
      </c>
      <c r="B27" s="25" t="str">
        <f>VLOOKUP(B1,PRODUCTOVIVIENDA,4,0)</f>
        <v>Cuota fija Pesos</v>
      </c>
      <c r="F27" s="26"/>
      <c r="G27" s="26"/>
      <c r="H27" s="26"/>
    </row>
    <row r="28" spans="1:10" x14ac:dyDescent="0.25">
      <c r="A28" s="20" t="s">
        <v>24</v>
      </c>
      <c r="B28" s="20">
        <f>VLOOKUP(B27,TAMORT2,2,0)</f>
        <v>4</v>
      </c>
    </row>
    <row r="31" spans="1:10" x14ac:dyDescent="0.25">
      <c r="B31" s="27"/>
      <c r="D31" s="27"/>
      <c r="F31" s="27"/>
      <c r="H31" s="27"/>
      <c r="J31" s="27"/>
    </row>
    <row r="32" spans="1:10" ht="15.75" thickBot="1" x14ac:dyDescent="0.3">
      <c r="B32" s="21">
        <f t="shared" ref="B32" si="0">SUM(B35:B215)</f>
        <v>172397021.01891765</v>
      </c>
      <c r="C32" s="21">
        <f>SUM(C35:C215)</f>
        <v>32397021.018917687</v>
      </c>
      <c r="D32" s="21">
        <f>SUM(D35:D215)</f>
        <v>139999999.99999997</v>
      </c>
      <c r="E32" s="21">
        <f t="shared" ref="E32:G32" si="1">SUM(E35:E215)</f>
        <v>2765450343.4005718</v>
      </c>
      <c r="F32" s="21">
        <f t="shared" si="1"/>
        <v>0</v>
      </c>
      <c r="G32" s="21">
        <f t="shared" si="1"/>
        <v>3707500.0000000009</v>
      </c>
      <c r="H32" s="21"/>
      <c r="I32" s="23"/>
    </row>
    <row r="33" spans="1:11" ht="15.75" thickBot="1" x14ac:dyDescent="0.3">
      <c r="B33" s="238" t="s">
        <v>6</v>
      </c>
      <c r="C33" s="239"/>
      <c r="D33" s="239"/>
      <c r="E33" s="239"/>
      <c r="F33" s="239"/>
      <c r="G33" s="240"/>
      <c r="H33" s="28"/>
      <c r="I33" s="21"/>
    </row>
    <row r="34" spans="1:11" ht="15.75" thickBot="1" x14ac:dyDescent="0.3">
      <c r="A34" s="29" t="s">
        <v>7</v>
      </c>
      <c r="B34" s="29" t="s">
        <v>8</v>
      </c>
      <c r="C34" s="29" t="s">
        <v>9</v>
      </c>
      <c r="D34" s="29" t="s">
        <v>10</v>
      </c>
      <c r="E34" s="29" t="s">
        <v>11</v>
      </c>
      <c r="F34" s="29" t="s">
        <v>26</v>
      </c>
      <c r="G34" s="29" t="s">
        <v>27</v>
      </c>
      <c r="H34" s="28"/>
      <c r="I34" s="30"/>
      <c r="J34" s="28" t="s">
        <v>13</v>
      </c>
      <c r="K34" s="28" t="s">
        <v>14</v>
      </c>
    </row>
    <row r="35" spans="1:11" x14ac:dyDescent="0.25">
      <c r="A35" s="31">
        <v>0</v>
      </c>
      <c r="B35" s="32">
        <f t="shared" ref="B35:B98" si="2">Camort($B$22,$B$24,$B$26,$B$25,A35,$B$28,1)</f>
        <v>0</v>
      </c>
      <c r="C35" s="33">
        <f t="shared" ref="C35:C98" si="3">Camort($B$22,$B$24,$B$26,$B$25,A35,$B$28,2)</f>
        <v>0</v>
      </c>
      <c r="D35" s="33">
        <f t="shared" ref="D35:D66" si="4">B35-C35</f>
        <v>0</v>
      </c>
      <c r="E35" s="33">
        <f t="shared" ref="E35:E98" si="5">Camort($B$22,$B$24,$B$26,$B$25,A35,$B$28,3)</f>
        <v>140000000</v>
      </c>
      <c r="F35" s="33"/>
      <c r="G35" s="34">
        <f>B2+IF(AND(A37&lt;=$B$26,MOD(A37,$B$5)=0),$B$4,0)</f>
        <v>1809500</v>
      </c>
      <c r="H35" s="35"/>
      <c r="I35" s="36">
        <f>-E35-F35+G35</f>
        <v>-138190500</v>
      </c>
      <c r="J35" s="37">
        <f>IRR(I35:I395,0.00001)</f>
        <v>1.3027511735528075E-2</v>
      </c>
      <c r="K35" s="23">
        <f>(1+J35)^12-1</f>
        <v>0.16803237558711182</v>
      </c>
    </row>
    <row r="36" spans="1:11" x14ac:dyDescent="0.25">
      <c r="A36" s="38">
        <f>A35+1</f>
        <v>1</v>
      </c>
      <c r="B36" s="39">
        <f t="shared" si="2"/>
        <v>4788806.1394143794</v>
      </c>
      <c r="C36" s="40">
        <f t="shared" si="3"/>
        <v>1640088.3687794742</v>
      </c>
      <c r="D36" s="40">
        <f t="shared" si="4"/>
        <v>3148717.7706349054</v>
      </c>
      <c r="E36" s="40">
        <f t="shared" si="5"/>
        <v>136851282.22936514</v>
      </c>
      <c r="F36" s="40"/>
      <c r="G36" s="41">
        <f t="shared" ref="G36:G99" si="6">IF(A36&lt;=$B$26,$C$17,0)+IF(AND(A36&lt;=$B$26,MOD(A36,$B$5)=0),$B$4,0)+IF(A36=$B$26,$B$3,0)</f>
        <v>13833.333333333332</v>
      </c>
      <c r="H36" s="35"/>
      <c r="I36" s="42">
        <f>B36-F36+G36</f>
        <v>4802639.4727477124</v>
      </c>
      <c r="J36" s="43"/>
    </row>
    <row r="37" spans="1:11" x14ac:dyDescent="0.25">
      <c r="A37" s="38">
        <f t="shared" ref="A37:A100" si="7">A36+1</f>
        <v>2</v>
      </c>
      <c r="B37" s="39">
        <f t="shared" si="2"/>
        <v>4788806.1394143794</v>
      </c>
      <c r="C37" s="40">
        <f t="shared" si="3"/>
        <v>1603201.4016924198</v>
      </c>
      <c r="D37" s="40">
        <f t="shared" si="4"/>
        <v>3185604.7377219596</v>
      </c>
      <c r="E37" s="40">
        <f t="shared" si="5"/>
        <v>133665677.49164322</v>
      </c>
      <c r="F37" s="40"/>
      <c r="G37" s="41">
        <f t="shared" si="6"/>
        <v>13833.333333333332</v>
      </c>
      <c r="H37" s="35"/>
      <c r="I37" s="42">
        <f t="shared" ref="I37:I100" si="8">B37-F37+G37</f>
        <v>4802639.4727477124</v>
      </c>
      <c r="J37" s="43"/>
      <c r="K37" s="43"/>
    </row>
    <row r="38" spans="1:11" x14ac:dyDescent="0.25">
      <c r="A38" s="38">
        <f t="shared" si="7"/>
        <v>3</v>
      </c>
      <c r="B38" s="39">
        <f t="shared" si="2"/>
        <v>4788806.1394143794</v>
      </c>
      <c r="C38" s="40">
        <f t="shared" si="3"/>
        <v>1565882.3068505162</v>
      </c>
      <c r="D38" s="40">
        <f t="shared" si="4"/>
        <v>3222923.8325638631</v>
      </c>
      <c r="E38" s="40">
        <f t="shared" si="5"/>
        <v>130442753.65907937</v>
      </c>
      <c r="F38" s="40"/>
      <c r="G38" s="41">
        <f t="shared" si="6"/>
        <v>13833.333333333332</v>
      </c>
      <c r="H38" s="35"/>
      <c r="I38" s="42">
        <f t="shared" si="8"/>
        <v>4802639.4727477124</v>
      </c>
      <c r="J38" s="43"/>
      <c r="K38" s="21"/>
    </row>
    <row r="39" spans="1:11" x14ac:dyDescent="0.25">
      <c r="A39" s="38">
        <f t="shared" si="7"/>
        <v>4</v>
      </c>
      <c r="B39" s="39">
        <f t="shared" si="2"/>
        <v>4788806.1394143794</v>
      </c>
      <c r="C39" s="40">
        <f t="shared" si="3"/>
        <v>1528126.0219130153</v>
      </c>
      <c r="D39" s="40">
        <f t="shared" si="4"/>
        <v>3260680.1175013641</v>
      </c>
      <c r="E39" s="40">
        <f t="shared" si="5"/>
        <v>127182073.54157797</v>
      </c>
      <c r="F39" s="40"/>
      <c r="G39" s="41">
        <f t="shared" si="6"/>
        <v>13833.333333333332</v>
      </c>
      <c r="H39" s="35"/>
      <c r="I39" s="42">
        <f t="shared" si="8"/>
        <v>4802639.4727477124</v>
      </c>
      <c r="J39" s="43"/>
    </row>
    <row r="40" spans="1:11" x14ac:dyDescent="0.25">
      <c r="A40" s="38">
        <f t="shared" si="7"/>
        <v>5</v>
      </c>
      <c r="B40" s="39">
        <f t="shared" si="2"/>
        <v>4788806.1394143794</v>
      </c>
      <c r="C40" s="40">
        <f t="shared" si="3"/>
        <v>1489927.4252342687</v>
      </c>
      <c r="D40" s="40">
        <f t="shared" si="4"/>
        <v>3298878.714180111</v>
      </c>
      <c r="E40" s="40">
        <f t="shared" si="5"/>
        <v>123883194.82739784</v>
      </c>
      <c r="F40" s="40"/>
      <c r="G40" s="41">
        <f t="shared" si="6"/>
        <v>13833.333333333332</v>
      </c>
      <c r="H40" s="35"/>
      <c r="I40" s="42">
        <f t="shared" si="8"/>
        <v>4802639.4727477124</v>
      </c>
      <c r="J40" s="43"/>
    </row>
    <row r="41" spans="1:11" x14ac:dyDescent="0.25">
      <c r="A41" s="38">
        <f t="shared" si="7"/>
        <v>6</v>
      </c>
      <c r="B41" s="39">
        <f t="shared" si="2"/>
        <v>4788806.1394143794</v>
      </c>
      <c r="C41" s="40">
        <f t="shared" si="3"/>
        <v>1451281.3351689756</v>
      </c>
      <c r="D41" s="40">
        <f t="shared" si="4"/>
        <v>3337524.804245404</v>
      </c>
      <c r="E41" s="40">
        <f t="shared" si="5"/>
        <v>120545670.02315246</v>
      </c>
      <c r="F41" s="40"/>
      <c r="G41" s="41">
        <f t="shared" si="6"/>
        <v>13833.333333333332</v>
      </c>
      <c r="H41" s="35"/>
      <c r="I41" s="42">
        <f t="shared" si="8"/>
        <v>4802639.4727477124</v>
      </c>
      <c r="J41" s="43"/>
    </row>
    <row r="42" spans="1:11" x14ac:dyDescent="0.25">
      <c r="A42" s="38">
        <f t="shared" si="7"/>
        <v>7</v>
      </c>
      <c r="B42" s="39">
        <f t="shared" si="2"/>
        <v>4788806.1394143794</v>
      </c>
      <c r="C42" s="40">
        <f t="shared" si="3"/>
        <v>1412182.5093692911</v>
      </c>
      <c r="D42" s="40">
        <f t="shared" si="4"/>
        <v>3376623.630045088</v>
      </c>
      <c r="E42" s="40">
        <f t="shared" si="5"/>
        <v>117169046.39310737</v>
      </c>
      <c r="F42" s="40"/>
      <c r="G42" s="41">
        <f t="shared" si="6"/>
        <v>13833.333333333332</v>
      </c>
      <c r="H42" s="35"/>
      <c r="I42" s="42">
        <f t="shared" si="8"/>
        <v>4802639.4727477124</v>
      </c>
      <c r="J42" s="43"/>
    </row>
    <row r="43" spans="1:11" x14ac:dyDescent="0.25">
      <c r="A43" s="38">
        <f t="shared" si="7"/>
        <v>8</v>
      </c>
      <c r="B43" s="39">
        <f t="shared" si="2"/>
        <v>4788806.1394143794</v>
      </c>
      <c r="C43" s="40">
        <f t="shared" si="3"/>
        <v>1372625.6440736991</v>
      </c>
      <c r="D43" s="40">
        <f t="shared" si="4"/>
        <v>3416180.4953406802</v>
      </c>
      <c r="E43" s="40">
        <f t="shared" si="5"/>
        <v>113752865.89776669</v>
      </c>
      <c r="F43" s="40"/>
      <c r="G43" s="41">
        <f t="shared" si="6"/>
        <v>13833.333333333332</v>
      </c>
      <c r="H43" s="35"/>
      <c r="I43" s="42">
        <f t="shared" si="8"/>
        <v>4802639.4727477124</v>
      </c>
      <c r="J43" s="43"/>
    </row>
    <row r="44" spans="1:11" x14ac:dyDescent="0.25">
      <c r="A44" s="38">
        <f t="shared" si="7"/>
        <v>9</v>
      </c>
      <c r="B44" s="39">
        <f t="shared" si="2"/>
        <v>4788806.1394143794</v>
      </c>
      <c r="C44" s="40">
        <f t="shared" si="3"/>
        <v>1332605.3733875595</v>
      </c>
      <c r="D44" s="40">
        <f t="shared" si="4"/>
        <v>3456200.7660268201</v>
      </c>
      <c r="E44" s="40">
        <f t="shared" si="5"/>
        <v>110296665.13173984</v>
      </c>
      <c r="F44" s="40"/>
      <c r="G44" s="41">
        <f t="shared" si="6"/>
        <v>13833.333333333332</v>
      </c>
      <c r="H44" s="35"/>
      <c r="I44" s="42">
        <f t="shared" si="8"/>
        <v>4802639.4727477124</v>
      </c>
      <c r="J44" s="43"/>
    </row>
    <row r="45" spans="1:11" x14ac:dyDescent="0.25">
      <c r="A45" s="38">
        <f t="shared" si="7"/>
        <v>10</v>
      </c>
      <c r="B45" s="39">
        <f t="shared" si="2"/>
        <v>4788806.1394143794</v>
      </c>
      <c r="C45" s="40">
        <f t="shared" si="3"/>
        <v>1292116.2685552214</v>
      </c>
      <c r="D45" s="40">
        <f t="shared" si="4"/>
        <v>3496689.8708591582</v>
      </c>
      <c r="E45" s="40">
        <f t="shared" si="5"/>
        <v>106799975.26088069</v>
      </c>
      <c r="F45" s="40"/>
      <c r="G45" s="41">
        <f t="shared" si="6"/>
        <v>13833.333333333332</v>
      </c>
      <c r="H45" s="35"/>
      <c r="I45" s="42">
        <f t="shared" si="8"/>
        <v>4802639.4727477124</v>
      </c>
      <c r="J45" s="43"/>
    </row>
    <row r="46" spans="1:11" x14ac:dyDescent="0.25">
      <c r="A46" s="38">
        <f t="shared" si="7"/>
        <v>11</v>
      </c>
      <c r="B46" s="39">
        <f t="shared" si="2"/>
        <v>4788806.1394143794</v>
      </c>
      <c r="C46" s="40">
        <f t="shared" si="3"/>
        <v>1251152.8372236136</v>
      </c>
      <c r="D46" s="40">
        <f t="shared" si="4"/>
        <v>3537653.3021907657</v>
      </c>
      <c r="E46" s="40">
        <f t="shared" si="5"/>
        <v>103262321.95868991</v>
      </c>
      <c r="F46" s="40"/>
      <c r="G46" s="41">
        <f t="shared" si="6"/>
        <v>13833.333333333332</v>
      </c>
      <c r="H46" s="35"/>
      <c r="I46" s="42">
        <f t="shared" si="8"/>
        <v>4802639.4727477124</v>
      </c>
      <c r="J46" s="43"/>
    </row>
    <row r="47" spans="1:11" x14ac:dyDescent="0.25">
      <c r="A47" s="38">
        <f t="shared" si="7"/>
        <v>12</v>
      </c>
      <c r="B47" s="39">
        <f t="shared" si="2"/>
        <v>4788806.1394143794</v>
      </c>
      <c r="C47" s="40">
        <f t="shared" si="3"/>
        <v>1209709.5226972036</v>
      </c>
      <c r="D47" s="40">
        <f t="shared" si="4"/>
        <v>3579096.6167171756</v>
      </c>
      <c r="E47" s="40">
        <f t="shared" si="5"/>
        <v>99683225.341972768</v>
      </c>
      <c r="F47" s="40"/>
      <c r="G47" s="41">
        <f t="shared" si="6"/>
        <v>13833.333333333332</v>
      </c>
      <c r="H47" s="35"/>
      <c r="I47" s="42">
        <f t="shared" si="8"/>
        <v>4802639.4727477124</v>
      </c>
      <c r="J47" s="43"/>
    </row>
    <row r="48" spans="1:11" x14ac:dyDescent="0.25">
      <c r="A48" s="38">
        <f t="shared" si="7"/>
        <v>13</v>
      </c>
      <c r="B48" s="39">
        <f t="shared" si="2"/>
        <v>4788806.1394143794</v>
      </c>
      <c r="C48" s="40">
        <f t="shared" si="3"/>
        <v>1167780.703184234</v>
      </c>
      <c r="D48" s="40">
        <f t="shared" si="4"/>
        <v>3621025.4362301454</v>
      </c>
      <c r="E48" s="40">
        <f t="shared" si="5"/>
        <v>96062199.905742541</v>
      </c>
      <c r="F48" s="40"/>
      <c r="G48" s="41">
        <f t="shared" si="6"/>
        <v>13833.333333333332</v>
      </c>
      <c r="H48" s="35"/>
      <c r="I48" s="42">
        <f t="shared" si="8"/>
        <v>4802639.4727477124</v>
      </c>
      <c r="J48" s="43"/>
    </row>
    <row r="49" spans="1:10" x14ac:dyDescent="0.25">
      <c r="A49" s="38">
        <f t="shared" si="7"/>
        <v>14</v>
      </c>
      <c r="B49" s="39">
        <f t="shared" si="2"/>
        <v>4788806.1394143794</v>
      </c>
      <c r="C49" s="40">
        <f t="shared" si="3"/>
        <v>1125360.691034121</v>
      </c>
      <c r="D49" s="40">
        <f t="shared" si="4"/>
        <v>3663445.4483802584</v>
      </c>
      <c r="E49" s="40">
        <f t="shared" si="5"/>
        <v>92398754.457362384</v>
      </c>
      <c r="F49" s="40"/>
      <c r="G49" s="41">
        <f t="shared" si="6"/>
        <v>13833.333333333332</v>
      </c>
      <c r="H49" s="35"/>
      <c r="I49" s="42">
        <f t="shared" si="8"/>
        <v>4802639.4727477124</v>
      </c>
      <c r="J49" s="43"/>
    </row>
    <row r="50" spans="1:10" x14ac:dyDescent="0.25">
      <c r="A50" s="38">
        <f t="shared" si="7"/>
        <v>15</v>
      </c>
      <c r="B50" s="39">
        <f t="shared" si="2"/>
        <v>4788806.1394143794</v>
      </c>
      <c r="C50" s="40">
        <f t="shared" si="3"/>
        <v>1082443.7319659325</v>
      </c>
      <c r="D50" s="40">
        <f t="shared" si="4"/>
        <v>3706362.4074484468</v>
      </c>
      <c r="E50" s="40">
        <f t="shared" si="5"/>
        <v>88692392.049913853</v>
      </c>
      <c r="F50" s="40"/>
      <c r="G50" s="41">
        <f t="shared" si="6"/>
        <v>13833.333333333332</v>
      </c>
      <c r="H50" s="35"/>
      <c r="I50" s="42">
        <f t="shared" si="8"/>
        <v>4802639.4727477124</v>
      </c>
      <c r="J50" s="43"/>
    </row>
    <row r="51" spans="1:10" x14ac:dyDescent="0.25">
      <c r="A51" s="38">
        <f t="shared" si="7"/>
        <v>16</v>
      </c>
      <c r="B51" s="39">
        <f t="shared" si="2"/>
        <v>4788806.1394143794</v>
      </c>
      <c r="C51" s="40">
        <f t="shared" si="3"/>
        <v>1039024.0042878052</v>
      </c>
      <c r="D51" s="40">
        <f t="shared" si="4"/>
        <v>3749782.135126574</v>
      </c>
      <c r="E51" s="40">
        <f t="shared" si="5"/>
        <v>84942609.914787322</v>
      </c>
      <c r="F51" s="40"/>
      <c r="G51" s="41">
        <f t="shared" si="6"/>
        <v>13833.333333333332</v>
      </c>
      <c r="H51" s="35"/>
      <c r="I51" s="42">
        <f t="shared" si="8"/>
        <v>4802639.4727477124</v>
      </c>
      <c r="J51" s="43"/>
    </row>
    <row r="52" spans="1:10" x14ac:dyDescent="0.25">
      <c r="A52" s="38">
        <f t="shared" si="7"/>
        <v>17</v>
      </c>
      <c r="B52" s="39">
        <f t="shared" si="2"/>
        <v>4788806.1394143794</v>
      </c>
      <c r="C52" s="40">
        <f t="shared" si="3"/>
        <v>995095.6181072474</v>
      </c>
      <c r="D52" s="40">
        <f t="shared" si="4"/>
        <v>3793710.5213071322</v>
      </c>
      <c r="E52" s="40">
        <f t="shared" si="5"/>
        <v>81148899.393480137</v>
      </c>
      <c r="F52" s="40"/>
      <c r="G52" s="41">
        <f t="shared" si="6"/>
        <v>13833.333333333332</v>
      </c>
      <c r="H52" s="35"/>
      <c r="I52" s="42">
        <f t="shared" si="8"/>
        <v>4802639.4727477124</v>
      </c>
      <c r="J52" s="43"/>
    </row>
    <row r="53" spans="1:10" x14ac:dyDescent="0.25">
      <c r="A53" s="38">
        <f t="shared" si="7"/>
        <v>18</v>
      </c>
      <c r="B53" s="39">
        <f t="shared" si="2"/>
        <v>4788806.1394143794</v>
      </c>
      <c r="C53" s="40">
        <f t="shared" si="3"/>
        <v>950652.61453216011</v>
      </c>
      <c r="D53" s="40">
        <f t="shared" si="4"/>
        <v>3838153.5248822193</v>
      </c>
      <c r="E53" s="40">
        <f t="shared" si="5"/>
        <v>77310745.868597955</v>
      </c>
      <c r="F53" s="40"/>
      <c r="G53" s="41">
        <f t="shared" si="6"/>
        <v>13833.333333333332</v>
      </c>
      <c r="H53" s="35"/>
      <c r="I53" s="42">
        <f t="shared" si="8"/>
        <v>4802639.4727477124</v>
      </c>
      <c r="J53" s="43"/>
    </row>
    <row r="54" spans="1:10" x14ac:dyDescent="0.25">
      <c r="A54" s="38">
        <f t="shared" si="7"/>
        <v>19</v>
      </c>
      <c r="B54" s="39">
        <f t="shared" si="2"/>
        <v>4788806.1394143794</v>
      </c>
      <c r="C54" s="40">
        <f t="shared" si="3"/>
        <v>905688.9648625229</v>
      </c>
      <c r="D54" s="40">
        <f t="shared" si="4"/>
        <v>3883117.1745518567</v>
      </c>
      <c r="E54" s="40">
        <f t="shared" si="5"/>
        <v>73427628.694046095</v>
      </c>
      <c r="F54" s="40"/>
      <c r="G54" s="41">
        <f t="shared" si="6"/>
        <v>13833.333333333332</v>
      </c>
      <c r="H54" s="35"/>
      <c r="I54" s="42">
        <f t="shared" si="8"/>
        <v>4802639.4727477124</v>
      </c>
      <c r="J54" s="43"/>
    </row>
    <row r="55" spans="1:10" x14ac:dyDescent="0.25">
      <c r="A55" s="38">
        <f t="shared" si="7"/>
        <v>20</v>
      </c>
      <c r="B55" s="39">
        <f t="shared" si="2"/>
        <v>4788806.1394143794</v>
      </c>
      <c r="C55" s="40">
        <f t="shared" si="3"/>
        <v>860198.56977259216</v>
      </c>
      <c r="D55" s="40">
        <f t="shared" si="4"/>
        <v>3928607.5696417871</v>
      </c>
      <c r="E55" s="40">
        <f t="shared" si="5"/>
        <v>69499021.124404296</v>
      </c>
      <c r="F55" s="40"/>
      <c r="G55" s="41">
        <f t="shared" si="6"/>
        <v>13833.333333333332</v>
      </c>
      <c r="H55" s="35"/>
      <c r="I55" s="42">
        <f t="shared" si="8"/>
        <v>4802639.4727477124</v>
      </c>
      <c r="J55" s="43"/>
    </row>
    <row r="56" spans="1:10" x14ac:dyDescent="0.25">
      <c r="A56" s="38">
        <f t="shared" si="7"/>
        <v>21</v>
      </c>
      <c r="B56" s="39">
        <f t="shared" si="2"/>
        <v>4788806.1394143794</v>
      </c>
      <c r="C56" s="40">
        <f t="shared" si="3"/>
        <v>814175.2584835313</v>
      </c>
      <c r="D56" s="40">
        <f t="shared" si="4"/>
        <v>3974630.880930848</v>
      </c>
      <c r="E56" s="40">
        <f t="shared" si="5"/>
        <v>65524390.243473403</v>
      </c>
      <c r="F56" s="40"/>
      <c r="G56" s="41">
        <f t="shared" si="6"/>
        <v>13833.333333333332</v>
      </c>
      <c r="H56" s="35"/>
      <c r="I56" s="42">
        <f t="shared" si="8"/>
        <v>4802639.4727477124</v>
      </c>
      <c r="J56" s="43"/>
    </row>
    <row r="57" spans="1:10" x14ac:dyDescent="0.25">
      <c r="A57" s="38">
        <f t="shared" si="7"/>
        <v>22</v>
      </c>
      <c r="B57" s="39">
        <f t="shared" si="2"/>
        <v>4788806.1394143794</v>
      </c>
      <c r="C57" s="40">
        <f t="shared" si="3"/>
        <v>767612.78792634234</v>
      </c>
      <c r="D57" s="40">
        <f t="shared" si="4"/>
        <v>4021193.351488037</v>
      </c>
      <c r="E57" s="40">
        <f t="shared" si="5"/>
        <v>61503196.891985416</v>
      </c>
      <c r="F57" s="40"/>
      <c r="G57" s="41">
        <f t="shared" si="6"/>
        <v>13833.333333333332</v>
      </c>
      <c r="H57" s="35"/>
      <c r="I57" s="42">
        <f t="shared" si="8"/>
        <v>4802639.4727477124</v>
      </c>
      <c r="J57" s="43"/>
    </row>
    <row r="58" spans="1:10" x14ac:dyDescent="0.25">
      <c r="A58" s="38">
        <f t="shared" si="7"/>
        <v>23</v>
      </c>
      <c r="B58" s="39">
        <f t="shared" si="2"/>
        <v>4788806.1394143794</v>
      </c>
      <c r="C58" s="40">
        <f t="shared" si="3"/>
        <v>720504.84189499379</v>
      </c>
      <c r="D58" s="40">
        <f t="shared" si="4"/>
        <v>4068301.2975193858</v>
      </c>
      <c r="E58" s="40">
        <f t="shared" si="5"/>
        <v>57434895.594466016</v>
      </c>
      <c r="F58" s="40"/>
      <c r="G58" s="41">
        <f t="shared" si="6"/>
        <v>13833.333333333332</v>
      </c>
      <c r="H58" s="35"/>
      <c r="I58" s="42">
        <f t="shared" si="8"/>
        <v>4802639.4727477124</v>
      </c>
      <c r="J58" s="43"/>
    </row>
    <row r="59" spans="1:10" x14ac:dyDescent="0.25">
      <c r="A59" s="38">
        <f t="shared" si="7"/>
        <v>24</v>
      </c>
      <c r="B59" s="39">
        <f t="shared" si="2"/>
        <v>4788806.1394143794</v>
      </c>
      <c r="C59" s="40">
        <f t="shared" si="3"/>
        <v>672845.03018962231</v>
      </c>
      <c r="D59" s="40">
        <f t="shared" si="4"/>
        <v>4115961.1092247572</v>
      </c>
      <c r="E59" s="40">
        <f t="shared" si="5"/>
        <v>53318934.485241279</v>
      </c>
      <c r="F59" s="40"/>
      <c r="G59" s="41">
        <f t="shared" si="6"/>
        <v>13833.333333333332</v>
      </c>
      <c r="H59" s="35"/>
      <c r="I59" s="42">
        <f t="shared" si="8"/>
        <v>4802639.4727477124</v>
      </c>
      <c r="J59" s="43"/>
    </row>
    <row r="60" spans="1:10" x14ac:dyDescent="0.25">
      <c r="A60" s="38">
        <f t="shared" si="7"/>
        <v>25</v>
      </c>
      <c r="B60" s="39">
        <f t="shared" si="2"/>
        <v>4788806.1394143794</v>
      </c>
      <c r="C60" s="40">
        <f t="shared" si="3"/>
        <v>624626.88774970686</v>
      </c>
      <c r="D60" s="40">
        <f t="shared" si="4"/>
        <v>4164179.2516646725</v>
      </c>
      <c r="E60" s="40">
        <f t="shared" si="5"/>
        <v>49154755.233576596</v>
      </c>
      <c r="F60" s="40"/>
      <c r="G60" s="41">
        <f t="shared" si="6"/>
        <v>13833.333333333332</v>
      </c>
      <c r="H60" s="35"/>
      <c r="I60" s="42">
        <f t="shared" si="8"/>
        <v>4802639.4727477124</v>
      </c>
      <c r="J60" s="43"/>
    </row>
    <row r="61" spans="1:10" x14ac:dyDescent="0.25">
      <c r="A61" s="38">
        <f t="shared" si="7"/>
        <v>26</v>
      </c>
      <c r="B61" s="39">
        <f t="shared" si="2"/>
        <v>4788806.1394143794</v>
      </c>
      <c r="C61" s="40">
        <f t="shared" si="3"/>
        <v>575843.87377707788</v>
      </c>
      <c r="D61" s="40">
        <f t="shared" si="4"/>
        <v>4212962.2656373018</v>
      </c>
      <c r="E61" s="40">
        <f t="shared" si="5"/>
        <v>44941792.967939273</v>
      </c>
      <c r="F61" s="40"/>
      <c r="G61" s="41">
        <f t="shared" si="6"/>
        <v>13833.333333333332</v>
      </c>
      <c r="H61" s="35"/>
      <c r="I61" s="42">
        <f t="shared" si="8"/>
        <v>4802639.4727477124</v>
      </c>
      <c r="J61" s="43"/>
    </row>
    <row r="62" spans="1:10" x14ac:dyDescent="0.25">
      <c r="A62" s="38">
        <f t="shared" si="7"/>
        <v>27</v>
      </c>
      <c r="B62" s="39">
        <f t="shared" si="2"/>
        <v>4788806.1394143794</v>
      </c>
      <c r="C62" s="40">
        <f t="shared" si="3"/>
        <v>526489.37084865943</v>
      </c>
      <c r="D62" s="40">
        <f t="shared" si="4"/>
        <v>4262316.7685657199</v>
      </c>
      <c r="E62" s="40">
        <f t="shared" si="5"/>
        <v>40679476.199373573</v>
      </c>
      <c r="F62" s="40"/>
      <c r="G62" s="41">
        <f t="shared" si="6"/>
        <v>13833.333333333332</v>
      </c>
      <c r="H62" s="35"/>
      <c r="I62" s="42">
        <f t="shared" si="8"/>
        <v>4802639.4727477124</v>
      </c>
      <c r="J62" s="43"/>
    </row>
    <row r="63" spans="1:10" x14ac:dyDescent="0.25">
      <c r="A63" s="38">
        <f t="shared" si="7"/>
        <v>28</v>
      </c>
      <c r="B63" s="39">
        <f t="shared" si="2"/>
        <v>4788806.1394143794</v>
      </c>
      <c r="C63" s="40">
        <f t="shared" si="3"/>
        <v>476556.68401881435</v>
      </c>
      <c r="D63" s="40">
        <f t="shared" si="4"/>
        <v>4312249.4553955654</v>
      </c>
      <c r="E63" s="40">
        <f t="shared" si="5"/>
        <v>36367226.743978001</v>
      </c>
      <c r="F63" s="40"/>
      <c r="G63" s="41">
        <f t="shared" si="6"/>
        <v>13833.333333333332</v>
      </c>
      <c r="H63" s="35"/>
      <c r="I63" s="42">
        <f t="shared" si="8"/>
        <v>4802639.4727477124</v>
      </c>
      <c r="J63" s="43"/>
    </row>
    <row r="64" spans="1:10" x14ac:dyDescent="0.25">
      <c r="A64" s="38">
        <f t="shared" si="7"/>
        <v>29</v>
      </c>
      <c r="B64" s="39">
        <f t="shared" si="2"/>
        <v>4788806.1394143794</v>
      </c>
      <c r="C64" s="40">
        <f t="shared" si="3"/>
        <v>426039.03991117224</v>
      </c>
      <c r="D64" s="40">
        <f t="shared" si="4"/>
        <v>4362767.099503207</v>
      </c>
      <c r="E64" s="40">
        <f t="shared" si="5"/>
        <v>32004459.644474715</v>
      </c>
      <c r="F64" s="40"/>
      <c r="G64" s="41">
        <f t="shared" si="6"/>
        <v>13833.333333333332</v>
      </c>
      <c r="H64" s="35"/>
      <c r="I64" s="42">
        <f t="shared" si="8"/>
        <v>4802639.4727477124</v>
      </c>
      <c r="J64" s="43"/>
    </row>
    <row r="65" spans="1:10" x14ac:dyDescent="0.25">
      <c r="A65" s="38">
        <f t="shared" si="7"/>
        <v>30</v>
      </c>
      <c r="B65" s="39">
        <f t="shared" si="2"/>
        <v>4788806.1394143794</v>
      </c>
      <c r="C65" s="40">
        <f t="shared" si="3"/>
        <v>374929.58579982154</v>
      </c>
      <c r="D65" s="40">
        <f t="shared" si="4"/>
        <v>4413876.5536145577</v>
      </c>
      <c r="E65" s="40">
        <f t="shared" si="5"/>
        <v>27590583.09086024</v>
      </c>
      <c r="F65" s="40"/>
      <c r="G65" s="41">
        <f t="shared" si="6"/>
        <v>13833.333333333332</v>
      </c>
      <c r="H65" s="35"/>
      <c r="I65" s="42">
        <f t="shared" si="8"/>
        <v>4802639.4727477124</v>
      </c>
      <c r="J65" s="43"/>
    </row>
    <row r="66" spans="1:10" x14ac:dyDescent="0.25">
      <c r="A66" s="38">
        <f t="shared" si="7"/>
        <v>31</v>
      </c>
      <c r="B66" s="39">
        <f t="shared" si="2"/>
        <v>4788806.1394143794</v>
      </c>
      <c r="C66" s="40">
        <f t="shared" si="3"/>
        <v>323221.3886797392</v>
      </c>
      <c r="D66" s="40">
        <f t="shared" si="4"/>
        <v>4465584.7507346403</v>
      </c>
      <c r="E66" s="40">
        <f t="shared" si="5"/>
        <v>23124998.340125546</v>
      </c>
      <c r="F66" s="40"/>
      <c r="G66" s="41">
        <f t="shared" si="6"/>
        <v>13833.333333333332</v>
      </c>
      <c r="H66" s="35"/>
      <c r="I66" s="42">
        <f t="shared" si="8"/>
        <v>4802639.4727477124</v>
      </c>
      <c r="J66" s="43"/>
    </row>
    <row r="67" spans="1:10" x14ac:dyDescent="0.25">
      <c r="A67" s="38">
        <f t="shared" si="7"/>
        <v>32</v>
      </c>
      <c r="B67" s="39">
        <f t="shared" si="2"/>
        <v>4788806.1394143794</v>
      </c>
      <c r="C67" s="40">
        <f t="shared" si="3"/>
        <v>270907.43432631809</v>
      </c>
      <c r="D67" s="40">
        <f t="shared" ref="D67:D98" si="9">B67-C67</f>
        <v>4517898.7050880613</v>
      </c>
      <c r="E67" s="40">
        <f t="shared" si="5"/>
        <v>18607099.635037508</v>
      </c>
      <c r="F67" s="40"/>
      <c r="G67" s="41">
        <f t="shared" si="6"/>
        <v>13833.333333333332</v>
      </c>
      <c r="H67" s="35"/>
      <c r="I67" s="42">
        <f t="shared" si="8"/>
        <v>4802639.4727477124</v>
      </c>
      <c r="J67" s="43"/>
    </row>
    <row r="68" spans="1:10" x14ac:dyDescent="0.25">
      <c r="A68" s="38">
        <f t="shared" si="7"/>
        <v>33</v>
      </c>
      <c r="B68" s="39">
        <f t="shared" si="2"/>
        <v>4788806.1394143794</v>
      </c>
      <c r="C68" s="40">
        <f t="shared" si="3"/>
        <v>217980.62634389856</v>
      </c>
      <c r="D68" s="40">
        <f t="shared" si="9"/>
        <v>4570825.5130704809</v>
      </c>
      <c r="E68" s="40">
        <f t="shared" si="5"/>
        <v>14036274.121967001</v>
      </c>
      <c r="F68" s="40"/>
      <c r="G68" s="41">
        <f t="shared" si="6"/>
        <v>13833.333333333332</v>
      </c>
      <c r="H68" s="35"/>
      <c r="I68" s="42">
        <f t="shared" si="8"/>
        <v>4802639.4727477124</v>
      </c>
      <c r="J68" s="43"/>
    </row>
    <row r="69" spans="1:10" x14ac:dyDescent="0.25">
      <c r="A69" s="38">
        <f t="shared" si="7"/>
        <v>34</v>
      </c>
      <c r="B69" s="39">
        <f t="shared" si="2"/>
        <v>4788806.1394143794</v>
      </c>
      <c r="C69" s="40">
        <f t="shared" si="3"/>
        <v>164433.78520313135</v>
      </c>
      <c r="D69" s="40">
        <f t="shared" si="9"/>
        <v>4624372.3542112485</v>
      </c>
      <c r="E69" s="40">
        <f t="shared" si="5"/>
        <v>9411901.7677557934</v>
      </c>
      <c r="F69" s="40"/>
      <c r="G69" s="41">
        <f t="shared" si="6"/>
        <v>13833.333333333332</v>
      </c>
      <c r="H69" s="35"/>
      <c r="I69" s="42">
        <f t="shared" si="8"/>
        <v>4802639.4727477124</v>
      </c>
      <c r="J69" s="43"/>
    </row>
    <row r="70" spans="1:10" x14ac:dyDescent="0.25">
      <c r="A70" s="38">
        <f t="shared" si="7"/>
        <v>35</v>
      </c>
      <c r="B70" s="39">
        <f t="shared" si="2"/>
        <v>4788806.1394143794</v>
      </c>
      <c r="C70" s="40">
        <f t="shared" si="3"/>
        <v>110259.64726708028</v>
      </c>
      <c r="D70" s="40">
        <f t="shared" si="9"/>
        <v>4678546.4921472995</v>
      </c>
      <c r="E70" s="40">
        <f t="shared" si="5"/>
        <v>4733355.2756084763</v>
      </c>
      <c r="F70" s="40"/>
      <c r="G70" s="41">
        <f t="shared" si="6"/>
        <v>13833.333333333332</v>
      </c>
      <c r="H70" s="35"/>
      <c r="I70" s="42">
        <f t="shared" si="8"/>
        <v>4802639.4727477124</v>
      </c>
      <c r="J70" s="43"/>
    </row>
    <row r="71" spans="1:10" x14ac:dyDescent="0.25">
      <c r="A71" s="38">
        <f t="shared" si="7"/>
        <v>36</v>
      </c>
      <c r="B71" s="39">
        <f t="shared" si="2"/>
        <v>4788806.1394143794</v>
      </c>
      <c r="C71" s="40">
        <f t="shared" si="3"/>
        <v>55450.863805902998</v>
      </c>
      <c r="D71" s="40">
        <f t="shared" si="9"/>
        <v>4733355.2756084763</v>
      </c>
      <c r="E71" s="40">
        <f t="shared" si="5"/>
        <v>0</v>
      </c>
      <c r="F71" s="40"/>
      <c r="G71" s="41">
        <f t="shared" si="6"/>
        <v>1413833.3333333333</v>
      </c>
      <c r="H71" s="35"/>
      <c r="I71" s="42">
        <f t="shared" si="8"/>
        <v>6202639.4727477124</v>
      </c>
      <c r="J71" s="43"/>
    </row>
    <row r="72" spans="1:10" x14ac:dyDescent="0.25">
      <c r="A72" s="38">
        <f t="shared" si="7"/>
        <v>37</v>
      </c>
      <c r="B72" s="39">
        <f t="shared" si="2"/>
        <v>0</v>
      </c>
      <c r="C72" s="40">
        <f t="shared" si="3"/>
        <v>0</v>
      </c>
      <c r="D72" s="40">
        <f t="shared" si="9"/>
        <v>0</v>
      </c>
      <c r="E72" s="40">
        <f t="shared" si="5"/>
        <v>0</v>
      </c>
      <c r="F72" s="40"/>
      <c r="G72" s="41">
        <f t="shared" si="6"/>
        <v>0</v>
      </c>
      <c r="H72" s="35"/>
      <c r="I72" s="42">
        <f t="shared" si="8"/>
        <v>0</v>
      </c>
      <c r="J72" s="43"/>
    </row>
    <row r="73" spans="1:10" x14ac:dyDescent="0.25">
      <c r="A73" s="38">
        <f t="shared" si="7"/>
        <v>38</v>
      </c>
      <c r="B73" s="39">
        <f t="shared" si="2"/>
        <v>0</v>
      </c>
      <c r="C73" s="40">
        <f t="shared" si="3"/>
        <v>0</v>
      </c>
      <c r="D73" s="40">
        <f t="shared" si="9"/>
        <v>0</v>
      </c>
      <c r="E73" s="40">
        <f t="shared" si="5"/>
        <v>0</v>
      </c>
      <c r="F73" s="40"/>
      <c r="G73" s="41">
        <f t="shared" si="6"/>
        <v>0</v>
      </c>
      <c r="H73" s="35"/>
      <c r="I73" s="42">
        <f t="shared" si="8"/>
        <v>0</v>
      </c>
      <c r="J73" s="43"/>
    </row>
    <row r="74" spans="1:10" x14ac:dyDescent="0.25">
      <c r="A74" s="38">
        <f t="shared" si="7"/>
        <v>39</v>
      </c>
      <c r="B74" s="39">
        <f t="shared" si="2"/>
        <v>0</v>
      </c>
      <c r="C74" s="40">
        <f t="shared" si="3"/>
        <v>0</v>
      </c>
      <c r="D74" s="40">
        <f t="shared" si="9"/>
        <v>0</v>
      </c>
      <c r="E74" s="40">
        <f t="shared" si="5"/>
        <v>0</v>
      </c>
      <c r="F74" s="40"/>
      <c r="G74" s="41">
        <f t="shared" si="6"/>
        <v>0</v>
      </c>
      <c r="H74" s="35"/>
      <c r="I74" s="42">
        <f t="shared" si="8"/>
        <v>0</v>
      </c>
      <c r="J74" s="43"/>
    </row>
    <row r="75" spans="1:10" x14ac:dyDescent="0.25">
      <c r="A75" s="38">
        <f t="shared" si="7"/>
        <v>40</v>
      </c>
      <c r="B75" s="39">
        <f t="shared" si="2"/>
        <v>0</v>
      </c>
      <c r="C75" s="40">
        <f t="shared" si="3"/>
        <v>0</v>
      </c>
      <c r="D75" s="40">
        <f t="shared" si="9"/>
        <v>0</v>
      </c>
      <c r="E75" s="40">
        <f t="shared" si="5"/>
        <v>0</v>
      </c>
      <c r="F75" s="40"/>
      <c r="G75" s="41">
        <f t="shared" si="6"/>
        <v>0</v>
      </c>
      <c r="H75" s="35"/>
      <c r="I75" s="42">
        <f t="shared" si="8"/>
        <v>0</v>
      </c>
      <c r="J75" s="43"/>
    </row>
    <row r="76" spans="1:10" x14ac:dyDescent="0.25">
      <c r="A76" s="38">
        <f t="shared" si="7"/>
        <v>41</v>
      </c>
      <c r="B76" s="39">
        <f t="shared" si="2"/>
        <v>0</v>
      </c>
      <c r="C76" s="40">
        <f t="shared" si="3"/>
        <v>0</v>
      </c>
      <c r="D76" s="40">
        <f t="shared" si="9"/>
        <v>0</v>
      </c>
      <c r="E76" s="40">
        <f t="shared" si="5"/>
        <v>0</v>
      </c>
      <c r="F76" s="40"/>
      <c r="G76" s="41">
        <f t="shared" si="6"/>
        <v>0</v>
      </c>
      <c r="H76" s="35"/>
      <c r="I76" s="42">
        <f t="shared" si="8"/>
        <v>0</v>
      </c>
      <c r="J76" s="43"/>
    </row>
    <row r="77" spans="1:10" x14ac:dyDescent="0.25">
      <c r="A77" s="38">
        <f t="shared" si="7"/>
        <v>42</v>
      </c>
      <c r="B77" s="39">
        <f t="shared" si="2"/>
        <v>0</v>
      </c>
      <c r="C77" s="40">
        <f t="shared" si="3"/>
        <v>0</v>
      </c>
      <c r="D77" s="40">
        <f t="shared" si="9"/>
        <v>0</v>
      </c>
      <c r="E77" s="40">
        <f t="shared" si="5"/>
        <v>0</v>
      </c>
      <c r="F77" s="40"/>
      <c r="G77" s="41">
        <f t="shared" si="6"/>
        <v>0</v>
      </c>
      <c r="H77" s="35"/>
      <c r="I77" s="42">
        <f t="shared" si="8"/>
        <v>0</v>
      </c>
      <c r="J77" s="43"/>
    </row>
    <row r="78" spans="1:10" x14ac:dyDescent="0.25">
      <c r="A78" s="38">
        <f t="shared" si="7"/>
        <v>43</v>
      </c>
      <c r="B78" s="39">
        <f t="shared" si="2"/>
        <v>0</v>
      </c>
      <c r="C78" s="40">
        <f t="shared" si="3"/>
        <v>0</v>
      </c>
      <c r="D78" s="40">
        <f t="shared" si="9"/>
        <v>0</v>
      </c>
      <c r="E78" s="40">
        <f t="shared" si="5"/>
        <v>0</v>
      </c>
      <c r="F78" s="40"/>
      <c r="G78" s="41">
        <f t="shared" si="6"/>
        <v>0</v>
      </c>
      <c r="H78" s="35"/>
      <c r="I78" s="42">
        <f t="shared" si="8"/>
        <v>0</v>
      </c>
      <c r="J78" s="43"/>
    </row>
    <row r="79" spans="1:10" x14ac:dyDescent="0.25">
      <c r="A79" s="38">
        <f t="shared" si="7"/>
        <v>44</v>
      </c>
      <c r="B79" s="39">
        <f t="shared" si="2"/>
        <v>0</v>
      </c>
      <c r="C79" s="40">
        <f t="shared" si="3"/>
        <v>0</v>
      </c>
      <c r="D79" s="40">
        <f t="shared" si="9"/>
        <v>0</v>
      </c>
      <c r="E79" s="40">
        <f t="shared" si="5"/>
        <v>0</v>
      </c>
      <c r="F79" s="40"/>
      <c r="G79" s="41">
        <f t="shared" si="6"/>
        <v>0</v>
      </c>
      <c r="H79" s="35"/>
      <c r="I79" s="42">
        <f t="shared" si="8"/>
        <v>0</v>
      </c>
      <c r="J79" s="43"/>
    </row>
    <row r="80" spans="1:10" x14ac:dyDescent="0.25">
      <c r="A80" s="38">
        <f t="shared" si="7"/>
        <v>45</v>
      </c>
      <c r="B80" s="39">
        <f t="shared" si="2"/>
        <v>0</v>
      </c>
      <c r="C80" s="40">
        <f t="shared" si="3"/>
        <v>0</v>
      </c>
      <c r="D80" s="40">
        <f t="shared" si="9"/>
        <v>0</v>
      </c>
      <c r="E80" s="40">
        <f t="shared" si="5"/>
        <v>0</v>
      </c>
      <c r="F80" s="40"/>
      <c r="G80" s="41">
        <f t="shared" si="6"/>
        <v>0</v>
      </c>
      <c r="H80" s="35"/>
      <c r="I80" s="42">
        <f t="shared" si="8"/>
        <v>0</v>
      </c>
      <c r="J80" s="43"/>
    </row>
    <row r="81" spans="1:10" x14ac:dyDescent="0.25">
      <c r="A81" s="38">
        <f t="shared" si="7"/>
        <v>46</v>
      </c>
      <c r="B81" s="39">
        <f t="shared" si="2"/>
        <v>0</v>
      </c>
      <c r="C81" s="40">
        <f t="shared" si="3"/>
        <v>0</v>
      </c>
      <c r="D81" s="40">
        <f t="shared" si="9"/>
        <v>0</v>
      </c>
      <c r="E81" s="40">
        <f t="shared" si="5"/>
        <v>0</v>
      </c>
      <c r="F81" s="40"/>
      <c r="G81" s="41">
        <f t="shared" si="6"/>
        <v>0</v>
      </c>
      <c r="H81" s="35"/>
      <c r="I81" s="42">
        <f t="shared" si="8"/>
        <v>0</v>
      </c>
      <c r="J81" s="43"/>
    </row>
    <row r="82" spans="1:10" x14ac:dyDescent="0.25">
      <c r="A82" s="38">
        <f t="shared" si="7"/>
        <v>47</v>
      </c>
      <c r="B82" s="39">
        <f t="shared" si="2"/>
        <v>0</v>
      </c>
      <c r="C82" s="40">
        <f t="shared" si="3"/>
        <v>0</v>
      </c>
      <c r="D82" s="40">
        <f t="shared" si="9"/>
        <v>0</v>
      </c>
      <c r="E82" s="40">
        <f t="shared" si="5"/>
        <v>0</v>
      </c>
      <c r="F82" s="40"/>
      <c r="G82" s="41">
        <f t="shared" si="6"/>
        <v>0</v>
      </c>
      <c r="H82" s="35"/>
      <c r="I82" s="42">
        <f t="shared" si="8"/>
        <v>0</v>
      </c>
      <c r="J82" s="43"/>
    </row>
    <row r="83" spans="1:10" x14ac:dyDescent="0.25">
      <c r="A83" s="38">
        <f t="shared" si="7"/>
        <v>48</v>
      </c>
      <c r="B83" s="39">
        <f t="shared" si="2"/>
        <v>0</v>
      </c>
      <c r="C83" s="40">
        <f t="shared" si="3"/>
        <v>0</v>
      </c>
      <c r="D83" s="40">
        <f t="shared" si="9"/>
        <v>0</v>
      </c>
      <c r="E83" s="40">
        <f t="shared" si="5"/>
        <v>0</v>
      </c>
      <c r="F83" s="40"/>
      <c r="G83" s="41">
        <f t="shared" si="6"/>
        <v>0</v>
      </c>
      <c r="H83" s="35"/>
      <c r="I83" s="42">
        <f t="shared" si="8"/>
        <v>0</v>
      </c>
      <c r="J83" s="43"/>
    </row>
    <row r="84" spans="1:10" x14ac:dyDescent="0.25">
      <c r="A84" s="38">
        <f t="shared" si="7"/>
        <v>49</v>
      </c>
      <c r="B84" s="39">
        <f t="shared" si="2"/>
        <v>0</v>
      </c>
      <c r="C84" s="40">
        <f t="shared" si="3"/>
        <v>0</v>
      </c>
      <c r="D84" s="40">
        <f t="shared" si="9"/>
        <v>0</v>
      </c>
      <c r="E84" s="40">
        <f t="shared" si="5"/>
        <v>0</v>
      </c>
      <c r="F84" s="40"/>
      <c r="G84" s="41">
        <f t="shared" si="6"/>
        <v>0</v>
      </c>
      <c r="H84" s="35"/>
      <c r="I84" s="42">
        <f t="shared" si="8"/>
        <v>0</v>
      </c>
      <c r="J84" s="43"/>
    </row>
    <row r="85" spans="1:10" x14ac:dyDescent="0.25">
      <c r="A85" s="38">
        <f t="shared" si="7"/>
        <v>50</v>
      </c>
      <c r="B85" s="39">
        <f t="shared" si="2"/>
        <v>0</v>
      </c>
      <c r="C85" s="40">
        <f t="shared" si="3"/>
        <v>0</v>
      </c>
      <c r="D85" s="40">
        <f t="shared" si="9"/>
        <v>0</v>
      </c>
      <c r="E85" s="40">
        <f t="shared" si="5"/>
        <v>0</v>
      </c>
      <c r="F85" s="40"/>
      <c r="G85" s="41">
        <f t="shared" si="6"/>
        <v>0</v>
      </c>
      <c r="H85" s="35"/>
      <c r="I85" s="42">
        <f t="shared" si="8"/>
        <v>0</v>
      </c>
      <c r="J85" s="43"/>
    </row>
    <row r="86" spans="1:10" x14ac:dyDescent="0.25">
      <c r="A86" s="38">
        <f t="shared" si="7"/>
        <v>51</v>
      </c>
      <c r="B86" s="39">
        <f t="shared" si="2"/>
        <v>0</v>
      </c>
      <c r="C86" s="40">
        <f t="shared" si="3"/>
        <v>0</v>
      </c>
      <c r="D86" s="40">
        <f t="shared" si="9"/>
        <v>0</v>
      </c>
      <c r="E86" s="40">
        <f t="shared" si="5"/>
        <v>0</v>
      </c>
      <c r="F86" s="40"/>
      <c r="G86" s="41">
        <f t="shared" si="6"/>
        <v>0</v>
      </c>
      <c r="H86" s="35"/>
      <c r="I86" s="42">
        <f t="shared" si="8"/>
        <v>0</v>
      </c>
      <c r="J86" s="43"/>
    </row>
    <row r="87" spans="1:10" x14ac:dyDescent="0.25">
      <c r="A87" s="38">
        <f t="shared" si="7"/>
        <v>52</v>
      </c>
      <c r="B87" s="39">
        <f t="shared" si="2"/>
        <v>0</v>
      </c>
      <c r="C87" s="40">
        <f t="shared" si="3"/>
        <v>0</v>
      </c>
      <c r="D87" s="40">
        <f t="shared" si="9"/>
        <v>0</v>
      </c>
      <c r="E87" s="40">
        <f t="shared" si="5"/>
        <v>0</v>
      </c>
      <c r="F87" s="40"/>
      <c r="G87" s="41">
        <f t="shared" si="6"/>
        <v>0</v>
      </c>
      <c r="H87" s="35"/>
      <c r="I87" s="42">
        <f t="shared" si="8"/>
        <v>0</v>
      </c>
      <c r="J87" s="43"/>
    </row>
    <row r="88" spans="1:10" x14ac:dyDescent="0.25">
      <c r="A88" s="38">
        <f t="shared" si="7"/>
        <v>53</v>
      </c>
      <c r="B88" s="39">
        <f t="shared" si="2"/>
        <v>0</v>
      </c>
      <c r="C88" s="40">
        <f t="shared" si="3"/>
        <v>0</v>
      </c>
      <c r="D88" s="40">
        <f t="shared" si="9"/>
        <v>0</v>
      </c>
      <c r="E88" s="40">
        <f t="shared" si="5"/>
        <v>0</v>
      </c>
      <c r="F88" s="40"/>
      <c r="G88" s="41">
        <f t="shared" si="6"/>
        <v>0</v>
      </c>
      <c r="H88" s="35"/>
      <c r="I88" s="42">
        <f t="shared" si="8"/>
        <v>0</v>
      </c>
      <c r="J88" s="43"/>
    </row>
    <row r="89" spans="1:10" x14ac:dyDescent="0.25">
      <c r="A89" s="38">
        <f t="shared" si="7"/>
        <v>54</v>
      </c>
      <c r="B89" s="39">
        <f t="shared" si="2"/>
        <v>0</v>
      </c>
      <c r="C89" s="40">
        <f t="shared" si="3"/>
        <v>0</v>
      </c>
      <c r="D89" s="40">
        <f t="shared" si="9"/>
        <v>0</v>
      </c>
      <c r="E89" s="40">
        <f t="shared" si="5"/>
        <v>0</v>
      </c>
      <c r="F89" s="40"/>
      <c r="G89" s="41">
        <f t="shared" si="6"/>
        <v>0</v>
      </c>
      <c r="H89" s="35"/>
      <c r="I89" s="42">
        <f t="shared" si="8"/>
        <v>0</v>
      </c>
      <c r="J89" s="43"/>
    </row>
    <row r="90" spans="1:10" x14ac:dyDescent="0.25">
      <c r="A90" s="38">
        <f t="shared" si="7"/>
        <v>55</v>
      </c>
      <c r="B90" s="39">
        <f t="shared" si="2"/>
        <v>0</v>
      </c>
      <c r="C90" s="40">
        <f t="shared" si="3"/>
        <v>0</v>
      </c>
      <c r="D90" s="40">
        <f t="shared" si="9"/>
        <v>0</v>
      </c>
      <c r="E90" s="40">
        <f t="shared" si="5"/>
        <v>0</v>
      </c>
      <c r="F90" s="40"/>
      <c r="G90" s="41">
        <f t="shared" si="6"/>
        <v>0</v>
      </c>
      <c r="H90" s="35"/>
      <c r="I90" s="42">
        <f t="shared" si="8"/>
        <v>0</v>
      </c>
      <c r="J90" s="43"/>
    </row>
    <row r="91" spans="1:10" x14ac:dyDescent="0.25">
      <c r="A91" s="38">
        <f t="shared" si="7"/>
        <v>56</v>
      </c>
      <c r="B91" s="39">
        <f t="shared" si="2"/>
        <v>0</v>
      </c>
      <c r="C91" s="40">
        <f t="shared" si="3"/>
        <v>0</v>
      </c>
      <c r="D91" s="40">
        <f t="shared" si="9"/>
        <v>0</v>
      </c>
      <c r="E91" s="40">
        <f t="shared" si="5"/>
        <v>0</v>
      </c>
      <c r="F91" s="40"/>
      <c r="G91" s="41">
        <f t="shared" si="6"/>
        <v>0</v>
      </c>
      <c r="H91" s="35"/>
      <c r="I91" s="42">
        <f t="shared" si="8"/>
        <v>0</v>
      </c>
      <c r="J91" s="43"/>
    </row>
    <row r="92" spans="1:10" x14ac:dyDescent="0.25">
      <c r="A92" s="38">
        <f t="shared" si="7"/>
        <v>57</v>
      </c>
      <c r="B92" s="39">
        <f t="shared" si="2"/>
        <v>0</v>
      </c>
      <c r="C92" s="40">
        <f t="shared" si="3"/>
        <v>0</v>
      </c>
      <c r="D92" s="40">
        <f t="shared" si="9"/>
        <v>0</v>
      </c>
      <c r="E92" s="40">
        <f t="shared" si="5"/>
        <v>0</v>
      </c>
      <c r="F92" s="40"/>
      <c r="G92" s="41">
        <f t="shared" si="6"/>
        <v>0</v>
      </c>
      <c r="H92" s="35"/>
      <c r="I92" s="42">
        <f t="shared" si="8"/>
        <v>0</v>
      </c>
      <c r="J92" s="43"/>
    </row>
    <row r="93" spans="1:10" x14ac:dyDescent="0.25">
      <c r="A93" s="38">
        <f t="shared" si="7"/>
        <v>58</v>
      </c>
      <c r="B93" s="39">
        <f t="shared" si="2"/>
        <v>0</v>
      </c>
      <c r="C93" s="40">
        <f t="shared" si="3"/>
        <v>0</v>
      </c>
      <c r="D93" s="40">
        <f t="shared" si="9"/>
        <v>0</v>
      </c>
      <c r="E93" s="40">
        <f t="shared" si="5"/>
        <v>0</v>
      </c>
      <c r="F93" s="40"/>
      <c r="G93" s="41">
        <f t="shared" si="6"/>
        <v>0</v>
      </c>
      <c r="H93" s="35"/>
      <c r="I93" s="42">
        <f t="shared" si="8"/>
        <v>0</v>
      </c>
      <c r="J93" s="43"/>
    </row>
    <row r="94" spans="1:10" x14ac:dyDescent="0.25">
      <c r="A94" s="38">
        <f t="shared" si="7"/>
        <v>59</v>
      </c>
      <c r="B94" s="39">
        <f t="shared" si="2"/>
        <v>0</v>
      </c>
      <c r="C94" s="40">
        <f t="shared" si="3"/>
        <v>0</v>
      </c>
      <c r="D94" s="40">
        <f t="shared" si="9"/>
        <v>0</v>
      </c>
      <c r="E94" s="40">
        <f t="shared" si="5"/>
        <v>0</v>
      </c>
      <c r="F94" s="40"/>
      <c r="G94" s="41">
        <f t="shared" si="6"/>
        <v>0</v>
      </c>
      <c r="H94" s="35"/>
      <c r="I94" s="42">
        <f t="shared" si="8"/>
        <v>0</v>
      </c>
      <c r="J94" s="43"/>
    </row>
    <row r="95" spans="1:10" x14ac:dyDescent="0.25">
      <c r="A95" s="38">
        <f t="shared" si="7"/>
        <v>60</v>
      </c>
      <c r="B95" s="39">
        <f t="shared" si="2"/>
        <v>0</v>
      </c>
      <c r="C95" s="40">
        <f t="shared" si="3"/>
        <v>0</v>
      </c>
      <c r="D95" s="40">
        <f t="shared" si="9"/>
        <v>0</v>
      </c>
      <c r="E95" s="40">
        <f t="shared" si="5"/>
        <v>0</v>
      </c>
      <c r="F95" s="40"/>
      <c r="G95" s="41">
        <f t="shared" si="6"/>
        <v>0</v>
      </c>
      <c r="H95" s="35"/>
      <c r="I95" s="42">
        <f t="shared" si="8"/>
        <v>0</v>
      </c>
      <c r="J95" s="43"/>
    </row>
    <row r="96" spans="1:10" x14ac:dyDescent="0.25">
      <c r="A96" s="38">
        <f t="shared" si="7"/>
        <v>61</v>
      </c>
      <c r="B96" s="39">
        <f t="shared" si="2"/>
        <v>0</v>
      </c>
      <c r="C96" s="40">
        <f t="shared" si="3"/>
        <v>0</v>
      </c>
      <c r="D96" s="40">
        <f t="shared" si="9"/>
        <v>0</v>
      </c>
      <c r="E96" s="40">
        <f t="shared" si="5"/>
        <v>0</v>
      </c>
      <c r="F96" s="40"/>
      <c r="G96" s="41">
        <f t="shared" si="6"/>
        <v>0</v>
      </c>
      <c r="H96" s="35"/>
      <c r="I96" s="42">
        <f t="shared" si="8"/>
        <v>0</v>
      </c>
      <c r="J96" s="43"/>
    </row>
    <row r="97" spans="1:10" x14ac:dyDescent="0.25">
      <c r="A97" s="38">
        <f t="shared" si="7"/>
        <v>62</v>
      </c>
      <c r="B97" s="39">
        <f t="shared" si="2"/>
        <v>0</v>
      </c>
      <c r="C97" s="40">
        <f t="shared" si="3"/>
        <v>0</v>
      </c>
      <c r="D97" s="40">
        <f t="shared" si="9"/>
        <v>0</v>
      </c>
      <c r="E97" s="40">
        <f t="shared" si="5"/>
        <v>0</v>
      </c>
      <c r="F97" s="40"/>
      <c r="G97" s="41">
        <f t="shared" si="6"/>
        <v>0</v>
      </c>
      <c r="H97" s="35"/>
      <c r="I97" s="42">
        <f t="shared" si="8"/>
        <v>0</v>
      </c>
      <c r="J97" s="43"/>
    </row>
    <row r="98" spans="1:10" x14ac:dyDescent="0.25">
      <c r="A98" s="38">
        <f t="shared" si="7"/>
        <v>63</v>
      </c>
      <c r="B98" s="39">
        <f t="shared" si="2"/>
        <v>0</v>
      </c>
      <c r="C98" s="40">
        <f t="shared" si="3"/>
        <v>0</v>
      </c>
      <c r="D98" s="40">
        <f t="shared" si="9"/>
        <v>0</v>
      </c>
      <c r="E98" s="40">
        <f t="shared" si="5"/>
        <v>0</v>
      </c>
      <c r="F98" s="40"/>
      <c r="G98" s="41">
        <f t="shared" si="6"/>
        <v>0</v>
      </c>
      <c r="H98" s="35"/>
      <c r="I98" s="42">
        <f t="shared" si="8"/>
        <v>0</v>
      </c>
      <c r="J98" s="43"/>
    </row>
    <row r="99" spans="1:10" x14ac:dyDescent="0.25">
      <c r="A99" s="38">
        <f t="shared" si="7"/>
        <v>64</v>
      </c>
      <c r="B99" s="39">
        <f t="shared" ref="B99:B162" si="10">Camort($B$22,$B$24,$B$26,$B$25,A99,$B$28,1)</f>
        <v>0</v>
      </c>
      <c r="C99" s="40">
        <f t="shared" ref="C99:C162" si="11">Camort($B$22,$B$24,$B$26,$B$25,A99,$B$28,2)</f>
        <v>0</v>
      </c>
      <c r="D99" s="40">
        <f t="shared" ref="D99:D130" si="12">B99-C99</f>
        <v>0</v>
      </c>
      <c r="E99" s="40">
        <f t="shared" ref="E99:E162" si="13">Camort($B$22,$B$24,$B$26,$B$25,A99,$B$28,3)</f>
        <v>0</v>
      </c>
      <c r="F99" s="40"/>
      <c r="G99" s="41">
        <f t="shared" si="6"/>
        <v>0</v>
      </c>
      <c r="H99" s="35"/>
      <c r="I99" s="42">
        <f t="shared" si="8"/>
        <v>0</v>
      </c>
      <c r="J99" s="43"/>
    </row>
    <row r="100" spans="1:10" x14ac:dyDescent="0.25">
      <c r="A100" s="38">
        <f t="shared" si="7"/>
        <v>65</v>
      </c>
      <c r="B100" s="39">
        <f t="shared" si="10"/>
        <v>0</v>
      </c>
      <c r="C100" s="40">
        <f t="shared" si="11"/>
        <v>0</v>
      </c>
      <c r="D100" s="40">
        <f t="shared" si="12"/>
        <v>0</v>
      </c>
      <c r="E100" s="40">
        <f t="shared" si="13"/>
        <v>0</v>
      </c>
      <c r="F100" s="40"/>
      <c r="G100" s="41">
        <f t="shared" ref="G100:G163" si="14">IF(A100&lt;=$B$26,$C$17,0)+IF(AND(A100&lt;=$B$26,MOD(A100,$B$5)=0),$B$4,0)+IF(A100=$B$26,$B$3,0)</f>
        <v>0</v>
      </c>
      <c r="H100" s="35"/>
      <c r="I100" s="42">
        <f t="shared" si="8"/>
        <v>0</v>
      </c>
      <c r="J100" s="43"/>
    </row>
    <row r="101" spans="1:10" x14ac:dyDescent="0.25">
      <c r="A101" s="38">
        <f t="shared" ref="A101:A164" si="15">A100+1</f>
        <v>66</v>
      </c>
      <c r="B101" s="39">
        <f t="shared" si="10"/>
        <v>0</v>
      </c>
      <c r="C101" s="40">
        <f t="shared" si="11"/>
        <v>0</v>
      </c>
      <c r="D101" s="40">
        <f t="shared" si="12"/>
        <v>0</v>
      </c>
      <c r="E101" s="40">
        <f t="shared" si="13"/>
        <v>0</v>
      </c>
      <c r="F101" s="40"/>
      <c r="G101" s="41">
        <f t="shared" si="14"/>
        <v>0</v>
      </c>
      <c r="H101" s="35"/>
      <c r="I101" s="42">
        <f t="shared" ref="I101:I164" si="16">B101-F101+G101</f>
        <v>0</v>
      </c>
      <c r="J101" s="43"/>
    </row>
    <row r="102" spans="1:10" x14ac:dyDescent="0.25">
      <c r="A102" s="38">
        <f t="shared" si="15"/>
        <v>67</v>
      </c>
      <c r="B102" s="39">
        <f t="shared" si="10"/>
        <v>0</v>
      </c>
      <c r="C102" s="40">
        <f t="shared" si="11"/>
        <v>0</v>
      </c>
      <c r="D102" s="40">
        <f t="shared" si="12"/>
        <v>0</v>
      </c>
      <c r="E102" s="40">
        <f t="shared" si="13"/>
        <v>0</v>
      </c>
      <c r="F102" s="40"/>
      <c r="G102" s="41">
        <f t="shared" si="14"/>
        <v>0</v>
      </c>
      <c r="H102" s="35"/>
      <c r="I102" s="42">
        <f t="shared" si="16"/>
        <v>0</v>
      </c>
      <c r="J102" s="43"/>
    </row>
    <row r="103" spans="1:10" x14ac:dyDescent="0.25">
      <c r="A103" s="38">
        <f t="shared" si="15"/>
        <v>68</v>
      </c>
      <c r="B103" s="39">
        <f t="shared" si="10"/>
        <v>0</v>
      </c>
      <c r="C103" s="40">
        <f t="shared" si="11"/>
        <v>0</v>
      </c>
      <c r="D103" s="40">
        <f t="shared" si="12"/>
        <v>0</v>
      </c>
      <c r="E103" s="40">
        <f t="shared" si="13"/>
        <v>0</v>
      </c>
      <c r="F103" s="40"/>
      <c r="G103" s="41">
        <f t="shared" si="14"/>
        <v>0</v>
      </c>
      <c r="H103" s="35"/>
      <c r="I103" s="42">
        <f t="shared" si="16"/>
        <v>0</v>
      </c>
      <c r="J103" s="43"/>
    </row>
    <row r="104" spans="1:10" x14ac:dyDescent="0.25">
      <c r="A104" s="38">
        <f t="shared" si="15"/>
        <v>69</v>
      </c>
      <c r="B104" s="39">
        <f t="shared" si="10"/>
        <v>0</v>
      </c>
      <c r="C104" s="40">
        <f t="shared" si="11"/>
        <v>0</v>
      </c>
      <c r="D104" s="40">
        <f t="shared" si="12"/>
        <v>0</v>
      </c>
      <c r="E104" s="40">
        <f t="shared" si="13"/>
        <v>0</v>
      </c>
      <c r="F104" s="40"/>
      <c r="G104" s="41">
        <f t="shared" si="14"/>
        <v>0</v>
      </c>
      <c r="H104" s="35"/>
      <c r="I104" s="42">
        <f t="shared" si="16"/>
        <v>0</v>
      </c>
      <c r="J104" s="43"/>
    </row>
    <row r="105" spans="1:10" x14ac:dyDescent="0.25">
      <c r="A105" s="38">
        <f t="shared" si="15"/>
        <v>70</v>
      </c>
      <c r="B105" s="39">
        <f t="shared" si="10"/>
        <v>0</v>
      </c>
      <c r="C105" s="40">
        <f t="shared" si="11"/>
        <v>0</v>
      </c>
      <c r="D105" s="40">
        <f t="shared" si="12"/>
        <v>0</v>
      </c>
      <c r="E105" s="40">
        <f t="shared" si="13"/>
        <v>0</v>
      </c>
      <c r="F105" s="40"/>
      <c r="G105" s="41">
        <f t="shared" si="14"/>
        <v>0</v>
      </c>
      <c r="H105" s="35"/>
      <c r="I105" s="42">
        <f t="shared" si="16"/>
        <v>0</v>
      </c>
      <c r="J105" s="43"/>
    </row>
    <row r="106" spans="1:10" x14ac:dyDescent="0.25">
      <c r="A106" s="38">
        <f t="shared" si="15"/>
        <v>71</v>
      </c>
      <c r="B106" s="39">
        <f t="shared" si="10"/>
        <v>0</v>
      </c>
      <c r="C106" s="40">
        <f t="shared" si="11"/>
        <v>0</v>
      </c>
      <c r="D106" s="40">
        <f t="shared" si="12"/>
        <v>0</v>
      </c>
      <c r="E106" s="40">
        <f t="shared" si="13"/>
        <v>0</v>
      </c>
      <c r="F106" s="40"/>
      <c r="G106" s="41">
        <f t="shared" si="14"/>
        <v>0</v>
      </c>
      <c r="H106" s="35"/>
      <c r="I106" s="42">
        <f t="shared" si="16"/>
        <v>0</v>
      </c>
      <c r="J106" s="43"/>
    </row>
    <row r="107" spans="1:10" x14ac:dyDescent="0.25">
      <c r="A107" s="38">
        <f t="shared" si="15"/>
        <v>72</v>
      </c>
      <c r="B107" s="39">
        <f t="shared" si="10"/>
        <v>0</v>
      </c>
      <c r="C107" s="40">
        <f t="shared" si="11"/>
        <v>0</v>
      </c>
      <c r="D107" s="40">
        <f t="shared" si="12"/>
        <v>0</v>
      </c>
      <c r="E107" s="40">
        <f t="shared" si="13"/>
        <v>0</v>
      </c>
      <c r="F107" s="40"/>
      <c r="G107" s="41">
        <f t="shared" si="14"/>
        <v>0</v>
      </c>
      <c r="H107" s="35"/>
      <c r="I107" s="42">
        <f t="shared" si="16"/>
        <v>0</v>
      </c>
      <c r="J107" s="43"/>
    </row>
    <row r="108" spans="1:10" x14ac:dyDescent="0.25">
      <c r="A108" s="38">
        <f t="shared" si="15"/>
        <v>73</v>
      </c>
      <c r="B108" s="39">
        <f t="shared" si="10"/>
        <v>0</v>
      </c>
      <c r="C108" s="40">
        <f t="shared" si="11"/>
        <v>0</v>
      </c>
      <c r="D108" s="40">
        <f t="shared" si="12"/>
        <v>0</v>
      </c>
      <c r="E108" s="40">
        <f t="shared" si="13"/>
        <v>0</v>
      </c>
      <c r="F108" s="40"/>
      <c r="G108" s="41">
        <f t="shared" si="14"/>
        <v>0</v>
      </c>
      <c r="H108" s="35"/>
      <c r="I108" s="42">
        <f t="shared" si="16"/>
        <v>0</v>
      </c>
      <c r="J108" s="43"/>
    </row>
    <row r="109" spans="1:10" x14ac:dyDescent="0.25">
      <c r="A109" s="38">
        <f t="shared" si="15"/>
        <v>74</v>
      </c>
      <c r="B109" s="39">
        <f t="shared" si="10"/>
        <v>0</v>
      </c>
      <c r="C109" s="40">
        <f t="shared" si="11"/>
        <v>0</v>
      </c>
      <c r="D109" s="40">
        <f t="shared" si="12"/>
        <v>0</v>
      </c>
      <c r="E109" s="40">
        <f t="shared" si="13"/>
        <v>0</v>
      </c>
      <c r="F109" s="40"/>
      <c r="G109" s="41">
        <f t="shared" si="14"/>
        <v>0</v>
      </c>
      <c r="H109" s="35"/>
      <c r="I109" s="42">
        <f t="shared" si="16"/>
        <v>0</v>
      </c>
      <c r="J109" s="43"/>
    </row>
    <row r="110" spans="1:10" x14ac:dyDescent="0.25">
      <c r="A110" s="38">
        <f t="shared" si="15"/>
        <v>75</v>
      </c>
      <c r="B110" s="39">
        <f t="shared" si="10"/>
        <v>0</v>
      </c>
      <c r="C110" s="40">
        <f t="shared" si="11"/>
        <v>0</v>
      </c>
      <c r="D110" s="40">
        <f t="shared" si="12"/>
        <v>0</v>
      </c>
      <c r="E110" s="40">
        <f t="shared" si="13"/>
        <v>0</v>
      </c>
      <c r="F110" s="40"/>
      <c r="G110" s="41">
        <f t="shared" si="14"/>
        <v>0</v>
      </c>
      <c r="H110" s="35"/>
      <c r="I110" s="42">
        <f t="shared" si="16"/>
        <v>0</v>
      </c>
      <c r="J110" s="43"/>
    </row>
    <row r="111" spans="1:10" x14ac:dyDescent="0.25">
      <c r="A111" s="38">
        <f t="shared" si="15"/>
        <v>76</v>
      </c>
      <c r="B111" s="39">
        <f t="shared" si="10"/>
        <v>0</v>
      </c>
      <c r="C111" s="40">
        <f t="shared" si="11"/>
        <v>0</v>
      </c>
      <c r="D111" s="40">
        <f t="shared" si="12"/>
        <v>0</v>
      </c>
      <c r="E111" s="40">
        <f t="shared" si="13"/>
        <v>0</v>
      </c>
      <c r="F111" s="40"/>
      <c r="G111" s="41">
        <f t="shared" si="14"/>
        <v>0</v>
      </c>
      <c r="H111" s="35"/>
      <c r="I111" s="42">
        <f t="shared" si="16"/>
        <v>0</v>
      </c>
      <c r="J111" s="43"/>
    </row>
    <row r="112" spans="1:10" x14ac:dyDescent="0.25">
      <c r="A112" s="38">
        <f t="shared" si="15"/>
        <v>77</v>
      </c>
      <c r="B112" s="39">
        <f t="shared" si="10"/>
        <v>0</v>
      </c>
      <c r="C112" s="40">
        <f t="shared" si="11"/>
        <v>0</v>
      </c>
      <c r="D112" s="40">
        <f t="shared" si="12"/>
        <v>0</v>
      </c>
      <c r="E112" s="40">
        <f t="shared" si="13"/>
        <v>0</v>
      </c>
      <c r="F112" s="40"/>
      <c r="G112" s="41">
        <f t="shared" si="14"/>
        <v>0</v>
      </c>
      <c r="H112" s="35"/>
      <c r="I112" s="42">
        <f t="shared" si="16"/>
        <v>0</v>
      </c>
      <c r="J112" s="43"/>
    </row>
    <row r="113" spans="1:10" x14ac:dyDescent="0.25">
      <c r="A113" s="38">
        <f t="shared" si="15"/>
        <v>78</v>
      </c>
      <c r="B113" s="39">
        <f t="shared" si="10"/>
        <v>0</v>
      </c>
      <c r="C113" s="40">
        <f t="shared" si="11"/>
        <v>0</v>
      </c>
      <c r="D113" s="40">
        <f t="shared" si="12"/>
        <v>0</v>
      </c>
      <c r="E113" s="40">
        <f t="shared" si="13"/>
        <v>0</v>
      </c>
      <c r="F113" s="40"/>
      <c r="G113" s="41">
        <f t="shared" si="14"/>
        <v>0</v>
      </c>
      <c r="H113" s="35"/>
      <c r="I113" s="42">
        <f t="shared" si="16"/>
        <v>0</v>
      </c>
      <c r="J113" s="43"/>
    </row>
    <row r="114" spans="1:10" x14ac:dyDescent="0.25">
      <c r="A114" s="38">
        <f t="shared" si="15"/>
        <v>79</v>
      </c>
      <c r="B114" s="39">
        <f t="shared" si="10"/>
        <v>0</v>
      </c>
      <c r="C114" s="40">
        <f t="shared" si="11"/>
        <v>0</v>
      </c>
      <c r="D114" s="40">
        <f t="shared" si="12"/>
        <v>0</v>
      </c>
      <c r="E114" s="40">
        <f t="shared" si="13"/>
        <v>0</v>
      </c>
      <c r="F114" s="40"/>
      <c r="G114" s="41">
        <f t="shared" si="14"/>
        <v>0</v>
      </c>
      <c r="H114" s="35"/>
      <c r="I114" s="42">
        <f t="shared" si="16"/>
        <v>0</v>
      </c>
      <c r="J114" s="43"/>
    </row>
    <row r="115" spans="1:10" x14ac:dyDescent="0.25">
      <c r="A115" s="38">
        <f t="shared" si="15"/>
        <v>80</v>
      </c>
      <c r="B115" s="39">
        <f t="shared" si="10"/>
        <v>0</v>
      </c>
      <c r="C115" s="40">
        <f t="shared" si="11"/>
        <v>0</v>
      </c>
      <c r="D115" s="40">
        <f t="shared" si="12"/>
        <v>0</v>
      </c>
      <c r="E115" s="40">
        <f t="shared" si="13"/>
        <v>0</v>
      </c>
      <c r="F115" s="40"/>
      <c r="G115" s="41">
        <f t="shared" si="14"/>
        <v>0</v>
      </c>
      <c r="H115" s="35"/>
      <c r="I115" s="42">
        <f t="shared" si="16"/>
        <v>0</v>
      </c>
      <c r="J115" s="43"/>
    </row>
    <row r="116" spans="1:10" x14ac:dyDescent="0.25">
      <c r="A116" s="38">
        <f t="shared" si="15"/>
        <v>81</v>
      </c>
      <c r="B116" s="39">
        <f t="shared" si="10"/>
        <v>0</v>
      </c>
      <c r="C116" s="40">
        <f t="shared" si="11"/>
        <v>0</v>
      </c>
      <c r="D116" s="40">
        <f t="shared" si="12"/>
        <v>0</v>
      </c>
      <c r="E116" s="40">
        <f t="shared" si="13"/>
        <v>0</v>
      </c>
      <c r="F116" s="40"/>
      <c r="G116" s="41">
        <f t="shared" si="14"/>
        <v>0</v>
      </c>
      <c r="H116" s="35"/>
      <c r="I116" s="42">
        <f t="shared" si="16"/>
        <v>0</v>
      </c>
      <c r="J116" s="43"/>
    </row>
    <row r="117" spans="1:10" x14ac:dyDescent="0.25">
      <c r="A117" s="38">
        <f t="shared" si="15"/>
        <v>82</v>
      </c>
      <c r="B117" s="39">
        <f t="shared" si="10"/>
        <v>0</v>
      </c>
      <c r="C117" s="40">
        <f t="shared" si="11"/>
        <v>0</v>
      </c>
      <c r="D117" s="40">
        <f t="shared" si="12"/>
        <v>0</v>
      </c>
      <c r="E117" s="40">
        <f t="shared" si="13"/>
        <v>0</v>
      </c>
      <c r="F117" s="40"/>
      <c r="G117" s="41">
        <f t="shared" si="14"/>
        <v>0</v>
      </c>
      <c r="H117" s="35"/>
      <c r="I117" s="42">
        <f t="shared" si="16"/>
        <v>0</v>
      </c>
      <c r="J117" s="43"/>
    </row>
    <row r="118" spans="1:10" x14ac:dyDescent="0.25">
      <c r="A118" s="38">
        <f t="shared" si="15"/>
        <v>83</v>
      </c>
      <c r="B118" s="39">
        <f t="shared" si="10"/>
        <v>0</v>
      </c>
      <c r="C118" s="40">
        <f t="shared" si="11"/>
        <v>0</v>
      </c>
      <c r="D118" s="40">
        <f t="shared" si="12"/>
        <v>0</v>
      </c>
      <c r="E118" s="40">
        <f t="shared" si="13"/>
        <v>0</v>
      </c>
      <c r="F118" s="40"/>
      <c r="G118" s="41">
        <f t="shared" si="14"/>
        <v>0</v>
      </c>
      <c r="H118" s="35"/>
      <c r="I118" s="42">
        <f t="shared" si="16"/>
        <v>0</v>
      </c>
      <c r="J118" s="43"/>
    </row>
    <row r="119" spans="1:10" x14ac:dyDescent="0.25">
      <c r="A119" s="38">
        <f t="shared" si="15"/>
        <v>84</v>
      </c>
      <c r="B119" s="39">
        <f t="shared" si="10"/>
        <v>0</v>
      </c>
      <c r="C119" s="40">
        <f t="shared" si="11"/>
        <v>0</v>
      </c>
      <c r="D119" s="40">
        <f t="shared" si="12"/>
        <v>0</v>
      </c>
      <c r="E119" s="40">
        <f t="shared" si="13"/>
        <v>0</v>
      </c>
      <c r="F119" s="40"/>
      <c r="G119" s="41">
        <f t="shared" si="14"/>
        <v>0</v>
      </c>
      <c r="H119" s="35"/>
      <c r="I119" s="42">
        <f t="shared" si="16"/>
        <v>0</v>
      </c>
      <c r="J119" s="43"/>
    </row>
    <row r="120" spans="1:10" x14ac:dyDescent="0.25">
      <c r="A120" s="38">
        <f t="shared" si="15"/>
        <v>85</v>
      </c>
      <c r="B120" s="39">
        <f t="shared" si="10"/>
        <v>0</v>
      </c>
      <c r="C120" s="40">
        <f t="shared" si="11"/>
        <v>0</v>
      </c>
      <c r="D120" s="40">
        <f t="shared" si="12"/>
        <v>0</v>
      </c>
      <c r="E120" s="40">
        <f t="shared" si="13"/>
        <v>0</v>
      </c>
      <c r="F120" s="40"/>
      <c r="G120" s="41">
        <f t="shared" si="14"/>
        <v>0</v>
      </c>
      <c r="H120" s="35"/>
      <c r="I120" s="42">
        <f t="shared" si="16"/>
        <v>0</v>
      </c>
      <c r="J120" s="43"/>
    </row>
    <row r="121" spans="1:10" x14ac:dyDescent="0.25">
      <c r="A121" s="38">
        <f t="shared" si="15"/>
        <v>86</v>
      </c>
      <c r="B121" s="39">
        <f t="shared" si="10"/>
        <v>0</v>
      </c>
      <c r="C121" s="40">
        <f t="shared" si="11"/>
        <v>0</v>
      </c>
      <c r="D121" s="40">
        <f t="shared" si="12"/>
        <v>0</v>
      </c>
      <c r="E121" s="40">
        <f t="shared" si="13"/>
        <v>0</v>
      </c>
      <c r="F121" s="40"/>
      <c r="G121" s="41">
        <f t="shared" si="14"/>
        <v>0</v>
      </c>
      <c r="H121" s="35"/>
      <c r="I121" s="42">
        <f t="shared" si="16"/>
        <v>0</v>
      </c>
      <c r="J121" s="43"/>
    </row>
    <row r="122" spans="1:10" x14ac:dyDescent="0.25">
      <c r="A122" s="38">
        <f t="shared" si="15"/>
        <v>87</v>
      </c>
      <c r="B122" s="39">
        <f t="shared" si="10"/>
        <v>0</v>
      </c>
      <c r="C122" s="40">
        <f t="shared" si="11"/>
        <v>0</v>
      </c>
      <c r="D122" s="40">
        <f t="shared" si="12"/>
        <v>0</v>
      </c>
      <c r="E122" s="40">
        <f t="shared" si="13"/>
        <v>0</v>
      </c>
      <c r="F122" s="40"/>
      <c r="G122" s="41">
        <f t="shared" si="14"/>
        <v>0</v>
      </c>
      <c r="H122" s="35"/>
      <c r="I122" s="42">
        <f t="shared" si="16"/>
        <v>0</v>
      </c>
      <c r="J122" s="43"/>
    </row>
    <row r="123" spans="1:10" x14ac:dyDescent="0.25">
      <c r="A123" s="38">
        <f t="shared" si="15"/>
        <v>88</v>
      </c>
      <c r="B123" s="39">
        <f t="shared" si="10"/>
        <v>0</v>
      </c>
      <c r="C123" s="40">
        <f t="shared" si="11"/>
        <v>0</v>
      </c>
      <c r="D123" s="40">
        <f t="shared" si="12"/>
        <v>0</v>
      </c>
      <c r="E123" s="40">
        <f t="shared" si="13"/>
        <v>0</v>
      </c>
      <c r="F123" s="40"/>
      <c r="G123" s="41">
        <f t="shared" si="14"/>
        <v>0</v>
      </c>
      <c r="H123" s="35"/>
      <c r="I123" s="42">
        <f t="shared" si="16"/>
        <v>0</v>
      </c>
      <c r="J123" s="43"/>
    </row>
    <row r="124" spans="1:10" x14ac:dyDescent="0.25">
      <c r="A124" s="38">
        <f t="shared" si="15"/>
        <v>89</v>
      </c>
      <c r="B124" s="39">
        <f t="shared" si="10"/>
        <v>0</v>
      </c>
      <c r="C124" s="40">
        <f t="shared" si="11"/>
        <v>0</v>
      </c>
      <c r="D124" s="40">
        <f t="shared" si="12"/>
        <v>0</v>
      </c>
      <c r="E124" s="40">
        <f t="shared" si="13"/>
        <v>0</v>
      </c>
      <c r="F124" s="40"/>
      <c r="G124" s="41">
        <f t="shared" si="14"/>
        <v>0</v>
      </c>
      <c r="H124" s="35"/>
      <c r="I124" s="42">
        <f t="shared" si="16"/>
        <v>0</v>
      </c>
      <c r="J124" s="43"/>
    </row>
    <row r="125" spans="1:10" x14ac:dyDescent="0.25">
      <c r="A125" s="38">
        <f t="shared" si="15"/>
        <v>90</v>
      </c>
      <c r="B125" s="39">
        <f t="shared" si="10"/>
        <v>0</v>
      </c>
      <c r="C125" s="40">
        <f t="shared" si="11"/>
        <v>0</v>
      </c>
      <c r="D125" s="40">
        <f t="shared" si="12"/>
        <v>0</v>
      </c>
      <c r="E125" s="40">
        <f t="shared" si="13"/>
        <v>0</v>
      </c>
      <c r="F125" s="40"/>
      <c r="G125" s="41">
        <f t="shared" si="14"/>
        <v>0</v>
      </c>
      <c r="H125" s="35"/>
      <c r="I125" s="42">
        <f t="shared" si="16"/>
        <v>0</v>
      </c>
      <c r="J125" s="43"/>
    </row>
    <row r="126" spans="1:10" x14ac:dyDescent="0.25">
      <c r="A126" s="38">
        <f t="shared" si="15"/>
        <v>91</v>
      </c>
      <c r="B126" s="39">
        <f t="shared" si="10"/>
        <v>0</v>
      </c>
      <c r="C126" s="40">
        <f t="shared" si="11"/>
        <v>0</v>
      </c>
      <c r="D126" s="40">
        <f t="shared" si="12"/>
        <v>0</v>
      </c>
      <c r="E126" s="40">
        <f t="shared" si="13"/>
        <v>0</v>
      </c>
      <c r="F126" s="40"/>
      <c r="G126" s="41">
        <f t="shared" si="14"/>
        <v>0</v>
      </c>
      <c r="H126" s="35"/>
      <c r="I126" s="42">
        <f t="shared" si="16"/>
        <v>0</v>
      </c>
      <c r="J126" s="43"/>
    </row>
    <row r="127" spans="1:10" x14ac:dyDescent="0.25">
      <c r="A127" s="38">
        <f t="shared" si="15"/>
        <v>92</v>
      </c>
      <c r="B127" s="39">
        <f t="shared" si="10"/>
        <v>0</v>
      </c>
      <c r="C127" s="40">
        <f t="shared" si="11"/>
        <v>0</v>
      </c>
      <c r="D127" s="40">
        <f t="shared" si="12"/>
        <v>0</v>
      </c>
      <c r="E127" s="40">
        <f t="shared" si="13"/>
        <v>0</v>
      </c>
      <c r="F127" s="40"/>
      <c r="G127" s="41">
        <f t="shared" si="14"/>
        <v>0</v>
      </c>
      <c r="H127" s="35"/>
      <c r="I127" s="42">
        <f t="shared" si="16"/>
        <v>0</v>
      </c>
      <c r="J127" s="43"/>
    </row>
    <row r="128" spans="1:10" x14ac:dyDescent="0.25">
      <c r="A128" s="38">
        <f t="shared" si="15"/>
        <v>93</v>
      </c>
      <c r="B128" s="39">
        <f t="shared" si="10"/>
        <v>0</v>
      </c>
      <c r="C128" s="40">
        <f t="shared" si="11"/>
        <v>0</v>
      </c>
      <c r="D128" s="40">
        <f t="shared" si="12"/>
        <v>0</v>
      </c>
      <c r="E128" s="40">
        <f t="shared" si="13"/>
        <v>0</v>
      </c>
      <c r="F128" s="40"/>
      <c r="G128" s="41">
        <f t="shared" si="14"/>
        <v>0</v>
      </c>
      <c r="H128" s="35"/>
      <c r="I128" s="42">
        <f t="shared" si="16"/>
        <v>0</v>
      </c>
      <c r="J128" s="43"/>
    </row>
    <row r="129" spans="1:10" x14ac:dyDescent="0.25">
      <c r="A129" s="38">
        <f t="shared" si="15"/>
        <v>94</v>
      </c>
      <c r="B129" s="39">
        <f t="shared" si="10"/>
        <v>0</v>
      </c>
      <c r="C129" s="40">
        <f t="shared" si="11"/>
        <v>0</v>
      </c>
      <c r="D129" s="40">
        <f t="shared" si="12"/>
        <v>0</v>
      </c>
      <c r="E129" s="40">
        <f t="shared" si="13"/>
        <v>0</v>
      </c>
      <c r="F129" s="40"/>
      <c r="G129" s="41">
        <f t="shared" si="14"/>
        <v>0</v>
      </c>
      <c r="H129" s="35"/>
      <c r="I129" s="42">
        <f t="shared" si="16"/>
        <v>0</v>
      </c>
      <c r="J129" s="43"/>
    </row>
    <row r="130" spans="1:10" x14ac:dyDescent="0.25">
      <c r="A130" s="38">
        <f t="shared" si="15"/>
        <v>95</v>
      </c>
      <c r="B130" s="39">
        <f t="shared" si="10"/>
        <v>0</v>
      </c>
      <c r="C130" s="40">
        <f t="shared" si="11"/>
        <v>0</v>
      </c>
      <c r="D130" s="40">
        <f t="shared" si="12"/>
        <v>0</v>
      </c>
      <c r="E130" s="40">
        <f t="shared" si="13"/>
        <v>0</v>
      </c>
      <c r="F130" s="40"/>
      <c r="G130" s="41">
        <f t="shared" si="14"/>
        <v>0</v>
      </c>
      <c r="H130" s="35"/>
      <c r="I130" s="42">
        <f t="shared" si="16"/>
        <v>0</v>
      </c>
      <c r="J130" s="43"/>
    </row>
    <row r="131" spans="1:10" x14ac:dyDescent="0.25">
      <c r="A131" s="38">
        <f t="shared" si="15"/>
        <v>96</v>
      </c>
      <c r="B131" s="39">
        <f t="shared" si="10"/>
        <v>0</v>
      </c>
      <c r="C131" s="40">
        <f t="shared" si="11"/>
        <v>0</v>
      </c>
      <c r="D131" s="40">
        <f t="shared" ref="D131:D162" si="17">B131-C131</f>
        <v>0</v>
      </c>
      <c r="E131" s="40">
        <f t="shared" si="13"/>
        <v>0</v>
      </c>
      <c r="F131" s="40"/>
      <c r="G131" s="41">
        <f t="shared" si="14"/>
        <v>0</v>
      </c>
      <c r="H131" s="35"/>
      <c r="I131" s="42">
        <f t="shared" si="16"/>
        <v>0</v>
      </c>
      <c r="J131" s="43"/>
    </row>
    <row r="132" spans="1:10" x14ac:dyDescent="0.25">
      <c r="A132" s="38">
        <f t="shared" si="15"/>
        <v>97</v>
      </c>
      <c r="B132" s="39">
        <f t="shared" si="10"/>
        <v>0</v>
      </c>
      <c r="C132" s="40">
        <f t="shared" si="11"/>
        <v>0</v>
      </c>
      <c r="D132" s="40">
        <f t="shared" si="17"/>
        <v>0</v>
      </c>
      <c r="E132" s="40">
        <f t="shared" si="13"/>
        <v>0</v>
      </c>
      <c r="F132" s="40"/>
      <c r="G132" s="41">
        <f t="shared" si="14"/>
        <v>0</v>
      </c>
      <c r="H132" s="35"/>
      <c r="I132" s="42">
        <f t="shared" si="16"/>
        <v>0</v>
      </c>
      <c r="J132" s="43"/>
    </row>
    <row r="133" spans="1:10" x14ac:dyDescent="0.25">
      <c r="A133" s="38">
        <f t="shared" si="15"/>
        <v>98</v>
      </c>
      <c r="B133" s="39">
        <f t="shared" si="10"/>
        <v>0</v>
      </c>
      <c r="C133" s="40">
        <f t="shared" si="11"/>
        <v>0</v>
      </c>
      <c r="D133" s="40">
        <f t="shared" si="17"/>
        <v>0</v>
      </c>
      <c r="E133" s="40">
        <f t="shared" si="13"/>
        <v>0</v>
      </c>
      <c r="F133" s="40"/>
      <c r="G133" s="41">
        <f t="shared" si="14"/>
        <v>0</v>
      </c>
      <c r="H133" s="35"/>
      <c r="I133" s="42">
        <f t="shared" si="16"/>
        <v>0</v>
      </c>
      <c r="J133" s="43"/>
    </row>
    <row r="134" spans="1:10" x14ac:dyDescent="0.25">
      <c r="A134" s="38">
        <f t="shared" si="15"/>
        <v>99</v>
      </c>
      <c r="B134" s="39">
        <f t="shared" si="10"/>
        <v>0</v>
      </c>
      <c r="C134" s="40">
        <f t="shared" si="11"/>
        <v>0</v>
      </c>
      <c r="D134" s="40">
        <f t="shared" si="17"/>
        <v>0</v>
      </c>
      <c r="E134" s="40">
        <f t="shared" si="13"/>
        <v>0</v>
      </c>
      <c r="F134" s="40"/>
      <c r="G134" s="41">
        <f t="shared" si="14"/>
        <v>0</v>
      </c>
      <c r="H134" s="35"/>
      <c r="I134" s="42">
        <f t="shared" si="16"/>
        <v>0</v>
      </c>
      <c r="J134" s="43"/>
    </row>
    <row r="135" spans="1:10" x14ac:dyDescent="0.25">
      <c r="A135" s="38">
        <f t="shared" si="15"/>
        <v>100</v>
      </c>
      <c r="B135" s="39">
        <f t="shared" si="10"/>
        <v>0</v>
      </c>
      <c r="C135" s="40">
        <f t="shared" si="11"/>
        <v>0</v>
      </c>
      <c r="D135" s="40">
        <f t="shared" si="17"/>
        <v>0</v>
      </c>
      <c r="E135" s="40">
        <f t="shared" si="13"/>
        <v>0</v>
      </c>
      <c r="F135" s="40"/>
      <c r="G135" s="41">
        <f t="shared" si="14"/>
        <v>0</v>
      </c>
      <c r="H135" s="35"/>
      <c r="I135" s="42">
        <f t="shared" si="16"/>
        <v>0</v>
      </c>
      <c r="J135" s="43"/>
    </row>
    <row r="136" spans="1:10" x14ac:dyDescent="0.25">
      <c r="A136" s="38">
        <f t="shared" si="15"/>
        <v>101</v>
      </c>
      <c r="B136" s="39">
        <f t="shared" si="10"/>
        <v>0</v>
      </c>
      <c r="C136" s="40">
        <f t="shared" si="11"/>
        <v>0</v>
      </c>
      <c r="D136" s="40">
        <f t="shared" si="17"/>
        <v>0</v>
      </c>
      <c r="E136" s="40">
        <f t="shared" si="13"/>
        <v>0</v>
      </c>
      <c r="F136" s="40"/>
      <c r="G136" s="41">
        <f t="shared" si="14"/>
        <v>0</v>
      </c>
      <c r="H136" s="35"/>
      <c r="I136" s="42">
        <f t="shared" si="16"/>
        <v>0</v>
      </c>
      <c r="J136" s="43"/>
    </row>
    <row r="137" spans="1:10" x14ac:dyDescent="0.25">
      <c r="A137" s="38">
        <f t="shared" si="15"/>
        <v>102</v>
      </c>
      <c r="B137" s="39">
        <f t="shared" si="10"/>
        <v>0</v>
      </c>
      <c r="C137" s="40">
        <f t="shared" si="11"/>
        <v>0</v>
      </c>
      <c r="D137" s="40">
        <f t="shared" si="17"/>
        <v>0</v>
      </c>
      <c r="E137" s="40">
        <f t="shared" si="13"/>
        <v>0</v>
      </c>
      <c r="F137" s="40"/>
      <c r="G137" s="41">
        <f t="shared" si="14"/>
        <v>0</v>
      </c>
      <c r="H137" s="35"/>
      <c r="I137" s="42">
        <f t="shared" si="16"/>
        <v>0</v>
      </c>
      <c r="J137" s="43"/>
    </row>
    <row r="138" spans="1:10" x14ac:dyDescent="0.25">
      <c r="A138" s="38">
        <f t="shared" si="15"/>
        <v>103</v>
      </c>
      <c r="B138" s="39">
        <f t="shared" si="10"/>
        <v>0</v>
      </c>
      <c r="C138" s="40">
        <f t="shared" si="11"/>
        <v>0</v>
      </c>
      <c r="D138" s="40">
        <f t="shared" si="17"/>
        <v>0</v>
      </c>
      <c r="E138" s="40">
        <f t="shared" si="13"/>
        <v>0</v>
      </c>
      <c r="F138" s="40"/>
      <c r="G138" s="41">
        <f t="shared" si="14"/>
        <v>0</v>
      </c>
      <c r="H138" s="35"/>
      <c r="I138" s="42">
        <f t="shared" si="16"/>
        <v>0</v>
      </c>
      <c r="J138" s="43"/>
    </row>
    <row r="139" spans="1:10" x14ac:dyDescent="0.25">
      <c r="A139" s="38">
        <f t="shared" si="15"/>
        <v>104</v>
      </c>
      <c r="B139" s="39">
        <f t="shared" si="10"/>
        <v>0</v>
      </c>
      <c r="C139" s="40">
        <f t="shared" si="11"/>
        <v>0</v>
      </c>
      <c r="D139" s="40">
        <f t="shared" si="17"/>
        <v>0</v>
      </c>
      <c r="E139" s="40">
        <f t="shared" si="13"/>
        <v>0</v>
      </c>
      <c r="F139" s="40"/>
      <c r="G139" s="41">
        <f t="shared" si="14"/>
        <v>0</v>
      </c>
      <c r="H139" s="35"/>
      <c r="I139" s="42">
        <f t="shared" si="16"/>
        <v>0</v>
      </c>
      <c r="J139" s="43"/>
    </row>
    <row r="140" spans="1:10" x14ac:dyDescent="0.25">
      <c r="A140" s="38">
        <f t="shared" si="15"/>
        <v>105</v>
      </c>
      <c r="B140" s="39">
        <f t="shared" si="10"/>
        <v>0</v>
      </c>
      <c r="C140" s="40">
        <f t="shared" si="11"/>
        <v>0</v>
      </c>
      <c r="D140" s="40">
        <f t="shared" si="17"/>
        <v>0</v>
      </c>
      <c r="E140" s="40">
        <f t="shared" si="13"/>
        <v>0</v>
      </c>
      <c r="F140" s="40"/>
      <c r="G140" s="41">
        <f t="shared" si="14"/>
        <v>0</v>
      </c>
      <c r="H140" s="35"/>
      <c r="I140" s="42">
        <f t="shared" si="16"/>
        <v>0</v>
      </c>
      <c r="J140" s="43"/>
    </row>
    <row r="141" spans="1:10" x14ac:dyDescent="0.25">
      <c r="A141" s="38">
        <f t="shared" si="15"/>
        <v>106</v>
      </c>
      <c r="B141" s="39">
        <f t="shared" si="10"/>
        <v>0</v>
      </c>
      <c r="C141" s="40">
        <f t="shared" si="11"/>
        <v>0</v>
      </c>
      <c r="D141" s="40">
        <f t="shared" si="17"/>
        <v>0</v>
      </c>
      <c r="E141" s="40">
        <f t="shared" si="13"/>
        <v>0</v>
      </c>
      <c r="F141" s="40"/>
      <c r="G141" s="41">
        <f t="shared" si="14"/>
        <v>0</v>
      </c>
      <c r="H141" s="35"/>
      <c r="I141" s="42">
        <f t="shared" si="16"/>
        <v>0</v>
      </c>
      <c r="J141" s="43"/>
    </row>
    <row r="142" spans="1:10" x14ac:dyDescent="0.25">
      <c r="A142" s="38">
        <f t="shared" si="15"/>
        <v>107</v>
      </c>
      <c r="B142" s="39">
        <f t="shared" si="10"/>
        <v>0</v>
      </c>
      <c r="C142" s="40">
        <f t="shared" si="11"/>
        <v>0</v>
      </c>
      <c r="D142" s="40">
        <f t="shared" si="17"/>
        <v>0</v>
      </c>
      <c r="E142" s="40">
        <f t="shared" si="13"/>
        <v>0</v>
      </c>
      <c r="F142" s="40"/>
      <c r="G142" s="41">
        <f t="shared" si="14"/>
        <v>0</v>
      </c>
      <c r="H142" s="35"/>
      <c r="I142" s="42">
        <f t="shared" si="16"/>
        <v>0</v>
      </c>
      <c r="J142" s="43"/>
    </row>
    <row r="143" spans="1:10" x14ac:dyDescent="0.25">
      <c r="A143" s="38">
        <f t="shared" si="15"/>
        <v>108</v>
      </c>
      <c r="B143" s="39">
        <f t="shared" si="10"/>
        <v>0</v>
      </c>
      <c r="C143" s="40">
        <f t="shared" si="11"/>
        <v>0</v>
      </c>
      <c r="D143" s="40">
        <f t="shared" si="17"/>
        <v>0</v>
      </c>
      <c r="E143" s="40">
        <f t="shared" si="13"/>
        <v>0</v>
      </c>
      <c r="F143" s="40"/>
      <c r="G143" s="41">
        <f t="shared" si="14"/>
        <v>0</v>
      </c>
      <c r="H143" s="35"/>
      <c r="I143" s="42">
        <f t="shared" si="16"/>
        <v>0</v>
      </c>
      <c r="J143" s="43"/>
    </row>
    <row r="144" spans="1:10" x14ac:dyDescent="0.25">
      <c r="A144" s="38">
        <f t="shared" si="15"/>
        <v>109</v>
      </c>
      <c r="B144" s="39">
        <f t="shared" si="10"/>
        <v>0</v>
      </c>
      <c r="C144" s="40">
        <f t="shared" si="11"/>
        <v>0</v>
      </c>
      <c r="D144" s="40">
        <f t="shared" si="17"/>
        <v>0</v>
      </c>
      <c r="E144" s="40">
        <f t="shared" si="13"/>
        <v>0</v>
      </c>
      <c r="F144" s="40"/>
      <c r="G144" s="41">
        <f t="shared" si="14"/>
        <v>0</v>
      </c>
      <c r="H144" s="35"/>
      <c r="I144" s="42">
        <f t="shared" si="16"/>
        <v>0</v>
      </c>
      <c r="J144" s="43"/>
    </row>
    <row r="145" spans="1:10" x14ac:dyDescent="0.25">
      <c r="A145" s="38">
        <f t="shared" si="15"/>
        <v>110</v>
      </c>
      <c r="B145" s="39">
        <f t="shared" si="10"/>
        <v>0</v>
      </c>
      <c r="C145" s="40">
        <f t="shared" si="11"/>
        <v>0</v>
      </c>
      <c r="D145" s="40">
        <f t="shared" si="17"/>
        <v>0</v>
      </c>
      <c r="E145" s="40">
        <f t="shared" si="13"/>
        <v>0</v>
      </c>
      <c r="F145" s="40"/>
      <c r="G145" s="41">
        <f t="shared" si="14"/>
        <v>0</v>
      </c>
      <c r="H145" s="35"/>
      <c r="I145" s="42">
        <f t="shared" si="16"/>
        <v>0</v>
      </c>
      <c r="J145" s="43"/>
    </row>
    <row r="146" spans="1:10" x14ac:dyDescent="0.25">
      <c r="A146" s="38">
        <f t="shared" si="15"/>
        <v>111</v>
      </c>
      <c r="B146" s="39">
        <f t="shared" si="10"/>
        <v>0</v>
      </c>
      <c r="C146" s="40">
        <f t="shared" si="11"/>
        <v>0</v>
      </c>
      <c r="D146" s="40">
        <f t="shared" si="17"/>
        <v>0</v>
      </c>
      <c r="E146" s="40">
        <f t="shared" si="13"/>
        <v>0</v>
      </c>
      <c r="F146" s="40"/>
      <c r="G146" s="41">
        <f t="shared" si="14"/>
        <v>0</v>
      </c>
      <c r="H146" s="35"/>
      <c r="I146" s="42">
        <f t="shared" si="16"/>
        <v>0</v>
      </c>
      <c r="J146" s="43"/>
    </row>
    <row r="147" spans="1:10" x14ac:dyDescent="0.25">
      <c r="A147" s="38">
        <f t="shared" si="15"/>
        <v>112</v>
      </c>
      <c r="B147" s="39">
        <f t="shared" si="10"/>
        <v>0</v>
      </c>
      <c r="C147" s="40">
        <f t="shared" si="11"/>
        <v>0</v>
      </c>
      <c r="D147" s="40">
        <f t="shared" si="17"/>
        <v>0</v>
      </c>
      <c r="E147" s="40">
        <f t="shared" si="13"/>
        <v>0</v>
      </c>
      <c r="F147" s="40"/>
      <c r="G147" s="41">
        <f t="shared" si="14"/>
        <v>0</v>
      </c>
      <c r="H147" s="35"/>
      <c r="I147" s="42">
        <f t="shared" si="16"/>
        <v>0</v>
      </c>
      <c r="J147" s="43"/>
    </row>
    <row r="148" spans="1:10" x14ac:dyDescent="0.25">
      <c r="A148" s="38">
        <f t="shared" si="15"/>
        <v>113</v>
      </c>
      <c r="B148" s="39">
        <f t="shared" si="10"/>
        <v>0</v>
      </c>
      <c r="C148" s="40">
        <f t="shared" si="11"/>
        <v>0</v>
      </c>
      <c r="D148" s="40">
        <f t="shared" si="17"/>
        <v>0</v>
      </c>
      <c r="E148" s="40">
        <f t="shared" si="13"/>
        <v>0</v>
      </c>
      <c r="F148" s="40"/>
      <c r="G148" s="41">
        <f t="shared" si="14"/>
        <v>0</v>
      </c>
      <c r="H148" s="35"/>
      <c r="I148" s="42">
        <f t="shared" si="16"/>
        <v>0</v>
      </c>
      <c r="J148" s="43"/>
    </row>
    <row r="149" spans="1:10" x14ac:dyDescent="0.25">
      <c r="A149" s="38">
        <f t="shared" si="15"/>
        <v>114</v>
      </c>
      <c r="B149" s="39">
        <f t="shared" si="10"/>
        <v>0</v>
      </c>
      <c r="C149" s="40">
        <f t="shared" si="11"/>
        <v>0</v>
      </c>
      <c r="D149" s="40">
        <f t="shared" si="17"/>
        <v>0</v>
      </c>
      <c r="E149" s="40">
        <f t="shared" si="13"/>
        <v>0</v>
      </c>
      <c r="F149" s="40"/>
      <c r="G149" s="41">
        <f t="shared" si="14"/>
        <v>0</v>
      </c>
      <c r="H149" s="35"/>
      <c r="I149" s="42">
        <f t="shared" si="16"/>
        <v>0</v>
      </c>
      <c r="J149" s="43"/>
    </row>
    <row r="150" spans="1:10" x14ac:dyDescent="0.25">
      <c r="A150" s="38">
        <f t="shared" si="15"/>
        <v>115</v>
      </c>
      <c r="B150" s="39">
        <f t="shared" si="10"/>
        <v>0</v>
      </c>
      <c r="C150" s="40">
        <f t="shared" si="11"/>
        <v>0</v>
      </c>
      <c r="D150" s="40">
        <f t="shared" si="17"/>
        <v>0</v>
      </c>
      <c r="E150" s="40">
        <f t="shared" si="13"/>
        <v>0</v>
      </c>
      <c r="F150" s="40"/>
      <c r="G150" s="41">
        <f t="shared" si="14"/>
        <v>0</v>
      </c>
      <c r="H150" s="35"/>
      <c r="I150" s="42">
        <f t="shared" si="16"/>
        <v>0</v>
      </c>
      <c r="J150" s="43"/>
    </row>
    <row r="151" spans="1:10" x14ac:dyDescent="0.25">
      <c r="A151" s="38">
        <f t="shared" si="15"/>
        <v>116</v>
      </c>
      <c r="B151" s="39">
        <f t="shared" si="10"/>
        <v>0</v>
      </c>
      <c r="C151" s="40">
        <f t="shared" si="11"/>
        <v>0</v>
      </c>
      <c r="D151" s="40">
        <f t="shared" si="17"/>
        <v>0</v>
      </c>
      <c r="E151" s="40">
        <f t="shared" si="13"/>
        <v>0</v>
      </c>
      <c r="F151" s="40"/>
      <c r="G151" s="41">
        <f t="shared" si="14"/>
        <v>0</v>
      </c>
      <c r="H151" s="35"/>
      <c r="I151" s="42">
        <f t="shared" si="16"/>
        <v>0</v>
      </c>
      <c r="J151" s="43"/>
    </row>
    <row r="152" spans="1:10" x14ac:dyDescent="0.25">
      <c r="A152" s="38">
        <f t="shared" si="15"/>
        <v>117</v>
      </c>
      <c r="B152" s="39">
        <f t="shared" si="10"/>
        <v>0</v>
      </c>
      <c r="C152" s="40">
        <f t="shared" si="11"/>
        <v>0</v>
      </c>
      <c r="D152" s="40">
        <f t="shared" si="17"/>
        <v>0</v>
      </c>
      <c r="E152" s="40">
        <f t="shared" si="13"/>
        <v>0</v>
      </c>
      <c r="F152" s="40"/>
      <c r="G152" s="41">
        <f t="shared" si="14"/>
        <v>0</v>
      </c>
      <c r="H152" s="35"/>
      <c r="I152" s="42">
        <f t="shared" si="16"/>
        <v>0</v>
      </c>
      <c r="J152" s="43"/>
    </row>
    <row r="153" spans="1:10" x14ac:dyDescent="0.25">
      <c r="A153" s="38">
        <f t="shared" si="15"/>
        <v>118</v>
      </c>
      <c r="B153" s="39">
        <f t="shared" si="10"/>
        <v>0</v>
      </c>
      <c r="C153" s="40">
        <f t="shared" si="11"/>
        <v>0</v>
      </c>
      <c r="D153" s="40">
        <f t="shared" si="17"/>
        <v>0</v>
      </c>
      <c r="E153" s="40">
        <f t="shared" si="13"/>
        <v>0</v>
      </c>
      <c r="F153" s="40"/>
      <c r="G153" s="41">
        <f t="shared" si="14"/>
        <v>0</v>
      </c>
      <c r="H153" s="35"/>
      <c r="I153" s="42">
        <f t="shared" si="16"/>
        <v>0</v>
      </c>
      <c r="J153" s="43"/>
    </row>
    <row r="154" spans="1:10" x14ac:dyDescent="0.25">
      <c r="A154" s="38">
        <f t="shared" si="15"/>
        <v>119</v>
      </c>
      <c r="B154" s="39">
        <f t="shared" si="10"/>
        <v>0</v>
      </c>
      <c r="C154" s="40">
        <f t="shared" si="11"/>
        <v>0</v>
      </c>
      <c r="D154" s="40">
        <f t="shared" si="17"/>
        <v>0</v>
      </c>
      <c r="E154" s="40">
        <f t="shared" si="13"/>
        <v>0</v>
      </c>
      <c r="F154" s="40"/>
      <c r="G154" s="41">
        <f t="shared" si="14"/>
        <v>0</v>
      </c>
      <c r="H154" s="35"/>
      <c r="I154" s="42">
        <f t="shared" si="16"/>
        <v>0</v>
      </c>
      <c r="J154" s="43"/>
    </row>
    <row r="155" spans="1:10" x14ac:dyDescent="0.25">
      <c r="A155" s="38">
        <f t="shared" si="15"/>
        <v>120</v>
      </c>
      <c r="B155" s="39">
        <f t="shared" si="10"/>
        <v>0</v>
      </c>
      <c r="C155" s="40">
        <f t="shared" si="11"/>
        <v>0</v>
      </c>
      <c r="D155" s="40">
        <f t="shared" si="17"/>
        <v>0</v>
      </c>
      <c r="E155" s="40">
        <f t="shared" si="13"/>
        <v>0</v>
      </c>
      <c r="F155" s="40"/>
      <c r="G155" s="41">
        <f t="shared" si="14"/>
        <v>0</v>
      </c>
      <c r="H155" s="35"/>
      <c r="I155" s="42">
        <f t="shared" si="16"/>
        <v>0</v>
      </c>
      <c r="J155" s="43"/>
    </row>
    <row r="156" spans="1:10" x14ac:dyDescent="0.25">
      <c r="A156" s="38">
        <f t="shared" si="15"/>
        <v>121</v>
      </c>
      <c r="B156" s="39">
        <f t="shared" si="10"/>
        <v>0</v>
      </c>
      <c r="C156" s="40">
        <f t="shared" si="11"/>
        <v>0</v>
      </c>
      <c r="D156" s="40">
        <f t="shared" si="17"/>
        <v>0</v>
      </c>
      <c r="E156" s="40">
        <f t="shared" si="13"/>
        <v>0</v>
      </c>
      <c r="F156" s="40"/>
      <c r="G156" s="41">
        <f t="shared" si="14"/>
        <v>0</v>
      </c>
      <c r="H156" s="35"/>
      <c r="I156" s="42">
        <f t="shared" si="16"/>
        <v>0</v>
      </c>
      <c r="J156" s="43"/>
    </row>
    <row r="157" spans="1:10" x14ac:dyDescent="0.25">
      <c r="A157" s="38">
        <f t="shared" si="15"/>
        <v>122</v>
      </c>
      <c r="B157" s="39">
        <f t="shared" si="10"/>
        <v>0</v>
      </c>
      <c r="C157" s="40">
        <f t="shared" si="11"/>
        <v>0</v>
      </c>
      <c r="D157" s="40">
        <f t="shared" si="17"/>
        <v>0</v>
      </c>
      <c r="E157" s="40">
        <f t="shared" si="13"/>
        <v>0</v>
      </c>
      <c r="F157" s="40"/>
      <c r="G157" s="41">
        <f t="shared" si="14"/>
        <v>0</v>
      </c>
      <c r="H157" s="35"/>
      <c r="I157" s="42">
        <f t="shared" si="16"/>
        <v>0</v>
      </c>
      <c r="J157" s="43"/>
    </row>
    <row r="158" spans="1:10" x14ac:dyDescent="0.25">
      <c r="A158" s="38">
        <f t="shared" si="15"/>
        <v>123</v>
      </c>
      <c r="B158" s="39">
        <f t="shared" si="10"/>
        <v>0</v>
      </c>
      <c r="C158" s="40">
        <f t="shared" si="11"/>
        <v>0</v>
      </c>
      <c r="D158" s="40">
        <f t="shared" si="17"/>
        <v>0</v>
      </c>
      <c r="E158" s="40">
        <f t="shared" si="13"/>
        <v>0</v>
      </c>
      <c r="F158" s="40"/>
      <c r="G158" s="41">
        <f t="shared" si="14"/>
        <v>0</v>
      </c>
      <c r="H158" s="35"/>
      <c r="I158" s="42">
        <f t="shared" si="16"/>
        <v>0</v>
      </c>
      <c r="J158" s="43"/>
    </row>
    <row r="159" spans="1:10" x14ac:dyDescent="0.25">
      <c r="A159" s="38">
        <f t="shared" si="15"/>
        <v>124</v>
      </c>
      <c r="B159" s="39">
        <f t="shared" si="10"/>
        <v>0</v>
      </c>
      <c r="C159" s="40">
        <f t="shared" si="11"/>
        <v>0</v>
      </c>
      <c r="D159" s="40">
        <f t="shared" si="17"/>
        <v>0</v>
      </c>
      <c r="E159" s="40">
        <f t="shared" si="13"/>
        <v>0</v>
      </c>
      <c r="F159" s="40"/>
      <c r="G159" s="41">
        <f t="shared" si="14"/>
        <v>0</v>
      </c>
      <c r="H159" s="35"/>
      <c r="I159" s="42">
        <f t="shared" si="16"/>
        <v>0</v>
      </c>
      <c r="J159" s="43"/>
    </row>
    <row r="160" spans="1:10" x14ac:dyDescent="0.25">
      <c r="A160" s="38">
        <f t="shared" si="15"/>
        <v>125</v>
      </c>
      <c r="B160" s="39">
        <f t="shared" si="10"/>
        <v>0</v>
      </c>
      <c r="C160" s="40">
        <f t="shared" si="11"/>
        <v>0</v>
      </c>
      <c r="D160" s="40">
        <f t="shared" si="17"/>
        <v>0</v>
      </c>
      <c r="E160" s="40">
        <f t="shared" si="13"/>
        <v>0</v>
      </c>
      <c r="F160" s="40"/>
      <c r="G160" s="41">
        <f t="shared" si="14"/>
        <v>0</v>
      </c>
      <c r="H160" s="35"/>
      <c r="I160" s="42">
        <f t="shared" si="16"/>
        <v>0</v>
      </c>
      <c r="J160" s="43"/>
    </row>
    <row r="161" spans="1:10" x14ac:dyDescent="0.25">
      <c r="A161" s="38">
        <f t="shared" si="15"/>
        <v>126</v>
      </c>
      <c r="B161" s="39">
        <f t="shared" si="10"/>
        <v>0</v>
      </c>
      <c r="C161" s="40">
        <f t="shared" si="11"/>
        <v>0</v>
      </c>
      <c r="D161" s="40">
        <f t="shared" si="17"/>
        <v>0</v>
      </c>
      <c r="E161" s="40">
        <f t="shared" si="13"/>
        <v>0</v>
      </c>
      <c r="F161" s="40"/>
      <c r="G161" s="41">
        <f t="shared" si="14"/>
        <v>0</v>
      </c>
      <c r="H161" s="35"/>
      <c r="I161" s="42">
        <f t="shared" si="16"/>
        <v>0</v>
      </c>
      <c r="J161" s="43"/>
    </row>
    <row r="162" spans="1:10" x14ac:dyDescent="0.25">
      <c r="A162" s="38">
        <f t="shared" si="15"/>
        <v>127</v>
      </c>
      <c r="B162" s="39">
        <f t="shared" si="10"/>
        <v>0</v>
      </c>
      <c r="C162" s="40">
        <f t="shared" si="11"/>
        <v>0</v>
      </c>
      <c r="D162" s="40">
        <f t="shared" si="17"/>
        <v>0</v>
      </c>
      <c r="E162" s="40">
        <f t="shared" si="13"/>
        <v>0</v>
      </c>
      <c r="F162" s="40"/>
      <c r="G162" s="41">
        <f t="shared" si="14"/>
        <v>0</v>
      </c>
      <c r="H162" s="35"/>
      <c r="I162" s="42">
        <f t="shared" si="16"/>
        <v>0</v>
      </c>
      <c r="J162" s="43"/>
    </row>
    <row r="163" spans="1:10" x14ac:dyDescent="0.25">
      <c r="A163" s="38">
        <f t="shared" si="15"/>
        <v>128</v>
      </c>
      <c r="B163" s="39">
        <f t="shared" ref="B163:B226" si="18">Camort($B$22,$B$24,$B$26,$B$25,A163,$B$28,1)</f>
        <v>0</v>
      </c>
      <c r="C163" s="40">
        <f t="shared" ref="C163:C226" si="19">Camort($B$22,$B$24,$B$26,$B$25,A163,$B$28,2)</f>
        <v>0</v>
      </c>
      <c r="D163" s="40">
        <f t="shared" ref="D163:D194" si="20">B163-C163</f>
        <v>0</v>
      </c>
      <c r="E163" s="40">
        <f t="shared" ref="E163:E226" si="21">Camort($B$22,$B$24,$B$26,$B$25,A163,$B$28,3)</f>
        <v>0</v>
      </c>
      <c r="F163" s="40"/>
      <c r="G163" s="41">
        <f t="shared" si="14"/>
        <v>0</v>
      </c>
      <c r="H163" s="35"/>
      <c r="I163" s="42">
        <f t="shared" si="16"/>
        <v>0</v>
      </c>
      <c r="J163" s="43"/>
    </row>
    <row r="164" spans="1:10" x14ac:dyDescent="0.25">
      <c r="A164" s="38">
        <f t="shared" si="15"/>
        <v>129</v>
      </c>
      <c r="B164" s="39">
        <f t="shared" si="18"/>
        <v>0</v>
      </c>
      <c r="C164" s="40">
        <f t="shared" si="19"/>
        <v>0</v>
      </c>
      <c r="D164" s="40">
        <f t="shared" si="20"/>
        <v>0</v>
      </c>
      <c r="E164" s="40">
        <f t="shared" si="21"/>
        <v>0</v>
      </c>
      <c r="F164" s="40"/>
      <c r="G164" s="41">
        <f t="shared" ref="G164:G227" si="22">IF(A164&lt;=$B$26,$C$17,0)+IF(AND(A164&lt;=$B$26,MOD(A164,$B$5)=0),$B$4,0)+IF(A164=$B$26,$B$3,0)</f>
        <v>0</v>
      </c>
      <c r="H164" s="35"/>
      <c r="I164" s="42">
        <f t="shared" si="16"/>
        <v>0</v>
      </c>
      <c r="J164" s="43"/>
    </row>
    <row r="165" spans="1:10" x14ac:dyDescent="0.25">
      <c r="A165" s="38">
        <f t="shared" ref="A165:A228" si="23">A164+1</f>
        <v>130</v>
      </c>
      <c r="B165" s="39">
        <f t="shared" si="18"/>
        <v>0</v>
      </c>
      <c r="C165" s="40">
        <f t="shared" si="19"/>
        <v>0</v>
      </c>
      <c r="D165" s="40">
        <f t="shared" si="20"/>
        <v>0</v>
      </c>
      <c r="E165" s="40">
        <f t="shared" si="21"/>
        <v>0</v>
      </c>
      <c r="F165" s="40"/>
      <c r="G165" s="41">
        <f t="shared" si="22"/>
        <v>0</v>
      </c>
      <c r="H165" s="35"/>
      <c r="I165" s="42">
        <f t="shared" ref="I165:I228" si="24">B165-F165+G165</f>
        <v>0</v>
      </c>
      <c r="J165" s="43"/>
    </row>
    <row r="166" spans="1:10" x14ac:dyDescent="0.25">
      <c r="A166" s="38">
        <f t="shared" si="23"/>
        <v>131</v>
      </c>
      <c r="B166" s="39">
        <f t="shared" si="18"/>
        <v>0</v>
      </c>
      <c r="C166" s="40">
        <f t="shared" si="19"/>
        <v>0</v>
      </c>
      <c r="D166" s="40">
        <f t="shared" si="20"/>
        <v>0</v>
      </c>
      <c r="E166" s="40">
        <f t="shared" si="21"/>
        <v>0</v>
      </c>
      <c r="F166" s="40"/>
      <c r="G166" s="41">
        <f t="shared" si="22"/>
        <v>0</v>
      </c>
      <c r="H166" s="35"/>
      <c r="I166" s="42">
        <f t="shared" si="24"/>
        <v>0</v>
      </c>
      <c r="J166" s="43"/>
    </row>
    <row r="167" spans="1:10" x14ac:dyDescent="0.25">
      <c r="A167" s="38">
        <f t="shared" si="23"/>
        <v>132</v>
      </c>
      <c r="B167" s="39">
        <f t="shared" si="18"/>
        <v>0</v>
      </c>
      <c r="C167" s="40">
        <f t="shared" si="19"/>
        <v>0</v>
      </c>
      <c r="D167" s="40">
        <f t="shared" si="20"/>
        <v>0</v>
      </c>
      <c r="E167" s="40">
        <f t="shared" si="21"/>
        <v>0</v>
      </c>
      <c r="F167" s="40"/>
      <c r="G167" s="41">
        <f t="shared" si="22"/>
        <v>0</v>
      </c>
      <c r="H167" s="35"/>
      <c r="I167" s="42">
        <f t="shared" si="24"/>
        <v>0</v>
      </c>
      <c r="J167" s="43"/>
    </row>
    <row r="168" spans="1:10" x14ac:dyDescent="0.25">
      <c r="A168" s="38">
        <f t="shared" si="23"/>
        <v>133</v>
      </c>
      <c r="B168" s="39">
        <f t="shared" si="18"/>
        <v>0</v>
      </c>
      <c r="C168" s="40">
        <f t="shared" si="19"/>
        <v>0</v>
      </c>
      <c r="D168" s="40">
        <f t="shared" si="20"/>
        <v>0</v>
      </c>
      <c r="E168" s="40">
        <f t="shared" si="21"/>
        <v>0</v>
      </c>
      <c r="F168" s="40"/>
      <c r="G168" s="41">
        <f t="shared" si="22"/>
        <v>0</v>
      </c>
      <c r="H168" s="35"/>
      <c r="I168" s="42">
        <f t="shared" si="24"/>
        <v>0</v>
      </c>
      <c r="J168" s="43"/>
    </row>
    <row r="169" spans="1:10" x14ac:dyDescent="0.25">
      <c r="A169" s="38">
        <f t="shared" si="23"/>
        <v>134</v>
      </c>
      <c r="B169" s="39">
        <f t="shared" si="18"/>
        <v>0</v>
      </c>
      <c r="C169" s="40">
        <f t="shared" si="19"/>
        <v>0</v>
      </c>
      <c r="D169" s="40">
        <f t="shared" si="20"/>
        <v>0</v>
      </c>
      <c r="E169" s="40">
        <f t="shared" si="21"/>
        <v>0</v>
      </c>
      <c r="F169" s="40"/>
      <c r="G169" s="41">
        <f t="shared" si="22"/>
        <v>0</v>
      </c>
      <c r="H169" s="35"/>
      <c r="I169" s="42">
        <f t="shared" si="24"/>
        <v>0</v>
      </c>
      <c r="J169" s="43"/>
    </row>
    <row r="170" spans="1:10" x14ac:dyDescent="0.25">
      <c r="A170" s="38">
        <f t="shared" si="23"/>
        <v>135</v>
      </c>
      <c r="B170" s="39">
        <f t="shared" si="18"/>
        <v>0</v>
      </c>
      <c r="C170" s="40">
        <f t="shared" si="19"/>
        <v>0</v>
      </c>
      <c r="D170" s="40">
        <f t="shared" si="20"/>
        <v>0</v>
      </c>
      <c r="E170" s="40">
        <f t="shared" si="21"/>
        <v>0</v>
      </c>
      <c r="F170" s="40"/>
      <c r="G170" s="41">
        <f t="shared" si="22"/>
        <v>0</v>
      </c>
      <c r="H170" s="35"/>
      <c r="I170" s="42">
        <f t="shared" si="24"/>
        <v>0</v>
      </c>
      <c r="J170" s="43"/>
    </row>
    <row r="171" spans="1:10" x14ac:dyDescent="0.25">
      <c r="A171" s="38">
        <f t="shared" si="23"/>
        <v>136</v>
      </c>
      <c r="B171" s="39">
        <f t="shared" si="18"/>
        <v>0</v>
      </c>
      <c r="C171" s="40">
        <f t="shared" si="19"/>
        <v>0</v>
      </c>
      <c r="D171" s="40">
        <f t="shared" si="20"/>
        <v>0</v>
      </c>
      <c r="E171" s="40">
        <f t="shared" si="21"/>
        <v>0</v>
      </c>
      <c r="F171" s="40"/>
      <c r="G171" s="41">
        <f t="shared" si="22"/>
        <v>0</v>
      </c>
      <c r="H171" s="35"/>
      <c r="I171" s="42">
        <f t="shared" si="24"/>
        <v>0</v>
      </c>
      <c r="J171" s="43"/>
    </row>
    <row r="172" spans="1:10" x14ac:dyDescent="0.25">
      <c r="A172" s="38">
        <f t="shared" si="23"/>
        <v>137</v>
      </c>
      <c r="B172" s="39">
        <f t="shared" si="18"/>
        <v>0</v>
      </c>
      <c r="C172" s="40">
        <f t="shared" si="19"/>
        <v>0</v>
      </c>
      <c r="D172" s="40">
        <f t="shared" si="20"/>
        <v>0</v>
      </c>
      <c r="E172" s="40">
        <f t="shared" si="21"/>
        <v>0</v>
      </c>
      <c r="F172" s="40"/>
      <c r="G172" s="41">
        <f t="shared" si="22"/>
        <v>0</v>
      </c>
      <c r="H172" s="35"/>
      <c r="I172" s="42">
        <f t="shared" si="24"/>
        <v>0</v>
      </c>
      <c r="J172" s="43"/>
    </row>
    <row r="173" spans="1:10" x14ac:dyDescent="0.25">
      <c r="A173" s="38">
        <f t="shared" si="23"/>
        <v>138</v>
      </c>
      <c r="B173" s="39">
        <f t="shared" si="18"/>
        <v>0</v>
      </c>
      <c r="C173" s="40">
        <f t="shared" si="19"/>
        <v>0</v>
      </c>
      <c r="D173" s="40">
        <f t="shared" si="20"/>
        <v>0</v>
      </c>
      <c r="E173" s="40">
        <f t="shared" si="21"/>
        <v>0</v>
      </c>
      <c r="F173" s="40"/>
      <c r="G173" s="41">
        <f t="shared" si="22"/>
        <v>0</v>
      </c>
      <c r="H173" s="35"/>
      <c r="I173" s="42">
        <f t="shared" si="24"/>
        <v>0</v>
      </c>
      <c r="J173" s="43"/>
    </row>
    <row r="174" spans="1:10" x14ac:dyDescent="0.25">
      <c r="A174" s="38">
        <f t="shared" si="23"/>
        <v>139</v>
      </c>
      <c r="B174" s="39">
        <f t="shared" si="18"/>
        <v>0</v>
      </c>
      <c r="C174" s="40">
        <f t="shared" si="19"/>
        <v>0</v>
      </c>
      <c r="D174" s="40">
        <f t="shared" si="20"/>
        <v>0</v>
      </c>
      <c r="E174" s="40">
        <f t="shared" si="21"/>
        <v>0</v>
      </c>
      <c r="F174" s="40"/>
      <c r="G174" s="41">
        <f t="shared" si="22"/>
        <v>0</v>
      </c>
      <c r="H174" s="35"/>
      <c r="I174" s="42">
        <f t="shared" si="24"/>
        <v>0</v>
      </c>
      <c r="J174" s="43"/>
    </row>
    <row r="175" spans="1:10" x14ac:dyDescent="0.25">
      <c r="A175" s="38">
        <f t="shared" si="23"/>
        <v>140</v>
      </c>
      <c r="B175" s="39">
        <f t="shared" si="18"/>
        <v>0</v>
      </c>
      <c r="C175" s="40">
        <f t="shared" si="19"/>
        <v>0</v>
      </c>
      <c r="D175" s="40">
        <f t="shared" si="20"/>
        <v>0</v>
      </c>
      <c r="E175" s="40">
        <f t="shared" si="21"/>
        <v>0</v>
      </c>
      <c r="F175" s="40"/>
      <c r="G175" s="41">
        <f t="shared" si="22"/>
        <v>0</v>
      </c>
      <c r="H175" s="35"/>
      <c r="I175" s="42">
        <f t="shared" si="24"/>
        <v>0</v>
      </c>
      <c r="J175" s="43"/>
    </row>
    <row r="176" spans="1:10" x14ac:dyDescent="0.25">
      <c r="A176" s="38">
        <f t="shared" si="23"/>
        <v>141</v>
      </c>
      <c r="B176" s="39">
        <f t="shared" si="18"/>
        <v>0</v>
      </c>
      <c r="C176" s="40">
        <f t="shared" si="19"/>
        <v>0</v>
      </c>
      <c r="D176" s="40">
        <f t="shared" si="20"/>
        <v>0</v>
      </c>
      <c r="E176" s="40">
        <f t="shared" si="21"/>
        <v>0</v>
      </c>
      <c r="F176" s="40"/>
      <c r="G176" s="41">
        <f t="shared" si="22"/>
        <v>0</v>
      </c>
      <c r="H176" s="35"/>
      <c r="I176" s="42">
        <f t="shared" si="24"/>
        <v>0</v>
      </c>
      <c r="J176" s="43"/>
    </row>
    <row r="177" spans="1:10" x14ac:dyDescent="0.25">
      <c r="A177" s="38">
        <f t="shared" si="23"/>
        <v>142</v>
      </c>
      <c r="B177" s="39">
        <f t="shared" si="18"/>
        <v>0</v>
      </c>
      <c r="C177" s="40">
        <f t="shared" si="19"/>
        <v>0</v>
      </c>
      <c r="D177" s="40">
        <f t="shared" si="20"/>
        <v>0</v>
      </c>
      <c r="E177" s="40">
        <f t="shared" si="21"/>
        <v>0</v>
      </c>
      <c r="F177" s="40"/>
      <c r="G177" s="41">
        <f t="shared" si="22"/>
        <v>0</v>
      </c>
      <c r="H177" s="35"/>
      <c r="I177" s="42">
        <f t="shared" si="24"/>
        <v>0</v>
      </c>
      <c r="J177" s="43"/>
    </row>
    <row r="178" spans="1:10" x14ac:dyDescent="0.25">
      <c r="A178" s="38">
        <f t="shared" si="23"/>
        <v>143</v>
      </c>
      <c r="B178" s="39">
        <f t="shared" si="18"/>
        <v>0</v>
      </c>
      <c r="C178" s="40">
        <f t="shared" si="19"/>
        <v>0</v>
      </c>
      <c r="D178" s="40">
        <f t="shared" si="20"/>
        <v>0</v>
      </c>
      <c r="E178" s="40">
        <f t="shared" si="21"/>
        <v>0</v>
      </c>
      <c r="F178" s="40"/>
      <c r="G178" s="41">
        <f t="shared" si="22"/>
        <v>0</v>
      </c>
      <c r="H178" s="35"/>
      <c r="I178" s="42">
        <f t="shared" si="24"/>
        <v>0</v>
      </c>
      <c r="J178" s="43"/>
    </row>
    <row r="179" spans="1:10" x14ac:dyDescent="0.25">
      <c r="A179" s="38">
        <f t="shared" si="23"/>
        <v>144</v>
      </c>
      <c r="B179" s="39">
        <f t="shared" si="18"/>
        <v>0</v>
      </c>
      <c r="C179" s="40">
        <f t="shared" si="19"/>
        <v>0</v>
      </c>
      <c r="D179" s="40">
        <f t="shared" si="20"/>
        <v>0</v>
      </c>
      <c r="E179" s="40">
        <f t="shared" si="21"/>
        <v>0</v>
      </c>
      <c r="F179" s="40"/>
      <c r="G179" s="41">
        <f t="shared" si="22"/>
        <v>0</v>
      </c>
      <c r="H179" s="35"/>
      <c r="I179" s="42">
        <f t="shared" si="24"/>
        <v>0</v>
      </c>
      <c r="J179" s="43"/>
    </row>
    <row r="180" spans="1:10" x14ac:dyDescent="0.25">
      <c r="A180" s="38">
        <f t="shared" si="23"/>
        <v>145</v>
      </c>
      <c r="B180" s="39">
        <f t="shared" si="18"/>
        <v>0</v>
      </c>
      <c r="C180" s="40">
        <f t="shared" si="19"/>
        <v>0</v>
      </c>
      <c r="D180" s="40">
        <f t="shared" si="20"/>
        <v>0</v>
      </c>
      <c r="E180" s="40">
        <f t="shared" si="21"/>
        <v>0</v>
      </c>
      <c r="F180" s="40"/>
      <c r="G180" s="41">
        <f t="shared" si="22"/>
        <v>0</v>
      </c>
      <c r="H180" s="35"/>
      <c r="I180" s="42">
        <f t="shared" si="24"/>
        <v>0</v>
      </c>
      <c r="J180" s="43"/>
    </row>
    <row r="181" spans="1:10" x14ac:dyDescent="0.25">
      <c r="A181" s="38">
        <f t="shared" si="23"/>
        <v>146</v>
      </c>
      <c r="B181" s="39">
        <f t="shared" si="18"/>
        <v>0</v>
      </c>
      <c r="C181" s="40">
        <f t="shared" si="19"/>
        <v>0</v>
      </c>
      <c r="D181" s="40">
        <f t="shared" si="20"/>
        <v>0</v>
      </c>
      <c r="E181" s="40">
        <f t="shared" si="21"/>
        <v>0</v>
      </c>
      <c r="F181" s="40"/>
      <c r="G181" s="41">
        <f t="shared" si="22"/>
        <v>0</v>
      </c>
      <c r="H181" s="35"/>
      <c r="I181" s="42">
        <f t="shared" si="24"/>
        <v>0</v>
      </c>
      <c r="J181" s="43"/>
    </row>
    <row r="182" spans="1:10" x14ac:dyDescent="0.25">
      <c r="A182" s="38">
        <f t="shared" si="23"/>
        <v>147</v>
      </c>
      <c r="B182" s="39">
        <f t="shared" si="18"/>
        <v>0</v>
      </c>
      <c r="C182" s="40">
        <f t="shared" si="19"/>
        <v>0</v>
      </c>
      <c r="D182" s="40">
        <f t="shared" si="20"/>
        <v>0</v>
      </c>
      <c r="E182" s="40">
        <f t="shared" si="21"/>
        <v>0</v>
      </c>
      <c r="F182" s="40"/>
      <c r="G182" s="41">
        <f t="shared" si="22"/>
        <v>0</v>
      </c>
      <c r="H182" s="35"/>
      <c r="I182" s="42">
        <f t="shared" si="24"/>
        <v>0</v>
      </c>
      <c r="J182" s="43"/>
    </row>
    <row r="183" spans="1:10" x14ac:dyDescent="0.25">
      <c r="A183" s="38">
        <f t="shared" si="23"/>
        <v>148</v>
      </c>
      <c r="B183" s="39">
        <f t="shared" si="18"/>
        <v>0</v>
      </c>
      <c r="C183" s="40">
        <f t="shared" si="19"/>
        <v>0</v>
      </c>
      <c r="D183" s="40">
        <f t="shared" si="20"/>
        <v>0</v>
      </c>
      <c r="E183" s="40">
        <f t="shared" si="21"/>
        <v>0</v>
      </c>
      <c r="F183" s="40"/>
      <c r="G183" s="41">
        <f t="shared" si="22"/>
        <v>0</v>
      </c>
      <c r="H183" s="35"/>
      <c r="I183" s="42">
        <f t="shared" si="24"/>
        <v>0</v>
      </c>
      <c r="J183" s="43"/>
    </row>
    <row r="184" spans="1:10" x14ac:dyDescent="0.25">
      <c r="A184" s="38">
        <f t="shared" si="23"/>
        <v>149</v>
      </c>
      <c r="B184" s="39">
        <f t="shared" si="18"/>
        <v>0</v>
      </c>
      <c r="C184" s="40">
        <f t="shared" si="19"/>
        <v>0</v>
      </c>
      <c r="D184" s="40">
        <f t="shared" si="20"/>
        <v>0</v>
      </c>
      <c r="E184" s="40">
        <f t="shared" si="21"/>
        <v>0</v>
      </c>
      <c r="F184" s="40"/>
      <c r="G184" s="41">
        <f t="shared" si="22"/>
        <v>0</v>
      </c>
      <c r="H184" s="35"/>
      <c r="I184" s="42">
        <f t="shared" si="24"/>
        <v>0</v>
      </c>
      <c r="J184" s="43"/>
    </row>
    <row r="185" spans="1:10" x14ac:dyDescent="0.25">
      <c r="A185" s="38">
        <f t="shared" si="23"/>
        <v>150</v>
      </c>
      <c r="B185" s="39">
        <f t="shared" si="18"/>
        <v>0</v>
      </c>
      <c r="C185" s="40">
        <f t="shared" si="19"/>
        <v>0</v>
      </c>
      <c r="D185" s="40">
        <f t="shared" si="20"/>
        <v>0</v>
      </c>
      <c r="E185" s="40">
        <f t="shared" si="21"/>
        <v>0</v>
      </c>
      <c r="F185" s="40"/>
      <c r="G185" s="41">
        <f t="shared" si="22"/>
        <v>0</v>
      </c>
      <c r="H185" s="35"/>
      <c r="I185" s="42">
        <f t="shared" si="24"/>
        <v>0</v>
      </c>
      <c r="J185" s="43"/>
    </row>
    <row r="186" spans="1:10" x14ac:dyDescent="0.25">
      <c r="A186" s="38">
        <f t="shared" si="23"/>
        <v>151</v>
      </c>
      <c r="B186" s="39">
        <f t="shared" si="18"/>
        <v>0</v>
      </c>
      <c r="C186" s="40">
        <f t="shared" si="19"/>
        <v>0</v>
      </c>
      <c r="D186" s="40">
        <f t="shared" si="20"/>
        <v>0</v>
      </c>
      <c r="E186" s="40">
        <f t="shared" si="21"/>
        <v>0</v>
      </c>
      <c r="F186" s="40"/>
      <c r="G186" s="41">
        <f t="shared" si="22"/>
        <v>0</v>
      </c>
      <c r="H186" s="35"/>
      <c r="I186" s="42">
        <f t="shared" si="24"/>
        <v>0</v>
      </c>
      <c r="J186" s="43"/>
    </row>
    <row r="187" spans="1:10" x14ac:dyDescent="0.25">
      <c r="A187" s="38">
        <f t="shared" si="23"/>
        <v>152</v>
      </c>
      <c r="B187" s="39">
        <f t="shared" si="18"/>
        <v>0</v>
      </c>
      <c r="C187" s="40">
        <f t="shared" si="19"/>
        <v>0</v>
      </c>
      <c r="D187" s="40">
        <f t="shared" si="20"/>
        <v>0</v>
      </c>
      <c r="E187" s="40">
        <f t="shared" si="21"/>
        <v>0</v>
      </c>
      <c r="F187" s="40"/>
      <c r="G187" s="41">
        <f t="shared" si="22"/>
        <v>0</v>
      </c>
      <c r="H187" s="35"/>
      <c r="I187" s="42">
        <f t="shared" si="24"/>
        <v>0</v>
      </c>
      <c r="J187" s="43"/>
    </row>
    <row r="188" spans="1:10" x14ac:dyDescent="0.25">
      <c r="A188" s="38">
        <f t="shared" si="23"/>
        <v>153</v>
      </c>
      <c r="B188" s="39">
        <f t="shared" si="18"/>
        <v>0</v>
      </c>
      <c r="C188" s="40">
        <f t="shared" si="19"/>
        <v>0</v>
      </c>
      <c r="D188" s="40">
        <f t="shared" si="20"/>
        <v>0</v>
      </c>
      <c r="E188" s="40">
        <f t="shared" si="21"/>
        <v>0</v>
      </c>
      <c r="F188" s="40"/>
      <c r="G188" s="41">
        <f t="shared" si="22"/>
        <v>0</v>
      </c>
      <c r="H188" s="35"/>
      <c r="I188" s="42">
        <f t="shared" si="24"/>
        <v>0</v>
      </c>
      <c r="J188" s="43"/>
    </row>
    <row r="189" spans="1:10" x14ac:dyDescent="0.25">
      <c r="A189" s="38">
        <f t="shared" si="23"/>
        <v>154</v>
      </c>
      <c r="B189" s="39">
        <f t="shared" si="18"/>
        <v>0</v>
      </c>
      <c r="C189" s="40">
        <f t="shared" si="19"/>
        <v>0</v>
      </c>
      <c r="D189" s="40">
        <f t="shared" si="20"/>
        <v>0</v>
      </c>
      <c r="E189" s="40">
        <f t="shared" si="21"/>
        <v>0</v>
      </c>
      <c r="F189" s="40"/>
      <c r="G189" s="41">
        <f t="shared" si="22"/>
        <v>0</v>
      </c>
      <c r="H189" s="35"/>
      <c r="I189" s="42">
        <f t="shared" si="24"/>
        <v>0</v>
      </c>
      <c r="J189" s="43"/>
    </row>
    <row r="190" spans="1:10" x14ac:dyDescent="0.25">
      <c r="A190" s="38">
        <f t="shared" si="23"/>
        <v>155</v>
      </c>
      <c r="B190" s="39">
        <f t="shared" si="18"/>
        <v>0</v>
      </c>
      <c r="C190" s="40">
        <f t="shared" si="19"/>
        <v>0</v>
      </c>
      <c r="D190" s="40">
        <f t="shared" si="20"/>
        <v>0</v>
      </c>
      <c r="E190" s="40">
        <f t="shared" si="21"/>
        <v>0</v>
      </c>
      <c r="F190" s="40"/>
      <c r="G190" s="41">
        <f t="shared" si="22"/>
        <v>0</v>
      </c>
      <c r="H190" s="35"/>
      <c r="I190" s="42">
        <f t="shared" si="24"/>
        <v>0</v>
      </c>
      <c r="J190" s="43"/>
    </row>
    <row r="191" spans="1:10" x14ac:dyDescent="0.25">
      <c r="A191" s="38">
        <f t="shared" si="23"/>
        <v>156</v>
      </c>
      <c r="B191" s="39">
        <f t="shared" si="18"/>
        <v>0</v>
      </c>
      <c r="C191" s="40">
        <f t="shared" si="19"/>
        <v>0</v>
      </c>
      <c r="D191" s="40">
        <f t="shared" si="20"/>
        <v>0</v>
      </c>
      <c r="E191" s="40">
        <f t="shared" si="21"/>
        <v>0</v>
      </c>
      <c r="F191" s="40"/>
      <c r="G191" s="41">
        <f t="shared" si="22"/>
        <v>0</v>
      </c>
      <c r="H191" s="35"/>
      <c r="I191" s="42">
        <f t="shared" si="24"/>
        <v>0</v>
      </c>
      <c r="J191" s="43"/>
    </row>
    <row r="192" spans="1:10" x14ac:dyDescent="0.25">
      <c r="A192" s="38">
        <f t="shared" si="23"/>
        <v>157</v>
      </c>
      <c r="B192" s="39">
        <f t="shared" si="18"/>
        <v>0</v>
      </c>
      <c r="C192" s="40">
        <f t="shared" si="19"/>
        <v>0</v>
      </c>
      <c r="D192" s="40">
        <f t="shared" si="20"/>
        <v>0</v>
      </c>
      <c r="E192" s="40">
        <f t="shared" si="21"/>
        <v>0</v>
      </c>
      <c r="F192" s="40"/>
      <c r="G192" s="41">
        <f t="shared" si="22"/>
        <v>0</v>
      </c>
      <c r="H192" s="35"/>
      <c r="I192" s="42">
        <f t="shared" si="24"/>
        <v>0</v>
      </c>
      <c r="J192" s="43"/>
    </row>
    <row r="193" spans="1:10" x14ac:dyDescent="0.25">
      <c r="A193" s="38">
        <f t="shared" si="23"/>
        <v>158</v>
      </c>
      <c r="B193" s="39">
        <f t="shared" si="18"/>
        <v>0</v>
      </c>
      <c r="C193" s="40">
        <f t="shared" si="19"/>
        <v>0</v>
      </c>
      <c r="D193" s="40">
        <f t="shared" si="20"/>
        <v>0</v>
      </c>
      <c r="E193" s="40">
        <f t="shared" si="21"/>
        <v>0</v>
      </c>
      <c r="F193" s="40"/>
      <c r="G193" s="41">
        <f t="shared" si="22"/>
        <v>0</v>
      </c>
      <c r="H193" s="35"/>
      <c r="I193" s="42">
        <f t="shared" si="24"/>
        <v>0</v>
      </c>
      <c r="J193" s="43"/>
    </row>
    <row r="194" spans="1:10" x14ac:dyDescent="0.25">
      <c r="A194" s="38">
        <f t="shared" si="23"/>
        <v>159</v>
      </c>
      <c r="B194" s="39">
        <f t="shared" si="18"/>
        <v>0</v>
      </c>
      <c r="C194" s="40">
        <f t="shared" si="19"/>
        <v>0</v>
      </c>
      <c r="D194" s="40">
        <f t="shared" si="20"/>
        <v>0</v>
      </c>
      <c r="E194" s="40">
        <f t="shared" si="21"/>
        <v>0</v>
      </c>
      <c r="F194" s="40"/>
      <c r="G194" s="41">
        <f t="shared" si="22"/>
        <v>0</v>
      </c>
      <c r="H194" s="35"/>
      <c r="I194" s="42">
        <f t="shared" si="24"/>
        <v>0</v>
      </c>
      <c r="J194" s="43"/>
    </row>
    <row r="195" spans="1:10" x14ac:dyDescent="0.25">
      <c r="A195" s="38">
        <f t="shared" si="23"/>
        <v>160</v>
      </c>
      <c r="B195" s="39">
        <f t="shared" si="18"/>
        <v>0</v>
      </c>
      <c r="C195" s="40">
        <f t="shared" si="19"/>
        <v>0</v>
      </c>
      <c r="D195" s="40">
        <f t="shared" ref="D195:D214" si="25">B195-C195</f>
        <v>0</v>
      </c>
      <c r="E195" s="40">
        <f t="shared" si="21"/>
        <v>0</v>
      </c>
      <c r="F195" s="40"/>
      <c r="G195" s="41">
        <f t="shared" si="22"/>
        <v>0</v>
      </c>
      <c r="H195" s="35"/>
      <c r="I195" s="42">
        <f t="shared" si="24"/>
        <v>0</v>
      </c>
      <c r="J195" s="43"/>
    </row>
    <row r="196" spans="1:10" x14ac:dyDescent="0.25">
      <c r="A196" s="38">
        <f t="shared" si="23"/>
        <v>161</v>
      </c>
      <c r="B196" s="39">
        <f t="shared" si="18"/>
        <v>0</v>
      </c>
      <c r="C196" s="40">
        <f t="shared" si="19"/>
        <v>0</v>
      </c>
      <c r="D196" s="40">
        <f t="shared" si="25"/>
        <v>0</v>
      </c>
      <c r="E196" s="40">
        <f t="shared" si="21"/>
        <v>0</v>
      </c>
      <c r="F196" s="40"/>
      <c r="G196" s="41">
        <f t="shared" si="22"/>
        <v>0</v>
      </c>
      <c r="H196" s="35"/>
      <c r="I196" s="42">
        <f t="shared" si="24"/>
        <v>0</v>
      </c>
      <c r="J196" s="43"/>
    </row>
    <row r="197" spans="1:10" x14ac:dyDescent="0.25">
      <c r="A197" s="38">
        <f t="shared" si="23"/>
        <v>162</v>
      </c>
      <c r="B197" s="39">
        <f t="shared" si="18"/>
        <v>0</v>
      </c>
      <c r="C197" s="40">
        <f t="shared" si="19"/>
        <v>0</v>
      </c>
      <c r="D197" s="40">
        <f t="shared" si="25"/>
        <v>0</v>
      </c>
      <c r="E197" s="40">
        <f t="shared" si="21"/>
        <v>0</v>
      </c>
      <c r="F197" s="40"/>
      <c r="G197" s="41">
        <f t="shared" si="22"/>
        <v>0</v>
      </c>
      <c r="H197" s="35"/>
      <c r="I197" s="42">
        <f t="shared" si="24"/>
        <v>0</v>
      </c>
      <c r="J197" s="43"/>
    </row>
    <row r="198" spans="1:10" x14ac:dyDescent="0.25">
      <c r="A198" s="38">
        <f t="shared" si="23"/>
        <v>163</v>
      </c>
      <c r="B198" s="39">
        <f t="shared" si="18"/>
        <v>0</v>
      </c>
      <c r="C198" s="40">
        <f t="shared" si="19"/>
        <v>0</v>
      </c>
      <c r="D198" s="40">
        <f t="shared" si="25"/>
        <v>0</v>
      </c>
      <c r="E198" s="40">
        <f t="shared" si="21"/>
        <v>0</v>
      </c>
      <c r="F198" s="40"/>
      <c r="G198" s="41">
        <f t="shared" si="22"/>
        <v>0</v>
      </c>
      <c r="H198" s="35"/>
      <c r="I198" s="42">
        <f t="shared" si="24"/>
        <v>0</v>
      </c>
      <c r="J198" s="43"/>
    </row>
    <row r="199" spans="1:10" x14ac:dyDescent="0.25">
      <c r="A199" s="38">
        <f t="shared" si="23"/>
        <v>164</v>
      </c>
      <c r="B199" s="39">
        <f t="shared" si="18"/>
        <v>0</v>
      </c>
      <c r="C199" s="40">
        <f t="shared" si="19"/>
        <v>0</v>
      </c>
      <c r="D199" s="40">
        <f t="shared" si="25"/>
        <v>0</v>
      </c>
      <c r="E199" s="40">
        <f t="shared" si="21"/>
        <v>0</v>
      </c>
      <c r="F199" s="40"/>
      <c r="G199" s="41">
        <f t="shared" si="22"/>
        <v>0</v>
      </c>
      <c r="H199" s="35"/>
      <c r="I199" s="42">
        <f t="shared" si="24"/>
        <v>0</v>
      </c>
      <c r="J199" s="43"/>
    </row>
    <row r="200" spans="1:10" x14ac:dyDescent="0.25">
      <c r="A200" s="38">
        <f t="shared" si="23"/>
        <v>165</v>
      </c>
      <c r="B200" s="39">
        <f t="shared" si="18"/>
        <v>0</v>
      </c>
      <c r="C200" s="40">
        <f t="shared" si="19"/>
        <v>0</v>
      </c>
      <c r="D200" s="40">
        <f t="shared" si="25"/>
        <v>0</v>
      </c>
      <c r="E200" s="40">
        <f t="shared" si="21"/>
        <v>0</v>
      </c>
      <c r="F200" s="40"/>
      <c r="G200" s="41">
        <f t="shared" si="22"/>
        <v>0</v>
      </c>
      <c r="H200" s="35"/>
      <c r="I200" s="42">
        <f t="shared" si="24"/>
        <v>0</v>
      </c>
      <c r="J200" s="43"/>
    </row>
    <row r="201" spans="1:10" x14ac:dyDescent="0.25">
      <c r="A201" s="38">
        <f t="shared" si="23"/>
        <v>166</v>
      </c>
      <c r="B201" s="39">
        <f t="shared" si="18"/>
        <v>0</v>
      </c>
      <c r="C201" s="40">
        <f t="shared" si="19"/>
        <v>0</v>
      </c>
      <c r="D201" s="40">
        <f t="shared" si="25"/>
        <v>0</v>
      </c>
      <c r="E201" s="40">
        <f t="shared" si="21"/>
        <v>0</v>
      </c>
      <c r="F201" s="40"/>
      <c r="G201" s="41">
        <f t="shared" si="22"/>
        <v>0</v>
      </c>
      <c r="H201" s="35"/>
      <c r="I201" s="42">
        <f t="shared" si="24"/>
        <v>0</v>
      </c>
      <c r="J201" s="43"/>
    </row>
    <row r="202" spans="1:10" x14ac:dyDescent="0.25">
      <c r="A202" s="38">
        <f t="shared" si="23"/>
        <v>167</v>
      </c>
      <c r="B202" s="39">
        <f t="shared" si="18"/>
        <v>0</v>
      </c>
      <c r="C202" s="40">
        <f t="shared" si="19"/>
        <v>0</v>
      </c>
      <c r="D202" s="40">
        <f t="shared" si="25"/>
        <v>0</v>
      </c>
      <c r="E202" s="40">
        <f t="shared" si="21"/>
        <v>0</v>
      </c>
      <c r="F202" s="40"/>
      <c r="G202" s="41">
        <f t="shared" si="22"/>
        <v>0</v>
      </c>
      <c r="H202" s="35"/>
      <c r="I202" s="42">
        <f t="shared" si="24"/>
        <v>0</v>
      </c>
      <c r="J202" s="43"/>
    </row>
    <row r="203" spans="1:10" x14ac:dyDescent="0.25">
      <c r="A203" s="38">
        <f t="shared" si="23"/>
        <v>168</v>
      </c>
      <c r="B203" s="39">
        <f t="shared" si="18"/>
        <v>0</v>
      </c>
      <c r="C203" s="40">
        <f t="shared" si="19"/>
        <v>0</v>
      </c>
      <c r="D203" s="40">
        <f t="shared" si="25"/>
        <v>0</v>
      </c>
      <c r="E203" s="40">
        <f t="shared" si="21"/>
        <v>0</v>
      </c>
      <c r="F203" s="40"/>
      <c r="G203" s="41">
        <f t="shared" si="22"/>
        <v>0</v>
      </c>
      <c r="H203" s="35"/>
      <c r="I203" s="42">
        <f t="shared" si="24"/>
        <v>0</v>
      </c>
      <c r="J203" s="43"/>
    </row>
    <row r="204" spans="1:10" x14ac:dyDescent="0.25">
      <c r="A204" s="38">
        <f t="shared" si="23"/>
        <v>169</v>
      </c>
      <c r="B204" s="39">
        <f t="shared" si="18"/>
        <v>0</v>
      </c>
      <c r="C204" s="40">
        <f t="shared" si="19"/>
        <v>0</v>
      </c>
      <c r="D204" s="40">
        <f t="shared" si="25"/>
        <v>0</v>
      </c>
      <c r="E204" s="40">
        <f t="shared" si="21"/>
        <v>0</v>
      </c>
      <c r="F204" s="40"/>
      <c r="G204" s="41">
        <f t="shared" si="22"/>
        <v>0</v>
      </c>
      <c r="H204" s="35"/>
      <c r="I204" s="42">
        <f t="shared" si="24"/>
        <v>0</v>
      </c>
      <c r="J204" s="43"/>
    </row>
    <row r="205" spans="1:10" x14ac:dyDescent="0.25">
      <c r="A205" s="38">
        <f t="shared" si="23"/>
        <v>170</v>
      </c>
      <c r="B205" s="39">
        <f t="shared" si="18"/>
        <v>0</v>
      </c>
      <c r="C205" s="40">
        <f t="shared" si="19"/>
        <v>0</v>
      </c>
      <c r="D205" s="40">
        <f t="shared" si="25"/>
        <v>0</v>
      </c>
      <c r="E205" s="40">
        <f t="shared" si="21"/>
        <v>0</v>
      </c>
      <c r="F205" s="40"/>
      <c r="G205" s="41">
        <f t="shared" si="22"/>
        <v>0</v>
      </c>
      <c r="H205" s="35"/>
      <c r="I205" s="42">
        <f t="shared" si="24"/>
        <v>0</v>
      </c>
      <c r="J205" s="43"/>
    </row>
    <row r="206" spans="1:10" x14ac:dyDescent="0.25">
      <c r="A206" s="38">
        <f t="shared" si="23"/>
        <v>171</v>
      </c>
      <c r="B206" s="39">
        <f t="shared" si="18"/>
        <v>0</v>
      </c>
      <c r="C206" s="40">
        <f t="shared" si="19"/>
        <v>0</v>
      </c>
      <c r="D206" s="40">
        <f t="shared" si="25"/>
        <v>0</v>
      </c>
      <c r="E206" s="40">
        <f t="shared" si="21"/>
        <v>0</v>
      </c>
      <c r="F206" s="40"/>
      <c r="G206" s="41">
        <f t="shared" si="22"/>
        <v>0</v>
      </c>
      <c r="H206" s="35"/>
      <c r="I206" s="42">
        <f t="shared" si="24"/>
        <v>0</v>
      </c>
      <c r="J206" s="43"/>
    </row>
    <row r="207" spans="1:10" x14ac:dyDescent="0.25">
      <c r="A207" s="38">
        <f t="shared" si="23"/>
        <v>172</v>
      </c>
      <c r="B207" s="39">
        <f t="shared" si="18"/>
        <v>0</v>
      </c>
      <c r="C207" s="40">
        <f t="shared" si="19"/>
        <v>0</v>
      </c>
      <c r="D207" s="40">
        <f t="shared" si="25"/>
        <v>0</v>
      </c>
      <c r="E207" s="40">
        <f t="shared" si="21"/>
        <v>0</v>
      </c>
      <c r="F207" s="40"/>
      <c r="G207" s="41">
        <f t="shared" si="22"/>
        <v>0</v>
      </c>
      <c r="H207" s="35"/>
      <c r="I207" s="42">
        <f t="shared" si="24"/>
        <v>0</v>
      </c>
      <c r="J207" s="43"/>
    </row>
    <row r="208" spans="1:10" x14ac:dyDescent="0.25">
      <c r="A208" s="38">
        <f t="shared" si="23"/>
        <v>173</v>
      </c>
      <c r="B208" s="39">
        <f t="shared" si="18"/>
        <v>0</v>
      </c>
      <c r="C208" s="40">
        <f t="shared" si="19"/>
        <v>0</v>
      </c>
      <c r="D208" s="40">
        <f t="shared" si="25"/>
        <v>0</v>
      </c>
      <c r="E208" s="40">
        <f t="shared" si="21"/>
        <v>0</v>
      </c>
      <c r="F208" s="40"/>
      <c r="G208" s="41">
        <f t="shared" si="22"/>
        <v>0</v>
      </c>
      <c r="H208" s="35"/>
      <c r="I208" s="42">
        <f t="shared" si="24"/>
        <v>0</v>
      </c>
      <c r="J208" s="43"/>
    </row>
    <row r="209" spans="1:10" x14ac:dyDescent="0.25">
      <c r="A209" s="38">
        <f t="shared" si="23"/>
        <v>174</v>
      </c>
      <c r="B209" s="39">
        <f t="shared" si="18"/>
        <v>0</v>
      </c>
      <c r="C209" s="40">
        <f t="shared" si="19"/>
        <v>0</v>
      </c>
      <c r="D209" s="40">
        <f t="shared" si="25"/>
        <v>0</v>
      </c>
      <c r="E209" s="40">
        <f t="shared" si="21"/>
        <v>0</v>
      </c>
      <c r="F209" s="40"/>
      <c r="G209" s="41">
        <f t="shared" si="22"/>
        <v>0</v>
      </c>
      <c r="H209" s="35"/>
      <c r="I209" s="42">
        <f t="shared" si="24"/>
        <v>0</v>
      </c>
      <c r="J209" s="43"/>
    </row>
    <row r="210" spans="1:10" x14ac:dyDescent="0.25">
      <c r="A210" s="38">
        <f t="shared" si="23"/>
        <v>175</v>
      </c>
      <c r="B210" s="39">
        <f t="shared" si="18"/>
        <v>0</v>
      </c>
      <c r="C210" s="40">
        <f t="shared" si="19"/>
        <v>0</v>
      </c>
      <c r="D210" s="40">
        <f t="shared" si="25"/>
        <v>0</v>
      </c>
      <c r="E210" s="40">
        <f t="shared" si="21"/>
        <v>0</v>
      </c>
      <c r="F210" s="40"/>
      <c r="G210" s="41">
        <f t="shared" si="22"/>
        <v>0</v>
      </c>
      <c r="H210" s="35"/>
      <c r="I210" s="42">
        <f t="shared" si="24"/>
        <v>0</v>
      </c>
      <c r="J210" s="43"/>
    </row>
    <row r="211" spans="1:10" x14ac:dyDescent="0.25">
      <c r="A211" s="38">
        <f t="shared" si="23"/>
        <v>176</v>
      </c>
      <c r="B211" s="39">
        <f t="shared" si="18"/>
        <v>0</v>
      </c>
      <c r="C211" s="40">
        <f t="shared" si="19"/>
        <v>0</v>
      </c>
      <c r="D211" s="40">
        <f t="shared" si="25"/>
        <v>0</v>
      </c>
      <c r="E211" s="40">
        <f t="shared" si="21"/>
        <v>0</v>
      </c>
      <c r="F211" s="40"/>
      <c r="G211" s="41">
        <f t="shared" si="22"/>
        <v>0</v>
      </c>
      <c r="H211" s="35"/>
      <c r="I211" s="42">
        <f t="shared" si="24"/>
        <v>0</v>
      </c>
      <c r="J211" s="43"/>
    </row>
    <row r="212" spans="1:10" x14ac:dyDescent="0.25">
      <c r="A212" s="38">
        <f t="shared" si="23"/>
        <v>177</v>
      </c>
      <c r="B212" s="39">
        <f t="shared" si="18"/>
        <v>0</v>
      </c>
      <c r="C212" s="40">
        <f t="shared" si="19"/>
        <v>0</v>
      </c>
      <c r="D212" s="40">
        <f t="shared" si="25"/>
        <v>0</v>
      </c>
      <c r="E212" s="40">
        <f t="shared" si="21"/>
        <v>0</v>
      </c>
      <c r="F212" s="40"/>
      <c r="G212" s="41">
        <f t="shared" si="22"/>
        <v>0</v>
      </c>
      <c r="H212" s="35"/>
      <c r="I212" s="42">
        <f t="shared" si="24"/>
        <v>0</v>
      </c>
      <c r="J212" s="43"/>
    </row>
    <row r="213" spans="1:10" x14ac:dyDescent="0.25">
      <c r="A213" s="38">
        <f t="shared" si="23"/>
        <v>178</v>
      </c>
      <c r="B213" s="39">
        <f t="shared" si="18"/>
        <v>0</v>
      </c>
      <c r="C213" s="40">
        <f t="shared" si="19"/>
        <v>0</v>
      </c>
      <c r="D213" s="40">
        <f t="shared" si="25"/>
        <v>0</v>
      </c>
      <c r="E213" s="40">
        <f t="shared" si="21"/>
        <v>0</v>
      </c>
      <c r="F213" s="40"/>
      <c r="G213" s="41">
        <f t="shared" si="22"/>
        <v>0</v>
      </c>
      <c r="H213" s="35"/>
      <c r="I213" s="42">
        <f t="shared" si="24"/>
        <v>0</v>
      </c>
      <c r="J213" s="43"/>
    </row>
    <row r="214" spans="1:10" x14ac:dyDescent="0.25">
      <c r="A214" s="38">
        <f t="shared" si="23"/>
        <v>179</v>
      </c>
      <c r="B214" s="39">
        <f t="shared" si="18"/>
        <v>0</v>
      </c>
      <c r="C214" s="40">
        <f t="shared" si="19"/>
        <v>0</v>
      </c>
      <c r="D214" s="40">
        <f t="shared" si="25"/>
        <v>0</v>
      </c>
      <c r="E214" s="40">
        <f t="shared" si="21"/>
        <v>0</v>
      </c>
      <c r="F214" s="40"/>
      <c r="G214" s="41">
        <f t="shared" si="22"/>
        <v>0</v>
      </c>
      <c r="H214" s="35"/>
      <c r="I214" s="42">
        <f t="shared" si="24"/>
        <v>0</v>
      </c>
      <c r="J214" s="43"/>
    </row>
    <row r="215" spans="1:10" x14ac:dyDescent="0.25">
      <c r="A215" s="38">
        <f t="shared" si="23"/>
        <v>180</v>
      </c>
      <c r="B215" s="39">
        <f t="shared" si="18"/>
        <v>0</v>
      </c>
      <c r="C215" s="40">
        <f t="shared" si="19"/>
        <v>0</v>
      </c>
      <c r="D215" s="40">
        <f t="shared" ref="D215:D217" si="26">B215-C215</f>
        <v>0</v>
      </c>
      <c r="E215" s="40">
        <f t="shared" si="21"/>
        <v>0</v>
      </c>
      <c r="F215" s="40"/>
      <c r="G215" s="41">
        <f t="shared" si="22"/>
        <v>0</v>
      </c>
      <c r="H215" s="35"/>
      <c r="I215" s="42">
        <f t="shared" si="24"/>
        <v>0</v>
      </c>
      <c r="J215" s="43"/>
    </row>
    <row r="216" spans="1:10" x14ac:dyDescent="0.25">
      <c r="A216" s="38">
        <f t="shared" si="23"/>
        <v>181</v>
      </c>
      <c r="B216" s="39">
        <f t="shared" si="18"/>
        <v>0</v>
      </c>
      <c r="C216" s="40">
        <f t="shared" si="19"/>
        <v>0</v>
      </c>
      <c r="D216" s="40">
        <f t="shared" si="26"/>
        <v>0</v>
      </c>
      <c r="E216" s="40">
        <f t="shared" si="21"/>
        <v>0</v>
      </c>
      <c r="F216" s="40"/>
      <c r="G216" s="41">
        <f t="shared" si="22"/>
        <v>0</v>
      </c>
      <c r="I216" s="42">
        <f t="shared" si="24"/>
        <v>0</v>
      </c>
    </row>
    <row r="217" spans="1:10" x14ac:dyDescent="0.25">
      <c r="A217" s="38">
        <f t="shared" si="23"/>
        <v>182</v>
      </c>
      <c r="B217" s="39">
        <f t="shared" si="18"/>
        <v>0</v>
      </c>
      <c r="C217" s="40">
        <f t="shared" si="19"/>
        <v>0</v>
      </c>
      <c r="D217" s="40">
        <f t="shared" si="26"/>
        <v>0</v>
      </c>
      <c r="E217" s="40">
        <f t="shared" si="21"/>
        <v>0</v>
      </c>
      <c r="F217" s="40"/>
      <c r="G217" s="41">
        <f t="shared" si="22"/>
        <v>0</v>
      </c>
      <c r="I217" s="42">
        <f t="shared" si="24"/>
        <v>0</v>
      </c>
    </row>
    <row r="218" spans="1:10" x14ac:dyDescent="0.25">
      <c r="A218" s="38">
        <f t="shared" si="23"/>
        <v>183</v>
      </c>
      <c r="B218" s="39">
        <f t="shared" si="18"/>
        <v>0</v>
      </c>
      <c r="C218" s="40">
        <f t="shared" si="19"/>
        <v>0</v>
      </c>
      <c r="D218" s="40">
        <f t="shared" ref="D218:D281" si="27">B218-C218</f>
        <v>0</v>
      </c>
      <c r="E218" s="40">
        <f t="shared" si="21"/>
        <v>0</v>
      </c>
      <c r="F218" s="40"/>
      <c r="G218" s="41">
        <f t="shared" si="22"/>
        <v>0</v>
      </c>
      <c r="I218" s="42">
        <f t="shared" si="24"/>
        <v>0</v>
      </c>
    </row>
    <row r="219" spans="1:10" x14ac:dyDescent="0.25">
      <c r="A219" s="38">
        <f t="shared" si="23"/>
        <v>184</v>
      </c>
      <c r="B219" s="39">
        <f t="shared" si="18"/>
        <v>0</v>
      </c>
      <c r="C219" s="40">
        <f t="shared" si="19"/>
        <v>0</v>
      </c>
      <c r="D219" s="40">
        <f t="shared" si="27"/>
        <v>0</v>
      </c>
      <c r="E219" s="40">
        <f t="shared" si="21"/>
        <v>0</v>
      </c>
      <c r="F219" s="40"/>
      <c r="G219" s="41">
        <f t="shared" si="22"/>
        <v>0</v>
      </c>
      <c r="I219" s="42">
        <f t="shared" si="24"/>
        <v>0</v>
      </c>
    </row>
    <row r="220" spans="1:10" x14ac:dyDescent="0.25">
      <c r="A220" s="38">
        <f t="shared" si="23"/>
        <v>185</v>
      </c>
      <c r="B220" s="39">
        <f t="shared" si="18"/>
        <v>0</v>
      </c>
      <c r="C220" s="40">
        <f t="shared" si="19"/>
        <v>0</v>
      </c>
      <c r="D220" s="40">
        <f t="shared" si="27"/>
        <v>0</v>
      </c>
      <c r="E220" s="40">
        <f t="shared" si="21"/>
        <v>0</v>
      </c>
      <c r="F220" s="40"/>
      <c r="G220" s="41">
        <f t="shared" si="22"/>
        <v>0</v>
      </c>
      <c r="I220" s="42">
        <f t="shared" si="24"/>
        <v>0</v>
      </c>
    </row>
    <row r="221" spans="1:10" x14ac:dyDescent="0.25">
      <c r="A221" s="38">
        <f t="shared" si="23"/>
        <v>186</v>
      </c>
      <c r="B221" s="39">
        <f t="shared" si="18"/>
        <v>0</v>
      </c>
      <c r="C221" s="40">
        <f t="shared" si="19"/>
        <v>0</v>
      </c>
      <c r="D221" s="40">
        <f t="shared" si="27"/>
        <v>0</v>
      </c>
      <c r="E221" s="40">
        <f t="shared" si="21"/>
        <v>0</v>
      </c>
      <c r="F221" s="40"/>
      <c r="G221" s="41">
        <f t="shared" si="22"/>
        <v>0</v>
      </c>
      <c r="I221" s="42">
        <f t="shared" si="24"/>
        <v>0</v>
      </c>
    </row>
    <row r="222" spans="1:10" x14ac:dyDescent="0.25">
      <c r="A222" s="38">
        <f t="shared" si="23"/>
        <v>187</v>
      </c>
      <c r="B222" s="39">
        <f t="shared" si="18"/>
        <v>0</v>
      </c>
      <c r="C222" s="40">
        <f t="shared" si="19"/>
        <v>0</v>
      </c>
      <c r="D222" s="40">
        <f t="shared" si="27"/>
        <v>0</v>
      </c>
      <c r="E222" s="40">
        <f t="shared" si="21"/>
        <v>0</v>
      </c>
      <c r="F222" s="40"/>
      <c r="G222" s="41">
        <f t="shared" si="22"/>
        <v>0</v>
      </c>
      <c r="I222" s="42">
        <f t="shared" si="24"/>
        <v>0</v>
      </c>
    </row>
    <row r="223" spans="1:10" x14ac:dyDescent="0.25">
      <c r="A223" s="38">
        <f t="shared" si="23"/>
        <v>188</v>
      </c>
      <c r="B223" s="39">
        <f t="shared" si="18"/>
        <v>0</v>
      </c>
      <c r="C223" s="40">
        <f t="shared" si="19"/>
        <v>0</v>
      </c>
      <c r="D223" s="40">
        <f t="shared" si="27"/>
        <v>0</v>
      </c>
      <c r="E223" s="40">
        <f t="shared" si="21"/>
        <v>0</v>
      </c>
      <c r="F223" s="40"/>
      <c r="G223" s="41">
        <f t="shared" si="22"/>
        <v>0</v>
      </c>
      <c r="I223" s="42">
        <f t="shared" si="24"/>
        <v>0</v>
      </c>
    </row>
    <row r="224" spans="1:10" x14ac:dyDescent="0.25">
      <c r="A224" s="38">
        <f t="shared" si="23"/>
        <v>189</v>
      </c>
      <c r="B224" s="39">
        <f t="shared" si="18"/>
        <v>0</v>
      </c>
      <c r="C224" s="40">
        <f t="shared" si="19"/>
        <v>0</v>
      </c>
      <c r="D224" s="40">
        <f t="shared" si="27"/>
        <v>0</v>
      </c>
      <c r="E224" s="40">
        <f t="shared" si="21"/>
        <v>0</v>
      </c>
      <c r="F224" s="40"/>
      <c r="G224" s="41">
        <f t="shared" si="22"/>
        <v>0</v>
      </c>
      <c r="I224" s="42">
        <f t="shared" si="24"/>
        <v>0</v>
      </c>
    </row>
    <row r="225" spans="1:9" x14ac:dyDescent="0.25">
      <c r="A225" s="38">
        <f t="shared" si="23"/>
        <v>190</v>
      </c>
      <c r="B225" s="39">
        <f t="shared" si="18"/>
        <v>0</v>
      </c>
      <c r="C225" s="40">
        <f t="shared" si="19"/>
        <v>0</v>
      </c>
      <c r="D225" s="40">
        <f t="shared" si="27"/>
        <v>0</v>
      </c>
      <c r="E225" s="40">
        <f t="shared" si="21"/>
        <v>0</v>
      </c>
      <c r="F225" s="40"/>
      <c r="G225" s="41">
        <f t="shared" si="22"/>
        <v>0</v>
      </c>
      <c r="I225" s="42">
        <f t="shared" si="24"/>
        <v>0</v>
      </c>
    </row>
    <row r="226" spans="1:9" x14ac:dyDescent="0.25">
      <c r="A226" s="38">
        <f t="shared" si="23"/>
        <v>191</v>
      </c>
      <c r="B226" s="39">
        <f t="shared" si="18"/>
        <v>0</v>
      </c>
      <c r="C226" s="40">
        <f t="shared" si="19"/>
        <v>0</v>
      </c>
      <c r="D226" s="40">
        <f t="shared" si="27"/>
        <v>0</v>
      </c>
      <c r="E226" s="40">
        <f t="shared" si="21"/>
        <v>0</v>
      </c>
      <c r="F226" s="40"/>
      <c r="G226" s="41">
        <f t="shared" si="22"/>
        <v>0</v>
      </c>
      <c r="I226" s="42">
        <f t="shared" si="24"/>
        <v>0</v>
      </c>
    </row>
    <row r="227" spans="1:9" x14ac:dyDescent="0.25">
      <c r="A227" s="38">
        <f t="shared" si="23"/>
        <v>192</v>
      </c>
      <c r="B227" s="39">
        <f t="shared" ref="B227:B290" si="28">Camort($B$22,$B$24,$B$26,$B$25,A227,$B$28,1)</f>
        <v>0</v>
      </c>
      <c r="C227" s="40">
        <f t="shared" ref="C227:C290" si="29">Camort($B$22,$B$24,$B$26,$B$25,A227,$B$28,2)</f>
        <v>0</v>
      </c>
      <c r="D227" s="40">
        <f t="shared" si="27"/>
        <v>0</v>
      </c>
      <c r="E227" s="40">
        <f t="shared" ref="E227:E290" si="30">Camort($B$22,$B$24,$B$26,$B$25,A227,$B$28,3)</f>
        <v>0</v>
      </c>
      <c r="F227" s="40"/>
      <c r="G227" s="41">
        <f t="shared" si="22"/>
        <v>0</v>
      </c>
      <c r="I227" s="42">
        <f t="shared" si="24"/>
        <v>0</v>
      </c>
    </row>
    <row r="228" spans="1:9" x14ac:dyDescent="0.25">
      <c r="A228" s="38">
        <f t="shared" si="23"/>
        <v>193</v>
      </c>
      <c r="B228" s="39">
        <f t="shared" si="28"/>
        <v>0</v>
      </c>
      <c r="C228" s="40">
        <f t="shared" si="29"/>
        <v>0</v>
      </c>
      <c r="D228" s="40">
        <f t="shared" si="27"/>
        <v>0</v>
      </c>
      <c r="E228" s="40">
        <f t="shared" si="30"/>
        <v>0</v>
      </c>
      <c r="F228" s="40"/>
      <c r="G228" s="41">
        <f t="shared" ref="G228:G291" si="31">IF(A228&lt;=$B$26,$C$17,0)+IF(AND(A228&lt;=$B$26,MOD(A228,$B$5)=0),$B$4,0)+IF(A228=$B$26,$B$3,0)</f>
        <v>0</v>
      </c>
      <c r="I228" s="42">
        <f t="shared" si="24"/>
        <v>0</v>
      </c>
    </row>
    <row r="229" spans="1:9" x14ac:dyDescent="0.25">
      <c r="A229" s="38">
        <f t="shared" ref="A229:A292" si="32">A228+1</f>
        <v>194</v>
      </c>
      <c r="B229" s="39">
        <f t="shared" si="28"/>
        <v>0</v>
      </c>
      <c r="C229" s="40">
        <f t="shared" si="29"/>
        <v>0</v>
      </c>
      <c r="D229" s="40">
        <f t="shared" si="27"/>
        <v>0</v>
      </c>
      <c r="E229" s="40">
        <f t="shared" si="30"/>
        <v>0</v>
      </c>
      <c r="F229" s="40"/>
      <c r="G229" s="41">
        <f t="shared" si="31"/>
        <v>0</v>
      </c>
      <c r="I229" s="42">
        <f t="shared" ref="I229:I292" si="33">B229-F229+G229</f>
        <v>0</v>
      </c>
    </row>
    <row r="230" spans="1:9" x14ac:dyDescent="0.25">
      <c r="A230" s="38">
        <f t="shared" si="32"/>
        <v>195</v>
      </c>
      <c r="B230" s="39">
        <f t="shared" si="28"/>
        <v>0</v>
      </c>
      <c r="C230" s="40">
        <f t="shared" si="29"/>
        <v>0</v>
      </c>
      <c r="D230" s="40">
        <f t="shared" si="27"/>
        <v>0</v>
      </c>
      <c r="E230" s="40">
        <f t="shared" si="30"/>
        <v>0</v>
      </c>
      <c r="F230" s="40"/>
      <c r="G230" s="41">
        <f t="shared" si="31"/>
        <v>0</v>
      </c>
      <c r="I230" s="42">
        <f t="shared" si="33"/>
        <v>0</v>
      </c>
    </row>
    <row r="231" spans="1:9" x14ac:dyDescent="0.25">
      <c r="A231" s="38">
        <f t="shared" si="32"/>
        <v>196</v>
      </c>
      <c r="B231" s="39">
        <f t="shared" si="28"/>
        <v>0</v>
      </c>
      <c r="C231" s="40">
        <f t="shared" si="29"/>
        <v>0</v>
      </c>
      <c r="D231" s="40">
        <f t="shared" si="27"/>
        <v>0</v>
      </c>
      <c r="E231" s="40">
        <f t="shared" si="30"/>
        <v>0</v>
      </c>
      <c r="F231" s="40"/>
      <c r="G231" s="41">
        <f t="shared" si="31"/>
        <v>0</v>
      </c>
      <c r="I231" s="42">
        <f t="shared" si="33"/>
        <v>0</v>
      </c>
    </row>
    <row r="232" spans="1:9" x14ac:dyDescent="0.25">
      <c r="A232" s="38">
        <f t="shared" si="32"/>
        <v>197</v>
      </c>
      <c r="B232" s="39">
        <f t="shared" si="28"/>
        <v>0</v>
      </c>
      <c r="C232" s="40">
        <f t="shared" si="29"/>
        <v>0</v>
      </c>
      <c r="D232" s="40">
        <f t="shared" si="27"/>
        <v>0</v>
      </c>
      <c r="E232" s="40">
        <f t="shared" si="30"/>
        <v>0</v>
      </c>
      <c r="F232" s="40"/>
      <c r="G232" s="41">
        <f t="shared" si="31"/>
        <v>0</v>
      </c>
      <c r="I232" s="42">
        <f t="shared" si="33"/>
        <v>0</v>
      </c>
    </row>
    <row r="233" spans="1:9" x14ac:dyDescent="0.25">
      <c r="A233" s="38">
        <f t="shared" si="32"/>
        <v>198</v>
      </c>
      <c r="B233" s="39">
        <f t="shared" si="28"/>
        <v>0</v>
      </c>
      <c r="C233" s="40">
        <f t="shared" si="29"/>
        <v>0</v>
      </c>
      <c r="D233" s="40">
        <f t="shared" si="27"/>
        <v>0</v>
      </c>
      <c r="E233" s="40">
        <f t="shared" si="30"/>
        <v>0</v>
      </c>
      <c r="F233" s="40"/>
      <c r="G233" s="41">
        <f t="shared" si="31"/>
        <v>0</v>
      </c>
      <c r="I233" s="42">
        <f t="shared" si="33"/>
        <v>0</v>
      </c>
    </row>
    <row r="234" spans="1:9" x14ac:dyDescent="0.25">
      <c r="A234" s="38">
        <f t="shared" si="32"/>
        <v>199</v>
      </c>
      <c r="B234" s="39">
        <f t="shared" si="28"/>
        <v>0</v>
      </c>
      <c r="C234" s="40">
        <f t="shared" si="29"/>
        <v>0</v>
      </c>
      <c r="D234" s="40">
        <f t="shared" si="27"/>
        <v>0</v>
      </c>
      <c r="E234" s="40">
        <f t="shared" si="30"/>
        <v>0</v>
      </c>
      <c r="F234" s="40"/>
      <c r="G234" s="41">
        <f t="shared" si="31"/>
        <v>0</v>
      </c>
      <c r="I234" s="42">
        <f t="shared" si="33"/>
        <v>0</v>
      </c>
    </row>
    <row r="235" spans="1:9" x14ac:dyDescent="0.25">
      <c r="A235" s="38">
        <f t="shared" si="32"/>
        <v>200</v>
      </c>
      <c r="B235" s="39">
        <f t="shared" si="28"/>
        <v>0</v>
      </c>
      <c r="C235" s="40">
        <f t="shared" si="29"/>
        <v>0</v>
      </c>
      <c r="D235" s="40">
        <f t="shared" si="27"/>
        <v>0</v>
      </c>
      <c r="E235" s="40">
        <f t="shared" si="30"/>
        <v>0</v>
      </c>
      <c r="F235" s="40"/>
      <c r="G235" s="41">
        <f t="shared" si="31"/>
        <v>0</v>
      </c>
      <c r="I235" s="42">
        <f t="shared" si="33"/>
        <v>0</v>
      </c>
    </row>
    <row r="236" spans="1:9" x14ac:dyDescent="0.25">
      <c r="A236" s="38">
        <f t="shared" si="32"/>
        <v>201</v>
      </c>
      <c r="B236" s="39">
        <f t="shared" si="28"/>
        <v>0</v>
      </c>
      <c r="C236" s="40">
        <f t="shared" si="29"/>
        <v>0</v>
      </c>
      <c r="D236" s="40">
        <f t="shared" si="27"/>
        <v>0</v>
      </c>
      <c r="E236" s="40">
        <f t="shared" si="30"/>
        <v>0</v>
      </c>
      <c r="F236" s="40"/>
      <c r="G236" s="41">
        <f t="shared" si="31"/>
        <v>0</v>
      </c>
      <c r="I236" s="42">
        <f t="shared" si="33"/>
        <v>0</v>
      </c>
    </row>
    <row r="237" spans="1:9" x14ac:dyDescent="0.25">
      <c r="A237" s="38">
        <f t="shared" si="32"/>
        <v>202</v>
      </c>
      <c r="B237" s="39">
        <f t="shared" si="28"/>
        <v>0</v>
      </c>
      <c r="C237" s="40">
        <f t="shared" si="29"/>
        <v>0</v>
      </c>
      <c r="D237" s="40">
        <f t="shared" si="27"/>
        <v>0</v>
      </c>
      <c r="E237" s="40">
        <f t="shared" si="30"/>
        <v>0</v>
      </c>
      <c r="F237" s="40"/>
      <c r="G237" s="41">
        <f t="shared" si="31"/>
        <v>0</v>
      </c>
      <c r="I237" s="42">
        <f t="shared" si="33"/>
        <v>0</v>
      </c>
    </row>
    <row r="238" spans="1:9" x14ac:dyDescent="0.25">
      <c r="A238" s="38">
        <f t="shared" si="32"/>
        <v>203</v>
      </c>
      <c r="B238" s="39">
        <f t="shared" si="28"/>
        <v>0</v>
      </c>
      <c r="C238" s="40">
        <f t="shared" si="29"/>
        <v>0</v>
      </c>
      <c r="D238" s="40">
        <f t="shared" si="27"/>
        <v>0</v>
      </c>
      <c r="E238" s="40">
        <f t="shared" si="30"/>
        <v>0</v>
      </c>
      <c r="F238" s="40"/>
      <c r="G238" s="41">
        <f t="shared" si="31"/>
        <v>0</v>
      </c>
      <c r="I238" s="42">
        <f t="shared" si="33"/>
        <v>0</v>
      </c>
    </row>
    <row r="239" spans="1:9" x14ac:dyDescent="0.25">
      <c r="A239" s="38">
        <f t="shared" si="32"/>
        <v>204</v>
      </c>
      <c r="B239" s="39">
        <f t="shared" si="28"/>
        <v>0</v>
      </c>
      <c r="C239" s="40">
        <f t="shared" si="29"/>
        <v>0</v>
      </c>
      <c r="D239" s="40">
        <f t="shared" si="27"/>
        <v>0</v>
      </c>
      <c r="E239" s="40">
        <f t="shared" si="30"/>
        <v>0</v>
      </c>
      <c r="F239" s="40"/>
      <c r="G239" s="41">
        <f t="shared" si="31"/>
        <v>0</v>
      </c>
      <c r="I239" s="42">
        <f t="shared" si="33"/>
        <v>0</v>
      </c>
    </row>
    <row r="240" spans="1:9" x14ac:dyDescent="0.25">
      <c r="A240" s="38">
        <f t="shared" si="32"/>
        <v>205</v>
      </c>
      <c r="B240" s="39">
        <f t="shared" si="28"/>
        <v>0</v>
      </c>
      <c r="C240" s="40">
        <f t="shared" si="29"/>
        <v>0</v>
      </c>
      <c r="D240" s="40">
        <f t="shared" si="27"/>
        <v>0</v>
      </c>
      <c r="E240" s="40">
        <f t="shared" si="30"/>
        <v>0</v>
      </c>
      <c r="F240" s="40"/>
      <c r="G240" s="41">
        <f t="shared" si="31"/>
        <v>0</v>
      </c>
      <c r="I240" s="42">
        <f t="shared" si="33"/>
        <v>0</v>
      </c>
    </row>
    <row r="241" spans="1:9" x14ac:dyDescent="0.25">
      <c r="A241" s="38">
        <f t="shared" si="32"/>
        <v>206</v>
      </c>
      <c r="B241" s="39">
        <f t="shared" si="28"/>
        <v>0</v>
      </c>
      <c r="C241" s="40">
        <f t="shared" si="29"/>
        <v>0</v>
      </c>
      <c r="D241" s="40">
        <f t="shared" si="27"/>
        <v>0</v>
      </c>
      <c r="E241" s="40">
        <f t="shared" si="30"/>
        <v>0</v>
      </c>
      <c r="F241" s="40"/>
      <c r="G241" s="41">
        <f t="shared" si="31"/>
        <v>0</v>
      </c>
      <c r="I241" s="42">
        <f t="shared" si="33"/>
        <v>0</v>
      </c>
    </row>
    <row r="242" spans="1:9" x14ac:dyDescent="0.25">
      <c r="A242" s="38">
        <f t="shared" si="32"/>
        <v>207</v>
      </c>
      <c r="B242" s="39">
        <f t="shared" si="28"/>
        <v>0</v>
      </c>
      <c r="C242" s="40">
        <f t="shared" si="29"/>
        <v>0</v>
      </c>
      <c r="D242" s="40">
        <f t="shared" si="27"/>
        <v>0</v>
      </c>
      <c r="E242" s="40">
        <f t="shared" si="30"/>
        <v>0</v>
      </c>
      <c r="F242" s="40"/>
      <c r="G242" s="41">
        <f t="shared" si="31"/>
        <v>0</v>
      </c>
      <c r="I242" s="42">
        <f t="shared" si="33"/>
        <v>0</v>
      </c>
    </row>
    <row r="243" spans="1:9" x14ac:dyDescent="0.25">
      <c r="A243" s="38">
        <f t="shared" si="32"/>
        <v>208</v>
      </c>
      <c r="B243" s="39">
        <f t="shared" si="28"/>
        <v>0</v>
      </c>
      <c r="C243" s="40">
        <f t="shared" si="29"/>
        <v>0</v>
      </c>
      <c r="D243" s="40">
        <f t="shared" si="27"/>
        <v>0</v>
      </c>
      <c r="E243" s="40">
        <f t="shared" si="30"/>
        <v>0</v>
      </c>
      <c r="F243" s="40"/>
      <c r="G243" s="41">
        <f t="shared" si="31"/>
        <v>0</v>
      </c>
      <c r="I243" s="42">
        <f t="shared" si="33"/>
        <v>0</v>
      </c>
    </row>
    <row r="244" spans="1:9" x14ac:dyDescent="0.25">
      <c r="A244" s="38">
        <f t="shared" si="32"/>
        <v>209</v>
      </c>
      <c r="B244" s="39">
        <f t="shared" si="28"/>
        <v>0</v>
      </c>
      <c r="C244" s="40">
        <f t="shared" si="29"/>
        <v>0</v>
      </c>
      <c r="D244" s="40">
        <f t="shared" si="27"/>
        <v>0</v>
      </c>
      <c r="E244" s="40">
        <f t="shared" si="30"/>
        <v>0</v>
      </c>
      <c r="F244" s="40"/>
      <c r="G244" s="41">
        <f t="shared" si="31"/>
        <v>0</v>
      </c>
      <c r="I244" s="42">
        <f t="shared" si="33"/>
        <v>0</v>
      </c>
    </row>
    <row r="245" spans="1:9" x14ac:dyDescent="0.25">
      <c r="A245" s="38">
        <f t="shared" si="32"/>
        <v>210</v>
      </c>
      <c r="B245" s="39">
        <f t="shared" si="28"/>
        <v>0</v>
      </c>
      <c r="C245" s="40">
        <f t="shared" si="29"/>
        <v>0</v>
      </c>
      <c r="D245" s="40">
        <f t="shared" si="27"/>
        <v>0</v>
      </c>
      <c r="E245" s="40">
        <f t="shared" si="30"/>
        <v>0</v>
      </c>
      <c r="F245" s="40"/>
      <c r="G245" s="41">
        <f t="shared" si="31"/>
        <v>0</v>
      </c>
      <c r="I245" s="42">
        <f t="shared" si="33"/>
        <v>0</v>
      </c>
    </row>
    <row r="246" spans="1:9" x14ac:dyDescent="0.25">
      <c r="A246" s="38">
        <f t="shared" si="32"/>
        <v>211</v>
      </c>
      <c r="B246" s="39">
        <f t="shared" si="28"/>
        <v>0</v>
      </c>
      <c r="C246" s="40">
        <f t="shared" si="29"/>
        <v>0</v>
      </c>
      <c r="D246" s="40">
        <f t="shared" si="27"/>
        <v>0</v>
      </c>
      <c r="E246" s="40">
        <f t="shared" si="30"/>
        <v>0</v>
      </c>
      <c r="F246" s="40"/>
      <c r="G246" s="41">
        <f t="shared" si="31"/>
        <v>0</v>
      </c>
      <c r="I246" s="42">
        <f t="shared" si="33"/>
        <v>0</v>
      </c>
    </row>
    <row r="247" spans="1:9" x14ac:dyDescent="0.25">
      <c r="A247" s="38">
        <f t="shared" si="32"/>
        <v>212</v>
      </c>
      <c r="B247" s="39">
        <f t="shared" si="28"/>
        <v>0</v>
      </c>
      <c r="C247" s="40">
        <f t="shared" si="29"/>
        <v>0</v>
      </c>
      <c r="D247" s="40">
        <f t="shared" si="27"/>
        <v>0</v>
      </c>
      <c r="E247" s="40">
        <f t="shared" si="30"/>
        <v>0</v>
      </c>
      <c r="F247" s="40"/>
      <c r="G247" s="41">
        <f t="shared" si="31"/>
        <v>0</v>
      </c>
      <c r="I247" s="42">
        <f t="shared" si="33"/>
        <v>0</v>
      </c>
    </row>
    <row r="248" spans="1:9" x14ac:dyDescent="0.25">
      <c r="A248" s="38">
        <f t="shared" si="32"/>
        <v>213</v>
      </c>
      <c r="B248" s="39">
        <f t="shared" si="28"/>
        <v>0</v>
      </c>
      <c r="C248" s="40">
        <f t="shared" si="29"/>
        <v>0</v>
      </c>
      <c r="D248" s="40">
        <f t="shared" si="27"/>
        <v>0</v>
      </c>
      <c r="E248" s="40">
        <f t="shared" si="30"/>
        <v>0</v>
      </c>
      <c r="F248" s="40"/>
      <c r="G248" s="41">
        <f t="shared" si="31"/>
        <v>0</v>
      </c>
      <c r="I248" s="42">
        <f t="shared" si="33"/>
        <v>0</v>
      </c>
    </row>
    <row r="249" spans="1:9" x14ac:dyDescent="0.25">
      <c r="A249" s="38">
        <f t="shared" si="32"/>
        <v>214</v>
      </c>
      <c r="B249" s="39">
        <f t="shared" si="28"/>
        <v>0</v>
      </c>
      <c r="C249" s="40">
        <f t="shared" si="29"/>
        <v>0</v>
      </c>
      <c r="D249" s="40">
        <f t="shared" si="27"/>
        <v>0</v>
      </c>
      <c r="E249" s="40">
        <f t="shared" si="30"/>
        <v>0</v>
      </c>
      <c r="F249" s="40"/>
      <c r="G249" s="41">
        <f t="shared" si="31"/>
        <v>0</v>
      </c>
      <c r="I249" s="42">
        <f t="shared" si="33"/>
        <v>0</v>
      </c>
    </row>
    <row r="250" spans="1:9" x14ac:dyDescent="0.25">
      <c r="A250" s="38">
        <f t="shared" si="32"/>
        <v>215</v>
      </c>
      <c r="B250" s="39">
        <f t="shared" si="28"/>
        <v>0</v>
      </c>
      <c r="C250" s="40">
        <f t="shared" si="29"/>
        <v>0</v>
      </c>
      <c r="D250" s="40">
        <f t="shared" si="27"/>
        <v>0</v>
      </c>
      <c r="E250" s="40">
        <f t="shared" si="30"/>
        <v>0</v>
      </c>
      <c r="F250" s="40"/>
      <c r="G250" s="41">
        <f t="shared" si="31"/>
        <v>0</v>
      </c>
      <c r="I250" s="42">
        <f t="shared" si="33"/>
        <v>0</v>
      </c>
    </row>
    <row r="251" spans="1:9" x14ac:dyDescent="0.25">
      <c r="A251" s="38">
        <f t="shared" si="32"/>
        <v>216</v>
      </c>
      <c r="B251" s="39">
        <f t="shared" si="28"/>
        <v>0</v>
      </c>
      <c r="C251" s="40">
        <f t="shared" si="29"/>
        <v>0</v>
      </c>
      <c r="D251" s="40">
        <f t="shared" si="27"/>
        <v>0</v>
      </c>
      <c r="E251" s="40">
        <f t="shared" si="30"/>
        <v>0</v>
      </c>
      <c r="F251" s="40"/>
      <c r="G251" s="41">
        <f t="shared" si="31"/>
        <v>0</v>
      </c>
      <c r="I251" s="42">
        <f t="shared" si="33"/>
        <v>0</v>
      </c>
    </row>
    <row r="252" spans="1:9" x14ac:dyDescent="0.25">
      <c r="A252" s="38">
        <f t="shared" si="32"/>
        <v>217</v>
      </c>
      <c r="B252" s="39">
        <f t="shared" si="28"/>
        <v>0</v>
      </c>
      <c r="C252" s="40">
        <f t="shared" si="29"/>
        <v>0</v>
      </c>
      <c r="D252" s="40">
        <f t="shared" si="27"/>
        <v>0</v>
      </c>
      <c r="E252" s="40">
        <f t="shared" si="30"/>
        <v>0</v>
      </c>
      <c r="F252" s="40"/>
      <c r="G252" s="41">
        <f t="shared" si="31"/>
        <v>0</v>
      </c>
      <c r="I252" s="42">
        <f t="shared" si="33"/>
        <v>0</v>
      </c>
    </row>
    <row r="253" spans="1:9" x14ac:dyDescent="0.25">
      <c r="A253" s="38">
        <f t="shared" si="32"/>
        <v>218</v>
      </c>
      <c r="B253" s="39">
        <f t="shared" si="28"/>
        <v>0</v>
      </c>
      <c r="C253" s="40">
        <f t="shared" si="29"/>
        <v>0</v>
      </c>
      <c r="D253" s="40">
        <f t="shared" si="27"/>
        <v>0</v>
      </c>
      <c r="E253" s="40">
        <f t="shared" si="30"/>
        <v>0</v>
      </c>
      <c r="F253" s="40"/>
      <c r="G253" s="41">
        <f t="shared" si="31"/>
        <v>0</v>
      </c>
      <c r="I253" s="42">
        <f t="shared" si="33"/>
        <v>0</v>
      </c>
    </row>
    <row r="254" spans="1:9" x14ac:dyDescent="0.25">
      <c r="A254" s="38">
        <f t="shared" si="32"/>
        <v>219</v>
      </c>
      <c r="B254" s="39">
        <f t="shared" si="28"/>
        <v>0</v>
      </c>
      <c r="C254" s="40">
        <f t="shared" si="29"/>
        <v>0</v>
      </c>
      <c r="D254" s="40">
        <f t="shared" si="27"/>
        <v>0</v>
      </c>
      <c r="E254" s="40">
        <f t="shared" si="30"/>
        <v>0</v>
      </c>
      <c r="F254" s="40"/>
      <c r="G254" s="41">
        <f t="shared" si="31"/>
        <v>0</v>
      </c>
      <c r="I254" s="42">
        <f t="shared" si="33"/>
        <v>0</v>
      </c>
    </row>
    <row r="255" spans="1:9" x14ac:dyDescent="0.25">
      <c r="A255" s="38">
        <f t="shared" si="32"/>
        <v>220</v>
      </c>
      <c r="B255" s="39">
        <f t="shared" si="28"/>
        <v>0</v>
      </c>
      <c r="C255" s="40">
        <f t="shared" si="29"/>
        <v>0</v>
      </c>
      <c r="D255" s="40">
        <f t="shared" si="27"/>
        <v>0</v>
      </c>
      <c r="E255" s="40">
        <f t="shared" si="30"/>
        <v>0</v>
      </c>
      <c r="F255" s="40"/>
      <c r="G255" s="41">
        <f t="shared" si="31"/>
        <v>0</v>
      </c>
      <c r="I255" s="42">
        <f t="shared" si="33"/>
        <v>0</v>
      </c>
    </row>
    <row r="256" spans="1:9" x14ac:dyDescent="0.25">
      <c r="A256" s="38">
        <f t="shared" si="32"/>
        <v>221</v>
      </c>
      <c r="B256" s="39">
        <f t="shared" si="28"/>
        <v>0</v>
      </c>
      <c r="C256" s="40">
        <f t="shared" si="29"/>
        <v>0</v>
      </c>
      <c r="D256" s="40">
        <f t="shared" si="27"/>
        <v>0</v>
      </c>
      <c r="E256" s="40">
        <f t="shared" si="30"/>
        <v>0</v>
      </c>
      <c r="F256" s="40"/>
      <c r="G256" s="41">
        <f t="shared" si="31"/>
        <v>0</v>
      </c>
      <c r="I256" s="42">
        <f t="shared" si="33"/>
        <v>0</v>
      </c>
    </row>
    <row r="257" spans="1:9" x14ac:dyDescent="0.25">
      <c r="A257" s="38">
        <f t="shared" si="32"/>
        <v>222</v>
      </c>
      <c r="B257" s="39">
        <f t="shared" si="28"/>
        <v>0</v>
      </c>
      <c r="C257" s="40">
        <f t="shared" si="29"/>
        <v>0</v>
      </c>
      <c r="D257" s="40">
        <f t="shared" si="27"/>
        <v>0</v>
      </c>
      <c r="E257" s="40">
        <f t="shared" si="30"/>
        <v>0</v>
      </c>
      <c r="F257" s="40"/>
      <c r="G257" s="41">
        <f t="shared" si="31"/>
        <v>0</v>
      </c>
      <c r="I257" s="42">
        <f t="shared" si="33"/>
        <v>0</v>
      </c>
    </row>
    <row r="258" spans="1:9" x14ac:dyDescent="0.25">
      <c r="A258" s="38">
        <f t="shared" si="32"/>
        <v>223</v>
      </c>
      <c r="B258" s="39">
        <f t="shared" si="28"/>
        <v>0</v>
      </c>
      <c r="C258" s="40">
        <f t="shared" si="29"/>
        <v>0</v>
      </c>
      <c r="D258" s="40">
        <f t="shared" si="27"/>
        <v>0</v>
      </c>
      <c r="E258" s="40">
        <f t="shared" si="30"/>
        <v>0</v>
      </c>
      <c r="F258" s="40"/>
      <c r="G258" s="41">
        <f t="shared" si="31"/>
        <v>0</v>
      </c>
      <c r="I258" s="42">
        <f t="shared" si="33"/>
        <v>0</v>
      </c>
    </row>
    <row r="259" spans="1:9" x14ac:dyDescent="0.25">
      <c r="A259" s="38">
        <f t="shared" si="32"/>
        <v>224</v>
      </c>
      <c r="B259" s="39">
        <f t="shared" si="28"/>
        <v>0</v>
      </c>
      <c r="C259" s="40">
        <f t="shared" si="29"/>
        <v>0</v>
      </c>
      <c r="D259" s="40">
        <f t="shared" si="27"/>
        <v>0</v>
      </c>
      <c r="E259" s="40">
        <f t="shared" si="30"/>
        <v>0</v>
      </c>
      <c r="F259" s="40"/>
      <c r="G259" s="41">
        <f t="shared" si="31"/>
        <v>0</v>
      </c>
      <c r="I259" s="42">
        <f t="shared" si="33"/>
        <v>0</v>
      </c>
    </row>
    <row r="260" spans="1:9" x14ac:dyDescent="0.25">
      <c r="A260" s="38">
        <f t="shared" si="32"/>
        <v>225</v>
      </c>
      <c r="B260" s="39">
        <f t="shared" si="28"/>
        <v>0</v>
      </c>
      <c r="C260" s="40">
        <f t="shared" si="29"/>
        <v>0</v>
      </c>
      <c r="D260" s="40">
        <f t="shared" si="27"/>
        <v>0</v>
      </c>
      <c r="E260" s="40">
        <f t="shared" si="30"/>
        <v>0</v>
      </c>
      <c r="F260" s="40"/>
      <c r="G260" s="41">
        <f t="shared" si="31"/>
        <v>0</v>
      </c>
      <c r="I260" s="42">
        <f t="shared" si="33"/>
        <v>0</v>
      </c>
    </row>
    <row r="261" spans="1:9" x14ac:dyDescent="0.25">
      <c r="A261" s="38">
        <f t="shared" si="32"/>
        <v>226</v>
      </c>
      <c r="B261" s="39">
        <f t="shared" si="28"/>
        <v>0</v>
      </c>
      <c r="C261" s="40">
        <f t="shared" si="29"/>
        <v>0</v>
      </c>
      <c r="D261" s="40">
        <f t="shared" si="27"/>
        <v>0</v>
      </c>
      <c r="E261" s="40">
        <f t="shared" si="30"/>
        <v>0</v>
      </c>
      <c r="F261" s="40"/>
      <c r="G261" s="41">
        <f t="shared" si="31"/>
        <v>0</v>
      </c>
      <c r="I261" s="42">
        <f t="shared" si="33"/>
        <v>0</v>
      </c>
    </row>
    <row r="262" spans="1:9" x14ac:dyDescent="0.25">
      <c r="A262" s="38">
        <f t="shared" si="32"/>
        <v>227</v>
      </c>
      <c r="B262" s="39">
        <f t="shared" si="28"/>
        <v>0</v>
      </c>
      <c r="C262" s="40">
        <f t="shared" si="29"/>
        <v>0</v>
      </c>
      <c r="D262" s="40">
        <f t="shared" si="27"/>
        <v>0</v>
      </c>
      <c r="E262" s="40">
        <f t="shared" si="30"/>
        <v>0</v>
      </c>
      <c r="F262" s="40"/>
      <c r="G262" s="41">
        <f t="shared" si="31"/>
        <v>0</v>
      </c>
      <c r="I262" s="42">
        <f t="shared" si="33"/>
        <v>0</v>
      </c>
    </row>
    <row r="263" spans="1:9" x14ac:dyDescent="0.25">
      <c r="A263" s="38">
        <f t="shared" si="32"/>
        <v>228</v>
      </c>
      <c r="B263" s="39">
        <f t="shared" si="28"/>
        <v>0</v>
      </c>
      <c r="C263" s="40">
        <f t="shared" si="29"/>
        <v>0</v>
      </c>
      <c r="D263" s="40">
        <f t="shared" si="27"/>
        <v>0</v>
      </c>
      <c r="E263" s="40">
        <f t="shared" si="30"/>
        <v>0</v>
      </c>
      <c r="F263" s="40"/>
      <c r="G263" s="41">
        <f t="shared" si="31"/>
        <v>0</v>
      </c>
      <c r="I263" s="42">
        <f t="shared" si="33"/>
        <v>0</v>
      </c>
    </row>
    <row r="264" spans="1:9" x14ac:dyDescent="0.25">
      <c r="A264" s="38">
        <f t="shared" si="32"/>
        <v>229</v>
      </c>
      <c r="B264" s="39">
        <f t="shared" si="28"/>
        <v>0</v>
      </c>
      <c r="C264" s="40">
        <f t="shared" si="29"/>
        <v>0</v>
      </c>
      <c r="D264" s="40">
        <f t="shared" si="27"/>
        <v>0</v>
      </c>
      <c r="E264" s="40">
        <f t="shared" si="30"/>
        <v>0</v>
      </c>
      <c r="F264" s="40"/>
      <c r="G264" s="41">
        <f t="shared" si="31"/>
        <v>0</v>
      </c>
      <c r="I264" s="42">
        <f t="shared" si="33"/>
        <v>0</v>
      </c>
    </row>
    <row r="265" spans="1:9" x14ac:dyDescent="0.25">
      <c r="A265" s="38">
        <f t="shared" si="32"/>
        <v>230</v>
      </c>
      <c r="B265" s="39">
        <f t="shared" si="28"/>
        <v>0</v>
      </c>
      <c r="C265" s="40">
        <f t="shared" si="29"/>
        <v>0</v>
      </c>
      <c r="D265" s="40">
        <f t="shared" si="27"/>
        <v>0</v>
      </c>
      <c r="E265" s="40">
        <f t="shared" si="30"/>
        <v>0</v>
      </c>
      <c r="F265" s="40"/>
      <c r="G265" s="41">
        <f t="shared" si="31"/>
        <v>0</v>
      </c>
      <c r="I265" s="42">
        <f t="shared" si="33"/>
        <v>0</v>
      </c>
    </row>
    <row r="266" spans="1:9" x14ac:dyDescent="0.25">
      <c r="A266" s="38">
        <f t="shared" si="32"/>
        <v>231</v>
      </c>
      <c r="B266" s="39">
        <f t="shared" si="28"/>
        <v>0</v>
      </c>
      <c r="C266" s="40">
        <f t="shared" si="29"/>
        <v>0</v>
      </c>
      <c r="D266" s="40">
        <f t="shared" si="27"/>
        <v>0</v>
      </c>
      <c r="E266" s="40">
        <f t="shared" si="30"/>
        <v>0</v>
      </c>
      <c r="F266" s="40"/>
      <c r="G266" s="41">
        <f t="shared" si="31"/>
        <v>0</v>
      </c>
      <c r="I266" s="42">
        <f t="shared" si="33"/>
        <v>0</v>
      </c>
    </row>
    <row r="267" spans="1:9" x14ac:dyDescent="0.25">
      <c r="A267" s="38">
        <f t="shared" si="32"/>
        <v>232</v>
      </c>
      <c r="B267" s="39">
        <f t="shared" si="28"/>
        <v>0</v>
      </c>
      <c r="C267" s="40">
        <f t="shared" si="29"/>
        <v>0</v>
      </c>
      <c r="D267" s="40">
        <f t="shared" si="27"/>
        <v>0</v>
      </c>
      <c r="E267" s="40">
        <f t="shared" si="30"/>
        <v>0</v>
      </c>
      <c r="F267" s="40"/>
      <c r="G267" s="41">
        <f t="shared" si="31"/>
        <v>0</v>
      </c>
      <c r="I267" s="42">
        <f t="shared" si="33"/>
        <v>0</v>
      </c>
    </row>
    <row r="268" spans="1:9" x14ac:dyDescent="0.25">
      <c r="A268" s="38">
        <f t="shared" si="32"/>
        <v>233</v>
      </c>
      <c r="B268" s="39">
        <f t="shared" si="28"/>
        <v>0</v>
      </c>
      <c r="C268" s="40">
        <f t="shared" si="29"/>
        <v>0</v>
      </c>
      <c r="D268" s="40">
        <f t="shared" si="27"/>
        <v>0</v>
      </c>
      <c r="E268" s="40">
        <f t="shared" si="30"/>
        <v>0</v>
      </c>
      <c r="F268" s="40"/>
      <c r="G268" s="41">
        <f t="shared" si="31"/>
        <v>0</v>
      </c>
      <c r="I268" s="42">
        <f t="shared" si="33"/>
        <v>0</v>
      </c>
    </row>
    <row r="269" spans="1:9" x14ac:dyDescent="0.25">
      <c r="A269" s="38">
        <f t="shared" si="32"/>
        <v>234</v>
      </c>
      <c r="B269" s="39">
        <f t="shared" si="28"/>
        <v>0</v>
      </c>
      <c r="C269" s="40">
        <f t="shared" si="29"/>
        <v>0</v>
      </c>
      <c r="D269" s="40">
        <f t="shared" si="27"/>
        <v>0</v>
      </c>
      <c r="E269" s="40">
        <f t="shared" si="30"/>
        <v>0</v>
      </c>
      <c r="F269" s="40"/>
      <c r="G269" s="41">
        <f t="shared" si="31"/>
        <v>0</v>
      </c>
      <c r="I269" s="42">
        <f t="shared" si="33"/>
        <v>0</v>
      </c>
    </row>
    <row r="270" spans="1:9" x14ac:dyDescent="0.25">
      <c r="A270" s="38">
        <f t="shared" si="32"/>
        <v>235</v>
      </c>
      <c r="B270" s="39">
        <f t="shared" si="28"/>
        <v>0</v>
      </c>
      <c r="C270" s="40">
        <f t="shared" si="29"/>
        <v>0</v>
      </c>
      <c r="D270" s="40">
        <f t="shared" si="27"/>
        <v>0</v>
      </c>
      <c r="E270" s="40">
        <f t="shared" si="30"/>
        <v>0</v>
      </c>
      <c r="F270" s="40"/>
      <c r="G270" s="41">
        <f t="shared" si="31"/>
        <v>0</v>
      </c>
      <c r="I270" s="42">
        <f t="shared" si="33"/>
        <v>0</v>
      </c>
    </row>
    <row r="271" spans="1:9" x14ac:dyDescent="0.25">
      <c r="A271" s="38">
        <f t="shared" si="32"/>
        <v>236</v>
      </c>
      <c r="B271" s="39">
        <f t="shared" si="28"/>
        <v>0</v>
      </c>
      <c r="C271" s="40">
        <f t="shared" si="29"/>
        <v>0</v>
      </c>
      <c r="D271" s="40">
        <f t="shared" si="27"/>
        <v>0</v>
      </c>
      <c r="E271" s="40">
        <f t="shared" si="30"/>
        <v>0</v>
      </c>
      <c r="F271" s="40"/>
      <c r="G271" s="41">
        <f t="shared" si="31"/>
        <v>0</v>
      </c>
      <c r="I271" s="42">
        <f t="shared" si="33"/>
        <v>0</v>
      </c>
    </row>
    <row r="272" spans="1:9" x14ac:dyDescent="0.25">
      <c r="A272" s="38">
        <f t="shared" si="32"/>
        <v>237</v>
      </c>
      <c r="B272" s="39">
        <f t="shared" si="28"/>
        <v>0</v>
      </c>
      <c r="C272" s="40">
        <f t="shared" si="29"/>
        <v>0</v>
      </c>
      <c r="D272" s="40">
        <f t="shared" si="27"/>
        <v>0</v>
      </c>
      <c r="E272" s="40">
        <f t="shared" si="30"/>
        <v>0</v>
      </c>
      <c r="F272" s="40"/>
      <c r="G272" s="41">
        <f t="shared" si="31"/>
        <v>0</v>
      </c>
      <c r="I272" s="42">
        <f t="shared" si="33"/>
        <v>0</v>
      </c>
    </row>
    <row r="273" spans="1:9" x14ac:dyDescent="0.25">
      <c r="A273" s="38">
        <f t="shared" si="32"/>
        <v>238</v>
      </c>
      <c r="B273" s="39">
        <f t="shared" si="28"/>
        <v>0</v>
      </c>
      <c r="C273" s="40">
        <f t="shared" si="29"/>
        <v>0</v>
      </c>
      <c r="D273" s="40">
        <f t="shared" si="27"/>
        <v>0</v>
      </c>
      <c r="E273" s="40">
        <f t="shared" si="30"/>
        <v>0</v>
      </c>
      <c r="F273" s="40"/>
      <c r="G273" s="41">
        <f t="shared" si="31"/>
        <v>0</v>
      </c>
      <c r="I273" s="42">
        <f t="shared" si="33"/>
        <v>0</v>
      </c>
    </row>
    <row r="274" spans="1:9" x14ac:dyDescent="0.25">
      <c r="A274" s="38">
        <f t="shared" si="32"/>
        <v>239</v>
      </c>
      <c r="B274" s="39">
        <f t="shared" si="28"/>
        <v>0</v>
      </c>
      <c r="C274" s="40">
        <f t="shared" si="29"/>
        <v>0</v>
      </c>
      <c r="D274" s="40">
        <f t="shared" si="27"/>
        <v>0</v>
      </c>
      <c r="E274" s="40">
        <f t="shared" si="30"/>
        <v>0</v>
      </c>
      <c r="F274" s="40"/>
      <c r="G274" s="41">
        <f t="shared" si="31"/>
        <v>0</v>
      </c>
      <c r="I274" s="42">
        <f t="shared" si="33"/>
        <v>0</v>
      </c>
    </row>
    <row r="275" spans="1:9" x14ac:dyDescent="0.25">
      <c r="A275" s="38">
        <f t="shared" si="32"/>
        <v>240</v>
      </c>
      <c r="B275" s="39">
        <f t="shared" si="28"/>
        <v>0</v>
      </c>
      <c r="C275" s="40">
        <f t="shared" si="29"/>
        <v>0</v>
      </c>
      <c r="D275" s="40">
        <f t="shared" si="27"/>
        <v>0</v>
      </c>
      <c r="E275" s="40">
        <f t="shared" si="30"/>
        <v>0</v>
      </c>
      <c r="F275" s="40"/>
      <c r="G275" s="41">
        <f t="shared" si="31"/>
        <v>0</v>
      </c>
      <c r="I275" s="42">
        <f t="shared" si="33"/>
        <v>0</v>
      </c>
    </row>
    <row r="276" spans="1:9" x14ac:dyDescent="0.25">
      <c r="A276" s="38">
        <f t="shared" si="32"/>
        <v>241</v>
      </c>
      <c r="B276" s="39">
        <f t="shared" si="28"/>
        <v>0</v>
      </c>
      <c r="C276" s="40">
        <f t="shared" si="29"/>
        <v>0</v>
      </c>
      <c r="D276" s="40">
        <f t="shared" si="27"/>
        <v>0</v>
      </c>
      <c r="E276" s="40">
        <f t="shared" si="30"/>
        <v>0</v>
      </c>
      <c r="F276" s="40"/>
      <c r="G276" s="41">
        <f t="shared" si="31"/>
        <v>0</v>
      </c>
      <c r="I276" s="42">
        <f t="shared" si="33"/>
        <v>0</v>
      </c>
    </row>
    <row r="277" spans="1:9" x14ac:dyDescent="0.25">
      <c r="A277" s="38">
        <f t="shared" si="32"/>
        <v>242</v>
      </c>
      <c r="B277" s="39">
        <f t="shared" si="28"/>
        <v>0</v>
      </c>
      <c r="C277" s="40">
        <f t="shared" si="29"/>
        <v>0</v>
      </c>
      <c r="D277" s="40">
        <f t="shared" si="27"/>
        <v>0</v>
      </c>
      <c r="E277" s="40">
        <f t="shared" si="30"/>
        <v>0</v>
      </c>
      <c r="F277" s="40"/>
      <c r="G277" s="41">
        <f t="shared" si="31"/>
        <v>0</v>
      </c>
      <c r="I277" s="42">
        <f t="shared" si="33"/>
        <v>0</v>
      </c>
    </row>
    <row r="278" spans="1:9" x14ac:dyDescent="0.25">
      <c r="A278" s="38">
        <f t="shared" si="32"/>
        <v>243</v>
      </c>
      <c r="B278" s="39">
        <f t="shared" si="28"/>
        <v>0</v>
      </c>
      <c r="C278" s="40">
        <f t="shared" si="29"/>
        <v>0</v>
      </c>
      <c r="D278" s="40">
        <f t="shared" si="27"/>
        <v>0</v>
      </c>
      <c r="E278" s="40">
        <f t="shared" si="30"/>
        <v>0</v>
      </c>
      <c r="F278" s="40"/>
      <c r="G278" s="41">
        <f t="shared" si="31"/>
        <v>0</v>
      </c>
      <c r="I278" s="42">
        <f t="shared" si="33"/>
        <v>0</v>
      </c>
    </row>
    <row r="279" spans="1:9" x14ac:dyDescent="0.25">
      <c r="A279" s="38">
        <f t="shared" si="32"/>
        <v>244</v>
      </c>
      <c r="B279" s="39">
        <f t="shared" si="28"/>
        <v>0</v>
      </c>
      <c r="C279" s="40">
        <f t="shared" si="29"/>
        <v>0</v>
      </c>
      <c r="D279" s="40">
        <f t="shared" si="27"/>
        <v>0</v>
      </c>
      <c r="E279" s="40">
        <f t="shared" si="30"/>
        <v>0</v>
      </c>
      <c r="F279" s="40"/>
      <c r="G279" s="41">
        <f t="shared" si="31"/>
        <v>0</v>
      </c>
      <c r="I279" s="42">
        <f t="shared" si="33"/>
        <v>0</v>
      </c>
    </row>
    <row r="280" spans="1:9" x14ac:dyDescent="0.25">
      <c r="A280" s="38">
        <f t="shared" si="32"/>
        <v>245</v>
      </c>
      <c r="B280" s="39">
        <f t="shared" si="28"/>
        <v>0</v>
      </c>
      <c r="C280" s="40">
        <f t="shared" si="29"/>
        <v>0</v>
      </c>
      <c r="D280" s="40">
        <f t="shared" si="27"/>
        <v>0</v>
      </c>
      <c r="E280" s="40">
        <f t="shared" si="30"/>
        <v>0</v>
      </c>
      <c r="F280" s="40"/>
      <c r="G280" s="41">
        <f t="shared" si="31"/>
        <v>0</v>
      </c>
      <c r="I280" s="42">
        <f t="shared" si="33"/>
        <v>0</v>
      </c>
    </row>
    <row r="281" spans="1:9" x14ac:dyDescent="0.25">
      <c r="A281" s="38">
        <f t="shared" si="32"/>
        <v>246</v>
      </c>
      <c r="B281" s="39">
        <f t="shared" si="28"/>
        <v>0</v>
      </c>
      <c r="C281" s="40">
        <f t="shared" si="29"/>
        <v>0</v>
      </c>
      <c r="D281" s="40">
        <f t="shared" si="27"/>
        <v>0</v>
      </c>
      <c r="E281" s="40">
        <f t="shared" si="30"/>
        <v>0</v>
      </c>
      <c r="F281" s="40"/>
      <c r="G281" s="41">
        <f t="shared" si="31"/>
        <v>0</v>
      </c>
      <c r="I281" s="42">
        <f t="shared" si="33"/>
        <v>0</v>
      </c>
    </row>
    <row r="282" spans="1:9" x14ac:dyDescent="0.25">
      <c r="A282" s="38">
        <f t="shared" si="32"/>
        <v>247</v>
      </c>
      <c r="B282" s="39">
        <f t="shared" si="28"/>
        <v>0</v>
      </c>
      <c r="C282" s="40">
        <f t="shared" si="29"/>
        <v>0</v>
      </c>
      <c r="D282" s="40">
        <f t="shared" ref="D282:D345" si="34">B282-C282</f>
        <v>0</v>
      </c>
      <c r="E282" s="40">
        <f t="shared" si="30"/>
        <v>0</v>
      </c>
      <c r="F282" s="40"/>
      <c r="G282" s="41">
        <f t="shared" si="31"/>
        <v>0</v>
      </c>
      <c r="I282" s="42">
        <f t="shared" si="33"/>
        <v>0</v>
      </c>
    </row>
    <row r="283" spans="1:9" x14ac:dyDescent="0.25">
      <c r="A283" s="38">
        <f t="shared" si="32"/>
        <v>248</v>
      </c>
      <c r="B283" s="39">
        <f t="shared" si="28"/>
        <v>0</v>
      </c>
      <c r="C283" s="40">
        <f t="shared" si="29"/>
        <v>0</v>
      </c>
      <c r="D283" s="40">
        <f t="shared" si="34"/>
        <v>0</v>
      </c>
      <c r="E283" s="40">
        <f t="shared" si="30"/>
        <v>0</v>
      </c>
      <c r="F283" s="40"/>
      <c r="G283" s="41">
        <f t="shared" si="31"/>
        <v>0</v>
      </c>
      <c r="I283" s="42">
        <f t="shared" si="33"/>
        <v>0</v>
      </c>
    </row>
    <row r="284" spans="1:9" x14ac:dyDescent="0.25">
      <c r="A284" s="38">
        <f t="shared" si="32"/>
        <v>249</v>
      </c>
      <c r="B284" s="39">
        <f t="shared" si="28"/>
        <v>0</v>
      </c>
      <c r="C284" s="40">
        <f t="shared" si="29"/>
        <v>0</v>
      </c>
      <c r="D284" s="40">
        <f t="shared" si="34"/>
        <v>0</v>
      </c>
      <c r="E284" s="40">
        <f t="shared" si="30"/>
        <v>0</v>
      </c>
      <c r="F284" s="40"/>
      <c r="G284" s="41">
        <f t="shared" si="31"/>
        <v>0</v>
      </c>
      <c r="I284" s="42">
        <f t="shared" si="33"/>
        <v>0</v>
      </c>
    </row>
    <row r="285" spans="1:9" x14ac:dyDescent="0.25">
      <c r="A285" s="38">
        <f t="shared" si="32"/>
        <v>250</v>
      </c>
      <c r="B285" s="39">
        <f t="shared" si="28"/>
        <v>0</v>
      </c>
      <c r="C285" s="40">
        <f t="shared" si="29"/>
        <v>0</v>
      </c>
      <c r="D285" s="40">
        <f t="shared" si="34"/>
        <v>0</v>
      </c>
      <c r="E285" s="40">
        <f t="shared" si="30"/>
        <v>0</v>
      </c>
      <c r="F285" s="40"/>
      <c r="G285" s="41">
        <f t="shared" si="31"/>
        <v>0</v>
      </c>
      <c r="I285" s="42">
        <f t="shared" si="33"/>
        <v>0</v>
      </c>
    </row>
    <row r="286" spans="1:9" x14ac:dyDescent="0.25">
      <c r="A286" s="38">
        <f t="shared" si="32"/>
        <v>251</v>
      </c>
      <c r="B286" s="39">
        <f t="shared" si="28"/>
        <v>0</v>
      </c>
      <c r="C286" s="40">
        <f t="shared" si="29"/>
        <v>0</v>
      </c>
      <c r="D286" s="40">
        <f t="shared" si="34"/>
        <v>0</v>
      </c>
      <c r="E286" s="40">
        <f t="shared" si="30"/>
        <v>0</v>
      </c>
      <c r="F286" s="40"/>
      <c r="G286" s="41">
        <f t="shared" si="31"/>
        <v>0</v>
      </c>
      <c r="I286" s="42">
        <f t="shared" si="33"/>
        <v>0</v>
      </c>
    </row>
    <row r="287" spans="1:9" x14ac:dyDescent="0.25">
      <c r="A287" s="38">
        <f t="shared" si="32"/>
        <v>252</v>
      </c>
      <c r="B287" s="39">
        <f t="shared" si="28"/>
        <v>0</v>
      </c>
      <c r="C287" s="40">
        <f t="shared" si="29"/>
        <v>0</v>
      </c>
      <c r="D287" s="40">
        <f t="shared" si="34"/>
        <v>0</v>
      </c>
      <c r="E287" s="40">
        <f t="shared" si="30"/>
        <v>0</v>
      </c>
      <c r="F287" s="40"/>
      <c r="G287" s="41">
        <f t="shared" si="31"/>
        <v>0</v>
      </c>
      <c r="I287" s="42">
        <f t="shared" si="33"/>
        <v>0</v>
      </c>
    </row>
    <row r="288" spans="1:9" x14ac:dyDescent="0.25">
      <c r="A288" s="38">
        <f t="shared" si="32"/>
        <v>253</v>
      </c>
      <c r="B288" s="39">
        <f t="shared" si="28"/>
        <v>0</v>
      </c>
      <c r="C288" s="40">
        <f t="shared" si="29"/>
        <v>0</v>
      </c>
      <c r="D288" s="40">
        <f t="shared" si="34"/>
        <v>0</v>
      </c>
      <c r="E288" s="40">
        <f t="shared" si="30"/>
        <v>0</v>
      </c>
      <c r="F288" s="40"/>
      <c r="G288" s="41">
        <f t="shared" si="31"/>
        <v>0</v>
      </c>
      <c r="I288" s="42">
        <f t="shared" si="33"/>
        <v>0</v>
      </c>
    </row>
    <row r="289" spans="1:9" x14ac:dyDescent="0.25">
      <c r="A289" s="38">
        <f t="shared" si="32"/>
        <v>254</v>
      </c>
      <c r="B289" s="39">
        <f t="shared" si="28"/>
        <v>0</v>
      </c>
      <c r="C289" s="40">
        <f t="shared" si="29"/>
        <v>0</v>
      </c>
      <c r="D289" s="40">
        <f t="shared" si="34"/>
        <v>0</v>
      </c>
      <c r="E289" s="40">
        <f t="shared" si="30"/>
        <v>0</v>
      </c>
      <c r="F289" s="40"/>
      <c r="G289" s="41">
        <f t="shared" si="31"/>
        <v>0</v>
      </c>
      <c r="I289" s="42">
        <f t="shared" si="33"/>
        <v>0</v>
      </c>
    </row>
    <row r="290" spans="1:9" x14ac:dyDescent="0.25">
      <c r="A290" s="38">
        <f t="shared" si="32"/>
        <v>255</v>
      </c>
      <c r="B290" s="39">
        <f t="shared" si="28"/>
        <v>0</v>
      </c>
      <c r="C290" s="40">
        <f t="shared" si="29"/>
        <v>0</v>
      </c>
      <c r="D290" s="40">
        <f t="shared" si="34"/>
        <v>0</v>
      </c>
      <c r="E290" s="40">
        <f t="shared" si="30"/>
        <v>0</v>
      </c>
      <c r="F290" s="40"/>
      <c r="G290" s="41">
        <f t="shared" si="31"/>
        <v>0</v>
      </c>
      <c r="I290" s="42">
        <f t="shared" si="33"/>
        <v>0</v>
      </c>
    </row>
    <row r="291" spans="1:9" x14ac:dyDescent="0.25">
      <c r="A291" s="38">
        <f t="shared" si="32"/>
        <v>256</v>
      </c>
      <c r="B291" s="39">
        <f t="shared" ref="B291:B354" si="35">Camort($B$22,$B$24,$B$26,$B$25,A291,$B$28,1)</f>
        <v>0</v>
      </c>
      <c r="C291" s="40">
        <f t="shared" ref="C291:C354" si="36">Camort($B$22,$B$24,$B$26,$B$25,A291,$B$28,2)</f>
        <v>0</v>
      </c>
      <c r="D291" s="40">
        <f t="shared" si="34"/>
        <v>0</v>
      </c>
      <c r="E291" s="40">
        <f t="shared" ref="E291:E354" si="37">Camort($B$22,$B$24,$B$26,$B$25,A291,$B$28,3)</f>
        <v>0</v>
      </c>
      <c r="F291" s="40"/>
      <c r="G291" s="41">
        <f t="shared" si="31"/>
        <v>0</v>
      </c>
      <c r="I291" s="42">
        <f t="shared" si="33"/>
        <v>0</v>
      </c>
    </row>
    <row r="292" spans="1:9" x14ac:dyDescent="0.25">
      <c r="A292" s="38">
        <f t="shared" si="32"/>
        <v>257</v>
      </c>
      <c r="B292" s="39">
        <f t="shared" si="35"/>
        <v>0</v>
      </c>
      <c r="C292" s="40">
        <f t="shared" si="36"/>
        <v>0</v>
      </c>
      <c r="D292" s="40">
        <f t="shared" si="34"/>
        <v>0</v>
      </c>
      <c r="E292" s="40">
        <f t="shared" si="37"/>
        <v>0</v>
      </c>
      <c r="F292" s="40"/>
      <c r="G292" s="41">
        <f t="shared" ref="G292:G355" si="38">IF(A292&lt;=$B$26,$C$17,0)+IF(AND(A292&lt;=$B$26,MOD(A292,$B$5)=0),$B$4,0)+IF(A292=$B$26,$B$3,0)</f>
        <v>0</v>
      </c>
      <c r="I292" s="42">
        <f t="shared" si="33"/>
        <v>0</v>
      </c>
    </row>
    <row r="293" spans="1:9" x14ac:dyDescent="0.25">
      <c r="A293" s="38">
        <f t="shared" ref="A293:A356" si="39">A292+1</f>
        <v>258</v>
      </c>
      <c r="B293" s="39">
        <f t="shared" si="35"/>
        <v>0</v>
      </c>
      <c r="C293" s="40">
        <f t="shared" si="36"/>
        <v>0</v>
      </c>
      <c r="D293" s="40">
        <f t="shared" si="34"/>
        <v>0</v>
      </c>
      <c r="E293" s="40">
        <f t="shared" si="37"/>
        <v>0</v>
      </c>
      <c r="F293" s="40"/>
      <c r="G293" s="41">
        <f t="shared" si="38"/>
        <v>0</v>
      </c>
      <c r="I293" s="42">
        <f t="shared" ref="I293:I356" si="40">B293-F293+G293</f>
        <v>0</v>
      </c>
    </row>
    <row r="294" spans="1:9" x14ac:dyDescent="0.25">
      <c r="A294" s="38">
        <f t="shared" si="39"/>
        <v>259</v>
      </c>
      <c r="B294" s="39">
        <f t="shared" si="35"/>
        <v>0</v>
      </c>
      <c r="C294" s="40">
        <f t="shared" si="36"/>
        <v>0</v>
      </c>
      <c r="D294" s="40">
        <f t="shared" si="34"/>
        <v>0</v>
      </c>
      <c r="E294" s="40">
        <f t="shared" si="37"/>
        <v>0</v>
      </c>
      <c r="F294" s="40"/>
      <c r="G294" s="41">
        <f t="shared" si="38"/>
        <v>0</v>
      </c>
      <c r="I294" s="42">
        <f t="shared" si="40"/>
        <v>0</v>
      </c>
    </row>
    <row r="295" spans="1:9" x14ac:dyDescent="0.25">
      <c r="A295" s="38">
        <f t="shared" si="39"/>
        <v>260</v>
      </c>
      <c r="B295" s="39">
        <f t="shared" si="35"/>
        <v>0</v>
      </c>
      <c r="C295" s="40">
        <f t="shared" si="36"/>
        <v>0</v>
      </c>
      <c r="D295" s="40">
        <f t="shared" si="34"/>
        <v>0</v>
      </c>
      <c r="E295" s="40">
        <f t="shared" si="37"/>
        <v>0</v>
      </c>
      <c r="F295" s="40"/>
      <c r="G295" s="41">
        <f t="shared" si="38"/>
        <v>0</v>
      </c>
      <c r="I295" s="42">
        <f t="shared" si="40"/>
        <v>0</v>
      </c>
    </row>
    <row r="296" spans="1:9" x14ac:dyDescent="0.25">
      <c r="A296" s="38">
        <f t="shared" si="39"/>
        <v>261</v>
      </c>
      <c r="B296" s="39">
        <f t="shared" si="35"/>
        <v>0</v>
      </c>
      <c r="C296" s="40">
        <f t="shared" si="36"/>
        <v>0</v>
      </c>
      <c r="D296" s="40">
        <f t="shared" si="34"/>
        <v>0</v>
      </c>
      <c r="E296" s="40">
        <f t="shared" si="37"/>
        <v>0</v>
      </c>
      <c r="F296" s="40"/>
      <c r="G296" s="41">
        <f t="shared" si="38"/>
        <v>0</v>
      </c>
      <c r="I296" s="42">
        <f t="shared" si="40"/>
        <v>0</v>
      </c>
    </row>
    <row r="297" spans="1:9" x14ac:dyDescent="0.25">
      <c r="A297" s="38">
        <f t="shared" si="39"/>
        <v>262</v>
      </c>
      <c r="B297" s="39">
        <f t="shared" si="35"/>
        <v>0</v>
      </c>
      <c r="C297" s="40">
        <f t="shared" si="36"/>
        <v>0</v>
      </c>
      <c r="D297" s="40">
        <f t="shared" si="34"/>
        <v>0</v>
      </c>
      <c r="E297" s="40">
        <f t="shared" si="37"/>
        <v>0</v>
      </c>
      <c r="F297" s="40"/>
      <c r="G297" s="41">
        <f t="shared" si="38"/>
        <v>0</v>
      </c>
      <c r="I297" s="42">
        <f t="shared" si="40"/>
        <v>0</v>
      </c>
    </row>
    <row r="298" spans="1:9" x14ac:dyDescent="0.25">
      <c r="A298" s="38">
        <f t="shared" si="39"/>
        <v>263</v>
      </c>
      <c r="B298" s="39">
        <f t="shared" si="35"/>
        <v>0</v>
      </c>
      <c r="C298" s="40">
        <f t="shared" si="36"/>
        <v>0</v>
      </c>
      <c r="D298" s="40">
        <f t="shared" si="34"/>
        <v>0</v>
      </c>
      <c r="E298" s="40">
        <f t="shared" si="37"/>
        <v>0</v>
      </c>
      <c r="F298" s="40"/>
      <c r="G298" s="41">
        <f t="shared" si="38"/>
        <v>0</v>
      </c>
      <c r="I298" s="42">
        <f t="shared" si="40"/>
        <v>0</v>
      </c>
    </row>
    <row r="299" spans="1:9" x14ac:dyDescent="0.25">
      <c r="A299" s="38">
        <f t="shared" si="39"/>
        <v>264</v>
      </c>
      <c r="B299" s="39">
        <f t="shared" si="35"/>
        <v>0</v>
      </c>
      <c r="C299" s="40">
        <f t="shared" si="36"/>
        <v>0</v>
      </c>
      <c r="D299" s="40">
        <f t="shared" si="34"/>
        <v>0</v>
      </c>
      <c r="E299" s="40">
        <f t="shared" si="37"/>
        <v>0</v>
      </c>
      <c r="F299" s="40"/>
      <c r="G299" s="41">
        <f t="shared" si="38"/>
        <v>0</v>
      </c>
      <c r="I299" s="42">
        <f t="shared" si="40"/>
        <v>0</v>
      </c>
    </row>
    <row r="300" spans="1:9" x14ac:dyDescent="0.25">
      <c r="A300" s="38">
        <f t="shared" si="39"/>
        <v>265</v>
      </c>
      <c r="B300" s="39">
        <f t="shared" si="35"/>
        <v>0</v>
      </c>
      <c r="C300" s="40">
        <f t="shared" si="36"/>
        <v>0</v>
      </c>
      <c r="D300" s="40">
        <f t="shared" si="34"/>
        <v>0</v>
      </c>
      <c r="E300" s="40">
        <f t="shared" si="37"/>
        <v>0</v>
      </c>
      <c r="F300" s="40"/>
      <c r="G300" s="41">
        <f t="shared" si="38"/>
        <v>0</v>
      </c>
      <c r="I300" s="42">
        <f t="shared" si="40"/>
        <v>0</v>
      </c>
    </row>
    <row r="301" spans="1:9" x14ac:dyDescent="0.25">
      <c r="A301" s="38">
        <f t="shared" si="39"/>
        <v>266</v>
      </c>
      <c r="B301" s="39">
        <f t="shared" si="35"/>
        <v>0</v>
      </c>
      <c r="C301" s="40">
        <f t="shared" si="36"/>
        <v>0</v>
      </c>
      <c r="D301" s="40">
        <f t="shared" si="34"/>
        <v>0</v>
      </c>
      <c r="E301" s="40">
        <f t="shared" si="37"/>
        <v>0</v>
      </c>
      <c r="F301" s="40"/>
      <c r="G301" s="41">
        <f t="shared" si="38"/>
        <v>0</v>
      </c>
      <c r="I301" s="42">
        <f t="shared" si="40"/>
        <v>0</v>
      </c>
    </row>
    <row r="302" spans="1:9" x14ac:dyDescent="0.25">
      <c r="A302" s="38">
        <f t="shared" si="39"/>
        <v>267</v>
      </c>
      <c r="B302" s="39">
        <f t="shared" si="35"/>
        <v>0</v>
      </c>
      <c r="C302" s="40">
        <f t="shared" si="36"/>
        <v>0</v>
      </c>
      <c r="D302" s="40">
        <f t="shared" si="34"/>
        <v>0</v>
      </c>
      <c r="E302" s="40">
        <f t="shared" si="37"/>
        <v>0</v>
      </c>
      <c r="F302" s="40"/>
      <c r="G302" s="41">
        <f t="shared" si="38"/>
        <v>0</v>
      </c>
      <c r="I302" s="42">
        <f t="shared" si="40"/>
        <v>0</v>
      </c>
    </row>
    <row r="303" spans="1:9" x14ac:dyDescent="0.25">
      <c r="A303" s="38">
        <f t="shared" si="39"/>
        <v>268</v>
      </c>
      <c r="B303" s="39">
        <f t="shared" si="35"/>
        <v>0</v>
      </c>
      <c r="C303" s="40">
        <f t="shared" si="36"/>
        <v>0</v>
      </c>
      <c r="D303" s="40">
        <f t="shared" si="34"/>
        <v>0</v>
      </c>
      <c r="E303" s="40">
        <f t="shared" si="37"/>
        <v>0</v>
      </c>
      <c r="F303" s="40"/>
      <c r="G303" s="41">
        <f t="shared" si="38"/>
        <v>0</v>
      </c>
      <c r="I303" s="42">
        <f t="shared" si="40"/>
        <v>0</v>
      </c>
    </row>
    <row r="304" spans="1:9" x14ac:dyDescent="0.25">
      <c r="A304" s="38">
        <f t="shared" si="39"/>
        <v>269</v>
      </c>
      <c r="B304" s="39">
        <f t="shared" si="35"/>
        <v>0</v>
      </c>
      <c r="C304" s="40">
        <f t="shared" si="36"/>
        <v>0</v>
      </c>
      <c r="D304" s="40">
        <f t="shared" si="34"/>
        <v>0</v>
      </c>
      <c r="E304" s="40">
        <f t="shared" si="37"/>
        <v>0</v>
      </c>
      <c r="F304" s="40"/>
      <c r="G304" s="41">
        <f t="shared" si="38"/>
        <v>0</v>
      </c>
      <c r="I304" s="42">
        <f t="shared" si="40"/>
        <v>0</v>
      </c>
    </row>
    <row r="305" spans="1:9" x14ac:dyDescent="0.25">
      <c r="A305" s="38">
        <f t="shared" si="39"/>
        <v>270</v>
      </c>
      <c r="B305" s="39">
        <f t="shared" si="35"/>
        <v>0</v>
      </c>
      <c r="C305" s="40">
        <f t="shared" si="36"/>
        <v>0</v>
      </c>
      <c r="D305" s="40">
        <f t="shared" si="34"/>
        <v>0</v>
      </c>
      <c r="E305" s="40">
        <f t="shared" si="37"/>
        <v>0</v>
      </c>
      <c r="F305" s="40"/>
      <c r="G305" s="41">
        <f t="shared" si="38"/>
        <v>0</v>
      </c>
      <c r="I305" s="42">
        <f t="shared" si="40"/>
        <v>0</v>
      </c>
    </row>
    <row r="306" spans="1:9" x14ac:dyDescent="0.25">
      <c r="A306" s="38">
        <f t="shared" si="39"/>
        <v>271</v>
      </c>
      <c r="B306" s="39">
        <f t="shared" si="35"/>
        <v>0</v>
      </c>
      <c r="C306" s="40">
        <f t="shared" si="36"/>
        <v>0</v>
      </c>
      <c r="D306" s="40">
        <f t="shared" si="34"/>
        <v>0</v>
      </c>
      <c r="E306" s="40">
        <f t="shared" si="37"/>
        <v>0</v>
      </c>
      <c r="F306" s="40"/>
      <c r="G306" s="41">
        <f t="shared" si="38"/>
        <v>0</v>
      </c>
      <c r="I306" s="42">
        <f t="shared" si="40"/>
        <v>0</v>
      </c>
    </row>
    <row r="307" spans="1:9" x14ac:dyDescent="0.25">
      <c r="A307" s="38">
        <f t="shared" si="39"/>
        <v>272</v>
      </c>
      <c r="B307" s="39">
        <f t="shared" si="35"/>
        <v>0</v>
      </c>
      <c r="C307" s="40">
        <f t="shared" si="36"/>
        <v>0</v>
      </c>
      <c r="D307" s="40">
        <f t="shared" si="34"/>
        <v>0</v>
      </c>
      <c r="E307" s="40">
        <f t="shared" si="37"/>
        <v>0</v>
      </c>
      <c r="F307" s="40"/>
      <c r="G307" s="41">
        <f t="shared" si="38"/>
        <v>0</v>
      </c>
      <c r="I307" s="42">
        <f t="shared" si="40"/>
        <v>0</v>
      </c>
    </row>
    <row r="308" spans="1:9" x14ac:dyDescent="0.25">
      <c r="A308" s="38">
        <f t="shared" si="39"/>
        <v>273</v>
      </c>
      <c r="B308" s="39">
        <f t="shared" si="35"/>
        <v>0</v>
      </c>
      <c r="C308" s="40">
        <f t="shared" si="36"/>
        <v>0</v>
      </c>
      <c r="D308" s="40">
        <f t="shared" si="34"/>
        <v>0</v>
      </c>
      <c r="E308" s="40">
        <f t="shared" si="37"/>
        <v>0</v>
      </c>
      <c r="F308" s="40"/>
      <c r="G308" s="41">
        <f t="shared" si="38"/>
        <v>0</v>
      </c>
      <c r="I308" s="42">
        <f t="shared" si="40"/>
        <v>0</v>
      </c>
    </row>
    <row r="309" spans="1:9" x14ac:dyDescent="0.25">
      <c r="A309" s="38">
        <f t="shared" si="39"/>
        <v>274</v>
      </c>
      <c r="B309" s="39">
        <f t="shared" si="35"/>
        <v>0</v>
      </c>
      <c r="C309" s="40">
        <f t="shared" si="36"/>
        <v>0</v>
      </c>
      <c r="D309" s="40">
        <f t="shared" si="34"/>
        <v>0</v>
      </c>
      <c r="E309" s="40">
        <f t="shared" si="37"/>
        <v>0</v>
      </c>
      <c r="F309" s="40"/>
      <c r="G309" s="41">
        <f t="shared" si="38"/>
        <v>0</v>
      </c>
      <c r="I309" s="42">
        <f t="shared" si="40"/>
        <v>0</v>
      </c>
    </row>
    <row r="310" spans="1:9" x14ac:dyDescent="0.25">
      <c r="A310" s="38">
        <f t="shared" si="39"/>
        <v>275</v>
      </c>
      <c r="B310" s="39">
        <f t="shared" si="35"/>
        <v>0</v>
      </c>
      <c r="C310" s="40">
        <f t="shared" si="36"/>
        <v>0</v>
      </c>
      <c r="D310" s="40">
        <f t="shared" si="34"/>
        <v>0</v>
      </c>
      <c r="E310" s="40">
        <f t="shared" si="37"/>
        <v>0</v>
      </c>
      <c r="F310" s="40"/>
      <c r="G310" s="41">
        <f t="shared" si="38"/>
        <v>0</v>
      </c>
      <c r="I310" s="42">
        <f t="shared" si="40"/>
        <v>0</v>
      </c>
    </row>
    <row r="311" spans="1:9" x14ac:dyDescent="0.25">
      <c r="A311" s="38">
        <f t="shared" si="39"/>
        <v>276</v>
      </c>
      <c r="B311" s="39">
        <f t="shared" si="35"/>
        <v>0</v>
      </c>
      <c r="C311" s="40">
        <f t="shared" si="36"/>
        <v>0</v>
      </c>
      <c r="D311" s="40">
        <f t="shared" si="34"/>
        <v>0</v>
      </c>
      <c r="E311" s="40">
        <f t="shared" si="37"/>
        <v>0</v>
      </c>
      <c r="F311" s="40"/>
      <c r="G311" s="41">
        <f t="shared" si="38"/>
        <v>0</v>
      </c>
      <c r="I311" s="42">
        <f t="shared" si="40"/>
        <v>0</v>
      </c>
    </row>
    <row r="312" spans="1:9" x14ac:dyDescent="0.25">
      <c r="A312" s="38">
        <f t="shared" si="39"/>
        <v>277</v>
      </c>
      <c r="B312" s="39">
        <f t="shared" si="35"/>
        <v>0</v>
      </c>
      <c r="C312" s="40">
        <f t="shared" si="36"/>
        <v>0</v>
      </c>
      <c r="D312" s="40">
        <f t="shared" si="34"/>
        <v>0</v>
      </c>
      <c r="E312" s="40">
        <f t="shared" si="37"/>
        <v>0</v>
      </c>
      <c r="F312" s="40"/>
      <c r="G312" s="41">
        <f t="shared" si="38"/>
        <v>0</v>
      </c>
      <c r="I312" s="42">
        <f t="shared" si="40"/>
        <v>0</v>
      </c>
    </row>
    <row r="313" spans="1:9" x14ac:dyDescent="0.25">
      <c r="A313" s="38">
        <f t="shared" si="39"/>
        <v>278</v>
      </c>
      <c r="B313" s="39">
        <f t="shared" si="35"/>
        <v>0</v>
      </c>
      <c r="C313" s="40">
        <f t="shared" si="36"/>
        <v>0</v>
      </c>
      <c r="D313" s="40">
        <f t="shared" si="34"/>
        <v>0</v>
      </c>
      <c r="E313" s="40">
        <f t="shared" si="37"/>
        <v>0</v>
      </c>
      <c r="F313" s="40"/>
      <c r="G313" s="41">
        <f t="shared" si="38"/>
        <v>0</v>
      </c>
      <c r="I313" s="42">
        <f t="shared" si="40"/>
        <v>0</v>
      </c>
    </row>
    <row r="314" spans="1:9" x14ac:dyDescent="0.25">
      <c r="A314" s="38">
        <f t="shared" si="39"/>
        <v>279</v>
      </c>
      <c r="B314" s="39">
        <f t="shared" si="35"/>
        <v>0</v>
      </c>
      <c r="C314" s="40">
        <f t="shared" si="36"/>
        <v>0</v>
      </c>
      <c r="D314" s="40">
        <f t="shared" si="34"/>
        <v>0</v>
      </c>
      <c r="E314" s="40">
        <f t="shared" si="37"/>
        <v>0</v>
      </c>
      <c r="F314" s="40"/>
      <c r="G314" s="41">
        <f t="shared" si="38"/>
        <v>0</v>
      </c>
      <c r="I314" s="42">
        <f t="shared" si="40"/>
        <v>0</v>
      </c>
    </row>
    <row r="315" spans="1:9" x14ac:dyDescent="0.25">
      <c r="A315" s="38">
        <f t="shared" si="39"/>
        <v>280</v>
      </c>
      <c r="B315" s="39">
        <f t="shared" si="35"/>
        <v>0</v>
      </c>
      <c r="C315" s="40">
        <f t="shared" si="36"/>
        <v>0</v>
      </c>
      <c r="D315" s="40">
        <f t="shared" si="34"/>
        <v>0</v>
      </c>
      <c r="E315" s="40">
        <f t="shared" si="37"/>
        <v>0</v>
      </c>
      <c r="F315" s="40"/>
      <c r="G315" s="41">
        <f t="shared" si="38"/>
        <v>0</v>
      </c>
      <c r="I315" s="42">
        <f t="shared" si="40"/>
        <v>0</v>
      </c>
    </row>
    <row r="316" spans="1:9" x14ac:dyDescent="0.25">
      <c r="A316" s="38">
        <f t="shared" si="39"/>
        <v>281</v>
      </c>
      <c r="B316" s="39">
        <f t="shared" si="35"/>
        <v>0</v>
      </c>
      <c r="C316" s="40">
        <f t="shared" si="36"/>
        <v>0</v>
      </c>
      <c r="D316" s="40">
        <f t="shared" si="34"/>
        <v>0</v>
      </c>
      <c r="E316" s="40">
        <f t="shared" si="37"/>
        <v>0</v>
      </c>
      <c r="F316" s="40"/>
      <c r="G316" s="41">
        <f t="shared" si="38"/>
        <v>0</v>
      </c>
      <c r="I316" s="42">
        <f t="shared" si="40"/>
        <v>0</v>
      </c>
    </row>
    <row r="317" spans="1:9" x14ac:dyDescent="0.25">
      <c r="A317" s="38">
        <f t="shared" si="39"/>
        <v>282</v>
      </c>
      <c r="B317" s="39">
        <f t="shared" si="35"/>
        <v>0</v>
      </c>
      <c r="C317" s="40">
        <f t="shared" si="36"/>
        <v>0</v>
      </c>
      <c r="D317" s="40">
        <f t="shared" si="34"/>
        <v>0</v>
      </c>
      <c r="E317" s="40">
        <f t="shared" si="37"/>
        <v>0</v>
      </c>
      <c r="F317" s="40"/>
      <c r="G317" s="41">
        <f t="shared" si="38"/>
        <v>0</v>
      </c>
      <c r="I317" s="42">
        <f t="shared" si="40"/>
        <v>0</v>
      </c>
    </row>
    <row r="318" spans="1:9" x14ac:dyDescent="0.25">
      <c r="A318" s="38">
        <f t="shared" si="39"/>
        <v>283</v>
      </c>
      <c r="B318" s="39">
        <f t="shared" si="35"/>
        <v>0</v>
      </c>
      <c r="C318" s="40">
        <f t="shared" si="36"/>
        <v>0</v>
      </c>
      <c r="D318" s="40">
        <f t="shared" si="34"/>
        <v>0</v>
      </c>
      <c r="E318" s="40">
        <f t="shared" si="37"/>
        <v>0</v>
      </c>
      <c r="F318" s="40"/>
      <c r="G318" s="41">
        <f t="shared" si="38"/>
        <v>0</v>
      </c>
      <c r="I318" s="42">
        <f t="shared" si="40"/>
        <v>0</v>
      </c>
    </row>
    <row r="319" spans="1:9" x14ac:dyDescent="0.25">
      <c r="A319" s="38">
        <f t="shared" si="39"/>
        <v>284</v>
      </c>
      <c r="B319" s="39">
        <f t="shared" si="35"/>
        <v>0</v>
      </c>
      <c r="C319" s="40">
        <f t="shared" si="36"/>
        <v>0</v>
      </c>
      <c r="D319" s="40">
        <f t="shared" si="34"/>
        <v>0</v>
      </c>
      <c r="E319" s="40">
        <f t="shared" si="37"/>
        <v>0</v>
      </c>
      <c r="F319" s="40"/>
      <c r="G319" s="41">
        <f t="shared" si="38"/>
        <v>0</v>
      </c>
      <c r="I319" s="42">
        <f t="shared" si="40"/>
        <v>0</v>
      </c>
    </row>
    <row r="320" spans="1:9" x14ac:dyDescent="0.25">
      <c r="A320" s="38">
        <f t="shared" si="39"/>
        <v>285</v>
      </c>
      <c r="B320" s="39">
        <f t="shared" si="35"/>
        <v>0</v>
      </c>
      <c r="C320" s="40">
        <f t="shared" si="36"/>
        <v>0</v>
      </c>
      <c r="D320" s="40">
        <f t="shared" si="34"/>
        <v>0</v>
      </c>
      <c r="E320" s="40">
        <f t="shared" si="37"/>
        <v>0</v>
      </c>
      <c r="F320" s="40"/>
      <c r="G320" s="41">
        <f t="shared" si="38"/>
        <v>0</v>
      </c>
      <c r="I320" s="42">
        <f t="shared" si="40"/>
        <v>0</v>
      </c>
    </row>
    <row r="321" spans="1:9" x14ac:dyDescent="0.25">
      <c r="A321" s="38">
        <f t="shared" si="39"/>
        <v>286</v>
      </c>
      <c r="B321" s="39">
        <f t="shared" si="35"/>
        <v>0</v>
      </c>
      <c r="C321" s="40">
        <f t="shared" si="36"/>
        <v>0</v>
      </c>
      <c r="D321" s="40">
        <f t="shared" si="34"/>
        <v>0</v>
      </c>
      <c r="E321" s="40">
        <f t="shared" si="37"/>
        <v>0</v>
      </c>
      <c r="F321" s="40"/>
      <c r="G321" s="41">
        <f t="shared" si="38"/>
        <v>0</v>
      </c>
      <c r="I321" s="42">
        <f t="shared" si="40"/>
        <v>0</v>
      </c>
    </row>
    <row r="322" spans="1:9" x14ac:dyDescent="0.25">
      <c r="A322" s="38">
        <f t="shared" si="39"/>
        <v>287</v>
      </c>
      <c r="B322" s="39">
        <f t="shared" si="35"/>
        <v>0</v>
      </c>
      <c r="C322" s="40">
        <f t="shared" si="36"/>
        <v>0</v>
      </c>
      <c r="D322" s="40">
        <f t="shared" si="34"/>
        <v>0</v>
      </c>
      <c r="E322" s="40">
        <f t="shared" si="37"/>
        <v>0</v>
      </c>
      <c r="F322" s="40"/>
      <c r="G322" s="41">
        <f t="shared" si="38"/>
        <v>0</v>
      </c>
      <c r="I322" s="42">
        <f t="shared" si="40"/>
        <v>0</v>
      </c>
    </row>
    <row r="323" spans="1:9" x14ac:dyDescent="0.25">
      <c r="A323" s="38">
        <f t="shared" si="39"/>
        <v>288</v>
      </c>
      <c r="B323" s="39">
        <f t="shared" si="35"/>
        <v>0</v>
      </c>
      <c r="C323" s="40">
        <f t="shared" si="36"/>
        <v>0</v>
      </c>
      <c r="D323" s="40">
        <f t="shared" si="34"/>
        <v>0</v>
      </c>
      <c r="E323" s="40">
        <f t="shared" si="37"/>
        <v>0</v>
      </c>
      <c r="F323" s="40"/>
      <c r="G323" s="41">
        <f t="shared" si="38"/>
        <v>0</v>
      </c>
      <c r="I323" s="42">
        <f t="shared" si="40"/>
        <v>0</v>
      </c>
    </row>
    <row r="324" spans="1:9" x14ac:dyDescent="0.25">
      <c r="A324" s="38">
        <f t="shared" si="39"/>
        <v>289</v>
      </c>
      <c r="B324" s="39">
        <f t="shared" si="35"/>
        <v>0</v>
      </c>
      <c r="C324" s="40">
        <f t="shared" si="36"/>
        <v>0</v>
      </c>
      <c r="D324" s="40">
        <f t="shared" si="34"/>
        <v>0</v>
      </c>
      <c r="E324" s="40">
        <f t="shared" si="37"/>
        <v>0</v>
      </c>
      <c r="F324" s="40"/>
      <c r="G324" s="41">
        <f t="shared" si="38"/>
        <v>0</v>
      </c>
      <c r="I324" s="42">
        <f t="shared" si="40"/>
        <v>0</v>
      </c>
    </row>
    <row r="325" spans="1:9" x14ac:dyDescent="0.25">
      <c r="A325" s="38">
        <f t="shared" si="39"/>
        <v>290</v>
      </c>
      <c r="B325" s="39">
        <f t="shared" si="35"/>
        <v>0</v>
      </c>
      <c r="C325" s="40">
        <f t="shared" si="36"/>
        <v>0</v>
      </c>
      <c r="D325" s="40">
        <f t="shared" si="34"/>
        <v>0</v>
      </c>
      <c r="E325" s="40">
        <f t="shared" si="37"/>
        <v>0</v>
      </c>
      <c r="F325" s="40"/>
      <c r="G325" s="41">
        <f t="shared" si="38"/>
        <v>0</v>
      </c>
      <c r="I325" s="42">
        <f t="shared" si="40"/>
        <v>0</v>
      </c>
    </row>
    <row r="326" spans="1:9" x14ac:dyDescent="0.25">
      <c r="A326" s="38">
        <f t="shared" si="39"/>
        <v>291</v>
      </c>
      <c r="B326" s="39">
        <f t="shared" si="35"/>
        <v>0</v>
      </c>
      <c r="C326" s="40">
        <f t="shared" si="36"/>
        <v>0</v>
      </c>
      <c r="D326" s="40">
        <f t="shared" si="34"/>
        <v>0</v>
      </c>
      <c r="E326" s="40">
        <f t="shared" si="37"/>
        <v>0</v>
      </c>
      <c r="F326" s="40"/>
      <c r="G326" s="41">
        <f t="shared" si="38"/>
        <v>0</v>
      </c>
      <c r="I326" s="42">
        <f t="shared" si="40"/>
        <v>0</v>
      </c>
    </row>
    <row r="327" spans="1:9" x14ac:dyDescent="0.25">
      <c r="A327" s="38">
        <f t="shared" si="39"/>
        <v>292</v>
      </c>
      <c r="B327" s="39">
        <f t="shared" si="35"/>
        <v>0</v>
      </c>
      <c r="C327" s="40">
        <f t="shared" si="36"/>
        <v>0</v>
      </c>
      <c r="D327" s="40">
        <f t="shared" si="34"/>
        <v>0</v>
      </c>
      <c r="E327" s="40">
        <f t="shared" si="37"/>
        <v>0</v>
      </c>
      <c r="F327" s="40"/>
      <c r="G327" s="41">
        <f t="shared" si="38"/>
        <v>0</v>
      </c>
      <c r="I327" s="42">
        <f t="shared" si="40"/>
        <v>0</v>
      </c>
    </row>
    <row r="328" spans="1:9" x14ac:dyDescent="0.25">
      <c r="A328" s="38">
        <f t="shared" si="39"/>
        <v>293</v>
      </c>
      <c r="B328" s="39">
        <f t="shared" si="35"/>
        <v>0</v>
      </c>
      <c r="C328" s="40">
        <f t="shared" si="36"/>
        <v>0</v>
      </c>
      <c r="D328" s="40">
        <f t="shared" si="34"/>
        <v>0</v>
      </c>
      <c r="E328" s="40">
        <f t="shared" si="37"/>
        <v>0</v>
      </c>
      <c r="F328" s="40"/>
      <c r="G328" s="41">
        <f t="shared" si="38"/>
        <v>0</v>
      </c>
      <c r="I328" s="42">
        <f t="shared" si="40"/>
        <v>0</v>
      </c>
    </row>
    <row r="329" spans="1:9" x14ac:dyDescent="0.25">
      <c r="A329" s="38">
        <f t="shared" si="39"/>
        <v>294</v>
      </c>
      <c r="B329" s="39">
        <f t="shared" si="35"/>
        <v>0</v>
      </c>
      <c r="C329" s="40">
        <f t="shared" si="36"/>
        <v>0</v>
      </c>
      <c r="D329" s="40">
        <f t="shared" si="34"/>
        <v>0</v>
      </c>
      <c r="E329" s="40">
        <f t="shared" si="37"/>
        <v>0</v>
      </c>
      <c r="F329" s="40"/>
      <c r="G329" s="41">
        <f t="shared" si="38"/>
        <v>0</v>
      </c>
      <c r="I329" s="42">
        <f t="shared" si="40"/>
        <v>0</v>
      </c>
    </row>
    <row r="330" spans="1:9" x14ac:dyDescent="0.25">
      <c r="A330" s="38">
        <f t="shared" si="39"/>
        <v>295</v>
      </c>
      <c r="B330" s="39">
        <f t="shared" si="35"/>
        <v>0</v>
      </c>
      <c r="C330" s="40">
        <f t="shared" si="36"/>
        <v>0</v>
      </c>
      <c r="D330" s="40">
        <f t="shared" si="34"/>
        <v>0</v>
      </c>
      <c r="E330" s="40">
        <f t="shared" si="37"/>
        <v>0</v>
      </c>
      <c r="F330" s="40"/>
      <c r="G330" s="41">
        <f t="shared" si="38"/>
        <v>0</v>
      </c>
      <c r="I330" s="42">
        <f t="shared" si="40"/>
        <v>0</v>
      </c>
    </row>
    <row r="331" spans="1:9" x14ac:dyDescent="0.25">
      <c r="A331" s="38">
        <f t="shared" si="39"/>
        <v>296</v>
      </c>
      <c r="B331" s="39">
        <f t="shared" si="35"/>
        <v>0</v>
      </c>
      <c r="C331" s="40">
        <f t="shared" si="36"/>
        <v>0</v>
      </c>
      <c r="D331" s="40">
        <f t="shared" si="34"/>
        <v>0</v>
      </c>
      <c r="E331" s="40">
        <f t="shared" si="37"/>
        <v>0</v>
      </c>
      <c r="F331" s="40"/>
      <c r="G331" s="41">
        <f t="shared" si="38"/>
        <v>0</v>
      </c>
      <c r="I331" s="42">
        <f t="shared" si="40"/>
        <v>0</v>
      </c>
    </row>
    <row r="332" spans="1:9" x14ac:dyDescent="0.25">
      <c r="A332" s="38">
        <f t="shared" si="39"/>
        <v>297</v>
      </c>
      <c r="B332" s="39">
        <f t="shared" si="35"/>
        <v>0</v>
      </c>
      <c r="C332" s="40">
        <f t="shared" si="36"/>
        <v>0</v>
      </c>
      <c r="D332" s="40">
        <f t="shared" si="34"/>
        <v>0</v>
      </c>
      <c r="E332" s="40">
        <f t="shared" si="37"/>
        <v>0</v>
      </c>
      <c r="F332" s="40"/>
      <c r="G332" s="41">
        <f t="shared" si="38"/>
        <v>0</v>
      </c>
      <c r="I332" s="42">
        <f t="shared" si="40"/>
        <v>0</v>
      </c>
    </row>
    <row r="333" spans="1:9" x14ac:dyDescent="0.25">
      <c r="A333" s="38">
        <f t="shared" si="39"/>
        <v>298</v>
      </c>
      <c r="B333" s="39">
        <f t="shared" si="35"/>
        <v>0</v>
      </c>
      <c r="C333" s="40">
        <f t="shared" si="36"/>
        <v>0</v>
      </c>
      <c r="D333" s="40">
        <f t="shared" si="34"/>
        <v>0</v>
      </c>
      <c r="E333" s="40">
        <f t="shared" si="37"/>
        <v>0</v>
      </c>
      <c r="F333" s="40"/>
      <c r="G333" s="41">
        <f t="shared" si="38"/>
        <v>0</v>
      </c>
      <c r="I333" s="42">
        <f t="shared" si="40"/>
        <v>0</v>
      </c>
    </row>
    <row r="334" spans="1:9" x14ac:dyDescent="0.25">
      <c r="A334" s="38">
        <f t="shared" si="39"/>
        <v>299</v>
      </c>
      <c r="B334" s="39">
        <f t="shared" si="35"/>
        <v>0</v>
      </c>
      <c r="C334" s="40">
        <f t="shared" si="36"/>
        <v>0</v>
      </c>
      <c r="D334" s="40">
        <f t="shared" si="34"/>
        <v>0</v>
      </c>
      <c r="E334" s="40">
        <f t="shared" si="37"/>
        <v>0</v>
      </c>
      <c r="F334" s="40"/>
      <c r="G334" s="41">
        <f t="shared" si="38"/>
        <v>0</v>
      </c>
      <c r="I334" s="42">
        <f t="shared" si="40"/>
        <v>0</v>
      </c>
    </row>
    <row r="335" spans="1:9" x14ac:dyDescent="0.25">
      <c r="A335" s="38">
        <f t="shared" si="39"/>
        <v>300</v>
      </c>
      <c r="B335" s="39">
        <f t="shared" si="35"/>
        <v>0</v>
      </c>
      <c r="C335" s="40">
        <f t="shared" si="36"/>
        <v>0</v>
      </c>
      <c r="D335" s="40">
        <f t="shared" si="34"/>
        <v>0</v>
      </c>
      <c r="E335" s="40">
        <f t="shared" si="37"/>
        <v>0</v>
      </c>
      <c r="F335" s="40"/>
      <c r="G335" s="41">
        <f t="shared" si="38"/>
        <v>0</v>
      </c>
      <c r="I335" s="42">
        <f t="shared" si="40"/>
        <v>0</v>
      </c>
    </row>
    <row r="336" spans="1:9" x14ac:dyDescent="0.25">
      <c r="A336" s="38">
        <f t="shared" si="39"/>
        <v>301</v>
      </c>
      <c r="B336" s="39">
        <f t="shared" si="35"/>
        <v>0</v>
      </c>
      <c r="C336" s="40">
        <f t="shared" si="36"/>
        <v>0</v>
      </c>
      <c r="D336" s="40">
        <f t="shared" si="34"/>
        <v>0</v>
      </c>
      <c r="E336" s="40">
        <f t="shared" si="37"/>
        <v>0</v>
      </c>
      <c r="F336" s="40"/>
      <c r="G336" s="41">
        <f t="shared" si="38"/>
        <v>0</v>
      </c>
      <c r="I336" s="42">
        <f t="shared" si="40"/>
        <v>0</v>
      </c>
    </row>
    <row r="337" spans="1:9" x14ac:dyDescent="0.25">
      <c r="A337" s="38">
        <f t="shared" si="39"/>
        <v>302</v>
      </c>
      <c r="B337" s="39">
        <f t="shared" si="35"/>
        <v>0</v>
      </c>
      <c r="C337" s="40">
        <f t="shared" si="36"/>
        <v>0</v>
      </c>
      <c r="D337" s="40">
        <f t="shared" si="34"/>
        <v>0</v>
      </c>
      <c r="E337" s="40">
        <f t="shared" si="37"/>
        <v>0</v>
      </c>
      <c r="F337" s="40"/>
      <c r="G337" s="41">
        <f t="shared" si="38"/>
        <v>0</v>
      </c>
      <c r="I337" s="42">
        <f t="shared" si="40"/>
        <v>0</v>
      </c>
    </row>
    <row r="338" spans="1:9" x14ac:dyDescent="0.25">
      <c r="A338" s="38">
        <f t="shared" si="39"/>
        <v>303</v>
      </c>
      <c r="B338" s="39">
        <f t="shared" si="35"/>
        <v>0</v>
      </c>
      <c r="C338" s="40">
        <f t="shared" si="36"/>
        <v>0</v>
      </c>
      <c r="D338" s="40">
        <f t="shared" si="34"/>
        <v>0</v>
      </c>
      <c r="E338" s="40">
        <f t="shared" si="37"/>
        <v>0</v>
      </c>
      <c r="F338" s="40"/>
      <c r="G338" s="41">
        <f t="shared" si="38"/>
        <v>0</v>
      </c>
      <c r="I338" s="42">
        <f t="shared" si="40"/>
        <v>0</v>
      </c>
    </row>
    <row r="339" spans="1:9" x14ac:dyDescent="0.25">
      <c r="A339" s="38">
        <f t="shared" si="39"/>
        <v>304</v>
      </c>
      <c r="B339" s="39">
        <f t="shared" si="35"/>
        <v>0</v>
      </c>
      <c r="C339" s="40">
        <f t="shared" si="36"/>
        <v>0</v>
      </c>
      <c r="D339" s="40">
        <f t="shared" si="34"/>
        <v>0</v>
      </c>
      <c r="E339" s="40">
        <f t="shared" si="37"/>
        <v>0</v>
      </c>
      <c r="F339" s="40"/>
      <c r="G339" s="41">
        <f t="shared" si="38"/>
        <v>0</v>
      </c>
      <c r="I339" s="42">
        <f t="shared" si="40"/>
        <v>0</v>
      </c>
    </row>
    <row r="340" spans="1:9" x14ac:dyDescent="0.25">
      <c r="A340" s="38">
        <f t="shared" si="39"/>
        <v>305</v>
      </c>
      <c r="B340" s="39">
        <f t="shared" si="35"/>
        <v>0</v>
      </c>
      <c r="C340" s="40">
        <f t="shared" si="36"/>
        <v>0</v>
      </c>
      <c r="D340" s="40">
        <f t="shared" si="34"/>
        <v>0</v>
      </c>
      <c r="E340" s="40">
        <f t="shared" si="37"/>
        <v>0</v>
      </c>
      <c r="F340" s="40"/>
      <c r="G340" s="41">
        <f t="shared" si="38"/>
        <v>0</v>
      </c>
      <c r="I340" s="42">
        <f t="shared" si="40"/>
        <v>0</v>
      </c>
    </row>
    <row r="341" spans="1:9" x14ac:dyDescent="0.25">
      <c r="A341" s="38">
        <f t="shared" si="39"/>
        <v>306</v>
      </c>
      <c r="B341" s="39">
        <f t="shared" si="35"/>
        <v>0</v>
      </c>
      <c r="C341" s="40">
        <f t="shared" si="36"/>
        <v>0</v>
      </c>
      <c r="D341" s="40">
        <f t="shared" si="34"/>
        <v>0</v>
      </c>
      <c r="E341" s="40">
        <f t="shared" si="37"/>
        <v>0</v>
      </c>
      <c r="F341" s="40"/>
      <c r="G341" s="41">
        <f t="shared" si="38"/>
        <v>0</v>
      </c>
      <c r="I341" s="42">
        <f t="shared" si="40"/>
        <v>0</v>
      </c>
    </row>
    <row r="342" spans="1:9" x14ac:dyDescent="0.25">
      <c r="A342" s="38">
        <f t="shared" si="39"/>
        <v>307</v>
      </c>
      <c r="B342" s="39">
        <f t="shared" si="35"/>
        <v>0</v>
      </c>
      <c r="C342" s="40">
        <f t="shared" si="36"/>
        <v>0</v>
      </c>
      <c r="D342" s="40">
        <f t="shared" si="34"/>
        <v>0</v>
      </c>
      <c r="E342" s="40">
        <f t="shared" si="37"/>
        <v>0</v>
      </c>
      <c r="F342" s="40"/>
      <c r="G342" s="41">
        <f t="shared" si="38"/>
        <v>0</v>
      </c>
      <c r="I342" s="42">
        <f t="shared" si="40"/>
        <v>0</v>
      </c>
    </row>
    <row r="343" spans="1:9" x14ac:dyDescent="0.25">
      <c r="A343" s="38">
        <f t="shared" si="39"/>
        <v>308</v>
      </c>
      <c r="B343" s="39">
        <f t="shared" si="35"/>
        <v>0</v>
      </c>
      <c r="C343" s="40">
        <f t="shared" si="36"/>
        <v>0</v>
      </c>
      <c r="D343" s="40">
        <f t="shared" si="34"/>
        <v>0</v>
      </c>
      <c r="E343" s="40">
        <f t="shared" si="37"/>
        <v>0</v>
      </c>
      <c r="F343" s="40"/>
      <c r="G343" s="41">
        <f t="shared" si="38"/>
        <v>0</v>
      </c>
      <c r="I343" s="42">
        <f t="shared" si="40"/>
        <v>0</v>
      </c>
    </row>
    <row r="344" spans="1:9" x14ac:dyDescent="0.25">
      <c r="A344" s="38">
        <f t="shared" si="39"/>
        <v>309</v>
      </c>
      <c r="B344" s="39">
        <f t="shared" si="35"/>
        <v>0</v>
      </c>
      <c r="C344" s="40">
        <f t="shared" si="36"/>
        <v>0</v>
      </c>
      <c r="D344" s="40">
        <f t="shared" si="34"/>
        <v>0</v>
      </c>
      <c r="E344" s="40">
        <f t="shared" si="37"/>
        <v>0</v>
      </c>
      <c r="F344" s="40"/>
      <c r="G344" s="41">
        <f t="shared" si="38"/>
        <v>0</v>
      </c>
      <c r="I344" s="42">
        <f t="shared" si="40"/>
        <v>0</v>
      </c>
    </row>
    <row r="345" spans="1:9" x14ac:dyDescent="0.25">
      <c r="A345" s="38">
        <f t="shared" si="39"/>
        <v>310</v>
      </c>
      <c r="B345" s="39">
        <f t="shared" si="35"/>
        <v>0</v>
      </c>
      <c r="C345" s="40">
        <f t="shared" si="36"/>
        <v>0</v>
      </c>
      <c r="D345" s="40">
        <f t="shared" si="34"/>
        <v>0</v>
      </c>
      <c r="E345" s="40">
        <f t="shared" si="37"/>
        <v>0</v>
      </c>
      <c r="F345" s="40"/>
      <c r="G345" s="41">
        <f t="shared" si="38"/>
        <v>0</v>
      </c>
      <c r="I345" s="42">
        <f t="shared" si="40"/>
        <v>0</v>
      </c>
    </row>
    <row r="346" spans="1:9" x14ac:dyDescent="0.25">
      <c r="A346" s="38">
        <f t="shared" si="39"/>
        <v>311</v>
      </c>
      <c r="B346" s="39">
        <f t="shared" si="35"/>
        <v>0</v>
      </c>
      <c r="C346" s="40">
        <f t="shared" si="36"/>
        <v>0</v>
      </c>
      <c r="D346" s="40">
        <f t="shared" ref="D346:D395" si="41">B346-C346</f>
        <v>0</v>
      </c>
      <c r="E346" s="40">
        <f t="shared" si="37"/>
        <v>0</v>
      </c>
      <c r="F346" s="40"/>
      <c r="G346" s="41">
        <f t="shared" si="38"/>
        <v>0</v>
      </c>
      <c r="I346" s="42">
        <f t="shared" si="40"/>
        <v>0</v>
      </c>
    </row>
    <row r="347" spans="1:9" x14ac:dyDescent="0.25">
      <c r="A347" s="38">
        <f t="shared" si="39"/>
        <v>312</v>
      </c>
      <c r="B347" s="39">
        <f t="shared" si="35"/>
        <v>0</v>
      </c>
      <c r="C347" s="40">
        <f t="shared" si="36"/>
        <v>0</v>
      </c>
      <c r="D347" s="40">
        <f t="shared" si="41"/>
        <v>0</v>
      </c>
      <c r="E347" s="40">
        <f t="shared" si="37"/>
        <v>0</v>
      </c>
      <c r="F347" s="40"/>
      <c r="G347" s="41">
        <f t="shared" si="38"/>
        <v>0</v>
      </c>
      <c r="I347" s="42">
        <f t="shared" si="40"/>
        <v>0</v>
      </c>
    </row>
    <row r="348" spans="1:9" x14ac:dyDescent="0.25">
      <c r="A348" s="38">
        <f t="shared" si="39"/>
        <v>313</v>
      </c>
      <c r="B348" s="39">
        <f t="shared" si="35"/>
        <v>0</v>
      </c>
      <c r="C348" s="40">
        <f t="shared" si="36"/>
        <v>0</v>
      </c>
      <c r="D348" s="40">
        <f t="shared" si="41"/>
        <v>0</v>
      </c>
      <c r="E348" s="40">
        <f t="shared" si="37"/>
        <v>0</v>
      </c>
      <c r="F348" s="40"/>
      <c r="G348" s="41">
        <f t="shared" si="38"/>
        <v>0</v>
      </c>
      <c r="I348" s="42">
        <f t="shared" si="40"/>
        <v>0</v>
      </c>
    </row>
    <row r="349" spans="1:9" x14ac:dyDescent="0.25">
      <c r="A349" s="38">
        <f t="shared" si="39"/>
        <v>314</v>
      </c>
      <c r="B349" s="39">
        <f t="shared" si="35"/>
        <v>0</v>
      </c>
      <c r="C349" s="40">
        <f t="shared" si="36"/>
        <v>0</v>
      </c>
      <c r="D349" s="40">
        <f t="shared" si="41"/>
        <v>0</v>
      </c>
      <c r="E349" s="40">
        <f t="shared" si="37"/>
        <v>0</v>
      </c>
      <c r="F349" s="40"/>
      <c r="G349" s="41">
        <f t="shared" si="38"/>
        <v>0</v>
      </c>
      <c r="I349" s="42">
        <f t="shared" si="40"/>
        <v>0</v>
      </c>
    </row>
    <row r="350" spans="1:9" x14ac:dyDescent="0.25">
      <c r="A350" s="38">
        <f t="shared" si="39"/>
        <v>315</v>
      </c>
      <c r="B350" s="39">
        <f t="shared" si="35"/>
        <v>0</v>
      </c>
      <c r="C350" s="40">
        <f t="shared" si="36"/>
        <v>0</v>
      </c>
      <c r="D350" s="40">
        <f t="shared" si="41"/>
        <v>0</v>
      </c>
      <c r="E350" s="40">
        <f t="shared" si="37"/>
        <v>0</v>
      </c>
      <c r="F350" s="40"/>
      <c r="G350" s="41">
        <f t="shared" si="38"/>
        <v>0</v>
      </c>
      <c r="I350" s="42">
        <f t="shared" si="40"/>
        <v>0</v>
      </c>
    </row>
    <row r="351" spans="1:9" x14ac:dyDescent="0.25">
      <c r="A351" s="38">
        <f t="shared" si="39"/>
        <v>316</v>
      </c>
      <c r="B351" s="39">
        <f t="shared" si="35"/>
        <v>0</v>
      </c>
      <c r="C351" s="40">
        <f t="shared" si="36"/>
        <v>0</v>
      </c>
      <c r="D351" s="40">
        <f t="shared" si="41"/>
        <v>0</v>
      </c>
      <c r="E351" s="40">
        <f t="shared" si="37"/>
        <v>0</v>
      </c>
      <c r="F351" s="40"/>
      <c r="G351" s="41">
        <f t="shared" si="38"/>
        <v>0</v>
      </c>
      <c r="I351" s="42">
        <f t="shared" si="40"/>
        <v>0</v>
      </c>
    </row>
    <row r="352" spans="1:9" x14ac:dyDescent="0.25">
      <c r="A352" s="38">
        <f t="shared" si="39"/>
        <v>317</v>
      </c>
      <c r="B352" s="39">
        <f t="shared" si="35"/>
        <v>0</v>
      </c>
      <c r="C352" s="40">
        <f t="shared" si="36"/>
        <v>0</v>
      </c>
      <c r="D352" s="40">
        <f t="shared" si="41"/>
        <v>0</v>
      </c>
      <c r="E352" s="40">
        <f t="shared" si="37"/>
        <v>0</v>
      </c>
      <c r="F352" s="40"/>
      <c r="G352" s="41">
        <f t="shared" si="38"/>
        <v>0</v>
      </c>
      <c r="I352" s="42">
        <f t="shared" si="40"/>
        <v>0</v>
      </c>
    </row>
    <row r="353" spans="1:9" x14ac:dyDescent="0.25">
      <c r="A353" s="38">
        <f t="shared" si="39"/>
        <v>318</v>
      </c>
      <c r="B353" s="39">
        <f t="shared" si="35"/>
        <v>0</v>
      </c>
      <c r="C353" s="40">
        <f t="shared" si="36"/>
        <v>0</v>
      </c>
      <c r="D353" s="40">
        <f t="shared" si="41"/>
        <v>0</v>
      </c>
      <c r="E353" s="40">
        <f t="shared" si="37"/>
        <v>0</v>
      </c>
      <c r="F353" s="40"/>
      <c r="G353" s="41">
        <f t="shared" si="38"/>
        <v>0</v>
      </c>
      <c r="I353" s="42">
        <f t="shared" si="40"/>
        <v>0</v>
      </c>
    </row>
    <row r="354" spans="1:9" x14ac:dyDescent="0.25">
      <c r="A354" s="38">
        <f t="shared" si="39"/>
        <v>319</v>
      </c>
      <c r="B354" s="39">
        <f t="shared" si="35"/>
        <v>0</v>
      </c>
      <c r="C354" s="40">
        <f t="shared" si="36"/>
        <v>0</v>
      </c>
      <c r="D354" s="40">
        <f t="shared" si="41"/>
        <v>0</v>
      </c>
      <c r="E354" s="40">
        <f t="shared" si="37"/>
        <v>0</v>
      </c>
      <c r="F354" s="40"/>
      <c r="G354" s="41">
        <f t="shared" si="38"/>
        <v>0</v>
      </c>
      <c r="I354" s="42">
        <f t="shared" si="40"/>
        <v>0</v>
      </c>
    </row>
    <row r="355" spans="1:9" x14ac:dyDescent="0.25">
      <c r="A355" s="38">
        <f t="shared" si="39"/>
        <v>320</v>
      </c>
      <c r="B355" s="39">
        <f t="shared" ref="B355:B395" si="42">Camort($B$22,$B$24,$B$26,$B$25,A355,$B$28,1)</f>
        <v>0</v>
      </c>
      <c r="C355" s="40">
        <f t="shared" ref="C355:C395" si="43">Camort($B$22,$B$24,$B$26,$B$25,A355,$B$28,2)</f>
        <v>0</v>
      </c>
      <c r="D355" s="40">
        <f t="shared" si="41"/>
        <v>0</v>
      </c>
      <c r="E355" s="40">
        <f t="shared" ref="E355:E395" si="44">Camort($B$22,$B$24,$B$26,$B$25,A355,$B$28,3)</f>
        <v>0</v>
      </c>
      <c r="F355" s="40"/>
      <c r="G355" s="41">
        <f t="shared" si="38"/>
        <v>0</v>
      </c>
      <c r="I355" s="42">
        <f t="shared" si="40"/>
        <v>0</v>
      </c>
    </row>
    <row r="356" spans="1:9" x14ac:dyDescent="0.25">
      <c r="A356" s="38">
        <f t="shared" si="39"/>
        <v>321</v>
      </c>
      <c r="B356" s="39">
        <f t="shared" si="42"/>
        <v>0</v>
      </c>
      <c r="C356" s="40">
        <f t="shared" si="43"/>
        <v>0</v>
      </c>
      <c r="D356" s="40">
        <f t="shared" si="41"/>
        <v>0</v>
      </c>
      <c r="E356" s="40">
        <f t="shared" si="44"/>
        <v>0</v>
      </c>
      <c r="F356" s="40"/>
      <c r="G356" s="41">
        <f t="shared" ref="G356:G395" si="45">IF(A356&lt;=$B$26,$C$17,0)+IF(AND(A356&lt;=$B$26,MOD(A356,$B$5)=0),$B$4,0)+IF(A356=$B$26,$B$3,0)</f>
        <v>0</v>
      </c>
      <c r="I356" s="42">
        <f t="shared" si="40"/>
        <v>0</v>
      </c>
    </row>
    <row r="357" spans="1:9" x14ac:dyDescent="0.25">
      <c r="A357" s="38">
        <f t="shared" ref="A357:A395" si="46">A356+1</f>
        <v>322</v>
      </c>
      <c r="B357" s="39">
        <f t="shared" si="42"/>
        <v>0</v>
      </c>
      <c r="C357" s="40">
        <f t="shared" si="43"/>
        <v>0</v>
      </c>
      <c r="D357" s="40">
        <f t="shared" si="41"/>
        <v>0</v>
      </c>
      <c r="E357" s="40">
        <f t="shared" si="44"/>
        <v>0</v>
      </c>
      <c r="F357" s="40"/>
      <c r="G357" s="41">
        <f t="shared" si="45"/>
        <v>0</v>
      </c>
      <c r="I357" s="42">
        <f t="shared" ref="I357:I395" si="47">B357-F357+G357</f>
        <v>0</v>
      </c>
    </row>
    <row r="358" spans="1:9" x14ac:dyDescent="0.25">
      <c r="A358" s="38">
        <f t="shared" si="46"/>
        <v>323</v>
      </c>
      <c r="B358" s="39">
        <f t="shared" si="42"/>
        <v>0</v>
      </c>
      <c r="C358" s="40">
        <f t="shared" si="43"/>
        <v>0</v>
      </c>
      <c r="D358" s="40">
        <f t="shared" si="41"/>
        <v>0</v>
      </c>
      <c r="E358" s="40">
        <f t="shared" si="44"/>
        <v>0</v>
      </c>
      <c r="F358" s="40"/>
      <c r="G358" s="41">
        <f t="shared" si="45"/>
        <v>0</v>
      </c>
      <c r="I358" s="42">
        <f t="shared" si="47"/>
        <v>0</v>
      </c>
    </row>
    <row r="359" spans="1:9" x14ac:dyDescent="0.25">
      <c r="A359" s="38">
        <f t="shared" si="46"/>
        <v>324</v>
      </c>
      <c r="B359" s="39">
        <f t="shared" si="42"/>
        <v>0</v>
      </c>
      <c r="C359" s="40">
        <f t="shared" si="43"/>
        <v>0</v>
      </c>
      <c r="D359" s="40">
        <f t="shared" si="41"/>
        <v>0</v>
      </c>
      <c r="E359" s="40">
        <f t="shared" si="44"/>
        <v>0</v>
      </c>
      <c r="F359" s="40"/>
      <c r="G359" s="41">
        <f t="shared" si="45"/>
        <v>0</v>
      </c>
      <c r="I359" s="42">
        <f t="shared" si="47"/>
        <v>0</v>
      </c>
    </row>
    <row r="360" spans="1:9" x14ac:dyDescent="0.25">
      <c r="A360" s="38">
        <f t="shared" si="46"/>
        <v>325</v>
      </c>
      <c r="B360" s="39">
        <f t="shared" si="42"/>
        <v>0</v>
      </c>
      <c r="C360" s="40">
        <f t="shared" si="43"/>
        <v>0</v>
      </c>
      <c r="D360" s="40">
        <f t="shared" si="41"/>
        <v>0</v>
      </c>
      <c r="E360" s="40">
        <f t="shared" si="44"/>
        <v>0</v>
      </c>
      <c r="F360" s="40"/>
      <c r="G360" s="41">
        <f t="shared" si="45"/>
        <v>0</v>
      </c>
      <c r="I360" s="42">
        <f t="shared" si="47"/>
        <v>0</v>
      </c>
    </row>
    <row r="361" spans="1:9" x14ac:dyDescent="0.25">
      <c r="A361" s="38">
        <f t="shared" si="46"/>
        <v>326</v>
      </c>
      <c r="B361" s="39">
        <f t="shared" si="42"/>
        <v>0</v>
      </c>
      <c r="C361" s="40">
        <f t="shared" si="43"/>
        <v>0</v>
      </c>
      <c r="D361" s="40">
        <f t="shared" si="41"/>
        <v>0</v>
      </c>
      <c r="E361" s="40">
        <f t="shared" si="44"/>
        <v>0</v>
      </c>
      <c r="F361" s="40"/>
      <c r="G361" s="41">
        <f t="shared" si="45"/>
        <v>0</v>
      </c>
      <c r="I361" s="42">
        <f t="shared" si="47"/>
        <v>0</v>
      </c>
    </row>
    <row r="362" spans="1:9" x14ac:dyDescent="0.25">
      <c r="A362" s="38">
        <f t="shared" si="46"/>
        <v>327</v>
      </c>
      <c r="B362" s="39">
        <f t="shared" si="42"/>
        <v>0</v>
      </c>
      <c r="C362" s="40">
        <f t="shared" si="43"/>
        <v>0</v>
      </c>
      <c r="D362" s="40">
        <f t="shared" si="41"/>
        <v>0</v>
      </c>
      <c r="E362" s="40">
        <f t="shared" si="44"/>
        <v>0</v>
      </c>
      <c r="F362" s="40"/>
      <c r="G362" s="41">
        <f t="shared" si="45"/>
        <v>0</v>
      </c>
      <c r="I362" s="42">
        <f t="shared" si="47"/>
        <v>0</v>
      </c>
    </row>
    <row r="363" spans="1:9" x14ac:dyDescent="0.25">
      <c r="A363" s="38">
        <f t="shared" si="46"/>
        <v>328</v>
      </c>
      <c r="B363" s="39">
        <f t="shared" si="42"/>
        <v>0</v>
      </c>
      <c r="C363" s="40">
        <f t="shared" si="43"/>
        <v>0</v>
      </c>
      <c r="D363" s="40">
        <f t="shared" si="41"/>
        <v>0</v>
      </c>
      <c r="E363" s="40">
        <f t="shared" si="44"/>
        <v>0</v>
      </c>
      <c r="F363" s="40"/>
      <c r="G363" s="41">
        <f t="shared" si="45"/>
        <v>0</v>
      </c>
      <c r="I363" s="42">
        <f t="shared" si="47"/>
        <v>0</v>
      </c>
    </row>
    <row r="364" spans="1:9" x14ac:dyDescent="0.25">
      <c r="A364" s="38">
        <f t="shared" si="46"/>
        <v>329</v>
      </c>
      <c r="B364" s="39">
        <f t="shared" si="42"/>
        <v>0</v>
      </c>
      <c r="C364" s="40">
        <f t="shared" si="43"/>
        <v>0</v>
      </c>
      <c r="D364" s="40">
        <f t="shared" si="41"/>
        <v>0</v>
      </c>
      <c r="E364" s="40">
        <f t="shared" si="44"/>
        <v>0</v>
      </c>
      <c r="F364" s="40"/>
      <c r="G364" s="41">
        <f t="shared" si="45"/>
        <v>0</v>
      </c>
      <c r="I364" s="42">
        <f t="shared" si="47"/>
        <v>0</v>
      </c>
    </row>
    <row r="365" spans="1:9" x14ac:dyDescent="0.25">
      <c r="A365" s="38">
        <f t="shared" si="46"/>
        <v>330</v>
      </c>
      <c r="B365" s="39">
        <f t="shared" si="42"/>
        <v>0</v>
      </c>
      <c r="C365" s="40">
        <f t="shared" si="43"/>
        <v>0</v>
      </c>
      <c r="D365" s="40">
        <f t="shared" si="41"/>
        <v>0</v>
      </c>
      <c r="E365" s="40">
        <f t="shared" si="44"/>
        <v>0</v>
      </c>
      <c r="F365" s="40"/>
      <c r="G365" s="41">
        <f t="shared" si="45"/>
        <v>0</v>
      </c>
      <c r="I365" s="42">
        <f t="shared" si="47"/>
        <v>0</v>
      </c>
    </row>
    <row r="366" spans="1:9" x14ac:dyDescent="0.25">
      <c r="A366" s="38">
        <f t="shared" si="46"/>
        <v>331</v>
      </c>
      <c r="B366" s="39">
        <f t="shared" si="42"/>
        <v>0</v>
      </c>
      <c r="C366" s="40">
        <f t="shared" si="43"/>
        <v>0</v>
      </c>
      <c r="D366" s="40">
        <f t="shared" si="41"/>
        <v>0</v>
      </c>
      <c r="E366" s="40">
        <f t="shared" si="44"/>
        <v>0</v>
      </c>
      <c r="F366" s="40"/>
      <c r="G366" s="41">
        <f t="shared" si="45"/>
        <v>0</v>
      </c>
      <c r="I366" s="42">
        <f t="shared" si="47"/>
        <v>0</v>
      </c>
    </row>
    <row r="367" spans="1:9" x14ac:dyDescent="0.25">
      <c r="A367" s="38">
        <f t="shared" si="46"/>
        <v>332</v>
      </c>
      <c r="B367" s="39">
        <f t="shared" si="42"/>
        <v>0</v>
      </c>
      <c r="C367" s="40">
        <f t="shared" si="43"/>
        <v>0</v>
      </c>
      <c r="D367" s="40">
        <f t="shared" si="41"/>
        <v>0</v>
      </c>
      <c r="E367" s="40">
        <f t="shared" si="44"/>
        <v>0</v>
      </c>
      <c r="F367" s="40"/>
      <c r="G367" s="41">
        <f t="shared" si="45"/>
        <v>0</v>
      </c>
      <c r="I367" s="42">
        <f t="shared" si="47"/>
        <v>0</v>
      </c>
    </row>
    <row r="368" spans="1:9" x14ac:dyDescent="0.25">
      <c r="A368" s="38">
        <f t="shared" si="46"/>
        <v>333</v>
      </c>
      <c r="B368" s="39">
        <f t="shared" si="42"/>
        <v>0</v>
      </c>
      <c r="C368" s="40">
        <f t="shared" si="43"/>
        <v>0</v>
      </c>
      <c r="D368" s="40">
        <f t="shared" si="41"/>
        <v>0</v>
      </c>
      <c r="E368" s="40">
        <f t="shared" si="44"/>
        <v>0</v>
      </c>
      <c r="F368" s="40"/>
      <c r="G368" s="41">
        <f t="shared" si="45"/>
        <v>0</v>
      </c>
      <c r="I368" s="42">
        <f t="shared" si="47"/>
        <v>0</v>
      </c>
    </row>
    <row r="369" spans="1:9" x14ac:dyDescent="0.25">
      <c r="A369" s="38">
        <f t="shared" si="46"/>
        <v>334</v>
      </c>
      <c r="B369" s="39">
        <f t="shared" si="42"/>
        <v>0</v>
      </c>
      <c r="C369" s="40">
        <f t="shared" si="43"/>
        <v>0</v>
      </c>
      <c r="D369" s="40">
        <f t="shared" si="41"/>
        <v>0</v>
      </c>
      <c r="E369" s="40">
        <f t="shared" si="44"/>
        <v>0</v>
      </c>
      <c r="F369" s="40"/>
      <c r="G369" s="41">
        <f t="shared" si="45"/>
        <v>0</v>
      </c>
      <c r="I369" s="42">
        <f t="shared" si="47"/>
        <v>0</v>
      </c>
    </row>
    <row r="370" spans="1:9" x14ac:dyDescent="0.25">
      <c r="A370" s="38">
        <f t="shared" si="46"/>
        <v>335</v>
      </c>
      <c r="B370" s="39">
        <f t="shared" si="42"/>
        <v>0</v>
      </c>
      <c r="C370" s="40">
        <f t="shared" si="43"/>
        <v>0</v>
      </c>
      <c r="D370" s="40">
        <f t="shared" si="41"/>
        <v>0</v>
      </c>
      <c r="E370" s="40">
        <f t="shared" si="44"/>
        <v>0</v>
      </c>
      <c r="F370" s="40"/>
      <c r="G370" s="41">
        <f t="shared" si="45"/>
        <v>0</v>
      </c>
      <c r="I370" s="42">
        <f t="shared" si="47"/>
        <v>0</v>
      </c>
    </row>
    <row r="371" spans="1:9" x14ac:dyDescent="0.25">
      <c r="A371" s="38">
        <f t="shared" si="46"/>
        <v>336</v>
      </c>
      <c r="B371" s="39">
        <f t="shared" si="42"/>
        <v>0</v>
      </c>
      <c r="C371" s="40">
        <f t="shared" si="43"/>
        <v>0</v>
      </c>
      <c r="D371" s="40">
        <f t="shared" si="41"/>
        <v>0</v>
      </c>
      <c r="E371" s="40">
        <f t="shared" si="44"/>
        <v>0</v>
      </c>
      <c r="F371" s="40"/>
      <c r="G371" s="41">
        <f t="shared" si="45"/>
        <v>0</v>
      </c>
      <c r="I371" s="42">
        <f t="shared" si="47"/>
        <v>0</v>
      </c>
    </row>
    <row r="372" spans="1:9" x14ac:dyDescent="0.25">
      <c r="A372" s="38">
        <f t="shared" si="46"/>
        <v>337</v>
      </c>
      <c r="B372" s="39">
        <f t="shared" si="42"/>
        <v>0</v>
      </c>
      <c r="C372" s="40">
        <f t="shared" si="43"/>
        <v>0</v>
      </c>
      <c r="D372" s="40">
        <f t="shared" si="41"/>
        <v>0</v>
      </c>
      <c r="E372" s="40">
        <f t="shared" si="44"/>
        <v>0</v>
      </c>
      <c r="F372" s="40"/>
      <c r="G372" s="41">
        <f t="shared" si="45"/>
        <v>0</v>
      </c>
      <c r="I372" s="42">
        <f t="shared" si="47"/>
        <v>0</v>
      </c>
    </row>
    <row r="373" spans="1:9" x14ac:dyDescent="0.25">
      <c r="A373" s="38">
        <f t="shared" si="46"/>
        <v>338</v>
      </c>
      <c r="B373" s="39">
        <f t="shared" si="42"/>
        <v>0</v>
      </c>
      <c r="C373" s="40">
        <f t="shared" si="43"/>
        <v>0</v>
      </c>
      <c r="D373" s="40">
        <f t="shared" si="41"/>
        <v>0</v>
      </c>
      <c r="E373" s="40">
        <f t="shared" si="44"/>
        <v>0</v>
      </c>
      <c r="F373" s="40"/>
      <c r="G373" s="41">
        <f t="shared" si="45"/>
        <v>0</v>
      </c>
      <c r="I373" s="42">
        <f t="shared" si="47"/>
        <v>0</v>
      </c>
    </row>
    <row r="374" spans="1:9" x14ac:dyDescent="0.25">
      <c r="A374" s="38">
        <f t="shared" si="46"/>
        <v>339</v>
      </c>
      <c r="B374" s="39">
        <f t="shared" si="42"/>
        <v>0</v>
      </c>
      <c r="C374" s="40">
        <f t="shared" si="43"/>
        <v>0</v>
      </c>
      <c r="D374" s="40">
        <f t="shared" si="41"/>
        <v>0</v>
      </c>
      <c r="E374" s="40">
        <f t="shared" si="44"/>
        <v>0</v>
      </c>
      <c r="F374" s="40"/>
      <c r="G374" s="41">
        <f t="shared" si="45"/>
        <v>0</v>
      </c>
      <c r="I374" s="42">
        <f t="shared" si="47"/>
        <v>0</v>
      </c>
    </row>
    <row r="375" spans="1:9" x14ac:dyDescent="0.25">
      <c r="A375" s="38">
        <f t="shared" si="46"/>
        <v>340</v>
      </c>
      <c r="B375" s="39">
        <f t="shared" si="42"/>
        <v>0</v>
      </c>
      <c r="C375" s="40">
        <f t="shared" si="43"/>
        <v>0</v>
      </c>
      <c r="D375" s="40">
        <f t="shared" si="41"/>
        <v>0</v>
      </c>
      <c r="E375" s="40">
        <f t="shared" si="44"/>
        <v>0</v>
      </c>
      <c r="F375" s="40"/>
      <c r="G375" s="41">
        <f t="shared" si="45"/>
        <v>0</v>
      </c>
      <c r="I375" s="42">
        <f t="shared" si="47"/>
        <v>0</v>
      </c>
    </row>
    <row r="376" spans="1:9" x14ac:dyDescent="0.25">
      <c r="A376" s="38">
        <f t="shared" si="46"/>
        <v>341</v>
      </c>
      <c r="B376" s="39">
        <f t="shared" si="42"/>
        <v>0</v>
      </c>
      <c r="C376" s="40">
        <f t="shared" si="43"/>
        <v>0</v>
      </c>
      <c r="D376" s="40">
        <f t="shared" si="41"/>
        <v>0</v>
      </c>
      <c r="E376" s="40">
        <f t="shared" si="44"/>
        <v>0</v>
      </c>
      <c r="F376" s="40"/>
      <c r="G376" s="41">
        <f t="shared" si="45"/>
        <v>0</v>
      </c>
      <c r="I376" s="42">
        <f t="shared" si="47"/>
        <v>0</v>
      </c>
    </row>
    <row r="377" spans="1:9" x14ac:dyDescent="0.25">
      <c r="A377" s="38">
        <f t="shared" si="46"/>
        <v>342</v>
      </c>
      <c r="B377" s="39">
        <f t="shared" si="42"/>
        <v>0</v>
      </c>
      <c r="C377" s="40">
        <f t="shared" si="43"/>
        <v>0</v>
      </c>
      <c r="D377" s="40">
        <f t="shared" si="41"/>
        <v>0</v>
      </c>
      <c r="E377" s="40">
        <f t="shared" si="44"/>
        <v>0</v>
      </c>
      <c r="F377" s="40"/>
      <c r="G377" s="41">
        <f t="shared" si="45"/>
        <v>0</v>
      </c>
      <c r="I377" s="42">
        <f t="shared" si="47"/>
        <v>0</v>
      </c>
    </row>
    <row r="378" spans="1:9" x14ac:dyDescent="0.25">
      <c r="A378" s="38">
        <f t="shared" si="46"/>
        <v>343</v>
      </c>
      <c r="B378" s="39">
        <f t="shared" si="42"/>
        <v>0</v>
      </c>
      <c r="C378" s="40">
        <f t="shared" si="43"/>
        <v>0</v>
      </c>
      <c r="D378" s="40">
        <f t="shared" si="41"/>
        <v>0</v>
      </c>
      <c r="E378" s="40">
        <f t="shared" si="44"/>
        <v>0</v>
      </c>
      <c r="F378" s="40"/>
      <c r="G378" s="41">
        <f t="shared" si="45"/>
        <v>0</v>
      </c>
      <c r="I378" s="42">
        <f t="shared" si="47"/>
        <v>0</v>
      </c>
    </row>
    <row r="379" spans="1:9" x14ac:dyDescent="0.25">
      <c r="A379" s="38">
        <f t="shared" si="46"/>
        <v>344</v>
      </c>
      <c r="B379" s="39">
        <f t="shared" si="42"/>
        <v>0</v>
      </c>
      <c r="C379" s="40">
        <f t="shared" si="43"/>
        <v>0</v>
      </c>
      <c r="D379" s="40">
        <f t="shared" si="41"/>
        <v>0</v>
      </c>
      <c r="E379" s="40">
        <f t="shared" si="44"/>
        <v>0</v>
      </c>
      <c r="F379" s="40"/>
      <c r="G379" s="41">
        <f t="shared" si="45"/>
        <v>0</v>
      </c>
      <c r="I379" s="42">
        <f t="shared" si="47"/>
        <v>0</v>
      </c>
    </row>
    <row r="380" spans="1:9" x14ac:dyDescent="0.25">
      <c r="A380" s="38">
        <f t="shared" si="46"/>
        <v>345</v>
      </c>
      <c r="B380" s="39">
        <f t="shared" si="42"/>
        <v>0</v>
      </c>
      <c r="C380" s="40">
        <f t="shared" si="43"/>
        <v>0</v>
      </c>
      <c r="D380" s="40">
        <f t="shared" si="41"/>
        <v>0</v>
      </c>
      <c r="E380" s="40">
        <f t="shared" si="44"/>
        <v>0</v>
      </c>
      <c r="F380" s="40"/>
      <c r="G380" s="41">
        <f t="shared" si="45"/>
        <v>0</v>
      </c>
      <c r="I380" s="42">
        <f t="shared" si="47"/>
        <v>0</v>
      </c>
    </row>
    <row r="381" spans="1:9" x14ac:dyDescent="0.25">
      <c r="A381" s="38">
        <f t="shared" si="46"/>
        <v>346</v>
      </c>
      <c r="B381" s="39">
        <f t="shared" si="42"/>
        <v>0</v>
      </c>
      <c r="C381" s="40">
        <f t="shared" si="43"/>
        <v>0</v>
      </c>
      <c r="D381" s="40">
        <f t="shared" si="41"/>
        <v>0</v>
      </c>
      <c r="E381" s="40">
        <f t="shared" si="44"/>
        <v>0</v>
      </c>
      <c r="F381" s="40"/>
      <c r="G381" s="41">
        <f t="shared" si="45"/>
        <v>0</v>
      </c>
      <c r="I381" s="42">
        <f t="shared" si="47"/>
        <v>0</v>
      </c>
    </row>
    <row r="382" spans="1:9" x14ac:dyDescent="0.25">
      <c r="A382" s="38">
        <f t="shared" si="46"/>
        <v>347</v>
      </c>
      <c r="B382" s="39">
        <f t="shared" si="42"/>
        <v>0</v>
      </c>
      <c r="C382" s="40">
        <f t="shared" si="43"/>
        <v>0</v>
      </c>
      <c r="D382" s="40">
        <f t="shared" si="41"/>
        <v>0</v>
      </c>
      <c r="E382" s="40">
        <f t="shared" si="44"/>
        <v>0</v>
      </c>
      <c r="F382" s="40"/>
      <c r="G382" s="41">
        <f t="shared" si="45"/>
        <v>0</v>
      </c>
      <c r="I382" s="42">
        <f t="shared" si="47"/>
        <v>0</v>
      </c>
    </row>
    <row r="383" spans="1:9" x14ac:dyDescent="0.25">
      <c r="A383" s="38">
        <f t="shared" si="46"/>
        <v>348</v>
      </c>
      <c r="B383" s="39">
        <f t="shared" si="42"/>
        <v>0</v>
      </c>
      <c r="C383" s="40">
        <f t="shared" si="43"/>
        <v>0</v>
      </c>
      <c r="D383" s="40">
        <f t="shared" si="41"/>
        <v>0</v>
      </c>
      <c r="E383" s="40">
        <f t="shared" si="44"/>
        <v>0</v>
      </c>
      <c r="F383" s="40"/>
      <c r="G383" s="41">
        <f t="shared" si="45"/>
        <v>0</v>
      </c>
      <c r="I383" s="42">
        <f t="shared" si="47"/>
        <v>0</v>
      </c>
    </row>
    <row r="384" spans="1:9" x14ac:dyDescent="0.25">
      <c r="A384" s="38">
        <f t="shared" si="46"/>
        <v>349</v>
      </c>
      <c r="B384" s="39">
        <f t="shared" si="42"/>
        <v>0</v>
      </c>
      <c r="C384" s="40">
        <f t="shared" si="43"/>
        <v>0</v>
      </c>
      <c r="D384" s="40">
        <f t="shared" si="41"/>
        <v>0</v>
      </c>
      <c r="E384" s="40">
        <f t="shared" si="44"/>
        <v>0</v>
      </c>
      <c r="F384" s="40"/>
      <c r="G384" s="41">
        <f t="shared" si="45"/>
        <v>0</v>
      </c>
      <c r="I384" s="42">
        <f t="shared" si="47"/>
        <v>0</v>
      </c>
    </row>
    <row r="385" spans="1:9" x14ac:dyDescent="0.25">
      <c r="A385" s="38">
        <f t="shared" si="46"/>
        <v>350</v>
      </c>
      <c r="B385" s="39">
        <f t="shared" si="42"/>
        <v>0</v>
      </c>
      <c r="C385" s="40">
        <f t="shared" si="43"/>
        <v>0</v>
      </c>
      <c r="D385" s="40">
        <f t="shared" si="41"/>
        <v>0</v>
      </c>
      <c r="E385" s="40">
        <f t="shared" si="44"/>
        <v>0</v>
      </c>
      <c r="F385" s="40"/>
      <c r="G385" s="41">
        <f t="shared" si="45"/>
        <v>0</v>
      </c>
      <c r="I385" s="42">
        <f t="shared" si="47"/>
        <v>0</v>
      </c>
    </row>
    <row r="386" spans="1:9" x14ac:dyDescent="0.25">
      <c r="A386" s="38">
        <f t="shared" si="46"/>
        <v>351</v>
      </c>
      <c r="B386" s="39">
        <f t="shared" si="42"/>
        <v>0</v>
      </c>
      <c r="C386" s="40">
        <f t="shared" si="43"/>
        <v>0</v>
      </c>
      <c r="D386" s="40">
        <f t="shared" si="41"/>
        <v>0</v>
      </c>
      <c r="E386" s="40">
        <f t="shared" si="44"/>
        <v>0</v>
      </c>
      <c r="F386" s="40"/>
      <c r="G386" s="41">
        <f t="shared" si="45"/>
        <v>0</v>
      </c>
      <c r="I386" s="42">
        <f t="shared" si="47"/>
        <v>0</v>
      </c>
    </row>
    <row r="387" spans="1:9" x14ac:dyDescent="0.25">
      <c r="A387" s="38">
        <f t="shared" si="46"/>
        <v>352</v>
      </c>
      <c r="B387" s="39">
        <f t="shared" si="42"/>
        <v>0</v>
      </c>
      <c r="C387" s="40">
        <f t="shared" si="43"/>
        <v>0</v>
      </c>
      <c r="D387" s="40">
        <f t="shared" si="41"/>
        <v>0</v>
      </c>
      <c r="E387" s="40">
        <f t="shared" si="44"/>
        <v>0</v>
      </c>
      <c r="F387" s="40"/>
      <c r="G387" s="41">
        <f t="shared" si="45"/>
        <v>0</v>
      </c>
      <c r="I387" s="42">
        <f t="shared" si="47"/>
        <v>0</v>
      </c>
    </row>
    <row r="388" spans="1:9" x14ac:dyDescent="0.25">
      <c r="A388" s="38">
        <f t="shared" si="46"/>
        <v>353</v>
      </c>
      <c r="B388" s="39">
        <f t="shared" si="42"/>
        <v>0</v>
      </c>
      <c r="C388" s="40">
        <f t="shared" si="43"/>
        <v>0</v>
      </c>
      <c r="D388" s="40">
        <f t="shared" si="41"/>
        <v>0</v>
      </c>
      <c r="E388" s="40">
        <f t="shared" si="44"/>
        <v>0</v>
      </c>
      <c r="F388" s="40"/>
      <c r="G388" s="41">
        <f t="shared" si="45"/>
        <v>0</v>
      </c>
      <c r="I388" s="42">
        <f t="shared" si="47"/>
        <v>0</v>
      </c>
    </row>
    <row r="389" spans="1:9" x14ac:dyDescent="0.25">
      <c r="A389" s="38">
        <f t="shared" si="46"/>
        <v>354</v>
      </c>
      <c r="B389" s="39">
        <f t="shared" si="42"/>
        <v>0</v>
      </c>
      <c r="C389" s="40">
        <f t="shared" si="43"/>
        <v>0</v>
      </c>
      <c r="D389" s="40">
        <f t="shared" si="41"/>
        <v>0</v>
      </c>
      <c r="E389" s="40">
        <f t="shared" si="44"/>
        <v>0</v>
      </c>
      <c r="F389" s="40"/>
      <c r="G389" s="41">
        <f t="shared" si="45"/>
        <v>0</v>
      </c>
      <c r="I389" s="42">
        <f t="shared" si="47"/>
        <v>0</v>
      </c>
    </row>
    <row r="390" spans="1:9" x14ac:dyDescent="0.25">
      <c r="A390" s="38">
        <f t="shared" si="46"/>
        <v>355</v>
      </c>
      <c r="B390" s="39">
        <f t="shared" si="42"/>
        <v>0</v>
      </c>
      <c r="C390" s="40">
        <f t="shared" si="43"/>
        <v>0</v>
      </c>
      <c r="D390" s="40">
        <f t="shared" si="41"/>
        <v>0</v>
      </c>
      <c r="E390" s="40">
        <f t="shared" si="44"/>
        <v>0</v>
      </c>
      <c r="F390" s="40"/>
      <c r="G390" s="41">
        <f t="shared" si="45"/>
        <v>0</v>
      </c>
      <c r="I390" s="42">
        <f t="shared" si="47"/>
        <v>0</v>
      </c>
    </row>
    <row r="391" spans="1:9" x14ac:dyDescent="0.25">
      <c r="A391" s="38">
        <f t="shared" si="46"/>
        <v>356</v>
      </c>
      <c r="B391" s="39">
        <f t="shared" si="42"/>
        <v>0</v>
      </c>
      <c r="C391" s="40">
        <f t="shared" si="43"/>
        <v>0</v>
      </c>
      <c r="D391" s="40">
        <f t="shared" si="41"/>
        <v>0</v>
      </c>
      <c r="E391" s="40">
        <f t="shared" si="44"/>
        <v>0</v>
      </c>
      <c r="F391" s="40"/>
      <c r="G391" s="41">
        <f t="shared" si="45"/>
        <v>0</v>
      </c>
      <c r="I391" s="42">
        <f t="shared" si="47"/>
        <v>0</v>
      </c>
    </row>
    <row r="392" spans="1:9" x14ac:dyDescent="0.25">
      <c r="A392" s="38">
        <f t="shared" si="46"/>
        <v>357</v>
      </c>
      <c r="B392" s="39">
        <f t="shared" si="42"/>
        <v>0</v>
      </c>
      <c r="C392" s="40">
        <f t="shared" si="43"/>
        <v>0</v>
      </c>
      <c r="D392" s="40">
        <f t="shared" si="41"/>
        <v>0</v>
      </c>
      <c r="E392" s="40">
        <f t="shared" si="44"/>
        <v>0</v>
      </c>
      <c r="F392" s="40"/>
      <c r="G392" s="41">
        <f t="shared" si="45"/>
        <v>0</v>
      </c>
      <c r="I392" s="42">
        <f t="shared" si="47"/>
        <v>0</v>
      </c>
    </row>
    <row r="393" spans="1:9" x14ac:dyDescent="0.25">
      <c r="A393" s="38">
        <f t="shared" si="46"/>
        <v>358</v>
      </c>
      <c r="B393" s="39">
        <f t="shared" si="42"/>
        <v>0</v>
      </c>
      <c r="C393" s="40">
        <f t="shared" si="43"/>
        <v>0</v>
      </c>
      <c r="D393" s="40">
        <f t="shared" si="41"/>
        <v>0</v>
      </c>
      <c r="E393" s="40">
        <f t="shared" si="44"/>
        <v>0</v>
      </c>
      <c r="F393" s="40"/>
      <c r="G393" s="41">
        <f t="shared" si="45"/>
        <v>0</v>
      </c>
      <c r="I393" s="42">
        <f t="shared" si="47"/>
        <v>0</v>
      </c>
    </row>
    <row r="394" spans="1:9" x14ac:dyDescent="0.25">
      <c r="A394" s="38">
        <f t="shared" si="46"/>
        <v>359</v>
      </c>
      <c r="B394" s="39">
        <f t="shared" si="42"/>
        <v>0</v>
      </c>
      <c r="C394" s="40">
        <f t="shared" si="43"/>
        <v>0</v>
      </c>
      <c r="D394" s="40">
        <f t="shared" si="41"/>
        <v>0</v>
      </c>
      <c r="E394" s="40">
        <f t="shared" si="44"/>
        <v>0</v>
      </c>
      <c r="F394" s="40"/>
      <c r="G394" s="41">
        <f t="shared" si="45"/>
        <v>0</v>
      </c>
      <c r="I394" s="42">
        <f t="shared" si="47"/>
        <v>0</v>
      </c>
    </row>
    <row r="395" spans="1:9" x14ac:dyDescent="0.25">
      <c r="A395" s="38">
        <f t="shared" si="46"/>
        <v>360</v>
      </c>
      <c r="B395" s="39">
        <f t="shared" si="42"/>
        <v>0</v>
      </c>
      <c r="C395" s="40">
        <f t="shared" si="43"/>
        <v>0</v>
      </c>
      <c r="D395" s="40">
        <f t="shared" si="41"/>
        <v>0</v>
      </c>
      <c r="E395" s="40">
        <f t="shared" si="44"/>
        <v>0</v>
      </c>
      <c r="F395" s="40"/>
      <c r="G395" s="41">
        <f t="shared" si="45"/>
        <v>0</v>
      </c>
      <c r="I395" s="42">
        <f t="shared" si="47"/>
        <v>0</v>
      </c>
    </row>
  </sheetData>
  <mergeCells count="1">
    <mergeCell ref="B33:G33"/>
  </mergeCells>
  <dataValidations count="2">
    <dataValidation type="list" allowBlank="1" showInputMessage="1" showErrorMessage="1" sqref="B27">
      <formula1>TAMORT</formula1>
    </dataValidation>
    <dataValidation type="list" allowBlank="1" showInputMessage="1" showErrorMessage="1" sqref="B8 B14:B16">
      <formula1>CANALES</formula1>
    </dataValidation>
  </dataValidation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K215"/>
  <sheetViews>
    <sheetView topLeftCell="A25" workbookViewId="0"/>
  </sheetViews>
  <sheetFormatPr baseColWidth="10" defaultRowHeight="15" x14ac:dyDescent="0.25"/>
  <cols>
    <col min="1" max="1" width="26.140625" style="20" customWidth="1"/>
    <col min="2" max="2" width="20.28515625" style="20" customWidth="1"/>
    <col min="3" max="4" width="18.85546875" style="20" customWidth="1"/>
    <col min="5" max="5" width="18.5703125" style="20" customWidth="1"/>
    <col min="6" max="8" width="15.42578125" style="20" customWidth="1"/>
    <col min="9" max="9" width="14.85546875" style="20" bestFit="1" customWidth="1"/>
    <col min="10" max="10" width="13.7109375" style="20" customWidth="1"/>
    <col min="11" max="11" width="15.140625" style="20" customWidth="1"/>
    <col min="12" max="16384" width="11.42578125" style="20"/>
  </cols>
  <sheetData>
    <row r="1" spans="1:4" x14ac:dyDescent="0.25">
      <c r="A1" s="20" t="s">
        <v>64</v>
      </c>
      <c r="B1" s="20" t="s">
        <v>85</v>
      </c>
    </row>
    <row r="2" spans="1:4" x14ac:dyDescent="0.25">
      <c r="A2" s="20" t="s">
        <v>65</v>
      </c>
      <c r="B2" s="21">
        <f>VLOOKUP(B1,PRODUCTOOTROS,6,0)</f>
        <v>1800000</v>
      </c>
    </row>
    <row r="3" spans="1:4" x14ac:dyDescent="0.25">
      <c r="A3" s="20" t="s">
        <v>66</v>
      </c>
      <c r="B3" s="21">
        <f>VLOOKUP(B1,PRODUCTOOTROS,7,0)</f>
        <v>1400000</v>
      </c>
    </row>
    <row r="4" spans="1:4" x14ac:dyDescent="0.25">
      <c r="A4" s="20" t="s">
        <v>67</v>
      </c>
      <c r="B4" s="21">
        <f>VLOOKUP(B1,PRODUCTOOTROS,9,0)</f>
        <v>9500</v>
      </c>
      <c r="D4" s="20" t="str">
        <f ca="1">INDIRECT(IF(B9="VIVIENDA", "PRODUCTOOTROS","PRODUCTOOTROS"))</f>
        <v>Cuota fija Pesos</v>
      </c>
    </row>
    <row r="5" spans="1:4" x14ac:dyDescent="0.25">
      <c r="A5" s="20" t="s">
        <v>68</v>
      </c>
      <c r="B5" s="21">
        <f>VLOOKUP(B1,PRODUCTOOTROS,8,0)</f>
        <v>1</v>
      </c>
    </row>
    <row r="8" spans="1:4" x14ac:dyDescent="0.25">
      <c r="A8" s="20" t="s">
        <v>31</v>
      </c>
      <c r="B8" s="21">
        <f>'2.USUARIO'!B2</f>
        <v>3000000</v>
      </c>
    </row>
    <row r="9" spans="1:4" x14ac:dyDescent="0.25">
      <c r="A9" s="20" t="s">
        <v>28</v>
      </c>
      <c r="B9" s="21" t="str">
        <f>'2.USUARIO'!B3</f>
        <v>CONSUMO</v>
      </c>
    </row>
    <row r="10" spans="1:4" x14ac:dyDescent="0.25">
      <c r="A10" s="20" t="s">
        <v>33</v>
      </c>
      <c r="B10" s="21">
        <f>'2.USUARIO'!B4</f>
        <v>200000000</v>
      </c>
    </row>
    <row r="11" spans="1:4" x14ac:dyDescent="0.25">
      <c r="A11" s="20" t="s">
        <v>63</v>
      </c>
      <c r="B11" s="21">
        <f>'2.USUARIO'!B5</f>
        <v>60000000</v>
      </c>
    </row>
    <row r="12" spans="1:4" x14ac:dyDescent="0.25">
      <c r="A12" s="20" t="s">
        <v>30</v>
      </c>
      <c r="B12" s="21">
        <f>'2.USUARIO'!B6</f>
        <v>140000000</v>
      </c>
    </row>
    <row r="13" spans="1:4" x14ac:dyDescent="0.25">
      <c r="A13" s="20" t="s">
        <v>12</v>
      </c>
      <c r="B13" s="20">
        <f>'2.USUARIO'!B7</f>
        <v>36</v>
      </c>
    </row>
    <row r="14" spans="1:4" x14ac:dyDescent="0.25">
      <c r="A14" s="20" t="s">
        <v>60</v>
      </c>
      <c r="B14" s="20" t="str">
        <f>'2.USUARIO'!B8</f>
        <v>CANAL 1</v>
      </c>
      <c r="C14" s="21">
        <f>IF(OR(B14="",B14=0),"",VLOOKUP($B$1,PRODUCTOOTROS,MATCH(B14,CANALOTROS,0),0))</f>
        <v>6000</v>
      </c>
    </row>
    <row r="15" spans="1:4" x14ac:dyDescent="0.25">
      <c r="A15" s="20" t="s">
        <v>61</v>
      </c>
      <c r="B15" s="20" t="str">
        <f>'2.USUARIO'!B9</f>
        <v>CANAL 2</v>
      </c>
      <c r="C15" s="21">
        <f>IF(OR(B15="",B15=0),"",VLOOKUP($B$1,PRODUCTOOTROS,MATCH(B15,CANALOTROS,0),0))</f>
        <v>6000</v>
      </c>
    </row>
    <row r="16" spans="1:4" x14ac:dyDescent="0.25">
      <c r="A16" s="20" t="s">
        <v>62</v>
      </c>
      <c r="B16" s="20" t="str">
        <f>'2.USUARIO'!B10</f>
        <v>CANAL 4</v>
      </c>
      <c r="C16" s="21">
        <f>IF(OR(B16="",B16=0),"",VLOOKUP($B$1,PRODUCTOOTROS,MATCH(B16,CANALOTROS,0),0))</f>
        <v>1000</v>
      </c>
    </row>
    <row r="17" spans="1:10" x14ac:dyDescent="0.25">
      <c r="A17" s="20" t="s">
        <v>69</v>
      </c>
      <c r="C17" s="21">
        <f>AVERAGE(C14:C16)</f>
        <v>4333.333333333333</v>
      </c>
    </row>
    <row r="19" spans="1:10" x14ac:dyDescent="0.25">
      <c r="A19" s="20" t="s">
        <v>70</v>
      </c>
      <c r="B19" s="20">
        <f>IF(B9="VIVIENDA",IF(0.3*B8&gt;=B36,1,0),1)</f>
        <v>1</v>
      </c>
    </row>
    <row r="20" spans="1:10" ht="15.75" thickBot="1" x14ac:dyDescent="0.3"/>
    <row r="21" spans="1:10" ht="16.5" thickBot="1" x14ac:dyDescent="0.3">
      <c r="A21" s="20" t="s">
        <v>0</v>
      </c>
      <c r="B21" s="22">
        <f>VLOOKUP(B1,PRODUCTOOTROS,5,0)</f>
        <v>0.15</v>
      </c>
      <c r="C21" s="23">
        <f>'0.User'!$B$11</f>
        <v>0.1323</v>
      </c>
      <c r="D21" s="20" t="s">
        <v>1</v>
      </c>
    </row>
    <row r="22" spans="1:10" x14ac:dyDescent="0.25">
      <c r="A22" s="20" t="s">
        <v>2</v>
      </c>
      <c r="B22" s="23">
        <f>(1+B21)^(1/12)-1</f>
        <v>1.171491691985338E-2</v>
      </c>
      <c r="C22" s="23">
        <f>(1+C21)^(1/12)-1</f>
        <v>1.0408037569308748E-2</v>
      </c>
      <c r="D22" s="20" t="s">
        <v>3</v>
      </c>
    </row>
    <row r="23" spans="1:10" x14ac:dyDescent="0.25">
      <c r="A23" s="20" t="s">
        <v>22</v>
      </c>
      <c r="B23" s="23">
        <f>'0.User'!$B$10</f>
        <v>0.04</v>
      </c>
      <c r="C23" s="23"/>
    </row>
    <row r="24" spans="1:10" x14ac:dyDescent="0.25">
      <c r="A24" s="20" t="s">
        <v>23</v>
      </c>
      <c r="B24" s="23">
        <f>(1+B23)^(1/12)-1</f>
        <v>3.2737397821989145E-3</v>
      </c>
    </row>
    <row r="25" spans="1:10" x14ac:dyDescent="0.25">
      <c r="A25" s="20" t="s">
        <v>4</v>
      </c>
      <c r="B25" s="21">
        <f>B12</f>
        <v>140000000</v>
      </c>
      <c r="C25" s="24"/>
    </row>
    <row r="26" spans="1:10" ht="15.75" thickBot="1" x14ac:dyDescent="0.3">
      <c r="A26" s="20" t="s">
        <v>5</v>
      </c>
      <c r="B26" s="20">
        <f>B13</f>
        <v>36</v>
      </c>
    </row>
    <row r="27" spans="1:10" ht="16.5" thickBot="1" x14ac:dyDescent="0.3">
      <c r="A27" s="20" t="s">
        <v>25</v>
      </c>
      <c r="B27" s="25" t="str">
        <f>VLOOKUP(B1,PRODUCTOOTROS,4,0)</f>
        <v>Cuota fija Pesos</v>
      </c>
      <c r="F27" s="26"/>
      <c r="G27" s="26"/>
      <c r="H27" s="26"/>
    </row>
    <row r="28" spans="1:10" x14ac:dyDescent="0.25">
      <c r="A28" s="20" t="s">
        <v>24</v>
      </c>
      <c r="B28" s="20">
        <f>VLOOKUP(B27,TAMORT2,2,0)</f>
        <v>4</v>
      </c>
    </row>
    <row r="31" spans="1:10" x14ac:dyDescent="0.25">
      <c r="B31" s="27"/>
      <c r="D31" s="27"/>
      <c r="F31" s="27"/>
      <c r="H31" s="27"/>
      <c r="J31" s="27"/>
    </row>
    <row r="32" spans="1:10" ht="15.75" thickBot="1" x14ac:dyDescent="0.3">
      <c r="B32" s="21">
        <f t="shared" ref="B32" si="0">SUM(B35:B215)</f>
        <v>172397021.01891765</v>
      </c>
      <c r="C32" s="21">
        <f>SUM(C35:C215)</f>
        <v>32397021.018917687</v>
      </c>
      <c r="D32" s="21">
        <f>SUM(D35:D215)</f>
        <v>139999999.99999997</v>
      </c>
      <c r="E32" s="21">
        <f t="shared" ref="E32:G32" si="1">SUM(E35:E215)</f>
        <v>2765450343.4005718</v>
      </c>
      <c r="F32" s="21">
        <f t="shared" si="1"/>
        <v>0</v>
      </c>
      <c r="G32" s="21">
        <f t="shared" si="1"/>
        <v>3707500.0000000009</v>
      </c>
      <c r="H32" s="21"/>
      <c r="I32" s="23"/>
    </row>
    <row r="33" spans="1:11" ht="15.75" thickBot="1" x14ac:dyDescent="0.3">
      <c r="B33" s="238" t="s">
        <v>6</v>
      </c>
      <c r="C33" s="239"/>
      <c r="D33" s="239"/>
      <c r="E33" s="239"/>
      <c r="F33" s="239"/>
      <c r="G33" s="240"/>
      <c r="H33" s="28"/>
      <c r="I33" s="21"/>
    </row>
    <row r="34" spans="1:11" ht="15.75" thickBot="1" x14ac:dyDescent="0.3">
      <c r="A34" s="29" t="s">
        <v>7</v>
      </c>
      <c r="B34" s="29" t="s">
        <v>8</v>
      </c>
      <c r="C34" s="29" t="s">
        <v>9</v>
      </c>
      <c r="D34" s="29" t="s">
        <v>10</v>
      </c>
      <c r="E34" s="29" t="s">
        <v>11</v>
      </c>
      <c r="F34" s="29" t="s">
        <v>26</v>
      </c>
      <c r="G34" s="29" t="s">
        <v>27</v>
      </c>
      <c r="H34" s="28"/>
      <c r="I34" s="30"/>
      <c r="J34" s="28" t="s">
        <v>13</v>
      </c>
      <c r="K34" s="28" t="s">
        <v>14</v>
      </c>
    </row>
    <row r="35" spans="1:11" x14ac:dyDescent="0.25">
      <c r="A35" s="31">
        <v>0</v>
      </c>
      <c r="B35" s="32">
        <f t="shared" ref="B35:B66" si="2">Camort($B$22,$B$24,$B$26,$B$25,A35,$B$28,1)</f>
        <v>0</v>
      </c>
      <c r="C35" s="33">
        <f t="shared" ref="C35:C66" si="3">Camort($B$22,$B$24,$B$26,$B$25,A35,$B$28,2)</f>
        <v>0</v>
      </c>
      <c r="D35" s="33">
        <f t="shared" ref="D35:D98" si="4">B35-C35</f>
        <v>0</v>
      </c>
      <c r="E35" s="33">
        <f t="shared" ref="E35:E66" si="5">Camort($B$22,$B$24,$B$26,$B$25,A35,$B$28,3)</f>
        <v>140000000</v>
      </c>
      <c r="F35" s="33"/>
      <c r="G35" s="34">
        <f>B2+IF(AND(A37&lt;=$B$26,MOD(A37,$B$5)=0),$B$4,0)</f>
        <v>1809500</v>
      </c>
      <c r="H35" s="35"/>
      <c r="I35" s="36">
        <f>-E35-F35+G35</f>
        <v>-138190500</v>
      </c>
      <c r="J35" s="37">
        <f>IRR(I35:I215,0.00001)</f>
        <v>1.3027511735528075E-2</v>
      </c>
      <c r="K35" s="23">
        <f>(1+J35)^12-1</f>
        <v>0.16803237558711182</v>
      </c>
    </row>
    <row r="36" spans="1:11" x14ac:dyDescent="0.25">
      <c r="A36" s="38">
        <v>1</v>
      </c>
      <c r="B36" s="39">
        <f t="shared" si="2"/>
        <v>4788806.1394143794</v>
      </c>
      <c r="C36" s="40">
        <f t="shared" si="3"/>
        <v>1640088.3687794742</v>
      </c>
      <c r="D36" s="40">
        <f t="shared" si="4"/>
        <v>3148717.7706349054</v>
      </c>
      <c r="E36" s="40">
        <f t="shared" si="5"/>
        <v>136851282.22936514</v>
      </c>
      <c r="F36" s="40"/>
      <c r="G36" s="41">
        <f t="shared" ref="G36:G67" si="6">IF(A36&lt;=$B$26,$C$17,0)+IF(AND(A36&lt;=$B$26,MOD(A36,$B$5)=0),$B$4,0)+IF(A36=$B$26,$B$3,0)</f>
        <v>13833.333333333332</v>
      </c>
      <c r="H36" s="35"/>
      <c r="I36" s="42">
        <f>B36-F36+G36</f>
        <v>4802639.4727477124</v>
      </c>
      <c r="J36" s="43"/>
    </row>
    <row r="37" spans="1:11" x14ac:dyDescent="0.25">
      <c r="A37" s="38">
        <v>2</v>
      </c>
      <c r="B37" s="39">
        <f t="shared" si="2"/>
        <v>4788806.1394143794</v>
      </c>
      <c r="C37" s="40">
        <f t="shared" si="3"/>
        <v>1603201.4016924198</v>
      </c>
      <c r="D37" s="40">
        <f t="shared" si="4"/>
        <v>3185604.7377219596</v>
      </c>
      <c r="E37" s="40">
        <f t="shared" si="5"/>
        <v>133665677.49164322</v>
      </c>
      <c r="F37" s="40"/>
      <c r="G37" s="41">
        <f t="shared" si="6"/>
        <v>13833.333333333332</v>
      </c>
      <c r="H37" s="35"/>
      <c r="I37" s="42">
        <f t="shared" ref="I37:I100" si="7">B37-F37+G37</f>
        <v>4802639.4727477124</v>
      </c>
      <c r="J37" s="43"/>
      <c r="K37" s="43"/>
    </row>
    <row r="38" spans="1:11" x14ac:dyDescent="0.25">
      <c r="A38" s="38">
        <v>3</v>
      </c>
      <c r="B38" s="39">
        <f t="shared" si="2"/>
        <v>4788806.1394143794</v>
      </c>
      <c r="C38" s="40">
        <f t="shared" si="3"/>
        <v>1565882.3068505162</v>
      </c>
      <c r="D38" s="40">
        <f t="shared" si="4"/>
        <v>3222923.8325638631</v>
      </c>
      <c r="E38" s="40">
        <f t="shared" si="5"/>
        <v>130442753.65907937</v>
      </c>
      <c r="F38" s="40"/>
      <c r="G38" s="41">
        <f t="shared" si="6"/>
        <v>13833.333333333332</v>
      </c>
      <c r="H38" s="35"/>
      <c r="I38" s="42">
        <f t="shared" si="7"/>
        <v>4802639.4727477124</v>
      </c>
      <c r="J38" s="43"/>
      <c r="K38" s="21"/>
    </row>
    <row r="39" spans="1:11" x14ac:dyDescent="0.25">
      <c r="A39" s="38">
        <v>4</v>
      </c>
      <c r="B39" s="39">
        <f t="shared" si="2"/>
        <v>4788806.1394143794</v>
      </c>
      <c r="C39" s="40">
        <f t="shared" si="3"/>
        <v>1528126.0219130153</v>
      </c>
      <c r="D39" s="40">
        <f t="shared" si="4"/>
        <v>3260680.1175013641</v>
      </c>
      <c r="E39" s="40">
        <f t="shared" si="5"/>
        <v>127182073.54157797</v>
      </c>
      <c r="F39" s="40"/>
      <c r="G39" s="41">
        <f t="shared" si="6"/>
        <v>13833.333333333332</v>
      </c>
      <c r="H39" s="35"/>
      <c r="I39" s="42">
        <f t="shared" si="7"/>
        <v>4802639.4727477124</v>
      </c>
      <c r="J39" s="43"/>
    </row>
    <row r="40" spans="1:11" x14ac:dyDescent="0.25">
      <c r="A40" s="38">
        <v>5</v>
      </c>
      <c r="B40" s="39">
        <f t="shared" si="2"/>
        <v>4788806.1394143794</v>
      </c>
      <c r="C40" s="40">
        <f t="shared" si="3"/>
        <v>1489927.4252342687</v>
      </c>
      <c r="D40" s="40">
        <f t="shared" si="4"/>
        <v>3298878.714180111</v>
      </c>
      <c r="E40" s="40">
        <f t="shared" si="5"/>
        <v>123883194.82739784</v>
      </c>
      <c r="F40" s="40"/>
      <c r="G40" s="41">
        <f t="shared" si="6"/>
        <v>13833.333333333332</v>
      </c>
      <c r="H40" s="35"/>
      <c r="I40" s="42">
        <f t="shared" si="7"/>
        <v>4802639.4727477124</v>
      </c>
      <c r="J40" s="43"/>
    </row>
    <row r="41" spans="1:11" x14ac:dyDescent="0.25">
      <c r="A41" s="38">
        <v>6</v>
      </c>
      <c r="B41" s="39">
        <f t="shared" si="2"/>
        <v>4788806.1394143794</v>
      </c>
      <c r="C41" s="40">
        <f t="shared" si="3"/>
        <v>1451281.3351689756</v>
      </c>
      <c r="D41" s="40">
        <f t="shared" si="4"/>
        <v>3337524.804245404</v>
      </c>
      <c r="E41" s="40">
        <f t="shared" si="5"/>
        <v>120545670.02315246</v>
      </c>
      <c r="F41" s="40"/>
      <c r="G41" s="41">
        <f t="shared" si="6"/>
        <v>13833.333333333332</v>
      </c>
      <c r="H41" s="35"/>
      <c r="I41" s="42">
        <f t="shared" si="7"/>
        <v>4802639.4727477124</v>
      </c>
      <c r="J41" s="43"/>
    </row>
    <row r="42" spans="1:11" x14ac:dyDescent="0.25">
      <c r="A42" s="38">
        <v>7</v>
      </c>
      <c r="B42" s="39">
        <f t="shared" si="2"/>
        <v>4788806.1394143794</v>
      </c>
      <c r="C42" s="40">
        <f t="shared" si="3"/>
        <v>1412182.5093692911</v>
      </c>
      <c r="D42" s="40">
        <f t="shared" si="4"/>
        <v>3376623.630045088</v>
      </c>
      <c r="E42" s="40">
        <f t="shared" si="5"/>
        <v>117169046.39310737</v>
      </c>
      <c r="F42" s="40"/>
      <c r="G42" s="41">
        <f t="shared" si="6"/>
        <v>13833.333333333332</v>
      </c>
      <c r="H42" s="35"/>
      <c r="I42" s="42">
        <f t="shared" si="7"/>
        <v>4802639.4727477124</v>
      </c>
      <c r="J42" s="43"/>
    </row>
    <row r="43" spans="1:11" x14ac:dyDescent="0.25">
      <c r="A43" s="38">
        <v>8</v>
      </c>
      <c r="B43" s="39">
        <f t="shared" si="2"/>
        <v>4788806.1394143794</v>
      </c>
      <c r="C43" s="40">
        <f t="shared" si="3"/>
        <v>1372625.6440736991</v>
      </c>
      <c r="D43" s="40">
        <f t="shared" si="4"/>
        <v>3416180.4953406802</v>
      </c>
      <c r="E43" s="40">
        <f t="shared" si="5"/>
        <v>113752865.89776669</v>
      </c>
      <c r="F43" s="40"/>
      <c r="G43" s="41">
        <f t="shared" si="6"/>
        <v>13833.333333333332</v>
      </c>
      <c r="H43" s="35"/>
      <c r="I43" s="42">
        <f t="shared" si="7"/>
        <v>4802639.4727477124</v>
      </c>
      <c r="J43" s="43"/>
    </row>
    <row r="44" spans="1:11" x14ac:dyDescent="0.25">
      <c r="A44" s="38">
        <v>9</v>
      </c>
      <c r="B44" s="39">
        <f t="shared" si="2"/>
        <v>4788806.1394143794</v>
      </c>
      <c r="C44" s="40">
        <f t="shared" si="3"/>
        <v>1332605.3733875595</v>
      </c>
      <c r="D44" s="40">
        <f t="shared" si="4"/>
        <v>3456200.7660268201</v>
      </c>
      <c r="E44" s="40">
        <f t="shared" si="5"/>
        <v>110296665.13173984</v>
      </c>
      <c r="F44" s="40"/>
      <c r="G44" s="41">
        <f t="shared" si="6"/>
        <v>13833.333333333332</v>
      </c>
      <c r="H44" s="35"/>
      <c r="I44" s="42">
        <f t="shared" si="7"/>
        <v>4802639.4727477124</v>
      </c>
      <c r="J44" s="43"/>
    </row>
    <row r="45" spans="1:11" x14ac:dyDescent="0.25">
      <c r="A45" s="38">
        <v>10</v>
      </c>
      <c r="B45" s="39">
        <f t="shared" si="2"/>
        <v>4788806.1394143794</v>
      </c>
      <c r="C45" s="40">
        <f t="shared" si="3"/>
        <v>1292116.2685552214</v>
      </c>
      <c r="D45" s="40">
        <f t="shared" si="4"/>
        <v>3496689.8708591582</v>
      </c>
      <c r="E45" s="40">
        <f t="shared" si="5"/>
        <v>106799975.26088069</v>
      </c>
      <c r="F45" s="40"/>
      <c r="G45" s="41">
        <f t="shared" si="6"/>
        <v>13833.333333333332</v>
      </c>
      <c r="H45" s="35"/>
      <c r="I45" s="42">
        <f t="shared" si="7"/>
        <v>4802639.4727477124</v>
      </c>
      <c r="J45" s="43"/>
    </row>
    <row r="46" spans="1:11" x14ac:dyDescent="0.25">
      <c r="A46" s="38">
        <v>11</v>
      </c>
      <c r="B46" s="39">
        <f t="shared" si="2"/>
        <v>4788806.1394143794</v>
      </c>
      <c r="C46" s="40">
        <f t="shared" si="3"/>
        <v>1251152.8372236136</v>
      </c>
      <c r="D46" s="40">
        <f t="shared" si="4"/>
        <v>3537653.3021907657</v>
      </c>
      <c r="E46" s="40">
        <f t="shared" si="5"/>
        <v>103262321.95868991</v>
      </c>
      <c r="F46" s="40"/>
      <c r="G46" s="41">
        <f t="shared" si="6"/>
        <v>13833.333333333332</v>
      </c>
      <c r="H46" s="35"/>
      <c r="I46" s="42">
        <f t="shared" si="7"/>
        <v>4802639.4727477124</v>
      </c>
      <c r="J46" s="43"/>
    </row>
    <row r="47" spans="1:11" x14ac:dyDescent="0.25">
      <c r="A47" s="38">
        <v>12</v>
      </c>
      <c r="B47" s="39">
        <f t="shared" si="2"/>
        <v>4788806.1394143794</v>
      </c>
      <c r="C47" s="40">
        <f t="shared" si="3"/>
        <v>1209709.5226972036</v>
      </c>
      <c r="D47" s="40">
        <f t="shared" si="4"/>
        <v>3579096.6167171756</v>
      </c>
      <c r="E47" s="40">
        <f t="shared" si="5"/>
        <v>99683225.341972768</v>
      </c>
      <c r="F47" s="40"/>
      <c r="G47" s="41">
        <f t="shared" si="6"/>
        <v>13833.333333333332</v>
      </c>
      <c r="H47" s="35"/>
      <c r="I47" s="42">
        <f t="shared" si="7"/>
        <v>4802639.4727477124</v>
      </c>
      <c r="J47" s="43"/>
    </row>
    <row r="48" spans="1:11" x14ac:dyDescent="0.25">
      <c r="A48" s="38">
        <v>13</v>
      </c>
      <c r="B48" s="39">
        <f t="shared" si="2"/>
        <v>4788806.1394143794</v>
      </c>
      <c r="C48" s="40">
        <f t="shared" si="3"/>
        <v>1167780.703184234</v>
      </c>
      <c r="D48" s="40">
        <f t="shared" si="4"/>
        <v>3621025.4362301454</v>
      </c>
      <c r="E48" s="40">
        <f t="shared" si="5"/>
        <v>96062199.905742541</v>
      </c>
      <c r="F48" s="40"/>
      <c r="G48" s="41">
        <f t="shared" si="6"/>
        <v>13833.333333333332</v>
      </c>
      <c r="H48" s="35"/>
      <c r="I48" s="42">
        <f t="shared" si="7"/>
        <v>4802639.4727477124</v>
      </c>
      <c r="J48" s="43"/>
    </row>
    <row r="49" spans="1:10" x14ac:dyDescent="0.25">
      <c r="A49" s="38">
        <v>14</v>
      </c>
      <c r="B49" s="39">
        <f t="shared" si="2"/>
        <v>4788806.1394143794</v>
      </c>
      <c r="C49" s="40">
        <f t="shared" si="3"/>
        <v>1125360.691034121</v>
      </c>
      <c r="D49" s="40">
        <f t="shared" si="4"/>
        <v>3663445.4483802584</v>
      </c>
      <c r="E49" s="40">
        <f t="shared" si="5"/>
        <v>92398754.457362384</v>
      </c>
      <c r="F49" s="40"/>
      <c r="G49" s="41">
        <f t="shared" si="6"/>
        <v>13833.333333333332</v>
      </c>
      <c r="H49" s="35"/>
      <c r="I49" s="42">
        <f t="shared" si="7"/>
        <v>4802639.4727477124</v>
      </c>
      <c r="J49" s="43"/>
    </row>
    <row r="50" spans="1:10" x14ac:dyDescent="0.25">
      <c r="A50" s="38">
        <v>15</v>
      </c>
      <c r="B50" s="39">
        <f t="shared" si="2"/>
        <v>4788806.1394143794</v>
      </c>
      <c r="C50" s="40">
        <f t="shared" si="3"/>
        <v>1082443.7319659325</v>
      </c>
      <c r="D50" s="40">
        <f t="shared" si="4"/>
        <v>3706362.4074484468</v>
      </c>
      <c r="E50" s="40">
        <f t="shared" si="5"/>
        <v>88692392.049913853</v>
      </c>
      <c r="F50" s="40"/>
      <c r="G50" s="41">
        <f t="shared" si="6"/>
        <v>13833.333333333332</v>
      </c>
      <c r="H50" s="35"/>
      <c r="I50" s="42">
        <f t="shared" si="7"/>
        <v>4802639.4727477124</v>
      </c>
      <c r="J50" s="43"/>
    </row>
    <row r="51" spans="1:10" x14ac:dyDescent="0.25">
      <c r="A51" s="38">
        <v>16</v>
      </c>
      <c r="B51" s="39">
        <f t="shared" si="2"/>
        <v>4788806.1394143794</v>
      </c>
      <c r="C51" s="40">
        <f t="shared" si="3"/>
        <v>1039024.0042878052</v>
      </c>
      <c r="D51" s="40">
        <f t="shared" si="4"/>
        <v>3749782.135126574</v>
      </c>
      <c r="E51" s="40">
        <f t="shared" si="5"/>
        <v>84942609.914787322</v>
      </c>
      <c r="F51" s="40"/>
      <c r="G51" s="41">
        <f t="shared" si="6"/>
        <v>13833.333333333332</v>
      </c>
      <c r="H51" s="35"/>
      <c r="I51" s="42">
        <f t="shared" si="7"/>
        <v>4802639.4727477124</v>
      </c>
      <c r="J51" s="43"/>
    </row>
    <row r="52" spans="1:10" x14ac:dyDescent="0.25">
      <c r="A52" s="38">
        <v>17</v>
      </c>
      <c r="B52" s="39">
        <f t="shared" si="2"/>
        <v>4788806.1394143794</v>
      </c>
      <c r="C52" s="40">
        <f t="shared" si="3"/>
        <v>995095.6181072474</v>
      </c>
      <c r="D52" s="40">
        <f t="shared" si="4"/>
        <v>3793710.5213071322</v>
      </c>
      <c r="E52" s="40">
        <f t="shared" si="5"/>
        <v>81148899.393480137</v>
      </c>
      <c r="F52" s="40"/>
      <c r="G52" s="41">
        <f t="shared" si="6"/>
        <v>13833.333333333332</v>
      </c>
      <c r="H52" s="35"/>
      <c r="I52" s="42">
        <f t="shared" si="7"/>
        <v>4802639.4727477124</v>
      </c>
      <c r="J52" s="43"/>
    </row>
    <row r="53" spans="1:10" x14ac:dyDescent="0.25">
      <c r="A53" s="38">
        <v>18</v>
      </c>
      <c r="B53" s="39">
        <f t="shared" si="2"/>
        <v>4788806.1394143794</v>
      </c>
      <c r="C53" s="40">
        <f t="shared" si="3"/>
        <v>950652.61453216011</v>
      </c>
      <c r="D53" s="40">
        <f t="shared" si="4"/>
        <v>3838153.5248822193</v>
      </c>
      <c r="E53" s="40">
        <f t="shared" si="5"/>
        <v>77310745.868597955</v>
      </c>
      <c r="F53" s="40"/>
      <c r="G53" s="41">
        <f t="shared" si="6"/>
        <v>13833.333333333332</v>
      </c>
      <c r="H53" s="35"/>
      <c r="I53" s="42">
        <f t="shared" si="7"/>
        <v>4802639.4727477124</v>
      </c>
      <c r="J53" s="43"/>
    </row>
    <row r="54" spans="1:10" x14ac:dyDescent="0.25">
      <c r="A54" s="38">
        <v>19</v>
      </c>
      <c r="B54" s="39">
        <f t="shared" si="2"/>
        <v>4788806.1394143794</v>
      </c>
      <c r="C54" s="40">
        <f t="shared" si="3"/>
        <v>905688.9648625229</v>
      </c>
      <c r="D54" s="40">
        <f t="shared" si="4"/>
        <v>3883117.1745518567</v>
      </c>
      <c r="E54" s="40">
        <f t="shared" si="5"/>
        <v>73427628.694046095</v>
      </c>
      <c r="F54" s="40"/>
      <c r="G54" s="41">
        <f t="shared" si="6"/>
        <v>13833.333333333332</v>
      </c>
      <c r="H54" s="35"/>
      <c r="I54" s="42">
        <f t="shared" si="7"/>
        <v>4802639.4727477124</v>
      </c>
      <c r="J54" s="43"/>
    </row>
    <row r="55" spans="1:10" x14ac:dyDescent="0.25">
      <c r="A55" s="38">
        <v>20</v>
      </c>
      <c r="B55" s="39">
        <f t="shared" si="2"/>
        <v>4788806.1394143794</v>
      </c>
      <c r="C55" s="40">
        <f t="shared" si="3"/>
        <v>860198.56977259216</v>
      </c>
      <c r="D55" s="40">
        <f t="shared" si="4"/>
        <v>3928607.5696417871</v>
      </c>
      <c r="E55" s="40">
        <f t="shared" si="5"/>
        <v>69499021.124404296</v>
      </c>
      <c r="F55" s="40"/>
      <c r="G55" s="41">
        <f t="shared" si="6"/>
        <v>13833.333333333332</v>
      </c>
      <c r="H55" s="35"/>
      <c r="I55" s="42">
        <f t="shared" si="7"/>
        <v>4802639.4727477124</v>
      </c>
      <c r="J55" s="43"/>
    </row>
    <row r="56" spans="1:10" x14ac:dyDescent="0.25">
      <c r="A56" s="38">
        <v>21</v>
      </c>
      <c r="B56" s="39">
        <f t="shared" si="2"/>
        <v>4788806.1394143794</v>
      </c>
      <c r="C56" s="40">
        <f t="shared" si="3"/>
        <v>814175.2584835313</v>
      </c>
      <c r="D56" s="40">
        <f t="shared" si="4"/>
        <v>3974630.880930848</v>
      </c>
      <c r="E56" s="40">
        <f t="shared" si="5"/>
        <v>65524390.243473403</v>
      </c>
      <c r="F56" s="40"/>
      <c r="G56" s="41">
        <f t="shared" si="6"/>
        <v>13833.333333333332</v>
      </c>
      <c r="H56" s="35"/>
      <c r="I56" s="42">
        <f t="shared" si="7"/>
        <v>4802639.4727477124</v>
      </c>
      <c r="J56" s="43"/>
    </row>
    <row r="57" spans="1:10" x14ac:dyDescent="0.25">
      <c r="A57" s="38">
        <v>22</v>
      </c>
      <c r="B57" s="39">
        <f t="shared" si="2"/>
        <v>4788806.1394143794</v>
      </c>
      <c r="C57" s="40">
        <f t="shared" si="3"/>
        <v>767612.78792634234</v>
      </c>
      <c r="D57" s="40">
        <f t="shared" si="4"/>
        <v>4021193.351488037</v>
      </c>
      <c r="E57" s="40">
        <f t="shared" si="5"/>
        <v>61503196.891985416</v>
      </c>
      <c r="F57" s="40"/>
      <c r="G57" s="41">
        <f t="shared" si="6"/>
        <v>13833.333333333332</v>
      </c>
      <c r="H57" s="35"/>
      <c r="I57" s="42">
        <f t="shared" si="7"/>
        <v>4802639.4727477124</v>
      </c>
      <c r="J57" s="43"/>
    </row>
    <row r="58" spans="1:10" x14ac:dyDescent="0.25">
      <c r="A58" s="38">
        <v>23</v>
      </c>
      <c r="B58" s="39">
        <f t="shared" si="2"/>
        <v>4788806.1394143794</v>
      </c>
      <c r="C58" s="40">
        <f t="shared" si="3"/>
        <v>720504.84189499379</v>
      </c>
      <c r="D58" s="40">
        <f t="shared" si="4"/>
        <v>4068301.2975193858</v>
      </c>
      <c r="E58" s="40">
        <f t="shared" si="5"/>
        <v>57434895.594466016</v>
      </c>
      <c r="F58" s="40"/>
      <c r="G58" s="41">
        <f t="shared" si="6"/>
        <v>13833.333333333332</v>
      </c>
      <c r="H58" s="35"/>
      <c r="I58" s="42">
        <f t="shared" si="7"/>
        <v>4802639.4727477124</v>
      </c>
      <c r="J58" s="43"/>
    </row>
    <row r="59" spans="1:10" x14ac:dyDescent="0.25">
      <c r="A59" s="38">
        <v>24</v>
      </c>
      <c r="B59" s="39">
        <f t="shared" si="2"/>
        <v>4788806.1394143794</v>
      </c>
      <c r="C59" s="40">
        <f t="shared" si="3"/>
        <v>672845.03018962231</v>
      </c>
      <c r="D59" s="40">
        <f t="shared" si="4"/>
        <v>4115961.1092247572</v>
      </c>
      <c r="E59" s="40">
        <f t="shared" si="5"/>
        <v>53318934.485241279</v>
      </c>
      <c r="F59" s="40"/>
      <c r="G59" s="41">
        <f t="shared" si="6"/>
        <v>13833.333333333332</v>
      </c>
      <c r="H59" s="35"/>
      <c r="I59" s="42">
        <f t="shared" si="7"/>
        <v>4802639.4727477124</v>
      </c>
      <c r="J59" s="43"/>
    </row>
    <row r="60" spans="1:10" x14ac:dyDescent="0.25">
      <c r="A60" s="38">
        <v>25</v>
      </c>
      <c r="B60" s="39">
        <f t="shared" si="2"/>
        <v>4788806.1394143794</v>
      </c>
      <c r="C60" s="40">
        <f t="shared" si="3"/>
        <v>624626.88774970686</v>
      </c>
      <c r="D60" s="40">
        <f t="shared" si="4"/>
        <v>4164179.2516646725</v>
      </c>
      <c r="E60" s="40">
        <f t="shared" si="5"/>
        <v>49154755.233576596</v>
      </c>
      <c r="F60" s="40"/>
      <c r="G60" s="41">
        <f t="shared" si="6"/>
        <v>13833.333333333332</v>
      </c>
      <c r="H60" s="35"/>
      <c r="I60" s="42">
        <f t="shared" si="7"/>
        <v>4802639.4727477124</v>
      </c>
      <c r="J60" s="43"/>
    </row>
    <row r="61" spans="1:10" x14ac:dyDescent="0.25">
      <c r="A61" s="38">
        <v>26</v>
      </c>
      <c r="B61" s="39">
        <f t="shared" si="2"/>
        <v>4788806.1394143794</v>
      </c>
      <c r="C61" s="40">
        <f t="shared" si="3"/>
        <v>575843.87377707788</v>
      </c>
      <c r="D61" s="40">
        <f t="shared" si="4"/>
        <v>4212962.2656373018</v>
      </c>
      <c r="E61" s="40">
        <f t="shared" si="5"/>
        <v>44941792.967939273</v>
      </c>
      <c r="F61" s="40"/>
      <c r="G61" s="41">
        <f t="shared" si="6"/>
        <v>13833.333333333332</v>
      </c>
      <c r="H61" s="35"/>
      <c r="I61" s="42">
        <f t="shared" si="7"/>
        <v>4802639.4727477124</v>
      </c>
      <c r="J61" s="43"/>
    </row>
    <row r="62" spans="1:10" x14ac:dyDescent="0.25">
      <c r="A62" s="38">
        <v>27</v>
      </c>
      <c r="B62" s="39">
        <f t="shared" si="2"/>
        <v>4788806.1394143794</v>
      </c>
      <c r="C62" s="40">
        <f t="shared" si="3"/>
        <v>526489.37084865943</v>
      </c>
      <c r="D62" s="40">
        <f t="shared" si="4"/>
        <v>4262316.7685657199</v>
      </c>
      <c r="E62" s="40">
        <f t="shared" si="5"/>
        <v>40679476.199373573</v>
      </c>
      <c r="F62" s="40"/>
      <c r="G62" s="41">
        <f t="shared" si="6"/>
        <v>13833.333333333332</v>
      </c>
      <c r="H62" s="35"/>
      <c r="I62" s="42">
        <f t="shared" si="7"/>
        <v>4802639.4727477124</v>
      </c>
      <c r="J62" s="43"/>
    </row>
    <row r="63" spans="1:10" x14ac:dyDescent="0.25">
      <c r="A63" s="38">
        <v>28</v>
      </c>
      <c r="B63" s="39">
        <f t="shared" si="2"/>
        <v>4788806.1394143794</v>
      </c>
      <c r="C63" s="40">
        <f t="shared" si="3"/>
        <v>476556.68401881435</v>
      </c>
      <c r="D63" s="40">
        <f t="shared" si="4"/>
        <v>4312249.4553955654</v>
      </c>
      <c r="E63" s="40">
        <f t="shared" si="5"/>
        <v>36367226.743978001</v>
      </c>
      <c r="F63" s="40"/>
      <c r="G63" s="41">
        <f t="shared" si="6"/>
        <v>13833.333333333332</v>
      </c>
      <c r="H63" s="35"/>
      <c r="I63" s="42">
        <f t="shared" si="7"/>
        <v>4802639.4727477124</v>
      </c>
      <c r="J63" s="43"/>
    </row>
    <row r="64" spans="1:10" x14ac:dyDescent="0.25">
      <c r="A64" s="38">
        <v>29</v>
      </c>
      <c r="B64" s="39">
        <f t="shared" si="2"/>
        <v>4788806.1394143794</v>
      </c>
      <c r="C64" s="40">
        <f t="shared" si="3"/>
        <v>426039.03991117224</v>
      </c>
      <c r="D64" s="40">
        <f t="shared" si="4"/>
        <v>4362767.099503207</v>
      </c>
      <c r="E64" s="40">
        <f t="shared" si="5"/>
        <v>32004459.644474715</v>
      </c>
      <c r="F64" s="40"/>
      <c r="G64" s="41">
        <f t="shared" si="6"/>
        <v>13833.333333333332</v>
      </c>
      <c r="H64" s="35"/>
      <c r="I64" s="42">
        <f t="shared" si="7"/>
        <v>4802639.4727477124</v>
      </c>
      <c r="J64" s="43"/>
    </row>
    <row r="65" spans="1:10" x14ac:dyDescent="0.25">
      <c r="A65" s="38">
        <v>30</v>
      </c>
      <c r="B65" s="39">
        <f t="shared" si="2"/>
        <v>4788806.1394143794</v>
      </c>
      <c r="C65" s="40">
        <f t="shared" si="3"/>
        <v>374929.58579982154</v>
      </c>
      <c r="D65" s="40">
        <f t="shared" si="4"/>
        <v>4413876.5536145577</v>
      </c>
      <c r="E65" s="40">
        <f t="shared" si="5"/>
        <v>27590583.09086024</v>
      </c>
      <c r="F65" s="40"/>
      <c r="G65" s="41">
        <f t="shared" si="6"/>
        <v>13833.333333333332</v>
      </c>
      <c r="H65" s="35"/>
      <c r="I65" s="42">
        <f t="shared" si="7"/>
        <v>4802639.4727477124</v>
      </c>
      <c r="J65" s="43"/>
    </row>
    <row r="66" spans="1:10" x14ac:dyDescent="0.25">
      <c r="A66" s="38">
        <v>31</v>
      </c>
      <c r="B66" s="39">
        <f t="shared" si="2"/>
        <v>4788806.1394143794</v>
      </c>
      <c r="C66" s="40">
        <f t="shared" si="3"/>
        <v>323221.3886797392</v>
      </c>
      <c r="D66" s="40">
        <f t="shared" si="4"/>
        <v>4465584.7507346403</v>
      </c>
      <c r="E66" s="40">
        <f t="shared" si="5"/>
        <v>23124998.340125546</v>
      </c>
      <c r="F66" s="40"/>
      <c r="G66" s="41">
        <f t="shared" si="6"/>
        <v>13833.333333333332</v>
      </c>
      <c r="H66" s="35"/>
      <c r="I66" s="42">
        <f t="shared" si="7"/>
        <v>4802639.4727477124</v>
      </c>
      <c r="J66" s="43"/>
    </row>
    <row r="67" spans="1:10" x14ac:dyDescent="0.25">
      <c r="A67" s="38">
        <v>32</v>
      </c>
      <c r="B67" s="39">
        <f t="shared" ref="B67:B98" si="8">Camort($B$22,$B$24,$B$26,$B$25,A67,$B$28,1)</f>
        <v>4788806.1394143794</v>
      </c>
      <c r="C67" s="40">
        <f t="shared" ref="C67:C98" si="9">Camort($B$22,$B$24,$B$26,$B$25,A67,$B$28,2)</f>
        <v>270907.43432631809</v>
      </c>
      <c r="D67" s="40">
        <f t="shared" si="4"/>
        <v>4517898.7050880613</v>
      </c>
      <c r="E67" s="40">
        <f t="shared" ref="E67:E98" si="10">Camort($B$22,$B$24,$B$26,$B$25,A67,$B$28,3)</f>
        <v>18607099.635037508</v>
      </c>
      <c r="F67" s="40"/>
      <c r="G67" s="41">
        <f t="shared" si="6"/>
        <v>13833.333333333332</v>
      </c>
      <c r="H67" s="35"/>
      <c r="I67" s="42">
        <f t="shared" si="7"/>
        <v>4802639.4727477124</v>
      </c>
      <c r="J67" s="43"/>
    </row>
    <row r="68" spans="1:10" x14ac:dyDescent="0.25">
      <c r="A68" s="38">
        <v>33</v>
      </c>
      <c r="B68" s="39">
        <f t="shared" si="8"/>
        <v>4788806.1394143794</v>
      </c>
      <c r="C68" s="40">
        <f t="shared" si="9"/>
        <v>217980.62634389856</v>
      </c>
      <c r="D68" s="40">
        <f t="shared" si="4"/>
        <v>4570825.5130704809</v>
      </c>
      <c r="E68" s="40">
        <f t="shared" si="10"/>
        <v>14036274.121967001</v>
      </c>
      <c r="F68" s="40"/>
      <c r="G68" s="41">
        <f t="shared" ref="G68:G99" si="11">IF(A68&lt;=$B$26,$C$17,0)+IF(AND(A68&lt;=$B$26,MOD(A68,$B$5)=0),$B$4,0)+IF(A68=$B$26,$B$3,0)</f>
        <v>13833.333333333332</v>
      </c>
      <c r="H68" s="35"/>
      <c r="I68" s="42">
        <f t="shared" si="7"/>
        <v>4802639.4727477124</v>
      </c>
      <c r="J68" s="43"/>
    </row>
    <row r="69" spans="1:10" x14ac:dyDescent="0.25">
      <c r="A69" s="38">
        <v>34</v>
      </c>
      <c r="B69" s="39">
        <f t="shared" si="8"/>
        <v>4788806.1394143794</v>
      </c>
      <c r="C69" s="40">
        <f t="shared" si="9"/>
        <v>164433.78520313135</v>
      </c>
      <c r="D69" s="40">
        <f t="shared" si="4"/>
        <v>4624372.3542112485</v>
      </c>
      <c r="E69" s="40">
        <f t="shared" si="10"/>
        <v>9411901.7677557934</v>
      </c>
      <c r="F69" s="40"/>
      <c r="G69" s="41">
        <f t="shared" si="11"/>
        <v>13833.333333333332</v>
      </c>
      <c r="H69" s="35"/>
      <c r="I69" s="42">
        <f t="shared" si="7"/>
        <v>4802639.4727477124</v>
      </c>
      <c r="J69" s="43"/>
    </row>
    <row r="70" spans="1:10" x14ac:dyDescent="0.25">
      <c r="A70" s="38">
        <v>35</v>
      </c>
      <c r="B70" s="39">
        <f t="shared" si="8"/>
        <v>4788806.1394143794</v>
      </c>
      <c r="C70" s="40">
        <f t="shared" si="9"/>
        <v>110259.64726708028</v>
      </c>
      <c r="D70" s="40">
        <f t="shared" si="4"/>
        <v>4678546.4921472995</v>
      </c>
      <c r="E70" s="40">
        <f t="shared" si="10"/>
        <v>4733355.2756084763</v>
      </c>
      <c r="F70" s="40"/>
      <c r="G70" s="41">
        <f t="shared" si="11"/>
        <v>13833.333333333332</v>
      </c>
      <c r="H70" s="35"/>
      <c r="I70" s="42">
        <f t="shared" si="7"/>
        <v>4802639.4727477124</v>
      </c>
      <c r="J70" s="43"/>
    </row>
    <row r="71" spans="1:10" x14ac:dyDescent="0.25">
      <c r="A71" s="38">
        <v>36</v>
      </c>
      <c r="B71" s="39">
        <f t="shared" si="8"/>
        <v>4788806.1394143794</v>
      </c>
      <c r="C71" s="40">
        <f t="shared" si="9"/>
        <v>55450.863805902998</v>
      </c>
      <c r="D71" s="40">
        <f t="shared" si="4"/>
        <v>4733355.2756084763</v>
      </c>
      <c r="E71" s="40">
        <f t="shared" si="10"/>
        <v>0</v>
      </c>
      <c r="F71" s="40"/>
      <c r="G71" s="41">
        <f t="shared" si="11"/>
        <v>1413833.3333333333</v>
      </c>
      <c r="H71" s="35"/>
      <c r="I71" s="42">
        <f t="shared" si="7"/>
        <v>6202639.4727477124</v>
      </c>
      <c r="J71" s="43"/>
    </row>
    <row r="72" spans="1:10" x14ac:dyDescent="0.25">
      <c r="A72" s="38">
        <v>37</v>
      </c>
      <c r="B72" s="39">
        <f t="shared" si="8"/>
        <v>0</v>
      </c>
      <c r="C72" s="40">
        <f t="shared" si="9"/>
        <v>0</v>
      </c>
      <c r="D72" s="40">
        <f t="shared" si="4"/>
        <v>0</v>
      </c>
      <c r="E72" s="40">
        <f t="shared" si="10"/>
        <v>0</v>
      </c>
      <c r="F72" s="40"/>
      <c r="G72" s="41">
        <f t="shared" si="11"/>
        <v>0</v>
      </c>
      <c r="H72" s="35"/>
      <c r="I72" s="42">
        <f t="shared" si="7"/>
        <v>0</v>
      </c>
      <c r="J72" s="43"/>
    </row>
    <row r="73" spans="1:10" x14ac:dyDescent="0.25">
      <c r="A73" s="38">
        <v>38</v>
      </c>
      <c r="B73" s="39">
        <f t="shared" si="8"/>
        <v>0</v>
      </c>
      <c r="C73" s="40">
        <f t="shared" si="9"/>
        <v>0</v>
      </c>
      <c r="D73" s="40">
        <f t="shared" si="4"/>
        <v>0</v>
      </c>
      <c r="E73" s="40">
        <f t="shared" si="10"/>
        <v>0</v>
      </c>
      <c r="F73" s="40"/>
      <c r="G73" s="41">
        <f t="shared" si="11"/>
        <v>0</v>
      </c>
      <c r="H73" s="35"/>
      <c r="I73" s="42">
        <f t="shared" si="7"/>
        <v>0</v>
      </c>
      <c r="J73" s="43"/>
    </row>
    <row r="74" spans="1:10" x14ac:dyDescent="0.25">
      <c r="A74" s="38">
        <v>39</v>
      </c>
      <c r="B74" s="39">
        <f t="shared" si="8"/>
        <v>0</v>
      </c>
      <c r="C74" s="40">
        <f t="shared" si="9"/>
        <v>0</v>
      </c>
      <c r="D74" s="40">
        <f t="shared" si="4"/>
        <v>0</v>
      </c>
      <c r="E74" s="40">
        <f t="shared" si="10"/>
        <v>0</v>
      </c>
      <c r="F74" s="40"/>
      <c r="G74" s="41">
        <f t="shared" si="11"/>
        <v>0</v>
      </c>
      <c r="H74" s="35"/>
      <c r="I74" s="42">
        <f t="shared" si="7"/>
        <v>0</v>
      </c>
      <c r="J74" s="43"/>
    </row>
    <row r="75" spans="1:10" x14ac:dyDescent="0.25">
      <c r="A75" s="38">
        <v>40</v>
      </c>
      <c r="B75" s="39">
        <f t="shared" si="8"/>
        <v>0</v>
      </c>
      <c r="C75" s="40">
        <f t="shared" si="9"/>
        <v>0</v>
      </c>
      <c r="D75" s="40">
        <f t="shared" si="4"/>
        <v>0</v>
      </c>
      <c r="E75" s="40">
        <f t="shared" si="10"/>
        <v>0</v>
      </c>
      <c r="F75" s="40"/>
      <c r="G75" s="41">
        <f t="shared" si="11"/>
        <v>0</v>
      </c>
      <c r="H75" s="35"/>
      <c r="I75" s="42">
        <f t="shared" si="7"/>
        <v>0</v>
      </c>
      <c r="J75" s="43"/>
    </row>
    <row r="76" spans="1:10" x14ac:dyDescent="0.25">
      <c r="A76" s="38">
        <v>41</v>
      </c>
      <c r="B76" s="39">
        <f t="shared" si="8"/>
        <v>0</v>
      </c>
      <c r="C76" s="40">
        <f t="shared" si="9"/>
        <v>0</v>
      </c>
      <c r="D76" s="40">
        <f t="shared" si="4"/>
        <v>0</v>
      </c>
      <c r="E76" s="40">
        <f t="shared" si="10"/>
        <v>0</v>
      </c>
      <c r="F76" s="40"/>
      <c r="G76" s="41">
        <f t="shared" si="11"/>
        <v>0</v>
      </c>
      <c r="H76" s="35"/>
      <c r="I76" s="42">
        <f t="shared" si="7"/>
        <v>0</v>
      </c>
      <c r="J76" s="43"/>
    </row>
    <row r="77" spans="1:10" x14ac:dyDescent="0.25">
      <c r="A77" s="38">
        <v>42</v>
      </c>
      <c r="B77" s="39">
        <f t="shared" si="8"/>
        <v>0</v>
      </c>
      <c r="C77" s="40">
        <f t="shared" si="9"/>
        <v>0</v>
      </c>
      <c r="D77" s="40">
        <f t="shared" si="4"/>
        <v>0</v>
      </c>
      <c r="E77" s="40">
        <f t="shared" si="10"/>
        <v>0</v>
      </c>
      <c r="F77" s="40"/>
      <c r="G77" s="41">
        <f t="shared" si="11"/>
        <v>0</v>
      </c>
      <c r="H77" s="35"/>
      <c r="I77" s="42">
        <f t="shared" si="7"/>
        <v>0</v>
      </c>
      <c r="J77" s="43"/>
    </row>
    <row r="78" spans="1:10" x14ac:dyDescent="0.25">
      <c r="A78" s="38">
        <v>43</v>
      </c>
      <c r="B78" s="39">
        <f t="shared" si="8"/>
        <v>0</v>
      </c>
      <c r="C78" s="40">
        <f t="shared" si="9"/>
        <v>0</v>
      </c>
      <c r="D78" s="40">
        <f t="shared" si="4"/>
        <v>0</v>
      </c>
      <c r="E78" s="40">
        <f t="shared" si="10"/>
        <v>0</v>
      </c>
      <c r="F78" s="40"/>
      <c r="G78" s="41">
        <f t="shared" si="11"/>
        <v>0</v>
      </c>
      <c r="H78" s="35"/>
      <c r="I78" s="42">
        <f t="shared" si="7"/>
        <v>0</v>
      </c>
      <c r="J78" s="43"/>
    </row>
    <row r="79" spans="1:10" x14ac:dyDescent="0.25">
      <c r="A79" s="38">
        <v>44</v>
      </c>
      <c r="B79" s="39">
        <f t="shared" si="8"/>
        <v>0</v>
      </c>
      <c r="C79" s="40">
        <f t="shared" si="9"/>
        <v>0</v>
      </c>
      <c r="D79" s="40">
        <f t="shared" si="4"/>
        <v>0</v>
      </c>
      <c r="E79" s="40">
        <f t="shared" si="10"/>
        <v>0</v>
      </c>
      <c r="F79" s="40"/>
      <c r="G79" s="41">
        <f t="shared" si="11"/>
        <v>0</v>
      </c>
      <c r="H79" s="35"/>
      <c r="I79" s="42">
        <f t="shared" si="7"/>
        <v>0</v>
      </c>
      <c r="J79" s="43"/>
    </row>
    <row r="80" spans="1:10" x14ac:dyDescent="0.25">
      <c r="A80" s="38">
        <v>45</v>
      </c>
      <c r="B80" s="39">
        <f t="shared" si="8"/>
        <v>0</v>
      </c>
      <c r="C80" s="40">
        <f t="shared" si="9"/>
        <v>0</v>
      </c>
      <c r="D80" s="40">
        <f t="shared" si="4"/>
        <v>0</v>
      </c>
      <c r="E80" s="40">
        <f t="shared" si="10"/>
        <v>0</v>
      </c>
      <c r="F80" s="40"/>
      <c r="G80" s="41">
        <f t="shared" si="11"/>
        <v>0</v>
      </c>
      <c r="H80" s="35"/>
      <c r="I80" s="42">
        <f t="shared" si="7"/>
        <v>0</v>
      </c>
      <c r="J80" s="43"/>
    </row>
    <row r="81" spans="1:10" x14ac:dyDescent="0.25">
      <c r="A81" s="38">
        <v>46</v>
      </c>
      <c r="B81" s="39">
        <f t="shared" si="8"/>
        <v>0</v>
      </c>
      <c r="C81" s="40">
        <f t="shared" si="9"/>
        <v>0</v>
      </c>
      <c r="D81" s="40">
        <f t="shared" si="4"/>
        <v>0</v>
      </c>
      <c r="E81" s="40">
        <f t="shared" si="10"/>
        <v>0</v>
      </c>
      <c r="F81" s="40"/>
      <c r="G81" s="41">
        <f t="shared" si="11"/>
        <v>0</v>
      </c>
      <c r="H81" s="35"/>
      <c r="I81" s="42">
        <f t="shared" si="7"/>
        <v>0</v>
      </c>
      <c r="J81" s="43"/>
    </row>
    <row r="82" spans="1:10" x14ac:dyDescent="0.25">
      <c r="A82" s="38">
        <v>47</v>
      </c>
      <c r="B82" s="39">
        <f t="shared" si="8"/>
        <v>0</v>
      </c>
      <c r="C82" s="40">
        <f t="shared" si="9"/>
        <v>0</v>
      </c>
      <c r="D82" s="40">
        <f t="shared" si="4"/>
        <v>0</v>
      </c>
      <c r="E82" s="40">
        <f t="shared" si="10"/>
        <v>0</v>
      </c>
      <c r="F82" s="40"/>
      <c r="G82" s="41">
        <f t="shared" si="11"/>
        <v>0</v>
      </c>
      <c r="H82" s="35"/>
      <c r="I82" s="42">
        <f t="shared" si="7"/>
        <v>0</v>
      </c>
      <c r="J82" s="43"/>
    </row>
    <row r="83" spans="1:10" x14ac:dyDescent="0.25">
      <c r="A83" s="38">
        <v>48</v>
      </c>
      <c r="B83" s="39">
        <f t="shared" si="8"/>
        <v>0</v>
      </c>
      <c r="C83" s="40">
        <f t="shared" si="9"/>
        <v>0</v>
      </c>
      <c r="D83" s="40">
        <f t="shared" si="4"/>
        <v>0</v>
      </c>
      <c r="E83" s="40">
        <f t="shared" si="10"/>
        <v>0</v>
      </c>
      <c r="F83" s="40"/>
      <c r="G83" s="41">
        <f t="shared" si="11"/>
        <v>0</v>
      </c>
      <c r="H83" s="35"/>
      <c r="I83" s="42">
        <f t="shared" si="7"/>
        <v>0</v>
      </c>
      <c r="J83" s="43"/>
    </row>
    <row r="84" spans="1:10" x14ac:dyDescent="0.25">
      <c r="A84" s="38">
        <v>49</v>
      </c>
      <c r="B84" s="39">
        <f t="shared" si="8"/>
        <v>0</v>
      </c>
      <c r="C84" s="40">
        <f t="shared" si="9"/>
        <v>0</v>
      </c>
      <c r="D84" s="40">
        <f t="shared" si="4"/>
        <v>0</v>
      </c>
      <c r="E84" s="40">
        <f t="shared" si="10"/>
        <v>0</v>
      </c>
      <c r="F84" s="40"/>
      <c r="G84" s="41">
        <f t="shared" si="11"/>
        <v>0</v>
      </c>
      <c r="H84" s="35"/>
      <c r="I84" s="42">
        <f t="shared" si="7"/>
        <v>0</v>
      </c>
      <c r="J84" s="43"/>
    </row>
    <row r="85" spans="1:10" x14ac:dyDescent="0.25">
      <c r="A85" s="38">
        <v>50</v>
      </c>
      <c r="B85" s="39">
        <f t="shared" si="8"/>
        <v>0</v>
      </c>
      <c r="C85" s="40">
        <f t="shared" si="9"/>
        <v>0</v>
      </c>
      <c r="D85" s="40">
        <f t="shared" si="4"/>
        <v>0</v>
      </c>
      <c r="E85" s="40">
        <f t="shared" si="10"/>
        <v>0</v>
      </c>
      <c r="F85" s="40"/>
      <c r="G85" s="41">
        <f t="shared" si="11"/>
        <v>0</v>
      </c>
      <c r="H85" s="35"/>
      <c r="I85" s="42">
        <f t="shared" si="7"/>
        <v>0</v>
      </c>
      <c r="J85" s="43"/>
    </row>
    <row r="86" spans="1:10" x14ac:dyDescent="0.25">
      <c r="A86" s="38">
        <v>51</v>
      </c>
      <c r="B86" s="39">
        <f t="shared" si="8"/>
        <v>0</v>
      </c>
      <c r="C86" s="40">
        <f t="shared" si="9"/>
        <v>0</v>
      </c>
      <c r="D86" s="40">
        <f t="shared" si="4"/>
        <v>0</v>
      </c>
      <c r="E86" s="40">
        <f t="shared" si="10"/>
        <v>0</v>
      </c>
      <c r="F86" s="40"/>
      <c r="G86" s="41">
        <f t="shared" si="11"/>
        <v>0</v>
      </c>
      <c r="H86" s="35"/>
      <c r="I86" s="42">
        <f t="shared" si="7"/>
        <v>0</v>
      </c>
      <c r="J86" s="43"/>
    </row>
    <row r="87" spans="1:10" x14ac:dyDescent="0.25">
      <c r="A87" s="38">
        <v>52</v>
      </c>
      <c r="B87" s="39">
        <f t="shared" si="8"/>
        <v>0</v>
      </c>
      <c r="C87" s="40">
        <f t="shared" si="9"/>
        <v>0</v>
      </c>
      <c r="D87" s="40">
        <f t="shared" si="4"/>
        <v>0</v>
      </c>
      <c r="E87" s="40">
        <f t="shared" si="10"/>
        <v>0</v>
      </c>
      <c r="F87" s="40"/>
      <c r="G87" s="41">
        <f t="shared" si="11"/>
        <v>0</v>
      </c>
      <c r="H87" s="35"/>
      <c r="I87" s="42">
        <f t="shared" si="7"/>
        <v>0</v>
      </c>
      <c r="J87" s="43"/>
    </row>
    <row r="88" spans="1:10" x14ac:dyDescent="0.25">
      <c r="A88" s="38">
        <v>53</v>
      </c>
      <c r="B88" s="39">
        <f t="shared" si="8"/>
        <v>0</v>
      </c>
      <c r="C88" s="40">
        <f t="shared" si="9"/>
        <v>0</v>
      </c>
      <c r="D88" s="40">
        <f t="shared" si="4"/>
        <v>0</v>
      </c>
      <c r="E88" s="40">
        <f t="shared" si="10"/>
        <v>0</v>
      </c>
      <c r="F88" s="40"/>
      <c r="G88" s="41">
        <f t="shared" si="11"/>
        <v>0</v>
      </c>
      <c r="H88" s="35"/>
      <c r="I88" s="42">
        <f t="shared" si="7"/>
        <v>0</v>
      </c>
      <c r="J88" s="43"/>
    </row>
    <row r="89" spans="1:10" x14ac:dyDescent="0.25">
      <c r="A89" s="38">
        <v>54</v>
      </c>
      <c r="B89" s="39">
        <f t="shared" si="8"/>
        <v>0</v>
      </c>
      <c r="C89" s="40">
        <f t="shared" si="9"/>
        <v>0</v>
      </c>
      <c r="D89" s="40">
        <f t="shared" si="4"/>
        <v>0</v>
      </c>
      <c r="E89" s="40">
        <f t="shared" si="10"/>
        <v>0</v>
      </c>
      <c r="F89" s="40"/>
      <c r="G89" s="41">
        <f t="shared" si="11"/>
        <v>0</v>
      </c>
      <c r="H89" s="35"/>
      <c r="I89" s="42">
        <f t="shared" si="7"/>
        <v>0</v>
      </c>
      <c r="J89" s="43"/>
    </row>
    <row r="90" spans="1:10" x14ac:dyDescent="0.25">
      <c r="A90" s="38">
        <v>55</v>
      </c>
      <c r="B90" s="39">
        <f t="shared" si="8"/>
        <v>0</v>
      </c>
      <c r="C90" s="40">
        <f t="shared" si="9"/>
        <v>0</v>
      </c>
      <c r="D90" s="40">
        <f t="shared" si="4"/>
        <v>0</v>
      </c>
      <c r="E90" s="40">
        <f t="shared" si="10"/>
        <v>0</v>
      </c>
      <c r="F90" s="40"/>
      <c r="G90" s="41">
        <f t="shared" si="11"/>
        <v>0</v>
      </c>
      <c r="H90" s="35"/>
      <c r="I90" s="42">
        <f t="shared" si="7"/>
        <v>0</v>
      </c>
      <c r="J90" s="43"/>
    </row>
    <row r="91" spans="1:10" x14ac:dyDescent="0.25">
      <c r="A91" s="38">
        <v>56</v>
      </c>
      <c r="B91" s="39">
        <f t="shared" si="8"/>
        <v>0</v>
      </c>
      <c r="C91" s="40">
        <f t="shared" si="9"/>
        <v>0</v>
      </c>
      <c r="D91" s="40">
        <f t="shared" si="4"/>
        <v>0</v>
      </c>
      <c r="E91" s="40">
        <f t="shared" si="10"/>
        <v>0</v>
      </c>
      <c r="F91" s="40"/>
      <c r="G91" s="41">
        <f t="shared" si="11"/>
        <v>0</v>
      </c>
      <c r="H91" s="35"/>
      <c r="I91" s="42">
        <f t="shared" si="7"/>
        <v>0</v>
      </c>
      <c r="J91" s="43"/>
    </row>
    <row r="92" spans="1:10" x14ac:dyDescent="0.25">
      <c r="A92" s="38">
        <v>57</v>
      </c>
      <c r="B92" s="39">
        <f t="shared" si="8"/>
        <v>0</v>
      </c>
      <c r="C92" s="40">
        <f t="shared" si="9"/>
        <v>0</v>
      </c>
      <c r="D92" s="40">
        <f t="shared" si="4"/>
        <v>0</v>
      </c>
      <c r="E92" s="40">
        <f t="shared" si="10"/>
        <v>0</v>
      </c>
      <c r="F92" s="40"/>
      <c r="G92" s="41">
        <f t="shared" si="11"/>
        <v>0</v>
      </c>
      <c r="H92" s="35"/>
      <c r="I92" s="42">
        <f t="shared" si="7"/>
        <v>0</v>
      </c>
      <c r="J92" s="43"/>
    </row>
    <row r="93" spans="1:10" x14ac:dyDescent="0.25">
      <c r="A93" s="38">
        <v>58</v>
      </c>
      <c r="B93" s="39">
        <f t="shared" si="8"/>
        <v>0</v>
      </c>
      <c r="C93" s="40">
        <f t="shared" si="9"/>
        <v>0</v>
      </c>
      <c r="D93" s="40">
        <f t="shared" si="4"/>
        <v>0</v>
      </c>
      <c r="E93" s="40">
        <f t="shared" si="10"/>
        <v>0</v>
      </c>
      <c r="F93" s="40"/>
      <c r="G93" s="41">
        <f t="shared" si="11"/>
        <v>0</v>
      </c>
      <c r="H93" s="35"/>
      <c r="I93" s="42">
        <f t="shared" si="7"/>
        <v>0</v>
      </c>
      <c r="J93" s="43"/>
    </row>
    <row r="94" spans="1:10" x14ac:dyDescent="0.25">
      <c r="A94" s="38">
        <v>59</v>
      </c>
      <c r="B94" s="39">
        <f t="shared" si="8"/>
        <v>0</v>
      </c>
      <c r="C94" s="40">
        <f t="shared" si="9"/>
        <v>0</v>
      </c>
      <c r="D94" s="40">
        <f t="shared" si="4"/>
        <v>0</v>
      </c>
      <c r="E94" s="40">
        <f t="shared" si="10"/>
        <v>0</v>
      </c>
      <c r="F94" s="40"/>
      <c r="G94" s="41">
        <f t="shared" si="11"/>
        <v>0</v>
      </c>
      <c r="H94" s="35"/>
      <c r="I94" s="42">
        <f t="shared" si="7"/>
        <v>0</v>
      </c>
      <c r="J94" s="43"/>
    </row>
    <row r="95" spans="1:10" x14ac:dyDescent="0.25">
      <c r="A95" s="38">
        <v>60</v>
      </c>
      <c r="B95" s="39">
        <f t="shared" si="8"/>
        <v>0</v>
      </c>
      <c r="C95" s="40">
        <f t="shared" si="9"/>
        <v>0</v>
      </c>
      <c r="D95" s="40">
        <f t="shared" si="4"/>
        <v>0</v>
      </c>
      <c r="E95" s="40">
        <f t="shared" si="10"/>
        <v>0</v>
      </c>
      <c r="F95" s="40"/>
      <c r="G95" s="41">
        <f t="shared" si="11"/>
        <v>0</v>
      </c>
      <c r="H95" s="35"/>
      <c r="I95" s="42">
        <f t="shared" si="7"/>
        <v>0</v>
      </c>
      <c r="J95" s="43"/>
    </row>
    <row r="96" spans="1:10" x14ac:dyDescent="0.25">
      <c r="A96" s="38">
        <v>61</v>
      </c>
      <c r="B96" s="39">
        <f t="shared" si="8"/>
        <v>0</v>
      </c>
      <c r="C96" s="40">
        <f t="shared" si="9"/>
        <v>0</v>
      </c>
      <c r="D96" s="40">
        <f t="shared" si="4"/>
        <v>0</v>
      </c>
      <c r="E96" s="40">
        <f t="shared" si="10"/>
        <v>0</v>
      </c>
      <c r="F96" s="40"/>
      <c r="G96" s="41">
        <f t="shared" si="11"/>
        <v>0</v>
      </c>
      <c r="H96" s="35"/>
      <c r="I96" s="42">
        <f t="shared" si="7"/>
        <v>0</v>
      </c>
      <c r="J96" s="43"/>
    </row>
    <row r="97" spans="1:10" x14ac:dyDescent="0.25">
      <c r="A97" s="38">
        <v>62</v>
      </c>
      <c r="B97" s="39">
        <f t="shared" si="8"/>
        <v>0</v>
      </c>
      <c r="C97" s="40">
        <f t="shared" si="9"/>
        <v>0</v>
      </c>
      <c r="D97" s="40">
        <f t="shared" si="4"/>
        <v>0</v>
      </c>
      <c r="E97" s="40">
        <f t="shared" si="10"/>
        <v>0</v>
      </c>
      <c r="F97" s="40"/>
      <c r="G97" s="41">
        <f t="shared" si="11"/>
        <v>0</v>
      </c>
      <c r="H97" s="35"/>
      <c r="I97" s="42">
        <f t="shared" si="7"/>
        <v>0</v>
      </c>
      <c r="J97" s="43"/>
    </row>
    <row r="98" spans="1:10" x14ac:dyDescent="0.25">
      <c r="A98" s="38">
        <v>63</v>
      </c>
      <c r="B98" s="39">
        <f t="shared" si="8"/>
        <v>0</v>
      </c>
      <c r="C98" s="40">
        <f t="shared" si="9"/>
        <v>0</v>
      </c>
      <c r="D98" s="40">
        <f t="shared" si="4"/>
        <v>0</v>
      </c>
      <c r="E98" s="40">
        <f t="shared" si="10"/>
        <v>0</v>
      </c>
      <c r="F98" s="40"/>
      <c r="G98" s="41">
        <f t="shared" si="11"/>
        <v>0</v>
      </c>
      <c r="H98" s="35"/>
      <c r="I98" s="42">
        <f t="shared" si="7"/>
        <v>0</v>
      </c>
      <c r="J98" s="43"/>
    </row>
    <row r="99" spans="1:10" x14ac:dyDescent="0.25">
      <c r="A99" s="38">
        <v>64</v>
      </c>
      <c r="B99" s="39">
        <f t="shared" ref="B99:B130" si="12">Camort($B$22,$B$24,$B$26,$B$25,A99,$B$28,1)</f>
        <v>0</v>
      </c>
      <c r="C99" s="40">
        <f t="shared" ref="C99:C130" si="13">Camort($B$22,$B$24,$B$26,$B$25,A99,$B$28,2)</f>
        <v>0</v>
      </c>
      <c r="D99" s="40">
        <f t="shared" ref="D99:D162" si="14">B99-C99</f>
        <v>0</v>
      </c>
      <c r="E99" s="40">
        <f t="shared" ref="E99:E130" si="15">Camort($B$22,$B$24,$B$26,$B$25,A99,$B$28,3)</f>
        <v>0</v>
      </c>
      <c r="F99" s="40"/>
      <c r="G99" s="41">
        <f t="shared" si="11"/>
        <v>0</v>
      </c>
      <c r="H99" s="35"/>
      <c r="I99" s="42">
        <f t="shared" si="7"/>
        <v>0</v>
      </c>
      <c r="J99" s="43"/>
    </row>
    <row r="100" spans="1:10" x14ac:dyDescent="0.25">
      <c r="A100" s="38">
        <v>65</v>
      </c>
      <c r="B100" s="39">
        <f t="shared" si="12"/>
        <v>0</v>
      </c>
      <c r="C100" s="40">
        <f t="shared" si="13"/>
        <v>0</v>
      </c>
      <c r="D100" s="40">
        <f t="shared" si="14"/>
        <v>0</v>
      </c>
      <c r="E100" s="40">
        <f t="shared" si="15"/>
        <v>0</v>
      </c>
      <c r="F100" s="40"/>
      <c r="G100" s="41">
        <f t="shared" ref="G100:G131" si="16">IF(A100&lt;=$B$26,$C$17,0)+IF(AND(A100&lt;=$B$26,MOD(A100,$B$5)=0),$B$4,0)+IF(A100=$B$26,$B$3,0)</f>
        <v>0</v>
      </c>
      <c r="H100" s="35"/>
      <c r="I100" s="42">
        <f t="shared" si="7"/>
        <v>0</v>
      </c>
      <c r="J100" s="43"/>
    </row>
    <row r="101" spans="1:10" x14ac:dyDescent="0.25">
      <c r="A101" s="38">
        <v>66</v>
      </c>
      <c r="B101" s="39">
        <f t="shared" si="12"/>
        <v>0</v>
      </c>
      <c r="C101" s="40">
        <f t="shared" si="13"/>
        <v>0</v>
      </c>
      <c r="D101" s="40">
        <f t="shared" si="14"/>
        <v>0</v>
      </c>
      <c r="E101" s="40">
        <f t="shared" si="15"/>
        <v>0</v>
      </c>
      <c r="F101" s="40"/>
      <c r="G101" s="41">
        <f t="shared" si="16"/>
        <v>0</v>
      </c>
      <c r="H101" s="35"/>
      <c r="I101" s="42">
        <f t="shared" ref="I101:I164" si="17">B101-F101+G101</f>
        <v>0</v>
      </c>
      <c r="J101" s="43"/>
    </row>
    <row r="102" spans="1:10" x14ac:dyDescent="0.25">
      <c r="A102" s="38">
        <v>67</v>
      </c>
      <c r="B102" s="39">
        <f t="shared" si="12"/>
        <v>0</v>
      </c>
      <c r="C102" s="40">
        <f t="shared" si="13"/>
        <v>0</v>
      </c>
      <c r="D102" s="40">
        <f t="shared" si="14"/>
        <v>0</v>
      </c>
      <c r="E102" s="40">
        <f t="shared" si="15"/>
        <v>0</v>
      </c>
      <c r="F102" s="40"/>
      <c r="G102" s="41">
        <f t="shared" si="16"/>
        <v>0</v>
      </c>
      <c r="H102" s="35"/>
      <c r="I102" s="42">
        <f t="shared" si="17"/>
        <v>0</v>
      </c>
      <c r="J102" s="43"/>
    </row>
    <row r="103" spans="1:10" x14ac:dyDescent="0.25">
      <c r="A103" s="38">
        <v>68</v>
      </c>
      <c r="B103" s="39">
        <f t="shared" si="12"/>
        <v>0</v>
      </c>
      <c r="C103" s="40">
        <f t="shared" si="13"/>
        <v>0</v>
      </c>
      <c r="D103" s="40">
        <f t="shared" si="14"/>
        <v>0</v>
      </c>
      <c r="E103" s="40">
        <f t="shared" si="15"/>
        <v>0</v>
      </c>
      <c r="F103" s="40"/>
      <c r="G103" s="41">
        <f t="shared" si="16"/>
        <v>0</v>
      </c>
      <c r="H103" s="35"/>
      <c r="I103" s="42">
        <f t="shared" si="17"/>
        <v>0</v>
      </c>
      <c r="J103" s="43"/>
    </row>
    <row r="104" spans="1:10" x14ac:dyDescent="0.25">
      <c r="A104" s="38">
        <v>69</v>
      </c>
      <c r="B104" s="39">
        <f t="shared" si="12"/>
        <v>0</v>
      </c>
      <c r="C104" s="40">
        <f t="shared" si="13"/>
        <v>0</v>
      </c>
      <c r="D104" s="40">
        <f t="shared" si="14"/>
        <v>0</v>
      </c>
      <c r="E104" s="40">
        <f t="shared" si="15"/>
        <v>0</v>
      </c>
      <c r="F104" s="40"/>
      <c r="G104" s="41">
        <f t="shared" si="16"/>
        <v>0</v>
      </c>
      <c r="H104" s="35"/>
      <c r="I104" s="42">
        <f t="shared" si="17"/>
        <v>0</v>
      </c>
      <c r="J104" s="43"/>
    </row>
    <row r="105" spans="1:10" x14ac:dyDescent="0.25">
      <c r="A105" s="38">
        <v>70</v>
      </c>
      <c r="B105" s="39">
        <f t="shared" si="12"/>
        <v>0</v>
      </c>
      <c r="C105" s="40">
        <f t="shared" si="13"/>
        <v>0</v>
      </c>
      <c r="D105" s="40">
        <f t="shared" si="14"/>
        <v>0</v>
      </c>
      <c r="E105" s="40">
        <f t="shared" si="15"/>
        <v>0</v>
      </c>
      <c r="F105" s="40"/>
      <c r="G105" s="41">
        <f t="shared" si="16"/>
        <v>0</v>
      </c>
      <c r="H105" s="35"/>
      <c r="I105" s="42">
        <f t="shared" si="17"/>
        <v>0</v>
      </c>
      <c r="J105" s="43"/>
    </row>
    <row r="106" spans="1:10" x14ac:dyDescent="0.25">
      <c r="A106" s="38">
        <v>71</v>
      </c>
      <c r="B106" s="39">
        <f t="shared" si="12"/>
        <v>0</v>
      </c>
      <c r="C106" s="40">
        <f t="shared" si="13"/>
        <v>0</v>
      </c>
      <c r="D106" s="40">
        <f t="shared" si="14"/>
        <v>0</v>
      </c>
      <c r="E106" s="40">
        <f t="shared" si="15"/>
        <v>0</v>
      </c>
      <c r="F106" s="40"/>
      <c r="G106" s="41">
        <f t="shared" si="16"/>
        <v>0</v>
      </c>
      <c r="H106" s="35"/>
      <c r="I106" s="42">
        <f t="shared" si="17"/>
        <v>0</v>
      </c>
      <c r="J106" s="43"/>
    </row>
    <row r="107" spans="1:10" x14ac:dyDescent="0.25">
      <c r="A107" s="38">
        <v>72</v>
      </c>
      <c r="B107" s="39">
        <f t="shared" si="12"/>
        <v>0</v>
      </c>
      <c r="C107" s="40">
        <f t="shared" si="13"/>
        <v>0</v>
      </c>
      <c r="D107" s="40">
        <f t="shared" si="14"/>
        <v>0</v>
      </c>
      <c r="E107" s="40">
        <f t="shared" si="15"/>
        <v>0</v>
      </c>
      <c r="F107" s="40"/>
      <c r="G107" s="41">
        <f t="shared" si="16"/>
        <v>0</v>
      </c>
      <c r="H107" s="35"/>
      <c r="I107" s="42">
        <f t="shared" si="17"/>
        <v>0</v>
      </c>
      <c r="J107" s="43"/>
    </row>
    <row r="108" spans="1:10" x14ac:dyDescent="0.25">
      <c r="A108" s="38">
        <v>73</v>
      </c>
      <c r="B108" s="39">
        <f t="shared" si="12"/>
        <v>0</v>
      </c>
      <c r="C108" s="40">
        <f t="shared" si="13"/>
        <v>0</v>
      </c>
      <c r="D108" s="40">
        <f t="shared" si="14"/>
        <v>0</v>
      </c>
      <c r="E108" s="40">
        <f t="shared" si="15"/>
        <v>0</v>
      </c>
      <c r="F108" s="40"/>
      <c r="G108" s="41">
        <f t="shared" si="16"/>
        <v>0</v>
      </c>
      <c r="H108" s="35"/>
      <c r="I108" s="42">
        <f t="shared" si="17"/>
        <v>0</v>
      </c>
      <c r="J108" s="43"/>
    </row>
    <row r="109" spans="1:10" x14ac:dyDescent="0.25">
      <c r="A109" s="38">
        <v>74</v>
      </c>
      <c r="B109" s="39">
        <f t="shared" si="12"/>
        <v>0</v>
      </c>
      <c r="C109" s="40">
        <f t="shared" si="13"/>
        <v>0</v>
      </c>
      <c r="D109" s="40">
        <f t="shared" si="14"/>
        <v>0</v>
      </c>
      <c r="E109" s="40">
        <f t="shared" si="15"/>
        <v>0</v>
      </c>
      <c r="F109" s="40"/>
      <c r="G109" s="41">
        <f t="shared" si="16"/>
        <v>0</v>
      </c>
      <c r="H109" s="35"/>
      <c r="I109" s="42">
        <f t="shared" si="17"/>
        <v>0</v>
      </c>
      <c r="J109" s="43"/>
    </row>
    <row r="110" spans="1:10" x14ac:dyDescent="0.25">
      <c r="A110" s="38">
        <v>75</v>
      </c>
      <c r="B110" s="39">
        <f t="shared" si="12"/>
        <v>0</v>
      </c>
      <c r="C110" s="40">
        <f t="shared" si="13"/>
        <v>0</v>
      </c>
      <c r="D110" s="40">
        <f t="shared" si="14"/>
        <v>0</v>
      </c>
      <c r="E110" s="40">
        <f t="shared" si="15"/>
        <v>0</v>
      </c>
      <c r="F110" s="40"/>
      <c r="G110" s="41">
        <f t="shared" si="16"/>
        <v>0</v>
      </c>
      <c r="H110" s="35"/>
      <c r="I110" s="42">
        <f t="shared" si="17"/>
        <v>0</v>
      </c>
      <c r="J110" s="43"/>
    </row>
    <row r="111" spans="1:10" x14ac:dyDescent="0.25">
      <c r="A111" s="38">
        <v>76</v>
      </c>
      <c r="B111" s="39">
        <f t="shared" si="12"/>
        <v>0</v>
      </c>
      <c r="C111" s="40">
        <f t="shared" si="13"/>
        <v>0</v>
      </c>
      <c r="D111" s="40">
        <f t="shared" si="14"/>
        <v>0</v>
      </c>
      <c r="E111" s="40">
        <f t="shared" si="15"/>
        <v>0</v>
      </c>
      <c r="F111" s="40"/>
      <c r="G111" s="41">
        <f t="shared" si="16"/>
        <v>0</v>
      </c>
      <c r="H111" s="35"/>
      <c r="I111" s="42">
        <f t="shared" si="17"/>
        <v>0</v>
      </c>
      <c r="J111" s="43"/>
    </row>
    <row r="112" spans="1:10" x14ac:dyDescent="0.25">
      <c r="A112" s="38">
        <v>77</v>
      </c>
      <c r="B112" s="39">
        <f t="shared" si="12"/>
        <v>0</v>
      </c>
      <c r="C112" s="40">
        <f t="shared" si="13"/>
        <v>0</v>
      </c>
      <c r="D112" s="40">
        <f t="shared" si="14"/>
        <v>0</v>
      </c>
      <c r="E112" s="40">
        <f t="shared" si="15"/>
        <v>0</v>
      </c>
      <c r="F112" s="40"/>
      <c r="G112" s="41">
        <f t="shared" si="16"/>
        <v>0</v>
      </c>
      <c r="H112" s="35"/>
      <c r="I112" s="42">
        <f t="shared" si="17"/>
        <v>0</v>
      </c>
      <c r="J112" s="43"/>
    </row>
    <row r="113" spans="1:10" x14ac:dyDescent="0.25">
      <c r="A113" s="38">
        <v>78</v>
      </c>
      <c r="B113" s="39">
        <f t="shared" si="12"/>
        <v>0</v>
      </c>
      <c r="C113" s="40">
        <f t="shared" si="13"/>
        <v>0</v>
      </c>
      <c r="D113" s="40">
        <f t="shared" si="14"/>
        <v>0</v>
      </c>
      <c r="E113" s="40">
        <f t="shared" si="15"/>
        <v>0</v>
      </c>
      <c r="F113" s="40"/>
      <c r="G113" s="41">
        <f t="shared" si="16"/>
        <v>0</v>
      </c>
      <c r="H113" s="35"/>
      <c r="I113" s="42">
        <f t="shared" si="17"/>
        <v>0</v>
      </c>
      <c r="J113" s="43"/>
    </row>
    <row r="114" spans="1:10" x14ac:dyDescent="0.25">
      <c r="A114" s="38">
        <v>79</v>
      </c>
      <c r="B114" s="39">
        <f t="shared" si="12"/>
        <v>0</v>
      </c>
      <c r="C114" s="40">
        <f t="shared" si="13"/>
        <v>0</v>
      </c>
      <c r="D114" s="40">
        <f t="shared" si="14"/>
        <v>0</v>
      </c>
      <c r="E114" s="40">
        <f t="shared" si="15"/>
        <v>0</v>
      </c>
      <c r="F114" s="40"/>
      <c r="G114" s="41">
        <f t="shared" si="16"/>
        <v>0</v>
      </c>
      <c r="H114" s="35"/>
      <c r="I114" s="42">
        <f t="shared" si="17"/>
        <v>0</v>
      </c>
      <c r="J114" s="43"/>
    </row>
    <row r="115" spans="1:10" x14ac:dyDescent="0.25">
      <c r="A115" s="38">
        <v>80</v>
      </c>
      <c r="B115" s="39">
        <f t="shared" si="12"/>
        <v>0</v>
      </c>
      <c r="C115" s="40">
        <f t="shared" si="13"/>
        <v>0</v>
      </c>
      <c r="D115" s="40">
        <f t="shared" si="14"/>
        <v>0</v>
      </c>
      <c r="E115" s="40">
        <f t="shared" si="15"/>
        <v>0</v>
      </c>
      <c r="F115" s="40"/>
      <c r="G115" s="41">
        <f t="shared" si="16"/>
        <v>0</v>
      </c>
      <c r="H115" s="35"/>
      <c r="I115" s="42">
        <f t="shared" si="17"/>
        <v>0</v>
      </c>
      <c r="J115" s="43"/>
    </row>
    <row r="116" spans="1:10" x14ac:dyDescent="0.25">
      <c r="A116" s="38">
        <v>81</v>
      </c>
      <c r="B116" s="39">
        <f t="shared" si="12"/>
        <v>0</v>
      </c>
      <c r="C116" s="40">
        <f t="shared" si="13"/>
        <v>0</v>
      </c>
      <c r="D116" s="40">
        <f t="shared" si="14"/>
        <v>0</v>
      </c>
      <c r="E116" s="40">
        <f t="shared" si="15"/>
        <v>0</v>
      </c>
      <c r="F116" s="40"/>
      <c r="G116" s="41">
        <f t="shared" si="16"/>
        <v>0</v>
      </c>
      <c r="H116" s="35"/>
      <c r="I116" s="42">
        <f t="shared" si="17"/>
        <v>0</v>
      </c>
      <c r="J116" s="43"/>
    </row>
    <row r="117" spans="1:10" x14ac:dyDescent="0.25">
      <c r="A117" s="38">
        <v>82</v>
      </c>
      <c r="B117" s="39">
        <f t="shared" si="12"/>
        <v>0</v>
      </c>
      <c r="C117" s="40">
        <f t="shared" si="13"/>
        <v>0</v>
      </c>
      <c r="D117" s="40">
        <f t="shared" si="14"/>
        <v>0</v>
      </c>
      <c r="E117" s="40">
        <f t="shared" si="15"/>
        <v>0</v>
      </c>
      <c r="F117" s="40"/>
      <c r="G117" s="41">
        <f t="shared" si="16"/>
        <v>0</v>
      </c>
      <c r="H117" s="35"/>
      <c r="I117" s="42">
        <f t="shared" si="17"/>
        <v>0</v>
      </c>
      <c r="J117" s="43"/>
    </row>
    <row r="118" spans="1:10" x14ac:dyDescent="0.25">
      <c r="A118" s="38">
        <v>83</v>
      </c>
      <c r="B118" s="39">
        <f t="shared" si="12"/>
        <v>0</v>
      </c>
      <c r="C118" s="40">
        <f t="shared" si="13"/>
        <v>0</v>
      </c>
      <c r="D118" s="40">
        <f t="shared" si="14"/>
        <v>0</v>
      </c>
      <c r="E118" s="40">
        <f t="shared" si="15"/>
        <v>0</v>
      </c>
      <c r="F118" s="40"/>
      <c r="G118" s="41">
        <f t="shared" si="16"/>
        <v>0</v>
      </c>
      <c r="H118" s="35"/>
      <c r="I118" s="42">
        <f t="shared" si="17"/>
        <v>0</v>
      </c>
      <c r="J118" s="43"/>
    </row>
    <row r="119" spans="1:10" x14ac:dyDescent="0.25">
      <c r="A119" s="38">
        <v>84</v>
      </c>
      <c r="B119" s="39">
        <f t="shared" si="12"/>
        <v>0</v>
      </c>
      <c r="C119" s="40">
        <f t="shared" si="13"/>
        <v>0</v>
      </c>
      <c r="D119" s="40">
        <f t="shared" si="14"/>
        <v>0</v>
      </c>
      <c r="E119" s="40">
        <f t="shared" si="15"/>
        <v>0</v>
      </c>
      <c r="F119" s="40"/>
      <c r="G119" s="41">
        <f t="shared" si="16"/>
        <v>0</v>
      </c>
      <c r="H119" s="35"/>
      <c r="I119" s="42">
        <f t="shared" si="17"/>
        <v>0</v>
      </c>
      <c r="J119" s="43"/>
    </row>
    <row r="120" spans="1:10" x14ac:dyDescent="0.25">
      <c r="A120" s="38">
        <v>85</v>
      </c>
      <c r="B120" s="39">
        <f t="shared" si="12"/>
        <v>0</v>
      </c>
      <c r="C120" s="40">
        <f t="shared" si="13"/>
        <v>0</v>
      </c>
      <c r="D120" s="40">
        <f t="shared" si="14"/>
        <v>0</v>
      </c>
      <c r="E120" s="40">
        <f t="shared" si="15"/>
        <v>0</v>
      </c>
      <c r="F120" s="40"/>
      <c r="G120" s="41">
        <f t="shared" si="16"/>
        <v>0</v>
      </c>
      <c r="H120" s="35"/>
      <c r="I120" s="42">
        <f t="shared" si="17"/>
        <v>0</v>
      </c>
      <c r="J120" s="43"/>
    </row>
    <row r="121" spans="1:10" x14ac:dyDescent="0.25">
      <c r="A121" s="38">
        <v>86</v>
      </c>
      <c r="B121" s="39">
        <f t="shared" si="12"/>
        <v>0</v>
      </c>
      <c r="C121" s="40">
        <f t="shared" si="13"/>
        <v>0</v>
      </c>
      <c r="D121" s="40">
        <f t="shared" si="14"/>
        <v>0</v>
      </c>
      <c r="E121" s="40">
        <f t="shared" si="15"/>
        <v>0</v>
      </c>
      <c r="F121" s="40"/>
      <c r="G121" s="41">
        <f t="shared" si="16"/>
        <v>0</v>
      </c>
      <c r="H121" s="35"/>
      <c r="I121" s="42">
        <f t="shared" si="17"/>
        <v>0</v>
      </c>
      <c r="J121" s="43"/>
    </row>
    <row r="122" spans="1:10" x14ac:dyDescent="0.25">
      <c r="A122" s="38">
        <v>87</v>
      </c>
      <c r="B122" s="39">
        <f t="shared" si="12"/>
        <v>0</v>
      </c>
      <c r="C122" s="40">
        <f t="shared" si="13"/>
        <v>0</v>
      </c>
      <c r="D122" s="40">
        <f t="shared" si="14"/>
        <v>0</v>
      </c>
      <c r="E122" s="40">
        <f t="shared" si="15"/>
        <v>0</v>
      </c>
      <c r="F122" s="40"/>
      <c r="G122" s="41">
        <f t="shared" si="16"/>
        <v>0</v>
      </c>
      <c r="H122" s="35"/>
      <c r="I122" s="42">
        <f t="shared" si="17"/>
        <v>0</v>
      </c>
      <c r="J122" s="43"/>
    </row>
    <row r="123" spans="1:10" x14ac:dyDescent="0.25">
      <c r="A123" s="38">
        <v>88</v>
      </c>
      <c r="B123" s="39">
        <f t="shared" si="12"/>
        <v>0</v>
      </c>
      <c r="C123" s="40">
        <f t="shared" si="13"/>
        <v>0</v>
      </c>
      <c r="D123" s="40">
        <f t="shared" si="14"/>
        <v>0</v>
      </c>
      <c r="E123" s="40">
        <f t="shared" si="15"/>
        <v>0</v>
      </c>
      <c r="F123" s="40"/>
      <c r="G123" s="41">
        <f t="shared" si="16"/>
        <v>0</v>
      </c>
      <c r="H123" s="35"/>
      <c r="I123" s="42">
        <f t="shared" si="17"/>
        <v>0</v>
      </c>
      <c r="J123" s="43"/>
    </row>
    <row r="124" spans="1:10" x14ac:dyDescent="0.25">
      <c r="A124" s="38">
        <v>89</v>
      </c>
      <c r="B124" s="39">
        <f t="shared" si="12"/>
        <v>0</v>
      </c>
      <c r="C124" s="40">
        <f t="shared" si="13"/>
        <v>0</v>
      </c>
      <c r="D124" s="40">
        <f t="shared" si="14"/>
        <v>0</v>
      </c>
      <c r="E124" s="40">
        <f t="shared" si="15"/>
        <v>0</v>
      </c>
      <c r="F124" s="40"/>
      <c r="G124" s="41">
        <f t="shared" si="16"/>
        <v>0</v>
      </c>
      <c r="H124" s="35"/>
      <c r="I124" s="42">
        <f t="shared" si="17"/>
        <v>0</v>
      </c>
      <c r="J124" s="43"/>
    </row>
    <row r="125" spans="1:10" x14ac:dyDescent="0.25">
      <c r="A125" s="38">
        <v>90</v>
      </c>
      <c r="B125" s="39">
        <f t="shared" si="12"/>
        <v>0</v>
      </c>
      <c r="C125" s="40">
        <f t="shared" si="13"/>
        <v>0</v>
      </c>
      <c r="D125" s="40">
        <f t="shared" si="14"/>
        <v>0</v>
      </c>
      <c r="E125" s="40">
        <f t="shared" si="15"/>
        <v>0</v>
      </c>
      <c r="F125" s="40"/>
      <c r="G125" s="41">
        <f t="shared" si="16"/>
        <v>0</v>
      </c>
      <c r="H125" s="35"/>
      <c r="I125" s="42">
        <f t="shared" si="17"/>
        <v>0</v>
      </c>
      <c r="J125" s="43"/>
    </row>
    <row r="126" spans="1:10" x14ac:dyDescent="0.25">
      <c r="A126" s="38">
        <v>91</v>
      </c>
      <c r="B126" s="39">
        <f t="shared" si="12"/>
        <v>0</v>
      </c>
      <c r="C126" s="40">
        <f t="shared" si="13"/>
        <v>0</v>
      </c>
      <c r="D126" s="40">
        <f t="shared" si="14"/>
        <v>0</v>
      </c>
      <c r="E126" s="40">
        <f t="shared" si="15"/>
        <v>0</v>
      </c>
      <c r="F126" s="40"/>
      <c r="G126" s="41">
        <f t="shared" si="16"/>
        <v>0</v>
      </c>
      <c r="H126" s="35"/>
      <c r="I126" s="42">
        <f t="shared" si="17"/>
        <v>0</v>
      </c>
      <c r="J126" s="43"/>
    </row>
    <row r="127" spans="1:10" x14ac:dyDescent="0.25">
      <c r="A127" s="38">
        <v>92</v>
      </c>
      <c r="B127" s="39">
        <f t="shared" si="12"/>
        <v>0</v>
      </c>
      <c r="C127" s="40">
        <f t="shared" si="13"/>
        <v>0</v>
      </c>
      <c r="D127" s="40">
        <f t="shared" si="14"/>
        <v>0</v>
      </c>
      <c r="E127" s="40">
        <f t="shared" si="15"/>
        <v>0</v>
      </c>
      <c r="F127" s="40"/>
      <c r="G127" s="41">
        <f t="shared" si="16"/>
        <v>0</v>
      </c>
      <c r="H127" s="35"/>
      <c r="I127" s="42">
        <f t="shared" si="17"/>
        <v>0</v>
      </c>
      <c r="J127" s="43"/>
    </row>
    <row r="128" spans="1:10" x14ac:dyDescent="0.25">
      <c r="A128" s="38">
        <v>93</v>
      </c>
      <c r="B128" s="39">
        <f t="shared" si="12"/>
        <v>0</v>
      </c>
      <c r="C128" s="40">
        <f t="shared" si="13"/>
        <v>0</v>
      </c>
      <c r="D128" s="40">
        <f t="shared" si="14"/>
        <v>0</v>
      </c>
      <c r="E128" s="40">
        <f t="shared" si="15"/>
        <v>0</v>
      </c>
      <c r="F128" s="40"/>
      <c r="G128" s="41">
        <f t="shared" si="16"/>
        <v>0</v>
      </c>
      <c r="H128" s="35"/>
      <c r="I128" s="42">
        <f t="shared" si="17"/>
        <v>0</v>
      </c>
      <c r="J128" s="43"/>
    </row>
    <row r="129" spans="1:10" x14ac:dyDescent="0.25">
      <c r="A129" s="38">
        <v>94</v>
      </c>
      <c r="B129" s="39">
        <f t="shared" si="12"/>
        <v>0</v>
      </c>
      <c r="C129" s="40">
        <f t="shared" si="13"/>
        <v>0</v>
      </c>
      <c r="D129" s="40">
        <f t="shared" si="14"/>
        <v>0</v>
      </c>
      <c r="E129" s="40">
        <f t="shared" si="15"/>
        <v>0</v>
      </c>
      <c r="F129" s="40"/>
      <c r="G129" s="41">
        <f t="shared" si="16"/>
        <v>0</v>
      </c>
      <c r="H129" s="35"/>
      <c r="I129" s="42">
        <f t="shared" si="17"/>
        <v>0</v>
      </c>
      <c r="J129" s="43"/>
    </row>
    <row r="130" spans="1:10" x14ac:dyDescent="0.25">
      <c r="A130" s="38">
        <v>95</v>
      </c>
      <c r="B130" s="39">
        <f t="shared" si="12"/>
        <v>0</v>
      </c>
      <c r="C130" s="40">
        <f t="shared" si="13"/>
        <v>0</v>
      </c>
      <c r="D130" s="40">
        <f t="shared" si="14"/>
        <v>0</v>
      </c>
      <c r="E130" s="40">
        <f t="shared" si="15"/>
        <v>0</v>
      </c>
      <c r="F130" s="40"/>
      <c r="G130" s="41">
        <f t="shared" si="16"/>
        <v>0</v>
      </c>
      <c r="H130" s="35"/>
      <c r="I130" s="42">
        <f t="shared" si="17"/>
        <v>0</v>
      </c>
      <c r="J130" s="43"/>
    </row>
    <row r="131" spans="1:10" x14ac:dyDescent="0.25">
      <c r="A131" s="38">
        <v>96</v>
      </c>
      <c r="B131" s="39">
        <f t="shared" ref="B131:B162" si="18">Camort($B$22,$B$24,$B$26,$B$25,A131,$B$28,1)</f>
        <v>0</v>
      </c>
      <c r="C131" s="40">
        <f t="shared" ref="C131:C162" si="19">Camort($B$22,$B$24,$B$26,$B$25,A131,$B$28,2)</f>
        <v>0</v>
      </c>
      <c r="D131" s="40">
        <f t="shared" si="14"/>
        <v>0</v>
      </c>
      <c r="E131" s="40">
        <f t="shared" ref="E131:E162" si="20">Camort($B$22,$B$24,$B$26,$B$25,A131,$B$28,3)</f>
        <v>0</v>
      </c>
      <c r="F131" s="40"/>
      <c r="G131" s="41">
        <f t="shared" si="16"/>
        <v>0</v>
      </c>
      <c r="H131" s="35"/>
      <c r="I131" s="42">
        <f t="shared" si="17"/>
        <v>0</v>
      </c>
      <c r="J131" s="43"/>
    </row>
    <row r="132" spans="1:10" x14ac:dyDescent="0.25">
      <c r="A132" s="38">
        <v>97</v>
      </c>
      <c r="B132" s="39">
        <f t="shared" si="18"/>
        <v>0</v>
      </c>
      <c r="C132" s="40">
        <f t="shared" si="19"/>
        <v>0</v>
      </c>
      <c r="D132" s="40">
        <f t="shared" si="14"/>
        <v>0</v>
      </c>
      <c r="E132" s="40">
        <f t="shared" si="20"/>
        <v>0</v>
      </c>
      <c r="F132" s="40"/>
      <c r="G132" s="41">
        <f t="shared" ref="G132:G163" si="21">IF(A132&lt;=$B$26,$C$17,0)+IF(AND(A132&lt;=$B$26,MOD(A132,$B$5)=0),$B$4,0)+IF(A132=$B$26,$B$3,0)</f>
        <v>0</v>
      </c>
      <c r="H132" s="35"/>
      <c r="I132" s="42">
        <f t="shared" si="17"/>
        <v>0</v>
      </c>
      <c r="J132" s="43"/>
    </row>
    <row r="133" spans="1:10" x14ac:dyDescent="0.25">
      <c r="A133" s="38">
        <v>98</v>
      </c>
      <c r="B133" s="39">
        <f t="shared" si="18"/>
        <v>0</v>
      </c>
      <c r="C133" s="40">
        <f t="shared" si="19"/>
        <v>0</v>
      </c>
      <c r="D133" s="40">
        <f t="shared" si="14"/>
        <v>0</v>
      </c>
      <c r="E133" s="40">
        <f t="shared" si="20"/>
        <v>0</v>
      </c>
      <c r="F133" s="40"/>
      <c r="G133" s="41">
        <f t="shared" si="21"/>
        <v>0</v>
      </c>
      <c r="H133" s="35"/>
      <c r="I133" s="42">
        <f t="shared" si="17"/>
        <v>0</v>
      </c>
      <c r="J133" s="43"/>
    </row>
    <row r="134" spans="1:10" x14ac:dyDescent="0.25">
      <c r="A134" s="38">
        <v>99</v>
      </c>
      <c r="B134" s="39">
        <f t="shared" si="18"/>
        <v>0</v>
      </c>
      <c r="C134" s="40">
        <f t="shared" si="19"/>
        <v>0</v>
      </c>
      <c r="D134" s="40">
        <f t="shared" si="14"/>
        <v>0</v>
      </c>
      <c r="E134" s="40">
        <f t="shared" si="20"/>
        <v>0</v>
      </c>
      <c r="F134" s="40"/>
      <c r="G134" s="41">
        <f t="shared" si="21"/>
        <v>0</v>
      </c>
      <c r="H134" s="35"/>
      <c r="I134" s="42">
        <f t="shared" si="17"/>
        <v>0</v>
      </c>
      <c r="J134" s="43"/>
    </row>
    <row r="135" spans="1:10" x14ac:dyDescent="0.25">
      <c r="A135" s="38">
        <v>100</v>
      </c>
      <c r="B135" s="39">
        <f t="shared" si="18"/>
        <v>0</v>
      </c>
      <c r="C135" s="40">
        <f t="shared" si="19"/>
        <v>0</v>
      </c>
      <c r="D135" s="40">
        <f t="shared" si="14"/>
        <v>0</v>
      </c>
      <c r="E135" s="40">
        <f t="shared" si="20"/>
        <v>0</v>
      </c>
      <c r="F135" s="40"/>
      <c r="G135" s="41">
        <f t="shared" si="21"/>
        <v>0</v>
      </c>
      <c r="H135" s="35"/>
      <c r="I135" s="42">
        <f t="shared" si="17"/>
        <v>0</v>
      </c>
      <c r="J135" s="43"/>
    </row>
    <row r="136" spans="1:10" x14ac:dyDescent="0.25">
      <c r="A136" s="38">
        <v>101</v>
      </c>
      <c r="B136" s="39">
        <f t="shared" si="18"/>
        <v>0</v>
      </c>
      <c r="C136" s="40">
        <f t="shared" si="19"/>
        <v>0</v>
      </c>
      <c r="D136" s="40">
        <f t="shared" si="14"/>
        <v>0</v>
      </c>
      <c r="E136" s="40">
        <f t="shared" si="20"/>
        <v>0</v>
      </c>
      <c r="F136" s="40"/>
      <c r="G136" s="41">
        <f t="shared" si="21"/>
        <v>0</v>
      </c>
      <c r="H136" s="35"/>
      <c r="I136" s="42">
        <f t="shared" si="17"/>
        <v>0</v>
      </c>
      <c r="J136" s="43"/>
    </row>
    <row r="137" spans="1:10" x14ac:dyDescent="0.25">
      <c r="A137" s="38">
        <v>102</v>
      </c>
      <c r="B137" s="39">
        <f t="shared" si="18"/>
        <v>0</v>
      </c>
      <c r="C137" s="40">
        <f t="shared" si="19"/>
        <v>0</v>
      </c>
      <c r="D137" s="40">
        <f t="shared" si="14"/>
        <v>0</v>
      </c>
      <c r="E137" s="40">
        <f t="shared" si="20"/>
        <v>0</v>
      </c>
      <c r="F137" s="40"/>
      <c r="G137" s="41">
        <f t="shared" si="21"/>
        <v>0</v>
      </c>
      <c r="H137" s="35"/>
      <c r="I137" s="42">
        <f t="shared" si="17"/>
        <v>0</v>
      </c>
      <c r="J137" s="43"/>
    </row>
    <row r="138" spans="1:10" x14ac:dyDescent="0.25">
      <c r="A138" s="38">
        <v>103</v>
      </c>
      <c r="B138" s="39">
        <f t="shared" si="18"/>
        <v>0</v>
      </c>
      <c r="C138" s="40">
        <f t="shared" si="19"/>
        <v>0</v>
      </c>
      <c r="D138" s="40">
        <f t="shared" si="14"/>
        <v>0</v>
      </c>
      <c r="E138" s="40">
        <f t="shared" si="20"/>
        <v>0</v>
      </c>
      <c r="F138" s="40"/>
      <c r="G138" s="41">
        <f t="shared" si="21"/>
        <v>0</v>
      </c>
      <c r="H138" s="35"/>
      <c r="I138" s="42">
        <f t="shared" si="17"/>
        <v>0</v>
      </c>
      <c r="J138" s="43"/>
    </row>
    <row r="139" spans="1:10" x14ac:dyDescent="0.25">
      <c r="A139" s="38">
        <v>104</v>
      </c>
      <c r="B139" s="39">
        <f t="shared" si="18"/>
        <v>0</v>
      </c>
      <c r="C139" s="40">
        <f t="shared" si="19"/>
        <v>0</v>
      </c>
      <c r="D139" s="40">
        <f t="shared" si="14"/>
        <v>0</v>
      </c>
      <c r="E139" s="40">
        <f t="shared" si="20"/>
        <v>0</v>
      </c>
      <c r="F139" s="40"/>
      <c r="G139" s="41">
        <f t="shared" si="21"/>
        <v>0</v>
      </c>
      <c r="H139" s="35"/>
      <c r="I139" s="42">
        <f t="shared" si="17"/>
        <v>0</v>
      </c>
      <c r="J139" s="43"/>
    </row>
    <row r="140" spans="1:10" x14ac:dyDescent="0.25">
      <c r="A140" s="38">
        <v>105</v>
      </c>
      <c r="B140" s="39">
        <f t="shared" si="18"/>
        <v>0</v>
      </c>
      <c r="C140" s="40">
        <f t="shared" si="19"/>
        <v>0</v>
      </c>
      <c r="D140" s="40">
        <f t="shared" si="14"/>
        <v>0</v>
      </c>
      <c r="E140" s="40">
        <f t="shared" si="20"/>
        <v>0</v>
      </c>
      <c r="F140" s="40"/>
      <c r="G140" s="41">
        <f t="shared" si="21"/>
        <v>0</v>
      </c>
      <c r="H140" s="35"/>
      <c r="I140" s="42">
        <f t="shared" si="17"/>
        <v>0</v>
      </c>
      <c r="J140" s="43"/>
    </row>
    <row r="141" spans="1:10" x14ac:dyDescent="0.25">
      <c r="A141" s="38">
        <v>106</v>
      </c>
      <c r="B141" s="39">
        <f t="shared" si="18"/>
        <v>0</v>
      </c>
      <c r="C141" s="40">
        <f t="shared" si="19"/>
        <v>0</v>
      </c>
      <c r="D141" s="40">
        <f t="shared" si="14"/>
        <v>0</v>
      </c>
      <c r="E141" s="40">
        <f t="shared" si="20"/>
        <v>0</v>
      </c>
      <c r="F141" s="40"/>
      <c r="G141" s="41">
        <f t="shared" si="21"/>
        <v>0</v>
      </c>
      <c r="H141" s="35"/>
      <c r="I141" s="42">
        <f t="shared" si="17"/>
        <v>0</v>
      </c>
      <c r="J141" s="43"/>
    </row>
    <row r="142" spans="1:10" x14ac:dyDescent="0.25">
      <c r="A142" s="38">
        <v>107</v>
      </c>
      <c r="B142" s="39">
        <f t="shared" si="18"/>
        <v>0</v>
      </c>
      <c r="C142" s="40">
        <f t="shared" si="19"/>
        <v>0</v>
      </c>
      <c r="D142" s="40">
        <f t="shared" si="14"/>
        <v>0</v>
      </c>
      <c r="E142" s="40">
        <f t="shared" si="20"/>
        <v>0</v>
      </c>
      <c r="F142" s="40"/>
      <c r="G142" s="41">
        <f t="shared" si="21"/>
        <v>0</v>
      </c>
      <c r="H142" s="35"/>
      <c r="I142" s="42">
        <f t="shared" si="17"/>
        <v>0</v>
      </c>
      <c r="J142" s="43"/>
    </row>
    <row r="143" spans="1:10" x14ac:dyDescent="0.25">
      <c r="A143" s="38">
        <v>108</v>
      </c>
      <c r="B143" s="39">
        <f t="shared" si="18"/>
        <v>0</v>
      </c>
      <c r="C143" s="40">
        <f t="shared" si="19"/>
        <v>0</v>
      </c>
      <c r="D143" s="40">
        <f t="shared" si="14"/>
        <v>0</v>
      </c>
      <c r="E143" s="40">
        <f t="shared" si="20"/>
        <v>0</v>
      </c>
      <c r="F143" s="40"/>
      <c r="G143" s="41">
        <f t="shared" si="21"/>
        <v>0</v>
      </c>
      <c r="H143" s="35"/>
      <c r="I143" s="42">
        <f t="shared" si="17"/>
        <v>0</v>
      </c>
      <c r="J143" s="43"/>
    </row>
    <row r="144" spans="1:10" x14ac:dyDescent="0.25">
      <c r="A144" s="38">
        <v>109</v>
      </c>
      <c r="B144" s="39">
        <f t="shared" si="18"/>
        <v>0</v>
      </c>
      <c r="C144" s="40">
        <f t="shared" si="19"/>
        <v>0</v>
      </c>
      <c r="D144" s="40">
        <f t="shared" si="14"/>
        <v>0</v>
      </c>
      <c r="E144" s="40">
        <f t="shared" si="20"/>
        <v>0</v>
      </c>
      <c r="F144" s="40"/>
      <c r="G144" s="41">
        <f t="shared" si="21"/>
        <v>0</v>
      </c>
      <c r="H144" s="35"/>
      <c r="I144" s="42">
        <f t="shared" si="17"/>
        <v>0</v>
      </c>
      <c r="J144" s="43"/>
    </row>
    <row r="145" spans="1:10" x14ac:dyDescent="0.25">
      <c r="A145" s="38">
        <v>110</v>
      </c>
      <c r="B145" s="39">
        <f t="shared" si="18"/>
        <v>0</v>
      </c>
      <c r="C145" s="40">
        <f t="shared" si="19"/>
        <v>0</v>
      </c>
      <c r="D145" s="40">
        <f t="shared" si="14"/>
        <v>0</v>
      </c>
      <c r="E145" s="40">
        <f t="shared" si="20"/>
        <v>0</v>
      </c>
      <c r="F145" s="40"/>
      <c r="G145" s="41">
        <f t="shared" si="21"/>
        <v>0</v>
      </c>
      <c r="H145" s="35"/>
      <c r="I145" s="42">
        <f t="shared" si="17"/>
        <v>0</v>
      </c>
      <c r="J145" s="43"/>
    </row>
    <row r="146" spans="1:10" x14ac:dyDescent="0.25">
      <c r="A146" s="38">
        <v>111</v>
      </c>
      <c r="B146" s="39">
        <f t="shared" si="18"/>
        <v>0</v>
      </c>
      <c r="C146" s="40">
        <f t="shared" si="19"/>
        <v>0</v>
      </c>
      <c r="D146" s="40">
        <f t="shared" si="14"/>
        <v>0</v>
      </c>
      <c r="E146" s="40">
        <f t="shared" si="20"/>
        <v>0</v>
      </c>
      <c r="F146" s="40"/>
      <c r="G146" s="41">
        <f t="shared" si="21"/>
        <v>0</v>
      </c>
      <c r="H146" s="35"/>
      <c r="I146" s="42">
        <f t="shared" si="17"/>
        <v>0</v>
      </c>
      <c r="J146" s="43"/>
    </row>
    <row r="147" spans="1:10" x14ac:dyDescent="0.25">
      <c r="A147" s="38">
        <v>112</v>
      </c>
      <c r="B147" s="39">
        <f t="shared" si="18"/>
        <v>0</v>
      </c>
      <c r="C147" s="40">
        <f t="shared" si="19"/>
        <v>0</v>
      </c>
      <c r="D147" s="40">
        <f t="shared" si="14"/>
        <v>0</v>
      </c>
      <c r="E147" s="40">
        <f t="shared" si="20"/>
        <v>0</v>
      </c>
      <c r="F147" s="40"/>
      <c r="G147" s="41">
        <f t="shared" si="21"/>
        <v>0</v>
      </c>
      <c r="H147" s="35"/>
      <c r="I147" s="42">
        <f t="shared" si="17"/>
        <v>0</v>
      </c>
      <c r="J147" s="43"/>
    </row>
    <row r="148" spans="1:10" x14ac:dyDescent="0.25">
      <c r="A148" s="38">
        <v>113</v>
      </c>
      <c r="B148" s="39">
        <f t="shared" si="18"/>
        <v>0</v>
      </c>
      <c r="C148" s="40">
        <f t="shared" si="19"/>
        <v>0</v>
      </c>
      <c r="D148" s="40">
        <f t="shared" si="14"/>
        <v>0</v>
      </c>
      <c r="E148" s="40">
        <f t="shared" si="20"/>
        <v>0</v>
      </c>
      <c r="F148" s="40"/>
      <c r="G148" s="41">
        <f t="shared" si="21"/>
        <v>0</v>
      </c>
      <c r="H148" s="35"/>
      <c r="I148" s="42">
        <f t="shared" si="17"/>
        <v>0</v>
      </c>
      <c r="J148" s="43"/>
    </row>
    <row r="149" spans="1:10" x14ac:dyDescent="0.25">
      <c r="A149" s="38">
        <v>114</v>
      </c>
      <c r="B149" s="39">
        <f t="shared" si="18"/>
        <v>0</v>
      </c>
      <c r="C149" s="40">
        <f t="shared" si="19"/>
        <v>0</v>
      </c>
      <c r="D149" s="40">
        <f t="shared" si="14"/>
        <v>0</v>
      </c>
      <c r="E149" s="40">
        <f t="shared" si="20"/>
        <v>0</v>
      </c>
      <c r="F149" s="40"/>
      <c r="G149" s="41">
        <f t="shared" si="21"/>
        <v>0</v>
      </c>
      <c r="H149" s="35"/>
      <c r="I149" s="42">
        <f t="shared" si="17"/>
        <v>0</v>
      </c>
      <c r="J149" s="43"/>
    </row>
    <row r="150" spans="1:10" x14ac:dyDescent="0.25">
      <c r="A150" s="38">
        <v>115</v>
      </c>
      <c r="B150" s="39">
        <f t="shared" si="18"/>
        <v>0</v>
      </c>
      <c r="C150" s="40">
        <f t="shared" si="19"/>
        <v>0</v>
      </c>
      <c r="D150" s="40">
        <f t="shared" si="14"/>
        <v>0</v>
      </c>
      <c r="E150" s="40">
        <f t="shared" si="20"/>
        <v>0</v>
      </c>
      <c r="F150" s="40"/>
      <c r="G150" s="41">
        <f t="shared" si="21"/>
        <v>0</v>
      </c>
      <c r="H150" s="35"/>
      <c r="I150" s="42">
        <f t="shared" si="17"/>
        <v>0</v>
      </c>
      <c r="J150" s="43"/>
    </row>
    <row r="151" spans="1:10" x14ac:dyDescent="0.25">
      <c r="A151" s="38">
        <v>116</v>
      </c>
      <c r="B151" s="39">
        <f t="shared" si="18"/>
        <v>0</v>
      </c>
      <c r="C151" s="40">
        <f t="shared" si="19"/>
        <v>0</v>
      </c>
      <c r="D151" s="40">
        <f t="shared" si="14"/>
        <v>0</v>
      </c>
      <c r="E151" s="40">
        <f t="shared" si="20"/>
        <v>0</v>
      </c>
      <c r="F151" s="40"/>
      <c r="G151" s="41">
        <f t="shared" si="21"/>
        <v>0</v>
      </c>
      <c r="H151" s="35"/>
      <c r="I151" s="42">
        <f t="shared" si="17"/>
        <v>0</v>
      </c>
      <c r="J151" s="43"/>
    </row>
    <row r="152" spans="1:10" x14ac:dyDescent="0.25">
      <c r="A152" s="38">
        <v>117</v>
      </c>
      <c r="B152" s="39">
        <f t="shared" si="18"/>
        <v>0</v>
      </c>
      <c r="C152" s="40">
        <f t="shared" si="19"/>
        <v>0</v>
      </c>
      <c r="D152" s="40">
        <f t="shared" si="14"/>
        <v>0</v>
      </c>
      <c r="E152" s="40">
        <f t="shared" si="20"/>
        <v>0</v>
      </c>
      <c r="F152" s="40"/>
      <c r="G152" s="41">
        <f t="shared" si="21"/>
        <v>0</v>
      </c>
      <c r="H152" s="35"/>
      <c r="I152" s="42">
        <f t="shared" si="17"/>
        <v>0</v>
      </c>
      <c r="J152" s="43"/>
    </row>
    <row r="153" spans="1:10" x14ac:dyDescent="0.25">
      <c r="A153" s="38">
        <v>118</v>
      </c>
      <c r="B153" s="39">
        <f t="shared" si="18"/>
        <v>0</v>
      </c>
      <c r="C153" s="40">
        <f t="shared" si="19"/>
        <v>0</v>
      </c>
      <c r="D153" s="40">
        <f t="shared" si="14"/>
        <v>0</v>
      </c>
      <c r="E153" s="40">
        <f t="shared" si="20"/>
        <v>0</v>
      </c>
      <c r="F153" s="40"/>
      <c r="G153" s="41">
        <f t="shared" si="21"/>
        <v>0</v>
      </c>
      <c r="H153" s="35"/>
      <c r="I153" s="42">
        <f t="shared" si="17"/>
        <v>0</v>
      </c>
      <c r="J153" s="43"/>
    </row>
    <row r="154" spans="1:10" x14ac:dyDescent="0.25">
      <c r="A154" s="38">
        <v>119</v>
      </c>
      <c r="B154" s="39">
        <f t="shared" si="18"/>
        <v>0</v>
      </c>
      <c r="C154" s="40">
        <f t="shared" si="19"/>
        <v>0</v>
      </c>
      <c r="D154" s="40">
        <f t="shared" si="14"/>
        <v>0</v>
      </c>
      <c r="E154" s="40">
        <f t="shared" si="20"/>
        <v>0</v>
      </c>
      <c r="F154" s="40"/>
      <c r="G154" s="41">
        <f t="shared" si="21"/>
        <v>0</v>
      </c>
      <c r="H154" s="35"/>
      <c r="I154" s="42">
        <f t="shared" si="17"/>
        <v>0</v>
      </c>
      <c r="J154" s="43"/>
    </row>
    <row r="155" spans="1:10" x14ac:dyDescent="0.25">
      <c r="A155" s="38">
        <v>120</v>
      </c>
      <c r="B155" s="39">
        <f t="shared" si="18"/>
        <v>0</v>
      </c>
      <c r="C155" s="40">
        <f t="shared" si="19"/>
        <v>0</v>
      </c>
      <c r="D155" s="40">
        <f t="shared" si="14"/>
        <v>0</v>
      </c>
      <c r="E155" s="40">
        <f t="shared" si="20"/>
        <v>0</v>
      </c>
      <c r="F155" s="40"/>
      <c r="G155" s="41">
        <f t="shared" si="21"/>
        <v>0</v>
      </c>
      <c r="H155" s="35"/>
      <c r="I155" s="42">
        <f t="shared" si="17"/>
        <v>0</v>
      </c>
      <c r="J155" s="43"/>
    </row>
    <row r="156" spans="1:10" x14ac:dyDescent="0.25">
      <c r="A156" s="38">
        <v>121</v>
      </c>
      <c r="B156" s="39">
        <f t="shared" si="18"/>
        <v>0</v>
      </c>
      <c r="C156" s="40">
        <f t="shared" si="19"/>
        <v>0</v>
      </c>
      <c r="D156" s="40">
        <f t="shared" si="14"/>
        <v>0</v>
      </c>
      <c r="E156" s="40">
        <f t="shared" si="20"/>
        <v>0</v>
      </c>
      <c r="F156" s="40"/>
      <c r="G156" s="41">
        <f t="shared" si="21"/>
        <v>0</v>
      </c>
      <c r="H156" s="35"/>
      <c r="I156" s="42">
        <f t="shared" si="17"/>
        <v>0</v>
      </c>
      <c r="J156" s="43"/>
    </row>
    <row r="157" spans="1:10" x14ac:dyDescent="0.25">
      <c r="A157" s="38">
        <v>122</v>
      </c>
      <c r="B157" s="39">
        <f t="shared" si="18"/>
        <v>0</v>
      </c>
      <c r="C157" s="40">
        <f t="shared" si="19"/>
        <v>0</v>
      </c>
      <c r="D157" s="40">
        <f t="shared" si="14"/>
        <v>0</v>
      </c>
      <c r="E157" s="40">
        <f t="shared" si="20"/>
        <v>0</v>
      </c>
      <c r="F157" s="40"/>
      <c r="G157" s="41">
        <f t="shared" si="21"/>
        <v>0</v>
      </c>
      <c r="H157" s="35"/>
      <c r="I157" s="42">
        <f t="shared" si="17"/>
        <v>0</v>
      </c>
      <c r="J157" s="43"/>
    </row>
    <row r="158" spans="1:10" x14ac:dyDescent="0.25">
      <c r="A158" s="38">
        <v>123</v>
      </c>
      <c r="B158" s="39">
        <f t="shared" si="18"/>
        <v>0</v>
      </c>
      <c r="C158" s="40">
        <f t="shared" si="19"/>
        <v>0</v>
      </c>
      <c r="D158" s="40">
        <f t="shared" si="14"/>
        <v>0</v>
      </c>
      <c r="E158" s="40">
        <f t="shared" si="20"/>
        <v>0</v>
      </c>
      <c r="F158" s="40"/>
      <c r="G158" s="41">
        <f t="shared" si="21"/>
        <v>0</v>
      </c>
      <c r="H158" s="35"/>
      <c r="I158" s="42">
        <f t="shared" si="17"/>
        <v>0</v>
      </c>
      <c r="J158" s="43"/>
    </row>
    <row r="159" spans="1:10" x14ac:dyDescent="0.25">
      <c r="A159" s="38">
        <v>124</v>
      </c>
      <c r="B159" s="39">
        <f t="shared" si="18"/>
        <v>0</v>
      </c>
      <c r="C159" s="40">
        <f t="shared" si="19"/>
        <v>0</v>
      </c>
      <c r="D159" s="40">
        <f t="shared" si="14"/>
        <v>0</v>
      </c>
      <c r="E159" s="40">
        <f t="shared" si="20"/>
        <v>0</v>
      </c>
      <c r="F159" s="40"/>
      <c r="G159" s="41">
        <f t="shared" si="21"/>
        <v>0</v>
      </c>
      <c r="H159" s="35"/>
      <c r="I159" s="42">
        <f t="shared" si="17"/>
        <v>0</v>
      </c>
      <c r="J159" s="43"/>
    </row>
    <row r="160" spans="1:10" x14ac:dyDescent="0.25">
      <c r="A160" s="38">
        <v>125</v>
      </c>
      <c r="B160" s="39">
        <f t="shared" si="18"/>
        <v>0</v>
      </c>
      <c r="C160" s="40">
        <f t="shared" si="19"/>
        <v>0</v>
      </c>
      <c r="D160" s="40">
        <f t="shared" si="14"/>
        <v>0</v>
      </c>
      <c r="E160" s="40">
        <f t="shared" si="20"/>
        <v>0</v>
      </c>
      <c r="F160" s="40"/>
      <c r="G160" s="41">
        <f t="shared" si="21"/>
        <v>0</v>
      </c>
      <c r="H160" s="35"/>
      <c r="I160" s="42">
        <f t="shared" si="17"/>
        <v>0</v>
      </c>
      <c r="J160" s="43"/>
    </row>
    <row r="161" spans="1:10" x14ac:dyDescent="0.25">
      <c r="A161" s="38">
        <v>126</v>
      </c>
      <c r="B161" s="39">
        <f t="shared" si="18"/>
        <v>0</v>
      </c>
      <c r="C161" s="40">
        <f t="shared" si="19"/>
        <v>0</v>
      </c>
      <c r="D161" s="40">
        <f t="shared" si="14"/>
        <v>0</v>
      </c>
      <c r="E161" s="40">
        <f t="shared" si="20"/>
        <v>0</v>
      </c>
      <c r="F161" s="40"/>
      <c r="G161" s="41">
        <f t="shared" si="21"/>
        <v>0</v>
      </c>
      <c r="H161" s="35"/>
      <c r="I161" s="42">
        <f t="shared" si="17"/>
        <v>0</v>
      </c>
      <c r="J161" s="43"/>
    </row>
    <row r="162" spans="1:10" x14ac:dyDescent="0.25">
      <c r="A162" s="38">
        <v>127</v>
      </c>
      <c r="B162" s="39">
        <f t="shared" si="18"/>
        <v>0</v>
      </c>
      <c r="C162" s="40">
        <f t="shared" si="19"/>
        <v>0</v>
      </c>
      <c r="D162" s="40">
        <f t="shared" si="14"/>
        <v>0</v>
      </c>
      <c r="E162" s="40">
        <f t="shared" si="20"/>
        <v>0</v>
      </c>
      <c r="F162" s="40"/>
      <c r="G162" s="41">
        <f t="shared" si="21"/>
        <v>0</v>
      </c>
      <c r="H162" s="35"/>
      <c r="I162" s="42">
        <f t="shared" si="17"/>
        <v>0</v>
      </c>
      <c r="J162" s="43"/>
    </row>
    <row r="163" spans="1:10" x14ac:dyDescent="0.25">
      <c r="A163" s="38">
        <v>128</v>
      </c>
      <c r="B163" s="39">
        <f t="shared" ref="B163:B194" si="22">Camort($B$22,$B$24,$B$26,$B$25,A163,$B$28,1)</f>
        <v>0</v>
      </c>
      <c r="C163" s="40">
        <f t="shared" ref="C163:C194" si="23">Camort($B$22,$B$24,$B$26,$B$25,A163,$B$28,2)</f>
        <v>0</v>
      </c>
      <c r="D163" s="40">
        <f t="shared" ref="D163:D215" si="24">B163-C163</f>
        <v>0</v>
      </c>
      <c r="E163" s="40">
        <f t="shared" ref="E163:E194" si="25">Camort($B$22,$B$24,$B$26,$B$25,A163,$B$28,3)</f>
        <v>0</v>
      </c>
      <c r="F163" s="40"/>
      <c r="G163" s="41">
        <f t="shared" si="21"/>
        <v>0</v>
      </c>
      <c r="H163" s="35"/>
      <c r="I163" s="42">
        <f t="shared" si="17"/>
        <v>0</v>
      </c>
      <c r="J163" s="43"/>
    </row>
    <row r="164" spans="1:10" x14ac:dyDescent="0.25">
      <c r="A164" s="38">
        <v>129</v>
      </c>
      <c r="B164" s="39">
        <f t="shared" si="22"/>
        <v>0</v>
      </c>
      <c r="C164" s="40">
        <f t="shared" si="23"/>
        <v>0</v>
      </c>
      <c r="D164" s="40">
        <f t="shared" si="24"/>
        <v>0</v>
      </c>
      <c r="E164" s="40">
        <f t="shared" si="25"/>
        <v>0</v>
      </c>
      <c r="F164" s="40"/>
      <c r="G164" s="41">
        <f t="shared" ref="G164:G195" si="26">IF(A164&lt;=$B$26,$C$17,0)+IF(AND(A164&lt;=$B$26,MOD(A164,$B$5)=0),$B$4,0)+IF(A164=$B$26,$B$3,0)</f>
        <v>0</v>
      </c>
      <c r="H164" s="35"/>
      <c r="I164" s="42">
        <f t="shared" si="17"/>
        <v>0</v>
      </c>
      <c r="J164" s="43"/>
    </row>
    <row r="165" spans="1:10" x14ac:dyDescent="0.25">
      <c r="A165" s="38">
        <v>130</v>
      </c>
      <c r="B165" s="39">
        <f t="shared" si="22"/>
        <v>0</v>
      </c>
      <c r="C165" s="40">
        <f t="shared" si="23"/>
        <v>0</v>
      </c>
      <c r="D165" s="40">
        <f t="shared" si="24"/>
        <v>0</v>
      </c>
      <c r="E165" s="40">
        <f t="shared" si="25"/>
        <v>0</v>
      </c>
      <c r="F165" s="40"/>
      <c r="G165" s="41">
        <f t="shared" si="26"/>
        <v>0</v>
      </c>
      <c r="H165" s="35"/>
      <c r="I165" s="42">
        <f t="shared" ref="I165:I215" si="27">B165-F165+G165</f>
        <v>0</v>
      </c>
      <c r="J165" s="43"/>
    </row>
    <row r="166" spans="1:10" x14ac:dyDescent="0.25">
      <c r="A166" s="38">
        <v>131</v>
      </c>
      <c r="B166" s="39">
        <f t="shared" si="22"/>
        <v>0</v>
      </c>
      <c r="C166" s="40">
        <f t="shared" si="23"/>
        <v>0</v>
      </c>
      <c r="D166" s="40">
        <f t="shared" si="24"/>
        <v>0</v>
      </c>
      <c r="E166" s="40">
        <f t="shared" si="25"/>
        <v>0</v>
      </c>
      <c r="F166" s="40"/>
      <c r="G166" s="41">
        <f t="shared" si="26"/>
        <v>0</v>
      </c>
      <c r="H166" s="35"/>
      <c r="I166" s="42">
        <f t="shared" si="27"/>
        <v>0</v>
      </c>
      <c r="J166" s="43"/>
    </row>
    <row r="167" spans="1:10" x14ac:dyDescent="0.25">
      <c r="A167" s="38">
        <v>132</v>
      </c>
      <c r="B167" s="39">
        <f t="shared" si="22"/>
        <v>0</v>
      </c>
      <c r="C167" s="40">
        <f t="shared" si="23"/>
        <v>0</v>
      </c>
      <c r="D167" s="40">
        <f t="shared" si="24"/>
        <v>0</v>
      </c>
      <c r="E167" s="40">
        <f t="shared" si="25"/>
        <v>0</v>
      </c>
      <c r="F167" s="40"/>
      <c r="G167" s="41">
        <f t="shared" si="26"/>
        <v>0</v>
      </c>
      <c r="H167" s="35"/>
      <c r="I167" s="42">
        <f t="shared" si="27"/>
        <v>0</v>
      </c>
      <c r="J167" s="43"/>
    </row>
    <row r="168" spans="1:10" x14ac:dyDescent="0.25">
      <c r="A168" s="38">
        <v>133</v>
      </c>
      <c r="B168" s="39">
        <f t="shared" si="22"/>
        <v>0</v>
      </c>
      <c r="C168" s="40">
        <f t="shared" si="23"/>
        <v>0</v>
      </c>
      <c r="D168" s="40">
        <f t="shared" si="24"/>
        <v>0</v>
      </c>
      <c r="E168" s="40">
        <f t="shared" si="25"/>
        <v>0</v>
      </c>
      <c r="F168" s="40"/>
      <c r="G168" s="41">
        <f t="shared" si="26"/>
        <v>0</v>
      </c>
      <c r="H168" s="35"/>
      <c r="I168" s="42">
        <f t="shared" si="27"/>
        <v>0</v>
      </c>
      <c r="J168" s="43"/>
    </row>
    <row r="169" spans="1:10" x14ac:dyDescent="0.25">
      <c r="A169" s="38">
        <v>134</v>
      </c>
      <c r="B169" s="39">
        <f t="shared" si="22"/>
        <v>0</v>
      </c>
      <c r="C169" s="40">
        <f t="shared" si="23"/>
        <v>0</v>
      </c>
      <c r="D169" s="40">
        <f t="shared" si="24"/>
        <v>0</v>
      </c>
      <c r="E169" s="40">
        <f t="shared" si="25"/>
        <v>0</v>
      </c>
      <c r="F169" s="40"/>
      <c r="G169" s="41">
        <f t="shared" si="26"/>
        <v>0</v>
      </c>
      <c r="H169" s="35"/>
      <c r="I169" s="42">
        <f t="shared" si="27"/>
        <v>0</v>
      </c>
      <c r="J169" s="43"/>
    </row>
    <row r="170" spans="1:10" x14ac:dyDescent="0.25">
      <c r="A170" s="38">
        <v>135</v>
      </c>
      <c r="B170" s="39">
        <f t="shared" si="22"/>
        <v>0</v>
      </c>
      <c r="C170" s="40">
        <f t="shared" si="23"/>
        <v>0</v>
      </c>
      <c r="D170" s="40">
        <f t="shared" si="24"/>
        <v>0</v>
      </c>
      <c r="E170" s="40">
        <f t="shared" si="25"/>
        <v>0</v>
      </c>
      <c r="F170" s="40"/>
      <c r="G170" s="41">
        <f t="shared" si="26"/>
        <v>0</v>
      </c>
      <c r="H170" s="35"/>
      <c r="I170" s="42">
        <f t="shared" si="27"/>
        <v>0</v>
      </c>
      <c r="J170" s="43"/>
    </row>
    <row r="171" spans="1:10" x14ac:dyDescent="0.25">
      <c r="A171" s="38">
        <v>136</v>
      </c>
      <c r="B171" s="39">
        <f t="shared" si="22"/>
        <v>0</v>
      </c>
      <c r="C171" s="40">
        <f t="shared" si="23"/>
        <v>0</v>
      </c>
      <c r="D171" s="40">
        <f t="shared" si="24"/>
        <v>0</v>
      </c>
      <c r="E171" s="40">
        <f t="shared" si="25"/>
        <v>0</v>
      </c>
      <c r="F171" s="40"/>
      <c r="G171" s="41">
        <f t="shared" si="26"/>
        <v>0</v>
      </c>
      <c r="H171" s="35"/>
      <c r="I171" s="42">
        <f t="shared" si="27"/>
        <v>0</v>
      </c>
      <c r="J171" s="43"/>
    </row>
    <row r="172" spans="1:10" x14ac:dyDescent="0.25">
      <c r="A172" s="38">
        <v>137</v>
      </c>
      <c r="B172" s="39">
        <f t="shared" si="22"/>
        <v>0</v>
      </c>
      <c r="C172" s="40">
        <f t="shared" si="23"/>
        <v>0</v>
      </c>
      <c r="D172" s="40">
        <f t="shared" si="24"/>
        <v>0</v>
      </c>
      <c r="E172" s="40">
        <f t="shared" si="25"/>
        <v>0</v>
      </c>
      <c r="F172" s="40"/>
      <c r="G172" s="41">
        <f t="shared" si="26"/>
        <v>0</v>
      </c>
      <c r="H172" s="35"/>
      <c r="I172" s="42">
        <f t="shared" si="27"/>
        <v>0</v>
      </c>
      <c r="J172" s="43"/>
    </row>
    <row r="173" spans="1:10" x14ac:dyDescent="0.25">
      <c r="A173" s="38">
        <v>138</v>
      </c>
      <c r="B173" s="39">
        <f t="shared" si="22"/>
        <v>0</v>
      </c>
      <c r="C173" s="40">
        <f t="shared" si="23"/>
        <v>0</v>
      </c>
      <c r="D173" s="40">
        <f t="shared" si="24"/>
        <v>0</v>
      </c>
      <c r="E173" s="40">
        <f t="shared" si="25"/>
        <v>0</v>
      </c>
      <c r="F173" s="40"/>
      <c r="G173" s="41">
        <f t="shared" si="26"/>
        <v>0</v>
      </c>
      <c r="H173" s="35"/>
      <c r="I173" s="42">
        <f t="shared" si="27"/>
        <v>0</v>
      </c>
      <c r="J173" s="43"/>
    </row>
    <row r="174" spans="1:10" x14ac:dyDescent="0.25">
      <c r="A174" s="38">
        <v>139</v>
      </c>
      <c r="B174" s="39">
        <f t="shared" si="22"/>
        <v>0</v>
      </c>
      <c r="C174" s="40">
        <f t="shared" si="23"/>
        <v>0</v>
      </c>
      <c r="D174" s="40">
        <f t="shared" si="24"/>
        <v>0</v>
      </c>
      <c r="E174" s="40">
        <f t="shared" si="25"/>
        <v>0</v>
      </c>
      <c r="F174" s="40"/>
      <c r="G174" s="41">
        <f t="shared" si="26"/>
        <v>0</v>
      </c>
      <c r="H174" s="35"/>
      <c r="I174" s="42">
        <f t="shared" si="27"/>
        <v>0</v>
      </c>
      <c r="J174" s="43"/>
    </row>
    <row r="175" spans="1:10" x14ac:dyDescent="0.25">
      <c r="A175" s="38">
        <v>140</v>
      </c>
      <c r="B175" s="39">
        <f t="shared" si="22"/>
        <v>0</v>
      </c>
      <c r="C175" s="40">
        <f t="shared" si="23"/>
        <v>0</v>
      </c>
      <c r="D175" s="40">
        <f t="shared" si="24"/>
        <v>0</v>
      </c>
      <c r="E175" s="40">
        <f t="shared" si="25"/>
        <v>0</v>
      </c>
      <c r="F175" s="40"/>
      <c r="G175" s="41">
        <f t="shared" si="26"/>
        <v>0</v>
      </c>
      <c r="H175" s="35"/>
      <c r="I175" s="42">
        <f t="shared" si="27"/>
        <v>0</v>
      </c>
      <c r="J175" s="43"/>
    </row>
    <row r="176" spans="1:10" x14ac:dyDescent="0.25">
      <c r="A176" s="38">
        <v>141</v>
      </c>
      <c r="B176" s="39">
        <f t="shared" si="22"/>
        <v>0</v>
      </c>
      <c r="C176" s="40">
        <f t="shared" si="23"/>
        <v>0</v>
      </c>
      <c r="D176" s="40">
        <f t="shared" si="24"/>
        <v>0</v>
      </c>
      <c r="E176" s="40">
        <f t="shared" si="25"/>
        <v>0</v>
      </c>
      <c r="F176" s="40"/>
      <c r="G176" s="41">
        <f t="shared" si="26"/>
        <v>0</v>
      </c>
      <c r="H176" s="35"/>
      <c r="I176" s="42">
        <f t="shared" si="27"/>
        <v>0</v>
      </c>
      <c r="J176" s="43"/>
    </row>
    <row r="177" spans="1:10" x14ac:dyDescent="0.25">
      <c r="A177" s="38">
        <v>142</v>
      </c>
      <c r="B177" s="39">
        <f t="shared" si="22"/>
        <v>0</v>
      </c>
      <c r="C177" s="40">
        <f t="shared" si="23"/>
        <v>0</v>
      </c>
      <c r="D177" s="40">
        <f t="shared" si="24"/>
        <v>0</v>
      </c>
      <c r="E177" s="40">
        <f t="shared" si="25"/>
        <v>0</v>
      </c>
      <c r="F177" s="40"/>
      <c r="G177" s="41">
        <f t="shared" si="26"/>
        <v>0</v>
      </c>
      <c r="H177" s="35"/>
      <c r="I177" s="42">
        <f t="shared" si="27"/>
        <v>0</v>
      </c>
      <c r="J177" s="43"/>
    </row>
    <row r="178" spans="1:10" x14ac:dyDescent="0.25">
      <c r="A178" s="38">
        <v>143</v>
      </c>
      <c r="B178" s="39">
        <f t="shared" si="22"/>
        <v>0</v>
      </c>
      <c r="C178" s="40">
        <f t="shared" si="23"/>
        <v>0</v>
      </c>
      <c r="D178" s="40">
        <f t="shared" si="24"/>
        <v>0</v>
      </c>
      <c r="E178" s="40">
        <f t="shared" si="25"/>
        <v>0</v>
      </c>
      <c r="F178" s="40"/>
      <c r="G178" s="41">
        <f t="shared" si="26"/>
        <v>0</v>
      </c>
      <c r="H178" s="35"/>
      <c r="I178" s="42">
        <f t="shared" si="27"/>
        <v>0</v>
      </c>
      <c r="J178" s="43"/>
    </row>
    <row r="179" spans="1:10" x14ac:dyDescent="0.25">
      <c r="A179" s="38">
        <v>144</v>
      </c>
      <c r="B179" s="39">
        <f t="shared" si="22"/>
        <v>0</v>
      </c>
      <c r="C179" s="40">
        <f t="shared" si="23"/>
        <v>0</v>
      </c>
      <c r="D179" s="40">
        <f t="shared" si="24"/>
        <v>0</v>
      </c>
      <c r="E179" s="40">
        <f t="shared" si="25"/>
        <v>0</v>
      </c>
      <c r="F179" s="40"/>
      <c r="G179" s="41">
        <f t="shared" si="26"/>
        <v>0</v>
      </c>
      <c r="H179" s="35"/>
      <c r="I179" s="42">
        <f t="shared" si="27"/>
        <v>0</v>
      </c>
      <c r="J179" s="43"/>
    </row>
    <row r="180" spans="1:10" x14ac:dyDescent="0.25">
      <c r="A180" s="38">
        <v>145</v>
      </c>
      <c r="B180" s="39">
        <f t="shared" si="22"/>
        <v>0</v>
      </c>
      <c r="C180" s="40">
        <f t="shared" si="23"/>
        <v>0</v>
      </c>
      <c r="D180" s="40">
        <f t="shared" si="24"/>
        <v>0</v>
      </c>
      <c r="E180" s="40">
        <f t="shared" si="25"/>
        <v>0</v>
      </c>
      <c r="F180" s="40"/>
      <c r="G180" s="41">
        <f t="shared" si="26"/>
        <v>0</v>
      </c>
      <c r="H180" s="35"/>
      <c r="I180" s="42">
        <f t="shared" si="27"/>
        <v>0</v>
      </c>
      <c r="J180" s="43"/>
    </row>
    <row r="181" spans="1:10" x14ac:dyDescent="0.25">
      <c r="A181" s="38">
        <v>146</v>
      </c>
      <c r="B181" s="39">
        <f t="shared" si="22"/>
        <v>0</v>
      </c>
      <c r="C181" s="40">
        <f t="shared" si="23"/>
        <v>0</v>
      </c>
      <c r="D181" s="40">
        <f t="shared" si="24"/>
        <v>0</v>
      </c>
      <c r="E181" s="40">
        <f t="shared" si="25"/>
        <v>0</v>
      </c>
      <c r="F181" s="40"/>
      <c r="G181" s="41">
        <f t="shared" si="26"/>
        <v>0</v>
      </c>
      <c r="H181" s="35"/>
      <c r="I181" s="42">
        <f t="shared" si="27"/>
        <v>0</v>
      </c>
      <c r="J181" s="43"/>
    </row>
    <row r="182" spans="1:10" x14ac:dyDescent="0.25">
      <c r="A182" s="38">
        <v>147</v>
      </c>
      <c r="B182" s="39">
        <f t="shared" si="22"/>
        <v>0</v>
      </c>
      <c r="C182" s="40">
        <f t="shared" si="23"/>
        <v>0</v>
      </c>
      <c r="D182" s="40">
        <f t="shared" si="24"/>
        <v>0</v>
      </c>
      <c r="E182" s="40">
        <f t="shared" si="25"/>
        <v>0</v>
      </c>
      <c r="F182" s="40"/>
      <c r="G182" s="41">
        <f t="shared" si="26"/>
        <v>0</v>
      </c>
      <c r="H182" s="35"/>
      <c r="I182" s="42">
        <f t="shared" si="27"/>
        <v>0</v>
      </c>
      <c r="J182" s="43"/>
    </row>
    <row r="183" spans="1:10" x14ac:dyDescent="0.25">
      <c r="A183" s="38">
        <v>148</v>
      </c>
      <c r="B183" s="39">
        <f t="shared" si="22"/>
        <v>0</v>
      </c>
      <c r="C183" s="40">
        <f t="shared" si="23"/>
        <v>0</v>
      </c>
      <c r="D183" s="40">
        <f t="shared" si="24"/>
        <v>0</v>
      </c>
      <c r="E183" s="40">
        <f t="shared" si="25"/>
        <v>0</v>
      </c>
      <c r="F183" s="40"/>
      <c r="G183" s="41">
        <f t="shared" si="26"/>
        <v>0</v>
      </c>
      <c r="H183" s="35"/>
      <c r="I183" s="42">
        <f t="shared" si="27"/>
        <v>0</v>
      </c>
      <c r="J183" s="43"/>
    </row>
    <row r="184" spans="1:10" x14ac:dyDescent="0.25">
      <c r="A184" s="38">
        <v>149</v>
      </c>
      <c r="B184" s="39">
        <f t="shared" si="22"/>
        <v>0</v>
      </c>
      <c r="C184" s="40">
        <f t="shared" si="23"/>
        <v>0</v>
      </c>
      <c r="D184" s="40">
        <f t="shared" si="24"/>
        <v>0</v>
      </c>
      <c r="E184" s="40">
        <f t="shared" si="25"/>
        <v>0</v>
      </c>
      <c r="F184" s="40"/>
      <c r="G184" s="41">
        <f t="shared" si="26"/>
        <v>0</v>
      </c>
      <c r="H184" s="35"/>
      <c r="I184" s="42">
        <f t="shared" si="27"/>
        <v>0</v>
      </c>
      <c r="J184" s="43"/>
    </row>
    <row r="185" spans="1:10" x14ac:dyDescent="0.25">
      <c r="A185" s="38">
        <v>150</v>
      </c>
      <c r="B185" s="39">
        <f t="shared" si="22"/>
        <v>0</v>
      </c>
      <c r="C185" s="40">
        <f t="shared" si="23"/>
        <v>0</v>
      </c>
      <c r="D185" s="40">
        <f t="shared" si="24"/>
        <v>0</v>
      </c>
      <c r="E185" s="40">
        <f t="shared" si="25"/>
        <v>0</v>
      </c>
      <c r="F185" s="40"/>
      <c r="G185" s="41">
        <f t="shared" si="26"/>
        <v>0</v>
      </c>
      <c r="H185" s="35"/>
      <c r="I185" s="42">
        <f t="shared" si="27"/>
        <v>0</v>
      </c>
      <c r="J185" s="43"/>
    </row>
    <row r="186" spans="1:10" x14ac:dyDescent="0.25">
      <c r="A186" s="38">
        <v>151</v>
      </c>
      <c r="B186" s="39">
        <f t="shared" si="22"/>
        <v>0</v>
      </c>
      <c r="C186" s="40">
        <f t="shared" si="23"/>
        <v>0</v>
      </c>
      <c r="D186" s="40">
        <f t="shared" si="24"/>
        <v>0</v>
      </c>
      <c r="E186" s="40">
        <f t="shared" si="25"/>
        <v>0</v>
      </c>
      <c r="F186" s="40"/>
      <c r="G186" s="41">
        <f t="shared" si="26"/>
        <v>0</v>
      </c>
      <c r="H186" s="35"/>
      <c r="I186" s="42">
        <f t="shared" si="27"/>
        <v>0</v>
      </c>
      <c r="J186" s="43"/>
    </row>
    <row r="187" spans="1:10" x14ac:dyDescent="0.25">
      <c r="A187" s="38">
        <v>152</v>
      </c>
      <c r="B187" s="39">
        <f t="shared" si="22"/>
        <v>0</v>
      </c>
      <c r="C187" s="40">
        <f t="shared" si="23"/>
        <v>0</v>
      </c>
      <c r="D187" s="40">
        <f t="shared" si="24"/>
        <v>0</v>
      </c>
      <c r="E187" s="40">
        <f t="shared" si="25"/>
        <v>0</v>
      </c>
      <c r="F187" s="40"/>
      <c r="G187" s="41">
        <f t="shared" si="26"/>
        <v>0</v>
      </c>
      <c r="H187" s="35"/>
      <c r="I187" s="42">
        <f t="shared" si="27"/>
        <v>0</v>
      </c>
      <c r="J187" s="43"/>
    </row>
    <row r="188" spans="1:10" x14ac:dyDescent="0.25">
      <c r="A188" s="38">
        <v>153</v>
      </c>
      <c r="B188" s="39">
        <f t="shared" si="22"/>
        <v>0</v>
      </c>
      <c r="C188" s="40">
        <f t="shared" si="23"/>
        <v>0</v>
      </c>
      <c r="D188" s="40">
        <f t="shared" si="24"/>
        <v>0</v>
      </c>
      <c r="E188" s="40">
        <f t="shared" si="25"/>
        <v>0</v>
      </c>
      <c r="F188" s="40"/>
      <c r="G188" s="41">
        <f t="shared" si="26"/>
        <v>0</v>
      </c>
      <c r="H188" s="35"/>
      <c r="I188" s="42">
        <f t="shared" si="27"/>
        <v>0</v>
      </c>
      <c r="J188" s="43"/>
    </row>
    <row r="189" spans="1:10" x14ac:dyDescent="0.25">
      <c r="A189" s="38">
        <v>154</v>
      </c>
      <c r="B189" s="39">
        <f t="shared" si="22"/>
        <v>0</v>
      </c>
      <c r="C189" s="40">
        <f t="shared" si="23"/>
        <v>0</v>
      </c>
      <c r="D189" s="40">
        <f t="shared" si="24"/>
        <v>0</v>
      </c>
      <c r="E189" s="40">
        <f t="shared" si="25"/>
        <v>0</v>
      </c>
      <c r="F189" s="40"/>
      <c r="G189" s="41">
        <f t="shared" si="26"/>
        <v>0</v>
      </c>
      <c r="H189" s="35"/>
      <c r="I189" s="42">
        <f t="shared" si="27"/>
        <v>0</v>
      </c>
      <c r="J189" s="43"/>
    </row>
    <row r="190" spans="1:10" x14ac:dyDescent="0.25">
      <c r="A190" s="38">
        <v>155</v>
      </c>
      <c r="B190" s="39">
        <f t="shared" si="22"/>
        <v>0</v>
      </c>
      <c r="C190" s="40">
        <f t="shared" si="23"/>
        <v>0</v>
      </c>
      <c r="D190" s="40">
        <f t="shared" si="24"/>
        <v>0</v>
      </c>
      <c r="E190" s="40">
        <f t="shared" si="25"/>
        <v>0</v>
      </c>
      <c r="F190" s="40"/>
      <c r="G190" s="41">
        <f t="shared" si="26"/>
        <v>0</v>
      </c>
      <c r="H190" s="35"/>
      <c r="I190" s="42">
        <f t="shared" si="27"/>
        <v>0</v>
      </c>
      <c r="J190" s="43"/>
    </row>
    <row r="191" spans="1:10" x14ac:dyDescent="0.25">
      <c r="A191" s="38">
        <v>156</v>
      </c>
      <c r="B191" s="39">
        <f t="shared" si="22"/>
        <v>0</v>
      </c>
      <c r="C191" s="40">
        <f t="shared" si="23"/>
        <v>0</v>
      </c>
      <c r="D191" s="40">
        <f t="shared" si="24"/>
        <v>0</v>
      </c>
      <c r="E191" s="40">
        <f t="shared" si="25"/>
        <v>0</v>
      </c>
      <c r="F191" s="40"/>
      <c r="G191" s="41">
        <f t="shared" si="26"/>
        <v>0</v>
      </c>
      <c r="H191" s="35"/>
      <c r="I191" s="42">
        <f t="shared" si="27"/>
        <v>0</v>
      </c>
      <c r="J191" s="43"/>
    </row>
    <row r="192" spans="1:10" x14ac:dyDescent="0.25">
      <c r="A192" s="38">
        <v>157</v>
      </c>
      <c r="B192" s="39">
        <f t="shared" si="22"/>
        <v>0</v>
      </c>
      <c r="C192" s="40">
        <f t="shared" si="23"/>
        <v>0</v>
      </c>
      <c r="D192" s="40">
        <f t="shared" si="24"/>
        <v>0</v>
      </c>
      <c r="E192" s="40">
        <f t="shared" si="25"/>
        <v>0</v>
      </c>
      <c r="F192" s="40"/>
      <c r="G192" s="41">
        <f t="shared" si="26"/>
        <v>0</v>
      </c>
      <c r="H192" s="35"/>
      <c r="I192" s="42">
        <f t="shared" si="27"/>
        <v>0</v>
      </c>
      <c r="J192" s="43"/>
    </row>
    <row r="193" spans="1:10" x14ac:dyDescent="0.25">
      <c r="A193" s="38">
        <v>158</v>
      </c>
      <c r="B193" s="39">
        <f t="shared" si="22"/>
        <v>0</v>
      </c>
      <c r="C193" s="40">
        <f t="shared" si="23"/>
        <v>0</v>
      </c>
      <c r="D193" s="40">
        <f t="shared" si="24"/>
        <v>0</v>
      </c>
      <c r="E193" s="40">
        <f t="shared" si="25"/>
        <v>0</v>
      </c>
      <c r="F193" s="40"/>
      <c r="G193" s="41">
        <f t="shared" si="26"/>
        <v>0</v>
      </c>
      <c r="H193" s="35"/>
      <c r="I193" s="42">
        <f t="shared" si="27"/>
        <v>0</v>
      </c>
      <c r="J193" s="43"/>
    </row>
    <row r="194" spans="1:10" x14ac:dyDescent="0.25">
      <c r="A194" s="38">
        <v>159</v>
      </c>
      <c r="B194" s="39">
        <f t="shared" si="22"/>
        <v>0</v>
      </c>
      <c r="C194" s="40">
        <f t="shared" si="23"/>
        <v>0</v>
      </c>
      <c r="D194" s="40">
        <f t="shared" si="24"/>
        <v>0</v>
      </c>
      <c r="E194" s="40">
        <f t="shared" si="25"/>
        <v>0</v>
      </c>
      <c r="F194" s="40"/>
      <c r="G194" s="41">
        <f t="shared" si="26"/>
        <v>0</v>
      </c>
      <c r="H194" s="35"/>
      <c r="I194" s="42">
        <f t="shared" si="27"/>
        <v>0</v>
      </c>
      <c r="J194" s="43"/>
    </row>
    <row r="195" spans="1:10" x14ac:dyDescent="0.25">
      <c r="A195" s="38">
        <v>160</v>
      </c>
      <c r="B195" s="39">
        <f t="shared" ref="B195:B215" si="28">Camort($B$22,$B$24,$B$26,$B$25,A195,$B$28,1)</f>
        <v>0</v>
      </c>
      <c r="C195" s="40">
        <f t="shared" ref="C195:C215" si="29">Camort($B$22,$B$24,$B$26,$B$25,A195,$B$28,2)</f>
        <v>0</v>
      </c>
      <c r="D195" s="40">
        <f t="shared" si="24"/>
        <v>0</v>
      </c>
      <c r="E195" s="40">
        <f t="shared" ref="E195:E215" si="30">Camort($B$22,$B$24,$B$26,$B$25,A195,$B$28,3)</f>
        <v>0</v>
      </c>
      <c r="F195" s="40"/>
      <c r="G195" s="41">
        <f t="shared" si="26"/>
        <v>0</v>
      </c>
      <c r="H195" s="35"/>
      <c r="I195" s="42">
        <f t="shared" si="27"/>
        <v>0</v>
      </c>
      <c r="J195" s="43"/>
    </row>
    <row r="196" spans="1:10" x14ac:dyDescent="0.25">
      <c r="A196" s="38">
        <v>161</v>
      </c>
      <c r="B196" s="39">
        <f t="shared" si="28"/>
        <v>0</v>
      </c>
      <c r="C196" s="40">
        <f t="shared" si="29"/>
        <v>0</v>
      </c>
      <c r="D196" s="40">
        <f t="shared" si="24"/>
        <v>0</v>
      </c>
      <c r="E196" s="40">
        <f t="shared" si="30"/>
        <v>0</v>
      </c>
      <c r="F196" s="40"/>
      <c r="G196" s="41">
        <f t="shared" ref="G196:G215" si="31">IF(A196&lt;=$B$26,$C$17,0)+IF(AND(A196&lt;=$B$26,MOD(A196,$B$5)=0),$B$4,0)+IF(A196=$B$26,$B$3,0)</f>
        <v>0</v>
      </c>
      <c r="H196" s="35"/>
      <c r="I196" s="42">
        <f t="shared" si="27"/>
        <v>0</v>
      </c>
      <c r="J196" s="43"/>
    </row>
    <row r="197" spans="1:10" x14ac:dyDescent="0.25">
      <c r="A197" s="38">
        <v>162</v>
      </c>
      <c r="B197" s="39">
        <f t="shared" si="28"/>
        <v>0</v>
      </c>
      <c r="C197" s="40">
        <f t="shared" si="29"/>
        <v>0</v>
      </c>
      <c r="D197" s="40">
        <f t="shared" si="24"/>
        <v>0</v>
      </c>
      <c r="E197" s="40">
        <f t="shared" si="30"/>
        <v>0</v>
      </c>
      <c r="F197" s="40"/>
      <c r="G197" s="41">
        <f t="shared" si="31"/>
        <v>0</v>
      </c>
      <c r="H197" s="35"/>
      <c r="I197" s="42">
        <f t="shared" si="27"/>
        <v>0</v>
      </c>
      <c r="J197" s="43"/>
    </row>
    <row r="198" spans="1:10" x14ac:dyDescent="0.25">
      <c r="A198" s="38">
        <v>163</v>
      </c>
      <c r="B198" s="39">
        <f t="shared" si="28"/>
        <v>0</v>
      </c>
      <c r="C198" s="40">
        <f t="shared" si="29"/>
        <v>0</v>
      </c>
      <c r="D198" s="40">
        <f t="shared" si="24"/>
        <v>0</v>
      </c>
      <c r="E198" s="40">
        <f t="shared" si="30"/>
        <v>0</v>
      </c>
      <c r="F198" s="40"/>
      <c r="G198" s="41">
        <f t="shared" si="31"/>
        <v>0</v>
      </c>
      <c r="H198" s="35"/>
      <c r="I198" s="42">
        <f t="shared" si="27"/>
        <v>0</v>
      </c>
      <c r="J198" s="43"/>
    </row>
    <row r="199" spans="1:10" x14ac:dyDescent="0.25">
      <c r="A199" s="38">
        <v>164</v>
      </c>
      <c r="B199" s="39">
        <f t="shared" si="28"/>
        <v>0</v>
      </c>
      <c r="C199" s="40">
        <f t="shared" si="29"/>
        <v>0</v>
      </c>
      <c r="D199" s="40">
        <f t="shared" si="24"/>
        <v>0</v>
      </c>
      <c r="E199" s="40">
        <f t="shared" si="30"/>
        <v>0</v>
      </c>
      <c r="F199" s="40"/>
      <c r="G199" s="41">
        <f t="shared" si="31"/>
        <v>0</v>
      </c>
      <c r="H199" s="35"/>
      <c r="I199" s="42">
        <f t="shared" si="27"/>
        <v>0</v>
      </c>
      <c r="J199" s="43"/>
    </row>
    <row r="200" spans="1:10" x14ac:dyDescent="0.25">
      <c r="A200" s="38">
        <v>165</v>
      </c>
      <c r="B200" s="39">
        <f t="shared" si="28"/>
        <v>0</v>
      </c>
      <c r="C200" s="40">
        <f t="shared" si="29"/>
        <v>0</v>
      </c>
      <c r="D200" s="40">
        <f t="shared" si="24"/>
        <v>0</v>
      </c>
      <c r="E200" s="40">
        <f t="shared" si="30"/>
        <v>0</v>
      </c>
      <c r="F200" s="40"/>
      <c r="G200" s="41">
        <f t="shared" si="31"/>
        <v>0</v>
      </c>
      <c r="H200" s="35"/>
      <c r="I200" s="42">
        <f t="shared" si="27"/>
        <v>0</v>
      </c>
      <c r="J200" s="43"/>
    </row>
    <row r="201" spans="1:10" x14ac:dyDescent="0.25">
      <c r="A201" s="38">
        <v>166</v>
      </c>
      <c r="B201" s="39">
        <f t="shared" si="28"/>
        <v>0</v>
      </c>
      <c r="C201" s="40">
        <f t="shared" si="29"/>
        <v>0</v>
      </c>
      <c r="D201" s="40">
        <f t="shared" si="24"/>
        <v>0</v>
      </c>
      <c r="E201" s="40">
        <f t="shared" si="30"/>
        <v>0</v>
      </c>
      <c r="F201" s="40"/>
      <c r="G201" s="41">
        <f t="shared" si="31"/>
        <v>0</v>
      </c>
      <c r="H201" s="35"/>
      <c r="I201" s="42">
        <f t="shared" si="27"/>
        <v>0</v>
      </c>
      <c r="J201" s="43"/>
    </row>
    <row r="202" spans="1:10" x14ac:dyDescent="0.25">
      <c r="A202" s="38">
        <v>167</v>
      </c>
      <c r="B202" s="39">
        <f t="shared" si="28"/>
        <v>0</v>
      </c>
      <c r="C202" s="40">
        <f t="shared" si="29"/>
        <v>0</v>
      </c>
      <c r="D202" s="40">
        <f t="shared" si="24"/>
        <v>0</v>
      </c>
      <c r="E202" s="40">
        <f t="shared" si="30"/>
        <v>0</v>
      </c>
      <c r="F202" s="40"/>
      <c r="G202" s="41">
        <f t="shared" si="31"/>
        <v>0</v>
      </c>
      <c r="H202" s="35"/>
      <c r="I202" s="42">
        <f t="shared" si="27"/>
        <v>0</v>
      </c>
      <c r="J202" s="43"/>
    </row>
    <row r="203" spans="1:10" x14ac:dyDescent="0.25">
      <c r="A203" s="38">
        <v>168</v>
      </c>
      <c r="B203" s="39">
        <f t="shared" si="28"/>
        <v>0</v>
      </c>
      <c r="C203" s="40">
        <f t="shared" si="29"/>
        <v>0</v>
      </c>
      <c r="D203" s="40">
        <f t="shared" si="24"/>
        <v>0</v>
      </c>
      <c r="E203" s="40">
        <f t="shared" si="30"/>
        <v>0</v>
      </c>
      <c r="F203" s="40"/>
      <c r="G203" s="41">
        <f t="shared" si="31"/>
        <v>0</v>
      </c>
      <c r="H203" s="35"/>
      <c r="I203" s="42">
        <f t="shared" si="27"/>
        <v>0</v>
      </c>
      <c r="J203" s="43"/>
    </row>
    <row r="204" spans="1:10" x14ac:dyDescent="0.25">
      <c r="A204" s="38">
        <v>169</v>
      </c>
      <c r="B204" s="39">
        <f t="shared" si="28"/>
        <v>0</v>
      </c>
      <c r="C204" s="40">
        <f t="shared" si="29"/>
        <v>0</v>
      </c>
      <c r="D204" s="40">
        <f t="shared" si="24"/>
        <v>0</v>
      </c>
      <c r="E204" s="40">
        <f t="shared" si="30"/>
        <v>0</v>
      </c>
      <c r="F204" s="40"/>
      <c r="G204" s="41">
        <f t="shared" si="31"/>
        <v>0</v>
      </c>
      <c r="H204" s="35"/>
      <c r="I204" s="42">
        <f t="shared" si="27"/>
        <v>0</v>
      </c>
      <c r="J204" s="43"/>
    </row>
    <row r="205" spans="1:10" x14ac:dyDescent="0.25">
      <c r="A205" s="38">
        <v>170</v>
      </c>
      <c r="B205" s="39">
        <f t="shared" si="28"/>
        <v>0</v>
      </c>
      <c r="C205" s="40">
        <f t="shared" si="29"/>
        <v>0</v>
      </c>
      <c r="D205" s="40">
        <f t="shared" si="24"/>
        <v>0</v>
      </c>
      <c r="E205" s="40">
        <f t="shared" si="30"/>
        <v>0</v>
      </c>
      <c r="F205" s="40"/>
      <c r="G205" s="41">
        <f t="shared" si="31"/>
        <v>0</v>
      </c>
      <c r="H205" s="35"/>
      <c r="I205" s="42">
        <f t="shared" si="27"/>
        <v>0</v>
      </c>
      <c r="J205" s="43"/>
    </row>
    <row r="206" spans="1:10" x14ac:dyDescent="0.25">
      <c r="A206" s="38">
        <v>171</v>
      </c>
      <c r="B206" s="39">
        <f t="shared" si="28"/>
        <v>0</v>
      </c>
      <c r="C206" s="40">
        <f t="shared" si="29"/>
        <v>0</v>
      </c>
      <c r="D206" s="40">
        <f t="shared" si="24"/>
        <v>0</v>
      </c>
      <c r="E206" s="40">
        <f t="shared" si="30"/>
        <v>0</v>
      </c>
      <c r="F206" s="40"/>
      <c r="G206" s="41">
        <f t="shared" si="31"/>
        <v>0</v>
      </c>
      <c r="H206" s="35"/>
      <c r="I206" s="42">
        <f t="shared" si="27"/>
        <v>0</v>
      </c>
      <c r="J206" s="43"/>
    </row>
    <row r="207" spans="1:10" x14ac:dyDescent="0.25">
      <c r="A207" s="38">
        <v>172</v>
      </c>
      <c r="B207" s="39">
        <f t="shared" si="28"/>
        <v>0</v>
      </c>
      <c r="C207" s="40">
        <f t="shared" si="29"/>
        <v>0</v>
      </c>
      <c r="D207" s="40">
        <f t="shared" si="24"/>
        <v>0</v>
      </c>
      <c r="E207" s="40">
        <f t="shared" si="30"/>
        <v>0</v>
      </c>
      <c r="F207" s="40"/>
      <c r="G207" s="41">
        <f t="shared" si="31"/>
        <v>0</v>
      </c>
      <c r="H207" s="35"/>
      <c r="I207" s="42">
        <f t="shared" si="27"/>
        <v>0</v>
      </c>
      <c r="J207" s="43"/>
    </row>
    <row r="208" spans="1:10" x14ac:dyDescent="0.25">
      <c r="A208" s="38">
        <v>173</v>
      </c>
      <c r="B208" s="39">
        <f t="shared" si="28"/>
        <v>0</v>
      </c>
      <c r="C208" s="40">
        <f t="shared" si="29"/>
        <v>0</v>
      </c>
      <c r="D208" s="40">
        <f t="shared" si="24"/>
        <v>0</v>
      </c>
      <c r="E208" s="40">
        <f t="shared" si="30"/>
        <v>0</v>
      </c>
      <c r="F208" s="40"/>
      <c r="G208" s="41">
        <f t="shared" si="31"/>
        <v>0</v>
      </c>
      <c r="H208" s="35"/>
      <c r="I208" s="42">
        <f t="shared" si="27"/>
        <v>0</v>
      </c>
      <c r="J208" s="43"/>
    </row>
    <row r="209" spans="1:10" x14ac:dyDescent="0.25">
      <c r="A209" s="38">
        <v>174</v>
      </c>
      <c r="B209" s="39">
        <f t="shared" si="28"/>
        <v>0</v>
      </c>
      <c r="C209" s="40">
        <f t="shared" si="29"/>
        <v>0</v>
      </c>
      <c r="D209" s="40">
        <f t="shared" si="24"/>
        <v>0</v>
      </c>
      <c r="E209" s="40">
        <f t="shared" si="30"/>
        <v>0</v>
      </c>
      <c r="F209" s="40"/>
      <c r="G209" s="41">
        <f t="shared" si="31"/>
        <v>0</v>
      </c>
      <c r="H209" s="35"/>
      <c r="I209" s="42">
        <f t="shared" si="27"/>
        <v>0</v>
      </c>
      <c r="J209" s="43"/>
    </row>
    <row r="210" spans="1:10" x14ac:dyDescent="0.25">
      <c r="A210" s="38">
        <v>175</v>
      </c>
      <c r="B210" s="39">
        <f t="shared" si="28"/>
        <v>0</v>
      </c>
      <c r="C210" s="40">
        <f t="shared" si="29"/>
        <v>0</v>
      </c>
      <c r="D210" s="40">
        <f t="shared" si="24"/>
        <v>0</v>
      </c>
      <c r="E210" s="40">
        <f t="shared" si="30"/>
        <v>0</v>
      </c>
      <c r="F210" s="40"/>
      <c r="G210" s="41">
        <f t="shared" si="31"/>
        <v>0</v>
      </c>
      <c r="H210" s="35"/>
      <c r="I210" s="42">
        <f t="shared" si="27"/>
        <v>0</v>
      </c>
      <c r="J210" s="43"/>
    </row>
    <row r="211" spans="1:10" x14ac:dyDescent="0.25">
      <c r="A211" s="38">
        <v>176</v>
      </c>
      <c r="B211" s="39">
        <f t="shared" si="28"/>
        <v>0</v>
      </c>
      <c r="C211" s="40">
        <f t="shared" si="29"/>
        <v>0</v>
      </c>
      <c r="D211" s="40">
        <f t="shared" si="24"/>
        <v>0</v>
      </c>
      <c r="E211" s="40">
        <f t="shared" si="30"/>
        <v>0</v>
      </c>
      <c r="F211" s="40"/>
      <c r="G211" s="41">
        <f t="shared" si="31"/>
        <v>0</v>
      </c>
      <c r="H211" s="35"/>
      <c r="I211" s="42">
        <f t="shared" si="27"/>
        <v>0</v>
      </c>
      <c r="J211" s="43"/>
    </row>
    <row r="212" spans="1:10" x14ac:dyDescent="0.25">
      <c r="A212" s="38">
        <v>177</v>
      </c>
      <c r="B212" s="39">
        <f t="shared" si="28"/>
        <v>0</v>
      </c>
      <c r="C212" s="40">
        <f t="shared" si="29"/>
        <v>0</v>
      </c>
      <c r="D212" s="40">
        <f t="shared" si="24"/>
        <v>0</v>
      </c>
      <c r="E212" s="40">
        <f t="shared" si="30"/>
        <v>0</v>
      </c>
      <c r="F212" s="40"/>
      <c r="G212" s="41">
        <f t="shared" si="31"/>
        <v>0</v>
      </c>
      <c r="H212" s="35"/>
      <c r="I212" s="42">
        <f t="shared" si="27"/>
        <v>0</v>
      </c>
      <c r="J212" s="43"/>
    </row>
    <row r="213" spans="1:10" x14ac:dyDescent="0.25">
      <c r="A213" s="38">
        <v>178</v>
      </c>
      <c r="B213" s="39">
        <f t="shared" si="28"/>
        <v>0</v>
      </c>
      <c r="C213" s="40">
        <f t="shared" si="29"/>
        <v>0</v>
      </c>
      <c r="D213" s="40">
        <f t="shared" si="24"/>
        <v>0</v>
      </c>
      <c r="E213" s="40">
        <f t="shared" si="30"/>
        <v>0</v>
      </c>
      <c r="F213" s="40"/>
      <c r="G213" s="41">
        <f t="shared" si="31"/>
        <v>0</v>
      </c>
      <c r="H213" s="35"/>
      <c r="I213" s="42">
        <f t="shared" si="27"/>
        <v>0</v>
      </c>
      <c r="J213" s="43"/>
    </row>
    <row r="214" spans="1:10" x14ac:dyDescent="0.25">
      <c r="A214" s="38">
        <v>179</v>
      </c>
      <c r="B214" s="39">
        <f t="shared" si="28"/>
        <v>0</v>
      </c>
      <c r="C214" s="40">
        <f t="shared" si="29"/>
        <v>0</v>
      </c>
      <c r="D214" s="40">
        <f t="shared" si="24"/>
        <v>0</v>
      </c>
      <c r="E214" s="40">
        <f t="shared" si="30"/>
        <v>0</v>
      </c>
      <c r="F214" s="40"/>
      <c r="G214" s="41">
        <f t="shared" si="31"/>
        <v>0</v>
      </c>
      <c r="H214" s="35"/>
      <c r="I214" s="42">
        <f t="shared" si="27"/>
        <v>0</v>
      </c>
      <c r="J214" s="43"/>
    </row>
    <row r="215" spans="1:10" ht="15.75" thickBot="1" x14ac:dyDescent="0.3">
      <c r="A215" s="44">
        <v>180</v>
      </c>
      <c r="B215" s="45">
        <f t="shared" si="28"/>
        <v>0</v>
      </c>
      <c r="C215" s="46">
        <f t="shared" si="29"/>
        <v>0</v>
      </c>
      <c r="D215" s="46">
        <f t="shared" si="24"/>
        <v>0</v>
      </c>
      <c r="E215" s="46">
        <f t="shared" si="30"/>
        <v>0</v>
      </c>
      <c r="F215" s="46"/>
      <c r="G215" s="41">
        <f t="shared" si="31"/>
        <v>0</v>
      </c>
      <c r="H215" s="35"/>
      <c r="I215" s="42">
        <f t="shared" si="27"/>
        <v>0</v>
      </c>
      <c r="J215" s="43"/>
    </row>
  </sheetData>
  <mergeCells count="1">
    <mergeCell ref="B33:G33"/>
  </mergeCells>
  <dataValidations count="2">
    <dataValidation type="list" allowBlank="1" showInputMessage="1" showErrorMessage="1" sqref="B27">
      <formula1>TAMORT</formula1>
    </dataValidation>
    <dataValidation type="list" allowBlank="1" showInputMessage="1" showErrorMessage="1" sqref="B8 B14:B16">
      <formula1>CANALES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A1:AG23"/>
  <sheetViews>
    <sheetView workbookViewId="0">
      <selection activeCell="A4" sqref="A4:A6"/>
    </sheetView>
  </sheetViews>
  <sheetFormatPr baseColWidth="10" defaultRowHeight="15" x14ac:dyDescent="0.25"/>
  <cols>
    <col min="1" max="1" width="15.140625" style="17" customWidth="1"/>
    <col min="2" max="2" width="16" style="17" customWidth="1"/>
    <col min="3" max="3" width="11.42578125" style="17"/>
    <col min="4" max="4" width="36.140625" style="17" customWidth="1"/>
    <col min="5" max="5" width="12.5703125" style="17" customWidth="1"/>
    <col min="6" max="6" width="12.28515625" style="17" customWidth="1"/>
    <col min="7" max="7" width="12.5703125" style="17" customWidth="1"/>
    <col min="8" max="16384" width="11.42578125" style="17"/>
  </cols>
  <sheetData>
    <row r="1" spans="1:33" ht="15.75" thickBot="1" x14ac:dyDescent="0.3">
      <c r="A1" s="17">
        <v>1</v>
      </c>
      <c r="B1" s="17">
        <v>2</v>
      </c>
      <c r="C1" s="17">
        <v>3</v>
      </c>
      <c r="D1" s="17">
        <v>4</v>
      </c>
      <c r="E1" s="17">
        <v>5</v>
      </c>
      <c r="F1" s="17">
        <v>6</v>
      </c>
      <c r="G1" s="17">
        <v>7</v>
      </c>
      <c r="H1" s="17">
        <v>8</v>
      </c>
      <c r="I1" s="17">
        <v>9</v>
      </c>
      <c r="L1" s="17">
        <v>10</v>
      </c>
      <c r="M1" s="17">
        <v>11</v>
      </c>
      <c r="N1" s="17">
        <v>12</v>
      </c>
      <c r="O1" s="17">
        <v>13</v>
      </c>
      <c r="P1" s="17">
        <v>14</v>
      </c>
      <c r="Q1" s="17">
        <v>15</v>
      </c>
      <c r="R1" s="17">
        <v>16</v>
      </c>
      <c r="S1" s="17">
        <v>17</v>
      </c>
      <c r="T1" s="17">
        <v>18</v>
      </c>
      <c r="U1" s="17">
        <v>19</v>
      </c>
      <c r="V1" s="17">
        <v>20</v>
      </c>
      <c r="W1" s="17">
        <v>21</v>
      </c>
      <c r="X1" s="17">
        <v>22</v>
      </c>
      <c r="Y1" s="17">
        <v>23</v>
      </c>
      <c r="Z1" s="17">
        <v>24</v>
      </c>
      <c r="AA1" s="17">
        <v>25</v>
      </c>
      <c r="AB1" s="17">
        <v>26</v>
      </c>
      <c r="AC1" s="17">
        <v>27</v>
      </c>
      <c r="AD1" s="17">
        <v>28</v>
      </c>
      <c r="AE1" s="17">
        <v>29</v>
      </c>
      <c r="AF1" s="17">
        <v>30</v>
      </c>
      <c r="AG1" s="17">
        <v>31</v>
      </c>
    </row>
    <row r="2" spans="1:33" ht="15.75" thickBot="1" x14ac:dyDescent="0.3">
      <c r="L2" s="241" t="s">
        <v>59</v>
      </c>
      <c r="M2" s="242"/>
      <c r="N2" s="242"/>
      <c r="O2" s="242"/>
      <c r="P2" s="242"/>
      <c r="Q2" s="242"/>
      <c r="R2" s="242"/>
      <c r="S2" s="242"/>
      <c r="T2" s="242"/>
      <c r="U2" s="242"/>
      <c r="V2" s="242"/>
      <c r="W2" s="242"/>
      <c r="X2" s="242"/>
      <c r="Y2" s="242"/>
      <c r="Z2" s="242"/>
      <c r="AA2" s="242"/>
      <c r="AB2" s="242"/>
      <c r="AC2" s="242"/>
      <c r="AD2" s="242"/>
      <c r="AE2" s="242"/>
      <c r="AF2" s="242"/>
      <c r="AG2" s="243"/>
    </row>
    <row r="3" spans="1:33" ht="26.25" thickBot="1" x14ac:dyDescent="0.3">
      <c r="A3" s="18" t="s">
        <v>34</v>
      </c>
      <c r="B3" s="18" t="str">
        <f>[4]Productos!DM3</f>
        <v>NOMBRE DEL PRODUCTO</v>
      </c>
      <c r="C3" s="18" t="str">
        <f>[4]Productos!DN3</f>
        <v>ENTIDAD</v>
      </c>
      <c r="D3" s="18" t="str">
        <f>[4]Productos!DO3</f>
        <v>TIPO DE AMORTIZACION</v>
      </c>
      <c r="E3" s="18" t="str">
        <f>[4]Productos!DP3</f>
        <v>TASA DE INTERES</v>
      </c>
      <c r="F3" s="18" t="str">
        <f>[4]Productos!DQ3</f>
        <v>COSTOS INICIALES</v>
      </c>
      <c r="G3" s="18" t="str">
        <f>[4]Productos!DR3</f>
        <v>COSTOS FINALES</v>
      </c>
      <c r="H3" s="18" t="str">
        <f>[4]Productos!DS3</f>
        <v>PERIOD ADMINIS</v>
      </c>
      <c r="I3" s="18" t="str">
        <f>[4]Productos!DT3</f>
        <v>COSTO ADMINISTRA</v>
      </c>
      <c r="J3" s="18" t="str">
        <f>[4]Productos!DU3</f>
        <v>PERIODO DE GRACIA</v>
      </c>
      <c r="K3" s="18" t="str">
        <f>[4]Productos!DV3</f>
        <v>COBRA INTERES</v>
      </c>
      <c r="L3" s="18" t="str">
        <f>[4]Productos!DW3</f>
        <v>CANAL 1</v>
      </c>
      <c r="M3" s="18" t="str">
        <f>[4]Productos!DX3</f>
        <v>CANAL 2</v>
      </c>
      <c r="N3" s="18" t="str">
        <f>[4]Productos!DY3</f>
        <v>CANAL 3</v>
      </c>
      <c r="O3" s="18" t="str">
        <f>[4]Productos!DZ3</f>
        <v>CANAL 4</v>
      </c>
      <c r="P3" s="18" t="str">
        <f>[4]Productos!EA3</f>
        <v>CANAL 5</v>
      </c>
      <c r="Q3" s="18" t="str">
        <f>[4]Productos!EB3</f>
        <v>CANAL 6</v>
      </c>
      <c r="R3" s="18" t="str">
        <f>[4]Productos!EC3</f>
        <v>CANAL 7</v>
      </c>
      <c r="S3" s="18" t="str">
        <f>[4]Productos!ED3</f>
        <v>CANAL 8</v>
      </c>
      <c r="T3" s="18" t="str">
        <f>[4]Productos!EE3</f>
        <v>CANAL 9</v>
      </c>
      <c r="U3" s="18" t="str">
        <f>[4]Productos!EF3</f>
        <v>CANAL 10</v>
      </c>
      <c r="V3" s="18" t="str">
        <f>[4]Productos!EG3</f>
        <v>CANAL 11</v>
      </c>
      <c r="W3" s="18" t="str">
        <f>[4]Productos!EH3</f>
        <v>CANAL 12</v>
      </c>
      <c r="X3" s="18" t="str">
        <f>[4]Productos!EI3</f>
        <v>CANAL 13</v>
      </c>
      <c r="Y3" s="18" t="str">
        <f>[4]Productos!EJ3</f>
        <v>CANAL 14</v>
      </c>
      <c r="Z3" s="18" t="str">
        <f>[4]Productos!EK3</f>
        <v>CANAL 15</v>
      </c>
      <c r="AA3" s="18" t="str">
        <f>[4]Productos!EL3</f>
        <v>CANAL 16</v>
      </c>
      <c r="AB3" s="18" t="str">
        <f>[4]Productos!EM3</f>
        <v>CANAL 17</v>
      </c>
      <c r="AC3" s="18" t="str">
        <f>[4]Productos!EN3</f>
        <v>CANAL 18</v>
      </c>
      <c r="AD3" s="18" t="str">
        <f>[4]Productos!EO3</f>
        <v>CANAL 19</v>
      </c>
      <c r="AE3" s="18" t="str">
        <f>[4]Productos!EP3</f>
        <v>CANAL 20</v>
      </c>
      <c r="AF3" s="18" t="str">
        <f>[4]Productos!EQ3</f>
        <v>CANAL 21</v>
      </c>
      <c r="AG3" s="18" t="str">
        <f>[4]Productos!ER3</f>
        <v>CANAL 22</v>
      </c>
    </row>
    <row r="4" spans="1:33" x14ac:dyDescent="0.25">
      <c r="A4" s="17" t="s">
        <v>83</v>
      </c>
      <c r="B4" s="17" t="str">
        <f>IFERROR(VLOOKUP($A4,[3]Productos!$A$3:$GG$201,[3]Productos!DM$1+1,0),"")</f>
        <v>E001013021001</v>
      </c>
      <c r="C4" s="17" t="str">
        <f>IFERROR(VLOOKUP($A4,[3]Productos!$A$3:$GG$201,[3]Productos!DN$1+1,0),"")</f>
        <v>E001003</v>
      </c>
      <c r="D4" s="17" t="str">
        <f>IFERROR(VLOOKUP($A4,[3]Productos!$A$3:$GG$201,[3]Productos!DO$1+1,0),"")</f>
        <v>Cuota fija Pesos</v>
      </c>
      <c r="E4" s="17">
        <f>IFERROR(VLOOKUP($A4,[3]Productos!$A$3:$GG$201,[3]Productos!DP$1+1,0),"")</f>
        <v>0.09</v>
      </c>
      <c r="F4" s="17">
        <f>IFERROR(VLOOKUP($A4,[3]Productos!$A$3:$GG$201,[3]Productos!DQ$1+1,0),"")</f>
        <v>1000000</v>
      </c>
      <c r="G4" s="17">
        <f>IFERROR(VLOOKUP($A4,[3]Productos!$A$3:$GG$201,[3]Productos!DR$1+1,0),"")</f>
        <v>700000</v>
      </c>
      <c r="H4" s="17">
        <f>IFERROR(VLOOKUP($A4,[3]Productos!$A$3:$GG$201,[3]Productos!DS$1+1,0),"")</f>
        <v>3</v>
      </c>
      <c r="I4" s="17">
        <f>IFERROR(VLOOKUP($A4,[3]Productos!$A$3:$GG$201,[3]Productos!DT$1+1,0),"")</f>
        <v>500</v>
      </c>
      <c r="J4" s="17">
        <f>IFERROR(VLOOKUP($A4,[3]Productos!$A$3:$GG$201,[3]Productos!DU$1+1,0),"")</f>
        <v>0</v>
      </c>
      <c r="K4" s="17">
        <f>IFERROR(VLOOKUP($A4,[3]Productos!$A$3:$GG$201,[3]Productos!DV$1+1,0),"")</f>
        <v>0</v>
      </c>
      <c r="L4" s="17">
        <f>IFERROR(VLOOKUP($A4,[3]Productos!$A$3:$GG$201,[3]Productos!DW$1+1,0),"")</f>
        <v>2500</v>
      </c>
      <c r="M4" s="17">
        <f>IFERROR(VLOOKUP($A4,[3]Productos!$A$3:$GG$201,[3]Productos!DX$1+1,0),"")</f>
        <v>6000</v>
      </c>
      <c r="N4" s="17">
        <f>IFERROR(VLOOKUP($A4,[3]Productos!$A$3:$GG$201,[3]Productos!DY$1+1,0),"")</f>
        <v>7000</v>
      </c>
      <c r="O4" s="17">
        <f>IFERROR(VLOOKUP($A4,[3]Productos!$A$3:$GG$201,[3]Productos!DZ$1+1,0),"")</f>
        <v>3500</v>
      </c>
      <c r="P4" s="17">
        <f>IFERROR(VLOOKUP($A4,[3]Productos!$A$3:$GG$201,[3]Productos!EA$1+1,0),"")</f>
        <v>3500</v>
      </c>
      <c r="Q4" s="17">
        <f>IFERROR(VLOOKUP($A4,[3]Productos!$A$3:$GG$201,[3]Productos!EB$1+1,0),"")</f>
        <v>0</v>
      </c>
      <c r="R4" s="17">
        <f>IFERROR(VLOOKUP($A4,[3]Productos!$A$3:$GG$201,[3]Productos!EC$1+1,0),"")</f>
        <v>0</v>
      </c>
      <c r="S4" s="17">
        <f>IFERROR(VLOOKUP($A4,[3]Productos!$A$3:$GG$201,[3]Productos!ED$1+1,0),"")</f>
        <v>1000</v>
      </c>
      <c r="T4" s="17">
        <f>IFERROR(VLOOKUP($A4,[3]Productos!$A$3:$GG$201,[3]Productos!EE$1+1,0),"")</f>
        <v>2500</v>
      </c>
      <c r="U4" s="17">
        <f>IFERROR(VLOOKUP($A4,[3]Productos!$A$3:$GG$201,[3]Productos!EF$1+1,0),"")</f>
        <v>3000</v>
      </c>
      <c r="V4" s="17">
        <f>IFERROR(VLOOKUP($A4,[3]Productos!$A$3:$GG$201,[3]Productos!EG$1+1,0),"")</f>
        <v>5000</v>
      </c>
      <c r="W4" s="17">
        <f>IFERROR(VLOOKUP($A4,[3]Productos!$A$3:$GG$201,[3]Productos!EH$1+1,0),"")</f>
        <v>0</v>
      </c>
      <c r="X4" s="17">
        <f>IFERROR(VLOOKUP($A4,[3]Productos!$A$3:$GG$201,[3]Productos!EI$1+1,0),"")</f>
        <v>2000</v>
      </c>
      <c r="Y4" s="17">
        <f>IFERROR(VLOOKUP($A4,[3]Productos!$A$3:$GG$201,[3]Productos!EJ$1+1,0),"")</f>
        <v>9500</v>
      </c>
      <c r="Z4" s="17">
        <f>IFERROR(VLOOKUP($A4,[3]Productos!$A$3:$GG$201,[3]Productos!EK$1+1,0),"")</f>
        <v>7500</v>
      </c>
      <c r="AA4" s="17">
        <f>IFERROR(VLOOKUP($A4,[3]Productos!$A$3:$GG$201,[3]Productos!EL$1+1,0),"")</f>
        <v>9000</v>
      </c>
      <c r="AB4" s="17">
        <f>IFERROR(VLOOKUP($A4,[3]Productos!$A$3:$GG$201,[3]Productos!EM$1+1,0),"")</f>
        <v>1500</v>
      </c>
      <c r="AC4" s="17">
        <f>IFERROR(VLOOKUP($A4,[3]Productos!$A$3:$GG$201,[3]Productos!EN$1+1,0),"")</f>
        <v>10000</v>
      </c>
      <c r="AD4" s="17">
        <f>IFERROR(VLOOKUP($A4,[3]Productos!$A$3:$GG$201,[3]Productos!EO$1+1,0),"")</f>
        <v>10000</v>
      </c>
      <c r="AE4" s="17">
        <f>IFERROR(VLOOKUP($A4,[3]Productos!$A$3:$GG$201,[3]Productos!EP$1+1,0),"")</f>
        <v>6000</v>
      </c>
      <c r="AF4" s="17">
        <f>IFERROR(VLOOKUP($A4,[3]Productos!$A$3:$GG$201,[3]Productos!EQ$1+1,0),"")</f>
        <v>8500</v>
      </c>
      <c r="AG4" s="17">
        <f>IFERROR(VLOOKUP($A4,[3]Productos!$A$3:$GG$201,[3]Productos!ER$1+1,0),"")</f>
        <v>500</v>
      </c>
    </row>
    <row r="5" spans="1:33" x14ac:dyDescent="0.25">
      <c r="A5" s="17" t="s">
        <v>84</v>
      </c>
      <c r="B5" s="17" t="str">
        <f>IFERROR(VLOOKUP($A5,[3]Productos!$A$3:$GG$201,[3]Productos!DM$1+1,0),"")</f>
        <v>E001010021003</v>
      </c>
      <c r="C5" s="17" t="str">
        <f>IFERROR(VLOOKUP($A5,[3]Productos!$A$3:$GG$201,[3]Productos!DN$1+1,0),"")</f>
        <v>E001004</v>
      </c>
      <c r="D5" s="17" t="str">
        <f>IFERROR(VLOOKUP($A5,[3]Productos!$A$3:$GG$201,[3]Productos!DO$1+1,0),"")</f>
        <v>Cuota fija Pesos</v>
      </c>
      <c r="E5" s="17">
        <f>IFERROR(VLOOKUP($A5,[3]Productos!$A$3:$GG$201,[3]Productos!DP$1+1,0),"")</f>
        <v>0.13</v>
      </c>
      <c r="F5" s="17">
        <f>IFERROR(VLOOKUP($A5,[3]Productos!$A$3:$GG$201,[3]Productos!DQ$1+1,0),"")</f>
        <v>2100000</v>
      </c>
      <c r="G5" s="17">
        <f>IFERROR(VLOOKUP($A5,[3]Productos!$A$3:$GG$201,[3]Productos!DR$1+1,0),"")</f>
        <v>600000</v>
      </c>
      <c r="H5" s="17">
        <f>IFERROR(VLOOKUP($A5,[3]Productos!$A$3:$GG$201,[3]Productos!DS$1+1,0),"")</f>
        <v>1</v>
      </c>
      <c r="I5" s="17">
        <f>IFERROR(VLOOKUP($A5,[3]Productos!$A$3:$GG$201,[3]Productos!DT$1+1,0),"")</f>
        <v>7000</v>
      </c>
      <c r="J5" s="17">
        <f>IFERROR(VLOOKUP($A5,[3]Productos!$A$3:$GG$201,[3]Productos!DU$1+1,0),"")</f>
        <v>0</v>
      </c>
      <c r="K5" s="17">
        <f>IFERROR(VLOOKUP($A5,[3]Productos!$A$3:$GG$201,[3]Productos!DV$1+1,0),"")</f>
        <v>0</v>
      </c>
      <c r="L5" s="17">
        <f>IFERROR(VLOOKUP($A5,[3]Productos!$A$3:$GG$201,[3]Productos!DW$1+1,0),"")</f>
        <v>5000</v>
      </c>
      <c r="M5" s="17">
        <f>IFERROR(VLOOKUP($A5,[3]Productos!$A$3:$GG$201,[3]Productos!DX$1+1,0),"")</f>
        <v>9500</v>
      </c>
      <c r="N5" s="17">
        <f>IFERROR(VLOOKUP($A5,[3]Productos!$A$3:$GG$201,[3]Productos!DY$1+1,0),"")</f>
        <v>10000</v>
      </c>
      <c r="O5" s="17">
        <f>IFERROR(VLOOKUP($A5,[3]Productos!$A$3:$GG$201,[3]Productos!DZ$1+1,0),"")</f>
        <v>500</v>
      </c>
      <c r="P5" s="17">
        <f>IFERROR(VLOOKUP($A5,[3]Productos!$A$3:$GG$201,[3]Productos!EA$1+1,0),"")</f>
        <v>9500</v>
      </c>
      <c r="Q5" s="17">
        <f>IFERROR(VLOOKUP($A5,[3]Productos!$A$3:$GG$201,[3]Productos!EB$1+1,0),"")</f>
        <v>0</v>
      </c>
      <c r="R5" s="17">
        <f>IFERROR(VLOOKUP($A5,[3]Productos!$A$3:$GG$201,[3]Productos!EC$1+1,0),"")</f>
        <v>6500</v>
      </c>
      <c r="S5" s="17">
        <f>IFERROR(VLOOKUP($A5,[3]Productos!$A$3:$GG$201,[3]Productos!ED$1+1,0),"")</f>
        <v>0</v>
      </c>
      <c r="T5" s="17">
        <f>IFERROR(VLOOKUP($A5,[3]Productos!$A$3:$GG$201,[3]Productos!EE$1+1,0),"")</f>
        <v>1000</v>
      </c>
      <c r="U5" s="17">
        <f>IFERROR(VLOOKUP($A5,[3]Productos!$A$3:$GG$201,[3]Productos!EF$1+1,0),"")</f>
        <v>3500</v>
      </c>
      <c r="V5" s="17">
        <f>IFERROR(VLOOKUP($A5,[3]Productos!$A$3:$GG$201,[3]Productos!EG$1+1,0),"")</f>
        <v>0</v>
      </c>
      <c r="W5" s="17">
        <f>IFERROR(VLOOKUP($A5,[3]Productos!$A$3:$GG$201,[3]Productos!EH$1+1,0),"")</f>
        <v>1500</v>
      </c>
      <c r="X5" s="17">
        <f>IFERROR(VLOOKUP($A5,[3]Productos!$A$3:$GG$201,[3]Productos!EI$1+1,0),"")</f>
        <v>3000</v>
      </c>
      <c r="Y5" s="17">
        <f>IFERROR(VLOOKUP($A5,[3]Productos!$A$3:$GG$201,[3]Productos!EJ$1+1,0),"")</f>
        <v>3000</v>
      </c>
      <c r="Z5" s="17">
        <f>IFERROR(VLOOKUP($A5,[3]Productos!$A$3:$GG$201,[3]Productos!EK$1+1,0),"")</f>
        <v>2500</v>
      </c>
      <c r="AA5" s="17">
        <f>IFERROR(VLOOKUP($A5,[3]Productos!$A$3:$GG$201,[3]Productos!EL$1+1,0),"")</f>
        <v>3000</v>
      </c>
      <c r="AB5" s="17">
        <f>IFERROR(VLOOKUP($A5,[3]Productos!$A$3:$GG$201,[3]Productos!EM$1+1,0),"")</f>
        <v>4000</v>
      </c>
      <c r="AC5" s="17">
        <f>IFERROR(VLOOKUP($A5,[3]Productos!$A$3:$GG$201,[3]Productos!EN$1+1,0),"")</f>
        <v>500</v>
      </c>
      <c r="AD5" s="17">
        <f>IFERROR(VLOOKUP($A5,[3]Productos!$A$3:$GG$201,[3]Productos!EO$1+1,0),"")</f>
        <v>8500</v>
      </c>
      <c r="AE5" s="17">
        <f>IFERROR(VLOOKUP($A5,[3]Productos!$A$3:$GG$201,[3]Productos!EP$1+1,0),"")</f>
        <v>5000</v>
      </c>
      <c r="AF5" s="17">
        <f>IFERROR(VLOOKUP($A5,[3]Productos!$A$3:$GG$201,[3]Productos!EQ$1+1,0),"")</f>
        <v>7000</v>
      </c>
      <c r="AG5" s="17">
        <f>IFERROR(VLOOKUP($A5,[3]Productos!$A$3:$GG$201,[3]Productos!ER$1+1,0),"")</f>
        <v>9000</v>
      </c>
    </row>
    <row r="6" spans="1:33" x14ac:dyDescent="0.25">
      <c r="A6" s="17" t="s">
        <v>85</v>
      </c>
      <c r="B6" s="17" t="str">
        <f>IFERROR(VLOOKUP($A6,[3]Productos!$A$3:$GG$201,[3]Productos!DM$1+1,0),"")</f>
        <v>E001012021002</v>
      </c>
      <c r="C6" s="17" t="str">
        <f>IFERROR(VLOOKUP($A6,[3]Productos!$A$3:$GG$201,[3]Productos!DN$1+1,0),"")</f>
        <v>E001005</v>
      </c>
      <c r="D6" s="17" t="str">
        <f>IFERROR(VLOOKUP($A6,[3]Productos!$A$3:$GG$201,[3]Productos!DO$1+1,0),"")</f>
        <v>Cuota fija Pesos</v>
      </c>
      <c r="E6" s="17">
        <f>IFERROR(VLOOKUP($A6,[3]Productos!$A$3:$GG$201,[3]Productos!DP$1+1,0),"")</f>
        <v>0.15</v>
      </c>
      <c r="F6" s="17">
        <f>IFERROR(VLOOKUP($A6,[3]Productos!$A$3:$GG$201,[3]Productos!DQ$1+1,0),"")</f>
        <v>1800000</v>
      </c>
      <c r="G6" s="17">
        <f>IFERROR(VLOOKUP($A6,[3]Productos!$A$3:$GG$201,[3]Productos!DR$1+1,0),"")</f>
        <v>1400000</v>
      </c>
      <c r="H6" s="17">
        <f>IFERROR(VLOOKUP($A6,[3]Productos!$A$3:$GG$201,[3]Productos!DS$1+1,0),"")</f>
        <v>1</v>
      </c>
      <c r="I6" s="17">
        <f>IFERROR(VLOOKUP($A6,[3]Productos!$A$3:$GG$201,[3]Productos!DT$1+1,0),"")</f>
        <v>9500</v>
      </c>
      <c r="J6" s="17">
        <f>IFERROR(VLOOKUP($A6,[3]Productos!$A$3:$GG$201,[3]Productos!DU$1+1,0),"")</f>
        <v>0</v>
      </c>
      <c r="K6" s="17">
        <f>IFERROR(VLOOKUP($A6,[3]Productos!$A$3:$GG$201,[3]Productos!DV$1+1,0),"")</f>
        <v>0</v>
      </c>
      <c r="L6" s="17">
        <f>IFERROR(VLOOKUP($A6,[3]Productos!$A$3:$GG$201,[3]Productos!DW$1+1,0),"")</f>
        <v>6000</v>
      </c>
      <c r="M6" s="17">
        <f>IFERROR(VLOOKUP($A6,[3]Productos!$A$3:$GG$201,[3]Productos!DX$1+1,0),"")</f>
        <v>6000</v>
      </c>
      <c r="N6" s="17">
        <f>IFERROR(VLOOKUP($A6,[3]Productos!$A$3:$GG$201,[3]Productos!DY$1+1,0),"")</f>
        <v>0</v>
      </c>
      <c r="O6" s="17">
        <f>IFERROR(VLOOKUP($A6,[3]Productos!$A$3:$GG$201,[3]Productos!DZ$1+1,0),"")</f>
        <v>1000</v>
      </c>
      <c r="P6" s="17">
        <f>IFERROR(VLOOKUP($A6,[3]Productos!$A$3:$GG$201,[3]Productos!EA$1+1,0),"")</f>
        <v>3500</v>
      </c>
      <c r="Q6" s="17">
        <f>IFERROR(VLOOKUP($A6,[3]Productos!$A$3:$GG$201,[3]Productos!EB$1+1,0),"")</f>
        <v>8500</v>
      </c>
      <c r="R6" s="17">
        <f>IFERROR(VLOOKUP($A6,[3]Productos!$A$3:$GG$201,[3]Productos!EC$1+1,0),"")</f>
        <v>1500</v>
      </c>
      <c r="S6" s="17">
        <f>IFERROR(VLOOKUP($A6,[3]Productos!$A$3:$GG$201,[3]Productos!ED$1+1,0),"")</f>
        <v>5500</v>
      </c>
      <c r="T6" s="17">
        <f>IFERROR(VLOOKUP($A6,[3]Productos!$A$3:$GG$201,[3]Productos!EE$1+1,0),"")</f>
        <v>500</v>
      </c>
      <c r="U6" s="17">
        <f>IFERROR(VLOOKUP($A6,[3]Productos!$A$3:$GG$201,[3]Productos!EF$1+1,0),"")</f>
        <v>4500</v>
      </c>
      <c r="V6" s="17">
        <f>IFERROR(VLOOKUP($A6,[3]Productos!$A$3:$GG$201,[3]Productos!EG$1+1,0),"")</f>
        <v>7000</v>
      </c>
      <c r="W6" s="17">
        <f>IFERROR(VLOOKUP($A6,[3]Productos!$A$3:$GG$201,[3]Productos!EH$1+1,0),"")</f>
        <v>1500</v>
      </c>
      <c r="X6" s="17">
        <f>IFERROR(VLOOKUP($A6,[3]Productos!$A$3:$GG$201,[3]Productos!EI$1+1,0),"")</f>
        <v>0</v>
      </c>
      <c r="Y6" s="17">
        <f>IFERROR(VLOOKUP($A6,[3]Productos!$A$3:$GG$201,[3]Productos!EJ$1+1,0),"")</f>
        <v>5500</v>
      </c>
      <c r="Z6" s="17">
        <f>IFERROR(VLOOKUP($A6,[3]Productos!$A$3:$GG$201,[3]Productos!EK$1+1,0),"")</f>
        <v>5000</v>
      </c>
      <c r="AA6" s="17">
        <f>IFERROR(VLOOKUP($A6,[3]Productos!$A$3:$GG$201,[3]Productos!EL$1+1,0),"")</f>
        <v>500</v>
      </c>
      <c r="AB6" s="17">
        <f>IFERROR(VLOOKUP($A6,[3]Productos!$A$3:$GG$201,[3]Productos!EM$1+1,0),"")</f>
        <v>4500</v>
      </c>
      <c r="AC6" s="17">
        <f>IFERROR(VLOOKUP($A6,[3]Productos!$A$3:$GG$201,[3]Productos!EN$1+1,0),"")</f>
        <v>4500</v>
      </c>
      <c r="AD6" s="17">
        <f>IFERROR(VLOOKUP($A6,[3]Productos!$A$3:$GG$201,[3]Productos!EO$1+1,0),"")</f>
        <v>2000</v>
      </c>
      <c r="AE6" s="17">
        <f>IFERROR(VLOOKUP($A6,[3]Productos!$A$3:$GG$201,[3]Productos!EP$1+1,0),"")</f>
        <v>9000</v>
      </c>
      <c r="AF6" s="17">
        <f>IFERROR(VLOOKUP($A6,[3]Productos!$A$3:$GG$201,[3]Productos!EQ$1+1,0),"")</f>
        <v>7500</v>
      </c>
      <c r="AG6" s="17">
        <f>IFERROR(VLOOKUP($A6,[3]Productos!$A$3:$GG$201,[3]Productos!ER$1+1,0),"")</f>
        <v>3000</v>
      </c>
    </row>
    <row r="7" spans="1:33" x14ac:dyDescent="0.25">
      <c r="B7" s="17" t="str">
        <f>IFERROR(VLOOKUP($A7,[3]Productos!$A$3:$GG$201,[3]Productos!DM$1+1,0),"")</f>
        <v/>
      </c>
      <c r="C7" s="17" t="str">
        <f>IFERROR(VLOOKUP($A7,[3]Productos!$A$3:$GG$201,[3]Productos!DN$1+1,0),"")</f>
        <v/>
      </c>
      <c r="D7" s="17" t="str">
        <f>IFERROR(VLOOKUP($A7,[3]Productos!$A$3:$GG$201,[3]Productos!DO$1+1,0),"")</f>
        <v/>
      </c>
      <c r="E7" s="17" t="str">
        <f>IFERROR(VLOOKUP($A7,[3]Productos!$A$3:$GG$201,[3]Productos!DP$1+1,0),"")</f>
        <v/>
      </c>
      <c r="F7" s="17" t="str">
        <f>IFERROR(VLOOKUP($A7,[3]Productos!$A$3:$GG$201,[3]Productos!DQ$1+1,0),"")</f>
        <v/>
      </c>
      <c r="G7" s="17" t="str">
        <f>IFERROR(VLOOKUP($A7,[3]Productos!$A$3:$GG$201,[3]Productos!DR$1+1,0),"")</f>
        <v/>
      </c>
      <c r="H7" s="17" t="str">
        <f>IFERROR(VLOOKUP($A7,[3]Productos!$A$3:$GG$201,[3]Productos!DS$1+1,0),"")</f>
        <v/>
      </c>
      <c r="I7" s="17" t="str">
        <f>IFERROR(VLOOKUP($A7,[3]Productos!$A$3:$GG$201,[3]Productos!DT$1+1,0),"")</f>
        <v/>
      </c>
      <c r="J7" s="17" t="str">
        <f>IFERROR(VLOOKUP($A7,[3]Productos!$A$3:$GG$201,[3]Productos!DU$1+1,0),"")</f>
        <v/>
      </c>
      <c r="K7" s="17" t="str">
        <f>IFERROR(VLOOKUP($A7,[3]Productos!$A$3:$GG$201,[3]Productos!DV$1+1,0),"")</f>
        <v/>
      </c>
      <c r="L7" s="17" t="str">
        <f>IFERROR(VLOOKUP($A7,[3]Productos!$A$3:$GG$201,[3]Productos!DW$1+1,0),"")</f>
        <v/>
      </c>
      <c r="M7" s="17" t="str">
        <f>IFERROR(VLOOKUP($A7,[3]Productos!$A$3:$GG$201,[3]Productos!DX$1+1,0),"")</f>
        <v/>
      </c>
      <c r="N7" s="17" t="str">
        <f>IFERROR(VLOOKUP($A7,[3]Productos!$A$3:$GG$201,[3]Productos!DY$1+1,0),"")</f>
        <v/>
      </c>
      <c r="O7" s="17" t="str">
        <f>IFERROR(VLOOKUP($A7,[3]Productos!$A$3:$GG$201,[3]Productos!DZ$1+1,0),"")</f>
        <v/>
      </c>
      <c r="P7" s="17" t="str">
        <f>IFERROR(VLOOKUP($A7,[3]Productos!$A$3:$GG$201,[3]Productos!EA$1+1,0),"")</f>
        <v/>
      </c>
      <c r="Q7" s="17" t="str">
        <f>IFERROR(VLOOKUP($A7,[3]Productos!$A$3:$GG$201,[3]Productos!EB$1+1,0),"")</f>
        <v/>
      </c>
      <c r="R7" s="17" t="str">
        <f>IFERROR(VLOOKUP($A7,[3]Productos!$A$3:$GG$201,[3]Productos!EC$1+1,0),"")</f>
        <v/>
      </c>
      <c r="S7" s="17" t="str">
        <f>IFERROR(VLOOKUP($A7,[3]Productos!$A$3:$GG$201,[3]Productos!ED$1+1,0),"")</f>
        <v/>
      </c>
      <c r="T7" s="17" t="str">
        <f>IFERROR(VLOOKUP($A7,[3]Productos!$A$3:$GG$201,[3]Productos!EE$1+1,0),"")</f>
        <v/>
      </c>
      <c r="U7" s="17" t="str">
        <f>IFERROR(VLOOKUP($A7,[3]Productos!$A$3:$GG$201,[3]Productos!EF$1+1,0),"")</f>
        <v/>
      </c>
      <c r="V7" s="17" t="str">
        <f>IFERROR(VLOOKUP($A7,[3]Productos!$A$3:$GG$201,[3]Productos!EG$1+1,0),"")</f>
        <v/>
      </c>
      <c r="W7" s="17" t="str">
        <f>IFERROR(VLOOKUP($A7,[3]Productos!$A$3:$GG$201,[3]Productos!EH$1+1,0),"")</f>
        <v/>
      </c>
      <c r="X7" s="17" t="str">
        <f>IFERROR(VLOOKUP($A7,[3]Productos!$A$3:$GG$201,[3]Productos!EI$1+1,0),"")</f>
        <v/>
      </c>
      <c r="Y7" s="17" t="str">
        <f>IFERROR(VLOOKUP($A7,[3]Productos!$A$3:$GG$201,[3]Productos!EJ$1+1,0),"")</f>
        <v/>
      </c>
      <c r="Z7" s="17" t="str">
        <f>IFERROR(VLOOKUP($A7,[3]Productos!$A$3:$GG$201,[3]Productos!EK$1+1,0),"")</f>
        <v/>
      </c>
      <c r="AA7" s="17" t="str">
        <f>IFERROR(VLOOKUP($A7,[3]Productos!$A$3:$GG$201,[3]Productos!EL$1+1,0),"")</f>
        <v/>
      </c>
      <c r="AB7" s="17" t="str">
        <f>IFERROR(VLOOKUP($A7,[3]Productos!$A$3:$GG$201,[3]Productos!EM$1+1,0),"")</f>
        <v/>
      </c>
      <c r="AC7" s="17" t="str">
        <f>IFERROR(VLOOKUP($A7,[3]Productos!$A$3:$GG$201,[3]Productos!EN$1+1,0),"")</f>
        <v/>
      </c>
      <c r="AD7" s="17" t="str">
        <f>IFERROR(VLOOKUP($A7,[3]Productos!$A$3:$GG$201,[3]Productos!EO$1+1,0),"")</f>
        <v/>
      </c>
      <c r="AE7" s="17" t="str">
        <f>IFERROR(VLOOKUP($A7,[3]Productos!$A$3:$GG$201,[3]Productos!EP$1+1,0),"")</f>
        <v/>
      </c>
      <c r="AF7" s="17" t="str">
        <f>IFERROR(VLOOKUP($A7,[3]Productos!$A$3:$GG$201,[3]Productos!EQ$1+1,0),"")</f>
        <v/>
      </c>
      <c r="AG7" s="17" t="str">
        <f>IFERROR(VLOOKUP($A7,[3]Productos!$A$3:$GG$201,[3]Productos!ER$1+1,0),"")</f>
        <v/>
      </c>
    </row>
    <row r="8" spans="1:33" x14ac:dyDescent="0.25">
      <c r="B8" s="17" t="str">
        <f>IFERROR(VLOOKUP($A8,[3]Productos!$A$3:$GG$201,[3]Productos!DM$1+1,0),"")</f>
        <v/>
      </c>
      <c r="C8" s="17" t="str">
        <f>IFERROR(VLOOKUP($A8,[3]Productos!$A$3:$GG$201,[3]Productos!DN$1+1,0),"")</f>
        <v/>
      </c>
      <c r="D8" s="17" t="str">
        <f>IFERROR(VLOOKUP($A8,[3]Productos!$A$3:$GG$201,[3]Productos!DO$1+1,0),"")</f>
        <v/>
      </c>
      <c r="E8" s="17" t="str">
        <f>IFERROR(VLOOKUP($A8,[3]Productos!$A$3:$GG$201,[3]Productos!DP$1+1,0),"")</f>
        <v/>
      </c>
      <c r="F8" s="17" t="str">
        <f>IFERROR(VLOOKUP($A8,[3]Productos!$A$3:$GG$201,[3]Productos!DQ$1+1,0),"")</f>
        <v/>
      </c>
      <c r="G8" s="17" t="str">
        <f>IFERROR(VLOOKUP($A8,[3]Productos!$A$3:$GG$201,[3]Productos!DR$1+1,0),"")</f>
        <v/>
      </c>
      <c r="H8" s="17" t="str">
        <f>IFERROR(VLOOKUP($A8,[3]Productos!$A$3:$GG$201,[3]Productos!DS$1+1,0),"")</f>
        <v/>
      </c>
      <c r="I8" s="17" t="str">
        <f>IFERROR(VLOOKUP($A8,[3]Productos!$A$3:$GG$201,[3]Productos!DT$1+1,0),"")</f>
        <v/>
      </c>
      <c r="J8" s="17" t="str">
        <f>IFERROR(VLOOKUP($A8,[3]Productos!$A$3:$GG$201,[3]Productos!DU$1+1,0),"")</f>
        <v/>
      </c>
      <c r="K8" s="17" t="str">
        <f>IFERROR(VLOOKUP($A8,[3]Productos!$A$3:$GG$201,[3]Productos!DV$1+1,0),"")</f>
        <v/>
      </c>
      <c r="L8" s="17" t="str">
        <f>IFERROR(VLOOKUP($A8,[3]Productos!$A$3:$GG$201,[3]Productos!DW$1+1,0),"")</f>
        <v/>
      </c>
      <c r="M8" s="17" t="str">
        <f>IFERROR(VLOOKUP($A8,[3]Productos!$A$3:$GG$201,[3]Productos!DX$1+1,0),"")</f>
        <v/>
      </c>
      <c r="N8" s="17" t="str">
        <f>IFERROR(VLOOKUP($A8,[3]Productos!$A$3:$GG$201,[3]Productos!DY$1+1,0),"")</f>
        <v/>
      </c>
      <c r="O8" s="17" t="str">
        <f>IFERROR(VLOOKUP($A8,[3]Productos!$A$3:$GG$201,[3]Productos!DZ$1+1,0),"")</f>
        <v/>
      </c>
      <c r="P8" s="17" t="str">
        <f>IFERROR(VLOOKUP($A8,[3]Productos!$A$3:$GG$201,[3]Productos!EA$1+1,0),"")</f>
        <v/>
      </c>
      <c r="Q8" s="17" t="str">
        <f>IFERROR(VLOOKUP($A8,[3]Productos!$A$3:$GG$201,[3]Productos!EB$1+1,0),"")</f>
        <v/>
      </c>
      <c r="R8" s="17" t="str">
        <f>IFERROR(VLOOKUP($A8,[3]Productos!$A$3:$GG$201,[3]Productos!EC$1+1,0),"")</f>
        <v/>
      </c>
      <c r="S8" s="17" t="str">
        <f>IFERROR(VLOOKUP($A8,[3]Productos!$A$3:$GG$201,[3]Productos!ED$1+1,0),"")</f>
        <v/>
      </c>
      <c r="T8" s="17" t="str">
        <f>IFERROR(VLOOKUP($A8,[3]Productos!$A$3:$GG$201,[3]Productos!EE$1+1,0),"")</f>
        <v/>
      </c>
      <c r="U8" s="17" t="str">
        <f>IFERROR(VLOOKUP($A8,[3]Productos!$A$3:$GG$201,[3]Productos!EF$1+1,0),"")</f>
        <v/>
      </c>
      <c r="V8" s="17" t="str">
        <f>IFERROR(VLOOKUP($A8,[3]Productos!$A$3:$GG$201,[3]Productos!EG$1+1,0),"")</f>
        <v/>
      </c>
      <c r="W8" s="17" t="str">
        <f>IFERROR(VLOOKUP($A8,[3]Productos!$A$3:$GG$201,[3]Productos!EH$1+1,0),"")</f>
        <v/>
      </c>
      <c r="X8" s="17" t="str">
        <f>IFERROR(VLOOKUP($A8,[3]Productos!$A$3:$GG$201,[3]Productos!EI$1+1,0),"")</f>
        <v/>
      </c>
      <c r="Y8" s="17" t="str">
        <f>IFERROR(VLOOKUP($A8,[3]Productos!$A$3:$GG$201,[3]Productos!EJ$1+1,0),"")</f>
        <v/>
      </c>
      <c r="Z8" s="17" t="str">
        <f>IFERROR(VLOOKUP($A8,[3]Productos!$A$3:$GG$201,[3]Productos!EK$1+1,0),"")</f>
        <v/>
      </c>
      <c r="AA8" s="17" t="str">
        <f>IFERROR(VLOOKUP($A8,[3]Productos!$A$3:$GG$201,[3]Productos!EL$1+1,0),"")</f>
        <v/>
      </c>
      <c r="AB8" s="17" t="str">
        <f>IFERROR(VLOOKUP($A8,[3]Productos!$A$3:$GG$201,[3]Productos!EM$1+1,0),"")</f>
        <v/>
      </c>
      <c r="AC8" s="17" t="str">
        <f>IFERROR(VLOOKUP($A8,[3]Productos!$A$3:$GG$201,[3]Productos!EN$1+1,0),"")</f>
        <v/>
      </c>
      <c r="AD8" s="17" t="str">
        <f>IFERROR(VLOOKUP($A8,[3]Productos!$A$3:$GG$201,[3]Productos!EO$1+1,0),"")</f>
        <v/>
      </c>
      <c r="AE8" s="17" t="str">
        <f>IFERROR(VLOOKUP($A8,[3]Productos!$A$3:$GG$201,[3]Productos!EP$1+1,0),"")</f>
        <v/>
      </c>
      <c r="AF8" s="17" t="str">
        <f>IFERROR(VLOOKUP($A8,[3]Productos!$A$3:$GG$201,[3]Productos!EQ$1+1,0),"")</f>
        <v/>
      </c>
      <c r="AG8" s="17" t="str">
        <f>IFERROR(VLOOKUP($A8,[3]Productos!$A$3:$GG$201,[3]Productos!ER$1+1,0),"")</f>
        <v/>
      </c>
    </row>
    <row r="9" spans="1:33" x14ac:dyDescent="0.25">
      <c r="B9" s="17" t="str">
        <f>IFERROR(VLOOKUP($A9,[3]Productos!$A$3:$GG$201,[3]Productos!DM$1+1,0),"")</f>
        <v/>
      </c>
      <c r="C9" s="17" t="str">
        <f>IFERROR(VLOOKUP($A9,[3]Productos!$A$3:$GG$201,[3]Productos!DN$1+1,0),"")</f>
        <v/>
      </c>
      <c r="D9" s="17" t="str">
        <f>IFERROR(VLOOKUP($A9,[3]Productos!$A$3:$GG$201,[3]Productos!DO$1+1,0),"")</f>
        <v/>
      </c>
      <c r="E9" s="17" t="str">
        <f>IFERROR(VLOOKUP($A9,[3]Productos!$A$3:$GG$201,[3]Productos!DP$1+1,0),"")</f>
        <v/>
      </c>
      <c r="F9" s="17" t="str">
        <f>IFERROR(VLOOKUP($A9,[3]Productos!$A$3:$GG$201,[3]Productos!DQ$1+1,0),"")</f>
        <v/>
      </c>
      <c r="G9" s="17" t="str">
        <f>IFERROR(VLOOKUP($A9,[3]Productos!$A$3:$GG$201,[3]Productos!DR$1+1,0),"")</f>
        <v/>
      </c>
      <c r="H9" s="17" t="str">
        <f>IFERROR(VLOOKUP($A9,[3]Productos!$A$3:$GG$201,[3]Productos!DS$1+1,0),"")</f>
        <v/>
      </c>
      <c r="I9" s="17" t="str">
        <f>IFERROR(VLOOKUP($A9,[3]Productos!$A$3:$GG$201,[3]Productos!DT$1+1,0),"")</f>
        <v/>
      </c>
      <c r="J9" s="17" t="str">
        <f>IFERROR(VLOOKUP($A9,[3]Productos!$A$3:$GG$201,[3]Productos!DU$1+1,0),"")</f>
        <v/>
      </c>
      <c r="K9" s="17" t="str">
        <f>IFERROR(VLOOKUP($A9,[3]Productos!$A$3:$GG$201,[3]Productos!DV$1+1,0),"")</f>
        <v/>
      </c>
      <c r="L9" s="17" t="str">
        <f>IFERROR(VLOOKUP($A9,[3]Productos!$A$3:$GG$201,[3]Productos!DW$1+1,0),"")</f>
        <v/>
      </c>
      <c r="M9" s="17" t="str">
        <f>IFERROR(VLOOKUP($A9,[3]Productos!$A$3:$GG$201,[3]Productos!DX$1+1,0),"")</f>
        <v/>
      </c>
      <c r="N9" s="17" t="str">
        <f>IFERROR(VLOOKUP($A9,[3]Productos!$A$3:$GG$201,[3]Productos!DY$1+1,0),"")</f>
        <v/>
      </c>
      <c r="O9" s="17" t="str">
        <f>IFERROR(VLOOKUP($A9,[3]Productos!$A$3:$GG$201,[3]Productos!DZ$1+1,0),"")</f>
        <v/>
      </c>
      <c r="P9" s="17" t="str">
        <f>IFERROR(VLOOKUP($A9,[3]Productos!$A$3:$GG$201,[3]Productos!EA$1+1,0),"")</f>
        <v/>
      </c>
      <c r="Q9" s="17" t="str">
        <f>IFERROR(VLOOKUP($A9,[3]Productos!$A$3:$GG$201,[3]Productos!EB$1+1,0),"")</f>
        <v/>
      </c>
      <c r="R9" s="17" t="str">
        <f>IFERROR(VLOOKUP($A9,[3]Productos!$A$3:$GG$201,[3]Productos!EC$1+1,0),"")</f>
        <v/>
      </c>
      <c r="S9" s="17" t="str">
        <f>IFERROR(VLOOKUP($A9,[3]Productos!$A$3:$GG$201,[3]Productos!ED$1+1,0),"")</f>
        <v/>
      </c>
      <c r="T9" s="17" t="str">
        <f>IFERROR(VLOOKUP($A9,[3]Productos!$A$3:$GG$201,[3]Productos!EE$1+1,0),"")</f>
        <v/>
      </c>
      <c r="U9" s="17" t="str">
        <f>IFERROR(VLOOKUP($A9,[3]Productos!$A$3:$GG$201,[3]Productos!EF$1+1,0),"")</f>
        <v/>
      </c>
      <c r="V9" s="17" t="str">
        <f>IFERROR(VLOOKUP($A9,[3]Productos!$A$3:$GG$201,[3]Productos!EG$1+1,0),"")</f>
        <v/>
      </c>
      <c r="W9" s="17" t="str">
        <f>IFERROR(VLOOKUP($A9,[3]Productos!$A$3:$GG$201,[3]Productos!EH$1+1,0),"")</f>
        <v/>
      </c>
      <c r="X9" s="17" t="str">
        <f>IFERROR(VLOOKUP($A9,[3]Productos!$A$3:$GG$201,[3]Productos!EI$1+1,0),"")</f>
        <v/>
      </c>
      <c r="Y9" s="17" t="str">
        <f>IFERROR(VLOOKUP($A9,[3]Productos!$A$3:$GG$201,[3]Productos!EJ$1+1,0),"")</f>
        <v/>
      </c>
      <c r="Z9" s="17" t="str">
        <f>IFERROR(VLOOKUP($A9,[3]Productos!$A$3:$GG$201,[3]Productos!EK$1+1,0),"")</f>
        <v/>
      </c>
      <c r="AA9" s="17" t="str">
        <f>IFERROR(VLOOKUP($A9,[3]Productos!$A$3:$GG$201,[3]Productos!EL$1+1,0),"")</f>
        <v/>
      </c>
      <c r="AB9" s="17" t="str">
        <f>IFERROR(VLOOKUP($A9,[3]Productos!$A$3:$GG$201,[3]Productos!EM$1+1,0),"")</f>
        <v/>
      </c>
      <c r="AC9" s="17" t="str">
        <f>IFERROR(VLOOKUP($A9,[3]Productos!$A$3:$GG$201,[3]Productos!EN$1+1,0),"")</f>
        <v/>
      </c>
      <c r="AD9" s="17" t="str">
        <f>IFERROR(VLOOKUP($A9,[3]Productos!$A$3:$GG$201,[3]Productos!EO$1+1,0),"")</f>
        <v/>
      </c>
      <c r="AE9" s="17" t="str">
        <f>IFERROR(VLOOKUP($A9,[3]Productos!$A$3:$GG$201,[3]Productos!EP$1+1,0),"")</f>
        <v/>
      </c>
      <c r="AF9" s="17" t="str">
        <f>IFERROR(VLOOKUP($A9,[3]Productos!$A$3:$GG$201,[3]Productos!EQ$1+1,0),"")</f>
        <v/>
      </c>
      <c r="AG9" s="17" t="str">
        <f>IFERROR(VLOOKUP($A9,[3]Productos!$A$3:$GG$201,[3]Productos!ER$1+1,0),"")</f>
        <v/>
      </c>
    </row>
    <row r="10" spans="1:33" x14ac:dyDescent="0.25">
      <c r="B10" s="17" t="str">
        <f>IFERROR(VLOOKUP($A10,[3]Productos!$A$3:$GG$201,[3]Productos!DM$1+1,0),"")</f>
        <v/>
      </c>
      <c r="C10" s="17" t="str">
        <f>IFERROR(VLOOKUP($A10,[3]Productos!$A$3:$GG$201,[3]Productos!DN$1+1,0),"")</f>
        <v/>
      </c>
      <c r="D10" s="17" t="str">
        <f>IFERROR(VLOOKUP($A10,[3]Productos!$A$3:$GG$201,[3]Productos!DO$1+1,0),"")</f>
        <v/>
      </c>
      <c r="E10" s="17" t="str">
        <f>IFERROR(VLOOKUP($A10,[3]Productos!$A$3:$GG$201,[3]Productos!DP$1+1,0),"")</f>
        <v/>
      </c>
      <c r="F10" s="17" t="str">
        <f>IFERROR(VLOOKUP($A10,[3]Productos!$A$3:$GG$201,[3]Productos!DQ$1+1,0),"")</f>
        <v/>
      </c>
      <c r="G10" s="17" t="str">
        <f>IFERROR(VLOOKUP($A10,[3]Productos!$A$3:$GG$201,[3]Productos!DR$1+1,0),"")</f>
        <v/>
      </c>
      <c r="H10" s="17" t="str">
        <f>IFERROR(VLOOKUP($A10,[3]Productos!$A$3:$GG$201,[3]Productos!DS$1+1,0),"")</f>
        <v/>
      </c>
      <c r="I10" s="17" t="str">
        <f>IFERROR(VLOOKUP($A10,[3]Productos!$A$3:$GG$201,[3]Productos!DT$1+1,0),"")</f>
        <v/>
      </c>
      <c r="J10" s="17" t="str">
        <f>IFERROR(VLOOKUP($A10,[3]Productos!$A$3:$GG$201,[3]Productos!DU$1+1,0),"")</f>
        <v/>
      </c>
      <c r="K10" s="17" t="str">
        <f>IFERROR(VLOOKUP($A10,[3]Productos!$A$3:$GG$201,[3]Productos!DV$1+1,0),"")</f>
        <v/>
      </c>
      <c r="L10" s="17" t="str">
        <f>IFERROR(VLOOKUP($A10,[3]Productos!$A$3:$GG$201,[3]Productos!DW$1+1,0),"")</f>
        <v/>
      </c>
      <c r="M10" s="17" t="str">
        <f>IFERROR(VLOOKUP($A10,[3]Productos!$A$3:$GG$201,[3]Productos!DX$1+1,0),"")</f>
        <v/>
      </c>
      <c r="N10" s="17" t="str">
        <f>IFERROR(VLOOKUP($A10,[3]Productos!$A$3:$GG$201,[3]Productos!DY$1+1,0),"")</f>
        <v/>
      </c>
      <c r="O10" s="17" t="str">
        <f>IFERROR(VLOOKUP($A10,[3]Productos!$A$3:$GG$201,[3]Productos!DZ$1+1,0),"")</f>
        <v/>
      </c>
      <c r="P10" s="17" t="str">
        <f>IFERROR(VLOOKUP($A10,[3]Productos!$A$3:$GG$201,[3]Productos!EA$1+1,0),"")</f>
        <v/>
      </c>
      <c r="Q10" s="17" t="str">
        <f>IFERROR(VLOOKUP($A10,[3]Productos!$A$3:$GG$201,[3]Productos!EB$1+1,0),"")</f>
        <v/>
      </c>
      <c r="R10" s="17" t="str">
        <f>IFERROR(VLOOKUP($A10,[3]Productos!$A$3:$GG$201,[3]Productos!EC$1+1,0),"")</f>
        <v/>
      </c>
      <c r="S10" s="17" t="str">
        <f>IFERROR(VLOOKUP($A10,[3]Productos!$A$3:$GG$201,[3]Productos!ED$1+1,0),"")</f>
        <v/>
      </c>
      <c r="T10" s="17" t="str">
        <f>IFERROR(VLOOKUP($A10,[3]Productos!$A$3:$GG$201,[3]Productos!EE$1+1,0),"")</f>
        <v/>
      </c>
      <c r="U10" s="17" t="str">
        <f>IFERROR(VLOOKUP($A10,[3]Productos!$A$3:$GG$201,[3]Productos!EF$1+1,0),"")</f>
        <v/>
      </c>
      <c r="V10" s="17" t="str">
        <f>IFERROR(VLOOKUP($A10,[3]Productos!$A$3:$GG$201,[3]Productos!EG$1+1,0),"")</f>
        <v/>
      </c>
      <c r="W10" s="17" t="str">
        <f>IFERROR(VLOOKUP($A10,[3]Productos!$A$3:$GG$201,[3]Productos!EH$1+1,0),"")</f>
        <v/>
      </c>
      <c r="X10" s="17" t="str">
        <f>IFERROR(VLOOKUP($A10,[3]Productos!$A$3:$GG$201,[3]Productos!EI$1+1,0),"")</f>
        <v/>
      </c>
      <c r="Y10" s="17" t="str">
        <f>IFERROR(VLOOKUP($A10,[3]Productos!$A$3:$GG$201,[3]Productos!EJ$1+1,0),"")</f>
        <v/>
      </c>
      <c r="Z10" s="17" t="str">
        <f>IFERROR(VLOOKUP($A10,[3]Productos!$A$3:$GG$201,[3]Productos!EK$1+1,0),"")</f>
        <v/>
      </c>
      <c r="AA10" s="17" t="str">
        <f>IFERROR(VLOOKUP($A10,[3]Productos!$A$3:$GG$201,[3]Productos!EL$1+1,0),"")</f>
        <v/>
      </c>
      <c r="AB10" s="17" t="str">
        <f>IFERROR(VLOOKUP($A10,[3]Productos!$A$3:$GG$201,[3]Productos!EM$1+1,0),"")</f>
        <v/>
      </c>
      <c r="AC10" s="17" t="str">
        <f>IFERROR(VLOOKUP($A10,[3]Productos!$A$3:$GG$201,[3]Productos!EN$1+1,0),"")</f>
        <v/>
      </c>
      <c r="AD10" s="17" t="str">
        <f>IFERROR(VLOOKUP($A10,[3]Productos!$A$3:$GG$201,[3]Productos!EO$1+1,0),"")</f>
        <v/>
      </c>
      <c r="AE10" s="17" t="str">
        <f>IFERROR(VLOOKUP($A10,[3]Productos!$A$3:$GG$201,[3]Productos!EP$1+1,0),"")</f>
        <v/>
      </c>
      <c r="AF10" s="17" t="str">
        <f>IFERROR(VLOOKUP($A10,[3]Productos!$A$3:$GG$201,[3]Productos!EQ$1+1,0),"")</f>
        <v/>
      </c>
      <c r="AG10" s="17" t="str">
        <f>IFERROR(VLOOKUP($A10,[3]Productos!$A$3:$GG$201,[3]Productos!ER$1+1,0),"")</f>
        <v/>
      </c>
    </row>
    <row r="11" spans="1:33" x14ac:dyDescent="0.25">
      <c r="B11" s="17" t="str">
        <f>IFERROR(VLOOKUP($A11,[3]Productos!$A$3:$GG$201,[3]Productos!DM$1+1,0),"")</f>
        <v/>
      </c>
      <c r="C11" s="17" t="str">
        <f>IFERROR(VLOOKUP($A11,[3]Productos!$A$3:$GG$201,[3]Productos!DN$1+1,0),"")</f>
        <v/>
      </c>
      <c r="D11" s="17" t="str">
        <f>IFERROR(VLOOKUP($A11,[3]Productos!$A$3:$GG$201,[3]Productos!DO$1+1,0),"")</f>
        <v/>
      </c>
      <c r="E11" s="17" t="str">
        <f>IFERROR(VLOOKUP($A11,[3]Productos!$A$3:$GG$201,[3]Productos!DP$1+1,0),"")</f>
        <v/>
      </c>
      <c r="F11" s="17" t="str">
        <f>IFERROR(VLOOKUP($A11,[3]Productos!$A$3:$GG$201,[3]Productos!DQ$1+1,0),"")</f>
        <v/>
      </c>
      <c r="G11" s="17" t="str">
        <f>IFERROR(VLOOKUP($A11,[3]Productos!$A$3:$GG$201,[3]Productos!DR$1+1,0),"")</f>
        <v/>
      </c>
      <c r="H11" s="17" t="str">
        <f>IFERROR(VLOOKUP($A11,[3]Productos!$A$3:$GG$201,[3]Productos!DS$1+1,0),"")</f>
        <v/>
      </c>
      <c r="I11" s="17" t="str">
        <f>IFERROR(VLOOKUP($A11,[3]Productos!$A$3:$GG$201,[3]Productos!DT$1+1,0),"")</f>
        <v/>
      </c>
      <c r="J11" s="17" t="str">
        <f>IFERROR(VLOOKUP($A11,[3]Productos!$A$3:$GG$201,[3]Productos!DU$1+1,0),"")</f>
        <v/>
      </c>
      <c r="K11" s="17" t="str">
        <f>IFERROR(VLOOKUP($A11,[3]Productos!$A$3:$GG$201,[3]Productos!DV$1+1,0),"")</f>
        <v/>
      </c>
      <c r="L11" s="17" t="str">
        <f>IFERROR(VLOOKUP($A11,[3]Productos!$A$3:$GG$201,[3]Productos!DW$1+1,0),"")</f>
        <v/>
      </c>
      <c r="M11" s="17" t="str">
        <f>IFERROR(VLOOKUP($A11,[3]Productos!$A$3:$GG$201,[3]Productos!DX$1+1,0),"")</f>
        <v/>
      </c>
      <c r="N11" s="17" t="str">
        <f>IFERROR(VLOOKUP($A11,[3]Productos!$A$3:$GG$201,[3]Productos!DY$1+1,0),"")</f>
        <v/>
      </c>
      <c r="O11" s="17" t="str">
        <f>IFERROR(VLOOKUP($A11,[3]Productos!$A$3:$GG$201,[3]Productos!DZ$1+1,0),"")</f>
        <v/>
      </c>
      <c r="P11" s="17" t="str">
        <f>IFERROR(VLOOKUP($A11,[3]Productos!$A$3:$GG$201,[3]Productos!EA$1+1,0),"")</f>
        <v/>
      </c>
      <c r="Q11" s="17" t="str">
        <f>IFERROR(VLOOKUP($A11,[3]Productos!$A$3:$GG$201,[3]Productos!EB$1+1,0),"")</f>
        <v/>
      </c>
      <c r="R11" s="17" t="str">
        <f>IFERROR(VLOOKUP($A11,[3]Productos!$A$3:$GG$201,[3]Productos!EC$1+1,0),"")</f>
        <v/>
      </c>
      <c r="S11" s="17" t="str">
        <f>IFERROR(VLOOKUP($A11,[3]Productos!$A$3:$GG$201,[3]Productos!ED$1+1,0),"")</f>
        <v/>
      </c>
      <c r="T11" s="17" t="str">
        <f>IFERROR(VLOOKUP($A11,[3]Productos!$A$3:$GG$201,[3]Productos!EE$1+1,0),"")</f>
        <v/>
      </c>
      <c r="U11" s="17" t="str">
        <f>IFERROR(VLOOKUP($A11,[3]Productos!$A$3:$GG$201,[3]Productos!EF$1+1,0),"")</f>
        <v/>
      </c>
      <c r="V11" s="17" t="str">
        <f>IFERROR(VLOOKUP($A11,[3]Productos!$A$3:$GG$201,[3]Productos!EG$1+1,0),"")</f>
        <v/>
      </c>
      <c r="W11" s="17" t="str">
        <f>IFERROR(VLOOKUP($A11,[3]Productos!$A$3:$GG$201,[3]Productos!EH$1+1,0),"")</f>
        <v/>
      </c>
      <c r="X11" s="17" t="str">
        <f>IFERROR(VLOOKUP($A11,[3]Productos!$A$3:$GG$201,[3]Productos!EI$1+1,0),"")</f>
        <v/>
      </c>
      <c r="Y11" s="17" t="str">
        <f>IFERROR(VLOOKUP($A11,[3]Productos!$A$3:$GG$201,[3]Productos!EJ$1+1,0),"")</f>
        <v/>
      </c>
      <c r="Z11" s="17" t="str">
        <f>IFERROR(VLOOKUP($A11,[3]Productos!$A$3:$GG$201,[3]Productos!EK$1+1,0),"")</f>
        <v/>
      </c>
      <c r="AA11" s="17" t="str">
        <f>IFERROR(VLOOKUP($A11,[3]Productos!$A$3:$GG$201,[3]Productos!EL$1+1,0),"")</f>
        <v/>
      </c>
      <c r="AB11" s="17" t="str">
        <f>IFERROR(VLOOKUP($A11,[3]Productos!$A$3:$GG$201,[3]Productos!EM$1+1,0),"")</f>
        <v/>
      </c>
      <c r="AC11" s="17" t="str">
        <f>IFERROR(VLOOKUP($A11,[3]Productos!$A$3:$GG$201,[3]Productos!EN$1+1,0),"")</f>
        <v/>
      </c>
      <c r="AD11" s="17" t="str">
        <f>IFERROR(VLOOKUP($A11,[3]Productos!$A$3:$GG$201,[3]Productos!EO$1+1,0),"")</f>
        <v/>
      </c>
      <c r="AE11" s="17" t="str">
        <f>IFERROR(VLOOKUP($A11,[3]Productos!$A$3:$GG$201,[3]Productos!EP$1+1,0),"")</f>
        <v/>
      </c>
      <c r="AF11" s="17" t="str">
        <f>IFERROR(VLOOKUP($A11,[3]Productos!$A$3:$GG$201,[3]Productos!EQ$1+1,0),"")</f>
        <v/>
      </c>
      <c r="AG11" s="17" t="str">
        <f>IFERROR(VLOOKUP($A11,[3]Productos!$A$3:$GG$201,[3]Productos!ER$1+1,0),"")</f>
        <v/>
      </c>
    </row>
    <row r="12" spans="1:33" x14ac:dyDescent="0.25">
      <c r="B12" s="17" t="str">
        <f>IFERROR(VLOOKUP($A12,[3]Productos!$A$3:$GG$201,[3]Productos!DM$1+1,0),"")</f>
        <v/>
      </c>
      <c r="C12" s="17" t="str">
        <f>IFERROR(VLOOKUP($A12,[3]Productos!$A$3:$GG$201,[3]Productos!DN$1+1,0),"")</f>
        <v/>
      </c>
      <c r="D12" s="17" t="str">
        <f>IFERROR(VLOOKUP($A12,[3]Productos!$A$3:$GG$201,[3]Productos!DO$1+1,0),"")</f>
        <v/>
      </c>
      <c r="E12" s="17" t="str">
        <f>IFERROR(VLOOKUP($A12,[3]Productos!$A$3:$GG$201,[3]Productos!DP$1+1,0),"")</f>
        <v/>
      </c>
      <c r="F12" s="17" t="str">
        <f>IFERROR(VLOOKUP($A12,[3]Productos!$A$3:$GG$201,[3]Productos!DQ$1+1,0),"")</f>
        <v/>
      </c>
      <c r="G12" s="17" t="str">
        <f>IFERROR(VLOOKUP($A12,[3]Productos!$A$3:$GG$201,[3]Productos!DR$1+1,0),"")</f>
        <v/>
      </c>
      <c r="H12" s="17" t="str">
        <f>IFERROR(VLOOKUP($A12,[3]Productos!$A$3:$GG$201,[3]Productos!DS$1+1,0),"")</f>
        <v/>
      </c>
      <c r="I12" s="17" t="str">
        <f>IFERROR(VLOOKUP($A12,[3]Productos!$A$3:$GG$201,[3]Productos!DT$1+1,0),"")</f>
        <v/>
      </c>
      <c r="J12" s="17" t="str">
        <f>IFERROR(VLOOKUP($A12,[3]Productos!$A$3:$GG$201,[3]Productos!DU$1+1,0),"")</f>
        <v/>
      </c>
      <c r="K12" s="17" t="str">
        <f>IFERROR(VLOOKUP($A12,[3]Productos!$A$3:$GG$201,[3]Productos!DV$1+1,0),"")</f>
        <v/>
      </c>
      <c r="L12" s="17" t="str">
        <f>IFERROR(VLOOKUP($A12,[3]Productos!$A$3:$GG$201,[3]Productos!DW$1+1,0),"")</f>
        <v/>
      </c>
      <c r="M12" s="17" t="str">
        <f>IFERROR(VLOOKUP($A12,[3]Productos!$A$3:$GG$201,[3]Productos!DX$1+1,0),"")</f>
        <v/>
      </c>
      <c r="N12" s="17" t="str">
        <f>IFERROR(VLOOKUP($A12,[3]Productos!$A$3:$GG$201,[3]Productos!DY$1+1,0),"")</f>
        <v/>
      </c>
      <c r="O12" s="17" t="str">
        <f>IFERROR(VLOOKUP($A12,[3]Productos!$A$3:$GG$201,[3]Productos!DZ$1+1,0),"")</f>
        <v/>
      </c>
      <c r="P12" s="17" t="str">
        <f>IFERROR(VLOOKUP($A12,[3]Productos!$A$3:$GG$201,[3]Productos!EA$1+1,0),"")</f>
        <v/>
      </c>
      <c r="Q12" s="17" t="str">
        <f>IFERROR(VLOOKUP($A12,[3]Productos!$A$3:$GG$201,[3]Productos!EB$1+1,0),"")</f>
        <v/>
      </c>
      <c r="R12" s="17" t="str">
        <f>IFERROR(VLOOKUP($A12,[3]Productos!$A$3:$GG$201,[3]Productos!EC$1+1,0),"")</f>
        <v/>
      </c>
      <c r="S12" s="17" t="str">
        <f>IFERROR(VLOOKUP($A12,[3]Productos!$A$3:$GG$201,[3]Productos!ED$1+1,0),"")</f>
        <v/>
      </c>
      <c r="T12" s="17" t="str">
        <f>IFERROR(VLOOKUP($A12,[3]Productos!$A$3:$GG$201,[3]Productos!EE$1+1,0),"")</f>
        <v/>
      </c>
      <c r="U12" s="17" t="str">
        <f>IFERROR(VLOOKUP($A12,[3]Productos!$A$3:$GG$201,[3]Productos!EF$1+1,0),"")</f>
        <v/>
      </c>
      <c r="V12" s="17" t="str">
        <f>IFERROR(VLOOKUP($A12,[3]Productos!$A$3:$GG$201,[3]Productos!EG$1+1,0),"")</f>
        <v/>
      </c>
      <c r="W12" s="17" t="str">
        <f>IFERROR(VLOOKUP($A12,[3]Productos!$A$3:$GG$201,[3]Productos!EH$1+1,0),"")</f>
        <v/>
      </c>
      <c r="X12" s="17" t="str">
        <f>IFERROR(VLOOKUP($A12,[3]Productos!$A$3:$GG$201,[3]Productos!EI$1+1,0),"")</f>
        <v/>
      </c>
      <c r="Y12" s="17" t="str">
        <f>IFERROR(VLOOKUP($A12,[3]Productos!$A$3:$GG$201,[3]Productos!EJ$1+1,0),"")</f>
        <v/>
      </c>
      <c r="Z12" s="17" t="str">
        <f>IFERROR(VLOOKUP($A12,[3]Productos!$A$3:$GG$201,[3]Productos!EK$1+1,0),"")</f>
        <v/>
      </c>
      <c r="AA12" s="17" t="str">
        <f>IFERROR(VLOOKUP($A12,[3]Productos!$A$3:$GG$201,[3]Productos!EL$1+1,0),"")</f>
        <v/>
      </c>
      <c r="AB12" s="17" t="str">
        <f>IFERROR(VLOOKUP($A12,[3]Productos!$A$3:$GG$201,[3]Productos!EM$1+1,0),"")</f>
        <v/>
      </c>
      <c r="AC12" s="17" t="str">
        <f>IFERROR(VLOOKUP($A12,[3]Productos!$A$3:$GG$201,[3]Productos!EN$1+1,0),"")</f>
        <v/>
      </c>
      <c r="AD12" s="17" t="str">
        <f>IFERROR(VLOOKUP($A12,[3]Productos!$A$3:$GG$201,[3]Productos!EO$1+1,0),"")</f>
        <v/>
      </c>
      <c r="AE12" s="17" t="str">
        <f>IFERROR(VLOOKUP($A12,[3]Productos!$A$3:$GG$201,[3]Productos!EP$1+1,0),"")</f>
        <v/>
      </c>
      <c r="AF12" s="17" t="str">
        <f>IFERROR(VLOOKUP($A12,[3]Productos!$A$3:$GG$201,[3]Productos!EQ$1+1,0),"")</f>
        <v/>
      </c>
      <c r="AG12" s="17" t="str">
        <f>IFERROR(VLOOKUP($A12,[3]Productos!$A$3:$GG$201,[3]Productos!ER$1+1,0),"")</f>
        <v/>
      </c>
    </row>
    <row r="13" spans="1:33" x14ac:dyDescent="0.25">
      <c r="B13" s="17" t="str">
        <f>IFERROR(VLOOKUP($A13,[3]Productos!$A$3:$GG$201,[3]Productos!DM$1+1,0),"")</f>
        <v/>
      </c>
      <c r="C13" s="17" t="str">
        <f>IFERROR(VLOOKUP($A13,[3]Productos!$A$3:$GG$201,[3]Productos!DN$1+1,0),"")</f>
        <v/>
      </c>
      <c r="D13" s="17" t="str">
        <f>IFERROR(VLOOKUP($A13,[3]Productos!$A$3:$GG$201,[3]Productos!DO$1+1,0),"")</f>
        <v/>
      </c>
      <c r="E13" s="17" t="str">
        <f>IFERROR(VLOOKUP($A13,[3]Productos!$A$3:$GG$201,[3]Productos!DP$1+1,0),"")</f>
        <v/>
      </c>
      <c r="F13" s="17" t="str">
        <f>IFERROR(VLOOKUP($A13,[3]Productos!$A$3:$GG$201,[3]Productos!DQ$1+1,0),"")</f>
        <v/>
      </c>
      <c r="G13" s="17" t="str">
        <f>IFERROR(VLOOKUP($A13,[3]Productos!$A$3:$GG$201,[3]Productos!DR$1+1,0),"")</f>
        <v/>
      </c>
      <c r="H13" s="17" t="str">
        <f>IFERROR(VLOOKUP($A13,[3]Productos!$A$3:$GG$201,[3]Productos!DS$1+1,0),"")</f>
        <v/>
      </c>
      <c r="I13" s="17" t="str">
        <f>IFERROR(VLOOKUP($A13,[3]Productos!$A$3:$GG$201,[3]Productos!DT$1+1,0),"")</f>
        <v/>
      </c>
      <c r="J13" s="17" t="str">
        <f>IFERROR(VLOOKUP($A13,[3]Productos!$A$3:$GG$201,[3]Productos!DU$1+1,0),"")</f>
        <v/>
      </c>
      <c r="K13" s="17" t="str">
        <f>IFERROR(VLOOKUP($A13,[3]Productos!$A$3:$GG$201,[3]Productos!DV$1+1,0),"")</f>
        <v/>
      </c>
      <c r="L13" s="17" t="str">
        <f>IFERROR(VLOOKUP($A13,[3]Productos!$A$3:$GG$201,[3]Productos!DW$1+1,0),"")</f>
        <v/>
      </c>
      <c r="M13" s="17" t="str">
        <f>IFERROR(VLOOKUP($A13,[3]Productos!$A$3:$GG$201,[3]Productos!DX$1+1,0),"")</f>
        <v/>
      </c>
      <c r="N13" s="17" t="str">
        <f>IFERROR(VLOOKUP($A13,[3]Productos!$A$3:$GG$201,[3]Productos!DY$1+1,0),"")</f>
        <v/>
      </c>
      <c r="O13" s="17" t="str">
        <f>IFERROR(VLOOKUP($A13,[3]Productos!$A$3:$GG$201,[3]Productos!DZ$1+1,0),"")</f>
        <v/>
      </c>
      <c r="P13" s="17" t="str">
        <f>IFERROR(VLOOKUP($A13,[3]Productos!$A$3:$GG$201,[3]Productos!EA$1+1,0),"")</f>
        <v/>
      </c>
      <c r="Q13" s="17" t="str">
        <f>IFERROR(VLOOKUP($A13,[3]Productos!$A$3:$GG$201,[3]Productos!EB$1+1,0),"")</f>
        <v/>
      </c>
      <c r="R13" s="17" t="str">
        <f>IFERROR(VLOOKUP($A13,[3]Productos!$A$3:$GG$201,[3]Productos!EC$1+1,0),"")</f>
        <v/>
      </c>
      <c r="S13" s="17" t="str">
        <f>IFERROR(VLOOKUP($A13,[3]Productos!$A$3:$GG$201,[3]Productos!ED$1+1,0),"")</f>
        <v/>
      </c>
      <c r="T13" s="17" t="str">
        <f>IFERROR(VLOOKUP($A13,[3]Productos!$A$3:$GG$201,[3]Productos!EE$1+1,0),"")</f>
        <v/>
      </c>
      <c r="U13" s="17" t="str">
        <f>IFERROR(VLOOKUP($A13,[3]Productos!$A$3:$GG$201,[3]Productos!EF$1+1,0),"")</f>
        <v/>
      </c>
      <c r="V13" s="17" t="str">
        <f>IFERROR(VLOOKUP($A13,[3]Productos!$A$3:$GG$201,[3]Productos!EG$1+1,0),"")</f>
        <v/>
      </c>
      <c r="W13" s="17" t="str">
        <f>IFERROR(VLOOKUP($A13,[3]Productos!$A$3:$GG$201,[3]Productos!EH$1+1,0),"")</f>
        <v/>
      </c>
      <c r="X13" s="17" t="str">
        <f>IFERROR(VLOOKUP($A13,[3]Productos!$A$3:$GG$201,[3]Productos!EI$1+1,0),"")</f>
        <v/>
      </c>
      <c r="Y13" s="17" t="str">
        <f>IFERROR(VLOOKUP($A13,[3]Productos!$A$3:$GG$201,[3]Productos!EJ$1+1,0),"")</f>
        <v/>
      </c>
      <c r="Z13" s="17" t="str">
        <f>IFERROR(VLOOKUP($A13,[3]Productos!$A$3:$GG$201,[3]Productos!EK$1+1,0),"")</f>
        <v/>
      </c>
      <c r="AA13" s="17" t="str">
        <f>IFERROR(VLOOKUP($A13,[3]Productos!$A$3:$GG$201,[3]Productos!EL$1+1,0),"")</f>
        <v/>
      </c>
      <c r="AB13" s="17" t="str">
        <f>IFERROR(VLOOKUP($A13,[3]Productos!$A$3:$GG$201,[3]Productos!EM$1+1,0),"")</f>
        <v/>
      </c>
      <c r="AC13" s="17" t="str">
        <f>IFERROR(VLOOKUP($A13,[3]Productos!$A$3:$GG$201,[3]Productos!EN$1+1,0),"")</f>
        <v/>
      </c>
      <c r="AD13" s="17" t="str">
        <f>IFERROR(VLOOKUP($A13,[3]Productos!$A$3:$GG$201,[3]Productos!EO$1+1,0),"")</f>
        <v/>
      </c>
      <c r="AE13" s="17" t="str">
        <f>IFERROR(VLOOKUP($A13,[3]Productos!$A$3:$GG$201,[3]Productos!EP$1+1,0),"")</f>
        <v/>
      </c>
      <c r="AF13" s="17" t="str">
        <f>IFERROR(VLOOKUP($A13,[3]Productos!$A$3:$GG$201,[3]Productos!EQ$1+1,0),"")</f>
        <v/>
      </c>
      <c r="AG13" s="17" t="str">
        <f>IFERROR(VLOOKUP($A13,[3]Productos!$A$3:$GG$201,[3]Productos!ER$1+1,0),"")</f>
        <v/>
      </c>
    </row>
    <row r="14" spans="1:33" x14ac:dyDescent="0.25">
      <c r="B14" s="17" t="str">
        <f>IFERROR(VLOOKUP($A14,[3]Productos!$A$3:$GG$201,[3]Productos!DM$1+1,0),"")</f>
        <v/>
      </c>
      <c r="C14" s="17" t="str">
        <f>IFERROR(VLOOKUP($A14,[3]Productos!$A$3:$GG$201,[3]Productos!DN$1+1,0),"")</f>
        <v/>
      </c>
      <c r="D14" s="17" t="str">
        <f>IFERROR(VLOOKUP($A14,[3]Productos!$A$3:$GG$201,[3]Productos!DO$1+1,0),"")</f>
        <v/>
      </c>
      <c r="E14" s="17" t="str">
        <f>IFERROR(VLOOKUP($A14,[3]Productos!$A$3:$GG$201,[3]Productos!DP$1+1,0),"")</f>
        <v/>
      </c>
      <c r="F14" s="17" t="str">
        <f>IFERROR(VLOOKUP($A14,[3]Productos!$A$3:$GG$201,[3]Productos!DQ$1+1,0),"")</f>
        <v/>
      </c>
      <c r="G14" s="17" t="str">
        <f>IFERROR(VLOOKUP($A14,[3]Productos!$A$3:$GG$201,[3]Productos!DR$1+1,0),"")</f>
        <v/>
      </c>
      <c r="H14" s="17" t="str">
        <f>IFERROR(VLOOKUP($A14,[3]Productos!$A$3:$GG$201,[3]Productos!DS$1+1,0),"")</f>
        <v/>
      </c>
      <c r="I14" s="17" t="str">
        <f>IFERROR(VLOOKUP($A14,[3]Productos!$A$3:$GG$201,[3]Productos!DT$1+1,0),"")</f>
        <v/>
      </c>
      <c r="J14" s="17" t="str">
        <f>IFERROR(VLOOKUP($A14,[3]Productos!$A$3:$GG$201,[3]Productos!DU$1+1,0),"")</f>
        <v/>
      </c>
      <c r="K14" s="17" t="str">
        <f>IFERROR(VLOOKUP($A14,[3]Productos!$A$3:$GG$201,[3]Productos!DV$1+1,0),"")</f>
        <v/>
      </c>
      <c r="L14" s="17" t="str">
        <f>IFERROR(VLOOKUP($A14,[3]Productos!$A$3:$GG$201,[3]Productos!DW$1+1,0),"")</f>
        <v/>
      </c>
      <c r="M14" s="17" t="str">
        <f>IFERROR(VLOOKUP($A14,[3]Productos!$A$3:$GG$201,[3]Productos!DX$1+1,0),"")</f>
        <v/>
      </c>
      <c r="N14" s="17" t="str">
        <f>IFERROR(VLOOKUP($A14,[3]Productos!$A$3:$GG$201,[3]Productos!DY$1+1,0),"")</f>
        <v/>
      </c>
      <c r="O14" s="17" t="str">
        <f>IFERROR(VLOOKUP($A14,[3]Productos!$A$3:$GG$201,[3]Productos!DZ$1+1,0),"")</f>
        <v/>
      </c>
      <c r="P14" s="17" t="str">
        <f>IFERROR(VLOOKUP($A14,[3]Productos!$A$3:$GG$201,[3]Productos!EA$1+1,0),"")</f>
        <v/>
      </c>
      <c r="Q14" s="17" t="str">
        <f>IFERROR(VLOOKUP($A14,[3]Productos!$A$3:$GG$201,[3]Productos!EB$1+1,0),"")</f>
        <v/>
      </c>
      <c r="R14" s="17" t="str">
        <f>IFERROR(VLOOKUP($A14,[3]Productos!$A$3:$GG$201,[3]Productos!EC$1+1,0),"")</f>
        <v/>
      </c>
      <c r="S14" s="17" t="str">
        <f>IFERROR(VLOOKUP($A14,[3]Productos!$A$3:$GG$201,[3]Productos!ED$1+1,0),"")</f>
        <v/>
      </c>
      <c r="T14" s="17" t="str">
        <f>IFERROR(VLOOKUP($A14,[3]Productos!$A$3:$GG$201,[3]Productos!EE$1+1,0),"")</f>
        <v/>
      </c>
      <c r="U14" s="17" t="str">
        <f>IFERROR(VLOOKUP($A14,[3]Productos!$A$3:$GG$201,[3]Productos!EF$1+1,0),"")</f>
        <v/>
      </c>
      <c r="V14" s="17" t="str">
        <f>IFERROR(VLOOKUP($A14,[3]Productos!$A$3:$GG$201,[3]Productos!EG$1+1,0),"")</f>
        <v/>
      </c>
      <c r="W14" s="17" t="str">
        <f>IFERROR(VLOOKUP($A14,[3]Productos!$A$3:$GG$201,[3]Productos!EH$1+1,0),"")</f>
        <v/>
      </c>
      <c r="X14" s="17" t="str">
        <f>IFERROR(VLOOKUP($A14,[3]Productos!$A$3:$GG$201,[3]Productos!EI$1+1,0),"")</f>
        <v/>
      </c>
      <c r="Y14" s="17" t="str">
        <f>IFERROR(VLOOKUP($A14,[3]Productos!$A$3:$GG$201,[3]Productos!EJ$1+1,0),"")</f>
        <v/>
      </c>
      <c r="Z14" s="17" t="str">
        <f>IFERROR(VLOOKUP($A14,[3]Productos!$A$3:$GG$201,[3]Productos!EK$1+1,0),"")</f>
        <v/>
      </c>
      <c r="AA14" s="17" t="str">
        <f>IFERROR(VLOOKUP($A14,[3]Productos!$A$3:$GG$201,[3]Productos!EL$1+1,0),"")</f>
        <v/>
      </c>
      <c r="AB14" s="17" t="str">
        <f>IFERROR(VLOOKUP($A14,[3]Productos!$A$3:$GG$201,[3]Productos!EM$1+1,0),"")</f>
        <v/>
      </c>
      <c r="AC14" s="17" t="str">
        <f>IFERROR(VLOOKUP($A14,[3]Productos!$A$3:$GG$201,[3]Productos!EN$1+1,0),"")</f>
        <v/>
      </c>
      <c r="AD14" s="17" t="str">
        <f>IFERROR(VLOOKUP($A14,[3]Productos!$A$3:$GG$201,[3]Productos!EO$1+1,0),"")</f>
        <v/>
      </c>
      <c r="AE14" s="17" t="str">
        <f>IFERROR(VLOOKUP($A14,[3]Productos!$A$3:$GG$201,[3]Productos!EP$1+1,0),"")</f>
        <v/>
      </c>
      <c r="AF14" s="17" t="str">
        <f>IFERROR(VLOOKUP($A14,[3]Productos!$A$3:$GG$201,[3]Productos!EQ$1+1,0),"")</f>
        <v/>
      </c>
      <c r="AG14" s="17" t="str">
        <f>IFERROR(VLOOKUP($A14,[3]Productos!$A$3:$GG$201,[3]Productos!ER$1+1,0),"")</f>
        <v/>
      </c>
    </row>
    <row r="15" spans="1:33" x14ac:dyDescent="0.25">
      <c r="B15" s="17" t="str">
        <f>IFERROR(VLOOKUP($A15,[3]Productos!$A$3:$GG$201,[3]Productos!DM$1+1,0),"")</f>
        <v/>
      </c>
      <c r="C15" s="17" t="str">
        <f>IFERROR(VLOOKUP($A15,[3]Productos!$A$3:$GG$201,[3]Productos!DN$1+1,0),"")</f>
        <v/>
      </c>
      <c r="D15" s="17" t="str">
        <f>IFERROR(VLOOKUP($A15,[3]Productos!$A$3:$GG$201,[3]Productos!DO$1+1,0),"")</f>
        <v/>
      </c>
      <c r="E15" s="17" t="str">
        <f>IFERROR(VLOOKUP($A15,[3]Productos!$A$3:$GG$201,[3]Productos!DP$1+1,0),"")</f>
        <v/>
      </c>
      <c r="F15" s="17" t="str">
        <f>IFERROR(VLOOKUP($A15,[3]Productos!$A$3:$GG$201,[3]Productos!DQ$1+1,0),"")</f>
        <v/>
      </c>
      <c r="G15" s="17" t="str">
        <f>IFERROR(VLOOKUP($A15,[3]Productos!$A$3:$GG$201,[3]Productos!DR$1+1,0),"")</f>
        <v/>
      </c>
      <c r="H15" s="17" t="str">
        <f>IFERROR(VLOOKUP($A15,[3]Productos!$A$3:$GG$201,[3]Productos!DS$1+1,0),"")</f>
        <v/>
      </c>
      <c r="I15" s="17" t="str">
        <f>IFERROR(VLOOKUP($A15,[3]Productos!$A$3:$GG$201,[3]Productos!DT$1+1,0),"")</f>
        <v/>
      </c>
      <c r="J15" s="17" t="str">
        <f>IFERROR(VLOOKUP($A15,[3]Productos!$A$3:$GG$201,[3]Productos!DU$1+1,0),"")</f>
        <v/>
      </c>
      <c r="K15" s="17" t="str">
        <f>IFERROR(VLOOKUP($A15,[3]Productos!$A$3:$GG$201,[3]Productos!DV$1+1,0),"")</f>
        <v/>
      </c>
      <c r="L15" s="17" t="str">
        <f>IFERROR(VLOOKUP($A15,[3]Productos!$A$3:$GG$201,[3]Productos!DW$1+1,0),"")</f>
        <v/>
      </c>
      <c r="M15" s="17" t="str">
        <f>IFERROR(VLOOKUP($A15,[3]Productos!$A$3:$GG$201,[3]Productos!DX$1+1,0),"")</f>
        <v/>
      </c>
      <c r="N15" s="17" t="str">
        <f>IFERROR(VLOOKUP($A15,[3]Productos!$A$3:$GG$201,[3]Productos!DY$1+1,0),"")</f>
        <v/>
      </c>
      <c r="O15" s="17" t="str">
        <f>IFERROR(VLOOKUP($A15,[3]Productos!$A$3:$GG$201,[3]Productos!DZ$1+1,0),"")</f>
        <v/>
      </c>
      <c r="P15" s="17" t="str">
        <f>IFERROR(VLOOKUP($A15,[3]Productos!$A$3:$GG$201,[3]Productos!EA$1+1,0),"")</f>
        <v/>
      </c>
      <c r="Q15" s="17" t="str">
        <f>IFERROR(VLOOKUP($A15,[3]Productos!$A$3:$GG$201,[3]Productos!EB$1+1,0),"")</f>
        <v/>
      </c>
      <c r="R15" s="17" t="str">
        <f>IFERROR(VLOOKUP($A15,[3]Productos!$A$3:$GG$201,[3]Productos!EC$1+1,0),"")</f>
        <v/>
      </c>
      <c r="S15" s="17" t="str">
        <f>IFERROR(VLOOKUP($A15,[3]Productos!$A$3:$GG$201,[3]Productos!ED$1+1,0),"")</f>
        <v/>
      </c>
      <c r="T15" s="17" t="str">
        <f>IFERROR(VLOOKUP($A15,[3]Productos!$A$3:$GG$201,[3]Productos!EE$1+1,0),"")</f>
        <v/>
      </c>
      <c r="U15" s="17" t="str">
        <f>IFERROR(VLOOKUP($A15,[3]Productos!$A$3:$GG$201,[3]Productos!EF$1+1,0),"")</f>
        <v/>
      </c>
      <c r="V15" s="17" t="str">
        <f>IFERROR(VLOOKUP($A15,[3]Productos!$A$3:$GG$201,[3]Productos!EG$1+1,0),"")</f>
        <v/>
      </c>
      <c r="W15" s="17" t="str">
        <f>IFERROR(VLOOKUP($A15,[3]Productos!$A$3:$GG$201,[3]Productos!EH$1+1,0),"")</f>
        <v/>
      </c>
      <c r="X15" s="17" t="str">
        <f>IFERROR(VLOOKUP($A15,[3]Productos!$A$3:$GG$201,[3]Productos!EI$1+1,0),"")</f>
        <v/>
      </c>
      <c r="Y15" s="17" t="str">
        <f>IFERROR(VLOOKUP($A15,[3]Productos!$A$3:$GG$201,[3]Productos!EJ$1+1,0),"")</f>
        <v/>
      </c>
      <c r="Z15" s="17" t="str">
        <f>IFERROR(VLOOKUP($A15,[3]Productos!$A$3:$GG$201,[3]Productos!EK$1+1,0),"")</f>
        <v/>
      </c>
      <c r="AA15" s="17" t="str">
        <f>IFERROR(VLOOKUP($A15,[3]Productos!$A$3:$GG$201,[3]Productos!EL$1+1,0),"")</f>
        <v/>
      </c>
      <c r="AB15" s="17" t="str">
        <f>IFERROR(VLOOKUP($A15,[3]Productos!$A$3:$GG$201,[3]Productos!EM$1+1,0),"")</f>
        <v/>
      </c>
      <c r="AC15" s="17" t="str">
        <f>IFERROR(VLOOKUP($A15,[3]Productos!$A$3:$GG$201,[3]Productos!EN$1+1,0),"")</f>
        <v/>
      </c>
      <c r="AD15" s="17" t="str">
        <f>IFERROR(VLOOKUP($A15,[3]Productos!$A$3:$GG$201,[3]Productos!EO$1+1,0),"")</f>
        <v/>
      </c>
      <c r="AE15" s="17" t="str">
        <f>IFERROR(VLOOKUP($A15,[3]Productos!$A$3:$GG$201,[3]Productos!EP$1+1,0),"")</f>
        <v/>
      </c>
      <c r="AF15" s="17" t="str">
        <f>IFERROR(VLOOKUP($A15,[3]Productos!$A$3:$GG$201,[3]Productos!EQ$1+1,0),"")</f>
        <v/>
      </c>
      <c r="AG15" s="17" t="str">
        <f>IFERROR(VLOOKUP($A15,[3]Productos!$A$3:$GG$201,[3]Productos!ER$1+1,0),"")</f>
        <v/>
      </c>
    </row>
    <row r="16" spans="1:33" x14ac:dyDescent="0.25">
      <c r="B16" s="17" t="str">
        <f>IFERROR(VLOOKUP($A16,[3]Productos!$A$3:$GG$201,[3]Productos!DM$1+1,0),"")</f>
        <v/>
      </c>
      <c r="C16" s="17" t="str">
        <f>IFERROR(VLOOKUP($A16,[3]Productos!$A$3:$GG$201,[3]Productos!DN$1+1,0),"")</f>
        <v/>
      </c>
      <c r="D16" s="17" t="str">
        <f>IFERROR(VLOOKUP($A16,[3]Productos!$A$3:$GG$201,[3]Productos!DO$1+1,0),"")</f>
        <v/>
      </c>
      <c r="E16" s="17" t="str">
        <f>IFERROR(VLOOKUP($A16,[3]Productos!$A$3:$GG$201,[3]Productos!DP$1+1,0),"")</f>
        <v/>
      </c>
      <c r="F16" s="17" t="str">
        <f>IFERROR(VLOOKUP($A16,[3]Productos!$A$3:$GG$201,[3]Productos!DQ$1+1,0),"")</f>
        <v/>
      </c>
      <c r="G16" s="17" t="str">
        <f>IFERROR(VLOOKUP($A16,[3]Productos!$A$3:$GG$201,[3]Productos!DR$1+1,0),"")</f>
        <v/>
      </c>
      <c r="H16" s="17" t="str">
        <f>IFERROR(VLOOKUP($A16,[3]Productos!$A$3:$GG$201,[3]Productos!DS$1+1,0),"")</f>
        <v/>
      </c>
      <c r="I16" s="17" t="str">
        <f>IFERROR(VLOOKUP($A16,[3]Productos!$A$3:$GG$201,[3]Productos!DT$1+1,0),"")</f>
        <v/>
      </c>
      <c r="J16" s="17" t="str">
        <f>IFERROR(VLOOKUP($A16,[3]Productos!$A$3:$GG$201,[3]Productos!DU$1+1,0),"")</f>
        <v/>
      </c>
      <c r="K16" s="17" t="str">
        <f>IFERROR(VLOOKUP($A16,[3]Productos!$A$3:$GG$201,[3]Productos!DV$1+1,0),"")</f>
        <v/>
      </c>
      <c r="L16" s="17" t="str">
        <f>IFERROR(VLOOKUP($A16,[3]Productos!$A$3:$GG$201,[3]Productos!DW$1+1,0),"")</f>
        <v/>
      </c>
      <c r="M16" s="17" t="str">
        <f>IFERROR(VLOOKUP($A16,[3]Productos!$A$3:$GG$201,[3]Productos!DX$1+1,0),"")</f>
        <v/>
      </c>
      <c r="N16" s="17" t="str">
        <f>IFERROR(VLOOKUP($A16,[3]Productos!$A$3:$GG$201,[3]Productos!DY$1+1,0),"")</f>
        <v/>
      </c>
      <c r="O16" s="17" t="str">
        <f>IFERROR(VLOOKUP($A16,[3]Productos!$A$3:$GG$201,[3]Productos!DZ$1+1,0),"")</f>
        <v/>
      </c>
      <c r="P16" s="17" t="str">
        <f>IFERROR(VLOOKUP($A16,[3]Productos!$A$3:$GG$201,[3]Productos!EA$1+1,0),"")</f>
        <v/>
      </c>
      <c r="Q16" s="17" t="str">
        <f>IFERROR(VLOOKUP($A16,[3]Productos!$A$3:$GG$201,[3]Productos!EB$1+1,0),"")</f>
        <v/>
      </c>
      <c r="R16" s="17" t="str">
        <f>IFERROR(VLOOKUP($A16,[3]Productos!$A$3:$GG$201,[3]Productos!EC$1+1,0),"")</f>
        <v/>
      </c>
      <c r="S16" s="17" t="str">
        <f>IFERROR(VLOOKUP($A16,[3]Productos!$A$3:$GG$201,[3]Productos!ED$1+1,0),"")</f>
        <v/>
      </c>
      <c r="T16" s="17" t="str">
        <f>IFERROR(VLOOKUP($A16,[3]Productos!$A$3:$GG$201,[3]Productos!EE$1+1,0),"")</f>
        <v/>
      </c>
      <c r="U16" s="17" t="str">
        <f>IFERROR(VLOOKUP($A16,[3]Productos!$A$3:$GG$201,[3]Productos!EF$1+1,0),"")</f>
        <v/>
      </c>
      <c r="V16" s="17" t="str">
        <f>IFERROR(VLOOKUP($A16,[3]Productos!$A$3:$GG$201,[3]Productos!EG$1+1,0),"")</f>
        <v/>
      </c>
      <c r="W16" s="17" t="str">
        <f>IFERROR(VLOOKUP($A16,[3]Productos!$A$3:$GG$201,[3]Productos!EH$1+1,0),"")</f>
        <v/>
      </c>
      <c r="X16" s="17" t="str">
        <f>IFERROR(VLOOKUP($A16,[3]Productos!$A$3:$GG$201,[3]Productos!EI$1+1,0),"")</f>
        <v/>
      </c>
      <c r="Y16" s="17" t="str">
        <f>IFERROR(VLOOKUP($A16,[3]Productos!$A$3:$GG$201,[3]Productos!EJ$1+1,0),"")</f>
        <v/>
      </c>
      <c r="Z16" s="17" t="str">
        <f>IFERROR(VLOOKUP($A16,[3]Productos!$A$3:$GG$201,[3]Productos!EK$1+1,0),"")</f>
        <v/>
      </c>
      <c r="AA16" s="17" t="str">
        <f>IFERROR(VLOOKUP($A16,[3]Productos!$A$3:$GG$201,[3]Productos!EL$1+1,0),"")</f>
        <v/>
      </c>
      <c r="AB16" s="17" t="str">
        <f>IFERROR(VLOOKUP($A16,[3]Productos!$A$3:$GG$201,[3]Productos!EM$1+1,0),"")</f>
        <v/>
      </c>
      <c r="AC16" s="17" t="str">
        <f>IFERROR(VLOOKUP($A16,[3]Productos!$A$3:$GG$201,[3]Productos!EN$1+1,0),"")</f>
        <v/>
      </c>
      <c r="AD16" s="17" t="str">
        <f>IFERROR(VLOOKUP($A16,[3]Productos!$A$3:$GG$201,[3]Productos!EO$1+1,0),"")</f>
        <v/>
      </c>
      <c r="AE16" s="17" t="str">
        <f>IFERROR(VLOOKUP($A16,[3]Productos!$A$3:$GG$201,[3]Productos!EP$1+1,0),"")</f>
        <v/>
      </c>
      <c r="AF16" s="17" t="str">
        <f>IFERROR(VLOOKUP($A16,[3]Productos!$A$3:$GG$201,[3]Productos!EQ$1+1,0),"")</f>
        <v/>
      </c>
      <c r="AG16" s="17" t="str">
        <f>IFERROR(VLOOKUP($A16,[3]Productos!$A$3:$GG$201,[3]Productos!ER$1+1,0),"")</f>
        <v/>
      </c>
    </row>
    <row r="17" spans="2:33" x14ac:dyDescent="0.25">
      <c r="B17" s="17" t="str">
        <f>IFERROR(VLOOKUP($A17,[3]Productos!$A$3:$GG$201,[3]Productos!DM$1+1,0),"")</f>
        <v/>
      </c>
      <c r="C17" s="17" t="str">
        <f>IFERROR(VLOOKUP($A17,[3]Productos!$A$3:$GG$201,[3]Productos!DN$1+1,0),"")</f>
        <v/>
      </c>
      <c r="D17" s="17" t="str">
        <f>IFERROR(VLOOKUP($A17,[3]Productos!$A$3:$GG$201,[3]Productos!DO$1+1,0),"")</f>
        <v/>
      </c>
      <c r="E17" s="17" t="str">
        <f>IFERROR(VLOOKUP($A17,[3]Productos!$A$3:$GG$201,[3]Productos!DP$1+1,0),"")</f>
        <v/>
      </c>
      <c r="F17" s="17" t="str">
        <f>IFERROR(VLOOKUP($A17,[3]Productos!$A$3:$GG$201,[3]Productos!DQ$1+1,0),"")</f>
        <v/>
      </c>
      <c r="G17" s="17" t="str">
        <f>IFERROR(VLOOKUP($A17,[3]Productos!$A$3:$GG$201,[3]Productos!DR$1+1,0),"")</f>
        <v/>
      </c>
      <c r="H17" s="17" t="str">
        <f>IFERROR(VLOOKUP($A17,[3]Productos!$A$3:$GG$201,[3]Productos!DS$1+1,0),"")</f>
        <v/>
      </c>
      <c r="I17" s="17" t="str">
        <f>IFERROR(VLOOKUP($A17,[3]Productos!$A$3:$GG$201,[3]Productos!DT$1+1,0),"")</f>
        <v/>
      </c>
      <c r="J17" s="17" t="str">
        <f>IFERROR(VLOOKUP($A17,[3]Productos!$A$3:$GG$201,[3]Productos!DU$1+1,0),"")</f>
        <v/>
      </c>
      <c r="K17" s="17" t="str">
        <f>IFERROR(VLOOKUP($A17,[3]Productos!$A$3:$GG$201,[3]Productos!DV$1+1,0),"")</f>
        <v/>
      </c>
      <c r="L17" s="17" t="str">
        <f>IFERROR(VLOOKUP($A17,[3]Productos!$A$3:$GG$201,[3]Productos!DW$1+1,0),"")</f>
        <v/>
      </c>
      <c r="M17" s="17" t="str">
        <f>IFERROR(VLOOKUP($A17,[3]Productos!$A$3:$GG$201,[3]Productos!DX$1+1,0),"")</f>
        <v/>
      </c>
      <c r="N17" s="17" t="str">
        <f>IFERROR(VLOOKUP($A17,[3]Productos!$A$3:$GG$201,[3]Productos!DY$1+1,0),"")</f>
        <v/>
      </c>
      <c r="O17" s="17" t="str">
        <f>IFERROR(VLOOKUP($A17,[3]Productos!$A$3:$GG$201,[3]Productos!DZ$1+1,0),"")</f>
        <v/>
      </c>
      <c r="P17" s="17" t="str">
        <f>IFERROR(VLOOKUP($A17,[3]Productos!$A$3:$GG$201,[3]Productos!EA$1+1,0),"")</f>
        <v/>
      </c>
      <c r="Q17" s="17" t="str">
        <f>IFERROR(VLOOKUP($A17,[3]Productos!$A$3:$GG$201,[3]Productos!EB$1+1,0),"")</f>
        <v/>
      </c>
      <c r="R17" s="17" t="str">
        <f>IFERROR(VLOOKUP($A17,[3]Productos!$A$3:$GG$201,[3]Productos!EC$1+1,0),"")</f>
        <v/>
      </c>
      <c r="S17" s="17" t="str">
        <f>IFERROR(VLOOKUP($A17,[3]Productos!$A$3:$GG$201,[3]Productos!ED$1+1,0),"")</f>
        <v/>
      </c>
      <c r="T17" s="17" t="str">
        <f>IFERROR(VLOOKUP($A17,[3]Productos!$A$3:$GG$201,[3]Productos!EE$1+1,0),"")</f>
        <v/>
      </c>
      <c r="U17" s="17" t="str">
        <f>IFERROR(VLOOKUP($A17,[3]Productos!$A$3:$GG$201,[3]Productos!EF$1+1,0),"")</f>
        <v/>
      </c>
      <c r="V17" s="17" t="str">
        <f>IFERROR(VLOOKUP($A17,[3]Productos!$A$3:$GG$201,[3]Productos!EG$1+1,0),"")</f>
        <v/>
      </c>
      <c r="W17" s="17" t="str">
        <f>IFERROR(VLOOKUP($A17,[3]Productos!$A$3:$GG$201,[3]Productos!EH$1+1,0),"")</f>
        <v/>
      </c>
      <c r="X17" s="17" t="str">
        <f>IFERROR(VLOOKUP($A17,[3]Productos!$A$3:$GG$201,[3]Productos!EI$1+1,0),"")</f>
        <v/>
      </c>
      <c r="Y17" s="17" t="str">
        <f>IFERROR(VLOOKUP($A17,[3]Productos!$A$3:$GG$201,[3]Productos!EJ$1+1,0),"")</f>
        <v/>
      </c>
      <c r="Z17" s="17" t="str">
        <f>IFERROR(VLOOKUP($A17,[3]Productos!$A$3:$GG$201,[3]Productos!EK$1+1,0),"")</f>
        <v/>
      </c>
      <c r="AA17" s="17" t="str">
        <f>IFERROR(VLOOKUP($A17,[3]Productos!$A$3:$GG$201,[3]Productos!EL$1+1,0),"")</f>
        <v/>
      </c>
      <c r="AB17" s="17" t="str">
        <f>IFERROR(VLOOKUP($A17,[3]Productos!$A$3:$GG$201,[3]Productos!EM$1+1,0),"")</f>
        <v/>
      </c>
      <c r="AC17" s="17" t="str">
        <f>IFERROR(VLOOKUP($A17,[3]Productos!$A$3:$GG$201,[3]Productos!EN$1+1,0),"")</f>
        <v/>
      </c>
      <c r="AD17" s="17" t="str">
        <f>IFERROR(VLOOKUP($A17,[3]Productos!$A$3:$GG$201,[3]Productos!EO$1+1,0),"")</f>
        <v/>
      </c>
      <c r="AE17" s="17" t="str">
        <f>IFERROR(VLOOKUP($A17,[3]Productos!$A$3:$GG$201,[3]Productos!EP$1+1,0),"")</f>
        <v/>
      </c>
      <c r="AF17" s="17" t="str">
        <f>IFERROR(VLOOKUP($A17,[3]Productos!$A$3:$GG$201,[3]Productos!EQ$1+1,0),"")</f>
        <v/>
      </c>
      <c r="AG17" s="17" t="str">
        <f>IFERROR(VLOOKUP($A17,[3]Productos!$A$3:$GG$201,[3]Productos!ER$1+1,0),"")</f>
        <v/>
      </c>
    </row>
    <row r="18" spans="2:33" x14ac:dyDescent="0.25">
      <c r="B18" s="17" t="str">
        <f>IFERROR(VLOOKUP($A18,[3]Productos!$A$3:$GG$201,[3]Productos!DM$1+1,0),"")</f>
        <v/>
      </c>
      <c r="C18" s="17" t="str">
        <f>IFERROR(VLOOKUP($A18,[3]Productos!$A$3:$GG$201,[3]Productos!DN$1+1,0),"")</f>
        <v/>
      </c>
      <c r="D18" s="17" t="str">
        <f>IFERROR(VLOOKUP($A18,[3]Productos!$A$3:$GG$201,[3]Productos!DO$1+1,0),"")</f>
        <v/>
      </c>
      <c r="E18" s="17" t="str">
        <f>IFERROR(VLOOKUP($A18,[3]Productos!$A$3:$GG$201,[3]Productos!DP$1+1,0),"")</f>
        <v/>
      </c>
      <c r="F18" s="17" t="str">
        <f>IFERROR(VLOOKUP($A18,[3]Productos!$A$3:$GG$201,[3]Productos!DQ$1+1,0),"")</f>
        <v/>
      </c>
      <c r="G18" s="17" t="str">
        <f>IFERROR(VLOOKUP($A18,[3]Productos!$A$3:$GG$201,[3]Productos!DR$1+1,0),"")</f>
        <v/>
      </c>
      <c r="H18" s="17" t="str">
        <f>IFERROR(VLOOKUP($A18,[3]Productos!$A$3:$GG$201,[3]Productos!DS$1+1,0),"")</f>
        <v/>
      </c>
      <c r="I18" s="17" t="str">
        <f>IFERROR(VLOOKUP($A18,[3]Productos!$A$3:$GG$201,[3]Productos!DT$1+1,0),"")</f>
        <v/>
      </c>
      <c r="J18" s="17" t="str">
        <f>IFERROR(VLOOKUP($A18,[3]Productos!$A$3:$GG$201,[3]Productos!DU$1+1,0),"")</f>
        <v/>
      </c>
      <c r="K18" s="17" t="str">
        <f>IFERROR(VLOOKUP($A18,[3]Productos!$A$3:$GG$201,[3]Productos!DV$1+1,0),"")</f>
        <v/>
      </c>
      <c r="L18" s="17" t="str">
        <f>IFERROR(VLOOKUP($A18,[3]Productos!$A$3:$GG$201,[3]Productos!DW$1+1,0),"")</f>
        <v/>
      </c>
      <c r="M18" s="17" t="str">
        <f>IFERROR(VLOOKUP($A18,[3]Productos!$A$3:$GG$201,[3]Productos!DX$1+1,0),"")</f>
        <v/>
      </c>
      <c r="N18" s="17" t="str">
        <f>IFERROR(VLOOKUP($A18,[3]Productos!$A$3:$GG$201,[3]Productos!DY$1+1,0),"")</f>
        <v/>
      </c>
      <c r="O18" s="17" t="str">
        <f>IFERROR(VLOOKUP($A18,[3]Productos!$A$3:$GG$201,[3]Productos!DZ$1+1,0),"")</f>
        <v/>
      </c>
      <c r="P18" s="17" t="str">
        <f>IFERROR(VLOOKUP($A18,[3]Productos!$A$3:$GG$201,[3]Productos!EA$1+1,0),"")</f>
        <v/>
      </c>
      <c r="Q18" s="17" t="str">
        <f>IFERROR(VLOOKUP($A18,[3]Productos!$A$3:$GG$201,[3]Productos!EB$1+1,0),"")</f>
        <v/>
      </c>
      <c r="R18" s="17" t="str">
        <f>IFERROR(VLOOKUP($A18,[3]Productos!$A$3:$GG$201,[3]Productos!EC$1+1,0),"")</f>
        <v/>
      </c>
      <c r="S18" s="17" t="str">
        <f>IFERROR(VLOOKUP($A18,[3]Productos!$A$3:$GG$201,[3]Productos!ED$1+1,0),"")</f>
        <v/>
      </c>
      <c r="T18" s="17" t="str">
        <f>IFERROR(VLOOKUP($A18,[3]Productos!$A$3:$GG$201,[3]Productos!EE$1+1,0),"")</f>
        <v/>
      </c>
      <c r="U18" s="17" t="str">
        <f>IFERROR(VLOOKUP($A18,[3]Productos!$A$3:$GG$201,[3]Productos!EF$1+1,0),"")</f>
        <v/>
      </c>
      <c r="V18" s="17" t="str">
        <f>IFERROR(VLOOKUP($A18,[3]Productos!$A$3:$GG$201,[3]Productos!EG$1+1,0),"")</f>
        <v/>
      </c>
      <c r="W18" s="17" t="str">
        <f>IFERROR(VLOOKUP($A18,[3]Productos!$A$3:$GG$201,[3]Productos!EH$1+1,0),"")</f>
        <v/>
      </c>
      <c r="X18" s="17" t="str">
        <f>IFERROR(VLOOKUP($A18,[3]Productos!$A$3:$GG$201,[3]Productos!EI$1+1,0),"")</f>
        <v/>
      </c>
      <c r="Y18" s="17" t="str">
        <f>IFERROR(VLOOKUP($A18,[3]Productos!$A$3:$GG$201,[3]Productos!EJ$1+1,0),"")</f>
        <v/>
      </c>
      <c r="Z18" s="17" t="str">
        <f>IFERROR(VLOOKUP($A18,[3]Productos!$A$3:$GG$201,[3]Productos!EK$1+1,0),"")</f>
        <v/>
      </c>
      <c r="AA18" s="17" t="str">
        <f>IFERROR(VLOOKUP($A18,[3]Productos!$A$3:$GG$201,[3]Productos!EL$1+1,0),"")</f>
        <v/>
      </c>
      <c r="AB18" s="17" t="str">
        <f>IFERROR(VLOOKUP($A18,[3]Productos!$A$3:$GG$201,[3]Productos!EM$1+1,0),"")</f>
        <v/>
      </c>
      <c r="AC18" s="17" t="str">
        <f>IFERROR(VLOOKUP($A18,[3]Productos!$A$3:$GG$201,[3]Productos!EN$1+1,0),"")</f>
        <v/>
      </c>
      <c r="AD18" s="17" t="str">
        <f>IFERROR(VLOOKUP($A18,[3]Productos!$A$3:$GG$201,[3]Productos!EO$1+1,0),"")</f>
        <v/>
      </c>
      <c r="AE18" s="17" t="str">
        <f>IFERROR(VLOOKUP($A18,[3]Productos!$A$3:$GG$201,[3]Productos!EP$1+1,0),"")</f>
        <v/>
      </c>
      <c r="AF18" s="17" t="str">
        <f>IFERROR(VLOOKUP($A18,[3]Productos!$A$3:$GG$201,[3]Productos!EQ$1+1,0),"")</f>
        <v/>
      </c>
      <c r="AG18" s="17" t="str">
        <f>IFERROR(VLOOKUP($A18,[3]Productos!$A$3:$GG$201,[3]Productos!ER$1+1,0),"")</f>
        <v/>
      </c>
    </row>
    <row r="19" spans="2:33" x14ac:dyDescent="0.25">
      <c r="B19" s="17" t="str">
        <f>IFERROR(VLOOKUP($A19,[3]Productos!$A$3:$GG$201,[3]Productos!DM$1+1,0),"")</f>
        <v/>
      </c>
      <c r="C19" s="17" t="str">
        <f>IFERROR(VLOOKUP($A19,[3]Productos!$A$3:$GG$201,[3]Productos!DN$1+1,0),"")</f>
        <v/>
      </c>
      <c r="D19" s="17" t="str">
        <f>IFERROR(VLOOKUP($A19,[3]Productos!$A$3:$GG$201,[3]Productos!DO$1+1,0),"")</f>
        <v/>
      </c>
      <c r="E19" s="17" t="str">
        <f>IFERROR(VLOOKUP($A19,[3]Productos!$A$3:$GG$201,[3]Productos!DP$1+1,0),"")</f>
        <v/>
      </c>
      <c r="F19" s="17" t="str">
        <f>IFERROR(VLOOKUP($A19,[3]Productos!$A$3:$GG$201,[3]Productos!DQ$1+1,0),"")</f>
        <v/>
      </c>
      <c r="G19" s="17" t="str">
        <f>IFERROR(VLOOKUP($A19,[3]Productos!$A$3:$GG$201,[3]Productos!DR$1+1,0),"")</f>
        <v/>
      </c>
      <c r="H19" s="17" t="str">
        <f>IFERROR(VLOOKUP($A19,[3]Productos!$A$3:$GG$201,[3]Productos!DS$1+1,0),"")</f>
        <v/>
      </c>
      <c r="I19" s="17" t="str">
        <f>IFERROR(VLOOKUP($A19,[3]Productos!$A$3:$GG$201,[3]Productos!DT$1+1,0),"")</f>
        <v/>
      </c>
      <c r="J19" s="17" t="str">
        <f>IFERROR(VLOOKUP($A19,[3]Productos!$A$3:$GG$201,[3]Productos!DU$1+1,0),"")</f>
        <v/>
      </c>
      <c r="K19" s="17" t="str">
        <f>IFERROR(VLOOKUP($A19,[3]Productos!$A$3:$GG$201,[3]Productos!DV$1+1,0),"")</f>
        <v/>
      </c>
      <c r="L19" s="17" t="str">
        <f>IFERROR(VLOOKUP($A19,[3]Productos!$A$3:$GG$201,[3]Productos!DW$1+1,0),"")</f>
        <v/>
      </c>
      <c r="M19" s="17" t="str">
        <f>IFERROR(VLOOKUP($A19,[3]Productos!$A$3:$GG$201,[3]Productos!DX$1+1,0),"")</f>
        <v/>
      </c>
      <c r="N19" s="17" t="str">
        <f>IFERROR(VLOOKUP($A19,[3]Productos!$A$3:$GG$201,[3]Productos!DY$1+1,0),"")</f>
        <v/>
      </c>
      <c r="O19" s="17" t="str">
        <f>IFERROR(VLOOKUP($A19,[3]Productos!$A$3:$GG$201,[3]Productos!DZ$1+1,0),"")</f>
        <v/>
      </c>
      <c r="P19" s="17" t="str">
        <f>IFERROR(VLOOKUP($A19,[3]Productos!$A$3:$GG$201,[3]Productos!EA$1+1,0),"")</f>
        <v/>
      </c>
      <c r="Q19" s="17" t="str">
        <f>IFERROR(VLOOKUP($A19,[3]Productos!$A$3:$GG$201,[3]Productos!EB$1+1,0),"")</f>
        <v/>
      </c>
      <c r="R19" s="17" t="str">
        <f>IFERROR(VLOOKUP($A19,[3]Productos!$A$3:$GG$201,[3]Productos!EC$1+1,0),"")</f>
        <v/>
      </c>
      <c r="S19" s="17" t="str">
        <f>IFERROR(VLOOKUP($A19,[3]Productos!$A$3:$GG$201,[3]Productos!ED$1+1,0),"")</f>
        <v/>
      </c>
      <c r="T19" s="17" t="str">
        <f>IFERROR(VLOOKUP($A19,[3]Productos!$A$3:$GG$201,[3]Productos!EE$1+1,0),"")</f>
        <v/>
      </c>
      <c r="U19" s="17" t="str">
        <f>IFERROR(VLOOKUP($A19,[3]Productos!$A$3:$GG$201,[3]Productos!EF$1+1,0),"")</f>
        <v/>
      </c>
      <c r="V19" s="17" t="str">
        <f>IFERROR(VLOOKUP($A19,[3]Productos!$A$3:$GG$201,[3]Productos!EG$1+1,0),"")</f>
        <v/>
      </c>
      <c r="W19" s="17" t="str">
        <f>IFERROR(VLOOKUP($A19,[3]Productos!$A$3:$GG$201,[3]Productos!EH$1+1,0),"")</f>
        <v/>
      </c>
      <c r="X19" s="17" t="str">
        <f>IFERROR(VLOOKUP($A19,[3]Productos!$A$3:$GG$201,[3]Productos!EI$1+1,0),"")</f>
        <v/>
      </c>
      <c r="Y19" s="17" t="str">
        <f>IFERROR(VLOOKUP($A19,[3]Productos!$A$3:$GG$201,[3]Productos!EJ$1+1,0),"")</f>
        <v/>
      </c>
      <c r="Z19" s="17" t="str">
        <f>IFERROR(VLOOKUP($A19,[3]Productos!$A$3:$GG$201,[3]Productos!EK$1+1,0),"")</f>
        <v/>
      </c>
      <c r="AA19" s="17" t="str">
        <f>IFERROR(VLOOKUP($A19,[3]Productos!$A$3:$GG$201,[3]Productos!EL$1+1,0),"")</f>
        <v/>
      </c>
      <c r="AB19" s="17" t="str">
        <f>IFERROR(VLOOKUP($A19,[3]Productos!$A$3:$GG$201,[3]Productos!EM$1+1,0),"")</f>
        <v/>
      </c>
      <c r="AC19" s="17" t="str">
        <f>IFERROR(VLOOKUP($A19,[3]Productos!$A$3:$GG$201,[3]Productos!EN$1+1,0),"")</f>
        <v/>
      </c>
      <c r="AD19" s="17" t="str">
        <f>IFERROR(VLOOKUP($A19,[3]Productos!$A$3:$GG$201,[3]Productos!EO$1+1,0),"")</f>
        <v/>
      </c>
      <c r="AE19" s="17" t="str">
        <f>IFERROR(VLOOKUP($A19,[3]Productos!$A$3:$GG$201,[3]Productos!EP$1+1,0),"")</f>
        <v/>
      </c>
      <c r="AF19" s="17" t="str">
        <f>IFERROR(VLOOKUP($A19,[3]Productos!$A$3:$GG$201,[3]Productos!EQ$1+1,0),"")</f>
        <v/>
      </c>
      <c r="AG19" s="17" t="str">
        <f>IFERROR(VLOOKUP($A19,[3]Productos!$A$3:$GG$201,[3]Productos!ER$1+1,0),"")</f>
        <v/>
      </c>
    </row>
    <row r="20" spans="2:33" x14ac:dyDescent="0.25">
      <c r="B20" s="17" t="str">
        <f>IFERROR(VLOOKUP($A20,[3]Productos!$A$3:$GG$201,[3]Productos!DM$1+1,0),"")</f>
        <v/>
      </c>
      <c r="C20" s="17" t="str">
        <f>IFERROR(VLOOKUP($A20,[3]Productos!$A$3:$GG$201,[3]Productos!DN$1+1,0),"")</f>
        <v/>
      </c>
      <c r="D20" s="17" t="str">
        <f>IFERROR(VLOOKUP($A20,[3]Productos!$A$3:$GG$201,[3]Productos!DO$1+1,0),"")</f>
        <v/>
      </c>
      <c r="E20" s="17" t="str">
        <f>IFERROR(VLOOKUP($A20,[3]Productos!$A$3:$GG$201,[3]Productos!DP$1+1,0),"")</f>
        <v/>
      </c>
      <c r="F20" s="17" t="str">
        <f>IFERROR(VLOOKUP($A20,[3]Productos!$A$3:$GG$201,[3]Productos!DQ$1+1,0),"")</f>
        <v/>
      </c>
      <c r="G20" s="17" t="str">
        <f>IFERROR(VLOOKUP($A20,[3]Productos!$A$3:$GG$201,[3]Productos!DR$1+1,0),"")</f>
        <v/>
      </c>
      <c r="H20" s="17" t="str">
        <f>IFERROR(VLOOKUP($A20,[3]Productos!$A$3:$GG$201,[3]Productos!DS$1+1,0),"")</f>
        <v/>
      </c>
      <c r="I20" s="17" t="str">
        <f>IFERROR(VLOOKUP($A20,[3]Productos!$A$3:$GG$201,[3]Productos!DT$1+1,0),"")</f>
        <v/>
      </c>
      <c r="J20" s="17" t="str">
        <f>IFERROR(VLOOKUP($A20,[3]Productos!$A$3:$GG$201,[3]Productos!DU$1+1,0),"")</f>
        <v/>
      </c>
      <c r="K20" s="17" t="str">
        <f>IFERROR(VLOOKUP($A20,[3]Productos!$A$3:$GG$201,[3]Productos!DV$1+1,0),"")</f>
        <v/>
      </c>
      <c r="L20" s="17" t="str">
        <f>IFERROR(VLOOKUP($A20,[3]Productos!$A$3:$GG$201,[3]Productos!DW$1+1,0),"")</f>
        <v/>
      </c>
      <c r="M20" s="17" t="str">
        <f>IFERROR(VLOOKUP($A20,[3]Productos!$A$3:$GG$201,[3]Productos!DX$1+1,0),"")</f>
        <v/>
      </c>
      <c r="N20" s="17" t="str">
        <f>IFERROR(VLOOKUP($A20,[3]Productos!$A$3:$GG$201,[3]Productos!DY$1+1,0),"")</f>
        <v/>
      </c>
      <c r="O20" s="17" t="str">
        <f>IFERROR(VLOOKUP($A20,[3]Productos!$A$3:$GG$201,[3]Productos!DZ$1+1,0),"")</f>
        <v/>
      </c>
      <c r="P20" s="17" t="str">
        <f>IFERROR(VLOOKUP($A20,[3]Productos!$A$3:$GG$201,[3]Productos!EA$1+1,0),"")</f>
        <v/>
      </c>
      <c r="Q20" s="17" t="str">
        <f>IFERROR(VLOOKUP($A20,[3]Productos!$A$3:$GG$201,[3]Productos!EB$1+1,0),"")</f>
        <v/>
      </c>
      <c r="R20" s="17" t="str">
        <f>IFERROR(VLOOKUP($A20,[3]Productos!$A$3:$GG$201,[3]Productos!EC$1+1,0),"")</f>
        <v/>
      </c>
      <c r="S20" s="17" t="str">
        <f>IFERROR(VLOOKUP($A20,[3]Productos!$A$3:$GG$201,[3]Productos!ED$1+1,0),"")</f>
        <v/>
      </c>
      <c r="T20" s="17" t="str">
        <f>IFERROR(VLOOKUP($A20,[3]Productos!$A$3:$GG$201,[3]Productos!EE$1+1,0),"")</f>
        <v/>
      </c>
      <c r="U20" s="17" t="str">
        <f>IFERROR(VLOOKUP($A20,[3]Productos!$A$3:$GG$201,[3]Productos!EF$1+1,0),"")</f>
        <v/>
      </c>
      <c r="V20" s="17" t="str">
        <f>IFERROR(VLOOKUP($A20,[3]Productos!$A$3:$GG$201,[3]Productos!EG$1+1,0),"")</f>
        <v/>
      </c>
      <c r="W20" s="17" t="str">
        <f>IFERROR(VLOOKUP($A20,[3]Productos!$A$3:$GG$201,[3]Productos!EH$1+1,0),"")</f>
        <v/>
      </c>
      <c r="X20" s="17" t="str">
        <f>IFERROR(VLOOKUP($A20,[3]Productos!$A$3:$GG$201,[3]Productos!EI$1+1,0),"")</f>
        <v/>
      </c>
      <c r="Y20" s="17" t="str">
        <f>IFERROR(VLOOKUP($A20,[3]Productos!$A$3:$GG$201,[3]Productos!EJ$1+1,0),"")</f>
        <v/>
      </c>
      <c r="Z20" s="17" t="str">
        <f>IFERROR(VLOOKUP($A20,[3]Productos!$A$3:$GG$201,[3]Productos!EK$1+1,0),"")</f>
        <v/>
      </c>
      <c r="AA20" s="17" t="str">
        <f>IFERROR(VLOOKUP($A20,[3]Productos!$A$3:$GG$201,[3]Productos!EL$1+1,0),"")</f>
        <v/>
      </c>
      <c r="AB20" s="17" t="str">
        <f>IFERROR(VLOOKUP($A20,[3]Productos!$A$3:$GG$201,[3]Productos!EM$1+1,0),"")</f>
        <v/>
      </c>
      <c r="AC20" s="17" t="str">
        <f>IFERROR(VLOOKUP($A20,[3]Productos!$A$3:$GG$201,[3]Productos!EN$1+1,0),"")</f>
        <v/>
      </c>
      <c r="AD20" s="17" t="str">
        <f>IFERROR(VLOOKUP($A20,[3]Productos!$A$3:$GG$201,[3]Productos!EO$1+1,0),"")</f>
        <v/>
      </c>
      <c r="AE20" s="17" t="str">
        <f>IFERROR(VLOOKUP($A20,[3]Productos!$A$3:$GG$201,[3]Productos!EP$1+1,0),"")</f>
        <v/>
      </c>
      <c r="AF20" s="17" t="str">
        <f>IFERROR(VLOOKUP($A20,[3]Productos!$A$3:$GG$201,[3]Productos!EQ$1+1,0),"")</f>
        <v/>
      </c>
      <c r="AG20" s="17" t="str">
        <f>IFERROR(VLOOKUP($A20,[3]Productos!$A$3:$GG$201,[3]Productos!ER$1+1,0),"")</f>
        <v/>
      </c>
    </row>
    <row r="21" spans="2:33" x14ac:dyDescent="0.25">
      <c r="B21" s="17" t="str">
        <f>IFERROR(VLOOKUP($A21,[3]Productos!$A$3:$GG$201,[3]Productos!DM$1+1,0),"")</f>
        <v/>
      </c>
      <c r="C21" s="17" t="str">
        <f>IFERROR(VLOOKUP($A21,[3]Productos!$A$3:$GG$201,[3]Productos!DN$1+1,0),"")</f>
        <v/>
      </c>
      <c r="D21" s="17" t="str">
        <f>IFERROR(VLOOKUP($A21,[3]Productos!$A$3:$GG$201,[3]Productos!DO$1+1,0),"")</f>
        <v/>
      </c>
      <c r="E21" s="17" t="str">
        <f>IFERROR(VLOOKUP($A21,[3]Productos!$A$3:$GG$201,[3]Productos!DP$1+1,0),"")</f>
        <v/>
      </c>
      <c r="F21" s="17" t="str">
        <f>IFERROR(VLOOKUP($A21,[3]Productos!$A$3:$GG$201,[3]Productos!DQ$1+1,0),"")</f>
        <v/>
      </c>
      <c r="G21" s="17" t="str">
        <f>IFERROR(VLOOKUP($A21,[3]Productos!$A$3:$GG$201,[3]Productos!DR$1+1,0),"")</f>
        <v/>
      </c>
      <c r="H21" s="17" t="str">
        <f>IFERROR(VLOOKUP($A21,[3]Productos!$A$3:$GG$201,[3]Productos!DS$1+1,0),"")</f>
        <v/>
      </c>
      <c r="I21" s="17" t="str">
        <f>IFERROR(VLOOKUP($A21,[3]Productos!$A$3:$GG$201,[3]Productos!DT$1+1,0),"")</f>
        <v/>
      </c>
      <c r="J21" s="17" t="str">
        <f>IFERROR(VLOOKUP($A21,[3]Productos!$A$3:$GG$201,[3]Productos!DU$1+1,0),"")</f>
        <v/>
      </c>
      <c r="K21" s="17" t="str">
        <f>IFERROR(VLOOKUP($A21,[3]Productos!$A$3:$GG$201,[3]Productos!DV$1+1,0),"")</f>
        <v/>
      </c>
      <c r="L21" s="17" t="str">
        <f>IFERROR(VLOOKUP($A21,[3]Productos!$A$3:$GG$201,[3]Productos!DW$1+1,0),"")</f>
        <v/>
      </c>
      <c r="M21" s="17" t="str">
        <f>IFERROR(VLOOKUP($A21,[3]Productos!$A$3:$GG$201,[3]Productos!DX$1+1,0),"")</f>
        <v/>
      </c>
      <c r="N21" s="17" t="str">
        <f>IFERROR(VLOOKUP($A21,[3]Productos!$A$3:$GG$201,[3]Productos!DY$1+1,0),"")</f>
        <v/>
      </c>
      <c r="O21" s="17" t="str">
        <f>IFERROR(VLOOKUP($A21,[3]Productos!$A$3:$GG$201,[3]Productos!DZ$1+1,0),"")</f>
        <v/>
      </c>
      <c r="P21" s="17" t="str">
        <f>IFERROR(VLOOKUP($A21,[3]Productos!$A$3:$GG$201,[3]Productos!EA$1+1,0),"")</f>
        <v/>
      </c>
      <c r="Q21" s="17" t="str">
        <f>IFERROR(VLOOKUP($A21,[3]Productos!$A$3:$GG$201,[3]Productos!EB$1+1,0),"")</f>
        <v/>
      </c>
      <c r="R21" s="17" t="str">
        <f>IFERROR(VLOOKUP($A21,[3]Productos!$A$3:$GG$201,[3]Productos!EC$1+1,0),"")</f>
        <v/>
      </c>
      <c r="S21" s="17" t="str">
        <f>IFERROR(VLOOKUP($A21,[3]Productos!$A$3:$GG$201,[3]Productos!ED$1+1,0),"")</f>
        <v/>
      </c>
      <c r="T21" s="17" t="str">
        <f>IFERROR(VLOOKUP($A21,[3]Productos!$A$3:$GG$201,[3]Productos!EE$1+1,0),"")</f>
        <v/>
      </c>
      <c r="U21" s="17" t="str">
        <f>IFERROR(VLOOKUP($A21,[3]Productos!$A$3:$GG$201,[3]Productos!EF$1+1,0),"")</f>
        <v/>
      </c>
      <c r="V21" s="17" t="str">
        <f>IFERROR(VLOOKUP($A21,[3]Productos!$A$3:$GG$201,[3]Productos!EG$1+1,0),"")</f>
        <v/>
      </c>
      <c r="W21" s="17" t="str">
        <f>IFERROR(VLOOKUP($A21,[3]Productos!$A$3:$GG$201,[3]Productos!EH$1+1,0),"")</f>
        <v/>
      </c>
      <c r="X21" s="17" t="str">
        <f>IFERROR(VLOOKUP($A21,[3]Productos!$A$3:$GG$201,[3]Productos!EI$1+1,0),"")</f>
        <v/>
      </c>
      <c r="Y21" s="17" t="str">
        <f>IFERROR(VLOOKUP($A21,[3]Productos!$A$3:$GG$201,[3]Productos!EJ$1+1,0),"")</f>
        <v/>
      </c>
      <c r="Z21" s="17" t="str">
        <f>IFERROR(VLOOKUP($A21,[3]Productos!$A$3:$GG$201,[3]Productos!EK$1+1,0),"")</f>
        <v/>
      </c>
      <c r="AA21" s="17" t="str">
        <f>IFERROR(VLOOKUP($A21,[3]Productos!$A$3:$GG$201,[3]Productos!EL$1+1,0),"")</f>
        <v/>
      </c>
      <c r="AB21" s="17" t="str">
        <f>IFERROR(VLOOKUP($A21,[3]Productos!$A$3:$GG$201,[3]Productos!EM$1+1,0),"")</f>
        <v/>
      </c>
      <c r="AC21" s="17" t="str">
        <f>IFERROR(VLOOKUP($A21,[3]Productos!$A$3:$GG$201,[3]Productos!EN$1+1,0),"")</f>
        <v/>
      </c>
      <c r="AD21" s="17" t="str">
        <f>IFERROR(VLOOKUP($A21,[3]Productos!$A$3:$GG$201,[3]Productos!EO$1+1,0),"")</f>
        <v/>
      </c>
      <c r="AE21" s="17" t="str">
        <f>IFERROR(VLOOKUP($A21,[3]Productos!$A$3:$GG$201,[3]Productos!EP$1+1,0),"")</f>
        <v/>
      </c>
      <c r="AF21" s="17" t="str">
        <f>IFERROR(VLOOKUP($A21,[3]Productos!$A$3:$GG$201,[3]Productos!EQ$1+1,0),"")</f>
        <v/>
      </c>
      <c r="AG21" s="17" t="str">
        <f>IFERROR(VLOOKUP($A21,[3]Productos!$A$3:$GG$201,[3]Productos!ER$1+1,0),"")</f>
        <v/>
      </c>
    </row>
    <row r="22" spans="2:33" x14ac:dyDescent="0.25">
      <c r="B22" s="17" t="str">
        <f>IFERROR(VLOOKUP($A22,[3]Productos!$A$3:$GG$201,[3]Productos!DM$1+1,0),"")</f>
        <v/>
      </c>
      <c r="C22" s="17" t="str">
        <f>IFERROR(VLOOKUP($A22,[3]Productos!$A$3:$GG$201,[3]Productos!DN$1+1,0),"")</f>
        <v/>
      </c>
      <c r="D22" s="17" t="str">
        <f>IFERROR(VLOOKUP($A22,[3]Productos!$A$3:$GG$201,[3]Productos!DO$1+1,0),"")</f>
        <v/>
      </c>
      <c r="E22" s="17" t="str">
        <f>IFERROR(VLOOKUP($A22,[3]Productos!$A$3:$GG$201,[3]Productos!DP$1+1,0),"")</f>
        <v/>
      </c>
      <c r="F22" s="17" t="str">
        <f>IFERROR(VLOOKUP($A22,[3]Productos!$A$3:$GG$201,[3]Productos!DQ$1+1,0),"")</f>
        <v/>
      </c>
      <c r="G22" s="17" t="str">
        <f>IFERROR(VLOOKUP($A22,[3]Productos!$A$3:$GG$201,[3]Productos!DR$1+1,0),"")</f>
        <v/>
      </c>
      <c r="H22" s="17" t="str">
        <f>IFERROR(VLOOKUP($A22,[3]Productos!$A$3:$GG$201,[3]Productos!DS$1+1,0),"")</f>
        <v/>
      </c>
      <c r="I22" s="17" t="str">
        <f>IFERROR(VLOOKUP($A22,[3]Productos!$A$3:$GG$201,[3]Productos!DT$1+1,0),"")</f>
        <v/>
      </c>
      <c r="J22" s="17" t="str">
        <f>IFERROR(VLOOKUP($A22,[3]Productos!$A$3:$GG$201,[3]Productos!DU$1+1,0),"")</f>
        <v/>
      </c>
      <c r="K22" s="17" t="str">
        <f>IFERROR(VLOOKUP($A22,[3]Productos!$A$3:$GG$201,[3]Productos!DV$1+1,0),"")</f>
        <v/>
      </c>
      <c r="L22" s="17" t="str">
        <f>IFERROR(VLOOKUP($A22,[3]Productos!$A$3:$GG$201,[3]Productos!DW$1+1,0),"")</f>
        <v/>
      </c>
      <c r="M22" s="17" t="str">
        <f>IFERROR(VLOOKUP($A22,[3]Productos!$A$3:$GG$201,[3]Productos!DX$1+1,0),"")</f>
        <v/>
      </c>
      <c r="N22" s="17" t="str">
        <f>IFERROR(VLOOKUP($A22,[3]Productos!$A$3:$GG$201,[3]Productos!DY$1+1,0),"")</f>
        <v/>
      </c>
      <c r="O22" s="17" t="str">
        <f>IFERROR(VLOOKUP($A22,[3]Productos!$A$3:$GG$201,[3]Productos!DZ$1+1,0),"")</f>
        <v/>
      </c>
      <c r="P22" s="17" t="str">
        <f>IFERROR(VLOOKUP($A22,[3]Productos!$A$3:$GG$201,[3]Productos!EA$1+1,0),"")</f>
        <v/>
      </c>
      <c r="Q22" s="17" t="str">
        <f>IFERROR(VLOOKUP($A22,[3]Productos!$A$3:$GG$201,[3]Productos!EB$1+1,0),"")</f>
        <v/>
      </c>
      <c r="R22" s="17" t="str">
        <f>IFERROR(VLOOKUP($A22,[3]Productos!$A$3:$GG$201,[3]Productos!EC$1+1,0),"")</f>
        <v/>
      </c>
      <c r="S22" s="17" t="str">
        <f>IFERROR(VLOOKUP($A22,[3]Productos!$A$3:$GG$201,[3]Productos!ED$1+1,0),"")</f>
        <v/>
      </c>
      <c r="T22" s="17" t="str">
        <f>IFERROR(VLOOKUP($A22,[3]Productos!$A$3:$GG$201,[3]Productos!EE$1+1,0),"")</f>
        <v/>
      </c>
      <c r="U22" s="17" t="str">
        <f>IFERROR(VLOOKUP($A22,[3]Productos!$A$3:$GG$201,[3]Productos!EF$1+1,0),"")</f>
        <v/>
      </c>
      <c r="V22" s="17" t="str">
        <f>IFERROR(VLOOKUP($A22,[3]Productos!$A$3:$GG$201,[3]Productos!EG$1+1,0),"")</f>
        <v/>
      </c>
      <c r="W22" s="17" t="str">
        <f>IFERROR(VLOOKUP($A22,[3]Productos!$A$3:$GG$201,[3]Productos!EH$1+1,0),"")</f>
        <v/>
      </c>
      <c r="X22" s="17" t="str">
        <f>IFERROR(VLOOKUP($A22,[3]Productos!$A$3:$GG$201,[3]Productos!EI$1+1,0),"")</f>
        <v/>
      </c>
      <c r="Y22" s="17" t="str">
        <f>IFERROR(VLOOKUP($A22,[3]Productos!$A$3:$GG$201,[3]Productos!EJ$1+1,0),"")</f>
        <v/>
      </c>
      <c r="Z22" s="17" t="str">
        <f>IFERROR(VLOOKUP($A22,[3]Productos!$A$3:$GG$201,[3]Productos!EK$1+1,0),"")</f>
        <v/>
      </c>
      <c r="AA22" s="17" t="str">
        <f>IFERROR(VLOOKUP($A22,[3]Productos!$A$3:$GG$201,[3]Productos!EL$1+1,0),"")</f>
        <v/>
      </c>
      <c r="AB22" s="17" t="str">
        <f>IFERROR(VLOOKUP($A22,[3]Productos!$A$3:$GG$201,[3]Productos!EM$1+1,0),"")</f>
        <v/>
      </c>
      <c r="AC22" s="17" t="str">
        <f>IFERROR(VLOOKUP($A22,[3]Productos!$A$3:$GG$201,[3]Productos!EN$1+1,0),"")</f>
        <v/>
      </c>
      <c r="AD22" s="17" t="str">
        <f>IFERROR(VLOOKUP($A22,[3]Productos!$A$3:$GG$201,[3]Productos!EO$1+1,0),"")</f>
        <v/>
      </c>
      <c r="AE22" s="17" t="str">
        <f>IFERROR(VLOOKUP($A22,[3]Productos!$A$3:$GG$201,[3]Productos!EP$1+1,0),"")</f>
        <v/>
      </c>
      <c r="AF22" s="17" t="str">
        <f>IFERROR(VLOOKUP($A22,[3]Productos!$A$3:$GG$201,[3]Productos!EQ$1+1,0),"")</f>
        <v/>
      </c>
      <c r="AG22" s="17" t="str">
        <f>IFERROR(VLOOKUP($A22,[3]Productos!$A$3:$GG$201,[3]Productos!ER$1+1,0),"")</f>
        <v/>
      </c>
    </row>
    <row r="23" spans="2:33" x14ac:dyDescent="0.25">
      <c r="B23" s="17" t="str">
        <f>IFERROR(VLOOKUP($A23,[3]Productos!$A$3:$GG$201,[3]Productos!DM$1+1,0),"")</f>
        <v/>
      </c>
      <c r="C23" s="17" t="str">
        <f>IFERROR(VLOOKUP($A23,[3]Productos!$A$3:$GG$201,[3]Productos!DN$1+1,0),"")</f>
        <v/>
      </c>
      <c r="D23" s="17" t="str">
        <f>IFERROR(VLOOKUP($A23,[3]Productos!$A$3:$GG$201,[3]Productos!DO$1+1,0),"")</f>
        <v/>
      </c>
      <c r="E23" s="17" t="str">
        <f>IFERROR(VLOOKUP($A23,[3]Productos!$A$3:$GG$201,[3]Productos!DP$1+1,0),"")</f>
        <v/>
      </c>
      <c r="F23" s="17" t="str">
        <f>IFERROR(VLOOKUP($A23,[3]Productos!$A$3:$GG$201,[3]Productos!DQ$1+1,0),"")</f>
        <v/>
      </c>
      <c r="G23" s="17" t="str">
        <f>IFERROR(VLOOKUP($A23,[3]Productos!$A$3:$GG$201,[3]Productos!DR$1+1,0),"")</f>
        <v/>
      </c>
      <c r="H23" s="17" t="str">
        <f>IFERROR(VLOOKUP($A23,[3]Productos!$A$3:$GG$201,[3]Productos!DS$1+1,0),"")</f>
        <v/>
      </c>
      <c r="I23" s="17" t="str">
        <f>IFERROR(VLOOKUP($A23,[3]Productos!$A$3:$GG$201,[3]Productos!DT$1+1,0),"")</f>
        <v/>
      </c>
      <c r="J23" s="17" t="str">
        <f>IFERROR(VLOOKUP($A23,[3]Productos!$A$3:$GG$201,[3]Productos!DU$1+1,0),"")</f>
        <v/>
      </c>
      <c r="K23" s="17" t="str">
        <f>IFERROR(VLOOKUP($A23,[3]Productos!$A$3:$GG$201,[3]Productos!DV$1+1,0),"")</f>
        <v/>
      </c>
      <c r="L23" s="17" t="str">
        <f>IFERROR(VLOOKUP($A23,[3]Productos!$A$3:$GG$201,[3]Productos!DW$1+1,0),"")</f>
        <v/>
      </c>
      <c r="M23" s="17" t="str">
        <f>IFERROR(VLOOKUP($A23,[3]Productos!$A$3:$GG$201,[3]Productos!DX$1+1,0),"")</f>
        <v/>
      </c>
      <c r="N23" s="17" t="str">
        <f>IFERROR(VLOOKUP($A23,[3]Productos!$A$3:$GG$201,[3]Productos!DY$1+1,0),"")</f>
        <v/>
      </c>
      <c r="O23" s="17" t="str">
        <f>IFERROR(VLOOKUP($A23,[3]Productos!$A$3:$GG$201,[3]Productos!DZ$1+1,0),"")</f>
        <v/>
      </c>
      <c r="P23" s="17" t="str">
        <f>IFERROR(VLOOKUP($A23,[3]Productos!$A$3:$GG$201,[3]Productos!EA$1+1,0),"")</f>
        <v/>
      </c>
      <c r="Q23" s="17" t="str">
        <f>IFERROR(VLOOKUP($A23,[3]Productos!$A$3:$GG$201,[3]Productos!EB$1+1,0),"")</f>
        <v/>
      </c>
      <c r="R23" s="17" t="str">
        <f>IFERROR(VLOOKUP($A23,[3]Productos!$A$3:$GG$201,[3]Productos!EC$1+1,0),"")</f>
        <v/>
      </c>
      <c r="S23" s="17" t="str">
        <f>IFERROR(VLOOKUP($A23,[3]Productos!$A$3:$GG$201,[3]Productos!ED$1+1,0),"")</f>
        <v/>
      </c>
      <c r="T23" s="17" t="str">
        <f>IFERROR(VLOOKUP($A23,[3]Productos!$A$3:$GG$201,[3]Productos!EE$1+1,0),"")</f>
        <v/>
      </c>
      <c r="U23" s="17" t="str">
        <f>IFERROR(VLOOKUP($A23,[3]Productos!$A$3:$GG$201,[3]Productos!EF$1+1,0),"")</f>
        <v/>
      </c>
      <c r="V23" s="17" t="str">
        <f>IFERROR(VLOOKUP($A23,[3]Productos!$A$3:$GG$201,[3]Productos!EG$1+1,0),"")</f>
        <v/>
      </c>
      <c r="W23" s="17" t="str">
        <f>IFERROR(VLOOKUP($A23,[3]Productos!$A$3:$GG$201,[3]Productos!EH$1+1,0),"")</f>
        <v/>
      </c>
      <c r="X23" s="17" t="str">
        <f>IFERROR(VLOOKUP($A23,[3]Productos!$A$3:$GG$201,[3]Productos!EI$1+1,0),"")</f>
        <v/>
      </c>
      <c r="Y23" s="17" t="str">
        <f>IFERROR(VLOOKUP($A23,[3]Productos!$A$3:$GG$201,[3]Productos!EJ$1+1,0),"")</f>
        <v/>
      </c>
      <c r="Z23" s="17" t="str">
        <f>IFERROR(VLOOKUP($A23,[3]Productos!$A$3:$GG$201,[3]Productos!EK$1+1,0),"")</f>
        <v/>
      </c>
      <c r="AA23" s="17" t="str">
        <f>IFERROR(VLOOKUP($A23,[3]Productos!$A$3:$GG$201,[3]Productos!EL$1+1,0),"")</f>
        <v/>
      </c>
      <c r="AB23" s="17" t="str">
        <f>IFERROR(VLOOKUP($A23,[3]Productos!$A$3:$GG$201,[3]Productos!EM$1+1,0),"")</f>
        <v/>
      </c>
      <c r="AC23" s="17" t="str">
        <f>IFERROR(VLOOKUP($A23,[3]Productos!$A$3:$GG$201,[3]Productos!EN$1+1,0),"")</f>
        <v/>
      </c>
      <c r="AD23" s="17" t="str">
        <f>IFERROR(VLOOKUP($A23,[3]Productos!$A$3:$GG$201,[3]Productos!EO$1+1,0),"")</f>
        <v/>
      </c>
      <c r="AE23" s="17" t="str">
        <f>IFERROR(VLOOKUP($A23,[3]Productos!$A$3:$GG$201,[3]Productos!EP$1+1,0),"")</f>
        <v/>
      </c>
      <c r="AF23" s="17" t="str">
        <f>IFERROR(VLOOKUP($A23,[3]Productos!$A$3:$GG$201,[3]Productos!EQ$1+1,0),"")</f>
        <v/>
      </c>
      <c r="AG23" s="17" t="str">
        <f>IFERROR(VLOOKUP($A23,[3]Productos!$A$3:$GG$201,[3]Productos!ER$1+1,0),"")</f>
        <v/>
      </c>
    </row>
  </sheetData>
  <mergeCells count="1">
    <mergeCell ref="L2:AG2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/>
  <dimension ref="A1:AG23"/>
  <sheetViews>
    <sheetView workbookViewId="0">
      <selection activeCell="A4" sqref="A4:A6"/>
    </sheetView>
  </sheetViews>
  <sheetFormatPr baseColWidth="10" defaultRowHeight="15" x14ac:dyDescent="0.25"/>
  <cols>
    <col min="1" max="1" width="15.140625" style="17" customWidth="1"/>
    <col min="2" max="2" width="16" style="17" customWidth="1"/>
    <col min="3" max="3" width="8" style="17" bestFit="1" customWidth="1"/>
    <col min="4" max="4" width="19.85546875" style="17" bestFit="1" customWidth="1"/>
    <col min="5" max="5" width="7.140625" style="17" bestFit="1" customWidth="1"/>
    <col min="6" max="6" width="12.28515625" style="17" customWidth="1"/>
    <col min="7" max="7" width="12.5703125" style="17" customWidth="1"/>
    <col min="8" max="16384" width="11.42578125" style="17"/>
  </cols>
  <sheetData>
    <row r="1" spans="1:33" ht="15.75" thickBot="1" x14ac:dyDescent="0.3">
      <c r="A1" s="17">
        <v>1</v>
      </c>
      <c r="B1" s="17">
        <v>2</v>
      </c>
      <c r="C1" s="17">
        <v>3</v>
      </c>
      <c r="D1" s="17">
        <v>4</v>
      </c>
      <c r="E1" s="17">
        <v>5</v>
      </c>
      <c r="F1" s="17">
        <v>6</v>
      </c>
      <c r="G1" s="17">
        <v>7</v>
      </c>
      <c r="H1" s="17">
        <v>8</v>
      </c>
      <c r="I1" s="17">
        <v>9</v>
      </c>
      <c r="L1" s="17">
        <v>10</v>
      </c>
      <c r="M1" s="17">
        <v>11</v>
      </c>
      <c r="N1" s="17">
        <v>12</v>
      </c>
      <c r="O1" s="17">
        <v>13</v>
      </c>
      <c r="P1" s="17">
        <v>14</v>
      </c>
      <c r="Q1" s="17">
        <v>15</v>
      </c>
      <c r="R1" s="17">
        <v>16</v>
      </c>
      <c r="S1" s="17">
        <v>17</v>
      </c>
      <c r="T1" s="17">
        <v>18</v>
      </c>
      <c r="U1" s="17">
        <v>19</v>
      </c>
      <c r="V1" s="17">
        <v>20</v>
      </c>
      <c r="W1" s="17">
        <v>21</v>
      </c>
      <c r="X1" s="17">
        <v>22</v>
      </c>
      <c r="Y1" s="17">
        <v>23</v>
      </c>
      <c r="Z1" s="17">
        <v>24</v>
      </c>
      <c r="AA1" s="17">
        <v>25</v>
      </c>
      <c r="AB1" s="17">
        <v>26</v>
      </c>
      <c r="AC1" s="17">
        <v>27</v>
      </c>
      <c r="AD1" s="17">
        <v>28</v>
      </c>
      <c r="AE1" s="17">
        <v>29</v>
      </c>
      <c r="AF1" s="17">
        <v>30</v>
      </c>
      <c r="AG1" s="17">
        <v>31</v>
      </c>
    </row>
    <row r="2" spans="1:33" ht="15.75" thickBot="1" x14ac:dyDescent="0.3">
      <c r="L2" s="241" t="s">
        <v>59</v>
      </c>
      <c r="M2" s="242"/>
      <c r="N2" s="242"/>
      <c r="O2" s="242"/>
      <c r="P2" s="242"/>
      <c r="Q2" s="242"/>
      <c r="R2" s="242"/>
      <c r="S2" s="242"/>
      <c r="T2" s="242"/>
      <c r="U2" s="242"/>
      <c r="V2" s="242"/>
      <c r="W2" s="242"/>
      <c r="X2" s="242"/>
      <c r="Y2" s="242"/>
      <c r="Z2" s="242"/>
      <c r="AA2" s="242"/>
      <c r="AB2" s="242"/>
      <c r="AC2" s="242"/>
      <c r="AD2" s="242"/>
      <c r="AE2" s="242"/>
      <c r="AF2" s="242"/>
      <c r="AG2" s="243"/>
    </row>
    <row r="3" spans="1:33" ht="26.25" thickBot="1" x14ac:dyDescent="0.3">
      <c r="A3" s="18" t="s">
        <v>34</v>
      </c>
      <c r="B3" s="18" t="str">
        <f>[4]Productos!DM3</f>
        <v>NOMBRE DEL PRODUCTO</v>
      </c>
      <c r="C3" s="18" t="str">
        <f>[4]Productos!DN3</f>
        <v>ENTIDAD</v>
      </c>
      <c r="D3" s="18" t="str">
        <f>[4]Productos!DO3</f>
        <v>TIPO DE AMORTIZACION</v>
      </c>
      <c r="E3" s="18" t="str">
        <f>[4]Productos!DP3</f>
        <v>TASA DE INTERES</v>
      </c>
      <c r="F3" s="18" t="str">
        <f>[4]Productos!DQ3</f>
        <v>COSTOS INICIALES</v>
      </c>
      <c r="G3" s="18" t="str">
        <f>[4]Productos!DR3</f>
        <v>COSTOS FINALES</v>
      </c>
      <c r="H3" s="18" t="str">
        <f>[4]Productos!DS3</f>
        <v>PERIOD ADMINIS</v>
      </c>
      <c r="I3" s="18" t="str">
        <f>[4]Productos!DT3</f>
        <v>COSTO ADMINISTRA</v>
      </c>
      <c r="J3" s="18" t="str">
        <f>[4]Productos!DU3</f>
        <v>PERIODO DE GRACIA</v>
      </c>
      <c r="K3" s="18" t="str">
        <f>[4]Productos!DV3</f>
        <v>COBRA INTERES</v>
      </c>
      <c r="L3" s="18" t="str">
        <f>[4]Productos!DW3</f>
        <v>CANAL 1</v>
      </c>
      <c r="M3" s="18" t="str">
        <f>[4]Productos!DX3</f>
        <v>CANAL 2</v>
      </c>
      <c r="N3" s="18" t="str">
        <f>[4]Productos!DY3</f>
        <v>CANAL 3</v>
      </c>
      <c r="O3" s="18" t="str">
        <f>[4]Productos!DZ3</f>
        <v>CANAL 4</v>
      </c>
      <c r="P3" s="18" t="str">
        <f>[4]Productos!EA3</f>
        <v>CANAL 5</v>
      </c>
      <c r="Q3" s="18" t="str">
        <f>[4]Productos!EB3</f>
        <v>CANAL 6</v>
      </c>
      <c r="R3" s="18" t="str">
        <f>[4]Productos!EC3</f>
        <v>CANAL 7</v>
      </c>
      <c r="S3" s="18" t="str">
        <f>[4]Productos!ED3</f>
        <v>CANAL 8</v>
      </c>
      <c r="T3" s="18" t="str">
        <f>[4]Productos!EE3</f>
        <v>CANAL 9</v>
      </c>
      <c r="U3" s="18" t="str">
        <f>[4]Productos!EF3</f>
        <v>CANAL 10</v>
      </c>
      <c r="V3" s="18" t="str">
        <f>[4]Productos!EG3</f>
        <v>CANAL 11</v>
      </c>
      <c r="W3" s="18" t="str">
        <f>[4]Productos!EH3</f>
        <v>CANAL 12</v>
      </c>
      <c r="X3" s="18" t="str">
        <f>[4]Productos!EI3</f>
        <v>CANAL 13</v>
      </c>
      <c r="Y3" s="18" t="str">
        <f>[4]Productos!EJ3</f>
        <v>CANAL 14</v>
      </c>
      <c r="Z3" s="18" t="str">
        <f>[4]Productos!EK3</f>
        <v>CANAL 15</v>
      </c>
      <c r="AA3" s="18" t="str">
        <f>[4]Productos!EL3</f>
        <v>CANAL 16</v>
      </c>
      <c r="AB3" s="18" t="str">
        <f>[4]Productos!EM3</f>
        <v>CANAL 17</v>
      </c>
      <c r="AC3" s="18" t="str">
        <f>[4]Productos!EN3</f>
        <v>CANAL 18</v>
      </c>
      <c r="AD3" s="18" t="str">
        <f>[4]Productos!EO3</f>
        <v>CANAL 19</v>
      </c>
      <c r="AE3" s="18" t="str">
        <f>[4]Productos!EP3</f>
        <v>CANAL 20</v>
      </c>
      <c r="AF3" s="18" t="str">
        <f>[4]Productos!EQ3</f>
        <v>CANAL 21</v>
      </c>
      <c r="AG3" s="18" t="str">
        <f>[4]Productos!ER3</f>
        <v>CANAL 22</v>
      </c>
    </row>
    <row r="4" spans="1:33" x14ac:dyDescent="0.25">
      <c r="A4" s="17" t="s">
        <v>83</v>
      </c>
      <c r="B4" s="17" t="str">
        <f>IFERROR(VLOOKUP($A4,[3]Productos!$A$3:$GG$201,[3]Productos!DM$1+1,0),"")</f>
        <v>E001013021001</v>
      </c>
      <c r="C4" s="17" t="str">
        <f>IFERROR(VLOOKUP($A4,[3]Productos!$A$3:$GG$201,[3]Productos!DN$1+1,0),"")</f>
        <v>E001003</v>
      </c>
      <c r="D4" s="17" t="str">
        <f>IFERROR(VLOOKUP($A4,[3]Productos!$A$3:$GG$201,[3]Productos!DO$1+1,0),"")</f>
        <v>Cuota fija Pesos</v>
      </c>
      <c r="E4" s="17">
        <f>IFERROR(VLOOKUP($A4,[3]Productos!$A$3:$GG$201,[3]Productos!DP$1+1,0),"")</f>
        <v>0.09</v>
      </c>
      <c r="F4" s="17">
        <f>IFERROR(VLOOKUP($A4,[3]Productos!$A$3:$GG$201,[3]Productos!DQ$1+1,0),"")</f>
        <v>1000000</v>
      </c>
      <c r="G4" s="17">
        <f>IFERROR(VLOOKUP($A4,[3]Productos!$A$3:$GG$201,[3]Productos!DR$1+1,0),"")</f>
        <v>700000</v>
      </c>
      <c r="H4" s="17">
        <f>IFERROR(VLOOKUP($A4,[3]Productos!$A$3:$GG$201,[3]Productos!DS$1+1,0),"")</f>
        <v>3</v>
      </c>
      <c r="I4" s="17">
        <f>IFERROR(VLOOKUP($A4,[3]Productos!$A$3:$GG$201,[3]Productos!DT$1+1,0),"")</f>
        <v>500</v>
      </c>
      <c r="J4" s="17">
        <f>IFERROR(VLOOKUP($A4,[3]Productos!$A$3:$GG$201,[3]Productos!DU$1+1,0),"")</f>
        <v>0</v>
      </c>
      <c r="K4" s="17">
        <f>IFERROR(VLOOKUP($A4,[3]Productos!$A$3:$GG$201,[3]Productos!DV$1+1,0),"")</f>
        <v>0</v>
      </c>
      <c r="L4" s="17">
        <f>IFERROR(VLOOKUP($A4,[3]Productos!$A$3:$GG$201,[3]Productos!DW$1+1,0),"")</f>
        <v>2500</v>
      </c>
      <c r="M4" s="17">
        <f>IFERROR(VLOOKUP($A4,[3]Productos!$A$3:$GG$201,[3]Productos!DX$1+1,0),"")</f>
        <v>6000</v>
      </c>
      <c r="N4" s="17">
        <f>IFERROR(VLOOKUP($A4,[3]Productos!$A$3:$GG$201,[3]Productos!DY$1+1,0),"")</f>
        <v>7000</v>
      </c>
      <c r="O4" s="17">
        <f>IFERROR(VLOOKUP($A4,[3]Productos!$A$3:$GG$201,[3]Productos!DZ$1+1,0),"")</f>
        <v>3500</v>
      </c>
      <c r="P4" s="17">
        <f>IFERROR(VLOOKUP($A4,[3]Productos!$A$3:$GG$201,[3]Productos!EA$1+1,0),"")</f>
        <v>3500</v>
      </c>
      <c r="Q4" s="17">
        <f>IFERROR(VLOOKUP($A4,[3]Productos!$A$3:$GG$201,[3]Productos!EB$1+1,0),"")</f>
        <v>0</v>
      </c>
      <c r="R4" s="17">
        <f>IFERROR(VLOOKUP($A4,[3]Productos!$A$3:$GG$201,[3]Productos!EC$1+1,0),"")</f>
        <v>0</v>
      </c>
      <c r="S4" s="17">
        <f>IFERROR(VLOOKUP($A4,[3]Productos!$A$3:$GG$201,[3]Productos!ED$1+1,0),"")</f>
        <v>1000</v>
      </c>
      <c r="T4" s="17">
        <f>IFERROR(VLOOKUP($A4,[3]Productos!$A$3:$GG$201,[3]Productos!EE$1+1,0),"")</f>
        <v>2500</v>
      </c>
      <c r="U4" s="17">
        <f>IFERROR(VLOOKUP($A4,[3]Productos!$A$3:$GG$201,[3]Productos!EF$1+1,0),"")</f>
        <v>3000</v>
      </c>
      <c r="V4" s="17">
        <f>IFERROR(VLOOKUP($A4,[3]Productos!$A$3:$GG$201,[3]Productos!EG$1+1,0),"")</f>
        <v>5000</v>
      </c>
      <c r="W4" s="17">
        <f>IFERROR(VLOOKUP($A4,[3]Productos!$A$3:$GG$201,[3]Productos!EH$1+1,0),"")</f>
        <v>0</v>
      </c>
      <c r="X4" s="17">
        <f>IFERROR(VLOOKUP($A4,[3]Productos!$A$3:$GG$201,[3]Productos!EI$1+1,0),"")</f>
        <v>2000</v>
      </c>
      <c r="Y4" s="17">
        <f>IFERROR(VLOOKUP($A4,[3]Productos!$A$3:$GG$201,[3]Productos!EJ$1+1,0),"")</f>
        <v>9500</v>
      </c>
      <c r="Z4" s="17">
        <f>IFERROR(VLOOKUP($A4,[3]Productos!$A$3:$GG$201,[3]Productos!EK$1+1,0),"")</f>
        <v>7500</v>
      </c>
      <c r="AA4" s="17">
        <f>IFERROR(VLOOKUP($A4,[3]Productos!$A$3:$GG$201,[3]Productos!EL$1+1,0),"")</f>
        <v>9000</v>
      </c>
      <c r="AB4" s="17">
        <f>IFERROR(VLOOKUP($A4,[3]Productos!$A$3:$GG$201,[3]Productos!EM$1+1,0),"")</f>
        <v>1500</v>
      </c>
      <c r="AC4" s="17">
        <f>IFERROR(VLOOKUP($A4,[3]Productos!$A$3:$GG$201,[3]Productos!EN$1+1,0),"")</f>
        <v>10000</v>
      </c>
      <c r="AD4" s="17">
        <f>IFERROR(VLOOKUP($A4,[3]Productos!$A$3:$GG$201,[3]Productos!EO$1+1,0),"")</f>
        <v>10000</v>
      </c>
      <c r="AE4" s="17">
        <f>IFERROR(VLOOKUP($A4,[3]Productos!$A$3:$GG$201,[3]Productos!EP$1+1,0),"")</f>
        <v>6000</v>
      </c>
      <c r="AF4" s="17">
        <f>IFERROR(VLOOKUP($A4,[3]Productos!$A$3:$GG$201,[3]Productos!EQ$1+1,0),"")</f>
        <v>8500</v>
      </c>
      <c r="AG4" s="17">
        <f>IFERROR(VLOOKUP($A4,[3]Productos!$A$3:$GG$201,[3]Productos!ER$1+1,0),"")</f>
        <v>500</v>
      </c>
    </row>
    <row r="5" spans="1:33" x14ac:dyDescent="0.25">
      <c r="A5" s="17" t="s">
        <v>84</v>
      </c>
      <c r="B5" s="17" t="str">
        <f>IFERROR(VLOOKUP($A5,[3]Productos!$A$3:$GG$201,[3]Productos!DM$1+1,0),"")</f>
        <v>E001010021003</v>
      </c>
      <c r="C5" s="17" t="str">
        <f>IFERROR(VLOOKUP($A5,[3]Productos!$A$3:$GG$201,[3]Productos!DN$1+1,0),"")</f>
        <v>E001004</v>
      </c>
      <c r="D5" s="17" t="str">
        <f>IFERROR(VLOOKUP($A5,[3]Productos!$A$3:$GG$201,[3]Productos!DO$1+1,0),"")</f>
        <v>Cuota fija Pesos</v>
      </c>
      <c r="E5" s="17">
        <f>IFERROR(VLOOKUP($A5,[3]Productos!$A$3:$GG$201,[3]Productos!DP$1+1,0),"")</f>
        <v>0.13</v>
      </c>
      <c r="F5" s="17">
        <f>IFERROR(VLOOKUP($A5,[3]Productos!$A$3:$GG$201,[3]Productos!DQ$1+1,0),"")</f>
        <v>2100000</v>
      </c>
      <c r="G5" s="17">
        <f>IFERROR(VLOOKUP($A5,[3]Productos!$A$3:$GG$201,[3]Productos!DR$1+1,0),"")</f>
        <v>600000</v>
      </c>
      <c r="H5" s="17">
        <f>IFERROR(VLOOKUP($A5,[3]Productos!$A$3:$GG$201,[3]Productos!DS$1+1,0),"")</f>
        <v>1</v>
      </c>
      <c r="I5" s="17">
        <f>IFERROR(VLOOKUP($A5,[3]Productos!$A$3:$GG$201,[3]Productos!DT$1+1,0),"")</f>
        <v>7000</v>
      </c>
      <c r="J5" s="17">
        <f>IFERROR(VLOOKUP($A5,[3]Productos!$A$3:$GG$201,[3]Productos!DU$1+1,0),"")</f>
        <v>0</v>
      </c>
      <c r="K5" s="17">
        <f>IFERROR(VLOOKUP($A5,[3]Productos!$A$3:$GG$201,[3]Productos!DV$1+1,0),"")</f>
        <v>0</v>
      </c>
      <c r="L5" s="17">
        <f>IFERROR(VLOOKUP($A5,[3]Productos!$A$3:$GG$201,[3]Productos!DW$1+1,0),"")</f>
        <v>5000</v>
      </c>
      <c r="M5" s="17">
        <f>IFERROR(VLOOKUP($A5,[3]Productos!$A$3:$GG$201,[3]Productos!DX$1+1,0),"")</f>
        <v>9500</v>
      </c>
      <c r="N5" s="17">
        <f>IFERROR(VLOOKUP($A5,[3]Productos!$A$3:$GG$201,[3]Productos!DY$1+1,0),"")</f>
        <v>10000</v>
      </c>
      <c r="O5" s="17">
        <f>IFERROR(VLOOKUP($A5,[3]Productos!$A$3:$GG$201,[3]Productos!DZ$1+1,0),"")</f>
        <v>500</v>
      </c>
      <c r="P5" s="17">
        <f>IFERROR(VLOOKUP($A5,[3]Productos!$A$3:$GG$201,[3]Productos!EA$1+1,0),"")</f>
        <v>9500</v>
      </c>
      <c r="Q5" s="17">
        <f>IFERROR(VLOOKUP($A5,[3]Productos!$A$3:$GG$201,[3]Productos!EB$1+1,0),"")</f>
        <v>0</v>
      </c>
      <c r="R5" s="17">
        <f>IFERROR(VLOOKUP($A5,[3]Productos!$A$3:$GG$201,[3]Productos!EC$1+1,0),"")</f>
        <v>6500</v>
      </c>
      <c r="S5" s="17">
        <f>IFERROR(VLOOKUP($A5,[3]Productos!$A$3:$GG$201,[3]Productos!ED$1+1,0),"")</f>
        <v>0</v>
      </c>
      <c r="T5" s="17">
        <f>IFERROR(VLOOKUP($A5,[3]Productos!$A$3:$GG$201,[3]Productos!EE$1+1,0),"")</f>
        <v>1000</v>
      </c>
      <c r="U5" s="17">
        <f>IFERROR(VLOOKUP($A5,[3]Productos!$A$3:$GG$201,[3]Productos!EF$1+1,0),"")</f>
        <v>3500</v>
      </c>
      <c r="V5" s="17">
        <f>IFERROR(VLOOKUP($A5,[3]Productos!$A$3:$GG$201,[3]Productos!EG$1+1,0),"")</f>
        <v>0</v>
      </c>
      <c r="W5" s="17">
        <f>IFERROR(VLOOKUP($A5,[3]Productos!$A$3:$GG$201,[3]Productos!EH$1+1,0),"")</f>
        <v>1500</v>
      </c>
      <c r="X5" s="17">
        <f>IFERROR(VLOOKUP($A5,[3]Productos!$A$3:$GG$201,[3]Productos!EI$1+1,0),"")</f>
        <v>3000</v>
      </c>
      <c r="Y5" s="17">
        <f>IFERROR(VLOOKUP($A5,[3]Productos!$A$3:$GG$201,[3]Productos!EJ$1+1,0),"")</f>
        <v>3000</v>
      </c>
      <c r="Z5" s="17">
        <f>IFERROR(VLOOKUP($A5,[3]Productos!$A$3:$GG$201,[3]Productos!EK$1+1,0),"")</f>
        <v>2500</v>
      </c>
      <c r="AA5" s="17">
        <f>IFERROR(VLOOKUP($A5,[3]Productos!$A$3:$GG$201,[3]Productos!EL$1+1,0),"")</f>
        <v>3000</v>
      </c>
      <c r="AB5" s="17">
        <f>IFERROR(VLOOKUP($A5,[3]Productos!$A$3:$GG$201,[3]Productos!EM$1+1,0),"")</f>
        <v>4000</v>
      </c>
      <c r="AC5" s="17">
        <f>IFERROR(VLOOKUP($A5,[3]Productos!$A$3:$GG$201,[3]Productos!EN$1+1,0),"")</f>
        <v>500</v>
      </c>
      <c r="AD5" s="17">
        <f>IFERROR(VLOOKUP($A5,[3]Productos!$A$3:$GG$201,[3]Productos!EO$1+1,0),"")</f>
        <v>8500</v>
      </c>
      <c r="AE5" s="17">
        <f>IFERROR(VLOOKUP($A5,[3]Productos!$A$3:$GG$201,[3]Productos!EP$1+1,0),"")</f>
        <v>5000</v>
      </c>
      <c r="AF5" s="17">
        <f>IFERROR(VLOOKUP($A5,[3]Productos!$A$3:$GG$201,[3]Productos!EQ$1+1,0),"")</f>
        <v>7000</v>
      </c>
      <c r="AG5" s="17">
        <f>IFERROR(VLOOKUP($A5,[3]Productos!$A$3:$GG$201,[3]Productos!ER$1+1,0),"")</f>
        <v>9000</v>
      </c>
    </row>
    <row r="6" spans="1:33" x14ac:dyDescent="0.25">
      <c r="A6" s="17" t="s">
        <v>85</v>
      </c>
      <c r="B6" s="17" t="str">
        <f>IFERROR(VLOOKUP($A6,[3]Productos!$A$3:$GG$201,[3]Productos!DM$1+1,0),"")</f>
        <v>E001012021002</v>
      </c>
      <c r="C6" s="17" t="str">
        <f>IFERROR(VLOOKUP($A6,[3]Productos!$A$3:$GG$201,[3]Productos!DN$1+1,0),"")</f>
        <v>E001005</v>
      </c>
      <c r="D6" s="17" t="str">
        <f>IFERROR(VLOOKUP($A6,[3]Productos!$A$3:$GG$201,[3]Productos!DO$1+1,0),"")</f>
        <v>Cuota fija Pesos</v>
      </c>
      <c r="E6" s="17">
        <f>IFERROR(VLOOKUP($A6,[3]Productos!$A$3:$GG$201,[3]Productos!DP$1+1,0),"")</f>
        <v>0.15</v>
      </c>
      <c r="F6" s="17">
        <f>IFERROR(VLOOKUP($A6,[3]Productos!$A$3:$GG$201,[3]Productos!DQ$1+1,0),"")</f>
        <v>1800000</v>
      </c>
      <c r="G6" s="17">
        <f>IFERROR(VLOOKUP($A6,[3]Productos!$A$3:$GG$201,[3]Productos!DR$1+1,0),"")</f>
        <v>1400000</v>
      </c>
      <c r="H6" s="17">
        <f>IFERROR(VLOOKUP($A6,[3]Productos!$A$3:$GG$201,[3]Productos!DS$1+1,0),"")</f>
        <v>1</v>
      </c>
      <c r="I6" s="17">
        <f>IFERROR(VLOOKUP($A6,[3]Productos!$A$3:$GG$201,[3]Productos!DT$1+1,0),"")</f>
        <v>9500</v>
      </c>
      <c r="J6" s="17">
        <f>IFERROR(VLOOKUP($A6,[3]Productos!$A$3:$GG$201,[3]Productos!DU$1+1,0),"")</f>
        <v>0</v>
      </c>
      <c r="K6" s="17">
        <f>IFERROR(VLOOKUP($A6,[3]Productos!$A$3:$GG$201,[3]Productos!DV$1+1,0),"")</f>
        <v>0</v>
      </c>
      <c r="L6" s="17">
        <f>IFERROR(VLOOKUP($A6,[3]Productos!$A$3:$GG$201,[3]Productos!DW$1+1,0),"")</f>
        <v>6000</v>
      </c>
      <c r="M6" s="17">
        <f>IFERROR(VLOOKUP($A6,[3]Productos!$A$3:$GG$201,[3]Productos!DX$1+1,0),"")</f>
        <v>6000</v>
      </c>
      <c r="N6" s="17">
        <f>IFERROR(VLOOKUP($A6,[3]Productos!$A$3:$GG$201,[3]Productos!DY$1+1,0),"")</f>
        <v>0</v>
      </c>
      <c r="O6" s="17">
        <f>IFERROR(VLOOKUP($A6,[3]Productos!$A$3:$GG$201,[3]Productos!DZ$1+1,0),"")</f>
        <v>1000</v>
      </c>
      <c r="P6" s="17">
        <f>IFERROR(VLOOKUP($A6,[3]Productos!$A$3:$GG$201,[3]Productos!EA$1+1,0),"")</f>
        <v>3500</v>
      </c>
      <c r="Q6" s="17">
        <f>IFERROR(VLOOKUP($A6,[3]Productos!$A$3:$GG$201,[3]Productos!EB$1+1,0),"")</f>
        <v>8500</v>
      </c>
      <c r="R6" s="17">
        <f>IFERROR(VLOOKUP($A6,[3]Productos!$A$3:$GG$201,[3]Productos!EC$1+1,0),"")</f>
        <v>1500</v>
      </c>
      <c r="S6" s="17">
        <f>IFERROR(VLOOKUP($A6,[3]Productos!$A$3:$GG$201,[3]Productos!ED$1+1,0),"")</f>
        <v>5500</v>
      </c>
      <c r="T6" s="17">
        <f>IFERROR(VLOOKUP($A6,[3]Productos!$A$3:$GG$201,[3]Productos!EE$1+1,0),"")</f>
        <v>500</v>
      </c>
      <c r="U6" s="17">
        <f>IFERROR(VLOOKUP($A6,[3]Productos!$A$3:$GG$201,[3]Productos!EF$1+1,0),"")</f>
        <v>4500</v>
      </c>
      <c r="V6" s="17">
        <f>IFERROR(VLOOKUP($A6,[3]Productos!$A$3:$GG$201,[3]Productos!EG$1+1,0),"")</f>
        <v>7000</v>
      </c>
      <c r="W6" s="17">
        <f>IFERROR(VLOOKUP($A6,[3]Productos!$A$3:$GG$201,[3]Productos!EH$1+1,0),"")</f>
        <v>1500</v>
      </c>
      <c r="X6" s="17">
        <f>IFERROR(VLOOKUP($A6,[3]Productos!$A$3:$GG$201,[3]Productos!EI$1+1,0),"")</f>
        <v>0</v>
      </c>
      <c r="Y6" s="17">
        <f>IFERROR(VLOOKUP($A6,[3]Productos!$A$3:$GG$201,[3]Productos!EJ$1+1,0),"")</f>
        <v>5500</v>
      </c>
      <c r="Z6" s="17">
        <f>IFERROR(VLOOKUP($A6,[3]Productos!$A$3:$GG$201,[3]Productos!EK$1+1,0),"")</f>
        <v>5000</v>
      </c>
      <c r="AA6" s="17">
        <f>IFERROR(VLOOKUP($A6,[3]Productos!$A$3:$GG$201,[3]Productos!EL$1+1,0),"")</f>
        <v>500</v>
      </c>
      <c r="AB6" s="17">
        <f>IFERROR(VLOOKUP($A6,[3]Productos!$A$3:$GG$201,[3]Productos!EM$1+1,0),"")</f>
        <v>4500</v>
      </c>
      <c r="AC6" s="17">
        <f>IFERROR(VLOOKUP($A6,[3]Productos!$A$3:$GG$201,[3]Productos!EN$1+1,0),"")</f>
        <v>4500</v>
      </c>
      <c r="AD6" s="17">
        <f>IFERROR(VLOOKUP($A6,[3]Productos!$A$3:$GG$201,[3]Productos!EO$1+1,0),"")</f>
        <v>2000</v>
      </c>
      <c r="AE6" s="17">
        <f>IFERROR(VLOOKUP($A6,[3]Productos!$A$3:$GG$201,[3]Productos!EP$1+1,0),"")</f>
        <v>9000</v>
      </c>
      <c r="AF6" s="17">
        <f>IFERROR(VLOOKUP($A6,[3]Productos!$A$3:$GG$201,[3]Productos!EQ$1+1,0),"")</f>
        <v>7500</v>
      </c>
      <c r="AG6" s="17">
        <f>IFERROR(VLOOKUP($A6,[3]Productos!$A$3:$GG$201,[3]Productos!ER$1+1,0),"")</f>
        <v>3000</v>
      </c>
    </row>
    <row r="7" spans="1:33" x14ac:dyDescent="0.25">
      <c r="B7" s="17" t="str">
        <f>IFERROR(VLOOKUP($A7,[3]Productos!$A$3:$GG$201,[3]Productos!DM$1+1,0),"")</f>
        <v/>
      </c>
      <c r="C7" s="17" t="str">
        <f>IFERROR(VLOOKUP($A7,[3]Productos!$A$3:$GG$201,[3]Productos!DN$1+1,0),"")</f>
        <v/>
      </c>
      <c r="D7" s="17" t="str">
        <f>IFERROR(VLOOKUP($A7,[3]Productos!$A$3:$GG$201,[3]Productos!DO$1+1,0),"")</f>
        <v/>
      </c>
      <c r="E7" s="17" t="str">
        <f>IFERROR(VLOOKUP($A7,[3]Productos!$A$3:$GG$201,[3]Productos!DP$1+1,0),"")</f>
        <v/>
      </c>
      <c r="F7" s="17" t="str">
        <f>IFERROR(VLOOKUP($A7,[3]Productos!$A$3:$GG$201,[3]Productos!DQ$1+1,0),"")</f>
        <v/>
      </c>
      <c r="G7" s="17" t="str">
        <f>IFERROR(VLOOKUP($A7,[3]Productos!$A$3:$GG$201,[3]Productos!DR$1+1,0),"")</f>
        <v/>
      </c>
      <c r="H7" s="17" t="str">
        <f>IFERROR(VLOOKUP($A7,[3]Productos!$A$3:$GG$201,[3]Productos!DS$1+1,0),"")</f>
        <v/>
      </c>
      <c r="I7" s="17" t="str">
        <f>IFERROR(VLOOKUP($A7,[3]Productos!$A$3:$GG$201,[3]Productos!DT$1+1,0),"")</f>
        <v/>
      </c>
      <c r="J7" s="17" t="str">
        <f>IFERROR(VLOOKUP($A7,[3]Productos!$A$3:$GG$201,[3]Productos!DU$1+1,0),"")</f>
        <v/>
      </c>
      <c r="K7" s="17" t="str">
        <f>IFERROR(VLOOKUP($A7,[3]Productos!$A$3:$GG$201,[3]Productos!DV$1+1,0),"")</f>
        <v/>
      </c>
      <c r="L7" s="17" t="str">
        <f>IFERROR(VLOOKUP($A7,[3]Productos!$A$3:$GG$201,[3]Productos!DW$1+1,0),"")</f>
        <v/>
      </c>
      <c r="M7" s="17" t="str">
        <f>IFERROR(VLOOKUP($A7,[3]Productos!$A$3:$GG$201,[3]Productos!DX$1+1,0),"")</f>
        <v/>
      </c>
      <c r="N7" s="17" t="str">
        <f>IFERROR(VLOOKUP($A7,[3]Productos!$A$3:$GG$201,[3]Productos!DY$1+1,0),"")</f>
        <v/>
      </c>
      <c r="O7" s="17" t="str">
        <f>IFERROR(VLOOKUP($A7,[3]Productos!$A$3:$GG$201,[3]Productos!DZ$1+1,0),"")</f>
        <v/>
      </c>
      <c r="P7" s="17" t="str">
        <f>IFERROR(VLOOKUP($A7,[3]Productos!$A$3:$GG$201,[3]Productos!EA$1+1,0),"")</f>
        <v/>
      </c>
      <c r="Q7" s="17" t="str">
        <f>IFERROR(VLOOKUP($A7,[3]Productos!$A$3:$GG$201,[3]Productos!EB$1+1,0),"")</f>
        <v/>
      </c>
      <c r="R7" s="17" t="str">
        <f>IFERROR(VLOOKUP($A7,[3]Productos!$A$3:$GG$201,[3]Productos!EC$1+1,0),"")</f>
        <v/>
      </c>
      <c r="S7" s="17" t="str">
        <f>IFERROR(VLOOKUP($A7,[3]Productos!$A$3:$GG$201,[3]Productos!ED$1+1,0),"")</f>
        <v/>
      </c>
      <c r="T7" s="17" t="str">
        <f>IFERROR(VLOOKUP($A7,[3]Productos!$A$3:$GG$201,[3]Productos!EE$1+1,0),"")</f>
        <v/>
      </c>
      <c r="U7" s="17" t="str">
        <f>IFERROR(VLOOKUP($A7,[3]Productos!$A$3:$GG$201,[3]Productos!EF$1+1,0),"")</f>
        <v/>
      </c>
      <c r="V7" s="17" t="str">
        <f>IFERROR(VLOOKUP($A7,[3]Productos!$A$3:$GG$201,[3]Productos!EG$1+1,0),"")</f>
        <v/>
      </c>
      <c r="W7" s="17" t="str">
        <f>IFERROR(VLOOKUP($A7,[3]Productos!$A$3:$GG$201,[3]Productos!EH$1+1,0),"")</f>
        <v/>
      </c>
      <c r="X7" s="17" t="str">
        <f>IFERROR(VLOOKUP($A7,[3]Productos!$A$3:$GG$201,[3]Productos!EI$1+1,0),"")</f>
        <v/>
      </c>
      <c r="Y7" s="17" t="str">
        <f>IFERROR(VLOOKUP($A7,[3]Productos!$A$3:$GG$201,[3]Productos!EJ$1+1,0),"")</f>
        <v/>
      </c>
      <c r="Z7" s="17" t="str">
        <f>IFERROR(VLOOKUP($A7,[3]Productos!$A$3:$GG$201,[3]Productos!EK$1+1,0),"")</f>
        <v/>
      </c>
      <c r="AA7" s="17" t="str">
        <f>IFERROR(VLOOKUP($A7,[3]Productos!$A$3:$GG$201,[3]Productos!EL$1+1,0),"")</f>
        <v/>
      </c>
      <c r="AB7" s="17" t="str">
        <f>IFERROR(VLOOKUP($A7,[3]Productos!$A$3:$GG$201,[3]Productos!EM$1+1,0),"")</f>
        <v/>
      </c>
      <c r="AC7" s="17" t="str">
        <f>IFERROR(VLOOKUP($A7,[3]Productos!$A$3:$GG$201,[3]Productos!EN$1+1,0),"")</f>
        <v/>
      </c>
      <c r="AD7" s="17" t="str">
        <f>IFERROR(VLOOKUP($A7,[3]Productos!$A$3:$GG$201,[3]Productos!EO$1+1,0),"")</f>
        <v/>
      </c>
      <c r="AE7" s="17" t="str">
        <f>IFERROR(VLOOKUP($A7,[3]Productos!$A$3:$GG$201,[3]Productos!EP$1+1,0),"")</f>
        <v/>
      </c>
      <c r="AF7" s="17" t="str">
        <f>IFERROR(VLOOKUP($A7,[3]Productos!$A$3:$GG$201,[3]Productos!EQ$1+1,0),"")</f>
        <v/>
      </c>
      <c r="AG7" s="17" t="str">
        <f>IFERROR(VLOOKUP($A7,[3]Productos!$A$3:$GG$201,[3]Productos!ER$1+1,0),"")</f>
        <v/>
      </c>
    </row>
    <row r="8" spans="1:33" x14ac:dyDescent="0.25">
      <c r="B8" s="17" t="str">
        <f>IFERROR(VLOOKUP($A8,[3]Productos!$A$3:$GG$201,[3]Productos!DM$1+1,0),"")</f>
        <v/>
      </c>
      <c r="C8" s="17" t="str">
        <f>IFERROR(VLOOKUP($A8,[3]Productos!$A$3:$GG$201,[3]Productos!DN$1+1,0),"")</f>
        <v/>
      </c>
      <c r="D8" s="17" t="str">
        <f>IFERROR(VLOOKUP($A8,[3]Productos!$A$3:$GG$201,[3]Productos!DO$1+1,0),"")</f>
        <v/>
      </c>
      <c r="E8" s="17" t="str">
        <f>IFERROR(VLOOKUP($A8,[3]Productos!$A$3:$GG$201,[3]Productos!DP$1+1,0),"")</f>
        <v/>
      </c>
      <c r="F8" s="17" t="str">
        <f>IFERROR(VLOOKUP($A8,[3]Productos!$A$3:$GG$201,[3]Productos!DQ$1+1,0),"")</f>
        <v/>
      </c>
      <c r="G8" s="17" t="str">
        <f>IFERROR(VLOOKUP($A8,[3]Productos!$A$3:$GG$201,[3]Productos!DR$1+1,0),"")</f>
        <v/>
      </c>
      <c r="H8" s="17" t="str">
        <f>IFERROR(VLOOKUP($A8,[3]Productos!$A$3:$GG$201,[3]Productos!DS$1+1,0),"")</f>
        <v/>
      </c>
      <c r="I8" s="17" t="str">
        <f>IFERROR(VLOOKUP($A8,[3]Productos!$A$3:$GG$201,[3]Productos!DT$1+1,0),"")</f>
        <v/>
      </c>
      <c r="J8" s="17" t="str">
        <f>IFERROR(VLOOKUP($A8,[3]Productos!$A$3:$GG$201,[3]Productos!DU$1+1,0),"")</f>
        <v/>
      </c>
      <c r="K8" s="17" t="str">
        <f>IFERROR(VLOOKUP($A8,[3]Productos!$A$3:$GG$201,[3]Productos!DV$1+1,0),"")</f>
        <v/>
      </c>
      <c r="L8" s="17" t="str">
        <f>IFERROR(VLOOKUP($A8,[3]Productos!$A$3:$GG$201,[3]Productos!DW$1+1,0),"")</f>
        <v/>
      </c>
      <c r="M8" s="17" t="str">
        <f>IFERROR(VLOOKUP($A8,[3]Productos!$A$3:$GG$201,[3]Productos!DX$1+1,0),"")</f>
        <v/>
      </c>
      <c r="N8" s="17" t="str">
        <f>IFERROR(VLOOKUP($A8,[3]Productos!$A$3:$GG$201,[3]Productos!DY$1+1,0),"")</f>
        <v/>
      </c>
      <c r="O8" s="17" t="str">
        <f>IFERROR(VLOOKUP($A8,[3]Productos!$A$3:$GG$201,[3]Productos!DZ$1+1,0),"")</f>
        <v/>
      </c>
      <c r="P8" s="17" t="str">
        <f>IFERROR(VLOOKUP($A8,[3]Productos!$A$3:$GG$201,[3]Productos!EA$1+1,0),"")</f>
        <v/>
      </c>
      <c r="Q8" s="17" t="str">
        <f>IFERROR(VLOOKUP($A8,[3]Productos!$A$3:$GG$201,[3]Productos!EB$1+1,0),"")</f>
        <v/>
      </c>
      <c r="R8" s="17" t="str">
        <f>IFERROR(VLOOKUP($A8,[3]Productos!$A$3:$GG$201,[3]Productos!EC$1+1,0),"")</f>
        <v/>
      </c>
      <c r="S8" s="17" t="str">
        <f>IFERROR(VLOOKUP($A8,[3]Productos!$A$3:$GG$201,[3]Productos!ED$1+1,0),"")</f>
        <v/>
      </c>
      <c r="T8" s="17" t="str">
        <f>IFERROR(VLOOKUP($A8,[3]Productos!$A$3:$GG$201,[3]Productos!EE$1+1,0),"")</f>
        <v/>
      </c>
      <c r="U8" s="17" t="str">
        <f>IFERROR(VLOOKUP($A8,[3]Productos!$A$3:$GG$201,[3]Productos!EF$1+1,0),"")</f>
        <v/>
      </c>
      <c r="V8" s="17" t="str">
        <f>IFERROR(VLOOKUP($A8,[3]Productos!$A$3:$GG$201,[3]Productos!EG$1+1,0),"")</f>
        <v/>
      </c>
      <c r="W8" s="17" t="str">
        <f>IFERROR(VLOOKUP($A8,[3]Productos!$A$3:$GG$201,[3]Productos!EH$1+1,0),"")</f>
        <v/>
      </c>
      <c r="X8" s="17" t="str">
        <f>IFERROR(VLOOKUP($A8,[3]Productos!$A$3:$GG$201,[3]Productos!EI$1+1,0),"")</f>
        <v/>
      </c>
      <c r="Y8" s="17" t="str">
        <f>IFERROR(VLOOKUP($A8,[3]Productos!$A$3:$GG$201,[3]Productos!EJ$1+1,0),"")</f>
        <v/>
      </c>
      <c r="Z8" s="17" t="str">
        <f>IFERROR(VLOOKUP($A8,[3]Productos!$A$3:$GG$201,[3]Productos!EK$1+1,0),"")</f>
        <v/>
      </c>
      <c r="AA8" s="17" t="str">
        <f>IFERROR(VLOOKUP($A8,[3]Productos!$A$3:$GG$201,[3]Productos!EL$1+1,0),"")</f>
        <v/>
      </c>
      <c r="AB8" s="17" t="str">
        <f>IFERROR(VLOOKUP($A8,[3]Productos!$A$3:$GG$201,[3]Productos!EM$1+1,0),"")</f>
        <v/>
      </c>
      <c r="AC8" s="17" t="str">
        <f>IFERROR(VLOOKUP($A8,[3]Productos!$A$3:$GG$201,[3]Productos!EN$1+1,0),"")</f>
        <v/>
      </c>
      <c r="AD8" s="17" t="str">
        <f>IFERROR(VLOOKUP($A8,[3]Productos!$A$3:$GG$201,[3]Productos!EO$1+1,0),"")</f>
        <v/>
      </c>
      <c r="AE8" s="17" t="str">
        <f>IFERROR(VLOOKUP($A8,[3]Productos!$A$3:$GG$201,[3]Productos!EP$1+1,0),"")</f>
        <v/>
      </c>
      <c r="AF8" s="17" t="str">
        <f>IFERROR(VLOOKUP($A8,[3]Productos!$A$3:$GG$201,[3]Productos!EQ$1+1,0),"")</f>
        <v/>
      </c>
      <c r="AG8" s="17" t="str">
        <f>IFERROR(VLOOKUP($A8,[3]Productos!$A$3:$GG$201,[3]Productos!ER$1+1,0),"")</f>
        <v/>
      </c>
    </row>
    <row r="9" spans="1:33" x14ac:dyDescent="0.25">
      <c r="B9" s="17" t="str">
        <f>IFERROR(VLOOKUP($A9,[3]Productos!$A$3:$GG$201,[3]Productos!DM$1+1,0),"")</f>
        <v/>
      </c>
      <c r="C9" s="17" t="str">
        <f>IFERROR(VLOOKUP($A9,[3]Productos!$A$3:$GG$201,[3]Productos!DN$1+1,0),"")</f>
        <v/>
      </c>
      <c r="D9" s="17" t="str">
        <f>IFERROR(VLOOKUP($A9,[3]Productos!$A$3:$GG$201,[3]Productos!DO$1+1,0),"")</f>
        <v/>
      </c>
      <c r="E9" s="17" t="str">
        <f>IFERROR(VLOOKUP($A9,[3]Productos!$A$3:$GG$201,[3]Productos!DP$1+1,0),"")</f>
        <v/>
      </c>
      <c r="F9" s="17" t="str">
        <f>IFERROR(VLOOKUP($A9,[3]Productos!$A$3:$GG$201,[3]Productos!DQ$1+1,0),"")</f>
        <v/>
      </c>
      <c r="G9" s="17" t="str">
        <f>IFERROR(VLOOKUP($A9,[3]Productos!$A$3:$GG$201,[3]Productos!DR$1+1,0),"")</f>
        <v/>
      </c>
      <c r="H9" s="17" t="str">
        <f>IFERROR(VLOOKUP($A9,[3]Productos!$A$3:$GG$201,[3]Productos!DS$1+1,0),"")</f>
        <v/>
      </c>
      <c r="I9" s="17" t="str">
        <f>IFERROR(VLOOKUP($A9,[3]Productos!$A$3:$GG$201,[3]Productos!DT$1+1,0),"")</f>
        <v/>
      </c>
      <c r="J9" s="17" t="str">
        <f>IFERROR(VLOOKUP($A9,[3]Productos!$A$3:$GG$201,[3]Productos!DU$1+1,0),"")</f>
        <v/>
      </c>
      <c r="K9" s="17" t="str">
        <f>IFERROR(VLOOKUP($A9,[3]Productos!$A$3:$GG$201,[3]Productos!DV$1+1,0),"")</f>
        <v/>
      </c>
      <c r="L9" s="17" t="str">
        <f>IFERROR(VLOOKUP($A9,[3]Productos!$A$3:$GG$201,[3]Productos!DW$1+1,0),"")</f>
        <v/>
      </c>
      <c r="M9" s="17" t="str">
        <f>IFERROR(VLOOKUP($A9,[3]Productos!$A$3:$GG$201,[3]Productos!DX$1+1,0),"")</f>
        <v/>
      </c>
      <c r="N9" s="17" t="str">
        <f>IFERROR(VLOOKUP($A9,[3]Productos!$A$3:$GG$201,[3]Productos!DY$1+1,0),"")</f>
        <v/>
      </c>
      <c r="O9" s="17" t="str">
        <f>IFERROR(VLOOKUP($A9,[3]Productos!$A$3:$GG$201,[3]Productos!DZ$1+1,0),"")</f>
        <v/>
      </c>
      <c r="P9" s="17" t="str">
        <f>IFERROR(VLOOKUP($A9,[3]Productos!$A$3:$GG$201,[3]Productos!EA$1+1,0),"")</f>
        <v/>
      </c>
      <c r="Q9" s="17" t="str">
        <f>IFERROR(VLOOKUP($A9,[3]Productos!$A$3:$GG$201,[3]Productos!EB$1+1,0),"")</f>
        <v/>
      </c>
      <c r="R9" s="17" t="str">
        <f>IFERROR(VLOOKUP($A9,[3]Productos!$A$3:$GG$201,[3]Productos!EC$1+1,0),"")</f>
        <v/>
      </c>
      <c r="S9" s="17" t="str">
        <f>IFERROR(VLOOKUP($A9,[3]Productos!$A$3:$GG$201,[3]Productos!ED$1+1,0),"")</f>
        <v/>
      </c>
      <c r="T9" s="17" t="str">
        <f>IFERROR(VLOOKUP($A9,[3]Productos!$A$3:$GG$201,[3]Productos!EE$1+1,0),"")</f>
        <v/>
      </c>
      <c r="U9" s="17" t="str">
        <f>IFERROR(VLOOKUP($A9,[3]Productos!$A$3:$GG$201,[3]Productos!EF$1+1,0),"")</f>
        <v/>
      </c>
      <c r="V9" s="17" t="str">
        <f>IFERROR(VLOOKUP($A9,[3]Productos!$A$3:$GG$201,[3]Productos!EG$1+1,0),"")</f>
        <v/>
      </c>
      <c r="W9" s="17" t="str">
        <f>IFERROR(VLOOKUP($A9,[3]Productos!$A$3:$GG$201,[3]Productos!EH$1+1,0),"")</f>
        <v/>
      </c>
      <c r="X9" s="17" t="str">
        <f>IFERROR(VLOOKUP($A9,[3]Productos!$A$3:$GG$201,[3]Productos!EI$1+1,0),"")</f>
        <v/>
      </c>
      <c r="Y9" s="17" t="str">
        <f>IFERROR(VLOOKUP($A9,[3]Productos!$A$3:$GG$201,[3]Productos!EJ$1+1,0),"")</f>
        <v/>
      </c>
      <c r="Z9" s="17" t="str">
        <f>IFERROR(VLOOKUP($A9,[3]Productos!$A$3:$GG$201,[3]Productos!EK$1+1,0),"")</f>
        <v/>
      </c>
      <c r="AA9" s="17" t="str">
        <f>IFERROR(VLOOKUP($A9,[3]Productos!$A$3:$GG$201,[3]Productos!EL$1+1,0),"")</f>
        <v/>
      </c>
      <c r="AB9" s="17" t="str">
        <f>IFERROR(VLOOKUP($A9,[3]Productos!$A$3:$GG$201,[3]Productos!EM$1+1,0),"")</f>
        <v/>
      </c>
      <c r="AC9" s="17" t="str">
        <f>IFERROR(VLOOKUP($A9,[3]Productos!$A$3:$GG$201,[3]Productos!EN$1+1,0),"")</f>
        <v/>
      </c>
      <c r="AD9" s="17" t="str">
        <f>IFERROR(VLOOKUP($A9,[3]Productos!$A$3:$GG$201,[3]Productos!EO$1+1,0),"")</f>
        <v/>
      </c>
      <c r="AE9" s="17" t="str">
        <f>IFERROR(VLOOKUP($A9,[3]Productos!$A$3:$GG$201,[3]Productos!EP$1+1,0),"")</f>
        <v/>
      </c>
      <c r="AF9" s="17" t="str">
        <f>IFERROR(VLOOKUP($A9,[3]Productos!$A$3:$GG$201,[3]Productos!EQ$1+1,0),"")</f>
        <v/>
      </c>
      <c r="AG9" s="17" t="str">
        <f>IFERROR(VLOOKUP($A9,[3]Productos!$A$3:$GG$201,[3]Productos!ER$1+1,0),"")</f>
        <v/>
      </c>
    </row>
    <row r="10" spans="1:33" x14ac:dyDescent="0.25">
      <c r="B10" s="17" t="str">
        <f>IFERROR(VLOOKUP($A10,[3]Productos!$A$3:$GG$201,[3]Productos!DM$1+1,0),"")</f>
        <v/>
      </c>
      <c r="C10" s="17" t="str">
        <f>IFERROR(VLOOKUP($A10,[3]Productos!$A$3:$GG$201,[3]Productos!DN$1+1,0),"")</f>
        <v/>
      </c>
      <c r="D10" s="17" t="str">
        <f>IFERROR(VLOOKUP($A10,[3]Productos!$A$3:$GG$201,[3]Productos!DO$1+1,0),"")</f>
        <v/>
      </c>
      <c r="E10" s="17" t="str">
        <f>IFERROR(VLOOKUP($A10,[3]Productos!$A$3:$GG$201,[3]Productos!DP$1+1,0),"")</f>
        <v/>
      </c>
      <c r="F10" s="17" t="str">
        <f>IFERROR(VLOOKUP($A10,[3]Productos!$A$3:$GG$201,[3]Productos!DQ$1+1,0),"")</f>
        <v/>
      </c>
      <c r="G10" s="17" t="str">
        <f>IFERROR(VLOOKUP($A10,[3]Productos!$A$3:$GG$201,[3]Productos!DR$1+1,0),"")</f>
        <v/>
      </c>
      <c r="H10" s="17" t="str">
        <f>IFERROR(VLOOKUP($A10,[3]Productos!$A$3:$GG$201,[3]Productos!DS$1+1,0),"")</f>
        <v/>
      </c>
      <c r="I10" s="17" t="str">
        <f>IFERROR(VLOOKUP($A10,[3]Productos!$A$3:$GG$201,[3]Productos!DT$1+1,0),"")</f>
        <v/>
      </c>
      <c r="J10" s="17" t="str">
        <f>IFERROR(VLOOKUP($A10,[3]Productos!$A$3:$GG$201,[3]Productos!DU$1+1,0),"")</f>
        <v/>
      </c>
      <c r="K10" s="17" t="str">
        <f>IFERROR(VLOOKUP($A10,[3]Productos!$A$3:$GG$201,[3]Productos!DV$1+1,0),"")</f>
        <v/>
      </c>
      <c r="L10" s="17" t="str">
        <f>IFERROR(VLOOKUP($A10,[3]Productos!$A$3:$GG$201,[3]Productos!DW$1+1,0),"")</f>
        <v/>
      </c>
      <c r="M10" s="17" t="str">
        <f>IFERROR(VLOOKUP($A10,[3]Productos!$A$3:$GG$201,[3]Productos!DX$1+1,0),"")</f>
        <v/>
      </c>
      <c r="N10" s="17" t="str">
        <f>IFERROR(VLOOKUP($A10,[3]Productos!$A$3:$GG$201,[3]Productos!DY$1+1,0),"")</f>
        <v/>
      </c>
      <c r="O10" s="17" t="str">
        <f>IFERROR(VLOOKUP($A10,[3]Productos!$A$3:$GG$201,[3]Productos!DZ$1+1,0),"")</f>
        <v/>
      </c>
      <c r="P10" s="17" t="str">
        <f>IFERROR(VLOOKUP($A10,[3]Productos!$A$3:$GG$201,[3]Productos!EA$1+1,0),"")</f>
        <v/>
      </c>
      <c r="Q10" s="17" t="str">
        <f>IFERROR(VLOOKUP($A10,[3]Productos!$A$3:$GG$201,[3]Productos!EB$1+1,0),"")</f>
        <v/>
      </c>
      <c r="R10" s="17" t="str">
        <f>IFERROR(VLOOKUP($A10,[3]Productos!$A$3:$GG$201,[3]Productos!EC$1+1,0),"")</f>
        <v/>
      </c>
      <c r="S10" s="17" t="str">
        <f>IFERROR(VLOOKUP($A10,[3]Productos!$A$3:$GG$201,[3]Productos!ED$1+1,0),"")</f>
        <v/>
      </c>
      <c r="T10" s="17" t="str">
        <f>IFERROR(VLOOKUP($A10,[3]Productos!$A$3:$GG$201,[3]Productos!EE$1+1,0),"")</f>
        <v/>
      </c>
      <c r="U10" s="17" t="str">
        <f>IFERROR(VLOOKUP($A10,[3]Productos!$A$3:$GG$201,[3]Productos!EF$1+1,0),"")</f>
        <v/>
      </c>
      <c r="V10" s="17" t="str">
        <f>IFERROR(VLOOKUP($A10,[3]Productos!$A$3:$GG$201,[3]Productos!EG$1+1,0),"")</f>
        <v/>
      </c>
      <c r="W10" s="17" t="str">
        <f>IFERROR(VLOOKUP($A10,[3]Productos!$A$3:$GG$201,[3]Productos!EH$1+1,0),"")</f>
        <v/>
      </c>
      <c r="X10" s="17" t="str">
        <f>IFERROR(VLOOKUP($A10,[3]Productos!$A$3:$GG$201,[3]Productos!EI$1+1,0),"")</f>
        <v/>
      </c>
      <c r="Y10" s="17" t="str">
        <f>IFERROR(VLOOKUP($A10,[3]Productos!$A$3:$GG$201,[3]Productos!EJ$1+1,0),"")</f>
        <v/>
      </c>
      <c r="Z10" s="17" t="str">
        <f>IFERROR(VLOOKUP($A10,[3]Productos!$A$3:$GG$201,[3]Productos!EK$1+1,0),"")</f>
        <v/>
      </c>
      <c r="AA10" s="17" t="str">
        <f>IFERROR(VLOOKUP($A10,[3]Productos!$A$3:$GG$201,[3]Productos!EL$1+1,0),"")</f>
        <v/>
      </c>
      <c r="AB10" s="17" t="str">
        <f>IFERROR(VLOOKUP($A10,[3]Productos!$A$3:$GG$201,[3]Productos!EM$1+1,0),"")</f>
        <v/>
      </c>
      <c r="AC10" s="17" t="str">
        <f>IFERROR(VLOOKUP($A10,[3]Productos!$A$3:$GG$201,[3]Productos!EN$1+1,0),"")</f>
        <v/>
      </c>
      <c r="AD10" s="17" t="str">
        <f>IFERROR(VLOOKUP($A10,[3]Productos!$A$3:$GG$201,[3]Productos!EO$1+1,0),"")</f>
        <v/>
      </c>
      <c r="AE10" s="17" t="str">
        <f>IFERROR(VLOOKUP($A10,[3]Productos!$A$3:$GG$201,[3]Productos!EP$1+1,0),"")</f>
        <v/>
      </c>
      <c r="AF10" s="17" t="str">
        <f>IFERROR(VLOOKUP($A10,[3]Productos!$A$3:$GG$201,[3]Productos!EQ$1+1,0),"")</f>
        <v/>
      </c>
      <c r="AG10" s="17" t="str">
        <f>IFERROR(VLOOKUP($A10,[3]Productos!$A$3:$GG$201,[3]Productos!ER$1+1,0),"")</f>
        <v/>
      </c>
    </row>
    <row r="11" spans="1:33" x14ac:dyDescent="0.25">
      <c r="B11" s="17" t="str">
        <f>IFERROR(VLOOKUP($A11,[3]Productos!$A$3:$GG$201,[3]Productos!DM$1+1,0),"")</f>
        <v/>
      </c>
      <c r="C11" s="17" t="str">
        <f>IFERROR(VLOOKUP($A11,[3]Productos!$A$3:$GG$201,[3]Productos!DN$1+1,0),"")</f>
        <v/>
      </c>
      <c r="D11" s="17" t="str">
        <f>IFERROR(VLOOKUP($A11,[3]Productos!$A$3:$GG$201,[3]Productos!DO$1+1,0),"")</f>
        <v/>
      </c>
      <c r="E11" s="17" t="str">
        <f>IFERROR(VLOOKUP($A11,[3]Productos!$A$3:$GG$201,[3]Productos!DP$1+1,0),"")</f>
        <v/>
      </c>
      <c r="F11" s="17" t="str">
        <f>IFERROR(VLOOKUP($A11,[3]Productos!$A$3:$GG$201,[3]Productos!DQ$1+1,0),"")</f>
        <v/>
      </c>
      <c r="G11" s="17" t="str">
        <f>IFERROR(VLOOKUP($A11,[3]Productos!$A$3:$GG$201,[3]Productos!DR$1+1,0),"")</f>
        <v/>
      </c>
      <c r="H11" s="17" t="str">
        <f>IFERROR(VLOOKUP($A11,[3]Productos!$A$3:$GG$201,[3]Productos!DS$1+1,0),"")</f>
        <v/>
      </c>
      <c r="I11" s="17" t="str">
        <f>IFERROR(VLOOKUP($A11,[3]Productos!$A$3:$GG$201,[3]Productos!DT$1+1,0),"")</f>
        <v/>
      </c>
      <c r="J11" s="17" t="str">
        <f>IFERROR(VLOOKUP($A11,[3]Productos!$A$3:$GG$201,[3]Productos!DU$1+1,0),"")</f>
        <v/>
      </c>
      <c r="K11" s="17" t="str">
        <f>IFERROR(VLOOKUP($A11,[3]Productos!$A$3:$GG$201,[3]Productos!DV$1+1,0),"")</f>
        <v/>
      </c>
      <c r="L11" s="17" t="str">
        <f>IFERROR(VLOOKUP($A11,[3]Productos!$A$3:$GG$201,[3]Productos!DW$1+1,0),"")</f>
        <v/>
      </c>
      <c r="M11" s="17" t="str">
        <f>IFERROR(VLOOKUP($A11,[3]Productos!$A$3:$GG$201,[3]Productos!DX$1+1,0),"")</f>
        <v/>
      </c>
      <c r="N11" s="17" t="str">
        <f>IFERROR(VLOOKUP($A11,[3]Productos!$A$3:$GG$201,[3]Productos!DY$1+1,0),"")</f>
        <v/>
      </c>
      <c r="O11" s="17" t="str">
        <f>IFERROR(VLOOKUP($A11,[3]Productos!$A$3:$GG$201,[3]Productos!DZ$1+1,0),"")</f>
        <v/>
      </c>
      <c r="P11" s="17" t="str">
        <f>IFERROR(VLOOKUP($A11,[3]Productos!$A$3:$GG$201,[3]Productos!EA$1+1,0),"")</f>
        <v/>
      </c>
      <c r="Q11" s="17" t="str">
        <f>IFERROR(VLOOKUP($A11,[3]Productos!$A$3:$GG$201,[3]Productos!EB$1+1,0),"")</f>
        <v/>
      </c>
      <c r="R11" s="17" t="str">
        <f>IFERROR(VLOOKUP($A11,[3]Productos!$A$3:$GG$201,[3]Productos!EC$1+1,0),"")</f>
        <v/>
      </c>
      <c r="S11" s="17" t="str">
        <f>IFERROR(VLOOKUP($A11,[3]Productos!$A$3:$GG$201,[3]Productos!ED$1+1,0),"")</f>
        <v/>
      </c>
      <c r="T11" s="17" t="str">
        <f>IFERROR(VLOOKUP($A11,[3]Productos!$A$3:$GG$201,[3]Productos!EE$1+1,0),"")</f>
        <v/>
      </c>
      <c r="U11" s="17" t="str">
        <f>IFERROR(VLOOKUP($A11,[3]Productos!$A$3:$GG$201,[3]Productos!EF$1+1,0),"")</f>
        <v/>
      </c>
      <c r="V11" s="17" t="str">
        <f>IFERROR(VLOOKUP($A11,[3]Productos!$A$3:$GG$201,[3]Productos!EG$1+1,0),"")</f>
        <v/>
      </c>
      <c r="W11" s="17" t="str">
        <f>IFERROR(VLOOKUP($A11,[3]Productos!$A$3:$GG$201,[3]Productos!EH$1+1,0),"")</f>
        <v/>
      </c>
      <c r="X11" s="17" t="str">
        <f>IFERROR(VLOOKUP($A11,[3]Productos!$A$3:$GG$201,[3]Productos!EI$1+1,0),"")</f>
        <v/>
      </c>
      <c r="Y11" s="17" t="str">
        <f>IFERROR(VLOOKUP($A11,[3]Productos!$A$3:$GG$201,[3]Productos!EJ$1+1,0),"")</f>
        <v/>
      </c>
      <c r="Z11" s="17" t="str">
        <f>IFERROR(VLOOKUP($A11,[3]Productos!$A$3:$GG$201,[3]Productos!EK$1+1,0),"")</f>
        <v/>
      </c>
      <c r="AA11" s="17" t="str">
        <f>IFERROR(VLOOKUP($A11,[3]Productos!$A$3:$GG$201,[3]Productos!EL$1+1,0),"")</f>
        <v/>
      </c>
      <c r="AB11" s="17" t="str">
        <f>IFERROR(VLOOKUP($A11,[3]Productos!$A$3:$GG$201,[3]Productos!EM$1+1,0),"")</f>
        <v/>
      </c>
      <c r="AC11" s="17" t="str">
        <f>IFERROR(VLOOKUP($A11,[3]Productos!$A$3:$GG$201,[3]Productos!EN$1+1,0),"")</f>
        <v/>
      </c>
      <c r="AD11" s="17" t="str">
        <f>IFERROR(VLOOKUP($A11,[3]Productos!$A$3:$GG$201,[3]Productos!EO$1+1,0),"")</f>
        <v/>
      </c>
      <c r="AE11" s="17" t="str">
        <f>IFERROR(VLOOKUP($A11,[3]Productos!$A$3:$GG$201,[3]Productos!EP$1+1,0),"")</f>
        <v/>
      </c>
      <c r="AF11" s="17" t="str">
        <f>IFERROR(VLOOKUP($A11,[3]Productos!$A$3:$GG$201,[3]Productos!EQ$1+1,0),"")</f>
        <v/>
      </c>
      <c r="AG11" s="17" t="str">
        <f>IFERROR(VLOOKUP($A11,[3]Productos!$A$3:$GG$201,[3]Productos!ER$1+1,0),"")</f>
        <v/>
      </c>
    </row>
    <row r="12" spans="1:33" x14ac:dyDescent="0.25">
      <c r="B12" s="17" t="str">
        <f>IFERROR(VLOOKUP($A12,[3]Productos!$A$3:$GG$201,[3]Productos!DM$1+1,0),"")</f>
        <v/>
      </c>
      <c r="C12" s="17" t="str">
        <f>IFERROR(VLOOKUP($A12,[3]Productos!$A$3:$GG$201,[3]Productos!DN$1+1,0),"")</f>
        <v/>
      </c>
      <c r="D12" s="17" t="str">
        <f>IFERROR(VLOOKUP($A12,[3]Productos!$A$3:$GG$201,[3]Productos!DO$1+1,0),"")</f>
        <v/>
      </c>
      <c r="E12" s="17" t="str">
        <f>IFERROR(VLOOKUP($A12,[3]Productos!$A$3:$GG$201,[3]Productos!DP$1+1,0),"")</f>
        <v/>
      </c>
      <c r="F12" s="17" t="str">
        <f>IFERROR(VLOOKUP($A12,[3]Productos!$A$3:$GG$201,[3]Productos!DQ$1+1,0),"")</f>
        <v/>
      </c>
      <c r="G12" s="17" t="str">
        <f>IFERROR(VLOOKUP($A12,[3]Productos!$A$3:$GG$201,[3]Productos!DR$1+1,0),"")</f>
        <v/>
      </c>
      <c r="H12" s="17" t="str">
        <f>IFERROR(VLOOKUP($A12,[3]Productos!$A$3:$GG$201,[3]Productos!DS$1+1,0),"")</f>
        <v/>
      </c>
      <c r="I12" s="17" t="str">
        <f>IFERROR(VLOOKUP($A12,[3]Productos!$A$3:$GG$201,[3]Productos!DT$1+1,0),"")</f>
        <v/>
      </c>
      <c r="J12" s="17" t="str">
        <f>IFERROR(VLOOKUP($A12,[3]Productos!$A$3:$GG$201,[3]Productos!DU$1+1,0),"")</f>
        <v/>
      </c>
      <c r="K12" s="17" t="str">
        <f>IFERROR(VLOOKUP($A12,[3]Productos!$A$3:$GG$201,[3]Productos!DV$1+1,0),"")</f>
        <v/>
      </c>
      <c r="L12" s="17" t="str">
        <f>IFERROR(VLOOKUP($A12,[3]Productos!$A$3:$GG$201,[3]Productos!DW$1+1,0),"")</f>
        <v/>
      </c>
      <c r="M12" s="17" t="str">
        <f>IFERROR(VLOOKUP($A12,[3]Productos!$A$3:$GG$201,[3]Productos!DX$1+1,0),"")</f>
        <v/>
      </c>
      <c r="N12" s="17" t="str">
        <f>IFERROR(VLOOKUP($A12,[3]Productos!$A$3:$GG$201,[3]Productos!DY$1+1,0),"")</f>
        <v/>
      </c>
      <c r="O12" s="17" t="str">
        <f>IFERROR(VLOOKUP($A12,[3]Productos!$A$3:$GG$201,[3]Productos!DZ$1+1,0),"")</f>
        <v/>
      </c>
      <c r="P12" s="17" t="str">
        <f>IFERROR(VLOOKUP($A12,[3]Productos!$A$3:$GG$201,[3]Productos!EA$1+1,0),"")</f>
        <v/>
      </c>
      <c r="Q12" s="17" t="str">
        <f>IFERROR(VLOOKUP($A12,[3]Productos!$A$3:$GG$201,[3]Productos!EB$1+1,0),"")</f>
        <v/>
      </c>
      <c r="R12" s="17" t="str">
        <f>IFERROR(VLOOKUP($A12,[3]Productos!$A$3:$GG$201,[3]Productos!EC$1+1,0),"")</f>
        <v/>
      </c>
      <c r="S12" s="17" t="str">
        <f>IFERROR(VLOOKUP($A12,[3]Productos!$A$3:$GG$201,[3]Productos!ED$1+1,0),"")</f>
        <v/>
      </c>
      <c r="T12" s="17" t="str">
        <f>IFERROR(VLOOKUP($A12,[3]Productos!$A$3:$GG$201,[3]Productos!EE$1+1,0),"")</f>
        <v/>
      </c>
      <c r="U12" s="17" t="str">
        <f>IFERROR(VLOOKUP($A12,[3]Productos!$A$3:$GG$201,[3]Productos!EF$1+1,0),"")</f>
        <v/>
      </c>
      <c r="V12" s="17" t="str">
        <f>IFERROR(VLOOKUP($A12,[3]Productos!$A$3:$GG$201,[3]Productos!EG$1+1,0),"")</f>
        <v/>
      </c>
      <c r="W12" s="17" t="str">
        <f>IFERROR(VLOOKUP($A12,[3]Productos!$A$3:$GG$201,[3]Productos!EH$1+1,0),"")</f>
        <v/>
      </c>
      <c r="X12" s="17" t="str">
        <f>IFERROR(VLOOKUP($A12,[3]Productos!$A$3:$GG$201,[3]Productos!EI$1+1,0),"")</f>
        <v/>
      </c>
      <c r="Y12" s="17" t="str">
        <f>IFERROR(VLOOKUP($A12,[3]Productos!$A$3:$GG$201,[3]Productos!EJ$1+1,0),"")</f>
        <v/>
      </c>
      <c r="Z12" s="17" t="str">
        <f>IFERROR(VLOOKUP($A12,[3]Productos!$A$3:$GG$201,[3]Productos!EK$1+1,0),"")</f>
        <v/>
      </c>
      <c r="AA12" s="17" t="str">
        <f>IFERROR(VLOOKUP($A12,[3]Productos!$A$3:$GG$201,[3]Productos!EL$1+1,0),"")</f>
        <v/>
      </c>
      <c r="AB12" s="17" t="str">
        <f>IFERROR(VLOOKUP($A12,[3]Productos!$A$3:$GG$201,[3]Productos!EM$1+1,0),"")</f>
        <v/>
      </c>
      <c r="AC12" s="17" t="str">
        <f>IFERROR(VLOOKUP($A12,[3]Productos!$A$3:$GG$201,[3]Productos!EN$1+1,0),"")</f>
        <v/>
      </c>
      <c r="AD12" s="17" t="str">
        <f>IFERROR(VLOOKUP($A12,[3]Productos!$A$3:$GG$201,[3]Productos!EO$1+1,0),"")</f>
        <v/>
      </c>
      <c r="AE12" s="17" t="str">
        <f>IFERROR(VLOOKUP($A12,[3]Productos!$A$3:$GG$201,[3]Productos!EP$1+1,0),"")</f>
        <v/>
      </c>
      <c r="AF12" s="17" t="str">
        <f>IFERROR(VLOOKUP($A12,[3]Productos!$A$3:$GG$201,[3]Productos!EQ$1+1,0),"")</f>
        <v/>
      </c>
      <c r="AG12" s="17" t="str">
        <f>IFERROR(VLOOKUP($A12,[3]Productos!$A$3:$GG$201,[3]Productos!ER$1+1,0),"")</f>
        <v/>
      </c>
    </row>
    <row r="13" spans="1:33" x14ac:dyDescent="0.25">
      <c r="B13" s="17" t="str">
        <f>IFERROR(VLOOKUP($A13,[3]Productos!$A$3:$GG$201,[3]Productos!DM$1+1,0),"")</f>
        <v/>
      </c>
      <c r="C13" s="17" t="str">
        <f>IFERROR(VLOOKUP($A13,[3]Productos!$A$3:$GG$201,[3]Productos!DN$1+1,0),"")</f>
        <v/>
      </c>
      <c r="D13" s="17" t="str">
        <f>IFERROR(VLOOKUP($A13,[3]Productos!$A$3:$GG$201,[3]Productos!DO$1+1,0),"")</f>
        <v/>
      </c>
      <c r="E13" s="17" t="str">
        <f>IFERROR(VLOOKUP($A13,[3]Productos!$A$3:$GG$201,[3]Productos!DP$1+1,0),"")</f>
        <v/>
      </c>
      <c r="F13" s="17" t="str">
        <f>IFERROR(VLOOKUP($A13,[3]Productos!$A$3:$GG$201,[3]Productos!DQ$1+1,0),"")</f>
        <v/>
      </c>
      <c r="G13" s="17" t="str">
        <f>IFERROR(VLOOKUP($A13,[3]Productos!$A$3:$GG$201,[3]Productos!DR$1+1,0),"")</f>
        <v/>
      </c>
      <c r="H13" s="17" t="str">
        <f>IFERROR(VLOOKUP($A13,[3]Productos!$A$3:$GG$201,[3]Productos!DS$1+1,0),"")</f>
        <v/>
      </c>
      <c r="I13" s="17" t="str">
        <f>IFERROR(VLOOKUP($A13,[3]Productos!$A$3:$GG$201,[3]Productos!DT$1+1,0),"")</f>
        <v/>
      </c>
      <c r="J13" s="17" t="str">
        <f>IFERROR(VLOOKUP($A13,[3]Productos!$A$3:$GG$201,[3]Productos!DU$1+1,0),"")</f>
        <v/>
      </c>
      <c r="K13" s="17" t="str">
        <f>IFERROR(VLOOKUP($A13,[3]Productos!$A$3:$GG$201,[3]Productos!DV$1+1,0),"")</f>
        <v/>
      </c>
      <c r="L13" s="17" t="str">
        <f>IFERROR(VLOOKUP($A13,[3]Productos!$A$3:$GG$201,[3]Productos!DW$1+1,0),"")</f>
        <v/>
      </c>
      <c r="M13" s="17" t="str">
        <f>IFERROR(VLOOKUP($A13,[3]Productos!$A$3:$GG$201,[3]Productos!DX$1+1,0),"")</f>
        <v/>
      </c>
      <c r="N13" s="17" t="str">
        <f>IFERROR(VLOOKUP($A13,[3]Productos!$A$3:$GG$201,[3]Productos!DY$1+1,0),"")</f>
        <v/>
      </c>
      <c r="O13" s="17" t="str">
        <f>IFERROR(VLOOKUP($A13,[3]Productos!$A$3:$GG$201,[3]Productos!DZ$1+1,0),"")</f>
        <v/>
      </c>
      <c r="P13" s="17" t="str">
        <f>IFERROR(VLOOKUP($A13,[3]Productos!$A$3:$GG$201,[3]Productos!EA$1+1,0),"")</f>
        <v/>
      </c>
      <c r="Q13" s="17" t="str">
        <f>IFERROR(VLOOKUP($A13,[3]Productos!$A$3:$GG$201,[3]Productos!EB$1+1,0),"")</f>
        <v/>
      </c>
      <c r="R13" s="17" t="str">
        <f>IFERROR(VLOOKUP($A13,[3]Productos!$A$3:$GG$201,[3]Productos!EC$1+1,0),"")</f>
        <v/>
      </c>
      <c r="S13" s="17" t="str">
        <f>IFERROR(VLOOKUP($A13,[3]Productos!$A$3:$GG$201,[3]Productos!ED$1+1,0),"")</f>
        <v/>
      </c>
      <c r="T13" s="17" t="str">
        <f>IFERROR(VLOOKUP($A13,[3]Productos!$A$3:$GG$201,[3]Productos!EE$1+1,0),"")</f>
        <v/>
      </c>
      <c r="U13" s="17" t="str">
        <f>IFERROR(VLOOKUP($A13,[3]Productos!$A$3:$GG$201,[3]Productos!EF$1+1,0),"")</f>
        <v/>
      </c>
      <c r="V13" s="17" t="str">
        <f>IFERROR(VLOOKUP($A13,[3]Productos!$A$3:$GG$201,[3]Productos!EG$1+1,0),"")</f>
        <v/>
      </c>
      <c r="W13" s="17" t="str">
        <f>IFERROR(VLOOKUP($A13,[3]Productos!$A$3:$GG$201,[3]Productos!EH$1+1,0),"")</f>
        <v/>
      </c>
      <c r="X13" s="17" t="str">
        <f>IFERROR(VLOOKUP($A13,[3]Productos!$A$3:$GG$201,[3]Productos!EI$1+1,0),"")</f>
        <v/>
      </c>
      <c r="Y13" s="17" t="str">
        <f>IFERROR(VLOOKUP($A13,[3]Productos!$A$3:$GG$201,[3]Productos!EJ$1+1,0),"")</f>
        <v/>
      </c>
      <c r="Z13" s="17" t="str">
        <f>IFERROR(VLOOKUP($A13,[3]Productos!$A$3:$GG$201,[3]Productos!EK$1+1,0),"")</f>
        <v/>
      </c>
      <c r="AA13" s="17" t="str">
        <f>IFERROR(VLOOKUP($A13,[3]Productos!$A$3:$GG$201,[3]Productos!EL$1+1,0),"")</f>
        <v/>
      </c>
      <c r="AB13" s="17" t="str">
        <f>IFERROR(VLOOKUP($A13,[3]Productos!$A$3:$GG$201,[3]Productos!EM$1+1,0),"")</f>
        <v/>
      </c>
      <c r="AC13" s="17" t="str">
        <f>IFERROR(VLOOKUP($A13,[3]Productos!$A$3:$GG$201,[3]Productos!EN$1+1,0),"")</f>
        <v/>
      </c>
      <c r="AD13" s="17" t="str">
        <f>IFERROR(VLOOKUP($A13,[3]Productos!$A$3:$GG$201,[3]Productos!EO$1+1,0),"")</f>
        <v/>
      </c>
      <c r="AE13" s="17" t="str">
        <f>IFERROR(VLOOKUP($A13,[3]Productos!$A$3:$GG$201,[3]Productos!EP$1+1,0),"")</f>
        <v/>
      </c>
      <c r="AF13" s="17" t="str">
        <f>IFERROR(VLOOKUP($A13,[3]Productos!$A$3:$GG$201,[3]Productos!EQ$1+1,0),"")</f>
        <v/>
      </c>
      <c r="AG13" s="17" t="str">
        <f>IFERROR(VLOOKUP($A13,[3]Productos!$A$3:$GG$201,[3]Productos!ER$1+1,0),"")</f>
        <v/>
      </c>
    </row>
    <row r="14" spans="1:33" x14ac:dyDescent="0.25">
      <c r="B14" s="17" t="str">
        <f>IFERROR(VLOOKUP($A14,[3]Productos!$A$3:$GG$201,[3]Productos!DM$1+1,0),"")</f>
        <v/>
      </c>
      <c r="C14" s="17" t="str">
        <f>IFERROR(VLOOKUP($A14,[3]Productos!$A$3:$GG$201,[3]Productos!DN$1+1,0),"")</f>
        <v/>
      </c>
      <c r="D14" s="17" t="str">
        <f>IFERROR(VLOOKUP($A14,[3]Productos!$A$3:$GG$201,[3]Productos!DO$1+1,0),"")</f>
        <v/>
      </c>
      <c r="E14" s="17" t="str">
        <f>IFERROR(VLOOKUP($A14,[3]Productos!$A$3:$GG$201,[3]Productos!DP$1+1,0),"")</f>
        <v/>
      </c>
      <c r="F14" s="17" t="str">
        <f>IFERROR(VLOOKUP($A14,[3]Productos!$A$3:$GG$201,[3]Productos!DQ$1+1,0),"")</f>
        <v/>
      </c>
      <c r="G14" s="17" t="str">
        <f>IFERROR(VLOOKUP($A14,[3]Productos!$A$3:$GG$201,[3]Productos!DR$1+1,0),"")</f>
        <v/>
      </c>
      <c r="H14" s="17" t="str">
        <f>IFERROR(VLOOKUP($A14,[3]Productos!$A$3:$GG$201,[3]Productos!DS$1+1,0),"")</f>
        <v/>
      </c>
      <c r="I14" s="17" t="str">
        <f>IFERROR(VLOOKUP($A14,[3]Productos!$A$3:$GG$201,[3]Productos!DT$1+1,0),"")</f>
        <v/>
      </c>
      <c r="J14" s="17" t="str">
        <f>IFERROR(VLOOKUP($A14,[3]Productos!$A$3:$GG$201,[3]Productos!DU$1+1,0),"")</f>
        <v/>
      </c>
      <c r="K14" s="17" t="str">
        <f>IFERROR(VLOOKUP($A14,[3]Productos!$A$3:$GG$201,[3]Productos!DV$1+1,0),"")</f>
        <v/>
      </c>
      <c r="L14" s="17" t="str">
        <f>IFERROR(VLOOKUP($A14,[3]Productos!$A$3:$GG$201,[3]Productos!DW$1+1,0),"")</f>
        <v/>
      </c>
      <c r="M14" s="17" t="str">
        <f>IFERROR(VLOOKUP($A14,[3]Productos!$A$3:$GG$201,[3]Productos!DX$1+1,0),"")</f>
        <v/>
      </c>
      <c r="N14" s="17" t="str">
        <f>IFERROR(VLOOKUP($A14,[3]Productos!$A$3:$GG$201,[3]Productos!DY$1+1,0),"")</f>
        <v/>
      </c>
      <c r="O14" s="17" t="str">
        <f>IFERROR(VLOOKUP($A14,[3]Productos!$A$3:$GG$201,[3]Productos!DZ$1+1,0),"")</f>
        <v/>
      </c>
      <c r="P14" s="17" t="str">
        <f>IFERROR(VLOOKUP($A14,[3]Productos!$A$3:$GG$201,[3]Productos!EA$1+1,0),"")</f>
        <v/>
      </c>
      <c r="Q14" s="17" t="str">
        <f>IFERROR(VLOOKUP($A14,[3]Productos!$A$3:$GG$201,[3]Productos!EB$1+1,0),"")</f>
        <v/>
      </c>
      <c r="R14" s="17" t="str">
        <f>IFERROR(VLOOKUP($A14,[3]Productos!$A$3:$GG$201,[3]Productos!EC$1+1,0),"")</f>
        <v/>
      </c>
      <c r="S14" s="17" t="str">
        <f>IFERROR(VLOOKUP($A14,[3]Productos!$A$3:$GG$201,[3]Productos!ED$1+1,0),"")</f>
        <v/>
      </c>
      <c r="T14" s="17" t="str">
        <f>IFERROR(VLOOKUP($A14,[3]Productos!$A$3:$GG$201,[3]Productos!EE$1+1,0),"")</f>
        <v/>
      </c>
      <c r="U14" s="17" t="str">
        <f>IFERROR(VLOOKUP($A14,[3]Productos!$A$3:$GG$201,[3]Productos!EF$1+1,0),"")</f>
        <v/>
      </c>
      <c r="V14" s="17" t="str">
        <f>IFERROR(VLOOKUP($A14,[3]Productos!$A$3:$GG$201,[3]Productos!EG$1+1,0),"")</f>
        <v/>
      </c>
      <c r="W14" s="17" t="str">
        <f>IFERROR(VLOOKUP($A14,[3]Productos!$A$3:$GG$201,[3]Productos!EH$1+1,0),"")</f>
        <v/>
      </c>
      <c r="X14" s="17" t="str">
        <f>IFERROR(VLOOKUP($A14,[3]Productos!$A$3:$GG$201,[3]Productos!EI$1+1,0),"")</f>
        <v/>
      </c>
      <c r="Y14" s="17" t="str">
        <f>IFERROR(VLOOKUP($A14,[3]Productos!$A$3:$GG$201,[3]Productos!EJ$1+1,0),"")</f>
        <v/>
      </c>
      <c r="Z14" s="17" t="str">
        <f>IFERROR(VLOOKUP($A14,[3]Productos!$A$3:$GG$201,[3]Productos!EK$1+1,0),"")</f>
        <v/>
      </c>
      <c r="AA14" s="17" t="str">
        <f>IFERROR(VLOOKUP($A14,[3]Productos!$A$3:$GG$201,[3]Productos!EL$1+1,0),"")</f>
        <v/>
      </c>
      <c r="AB14" s="17" t="str">
        <f>IFERROR(VLOOKUP($A14,[3]Productos!$A$3:$GG$201,[3]Productos!EM$1+1,0),"")</f>
        <v/>
      </c>
      <c r="AC14" s="17" t="str">
        <f>IFERROR(VLOOKUP($A14,[3]Productos!$A$3:$GG$201,[3]Productos!EN$1+1,0),"")</f>
        <v/>
      </c>
      <c r="AD14" s="17" t="str">
        <f>IFERROR(VLOOKUP($A14,[3]Productos!$A$3:$GG$201,[3]Productos!EO$1+1,0),"")</f>
        <v/>
      </c>
      <c r="AE14" s="17" t="str">
        <f>IFERROR(VLOOKUP($A14,[3]Productos!$A$3:$GG$201,[3]Productos!EP$1+1,0),"")</f>
        <v/>
      </c>
      <c r="AF14" s="17" t="str">
        <f>IFERROR(VLOOKUP($A14,[3]Productos!$A$3:$GG$201,[3]Productos!EQ$1+1,0),"")</f>
        <v/>
      </c>
      <c r="AG14" s="17" t="str">
        <f>IFERROR(VLOOKUP($A14,[3]Productos!$A$3:$GG$201,[3]Productos!ER$1+1,0),"")</f>
        <v/>
      </c>
    </row>
    <row r="15" spans="1:33" x14ac:dyDescent="0.25">
      <c r="B15" s="17" t="str">
        <f>IFERROR(VLOOKUP($A15,[3]Productos!$A$3:$GG$201,[3]Productos!DM$1+1,0),"")</f>
        <v/>
      </c>
      <c r="C15" s="17" t="str">
        <f>IFERROR(VLOOKUP($A15,[3]Productos!$A$3:$GG$201,[3]Productos!DN$1+1,0),"")</f>
        <v/>
      </c>
      <c r="D15" s="17" t="str">
        <f>IFERROR(VLOOKUP($A15,[3]Productos!$A$3:$GG$201,[3]Productos!DO$1+1,0),"")</f>
        <v/>
      </c>
      <c r="E15" s="17" t="str">
        <f>IFERROR(VLOOKUP($A15,[3]Productos!$A$3:$GG$201,[3]Productos!DP$1+1,0),"")</f>
        <v/>
      </c>
      <c r="F15" s="17" t="str">
        <f>IFERROR(VLOOKUP($A15,[3]Productos!$A$3:$GG$201,[3]Productos!DQ$1+1,0),"")</f>
        <v/>
      </c>
      <c r="G15" s="17" t="str">
        <f>IFERROR(VLOOKUP($A15,[3]Productos!$A$3:$GG$201,[3]Productos!DR$1+1,0),"")</f>
        <v/>
      </c>
      <c r="H15" s="17" t="str">
        <f>IFERROR(VLOOKUP($A15,[3]Productos!$A$3:$GG$201,[3]Productos!DS$1+1,0),"")</f>
        <v/>
      </c>
      <c r="I15" s="17" t="str">
        <f>IFERROR(VLOOKUP($A15,[3]Productos!$A$3:$GG$201,[3]Productos!DT$1+1,0),"")</f>
        <v/>
      </c>
      <c r="J15" s="17" t="str">
        <f>IFERROR(VLOOKUP($A15,[3]Productos!$A$3:$GG$201,[3]Productos!DU$1+1,0),"")</f>
        <v/>
      </c>
      <c r="K15" s="17" t="str">
        <f>IFERROR(VLOOKUP($A15,[3]Productos!$A$3:$GG$201,[3]Productos!DV$1+1,0),"")</f>
        <v/>
      </c>
      <c r="L15" s="17" t="str">
        <f>IFERROR(VLOOKUP($A15,[3]Productos!$A$3:$GG$201,[3]Productos!DW$1+1,0),"")</f>
        <v/>
      </c>
      <c r="M15" s="17" t="str">
        <f>IFERROR(VLOOKUP($A15,[3]Productos!$A$3:$GG$201,[3]Productos!DX$1+1,0),"")</f>
        <v/>
      </c>
      <c r="N15" s="17" t="str">
        <f>IFERROR(VLOOKUP($A15,[3]Productos!$A$3:$GG$201,[3]Productos!DY$1+1,0),"")</f>
        <v/>
      </c>
      <c r="O15" s="17" t="str">
        <f>IFERROR(VLOOKUP($A15,[3]Productos!$A$3:$GG$201,[3]Productos!DZ$1+1,0),"")</f>
        <v/>
      </c>
      <c r="P15" s="17" t="str">
        <f>IFERROR(VLOOKUP($A15,[3]Productos!$A$3:$GG$201,[3]Productos!EA$1+1,0),"")</f>
        <v/>
      </c>
      <c r="Q15" s="17" t="str">
        <f>IFERROR(VLOOKUP($A15,[3]Productos!$A$3:$GG$201,[3]Productos!EB$1+1,0),"")</f>
        <v/>
      </c>
      <c r="R15" s="17" t="str">
        <f>IFERROR(VLOOKUP($A15,[3]Productos!$A$3:$GG$201,[3]Productos!EC$1+1,0),"")</f>
        <v/>
      </c>
      <c r="S15" s="17" t="str">
        <f>IFERROR(VLOOKUP($A15,[3]Productos!$A$3:$GG$201,[3]Productos!ED$1+1,0),"")</f>
        <v/>
      </c>
      <c r="T15" s="17" t="str">
        <f>IFERROR(VLOOKUP($A15,[3]Productos!$A$3:$GG$201,[3]Productos!EE$1+1,0),"")</f>
        <v/>
      </c>
      <c r="U15" s="17" t="str">
        <f>IFERROR(VLOOKUP($A15,[3]Productos!$A$3:$GG$201,[3]Productos!EF$1+1,0),"")</f>
        <v/>
      </c>
      <c r="V15" s="17" t="str">
        <f>IFERROR(VLOOKUP($A15,[3]Productos!$A$3:$GG$201,[3]Productos!EG$1+1,0),"")</f>
        <v/>
      </c>
      <c r="W15" s="17" t="str">
        <f>IFERROR(VLOOKUP($A15,[3]Productos!$A$3:$GG$201,[3]Productos!EH$1+1,0),"")</f>
        <v/>
      </c>
      <c r="X15" s="17" t="str">
        <f>IFERROR(VLOOKUP($A15,[3]Productos!$A$3:$GG$201,[3]Productos!EI$1+1,0),"")</f>
        <v/>
      </c>
      <c r="Y15" s="17" t="str">
        <f>IFERROR(VLOOKUP($A15,[3]Productos!$A$3:$GG$201,[3]Productos!EJ$1+1,0),"")</f>
        <v/>
      </c>
      <c r="Z15" s="17" t="str">
        <f>IFERROR(VLOOKUP($A15,[3]Productos!$A$3:$GG$201,[3]Productos!EK$1+1,0),"")</f>
        <v/>
      </c>
      <c r="AA15" s="17" t="str">
        <f>IFERROR(VLOOKUP($A15,[3]Productos!$A$3:$GG$201,[3]Productos!EL$1+1,0),"")</f>
        <v/>
      </c>
      <c r="AB15" s="17" t="str">
        <f>IFERROR(VLOOKUP($A15,[3]Productos!$A$3:$GG$201,[3]Productos!EM$1+1,0),"")</f>
        <v/>
      </c>
      <c r="AC15" s="17" t="str">
        <f>IFERROR(VLOOKUP($A15,[3]Productos!$A$3:$GG$201,[3]Productos!EN$1+1,0),"")</f>
        <v/>
      </c>
      <c r="AD15" s="17" t="str">
        <f>IFERROR(VLOOKUP($A15,[3]Productos!$A$3:$GG$201,[3]Productos!EO$1+1,0),"")</f>
        <v/>
      </c>
      <c r="AE15" s="17" t="str">
        <f>IFERROR(VLOOKUP($A15,[3]Productos!$A$3:$GG$201,[3]Productos!EP$1+1,0),"")</f>
        <v/>
      </c>
      <c r="AF15" s="17" t="str">
        <f>IFERROR(VLOOKUP($A15,[3]Productos!$A$3:$GG$201,[3]Productos!EQ$1+1,0),"")</f>
        <v/>
      </c>
      <c r="AG15" s="17" t="str">
        <f>IFERROR(VLOOKUP($A15,[3]Productos!$A$3:$GG$201,[3]Productos!ER$1+1,0),"")</f>
        <v/>
      </c>
    </row>
    <row r="16" spans="1:33" x14ac:dyDescent="0.25">
      <c r="B16" s="17" t="str">
        <f>IFERROR(VLOOKUP($A16,[3]Productos!$A$3:$GG$201,[3]Productos!DM$1+1,0),"")</f>
        <v/>
      </c>
      <c r="C16" s="17" t="str">
        <f>IFERROR(VLOOKUP($A16,[3]Productos!$A$3:$GG$201,[3]Productos!DN$1+1,0),"")</f>
        <v/>
      </c>
      <c r="D16" s="17" t="str">
        <f>IFERROR(VLOOKUP($A16,[3]Productos!$A$3:$GG$201,[3]Productos!DO$1+1,0),"")</f>
        <v/>
      </c>
      <c r="E16" s="17" t="str">
        <f>IFERROR(VLOOKUP($A16,[3]Productos!$A$3:$GG$201,[3]Productos!DP$1+1,0),"")</f>
        <v/>
      </c>
      <c r="F16" s="17" t="str">
        <f>IFERROR(VLOOKUP($A16,[3]Productos!$A$3:$GG$201,[3]Productos!DQ$1+1,0),"")</f>
        <v/>
      </c>
      <c r="G16" s="17" t="str">
        <f>IFERROR(VLOOKUP($A16,[3]Productos!$A$3:$GG$201,[3]Productos!DR$1+1,0),"")</f>
        <v/>
      </c>
      <c r="H16" s="17" t="str">
        <f>IFERROR(VLOOKUP($A16,[3]Productos!$A$3:$GG$201,[3]Productos!DS$1+1,0),"")</f>
        <v/>
      </c>
      <c r="I16" s="17" t="str">
        <f>IFERROR(VLOOKUP($A16,[3]Productos!$A$3:$GG$201,[3]Productos!DT$1+1,0),"")</f>
        <v/>
      </c>
      <c r="J16" s="17" t="str">
        <f>IFERROR(VLOOKUP($A16,[3]Productos!$A$3:$GG$201,[3]Productos!DU$1+1,0),"")</f>
        <v/>
      </c>
      <c r="K16" s="17" t="str">
        <f>IFERROR(VLOOKUP($A16,[3]Productos!$A$3:$GG$201,[3]Productos!DV$1+1,0),"")</f>
        <v/>
      </c>
      <c r="L16" s="17" t="str">
        <f>IFERROR(VLOOKUP($A16,[3]Productos!$A$3:$GG$201,[3]Productos!DW$1+1,0),"")</f>
        <v/>
      </c>
      <c r="M16" s="17" t="str">
        <f>IFERROR(VLOOKUP($A16,[3]Productos!$A$3:$GG$201,[3]Productos!DX$1+1,0),"")</f>
        <v/>
      </c>
      <c r="N16" s="17" t="str">
        <f>IFERROR(VLOOKUP($A16,[3]Productos!$A$3:$GG$201,[3]Productos!DY$1+1,0),"")</f>
        <v/>
      </c>
      <c r="O16" s="17" t="str">
        <f>IFERROR(VLOOKUP($A16,[3]Productos!$A$3:$GG$201,[3]Productos!DZ$1+1,0),"")</f>
        <v/>
      </c>
      <c r="P16" s="17" t="str">
        <f>IFERROR(VLOOKUP($A16,[3]Productos!$A$3:$GG$201,[3]Productos!EA$1+1,0),"")</f>
        <v/>
      </c>
      <c r="Q16" s="17" t="str">
        <f>IFERROR(VLOOKUP($A16,[3]Productos!$A$3:$GG$201,[3]Productos!EB$1+1,0),"")</f>
        <v/>
      </c>
      <c r="R16" s="17" t="str">
        <f>IFERROR(VLOOKUP($A16,[3]Productos!$A$3:$GG$201,[3]Productos!EC$1+1,0),"")</f>
        <v/>
      </c>
      <c r="S16" s="17" t="str">
        <f>IFERROR(VLOOKUP($A16,[3]Productos!$A$3:$GG$201,[3]Productos!ED$1+1,0),"")</f>
        <v/>
      </c>
      <c r="T16" s="17" t="str">
        <f>IFERROR(VLOOKUP($A16,[3]Productos!$A$3:$GG$201,[3]Productos!EE$1+1,0),"")</f>
        <v/>
      </c>
      <c r="U16" s="17" t="str">
        <f>IFERROR(VLOOKUP($A16,[3]Productos!$A$3:$GG$201,[3]Productos!EF$1+1,0),"")</f>
        <v/>
      </c>
      <c r="V16" s="17" t="str">
        <f>IFERROR(VLOOKUP($A16,[3]Productos!$A$3:$GG$201,[3]Productos!EG$1+1,0),"")</f>
        <v/>
      </c>
      <c r="W16" s="17" t="str">
        <f>IFERROR(VLOOKUP($A16,[3]Productos!$A$3:$GG$201,[3]Productos!EH$1+1,0),"")</f>
        <v/>
      </c>
      <c r="X16" s="17" t="str">
        <f>IFERROR(VLOOKUP($A16,[3]Productos!$A$3:$GG$201,[3]Productos!EI$1+1,0),"")</f>
        <v/>
      </c>
      <c r="Y16" s="17" t="str">
        <f>IFERROR(VLOOKUP($A16,[3]Productos!$A$3:$GG$201,[3]Productos!EJ$1+1,0),"")</f>
        <v/>
      </c>
      <c r="Z16" s="17" t="str">
        <f>IFERROR(VLOOKUP($A16,[3]Productos!$A$3:$GG$201,[3]Productos!EK$1+1,0),"")</f>
        <v/>
      </c>
      <c r="AA16" s="17" t="str">
        <f>IFERROR(VLOOKUP($A16,[3]Productos!$A$3:$GG$201,[3]Productos!EL$1+1,0),"")</f>
        <v/>
      </c>
      <c r="AB16" s="17" t="str">
        <f>IFERROR(VLOOKUP($A16,[3]Productos!$A$3:$GG$201,[3]Productos!EM$1+1,0),"")</f>
        <v/>
      </c>
      <c r="AC16" s="17" t="str">
        <f>IFERROR(VLOOKUP($A16,[3]Productos!$A$3:$GG$201,[3]Productos!EN$1+1,0),"")</f>
        <v/>
      </c>
      <c r="AD16" s="17" t="str">
        <f>IFERROR(VLOOKUP($A16,[3]Productos!$A$3:$GG$201,[3]Productos!EO$1+1,0),"")</f>
        <v/>
      </c>
      <c r="AE16" s="17" t="str">
        <f>IFERROR(VLOOKUP($A16,[3]Productos!$A$3:$GG$201,[3]Productos!EP$1+1,0),"")</f>
        <v/>
      </c>
      <c r="AF16" s="17" t="str">
        <f>IFERROR(VLOOKUP($A16,[3]Productos!$A$3:$GG$201,[3]Productos!EQ$1+1,0),"")</f>
        <v/>
      </c>
      <c r="AG16" s="17" t="str">
        <f>IFERROR(VLOOKUP($A16,[3]Productos!$A$3:$GG$201,[3]Productos!ER$1+1,0),"")</f>
        <v/>
      </c>
    </row>
    <row r="17" spans="2:33" x14ac:dyDescent="0.25">
      <c r="B17" s="17" t="str">
        <f>IFERROR(VLOOKUP($A17,[3]Productos!$A$3:$GG$201,[3]Productos!DM$1+1,0),"")</f>
        <v/>
      </c>
      <c r="C17" s="17" t="str">
        <f>IFERROR(VLOOKUP($A17,[3]Productos!$A$3:$GG$201,[3]Productos!DN$1+1,0),"")</f>
        <v/>
      </c>
      <c r="D17" s="17" t="str">
        <f>IFERROR(VLOOKUP($A17,[3]Productos!$A$3:$GG$201,[3]Productos!DO$1+1,0),"")</f>
        <v/>
      </c>
      <c r="E17" s="17" t="str">
        <f>IFERROR(VLOOKUP($A17,[3]Productos!$A$3:$GG$201,[3]Productos!DP$1+1,0),"")</f>
        <v/>
      </c>
      <c r="F17" s="17" t="str">
        <f>IFERROR(VLOOKUP($A17,[3]Productos!$A$3:$GG$201,[3]Productos!DQ$1+1,0),"")</f>
        <v/>
      </c>
      <c r="G17" s="17" t="str">
        <f>IFERROR(VLOOKUP($A17,[3]Productos!$A$3:$GG$201,[3]Productos!DR$1+1,0),"")</f>
        <v/>
      </c>
      <c r="H17" s="17" t="str">
        <f>IFERROR(VLOOKUP($A17,[3]Productos!$A$3:$GG$201,[3]Productos!DS$1+1,0),"")</f>
        <v/>
      </c>
      <c r="I17" s="17" t="str">
        <f>IFERROR(VLOOKUP($A17,[3]Productos!$A$3:$GG$201,[3]Productos!DT$1+1,0),"")</f>
        <v/>
      </c>
      <c r="J17" s="17" t="str">
        <f>IFERROR(VLOOKUP($A17,[3]Productos!$A$3:$GG$201,[3]Productos!DU$1+1,0),"")</f>
        <v/>
      </c>
      <c r="K17" s="17" t="str">
        <f>IFERROR(VLOOKUP($A17,[3]Productos!$A$3:$GG$201,[3]Productos!DV$1+1,0),"")</f>
        <v/>
      </c>
      <c r="L17" s="17" t="str">
        <f>IFERROR(VLOOKUP($A17,[3]Productos!$A$3:$GG$201,[3]Productos!DW$1+1,0),"")</f>
        <v/>
      </c>
      <c r="M17" s="17" t="str">
        <f>IFERROR(VLOOKUP($A17,[3]Productos!$A$3:$GG$201,[3]Productos!DX$1+1,0),"")</f>
        <v/>
      </c>
      <c r="N17" s="17" t="str">
        <f>IFERROR(VLOOKUP($A17,[3]Productos!$A$3:$GG$201,[3]Productos!DY$1+1,0),"")</f>
        <v/>
      </c>
      <c r="O17" s="17" t="str">
        <f>IFERROR(VLOOKUP($A17,[3]Productos!$A$3:$GG$201,[3]Productos!DZ$1+1,0),"")</f>
        <v/>
      </c>
      <c r="P17" s="17" t="str">
        <f>IFERROR(VLOOKUP($A17,[3]Productos!$A$3:$GG$201,[3]Productos!EA$1+1,0),"")</f>
        <v/>
      </c>
      <c r="Q17" s="17" t="str">
        <f>IFERROR(VLOOKUP($A17,[3]Productos!$A$3:$GG$201,[3]Productos!EB$1+1,0),"")</f>
        <v/>
      </c>
      <c r="R17" s="17" t="str">
        <f>IFERROR(VLOOKUP($A17,[3]Productos!$A$3:$GG$201,[3]Productos!EC$1+1,0),"")</f>
        <v/>
      </c>
      <c r="S17" s="17" t="str">
        <f>IFERROR(VLOOKUP($A17,[3]Productos!$A$3:$GG$201,[3]Productos!ED$1+1,0),"")</f>
        <v/>
      </c>
      <c r="T17" s="17" t="str">
        <f>IFERROR(VLOOKUP($A17,[3]Productos!$A$3:$GG$201,[3]Productos!EE$1+1,0),"")</f>
        <v/>
      </c>
      <c r="U17" s="17" t="str">
        <f>IFERROR(VLOOKUP($A17,[3]Productos!$A$3:$GG$201,[3]Productos!EF$1+1,0),"")</f>
        <v/>
      </c>
      <c r="V17" s="17" t="str">
        <f>IFERROR(VLOOKUP($A17,[3]Productos!$A$3:$GG$201,[3]Productos!EG$1+1,0),"")</f>
        <v/>
      </c>
      <c r="W17" s="17" t="str">
        <f>IFERROR(VLOOKUP($A17,[3]Productos!$A$3:$GG$201,[3]Productos!EH$1+1,0),"")</f>
        <v/>
      </c>
      <c r="X17" s="17" t="str">
        <f>IFERROR(VLOOKUP($A17,[3]Productos!$A$3:$GG$201,[3]Productos!EI$1+1,0),"")</f>
        <v/>
      </c>
      <c r="Y17" s="17" t="str">
        <f>IFERROR(VLOOKUP($A17,[3]Productos!$A$3:$GG$201,[3]Productos!EJ$1+1,0),"")</f>
        <v/>
      </c>
      <c r="Z17" s="17" t="str">
        <f>IFERROR(VLOOKUP($A17,[3]Productos!$A$3:$GG$201,[3]Productos!EK$1+1,0),"")</f>
        <v/>
      </c>
      <c r="AA17" s="17" t="str">
        <f>IFERROR(VLOOKUP($A17,[3]Productos!$A$3:$GG$201,[3]Productos!EL$1+1,0),"")</f>
        <v/>
      </c>
      <c r="AB17" s="17" t="str">
        <f>IFERROR(VLOOKUP($A17,[3]Productos!$A$3:$GG$201,[3]Productos!EM$1+1,0),"")</f>
        <v/>
      </c>
      <c r="AC17" s="17" t="str">
        <f>IFERROR(VLOOKUP($A17,[3]Productos!$A$3:$GG$201,[3]Productos!EN$1+1,0),"")</f>
        <v/>
      </c>
      <c r="AD17" s="17" t="str">
        <f>IFERROR(VLOOKUP($A17,[3]Productos!$A$3:$GG$201,[3]Productos!EO$1+1,0),"")</f>
        <v/>
      </c>
      <c r="AE17" s="17" t="str">
        <f>IFERROR(VLOOKUP($A17,[3]Productos!$A$3:$GG$201,[3]Productos!EP$1+1,0),"")</f>
        <v/>
      </c>
      <c r="AF17" s="17" t="str">
        <f>IFERROR(VLOOKUP($A17,[3]Productos!$A$3:$GG$201,[3]Productos!EQ$1+1,0),"")</f>
        <v/>
      </c>
      <c r="AG17" s="17" t="str">
        <f>IFERROR(VLOOKUP($A17,[3]Productos!$A$3:$GG$201,[3]Productos!ER$1+1,0),"")</f>
        <v/>
      </c>
    </row>
    <row r="18" spans="2:33" x14ac:dyDescent="0.25">
      <c r="B18" s="17" t="str">
        <f>IFERROR(VLOOKUP($A18,[3]Productos!$A$3:$GG$201,[3]Productos!DM$1+1,0),"")</f>
        <v/>
      </c>
      <c r="C18" s="17" t="str">
        <f>IFERROR(VLOOKUP($A18,[3]Productos!$A$3:$GG$201,[3]Productos!DN$1+1,0),"")</f>
        <v/>
      </c>
      <c r="D18" s="17" t="str">
        <f>IFERROR(VLOOKUP($A18,[3]Productos!$A$3:$GG$201,[3]Productos!DO$1+1,0),"")</f>
        <v/>
      </c>
      <c r="E18" s="17" t="str">
        <f>IFERROR(VLOOKUP($A18,[3]Productos!$A$3:$GG$201,[3]Productos!DP$1+1,0),"")</f>
        <v/>
      </c>
      <c r="F18" s="17" t="str">
        <f>IFERROR(VLOOKUP($A18,[3]Productos!$A$3:$GG$201,[3]Productos!DQ$1+1,0),"")</f>
        <v/>
      </c>
      <c r="G18" s="17" t="str">
        <f>IFERROR(VLOOKUP($A18,[3]Productos!$A$3:$GG$201,[3]Productos!DR$1+1,0),"")</f>
        <v/>
      </c>
      <c r="H18" s="17" t="str">
        <f>IFERROR(VLOOKUP($A18,[3]Productos!$A$3:$GG$201,[3]Productos!DS$1+1,0),"")</f>
        <v/>
      </c>
      <c r="I18" s="17" t="str">
        <f>IFERROR(VLOOKUP($A18,[3]Productos!$A$3:$GG$201,[3]Productos!DT$1+1,0),"")</f>
        <v/>
      </c>
      <c r="J18" s="17" t="str">
        <f>IFERROR(VLOOKUP($A18,[3]Productos!$A$3:$GG$201,[3]Productos!DU$1+1,0),"")</f>
        <v/>
      </c>
      <c r="K18" s="17" t="str">
        <f>IFERROR(VLOOKUP($A18,[3]Productos!$A$3:$GG$201,[3]Productos!DV$1+1,0),"")</f>
        <v/>
      </c>
      <c r="L18" s="17" t="str">
        <f>IFERROR(VLOOKUP($A18,[3]Productos!$A$3:$GG$201,[3]Productos!DW$1+1,0),"")</f>
        <v/>
      </c>
      <c r="M18" s="17" t="str">
        <f>IFERROR(VLOOKUP($A18,[3]Productos!$A$3:$GG$201,[3]Productos!DX$1+1,0),"")</f>
        <v/>
      </c>
      <c r="N18" s="17" t="str">
        <f>IFERROR(VLOOKUP($A18,[3]Productos!$A$3:$GG$201,[3]Productos!DY$1+1,0),"")</f>
        <v/>
      </c>
      <c r="O18" s="17" t="str">
        <f>IFERROR(VLOOKUP($A18,[3]Productos!$A$3:$GG$201,[3]Productos!DZ$1+1,0),"")</f>
        <v/>
      </c>
      <c r="P18" s="17" t="str">
        <f>IFERROR(VLOOKUP($A18,[3]Productos!$A$3:$GG$201,[3]Productos!EA$1+1,0),"")</f>
        <v/>
      </c>
      <c r="Q18" s="17" t="str">
        <f>IFERROR(VLOOKUP($A18,[3]Productos!$A$3:$GG$201,[3]Productos!EB$1+1,0),"")</f>
        <v/>
      </c>
      <c r="R18" s="17" t="str">
        <f>IFERROR(VLOOKUP($A18,[3]Productos!$A$3:$GG$201,[3]Productos!EC$1+1,0),"")</f>
        <v/>
      </c>
      <c r="S18" s="17" t="str">
        <f>IFERROR(VLOOKUP($A18,[3]Productos!$A$3:$GG$201,[3]Productos!ED$1+1,0),"")</f>
        <v/>
      </c>
      <c r="T18" s="17" t="str">
        <f>IFERROR(VLOOKUP($A18,[3]Productos!$A$3:$GG$201,[3]Productos!EE$1+1,0),"")</f>
        <v/>
      </c>
      <c r="U18" s="17" t="str">
        <f>IFERROR(VLOOKUP($A18,[3]Productos!$A$3:$GG$201,[3]Productos!EF$1+1,0),"")</f>
        <v/>
      </c>
      <c r="V18" s="17" t="str">
        <f>IFERROR(VLOOKUP($A18,[3]Productos!$A$3:$GG$201,[3]Productos!EG$1+1,0),"")</f>
        <v/>
      </c>
      <c r="W18" s="17" t="str">
        <f>IFERROR(VLOOKUP($A18,[3]Productos!$A$3:$GG$201,[3]Productos!EH$1+1,0),"")</f>
        <v/>
      </c>
      <c r="X18" s="17" t="str">
        <f>IFERROR(VLOOKUP($A18,[3]Productos!$A$3:$GG$201,[3]Productos!EI$1+1,0),"")</f>
        <v/>
      </c>
      <c r="Y18" s="17" t="str">
        <f>IFERROR(VLOOKUP($A18,[3]Productos!$A$3:$GG$201,[3]Productos!EJ$1+1,0),"")</f>
        <v/>
      </c>
      <c r="Z18" s="17" t="str">
        <f>IFERROR(VLOOKUP($A18,[3]Productos!$A$3:$GG$201,[3]Productos!EK$1+1,0),"")</f>
        <v/>
      </c>
      <c r="AA18" s="17" t="str">
        <f>IFERROR(VLOOKUP($A18,[3]Productos!$A$3:$GG$201,[3]Productos!EL$1+1,0),"")</f>
        <v/>
      </c>
      <c r="AB18" s="17" t="str">
        <f>IFERROR(VLOOKUP($A18,[3]Productos!$A$3:$GG$201,[3]Productos!EM$1+1,0),"")</f>
        <v/>
      </c>
      <c r="AC18" s="17" t="str">
        <f>IFERROR(VLOOKUP($A18,[3]Productos!$A$3:$GG$201,[3]Productos!EN$1+1,0),"")</f>
        <v/>
      </c>
      <c r="AD18" s="17" t="str">
        <f>IFERROR(VLOOKUP($A18,[3]Productos!$A$3:$GG$201,[3]Productos!EO$1+1,0),"")</f>
        <v/>
      </c>
      <c r="AE18" s="17" t="str">
        <f>IFERROR(VLOOKUP($A18,[3]Productos!$A$3:$GG$201,[3]Productos!EP$1+1,0),"")</f>
        <v/>
      </c>
      <c r="AF18" s="17" t="str">
        <f>IFERROR(VLOOKUP($A18,[3]Productos!$A$3:$GG$201,[3]Productos!EQ$1+1,0),"")</f>
        <v/>
      </c>
      <c r="AG18" s="17" t="str">
        <f>IFERROR(VLOOKUP($A18,[3]Productos!$A$3:$GG$201,[3]Productos!ER$1+1,0),"")</f>
        <v/>
      </c>
    </row>
    <row r="19" spans="2:33" x14ac:dyDescent="0.25">
      <c r="B19" s="17" t="str">
        <f>IFERROR(VLOOKUP($A19,[3]Productos!$A$3:$GG$201,[3]Productos!DM$1+1,0),"")</f>
        <v/>
      </c>
      <c r="C19" s="17" t="str">
        <f>IFERROR(VLOOKUP($A19,[3]Productos!$A$3:$GG$201,[3]Productos!DN$1+1,0),"")</f>
        <v/>
      </c>
      <c r="D19" s="17" t="str">
        <f>IFERROR(VLOOKUP($A19,[3]Productos!$A$3:$GG$201,[3]Productos!DO$1+1,0),"")</f>
        <v/>
      </c>
      <c r="E19" s="17" t="str">
        <f>IFERROR(VLOOKUP($A19,[3]Productos!$A$3:$GG$201,[3]Productos!DP$1+1,0),"")</f>
        <v/>
      </c>
      <c r="F19" s="17" t="str">
        <f>IFERROR(VLOOKUP($A19,[3]Productos!$A$3:$GG$201,[3]Productos!DQ$1+1,0),"")</f>
        <v/>
      </c>
      <c r="G19" s="17" t="str">
        <f>IFERROR(VLOOKUP($A19,[3]Productos!$A$3:$GG$201,[3]Productos!DR$1+1,0),"")</f>
        <v/>
      </c>
      <c r="H19" s="17" t="str">
        <f>IFERROR(VLOOKUP($A19,[3]Productos!$A$3:$GG$201,[3]Productos!DS$1+1,0),"")</f>
        <v/>
      </c>
      <c r="I19" s="17" t="str">
        <f>IFERROR(VLOOKUP($A19,[3]Productos!$A$3:$GG$201,[3]Productos!DT$1+1,0),"")</f>
        <v/>
      </c>
      <c r="J19" s="17" t="str">
        <f>IFERROR(VLOOKUP($A19,[3]Productos!$A$3:$GG$201,[3]Productos!DU$1+1,0),"")</f>
        <v/>
      </c>
      <c r="K19" s="17" t="str">
        <f>IFERROR(VLOOKUP($A19,[3]Productos!$A$3:$GG$201,[3]Productos!DV$1+1,0),"")</f>
        <v/>
      </c>
      <c r="L19" s="17" t="str">
        <f>IFERROR(VLOOKUP($A19,[3]Productos!$A$3:$GG$201,[3]Productos!DW$1+1,0),"")</f>
        <v/>
      </c>
      <c r="M19" s="17" t="str">
        <f>IFERROR(VLOOKUP($A19,[3]Productos!$A$3:$GG$201,[3]Productos!DX$1+1,0),"")</f>
        <v/>
      </c>
      <c r="N19" s="17" t="str">
        <f>IFERROR(VLOOKUP($A19,[3]Productos!$A$3:$GG$201,[3]Productos!DY$1+1,0),"")</f>
        <v/>
      </c>
      <c r="O19" s="17" t="str">
        <f>IFERROR(VLOOKUP($A19,[3]Productos!$A$3:$GG$201,[3]Productos!DZ$1+1,0),"")</f>
        <v/>
      </c>
      <c r="P19" s="17" t="str">
        <f>IFERROR(VLOOKUP($A19,[3]Productos!$A$3:$GG$201,[3]Productos!EA$1+1,0),"")</f>
        <v/>
      </c>
      <c r="Q19" s="17" t="str">
        <f>IFERROR(VLOOKUP($A19,[3]Productos!$A$3:$GG$201,[3]Productos!EB$1+1,0),"")</f>
        <v/>
      </c>
      <c r="R19" s="17" t="str">
        <f>IFERROR(VLOOKUP($A19,[3]Productos!$A$3:$GG$201,[3]Productos!EC$1+1,0),"")</f>
        <v/>
      </c>
      <c r="S19" s="17" t="str">
        <f>IFERROR(VLOOKUP($A19,[3]Productos!$A$3:$GG$201,[3]Productos!ED$1+1,0),"")</f>
        <v/>
      </c>
      <c r="T19" s="17" t="str">
        <f>IFERROR(VLOOKUP($A19,[3]Productos!$A$3:$GG$201,[3]Productos!EE$1+1,0),"")</f>
        <v/>
      </c>
      <c r="U19" s="17" t="str">
        <f>IFERROR(VLOOKUP($A19,[3]Productos!$A$3:$GG$201,[3]Productos!EF$1+1,0),"")</f>
        <v/>
      </c>
      <c r="V19" s="17" t="str">
        <f>IFERROR(VLOOKUP($A19,[3]Productos!$A$3:$GG$201,[3]Productos!EG$1+1,0),"")</f>
        <v/>
      </c>
      <c r="W19" s="17" t="str">
        <f>IFERROR(VLOOKUP($A19,[3]Productos!$A$3:$GG$201,[3]Productos!EH$1+1,0),"")</f>
        <v/>
      </c>
      <c r="X19" s="17" t="str">
        <f>IFERROR(VLOOKUP($A19,[3]Productos!$A$3:$GG$201,[3]Productos!EI$1+1,0),"")</f>
        <v/>
      </c>
      <c r="Y19" s="17" t="str">
        <f>IFERROR(VLOOKUP($A19,[3]Productos!$A$3:$GG$201,[3]Productos!EJ$1+1,0),"")</f>
        <v/>
      </c>
      <c r="Z19" s="17" t="str">
        <f>IFERROR(VLOOKUP($A19,[3]Productos!$A$3:$GG$201,[3]Productos!EK$1+1,0),"")</f>
        <v/>
      </c>
      <c r="AA19" s="17" t="str">
        <f>IFERROR(VLOOKUP($A19,[3]Productos!$A$3:$GG$201,[3]Productos!EL$1+1,0),"")</f>
        <v/>
      </c>
      <c r="AB19" s="17" t="str">
        <f>IFERROR(VLOOKUP($A19,[3]Productos!$A$3:$GG$201,[3]Productos!EM$1+1,0),"")</f>
        <v/>
      </c>
      <c r="AC19" s="17" t="str">
        <f>IFERROR(VLOOKUP($A19,[3]Productos!$A$3:$GG$201,[3]Productos!EN$1+1,0),"")</f>
        <v/>
      </c>
      <c r="AD19" s="17" t="str">
        <f>IFERROR(VLOOKUP($A19,[3]Productos!$A$3:$GG$201,[3]Productos!EO$1+1,0),"")</f>
        <v/>
      </c>
      <c r="AE19" s="17" t="str">
        <f>IFERROR(VLOOKUP($A19,[3]Productos!$A$3:$GG$201,[3]Productos!EP$1+1,0),"")</f>
        <v/>
      </c>
      <c r="AF19" s="17" t="str">
        <f>IFERROR(VLOOKUP($A19,[3]Productos!$A$3:$GG$201,[3]Productos!EQ$1+1,0),"")</f>
        <v/>
      </c>
      <c r="AG19" s="17" t="str">
        <f>IFERROR(VLOOKUP($A19,[3]Productos!$A$3:$GG$201,[3]Productos!ER$1+1,0),"")</f>
        <v/>
      </c>
    </row>
    <row r="20" spans="2:33" x14ac:dyDescent="0.25">
      <c r="B20" s="17" t="str">
        <f>IFERROR(VLOOKUP($A20,[3]Productos!$A$3:$GG$201,[3]Productos!DM$1+1,0),"")</f>
        <v/>
      </c>
      <c r="C20" s="17" t="str">
        <f>IFERROR(VLOOKUP($A20,[3]Productos!$A$3:$GG$201,[3]Productos!DN$1+1,0),"")</f>
        <v/>
      </c>
      <c r="D20" s="17" t="str">
        <f>IFERROR(VLOOKUP($A20,[3]Productos!$A$3:$GG$201,[3]Productos!DO$1+1,0),"")</f>
        <v/>
      </c>
      <c r="E20" s="17" t="str">
        <f>IFERROR(VLOOKUP($A20,[3]Productos!$A$3:$GG$201,[3]Productos!DP$1+1,0),"")</f>
        <v/>
      </c>
      <c r="F20" s="17" t="str">
        <f>IFERROR(VLOOKUP($A20,[3]Productos!$A$3:$GG$201,[3]Productos!DQ$1+1,0),"")</f>
        <v/>
      </c>
      <c r="G20" s="17" t="str">
        <f>IFERROR(VLOOKUP($A20,[3]Productos!$A$3:$GG$201,[3]Productos!DR$1+1,0),"")</f>
        <v/>
      </c>
      <c r="H20" s="17" t="str">
        <f>IFERROR(VLOOKUP($A20,[3]Productos!$A$3:$GG$201,[3]Productos!DS$1+1,0),"")</f>
        <v/>
      </c>
      <c r="I20" s="17" t="str">
        <f>IFERROR(VLOOKUP($A20,[3]Productos!$A$3:$GG$201,[3]Productos!DT$1+1,0),"")</f>
        <v/>
      </c>
      <c r="J20" s="17" t="str">
        <f>IFERROR(VLOOKUP($A20,[3]Productos!$A$3:$GG$201,[3]Productos!DU$1+1,0),"")</f>
        <v/>
      </c>
      <c r="K20" s="17" t="str">
        <f>IFERROR(VLOOKUP($A20,[3]Productos!$A$3:$GG$201,[3]Productos!DV$1+1,0),"")</f>
        <v/>
      </c>
      <c r="L20" s="17" t="str">
        <f>IFERROR(VLOOKUP($A20,[3]Productos!$A$3:$GG$201,[3]Productos!DW$1+1,0),"")</f>
        <v/>
      </c>
      <c r="M20" s="17" t="str">
        <f>IFERROR(VLOOKUP($A20,[3]Productos!$A$3:$GG$201,[3]Productos!DX$1+1,0),"")</f>
        <v/>
      </c>
      <c r="N20" s="17" t="str">
        <f>IFERROR(VLOOKUP($A20,[3]Productos!$A$3:$GG$201,[3]Productos!DY$1+1,0),"")</f>
        <v/>
      </c>
      <c r="O20" s="17" t="str">
        <f>IFERROR(VLOOKUP($A20,[3]Productos!$A$3:$GG$201,[3]Productos!DZ$1+1,0),"")</f>
        <v/>
      </c>
      <c r="P20" s="17" t="str">
        <f>IFERROR(VLOOKUP($A20,[3]Productos!$A$3:$GG$201,[3]Productos!EA$1+1,0),"")</f>
        <v/>
      </c>
      <c r="Q20" s="17" t="str">
        <f>IFERROR(VLOOKUP($A20,[3]Productos!$A$3:$GG$201,[3]Productos!EB$1+1,0),"")</f>
        <v/>
      </c>
      <c r="R20" s="17" t="str">
        <f>IFERROR(VLOOKUP($A20,[3]Productos!$A$3:$GG$201,[3]Productos!EC$1+1,0),"")</f>
        <v/>
      </c>
      <c r="S20" s="17" t="str">
        <f>IFERROR(VLOOKUP($A20,[3]Productos!$A$3:$GG$201,[3]Productos!ED$1+1,0),"")</f>
        <v/>
      </c>
      <c r="T20" s="17" t="str">
        <f>IFERROR(VLOOKUP($A20,[3]Productos!$A$3:$GG$201,[3]Productos!EE$1+1,0),"")</f>
        <v/>
      </c>
      <c r="U20" s="17" t="str">
        <f>IFERROR(VLOOKUP($A20,[3]Productos!$A$3:$GG$201,[3]Productos!EF$1+1,0),"")</f>
        <v/>
      </c>
      <c r="V20" s="17" t="str">
        <f>IFERROR(VLOOKUP($A20,[3]Productos!$A$3:$GG$201,[3]Productos!EG$1+1,0),"")</f>
        <v/>
      </c>
      <c r="W20" s="17" t="str">
        <f>IFERROR(VLOOKUP($A20,[3]Productos!$A$3:$GG$201,[3]Productos!EH$1+1,0),"")</f>
        <v/>
      </c>
      <c r="X20" s="17" t="str">
        <f>IFERROR(VLOOKUP($A20,[3]Productos!$A$3:$GG$201,[3]Productos!EI$1+1,0),"")</f>
        <v/>
      </c>
      <c r="Y20" s="17" t="str">
        <f>IFERROR(VLOOKUP($A20,[3]Productos!$A$3:$GG$201,[3]Productos!EJ$1+1,0),"")</f>
        <v/>
      </c>
      <c r="Z20" s="17" t="str">
        <f>IFERROR(VLOOKUP($A20,[3]Productos!$A$3:$GG$201,[3]Productos!EK$1+1,0),"")</f>
        <v/>
      </c>
      <c r="AA20" s="17" t="str">
        <f>IFERROR(VLOOKUP($A20,[3]Productos!$A$3:$GG$201,[3]Productos!EL$1+1,0),"")</f>
        <v/>
      </c>
      <c r="AB20" s="17" t="str">
        <f>IFERROR(VLOOKUP($A20,[3]Productos!$A$3:$GG$201,[3]Productos!EM$1+1,0),"")</f>
        <v/>
      </c>
      <c r="AC20" s="17" t="str">
        <f>IFERROR(VLOOKUP($A20,[3]Productos!$A$3:$GG$201,[3]Productos!EN$1+1,0),"")</f>
        <v/>
      </c>
      <c r="AD20" s="17" t="str">
        <f>IFERROR(VLOOKUP($A20,[3]Productos!$A$3:$GG$201,[3]Productos!EO$1+1,0),"")</f>
        <v/>
      </c>
      <c r="AE20" s="17" t="str">
        <f>IFERROR(VLOOKUP($A20,[3]Productos!$A$3:$GG$201,[3]Productos!EP$1+1,0),"")</f>
        <v/>
      </c>
      <c r="AF20" s="17" t="str">
        <f>IFERROR(VLOOKUP($A20,[3]Productos!$A$3:$GG$201,[3]Productos!EQ$1+1,0),"")</f>
        <v/>
      </c>
      <c r="AG20" s="17" t="str">
        <f>IFERROR(VLOOKUP($A20,[3]Productos!$A$3:$GG$201,[3]Productos!ER$1+1,0),"")</f>
        <v/>
      </c>
    </row>
    <row r="21" spans="2:33" x14ac:dyDescent="0.25">
      <c r="B21" s="17" t="str">
        <f>IFERROR(VLOOKUP($A21,[3]Productos!$A$3:$GG$201,[3]Productos!DM$1+1,0),"")</f>
        <v/>
      </c>
      <c r="C21" s="17" t="str">
        <f>IFERROR(VLOOKUP($A21,[3]Productos!$A$3:$GG$201,[3]Productos!DN$1+1,0),"")</f>
        <v/>
      </c>
      <c r="D21" s="17" t="str">
        <f>IFERROR(VLOOKUP($A21,[3]Productos!$A$3:$GG$201,[3]Productos!DO$1+1,0),"")</f>
        <v/>
      </c>
      <c r="E21" s="17" t="str">
        <f>IFERROR(VLOOKUP($A21,[3]Productos!$A$3:$GG$201,[3]Productos!DP$1+1,0),"")</f>
        <v/>
      </c>
      <c r="F21" s="17" t="str">
        <f>IFERROR(VLOOKUP($A21,[3]Productos!$A$3:$GG$201,[3]Productos!DQ$1+1,0),"")</f>
        <v/>
      </c>
      <c r="G21" s="17" t="str">
        <f>IFERROR(VLOOKUP($A21,[3]Productos!$A$3:$GG$201,[3]Productos!DR$1+1,0),"")</f>
        <v/>
      </c>
      <c r="H21" s="17" t="str">
        <f>IFERROR(VLOOKUP($A21,[3]Productos!$A$3:$GG$201,[3]Productos!DS$1+1,0),"")</f>
        <v/>
      </c>
      <c r="I21" s="17" t="str">
        <f>IFERROR(VLOOKUP($A21,[3]Productos!$A$3:$GG$201,[3]Productos!DT$1+1,0),"")</f>
        <v/>
      </c>
      <c r="J21" s="17" t="str">
        <f>IFERROR(VLOOKUP($A21,[3]Productos!$A$3:$GG$201,[3]Productos!DU$1+1,0),"")</f>
        <v/>
      </c>
      <c r="K21" s="17" t="str">
        <f>IFERROR(VLOOKUP($A21,[3]Productos!$A$3:$GG$201,[3]Productos!DV$1+1,0),"")</f>
        <v/>
      </c>
      <c r="L21" s="17" t="str">
        <f>IFERROR(VLOOKUP($A21,[3]Productos!$A$3:$GG$201,[3]Productos!DW$1+1,0),"")</f>
        <v/>
      </c>
      <c r="M21" s="17" t="str">
        <f>IFERROR(VLOOKUP($A21,[3]Productos!$A$3:$GG$201,[3]Productos!DX$1+1,0),"")</f>
        <v/>
      </c>
      <c r="N21" s="17" t="str">
        <f>IFERROR(VLOOKUP($A21,[3]Productos!$A$3:$GG$201,[3]Productos!DY$1+1,0),"")</f>
        <v/>
      </c>
      <c r="O21" s="17" t="str">
        <f>IFERROR(VLOOKUP($A21,[3]Productos!$A$3:$GG$201,[3]Productos!DZ$1+1,0),"")</f>
        <v/>
      </c>
      <c r="P21" s="17" t="str">
        <f>IFERROR(VLOOKUP($A21,[3]Productos!$A$3:$GG$201,[3]Productos!EA$1+1,0),"")</f>
        <v/>
      </c>
      <c r="Q21" s="17" t="str">
        <f>IFERROR(VLOOKUP($A21,[3]Productos!$A$3:$GG$201,[3]Productos!EB$1+1,0),"")</f>
        <v/>
      </c>
      <c r="R21" s="17" t="str">
        <f>IFERROR(VLOOKUP($A21,[3]Productos!$A$3:$GG$201,[3]Productos!EC$1+1,0),"")</f>
        <v/>
      </c>
      <c r="S21" s="17" t="str">
        <f>IFERROR(VLOOKUP($A21,[3]Productos!$A$3:$GG$201,[3]Productos!ED$1+1,0),"")</f>
        <v/>
      </c>
      <c r="T21" s="17" t="str">
        <f>IFERROR(VLOOKUP($A21,[3]Productos!$A$3:$GG$201,[3]Productos!EE$1+1,0),"")</f>
        <v/>
      </c>
      <c r="U21" s="17" t="str">
        <f>IFERROR(VLOOKUP($A21,[3]Productos!$A$3:$GG$201,[3]Productos!EF$1+1,0),"")</f>
        <v/>
      </c>
      <c r="V21" s="17" t="str">
        <f>IFERROR(VLOOKUP($A21,[3]Productos!$A$3:$GG$201,[3]Productos!EG$1+1,0),"")</f>
        <v/>
      </c>
      <c r="W21" s="17" t="str">
        <f>IFERROR(VLOOKUP($A21,[3]Productos!$A$3:$GG$201,[3]Productos!EH$1+1,0),"")</f>
        <v/>
      </c>
      <c r="X21" s="17" t="str">
        <f>IFERROR(VLOOKUP($A21,[3]Productos!$A$3:$GG$201,[3]Productos!EI$1+1,0),"")</f>
        <v/>
      </c>
      <c r="Y21" s="17" t="str">
        <f>IFERROR(VLOOKUP($A21,[3]Productos!$A$3:$GG$201,[3]Productos!EJ$1+1,0),"")</f>
        <v/>
      </c>
      <c r="Z21" s="17" t="str">
        <f>IFERROR(VLOOKUP($A21,[3]Productos!$A$3:$GG$201,[3]Productos!EK$1+1,0),"")</f>
        <v/>
      </c>
      <c r="AA21" s="17" t="str">
        <f>IFERROR(VLOOKUP($A21,[3]Productos!$A$3:$GG$201,[3]Productos!EL$1+1,0),"")</f>
        <v/>
      </c>
      <c r="AB21" s="17" t="str">
        <f>IFERROR(VLOOKUP($A21,[3]Productos!$A$3:$GG$201,[3]Productos!EM$1+1,0),"")</f>
        <v/>
      </c>
      <c r="AC21" s="17" t="str">
        <f>IFERROR(VLOOKUP($A21,[3]Productos!$A$3:$GG$201,[3]Productos!EN$1+1,0),"")</f>
        <v/>
      </c>
      <c r="AD21" s="17" t="str">
        <f>IFERROR(VLOOKUP($A21,[3]Productos!$A$3:$GG$201,[3]Productos!EO$1+1,0),"")</f>
        <v/>
      </c>
      <c r="AE21" s="17" t="str">
        <f>IFERROR(VLOOKUP($A21,[3]Productos!$A$3:$GG$201,[3]Productos!EP$1+1,0),"")</f>
        <v/>
      </c>
      <c r="AF21" s="17" t="str">
        <f>IFERROR(VLOOKUP($A21,[3]Productos!$A$3:$GG$201,[3]Productos!EQ$1+1,0),"")</f>
        <v/>
      </c>
      <c r="AG21" s="17" t="str">
        <f>IFERROR(VLOOKUP($A21,[3]Productos!$A$3:$GG$201,[3]Productos!ER$1+1,0),"")</f>
        <v/>
      </c>
    </row>
    <row r="22" spans="2:33" x14ac:dyDescent="0.25">
      <c r="B22" s="17" t="str">
        <f>IFERROR(VLOOKUP($A22,[3]Productos!$A$3:$GG$201,[3]Productos!DM$1+1,0),"")</f>
        <v/>
      </c>
      <c r="C22" s="17" t="str">
        <f>IFERROR(VLOOKUP($A22,[3]Productos!$A$3:$GG$201,[3]Productos!DN$1+1,0),"")</f>
        <v/>
      </c>
      <c r="D22" s="17" t="str">
        <f>IFERROR(VLOOKUP($A22,[3]Productos!$A$3:$GG$201,[3]Productos!DO$1+1,0),"")</f>
        <v/>
      </c>
      <c r="E22" s="17" t="str">
        <f>IFERROR(VLOOKUP($A22,[3]Productos!$A$3:$GG$201,[3]Productos!DP$1+1,0),"")</f>
        <v/>
      </c>
      <c r="F22" s="17" t="str">
        <f>IFERROR(VLOOKUP($A22,[3]Productos!$A$3:$GG$201,[3]Productos!DQ$1+1,0),"")</f>
        <v/>
      </c>
      <c r="G22" s="17" t="str">
        <f>IFERROR(VLOOKUP($A22,[3]Productos!$A$3:$GG$201,[3]Productos!DR$1+1,0),"")</f>
        <v/>
      </c>
      <c r="H22" s="17" t="str">
        <f>IFERROR(VLOOKUP($A22,[3]Productos!$A$3:$GG$201,[3]Productos!DS$1+1,0),"")</f>
        <v/>
      </c>
      <c r="I22" s="17" t="str">
        <f>IFERROR(VLOOKUP($A22,[3]Productos!$A$3:$GG$201,[3]Productos!DT$1+1,0),"")</f>
        <v/>
      </c>
      <c r="J22" s="17" t="str">
        <f>IFERROR(VLOOKUP($A22,[3]Productos!$A$3:$GG$201,[3]Productos!DU$1+1,0),"")</f>
        <v/>
      </c>
      <c r="K22" s="17" t="str">
        <f>IFERROR(VLOOKUP($A22,[3]Productos!$A$3:$GG$201,[3]Productos!DV$1+1,0),"")</f>
        <v/>
      </c>
      <c r="L22" s="17" t="str">
        <f>IFERROR(VLOOKUP($A22,[3]Productos!$A$3:$GG$201,[3]Productos!DW$1+1,0),"")</f>
        <v/>
      </c>
      <c r="M22" s="17" t="str">
        <f>IFERROR(VLOOKUP($A22,[3]Productos!$A$3:$GG$201,[3]Productos!DX$1+1,0),"")</f>
        <v/>
      </c>
      <c r="N22" s="17" t="str">
        <f>IFERROR(VLOOKUP($A22,[3]Productos!$A$3:$GG$201,[3]Productos!DY$1+1,0),"")</f>
        <v/>
      </c>
      <c r="O22" s="17" t="str">
        <f>IFERROR(VLOOKUP($A22,[3]Productos!$A$3:$GG$201,[3]Productos!DZ$1+1,0),"")</f>
        <v/>
      </c>
      <c r="P22" s="17" t="str">
        <f>IFERROR(VLOOKUP($A22,[3]Productos!$A$3:$GG$201,[3]Productos!EA$1+1,0),"")</f>
        <v/>
      </c>
      <c r="Q22" s="17" t="str">
        <f>IFERROR(VLOOKUP($A22,[3]Productos!$A$3:$GG$201,[3]Productos!EB$1+1,0),"")</f>
        <v/>
      </c>
      <c r="R22" s="17" t="str">
        <f>IFERROR(VLOOKUP($A22,[3]Productos!$A$3:$GG$201,[3]Productos!EC$1+1,0),"")</f>
        <v/>
      </c>
      <c r="S22" s="17" t="str">
        <f>IFERROR(VLOOKUP($A22,[3]Productos!$A$3:$GG$201,[3]Productos!ED$1+1,0),"")</f>
        <v/>
      </c>
      <c r="T22" s="17" t="str">
        <f>IFERROR(VLOOKUP($A22,[3]Productos!$A$3:$GG$201,[3]Productos!EE$1+1,0),"")</f>
        <v/>
      </c>
      <c r="U22" s="17" t="str">
        <f>IFERROR(VLOOKUP($A22,[3]Productos!$A$3:$GG$201,[3]Productos!EF$1+1,0),"")</f>
        <v/>
      </c>
      <c r="V22" s="17" t="str">
        <f>IFERROR(VLOOKUP($A22,[3]Productos!$A$3:$GG$201,[3]Productos!EG$1+1,0),"")</f>
        <v/>
      </c>
      <c r="W22" s="17" t="str">
        <f>IFERROR(VLOOKUP($A22,[3]Productos!$A$3:$GG$201,[3]Productos!EH$1+1,0),"")</f>
        <v/>
      </c>
      <c r="X22" s="17" t="str">
        <f>IFERROR(VLOOKUP($A22,[3]Productos!$A$3:$GG$201,[3]Productos!EI$1+1,0),"")</f>
        <v/>
      </c>
      <c r="Y22" s="17" t="str">
        <f>IFERROR(VLOOKUP($A22,[3]Productos!$A$3:$GG$201,[3]Productos!EJ$1+1,0),"")</f>
        <v/>
      </c>
      <c r="Z22" s="17" t="str">
        <f>IFERROR(VLOOKUP($A22,[3]Productos!$A$3:$GG$201,[3]Productos!EK$1+1,0),"")</f>
        <v/>
      </c>
      <c r="AA22" s="17" t="str">
        <f>IFERROR(VLOOKUP($A22,[3]Productos!$A$3:$GG$201,[3]Productos!EL$1+1,0),"")</f>
        <v/>
      </c>
      <c r="AB22" s="17" t="str">
        <f>IFERROR(VLOOKUP($A22,[3]Productos!$A$3:$GG$201,[3]Productos!EM$1+1,0),"")</f>
        <v/>
      </c>
      <c r="AC22" s="17" t="str">
        <f>IFERROR(VLOOKUP($A22,[3]Productos!$A$3:$GG$201,[3]Productos!EN$1+1,0),"")</f>
        <v/>
      </c>
      <c r="AD22" s="17" t="str">
        <f>IFERROR(VLOOKUP($A22,[3]Productos!$A$3:$GG$201,[3]Productos!EO$1+1,0),"")</f>
        <v/>
      </c>
      <c r="AE22" s="17" t="str">
        <f>IFERROR(VLOOKUP($A22,[3]Productos!$A$3:$GG$201,[3]Productos!EP$1+1,0),"")</f>
        <v/>
      </c>
      <c r="AF22" s="17" t="str">
        <f>IFERROR(VLOOKUP($A22,[3]Productos!$A$3:$GG$201,[3]Productos!EQ$1+1,0),"")</f>
        <v/>
      </c>
      <c r="AG22" s="17" t="str">
        <f>IFERROR(VLOOKUP($A22,[3]Productos!$A$3:$GG$201,[3]Productos!ER$1+1,0),"")</f>
        <v/>
      </c>
    </row>
    <row r="23" spans="2:33" x14ac:dyDescent="0.25">
      <c r="B23" s="17" t="str">
        <f>IFERROR(VLOOKUP($A23,[3]Productos!$A$3:$GG$201,[3]Productos!DM$1+1,0),"")</f>
        <v/>
      </c>
      <c r="C23" s="17" t="str">
        <f>IFERROR(VLOOKUP($A23,[3]Productos!$A$3:$GG$201,[3]Productos!DN$1+1,0),"")</f>
        <v/>
      </c>
      <c r="D23" s="17" t="str">
        <f>IFERROR(VLOOKUP($A23,[3]Productos!$A$3:$GG$201,[3]Productos!DO$1+1,0),"")</f>
        <v/>
      </c>
      <c r="E23" s="17" t="str">
        <f>IFERROR(VLOOKUP($A23,[3]Productos!$A$3:$GG$201,[3]Productos!DP$1+1,0),"")</f>
        <v/>
      </c>
      <c r="F23" s="17" t="str">
        <f>IFERROR(VLOOKUP($A23,[3]Productos!$A$3:$GG$201,[3]Productos!DQ$1+1,0),"")</f>
        <v/>
      </c>
      <c r="G23" s="17" t="str">
        <f>IFERROR(VLOOKUP($A23,[3]Productos!$A$3:$GG$201,[3]Productos!DR$1+1,0),"")</f>
        <v/>
      </c>
      <c r="H23" s="17" t="str">
        <f>IFERROR(VLOOKUP($A23,[3]Productos!$A$3:$GG$201,[3]Productos!DS$1+1,0),"")</f>
        <v/>
      </c>
      <c r="I23" s="17" t="str">
        <f>IFERROR(VLOOKUP($A23,[3]Productos!$A$3:$GG$201,[3]Productos!DT$1+1,0),"")</f>
        <v/>
      </c>
      <c r="J23" s="17" t="str">
        <f>IFERROR(VLOOKUP($A23,[3]Productos!$A$3:$GG$201,[3]Productos!DU$1+1,0),"")</f>
        <v/>
      </c>
      <c r="K23" s="17" t="str">
        <f>IFERROR(VLOOKUP($A23,[3]Productos!$A$3:$GG$201,[3]Productos!DV$1+1,0),"")</f>
        <v/>
      </c>
      <c r="L23" s="17" t="str">
        <f>IFERROR(VLOOKUP($A23,[3]Productos!$A$3:$GG$201,[3]Productos!DW$1+1,0),"")</f>
        <v/>
      </c>
      <c r="M23" s="17" t="str">
        <f>IFERROR(VLOOKUP($A23,[3]Productos!$A$3:$GG$201,[3]Productos!DX$1+1,0),"")</f>
        <v/>
      </c>
      <c r="N23" s="17" t="str">
        <f>IFERROR(VLOOKUP($A23,[3]Productos!$A$3:$GG$201,[3]Productos!DY$1+1,0),"")</f>
        <v/>
      </c>
      <c r="O23" s="17" t="str">
        <f>IFERROR(VLOOKUP($A23,[3]Productos!$A$3:$GG$201,[3]Productos!DZ$1+1,0),"")</f>
        <v/>
      </c>
      <c r="P23" s="17" t="str">
        <f>IFERROR(VLOOKUP($A23,[3]Productos!$A$3:$GG$201,[3]Productos!EA$1+1,0),"")</f>
        <v/>
      </c>
      <c r="Q23" s="17" t="str">
        <f>IFERROR(VLOOKUP($A23,[3]Productos!$A$3:$GG$201,[3]Productos!EB$1+1,0),"")</f>
        <v/>
      </c>
      <c r="R23" s="17" t="str">
        <f>IFERROR(VLOOKUP($A23,[3]Productos!$A$3:$GG$201,[3]Productos!EC$1+1,0),"")</f>
        <v/>
      </c>
      <c r="S23" s="17" t="str">
        <f>IFERROR(VLOOKUP($A23,[3]Productos!$A$3:$GG$201,[3]Productos!ED$1+1,0),"")</f>
        <v/>
      </c>
      <c r="T23" s="17" t="str">
        <f>IFERROR(VLOOKUP($A23,[3]Productos!$A$3:$GG$201,[3]Productos!EE$1+1,0),"")</f>
        <v/>
      </c>
      <c r="U23" s="17" t="str">
        <f>IFERROR(VLOOKUP($A23,[3]Productos!$A$3:$GG$201,[3]Productos!EF$1+1,0),"")</f>
        <v/>
      </c>
      <c r="V23" s="17" t="str">
        <f>IFERROR(VLOOKUP($A23,[3]Productos!$A$3:$GG$201,[3]Productos!EG$1+1,0),"")</f>
        <v/>
      </c>
      <c r="W23" s="17" t="str">
        <f>IFERROR(VLOOKUP($A23,[3]Productos!$A$3:$GG$201,[3]Productos!EH$1+1,0),"")</f>
        <v/>
      </c>
      <c r="X23" s="17" t="str">
        <f>IFERROR(VLOOKUP($A23,[3]Productos!$A$3:$GG$201,[3]Productos!EI$1+1,0),"")</f>
        <v/>
      </c>
      <c r="Y23" s="17" t="str">
        <f>IFERROR(VLOOKUP($A23,[3]Productos!$A$3:$GG$201,[3]Productos!EJ$1+1,0),"")</f>
        <v/>
      </c>
      <c r="Z23" s="17" t="str">
        <f>IFERROR(VLOOKUP($A23,[3]Productos!$A$3:$GG$201,[3]Productos!EK$1+1,0),"")</f>
        <v/>
      </c>
      <c r="AA23" s="17" t="str">
        <f>IFERROR(VLOOKUP($A23,[3]Productos!$A$3:$GG$201,[3]Productos!EL$1+1,0),"")</f>
        <v/>
      </c>
      <c r="AB23" s="17" t="str">
        <f>IFERROR(VLOOKUP($A23,[3]Productos!$A$3:$GG$201,[3]Productos!EM$1+1,0),"")</f>
        <v/>
      </c>
      <c r="AC23" s="17" t="str">
        <f>IFERROR(VLOOKUP($A23,[3]Productos!$A$3:$GG$201,[3]Productos!EN$1+1,0),"")</f>
        <v/>
      </c>
      <c r="AD23" s="17" t="str">
        <f>IFERROR(VLOOKUP($A23,[3]Productos!$A$3:$GG$201,[3]Productos!EO$1+1,0),"")</f>
        <v/>
      </c>
      <c r="AE23" s="17" t="str">
        <f>IFERROR(VLOOKUP($A23,[3]Productos!$A$3:$GG$201,[3]Productos!EP$1+1,0),"")</f>
        <v/>
      </c>
      <c r="AF23" s="17" t="str">
        <f>IFERROR(VLOOKUP($A23,[3]Productos!$A$3:$GG$201,[3]Productos!EQ$1+1,0),"")</f>
        <v/>
      </c>
      <c r="AG23" s="17" t="str">
        <f>IFERROR(VLOOKUP($A23,[3]Productos!$A$3:$GG$201,[3]Productos!ER$1+1,0),"")</f>
        <v/>
      </c>
    </row>
  </sheetData>
  <mergeCells count="1">
    <mergeCell ref="L2:AG2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K22"/>
  <sheetViews>
    <sheetView workbookViewId="0">
      <selection activeCell="F21" sqref="F21"/>
    </sheetView>
  </sheetViews>
  <sheetFormatPr baseColWidth="10" defaultRowHeight="15" x14ac:dyDescent="0.25"/>
  <cols>
    <col min="4" max="4" width="34" customWidth="1"/>
  </cols>
  <sheetData>
    <row r="1" spans="1:11" x14ac:dyDescent="0.25">
      <c r="A1" t="s">
        <v>15</v>
      </c>
      <c r="C1">
        <v>1</v>
      </c>
      <c r="D1" s="6" t="s">
        <v>17</v>
      </c>
      <c r="E1">
        <v>1</v>
      </c>
      <c r="I1" s="6" t="s">
        <v>37</v>
      </c>
      <c r="K1" t="s">
        <v>32</v>
      </c>
    </row>
    <row r="2" spans="1:11" x14ac:dyDescent="0.25">
      <c r="A2" t="s">
        <v>16</v>
      </c>
      <c r="C2">
        <v>2</v>
      </c>
      <c r="D2" s="7" t="s">
        <v>18</v>
      </c>
      <c r="E2">
        <v>2</v>
      </c>
      <c r="I2" s="7" t="s">
        <v>38</v>
      </c>
      <c r="K2" t="s">
        <v>72</v>
      </c>
    </row>
    <row r="3" spans="1:11" x14ac:dyDescent="0.25">
      <c r="C3">
        <v>3</v>
      </c>
      <c r="D3" s="7" t="s">
        <v>19</v>
      </c>
      <c r="E3">
        <v>3</v>
      </c>
      <c r="I3" s="7" t="s">
        <v>39</v>
      </c>
    </row>
    <row r="4" spans="1:11" x14ac:dyDescent="0.25">
      <c r="C4">
        <v>4</v>
      </c>
      <c r="D4" s="7" t="s">
        <v>20</v>
      </c>
      <c r="E4">
        <v>4</v>
      </c>
      <c r="I4" s="7" t="s">
        <v>40</v>
      </c>
    </row>
    <row r="5" spans="1:11" x14ac:dyDescent="0.25">
      <c r="C5">
        <v>5</v>
      </c>
      <c r="D5" s="7" t="s">
        <v>21</v>
      </c>
      <c r="E5">
        <v>5</v>
      </c>
      <c r="I5" s="7" t="s">
        <v>41</v>
      </c>
    </row>
    <row r="6" spans="1:11" x14ac:dyDescent="0.25">
      <c r="C6">
        <v>6</v>
      </c>
      <c r="D6" s="7"/>
      <c r="E6">
        <v>6</v>
      </c>
      <c r="I6" s="7" t="s">
        <v>42</v>
      </c>
    </row>
    <row r="7" spans="1:11" x14ac:dyDescent="0.25">
      <c r="C7">
        <v>7</v>
      </c>
      <c r="D7" s="7"/>
      <c r="E7">
        <v>7</v>
      </c>
      <c r="I7" s="7" t="s">
        <v>43</v>
      </c>
    </row>
    <row r="8" spans="1:11" x14ac:dyDescent="0.25">
      <c r="C8">
        <v>8</v>
      </c>
      <c r="D8" s="7"/>
      <c r="E8">
        <v>8</v>
      </c>
      <c r="I8" s="7" t="s">
        <v>44</v>
      </c>
    </row>
    <row r="9" spans="1:11" x14ac:dyDescent="0.25">
      <c r="C9">
        <v>9</v>
      </c>
      <c r="D9" s="7"/>
      <c r="E9">
        <v>9</v>
      </c>
      <c r="I9" s="7" t="s">
        <v>45</v>
      </c>
    </row>
    <row r="10" spans="1:11" x14ac:dyDescent="0.25">
      <c r="C10">
        <v>10</v>
      </c>
      <c r="D10" s="7"/>
      <c r="E10">
        <v>10</v>
      </c>
      <c r="I10" s="7" t="s">
        <v>46</v>
      </c>
    </row>
    <row r="11" spans="1:11" x14ac:dyDescent="0.25">
      <c r="C11">
        <v>11</v>
      </c>
      <c r="D11" s="7"/>
      <c r="E11">
        <v>11</v>
      </c>
      <c r="I11" s="7" t="s">
        <v>47</v>
      </c>
    </row>
    <row r="12" spans="1:11" x14ac:dyDescent="0.25">
      <c r="C12">
        <v>12</v>
      </c>
      <c r="D12" s="7"/>
      <c r="E12">
        <v>12</v>
      </c>
      <c r="I12" s="7" t="s">
        <v>48</v>
      </c>
    </row>
    <row r="13" spans="1:11" x14ac:dyDescent="0.25">
      <c r="C13">
        <v>13</v>
      </c>
      <c r="D13" s="7"/>
      <c r="E13">
        <v>13</v>
      </c>
      <c r="I13" s="7" t="s">
        <v>49</v>
      </c>
    </row>
    <row r="14" spans="1:11" ht="15.75" thickBot="1" x14ac:dyDescent="0.3">
      <c r="C14">
        <v>14</v>
      </c>
      <c r="D14" s="8"/>
      <c r="E14">
        <v>14</v>
      </c>
      <c r="I14" s="7" t="s">
        <v>50</v>
      </c>
    </row>
    <row r="15" spans="1:11" x14ac:dyDescent="0.25">
      <c r="I15" s="7" t="s">
        <v>51</v>
      </c>
    </row>
    <row r="16" spans="1:11" x14ac:dyDescent="0.25">
      <c r="I16" s="7" t="s">
        <v>52</v>
      </c>
    </row>
    <row r="17" spans="9:9" x14ac:dyDescent="0.25">
      <c r="I17" s="7" t="s">
        <v>53</v>
      </c>
    </row>
    <row r="18" spans="9:9" x14ac:dyDescent="0.25">
      <c r="I18" s="7" t="s">
        <v>54</v>
      </c>
    </row>
    <row r="19" spans="9:9" x14ac:dyDescent="0.25">
      <c r="I19" s="7" t="s">
        <v>55</v>
      </c>
    </row>
    <row r="20" spans="9:9" x14ac:dyDescent="0.25">
      <c r="I20" s="7" t="s">
        <v>56</v>
      </c>
    </row>
    <row r="21" spans="9:9" x14ac:dyDescent="0.25">
      <c r="I21" s="7" t="s">
        <v>57</v>
      </c>
    </row>
    <row r="22" spans="9:9" ht="15.75" thickBot="1" x14ac:dyDescent="0.3">
      <c r="I22" s="8" t="s">
        <v>58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T21"/>
  <sheetViews>
    <sheetView workbookViewId="0">
      <selection activeCell="A2" sqref="A2"/>
    </sheetView>
  </sheetViews>
  <sheetFormatPr baseColWidth="10" defaultRowHeight="15" x14ac:dyDescent="0.25"/>
  <cols>
    <col min="1" max="1" width="16.7109375" customWidth="1"/>
    <col min="2" max="2" width="16.140625" customWidth="1"/>
    <col min="3" max="3" width="21.5703125" customWidth="1"/>
    <col min="4" max="4" width="19.42578125" customWidth="1"/>
    <col min="5" max="6" width="17" customWidth="1"/>
    <col min="7" max="7" width="10.85546875" customWidth="1"/>
    <col min="8" max="11" width="16.140625" customWidth="1"/>
    <col min="12" max="12" width="15.140625" customWidth="1"/>
    <col min="13" max="13" width="8.7109375" customWidth="1"/>
    <col min="14" max="14" width="12.5703125" bestFit="1" customWidth="1"/>
    <col min="17" max="17" width="9.42578125" bestFit="1" customWidth="1"/>
    <col min="18" max="18" width="11.42578125" style="11"/>
  </cols>
  <sheetData>
    <row r="1" spans="1:20" ht="35.25" customHeight="1" thickBot="1" x14ac:dyDescent="0.3">
      <c r="A1" s="10" t="s">
        <v>34</v>
      </c>
      <c r="B1" s="10" t="s">
        <v>35</v>
      </c>
      <c r="C1" s="10" t="s">
        <v>36</v>
      </c>
      <c r="D1" s="10" t="s">
        <v>29</v>
      </c>
      <c r="E1" s="10" t="s">
        <v>74</v>
      </c>
      <c r="F1" s="10" t="s">
        <v>71</v>
      </c>
      <c r="G1" s="10" t="s">
        <v>73</v>
      </c>
      <c r="H1" s="3" t="s">
        <v>8</v>
      </c>
      <c r="I1" s="3" t="s">
        <v>9</v>
      </c>
      <c r="J1" s="3" t="s">
        <v>10</v>
      </c>
      <c r="K1" s="3" t="s">
        <v>26</v>
      </c>
      <c r="L1" s="3" t="s">
        <v>27</v>
      </c>
      <c r="N1" s="13" t="s">
        <v>76</v>
      </c>
      <c r="O1" s="5" t="s">
        <v>75</v>
      </c>
      <c r="P1" s="5" t="s">
        <v>77</v>
      </c>
      <c r="Q1" s="14"/>
      <c r="R1" s="19" t="s">
        <v>82</v>
      </c>
      <c r="S1">
        <f>COUNT(E2:E133)</f>
        <v>3</v>
      </c>
      <c r="T1" t="str">
        <f>"E"&amp;S1+1</f>
        <v>E4</v>
      </c>
    </row>
    <row r="2" spans="1:20" x14ac:dyDescent="0.25">
      <c r="A2" t="s">
        <v>83</v>
      </c>
      <c r="B2" t="s">
        <v>83</v>
      </c>
      <c r="C2" t="s">
        <v>79</v>
      </c>
      <c r="D2" t="s">
        <v>20</v>
      </c>
      <c r="E2" s="1">
        <v>9.8843060192478127E-2</v>
      </c>
      <c r="F2" s="12">
        <v>4429113.6767851505</v>
      </c>
      <c r="G2" s="1">
        <v>0.04</v>
      </c>
      <c r="H2" s="2">
        <v>159448092.36426544</v>
      </c>
      <c r="I2" s="2">
        <v>19448092.364265252</v>
      </c>
      <c r="J2" s="2">
        <v>140000000.00000021</v>
      </c>
      <c r="K2" s="2">
        <v>0</v>
      </c>
      <c r="L2" s="2">
        <v>1850000</v>
      </c>
      <c r="M2" s="2"/>
      <c r="N2" s="4"/>
      <c r="P2">
        <f>RANK(E2,$E$2:$E$21,1)</f>
        <v>1</v>
      </c>
      <c r="Q2">
        <f>P2-O2</f>
        <v>1</v>
      </c>
      <c r="R2" s="11">
        <f>(5*(E2-MIN($E$2:$E$45))/(MAX($E$2:$E$45)-MIN($E$2:$E$45)))</f>
        <v>0</v>
      </c>
    </row>
    <row r="3" spans="1:20" x14ac:dyDescent="0.25">
      <c r="A3" t="s">
        <v>84</v>
      </c>
      <c r="B3" t="s">
        <v>84</v>
      </c>
      <c r="C3" t="s">
        <v>80</v>
      </c>
      <c r="D3" t="s">
        <v>20</v>
      </c>
      <c r="E3" s="1">
        <v>0.14624458805130325</v>
      </c>
      <c r="F3" s="12">
        <v>4669030.6819489524</v>
      </c>
      <c r="G3" s="1">
        <v>0.04</v>
      </c>
      <c r="H3" s="2">
        <v>168085104.55016243</v>
      </c>
      <c r="I3" s="2">
        <v>28085104.550162446</v>
      </c>
      <c r="J3" s="2">
        <v>139999999.99999985</v>
      </c>
      <c r="K3" s="2">
        <v>0</v>
      </c>
      <c r="L3" s="2">
        <v>3139000</v>
      </c>
      <c r="M3" s="2"/>
      <c r="N3" s="4"/>
      <c r="P3">
        <f t="shared" ref="P3:P8" si="0">RANK(E3,$E$2:$E$21,1)</f>
        <v>2</v>
      </c>
      <c r="Q3">
        <f t="shared" ref="Q3:Q8" si="1">P3-O3</f>
        <v>2</v>
      </c>
      <c r="R3" s="11">
        <f t="shared" ref="R3:R8" si="2">(5*(E3-MIN($E$2:$E$45))/(MAX($E$2:$E$45)-MIN($E$2:$E$45)))</f>
        <v>3.4254947883543863</v>
      </c>
    </row>
    <row r="4" spans="1:20" x14ac:dyDescent="0.25">
      <c r="A4" t="s">
        <v>85</v>
      </c>
      <c r="B4" t="s">
        <v>85</v>
      </c>
      <c r="C4" t="s">
        <v>81</v>
      </c>
      <c r="D4" t="s">
        <v>20</v>
      </c>
      <c r="E4" s="1">
        <v>0.16803237558711182</v>
      </c>
      <c r="F4" s="12">
        <v>4788806.1394143794</v>
      </c>
      <c r="G4" s="1">
        <v>0.04</v>
      </c>
      <c r="H4" s="2">
        <v>172397021.01891765</v>
      </c>
      <c r="I4" s="2">
        <v>32397021.018917687</v>
      </c>
      <c r="J4" s="2">
        <v>139999999.99999997</v>
      </c>
      <c r="K4" s="2">
        <v>0</v>
      </c>
      <c r="L4" s="2">
        <v>3707500.0000000009</v>
      </c>
      <c r="M4" s="2"/>
      <c r="N4" s="4"/>
      <c r="P4">
        <f t="shared" si="0"/>
        <v>3</v>
      </c>
      <c r="Q4">
        <f t="shared" si="1"/>
        <v>3</v>
      </c>
      <c r="R4" s="11">
        <f t="shared" si="2"/>
        <v>5</v>
      </c>
    </row>
    <row r="5" spans="1:20" x14ac:dyDescent="0.25">
      <c r="E5" s="1"/>
      <c r="F5" s="12"/>
      <c r="G5" s="1"/>
      <c r="H5" s="2"/>
      <c r="I5" s="2"/>
      <c r="J5" s="2"/>
      <c r="K5" s="2"/>
      <c r="L5" s="2"/>
      <c r="M5" s="2"/>
      <c r="N5" s="4"/>
      <c r="P5" t="e">
        <f t="shared" si="0"/>
        <v>#N/A</v>
      </c>
      <c r="Q5" t="e">
        <f t="shared" si="1"/>
        <v>#N/A</v>
      </c>
      <c r="R5" s="11">
        <f t="shared" si="2"/>
        <v>-7.142942492544476</v>
      </c>
    </row>
    <row r="6" spans="1:20" x14ac:dyDescent="0.25">
      <c r="E6" s="1"/>
      <c r="F6" s="12"/>
      <c r="G6" s="1"/>
      <c r="H6" s="2"/>
      <c r="I6" s="2"/>
      <c r="J6" s="2"/>
      <c r="K6" s="2"/>
      <c r="L6" s="2"/>
      <c r="M6" s="2"/>
      <c r="N6" s="4"/>
      <c r="P6" t="e">
        <f t="shared" si="0"/>
        <v>#N/A</v>
      </c>
      <c r="Q6" t="e">
        <f t="shared" si="1"/>
        <v>#N/A</v>
      </c>
      <c r="R6" s="11">
        <f t="shared" si="2"/>
        <v>-7.142942492544476</v>
      </c>
    </row>
    <row r="7" spans="1:20" x14ac:dyDescent="0.25">
      <c r="E7" s="1"/>
      <c r="F7" s="12"/>
      <c r="G7" s="1"/>
      <c r="H7" s="2"/>
      <c r="I7" s="2"/>
      <c r="J7" s="2"/>
      <c r="K7" s="2"/>
      <c r="L7" s="2"/>
      <c r="M7" s="2"/>
      <c r="N7" s="4"/>
      <c r="P7" t="e">
        <f t="shared" si="0"/>
        <v>#N/A</v>
      </c>
      <c r="Q7" t="e">
        <f t="shared" si="1"/>
        <v>#N/A</v>
      </c>
      <c r="R7" s="11">
        <f t="shared" si="2"/>
        <v>-7.142942492544476</v>
      </c>
    </row>
    <row r="8" spans="1:20" x14ac:dyDescent="0.25">
      <c r="E8" s="1"/>
      <c r="F8" s="12"/>
      <c r="G8" s="1"/>
      <c r="H8" s="2"/>
      <c r="I8" s="2"/>
      <c r="J8" s="2"/>
      <c r="K8" s="2"/>
      <c r="L8" s="2"/>
      <c r="M8" s="2"/>
      <c r="N8" s="4"/>
      <c r="P8" t="e">
        <f t="shared" si="0"/>
        <v>#N/A</v>
      </c>
      <c r="Q8" t="e">
        <f t="shared" si="1"/>
        <v>#N/A</v>
      </c>
      <c r="R8" s="11">
        <f t="shared" si="2"/>
        <v>-7.142942492544476</v>
      </c>
    </row>
    <row r="9" spans="1:20" x14ac:dyDescent="0.25">
      <c r="E9" s="1"/>
      <c r="F9" s="12"/>
      <c r="G9" s="1"/>
      <c r="H9" s="2"/>
      <c r="I9" s="2"/>
      <c r="J9" s="2"/>
      <c r="K9" s="2"/>
      <c r="L9" s="2"/>
      <c r="M9" s="2"/>
      <c r="N9" s="4"/>
      <c r="P9" t="e">
        <f t="shared" ref="P9:P21" si="3">RANK(E9,$E$2:$E$21,1)</f>
        <v>#N/A</v>
      </c>
      <c r="Q9" t="e">
        <f t="shared" ref="Q9:Q21" si="4">P9-O9</f>
        <v>#N/A</v>
      </c>
      <c r="R9" s="11">
        <f t="shared" ref="R9:R21" si="5">(5*(E9-MIN($E$2:$E$45))/(MAX($E$2:$E$45)-MIN($E$2:$E$45)))</f>
        <v>-7.142942492544476</v>
      </c>
    </row>
    <row r="10" spans="1:20" x14ac:dyDescent="0.25">
      <c r="E10" s="1"/>
      <c r="F10" s="12"/>
      <c r="G10" s="1"/>
      <c r="H10" s="2"/>
      <c r="I10" s="2"/>
      <c r="J10" s="2"/>
      <c r="K10" s="2"/>
      <c r="L10" s="2"/>
      <c r="M10" s="2"/>
      <c r="N10" s="4"/>
      <c r="P10" t="e">
        <f t="shared" si="3"/>
        <v>#N/A</v>
      </c>
      <c r="Q10" t="e">
        <f t="shared" si="4"/>
        <v>#N/A</v>
      </c>
      <c r="R10" s="11">
        <f t="shared" si="5"/>
        <v>-7.142942492544476</v>
      </c>
    </row>
    <row r="11" spans="1:20" x14ac:dyDescent="0.25">
      <c r="E11" s="1"/>
      <c r="F11" s="12"/>
      <c r="G11" s="1"/>
      <c r="H11" s="2"/>
      <c r="I11" s="2"/>
      <c r="J11" s="2"/>
      <c r="K11" s="2"/>
      <c r="L11" s="2"/>
      <c r="M11" s="2"/>
      <c r="N11" s="4"/>
      <c r="P11" t="e">
        <f t="shared" si="3"/>
        <v>#N/A</v>
      </c>
      <c r="Q11" t="e">
        <f t="shared" si="4"/>
        <v>#N/A</v>
      </c>
      <c r="R11" s="11">
        <f t="shared" si="5"/>
        <v>-7.142942492544476</v>
      </c>
    </row>
    <row r="12" spans="1:20" x14ac:dyDescent="0.25">
      <c r="E12" s="1"/>
      <c r="F12" s="12"/>
      <c r="G12" s="1"/>
      <c r="H12" s="2"/>
      <c r="I12" s="2"/>
      <c r="J12" s="2"/>
      <c r="K12" s="2"/>
      <c r="L12" s="2"/>
      <c r="M12" s="2"/>
      <c r="N12" s="4"/>
      <c r="P12" t="e">
        <f t="shared" si="3"/>
        <v>#N/A</v>
      </c>
      <c r="Q12" t="e">
        <f t="shared" si="4"/>
        <v>#N/A</v>
      </c>
      <c r="R12" s="11">
        <f t="shared" si="5"/>
        <v>-7.142942492544476</v>
      </c>
    </row>
    <row r="13" spans="1:20" x14ac:dyDescent="0.25">
      <c r="E13" s="1"/>
      <c r="F13" s="12"/>
      <c r="G13" s="1"/>
      <c r="H13" s="2"/>
      <c r="I13" s="2"/>
      <c r="J13" s="2"/>
      <c r="K13" s="2"/>
      <c r="L13" s="2"/>
      <c r="M13" s="2"/>
      <c r="N13" s="4"/>
      <c r="P13" t="e">
        <f t="shared" si="3"/>
        <v>#N/A</v>
      </c>
      <c r="Q13" t="e">
        <f t="shared" si="4"/>
        <v>#N/A</v>
      </c>
      <c r="R13" s="11">
        <f t="shared" si="5"/>
        <v>-7.142942492544476</v>
      </c>
    </row>
    <row r="14" spans="1:20" x14ac:dyDescent="0.25">
      <c r="E14" s="1"/>
      <c r="F14" s="12"/>
      <c r="G14" s="1"/>
      <c r="H14" s="2"/>
      <c r="I14" s="2"/>
      <c r="J14" s="2"/>
      <c r="K14" s="2"/>
      <c r="L14" s="2"/>
      <c r="M14" s="2"/>
      <c r="N14" s="4"/>
      <c r="P14" t="e">
        <f t="shared" si="3"/>
        <v>#N/A</v>
      </c>
      <c r="Q14" t="e">
        <f t="shared" si="4"/>
        <v>#N/A</v>
      </c>
      <c r="R14" s="11">
        <f t="shared" si="5"/>
        <v>-7.142942492544476</v>
      </c>
    </row>
    <row r="15" spans="1:20" x14ac:dyDescent="0.25">
      <c r="E15" s="1"/>
      <c r="F15" s="12"/>
      <c r="G15" s="1"/>
      <c r="H15" s="2"/>
      <c r="I15" s="2"/>
      <c r="J15" s="2"/>
      <c r="K15" s="2"/>
      <c r="L15" s="2"/>
      <c r="M15" s="2"/>
      <c r="N15" s="4"/>
      <c r="P15" t="e">
        <f t="shared" si="3"/>
        <v>#N/A</v>
      </c>
      <c r="Q15" t="e">
        <f t="shared" si="4"/>
        <v>#N/A</v>
      </c>
      <c r="R15" s="11">
        <f t="shared" si="5"/>
        <v>-7.142942492544476</v>
      </c>
    </row>
    <row r="16" spans="1:20" x14ac:dyDescent="0.25">
      <c r="E16" s="1"/>
      <c r="F16" s="12"/>
      <c r="G16" s="9"/>
      <c r="H16" s="2"/>
      <c r="I16" s="2"/>
      <c r="J16" s="2"/>
      <c r="K16" s="2"/>
      <c r="L16" s="2"/>
      <c r="M16" s="2"/>
      <c r="N16" s="4"/>
      <c r="P16" t="e">
        <f t="shared" si="3"/>
        <v>#N/A</v>
      </c>
      <c r="Q16" t="e">
        <f t="shared" si="4"/>
        <v>#N/A</v>
      </c>
      <c r="R16" s="11">
        <f t="shared" si="5"/>
        <v>-7.142942492544476</v>
      </c>
    </row>
    <row r="17" spans="5:18" x14ac:dyDescent="0.25">
      <c r="E17" s="1"/>
      <c r="F17" s="12"/>
      <c r="G17" s="9"/>
      <c r="H17" s="2"/>
      <c r="I17" s="2"/>
      <c r="J17" s="2"/>
      <c r="K17" s="2"/>
      <c r="L17" s="2"/>
      <c r="M17" s="2"/>
      <c r="N17" s="4"/>
      <c r="P17" t="e">
        <f t="shared" si="3"/>
        <v>#N/A</v>
      </c>
      <c r="Q17" t="e">
        <f t="shared" si="4"/>
        <v>#N/A</v>
      </c>
      <c r="R17" s="11">
        <f t="shared" si="5"/>
        <v>-7.142942492544476</v>
      </c>
    </row>
    <row r="18" spans="5:18" x14ac:dyDescent="0.25">
      <c r="E18" s="1"/>
      <c r="F18" s="12"/>
      <c r="G18" s="9"/>
      <c r="H18" s="2"/>
      <c r="I18" s="2"/>
      <c r="J18" s="2"/>
      <c r="K18" s="2"/>
      <c r="L18" s="2"/>
      <c r="M18" s="2"/>
      <c r="N18" s="4"/>
      <c r="P18" t="e">
        <f t="shared" si="3"/>
        <v>#N/A</v>
      </c>
      <c r="Q18" t="e">
        <f t="shared" si="4"/>
        <v>#N/A</v>
      </c>
      <c r="R18" s="11">
        <f t="shared" si="5"/>
        <v>-7.142942492544476</v>
      </c>
    </row>
    <row r="19" spans="5:18" x14ac:dyDescent="0.25">
      <c r="E19" s="1"/>
      <c r="F19" s="12"/>
      <c r="G19" s="9"/>
      <c r="H19" s="2"/>
      <c r="I19" s="2"/>
      <c r="J19" s="2"/>
      <c r="K19" s="2"/>
      <c r="L19" s="2"/>
      <c r="M19" s="2"/>
      <c r="N19" s="4"/>
      <c r="P19" t="e">
        <f t="shared" si="3"/>
        <v>#N/A</v>
      </c>
      <c r="Q19" t="e">
        <f t="shared" si="4"/>
        <v>#N/A</v>
      </c>
      <c r="R19" s="11">
        <f t="shared" si="5"/>
        <v>-7.142942492544476</v>
      </c>
    </row>
    <row r="20" spans="5:18" x14ac:dyDescent="0.25">
      <c r="E20" s="1"/>
      <c r="F20" s="12"/>
      <c r="G20" s="9"/>
      <c r="H20" s="2"/>
      <c r="I20" s="2"/>
      <c r="J20" s="2"/>
      <c r="K20" s="2"/>
      <c r="L20" s="2"/>
      <c r="M20" s="2"/>
      <c r="N20" s="4"/>
      <c r="P20" t="e">
        <f t="shared" si="3"/>
        <v>#N/A</v>
      </c>
      <c r="Q20" t="e">
        <f t="shared" si="4"/>
        <v>#N/A</v>
      </c>
      <c r="R20" s="11">
        <f t="shared" si="5"/>
        <v>-7.142942492544476</v>
      </c>
    </row>
    <row r="21" spans="5:18" x14ac:dyDescent="0.25">
      <c r="F21" s="12"/>
      <c r="M21" s="2"/>
      <c r="N21" s="4"/>
      <c r="P21" t="e">
        <f t="shared" si="3"/>
        <v>#N/A</v>
      </c>
      <c r="Q21" t="e">
        <f t="shared" si="4"/>
        <v>#N/A</v>
      </c>
      <c r="R21" s="11">
        <f t="shared" si="5"/>
        <v>-7.142942492544476</v>
      </c>
    </row>
  </sheetData>
  <sortState ref="A2:P21">
    <sortCondition ref="O2:O21"/>
  </sortState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"/>
  <dimension ref="A1:W45"/>
  <sheetViews>
    <sheetView workbookViewId="0">
      <selection activeCell="D9" sqref="D9"/>
    </sheetView>
  </sheetViews>
  <sheetFormatPr baseColWidth="10" defaultRowHeight="15" x14ac:dyDescent="0.25"/>
  <cols>
    <col min="1" max="1" width="19" bestFit="1" customWidth="1"/>
    <col min="2" max="2" width="13.7109375" customWidth="1"/>
    <col min="3" max="3" width="9.140625" customWidth="1"/>
    <col min="4" max="4" width="8.85546875" customWidth="1"/>
    <col min="5" max="5" width="18.85546875" customWidth="1"/>
    <col min="18" max="18" width="6.7109375" bestFit="1" customWidth="1"/>
    <col min="19" max="19" width="4.7109375" bestFit="1" customWidth="1"/>
    <col min="20" max="20" width="6.5703125" bestFit="1" customWidth="1"/>
    <col min="21" max="21" width="9.28515625" bestFit="1" customWidth="1"/>
    <col min="26" max="33" width="11.42578125" customWidth="1"/>
  </cols>
  <sheetData>
    <row r="1" spans="1:23" s="104" customFormat="1" x14ac:dyDescent="0.25">
      <c r="B1" s="245">
        <v>0.3</v>
      </c>
      <c r="C1" s="244"/>
      <c r="D1" s="244"/>
      <c r="E1" s="244"/>
      <c r="F1" s="244"/>
      <c r="G1" s="244"/>
      <c r="H1" s="244">
        <v>0.5</v>
      </c>
      <c r="I1" s="244"/>
      <c r="J1" s="244"/>
      <c r="K1" s="244"/>
      <c r="L1" s="244">
        <v>0.2</v>
      </c>
      <c r="M1" s="244"/>
      <c r="N1" s="244"/>
      <c r="O1" s="244"/>
      <c r="P1" s="244"/>
      <c r="Q1" s="244"/>
      <c r="R1" s="244"/>
      <c r="S1" s="244"/>
      <c r="T1" s="244"/>
      <c r="U1" s="246"/>
    </row>
    <row r="2" spans="1:23" s="104" customFormat="1" ht="15.75" thickBot="1" x14ac:dyDescent="0.3">
      <c r="A2" s="104" t="e">
        <f>5-(IF('[5]PUNTOS-FIN'!C2&lt;AVERAGE('[5]PUNTOS-FIN'!C$2:C$41)-1.5*(AVERAGE('[5]PUNTOS-FIN'!C$2:C$41)-QUARTILE('[5]PUNTOS-FIN'!C$2:C$41,1)),5*0,IF('[5]PUNTOS-FIN'!C2&gt;AVERAGE('[5]PUNTOS-FIN'!C$2:C$41)+1.5*(QUARTILE('[5]PUNTOS-FIN'!C$2:C$41,3)-AVERAGE('[5]PUNTOS-FIN'!C$2:C$41)),5*1,5*('[5]PUNTOS-FIN'!C2-MIN('[5]PUNTOS-FIN'!C$2:C$41))/(MAX('[5]PUNTOS-FIN'!C$2:C$41)-MIN('[5]PUNTOS-FIN'!C$2:C$41)))))</f>
        <v>#REF!</v>
      </c>
      <c r="B2" s="248">
        <v>0.2</v>
      </c>
      <c r="C2" s="247"/>
      <c r="D2" s="247"/>
      <c r="E2" s="247">
        <v>0.8</v>
      </c>
      <c r="F2" s="247"/>
      <c r="G2" s="107"/>
      <c r="H2" s="108">
        <v>0.5</v>
      </c>
      <c r="I2" s="107">
        <v>0.3</v>
      </c>
      <c r="J2" s="107">
        <v>0.2</v>
      </c>
      <c r="K2" s="107"/>
      <c r="L2" s="106"/>
      <c r="M2" s="106"/>
      <c r="N2" s="106"/>
      <c r="O2" s="106"/>
      <c r="P2" s="106"/>
      <c r="Q2" s="106"/>
      <c r="R2" s="106"/>
      <c r="S2" s="106"/>
      <c r="T2" s="106"/>
      <c r="U2" s="105"/>
    </row>
    <row r="3" spans="1:23" s="91" customFormat="1" x14ac:dyDescent="0.25">
      <c r="B3" s="255" t="s">
        <v>322</v>
      </c>
      <c r="C3" s="256"/>
      <c r="D3" s="256"/>
      <c r="E3" s="256"/>
      <c r="F3" s="256"/>
      <c r="G3" s="257"/>
      <c r="H3" s="251" t="s">
        <v>321</v>
      </c>
      <c r="I3" s="252"/>
      <c r="J3" s="252"/>
      <c r="K3" s="253"/>
      <c r="L3" s="251" t="s">
        <v>320</v>
      </c>
      <c r="M3" s="252"/>
      <c r="N3" s="252"/>
      <c r="O3" s="252"/>
      <c r="P3" s="252"/>
      <c r="Q3" s="252"/>
      <c r="R3" s="252"/>
      <c r="S3" s="252"/>
      <c r="T3" s="252"/>
      <c r="U3" s="253"/>
    </row>
    <row r="4" spans="1:23" s="91" customFormat="1" ht="15.75" thickBot="1" x14ac:dyDescent="0.3">
      <c r="B4" s="249" t="s">
        <v>319</v>
      </c>
      <c r="C4" s="250"/>
      <c r="D4" s="250"/>
      <c r="E4" s="250" t="s">
        <v>318</v>
      </c>
      <c r="F4" s="250"/>
      <c r="G4" s="103"/>
      <c r="H4" s="96" t="s">
        <v>317</v>
      </c>
      <c r="I4" s="95" t="s">
        <v>316</v>
      </c>
      <c r="J4" s="95" t="s">
        <v>315</v>
      </c>
      <c r="K4" s="102"/>
      <c r="L4" s="249" t="s">
        <v>314</v>
      </c>
      <c r="M4" s="250"/>
      <c r="N4" s="250"/>
      <c r="O4" s="250"/>
      <c r="P4" s="250"/>
      <c r="Q4" s="250"/>
      <c r="R4" s="250"/>
      <c r="S4" s="250"/>
      <c r="T4" s="250"/>
      <c r="U4" s="254"/>
    </row>
    <row r="5" spans="1:23" s="91" customFormat="1" x14ac:dyDescent="0.25">
      <c r="A5" s="101" t="s">
        <v>64</v>
      </c>
      <c r="B5" s="96" t="s">
        <v>313</v>
      </c>
      <c r="C5" s="95" t="s">
        <v>300</v>
      </c>
      <c r="D5" s="100" t="s">
        <v>311</v>
      </c>
      <c r="E5" s="95" t="s">
        <v>312</v>
      </c>
      <c r="F5" s="100" t="s">
        <v>311</v>
      </c>
      <c r="G5" s="97" t="s">
        <v>310</v>
      </c>
      <c r="H5" s="99"/>
      <c r="I5" s="98"/>
      <c r="J5" s="98"/>
      <c r="K5" s="97" t="s">
        <v>309</v>
      </c>
      <c r="L5" s="96" t="s">
        <v>308</v>
      </c>
      <c r="M5" s="95" t="s">
        <v>307</v>
      </c>
      <c r="N5" s="95" t="s">
        <v>306</v>
      </c>
      <c r="O5" s="95" t="s">
        <v>305</v>
      </c>
      <c r="P5" s="95" t="s">
        <v>304</v>
      </c>
      <c r="Q5" s="95" t="s">
        <v>303</v>
      </c>
      <c r="R5" s="95" t="s">
        <v>302</v>
      </c>
      <c r="S5" s="95" t="s">
        <v>301</v>
      </c>
      <c r="T5" s="95" t="s">
        <v>300</v>
      </c>
      <c r="U5" s="94" t="s">
        <v>299</v>
      </c>
      <c r="V5" s="93" t="s">
        <v>298</v>
      </c>
      <c r="W5" s="92" t="s">
        <v>297</v>
      </c>
    </row>
    <row r="6" spans="1:23" x14ac:dyDescent="0.25">
      <c r="A6" t="str">
        <f>'0.Consolidado general'!$A3</f>
        <v>E001001021002</v>
      </c>
      <c r="B6" s="48" t="str">
        <f>VLOOKUP(A6,'0.Productos'!$A$3:$GG$65,'0.Productos'!$ES$1+1,0)</f>
        <v>NO</v>
      </c>
      <c r="C6" s="51">
        <f t="shared" ref="C6:C45" si="0">IF(A6&lt;&gt;0,COUNTIF(B6:B6,"SI"),"")</f>
        <v>0</v>
      </c>
      <c r="D6" s="67">
        <f t="shared" ref="D6:D45" si="1">IF(C6&lt;AVERAGE($C$6:$C$45)-1.5*(AVERAGE($C$6:$C$45)-QUARTILE($C$6:$C$45,1)),5*0,IF(C6&gt;AVERAGE($C$6:$C$45)+1.5*(QUARTILE($C$6:$C$45,3)-AVERAGE($C$6:$C$45)),5*1,5*(C6-MIN($C$6:$C$45))/(MAX($C$6:$C$45)-MIN($C$6:$C$45))))</f>
        <v>0</v>
      </c>
      <c r="E6" s="90">
        <f>IF(A6&lt;&gt;0,VLOOKUP(A6,'0.Productos'!$A$3:$GG$65,'0.Productos'!$ET$1+1,0),"")</f>
        <v>9</v>
      </c>
      <c r="F6" s="67">
        <f t="shared" ref="F6:F45" si="2">IF(E6&lt;AVERAGE($E$6:$E$45)-1.5*(AVERAGE($E$6:$E$45)-QUARTILE($E$6:$E$45,1)),5*0,IF(E6&gt;AVERAGE($E$6:$E$45)+1.5*(QUARTILE($E$6:$E$45,3)-AVERAGE($E$6:$E$45)),5*1,5*(E6-MIN($E$6:$E$45))/(MAX($E$6:$E$45)-MIN($E$6:$E$45))))</f>
        <v>1.3793103448275863</v>
      </c>
      <c r="G6" s="89">
        <f t="shared" ref="G6:G45" si="3">D6*$B$2+F6*$E$2</f>
        <v>1.1034482758620692</v>
      </c>
      <c r="H6" s="88">
        <f>'3.CANALES'!AH11</f>
        <v>0.40118297544040143</v>
      </c>
      <c r="I6" s="87">
        <f>'3.CANALES'!AM11</f>
        <v>5</v>
      </c>
      <c r="J6" s="87">
        <f>'3.CANALES'!BA11</f>
        <v>3.8461538461538463</v>
      </c>
      <c r="K6" s="86">
        <f t="shared" ref="K6:K45" si="4">H6*$H$2+I6*$I$2+J6*$J$2</f>
        <v>2.46982225695097</v>
      </c>
      <c r="L6" s="48" t="str">
        <f>VLOOKUP($A6,'0.Productos'!$A$3:$GG$65,'0.Productos'!EU$1+1,0)</f>
        <v>NO</v>
      </c>
      <c r="M6" s="48" t="str">
        <f>VLOOKUP($A6,'0.Productos'!$A$3:$GG$65,'0.Productos'!EV$1+1,0)</f>
        <v>SI</v>
      </c>
      <c r="N6" s="48" t="str">
        <f>VLOOKUP($A6,'0.Productos'!$A$3:$GG$65,'0.Productos'!EW$1+1,0)</f>
        <v>NO</v>
      </c>
      <c r="O6" s="48" t="str">
        <f>VLOOKUP($A6,'0.Productos'!$A$3:$GG$65,'0.Productos'!EX$1+1,0)</f>
        <v>SI</v>
      </c>
      <c r="P6" s="48" t="str">
        <f>VLOOKUP($A6,'0.Productos'!$A$3:$GG$65,'0.Productos'!EY$1+1,0)</f>
        <v>NO</v>
      </c>
      <c r="Q6" s="48" t="str">
        <f>VLOOKUP($A6,'0.Productos'!$A$3:$GG$65,'0.Productos'!EZ$1+1,0)</f>
        <v>SI</v>
      </c>
      <c r="R6" s="48" t="str">
        <f>VLOOKUP($A6,'0.Productos'!$A$3:$GG$65,'0.Productos'!FA$1+1,0)</f>
        <v>NO</v>
      </c>
      <c r="S6" s="48" t="str">
        <f>VLOOKUP($A6,'0.Productos'!$A$3:$GG$65,'0.Productos'!FB$1+1,0)</f>
        <v>NO</v>
      </c>
      <c r="T6" s="51">
        <f t="shared" ref="T6:T45" si="5">IF(A6&lt;&gt;0,COUNTIF(L6:S6,"SI"),"")</f>
        <v>3</v>
      </c>
      <c r="U6" s="85">
        <f t="shared" ref="U6:U45" si="6">IF(T6&lt;AVERAGE($T$6:$T$45)-1.5*(AVERAGE($T$6:$T$45)-QUARTILE($T$6:$T$45,1)),5*0,IF(T6&gt;AVERAGE($T$6:$T$45)+1.5*(QUARTILE($T$6:$T$45,3)-AVERAGE($T$6:$T$45)),5*1,5*(T6-MIN($T$6:$T$45))/(MAX($T$6:$T$45)-MIN($T$6:$T$45))))</f>
        <v>1</v>
      </c>
      <c r="V6" s="84">
        <f t="shared" ref="V6:V45" si="7">IF(A6&lt;&gt;0,G6*$B$1+K6*$H$1+U6*$L$1,"")</f>
        <v>1.7659456112341056</v>
      </c>
      <c r="W6" s="83">
        <f>(5*(V6-MIN($V$6:$V$45))/(MAX($V$6:$V$45)-MIN($V$6:$V$45)))</f>
        <v>1.2007060719608216</v>
      </c>
    </row>
    <row r="7" spans="1:23" x14ac:dyDescent="0.25">
      <c r="A7" t="str">
        <f>'0.Consolidado general'!$A4</f>
        <v>E001001021003</v>
      </c>
      <c r="B7" s="48" t="str">
        <f>VLOOKUP(A7,'0.Productos'!$A$3:$GG$65,'0.Productos'!$ES$1+1,0)</f>
        <v>NO</v>
      </c>
      <c r="C7" s="51">
        <f t="shared" si="0"/>
        <v>0</v>
      </c>
      <c r="D7" s="67">
        <f t="shared" si="1"/>
        <v>0</v>
      </c>
      <c r="E7" s="90">
        <f>IF(A7&lt;&gt;0,VLOOKUP(A7,'0.Productos'!$A$3:$GG$65,'0.Productos'!$ET$1+1,0),"")</f>
        <v>17</v>
      </c>
      <c r="F7" s="67">
        <f t="shared" si="2"/>
        <v>5</v>
      </c>
      <c r="G7" s="89">
        <f t="shared" si="3"/>
        <v>4</v>
      </c>
      <c r="H7" s="88">
        <f>'3.CANALES'!AH12</f>
        <v>3.7270155586987275</v>
      </c>
      <c r="I7" s="87">
        <f>'3.CANALES'!AM12</f>
        <v>0</v>
      </c>
      <c r="J7" s="87">
        <f>'3.CANALES'!BA12</f>
        <v>3.8461538461538463</v>
      </c>
      <c r="K7" s="86">
        <f t="shared" si="4"/>
        <v>2.6327385485801331</v>
      </c>
      <c r="L7" s="48" t="str">
        <f>VLOOKUP($A7,'0.Productos'!$A$3:$GG$65,'0.Productos'!EU$1+1,0)</f>
        <v>NO</v>
      </c>
      <c r="M7" s="48" t="str">
        <f>VLOOKUP($A7,'0.Productos'!$A$3:$GG$65,'0.Productos'!EV$1+1,0)</f>
        <v>SI</v>
      </c>
      <c r="N7" s="48" t="str">
        <f>VLOOKUP($A7,'0.Productos'!$A$3:$GG$65,'0.Productos'!EW$1+1,0)</f>
        <v>NO</v>
      </c>
      <c r="O7" s="48" t="str">
        <f>VLOOKUP($A7,'0.Productos'!$A$3:$GG$65,'0.Productos'!EX$1+1,0)</f>
        <v>NO</v>
      </c>
      <c r="P7" s="48" t="str">
        <f>VLOOKUP($A7,'0.Productos'!$A$3:$GG$65,'0.Productos'!EY$1+1,0)</f>
        <v>SI</v>
      </c>
      <c r="Q7" s="48" t="str">
        <f>VLOOKUP($A7,'0.Productos'!$A$3:$GG$65,'0.Productos'!EZ$1+1,0)</f>
        <v>NO</v>
      </c>
      <c r="R7" s="48" t="str">
        <f>VLOOKUP($A7,'0.Productos'!$A$3:$GG$65,'0.Productos'!FA$1+1,0)</f>
        <v>SI</v>
      </c>
      <c r="S7" s="48" t="str">
        <f>VLOOKUP($A7,'0.Productos'!$A$3:$GG$65,'0.Productos'!FB$1+1,0)</f>
        <v>NO</v>
      </c>
      <c r="T7" s="51">
        <f t="shared" si="5"/>
        <v>3</v>
      </c>
      <c r="U7" s="85">
        <f t="shared" si="6"/>
        <v>1</v>
      </c>
      <c r="V7" s="84">
        <f t="shared" si="7"/>
        <v>2.7163692742900665</v>
      </c>
      <c r="W7" s="83">
        <f>(5*(V7-MIN($V$6:$V$15))/(MAX($V$6:$V$15)-MIN($V$6:$V$15)))</f>
        <v>3.1504119223055387</v>
      </c>
    </row>
    <row r="8" spans="1:23" x14ac:dyDescent="0.25">
      <c r="A8" t="str">
        <f>'0.Consolidado general'!$A5</f>
        <v>E001002021001</v>
      </c>
      <c r="B8" s="48" t="str">
        <f>VLOOKUP(A8,'0.Productos'!$A$3:$GG$65,'0.Productos'!$ES$1+1,0)</f>
        <v>NO</v>
      </c>
      <c r="C8" s="51">
        <f t="shared" si="0"/>
        <v>0</v>
      </c>
      <c r="D8" s="67">
        <f t="shared" si="1"/>
        <v>0</v>
      </c>
      <c r="E8" s="90">
        <f>IF(A8&lt;&gt;0,VLOOKUP(A8,'0.Productos'!$A$3:$GG$65,'0.Productos'!$ET$1+1,0),"")</f>
        <v>1</v>
      </c>
      <c r="F8" s="67">
        <f t="shared" si="2"/>
        <v>0</v>
      </c>
      <c r="G8" s="89">
        <f t="shared" si="3"/>
        <v>0</v>
      </c>
      <c r="H8" s="88">
        <f>'3.CANALES'!AH13</f>
        <v>5</v>
      </c>
      <c r="I8" s="87">
        <f>'3.CANALES'!AM13</f>
        <v>1.20617110799439</v>
      </c>
      <c r="J8" s="87">
        <f>'3.CANALES'!BA13</f>
        <v>0.38461538461538464</v>
      </c>
      <c r="K8" s="86">
        <f t="shared" si="4"/>
        <v>2.9387744093213941</v>
      </c>
      <c r="L8" s="48" t="str">
        <f>VLOOKUP($A8,'0.Productos'!$A$3:$GG$65,'0.Productos'!EU$1+1,0)</f>
        <v>SI</v>
      </c>
      <c r="M8" s="48" t="str">
        <f>VLOOKUP($A8,'0.Productos'!$A$3:$GG$65,'0.Productos'!EV$1+1,0)</f>
        <v>SI</v>
      </c>
      <c r="N8" s="48" t="str">
        <f>VLOOKUP($A8,'0.Productos'!$A$3:$GG$65,'0.Productos'!EW$1+1,0)</f>
        <v>NO</v>
      </c>
      <c r="O8" s="48" t="str">
        <f>VLOOKUP($A8,'0.Productos'!$A$3:$GG$65,'0.Productos'!EX$1+1,0)</f>
        <v>NO</v>
      </c>
      <c r="P8" s="48" t="str">
        <f>VLOOKUP($A8,'0.Productos'!$A$3:$GG$65,'0.Productos'!EY$1+1,0)</f>
        <v>NO</v>
      </c>
      <c r="Q8" s="48" t="str">
        <f>VLOOKUP($A8,'0.Productos'!$A$3:$GG$65,'0.Productos'!EZ$1+1,0)</f>
        <v>NO</v>
      </c>
      <c r="R8" s="48" t="str">
        <f>VLOOKUP($A8,'0.Productos'!$A$3:$GG$65,'0.Productos'!FA$1+1,0)</f>
        <v>SI</v>
      </c>
      <c r="S8" s="48" t="str">
        <f>VLOOKUP($A8,'0.Productos'!$A$3:$GG$65,'0.Productos'!FB$1+1,0)</f>
        <v>SI</v>
      </c>
      <c r="T8" s="51">
        <f t="shared" si="5"/>
        <v>4</v>
      </c>
      <c r="U8" s="85">
        <f t="shared" si="6"/>
        <v>2</v>
      </c>
      <c r="V8" s="84">
        <f t="shared" si="7"/>
        <v>1.869387204660697</v>
      </c>
      <c r="W8" s="83">
        <f>(5*(V8-MIN($V$6:$V$15))/(MAX($V$6:$V$15)-MIN($V$6:$V$15)))</f>
        <v>1.4129068911453182</v>
      </c>
    </row>
    <row r="9" spans="1:23" x14ac:dyDescent="0.25">
      <c r="A9" t="str">
        <f>'0.Consolidado general'!$A6</f>
        <v>E001002021002</v>
      </c>
      <c r="B9" s="48" t="str">
        <f>VLOOKUP(A9,'0.Productos'!$A$3:$GG$65,'0.Productos'!$ES$1+1,0)</f>
        <v>SI</v>
      </c>
      <c r="C9" s="51">
        <f t="shared" si="0"/>
        <v>1</v>
      </c>
      <c r="D9" s="67">
        <f t="shared" si="1"/>
        <v>5</v>
      </c>
      <c r="E9" s="90">
        <f>IF(A9&lt;&gt;0,VLOOKUP(A9,'0.Productos'!$A$3:$GG$65,'0.Productos'!$ET$1+1,0),"")</f>
        <v>2</v>
      </c>
      <c r="F9" s="67">
        <f t="shared" si="2"/>
        <v>0.17241379310344829</v>
      </c>
      <c r="G9" s="89">
        <f t="shared" si="3"/>
        <v>1.1379310344827587</v>
      </c>
      <c r="H9" s="88">
        <f>'3.CANALES'!AH14</f>
        <v>4.4387295872444383</v>
      </c>
      <c r="I9" s="87">
        <f>'3.CANALES'!AM14</f>
        <v>1.9635343618513323</v>
      </c>
      <c r="J9" s="87">
        <f>'3.CANALES'!BA14</f>
        <v>0</v>
      </c>
      <c r="K9" s="86">
        <f t="shared" si="4"/>
        <v>2.808425102177619</v>
      </c>
      <c r="L9" s="48" t="str">
        <f>VLOOKUP($A9,'0.Productos'!$A$3:$GG$65,'0.Productos'!EU$1+1,0)</f>
        <v>NO</v>
      </c>
      <c r="M9" s="48" t="str">
        <f>VLOOKUP($A9,'0.Productos'!$A$3:$GG$65,'0.Productos'!EV$1+1,0)</f>
        <v>SI</v>
      </c>
      <c r="N9" s="48" t="str">
        <f>VLOOKUP($A9,'0.Productos'!$A$3:$GG$65,'0.Productos'!EW$1+1,0)</f>
        <v>SI</v>
      </c>
      <c r="O9" s="48" t="str">
        <f>VLOOKUP($A9,'0.Productos'!$A$3:$GG$65,'0.Productos'!EX$1+1,0)</f>
        <v>NO</v>
      </c>
      <c r="P9" s="48" t="str">
        <f>VLOOKUP($A9,'0.Productos'!$A$3:$GG$65,'0.Productos'!EY$1+1,0)</f>
        <v>SI</v>
      </c>
      <c r="Q9" s="48" t="str">
        <f>VLOOKUP($A9,'0.Productos'!$A$3:$GG$65,'0.Productos'!EZ$1+1,0)</f>
        <v>NO</v>
      </c>
      <c r="R9" s="48" t="str">
        <f>VLOOKUP($A9,'0.Productos'!$A$3:$GG$65,'0.Productos'!FA$1+1,0)</f>
        <v>NO</v>
      </c>
      <c r="S9" s="48" t="str">
        <f>VLOOKUP($A9,'0.Productos'!$A$3:$GG$65,'0.Productos'!FB$1+1,0)</f>
        <v>SI</v>
      </c>
      <c r="T9" s="51">
        <f t="shared" si="5"/>
        <v>4</v>
      </c>
      <c r="U9" s="85">
        <f t="shared" si="6"/>
        <v>2</v>
      </c>
      <c r="V9" s="84">
        <f t="shared" si="7"/>
        <v>2.1455918614336369</v>
      </c>
      <c r="W9" s="83">
        <f>(5*(V9-MIN($V$6:$V$45))/(MAX($V$6:$V$45)-MIN($V$6:$V$45)))</f>
        <v>1.9795150850860321</v>
      </c>
    </row>
    <row r="10" spans="1:23" x14ac:dyDescent="0.25">
      <c r="A10" t="str">
        <f>'0.Consolidado general'!$A7</f>
        <v>E001002021003</v>
      </c>
      <c r="B10" s="48" t="str">
        <f>VLOOKUP(A10,'0.Productos'!$A$3:$GG$65,'0.Productos'!$ES$1+1,0)</f>
        <v>NO</v>
      </c>
      <c r="C10" s="51">
        <f t="shared" si="0"/>
        <v>0</v>
      </c>
      <c r="D10" s="67">
        <f t="shared" si="1"/>
        <v>0</v>
      </c>
      <c r="E10" s="90">
        <f>IF(A10&lt;&gt;0,VLOOKUP(A10,'0.Productos'!$A$3:$GG$65,'0.Productos'!$ET$1+1,0),"")</f>
        <v>2</v>
      </c>
      <c r="F10" s="67">
        <f t="shared" si="2"/>
        <v>0.17241379310344829</v>
      </c>
      <c r="G10" s="89">
        <f t="shared" si="3"/>
        <v>0.13793103448275865</v>
      </c>
      <c r="H10" s="88">
        <f>'3.CANALES'!AH15</f>
        <v>1.0801080108010801</v>
      </c>
      <c r="I10" s="87">
        <f>'3.CANALES'!AM15</f>
        <v>0</v>
      </c>
      <c r="J10" s="87">
        <f>'3.CANALES'!BA15</f>
        <v>2.6923076923076925</v>
      </c>
      <c r="K10" s="86">
        <f t="shared" si="4"/>
        <v>1.0785155438620786</v>
      </c>
      <c r="L10" s="48" t="str">
        <f>VLOOKUP($A10,'0.Productos'!$A$3:$GG$65,'0.Productos'!EU$1+1,0)</f>
        <v>SI</v>
      </c>
      <c r="M10" s="48" t="str">
        <f>VLOOKUP($A10,'0.Productos'!$A$3:$GG$65,'0.Productos'!EV$1+1,0)</f>
        <v>SI</v>
      </c>
      <c r="N10" s="48" t="str">
        <f>VLOOKUP($A10,'0.Productos'!$A$3:$GG$65,'0.Productos'!EW$1+1,0)</f>
        <v>NO</v>
      </c>
      <c r="O10" s="48" t="str">
        <f>VLOOKUP($A10,'0.Productos'!$A$3:$GG$65,'0.Productos'!EX$1+1,0)</f>
        <v>SI</v>
      </c>
      <c r="P10" s="48" t="str">
        <f>VLOOKUP($A10,'0.Productos'!$A$3:$GG$65,'0.Productos'!EY$1+1,0)</f>
        <v>SI</v>
      </c>
      <c r="Q10" s="48" t="str">
        <f>VLOOKUP($A10,'0.Productos'!$A$3:$GG$65,'0.Productos'!EZ$1+1,0)</f>
        <v>NO</v>
      </c>
      <c r="R10" s="48" t="str">
        <f>VLOOKUP($A10,'0.Productos'!$A$3:$GG$65,'0.Productos'!FA$1+1,0)</f>
        <v>NO</v>
      </c>
      <c r="S10" s="48" t="str">
        <f>VLOOKUP($A10,'0.Productos'!$A$3:$GG$65,'0.Productos'!FB$1+1,0)</f>
        <v>SI</v>
      </c>
      <c r="T10" s="51">
        <f t="shared" si="5"/>
        <v>5</v>
      </c>
      <c r="U10" s="85">
        <f t="shared" si="6"/>
        <v>3</v>
      </c>
      <c r="V10" s="84">
        <f t="shared" si="7"/>
        <v>1.1806370822758669</v>
      </c>
      <c r="W10" s="83">
        <f>(5*(V10-MIN($V$6:$V$15))/(MAX($V$6:$V$15)-MIN($V$6:$V$15)))</f>
        <v>0</v>
      </c>
    </row>
    <row r="11" spans="1:23" x14ac:dyDescent="0.25">
      <c r="A11" t="str">
        <f>'0.Consolidado general'!$A8</f>
        <v>E001002021004</v>
      </c>
      <c r="B11" s="48" t="str">
        <f>VLOOKUP(A11,'0.Productos'!$A$3:$GG$65,'0.Productos'!$ES$1+1,0)</f>
        <v>SI</v>
      </c>
      <c r="C11" s="51">
        <f t="shared" si="0"/>
        <v>1</v>
      </c>
      <c r="D11" s="67">
        <f t="shared" si="1"/>
        <v>5</v>
      </c>
      <c r="E11" s="90">
        <f>IF(A11&lt;&gt;0,VLOOKUP(A11,'0.Productos'!$A$3:$GG$65,'0.Productos'!$ET$1+1,0),"")</f>
        <v>1</v>
      </c>
      <c r="F11" s="67">
        <f t="shared" si="2"/>
        <v>0</v>
      </c>
      <c r="G11" s="89">
        <f t="shared" si="3"/>
        <v>1</v>
      </c>
      <c r="H11" s="88">
        <f>'3.CANALES'!AH16</f>
        <v>4.6811109682396816</v>
      </c>
      <c r="I11" s="87">
        <f>'3.CANALES'!AM16</f>
        <v>0.72230014025245437</v>
      </c>
      <c r="J11" s="87">
        <f>'3.CANALES'!BA16</f>
        <v>3.4615384615384617</v>
      </c>
      <c r="K11" s="86">
        <f t="shared" si="4"/>
        <v>3.2495532185032698</v>
      </c>
      <c r="L11" s="48" t="str">
        <f>VLOOKUP($A11,'0.Productos'!$A$3:$GG$65,'0.Productos'!EU$1+1,0)</f>
        <v>NO</v>
      </c>
      <c r="M11" s="48" t="str">
        <f>VLOOKUP($A11,'0.Productos'!$A$3:$GG$65,'0.Productos'!EV$1+1,0)</f>
        <v>SI</v>
      </c>
      <c r="N11" s="48" t="str">
        <f>VLOOKUP($A11,'0.Productos'!$A$3:$GG$65,'0.Productos'!EW$1+1,0)</f>
        <v>NO</v>
      </c>
      <c r="O11" s="48" t="str">
        <f>VLOOKUP($A11,'0.Productos'!$A$3:$GG$65,'0.Productos'!EX$1+1,0)</f>
        <v>NO</v>
      </c>
      <c r="P11" s="48" t="str">
        <f>VLOOKUP($A11,'0.Productos'!$A$3:$GG$65,'0.Productos'!EY$1+1,0)</f>
        <v>SI</v>
      </c>
      <c r="Q11" s="48" t="str">
        <f>VLOOKUP($A11,'0.Productos'!$A$3:$GG$65,'0.Productos'!EZ$1+1,0)</f>
        <v>NO</v>
      </c>
      <c r="R11" s="48" t="str">
        <f>VLOOKUP($A11,'0.Productos'!$A$3:$GG$65,'0.Productos'!FA$1+1,0)</f>
        <v>NO</v>
      </c>
      <c r="S11" s="48" t="str">
        <f>VLOOKUP($A11,'0.Productos'!$A$3:$GG$65,'0.Productos'!FB$1+1,0)</f>
        <v>NO</v>
      </c>
      <c r="T11" s="51">
        <f t="shared" si="5"/>
        <v>2</v>
      </c>
      <c r="U11" s="85">
        <f t="shared" si="6"/>
        <v>0</v>
      </c>
      <c r="V11" s="84">
        <f t="shared" si="7"/>
        <v>1.924776609251635</v>
      </c>
      <c r="W11" s="83">
        <f>(5*(V11-MIN($V$6:$V$15))/(MAX($V$6:$V$15)-MIN($V$6:$V$15)))</f>
        <v>1.5265331089846605</v>
      </c>
    </row>
    <row r="12" spans="1:23" x14ac:dyDescent="0.25">
      <c r="A12" t="str">
        <f>'0.Consolidado general'!$A9</f>
        <v>E001013021001</v>
      </c>
      <c r="B12" s="48" t="str">
        <f>VLOOKUP(A12,'0.Productos'!$A$3:$GG$65,'0.Productos'!$ES$1+1,0)</f>
        <v>NO</v>
      </c>
      <c r="C12" s="51">
        <f t="shared" si="0"/>
        <v>0</v>
      </c>
      <c r="D12" s="67">
        <f t="shared" si="1"/>
        <v>0</v>
      </c>
      <c r="E12" s="90">
        <f>IF(A12&lt;&gt;0,VLOOKUP(A12,'0.Productos'!$A$3:$GG$65,'0.Productos'!$ET$1+1,0),"")</f>
        <v>6</v>
      </c>
      <c r="F12" s="67">
        <f t="shared" si="2"/>
        <v>0.86206896551724133</v>
      </c>
      <c r="G12" s="89">
        <f t="shared" si="3"/>
        <v>0.68965517241379315</v>
      </c>
      <c r="H12" s="88">
        <f>'3.CANALES'!AH17</f>
        <v>3.5289957567185293</v>
      </c>
      <c r="I12" s="87">
        <f>'3.CANALES'!AM17</f>
        <v>0</v>
      </c>
      <c r="J12" s="87">
        <f>'3.CANALES'!BA17</f>
        <v>3.4615384615384617</v>
      </c>
      <c r="K12" s="86">
        <f t="shared" si="4"/>
        <v>2.4568055706669569</v>
      </c>
      <c r="L12" s="48" t="str">
        <f>VLOOKUP($A12,'0.Productos'!$A$3:$GG$65,'0.Productos'!EU$1+1,0)</f>
        <v>SI</v>
      </c>
      <c r="M12" s="48" t="str">
        <f>VLOOKUP($A12,'0.Productos'!$A$3:$GG$65,'0.Productos'!EV$1+1,0)</f>
        <v>NO</v>
      </c>
      <c r="N12" s="48" t="str">
        <f>VLOOKUP($A12,'0.Productos'!$A$3:$GG$65,'0.Productos'!EW$1+1,0)</f>
        <v>SI</v>
      </c>
      <c r="O12" s="48" t="str">
        <f>VLOOKUP($A12,'0.Productos'!$A$3:$GG$65,'0.Productos'!EX$1+1,0)</f>
        <v>SI</v>
      </c>
      <c r="P12" s="48" t="str">
        <f>VLOOKUP($A12,'0.Productos'!$A$3:$GG$65,'0.Productos'!EY$1+1,0)</f>
        <v>SI</v>
      </c>
      <c r="Q12" s="48" t="str">
        <f>VLOOKUP($A12,'0.Productos'!$A$3:$GG$65,'0.Productos'!EZ$1+1,0)</f>
        <v>SI</v>
      </c>
      <c r="R12" s="48" t="str">
        <f>VLOOKUP($A12,'0.Productos'!$A$3:$GG$65,'0.Productos'!FA$1+1,0)</f>
        <v>SI</v>
      </c>
      <c r="S12" s="48" t="str">
        <f>VLOOKUP($A12,'0.Productos'!$A$3:$GG$65,'0.Productos'!FB$1+1,0)</f>
        <v>SI</v>
      </c>
      <c r="T12" s="51">
        <f t="shared" si="5"/>
        <v>7</v>
      </c>
      <c r="U12" s="85">
        <f t="shared" si="6"/>
        <v>5</v>
      </c>
      <c r="V12" s="84">
        <f t="shared" si="7"/>
        <v>2.4352993370576161</v>
      </c>
      <c r="W12" s="83">
        <f>(5*(V12-MIN($V$6:$V$45))/(MAX($V$6:$V$45)-MIN($V$6:$V$45)))</f>
        <v>2.5738230574869823</v>
      </c>
    </row>
    <row r="13" spans="1:23" x14ac:dyDescent="0.25">
      <c r="A13" t="str">
        <f>'0.Consolidado general'!$A10</f>
        <v>E001013021002</v>
      </c>
      <c r="B13" s="48" t="str">
        <f>VLOOKUP(A13,'0.Productos'!$A$3:$GG$65,'0.Productos'!$ES$1+1,0)</f>
        <v>NO</v>
      </c>
      <c r="C13" s="51">
        <f t="shared" si="0"/>
        <v>0</v>
      </c>
      <c r="D13" s="67">
        <f t="shared" si="1"/>
        <v>0</v>
      </c>
      <c r="E13" s="90">
        <f>IF(A13&lt;&gt;0,VLOOKUP(A13,'0.Productos'!$A$3:$GG$65,'0.Productos'!$ET$1+1,0),"")</f>
        <v>30</v>
      </c>
      <c r="F13" s="67">
        <f t="shared" si="2"/>
        <v>5</v>
      </c>
      <c r="G13" s="89">
        <f t="shared" si="3"/>
        <v>4</v>
      </c>
      <c r="H13" s="88">
        <f>'3.CANALES'!AH18</f>
        <v>0.36132184647036142</v>
      </c>
      <c r="I13" s="87">
        <f>'3.CANALES'!AM18</f>
        <v>0.20336605890603085</v>
      </c>
      <c r="J13" s="87">
        <f>'3.CANALES'!BA18</f>
        <v>3.4615384615384617</v>
      </c>
      <c r="K13" s="86">
        <f t="shared" si="4"/>
        <v>0.93397843321468232</v>
      </c>
      <c r="L13" s="48" t="str">
        <f>VLOOKUP($A13,'0.Productos'!$A$3:$GG$65,'0.Productos'!EU$1+1,0)</f>
        <v>NO</v>
      </c>
      <c r="M13" s="48" t="str">
        <f>VLOOKUP($A13,'0.Productos'!$A$3:$GG$65,'0.Productos'!EV$1+1,0)</f>
        <v>SI</v>
      </c>
      <c r="N13" s="48" t="str">
        <f>VLOOKUP($A13,'0.Productos'!$A$3:$GG$65,'0.Productos'!EW$1+1,0)</f>
        <v>SI</v>
      </c>
      <c r="O13" s="48" t="str">
        <f>VLOOKUP($A13,'0.Productos'!$A$3:$GG$65,'0.Productos'!EX$1+1,0)</f>
        <v>NO</v>
      </c>
      <c r="P13" s="48" t="str">
        <f>VLOOKUP($A13,'0.Productos'!$A$3:$GG$65,'0.Productos'!EY$1+1,0)</f>
        <v>NO</v>
      </c>
      <c r="Q13" s="48" t="str">
        <f>VLOOKUP($A13,'0.Productos'!$A$3:$GG$65,'0.Productos'!EZ$1+1,0)</f>
        <v>SI</v>
      </c>
      <c r="R13" s="48" t="str">
        <f>VLOOKUP($A13,'0.Productos'!$A$3:$GG$65,'0.Productos'!FA$1+1,0)</f>
        <v>SI</v>
      </c>
      <c r="S13" s="48" t="str">
        <f>VLOOKUP($A13,'0.Productos'!$A$3:$GG$65,'0.Productos'!FB$1+1,0)</f>
        <v>NO</v>
      </c>
      <c r="T13" s="51">
        <f t="shared" si="5"/>
        <v>4</v>
      </c>
      <c r="U13" s="85">
        <f t="shared" si="6"/>
        <v>2</v>
      </c>
      <c r="V13" s="84">
        <f t="shared" si="7"/>
        <v>2.0669892166073409</v>
      </c>
      <c r="W13" s="83">
        <f>(5*(V13-MIN($V$6:$V$15))/(MAX($V$6:$V$15)-MIN($V$6:$V$15)))</f>
        <v>1.8182690614152457</v>
      </c>
    </row>
    <row r="14" spans="1:23" x14ac:dyDescent="0.25">
      <c r="A14" t="str">
        <f>'0.Consolidado general'!$A11</f>
        <v>E001013021003</v>
      </c>
      <c r="B14" s="48" t="str">
        <f>VLOOKUP(A14,'0.Productos'!$A$3:$GG$65,'0.Productos'!$ES$1+1,0)</f>
        <v>SI</v>
      </c>
      <c r="C14" s="51">
        <f t="shared" si="0"/>
        <v>1</v>
      </c>
      <c r="D14" s="67">
        <f t="shared" si="1"/>
        <v>5</v>
      </c>
      <c r="E14" s="90">
        <f>IF(A14&lt;&gt;0,VLOOKUP(A14,'0.Productos'!$A$3:$GG$65,'0.Productos'!$ET$1+1,0),"")</f>
        <v>6</v>
      </c>
      <c r="F14" s="67">
        <f t="shared" si="2"/>
        <v>0.86206896551724133</v>
      </c>
      <c r="G14" s="89">
        <f t="shared" si="3"/>
        <v>1.6896551724137931</v>
      </c>
      <c r="H14" s="88">
        <f>'3.CANALES'!AH19</f>
        <v>0.83579786550083568</v>
      </c>
      <c r="I14" s="87">
        <f>'3.CANALES'!AM19</f>
        <v>0.42776998597475457</v>
      </c>
      <c r="J14" s="87">
        <f>'3.CANALES'!BA19</f>
        <v>4.2307692307692308</v>
      </c>
      <c r="K14" s="86">
        <f t="shared" si="4"/>
        <v>1.3923837746966905</v>
      </c>
      <c r="L14" s="48" t="str">
        <f>VLOOKUP($A14,'0.Productos'!$A$3:$GG$65,'0.Productos'!EU$1+1,0)</f>
        <v>SI</v>
      </c>
      <c r="M14" s="48" t="str">
        <f>VLOOKUP($A14,'0.Productos'!$A$3:$GG$65,'0.Productos'!EV$1+1,0)</f>
        <v>NO</v>
      </c>
      <c r="N14" s="48" t="str">
        <f>VLOOKUP($A14,'0.Productos'!$A$3:$GG$65,'0.Productos'!EW$1+1,0)</f>
        <v>SI</v>
      </c>
      <c r="O14" s="48" t="str">
        <f>VLOOKUP($A14,'0.Productos'!$A$3:$GG$65,'0.Productos'!EX$1+1,0)</f>
        <v>SI</v>
      </c>
      <c r="P14" s="48" t="str">
        <f>VLOOKUP($A14,'0.Productos'!$A$3:$GG$65,'0.Productos'!EY$1+1,0)</f>
        <v>SI</v>
      </c>
      <c r="Q14" s="48" t="str">
        <f>VLOOKUP($A14,'0.Productos'!$A$3:$GG$65,'0.Productos'!EZ$1+1,0)</f>
        <v>NO</v>
      </c>
      <c r="R14" s="48" t="str">
        <f>VLOOKUP($A14,'0.Productos'!$A$3:$GG$65,'0.Productos'!FA$1+1,0)</f>
        <v>NO</v>
      </c>
      <c r="S14" s="48" t="str">
        <f>VLOOKUP($A14,'0.Productos'!$A$3:$GG$65,'0.Productos'!FB$1+1,0)</f>
        <v>SI</v>
      </c>
      <c r="T14" s="51">
        <f t="shared" si="5"/>
        <v>5</v>
      </c>
      <c r="U14" s="85">
        <f t="shared" si="6"/>
        <v>3</v>
      </c>
      <c r="V14" s="84">
        <f t="shared" si="7"/>
        <v>1.8030884390724833</v>
      </c>
      <c r="W14" s="83">
        <f>(5*(V14-MIN($V$6:$V$15))/(MAX($V$6:$V$15)-MIN($V$6:$V$15)))</f>
        <v>1.2769011327003474</v>
      </c>
    </row>
    <row r="15" spans="1:23" x14ac:dyDescent="0.25">
      <c r="A15" t="str">
        <f>'0.Consolidado general'!$A12</f>
        <v>E001013021004</v>
      </c>
      <c r="B15" s="48" t="str">
        <f>VLOOKUP(A15,'0.Productos'!$A$3:$GG$65,'0.Productos'!$ES$1+1,0)</f>
        <v>SI</v>
      </c>
      <c r="C15" s="51">
        <f t="shared" si="0"/>
        <v>1</v>
      </c>
      <c r="D15" s="67">
        <f t="shared" si="1"/>
        <v>5</v>
      </c>
      <c r="E15" s="90">
        <f>IF(A15&lt;&gt;0,VLOOKUP(A15,'0.Productos'!$A$3:$GG$65,'0.Productos'!$ET$1+1,0),"")</f>
        <v>15</v>
      </c>
      <c r="F15" s="67">
        <f t="shared" si="2"/>
        <v>2.4137931034482758</v>
      </c>
      <c r="G15" s="89">
        <f t="shared" si="3"/>
        <v>2.931034482758621</v>
      </c>
      <c r="H15" s="88">
        <f>'3.CANALES'!AH20</f>
        <v>3.5547126141185545</v>
      </c>
      <c r="I15" s="87">
        <f>'3.CANALES'!AM20</f>
        <v>5</v>
      </c>
      <c r="J15" s="87">
        <f>'3.CANALES'!BA20</f>
        <v>5</v>
      </c>
      <c r="K15" s="86">
        <f t="shared" si="4"/>
        <v>4.2773563070592768</v>
      </c>
      <c r="L15" s="48" t="str">
        <f>VLOOKUP($A15,'0.Productos'!$A$3:$GG$65,'0.Productos'!EU$1+1,0)</f>
        <v>NO</v>
      </c>
      <c r="M15" s="48" t="str">
        <f>VLOOKUP($A15,'0.Productos'!$A$3:$GG$65,'0.Productos'!EV$1+1,0)</f>
        <v>SI</v>
      </c>
      <c r="N15" s="48" t="str">
        <f>VLOOKUP($A15,'0.Productos'!$A$3:$GG$65,'0.Productos'!EW$1+1,0)</f>
        <v>NO</v>
      </c>
      <c r="O15" s="48" t="str">
        <f>VLOOKUP($A15,'0.Productos'!$A$3:$GG$65,'0.Productos'!EX$1+1,0)</f>
        <v>SI</v>
      </c>
      <c r="P15" s="48" t="str">
        <f>VLOOKUP($A15,'0.Productos'!$A$3:$GG$65,'0.Productos'!EY$1+1,0)</f>
        <v>NO</v>
      </c>
      <c r="Q15" s="48" t="str">
        <f>VLOOKUP($A15,'0.Productos'!$A$3:$GG$65,'0.Productos'!EZ$1+1,0)</f>
        <v>SI</v>
      </c>
      <c r="R15" s="48" t="str">
        <f>VLOOKUP($A15,'0.Productos'!$A$3:$GG$65,'0.Productos'!FA$1+1,0)</f>
        <v>SI</v>
      </c>
      <c r="S15" s="48" t="str">
        <f>VLOOKUP($A15,'0.Productos'!$A$3:$GG$65,'0.Productos'!FB$1+1,0)</f>
        <v>SI</v>
      </c>
      <c r="T15" s="51">
        <f t="shared" si="5"/>
        <v>5</v>
      </c>
      <c r="U15" s="85">
        <f t="shared" si="6"/>
        <v>3</v>
      </c>
      <c r="V15" s="84">
        <f t="shared" si="7"/>
        <v>3.6179884983572248</v>
      </c>
      <c r="W15" s="83">
        <f>(5*(V15-MIN($V$6:$V$45))/(MAX($V$6:$V$45)-MIN($V$6:$V$45)))</f>
        <v>5</v>
      </c>
    </row>
    <row r="16" spans="1:23" x14ac:dyDescent="0.25">
      <c r="A16" t="str">
        <f>'0.Consolidado general'!$A13</f>
        <v>E001010021001</v>
      </c>
      <c r="B16" s="48" t="str">
        <f>VLOOKUP(A16,'0.Productos'!$A$3:$GG$65,'0.Productos'!$ES$1+1,0)</f>
        <v>NO</v>
      </c>
      <c r="C16" s="51">
        <f t="shared" si="0"/>
        <v>0</v>
      </c>
      <c r="D16" s="67">
        <f t="shared" si="1"/>
        <v>0</v>
      </c>
      <c r="E16" s="90">
        <f>IF(A16&lt;&gt;0,VLOOKUP(A16,'0.Productos'!$A$3:$GG$65,'0.Productos'!$ET$1+1,0),"")</f>
        <v>9</v>
      </c>
      <c r="F16" s="67">
        <f t="shared" si="2"/>
        <v>1.3793103448275863</v>
      </c>
      <c r="G16" s="89">
        <f t="shared" si="3"/>
        <v>1.1034482758620692</v>
      </c>
      <c r="H16" s="88">
        <f>'3.CANALES'!AH21</f>
        <v>0.40118297544040143</v>
      </c>
      <c r="I16" s="87">
        <f>'3.CANALES'!AM21</f>
        <v>5</v>
      </c>
      <c r="J16" s="87">
        <f>'3.CANALES'!BA21</f>
        <v>3.8461538461538463</v>
      </c>
      <c r="K16" s="86">
        <f t="shared" si="4"/>
        <v>2.46982225695097</v>
      </c>
      <c r="L16" s="48" t="str">
        <f>VLOOKUP($A16,'0.Productos'!$A$3:$GG$65,'0.Productos'!EU$1+1,0)</f>
        <v>NO</v>
      </c>
      <c r="M16" s="48" t="str">
        <f>VLOOKUP($A16,'0.Productos'!$A$3:$GG$65,'0.Productos'!EV$1+1,0)</f>
        <v>SI</v>
      </c>
      <c r="N16" s="48" t="str">
        <f>VLOOKUP($A16,'0.Productos'!$A$3:$GG$65,'0.Productos'!EW$1+1,0)</f>
        <v>NO</v>
      </c>
      <c r="O16" s="48" t="str">
        <f>VLOOKUP($A16,'0.Productos'!$A$3:$GG$65,'0.Productos'!EX$1+1,0)</f>
        <v>SI</v>
      </c>
      <c r="P16" s="48" t="str">
        <f>VLOOKUP($A16,'0.Productos'!$A$3:$GG$65,'0.Productos'!EY$1+1,0)</f>
        <v>NO</v>
      </c>
      <c r="Q16" s="48" t="str">
        <f>VLOOKUP($A16,'0.Productos'!$A$3:$GG$65,'0.Productos'!EZ$1+1,0)</f>
        <v>SI</v>
      </c>
      <c r="R16" s="48" t="str">
        <f>VLOOKUP($A16,'0.Productos'!$A$3:$GG$65,'0.Productos'!FA$1+1,0)</f>
        <v>NO</v>
      </c>
      <c r="S16" s="48" t="str">
        <f>VLOOKUP($A16,'0.Productos'!$A$3:$GG$65,'0.Productos'!FB$1+1,0)</f>
        <v>NO</v>
      </c>
      <c r="T16" s="51">
        <f t="shared" si="5"/>
        <v>3</v>
      </c>
      <c r="U16" s="85">
        <f t="shared" si="6"/>
        <v>1</v>
      </c>
      <c r="V16" s="84">
        <f t="shared" si="7"/>
        <v>1.7659456112341056</v>
      </c>
      <c r="W16" s="83">
        <f>(5*(V16-MIN($V$6:$V$45))/(MAX($V$6:$V$45)-MIN($V$6:$V$45)))</f>
        <v>1.2007060719608216</v>
      </c>
    </row>
    <row r="17" spans="1:23" x14ac:dyDescent="0.25">
      <c r="A17" t="str">
        <f>'0.Consolidado general'!$A14</f>
        <v>E001010021002</v>
      </c>
      <c r="B17" s="48" t="str">
        <f>VLOOKUP(A17,'0.Productos'!$A$3:$GG$65,'0.Productos'!$ES$1+1,0)</f>
        <v>NO</v>
      </c>
      <c r="C17" s="51">
        <f t="shared" si="0"/>
        <v>0</v>
      </c>
      <c r="D17" s="67">
        <f t="shared" si="1"/>
        <v>0</v>
      </c>
      <c r="E17" s="90">
        <f>IF(A17&lt;&gt;0,VLOOKUP(A17,'0.Productos'!$A$3:$GG$65,'0.Productos'!$ET$1+1,0),"")</f>
        <v>17</v>
      </c>
      <c r="F17" s="67">
        <f t="shared" si="2"/>
        <v>5</v>
      </c>
      <c r="G17" s="89">
        <f t="shared" si="3"/>
        <v>4</v>
      </c>
      <c r="H17" s="88">
        <f>'3.CANALES'!AH22</f>
        <v>0</v>
      </c>
      <c r="I17" s="87">
        <f>'3.CANALES'!AM22</f>
        <v>0</v>
      </c>
      <c r="J17" s="87">
        <f>'3.CANALES'!BA22</f>
        <v>3.8461538461538463</v>
      </c>
      <c r="K17" s="86">
        <f t="shared" si="4"/>
        <v>0.76923076923076927</v>
      </c>
      <c r="L17" s="48" t="str">
        <f>VLOOKUP($A17,'0.Productos'!$A$3:$GG$65,'0.Productos'!EU$1+1,0)</f>
        <v>NO</v>
      </c>
      <c r="M17" s="48" t="str">
        <f>VLOOKUP($A17,'0.Productos'!$A$3:$GG$65,'0.Productos'!EV$1+1,0)</f>
        <v>SI</v>
      </c>
      <c r="N17" s="48" t="str">
        <f>VLOOKUP($A17,'0.Productos'!$A$3:$GG$65,'0.Productos'!EW$1+1,0)</f>
        <v>NO</v>
      </c>
      <c r="O17" s="48" t="str">
        <f>VLOOKUP($A17,'0.Productos'!$A$3:$GG$65,'0.Productos'!EX$1+1,0)</f>
        <v>NO</v>
      </c>
      <c r="P17" s="48" t="str">
        <f>VLOOKUP($A17,'0.Productos'!$A$3:$GG$65,'0.Productos'!EY$1+1,0)</f>
        <v>SI</v>
      </c>
      <c r="Q17" s="48" t="str">
        <f>VLOOKUP($A17,'0.Productos'!$A$3:$GG$65,'0.Productos'!EZ$1+1,0)</f>
        <v>NO</v>
      </c>
      <c r="R17" s="48" t="str">
        <f>VLOOKUP($A17,'0.Productos'!$A$3:$GG$65,'0.Productos'!FA$1+1,0)</f>
        <v>SI</v>
      </c>
      <c r="S17" s="48" t="str">
        <f>VLOOKUP($A17,'0.Productos'!$A$3:$GG$65,'0.Productos'!FB$1+1,0)</f>
        <v>NO</v>
      </c>
      <c r="T17" s="51">
        <f t="shared" si="5"/>
        <v>3</v>
      </c>
      <c r="U17" s="85">
        <f t="shared" si="6"/>
        <v>1</v>
      </c>
      <c r="V17" s="84">
        <f t="shared" si="7"/>
        <v>1.7846153846153845</v>
      </c>
      <c r="W17" s="83">
        <f>(5*(V17-MIN($V$6:$V$15))/(MAX($V$6:$V$15)-MIN($V$6:$V$15)))</f>
        <v>1.2390053776294625</v>
      </c>
    </row>
    <row r="18" spans="1:23" x14ac:dyDescent="0.25">
      <c r="A18" t="str">
        <f>'0.Consolidado general'!$A15</f>
        <v>E001010021003</v>
      </c>
      <c r="B18" s="48" t="str">
        <f>VLOOKUP(A18,'0.Productos'!$A$3:$GG$65,'0.Productos'!$ES$1+1,0)</f>
        <v>NO</v>
      </c>
      <c r="C18" s="51">
        <f t="shared" si="0"/>
        <v>0</v>
      </c>
      <c r="D18" s="67">
        <f t="shared" si="1"/>
        <v>0</v>
      </c>
      <c r="E18" s="90">
        <f>IF(A18&lt;&gt;0,VLOOKUP(A18,'0.Productos'!$A$3:$GG$65,'0.Productos'!$ET$1+1,0),"")</f>
        <v>1</v>
      </c>
      <c r="F18" s="67">
        <f t="shared" si="2"/>
        <v>0</v>
      </c>
      <c r="G18" s="89">
        <f t="shared" si="3"/>
        <v>0</v>
      </c>
      <c r="H18" s="88">
        <f>'3.CANALES'!AH23</f>
        <v>5</v>
      </c>
      <c r="I18" s="87">
        <f>'3.CANALES'!AM23</f>
        <v>1.20617110799439</v>
      </c>
      <c r="J18" s="87">
        <f>'3.CANALES'!BA23</f>
        <v>0.38461538461538464</v>
      </c>
      <c r="K18" s="86">
        <f t="shared" si="4"/>
        <v>2.9387744093213941</v>
      </c>
      <c r="L18" s="48" t="str">
        <f>VLOOKUP($A18,'0.Productos'!$A$3:$GG$65,'0.Productos'!EU$1+1,0)</f>
        <v>SI</v>
      </c>
      <c r="M18" s="48" t="str">
        <f>VLOOKUP($A18,'0.Productos'!$A$3:$GG$65,'0.Productos'!EV$1+1,0)</f>
        <v>SI</v>
      </c>
      <c r="N18" s="48" t="str">
        <f>VLOOKUP($A18,'0.Productos'!$A$3:$GG$65,'0.Productos'!EW$1+1,0)</f>
        <v>NO</v>
      </c>
      <c r="O18" s="48" t="str">
        <f>VLOOKUP($A18,'0.Productos'!$A$3:$GG$65,'0.Productos'!EX$1+1,0)</f>
        <v>NO</v>
      </c>
      <c r="P18" s="48" t="str">
        <f>VLOOKUP($A18,'0.Productos'!$A$3:$GG$65,'0.Productos'!EY$1+1,0)</f>
        <v>NO</v>
      </c>
      <c r="Q18" s="48" t="str">
        <f>VLOOKUP($A18,'0.Productos'!$A$3:$GG$65,'0.Productos'!EZ$1+1,0)</f>
        <v>NO</v>
      </c>
      <c r="R18" s="48" t="str">
        <f>VLOOKUP($A18,'0.Productos'!$A$3:$GG$65,'0.Productos'!FA$1+1,0)</f>
        <v>SI</v>
      </c>
      <c r="S18" s="48" t="str">
        <f>VLOOKUP($A18,'0.Productos'!$A$3:$GG$65,'0.Productos'!FB$1+1,0)</f>
        <v>SI</v>
      </c>
      <c r="T18" s="51">
        <f t="shared" si="5"/>
        <v>4</v>
      </c>
      <c r="U18" s="85">
        <f t="shared" si="6"/>
        <v>2</v>
      </c>
      <c r="V18" s="84">
        <f t="shared" si="7"/>
        <v>1.869387204660697</v>
      </c>
      <c r="W18" s="83">
        <f>(5*(V18-MIN($V$6:$V$15))/(MAX($V$6:$V$15)-MIN($V$6:$V$15)))</f>
        <v>1.4129068911453182</v>
      </c>
    </row>
    <row r="19" spans="1:23" x14ac:dyDescent="0.25">
      <c r="A19" t="str">
        <f>'0.Consolidado general'!$A16</f>
        <v>E001012021002</v>
      </c>
      <c r="B19" s="48" t="str">
        <f>VLOOKUP(A19,'0.Productos'!$A$3:$GG$65,'0.Productos'!$ES$1+1,0)</f>
        <v>SI</v>
      </c>
      <c r="C19" s="51">
        <f t="shared" si="0"/>
        <v>1</v>
      </c>
      <c r="D19" s="67">
        <f t="shared" si="1"/>
        <v>5</v>
      </c>
      <c r="E19" s="90">
        <f>IF(A19&lt;&gt;0,VLOOKUP(A19,'0.Productos'!$A$3:$GG$65,'0.Productos'!$ET$1+1,0),"")</f>
        <v>1</v>
      </c>
      <c r="F19" s="67">
        <f t="shared" si="2"/>
        <v>0</v>
      </c>
      <c r="G19" s="89">
        <f t="shared" si="3"/>
        <v>1</v>
      </c>
      <c r="H19" s="88">
        <f>'3.CANALES'!AH24</f>
        <v>4.6811109682396816</v>
      </c>
      <c r="I19" s="87">
        <f>'3.CANALES'!AM24</f>
        <v>0.72230014025245437</v>
      </c>
      <c r="J19" s="87">
        <f>'3.CANALES'!BA24</f>
        <v>0</v>
      </c>
      <c r="K19" s="86">
        <f t="shared" si="4"/>
        <v>2.5572455261955773</v>
      </c>
      <c r="L19" s="48" t="str">
        <f>VLOOKUP($A19,'0.Productos'!$A$3:$GG$65,'0.Productos'!EU$1+1,0)</f>
        <v>NO</v>
      </c>
      <c r="M19" s="48" t="str">
        <f>VLOOKUP($A19,'0.Productos'!$A$3:$GG$65,'0.Productos'!EV$1+1,0)</f>
        <v>SI</v>
      </c>
      <c r="N19" s="48" t="str">
        <f>VLOOKUP($A19,'0.Productos'!$A$3:$GG$65,'0.Productos'!EW$1+1,0)</f>
        <v>NO</v>
      </c>
      <c r="O19" s="48" t="str">
        <f>VLOOKUP($A19,'0.Productos'!$A$3:$GG$65,'0.Productos'!EX$1+1,0)</f>
        <v>NO</v>
      </c>
      <c r="P19" s="48" t="str">
        <f>VLOOKUP($A19,'0.Productos'!$A$3:$GG$65,'0.Productos'!EY$1+1,0)</f>
        <v>SI</v>
      </c>
      <c r="Q19" s="48" t="str">
        <f>VLOOKUP($A19,'0.Productos'!$A$3:$GG$65,'0.Productos'!EZ$1+1,0)</f>
        <v>NO</v>
      </c>
      <c r="R19" s="48" t="str">
        <f>VLOOKUP($A19,'0.Productos'!$A$3:$GG$65,'0.Productos'!FA$1+1,0)</f>
        <v>NO</v>
      </c>
      <c r="S19" s="48" t="str">
        <f>VLOOKUP($A19,'0.Productos'!$A$3:$GG$65,'0.Productos'!FB$1+1,0)</f>
        <v>NO</v>
      </c>
      <c r="T19" s="51">
        <f t="shared" si="5"/>
        <v>2</v>
      </c>
      <c r="U19" s="85">
        <f t="shared" si="6"/>
        <v>0</v>
      </c>
      <c r="V19" s="84">
        <f t="shared" si="7"/>
        <v>1.5786227630977887</v>
      </c>
      <c r="W19" s="83">
        <f>(5*(V19-MIN($V$6:$V$45))/(MAX($V$6:$V$45)-MIN($V$6:$V$45)))</f>
        <v>0.81643065131285353</v>
      </c>
    </row>
    <row r="20" spans="1:23" x14ac:dyDescent="0.25">
      <c r="A20">
        <f>'0.Consolidado general'!$A17</f>
        <v>0</v>
      </c>
      <c r="B20" s="48" t="e">
        <f>VLOOKUP(A20,'0.Productos'!$A$3:$GG$65,'0.Productos'!$ES$1+1,0)</f>
        <v>#N/A</v>
      </c>
      <c r="C20" s="51" t="str">
        <f t="shared" si="0"/>
        <v/>
      </c>
      <c r="D20" s="67">
        <f t="shared" si="1"/>
        <v>5</v>
      </c>
      <c r="E20" s="90" t="str">
        <f>IF(A20&lt;&gt;0,VLOOKUP(A20,'0.Productos'!$A$3:$GG$65,'0.Productos'!$ET$1+1,0),"")</f>
        <v/>
      </c>
      <c r="F20" s="67">
        <f t="shared" si="2"/>
        <v>5</v>
      </c>
      <c r="G20" s="89">
        <f t="shared" si="3"/>
        <v>5</v>
      </c>
      <c r="H20" s="88">
        <f>'3.CANALES'!AH25</f>
        <v>5</v>
      </c>
      <c r="I20" s="87">
        <f>'3.CANALES'!AM25</f>
        <v>5</v>
      </c>
      <c r="J20" s="87">
        <f>'3.CANALES'!BA25</f>
        <v>5</v>
      </c>
      <c r="K20" s="86">
        <f t="shared" si="4"/>
        <v>5</v>
      </c>
      <c r="L20" s="48" t="e">
        <f>VLOOKUP($A20,'0.Productos'!$A$3:$GG$65,'0.Productos'!EU$1+1,0)</f>
        <v>#N/A</v>
      </c>
      <c r="M20" s="48" t="e">
        <f>VLOOKUP($A20,'0.Productos'!$A$3:$GG$65,'0.Productos'!EV$1+1,0)</f>
        <v>#N/A</v>
      </c>
      <c r="N20" s="48" t="e">
        <f>VLOOKUP($A20,'0.Productos'!$A$3:$GG$65,'0.Productos'!EW$1+1,0)</f>
        <v>#N/A</v>
      </c>
      <c r="O20" s="48" t="e">
        <f>VLOOKUP($A20,'0.Productos'!$A$3:$GG$65,'0.Productos'!EX$1+1,0)</f>
        <v>#N/A</v>
      </c>
      <c r="P20" s="48" t="e">
        <f>VLOOKUP($A20,'0.Productos'!$A$3:$GG$65,'0.Productos'!EY$1+1,0)</f>
        <v>#N/A</v>
      </c>
      <c r="Q20" s="48" t="e">
        <f>VLOOKUP($A20,'0.Productos'!$A$3:$GG$65,'0.Productos'!EZ$1+1,0)</f>
        <v>#N/A</v>
      </c>
      <c r="R20" s="48" t="e">
        <f>VLOOKUP($A20,'0.Productos'!$A$3:$GG$65,'0.Productos'!FA$1+1,0)</f>
        <v>#N/A</v>
      </c>
      <c r="S20" s="48" t="e">
        <f>VLOOKUP($A20,'0.Productos'!$A$3:$GG$65,'0.Productos'!FB$1+1,0)</f>
        <v>#N/A</v>
      </c>
      <c r="T20" s="51" t="str">
        <f t="shared" si="5"/>
        <v/>
      </c>
      <c r="U20" s="85">
        <f t="shared" si="6"/>
        <v>5</v>
      </c>
      <c r="V20" s="84" t="str">
        <f t="shared" si="7"/>
        <v/>
      </c>
      <c r="W20" s="83" t="e">
        <f>(5*(V20-MIN($V$6:$V$15))/(MAX($V$6:$V$15)-MIN($V$6:$V$15)))</f>
        <v>#VALUE!</v>
      </c>
    </row>
    <row r="21" spans="1:23" x14ac:dyDescent="0.25">
      <c r="A21">
        <f>'0.Consolidado general'!$A18</f>
        <v>0</v>
      </c>
      <c r="B21" s="48" t="e">
        <f>VLOOKUP(A21,'0.Productos'!$A$3:$GG$65,'0.Productos'!$ES$1+1,0)</f>
        <v>#N/A</v>
      </c>
      <c r="C21" s="51" t="str">
        <f t="shared" si="0"/>
        <v/>
      </c>
      <c r="D21" s="67">
        <f t="shared" si="1"/>
        <v>5</v>
      </c>
      <c r="E21" s="90" t="str">
        <f>IF(A21&lt;&gt;0,VLOOKUP(A21,'0.Productos'!$A$3:$GG$65,'0.Productos'!$ET$1+1,0),"")</f>
        <v/>
      </c>
      <c r="F21" s="67">
        <f t="shared" si="2"/>
        <v>5</v>
      </c>
      <c r="G21" s="89">
        <f t="shared" si="3"/>
        <v>5</v>
      </c>
      <c r="H21" s="88">
        <f>'3.CANALES'!AH26</f>
        <v>5</v>
      </c>
      <c r="I21" s="87">
        <f>'3.CANALES'!AM26</f>
        <v>5</v>
      </c>
      <c r="J21" s="87">
        <f>'3.CANALES'!BA26</f>
        <v>5</v>
      </c>
      <c r="K21" s="86">
        <f t="shared" si="4"/>
        <v>5</v>
      </c>
      <c r="L21" s="48" t="e">
        <f>VLOOKUP($A21,'0.Productos'!$A$3:$GG$65,'0.Productos'!EU$1+1,0)</f>
        <v>#N/A</v>
      </c>
      <c r="M21" s="48" t="e">
        <f>VLOOKUP($A21,'0.Productos'!$A$3:$GG$65,'0.Productos'!EV$1+1,0)</f>
        <v>#N/A</v>
      </c>
      <c r="N21" s="48" t="e">
        <f>VLOOKUP($A21,'0.Productos'!$A$3:$GG$65,'0.Productos'!EW$1+1,0)</f>
        <v>#N/A</v>
      </c>
      <c r="O21" s="48" t="e">
        <f>VLOOKUP($A21,'0.Productos'!$A$3:$GG$65,'0.Productos'!EX$1+1,0)</f>
        <v>#N/A</v>
      </c>
      <c r="P21" s="48" t="e">
        <f>VLOOKUP($A21,'0.Productos'!$A$3:$GG$65,'0.Productos'!EY$1+1,0)</f>
        <v>#N/A</v>
      </c>
      <c r="Q21" s="48" t="e">
        <f>VLOOKUP($A21,'0.Productos'!$A$3:$GG$65,'0.Productos'!EZ$1+1,0)</f>
        <v>#N/A</v>
      </c>
      <c r="R21" s="48" t="e">
        <f>VLOOKUP($A21,'0.Productos'!$A$3:$GG$65,'0.Productos'!FA$1+1,0)</f>
        <v>#N/A</v>
      </c>
      <c r="S21" s="48" t="e">
        <f>VLOOKUP($A21,'0.Productos'!$A$3:$GG$65,'0.Productos'!FB$1+1,0)</f>
        <v>#N/A</v>
      </c>
      <c r="T21" s="51" t="str">
        <f t="shared" si="5"/>
        <v/>
      </c>
      <c r="U21" s="85">
        <f t="shared" si="6"/>
        <v>5</v>
      </c>
      <c r="V21" s="84" t="str">
        <f t="shared" si="7"/>
        <v/>
      </c>
      <c r="W21" s="83" t="e">
        <f>(5*(V21-MIN($V$6:$V$15))/(MAX($V$6:$V$15)-MIN($V$6:$V$15)))</f>
        <v>#VALUE!</v>
      </c>
    </row>
    <row r="22" spans="1:23" x14ac:dyDescent="0.25">
      <c r="A22">
        <f>'0.Consolidado general'!$A19</f>
        <v>0</v>
      </c>
      <c r="B22" s="48" t="e">
        <f>VLOOKUP(A22,'0.Productos'!$A$3:$GG$65,'0.Productos'!$ES$1+1,0)</f>
        <v>#N/A</v>
      </c>
      <c r="C22" s="51" t="str">
        <f t="shared" si="0"/>
        <v/>
      </c>
      <c r="D22" s="67">
        <f t="shared" si="1"/>
        <v>5</v>
      </c>
      <c r="E22" s="90" t="str">
        <f>IF(A22&lt;&gt;0,VLOOKUP(A22,'0.Productos'!$A$3:$GG$65,'0.Productos'!$ET$1+1,0),"")</f>
        <v/>
      </c>
      <c r="F22" s="67">
        <f t="shared" si="2"/>
        <v>5</v>
      </c>
      <c r="G22" s="89">
        <f t="shared" si="3"/>
        <v>5</v>
      </c>
      <c r="H22" s="88">
        <f>'3.CANALES'!AH27</f>
        <v>5</v>
      </c>
      <c r="I22" s="87">
        <f>'3.CANALES'!AM27</f>
        <v>5</v>
      </c>
      <c r="J22" s="87">
        <f>'3.CANALES'!BA27</f>
        <v>5</v>
      </c>
      <c r="K22" s="86">
        <f t="shared" si="4"/>
        <v>5</v>
      </c>
      <c r="L22" s="48" t="e">
        <f>VLOOKUP($A22,'0.Productos'!$A$3:$GG$65,'0.Productos'!EU$1+1,0)</f>
        <v>#N/A</v>
      </c>
      <c r="M22" s="48" t="e">
        <f>VLOOKUP($A22,'0.Productos'!$A$3:$GG$65,'0.Productos'!EV$1+1,0)</f>
        <v>#N/A</v>
      </c>
      <c r="N22" s="48" t="e">
        <f>VLOOKUP($A22,'0.Productos'!$A$3:$GG$65,'0.Productos'!EW$1+1,0)</f>
        <v>#N/A</v>
      </c>
      <c r="O22" s="48" t="e">
        <f>VLOOKUP($A22,'0.Productos'!$A$3:$GG$65,'0.Productos'!EX$1+1,0)</f>
        <v>#N/A</v>
      </c>
      <c r="P22" s="48" t="e">
        <f>VLOOKUP($A22,'0.Productos'!$A$3:$GG$65,'0.Productos'!EY$1+1,0)</f>
        <v>#N/A</v>
      </c>
      <c r="Q22" s="48" t="e">
        <f>VLOOKUP($A22,'0.Productos'!$A$3:$GG$65,'0.Productos'!EZ$1+1,0)</f>
        <v>#N/A</v>
      </c>
      <c r="R22" s="48" t="e">
        <f>VLOOKUP($A22,'0.Productos'!$A$3:$GG$65,'0.Productos'!FA$1+1,0)</f>
        <v>#N/A</v>
      </c>
      <c r="S22" s="48" t="e">
        <f>VLOOKUP($A22,'0.Productos'!$A$3:$GG$65,'0.Productos'!FB$1+1,0)</f>
        <v>#N/A</v>
      </c>
      <c r="T22" s="51" t="str">
        <f t="shared" si="5"/>
        <v/>
      </c>
      <c r="U22" s="85">
        <f t="shared" si="6"/>
        <v>5</v>
      </c>
      <c r="V22" s="84" t="str">
        <f t="shared" si="7"/>
        <v/>
      </c>
      <c r="W22" s="83" t="e">
        <f>(5*(V22-MIN($V$6:$V$45))/(MAX($V$6:$V$45)-MIN($V$6:$V$45)))</f>
        <v>#VALUE!</v>
      </c>
    </row>
    <row r="23" spans="1:23" x14ac:dyDescent="0.25">
      <c r="A23">
        <f>'0.Consolidado general'!$A20</f>
        <v>0</v>
      </c>
      <c r="B23" s="48" t="e">
        <f>VLOOKUP(A23,'0.Productos'!$A$3:$GG$65,'0.Productos'!$ES$1+1,0)</f>
        <v>#N/A</v>
      </c>
      <c r="C23" s="51" t="str">
        <f t="shared" si="0"/>
        <v/>
      </c>
      <c r="D23" s="67">
        <f t="shared" si="1"/>
        <v>5</v>
      </c>
      <c r="E23" s="90" t="str">
        <f>IF(A23&lt;&gt;0,VLOOKUP(A23,'0.Productos'!$A$3:$GG$65,'0.Productos'!$ET$1+1,0),"")</f>
        <v/>
      </c>
      <c r="F23" s="67">
        <f t="shared" si="2"/>
        <v>5</v>
      </c>
      <c r="G23" s="89">
        <f t="shared" si="3"/>
        <v>5</v>
      </c>
      <c r="H23" s="88">
        <f>'3.CANALES'!AH28</f>
        <v>5</v>
      </c>
      <c r="I23" s="87">
        <f>'3.CANALES'!AM28</f>
        <v>5</v>
      </c>
      <c r="J23" s="87">
        <f>'3.CANALES'!BA28</f>
        <v>5</v>
      </c>
      <c r="K23" s="86">
        <f t="shared" si="4"/>
        <v>5</v>
      </c>
      <c r="L23" s="48" t="e">
        <f>VLOOKUP($A23,'0.Productos'!$A$3:$GG$65,'0.Productos'!EU$1+1,0)</f>
        <v>#N/A</v>
      </c>
      <c r="M23" s="48" t="e">
        <f>VLOOKUP($A23,'0.Productos'!$A$3:$GG$65,'0.Productos'!EV$1+1,0)</f>
        <v>#N/A</v>
      </c>
      <c r="N23" s="48" t="e">
        <f>VLOOKUP($A23,'0.Productos'!$A$3:$GG$65,'0.Productos'!EW$1+1,0)</f>
        <v>#N/A</v>
      </c>
      <c r="O23" s="48" t="e">
        <f>VLOOKUP($A23,'0.Productos'!$A$3:$GG$65,'0.Productos'!EX$1+1,0)</f>
        <v>#N/A</v>
      </c>
      <c r="P23" s="48" t="e">
        <f>VLOOKUP($A23,'0.Productos'!$A$3:$GG$65,'0.Productos'!EY$1+1,0)</f>
        <v>#N/A</v>
      </c>
      <c r="Q23" s="48" t="e">
        <f>VLOOKUP($A23,'0.Productos'!$A$3:$GG$65,'0.Productos'!EZ$1+1,0)</f>
        <v>#N/A</v>
      </c>
      <c r="R23" s="48" t="e">
        <f>VLOOKUP($A23,'0.Productos'!$A$3:$GG$65,'0.Productos'!FA$1+1,0)</f>
        <v>#N/A</v>
      </c>
      <c r="S23" s="48" t="e">
        <f>VLOOKUP($A23,'0.Productos'!$A$3:$GG$65,'0.Productos'!FB$1+1,0)</f>
        <v>#N/A</v>
      </c>
      <c r="T23" s="51" t="str">
        <f t="shared" si="5"/>
        <v/>
      </c>
      <c r="U23" s="85">
        <f t="shared" si="6"/>
        <v>5</v>
      </c>
      <c r="V23" s="84" t="str">
        <f t="shared" si="7"/>
        <v/>
      </c>
      <c r="W23" s="83" t="e">
        <f>(5*(V23-MIN($V$6:$V$15))/(MAX($V$6:$V$15)-MIN($V$6:$V$15)))</f>
        <v>#VALUE!</v>
      </c>
    </row>
    <row r="24" spans="1:23" x14ac:dyDescent="0.25">
      <c r="A24">
        <f>'0.Consolidado general'!$A21</f>
        <v>0</v>
      </c>
      <c r="B24" s="48" t="e">
        <f>VLOOKUP(A24,'0.Productos'!$A$3:$GG$65,'0.Productos'!$ES$1+1,0)</f>
        <v>#N/A</v>
      </c>
      <c r="C24" s="51" t="str">
        <f t="shared" si="0"/>
        <v/>
      </c>
      <c r="D24" s="67">
        <f t="shared" si="1"/>
        <v>5</v>
      </c>
      <c r="E24" s="90" t="str">
        <f>IF(A24&lt;&gt;0,VLOOKUP(A24,'0.Productos'!$A$3:$GG$65,'0.Productos'!$ET$1+1,0),"")</f>
        <v/>
      </c>
      <c r="F24" s="67">
        <f t="shared" si="2"/>
        <v>5</v>
      </c>
      <c r="G24" s="89">
        <f t="shared" si="3"/>
        <v>5</v>
      </c>
      <c r="H24" s="88">
        <f>'3.CANALES'!AH29</f>
        <v>5</v>
      </c>
      <c r="I24" s="87">
        <f>'3.CANALES'!AM29</f>
        <v>5</v>
      </c>
      <c r="J24" s="87">
        <f>'3.CANALES'!BA29</f>
        <v>5</v>
      </c>
      <c r="K24" s="86">
        <f t="shared" si="4"/>
        <v>5</v>
      </c>
      <c r="L24" s="48" t="e">
        <f>VLOOKUP($A24,'0.Productos'!$A$3:$GG$65,'0.Productos'!EU$1+1,0)</f>
        <v>#N/A</v>
      </c>
      <c r="M24" s="48" t="e">
        <f>VLOOKUP($A24,'0.Productos'!$A$3:$GG$65,'0.Productos'!EV$1+1,0)</f>
        <v>#N/A</v>
      </c>
      <c r="N24" s="48" t="e">
        <f>VLOOKUP($A24,'0.Productos'!$A$3:$GG$65,'0.Productos'!EW$1+1,0)</f>
        <v>#N/A</v>
      </c>
      <c r="O24" s="48" t="e">
        <f>VLOOKUP($A24,'0.Productos'!$A$3:$GG$65,'0.Productos'!EX$1+1,0)</f>
        <v>#N/A</v>
      </c>
      <c r="P24" s="48" t="e">
        <f>VLOOKUP($A24,'0.Productos'!$A$3:$GG$65,'0.Productos'!EY$1+1,0)</f>
        <v>#N/A</v>
      </c>
      <c r="Q24" s="48" t="e">
        <f>VLOOKUP($A24,'0.Productos'!$A$3:$GG$65,'0.Productos'!EZ$1+1,0)</f>
        <v>#N/A</v>
      </c>
      <c r="R24" s="48" t="e">
        <f>VLOOKUP($A24,'0.Productos'!$A$3:$GG$65,'0.Productos'!FA$1+1,0)</f>
        <v>#N/A</v>
      </c>
      <c r="S24" s="48" t="e">
        <f>VLOOKUP($A24,'0.Productos'!$A$3:$GG$65,'0.Productos'!FB$1+1,0)</f>
        <v>#N/A</v>
      </c>
      <c r="T24" s="51" t="str">
        <f t="shared" si="5"/>
        <v/>
      </c>
      <c r="U24" s="85">
        <f t="shared" si="6"/>
        <v>5</v>
      </c>
      <c r="V24" s="84" t="str">
        <f t="shared" si="7"/>
        <v/>
      </c>
      <c r="W24" s="83" t="e">
        <f>(5*(V24-MIN($V$6:$V$15))/(MAX($V$6:$V$15)-MIN($V$6:$V$15)))</f>
        <v>#VALUE!</v>
      </c>
    </row>
    <row r="25" spans="1:23" x14ac:dyDescent="0.25">
      <c r="A25">
        <f>'0.Consolidado general'!$A22</f>
        <v>0</v>
      </c>
      <c r="B25" s="48" t="e">
        <f>VLOOKUP(A25,'0.Productos'!$A$3:$GG$65,'0.Productos'!$ES$1+1,0)</f>
        <v>#N/A</v>
      </c>
      <c r="C25" s="51" t="str">
        <f t="shared" si="0"/>
        <v/>
      </c>
      <c r="D25" s="67">
        <f t="shared" si="1"/>
        <v>5</v>
      </c>
      <c r="E25" s="90" t="str">
        <f>IF(A25&lt;&gt;0,VLOOKUP(A25,'0.Productos'!$A$3:$GG$65,'0.Productos'!$ET$1+1,0),"")</f>
        <v/>
      </c>
      <c r="F25" s="67">
        <f t="shared" si="2"/>
        <v>5</v>
      </c>
      <c r="G25" s="89">
        <f t="shared" si="3"/>
        <v>5</v>
      </c>
      <c r="H25" s="88">
        <f>'3.CANALES'!AH30</f>
        <v>5</v>
      </c>
      <c r="I25" s="87">
        <f>'3.CANALES'!AM30</f>
        <v>5</v>
      </c>
      <c r="J25" s="87">
        <f>'3.CANALES'!BA30</f>
        <v>5</v>
      </c>
      <c r="K25" s="86">
        <f t="shared" si="4"/>
        <v>5</v>
      </c>
      <c r="L25" s="48" t="e">
        <f>VLOOKUP($A25,'0.Productos'!$A$3:$GG$65,'0.Productos'!EU$1+1,0)</f>
        <v>#N/A</v>
      </c>
      <c r="M25" s="48" t="e">
        <f>VLOOKUP($A25,'0.Productos'!$A$3:$GG$65,'0.Productos'!EV$1+1,0)</f>
        <v>#N/A</v>
      </c>
      <c r="N25" s="48" t="e">
        <f>VLOOKUP($A25,'0.Productos'!$A$3:$GG$65,'0.Productos'!EW$1+1,0)</f>
        <v>#N/A</v>
      </c>
      <c r="O25" s="48" t="e">
        <f>VLOOKUP($A25,'0.Productos'!$A$3:$GG$65,'0.Productos'!EX$1+1,0)</f>
        <v>#N/A</v>
      </c>
      <c r="P25" s="48" t="e">
        <f>VLOOKUP($A25,'0.Productos'!$A$3:$GG$65,'0.Productos'!EY$1+1,0)</f>
        <v>#N/A</v>
      </c>
      <c r="Q25" s="48" t="e">
        <f>VLOOKUP($A25,'0.Productos'!$A$3:$GG$65,'0.Productos'!EZ$1+1,0)</f>
        <v>#N/A</v>
      </c>
      <c r="R25" s="48" t="e">
        <f>VLOOKUP($A25,'0.Productos'!$A$3:$GG$65,'0.Productos'!FA$1+1,0)</f>
        <v>#N/A</v>
      </c>
      <c r="S25" s="48" t="e">
        <f>VLOOKUP($A25,'0.Productos'!$A$3:$GG$65,'0.Productos'!FB$1+1,0)</f>
        <v>#N/A</v>
      </c>
      <c r="T25" s="51" t="str">
        <f t="shared" si="5"/>
        <v/>
      </c>
      <c r="U25" s="85">
        <f t="shared" si="6"/>
        <v>5</v>
      </c>
      <c r="V25" s="84" t="str">
        <f t="shared" si="7"/>
        <v/>
      </c>
      <c r="W25" s="83" t="e">
        <f>(5*(V25-MIN($V$6:$V$45))/(MAX($V$6:$V$45)-MIN($V$6:$V$45)))</f>
        <v>#VALUE!</v>
      </c>
    </row>
    <row r="26" spans="1:23" x14ac:dyDescent="0.25">
      <c r="A26">
        <f>'0.Consolidado general'!$A23</f>
        <v>0</v>
      </c>
      <c r="B26" s="48" t="e">
        <f>VLOOKUP(A26,'0.Productos'!$A$3:$GG$65,'0.Productos'!$ES$1+1,0)</f>
        <v>#N/A</v>
      </c>
      <c r="C26" s="51" t="str">
        <f t="shared" si="0"/>
        <v/>
      </c>
      <c r="D26" s="67">
        <f t="shared" si="1"/>
        <v>5</v>
      </c>
      <c r="E26" s="90" t="str">
        <f>IF(A26&lt;&gt;0,VLOOKUP(A26,'0.Productos'!$A$3:$GG$65,'0.Productos'!$ET$1+1,0),"")</f>
        <v/>
      </c>
      <c r="F26" s="67">
        <f t="shared" si="2"/>
        <v>5</v>
      </c>
      <c r="G26" s="89">
        <f t="shared" si="3"/>
        <v>5</v>
      </c>
      <c r="H26" s="88">
        <f>'3.CANALES'!AH31</f>
        <v>5</v>
      </c>
      <c r="I26" s="87">
        <f>'3.CANALES'!AM31</f>
        <v>5</v>
      </c>
      <c r="J26" s="87">
        <f>'3.CANALES'!BA31</f>
        <v>5</v>
      </c>
      <c r="K26" s="86">
        <f t="shared" si="4"/>
        <v>5</v>
      </c>
      <c r="L26" s="48" t="e">
        <f>VLOOKUP($A26,'0.Productos'!$A$3:$GG$65,'0.Productos'!EU$1+1,0)</f>
        <v>#N/A</v>
      </c>
      <c r="M26" s="48" t="e">
        <f>VLOOKUP($A26,'0.Productos'!$A$3:$GG$65,'0.Productos'!EV$1+1,0)</f>
        <v>#N/A</v>
      </c>
      <c r="N26" s="48" t="e">
        <f>VLOOKUP($A26,'0.Productos'!$A$3:$GG$65,'0.Productos'!EW$1+1,0)</f>
        <v>#N/A</v>
      </c>
      <c r="O26" s="48" t="e">
        <f>VLOOKUP($A26,'0.Productos'!$A$3:$GG$65,'0.Productos'!EX$1+1,0)</f>
        <v>#N/A</v>
      </c>
      <c r="P26" s="48" t="e">
        <f>VLOOKUP($A26,'0.Productos'!$A$3:$GG$65,'0.Productos'!EY$1+1,0)</f>
        <v>#N/A</v>
      </c>
      <c r="Q26" s="48" t="e">
        <f>VLOOKUP($A26,'0.Productos'!$A$3:$GG$65,'0.Productos'!EZ$1+1,0)</f>
        <v>#N/A</v>
      </c>
      <c r="R26" s="48" t="e">
        <f>VLOOKUP($A26,'0.Productos'!$A$3:$GG$65,'0.Productos'!FA$1+1,0)</f>
        <v>#N/A</v>
      </c>
      <c r="S26" s="48" t="e">
        <f>VLOOKUP($A26,'0.Productos'!$A$3:$GG$65,'0.Productos'!FB$1+1,0)</f>
        <v>#N/A</v>
      </c>
      <c r="T26" s="51" t="str">
        <f t="shared" si="5"/>
        <v/>
      </c>
      <c r="U26" s="85">
        <f t="shared" si="6"/>
        <v>5</v>
      </c>
      <c r="V26" s="84" t="str">
        <f t="shared" si="7"/>
        <v/>
      </c>
      <c r="W26" s="83" t="e">
        <f>(5*(V26-MIN($V$6:$V$45))/(MAX($V$6:$V$45)-MIN($V$6:$V$45)))</f>
        <v>#VALUE!</v>
      </c>
    </row>
    <row r="27" spans="1:23" x14ac:dyDescent="0.25">
      <c r="A27">
        <f>'0.Consolidado general'!$A24</f>
        <v>0</v>
      </c>
      <c r="B27" s="48" t="e">
        <f>VLOOKUP(A27,'0.Productos'!$A$3:$GG$65,'0.Productos'!$ES$1+1,0)</f>
        <v>#N/A</v>
      </c>
      <c r="C27" s="51" t="str">
        <f t="shared" si="0"/>
        <v/>
      </c>
      <c r="D27" s="67">
        <f t="shared" si="1"/>
        <v>5</v>
      </c>
      <c r="E27" s="90" t="str">
        <f>IF(A27&lt;&gt;0,VLOOKUP(A27,'0.Productos'!$A$3:$GG$65,'0.Productos'!$ET$1+1,0),"")</f>
        <v/>
      </c>
      <c r="F27" s="67">
        <f t="shared" si="2"/>
        <v>5</v>
      </c>
      <c r="G27" s="89">
        <f t="shared" si="3"/>
        <v>5</v>
      </c>
      <c r="H27" s="88">
        <f>'3.CANALES'!AH32</f>
        <v>5</v>
      </c>
      <c r="I27" s="87">
        <f>'3.CANALES'!AM32</f>
        <v>5</v>
      </c>
      <c r="J27" s="87">
        <f>'3.CANALES'!BA32</f>
        <v>5</v>
      </c>
      <c r="K27" s="86">
        <f t="shared" si="4"/>
        <v>5</v>
      </c>
      <c r="L27" s="48" t="e">
        <f>VLOOKUP($A27,'0.Productos'!$A$3:$GG$65,'0.Productos'!EU$1+1,0)</f>
        <v>#N/A</v>
      </c>
      <c r="M27" s="48" t="e">
        <f>VLOOKUP($A27,'0.Productos'!$A$3:$GG$65,'0.Productos'!EV$1+1,0)</f>
        <v>#N/A</v>
      </c>
      <c r="N27" s="48" t="e">
        <f>VLOOKUP($A27,'0.Productos'!$A$3:$GG$65,'0.Productos'!EW$1+1,0)</f>
        <v>#N/A</v>
      </c>
      <c r="O27" s="48" t="e">
        <f>VLOOKUP($A27,'0.Productos'!$A$3:$GG$65,'0.Productos'!EX$1+1,0)</f>
        <v>#N/A</v>
      </c>
      <c r="P27" s="48" t="e">
        <f>VLOOKUP($A27,'0.Productos'!$A$3:$GG$65,'0.Productos'!EY$1+1,0)</f>
        <v>#N/A</v>
      </c>
      <c r="Q27" s="48" t="e">
        <f>VLOOKUP($A27,'0.Productos'!$A$3:$GG$65,'0.Productos'!EZ$1+1,0)</f>
        <v>#N/A</v>
      </c>
      <c r="R27" s="48" t="e">
        <f>VLOOKUP($A27,'0.Productos'!$A$3:$GG$65,'0.Productos'!FA$1+1,0)</f>
        <v>#N/A</v>
      </c>
      <c r="S27" s="48" t="e">
        <f>VLOOKUP($A27,'0.Productos'!$A$3:$GG$65,'0.Productos'!FB$1+1,0)</f>
        <v>#N/A</v>
      </c>
      <c r="T27" s="51" t="str">
        <f t="shared" si="5"/>
        <v/>
      </c>
      <c r="U27" s="85">
        <f t="shared" si="6"/>
        <v>5</v>
      </c>
      <c r="V27" s="84" t="str">
        <f t="shared" si="7"/>
        <v/>
      </c>
      <c r="W27" s="83" t="e">
        <f>(5*(V27-MIN($V$6:$V$15))/(MAX($V$6:$V$15)-MIN($V$6:$V$15)))</f>
        <v>#VALUE!</v>
      </c>
    </row>
    <row r="28" spans="1:23" x14ac:dyDescent="0.25">
      <c r="A28">
        <f>'0.Consolidado general'!$A25</f>
        <v>0</v>
      </c>
      <c r="B28" s="48" t="e">
        <f>VLOOKUP(A28,'0.Productos'!$A$3:$GG$65,'0.Productos'!$ES$1+1,0)</f>
        <v>#N/A</v>
      </c>
      <c r="C28" s="51" t="str">
        <f t="shared" si="0"/>
        <v/>
      </c>
      <c r="D28" s="67">
        <f t="shared" si="1"/>
        <v>5</v>
      </c>
      <c r="E28" s="90" t="str">
        <f>IF(A28&lt;&gt;0,VLOOKUP(A28,'0.Productos'!$A$3:$GG$65,'0.Productos'!$ET$1+1,0),"")</f>
        <v/>
      </c>
      <c r="F28" s="67">
        <f t="shared" si="2"/>
        <v>5</v>
      </c>
      <c r="G28" s="89">
        <f t="shared" si="3"/>
        <v>5</v>
      </c>
      <c r="H28" s="88">
        <f>'3.CANALES'!AH33</f>
        <v>5</v>
      </c>
      <c r="I28" s="87">
        <f>'3.CANALES'!AM33</f>
        <v>5</v>
      </c>
      <c r="J28" s="87">
        <f>'3.CANALES'!BA33</f>
        <v>5</v>
      </c>
      <c r="K28" s="86">
        <f t="shared" si="4"/>
        <v>5</v>
      </c>
      <c r="L28" s="48" t="e">
        <f>VLOOKUP($A28,'0.Productos'!$A$3:$GG$65,'0.Productos'!EU$1+1,0)</f>
        <v>#N/A</v>
      </c>
      <c r="M28" s="48" t="e">
        <f>VLOOKUP($A28,'0.Productos'!$A$3:$GG$65,'0.Productos'!EV$1+1,0)</f>
        <v>#N/A</v>
      </c>
      <c r="N28" s="48" t="e">
        <f>VLOOKUP($A28,'0.Productos'!$A$3:$GG$65,'0.Productos'!EW$1+1,0)</f>
        <v>#N/A</v>
      </c>
      <c r="O28" s="48" t="e">
        <f>VLOOKUP($A28,'0.Productos'!$A$3:$GG$65,'0.Productos'!EX$1+1,0)</f>
        <v>#N/A</v>
      </c>
      <c r="P28" s="48" t="e">
        <f>VLOOKUP($A28,'0.Productos'!$A$3:$GG$65,'0.Productos'!EY$1+1,0)</f>
        <v>#N/A</v>
      </c>
      <c r="Q28" s="48" t="e">
        <f>VLOOKUP($A28,'0.Productos'!$A$3:$GG$65,'0.Productos'!EZ$1+1,0)</f>
        <v>#N/A</v>
      </c>
      <c r="R28" s="48" t="e">
        <f>VLOOKUP($A28,'0.Productos'!$A$3:$GG$65,'0.Productos'!FA$1+1,0)</f>
        <v>#N/A</v>
      </c>
      <c r="S28" s="48" t="e">
        <f>VLOOKUP($A28,'0.Productos'!$A$3:$GG$65,'0.Productos'!FB$1+1,0)</f>
        <v>#N/A</v>
      </c>
      <c r="T28" s="51" t="str">
        <f t="shared" si="5"/>
        <v/>
      </c>
      <c r="U28" s="85">
        <f t="shared" si="6"/>
        <v>5</v>
      </c>
      <c r="V28" s="84" t="str">
        <f t="shared" si="7"/>
        <v/>
      </c>
      <c r="W28" s="83" t="e">
        <f>(5*(V28-MIN($V$6:$V$15))/(MAX($V$6:$V$15)-MIN($V$6:$V$15)))</f>
        <v>#VALUE!</v>
      </c>
    </row>
    <row r="29" spans="1:23" x14ac:dyDescent="0.25">
      <c r="A29">
        <f>'0.Consolidado general'!$A26</f>
        <v>0</v>
      </c>
      <c r="B29" s="48" t="e">
        <f>VLOOKUP(A29,'0.Productos'!$A$3:$GG$65,'0.Productos'!$ES$1+1,0)</f>
        <v>#N/A</v>
      </c>
      <c r="C29" s="51" t="str">
        <f t="shared" si="0"/>
        <v/>
      </c>
      <c r="D29" s="67">
        <f t="shared" si="1"/>
        <v>5</v>
      </c>
      <c r="E29" s="90" t="str">
        <f>IF(A29&lt;&gt;0,VLOOKUP(A29,'0.Productos'!$A$3:$GG$65,'0.Productos'!$ET$1+1,0),"")</f>
        <v/>
      </c>
      <c r="F29" s="67">
        <f t="shared" si="2"/>
        <v>5</v>
      </c>
      <c r="G29" s="89">
        <f t="shared" si="3"/>
        <v>5</v>
      </c>
      <c r="H29" s="88">
        <f>'3.CANALES'!AH34</f>
        <v>5</v>
      </c>
      <c r="I29" s="87">
        <f>'3.CANALES'!AM34</f>
        <v>5</v>
      </c>
      <c r="J29" s="87">
        <f>'3.CANALES'!BA34</f>
        <v>5</v>
      </c>
      <c r="K29" s="86">
        <f t="shared" si="4"/>
        <v>5</v>
      </c>
      <c r="L29" s="48" t="e">
        <f>VLOOKUP($A29,'0.Productos'!$A$3:$GG$65,'0.Productos'!EU$1+1,0)</f>
        <v>#N/A</v>
      </c>
      <c r="M29" s="48" t="e">
        <f>VLOOKUP($A29,'0.Productos'!$A$3:$GG$65,'0.Productos'!EV$1+1,0)</f>
        <v>#N/A</v>
      </c>
      <c r="N29" s="48" t="e">
        <f>VLOOKUP($A29,'0.Productos'!$A$3:$GG$65,'0.Productos'!EW$1+1,0)</f>
        <v>#N/A</v>
      </c>
      <c r="O29" s="48" t="e">
        <f>VLOOKUP($A29,'0.Productos'!$A$3:$GG$65,'0.Productos'!EX$1+1,0)</f>
        <v>#N/A</v>
      </c>
      <c r="P29" s="48" t="e">
        <f>VLOOKUP($A29,'0.Productos'!$A$3:$GG$65,'0.Productos'!EY$1+1,0)</f>
        <v>#N/A</v>
      </c>
      <c r="Q29" s="48" t="e">
        <f>VLOOKUP($A29,'0.Productos'!$A$3:$GG$65,'0.Productos'!EZ$1+1,0)</f>
        <v>#N/A</v>
      </c>
      <c r="R29" s="48" t="e">
        <f>VLOOKUP($A29,'0.Productos'!$A$3:$GG$65,'0.Productos'!FA$1+1,0)</f>
        <v>#N/A</v>
      </c>
      <c r="S29" s="48" t="e">
        <f>VLOOKUP($A29,'0.Productos'!$A$3:$GG$65,'0.Productos'!FB$1+1,0)</f>
        <v>#N/A</v>
      </c>
      <c r="T29" s="51" t="str">
        <f t="shared" si="5"/>
        <v/>
      </c>
      <c r="U29" s="85">
        <f t="shared" si="6"/>
        <v>5</v>
      </c>
      <c r="V29" s="84" t="str">
        <f t="shared" si="7"/>
        <v/>
      </c>
      <c r="W29" s="83" t="e">
        <f>(5*(V29-MIN($V$6:$V$45))/(MAX($V$6:$V$45)-MIN($V$6:$V$45)))</f>
        <v>#VALUE!</v>
      </c>
    </row>
    <row r="30" spans="1:23" x14ac:dyDescent="0.25">
      <c r="A30">
        <f>'0.Consolidado general'!$A27</f>
        <v>0</v>
      </c>
      <c r="B30" s="48" t="e">
        <f>VLOOKUP(A30,'0.Productos'!$A$3:$GG$65,'0.Productos'!$ES$1+1,0)</f>
        <v>#N/A</v>
      </c>
      <c r="C30" s="51" t="str">
        <f t="shared" si="0"/>
        <v/>
      </c>
      <c r="D30" s="67">
        <f t="shared" si="1"/>
        <v>5</v>
      </c>
      <c r="E30" s="90" t="str">
        <f>IF(A30&lt;&gt;0,VLOOKUP(A30,'0.Productos'!$A$3:$GG$65,'0.Productos'!$ET$1+1,0),"")</f>
        <v/>
      </c>
      <c r="F30" s="67">
        <f t="shared" si="2"/>
        <v>5</v>
      </c>
      <c r="G30" s="89">
        <f t="shared" si="3"/>
        <v>5</v>
      </c>
      <c r="H30" s="88">
        <f>'3.CANALES'!AH35</f>
        <v>5</v>
      </c>
      <c r="I30" s="87">
        <f>'3.CANALES'!AM35</f>
        <v>5</v>
      </c>
      <c r="J30" s="87">
        <f>'3.CANALES'!BA35</f>
        <v>5</v>
      </c>
      <c r="K30" s="86">
        <f t="shared" si="4"/>
        <v>5</v>
      </c>
      <c r="L30" s="48" t="e">
        <f>VLOOKUP($A30,'0.Productos'!$A$3:$GG$65,'0.Productos'!EU$1+1,0)</f>
        <v>#N/A</v>
      </c>
      <c r="M30" s="48" t="e">
        <f>VLOOKUP($A30,'0.Productos'!$A$3:$GG$65,'0.Productos'!EV$1+1,0)</f>
        <v>#N/A</v>
      </c>
      <c r="N30" s="48" t="e">
        <f>VLOOKUP($A30,'0.Productos'!$A$3:$GG$65,'0.Productos'!EW$1+1,0)</f>
        <v>#N/A</v>
      </c>
      <c r="O30" s="48" t="e">
        <f>VLOOKUP($A30,'0.Productos'!$A$3:$GG$65,'0.Productos'!EX$1+1,0)</f>
        <v>#N/A</v>
      </c>
      <c r="P30" s="48" t="e">
        <f>VLOOKUP($A30,'0.Productos'!$A$3:$GG$65,'0.Productos'!EY$1+1,0)</f>
        <v>#N/A</v>
      </c>
      <c r="Q30" s="48" t="e">
        <f>VLOOKUP($A30,'0.Productos'!$A$3:$GG$65,'0.Productos'!EZ$1+1,0)</f>
        <v>#N/A</v>
      </c>
      <c r="R30" s="48" t="e">
        <f>VLOOKUP($A30,'0.Productos'!$A$3:$GG$65,'0.Productos'!FA$1+1,0)</f>
        <v>#N/A</v>
      </c>
      <c r="S30" s="48" t="e">
        <f>VLOOKUP($A30,'0.Productos'!$A$3:$GG$65,'0.Productos'!FB$1+1,0)</f>
        <v>#N/A</v>
      </c>
      <c r="T30" s="51" t="str">
        <f t="shared" si="5"/>
        <v/>
      </c>
      <c r="U30" s="85">
        <f t="shared" si="6"/>
        <v>5</v>
      </c>
      <c r="V30" s="84" t="str">
        <f t="shared" si="7"/>
        <v/>
      </c>
      <c r="W30" s="83" t="e">
        <f>(5*(V30-MIN($V$6:$V$15))/(MAX($V$6:$V$15)-MIN($V$6:$V$15)))</f>
        <v>#VALUE!</v>
      </c>
    </row>
    <row r="31" spans="1:23" x14ac:dyDescent="0.25">
      <c r="A31">
        <f>'0.Consolidado general'!$A28</f>
        <v>0</v>
      </c>
      <c r="B31" s="48" t="e">
        <f>VLOOKUP(A31,'0.Productos'!$A$3:$GG$65,'0.Productos'!$ES$1+1,0)</f>
        <v>#N/A</v>
      </c>
      <c r="C31" s="51" t="str">
        <f t="shared" si="0"/>
        <v/>
      </c>
      <c r="D31" s="67">
        <f t="shared" si="1"/>
        <v>5</v>
      </c>
      <c r="E31" s="90" t="str">
        <f>IF(A31&lt;&gt;0,VLOOKUP(A31,'0.Productos'!$A$3:$GG$65,'0.Productos'!$ET$1+1,0),"")</f>
        <v/>
      </c>
      <c r="F31" s="67">
        <f t="shared" si="2"/>
        <v>5</v>
      </c>
      <c r="G31" s="89">
        <f t="shared" si="3"/>
        <v>5</v>
      </c>
      <c r="H31" s="88">
        <f>'3.CANALES'!AH36</f>
        <v>5</v>
      </c>
      <c r="I31" s="87">
        <f>'3.CANALES'!AM36</f>
        <v>5</v>
      </c>
      <c r="J31" s="87">
        <f>'3.CANALES'!BA36</f>
        <v>5</v>
      </c>
      <c r="K31" s="86">
        <f t="shared" si="4"/>
        <v>5</v>
      </c>
      <c r="L31" s="48" t="e">
        <f>VLOOKUP($A31,'0.Productos'!$A$3:$GG$65,'0.Productos'!EU$1+1,0)</f>
        <v>#N/A</v>
      </c>
      <c r="M31" s="48" t="e">
        <f>VLOOKUP($A31,'0.Productos'!$A$3:$GG$65,'0.Productos'!EV$1+1,0)</f>
        <v>#N/A</v>
      </c>
      <c r="N31" s="48" t="e">
        <f>VLOOKUP($A31,'0.Productos'!$A$3:$GG$65,'0.Productos'!EW$1+1,0)</f>
        <v>#N/A</v>
      </c>
      <c r="O31" s="48" t="e">
        <f>VLOOKUP($A31,'0.Productos'!$A$3:$GG$65,'0.Productos'!EX$1+1,0)</f>
        <v>#N/A</v>
      </c>
      <c r="P31" s="48" t="e">
        <f>VLOOKUP($A31,'0.Productos'!$A$3:$GG$65,'0.Productos'!EY$1+1,0)</f>
        <v>#N/A</v>
      </c>
      <c r="Q31" s="48" t="e">
        <f>VLOOKUP($A31,'0.Productos'!$A$3:$GG$65,'0.Productos'!EZ$1+1,0)</f>
        <v>#N/A</v>
      </c>
      <c r="R31" s="48" t="e">
        <f>VLOOKUP($A31,'0.Productos'!$A$3:$GG$65,'0.Productos'!FA$1+1,0)</f>
        <v>#N/A</v>
      </c>
      <c r="S31" s="48" t="e">
        <f>VLOOKUP($A31,'0.Productos'!$A$3:$GG$65,'0.Productos'!FB$1+1,0)</f>
        <v>#N/A</v>
      </c>
      <c r="T31" s="51" t="str">
        <f t="shared" si="5"/>
        <v/>
      </c>
      <c r="U31" s="85">
        <f t="shared" si="6"/>
        <v>5</v>
      </c>
      <c r="V31" s="84" t="str">
        <f t="shared" si="7"/>
        <v/>
      </c>
      <c r="W31" s="83" t="e">
        <f>(5*(V31-MIN($V$6:$V$15))/(MAX($V$6:$V$15)-MIN($V$6:$V$15)))</f>
        <v>#VALUE!</v>
      </c>
    </row>
    <row r="32" spans="1:23" x14ac:dyDescent="0.25">
      <c r="A32">
        <f>'0.Consolidado general'!$A29</f>
        <v>0</v>
      </c>
      <c r="B32" s="48" t="e">
        <f>VLOOKUP(A32,'0.Productos'!$A$3:$GG$65,'0.Productos'!$ES$1+1,0)</f>
        <v>#N/A</v>
      </c>
      <c r="C32" s="51" t="str">
        <f t="shared" si="0"/>
        <v/>
      </c>
      <c r="D32" s="67">
        <f t="shared" si="1"/>
        <v>5</v>
      </c>
      <c r="E32" s="90" t="str">
        <f>IF(A32&lt;&gt;0,VLOOKUP(A32,'0.Productos'!$A$3:$GG$65,'0.Productos'!$ET$1+1,0),"")</f>
        <v/>
      </c>
      <c r="F32" s="67">
        <f t="shared" si="2"/>
        <v>5</v>
      </c>
      <c r="G32" s="89">
        <f t="shared" si="3"/>
        <v>5</v>
      </c>
      <c r="H32" s="88">
        <f>'3.CANALES'!AH37</f>
        <v>5</v>
      </c>
      <c r="I32" s="87">
        <f>'3.CANALES'!AM37</f>
        <v>5</v>
      </c>
      <c r="J32" s="87">
        <f>'3.CANALES'!BA37</f>
        <v>5</v>
      </c>
      <c r="K32" s="86">
        <f t="shared" si="4"/>
        <v>5</v>
      </c>
      <c r="L32" s="48" t="e">
        <f>VLOOKUP($A32,'0.Productos'!$A$3:$GG$65,'0.Productos'!EU$1+1,0)</f>
        <v>#N/A</v>
      </c>
      <c r="M32" s="48" t="e">
        <f>VLOOKUP($A32,'0.Productos'!$A$3:$GG$65,'0.Productos'!EV$1+1,0)</f>
        <v>#N/A</v>
      </c>
      <c r="N32" s="48" t="e">
        <f>VLOOKUP($A32,'0.Productos'!$A$3:$GG$65,'0.Productos'!EW$1+1,0)</f>
        <v>#N/A</v>
      </c>
      <c r="O32" s="48" t="e">
        <f>VLOOKUP($A32,'0.Productos'!$A$3:$GG$65,'0.Productos'!EX$1+1,0)</f>
        <v>#N/A</v>
      </c>
      <c r="P32" s="48" t="e">
        <f>VLOOKUP($A32,'0.Productos'!$A$3:$GG$65,'0.Productos'!EY$1+1,0)</f>
        <v>#N/A</v>
      </c>
      <c r="Q32" s="48" t="e">
        <f>VLOOKUP($A32,'0.Productos'!$A$3:$GG$65,'0.Productos'!EZ$1+1,0)</f>
        <v>#N/A</v>
      </c>
      <c r="R32" s="48" t="e">
        <f>VLOOKUP($A32,'0.Productos'!$A$3:$GG$65,'0.Productos'!FA$1+1,0)</f>
        <v>#N/A</v>
      </c>
      <c r="S32" s="48" t="e">
        <f>VLOOKUP($A32,'0.Productos'!$A$3:$GG$65,'0.Productos'!FB$1+1,0)</f>
        <v>#N/A</v>
      </c>
      <c r="T32" s="51" t="str">
        <f t="shared" si="5"/>
        <v/>
      </c>
      <c r="U32" s="85">
        <f t="shared" si="6"/>
        <v>5</v>
      </c>
      <c r="V32" s="84" t="str">
        <f t="shared" si="7"/>
        <v/>
      </c>
      <c r="W32" s="83" t="e">
        <f>(5*(V32-MIN($V$6:$V$45))/(MAX($V$6:$V$45)-MIN($V$6:$V$45)))</f>
        <v>#VALUE!</v>
      </c>
    </row>
    <row r="33" spans="1:23" x14ac:dyDescent="0.25">
      <c r="A33">
        <f>'0.Consolidado general'!$A30</f>
        <v>0</v>
      </c>
      <c r="B33" s="48" t="e">
        <f>VLOOKUP(A33,'0.Productos'!$A$3:$GG$65,'0.Productos'!$ES$1+1,0)</f>
        <v>#N/A</v>
      </c>
      <c r="C33" s="51" t="str">
        <f t="shared" si="0"/>
        <v/>
      </c>
      <c r="D33" s="67">
        <f t="shared" si="1"/>
        <v>5</v>
      </c>
      <c r="E33" s="90" t="str">
        <f>IF(A33&lt;&gt;0,VLOOKUP(A33,'0.Productos'!$A$3:$GG$65,'0.Productos'!$ET$1+1,0),"")</f>
        <v/>
      </c>
      <c r="F33" s="67">
        <f t="shared" si="2"/>
        <v>5</v>
      </c>
      <c r="G33" s="89">
        <f t="shared" si="3"/>
        <v>5</v>
      </c>
      <c r="H33" s="88">
        <f>'3.CANALES'!AH38</f>
        <v>5</v>
      </c>
      <c r="I33" s="87">
        <f>'3.CANALES'!AM38</f>
        <v>5</v>
      </c>
      <c r="J33" s="87">
        <f>'3.CANALES'!BA38</f>
        <v>5</v>
      </c>
      <c r="K33" s="86">
        <f t="shared" si="4"/>
        <v>5</v>
      </c>
      <c r="L33" s="48" t="e">
        <f>VLOOKUP($A33,'0.Productos'!$A$3:$GG$65,'0.Productos'!EU$1+1,0)</f>
        <v>#N/A</v>
      </c>
      <c r="M33" s="48" t="e">
        <f>VLOOKUP($A33,'0.Productos'!$A$3:$GG$65,'0.Productos'!EV$1+1,0)</f>
        <v>#N/A</v>
      </c>
      <c r="N33" s="48" t="e">
        <f>VLOOKUP($A33,'0.Productos'!$A$3:$GG$65,'0.Productos'!EW$1+1,0)</f>
        <v>#N/A</v>
      </c>
      <c r="O33" s="48" t="e">
        <f>VLOOKUP($A33,'0.Productos'!$A$3:$GG$65,'0.Productos'!EX$1+1,0)</f>
        <v>#N/A</v>
      </c>
      <c r="P33" s="48" t="e">
        <f>VLOOKUP($A33,'0.Productos'!$A$3:$GG$65,'0.Productos'!EY$1+1,0)</f>
        <v>#N/A</v>
      </c>
      <c r="Q33" s="48" t="e">
        <f>VLOOKUP($A33,'0.Productos'!$A$3:$GG$65,'0.Productos'!EZ$1+1,0)</f>
        <v>#N/A</v>
      </c>
      <c r="R33" s="48" t="e">
        <f>VLOOKUP($A33,'0.Productos'!$A$3:$GG$65,'0.Productos'!FA$1+1,0)</f>
        <v>#N/A</v>
      </c>
      <c r="S33" s="48" t="e">
        <f>VLOOKUP($A33,'0.Productos'!$A$3:$GG$65,'0.Productos'!FB$1+1,0)</f>
        <v>#N/A</v>
      </c>
      <c r="T33" s="51" t="str">
        <f t="shared" si="5"/>
        <v/>
      </c>
      <c r="U33" s="85">
        <f t="shared" si="6"/>
        <v>5</v>
      </c>
      <c r="V33" s="84" t="str">
        <f t="shared" si="7"/>
        <v/>
      </c>
      <c r="W33" s="83" t="e">
        <f>(5*(V33-MIN($V$6:$V$15))/(MAX($V$6:$V$15)-MIN($V$6:$V$15)))</f>
        <v>#VALUE!</v>
      </c>
    </row>
    <row r="34" spans="1:23" x14ac:dyDescent="0.25">
      <c r="A34">
        <f>'0.Consolidado general'!$A31</f>
        <v>0</v>
      </c>
      <c r="B34" s="48" t="e">
        <f>VLOOKUP(A34,'0.Productos'!$A$3:$GG$65,'0.Productos'!$ES$1+1,0)</f>
        <v>#N/A</v>
      </c>
      <c r="C34" s="51" t="str">
        <f t="shared" si="0"/>
        <v/>
      </c>
      <c r="D34" s="67">
        <f t="shared" si="1"/>
        <v>5</v>
      </c>
      <c r="E34" s="90" t="str">
        <f>IF(A34&lt;&gt;0,VLOOKUP(A34,'0.Productos'!$A$3:$GG$65,'0.Productos'!$ET$1+1,0),"")</f>
        <v/>
      </c>
      <c r="F34" s="67">
        <f t="shared" si="2"/>
        <v>5</v>
      </c>
      <c r="G34" s="89">
        <f t="shared" si="3"/>
        <v>5</v>
      </c>
      <c r="H34" s="88">
        <f>'3.CANALES'!AH39</f>
        <v>5</v>
      </c>
      <c r="I34" s="87">
        <f>'3.CANALES'!AM39</f>
        <v>5</v>
      </c>
      <c r="J34" s="87">
        <f>'3.CANALES'!BA39</f>
        <v>5</v>
      </c>
      <c r="K34" s="86">
        <f t="shared" si="4"/>
        <v>5</v>
      </c>
      <c r="L34" s="48" t="e">
        <f>VLOOKUP($A34,'0.Productos'!$A$3:$GG$65,'0.Productos'!EU$1+1,0)</f>
        <v>#N/A</v>
      </c>
      <c r="M34" s="48" t="e">
        <f>VLOOKUP($A34,'0.Productos'!$A$3:$GG$65,'0.Productos'!EV$1+1,0)</f>
        <v>#N/A</v>
      </c>
      <c r="N34" s="48" t="e">
        <f>VLOOKUP($A34,'0.Productos'!$A$3:$GG$65,'0.Productos'!EW$1+1,0)</f>
        <v>#N/A</v>
      </c>
      <c r="O34" s="48" t="e">
        <f>VLOOKUP($A34,'0.Productos'!$A$3:$GG$65,'0.Productos'!EX$1+1,0)</f>
        <v>#N/A</v>
      </c>
      <c r="P34" s="48" t="e">
        <f>VLOOKUP($A34,'0.Productos'!$A$3:$GG$65,'0.Productos'!EY$1+1,0)</f>
        <v>#N/A</v>
      </c>
      <c r="Q34" s="48" t="e">
        <f>VLOOKUP($A34,'0.Productos'!$A$3:$GG$65,'0.Productos'!EZ$1+1,0)</f>
        <v>#N/A</v>
      </c>
      <c r="R34" s="48" t="e">
        <f>VLOOKUP($A34,'0.Productos'!$A$3:$GG$65,'0.Productos'!FA$1+1,0)</f>
        <v>#N/A</v>
      </c>
      <c r="S34" s="48" t="e">
        <f>VLOOKUP($A34,'0.Productos'!$A$3:$GG$65,'0.Productos'!FB$1+1,0)</f>
        <v>#N/A</v>
      </c>
      <c r="T34" s="51" t="str">
        <f t="shared" si="5"/>
        <v/>
      </c>
      <c r="U34" s="85">
        <f t="shared" si="6"/>
        <v>5</v>
      </c>
      <c r="V34" s="84" t="str">
        <f t="shared" si="7"/>
        <v/>
      </c>
      <c r="W34" s="83" t="e">
        <f>(5*(V34-MIN($V$6:$V$15))/(MAX($V$6:$V$15)-MIN($V$6:$V$15)))</f>
        <v>#VALUE!</v>
      </c>
    </row>
    <row r="35" spans="1:23" x14ac:dyDescent="0.25">
      <c r="A35">
        <f>'0.Consolidado general'!$A32</f>
        <v>0</v>
      </c>
      <c r="B35" s="48" t="e">
        <f>VLOOKUP(A35,'0.Productos'!$A$3:$GG$65,'0.Productos'!$ES$1+1,0)</f>
        <v>#N/A</v>
      </c>
      <c r="C35" s="51" t="str">
        <f t="shared" si="0"/>
        <v/>
      </c>
      <c r="D35" s="67">
        <f t="shared" si="1"/>
        <v>5</v>
      </c>
      <c r="E35" s="90" t="str">
        <f>IF(A35&lt;&gt;0,VLOOKUP(A35,'0.Productos'!$A$3:$GG$65,'0.Productos'!$ET$1+1,0),"")</f>
        <v/>
      </c>
      <c r="F35" s="67">
        <f t="shared" si="2"/>
        <v>5</v>
      </c>
      <c r="G35" s="89">
        <f t="shared" si="3"/>
        <v>5</v>
      </c>
      <c r="H35" s="88">
        <f>'3.CANALES'!AH40</f>
        <v>5</v>
      </c>
      <c r="I35" s="87">
        <f>'3.CANALES'!AM40</f>
        <v>5</v>
      </c>
      <c r="J35" s="87">
        <f>'3.CANALES'!BA40</f>
        <v>5</v>
      </c>
      <c r="K35" s="86">
        <f t="shared" si="4"/>
        <v>5</v>
      </c>
      <c r="L35" s="48" t="e">
        <f>VLOOKUP($A35,'0.Productos'!$A$3:$GG$65,'0.Productos'!EU$1+1,0)</f>
        <v>#N/A</v>
      </c>
      <c r="M35" s="48" t="e">
        <f>VLOOKUP($A35,'0.Productos'!$A$3:$GG$65,'0.Productos'!EV$1+1,0)</f>
        <v>#N/A</v>
      </c>
      <c r="N35" s="48" t="e">
        <f>VLOOKUP($A35,'0.Productos'!$A$3:$GG$65,'0.Productos'!EW$1+1,0)</f>
        <v>#N/A</v>
      </c>
      <c r="O35" s="48" t="e">
        <f>VLOOKUP($A35,'0.Productos'!$A$3:$GG$65,'0.Productos'!EX$1+1,0)</f>
        <v>#N/A</v>
      </c>
      <c r="P35" s="48" t="e">
        <f>VLOOKUP($A35,'0.Productos'!$A$3:$GG$65,'0.Productos'!EY$1+1,0)</f>
        <v>#N/A</v>
      </c>
      <c r="Q35" s="48" t="e">
        <f>VLOOKUP($A35,'0.Productos'!$A$3:$GG$65,'0.Productos'!EZ$1+1,0)</f>
        <v>#N/A</v>
      </c>
      <c r="R35" s="48" t="e">
        <f>VLOOKUP($A35,'0.Productos'!$A$3:$GG$65,'0.Productos'!FA$1+1,0)</f>
        <v>#N/A</v>
      </c>
      <c r="S35" s="48" t="e">
        <f>VLOOKUP($A35,'0.Productos'!$A$3:$GG$65,'0.Productos'!FB$1+1,0)</f>
        <v>#N/A</v>
      </c>
      <c r="T35" s="51" t="str">
        <f t="shared" si="5"/>
        <v/>
      </c>
      <c r="U35" s="85">
        <f t="shared" si="6"/>
        <v>5</v>
      </c>
      <c r="V35" s="84" t="str">
        <f t="shared" si="7"/>
        <v/>
      </c>
      <c r="W35" s="83" t="e">
        <f>(5*(V35-MIN($V$6:$V$45))/(MAX($V$6:$V$45)-MIN($V$6:$V$45)))</f>
        <v>#VALUE!</v>
      </c>
    </row>
    <row r="36" spans="1:23" x14ac:dyDescent="0.25">
      <c r="A36">
        <f>'0.Consolidado general'!$A33</f>
        <v>0</v>
      </c>
      <c r="B36" s="48" t="e">
        <f>VLOOKUP(A36,'0.Productos'!$A$3:$GG$65,'0.Productos'!$ES$1+1,0)</f>
        <v>#N/A</v>
      </c>
      <c r="C36" s="51" t="str">
        <f t="shared" si="0"/>
        <v/>
      </c>
      <c r="D36" s="67">
        <f t="shared" si="1"/>
        <v>5</v>
      </c>
      <c r="E36" s="90" t="str">
        <f>IF(A36&lt;&gt;0,VLOOKUP(A36,'0.Productos'!$A$3:$GG$65,'0.Productos'!$ET$1+1,0),"")</f>
        <v/>
      </c>
      <c r="F36" s="67">
        <f t="shared" si="2"/>
        <v>5</v>
      </c>
      <c r="G36" s="89">
        <f t="shared" si="3"/>
        <v>5</v>
      </c>
      <c r="H36" s="88">
        <f>'3.CANALES'!AH41</f>
        <v>5</v>
      </c>
      <c r="I36" s="87">
        <f>'3.CANALES'!AM41</f>
        <v>5</v>
      </c>
      <c r="J36" s="87">
        <f>'3.CANALES'!BA41</f>
        <v>5</v>
      </c>
      <c r="K36" s="86">
        <f t="shared" si="4"/>
        <v>5</v>
      </c>
      <c r="L36" s="48" t="e">
        <f>VLOOKUP($A36,'0.Productos'!$A$3:$GG$65,'0.Productos'!EU$1+1,0)</f>
        <v>#N/A</v>
      </c>
      <c r="M36" s="48" t="e">
        <f>VLOOKUP($A36,'0.Productos'!$A$3:$GG$65,'0.Productos'!EV$1+1,0)</f>
        <v>#N/A</v>
      </c>
      <c r="N36" s="48" t="e">
        <f>VLOOKUP($A36,'0.Productos'!$A$3:$GG$65,'0.Productos'!EW$1+1,0)</f>
        <v>#N/A</v>
      </c>
      <c r="O36" s="48" t="e">
        <f>VLOOKUP($A36,'0.Productos'!$A$3:$GG$65,'0.Productos'!EX$1+1,0)</f>
        <v>#N/A</v>
      </c>
      <c r="P36" s="48" t="e">
        <f>VLOOKUP($A36,'0.Productos'!$A$3:$GG$65,'0.Productos'!EY$1+1,0)</f>
        <v>#N/A</v>
      </c>
      <c r="Q36" s="48" t="e">
        <f>VLOOKUP($A36,'0.Productos'!$A$3:$GG$65,'0.Productos'!EZ$1+1,0)</f>
        <v>#N/A</v>
      </c>
      <c r="R36" s="48" t="e">
        <f>VLOOKUP($A36,'0.Productos'!$A$3:$GG$65,'0.Productos'!FA$1+1,0)</f>
        <v>#N/A</v>
      </c>
      <c r="S36" s="48" t="e">
        <f>VLOOKUP($A36,'0.Productos'!$A$3:$GG$65,'0.Productos'!FB$1+1,0)</f>
        <v>#N/A</v>
      </c>
      <c r="T36" s="51" t="str">
        <f t="shared" si="5"/>
        <v/>
      </c>
      <c r="U36" s="85">
        <f t="shared" si="6"/>
        <v>5</v>
      </c>
      <c r="V36" s="84" t="str">
        <f t="shared" si="7"/>
        <v/>
      </c>
      <c r="W36" s="83" t="e">
        <f>(5*(V36-MIN($V$6:$V$45))/(MAX($V$6:$V$45)-MIN($V$6:$V$45)))</f>
        <v>#VALUE!</v>
      </c>
    </row>
    <row r="37" spans="1:23" x14ac:dyDescent="0.25">
      <c r="A37">
        <f>'0.Consolidado general'!$A34</f>
        <v>0</v>
      </c>
      <c r="B37" s="48" t="e">
        <f>VLOOKUP(A37,'0.Productos'!$A$3:$GG$65,'0.Productos'!$ES$1+1,0)</f>
        <v>#N/A</v>
      </c>
      <c r="C37" s="51" t="str">
        <f t="shared" si="0"/>
        <v/>
      </c>
      <c r="D37" s="67">
        <f t="shared" si="1"/>
        <v>5</v>
      </c>
      <c r="E37" s="90" t="str">
        <f>IF(A37&lt;&gt;0,VLOOKUP(A37,'0.Productos'!$A$3:$GG$65,'0.Productos'!$ET$1+1,0),"")</f>
        <v/>
      </c>
      <c r="F37" s="67">
        <f t="shared" si="2"/>
        <v>5</v>
      </c>
      <c r="G37" s="89">
        <f t="shared" si="3"/>
        <v>5</v>
      </c>
      <c r="H37" s="88">
        <f>'3.CANALES'!AH42</f>
        <v>5</v>
      </c>
      <c r="I37" s="87">
        <f>'3.CANALES'!AM42</f>
        <v>5</v>
      </c>
      <c r="J37" s="87">
        <f>'3.CANALES'!BA42</f>
        <v>5</v>
      </c>
      <c r="K37" s="86">
        <f t="shared" si="4"/>
        <v>5</v>
      </c>
      <c r="L37" s="48" t="e">
        <f>VLOOKUP($A37,'0.Productos'!$A$3:$GG$65,'0.Productos'!EU$1+1,0)</f>
        <v>#N/A</v>
      </c>
      <c r="M37" s="48" t="e">
        <f>VLOOKUP($A37,'0.Productos'!$A$3:$GG$65,'0.Productos'!EV$1+1,0)</f>
        <v>#N/A</v>
      </c>
      <c r="N37" s="48" t="e">
        <f>VLOOKUP($A37,'0.Productos'!$A$3:$GG$65,'0.Productos'!EW$1+1,0)</f>
        <v>#N/A</v>
      </c>
      <c r="O37" s="48" t="e">
        <f>VLOOKUP($A37,'0.Productos'!$A$3:$GG$65,'0.Productos'!EX$1+1,0)</f>
        <v>#N/A</v>
      </c>
      <c r="P37" s="48" t="e">
        <f>VLOOKUP($A37,'0.Productos'!$A$3:$GG$65,'0.Productos'!EY$1+1,0)</f>
        <v>#N/A</v>
      </c>
      <c r="Q37" s="48" t="e">
        <f>VLOOKUP($A37,'0.Productos'!$A$3:$GG$65,'0.Productos'!EZ$1+1,0)</f>
        <v>#N/A</v>
      </c>
      <c r="R37" s="48" t="e">
        <f>VLOOKUP($A37,'0.Productos'!$A$3:$GG$65,'0.Productos'!FA$1+1,0)</f>
        <v>#N/A</v>
      </c>
      <c r="S37" s="48" t="e">
        <f>VLOOKUP($A37,'0.Productos'!$A$3:$GG$65,'0.Productos'!FB$1+1,0)</f>
        <v>#N/A</v>
      </c>
      <c r="T37" s="51" t="str">
        <f t="shared" si="5"/>
        <v/>
      </c>
      <c r="U37" s="85">
        <f t="shared" si="6"/>
        <v>5</v>
      </c>
      <c r="V37" s="84" t="str">
        <f t="shared" si="7"/>
        <v/>
      </c>
      <c r="W37" s="83" t="e">
        <f>(5*(V37-MIN($V$6:$V$15))/(MAX($V$6:$V$15)-MIN($V$6:$V$15)))</f>
        <v>#VALUE!</v>
      </c>
    </row>
    <row r="38" spans="1:23" x14ac:dyDescent="0.25">
      <c r="A38">
        <f>'0.Consolidado general'!$A35</f>
        <v>0</v>
      </c>
      <c r="B38" s="48" t="e">
        <f>VLOOKUP(A38,'0.Productos'!$A$3:$GG$65,'0.Productos'!$ES$1+1,0)</f>
        <v>#N/A</v>
      </c>
      <c r="C38" s="51" t="str">
        <f t="shared" si="0"/>
        <v/>
      </c>
      <c r="D38" s="67">
        <f t="shared" si="1"/>
        <v>5</v>
      </c>
      <c r="E38" s="90" t="str">
        <f>IF(A38&lt;&gt;0,VLOOKUP(A38,'0.Productos'!$A$3:$GG$65,'0.Productos'!$ET$1+1,0),"")</f>
        <v/>
      </c>
      <c r="F38" s="67">
        <f t="shared" si="2"/>
        <v>5</v>
      </c>
      <c r="G38" s="89">
        <f t="shared" si="3"/>
        <v>5</v>
      </c>
      <c r="H38" s="88">
        <f>'3.CANALES'!AH43</f>
        <v>5</v>
      </c>
      <c r="I38" s="87">
        <f>'3.CANALES'!AM43</f>
        <v>5</v>
      </c>
      <c r="J38" s="87">
        <f>'3.CANALES'!BA43</f>
        <v>5</v>
      </c>
      <c r="K38" s="86">
        <f t="shared" si="4"/>
        <v>5</v>
      </c>
      <c r="L38" s="48" t="e">
        <f>VLOOKUP($A38,'0.Productos'!$A$3:$GG$65,'0.Productos'!EU$1+1,0)</f>
        <v>#N/A</v>
      </c>
      <c r="M38" s="48" t="e">
        <f>VLOOKUP($A38,'0.Productos'!$A$3:$GG$65,'0.Productos'!EV$1+1,0)</f>
        <v>#N/A</v>
      </c>
      <c r="N38" s="48" t="e">
        <f>VLOOKUP($A38,'0.Productos'!$A$3:$GG$65,'0.Productos'!EW$1+1,0)</f>
        <v>#N/A</v>
      </c>
      <c r="O38" s="48" t="e">
        <f>VLOOKUP($A38,'0.Productos'!$A$3:$GG$65,'0.Productos'!EX$1+1,0)</f>
        <v>#N/A</v>
      </c>
      <c r="P38" s="48" t="e">
        <f>VLOOKUP($A38,'0.Productos'!$A$3:$GG$65,'0.Productos'!EY$1+1,0)</f>
        <v>#N/A</v>
      </c>
      <c r="Q38" s="48" t="e">
        <f>VLOOKUP($A38,'0.Productos'!$A$3:$GG$65,'0.Productos'!EZ$1+1,0)</f>
        <v>#N/A</v>
      </c>
      <c r="R38" s="48" t="e">
        <f>VLOOKUP($A38,'0.Productos'!$A$3:$GG$65,'0.Productos'!FA$1+1,0)</f>
        <v>#N/A</v>
      </c>
      <c r="S38" s="48" t="e">
        <f>VLOOKUP($A38,'0.Productos'!$A$3:$GG$65,'0.Productos'!FB$1+1,0)</f>
        <v>#N/A</v>
      </c>
      <c r="T38" s="51" t="str">
        <f t="shared" si="5"/>
        <v/>
      </c>
      <c r="U38" s="85">
        <f t="shared" si="6"/>
        <v>5</v>
      </c>
      <c r="V38" s="84" t="str">
        <f t="shared" si="7"/>
        <v/>
      </c>
      <c r="W38" s="83" t="e">
        <f>(5*(V38-MIN($V$6:$V$15))/(MAX($V$6:$V$15)-MIN($V$6:$V$15)))</f>
        <v>#VALUE!</v>
      </c>
    </row>
    <row r="39" spans="1:23" x14ac:dyDescent="0.25">
      <c r="A39">
        <f>'0.Consolidado general'!$A36</f>
        <v>0</v>
      </c>
      <c r="B39" s="48" t="e">
        <f>VLOOKUP(A39,'0.Productos'!$A$3:$GG$65,'0.Productos'!$ES$1+1,0)</f>
        <v>#N/A</v>
      </c>
      <c r="C39" s="51" t="str">
        <f t="shared" si="0"/>
        <v/>
      </c>
      <c r="D39" s="67">
        <f t="shared" si="1"/>
        <v>5</v>
      </c>
      <c r="E39" s="90" t="str">
        <f>IF(A39&lt;&gt;0,VLOOKUP(A39,'0.Productos'!$A$3:$GG$65,'0.Productos'!$ET$1+1,0),"")</f>
        <v/>
      </c>
      <c r="F39" s="67">
        <f t="shared" si="2"/>
        <v>5</v>
      </c>
      <c r="G39" s="89">
        <f t="shared" si="3"/>
        <v>5</v>
      </c>
      <c r="H39" s="88">
        <f>'3.CANALES'!AH44</f>
        <v>5</v>
      </c>
      <c r="I39" s="87">
        <f>'3.CANALES'!AM44</f>
        <v>5</v>
      </c>
      <c r="J39" s="87">
        <f>'3.CANALES'!BA44</f>
        <v>5</v>
      </c>
      <c r="K39" s="86">
        <f t="shared" si="4"/>
        <v>5</v>
      </c>
      <c r="L39" s="48" t="e">
        <f>VLOOKUP($A39,'0.Productos'!$A$3:$GG$65,'0.Productos'!EU$1+1,0)</f>
        <v>#N/A</v>
      </c>
      <c r="M39" s="48" t="e">
        <f>VLOOKUP($A39,'0.Productos'!$A$3:$GG$65,'0.Productos'!EV$1+1,0)</f>
        <v>#N/A</v>
      </c>
      <c r="N39" s="48" t="e">
        <f>VLOOKUP($A39,'0.Productos'!$A$3:$GG$65,'0.Productos'!EW$1+1,0)</f>
        <v>#N/A</v>
      </c>
      <c r="O39" s="48" t="e">
        <f>VLOOKUP($A39,'0.Productos'!$A$3:$GG$65,'0.Productos'!EX$1+1,0)</f>
        <v>#N/A</v>
      </c>
      <c r="P39" s="48" t="e">
        <f>VLOOKUP($A39,'0.Productos'!$A$3:$GG$65,'0.Productos'!EY$1+1,0)</f>
        <v>#N/A</v>
      </c>
      <c r="Q39" s="48" t="e">
        <f>VLOOKUP($A39,'0.Productos'!$A$3:$GG$65,'0.Productos'!EZ$1+1,0)</f>
        <v>#N/A</v>
      </c>
      <c r="R39" s="48" t="e">
        <f>VLOOKUP($A39,'0.Productos'!$A$3:$GG$65,'0.Productos'!FA$1+1,0)</f>
        <v>#N/A</v>
      </c>
      <c r="S39" s="48" t="e">
        <f>VLOOKUP($A39,'0.Productos'!$A$3:$GG$65,'0.Productos'!FB$1+1,0)</f>
        <v>#N/A</v>
      </c>
      <c r="T39" s="51" t="str">
        <f t="shared" si="5"/>
        <v/>
      </c>
      <c r="U39" s="85">
        <f t="shared" si="6"/>
        <v>5</v>
      </c>
      <c r="V39" s="84" t="str">
        <f t="shared" si="7"/>
        <v/>
      </c>
      <c r="W39" s="83" t="e">
        <f>(5*(V39-MIN($V$6:$V$45))/(MAX($V$6:$V$45)-MIN($V$6:$V$45)))</f>
        <v>#VALUE!</v>
      </c>
    </row>
    <row r="40" spans="1:23" x14ac:dyDescent="0.25">
      <c r="A40">
        <f>'0.Consolidado general'!$A37</f>
        <v>0</v>
      </c>
      <c r="B40" s="48" t="e">
        <f>VLOOKUP(A40,'0.Productos'!$A$3:$GG$65,'0.Productos'!$ES$1+1,0)</f>
        <v>#N/A</v>
      </c>
      <c r="C40" s="51" t="str">
        <f t="shared" si="0"/>
        <v/>
      </c>
      <c r="D40" s="67">
        <f t="shared" si="1"/>
        <v>5</v>
      </c>
      <c r="E40" s="90" t="str">
        <f>IF(A40&lt;&gt;0,VLOOKUP(A40,'0.Productos'!$A$3:$GG$65,'0.Productos'!$ET$1+1,0),"")</f>
        <v/>
      </c>
      <c r="F40" s="67">
        <f t="shared" si="2"/>
        <v>5</v>
      </c>
      <c r="G40" s="89">
        <f t="shared" si="3"/>
        <v>5</v>
      </c>
      <c r="H40" s="88">
        <f>'3.CANALES'!AH45</f>
        <v>5</v>
      </c>
      <c r="I40" s="87">
        <f>'3.CANALES'!AM45</f>
        <v>5</v>
      </c>
      <c r="J40" s="87">
        <f>'3.CANALES'!BA45</f>
        <v>5</v>
      </c>
      <c r="K40" s="86">
        <f t="shared" si="4"/>
        <v>5</v>
      </c>
      <c r="L40" s="48" t="e">
        <f>VLOOKUP($A40,'0.Productos'!$A$3:$GG$65,'0.Productos'!EU$1+1,0)</f>
        <v>#N/A</v>
      </c>
      <c r="M40" s="48" t="e">
        <f>VLOOKUP($A40,'0.Productos'!$A$3:$GG$65,'0.Productos'!EV$1+1,0)</f>
        <v>#N/A</v>
      </c>
      <c r="N40" s="48" t="e">
        <f>VLOOKUP($A40,'0.Productos'!$A$3:$GG$65,'0.Productos'!EW$1+1,0)</f>
        <v>#N/A</v>
      </c>
      <c r="O40" s="48" t="e">
        <f>VLOOKUP($A40,'0.Productos'!$A$3:$GG$65,'0.Productos'!EX$1+1,0)</f>
        <v>#N/A</v>
      </c>
      <c r="P40" s="48" t="e">
        <f>VLOOKUP($A40,'0.Productos'!$A$3:$GG$65,'0.Productos'!EY$1+1,0)</f>
        <v>#N/A</v>
      </c>
      <c r="Q40" s="48" t="e">
        <f>VLOOKUP($A40,'0.Productos'!$A$3:$GG$65,'0.Productos'!EZ$1+1,0)</f>
        <v>#N/A</v>
      </c>
      <c r="R40" s="48" t="e">
        <f>VLOOKUP($A40,'0.Productos'!$A$3:$GG$65,'0.Productos'!FA$1+1,0)</f>
        <v>#N/A</v>
      </c>
      <c r="S40" s="48" t="e">
        <f>VLOOKUP($A40,'0.Productos'!$A$3:$GG$65,'0.Productos'!FB$1+1,0)</f>
        <v>#N/A</v>
      </c>
      <c r="T40" s="51" t="str">
        <f t="shared" si="5"/>
        <v/>
      </c>
      <c r="U40" s="85">
        <f t="shared" si="6"/>
        <v>5</v>
      </c>
      <c r="V40" s="84" t="str">
        <f t="shared" si="7"/>
        <v/>
      </c>
      <c r="W40" s="83" t="e">
        <f>(5*(V40-MIN($V$6:$V$15))/(MAX($V$6:$V$15)-MIN($V$6:$V$15)))</f>
        <v>#VALUE!</v>
      </c>
    </row>
    <row r="41" spans="1:23" x14ac:dyDescent="0.25">
      <c r="A41">
        <f>'0.Consolidado general'!$A38</f>
        <v>0</v>
      </c>
      <c r="B41" s="48" t="e">
        <f>VLOOKUP(A41,'0.Productos'!$A$3:$GG$65,'0.Productos'!$ES$1+1,0)</f>
        <v>#N/A</v>
      </c>
      <c r="C41" s="51" t="str">
        <f t="shared" si="0"/>
        <v/>
      </c>
      <c r="D41" s="67">
        <f t="shared" si="1"/>
        <v>5</v>
      </c>
      <c r="E41" s="90" t="str">
        <f>IF(A41&lt;&gt;0,VLOOKUP(A41,'0.Productos'!$A$3:$GG$65,'0.Productos'!$ET$1+1,0),"")</f>
        <v/>
      </c>
      <c r="F41" s="67">
        <f t="shared" si="2"/>
        <v>5</v>
      </c>
      <c r="G41" s="89">
        <f t="shared" si="3"/>
        <v>5</v>
      </c>
      <c r="H41" s="88">
        <f>'3.CANALES'!AH46</f>
        <v>5</v>
      </c>
      <c r="I41" s="87">
        <f>'3.CANALES'!AM46</f>
        <v>5</v>
      </c>
      <c r="J41" s="87">
        <f>'3.CANALES'!BA46</f>
        <v>5</v>
      </c>
      <c r="K41" s="86">
        <f t="shared" si="4"/>
        <v>5</v>
      </c>
      <c r="L41" s="48" t="e">
        <f>VLOOKUP($A41,'0.Productos'!$A$3:$GG$65,'0.Productos'!EU$1+1,0)</f>
        <v>#N/A</v>
      </c>
      <c r="M41" s="48" t="e">
        <f>VLOOKUP($A41,'0.Productos'!$A$3:$GG$65,'0.Productos'!EV$1+1,0)</f>
        <v>#N/A</v>
      </c>
      <c r="N41" s="48" t="e">
        <f>VLOOKUP($A41,'0.Productos'!$A$3:$GG$65,'0.Productos'!EW$1+1,0)</f>
        <v>#N/A</v>
      </c>
      <c r="O41" s="48" t="e">
        <f>VLOOKUP($A41,'0.Productos'!$A$3:$GG$65,'0.Productos'!EX$1+1,0)</f>
        <v>#N/A</v>
      </c>
      <c r="P41" s="48" t="e">
        <f>VLOOKUP($A41,'0.Productos'!$A$3:$GG$65,'0.Productos'!EY$1+1,0)</f>
        <v>#N/A</v>
      </c>
      <c r="Q41" s="48" t="e">
        <f>VLOOKUP($A41,'0.Productos'!$A$3:$GG$65,'0.Productos'!EZ$1+1,0)</f>
        <v>#N/A</v>
      </c>
      <c r="R41" s="48" t="e">
        <f>VLOOKUP($A41,'0.Productos'!$A$3:$GG$65,'0.Productos'!FA$1+1,0)</f>
        <v>#N/A</v>
      </c>
      <c r="S41" s="48" t="e">
        <f>VLOOKUP($A41,'0.Productos'!$A$3:$GG$65,'0.Productos'!FB$1+1,0)</f>
        <v>#N/A</v>
      </c>
      <c r="T41" s="51" t="str">
        <f t="shared" si="5"/>
        <v/>
      </c>
      <c r="U41" s="85">
        <f t="shared" si="6"/>
        <v>5</v>
      </c>
      <c r="V41" s="84" t="str">
        <f t="shared" si="7"/>
        <v/>
      </c>
      <c r="W41" s="83" t="e">
        <f>(5*(V41-MIN($V$6:$V$15))/(MAX($V$6:$V$15)-MIN($V$6:$V$15)))</f>
        <v>#VALUE!</v>
      </c>
    </row>
    <row r="42" spans="1:23" x14ac:dyDescent="0.25">
      <c r="A42">
        <f>'0.Consolidado general'!$A39</f>
        <v>0</v>
      </c>
      <c r="B42" s="48" t="e">
        <f>VLOOKUP(A42,'0.Productos'!$A$3:$GG$65,'0.Productos'!$ES$1+1,0)</f>
        <v>#N/A</v>
      </c>
      <c r="C42" s="51" t="str">
        <f t="shared" si="0"/>
        <v/>
      </c>
      <c r="D42" s="67">
        <f t="shared" si="1"/>
        <v>5</v>
      </c>
      <c r="E42" s="90" t="str">
        <f>IF(A42&lt;&gt;0,VLOOKUP(A42,'0.Productos'!$A$3:$GG$65,'0.Productos'!$ET$1+1,0),"")</f>
        <v/>
      </c>
      <c r="F42" s="67">
        <f t="shared" si="2"/>
        <v>5</v>
      </c>
      <c r="G42" s="89">
        <f t="shared" si="3"/>
        <v>5</v>
      </c>
      <c r="H42" s="88">
        <f>'3.CANALES'!AH47</f>
        <v>5</v>
      </c>
      <c r="I42" s="87">
        <f>'3.CANALES'!AM47</f>
        <v>5</v>
      </c>
      <c r="J42" s="87">
        <f>'3.CANALES'!BA47</f>
        <v>5</v>
      </c>
      <c r="K42" s="86">
        <f t="shared" si="4"/>
        <v>5</v>
      </c>
      <c r="L42" s="48" t="e">
        <f>VLOOKUP($A42,'0.Productos'!$A$3:$GG$65,'0.Productos'!EU$1+1,0)</f>
        <v>#N/A</v>
      </c>
      <c r="M42" s="48" t="e">
        <f>VLOOKUP($A42,'0.Productos'!$A$3:$GG$65,'0.Productos'!EV$1+1,0)</f>
        <v>#N/A</v>
      </c>
      <c r="N42" s="48" t="e">
        <f>VLOOKUP($A42,'0.Productos'!$A$3:$GG$65,'0.Productos'!EW$1+1,0)</f>
        <v>#N/A</v>
      </c>
      <c r="O42" s="48" t="e">
        <f>VLOOKUP($A42,'0.Productos'!$A$3:$GG$65,'0.Productos'!EX$1+1,0)</f>
        <v>#N/A</v>
      </c>
      <c r="P42" s="48" t="e">
        <f>VLOOKUP($A42,'0.Productos'!$A$3:$GG$65,'0.Productos'!EY$1+1,0)</f>
        <v>#N/A</v>
      </c>
      <c r="Q42" s="48" t="e">
        <f>VLOOKUP($A42,'0.Productos'!$A$3:$GG$65,'0.Productos'!EZ$1+1,0)</f>
        <v>#N/A</v>
      </c>
      <c r="R42" s="48" t="e">
        <f>VLOOKUP($A42,'0.Productos'!$A$3:$GG$65,'0.Productos'!FA$1+1,0)</f>
        <v>#N/A</v>
      </c>
      <c r="S42" s="48" t="e">
        <f>VLOOKUP($A42,'0.Productos'!$A$3:$GG$65,'0.Productos'!FB$1+1,0)</f>
        <v>#N/A</v>
      </c>
      <c r="T42" s="51" t="str">
        <f t="shared" si="5"/>
        <v/>
      </c>
      <c r="U42" s="85">
        <f t="shared" si="6"/>
        <v>5</v>
      </c>
      <c r="V42" s="84" t="str">
        <f t="shared" si="7"/>
        <v/>
      </c>
      <c r="W42" s="83" t="e">
        <f>(5*(V42-MIN($V$6:$V$45))/(MAX($V$6:$V$45)-MIN($V$6:$V$45)))</f>
        <v>#VALUE!</v>
      </c>
    </row>
    <row r="43" spans="1:23" x14ac:dyDescent="0.25">
      <c r="A43">
        <f>'0.Consolidado general'!$A40</f>
        <v>0</v>
      </c>
      <c r="B43" s="48" t="e">
        <f>VLOOKUP(A43,'0.Productos'!$A$3:$GG$65,'0.Productos'!$ES$1+1,0)</f>
        <v>#N/A</v>
      </c>
      <c r="C43" s="51" t="str">
        <f t="shared" si="0"/>
        <v/>
      </c>
      <c r="D43" s="67">
        <f t="shared" si="1"/>
        <v>5</v>
      </c>
      <c r="E43" s="90" t="str">
        <f>IF(A43&lt;&gt;0,VLOOKUP(A43,'0.Productos'!$A$3:$GG$65,'0.Productos'!$ET$1+1,0),"")</f>
        <v/>
      </c>
      <c r="F43" s="67">
        <f t="shared" si="2"/>
        <v>5</v>
      </c>
      <c r="G43" s="89">
        <f t="shared" si="3"/>
        <v>5</v>
      </c>
      <c r="H43" s="88">
        <f>'3.CANALES'!AH48</f>
        <v>5</v>
      </c>
      <c r="I43" s="87">
        <f>'3.CANALES'!AM48</f>
        <v>5</v>
      </c>
      <c r="J43" s="87">
        <f>'3.CANALES'!BA48</f>
        <v>5</v>
      </c>
      <c r="K43" s="86">
        <f t="shared" si="4"/>
        <v>5</v>
      </c>
      <c r="L43" s="48" t="e">
        <f>VLOOKUP($A43,'0.Productos'!$A$3:$GG$65,'0.Productos'!EU$1+1,0)</f>
        <v>#N/A</v>
      </c>
      <c r="M43" s="48" t="e">
        <f>VLOOKUP($A43,'0.Productos'!$A$3:$GG$65,'0.Productos'!EV$1+1,0)</f>
        <v>#N/A</v>
      </c>
      <c r="N43" s="48" t="e">
        <f>VLOOKUP($A43,'0.Productos'!$A$3:$GG$65,'0.Productos'!EW$1+1,0)</f>
        <v>#N/A</v>
      </c>
      <c r="O43" s="48" t="e">
        <f>VLOOKUP($A43,'0.Productos'!$A$3:$GG$65,'0.Productos'!EX$1+1,0)</f>
        <v>#N/A</v>
      </c>
      <c r="P43" s="48" t="e">
        <f>VLOOKUP($A43,'0.Productos'!$A$3:$GG$65,'0.Productos'!EY$1+1,0)</f>
        <v>#N/A</v>
      </c>
      <c r="Q43" s="48" t="e">
        <f>VLOOKUP($A43,'0.Productos'!$A$3:$GG$65,'0.Productos'!EZ$1+1,0)</f>
        <v>#N/A</v>
      </c>
      <c r="R43" s="48" t="e">
        <f>VLOOKUP($A43,'0.Productos'!$A$3:$GG$65,'0.Productos'!FA$1+1,0)</f>
        <v>#N/A</v>
      </c>
      <c r="S43" s="48" t="e">
        <f>VLOOKUP($A43,'0.Productos'!$A$3:$GG$65,'0.Productos'!FB$1+1,0)</f>
        <v>#N/A</v>
      </c>
      <c r="T43" s="51" t="str">
        <f t="shared" si="5"/>
        <v/>
      </c>
      <c r="U43" s="85">
        <f t="shared" si="6"/>
        <v>5</v>
      </c>
      <c r="V43" s="84" t="str">
        <f t="shared" si="7"/>
        <v/>
      </c>
      <c r="W43" s="83" t="e">
        <f>(5*(V43-MIN($V$6:$V$15))/(MAX($V$6:$V$15)-MIN($V$6:$V$15)))</f>
        <v>#VALUE!</v>
      </c>
    </row>
    <row r="44" spans="1:23" x14ac:dyDescent="0.25">
      <c r="A44">
        <f>'0.Consolidado general'!$A41</f>
        <v>0</v>
      </c>
      <c r="B44" s="48" t="e">
        <f>VLOOKUP(A44,'0.Productos'!$A$3:$GG$65,'0.Productos'!$ES$1+1,0)</f>
        <v>#N/A</v>
      </c>
      <c r="C44" s="51" t="str">
        <f t="shared" si="0"/>
        <v/>
      </c>
      <c r="D44" s="67">
        <f t="shared" si="1"/>
        <v>5</v>
      </c>
      <c r="E44" s="90" t="str">
        <f>IF(A44&lt;&gt;0,VLOOKUP(A44,'0.Productos'!$A$3:$GG$65,'0.Productos'!$ET$1+1,0),"")</f>
        <v/>
      </c>
      <c r="F44" s="67">
        <f t="shared" si="2"/>
        <v>5</v>
      </c>
      <c r="G44" s="89">
        <f t="shared" si="3"/>
        <v>5</v>
      </c>
      <c r="H44" s="88">
        <f>'3.CANALES'!AH49</f>
        <v>5</v>
      </c>
      <c r="I44" s="87">
        <f>'3.CANALES'!AM49</f>
        <v>5</v>
      </c>
      <c r="J44" s="87">
        <f>'3.CANALES'!BA49</f>
        <v>5</v>
      </c>
      <c r="K44" s="86">
        <f t="shared" si="4"/>
        <v>5</v>
      </c>
      <c r="L44" s="48" t="e">
        <f>VLOOKUP($A44,'0.Productos'!$A$3:$GG$65,'0.Productos'!EU$1+1,0)</f>
        <v>#N/A</v>
      </c>
      <c r="M44" s="48" t="e">
        <f>VLOOKUP($A44,'0.Productos'!$A$3:$GG$65,'0.Productos'!EV$1+1,0)</f>
        <v>#N/A</v>
      </c>
      <c r="N44" s="48" t="e">
        <f>VLOOKUP($A44,'0.Productos'!$A$3:$GG$65,'0.Productos'!EW$1+1,0)</f>
        <v>#N/A</v>
      </c>
      <c r="O44" s="48" t="e">
        <f>VLOOKUP($A44,'0.Productos'!$A$3:$GG$65,'0.Productos'!EX$1+1,0)</f>
        <v>#N/A</v>
      </c>
      <c r="P44" s="48" t="e">
        <f>VLOOKUP($A44,'0.Productos'!$A$3:$GG$65,'0.Productos'!EY$1+1,0)</f>
        <v>#N/A</v>
      </c>
      <c r="Q44" s="48" t="e">
        <f>VLOOKUP($A44,'0.Productos'!$A$3:$GG$65,'0.Productos'!EZ$1+1,0)</f>
        <v>#N/A</v>
      </c>
      <c r="R44" s="48" t="e">
        <f>VLOOKUP($A44,'0.Productos'!$A$3:$GG$65,'0.Productos'!FA$1+1,0)</f>
        <v>#N/A</v>
      </c>
      <c r="S44" s="48" t="e">
        <f>VLOOKUP($A44,'0.Productos'!$A$3:$GG$65,'0.Productos'!FB$1+1,0)</f>
        <v>#N/A</v>
      </c>
      <c r="T44" s="51" t="str">
        <f t="shared" si="5"/>
        <v/>
      </c>
      <c r="U44" s="85">
        <f t="shared" si="6"/>
        <v>5</v>
      </c>
      <c r="V44" s="84" t="str">
        <f t="shared" si="7"/>
        <v/>
      </c>
      <c r="W44" s="83" t="e">
        <f>(5*(V44-MIN($V$6:$V$15))/(MAX($V$6:$V$15)-MIN($V$6:$V$15)))</f>
        <v>#VALUE!</v>
      </c>
    </row>
    <row r="45" spans="1:23" x14ac:dyDescent="0.25">
      <c r="A45">
        <f>'0.Consolidado general'!$A42</f>
        <v>0</v>
      </c>
      <c r="B45" s="48" t="e">
        <f>VLOOKUP(A45,'0.Productos'!$A$3:$GG$65,'0.Productos'!$ES$1+1,0)</f>
        <v>#N/A</v>
      </c>
      <c r="C45" s="51" t="str">
        <f t="shared" si="0"/>
        <v/>
      </c>
      <c r="D45" s="67">
        <f t="shared" si="1"/>
        <v>5</v>
      </c>
      <c r="E45" s="90" t="str">
        <f>IF(A45&lt;&gt;0,VLOOKUP(A45,'0.Productos'!$A$3:$GG$65,'0.Productos'!$ET$1+1,0),"")</f>
        <v/>
      </c>
      <c r="F45" s="67">
        <f t="shared" si="2"/>
        <v>5</v>
      </c>
      <c r="G45" s="89">
        <f t="shared" si="3"/>
        <v>5</v>
      </c>
      <c r="H45" s="88">
        <f>'3.CANALES'!AH50</f>
        <v>5</v>
      </c>
      <c r="I45" s="87">
        <f>'3.CANALES'!AM50</f>
        <v>5</v>
      </c>
      <c r="J45" s="87">
        <f>'3.CANALES'!BA50</f>
        <v>5</v>
      </c>
      <c r="K45" s="86">
        <f t="shared" si="4"/>
        <v>5</v>
      </c>
      <c r="L45" s="48" t="e">
        <f>VLOOKUP($A45,'0.Productos'!$A$3:$GG$65,'0.Productos'!EU$1+1,0)</f>
        <v>#N/A</v>
      </c>
      <c r="M45" s="48" t="e">
        <f>VLOOKUP($A45,'0.Productos'!$A$3:$GG$65,'0.Productos'!EV$1+1,0)</f>
        <v>#N/A</v>
      </c>
      <c r="N45" s="48" t="e">
        <f>VLOOKUP($A45,'0.Productos'!$A$3:$GG$65,'0.Productos'!EW$1+1,0)</f>
        <v>#N/A</v>
      </c>
      <c r="O45" s="48" t="e">
        <f>VLOOKUP($A45,'0.Productos'!$A$3:$GG$65,'0.Productos'!EX$1+1,0)</f>
        <v>#N/A</v>
      </c>
      <c r="P45" s="48" t="e">
        <f>VLOOKUP($A45,'0.Productos'!$A$3:$GG$65,'0.Productos'!EY$1+1,0)</f>
        <v>#N/A</v>
      </c>
      <c r="Q45" s="48" t="e">
        <f>VLOOKUP($A45,'0.Productos'!$A$3:$GG$65,'0.Productos'!EZ$1+1,0)</f>
        <v>#N/A</v>
      </c>
      <c r="R45" s="48" t="e">
        <f>VLOOKUP($A45,'0.Productos'!$A$3:$GG$65,'0.Productos'!FA$1+1,0)</f>
        <v>#N/A</v>
      </c>
      <c r="S45" s="48" t="e">
        <f>VLOOKUP($A45,'0.Productos'!$A$3:$GG$65,'0.Productos'!FB$1+1,0)</f>
        <v>#N/A</v>
      </c>
      <c r="T45" s="51" t="str">
        <f t="shared" si="5"/>
        <v/>
      </c>
      <c r="U45" s="85">
        <f t="shared" si="6"/>
        <v>5</v>
      </c>
      <c r="V45" s="84" t="str">
        <f t="shared" si="7"/>
        <v/>
      </c>
      <c r="W45" s="83" t="e">
        <f>(5*(V45-MIN($V$6:$V$45))/(MAX($V$6:$V$45)-MIN($V$6:$V$45)))</f>
        <v>#VALUE!</v>
      </c>
    </row>
  </sheetData>
  <mergeCells count="11">
    <mergeCell ref="B4:D4"/>
    <mergeCell ref="E4:F4"/>
    <mergeCell ref="H3:K3"/>
    <mergeCell ref="L3:U3"/>
    <mergeCell ref="L4:U4"/>
    <mergeCell ref="B3:G3"/>
    <mergeCell ref="H1:K1"/>
    <mergeCell ref="B1:G1"/>
    <mergeCell ref="L1:U1"/>
    <mergeCell ref="E2:F2"/>
    <mergeCell ref="B2:D2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8">
    <tabColor theme="0" tint="-0.14999847407452621"/>
  </sheetPr>
  <dimension ref="A1:BG50"/>
  <sheetViews>
    <sheetView workbookViewId="0">
      <selection activeCell="BE17" sqref="BE17"/>
    </sheetView>
  </sheetViews>
  <sheetFormatPr baseColWidth="10" defaultRowHeight="15" x14ac:dyDescent="0.25"/>
  <cols>
    <col min="1" max="1" width="16.28515625" customWidth="1"/>
    <col min="2" max="2" width="9.5703125" customWidth="1"/>
    <col min="3" max="10" width="10.7109375" customWidth="1"/>
    <col min="11" max="18" width="9" customWidth="1"/>
    <col min="29" max="29" width="4.140625" bestFit="1" customWidth="1"/>
    <col min="30" max="30" width="8.28515625" bestFit="1" customWidth="1"/>
    <col min="31" max="33" width="8.28515625" customWidth="1"/>
    <col min="35" max="35" width="13.85546875" customWidth="1"/>
    <col min="38" max="38" width="11.42578125" style="109"/>
    <col min="39" max="39" width="11.85546875" bestFit="1" customWidth="1"/>
  </cols>
  <sheetData>
    <row r="1" spans="1:59" x14ac:dyDescent="0.25">
      <c r="A1" t="s">
        <v>375</v>
      </c>
      <c r="K1" t="s">
        <v>374</v>
      </c>
    </row>
    <row r="2" spans="1:59" x14ac:dyDescent="0.25">
      <c r="K2" t="s">
        <v>366</v>
      </c>
    </row>
    <row r="4" spans="1:59" ht="15.75" thickBot="1" x14ac:dyDescent="0.3">
      <c r="A4" s="113" t="s">
        <v>373</v>
      </c>
    </row>
    <row r="5" spans="1:59" ht="15.75" thickBot="1" x14ac:dyDescent="0.3">
      <c r="A5" s="113" t="s">
        <v>372</v>
      </c>
      <c r="T5" s="258" t="s">
        <v>371</v>
      </c>
      <c r="U5" s="259"/>
      <c r="V5" s="259"/>
      <c r="W5" s="259"/>
      <c r="X5" s="259"/>
      <c r="Y5" s="259"/>
      <c r="Z5" s="259"/>
      <c r="AA5" s="259"/>
      <c r="AB5" s="259"/>
      <c r="AC5" s="259"/>
      <c r="AD5" s="259"/>
      <c r="AE5" s="259"/>
      <c r="AF5" s="259"/>
      <c r="AG5" s="259"/>
      <c r="AH5" s="259"/>
      <c r="AI5" s="260"/>
    </row>
    <row r="6" spans="1:59" ht="15" customHeight="1" x14ac:dyDescent="0.25">
      <c r="A6" s="113" t="s">
        <v>370</v>
      </c>
      <c r="T6" s="122"/>
      <c r="U6" s="121"/>
      <c r="V6" s="121"/>
      <c r="W6" s="121"/>
      <c r="X6" s="121"/>
      <c r="Y6" s="121"/>
      <c r="Z6" s="265" t="s">
        <v>369</v>
      </c>
      <c r="AA6" s="265"/>
      <c r="AB6" s="265"/>
      <c r="AC6" s="121"/>
      <c r="AD6" s="123"/>
      <c r="AE6" s="126"/>
      <c r="AF6" s="125"/>
      <c r="AG6" s="125"/>
      <c r="AH6" s="261" t="s">
        <v>368</v>
      </c>
      <c r="AI6" s="262"/>
    </row>
    <row r="7" spans="1:59" x14ac:dyDescent="0.25">
      <c r="A7" s="113" t="s">
        <v>367</v>
      </c>
      <c r="T7" s="122" t="s">
        <v>366</v>
      </c>
      <c r="U7" s="121"/>
      <c r="V7" s="121"/>
      <c r="W7" s="121"/>
      <c r="X7" s="121"/>
      <c r="Y7" s="121"/>
      <c r="Z7" s="124" t="str">
        <f>IF(LEFT(A11,7)='0.User'!$AC$3,"SI",0)</f>
        <v>SI</v>
      </c>
      <c r="AA7" s="124" t="s">
        <v>15</v>
      </c>
      <c r="AB7" s="124" t="s">
        <v>15</v>
      </c>
      <c r="AC7" s="121"/>
      <c r="AD7" s="123"/>
      <c r="AE7" s="122"/>
      <c r="AF7" s="121"/>
      <c r="AG7" s="121"/>
      <c r="AH7" s="263"/>
      <c r="AI7" s="264"/>
    </row>
    <row r="8" spans="1:59" ht="15.75" thickBot="1" x14ac:dyDescent="0.3">
      <c r="T8" s="120" t="str">
        <f>'0.User'!R$3</f>
        <v>NO</v>
      </c>
      <c r="U8" s="120" t="str">
        <f>'0.User'!S$3</f>
        <v>SI</v>
      </c>
      <c r="V8" s="120" t="str">
        <f>'0.User'!T$3</f>
        <v>NO</v>
      </c>
      <c r="W8" s="120" t="str">
        <f>'0.User'!U$3</f>
        <v>SI</v>
      </c>
      <c r="X8" s="120" t="str">
        <f>'0.User'!V$3</f>
        <v>NO</v>
      </c>
      <c r="Y8" s="120" t="str">
        <f>'0.User'!W$3</f>
        <v>NO</v>
      </c>
      <c r="Z8" s="120" t="str">
        <f>'0.User'!X$3</f>
        <v>NO</v>
      </c>
      <c r="AA8" s="120" t="str">
        <f>'0.User'!Y$3</f>
        <v>SI</v>
      </c>
      <c r="AB8" s="120" t="str">
        <f>'0.User'!Z$3</f>
        <v>NO</v>
      </c>
      <c r="AC8" s="120" t="str">
        <f>'0.User'!AA$3</f>
        <v>NO</v>
      </c>
      <c r="AD8" s="120" t="str">
        <f>'0.User'!AB$3</f>
        <v>SI</v>
      </c>
      <c r="AE8" s="119"/>
      <c r="AF8" s="118"/>
      <c r="AG8" s="118"/>
      <c r="AH8" s="118"/>
      <c r="AI8" s="117" t="str">
        <f>'0.User'!$AD$3</f>
        <v>SI</v>
      </c>
      <c r="AJ8" t="s">
        <v>365</v>
      </c>
      <c r="AN8" t="s">
        <v>364</v>
      </c>
    </row>
    <row r="9" spans="1:59" s="91" customFormat="1" x14ac:dyDescent="0.25">
      <c r="A9" s="95"/>
      <c r="B9" s="250" t="s">
        <v>363</v>
      </c>
      <c r="C9" s="250"/>
      <c r="D9" s="250"/>
      <c r="E9" s="250"/>
      <c r="F9" s="250"/>
      <c r="G9" s="250"/>
      <c r="H9" s="250"/>
      <c r="I9" s="250"/>
      <c r="J9" s="250"/>
      <c r="K9" s="250"/>
      <c r="L9" s="250"/>
      <c r="M9" s="250"/>
      <c r="N9" s="250"/>
      <c r="O9" s="250"/>
      <c r="P9" s="250"/>
      <c r="Q9" s="250"/>
      <c r="R9" s="250"/>
      <c r="S9" s="250"/>
      <c r="T9" s="252" t="s">
        <v>362</v>
      </c>
      <c r="U9" s="252"/>
      <c r="V9" s="252"/>
      <c r="W9" s="252"/>
      <c r="X9" s="252"/>
      <c r="Y9" s="252"/>
      <c r="Z9" s="252"/>
      <c r="AA9" s="252"/>
      <c r="AB9" s="252"/>
      <c r="AC9" s="252"/>
      <c r="AD9" s="252"/>
      <c r="AE9" s="252"/>
      <c r="AF9" s="252"/>
      <c r="AG9" s="252"/>
      <c r="AH9" s="252"/>
      <c r="AI9" s="252" t="s">
        <v>361</v>
      </c>
      <c r="AJ9" s="250"/>
      <c r="AK9" s="250"/>
      <c r="AL9" s="250"/>
      <c r="AM9" s="250"/>
      <c r="AN9" s="250" t="s">
        <v>315</v>
      </c>
      <c r="AO9" s="250"/>
      <c r="AP9" s="250"/>
      <c r="AQ9" s="250"/>
      <c r="AR9" s="250"/>
      <c r="AS9" s="250"/>
      <c r="AT9" s="250"/>
      <c r="AU9" s="250"/>
      <c r="AV9" s="250"/>
      <c r="AW9" s="250"/>
      <c r="AX9" s="250"/>
      <c r="AY9" s="250"/>
      <c r="AZ9" s="250"/>
      <c r="BA9" s="250"/>
      <c r="BC9" s="91" t="s">
        <v>360</v>
      </c>
      <c r="BD9" s="91" t="s">
        <v>359</v>
      </c>
      <c r="BE9" s="91" t="s">
        <v>358</v>
      </c>
      <c r="BG9" s="113" t="s">
        <v>357</v>
      </c>
    </row>
    <row r="10" spans="1:59" s="91" customFormat="1" x14ac:dyDescent="0.25">
      <c r="A10" s="101" t="s">
        <v>64</v>
      </c>
      <c r="B10" s="95" t="s">
        <v>356</v>
      </c>
      <c r="C10" s="95" t="s">
        <v>355</v>
      </c>
      <c r="D10" s="95" t="s">
        <v>354</v>
      </c>
      <c r="E10" s="95" t="s">
        <v>353</v>
      </c>
      <c r="F10" s="95" t="s">
        <v>352</v>
      </c>
      <c r="G10" s="95" t="s">
        <v>351</v>
      </c>
      <c r="H10" s="95" t="s">
        <v>350</v>
      </c>
      <c r="I10" s="95" t="s">
        <v>349</v>
      </c>
      <c r="J10" s="95" t="s">
        <v>336</v>
      </c>
      <c r="K10" s="95" t="s">
        <v>335</v>
      </c>
      <c r="L10" s="95" t="s">
        <v>348</v>
      </c>
      <c r="M10" s="95" t="s">
        <v>347</v>
      </c>
      <c r="N10" s="95" t="s">
        <v>346</v>
      </c>
      <c r="O10" s="95" t="s">
        <v>345</v>
      </c>
      <c r="P10" s="95" t="s">
        <v>306</v>
      </c>
      <c r="Q10" s="95" t="s">
        <v>344</v>
      </c>
      <c r="R10" s="95" t="s">
        <v>343</v>
      </c>
      <c r="S10" s="70" t="s">
        <v>86</v>
      </c>
      <c r="T10" s="70" t="s">
        <v>303</v>
      </c>
      <c r="U10" s="70" t="s">
        <v>302</v>
      </c>
      <c r="V10" s="70" t="s">
        <v>301</v>
      </c>
      <c r="W10" s="70" t="s">
        <v>337</v>
      </c>
      <c r="X10" s="70" t="s">
        <v>336</v>
      </c>
      <c r="Y10" s="70" t="s">
        <v>335</v>
      </c>
      <c r="Z10" s="95" t="s">
        <v>348</v>
      </c>
      <c r="AA10" s="95" t="s">
        <v>347</v>
      </c>
      <c r="AB10" s="95" t="s">
        <v>346</v>
      </c>
      <c r="AC10" s="95" t="s">
        <v>345</v>
      </c>
      <c r="AD10" s="95" t="s">
        <v>306</v>
      </c>
      <c r="AE10" s="95" t="s">
        <v>344</v>
      </c>
      <c r="AF10" s="95" t="s">
        <v>343</v>
      </c>
      <c r="AG10" s="95" t="s">
        <v>342</v>
      </c>
      <c r="AH10" s="100" t="s">
        <v>86</v>
      </c>
      <c r="AI10" s="57" t="s">
        <v>341</v>
      </c>
      <c r="AJ10" s="57" t="s">
        <v>340</v>
      </c>
      <c r="AK10" s="112" t="s">
        <v>339</v>
      </c>
      <c r="AL10" s="116" t="s">
        <v>338</v>
      </c>
      <c r="AM10" s="100" t="s">
        <v>86</v>
      </c>
      <c r="AN10" s="115" t="s">
        <v>303</v>
      </c>
      <c r="AO10" s="115" t="s">
        <v>302</v>
      </c>
      <c r="AP10" s="115" t="s">
        <v>301</v>
      </c>
      <c r="AQ10" s="115" t="s">
        <v>337</v>
      </c>
      <c r="AR10" s="115" t="s">
        <v>336</v>
      </c>
      <c r="AS10" s="115" t="s">
        <v>335</v>
      </c>
      <c r="AT10" s="70" t="s">
        <v>334</v>
      </c>
      <c r="AU10" s="70" t="s">
        <v>333</v>
      </c>
      <c r="AV10" s="70" t="s">
        <v>332</v>
      </c>
      <c r="AW10" s="70" t="s">
        <v>331</v>
      </c>
      <c r="AX10" s="70" t="s">
        <v>330</v>
      </c>
      <c r="AY10" s="70" t="s">
        <v>329</v>
      </c>
      <c r="AZ10" s="95" t="s">
        <v>328</v>
      </c>
      <c r="BA10" s="100" t="s">
        <v>311</v>
      </c>
      <c r="BG10" s="114" t="s">
        <v>327</v>
      </c>
    </row>
    <row r="11" spans="1:59" x14ac:dyDescent="0.25">
      <c r="A11" t="str">
        <f>'0.Consolidado general'!$A3</f>
        <v>E001001021002</v>
      </c>
      <c r="B11" s="90">
        <f>VLOOKUP($A11,'0.Productos'!$A$3:$GG$65,'0.Productos'!FC$1+1,0)</f>
        <v>1134</v>
      </c>
      <c r="C11" s="90">
        <f>VLOOKUP($A11,'0.Productos'!$A$3:$GG$65,'0.Productos'!FD$1+1,0)</f>
        <v>623</v>
      </c>
      <c r="D11" s="90">
        <f>VLOOKUP($A11,'0.Productos'!$A$3:$GG$65,'0.Productos'!FE$1+1,0)</f>
        <v>665</v>
      </c>
      <c r="E11" s="90">
        <f>VLOOKUP($A11,'0.Productos'!$A$3:$GG$65,'0.Productos'!FF$1+1,0)</f>
        <v>1139</v>
      </c>
      <c r="F11" s="90">
        <f>VLOOKUP($A11,'0.Productos'!$A$3:$GG$65,'0.Productos'!FG$1+1,0)</f>
        <v>843</v>
      </c>
      <c r="G11" s="90">
        <f>VLOOKUP($A11,'0.Productos'!$A$3:$GG$65,'0.Productos'!FH$1+1,0)</f>
        <v>1396</v>
      </c>
      <c r="H11" s="90">
        <f>VLOOKUP($A11,'0.Productos'!$A$3:$GG$65,'0.Productos'!FI$1+1,0)</f>
        <v>2159</v>
      </c>
      <c r="I11" s="90">
        <f>VLOOKUP($A11,'0.Productos'!$A$3:$GG$65,'0.Productos'!FJ$1+1,0)</f>
        <v>478</v>
      </c>
      <c r="J11" s="90">
        <f>VLOOKUP($A11,'0.Productos'!$A$3:$GG$65,'0.Productos'!FK$1+1,0)</f>
        <v>704</v>
      </c>
      <c r="K11" s="90">
        <f>VLOOKUP($A11,'0.Productos'!$A$3:$GG$65,'0.Productos'!FL$1+1,0)</f>
        <v>1585</v>
      </c>
      <c r="L11" s="90" t="str">
        <f>VLOOKUP($A11,'0.Productos'!$A$3:$GG$65,'0.Productos'!FM$1+1,0)</f>
        <v>SI</v>
      </c>
      <c r="M11" s="90" t="str">
        <f>VLOOKUP($A11,'0.Productos'!$A$3:$GG$65,'0.Productos'!FN$1+1,0)</f>
        <v>NO</v>
      </c>
      <c r="N11" s="90" t="str">
        <f>VLOOKUP($A11,'0.Productos'!$A$3:$GG$65,'0.Productos'!FO$1+1,0)</f>
        <v>NO</v>
      </c>
      <c r="O11" s="90" t="str">
        <f>VLOOKUP($A11,'0.Productos'!$A$3:$GG$65,'0.Productos'!FP$1+1,0)</f>
        <v>NO</v>
      </c>
      <c r="P11" s="90" t="str">
        <f>VLOOKUP($A11,'0.Productos'!$A$3:$GG$65,'0.Productos'!FQ$1+1,0)</f>
        <v>NO</v>
      </c>
      <c r="Q11" s="51">
        <f t="shared" ref="Q11:Q50" si="0">IF(A11&lt;&gt;0,AVERAGE(B11:K11),"")</f>
        <v>1072.5999999999999</v>
      </c>
      <c r="R11" s="51">
        <f t="shared" ref="R11:R50" si="1">IF(A11&lt;&gt;0,COUNTIF(L11:P11,"SI"),"")</f>
        <v>1</v>
      </c>
      <c r="S11" s="110">
        <f t="shared" ref="S11:S50" si="2">(5*(Q11-MIN($Q$11:$Q$50))/(MAX($Q$11:$Q$50)-MIN($Q$11:$Q$50))*0.5)+(5*(R11-MIN($R$11:$R$50))/(MAX($R$11:$R$50)-MIN($R$11:$R$50))*0.5)</f>
        <v>0.22238737708666745</v>
      </c>
      <c r="T11" s="51">
        <f t="shared" ref="T11:T50" si="3">IF(A11&lt;&gt;0,IF(T$8="NO",0,B11+C11),"")</f>
        <v>0</v>
      </c>
      <c r="U11" s="51">
        <f t="shared" ref="U11:U50" si="4">IF(A11&lt;&gt;0,IF(U$8="NO",0,D11+E11),"")</f>
        <v>1804</v>
      </c>
      <c r="V11" s="51">
        <f t="shared" ref="V11:V50" si="5">IF(A11&lt;&gt;0,IF(V$8="NO",0,F11+G11),"")</f>
        <v>0</v>
      </c>
      <c r="W11" s="51">
        <f t="shared" ref="W11:W50" si="6">IF(A11&lt;&gt;0,IF(W$8="NO",0,H11+I11),"")</f>
        <v>2637</v>
      </c>
      <c r="X11" s="51">
        <f t="shared" ref="X11:X50" si="7">IF(A11&lt;&gt;0,IF(X$8="NO",0,J11),"")</f>
        <v>0</v>
      </c>
      <c r="Y11" s="51">
        <f t="shared" ref="Y11:Y50" si="8">IF(A11&lt;&gt;0,IF(Y$8="NO",0,K11),"")</f>
        <v>0</v>
      </c>
      <c r="Z11" s="51">
        <f t="shared" ref="Z11:Z50" si="9">IF(A11&lt;&gt;0,IF(AND(BC11="SI",Z$8="SI",L11="SI"),1,0),"")</f>
        <v>0</v>
      </c>
      <c r="AA11" s="51">
        <f t="shared" ref="AA11:AA50" si="10">IF(A11&lt;&gt;0,IF(AND(BD11="SI",AA$8="SI",M11="SI"),1,0),"")</f>
        <v>0</v>
      </c>
      <c r="AB11" s="51">
        <f t="shared" ref="AB11:AB50" si="11">IF(A11&lt;&gt;0,IF(AND(BE11="SI",AB$8="SI",N11="SI"),1,0),"")</f>
        <v>0</v>
      </c>
      <c r="AC11" s="51">
        <f t="shared" ref="AC11:AC50" si="12">IF(A11&lt;&gt;0,IF(AND(AC$8="SI",O11="SI"),1,0),"")</f>
        <v>0</v>
      </c>
      <c r="AD11" s="51">
        <f t="shared" ref="AD11:AD50" si="13">IF(A11&lt;&gt;0,IF(AND(AD$8="SI",P11="SI"),1,0),"")</f>
        <v>0</v>
      </c>
      <c r="AE11" s="51">
        <f t="shared" ref="AE11:AE50" si="14">SUM(T11:Y11)</f>
        <v>4441</v>
      </c>
      <c r="AF11" s="51">
        <f t="shared" ref="AF11:AF50" si="15">(SUM(Z11:AD11))/COUNTIF($Z$8:$AD$8,"SI")</f>
        <v>0</v>
      </c>
      <c r="AG11" s="51">
        <f t="shared" ref="AG11:AG50" si="16">IF(A11&lt;&gt;0,(5*(AE11-MIN($AE$11:$AE$50))/(MAX($AE$11:$AE$50)-MIN($AE$11:$AE$50))*0.5)+(5*(AF11-MIN($AF$11:$AF$50))/(MAX($AF$11:$AF$50)-MIN($AF$11:$AF$50))*0.5),"")</f>
        <v>1.9152147662584096</v>
      </c>
      <c r="AH11" s="67">
        <f t="shared" ref="AH11:AH50" si="17">IF(AG11&lt;AVERAGE($AG$11:$AG$50)-1.5*(AVERAGE($AG$11:$AG$50)-QUARTILE($AG$11:$AG$50,1)),5*0,IF(AG11&gt;AVERAGE($AG$11:$AG$50)+1.5*(QUARTILE($AG$11:$AG$50,3)-AVERAGE($AG$11:$AG$50)),5*1,5*(AG11-MIN($AG$11:$AG$50))/(MAX($AG$11:$AG$50)-MIN($AG$11:$AG$50))))</f>
        <v>0.40118297544040143</v>
      </c>
      <c r="AI11" s="90" t="str">
        <f>VLOOKUP($A11,'0.Productos'!$A$3:$GG$65,'0.Productos'!FR$1+1,0)</f>
        <v>SI</v>
      </c>
      <c r="AJ11" s="90">
        <f>VLOOKUP($A11,'0.Productos'!$A$3:$GG$65,'0.Productos'!FS$1+1,0)</f>
        <v>713</v>
      </c>
      <c r="AK11" s="112">
        <v>8000</v>
      </c>
      <c r="AL11" s="111">
        <f t="shared" ref="AL11:AL50" si="18">IF(A11&lt;&gt;0,IF(AND($AI$8="SI",AI11="SI"),AJ11,0),"")</f>
        <v>713</v>
      </c>
      <c r="AM11" s="67">
        <f t="shared" ref="AM11:AM50" si="19">IF(AL11&lt;AVERAGE($AL$11:$AL$50)-1.5*(AVERAGE($AL$11:$AL$50)-QUARTILE($AL$11:$AL$50,1)),5*0,IF(AL11&gt;AVERAGE($AL$11:$AL$50)+1.5*(QUARTILE($AL$11:$AL$50,3)-AVERAGE($AL$11:$AL$50)),5*1,5*(AL11-MIN($AL$11:$AL$50))/(MAX($AL$11:$AL$50)-MIN($AL$11:$AL$50))))</f>
        <v>5</v>
      </c>
      <c r="AN11" s="57">
        <v>0</v>
      </c>
      <c r="AO11" s="57">
        <v>1700</v>
      </c>
      <c r="AP11" s="57">
        <v>200</v>
      </c>
      <c r="AQ11" s="57">
        <v>300</v>
      </c>
      <c r="AR11" s="57">
        <v>1200</v>
      </c>
      <c r="AS11" s="57">
        <v>500</v>
      </c>
      <c r="AT11" s="51" t="str">
        <f t="shared" ref="AT11:AT50" si="20">IF(T$8="SI",AN11,"")</f>
        <v/>
      </c>
      <c r="AU11" s="51">
        <f t="shared" ref="AU11:AU50" si="21">IF(U$8="SI",AO11,"")</f>
        <v>1700</v>
      </c>
      <c r="AV11" s="51" t="str">
        <f t="shared" ref="AV11:AV50" si="22">IF(V$8="SI",AP11,"")</f>
        <v/>
      </c>
      <c r="AW11" s="51">
        <f t="shared" ref="AW11:AW50" si="23">IF(W$8="SI",AQ11,"")</f>
        <v>300</v>
      </c>
      <c r="AX11" s="51" t="str">
        <f t="shared" ref="AX11:AX50" si="24">IF(X$8="SI",AR11,"")</f>
        <v/>
      </c>
      <c r="AY11" s="51" t="str">
        <f t="shared" ref="AY11:AY50" si="25">IF(Y$8="SI",AS11,"")</f>
        <v/>
      </c>
      <c r="AZ11" s="110">
        <f t="shared" ref="AZ11:AZ50" si="26">IF(A11&lt;&gt;0,MAX(AT11:AY11),"")</f>
        <v>1700</v>
      </c>
      <c r="BA11" s="67">
        <f t="shared" ref="BA11:BA50" si="27">IF(AZ11&lt;AVERAGE($AZ$11:$AZ$50)-1.5*(AVERAGE($AZ$11:$AZ$50)-QUARTILE($AZ$11:$AZ$50,1)),5*0,IF(AZ11&gt;AVERAGE($AZ$11:$AZ$50)+1.5*(QUARTILE($AZ$11:$AZ$50,3)-AVERAGE($AZ$11:$AZ$50)),5*1,5*(AZ11-MIN($AZ$11:$AZ$50))/(MAX($AZ$11:$AZ$50)-MIN($AZ$11:$AZ$50))))</f>
        <v>3.8461538461538463</v>
      </c>
      <c r="BC11" s="20" t="str">
        <f>IF(LEFT(A11,7)='0.User'!$AC$3,"SI","NO")</f>
        <v>SI</v>
      </c>
      <c r="BD11" s="20" t="str">
        <f>IF(LEFT(A11,7)='0.User'!$AC$3,"SI","NO")</f>
        <v>SI</v>
      </c>
      <c r="BE11" s="20" t="str">
        <f>IF(LEFT(A11,7)='0.User'!$AC$3,"SI","NO")</f>
        <v>SI</v>
      </c>
      <c r="BG11" s="114" t="s">
        <v>326</v>
      </c>
    </row>
    <row r="12" spans="1:59" x14ac:dyDescent="0.25">
      <c r="A12" t="str">
        <f>'0.Consolidado general'!$A4</f>
        <v>E001001021003</v>
      </c>
      <c r="B12" s="90">
        <f>VLOOKUP($A12,'0.Productos'!$A$3:$GG$65,'0.Productos'!FC$1+1,0)</f>
        <v>1421</v>
      </c>
      <c r="C12" s="90">
        <f>VLOOKUP($A12,'0.Productos'!$A$3:$GG$65,'0.Productos'!FD$1+1,0)</f>
        <v>1405</v>
      </c>
      <c r="D12" s="90">
        <f>VLOOKUP($A12,'0.Productos'!$A$3:$GG$65,'0.Productos'!FE$1+1,0)</f>
        <v>712</v>
      </c>
      <c r="E12" s="90">
        <f>VLOOKUP($A12,'0.Productos'!$A$3:$GG$65,'0.Productos'!FF$1+1,0)</f>
        <v>2259</v>
      </c>
      <c r="F12" s="90">
        <f>VLOOKUP($A12,'0.Productos'!$A$3:$GG$65,'0.Productos'!FG$1+1,0)</f>
        <v>945</v>
      </c>
      <c r="G12" s="90">
        <f>VLOOKUP($A12,'0.Productos'!$A$3:$GG$65,'0.Productos'!FH$1+1,0)</f>
        <v>1815</v>
      </c>
      <c r="H12" s="90">
        <f>VLOOKUP($A12,'0.Productos'!$A$3:$GG$65,'0.Productos'!FI$1+1,0)</f>
        <v>268</v>
      </c>
      <c r="I12" s="90">
        <f>VLOOKUP($A12,'0.Productos'!$A$3:$GG$65,'0.Productos'!FJ$1+1,0)</f>
        <v>578</v>
      </c>
      <c r="J12" s="90">
        <f>VLOOKUP($A12,'0.Productos'!$A$3:$GG$65,'0.Productos'!FK$1+1,0)</f>
        <v>1083</v>
      </c>
      <c r="K12" s="90">
        <f>VLOOKUP($A12,'0.Productos'!$A$3:$GG$65,'0.Productos'!FL$1+1,0)</f>
        <v>1257</v>
      </c>
      <c r="L12" s="90" t="str">
        <f>VLOOKUP($A12,'0.Productos'!$A$3:$GG$65,'0.Productos'!FM$1+1,0)</f>
        <v>SI</v>
      </c>
      <c r="M12" s="90" t="str">
        <f>VLOOKUP($A12,'0.Productos'!$A$3:$GG$65,'0.Productos'!FN$1+1,0)</f>
        <v>SI</v>
      </c>
      <c r="N12" s="90" t="str">
        <f>VLOOKUP($A12,'0.Productos'!$A$3:$GG$65,'0.Productos'!FO$1+1,0)</f>
        <v>NO</v>
      </c>
      <c r="O12" s="90" t="str">
        <f>VLOOKUP($A12,'0.Productos'!$A$3:$GG$65,'0.Productos'!FP$1+1,0)</f>
        <v>SI</v>
      </c>
      <c r="P12" s="90" t="str">
        <f>VLOOKUP($A12,'0.Productos'!$A$3:$GG$65,'0.Productos'!FQ$1+1,0)</f>
        <v>NO</v>
      </c>
      <c r="Q12" s="51">
        <f t="shared" si="0"/>
        <v>1174.3</v>
      </c>
      <c r="R12" s="51">
        <f t="shared" si="1"/>
        <v>3</v>
      </c>
      <c r="S12" s="110">
        <f t="shared" si="2"/>
        <v>2.4704626877048552</v>
      </c>
      <c r="T12" s="51">
        <f t="shared" si="3"/>
        <v>0</v>
      </c>
      <c r="U12" s="51">
        <f t="shared" si="4"/>
        <v>2971</v>
      </c>
      <c r="V12" s="51">
        <f t="shared" si="5"/>
        <v>0</v>
      </c>
      <c r="W12" s="51">
        <f t="shared" si="6"/>
        <v>846</v>
      </c>
      <c r="X12" s="51">
        <f t="shared" si="7"/>
        <v>0</v>
      </c>
      <c r="Y12" s="51">
        <f t="shared" si="8"/>
        <v>0</v>
      </c>
      <c r="Z12" s="51">
        <f t="shared" si="9"/>
        <v>0</v>
      </c>
      <c r="AA12" s="51">
        <f t="shared" si="10"/>
        <v>1</v>
      </c>
      <c r="AB12" s="51">
        <f t="shared" si="11"/>
        <v>0</v>
      </c>
      <c r="AC12" s="51">
        <f t="shared" si="12"/>
        <v>0</v>
      </c>
      <c r="AD12" s="51">
        <f t="shared" si="13"/>
        <v>0</v>
      </c>
      <c r="AE12" s="51">
        <f t="shared" si="14"/>
        <v>3817</v>
      </c>
      <c r="AF12" s="51">
        <f t="shared" si="15"/>
        <v>0.5</v>
      </c>
      <c r="AG12" s="51">
        <f t="shared" si="16"/>
        <v>4.1461100569259965</v>
      </c>
      <c r="AH12" s="67">
        <f t="shared" si="17"/>
        <v>3.7270155586987275</v>
      </c>
      <c r="AI12" s="90" t="str">
        <f>VLOOKUP($A12,'0.Productos'!$A$3:$GG$65,'0.Productos'!FR$1+1,0)</f>
        <v>NO</v>
      </c>
      <c r="AJ12" s="90">
        <f>VLOOKUP($A12,'0.Productos'!$A$3:$GG$65,'0.Productos'!FS$1+1,0)</f>
        <v>0</v>
      </c>
      <c r="AK12" s="112">
        <v>7000</v>
      </c>
      <c r="AL12" s="111">
        <f t="shared" si="18"/>
        <v>0</v>
      </c>
      <c r="AM12" s="67">
        <f t="shared" si="19"/>
        <v>0</v>
      </c>
      <c r="AN12" s="57">
        <v>400</v>
      </c>
      <c r="AO12" s="57">
        <v>1700</v>
      </c>
      <c r="AP12" s="57">
        <v>1200</v>
      </c>
      <c r="AQ12" s="57">
        <v>1600</v>
      </c>
      <c r="AR12" s="57">
        <v>900</v>
      </c>
      <c r="AS12" s="57">
        <v>1200</v>
      </c>
      <c r="AT12" s="51" t="str">
        <f t="shared" si="20"/>
        <v/>
      </c>
      <c r="AU12" s="51">
        <f t="shared" si="21"/>
        <v>1700</v>
      </c>
      <c r="AV12" s="51" t="str">
        <f t="shared" si="22"/>
        <v/>
      </c>
      <c r="AW12" s="51">
        <f t="shared" si="23"/>
        <v>1600</v>
      </c>
      <c r="AX12" s="51" t="str">
        <f t="shared" si="24"/>
        <v/>
      </c>
      <c r="AY12" s="51" t="str">
        <f t="shared" si="25"/>
        <v/>
      </c>
      <c r="AZ12" s="110">
        <f t="shared" si="26"/>
        <v>1700</v>
      </c>
      <c r="BA12" s="67">
        <f t="shared" si="27"/>
        <v>3.8461538461538463</v>
      </c>
      <c r="BC12" s="20" t="str">
        <f>IF(LEFT(A12,7)='0.User'!$AC$3,"SI","NO")</f>
        <v>SI</v>
      </c>
      <c r="BD12" s="20" t="str">
        <f>IF(LEFT(A12,7)='0.User'!$AC$3,"SI","NO")</f>
        <v>SI</v>
      </c>
      <c r="BE12" s="20" t="str">
        <f>IF(LEFT(A12,7)='0.User'!$AC$3,"SI","NO")</f>
        <v>SI</v>
      </c>
      <c r="BG12" s="114" t="s">
        <v>325</v>
      </c>
    </row>
    <row r="13" spans="1:59" x14ac:dyDescent="0.25">
      <c r="A13" t="str">
        <f>'0.Consolidado general'!$A5</f>
        <v>E001002021001</v>
      </c>
      <c r="B13" s="90">
        <f>VLOOKUP($A13,'0.Productos'!$A$3:$GG$65,'0.Productos'!FC$1+1,0)</f>
        <v>1684</v>
      </c>
      <c r="C13" s="90">
        <f>VLOOKUP($A13,'0.Productos'!$A$3:$GG$65,'0.Productos'!FD$1+1,0)</f>
        <v>359</v>
      </c>
      <c r="D13" s="90">
        <f>VLOOKUP($A13,'0.Productos'!$A$3:$GG$65,'0.Productos'!FE$1+1,0)</f>
        <v>630</v>
      </c>
      <c r="E13" s="90">
        <f>VLOOKUP($A13,'0.Productos'!$A$3:$GG$65,'0.Productos'!FF$1+1,0)</f>
        <v>1710</v>
      </c>
      <c r="F13" s="90">
        <f>VLOOKUP($A13,'0.Productos'!$A$3:$GG$65,'0.Productos'!FG$1+1,0)</f>
        <v>2153</v>
      </c>
      <c r="G13" s="90">
        <f>VLOOKUP($A13,'0.Productos'!$A$3:$GG$65,'0.Productos'!FH$1+1,0)</f>
        <v>1823</v>
      </c>
      <c r="H13" s="90">
        <f>VLOOKUP($A13,'0.Productos'!$A$3:$GG$65,'0.Productos'!FI$1+1,0)</f>
        <v>1251</v>
      </c>
      <c r="I13" s="90">
        <f>VLOOKUP($A13,'0.Productos'!$A$3:$GG$65,'0.Productos'!FJ$1+1,0)</f>
        <v>2206</v>
      </c>
      <c r="J13" s="90">
        <f>VLOOKUP($A13,'0.Productos'!$A$3:$GG$65,'0.Productos'!FK$1+1,0)</f>
        <v>1910</v>
      </c>
      <c r="K13" s="90">
        <f>VLOOKUP($A13,'0.Productos'!$A$3:$GG$65,'0.Productos'!FL$1+1,0)</f>
        <v>984</v>
      </c>
      <c r="L13" s="90" t="str">
        <f>VLOOKUP($A13,'0.Productos'!$A$3:$GG$65,'0.Productos'!FM$1+1,0)</f>
        <v>SI</v>
      </c>
      <c r="M13" s="90" t="str">
        <f>VLOOKUP($A13,'0.Productos'!$A$3:$GG$65,'0.Productos'!FN$1+1,0)</f>
        <v>NO</v>
      </c>
      <c r="N13" s="90" t="str">
        <f>VLOOKUP($A13,'0.Productos'!$A$3:$GG$65,'0.Productos'!FO$1+1,0)</f>
        <v>SI</v>
      </c>
      <c r="O13" s="90" t="str">
        <f>VLOOKUP($A13,'0.Productos'!$A$3:$GG$65,'0.Productos'!FP$1+1,0)</f>
        <v>SI</v>
      </c>
      <c r="P13" s="90" t="str">
        <f>VLOOKUP($A13,'0.Productos'!$A$3:$GG$65,'0.Productos'!FQ$1+1,0)</f>
        <v>SI</v>
      </c>
      <c r="Q13" s="51">
        <f t="shared" si="0"/>
        <v>1471</v>
      </c>
      <c r="R13" s="51">
        <f t="shared" si="1"/>
        <v>4</v>
      </c>
      <c r="S13" s="110">
        <f t="shared" si="2"/>
        <v>5</v>
      </c>
      <c r="T13" s="51">
        <f t="shared" si="3"/>
        <v>0</v>
      </c>
      <c r="U13" s="51">
        <f t="shared" si="4"/>
        <v>2340</v>
      </c>
      <c r="V13" s="51">
        <f t="shared" si="5"/>
        <v>0</v>
      </c>
      <c r="W13" s="51">
        <f t="shared" si="6"/>
        <v>3457</v>
      </c>
      <c r="X13" s="51">
        <f t="shared" si="7"/>
        <v>0</v>
      </c>
      <c r="Y13" s="51">
        <f t="shared" si="8"/>
        <v>0</v>
      </c>
      <c r="Z13" s="51">
        <f t="shared" si="9"/>
        <v>0</v>
      </c>
      <c r="AA13" s="51">
        <f t="shared" si="10"/>
        <v>0</v>
      </c>
      <c r="AB13" s="51">
        <f t="shared" si="11"/>
        <v>0</v>
      </c>
      <c r="AC13" s="51">
        <f t="shared" si="12"/>
        <v>0</v>
      </c>
      <c r="AD13" s="51">
        <f t="shared" si="13"/>
        <v>1</v>
      </c>
      <c r="AE13" s="51">
        <f t="shared" si="14"/>
        <v>5797</v>
      </c>
      <c r="AF13" s="51">
        <f t="shared" si="15"/>
        <v>0.5</v>
      </c>
      <c r="AG13" s="51">
        <f t="shared" si="16"/>
        <v>5</v>
      </c>
      <c r="AH13" s="67">
        <f t="shared" si="17"/>
        <v>5</v>
      </c>
      <c r="AI13" s="90" t="str">
        <f>VLOOKUP($A13,'0.Productos'!$A$3:$GG$65,'0.Productos'!FR$1+1,0)</f>
        <v>SI</v>
      </c>
      <c r="AJ13" s="90">
        <f>VLOOKUP($A13,'0.Productos'!$A$3:$GG$65,'0.Productos'!FS$1+1,0)</f>
        <v>172</v>
      </c>
      <c r="AK13" s="112"/>
      <c r="AL13" s="111">
        <f t="shared" si="18"/>
        <v>172</v>
      </c>
      <c r="AM13" s="67">
        <f t="shared" si="19"/>
        <v>1.20617110799439</v>
      </c>
      <c r="AN13" s="57">
        <v>1700</v>
      </c>
      <c r="AO13" s="57">
        <v>0</v>
      </c>
      <c r="AP13" s="57">
        <v>200</v>
      </c>
      <c r="AQ13" s="57">
        <v>800</v>
      </c>
      <c r="AR13" s="57">
        <v>600</v>
      </c>
      <c r="AS13" s="57">
        <v>300</v>
      </c>
      <c r="AT13" s="51" t="str">
        <f t="shared" si="20"/>
        <v/>
      </c>
      <c r="AU13" s="51">
        <f t="shared" si="21"/>
        <v>0</v>
      </c>
      <c r="AV13" s="51" t="str">
        <f t="shared" si="22"/>
        <v/>
      </c>
      <c r="AW13" s="51">
        <f t="shared" si="23"/>
        <v>800</v>
      </c>
      <c r="AX13" s="51" t="str">
        <f t="shared" si="24"/>
        <v/>
      </c>
      <c r="AY13" s="51" t="str">
        <f t="shared" si="25"/>
        <v/>
      </c>
      <c r="AZ13" s="110">
        <f t="shared" si="26"/>
        <v>800</v>
      </c>
      <c r="BA13" s="67">
        <f t="shared" si="27"/>
        <v>0.38461538461538464</v>
      </c>
      <c r="BC13" s="20" t="str">
        <f>IF(LEFT(A13,7)='0.User'!$AC$3,"SI","NO")</f>
        <v>NO</v>
      </c>
      <c r="BD13" s="20" t="str">
        <f>IF(LEFT(A13,7)='0.User'!$AC$3,"SI","NO")</f>
        <v>NO</v>
      </c>
      <c r="BE13" s="20" t="str">
        <f>IF(LEFT(A13,7)='0.User'!$AC$3,"SI","NO")</f>
        <v>NO</v>
      </c>
      <c r="BG13" s="113" t="s">
        <v>324</v>
      </c>
    </row>
    <row r="14" spans="1:59" x14ac:dyDescent="0.25">
      <c r="A14" t="str">
        <f>'0.Consolidado general'!$A6</f>
        <v>E001002021002</v>
      </c>
      <c r="B14" s="90">
        <f>VLOOKUP($A14,'0.Productos'!$A$3:$GG$65,'0.Productos'!FC$1+1,0)</f>
        <v>2047</v>
      </c>
      <c r="C14" s="90">
        <f>VLOOKUP($A14,'0.Productos'!$A$3:$GG$65,'0.Productos'!FD$1+1,0)</f>
        <v>1922</v>
      </c>
      <c r="D14" s="90">
        <f>VLOOKUP($A14,'0.Productos'!$A$3:$GG$65,'0.Productos'!FE$1+1,0)</f>
        <v>1269</v>
      </c>
      <c r="E14" s="90">
        <f>VLOOKUP($A14,'0.Productos'!$A$3:$GG$65,'0.Productos'!FF$1+1,0)</f>
        <v>611</v>
      </c>
      <c r="F14" s="90">
        <f>VLOOKUP($A14,'0.Productos'!$A$3:$GG$65,'0.Productos'!FG$1+1,0)</f>
        <v>1149</v>
      </c>
      <c r="G14" s="90">
        <f>VLOOKUP($A14,'0.Productos'!$A$3:$GG$65,'0.Productos'!FH$1+1,0)</f>
        <v>500</v>
      </c>
      <c r="H14" s="90">
        <f>VLOOKUP($A14,'0.Productos'!$A$3:$GG$65,'0.Productos'!FI$1+1,0)</f>
        <v>1040</v>
      </c>
      <c r="I14" s="90">
        <f>VLOOKUP($A14,'0.Productos'!$A$3:$GG$65,'0.Productos'!FJ$1+1,0)</f>
        <v>2004</v>
      </c>
      <c r="J14" s="90">
        <f>VLOOKUP($A14,'0.Productos'!$A$3:$GG$65,'0.Productos'!FK$1+1,0)</f>
        <v>1362</v>
      </c>
      <c r="K14" s="90">
        <f>VLOOKUP($A14,'0.Productos'!$A$3:$GG$65,'0.Productos'!FL$1+1,0)</f>
        <v>391</v>
      </c>
      <c r="L14" s="90" t="str">
        <f>VLOOKUP($A14,'0.Productos'!$A$3:$GG$65,'0.Productos'!FM$1+1,0)</f>
        <v>SI</v>
      </c>
      <c r="M14" s="90" t="str">
        <f>VLOOKUP($A14,'0.Productos'!$A$3:$GG$65,'0.Productos'!FN$1+1,0)</f>
        <v>SI</v>
      </c>
      <c r="N14" s="90" t="str">
        <f>VLOOKUP($A14,'0.Productos'!$A$3:$GG$65,'0.Productos'!FO$1+1,0)</f>
        <v>NO</v>
      </c>
      <c r="O14" s="90" t="str">
        <f>VLOOKUP($A14,'0.Productos'!$A$3:$GG$65,'0.Productos'!FP$1+1,0)</f>
        <v>NO</v>
      </c>
      <c r="P14" s="90" t="str">
        <f>VLOOKUP($A14,'0.Productos'!$A$3:$GG$65,'0.Productos'!FQ$1+1,0)</f>
        <v>SI</v>
      </c>
      <c r="Q14" s="51">
        <f t="shared" si="0"/>
        <v>1229.5</v>
      </c>
      <c r="R14" s="51">
        <f t="shared" si="1"/>
        <v>3</v>
      </c>
      <c r="S14" s="110">
        <f t="shared" si="2"/>
        <v>2.786035521000076</v>
      </c>
      <c r="T14" s="51">
        <f t="shared" si="3"/>
        <v>0</v>
      </c>
      <c r="U14" s="51">
        <f t="shared" si="4"/>
        <v>1880</v>
      </c>
      <c r="V14" s="51">
        <f t="shared" si="5"/>
        <v>0</v>
      </c>
      <c r="W14" s="51">
        <f t="shared" si="6"/>
        <v>3044</v>
      </c>
      <c r="X14" s="51">
        <f t="shared" si="7"/>
        <v>0</v>
      </c>
      <c r="Y14" s="51">
        <f t="shared" si="8"/>
        <v>0</v>
      </c>
      <c r="Z14" s="51">
        <f t="shared" si="9"/>
        <v>0</v>
      </c>
      <c r="AA14" s="51">
        <f t="shared" si="10"/>
        <v>0</v>
      </c>
      <c r="AB14" s="51">
        <f t="shared" si="11"/>
        <v>0</v>
      </c>
      <c r="AC14" s="51">
        <f t="shared" si="12"/>
        <v>0</v>
      </c>
      <c r="AD14" s="51">
        <f t="shared" si="13"/>
        <v>1</v>
      </c>
      <c r="AE14" s="51">
        <f t="shared" si="14"/>
        <v>4924</v>
      </c>
      <c r="AF14" s="51">
        <f t="shared" si="15"/>
        <v>0.5</v>
      </c>
      <c r="AG14" s="51">
        <f t="shared" si="16"/>
        <v>4.6235121614628252</v>
      </c>
      <c r="AH14" s="67">
        <f t="shared" si="17"/>
        <v>4.4387295872444383</v>
      </c>
      <c r="AI14" s="90" t="str">
        <f>VLOOKUP($A14,'0.Productos'!$A$3:$GG$65,'0.Productos'!FR$1+1,0)</f>
        <v>SI</v>
      </c>
      <c r="AJ14" s="90">
        <f>VLOOKUP($A14,'0.Productos'!$A$3:$GG$65,'0.Productos'!FS$1+1,0)</f>
        <v>280</v>
      </c>
      <c r="AK14" s="112">
        <v>2500</v>
      </c>
      <c r="AL14" s="111">
        <f t="shared" si="18"/>
        <v>280</v>
      </c>
      <c r="AM14" s="67">
        <f t="shared" si="19"/>
        <v>1.9635343618513323</v>
      </c>
      <c r="AN14" s="57">
        <v>0</v>
      </c>
      <c r="AO14" s="57">
        <v>700</v>
      </c>
      <c r="AP14" s="57">
        <v>0</v>
      </c>
      <c r="AQ14" s="57">
        <v>500</v>
      </c>
      <c r="AR14" s="57">
        <v>200</v>
      </c>
      <c r="AS14" s="57">
        <v>900</v>
      </c>
      <c r="AT14" s="51" t="str">
        <f t="shared" si="20"/>
        <v/>
      </c>
      <c r="AU14" s="51">
        <f t="shared" si="21"/>
        <v>700</v>
      </c>
      <c r="AV14" s="51" t="str">
        <f t="shared" si="22"/>
        <v/>
      </c>
      <c r="AW14" s="51">
        <f t="shared" si="23"/>
        <v>500</v>
      </c>
      <c r="AX14" s="51" t="str">
        <f t="shared" si="24"/>
        <v/>
      </c>
      <c r="AY14" s="51" t="str">
        <f t="shared" si="25"/>
        <v/>
      </c>
      <c r="AZ14" s="110">
        <f t="shared" si="26"/>
        <v>700</v>
      </c>
      <c r="BA14" s="67">
        <f t="shared" si="27"/>
        <v>0</v>
      </c>
      <c r="BC14" s="20" t="str">
        <f>IF(LEFT(A14,7)='0.User'!$AC$3,"SI","NO")</f>
        <v>NO</v>
      </c>
      <c r="BD14" s="20" t="str">
        <f>IF(LEFT(A14,7)='0.User'!$AC$3,"SI","NO")</f>
        <v>NO</v>
      </c>
      <c r="BE14" s="20" t="str">
        <f>IF(LEFT(A14,7)='0.User'!$AC$3,"SI","NO")</f>
        <v>NO</v>
      </c>
    </row>
    <row r="15" spans="1:59" x14ac:dyDescent="0.25">
      <c r="A15" t="str">
        <f>'0.Consolidado general'!$A7</f>
        <v>E001002021003</v>
      </c>
      <c r="B15" s="90">
        <f>VLOOKUP($A15,'0.Productos'!$A$3:$GG$65,'0.Productos'!FC$1+1,0)</f>
        <v>1343</v>
      </c>
      <c r="C15" s="90">
        <f>VLOOKUP($A15,'0.Productos'!$A$3:$GG$65,'0.Productos'!FD$1+1,0)</f>
        <v>1354</v>
      </c>
      <c r="D15" s="90">
        <f>VLOOKUP($A15,'0.Productos'!$A$3:$GG$65,'0.Productos'!FE$1+1,0)</f>
        <v>1191</v>
      </c>
      <c r="E15" s="90">
        <f>VLOOKUP($A15,'0.Productos'!$A$3:$GG$65,'0.Productos'!FF$1+1,0)</f>
        <v>1001</v>
      </c>
      <c r="F15" s="90">
        <f>VLOOKUP($A15,'0.Productos'!$A$3:$GG$65,'0.Productos'!FG$1+1,0)</f>
        <v>2188</v>
      </c>
      <c r="G15" s="90">
        <f>VLOOKUP($A15,'0.Productos'!$A$3:$GG$65,'0.Productos'!FH$1+1,0)</f>
        <v>1065</v>
      </c>
      <c r="H15" s="90">
        <f>VLOOKUP($A15,'0.Productos'!$A$3:$GG$65,'0.Productos'!FI$1+1,0)</f>
        <v>1786</v>
      </c>
      <c r="I15" s="90">
        <f>VLOOKUP($A15,'0.Productos'!$A$3:$GG$65,'0.Productos'!FJ$1+1,0)</f>
        <v>1519</v>
      </c>
      <c r="J15" s="90">
        <f>VLOOKUP($A15,'0.Productos'!$A$3:$GG$65,'0.Productos'!FK$1+1,0)</f>
        <v>1937</v>
      </c>
      <c r="K15" s="90">
        <f>VLOOKUP($A15,'0.Productos'!$A$3:$GG$65,'0.Productos'!FL$1+1,0)</f>
        <v>1235</v>
      </c>
      <c r="L15" s="90" t="str">
        <f>VLOOKUP($A15,'0.Productos'!$A$3:$GG$65,'0.Productos'!FM$1+1,0)</f>
        <v>NO</v>
      </c>
      <c r="M15" s="90" t="str">
        <f>VLOOKUP($A15,'0.Productos'!$A$3:$GG$65,'0.Productos'!FN$1+1,0)</f>
        <v>NO</v>
      </c>
      <c r="N15" s="90" t="str">
        <f>VLOOKUP($A15,'0.Productos'!$A$3:$GG$65,'0.Productos'!FO$1+1,0)</f>
        <v>SI</v>
      </c>
      <c r="O15" s="90" t="str">
        <f>VLOOKUP($A15,'0.Productos'!$A$3:$GG$65,'0.Productos'!FP$1+1,0)</f>
        <v>NO</v>
      </c>
      <c r="P15" s="90" t="str">
        <f>VLOOKUP($A15,'0.Productos'!$A$3:$GG$65,'0.Productos'!FQ$1+1,0)</f>
        <v>NO</v>
      </c>
      <c r="Q15" s="51">
        <f t="shared" si="0"/>
        <v>1461.9</v>
      </c>
      <c r="R15" s="51">
        <f t="shared" si="1"/>
        <v>1</v>
      </c>
      <c r="S15" s="110">
        <f t="shared" si="2"/>
        <v>2.4479762176995199</v>
      </c>
      <c r="T15" s="51">
        <f t="shared" si="3"/>
        <v>0</v>
      </c>
      <c r="U15" s="51">
        <f t="shared" si="4"/>
        <v>2192</v>
      </c>
      <c r="V15" s="51">
        <f t="shared" si="5"/>
        <v>0</v>
      </c>
      <c r="W15" s="51">
        <f t="shared" si="6"/>
        <v>3305</v>
      </c>
      <c r="X15" s="51">
        <f t="shared" si="7"/>
        <v>0</v>
      </c>
      <c r="Y15" s="51">
        <f t="shared" si="8"/>
        <v>0</v>
      </c>
      <c r="Z15" s="51">
        <f t="shared" si="9"/>
        <v>0</v>
      </c>
      <c r="AA15" s="51">
        <f t="shared" si="10"/>
        <v>0</v>
      </c>
      <c r="AB15" s="51">
        <f t="shared" si="11"/>
        <v>0</v>
      </c>
      <c r="AC15" s="51">
        <f t="shared" si="12"/>
        <v>0</v>
      </c>
      <c r="AD15" s="51">
        <f t="shared" si="13"/>
        <v>0</v>
      </c>
      <c r="AE15" s="51">
        <f t="shared" si="14"/>
        <v>5497</v>
      </c>
      <c r="AF15" s="51">
        <f t="shared" si="15"/>
        <v>0</v>
      </c>
      <c r="AG15" s="51">
        <f t="shared" si="16"/>
        <v>2.3706227358978782</v>
      </c>
      <c r="AH15" s="67">
        <f t="shared" si="17"/>
        <v>1.0801080108010801</v>
      </c>
      <c r="AI15" s="90" t="str">
        <f>VLOOKUP($A15,'0.Productos'!$A$3:$GG$65,'0.Productos'!FR$1+1,0)</f>
        <v>NO</v>
      </c>
      <c r="AJ15" s="90">
        <f>VLOOKUP($A15,'0.Productos'!$A$3:$GG$65,'0.Productos'!FS$1+1,0)</f>
        <v>0</v>
      </c>
      <c r="AK15" s="112">
        <v>8000</v>
      </c>
      <c r="AL15" s="111">
        <f t="shared" si="18"/>
        <v>0</v>
      </c>
      <c r="AM15" s="67">
        <f t="shared" si="19"/>
        <v>0</v>
      </c>
      <c r="AN15" s="57">
        <v>700</v>
      </c>
      <c r="AO15" s="57">
        <v>600</v>
      </c>
      <c r="AP15" s="57">
        <v>600</v>
      </c>
      <c r="AQ15" s="57">
        <v>1400</v>
      </c>
      <c r="AR15" s="57">
        <v>1700</v>
      </c>
      <c r="AS15" s="57">
        <v>1400</v>
      </c>
      <c r="AT15" s="51" t="str">
        <f t="shared" si="20"/>
        <v/>
      </c>
      <c r="AU15" s="51">
        <f t="shared" si="21"/>
        <v>600</v>
      </c>
      <c r="AV15" s="51" t="str">
        <f t="shared" si="22"/>
        <v/>
      </c>
      <c r="AW15" s="51">
        <f t="shared" si="23"/>
        <v>1400</v>
      </c>
      <c r="AX15" s="51" t="str">
        <f t="shared" si="24"/>
        <v/>
      </c>
      <c r="AY15" s="51" t="str">
        <f t="shared" si="25"/>
        <v/>
      </c>
      <c r="AZ15" s="110">
        <f t="shared" si="26"/>
        <v>1400</v>
      </c>
      <c r="BA15" s="67">
        <f t="shared" si="27"/>
        <v>2.6923076923076925</v>
      </c>
      <c r="BC15" s="20" t="str">
        <f>IF(LEFT(A15,7)='0.User'!$AC$3,"SI","NO")</f>
        <v>NO</v>
      </c>
      <c r="BD15" s="20" t="str">
        <f>IF(LEFT(A15,7)='0.User'!$AC$3,"SI","NO")</f>
        <v>NO</v>
      </c>
      <c r="BE15" s="20" t="str">
        <f>IF(LEFT(A15,7)='0.User'!$AC$3,"SI","NO")</f>
        <v>NO</v>
      </c>
      <c r="BG15" s="113" t="s">
        <v>323</v>
      </c>
    </row>
    <row r="16" spans="1:59" x14ac:dyDescent="0.25">
      <c r="A16" t="str">
        <f>'0.Consolidado general'!$A8</f>
        <v>E001002021004</v>
      </c>
      <c r="B16" s="90">
        <f>VLOOKUP($A16,'0.Productos'!$A$3:$GG$65,'0.Productos'!FC$1+1,0)</f>
        <v>1937</v>
      </c>
      <c r="C16" s="90">
        <f>VLOOKUP($A16,'0.Productos'!$A$3:$GG$65,'0.Productos'!FD$1+1,0)</f>
        <v>1916</v>
      </c>
      <c r="D16" s="90">
        <f>VLOOKUP($A16,'0.Productos'!$A$3:$GG$65,'0.Productos'!FE$1+1,0)</f>
        <v>1924</v>
      </c>
      <c r="E16" s="90">
        <f>VLOOKUP($A16,'0.Productos'!$A$3:$GG$65,'0.Productos'!FF$1+1,0)</f>
        <v>586</v>
      </c>
      <c r="F16" s="90">
        <f>VLOOKUP($A16,'0.Productos'!$A$3:$GG$65,'0.Productos'!FG$1+1,0)</f>
        <v>234</v>
      </c>
      <c r="G16" s="90">
        <f>VLOOKUP($A16,'0.Productos'!$A$3:$GG$65,'0.Productos'!FH$1+1,0)</f>
        <v>793</v>
      </c>
      <c r="H16" s="90">
        <f>VLOOKUP($A16,'0.Productos'!$A$3:$GG$65,'0.Productos'!FI$1+1,0)</f>
        <v>504</v>
      </c>
      <c r="I16" s="90">
        <f>VLOOKUP($A16,'0.Productos'!$A$3:$GG$65,'0.Productos'!FJ$1+1,0)</f>
        <v>2287</v>
      </c>
      <c r="J16" s="90">
        <f>VLOOKUP($A16,'0.Productos'!$A$3:$GG$65,'0.Productos'!FK$1+1,0)</f>
        <v>2066</v>
      </c>
      <c r="K16" s="90">
        <f>VLOOKUP($A16,'0.Productos'!$A$3:$GG$65,'0.Productos'!FL$1+1,0)</f>
        <v>2123</v>
      </c>
      <c r="L16" s="90" t="str">
        <f>VLOOKUP($A16,'0.Productos'!$A$3:$GG$65,'0.Productos'!FM$1+1,0)</f>
        <v>NO</v>
      </c>
      <c r="M16" s="90" t="str">
        <f>VLOOKUP($A16,'0.Productos'!$A$3:$GG$65,'0.Productos'!FN$1+1,0)</f>
        <v>SI</v>
      </c>
      <c r="N16" s="90" t="str">
        <f>VLOOKUP($A16,'0.Productos'!$A$3:$GG$65,'0.Productos'!FO$1+1,0)</f>
        <v>SI</v>
      </c>
      <c r="O16" s="90" t="str">
        <f>VLOOKUP($A16,'0.Productos'!$A$3:$GG$65,'0.Productos'!FP$1+1,0)</f>
        <v>NO</v>
      </c>
      <c r="P16" s="90" t="str">
        <f>VLOOKUP($A16,'0.Productos'!$A$3:$GG$65,'0.Productos'!FQ$1+1,0)</f>
        <v>SI</v>
      </c>
      <c r="Q16" s="51">
        <f t="shared" si="0"/>
        <v>1437</v>
      </c>
      <c r="R16" s="51">
        <f t="shared" si="1"/>
        <v>3</v>
      </c>
      <c r="S16" s="110">
        <f t="shared" si="2"/>
        <v>3.9722920954341037</v>
      </c>
      <c r="T16" s="51">
        <f t="shared" si="3"/>
        <v>0</v>
      </c>
      <c r="U16" s="51">
        <f t="shared" si="4"/>
        <v>2510</v>
      </c>
      <c r="V16" s="51">
        <f t="shared" si="5"/>
        <v>0</v>
      </c>
      <c r="W16" s="51">
        <f t="shared" si="6"/>
        <v>2791</v>
      </c>
      <c r="X16" s="51">
        <f t="shared" si="7"/>
        <v>0</v>
      </c>
      <c r="Y16" s="51">
        <f t="shared" si="8"/>
        <v>0</v>
      </c>
      <c r="Z16" s="51">
        <f t="shared" si="9"/>
        <v>0</v>
      </c>
      <c r="AA16" s="51">
        <f t="shared" si="10"/>
        <v>0</v>
      </c>
      <c r="AB16" s="51">
        <f t="shared" si="11"/>
        <v>0</v>
      </c>
      <c r="AC16" s="51">
        <f t="shared" si="12"/>
        <v>0</v>
      </c>
      <c r="AD16" s="51">
        <f t="shared" si="13"/>
        <v>1</v>
      </c>
      <c r="AE16" s="51">
        <f t="shared" si="14"/>
        <v>5301</v>
      </c>
      <c r="AF16" s="51">
        <f t="shared" si="15"/>
        <v>0.5</v>
      </c>
      <c r="AG16" s="51">
        <f t="shared" si="16"/>
        <v>4.786096256684492</v>
      </c>
      <c r="AH16" s="67">
        <f t="shared" si="17"/>
        <v>4.6811109682396816</v>
      </c>
      <c r="AI16" s="90" t="str">
        <f>VLOOKUP($A16,'0.Productos'!$A$3:$GG$65,'0.Productos'!FR$1+1,0)</f>
        <v>SI</v>
      </c>
      <c r="AJ16" s="90">
        <f>VLOOKUP($A16,'0.Productos'!$A$3:$GG$65,'0.Productos'!FS$1+1,0)</f>
        <v>103</v>
      </c>
      <c r="AK16" s="112"/>
      <c r="AL16" s="111">
        <f t="shared" si="18"/>
        <v>103</v>
      </c>
      <c r="AM16" s="67">
        <f t="shared" si="19"/>
        <v>0.72230014025245437</v>
      </c>
      <c r="AN16" s="57">
        <v>2000</v>
      </c>
      <c r="AO16" s="57">
        <v>1600</v>
      </c>
      <c r="AP16" s="57">
        <v>1600</v>
      </c>
      <c r="AQ16" s="57">
        <v>600</v>
      </c>
      <c r="AR16" s="57">
        <v>1600</v>
      </c>
      <c r="AS16" s="57">
        <v>600</v>
      </c>
      <c r="AT16" s="51" t="str">
        <f t="shared" si="20"/>
        <v/>
      </c>
      <c r="AU16" s="51">
        <f t="shared" si="21"/>
        <v>1600</v>
      </c>
      <c r="AV16" s="51" t="str">
        <f t="shared" si="22"/>
        <v/>
      </c>
      <c r="AW16" s="51">
        <f t="shared" si="23"/>
        <v>600</v>
      </c>
      <c r="AX16" s="51" t="str">
        <f t="shared" si="24"/>
        <v/>
      </c>
      <c r="AY16" s="51" t="str">
        <f t="shared" si="25"/>
        <v/>
      </c>
      <c r="AZ16" s="110">
        <f t="shared" si="26"/>
        <v>1600</v>
      </c>
      <c r="BA16" s="67">
        <f t="shared" si="27"/>
        <v>3.4615384615384617</v>
      </c>
      <c r="BC16" s="20" t="str">
        <f>IF(LEFT(A16,7)='0.User'!$AC$3,"SI","NO")</f>
        <v>NO</v>
      </c>
      <c r="BD16" s="20" t="str">
        <f>IF(LEFT(A16,7)='0.User'!$AC$3,"SI","NO")</f>
        <v>NO</v>
      </c>
      <c r="BE16" s="20" t="str">
        <f>IF(LEFT(A16,7)='0.User'!$AC$3,"SI","NO")</f>
        <v>NO</v>
      </c>
    </row>
    <row r="17" spans="1:57" x14ac:dyDescent="0.25">
      <c r="A17" t="str">
        <f>'0.Consolidado general'!$A9</f>
        <v>E001013021001</v>
      </c>
      <c r="B17" s="90">
        <f>VLOOKUP($A17,'0.Productos'!$A$3:$GG$65,'0.Productos'!FC$1+1,0)</f>
        <v>1236</v>
      </c>
      <c r="C17" s="90">
        <f>VLOOKUP($A17,'0.Productos'!$A$3:$GG$65,'0.Productos'!FD$1+1,0)</f>
        <v>1794</v>
      </c>
      <c r="D17" s="90">
        <f>VLOOKUP($A17,'0.Productos'!$A$3:$GG$65,'0.Productos'!FE$1+1,0)</f>
        <v>1628</v>
      </c>
      <c r="E17" s="90">
        <f>VLOOKUP($A17,'0.Productos'!$A$3:$GG$65,'0.Productos'!FF$1+1,0)</f>
        <v>330</v>
      </c>
      <c r="F17" s="90">
        <f>VLOOKUP($A17,'0.Productos'!$A$3:$GG$65,'0.Productos'!FG$1+1,0)</f>
        <v>741</v>
      </c>
      <c r="G17" s="90">
        <f>VLOOKUP($A17,'0.Productos'!$A$3:$GG$65,'0.Productos'!FH$1+1,0)</f>
        <v>847</v>
      </c>
      <c r="H17" s="90">
        <f>VLOOKUP($A17,'0.Productos'!$A$3:$GG$65,'0.Productos'!FI$1+1,0)</f>
        <v>211</v>
      </c>
      <c r="I17" s="90">
        <f>VLOOKUP($A17,'0.Productos'!$A$3:$GG$65,'0.Productos'!FJ$1+1,0)</f>
        <v>1340</v>
      </c>
      <c r="J17" s="90">
        <f>VLOOKUP($A17,'0.Productos'!$A$3:$GG$65,'0.Productos'!FK$1+1,0)</f>
        <v>1183</v>
      </c>
      <c r="K17" s="90">
        <f>VLOOKUP($A17,'0.Productos'!$A$3:$GG$65,'0.Productos'!FL$1+1,0)</f>
        <v>1507</v>
      </c>
      <c r="L17" s="90" t="str">
        <f>VLOOKUP($A17,'0.Productos'!$A$3:$GG$65,'0.Productos'!FM$1+1,0)</f>
        <v>SI</v>
      </c>
      <c r="M17" s="90" t="str">
        <f>VLOOKUP($A17,'0.Productos'!$A$3:$GG$65,'0.Productos'!FN$1+1,0)</f>
        <v>SI</v>
      </c>
      <c r="N17" s="90" t="str">
        <f>VLOOKUP($A17,'0.Productos'!$A$3:$GG$65,'0.Productos'!FO$1+1,0)</f>
        <v>SI</v>
      </c>
      <c r="O17" s="90" t="str">
        <f>VLOOKUP($A17,'0.Productos'!$A$3:$GG$65,'0.Productos'!FP$1+1,0)</f>
        <v>NO</v>
      </c>
      <c r="P17" s="90" t="str">
        <f>VLOOKUP($A17,'0.Productos'!$A$3:$GG$65,'0.Productos'!FQ$1+1,0)</f>
        <v>SI</v>
      </c>
      <c r="Q17" s="51">
        <f t="shared" si="0"/>
        <v>1081.7</v>
      </c>
      <c r="R17" s="51">
        <f t="shared" si="1"/>
        <v>4</v>
      </c>
      <c r="S17" s="110">
        <f t="shared" si="2"/>
        <v>2.7744111593871486</v>
      </c>
      <c r="T17" s="51">
        <f t="shared" si="3"/>
        <v>0</v>
      </c>
      <c r="U17" s="51">
        <f t="shared" si="4"/>
        <v>1958</v>
      </c>
      <c r="V17" s="51">
        <f t="shared" si="5"/>
        <v>0</v>
      </c>
      <c r="W17" s="51">
        <f t="shared" si="6"/>
        <v>1551</v>
      </c>
      <c r="X17" s="51">
        <f t="shared" si="7"/>
        <v>0</v>
      </c>
      <c r="Y17" s="51">
        <f t="shared" si="8"/>
        <v>0</v>
      </c>
      <c r="Z17" s="51">
        <f t="shared" si="9"/>
        <v>0</v>
      </c>
      <c r="AA17" s="51">
        <f t="shared" si="10"/>
        <v>0</v>
      </c>
      <c r="AB17" s="51">
        <f t="shared" si="11"/>
        <v>0</v>
      </c>
      <c r="AC17" s="51">
        <f t="shared" si="12"/>
        <v>0</v>
      </c>
      <c r="AD17" s="51">
        <f t="shared" si="13"/>
        <v>1</v>
      </c>
      <c r="AE17" s="51">
        <f t="shared" si="14"/>
        <v>3509</v>
      </c>
      <c r="AF17" s="51">
        <f t="shared" si="15"/>
        <v>0.5</v>
      </c>
      <c r="AG17" s="51">
        <f t="shared" si="16"/>
        <v>4.0132827324478182</v>
      </c>
      <c r="AH17" s="67">
        <f t="shared" si="17"/>
        <v>3.5289957567185293</v>
      </c>
      <c r="AI17" s="90" t="str">
        <f>VLOOKUP($A17,'0.Productos'!$A$3:$GG$65,'0.Productos'!FR$1+1,0)</f>
        <v>NO</v>
      </c>
      <c r="AJ17" s="90">
        <f>VLOOKUP($A17,'0.Productos'!$A$3:$GG$65,'0.Productos'!FS$1+1,0)</f>
        <v>0</v>
      </c>
      <c r="AK17" s="112">
        <v>4000</v>
      </c>
      <c r="AL17" s="111">
        <f t="shared" si="18"/>
        <v>0</v>
      </c>
      <c r="AM17" s="67">
        <f t="shared" si="19"/>
        <v>0</v>
      </c>
      <c r="AN17" s="57">
        <v>700</v>
      </c>
      <c r="AO17" s="57">
        <v>1600</v>
      </c>
      <c r="AP17" s="57">
        <v>1400</v>
      </c>
      <c r="AQ17" s="57">
        <v>600</v>
      </c>
      <c r="AR17" s="57">
        <v>1200</v>
      </c>
      <c r="AS17" s="57">
        <v>400</v>
      </c>
      <c r="AT17" s="51" t="str">
        <f t="shared" si="20"/>
        <v/>
      </c>
      <c r="AU17" s="51">
        <f t="shared" si="21"/>
        <v>1600</v>
      </c>
      <c r="AV17" s="51" t="str">
        <f t="shared" si="22"/>
        <v/>
      </c>
      <c r="AW17" s="51">
        <f t="shared" si="23"/>
        <v>600</v>
      </c>
      <c r="AX17" s="51" t="str">
        <f t="shared" si="24"/>
        <v/>
      </c>
      <c r="AY17" s="51" t="str">
        <f t="shared" si="25"/>
        <v/>
      </c>
      <c r="AZ17" s="110">
        <f t="shared" si="26"/>
        <v>1600</v>
      </c>
      <c r="BA17" s="67">
        <f t="shared" si="27"/>
        <v>3.4615384615384617</v>
      </c>
      <c r="BC17" s="20" t="str">
        <f>IF(LEFT(A17,7)='0.User'!$AC$3,"SI","NO")</f>
        <v>NO</v>
      </c>
      <c r="BD17" s="20" t="str">
        <f>IF(LEFT(A17,7)='0.User'!$AC$3,"SI","NO")</f>
        <v>NO</v>
      </c>
      <c r="BE17" s="20" t="str">
        <f>IF(LEFT(A17,7)='0.User'!$AC$3,"SI","NO")</f>
        <v>NO</v>
      </c>
    </row>
    <row r="18" spans="1:57" x14ac:dyDescent="0.25">
      <c r="A18" t="str">
        <f>'0.Consolidado general'!$A10</f>
        <v>E001013021002</v>
      </c>
      <c r="B18" s="90">
        <f>VLOOKUP($A18,'0.Productos'!$A$3:$GG$65,'0.Productos'!FC$1+1,0)</f>
        <v>1454</v>
      </c>
      <c r="C18" s="90">
        <f>VLOOKUP($A18,'0.Productos'!$A$3:$GG$65,'0.Productos'!FD$1+1,0)</f>
        <v>1011</v>
      </c>
      <c r="D18" s="90">
        <f>VLOOKUP($A18,'0.Productos'!$A$3:$GG$65,'0.Productos'!FE$1+1,0)</f>
        <v>1265</v>
      </c>
      <c r="E18" s="90">
        <f>VLOOKUP($A18,'0.Productos'!$A$3:$GG$65,'0.Productos'!FF$1+1,0)</f>
        <v>1881</v>
      </c>
      <c r="F18" s="90">
        <f>VLOOKUP($A18,'0.Productos'!$A$3:$GG$65,'0.Productos'!FG$1+1,0)</f>
        <v>1055</v>
      </c>
      <c r="G18" s="90">
        <f>VLOOKUP($A18,'0.Productos'!$A$3:$GG$65,'0.Productos'!FH$1+1,0)</f>
        <v>1262</v>
      </c>
      <c r="H18" s="90">
        <f>VLOOKUP($A18,'0.Productos'!$A$3:$GG$65,'0.Productos'!FI$1+1,0)</f>
        <v>431</v>
      </c>
      <c r="I18" s="90">
        <f>VLOOKUP($A18,'0.Productos'!$A$3:$GG$65,'0.Productos'!FJ$1+1,0)</f>
        <v>802</v>
      </c>
      <c r="J18" s="90">
        <f>VLOOKUP($A18,'0.Productos'!$A$3:$GG$65,'0.Productos'!FK$1+1,0)</f>
        <v>1708</v>
      </c>
      <c r="K18" s="90">
        <f>VLOOKUP($A18,'0.Productos'!$A$3:$GG$65,'0.Productos'!FL$1+1,0)</f>
        <v>2019</v>
      </c>
      <c r="L18" s="90" t="str">
        <f>VLOOKUP($A18,'0.Productos'!$A$3:$GG$65,'0.Productos'!FM$1+1,0)</f>
        <v>SI</v>
      </c>
      <c r="M18" s="90" t="str">
        <f>VLOOKUP($A18,'0.Productos'!$A$3:$GG$65,'0.Productos'!FN$1+1,0)</f>
        <v>SI</v>
      </c>
      <c r="N18" s="90" t="str">
        <f>VLOOKUP($A18,'0.Productos'!$A$3:$GG$65,'0.Productos'!FO$1+1,0)</f>
        <v>SI</v>
      </c>
      <c r="O18" s="90" t="str">
        <f>VLOOKUP($A18,'0.Productos'!$A$3:$GG$65,'0.Productos'!FP$1+1,0)</f>
        <v>NO</v>
      </c>
      <c r="P18" s="90" t="str">
        <f>VLOOKUP($A18,'0.Productos'!$A$3:$GG$65,'0.Productos'!FQ$1+1,0)</f>
        <v>NO</v>
      </c>
      <c r="Q18" s="51">
        <f t="shared" si="0"/>
        <v>1288.8</v>
      </c>
      <c r="R18" s="51">
        <f t="shared" si="1"/>
        <v>3</v>
      </c>
      <c r="S18" s="110">
        <f t="shared" si="2"/>
        <v>3.1250476408262822</v>
      </c>
      <c r="T18" s="51">
        <f t="shared" si="3"/>
        <v>0</v>
      </c>
      <c r="U18" s="51">
        <f t="shared" si="4"/>
        <v>3146</v>
      </c>
      <c r="V18" s="51">
        <f t="shared" si="5"/>
        <v>0</v>
      </c>
      <c r="W18" s="51">
        <f t="shared" si="6"/>
        <v>1233</v>
      </c>
      <c r="X18" s="51">
        <f t="shared" si="7"/>
        <v>0</v>
      </c>
      <c r="Y18" s="51">
        <f t="shared" si="8"/>
        <v>0</v>
      </c>
      <c r="Z18" s="51">
        <f t="shared" si="9"/>
        <v>0</v>
      </c>
      <c r="AA18" s="51">
        <f t="shared" si="10"/>
        <v>0</v>
      </c>
      <c r="AB18" s="51">
        <f t="shared" si="11"/>
        <v>0</v>
      </c>
      <c r="AC18" s="51">
        <f t="shared" si="12"/>
        <v>0</v>
      </c>
      <c r="AD18" s="51">
        <f t="shared" si="13"/>
        <v>0</v>
      </c>
      <c r="AE18" s="51">
        <f t="shared" si="14"/>
        <v>4379</v>
      </c>
      <c r="AF18" s="51">
        <f t="shared" si="15"/>
        <v>0</v>
      </c>
      <c r="AG18" s="51">
        <f t="shared" si="16"/>
        <v>1.888476798343971</v>
      </c>
      <c r="AH18" s="67">
        <f t="shared" si="17"/>
        <v>0.36132184647036142</v>
      </c>
      <c r="AI18" s="90" t="str">
        <f>VLOOKUP($A18,'0.Productos'!$A$3:$GG$65,'0.Productos'!FR$1+1,0)</f>
        <v>SI</v>
      </c>
      <c r="AJ18" s="90">
        <f>VLOOKUP($A18,'0.Productos'!$A$3:$GG$65,'0.Productos'!FS$1+1,0)</f>
        <v>29</v>
      </c>
      <c r="AK18" s="112"/>
      <c r="AL18" s="111">
        <f t="shared" si="18"/>
        <v>29</v>
      </c>
      <c r="AM18" s="67">
        <f t="shared" si="19"/>
        <v>0.20336605890603085</v>
      </c>
      <c r="AN18" s="57">
        <v>900</v>
      </c>
      <c r="AO18" s="57">
        <v>1500</v>
      </c>
      <c r="AP18" s="57">
        <v>1100</v>
      </c>
      <c r="AQ18" s="57">
        <v>1600</v>
      </c>
      <c r="AR18" s="57">
        <v>800</v>
      </c>
      <c r="AS18" s="57">
        <v>500</v>
      </c>
      <c r="AT18" s="51" t="str">
        <f t="shared" si="20"/>
        <v/>
      </c>
      <c r="AU18" s="51">
        <f t="shared" si="21"/>
        <v>1500</v>
      </c>
      <c r="AV18" s="51" t="str">
        <f t="shared" si="22"/>
        <v/>
      </c>
      <c r="AW18" s="51">
        <f t="shared" si="23"/>
        <v>1600</v>
      </c>
      <c r="AX18" s="51" t="str">
        <f t="shared" si="24"/>
        <v/>
      </c>
      <c r="AY18" s="51" t="str">
        <f t="shared" si="25"/>
        <v/>
      </c>
      <c r="AZ18" s="110">
        <f t="shared" si="26"/>
        <v>1600</v>
      </c>
      <c r="BA18" s="67">
        <f t="shared" si="27"/>
        <v>3.4615384615384617</v>
      </c>
      <c r="BC18" s="20" t="str">
        <f>IF(LEFT(A18,7)='0.User'!$AC$3,"SI","NO")</f>
        <v>NO</v>
      </c>
      <c r="BD18" s="20" t="str">
        <f>IF(LEFT(A18,7)='0.User'!$AC$3,"SI","NO")</f>
        <v>NO</v>
      </c>
      <c r="BE18" s="20" t="str">
        <f>IF(LEFT(A18,7)='0.User'!$AC$3,"SI","NO")</f>
        <v>NO</v>
      </c>
    </row>
    <row r="19" spans="1:57" x14ac:dyDescent="0.25">
      <c r="A19" t="str">
        <f>'0.Consolidado general'!$A11</f>
        <v>E001013021003</v>
      </c>
      <c r="B19" s="90">
        <f>VLOOKUP($A19,'0.Productos'!$A$3:$GG$65,'0.Productos'!FC$1+1,0)</f>
        <v>2042</v>
      </c>
      <c r="C19" s="90">
        <f>VLOOKUP($A19,'0.Productos'!$A$3:$GG$65,'0.Productos'!FD$1+1,0)</f>
        <v>1150</v>
      </c>
      <c r="D19" s="90">
        <f>VLOOKUP($A19,'0.Productos'!$A$3:$GG$65,'0.Productos'!FE$1+1,0)</f>
        <v>395</v>
      </c>
      <c r="E19" s="90">
        <f>VLOOKUP($A19,'0.Productos'!$A$3:$GG$65,'0.Productos'!FF$1+1,0)</f>
        <v>2165</v>
      </c>
      <c r="F19" s="90">
        <f>VLOOKUP($A19,'0.Productos'!$A$3:$GG$65,'0.Productos'!FG$1+1,0)</f>
        <v>1334</v>
      </c>
      <c r="G19" s="90">
        <f>VLOOKUP($A19,'0.Productos'!$A$3:$GG$65,'0.Productos'!FH$1+1,0)</f>
        <v>930</v>
      </c>
      <c r="H19" s="90">
        <f>VLOOKUP($A19,'0.Productos'!$A$3:$GG$65,'0.Productos'!FI$1+1,0)</f>
        <v>1098</v>
      </c>
      <c r="I19" s="90">
        <f>VLOOKUP($A19,'0.Productos'!$A$3:$GG$65,'0.Productos'!FJ$1+1,0)</f>
        <v>1459</v>
      </c>
      <c r="J19" s="90">
        <f>VLOOKUP($A19,'0.Productos'!$A$3:$GG$65,'0.Productos'!FK$1+1,0)</f>
        <v>1557</v>
      </c>
      <c r="K19" s="90">
        <f>VLOOKUP($A19,'0.Productos'!$A$3:$GG$65,'0.Productos'!FL$1+1,0)</f>
        <v>827</v>
      </c>
      <c r="L19" s="90" t="str">
        <f>VLOOKUP($A19,'0.Productos'!$A$3:$GG$65,'0.Productos'!FM$1+1,0)</f>
        <v>NO</v>
      </c>
      <c r="M19" s="90" t="str">
        <f>VLOOKUP($A19,'0.Productos'!$A$3:$GG$65,'0.Productos'!FN$1+1,0)</f>
        <v>NO</v>
      </c>
      <c r="N19" s="90" t="str">
        <f>VLOOKUP($A19,'0.Productos'!$A$3:$GG$65,'0.Productos'!FO$1+1,0)</f>
        <v>NO</v>
      </c>
      <c r="O19" s="90" t="str">
        <f>VLOOKUP($A19,'0.Productos'!$A$3:$GG$65,'0.Productos'!FP$1+1,0)</f>
        <v>SI</v>
      </c>
      <c r="P19" s="90" t="str">
        <f>VLOOKUP($A19,'0.Productos'!$A$3:$GG$65,'0.Productos'!FQ$1+1,0)</f>
        <v>NO</v>
      </c>
      <c r="Q19" s="51">
        <f t="shared" si="0"/>
        <v>1295.7</v>
      </c>
      <c r="R19" s="51">
        <f t="shared" si="1"/>
        <v>1</v>
      </c>
      <c r="S19" s="110">
        <f t="shared" si="2"/>
        <v>1.4978275783215185</v>
      </c>
      <c r="T19" s="51">
        <f t="shared" si="3"/>
        <v>0</v>
      </c>
      <c r="U19" s="51">
        <f t="shared" si="4"/>
        <v>2560</v>
      </c>
      <c r="V19" s="51">
        <f t="shared" si="5"/>
        <v>0</v>
      </c>
      <c r="W19" s="51">
        <f t="shared" si="6"/>
        <v>2557</v>
      </c>
      <c r="X19" s="51">
        <f t="shared" si="7"/>
        <v>0</v>
      </c>
      <c r="Y19" s="51">
        <f t="shared" si="8"/>
        <v>0</v>
      </c>
      <c r="Z19" s="51">
        <f t="shared" si="9"/>
        <v>0</v>
      </c>
      <c r="AA19" s="51">
        <f t="shared" si="10"/>
        <v>0</v>
      </c>
      <c r="AB19" s="51">
        <f t="shared" si="11"/>
        <v>0</v>
      </c>
      <c r="AC19" s="51">
        <f t="shared" si="12"/>
        <v>0</v>
      </c>
      <c r="AD19" s="51">
        <f t="shared" si="13"/>
        <v>0</v>
      </c>
      <c r="AE19" s="51">
        <f t="shared" si="14"/>
        <v>5117</v>
      </c>
      <c r="AF19" s="51">
        <f t="shared" si="15"/>
        <v>0</v>
      </c>
      <c r="AG19" s="51">
        <f t="shared" si="16"/>
        <v>2.2067448680351904</v>
      </c>
      <c r="AH19" s="67">
        <f t="shared" si="17"/>
        <v>0.83579786550083568</v>
      </c>
      <c r="AI19" s="90" t="str">
        <f>VLOOKUP($A19,'0.Productos'!$A$3:$GG$65,'0.Productos'!FR$1+1,0)</f>
        <v>SI</v>
      </c>
      <c r="AJ19" s="90">
        <f>VLOOKUP($A19,'0.Productos'!$A$3:$GG$65,'0.Productos'!FS$1+1,0)</f>
        <v>61</v>
      </c>
      <c r="AK19" s="112">
        <v>7500</v>
      </c>
      <c r="AL19" s="111">
        <f t="shared" si="18"/>
        <v>61</v>
      </c>
      <c r="AM19" s="67">
        <f t="shared" si="19"/>
        <v>0.42776998597475457</v>
      </c>
      <c r="AN19" s="57">
        <v>0</v>
      </c>
      <c r="AO19" s="57">
        <v>700</v>
      </c>
      <c r="AP19" s="57">
        <v>400</v>
      </c>
      <c r="AQ19" s="57">
        <v>1800</v>
      </c>
      <c r="AR19" s="57">
        <v>600</v>
      </c>
      <c r="AS19" s="57">
        <v>1800</v>
      </c>
      <c r="AT19" s="51" t="str">
        <f t="shared" si="20"/>
        <v/>
      </c>
      <c r="AU19" s="51">
        <f t="shared" si="21"/>
        <v>700</v>
      </c>
      <c r="AV19" s="51" t="str">
        <f t="shared" si="22"/>
        <v/>
      </c>
      <c r="AW19" s="51">
        <f t="shared" si="23"/>
        <v>1800</v>
      </c>
      <c r="AX19" s="51" t="str">
        <f t="shared" si="24"/>
        <v/>
      </c>
      <c r="AY19" s="51" t="str">
        <f t="shared" si="25"/>
        <v/>
      </c>
      <c r="AZ19" s="110">
        <f t="shared" si="26"/>
        <v>1800</v>
      </c>
      <c r="BA19" s="67">
        <f t="shared" si="27"/>
        <v>4.2307692307692308</v>
      </c>
      <c r="BC19" s="20" t="str">
        <f>IF(LEFT(A19,7)='0.User'!$AC$3,"SI","NO")</f>
        <v>NO</v>
      </c>
      <c r="BD19" s="20" t="str">
        <f>IF(LEFT(A19,7)='0.User'!$AC$3,"SI","NO")</f>
        <v>NO</v>
      </c>
      <c r="BE19" s="20" t="str">
        <f>IF(LEFT(A19,7)='0.User'!$AC$3,"SI","NO")</f>
        <v>NO</v>
      </c>
    </row>
    <row r="20" spans="1:57" x14ac:dyDescent="0.25">
      <c r="A20" t="str">
        <f>'0.Consolidado general'!$A12</f>
        <v>E001013021004</v>
      </c>
      <c r="B20" s="90">
        <f>VLOOKUP($A20,'0.Productos'!$A$3:$GG$65,'0.Productos'!FC$1+1,0)</f>
        <v>2217</v>
      </c>
      <c r="C20" s="90">
        <f>VLOOKUP($A20,'0.Productos'!$A$3:$GG$65,'0.Productos'!FD$1+1,0)</f>
        <v>1739</v>
      </c>
      <c r="D20" s="90">
        <f>VLOOKUP($A20,'0.Productos'!$A$3:$GG$65,'0.Productos'!FE$1+1,0)</f>
        <v>472</v>
      </c>
      <c r="E20" s="90">
        <f>VLOOKUP($A20,'0.Productos'!$A$3:$GG$65,'0.Productos'!FF$1+1,0)</f>
        <v>1128</v>
      </c>
      <c r="F20" s="90">
        <f>VLOOKUP($A20,'0.Productos'!$A$3:$GG$65,'0.Productos'!FG$1+1,0)</f>
        <v>501</v>
      </c>
      <c r="G20" s="90">
        <f>VLOOKUP($A20,'0.Productos'!$A$3:$GG$65,'0.Productos'!FH$1+1,0)</f>
        <v>477</v>
      </c>
      <c r="H20" s="90">
        <f>VLOOKUP($A20,'0.Productos'!$A$3:$GG$65,'0.Productos'!FI$1+1,0)</f>
        <v>1384</v>
      </c>
      <c r="I20" s="90">
        <f>VLOOKUP($A20,'0.Productos'!$A$3:$GG$65,'0.Productos'!FJ$1+1,0)</f>
        <v>565</v>
      </c>
      <c r="J20" s="90">
        <f>VLOOKUP($A20,'0.Productos'!$A$3:$GG$65,'0.Productos'!FK$1+1,0)</f>
        <v>1403</v>
      </c>
      <c r="K20" s="90">
        <f>VLOOKUP($A20,'0.Productos'!$A$3:$GG$65,'0.Productos'!FL$1+1,0)</f>
        <v>451</v>
      </c>
      <c r="L20" s="90" t="str">
        <f>VLOOKUP($A20,'0.Productos'!$A$3:$GG$65,'0.Productos'!FM$1+1,0)</f>
        <v>NO</v>
      </c>
      <c r="M20" s="90" t="str">
        <f>VLOOKUP($A20,'0.Productos'!$A$3:$GG$65,'0.Productos'!FN$1+1,0)</f>
        <v>SI</v>
      </c>
      <c r="N20" s="90" t="str">
        <f>VLOOKUP($A20,'0.Productos'!$A$3:$GG$65,'0.Productos'!FO$1+1,0)</f>
        <v>NO</v>
      </c>
      <c r="O20" s="90" t="str">
        <f>VLOOKUP($A20,'0.Productos'!$A$3:$GG$65,'0.Productos'!FP$1+1,0)</f>
        <v>NO</v>
      </c>
      <c r="P20" s="90" t="str">
        <f>VLOOKUP($A20,'0.Productos'!$A$3:$GG$65,'0.Productos'!FQ$1+1,0)</f>
        <v>SI</v>
      </c>
      <c r="Q20" s="51">
        <f t="shared" si="0"/>
        <v>1033.7</v>
      </c>
      <c r="R20" s="51">
        <f t="shared" si="1"/>
        <v>2</v>
      </c>
      <c r="S20" s="110">
        <f t="shared" si="2"/>
        <v>0.83333333333333337</v>
      </c>
      <c r="T20" s="51">
        <f t="shared" si="3"/>
        <v>0</v>
      </c>
      <c r="U20" s="51">
        <f t="shared" si="4"/>
        <v>1600</v>
      </c>
      <c r="V20" s="51">
        <f t="shared" si="5"/>
        <v>0</v>
      </c>
      <c r="W20" s="51">
        <f t="shared" si="6"/>
        <v>1949</v>
      </c>
      <c r="X20" s="51">
        <f t="shared" si="7"/>
        <v>0</v>
      </c>
      <c r="Y20" s="51">
        <f t="shared" si="8"/>
        <v>0</v>
      </c>
      <c r="Z20" s="51">
        <f t="shared" si="9"/>
        <v>0</v>
      </c>
      <c r="AA20" s="51">
        <f t="shared" si="10"/>
        <v>0</v>
      </c>
      <c r="AB20" s="51">
        <f t="shared" si="11"/>
        <v>0</v>
      </c>
      <c r="AC20" s="51">
        <f t="shared" si="12"/>
        <v>0</v>
      </c>
      <c r="AD20" s="51">
        <f t="shared" si="13"/>
        <v>1</v>
      </c>
      <c r="AE20" s="51">
        <f t="shared" si="14"/>
        <v>3549</v>
      </c>
      <c r="AF20" s="51">
        <f t="shared" si="15"/>
        <v>0.5</v>
      </c>
      <c r="AG20" s="51">
        <f t="shared" si="16"/>
        <v>4.0305330343281005</v>
      </c>
      <c r="AH20" s="67">
        <f t="shared" si="17"/>
        <v>3.5547126141185545</v>
      </c>
      <c r="AI20" s="90" t="str">
        <f>VLOOKUP($A20,'0.Productos'!$A$3:$GG$65,'0.Productos'!FR$1+1,0)</f>
        <v>SI</v>
      </c>
      <c r="AJ20" s="90">
        <f>VLOOKUP($A20,'0.Productos'!$A$3:$GG$65,'0.Productos'!FS$1+1,0)</f>
        <v>395</v>
      </c>
      <c r="AK20" s="112">
        <v>8500</v>
      </c>
      <c r="AL20" s="111">
        <f t="shared" si="18"/>
        <v>395</v>
      </c>
      <c r="AM20" s="67">
        <f t="shared" si="19"/>
        <v>5</v>
      </c>
      <c r="AN20" s="57">
        <v>600</v>
      </c>
      <c r="AO20" s="57">
        <v>1000</v>
      </c>
      <c r="AP20" s="57">
        <v>100</v>
      </c>
      <c r="AQ20" s="57">
        <v>2000</v>
      </c>
      <c r="AR20" s="57">
        <v>1700</v>
      </c>
      <c r="AS20" s="57">
        <v>1400</v>
      </c>
      <c r="AT20" s="51" t="str">
        <f t="shared" si="20"/>
        <v/>
      </c>
      <c r="AU20" s="51">
        <f t="shared" si="21"/>
        <v>1000</v>
      </c>
      <c r="AV20" s="51" t="str">
        <f t="shared" si="22"/>
        <v/>
      </c>
      <c r="AW20" s="51">
        <f t="shared" si="23"/>
        <v>2000</v>
      </c>
      <c r="AX20" s="51" t="str">
        <f t="shared" si="24"/>
        <v/>
      </c>
      <c r="AY20" s="51" t="str">
        <f t="shared" si="25"/>
        <v/>
      </c>
      <c r="AZ20" s="110">
        <f t="shared" si="26"/>
        <v>2000</v>
      </c>
      <c r="BA20" s="67">
        <f t="shared" si="27"/>
        <v>5</v>
      </c>
      <c r="BC20" s="20" t="str">
        <f>IF(LEFT(A20,7)='0.User'!$AC$3,"SI","NO")</f>
        <v>NO</v>
      </c>
      <c r="BD20" s="20" t="str">
        <f>IF(LEFT(A20,7)='0.User'!$AC$3,"SI","NO")</f>
        <v>NO</v>
      </c>
      <c r="BE20" s="20" t="str">
        <f>IF(LEFT(A20,7)='0.User'!$AC$3,"SI","NO")</f>
        <v>NO</v>
      </c>
    </row>
    <row r="21" spans="1:57" x14ac:dyDescent="0.25">
      <c r="A21" t="str">
        <f>'0.Consolidado general'!$A13</f>
        <v>E001010021001</v>
      </c>
      <c r="B21" s="90">
        <f>VLOOKUP($A21,'0.Productos'!$A$3:$GG$65,'0.Productos'!FC$1+1,0)</f>
        <v>1134</v>
      </c>
      <c r="C21" s="90">
        <f>VLOOKUP($A21,'0.Productos'!$A$3:$GG$65,'0.Productos'!FD$1+1,0)</f>
        <v>623</v>
      </c>
      <c r="D21" s="90">
        <f>VLOOKUP($A21,'0.Productos'!$A$3:$GG$65,'0.Productos'!FE$1+1,0)</f>
        <v>665</v>
      </c>
      <c r="E21" s="90">
        <f>VLOOKUP($A21,'0.Productos'!$A$3:$GG$65,'0.Productos'!FF$1+1,0)</f>
        <v>1139</v>
      </c>
      <c r="F21" s="90">
        <f>VLOOKUP($A21,'0.Productos'!$A$3:$GG$65,'0.Productos'!FG$1+1,0)</f>
        <v>843</v>
      </c>
      <c r="G21" s="90">
        <f>VLOOKUP($A21,'0.Productos'!$A$3:$GG$65,'0.Productos'!FH$1+1,0)</f>
        <v>1396</v>
      </c>
      <c r="H21" s="90">
        <f>VLOOKUP($A21,'0.Productos'!$A$3:$GG$65,'0.Productos'!FI$1+1,0)</f>
        <v>2159</v>
      </c>
      <c r="I21" s="90">
        <f>VLOOKUP($A21,'0.Productos'!$A$3:$GG$65,'0.Productos'!FJ$1+1,0)</f>
        <v>478</v>
      </c>
      <c r="J21" s="90">
        <f>VLOOKUP($A21,'0.Productos'!$A$3:$GG$65,'0.Productos'!FK$1+1,0)</f>
        <v>704</v>
      </c>
      <c r="K21" s="90">
        <f>VLOOKUP($A21,'0.Productos'!$A$3:$GG$65,'0.Productos'!FL$1+1,0)</f>
        <v>1585</v>
      </c>
      <c r="L21" s="90" t="str">
        <f>VLOOKUP($A21,'0.Productos'!$A$3:$GG$65,'0.Productos'!FM$1+1,0)</f>
        <v>SI</v>
      </c>
      <c r="M21" s="90" t="str">
        <f>VLOOKUP($A21,'0.Productos'!$A$3:$GG$65,'0.Productos'!FN$1+1,0)</f>
        <v>NO</v>
      </c>
      <c r="N21" s="90" t="str">
        <f>VLOOKUP($A21,'0.Productos'!$A$3:$GG$65,'0.Productos'!FO$1+1,0)</f>
        <v>NO</v>
      </c>
      <c r="O21" s="90" t="str">
        <f>VLOOKUP($A21,'0.Productos'!$A$3:$GG$65,'0.Productos'!FP$1+1,0)</f>
        <v>NO</v>
      </c>
      <c r="P21" s="90" t="str">
        <f>VLOOKUP($A21,'0.Productos'!$A$3:$GG$65,'0.Productos'!FQ$1+1,0)</f>
        <v>NO</v>
      </c>
      <c r="Q21" s="51">
        <f t="shared" si="0"/>
        <v>1072.5999999999999</v>
      </c>
      <c r="R21" s="51">
        <f t="shared" si="1"/>
        <v>1</v>
      </c>
      <c r="S21" s="110">
        <f t="shared" si="2"/>
        <v>0.22238737708666745</v>
      </c>
      <c r="T21" s="51">
        <f t="shared" si="3"/>
        <v>0</v>
      </c>
      <c r="U21" s="51">
        <f t="shared" si="4"/>
        <v>1804</v>
      </c>
      <c r="V21" s="51">
        <f t="shared" si="5"/>
        <v>0</v>
      </c>
      <c r="W21" s="51">
        <f t="shared" si="6"/>
        <v>2637</v>
      </c>
      <c r="X21" s="51">
        <f t="shared" si="7"/>
        <v>0</v>
      </c>
      <c r="Y21" s="51">
        <f t="shared" si="8"/>
        <v>0</v>
      </c>
      <c r="Z21" s="51">
        <f t="shared" si="9"/>
        <v>0</v>
      </c>
      <c r="AA21" s="51">
        <f t="shared" si="10"/>
        <v>0</v>
      </c>
      <c r="AB21" s="51">
        <f t="shared" si="11"/>
        <v>0</v>
      </c>
      <c r="AC21" s="51">
        <f t="shared" si="12"/>
        <v>0</v>
      </c>
      <c r="AD21" s="51">
        <f t="shared" si="13"/>
        <v>0</v>
      </c>
      <c r="AE21" s="51">
        <f t="shared" si="14"/>
        <v>4441</v>
      </c>
      <c r="AF21" s="51">
        <f t="shared" si="15"/>
        <v>0</v>
      </c>
      <c r="AG21" s="51">
        <f t="shared" si="16"/>
        <v>1.9152147662584096</v>
      </c>
      <c r="AH21" s="67">
        <f t="shared" si="17"/>
        <v>0.40118297544040143</v>
      </c>
      <c r="AI21" s="90" t="str">
        <f>VLOOKUP($A21,'0.Productos'!$A$3:$GG$65,'0.Productos'!FR$1+1,0)</f>
        <v>SI</v>
      </c>
      <c r="AJ21" s="90">
        <f>VLOOKUP($A21,'0.Productos'!$A$3:$GG$65,'0.Productos'!FS$1+1,0)</f>
        <v>713</v>
      </c>
      <c r="AK21" s="112">
        <v>8500</v>
      </c>
      <c r="AL21" s="111">
        <f t="shared" si="18"/>
        <v>713</v>
      </c>
      <c r="AM21" s="67">
        <f t="shared" si="19"/>
        <v>5</v>
      </c>
      <c r="AN21" s="57">
        <v>0</v>
      </c>
      <c r="AO21" s="57">
        <v>1700</v>
      </c>
      <c r="AP21" s="57">
        <v>200</v>
      </c>
      <c r="AQ21" s="57">
        <v>300</v>
      </c>
      <c r="AR21" s="57">
        <v>1200</v>
      </c>
      <c r="AS21" s="57">
        <v>500</v>
      </c>
      <c r="AT21" s="51" t="str">
        <f t="shared" si="20"/>
        <v/>
      </c>
      <c r="AU21" s="51">
        <f t="shared" si="21"/>
        <v>1700</v>
      </c>
      <c r="AV21" s="51" t="str">
        <f t="shared" si="22"/>
        <v/>
      </c>
      <c r="AW21" s="51">
        <f t="shared" si="23"/>
        <v>300</v>
      </c>
      <c r="AX21" s="51" t="str">
        <f t="shared" si="24"/>
        <v/>
      </c>
      <c r="AY21" s="51" t="str">
        <f t="shared" si="25"/>
        <v/>
      </c>
      <c r="AZ21" s="110">
        <f t="shared" si="26"/>
        <v>1700</v>
      </c>
      <c r="BA21" s="67">
        <f t="shared" si="27"/>
        <v>3.8461538461538463</v>
      </c>
      <c r="BC21" s="20" t="str">
        <f>IF(LEFT(A21,7)='0.User'!$AC$3,"SI","NO")</f>
        <v>NO</v>
      </c>
      <c r="BD21" s="20" t="str">
        <f>IF(LEFT(A21,7)='0.User'!$AC$3,"SI","NO")</f>
        <v>NO</v>
      </c>
      <c r="BE21" s="20" t="str">
        <f>IF(LEFT(A21,7)='0.User'!$AC$3,"SI","NO")</f>
        <v>NO</v>
      </c>
    </row>
    <row r="22" spans="1:57" x14ac:dyDescent="0.25">
      <c r="A22" t="str">
        <f>'0.Consolidado general'!$A14</f>
        <v>E001010021002</v>
      </c>
      <c r="B22" s="90">
        <f>VLOOKUP($A22,'0.Productos'!$A$3:$GG$65,'0.Productos'!FC$1+1,0)</f>
        <v>1421</v>
      </c>
      <c r="C22" s="90">
        <f>VLOOKUP($A22,'0.Productos'!$A$3:$GG$65,'0.Productos'!FD$1+1,0)</f>
        <v>1405</v>
      </c>
      <c r="D22" s="90">
        <f>VLOOKUP($A22,'0.Productos'!$A$3:$GG$65,'0.Productos'!FE$1+1,0)</f>
        <v>712</v>
      </c>
      <c r="E22" s="90">
        <f>VLOOKUP($A22,'0.Productos'!$A$3:$GG$65,'0.Productos'!FF$1+1,0)</f>
        <v>2259</v>
      </c>
      <c r="F22" s="90">
        <f>VLOOKUP($A22,'0.Productos'!$A$3:$GG$65,'0.Productos'!FG$1+1,0)</f>
        <v>945</v>
      </c>
      <c r="G22" s="90">
        <f>VLOOKUP($A22,'0.Productos'!$A$3:$GG$65,'0.Productos'!FH$1+1,0)</f>
        <v>1815</v>
      </c>
      <c r="H22" s="90">
        <f>VLOOKUP($A22,'0.Productos'!$A$3:$GG$65,'0.Productos'!FI$1+1,0)</f>
        <v>268</v>
      </c>
      <c r="I22" s="90">
        <f>VLOOKUP($A22,'0.Productos'!$A$3:$GG$65,'0.Productos'!FJ$1+1,0)</f>
        <v>578</v>
      </c>
      <c r="J22" s="90">
        <f>VLOOKUP($A22,'0.Productos'!$A$3:$GG$65,'0.Productos'!FK$1+1,0)</f>
        <v>1083</v>
      </c>
      <c r="K22" s="90">
        <f>VLOOKUP($A22,'0.Productos'!$A$3:$GG$65,'0.Productos'!FL$1+1,0)</f>
        <v>1257</v>
      </c>
      <c r="L22" s="90" t="str">
        <f>VLOOKUP($A22,'0.Productos'!$A$3:$GG$65,'0.Productos'!FM$1+1,0)</f>
        <v>SI</v>
      </c>
      <c r="M22" s="90" t="str">
        <f>VLOOKUP($A22,'0.Productos'!$A$3:$GG$65,'0.Productos'!FN$1+1,0)</f>
        <v>SI</v>
      </c>
      <c r="N22" s="90" t="str">
        <f>VLOOKUP($A22,'0.Productos'!$A$3:$GG$65,'0.Productos'!FO$1+1,0)</f>
        <v>NO</v>
      </c>
      <c r="O22" s="90" t="str">
        <f>VLOOKUP($A22,'0.Productos'!$A$3:$GG$65,'0.Productos'!FP$1+1,0)</f>
        <v>SI</v>
      </c>
      <c r="P22" s="90" t="str">
        <f>VLOOKUP($A22,'0.Productos'!$A$3:$GG$65,'0.Productos'!FQ$1+1,0)</f>
        <v>NO</v>
      </c>
      <c r="Q22" s="51">
        <f t="shared" si="0"/>
        <v>1174.3</v>
      </c>
      <c r="R22" s="51">
        <f t="shared" si="1"/>
        <v>3</v>
      </c>
      <c r="S22" s="110">
        <f t="shared" si="2"/>
        <v>2.4704626877048552</v>
      </c>
      <c r="T22" s="51">
        <f t="shared" si="3"/>
        <v>0</v>
      </c>
      <c r="U22" s="51">
        <f t="shared" si="4"/>
        <v>2971</v>
      </c>
      <c r="V22" s="51">
        <f t="shared" si="5"/>
        <v>0</v>
      </c>
      <c r="W22" s="51">
        <f t="shared" si="6"/>
        <v>846</v>
      </c>
      <c r="X22" s="51">
        <f t="shared" si="7"/>
        <v>0</v>
      </c>
      <c r="Y22" s="51">
        <f t="shared" si="8"/>
        <v>0</v>
      </c>
      <c r="Z22" s="51">
        <f t="shared" si="9"/>
        <v>0</v>
      </c>
      <c r="AA22" s="51">
        <f t="shared" si="10"/>
        <v>0</v>
      </c>
      <c r="AB22" s="51">
        <f t="shared" si="11"/>
        <v>0</v>
      </c>
      <c r="AC22" s="51">
        <f t="shared" si="12"/>
        <v>0</v>
      </c>
      <c r="AD22" s="51">
        <f t="shared" si="13"/>
        <v>0</v>
      </c>
      <c r="AE22" s="51">
        <f t="shared" si="14"/>
        <v>3817</v>
      </c>
      <c r="AF22" s="51">
        <f t="shared" si="15"/>
        <v>0</v>
      </c>
      <c r="AG22" s="51">
        <f t="shared" si="16"/>
        <v>1.6461100569259961</v>
      </c>
      <c r="AH22" s="67">
        <f t="shared" si="17"/>
        <v>0</v>
      </c>
      <c r="AI22" s="90" t="str">
        <f>VLOOKUP($A22,'0.Productos'!$A$3:$GG$65,'0.Productos'!FR$1+1,0)</f>
        <v>NO</v>
      </c>
      <c r="AJ22" s="90">
        <f>VLOOKUP($A22,'0.Productos'!$A$3:$GG$65,'0.Productos'!FS$1+1,0)</f>
        <v>0</v>
      </c>
      <c r="AK22" s="112">
        <v>8500</v>
      </c>
      <c r="AL22" s="111">
        <f t="shared" si="18"/>
        <v>0</v>
      </c>
      <c r="AM22" s="67">
        <f t="shared" si="19"/>
        <v>0</v>
      </c>
      <c r="AN22" s="57">
        <v>400</v>
      </c>
      <c r="AO22" s="57">
        <v>1700</v>
      </c>
      <c r="AP22" s="57">
        <v>1200</v>
      </c>
      <c r="AQ22" s="57">
        <v>1600</v>
      </c>
      <c r="AR22" s="57">
        <v>900</v>
      </c>
      <c r="AS22" s="57">
        <v>1200</v>
      </c>
      <c r="AT22" s="51" t="str">
        <f t="shared" si="20"/>
        <v/>
      </c>
      <c r="AU22" s="51">
        <f t="shared" si="21"/>
        <v>1700</v>
      </c>
      <c r="AV22" s="51" t="str">
        <f t="shared" si="22"/>
        <v/>
      </c>
      <c r="AW22" s="51">
        <f t="shared" si="23"/>
        <v>1600</v>
      </c>
      <c r="AX22" s="51" t="str">
        <f t="shared" si="24"/>
        <v/>
      </c>
      <c r="AY22" s="51" t="str">
        <f t="shared" si="25"/>
        <v/>
      </c>
      <c r="AZ22" s="110">
        <f t="shared" si="26"/>
        <v>1700</v>
      </c>
      <c r="BA22" s="67">
        <f t="shared" si="27"/>
        <v>3.8461538461538463</v>
      </c>
      <c r="BC22" s="20" t="str">
        <f>IF(LEFT(A22,7)='0.User'!$AC$3,"SI","NO")</f>
        <v>NO</v>
      </c>
      <c r="BD22" s="20" t="str">
        <f>IF(LEFT(A22,7)='0.User'!$AC$3,"SI","NO")</f>
        <v>NO</v>
      </c>
      <c r="BE22" s="20" t="str">
        <f>IF(LEFT(A22,7)='0.User'!$AC$3,"SI","NO")</f>
        <v>NO</v>
      </c>
    </row>
    <row r="23" spans="1:57" x14ac:dyDescent="0.25">
      <c r="A23" t="str">
        <f>'0.Consolidado general'!$A15</f>
        <v>E001010021003</v>
      </c>
      <c r="B23" s="90">
        <f>VLOOKUP($A23,'0.Productos'!$A$3:$GG$65,'0.Productos'!FC$1+1,0)</f>
        <v>1684</v>
      </c>
      <c r="C23" s="90">
        <f>VLOOKUP($A23,'0.Productos'!$A$3:$GG$65,'0.Productos'!FD$1+1,0)</f>
        <v>359</v>
      </c>
      <c r="D23" s="90">
        <f>VLOOKUP($A23,'0.Productos'!$A$3:$GG$65,'0.Productos'!FE$1+1,0)</f>
        <v>630</v>
      </c>
      <c r="E23" s="90">
        <f>VLOOKUP($A23,'0.Productos'!$A$3:$GG$65,'0.Productos'!FF$1+1,0)</f>
        <v>1710</v>
      </c>
      <c r="F23" s="90">
        <f>VLOOKUP($A23,'0.Productos'!$A$3:$GG$65,'0.Productos'!FG$1+1,0)</f>
        <v>2153</v>
      </c>
      <c r="G23" s="90">
        <f>VLOOKUP($A23,'0.Productos'!$A$3:$GG$65,'0.Productos'!FH$1+1,0)</f>
        <v>1823</v>
      </c>
      <c r="H23" s="90">
        <f>VLOOKUP($A23,'0.Productos'!$A$3:$GG$65,'0.Productos'!FI$1+1,0)</f>
        <v>1251</v>
      </c>
      <c r="I23" s="90">
        <f>VLOOKUP($A23,'0.Productos'!$A$3:$GG$65,'0.Productos'!FJ$1+1,0)</f>
        <v>2206</v>
      </c>
      <c r="J23" s="90">
        <f>VLOOKUP($A23,'0.Productos'!$A$3:$GG$65,'0.Productos'!FK$1+1,0)</f>
        <v>1910</v>
      </c>
      <c r="K23" s="90">
        <f>VLOOKUP($A23,'0.Productos'!$A$3:$GG$65,'0.Productos'!FL$1+1,0)</f>
        <v>984</v>
      </c>
      <c r="L23" s="90" t="str">
        <f>VLOOKUP($A23,'0.Productos'!$A$3:$GG$65,'0.Productos'!FM$1+1,0)</f>
        <v>SI</v>
      </c>
      <c r="M23" s="90" t="str">
        <f>VLOOKUP($A23,'0.Productos'!$A$3:$GG$65,'0.Productos'!FN$1+1,0)</f>
        <v>NO</v>
      </c>
      <c r="N23" s="90" t="str">
        <f>VLOOKUP($A23,'0.Productos'!$A$3:$GG$65,'0.Productos'!FO$1+1,0)</f>
        <v>SI</v>
      </c>
      <c r="O23" s="90" t="str">
        <f>VLOOKUP($A23,'0.Productos'!$A$3:$GG$65,'0.Productos'!FP$1+1,0)</f>
        <v>SI</v>
      </c>
      <c r="P23" s="90" t="str">
        <f>VLOOKUP($A23,'0.Productos'!$A$3:$GG$65,'0.Productos'!FQ$1+1,0)</f>
        <v>SI</v>
      </c>
      <c r="Q23" s="51">
        <f t="shared" si="0"/>
        <v>1471</v>
      </c>
      <c r="R23" s="51">
        <f t="shared" si="1"/>
        <v>4</v>
      </c>
      <c r="S23" s="110">
        <f t="shared" si="2"/>
        <v>5</v>
      </c>
      <c r="T23" s="51">
        <f t="shared" si="3"/>
        <v>0</v>
      </c>
      <c r="U23" s="51">
        <f t="shared" si="4"/>
        <v>2340</v>
      </c>
      <c r="V23" s="51">
        <f t="shared" si="5"/>
        <v>0</v>
      </c>
      <c r="W23" s="51">
        <f t="shared" si="6"/>
        <v>3457</v>
      </c>
      <c r="X23" s="51">
        <f t="shared" si="7"/>
        <v>0</v>
      </c>
      <c r="Y23" s="51">
        <f t="shared" si="8"/>
        <v>0</v>
      </c>
      <c r="Z23" s="51">
        <f t="shared" si="9"/>
        <v>0</v>
      </c>
      <c r="AA23" s="51">
        <f t="shared" si="10"/>
        <v>0</v>
      </c>
      <c r="AB23" s="51">
        <f t="shared" si="11"/>
        <v>0</v>
      </c>
      <c r="AC23" s="51">
        <f t="shared" si="12"/>
        <v>0</v>
      </c>
      <c r="AD23" s="51">
        <f t="shared" si="13"/>
        <v>1</v>
      </c>
      <c r="AE23" s="51">
        <f t="shared" si="14"/>
        <v>5797</v>
      </c>
      <c r="AF23" s="51">
        <f t="shared" si="15"/>
        <v>0.5</v>
      </c>
      <c r="AG23" s="51">
        <f t="shared" si="16"/>
        <v>5</v>
      </c>
      <c r="AH23" s="67">
        <f t="shared" si="17"/>
        <v>5</v>
      </c>
      <c r="AI23" s="90" t="str">
        <f>VLOOKUP($A23,'0.Productos'!$A$3:$GG$65,'0.Productos'!FR$1+1,0)</f>
        <v>SI</v>
      </c>
      <c r="AJ23" s="90">
        <f>VLOOKUP($A23,'0.Productos'!$A$3:$GG$65,'0.Productos'!FS$1+1,0)</f>
        <v>172</v>
      </c>
      <c r="AK23" s="112">
        <v>8500</v>
      </c>
      <c r="AL23" s="111">
        <f t="shared" si="18"/>
        <v>172</v>
      </c>
      <c r="AM23" s="67">
        <f t="shared" si="19"/>
        <v>1.20617110799439</v>
      </c>
      <c r="AN23" s="57">
        <v>1700</v>
      </c>
      <c r="AO23" s="57">
        <v>0</v>
      </c>
      <c r="AP23" s="57">
        <v>200</v>
      </c>
      <c r="AQ23" s="57">
        <v>800</v>
      </c>
      <c r="AR23" s="57">
        <v>600</v>
      </c>
      <c r="AS23" s="57">
        <v>300</v>
      </c>
      <c r="AT23" s="51" t="str">
        <f t="shared" si="20"/>
        <v/>
      </c>
      <c r="AU23" s="51">
        <f t="shared" si="21"/>
        <v>0</v>
      </c>
      <c r="AV23" s="51" t="str">
        <f t="shared" si="22"/>
        <v/>
      </c>
      <c r="AW23" s="51">
        <f t="shared" si="23"/>
        <v>800</v>
      </c>
      <c r="AX23" s="51" t="str">
        <f t="shared" si="24"/>
        <v/>
      </c>
      <c r="AY23" s="51" t="str">
        <f t="shared" si="25"/>
        <v/>
      </c>
      <c r="AZ23" s="110">
        <f t="shared" si="26"/>
        <v>800</v>
      </c>
      <c r="BA23" s="67">
        <f t="shared" si="27"/>
        <v>0.38461538461538464</v>
      </c>
      <c r="BC23" s="20" t="str">
        <f>IF(LEFT(A23,7)='0.User'!$AC$3,"SI","NO")</f>
        <v>NO</v>
      </c>
      <c r="BD23" s="20" t="str">
        <f>IF(LEFT(A23,7)='0.User'!$AC$3,"SI","NO")</f>
        <v>NO</v>
      </c>
      <c r="BE23" s="20" t="str">
        <f>IF(LEFT(A23,7)='0.User'!$AC$3,"SI","NO")</f>
        <v>NO</v>
      </c>
    </row>
    <row r="24" spans="1:57" x14ac:dyDescent="0.25">
      <c r="A24" t="str">
        <f>'0.Consolidado general'!$A16</f>
        <v>E001012021002</v>
      </c>
      <c r="B24" s="90">
        <f>VLOOKUP($A24,'0.Productos'!$A$3:$GG$65,'0.Productos'!FC$1+1,0)</f>
        <v>1937</v>
      </c>
      <c r="C24" s="90">
        <f>VLOOKUP($A24,'0.Productos'!$A$3:$GG$65,'0.Productos'!FD$1+1,0)</f>
        <v>1916</v>
      </c>
      <c r="D24" s="90">
        <f>VLOOKUP($A24,'0.Productos'!$A$3:$GG$65,'0.Productos'!FE$1+1,0)</f>
        <v>1924</v>
      </c>
      <c r="E24" s="90">
        <f>VLOOKUP($A24,'0.Productos'!$A$3:$GG$65,'0.Productos'!FF$1+1,0)</f>
        <v>586</v>
      </c>
      <c r="F24" s="90">
        <f>VLOOKUP($A24,'0.Productos'!$A$3:$GG$65,'0.Productos'!FG$1+1,0)</f>
        <v>234</v>
      </c>
      <c r="G24" s="90">
        <f>VLOOKUP($A24,'0.Productos'!$A$3:$GG$65,'0.Productos'!FH$1+1,0)</f>
        <v>793</v>
      </c>
      <c r="H24" s="90">
        <f>VLOOKUP($A24,'0.Productos'!$A$3:$GG$65,'0.Productos'!FI$1+1,0)</f>
        <v>504</v>
      </c>
      <c r="I24" s="90">
        <f>VLOOKUP($A24,'0.Productos'!$A$3:$GG$65,'0.Productos'!FJ$1+1,0)</f>
        <v>2287</v>
      </c>
      <c r="J24" s="90">
        <f>VLOOKUP($A24,'0.Productos'!$A$3:$GG$65,'0.Productos'!FK$1+1,0)</f>
        <v>2066</v>
      </c>
      <c r="K24" s="90">
        <f>VLOOKUP($A24,'0.Productos'!$A$3:$GG$65,'0.Productos'!FL$1+1,0)</f>
        <v>2123</v>
      </c>
      <c r="L24" s="90" t="str">
        <f>VLOOKUP($A24,'0.Productos'!$A$3:$GG$65,'0.Productos'!FM$1+1,0)</f>
        <v>NO</v>
      </c>
      <c r="M24" s="90" t="str">
        <f>VLOOKUP($A24,'0.Productos'!$A$3:$GG$65,'0.Productos'!FN$1+1,0)</f>
        <v>SI</v>
      </c>
      <c r="N24" s="90" t="str">
        <f>VLOOKUP($A24,'0.Productos'!$A$3:$GG$65,'0.Productos'!FO$1+1,0)</f>
        <v>SI</v>
      </c>
      <c r="O24" s="90" t="str">
        <f>VLOOKUP($A24,'0.Productos'!$A$3:$GG$65,'0.Productos'!FP$1+1,0)</f>
        <v>NO</v>
      </c>
      <c r="P24" s="90" t="str">
        <f>VLOOKUP($A24,'0.Productos'!$A$3:$GG$65,'0.Productos'!FQ$1+1,0)</f>
        <v>SI</v>
      </c>
      <c r="Q24" s="51">
        <f t="shared" si="0"/>
        <v>1437</v>
      </c>
      <c r="R24" s="51">
        <f t="shared" si="1"/>
        <v>3</v>
      </c>
      <c r="S24" s="110">
        <f t="shared" si="2"/>
        <v>3.9722920954341037</v>
      </c>
      <c r="T24" s="51">
        <f t="shared" si="3"/>
        <v>0</v>
      </c>
      <c r="U24" s="51">
        <f t="shared" si="4"/>
        <v>2510</v>
      </c>
      <c r="V24" s="51">
        <f t="shared" si="5"/>
        <v>0</v>
      </c>
      <c r="W24" s="51">
        <f t="shared" si="6"/>
        <v>2791</v>
      </c>
      <c r="X24" s="51">
        <f t="shared" si="7"/>
        <v>0</v>
      </c>
      <c r="Y24" s="51">
        <f t="shared" si="8"/>
        <v>0</v>
      </c>
      <c r="Z24" s="51">
        <f t="shared" si="9"/>
        <v>0</v>
      </c>
      <c r="AA24" s="51">
        <f t="shared" si="10"/>
        <v>0</v>
      </c>
      <c r="AB24" s="51">
        <f t="shared" si="11"/>
        <v>0</v>
      </c>
      <c r="AC24" s="51">
        <f t="shared" si="12"/>
        <v>0</v>
      </c>
      <c r="AD24" s="51">
        <f t="shared" si="13"/>
        <v>1</v>
      </c>
      <c r="AE24" s="51">
        <f t="shared" si="14"/>
        <v>5301</v>
      </c>
      <c r="AF24" s="51">
        <f t="shared" si="15"/>
        <v>0.5</v>
      </c>
      <c r="AG24" s="51">
        <f t="shared" si="16"/>
        <v>4.786096256684492</v>
      </c>
      <c r="AH24" s="67">
        <f t="shared" si="17"/>
        <v>4.6811109682396816</v>
      </c>
      <c r="AI24" s="90" t="str">
        <f>VLOOKUP($A24,'0.Productos'!$A$3:$GG$65,'0.Productos'!FR$1+1,0)</f>
        <v>SI</v>
      </c>
      <c r="AJ24" s="90">
        <f>VLOOKUP($A24,'0.Productos'!$A$3:$GG$65,'0.Productos'!FS$1+1,0)</f>
        <v>103</v>
      </c>
      <c r="AK24" s="112">
        <v>8500</v>
      </c>
      <c r="AL24" s="111">
        <f t="shared" si="18"/>
        <v>103</v>
      </c>
      <c r="AM24" s="67">
        <f t="shared" si="19"/>
        <v>0.72230014025245437</v>
      </c>
      <c r="AN24" s="57">
        <v>0</v>
      </c>
      <c r="AO24" s="57">
        <v>700</v>
      </c>
      <c r="AP24" s="57">
        <v>0</v>
      </c>
      <c r="AQ24" s="57">
        <v>500</v>
      </c>
      <c r="AR24" s="57">
        <v>200</v>
      </c>
      <c r="AS24" s="57">
        <v>900</v>
      </c>
      <c r="AT24" s="51" t="str">
        <f t="shared" si="20"/>
        <v/>
      </c>
      <c r="AU24" s="51">
        <f t="shared" si="21"/>
        <v>700</v>
      </c>
      <c r="AV24" s="51" t="str">
        <f t="shared" si="22"/>
        <v/>
      </c>
      <c r="AW24" s="51">
        <f t="shared" si="23"/>
        <v>500</v>
      </c>
      <c r="AX24" s="51" t="str">
        <f t="shared" si="24"/>
        <v/>
      </c>
      <c r="AY24" s="51" t="str">
        <f t="shared" si="25"/>
        <v/>
      </c>
      <c r="AZ24" s="110">
        <f t="shared" si="26"/>
        <v>700</v>
      </c>
      <c r="BA24" s="67">
        <f t="shared" si="27"/>
        <v>0</v>
      </c>
      <c r="BC24" s="20" t="str">
        <f>IF(LEFT(A24,7)='0.User'!$AC$3,"SI","NO")</f>
        <v>NO</v>
      </c>
      <c r="BD24" s="20" t="str">
        <f>IF(LEFT(A24,7)='0.User'!$AC$3,"SI","NO")</f>
        <v>NO</v>
      </c>
      <c r="BE24" s="20" t="str">
        <f>IF(LEFT(A24,7)='0.User'!$AC$3,"SI","NO")</f>
        <v>NO</v>
      </c>
    </row>
    <row r="25" spans="1:57" x14ac:dyDescent="0.25">
      <c r="A25">
        <f>'0.Consolidado general'!$A17</f>
        <v>0</v>
      </c>
      <c r="B25" s="90" t="e">
        <f>VLOOKUP($A25,'0.Productos'!$A$3:$GG$65,'0.Productos'!FC$1+1,0)</f>
        <v>#N/A</v>
      </c>
      <c r="C25" s="90" t="e">
        <f>VLOOKUP($A25,'0.Productos'!$A$3:$GG$65,'0.Productos'!FD$1+1,0)</f>
        <v>#N/A</v>
      </c>
      <c r="D25" s="90" t="e">
        <f>VLOOKUP($A25,'0.Productos'!$A$3:$GG$65,'0.Productos'!FE$1+1,0)</f>
        <v>#N/A</v>
      </c>
      <c r="E25" s="90" t="e">
        <f>VLOOKUP($A25,'0.Productos'!$A$3:$GG$65,'0.Productos'!FF$1+1,0)</f>
        <v>#N/A</v>
      </c>
      <c r="F25" s="90" t="e">
        <f>VLOOKUP($A25,'0.Productos'!$A$3:$GG$65,'0.Productos'!FG$1+1,0)</f>
        <v>#N/A</v>
      </c>
      <c r="G25" s="90" t="e">
        <f>VLOOKUP($A25,'0.Productos'!$A$3:$GG$65,'0.Productos'!FH$1+1,0)</f>
        <v>#N/A</v>
      </c>
      <c r="H25" s="90" t="e">
        <f>VLOOKUP($A25,'0.Productos'!$A$3:$GG$65,'0.Productos'!FI$1+1,0)</f>
        <v>#N/A</v>
      </c>
      <c r="I25" s="90" t="e">
        <f>VLOOKUP($A25,'0.Productos'!$A$3:$GG$65,'0.Productos'!FJ$1+1,0)</f>
        <v>#N/A</v>
      </c>
      <c r="J25" s="90" t="e">
        <f>VLOOKUP($A25,'0.Productos'!$A$3:$GG$65,'0.Productos'!FK$1+1,0)</f>
        <v>#N/A</v>
      </c>
      <c r="K25" s="90" t="e">
        <f>VLOOKUP($A25,'0.Productos'!$A$3:$GG$65,'0.Productos'!FL$1+1,0)</f>
        <v>#N/A</v>
      </c>
      <c r="L25" s="90" t="e">
        <f>VLOOKUP($A25,'0.Productos'!$A$3:$GG$65,'0.Productos'!FM$1+1,0)</f>
        <v>#N/A</v>
      </c>
      <c r="M25" s="90" t="e">
        <f>VLOOKUP($A25,'0.Productos'!$A$3:$GG$65,'0.Productos'!FN$1+1,0)</f>
        <v>#N/A</v>
      </c>
      <c r="N25" s="90" t="e">
        <f>VLOOKUP($A25,'0.Productos'!$A$3:$GG$65,'0.Productos'!FO$1+1,0)</f>
        <v>#N/A</v>
      </c>
      <c r="O25" s="90" t="e">
        <f>VLOOKUP($A25,'0.Productos'!$A$3:$GG$65,'0.Productos'!FP$1+1,0)</f>
        <v>#N/A</v>
      </c>
      <c r="P25" s="90" t="e">
        <f>VLOOKUP($A25,'0.Productos'!$A$3:$GG$65,'0.Productos'!FQ$1+1,0)</f>
        <v>#N/A</v>
      </c>
      <c r="Q25" s="51" t="str">
        <f t="shared" si="0"/>
        <v/>
      </c>
      <c r="R25" s="51" t="str">
        <f t="shared" si="1"/>
        <v/>
      </c>
      <c r="S25" s="110" t="e">
        <f t="shared" si="2"/>
        <v>#VALUE!</v>
      </c>
      <c r="T25" s="51" t="str">
        <f t="shared" si="3"/>
        <v/>
      </c>
      <c r="U25" s="51" t="str">
        <f t="shared" si="4"/>
        <v/>
      </c>
      <c r="V25" s="51" t="str">
        <f t="shared" si="5"/>
        <v/>
      </c>
      <c r="W25" s="51" t="str">
        <f t="shared" si="6"/>
        <v/>
      </c>
      <c r="X25" s="51" t="str">
        <f t="shared" si="7"/>
        <v/>
      </c>
      <c r="Y25" s="51" t="str">
        <f t="shared" si="8"/>
        <v/>
      </c>
      <c r="Z25" s="51" t="str">
        <f t="shared" si="9"/>
        <v/>
      </c>
      <c r="AA25" s="51" t="str">
        <f t="shared" si="10"/>
        <v/>
      </c>
      <c r="AB25" s="51" t="str">
        <f t="shared" si="11"/>
        <v/>
      </c>
      <c r="AC25" s="51" t="str">
        <f t="shared" si="12"/>
        <v/>
      </c>
      <c r="AD25" s="51" t="str">
        <f t="shared" si="13"/>
        <v/>
      </c>
      <c r="AE25" s="51">
        <f t="shared" si="14"/>
        <v>0</v>
      </c>
      <c r="AF25" s="51">
        <f t="shared" si="15"/>
        <v>0</v>
      </c>
      <c r="AG25" s="51" t="str">
        <f t="shared" si="16"/>
        <v/>
      </c>
      <c r="AH25" s="67">
        <f t="shared" si="17"/>
        <v>5</v>
      </c>
      <c r="AI25" s="90" t="e">
        <f>VLOOKUP($A25,'0.Productos'!$A$3:$GG$65,'0.Productos'!FR$1+1,0)</f>
        <v>#N/A</v>
      </c>
      <c r="AJ25" s="90" t="e">
        <f>VLOOKUP($A25,'0.Productos'!$A$3:$GG$65,'0.Productos'!FS$1+1,0)</f>
        <v>#N/A</v>
      </c>
      <c r="AK25" s="112">
        <v>8500</v>
      </c>
      <c r="AL25" s="111" t="str">
        <f t="shared" si="18"/>
        <v/>
      </c>
      <c r="AM25" s="67">
        <f t="shared" si="19"/>
        <v>5</v>
      </c>
      <c r="AN25" s="57">
        <v>700</v>
      </c>
      <c r="AO25" s="57">
        <v>600</v>
      </c>
      <c r="AP25" s="57">
        <v>600</v>
      </c>
      <c r="AQ25" s="57">
        <v>1400</v>
      </c>
      <c r="AR25" s="57">
        <v>1700</v>
      </c>
      <c r="AS25" s="57">
        <v>1400</v>
      </c>
      <c r="AT25" s="51" t="str">
        <f t="shared" si="20"/>
        <v/>
      </c>
      <c r="AU25" s="51">
        <f t="shared" si="21"/>
        <v>600</v>
      </c>
      <c r="AV25" s="51" t="str">
        <f t="shared" si="22"/>
        <v/>
      </c>
      <c r="AW25" s="51">
        <f t="shared" si="23"/>
        <v>1400</v>
      </c>
      <c r="AX25" s="51" t="str">
        <f t="shared" si="24"/>
        <v/>
      </c>
      <c r="AY25" s="51" t="str">
        <f t="shared" si="25"/>
        <v/>
      </c>
      <c r="AZ25" s="110" t="str">
        <f t="shared" si="26"/>
        <v/>
      </c>
      <c r="BA25" s="67">
        <f t="shared" si="27"/>
        <v>5</v>
      </c>
      <c r="BC25" s="20" t="str">
        <f>IF(LEFT(A25,7)='0.User'!$AC$3,"SI","NO")</f>
        <v>NO</v>
      </c>
      <c r="BD25" s="20" t="str">
        <f>IF(LEFT(A25,7)='0.User'!$AC$3,"SI","NO")</f>
        <v>NO</v>
      </c>
      <c r="BE25" s="20" t="str">
        <f>IF(LEFT(A25,7)='0.User'!$AC$3,"SI","NO")</f>
        <v>NO</v>
      </c>
    </row>
    <row r="26" spans="1:57" x14ac:dyDescent="0.25">
      <c r="A26">
        <f>'0.Consolidado general'!$A18</f>
        <v>0</v>
      </c>
      <c r="B26" s="90" t="e">
        <f>VLOOKUP($A26,'0.Productos'!$A$3:$GG$65,'0.Productos'!FC$1+1,0)</f>
        <v>#N/A</v>
      </c>
      <c r="C26" s="90" t="e">
        <f>VLOOKUP($A26,'0.Productos'!$A$3:$GG$65,'0.Productos'!FD$1+1,0)</f>
        <v>#N/A</v>
      </c>
      <c r="D26" s="90" t="e">
        <f>VLOOKUP($A26,'0.Productos'!$A$3:$GG$65,'0.Productos'!FE$1+1,0)</f>
        <v>#N/A</v>
      </c>
      <c r="E26" s="90" t="e">
        <f>VLOOKUP($A26,'0.Productos'!$A$3:$GG$65,'0.Productos'!FF$1+1,0)</f>
        <v>#N/A</v>
      </c>
      <c r="F26" s="90" t="e">
        <f>VLOOKUP($A26,'0.Productos'!$A$3:$GG$65,'0.Productos'!FG$1+1,0)</f>
        <v>#N/A</v>
      </c>
      <c r="G26" s="90" t="e">
        <f>VLOOKUP($A26,'0.Productos'!$A$3:$GG$65,'0.Productos'!FH$1+1,0)</f>
        <v>#N/A</v>
      </c>
      <c r="H26" s="90" t="e">
        <f>VLOOKUP($A26,'0.Productos'!$A$3:$GG$65,'0.Productos'!FI$1+1,0)</f>
        <v>#N/A</v>
      </c>
      <c r="I26" s="90" t="e">
        <f>VLOOKUP($A26,'0.Productos'!$A$3:$GG$65,'0.Productos'!FJ$1+1,0)</f>
        <v>#N/A</v>
      </c>
      <c r="J26" s="90" t="e">
        <f>VLOOKUP($A26,'0.Productos'!$A$3:$GG$65,'0.Productos'!FK$1+1,0)</f>
        <v>#N/A</v>
      </c>
      <c r="K26" s="90" t="e">
        <f>VLOOKUP($A26,'0.Productos'!$A$3:$GG$65,'0.Productos'!FL$1+1,0)</f>
        <v>#N/A</v>
      </c>
      <c r="L26" s="90" t="e">
        <f>VLOOKUP($A26,'0.Productos'!$A$3:$GG$65,'0.Productos'!FM$1+1,0)</f>
        <v>#N/A</v>
      </c>
      <c r="M26" s="90" t="e">
        <f>VLOOKUP($A26,'0.Productos'!$A$3:$GG$65,'0.Productos'!FN$1+1,0)</f>
        <v>#N/A</v>
      </c>
      <c r="N26" s="90" t="e">
        <f>VLOOKUP($A26,'0.Productos'!$A$3:$GG$65,'0.Productos'!FO$1+1,0)</f>
        <v>#N/A</v>
      </c>
      <c r="O26" s="90" t="e">
        <f>VLOOKUP($A26,'0.Productos'!$A$3:$GG$65,'0.Productos'!FP$1+1,0)</f>
        <v>#N/A</v>
      </c>
      <c r="P26" s="90" t="e">
        <f>VLOOKUP($A26,'0.Productos'!$A$3:$GG$65,'0.Productos'!FQ$1+1,0)</f>
        <v>#N/A</v>
      </c>
      <c r="Q26" s="51" t="str">
        <f t="shared" si="0"/>
        <v/>
      </c>
      <c r="R26" s="51" t="str">
        <f t="shared" si="1"/>
        <v/>
      </c>
      <c r="S26" s="110" t="e">
        <f t="shared" si="2"/>
        <v>#VALUE!</v>
      </c>
      <c r="T26" s="51" t="str">
        <f t="shared" si="3"/>
        <v/>
      </c>
      <c r="U26" s="51" t="str">
        <f t="shared" si="4"/>
        <v/>
      </c>
      <c r="V26" s="51" t="str">
        <f t="shared" si="5"/>
        <v/>
      </c>
      <c r="W26" s="51" t="str">
        <f t="shared" si="6"/>
        <v/>
      </c>
      <c r="X26" s="51" t="str">
        <f t="shared" si="7"/>
        <v/>
      </c>
      <c r="Y26" s="51" t="str">
        <f t="shared" si="8"/>
        <v/>
      </c>
      <c r="Z26" s="51" t="str">
        <f t="shared" si="9"/>
        <v/>
      </c>
      <c r="AA26" s="51" t="str">
        <f t="shared" si="10"/>
        <v/>
      </c>
      <c r="AB26" s="51" t="str">
        <f t="shared" si="11"/>
        <v/>
      </c>
      <c r="AC26" s="51" t="str">
        <f t="shared" si="12"/>
        <v/>
      </c>
      <c r="AD26" s="51" t="str">
        <f t="shared" si="13"/>
        <v/>
      </c>
      <c r="AE26" s="51">
        <f t="shared" si="14"/>
        <v>0</v>
      </c>
      <c r="AF26" s="51">
        <f t="shared" si="15"/>
        <v>0</v>
      </c>
      <c r="AG26" s="51" t="str">
        <f t="shared" si="16"/>
        <v/>
      </c>
      <c r="AH26" s="67">
        <f t="shared" si="17"/>
        <v>5</v>
      </c>
      <c r="AI26" s="90" t="e">
        <f>VLOOKUP($A26,'0.Productos'!$A$3:$GG$65,'0.Productos'!FR$1+1,0)</f>
        <v>#N/A</v>
      </c>
      <c r="AJ26" s="90" t="e">
        <f>VLOOKUP($A26,'0.Productos'!$A$3:$GG$65,'0.Productos'!FS$1+1,0)</f>
        <v>#N/A</v>
      </c>
      <c r="AK26" s="112">
        <v>8500</v>
      </c>
      <c r="AL26" s="111" t="str">
        <f t="shared" si="18"/>
        <v/>
      </c>
      <c r="AM26" s="67">
        <f t="shared" si="19"/>
        <v>5</v>
      </c>
      <c r="AN26" s="57">
        <v>2000</v>
      </c>
      <c r="AO26" s="57">
        <v>1600</v>
      </c>
      <c r="AP26" s="57">
        <v>1600</v>
      </c>
      <c r="AQ26" s="57">
        <v>600</v>
      </c>
      <c r="AR26" s="57">
        <v>1600</v>
      </c>
      <c r="AS26" s="57">
        <v>600</v>
      </c>
      <c r="AT26" s="51" t="str">
        <f t="shared" si="20"/>
        <v/>
      </c>
      <c r="AU26" s="51">
        <f t="shared" si="21"/>
        <v>1600</v>
      </c>
      <c r="AV26" s="51" t="str">
        <f t="shared" si="22"/>
        <v/>
      </c>
      <c r="AW26" s="51">
        <f t="shared" si="23"/>
        <v>600</v>
      </c>
      <c r="AX26" s="51" t="str">
        <f t="shared" si="24"/>
        <v/>
      </c>
      <c r="AY26" s="51" t="str">
        <f t="shared" si="25"/>
        <v/>
      </c>
      <c r="AZ26" s="110" t="str">
        <f t="shared" si="26"/>
        <v/>
      </c>
      <c r="BA26" s="67">
        <f t="shared" si="27"/>
        <v>5</v>
      </c>
      <c r="BC26" s="20" t="str">
        <f>IF(LEFT(A26,7)='0.User'!$AC$3,"SI","NO")</f>
        <v>NO</v>
      </c>
      <c r="BD26" s="20" t="str">
        <f>IF(LEFT(A26,7)='0.User'!$AC$3,"SI","NO")</f>
        <v>NO</v>
      </c>
      <c r="BE26" s="20" t="str">
        <f>IF(LEFT(A26,7)='0.User'!$AC$3,"SI","NO")</f>
        <v>NO</v>
      </c>
    </row>
    <row r="27" spans="1:57" x14ac:dyDescent="0.25">
      <c r="A27">
        <f>'0.Consolidado general'!$A19</f>
        <v>0</v>
      </c>
      <c r="B27" s="90" t="e">
        <f>VLOOKUP($A27,'0.Productos'!$A$3:$GG$65,'0.Productos'!FC$1+1,0)</f>
        <v>#N/A</v>
      </c>
      <c r="C27" s="90" t="e">
        <f>VLOOKUP($A27,'0.Productos'!$A$3:$GG$65,'0.Productos'!FD$1+1,0)</f>
        <v>#N/A</v>
      </c>
      <c r="D27" s="90" t="e">
        <f>VLOOKUP($A27,'0.Productos'!$A$3:$GG$65,'0.Productos'!FE$1+1,0)</f>
        <v>#N/A</v>
      </c>
      <c r="E27" s="90" t="e">
        <f>VLOOKUP($A27,'0.Productos'!$A$3:$GG$65,'0.Productos'!FF$1+1,0)</f>
        <v>#N/A</v>
      </c>
      <c r="F27" s="90" t="e">
        <f>VLOOKUP($A27,'0.Productos'!$A$3:$GG$65,'0.Productos'!FG$1+1,0)</f>
        <v>#N/A</v>
      </c>
      <c r="G27" s="90" t="e">
        <f>VLOOKUP($A27,'0.Productos'!$A$3:$GG$65,'0.Productos'!FH$1+1,0)</f>
        <v>#N/A</v>
      </c>
      <c r="H27" s="90" t="e">
        <f>VLOOKUP($A27,'0.Productos'!$A$3:$GG$65,'0.Productos'!FI$1+1,0)</f>
        <v>#N/A</v>
      </c>
      <c r="I27" s="90" t="e">
        <f>VLOOKUP($A27,'0.Productos'!$A$3:$GG$65,'0.Productos'!FJ$1+1,0)</f>
        <v>#N/A</v>
      </c>
      <c r="J27" s="90" t="e">
        <f>VLOOKUP($A27,'0.Productos'!$A$3:$GG$65,'0.Productos'!FK$1+1,0)</f>
        <v>#N/A</v>
      </c>
      <c r="K27" s="90" t="e">
        <f>VLOOKUP($A27,'0.Productos'!$A$3:$GG$65,'0.Productos'!FL$1+1,0)</f>
        <v>#N/A</v>
      </c>
      <c r="L27" s="90" t="e">
        <f>VLOOKUP($A27,'0.Productos'!$A$3:$GG$65,'0.Productos'!FM$1+1,0)</f>
        <v>#N/A</v>
      </c>
      <c r="M27" s="90" t="e">
        <f>VLOOKUP($A27,'0.Productos'!$A$3:$GG$65,'0.Productos'!FN$1+1,0)</f>
        <v>#N/A</v>
      </c>
      <c r="N27" s="90" t="e">
        <f>VLOOKUP($A27,'0.Productos'!$A$3:$GG$65,'0.Productos'!FO$1+1,0)</f>
        <v>#N/A</v>
      </c>
      <c r="O27" s="90" t="e">
        <f>VLOOKUP($A27,'0.Productos'!$A$3:$GG$65,'0.Productos'!FP$1+1,0)</f>
        <v>#N/A</v>
      </c>
      <c r="P27" s="90" t="e">
        <f>VLOOKUP($A27,'0.Productos'!$A$3:$GG$65,'0.Productos'!FQ$1+1,0)</f>
        <v>#N/A</v>
      </c>
      <c r="Q27" s="51" t="str">
        <f t="shared" si="0"/>
        <v/>
      </c>
      <c r="R27" s="51" t="str">
        <f t="shared" si="1"/>
        <v/>
      </c>
      <c r="S27" s="110" t="e">
        <f t="shared" si="2"/>
        <v>#VALUE!</v>
      </c>
      <c r="T27" s="51" t="str">
        <f t="shared" si="3"/>
        <v/>
      </c>
      <c r="U27" s="51" t="str">
        <f t="shared" si="4"/>
        <v/>
      </c>
      <c r="V27" s="51" t="str">
        <f t="shared" si="5"/>
        <v/>
      </c>
      <c r="W27" s="51" t="str">
        <f t="shared" si="6"/>
        <v/>
      </c>
      <c r="X27" s="51" t="str">
        <f t="shared" si="7"/>
        <v/>
      </c>
      <c r="Y27" s="51" t="str">
        <f t="shared" si="8"/>
        <v/>
      </c>
      <c r="Z27" s="51" t="str">
        <f t="shared" si="9"/>
        <v/>
      </c>
      <c r="AA27" s="51" t="str">
        <f t="shared" si="10"/>
        <v/>
      </c>
      <c r="AB27" s="51" t="str">
        <f t="shared" si="11"/>
        <v/>
      </c>
      <c r="AC27" s="51" t="str">
        <f t="shared" si="12"/>
        <v/>
      </c>
      <c r="AD27" s="51" t="str">
        <f t="shared" si="13"/>
        <v/>
      </c>
      <c r="AE27" s="51">
        <f t="shared" si="14"/>
        <v>0</v>
      </c>
      <c r="AF27" s="51">
        <f t="shared" si="15"/>
        <v>0</v>
      </c>
      <c r="AG27" s="51" t="str">
        <f t="shared" si="16"/>
        <v/>
      </c>
      <c r="AH27" s="67">
        <f t="shared" si="17"/>
        <v>5</v>
      </c>
      <c r="AI27" s="90" t="e">
        <f>VLOOKUP($A27,'0.Productos'!$A$3:$GG$65,'0.Productos'!FR$1+1,0)</f>
        <v>#N/A</v>
      </c>
      <c r="AJ27" s="90" t="e">
        <f>VLOOKUP($A27,'0.Productos'!$A$3:$GG$65,'0.Productos'!FS$1+1,0)</f>
        <v>#N/A</v>
      </c>
      <c r="AK27" s="112">
        <v>8500</v>
      </c>
      <c r="AL27" s="111" t="str">
        <f t="shared" si="18"/>
        <v/>
      </c>
      <c r="AM27" s="67">
        <f t="shared" si="19"/>
        <v>5</v>
      </c>
      <c r="AN27" s="57">
        <v>700</v>
      </c>
      <c r="AO27" s="57">
        <v>1600</v>
      </c>
      <c r="AP27" s="57">
        <v>1400</v>
      </c>
      <c r="AQ27" s="57">
        <v>600</v>
      </c>
      <c r="AR27" s="57">
        <v>1200</v>
      </c>
      <c r="AS27" s="57">
        <v>400</v>
      </c>
      <c r="AT27" s="51" t="str">
        <f t="shared" si="20"/>
        <v/>
      </c>
      <c r="AU27" s="51">
        <f t="shared" si="21"/>
        <v>1600</v>
      </c>
      <c r="AV27" s="51" t="str">
        <f t="shared" si="22"/>
        <v/>
      </c>
      <c r="AW27" s="51">
        <f t="shared" si="23"/>
        <v>600</v>
      </c>
      <c r="AX27" s="51" t="str">
        <f t="shared" si="24"/>
        <v/>
      </c>
      <c r="AY27" s="51" t="str">
        <f t="shared" si="25"/>
        <v/>
      </c>
      <c r="AZ27" s="110" t="str">
        <f t="shared" si="26"/>
        <v/>
      </c>
      <c r="BA27" s="67">
        <f t="shared" si="27"/>
        <v>5</v>
      </c>
      <c r="BC27" s="20" t="str">
        <f>IF(LEFT(A27,7)='0.User'!$AC$3,"SI","NO")</f>
        <v>NO</v>
      </c>
      <c r="BD27" s="20" t="str">
        <f>IF(LEFT(A27,7)='0.User'!$AC$3,"SI","NO")</f>
        <v>NO</v>
      </c>
      <c r="BE27" s="20" t="str">
        <f>IF(LEFT(A27,7)='0.User'!$AC$3,"SI","NO")</f>
        <v>NO</v>
      </c>
    </row>
    <row r="28" spans="1:57" x14ac:dyDescent="0.25">
      <c r="A28">
        <f>'0.Consolidado general'!$A20</f>
        <v>0</v>
      </c>
      <c r="B28" s="90" t="e">
        <f>VLOOKUP($A28,'0.Productos'!$A$3:$GG$65,'0.Productos'!FC$1+1,0)</f>
        <v>#N/A</v>
      </c>
      <c r="C28" s="90" t="e">
        <f>VLOOKUP($A28,'0.Productos'!$A$3:$GG$65,'0.Productos'!FD$1+1,0)</f>
        <v>#N/A</v>
      </c>
      <c r="D28" s="90" t="e">
        <f>VLOOKUP($A28,'0.Productos'!$A$3:$GG$65,'0.Productos'!FE$1+1,0)</f>
        <v>#N/A</v>
      </c>
      <c r="E28" s="90" t="e">
        <f>VLOOKUP($A28,'0.Productos'!$A$3:$GG$65,'0.Productos'!FF$1+1,0)</f>
        <v>#N/A</v>
      </c>
      <c r="F28" s="90" t="e">
        <f>VLOOKUP($A28,'0.Productos'!$A$3:$GG$65,'0.Productos'!FG$1+1,0)</f>
        <v>#N/A</v>
      </c>
      <c r="G28" s="90" t="e">
        <f>VLOOKUP($A28,'0.Productos'!$A$3:$GG$65,'0.Productos'!FH$1+1,0)</f>
        <v>#N/A</v>
      </c>
      <c r="H28" s="90" t="e">
        <f>VLOOKUP($A28,'0.Productos'!$A$3:$GG$65,'0.Productos'!FI$1+1,0)</f>
        <v>#N/A</v>
      </c>
      <c r="I28" s="90" t="e">
        <f>VLOOKUP($A28,'0.Productos'!$A$3:$GG$65,'0.Productos'!FJ$1+1,0)</f>
        <v>#N/A</v>
      </c>
      <c r="J28" s="90" t="e">
        <f>VLOOKUP($A28,'0.Productos'!$A$3:$GG$65,'0.Productos'!FK$1+1,0)</f>
        <v>#N/A</v>
      </c>
      <c r="K28" s="90" t="e">
        <f>VLOOKUP($A28,'0.Productos'!$A$3:$GG$65,'0.Productos'!FL$1+1,0)</f>
        <v>#N/A</v>
      </c>
      <c r="L28" s="90" t="e">
        <f>VLOOKUP($A28,'0.Productos'!$A$3:$GG$65,'0.Productos'!FM$1+1,0)</f>
        <v>#N/A</v>
      </c>
      <c r="M28" s="90" t="e">
        <f>VLOOKUP($A28,'0.Productos'!$A$3:$GG$65,'0.Productos'!FN$1+1,0)</f>
        <v>#N/A</v>
      </c>
      <c r="N28" s="90" t="e">
        <f>VLOOKUP($A28,'0.Productos'!$A$3:$GG$65,'0.Productos'!FO$1+1,0)</f>
        <v>#N/A</v>
      </c>
      <c r="O28" s="90" t="e">
        <f>VLOOKUP($A28,'0.Productos'!$A$3:$GG$65,'0.Productos'!FP$1+1,0)</f>
        <v>#N/A</v>
      </c>
      <c r="P28" s="90" t="e">
        <f>VLOOKUP($A28,'0.Productos'!$A$3:$GG$65,'0.Productos'!FQ$1+1,0)</f>
        <v>#N/A</v>
      </c>
      <c r="Q28" s="51" t="str">
        <f t="shared" si="0"/>
        <v/>
      </c>
      <c r="R28" s="51" t="str">
        <f t="shared" si="1"/>
        <v/>
      </c>
      <c r="S28" s="110" t="e">
        <f t="shared" si="2"/>
        <v>#VALUE!</v>
      </c>
      <c r="T28" s="51" t="str">
        <f t="shared" si="3"/>
        <v/>
      </c>
      <c r="U28" s="51" t="str">
        <f t="shared" si="4"/>
        <v/>
      </c>
      <c r="V28" s="51" t="str">
        <f t="shared" si="5"/>
        <v/>
      </c>
      <c r="W28" s="51" t="str">
        <f t="shared" si="6"/>
        <v/>
      </c>
      <c r="X28" s="51" t="str">
        <f t="shared" si="7"/>
        <v/>
      </c>
      <c r="Y28" s="51" t="str">
        <f t="shared" si="8"/>
        <v/>
      </c>
      <c r="Z28" s="51" t="str">
        <f t="shared" si="9"/>
        <v/>
      </c>
      <c r="AA28" s="51" t="str">
        <f t="shared" si="10"/>
        <v/>
      </c>
      <c r="AB28" s="51" t="str">
        <f t="shared" si="11"/>
        <v/>
      </c>
      <c r="AC28" s="51" t="str">
        <f t="shared" si="12"/>
        <v/>
      </c>
      <c r="AD28" s="51" t="str">
        <f t="shared" si="13"/>
        <v/>
      </c>
      <c r="AE28" s="51">
        <f t="shared" si="14"/>
        <v>0</v>
      </c>
      <c r="AF28" s="51">
        <f t="shared" si="15"/>
        <v>0</v>
      </c>
      <c r="AG28" s="51" t="str">
        <f t="shared" si="16"/>
        <v/>
      </c>
      <c r="AH28" s="67">
        <f t="shared" si="17"/>
        <v>5</v>
      </c>
      <c r="AI28" s="90" t="e">
        <f>VLOOKUP($A28,'0.Productos'!$A$3:$GG$65,'0.Productos'!FR$1+1,0)</f>
        <v>#N/A</v>
      </c>
      <c r="AJ28" s="90" t="e">
        <f>VLOOKUP($A28,'0.Productos'!$A$3:$GG$65,'0.Productos'!FS$1+1,0)</f>
        <v>#N/A</v>
      </c>
      <c r="AK28" s="112">
        <v>8500</v>
      </c>
      <c r="AL28" s="111" t="str">
        <f t="shared" si="18"/>
        <v/>
      </c>
      <c r="AM28" s="67">
        <f t="shared" si="19"/>
        <v>5</v>
      </c>
      <c r="AN28" s="57">
        <v>900</v>
      </c>
      <c r="AO28" s="57">
        <v>1500</v>
      </c>
      <c r="AP28" s="57">
        <v>1100</v>
      </c>
      <c r="AQ28" s="57">
        <v>1600</v>
      </c>
      <c r="AR28" s="57">
        <v>800</v>
      </c>
      <c r="AS28" s="57">
        <v>500</v>
      </c>
      <c r="AT28" s="51" t="str">
        <f t="shared" si="20"/>
        <v/>
      </c>
      <c r="AU28" s="51">
        <f t="shared" si="21"/>
        <v>1500</v>
      </c>
      <c r="AV28" s="51" t="str">
        <f t="shared" si="22"/>
        <v/>
      </c>
      <c r="AW28" s="51">
        <f t="shared" si="23"/>
        <v>1600</v>
      </c>
      <c r="AX28" s="51" t="str">
        <f t="shared" si="24"/>
        <v/>
      </c>
      <c r="AY28" s="51" t="str">
        <f t="shared" si="25"/>
        <v/>
      </c>
      <c r="AZ28" s="110" t="str">
        <f t="shared" si="26"/>
        <v/>
      </c>
      <c r="BA28" s="67">
        <f t="shared" si="27"/>
        <v>5</v>
      </c>
      <c r="BC28" s="20" t="str">
        <f>IF(LEFT(A28,7)='0.User'!$AC$3,"SI","NO")</f>
        <v>NO</v>
      </c>
      <c r="BD28" s="20" t="str">
        <f>IF(LEFT(A28,7)='0.User'!$AC$3,"SI","NO")</f>
        <v>NO</v>
      </c>
      <c r="BE28" s="20" t="str">
        <f>IF(LEFT(A28,7)='0.User'!$AC$3,"SI","NO")</f>
        <v>NO</v>
      </c>
    </row>
    <row r="29" spans="1:57" x14ac:dyDescent="0.25">
      <c r="A29">
        <f>'0.Consolidado general'!$A21</f>
        <v>0</v>
      </c>
      <c r="B29" s="90" t="e">
        <f>VLOOKUP($A29,'0.Productos'!$A$3:$GG$65,'0.Productos'!FC$1+1,0)</f>
        <v>#N/A</v>
      </c>
      <c r="C29" s="90" t="e">
        <f>VLOOKUP($A29,'0.Productos'!$A$3:$GG$65,'0.Productos'!FD$1+1,0)</f>
        <v>#N/A</v>
      </c>
      <c r="D29" s="90" t="e">
        <f>VLOOKUP($A29,'0.Productos'!$A$3:$GG$65,'0.Productos'!FE$1+1,0)</f>
        <v>#N/A</v>
      </c>
      <c r="E29" s="90" t="e">
        <f>VLOOKUP($A29,'0.Productos'!$A$3:$GG$65,'0.Productos'!FF$1+1,0)</f>
        <v>#N/A</v>
      </c>
      <c r="F29" s="90" t="e">
        <f>VLOOKUP($A29,'0.Productos'!$A$3:$GG$65,'0.Productos'!FG$1+1,0)</f>
        <v>#N/A</v>
      </c>
      <c r="G29" s="90" t="e">
        <f>VLOOKUP($A29,'0.Productos'!$A$3:$GG$65,'0.Productos'!FH$1+1,0)</f>
        <v>#N/A</v>
      </c>
      <c r="H29" s="90" t="e">
        <f>VLOOKUP($A29,'0.Productos'!$A$3:$GG$65,'0.Productos'!FI$1+1,0)</f>
        <v>#N/A</v>
      </c>
      <c r="I29" s="90" t="e">
        <f>VLOOKUP($A29,'0.Productos'!$A$3:$GG$65,'0.Productos'!FJ$1+1,0)</f>
        <v>#N/A</v>
      </c>
      <c r="J29" s="90" t="e">
        <f>VLOOKUP($A29,'0.Productos'!$A$3:$GG$65,'0.Productos'!FK$1+1,0)</f>
        <v>#N/A</v>
      </c>
      <c r="K29" s="90" t="e">
        <f>VLOOKUP($A29,'0.Productos'!$A$3:$GG$65,'0.Productos'!FL$1+1,0)</f>
        <v>#N/A</v>
      </c>
      <c r="L29" s="90" t="e">
        <f>VLOOKUP($A29,'0.Productos'!$A$3:$GG$65,'0.Productos'!FM$1+1,0)</f>
        <v>#N/A</v>
      </c>
      <c r="M29" s="90" t="e">
        <f>VLOOKUP($A29,'0.Productos'!$A$3:$GG$65,'0.Productos'!FN$1+1,0)</f>
        <v>#N/A</v>
      </c>
      <c r="N29" s="90" t="e">
        <f>VLOOKUP($A29,'0.Productos'!$A$3:$GG$65,'0.Productos'!FO$1+1,0)</f>
        <v>#N/A</v>
      </c>
      <c r="O29" s="90" t="e">
        <f>VLOOKUP($A29,'0.Productos'!$A$3:$GG$65,'0.Productos'!FP$1+1,0)</f>
        <v>#N/A</v>
      </c>
      <c r="P29" s="90" t="e">
        <f>VLOOKUP($A29,'0.Productos'!$A$3:$GG$65,'0.Productos'!FQ$1+1,0)</f>
        <v>#N/A</v>
      </c>
      <c r="Q29" s="51" t="str">
        <f t="shared" si="0"/>
        <v/>
      </c>
      <c r="R29" s="51" t="str">
        <f t="shared" si="1"/>
        <v/>
      </c>
      <c r="S29" s="110" t="e">
        <f t="shared" si="2"/>
        <v>#VALUE!</v>
      </c>
      <c r="T29" s="51" t="str">
        <f t="shared" si="3"/>
        <v/>
      </c>
      <c r="U29" s="51" t="str">
        <f t="shared" si="4"/>
        <v/>
      </c>
      <c r="V29" s="51" t="str">
        <f t="shared" si="5"/>
        <v/>
      </c>
      <c r="W29" s="51" t="str">
        <f t="shared" si="6"/>
        <v/>
      </c>
      <c r="X29" s="51" t="str">
        <f t="shared" si="7"/>
        <v/>
      </c>
      <c r="Y29" s="51" t="str">
        <f t="shared" si="8"/>
        <v/>
      </c>
      <c r="Z29" s="51" t="str">
        <f t="shared" si="9"/>
        <v/>
      </c>
      <c r="AA29" s="51" t="str">
        <f t="shared" si="10"/>
        <v/>
      </c>
      <c r="AB29" s="51" t="str">
        <f t="shared" si="11"/>
        <v/>
      </c>
      <c r="AC29" s="51" t="str">
        <f t="shared" si="12"/>
        <v/>
      </c>
      <c r="AD29" s="51" t="str">
        <f t="shared" si="13"/>
        <v/>
      </c>
      <c r="AE29" s="51">
        <f t="shared" si="14"/>
        <v>0</v>
      </c>
      <c r="AF29" s="51">
        <f t="shared" si="15"/>
        <v>0</v>
      </c>
      <c r="AG29" s="51" t="str">
        <f t="shared" si="16"/>
        <v/>
      </c>
      <c r="AH29" s="67">
        <f t="shared" si="17"/>
        <v>5</v>
      </c>
      <c r="AI29" s="90" t="e">
        <f>VLOOKUP($A29,'0.Productos'!$A$3:$GG$65,'0.Productos'!FR$1+1,0)</f>
        <v>#N/A</v>
      </c>
      <c r="AJ29" s="90" t="e">
        <f>VLOOKUP($A29,'0.Productos'!$A$3:$GG$65,'0.Productos'!FS$1+1,0)</f>
        <v>#N/A</v>
      </c>
      <c r="AK29" s="112">
        <v>8500</v>
      </c>
      <c r="AL29" s="111" t="str">
        <f t="shared" si="18"/>
        <v/>
      </c>
      <c r="AM29" s="67">
        <f t="shared" si="19"/>
        <v>5</v>
      </c>
      <c r="AN29" s="57">
        <v>0</v>
      </c>
      <c r="AO29" s="57">
        <v>700</v>
      </c>
      <c r="AP29" s="57">
        <v>400</v>
      </c>
      <c r="AQ29" s="57">
        <v>1800</v>
      </c>
      <c r="AR29" s="57">
        <v>600</v>
      </c>
      <c r="AS29" s="57">
        <v>1800</v>
      </c>
      <c r="AT29" s="51" t="str">
        <f t="shared" si="20"/>
        <v/>
      </c>
      <c r="AU29" s="51">
        <f t="shared" si="21"/>
        <v>700</v>
      </c>
      <c r="AV29" s="51" t="str">
        <f t="shared" si="22"/>
        <v/>
      </c>
      <c r="AW29" s="51">
        <f t="shared" si="23"/>
        <v>1800</v>
      </c>
      <c r="AX29" s="51" t="str">
        <f t="shared" si="24"/>
        <v/>
      </c>
      <c r="AY29" s="51" t="str">
        <f t="shared" si="25"/>
        <v/>
      </c>
      <c r="AZ29" s="110" t="str">
        <f t="shared" si="26"/>
        <v/>
      </c>
      <c r="BA29" s="67">
        <f t="shared" si="27"/>
        <v>5</v>
      </c>
      <c r="BC29" s="20" t="str">
        <f>IF(LEFT(A29,7)='0.User'!$AC$3,"SI","NO")</f>
        <v>NO</v>
      </c>
      <c r="BD29" s="20" t="str">
        <f>IF(LEFT(A29,7)='0.User'!$AC$3,"SI","NO")</f>
        <v>NO</v>
      </c>
      <c r="BE29" s="20" t="str">
        <f>IF(LEFT(A29,7)='0.User'!$AC$3,"SI","NO")</f>
        <v>NO</v>
      </c>
    </row>
    <row r="30" spans="1:57" x14ac:dyDescent="0.25">
      <c r="A30">
        <f>'0.Consolidado general'!$A22</f>
        <v>0</v>
      </c>
      <c r="B30" s="90" t="e">
        <f>VLOOKUP($A30,'0.Productos'!$A$3:$GG$65,'0.Productos'!FC$1+1,0)</f>
        <v>#N/A</v>
      </c>
      <c r="C30" s="90" t="e">
        <f>VLOOKUP($A30,'0.Productos'!$A$3:$GG$65,'0.Productos'!FD$1+1,0)</f>
        <v>#N/A</v>
      </c>
      <c r="D30" s="90" t="e">
        <f>VLOOKUP($A30,'0.Productos'!$A$3:$GG$65,'0.Productos'!FE$1+1,0)</f>
        <v>#N/A</v>
      </c>
      <c r="E30" s="90" t="e">
        <f>VLOOKUP($A30,'0.Productos'!$A$3:$GG$65,'0.Productos'!FF$1+1,0)</f>
        <v>#N/A</v>
      </c>
      <c r="F30" s="90" t="e">
        <f>VLOOKUP($A30,'0.Productos'!$A$3:$GG$65,'0.Productos'!FG$1+1,0)</f>
        <v>#N/A</v>
      </c>
      <c r="G30" s="90" t="e">
        <f>VLOOKUP($A30,'0.Productos'!$A$3:$GG$65,'0.Productos'!FH$1+1,0)</f>
        <v>#N/A</v>
      </c>
      <c r="H30" s="90" t="e">
        <f>VLOOKUP($A30,'0.Productos'!$A$3:$GG$65,'0.Productos'!FI$1+1,0)</f>
        <v>#N/A</v>
      </c>
      <c r="I30" s="90" t="e">
        <f>VLOOKUP($A30,'0.Productos'!$A$3:$GG$65,'0.Productos'!FJ$1+1,0)</f>
        <v>#N/A</v>
      </c>
      <c r="J30" s="90" t="e">
        <f>VLOOKUP($A30,'0.Productos'!$A$3:$GG$65,'0.Productos'!FK$1+1,0)</f>
        <v>#N/A</v>
      </c>
      <c r="K30" s="90" t="e">
        <f>VLOOKUP($A30,'0.Productos'!$A$3:$GG$65,'0.Productos'!FL$1+1,0)</f>
        <v>#N/A</v>
      </c>
      <c r="L30" s="90" t="e">
        <f>VLOOKUP($A30,'0.Productos'!$A$3:$GG$65,'0.Productos'!FM$1+1,0)</f>
        <v>#N/A</v>
      </c>
      <c r="M30" s="90" t="e">
        <f>VLOOKUP($A30,'0.Productos'!$A$3:$GG$65,'0.Productos'!FN$1+1,0)</f>
        <v>#N/A</v>
      </c>
      <c r="N30" s="90" t="e">
        <f>VLOOKUP($A30,'0.Productos'!$A$3:$GG$65,'0.Productos'!FO$1+1,0)</f>
        <v>#N/A</v>
      </c>
      <c r="O30" s="90" t="e">
        <f>VLOOKUP($A30,'0.Productos'!$A$3:$GG$65,'0.Productos'!FP$1+1,0)</f>
        <v>#N/A</v>
      </c>
      <c r="P30" s="90" t="e">
        <f>VLOOKUP($A30,'0.Productos'!$A$3:$GG$65,'0.Productos'!FQ$1+1,0)</f>
        <v>#N/A</v>
      </c>
      <c r="Q30" s="51" t="str">
        <f t="shared" si="0"/>
        <v/>
      </c>
      <c r="R30" s="51" t="str">
        <f t="shared" si="1"/>
        <v/>
      </c>
      <c r="S30" s="110" t="e">
        <f t="shared" si="2"/>
        <v>#VALUE!</v>
      </c>
      <c r="T30" s="51" t="str">
        <f t="shared" si="3"/>
        <v/>
      </c>
      <c r="U30" s="51" t="str">
        <f t="shared" si="4"/>
        <v/>
      </c>
      <c r="V30" s="51" t="str">
        <f t="shared" si="5"/>
        <v/>
      </c>
      <c r="W30" s="51" t="str">
        <f t="shared" si="6"/>
        <v/>
      </c>
      <c r="X30" s="51" t="str">
        <f t="shared" si="7"/>
        <v/>
      </c>
      <c r="Y30" s="51" t="str">
        <f t="shared" si="8"/>
        <v/>
      </c>
      <c r="Z30" s="51" t="str">
        <f t="shared" si="9"/>
        <v/>
      </c>
      <c r="AA30" s="51" t="str">
        <f t="shared" si="10"/>
        <v/>
      </c>
      <c r="AB30" s="51" t="str">
        <f t="shared" si="11"/>
        <v/>
      </c>
      <c r="AC30" s="51" t="str">
        <f t="shared" si="12"/>
        <v/>
      </c>
      <c r="AD30" s="51" t="str">
        <f t="shared" si="13"/>
        <v/>
      </c>
      <c r="AE30" s="51">
        <f t="shared" si="14"/>
        <v>0</v>
      </c>
      <c r="AF30" s="51">
        <f t="shared" si="15"/>
        <v>0</v>
      </c>
      <c r="AG30" s="51" t="str">
        <f t="shared" si="16"/>
        <v/>
      </c>
      <c r="AH30" s="67">
        <f t="shared" si="17"/>
        <v>5</v>
      </c>
      <c r="AI30" s="90" t="e">
        <f>VLOOKUP($A30,'0.Productos'!$A$3:$GG$65,'0.Productos'!FR$1+1,0)</f>
        <v>#N/A</v>
      </c>
      <c r="AJ30" s="90" t="e">
        <f>VLOOKUP($A30,'0.Productos'!$A$3:$GG$65,'0.Productos'!FS$1+1,0)</f>
        <v>#N/A</v>
      </c>
      <c r="AK30" s="112">
        <v>8500</v>
      </c>
      <c r="AL30" s="111" t="str">
        <f t="shared" si="18"/>
        <v/>
      </c>
      <c r="AM30" s="67">
        <f t="shared" si="19"/>
        <v>5</v>
      </c>
      <c r="AN30" s="57">
        <v>600</v>
      </c>
      <c r="AO30" s="57">
        <v>1000</v>
      </c>
      <c r="AP30" s="57">
        <v>100</v>
      </c>
      <c r="AQ30" s="57">
        <v>2000</v>
      </c>
      <c r="AR30" s="57">
        <v>1700</v>
      </c>
      <c r="AS30" s="57">
        <v>1400</v>
      </c>
      <c r="AT30" s="51" t="str">
        <f t="shared" si="20"/>
        <v/>
      </c>
      <c r="AU30" s="51">
        <f t="shared" si="21"/>
        <v>1000</v>
      </c>
      <c r="AV30" s="51" t="str">
        <f t="shared" si="22"/>
        <v/>
      </c>
      <c r="AW30" s="51">
        <f t="shared" si="23"/>
        <v>2000</v>
      </c>
      <c r="AX30" s="51" t="str">
        <f t="shared" si="24"/>
        <v/>
      </c>
      <c r="AY30" s="51" t="str">
        <f t="shared" si="25"/>
        <v/>
      </c>
      <c r="AZ30" s="110" t="str">
        <f t="shared" si="26"/>
        <v/>
      </c>
      <c r="BA30" s="67">
        <f t="shared" si="27"/>
        <v>5</v>
      </c>
      <c r="BC30" s="20" t="str">
        <f>IF(LEFT(A30,7)='0.User'!$AC$3,"SI","NO")</f>
        <v>NO</v>
      </c>
      <c r="BD30" s="20" t="str">
        <f>IF(LEFT(A30,7)='0.User'!$AC$3,"SI","NO")</f>
        <v>NO</v>
      </c>
      <c r="BE30" s="20" t="str">
        <f>IF(LEFT(A30,7)='0.User'!$AC$3,"SI","NO")</f>
        <v>NO</v>
      </c>
    </row>
    <row r="31" spans="1:57" x14ac:dyDescent="0.25">
      <c r="A31">
        <f>'0.Consolidado general'!$A23</f>
        <v>0</v>
      </c>
      <c r="B31" s="90" t="e">
        <f>VLOOKUP($A31,'0.Productos'!$A$3:$GG$65,'0.Productos'!FC$1+1,0)</f>
        <v>#N/A</v>
      </c>
      <c r="C31" s="90" t="e">
        <f>VLOOKUP($A31,'0.Productos'!$A$3:$GG$65,'0.Productos'!FD$1+1,0)</f>
        <v>#N/A</v>
      </c>
      <c r="D31" s="90" t="e">
        <f>VLOOKUP($A31,'0.Productos'!$A$3:$GG$65,'0.Productos'!FE$1+1,0)</f>
        <v>#N/A</v>
      </c>
      <c r="E31" s="90" t="e">
        <f>VLOOKUP($A31,'0.Productos'!$A$3:$GG$65,'0.Productos'!FF$1+1,0)</f>
        <v>#N/A</v>
      </c>
      <c r="F31" s="90" t="e">
        <f>VLOOKUP($A31,'0.Productos'!$A$3:$GG$65,'0.Productos'!FG$1+1,0)</f>
        <v>#N/A</v>
      </c>
      <c r="G31" s="90" t="e">
        <f>VLOOKUP($A31,'0.Productos'!$A$3:$GG$65,'0.Productos'!FH$1+1,0)</f>
        <v>#N/A</v>
      </c>
      <c r="H31" s="90" t="e">
        <f>VLOOKUP($A31,'0.Productos'!$A$3:$GG$65,'0.Productos'!FI$1+1,0)</f>
        <v>#N/A</v>
      </c>
      <c r="I31" s="90" t="e">
        <f>VLOOKUP($A31,'0.Productos'!$A$3:$GG$65,'0.Productos'!FJ$1+1,0)</f>
        <v>#N/A</v>
      </c>
      <c r="J31" s="90" t="e">
        <f>VLOOKUP($A31,'0.Productos'!$A$3:$GG$65,'0.Productos'!FK$1+1,0)</f>
        <v>#N/A</v>
      </c>
      <c r="K31" s="90" t="e">
        <f>VLOOKUP($A31,'0.Productos'!$A$3:$GG$65,'0.Productos'!FL$1+1,0)</f>
        <v>#N/A</v>
      </c>
      <c r="L31" s="90" t="e">
        <f>VLOOKUP($A31,'0.Productos'!$A$3:$GG$65,'0.Productos'!FM$1+1,0)</f>
        <v>#N/A</v>
      </c>
      <c r="M31" s="90" t="e">
        <f>VLOOKUP($A31,'0.Productos'!$A$3:$GG$65,'0.Productos'!FN$1+1,0)</f>
        <v>#N/A</v>
      </c>
      <c r="N31" s="90" t="e">
        <f>VLOOKUP($A31,'0.Productos'!$A$3:$GG$65,'0.Productos'!FO$1+1,0)</f>
        <v>#N/A</v>
      </c>
      <c r="O31" s="90" t="e">
        <f>VLOOKUP($A31,'0.Productos'!$A$3:$GG$65,'0.Productos'!FP$1+1,0)</f>
        <v>#N/A</v>
      </c>
      <c r="P31" s="90" t="e">
        <f>VLOOKUP($A31,'0.Productos'!$A$3:$GG$65,'0.Productos'!FQ$1+1,0)</f>
        <v>#N/A</v>
      </c>
      <c r="Q31" s="51" t="str">
        <f t="shared" si="0"/>
        <v/>
      </c>
      <c r="R31" s="51" t="str">
        <f t="shared" si="1"/>
        <v/>
      </c>
      <c r="S31" s="110" t="e">
        <f t="shared" si="2"/>
        <v>#VALUE!</v>
      </c>
      <c r="T31" s="51" t="str">
        <f t="shared" si="3"/>
        <v/>
      </c>
      <c r="U31" s="51" t="str">
        <f t="shared" si="4"/>
        <v/>
      </c>
      <c r="V31" s="51" t="str">
        <f t="shared" si="5"/>
        <v/>
      </c>
      <c r="W31" s="51" t="str">
        <f t="shared" si="6"/>
        <v/>
      </c>
      <c r="X31" s="51" t="str">
        <f t="shared" si="7"/>
        <v/>
      </c>
      <c r="Y31" s="51" t="str">
        <f t="shared" si="8"/>
        <v/>
      </c>
      <c r="Z31" s="51" t="str">
        <f t="shared" si="9"/>
        <v/>
      </c>
      <c r="AA31" s="51" t="str">
        <f t="shared" si="10"/>
        <v/>
      </c>
      <c r="AB31" s="51" t="str">
        <f t="shared" si="11"/>
        <v/>
      </c>
      <c r="AC31" s="51" t="str">
        <f t="shared" si="12"/>
        <v/>
      </c>
      <c r="AD31" s="51" t="str">
        <f t="shared" si="13"/>
        <v/>
      </c>
      <c r="AE31" s="51">
        <f t="shared" si="14"/>
        <v>0</v>
      </c>
      <c r="AF31" s="51">
        <f t="shared" si="15"/>
        <v>0</v>
      </c>
      <c r="AG31" s="51" t="str">
        <f t="shared" si="16"/>
        <v/>
      </c>
      <c r="AH31" s="67">
        <f t="shared" si="17"/>
        <v>5</v>
      </c>
      <c r="AI31" s="90" t="e">
        <f>VLOOKUP($A31,'0.Productos'!$A$3:$GG$65,'0.Productos'!FR$1+1,0)</f>
        <v>#N/A</v>
      </c>
      <c r="AJ31" s="90" t="e">
        <f>VLOOKUP($A31,'0.Productos'!$A$3:$GG$65,'0.Productos'!FS$1+1,0)</f>
        <v>#N/A</v>
      </c>
      <c r="AK31" s="112">
        <v>8500</v>
      </c>
      <c r="AL31" s="111" t="str">
        <f t="shared" si="18"/>
        <v/>
      </c>
      <c r="AM31" s="67">
        <f t="shared" si="19"/>
        <v>5</v>
      </c>
      <c r="AN31" s="57">
        <v>0</v>
      </c>
      <c r="AO31" s="57">
        <v>1700</v>
      </c>
      <c r="AP31" s="57">
        <v>200</v>
      </c>
      <c r="AQ31" s="57">
        <v>300</v>
      </c>
      <c r="AR31" s="57">
        <v>1200</v>
      </c>
      <c r="AS31" s="57">
        <v>500</v>
      </c>
      <c r="AT31" s="51" t="str">
        <f t="shared" si="20"/>
        <v/>
      </c>
      <c r="AU31" s="51">
        <f t="shared" si="21"/>
        <v>1700</v>
      </c>
      <c r="AV31" s="51" t="str">
        <f t="shared" si="22"/>
        <v/>
      </c>
      <c r="AW31" s="51">
        <f t="shared" si="23"/>
        <v>300</v>
      </c>
      <c r="AX31" s="51" t="str">
        <f t="shared" si="24"/>
        <v/>
      </c>
      <c r="AY31" s="51" t="str">
        <f t="shared" si="25"/>
        <v/>
      </c>
      <c r="AZ31" s="110" t="str">
        <f t="shared" si="26"/>
        <v/>
      </c>
      <c r="BA31" s="67">
        <f t="shared" si="27"/>
        <v>5</v>
      </c>
      <c r="BC31" s="20" t="str">
        <f>IF(LEFT(A31,7)='0.User'!$AC$3,"SI","NO")</f>
        <v>NO</v>
      </c>
      <c r="BD31" s="20" t="str">
        <f>IF(LEFT(A31,7)='0.User'!$AC$3,"SI","NO")</f>
        <v>NO</v>
      </c>
      <c r="BE31" s="20" t="str">
        <f>IF(LEFT(A31,7)='0.User'!$AC$3,"SI","NO")</f>
        <v>NO</v>
      </c>
    </row>
    <row r="32" spans="1:57" x14ac:dyDescent="0.25">
      <c r="A32">
        <f>'0.Consolidado general'!$A24</f>
        <v>0</v>
      </c>
      <c r="B32" s="90" t="e">
        <f>VLOOKUP($A32,'0.Productos'!$A$3:$GG$65,'0.Productos'!FC$1+1,0)</f>
        <v>#N/A</v>
      </c>
      <c r="C32" s="90" t="e">
        <f>VLOOKUP($A32,'0.Productos'!$A$3:$GG$65,'0.Productos'!FD$1+1,0)</f>
        <v>#N/A</v>
      </c>
      <c r="D32" s="90" t="e">
        <f>VLOOKUP($A32,'0.Productos'!$A$3:$GG$65,'0.Productos'!FE$1+1,0)</f>
        <v>#N/A</v>
      </c>
      <c r="E32" s="90" t="e">
        <f>VLOOKUP($A32,'0.Productos'!$A$3:$GG$65,'0.Productos'!FF$1+1,0)</f>
        <v>#N/A</v>
      </c>
      <c r="F32" s="90" t="e">
        <f>VLOOKUP($A32,'0.Productos'!$A$3:$GG$65,'0.Productos'!FG$1+1,0)</f>
        <v>#N/A</v>
      </c>
      <c r="G32" s="90" t="e">
        <f>VLOOKUP($A32,'0.Productos'!$A$3:$GG$65,'0.Productos'!FH$1+1,0)</f>
        <v>#N/A</v>
      </c>
      <c r="H32" s="90" t="e">
        <f>VLOOKUP($A32,'0.Productos'!$A$3:$GG$65,'0.Productos'!FI$1+1,0)</f>
        <v>#N/A</v>
      </c>
      <c r="I32" s="90" t="e">
        <f>VLOOKUP($A32,'0.Productos'!$A$3:$GG$65,'0.Productos'!FJ$1+1,0)</f>
        <v>#N/A</v>
      </c>
      <c r="J32" s="90" t="e">
        <f>VLOOKUP($A32,'0.Productos'!$A$3:$GG$65,'0.Productos'!FK$1+1,0)</f>
        <v>#N/A</v>
      </c>
      <c r="K32" s="90" t="e">
        <f>VLOOKUP($A32,'0.Productos'!$A$3:$GG$65,'0.Productos'!FL$1+1,0)</f>
        <v>#N/A</v>
      </c>
      <c r="L32" s="90" t="e">
        <f>VLOOKUP($A32,'0.Productos'!$A$3:$GG$65,'0.Productos'!FM$1+1,0)</f>
        <v>#N/A</v>
      </c>
      <c r="M32" s="90" t="e">
        <f>VLOOKUP($A32,'0.Productos'!$A$3:$GG$65,'0.Productos'!FN$1+1,0)</f>
        <v>#N/A</v>
      </c>
      <c r="N32" s="90" t="e">
        <f>VLOOKUP($A32,'0.Productos'!$A$3:$GG$65,'0.Productos'!FO$1+1,0)</f>
        <v>#N/A</v>
      </c>
      <c r="O32" s="90" t="e">
        <f>VLOOKUP($A32,'0.Productos'!$A$3:$GG$65,'0.Productos'!FP$1+1,0)</f>
        <v>#N/A</v>
      </c>
      <c r="P32" s="90" t="e">
        <f>VLOOKUP($A32,'0.Productos'!$A$3:$GG$65,'0.Productos'!FQ$1+1,0)</f>
        <v>#N/A</v>
      </c>
      <c r="Q32" s="51" t="str">
        <f t="shared" si="0"/>
        <v/>
      </c>
      <c r="R32" s="51" t="str">
        <f t="shared" si="1"/>
        <v/>
      </c>
      <c r="S32" s="110" t="e">
        <f t="shared" si="2"/>
        <v>#VALUE!</v>
      </c>
      <c r="T32" s="51" t="str">
        <f t="shared" si="3"/>
        <v/>
      </c>
      <c r="U32" s="51" t="str">
        <f t="shared" si="4"/>
        <v/>
      </c>
      <c r="V32" s="51" t="str">
        <f t="shared" si="5"/>
        <v/>
      </c>
      <c r="W32" s="51" t="str">
        <f t="shared" si="6"/>
        <v/>
      </c>
      <c r="X32" s="51" t="str">
        <f t="shared" si="7"/>
        <v/>
      </c>
      <c r="Y32" s="51" t="str">
        <f t="shared" si="8"/>
        <v/>
      </c>
      <c r="Z32" s="51" t="str">
        <f t="shared" si="9"/>
        <v/>
      </c>
      <c r="AA32" s="51" t="str">
        <f t="shared" si="10"/>
        <v/>
      </c>
      <c r="AB32" s="51" t="str">
        <f t="shared" si="11"/>
        <v/>
      </c>
      <c r="AC32" s="51" t="str">
        <f t="shared" si="12"/>
        <v/>
      </c>
      <c r="AD32" s="51" t="str">
        <f t="shared" si="13"/>
        <v/>
      </c>
      <c r="AE32" s="51">
        <f t="shared" si="14"/>
        <v>0</v>
      </c>
      <c r="AF32" s="51">
        <f t="shared" si="15"/>
        <v>0</v>
      </c>
      <c r="AG32" s="51" t="str">
        <f t="shared" si="16"/>
        <v/>
      </c>
      <c r="AH32" s="67">
        <f t="shared" si="17"/>
        <v>5</v>
      </c>
      <c r="AI32" s="90" t="e">
        <f>VLOOKUP($A32,'0.Productos'!$A$3:$GG$65,'0.Productos'!FR$1+1,0)</f>
        <v>#N/A</v>
      </c>
      <c r="AJ32" s="90" t="e">
        <f>VLOOKUP($A32,'0.Productos'!$A$3:$GG$65,'0.Productos'!FS$1+1,0)</f>
        <v>#N/A</v>
      </c>
      <c r="AK32" s="112">
        <v>8500</v>
      </c>
      <c r="AL32" s="111" t="str">
        <f t="shared" si="18"/>
        <v/>
      </c>
      <c r="AM32" s="67">
        <f t="shared" si="19"/>
        <v>5</v>
      </c>
      <c r="AN32" s="57">
        <v>400</v>
      </c>
      <c r="AO32" s="57">
        <v>1700</v>
      </c>
      <c r="AP32" s="57">
        <v>1200</v>
      </c>
      <c r="AQ32" s="57">
        <v>1600</v>
      </c>
      <c r="AR32" s="57">
        <v>900</v>
      </c>
      <c r="AS32" s="57">
        <v>1200</v>
      </c>
      <c r="AT32" s="51" t="str">
        <f t="shared" si="20"/>
        <v/>
      </c>
      <c r="AU32" s="51">
        <f t="shared" si="21"/>
        <v>1700</v>
      </c>
      <c r="AV32" s="51" t="str">
        <f t="shared" si="22"/>
        <v/>
      </c>
      <c r="AW32" s="51">
        <f t="shared" si="23"/>
        <v>1600</v>
      </c>
      <c r="AX32" s="51" t="str">
        <f t="shared" si="24"/>
        <v/>
      </c>
      <c r="AY32" s="51" t="str">
        <f t="shared" si="25"/>
        <v/>
      </c>
      <c r="AZ32" s="110" t="str">
        <f t="shared" si="26"/>
        <v/>
      </c>
      <c r="BA32" s="67">
        <f t="shared" si="27"/>
        <v>5</v>
      </c>
      <c r="BC32" s="20" t="str">
        <f>IF(LEFT(A32,7)='0.User'!$AC$3,"SI","NO")</f>
        <v>NO</v>
      </c>
      <c r="BD32" s="20" t="str">
        <f>IF(LEFT(A32,7)='0.User'!$AC$3,"SI","NO")</f>
        <v>NO</v>
      </c>
      <c r="BE32" s="20" t="str">
        <f>IF(LEFT(A32,7)='0.User'!$AC$3,"SI","NO")</f>
        <v>NO</v>
      </c>
    </row>
    <row r="33" spans="1:57" x14ac:dyDescent="0.25">
      <c r="A33">
        <f>'0.Consolidado general'!$A25</f>
        <v>0</v>
      </c>
      <c r="B33" s="90" t="e">
        <f>VLOOKUP($A33,'0.Productos'!$A$3:$GG$65,'0.Productos'!FC$1+1,0)</f>
        <v>#N/A</v>
      </c>
      <c r="C33" s="90" t="e">
        <f>VLOOKUP($A33,'0.Productos'!$A$3:$GG$65,'0.Productos'!FD$1+1,0)</f>
        <v>#N/A</v>
      </c>
      <c r="D33" s="90" t="e">
        <f>VLOOKUP($A33,'0.Productos'!$A$3:$GG$65,'0.Productos'!FE$1+1,0)</f>
        <v>#N/A</v>
      </c>
      <c r="E33" s="90" t="e">
        <f>VLOOKUP($A33,'0.Productos'!$A$3:$GG$65,'0.Productos'!FF$1+1,0)</f>
        <v>#N/A</v>
      </c>
      <c r="F33" s="90" t="e">
        <f>VLOOKUP($A33,'0.Productos'!$A$3:$GG$65,'0.Productos'!FG$1+1,0)</f>
        <v>#N/A</v>
      </c>
      <c r="G33" s="90" t="e">
        <f>VLOOKUP($A33,'0.Productos'!$A$3:$GG$65,'0.Productos'!FH$1+1,0)</f>
        <v>#N/A</v>
      </c>
      <c r="H33" s="90" t="e">
        <f>VLOOKUP($A33,'0.Productos'!$A$3:$GG$65,'0.Productos'!FI$1+1,0)</f>
        <v>#N/A</v>
      </c>
      <c r="I33" s="90" t="e">
        <f>VLOOKUP($A33,'0.Productos'!$A$3:$GG$65,'0.Productos'!FJ$1+1,0)</f>
        <v>#N/A</v>
      </c>
      <c r="J33" s="90" t="e">
        <f>VLOOKUP($A33,'0.Productos'!$A$3:$GG$65,'0.Productos'!FK$1+1,0)</f>
        <v>#N/A</v>
      </c>
      <c r="K33" s="90" t="e">
        <f>VLOOKUP($A33,'0.Productos'!$A$3:$GG$65,'0.Productos'!FL$1+1,0)</f>
        <v>#N/A</v>
      </c>
      <c r="L33" s="90" t="e">
        <f>VLOOKUP($A33,'0.Productos'!$A$3:$GG$65,'0.Productos'!FM$1+1,0)</f>
        <v>#N/A</v>
      </c>
      <c r="M33" s="90" t="e">
        <f>VLOOKUP($A33,'0.Productos'!$A$3:$GG$65,'0.Productos'!FN$1+1,0)</f>
        <v>#N/A</v>
      </c>
      <c r="N33" s="90" t="e">
        <f>VLOOKUP($A33,'0.Productos'!$A$3:$GG$65,'0.Productos'!FO$1+1,0)</f>
        <v>#N/A</v>
      </c>
      <c r="O33" s="90" t="e">
        <f>VLOOKUP($A33,'0.Productos'!$A$3:$GG$65,'0.Productos'!FP$1+1,0)</f>
        <v>#N/A</v>
      </c>
      <c r="P33" s="90" t="e">
        <f>VLOOKUP($A33,'0.Productos'!$A$3:$GG$65,'0.Productos'!FQ$1+1,0)</f>
        <v>#N/A</v>
      </c>
      <c r="Q33" s="51" t="str">
        <f t="shared" si="0"/>
        <v/>
      </c>
      <c r="R33" s="51" t="str">
        <f t="shared" si="1"/>
        <v/>
      </c>
      <c r="S33" s="110" t="e">
        <f t="shared" si="2"/>
        <v>#VALUE!</v>
      </c>
      <c r="T33" s="51" t="str">
        <f t="shared" si="3"/>
        <v/>
      </c>
      <c r="U33" s="51" t="str">
        <f t="shared" si="4"/>
        <v/>
      </c>
      <c r="V33" s="51" t="str">
        <f t="shared" si="5"/>
        <v/>
      </c>
      <c r="W33" s="51" t="str">
        <f t="shared" si="6"/>
        <v/>
      </c>
      <c r="X33" s="51" t="str">
        <f t="shared" si="7"/>
        <v/>
      </c>
      <c r="Y33" s="51" t="str">
        <f t="shared" si="8"/>
        <v/>
      </c>
      <c r="Z33" s="51" t="str">
        <f t="shared" si="9"/>
        <v/>
      </c>
      <c r="AA33" s="51" t="str">
        <f t="shared" si="10"/>
        <v/>
      </c>
      <c r="AB33" s="51" t="str">
        <f t="shared" si="11"/>
        <v/>
      </c>
      <c r="AC33" s="51" t="str">
        <f t="shared" si="12"/>
        <v/>
      </c>
      <c r="AD33" s="51" t="str">
        <f t="shared" si="13"/>
        <v/>
      </c>
      <c r="AE33" s="51">
        <f t="shared" si="14"/>
        <v>0</v>
      </c>
      <c r="AF33" s="51">
        <f t="shared" si="15"/>
        <v>0</v>
      </c>
      <c r="AG33" s="51" t="str">
        <f t="shared" si="16"/>
        <v/>
      </c>
      <c r="AH33" s="67">
        <f t="shared" si="17"/>
        <v>5</v>
      </c>
      <c r="AI33" s="90" t="e">
        <f>VLOOKUP($A33,'0.Productos'!$A$3:$GG$65,'0.Productos'!FR$1+1,0)</f>
        <v>#N/A</v>
      </c>
      <c r="AJ33" s="90" t="e">
        <f>VLOOKUP($A33,'0.Productos'!$A$3:$GG$65,'0.Productos'!FS$1+1,0)</f>
        <v>#N/A</v>
      </c>
      <c r="AK33" s="112">
        <v>8500</v>
      </c>
      <c r="AL33" s="111" t="str">
        <f t="shared" si="18"/>
        <v/>
      </c>
      <c r="AM33" s="67">
        <f t="shared" si="19"/>
        <v>5</v>
      </c>
      <c r="AN33" s="57">
        <v>1700</v>
      </c>
      <c r="AO33" s="57">
        <v>0</v>
      </c>
      <c r="AP33" s="57">
        <v>200</v>
      </c>
      <c r="AQ33" s="57">
        <v>800</v>
      </c>
      <c r="AR33" s="57">
        <v>600</v>
      </c>
      <c r="AS33" s="57">
        <v>300</v>
      </c>
      <c r="AT33" s="51" t="str">
        <f t="shared" si="20"/>
        <v/>
      </c>
      <c r="AU33" s="51">
        <f t="shared" si="21"/>
        <v>0</v>
      </c>
      <c r="AV33" s="51" t="str">
        <f t="shared" si="22"/>
        <v/>
      </c>
      <c r="AW33" s="51">
        <f t="shared" si="23"/>
        <v>800</v>
      </c>
      <c r="AX33" s="51" t="str">
        <f t="shared" si="24"/>
        <v/>
      </c>
      <c r="AY33" s="51" t="str">
        <f t="shared" si="25"/>
        <v/>
      </c>
      <c r="AZ33" s="110" t="str">
        <f t="shared" si="26"/>
        <v/>
      </c>
      <c r="BA33" s="67">
        <f t="shared" si="27"/>
        <v>5</v>
      </c>
      <c r="BC33" s="20" t="str">
        <f>IF(LEFT(A33,7)='0.User'!$AC$3,"SI","NO")</f>
        <v>NO</v>
      </c>
      <c r="BD33" s="20" t="str">
        <f>IF(LEFT(A33,7)='0.User'!$AC$3,"SI","NO")</f>
        <v>NO</v>
      </c>
      <c r="BE33" s="20" t="str">
        <f>IF(LEFT(A33,7)='0.User'!$AC$3,"SI","NO")</f>
        <v>NO</v>
      </c>
    </row>
    <row r="34" spans="1:57" x14ac:dyDescent="0.25">
      <c r="A34">
        <f>'0.Consolidado general'!$A26</f>
        <v>0</v>
      </c>
      <c r="B34" s="90" t="e">
        <f>VLOOKUP($A34,'0.Productos'!$A$3:$GG$65,'0.Productos'!FC$1+1,0)</f>
        <v>#N/A</v>
      </c>
      <c r="C34" s="90" t="e">
        <f>VLOOKUP($A34,'0.Productos'!$A$3:$GG$65,'0.Productos'!FD$1+1,0)</f>
        <v>#N/A</v>
      </c>
      <c r="D34" s="90" t="e">
        <f>VLOOKUP($A34,'0.Productos'!$A$3:$GG$65,'0.Productos'!FE$1+1,0)</f>
        <v>#N/A</v>
      </c>
      <c r="E34" s="90" t="e">
        <f>VLOOKUP($A34,'0.Productos'!$A$3:$GG$65,'0.Productos'!FF$1+1,0)</f>
        <v>#N/A</v>
      </c>
      <c r="F34" s="90" t="e">
        <f>VLOOKUP($A34,'0.Productos'!$A$3:$GG$65,'0.Productos'!FG$1+1,0)</f>
        <v>#N/A</v>
      </c>
      <c r="G34" s="90" t="e">
        <f>VLOOKUP($A34,'0.Productos'!$A$3:$GG$65,'0.Productos'!FH$1+1,0)</f>
        <v>#N/A</v>
      </c>
      <c r="H34" s="90" t="e">
        <f>VLOOKUP($A34,'0.Productos'!$A$3:$GG$65,'0.Productos'!FI$1+1,0)</f>
        <v>#N/A</v>
      </c>
      <c r="I34" s="90" t="e">
        <f>VLOOKUP($A34,'0.Productos'!$A$3:$GG$65,'0.Productos'!FJ$1+1,0)</f>
        <v>#N/A</v>
      </c>
      <c r="J34" s="90" t="e">
        <f>VLOOKUP($A34,'0.Productos'!$A$3:$GG$65,'0.Productos'!FK$1+1,0)</f>
        <v>#N/A</v>
      </c>
      <c r="K34" s="90" t="e">
        <f>VLOOKUP($A34,'0.Productos'!$A$3:$GG$65,'0.Productos'!FL$1+1,0)</f>
        <v>#N/A</v>
      </c>
      <c r="L34" s="90" t="e">
        <f>VLOOKUP($A34,'0.Productos'!$A$3:$GG$65,'0.Productos'!FM$1+1,0)</f>
        <v>#N/A</v>
      </c>
      <c r="M34" s="90" t="e">
        <f>VLOOKUP($A34,'0.Productos'!$A$3:$GG$65,'0.Productos'!FN$1+1,0)</f>
        <v>#N/A</v>
      </c>
      <c r="N34" s="90" t="e">
        <f>VLOOKUP($A34,'0.Productos'!$A$3:$GG$65,'0.Productos'!FO$1+1,0)</f>
        <v>#N/A</v>
      </c>
      <c r="O34" s="90" t="e">
        <f>VLOOKUP($A34,'0.Productos'!$A$3:$GG$65,'0.Productos'!FP$1+1,0)</f>
        <v>#N/A</v>
      </c>
      <c r="P34" s="90" t="e">
        <f>VLOOKUP($A34,'0.Productos'!$A$3:$GG$65,'0.Productos'!FQ$1+1,0)</f>
        <v>#N/A</v>
      </c>
      <c r="Q34" s="51" t="str">
        <f t="shared" si="0"/>
        <v/>
      </c>
      <c r="R34" s="51" t="str">
        <f t="shared" si="1"/>
        <v/>
      </c>
      <c r="S34" s="110" t="e">
        <f t="shared" si="2"/>
        <v>#VALUE!</v>
      </c>
      <c r="T34" s="51" t="str">
        <f t="shared" si="3"/>
        <v/>
      </c>
      <c r="U34" s="51" t="str">
        <f t="shared" si="4"/>
        <v/>
      </c>
      <c r="V34" s="51" t="str">
        <f t="shared" si="5"/>
        <v/>
      </c>
      <c r="W34" s="51" t="str">
        <f t="shared" si="6"/>
        <v/>
      </c>
      <c r="X34" s="51" t="str">
        <f t="shared" si="7"/>
        <v/>
      </c>
      <c r="Y34" s="51" t="str">
        <f t="shared" si="8"/>
        <v/>
      </c>
      <c r="Z34" s="51" t="str">
        <f t="shared" si="9"/>
        <v/>
      </c>
      <c r="AA34" s="51" t="str">
        <f t="shared" si="10"/>
        <v/>
      </c>
      <c r="AB34" s="51" t="str">
        <f t="shared" si="11"/>
        <v/>
      </c>
      <c r="AC34" s="51" t="str">
        <f t="shared" si="12"/>
        <v/>
      </c>
      <c r="AD34" s="51" t="str">
        <f t="shared" si="13"/>
        <v/>
      </c>
      <c r="AE34" s="51">
        <f t="shared" si="14"/>
        <v>0</v>
      </c>
      <c r="AF34" s="51">
        <f t="shared" si="15"/>
        <v>0</v>
      </c>
      <c r="AG34" s="51" t="str">
        <f t="shared" si="16"/>
        <v/>
      </c>
      <c r="AH34" s="67">
        <f t="shared" si="17"/>
        <v>5</v>
      </c>
      <c r="AI34" s="90" t="e">
        <f>VLOOKUP($A34,'0.Productos'!$A$3:$GG$65,'0.Productos'!FR$1+1,0)</f>
        <v>#N/A</v>
      </c>
      <c r="AJ34" s="90" t="e">
        <f>VLOOKUP($A34,'0.Productos'!$A$3:$GG$65,'0.Productos'!FS$1+1,0)</f>
        <v>#N/A</v>
      </c>
      <c r="AK34" s="112">
        <v>8500</v>
      </c>
      <c r="AL34" s="111" t="str">
        <f t="shared" si="18"/>
        <v/>
      </c>
      <c r="AM34" s="67">
        <f t="shared" si="19"/>
        <v>5</v>
      </c>
      <c r="AN34" s="57">
        <v>0</v>
      </c>
      <c r="AO34" s="57">
        <v>700</v>
      </c>
      <c r="AP34" s="57">
        <v>0</v>
      </c>
      <c r="AQ34" s="57">
        <v>500</v>
      </c>
      <c r="AR34" s="57">
        <v>200</v>
      </c>
      <c r="AS34" s="57">
        <v>900</v>
      </c>
      <c r="AT34" s="51" t="str">
        <f t="shared" si="20"/>
        <v/>
      </c>
      <c r="AU34" s="51">
        <f t="shared" si="21"/>
        <v>700</v>
      </c>
      <c r="AV34" s="51" t="str">
        <f t="shared" si="22"/>
        <v/>
      </c>
      <c r="AW34" s="51">
        <f t="shared" si="23"/>
        <v>500</v>
      </c>
      <c r="AX34" s="51" t="str">
        <f t="shared" si="24"/>
        <v/>
      </c>
      <c r="AY34" s="51" t="str">
        <f t="shared" si="25"/>
        <v/>
      </c>
      <c r="AZ34" s="110" t="str">
        <f t="shared" si="26"/>
        <v/>
      </c>
      <c r="BA34" s="67">
        <f t="shared" si="27"/>
        <v>5</v>
      </c>
      <c r="BC34" s="20" t="str">
        <f>IF(LEFT(A34,7)='0.User'!$AC$3,"SI","NO")</f>
        <v>NO</v>
      </c>
      <c r="BD34" s="20" t="str">
        <f>IF(LEFT(A34,7)='0.User'!$AC$3,"SI","NO")</f>
        <v>NO</v>
      </c>
      <c r="BE34" s="20" t="str">
        <f>IF(LEFT(A34,7)='0.User'!$AC$3,"SI","NO")</f>
        <v>NO</v>
      </c>
    </row>
    <row r="35" spans="1:57" x14ac:dyDescent="0.25">
      <c r="A35">
        <f>'0.Consolidado general'!$A27</f>
        <v>0</v>
      </c>
      <c r="B35" s="90" t="e">
        <f>VLOOKUP($A35,'0.Productos'!$A$3:$GG$65,'0.Productos'!FC$1+1,0)</f>
        <v>#N/A</v>
      </c>
      <c r="C35" s="90" t="e">
        <f>VLOOKUP($A35,'0.Productos'!$A$3:$GG$65,'0.Productos'!FD$1+1,0)</f>
        <v>#N/A</v>
      </c>
      <c r="D35" s="90" t="e">
        <f>VLOOKUP($A35,'0.Productos'!$A$3:$GG$65,'0.Productos'!FE$1+1,0)</f>
        <v>#N/A</v>
      </c>
      <c r="E35" s="90" t="e">
        <f>VLOOKUP($A35,'0.Productos'!$A$3:$GG$65,'0.Productos'!FF$1+1,0)</f>
        <v>#N/A</v>
      </c>
      <c r="F35" s="90" t="e">
        <f>VLOOKUP($A35,'0.Productos'!$A$3:$GG$65,'0.Productos'!FG$1+1,0)</f>
        <v>#N/A</v>
      </c>
      <c r="G35" s="90" t="e">
        <f>VLOOKUP($A35,'0.Productos'!$A$3:$GG$65,'0.Productos'!FH$1+1,0)</f>
        <v>#N/A</v>
      </c>
      <c r="H35" s="90" t="e">
        <f>VLOOKUP($A35,'0.Productos'!$A$3:$GG$65,'0.Productos'!FI$1+1,0)</f>
        <v>#N/A</v>
      </c>
      <c r="I35" s="90" t="e">
        <f>VLOOKUP($A35,'0.Productos'!$A$3:$GG$65,'0.Productos'!FJ$1+1,0)</f>
        <v>#N/A</v>
      </c>
      <c r="J35" s="90" t="e">
        <f>VLOOKUP($A35,'0.Productos'!$A$3:$GG$65,'0.Productos'!FK$1+1,0)</f>
        <v>#N/A</v>
      </c>
      <c r="K35" s="90" t="e">
        <f>VLOOKUP($A35,'0.Productos'!$A$3:$GG$65,'0.Productos'!FL$1+1,0)</f>
        <v>#N/A</v>
      </c>
      <c r="L35" s="90" t="e">
        <f>VLOOKUP($A35,'0.Productos'!$A$3:$GG$65,'0.Productos'!FM$1+1,0)</f>
        <v>#N/A</v>
      </c>
      <c r="M35" s="90" t="e">
        <f>VLOOKUP($A35,'0.Productos'!$A$3:$GG$65,'0.Productos'!FN$1+1,0)</f>
        <v>#N/A</v>
      </c>
      <c r="N35" s="90" t="e">
        <f>VLOOKUP($A35,'0.Productos'!$A$3:$GG$65,'0.Productos'!FO$1+1,0)</f>
        <v>#N/A</v>
      </c>
      <c r="O35" s="90" t="e">
        <f>VLOOKUP($A35,'0.Productos'!$A$3:$GG$65,'0.Productos'!FP$1+1,0)</f>
        <v>#N/A</v>
      </c>
      <c r="P35" s="90" t="e">
        <f>VLOOKUP($A35,'0.Productos'!$A$3:$GG$65,'0.Productos'!FQ$1+1,0)</f>
        <v>#N/A</v>
      </c>
      <c r="Q35" s="51" t="str">
        <f t="shared" si="0"/>
        <v/>
      </c>
      <c r="R35" s="51" t="str">
        <f t="shared" si="1"/>
        <v/>
      </c>
      <c r="S35" s="110" t="e">
        <f t="shared" si="2"/>
        <v>#VALUE!</v>
      </c>
      <c r="T35" s="51" t="str">
        <f t="shared" si="3"/>
        <v/>
      </c>
      <c r="U35" s="51" t="str">
        <f t="shared" si="4"/>
        <v/>
      </c>
      <c r="V35" s="51" t="str">
        <f t="shared" si="5"/>
        <v/>
      </c>
      <c r="W35" s="51" t="str">
        <f t="shared" si="6"/>
        <v/>
      </c>
      <c r="X35" s="51" t="str">
        <f t="shared" si="7"/>
        <v/>
      </c>
      <c r="Y35" s="51" t="str">
        <f t="shared" si="8"/>
        <v/>
      </c>
      <c r="Z35" s="51" t="str">
        <f t="shared" si="9"/>
        <v/>
      </c>
      <c r="AA35" s="51" t="str">
        <f t="shared" si="10"/>
        <v/>
      </c>
      <c r="AB35" s="51" t="str">
        <f t="shared" si="11"/>
        <v/>
      </c>
      <c r="AC35" s="51" t="str">
        <f t="shared" si="12"/>
        <v/>
      </c>
      <c r="AD35" s="51" t="str">
        <f t="shared" si="13"/>
        <v/>
      </c>
      <c r="AE35" s="51">
        <f t="shared" si="14"/>
        <v>0</v>
      </c>
      <c r="AF35" s="51">
        <f t="shared" si="15"/>
        <v>0</v>
      </c>
      <c r="AG35" s="51" t="str">
        <f t="shared" si="16"/>
        <v/>
      </c>
      <c r="AH35" s="67">
        <f t="shared" si="17"/>
        <v>5</v>
      </c>
      <c r="AI35" s="90" t="e">
        <f>VLOOKUP($A35,'0.Productos'!$A$3:$GG$65,'0.Productos'!FR$1+1,0)</f>
        <v>#N/A</v>
      </c>
      <c r="AJ35" s="90" t="e">
        <f>VLOOKUP($A35,'0.Productos'!$A$3:$GG$65,'0.Productos'!FS$1+1,0)</f>
        <v>#N/A</v>
      </c>
      <c r="AK35" s="112">
        <v>8500</v>
      </c>
      <c r="AL35" s="111" t="str">
        <f t="shared" si="18"/>
        <v/>
      </c>
      <c r="AM35" s="67">
        <f t="shared" si="19"/>
        <v>5</v>
      </c>
      <c r="AN35" s="57">
        <v>700</v>
      </c>
      <c r="AO35" s="57">
        <v>600</v>
      </c>
      <c r="AP35" s="57">
        <v>600</v>
      </c>
      <c r="AQ35" s="57">
        <v>1400</v>
      </c>
      <c r="AR35" s="57">
        <v>1700</v>
      </c>
      <c r="AS35" s="57">
        <v>1400</v>
      </c>
      <c r="AT35" s="51" t="str">
        <f t="shared" si="20"/>
        <v/>
      </c>
      <c r="AU35" s="51">
        <f t="shared" si="21"/>
        <v>600</v>
      </c>
      <c r="AV35" s="51" t="str">
        <f t="shared" si="22"/>
        <v/>
      </c>
      <c r="AW35" s="51">
        <f t="shared" si="23"/>
        <v>1400</v>
      </c>
      <c r="AX35" s="51" t="str">
        <f t="shared" si="24"/>
        <v/>
      </c>
      <c r="AY35" s="51" t="str">
        <f t="shared" si="25"/>
        <v/>
      </c>
      <c r="AZ35" s="110" t="str">
        <f t="shared" si="26"/>
        <v/>
      </c>
      <c r="BA35" s="67">
        <f t="shared" si="27"/>
        <v>5</v>
      </c>
      <c r="BC35" s="20" t="str">
        <f>IF(LEFT(A35,7)='0.User'!$AC$3,"SI","NO")</f>
        <v>NO</v>
      </c>
      <c r="BD35" s="20" t="str">
        <f>IF(LEFT(A35,7)='0.User'!$AC$3,"SI","NO")</f>
        <v>NO</v>
      </c>
      <c r="BE35" s="20" t="str">
        <f>IF(LEFT(A35,7)='0.User'!$AC$3,"SI","NO")</f>
        <v>NO</v>
      </c>
    </row>
    <row r="36" spans="1:57" x14ac:dyDescent="0.25">
      <c r="A36">
        <f>'0.Consolidado general'!$A28</f>
        <v>0</v>
      </c>
      <c r="B36" s="90" t="e">
        <f>VLOOKUP($A36,'0.Productos'!$A$3:$GG$65,'0.Productos'!FC$1+1,0)</f>
        <v>#N/A</v>
      </c>
      <c r="C36" s="90" t="e">
        <f>VLOOKUP($A36,'0.Productos'!$A$3:$GG$65,'0.Productos'!FD$1+1,0)</f>
        <v>#N/A</v>
      </c>
      <c r="D36" s="90" t="e">
        <f>VLOOKUP($A36,'0.Productos'!$A$3:$GG$65,'0.Productos'!FE$1+1,0)</f>
        <v>#N/A</v>
      </c>
      <c r="E36" s="90" t="e">
        <f>VLOOKUP($A36,'0.Productos'!$A$3:$GG$65,'0.Productos'!FF$1+1,0)</f>
        <v>#N/A</v>
      </c>
      <c r="F36" s="90" t="e">
        <f>VLOOKUP($A36,'0.Productos'!$A$3:$GG$65,'0.Productos'!FG$1+1,0)</f>
        <v>#N/A</v>
      </c>
      <c r="G36" s="90" t="e">
        <f>VLOOKUP($A36,'0.Productos'!$A$3:$GG$65,'0.Productos'!FH$1+1,0)</f>
        <v>#N/A</v>
      </c>
      <c r="H36" s="90" t="e">
        <f>VLOOKUP($A36,'0.Productos'!$A$3:$GG$65,'0.Productos'!FI$1+1,0)</f>
        <v>#N/A</v>
      </c>
      <c r="I36" s="90" t="e">
        <f>VLOOKUP($A36,'0.Productos'!$A$3:$GG$65,'0.Productos'!FJ$1+1,0)</f>
        <v>#N/A</v>
      </c>
      <c r="J36" s="90" t="e">
        <f>VLOOKUP($A36,'0.Productos'!$A$3:$GG$65,'0.Productos'!FK$1+1,0)</f>
        <v>#N/A</v>
      </c>
      <c r="K36" s="90" t="e">
        <f>VLOOKUP($A36,'0.Productos'!$A$3:$GG$65,'0.Productos'!FL$1+1,0)</f>
        <v>#N/A</v>
      </c>
      <c r="L36" s="90" t="e">
        <f>VLOOKUP($A36,'0.Productos'!$A$3:$GG$65,'0.Productos'!FM$1+1,0)</f>
        <v>#N/A</v>
      </c>
      <c r="M36" s="90" t="e">
        <f>VLOOKUP($A36,'0.Productos'!$A$3:$GG$65,'0.Productos'!FN$1+1,0)</f>
        <v>#N/A</v>
      </c>
      <c r="N36" s="90" t="e">
        <f>VLOOKUP($A36,'0.Productos'!$A$3:$GG$65,'0.Productos'!FO$1+1,0)</f>
        <v>#N/A</v>
      </c>
      <c r="O36" s="90" t="e">
        <f>VLOOKUP($A36,'0.Productos'!$A$3:$GG$65,'0.Productos'!FP$1+1,0)</f>
        <v>#N/A</v>
      </c>
      <c r="P36" s="90" t="e">
        <f>VLOOKUP($A36,'0.Productos'!$A$3:$GG$65,'0.Productos'!FQ$1+1,0)</f>
        <v>#N/A</v>
      </c>
      <c r="Q36" s="51" t="str">
        <f t="shared" si="0"/>
        <v/>
      </c>
      <c r="R36" s="51" t="str">
        <f t="shared" si="1"/>
        <v/>
      </c>
      <c r="S36" s="110" t="e">
        <f t="shared" si="2"/>
        <v>#VALUE!</v>
      </c>
      <c r="T36" s="51" t="str">
        <f t="shared" si="3"/>
        <v/>
      </c>
      <c r="U36" s="51" t="str">
        <f t="shared" si="4"/>
        <v/>
      </c>
      <c r="V36" s="51" t="str">
        <f t="shared" si="5"/>
        <v/>
      </c>
      <c r="W36" s="51" t="str">
        <f t="shared" si="6"/>
        <v/>
      </c>
      <c r="X36" s="51" t="str">
        <f t="shared" si="7"/>
        <v/>
      </c>
      <c r="Y36" s="51" t="str">
        <f t="shared" si="8"/>
        <v/>
      </c>
      <c r="Z36" s="51" t="str">
        <f t="shared" si="9"/>
        <v/>
      </c>
      <c r="AA36" s="51" t="str">
        <f t="shared" si="10"/>
        <v/>
      </c>
      <c r="AB36" s="51" t="str">
        <f t="shared" si="11"/>
        <v/>
      </c>
      <c r="AC36" s="51" t="str">
        <f t="shared" si="12"/>
        <v/>
      </c>
      <c r="AD36" s="51" t="str">
        <f t="shared" si="13"/>
        <v/>
      </c>
      <c r="AE36" s="51">
        <f t="shared" si="14"/>
        <v>0</v>
      </c>
      <c r="AF36" s="51">
        <f t="shared" si="15"/>
        <v>0</v>
      </c>
      <c r="AG36" s="51" t="str">
        <f t="shared" si="16"/>
        <v/>
      </c>
      <c r="AH36" s="67">
        <f t="shared" si="17"/>
        <v>5</v>
      </c>
      <c r="AI36" s="90" t="e">
        <f>VLOOKUP($A36,'0.Productos'!$A$3:$GG$65,'0.Productos'!FR$1+1,0)</f>
        <v>#N/A</v>
      </c>
      <c r="AJ36" s="90" t="e">
        <f>VLOOKUP($A36,'0.Productos'!$A$3:$GG$65,'0.Productos'!FS$1+1,0)</f>
        <v>#N/A</v>
      </c>
      <c r="AK36" s="112">
        <v>8500</v>
      </c>
      <c r="AL36" s="111" t="str">
        <f t="shared" si="18"/>
        <v/>
      </c>
      <c r="AM36" s="67">
        <f t="shared" si="19"/>
        <v>5</v>
      </c>
      <c r="AN36" s="57">
        <v>2000</v>
      </c>
      <c r="AO36" s="57">
        <v>1600</v>
      </c>
      <c r="AP36" s="57">
        <v>1600</v>
      </c>
      <c r="AQ36" s="57">
        <v>600</v>
      </c>
      <c r="AR36" s="57">
        <v>1600</v>
      </c>
      <c r="AS36" s="57">
        <v>600</v>
      </c>
      <c r="AT36" s="51" t="str">
        <f t="shared" si="20"/>
        <v/>
      </c>
      <c r="AU36" s="51">
        <f t="shared" si="21"/>
        <v>1600</v>
      </c>
      <c r="AV36" s="51" t="str">
        <f t="shared" si="22"/>
        <v/>
      </c>
      <c r="AW36" s="51">
        <f t="shared" si="23"/>
        <v>600</v>
      </c>
      <c r="AX36" s="51" t="str">
        <f t="shared" si="24"/>
        <v/>
      </c>
      <c r="AY36" s="51" t="str">
        <f t="shared" si="25"/>
        <v/>
      </c>
      <c r="AZ36" s="110" t="str">
        <f t="shared" si="26"/>
        <v/>
      </c>
      <c r="BA36" s="67">
        <f t="shared" si="27"/>
        <v>5</v>
      </c>
      <c r="BC36" s="20" t="str">
        <f>IF(LEFT(A36,7)='0.User'!$AC$3,"SI","NO")</f>
        <v>NO</v>
      </c>
      <c r="BD36" s="20" t="str">
        <f>IF(LEFT(A36,7)='0.User'!$AC$3,"SI","NO")</f>
        <v>NO</v>
      </c>
      <c r="BE36" s="20" t="str">
        <f>IF(LEFT(A36,7)='0.User'!$AC$3,"SI","NO")</f>
        <v>NO</v>
      </c>
    </row>
    <row r="37" spans="1:57" x14ac:dyDescent="0.25">
      <c r="A37">
        <f>'0.Consolidado general'!$A29</f>
        <v>0</v>
      </c>
      <c r="B37" s="90" t="e">
        <f>VLOOKUP($A37,'0.Productos'!$A$3:$GG$65,'0.Productos'!FC$1+1,0)</f>
        <v>#N/A</v>
      </c>
      <c r="C37" s="90" t="e">
        <f>VLOOKUP($A37,'0.Productos'!$A$3:$GG$65,'0.Productos'!FD$1+1,0)</f>
        <v>#N/A</v>
      </c>
      <c r="D37" s="90" t="e">
        <f>VLOOKUP($A37,'0.Productos'!$A$3:$GG$65,'0.Productos'!FE$1+1,0)</f>
        <v>#N/A</v>
      </c>
      <c r="E37" s="90" t="e">
        <f>VLOOKUP($A37,'0.Productos'!$A$3:$GG$65,'0.Productos'!FF$1+1,0)</f>
        <v>#N/A</v>
      </c>
      <c r="F37" s="90" t="e">
        <f>VLOOKUP($A37,'0.Productos'!$A$3:$GG$65,'0.Productos'!FG$1+1,0)</f>
        <v>#N/A</v>
      </c>
      <c r="G37" s="90" t="e">
        <f>VLOOKUP($A37,'0.Productos'!$A$3:$GG$65,'0.Productos'!FH$1+1,0)</f>
        <v>#N/A</v>
      </c>
      <c r="H37" s="90" t="e">
        <f>VLOOKUP($A37,'0.Productos'!$A$3:$GG$65,'0.Productos'!FI$1+1,0)</f>
        <v>#N/A</v>
      </c>
      <c r="I37" s="90" t="e">
        <f>VLOOKUP($A37,'0.Productos'!$A$3:$GG$65,'0.Productos'!FJ$1+1,0)</f>
        <v>#N/A</v>
      </c>
      <c r="J37" s="90" t="e">
        <f>VLOOKUP($A37,'0.Productos'!$A$3:$GG$65,'0.Productos'!FK$1+1,0)</f>
        <v>#N/A</v>
      </c>
      <c r="K37" s="90" t="e">
        <f>VLOOKUP($A37,'0.Productos'!$A$3:$GG$65,'0.Productos'!FL$1+1,0)</f>
        <v>#N/A</v>
      </c>
      <c r="L37" s="90" t="e">
        <f>VLOOKUP($A37,'0.Productos'!$A$3:$GG$65,'0.Productos'!FM$1+1,0)</f>
        <v>#N/A</v>
      </c>
      <c r="M37" s="90" t="e">
        <f>VLOOKUP($A37,'0.Productos'!$A$3:$GG$65,'0.Productos'!FN$1+1,0)</f>
        <v>#N/A</v>
      </c>
      <c r="N37" s="90" t="e">
        <f>VLOOKUP($A37,'0.Productos'!$A$3:$GG$65,'0.Productos'!FO$1+1,0)</f>
        <v>#N/A</v>
      </c>
      <c r="O37" s="90" t="e">
        <f>VLOOKUP($A37,'0.Productos'!$A$3:$GG$65,'0.Productos'!FP$1+1,0)</f>
        <v>#N/A</v>
      </c>
      <c r="P37" s="90" t="e">
        <f>VLOOKUP($A37,'0.Productos'!$A$3:$GG$65,'0.Productos'!FQ$1+1,0)</f>
        <v>#N/A</v>
      </c>
      <c r="Q37" s="51" t="str">
        <f t="shared" si="0"/>
        <v/>
      </c>
      <c r="R37" s="51" t="str">
        <f t="shared" si="1"/>
        <v/>
      </c>
      <c r="S37" s="110" t="e">
        <f t="shared" si="2"/>
        <v>#VALUE!</v>
      </c>
      <c r="T37" s="51" t="str">
        <f t="shared" si="3"/>
        <v/>
      </c>
      <c r="U37" s="51" t="str">
        <f t="shared" si="4"/>
        <v/>
      </c>
      <c r="V37" s="51" t="str">
        <f t="shared" si="5"/>
        <v/>
      </c>
      <c r="W37" s="51" t="str">
        <f t="shared" si="6"/>
        <v/>
      </c>
      <c r="X37" s="51" t="str">
        <f t="shared" si="7"/>
        <v/>
      </c>
      <c r="Y37" s="51" t="str">
        <f t="shared" si="8"/>
        <v/>
      </c>
      <c r="Z37" s="51" t="str">
        <f t="shared" si="9"/>
        <v/>
      </c>
      <c r="AA37" s="51" t="str">
        <f t="shared" si="10"/>
        <v/>
      </c>
      <c r="AB37" s="51" t="str">
        <f t="shared" si="11"/>
        <v/>
      </c>
      <c r="AC37" s="51" t="str">
        <f t="shared" si="12"/>
        <v/>
      </c>
      <c r="AD37" s="51" t="str">
        <f t="shared" si="13"/>
        <v/>
      </c>
      <c r="AE37" s="51">
        <f t="shared" si="14"/>
        <v>0</v>
      </c>
      <c r="AF37" s="51">
        <f t="shared" si="15"/>
        <v>0</v>
      </c>
      <c r="AG37" s="51" t="str">
        <f t="shared" si="16"/>
        <v/>
      </c>
      <c r="AH37" s="67">
        <f t="shared" si="17"/>
        <v>5</v>
      </c>
      <c r="AI37" s="90" t="e">
        <f>VLOOKUP($A37,'0.Productos'!$A$3:$GG$65,'0.Productos'!FR$1+1,0)</f>
        <v>#N/A</v>
      </c>
      <c r="AJ37" s="90" t="e">
        <f>VLOOKUP($A37,'0.Productos'!$A$3:$GG$65,'0.Productos'!FS$1+1,0)</f>
        <v>#N/A</v>
      </c>
      <c r="AK37" s="112">
        <v>8500</v>
      </c>
      <c r="AL37" s="111" t="str">
        <f t="shared" si="18"/>
        <v/>
      </c>
      <c r="AM37" s="67">
        <f t="shared" si="19"/>
        <v>5</v>
      </c>
      <c r="AN37" s="57">
        <v>700</v>
      </c>
      <c r="AO37" s="57">
        <v>1600</v>
      </c>
      <c r="AP37" s="57">
        <v>1400</v>
      </c>
      <c r="AQ37" s="57">
        <v>600</v>
      </c>
      <c r="AR37" s="57">
        <v>1200</v>
      </c>
      <c r="AS37" s="57">
        <v>400</v>
      </c>
      <c r="AT37" s="51" t="str">
        <f t="shared" si="20"/>
        <v/>
      </c>
      <c r="AU37" s="51">
        <f t="shared" si="21"/>
        <v>1600</v>
      </c>
      <c r="AV37" s="51" t="str">
        <f t="shared" si="22"/>
        <v/>
      </c>
      <c r="AW37" s="51">
        <f t="shared" si="23"/>
        <v>600</v>
      </c>
      <c r="AX37" s="51" t="str">
        <f t="shared" si="24"/>
        <v/>
      </c>
      <c r="AY37" s="51" t="str">
        <f t="shared" si="25"/>
        <v/>
      </c>
      <c r="AZ37" s="110" t="str">
        <f t="shared" si="26"/>
        <v/>
      </c>
      <c r="BA37" s="67">
        <f t="shared" si="27"/>
        <v>5</v>
      </c>
      <c r="BC37" s="20" t="str">
        <f>IF(LEFT(A37,7)='0.User'!$AC$3,"SI","NO")</f>
        <v>NO</v>
      </c>
      <c r="BD37" s="20" t="str">
        <f>IF(LEFT(A37,7)='0.User'!$AC$3,"SI","NO")</f>
        <v>NO</v>
      </c>
      <c r="BE37" s="20" t="str">
        <f>IF(LEFT(A37,7)='0.User'!$AC$3,"SI","NO")</f>
        <v>NO</v>
      </c>
    </row>
    <row r="38" spans="1:57" x14ac:dyDescent="0.25">
      <c r="A38">
        <f>'0.Consolidado general'!$A30</f>
        <v>0</v>
      </c>
      <c r="B38" s="90" t="e">
        <f>VLOOKUP($A38,'0.Productos'!$A$3:$GG$65,'0.Productos'!FC$1+1,0)</f>
        <v>#N/A</v>
      </c>
      <c r="C38" s="90" t="e">
        <f>VLOOKUP($A38,'0.Productos'!$A$3:$GG$65,'0.Productos'!FD$1+1,0)</f>
        <v>#N/A</v>
      </c>
      <c r="D38" s="90" t="e">
        <f>VLOOKUP($A38,'0.Productos'!$A$3:$GG$65,'0.Productos'!FE$1+1,0)</f>
        <v>#N/A</v>
      </c>
      <c r="E38" s="90" t="e">
        <f>VLOOKUP($A38,'0.Productos'!$A$3:$GG$65,'0.Productos'!FF$1+1,0)</f>
        <v>#N/A</v>
      </c>
      <c r="F38" s="90" t="e">
        <f>VLOOKUP($A38,'0.Productos'!$A$3:$GG$65,'0.Productos'!FG$1+1,0)</f>
        <v>#N/A</v>
      </c>
      <c r="G38" s="90" t="e">
        <f>VLOOKUP($A38,'0.Productos'!$A$3:$GG$65,'0.Productos'!FH$1+1,0)</f>
        <v>#N/A</v>
      </c>
      <c r="H38" s="90" t="e">
        <f>VLOOKUP($A38,'0.Productos'!$A$3:$GG$65,'0.Productos'!FI$1+1,0)</f>
        <v>#N/A</v>
      </c>
      <c r="I38" s="90" t="e">
        <f>VLOOKUP($A38,'0.Productos'!$A$3:$GG$65,'0.Productos'!FJ$1+1,0)</f>
        <v>#N/A</v>
      </c>
      <c r="J38" s="90" t="e">
        <f>VLOOKUP($A38,'0.Productos'!$A$3:$GG$65,'0.Productos'!FK$1+1,0)</f>
        <v>#N/A</v>
      </c>
      <c r="K38" s="90" t="e">
        <f>VLOOKUP($A38,'0.Productos'!$A$3:$GG$65,'0.Productos'!FL$1+1,0)</f>
        <v>#N/A</v>
      </c>
      <c r="L38" s="90" t="e">
        <f>VLOOKUP($A38,'0.Productos'!$A$3:$GG$65,'0.Productos'!FM$1+1,0)</f>
        <v>#N/A</v>
      </c>
      <c r="M38" s="90" t="e">
        <f>VLOOKUP($A38,'0.Productos'!$A$3:$GG$65,'0.Productos'!FN$1+1,0)</f>
        <v>#N/A</v>
      </c>
      <c r="N38" s="90" t="e">
        <f>VLOOKUP($A38,'0.Productos'!$A$3:$GG$65,'0.Productos'!FO$1+1,0)</f>
        <v>#N/A</v>
      </c>
      <c r="O38" s="90" t="e">
        <f>VLOOKUP($A38,'0.Productos'!$A$3:$GG$65,'0.Productos'!FP$1+1,0)</f>
        <v>#N/A</v>
      </c>
      <c r="P38" s="90" t="e">
        <f>VLOOKUP($A38,'0.Productos'!$A$3:$GG$65,'0.Productos'!FQ$1+1,0)</f>
        <v>#N/A</v>
      </c>
      <c r="Q38" s="51" t="str">
        <f t="shared" si="0"/>
        <v/>
      </c>
      <c r="R38" s="51" t="str">
        <f t="shared" si="1"/>
        <v/>
      </c>
      <c r="S38" s="110" t="e">
        <f t="shared" si="2"/>
        <v>#VALUE!</v>
      </c>
      <c r="T38" s="51" t="str">
        <f t="shared" si="3"/>
        <v/>
      </c>
      <c r="U38" s="51" t="str">
        <f t="shared" si="4"/>
        <v/>
      </c>
      <c r="V38" s="51" t="str">
        <f t="shared" si="5"/>
        <v/>
      </c>
      <c r="W38" s="51" t="str">
        <f t="shared" si="6"/>
        <v/>
      </c>
      <c r="X38" s="51" t="str">
        <f t="shared" si="7"/>
        <v/>
      </c>
      <c r="Y38" s="51" t="str">
        <f t="shared" si="8"/>
        <v/>
      </c>
      <c r="Z38" s="51" t="str">
        <f t="shared" si="9"/>
        <v/>
      </c>
      <c r="AA38" s="51" t="str">
        <f t="shared" si="10"/>
        <v/>
      </c>
      <c r="AB38" s="51" t="str">
        <f t="shared" si="11"/>
        <v/>
      </c>
      <c r="AC38" s="51" t="str">
        <f t="shared" si="12"/>
        <v/>
      </c>
      <c r="AD38" s="51" t="str">
        <f t="shared" si="13"/>
        <v/>
      </c>
      <c r="AE38" s="51">
        <f t="shared" si="14"/>
        <v>0</v>
      </c>
      <c r="AF38" s="51">
        <f t="shared" si="15"/>
        <v>0</v>
      </c>
      <c r="AG38" s="51" t="str">
        <f t="shared" si="16"/>
        <v/>
      </c>
      <c r="AH38" s="67">
        <f t="shared" si="17"/>
        <v>5</v>
      </c>
      <c r="AI38" s="90" t="e">
        <f>VLOOKUP($A38,'0.Productos'!$A$3:$GG$65,'0.Productos'!FR$1+1,0)</f>
        <v>#N/A</v>
      </c>
      <c r="AJ38" s="90" t="e">
        <f>VLOOKUP($A38,'0.Productos'!$A$3:$GG$65,'0.Productos'!FS$1+1,0)</f>
        <v>#N/A</v>
      </c>
      <c r="AK38" s="112">
        <v>8500</v>
      </c>
      <c r="AL38" s="111" t="str">
        <f t="shared" si="18"/>
        <v/>
      </c>
      <c r="AM38" s="67">
        <f t="shared" si="19"/>
        <v>5</v>
      </c>
      <c r="AN38" s="57">
        <v>900</v>
      </c>
      <c r="AO38" s="57">
        <v>1500</v>
      </c>
      <c r="AP38" s="57">
        <v>1100</v>
      </c>
      <c r="AQ38" s="57">
        <v>1600</v>
      </c>
      <c r="AR38" s="57">
        <v>800</v>
      </c>
      <c r="AS38" s="57">
        <v>500</v>
      </c>
      <c r="AT38" s="51" t="str">
        <f t="shared" si="20"/>
        <v/>
      </c>
      <c r="AU38" s="51">
        <f t="shared" si="21"/>
        <v>1500</v>
      </c>
      <c r="AV38" s="51" t="str">
        <f t="shared" si="22"/>
        <v/>
      </c>
      <c r="AW38" s="51">
        <f t="shared" si="23"/>
        <v>1600</v>
      </c>
      <c r="AX38" s="51" t="str">
        <f t="shared" si="24"/>
        <v/>
      </c>
      <c r="AY38" s="51" t="str">
        <f t="shared" si="25"/>
        <v/>
      </c>
      <c r="AZ38" s="110" t="str">
        <f t="shared" si="26"/>
        <v/>
      </c>
      <c r="BA38" s="67">
        <f t="shared" si="27"/>
        <v>5</v>
      </c>
      <c r="BC38" s="20" t="str">
        <f>IF(LEFT(A38,7)='0.User'!$AC$3,"SI","NO")</f>
        <v>NO</v>
      </c>
      <c r="BD38" s="20" t="str">
        <f>IF(LEFT(A38,7)='0.User'!$AC$3,"SI","NO")</f>
        <v>NO</v>
      </c>
      <c r="BE38" s="20" t="str">
        <f>IF(LEFT(A38,7)='0.User'!$AC$3,"SI","NO")</f>
        <v>NO</v>
      </c>
    </row>
    <row r="39" spans="1:57" x14ac:dyDescent="0.25">
      <c r="A39">
        <f>'0.Consolidado general'!$A31</f>
        <v>0</v>
      </c>
      <c r="B39" s="90" t="e">
        <f>VLOOKUP($A39,'0.Productos'!$A$3:$GG$65,'0.Productos'!FC$1+1,0)</f>
        <v>#N/A</v>
      </c>
      <c r="C39" s="90" t="e">
        <f>VLOOKUP($A39,'0.Productos'!$A$3:$GG$65,'0.Productos'!FD$1+1,0)</f>
        <v>#N/A</v>
      </c>
      <c r="D39" s="90" t="e">
        <f>VLOOKUP($A39,'0.Productos'!$A$3:$GG$65,'0.Productos'!FE$1+1,0)</f>
        <v>#N/A</v>
      </c>
      <c r="E39" s="90" t="e">
        <f>VLOOKUP($A39,'0.Productos'!$A$3:$GG$65,'0.Productos'!FF$1+1,0)</f>
        <v>#N/A</v>
      </c>
      <c r="F39" s="90" t="e">
        <f>VLOOKUP($A39,'0.Productos'!$A$3:$GG$65,'0.Productos'!FG$1+1,0)</f>
        <v>#N/A</v>
      </c>
      <c r="G39" s="90" t="e">
        <f>VLOOKUP($A39,'0.Productos'!$A$3:$GG$65,'0.Productos'!FH$1+1,0)</f>
        <v>#N/A</v>
      </c>
      <c r="H39" s="90" t="e">
        <f>VLOOKUP($A39,'0.Productos'!$A$3:$GG$65,'0.Productos'!FI$1+1,0)</f>
        <v>#N/A</v>
      </c>
      <c r="I39" s="90" t="e">
        <f>VLOOKUP($A39,'0.Productos'!$A$3:$GG$65,'0.Productos'!FJ$1+1,0)</f>
        <v>#N/A</v>
      </c>
      <c r="J39" s="90" t="e">
        <f>VLOOKUP($A39,'0.Productos'!$A$3:$GG$65,'0.Productos'!FK$1+1,0)</f>
        <v>#N/A</v>
      </c>
      <c r="K39" s="90" t="e">
        <f>VLOOKUP($A39,'0.Productos'!$A$3:$GG$65,'0.Productos'!FL$1+1,0)</f>
        <v>#N/A</v>
      </c>
      <c r="L39" s="90" t="e">
        <f>VLOOKUP($A39,'0.Productos'!$A$3:$GG$65,'0.Productos'!FM$1+1,0)</f>
        <v>#N/A</v>
      </c>
      <c r="M39" s="90" t="e">
        <f>VLOOKUP($A39,'0.Productos'!$A$3:$GG$65,'0.Productos'!FN$1+1,0)</f>
        <v>#N/A</v>
      </c>
      <c r="N39" s="90" t="e">
        <f>VLOOKUP($A39,'0.Productos'!$A$3:$GG$65,'0.Productos'!FO$1+1,0)</f>
        <v>#N/A</v>
      </c>
      <c r="O39" s="90" t="e">
        <f>VLOOKUP($A39,'0.Productos'!$A$3:$GG$65,'0.Productos'!FP$1+1,0)</f>
        <v>#N/A</v>
      </c>
      <c r="P39" s="90" t="e">
        <f>VLOOKUP($A39,'0.Productos'!$A$3:$GG$65,'0.Productos'!FQ$1+1,0)</f>
        <v>#N/A</v>
      </c>
      <c r="Q39" s="51" t="str">
        <f t="shared" si="0"/>
        <v/>
      </c>
      <c r="R39" s="51" t="str">
        <f t="shared" si="1"/>
        <v/>
      </c>
      <c r="S39" s="110" t="e">
        <f t="shared" si="2"/>
        <v>#VALUE!</v>
      </c>
      <c r="T39" s="51" t="str">
        <f t="shared" si="3"/>
        <v/>
      </c>
      <c r="U39" s="51" t="str">
        <f t="shared" si="4"/>
        <v/>
      </c>
      <c r="V39" s="51" t="str">
        <f t="shared" si="5"/>
        <v/>
      </c>
      <c r="W39" s="51" t="str">
        <f t="shared" si="6"/>
        <v/>
      </c>
      <c r="X39" s="51" t="str">
        <f t="shared" si="7"/>
        <v/>
      </c>
      <c r="Y39" s="51" t="str">
        <f t="shared" si="8"/>
        <v/>
      </c>
      <c r="Z39" s="51" t="str">
        <f t="shared" si="9"/>
        <v/>
      </c>
      <c r="AA39" s="51" t="str">
        <f t="shared" si="10"/>
        <v/>
      </c>
      <c r="AB39" s="51" t="str">
        <f t="shared" si="11"/>
        <v/>
      </c>
      <c r="AC39" s="51" t="str">
        <f t="shared" si="12"/>
        <v/>
      </c>
      <c r="AD39" s="51" t="str">
        <f t="shared" si="13"/>
        <v/>
      </c>
      <c r="AE39" s="51">
        <f t="shared" si="14"/>
        <v>0</v>
      </c>
      <c r="AF39" s="51">
        <f t="shared" si="15"/>
        <v>0</v>
      </c>
      <c r="AG39" s="51" t="str">
        <f t="shared" si="16"/>
        <v/>
      </c>
      <c r="AH39" s="67">
        <f t="shared" si="17"/>
        <v>5</v>
      </c>
      <c r="AI39" s="90" t="e">
        <f>VLOOKUP($A39,'0.Productos'!$A$3:$GG$65,'0.Productos'!FR$1+1,0)</f>
        <v>#N/A</v>
      </c>
      <c r="AJ39" s="90" t="e">
        <f>VLOOKUP($A39,'0.Productos'!$A$3:$GG$65,'0.Productos'!FS$1+1,0)</f>
        <v>#N/A</v>
      </c>
      <c r="AK39" s="112">
        <v>8500</v>
      </c>
      <c r="AL39" s="111" t="str">
        <f t="shared" si="18"/>
        <v/>
      </c>
      <c r="AM39" s="67">
        <f t="shared" si="19"/>
        <v>5</v>
      </c>
      <c r="AN39" s="57">
        <v>0</v>
      </c>
      <c r="AO39" s="57">
        <v>700</v>
      </c>
      <c r="AP39" s="57">
        <v>400</v>
      </c>
      <c r="AQ39" s="57">
        <v>1800</v>
      </c>
      <c r="AR39" s="57">
        <v>600</v>
      </c>
      <c r="AS39" s="57">
        <v>1800</v>
      </c>
      <c r="AT39" s="51" t="str">
        <f t="shared" si="20"/>
        <v/>
      </c>
      <c r="AU39" s="51">
        <f t="shared" si="21"/>
        <v>700</v>
      </c>
      <c r="AV39" s="51" t="str">
        <f t="shared" si="22"/>
        <v/>
      </c>
      <c r="AW39" s="51">
        <f t="shared" si="23"/>
        <v>1800</v>
      </c>
      <c r="AX39" s="51" t="str">
        <f t="shared" si="24"/>
        <v/>
      </c>
      <c r="AY39" s="51" t="str">
        <f t="shared" si="25"/>
        <v/>
      </c>
      <c r="AZ39" s="110" t="str">
        <f t="shared" si="26"/>
        <v/>
      </c>
      <c r="BA39" s="67">
        <f t="shared" si="27"/>
        <v>5</v>
      </c>
      <c r="BC39" s="20" t="str">
        <f>IF(LEFT(A39,7)='0.User'!$AC$3,"SI","NO")</f>
        <v>NO</v>
      </c>
      <c r="BD39" s="20" t="str">
        <f>IF(LEFT(A39,7)='0.User'!$AC$3,"SI","NO")</f>
        <v>NO</v>
      </c>
      <c r="BE39" s="20" t="str">
        <f>IF(LEFT(A39,7)='0.User'!$AC$3,"SI","NO")</f>
        <v>NO</v>
      </c>
    </row>
    <row r="40" spans="1:57" x14ac:dyDescent="0.25">
      <c r="A40">
        <f>'0.Consolidado general'!$A32</f>
        <v>0</v>
      </c>
      <c r="B40" s="90" t="e">
        <f>VLOOKUP($A40,'0.Productos'!$A$3:$GG$65,'0.Productos'!FC$1+1,0)</f>
        <v>#N/A</v>
      </c>
      <c r="C40" s="90" t="e">
        <f>VLOOKUP($A40,'0.Productos'!$A$3:$GG$65,'0.Productos'!FD$1+1,0)</f>
        <v>#N/A</v>
      </c>
      <c r="D40" s="90" t="e">
        <f>VLOOKUP($A40,'0.Productos'!$A$3:$GG$65,'0.Productos'!FE$1+1,0)</f>
        <v>#N/A</v>
      </c>
      <c r="E40" s="90" t="e">
        <f>VLOOKUP($A40,'0.Productos'!$A$3:$GG$65,'0.Productos'!FF$1+1,0)</f>
        <v>#N/A</v>
      </c>
      <c r="F40" s="90" t="e">
        <f>VLOOKUP($A40,'0.Productos'!$A$3:$GG$65,'0.Productos'!FG$1+1,0)</f>
        <v>#N/A</v>
      </c>
      <c r="G40" s="90" t="e">
        <f>VLOOKUP($A40,'0.Productos'!$A$3:$GG$65,'0.Productos'!FH$1+1,0)</f>
        <v>#N/A</v>
      </c>
      <c r="H40" s="90" t="e">
        <f>VLOOKUP($A40,'0.Productos'!$A$3:$GG$65,'0.Productos'!FI$1+1,0)</f>
        <v>#N/A</v>
      </c>
      <c r="I40" s="90" t="e">
        <f>VLOOKUP($A40,'0.Productos'!$A$3:$GG$65,'0.Productos'!FJ$1+1,0)</f>
        <v>#N/A</v>
      </c>
      <c r="J40" s="90" t="e">
        <f>VLOOKUP($A40,'0.Productos'!$A$3:$GG$65,'0.Productos'!FK$1+1,0)</f>
        <v>#N/A</v>
      </c>
      <c r="K40" s="90" t="e">
        <f>VLOOKUP($A40,'0.Productos'!$A$3:$GG$65,'0.Productos'!FL$1+1,0)</f>
        <v>#N/A</v>
      </c>
      <c r="L40" s="90" t="e">
        <f>VLOOKUP($A40,'0.Productos'!$A$3:$GG$65,'0.Productos'!FM$1+1,0)</f>
        <v>#N/A</v>
      </c>
      <c r="M40" s="90" t="e">
        <f>VLOOKUP($A40,'0.Productos'!$A$3:$GG$65,'0.Productos'!FN$1+1,0)</f>
        <v>#N/A</v>
      </c>
      <c r="N40" s="90" t="e">
        <f>VLOOKUP($A40,'0.Productos'!$A$3:$GG$65,'0.Productos'!FO$1+1,0)</f>
        <v>#N/A</v>
      </c>
      <c r="O40" s="90" t="e">
        <f>VLOOKUP($A40,'0.Productos'!$A$3:$GG$65,'0.Productos'!FP$1+1,0)</f>
        <v>#N/A</v>
      </c>
      <c r="P40" s="90" t="e">
        <f>VLOOKUP($A40,'0.Productos'!$A$3:$GG$65,'0.Productos'!FQ$1+1,0)</f>
        <v>#N/A</v>
      </c>
      <c r="Q40" s="51" t="str">
        <f t="shared" si="0"/>
        <v/>
      </c>
      <c r="R40" s="51" t="str">
        <f t="shared" si="1"/>
        <v/>
      </c>
      <c r="S40" s="110" t="e">
        <f t="shared" si="2"/>
        <v>#VALUE!</v>
      </c>
      <c r="T40" s="51" t="str">
        <f t="shared" si="3"/>
        <v/>
      </c>
      <c r="U40" s="51" t="str">
        <f t="shared" si="4"/>
        <v/>
      </c>
      <c r="V40" s="51" t="str">
        <f t="shared" si="5"/>
        <v/>
      </c>
      <c r="W40" s="51" t="str">
        <f t="shared" si="6"/>
        <v/>
      </c>
      <c r="X40" s="51" t="str">
        <f t="shared" si="7"/>
        <v/>
      </c>
      <c r="Y40" s="51" t="str">
        <f t="shared" si="8"/>
        <v/>
      </c>
      <c r="Z40" s="51" t="str">
        <f t="shared" si="9"/>
        <v/>
      </c>
      <c r="AA40" s="51" t="str">
        <f t="shared" si="10"/>
        <v/>
      </c>
      <c r="AB40" s="51" t="str">
        <f t="shared" si="11"/>
        <v/>
      </c>
      <c r="AC40" s="51" t="str">
        <f t="shared" si="12"/>
        <v/>
      </c>
      <c r="AD40" s="51" t="str">
        <f t="shared" si="13"/>
        <v/>
      </c>
      <c r="AE40" s="51">
        <f t="shared" si="14"/>
        <v>0</v>
      </c>
      <c r="AF40" s="51">
        <f t="shared" si="15"/>
        <v>0</v>
      </c>
      <c r="AG40" s="51" t="str">
        <f t="shared" si="16"/>
        <v/>
      </c>
      <c r="AH40" s="67">
        <f t="shared" si="17"/>
        <v>5</v>
      </c>
      <c r="AI40" s="90" t="e">
        <f>VLOOKUP($A40,'0.Productos'!$A$3:$GG$65,'0.Productos'!FR$1+1,0)</f>
        <v>#N/A</v>
      </c>
      <c r="AJ40" s="90" t="e">
        <f>VLOOKUP($A40,'0.Productos'!$A$3:$GG$65,'0.Productos'!FS$1+1,0)</f>
        <v>#N/A</v>
      </c>
      <c r="AK40" s="112">
        <v>8500</v>
      </c>
      <c r="AL40" s="111" t="str">
        <f t="shared" si="18"/>
        <v/>
      </c>
      <c r="AM40" s="67">
        <f t="shared" si="19"/>
        <v>5</v>
      </c>
      <c r="AN40" s="57">
        <v>600</v>
      </c>
      <c r="AO40" s="57">
        <v>1000</v>
      </c>
      <c r="AP40" s="57">
        <v>100</v>
      </c>
      <c r="AQ40" s="57">
        <v>2000</v>
      </c>
      <c r="AR40" s="57">
        <v>1700</v>
      </c>
      <c r="AS40" s="57">
        <v>1400</v>
      </c>
      <c r="AT40" s="51" t="str">
        <f t="shared" si="20"/>
        <v/>
      </c>
      <c r="AU40" s="51">
        <f t="shared" si="21"/>
        <v>1000</v>
      </c>
      <c r="AV40" s="51" t="str">
        <f t="shared" si="22"/>
        <v/>
      </c>
      <c r="AW40" s="51">
        <f t="shared" si="23"/>
        <v>2000</v>
      </c>
      <c r="AX40" s="51" t="str">
        <f t="shared" si="24"/>
        <v/>
      </c>
      <c r="AY40" s="51" t="str">
        <f t="shared" si="25"/>
        <v/>
      </c>
      <c r="AZ40" s="110" t="str">
        <f t="shared" si="26"/>
        <v/>
      </c>
      <c r="BA40" s="67">
        <f t="shared" si="27"/>
        <v>5</v>
      </c>
      <c r="BC40" s="20" t="str">
        <f>IF(LEFT(A40,7)='0.User'!$AC$3,"SI","NO")</f>
        <v>NO</v>
      </c>
      <c r="BD40" s="20" t="str">
        <f>IF(LEFT(A40,7)='0.User'!$AC$3,"SI","NO")</f>
        <v>NO</v>
      </c>
      <c r="BE40" s="20" t="str">
        <f>IF(LEFT(A40,7)='0.User'!$AC$3,"SI","NO")</f>
        <v>NO</v>
      </c>
    </row>
    <row r="41" spans="1:57" x14ac:dyDescent="0.25">
      <c r="A41">
        <f>'0.Consolidado general'!$A33</f>
        <v>0</v>
      </c>
      <c r="B41" s="90" t="e">
        <f>VLOOKUP($A41,'0.Productos'!$A$3:$GG$65,'0.Productos'!FC$1+1,0)</f>
        <v>#N/A</v>
      </c>
      <c r="C41" s="90" t="e">
        <f>VLOOKUP($A41,'0.Productos'!$A$3:$GG$65,'0.Productos'!FD$1+1,0)</f>
        <v>#N/A</v>
      </c>
      <c r="D41" s="90" t="e">
        <f>VLOOKUP($A41,'0.Productos'!$A$3:$GG$65,'0.Productos'!FE$1+1,0)</f>
        <v>#N/A</v>
      </c>
      <c r="E41" s="90" t="e">
        <f>VLOOKUP($A41,'0.Productos'!$A$3:$GG$65,'0.Productos'!FF$1+1,0)</f>
        <v>#N/A</v>
      </c>
      <c r="F41" s="90" t="e">
        <f>VLOOKUP($A41,'0.Productos'!$A$3:$GG$65,'0.Productos'!FG$1+1,0)</f>
        <v>#N/A</v>
      </c>
      <c r="G41" s="90" t="e">
        <f>VLOOKUP($A41,'0.Productos'!$A$3:$GG$65,'0.Productos'!FH$1+1,0)</f>
        <v>#N/A</v>
      </c>
      <c r="H41" s="90" t="e">
        <f>VLOOKUP($A41,'0.Productos'!$A$3:$GG$65,'0.Productos'!FI$1+1,0)</f>
        <v>#N/A</v>
      </c>
      <c r="I41" s="90" t="e">
        <f>VLOOKUP($A41,'0.Productos'!$A$3:$GG$65,'0.Productos'!FJ$1+1,0)</f>
        <v>#N/A</v>
      </c>
      <c r="J41" s="90" t="e">
        <f>VLOOKUP($A41,'0.Productos'!$A$3:$GG$65,'0.Productos'!FK$1+1,0)</f>
        <v>#N/A</v>
      </c>
      <c r="K41" s="90" t="e">
        <f>VLOOKUP($A41,'0.Productos'!$A$3:$GG$65,'0.Productos'!FL$1+1,0)</f>
        <v>#N/A</v>
      </c>
      <c r="L41" s="90" t="e">
        <f>VLOOKUP($A41,'0.Productos'!$A$3:$GG$65,'0.Productos'!FM$1+1,0)</f>
        <v>#N/A</v>
      </c>
      <c r="M41" s="90" t="e">
        <f>VLOOKUP($A41,'0.Productos'!$A$3:$GG$65,'0.Productos'!FN$1+1,0)</f>
        <v>#N/A</v>
      </c>
      <c r="N41" s="90" t="e">
        <f>VLOOKUP($A41,'0.Productos'!$A$3:$GG$65,'0.Productos'!FO$1+1,0)</f>
        <v>#N/A</v>
      </c>
      <c r="O41" s="90" t="e">
        <f>VLOOKUP($A41,'0.Productos'!$A$3:$GG$65,'0.Productos'!FP$1+1,0)</f>
        <v>#N/A</v>
      </c>
      <c r="P41" s="90" t="e">
        <f>VLOOKUP($A41,'0.Productos'!$A$3:$GG$65,'0.Productos'!FQ$1+1,0)</f>
        <v>#N/A</v>
      </c>
      <c r="Q41" s="51" t="str">
        <f t="shared" si="0"/>
        <v/>
      </c>
      <c r="R41" s="51" t="str">
        <f t="shared" si="1"/>
        <v/>
      </c>
      <c r="S41" s="110" t="e">
        <f t="shared" si="2"/>
        <v>#VALUE!</v>
      </c>
      <c r="T41" s="51" t="str">
        <f t="shared" si="3"/>
        <v/>
      </c>
      <c r="U41" s="51" t="str">
        <f t="shared" si="4"/>
        <v/>
      </c>
      <c r="V41" s="51" t="str">
        <f t="shared" si="5"/>
        <v/>
      </c>
      <c r="W41" s="51" t="str">
        <f t="shared" si="6"/>
        <v/>
      </c>
      <c r="X41" s="51" t="str">
        <f t="shared" si="7"/>
        <v/>
      </c>
      <c r="Y41" s="51" t="str">
        <f t="shared" si="8"/>
        <v/>
      </c>
      <c r="Z41" s="51" t="str">
        <f t="shared" si="9"/>
        <v/>
      </c>
      <c r="AA41" s="51" t="str">
        <f t="shared" si="10"/>
        <v/>
      </c>
      <c r="AB41" s="51" t="str">
        <f t="shared" si="11"/>
        <v/>
      </c>
      <c r="AC41" s="51" t="str">
        <f t="shared" si="12"/>
        <v/>
      </c>
      <c r="AD41" s="51" t="str">
        <f t="shared" si="13"/>
        <v/>
      </c>
      <c r="AE41" s="51">
        <f t="shared" si="14"/>
        <v>0</v>
      </c>
      <c r="AF41" s="51">
        <f t="shared" si="15"/>
        <v>0</v>
      </c>
      <c r="AG41" s="51" t="str">
        <f t="shared" si="16"/>
        <v/>
      </c>
      <c r="AH41" s="67">
        <f t="shared" si="17"/>
        <v>5</v>
      </c>
      <c r="AI41" s="90" t="e">
        <f>VLOOKUP($A41,'0.Productos'!$A$3:$GG$65,'0.Productos'!FR$1+1,0)</f>
        <v>#N/A</v>
      </c>
      <c r="AJ41" s="90" t="e">
        <f>VLOOKUP($A41,'0.Productos'!$A$3:$GG$65,'0.Productos'!FS$1+1,0)</f>
        <v>#N/A</v>
      </c>
      <c r="AK41" s="112">
        <v>8500</v>
      </c>
      <c r="AL41" s="111" t="str">
        <f t="shared" si="18"/>
        <v/>
      </c>
      <c r="AM41" s="67">
        <f t="shared" si="19"/>
        <v>5</v>
      </c>
      <c r="AN41" s="57">
        <v>0</v>
      </c>
      <c r="AO41" s="57">
        <v>1700</v>
      </c>
      <c r="AP41" s="57">
        <v>200</v>
      </c>
      <c r="AQ41" s="57">
        <v>300</v>
      </c>
      <c r="AR41" s="57">
        <v>1200</v>
      </c>
      <c r="AS41" s="57">
        <v>500</v>
      </c>
      <c r="AT41" s="51" t="str">
        <f t="shared" si="20"/>
        <v/>
      </c>
      <c r="AU41" s="51">
        <f t="shared" si="21"/>
        <v>1700</v>
      </c>
      <c r="AV41" s="51" t="str">
        <f t="shared" si="22"/>
        <v/>
      </c>
      <c r="AW41" s="51">
        <f t="shared" si="23"/>
        <v>300</v>
      </c>
      <c r="AX41" s="51" t="str">
        <f t="shared" si="24"/>
        <v/>
      </c>
      <c r="AY41" s="51" t="str">
        <f t="shared" si="25"/>
        <v/>
      </c>
      <c r="AZ41" s="110" t="str">
        <f t="shared" si="26"/>
        <v/>
      </c>
      <c r="BA41" s="67">
        <f t="shared" si="27"/>
        <v>5</v>
      </c>
      <c r="BC41" s="20" t="str">
        <f>IF(LEFT(A41,7)='0.User'!$AC$3,"SI","NO")</f>
        <v>NO</v>
      </c>
      <c r="BD41" s="20" t="str">
        <f>IF(LEFT(A41,7)='0.User'!$AC$3,"SI","NO")</f>
        <v>NO</v>
      </c>
      <c r="BE41" s="20" t="str">
        <f>IF(LEFT(A41,7)='0.User'!$AC$3,"SI","NO")</f>
        <v>NO</v>
      </c>
    </row>
    <row r="42" spans="1:57" x14ac:dyDescent="0.25">
      <c r="A42">
        <f>'0.Consolidado general'!$A34</f>
        <v>0</v>
      </c>
      <c r="B42" s="90" t="e">
        <f>VLOOKUP($A42,'0.Productos'!$A$3:$GG$65,'0.Productos'!FC$1+1,0)</f>
        <v>#N/A</v>
      </c>
      <c r="C42" s="90" t="e">
        <f>VLOOKUP($A42,'0.Productos'!$A$3:$GG$65,'0.Productos'!FD$1+1,0)</f>
        <v>#N/A</v>
      </c>
      <c r="D42" s="90" t="e">
        <f>VLOOKUP($A42,'0.Productos'!$A$3:$GG$65,'0.Productos'!FE$1+1,0)</f>
        <v>#N/A</v>
      </c>
      <c r="E42" s="90" t="e">
        <f>VLOOKUP($A42,'0.Productos'!$A$3:$GG$65,'0.Productos'!FF$1+1,0)</f>
        <v>#N/A</v>
      </c>
      <c r="F42" s="90" t="e">
        <f>VLOOKUP($A42,'0.Productos'!$A$3:$GG$65,'0.Productos'!FG$1+1,0)</f>
        <v>#N/A</v>
      </c>
      <c r="G42" s="90" t="e">
        <f>VLOOKUP($A42,'0.Productos'!$A$3:$GG$65,'0.Productos'!FH$1+1,0)</f>
        <v>#N/A</v>
      </c>
      <c r="H42" s="90" t="e">
        <f>VLOOKUP($A42,'0.Productos'!$A$3:$GG$65,'0.Productos'!FI$1+1,0)</f>
        <v>#N/A</v>
      </c>
      <c r="I42" s="90" t="e">
        <f>VLOOKUP($A42,'0.Productos'!$A$3:$GG$65,'0.Productos'!FJ$1+1,0)</f>
        <v>#N/A</v>
      </c>
      <c r="J42" s="90" t="e">
        <f>VLOOKUP($A42,'0.Productos'!$A$3:$GG$65,'0.Productos'!FK$1+1,0)</f>
        <v>#N/A</v>
      </c>
      <c r="K42" s="90" t="e">
        <f>VLOOKUP($A42,'0.Productos'!$A$3:$GG$65,'0.Productos'!FL$1+1,0)</f>
        <v>#N/A</v>
      </c>
      <c r="L42" s="90" t="e">
        <f>VLOOKUP($A42,'0.Productos'!$A$3:$GG$65,'0.Productos'!FM$1+1,0)</f>
        <v>#N/A</v>
      </c>
      <c r="M42" s="90" t="e">
        <f>VLOOKUP($A42,'0.Productos'!$A$3:$GG$65,'0.Productos'!FN$1+1,0)</f>
        <v>#N/A</v>
      </c>
      <c r="N42" s="90" t="e">
        <f>VLOOKUP($A42,'0.Productos'!$A$3:$GG$65,'0.Productos'!FO$1+1,0)</f>
        <v>#N/A</v>
      </c>
      <c r="O42" s="90" t="e">
        <f>VLOOKUP($A42,'0.Productos'!$A$3:$GG$65,'0.Productos'!FP$1+1,0)</f>
        <v>#N/A</v>
      </c>
      <c r="P42" s="90" t="e">
        <f>VLOOKUP($A42,'0.Productos'!$A$3:$GG$65,'0.Productos'!FQ$1+1,0)</f>
        <v>#N/A</v>
      </c>
      <c r="Q42" s="51" t="str">
        <f t="shared" si="0"/>
        <v/>
      </c>
      <c r="R42" s="51" t="str">
        <f t="shared" si="1"/>
        <v/>
      </c>
      <c r="S42" s="110" t="e">
        <f t="shared" si="2"/>
        <v>#VALUE!</v>
      </c>
      <c r="T42" s="51" t="str">
        <f t="shared" si="3"/>
        <v/>
      </c>
      <c r="U42" s="51" t="str">
        <f t="shared" si="4"/>
        <v/>
      </c>
      <c r="V42" s="51" t="str">
        <f t="shared" si="5"/>
        <v/>
      </c>
      <c r="W42" s="51" t="str">
        <f t="shared" si="6"/>
        <v/>
      </c>
      <c r="X42" s="51" t="str">
        <f t="shared" si="7"/>
        <v/>
      </c>
      <c r="Y42" s="51" t="str">
        <f t="shared" si="8"/>
        <v/>
      </c>
      <c r="Z42" s="51" t="str">
        <f t="shared" si="9"/>
        <v/>
      </c>
      <c r="AA42" s="51" t="str">
        <f t="shared" si="10"/>
        <v/>
      </c>
      <c r="AB42" s="51" t="str">
        <f t="shared" si="11"/>
        <v/>
      </c>
      <c r="AC42" s="51" t="str">
        <f t="shared" si="12"/>
        <v/>
      </c>
      <c r="AD42" s="51" t="str">
        <f t="shared" si="13"/>
        <v/>
      </c>
      <c r="AE42" s="51">
        <f t="shared" si="14"/>
        <v>0</v>
      </c>
      <c r="AF42" s="51">
        <f t="shared" si="15"/>
        <v>0</v>
      </c>
      <c r="AG42" s="51" t="str">
        <f t="shared" si="16"/>
        <v/>
      </c>
      <c r="AH42" s="67">
        <f t="shared" si="17"/>
        <v>5</v>
      </c>
      <c r="AI42" s="90" t="e">
        <f>VLOOKUP($A42,'0.Productos'!$A$3:$GG$65,'0.Productos'!FR$1+1,0)</f>
        <v>#N/A</v>
      </c>
      <c r="AJ42" s="90" t="e">
        <f>VLOOKUP($A42,'0.Productos'!$A$3:$GG$65,'0.Productos'!FS$1+1,0)</f>
        <v>#N/A</v>
      </c>
      <c r="AK42" s="112">
        <v>8500</v>
      </c>
      <c r="AL42" s="111" t="str">
        <f t="shared" si="18"/>
        <v/>
      </c>
      <c r="AM42" s="67">
        <f t="shared" si="19"/>
        <v>5</v>
      </c>
      <c r="AN42" s="57">
        <v>400</v>
      </c>
      <c r="AO42" s="57">
        <v>1700</v>
      </c>
      <c r="AP42" s="57">
        <v>1200</v>
      </c>
      <c r="AQ42" s="57">
        <v>1600</v>
      </c>
      <c r="AR42" s="57">
        <v>900</v>
      </c>
      <c r="AS42" s="57">
        <v>1200</v>
      </c>
      <c r="AT42" s="51" t="str">
        <f t="shared" si="20"/>
        <v/>
      </c>
      <c r="AU42" s="51">
        <f t="shared" si="21"/>
        <v>1700</v>
      </c>
      <c r="AV42" s="51" t="str">
        <f t="shared" si="22"/>
        <v/>
      </c>
      <c r="AW42" s="51">
        <f t="shared" si="23"/>
        <v>1600</v>
      </c>
      <c r="AX42" s="51" t="str">
        <f t="shared" si="24"/>
        <v/>
      </c>
      <c r="AY42" s="51" t="str">
        <f t="shared" si="25"/>
        <v/>
      </c>
      <c r="AZ42" s="110" t="str">
        <f t="shared" si="26"/>
        <v/>
      </c>
      <c r="BA42" s="67">
        <f t="shared" si="27"/>
        <v>5</v>
      </c>
      <c r="BC42" s="20" t="str">
        <f>IF(LEFT(A42,7)='0.User'!$AC$3,"SI","NO")</f>
        <v>NO</v>
      </c>
      <c r="BD42" s="20" t="str">
        <f>IF(LEFT(A42,7)='0.User'!$AC$3,"SI","NO")</f>
        <v>NO</v>
      </c>
      <c r="BE42" s="20" t="str">
        <f>IF(LEFT(A42,7)='0.User'!$AC$3,"SI","NO")</f>
        <v>NO</v>
      </c>
    </row>
    <row r="43" spans="1:57" x14ac:dyDescent="0.25">
      <c r="A43">
        <f>'0.Consolidado general'!$A35</f>
        <v>0</v>
      </c>
      <c r="B43" s="90" t="e">
        <f>VLOOKUP($A43,'0.Productos'!$A$3:$GG$65,'0.Productos'!FC$1+1,0)</f>
        <v>#N/A</v>
      </c>
      <c r="C43" s="90" t="e">
        <f>VLOOKUP($A43,'0.Productos'!$A$3:$GG$65,'0.Productos'!FD$1+1,0)</f>
        <v>#N/A</v>
      </c>
      <c r="D43" s="90" t="e">
        <f>VLOOKUP($A43,'0.Productos'!$A$3:$GG$65,'0.Productos'!FE$1+1,0)</f>
        <v>#N/A</v>
      </c>
      <c r="E43" s="90" t="e">
        <f>VLOOKUP($A43,'0.Productos'!$A$3:$GG$65,'0.Productos'!FF$1+1,0)</f>
        <v>#N/A</v>
      </c>
      <c r="F43" s="90" t="e">
        <f>VLOOKUP($A43,'0.Productos'!$A$3:$GG$65,'0.Productos'!FG$1+1,0)</f>
        <v>#N/A</v>
      </c>
      <c r="G43" s="90" t="e">
        <f>VLOOKUP($A43,'0.Productos'!$A$3:$GG$65,'0.Productos'!FH$1+1,0)</f>
        <v>#N/A</v>
      </c>
      <c r="H43" s="90" t="e">
        <f>VLOOKUP($A43,'0.Productos'!$A$3:$GG$65,'0.Productos'!FI$1+1,0)</f>
        <v>#N/A</v>
      </c>
      <c r="I43" s="90" t="e">
        <f>VLOOKUP($A43,'0.Productos'!$A$3:$GG$65,'0.Productos'!FJ$1+1,0)</f>
        <v>#N/A</v>
      </c>
      <c r="J43" s="90" t="e">
        <f>VLOOKUP($A43,'0.Productos'!$A$3:$GG$65,'0.Productos'!FK$1+1,0)</f>
        <v>#N/A</v>
      </c>
      <c r="K43" s="90" t="e">
        <f>VLOOKUP($A43,'0.Productos'!$A$3:$GG$65,'0.Productos'!FL$1+1,0)</f>
        <v>#N/A</v>
      </c>
      <c r="L43" s="90" t="e">
        <f>VLOOKUP($A43,'0.Productos'!$A$3:$GG$65,'0.Productos'!FM$1+1,0)</f>
        <v>#N/A</v>
      </c>
      <c r="M43" s="90" t="e">
        <f>VLOOKUP($A43,'0.Productos'!$A$3:$GG$65,'0.Productos'!FN$1+1,0)</f>
        <v>#N/A</v>
      </c>
      <c r="N43" s="90" t="e">
        <f>VLOOKUP($A43,'0.Productos'!$A$3:$GG$65,'0.Productos'!FO$1+1,0)</f>
        <v>#N/A</v>
      </c>
      <c r="O43" s="90" t="e">
        <f>VLOOKUP($A43,'0.Productos'!$A$3:$GG$65,'0.Productos'!FP$1+1,0)</f>
        <v>#N/A</v>
      </c>
      <c r="P43" s="90" t="e">
        <f>VLOOKUP($A43,'0.Productos'!$A$3:$GG$65,'0.Productos'!FQ$1+1,0)</f>
        <v>#N/A</v>
      </c>
      <c r="Q43" s="51" t="str">
        <f t="shared" si="0"/>
        <v/>
      </c>
      <c r="R43" s="51" t="str">
        <f t="shared" si="1"/>
        <v/>
      </c>
      <c r="S43" s="110" t="e">
        <f t="shared" si="2"/>
        <v>#VALUE!</v>
      </c>
      <c r="T43" s="51" t="str">
        <f t="shared" si="3"/>
        <v/>
      </c>
      <c r="U43" s="51" t="str">
        <f t="shared" si="4"/>
        <v/>
      </c>
      <c r="V43" s="51" t="str">
        <f t="shared" si="5"/>
        <v/>
      </c>
      <c r="W43" s="51" t="str">
        <f t="shared" si="6"/>
        <v/>
      </c>
      <c r="X43" s="51" t="str">
        <f t="shared" si="7"/>
        <v/>
      </c>
      <c r="Y43" s="51" t="str">
        <f t="shared" si="8"/>
        <v/>
      </c>
      <c r="Z43" s="51" t="str">
        <f t="shared" si="9"/>
        <v/>
      </c>
      <c r="AA43" s="51" t="str">
        <f t="shared" si="10"/>
        <v/>
      </c>
      <c r="AB43" s="51" t="str">
        <f t="shared" si="11"/>
        <v/>
      </c>
      <c r="AC43" s="51" t="str">
        <f t="shared" si="12"/>
        <v/>
      </c>
      <c r="AD43" s="51" t="str">
        <f t="shared" si="13"/>
        <v/>
      </c>
      <c r="AE43" s="51">
        <f t="shared" si="14"/>
        <v>0</v>
      </c>
      <c r="AF43" s="51">
        <f t="shared" si="15"/>
        <v>0</v>
      </c>
      <c r="AG43" s="51" t="str">
        <f t="shared" si="16"/>
        <v/>
      </c>
      <c r="AH43" s="67">
        <f t="shared" si="17"/>
        <v>5</v>
      </c>
      <c r="AI43" s="90" t="e">
        <f>VLOOKUP($A43,'0.Productos'!$A$3:$GG$65,'0.Productos'!FR$1+1,0)</f>
        <v>#N/A</v>
      </c>
      <c r="AJ43" s="90" t="e">
        <f>VLOOKUP($A43,'0.Productos'!$A$3:$GG$65,'0.Productos'!FS$1+1,0)</f>
        <v>#N/A</v>
      </c>
      <c r="AK43" s="112">
        <v>8500</v>
      </c>
      <c r="AL43" s="111" t="str">
        <f t="shared" si="18"/>
        <v/>
      </c>
      <c r="AM43" s="67">
        <f t="shared" si="19"/>
        <v>5</v>
      </c>
      <c r="AN43" s="57">
        <v>1700</v>
      </c>
      <c r="AO43" s="57">
        <v>0</v>
      </c>
      <c r="AP43" s="57">
        <v>200</v>
      </c>
      <c r="AQ43" s="57">
        <v>800</v>
      </c>
      <c r="AR43" s="57">
        <v>600</v>
      </c>
      <c r="AS43" s="57">
        <v>300</v>
      </c>
      <c r="AT43" s="51" t="str">
        <f t="shared" si="20"/>
        <v/>
      </c>
      <c r="AU43" s="51">
        <f t="shared" si="21"/>
        <v>0</v>
      </c>
      <c r="AV43" s="51" t="str">
        <f t="shared" si="22"/>
        <v/>
      </c>
      <c r="AW43" s="51">
        <f t="shared" si="23"/>
        <v>800</v>
      </c>
      <c r="AX43" s="51" t="str">
        <f t="shared" si="24"/>
        <v/>
      </c>
      <c r="AY43" s="51" t="str">
        <f t="shared" si="25"/>
        <v/>
      </c>
      <c r="AZ43" s="110" t="str">
        <f t="shared" si="26"/>
        <v/>
      </c>
      <c r="BA43" s="67">
        <f t="shared" si="27"/>
        <v>5</v>
      </c>
      <c r="BC43" s="20" t="str">
        <f>IF(LEFT(A43,7)='0.User'!$AC$3,"SI","NO")</f>
        <v>NO</v>
      </c>
      <c r="BD43" s="20" t="str">
        <f>IF(LEFT(A43,7)='0.User'!$AC$3,"SI","NO")</f>
        <v>NO</v>
      </c>
      <c r="BE43" s="20" t="str">
        <f>IF(LEFT(A43,7)='0.User'!$AC$3,"SI","NO")</f>
        <v>NO</v>
      </c>
    </row>
    <row r="44" spans="1:57" x14ac:dyDescent="0.25">
      <c r="A44">
        <f>'0.Consolidado general'!$A36</f>
        <v>0</v>
      </c>
      <c r="B44" s="90" t="e">
        <f>VLOOKUP($A44,'0.Productos'!$A$3:$GG$65,'0.Productos'!FC$1+1,0)</f>
        <v>#N/A</v>
      </c>
      <c r="C44" s="90" t="e">
        <f>VLOOKUP($A44,'0.Productos'!$A$3:$GG$65,'0.Productos'!FD$1+1,0)</f>
        <v>#N/A</v>
      </c>
      <c r="D44" s="90" t="e">
        <f>VLOOKUP($A44,'0.Productos'!$A$3:$GG$65,'0.Productos'!FE$1+1,0)</f>
        <v>#N/A</v>
      </c>
      <c r="E44" s="90" t="e">
        <f>VLOOKUP($A44,'0.Productos'!$A$3:$GG$65,'0.Productos'!FF$1+1,0)</f>
        <v>#N/A</v>
      </c>
      <c r="F44" s="90" t="e">
        <f>VLOOKUP($A44,'0.Productos'!$A$3:$GG$65,'0.Productos'!FG$1+1,0)</f>
        <v>#N/A</v>
      </c>
      <c r="G44" s="90" t="e">
        <f>VLOOKUP($A44,'0.Productos'!$A$3:$GG$65,'0.Productos'!FH$1+1,0)</f>
        <v>#N/A</v>
      </c>
      <c r="H44" s="90" t="e">
        <f>VLOOKUP($A44,'0.Productos'!$A$3:$GG$65,'0.Productos'!FI$1+1,0)</f>
        <v>#N/A</v>
      </c>
      <c r="I44" s="90" t="e">
        <f>VLOOKUP($A44,'0.Productos'!$A$3:$GG$65,'0.Productos'!FJ$1+1,0)</f>
        <v>#N/A</v>
      </c>
      <c r="J44" s="90" t="e">
        <f>VLOOKUP($A44,'0.Productos'!$A$3:$GG$65,'0.Productos'!FK$1+1,0)</f>
        <v>#N/A</v>
      </c>
      <c r="K44" s="90" t="e">
        <f>VLOOKUP($A44,'0.Productos'!$A$3:$GG$65,'0.Productos'!FL$1+1,0)</f>
        <v>#N/A</v>
      </c>
      <c r="L44" s="90" t="e">
        <f>VLOOKUP($A44,'0.Productos'!$A$3:$GG$65,'0.Productos'!FM$1+1,0)</f>
        <v>#N/A</v>
      </c>
      <c r="M44" s="90" t="e">
        <f>VLOOKUP($A44,'0.Productos'!$A$3:$GG$65,'0.Productos'!FN$1+1,0)</f>
        <v>#N/A</v>
      </c>
      <c r="N44" s="90" t="e">
        <f>VLOOKUP($A44,'0.Productos'!$A$3:$GG$65,'0.Productos'!FO$1+1,0)</f>
        <v>#N/A</v>
      </c>
      <c r="O44" s="90" t="e">
        <f>VLOOKUP($A44,'0.Productos'!$A$3:$GG$65,'0.Productos'!FP$1+1,0)</f>
        <v>#N/A</v>
      </c>
      <c r="P44" s="90" t="e">
        <f>VLOOKUP($A44,'0.Productos'!$A$3:$GG$65,'0.Productos'!FQ$1+1,0)</f>
        <v>#N/A</v>
      </c>
      <c r="Q44" s="51" t="str">
        <f t="shared" si="0"/>
        <v/>
      </c>
      <c r="R44" s="51" t="str">
        <f t="shared" si="1"/>
        <v/>
      </c>
      <c r="S44" s="110" t="e">
        <f t="shared" si="2"/>
        <v>#VALUE!</v>
      </c>
      <c r="T44" s="51" t="str">
        <f t="shared" si="3"/>
        <v/>
      </c>
      <c r="U44" s="51" t="str">
        <f t="shared" si="4"/>
        <v/>
      </c>
      <c r="V44" s="51" t="str">
        <f t="shared" si="5"/>
        <v/>
      </c>
      <c r="W44" s="51" t="str">
        <f t="shared" si="6"/>
        <v/>
      </c>
      <c r="X44" s="51" t="str">
        <f t="shared" si="7"/>
        <v/>
      </c>
      <c r="Y44" s="51" t="str">
        <f t="shared" si="8"/>
        <v/>
      </c>
      <c r="Z44" s="51" t="str">
        <f t="shared" si="9"/>
        <v/>
      </c>
      <c r="AA44" s="51" t="str">
        <f t="shared" si="10"/>
        <v/>
      </c>
      <c r="AB44" s="51" t="str">
        <f t="shared" si="11"/>
        <v/>
      </c>
      <c r="AC44" s="51" t="str">
        <f t="shared" si="12"/>
        <v/>
      </c>
      <c r="AD44" s="51" t="str">
        <f t="shared" si="13"/>
        <v/>
      </c>
      <c r="AE44" s="51">
        <f t="shared" si="14"/>
        <v>0</v>
      </c>
      <c r="AF44" s="51">
        <f t="shared" si="15"/>
        <v>0</v>
      </c>
      <c r="AG44" s="51" t="str">
        <f t="shared" si="16"/>
        <v/>
      </c>
      <c r="AH44" s="67">
        <f t="shared" si="17"/>
        <v>5</v>
      </c>
      <c r="AI44" s="90" t="e">
        <f>VLOOKUP($A44,'0.Productos'!$A$3:$GG$65,'0.Productos'!FR$1+1,0)</f>
        <v>#N/A</v>
      </c>
      <c r="AJ44" s="90" t="e">
        <f>VLOOKUP($A44,'0.Productos'!$A$3:$GG$65,'0.Productos'!FS$1+1,0)</f>
        <v>#N/A</v>
      </c>
      <c r="AK44" s="112">
        <v>8500</v>
      </c>
      <c r="AL44" s="111" t="str">
        <f t="shared" si="18"/>
        <v/>
      </c>
      <c r="AM44" s="67">
        <f t="shared" si="19"/>
        <v>5</v>
      </c>
      <c r="AN44" s="57">
        <v>0</v>
      </c>
      <c r="AO44" s="57">
        <v>700</v>
      </c>
      <c r="AP44" s="57">
        <v>0</v>
      </c>
      <c r="AQ44" s="57">
        <v>500</v>
      </c>
      <c r="AR44" s="57">
        <v>200</v>
      </c>
      <c r="AS44" s="57">
        <v>900</v>
      </c>
      <c r="AT44" s="51" t="str">
        <f t="shared" si="20"/>
        <v/>
      </c>
      <c r="AU44" s="51">
        <f t="shared" si="21"/>
        <v>700</v>
      </c>
      <c r="AV44" s="51" t="str">
        <f t="shared" si="22"/>
        <v/>
      </c>
      <c r="AW44" s="51">
        <f t="shared" si="23"/>
        <v>500</v>
      </c>
      <c r="AX44" s="51" t="str">
        <f t="shared" si="24"/>
        <v/>
      </c>
      <c r="AY44" s="51" t="str">
        <f t="shared" si="25"/>
        <v/>
      </c>
      <c r="AZ44" s="110" t="str">
        <f t="shared" si="26"/>
        <v/>
      </c>
      <c r="BA44" s="67">
        <f t="shared" si="27"/>
        <v>5</v>
      </c>
      <c r="BC44" s="20" t="str">
        <f>IF(LEFT(A44,7)='0.User'!$AC$3,"SI","NO")</f>
        <v>NO</v>
      </c>
      <c r="BD44" s="20" t="str">
        <f>IF(LEFT(A44,7)='0.User'!$AC$3,"SI","NO")</f>
        <v>NO</v>
      </c>
      <c r="BE44" s="20" t="str">
        <f>IF(LEFT(A44,7)='0.User'!$AC$3,"SI","NO")</f>
        <v>NO</v>
      </c>
    </row>
    <row r="45" spans="1:57" x14ac:dyDescent="0.25">
      <c r="A45">
        <f>'0.Consolidado general'!$A37</f>
        <v>0</v>
      </c>
      <c r="B45" s="90" t="e">
        <f>VLOOKUP($A45,'0.Productos'!$A$3:$GG$65,'0.Productos'!FC$1+1,0)</f>
        <v>#N/A</v>
      </c>
      <c r="C45" s="90" t="e">
        <f>VLOOKUP($A45,'0.Productos'!$A$3:$GG$65,'0.Productos'!FD$1+1,0)</f>
        <v>#N/A</v>
      </c>
      <c r="D45" s="90" t="e">
        <f>VLOOKUP($A45,'0.Productos'!$A$3:$GG$65,'0.Productos'!FE$1+1,0)</f>
        <v>#N/A</v>
      </c>
      <c r="E45" s="90" t="e">
        <f>VLOOKUP($A45,'0.Productos'!$A$3:$GG$65,'0.Productos'!FF$1+1,0)</f>
        <v>#N/A</v>
      </c>
      <c r="F45" s="90" t="e">
        <f>VLOOKUP($A45,'0.Productos'!$A$3:$GG$65,'0.Productos'!FG$1+1,0)</f>
        <v>#N/A</v>
      </c>
      <c r="G45" s="90" t="e">
        <f>VLOOKUP($A45,'0.Productos'!$A$3:$GG$65,'0.Productos'!FH$1+1,0)</f>
        <v>#N/A</v>
      </c>
      <c r="H45" s="90" t="e">
        <f>VLOOKUP($A45,'0.Productos'!$A$3:$GG$65,'0.Productos'!FI$1+1,0)</f>
        <v>#N/A</v>
      </c>
      <c r="I45" s="90" t="e">
        <f>VLOOKUP($A45,'0.Productos'!$A$3:$GG$65,'0.Productos'!FJ$1+1,0)</f>
        <v>#N/A</v>
      </c>
      <c r="J45" s="90" t="e">
        <f>VLOOKUP($A45,'0.Productos'!$A$3:$GG$65,'0.Productos'!FK$1+1,0)</f>
        <v>#N/A</v>
      </c>
      <c r="K45" s="90" t="e">
        <f>VLOOKUP($A45,'0.Productos'!$A$3:$GG$65,'0.Productos'!FL$1+1,0)</f>
        <v>#N/A</v>
      </c>
      <c r="L45" s="90" t="e">
        <f>VLOOKUP($A45,'0.Productos'!$A$3:$GG$65,'0.Productos'!FM$1+1,0)</f>
        <v>#N/A</v>
      </c>
      <c r="M45" s="90" t="e">
        <f>VLOOKUP($A45,'0.Productos'!$A$3:$GG$65,'0.Productos'!FN$1+1,0)</f>
        <v>#N/A</v>
      </c>
      <c r="N45" s="90" t="e">
        <f>VLOOKUP($A45,'0.Productos'!$A$3:$GG$65,'0.Productos'!FO$1+1,0)</f>
        <v>#N/A</v>
      </c>
      <c r="O45" s="90" t="e">
        <f>VLOOKUP($A45,'0.Productos'!$A$3:$GG$65,'0.Productos'!FP$1+1,0)</f>
        <v>#N/A</v>
      </c>
      <c r="P45" s="90" t="e">
        <f>VLOOKUP($A45,'0.Productos'!$A$3:$GG$65,'0.Productos'!FQ$1+1,0)</f>
        <v>#N/A</v>
      </c>
      <c r="Q45" s="51" t="str">
        <f t="shared" si="0"/>
        <v/>
      </c>
      <c r="R45" s="51" t="str">
        <f t="shared" si="1"/>
        <v/>
      </c>
      <c r="S45" s="110" t="e">
        <f t="shared" si="2"/>
        <v>#VALUE!</v>
      </c>
      <c r="T45" s="51" t="str">
        <f t="shared" si="3"/>
        <v/>
      </c>
      <c r="U45" s="51" t="str">
        <f t="shared" si="4"/>
        <v/>
      </c>
      <c r="V45" s="51" t="str">
        <f t="shared" si="5"/>
        <v/>
      </c>
      <c r="W45" s="51" t="str">
        <f t="shared" si="6"/>
        <v/>
      </c>
      <c r="X45" s="51" t="str">
        <f t="shared" si="7"/>
        <v/>
      </c>
      <c r="Y45" s="51" t="str">
        <f t="shared" si="8"/>
        <v/>
      </c>
      <c r="Z45" s="51" t="str">
        <f t="shared" si="9"/>
        <v/>
      </c>
      <c r="AA45" s="51" t="str">
        <f t="shared" si="10"/>
        <v/>
      </c>
      <c r="AB45" s="51" t="str">
        <f t="shared" si="11"/>
        <v/>
      </c>
      <c r="AC45" s="51" t="str">
        <f t="shared" si="12"/>
        <v/>
      </c>
      <c r="AD45" s="51" t="str">
        <f t="shared" si="13"/>
        <v/>
      </c>
      <c r="AE45" s="51">
        <f t="shared" si="14"/>
        <v>0</v>
      </c>
      <c r="AF45" s="51">
        <f t="shared" si="15"/>
        <v>0</v>
      </c>
      <c r="AG45" s="51" t="str">
        <f t="shared" si="16"/>
        <v/>
      </c>
      <c r="AH45" s="67">
        <f t="shared" si="17"/>
        <v>5</v>
      </c>
      <c r="AI45" s="90" t="e">
        <f>VLOOKUP($A45,'0.Productos'!$A$3:$GG$65,'0.Productos'!FR$1+1,0)</f>
        <v>#N/A</v>
      </c>
      <c r="AJ45" s="90" t="e">
        <f>VLOOKUP($A45,'0.Productos'!$A$3:$GG$65,'0.Productos'!FS$1+1,0)</f>
        <v>#N/A</v>
      </c>
      <c r="AK45" s="112">
        <v>8500</v>
      </c>
      <c r="AL45" s="111" t="str">
        <f t="shared" si="18"/>
        <v/>
      </c>
      <c r="AM45" s="67">
        <f t="shared" si="19"/>
        <v>5</v>
      </c>
      <c r="AN45" s="57">
        <v>700</v>
      </c>
      <c r="AO45" s="57">
        <v>600</v>
      </c>
      <c r="AP45" s="57">
        <v>600</v>
      </c>
      <c r="AQ45" s="57">
        <v>1400</v>
      </c>
      <c r="AR45" s="57">
        <v>1700</v>
      </c>
      <c r="AS45" s="57">
        <v>1400</v>
      </c>
      <c r="AT45" s="51" t="str">
        <f t="shared" si="20"/>
        <v/>
      </c>
      <c r="AU45" s="51">
        <f t="shared" si="21"/>
        <v>600</v>
      </c>
      <c r="AV45" s="51" t="str">
        <f t="shared" si="22"/>
        <v/>
      </c>
      <c r="AW45" s="51">
        <f t="shared" si="23"/>
        <v>1400</v>
      </c>
      <c r="AX45" s="51" t="str">
        <f t="shared" si="24"/>
        <v/>
      </c>
      <c r="AY45" s="51" t="str">
        <f t="shared" si="25"/>
        <v/>
      </c>
      <c r="AZ45" s="110" t="str">
        <f t="shared" si="26"/>
        <v/>
      </c>
      <c r="BA45" s="67">
        <f t="shared" si="27"/>
        <v>5</v>
      </c>
      <c r="BC45" s="20" t="str">
        <f>IF(LEFT(A45,7)='0.User'!$AC$3,"SI","NO")</f>
        <v>NO</v>
      </c>
      <c r="BD45" s="20" t="str">
        <f>IF(LEFT(A45,7)='0.User'!$AC$3,"SI","NO")</f>
        <v>NO</v>
      </c>
      <c r="BE45" s="20" t="str">
        <f>IF(LEFT(A45,7)='0.User'!$AC$3,"SI","NO")</f>
        <v>NO</v>
      </c>
    </row>
    <row r="46" spans="1:57" x14ac:dyDescent="0.25">
      <c r="A46">
        <f>'0.Consolidado general'!$A38</f>
        <v>0</v>
      </c>
      <c r="B46" s="90" t="e">
        <f>VLOOKUP($A46,'0.Productos'!$A$3:$GG$65,'0.Productos'!FC$1+1,0)</f>
        <v>#N/A</v>
      </c>
      <c r="C46" s="90" t="e">
        <f>VLOOKUP($A46,'0.Productos'!$A$3:$GG$65,'0.Productos'!FD$1+1,0)</f>
        <v>#N/A</v>
      </c>
      <c r="D46" s="90" t="e">
        <f>VLOOKUP($A46,'0.Productos'!$A$3:$GG$65,'0.Productos'!FE$1+1,0)</f>
        <v>#N/A</v>
      </c>
      <c r="E46" s="90" t="e">
        <f>VLOOKUP($A46,'0.Productos'!$A$3:$GG$65,'0.Productos'!FF$1+1,0)</f>
        <v>#N/A</v>
      </c>
      <c r="F46" s="90" t="e">
        <f>VLOOKUP($A46,'0.Productos'!$A$3:$GG$65,'0.Productos'!FG$1+1,0)</f>
        <v>#N/A</v>
      </c>
      <c r="G46" s="90" t="e">
        <f>VLOOKUP($A46,'0.Productos'!$A$3:$GG$65,'0.Productos'!FH$1+1,0)</f>
        <v>#N/A</v>
      </c>
      <c r="H46" s="90" t="e">
        <f>VLOOKUP($A46,'0.Productos'!$A$3:$GG$65,'0.Productos'!FI$1+1,0)</f>
        <v>#N/A</v>
      </c>
      <c r="I46" s="90" t="e">
        <f>VLOOKUP($A46,'0.Productos'!$A$3:$GG$65,'0.Productos'!FJ$1+1,0)</f>
        <v>#N/A</v>
      </c>
      <c r="J46" s="90" t="e">
        <f>VLOOKUP($A46,'0.Productos'!$A$3:$GG$65,'0.Productos'!FK$1+1,0)</f>
        <v>#N/A</v>
      </c>
      <c r="K46" s="90" t="e">
        <f>VLOOKUP($A46,'0.Productos'!$A$3:$GG$65,'0.Productos'!FL$1+1,0)</f>
        <v>#N/A</v>
      </c>
      <c r="L46" s="90" t="e">
        <f>VLOOKUP($A46,'0.Productos'!$A$3:$GG$65,'0.Productos'!FM$1+1,0)</f>
        <v>#N/A</v>
      </c>
      <c r="M46" s="90" t="e">
        <f>VLOOKUP($A46,'0.Productos'!$A$3:$GG$65,'0.Productos'!FN$1+1,0)</f>
        <v>#N/A</v>
      </c>
      <c r="N46" s="90" t="e">
        <f>VLOOKUP($A46,'0.Productos'!$A$3:$GG$65,'0.Productos'!FO$1+1,0)</f>
        <v>#N/A</v>
      </c>
      <c r="O46" s="90" t="e">
        <f>VLOOKUP($A46,'0.Productos'!$A$3:$GG$65,'0.Productos'!FP$1+1,0)</f>
        <v>#N/A</v>
      </c>
      <c r="P46" s="90" t="e">
        <f>VLOOKUP($A46,'0.Productos'!$A$3:$GG$65,'0.Productos'!FQ$1+1,0)</f>
        <v>#N/A</v>
      </c>
      <c r="Q46" s="51" t="str">
        <f t="shared" si="0"/>
        <v/>
      </c>
      <c r="R46" s="51" t="str">
        <f t="shared" si="1"/>
        <v/>
      </c>
      <c r="S46" s="110" t="e">
        <f t="shared" si="2"/>
        <v>#VALUE!</v>
      </c>
      <c r="T46" s="51" t="str">
        <f t="shared" si="3"/>
        <v/>
      </c>
      <c r="U46" s="51" t="str">
        <f t="shared" si="4"/>
        <v/>
      </c>
      <c r="V46" s="51" t="str">
        <f t="shared" si="5"/>
        <v/>
      </c>
      <c r="W46" s="51" t="str">
        <f t="shared" si="6"/>
        <v/>
      </c>
      <c r="X46" s="51" t="str">
        <f t="shared" si="7"/>
        <v/>
      </c>
      <c r="Y46" s="51" t="str">
        <f t="shared" si="8"/>
        <v/>
      </c>
      <c r="Z46" s="51" t="str">
        <f t="shared" si="9"/>
        <v/>
      </c>
      <c r="AA46" s="51" t="str">
        <f t="shared" si="10"/>
        <v/>
      </c>
      <c r="AB46" s="51" t="str">
        <f t="shared" si="11"/>
        <v/>
      </c>
      <c r="AC46" s="51" t="str">
        <f t="shared" si="12"/>
        <v/>
      </c>
      <c r="AD46" s="51" t="str">
        <f t="shared" si="13"/>
        <v/>
      </c>
      <c r="AE46" s="51">
        <f t="shared" si="14"/>
        <v>0</v>
      </c>
      <c r="AF46" s="51">
        <f t="shared" si="15"/>
        <v>0</v>
      </c>
      <c r="AG46" s="51" t="str">
        <f t="shared" si="16"/>
        <v/>
      </c>
      <c r="AH46" s="67">
        <f t="shared" si="17"/>
        <v>5</v>
      </c>
      <c r="AI46" s="90" t="e">
        <f>VLOOKUP($A46,'0.Productos'!$A$3:$GG$65,'0.Productos'!FR$1+1,0)</f>
        <v>#N/A</v>
      </c>
      <c r="AJ46" s="90" t="e">
        <f>VLOOKUP($A46,'0.Productos'!$A$3:$GG$65,'0.Productos'!FS$1+1,0)</f>
        <v>#N/A</v>
      </c>
      <c r="AK46" s="112">
        <v>8500</v>
      </c>
      <c r="AL46" s="111" t="str">
        <f t="shared" si="18"/>
        <v/>
      </c>
      <c r="AM46" s="67">
        <f t="shared" si="19"/>
        <v>5</v>
      </c>
      <c r="AN46" s="57">
        <v>2000</v>
      </c>
      <c r="AO46" s="57">
        <v>1600</v>
      </c>
      <c r="AP46" s="57">
        <v>1600</v>
      </c>
      <c r="AQ46" s="57">
        <v>600</v>
      </c>
      <c r="AR46" s="57">
        <v>1600</v>
      </c>
      <c r="AS46" s="57">
        <v>600</v>
      </c>
      <c r="AT46" s="51" t="str">
        <f t="shared" si="20"/>
        <v/>
      </c>
      <c r="AU46" s="51">
        <f t="shared" si="21"/>
        <v>1600</v>
      </c>
      <c r="AV46" s="51" t="str">
        <f t="shared" si="22"/>
        <v/>
      </c>
      <c r="AW46" s="51">
        <f t="shared" si="23"/>
        <v>600</v>
      </c>
      <c r="AX46" s="51" t="str">
        <f t="shared" si="24"/>
        <v/>
      </c>
      <c r="AY46" s="51" t="str">
        <f t="shared" si="25"/>
        <v/>
      </c>
      <c r="AZ46" s="110" t="str">
        <f t="shared" si="26"/>
        <v/>
      </c>
      <c r="BA46" s="67">
        <f t="shared" si="27"/>
        <v>5</v>
      </c>
      <c r="BC46" s="20" t="str">
        <f>IF(LEFT(A46,7)='0.User'!$AC$3,"SI","NO")</f>
        <v>NO</v>
      </c>
      <c r="BD46" s="20" t="str">
        <f>IF(LEFT(A46,7)='0.User'!$AC$3,"SI","NO")</f>
        <v>NO</v>
      </c>
      <c r="BE46" s="20" t="str">
        <f>IF(LEFT(A46,7)='0.User'!$AC$3,"SI","NO")</f>
        <v>NO</v>
      </c>
    </row>
    <row r="47" spans="1:57" x14ac:dyDescent="0.25">
      <c r="A47">
        <f>'0.Consolidado general'!$A39</f>
        <v>0</v>
      </c>
      <c r="B47" s="90" t="e">
        <f>VLOOKUP($A47,'0.Productos'!$A$3:$GG$65,'0.Productos'!FC$1+1,0)</f>
        <v>#N/A</v>
      </c>
      <c r="C47" s="90" t="e">
        <f>VLOOKUP($A47,'0.Productos'!$A$3:$GG$65,'0.Productos'!FD$1+1,0)</f>
        <v>#N/A</v>
      </c>
      <c r="D47" s="90" t="e">
        <f>VLOOKUP($A47,'0.Productos'!$A$3:$GG$65,'0.Productos'!FE$1+1,0)</f>
        <v>#N/A</v>
      </c>
      <c r="E47" s="90" t="e">
        <f>VLOOKUP($A47,'0.Productos'!$A$3:$GG$65,'0.Productos'!FF$1+1,0)</f>
        <v>#N/A</v>
      </c>
      <c r="F47" s="90" t="e">
        <f>VLOOKUP($A47,'0.Productos'!$A$3:$GG$65,'0.Productos'!FG$1+1,0)</f>
        <v>#N/A</v>
      </c>
      <c r="G47" s="90" t="e">
        <f>VLOOKUP($A47,'0.Productos'!$A$3:$GG$65,'0.Productos'!FH$1+1,0)</f>
        <v>#N/A</v>
      </c>
      <c r="H47" s="90" t="e">
        <f>VLOOKUP($A47,'0.Productos'!$A$3:$GG$65,'0.Productos'!FI$1+1,0)</f>
        <v>#N/A</v>
      </c>
      <c r="I47" s="90" t="e">
        <f>VLOOKUP($A47,'0.Productos'!$A$3:$GG$65,'0.Productos'!FJ$1+1,0)</f>
        <v>#N/A</v>
      </c>
      <c r="J47" s="90" t="e">
        <f>VLOOKUP($A47,'0.Productos'!$A$3:$GG$65,'0.Productos'!FK$1+1,0)</f>
        <v>#N/A</v>
      </c>
      <c r="K47" s="90" t="e">
        <f>VLOOKUP($A47,'0.Productos'!$A$3:$GG$65,'0.Productos'!FL$1+1,0)</f>
        <v>#N/A</v>
      </c>
      <c r="L47" s="90" t="e">
        <f>VLOOKUP($A47,'0.Productos'!$A$3:$GG$65,'0.Productos'!FM$1+1,0)</f>
        <v>#N/A</v>
      </c>
      <c r="M47" s="90" t="e">
        <f>VLOOKUP($A47,'0.Productos'!$A$3:$GG$65,'0.Productos'!FN$1+1,0)</f>
        <v>#N/A</v>
      </c>
      <c r="N47" s="90" t="e">
        <f>VLOOKUP($A47,'0.Productos'!$A$3:$GG$65,'0.Productos'!FO$1+1,0)</f>
        <v>#N/A</v>
      </c>
      <c r="O47" s="90" t="e">
        <f>VLOOKUP($A47,'0.Productos'!$A$3:$GG$65,'0.Productos'!FP$1+1,0)</f>
        <v>#N/A</v>
      </c>
      <c r="P47" s="90" t="e">
        <f>VLOOKUP($A47,'0.Productos'!$A$3:$GG$65,'0.Productos'!FQ$1+1,0)</f>
        <v>#N/A</v>
      </c>
      <c r="Q47" s="51" t="str">
        <f t="shared" si="0"/>
        <v/>
      </c>
      <c r="R47" s="51" t="str">
        <f t="shared" si="1"/>
        <v/>
      </c>
      <c r="S47" s="110" t="e">
        <f t="shared" si="2"/>
        <v>#VALUE!</v>
      </c>
      <c r="T47" s="51" t="str">
        <f t="shared" si="3"/>
        <v/>
      </c>
      <c r="U47" s="51" t="str">
        <f t="shared" si="4"/>
        <v/>
      </c>
      <c r="V47" s="51" t="str">
        <f t="shared" si="5"/>
        <v/>
      </c>
      <c r="W47" s="51" t="str">
        <f t="shared" si="6"/>
        <v/>
      </c>
      <c r="X47" s="51" t="str">
        <f t="shared" si="7"/>
        <v/>
      </c>
      <c r="Y47" s="51" t="str">
        <f t="shared" si="8"/>
        <v/>
      </c>
      <c r="Z47" s="51" t="str">
        <f t="shared" si="9"/>
        <v/>
      </c>
      <c r="AA47" s="51" t="str">
        <f t="shared" si="10"/>
        <v/>
      </c>
      <c r="AB47" s="51" t="str">
        <f t="shared" si="11"/>
        <v/>
      </c>
      <c r="AC47" s="51" t="str">
        <f t="shared" si="12"/>
        <v/>
      </c>
      <c r="AD47" s="51" t="str">
        <f t="shared" si="13"/>
        <v/>
      </c>
      <c r="AE47" s="51">
        <f t="shared" si="14"/>
        <v>0</v>
      </c>
      <c r="AF47" s="51">
        <f t="shared" si="15"/>
        <v>0</v>
      </c>
      <c r="AG47" s="51" t="str">
        <f t="shared" si="16"/>
        <v/>
      </c>
      <c r="AH47" s="67">
        <f t="shared" si="17"/>
        <v>5</v>
      </c>
      <c r="AI47" s="90" t="e">
        <f>VLOOKUP($A47,'0.Productos'!$A$3:$GG$65,'0.Productos'!FR$1+1,0)</f>
        <v>#N/A</v>
      </c>
      <c r="AJ47" s="90" t="e">
        <f>VLOOKUP($A47,'0.Productos'!$A$3:$GG$65,'0.Productos'!FS$1+1,0)</f>
        <v>#N/A</v>
      </c>
      <c r="AK47" s="112">
        <v>8500</v>
      </c>
      <c r="AL47" s="111" t="str">
        <f t="shared" si="18"/>
        <v/>
      </c>
      <c r="AM47" s="67">
        <f t="shared" si="19"/>
        <v>5</v>
      </c>
      <c r="AN47" s="57">
        <v>700</v>
      </c>
      <c r="AO47" s="57">
        <v>1600</v>
      </c>
      <c r="AP47" s="57">
        <v>1400</v>
      </c>
      <c r="AQ47" s="57">
        <v>600</v>
      </c>
      <c r="AR47" s="57">
        <v>1200</v>
      </c>
      <c r="AS47" s="57">
        <v>400</v>
      </c>
      <c r="AT47" s="51" t="str">
        <f t="shared" si="20"/>
        <v/>
      </c>
      <c r="AU47" s="51">
        <f t="shared" si="21"/>
        <v>1600</v>
      </c>
      <c r="AV47" s="51" t="str">
        <f t="shared" si="22"/>
        <v/>
      </c>
      <c r="AW47" s="51">
        <f t="shared" si="23"/>
        <v>600</v>
      </c>
      <c r="AX47" s="51" t="str">
        <f t="shared" si="24"/>
        <v/>
      </c>
      <c r="AY47" s="51" t="str">
        <f t="shared" si="25"/>
        <v/>
      </c>
      <c r="AZ47" s="110" t="str">
        <f t="shared" si="26"/>
        <v/>
      </c>
      <c r="BA47" s="67">
        <f t="shared" si="27"/>
        <v>5</v>
      </c>
      <c r="BC47" s="20" t="str">
        <f>IF(LEFT(A47,7)='0.User'!$AC$3,"SI","NO")</f>
        <v>NO</v>
      </c>
      <c r="BD47" s="20" t="str">
        <f>IF(LEFT(A47,7)='0.User'!$AC$3,"SI","NO")</f>
        <v>NO</v>
      </c>
      <c r="BE47" s="20" t="str">
        <f>IF(LEFT(A47,7)='0.User'!$AC$3,"SI","NO")</f>
        <v>NO</v>
      </c>
    </row>
    <row r="48" spans="1:57" x14ac:dyDescent="0.25">
      <c r="A48">
        <f>'0.Consolidado general'!$A40</f>
        <v>0</v>
      </c>
      <c r="B48" s="90" t="e">
        <f>VLOOKUP($A48,'0.Productos'!$A$3:$GG$65,'0.Productos'!FC$1+1,0)</f>
        <v>#N/A</v>
      </c>
      <c r="C48" s="90" t="e">
        <f>VLOOKUP($A48,'0.Productos'!$A$3:$GG$65,'0.Productos'!FD$1+1,0)</f>
        <v>#N/A</v>
      </c>
      <c r="D48" s="90" t="e">
        <f>VLOOKUP($A48,'0.Productos'!$A$3:$GG$65,'0.Productos'!FE$1+1,0)</f>
        <v>#N/A</v>
      </c>
      <c r="E48" s="90" t="e">
        <f>VLOOKUP($A48,'0.Productos'!$A$3:$GG$65,'0.Productos'!FF$1+1,0)</f>
        <v>#N/A</v>
      </c>
      <c r="F48" s="90" t="e">
        <f>VLOOKUP($A48,'0.Productos'!$A$3:$GG$65,'0.Productos'!FG$1+1,0)</f>
        <v>#N/A</v>
      </c>
      <c r="G48" s="90" t="e">
        <f>VLOOKUP($A48,'0.Productos'!$A$3:$GG$65,'0.Productos'!FH$1+1,0)</f>
        <v>#N/A</v>
      </c>
      <c r="H48" s="90" t="e">
        <f>VLOOKUP($A48,'0.Productos'!$A$3:$GG$65,'0.Productos'!FI$1+1,0)</f>
        <v>#N/A</v>
      </c>
      <c r="I48" s="90" t="e">
        <f>VLOOKUP($A48,'0.Productos'!$A$3:$GG$65,'0.Productos'!FJ$1+1,0)</f>
        <v>#N/A</v>
      </c>
      <c r="J48" s="90" t="e">
        <f>VLOOKUP($A48,'0.Productos'!$A$3:$GG$65,'0.Productos'!FK$1+1,0)</f>
        <v>#N/A</v>
      </c>
      <c r="K48" s="90" t="e">
        <f>VLOOKUP($A48,'0.Productos'!$A$3:$GG$65,'0.Productos'!FL$1+1,0)</f>
        <v>#N/A</v>
      </c>
      <c r="L48" s="90" t="e">
        <f>VLOOKUP($A48,'0.Productos'!$A$3:$GG$65,'0.Productos'!FM$1+1,0)</f>
        <v>#N/A</v>
      </c>
      <c r="M48" s="90" t="e">
        <f>VLOOKUP($A48,'0.Productos'!$A$3:$GG$65,'0.Productos'!FN$1+1,0)</f>
        <v>#N/A</v>
      </c>
      <c r="N48" s="90" t="e">
        <f>VLOOKUP($A48,'0.Productos'!$A$3:$GG$65,'0.Productos'!FO$1+1,0)</f>
        <v>#N/A</v>
      </c>
      <c r="O48" s="90" t="e">
        <f>VLOOKUP($A48,'0.Productos'!$A$3:$GG$65,'0.Productos'!FP$1+1,0)</f>
        <v>#N/A</v>
      </c>
      <c r="P48" s="90" t="e">
        <f>VLOOKUP($A48,'0.Productos'!$A$3:$GG$65,'0.Productos'!FQ$1+1,0)</f>
        <v>#N/A</v>
      </c>
      <c r="Q48" s="51" t="str">
        <f t="shared" si="0"/>
        <v/>
      </c>
      <c r="R48" s="51" t="str">
        <f t="shared" si="1"/>
        <v/>
      </c>
      <c r="S48" s="110" t="e">
        <f t="shared" si="2"/>
        <v>#VALUE!</v>
      </c>
      <c r="T48" s="51" t="str">
        <f t="shared" si="3"/>
        <v/>
      </c>
      <c r="U48" s="51" t="str">
        <f t="shared" si="4"/>
        <v/>
      </c>
      <c r="V48" s="51" t="str">
        <f t="shared" si="5"/>
        <v/>
      </c>
      <c r="W48" s="51" t="str">
        <f t="shared" si="6"/>
        <v/>
      </c>
      <c r="X48" s="51" t="str">
        <f t="shared" si="7"/>
        <v/>
      </c>
      <c r="Y48" s="51" t="str">
        <f t="shared" si="8"/>
        <v/>
      </c>
      <c r="Z48" s="51" t="str">
        <f t="shared" si="9"/>
        <v/>
      </c>
      <c r="AA48" s="51" t="str">
        <f t="shared" si="10"/>
        <v/>
      </c>
      <c r="AB48" s="51" t="str">
        <f t="shared" si="11"/>
        <v/>
      </c>
      <c r="AC48" s="51" t="str">
        <f t="shared" si="12"/>
        <v/>
      </c>
      <c r="AD48" s="51" t="str">
        <f t="shared" si="13"/>
        <v/>
      </c>
      <c r="AE48" s="51">
        <f t="shared" si="14"/>
        <v>0</v>
      </c>
      <c r="AF48" s="51">
        <f t="shared" si="15"/>
        <v>0</v>
      </c>
      <c r="AG48" s="51" t="str">
        <f t="shared" si="16"/>
        <v/>
      </c>
      <c r="AH48" s="67">
        <f t="shared" si="17"/>
        <v>5</v>
      </c>
      <c r="AI48" s="90" t="e">
        <f>VLOOKUP($A48,'0.Productos'!$A$3:$GG$65,'0.Productos'!FR$1+1,0)</f>
        <v>#N/A</v>
      </c>
      <c r="AJ48" s="90" t="e">
        <f>VLOOKUP($A48,'0.Productos'!$A$3:$GG$65,'0.Productos'!FS$1+1,0)</f>
        <v>#N/A</v>
      </c>
      <c r="AK48" s="112">
        <v>8500</v>
      </c>
      <c r="AL48" s="111" t="str">
        <f t="shared" si="18"/>
        <v/>
      </c>
      <c r="AM48" s="67">
        <f t="shared" si="19"/>
        <v>5</v>
      </c>
      <c r="AN48" s="57">
        <v>900</v>
      </c>
      <c r="AO48" s="57">
        <v>1500</v>
      </c>
      <c r="AP48" s="57">
        <v>1100</v>
      </c>
      <c r="AQ48" s="57">
        <v>1600</v>
      </c>
      <c r="AR48" s="57">
        <v>800</v>
      </c>
      <c r="AS48" s="57">
        <v>500</v>
      </c>
      <c r="AT48" s="51" t="str">
        <f t="shared" si="20"/>
        <v/>
      </c>
      <c r="AU48" s="51">
        <f t="shared" si="21"/>
        <v>1500</v>
      </c>
      <c r="AV48" s="51" t="str">
        <f t="shared" si="22"/>
        <v/>
      </c>
      <c r="AW48" s="51">
        <f t="shared" si="23"/>
        <v>1600</v>
      </c>
      <c r="AX48" s="51" t="str">
        <f t="shared" si="24"/>
        <v/>
      </c>
      <c r="AY48" s="51" t="str">
        <f t="shared" si="25"/>
        <v/>
      </c>
      <c r="AZ48" s="110" t="str">
        <f t="shared" si="26"/>
        <v/>
      </c>
      <c r="BA48" s="67">
        <f t="shared" si="27"/>
        <v>5</v>
      </c>
      <c r="BC48" s="20" t="str">
        <f>IF(LEFT(A48,7)='0.User'!$AC$3,"SI","NO")</f>
        <v>NO</v>
      </c>
      <c r="BD48" s="20" t="str">
        <f>IF(LEFT(A48,7)='0.User'!$AC$3,"SI","NO")</f>
        <v>NO</v>
      </c>
      <c r="BE48" s="20" t="str">
        <f>IF(LEFT(A48,7)='0.User'!$AC$3,"SI","NO")</f>
        <v>NO</v>
      </c>
    </row>
    <row r="49" spans="1:57" x14ac:dyDescent="0.25">
      <c r="A49">
        <f>'0.Consolidado general'!$A41</f>
        <v>0</v>
      </c>
      <c r="B49" s="90" t="e">
        <f>VLOOKUP($A49,'0.Productos'!$A$3:$GG$65,'0.Productos'!FC$1+1,0)</f>
        <v>#N/A</v>
      </c>
      <c r="C49" s="90" t="e">
        <f>VLOOKUP($A49,'0.Productos'!$A$3:$GG$65,'0.Productos'!FD$1+1,0)</f>
        <v>#N/A</v>
      </c>
      <c r="D49" s="90" t="e">
        <f>VLOOKUP($A49,'0.Productos'!$A$3:$GG$65,'0.Productos'!FE$1+1,0)</f>
        <v>#N/A</v>
      </c>
      <c r="E49" s="90" t="e">
        <f>VLOOKUP($A49,'0.Productos'!$A$3:$GG$65,'0.Productos'!FF$1+1,0)</f>
        <v>#N/A</v>
      </c>
      <c r="F49" s="90" t="e">
        <f>VLOOKUP($A49,'0.Productos'!$A$3:$GG$65,'0.Productos'!FG$1+1,0)</f>
        <v>#N/A</v>
      </c>
      <c r="G49" s="90" t="e">
        <f>VLOOKUP($A49,'0.Productos'!$A$3:$GG$65,'0.Productos'!FH$1+1,0)</f>
        <v>#N/A</v>
      </c>
      <c r="H49" s="90" t="e">
        <f>VLOOKUP($A49,'0.Productos'!$A$3:$GG$65,'0.Productos'!FI$1+1,0)</f>
        <v>#N/A</v>
      </c>
      <c r="I49" s="90" t="e">
        <f>VLOOKUP($A49,'0.Productos'!$A$3:$GG$65,'0.Productos'!FJ$1+1,0)</f>
        <v>#N/A</v>
      </c>
      <c r="J49" s="90" t="e">
        <f>VLOOKUP($A49,'0.Productos'!$A$3:$GG$65,'0.Productos'!FK$1+1,0)</f>
        <v>#N/A</v>
      </c>
      <c r="K49" s="90" t="e">
        <f>VLOOKUP($A49,'0.Productos'!$A$3:$GG$65,'0.Productos'!FL$1+1,0)</f>
        <v>#N/A</v>
      </c>
      <c r="L49" s="90" t="e">
        <f>VLOOKUP($A49,'0.Productos'!$A$3:$GG$65,'0.Productos'!FM$1+1,0)</f>
        <v>#N/A</v>
      </c>
      <c r="M49" s="90" t="e">
        <f>VLOOKUP($A49,'0.Productos'!$A$3:$GG$65,'0.Productos'!FN$1+1,0)</f>
        <v>#N/A</v>
      </c>
      <c r="N49" s="90" t="e">
        <f>VLOOKUP($A49,'0.Productos'!$A$3:$GG$65,'0.Productos'!FO$1+1,0)</f>
        <v>#N/A</v>
      </c>
      <c r="O49" s="90" t="e">
        <f>VLOOKUP($A49,'0.Productos'!$A$3:$GG$65,'0.Productos'!FP$1+1,0)</f>
        <v>#N/A</v>
      </c>
      <c r="P49" s="90" t="e">
        <f>VLOOKUP($A49,'0.Productos'!$A$3:$GG$65,'0.Productos'!FQ$1+1,0)</f>
        <v>#N/A</v>
      </c>
      <c r="Q49" s="51" t="str">
        <f t="shared" si="0"/>
        <v/>
      </c>
      <c r="R49" s="51" t="str">
        <f t="shared" si="1"/>
        <v/>
      </c>
      <c r="S49" s="110" t="e">
        <f t="shared" si="2"/>
        <v>#VALUE!</v>
      </c>
      <c r="T49" s="51" t="str">
        <f t="shared" si="3"/>
        <v/>
      </c>
      <c r="U49" s="51" t="str">
        <f t="shared" si="4"/>
        <v/>
      </c>
      <c r="V49" s="51" t="str">
        <f t="shared" si="5"/>
        <v/>
      </c>
      <c r="W49" s="51" t="str">
        <f t="shared" si="6"/>
        <v/>
      </c>
      <c r="X49" s="51" t="str">
        <f t="shared" si="7"/>
        <v/>
      </c>
      <c r="Y49" s="51" t="str">
        <f t="shared" si="8"/>
        <v/>
      </c>
      <c r="Z49" s="51" t="str">
        <f t="shared" si="9"/>
        <v/>
      </c>
      <c r="AA49" s="51" t="str">
        <f t="shared" si="10"/>
        <v/>
      </c>
      <c r="AB49" s="51" t="str">
        <f t="shared" si="11"/>
        <v/>
      </c>
      <c r="AC49" s="51" t="str">
        <f t="shared" si="12"/>
        <v/>
      </c>
      <c r="AD49" s="51" t="str">
        <f t="shared" si="13"/>
        <v/>
      </c>
      <c r="AE49" s="51">
        <f t="shared" si="14"/>
        <v>0</v>
      </c>
      <c r="AF49" s="51">
        <f t="shared" si="15"/>
        <v>0</v>
      </c>
      <c r="AG49" s="51" t="str">
        <f t="shared" si="16"/>
        <v/>
      </c>
      <c r="AH49" s="67">
        <f t="shared" si="17"/>
        <v>5</v>
      </c>
      <c r="AI49" s="90" t="e">
        <f>VLOOKUP($A49,'0.Productos'!$A$3:$GG$65,'0.Productos'!FR$1+1,0)</f>
        <v>#N/A</v>
      </c>
      <c r="AJ49" s="90" t="e">
        <f>VLOOKUP($A49,'0.Productos'!$A$3:$GG$65,'0.Productos'!FS$1+1,0)</f>
        <v>#N/A</v>
      </c>
      <c r="AK49" s="112">
        <v>8500</v>
      </c>
      <c r="AL49" s="111" t="str">
        <f t="shared" si="18"/>
        <v/>
      </c>
      <c r="AM49" s="67">
        <f t="shared" si="19"/>
        <v>5</v>
      </c>
      <c r="AN49" s="57">
        <v>0</v>
      </c>
      <c r="AO49" s="57">
        <v>700</v>
      </c>
      <c r="AP49" s="57">
        <v>400</v>
      </c>
      <c r="AQ49" s="57">
        <v>1800</v>
      </c>
      <c r="AR49" s="57">
        <v>600</v>
      </c>
      <c r="AS49" s="57">
        <v>1800</v>
      </c>
      <c r="AT49" s="51" t="str">
        <f t="shared" si="20"/>
        <v/>
      </c>
      <c r="AU49" s="51">
        <f t="shared" si="21"/>
        <v>700</v>
      </c>
      <c r="AV49" s="51" t="str">
        <f t="shared" si="22"/>
        <v/>
      </c>
      <c r="AW49" s="51">
        <f t="shared" si="23"/>
        <v>1800</v>
      </c>
      <c r="AX49" s="51" t="str">
        <f t="shared" si="24"/>
        <v/>
      </c>
      <c r="AY49" s="51" t="str">
        <f t="shared" si="25"/>
        <v/>
      </c>
      <c r="AZ49" s="110" t="str">
        <f t="shared" si="26"/>
        <v/>
      </c>
      <c r="BA49" s="67">
        <f t="shared" si="27"/>
        <v>5</v>
      </c>
      <c r="BC49" s="20" t="str">
        <f>IF(LEFT(A49,7)='0.User'!$AC$3,"SI","NO")</f>
        <v>NO</v>
      </c>
      <c r="BD49" s="20" t="str">
        <f>IF(LEFT(A49,7)='0.User'!$AC$3,"SI","NO")</f>
        <v>NO</v>
      </c>
      <c r="BE49" s="20" t="str">
        <f>IF(LEFT(A49,7)='0.User'!$AC$3,"SI","NO")</f>
        <v>NO</v>
      </c>
    </row>
    <row r="50" spans="1:57" x14ac:dyDescent="0.25">
      <c r="A50">
        <f>'0.Consolidado general'!$A42</f>
        <v>0</v>
      </c>
      <c r="B50" s="90" t="e">
        <f>VLOOKUP($A50,'0.Productos'!$A$3:$GG$65,'0.Productos'!FC$1+1,0)</f>
        <v>#N/A</v>
      </c>
      <c r="C50" s="90" t="e">
        <f>VLOOKUP($A50,'0.Productos'!$A$3:$GG$65,'0.Productos'!FD$1+1,0)</f>
        <v>#N/A</v>
      </c>
      <c r="D50" s="90" t="e">
        <f>VLOOKUP($A50,'0.Productos'!$A$3:$GG$65,'0.Productos'!FE$1+1,0)</f>
        <v>#N/A</v>
      </c>
      <c r="E50" s="90" t="e">
        <f>VLOOKUP($A50,'0.Productos'!$A$3:$GG$65,'0.Productos'!FF$1+1,0)</f>
        <v>#N/A</v>
      </c>
      <c r="F50" s="90" t="e">
        <f>VLOOKUP($A50,'0.Productos'!$A$3:$GG$65,'0.Productos'!FG$1+1,0)</f>
        <v>#N/A</v>
      </c>
      <c r="G50" s="90" t="e">
        <f>VLOOKUP($A50,'0.Productos'!$A$3:$GG$65,'0.Productos'!FH$1+1,0)</f>
        <v>#N/A</v>
      </c>
      <c r="H50" s="90" t="e">
        <f>VLOOKUP($A50,'0.Productos'!$A$3:$GG$65,'0.Productos'!FI$1+1,0)</f>
        <v>#N/A</v>
      </c>
      <c r="I50" s="90" t="e">
        <f>VLOOKUP($A50,'0.Productos'!$A$3:$GG$65,'0.Productos'!FJ$1+1,0)</f>
        <v>#N/A</v>
      </c>
      <c r="J50" s="90" t="e">
        <f>VLOOKUP($A50,'0.Productos'!$A$3:$GG$65,'0.Productos'!FK$1+1,0)</f>
        <v>#N/A</v>
      </c>
      <c r="K50" s="90" t="e">
        <f>VLOOKUP($A50,'0.Productos'!$A$3:$GG$65,'0.Productos'!FL$1+1,0)</f>
        <v>#N/A</v>
      </c>
      <c r="L50" s="90" t="e">
        <f>VLOOKUP($A50,'0.Productos'!$A$3:$GG$65,'0.Productos'!FM$1+1,0)</f>
        <v>#N/A</v>
      </c>
      <c r="M50" s="90" t="e">
        <f>VLOOKUP($A50,'0.Productos'!$A$3:$GG$65,'0.Productos'!FN$1+1,0)</f>
        <v>#N/A</v>
      </c>
      <c r="N50" s="90" t="e">
        <f>VLOOKUP($A50,'0.Productos'!$A$3:$GG$65,'0.Productos'!FO$1+1,0)</f>
        <v>#N/A</v>
      </c>
      <c r="O50" s="90" t="e">
        <f>VLOOKUP($A50,'0.Productos'!$A$3:$GG$65,'0.Productos'!FP$1+1,0)</f>
        <v>#N/A</v>
      </c>
      <c r="P50" s="90" t="e">
        <f>VLOOKUP($A50,'0.Productos'!$A$3:$GG$65,'0.Productos'!FQ$1+1,0)</f>
        <v>#N/A</v>
      </c>
      <c r="Q50" s="51" t="str">
        <f t="shared" si="0"/>
        <v/>
      </c>
      <c r="R50" s="51" t="str">
        <f t="shared" si="1"/>
        <v/>
      </c>
      <c r="S50" s="110" t="e">
        <f t="shared" si="2"/>
        <v>#VALUE!</v>
      </c>
      <c r="T50" s="51" t="str">
        <f t="shared" si="3"/>
        <v/>
      </c>
      <c r="U50" s="51" t="str">
        <f t="shared" si="4"/>
        <v/>
      </c>
      <c r="V50" s="51" t="str">
        <f t="shared" si="5"/>
        <v/>
      </c>
      <c r="W50" s="51" t="str">
        <f t="shared" si="6"/>
        <v/>
      </c>
      <c r="X50" s="51" t="str">
        <f t="shared" si="7"/>
        <v/>
      </c>
      <c r="Y50" s="51" t="str">
        <f t="shared" si="8"/>
        <v/>
      </c>
      <c r="Z50" s="51" t="str">
        <f t="shared" si="9"/>
        <v/>
      </c>
      <c r="AA50" s="51" t="str">
        <f t="shared" si="10"/>
        <v/>
      </c>
      <c r="AB50" s="51" t="str">
        <f t="shared" si="11"/>
        <v/>
      </c>
      <c r="AC50" s="51" t="str">
        <f t="shared" si="12"/>
        <v/>
      </c>
      <c r="AD50" s="51" t="str">
        <f t="shared" si="13"/>
        <v/>
      </c>
      <c r="AE50" s="51">
        <f t="shared" si="14"/>
        <v>0</v>
      </c>
      <c r="AF50" s="51">
        <f t="shared" si="15"/>
        <v>0</v>
      </c>
      <c r="AG50" s="51" t="str">
        <f t="shared" si="16"/>
        <v/>
      </c>
      <c r="AH50" s="67">
        <f t="shared" si="17"/>
        <v>5</v>
      </c>
      <c r="AI50" s="90" t="e">
        <f>VLOOKUP($A50,'0.Productos'!$A$3:$GG$65,'0.Productos'!FR$1+1,0)</f>
        <v>#N/A</v>
      </c>
      <c r="AJ50" s="90" t="e">
        <f>VLOOKUP($A50,'0.Productos'!$A$3:$GG$65,'0.Productos'!FS$1+1,0)</f>
        <v>#N/A</v>
      </c>
      <c r="AK50" s="112">
        <v>8500</v>
      </c>
      <c r="AL50" s="111" t="str">
        <f t="shared" si="18"/>
        <v/>
      </c>
      <c r="AM50" s="67">
        <f t="shared" si="19"/>
        <v>5</v>
      </c>
      <c r="AN50" s="57">
        <v>600</v>
      </c>
      <c r="AO50" s="57">
        <v>1000</v>
      </c>
      <c r="AP50" s="57">
        <v>100</v>
      </c>
      <c r="AQ50" s="57">
        <v>2000</v>
      </c>
      <c r="AR50" s="57">
        <v>1700</v>
      </c>
      <c r="AS50" s="57">
        <v>1400</v>
      </c>
      <c r="AT50" s="51" t="str">
        <f t="shared" si="20"/>
        <v/>
      </c>
      <c r="AU50" s="51">
        <f t="shared" si="21"/>
        <v>1000</v>
      </c>
      <c r="AV50" s="51" t="str">
        <f t="shared" si="22"/>
        <v/>
      </c>
      <c r="AW50" s="51">
        <f t="shared" si="23"/>
        <v>2000</v>
      </c>
      <c r="AX50" s="51" t="str">
        <f t="shared" si="24"/>
        <v/>
      </c>
      <c r="AY50" s="51" t="str">
        <f t="shared" si="25"/>
        <v/>
      </c>
      <c r="AZ50" s="110" t="str">
        <f t="shared" si="26"/>
        <v/>
      </c>
      <c r="BA50" s="67">
        <f t="shared" si="27"/>
        <v>5</v>
      </c>
      <c r="BC50" s="20" t="str">
        <f>IF(LEFT(A50,7)='0.User'!$AC$3,"SI","NO")</f>
        <v>NO</v>
      </c>
      <c r="BD50" s="20" t="str">
        <f>IF(LEFT(A50,7)='0.User'!$AC$3,"SI","NO")</f>
        <v>NO</v>
      </c>
      <c r="BE50" s="20" t="str">
        <f>IF(LEFT(A50,7)='0.User'!$AC$3,"SI","NO")</f>
        <v>NO</v>
      </c>
    </row>
  </sheetData>
  <mergeCells count="7">
    <mergeCell ref="T5:AI5"/>
    <mergeCell ref="AH6:AI7"/>
    <mergeCell ref="AN9:BA9"/>
    <mergeCell ref="B9:S9"/>
    <mergeCell ref="T9:AH9"/>
    <mergeCell ref="AI9:AM9"/>
    <mergeCell ref="Z6:AB6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9"/>
  <dimension ref="A1:Z60"/>
  <sheetViews>
    <sheetView workbookViewId="0">
      <selection activeCell="L4" sqref="L4"/>
    </sheetView>
  </sheetViews>
  <sheetFormatPr baseColWidth="10" defaultRowHeight="15" x14ac:dyDescent="0.25"/>
  <cols>
    <col min="1" max="1" width="5.7109375" style="65" bestFit="1" customWidth="1"/>
    <col min="2" max="2" width="8.140625" style="64" bestFit="1" customWidth="1"/>
    <col min="3" max="3" width="20.140625" customWidth="1"/>
    <col min="4" max="4" width="9.5703125" style="63" customWidth="1"/>
    <col min="5" max="5" width="14" customWidth="1"/>
    <col min="6" max="6" width="11.28515625" customWidth="1"/>
    <col min="7" max="7" width="5" bestFit="1" customWidth="1"/>
    <col min="8" max="8" width="6.140625" customWidth="1"/>
    <col min="9" max="9" width="5.7109375" customWidth="1"/>
    <col min="10" max="10" width="6.28515625" customWidth="1"/>
    <col min="11" max="11" width="8.140625" customWidth="1"/>
    <col min="12" max="12" width="6.28515625" customWidth="1"/>
    <col min="13" max="13" width="2.42578125" customWidth="1"/>
    <col min="14" max="14" width="9.42578125" customWidth="1"/>
    <col min="15" max="15" width="9.28515625" customWidth="1"/>
    <col min="16" max="16" width="7.85546875" customWidth="1"/>
    <col min="17" max="17" width="4" bestFit="1" customWidth="1"/>
    <col min="18" max="20" width="4.28515625" customWidth="1"/>
    <col min="21" max="21" width="5.7109375" customWidth="1"/>
    <col min="22" max="26" width="4.28515625" customWidth="1"/>
  </cols>
  <sheetData>
    <row r="1" spans="1:26" s="75" customFormat="1" ht="31.5" customHeight="1" x14ac:dyDescent="0.25">
      <c r="A1" s="82" t="s">
        <v>296</v>
      </c>
      <c r="B1" s="81"/>
      <c r="C1" s="80"/>
      <c r="D1" s="79" t="s">
        <v>290</v>
      </c>
      <c r="E1" s="78" t="s">
        <v>289</v>
      </c>
      <c r="F1" s="77" t="s">
        <v>288</v>
      </c>
      <c r="G1" s="77" t="s">
        <v>287</v>
      </c>
      <c r="H1" s="77" t="s">
        <v>286</v>
      </c>
      <c r="I1" s="77" t="s">
        <v>285</v>
      </c>
      <c r="J1" s="77" t="s">
        <v>284</v>
      </c>
      <c r="K1" s="77" t="s">
        <v>283</v>
      </c>
      <c r="L1" s="76" t="s">
        <v>295</v>
      </c>
      <c r="N1" s="266" t="s">
        <v>294</v>
      </c>
      <c r="O1" s="266"/>
      <c r="P1" s="266"/>
      <c r="Q1" s="266"/>
      <c r="R1" s="266"/>
      <c r="S1" s="266"/>
      <c r="T1" s="266"/>
      <c r="U1" s="266"/>
      <c r="V1" s="266"/>
      <c r="W1" s="266"/>
      <c r="X1" s="266"/>
      <c r="Y1" s="266"/>
      <c r="Z1" s="266"/>
    </row>
    <row r="2" spans="1:26" x14ac:dyDescent="0.25">
      <c r="A2" s="65" t="s">
        <v>293</v>
      </c>
      <c r="B2" s="70" t="s">
        <v>292</v>
      </c>
      <c r="C2" s="57" t="s">
        <v>291</v>
      </c>
      <c r="D2" s="68">
        <v>4.7172744143648684</v>
      </c>
      <c r="E2" s="68">
        <v>4.1710204429556364E-5</v>
      </c>
      <c r="F2" s="68">
        <v>4.9996012346562155</v>
      </c>
      <c r="G2" s="57">
        <v>2.9999999999999978</v>
      </c>
      <c r="H2" s="69">
        <v>3.4866621067031458</v>
      </c>
      <c r="I2" s="68">
        <v>3.2610913852446859</v>
      </c>
      <c r="J2" s="68">
        <v>4.7130852932520799</v>
      </c>
      <c r="K2" s="68">
        <v>0</v>
      </c>
      <c r="L2" s="67">
        <f t="shared" ref="L2:L33" si="0">(D2*$N$3)+(E2*$O$3)+(F2*$P$3)+(G2*$Q$3)+(H2*$R$3)+(I2*$S$3)+(J2*$T$3)+(K2*$U$3)</f>
        <v>2.9045493709168793</v>
      </c>
      <c r="N2" s="74" t="s">
        <v>290</v>
      </c>
      <c r="O2" s="74" t="s">
        <v>289</v>
      </c>
      <c r="P2" s="74" t="s">
        <v>288</v>
      </c>
      <c r="Q2" s="74" t="s">
        <v>287</v>
      </c>
      <c r="R2" s="74" t="s">
        <v>286</v>
      </c>
      <c r="S2" s="74" t="s">
        <v>285</v>
      </c>
      <c r="T2" s="74" t="s">
        <v>284</v>
      </c>
      <c r="U2" s="74" t="s">
        <v>283</v>
      </c>
      <c r="V2" s="74" t="s">
        <v>282</v>
      </c>
      <c r="W2" s="74" t="s">
        <v>281</v>
      </c>
      <c r="X2" s="74" t="s">
        <v>280</v>
      </c>
      <c r="Y2" s="74" t="s">
        <v>279</v>
      </c>
      <c r="Z2" s="73" t="s">
        <v>278</v>
      </c>
    </row>
    <row r="3" spans="1:26" x14ac:dyDescent="0.25">
      <c r="A3" s="65" t="s">
        <v>277</v>
      </c>
      <c r="B3" s="70" t="s">
        <v>276</v>
      </c>
      <c r="C3" s="57" t="s">
        <v>275</v>
      </c>
      <c r="D3" s="68">
        <v>4.8485281507404077</v>
      </c>
      <c r="E3" s="68">
        <v>6.6378650940415263E-4</v>
      </c>
      <c r="F3" s="68">
        <v>4.9995810000902816</v>
      </c>
      <c r="G3" s="57">
        <v>4.5</v>
      </c>
      <c r="H3" s="69">
        <v>5</v>
      </c>
      <c r="I3" s="68">
        <v>0.55492736858862268</v>
      </c>
      <c r="J3" s="68">
        <v>4.7182337478685579</v>
      </c>
      <c r="K3" s="68">
        <v>0</v>
      </c>
      <c r="L3" s="67">
        <f t="shared" si="0"/>
        <v>2.3368996138620646</v>
      </c>
      <c r="N3" s="72">
        <v>0.25</v>
      </c>
      <c r="O3" s="72">
        <v>0.25</v>
      </c>
      <c r="P3" s="72">
        <v>0.1</v>
      </c>
      <c r="Q3" s="72">
        <v>0</v>
      </c>
      <c r="R3" s="72">
        <v>0.05</v>
      </c>
      <c r="S3" s="72">
        <v>0.25</v>
      </c>
      <c r="T3" s="72">
        <v>0.05</v>
      </c>
      <c r="U3" s="72">
        <v>0.05</v>
      </c>
      <c r="V3" s="72">
        <v>0</v>
      </c>
      <c r="W3" s="72">
        <v>0</v>
      </c>
      <c r="X3" s="72">
        <v>0</v>
      </c>
      <c r="Y3" s="72">
        <v>0</v>
      </c>
      <c r="Z3" s="72">
        <v>0</v>
      </c>
    </row>
    <row r="4" spans="1:26" x14ac:dyDescent="0.25">
      <c r="A4" s="65" t="s">
        <v>274</v>
      </c>
      <c r="B4" s="70" t="s">
        <v>273</v>
      </c>
      <c r="C4" s="57" t="s">
        <v>272</v>
      </c>
      <c r="D4" s="68">
        <v>4.8483513277304962</v>
      </c>
      <c r="E4" s="68">
        <v>2.2204003142037811E-4</v>
      </c>
      <c r="F4" s="68">
        <v>3.3743825924442659</v>
      </c>
      <c r="G4" s="57">
        <v>1.9999999999999969</v>
      </c>
      <c r="H4" s="69">
        <v>3.7620269403463755</v>
      </c>
      <c r="I4" s="68">
        <v>2.8306396832288137</v>
      </c>
      <c r="J4" s="68">
        <v>4.4643629636974973</v>
      </c>
      <c r="K4" s="68">
        <v>0</v>
      </c>
      <c r="L4" s="67">
        <f t="shared" si="0"/>
        <v>2.6685610171943028</v>
      </c>
      <c r="R4" t="s">
        <v>271</v>
      </c>
      <c r="S4" s="267">
        <f>SUM(N3:Z3)</f>
        <v>1</v>
      </c>
      <c r="T4" s="267"/>
    </row>
    <row r="5" spans="1:26" x14ac:dyDescent="0.25">
      <c r="A5" s="65" t="s">
        <v>270</v>
      </c>
      <c r="B5" s="70" t="s">
        <v>269</v>
      </c>
      <c r="C5" s="57" t="s">
        <v>268</v>
      </c>
      <c r="D5" s="68">
        <v>3.2872147883575167</v>
      </c>
      <c r="E5" s="68">
        <v>1.4907246296308664E-6</v>
      </c>
      <c r="F5" s="68">
        <v>4.9979620058103595</v>
      </c>
      <c r="G5" s="57">
        <v>4.75</v>
      </c>
      <c r="H5" s="69">
        <v>5</v>
      </c>
      <c r="I5" s="68">
        <v>1.2418175756993137</v>
      </c>
      <c r="J5" s="68">
        <v>3.2179955769969659</v>
      </c>
      <c r="K5" s="68">
        <v>5</v>
      </c>
      <c r="L5" s="67">
        <f t="shared" si="0"/>
        <v>2.2929544431262494</v>
      </c>
    </row>
    <row r="6" spans="1:26" x14ac:dyDescent="0.25">
      <c r="A6" s="65" t="s">
        <v>267</v>
      </c>
      <c r="B6" s="70" t="s">
        <v>266</v>
      </c>
      <c r="C6" s="57" t="s">
        <v>265</v>
      </c>
      <c r="D6" s="68">
        <v>4.9999217075095572</v>
      </c>
      <c r="E6" s="68">
        <v>0.6698507056007692</v>
      </c>
      <c r="F6" s="68">
        <v>4.9999999815901468</v>
      </c>
      <c r="G6" s="57">
        <v>2.2499999999999969</v>
      </c>
      <c r="H6" s="69">
        <v>2.2166739036039949</v>
      </c>
      <c r="I6" s="68">
        <v>0.24043070169250663</v>
      </c>
      <c r="J6" s="68">
        <v>4.0186860351204317</v>
      </c>
      <c r="K6" s="68">
        <v>0</v>
      </c>
      <c r="L6" s="67">
        <f t="shared" si="0"/>
        <v>2.2893187737959444</v>
      </c>
    </row>
    <row r="7" spans="1:26" x14ac:dyDescent="0.25">
      <c r="A7" s="65" t="s">
        <v>264</v>
      </c>
      <c r="B7" s="70" t="s">
        <v>263</v>
      </c>
      <c r="C7" s="57" t="s">
        <v>262</v>
      </c>
      <c r="D7" s="68">
        <v>4.1812444114562908</v>
      </c>
      <c r="E7" s="68">
        <v>1.3117295207548923E-4</v>
      </c>
      <c r="F7" s="68">
        <v>0</v>
      </c>
      <c r="G7" s="57">
        <v>0</v>
      </c>
      <c r="H7" s="69">
        <v>0.88336192109777012</v>
      </c>
      <c r="I7" s="68">
        <v>2.2800354662072051</v>
      </c>
      <c r="J7" s="68">
        <v>3.8566459007957659</v>
      </c>
      <c r="K7" s="68">
        <v>0</v>
      </c>
      <c r="L7" s="67">
        <f t="shared" si="0"/>
        <v>1.8523531537485696</v>
      </c>
    </row>
    <row r="8" spans="1:26" x14ac:dyDescent="0.25">
      <c r="A8" s="65" t="s">
        <v>261</v>
      </c>
      <c r="B8" s="70" t="s">
        <v>260</v>
      </c>
      <c r="C8" s="57" t="s">
        <v>259</v>
      </c>
      <c r="D8" s="68">
        <v>4.827475772668592</v>
      </c>
      <c r="E8" s="68">
        <v>5.5912937720674414E-4</v>
      </c>
      <c r="F8" s="68">
        <v>4.9999027046350903</v>
      </c>
      <c r="G8" s="57">
        <v>5</v>
      </c>
      <c r="H8" s="69">
        <v>3.6289995949777234</v>
      </c>
      <c r="I8" s="68">
        <v>3.9175196469387679</v>
      </c>
      <c r="J8" s="68">
        <v>3.9473003723833759</v>
      </c>
      <c r="K8" s="68">
        <v>5</v>
      </c>
      <c r="L8" s="67">
        <f t="shared" si="0"/>
        <v>3.315193906077706</v>
      </c>
    </row>
    <row r="9" spans="1:26" x14ac:dyDescent="0.25">
      <c r="A9" s="65" t="s">
        <v>258</v>
      </c>
      <c r="B9" s="70" t="s">
        <v>257</v>
      </c>
      <c r="C9" s="57" t="s">
        <v>256</v>
      </c>
      <c r="D9" s="68">
        <v>4.9998253291119337</v>
      </c>
      <c r="E9" s="68">
        <v>1.6430231623443701</v>
      </c>
      <c r="F9" s="68">
        <v>4.9999998026411507</v>
      </c>
      <c r="G9" s="57">
        <v>1.0000000000000009</v>
      </c>
      <c r="H9" s="69">
        <v>1.3524590163934427</v>
      </c>
      <c r="I9" s="68">
        <v>0.64112514059316028</v>
      </c>
      <c r="J9" s="68">
        <v>1.6158684388023596</v>
      </c>
      <c r="K9" s="68">
        <v>5</v>
      </c>
      <c r="L9" s="67">
        <f t="shared" si="0"/>
        <v>2.7194097610362711</v>
      </c>
    </row>
    <row r="10" spans="1:26" x14ac:dyDescent="0.25">
      <c r="A10" s="65" t="s">
        <v>255</v>
      </c>
      <c r="B10" s="70" t="s">
        <v>254</v>
      </c>
      <c r="C10" s="57" t="s">
        <v>253</v>
      </c>
      <c r="D10" s="68">
        <v>4.8905376746373888</v>
      </c>
      <c r="E10" s="68">
        <v>1.9975731308664684E-4</v>
      </c>
      <c r="F10" s="68">
        <v>4.9997090075341868</v>
      </c>
      <c r="G10" s="57">
        <v>3.2499999999999982</v>
      </c>
      <c r="H10" s="69">
        <v>5</v>
      </c>
      <c r="I10" s="68">
        <v>0.31737428818513952</v>
      </c>
      <c r="J10" s="68">
        <v>5</v>
      </c>
      <c r="K10" s="68">
        <v>0</v>
      </c>
      <c r="L10" s="67">
        <f t="shared" si="0"/>
        <v>2.3019988307873223</v>
      </c>
    </row>
    <row r="11" spans="1:26" x14ac:dyDescent="0.25">
      <c r="A11" s="65" t="s">
        <v>252</v>
      </c>
      <c r="B11" s="70" t="s">
        <v>251</v>
      </c>
      <c r="C11" s="57" t="s">
        <v>250</v>
      </c>
      <c r="D11" s="68">
        <v>4.7178737256190857</v>
      </c>
      <c r="E11" s="68">
        <v>3.8235871402284342E-4</v>
      </c>
      <c r="F11" s="68">
        <v>4.9997669573798573</v>
      </c>
      <c r="G11" s="57">
        <v>2.4999999999999973</v>
      </c>
      <c r="H11" s="69">
        <v>4.4214108910891081</v>
      </c>
      <c r="I11" s="68">
        <v>2.6984343778473505</v>
      </c>
      <c r="J11" s="68">
        <v>3.6663373379199404</v>
      </c>
      <c r="K11" s="68">
        <v>5</v>
      </c>
      <c r="L11" s="67">
        <f t="shared" si="0"/>
        <v>3.0085367227335533</v>
      </c>
    </row>
    <row r="12" spans="1:26" x14ac:dyDescent="0.25">
      <c r="A12" s="65" t="s">
        <v>249</v>
      </c>
      <c r="B12" s="70" t="s">
        <v>248</v>
      </c>
      <c r="C12" s="57" t="s">
        <v>247</v>
      </c>
      <c r="D12" s="68">
        <v>4.8655850410640342</v>
      </c>
      <c r="E12" s="68">
        <v>2.6688997598775462E-4</v>
      </c>
      <c r="F12" s="68">
        <v>4.9997195388602975</v>
      </c>
      <c r="G12" s="57">
        <v>0.25000000000000022</v>
      </c>
      <c r="H12" s="69">
        <v>5</v>
      </c>
      <c r="I12" s="68">
        <v>0.24423432933547973</v>
      </c>
      <c r="J12" s="68">
        <v>3.5958038727237795</v>
      </c>
      <c r="K12" s="68">
        <v>0</v>
      </c>
      <c r="L12" s="67">
        <f t="shared" si="0"/>
        <v>2.2072837126160945</v>
      </c>
      <c r="Q12" s="71"/>
    </row>
    <row r="13" spans="1:26" x14ac:dyDescent="0.25">
      <c r="A13" s="65" t="s">
        <v>246</v>
      </c>
      <c r="B13" s="70" t="s">
        <v>245</v>
      </c>
      <c r="C13" s="57" t="s">
        <v>244</v>
      </c>
      <c r="D13" s="68">
        <v>4.9998896933753203</v>
      </c>
      <c r="E13" s="68">
        <v>0.74292123727814896</v>
      </c>
      <c r="F13" s="68">
        <v>4.9998887553953635</v>
      </c>
      <c r="G13" s="57">
        <v>1.0000000000000009</v>
      </c>
      <c r="H13" s="69">
        <v>5</v>
      </c>
      <c r="I13" s="68">
        <v>0.59035002370553735</v>
      </c>
      <c r="J13" s="68">
        <v>3.5962483269714451</v>
      </c>
      <c r="K13" s="68">
        <v>5</v>
      </c>
      <c r="L13" s="67">
        <f t="shared" si="0"/>
        <v>2.76309153047786</v>
      </c>
      <c r="Q13" s="71"/>
    </row>
    <row r="14" spans="1:26" x14ac:dyDescent="0.25">
      <c r="A14" s="65" t="s">
        <v>243</v>
      </c>
      <c r="B14" s="70" t="s">
        <v>242</v>
      </c>
      <c r="C14" s="57" t="s">
        <v>241</v>
      </c>
      <c r="D14" s="68">
        <v>4.9997811969243875</v>
      </c>
      <c r="E14" s="68">
        <v>2.3054879417401135E-2</v>
      </c>
      <c r="F14" s="68">
        <v>4.9999998038014031</v>
      </c>
      <c r="G14" s="57">
        <v>0.50000000000000044</v>
      </c>
      <c r="H14" s="69">
        <v>1.5619730185497471</v>
      </c>
      <c r="I14" s="68">
        <v>2.9213812701719744</v>
      </c>
      <c r="J14" s="68">
        <v>4.8257541545643523</v>
      </c>
      <c r="K14" s="68">
        <v>5</v>
      </c>
      <c r="L14" s="67">
        <f t="shared" si="0"/>
        <v>3.0554406756642858</v>
      </c>
    </row>
    <row r="15" spans="1:26" x14ac:dyDescent="0.25">
      <c r="A15" s="65" t="s">
        <v>240</v>
      </c>
      <c r="B15" s="70" t="s">
        <v>239</v>
      </c>
      <c r="C15" s="57" t="s">
        <v>238</v>
      </c>
      <c r="D15" s="68">
        <v>4.6851517109341012</v>
      </c>
      <c r="E15" s="68">
        <v>2.7797240118486846E-7</v>
      </c>
      <c r="F15" s="68">
        <v>4.9996569113968299</v>
      </c>
      <c r="G15" s="57">
        <v>1.0000000000000009</v>
      </c>
      <c r="H15" s="69">
        <v>1.7593848937132519</v>
      </c>
      <c r="I15" s="68">
        <v>0.18208362716102158</v>
      </c>
      <c r="J15" s="68">
        <v>5</v>
      </c>
      <c r="K15" s="68">
        <v>0</v>
      </c>
      <c r="L15" s="67">
        <f t="shared" si="0"/>
        <v>2.0547438398422266</v>
      </c>
    </row>
    <row r="16" spans="1:26" x14ac:dyDescent="0.25">
      <c r="A16" s="65" t="s">
        <v>237</v>
      </c>
      <c r="B16" s="70" t="s">
        <v>236</v>
      </c>
      <c r="C16" s="57" t="s">
        <v>235</v>
      </c>
      <c r="D16" s="68">
        <v>4.5680605378686421</v>
      </c>
      <c r="E16" s="68">
        <v>6.0850456986613101E-4</v>
      </c>
      <c r="F16" s="68">
        <v>3.3693765852356163</v>
      </c>
      <c r="G16" s="57">
        <v>1.7500000000000022</v>
      </c>
      <c r="H16" s="69">
        <v>5</v>
      </c>
      <c r="I16" s="68">
        <v>0.98992190976817618</v>
      </c>
      <c r="J16" s="68">
        <v>4.9755382400259691</v>
      </c>
      <c r="K16" s="68">
        <v>0</v>
      </c>
      <c r="L16" s="67">
        <f t="shared" si="0"/>
        <v>2.2253623085765315</v>
      </c>
    </row>
    <row r="17" spans="1:12" x14ac:dyDescent="0.25">
      <c r="A17" s="65" t="s">
        <v>234</v>
      </c>
      <c r="B17" s="70" t="s">
        <v>233</v>
      </c>
      <c r="C17" s="57" t="s">
        <v>232</v>
      </c>
      <c r="D17" s="68">
        <v>4.9997654897398833</v>
      </c>
      <c r="E17" s="68">
        <v>1.4166435302005898E-2</v>
      </c>
      <c r="F17" s="68">
        <v>4.99866506474436</v>
      </c>
      <c r="G17" s="57">
        <v>4.2499999999999991</v>
      </c>
      <c r="H17" s="69">
        <v>5</v>
      </c>
      <c r="I17" s="68">
        <v>0.89766121809998844</v>
      </c>
      <c r="J17" s="68">
        <v>4.927582563304429</v>
      </c>
      <c r="K17" s="68">
        <v>5</v>
      </c>
      <c r="L17" s="67">
        <f t="shared" si="0"/>
        <v>2.724143920425127</v>
      </c>
    </row>
    <row r="18" spans="1:12" x14ac:dyDescent="0.25">
      <c r="A18" s="65" t="s">
        <v>231</v>
      </c>
      <c r="B18" s="70" t="s">
        <v>230</v>
      </c>
      <c r="C18" s="57" t="s">
        <v>229</v>
      </c>
      <c r="D18" s="68">
        <v>4.6717238106062613</v>
      </c>
      <c r="E18" s="68">
        <v>5.2922000068032565E-4</v>
      </c>
      <c r="F18" s="68">
        <v>2.357829395274329</v>
      </c>
      <c r="G18" s="57">
        <v>4.5</v>
      </c>
      <c r="H18" s="69">
        <v>4.2772239263803673</v>
      </c>
      <c r="I18" s="68">
        <v>0.96120921576091767</v>
      </c>
      <c r="J18" s="68">
        <v>5</v>
      </c>
      <c r="K18" s="68">
        <v>0</v>
      </c>
      <c r="L18" s="67">
        <f t="shared" si="0"/>
        <v>2.1080096974384164</v>
      </c>
    </row>
    <row r="19" spans="1:12" x14ac:dyDescent="0.25">
      <c r="A19" s="65" t="s">
        <v>228</v>
      </c>
      <c r="B19" s="70" t="s">
        <v>227</v>
      </c>
      <c r="C19" s="57" t="s">
        <v>226</v>
      </c>
      <c r="D19" s="68">
        <v>4.9999686964835126</v>
      </c>
      <c r="E19" s="68">
        <v>0.71632872740693876</v>
      </c>
      <c r="F19" s="68">
        <v>4.9996662661860904</v>
      </c>
      <c r="G19" s="57">
        <v>1.0000000000000009</v>
      </c>
      <c r="H19" s="69">
        <v>5</v>
      </c>
      <c r="I19" s="68">
        <v>3.0705426573727439</v>
      </c>
      <c r="J19" s="68">
        <v>2.3990851557026156</v>
      </c>
      <c r="K19" s="68">
        <v>5</v>
      </c>
      <c r="L19" s="67">
        <f t="shared" si="0"/>
        <v>3.3166309047195393</v>
      </c>
    </row>
    <row r="20" spans="1:12" x14ac:dyDescent="0.25">
      <c r="A20" s="65" t="s">
        <v>225</v>
      </c>
      <c r="B20" s="70" t="s">
        <v>224</v>
      </c>
      <c r="C20" s="57" t="s">
        <v>223</v>
      </c>
      <c r="D20" s="68">
        <v>4.4100116357187273</v>
      </c>
      <c r="E20" s="68">
        <v>6.209297343124555E-5</v>
      </c>
      <c r="F20" s="68">
        <v>0.25764250433853941</v>
      </c>
      <c r="G20" s="57">
        <v>2.4999999999999973</v>
      </c>
      <c r="H20" s="69">
        <v>5</v>
      </c>
      <c r="I20" s="68">
        <v>0.17538878649723286</v>
      </c>
      <c r="J20" s="68">
        <v>4.9548489402103755</v>
      </c>
      <c r="K20" s="68">
        <v>5</v>
      </c>
      <c r="L20" s="67">
        <f t="shared" si="0"/>
        <v>1.9198723262417206</v>
      </c>
    </row>
    <row r="21" spans="1:12" x14ac:dyDescent="0.25">
      <c r="A21" s="65" t="s">
        <v>222</v>
      </c>
      <c r="B21" s="70" t="s">
        <v>221</v>
      </c>
      <c r="C21" s="57" t="s">
        <v>220</v>
      </c>
      <c r="D21" s="68">
        <v>4.903308871052368</v>
      </c>
      <c r="E21" s="68">
        <v>2.2808424589265485E-4</v>
      </c>
      <c r="F21" s="68">
        <v>4.7171049704089354</v>
      </c>
      <c r="G21" s="57">
        <v>1.0000000000000009</v>
      </c>
      <c r="H21" s="69">
        <v>0.12045231071779743</v>
      </c>
      <c r="I21" s="68">
        <v>0.71669104975781139</v>
      </c>
      <c r="J21" s="68">
        <v>4.7015246252272771</v>
      </c>
      <c r="K21" s="68">
        <v>5</v>
      </c>
      <c r="L21" s="67">
        <f t="shared" si="0"/>
        <v>2.3678663451021653</v>
      </c>
    </row>
    <row r="22" spans="1:12" x14ac:dyDescent="0.25">
      <c r="A22" s="65" t="s">
        <v>219</v>
      </c>
      <c r="B22" s="70" t="s">
        <v>218</v>
      </c>
      <c r="C22" s="57" t="s">
        <v>217</v>
      </c>
      <c r="D22" s="68">
        <v>4.9999383577849175</v>
      </c>
      <c r="E22" s="68">
        <v>0.54928504784815579</v>
      </c>
      <c r="F22" s="68">
        <v>4.9999999593725954</v>
      </c>
      <c r="G22" s="57">
        <v>1.4999999999999964</v>
      </c>
      <c r="H22" s="69">
        <v>0.79175152749490829</v>
      </c>
      <c r="I22" s="68">
        <v>0.81838853000462508</v>
      </c>
      <c r="J22" s="68">
        <v>3.5474727672341801</v>
      </c>
      <c r="K22" s="68">
        <v>5</v>
      </c>
      <c r="L22" s="67">
        <f t="shared" si="0"/>
        <v>2.5588641945831387</v>
      </c>
    </row>
    <row r="23" spans="1:12" x14ac:dyDescent="0.25">
      <c r="A23" s="65" t="s">
        <v>216</v>
      </c>
      <c r="B23" s="70" t="s">
        <v>215</v>
      </c>
      <c r="C23" s="57" t="s">
        <v>214</v>
      </c>
      <c r="D23" s="68">
        <v>4.7441000667610691</v>
      </c>
      <c r="E23" s="68">
        <v>1.4433704906951313E-4</v>
      </c>
      <c r="F23" s="68">
        <v>4.9991062429927187</v>
      </c>
      <c r="G23" s="57">
        <v>0</v>
      </c>
      <c r="H23" s="69">
        <v>4.5363247863247862</v>
      </c>
      <c r="I23" s="68">
        <v>1.5740791737404505</v>
      </c>
      <c r="J23" s="68">
        <v>3.7459990542094546</v>
      </c>
      <c r="K23" s="68">
        <v>5</v>
      </c>
      <c r="L23" s="67">
        <f t="shared" si="0"/>
        <v>2.743607710713631</v>
      </c>
    </row>
    <row r="24" spans="1:12" x14ac:dyDescent="0.25">
      <c r="A24" s="65" t="s">
        <v>213</v>
      </c>
      <c r="B24" s="70" t="s">
        <v>212</v>
      </c>
      <c r="C24" s="57" t="s">
        <v>211</v>
      </c>
      <c r="D24" s="68">
        <v>4.9992469948537792</v>
      </c>
      <c r="E24" s="68">
        <v>4.9575247718551825E-2</v>
      </c>
      <c r="F24" s="68">
        <v>4.9999990114519735</v>
      </c>
      <c r="G24" s="57">
        <v>1.7500000000000022</v>
      </c>
      <c r="H24" s="69">
        <v>5</v>
      </c>
      <c r="I24" s="68">
        <v>5</v>
      </c>
      <c r="J24" s="68">
        <v>4.1844948199956624</v>
      </c>
      <c r="K24" s="68">
        <v>5</v>
      </c>
      <c r="L24" s="67">
        <f t="shared" si="0"/>
        <v>3.7214302027880635</v>
      </c>
    </row>
    <row r="25" spans="1:12" x14ac:dyDescent="0.25">
      <c r="A25" s="65" t="s">
        <v>210</v>
      </c>
      <c r="B25" s="70" t="s">
        <v>209</v>
      </c>
      <c r="C25" s="57" t="s">
        <v>208</v>
      </c>
      <c r="D25" s="68">
        <v>4.9887667432887559</v>
      </c>
      <c r="E25" s="68">
        <v>7.3824276328609256E-3</v>
      </c>
      <c r="F25" s="68">
        <v>4.8972099853157118</v>
      </c>
      <c r="G25" s="57">
        <v>3.9999999999999991</v>
      </c>
      <c r="H25" s="69">
        <v>5</v>
      </c>
      <c r="I25" s="68">
        <v>0.94565340554165467</v>
      </c>
      <c r="J25" s="68">
        <v>5</v>
      </c>
      <c r="K25" s="68">
        <v>5</v>
      </c>
      <c r="L25" s="67">
        <f t="shared" si="0"/>
        <v>2.7251716426473891</v>
      </c>
    </row>
    <row r="26" spans="1:12" x14ac:dyDescent="0.25">
      <c r="A26" s="65" t="s">
        <v>207</v>
      </c>
      <c r="B26" s="70" t="s">
        <v>206</v>
      </c>
      <c r="C26" s="57" t="s">
        <v>205</v>
      </c>
      <c r="D26" s="68">
        <v>4.9776060151307249</v>
      </c>
      <c r="E26" s="68">
        <v>8.6948611687172831E-3</v>
      </c>
      <c r="F26" s="68">
        <v>4.9992472981966856</v>
      </c>
      <c r="G26" s="57">
        <v>4.75</v>
      </c>
      <c r="H26" s="69">
        <v>5</v>
      </c>
      <c r="I26" s="68">
        <v>3.4437642188577731</v>
      </c>
      <c r="J26" s="68">
        <v>4.9966798832360126</v>
      </c>
      <c r="K26" s="68">
        <v>0</v>
      </c>
      <c r="L26" s="67">
        <f t="shared" si="0"/>
        <v>3.107274997770773</v>
      </c>
    </row>
    <row r="27" spans="1:12" x14ac:dyDescent="0.25">
      <c r="A27" s="65" t="s">
        <v>204</v>
      </c>
      <c r="B27" s="70" t="s">
        <v>203</v>
      </c>
      <c r="C27" s="57" t="s">
        <v>202</v>
      </c>
      <c r="D27" s="68">
        <v>4.9930247681070199</v>
      </c>
      <c r="E27" s="68">
        <v>1.0308448175699987E-2</v>
      </c>
      <c r="F27" s="68">
        <v>4.9998566054201108</v>
      </c>
      <c r="G27" s="57">
        <v>4.2499999999999991</v>
      </c>
      <c r="H27" s="69">
        <v>2.2154391492713668</v>
      </c>
      <c r="I27" s="68">
        <v>0.26725271689336855</v>
      </c>
      <c r="J27" s="68">
        <v>4.9874533454980838</v>
      </c>
      <c r="K27" s="68">
        <v>0</v>
      </c>
      <c r="L27" s="67">
        <f t="shared" si="0"/>
        <v>2.177776768574506</v>
      </c>
    </row>
    <row r="28" spans="1:12" x14ac:dyDescent="0.25">
      <c r="A28" s="65" t="s">
        <v>201</v>
      </c>
      <c r="B28" s="70" t="s">
        <v>200</v>
      </c>
      <c r="C28" s="57" t="s">
        <v>199</v>
      </c>
      <c r="D28" s="68">
        <v>4.999967768224522</v>
      </c>
      <c r="E28" s="68">
        <v>0</v>
      </c>
      <c r="F28" s="68">
        <v>4.9996662661860904</v>
      </c>
      <c r="G28" s="57">
        <v>0.75000000000000067</v>
      </c>
      <c r="H28" s="69">
        <v>0.75553002010916392</v>
      </c>
      <c r="I28" s="68">
        <v>1.8325002420989107</v>
      </c>
      <c r="J28" s="68">
        <v>4.9993175749733432</v>
      </c>
      <c r="K28" s="68">
        <v>5</v>
      </c>
      <c r="L28" s="67">
        <f t="shared" si="0"/>
        <v>2.7458260089535926</v>
      </c>
    </row>
    <row r="29" spans="1:12" x14ac:dyDescent="0.25">
      <c r="A29" s="65" t="s">
        <v>198</v>
      </c>
      <c r="B29" s="70" t="s">
        <v>197</v>
      </c>
      <c r="C29" s="57" t="s">
        <v>196</v>
      </c>
      <c r="D29" s="68">
        <v>4.9999672134152728</v>
      </c>
      <c r="E29" s="68">
        <v>0.59055761138271246</v>
      </c>
      <c r="F29" s="68">
        <v>4.9996662661860904</v>
      </c>
      <c r="G29" s="57">
        <v>1.4999999999999964</v>
      </c>
      <c r="H29" s="69">
        <v>5</v>
      </c>
      <c r="I29" s="68">
        <v>2.4511348710818646</v>
      </c>
      <c r="J29" s="68">
        <v>5</v>
      </c>
      <c r="K29" s="68">
        <v>5</v>
      </c>
      <c r="L29" s="67">
        <f t="shared" si="0"/>
        <v>3.2603815505885714</v>
      </c>
    </row>
    <row r="30" spans="1:12" x14ac:dyDescent="0.25">
      <c r="A30" s="65" t="s">
        <v>195</v>
      </c>
      <c r="B30" s="70" t="s">
        <v>194</v>
      </c>
      <c r="C30" s="57" t="s">
        <v>193</v>
      </c>
      <c r="D30" s="68">
        <v>4.9999693708458572</v>
      </c>
      <c r="E30" s="68">
        <v>0.97810073917204698</v>
      </c>
      <c r="F30" s="68">
        <v>4.9996662661860904</v>
      </c>
      <c r="G30" s="57">
        <v>3.9999999999999991</v>
      </c>
      <c r="H30" s="69">
        <v>5</v>
      </c>
      <c r="I30" s="68">
        <v>1.1988967986086569</v>
      </c>
      <c r="J30" s="68">
        <v>5</v>
      </c>
      <c r="K30" s="68">
        <v>5</v>
      </c>
      <c r="L30" s="67">
        <f t="shared" si="0"/>
        <v>3.0442083537752493</v>
      </c>
    </row>
    <row r="31" spans="1:12" x14ac:dyDescent="0.25">
      <c r="A31" s="65" t="s">
        <v>192</v>
      </c>
      <c r="B31" s="70" t="s">
        <v>191</v>
      </c>
      <c r="C31" s="57" t="s">
        <v>190</v>
      </c>
      <c r="D31" s="68">
        <v>4.9999359732685402</v>
      </c>
      <c r="E31" s="68">
        <v>0.25486474485842897</v>
      </c>
      <c r="F31" s="68">
        <v>4.9996662661860904</v>
      </c>
      <c r="G31" s="57">
        <v>2.9999999999999978</v>
      </c>
      <c r="H31" s="69">
        <v>1.3571797520661157</v>
      </c>
      <c r="I31" s="68">
        <v>1.3082769767908942</v>
      </c>
      <c r="J31" s="68">
        <v>4.7226367544451922</v>
      </c>
      <c r="K31" s="68">
        <v>5</v>
      </c>
      <c r="L31" s="67">
        <f t="shared" si="0"/>
        <v>2.69472687567364</v>
      </c>
    </row>
    <row r="32" spans="1:12" x14ac:dyDescent="0.25">
      <c r="A32" s="65" t="s">
        <v>189</v>
      </c>
      <c r="B32" s="70" t="s">
        <v>188</v>
      </c>
      <c r="C32" s="57" t="s">
        <v>187</v>
      </c>
      <c r="D32" s="68">
        <v>0</v>
      </c>
      <c r="E32" s="68">
        <v>1.0188685481335415E-5</v>
      </c>
      <c r="F32" s="68">
        <v>4.2644304478505521</v>
      </c>
      <c r="G32" s="57">
        <v>5</v>
      </c>
      <c r="H32" s="69">
        <v>5</v>
      </c>
      <c r="I32" s="68">
        <v>0.67273906252800586</v>
      </c>
      <c r="J32" s="68">
        <v>5</v>
      </c>
      <c r="K32" s="68">
        <v>5</v>
      </c>
      <c r="L32" s="67">
        <f t="shared" si="0"/>
        <v>1.3446303575884271</v>
      </c>
    </row>
    <row r="33" spans="1:12" x14ac:dyDescent="0.25">
      <c r="A33" s="65" t="s">
        <v>186</v>
      </c>
      <c r="B33" s="70" t="s">
        <v>185</v>
      </c>
      <c r="C33" s="57" t="s">
        <v>184</v>
      </c>
      <c r="D33" s="68">
        <v>4.9999289148154133</v>
      </c>
      <c r="E33" s="68">
        <v>1.8551235679891387</v>
      </c>
      <c r="F33" s="68">
        <v>4.9999977297019456</v>
      </c>
      <c r="G33" s="57">
        <v>3.4999999999999987</v>
      </c>
      <c r="H33" s="69">
        <v>5</v>
      </c>
      <c r="I33" s="68">
        <v>1.0746247671183506</v>
      </c>
      <c r="J33" s="68">
        <v>5</v>
      </c>
      <c r="K33" s="68">
        <v>5</v>
      </c>
      <c r="L33" s="67">
        <f t="shared" si="0"/>
        <v>3.2324190854509203</v>
      </c>
    </row>
    <row r="34" spans="1:12" x14ac:dyDescent="0.25">
      <c r="A34" s="65" t="s">
        <v>183</v>
      </c>
      <c r="B34" s="70" t="s">
        <v>182</v>
      </c>
      <c r="C34" s="57" t="s">
        <v>181</v>
      </c>
      <c r="D34" s="68">
        <v>4.999933979478377</v>
      </c>
      <c r="E34" s="68">
        <v>0.21060436745626543</v>
      </c>
      <c r="F34" s="68">
        <v>4.99933253237218</v>
      </c>
      <c r="G34" s="57">
        <v>0.25000000000000022</v>
      </c>
      <c r="H34" s="69">
        <v>9.6061479346781942E-2</v>
      </c>
      <c r="I34" s="68">
        <v>0.71023872169286806</v>
      </c>
      <c r="J34" s="68">
        <v>4.6361969467794646</v>
      </c>
      <c r="K34" s="68">
        <v>0</v>
      </c>
      <c r="L34" s="67">
        <f t="shared" ref="L34:L65" si="1">(D34*$N$3)+(E34*$O$3)+(F34*$P$3)+(G34*$Q$3)+(H34*$R$3)+(I34*$S$3)+(J34*$T$3)+(K34*$U$3)</f>
        <v>2.216740441700408</v>
      </c>
    </row>
    <row r="35" spans="1:12" x14ac:dyDescent="0.25">
      <c r="A35" s="65" t="s">
        <v>180</v>
      </c>
      <c r="B35" s="70" t="s">
        <v>179</v>
      </c>
      <c r="C35" s="57" t="s">
        <v>178</v>
      </c>
      <c r="D35" s="68">
        <v>4.9998493800676522</v>
      </c>
      <c r="E35" s="68">
        <v>0.42126156496400252</v>
      </c>
      <c r="F35" s="68">
        <v>4.9999983498946161</v>
      </c>
      <c r="G35" s="57">
        <v>2.9999999999999978</v>
      </c>
      <c r="H35" s="69">
        <v>2.5635419513528284</v>
      </c>
      <c r="I35" s="68">
        <v>1.0607235601719576</v>
      </c>
      <c r="J35" s="68">
        <v>4.9211273414216299</v>
      </c>
      <c r="K35" s="68">
        <v>5</v>
      </c>
      <c r="L35" s="67">
        <f t="shared" si="1"/>
        <v>2.7446919259290876</v>
      </c>
    </row>
    <row r="36" spans="1:12" x14ac:dyDescent="0.25">
      <c r="A36" s="65" t="s">
        <v>177</v>
      </c>
      <c r="B36" s="70" t="s">
        <v>176</v>
      </c>
      <c r="C36" s="57" t="s">
        <v>175</v>
      </c>
      <c r="D36" s="68">
        <v>4.9944997997518357</v>
      </c>
      <c r="E36" s="68">
        <v>4.0997926548199476E-2</v>
      </c>
      <c r="F36" s="68">
        <v>4.9572820718195167</v>
      </c>
      <c r="G36" s="57">
        <v>2.9999999999999978</v>
      </c>
      <c r="H36" s="69">
        <v>0.49674267100977199</v>
      </c>
      <c r="I36" s="68">
        <v>4.2316367007910003</v>
      </c>
      <c r="J36" s="68">
        <v>4.3778244302361173</v>
      </c>
      <c r="K36" s="68">
        <v>5</v>
      </c>
      <c r="L36" s="67">
        <f t="shared" si="1"/>
        <v>3.3062401690170051</v>
      </c>
    </row>
    <row r="37" spans="1:12" x14ac:dyDescent="0.25">
      <c r="A37" s="65" t="s">
        <v>174</v>
      </c>
      <c r="B37" s="70" t="s">
        <v>173</v>
      </c>
      <c r="C37" s="57" t="s">
        <v>172</v>
      </c>
      <c r="D37" s="68">
        <v>4.9852045790073882</v>
      </c>
      <c r="E37" s="68">
        <v>1.6545042169381359E-3</v>
      </c>
      <c r="F37" s="68">
        <v>4.9996334783026182</v>
      </c>
      <c r="G37" s="57">
        <v>1.7500000000000022</v>
      </c>
      <c r="H37" s="69">
        <v>0.18249883013570425</v>
      </c>
      <c r="I37" s="68">
        <v>1.0329506695697515</v>
      </c>
      <c r="J37" s="68">
        <v>5</v>
      </c>
      <c r="K37" s="68">
        <v>5</v>
      </c>
      <c r="L37" s="67">
        <f t="shared" si="1"/>
        <v>2.5140407275355665</v>
      </c>
    </row>
    <row r="38" spans="1:12" x14ac:dyDescent="0.25">
      <c r="A38" s="65" t="s">
        <v>171</v>
      </c>
      <c r="B38" s="70" t="s">
        <v>170</v>
      </c>
      <c r="C38" s="57" t="s">
        <v>169</v>
      </c>
      <c r="D38" s="68">
        <v>4.9983649202711291</v>
      </c>
      <c r="E38" s="68">
        <v>5.9436127338628783E-2</v>
      </c>
      <c r="F38" s="68">
        <v>4.9999165665465224</v>
      </c>
      <c r="G38" s="57">
        <v>3.7499999999999991</v>
      </c>
      <c r="H38" s="69">
        <v>1.6857585139318882</v>
      </c>
      <c r="I38" s="68">
        <v>0.45623776542122796</v>
      </c>
      <c r="J38" s="68">
        <v>5</v>
      </c>
      <c r="K38" s="68">
        <v>5</v>
      </c>
      <c r="L38" s="67">
        <f t="shared" si="1"/>
        <v>2.4627892856089932</v>
      </c>
    </row>
    <row r="39" spans="1:12" x14ac:dyDescent="0.25">
      <c r="A39" s="65" t="s">
        <v>168</v>
      </c>
      <c r="B39" s="70" t="s">
        <v>167</v>
      </c>
      <c r="C39" s="57" t="s">
        <v>166</v>
      </c>
      <c r="D39" s="68">
        <v>4.9999676430728304</v>
      </c>
      <c r="E39" s="68">
        <v>3.0670985854766175</v>
      </c>
      <c r="F39" s="68">
        <v>4.9996662661860904</v>
      </c>
      <c r="G39" s="57">
        <v>1.2500000000000011</v>
      </c>
      <c r="H39" s="69">
        <v>5</v>
      </c>
      <c r="I39" s="68">
        <v>1.6877076513873503</v>
      </c>
      <c r="J39" s="68">
        <v>5</v>
      </c>
      <c r="K39" s="68">
        <v>5</v>
      </c>
      <c r="L39" s="67">
        <f t="shared" si="1"/>
        <v>3.6886600966028089</v>
      </c>
    </row>
    <row r="40" spans="1:12" x14ac:dyDescent="0.25">
      <c r="A40" s="65" t="s">
        <v>165</v>
      </c>
      <c r="B40" s="70" t="s">
        <v>164</v>
      </c>
      <c r="C40" s="57" t="s">
        <v>163</v>
      </c>
      <c r="D40" s="68">
        <v>4.9885920031592441</v>
      </c>
      <c r="E40" s="68">
        <v>1.5028473666120984E-2</v>
      </c>
      <c r="F40" s="68">
        <v>4.994243091710052</v>
      </c>
      <c r="G40" s="57">
        <v>0.75000000000000067</v>
      </c>
      <c r="H40" s="69">
        <v>3.9681938659598637</v>
      </c>
      <c r="I40" s="68">
        <v>0.55350540632477108</v>
      </c>
      <c r="J40" s="68">
        <v>5</v>
      </c>
      <c r="K40" s="68">
        <v>5</v>
      </c>
      <c r="L40" s="67">
        <f t="shared" si="1"/>
        <v>2.587115473256532</v>
      </c>
    </row>
    <row r="41" spans="1:12" x14ac:dyDescent="0.25">
      <c r="A41" s="65" t="s">
        <v>162</v>
      </c>
      <c r="B41" s="70" t="s">
        <v>161</v>
      </c>
      <c r="C41" s="57" t="s">
        <v>160</v>
      </c>
      <c r="D41" s="68">
        <v>4.9999400604894593</v>
      </c>
      <c r="E41" s="68">
        <v>5</v>
      </c>
      <c r="F41" s="68">
        <v>4.9996662661860904</v>
      </c>
      <c r="G41" s="57">
        <v>4.2499999999999991</v>
      </c>
      <c r="H41" s="69">
        <v>5</v>
      </c>
      <c r="I41" s="68">
        <v>5.7300644336109978E-2</v>
      </c>
      <c r="J41" s="68">
        <v>0</v>
      </c>
      <c r="K41" s="68">
        <v>0</v>
      </c>
      <c r="L41" s="67">
        <f t="shared" si="1"/>
        <v>3.2642768028250013</v>
      </c>
    </row>
    <row r="42" spans="1:12" x14ac:dyDescent="0.25">
      <c r="A42" s="65" t="s">
        <v>159</v>
      </c>
      <c r="B42" s="70" t="s">
        <v>158</v>
      </c>
      <c r="C42" s="57" t="s">
        <v>157</v>
      </c>
      <c r="D42" s="68">
        <v>4.9995525397327993</v>
      </c>
      <c r="E42" s="68">
        <v>9.8391609381344603E-3</v>
      </c>
      <c r="F42" s="68">
        <v>4.9999947026378742</v>
      </c>
      <c r="G42" s="57">
        <v>2.4999999999999973</v>
      </c>
      <c r="H42" s="69">
        <v>4.0637254901960782</v>
      </c>
      <c r="I42" s="68">
        <v>3.8091079985692944</v>
      </c>
      <c r="J42" s="68">
        <v>4.799882952450865</v>
      </c>
      <c r="K42" s="68">
        <v>5</v>
      </c>
      <c r="L42" s="67">
        <f t="shared" si="1"/>
        <v>3.3978048172061914</v>
      </c>
    </row>
    <row r="43" spans="1:12" x14ac:dyDescent="0.25">
      <c r="A43" s="65" t="s">
        <v>156</v>
      </c>
      <c r="B43" s="70" t="s">
        <v>155</v>
      </c>
      <c r="C43" s="57" t="s">
        <v>154</v>
      </c>
      <c r="D43" s="68">
        <v>4.880057867641769</v>
      </c>
      <c r="E43" s="68">
        <v>9.3936868298901777E-4</v>
      </c>
      <c r="F43" s="68">
        <v>4.9835469229742362</v>
      </c>
      <c r="G43" s="57">
        <v>1.7500000000000022</v>
      </c>
      <c r="H43" s="69">
        <v>5</v>
      </c>
      <c r="I43" s="68">
        <v>0.99099131031553833</v>
      </c>
      <c r="J43" s="68">
        <v>5</v>
      </c>
      <c r="K43" s="68">
        <v>5</v>
      </c>
      <c r="L43" s="67">
        <f t="shared" si="1"/>
        <v>2.7163518289574977</v>
      </c>
    </row>
    <row r="44" spans="1:12" x14ac:dyDescent="0.25">
      <c r="A44" s="65" t="s">
        <v>153</v>
      </c>
      <c r="B44" s="70" t="s">
        <v>152</v>
      </c>
      <c r="C44" s="57" t="s">
        <v>151</v>
      </c>
      <c r="D44" s="68">
        <v>4.9999680446047883</v>
      </c>
      <c r="E44" s="68">
        <v>0.87471834592612097</v>
      </c>
      <c r="F44" s="68">
        <v>4.9996662661860904</v>
      </c>
      <c r="G44" s="57">
        <v>0</v>
      </c>
      <c r="H44" s="69">
        <v>5</v>
      </c>
      <c r="I44" s="68">
        <v>1.2006406751243708</v>
      </c>
      <c r="J44" s="68">
        <v>5</v>
      </c>
      <c r="K44" s="68">
        <v>5</v>
      </c>
      <c r="L44" s="67">
        <f t="shared" si="1"/>
        <v>3.0187983930324291</v>
      </c>
    </row>
    <row r="45" spans="1:12" x14ac:dyDescent="0.25">
      <c r="A45" s="65" t="s">
        <v>150</v>
      </c>
      <c r="B45" s="70" t="s">
        <v>149</v>
      </c>
      <c r="C45" s="57" t="s">
        <v>148</v>
      </c>
      <c r="D45" s="68">
        <v>4.998115817073967</v>
      </c>
      <c r="E45" s="68">
        <v>9.6274950252247818E-2</v>
      </c>
      <c r="F45" s="68">
        <v>4.9893205179548792</v>
      </c>
      <c r="G45" s="57">
        <v>4.75</v>
      </c>
      <c r="H45" s="69">
        <v>1.7596262740656849</v>
      </c>
      <c r="I45" s="68">
        <v>2.5713148175606495</v>
      </c>
      <c r="J45" s="68">
        <v>2.9506219051553408</v>
      </c>
      <c r="K45" s="68">
        <v>0</v>
      </c>
      <c r="L45" s="67">
        <f t="shared" si="1"/>
        <v>2.6508708569782553</v>
      </c>
    </row>
    <row r="46" spans="1:12" x14ac:dyDescent="0.25">
      <c r="A46" s="65" t="s">
        <v>147</v>
      </c>
      <c r="B46" s="70" t="s">
        <v>146</v>
      </c>
      <c r="C46" s="57" t="s">
        <v>145</v>
      </c>
      <c r="D46" s="68">
        <v>4.9936497045482842</v>
      </c>
      <c r="E46" s="68">
        <v>4.8801750074285661E-3</v>
      </c>
      <c r="F46" s="68">
        <v>4.9657922840742224</v>
      </c>
      <c r="G46" s="57">
        <v>1.7500000000000022</v>
      </c>
      <c r="H46" s="69">
        <v>5</v>
      </c>
      <c r="I46" s="68">
        <v>0.64784608628593621</v>
      </c>
      <c r="J46" s="68">
        <v>4.1600701443310815</v>
      </c>
      <c r="K46" s="68">
        <v>5</v>
      </c>
      <c r="L46" s="67">
        <f t="shared" si="1"/>
        <v>2.616176727084389</v>
      </c>
    </row>
    <row r="47" spans="1:12" x14ac:dyDescent="0.25">
      <c r="A47" s="65" t="s">
        <v>144</v>
      </c>
      <c r="B47" s="70" t="s">
        <v>143</v>
      </c>
      <c r="C47" s="57" t="s">
        <v>142</v>
      </c>
      <c r="D47" s="68">
        <v>4.9997946490175549</v>
      </c>
      <c r="E47" s="68">
        <v>0.66775598255054758</v>
      </c>
      <c r="F47" s="68">
        <v>4.9997218884884083</v>
      </c>
      <c r="G47" s="57">
        <v>1.4999999999999964</v>
      </c>
      <c r="H47" s="69">
        <v>5</v>
      </c>
      <c r="I47" s="68">
        <v>0.26758545513205789</v>
      </c>
      <c r="J47" s="68">
        <v>4.957850654190822</v>
      </c>
      <c r="K47" s="68">
        <v>0</v>
      </c>
      <c r="L47" s="67">
        <f t="shared" si="1"/>
        <v>2.4816487432334222</v>
      </c>
    </row>
    <row r="48" spans="1:12" x14ac:dyDescent="0.25">
      <c r="A48" s="65" t="s">
        <v>141</v>
      </c>
      <c r="B48" s="70" t="s">
        <v>140</v>
      </c>
      <c r="C48" s="57" t="s">
        <v>139</v>
      </c>
      <c r="D48" s="68">
        <v>4.9998700091354422</v>
      </c>
      <c r="E48" s="68">
        <v>0.14421953936416318</v>
      </c>
      <c r="F48" s="68">
        <v>4.9999284856113055</v>
      </c>
      <c r="G48" s="57">
        <v>4.75</v>
      </c>
      <c r="H48" s="69">
        <v>3.9238033213936827</v>
      </c>
      <c r="I48" s="68">
        <v>3.4059371485755441</v>
      </c>
      <c r="J48" s="68">
        <v>4.7144632273100964</v>
      </c>
      <c r="K48" s="68">
        <v>5</v>
      </c>
      <c r="L48" s="67">
        <f t="shared" si="1"/>
        <v>3.3194128502651066</v>
      </c>
    </row>
    <row r="49" spans="1:12" x14ac:dyDescent="0.25">
      <c r="A49" s="65" t="s">
        <v>138</v>
      </c>
      <c r="B49" s="70" t="s">
        <v>137</v>
      </c>
      <c r="C49" s="57" t="s">
        <v>136</v>
      </c>
      <c r="D49" s="68">
        <v>4.9997639118200565</v>
      </c>
      <c r="E49" s="68">
        <v>1.572274890649247E-2</v>
      </c>
      <c r="F49" s="68">
        <v>4.9999930760619522</v>
      </c>
      <c r="G49" s="57">
        <v>1.4999999999999964</v>
      </c>
      <c r="H49" s="69">
        <v>3.457564575645756</v>
      </c>
      <c r="I49" s="68">
        <v>0.45595046271969403</v>
      </c>
      <c r="J49" s="68">
        <v>5</v>
      </c>
      <c r="K49" s="68">
        <v>0</v>
      </c>
      <c r="L49" s="67">
        <f t="shared" si="1"/>
        <v>2.290736817250044</v>
      </c>
    </row>
    <row r="50" spans="1:12" x14ac:dyDescent="0.25">
      <c r="A50" s="65" t="s">
        <v>135</v>
      </c>
      <c r="B50" s="70" t="s">
        <v>134</v>
      </c>
      <c r="C50" s="57" t="s">
        <v>133</v>
      </c>
      <c r="D50" s="68">
        <v>4.9993753310770339</v>
      </c>
      <c r="E50" s="68">
        <v>4.5556554405543619E-2</v>
      </c>
      <c r="F50" s="68">
        <v>4.99532772660526</v>
      </c>
      <c r="G50" s="57">
        <v>1.4999999999999964</v>
      </c>
      <c r="H50" s="69">
        <v>5</v>
      </c>
      <c r="I50" s="68">
        <v>2.12270252798954</v>
      </c>
      <c r="J50" s="68">
        <v>5</v>
      </c>
      <c r="K50" s="68">
        <v>5</v>
      </c>
      <c r="L50" s="67">
        <f t="shared" si="1"/>
        <v>3.0414413760285552</v>
      </c>
    </row>
    <row r="51" spans="1:12" x14ac:dyDescent="0.25">
      <c r="A51" s="65" t="s">
        <v>132</v>
      </c>
      <c r="B51" s="70" t="s">
        <v>131</v>
      </c>
      <c r="C51" s="57" t="s">
        <v>130</v>
      </c>
      <c r="D51" s="68">
        <v>4.987857752606593</v>
      </c>
      <c r="E51" s="68">
        <v>1.2200365038544272E-3</v>
      </c>
      <c r="F51" s="68">
        <v>4.9322520357762647</v>
      </c>
      <c r="G51" s="57">
        <v>2.9999999999999978</v>
      </c>
      <c r="H51" s="69">
        <v>5</v>
      </c>
      <c r="I51" s="68">
        <v>2.602417500510569</v>
      </c>
      <c r="J51" s="68">
        <v>4.2991764055819059</v>
      </c>
      <c r="K51" s="68">
        <v>5</v>
      </c>
      <c r="L51" s="67">
        <f t="shared" si="1"/>
        <v>3.1060578462619759</v>
      </c>
    </row>
    <row r="52" spans="1:12" x14ac:dyDescent="0.25">
      <c r="A52" s="65" t="s">
        <v>129</v>
      </c>
      <c r="B52" s="70" t="s">
        <v>128</v>
      </c>
      <c r="C52" s="57" t="s">
        <v>127</v>
      </c>
      <c r="D52" s="68">
        <v>4.999963605817026</v>
      </c>
      <c r="E52" s="68">
        <v>9.5716971801354245E-2</v>
      </c>
      <c r="F52" s="68">
        <v>4.9996662661860904</v>
      </c>
      <c r="G52" s="57">
        <v>1.2500000000000011</v>
      </c>
      <c r="H52" s="69">
        <v>4.0605846298915598</v>
      </c>
      <c r="I52" s="68">
        <v>0.31312521521554898</v>
      </c>
      <c r="J52" s="68">
        <v>4.9055789072528411</v>
      </c>
      <c r="K52" s="68">
        <v>5</v>
      </c>
      <c r="L52" s="67">
        <f t="shared" si="1"/>
        <v>2.5504762516843114</v>
      </c>
    </row>
    <row r="53" spans="1:12" x14ac:dyDescent="0.25">
      <c r="A53" s="65" t="s">
        <v>126</v>
      </c>
      <c r="B53" s="70" t="s">
        <v>125</v>
      </c>
      <c r="C53" s="57" t="s">
        <v>124</v>
      </c>
      <c r="D53" s="68">
        <v>4.99996648449891</v>
      </c>
      <c r="E53" s="68">
        <v>0.1836574936988824</v>
      </c>
      <c r="F53" s="68">
        <v>4.9996662661860904</v>
      </c>
      <c r="G53" s="57">
        <v>1.7500000000000022</v>
      </c>
      <c r="H53" s="69">
        <v>5</v>
      </c>
      <c r="I53" s="68">
        <v>2.4220355536976257</v>
      </c>
      <c r="J53" s="68">
        <v>4.9163802597307278</v>
      </c>
      <c r="K53" s="68">
        <v>5</v>
      </c>
      <c r="L53" s="67">
        <f t="shared" si="1"/>
        <v>3.1472005225789998</v>
      </c>
    </row>
    <row r="54" spans="1:12" x14ac:dyDescent="0.25">
      <c r="A54" s="65" t="s">
        <v>123</v>
      </c>
      <c r="B54" s="70" t="s">
        <v>122</v>
      </c>
      <c r="C54" s="57" t="s">
        <v>121</v>
      </c>
      <c r="D54" s="68">
        <v>4.9999693081743048</v>
      </c>
      <c r="E54" s="68">
        <v>0.20175628216139249</v>
      </c>
      <c r="F54" s="68">
        <v>4.9998331330930448</v>
      </c>
      <c r="G54" s="57">
        <v>0.75000000000000067</v>
      </c>
      <c r="H54" s="69">
        <v>2.7429467084639496</v>
      </c>
      <c r="I54" s="68">
        <v>3.503837065214074</v>
      </c>
      <c r="J54" s="68">
        <v>4.7882183808925793</v>
      </c>
      <c r="K54" s="68">
        <v>0</v>
      </c>
      <c r="L54" s="67">
        <f t="shared" si="1"/>
        <v>3.0529322316645739</v>
      </c>
    </row>
    <row r="55" spans="1:12" x14ac:dyDescent="0.25">
      <c r="A55" s="65" t="s">
        <v>120</v>
      </c>
      <c r="B55" s="70" t="s">
        <v>119</v>
      </c>
      <c r="C55" s="57" t="s">
        <v>118</v>
      </c>
      <c r="D55" s="68">
        <v>4.9999589185552544</v>
      </c>
      <c r="E55" s="68">
        <v>3.5051330235552052</v>
      </c>
      <c r="F55" s="68">
        <v>4.9999961193742575</v>
      </c>
      <c r="G55" s="57">
        <v>2.7499999999999973</v>
      </c>
      <c r="H55" s="69">
        <v>1.7645413870246085</v>
      </c>
      <c r="I55" s="68">
        <v>0.82371812532304878</v>
      </c>
      <c r="J55" s="68">
        <v>4.3148114004491394</v>
      </c>
      <c r="K55" s="68">
        <v>5</v>
      </c>
      <c r="L55" s="67">
        <f t="shared" si="1"/>
        <v>3.3861697681694904</v>
      </c>
    </row>
    <row r="56" spans="1:12" x14ac:dyDescent="0.25">
      <c r="A56" s="65" t="s">
        <v>117</v>
      </c>
      <c r="B56" s="70" t="s">
        <v>116</v>
      </c>
      <c r="C56" s="57" t="s">
        <v>115</v>
      </c>
      <c r="D56" s="68">
        <v>4.9999492776650172</v>
      </c>
      <c r="E56" s="68">
        <v>0.97836589291428233</v>
      </c>
      <c r="F56" s="68">
        <v>4.9999999526282739</v>
      </c>
      <c r="G56" s="57">
        <v>1.0000000000000009</v>
      </c>
      <c r="H56" s="69">
        <v>0.39581777445855115</v>
      </c>
      <c r="I56" s="68">
        <v>0.81403234743940212</v>
      </c>
      <c r="J56" s="68">
        <v>4.6433645048596004</v>
      </c>
      <c r="K56" s="68">
        <v>5</v>
      </c>
      <c r="L56" s="67">
        <f t="shared" si="1"/>
        <v>2.7000459887334105</v>
      </c>
    </row>
    <row r="57" spans="1:12" x14ac:dyDescent="0.25">
      <c r="A57" s="65" t="s">
        <v>114</v>
      </c>
      <c r="B57" s="70" t="s">
        <v>113</v>
      </c>
      <c r="C57" s="57" t="s">
        <v>112</v>
      </c>
      <c r="D57" s="68">
        <v>4.9979721611514965</v>
      </c>
      <c r="E57" s="68">
        <v>3.6766289007622376E-2</v>
      </c>
      <c r="F57" s="68">
        <v>4.9993706733794845</v>
      </c>
      <c r="G57" s="57">
        <v>4.2499999999999991</v>
      </c>
      <c r="H57" s="69">
        <v>5</v>
      </c>
      <c r="I57" s="68">
        <v>0.12782443469378293</v>
      </c>
      <c r="J57" s="68">
        <v>5</v>
      </c>
      <c r="K57" s="68">
        <v>5</v>
      </c>
      <c r="L57" s="67">
        <f t="shared" si="1"/>
        <v>2.540577788551174</v>
      </c>
    </row>
    <row r="58" spans="1:12" x14ac:dyDescent="0.25">
      <c r="A58" s="65" t="s">
        <v>111</v>
      </c>
      <c r="B58" s="70" t="s">
        <v>110</v>
      </c>
      <c r="C58" s="57" t="s">
        <v>109</v>
      </c>
      <c r="D58" s="68">
        <v>4.9968316417144134</v>
      </c>
      <c r="E58" s="68">
        <v>4.6412253555669844E-2</v>
      </c>
      <c r="F58" s="68">
        <v>4.970297690562008</v>
      </c>
      <c r="G58" s="57">
        <v>4.2499999999999991</v>
      </c>
      <c r="H58" s="69">
        <v>5</v>
      </c>
      <c r="I58" s="68">
        <v>0.15186203442476667</v>
      </c>
      <c r="J58" s="68">
        <v>5</v>
      </c>
      <c r="K58" s="68">
        <v>5</v>
      </c>
      <c r="L58" s="67">
        <f t="shared" si="1"/>
        <v>2.5458062514799131</v>
      </c>
    </row>
    <row r="59" spans="1:12" x14ac:dyDescent="0.25">
      <c r="I59" s="66"/>
      <c r="J59" s="66"/>
      <c r="K59" s="66"/>
    </row>
    <row r="60" spans="1:12" x14ac:dyDescent="0.25">
      <c r="I60" s="66"/>
      <c r="J60" s="66"/>
      <c r="K60" s="66"/>
    </row>
  </sheetData>
  <mergeCells count="2">
    <mergeCell ref="N1:Z1"/>
    <mergeCell ref="S4:T4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0"/>
  <dimension ref="A1:Y43"/>
  <sheetViews>
    <sheetView tabSelected="1" topLeftCell="K1" workbookViewId="0">
      <selection activeCell="AA12" sqref="AA12"/>
    </sheetView>
  </sheetViews>
  <sheetFormatPr baseColWidth="10" defaultRowHeight="15" x14ac:dyDescent="0.25"/>
  <cols>
    <col min="1" max="1" width="19.85546875" customWidth="1"/>
    <col min="2" max="2" width="28.140625" style="17" customWidth="1"/>
    <col min="3" max="3" width="7.140625" style="47" customWidth="1"/>
    <col min="4" max="5" width="11.42578125" style="47"/>
    <col min="6" max="6" width="11.140625" style="17" customWidth="1"/>
    <col min="7" max="7" width="11.140625" style="47" customWidth="1"/>
    <col min="8" max="8" width="14.85546875" customWidth="1"/>
    <col min="10" max="10" width="11.42578125" style="20"/>
    <col min="11" max="11" width="11.42578125" style="47"/>
    <col min="12" max="12" width="11.42578125" style="17"/>
    <col min="13" max="13" width="11.42578125" style="20"/>
    <col min="14" max="14" width="11.42578125" style="47"/>
    <col min="15" max="15" width="15.42578125" bestFit="1" customWidth="1"/>
    <col min="22" max="22" width="11.42578125" style="20"/>
    <col min="23" max="23" width="11.42578125" style="47"/>
    <col min="24" max="24" width="3.85546875" customWidth="1"/>
  </cols>
  <sheetData>
    <row r="1" spans="1:25" ht="15.75" thickBot="1" x14ac:dyDescent="0.3">
      <c r="A1" s="62"/>
      <c r="B1" s="268" t="s">
        <v>108</v>
      </c>
      <c r="C1" s="270"/>
      <c r="D1" s="268" t="s">
        <v>107</v>
      </c>
      <c r="E1" s="270"/>
      <c r="F1" s="268" t="s">
        <v>106</v>
      </c>
      <c r="G1" s="270"/>
      <c r="H1" s="268" t="s">
        <v>105</v>
      </c>
      <c r="I1" s="269"/>
      <c r="J1" s="269"/>
      <c r="K1" s="270"/>
      <c r="L1" s="222" t="s">
        <v>104</v>
      </c>
      <c r="M1" s="223"/>
      <c r="N1" s="224"/>
      <c r="O1" s="268" t="s">
        <v>103</v>
      </c>
      <c r="P1" s="269"/>
      <c r="Q1" s="269"/>
      <c r="R1" s="269"/>
      <c r="S1" s="269"/>
      <c r="T1" s="269"/>
      <c r="U1" s="269"/>
      <c r="V1" s="269"/>
      <c r="W1" s="270"/>
      <c r="Y1" s="61" t="s">
        <v>102</v>
      </c>
    </row>
    <row r="2" spans="1:25" x14ac:dyDescent="0.25">
      <c r="A2" s="60" t="s">
        <v>64</v>
      </c>
      <c r="B2" s="48" t="s">
        <v>101</v>
      </c>
      <c r="C2" s="50" t="s">
        <v>86</v>
      </c>
      <c r="D2" s="56" t="str">
        <f>[4]Productos!$FX4</f>
        <v>Virtual</v>
      </c>
      <c r="E2" s="50" t="s">
        <v>86</v>
      </c>
      <c r="F2" s="48" t="s">
        <v>100</v>
      </c>
      <c r="G2" s="50" t="s">
        <v>86</v>
      </c>
      <c r="H2" s="58" t="s">
        <v>99</v>
      </c>
      <c r="I2" s="57" t="s">
        <v>98</v>
      </c>
      <c r="J2" s="51" t="s">
        <v>97</v>
      </c>
      <c r="K2" s="50" t="s">
        <v>86</v>
      </c>
      <c r="L2" s="48" t="s">
        <v>96</v>
      </c>
      <c r="M2" s="51" t="s">
        <v>95</v>
      </c>
      <c r="N2" s="50" t="s">
        <v>86</v>
      </c>
      <c r="O2" s="58" t="s">
        <v>94</v>
      </c>
      <c r="P2" s="59" t="s">
        <v>93</v>
      </c>
      <c r="Q2" s="59" t="s">
        <v>92</v>
      </c>
      <c r="R2" s="59" t="s">
        <v>91</v>
      </c>
      <c r="S2" s="59" t="s">
        <v>90</v>
      </c>
      <c r="T2" s="59" t="s">
        <v>89</v>
      </c>
      <c r="U2" s="59" t="s">
        <v>88</v>
      </c>
      <c r="V2" s="51" t="s">
        <v>87</v>
      </c>
      <c r="W2" s="50" t="s">
        <v>86</v>
      </c>
      <c r="Y2" s="49"/>
    </row>
    <row r="3" spans="1:25" x14ac:dyDescent="0.25">
      <c r="A3" t="str">
        <f>'0.Consolidado general'!$A3</f>
        <v>E001001021002</v>
      </c>
      <c r="B3" s="48" t="str">
        <f>VLOOKUP($A3,'0.Productos'!$A$3:$GG$65,'0.Productos'!FW$1+1,0)</f>
        <v>Presencial</v>
      </c>
      <c r="C3" s="50">
        <f t="shared" ref="C3:C42" si="0">IF(B3="Presencial",0,IF(B3="Virtual",5,3.5))</f>
        <v>0</v>
      </c>
      <c r="D3" s="56" t="str">
        <f>[4]Productos!$FX5</f>
        <v>Fisica</v>
      </c>
      <c r="E3" s="50">
        <f t="shared" ref="E3:E42" si="1">IF(D3="NO",0,IF(D3="Virtual",5,4))</f>
        <v>4</v>
      </c>
      <c r="F3" s="48">
        <f>IF(A3&lt;&gt;0,VLOOKUP($A3,'0.Productos'!$A$3:$GG$65,'0.Productos'!FY$1+1,0),"")</f>
        <v>2</v>
      </c>
      <c r="G3" s="50">
        <f t="shared" ref="G3:G42" si="2">5*(F3-MIN($F$3:$F$42))/(MAX($F$3:$F$42)-MIN($F$3:$F$42))</f>
        <v>1</v>
      </c>
      <c r="H3" s="58">
        <v>450</v>
      </c>
      <c r="I3" s="57">
        <v>4612</v>
      </c>
      <c r="J3" s="51">
        <f t="shared" ref="J3:J42" si="3">H3/I3</f>
        <v>9.7571552471812664E-2</v>
      </c>
      <c r="K3" s="50">
        <f t="shared" ref="K3:K42" si="4">5*(J3-MIN($J$3:$J$42))/(MAX($J$3:$J$42)-MIN($J$3:$J$42))</f>
        <v>0</v>
      </c>
      <c r="L3" s="48">
        <f>VLOOKUP($A3,'0.Productos'!$A$3:$GG$65,'0.Productos'!FZ$1+1,0)</f>
        <v>70</v>
      </c>
      <c r="M3" s="51">
        <f t="shared" ref="M3:M42" si="5">IF(A3&lt;&gt;0,L3/168,"")</f>
        <v>0.41666666666666669</v>
      </c>
      <c r="N3" s="50">
        <f t="shared" ref="N3:N42" si="6">5*(M3-MIN($M$3:$M$42))/(MAX($M$3:$M$42)-MIN($M$3:$M$42))</f>
        <v>1.2711864406779665</v>
      </c>
      <c r="O3" s="48" t="str">
        <f>VLOOKUP($A3,'0.Productos'!$A$3:$GG$65,'0.Productos'!GA$1+1,0)</f>
        <v>SI</v>
      </c>
      <c r="P3" s="48" t="str">
        <f>VLOOKUP($A3,'0.Productos'!$A$3:$GG$65,'0.Productos'!GB$1+1,0)</f>
        <v>NO</v>
      </c>
      <c r="Q3" s="48" t="str">
        <f>VLOOKUP($A3,'0.Productos'!$A$3:$GG$65,'0.Productos'!GC$1+1,0)</f>
        <v>NO</v>
      </c>
      <c r="R3" s="48" t="str">
        <f>VLOOKUP($A3,'0.Productos'!$A$3:$GG$65,'0.Productos'!GD$1+1,0)</f>
        <v>NO</v>
      </c>
      <c r="S3" s="48" t="str">
        <f>VLOOKUP($A3,'0.Productos'!$A$3:$GG$65,'0.Productos'!GE$1+1,0)</f>
        <v>SI</v>
      </c>
      <c r="T3" s="48" t="str">
        <f>VLOOKUP($A3,'0.Productos'!$A$3:$GG$65,'0.Productos'!GF$1+1,0)</f>
        <v>SI</v>
      </c>
      <c r="U3" s="48" t="str">
        <f>VLOOKUP($A3,'0.Productos'!$A$3:$GG$65,'0.Productos'!GG$1+1,0)</f>
        <v>SI</v>
      </c>
      <c r="V3" s="51">
        <f t="shared" ref="V3:V42" si="7">COUNTIF(O3:U3,"SI")</f>
        <v>4</v>
      </c>
      <c r="W3" s="50">
        <f t="shared" ref="W3:W42" si="8">5*(V3-MIN($V$3:$V$42))/(MAX($V$3:$V$42)-MIN($V$3:$V$42))</f>
        <v>4</v>
      </c>
      <c r="Y3" s="49">
        <f t="shared" ref="Y3:Y42" si="9">C3*0.3+E3*0.2+G3*0.05+K3*0.2+N3*0.1+W3*0.15</f>
        <v>1.5771186440677969</v>
      </c>
    </row>
    <row r="4" spans="1:25" x14ac:dyDescent="0.25">
      <c r="A4" t="str">
        <f>'0.Consolidado general'!$A4</f>
        <v>E001001021003</v>
      </c>
      <c r="B4" s="48" t="str">
        <f>VLOOKUP($A4,'0.Productos'!$A$3:$GG$65,'0.Productos'!FW$1+1,0)</f>
        <v>Intermedio</v>
      </c>
      <c r="C4" s="50">
        <f t="shared" si="0"/>
        <v>3.5</v>
      </c>
      <c r="D4" s="56" t="str">
        <f>[4]Productos!$FX6</f>
        <v>No</v>
      </c>
      <c r="E4" s="50">
        <f t="shared" si="1"/>
        <v>0</v>
      </c>
      <c r="F4" s="48">
        <f>IF(A4&lt;&gt;0,VLOOKUP($A4,'0.Productos'!$A$3:$GG$65,'0.Productos'!FY$1+1,0),"")</f>
        <v>6</v>
      </c>
      <c r="G4" s="50">
        <f t="shared" si="2"/>
        <v>5</v>
      </c>
      <c r="H4" s="58">
        <v>1279</v>
      </c>
      <c r="I4" s="57">
        <v>2556</v>
      </c>
      <c r="J4" s="51">
        <f t="shared" si="3"/>
        <v>0.50039123630672921</v>
      </c>
      <c r="K4" s="50">
        <f t="shared" si="4"/>
        <v>2.568991524108406</v>
      </c>
      <c r="L4" s="48">
        <f>VLOOKUP($A4,'0.Productos'!$A$3:$GG$65,'0.Productos'!FZ$1+1,0)</f>
        <v>40</v>
      </c>
      <c r="M4" s="51">
        <f t="shared" si="5"/>
        <v>0.23809523809523808</v>
      </c>
      <c r="N4" s="50">
        <f t="shared" si="6"/>
        <v>0</v>
      </c>
      <c r="O4" s="48" t="str">
        <f>VLOOKUP($A4,'0.Productos'!$A$3:$GG$65,'0.Productos'!GA$1+1,0)</f>
        <v>NO</v>
      </c>
      <c r="P4" s="48" t="str">
        <f>VLOOKUP($A4,'0.Productos'!$A$3:$GG$65,'0.Productos'!GB$1+1,0)</f>
        <v>SI</v>
      </c>
      <c r="Q4" s="48" t="str">
        <f>VLOOKUP($A4,'0.Productos'!$A$3:$GG$65,'0.Productos'!GC$1+1,0)</f>
        <v>NO</v>
      </c>
      <c r="R4" s="48" t="str">
        <f>VLOOKUP($A4,'0.Productos'!$A$3:$GG$65,'0.Productos'!GD$1+1,0)</f>
        <v>NO</v>
      </c>
      <c r="S4" s="48" t="str">
        <f>VLOOKUP($A4,'0.Productos'!$A$3:$GG$65,'0.Productos'!GE$1+1,0)</f>
        <v>NO</v>
      </c>
      <c r="T4" s="48" t="str">
        <f>VLOOKUP($A4,'0.Productos'!$A$3:$GG$65,'0.Productos'!GF$1+1,0)</f>
        <v>NO</v>
      </c>
      <c r="U4" s="48" t="str">
        <f>VLOOKUP($A4,'0.Productos'!$A$3:$GG$65,'0.Productos'!GG$1+1,0)</f>
        <v>NO</v>
      </c>
      <c r="V4" s="51">
        <f t="shared" si="7"/>
        <v>1</v>
      </c>
      <c r="W4" s="50">
        <f t="shared" si="8"/>
        <v>1</v>
      </c>
      <c r="Y4" s="49">
        <f t="shared" si="9"/>
        <v>1.9637983048216812</v>
      </c>
    </row>
    <row r="5" spans="1:25" x14ac:dyDescent="0.25">
      <c r="A5" t="str">
        <f>'0.Consolidado general'!$A5</f>
        <v>E001002021001</v>
      </c>
      <c r="B5" s="48" t="str">
        <f>VLOOKUP($A5,'0.Productos'!$A$3:$GG$65,'0.Productos'!FW$1+1,0)</f>
        <v>Intermedio</v>
      </c>
      <c r="C5" s="50">
        <f t="shared" si="0"/>
        <v>3.5</v>
      </c>
      <c r="D5" s="56" t="str">
        <f>[4]Productos!$FX7</f>
        <v>Fisica</v>
      </c>
      <c r="E5" s="50">
        <f t="shared" si="1"/>
        <v>4</v>
      </c>
      <c r="F5" s="48">
        <f>IF(A5&lt;&gt;0,VLOOKUP($A5,'0.Productos'!$A$3:$GG$65,'0.Productos'!FY$1+1,0),"")</f>
        <v>6</v>
      </c>
      <c r="G5" s="50">
        <f t="shared" si="2"/>
        <v>5</v>
      </c>
      <c r="H5" s="58">
        <v>3000</v>
      </c>
      <c r="I5" s="57">
        <v>3403</v>
      </c>
      <c r="J5" s="51">
        <f t="shared" si="3"/>
        <v>0.88157508081104907</v>
      </c>
      <c r="K5" s="50">
        <f t="shared" si="4"/>
        <v>5</v>
      </c>
      <c r="L5" s="48">
        <f>VLOOKUP($A5,'0.Productos'!$A$3:$GG$65,'0.Productos'!FZ$1+1,0)</f>
        <v>130</v>
      </c>
      <c r="M5" s="51">
        <f t="shared" si="5"/>
        <v>0.77380952380952384</v>
      </c>
      <c r="N5" s="50">
        <f t="shared" si="6"/>
        <v>3.8135593220338988</v>
      </c>
      <c r="O5" s="48" t="str">
        <f>VLOOKUP($A5,'0.Productos'!$A$3:$GG$65,'0.Productos'!GA$1+1,0)</f>
        <v>NO</v>
      </c>
      <c r="P5" s="48" t="str">
        <f>VLOOKUP($A5,'0.Productos'!$A$3:$GG$65,'0.Productos'!GB$1+1,0)</f>
        <v>SI</v>
      </c>
      <c r="Q5" s="48" t="str">
        <f>VLOOKUP($A5,'0.Productos'!$A$3:$GG$65,'0.Productos'!GC$1+1,0)</f>
        <v>SI</v>
      </c>
      <c r="R5" s="48" t="str">
        <f>VLOOKUP($A5,'0.Productos'!$A$3:$GG$65,'0.Productos'!GD$1+1,0)</f>
        <v>NO</v>
      </c>
      <c r="S5" s="48" t="str">
        <f>VLOOKUP($A5,'0.Productos'!$A$3:$GG$65,'0.Productos'!GE$1+1,0)</f>
        <v>NO</v>
      </c>
      <c r="T5" s="48" t="str">
        <f>VLOOKUP($A5,'0.Productos'!$A$3:$GG$65,'0.Productos'!GF$1+1,0)</f>
        <v>NO</v>
      </c>
      <c r="U5" s="48" t="str">
        <f>VLOOKUP($A5,'0.Productos'!$A$3:$GG$65,'0.Productos'!GG$1+1,0)</f>
        <v>NO</v>
      </c>
      <c r="V5" s="51">
        <f t="shared" si="7"/>
        <v>2</v>
      </c>
      <c r="W5" s="50">
        <f t="shared" si="8"/>
        <v>2</v>
      </c>
      <c r="Y5" s="49">
        <f t="shared" si="9"/>
        <v>3.7813559322033896</v>
      </c>
    </row>
    <row r="6" spans="1:25" x14ac:dyDescent="0.25">
      <c r="A6" t="str">
        <f>'0.Consolidado general'!$A6</f>
        <v>E001002021002</v>
      </c>
      <c r="B6" s="48" t="str">
        <f>VLOOKUP($A6,'0.Productos'!$A$3:$GG$65,'0.Productos'!FW$1+1,0)</f>
        <v>Presencial</v>
      </c>
      <c r="C6" s="50">
        <f t="shared" si="0"/>
        <v>0</v>
      </c>
      <c r="D6" s="56" t="str">
        <f>[4]Productos!$FX8</f>
        <v>No</v>
      </c>
      <c r="E6" s="50">
        <f t="shared" si="1"/>
        <v>0</v>
      </c>
      <c r="F6" s="48">
        <f>IF(A6&lt;&gt;0,VLOOKUP($A6,'0.Productos'!$A$3:$GG$65,'0.Productos'!FY$1+1,0),"")</f>
        <v>6</v>
      </c>
      <c r="G6" s="50">
        <f t="shared" si="2"/>
        <v>5</v>
      </c>
      <c r="H6" s="58">
        <v>4081</v>
      </c>
      <c r="I6" s="57">
        <v>8732</v>
      </c>
      <c r="J6" s="51">
        <f t="shared" si="3"/>
        <v>0.46736142922583601</v>
      </c>
      <c r="K6" s="50">
        <f t="shared" si="4"/>
        <v>2.3583431922644116</v>
      </c>
      <c r="L6" s="48">
        <f>VLOOKUP($A6,'0.Productos'!$A$3:$GG$65,'0.Productos'!FZ$1+1,0)</f>
        <v>95</v>
      </c>
      <c r="M6" s="51">
        <f t="shared" si="5"/>
        <v>0.56547619047619047</v>
      </c>
      <c r="N6" s="50">
        <f t="shared" si="6"/>
        <v>2.3305084745762712</v>
      </c>
      <c r="O6" s="48" t="str">
        <f>VLOOKUP($A6,'0.Productos'!$A$3:$GG$65,'0.Productos'!GA$1+1,0)</f>
        <v>SI</v>
      </c>
      <c r="P6" s="48" t="str">
        <f>VLOOKUP($A6,'0.Productos'!$A$3:$GG$65,'0.Productos'!GB$1+1,0)</f>
        <v>SI</v>
      </c>
      <c r="Q6" s="48" t="str">
        <f>VLOOKUP($A6,'0.Productos'!$A$3:$GG$65,'0.Productos'!GC$1+1,0)</f>
        <v>SI</v>
      </c>
      <c r="R6" s="48" t="str">
        <f>VLOOKUP($A6,'0.Productos'!$A$3:$GG$65,'0.Productos'!GD$1+1,0)</f>
        <v>SI</v>
      </c>
      <c r="S6" s="48" t="str">
        <f>VLOOKUP($A6,'0.Productos'!$A$3:$GG$65,'0.Productos'!GE$1+1,0)</f>
        <v>NO</v>
      </c>
      <c r="T6" s="48" t="str">
        <f>VLOOKUP($A6,'0.Productos'!$A$3:$GG$65,'0.Productos'!GF$1+1,0)</f>
        <v>SI</v>
      </c>
      <c r="U6" s="48" t="str">
        <f>VLOOKUP($A6,'0.Productos'!$A$3:$GG$65,'0.Productos'!GG$1+1,0)</f>
        <v>NO</v>
      </c>
      <c r="V6" s="51">
        <f t="shared" si="7"/>
        <v>5</v>
      </c>
      <c r="W6" s="50">
        <f t="shared" si="8"/>
        <v>5</v>
      </c>
      <c r="Y6" s="49">
        <f t="shared" si="9"/>
        <v>1.7047194859105095</v>
      </c>
    </row>
    <row r="7" spans="1:25" x14ac:dyDescent="0.25">
      <c r="A7" t="str">
        <f>'0.Consolidado general'!$A7</f>
        <v>E001002021003</v>
      </c>
      <c r="B7" s="48" t="str">
        <f>VLOOKUP($A7,'0.Productos'!$A$3:$GG$65,'0.Productos'!FW$1+1,0)</f>
        <v>Intermedio</v>
      </c>
      <c r="C7" s="50">
        <f t="shared" si="0"/>
        <v>3.5</v>
      </c>
      <c r="D7" s="56" t="str">
        <f>[4]Productos!$FX9</f>
        <v>Virtual</v>
      </c>
      <c r="E7" s="50">
        <f t="shared" si="1"/>
        <v>5</v>
      </c>
      <c r="F7" s="48">
        <f>IF(A7&lt;&gt;0,VLOOKUP($A7,'0.Productos'!$A$3:$GG$65,'0.Productos'!FY$1+1,0),"")</f>
        <v>4</v>
      </c>
      <c r="G7" s="50">
        <f t="shared" si="2"/>
        <v>3</v>
      </c>
      <c r="H7" s="58">
        <v>204</v>
      </c>
      <c r="I7" s="57">
        <v>954</v>
      </c>
      <c r="J7" s="51">
        <f t="shared" si="3"/>
        <v>0.21383647798742139</v>
      </c>
      <c r="K7" s="50">
        <f t="shared" si="4"/>
        <v>0.74148215736920242</v>
      </c>
      <c r="L7" s="48">
        <f>VLOOKUP($A7,'0.Productos'!$A$3:$GG$65,'0.Productos'!FZ$1+1,0)</f>
        <v>57</v>
      </c>
      <c r="M7" s="51">
        <f t="shared" si="5"/>
        <v>0.3392857142857143</v>
      </c>
      <c r="N7" s="50">
        <f t="shared" si="6"/>
        <v>0.72033898305084776</v>
      </c>
      <c r="O7" s="48" t="str">
        <f>VLOOKUP($A7,'0.Productos'!$A$3:$GG$65,'0.Productos'!GA$1+1,0)</f>
        <v>NO</v>
      </c>
      <c r="P7" s="48" t="str">
        <f>VLOOKUP($A7,'0.Productos'!$A$3:$GG$65,'0.Productos'!GB$1+1,0)</f>
        <v>NO</v>
      </c>
      <c r="Q7" s="48" t="str">
        <f>VLOOKUP($A7,'0.Productos'!$A$3:$GG$65,'0.Productos'!GC$1+1,0)</f>
        <v>NO</v>
      </c>
      <c r="R7" s="48" t="str">
        <f>VLOOKUP($A7,'0.Productos'!$A$3:$GG$65,'0.Productos'!GD$1+1,0)</f>
        <v>SI</v>
      </c>
      <c r="S7" s="48" t="str">
        <f>VLOOKUP($A7,'0.Productos'!$A$3:$GG$65,'0.Productos'!GE$1+1,0)</f>
        <v>SI</v>
      </c>
      <c r="T7" s="48" t="str">
        <f>VLOOKUP($A7,'0.Productos'!$A$3:$GG$65,'0.Productos'!GF$1+1,0)</f>
        <v>NO</v>
      </c>
      <c r="U7" s="48" t="str">
        <f>VLOOKUP($A7,'0.Productos'!$A$3:$GG$65,'0.Productos'!GG$1+1,0)</f>
        <v>SI</v>
      </c>
      <c r="V7" s="51">
        <f t="shared" si="7"/>
        <v>3</v>
      </c>
      <c r="W7" s="50">
        <f t="shared" si="8"/>
        <v>3</v>
      </c>
      <c r="Y7" s="49">
        <f t="shared" si="9"/>
        <v>2.8703303297789251</v>
      </c>
    </row>
    <row r="8" spans="1:25" x14ac:dyDescent="0.25">
      <c r="A8" t="str">
        <f>'0.Consolidado general'!$A8</f>
        <v>E001002021004</v>
      </c>
      <c r="B8" s="48" t="str">
        <f>VLOOKUP($A8,'0.Productos'!$A$3:$GG$65,'0.Productos'!FW$1+1,0)</f>
        <v>Presencial</v>
      </c>
      <c r="C8" s="50">
        <f t="shared" si="0"/>
        <v>0</v>
      </c>
      <c r="D8" s="56" t="str">
        <f>[4]Productos!$FX10</f>
        <v>No</v>
      </c>
      <c r="E8" s="50">
        <f t="shared" si="1"/>
        <v>0</v>
      </c>
      <c r="F8" s="48">
        <f>IF(A8&lt;&gt;0,VLOOKUP($A8,'0.Productos'!$A$3:$GG$65,'0.Productos'!FY$1+1,0),"")</f>
        <v>6</v>
      </c>
      <c r="G8" s="50">
        <f t="shared" si="2"/>
        <v>5</v>
      </c>
      <c r="H8" s="58">
        <v>500</v>
      </c>
      <c r="I8" s="57">
        <v>576</v>
      </c>
      <c r="J8" s="51">
        <f t="shared" si="3"/>
        <v>0.86805555555555558</v>
      </c>
      <c r="K8" s="50">
        <f t="shared" si="4"/>
        <v>4.913778925943534</v>
      </c>
      <c r="L8" s="48">
        <f>VLOOKUP($A8,'0.Productos'!$A$3:$GG$65,'0.Productos'!FZ$1+1,0)</f>
        <v>158</v>
      </c>
      <c r="M8" s="51">
        <f t="shared" si="5"/>
        <v>0.94047619047619047</v>
      </c>
      <c r="N8" s="50">
        <f t="shared" si="6"/>
        <v>5</v>
      </c>
      <c r="O8" s="48" t="str">
        <f>VLOOKUP($A8,'0.Productos'!$A$3:$GG$65,'0.Productos'!GA$1+1,0)</f>
        <v>SI</v>
      </c>
      <c r="P8" s="48" t="str">
        <f>VLOOKUP($A8,'0.Productos'!$A$3:$GG$65,'0.Productos'!GB$1+1,0)</f>
        <v>SI</v>
      </c>
      <c r="Q8" s="48" t="str">
        <f>VLOOKUP($A8,'0.Productos'!$A$3:$GG$65,'0.Productos'!GC$1+1,0)</f>
        <v>NO</v>
      </c>
      <c r="R8" s="48" t="str">
        <f>VLOOKUP($A8,'0.Productos'!$A$3:$GG$65,'0.Productos'!GD$1+1,0)</f>
        <v>NO</v>
      </c>
      <c r="S8" s="48" t="str">
        <f>VLOOKUP($A8,'0.Productos'!$A$3:$GG$65,'0.Productos'!GE$1+1,0)</f>
        <v>NO</v>
      </c>
      <c r="T8" s="48" t="str">
        <f>VLOOKUP($A8,'0.Productos'!$A$3:$GG$65,'0.Productos'!GF$1+1,0)</f>
        <v>NO</v>
      </c>
      <c r="U8" s="48" t="str">
        <f>VLOOKUP($A8,'0.Productos'!$A$3:$GG$65,'0.Productos'!GG$1+1,0)</f>
        <v>SI</v>
      </c>
      <c r="V8" s="51">
        <f t="shared" si="7"/>
        <v>3</v>
      </c>
      <c r="W8" s="50">
        <f t="shared" si="8"/>
        <v>3</v>
      </c>
      <c r="Y8" s="49">
        <f t="shared" si="9"/>
        <v>2.1827557851887072</v>
      </c>
    </row>
    <row r="9" spans="1:25" x14ac:dyDescent="0.25">
      <c r="A9" t="str">
        <f>'0.Consolidado general'!$A9</f>
        <v>E001013021001</v>
      </c>
      <c r="B9" s="48" t="str">
        <f>VLOOKUP($A9,'0.Productos'!$A$3:$GG$65,'0.Productos'!FW$1+1,0)</f>
        <v>Virtual</v>
      </c>
      <c r="C9" s="50">
        <f t="shared" si="0"/>
        <v>5</v>
      </c>
      <c r="D9" s="56" t="str">
        <f>[4]Productos!$FX11</f>
        <v>No</v>
      </c>
      <c r="E9" s="50">
        <f t="shared" si="1"/>
        <v>0</v>
      </c>
      <c r="F9" s="48">
        <f>IF(A9&lt;&gt;0,VLOOKUP($A9,'0.Productos'!$A$3:$GG$65,'0.Productos'!FY$1+1,0),"")</f>
        <v>3</v>
      </c>
      <c r="G9" s="50">
        <f t="shared" si="2"/>
        <v>2</v>
      </c>
      <c r="H9" s="58">
        <v>1256</v>
      </c>
      <c r="I9" s="57">
        <v>3371</v>
      </c>
      <c r="J9" s="51">
        <f t="shared" si="3"/>
        <v>0.37258973598338774</v>
      </c>
      <c r="K9" s="50">
        <f t="shared" si="4"/>
        <v>1.7539346034204033</v>
      </c>
      <c r="L9" s="48">
        <f>VLOOKUP($A9,'0.Productos'!$A$3:$GG$65,'0.Productos'!FZ$1+1,0)</f>
        <v>87</v>
      </c>
      <c r="M9" s="51">
        <f t="shared" si="5"/>
        <v>0.5178571428571429</v>
      </c>
      <c r="N9" s="50">
        <f t="shared" si="6"/>
        <v>1.9915254237288142</v>
      </c>
      <c r="O9" s="48" t="str">
        <f>VLOOKUP($A9,'0.Productos'!$A$3:$GG$65,'0.Productos'!GA$1+1,0)</f>
        <v>SI</v>
      </c>
      <c r="P9" s="48" t="str">
        <f>VLOOKUP($A9,'0.Productos'!$A$3:$GG$65,'0.Productos'!GB$1+1,0)</f>
        <v>SI</v>
      </c>
      <c r="Q9" s="48" t="str">
        <f>VLOOKUP($A9,'0.Productos'!$A$3:$GG$65,'0.Productos'!GC$1+1,0)</f>
        <v>NO</v>
      </c>
      <c r="R9" s="48" t="str">
        <f>VLOOKUP($A9,'0.Productos'!$A$3:$GG$65,'0.Productos'!GD$1+1,0)</f>
        <v>NO</v>
      </c>
      <c r="S9" s="48" t="str">
        <f>VLOOKUP($A9,'0.Productos'!$A$3:$GG$65,'0.Productos'!GE$1+1,0)</f>
        <v>NO</v>
      </c>
      <c r="T9" s="48" t="str">
        <f>VLOOKUP($A9,'0.Productos'!$A$3:$GG$65,'0.Productos'!GF$1+1,0)</f>
        <v>SI</v>
      </c>
      <c r="U9" s="48" t="str">
        <f>VLOOKUP($A9,'0.Productos'!$A$3:$GG$65,'0.Productos'!GG$1+1,0)</f>
        <v>SI</v>
      </c>
      <c r="V9" s="51">
        <f t="shared" si="7"/>
        <v>4</v>
      </c>
      <c r="W9" s="50">
        <f t="shared" si="8"/>
        <v>4</v>
      </c>
      <c r="Y9" s="49">
        <f t="shared" si="9"/>
        <v>2.7499394630569625</v>
      </c>
    </row>
    <row r="10" spans="1:25" x14ac:dyDescent="0.25">
      <c r="A10" t="str">
        <f>'0.Consolidado general'!$A10</f>
        <v>E001013021002</v>
      </c>
      <c r="B10" s="48" t="str">
        <f>VLOOKUP($A10,'0.Productos'!$A$3:$GG$65,'0.Productos'!FW$1+1,0)</f>
        <v>Presencial</v>
      </c>
      <c r="C10" s="50">
        <f t="shared" si="0"/>
        <v>0</v>
      </c>
      <c r="D10" s="56" t="str">
        <f>[4]Productos!$FX12</f>
        <v>Virtual</v>
      </c>
      <c r="E10" s="50">
        <f t="shared" si="1"/>
        <v>5</v>
      </c>
      <c r="F10" s="48">
        <f>IF(A10&lt;&gt;0,VLOOKUP($A10,'0.Productos'!$A$3:$GG$65,'0.Productos'!FY$1+1,0),"")</f>
        <v>5</v>
      </c>
      <c r="G10" s="50">
        <f t="shared" si="2"/>
        <v>4</v>
      </c>
      <c r="H10" s="58">
        <v>4514</v>
      </c>
      <c r="I10" s="57">
        <v>9914</v>
      </c>
      <c r="J10" s="51">
        <f t="shared" si="3"/>
        <v>0.45531571515029251</v>
      </c>
      <c r="K10" s="50">
        <f t="shared" si="4"/>
        <v>2.2815213819017717</v>
      </c>
      <c r="L10" s="48">
        <f>VLOOKUP($A10,'0.Productos'!$A$3:$GG$65,'0.Productos'!FZ$1+1,0)</f>
        <v>108</v>
      </c>
      <c r="M10" s="51">
        <f t="shared" si="5"/>
        <v>0.6428571428571429</v>
      </c>
      <c r="N10" s="50">
        <f t="shared" si="6"/>
        <v>2.8813559322033906</v>
      </c>
      <c r="O10" s="48" t="str">
        <f>VLOOKUP($A10,'0.Productos'!$A$3:$GG$65,'0.Productos'!GA$1+1,0)</f>
        <v>SI</v>
      </c>
      <c r="P10" s="48" t="str">
        <f>VLOOKUP($A10,'0.Productos'!$A$3:$GG$65,'0.Productos'!GB$1+1,0)</f>
        <v>SI</v>
      </c>
      <c r="Q10" s="48" t="str">
        <f>VLOOKUP($A10,'0.Productos'!$A$3:$GG$65,'0.Productos'!GC$1+1,0)</f>
        <v>SI</v>
      </c>
      <c r="R10" s="48" t="str">
        <f>VLOOKUP($A10,'0.Productos'!$A$3:$GG$65,'0.Productos'!GD$1+1,0)</f>
        <v>NO</v>
      </c>
      <c r="S10" s="48" t="str">
        <f>VLOOKUP($A10,'0.Productos'!$A$3:$GG$65,'0.Productos'!GE$1+1,0)</f>
        <v>NO</v>
      </c>
      <c r="T10" s="48" t="str">
        <f>VLOOKUP($A10,'0.Productos'!$A$3:$GG$65,'0.Productos'!GF$1+1,0)</f>
        <v>SI</v>
      </c>
      <c r="U10" s="48" t="str">
        <f>VLOOKUP($A10,'0.Productos'!$A$3:$GG$65,'0.Productos'!GG$1+1,0)</f>
        <v>SI</v>
      </c>
      <c r="V10" s="51">
        <f t="shared" si="7"/>
        <v>5</v>
      </c>
      <c r="W10" s="50">
        <f t="shared" si="8"/>
        <v>5</v>
      </c>
      <c r="Y10" s="49">
        <f t="shared" si="9"/>
        <v>2.6944398696006937</v>
      </c>
    </row>
    <row r="11" spans="1:25" x14ac:dyDescent="0.25">
      <c r="A11" t="str">
        <f>'0.Consolidado general'!$A11</f>
        <v>E001013021003</v>
      </c>
      <c r="B11" s="48" t="str">
        <f>VLOOKUP($A11,'0.Productos'!$A$3:$GG$65,'0.Productos'!FW$1+1,0)</f>
        <v>Presencial</v>
      </c>
      <c r="C11" s="50">
        <f t="shared" si="0"/>
        <v>0</v>
      </c>
      <c r="D11" s="56" t="str">
        <f>[4]Productos!$FX13</f>
        <v>No</v>
      </c>
      <c r="E11" s="50">
        <f t="shared" si="1"/>
        <v>0</v>
      </c>
      <c r="F11" s="48">
        <f>IF(A11&lt;&gt;0,VLOOKUP($A11,'0.Productos'!$A$3:$GG$65,'0.Productos'!FY$1+1,0),"")</f>
        <v>1</v>
      </c>
      <c r="G11" s="50">
        <f t="shared" si="2"/>
        <v>0</v>
      </c>
      <c r="H11" s="58">
        <v>3927</v>
      </c>
      <c r="I11" s="57">
        <v>9292</v>
      </c>
      <c r="J11" s="51">
        <f t="shared" si="3"/>
        <v>0.42262160998708564</v>
      </c>
      <c r="K11" s="50">
        <f t="shared" si="4"/>
        <v>2.073013996530285</v>
      </c>
      <c r="L11" s="48">
        <f>VLOOKUP($A11,'0.Productos'!$A$3:$GG$65,'0.Productos'!FZ$1+1,0)</f>
        <v>90</v>
      </c>
      <c r="M11" s="51">
        <f t="shared" si="5"/>
        <v>0.5357142857142857</v>
      </c>
      <c r="N11" s="50">
        <f t="shared" si="6"/>
        <v>2.1186440677966103</v>
      </c>
      <c r="O11" s="48" t="str">
        <f>VLOOKUP($A11,'0.Productos'!$A$3:$GG$65,'0.Productos'!GA$1+1,0)</f>
        <v>NO</v>
      </c>
      <c r="P11" s="48" t="str">
        <f>VLOOKUP($A11,'0.Productos'!$A$3:$GG$65,'0.Productos'!GB$1+1,0)</f>
        <v>NO</v>
      </c>
      <c r="Q11" s="48" t="str">
        <f>VLOOKUP($A11,'0.Productos'!$A$3:$GG$65,'0.Productos'!GC$1+1,0)</f>
        <v>SI</v>
      </c>
      <c r="R11" s="48" t="str">
        <f>VLOOKUP($A11,'0.Productos'!$A$3:$GG$65,'0.Productos'!GD$1+1,0)</f>
        <v>SI</v>
      </c>
      <c r="S11" s="48" t="str">
        <f>VLOOKUP($A11,'0.Productos'!$A$3:$GG$65,'0.Productos'!GE$1+1,0)</f>
        <v>NO</v>
      </c>
      <c r="T11" s="48" t="str">
        <f>VLOOKUP($A11,'0.Productos'!$A$3:$GG$65,'0.Productos'!GF$1+1,0)</f>
        <v>NO</v>
      </c>
      <c r="U11" s="48" t="str">
        <f>VLOOKUP($A11,'0.Productos'!$A$3:$GG$65,'0.Productos'!GG$1+1,0)</f>
        <v>SI</v>
      </c>
      <c r="V11" s="51">
        <f t="shared" si="7"/>
        <v>3</v>
      </c>
      <c r="W11" s="50">
        <f t="shared" si="8"/>
        <v>3</v>
      </c>
      <c r="Y11" s="49">
        <f t="shared" si="9"/>
        <v>1.0764672060857179</v>
      </c>
    </row>
    <row r="12" spans="1:25" ht="15.75" thickBot="1" x14ac:dyDescent="0.3">
      <c r="A12" t="str">
        <f>'0.Consolidado general'!$A12</f>
        <v>E001013021004</v>
      </c>
      <c r="B12" s="48" t="str">
        <f>VLOOKUP($A12,'0.Productos'!$A$3:$GG$65,'0.Productos'!FW$1+1,0)</f>
        <v>Virtual</v>
      </c>
      <c r="C12" s="50">
        <f t="shared" si="0"/>
        <v>5</v>
      </c>
      <c r="D12" s="56" t="str">
        <f>[4]Productos!$FX14</f>
        <v>Virtual</v>
      </c>
      <c r="E12" s="55">
        <f t="shared" si="1"/>
        <v>5</v>
      </c>
      <c r="F12" s="48">
        <f>IF(A12&lt;&gt;0,VLOOKUP($A12,'0.Productos'!$A$3:$GG$65,'0.Productos'!FY$1+1,0),"")</f>
        <v>3</v>
      </c>
      <c r="G12" s="50">
        <f t="shared" si="2"/>
        <v>2</v>
      </c>
      <c r="H12" s="54">
        <v>1928</v>
      </c>
      <c r="I12" s="53">
        <v>5476</v>
      </c>
      <c r="J12" s="52">
        <f t="shared" si="3"/>
        <v>0.35208181154127099</v>
      </c>
      <c r="K12" s="50">
        <f t="shared" si="4"/>
        <v>1.623144857578577</v>
      </c>
      <c r="L12" s="48">
        <f>VLOOKUP($A12,'0.Productos'!$A$3:$GG$65,'0.Productos'!FZ$1+1,0)</f>
        <v>74</v>
      </c>
      <c r="M12" s="51">
        <f t="shared" si="5"/>
        <v>0.44047619047619047</v>
      </c>
      <c r="N12" s="50">
        <f t="shared" si="6"/>
        <v>1.4406779661016951</v>
      </c>
      <c r="O12" s="48" t="str">
        <f>VLOOKUP($A12,'0.Productos'!$A$3:$GG$65,'0.Productos'!GA$1+1,0)</f>
        <v>SI</v>
      </c>
      <c r="P12" s="48" t="str">
        <f>VLOOKUP($A12,'0.Productos'!$A$3:$GG$65,'0.Productos'!GB$1+1,0)</f>
        <v>SI</v>
      </c>
      <c r="Q12" s="48" t="str">
        <f>VLOOKUP($A12,'0.Productos'!$A$3:$GG$65,'0.Productos'!GC$1+1,0)</f>
        <v>NO</v>
      </c>
      <c r="R12" s="48" t="str">
        <f>VLOOKUP($A12,'0.Productos'!$A$3:$GG$65,'0.Productos'!GD$1+1,0)</f>
        <v>NO</v>
      </c>
      <c r="S12" s="48" t="str">
        <f>VLOOKUP($A12,'0.Productos'!$A$3:$GG$65,'0.Productos'!GE$1+1,0)</f>
        <v>SI</v>
      </c>
      <c r="T12" s="48" t="str">
        <f>VLOOKUP($A12,'0.Productos'!$A$3:$GG$65,'0.Productos'!GF$1+1,0)</f>
        <v>SI</v>
      </c>
      <c r="U12" s="48" t="str">
        <f>VLOOKUP($A12,'0.Productos'!$A$3:$GG$65,'0.Productos'!GG$1+1,0)</f>
        <v>SI</v>
      </c>
      <c r="V12" s="51">
        <f t="shared" si="7"/>
        <v>5</v>
      </c>
      <c r="W12" s="50">
        <f t="shared" si="8"/>
        <v>5</v>
      </c>
      <c r="Y12" s="49">
        <f t="shared" si="9"/>
        <v>3.8186967681258852</v>
      </c>
    </row>
    <row r="13" spans="1:25" ht="15.75" thickBot="1" x14ac:dyDescent="0.3">
      <c r="A13" t="str">
        <f>'0.Consolidado general'!$A13</f>
        <v>E001010021001</v>
      </c>
      <c r="B13" s="48" t="str">
        <f>VLOOKUP($A13,'0.Productos'!$A$3:$GG$65,'0.Productos'!FW$1+1,0)</f>
        <v>Presencial</v>
      </c>
      <c r="C13" s="50">
        <f t="shared" si="0"/>
        <v>0</v>
      </c>
      <c r="D13" s="56" t="str">
        <f>[4]Productos!$FX15</f>
        <v>Fisica</v>
      </c>
      <c r="E13" s="55">
        <f t="shared" si="1"/>
        <v>4</v>
      </c>
      <c r="F13" s="48">
        <f>IF(A13&lt;&gt;0,VLOOKUP($A13,'0.Productos'!$A$3:$GG$65,'0.Productos'!FY$1+1,0),"")</f>
        <v>2</v>
      </c>
      <c r="G13" s="50">
        <f t="shared" si="2"/>
        <v>1</v>
      </c>
      <c r="H13" s="58">
        <v>450</v>
      </c>
      <c r="I13" s="57">
        <v>4612</v>
      </c>
      <c r="J13" s="51">
        <f t="shared" si="3"/>
        <v>9.7571552471812664E-2</v>
      </c>
      <c r="K13" s="50">
        <f t="shared" si="4"/>
        <v>0</v>
      </c>
      <c r="L13" s="48">
        <f>VLOOKUP($A13,'0.Productos'!$A$3:$GG$65,'0.Productos'!FZ$1+1,0)</f>
        <v>70</v>
      </c>
      <c r="M13" s="51">
        <f t="shared" si="5"/>
        <v>0.41666666666666669</v>
      </c>
      <c r="N13" s="50">
        <f t="shared" si="6"/>
        <v>1.2711864406779665</v>
      </c>
      <c r="O13" s="48" t="str">
        <f>VLOOKUP($A13,'0.Productos'!$A$3:$GG$65,'0.Productos'!GA$1+1,0)</f>
        <v>SI</v>
      </c>
      <c r="P13" s="48" t="str">
        <f>VLOOKUP($A13,'0.Productos'!$A$3:$GG$65,'0.Productos'!GB$1+1,0)</f>
        <v>NO</v>
      </c>
      <c r="Q13" s="48" t="str">
        <f>VLOOKUP($A13,'0.Productos'!$A$3:$GG$65,'0.Productos'!GC$1+1,0)</f>
        <v>NO</v>
      </c>
      <c r="R13" s="48" t="str">
        <f>VLOOKUP($A13,'0.Productos'!$A$3:$GG$65,'0.Productos'!GD$1+1,0)</f>
        <v>NO</v>
      </c>
      <c r="S13" s="48" t="str">
        <f>VLOOKUP($A13,'0.Productos'!$A$3:$GG$65,'0.Productos'!GE$1+1,0)</f>
        <v>SI</v>
      </c>
      <c r="T13" s="48" t="str">
        <f>VLOOKUP($A13,'0.Productos'!$A$3:$GG$65,'0.Productos'!GF$1+1,0)</f>
        <v>SI</v>
      </c>
      <c r="U13" s="48" t="str">
        <f>VLOOKUP($A13,'0.Productos'!$A$3:$GG$65,'0.Productos'!GG$1+1,0)</f>
        <v>SI</v>
      </c>
      <c r="V13" s="51">
        <f t="shared" si="7"/>
        <v>4</v>
      </c>
      <c r="W13" s="50">
        <f t="shared" si="8"/>
        <v>4</v>
      </c>
      <c r="Y13" s="49">
        <f t="shared" si="9"/>
        <v>1.5771186440677969</v>
      </c>
    </row>
    <row r="14" spans="1:25" ht="15.75" thickBot="1" x14ac:dyDescent="0.3">
      <c r="A14" t="str">
        <f>'0.Consolidado general'!$A14</f>
        <v>E001010021002</v>
      </c>
      <c r="B14" s="48" t="str">
        <f>VLOOKUP($A14,'0.Productos'!$A$3:$GG$65,'0.Productos'!FW$1+1,0)</f>
        <v>Intermedio</v>
      </c>
      <c r="C14" s="50">
        <f t="shared" si="0"/>
        <v>3.5</v>
      </c>
      <c r="D14" s="56" t="str">
        <f>[4]Productos!$FX16</f>
        <v>No</v>
      </c>
      <c r="E14" s="55">
        <f t="shared" si="1"/>
        <v>0</v>
      </c>
      <c r="F14" s="48">
        <f>IF(A14&lt;&gt;0,VLOOKUP($A14,'0.Productos'!$A$3:$GG$65,'0.Productos'!FY$1+1,0),"")</f>
        <v>6</v>
      </c>
      <c r="G14" s="50">
        <f t="shared" si="2"/>
        <v>5</v>
      </c>
      <c r="H14" s="58">
        <v>1279</v>
      </c>
      <c r="I14" s="57">
        <v>2556</v>
      </c>
      <c r="J14" s="51">
        <f t="shared" si="3"/>
        <v>0.50039123630672921</v>
      </c>
      <c r="K14" s="50">
        <f t="shared" si="4"/>
        <v>2.568991524108406</v>
      </c>
      <c r="L14" s="48">
        <f>VLOOKUP($A14,'0.Productos'!$A$3:$GG$65,'0.Productos'!FZ$1+1,0)</f>
        <v>40</v>
      </c>
      <c r="M14" s="51">
        <f t="shared" si="5"/>
        <v>0.23809523809523808</v>
      </c>
      <c r="N14" s="50">
        <f t="shared" si="6"/>
        <v>0</v>
      </c>
      <c r="O14" s="48" t="str">
        <f>VLOOKUP($A14,'0.Productos'!$A$3:$GG$65,'0.Productos'!GA$1+1,0)</f>
        <v>NO</v>
      </c>
      <c r="P14" s="48" t="str">
        <f>VLOOKUP($A14,'0.Productos'!$A$3:$GG$65,'0.Productos'!GB$1+1,0)</f>
        <v>SI</v>
      </c>
      <c r="Q14" s="48" t="str">
        <f>VLOOKUP($A14,'0.Productos'!$A$3:$GG$65,'0.Productos'!GC$1+1,0)</f>
        <v>NO</v>
      </c>
      <c r="R14" s="48" t="str">
        <f>VLOOKUP($A14,'0.Productos'!$A$3:$GG$65,'0.Productos'!GD$1+1,0)</f>
        <v>NO</v>
      </c>
      <c r="S14" s="48" t="str">
        <f>VLOOKUP($A14,'0.Productos'!$A$3:$GG$65,'0.Productos'!GE$1+1,0)</f>
        <v>NO</v>
      </c>
      <c r="T14" s="48" t="str">
        <f>VLOOKUP($A14,'0.Productos'!$A$3:$GG$65,'0.Productos'!GF$1+1,0)</f>
        <v>NO</v>
      </c>
      <c r="U14" s="48" t="str">
        <f>VLOOKUP($A14,'0.Productos'!$A$3:$GG$65,'0.Productos'!GG$1+1,0)</f>
        <v>NO</v>
      </c>
      <c r="V14" s="51">
        <f t="shared" si="7"/>
        <v>1</v>
      </c>
      <c r="W14" s="50">
        <f t="shared" si="8"/>
        <v>1</v>
      </c>
      <c r="Y14" s="49">
        <f t="shared" si="9"/>
        <v>1.9637983048216812</v>
      </c>
    </row>
    <row r="15" spans="1:25" ht="15.75" thickBot="1" x14ac:dyDescent="0.3">
      <c r="A15" t="str">
        <f>'0.Consolidado general'!$A15</f>
        <v>E001010021003</v>
      </c>
      <c r="B15" s="48" t="str">
        <f>VLOOKUP($A15,'0.Productos'!$A$3:$GG$65,'0.Productos'!FW$1+1,0)</f>
        <v>Intermedio</v>
      </c>
      <c r="C15" s="50">
        <f t="shared" si="0"/>
        <v>3.5</v>
      </c>
      <c r="D15" s="56" t="str">
        <f>[4]Productos!$FX17</f>
        <v>Fisica</v>
      </c>
      <c r="E15" s="55">
        <f t="shared" si="1"/>
        <v>4</v>
      </c>
      <c r="F15" s="48">
        <f>IF(A15&lt;&gt;0,VLOOKUP($A15,'0.Productos'!$A$3:$GG$65,'0.Productos'!FY$1+1,0),"")</f>
        <v>6</v>
      </c>
      <c r="G15" s="50">
        <f t="shared" si="2"/>
        <v>5</v>
      </c>
      <c r="H15" s="58">
        <v>3000</v>
      </c>
      <c r="I15" s="57">
        <v>3403</v>
      </c>
      <c r="J15" s="51">
        <f t="shared" si="3"/>
        <v>0.88157508081104907</v>
      </c>
      <c r="K15" s="50">
        <f t="shared" si="4"/>
        <v>5</v>
      </c>
      <c r="L15" s="48">
        <f>VLOOKUP($A15,'0.Productos'!$A$3:$GG$65,'0.Productos'!FZ$1+1,0)</f>
        <v>130</v>
      </c>
      <c r="M15" s="51">
        <f t="shared" si="5"/>
        <v>0.77380952380952384</v>
      </c>
      <c r="N15" s="50">
        <f t="shared" si="6"/>
        <v>3.8135593220338988</v>
      </c>
      <c r="O15" s="48" t="str">
        <f>VLOOKUP($A15,'0.Productos'!$A$3:$GG$65,'0.Productos'!GA$1+1,0)</f>
        <v>NO</v>
      </c>
      <c r="P15" s="48" t="str">
        <f>VLOOKUP($A15,'0.Productos'!$A$3:$GG$65,'0.Productos'!GB$1+1,0)</f>
        <v>SI</v>
      </c>
      <c r="Q15" s="48" t="str">
        <f>VLOOKUP($A15,'0.Productos'!$A$3:$GG$65,'0.Productos'!GC$1+1,0)</f>
        <v>SI</v>
      </c>
      <c r="R15" s="48" t="str">
        <f>VLOOKUP($A15,'0.Productos'!$A$3:$GG$65,'0.Productos'!GD$1+1,0)</f>
        <v>NO</v>
      </c>
      <c r="S15" s="48" t="str">
        <f>VLOOKUP($A15,'0.Productos'!$A$3:$GG$65,'0.Productos'!GE$1+1,0)</f>
        <v>NO</v>
      </c>
      <c r="T15" s="48" t="str">
        <f>VLOOKUP($A15,'0.Productos'!$A$3:$GG$65,'0.Productos'!GF$1+1,0)</f>
        <v>NO</v>
      </c>
      <c r="U15" s="48" t="str">
        <f>VLOOKUP($A15,'0.Productos'!$A$3:$GG$65,'0.Productos'!GG$1+1,0)</f>
        <v>NO</v>
      </c>
      <c r="V15" s="51">
        <f t="shared" si="7"/>
        <v>2</v>
      </c>
      <c r="W15" s="50">
        <f t="shared" si="8"/>
        <v>2</v>
      </c>
      <c r="Y15" s="49">
        <f t="shared" si="9"/>
        <v>3.7813559322033896</v>
      </c>
    </row>
    <row r="16" spans="1:25" ht="15.75" thickBot="1" x14ac:dyDescent="0.3">
      <c r="A16" t="str">
        <f>'0.Consolidado general'!$A16</f>
        <v>E001012021002</v>
      </c>
      <c r="B16" s="48" t="str">
        <f>VLOOKUP($A16,'0.Productos'!$A$3:$GG$65,'0.Productos'!FW$1+1,0)</f>
        <v>Presencial</v>
      </c>
      <c r="C16" s="50">
        <f t="shared" si="0"/>
        <v>0</v>
      </c>
      <c r="D16" s="56" t="str">
        <f>[4]Productos!$FX18</f>
        <v>No</v>
      </c>
      <c r="E16" s="55">
        <f t="shared" si="1"/>
        <v>0</v>
      </c>
      <c r="F16" s="48">
        <f>IF(A16&lt;&gt;0,VLOOKUP($A16,'0.Productos'!$A$3:$GG$65,'0.Productos'!FY$1+1,0),"")</f>
        <v>6</v>
      </c>
      <c r="G16" s="50">
        <f t="shared" si="2"/>
        <v>5</v>
      </c>
      <c r="H16" s="58">
        <v>4081</v>
      </c>
      <c r="I16" s="57">
        <v>8732</v>
      </c>
      <c r="J16" s="51">
        <f t="shared" si="3"/>
        <v>0.46736142922583601</v>
      </c>
      <c r="K16" s="50">
        <f t="shared" si="4"/>
        <v>2.3583431922644116</v>
      </c>
      <c r="L16" s="48">
        <f>VLOOKUP($A16,'0.Productos'!$A$3:$GG$65,'0.Productos'!FZ$1+1,0)</f>
        <v>158</v>
      </c>
      <c r="M16" s="51">
        <f t="shared" si="5"/>
        <v>0.94047619047619047</v>
      </c>
      <c r="N16" s="50">
        <f t="shared" si="6"/>
        <v>5</v>
      </c>
      <c r="O16" s="48" t="str">
        <f>VLOOKUP($A16,'0.Productos'!$A$3:$GG$65,'0.Productos'!GA$1+1,0)</f>
        <v>SI</v>
      </c>
      <c r="P16" s="48" t="str">
        <f>VLOOKUP($A16,'0.Productos'!$A$3:$GG$65,'0.Productos'!GB$1+1,0)</f>
        <v>SI</v>
      </c>
      <c r="Q16" s="48" t="str">
        <f>VLOOKUP($A16,'0.Productos'!$A$3:$GG$65,'0.Productos'!GC$1+1,0)</f>
        <v>NO</v>
      </c>
      <c r="R16" s="48" t="str">
        <f>VLOOKUP($A16,'0.Productos'!$A$3:$GG$65,'0.Productos'!GD$1+1,0)</f>
        <v>NO</v>
      </c>
      <c r="S16" s="48" t="str">
        <f>VLOOKUP($A16,'0.Productos'!$A$3:$GG$65,'0.Productos'!GE$1+1,0)</f>
        <v>NO</v>
      </c>
      <c r="T16" s="48" t="str">
        <f>VLOOKUP($A16,'0.Productos'!$A$3:$GG$65,'0.Productos'!GF$1+1,0)</f>
        <v>NO</v>
      </c>
      <c r="U16" s="48" t="str">
        <f>VLOOKUP($A16,'0.Productos'!$A$3:$GG$65,'0.Productos'!GG$1+1,0)</f>
        <v>SI</v>
      </c>
      <c r="V16" s="51">
        <f t="shared" si="7"/>
        <v>3</v>
      </c>
      <c r="W16" s="50">
        <f t="shared" si="8"/>
        <v>3</v>
      </c>
      <c r="Y16" s="49">
        <f t="shared" si="9"/>
        <v>1.6716686384528823</v>
      </c>
    </row>
    <row r="17" spans="1:25" ht="15.75" thickBot="1" x14ac:dyDescent="0.3">
      <c r="A17">
        <f>'0.Consolidado general'!$A17</f>
        <v>0</v>
      </c>
      <c r="B17" s="48" t="e">
        <f>VLOOKUP($A17,'0.Productos'!$A$3:$GG$65,'0.Productos'!FW$1+1,0)</f>
        <v>#N/A</v>
      </c>
      <c r="C17" s="50" t="e">
        <f t="shared" si="0"/>
        <v>#N/A</v>
      </c>
      <c r="D17" s="56" t="str">
        <f>[4]Productos!$FX19</f>
        <v>Virtual</v>
      </c>
      <c r="E17" s="55">
        <f t="shared" si="1"/>
        <v>5</v>
      </c>
      <c r="F17" s="48" t="str">
        <f>IF(A17&lt;&gt;0,VLOOKUP($A17,'0.Productos'!$A$3:$GG$65,'0.Productos'!FY$1+1,0),"")</f>
        <v/>
      </c>
      <c r="G17" s="50" t="e">
        <f t="shared" si="2"/>
        <v>#VALUE!</v>
      </c>
      <c r="H17" s="58">
        <v>204</v>
      </c>
      <c r="I17" s="57">
        <v>954</v>
      </c>
      <c r="J17" s="51">
        <f t="shared" si="3"/>
        <v>0.21383647798742139</v>
      </c>
      <c r="K17" s="50">
        <f t="shared" si="4"/>
        <v>0.74148215736920242</v>
      </c>
      <c r="L17" s="48" t="e">
        <f>VLOOKUP($A17,'0.Productos'!$A$3:$GG$65,'0.Productos'!FZ$1+1,0)</f>
        <v>#N/A</v>
      </c>
      <c r="M17" s="51" t="str">
        <f t="shared" si="5"/>
        <v/>
      </c>
      <c r="N17" s="50" t="e">
        <f t="shared" si="6"/>
        <v>#VALUE!</v>
      </c>
      <c r="O17" s="48" t="e">
        <f>VLOOKUP($A17,'0.Productos'!$A$3:$GG$65,'0.Productos'!GA$1+1,0)</f>
        <v>#N/A</v>
      </c>
      <c r="P17" s="48" t="e">
        <f>VLOOKUP($A17,'0.Productos'!$A$3:$GG$65,'0.Productos'!GB$1+1,0)</f>
        <v>#N/A</v>
      </c>
      <c r="Q17" s="48" t="e">
        <f>VLOOKUP($A17,'0.Productos'!$A$3:$GG$65,'0.Productos'!GC$1+1,0)</f>
        <v>#N/A</v>
      </c>
      <c r="R17" s="48" t="e">
        <f>VLOOKUP($A17,'0.Productos'!$A$3:$GG$65,'0.Productos'!GD$1+1,0)</f>
        <v>#N/A</v>
      </c>
      <c r="S17" s="48" t="e">
        <f>VLOOKUP($A17,'0.Productos'!$A$3:$GG$65,'0.Productos'!GE$1+1,0)</f>
        <v>#N/A</v>
      </c>
      <c r="T17" s="48" t="e">
        <f>VLOOKUP($A17,'0.Productos'!$A$3:$GG$65,'0.Productos'!GF$1+1,0)</f>
        <v>#N/A</v>
      </c>
      <c r="U17" s="48" t="e">
        <f>VLOOKUP($A17,'0.Productos'!$A$3:$GG$65,'0.Productos'!GG$1+1,0)</f>
        <v>#N/A</v>
      </c>
      <c r="V17" s="51">
        <f t="shared" si="7"/>
        <v>0</v>
      </c>
      <c r="W17" s="50">
        <f t="shared" si="8"/>
        <v>0</v>
      </c>
      <c r="Y17" s="49" t="e">
        <f t="shared" si="9"/>
        <v>#N/A</v>
      </c>
    </row>
    <row r="18" spans="1:25" ht="15.75" thickBot="1" x14ac:dyDescent="0.3">
      <c r="A18">
        <f>'0.Consolidado general'!$A18</f>
        <v>0</v>
      </c>
      <c r="B18" s="48" t="e">
        <f>VLOOKUP($A18,'0.Productos'!$A$3:$GG$65,'0.Productos'!FW$1+1,0)</f>
        <v>#N/A</v>
      </c>
      <c r="C18" s="50" t="e">
        <f t="shared" si="0"/>
        <v>#N/A</v>
      </c>
      <c r="D18" s="56" t="str">
        <f>[4]Productos!$FX20</f>
        <v>No</v>
      </c>
      <c r="E18" s="55">
        <f t="shared" si="1"/>
        <v>0</v>
      </c>
      <c r="F18" s="48" t="str">
        <f>IF(A18&lt;&gt;0,VLOOKUP($A18,'0.Productos'!$A$3:$GG$65,'0.Productos'!FY$1+1,0),"")</f>
        <v/>
      </c>
      <c r="G18" s="50" t="e">
        <f t="shared" si="2"/>
        <v>#VALUE!</v>
      </c>
      <c r="H18" s="58">
        <v>500</v>
      </c>
      <c r="I18" s="57">
        <v>576</v>
      </c>
      <c r="J18" s="51">
        <f t="shared" si="3"/>
        <v>0.86805555555555558</v>
      </c>
      <c r="K18" s="50">
        <f t="shared" si="4"/>
        <v>4.913778925943534</v>
      </c>
      <c r="L18" s="48" t="e">
        <f>VLOOKUP($A18,'0.Productos'!$A$3:$GG$65,'0.Productos'!FZ$1+1,0)</f>
        <v>#N/A</v>
      </c>
      <c r="M18" s="51" t="str">
        <f t="shared" si="5"/>
        <v/>
      </c>
      <c r="N18" s="50" t="e">
        <f t="shared" si="6"/>
        <v>#VALUE!</v>
      </c>
      <c r="O18" s="48" t="e">
        <f>VLOOKUP($A18,'0.Productos'!$A$3:$GG$65,'0.Productos'!GA$1+1,0)</f>
        <v>#N/A</v>
      </c>
      <c r="P18" s="48" t="e">
        <f>VLOOKUP($A18,'0.Productos'!$A$3:$GG$65,'0.Productos'!GB$1+1,0)</f>
        <v>#N/A</v>
      </c>
      <c r="Q18" s="48" t="e">
        <f>VLOOKUP($A18,'0.Productos'!$A$3:$GG$65,'0.Productos'!GC$1+1,0)</f>
        <v>#N/A</v>
      </c>
      <c r="R18" s="48" t="e">
        <f>VLOOKUP($A18,'0.Productos'!$A$3:$GG$65,'0.Productos'!GD$1+1,0)</f>
        <v>#N/A</v>
      </c>
      <c r="S18" s="48" t="e">
        <f>VLOOKUP($A18,'0.Productos'!$A$3:$GG$65,'0.Productos'!GE$1+1,0)</f>
        <v>#N/A</v>
      </c>
      <c r="T18" s="48" t="e">
        <f>VLOOKUP($A18,'0.Productos'!$A$3:$GG$65,'0.Productos'!GF$1+1,0)</f>
        <v>#N/A</v>
      </c>
      <c r="U18" s="48" t="e">
        <f>VLOOKUP($A18,'0.Productos'!$A$3:$GG$65,'0.Productos'!GG$1+1,0)</f>
        <v>#N/A</v>
      </c>
      <c r="V18" s="51">
        <f t="shared" si="7"/>
        <v>0</v>
      </c>
      <c r="W18" s="50">
        <f t="shared" si="8"/>
        <v>0</v>
      </c>
      <c r="Y18" s="49" t="e">
        <f t="shared" si="9"/>
        <v>#N/A</v>
      </c>
    </row>
    <row r="19" spans="1:25" ht="15.75" thickBot="1" x14ac:dyDescent="0.3">
      <c r="A19">
        <f>'0.Consolidado general'!$A19</f>
        <v>0</v>
      </c>
      <c r="B19" s="48" t="e">
        <f>VLOOKUP($A19,'0.Productos'!$A$3:$GG$65,'0.Productos'!FW$1+1,0)</f>
        <v>#N/A</v>
      </c>
      <c r="C19" s="50" t="e">
        <f t="shared" si="0"/>
        <v>#N/A</v>
      </c>
      <c r="D19" s="56" t="str">
        <f>[4]Productos!$FX21</f>
        <v>No</v>
      </c>
      <c r="E19" s="55">
        <f t="shared" si="1"/>
        <v>0</v>
      </c>
      <c r="F19" s="48" t="str">
        <f>IF(A19&lt;&gt;0,VLOOKUP($A19,'0.Productos'!$A$3:$GG$65,'0.Productos'!FY$1+1,0),"")</f>
        <v/>
      </c>
      <c r="G19" s="50" t="e">
        <f t="shared" si="2"/>
        <v>#VALUE!</v>
      </c>
      <c r="H19" s="58">
        <v>1256</v>
      </c>
      <c r="I19" s="57">
        <v>3371</v>
      </c>
      <c r="J19" s="51">
        <f t="shared" si="3"/>
        <v>0.37258973598338774</v>
      </c>
      <c r="K19" s="50">
        <f t="shared" si="4"/>
        <v>1.7539346034204033</v>
      </c>
      <c r="L19" s="48" t="e">
        <f>VLOOKUP($A19,'0.Productos'!$A$3:$GG$65,'0.Productos'!FZ$1+1,0)</f>
        <v>#N/A</v>
      </c>
      <c r="M19" s="51" t="str">
        <f t="shared" si="5"/>
        <v/>
      </c>
      <c r="N19" s="50" t="e">
        <f t="shared" si="6"/>
        <v>#VALUE!</v>
      </c>
      <c r="O19" s="48" t="e">
        <f>VLOOKUP($A19,'0.Productos'!$A$3:$GG$65,'0.Productos'!GA$1+1,0)</f>
        <v>#N/A</v>
      </c>
      <c r="P19" s="48" t="e">
        <f>VLOOKUP($A19,'0.Productos'!$A$3:$GG$65,'0.Productos'!GB$1+1,0)</f>
        <v>#N/A</v>
      </c>
      <c r="Q19" s="48" t="e">
        <f>VLOOKUP($A19,'0.Productos'!$A$3:$GG$65,'0.Productos'!GC$1+1,0)</f>
        <v>#N/A</v>
      </c>
      <c r="R19" s="48" t="e">
        <f>VLOOKUP($A19,'0.Productos'!$A$3:$GG$65,'0.Productos'!GD$1+1,0)</f>
        <v>#N/A</v>
      </c>
      <c r="S19" s="48" t="e">
        <f>VLOOKUP($A19,'0.Productos'!$A$3:$GG$65,'0.Productos'!GE$1+1,0)</f>
        <v>#N/A</v>
      </c>
      <c r="T19" s="48" t="e">
        <f>VLOOKUP($A19,'0.Productos'!$A$3:$GG$65,'0.Productos'!GF$1+1,0)</f>
        <v>#N/A</v>
      </c>
      <c r="U19" s="48" t="e">
        <f>VLOOKUP($A19,'0.Productos'!$A$3:$GG$65,'0.Productos'!GG$1+1,0)</f>
        <v>#N/A</v>
      </c>
      <c r="V19" s="51">
        <f t="shared" si="7"/>
        <v>0</v>
      </c>
      <c r="W19" s="50">
        <f t="shared" si="8"/>
        <v>0</v>
      </c>
      <c r="Y19" s="49" t="e">
        <f t="shared" si="9"/>
        <v>#N/A</v>
      </c>
    </row>
    <row r="20" spans="1:25" ht="15.75" thickBot="1" x14ac:dyDescent="0.3">
      <c r="A20">
        <f>'0.Consolidado general'!$A20</f>
        <v>0</v>
      </c>
      <c r="B20" s="48" t="e">
        <f>VLOOKUP($A20,'0.Productos'!$A$3:$GG$65,'0.Productos'!FW$1+1,0)</f>
        <v>#N/A</v>
      </c>
      <c r="C20" s="50" t="e">
        <f t="shared" si="0"/>
        <v>#N/A</v>
      </c>
      <c r="D20" s="56" t="str">
        <f>[4]Productos!$FX22</f>
        <v>Virtual</v>
      </c>
      <c r="E20" s="55">
        <f t="shared" si="1"/>
        <v>5</v>
      </c>
      <c r="F20" s="48" t="str">
        <f>IF(A20&lt;&gt;0,VLOOKUP($A20,'0.Productos'!$A$3:$GG$65,'0.Productos'!FY$1+1,0),"")</f>
        <v/>
      </c>
      <c r="G20" s="50" t="e">
        <f t="shared" si="2"/>
        <v>#VALUE!</v>
      </c>
      <c r="H20" s="58">
        <v>4514</v>
      </c>
      <c r="I20" s="57">
        <v>9914</v>
      </c>
      <c r="J20" s="51">
        <f t="shared" si="3"/>
        <v>0.45531571515029251</v>
      </c>
      <c r="K20" s="50">
        <f t="shared" si="4"/>
        <v>2.2815213819017717</v>
      </c>
      <c r="L20" s="48" t="e">
        <f>VLOOKUP($A20,'0.Productos'!$A$3:$GG$65,'0.Productos'!FZ$1+1,0)</f>
        <v>#N/A</v>
      </c>
      <c r="M20" s="51" t="str">
        <f t="shared" si="5"/>
        <v/>
      </c>
      <c r="N20" s="50" t="e">
        <f t="shared" si="6"/>
        <v>#VALUE!</v>
      </c>
      <c r="O20" s="48" t="e">
        <f>VLOOKUP($A20,'0.Productos'!$A$3:$GG$65,'0.Productos'!GA$1+1,0)</f>
        <v>#N/A</v>
      </c>
      <c r="P20" s="48" t="e">
        <f>VLOOKUP($A20,'0.Productos'!$A$3:$GG$65,'0.Productos'!GB$1+1,0)</f>
        <v>#N/A</v>
      </c>
      <c r="Q20" s="48" t="e">
        <f>VLOOKUP($A20,'0.Productos'!$A$3:$GG$65,'0.Productos'!GC$1+1,0)</f>
        <v>#N/A</v>
      </c>
      <c r="R20" s="48" t="e">
        <f>VLOOKUP($A20,'0.Productos'!$A$3:$GG$65,'0.Productos'!GD$1+1,0)</f>
        <v>#N/A</v>
      </c>
      <c r="S20" s="48" t="e">
        <f>VLOOKUP($A20,'0.Productos'!$A$3:$GG$65,'0.Productos'!GE$1+1,0)</f>
        <v>#N/A</v>
      </c>
      <c r="T20" s="48" t="e">
        <f>VLOOKUP($A20,'0.Productos'!$A$3:$GG$65,'0.Productos'!GF$1+1,0)</f>
        <v>#N/A</v>
      </c>
      <c r="U20" s="48" t="e">
        <f>VLOOKUP($A20,'0.Productos'!$A$3:$GG$65,'0.Productos'!GG$1+1,0)</f>
        <v>#N/A</v>
      </c>
      <c r="V20" s="51">
        <f t="shared" si="7"/>
        <v>0</v>
      </c>
      <c r="W20" s="50">
        <f t="shared" si="8"/>
        <v>0</v>
      </c>
      <c r="Y20" s="49" t="e">
        <f t="shared" si="9"/>
        <v>#N/A</v>
      </c>
    </row>
    <row r="21" spans="1:25" ht="15.75" thickBot="1" x14ac:dyDescent="0.3">
      <c r="A21">
        <f>'0.Consolidado general'!$A21</f>
        <v>0</v>
      </c>
      <c r="B21" s="48" t="e">
        <f>VLOOKUP($A21,'0.Productos'!$A$3:$GG$65,'0.Productos'!FW$1+1,0)</f>
        <v>#N/A</v>
      </c>
      <c r="C21" s="50" t="e">
        <f t="shared" si="0"/>
        <v>#N/A</v>
      </c>
      <c r="D21" s="56" t="str">
        <f>[4]Productos!$FX23</f>
        <v>No</v>
      </c>
      <c r="E21" s="55">
        <f t="shared" si="1"/>
        <v>0</v>
      </c>
      <c r="F21" s="48" t="str">
        <f>IF(A21&lt;&gt;0,VLOOKUP($A21,'0.Productos'!$A$3:$GG$65,'0.Productos'!FY$1+1,0),"")</f>
        <v/>
      </c>
      <c r="G21" s="50" t="e">
        <f t="shared" si="2"/>
        <v>#VALUE!</v>
      </c>
      <c r="H21" s="58">
        <v>3927</v>
      </c>
      <c r="I21" s="57">
        <v>9292</v>
      </c>
      <c r="J21" s="51">
        <f t="shared" si="3"/>
        <v>0.42262160998708564</v>
      </c>
      <c r="K21" s="50">
        <f t="shared" si="4"/>
        <v>2.073013996530285</v>
      </c>
      <c r="L21" s="48" t="e">
        <f>VLOOKUP($A21,'0.Productos'!$A$3:$GG$65,'0.Productos'!FZ$1+1,0)</f>
        <v>#N/A</v>
      </c>
      <c r="M21" s="51" t="str">
        <f t="shared" si="5"/>
        <v/>
      </c>
      <c r="N21" s="50" t="e">
        <f t="shared" si="6"/>
        <v>#VALUE!</v>
      </c>
      <c r="O21" s="48" t="e">
        <f>VLOOKUP($A21,'0.Productos'!$A$3:$GG$65,'0.Productos'!GA$1+1,0)</f>
        <v>#N/A</v>
      </c>
      <c r="P21" s="48" t="e">
        <f>VLOOKUP($A21,'0.Productos'!$A$3:$GG$65,'0.Productos'!GB$1+1,0)</f>
        <v>#N/A</v>
      </c>
      <c r="Q21" s="48" t="e">
        <f>VLOOKUP($A21,'0.Productos'!$A$3:$GG$65,'0.Productos'!GC$1+1,0)</f>
        <v>#N/A</v>
      </c>
      <c r="R21" s="48" t="e">
        <f>VLOOKUP($A21,'0.Productos'!$A$3:$GG$65,'0.Productos'!GD$1+1,0)</f>
        <v>#N/A</v>
      </c>
      <c r="S21" s="48" t="e">
        <f>VLOOKUP($A21,'0.Productos'!$A$3:$GG$65,'0.Productos'!GE$1+1,0)</f>
        <v>#N/A</v>
      </c>
      <c r="T21" s="48" t="e">
        <f>VLOOKUP($A21,'0.Productos'!$A$3:$GG$65,'0.Productos'!GF$1+1,0)</f>
        <v>#N/A</v>
      </c>
      <c r="U21" s="48" t="e">
        <f>VLOOKUP($A21,'0.Productos'!$A$3:$GG$65,'0.Productos'!GG$1+1,0)</f>
        <v>#N/A</v>
      </c>
      <c r="V21" s="51">
        <f t="shared" si="7"/>
        <v>0</v>
      </c>
      <c r="W21" s="50">
        <f t="shared" si="8"/>
        <v>0</v>
      </c>
      <c r="Y21" s="49" t="e">
        <f t="shared" si="9"/>
        <v>#N/A</v>
      </c>
    </row>
    <row r="22" spans="1:25" ht="15.75" thickBot="1" x14ac:dyDescent="0.3">
      <c r="A22">
        <f>'0.Consolidado general'!$A22</f>
        <v>0</v>
      </c>
      <c r="B22" s="48" t="e">
        <f>VLOOKUP($A22,'0.Productos'!$A$3:$GG$65,'0.Productos'!FW$1+1,0)</f>
        <v>#N/A</v>
      </c>
      <c r="C22" s="50" t="e">
        <f t="shared" si="0"/>
        <v>#N/A</v>
      </c>
      <c r="D22" s="56" t="str">
        <f>[4]Productos!$FX24</f>
        <v>Virtual</v>
      </c>
      <c r="E22" s="55">
        <f t="shared" si="1"/>
        <v>5</v>
      </c>
      <c r="F22" s="48" t="str">
        <f>IF(A22&lt;&gt;0,VLOOKUP($A22,'0.Productos'!$A$3:$GG$65,'0.Productos'!FY$1+1,0),"")</f>
        <v/>
      </c>
      <c r="G22" s="50" t="e">
        <f t="shared" si="2"/>
        <v>#VALUE!</v>
      </c>
      <c r="H22" s="54">
        <v>1928</v>
      </c>
      <c r="I22" s="53">
        <v>5476</v>
      </c>
      <c r="J22" s="52">
        <f t="shared" si="3"/>
        <v>0.35208181154127099</v>
      </c>
      <c r="K22" s="50">
        <f t="shared" si="4"/>
        <v>1.623144857578577</v>
      </c>
      <c r="L22" s="48" t="e">
        <f>VLOOKUP($A22,'0.Productos'!$A$3:$GG$65,'0.Productos'!FZ$1+1,0)</f>
        <v>#N/A</v>
      </c>
      <c r="M22" s="51" t="str">
        <f t="shared" si="5"/>
        <v/>
      </c>
      <c r="N22" s="50" t="e">
        <f t="shared" si="6"/>
        <v>#VALUE!</v>
      </c>
      <c r="O22" s="48" t="e">
        <f>VLOOKUP($A22,'0.Productos'!$A$3:$GG$65,'0.Productos'!GA$1+1,0)</f>
        <v>#N/A</v>
      </c>
      <c r="P22" s="48" t="e">
        <f>VLOOKUP($A22,'0.Productos'!$A$3:$GG$65,'0.Productos'!GB$1+1,0)</f>
        <v>#N/A</v>
      </c>
      <c r="Q22" s="48" t="e">
        <f>VLOOKUP($A22,'0.Productos'!$A$3:$GG$65,'0.Productos'!GC$1+1,0)</f>
        <v>#N/A</v>
      </c>
      <c r="R22" s="48" t="e">
        <f>VLOOKUP($A22,'0.Productos'!$A$3:$GG$65,'0.Productos'!GD$1+1,0)</f>
        <v>#N/A</v>
      </c>
      <c r="S22" s="48" t="e">
        <f>VLOOKUP($A22,'0.Productos'!$A$3:$GG$65,'0.Productos'!GE$1+1,0)</f>
        <v>#N/A</v>
      </c>
      <c r="T22" s="48" t="e">
        <f>VLOOKUP($A22,'0.Productos'!$A$3:$GG$65,'0.Productos'!GF$1+1,0)</f>
        <v>#N/A</v>
      </c>
      <c r="U22" s="48" t="e">
        <f>VLOOKUP($A22,'0.Productos'!$A$3:$GG$65,'0.Productos'!GG$1+1,0)</f>
        <v>#N/A</v>
      </c>
      <c r="V22" s="51">
        <f t="shared" si="7"/>
        <v>0</v>
      </c>
      <c r="W22" s="50">
        <f t="shared" si="8"/>
        <v>0</v>
      </c>
      <c r="Y22" s="49" t="e">
        <f t="shared" si="9"/>
        <v>#N/A</v>
      </c>
    </row>
    <row r="23" spans="1:25" ht="15.75" thickBot="1" x14ac:dyDescent="0.3">
      <c r="A23">
        <f>'0.Consolidado general'!$A23</f>
        <v>0</v>
      </c>
      <c r="B23" s="48" t="e">
        <f>VLOOKUP($A23,'0.Productos'!$A$3:$GG$65,'0.Productos'!FW$1+1,0)</f>
        <v>#N/A</v>
      </c>
      <c r="C23" s="50" t="e">
        <f t="shared" si="0"/>
        <v>#N/A</v>
      </c>
      <c r="D23" s="56" t="str">
        <f>[4]Productos!$FX25</f>
        <v>Fisica</v>
      </c>
      <c r="E23" s="55">
        <f t="shared" si="1"/>
        <v>4</v>
      </c>
      <c r="F23" s="48" t="str">
        <f>IF(A23&lt;&gt;0,VLOOKUP($A23,'0.Productos'!$A$3:$GG$65,'0.Productos'!FY$1+1,0),"")</f>
        <v/>
      </c>
      <c r="G23" s="50" t="e">
        <f t="shared" si="2"/>
        <v>#VALUE!</v>
      </c>
      <c r="H23" s="58">
        <v>450</v>
      </c>
      <c r="I23" s="57">
        <v>4612</v>
      </c>
      <c r="J23" s="51">
        <f t="shared" si="3"/>
        <v>9.7571552471812664E-2</v>
      </c>
      <c r="K23" s="50">
        <f t="shared" si="4"/>
        <v>0</v>
      </c>
      <c r="L23" s="48" t="e">
        <f>VLOOKUP($A23,'0.Productos'!$A$3:$GG$65,'0.Productos'!FZ$1+1,0)</f>
        <v>#N/A</v>
      </c>
      <c r="M23" s="51" t="str">
        <f t="shared" si="5"/>
        <v/>
      </c>
      <c r="N23" s="50" t="e">
        <f t="shared" si="6"/>
        <v>#VALUE!</v>
      </c>
      <c r="O23" s="48" t="e">
        <f>VLOOKUP($A23,'0.Productos'!$A$3:$GG$65,'0.Productos'!GA$1+1,0)</f>
        <v>#N/A</v>
      </c>
      <c r="P23" s="48" t="e">
        <f>VLOOKUP($A23,'0.Productos'!$A$3:$GG$65,'0.Productos'!GB$1+1,0)</f>
        <v>#N/A</v>
      </c>
      <c r="Q23" s="48" t="e">
        <f>VLOOKUP($A23,'0.Productos'!$A$3:$GG$65,'0.Productos'!GC$1+1,0)</f>
        <v>#N/A</v>
      </c>
      <c r="R23" s="48" t="e">
        <f>VLOOKUP($A23,'0.Productos'!$A$3:$GG$65,'0.Productos'!GD$1+1,0)</f>
        <v>#N/A</v>
      </c>
      <c r="S23" s="48" t="e">
        <f>VLOOKUP($A23,'0.Productos'!$A$3:$GG$65,'0.Productos'!GE$1+1,0)</f>
        <v>#N/A</v>
      </c>
      <c r="T23" s="48" t="e">
        <f>VLOOKUP($A23,'0.Productos'!$A$3:$GG$65,'0.Productos'!GF$1+1,0)</f>
        <v>#N/A</v>
      </c>
      <c r="U23" s="48" t="e">
        <f>VLOOKUP($A23,'0.Productos'!$A$3:$GG$65,'0.Productos'!GG$1+1,0)</f>
        <v>#N/A</v>
      </c>
      <c r="V23" s="51">
        <f t="shared" si="7"/>
        <v>0</v>
      </c>
      <c r="W23" s="50">
        <f t="shared" si="8"/>
        <v>0</v>
      </c>
      <c r="Y23" s="49" t="e">
        <f t="shared" si="9"/>
        <v>#N/A</v>
      </c>
    </row>
    <row r="24" spans="1:25" ht="15.75" thickBot="1" x14ac:dyDescent="0.3">
      <c r="A24">
        <f>'0.Consolidado general'!$A24</f>
        <v>0</v>
      </c>
      <c r="B24" s="48" t="e">
        <f>VLOOKUP($A24,'0.Productos'!$A$3:$GG$65,'0.Productos'!FW$1+1,0)</f>
        <v>#N/A</v>
      </c>
      <c r="C24" s="50" t="e">
        <f t="shared" si="0"/>
        <v>#N/A</v>
      </c>
      <c r="D24" s="56" t="str">
        <f>[4]Productos!$FX26</f>
        <v>No</v>
      </c>
      <c r="E24" s="55">
        <f t="shared" si="1"/>
        <v>0</v>
      </c>
      <c r="F24" s="48" t="str">
        <f>IF(A24&lt;&gt;0,VLOOKUP($A24,'0.Productos'!$A$3:$GG$65,'0.Productos'!FY$1+1,0),"")</f>
        <v/>
      </c>
      <c r="G24" s="50" t="e">
        <f t="shared" si="2"/>
        <v>#VALUE!</v>
      </c>
      <c r="H24" s="58">
        <v>1279</v>
      </c>
      <c r="I24" s="57">
        <v>2556</v>
      </c>
      <c r="J24" s="51">
        <f t="shared" si="3"/>
        <v>0.50039123630672921</v>
      </c>
      <c r="K24" s="50">
        <f t="shared" si="4"/>
        <v>2.568991524108406</v>
      </c>
      <c r="L24" s="48" t="e">
        <f>VLOOKUP($A24,'0.Productos'!$A$3:$GG$65,'0.Productos'!FZ$1+1,0)</f>
        <v>#N/A</v>
      </c>
      <c r="M24" s="51" t="str">
        <f t="shared" si="5"/>
        <v/>
      </c>
      <c r="N24" s="50" t="e">
        <f t="shared" si="6"/>
        <v>#VALUE!</v>
      </c>
      <c r="O24" s="48" t="e">
        <f>VLOOKUP($A24,'0.Productos'!$A$3:$GG$65,'0.Productos'!GA$1+1,0)</f>
        <v>#N/A</v>
      </c>
      <c r="P24" s="48" t="e">
        <f>VLOOKUP($A24,'0.Productos'!$A$3:$GG$65,'0.Productos'!GB$1+1,0)</f>
        <v>#N/A</v>
      </c>
      <c r="Q24" s="48" t="e">
        <f>VLOOKUP($A24,'0.Productos'!$A$3:$GG$65,'0.Productos'!GC$1+1,0)</f>
        <v>#N/A</v>
      </c>
      <c r="R24" s="48" t="e">
        <f>VLOOKUP($A24,'0.Productos'!$A$3:$GG$65,'0.Productos'!GD$1+1,0)</f>
        <v>#N/A</v>
      </c>
      <c r="S24" s="48" t="e">
        <f>VLOOKUP($A24,'0.Productos'!$A$3:$GG$65,'0.Productos'!GE$1+1,0)</f>
        <v>#N/A</v>
      </c>
      <c r="T24" s="48" t="e">
        <f>VLOOKUP($A24,'0.Productos'!$A$3:$GG$65,'0.Productos'!GF$1+1,0)</f>
        <v>#N/A</v>
      </c>
      <c r="U24" s="48" t="e">
        <f>VLOOKUP($A24,'0.Productos'!$A$3:$GG$65,'0.Productos'!GG$1+1,0)</f>
        <v>#N/A</v>
      </c>
      <c r="V24" s="51">
        <f t="shared" si="7"/>
        <v>0</v>
      </c>
      <c r="W24" s="50">
        <f t="shared" si="8"/>
        <v>0</v>
      </c>
      <c r="Y24" s="49" t="e">
        <f t="shared" si="9"/>
        <v>#N/A</v>
      </c>
    </row>
    <row r="25" spans="1:25" ht="15.75" thickBot="1" x14ac:dyDescent="0.3">
      <c r="A25">
        <f>'0.Consolidado general'!$A25</f>
        <v>0</v>
      </c>
      <c r="B25" s="48" t="e">
        <f>VLOOKUP($A25,'0.Productos'!$A$3:$GG$65,'0.Productos'!FW$1+1,0)</f>
        <v>#N/A</v>
      </c>
      <c r="C25" s="50" t="e">
        <f t="shared" si="0"/>
        <v>#N/A</v>
      </c>
      <c r="D25" s="56" t="str">
        <f>[4]Productos!$FX27</f>
        <v>Fisica</v>
      </c>
      <c r="E25" s="55">
        <f t="shared" si="1"/>
        <v>4</v>
      </c>
      <c r="F25" s="48" t="str">
        <f>IF(A25&lt;&gt;0,VLOOKUP($A25,'0.Productos'!$A$3:$GG$65,'0.Productos'!FY$1+1,0),"")</f>
        <v/>
      </c>
      <c r="G25" s="50" t="e">
        <f t="shared" si="2"/>
        <v>#VALUE!</v>
      </c>
      <c r="H25" s="58">
        <v>3000</v>
      </c>
      <c r="I25" s="57">
        <v>3403</v>
      </c>
      <c r="J25" s="51">
        <f t="shared" si="3"/>
        <v>0.88157508081104907</v>
      </c>
      <c r="K25" s="50">
        <f t="shared" si="4"/>
        <v>5</v>
      </c>
      <c r="L25" s="48" t="e">
        <f>VLOOKUP($A25,'0.Productos'!$A$3:$GG$65,'0.Productos'!FZ$1+1,0)</f>
        <v>#N/A</v>
      </c>
      <c r="M25" s="51" t="str">
        <f t="shared" si="5"/>
        <v/>
      </c>
      <c r="N25" s="50" t="e">
        <f t="shared" si="6"/>
        <v>#VALUE!</v>
      </c>
      <c r="O25" s="48" t="e">
        <f>VLOOKUP($A25,'0.Productos'!$A$3:$GG$65,'0.Productos'!GA$1+1,0)</f>
        <v>#N/A</v>
      </c>
      <c r="P25" s="48" t="e">
        <f>VLOOKUP($A25,'0.Productos'!$A$3:$GG$65,'0.Productos'!GB$1+1,0)</f>
        <v>#N/A</v>
      </c>
      <c r="Q25" s="48" t="e">
        <f>VLOOKUP($A25,'0.Productos'!$A$3:$GG$65,'0.Productos'!GC$1+1,0)</f>
        <v>#N/A</v>
      </c>
      <c r="R25" s="48" t="e">
        <f>VLOOKUP($A25,'0.Productos'!$A$3:$GG$65,'0.Productos'!GD$1+1,0)</f>
        <v>#N/A</v>
      </c>
      <c r="S25" s="48" t="e">
        <f>VLOOKUP($A25,'0.Productos'!$A$3:$GG$65,'0.Productos'!GE$1+1,0)</f>
        <v>#N/A</v>
      </c>
      <c r="T25" s="48" t="e">
        <f>VLOOKUP($A25,'0.Productos'!$A$3:$GG$65,'0.Productos'!GF$1+1,0)</f>
        <v>#N/A</v>
      </c>
      <c r="U25" s="48" t="e">
        <f>VLOOKUP($A25,'0.Productos'!$A$3:$GG$65,'0.Productos'!GG$1+1,0)</f>
        <v>#N/A</v>
      </c>
      <c r="V25" s="51">
        <f t="shared" si="7"/>
        <v>0</v>
      </c>
      <c r="W25" s="50">
        <f t="shared" si="8"/>
        <v>0</v>
      </c>
      <c r="Y25" s="49" t="e">
        <f t="shared" si="9"/>
        <v>#N/A</v>
      </c>
    </row>
    <row r="26" spans="1:25" ht="15.75" thickBot="1" x14ac:dyDescent="0.3">
      <c r="A26">
        <f>'0.Consolidado general'!$A26</f>
        <v>0</v>
      </c>
      <c r="B26" s="48" t="e">
        <f>VLOOKUP($A26,'0.Productos'!$A$3:$GG$65,'0.Productos'!FW$1+1,0)</f>
        <v>#N/A</v>
      </c>
      <c r="C26" s="50" t="e">
        <f t="shared" si="0"/>
        <v>#N/A</v>
      </c>
      <c r="D26" s="56" t="str">
        <f>[4]Productos!$FX28</f>
        <v>No</v>
      </c>
      <c r="E26" s="55">
        <f t="shared" si="1"/>
        <v>0</v>
      </c>
      <c r="F26" s="48" t="str">
        <f>IF(A26&lt;&gt;0,VLOOKUP($A26,'0.Productos'!$A$3:$GG$65,'0.Productos'!FY$1+1,0),"")</f>
        <v/>
      </c>
      <c r="G26" s="50" t="e">
        <f t="shared" si="2"/>
        <v>#VALUE!</v>
      </c>
      <c r="H26" s="58">
        <v>4081</v>
      </c>
      <c r="I26" s="57">
        <v>8732</v>
      </c>
      <c r="J26" s="51">
        <f t="shared" si="3"/>
        <v>0.46736142922583601</v>
      </c>
      <c r="K26" s="50">
        <f t="shared" si="4"/>
        <v>2.3583431922644116</v>
      </c>
      <c r="L26" s="48" t="e">
        <f>VLOOKUP($A26,'0.Productos'!$A$3:$GG$65,'0.Productos'!FZ$1+1,0)</f>
        <v>#N/A</v>
      </c>
      <c r="M26" s="51" t="str">
        <f t="shared" si="5"/>
        <v/>
      </c>
      <c r="N26" s="50" t="e">
        <f t="shared" si="6"/>
        <v>#VALUE!</v>
      </c>
      <c r="O26" s="48" t="e">
        <f>VLOOKUP($A26,'0.Productos'!$A$3:$GG$65,'0.Productos'!GA$1+1,0)</f>
        <v>#N/A</v>
      </c>
      <c r="P26" s="48" t="e">
        <f>VLOOKUP($A26,'0.Productos'!$A$3:$GG$65,'0.Productos'!GB$1+1,0)</f>
        <v>#N/A</v>
      </c>
      <c r="Q26" s="48" t="e">
        <f>VLOOKUP($A26,'0.Productos'!$A$3:$GG$65,'0.Productos'!GC$1+1,0)</f>
        <v>#N/A</v>
      </c>
      <c r="R26" s="48" t="e">
        <f>VLOOKUP($A26,'0.Productos'!$A$3:$GG$65,'0.Productos'!GD$1+1,0)</f>
        <v>#N/A</v>
      </c>
      <c r="S26" s="48" t="e">
        <f>VLOOKUP($A26,'0.Productos'!$A$3:$GG$65,'0.Productos'!GE$1+1,0)</f>
        <v>#N/A</v>
      </c>
      <c r="T26" s="48" t="e">
        <f>VLOOKUP($A26,'0.Productos'!$A$3:$GG$65,'0.Productos'!GF$1+1,0)</f>
        <v>#N/A</v>
      </c>
      <c r="U26" s="48" t="e">
        <f>VLOOKUP($A26,'0.Productos'!$A$3:$GG$65,'0.Productos'!GG$1+1,0)</f>
        <v>#N/A</v>
      </c>
      <c r="V26" s="51">
        <f t="shared" si="7"/>
        <v>0</v>
      </c>
      <c r="W26" s="50">
        <f t="shared" si="8"/>
        <v>0</v>
      </c>
      <c r="Y26" s="49" t="e">
        <f t="shared" si="9"/>
        <v>#N/A</v>
      </c>
    </row>
    <row r="27" spans="1:25" ht="15.75" thickBot="1" x14ac:dyDescent="0.3">
      <c r="A27">
        <f>'0.Consolidado general'!$A27</f>
        <v>0</v>
      </c>
      <c r="B27" s="48" t="e">
        <f>VLOOKUP($A27,'0.Productos'!$A$3:$GG$65,'0.Productos'!FW$1+1,0)</f>
        <v>#N/A</v>
      </c>
      <c r="C27" s="50" t="e">
        <f t="shared" si="0"/>
        <v>#N/A</v>
      </c>
      <c r="D27" s="56" t="str">
        <f>[4]Productos!$FX29</f>
        <v>Virtual</v>
      </c>
      <c r="E27" s="55">
        <f t="shared" si="1"/>
        <v>5</v>
      </c>
      <c r="F27" s="48" t="str">
        <f>IF(A27&lt;&gt;0,VLOOKUP($A27,'0.Productos'!$A$3:$GG$65,'0.Productos'!FY$1+1,0),"")</f>
        <v/>
      </c>
      <c r="G27" s="50" t="e">
        <f t="shared" si="2"/>
        <v>#VALUE!</v>
      </c>
      <c r="H27" s="58">
        <v>204</v>
      </c>
      <c r="I27" s="57">
        <v>954</v>
      </c>
      <c r="J27" s="51">
        <f t="shared" si="3"/>
        <v>0.21383647798742139</v>
      </c>
      <c r="K27" s="50">
        <f t="shared" si="4"/>
        <v>0.74148215736920242</v>
      </c>
      <c r="L27" s="48" t="e">
        <f>VLOOKUP($A27,'0.Productos'!$A$3:$GG$65,'0.Productos'!FZ$1+1,0)</f>
        <v>#N/A</v>
      </c>
      <c r="M27" s="51" t="str">
        <f t="shared" si="5"/>
        <v/>
      </c>
      <c r="N27" s="50" t="e">
        <f t="shared" si="6"/>
        <v>#VALUE!</v>
      </c>
      <c r="O27" s="48" t="e">
        <f>VLOOKUP($A27,'0.Productos'!$A$3:$GG$65,'0.Productos'!GA$1+1,0)</f>
        <v>#N/A</v>
      </c>
      <c r="P27" s="48" t="e">
        <f>VLOOKUP($A27,'0.Productos'!$A$3:$GG$65,'0.Productos'!GB$1+1,0)</f>
        <v>#N/A</v>
      </c>
      <c r="Q27" s="48" t="e">
        <f>VLOOKUP($A27,'0.Productos'!$A$3:$GG$65,'0.Productos'!GC$1+1,0)</f>
        <v>#N/A</v>
      </c>
      <c r="R27" s="48" t="e">
        <f>VLOOKUP($A27,'0.Productos'!$A$3:$GG$65,'0.Productos'!GD$1+1,0)</f>
        <v>#N/A</v>
      </c>
      <c r="S27" s="48" t="e">
        <f>VLOOKUP($A27,'0.Productos'!$A$3:$GG$65,'0.Productos'!GE$1+1,0)</f>
        <v>#N/A</v>
      </c>
      <c r="T27" s="48" t="e">
        <f>VLOOKUP($A27,'0.Productos'!$A$3:$GG$65,'0.Productos'!GF$1+1,0)</f>
        <v>#N/A</v>
      </c>
      <c r="U27" s="48" t="e">
        <f>VLOOKUP($A27,'0.Productos'!$A$3:$GG$65,'0.Productos'!GG$1+1,0)</f>
        <v>#N/A</v>
      </c>
      <c r="V27" s="51">
        <f t="shared" si="7"/>
        <v>0</v>
      </c>
      <c r="W27" s="50">
        <f t="shared" si="8"/>
        <v>0</v>
      </c>
      <c r="Y27" s="49" t="e">
        <f t="shared" si="9"/>
        <v>#N/A</v>
      </c>
    </row>
    <row r="28" spans="1:25" ht="15.75" thickBot="1" x14ac:dyDescent="0.3">
      <c r="A28">
        <f>'0.Consolidado general'!$A28</f>
        <v>0</v>
      </c>
      <c r="B28" s="48" t="e">
        <f>VLOOKUP($A28,'0.Productos'!$A$3:$GG$65,'0.Productos'!FW$1+1,0)</f>
        <v>#N/A</v>
      </c>
      <c r="C28" s="50" t="e">
        <f t="shared" si="0"/>
        <v>#N/A</v>
      </c>
      <c r="D28" s="56" t="str">
        <f>[4]Productos!$FX30</f>
        <v>No</v>
      </c>
      <c r="E28" s="55">
        <f t="shared" si="1"/>
        <v>0</v>
      </c>
      <c r="F28" s="48" t="str">
        <f>IF(A28&lt;&gt;0,VLOOKUP($A28,'0.Productos'!$A$3:$GG$65,'0.Productos'!FY$1+1,0),"")</f>
        <v/>
      </c>
      <c r="G28" s="50" t="e">
        <f t="shared" si="2"/>
        <v>#VALUE!</v>
      </c>
      <c r="H28" s="58">
        <v>500</v>
      </c>
      <c r="I28" s="57">
        <v>576</v>
      </c>
      <c r="J28" s="51">
        <f t="shared" si="3"/>
        <v>0.86805555555555558</v>
      </c>
      <c r="K28" s="50">
        <f t="shared" si="4"/>
        <v>4.913778925943534</v>
      </c>
      <c r="L28" s="48" t="e">
        <f>VLOOKUP($A28,'0.Productos'!$A$3:$GG$65,'0.Productos'!FZ$1+1,0)</f>
        <v>#N/A</v>
      </c>
      <c r="M28" s="51" t="str">
        <f t="shared" si="5"/>
        <v/>
      </c>
      <c r="N28" s="50" t="e">
        <f t="shared" si="6"/>
        <v>#VALUE!</v>
      </c>
      <c r="O28" s="48" t="e">
        <f>VLOOKUP($A28,'0.Productos'!$A$3:$GG$65,'0.Productos'!GA$1+1,0)</f>
        <v>#N/A</v>
      </c>
      <c r="P28" s="48" t="e">
        <f>VLOOKUP($A28,'0.Productos'!$A$3:$GG$65,'0.Productos'!GB$1+1,0)</f>
        <v>#N/A</v>
      </c>
      <c r="Q28" s="48" t="e">
        <f>VLOOKUP($A28,'0.Productos'!$A$3:$GG$65,'0.Productos'!GC$1+1,0)</f>
        <v>#N/A</v>
      </c>
      <c r="R28" s="48" t="e">
        <f>VLOOKUP($A28,'0.Productos'!$A$3:$GG$65,'0.Productos'!GD$1+1,0)</f>
        <v>#N/A</v>
      </c>
      <c r="S28" s="48" t="e">
        <f>VLOOKUP($A28,'0.Productos'!$A$3:$GG$65,'0.Productos'!GE$1+1,0)</f>
        <v>#N/A</v>
      </c>
      <c r="T28" s="48" t="e">
        <f>VLOOKUP($A28,'0.Productos'!$A$3:$GG$65,'0.Productos'!GF$1+1,0)</f>
        <v>#N/A</v>
      </c>
      <c r="U28" s="48" t="e">
        <f>VLOOKUP($A28,'0.Productos'!$A$3:$GG$65,'0.Productos'!GG$1+1,0)</f>
        <v>#N/A</v>
      </c>
      <c r="V28" s="51">
        <f t="shared" si="7"/>
        <v>0</v>
      </c>
      <c r="W28" s="50">
        <f t="shared" si="8"/>
        <v>0</v>
      </c>
      <c r="Y28" s="49" t="e">
        <f t="shared" si="9"/>
        <v>#N/A</v>
      </c>
    </row>
    <row r="29" spans="1:25" ht="15.75" thickBot="1" x14ac:dyDescent="0.3">
      <c r="A29">
        <f>'0.Consolidado general'!$A29</f>
        <v>0</v>
      </c>
      <c r="B29" s="48" t="e">
        <f>VLOOKUP($A29,'0.Productos'!$A$3:$GG$65,'0.Productos'!FW$1+1,0)</f>
        <v>#N/A</v>
      </c>
      <c r="C29" s="50" t="e">
        <f t="shared" si="0"/>
        <v>#N/A</v>
      </c>
      <c r="D29" s="56" t="str">
        <f>[4]Productos!$FX31</f>
        <v>No</v>
      </c>
      <c r="E29" s="55">
        <f t="shared" si="1"/>
        <v>0</v>
      </c>
      <c r="F29" s="48" t="str">
        <f>IF(A29&lt;&gt;0,VLOOKUP($A29,'0.Productos'!$A$3:$GG$65,'0.Productos'!FY$1+1,0),"")</f>
        <v/>
      </c>
      <c r="G29" s="50" t="e">
        <f t="shared" si="2"/>
        <v>#VALUE!</v>
      </c>
      <c r="H29" s="58">
        <v>1256</v>
      </c>
      <c r="I29" s="57">
        <v>3371</v>
      </c>
      <c r="J29" s="51">
        <f t="shared" si="3"/>
        <v>0.37258973598338774</v>
      </c>
      <c r="K29" s="50">
        <f t="shared" si="4"/>
        <v>1.7539346034204033</v>
      </c>
      <c r="L29" s="48" t="e">
        <f>VLOOKUP($A29,'0.Productos'!$A$3:$GG$65,'0.Productos'!FZ$1+1,0)</f>
        <v>#N/A</v>
      </c>
      <c r="M29" s="51" t="str">
        <f t="shared" si="5"/>
        <v/>
      </c>
      <c r="N29" s="50" t="e">
        <f t="shared" si="6"/>
        <v>#VALUE!</v>
      </c>
      <c r="O29" s="48" t="e">
        <f>VLOOKUP($A29,'0.Productos'!$A$3:$GG$65,'0.Productos'!GA$1+1,0)</f>
        <v>#N/A</v>
      </c>
      <c r="P29" s="48" t="e">
        <f>VLOOKUP($A29,'0.Productos'!$A$3:$GG$65,'0.Productos'!GB$1+1,0)</f>
        <v>#N/A</v>
      </c>
      <c r="Q29" s="48" t="e">
        <f>VLOOKUP($A29,'0.Productos'!$A$3:$GG$65,'0.Productos'!GC$1+1,0)</f>
        <v>#N/A</v>
      </c>
      <c r="R29" s="48" t="e">
        <f>VLOOKUP($A29,'0.Productos'!$A$3:$GG$65,'0.Productos'!GD$1+1,0)</f>
        <v>#N/A</v>
      </c>
      <c r="S29" s="48" t="e">
        <f>VLOOKUP($A29,'0.Productos'!$A$3:$GG$65,'0.Productos'!GE$1+1,0)</f>
        <v>#N/A</v>
      </c>
      <c r="T29" s="48" t="e">
        <f>VLOOKUP($A29,'0.Productos'!$A$3:$GG$65,'0.Productos'!GF$1+1,0)</f>
        <v>#N/A</v>
      </c>
      <c r="U29" s="48" t="e">
        <f>VLOOKUP($A29,'0.Productos'!$A$3:$GG$65,'0.Productos'!GG$1+1,0)</f>
        <v>#N/A</v>
      </c>
      <c r="V29" s="51">
        <f t="shared" si="7"/>
        <v>0</v>
      </c>
      <c r="W29" s="50">
        <f t="shared" si="8"/>
        <v>0</v>
      </c>
      <c r="Y29" s="49" t="e">
        <f t="shared" si="9"/>
        <v>#N/A</v>
      </c>
    </row>
    <row r="30" spans="1:25" ht="15.75" thickBot="1" x14ac:dyDescent="0.3">
      <c r="A30">
        <f>'0.Consolidado general'!$A30</f>
        <v>0</v>
      </c>
      <c r="B30" s="48" t="e">
        <f>VLOOKUP($A30,'0.Productos'!$A$3:$GG$65,'0.Productos'!FW$1+1,0)</f>
        <v>#N/A</v>
      </c>
      <c r="C30" s="50" t="e">
        <f t="shared" si="0"/>
        <v>#N/A</v>
      </c>
      <c r="D30" s="56" t="str">
        <f>[4]Productos!$FX32</f>
        <v>Virtual</v>
      </c>
      <c r="E30" s="55">
        <f t="shared" si="1"/>
        <v>5</v>
      </c>
      <c r="F30" s="48" t="str">
        <f>IF(A30&lt;&gt;0,VLOOKUP($A30,'0.Productos'!$A$3:$GG$65,'0.Productos'!FY$1+1,0),"")</f>
        <v/>
      </c>
      <c r="G30" s="50" t="e">
        <f t="shared" si="2"/>
        <v>#VALUE!</v>
      </c>
      <c r="H30" s="58">
        <v>4514</v>
      </c>
      <c r="I30" s="57">
        <v>9914</v>
      </c>
      <c r="J30" s="51">
        <f t="shared" si="3"/>
        <v>0.45531571515029251</v>
      </c>
      <c r="K30" s="50">
        <f t="shared" si="4"/>
        <v>2.2815213819017717</v>
      </c>
      <c r="L30" s="48" t="e">
        <f>VLOOKUP($A30,'0.Productos'!$A$3:$GG$65,'0.Productos'!FZ$1+1,0)</f>
        <v>#N/A</v>
      </c>
      <c r="M30" s="51" t="str">
        <f t="shared" si="5"/>
        <v/>
      </c>
      <c r="N30" s="50" t="e">
        <f t="shared" si="6"/>
        <v>#VALUE!</v>
      </c>
      <c r="O30" s="48" t="e">
        <f>VLOOKUP($A30,'0.Productos'!$A$3:$GG$65,'0.Productos'!GA$1+1,0)</f>
        <v>#N/A</v>
      </c>
      <c r="P30" s="48" t="e">
        <f>VLOOKUP($A30,'0.Productos'!$A$3:$GG$65,'0.Productos'!GB$1+1,0)</f>
        <v>#N/A</v>
      </c>
      <c r="Q30" s="48" t="e">
        <f>VLOOKUP($A30,'0.Productos'!$A$3:$GG$65,'0.Productos'!GC$1+1,0)</f>
        <v>#N/A</v>
      </c>
      <c r="R30" s="48" t="e">
        <f>VLOOKUP($A30,'0.Productos'!$A$3:$GG$65,'0.Productos'!GD$1+1,0)</f>
        <v>#N/A</v>
      </c>
      <c r="S30" s="48" t="e">
        <f>VLOOKUP($A30,'0.Productos'!$A$3:$GG$65,'0.Productos'!GE$1+1,0)</f>
        <v>#N/A</v>
      </c>
      <c r="T30" s="48" t="e">
        <f>VLOOKUP($A30,'0.Productos'!$A$3:$GG$65,'0.Productos'!GF$1+1,0)</f>
        <v>#N/A</v>
      </c>
      <c r="U30" s="48" t="e">
        <f>VLOOKUP($A30,'0.Productos'!$A$3:$GG$65,'0.Productos'!GG$1+1,0)</f>
        <v>#N/A</v>
      </c>
      <c r="V30" s="51">
        <f t="shared" si="7"/>
        <v>0</v>
      </c>
      <c r="W30" s="50">
        <f t="shared" si="8"/>
        <v>0</v>
      </c>
      <c r="Y30" s="49" t="e">
        <f t="shared" si="9"/>
        <v>#N/A</v>
      </c>
    </row>
    <row r="31" spans="1:25" ht="15.75" thickBot="1" x14ac:dyDescent="0.3">
      <c r="A31">
        <f>'0.Consolidado general'!$A31</f>
        <v>0</v>
      </c>
      <c r="B31" s="48" t="e">
        <f>VLOOKUP($A31,'0.Productos'!$A$3:$GG$65,'0.Productos'!FW$1+1,0)</f>
        <v>#N/A</v>
      </c>
      <c r="C31" s="50" t="e">
        <f t="shared" si="0"/>
        <v>#N/A</v>
      </c>
      <c r="D31" s="56" t="str">
        <f>[4]Productos!$FX33</f>
        <v>No</v>
      </c>
      <c r="E31" s="55">
        <f t="shared" si="1"/>
        <v>0</v>
      </c>
      <c r="F31" s="48" t="str">
        <f>IF(A31&lt;&gt;0,VLOOKUP($A31,'0.Productos'!$A$3:$GG$65,'0.Productos'!FY$1+1,0),"")</f>
        <v/>
      </c>
      <c r="G31" s="50" t="e">
        <f t="shared" si="2"/>
        <v>#VALUE!</v>
      </c>
      <c r="H31" s="58">
        <v>3927</v>
      </c>
      <c r="I31" s="57">
        <v>9292</v>
      </c>
      <c r="J31" s="51">
        <f t="shared" si="3"/>
        <v>0.42262160998708564</v>
      </c>
      <c r="K31" s="50">
        <f t="shared" si="4"/>
        <v>2.073013996530285</v>
      </c>
      <c r="L31" s="48" t="e">
        <f>VLOOKUP($A31,'0.Productos'!$A$3:$GG$65,'0.Productos'!FZ$1+1,0)</f>
        <v>#N/A</v>
      </c>
      <c r="M31" s="51" t="str">
        <f t="shared" si="5"/>
        <v/>
      </c>
      <c r="N31" s="50" t="e">
        <f t="shared" si="6"/>
        <v>#VALUE!</v>
      </c>
      <c r="O31" s="48" t="e">
        <f>VLOOKUP($A31,'0.Productos'!$A$3:$GG$65,'0.Productos'!GA$1+1,0)</f>
        <v>#N/A</v>
      </c>
      <c r="P31" s="48" t="e">
        <f>VLOOKUP($A31,'0.Productos'!$A$3:$GG$65,'0.Productos'!GB$1+1,0)</f>
        <v>#N/A</v>
      </c>
      <c r="Q31" s="48" t="e">
        <f>VLOOKUP($A31,'0.Productos'!$A$3:$GG$65,'0.Productos'!GC$1+1,0)</f>
        <v>#N/A</v>
      </c>
      <c r="R31" s="48" t="e">
        <f>VLOOKUP($A31,'0.Productos'!$A$3:$GG$65,'0.Productos'!GD$1+1,0)</f>
        <v>#N/A</v>
      </c>
      <c r="S31" s="48" t="e">
        <f>VLOOKUP($A31,'0.Productos'!$A$3:$GG$65,'0.Productos'!GE$1+1,0)</f>
        <v>#N/A</v>
      </c>
      <c r="T31" s="48" t="e">
        <f>VLOOKUP($A31,'0.Productos'!$A$3:$GG$65,'0.Productos'!GF$1+1,0)</f>
        <v>#N/A</v>
      </c>
      <c r="U31" s="48" t="e">
        <f>VLOOKUP($A31,'0.Productos'!$A$3:$GG$65,'0.Productos'!GG$1+1,0)</f>
        <v>#N/A</v>
      </c>
      <c r="V31" s="51">
        <f t="shared" si="7"/>
        <v>0</v>
      </c>
      <c r="W31" s="50">
        <f t="shared" si="8"/>
        <v>0</v>
      </c>
      <c r="Y31" s="49" t="e">
        <f t="shared" si="9"/>
        <v>#N/A</v>
      </c>
    </row>
    <row r="32" spans="1:25" ht="15.75" thickBot="1" x14ac:dyDescent="0.3">
      <c r="A32">
        <f>'0.Consolidado general'!$A32</f>
        <v>0</v>
      </c>
      <c r="B32" s="48" t="e">
        <f>VLOOKUP($A32,'0.Productos'!$A$3:$GG$65,'0.Productos'!FW$1+1,0)</f>
        <v>#N/A</v>
      </c>
      <c r="C32" s="50" t="e">
        <f t="shared" si="0"/>
        <v>#N/A</v>
      </c>
      <c r="D32" s="56" t="str">
        <f>[4]Productos!$FX34</f>
        <v>Virtual</v>
      </c>
      <c r="E32" s="55">
        <f t="shared" si="1"/>
        <v>5</v>
      </c>
      <c r="F32" s="48" t="str">
        <f>IF(A32&lt;&gt;0,VLOOKUP($A32,'0.Productos'!$A$3:$GG$65,'0.Productos'!FY$1+1,0),"")</f>
        <v/>
      </c>
      <c r="G32" s="50" t="e">
        <f t="shared" si="2"/>
        <v>#VALUE!</v>
      </c>
      <c r="H32" s="54">
        <v>1928</v>
      </c>
      <c r="I32" s="53">
        <v>5476</v>
      </c>
      <c r="J32" s="52">
        <f t="shared" si="3"/>
        <v>0.35208181154127099</v>
      </c>
      <c r="K32" s="50">
        <f t="shared" si="4"/>
        <v>1.623144857578577</v>
      </c>
      <c r="L32" s="48" t="e">
        <f>VLOOKUP($A32,'0.Productos'!$A$3:$GG$65,'0.Productos'!FZ$1+1,0)</f>
        <v>#N/A</v>
      </c>
      <c r="M32" s="51" t="str">
        <f t="shared" si="5"/>
        <v/>
      </c>
      <c r="N32" s="50" t="e">
        <f t="shared" si="6"/>
        <v>#VALUE!</v>
      </c>
      <c r="O32" s="48" t="e">
        <f>VLOOKUP($A32,'0.Productos'!$A$3:$GG$65,'0.Productos'!GA$1+1,0)</f>
        <v>#N/A</v>
      </c>
      <c r="P32" s="48" t="e">
        <f>VLOOKUP($A32,'0.Productos'!$A$3:$GG$65,'0.Productos'!GB$1+1,0)</f>
        <v>#N/A</v>
      </c>
      <c r="Q32" s="48" t="e">
        <f>VLOOKUP($A32,'0.Productos'!$A$3:$GG$65,'0.Productos'!GC$1+1,0)</f>
        <v>#N/A</v>
      </c>
      <c r="R32" s="48" t="e">
        <f>VLOOKUP($A32,'0.Productos'!$A$3:$GG$65,'0.Productos'!GD$1+1,0)</f>
        <v>#N/A</v>
      </c>
      <c r="S32" s="48" t="e">
        <f>VLOOKUP($A32,'0.Productos'!$A$3:$GG$65,'0.Productos'!GE$1+1,0)</f>
        <v>#N/A</v>
      </c>
      <c r="T32" s="48" t="e">
        <f>VLOOKUP($A32,'0.Productos'!$A$3:$GG$65,'0.Productos'!GF$1+1,0)</f>
        <v>#N/A</v>
      </c>
      <c r="U32" s="48" t="e">
        <f>VLOOKUP($A32,'0.Productos'!$A$3:$GG$65,'0.Productos'!GG$1+1,0)</f>
        <v>#N/A</v>
      </c>
      <c r="V32" s="51">
        <f t="shared" si="7"/>
        <v>0</v>
      </c>
      <c r="W32" s="50">
        <f t="shared" si="8"/>
        <v>0</v>
      </c>
      <c r="Y32" s="49" t="e">
        <f t="shared" si="9"/>
        <v>#N/A</v>
      </c>
    </row>
    <row r="33" spans="1:25" ht="15.75" thickBot="1" x14ac:dyDescent="0.3">
      <c r="A33">
        <f>'0.Consolidado general'!$A33</f>
        <v>0</v>
      </c>
      <c r="B33" s="48" t="e">
        <f>VLOOKUP($A33,'0.Productos'!$A$3:$GG$65,'0.Productos'!FW$1+1,0)</f>
        <v>#N/A</v>
      </c>
      <c r="C33" s="50" t="e">
        <f t="shared" si="0"/>
        <v>#N/A</v>
      </c>
      <c r="D33" s="56" t="str">
        <f>[4]Productos!$FX35</f>
        <v>Fisica</v>
      </c>
      <c r="E33" s="55">
        <f t="shared" si="1"/>
        <v>4</v>
      </c>
      <c r="F33" s="48" t="str">
        <f>IF(A33&lt;&gt;0,VLOOKUP($A33,'0.Productos'!$A$3:$GG$65,'0.Productos'!FY$1+1,0),"")</f>
        <v/>
      </c>
      <c r="G33" s="50" t="e">
        <f t="shared" si="2"/>
        <v>#VALUE!</v>
      </c>
      <c r="H33" s="58">
        <v>450</v>
      </c>
      <c r="I33" s="57">
        <v>4612</v>
      </c>
      <c r="J33" s="51">
        <f t="shared" si="3"/>
        <v>9.7571552471812664E-2</v>
      </c>
      <c r="K33" s="50">
        <f t="shared" si="4"/>
        <v>0</v>
      </c>
      <c r="L33" s="48" t="e">
        <f>VLOOKUP($A33,'0.Productos'!$A$3:$GG$65,'0.Productos'!FZ$1+1,0)</f>
        <v>#N/A</v>
      </c>
      <c r="M33" s="51" t="str">
        <f t="shared" si="5"/>
        <v/>
      </c>
      <c r="N33" s="50" t="e">
        <f t="shared" si="6"/>
        <v>#VALUE!</v>
      </c>
      <c r="O33" s="48" t="e">
        <f>VLOOKUP($A33,'0.Productos'!$A$3:$GG$65,'0.Productos'!GA$1+1,0)</f>
        <v>#N/A</v>
      </c>
      <c r="P33" s="48" t="e">
        <f>VLOOKUP($A33,'0.Productos'!$A$3:$GG$65,'0.Productos'!GB$1+1,0)</f>
        <v>#N/A</v>
      </c>
      <c r="Q33" s="48" t="e">
        <f>VLOOKUP($A33,'0.Productos'!$A$3:$GG$65,'0.Productos'!GC$1+1,0)</f>
        <v>#N/A</v>
      </c>
      <c r="R33" s="48" t="e">
        <f>VLOOKUP($A33,'0.Productos'!$A$3:$GG$65,'0.Productos'!GD$1+1,0)</f>
        <v>#N/A</v>
      </c>
      <c r="S33" s="48" t="e">
        <f>VLOOKUP($A33,'0.Productos'!$A$3:$GG$65,'0.Productos'!GE$1+1,0)</f>
        <v>#N/A</v>
      </c>
      <c r="T33" s="48" t="e">
        <f>VLOOKUP($A33,'0.Productos'!$A$3:$GG$65,'0.Productos'!GF$1+1,0)</f>
        <v>#N/A</v>
      </c>
      <c r="U33" s="48" t="e">
        <f>VLOOKUP($A33,'0.Productos'!$A$3:$GG$65,'0.Productos'!GG$1+1,0)</f>
        <v>#N/A</v>
      </c>
      <c r="V33" s="51">
        <f t="shared" si="7"/>
        <v>0</v>
      </c>
      <c r="W33" s="50">
        <f t="shared" si="8"/>
        <v>0</v>
      </c>
      <c r="Y33" s="49" t="e">
        <f t="shared" si="9"/>
        <v>#N/A</v>
      </c>
    </row>
    <row r="34" spans="1:25" ht="15.75" thickBot="1" x14ac:dyDescent="0.3">
      <c r="A34">
        <f>'0.Consolidado general'!$A34</f>
        <v>0</v>
      </c>
      <c r="B34" s="48" t="e">
        <f>VLOOKUP($A34,'0.Productos'!$A$3:$GG$65,'0.Productos'!FW$1+1,0)</f>
        <v>#N/A</v>
      </c>
      <c r="C34" s="50" t="e">
        <f t="shared" si="0"/>
        <v>#N/A</v>
      </c>
      <c r="D34" s="56" t="str">
        <f>[4]Productos!$FX36</f>
        <v>No</v>
      </c>
      <c r="E34" s="55">
        <f t="shared" si="1"/>
        <v>0</v>
      </c>
      <c r="F34" s="48" t="str">
        <f>IF(A34&lt;&gt;0,VLOOKUP($A34,'0.Productos'!$A$3:$GG$65,'0.Productos'!FY$1+1,0),"")</f>
        <v/>
      </c>
      <c r="G34" s="50" t="e">
        <f t="shared" si="2"/>
        <v>#VALUE!</v>
      </c>
      <c r="H34" s="58">
        <v>1279</v>
      </c>
      <c r="I34" s="57">
        <v>2556</v>
      </c>
      <c r="J34" s="51">
        <f t="shared" si="3"/>
        <v>0.50039123630672921</v>
      </c>
      <c r="K34" s="50">
        <f t="shared" si="4"/>
        <v>2.568991524108406</v>
      </c>
      <c r="L34" s="48" t="e">
        <f>VLOOKUP($A34,'0.Productos'!$A$3:$GG$65,'0.Productos'!FZ$1+1,0)</f>
        <v>#N/A</v>
      </c>
      <c r="M34" s="51" t="str">
        <f t="shared" si="5"/>
        <v/>
      </c>
      <c r="N34" s="50" t="e">
        <f t="shared" si="6"/>
        <v>#VALUE!</v>
      </c>
      <c r="O34" s="48" t="e">
        <f>VLOOKUP($A34,'0.Productos'!$A$3:$GG$65,'0.Productos'!GA$1+1,0)</f>
        <v>#N/A</v>
      </c>
      <c r="P34" s="48" t="e">
        <f>VLOOKUP($A34,'0.Productos'!$A$3:$GG$65,'0.Productos'!GB$1+1,0)</f>
        <v>#N/A</v>
      </c>
      <c r="Q34" s="48" t="e">
        <f>VLOOKUP($A34,'0.Productos'!$A$3:$GG$65,'0.Productos'!GC$1+1,0)</f>
        <v>#N/A</v>
      </c>
      <c r="R34" s="48" t="e">
        <f>VLOOKUP($A34,'0.Productos'!$A$3:$GG$65,'0.Productos'!GD$1+1,0)</f>
        <v>#N/A</v>
      </c>
      <c r="S34" s="48" t="e">
        <f>VLOOKUP($A34,'0.Productos'!$A$3:$GG$65,'0.Productos'!GE$1+1,0)</f>
        <v>#N/A</v>
      </c>
      <c r="T34" s="48" t="e">
        <f>VLOOKUP($A34,'0.Productos'!$A$3:$GG$65,'0.Productos'!GF$1+1,0)</f>
        <v>#N/A</v>
      </c>
      <c r="U34" s="48" t="e">
        <f>VLOOKUP($A34,'0.Productos'!$A$3:$GG$65,'0.Productos'!GG$1+1,0)</f>
        <v>#N/A</v>
      </c>
      <c r="V34" s="51">
        <f t="shared" si="7"/>
        <v>0</v>
      </c>
      <c r="W34" s="50">
        <f t="shared" si="8"/>
        <v>0</v>
      </c>
      <c r="Y34" s="49" t="e">
        <f t="shared" si="9"/>
        <v>#N/A</v>
      </c>
    </row>
    <row r="35" spans="1:25" ht="15.75" thickBot="1" x14ac:dyDescent="0.3">
      <c r="A35">
        <f>'0.Consolidado general'!$A35</f>
        <v>0</v>
      </c>
      <c r="B35" s="48" t="e">
        <f>VLOOKUP($A35,'0.Productos'!$A$3:$GG$65,'0.Productos'!FW$1+1,0)</f>
        <v>#N/A</v>
      </c>
      <c r="C35" s="50" t="e">
        <f t="shared" si="0"/>
        <v>#N/A</v>
      </c>
      <c r="D35" s="56" t="str">
        <f>[4]Productos!$FX37</f>
        <v>Fisica</v>
      </c>
      <c r="E35" s="55">
        <f t="shared" si="1"/>
        <v>4</v>
      </c>
      <c r="F35" s="48" t="str">
        <f>IF(A35&lt;&gt;0,VLOOKUP($A35,'0.Productos'!$A$3:$GG$65,'0.Productos'!FY$1+1,0),"")</f>
        <v/>
      </c>
      <c r="G35" s="50" t="e">
        <f t="shared" si="2"/>
        <v>#VALUE!</v>
      </c>
      <c r="H35" s="58">
        <v>3000</v>
      </c>
      <c r="I35" s="57">
        <v>3403</v>
      </c>
      <c r="J35" s="51">
        <f t="shared" si="3"/>
        <v>0.88157508081104907</v>
      </c>
      <c r="K35" s="50">
        <f t="shared" si="4"/>
        <v>5</v>
      </c>
      <c r="L35" s="48" t="e">
        <f>VLOOKUP($A35,'0.Productos'!$A$3:$GG$65,'0.Productos'!FZ$1+1,0)</f>
        <v>#N/A</v>
      </c>
      <c r="M35" s="51" t="str">
        <f t="shared" si="5"/>
        <v/>
      </c>
      <c r="N35" s="50" t="e">
        <f t="shared" si="6"/>
        <v>#VALUE!</v>
      </c>
      <c r="O35" s="48" t="e">
        <f>VLOOKUP($A35,'0.Productos'!$A$3:$GG$65,'0.Productos'!GA$1+1,0)</f>
        <v>#N/A</v>
      </c>
      <c r="P35" s="48" t="e">
        <f>VLOOKUP($A35,'0.Productos'!$A$3:$GG$65,'0.Productos'!GB$1+1,0)</f>
        <v>#N/A</v>
      </c>
      <c r="Q35" s="48" t="e">
        <f>VLOOKUP($A35,'0.Productos'!$A$3:$GG$65,'0.Productos'!GC$1+1,0)</f>
        <v>#N/A</v>
      </c>
      <c r="R35" s="48" t="e">
        <f>VLOOKUP($A35,'0.Productos'!$A$3:$GG$65,'0.Productos'!GD$1+1,0)</f>
        <v>#N/A</v>
      </c>
      <c r="S35" s="48" t="e">
        <f>VLOOKUP($A35,'0.Productos'!$A$3:$GG$65,'0.Productos'!GE$1+1,0)</f>
        <v>#N/A</v>
      </c>
      <c r="T35" s="48" t="e">
        <f>VLOOKUP($A35,'0.Productos'!$A$3:$GG$65,'0.Productos'!GF$1+1,0)</f>
        <v>#N/A</v>
      </c>
      <c r="U35" s="48" t="e">
        <f>VLOOKUP($A35,'0.Productos'!$A$3:$GG$65,'0.Productos'!GG$1+1,0)</f>
        <v>#N/A</v>
      </c>
      <c r="V35" s="51">
        <f t="shared" si="7"/>
        <v>0</v>
      </c>
      <c r="W35" s="50">
        <f t="shared" si="8"/>
        <v>0</v>
      </c>
      <c r="Y35" s="49" t="e">
        <f t="shared" si="9"/>
        <v>#N/A</v>
      </c>
    </row>
    <row r="36" spans="1:25" ht="15.75" thickBot="1" x14ac:dyDescent="0.3">
      <c r="A36">
        <f>'0.Consolidado general'!$A36</f>
        <v>0</v>
      </c>
      <c r="B36" s="48" t="e">
        <f>VLOOKUP($A36,'0.Productos'!$A$3:$GG$65,'0.Productos'!FW$1+1,0)</f>
        <v>#N/A</v>
      </c>
      <c r="C36" s="50" t="e">
        <f t="shared" si="0"/>
        <v>#N/A</v>
      </c>
      <c r="D36" s="56" t="str">
        <f>[4]Productos!$FX38</f>
        <v>No</v>
      </c>
      <c r="E36" s="55">
        <f t="shared" si="1"/>
        <v>0</v>
      </c>
      <c r="F36" s="48" t="str">
        <f>IF(A36&lt;&gt;0,VLOOKUP($A36,'0.Productos'!$A$3:$GG$65,'0.Productos'!FY$1+1,0),"")</f>
        <v/>
      </c>
      <c r="G36" s="50" t="e">
        <f t="shared" si="2"/>
        <v>#VALUE!</v>
      </c>
      <c r="H36" s="58">
        <v>4081</v>
      </c>
      <c r="I36" s="57">
        <v>8732</v>
      </c>
      <c r="J36" s="51">
        <f t="shared" si="3"/>
        <v>0.46736142922583601</v>
      </c>
      <c r="K36" s="50">
        <f t="shared" si="4"/>
        <v>2.3583431922644116</v>
      </c>
      <c r="L36" s="48" t="e">
        <f>VLOOKUP($A36,'0.Productos'!$A$3:$GG$65,'0.Productos'!FZ$1+1,0)</f>
        <v>#N/A</v>
      </c>
      <c r="M36" s="51" t="str">
        <f t="shared" si="5"/>
        <v/>
      </c>
      <c r="N36" s="50" t="e">
        <f t="shared" si="6"/>
        <v>#VALUE!</v>
      </c>
      <c r="O36" s="48" t="e">
        <f>VLOOKUP($A36,'0.Productos'!$A$3:$GG$65,'0.Productos'!GA$1+1,0)</f>
        <v>#N/A</v>
      </c>
      <c r="P36" s="48" t="e">
        <f>VLOOKUP($A36,'0.Productos'!$A$3:$GG$65,'0.Productos'!GB$1+1,0)</f>
        <v>#N/A</v>
      </c>
      <c r="Q36" s="48" t="e">
        <f>VLOOKUP($A36,'0.Productos'!$A$3:$GG$65,'0.Productos'!GC$1+1,0)</f>
        <v>#N/A</v>
      </c>
      <c r="R36" s="48" t="e">
        <f>VLOOKUP($A36,'0.Productos'!$A$3:$GG$65,'0.Productos'!GD$1+1,0)</f>
        <v>#N/A</v>
      </c>
      <c r="S36" s="48" t="e">
        <f>VLOOKUP($A36,'0.Productos'!$A$3:$GG$65,'0.Productos'!GE$1+1,0)</f>
        <v>#N/A</v>
      </c>
      <c r="T36" s="48" t="e">
        <f>VLOOKUP($A36,'0.Productos'!$A$3:$GG$65,'0.Productos'!GF$1+1,0)</f>
        <v>#N/A</v>
      </c>
      <c r="U36" s="48" t="e">
        <f>VLOOKUP($A36,'0.Productos'!$A$3:$GG$65,'0.Productos'!GG$1+1,0)</f>
        <v>#N/A</v>
      </c>
      <c r="V36" s="51">
        <f t="shared" si="7"/>
        <v>0</v>
      </c>
      <c r="W36" s="50">
        <f t="shared" si="8"/>
        <v>0</v>
      </c>
      <c r="Y36" s="49" t="e">
        <f t="shared" si="9"/>
        <v>#N/A</v>
      </c>
    </row>
    <row r="37" spans="1:25" ht="15.75" thickBot="1" x14ac:dyDescent="0.3">
      <c r="A37">
        <f>'0.Consolidado general'!$A37</f>
        <v>0</v>
      </c>
      <c r="B37" s="48" t="e">
        <f>VLOOKUP($A37,'0.Productos'!$A$3:$GG$65,'0.Productos'!FW$1+1,0)</f>
        <v>#N/A</v>
      </c>
      <c r="C37" s="50" t="e">
        <f t="shared" si="0"/>
        <v>#N/A</v>
      </c>
      <c r="D37" s="56" t="str">
        <f>[4]Productos!$FX39</f>
        <v>Virtual</v>
      </c>
      <c r="E37" s="55">
        <f t="shared" si="1"/>
        <v>5</v>
      </c>
      <c r="F37" s="48" t="str">
        <f>IF(A37&lt;&gt;0,VLOOKUP($A37,'0.Productos'!$A$3:$GG$65,'0.Productos'!FY$1+1,0),"")</f>
        <v/>
      </c>
      <c r="G37" s="50" t="e">
        <f t="shared" si="2"/>
        <v>#VALUE!</v>
      </c>
      <c r="H37" s="58">
        <v>204</v>
      </c>
      <c r="I37" s="57">
        <v>954</v>
      </c>
      <c r="J37" s="51">
        <f t="shared" si="3"/>
        <v>0.21383647798742139</v>
      </c>
      <c r="K37" s="50">
        <f t="shared" si="4"/>
        <v>0.74148215736920242</v>
      </c>
      <c r="L37" s="48" t="e">
        <f>VLOOKUP($A37,'0.Productos'!$A$3:$GG$65,'0.Productos'!FZ$1+1,0)</f>
        <v>#N/A</v>
      </c>
      <c r="M37" s="51" t="str">
        <f t="shared" si="5"/>
        <v/>
      </c>
      <c r="N37" s="50" t="e">
        <f t="shared" si="6"/>
        <v>#VALUE!</v>
      </c>
      <c r="O37" s="48" t="e">
        <f>VLOOKUP($A37,'0.Productos'!$A$3:$GG$65,'0.Productos'!GA$1+1,0)</f>
        <v>#N/A</v>
      </c>
      <c r="P37" s="48" t="e">
        <f>VLOOKUP($A37,'0.Productos'!$A$3:$GG$65,'0.Productos'!GB$1+1,0)</f>
        <v>#N/A</v>
      </c>
      <c r="Q37" s="48" t="e">
        <f>VLOOKUP($A37,'0.Productos'!$A$3:$GG$65,'0.Productos'!GC$1+1,0)</f>
        <v>#N/A</v>
      </c>
      <c r="R37" s="48" t="e">
        <f>VLOOKUP($A37,'0.Productos'!$A$3:$GG$65,'0.Productos'!GD$1+1,0)</f>
        <v>#N/A</v>
      </c>
      <c r="S37" s="48" t="e">
        <f>VLOOKUP($A37,'0.Productos'!$A$3:$GG$65,'0.Productos'!GE$1+1,0)</f>
        <v>#N/A</v>
      </c>
      <c r="T37" s="48" t="e">
        <f>VLOOKUP($A37,'0.Productos'!$A$3:$GG$65,'0.Productos'!GF$1+1,0)</f>
        <v>#N/A</v>
      </c>
      <c r="U37" s="48" t="e">
        <f>VLOOKUP($A37,'0.Productos'!$A$3:$GG$65,'0.Productos'!GG$1+1,0)</f>
        <v>#N/A</v>
      </c>
      <c r="V37" s="51">
        <f t="shared" si="7"/>
        <v>0</v>
      </c>
      <c r="W37" s="50">
        <f t="shared" si="8"/>
        <v>0</v>
      </c>
      <c r="Y37" s="49" t="e">
        <f t="shared" si="9"/>
        <v>#N/A</v>
      </c>
    </row>
    <row r="38" spans="1:25" ht="15.75" thickBot="1" x14ac:dyDescent="0.3">
      <c r="A38">
        <f>'0.Consolidado general'!$A38</f>
        <v>0</v>
      </c>
      <c r="B38" s="48" t="e">
        <f>VLOOKUP($A38,'0.Productos'!$A$3:$GG$65,'0.Productos'!FW$1+1,0)</f>
        <v>#N/A</v>
      </c>
      <c r="C38" s="50" t="e">
        <f t="shared" si="0"/>
        <v>#N/A</v>
      </c>
      <c r="D38" s="56" t="str">
        <f>[4]Productos!$FX40</f>
        <v>No</v>
      </c>
      <c r="E38" s="55">
        <f t="shared" si="1"/>
        <v>0</v>
      </c>
      <c r="F38" s="48" t="str">
        <f>IF(A38&lt;&gt;0,VLOOKUP($A38,'0.Productos'!$A$3:$GG$65,'0.Productos'!FY$1+1,0),"")</f>
        <v/>
      </c>
      <c r="G38" s="50" t="e">
        <f t="shared" si="2"/>
        <v>#VALUE!</v>
      </c>
      <c r="H38" s="58">
        <v>500</v>
      </c>
      <c r="I38" s="57">
        <v>576</v>
      </c>
      <c r="J38" s="51">
        <f t="shared" si="3"/>
        <v>0.86805555555555558</v>
      </c>
      <c r="K38" s="50">
        <f t="shared" si="4"/>
        <v>4.913778925943534</v>
      </c>
      <c r="L38" s="48" t="e">
        <f>VLOOKUP($A38,'0.Productos'!$A$3:$GG$65,'0.Productos'!FZ$1+1,0)</f>
        <v>#N/A</v>
      </c>
      <c r="M38" s="51" t="str">
        <f t="shared" si="5"/>
        <v/>
      </c>
      <c r="N38" s="50" t="e">
        <f t="shared" si="6"/>
        <v>#VALUE!</v>
      </c>
      <c r="O38" s="48" t="e">
        <f>VLOOKUP($A38,'0.Productos'!$A$3:$GG$65,'0.Productos'!GA$1+1,0)</f>
        <v>#N/A</v>
      </c>
      <c r="P38" s="48" t="e">
        <f>VLOOKUP($A38,'0.Productos'!$A$3:$GG$65,'0.Productos'!GB$1+1,0)</f>
        <v>#N/A</v>
      </c>
      <c r="Q38" s="48" t="e">
        <f>VLOOKUP($A38,'0.Productos'!$A$3:$GG$65,'0.Productos'!GC$1+1,0)</f>
        <v>#N/A</v>
      </c>
      <c r="R38" s="48" t="e">
        <f>VLOOKUP($A38,'0.Productos'!$A$3:$GG$65,'0.Productos'!GD$1+1,0)</f>
        <v>#N/A</v>
      </c>
      <c r="S38" s="48" t="e">
        <f>VLOOKUP($A38,'0.Productos'!$A$3:$GG$65,'0.Productos'!GE$1+1,0)</f>
        <v>#N/A</v>
      </c>
      <c r="T38" s="48" t="e">
        <f>VLOOKUP($A38,'0.Productos'!$A$3:$GG$65,'0.Productos'!GF$1+1,0)</f>
        <v>#N/A</v>
      </c>
      <c r="U38" s="48" t="e">
        <f>VLOOKUP($A38,'0.Productos'!$A$3:$GG$65,'0.Productos'!GG$1+1,0)</f>
        <v>#N/A</v>
      </c>
      <c r="V38" s="51">
        <f t="shared" si="7"/>
        <v>0</v>
      </c>
      <c r="W38" s="50">
        <f t="shared" si="8"/>
        <v>0</v>
      </c>
      <c r="Y38" s="49" t="e">
        <f t="shared" si="9"/>
        <v>#N/A</v>
      </c>
    </row>
    <row r="39" spans="1:25" ht="15.75" thickBot="1" x14ac:dyDescent="0.3">
      <c r="A39">
        <f>'0.Consolidado general'!$A39</f>
        <v>0</v>
      </c>
      <c r="B39" s="48" t="e">
        <f>VLOOKUP($A39,'0.Productos'!$A$3:$GG$65,'0.Productos'!FW$1+1,0)</f>
        <v>#N/A</v>
      </c>
      <c r="C39" s="50" t="e">
        <f t="shared" si="0"/>
        <v>#N/A</v>
      </c>
      <c r="D39" s="56" t="str">
        <f>[4]Productos!$FX41</f>
        <v>No</v>
      </c>
      <c r="E39" s="55">
        <f t="shared" si="1"/>
        <v>0</v>
      </c>
      <c r="F39" s="48" t="str">
        <f>IF(A39&lt;&gt;0,VLOOKUP($A39,'0.Productos'!$A$3:$GG$65,'0.Productos'!FY$1+1,0),"")</f>
        <v/>
      </c>
      <c r="G39" s="50" t="e">
        <f t="shared" si="2"/>
        <v>#VALUE!</v>
      </c>
      <c r="H39" s="58">
        <v>1256</v>
      </c>
      <c r="I39" s="57">
        <v>3371</v>
      </c>
      <c r="J39" s="51">
        <f t="shared" si="3"/>
        <v>0.37258973598338774</v>
      </c>
      <c r="K39" s="50">
        <f t="shared" si="4"/>
        <v>1.7539346034204033</v>
      </c>
      <c r="L39" s="48" t="e">
        <f>VLOOKUP($A39,'0.Productos'!$A$3:$GG$65,'0.Productos'!FZ$1+1,0)</f>
        <v>#N/A</v>
      </c>
      <c r="M39" s="51" t="str">
        <f t="shared" si="5"/>
        <v/>
      </c>
      <c r="N39" s="50" t="e">
        <f t="shared" si="6"/>
        <v>#VALUE!</v>
      </c>
      <c r="O39" s="48" t="e">
        <f>VLOOKUP($A39,'0.Productos'!$A$3:$GG$65,'0.Productos'!GA$1+1,0)</f>
        <v>#N/A</v>
      </c>
      <c r="P39" s="48" t="e">
        <f>VLOOKUP($A39,'0.Productos'!$A$3:$GG$65,'0.Productos'!GB$1+1,0)</f>
        <v>#N/A</v>
      </c>
      <c r="Q39" s="48" t="e">
        <f>VLOOKUP($A39,'0.Productos'!$A$3:$GG$65,'0.Productos'!GC$1+1,0)</f>
        <v>#N/A</v>
      </c>
      <c r="R39" s="48" t="e">
        <f>VLOOKUP($A39,'0.Productos'!$A$3:$GG$65,'0.Productos'!GD$1+1,0)</f>
        <v>#N/A</v>
      </c>
      <c r="S39" s="48" t="e">
        <f>VLOOKUP($A39,'0.Productos'!$A$3:$GG$65,'0.Productos'!GE$1+1,0)</f>
        <v>#N/A</v>
      </c>
      <c r="T39" s="48" t="e">
        <f>VLOOKUP($A39,'0.Productos'!$A$3:$GG$65,'0.Productos'!GF$1+1,0)</f>
        <v>#N/A</v>
      </c>
      <c r="U39" s="48" t="e">
        <f>VLOOKUP($A39,'0.Productos'!$A$3:$GG$65,'0.Productos'!GG$1+1,0)</f>
        <v>#N/A</v>
      </c>
      <c r="V39" s="51">
        <f t="shared" si="7"/>
        <v>0</v>
      </c>
      <c r="W39" s="50">
        <f t="shared" si="8"/>
        <v>0</v>
      </c>
      <c r="Y39" s="49" t="e">
        <f t="shared" si="9"/>
        <v>#N/A</v>
      </c>
    </row>
    <row r="40" spans="1:25" ht="15.75" thickBot="1" x14ac:dyDescent="0.3">
      <c r="A40">
        <f>'0.Consolidado general'!$A40</f>
        <v>0</v>
      </c>
      <c r="B40" s="48" t="e">
        <f>VLOOKUP($A40,'0.Productos'!$A$3:$GG$65,'0.Productos'!FW$1+1,0)</f>
        <v>#N/A</v>
      </c>
      <c r="C40" s="50" t="e">
        <f t="shared" si="0"/>
        <v>#N/A</v>
      </c>
      <c r="D40" s="56" t="str">
        <f>[4]Productos!$FX42</f>
        <v>Virtual</v>
      </c>
      <c r="E40" s="55">
        <f t="shared" si="1"/>
        <v>5</v>
      </c>
      <c r="F40" s="48" t="str">
        <f>IF(A40&lt;&gt;0,VLOOKUP($A40,'0.Productos'!$A$3:$GG$65,'0.Productos'!FY$1+1,0),"")</f>
        <v/>
      </c>
      <c r="G40" s="50" t="e">
        <f t="shared" si="2"/>
        <v>#VALUE!</v>
      </c>
      <c r="H40" s="58">
        <v>4514</v>
      </c>
      <c r="I40" s="57">
        <v>9914</v>
      </c>
      <c r="J40" s="51">
        <f t="shared" si="3"/>
        <v>0.45531571515029251</v>
      </c>
      <c r="K40" s="50">
        <f t="shared" si="4"/>
        <v>2.2815213819017717</v>
      </c>
      <c r="L40" s="48" t="e">
        <f>VLOOKUP($A40,'0.Productos'!$A$3:$GG$65,'0.Productos'!FZ$1+1,0)</f>
        <v>#N/A</v>
      </c>
      <c r="M40" s="51" t="str">
        <f t="shared" si="5"/>
        <v/>
      </c>
      <c r="N40" s="50" t="e">
        <f t="shared" si="6"/>
        <v>#VALUE!</v>
      </c>
      <c r="O40" s="48" t="e">
        <f>VLOOKUP($A40,'0.Productos'!$A$3:$GG$65,'0.Productos'!GA$1+1,0)</f>
        <v>#N/A</v>
      </c>
      <c r="P40" s="48" t="e">
        <f>VLOOKUP($A40,'0.Productos'!$A$3:$GG$65,'0.Productos'!GB$1+1,0)</f>
        <v>#N/A</v>
      </c>
      <c r="Q40" s="48" t="e">
        <f>VLOOKUP($A40,'0.Productos'!$A$3:$GG$65,'0.Productos'!GC$1+1,0)</f>
        <v>#N/A</v>
      </c>
      <c r="R40" s="48" t="e">
        <f>VLOOKUP($A40,'0.Productos'!$A$3:$GG$65,'0.Productos'!GD$1+1,0)</f>
        <v>#N/A</v>
      </c>
      <c r="S40" s="48" t="e">
        <f>VLOOKUP($A40,'0.Productos'!$A$3:$GG$65,'0.Productos'!GE$1+1,0)</f>
        <v>#N/A</v>
      </c>
      <c r="T40" s="48" t="e">
        <f>VLOOKUP($A40,'0.Productos'!$A$3:$GG$65,'0.Productos'!GF$1+1,0)</f>
        <v>#N/A</v>
      </c>
      <c r="U40" s="48" t="e">
        <f>VLOOKUP($A40,'0.Productos'!$A$3:$GG$65,'0.Productos'!GG$1+1,0)</f>
        <v>#N/A</v>
      </c>
      <c r="V40" s="51">
        <f t="shared" si="7"/>
        <v>0</v>
      </c>
      <c r="W40" s="50">
        <f t="shared" si="8"/>
        <v>0</v>
      </c>
      <c r="Y40" s="49" t="e">
        <f t="shared" si="9"/>
        <v>#N/A</v>
      </c>
    </row>
    <row r="41" spans="1:25" ht="15.75" thickBot="1" x14ac:dyDescent="0.3">
      <c r="A41">
        <f>'0.Consolidado general'!$A41</f>
        <v>0</v>
      </c>
      <c r="B41" s="48" t="e">
        <f>VLOOKUP($A41,'0.Productos'!$A$3:$GG$65,'0.Productos'!FW$1+1,0)</f>
        <v>#N/A</v>
      </c>
      <c r="C41" s="50" t="e">
        <f t="shared" si="0"/>
        <v>#N/A</v>
      </c>
      <c r="D41" s="56" t="str">
        <f>[4]Productos!$FX43</f>
        <v>Virtual</v>
      </c>
      <c r="E41" s="55">
        <f t="shared" si="1"/>
        <v>5</v>
      </c>
      <c r="F41" s="48" t="str">
        <f>IF(A41&lt;&gt;0,VLOOKUP($A41,'0.Productos'!$A$3:$GG$65,'0.Productos'!FY$1+1,0),"")</f>
        <v/>
      </c>
      <c r="G41" s="50" t="e">
        <f t="shared" si="2"/>
        <v>#VALUE!</v>
      </c>
      <c r="H41" s="58">
        <v>3927</v>
      </c>
      <c r="I41" s="57">
        <v>9292</v>
      </c>
      <c r="J41" s="51">
        <f t="shared" si="3"/>
        <v>0.42262160998708564</v>
      </c>
      <c r="K41" s="50">
        <f t="shared" si="4"/>
        <v>2.073013996530285</v>
      </c>
      <c r="L41" s="48" t="e">
        <f>VLOOKUP($A41,'0.Productos'!$A$3:$GG$65,'0.Productos'!FZ$1+1,0)</f>
        <v>#N/A</v>
      </c>
      <c r="M41" s="51" t="str">
        <f t="shared" si="5"/>
        <v/>
      </c>
      <c r="N41" s="50" t="e">
        <f t="shared" si="6"/>
        <v>#VALUE!</v>
      </c>
      <c r="O41" s="48" t="e">
        <f>VLOOKUP($A41,'0.Productos'!$A$3:$GG$65,'0.Productos'!GA$1+1,0)</f>
        <v>#N/A</v>
      </c>
      <c r="P41" s="48" t="e">
        <f>VLOOKUP($A41,'0.Productos'!$A$3:$GG$65,'0.Productos'!GB$1+1,0)</f>
        <v>#N/A</v>
      </c>
      <c r="Q41" s="48" t="e">
        <f>VLOOKUP($A41,'0.Productos'!$A$3:$GG$65,'0.Productos'!GC$1+1,0)</f>
        <v>#N/A</v>
      </c>
      <c r="R41" s="48" t="e">
        <f>VLOOKUP($A41,'0.Productos'!$A$3:$GG$65,'0.Productos'!GD$1+1,0)</f>
        <v>#N/A</v>
      </c>
      <c r="S41" s="48" t="e">
        <f>VLOOKUP($A41,'0.Productos'!$A$3:$GG$65,'0.Productos'!GE$1+1,0)</f>
        <v>#N/A</v>
      </c>
      <c r="T41" s="48" t="e">
        <f>VLOOKUP($A41,'0.Productos'!$A$3:$GG$65,'0.Productos'!GF$1+1,0)</f>
        <v>#N/A</v>
      </c>
      <c r="U41" s="48" t="e">
        <f>VLOOKUP($A41,'0.Productos'!$A$3:$GG$65,'0.Productos'!GG$1+1,0)</f>
        <v>#N/A</v>
      </c>
      <c r="V41" s="51">
        <f t="shared" si="7"/>
        <v>0</v>
      </c>
      <c r="W41" s="50">
        <f t="shared" si="8"/>
        <v>0</v>
      </c>
      <c r="Y41" s="49" t="e">
        <f t="shared" si="9"/>
        <v>#N/A</v>
      </c>
    </row>
    <row r="42" spans="1:25" ht="15.75" thickBot="1" x14ac:dyDescent="0.3">
      <c r="A42">
        <f>'0.Consolidado general'!$A42</f>
        <v>0</v>
      </c>
      <c r="B42" s="48" t="e">
        <f>VLOOKUP($A42,'0.Productos'!$A$3:$GG$65,'0.Productos'!FW$1+1,0)</f>
        <v>#N/A</v>
      </c>
      <c r="C42" s="50" t="e">
        <f t="shared" si="0"/>
        <v>#N/A</v>
      </c>
      <c r="D42" s="56" t="e">
        <f>[4]Productos!$FX44</f>
        <v>#REF!</v>
      </c>
      <c r="E42" s="55" t="e">
        <f t="shared" si="1"/>
        <v>#REF!</v>
      </c>
      <c r="F42" s="48" t="str">
        <f>IF(A42&lt;&gt;0,VLOOKUP($A42,'0.Productos'!$A$3:$GG$65,'0.Productos'!FY$1+1,0),"")</f>
        <v/>
      </c>
      <c r="G42" s="50" t="e">
        <f t="shared" si="2"/>
        <v>#VALUE!</v>
      </c>
      <c r="H42" s="54">
        <v>1928</v>
      </c>
      <c r="I42" s="53">
        <v>5476</v>
      </c>
      <c r="J42" s="52">
        <f t="shared" si="3"/>
        <v>0.35208181154127099</v>
      </c>
      <c r="K42" s="50">
        <f t="shared" si="4"/>
        <v>1.623144857578577</v>
      </c>
      <c r="L42" s="48" t="e">
        <f>VLOOKUP($A42,'0.Productos'!$A$3:$GG$65,'0.Productos'!FZ$1+1,0)</f>
        <v>#N/A</v>
      </c>
      <c r="M42" s="51" t="str">
        <f t="shared" si="5"/>
        <v/>
      </c>
      <c r="N42" s="50" t="e">
        <f t="shared" si="6"/>
        <v>#VALUE!</v>
      </c>
      <c r="O42" s="48" t="e">
        <f>VLOOKUP($A42,'0.Productos'!$A$3:$GG$65,'0.Productos'!GA$1+1,0)</f>
        <v>#N/A</v>
      </c>
      <c r="P42" s="48" t="e">
        <f>VLOOKUP($A42,'0.Productos'!$A$3:$GG$65,'0.Productos'!GB$1+1,0)</f>
        <v>#N/A</v>
      </c>
      <c r="Q42" s="48" t="e">
        <f>VLOOKUP($A42,'0.Productos'!$A$3:$GG$65,'0.Productos'!GC$1+1,0)</f>
        <v>#N/A</v>
      </c>
      <c r="R42" s="48" t="e">
        <f>VLOOKUP($A42,'0.Productos'!$A$3:$GG$65,'0.Productos'!GD$1+1,0)</f>
        <v>#N/A</v>
      </c>
      <c r="S42" s="48" t="e">
        <f>VLOOKUP($A42,'0.Productos'!$A$3:$GG$65,'0.Productos'!GE$1+1,0)</f>
        <v>#N/A</v>
      </c>
      <c r="T42" s="48" t="e">
        <f>VLOOKUP($A42,'0.Productos'!$A$3:$GG$65,'0.Productos'!GF$1+1,0)</f>
        <v>#N/A</v>
      </c>
      <c r="U42" s="48" t="e">
        <f>VLOOKUP($A42,'0.Productos'!$A$3:$GG$65,'0.Productos'!GG$1+1,0)</f>
        <v>#N/A</v>
      </c>
      <c r="V42" s="51">
        <f t="shared" si="7"/>
        <v>0</v>
      </c>
      <c r="W42" s="50">
        <f t="shared" si="8"/>
        <v>0</v>
      </c>
      <c r="Y42" s="49" t="e">
        <f t="shared" si="9"/>
        <v>#N/A</v>
      </c>
    </row>
    <row r="43" spans="1:25" x14ac:dyDescent="0.25">
      <c r="B43" s="48"/>
    </row>
  </sheetData>
  <mergeCells count="6">
    <mergeCell ref="O1:W1"/>
    <mergeCell ref="L1:N1"/>
    <mergeCell ref="D1:E1"/>
    <mergeCell ref="H1:K1"/>
    <mergeCell ref="B1:C1"/>
    <mergeCell ref="F1:G1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20</vt:i4>
      </vt:variant>
      <vt:variant>
        <vt:lpstr>Rangos con nombre</vt:lpstr>
      </vt:variant>
      <vt:variant>
        <vt:i4>10</vt:i4>
      </vt:variant>
    </vt:vector>
  </HeadingPairs>
  <TitlesOfParts>
    <vt:vector size="30" baseType="lpstr">
      <vt:lpstr>0.Consolidado general</vt:lpstr>
      <vt:lpstr>0.User</vt:lpstr>
      <vt:lpstr>0.Productos</vt:lpstr>
      <vt:lpstr>0.FILTRO</vt:lpstr>
      <vt:lpstr>1.PUNTOS</vt:lpstr>
      <vt:lpstr>1.DATOS-PROD</vt:lpstr>
      <vt:lpstr>1.PUNTOS-PROD</vt:lpstr>
      <vt:lpstr>1.PUNTOS-FIN</vt:lpstr>
      <vt:lpstr>1.CALIF</vt:lpstr>
      <vt:lpstr>2.USUARIO</vt:lpstr>
      <vt:lpstr>2.Vivienda</vt:lpstr>
      <vt:lpstr>2.Consumo</vt:lpstr>
      <vt:lpstr>2.PRODUCTOS VIVIENDA</vt:lpstr>
      <vt:lpstr>2.PRODUCTOS OTROS</vt:lpstr>
      <vt:lpstr>2.TABLA</vt:lpstr>
      <vt:lpstr>2.RESULTADOS</vt:lpstr>
      <vt:lpstr>3.gral</vt:lpstr>
      <vt:lpstr>3.CANALES</vt:lpstr>
      <vt:lpstr>4.Todo</vt:lpstr>
      <vt:lpstr>5.AT</vt:lpstr>
      <vt:lpstr>CANALES</vt:lpstr>
      <vt:lpstr>CANALOTROS</vt:lpstr>
      <vt:lpstr>CANALVIVIENDA</vt:lpstr>
      <vt:lpstr>PRODUCTOOTROS</vt:lpstr>
      <vt:lpstr>productootrs</vt:lpstr>
      <vt:lpstr>PRODUCTOVIVIENDA</vt:lpstr>
      <vt:lpstr>SINO</vt:lpstr>
      <vt:lpstr>TAMORT</vt:lpstr>
      <vt:lpstr>TAMORT2</vt:lpstr>
      <vt:lpstr>TCREDITO</vt:lpstr>
    </vt:vector>
  </TitlesOfParts>
  <Company>HOGAR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JAVIER MORENO</dc:creator>
  <cp:lastModifiedBy>Visitante</cp:lastModifiedBy>
  <dcterms:created xsi:type="dcterms:W3CDTF">2011-07-03T17:06:28Z</dcterms:created>
  <dcterms:modified xsi:type="dcterms:W3CDTF">2012-02-06T20:39:35Z</dcterms:modified>
</cp:coreProperties>
</file>